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5.xml" ContentType="application/vnd.openxmlformats-officedocument.spreadsheetml.comments+xml"/>
  <Override PartName="/xl/workbook.xml" ContentType="application/vnd.openxmlformats-officedocument.spreadsheetml.sheet.main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drawings/_rels/drawing1.xml.rels" ContentType="application/vnd.openxmlformats-package.relationships+xml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0.xml" ContentType="application/vnd.openxmlformats-officedocument.spreadsheetml.worksheet+xml"/>
  <Override PartName="/xl/drawings/drawing20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BORD" sheetId="1" state="visible" r:id="rId3"/>
    <sheet name="CARNET DE SOUDURE" sheetId="2" state="visible" r:id="rId4"/>
    <sheet name="PV CARNET SOUDURE" sheetId="10" state="visible" r:id="rIdPV1"/>
    <sheet name="BARDAGE" sheetId="3" state="visible" r:id="rId5"/>
    <sheet name="ENROBAGE" sheetId="4" state="visible" r:id="rId6"/>
    <sheet name="PROGRAMME RT" sheetId="5" state="visible" r:id="rId7"/>
    <sheet name="JOINTS DE RÉPARATION" sheetId="6" state="visible" r:id="rId8"/>
    <sheet name="SOUDEURS" sheetId="7" state="visible" r:id="rId9"/>
    <sheet name="PARAMÈTRES" sheetId="8" state="visible" r:id="rId10"/>
    <sheet name="دليل الاستخدام" sheetId="9" state="visible" r:id="rId11"/>
  </sheets>
  <definedNames>
    <definedName function="false" hidden="false" localSheetId="3" name="_xlnm.Print_Titles" vbProcedure="false">BARDAGE!$6:$6</definedName>
    <definedName function="false" hidden="false" localSheetId="1" name="_xlnm.Print_Titles" vbProcedure="false">'CARNET DE SOUDURE'!$5:$6</definedName>
    <definedName function="false" hidden="false" localSheetId="4" name="_xlnm.Print_Titles" vbProcedure="false">ENROBAGE!$6:$6</definedName>
    <definedName function="false" hidden="false" localSheetId="6" name="_xlnm.Print_Titles" vbProcedure="false">'JOINTS DE RÉPARATION'!$11:$11</definedName>
    <definedName function="false" hidden="false" localSheetId="5" name="_xlnm.Print_Titles" vbProcedure="false">'PROGRAMME RT'!$11:$11</definedName>
    <definedName function="false" hidden="false" localSheetId="2" name="_xlnm.Print_Area" vbProcedure="false">'PV CARNET SOUDURE'!$A$1:$W$46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6" authorId="0">
      <text>
        <r>
          <rPr>
            <sz val="10"/>
            <rFont val="Arial"/>
            <family val="2"/>
          </rPr>
          <t xml:space="preserve">Un N° de joint en double sur la même ligne s'affiche en ROUGE.</t>
        </r>
      </text>
    </comment>
    <comment ref="L6" authorId="0">
      <text>
        <r>
          <rPr>
            <sz val="10"/>
            <rFont val="Arial"/>
            <family val="2"/>
          </rPr>
          <t xml:space="preserve">N° de coulée lu automatiquement dans BARDAGE à partir du N° de tube.</t>
        </r>
      </text>
    </comment>
    <comment ref="X6" authorId="0">
      <text>
        <r>
          <rPr>
            <sz val="10"/>
            <rFont val="Arial"/>
            <family val="2"/>
          </rPr>
          <t xml:space="preserve">A = Accepté · R = À réparer · NX = Reprise de film · NT / CO = À couper</t>
        </r>
      </text>
    </comment>
    <comment ref="AM6" authorId="0">
      <text>
        <r>
          <rPr>
            <sz val="10"/>
            <rFont val="Arial"/>
            <family val="2"/>
          </rPr>
          <t xml:space="preserve">Calculé automatiquement à partir des résultats VT / RT et des réparations.</t>
        </r>
      </text>
    </comment>
    <comment ref="AN6" authorId="0">
      <text>
        <r>
          <rPr>
            <sz val="10"/>
            <rFont val="Arial"/>
            <family val="2"/>
          </rPr>
          <t xml:space="preserve">Jours depuis le soudage (par rapport à la date de PROGRAMME RT) pour un joint non encore accepté. Rouge si &gt; 3 jours.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Un N° de tube en double s'affiche en ROUGE.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6" authorId="0">
      <text>
        <r>
          <rPr>
            <sz val="10"/>
            <rFont val="Arial"/>
            <family val="2"/>
          </rPr>
          <t xml:space="preserve">Contrôle de continuité du revêtement (balai électrique / holiday detector).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Date du jour automatique. Pour voir un autre jour, tapez une date (ex. 17/09/2025).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Date du jour automatique. Pour voir un autre jour, tapez une date (ex. 17/09/2025).</t>
        </r>
      </text>
    </comment>
    <comment ref="L4" authorId="0">
      <text>
        <r>
          <rPr>
            <sz val="10"/>
            <rFont val="Arial"/>
            <family val="2"/>
          </rPr>
          <t xml:space="preserve">TOUS = historique complet · EN COURS = seulement les joints pas encore acceptés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2" authorId="0">
      <text>
        <r>
          <rPr>
            <sz val="10"/>
            <rFont val="Arial"/>
            <family val="2"/>
          </rPr>
          <t xml:space="preserve">Nombre total de joints prévus sur la ligne (sert au calcul de l'avancement).</t>
        </r>
      </text>
    </comment>
  </commentList>
</comments>
</file>

<file path=xl/sharedStrings.xml><?xml version="1.0" encoding="utf-8"?>
<sst xmlns="http://schemas.openxmlformats.org/spreadsheetml/2006/main" count="5987" uniqueCount="786">
  <si>
    <t xml:space="preserve">TABLEAU DE BORD — SOUDAGE &amp; CONTRÔLE QUALITÉ PIPELINE</t>
  </si>
  <si>
    <t xml:space="preserve">Ligne / Puits :</t>
  </si>
  <si>
    <t xml:space="preserve">TOUTES</t>
  </si>
  <si>
    <t xml:space="preserve">◄ choisir une ligne pour filtrer tous les indicateurs</t>
  </si>
  <si>
    <t xml:space="preserve">JOINTS SOUDÉS</t>
  </si>
  <si>
    <t xml:space="preserve">AVANCEMENT SOUDAGE</t>
  </si>
  <si>
    <t xml:space="preserve">JOINTS RADIOGRAPHIÉS</t>
  </si>
  <si>
    <t xml:space="preserve">JOINTS ACCEPTÉS</t>
  </si>
  <si>
    <t xml:space="preserve">EN ATTENTE RT</t>
  </si>
  <si>
    <t xml:space="preserve">TAUX DE RÉPARATION</t>
  </si>
  <si>
    <t xml:space="preserve">À RÉPARER (R)</t>
  </si>
  <si>
    <t xml:space="preserve">COUPE (CO)</t>
  </si>
  <si>
    <t xml:space="preserve">NX – RT À REFAIRE</t>
  </si>
  <si>
    <t xml:space="preserve">RÉPARÉS → RT</t>
  </si>
  <si>
    <t xml:space="preserve">VT EN ATTENTE / REJETÉ</t>
  </si>
  <si>
    <t xml:space="preserve">À SOUDER (listés)</t>
  </si>
  <si>
    <t xml:space="preserve">SITUATION PAR LIGNE</t>
  </si>
  <si>
    <t xml:space="preserve">Ligne</t>
  </si>
  <si>
    <t xml:space="preserve">Joints estimés</t>
  </si>
  <si>
    <t xml:space="preserve">Joints soudés</t>
  </si>
  <si>
    <t xml:space="preserve">Reste à souder</t>
  </si>
  <si>
    <t xml:space="preserve">% Soudage</t>
  </si>
  <si>
    <t xml:space="preserve">Radiographiés</t>
  </si>
  <si>
    <t xml:space="preserve">% RT</t>
  </si>
  <si>
    <t xml:space="preserve">Acceptés</t>
  </si>
  <si>
    <t xml:space="preserve">% Accepté</t>
  </si>
  <si>
    <t xml:space="preserve">En réparation</t>
  </si>
  <si>
    <t xml:space="preserve">Taux de réparation</t>
  </si>
  <si>
    <t xml:space="preserve">En attente RT</t>
  </si>
  <si>
    <t xml:space="preserve">TOTAL</t>
  </si>
  <si>
    <t xml:space="preserve">Statut</t>
  </si>
  <si>
    <t xml:space="preserve">Joints</t>
  </si>
  <si>
    <t xml:space="preserve">%</t>
  </si>
  <si>
    <t xml:space="preserve">ACCEPTÉ</t>
  </si>
  <si>
    <t xml:space="preserve">À RADIOGRAPHIER</t>
  </si>
  <si>
    <t xml:space="preserve">RÉPARÉ – À RADIOGRAPHIER</t>
  </si>
  <si>
    <t xml:space="preserve">À RÉPARER</t>
  </si>
  <si>
    <t xml:space="preserve">COUPE – À RESOUDER</t>
  </si>
  <si>
    <t xml:space="preserve">VT REJETÉ – À REPRENDRE</t>
  </si>
  <si>
    <t xml:space="preserve">VT EN ATTENTE</t>
  </si>
  <si>
    <t xml:space="preserve">À SOUDER</t>
  </si>
  <si>
    <t xml:space="preserve">PERFORMANCE DES SOUDEURS (toutes lignes)</t>
  </si>
  <si>
    <t xml:space="preserve">WR</t>
  </si>
  <si>
    <t xml:space="preserve">Nom</t>
  </si>
  <si>
    <t xml:space="preserve">Rejetés</t>
  </si>
  <si>
    <t xml:space="preserve">Évaluation</t>
  </si>
  <si>
    <t xml:space="preserve">CARNET DE SOUDURE — PIPELINE</t>
  </si>
  <si>
    <t xml:space="preserve">Joints :</t>
  </si>
  <si>
    <t xml:space="preserve">Soudés :</t>
  </si>
  <si>
    <t xml:space="preserve">Acceptés :</t>
  </si>
  <si>
    <t xml:space="preserve">À radiographier :</t>
  </si>
  <si>
    <t xml:space="preserve">À réparer :</t>
  </si>
  <si>
    <t xml:space="preserve">IDENTIFICATION DU JOINT</t>
  </si>
  <si>
    <t xml:space="preserve">SOUDAGE</t>
  </si>
  <si>
    <t xml:space="preserve">CONTRÔLE VISUEL (VT)</t>
  </si>
  <si>
    <t xml:space="preserve">RADIOGRAPHIE RT-01</t>
  </si>
  <si>
    <t xml:space="preserve">RÉPARATION 1 → VT → RT</t>
  </si>
  <si>
    <t xml:space="preserve">RÉPARATION 2 → VT → RT</t>
  </si>
  <si>
    <t xml:space="preserve">PROGRAMME &amp; SUIVI</t>
  </si>
  <si>
    <t xml:space="preserve">N°</t>
  </si>
  <si>
    <t xml:space="preserve">Tronçon</t>
  </si>
  <si>
    <t xml:space="preserve">PK</t>
  </si>
  <si>
    <t xml:space="preserve">N° Joint</t>
  </si>
  <si>
    <t xml:space="preserve">Zone</t>
  </si>
  <si>
    <t xml:space="preserve">Ø</t>
  </si>
  <si>
    <t xml:space="preserve">Ép. (mm)</t>
  </si>
  <si>
    <t xml:space="preserve">Nuance</t>
  </si>
  <si>
    <t xml:space="preserve">WPS</t>
  </si>
  <si>
    <t xml:space="preserve">Tube 1</t>
  </si>
  <si>
    <t xml:space="preserve">Coulée 1</t>
  </si>
  <si>
    <t xml:space="preserve">Tube 2</t>
  </si>
  <si>
    <t xml:space="preserve">Coulée 2</t>
  </si>
  <si>
    <t xml:space="preserve">WR 1ère passe</t>
  </si>
  <si>
    <t xml:space="preserve">WR 2ème passe</t>
  </si>
  <si>
    <t xml:space="preserve">WR B+F</t>
  </si>
  <si>
    <t xml:space="preserve">Date soudage</t>
  </si>
  <si>
    <t xml:space="preserve">VT Date</t>
  </si>
  <si>
    <t xml:space="preserve">VT PV N°</t>
  </si>
  <si>
    <t xml:space="preserve">VT Rés.</t>
  </si>
  <si>
    <t xml:space="preserve">RT1 Date</t>
  </si>
  <si>
    <t xml:space="preserve">RT1 PV N°</t>
  </si>
  <si>
    <t xml:space="preserve">RT1 Rés.</t>
  </si>
  <si>
    <t xml:space="preserve">R1 WR</t>
  </si>
  <si>
    <t xml:space="preserve">R1 VT Rés.</t>
  </si>
  <si>
    <t xml:space="preserve">R1 RT Date</t>
  </si>
  <si>
    <t xml:space="preserve">R1 RT PV N°</t>
  </si>
  <si>
    <t xml:space="preserve">R1 RT Rés.</t>
  </si>
  <si>
    <t xml:space="preserve">R2 WR</t>
  </si>
  <si>
    <t xml:space="preserve">R2 VT Rés.</t>
  </si>
  <si>
    <t xml:space="preserve">R2 RT Date</t>
  </si>
  <si>
    <t xml:space="preserve">R2 RT PV N°</t>
  </si>
  <si>
    <t xml:space="preserve">R2 RT Rés.</t>
  </si>
  <si>
    <t xml:space="preserve">RT programmé le</t>
  </si>
  <si>
    <t xml:space="preserve">Remarques</t>
  </si>
  <si>
    <t xml:space="preserve">Nb RT</t>
  </si>
  <si>
    <t xml:space="preserve">Dernier RT</t>
  </si>
  <si>
    <t xml:space="preserve">STATUT</t>
  </si>
  <si>
    <t xml:space="preserve">Attente (j)</t>
  </si>
  <si>
    <t xml:space="preserve">hRT</t>
  </si>
  <si>
    <t xml:space="preserve">hRTn</t>
  </si>
  <si>
    <t xml:space="preserve">hREP</t>
  </si>
  <si>
    <t xml:space="preserve">hREPn</t>
  </si>
  <si>
    <t xml:space="preserve">TFT 716 → TL7-MMFW2</t>
  </si>
  <si>
    <t xml:space="preserve">0.00</t>
  </si>
  <si>
    <t xml:space="preserve">JN°001</t>
  </si>
  <si>
    <t xml:space="preserve">A</t>
  </si>
  <si>
    <t xml:space="preserve">6"</t>
  </si>
  <si>
    <t xml:space="preserve">JN°002</t>
  </si>
  <si>
    <t xml:space="preserve">JN°003</t>
  </si>
  <si>
    <t xml:space="preserve">JN°004</t>
  </si>
  <si>
    <t xml:space="preserve">JN°005</t>
  </si>
  <si>
    <t xml:space="preserve">Z70235</t>
  </si>
  <si>
    <t xml:space="preserve">08</t>
  </si>
  <si>
    <t xml:space="preserve">JN°006</t>
  </si>
  <si>
    <t xml:space="preserve">API 5L_X60</t>
  </si>
  <si>
    <t xml:space="preserve">TFT-PPL-06</t>
  </si>
  <si>
    <t xml:space="preserve">Z69902</t>
  </si>
  <si>
    <t xml:space="preserve">WR-09</t>
  </si>
  <si>
    <t xml:space="preserve">VT-027</t>
  </si>
  <si>
    <t xml:space="preserve">L-RT-17</t>
  </si>
  <si>
    <t xml:space="preserve">JN°007</t>
  </si>
  <si>
    <t xml:space="preserve">Z71206</t>
  </si>
  <si>
    <t xml:space="preserve">VT-026</t>
  </si>
  <si>
    <t xml:space="preserve">JN°008</t>
  </si>
  <si>
    <t xml:space="preserve">Z71179</t>
  </si>
  <si>
    <t xml:space="preserve">WR-02</t>
  </si>
  <si>
    <t xml:space="preserve">JN°009</t>
  </si>
  <si>
    <t xml:space="preserve">Z68652</t>
  </si>
  <si>
    <t xml:space="preserve">VT-021</t>
  </si>
  <si>
    <t xml:space="preserve">L-RT-16</t>
  </si>
  <si>
    <t xml:space="preserve">01</t>
  </si>
  <si>
    <t xml:space="preserve">JN°010</t>
  </si>
  <si>
    <t xml:space="preserve">TFT-PPL-05</t>
  </si>
  <si>
    <t xml:space="preserve">Z68654</t>
  </si>
  <si>
    <t xml:space="preserve">WR-06</t>
  </si>
  <si>
    <t xml:space="preserve">VT-016</t>
  </si>
  <si>
    <t xml:space="preserve">L-RT-08</t>
  </si>
  <si>
    <t xml:space="preserve">JN°011</t>
  </si>
  <si>
    <t xml:space="preserve">Z73371</t>
  </si>
  <si>
    <t xml:space="preserve">JN°012</t>
  </si>
  <si>
    <t xml:space="preserve">Z70844</t>
  </si>
  <si>
    <t xml:space="preserve">WR-05</t>
  </si>
  <si>
    <t xml:space="preserve">JN°013</t>
  </si>
  <si>
    <t xml:space="preserve">Z73375</t>
  </si>
  <si>
    <t xml:space="preserve">JN°014</t>
  </si>
  <si>
    <t xml:space="preserve">Z68653</t>
  </si>
  <si>
    <t xml:space="preserve">VT-001</t>
  </si>
  <si>
    <t xml:space="preserve">L-RT-02</t>
  </si>
  <si>
    <t xml:space="preserve">JN°015</t>
  </si>
  <si>
    <t xml:space="preserve">Z73592</t>
  </si>
  <si>
    <t xml:space="preserve">JN°016</t>
  </si>
  <si>
    <t xml:space="preserve">D</t>
  </si>
  <si>
    <t xml:space="preserve">Z73593</t>
  </si>
  <si>
    <t xml:space="preserve">JN°017</t>
  </si>
  <si>
    <t xml:space="preserve">09</t>
  </si>
  <si>
    <t xml:space="preserve">JN°018Racc</t>
  </si>
  <si>
    <t xml:space="preserve">Z70050</t>
  </si>
  <si>
    <t xml:space="preserve">JN°019</t>
  </si>
  <si>
    <t xml:space="preserve">Z71183</t>
  </si>
  <si>
    <t xml:space="preserve">JN°019A</t>
  </si>
  <si>
    <t xml:space="preserve">Z70007</t>
  </si>
  <si>
    <t xml:space="preserve">VT-020</t>
  </si>
  <si>
    <t xml:space="preserve">02</t>
  </si>
  <si>
    <t xml:space="preserve">JN°020</t>
  </si>
  <si>
    <t xml:space="preserve">Z68671</t>
  </si>
  <si>
    <t xml:space="preserve">10</t>
  </si>
  <si>
    <t xml:space="preserve">JN°021Racc</t>
  </si>
  <si>
    <t xml:space="preserve">Z72734</t>
  </si>
  <si>
    <t xml:space="preserve">VT-019</t>
  </si>
  <si>
    <t xml:space="preserve">JN°022</t>
  </si>
  <si>
    <t xml:space="preserve">Z73590</t>
  </si>
  <si>
    <t xml:space="preserve">03</t>
  </si>
  <si>
    <t xml:space="preserve">JN°023</t>
  </si>
  <si>
    <t xml:space="preserve">Z68672</t>
  </si>
  <si>
    <t xml:space="preserve">JN°024</t>
  </si>
  <si>
    <t xml:space="preserve">Z72647</t>
  </si>
  <si>
    <t xml:space="preserve">JN°025</t>
  </si>
  <si>
    <t xml:space="preserve">Z70008</t>
  </si>
  <si>
    <t xml:space="preserve">JN°026</t>
  </si>
  <si>
    <t xml:space="preserve">Z72649</t>
  </si>
  <si>
    <t xml:space="preserve">JN°027</t>
  </si>
  <si>
    <t xml:space="preserve">Z73374</t>
  </si>
  <si>
    <t xml:space="preserve">JN°028</t>
  </si>
  <si>
    <t xml:space="preserve">Z70006</t>
  </si>
  <si>
    <t xml:space="preserve">VT-002</t>
  </si>
  <si>
    <t xml:space="preserve">L-RT-03</t>
  </si>
  <si>
    <t xml:space="preserve">JN°029</t>
  </si>
  <si>
    <t xml:space="preserve">Z73591</t>
  </si>
  <si>
    <t xml:space="preserve">JN°030</t>
  </si>
  <si>
    <t xml:space="preserve">Z71182</t>
  </si>
  <si>
    <t xml:space="preserve">JN°031</t>
  </si>
  <si>
    <t xml:space="preserve">Z73589</t>
  </si>
  <si>
    <t xml:space="preserve">JN°032</t>
  </si>
  <si>
    <t xml:space="preserve">Z68655</t>
  </si>
  <si>
    <t xml:space="preserve">VT-003</t>
  </si>
  <si>
    <t xml:space="preserve">JN°033</t>
  </si>
  <si>
    <t xml:space="preserve">Z70843</t>
  </si>
  <si>
    <t xml:space="preserve">JN°034</t>
  </si>
  <si>
    <t xml:space="preserve">Z71181</t>
  </si>
  <si>
    <t xml:space="preserve">JN°035</t>
  </si>
  <si>
    <t xml:space="preserve">Z70004</t>
  </si>
  <si>
    <t xml:space="preserve">VT-017</t>
  </si>
  <si>
    <t xml:space="preserve">JN°036</t>
  </si>
  <si>
    <t xml:space="preserve">Z68669</t>
  </si>
  <si>
    <t xml:space="preserve">WR-10</t>
  </si>
  <si>
    <t xml:space="preserve">JN°037</t>
  </si>
  <si>
    <t xml:space="preserve">Z73373</t>
  </si>
  <si>
    <t xml:space="preserve">Z71180</t>
  </si>
  <si>
    <t xml:space="preserve">JN°038</t>
  </si>
  <si>
    <t xml:space="preserve">Z73372</t>
  </si>
  <si>
    <t xml:space="preserve">JN°039</t>
  </si>
  <si>
    <t xml:space="preserve">Z70841</t>
  </si>
  <si>
    <t xml:space="preserve">JN°040</t>
  </si>
  <si>
    <t xml:space="preserve">JN°041</t>
  </si>
  <si>
    <t xml:space="preserve">Z68651</t>
  </si>
  <si>
    <t xml:space="preserve">JN°042</t>
  </si>
  <si>
    <t xml:space="preserve">Z70842</t>
  </si>
  <si>
    <t xml:space="preserve">JN°043</t>
  </si>
  <si>
    <t xml:space="preserve">Z71080</t>
  </si>
  <si>
    <t xml:space="preserve">JN°044</t>
  </si>
  <si>
    <t xml:space="preserve">Z70792</t>
  </si>
  <si>
    <t xml:space="preserve">JN°045Racc</t>
  </si>
  <si>
    <t xml:space="preserve">Z69291</t>
  </si>
  <si>
    <t xml:space="preserve">VT-022</t>
  </si>
  <si>
    <t xml:space="preserve">JN°046</t>
  </si>
  <si>
    <t xml:space="preserve">Z71208</t>
  </si>
  <si>
    <t xml:space="preserve">JN°047</t>
  </si>
  <si>
    <t xml:space="preserve">Z70794</t>
  </si>
  <si>
    <t xml:space="preserve">0.000</t>
  </si>
  <si>
    <t xml:space="preserve">JN°048</t>
  </si>
  <si>
    <t xml:space="preserve">ANNULEE</t>
  </si>
  <si>
    <t xml:space="preserve">04</t>
  </si>
  <si>
    <t xml:space="preserve">JN°049</t>
  </si>
  <si>
    <t xml:space="preserve">Z72199</t>
  </si>
  <si>
    <t xml:space="preserve">JN°050</t>
  </si>
  <si>
    <t xml:space="preserve">Z72197</t>
  </si>
  <si>
    <t xml:space="preserve">JN°051</t>
  </si>
  <si>
    <t xml:space="preserve">Z70552</t>
  </si>
  <si>
    <t xml:space="preserve">JN°052</t>
  </si>
  <si>
    <t xml:space="preserve">Z71134</t>
  </si>
  <si>
    <t xml:space="preserve">JN°053</t>
  </si>
  <si>
    <t xml:space="preserve">Z72646</t>
  </si>
  <si>
    <t xml:space="preserve">VT-004</t>
  </si>
  <si>
    <t xml:space="preserve">JN°054</t>
  </si>
  <si>
    <t xml:space="preserve">Z70793</t>
  </si>
  <si>
    <t xml:space="preserve">JN°055</t>
  </si>
  <si>
    <t xml:space="preserve">Z70554</t>
  </si>
  <si>
    <t xml:space="preserve">JN°056</t>
  </si>
  <si>
    <t xml:space="preserve">Z71082</t>
  </si>
  <si>
    <t xml:space="preserve">L-RT-04</t>
  </si>
  <si>
    <t xml:space="preserve">JN°057</t>
  </si>
  <si>
    <t xml:space="preserve">Z70553</t>
  </si>
  <si>
    <t xml:space="preserve">JN°058</t>
  </si>
  <si>
    <t xml:space="preserve">Z71205</t>
  </si>
  <si>
    <t xml:space="preserve">JN°059</t>
  </si>
  <si>
    <t xml:space="preserve">Z70790</t>
  </si>
  <si>
    <t xml:space="preserve">JN°060</t>
  </si>
  <si>
    <t xml:space="preserve">Z70833</t>
  </si>
  <si>
    <t xml:space="preserve">L-RT-01</t>
  </si>
  <si>
    <t xml:space="preserve">JN°061</t>
  </si>
  <si>
    <t xml:space="preserve">Z72198</t>
  </si>
  <si>
    <t xml:space="preserve">JN°062</t>
  </si>
  <si>
    <t xml:space="preserve">Z70835</t>
  </si>
  <si>
    <t xml:space="preserve">JN°063/R</t>
  </si>
  <si>
    <t xml:space="preserve">Z71046</t>
  </si>
  <si>
    <t xml:space="preserve">R</t>
  </si>
  <si>
    <t xml:space="preserve">JN°064</t>
  </si>
  <si>
    <t xml:space="preserve">Z71081</t>
  </si>
  <si>
    <t xml:space="preserve">VT-005</t>
  </si>
  <si>
    <t xml:space="preserve">JN°065</t>
  </si>
  <si>
    <t xml:space="preserve">Z70555</t>
  </si>
  <si>
    <t xml:space="preserve">JN°066</t>
  </si>
  <si>
    <t xml:space="preserve">Z71047</t>
  </si>
  <si>
    <t xml:space="preserve">JN°067</t>
  </si>
  <si>
    <t xml:space="preserve">Z68670</t>
  </si>
  <si>
    <t xml:space="preserve">JN°068</t>
  </si>
  <si>
    <t xml:space="preserve">Z71048</t>
  </si>
  <si>
    <t xml:space="preserve">JN°069</t>
  </si>
  <si>
    <t xml:space="preserve">Z71084</t>
  </si>
  <si>
    <t xml:space="preserve">JN°070</t>
  </si>
  <si>
    <t xml:space="preserve">b00347</t>
  </si>
  <si>
    <t xml:space="preserve">JN°071</t>
  </si>
  <si>
    <t xml:space="preserve">Z71135</t>
  </si>
  <si>
    <t xml:space="preserve">JN°072</t>
  </si>
  <si>
    <t xml:space="preserve">Z71137</t>
  </si>
  <si>
    <t xml:space="preserve">JN°073</t>
  </si>
  <si>
    <t xml:space="preserve">Z71045</t>
  </si>
  <si>
    <t xml:space="preserve">JN°074</t>
  </si>
  <si>
    <t xml:space="preserve">b00341</t>
  </si>
  <si>
    <t xml:space="preserve">L-RT-05</t>
  </si>
  <si>
    <t xml:space="preserve">JN°075</t>
  </si>
  <si>
    <t xml:space="preserve">Z72196</t>
  </si>
  <si>
    <t xml:space="preserve">VT-006</t>
  </si>
  <si>
    <t xml:space="preserve">JN°076</t>
  </si>
  <si>
    <t xml:space="preserve">Z70791</t>
  </si>
  <si>
    <t xml:space="preserve">JN°077</t>
  </si>
  <si>
    <t xml:space="preserve">Z70556</t>
  </si>
  <si>
    <t xml:space="preserve">JN°078</t>
  </si>
  <si>
    <t xml:space="preserve">b00344</t>
  </si>
  <si>
    <t xml:space="preserve">JN°079</t>
  </si>
  <si>
    <t xml:space="preserve">Z71049</t>
  </si>
  <si>
    <t xml:space="preserve">JN°080</t>
  </si>
  <si>
    <t xml:space="preserve">Z72810</t>
  </si>
  <si>
    <t xml:space="preserve">JN°081</t>
  </si>
  <si>
    <t xml:space="preserve">Z73313</t>
  </si>
  <si>
    <t xml:space="preserve">JN°082</t>
  </si>
  <si>
    <t xml:space="preserve">Z71172</t>
  </si>
  <si>
    <t xml:space="preserve">JN°083</t>
  </si>
  <si>
    <t xml:space="preserve">Z71169</t>
  </si>
  <si>
    <t xml:space="preserve">JN°084</t>
  </si>
  <si>
    <t xml:space="preserve">Z71173</t>
  </si>
  <si>
    <t xml:space="preserve">JN°085</t>
  </si>
  <si>
    <t xml:space="preserve">Z73314</t>
  </si>
  <si>
    <t xml:space="preserve">JN°086</t>
  </si>
  <si>
    <t xml:space="preserve">Z69903</t>
  </si>
  <si>
    <t xml:space="preserve">VT-007</t>
  </si>
  <si>
    <t xml:space="preserve">JN°087</t>
  </si>
  <si>
    <t xml:space="preserve">Z70977</t>
  </si>
  <si>
    <t xml:space="preserve">1.00</t>
  </si>
  <si>
    <t xml:space="preserve">JN°088</t>
  </si>
  <si>
    <t xml:space="preserve">Z69905</t>
  </si>
  <si>
    <t xml:space="preserve">L-RT-06</t>
  </si>
  <si>
    <t xml:space="preserve">JN°089</t>
  </si>
  <si>
    <t xml:space="preserve">Z70979</t>
  </si>
  <si>
    <t xml:space="preserve">JN°090</t>
  </si>
  <si>
    <t xml:space="preserve">b01107</t>
  </si>
  <si>
    <t xml:space="preserve">JN°091</t>
  </si>
  <si>
    <t xml:space="preserve">Z70978</t>
  </si>
  <si>
    <t xml:space="preserve">JN°092</t>
  </si>
  <si>
    <t xml:space="preserve">Z69906</t>
  </si>
  <si>
    <t xml:space="preserve">JN°093</t>
  </si>
  <si>
    <t xml:space="preserve">Z70981</t>
  </si>
  <si>
    <t xml:space="preserve">JN°094</t>
  </si>
  <si>
    <t xml:space="preserve">Z70980</t>
  </si>
  <si>
    <t xml:space="preserve">JN°095</t>
  </si>
  <si>
    <t xml:space="preserve">Z71136</t>
  </si>
  <si>
    <t xml:space="preserve">JN°096</t>
  </si>
  <si>
    <t xml:space="preserve">Z73316</t>
  </si>
  <si>
    <t xml:space="preserve">JN°097</t>
  </si>
  <si>
    <t xml:space="preserve">Z72400</t>
  </si>
  <si>
    <t xml:space="preserve">VT-008</t>
  </si>
  <si>
    <t xml:space="preserve">JN°098</t>
  </si>
  <si>
    <t xml:space="preserve">Z73315</t>
  </si>
  <si>
    <t xml:space="preserve">JN°099</t>
  </si>
  <si>
    <t xml:space="preserve">Z73312</t>
  </si>
  <si>
    <t xml:space="preserve">JN°100</t>
  </si>
  <si>
    <t xml:space="preserve">b01105</t>
  </si>
  <si>
    <t xml:space="preserve">L-RT-07</t>
  </si>
  <si>
    <t xml:space="preserve">JN°101</t>
  </si>
  <si>
    <t xml:space="preserve">Z71171</t>
  </si>
  <si>
    <t xml:space="preserve">JN°102</t>
  </si>
  <si>
    <t xml:space="preserve">Z71040</t>
  </si>
  <si>
    <t xml:space="preserve">JN°103</t>
  </si>
  <si>
    <t xml:space="preserve">Z69904</t>
  </si>
  <si>
    <t xml:space="preserve">JN°104 NX</t>
  </si>
  <si>
    <t xml:space="preserve">Z71133</t>
  </si>
  <si>
    <t xml:space="preserve">NX</t>
  </si>
  <si>
    <t xml:space="preserve">JN°105</t>
  </si>
  <si>
    <t xml:space="preserve">b01104</t>
  </si>
  <si>
    <t xml:space="preserve">JN°106</t>
  </si>
  <si>
    <t xml:space="preserve">Z73433</t>
  </si>
  <si>
    <t xml:space="preserve">JN°107</t>
  </si>
  <si>
    <t xml:space="preserve">Z72399</t>
  </si>
  <si>
    <t xml:space="preserve">JN°108</t>
  </si>
  <si>
    <t xml:space="preserve">Z73428</t>
  </si>
  <si>
    <t xml:space="preserve">JN°109</t>
  </si>
  <si>
    <t xml:space="preserve">b01106</t>
  </si>
  <si>
    <t xml:space="preserve">JN°110</t>
  </si>
  <si>
    <t xml:space="preserve">Z72398</t>
  </si>
  <si>
    <t xml:space="preserve">JN°111</t>
  </si>
  <si>
    <t xml:space="preserve">Z72396</t>
  </si>
  <si>
    <t xml:space="preserve">VT-009</t>
  </si>
  <si>
    <t xml:space="preserve">JN°112</t>
  </si>
  <si>
    <t xml:space="preserve">Z72237</t>
  </si>
  <si>
    <t xml:space="preserve">JN°113</t>
  </si>
  <si>
    <t xml:space="preserve">b01103</t>
  </si>
  <si>
    <t xml:space="preserve">JN°114</t>
  </si>
  <si>
    <t xml:space="preserve">Z72808</t>
  </si>
  <si>
    <t xml:space="preserve">L-RT-09</t>
  </si>
  <si>
    <t xml:space="preserve">JN°115</t>
  </si>
  <si>
    <t xml:space="preserve">b01057</t>
  </si>
  <si>
    <t xml:space="preserve">JN°116</t>
  </si>
  <si>
    <t xml:space="preserve">Z69201</t>
  </si>
  <si>
    <t xml:space="preserve">JN°117</t>
  </si>
  <si>
    <t xml:space="preserve">b01053</t>
  </si>
  <si>
    <t xml:space="preserve">JN°118</t>
  </si>
  <si>
    <t xml:space="preserve">Z71596</t>
  </si>
  <si>
    <t xml:space="preserve">JN°119</t>
  </si>
  <si>
    <t xml:space="preserve">b01056</t>
  </si>
  <si>
    <t xml:space="preserve">VT-010</t>
  </si>
  <si>
    <t xml:space="preserve">JN°120</t>
  </si>
  <si>
    <t xml:space="preserve">Z71600</t>
  </si>
  <si>
    <t xml:space="preserve">JN°121</t>
  </si>
  <si>
    <t xml:space="preserve">Z70236</t>
  </si>
  <si>
    <t xml:space="preserve">JN°122R</t>
  </si>
  <si>
    <t xml:space="preserve">b00511</t>
  </si>
  <si>
    <t xml:space="preserve">L-RT-14</t>
  </si>
  <si>
    <t xml:space="preserve">JN°123</t>
  </si>
  <si>
    <t xml:space="preserve">b01055</t>
  </si>
  <si>
    <t xml:space="preserve">L-RT-10</t>
  </si>
  <si>
    <t xml:space="preserve">JN°124</t>
  </si>
  <si>
    <t xml:space="preserve">Z27807</t>
  </si>
  <si>
    <t xml:space="preserve">JN°125</t>
  </si>
  <si>
    <t xml:space="preserve">b00512</t>
  </si>
  <si>
    <t xml:space="preserve">JN°126</t>
  </si>
  <si>
    <t xml:space="preserve">Z73432</t>
  </si>
  <si>
    <t xml:space="preserve">JN°127</t>
  </si>
  <si>
    <t xml:space="preserve">Z70873</t>
  </si>
  <si>
    <t xml:space="preserve">JN°128</t>
  </si>
  <si>
    <t xml:space="preserve">Z68662</t>
  </si>
  <si>
    <t xml:space="preserve">JN°129</t>
  </si>
  <si>
    <t xml:space="preserve">Z71598</t>
  </si>
  <si>
    <t xml:space="preserve">JN°130</t>
  </si>
  <si>
    <t xml:space="preserve">Z70234</t>
  </si>
  <si>
    <t xml:space="preserve">JN°131</t>
  </si>
  <si>
    <t xml:space="preserve">Z68659</t>
  </si>
  <si>
    <t xml:space="preserve">JN°132</t>
  </si>
  <si>
    <t xml:space="preserve">Z68658</t>
  </si>
  <si>
    <t xml:space="preserve">JN°133</t>
  </si>
  <si>
    <t xml:space="preserve">Z70232</t>
  </si>
  <si>
    <t xml:space="preserve">VT-011</t>
  </si>
  <si>
    <t xml:space="preserve">JN°134</t>
  </si>
  <si>
    <t xml:space="preserve">Z68661</t>
  </si>
  <si>
    <t xml:space="preserve">JN°135</t>
  </si>
  <si>
    <t xml:space="preserve">Z71599</t>
  </si>
  <si>
    <t xml:space="preserve">JN°136Racc</t>
  </si>
  <si>
    <t xml:space="preserve">Z69207</t>
  </si>
  <si>
    <t xml:space="preserve">VT-023</t>
  </si>
  <si>
    <t xml:space="preserve">05</t>
  </si>
  <si>
    <t xml:space="preserve">JN°137</t>
  </si>
  <si>
    <t xml:space="preserve">Z69172</t>
  </si>
  <si>
    <t xml:space="preserve">VT-015</t>
  </si>
  <si>
    <t xml:space="preserve">L-RT-11</t>
  </si>
  <si>
    <t xml:space="preserve">JN°138</t>
  </si>
  <si>
    <t xml:space="preserve">Z69205</t>
  </si>
  <si>
    <t xml:space="preserve">JN°139</t>
  </si>
  <si>
    <t xml:space="preserve">b00510</t>
  </si>
  <si>
    <t xml:space="preserve">JN°140Racc</t>
  </si>
  <si>
    <t xml:space="preserve">b01054</t>
  </si>
  <si>
    <t xml:space="preserve">VT-024</t>
  </si>
  <si>
    <t xml:space="preserve">06</t>
  </si>
  <si>
    <t xml:space="preserve">JN°141</t>
  </si>
  <si>
    <t xml:space="preserve">Z70233</t>
  </si>
  <si>
    <t xml:space="preserve">JN°142</t>
  </si>
  <si>
    <t xml:space="preserve">b00509</t>
  </si>
  <si>
    <t xml:space="preserve">JN°142 A</t>
  </si>
  <si>
    <t xml:space="preserve">Z69288</t>
  </si>
  <si>
    <t xml:space="preserve">VT-025</t>
  </si>
  <si>
    <t xml:space="preserve">JN°142 B</t>
  </si>
  <si>
    <t xml:space="preserve">Z69173</t>
  </si>
  <si>
    <t xml:space="preserve">JN°143Racc</t>
  </si>
  <si>
    <t xml:space="preserve">07</t>
  </si>
  <si>
    <t xml:space="preserve">JN°144</t>
  </si>
  <si>
    <t xml:space="preserve">Z69714</t>
  </si>
  <si>
    <t xml:space="preserve">JN°145</t>
  </si>
  <si>
    <t xml:space="preserve">Z69171</t>
  </si>
  <si>
    <t xml:space="preserve">JN°146</t>
  </si>
  <si>
    <t xml:space="preserve">JN°147</t>
  </si>
  <si>
    <t xml:space="preserve">Z69175</t>
  </si>
  <si>
    <t xml:space="preserve">JN°148</t>
  </si>
  <si>
    <t xml:space="preserve">Z69204</t>
  </si>
  <si>
    <t xml:space="preserve">JN°149</t>
  </si>
  <si>
    <t xml:space="preserve">Z72758</t>
  </si>
  <si>
    <t xml:space="preserve">JN°150</t>
  </si>
  <si>
    <t xml:space="preserve">Z73583</t>
  </si>
  <si>
    <t xml:space="preserve">JN°151</t>
  </si>
  <si>
    <t xml:space="preserve">Z73580</t>
  </si>
  <si>
    <t xml:space="preserve">JN°152</t>
  </si>
  <si>
    <t xml:space="preserve">Z72759</t>
  </si>
  <si>
    <t xml:space="preserve">L-RT-12</t>
  </si>
  <si>
    <t xml:space="preserve">JN°153</t>
  </si>
  <si>
    <t xml:space="preserve">Z72730</t>
  </si>
  <si>
    <t xml:space="preserve">JN°154</t>
  </si>
  <si>
    <t xml:space="preserve">Z69715</t>
  </si>
  <si>
    <t xml:space="preserve">VT-012</t>
  </si>
  <si>
    <t xml:space="preserve">JN°155</t>
  </si>
  <si>
    <t xml:space="preserve">Z72731</t>
  </si>
  <si>
    <t xml:space="preserve">JN°156</t>
  </si>
  <si>
    <t xml:space="preserve">Z71094</t>
  </si>
  <si>
    <t xml:space="preserve">JN°157</t>
  </si>
  <si>
    <t xml:space="preserve">Z71091</t>
  </si>
  <si>
    <t xml:space="preserve">JN°158</t>
  </si>
  <si>
    <t xml:space="preserve">Z69287</t>
  </si>
  <si>
    <t xml:space="preserve">JN°159</t>
  </si>
  <si>
    <t xml:space="preserve">Z69712</t>
  </si>
  <si>
    <t xml:space="preserve">JN°160</t>
  </si>
  <si>
    <t xml:space="preserve">Z70253</t>
  </si>
  <si>
    <t xml:space="preserve">JN°161</t>
  </si>
  <si>
    <t xml:space="preserve">Z69716</t>
  </si>
  <si>
    <t xml:space="preserve">JN°162</t>
  </si>
  <si>
    <t xml:space="preserve">JN°163</t>
  </si>
  <si>
    <t xml:space="preserve">Z73425</t>
  </si>
  <si>
    <t xml:space="preserve">JN°164</t>
  </si>
  <si>
    <t xml:space="preserve">Z71090</t>
  </si>
  <si>
    <t xml:space="preserve">JN°165</t>
  </si>
  <si>
    <t xml:space="preserve">Z72756</t>
  </si>
  <si>
    <t xml:space="preserve">JN°166</t>
  </si>
  <si>
    <t xml:space="preserve">Z72755</t>
  </si>
  <si>
    <t xml:space="preserve">JN°167</t>
  </si>
  <si>
    <t xml:space="preserve">Z70256</t>
  </si>
  <si>
    <t xml:space="preserve">L-RT-13</t>
  </si>
  <si>
    <t xml:space="preserve">2.00</t>
  </si>
  <si>
    <t xml:space="preserve">JN°168</t>
  </si>
  <si>
    <t xml:space="preserve">Z73579</t>
  </si>
  <si>
    <t xml:space="preserve">VT-013</t>
  </si>
  <si>
    <t xml:space="preserve">JN°169</t>
  </si>
  <si>
    <t xml:space="preserve">Z69289</t>
  </si>
  <si>
    <t xml:space="preserve">JN°170</t>
  </si>
  <si>
    <t xml:space="preserve">Z71207</t>
  </si>
  <si>
    <t xml:space="preserve">JN°171</t>
  </si>
  <si>
    <t xml:space="preserve">Z72757</t>
  </si>
  <si>
    <t xml:space="preserve">JN°172</t>
  </si>
  <si>
    <t xml:space="preserve">Z71092</t>
  </si>
  <si>
    <t xml:space="preserve">JN°173</t>
  </si>
  <si>
    <t xml:space="preserve">Z73581</t>
  </si>
  <si>
    <t xml:space="preserve">JN°174</t>
  </si>
  <si>
    <t xml:space="preserve">Z72732</t>
  </si>
  <si>
    <t xml:space="preserve">JN°175</t>
  </si>
  <si>
    <t xml:space="preserve">Z71093</t>
  </si>
  <si>
    <t xml:space="preserve">JN°176</t>
  </si>
  <si>
    <t xml:space="preserve">Z73444</t>
  </si>
  <si>
    <t xml:space="preserve">JN°177</t>
  </si>
  <si>
    <t xml:space="preserve">b00533</t>
  </si>
  <si>
    <t xml:space="preserve">JN°178</t>
  </si>
  <si>
    <t xml:space="preserve">b00350</t>
  </si>
  <si>
    <t xml:space="preserve">JN°179</t>
  </si>
  <si>
    <t xml:space="preserve">Z70834</t>
  </si>
  <si>
    <t xml:space="preserve">JN°180</t>
  </si>
  <si>
    <t xml:space="preserve">b00352</t>
  </si>
  <si>
    <t xml:space="preserve">JN°181</t>
  </si>
  <si>
    <t xml:space="preserve">b00354</t>
  </si>
  <si>
    <t xml:space="preserve">JN°182</t>
  </si>
  <si>
    <t xml:space="preserve">Z72674</t>
  </si>
  <si>
    <t xml:space="preserve">VT-014</t>
  </si>
  <si>
    <t xml:space="preserve">JN°183</t>
  </si>
  <si>
    <t xml:space="preserve">Z72195</t>
  </si>
  <si>
    <t xml:space="preserve">JN°184</t>
  </si>
  <si>
    <t xml:space="preserve">Z72672</t>
  </si>
  <si>
    <t xml:space="preserve">JN°185</t>
  </si>
  <si>
    <t xml:space="preserve">Z73442</t>
  </si>
  <si>
    <t xml:space="preserve">JN°186</t>
  </si>
  <si>
    <t xml:space="preserve">Z68668</t>
  </si>
  <si>
    <t xml:space="preserve">JN°187</t>
  </si>
  <si>
    <t xml:space="preserve">b00351</t>
  </si>
  <si>
    <t xml:space="preserve">JN°188</t>
  </si>
  <si>
    <t xml:space="preserve">Z72670</t>
  </si>
  <si>
    <t xml:space="preserve">JN°189</t>
  </si>
  <si>
    <t xml:space="preserve">Z73443</t>
  </si>
  <si>
    <t xml:space="preserve">L-RT-15</t>
  </si>
  <si>
    <t xml:space="preserve">JN°190</t>
  </si>
  <si>
    <t xml:space="preserve">Z73441</t>
  </si>
  <si>
    <t xml:space="preserve">JN°191</t>
  </si>
  <si>
    <t xml:space="preserve">Z70051</t>
  </si>
  <si>
    <t xml:space="preserve">JN°192</t>
  </si>
  <si>
    <t xml:space="preserve">Z72239</t>
  </si>
  <si>
    <t xml:space="preserve">JN°193</t>
  </si>
  <si>
    <t xml:space="preserve">Z73427</t>
  </si>
  <si>
    <t xml:space="preserve">JN°194</t>
  </si>
  <si>
    <t xml:space="preserve">Z70254</t>
  </si>
  <si>
    <t xml:space="preserve">JN°195</t>
  </si>
  <si>
    <t xml:space="preserve">Z70049</t>
  </si>
  <si>
    <t xml:space="preserve">JN°196</t>
  </si>
  <si>
    <t xml:space="preserve">Z73445</t>
  </si>
  <si>
    <t xml:space="preserve">JN°197</t>
  </si>
  <si>
    <t xml:space="preserve">Z72673</t>
  </si>
  <si>
    <t xml:space="preserve">JN°198</t>
  </si>
  <si>
    <t xml:space="preserve">Z73426</t>
  </si>
  <si>
    <t xml:space="preserve">JN°199</t>
  </si>
  <si>
    <t xml:space="preserve">Z71053</t>
  </si>
  <si>
    <t xml:space="preserve">2.000</t>
  </si>
  <si>
    <t xml:space="preserve">JN°200</t>
  </si>
  <si>
    <t xml:space="preserve">Z71204</t>
  </si>
  <si>
    <t xml:space="preserve">JN°201</t>
  </si>
  <si>
    <t xml:space="preserve">Z69290</t>
  </si>
  <si>
    <t xml:space="preserve">JN°202</t>
  </si>
  <si>
    <t xml:space="preserve">ISB-302</t>
  </si>
  <si>
    <t xml:space="preserve">JN°018</t>
  </si>
  <si>
    <t xml:space="preserve">JN°021</t>
  </si>
  <si>
    <t xml:space="preserve">JN°045</t>
  </si>
  <si>
    <t xml:space="preserve">JN°063</t>
  </si>
  <si>
    <t xml:space="preserve">JN°104</t>
  </si>
  <si>
    <t xml:space="preserve">JN°122</t>
  </si>
  <si>
    <t xml:space="preserve">JN°136</t>
  </si>
  <si>
    <t xml:space="preserve">JN°140</t>
  </si>
  <si>
    <t xml:space="preserve">JN°143</t>
  </si>
  <si>
    <t xml:space="preserve">ISB-303</t>
  </si>
  <si>
    <t xml:space="preserve">ISB-304</t>
  </si>
  <si>
    <t xml:space="preserve">BARDAGE — REGISTRE DES TUBES (N° Pipe · N° Coulée)</t>
  </si>
  <si>
    <t xml:space="preserve">Saisir les tubes en bleu. Ligne, NJ amont / aval et statut se lisent automatiquement dans le CARNET (colonnes Tube 1 / Tube 2).</t>
  </si>
  <si>
    <t xml:space="preserve">Tubes :</t>
  </si>
  <si>
    <t xml:space="preserve">Longueur totale (m) :</t>
  </si>
  <si>
    <t xml:space="preserve">Posés en ligne :</t>
  </si>
  <si>
    <t xml:space="preserve">Bardés :</t>
  </si>
  <si>
    <t xml:space="preserve">En stock :</t>
  </si>
  <si>
    <t xml:space="preserve">N° Pipe</t>
  </si>
  <si>
    <t xml:space="preserve">N° Coulée</t>
  </si>
  <si>
    <t xml:space="preserve">N° Lot</t>
  </si>
  <si>
    <t xml:space="preserve">N° Usine</t>
  </si>
  <si>
    <t xml:space="preserve">Longueur (m)</t>
  </si>
  <si>
    <t xml:space="preserve">Revêtement</t>
  </si>
  <si>
    <t xml:space="preserve">Date bardage</t>
  </si>
  <si>
    <t xml:space="preserve">NJ amont</t>
  </si>
  <si>
    <t xml:space="preserve">NJ aval</t>
  </si>
  <si>
    <t xml:space="preserve">Statut tube</t>
  </si>
  <si>
    <t xml:space="preserve">Observations</t>
  </si>
  <si>
    <t xml:space="preserve">Revêtement extérieur en 3LPP</t>
  </si>
  <si>
    <t xml:space="preserve">Z70005</t>
  </si>
  <si>
    <t xml:space="preserve">N° Tube
(Pipe N°)</t>
  </si>
  <si>
    <t xml:space="preserve">N° Coulée
(Heat N°)</t>
  </si>
  <si>
    <t xml:space="preserve">N° Lot
(Batch N°)</t>
  </si>
  <si>
    <t xml:space="preserve">N° Usine (Factory N°)</t>
  </si>
  <si>
    <t xml:space="preserve">Longueur
(Length)</t>
  </si>
  <si>
    <t xml:space="preserve">Observation</t>
  </si>
  <si>
    <t xml:space="preserve">Z72733</t>
  </si>
  <si>
    <t xml:space="preserve">Z72807</t>
  </si>
  <si>
    <t xml:space="preserve">Z69202</t>
  </si>
  <si>
    <t xml:space="preserve">Z69174</t>
  </si>
  <si>
    <t xml:space="preserve">b00508</t>
  </si>
  <si>
    <t xml:space="preserve">N° TuBe
(Pipe N°)</t>
  </si>
  <si>
    <t xml:space="preserve">OBservation</t>
  </si>
  <si>
    <t xml:space="preserve">Z72235</t>
  </si>
  <si>
    <t xml:space="preserve">Z72806</t>
  </si>
  <si>
    <t xml:space="preserve">Z71036</t>
  </si>
  <si>
    <t xml:space="preserve">b00353</t>
  </si>
  <si>
    <t xml:space="preserve">Z72671</t>
  </si>
  <si>
    <t xml:space="preserve">Z70053</t>
  </si>
  <si>
    <t xml:space="preserve">Z70052</t>
  </si>
  <si>
    <t xml:space="preserve">Z71050</t>
  </si>
  <si>
    <t xml:space="preserve">Z71051</t>
  </si>
  <si>
    <t xml:space="preserve">Z70838</t>
  </si>
  <si>
    <t xml:space="preserve">b00343</t>
  </si>
  <si>
    <t xml:space="preserve">ENROBAGE DES JOINTS (NJ)</t>
  </si>
  <si>
    <t xml:space="preserve">Les NJ viennent automatiquement du CARNET (même ordre de lignes) — ne pas TRIER le carnet, utiliser seulement les filtres. Un joint est prêt à enrober quand son RT est ACCEPTÉ.</t>
  </si>
  <si>
    <t xml:space="preserve">À enrober :</t>
  </si>
  <si>
    <t xml:space="preserve">Enrobés :</t>
  </si>
  <si>
    <t xml:space="preserve">En attente RT :</t>
  </si>
  <si>
    <t xml:space="preserve">À reprendre :</t>
  </si>
  <si>
    <t xml:space="preserve">NJ</t>
  </si>
  <si>
    <t xml:space="preserve">Statut joint</t>
  </si>
  <si>
    <t xml:space="preserve">Prêt à enrober</t>
  </si>
  <si>
    <t xml:space="preserve">Date enrobage</t>
  </si>
  <si>
    <t xml:space="preserve">Type de revêtement</t>
  </si>
  <si>
    <t xml:space="preserve">Équipe / Opérateur</t>
  </si>
  <si>
    <t xml:space="preserve">Holiday test (A/R)</t>
  </si>
  <si>
    <t xml:space="preserve">N° PV</t>
  </si>
  <si>
    <t xml:space="preserve">Statut enrobage</t>
  </si>
  <si>
    <t xml:space="preserve">PROGRAMME RADIOGRAPHIE (RT) DU JOUR</t>
  </si>
  <si>
    <t xml:space="preserve">Date :</t>
  </si>
  <si>
    <t xml:space="preserve">Nombre de joints :</t>
  </si>
  <si>
    <t xml:space="preserve">Ligne :</t>
  </si>
  <si>
    <t xml:space="preserve">Liste automatique des joints soudés et acceptés au VT, pas encore radiographiés, réparés, ou NX à refaire.</t>
  </si>
  <si>
    <t xml:space="preserve">VT réalisés</t>
  </si>
  <si>
    <t xml:space="preserve">RT réalisés</t>
  </si>
  <si>
    <t xml:space="preserve">RT acceptés</t>
  </si>
  <si>
    <t xml:space="preserve">RT rejetés (R/NT/CO)</t>
  </si>
  <si>
    <t xml:space="preserve">RT NX</t>
  </si>
  <si>
    <t xml:space="preserve">#</t>
  </si>
  <si>
    <t xml:space="preserve">Soudeurs (WR)</t>
  </si>
  <si>
    <t xml:space="preserve">Motif</t>
  </si>
  <si>
    <t xml:space="preserve">Fait ✓</t>
  </si>
  <si>
    <t xml:space="preserve">PV RT / Observations</t>
  </si>
  <si>
    <t xml:space="preserve">JOINTS DE RÉPARATION (identifiés au RT-01 : R · NX · NT · CO)</t>
  </si>
  <si>
    <t xml:space="preserve">Afficher :</t>
  </si>
  <si>
    <t xml:space="preserve">TOUS</t>
  </si>
  <si>
    <t xml:space="preserve">Tous les joints dont le RT-01 est R, NX, NT ou CO, avec le suivi réparation → VT → RT jusqu'à acceptation.</t>
  </si>
  <si>
    <t xml:space="preserve">SYNTHÈSE DES JOINTS DE RÉPARATION</t>
  </si>
  <si>
    <t xml:space="preserve">Total</t>
  </si>
  <si>
    <t xml:space="preserve">R — à réparer</t>
  </si>
  <si>
    <t xml:space="preserve">NX — reprise film</t>
  </si>
  <si>
    <t xml:space="preserve">NT — à couper</t>
  </si>
  <si>
    <t xml:space="preserve">CO — à couper</t>
  </si>
  <si>
    <t xml:space="preserve">Encore en cours</t>
  </si>
  <si>
    <t xml:space="preserve">RT1 PV</t>
  </si>
  <si>
    <t xml:space="preserve">Code RT1</t>
  </si>
  <si>
    <t xml:space="preserve">WR réparation</t>
  </si>
  <si>
    <t xml:space="preserve">VT après rép.</t>
  </si>
  <si>
    <t xml:space="preserve">RT de contrôle</t>
  </si>
  <si>
    <t xml:space="preserve">Statut actuel</t>
  </si>
  <si>
    <t xml:space="preserve">SOUDEURS — QUALIFICATION &amp; PERFORMANCE</t>
  </si>
  <si>
    <t xml:space="preserve">Taux de réparation = joints rejetés (R, NT ou CO) au RT-01 ÷ joints radiographiés (hors NX). Un soudeur est compté s'il a réalisé au moins une passe du joint.</t>
  </si>
  <si>
    <t xml:space="preserve">Nom &amp; Prénom</t>
  </si>
  <si>
    <t xml:space="preserve">Qualifications (WQT)</t>
  </si>
  <si>
    <t xml:space="preserve">Radiographiés RT-01</t>
  </si>
  <si>
    <t xml:space="preserve">Rejetés (R/NT/CO)</t>
  </si>
  <si>
    <t xml:space="preserve">Réparations effectuées</t>
  </si>
  <si>
    <t xml:space="preserve">WR-01</t>
  </si>
  <si>
    <t xml:space="preserve">BRAHIMI Boumediene</t>
  </si>
  <si>
    <t xml:space="preserve">WQT-001 / WQT-002</t>
  </si>
  <si>
    <t xml:space="preserve">Qualifié</t>
  </si>
  <si>
    <t xml:space="preserve">MEHANGUEF Med Amine</t>
  </si>
  <si>
    <t xml:space="preserve">WQT-003 / 004 / 006 / 014</t>
  </si>
  <si>
    <t xml:space="preserve">WR-03</t>
  </si>
  <si>
    <t xml:space="preserve">BEN KREDDA Mohammed Amine</t>
  </si>
  <si>
    <t xml:space="preserve">WQT-005</t>
  </si>
  <si>
    <t xml:space="preserve">WR-04</t>
  </si>
  <si>
    <t xml:space="preserve">DEHKEL Ammar</t>
  </si>
  <si>
    <t xml:space="preserve">—</t>
  </si>
  <si>
    <t xml:space="preserve">Non qualifié</t>
  </si>
  <si>
    <t xml:space="preserve">KHOCHNI Sofiane</t>
  </si>
  <si>
    <t xml:space="preserve">WQT-007 / WQT-015</t>
  </si>
  <si>
    <t xml:space="preserve">ACHOUR Walid</t>
  </si>
  <si>
    <t xml:space="preserve">WQT-008 / WQT-016</t>
  </si>
  <si>
    <t xml:space="preserve">WR-07</t>
  </si>
  <si>
    <t xml:space="preserve">WR-08</t>
  </si>
  <si>
    <t xml:space="preserve">LALA Lazhar</t>
  </si>
  <si>
    <t xml:space="preserve">WQT-011 / WQT-012</t>
  </si>
  <si>
    <t xml:space="preserve">BOUTAIBA Nour Eddine</t>
  </si>
  <si>
    <t xml:space="preserve">WQT-009 / 010 / 013</t>
  </si>
  <si>
    <t xml:space="preserve">WR-11</t>
  </si>
  <si>
    <t xml:space="preserve">HAMOUCHE Zahir</t>
  </si>
  <si>
    <t xml:space="preserve">WR-12</t>
  </si>
  <si>
    <t xml:space="preserve">WR-13</t>
  </si>
  <si>
    <t xml:space="preserve">WR-14</t>
  </si>
  <si>
    <t xml:space="preserve">WR-15</t>
  </si>
  <si>
    <t xml:space="preserve">PARAMÈTRES DU PROJET</t>
  </si>
  <si>
    <t xml:space="preserve">Projet</t>
  </si>
  <si>
    <t xml:space="preserve">Extension du réseau de collecte de GTFT (11 nouveaux puits)</t>
  </si>
  <si>
    <t xml:space="preserve">Affaire N°</t>
  </si>
  <si>
    <t xml:space="preserve">8546</t>
  </si>
  <si>
    <t xml:space="preserve">Direction</t>
  </si>
  <si>
    <t xml:space="preserve">Direction Régionale Hassi R'Mel</t>
  </si>
  <si>
    <t xml:space="preserve">Entreprise</t>
  </si>
  <si>
    <t xml:space="preserve">ENGTP</t>
  </si>
  <si>
    <t xml:space="preserve">Code de référence</t>
  </si>
  <si>
    <t xml:space="preserve">API 1104</t>
  </si>
  <si>
    <t xml:space="preserve">LIGNES (une ligne par puits) — cellules jaunes à renseigner</t>
  </si>
  <si>
    <t xml:space="preserve">Description</t>
  </si>
  <si>
    <t xml:space="preserve">Puits ISB-302 → réseau de collecte</t>
  </si>
  <si>
    <t xml:space="preserve">Puits ISB-303 → réseau de collecte</t>
  </si>
  <si>
    <t xml:space="preserve">Puits ISB-304 → réseau de collecte</t>
  </si>
  <si>
    <t xml:space="preserve">Ligne TFT 716 vers TL7-MMFW2 (données importées)</t>
  </si>
  <si>
    <t xml:space="preserve">CODES DE RÉSULTAT</t>
  </si>
  <si>
    <t xml:space="preserve">Code</t>
  </si>
  <si>
    <t xml:space="preserve">Contrôle</t>
  </si>
  <si>
    <t xml:space="preserve">Signification</t>
  </si>
  <si>
    <t xml:space="preserve">Action</t>
  </si>
  <si>
    <t xml:space="preserve">VT / RT</t>
  </si>
  <si>
    <t xml:space="preserve">Accepté</t>
  </si>
  <si>
    <t xml:space="preserve">Aucune — joint conforme</t>
  </si>
  <si>
    <t xml:space="preserve">Rejeté — défaut à réparer</t>
  </si>
  <si>
    <t xml:space="preserve">Réparer (WPS REP) → VT → RT de contrôle</t>
  </si>
  <si>
    <t xml:space="preserve">RT</t>
  </si>
  <si>
    <t xml:space="preserve">Reprise de film (film à refaire)</t>
  </si>
  <si>
    <t xml:space="preserve">Refaire une radiographie (sans réparation)</t>
  </si>
  <si>
    <t xml:space="preserve">NT</t>
  </si>
  <si>
    <t xml:space="preserve">À couper</t>
  </si>
  <si>
    <t xml:space="preserve">Couper le joint, resouder → VT → RT</t>
  </si>
  <si>
    <t xml:space="preserve">CO</t>
  </si>
  <si>
    <t xml:space="preserve">LISTES (menus déroulants)</t>
  </si>
  <si>
    <t xml:space="preserve">Filtre ligne</t>
  </si>
  <si>
    <t xml:space="preserve">VT</t>
  </si>
  <si>
    <t xml:space="preserve">Statuts</t>
  </si>
  <si>
    <t xml:space="preserve">Types d'enrobage</t>
  </si>
  <si>
    <t xml:space="preserve">Manchette thermorétractable</t>
  </si>
  <si>
    <t xml:space="preserve">Bande polyéthylène</t>
  </si>
  <si>
    <t xml:space="preserve">Époxy / polyuréthane liquide</t>
  </si>
  <si>
    <t xml:space="preserve">Autre</t>
  </si>
  <si>
    <t xml:space="preserve">دليل استخدام سجل اللحام</t>
  </si>
  <si>
    <t xml:space="preserve">1. PARAMÈTRES</t>
  </si>
  <si>
    <t xml:space="preserve">اكتب معلومات المشروع، وأسماء الخطوط (ISB-302، ISB-303، ISB-304…) وعدد الوصلات المتوقع لكل خط في الخلايا الصفراء.</t>
  </si>
  <si>
    <t xml:space="preserve">2. SOUDEURS</t>
  </si>
  <si>
    <t xml:space="preserve">قائمة اللحامين: الرمز WR والاسم والتأهيل. الأداء (عدد الوصلات، الرفض، نسبة الإصلاح) يُحسب تلقائياً.</t>
  </si>
  <si>
    <t xml:space="preserve">3. CARNET DE SOUDURE</t>
  </si>
  <si>
    <t xml:space="preserve">سطر واحد لكل وصلة (joint). املأ الأعمدة الزرقاء فقط: الخط، رقم الوصلة، اللحامين WR لكل تمريرة، تاريخ اللحام، نتيجة VT ثم RT-01.</t>
  </si>
  <si>
    <t xml:space="preserve">   إذا كانت نتيجة RT = R أو CO</t>
  </si>
  <si>
    <t xml:space="preserve">املأ قسم «RÉPARATION 1»: لحام الإصلاح WR، نتيجة VT بعد الإصلاح، ثم تاريخ ونتيجة RT الجديد. وإذا رُفض مرة أخرى استعمل «RÉPARATION 2».</t>
  </si>
  <si>
    <t xml:space="preserve">   إذا كانت النتيجة NX</t>
  </si>
  <si>
    <t xml:space="preserve">إعادة الفيلم: تُجرى صورة إشعاعية جديدة فقط دون إصلاح. سجّل نتيجة RT الجديدة في «R1 RT» واترك «R1 VT» فارغاً.</t>
  </si>
  <si>
    <t xml:space="preserve">   عمود STATUT</t>
  </si>
  <si>
    <t xml:space="preserve">يُحسب تلقائياً: À SOUDER ← VT EN ATTENTE ← À RADIOGRAPHIER ← ACCEPTÉ، أو À RÉPARER / COUPE / NX حسب النتائج، حتى تصبح الوصلة مقبولة.</t>
  </si>
  <si>
    <t xml:space="preserve">4. PROGRAMME RT</t>
  </si>
  <si>
    <t xml:space="preserve">كل يوم: اكتب التاريخ واختر الخط، فتظهر تلقائياً قائمة الوصلات التي تحتاج صورة إشعاعية (جديدة، أو بعد إصلاح، أو NX)، مع ملخص أعمال ذلك اليوم.</t>
  </si>
  <si>
    <t xml:space="preserve">5. JOINTS DE RÉPARATION</t>
  </si>
  <si>
    <t xml:space="preserve">قائمة تلقائية بكل الوصلات التي كانت نتيجة RT-01 فيها R أو NX أو NT أو CO، مع متابعة الإصلاح (WR، VT، RT) والحالة الحالية. اختر «EN COURS» لرؤية غير المقبولة فقط.</t>
  </si>
  <si>
    <t xml:space="preserve">BARDAGE</t>
  </si>
  <si>
    <t xml:space="preserve">سجل الأنابيب: رقم الأنبوب (N° Pipe) ورقم الصبّة (N° Coulée) واللوت والطول. الخط وأرقام الوصلات NJ والحالة (EN STOCK / BARDÉ / POSÉ EN LIGNE) تُقرأ تلقائياً من CARNET. رقم الصبّة يظهر تلقائياً في CARNET بجانب Tube 1 و Tube 2.</t>
  </si>
  <si>
    <t xml:space="preserve">ENROBAGE</t>
  </si>
  <si>
    <t xml:space="preserve">كل الوصلات NJ تظهر تلقائياً من CARNET. عندما تصبح الوصلة ACCEPTÉ تصير «À ENROBER». اكتب تاريخ التغليف ونوعه ونتيجة Holiday test. تنبيه: لا تقم بترتيب (Trier) ورقة CARNET، استعمل الفلاتر فقط.</t>
  </si>
  <si>
    <t xml:space="preserve">6. TABLEAU DE BORD</t>
  </si>
  <si>
    <t xml:space="preserve">لوحة التحكم: اختر خطاً أو TOUTES، فتظهر نسبة التقدم وعدد الوصلات المقبولة ونسبة الإصلاح وأداء اللحامين والرسوم البيانية.</t>
  </si>
  <si>
    <t xml:space="preserve">رموز النتائج</t>
  </si>
  <si>
    <t xml:space="preserve">A = مقبول   •   R = مرفوض، يجب الإصلاح   •   NX = إعادة الفيلم، تُجرى صورة إشعاعية جديدة   •   NT أو CO = قطع الوصلة وإعادة لحامها</t>
  </si>
  <si>
    <t xml:space="preserve">الألوان</t>
  </si>
  <si>
    <t xml:space="preserve">أزرق = بيانات تُدخلها أنت   •   أسود = صيغ تلقائية (لا تكتب فوقها)   •   أصفر = إعدادات   •   رقم وصلة بالأحمر = مكرر على نفس الخط</t>
  </si>
  <si>
    <t xml:space="preserve">ملاحظة</t>
  </si>
  <si>
    <t xml:space="preserve">بيانات الخط TFT 716 منقولة من ملفك الأصلي (205 وصلات). في الملف الأصلي كان الرمز NR يعني «للإصلاح»، فاستُبدل بالرمز R. خطوط ISB جاهزة لإدخال بياناتها.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</si>
</sst>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%;\-0.0%;\-"/>
    <numFmt numFmtId="167" formatCode="General"/>
    <numFmt numFmtId="168" formatCode="dd/mm/yyyy"/>
    <numFmt numFmtId="169" formatCode="0"/>
    <numFmt numFmtId="170" formatCode="#,##0.00"/>
    <numFmt numFmtId="171" formatCode="0.00"/>
    <numFmt numFmtId="200" formatCode="0.00&quot; ML&quot;"/>
    <numFmt numFmtId="201" formatCode="DD/MM/YYYY"/>
  </numFmts>
  <fonts count="6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i val="true"/>
      <sz val="8"/>
      <color rgb="FFF2F2F2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9"/>
      <color rgb="FF5B2C83"/>
      <name val="Arial"/>
      <family val="0"/>
      <charset val="1"/>
    </font>
    <font>
      <b val="true"/>
      <sz val="9"/>
      <color rgb="FF9C5700"/>
      <name val="Arial"/>
      <family val="0"/>
      <charset val="1"/>
    </font>
    <font>
      <b val="true"/>
      <sz val="9"/>
      <color rgb="FF1F4E78"/>
      <name val="Arial"/>
      <family val="0"/>
      <charset val="1"/>
    </font>
    <font>
      <b val="true"/>
      <sz val="9"/>
      <color rgb="FF7F6000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8"/>
      <color rgb="FF9C0006"/>
      <name val="Arial"/>
      <family val="0"/>
      <charset val="1"/>
    </font>
    <font>
      <b val="true"/>
      <sz val="18"/>
      <color rgb="FF5B2C83"/>
      <name val="Arial"/>
      <family val="0"/>
      <charset val="1"/>
    </font>
    <font>
      <b val="true"/>
      <sz val="18"/>
      <color rgb="FF9C5700"/>
      <name val="Arial"/>
      <family val="0"/>
      <charset val="1"/>
    </font>
    <font>
      <b val="true"/>
      <sz val="18"/>
      <color rgb="FF1F4E78"/>
      <name val="Arial"/>
      <family val="0"/>
      <charset val="1"/>
    </font>
    <font>
      <b val="true"/>
      <sz val="18"/>
      <color rgb="FF7F6000"/>
      <name val="Arial"/>
      <family val="0"/>
      <charset val="1"/>
    </font>
    <font>
      <b val="true"/>
      <sz val="18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5B2C83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9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10"/>
      <name val="Arial"/>
      <family val="2"/>
    </font>
    <font>
      <b val="true"/>
      <sz val="9"/>
      <color rgb="FF0000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6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9"/>
      <name val="Times New Roman"/>
      <family val="1"/>
    </font>
    <font>
      <b val="true"/>
      <sz val="9"/>
      <name val="Times New Roman"/>
      <family val="1"/>
    </font>
    <font>
      <b val="true"/>
      <sz val="14"/>
      <name val="Times New Roman"/>
      <family val="1"/>
    </font>
    <font>
      <b val="true"/>
      <sz val="11"/>
      <name val="Times New Roman"/>
      <family val="1"/>
    </font>
    <font>
      <sz val="8"/>
      <name val="Times New Roman"/>
      <family val="1"/>
    </font>
    <font>
      <b val="true"/>
      <sz val="10"/>
      <name val="Times New Roman"/>
      <family val="1"/>
    </font>
    <font>
      <color rgb="FF808080"/>
      <sz val="8"/>
      <name val="Times New Roman"/>
      <family val="1"/>
    </font>
    <font>
      <sz val="10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rgb="FF1F3864"/>
        <bgColor rgb="FF1F4E78"/>
      </patternFill>
    </fill>
    <fill>
      <patternFill patternType="solid">
        <fgColor rgb="FFFFF2CC"/>
        <bgColor rgb="FFF2F2F2"/>
      </patternFill>
    </fill>
    <fill>
      <patternFill patternType="solid">
        <fgColor rgb="FF0F766E"/>
        <bgColor rgb="FF2E75B6"/>
      </patternFill>
    </fill>
    <fill>
      <patternFill patternType="solid">
        <fgColor rgb="FF2E75B6"/>
        <bgColor rgb="FF4672A8"/>
      </patternFill>
    </fill>
    <fill>
      <patternFill patternType="solid">
        <fgColor rgb="FF548235"/>
        <bgColor rgb="FF595959"/>
      </patternFill>
    </fill>
    <fill>
      <patternFill patternType="solid">
        <fgColor rgb="FF7030A0"/>
        <bgColor rgb="FF5B2C83"/>
      </patternFill>
    </fill>
    <fill>
      <patternFill patternType="solid">
        <fgColor rgb="FFC00000"/>
        <bgColor rgb="FF9C0006"/>
      </patternFill>
    </fill>
    <fill>
      <patternFill patternType="solid">
        <fgColor rgb="FFFFC7CE"/>
        <bgColor rgb="FFF8CBAD"/>
      </patternFill>
    </fill>
    <fill>
      <patternFill patternType="solid">
        <fgColor rgb="FFE4DFEC"/>
        <bgColor rgb="FFD9D9D9"/>
      </patternFill>
    </fill>
    <fill>
      <patternFill patternType="solid">
        <fgColor rgb="FFFFEB9C"/>
        <bgColor rgb="FFFFF2CC"/>
      </patternFill>
    </fill>
    <fill>
      <patternFill patternType="solid">
        <fgColor rgb="FFDDEBF7"/>
        <bgColor rgb="FFEDEDED"/>
      </patternFill>
    </fill>
    <fill>
      <patternFill patternType="solid">
        <fgColor rgb="FFEDEDED"/>
        <bgColor rgb="FFF2F2F2"/>
      </patternFill>
    </fill>
    <fill>
      <patternFill patternType="solid">
        <fgColor rgb="FFF7F9FC"/>
        <bgColor rgb="FFFFFFFF"/>
      </patternFill>
    </fill>
    <fill>
      <patternFill patternType="solid">
        <fgColor rgb="FFC9A227"/>
        <bgColor rgb="FFDC853E"/>
      </patternFill>
    </fill>
    <fill>
      <patternFill patternType="solid">
        <fgColor rgb="FFC6EFCE"/>
        <bgColor rgb="FFDDEBF7"/>
      </patternFill>
    </fill>
    <fill>
      <patternFill patternType="solid">
        <fgColor rgb="FFC55A11"/>
        <bgColor rgb="FF9C5700"/>
      </patternFill>
    </fill>
    <fill>
      <patternFill patternType="solid">
        <fgColor rgb="FF843C0C"/>
        <bgColor rgb="FF9C5700"/>
      </patternFill>
    </fill>
    <fill>
      <patternFill patternType="solid">
        <fgColor rgb="FF808080"/>
        <bgColor rgb="FF7F7F7F"/>
      </patternFill>
    </fill>
    <fill>
      <patternFill patternType="solid">
        <fgColor rgb="FF806000"/>
        <bgColor rgb="FF7F6000"/>
      </patternFill>
    </fill>
    <fill>
      <patternFill patternType="solid">
        <fgColor rgb="FF375623"/>
        <bgColor rgb="FF595959"/>
      </patternFill>
    </fill>
    <fill>
      <patternFill patternType="solid">
        <fgColor rgb="FFF2F2F2"/>
        <bgColor rgb="FFEDEDED"/>
      </patternFill>
    </fill>
    <fill>
      <patternFill patternType="solid">
        <fgColor rgb="FFF8CBAD"/>
        <b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>
        <color rgb="FFC9A227"/>
      </left>
      <right style="medium">
        <color rgb="FFC9A227"/>
      </right>
      <top style="medium">
        <color rgb="FFC9A227"/>
      </top>
      <bottom style="medium">
        <color rgb="FFC9A227"/>
      </bottom>
      <diagonal/>
    </border>
    <border diagonalUp="false" diagonalDown="false">
      <left style="thick">
        <color rgb="FFFFFFFF"/>
      </left>
      <right style="thick">
        <color rgb="FFFFFFFF"/>
      </right>
      <top/>
      <bottom/>
      <diagonal/>
    </border>
    <border diagonalUp="false" diagonalDown="false">
      <left/>
      <right/>
      <top/>
      <bottom style="medium">
        <color rgb="FFC9A22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6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6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1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4" fillId="1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1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1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4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4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4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2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4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4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2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8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8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1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1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2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6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6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8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2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4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2" fillId="3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2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center" textRotation="0" wrapText="false" indent="0" shrinkToFit="false" readingOrder="2"/>
      <protection locked="true" hidden="false"/>
    </xf>
    <xf numFmtId="164" fontId="54" fillId="0" borderId="0" xfId="0" applyFont="true" applyBorder="false" applyAlignment="true" applyProtection="false">
      <alignment horizontal="general" vertical="center" textRotation="0" wrapText="true" indent="0" shrinkToFit="false" readingOrder="2"/>
      <protection locked="true" hidden="false"/>
    </xf>
    <xf numFmtId="0" fontId="55" fillId="0" borderId="6" xfId="0" applyFont="true" applyBorder="true" applyAlignment="true">
      <alignment horizontal="center" vertical="center" textRotation="0" wrapText="true"/>
    </xf>
    <xf numFmtId="0" fontId="55" fillId="0" borderId="6" xfId="0" applyFont="true" applyBorder="true" applyAlignment="true">
      <alignment horizontal="left" vertical="center" textRotation="0" wrapText="true"/>
    </xf>
    <xf numFmtId="0" fontId="56" fillId="0" borderId="6" xfId="0" applyFont="true" applyBorder="true" applyAlignment="true">
      <alignment horizontal="center" vertical="center" textRotation="0" wrapText="true"/>
    </xf>
    <xf numFmtId="0" fontId="57" fillId="0" borderId="6" xfId="0" applyFont="true" applyBorder="true" applyAlignment="true">
      <alignment horizontal="center" vertical="center" textRotation="0" wrapText="true"/>
    </xf>
    <xf numFmtId="0" fontId="58" fillId="0" borderId="6" xfId="0" applyFont="true" applyBorder="true" applyAlignment="true">
      <alignment horizontal="center" vertical="center" textRotation="0" wrapText="true"/>
    </xf>
    <xf numFmtId="0" fontId="59" fillId="0" borderId="6" xfId="0" applyFont="true" applyBorder="true" applyAlignment="true">
      <alignment horizontal="center" vertical="center" textRotation="90" wrapText="true"/>
    </xf>
    <xf numFmtId="0" fontId="59" fillId="24" borderId="6" xfId="0" applyFont="true" applyBorder="true" applyAlignment="true" applyFill="true">
      <alignment horizontal="center" vertical="center" textRotation="90" wrapText="true"/>
    </xf>
    <xf numFmtId="0" fontId="59" fillId="0" borderId="6" xfId="0" applyFont="true" applyBorder="true" applyAlignment="true">
      <alignment horizontal="center" vertical="center" textRotation="0" wrapText="true"/>
    </xf>
    <xf numFmtId="2" fontId="55" fillId="0" borderId="6" xfId="0" applyFont="true" applyBorder="true" applyAlignment="true" applyNumberFormat="true">
      <alignment horizontal="center" vertical="center" textRotation="0" wrapText="true"/>
    </xf>
    <xf numFmtId="201" fontId="55" fillId="0" borderId="6" xfId="0" applyFont="true" applyBorder="true" applyAlignment="true" applyNumberFormat="true">
      <alignment horizontal="center" vertical="center" textRotation="0" wrapText="true"/>
    </xf>
    <xf numFmtId="200" fontId="60" fillId="0" borderId="6" xfId="0" applyFont="true" applyBorder="true" applyAlignment="true" applyNumberFormat="true">
      <alignment horizontal="center" vertical="center" textRotation="0" wrapText="true"/>
    </xf>
    <xf numFmtId="0" fontId="60" fillId="25" borderId="6" xfId="0" applyFont="true" applyBorder="true" applyAlignment="true" applyFill="true">
      <alignment horizontal="center" vertical="center" textRotation="0" wrapText="true"/>
    </xf>
    <xf numFmtId="0" fontId="60" fillId="0" borderId="6" xfId="0" applyFont="true" applyBorder="true" applyAlignment="true">
      <alignment horizontal="center" vertical="center" textRotation="0" wrapText="true"/>
    </xf>
    <xf numFmtId="0" fontId="62" fillId="0" borderId="6" xfId="0" applyFont="true" applyBorder="true" applyAlignment="true">
      <alignment horizontal="center" vertical="center" textRotation="0" wrapText="true"/>
    </xf>
    <xf numFmtId="0" fontId="56" fillId="0" borderId="6" xfId="0" applyFont="true" applyBorder="true" applyAlignment="true">
      <alignment horizontal="left" vertical="center" textRotation="0" wrapText="true"/>
    </xf>
    <xf numFmtId="0" fontId="61" fillId="0" borderId="0" xfId="0" applyFont="true" applyBorder="true" applyAlignment="true">
      <alignment horizontal="left" vertical="center" textRotation="0" wrapText="false"/>
    </xf>
    <xf numFmtId="0" fontId="55" fillId="0" borderId="0" xfId="0" applyFont="true" applyBorder="true" applyAlignment="true">
      <alignment horizontal="center" vertical="center" textRotation="0" wrapText="tru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5"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0F766E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843C0C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843C0C"/>
      </font>
      <fill>
        <patternFill>
          <bgColor rgb="FFF8CBAD"/>
        </patternFill>
      </fill>
    </dxf>
    <dxf>
      <font>
        <name val="Arial"/>
        <charset val="1"/>
        <family val="0"/>
        <b val="1"/>
        <color rgb="FF5B2C83"/>
      </font>
      <fill>
        <patternFill>
          <bgColor rgb="FFE4DFEC"/>
        </patternFill>
      </fill>
    </dxf>
    <dxf>
      <font>
        <name val="Arial"/>
        <charset val="1"/>
        <family val="0"/>
        <b val="1"/>
        <color rgb="FF1F4E78"/>
      </font>
      <fill>
        <patternFill>
          <bgColor rgb="FFDDEBF7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F2CC"/>
        </patternFill>
      </fill>
    </dxf>
    <dxf>
      <font>
        <name val="Arial"/>
        <charset val="1"/>
        <family val="0"/>
        <b val="1"/>
        <color rgb="FF595959"/>
      </font>
      <fill>
        <patternFill>
          <bgColor rgb="FFEDEDED"/>
        </patternFill>
      </fill>
    </dxf>
    <dxf>
      <font>
        <name val="Arial"/>
        <charset val="1"/>
        <family val="0"/>
        <b val="1"/>
        <color rgb="FF006100"/>
      </font>
    </dxf>
    <dxf>
      <font>
        <name val="Arial"/>
        <charset val="1"/>
        <family val="0"/>
        <b val="1"/>
        <color rgb="FFFFFFFF"/>
      </font>
      <fill>
        <patternFill>
          <bgColor rgb="FFFF0000"/>
        </patternFill>
      </fill>
    </dxf>
    <dxf>
      <fill>
        <patternFill patternType="solid">
          <fgColor rgb="FF806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37562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DEDED"/>
      <rgbColor rgb="FFFF00FF"/>
      <rgbColor rgb="FF00FFFF"/>
      <rgbColor rgb="FF9C0006"/>
      <rgbColor rgb="FF008000"/>
      <rgbColor rgb="FF000080"/>
      <rgbColor rgb="FF806000"/>
      <rgbColor rgb="FF7F6000"/>
      <rgbColor rgb="FF0F766E"/>
      <rgbColor rgb="FFBFBFBF"/>
      <rgbColor rgb="FF808080"/>
      <rgbColor rgb="FF93A9CE"/>
      <rgbColor rgb="FFAB4744"/>
      <rgbColor rgb="FFFFF2CC"/>
      <rgbColor rgb="FFDDEBF7"/>
      <rgbColor rgb="FF9C5700"/>
      <rgbColor rgb="FFDC853E"/>
      <rgbColor rgb="FF1F4E78"/>
      <rgbColor rgb="FFD9D9D9"/>
      <rgbColor rgb="FF000080"/>
      <rgbColor rgb="FFFF00FF"/>
      <rgbColor rgb="FFF7F9FC"/>
      <rgbColor rgb="FF00FFFF"/>
      <rgbColor rgb="FF7F7F7F"/>
      <rgbColor rgb="FFC00000"/>
      <rgbColor rgb="FF4672A8"/>
      <rgbColor rgb="FF0000FF"/>
      <rgbColor rgb="FF548235"/>
      <rgbColor rgb="FFF2F2F2"/>
      <rgbColor rgb="FFC6EFCE"/>
      <rgbColor rgb="FFFFEB9C"/>
      <rgbColor rgb="FFB8CD97"/>
      <rgbColor rgb="FFD09493"/>
      <rgbColor rgb="FFFFC7CE"/>
      <rgbColor rgb="FFF8CBAD"/>
      <rgbColor rgb="FF2E75B6"/>
      <rgbColor rgb="FF4F81BD"/>
      <rgbColor rgb="FF8AA64F"/>
      <rgbColor rgb="FFE4DFEC"/>
      <rgbColor rgb="FFC9A227"/>
      <rgbColor rgb="FFC55A11"/>
      <rgbColor rgb="FF725990"/>
      <rgbColor rgb="FF878787"/>
      <rgbColor rgb="FF1F3864"/>
      <rgbColor rgb="FF4299B0"/>
      <rgbColor rgb="FF006100"/>
      <rgbColor rgb="FF595959"/>
      <rgbColor rgb="FF843C0C"/>
      <rgbColor rgb="FF7030A0"/>
      <rgbColor rgb="FF5B2C83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Relationship Id="rIdPV1" Type="http://schemas.openxmlformats.org/officeDocument/2006/relationships/worksheet" Target="worksheets/sheet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Avancement par ligne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'TABLEAU DE BORD'!C17</c:f>
              <c:strCache>
                <c:ptCount val="1"/>
                <c:pt idx="0">
                  <c:v>Joints estimés</c:v>
                </c:pt>
              </c:strCache>
            </c:strRef>
          </c:tx>
          <c:spPr>
            <a:solidFill>
              <a:srgbClr val="bfbfbf"/>
            </a:solidFill>
            <a:ln w="0">
              <a:solidFill>
                <a:srgbClr val="bfbfb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BORD'!$B$18:$B$21</c:f>
              <c:strCache>
                <c:ptCount val="4"/>
                <c:pt idx="0">
                  <c:v>ISB-302</c:v>
                </c:pt>
                <c:pt idx="1">
                  <c:v>ISB-303</c:v>
                </c:pt>
                <c:pt idx="2">
                  <c:v>ISB-304</c:v>
                </c:pt>
                <c:pt idx="3">
                  <c:v>TFT 716 → TL7-MMFW2</c:v>
                </c:pt>
              </c:strCache>
            </c:strRef>
          </c:cat>
          <c:val>
            <c:numRef>
              <c:f>'TABLEAU DE BORD'!$C$18:$C$25</c:f>
              <c:numCache>
                <c:formatCode>#,##0</c:formatCode>
                <c:ptCount val="8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204</c:v>
                </c:pt>
              </c:numCache>
            </c:numRef>
          </c:val>
        </c:ser>
        <c:ser>
          <c:idx val="1"/>
          <c:order val="1"/>
          <c:tx>
            <c:strRef>
              <c:f>'TABLEAU DE BORD'!D17</c:f>
              <c:strCache>
                <c:ptCount val="1"/>
                <c:pt idx="0">
                  <c:v>Joints soudés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BORD'!$B$18:$B$21</c:f>
              <c:strCache>
                <c:ptCount val="4"/>
                <c:pt idx="0">
                  <c:v>ISB-302</c:v>
                </c:pt>
                <c:pt idx="1">
                  <c:v>ISB-303</c:v>
                </c:pt>
                <c:pt idx="2">
                  <c:v>ISB-304</c:v>
                </c:pt>
                <c:pt idx="3">
                  <c:v>TFT 716 → TL7-MMFW2</c:v>
                </c:pt>
              </c:strCache>
            </c:strRef>
          </c:cat>
          <c:val>
            <c:numRef>
              <c:f>'TABLEAU DE BORD'!$D$18:$D$25</c:f>
              <c:numCache>
                <c:formatCode>#,##0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197</c:v>
                </c:pt>
              </c:numCache>
            </c:numRef>
          </c:val>
        </c:ser>
        <c:ser>
          <c:idx val="2"/>
          <c:order val="2"/>
          <c:tx>
            <c:strRef>
              <c:f>'TABLEAU DE BORD'!I17</c:f>
              <c:strCache>
                <c:ptCount val="1"/>
                <c:pt idx="0">
                  <c:v>Acceptés</c:v>
                </c:pt>
              </c:strCache>
            </c:strRef>
          </c:tx>
          <c:spPr>
            <a:solidFill>
              <a:srgbClr val="548235"/>
            </a:solidFill>
            <a:ln w="0">
              <a:solidFill>
                <a:srgbClr val="54823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BORD'!$B$18:$B$21</c:f>
              <c:strCache>
                <c:ptCount val="4"/>
                <c:pt idx="0">
                  <c:v>ISB-302</c:v>
                </c:pt>
                <c:pt idx="1">
                  <c:v>ISB-303</c:v>
                </c:pt>
                <c:pt idx="2">
                  <c:v>ISB-304</c:v>
                </c:pt>
                <c:pt idx="3">
                  <c:v>TFT 716 → TL7-MMFW2</c:v>
                </c:pt>
              </c:strCache>
            </c:strRef>
          </c:cat>
          <c:val>
            <c:numRef>
              <c:f>'TABLEAU DE BORD'!$I$18:$I$25</c:f>
              <c:numCache>
                <c:formatCode>#,##0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188</c:v>
                </c:pt>
              </c:numCache>
            </c:numRef>
          </c:val>
        </c:ser>
        <c:gapWidth val="60"/>
        <c:overlap val="0"/>
        <c:axId val="24220335"/>
        <c:axId val="69623026"/>
      </c:barChart>
      <c:catAx>
        <c:axId val="24220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623026"/>
        <c:crosses val="autoZero"/>
        <c:auto val="1"/>
        <c:lblAlgn val="ctr"/>
        <c:lblOffset val="100"/>
        <c:noMultiLvlLbl val="0"/>
      </c:catAx>
      <c:valAx>
        <c:axId val="69623026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22033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Répartition des statuts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'TABLEAU DE BORD'!L28</c:f>
              <c:strCache>
                <c:ptCount val="1"/>
                <c:pt idx="0">
                  <c:v>Joints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'TABLEAU DE BORD'!$J$29:$J$37</c:f>
              <c:strCache>
                <c:ptCount val="9"/>
                <c:pt idx="0">
                  <c:v>ACCEPTÉ</c:v>
                </c:pt>
                <c:pt idx="1">
                  <c:v>À RADIOGRAPHIER</c:v>
                </c:pt>
                <c:pt idx="2">
                  <c:v>RÉPARÉ – À RADIOGRAPHIER</c:v>
                </c:pt>
                <c:pt idx="3">
                  <c:v>NX – RT À REFAIRE</c:v>
                </c:pt>
                <c:pt idx="4">
                  <c:v>À RÉPARER</c:v>
                </c:pt>
                <c:pt idx="5">
                  <c:v>COUPE – À RESOUDER</c:v>
                </c:pt>
                <c:pt idx="6">
                  <c:v>VT REJETÉ – À REPRENDRE</c:v>
                </c:pt>
                <c:pt idx="7">
                  <c:v>VT EN ATTENTE</c:v>
                </c:pt>
                <c:pt idx="8">
                  <c:v>À SOUDER</c:v>
                </c:pt>
              </c:strCache>
            </c:strRef>
          </c:cat>
          <c:val>
            <c:numRef>
              <c:f>'TABLEAU DE BORD'!$L$29:$L$37</c:f>
              <c:numCache>
                <c:formatCode>#,##0</c:formatCode>
                <c:ptCount val="9"/>
                <c:pt idx="0">
                  <c:v>188</c:v>
                </c:pt>
                <c:pt idx="1">
                  <c:v>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608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Joints soudés par soudeur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'TABLEAU DE BORD'!E56</c:f>
              <c:strCache>
                <c:ptCount val="1"/>
                <c:pt idx="0">
                  <c:v>Joints soudés</c:v>
                </c:pt>
              </c:strCache>
            </c:strRef>
          </c:tx>
          <c:spPr>
            <a:solidFill>
              <a:srgbClr val="0f766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BORD'!$B$57:$B$71</c:f>
              <c:strCache>
                <c:ptCount val="15"/>
                <c:pt idx="0">
                  <c:v>WR-01</c:v>
                </c:pt>
                <c:pt idx="1">
                  <c:v>WR-02</c:v>
                </c:pt>
                <c:pt idx="2">
                  <c:v>WR-03</c:v>
                </c:pt>
                <c:pt idx="3">
                  <c:v>WR-04</c:v>
                </c:pt>
                <c:pt idx="4">
                  <c:v>WR-05</c:v>
                </c:pt>
                <c:pt idx="5">
                  <c:v>WR-06</c:v>
                </c:pt>
                <c:pt idx="6">
                  <c:v>WR-07</c:v>
                </c:pt>
                <c:pt idx="7">
                  <c:v>WR-08</c:v>
                </c:pt>
                <c:pt idx="8">
                  <c:v>WR-09</c:v>
                </c:pt>
                <c:pt idx="9">
                  <c:v>WR-10</c:v>
                </c:pt>
                <c:pt idx="10">
                  <c:v>WR-11</c:v>
                </c:pt>
                <c:pt idx="11">
                  <c:v>WR-12</c:v>
                </c:pt>
                <c:pt idx="12">
                  <c:v>WR-13</c:v>
                </c:pt>
                <c:pt idx="13">
                  <c:v>WR-14</c:v>
                </c:pt>
                <c:pt idx="14">
                  <c:v>WR-15</c:v>
                </c:pt>
              </c:strCache>
            </c:strRef>
          </c:cat>
          <c:val>
            <c:numRef>
              <c:f>'TABLEAU DE BORD'!$E$57:$E$71</c:f>
              <c:numCache>
                <c:formatCode>#,##0</c:formatCode>
                <c:ptCount val="15"/>
                <c:pt idx="0">
                  <c:v>0</c:v>
                </c:pt>
                <c:pt idx="1">
                  <c:v>86</c:v>
                </c:pt>
                <c:pt idx="2">
                  <c:v>0</c:v>
                </c:pt>
                <c:pt idx="3">
                  <c:v>0</c:v>
                </c:pt>
                <c:pt idx="4">
                  <c:v>169</c:v>
                </c:pt>
                <c:pt idx="5">
                  <c:v>62</c:v>
                </c:pt>
                <c:pt idx="6">
                  <c:v>0</c:v>
                </c:pt>
                <c:pt idx="7">
                  <c:v>0</c:v>
                </c:pt>
                <c:pt idx="8">
                  <c:v>14</c:v>
                </c:pt>
                <c:pt idx="9">
                  <c:v>39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gapWidth val="150"/>
        <c:overlap val="0"/>
        <c:axId val="8145036"/>
        <c:axId val="50030541"/>
      </c:barChart>
      <c:catAx>
        <c:axId val="81450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030541"/>
        <c:crosses val="autoZero"/>
        <c:auto val="1"/>
        <c:lblAlgn val="ctr"/>
        <c:lblOffset val="100"/>
        <c:noMultiLvlLbl val="0"/>
      </c:catAx>
      <c:valAx>
        <c:axId val="50030541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450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0.xml.rels><?xml version="1.0" encoding="UTF-8"?><Relationships xmlns="http://schemas.openxmlformats.org/package/2006/relationships"><Relationship Id="rId1" Type="http://schemas.openxmlformats.org/officeDocument/2006/relationships/image" Target="../media/pvlogo_gtft.jpeg"/><Relationship Id="rId2" Type="http://schemas.openxmlformats.org/officeDocument/2006/relationships/image" Target="../media/pvlogo_gtp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27</xdr:row>
      <xdr:rowOff>0</xdr:rowOff>
    </xdr:from>
    <xdr:to>
      <xdr:col>5</xdr:col>
      <xdr:colOff>23400</xdr:colOff>
      <xdr:row>42</xdr:row>
      <xdr:rowOff>22320</xdr:rowOff>
    </xdr:to>
    <xdr:graphicFrame>
      <xdr:nvGraphicFramePr>
        <xdr:cNvPr id="0" name="Chart 1"/>
        <xdr:cNvGraphicFramePr/>
      </xdr:nvGraphicFramePr>
      <xdr:xfrm>
        <a:off x="177840" y="6210360"/>
        <a:ext cx="55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38</xdr:row>
      <xdr:rowOff>0</xdr:rowOff>
    </xdr:from>
    <xdr:to>
      <xdr:col>12</xdr:col>
      <xdr:colOff>899280</xdr:colOff>
      <xdr:row>50</xdr:row>
      <xdr:rowOff>53640</xdr:rowOff>
    </xdr:to>
    <xdr:graphicFrame>
      <xdr:nvGraphicFramePr>
        <xdr:cNvPr id="1" name="Chart 2"/>
        <xdr:cNvGraphicFramePr/>
      </xdr:nvGraphicFramePr>
      <xdr:xfrm>
        <a:off x="10534680" y="8305920"/>
        <a:ext cx="449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55</xdr:row>
      <xdr:rowOff>0</xdr:rowOff>
    </xdr:from>
    <xdr:to>
      <xdr:col>11</xdr:col>
      <xdr:colOff>1019520</xdr:colOff>
      <xdr:row>72</xdr:row>
      <xdr:rowOff>1080</xdr:rowOff>
    </xdr:to>
    <xdr:graphicFrame>
      <xdr:nvGraphicFramePr>
        <xdr:cNvPr id="2" name="Chart 3"/>
        <xdr:cNvGraphicFramePr/>
      </xdr:nvGraphicFramePr>
      <xdr:xfrm>
        <a:off x="10534680" y="11658600"/>
        <a:ext cx="34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114300</xdr:colOff>
      <xdr:row>0</xdr:row>
      <xdr:rowOff>114300</xdr:rowOff>
    </xdr:from>
    <xdr:ext cx="323850" cy="371475"/>
    <xdr:pic>
      <xdr:nvPicPr>
        <xdr:cNvPr id="2" name="Logo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323850" cy="371475"/>
        </a:xfrm>
        <a:prstGeom prst="rect">
          <a:avLst/>
        </a:prstGeom>
      </xdr:spPr>
    </xdr:pic>
    <xdr:clientData/>
  </xdr:oneCellAnchor>
  <xdr:oneCellAnchor>
    <xdr:from>
      <xdr:col>0</xdr:col>
      <xdr:colOff>533400</xdr:colOff>
      <xdr:row>0</xdr:row>
      <xdr:rowOff>114300</xdr:rowOff>
    </xdr:from>
    <xdr:ext cx="438150" cy="323850"/>
    <xdr:pic>
      <xdr:nvPicPr>
        <xdr:cNvPr id="3" name="Logo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438150" cy="32385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Bardage" displayName="Bardage" ref="A6:N1506" headerRowCount="1" totalsRowCount="0" totalsRowShown="0">
  <autoFilter ref="A6:N1506"/>
  <tableColumns count="14">
    <tableColumn id="1" name="N°"/>
    <tableColumn id="2" name="N° Pipe"/>
    <tableColumn id="3" name="N° Coulée"/>
    <tableColumn id="4" name="N° Lot"/>
    <tableColumn id="5" name="N° Usine"/>
    <tableColumn id="6" name="Longueur (m)"/>
    <tableColumn id="7" name="Revêtement"/>
    <tableColumn id="8" name="Date bardage"/>
    <tableColumn id="9" name="Ligne"/>
    <tableColumn id="10" name="NJ amont"/>
    <tableColumn id="11" name="NJ aval"/>
    <tableColumn id="12" name="PK"/>
    <tableColumn id="13" name="Statut tube"/>
    <tableColumn id="14" name="Observations"/>
  </tableColumns>
</table>
</file>

<file path=xl/tables/table2.xml><?xml version="1.0" encoding="utf-8"?>
<table xmlns="http://schemas.openxmlformats.org/spreadsheetml/2006/main" id="2" name="Carnet" displayName="Carnet" ref="A6:AR1506" headerRowCount="1" totalsRowCount="0" totalsRowShown="0">
  <autoFilter ref="A6:AR1506"/>
  <tableColumns count="44">
    <tableColumn id="1" name="N°"/>
    <tableColumn id="2" name="Ligne"/>
    <tableColumn id="3" name="Tronçon"/>
    <tableColumn id="4" name="PK"/>
    <tableColumn id="5" name="N° Joint"/>
    <tableColumn id="6" name="Zone"/>
    <tableColumn id="7" name="Ø"/>
    <tableColumn id="8" name="Ép. (mm)"/>
    <tableColumn id="9" name="Nuance"/>
    <tableColumn id="10" name="WPS"/>
    <tableColumn id="11" name="Tube 1"/>
    <tableColumn id="12" name="Coulée 1"/>
    <tableColumn id="13" name="Tube 2"/>
    <tableColumn id="14" name="Coulée 2"/>
    <tableColumn id="15" name="WR 1ère passe"/>
    <tableColumn id="16" name="WR 2ème passe"/>
    <tableColumn id="17" name="WR B+F"/>
    <tableColumn id="18" name="Date soudage"/>
    <tableColumn id="19" name="VT Date"/>
    <tableColumn id="20" name="VT PV N°"/>
    <tableColumn id="21" name="VT Rés."/>
    <tableColumn id="22" name="RT1 Date"/>
    <tableColumn id="23" name="RT1 PV N°"/>
    <tableColumn id="24" name="RT1 Rés."/>
    <tableColumn id="25" name="R1 WR"/>
    <tableColumn id="26" name="R1 VT Rés."/>
    <tableColumn id="27" name="R1 RT Date"/>
    <tableColumn id="28" name="R1 RT PV N°"/>
    <tableColumn id="29" name="R1 RT Rés."/>
    <tableColumn id="30" name="R2 WR"/>
    <tableColumn id="31" name="R2 VT Rés."/>
    <tableColumn id="32" name="R2 RT Date"/>
    <tableColumn id="33" name="R2 RT PV N°"/>
    <tableColumn id="34" name="R2 RT Rés."/>
    <tableColumn id="35" name="RT programmé le"/>
    <tableColumn id="36" name="Remarques"/>
    <tableColumn id="37" name="Nb RT"/>
    <tableColumn id="38" name="Dernier RT"/>
    <tableColumn id="39" name="STATUT"/>
    <tableColumn id="40" name="Attente (j)"/>
    <tableColumn id="41" name="hRT"/>
    <tableColumn id="42" name="hRTn"/>
    <tableColumn id="43" name="hREP"/>
    <tableColumn id="44" name="hREPn"/>
  </tableColumns>
</table>
</file>

<file path=xl/tables/table3.xml><?xml version="1.0" encoding="utf-8"?>
<table xmlns="http://schemas.openxmlformats.org/spreadsheetml/2006/main" id="3" name="Enrobage" displayName="Enrobage" ref="A6:O1506" headerRowCount="1" totalsRowCount="0" totalsRowShown="0">
  <autoFilter ref="A6:O1506"/>
  <tableColumns count="15">
    <tableColumn id="1" name="N°"/>
    <tableColumn id="2" name="Ligne"/>
    <tableColumn id="3" name="NJ"/>
    <tableColumn id="4" name="PK"/>
    <tableColumn id="5" name="Date soudage"/>
    <tableColumn id="6" name="Dernier RT"/>
    <tableColumn id="7" name="Statut joint"/>
    <tableColumn id="8" name="Prêt à enrober"/>
    <tableColumn id="9" name="Date enrobage"/>
    <tableColumn id="10" name="Type de revêtement"/>
    <tableColumn id="11" name="Équipe / Opérateur"/>
    <tableColumn id="12" name="Holiday test (A/R)"/>
    <tableColumn id="13" name="N° PV"/>
    <tableColumn id="14" name="Statut enrobage"/>
    <tableColumn id="15" name="Observation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<Relationship Id="rId3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6.vml"/>
</Relationships>
</file>

<file path=xl/worksheets/_rels/sheet10.xml.rels><?xml version="1.0" encoding="UTF-8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B2:O7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13" min="3" style="0" width="13.5"/>
    <col collapsed="false" customWidth="true" hidden="true" outlineLevel="0" max="15" min="15" style="0" width="13"/>
  </cols>
  <sheetData>
    <row r="2" customFormat="false" ht="39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false" outlineLevel="0" collapsed="false">
      <c r="B3" s="2" t="str">
        <f aca="true">PARAMÈTRES!$C$4&amp;"   •   Affaire N° "&amp;PARAMÈTRES!$C$5&amp;"   •   Mis à jour le "&amp;TEXT(TODAY(),"dd/mm/yyyy")</f>
        <v>Extension du réseau de collecte de GTFT (11 nouveaux puits)   •   Affaire N° 8546   •   Mis à jour le 28/09/2026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customFormat="false" ht="15" hidden="false" customHeight="true" outlineLevel="0" collapsed="false">
      <c r="B5" s="3" t="s">
        <v>1</v>
      </c>
      <c r="C5" s="4" t="s">
        <v>2</v>
      </c>
      <c r="D5" s="4"/>
      <c r="E5" s="5" t="s">
        <v>3</v>
      </c>
      <c r="F5" s="5"/>
      <c r="G5" s="5"/>
      <c r="H5" s="5"/>
      <c r="I5" s="5"/>
      <c r="J5" s="5"/>
      <c r="O5" s="0" t="str">
        <f aca="false">IF(C5="TOUTES","*",C5)</f>
        <v>*</v>
      </c>
    </row>
    <row r="7" customFormat="false" ht="21.75" hidden="false" customHeight="true" outlineLevel="0" collapsed="false">
      <c r="B7" s="6" t="s">
        <v>4</v>
      </c>
      <c r="C7" s="6"/>
      <c r="D7" s="7" t="s">
        <v>5</v>
      </c>
      <c r="E7" s="7"/>
      <c r="F7" s="8" t="s">
        <v>6</v>
      </c>
      <c r="G7" s="8"/>
      <c r="H7" s="9" t="s">
        <v>7</v>
      </c>
      <c r="I7" s="9"/>
      <c r="J7" s="10" t="s">
        <v>8</v>
      </c>
      <c r="K7" s="10"/>
      <c r="L7" s="11" t="s">
        <v>9</v>
      </c>
      <c r="M7" s="11"/>
    </row>
    <row r="8" customFormat="false" ht="21.75" hidden="false" customHeight="true" outlineLevel="0" collapsed="false">
      <c r="B8" s="12" t="n">
        <f aca="false">COUNTIFS('CARNET DE SOUDURE'!$B$7:$B$1506,$O$5,'CARNET DE SOUDURE'!$R$7:$R$1506,"&lt;&gt;")</f>
        <v>197</v>
      </c>
      <c r="C8" s="12"/>
      <c r="D8" s="13" t="n">
        <f aca="false">IFERROR(COUNTIFS('CARNET DE SOUDURE'!$B$7:$B$1506,$O$5,'CARNET DE SOUDURE'!$R$7:$R$1506,"&lt;&gt;")/IF($C$5="TOUTES",SUM(PARAMÈTRES!$E$12:$E$19),SUMIF(PARAMÈTRES!$B$12:$B$19,$C$5,PARAMÈTRES!$E$12:$E$19)),0)</f>
        <v>0.245024875621891</v>
      </c>
      <c r="E8" s="13"/>
      <c r="F8" s="14" t="n">
        <f aca="false">COUNTIFS('CARNET DE SOUDURE'!$B$7:$B$1506,$O$5,'CARNET DE SOUDURE'!$X$7:$X$1506,"&lt;&gt;")</f>
        <v>188</v>
      </c>
      <c r="G8" s="14"/>
      <c r="H8" s="15" t="n">
        <f aca="false">COUNTIFS('CARNET DE SOUDURE'!$B$7:$B$1506,$O$5,'CARNET DE SOUDURE'!$AM$7:$AM$1506,"ACCEPTÉ")</f>
        <v>188</v>
      </c>
      <c r="I8" s="15"/>
      <c r="J8" s="16" t="n">
        <f aca="false">COUNTIFS('CARNET DE SOUDURE'!$B$7:$B$1506,$O$5,'CARNET DE SOUDURE'!$AM$7:$AM$1506,"À RADIOGRAPHIER")+COUNTIFS('CARNET DE SOUDURE'!$B$7:$B$1506,$O$5,'CARNET DE SOUDURE'!$AM$7:$AM$1506,"RÉPARÉ – À RADIOGRAPHIER")+COUNTIFS('CARNET DE SOUDURE'!$B$7:$B$1506,$O$5,'CARNET DE SOUDURE'!$AM$7:$AM$1506,"NX – RT À REFAIRE")</f>
        <v>9</v>
      </c>
      <c r="K8" s="16"/>
      <c r="L8" s="17" t="n">
        <f aca="false">IFERROR((COUNTIFS('CARNET DE SOUDURE'!$B$7:$B$1506,$O$5,'CARNET DE SOUDURE'!$X$7:$X$1506,"R")+COUNTIFS('CARNET DE SOUDURE'!$B$7:$B$1506,$O$5,'CARNET DE SOUDURE'!$X$7:$X$1506,"NT")+COUNTIFS('CARNET DE SOUDURE'!$B$7:$B$1506,$O$5,'CARNET DE SOUDURE'!$X$7:$X$1506,"CO"))/(COUNTIFS('CARNET DE SOUDURE'!$B$7:$B$1506,$O$5,'CARNET DE SOUDURE'!$X$7:$X$1506,"A")+(COUNTIFS('CARNET DE SOUDURE'!$B$7:$B$1506,$O$5,'CARNET DE SOUDURE'!$X$7:$X$1506,"R")+COUNTIFS('CARNET DE SOUDURE'!$B$7:$B$1506,$O$5,'CARNET DE SOUDURE'!$X$7:$X$1506,"NT")+COUNTIFS('CARNET DE SOUDURE'!$B$7:$B$1506,$O$5,'CARNET DE SOUDURE'!$X$7:$X$1506,"CO"))),0)</f>
        <v>0.0106951871657754</v>
      </c>
      <c r="M8" s="17"/>
    </row>
    <row r="9" customFormat="false" ht="21.75" hidden="false" customHeight="true" outlineLevel="0" collapsed="false">
      <c r="B9" s="12"/>
      <c r="C9" s="12"/>
      <c r="D9" s="13"/>
      <c r="E9" s="13"/>
      <c r="F9" s="14"/>
      <c r="G9" s="14"/>
      <c r="H9" s="15"/>
      <c r="I9" s="15"/>
      <c r="J9" s="16"/>
      <c r="K9" s="16"/>
      <c r="L9" s="17"/>
      <c r="M9" s="17"/>
    </row>
    <row r="10" customFormat="false" ht="15" hidden="false" customHeight="false" outlineLevel="0" collapsed="false">
      <c r="B10" s="18" t="str">
        <f aca="false">"sur "&amp;TEXT(IF($C$5="TOUTES",SUM(PARAMÈTRES!$E$12:$E$19),SUMIF(PARAMÈTRES!$B$12:$B$19,$C$5,PARAMÈTRES!$E$12:$E$19)),"#,##0")&amp;" estimés"</f>
        <v>sur 804 estimés</v>
      </c>
      <c r="C10" s="18"/>
      <c r="D10" s="19" t="str">
        <f aca="false">"Reste : "&amp;TEXT(MAX(0,IF($C$5="TOUTES",SUM(PARAMÈTRES!$E$12:$E$19),SUMIF(PARAMÈTRES!$B$12:$B$19,$C$5,PARAMÈTRES!$E$12:$E$19))-COUNTIFS('CARNET DE SOUDURE'!$B$7:$B$1506,$O$5,'CARNET DE SOUDURE'!$R$7:$R$1506,"&lt;&gt;")),"#,##0")&amp;" joints"</f>
        <v>Reste : 607 joints</v>
      </c>
      <c r="E10" s="19"/>
      <c r="F10" s="20" t="str">
        <f aca="false">TEXT(IFERROR(COUNTIFS('CARNET DE SOUDURE'!$B$7:$B$1506,$O$5,'CARNET DE SOUDURE'!$X$7:$X$1506,"&lt;&gt;")/COUNTIFS('CARNET DE SOUDURE'!$B$7:$B$1506,$O$5,'CARNET DE SOUDURE'!$R$7:$R$1506,"&lt;&gt;"),0),"0.0%")&amp;" des joints soudés"</f>
        <v>95.4% des joints soudés</v>
      </c>
      <c r="G10" s="20"/>
      <c r="H10" s="21" t="str">
        <f aca="false">TEXT(IFERROR(COUNTIFS('CARNET DE SOUDURE'!$B$7:$B$1506,$O$5,'CARNET DE SOUDURE'!$AM$7:$AM$1506,"ACCEPTÉ")/COUNTIFS('CARNET DE SOUDURE'!$B$7:$B$1506,$O$5,'CARNET DE SOUDURE'!$R$7:$R$1506,"&lt;&gt;"),0),"0.0%")&amp;" des joints soudés"</f>
        <v>95.4% des joints soudés</v>
      </c>
      <c r="I10" s="21"/>
      <c r="J10" s="22" t="str">
        <f aca="false">"voir PROGRAMME RT"</f>
        <v>voir PROGRAMME RT</v>
      </c>
      <c r="K10" s="22"/>
      <c r="L10" s="23" t="str">
        <f aca="false">TEXT((COUNTIFS('CARNET DE SOUDURE'!$B$7:$B$1506,$O$5,'CARNET DE SOUDURE'!$X$7:$X$1506,"R")+COUNTIFS('CARNET DE SOUDURE'!$B$7:$B$1506,$O$5,'CARNET DE SOUDURE'!$X$7:$X$1506,"NT")+COUNTIFS('CARNET DE SOUDURE'!$B$7:$B$1506,$O$5,'CARNET DE SOUDURE'!$X$7:$X$1506,"CO")),"0")&amp;" rejet(s) au RT-01"</f>
        <v>2 rejet(s) au RT-01</v>
      </c>
      <c r="M10" s="23"/>
    </row>
    <row r="12" customFormat="false" ht="15" hidden="false" customHeight="true" outlineLevel="0" collapsed="false">
      <c r="B12" s="24" t="s">
        <v>10</v>
      </c>
      <c r="C12" s="24"/>
      <c r="D12" s="25" t="s">
        <v>11</v>
      </c>
      <c r="E12" s="25"/>
      <c r="F12" s="26" t="s">
        <v>12</v>
      </c>
      <c r="G12" s="26"/>
      <c r="H12" s="27" t="s">
        <v>13</v>
      </c>
      <c r="I12" s="27"/>
      <c r="J12" s="28" t="s">
        <v>14</v>
      </c>
      <c r="K12" s="28"/>
      <c r="L12" s="29" t="s">
        <v>15</v>
      </c>
      <c r="M12" s="29"/>
    </row>
    <row r="13" customFormat="false" ht="30" hidden="false" customHeight="true" outlineLevel="0" collapsed="false">
      <c r="B13" s="30" t="n">
        <f aca="false">COUNTIFS('CARNET DE SOUDURE'!$B$7:$B$1506,$O$5,'CARNET DE SOUDURE'!$AM$7:$AM$1506,"À RÉPARER")</f>
        <v>0</v>
      </c>
      <c r="C13" s="30"/>
      <c r="D13" s="31" t="n">
        <f aca="false">COUNTIFS('CARNET DE SOUDURE'!$B$7:$B$1506,$O$5,'CARNET DE SOUDURE'!$AM$7:$AM$1506,"COUPE – À RESOUDER")</f>
        <v>0</v>
      </c>
      <c r="E13" s="31"/>
      <c r="F13" s="32" t="n">
        <f aca="false">COUNTIFS('CARNET DE SOUDURE'!$B$7:$B$1506,$O$5,'CARNET DE SOUDURE'!$AM$7:$AM$1506,"NX – RT À REFAIRE")</f>
        <v>0</v>
      </c>
      <c r="G13" s="32"/>
      <c r="H13" s="33" t="n">
        <f aca="false">COUNTIFS('CARNET DE SOUDURE'!$B$7:$B$1506,$O$5,'CARNET DE SOUDURE'!$AM$7:$AM$1506,"RÉPARÉ – À RADIOGRAPHIER")</f>
        <v>0</v>
      </c>
      <c r="I13" s="33"/>
      <c r="J13" s="34" t="n">
        <f aca="false">COUNTIFS('CARNET DE SOUDURE'!$B$7:$B$1506,$O$5,'CARNET DE SOUDURE'!$AM$7:$AM$1506,"VT EN ATTENTE")+COUNTIFS('CARNET DE SOUDURE'!$B$7:$B$1506,$O$5,'CARNET DE SOUDURE'!$AM$7:$AM$1506,"VT REJETÉ – À REPRENDRE")</f>
        <v>0</v>
      </c>
      <c r="K13" s="34"/>
      <c r="L13" s="35" t="n">
        <f aca="false">COUNTIFS('CARNET DE SOUDURE'!$B$7:$B$1506,$O$5,'CARNET DE SOUDURE'!$AM$7:$AM$1506,"À SOUDER")</f>
        <v>608</v>
      </c>
      <c r="M13" s="35"/>
    </row>
    <row r="16" customFormat="false" ht="24" hidden="false" customHeight="true" outlineLevel="0" collapsed="false">
      <c r="B16" s="36" t="s">
        <v>16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</row>
    <row r="17" customFormat="false" ht="30" hidden="false" customHeight="true" outlineLevel="0" collapsed="false">
      <c r="B17" s="37" t="s">
        <v>17</v>
      </c>
      <c r="C17" s="37" t="s">
        <v>18</v>
      </c>
      <c r="D17" s="37" t="s">
        <v>19</v>
      </c>
      <c r="E17" s="37" t="s">
        <v>20</v>
      </c>
      <c r="F17" s="37" t="s">
        <v>21</v>
      </c>
      <c r="G17" s="37" t="s">
        <v>22</v>
      </c>
      <c r="H17" s="37" t="s">
        <v>23</v>
      </c>
      <c r="I17" s="37" t="s">
        <v>24</v>
      </c>
      <c r="J17" s="37" t="s">
        <v>25</v>
      </c>
      <c r="K17" s="37" t="s">
        <v>26</v>
      </c>
      <c r="L17" s="37" t="s">
        <v>27</v>
      </c>
      <c r="M17" s="37" t="s">
        <v>28</v>
      </c>
    </row>
    <row r="18" customFormat="false" ht="15" hidden="false" customHeight="false" outlineLevel="0" collapsed="false">
      <c r="B18" s="38" t="str">
        <f aca="false">IF(PARAMÈTRES!$B$12="","",PARAMÈTRES!$B$12)</f>
        <v>ISB-302</v>
      </c>
      <c r="C18" s="39" t="n">
        <f aca="false">IF($B18="","",N(PARAMÈTRES!$E$12))</f>
        <v>200</v>
      </c>
      <c r="D18" s="39" t="n">
        <f aca="false">IF($B18="","",COUNTIFS('CARNET DE SOUDURE'!$B$7:$B$1506,$B18,'CARNET DE SOUDURE'!$R$7:$R$1506,"&lt;&gt;"))</f>
        <v>0</v>
      </c>
      <c r="E18" s="39" t="n">
        <f aca="false">IF($B18="","",MAX(0,C18-D18))</f>
        <v>200</v>
      </c>
      <c r="F18" s="40" t="n">
        <f aca="false">IF($B18="","",IFERROR(D18/C18,0))</f>
        <v>0</v>
      </c>
      <c r="G18" s="39" t="n">
        <f aca="false">IF($B18="","",COUNTIFS('CARNET DE SOUDURE'!$B$7:$B$1506,$B18,'CARNET DE SOUDURE'!$X$7:$X$1506,"&lt;&gt;"))</f>
        <v>0</v>
      </c>
      <c r="H18" s="40" t="n">
        <f aca="false">IF($B18="","",IFERROR(G18/D18,0))</f>
        <v>0</v>
      </c>
      <c r="I18" s="39" t="n">
        <f aca="false">IF($B18="","",COUNTIFS('CARNET DE SOUDURE'!$B$7:$B$1506,$B18,'CARNET DE SOUDURE'!$AM$7:$AM$1506,"ACCEPTÉ"))</f>
        <v>0</v>
      </c>
      <c r="J18" s="40" t="n">
        <f aca="false">IF($B18="","",IFERROR(I18/D18,0))</f>
        <v>0</v>
      </c>
      <c r="K18" s="39" t="n">
        <f aca="false">IF($B18="","",COUNTIFS('CARNET DE SOUDURE'!$B$7:$B$1506,$B18,'CARNET DE SOUDURE'!$AM$7:$AM$1506,"À RÉPARER")+COUNTIFS('CARNET DE SOUDURE'!$B$7:$B$1506,$B18,'CARNET DE SOUDURE'!$AM$7:$AM$1506,"COUPE – À RESOUDER")+COUNTIFS('CARNET DE SOUDURE'!$B$7:$B$1506,$B18,'CARNET DE SOUDURE'!$AM$7:$AM$1506,"VT REJETÉ – À REPRENDRE"))</f>
        <v>0</v>
      </c>
      <c r="L18" s="40" t="n">
        <f aca="false">IF($B18="","",IFERROR((COUNTIFS('CARNET DE SOUDURE'!$B$7:$B$1506,$B18,'CARNET DE SOUDURE'!$X$7:$X$1506,"R")+COUNTIFS('CARNET DE SOUDURE'!$B$7:$B$1506,$B18,'CARNET DE SOUDURE'!$X$7:$X$1506,"NT")+COUNTIFS('CARNET DE SOUDURE'!$B$7:$B$1506,$B18,'CARNET DE SOUDURE'!$X$7:$X$1506,"CO"))/(COUNTIFS('CARNET DE SOUDURE'!$B$7:$B$1506,$B18,'CARNET DE SOUDURE'!$X$7:$X$1506,"A")+(COUNTIFS('CARNET DE SOUDURE'!$B$7:$B$1506,$B18,'CARNET DE SOUDURE'!$X$7:$X$1506,"R")+COUNTIFS('CARNET DE SOUDURE'!$B$7:$B$1506,$B18,'CARNET DE SOUDURE'!$X$7:$X$1506,"NT")+COUNTIFS('CARNET DE SOUDURE'!$B$7:$B$1506,$B18,'CARNET DE SOUDURE'!$X$7:$X$1506,"CO"))),0))</f>
        <v>0</v>
      </c>
      <c r="M18" s="39" t="n">
        <f aca="false">IF($B18="","",COUNTIFS('CARNET DE SOUDURE'!$B$7:$B$1506,$B18,'CARNET DE SOUDURE'!$AM$7:$AM$1506,"À RADIOGRAPHIER")+COUNTIFS('CARNET DE SOUDURE'!$B$7:$B$1506,$B18,'CARNET DE SOUDURE'!$AM$7:$AM$1506,"RÉPARÉ – À RADIOGRAPHIER")+COUNTIFS('CARNET DE SOUDURE'!$B$7:$B$1506,$B18,'CARNET DE SOUDURE'!$AM$7:$AM$1506,"NX – RT À REFAIRE"))</f>
        <v>0</v>
      </c>
    </row>
    <row r="19" customFormat="false" ht="15" hidden="false" customHeight="false" outlineLevel="0" collapsed="false">
      <c r="B19" s="41" t="str">
        <f aca="false">IF(PARAMÈTRES!$B$13="","",PARAMÈTRES!$B$13)</f>
        <v>ISB-303</v>
      </c>
      <c r="C19" s="42" t="n">
        <f aca="false">IF($B19="","",N(PARAMÈTRES!$E$13))</f>
        <v>200</v>
      </c>
      <c r="D19" s="42" t="n">
        <f aca="false">IF($B19="","",COUNTIFS('CARNET DE SOUDURE'!$B$7:$B$1506,$B19,'CARNET DE SOUDURE'!$R$7:$R$1506,"&lt;&gt;"))</f>
        <v>0</v>
      </c>
      <c r="E19" s="42" t="n">
        <f aca="false">IF($B19="","",MAX(0,C19-D19))</f>
        <v>200</v>
      </c>
      <c r="F19" s="43" t="n">
        <f aca="false">IF($B19="","",IFERROR(D19/C19,0))</f>
        <v>0</v>
      </c>
      <c r="G19" s="42" t="n">
        <f aca="false">IF($B19="","",COUNTIFS('CARNET DE SOUDURE'!$B$7:$B$1506,$B19,'CARNET DE SOUDURE'!$X$7:$X$1506,"&lt;&gt;"))</f>
        <v>0</v>
      </c>
      <c r="H19" s="43" t="n">
        <f aca="false">IF($B19="","",IFERROR(G19/D19,0))</f>
        <v>0</v>
      </c>
      <c r="I19" s="42" t="n">
        <f aca="false">IF($B19="","",COUNTIFS('CARNET DE SOUDURE'!$B$7:$B$1506,$B19,'CARNET DE SOUDURE'!$AM$7:$AM$1506,"ACCEPTÉ"))</f>
        <v>0</v>
      </c>
      <c r="J19" s="43" t="n">
        <f aca="false">IF($B19="","",IFERROR(I19/D19,0))</f>
        <v>0</v>
      </c>
      <c r="K19" s="42" t="n">
        <f aca="false">IF($B19="","",COUNTIFS('CARNET DE SOUDURE'!$B$7:$B$1506,$B19,'CARNET DE SOUDURE'!$AM$7:$AM$1506,"À RÉPARER")+COUNTIFS('CARNET DE SOUDURE'!$B$7:$B$1506,$B19,'CARNET DE SOUDURE'!$AM$7:$AM$1506,"COUPE – À RESOUDER")+COUNTIFS('CARNET DE SOUDURE'!$B$7:$B$1506,$B19,'CARNET DE SOUDURE'!$AM$7:$AM$1506,"VT REJETÉ – À REPRENDRE"))</f>
        <v>0</v>
      </c>
      <c r="L19" s="43" t="n">
        <f aca="false">IF($B19="","",IFERROR((COUNTIFS('CARNET DE SOUDURE'!$B$7:$B$1506,$B19,'CARNET DE SOUDURE'!$X$7:$X$1506,"R")+COUNTIFS('CARNET DE SOUDURE'!$B$7:$B$1506,$B19,'CARNET DE SOUDURE'!$X$7:$X$1506,"NT")+COUNTIFS('CARNET DE SOUDURE'!$B$7:$B$1506,$B19,'CARNET DE SOUDURE'!$X$7:$X$1506,"CO"))/(COUNTIFS('CARNET DE SOUDURE'!$B$7:$B$1506,$B19,'CARNET DE SOUDURE'!$X$7:$X$1506,"A")+(COUNTIFS('CARNET DE SOUDURE'!$B$7:$B$1506,$B19,'CARNET DE SOUDURE'!$X$7:$X$1506,"R")+COUNTIFS('CARNET DE SOUDURE'!$B$7:$B$1506,$B19,'CARNET DE SOUDURE'!$X$7:$X$1506,"NT")+COUNTIFS('CARNET DE SOUDURE'!$B$7:$B$1506,$B19,'CARNET DE SOUDURE'!$X$7:$X$1506,"CO"))),0))</f>
        <v>0</v>
      </c>
      <c r="M19" s="42" t="n">
        <f aca="false">IF($B19="","",COUNTIFS('CARNET DE SOUDURE'!$B$7:$B$1506,$B19,'CARNET DE SOUDURE'!$AM$7:$AM$1506,"À RADIOGRAPHIER")+COUNTIFS('CARNET DE SOUDURE'!$B$7:$B$1506,$B19,'CARNET DE SOUDURE'!$AM$7:$AM$1506,"RÉPARÉ – À RADIOGRAPHIER")+COUNTIFS('CARNET DE SOUDURE'!$B$7:$B$1506,$B19,'CARNET DE SOUDURE'!$AM$7:$AM$1506,"NX – RT À REFAIRE"))</f>
        <v>0</v>
      </c>
    </row>
    <row r="20" customFormat="false" ht="15" hidden="false" customHeight="false" outlineLevel="0" collapsed="false">
      <c r="B20" s="38" t="str">
        <f aca="false">IF(PARAMÈTRES!$B$14="","",PARAMÈTRES!$B$14)</f>
        <v>ISB-304</v>
      </c>
      <c r="C20" s="39" t="n">
        <f aca="false">IF($B20="","",N(PARAMÈTRES!$E$14))</f>
        <v>200</v>
      </c>
      <c r="D20" s="39" t="n">
        <f aca="false">IF($B20="","",COUNTIFS('CARNET DE SOUDURE'!$B$7:$B$1506,$B20,'CARNET DE SOUDURE'!$R$7:$R$1506,"&lt;&gt;"))</f>
        <v>0</v>
      </c>
      <c r="E20" s="39" t="n">
        <f aca="false">IF($B20="","",MAX(0,C20-D20))</f>
        <v>200</v>
      </c>
      <c r="F20" s="40" t="n">
        <f aca="false">IF($B20="","",IFERROR(D20/C20,0))</f>
        <v>0</v>
      </c>
      <c r="G20" s="39" t="n">
        <f aca="false">IF($B20="","",COUNTIFS('CARNET DE SOUDURE'!$B$7:$B$1506,$B20,'CARNET DE SOUDURE'!$X$7:$X$1506,"&lt;&gt;"))</f>
        <v>0</v>
      </c>
      <c r="H20" s="40" t="n">
        <f aca="false">IF($B20="","",IFERROR(G20/D20,0))</f>
        <v>0</v>
      </c>
      <c r="I20" s="39" t="n">
        <f aca="false">IF($B20="","",COUNTIFS('CARNET DE SOUDURE'!$B$7:$B$1506,$B20,'CARNET DE SOUDURE'!$AM$7:$AM$1506,"ACCEPTÉ"))</f>
        <v>0</v>
      </c>
      <c r="J20" s="40" t="n">
        <f aca="false">IF($B20="","",IFERROR(I20/D20,0))</f>
        <v>0</v>
      </c>
      <c r="K20" s="39" t="n">
        <f aca="false">IF($B20="","",COUNTIFS('CARNET DE SOUDURE'!$B$7:$B$1506,$B20,'CARNET DE SOUDURE'!$AM$7:$AM$1506,"À RÉPARER")+COUNTIFS('CARNET DE SOUDURE'!$B$7:$B$1506,$B20,'CARNET DE SOUDURE'!$AM$7:$AM$1506,"COUPE – À RESOUDER")+COUNTIFS('CARNET DE SOUDURE'!$B$7:$B$1506,$B20,'CARNET DE SOUDURE'!$AM$7:$AM$1506,"VT REJETÉ – À REPRENDRE"))</f>
        <v>0</v>
      </c>
      <c r="L20" s="40" t="n">
        <f aca="false">IF($B20="","",IFERROR((COUNTIFS('CARNET DE SOUDURE'!$B$7:$B$1506,$B20,'CARNET DE SOUDURE'!$X$7:$X$1506,"R")+COUNTIFS('CARNET DE SOUDURE'!$B$7:$B$1506,$B20,'CARNET DE SOUDURE'!$X$7:$X$1506,"NT")+COUNTIFS('CARNET DE SOUDURE'!$B$7:$B$1506,$B20,'CARNET DE SOUDURE'!$X$7:$X$1506,"CO"))/(COUNTIFS('CARNET DE SOUDURE'!$B$7:$B$1506,$B20,'CARNET DE SOUDURE'!$X$7:$X$1506,"A")+(COUNTIFS('CARNET DE SOUDURE'!$B$7:$B$1506,$B20,'CARNET DE SOUDURE'!$X$7:$X$1506,"R")+COUNTIFS('CARNET DE SOUDURE'!$B$7:$B$1506,$B20,'CARNET DE SOUDURE'!$X$7:$X$1506,"NT")+COUNTIFS('CARNET DE SOUDURE'!$B$7:$B$1506,$B20,'CARNET DE SOUDURE'!$X$7:$X$1506,"CO"))),0))</f>
        <v>0</v>
      </c>
      <c r="M20" s="39" t="n">
        <f aca="false">IF($B20="","",COUNTIFS('CARNET DE SOUDURE'!$B$7:$B$1506,$B20,'CARNET DE SOUDURE'!$AM$7:$AM$1506,"À RADIOGRAPHIER")+COUNTIFS('CARNET DE SOUDURE'!$B$7:$B$1506,$B20,'CARNET DE SOUDURE'!$AM$7:$AM$1506,"RÉPARÉ – À RADIOGRAPHIER")+COUNTIFS('CARNET DE SOUDURE'!$B$7:$B$1506,$B20,'CARNET DE SOUDURE'!$AM$7:$AM$1506,"NX – RT À REFAIRE"))</f>
        <v>0</v>
      </c>
    </row>
    <row r="21" customFormat="false" ht="15" hidden="false" customHeight="false" outlineLevel="0" collapsed="false">
      <c r="B21" s="41" t="str">
        <f aca="false">IF(PARAMÈTRES!$B$15="","",PARAMÈTRES!$B$15)</f>
        <v>TFT 716 → TL7-MMFW2</v>
      </c>
      <c r="C21" s="42" t="n">
        <f aca="false">IF($B21="","",N(PARAMÈTRES!$E$15))</f>
        <v>204</v>
      </c>
      <c r="D21" s="42" t="n">
        <f aca="false">IF($B21="","",COUNTIFS('CARNET DE SOUDURE'!$B$7:$B$1506,$B21,'CARNET DE SOUDURE'!$R$7:$R$1506,"&lt;&gt;"))</f>
        <v>197</v>
      </c>
      <c r="E21" s="42" t="n">
        <f aca="false">IF($B21="","",MAX(0,C21-D21))</f>
        <v>7</v>
      </c>
      <c r="F21" s="43" t="n">
        <f aca="false">IF($B21="","",IFERROR(D21/C21,0))</f>
        <v>0.965686274509804</v>
      </c>
      <c r="G21" s="42" t="n">
        <f aca="false">IF($B21="","",COUNTIFS('CARNET DE SOUDURE'!$B$7:$B$1506,$B21,'CARNET DE SOUDURE'!$X$7:$X$1506,"&lt;&gt;"))</f>
        <v>188</v>
      </c>
      <c r="H21" s="43" t="n">
        <f aca="false">IF($B21="","",IFERROR(G21/D21,0))</f>
        <v>0.954314720812183</v>
      </c>
      <c r="I21" s="42" t="n">
        <f aca="false">IF($B21="","",COUNTIFS('CARNET DE SOUDURE'!$B$7:$B$1506,$B21,'CARNET DE SOUDURE'!$AM$7:$AM$1506,"ACCEPTÉ"))</f>
        <v>188</v>
      </c>
      <c r="J21" s="43" t="n">
        <f aca="false">IF($B21="","",IFERROR(I21/D21,0))</f>
        <v>0.954314720812183</v>
      </c>
      <c r="K21" s="42" t="n">
        <f aca="false">IF($B21="","",COUNTIFS('CARNET DE SOUDURE'!$B$7:$B$1506,$B21,'CARNET DE SOUDURE'!$AM$7:$AM$1506,"À RÉPARER")+COUNTIFS('CARNET DE SOUDURE'!$B$7:$B$1506,$B21,'CARNET DE SOUDURE'!$AM$7:$AM$1506,"COUPE – À RESOUDER")+COUNTIFS('CARNET DE SOUDURE'!$B$7:$B$1506,$B21,'CARNET DE SOUDURE'!$AM$7:$AM$1506,"VT REJETÉ – À REPRENDRE"))</f>
        <v>0</v>
      </c>
      <c r="L21" s="43" t="n">
        <f aca="false">IF($B21="","",IFERROR((COUNTIFS('CARNET DE SOUDURE'!$B$7:$B$1506,$B21,'CARNET DE SOUDURE'!$X$7:$X$1506,"R")+COUNTIFS('CARNET DE SOUDURE'!$B$7:$B$1506,$B21,'CARNET DE SOUDURE'!$X$7:$X$1506,"NT")+COUNTIFS('CARNET DE SOUDURE'!$B$7:$B$1506,$B21,'CARNET DE SOUDURE'!$X$7:$X$1506,"CO"))/(COUNTIFS('CARNET DE SOUDURE'!$B$7:$B$1506,$B21,'CARNET DE SOUDURE'!$X$7:$X$1506,"A")+(COUNTIFS('CARNET DE SOUDURE'!$B$7:$B$1506,$B21,'CARNET DE SOUDURE'!$X$7:$X$1506,"R")+COUNTIFS('CARNET DE SOUDURE'!$B$7:$B$1506,$B21,'CARNET DE SOUDURE'!$X$7:$X$1506,"NT")+COUNTIFS('CARNET DE SOUDURE'!$B$7:$B$1506,$B21,'CARNET DE SOUDURE'!$X$7:$X$1506,"CO"))),0))</f>
        <v>0.0106951871657754</v>
      </c>
      <c r="M21" s="42" t="n">
        <f aca="false">IF($B21="","",COUNTIFS('CARNET DE SOUDURE'!$B$7:$B$1506,$B21,'CARNET DE SOUDURE'!$AM$7:$AM$1506,"À RADIOGRAPHIER")+COUNTIFS('CARNET DE SOUDURE'!$B$7:$B$1506,$B21,'CARNET DE SOUDURE'!$AM$7:$AM$1506,"RÉPARÉ – À RADIOGRAPHIER")+COUNTIFS('CARNET DE SOUDURE'!$B$7:$B$1506,$B21,'CARNET DE SOUDURE'!$AM$7:$AM$1506,"NX – RT À REFAIRE"))</f>
        <v>9</v>
      </c>
    </row>
    <row r="22" customFormat="false" ht="15" hidden="false" customHeight="false" outlineLevel="0" collapsed="false">
      <c r="B22" s="38" t="str">
        <f aca="false">IF(PARAMÈTRES!$B$16="","",PARAMÈTRES!$B$16)</f>
        <v/>
      </c>
      <c r="C22" s="39" t="str">
        <f aca="false">IF($B22="","",N(PARAMÈTRES!$E$16))</f>
        <v/>
      </c>
      <c r="D22" s="39" t="str">
        <f aca="false">IF($B22="","",COUNTIFS('CARNET DE SOUDURE'!$B$7:$B$1506,$B22,'CARNET DE SOUDURE'!$R$7:$R$1506,"&lt;&gt;"))</f>
        <v/>
      </c>
      <c r="E22" s="39" t="str">
        <f aca="false">IF($B22="","",MAX(0,C22-D22))</f>
        <v/>
      </c>
      <c r="F22" s="40" t="str">
        <f aca="false">IF($B22="","",IFERROR(D22/C22,0))</f>
        <v/>
      </c>
      <c r="G22" s="39" t="str">
        <f aca="false">IF($B22="","",COUNTIFS('CARNET DE SOUDURE'!$B$7:$B$1506,$B22,'CARNET DE SOUDURE'!$X$7:$X$1506,"&lt;&gt;"))</f>
        <v/>
      </c>
      <c r="H22" s="40" t="str">
        <f aca="false">IF($B22="","",IFERROR(G22/D22,0))</f>
        <v/>
      </c>
      <c r="I22" s="39" t="str">
        <f aca="false">IF($B22="","",COUNTIFS('CARNET DE SOUDURE'!$B$7:$B$1506,$B22,'CARNET DE SOUDURE'!$AM$7:$AM$1506,"ACCEPTÉ"))</f>
        <v/>
      </c>
      <c r="J22" s="40" t="str">
        <f aca="false">IF($B22="","",IFERROR(I22/D22,0))</f>
        <v/>
      </c>
      <c r="K22" s="39" t="str">
        <f aca="false">IF($B22="","",COUNTIFS('CARNET DE SOUDURE'!$B$7:$B$1506,$B22,'CARNET DE SOUDURE'!$AM$7:$AM$1506,"À RÉPARER")+COUNTIFS('CARNET DE SOUDURE'!$B$7:$B$1506,$B22,'CARNET DE SOUDURE'!$AM$7:$AM$1506,"COUPE – À RESOUDER")+COUNTIFS('CARNET DE SOUDURE'!$B$7:$B$1506,$B22,'CARNET DE SOUDURE'!$AM$7:$AM$1506,"VT REJETÉ – À REPRENDRE"))</f>
        <v/>
      </c>
      <c r="L22" s="40" t="str">
        <f aca="false">IF($B22="","",IFERROR((COUNTIFS('CARNET DE SOUDURE'!$B$7:$B$1506,$B22,'CARNET DE SOUDURE'!$X$7:$X$1506,"R")+COUNTIFS('CARNET DE SOUDURE'!$B$7:$B$1506,$B22,'CARNET DE SOUDURE'!$X$7:$X$1506,"NT")+COUNTIFS('CARNET DE SOUDURE'!$B$7:$B$1506,$B22,'CARNET DE SOUDURE'!$X$7:$X$1506,"CO"))/(COUNTIFS('CARNET DE SOUDURE'!$B$7:$B$1506,$B22,'CARNET DE SOUDURE'!$X$7:$X$1506,"A")+(COUNTIFS('CARNET DE SOUDURE'!$B$7:$B$1506,$B22,'CARNET DE SOUDURE'!$X$7:$X$1506,"R")+COUNTIFS('CARNET DE SOUDURE'!$B$7:$B$1506,$B22,'CARNET DE SOUDURE'!$X$7:$X$1506,"NT")+COUNTIFS('CARNET DE SOUDURE'!$B$7:$B$1506,$B22,'CARNET DE SOUDURE'!$X$7:$X$1506,"CO"))),0))</f>
        <v/>
      </c>
      <c r="M22" s="39" t="str">
        <f aca="false">IF($B22="","",COUNTIFS('CARNET DE SOUDURE'!$B$7:$B$1506,$B22,'CARNET DE SOUDURE'!$AM$7:$AM$1506,"À RADIOGRAPHIER")+COUNTIFS('CARNET DE SOUDURE'!$B$7:$B$1506,$B22,'CARNET DE SOUDURE'!$AM$7:$AM$1506,"RÉPARÉ – À RADIOGRAPHIER")+COUNTIFS('CARNET DE SOUDURE'!$B$7:$B$1506,$B22,'CARNET DE SOUDURE'!$AM$7:$AM$1506,"NX – RT À REFAIRE"))</f>
        <v/>
      </c>
    </row>
    <row r="23" customFormat="false" ht="15" hidden="false" customHeight="false" outlineLevel="0" collapsed="false">
      <c r="B23" s="41" t="str">
        <f aca="false">IF(PARAMÈTRES!$B$17="","",PARAMÈTRES!$B$17)</f>
        <v/>
      </c>
      <c r="C23" s="42" t="str">
        <f aca="false">IF($B23="","",N(PARAMÈTRES!$E$17))</f>
        <v/>
      </c>
      <c r="D23" s="42" t="str">
        <f aca="false">IF($B23="","",COUNTIFS('CARNET DE SOUDURE'!$B$7:$B$1506,$B23,'CARNET DE SOUDURE'!$R$7:$R$1506,"&lt;&gt;"))</f>
        <v/>
      </c>
      <c r="E23" s="42" t="str">
        <f aca="false">IF($B23="","",MAX(0,C23-D23))</f>
        <v/>
      </c>
      <c r="F23" s="43" t="str">
        <f aca="false">IF($B23="","",IFERROR(D23/C23,0))</f>
        <v/>
      </c>
      <c r="G23" s="42" t="str">
        <f aca="false">IF($B23="","",COUNTIFS('CARNET DE SOUDURE'!$B$7:$B$1506,$B23,'CARNET DE SOUDURE'!$X$7:$X$1506,"&lt;&gt;"))</f>
        <v/>
      </c>
      <c r="H23" s="43" t="str">
        <f aca="false">IF($B23="","",IFERROR(G23/D23,0))</f>
        <v/>
      </c>
      <c r="I23" s="42" t="str">
        <f aca="false">IF($B23="","",COUNTIFS('CARNET DE SOUDURE'!$B$7:$B$1506,$B23,'CARNET DE SOUDURE'!$AM$7:$AM$1506,"ACCEPTÉ"))</f>
        <v/>
      </c>
      <c r="J23" s="43" t="str">
        <f aca="false">IF($B23="","",IFERROR(I23/D23,0))</f>
        <v/>
      </c>
      <c r="K23" s="42" t="str">
        <f aca="false">IF($B23="","",COUNTIFS('CARNET DE SOUDURE'!$B$7:$B$1506,$B23,'CARNET DE SOUDURE'!$AM$7:$AM$1506,"À RÉPARER")+COUNTIFS('CARNET DE SOUDURE'!$B$7:$B$1506,$B23,'CARNET DE SOUDURE'!$AM$7:$AM$1506,"COUPE – À RESOUDER")+COUNTIFS('CARNET DE SOUDURE'!$B$7:$B$1506,$B23,'CARNET DE SOUDURE'!$AM$7:$AM$1506,"VT REJETÉ – À REPRENDRE"))</f>
        <v/>
      </c>
      <c r="L23" s="43" t="str">
        <f aca="false">IF($B23="","",IFERROR((COUNTIFS('CARNET DE SOUDURE'!$B$7:$B$1506,$B23,'CARNET DE SOUDURE'!$X$7:$X$1506,"R")+COUNTIFS('CARNET DE SOUDURE'!$B$7:$B$1506,$B23,'CARNET DE SOUDURE'!$X$7:$X$1506,"NT")+COUNTIFS('CARNET DE SOUDURE'!$B$7:$B$1506,$B23,'CARNET DE SOUDURE'!$X$7:$X$1506,"CO"))/(COUNTIFS('CARNET DE SOUDURE'!$B$7:$B$1506,$B23,'CARNET DE SOUDURE'!$X$7:$X$1506,"A")+(COUNTIFS('CARNET DE SOUDURE'!$B$7:$B$1506,$B23,'CARNET DE SOUDURE'!$X$7:$X$1506,"R")+COUNTIFS('CARNET DE SOUDURE'!$B$7:$B$1506,$B23,'CARNET DE SOUDURE'!$X$7:$X$1506,"NT")+COUNTIFS('CARNET DE SOUDURE'!$B$7:$B$1506,$B23,'CARNET DE SOUDURE'!$X$7:$X$1506,"CO"))),0))</f>
        <v/>
      </c>
      <c r="M23" s="42" t="str">
        <f aca="false">IF($B23="","",COUNTIFS('CARNET DE SOUDURE'!$B$7:$B$1506,$B23,'CARNET DE SOUDURE'!$AM$7:$AM$1506,"À RADIOGRAPHIER")+COUNTIFS('CARNET DE SOUDURE'!$B$7:$B$1506,$B23,'CARNET DE SOUDURE'!$AM$7:$AM$1506,"RÉPARÉ – À RADIOGRAPHIER")+COUNTIFS('CARNET DE SOUDURE'!$B$7:$B$1506,$B23,'CARNET DE SOUDURE'!$AM$7:$AM$1506,"NX – RT À REFAIRE"))</f>
        <v/>
      </c>
    </row>
    <row r="24" customFormat="false" ht="15" hidden="false" customHeight="false" outlineLevel="0" collapsed="false">
      <c r="B24" s="38" t="str">
        <f aca="false">IF(PARAMÈTRES!$B$18="","",PARAMÈTRES!$B$18)</f>
        <v/>
      </c>
      <c r="C24" s="39" t="str">
        <f aca="false">IF($B24="","",N(PARAMÈTRES!$E$18))</f>
        <v/>
      </c>
      <c r="D24" s="39" t="str">
        <f aca="false">IF($B24="","",COUNTIFS('CARNET DE SOUDURE'!$B$7:$B$1506,$B24,'CARNET DE SOUDURE'!$R$7:$R$1506,"&lt;&gt;"))</f>
        <v/>
      </c>
      <c r="E24" s="39" t="str">
        <f aca="false">IF($B24="","",MAX(0,C24-D24))</f>
        <v/>
      </c>
      <c r="F24" s="40" t="str">
        <f aca="false">IF($B24="","",IFERROR(D24/C24,0))</f>
        <v/>
      </c>
      <c r="G24" s="39" t="str">
        <f aca="false">IF($B24="","",COUNTIFS('CARNET DE SOUDURE'!$B$7:$B$1506,$B24,'CARNET DE SOUDURE'!$X$7:$X$1506,"&lt;&gt;"))</f>
        <v/>
      </c>
      <c r="H24" s="40" t="str">
        <f aca="false">IF($B24="","",IFERROR(G24/D24,0))</f>
        <v/>
      </c>
      <c r="I24" s="39" t="str">
        <f aca="false">IF($B24="","",COUNTIFS('CARNET DE SOUDURE'!$B$7:$B$1506,$B24,'CARNET DE SOUDURE'!$AM$7:$AM$1506,"ACCEPTÉ"))</f>
        <v/>
      </c>
      <c r="J24" s="40" t="str">
        <f aca="false">IF($B24="","",IFERROR(I24/D24,0))</f>
        <v/>
      </c>
      <c r="K24" s="39" t="str">
        <f aca="false">IF($B24="","",COUNTIFS('CARNET DE SOUDURE'!$B$7:$B$1506,$B24,'CARNET DE SOUDURE'!$AM$7:$AM$1506,"À RÉPARER")+COUNTIFS('CARNET DE SOUDURE'!$B$7:$B$1506,$B24,'CARNET DE SOUDURE'!$AM$7:$AM$1506,"COUPE – À RESOUDER")+COUNTIFS('CARNET DE SOUDURE'!$B$7:$B$1506,$B24,'CARNET DE SOUDURE'!$AM$7:$AM$1506,"VT REJETÉ – À REPRENDRE"))</f>
        <v/>
      </c>
      <c r="L24" s="40" t="str">
        <f aca="false">IF($B24="","",IFERROR((COUNTIFS('CARNET DE SOUDURE'!$B$7:$B$1506,$B24,'CARNET DE SOUDURE'!$X$7:$X$1506,"R")+COUNTIFS('CARNET DE SOUDURE'!$B$7:$B$1506,$B24,'CARNET DE SOUDURE'!$X$7:$X$1506,"NT")+COUNTIFS('CARNET DE SOUDURE'!$B$7:$B$1506,$B24,'CARNET DE SOUDURE'!$X$7:$X$1506,"CO"))/(COUNTIFS('CARNET DE SOUDURE'!$B$7:$B$1506,$B24,'CARNET DE SOUDURE'!$X$7:$X$1506,"A")+(COUNTIFS('CARNET DE SOUDURE'!$B$7:$B$1506,$B24,'CARNET DE SOUDURE'!$X$7:$X$1506,"R")+COUNTIFS('CARNET DE SOUDURE'!$B$7:$B$1506,$B24,'CARNET DE SOUDURE'!$X$7:$X$1506,"NT")+COUNTIFS('CARNET DE SOUDURE'!$B$7:$B$1506,$B24,'CARNET DE SOUDURE'!$X$7:$X$1506,"CO"))),0))</f>
        <v/>
      </c>
      <c r="M24" s="39" t="str">
        <f aca="false">IF($B24="","",COUNTIFS('CARNET DE SOUDURE'!$B$7:$B$1506,$B24,'CARNET DE SOUDURE'!$AM$7:$AM$1506,"À RADIOGRAPHIER")+COUNTIFS('CARNET DE SOUDURE'!$B$7:$B$1506,$B24,'CARNET DE SOUDURE'!$AM$7:$AM$1506,"RÉPARÉ – À RADIOGRAPHIER")+COUNTIFS('CARNET DE SOUDURE'!$B$7:$B$1506,$B24,'CARNET DE SOUDURE'!$AM$7:$AM$1506,"NX – RT À REFAIRE"))</f>
        <v/>
      </c>
    </row>
    <row r="25" customFormat="false" ht="15" hidden="false" customHeight="false" outlineLevel="0" collapsed="false">
      <c r="B25" s="41" t="str">
        <f aca="false">IF(PARAMÈTRES!$B$19="","",PARAMÈTRES!$B$19)</f>
        <v/>
      </c>
      <c r="C25" s="42" t="str">
        <f aca="false">IF($B25="","",N(PARAMÈTRES!$E$19))</f>
        <v/>
      </c>
      <c r="D25" s="42" t="str">
        <f aca="false">IF($B25="","",COUNTIFS('CARNET DE SOUDURE'!$B$7:$B$1506,$B25,'CARNET DE SOUDURE'!$R$7:$R$1506,"&lt;&gt;"))</f>
        <v/>
      </c>
      <c r="E25" s="42" t="str">
        <f aca="false">IF($B25="","",MAX(0,C25-D25))</f>
        <v/>
      </c>
      <c r="F25" s="43" t="str">
        <f aca="false">IF($B25="","",IFERROR(D25/C25,0))</f>
        <v/>
      </c>
      <c r="G25" s="42" t="str">
        <f aca="false">IF($B25="","",COUNTIFS('CARNET DE SOUDURE'!$B$7:$B$1506,$B25,'CARNET DE SOUDURE'!$X$7:$X$1506,"&lt;&gt;"))</f>
        <v/>
      </c>
      <c r="H25" s="43" t="str">
        <f aca="false">IF($B25="","",IFERROR(G25/D25,0))</f>
        <v/>
      </c>
      <c r="I25" s="42" t="str">
        <f aca="false">IF($B25="","",COUNTIFS('CARNET DE SOUDURE'!$B$7:$B$1506,$B25,'CARNET DE SOUDURE'!$AM$7:$AM$1506,"ACCEPTÉ"))</f>
        <v/>
      </c>
      <c r="J25" s="43" t="str">
        <f aca="false">IF($B25="","",IFERROR(I25/D25,0))</f>
        <v/>
      </c>
      <c r="K25" s="42" t="str">
        <f aca="false">IF($B25="","",COUNTIFS('CARNET DE SOUDURE'!$B$7:$B$1506,$B25,'CARNET DE SOUDURE'!$AM$7:$AM$1506,"À RÉPARER")+COUNTIFS('CARNET DE SOUDURE'!$B$7:$B$1506,$B25,'CARNET DE SOUDURE'!$AM$7:$AM$1506,"COUPE – À RESOUDER")+COUNTIFS('CARNET DE SOUDURE'!$B$7:$B$1506,$B25,'CARNET DE SOUDURE'!$AM$7:$AM$1506,"VT REJETÉ – À REPRENDRE"))</f>
        <v/>
      </c>
      <c r="L25" s="43" t="str">
        <f aca="false">IF($B25="","",IFERROR((COUNTIFS('CARNET DE SOUDURE'!$B$7:$B$1506,$B25,'CARNET DE SOUDURE'!$X$7:$X$1506,"R")+COUNTIFS('CARNET DE SOUDURE'!$B$7:$B$1506,$B25,'CARNET DE SOUDURE'!$X$7:$X$1506,"NT")+COUNTIFS('CARNET DE SOUDURE'!$B$7:$B$1506,$B25,'CARNET DE SOUDURE'!$X$7:$X$1506,"CO"))/(COUNTIFS('CARNET DE SOUDURE'!$B$7:$B$1506,$B25,'CARNET DE SOUDURE'!$X$7:$X$1506,"A")+(COUNTIFS('CARNET DE SOUDURE'!$B$7:$B$1506,$B25,'CARNET DE SOUDURE'!$X$7:$X$1506,"R")+COUNTIFS('CARNET DE SOUDURE'!$B$7:$B$1506,$B25,'CARNET DE SOUDURE'!$X$7:$X$1506,"NT")+COUNTIFS('CARNET DE SOUDURE'!$B$7:$B$1506,$B25,'CARNET DE SOUDURE'!$X$7:$X$1506,"CO"))),0))</f>
        <v/>
      </c>
      <c r="M25" s="42" t="str">
        <f aca="false">IF($B25="","",COUNTIFS('CARNET DE SOUDURE'!$B$7:$B$1506,$B25,'CARNET DE SOUDURE'!$AM$7:$AM$1506,"À RADIOGRAPHIER")+COUNTIFS('CARNET DE SOUDURE'!$B$7:$B$1506,$B25,'CARNET DE SOUDURE'!$AM$7:$AM$1506,"RÉPARÉ – À RADIOGRAPHIER")+COUNTIFS('CARNET DE SOUDURE'!$B$7:$B$1506,$B25,'CARNET DE SOUDURE'!$AM$7:$AM$1506,"NX – RT À REFAIRE"))</f>
        <v/>
      </c>
    </row>
    <row r="26" customFormat="false" ht="15" hidden="false" customHeight="false" outlineLevel="0" collapsed="false">
      <c r="B26" s="44" t="s">
        <v>29</v>
      </c>
      <c r="C26" s="45" t="n">
        <f aca="false">SUM(C18:C25)</f>
        <v>804</v>
      </c>
      <c r="D26" s="45" t="n">
        <f aca="false">SUM(D18:D25)</f>
        <v>197</v>
      </c>
      <c r="E26" s="45" t="n">
        <f aca="false">SUM(E18:E25)</f>
        <v>607</v>
      </c>
      <c r="F26" s="46" t="n">
        <f aca="false">IFERROR(D26/C26,0)</f>
        <v>0.245024875621891</v>
      </c>
      <c r="G26" s="45" t="n">
        <f aca="false">SUM(G18:G25)</f>
        <v>188</v>
      </c>
      <c r="H26" s="46" t="n">
        <f aca="false">IFERROR(G26/D26,0)</f>
        <v>0.954314720812183</v>
      </c>
      <c r="I26" s="45" t="n">
        <f aca="false">SUM(I18:I25)</f>
        <v>188</v>
      </c>
      <c r="J26" s="46" t="n">
        <f aca="false">IFERROR(I26/D26,0)</f>
        <v>0.954314720812183</v>
      </c>
      <c r="K26" s="45" t="n">
        <f aca="false">SUM(K18:K25)</f>
        <v>0</v>
      </c>
      <c r="L26" s="46" t="n">
        <f aca="false">IFERROR((COUNTIF('CARNET DE SOUDURE'!$X$7:$X$1506,"R")+COUNTIF('CARNET DE SOUDURE'!$X$7:$X$1506,"NT")+COUNTIF('CARNET DE SOUDURE'!$X$7:$X$1506,"CO"))/(COUNTIF('CARNET DE SOUDURE'!$X$7:$X$1506,"A")+COUNTIF('CARNET DE SOUDURE'!$X$7:$X$1506,"R")+COUNTIF('CARNET DE SOUDURE'!$X$7:$X$1506,"NT")+COUNTIF('CARNET DE SOUDURE'!$X$7:$X$1506,"CO")),0)</f>
        <v>0.0106951871657754</v>
      </c>
      <c r="M26" s="45" t="n">
        <f aca="false">SUM(M18:M25)</f>
        <v>9</v>
      </c>
    </row>
    <row r="28" customFormat="false" ht="15" hidden="false" customHeight="true" outlineLevel="0" collapsed="false">
      <c r="J28" s="37" t="s">
        <v>30</v>
      </c>
      <c r="K28" s="37"/>
      <c r="L28" s="37" t="s">
        <v>31</v>
      </c>
      <c r="M28" s="37" t="s">
        <v>32</v>
      </c>
    </row>
    <row r="29" customFormat="false" ht="15" hidden="false" customHeight="true" outlineLevel="0" collapsed="false">
      <c r="J29" s="47" t="s">
        <v>33</v>
      </c>
      <c r="K29" s="47"/>
      <c r="L29" s="39" t="n">
        <f aca="false">COUNTIFS('CARNET DE SOUDURE'!$B$7:$B$1506,$O$5,'CARNET DE SOUDURE'!$AM$7:$AM$1506,"ACCEPTÉ")</f>
        <v>188</v>
      </c>
      <c r="M29" s="40" t="n">
        <f aca="false">IFERROR(L29/SUM($L$29:$L$37),0)</f>
        <v>0.233540372670807</v>
      </c>
    </row>
    <row r="30" customFormat="false" ht="15" hidden="false" customHeight="true" outlineLevel="0" collapsed="false">
      <c r="J30" s="48" t="s">
        <v>34</v>
      </c>
      <c r="K30" s="48"/>
      <c r="L30" s="39" t="n">
        <f aca="false">COUNTIFS('CARNET DE SOUDURE'!$B$7:$B$1506,$O$5,'CARNET DE SOUDURE'!$AM$7:$AM$1506,"À RADIOGRAPHIER")</f>
        <v>9</v>
      </c>
      <c r="M30" s="40" t="n">
        <f aca="false">IFERROR(L30/SUM($L$29:$L$37),0)</f>
        <v>0.0111801242236025</v>
      </c>
    </row>
    <row r="31" customFormat="false" ht="15" hidden="false" customHeight="true" outlineLevel="0" collapsed="false">
      <c r="J31" s="48" t="s">
        <v>35</v>
      </c>
      <c r="K31" s="48"/>
      <c r="L31" s="39" t="n">
        <f aca="false">COUNTIFS('CARNET DE SOUDURE'!$B$7:$B$1506,$O$5,'CARNET DE SOUDURE'!$AM$7:$AM$1506,"RÉPARÉ – À RADIOGRAPHIER")</f>
        <v>0</v>
      </c>
      <c r="M31" s="40" t="n">
        <f aca="false">IFERROR(L31/SUM($L$29:$L$37),0)</f>
        <v>0</v>
      </c>
    </row>
    <row r="32" customFormat="false" ht="15" hidden="false" customHeight="true" outlineLevel="0" collapsed="false">
      <c r="J32" s="49" t="s">
        <v>12</v>
      </c>
      <c r="K32" s="49"/>
      <c r="L32" s="39" t="n">
        <f aca="false">COUNTIFS('CARNET DE SOUDURE'!$B$7:$B$1506,$O$5,'CARNET DE SOUDURE'!$AM$7:$AM$1506,"NX – RT À REFAIRE")</f>
        <v>0</v>
      </c>
      <c r="M32" s="40" t="n">
        <f aca="false">IFERROR(L32/SUM($L$29:$L$37),0)</f>
        <v>0</v>
      </c>
    </row>
    <row r="33" customFormat="false" ht="15" hidden="false" customHeight="true" outlineLevel="0" collapsed="false">
      <c r="J33" s="50" t="s">
        <v>36</v>
      </c>
      <c r="K33" s="50"/>
      <c r="L33" s="39" t="n">
        <f aca="false">COUNTIFS('CARNET DE SOUDURE'!$B$7:$B$1506,$O$5,'CARNET DE SOUDURE'!$AM$7:$AM$1506,"À RÉPARER")</f>
        <v>0</v>
      </c>
      <c r="M33" s="40" t="n">
        <f aca="false">IFERROR(L33/SUM($L$29:$L$37),0)</f>
        <v>0</v>
      </c>
    </row>
    <row r="34" customFormat="false" ht="15" hidden="false" customHeight="true" outlineLevel="0" collapsed="false">
      <c r="J34" s="51" t="s">
        <v>37</v>
      </c>
      <c r="K34" s="51"/>
      <c r="L34" s="39" t="n">
        <f aca="false">COUNTIFS('CARNET DE SOUDURE'!$B$7:$B$1506,$O$5,'CARNET DE SOUDURE'!$AM$7:$AM$1506,"COUPE – À RESOUDER")</f>
        <v>0</v>
      </c>
      <c r="M34" s="40" t="n">
        <f aca="false">IFERROR(L34/SUM($L$29:$L$37),0)</f>
        <v>0</v>
      </c>
    </row>
    <row r="35" customFormat="false" ht="15" hidden="false" customHeight="true" outlineLevel="0" collapsed="false">
      <c r="J35" s="50" t="s">
        <v>38</v>
      </c>
      <c r="K35" s="50"/>
      <c r="L35" s="39" t="n">
        <f aca="false">COUNTIFS('CARNET DE SOUDURE'!$B$7:$B$1506,$O$5,'CARNET DE SOUDURE'!$AM$7:$AM$1506,"VT REJETÉ – À REPRENDRE")</f>
        <v>0</v>
      </c>
      <c r="M35" s="40" t="n">
        <f aca="false">IFERROR(L35/SUM($L$29:$L$37),0)</f>
        <v>0</v>
      </c>
    </row>
    <row r="36" customFormat="false" ht="15" hidden="false" customHeight="true" outlineLevel="0" collapsed="false">
      <c r="J36" s="52" t="s">
        <v>39</v>
      </c>
      <c r="K36" s="52"/>
      <c r="L36" s="39" t="n">
        <f aca="false">COUNTIFS('CARNET DE SOUDURE'!$B$7:$B$1506,$O$5,'CARNET DE SOUDURE'!$AM$7:$AM$1506,"VT EN ATTENTE")</f>
        <v>0</v>
      </c>
      <c r="M36" s="40" t="n">
        <f aca="false">IFERROR(L36/SUM($L$29:$L$37),0)</f>
        <v>0</v>
      </c>
    </row>
    <row r="37" customFormat="false" ht="15" hidden="false" customHeight="true" outlineLevel="0" collapsed="false">
      <c r="J37" s="53" t="s">
        <v>40</v>
      </c>
      <c r="K37" s="53"/>
      <c r="L37" s="39" t="n">
        <f aca="false">COUNTIFS('CARNET DE SOUDURE'!$B$7:$B$1506,$O$5,'CARNET DE SOUDURE'!$AM$7:$AM$1506,"À SOUDER")</f>
        <v>608</v>
      </c>
      <c r="M37" s="40" t="n">
        <f aca="false">IFERROR(L37/SUM($L$29:$L$37),0)</f>
        <v>0.75527950310559</v>
      </c>
    </row>
    <row r="55" customFormat="false" ht="24" hidden="false" customHeight="true" outlineLevel="0" collapsed="false">
      <c r="B55" s="36" t="s">
        <v>41</v>
      </c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</row>
    <row r="56" customFormat="false" ht="15" hidden="false" customHeight="true" outlineLevel="0" collapsed="false">
      <c r="B56" s="54" t="s">
        <v>42</v>
      </c>
      <c r="C56" s="54" t="s">
        <v>43</v>
      </c>
      <c r="D56" s="54"/>
      <c r="E56" s="54" t="s">
        <v>19</v>
      </c>
      <c r="F56" s="54" t="s">
        <v>22</v>
      </c>
      <c r="G56" s="54" t="s">
        <v>44</v>
      </c>
      <c r="H56" s="54" t="s">
        <v>27</v>
      </c>
      <c r="I56" s="54" t="s">
        <v>45</v>
      </c>
    </row>
    <row r="57" customFormat="false" ht="15" hidden="false" customHeight="false" outlineLevel="0" collapsed="false">
      <c r="B57" s="55" t="str">
        <f aca="false">SOUDEURS!B6</f>
        <v>WR-01</v>
      </c>
      <c r="C57" s="56" t="str">
        <f aca="false">IF(SOUDEURS!C6="","",SOUDEURS!C6)</f>
        <v>BRAHIMI Boumediene</v>
      </c>
      <c r="D57" s="56"/>
      <c r="E57" s="57" t="n">
        <f aca="false">SOUDEURS!F6</f>
        <v>0</v>
      </c>
      <c r="F57" s="57" t="n">
        <f aca="false">SOUDEURS!G6</f>
        <v>0</v>
      </c>
      <c r="G57" s="57" t="n">
        <f aca="false">SOUDEURS!H6</f>
        <v>0</v>
      </c>
      <c r="H57" s="58" t="n">
        <f aca="false">SOUDEURS!I6</f>
        <v>0</v>
      </c>
      <c r="I57" s="59" t="str">
        <f aca="false">SOUDEURS!K6</f>
        <v>—</v>
      </c>
    </row>
    <row r="58" customFormat="false" ht="15" hidden="false" customHeight="false" outlineLevel="0" collapsed="false">
      <c r="B58" s="55" t="str">
        <f aca="false">SOUDEURS!B7</f>
        <v>WR-02</v>
      </c>
      <c r="C58" s="56" t="str">
        <f aca="false">IF(SOUDEURS!C7="","",SOUDEURS!C7)</f>
        <v>MEHANGUEF Med Amine</v>
      </c>
      <c r="D58" s="56"/>
      <c r="E58" s="57" t="n">
        <f aca="false">SOUDEURS!F7</f>
        <v>86</v>
      </c>
      <c r="F58" s="57" t="n">
        <f aca="false">SOUDEURS!G7</f>
        <v>80</v>
      </c>
      <c r="G58" s="57" t="n">
        <f aca="false">SOUDEURS!H7</f>
        <v>1</v>
      </c>
      <c r="H58" s="58" t="n">
        <f aca="false">SOUDEURS!I7</f>
        <v>0.0125</v>
      </c>
      <c r="I58" s="59" t="str">
        <f aca="false">SOUDEURS!K7</f>
        <v>Excellent</v>
      </c>
    </row>
    <row r="59" customFormat="false" ht="15" hidden="false" customHeight="false" outlineLevel="0" collapsed="false">
      <c r="B59" s="55" t="str">
        <f aca="false">SOUDEURS!B8</f>
        <v>WR-03</v>
      </c>
      <c r="C59" s="56" t="str">
        <f aca="false">IF(SOUDEURS!C8="","",SOUDEURS!C8)</f>
        <v>BEN KREDDA Mohammed Amine</v>
      </c>
      <c r="D59" s="56"/>
      <c r="E59" s="57" t="n">
        <f aca="false">SOUDEURS!F8</f>
        <v>0</v>
      </c>
      <c r="F59" s="57" t="n">
        <f aca="false">SOUDEURS!G8</f>
        <v>0</v>
      </c>
      <c r="G59" s="57" t="n">
        <f aca="false">SOUDEURS!H8</f>
        <v>0</v>
      </c>
      <c r="H59" s="58" t="n">
        <f aca="false">SOUDEURS!I8</f>
        <v>0</v>
      </c>
      <c r="I59" s="59" t="str">
        <f aca="false">SOUDEURS!K8</f>
        <v>—</v>
      </c>
    </row>
    <row r="60" customFormat="false" ht="15" hidden="false" customHeight="false" outlineLevel="0" collapsed="false">
      <c r="B60" s="55" t="str">
        <f aca="false">SOUDEURS!B9</f>
        <v>WR-04</v>
      </c>
      <c r="C60" s="56" t="str">
        <f aca="false">IF(SOUDEURS!C9="","",SOUDEURS!C9)</f>
        <v>DEHKEL Ammar</v>
      </c>
      <c r="D60" s="56"/>
      <c r="E60" s="57" t="n">
        <f aca="false">SOUDEURS!F9</f>
        <v>0</v>
      </c>
      <c r="F60" s="57" t="n">
        <f aca="false">SOUDEURS!G9</f>
        <v>0</v>
      </c>
      <c r="G60" s="57" t="n">
        <f aca="false">SOUDEURS!H9</f>
        <v>0</v>
      </c>
      <c r="H60" s="58" t="n">
        <f aca="false">SOUDEURS!I9</f>
        <v>0</v>
      </c>
      <c r="I60" s="59" t="str">
        <f aca="false">SOUDEURS!K9</f>
        <v>—</v>
      </c>
    </row>
    <row r="61" customFormat="false" ht="15" hidden="false" customHeight="false" outlineLevel="0" collapsed="false">
      <c r="B61" s="55" t="str">
        <f aca="false">SOUDEURS!B10</f>
        <v>WR-05</v>
      </c>
      <c r="C61" s="56" t="str">
        <f aca="false">IF(SOUDEURS!C10="","",SOUDEURS!C10)</f>
        <v>KHOCHNI Sofiane</v>
      </c>
      <c r="D61" s="56"/>
      <c r="E61" s="57" t="n">
        <f aca="false">SOUDEURS!F10</f>
        <v>169</v>
      </c>
      <c r="F61" s="57" t="n">
        <f aca="false">SOUDEURS!G10</f>
        <v>168</v>
      </c>
      <c r="G61" s="57" t="n">
        <f aca="false">SOUDEURS!H10</f>
        <v>2</v>
      </c>
      <c r="H61" s="58" t="n">
        <f aca="false">SOUDEURS!I10</f>
        <v>0.0119047619047619</v>
      </c>
      <c r="I61" s="59" t="str">
        <f aca="false">SOUDEURS!K10</f>
        <v>Excellent</v>
      </c>
    </row>
    <row r="62" customFormat="false" ht="15" hidden="false" customHeight="false" outlineLevel="0" collapsed="false">
      <c r="B62" s="55" t="str">
        <f aca="false">SOUDEURS!B11</f>
        <v>WR-06</v>
      </c>
      <c r="C62" s="56" t="str">
        <f aca="false">IF(SOUDEURS!C11="","",SOUDEURS!C11)</f>
        <v>ACHOUR Walid</v>
      </c>
      <c r="D62" s="56"/>
      <c r="E62" s="57" t="n">
        <f aca="false">SOUDEURS!F11</f>
        <v>62</v>
      </c>
      <c r="F62" s="57" t="n">
        <f aca="false">SOUDEURS!G11</f>
        <v>61</v>
      </c>
      <c r="G62" s="57" t="n">
        <f aca="false">SOUDEURS!H11</f>
        <v>1</v>
      </c>
      <c r="H62" s="58" t="n">
        <f aca="false">SOUDEURS!I11</f>
        <v>0.0163934426229508</v>
      </c>
      <c r="I62" s="59" t="str">
        <f aca="false">SOUDEURS!K11</f>
        <v>Excellent</v>
      </c>
    </row>
    <row r="63" customFormat="false" ht="15" hidden="false" customHeight="false" outlineLevel="0" collapsed="false">
      <c r="B63" s="55" t="str">
        <f aca="false">SOUDEURS!B12</f>
        <v>WR-07</v>
      </c>
      <c r="C63" s="56" t="str">
        <f aca="false">IF(SOUDEURS!C12="","",SOUDEURS!C12)</f>
        <v/>
      </c>
      <c r="D63" s="56"/>
      <c r="E63" s="57" t="n">
        <f aca="false">SOUDEURS!F12</f>
        <v>0</v>
      </c>
      <c r="F63" s="57" t="n">
        <f aca="false">SOUDEURS!G12</f>
        <v>0</v>
      </c>
      <c r="G63" s="57" t="n">
        <f aca="false">SOUDEURS!H12</f>
        <v>0</v>
      </c>
      <c r="H63" s="58" t="n">
        <f aca="false">SOUDEURS!I12</f>
        <v>0</v>
      </c>
      <c r="I63" s="59" t="str">
        <f aca="false">SOUDEURS!K12</f>
        <v>—</v>
      </c>
    </row>
    <row r="64" customFormat="false" ht="15" hidden="false" customHeight="false" outlineLevel="0" collapsed="false">
      <c r="B64" s="55" t="str">
        <f aca="false">SOUDEURS!B13</f>
        <v>WR-08</v>
      </c>
      <c r="C64" s="56" t="str">
        <f aca="false">IF(SOUDEURS!C13="","",SOUDEURS!C13)</f>
        <v/>
      </c>
      <c r="D64" s="56"/>
      <c r="E64" s="57" t="n">
        <f aca="false">SOUDEURS!F13</f>
        <v>0</v>
      </c>
      <c r="F64" s="57" t="n">
        <f aca="false">SOUDEURS!G13</f>
        <v>0</v>
      </c>
      <c r="G64" s="57" t="n">
        <f aca="false">SOUDEURS!H13</f>
        <v>0</v>
      </c>
      <c r="H64" s="58" t="n">
        <f aca="false">SOUDEURS!I13</f>
        <v>0</v>
      </c>
      <c r="I64" s="59" t="str">
        <f aca="false">SOUDEURS!K13</f>
        <v>—</v>
      </c>
    </row>
    <row r="65" customFormat="false" ht="15" hidden="false" customHeight="false" outlineLevel="0" collapsed="false">
      <c r="B65" s="55" t="str">
        <f aca="false">SOUDEURS!B14</f>
        <v>WR-09</v>
      </c>
      <c r="C65" s="56" t="str">
        <f aca="false">IF(SOUDEURS!C14="","",SOUDEURS!C14)</f>
        <v>LALA Lazhar</v>
      </c>
      <c r="D65" s="56"/>
      <c r="E65" s="57" t="n">
        <f aca="false">SOUDEURS!F14</f>
        <v>14</v>
      </c>
      <c r="F65" s="57" t="n">
        <f aca="false">SOUDEURS!G14</f>
        <v>10</v>
      </c>
      <c r="G65" s="57" t="n">
        <f aca="false">SOUDEURS!H14</f>
        <v>0</v>
      </c>
      <c r="H65" s="58" t="n">
        <f aca="false">SOUDEURS!I14</f>
        <v>0</v>
      </c>
      <c r="I65" s="59" t="str">
        <f aca="false">SOUDEURS!K14</f>
        <v>Excellent</v>
      </c>
    </row>
    <row r="66" customFormat="false" ht="15" hidden="false" customHeight="false" outlineLevel="0" collapsed="false">
      <c r="B66" s="55" t="str">
        <f aca="false">SOUDEURS!B15</f>
        <v>WR-10</v>
      </c>
      <c r="C66" s="56" t="str">
        <f aca="false">IF(SOUDEURS!C15="","",SOUDEURS!C15)</f>
        <v>BOUTAIBA Nour Eddine</v>
      </c>
      <c r="D66" s="56"/>
      <c r="E66" s="57" t="n">
        <f aca="false">SOUDEURS!F15</f>
        <v>39</v>
      </c>
      <c r="F66" s="57" t="n">
        <f aca="false">SOUDEURS!G15</f>
        <v>39</v>
      </c>
      <c r="G66" s="57" t="n">
        <f aca="false">SOUDEURS!H15</f>
        <v>0</v>
      </c>
      <c r="H66" s="58" t="n">
        <f aca="false">SOUDEURS!I15</f>
        <v>0</v>
      </c>
      <c r="I66" s="59" t="str">
        <f aca="false">SOUDEURS!K15</f>
        <v>Excellent</v>
      </c>
    </row>
    <row r="67" customFormat="false" ht="15" hidden="false" customHeight="false" outlineLevel="0" collapsed="false">
      <c r="B67" s="55" t="str">
        <f aca="false">SOUDEURS!B16</f>
        <v>WR-11</v>
      </c>
      <c r="C67" s="56" t="str">
        <f aca="false">IF(SOUDEURS!C16="","",SOUDEURS!C16)</f>
        <v>HAMOUCHE Zahir</v>
      </c>
      <c r="D67" s="56"/>
      <c r="E67" s="57" t="n">
        <f aca="false">SOUDEURS!F16</f>
        <v>0</v>
      </c>
      <c r="F67" s="57" t="n">
        <f aca="false">SOUDEURS!G16</f>
        <v>0</v>
      </c>
      <c r="G67" s="57" t="n">
        <f aca="false">SOUDEURS!H16</f>
        <v>0</v>
      </c>
      <c r="H67" s="58" t="n">
        <f aca="false">SOUDEURS!I16</f>
        <v>0</v>
      </c>
      <c r="I67" s="59" t="str">
        <f aca="false">SOUDEURS!K16</f>
        <v>—</v>
      </c>
    </row>
    <row r="68" customFormat="false" ht="15" hidden="false" customHeight="false" outlineLevel="0" collapsed="false">
      <c r="B68" s="55" t="str">
        <f aca="false">SOUDEURS!B17</f>
        <v>WR-12</v>
      </c>
      <c r="C68" s="56" t="str">
        <f aca="false">IF(SOUDEURS!C17="","",SOUDEURS!C17)</f>
        <v/>
      </c>
      <c r="D68" s="56"/>
      <c r="E68" s="57" t="n">
        <f aca="false">SOUDEURS!F17</f>
        <v>0</v>
      </c>
      <c r="F68" s="57" t="n">
        <f aca="false">SOUDEURS!G17</f>
        <v>0</v>
      </c>
      <c r="G68" s="57" t="n">
        <f aca="false">SOUDEURS!H17</f>
        <v>0</v>
      </c>
      <c r="H68" s="58" t="n">
        <f aca="false">SOUDEURS!I17</f>
        <v>0</v>
      </c>
      <c r="I68" s="59" t="str">
        <f aca="false">SOUDEURS!K17</f>
        <v>—</v>
      </c>
    </row>
    <row r="69" customFormat="false" ht="15" hidden="false" customHeight="false" outlineLevel="0" collapsed="false">
      <c r="B69" s="55" t="str">
        <f aca="false">SOUDEURS!B18</f>
        <v>WR-13</v>
      </c>
      <c r="C69" s="56" t="str">
        <f aca="false">IF(SOUDEURS!C18="","",SOUDEURS!C18)</f>
        <v/>
      </c>
      <c r="D69" s="56"/>
      <c r="E69" s="57" t="n">
        <f aca="false">SOUDEURS!F18</f>
        <v>0</v>
      </c>
      <c r="F69" s="57" t="n">
        <f aca="false">SOUDEURS!G18</f>
        <v>0</v>
      </c>
      <c r="G69" s="57" t="n">
        <f aca="false">SOUDEURS!H18</f>
        <v>0</v>
      </c>
      <c r="H69" s="58" t="n">
        <f aca="false">SOUDEURS!I18</f>
        <v>0</v>
      </c>
      <c r="I69" s="59" t="str">
        <f aca="false">SOUDEURS!K18</f>
        <v>—</v>
      </c>
    </row>
    <row r="70" customFormat="false" ht="15" hidden="false" customHeight="false" outlineLevel="0" collapsed="false">
      <c r="B70" s="55" t="str">
        <f aca="false">SOUDEURS!B19</f>
        <v>WR-14</v>
      </c>
      <c r="C70" s="56" t="str">
        <f aca="false">IF(SOUDEURS!C19="","",SOUDEURS!C19)</f>
        <v/>
      </c>
      <c r="D70" s="56"/>
      <c r="E70" s="57" t="n">
        <f aca="false">SOUDEURS!F19</f>
        <v>0</v>
      </c>
      <c r="F70" s="57" t="n">
        <f aca="false">SOUDEURS!G19</f>
        <v>0</v>
      </c>
      <c r="G70" s="57" t="n">
        <f aca="false">SOUDEURS!H19</f>
        <v>0</v>
      </c>
      <c r="H70" s="58" t="n">
        <f aca="false">SOUDEURS!I19</f>
        <v>0</v>
      </c>
      <c r="I70" s="59" t="str">
        <f aca="false">SOUDEURS!K19</f>
        <v>—</v>
      </c>
    </row>
    <row r="71" customFormat="false" ht="15" hidden="false" customHeight="false" outlineLevel="0" collapsed="false">
      <c r="B71" s="55" t="str">
        <f aca="false">SOUDEURS!B20</f>
        <v>WR-15</v>
      </c>
      <c r="C71" s="56" t="str">
        <f aca="false">IF(SOUDEURS!C20="","",SOUDEURS!C20)</f>
        <v/>
      </c>
      <c r="D71" s="56"/>
      <c r="E71" s="57" t="n">
        <f aca="false">SOUDEURS!F20</f>
        <v>0</v>
      </c>
      <c r="F71" s="57" t="n">
        <f aca="false">SOUDEURS!G20</f>
        <v>0</v>
      </c>
      <c r="G71" s="57" t="n">
        <f aca="false">SOUDEURS!H20</f>
        <v>0</v>
      </c>
      <c r="H71" s="58" t="n">
        <f aca="false">SOUDEURS!I20</f>
        <v>0</v>
      </c>
      <c r="I71" s="59" t="str">
        <f aca="false">SOUDEURS!K20</f>
        <v>—</v>
      </c>
    </row>
  </sheetData>
  <mergeCells count="62">
    <mergeCell ref="B2:M2"/>
    <mergeCell ref="B3:M3"/>
    <mergeCell ref="C5:D5"/>
    <mergeCell ref="E5:J5"/>
    <mergeCell ref="B7:C7"/>
    <mergeCell ref="D7:E7"/>
    <mergeCell ref="F7:G7"/>
    <mergeCell ref="H7:I7"/>
    <mergeCell ref="J7:K7"/>
    <mergeCell ref="L7:M7"/>
    <mergeCell ref="B8:C9"/>
    <mergeCell ref="D8:E9"/>
    <mergeCell ref="F8:G9"/>
    <mergeCell ref="H8:I9"/>
    <mergeCell ref="J8:K9"/>
    <mergeCell ref="L8:M9"/>
    <mergeCell ref="B10:C10"/>
    <mergeCell ref="D10:E10"/>
    <mergeCell ref="F10:G10"/>
    <mergeCell ref="H10:I10"/>
    <mergeCell ref="J10:K10"/>
    <mergeCell ref="L10:M10"/>
    <mergeCell ref="B12:C12"/>
    <mergeCell ref="D12:E12"/>
    <mergeCell ref="F12:G12"/>
    <mergeCell ref="H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6:M16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B55:M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</mergeCells>
  <conditionalFormatting sqref="F18:F25">
    <cfRule type="dataBar" priority="2">
      <dataBar showValue="1" minLength="10" maxLength="90"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{A19BA871-3DFD-4F41-A631-A0C1A07BD888}</x14:id>
        </ext>
      </extLst>
    </cfRule>
  </conditionalFormatting>
  <conditionalFormatting sqref="H18:H25">
    <cfRule type="dataBar" priority="3">
      <dataBar showValue="1" minLength="10" maxLength="90"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{9C6E773A-E510-49EF-AD5A-6CBD9CD8AB55}</x14:id>
        </ext>
      </extLst>
    </cfRule>
  </conditionalFormatting>
  <conditionalFormatting sqref="J18:J25">
    <cfRule type="dataBar" priority="4">
      <dataBar showValue="1" minLength="10" maxLength="90"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{5CC2D4CB-A831-46EB-8292-133A7E873A40}</x14:id>
        </ext>
      </extLst>
    </cfRule>
  </conditionalFormatting>
  <conditionalFormatting sqref="L18:L25">
    <cfRule type="cellIs" priority="5" operator="greaterThan" aboveAverage="0" equalAverage="0" bottom="0" percent="0" rank="0" text="" dxfId="0">
      <formula>0.05</formula>
    </cfRule>
  </conditionalFormatting>
  <conditionalFormatting sqref="K18:K25">
    <cfRule type="cellIs" priority="6" operator="greaterThan" aboveAverage="0" equalAverage="0" bottom="0" percent="0" rank="0" text="" dxfId="0">
      <formula>0</formula>
    </cfRule>
  </conditionalFormatting>
  <conditionalFormatting sqref="H57:H71">
    <cfRule type="dataBar" priority="7">
      <dataBar showValue="1" minLength="10" maxLength="90">
        <cfvo type="num" val="0"/>
        <cfvo type="num" val="0.2"/>
        <color rgb="FFF4B183"/>
      </dataBar>
      <extLst>
        <ext xmlns:x14="http://schemas.microsoft.com/office/spreadsheetml/2009/9/main" uri="{B025F937-C7B1-47D3-B67F-A62EFF666E3E}">
          <x14:id>{4396FA60-B818-45D1-BE70-F267FDE8784A}</x14:id>
        </ext>
      </extLst>
    </cfRule>
  </conditionalFormatting>
  <conditionalFormatting sqref="I57:I71">
    <cfRule type="cellIs" priority="8" operator="equal" aboveAverage="0" equalAverage="0" bottom="0" percent="0" rank="0" text="" dxfId="1">
      <formula>"Excellent"</formula>
    </cfRule>
    <cfRule type="cellIs" priority="9" operator="equal" aboveAverage="0" equalAverage="0" bottom="0" percent="0" rank="0" text="" dxfId="0">
      <formula>"À surveiller"</formula>
    </cfRule>
  </conditionalFormatting>
  <dataValidations count="1">
    <dataValidation allowBlank="true" error="Choisir une ligne ou TOUTES" errorStyle="stop" errorTitle="Valeur non valide" operator="between" prompt="Choisir une ligne ou TOUTES" showDropDown="false" showErrorMessage="true" showInputMessage="true" sqref="C5" type="list">
      <formula1>PARAMÈTRES!$B$32:$B$40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9BA871-3DFD-4F41-A631-A0C1A07BD888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BE7B"/>
              <x14:axisColor rgb="FF000000"/>
            </x14:dataBar>
          </x14:cfRule>
          <xm:sqref>F18:F25</xm:sqref>
        </x14:conditionalFormatting>
        <x14:conditionalFormatting xmlns:xm="http://schemas.microsoft.com/office/excel/2006/main">
          <x14:cfRule type="dataBar" id="{9C6E773A-E510-49EF-AD5A-6CBD9CD8AB55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BE7B"/>
              <x14:axisColor rgb="FF000000"/>
            </x14:dataBar>
          </x14:cfRule>
          <xm:sqref>H18:H25</xm:sqref>
        </x14:conditionalFormatting>
        <x14:conditionalFormatting xmlns:xm="http://schemas.microsoft.com/office/excel/2006/main">
          <x14:cfRule type="dataBar" id="{5CC2D4CB-A831-46EB-8292-133A7E873A4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BE7B"/>
              <x14:axisColor rgb="FF000000"/>
            </x14:dataBar>
          </x14:cfRule>
          <xm:sqref>J18:J25</xm:sqref>
        </x14:conditionalFormatting>
        <x14:conditionalFormatting xmlns:xm="http://schemas.microsoft.com/office/excel/2006/main">
          <x14:cfRule type="dataBar" id="{4396FA60-B818-45D1-BE70-F267FDE8784A}">
            <x14:dataBar minLength="10" maxLength="90" axisPosition="none" gradient="true">
              <x14:cfvo type="num">
                <xm:f>0</xm:f>
              </x14:cfvo>
              <x14:cfvo type="num">
                <xm:f>0.2</xm:f>
              </x14:cfvo>
              <x14:negativeFillColor rgb="FFF4B183"/>
              <x14:axisColor rgb="FF000000"/>
            </x14:dataBar>
          </x14:cfRule>
          <xm:sqref>H57:H71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AR15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6" topLeftCell="F7" activePane="bottomRight" state="frozen"/>
      <selection pane="topLeft" activeCell="A1" activeCellId="0" sqref="A1"/>
      <selection pane="topRight" activeCell="F1" activeCellId="0" sqref="F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5" min="5" style="0" width="13"/>
    <col collapsed="false" customWidth="true" hidden="false" outlineLevel="0" max="6" min="6" style="0" width="6"/>
    <col collapsed="false" customWidth="true" hidden="false" outlineLevel="0" max="7" min="7" style="0" width="5"/>
    <col collapsed="false" customWidth="true" hidden="false" outlineLevel="0" max="8" min="8" style="0" width="7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9"/>
    <col collapsed="false" customWidth="true" hidden="false" outlineLevel="0" max="12" min="12" style="0" width="13"/>
    <col collapsed="false" customWidth="true" hidden="false" outlineLevel="0" max="13" min="13" style="0" width="9"/>
    <col collapsed="false" customWidth="true" hidden="false" outlineLevel="0" max="14" min="14" style="0" width="13"/>
    <col collapsed="false" customWidth="true" hidden="false" outlineLevel="0" max="17" min="15" style="0" width="9"/>
    <col collapsed="false" customWidth="true" hidden="false" outlineLevel="0" max="19" min="18" style="0" width="11"/>
    <col collapsed="false" customWidth="true" hidden="false" outlineLevel="0" max="20" min="20" style="0" width="9"/>
    <col collapsed="false" customWidth="true" hidden="false" outlineLevel="0" max="21" min="21" style="0" width="6"/>
    <col collapsed="false" customWidth="true" hidden="false" outlineLevel="0" max="22" min="22" style="0" width="11"/>
    <col collapsed="false" customWidth="true" hidden="false" outlineLevel="0" max="23" min="23" style="0" width="10"/>
    <col collapsed="false" customWidth="true" hidden="false" outlineLevel="0" max="24" min="24" style="0" width="6"/>
    <col collapsed="false" customWidth="true" hidden="false" outlineLevel="0" max="25" min="25" style="0" width="8"/>
    <col collapsed="false" customWidth="true" hidden="false" outlineLevel="0" max="26" min="26" style="0" width="7"/>
    <col collapsed="false" customWidth="true" hidden="false" outlineLevel="0" max="27" min="27" style="0" width="11"/>
    <col collapsed="false" customWidth="true" hidden="false" outlineLevel="0" max="28" min="28" style="0" width="10"/>
    <col collapsed="false" customWidth="true" hidden="false" outlineLevel="0" max="29" min="29" style="0" width="7"/>
    <col collapsed="false" customWidth="true" hidden="false" outlineLevel="0" max="30" min="30" style="0" width="8"/>
    <col collapsed="false" customWidth="true" hidden="false" outlineLevel="0" max="31" min="31" style="0" width="7"/>
    <col collapsed="false" customWidth="true" hidden="false" outlineLevel="0" max="32" min="32" style="0" width="11"/>
    <col collapsed="false" customWidth="true" hidden="false" outlineLevel="0" max="33" min="33" style="0" width="10"/>
    <col collapsed="false" customWidth="true" hidden="false" outlineLevel="0" max="34" min="34" style="0" width="7"/>
    <col collapsed="false" customWidth="true" hidden="false" outlineLevel="0" max="35" min="35" style="0" width="11"/>
    <col collapsed="false" customWidth="true" hidden="false" outlineLevel="0" max="36" min="36" style="0" width="22"/>
    <col collapsed="false" customWidth="true" hidden="false" outlineLevel="0" max="37" min="37" style="0" width="6"/>
    <col collapsed="false" customWidth="true" hidden="false" outlineLevel="0" max="38" min="38" style="0" width="8"/>
    <col collapsed="false" customWidth="true" hidden="false" outlineLevel="0" max="39" min="39" style="0" width="24"/>
    <col collapsed="false" customWidth="true" hidden="false" outlineLevel="0" max="40" min="40" style="0" width="8"/>
    <col collapsed="false" customWidth="true" hidden="true" outlineLevel="0" max="44" min="41" style="0" width="4"/>
  </cols>
  <sheetData>
    <row r="1" customFormat="false" ht="33.75" hidden="false" customHeight="true" outlineLevel="0" collapsed="false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customFormat="false" ht="15" hidden="false" customHeight="false" outlineLevel="0" collapsed="false">
      <c r="A2" s="60" t="str">
        <f aca="false">PARAMÈTRES!$C$4&amp;"   •   Affaire N° "&amp;PARAMÈTRES!$C$5&amp;"   •   Saisir uniquement les colonnes en bleu — les colonnes N°, Nb RT, Dernier RT, STATUT et Attente sont automatiques"</f>
        <v>Extension du réseau de collecte de GTFT (11 nouveaux puits)   •   Affaire N° 8546   •   Saisir uniquement les colonnes en bleu — les colonnes N°, Nb RT, Dernier RT, STATUT et Attente sont automatiques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</row>
    <row r="3" customFormat="false" ht="21.75" hidden="false" customHeight="true" outlineLevel="0" collapsed="false">
      <c r="B3" s="61" t="s">
        <v>47</v>
      </c>
      <c r="C3" s="62" t="n">
        <f aca="false">COUNTA(E7:E1506)</f>
        <v>805</v>
      </c>
      <c r="E3" s="61" t="s">
        <v>48</v>
      </c>
      <c r="F3" s="62" t="n">
        <f aca="false">COUNT(R7:R1506)</f>
        <v>197</v>
      </c>
      <c r="I3" s="61" t="s">
        <v>49</v>
      </c>
      <c r="J3" s="62" t="n">
        <f aca="false">COUNTIF(AM7:AM1506,"ACCEPTÉ")</f>
        <v>188</v>
      </c>
      <c r="M3" s="63" t="s">
        <v>50</v>
      </c>
      <c r="N3" s="63"/>
      <c r="O3" s="63"/>
      <c r="P3" s="62" t="n">
        <f aca="false">SUMPRODUCT((AM7:AM1506="À RADIOGRAPHIER")+(AM7:AM1506="RÉPARÉ – À RADIOGRAPHIER")+(AM7:AM1506="NX – RT À REFAIRE"))</f>
        <v>9</v>
      </c>
      <c r="S3" s="63" t="s">
        <v>51</v>
      </c>
      <c r="T3" s="63"/>
      <c r="U3" s="63"/>
      <c r="V3" s="62" t="n">
        <f aca="false">SUMPRODUCT((AM7:AM1506="À RÉPARER")+(AM7:AM1506="COUPE – À RESOUDER")+(AM7:AM1506="VT REJETÉ – À REPRENDRE"))</f>
        <v>0</v>
      </c>
    </row>
    <row r="5" customFormat="false" ht="21.75" hidden="false" customHeight="true" outlineLevel="0" collapsed="false">
      <c r="A5" s="37" t="s">
        <v>52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54" t="s">
        <v>53</v>
      </c>
      <c r="P5" s="54"/>
      <c r="Q5" s="54"/>
      <c r="R5" s="54"/>
      <c r="S5" s="64" t="s">
        <v>54</v>
      </c>
      <c r="T5" s="64"/>
      <c r="U5" s="64"/>
      <c r="V5" s="65" t="s">
        <v>55</v>
      </c>
      <c r="W5" s="65"/>
      <c r="X5" s="65"/>
      <c r="Y5" s="66" t="s">
        <v>56</v>
      </c>
      <c r="Z5" s="66"/>
      <c r="AA5" s="66"/>
      <c r="AB5" s="66"/>
      <c r="AC5" s="66"/>
      <c r="AD5" s="67" t="s">
        <v>57</v>
      </c>
      <c r="AE5" s="67"/>
      <c r="AF5" s="67"/>
      <c r="AG5" s="67"/>
      <c r="AH5" s="67"/>
      <c r="AI5" s="68" t="s">
        <v>58</v>
      </c>
      <c r="AJ5" s="68"/>
      <c r="AK5" s="68"/>
      <c r="AL5" s="68"/>
      <c r="AM5" s="68"/>
      <c r="AN5" s="68"/>
      <c r="AO5" s="69"/>
      <c r="AP5" s="69"/>
      <c r="AQ5" s="69"/>
      <c r="AR5" s="69"/>
    </row>
    <row r="6" customFormat="false" ht="36" hidden="false" customHeight="true" outlineLevel="0" collapsed="false">
      <c r="A6" s="70" t="s">
        <v>59</v>
      </c>
      <c r="B6" s="70" t="s">
        <v>17</v>
      </c>
      <c r="C6" s="70" t="s">
        <v>60</v>
      </c>
      <c r="D6" s="70" t="s">
        <v>61</v>
      </c>
      <c r="E6" s="70" t="s">
        <v>62</v>
      </c>
      <c r="F6" s="70" t="s">
        <v>63</v>
      </c>
      <c r="G6" s="70" t="s">
        <v>64</v>
      </c>
      <c r="H6" s="70" t="s">
        <v>65</v>
      </c>
      <c r="I6" s="70" t="s">
        <v>66</v>
      </c>
      <c r="J6" s="70" t="s">
        <v>67</v>
      </c>
      <c r="K6" s="70" t="s">
        <v>68</v>
      </c>
      <c r="L6" s="70" t="s">
        <v>69</v>
      </c>
      <c r="M6" s="70" t="s">
        <v>70</v>
      </c>
      <c r="N6" s="70" t="s">
        <v>71</v>
      </c>
      <c r="O6" s="71" t="s">
        <v>72</v>
      </c>
      <c r="P6" s="71" t="s">
        <v>73</v>
      </c>
      <c r="Q6" s="71" t="s">
        <v>74</v>
      </c>
      <c r="R6" s="71" t="s">
        <v>75</v>
      </c>
      <c r="S6" s="72" t="s">
        <v>76</v>
      </c>
      <c r="T6" s="72" t="s">
        <v>77</v>
      </c>
      <c r="U6" s="72" t="s">
        <v>78</v>
      </c>
      <c r="V6" s="73" t="s">
        <v>79</v>
      </c>
      <c r="W6" s="73" t="s">
        <v>80</v>
      </c>
      <c r="X6" s="73" t="s">
        <v>81</v>
      </c>
      <c r="Y6" s="74" t="s">
        <v>82</v>
      </c>
      <c r="Z6" s="74" t="s">
        <v>83</v>
      </c>
      <c r="AA6" s="74" t="s">
        <v>84</v>
      </c>
      <c r="AB6" s="74" t="s">
        <v>85</v>
      </c>
      <c r="AC6" s="74" t="s">
        <v>86</v>
      </c>
      <c r="AD6" s="75" t="s">
        <v>87</v>
      </c>
      <c r="AE6" s="75" t="s">
        <v>88</v>
      </c>
      <c r="AF6" s="75" t="s">
        <v>89</v>
      </c>
      <c r="AG6" s="75" t="s">
        <v>90</v>
      </c>
      <c r="AH6" s="75" t="s">
        <v>91</v>
      </c>
      <c r="AI6" s="76" t="s">
        <v>92</v>
      </c>
      <c r="AJ6" s="76" t="s">
        <v>93</v>
      </c>
      <c r="AK6" s="76" t="s">
        <v>94</v>
      </c>
      <c r="AL6" s="76" t="s">
        <v>95</v>
      </c>
      <c r="AM6" s="76" t="s">
        <v>96</v>
      </c>
      <c r="AN6" s="76" t="s">
        <v>97</v>
      </c>
      <c r="AO6" s="77" t="s">
        <v>98</v>
      </c>
      <c r="AP6" s="77" t="s">
        <v>99</v>
      </c>
      <c r="AQ6" s="77" t="s">
        <v>100</v>
      </c>
      <c r="AR6" s="77" t="s">
        <v>101</v>
      </c>
    </row>
    <row r="7" customFormat="false" ht="15" hidden="false" customHeight="false" outlineLevel="0" collapsed="false">
      <c r="A7" s="78" t="n">
        <f aca="false">IF(E7="","",ROW()-6)</f>
        <v>1</v>
      </c>
      <c r="B7" s="79" t="s">
        <v>102</v>
      </c>
      <c r="C7" s="80"/>
      <c r="D7" s="80" t="s">
        <v>103</v>
      </c>
      <c r="E7" s="80" t="s">
        <v>104</v>
      </c>
      <c r="F7" s="80" t="s">
        <v>105</v>
      </c>
      <c r="G7" s="80" t="s">
        <v>106</v>
      </c>
      <c r="H7" s="80" t="n">
        <v>11</v>
      </c>
      <c r="I7" s="80"/>
      <c r="J7" s="80"/>
      <c r="K7" s="80"/>
      <c r="L7" s="81" t="str">
        <f aca="false">IF(K7="","",IFERROR(INDEX(BARDAGE!$C$7:$C$1506,MATCH(K7,BARDAGE!$B$7:$B$1506,0)),"? hors registre"))</f>
        <v/>
      </c>
      <c r="M7" s="80"/>
      <c r="N7" s="81" t="str">
        <f aca="false">IF(M7="","",IFERROR(INDEX(BARDAGE!$C$7:$C$1506,MATCH(M7,BARDAGE!$B$7:$B$1506,0)),"? hors registre"))</f>
        <v/>
      </c>
      <c r="O7" s="80"/>
      <c r="P7" s="80"/>
      <c r="Q7" s="80"/>
      <c r="R7" s="82"/>
      <c r="S7" s="82"/>
      <c r="T7" s="80"/>
      <c r="U7" s="80"/>
      <c r="V7" s="82"/>
      <c r="W7" s="80"/>
      <c r="X7" s="80"/>
      <c r="Y7" s="80"/>
      <c r="Z7" s="80"/>
      <c r="AA7" s="82"/>
      <c r="AB7" s="80"/>
      <c r="AC7" s="80"/>
      <c r="AD7" s="80"/>
      <c r="AE7" s="80"/>
      <c r="AF7" s="82"/>
      <c r="AG7" s="80"/>
      <c r="AH7" s="80"/>
      <c r="AI7" s="82"/>
      <c r="AJ7" s="79"/>
      <c r="AK7" s="78" t="n">
        <f aca="false">IF(E7="","",(X7&lt;&gt;"")+(AC7&lt;&gt;"")+(AH7&lt;&gt;""))</f>
        <v>0</v>
      </c>
      <c r="AL7" s="81" t="str">
        <f aca="false">IF(AH7&lt;&gt;"",AH7,IF(AC7&lt;&gt;"",AC7,IF(X7&lt;&gt;"",X7,"")))</f>
        <v/>
      </c>
      <c r="AM7" s="83" t="str">
        <f aca="false">IF(E7="","",IF(R7="","À SOUDER",IF(U7="","VT EN ATTENTE",IF(U7="R","VT REJETÉ – À REPRENDRE",IF(AL7="","À RADIOGRAPHIER",IF(AL7="A","ACCEPTÉ",IF(AL7="NX","NX – RT À REFAIRE",IF(IF(AK7=1,Z7,IF(AK7=2,AE7,""))="A","RÉPARÉ – À RADIOGRAPHIER",IF(IF(AK7=1,Z7,IF(AK7=2,AE7,""))="R","VT REJETÉ – À REPRENDRE",IF(OR(AL7="CO",AL7="NT"),"COUPE – À RESOUDER","À RÉPARER"))))))))))</f>
        <v>À SOUDER</v>
      </c>
      <c r="AN7" s="81" t="str">
        <f aca="false">IF(AND(ISNUMBER(R7),OR(AM7="À RADIOGRAPHIER",AM7="RÉPARÉ – À RADIOGRAPHIER",AM7="NX – RT À REFAIRE",AM7="À RÉPARER",AM7="COUPE – À RESOUDER",AM7="VT REJETÉ – À REPRENDRE")),MAX(0,'PROGRAMME RT'!$C$4-R7),"")</f>
        <v/>
      </c>
      <c r="AO7" s="78" t="n">
        <f aca="false">IF(AND(OR(AM7="À RADIOGRAPHIER",AM7="RÉPARÉ – À RADIOGRAPHIER",AM7="NX – RT À REFAIRE"),OR('PROGRAMME RT'!$D$5="TOUTES",B7='PROGRAMME RT'!$D$5)),1,0)</f>
        <v>0</v>
      </c>
      <c r="AP7" s="78" t="str">
        <f aca="false">IF(AO7=1,SUM(AO$7:AO7),"")</f>
        <v/>
      </c>
      <c r="AQ7" s="78" t="n">
        <f aca="false">IF(AND(OR(X7="R",X7="NX",X7="NT",X7="CO"),OR('JOINTS DE RÉPARATION'!$D$5="TOUTES",B7='JOINTS DE RÉPARATION'!$D$5),OR('JOINTS DE RÉPARATION'!$L$4="TOUS",AM7&lt;&gt;"ACCEPTÉ")),1,0)</f>
        <v>0</v>
      </c>
      <c r="AR7" s="78" t="str">
        <f aca="false">IF(AQ7=1,SUM(AQ$7:AQ7),"")</f>
        <v/>
      </c>
    </row>
    <row r="8" customFormat="false" ht="15" hidden="false" customHeight="false" outlineLevel="0" collapsed="false">
      <c r="A8" s="78" t="n">
        <f aca="false">IF(E8="","",ROW()-6)</f>
        <v>2</v>
      </c>
      <c r="B8" s="79" t="s">
        <v>102</v>
      </c>
      <c r="C8" s="80"/>
      <c r="D8" s="80" t="s">
        <v>103</v>
      </c>
      <c r="E8" s="80" t="s">
        <v>107</v>
      </c>
      <c r="F8" s="80" t="s">
        <v>105</v>
      </c>
      <c r="G8" s="80" t="s">
        <v>106</v>
      </c>
      <c r="H8" s="80" t="n">
        <v>11</v>
      </c>
      <c r="I8" s="80"/>
      <c r="J8" s="80"/>
      <c r="K8" s="80"/>
      <c r="L8" s="81" t="str">
        <f aca="false">IF(K8="","",IFERROR(INDEX(BARDAGE!$C$7:$C$1506,MATCH(K8,BARDAGE!$B$7:$B$1506,0)),"? hors registre"))</f>
        <v/>
      </c>
      <c r="M8" s="80"/>
      <c r="N8" s="81" t="str">
        <f aca="false">IF(M8="","",IFERROR(INDEX(BARDAGE!$C$7:$C$1506,MATCH(M8,BARDAGE!$B$7:$B$1506,0)),"? hors registre"))</f>
        <v/>
      </c>
      <c r="O8" s="80"/>
      <c r="P8" s="80"/>
      <c r="Q8" s="80"/>
      <c r="R8" s="82"/>
      <c r="S8" s="82"/>
      <c r="T8" s="80"/>
      <c r="U8" s="80"/>
      <c r="V8" s="82"/>
      <c r="W8" s="80"/>
      <c r="X8" s="80"/>
      <c r="Y8" s="80"/>
      <c r="Z8" s="80"/>
      <c r="AA8" s="82"/>
      <c r="AB8" s="80"/>
      <c r="AC8" s="80"/>
      <c r="AD8" s="80"/>
      <c r="AE8" s="80"/>
      <c r="AF8" s="82"/>
      <c r="AG8" s="80"/>
      <c r="AH8" s="80"/>
      <c r="AI8" s="82"/>
      <c r="AJ8" s="79"/>
      <c r="AK8" s="78" t="n">
        <f aca="false">IF(E8="","",(X8&lt;&gt;"")+(AC8&lt;&gt;"")+(AH8&lt;&gt;""))</f>
        <v>0</v>
      </c>
      <c r="AL8" s="81" t="str">
        <f aca="false">IF(AH8&lt;&gt;"",AH8,IF(AC8&lt;&gt;"",AC8,IF(X8&lt;&gt;"",X8,"")))</f>
        <v/>
      </c>
      <c r="AM8" s="83" t="str">
        <f aca="false">IF(E8="","",IF(R8="","À SOUDER",IF(U8="","VT EN ATTENTE",IF(U8="R","VT REJETÉ – À REPRENDRE",IF(AL8="","À RADIOGRAPHIER",IF(AL8="A","ACCEPTÉ",IF(AL8="NX","NX – RT À REFAIRE",IF(IF(AK8=1,Z8,IF(AK8=2,AE8,""))="A","RÉPARÉ – À RADIOGRAPHIER",IF(IF(AK8=1,Z8,IF(AK8=2,AE8,""))="R","VT REJETÉ – À REPRENDRE",IF(OR(AL8="CO",AL8="NT"),"COUPE – À RESOUDER","À RÉPARER"))))))))))</f>
        <v>À SOUDER</v>
      </c>
      <c r="AN8" s="81" t="str">
        <f aca="false">IF(AND(ISNUMBER(R8),OR(AM8="À RADIOGRAPHIER",AM8="RÉPARÉ – À RADIOGRAPHIER",AM8="NX – RT À REFAIRE",AM8="À RÉPARER",AM8="COUPE – À RESOUDER",AM8="VT REJETÉ – À REPRENDRE")),MAX(0,'PROGRAMME RT'!$C$4-R8),"")</f>
        <v/>
      </c>
      <c r="AO8" s="78" t="n">
        <f aca="false">IF(AND(OR(AM8="À RADIOGRAPHIER",AM8="RÉPARÉ – À RADIOGRAPHIER",AM8="NX – RT À REFAIRE"),OR('PROGRAMME RT'!$D$5="TOUTES",B8='PROGRAMME RT'!$D$5)),1,0)</f>
        <v>0</v>
      </c>
      <c r="AP8" s="78" t="str">
        <f aca="false">IF(AO8=1,SUM(AO$7:AO8),"")</f>
        <v/>
      </c>
      <c r="AQ8" s="78" t="n">
        <f aca="false">IF(AND(OR(X8="R",X8="NX",X8="NT",X8="CO"),OR('JOINTS DE RÉPARATION'!$D$5="TOUTES",B8='JOINTS DE RÉPARATION'!$D$5),OR('JOINTS DE RÉPARATION'!$L$4="TOUS",AM8&lt;&gt;"ACCEPTÉ")),1,0)</f>
        <v>0</v>
      </c>
      <c r="AR8" s="78" t="str">
        <f aca="false">IF(AQ8=1,SUM(AQ$7:AQ8),"")</f>
        <v/>
      </c>
    </row>
    <row r="9" customFormat="false" ht="15" hidden="false" customHeight="false" outlineLevel="0" collapsed="false">
      <c r="A9" s="78" t="n">
        <f aca="false">IF(E9="","",ROW()-6)</f>
        <v>3</v>
      </c>
      <c r="B9" s="79" t="s">
        <v>102</v>
      </c>
      <c r="C9" s="80"/>
      <c r="D9" s="80" t="s">
        <v>103</v>
      </c>
      <c r="E9" s="80" t="s">
        <v>108</v>
      </c>
      <c r="F9" s="80" t="s">
        <v>105</v>
      </c>
      <c r="G9" s="80" t="s">
        <v>106</v>
      </c>
      <c r="H9" s="80" t="n">
        <v>11</v>
      </c>
      <c r="I9" s="80"/>
      <c r="J9" s="80"/>
      <c r="K9" s="80"/>
      <c r="L9" s="81" t="str">
        <f aca="false">IF(K9="","",IFERROR(INDEX(BARDAGE!$C$7:$C$1506,MATCH(K9,BARDAGE!$B$7:$B$1506,0)),"? hors registre"))</f>
        <v/>
      </c>
      <c r="M9" s="80"/>
      <c r="N9" s="81" t="str">
        <f aca="false">IF(M9="","",IFERROR(INDEX(BARDAGE!$C$7:$C$1506,MATCH(M9,BARDAGE!$B$7:$B$1506,0)),"? hors registre"))</f>
        <v/>
      </c>
      <c r="O9" s="80"/>
      <c r="P9" s="80"/>
      <c r="Q9" s="80"/>
      <c r="R9" s="82"/>
      <c r="S9" s="82"/>
      <c r="T9" s="80"/>
      <c r="U9" s="80"/>
      <c r="V9" s="82"/>
      <c r="W9" s="80"/>
      <c r="X9" s="80"/>
      <c r="Y9" s="80"/>
      <c r="Z9" s="80"/>
      <c r="AA9" s="82"/>
      <c r="AB9" s="80"/>
      <c r="AC9" s="80"/>
      <c r="AD9" s="80"/>
      <c r="AE9" s="80"/>
      <c r="AF9" s="82"/>
      <c r="AG9" s="80"/>
      <c r="AH9" s="80"/>
      <c r="AI9" s="82"/>
      <c r="AJ9" s="79"/>
      <c r="AK9" s="78" t="n">
        <f aca="false">IF(E9="","",(X9&lt;&gt;"")+(AC9&lt;&gt;"")+(AH9&lt;&gt;""))</f>
        <v>0</v>
      </c>
      <c r="AL9" s="81" t="str">
        <f aca="false">IF(AH9&lt;&gt;"",AH9,IF(AC9&lt;&gt;"",AC9,IF(X9&lt;&gt;"",X9,"")))</f>
        <v/>
      </c>
      <c r="AM9" s="83" t="str">
        <f aca="false">IF(E9="","",IF(R9="","À SOUDER",IF(U9="","VT EN ATTENTE",IF(U9="R","VT REJETÉ – À REPRENDRE",IF(AL9="","À RADIOGRAPHIER",IF(AL9="A","ACCEPTÉ",IF(AL9="NX","NX – RT À REFAIRE",IF(IF(AK9=1,Z9,IF(AK9=2,AE9,""))="A","RÉPARÉ – À RADIOGRAPHIER",IF(IF(AK9=1,Z9,IF(AK9=2,AE9,""))="R","VT REJETÉ – À REPRENDRE",IF(OR(AL9="CO",AL9="NT"),"COUPE – À RESOUDER","À RÉPARER"))))))))))</f>
        <v>À SOUDER</v>
      </c>
      <c r="AN9" s="81" t="str">
        <f aca="false">IF(AND(ISNUMBER(R9),OR(AM9="À RADIOGRAPHIER",AM9="RÉPARÉ – À RADIOGRAPHIER",AM9="NX – RT À REFAIRE",AM9="À RÉPARER",AM9="COUPE – À RESOUDER",AM9="VT REJETÉ – À REPRENDRE")),MAX(0,'PROGRAMME RT'!$C$4-R9),"")</f>
        <v/>
      </c>
      <c r="AO9" s="78" t="n">
        <f aca="false">IF(AND(OR(AM9="À RADIOGRAPHIER",AM9="RÉPARÉ – À RADIOGRAPHIER",AM9="NX – RT À REFAIRE"),OR('PROGRAMME RT'!$D$5="TOUTES",B9='PROGRAMME RT'!$D$5)),1,0)</f>
        <v>0</v>
      </c>
      <c r="AP9" s="78" t="str">
        <f aca="false">IF(AO9=1,SUM(AO$7:AO9),"")</f>
        <v/>
      </c>
      <c r="AQ9" s="78" t="n">
        <f aca="false">IF(AND(OR(X9="R",X9="NX",X9="NT",X9="CO"),OR('JOINTS DE RÉPARATION'!$D$5="TOUTES",B9='JOINTS DE RÉPARATION'!$D$5),OR('JOINTS DE RÉPARATION'!$L$4="TOUS",AM9&lt;&gt;"ACCEPTÉ")),1,0)</f>
        <v>0</v>
      </c>
      <c r="AR9" s="78" t="str">
        <f aca="false">IF(AQ9=1,SUM(AQ$7:AQ9),"")</f>
        <v/>
      </c>
    </row>
    <row r="10" customFormat="false" ht="15" hidden="false" customHeight="false" outlineLevel="0" collapsed="false">
      <c r="A10" s="78" t="n">
        <f aca="false">IF(E10="","",ROW()-6)</f>
        <v>4</v>
      </c>
      <c r="B10" s="79" t="s">
        <v>102</v>
      </c>
      <c r="C10" s="80"/>
      <c r="D10" s="80" t="s">
        <v>103</v>
      </c>
      <c r="E10" s="80" t="s">
        <v>109</v>
      </c>
      <c r="F10" s="80" t="s">
        <v>105</v>
      </c>
      <c r="G10" s="80" t="s">
        <v>106</v>
      </c>
      <c r="H10" s="80" t="n">
        <v>11</v>
      </c>
      <c r="I10" s="80"/>
      <c r="J10" s="80"/>
      <c r="K10" s="80"/>
      <c r="L10" s="81" t="str">
        <f aca="false">IF(K10="","",IFERROR(INDEX(BARDAGE!$C$7:$C$1506,MATCH(K10,BARDAGE!$B$7:$B$1506,0)),"? hors registre"))</f>
        <v/>
      </c>
      <c r="M10" s="80"/>
      <c r="N10" s="81" t="str">
        <f aca="false">IF(M10="","",IFERROR(INDEX(BARDAGE!$C$7:$C$1506,MATCH(M10,BARDAGE!$B$7:$B$1506,0)),"? hors registre"))</f>
        <v/>
      </c>
      <c r="O10" s="80"/>
      <c r="P10" s="80"/>
      <c r="Q10" s="80"/>
      <c r="R10" s="82"/>
      <c r="S10" s="82"/>
      <c r="T10" s="80"/>
      <c r="U10" s="80"/>
      <c r="V10" s="82"/>
      <c r="W10" s="80"/>
      <c r="X10" s="80"/>
      <c r="Y10" s="80"/>
      <c r="Z10" s="80"/>
      <c r="AA10" s="82"/>
      <c r="AB10" s="80"/>
      <c r="AC10" s="80"/>
      <c r="AD10" s="80"/>
      <c r="AE10" s="80"/>
      <c r="AF10" s="82"/>
      <c r="AG10" s="80"/>
      <c r="AH10" s="80"/>
      <c r="AI10" s="82"/>
      <c r="AJ10" s="79"/>
      <c r="AK10" s="78" t="n">
        <f aca="false">IF(E10="","",(X10&lt;&gt;"")+(AC10&lt;&gt;"")+(AH10&lt;&gt;""))</f>
        <v>0</v>
      </c>
      <c r="AL10" s="81" t="str">
        <f aca="false">IF(AH10&lt;&gt;"",AH10,IF(AC10&lt;&gt;"",AC10,IF(X10&lt;&gt;"",X10,"")))</f>
        <v/>
      </c>
      <c r="AM10" s="83" t="str">
        <f aca="false">IF(E10="","",IF(R10="","À SOUDER",IF(U10="","VT EN ATTENTE",IF(U10="R","VT REJETÉ – À REPRENDRE",IF(AL10="","À RADIOGRAPHIER",IF(AL10="A","ACCEPTÉ",IF(AL10="NX","NX – RT À REFAIRE",IF(IF(AK10=1,Z10,IF(AK10=2,AE10,""))="A","RÉPARÉ – À RADIOGRAPHIER",IF(IF(AK10=1,Z10,IF(AK10=2,AE10,""))="R","VT REJETÉ – À REPRENDRE",IF(OR(AL10="CO",AL10="NT"),"COUPE – À RESOUDER","À RÉPARER"))))))))))</f>
        <v>À SOUDER</v>
      </c>
      <c r="AN10" s="81" t="str">
        <f aca="false">IF(AND(ISNUMBER(R10),OR(AM10="À RADIOGRAPHIER",AM10="RÉPARÉ – À RADIOGRAPHIER",AM10="NX – RT À REFAIRE",AM10="À RÉPARER",AM10="COUPE – À RESOUDER",AM10="VT REJETÉ – À REPRENDRE")),MAX(0,'PROGRAMME RT'!$C$4-R10),"")</f>
        <v/>
      </c>
      <c r="AO10" s="78" t="n">
        <f aca="false">IF(AND(OR(AM10="À RADIOGRAPHIER",AM10="RÉPARÉ – À RADIOGRAPHIER",AM10="NX – RT À REFAIRE"),OR('PROGRAMME RT'!$D$5="TOUTES",B10='PROGRAMME RT'!$D$5)),1,0)</f>
        <v>0</v>
      </c>
      <c r="AP10" s="78" t="str">
        <f aca="false">IF(AO10=1,SUM(AO$7:AO10),"")</f>
        <v/>
      </c>
      <c r="AQ10" s="78" t="n">
        <f aca="false">IF(AND(OR(X10="R",X10="NX",X10="NT",X10="CO"),OR('JOINTS DE RÉPARATION'!$D$5="TOUTES",B10='JOINTS DE RÉPARATION'!$D$5),OR('JOINTS DE RÉPARATION'!$L$4="TOUS",AM10&lt;&gt;"ACCEPTÉ")),1,0)</f>
        <v>0</v>
      </c>
      <c r="AR10" s="78" t="str">
        <f aca="false">IF(AQ10=1,SUM(AQ$7:AQ10),"")</f>
        <v/>
      </c>
    </row>
    <row r="11" customFormat="false" ht="15" hidden="false" customHeight="false" outlineLevel="0" collapsed="false">
      <c r="A11" s="78" t="n">
        <f aca="false">IF(E11="","",ROW()-6)</f>
        <v>5</v>
      </c>
      <c r="B11" s="79" t="s">
        <v>102</v>
      </c>
      <c r="C11" s="80"/>
      <c r="D11" s="80" t="s">
        <v>103</v>
      </c>
      <c r="E11" s="80" t="s">
        <v>110</v>
      </c>
      <c r="F11" s="80" t="s">
        <v>105</v>
      </c>
      <c r="G11" s="80" t="s">
        <v>106</v>
      </c>
      <c r="H11" s="80" t="n">
        <v>11</v>
      </c>
      <c r="I11" s="80"/>
      <c r="J11" s="80"/>
      <c r="K11" s="80"/>
      <c r="L11" s="81" t="str">
        <f aca="false">IF(K11="","",IFERROR(INDEX(BARDAGE!$C$7:$C$1506,MATCH(K11,BARDAGE!$B$7:$B$1506,0)),"? hors registre"))</f>
        <v/>
      </c>
      <c r="M11" s="80" t="s">
        <v>111</v>
      </c>
      <c r="N11" s="84" t="n">
        <f aca="false">IF(M11="","",IFERROR(INDEX(BARDAGE!$C$7:$C$1506,MATCH(M11,BARDAGE!$B$7:$B$1506,0)),"? hors registre"))</f>
        <v>24803579</v>
      </c>
      <c r="O11" s="80"/>
      <c r="P11" s="80"/>
      <c r="Q11" s="80"/>
      <c r="R11" s="82"/>
      <c r="S11" s="82"/>
      <c r="T11" s="80"/>
      <c r="U11" s="80"/>
      <c r="V11" s="82"/>
      <c r="W11" s="80"/>
      <c r="X11" s="80"/>
      <c r="Y11" s="80"/>
      <c r="Z11" s="80"/>
      <c r="AA11" s="82"/>
      <c r="AB11" s="80"/>
      <c r="AC11" s="80"/>
      <c r="AD11" s="80"/>
      <c r="AE11" s="80"/>
      <c r="AF11" s="82"/>
      <c r="AG11" s="80"/>
      <c r="AH11" s="80"/>
      <c r="AI11" s="82"/>
      <c r="AJ11" s="79"/>
      <c r="AK11" s="78" t="n">
        <f aca="false">IF(E11="","",(X11&lt;&gt;"")+(AC11&lt;&gt;"")+(AH11&lt;&gt;""))</f>
        <v>0</v>
      </c>
      <c r="AL11" s="81" t="str">
        <f aca="false">IF(AH11&lt;&gt;"",AH11,IF(AC11&lt;&gt;"",AC11,IF(X11&lt;&gt;"",X11,"")))</f>
        <v/>
      </c>
      <c r="AM11" s="83" t="str">
        <f aca="false">IF(E11="","",IF(R11="","À SOUDER",IF(U11="","VT EN ATTENTE",IF(U11="R","VT REJETÉ – À REPRENDRE",IF(AL11="","À RADIOGRAPHIER",IF(AL11="A","ACCEPTÉ",IF(AL11="NX","NX – RT À REFAIRE",IF(IF(AK11=1,Z11,IF(AK11=2,AE11,""))="A","RÉPARÉ – À RADIOGRAPHIER",IF(IF(AK11=1,Z11,IF(AK11=2,AE11,""))="R","VT REJETÉ – À REPRENDRE",IF(OR(AL11="CO",AL11="NT"),"COUPE – À RESOUDER","À RÉPARER"))))))))))</f>
        <v>À SOUDER</v>
      </c>
      <c r="AN11" s="81" t="str">
        <f aca="false">IF(AND(ISNUMBER(R11),OR(AM11="À RADIOGRAPHIER",AM11="RÉPARÉ – À RADIOGRAPHIER",AM11="NX – RT À REFAIRE",AM11="À RÉPARER",AM11="COUPE – À RESOUDER",AM11="VT REJETÉ – À REPRENDRE")),MAX(0,'PROGRAMME RT'!$C$4-R11),"")</f>
        <v/>
      </c>
      <c r="AO11" s="78" t="n">
        <f aca="false">IF(AND(OR(AM11="À RADIOGRAPHIER",AM11="RÉPARÉ – À RADIOGRAPHIER",AM11="NX – RT À REFAIRE"),OR('PROGRAMME RT'!$D$5="TOUTES",B11='PROGRAMME RT'!$D$5)),1,0)</f>
        <v>0</v>
      </c>
      <c r="AP11" s="78" t="str">
        <f aca="false">IF(AO11=1,SUM(AO$7:AO11),"")</f>
        <v/>
      </c>
      <c r="AQ11" s="78" t="n">
        <f aca="false">IF(AND(OR(X11="R",X11="NX",X11="NT",X11="CO"),OR('JOINTS DE RÉPARATION'!$D$5="TOUTES",B11='JOINTS DE RÉPARATION'!$D$5),OR('JOINTS DE RÉPARATION'!$L$4="TOUS",AM11&lt;&gt;"ACCEPTÉ")),1,0)</f>
        <v>0</v>
      </c>
      <c r="AR11" s="78" t="str">
        <f aca="false">IF(AQ11=1,SUM(AQ$7:AQ11),"")</f>
        <v/>
      </c>
    </row>
    <row r="12" customFormat="false" ht="15" hidden="false" customHeight="false" outlineLevel="0" collapsed="false">
      <c r="A12" s="78" t="n">
        <f aca="false">IF(E12="","",ROW()-6)</f>
        <v>6</v>
      </c>
      <c r="B12" s="79" t="s">
        <v>102</v>
      </c>
      <c r="C12" s="80" t="s">
        <v>112</v>
      </c>
      <c r="D12" s="80" t="s">
        <v>103</v>
      </c>
      <c r="E12" s="80" t="s">
        <v>113</v>
      </c>
      <c r="F12" s="80" t="s">
        <v>105</v>
      </c>
      <c r="G12" s="80" t="s">
        <v>106</v>
      </c>
      <c r="H12" s="80" t="n">
        <v>11</v>
      </c>
      <c r="I12" s="80" t="s">
        <v>114</v>
      </c>
      <c r="J12" s="80" t="s">
        <v>115</v>
      </c>
      <c r="K12" s="80" t="s">
        <v>111</v>
      </c>
      <c r="L12" s="84" t="n">
        <f aca="false">IF(K12="","",IFERROR(INDEX(BARDAGE!$C$7:$C$1506,MATCH(K12,BARDAGE!$B$7:$B$1506,0)),"? hors registre"))</f>
        <v>24803579</v>
      </c>
      <c r="M12" s="80" t="s">
        <v>116</v>
      </c>
      <c r="N12" s="84" t="n">
        <f aca="false">IF(M12="","",IFERROR(INDEX(BARDAGE!$C$7:$C$1506,MATCH(M12,BARDAGE!$B$7:$B$1506,0)),"? hors registre"))</f>
        <v>24803579</v>
      </c>
      <c r="O12" s="80" t="s">
        <v>117</v>
      </c>
      <c r="P12" s="80" t="s">
        <v>117</v>
      </c>
      <c r="Q12" s="80" t="s">
        <v>117</v>
      </c>
      <c r="R12" s="82" t="n">
        <v>45915</v>
      </c>
      <c r="S12" s="82" t="n">
        <v>45915</v>
      </c>
      <c r="T12" s="80" t="s">
        <v>118</v>
      </c>
      <c r="U12" s="80" t="s">
        <v>105</v>
      </c>
      <c r="V12" s="82" t="n">
        <v>45917</v>
      </c>
      <c r="W12" s="80" t="s">
        <v>119</v>
      </c>
      <c r="X12" s="80" t="s">
        <v>105</v>
      </c>
      <c r="Y12" s="80"/>
      <c r="Z12" s="80"/>
      <c r="AA12" s="82"/>
      <c r="AB12" s="80"/>
      <c r="AC12" s="80"/>
      <c r="AD12" s="80"/>
      <c r="AE12" s="80"/>
      <c r="AF12" s="82"/>
      <c r="AG12" s="80"/>
      <c r="AH12" s="80"/>
      <c r="AI12" s="82"/>
      <c r="AJ12" s="79"/>
      <c r="AK12" s="78" t="n">
        <f aca="false">IF(E12="","",(X12&lt;&gt;"")+(AC12&lt;&gt;"")+(AH12&lt;&gt;""))</f>
        <v>1</v>
      </c>
      <c r="AL12" s="81" t="str">
        <f aca="false">IF(AH12&lt;&gt;"",AH12,IF(AC12&lt;&gt;"",AC12,IF(X12&lt;&gt;"",X12,"")))</f>
        <v>A</v>
      </c>
      <c r="AM12" s="83" t="str">
        <f aca="false">IF(E12="","",IF(R12="","À SOUDER",IF(U12="","VT EN ATTENTE",IF(U12="R","VT REJETÉ – À REPRENDRE",IF(AL12="","À RADIOGRAPHIER",IF(AL12="A","ACCEPTÉ",IF(AL12="NX","NX – RT À REFAIRE",IF(IF(AK12=1,Z12,IF(AK12=2,AE12,""))="A","RÉPARÉ – À RADIOGRAPHIER",IF(IF(AK12=1,Z12,IF(AK12=2,AE12,""))="R","VT REJETÉ – À REPRENDRE",IF(OR(AL12="CO",AL12="NT"),"COUPE – À RESOUDER","À RÉPARER"))))))))))</f>
        <v>ACCEPTÉ</v>
      </c>
      <c r="AN12" s="81" t="str">
        <f aca="false">IF(AND(ISNUMBER(R12),OR(AM12="À RADIOGRAPHIER",AM12="RÉPARÉ – À RADIOGRAPHIER",AM12="NX – RT À REFAIRE",AM12="À RÉPARER",AM12="COUPE – À RESOUDER",AM12="VT REJETÉ – À REPRENDRE")),MAX(0,'PROGRAMME RT'!$C$4-R12),"")</f>
        <v/>
      </c>
      <c r="AO12" s="78" t="n">
        <f aca="false">IF(AND(OR(AM12="À RADIOGRAPHIER",AM12="RÉPARÉ – À RADIOGRAPHIER",AM12="NX – RT À REFAIRE"),OR('PROGRAMME RT'!$D$5="TOUTES",B12='PROGRAMME RT'!$D$5)),1,0)</f>
        <v>0</v>
      </c>
      <c r="AP12" s="78" t="str">
        <f aca="false">IF(AO12=1,SUM(AO$7:AO12),"")</f>
        <v/>
      </c>
      <c r="AQ12" s="78" t="n">
        <f aca="false">IF(AND(OR(X12="R",X12="NX",X12="NT",X12="CO"),OR('JOINTS DE RÉPARATION'!$D$5="TOUTES",B12='JOINTS DE RÉPARATION'!$D$5),OR('JOINTS DE RÉPARATION'!$L$4="TOUS",AM12&lt;&gt;"ACCEPTÉ")),1,0)</f>
        <v>0</v>
      </c>
      <c r="AR12" s="78" t="str">
        <f aca="false">IF(AQ12=1,SUM(AQ$7:AQ12),"")</f>
        <v/>
      </c>
    </row>
    <row r="13" customFormat="false" ht="15" hidden="false" customHeight="false" outlineLevel="0" collapsed="false">
      <c r="A13" s="78" t="n">
        <f aca="false">IF(E13="","",ROW()-6)</f>
        <v>7</v>
      </c>
      <c r="B13" s="79" t="s">
        <v>102</v>
      </c>
      <c r="C13" s="80" t="s">
        <v>112</v>
      </c>
      <c r="D13" s="80" t="s">
        <v>103</v>
      </c>
      <c r="E13" s="80" t="s">
        <v>120</v>
      </c>
      <c r="F13" s="80" t="s">
        <v>105</v>
      </c>
      <c r="G13" s="80" t="s">
        <v>106</v>
      </c>
      <c r="H13" s="80" t="n">
        <v>11</v>
      </c>
      <c r="I13" s="80" t="s">
        <v>114</v>
      </c>
      <c r="J13" s="80" t="s">
        <v>115</v>
      </c>
      <c r="K13" s="80" t="s">
        <v>116</v>
      </c>
      <c r="L13" s="84" t="n">
        <f aca="false">IF(K13="","",IFERROR(INDEX(BARDAGE!$C$7:$C$1506,MATCH(K13,BARDAGE!$B$7:$B$1506,0)),"? hors registre"))</f>
        <v>24803579</v>
      </c>
      <c r="M13" s="80" t="s">
        <v>121</v>
      </c>
      <c r="N13" s="84" t="n">
        <f aca="false">IF(M13="","",IFERROR(INDEX(BARDAGE!$C$7:$C$1506,MATCH(M13,BARDAGE!$B$7:$B$1506,0)),"? hors registre"))</f>
        <v>24703645</v>
      </c>
      <c r="O13" s="80" t="s">
        <v>117</v>
      </c>
      <c r="P13" s="80" t="s">
        <v>117</v>
      </c>
      <c r="Q13" s="80" t="s">
        <v>117</v>
      </c>
      <c r="R13" s="82" t="n">
        <v>45914</v>
      </c>
      <c r="S13" s="82" t="n">
        <v>45914</v>
      </c>
      <c r="T13" s="80" t="s">
        <v>122</v>
      </c>
      <c r="U13" s="80" t="s">
        <v>105</v>
      </c>
      <c r="V13" s="82" t="n">
        <v>45917</v>
      </c>
      <c r="W13" s="80" t="s">
        <v>119</v>
      </c>
      <c r="X13" s="80" t="s">
        <v>105</v>
      </c>
      <c r="Y13" s="80"/>
      <c r="Z13" s="80"/>
      <c r="AA13" s="82"/>
      <c r="AB13" s="80"/>
      <c r="AC13" s="80"/>
      <c r="AD13" s="80"/>
      <c r="AE13" s="80"/>
      <c r="AF13" s="82"/>
      <c r="AG13" s="80"/>
      <c r="AH13" s="80"/>
      <c r="AI13" s="82"/>
      <c r="AJ13" s="79"/>
      <c r="AK13" s="78" t="n">
        <f aca="false">IF(E13="","",(X13&lt;&gt;"")+(AC13&lt;&gt;"")+(AH13&lt;&gt;""))</f>
        <v>1</v>
      </c>
      <c r="AL13" s="81" t="str">
        <f aca="false">IF(AH13&lt;&gt;"",AH13,IF(AC13&lt;&gt;"",AC13,IF(X13&lt;&gt;"",X13,"")))</f>
        <v>A</v>
      </c>
      <c r="AM13" s="83" t="str">
        <f aca="false">IF(E13="","",IF(R13="","À SOUDER",IF(U13="","VT EN ATTENTE",IF(U13="R","VT REJETÉ – À REPRENDRE",IF(AL13="","À RADIOGRAPHIER",IF(AL13="A","ACCEPTÉ",IF(AL13="NX","NX – RT À REFAIRE",IF(IF(AK13=1,Z13,IF(AK13=2,AE13,""))="A","RÉPARÉ – À RADIOGRAPHIER",IF(IF(AK13=1,Z13,IF(AK13=2,AE13,""))="R","VT REJETÉ – À REPRENDRE",IF(OR(AL13="CO",AL13="NT"),"COUPE – À RESOUDER","À RÉPARER"))))))))))</f>
        <v>ACCEPTÉ</v>
      </c>
      <c r="AN13" s="81" t="str">
        <f aca="false">IF(AND(ISNUMBER(R13),OR(AM13="À RADIOGRAPHIER",AM13="RÉPARÉ – À RADIOGRAPHIER",AM13="NX – RT À REFAIRE",AM13="À RÉPARER",AM13="COUPE – À RESOUDER",AM13="VT REJETÉ – À REPRENDRE")),MAX(0,'PROGRAMME RT'!$C$4-R13),"")</f>
        <v/>
      </c>
      <c r="AO13" s="78" t="n">
        <f aca="false">IF(AND(OR(AM13="À RADIOGRAPHIER",AM13="RÉPARÉ – À RADIOGRAPHIER",AM13="NX – RT À REFAIRE"),OR('PROGRAMME RT'!$D$5="TOUTES",B13='PROGRAMME RT'!$D$5)),1,0)</f>
        <v>0</v>
      </c>
      <c r="AP13" s="78" t="str">
        <f aca="false">IF(AO13=1,SUM(AO$7:AO13),"")</f>
        <v/>
      </c>
      <c r="AQ13" s="78" t="n">
        <f aca="false">IF(AND(OR(X13="R",X13="NX",X13="NT",X13="CO"),OR('JOINTS DE RÉPARATION'!$D$5="TOUTES",B13='JOINTS DE RÉPARATION'!$D$5),OR('JOINTS DE RÉPARATION'!$L$4="TOUS",AM13&lt;&gt;"ACCEPTÉ")),1,0)</f>
        <v>0</v>
      </c>
      <c r="AR13" s="78" t="str">
        <f aca="false">IF(AQ13=1,SUM(AQ$7:AQ13),"")</f>
        <v/>
      </c>
    </row>
    <row r="14" customFormat="false" ht="15" hidden="false" customHeight="false" outlineLevel="0" collapsed="false">
      <c r="A14" s="78" t="n">
        <f aca="false">IF(E14="","",ROW()-6)</f>
        <v>8</v>
      </c>
      <c r="B14" s="79" t="s">
        <v>102</v>
      </c>
      <c r="C14" s="80" t="s">
        <v>112</v>
      </c>
      <c r="D14" s="80" t="s">
        <v>103</v>
      </c>
      <c r="E14" s="80" t="s">
        <v>123</v>
      </c>
      <c r="F14" s="80" t="s">
        <v>105</v>
      </c>
      <c r="G14" s="80" t="s">
        <v>106</v>
      </c>
      <c r="H14" s="80" t="n">
        <v>11</v>
      </c>
      <c r="I14" s="80" t="s">
        <v>114</v>
      </c>
      <c r="J14" s="80" t="s">
        <v>115</v>
      </c>
      <c r="K14" s="80" t="s">
        <v>121</v>
      </c>
      <c r="L14" s="84" t="n">
        <f aca="false">IF(K14="","",IFERROR(INDEX(BARDAGE!$C$7:$C$1506,MATCH(K14,BARDAGE!$B$7:$B$1506,0)),"? hors registre"))</f>
        <v>24703645</v>
      </c>
      <c r="M14" s="80" t="s">
        <v>124</v>
      </c>
      <c r="N14" s="84" t="n">
        <f aca="false">IF(M14="","",IFERROR(INDEX(BARDAGE!$C$7:$C$1506,MATCH(M14,BARDAGE!$B$7:$B$1506,0)),"? hors registre"))</f>
        <v>852404002201</v>
      </c>
      <c r="O14" s="80" t="s">
        <v>125</v>
      </c>
      <c r="P14" s="80" t="s">
        <v>125</v>
      </c>
      <c r="Q14" s="80" t="s">
        <v>125</v>
      </c>
      <c r="R14" s="82" t="n">
        <v>45914</v>
      </c>
      <c r="S14" s="82" t="n">
        <v>45914</v>
      </c>
      <c r="T14" s="80" t="s">
        <v>122</v>
      </c>
      <c r="U14" s="80" t="s">
        <v>105</v>
      </c>
      <c r="V14" s="82" t="n">
        <v>45917</v>
      </c>
      <c r="W14" s="80" t="s">
        <v>119</v>
      </c>
      <c r="X14" s="80" t="s">
        <v>105</v>
      </c>
      <c r="Y14" s="80"/>
      <c r="Z14" s="80"/>
      <c r="AA14" s="82"/>
      <c r="AB14" s="80"/>
      <c r="AC14" s="80"/>
      <c r="AD14" s="80"/>
      <c r="AE14" s="80"/>
      <c r="AF14" s="82"/>
      <c r="AG14" s="80"/>
      <c r="AH14" s="80"/>
      <c r="AI14" s="82"/>
      <c r="AJ14" s="79"/>
      <c r="AK14" s="78" t="n">
        <f aca="false">IF(E14="","",(X14&lt;&gt;"")+(AC14&lt;&gt;"")+(AH14&lt;&gt;""))</f>
        <v>1</v>
      </c>
      <c r="AL14" s="81" t="str">
        <f aca="false">IF(AH14&lt;&gt;"",AH14,IF(AC14&lt;&gt;"",AC14,IF(X14&lt;&gt;"",X14,"")))</f>
        <v>A</v>
      </c>
      <c r="AM14" s="83" t="str">
        <f aca="false">IF(E14="","",IF(R14="","À SOUDER",IF(U14="","VT EN ATTENTE",IF(U14="R","VT REJETÉ – À REPRENDRE",IF(AL14="","À RADIOGRAPHIER",IF(AL14="A","ACCEPTÉ",IF(AL14="NX","NX – RT À REFAIRE",IF(IF(AK14=1,Z14,IF(AK14=2,AE14,""))="A","RÉPARÉ – À RADIOGRAPHIER",IF(IF(AK14=1,Z14,IF(AK14=2,AE14,""))="R","VT REJETÉ – À REPRENDRE",IF(OR(AL14="CO",AL14="NT"),"COUPE – À RESOUDER","À RÉPARER"))))))))))</f>
        <v>ACCEPTÉ</v>
      </c>
      <c r="AN14" s="81" t="str">
        <f aca="false">IF(AND(ISNUMBER(R14),OR(AM14="À RADIOGRAPHIER",AM14="RÉPARÉ – À RADIOGRAPHIER",AM14="NX – RT À REFAIRE",AM14="À RÉPARER",AM14="COUPE – À RESOUDER",AM14="VT REJETÉ – À REPRENDRE")),MAX(0,'PROGRAMME RT'!$C$4-R14),"")</f>
        <v/>
      </c>
      <c r="AO14" s="78" t="n">
        <f aca="false">IF(AND(OR(AM14="À RADIOGRAPHIER",AM14="RÉPARÉ – À RADIOGRAPHIER",AM14="NX – RT À REFAIRE"),OR('PROGRAMME RT'!$D$5="TOUTES",B14='PROGRAMME RT'!$D$5)),1,0)</f>
        <v>0</v>
      </c>
      <c r="AP14" s="78" t="str">
        <f aca="false">IF(AO14=1,SUM(AO$7:AO14),"")</f>
        <v/>
      </c>
      <c r="AQ14" s="78" t="n">
        <f aca="false">IF(AND(OR(X14="R",X14="NX",X14="NT",X14="CO"),OR('JOINTS DE RÉPARATION'!$D$5="TOUTES",B14='JOINTS DE RÉPARATION'!$D$5),OR('JOINTS DE RÉPARATION'!$L$4="TOUS",AM14&lt;&gt;"ACCEPTÉ")),1,0)</f>
        <v>0</v>
      </c>
      <c r="AR14" s="78" t="str">
        <f aca="false">IF(AQ14=1,SUM(AQ$7:AQ14),"")</f>
        <v/>
      </c>
    </row>
    <row r="15" customFormat="false" ht="15" hidden="false" customHeight="false" outlineLevel="0" collapsed="false">
      <c r="A15" s="78" t="n">
        <f aca="false">IF(E15="","",ROW()-6)</f>
        <v>9</v>
      </c>
      <c r="B15" s="79" t="s">
        <v>102</v>
      </c>
      <c r="C15" s="80" t="s">
        <v>112</v>
      </c>
      <c r="D15" s="80" t="s">
        <v>103</v>
      </c>
      <c r="E15" s="80" t="s">
        <v>126</v>
      </c>
      <c r="F15" s="80" t="s">
        <v>105</v>
      </c>
      <c r="G15" s="80" t="s">
        <v>106</v>
      </c>
      <c r="H15" s="80" t="n">
        <v>11</v>
      </c>
      <c r="I15" s="80" t="s">
        <v>114</v>
      </c>
      <c r="J15" s="80" t="s">
        <v>115</v>
      </c>
      <c r="K15" s="80" t="s">
        <v>124</v>
      </c>
      <c r="L15" s="84" t="n">
        <f aca="false">IF(K15="","",IFERROR(INDEX(BARDAGE!$C$7:$C$1506,MATCH(K15,BARDAGE!$B$7:$B$1506,0)),"? hors registre"))</f>
        <v>852404002201</v>
      </c>
      <c r="M15" s="80" t="s">
        <v>127</v>
      </c>
      <c r="N15" s="84" t="n">
        <f aca="false">IF(M15="","",IFERROR(INDEX(BARDAGE!$C$7:$C$1506,MATCH(M15,BARDAGE!$B$7:$B$1506,0)),"? hors registre"))</f>
        <v>852404000882</v>
      </c>
      <c r="O15" s="80" t="s">
        <v>117</v>
      </c>
      <c r="P15" s="80" t="s">
        <v>117</v>
      </c>
      <c r="Q15" s="80" t="s">
        <v>117</v>
      </c>
      <c r="R15" s="82" t="n">
        <v>45908</v>
      </c>
      <c r="S15" s="82" t="n">
        <v>45908</v>
      </c>
      <c r="T15" s="80" t="s">
        <v>128</v>
      </c>
      <c r="U15" s="80" t="s">
        <v>105</v>
      </c>
      <c r="V15" s="82" t="n">
        <v>45915</v>
      </c>
      <c r="W15" s="80" t="s">
        <v>129</v>
      </c>
      <c r="X15" s="80" t="s">
        <v>105</v>
      </c>
      <c r="Y15" s="80"/>
      <c r="Z15" s="80"/>
      <c r="AA15" s="82"/>
      <c r="AB15" s="80"/>
      <c r="AC15" s="80"/>
      <c r="AD15" s="80"/>
      <c r="AE15" s="80"/>
      <c r="AF15" s="82"/>
      <c r="AG15" s="80"/>
      <c r="AH15" s="80"/>
      <c r="AI15" s="82"/>
      <c r="AJ15" s="79"/>
      <c r="AK15" s="78" t="n">
        <f aca="false">IF(E15="","",(X15&lt;&gt;"")+(AC15&lt;&gt;"")+(AH15&lt;&gt;""))</f>
        <v>1</v>
      </c>
      <c r="AL15" s="81" t="str">
        <f aca="false">IF(AH15&lt;&gt;"",AH15,IF(AC15&lt;&gt;"",AC15,IF(X15&lt;&gt;"",X15,"")))</f>
        <v>A</v>
      </c>
      <c r="AM15" s="83" t="str">
        <f aca="false">IF(E15="","",IF(R15="","À SOUDER",IF(U15="","VT EN ATTENTE",IF(U15="R","VT REJETÉ – À REPRENDRE",IF(AL15="","À RADIOGRAPHIER",IF(AL15="A","ACCEPTÉ",IF(AL15="NX","NX – RT À REFAIRE",IF(IF(AK15=1,Z15,IF(AK15=2,AE15,""))="A","RÉPARÉ – À RADIOGRAPHIER",IF(IF(AK15=1,Z15,IF(AK15=2,AE15,""))="R","VT REJETÉ – À REPRENDRE",IF(OR(AL15="CO",AL15="NT"),"COUPE – À RESOUDER","À RÉPARER"))))))))))</f>
        <v>ACCEPTÉ</v>
      </c>
      <c r="AN15" s="81" t="str">
        <f aca="false">IF(AND(ISNUMBER(R15),OR(AM15="À RADIOGRAPHIER",AM15="RÉPARÉ – À RADIOGRAPHIER",AM15="NX – RT À REFAIRE",AM15="À RÉPARER",AM15="COUPE – À RESOUDER",AM15="VT REJETÉ – À REPRENDRE")),MAX(0,'PROGRAMME RT'!$C$4-R15),"")</f>
        <v/>
      </c>
      <c r="AO15" s="78" t="n">
        <f aca="false">IF(AND(OR(AM15="À RADIOGRAPHIER",AM15="RÉPARÉ – À RADIOGRAPHIER",AM15="NX – RT À REFAIRE"),OR('PROGRAMME RT'!$D$5="TOUTES",B15='PROGRAMME RT'!$D$5)),1,0)</f>
        <v>0</v>
      </c>
      <c r="AP15" s="78" t="str">
        <f aca="false">IF(AO15=1,SUM(AO$7:AO15),"")</f>
        <v/>
      </c>
      <c r="AQ15" s="78" t="n">
        <f aca="false">IF(AND(OR(X15="R",X15="NX",X15="NT",X15="CO"),OR('JOINTS DE RÉPARATION'!$D$5="TOUTES",B15='JOINTS DE RÉPARATION'!$D$5),OR('JOINTS DE RÉPARATION'!$L$4="TOUS",AM15&lt;&gt;"ACCEPTÉ")),1,0)</f>
        <v>0</v>
      </c>
      <c r="AR15" s="78" t="str">
        <f aca="false">IF(AQ15=1,SUM(AQ$7:AQ15),"")</f>
        <v/>
      </c>
    </row>
    <row r="16" customFormat="false" ht="15" hidden="false" customHeight="false" outlineLevel="0" collapsed="false">
      <c r="A16" s="78" t="n">
        <f aca="false">IF(E16="","",ROW()-6)</f>
        <v>10</v>
      </c>
      <c r="B16" s="79" t="s">
        <v>102</v>
      </c>
      <c r="C16" s="80" t="s">
        <v>130</v>
      </c>
      <c r="D16" s="80" t="s">
        <v>103</v>
      </c>
      <c r="E16" s="80" t="s">
        <v>131</v>
      </c>
      <c r="F16" s="80" t="s">
        <v>105</v>
      </c>
      <c r="G16" s="80" t="s">
        <v>106</v>
      </c>
      <c r="H16" s="80" t="n">
        <v>11</v>
      </c>
      <c r="I16" s="80" t="s">
        <v>114</v>
      </c>
      <c r="J16" s="80" t="s">
        <v>132</v>
      </c>
      <c r="K16" s="80" t="s">
        <v>127</v>
      </c>
      <c r="L16" s="84" t="n">
        <f aca="false">IF(K16="","",IFERROR(INDEX(BARDAGE!$C$7:$C$1506,MATCH(K16,BARDAGE!$B$7:$B$1506,0)),"? hors registre"))</f>
        <v>852404000882</v>
      </c>
      <c r="M16" s="80" t="s">
        <v>133</v>
      </c>
      <c r="N16" s="84" t="n">
        <f aca="false">IF(M16="","",IFERROR(INDEX(BARDAGE!$C$7:$C$1506,MATCH(M16,BARDAGE!$B$7:$B$1506,0)),"? hors registre"))</f>
        <v>852404000882</v>
      </c>
      <c r="O16" s="80" t="s">
        <v>125</v>
      </c>
      <c r="P16" s="80" t="s">
        <v>125</v>
      </c>
      <c r="Q16" s="80" t="s">
        <v>134</v>
      </c>
      <c r="R16" s="82" t="n">
        <v>45891</v>
      </c>
      <c r="S16" s="82" t="n">
        <v>45891</v>
      </c>
      <c r="T16" s="80" t="s">
        <v>135</v>
      </c>
      <c r="U16" s="80" t="s">
        <v>105</v>
      </c>
      <c r="V16" s="82" t="n">
        <v>45893</v>
      </c>
      <c r="W16" s="80" t="s">
        <v>136</v>
      </c>
      <c r="X16" s="80" t="s">
        <v>105</v>
      </c>
      <c r="Y16" s="80"/>
      <c r="Z16" s="80"/>
      <c r="AA16" s="82"/>
      <c r="AB16" s="80"/>
      <c r="AC16" s="80"/>
      <c r="AD16" s="80"/>
      <c r="AE16" s="80"/>
      <c r="AF16" s="82"/>
      <c r="AG16" s="80"/>
      <c r="AH16" s="80"/>
      <c r="AI16" s="82"/>
      <c r="AJ16" s="79"/>
      <c r="AK16" s="78" t="n">
        <f aca="false">IF(E16="","",(X16&lt;&gt;"")+(AC16&lt;&gt;"")+(AH16&lt;&gt;""))</f>
        <v>1</v>
      </c>
      <c r="AL16" s="81" t="str">
        <f aca="false">IF(AH16&lt;&gt;"",AH16,IF(AC16&lt;&gt;"",AC16,IF(X16&lt;&gt;"",X16,"")))</f>
        <v>A</v>
      </c>
      <c r="AM16" s="83" t="str">
        <f aca="false">IF(E16="","",IF(R16="","À SOUDER",IF(U16="","VT EN ATTENTE",IF(U16="R","VT REJETÉ – À REPRENDRE",IF(AL16="","À RADIOGRAPHIER",IF(AL16="A","ACCEPTÉ",IF(AL16="NX","NX – RT À REFAIRE",IF(IF(AK16=1,Z16,IF(AK16=2,AE16,""))="A","RÉPARÉ – À RADIOGRAPHIER",IF(IF(AK16=1,Z16,IF(AK16=2,AE16,""))="R","VT REJETÉ – À REPRENDRE",IF(OR(AL16="CO",AL16="NT"),"COUPE – À RESOUDER","À RÉPARER"))))))))))</f>
        <v>ACCEPTÉ</v>
      </c>
      <c r="AN16" s="81" t="str">
        <f aca="false">IF(AND(ISNUMBER(R16),OR(AM16="À RADIOGRAPHIER",AM16="RÉPARÉ – À RADIOGRAPHIER",AM16="NX – RT À REFAIRE",AM16="À RÉPARER",AM16="COUPE – À RESOUDER",AM16="VT REJETÉ – À REPRENDRE")),MAX(0,'PROGRAMME RT'!$C$4-R16),"")</f>
        <v/>
      </c>
      <c r="AO16" s="78" t="n">
        <f aca="false">IF(AND(OR(AM16="À RADIOGRAPHIER",AM16="RÉPARÉ – À RADIOGRAPHIER",AM16="NX – RT À REFAIRE"),OR('PROGRAMME RT'!$D$5="TOUTES",B16='PROGRAMME RT'!$D$5)),1,0)</f>
        <v>0</v>
      </c>
      <c r="AP16" s="78" t="str">
        <f aca="false">IF(AO16=1,SUM(AO$7:AO16),"")</f>
        <v/>
      </c>
      <c r="AQ16" s="78" t="n">
        <f aca="false">IF(AND(OR(X16="R",X16="NX",X16="NT",X16="CO"),OR('JOINTS DE RÉPARATION'!$D$5="TOUTES",B16='JOINTS DE RÉPARATION'!$D$5),OR('JOINTS DE RÉPARATION'!$L$4="TOUS",AM16&lt;&gt;"ACCEPTÉ")),1,0)</f>
        <v>0</v>
      </c>
      <c r="AR16" s="78" t="str">
        <f aca="false">IF(AQ16=1,SUM(AQ$7:AQ16),"")</f>
        <v/>
      </c>
    </row>
    <row r="17" customFormat="false" ht="15" hidden="false" customHeight="false" outlineLevel="0" collapsed="false">
      <c r="A17" s="78" t="n">
        <f aca="false">IF(E17="","",ROW()-6)</f>
        <v>11</v>
      </c>
      <c r="B17" s="79" t="s">
        <v>102</v>
      </c>
      <c r="C17" s="80" t="s">
        <v>130</v>
      </c>
      <c r="D17" s="80" t="s">
        <v>103</v>
      </c>
      <c r="E17" s="80" t="s">
        <v>137</v>
      </c>
      <c r="F17" s="80" t="s">
        <v>105</v>
      </c>
      <c r="G17" s="80" t="s">
        <v>106</v>
      </c>
      <c r="H17" s="80" t="n">
        <v>11</v>
      </c>
      <c r="I17" s="80" t="s">
        <v>114</v>
      </c>
      <c r="J17" s="80" t="s">
        <v>132</v>
      </c>
      <c r="K17" s="80" t="s">
        <v>133</v>
      </c>
      <c r="L17" s="84" t="n">
        <f aca="false">IF(K17="","",IFERROR(INDEX(BARDAGE!$C$7:$C$1506,MATCH(K17,BARDAGE!$B$7:$B$1506,0)),"? hors registre"))</f>
        <v>852404000882</v>
      </c>
      <c r="M17" s="80" t="s">
        <v>138</v>
      </c>
      <c r="N17" s="84" t="n">
        <f aca="false">IF(M17="","",IFERROR(INDEX(BARDAGE!$C$7:$C$1506,MATCH(M17,BARDAGE!$B$7:$B$1506,0)),"? hors registre"))</f>
        <v>852405000610</v>
      </c>
      <c r="O17" s="80" t="s">
        <v>125</v>
      </c>
      <c r="P17" s="80" t="s">
        <v>125</v>
      </c>
      <c r="Q17" s="80" t="s">
        <v>134</v>
      </c>
      <c r="R17" s="82" t="n">
        <v>45891</v>
      </c>
      <c r="S17" s="82" t="n">
        <v>45891</v>
      </c>
      <c r="T17" s="80" t="s">
        <v>135</v>
      </c>
      <c r="U17" s="80" t="s">
        <v>105</v>
      </c>
      <c r="V17" s="82" t="n">
        <v>45893</v>
      </c>
      <c r="W17" s="80" t="s">
        <v>136</v>
      </c>
      <c r="X17" s="80" t="s">
        <v>105</v>
      </c>
      <c r="Y17" s="80"/>
      <c r="Z17" s="80"/>
      <c r="AA17" s="82"/>
      <c r="AB17" s="80"/>
      <c r="AC17" s="80"/>
      <c r="AD17" s="80"/>
      <c r="AE17" s="80"/>
      <c r="AF17" s="82"/>
      <c r="AG17" s="80"/>
      <c r="AH17" s="80"/>
      <c r="AI17" s="82"/>
      <c r="AJ17" s="79"/>
      <c r="AK17" s="78" t="n">
        <f aca="false">IF(E17="","",(X17&lt;&gt;"")+(AC17&lt;&gt;"")+(AH17&lt;&gt;""))</f>
        <v>1</v>
      </c>
      <c r="AL17" s="81" t="str">
        <f aca="false">IF(AH17&lt;&gt;"",AH17,IF(AC17&lt;&gt;"",AC17,IF(X17&lt;&gt;"",X17,"")))</f>
        <v>A</v>
      </c>
      <c r="AM17" s="83" t="str">
        <f aca="false">IF(E17="","",IF(R17="","À SOUDER",IF(U17="","VT EN ATTENTE",IF(U17="R","VT REJETÉ – À REPRENDRE",IF(AL17="","À RADIOGRAPHIER",IF(AL17="A","ACCEPTÉ",IF(AL17="NX","NX – RT À REFAIRE",IF(IF(AK17=1,Z17,IF(AK17=2,AE17,""))="A","RÉPARÉ – À RADIOGRAPHIER",IF(IF(AK17=1,Z17,IF(AK17=2,AE17,""))="R","VT REJETÉ – À REPRENDRE",IF(OR(AL17="CO",AL17="NT"),"COUPE – À RESOUDER","À RÉPARER"))))))))))</f>
        <v>ACCEPTÉ</v>
      </c>
      <c r="AN17" s="81" t="str">
        <f aca="false">IF(AND(ISNUMBER(R17),OR(AM17="À RADIOGRAPHIER",AM17="RÉPARÉ – À RADIOGRAPHIER",AM17="NX – RT À REFAIRE",AM17="À RÉPARER",AM17="COUPE – À RESOUDER",AM17="VT REJETÉ – À REPRENDRE")),MAX(0,'PROGRAMME RT'!$C$4-R17),"")</f>
        <v/>
      </c>
      <c r="AO17" s="78" t="n">
        <f aca="false">IF(AND(OR(AM17="À RADIOGRAPHIER",AM17="RÉPARÉ – À RADIOGRAPHIER",AM17="NX – RT À REFAIRE"),OR('PROGRAMME RT'!$D$5="TOUTES",B17='PROGRAMME RT'!$D$5)),1,0)</f>
        <v>0</v>
      </c>
      <c r="AP17" s="78" t="str">
        <f aca="false">IF(AO17=1,SUM(AO$7:AO17),"")</f>
        <v/>
      </c>
      <c r="AQ17" s="78" t="n">
        <f aca="false">IF(AND(OR(X17="R",X17="NX",X17="NT",X17="CO"),OR('JOINTS DE RÉPARATION'!$D$5="TOUTES",B17='JOINTS DE RÉPARATION'!$D$5),OR('JOINTS DE RÉPARATION'!$L$4="TOUS",AM17&lt;&gt;"ACCEPTÉ")),1,0)</f>
        <v>0</v>
      </c>
      <c r="AR17" s="78" t="str">
        <f aca="false">IF(AQ17=1,SUM(AQ$7:AQ17),"")</f>
        <v/>
      </c>
    </row>
    <row r="18" customFormat="false" ht="15" hidden="false" customHeight="false" outlineLevel="0" collapsed="false">
      <c r="A18" s="78" t="n">
        <f aca="false">IF(E18="","",ROW()-6)</f>
        <v>12</v>
      </c>
      <c r="B18" s="79" t="s">
        <v>102</v>
      </c>
      <c r="C18" s="80" t="s">
        <v>130</v>
      </c>
      <c r="D18" s="80" t="s">
        <v>103</v>
      </c>
      <c r="E18" s="80" t="s">
        <v>139</v>
      </c>
      <c r="F18" s="80" t="s">
        <v>105</v>
      </c>
      <c r="G18" s="80" t="s">
        <v>106</v>
      </c>
      <c r="H18" s="80" t="n">
        <v>11</v>
      </c>
      <c r="I18" s="80" t="s">
        <v>114</v>
      </c>
      <c r="J18" s="80" t="s">
        <v>132</v>
      </c>
      <c r="K18" s="80" t="s">
        <v>138</v>
      </c>
      <c r="L18" s="84" t="n">
        <f aca="false">IF(K18="","",IFERROR(INDEX(BARDAGE!$C$7:$C$1506,MATCH(K18,BARDAGE!$B$7:$B$1506,0)),"? hors registre"))</f>
        <v>852405000610</v>
      </c>
      <c r="M18" s="80" t="s">
        <v>140</v>
      </c>
      <c r="N18" s="84" t="n">
        <f aca="false">IF(M18="","",IFERROR(INDEX(BARDAGE!$C$7:$C$1506,MATCH(M18,BARDAGE!$B$7:$B$1506,0)),"? hors registre"))</f>
        <v>852404002201</v>
      </c>
      <c r="O18" s="80" t="s">
        <v>141</v>
      </c>
      <c r="P18" s="80" t="s">
        <v>141</v>
      </c>
      <c r="Q18" s="80" t="s">
        <v>134</v>
      </c>
      <c r="R18" s="82" t="n">
        <v>45891</v>
      </c>
      <c r="S18" s="82" t="n">
        <v>45891</v>
      </c>
      <c r="T18" s="80" t="s">
        <v>135</v>
      </c>
      <c r="U18" s="80" t="s">
        <v>105</v>
      </c>
      <c r="V18" s="82" t="n">
        <v>45893</v>
      </c>
      <c r="W18" s="80" t="s">
        <v>136</v>
      </c>
      <c r="X18" s="80" t="s">
        <v>105</v>
      </c>
      <c r="Y18" s="80"/>
      <c r="Z18" s="80"/>
      <c r="AA18" s="82"/>
      <c r="AB18" s="80"/>
      <c r="AC18" s="80"/>
      <c r="AD18" s="80"/>
      <c r="AE18" s="80"/>
      <c r="AF18" s="82"/>
      <c r="AG18" s="80"/>
      <c r="AH18" s="80"/>
      <c r="AI18" s="82"/>
      <c r="AJ18" s="79"/>
      <c r="AK18" s="78" t="n">
        <f aca="false">IF(E18="","",(X18&lt;&gt;"")+(AC18&lt;&gt;"")+(AH18&lt;&gt;""))</f>
        <v>1</v>
      </c>
      <c r="AL18" s="81" t="str">
        <f aca="false">IF(AH18&lt;&gt;"",AH18,IF(AC18&lt;&gt;"",AC18,IF(X18&lt;&gt;"",X18,"")))</f>
        <v>A</v>
      </c>
      <c r="AM18" s="83" t="str">
        <f aca="false">IF(E18="","",IF(R18="","À SOUDER",IF(U18="","VT EN ATTENTE",IF(U18="R","VT REJETÉ – À REPRENDRE",IF(AL18="","À RADIOGRAPHIER",IF(AL18="A","ACCEPTÉ",IF(AL18="NX","NX – RT À REFAIRE",IF(IF(AK18=1,Z18,IF(AK18=2,AE18,""))="A","RÉPARÉ – À RADIOGRAPHIER",IF(IF(AK18=1,Z18,IF(AK18=2,AE18,""))="R","VT REJETÉ – À REPRENDRE",IF(OR(AL18="CO",AL18="NT"),"COUPE – À RESOUDER","À RÉPARER"))))))))))</f>
        <v>ACCEPTÉ</v>
      </c>
      <c r="AN18" s="81" t="str">
        <f aca="false">IF(AND(ISNUMBER(R18),OR(AM18="À RADIOGRAPHIER",AM18="RÉPARÉ – À RADIOGRAPHIER",AM18="NX – RT À REFAIRE",AM18="À RÉPARER",AM18="COUPE – À RESOUDER",AM18="VT REJETÉ – À REPRENDRE")),MAX(0,'PROGRAMME RT'!$C$4-R18),"")</f>
        <v/>
      </c>
      <c r="AO18" s="78" t="n">
        <f aca="false">IF(AND(OR(AM18="À RADIOGRAPHIER",AM18="RÉPARÉ – À RADIOGRAPHIER",AM18="NX – RT À REFAIRE"),OR('PROGRAMME RT'!$D$5="TOUTES",B18='PROGRAMME RT'!$D$5)),1,0)</f>
        <v>0</v>
      </c>
      <c r="AP18" s="78" t="str">
        <f aca="false">IF(AO18=1,SUM(AO$7:AO18),"")</f>
        <v/>
      </c>
      <c r="AQ18" s="78" t="n">
        <f aca="false">IF(AND(OR(X18="R",X18="NX",X18="NT",X18="CO"),OR('JOINTS DE RÉPARATION'!$D$5="TOUTES",B18='JOINTS DE RÉPARATION'!$D$5),OR('JOINTS DE RÉPARATION'!$L$4="TOUS",AM18&lt;&gt;"ACCEPTÉ")),1,0)</f>
        <v>0</v>
      </c>
      <c r="AR18" s="78" t="str">
        <f aca="false">IF(AQ18=1,SUM(AQ$7:AQ18),"")</f>
        <v/>
      </c>
    </row>
    <row r="19" customFormat="false" ht="15" hidden="false" customHeight="false" outlineLevel="0" collapsed="false">
      <c r="A19" s="78" t="n">
        <f aca="false">IF(E19="","",ROW()-6)</f>
        <v>13</v>
      </c>
      <c r="B19" s="79" t="s">
        <v>102</v>
      </c>
      <c r="C19" s="80" t="s">
        <v>130</v>
      </c>
      <c r="D19" s="80" t="s">
        <v>103</v>
      </c>
      <c r="E19" s="80" t="s">
        <v>142</v>
      </c>
      <c r="F19" s="80" t="s">
        <v>105</v>
      </c>
      <c r="G19" s="80" t="s">
        <v>106</v>
      </c>
      <c r="H19" s="80" t="n">
        <v>11</v>
      </c>
      <c r="I19" s="80" t="s">
        <v>114</v>
      </c>
      <c r="J19" s="80" t="s">
        <v>132</v>
      </c>
      <c r="K19" s="80" t="s">
        <v>140</v>
      </c>
      <c r="L19" s="84" t="n">
        <f aca="false">IF(K19="","",IFERROR(INDEX(BARDAGE!$C$7:$C$1506,MATCH(K19,BARDAGE!$B$7:$B$1506,0)),"? hors registre"))</f>
        <v>852404002201</v>
      </c>
      <c r="M19" s="80" t="s">
        <v>143</v>
      </c>
      <c r="N19" s="84" t="n">
        <f aca="false">IF(M19="","",IFERROR(INDEX(BARDAGE!$C$7:$C$1506,MATCH(M19,BARDAGE!$B$7:$B$1506,0)),"? hors registre"))</f>
        <v>852405000610</v>
      </c>
      <c r="O19" s="80" t="s">
        <v>141</v>
      </c>
      <c r="P19" s="80" t="s">
        <v>141</v>
      </c>
      <c r="Q19" s="80" t="s">
        <v>125</v>
      </c>
      <c r="R19" s="82" t="n">
        <v>45891</v>
      </c>
      <c r="S19" s="82" t="n">
        <v>45891</v>
      </c>
      <c r="T19" s="80" t="s">
        <v>135</v>
      </c>
      <c r="U19" s="80" t="s">
        <v>105</v>
      </c>
      <c r="V19" s="82" t="n">
        <v>45893</v>
      </c>
      <c r="W19" s="80" t="s">
        <v>136</v>
      </c>
      <c r="X19" s="80" t="s">
        <v>105</v>
      </c>
      <c r="Y19" s="80"/>
      <c r="Z19" s="80"/>
      <c r="AA19" s="82"/>
      <c r="AB19" s="80"/>
      <c r="AC19" s="80"/>
      <c r="AD19" s="80"/>
      <c r="AE19" s="80"/>
      <c r="AF19" s="82"/>
      <c r="AG19" s="80"/>
      <c r="AH19" s="80"/>
      <c r="AI19" s="82"/>
      <c r="AJ19" s="79"/>
      <c r="AK19" s="78" t="n">
        <f aca="false">IF(E19="","",(X19&lt;&gt;"")+(AC19&lt;&gt;"")+(AH19&lt;&gt;""))</f>
        <v>1</v>
      </c>
      <c r="AL19" s="81" t="str">
        <f aca="false">IF(AH19&lt;&gt;"",AH19,IF(AC19&lt;&gt;"",AC19,IF(X19&lt;&gt;"",X19,"")))</f>
        <v>A</v>
      </c>
      <c r="AM19" s="83" t="str">
        <f aca="false">IF(E19="","",IF(R19="","À SOUDER",IF(U19="","VT EN ATTENTE",IF(U19="R","VT REJETÉ – À REPRENDRE",IF(AL19="","À RADIOGRAPHIER",IF(AL19="A","ACCEPTÉ",IF(AL19="NX","NX – RT À REFAIRE",IF(IF(AK19=1,Z19,IF(AK19=2,AE19,""))="A","RÉPARÉ – À RADIOGRAPHIER",IF(IF(AK19=1,Z19,IF(AK19=2,AE19,""))="R","VT REJETÉ – À REPRENDRE",IF(OR(AL19="CO",AL19="NT"),"COUPE – À RESOUDER","À RÉPARER"))))))))))</f>
        <v>ACCEPTÉ</v>
      </c>
      <c r="AN19" s="81" t="str">
        <f aca="false">IF(AND(ISNUMBER(R19),OR(AM19="À RADIOGRAPHIER",AM19="RÉPARÉ – À RADIOGRAPHIER",AM19="NX – RT À REFAIRE",AM19="À RÉPARER",AM19="COUPE – À RESOUDER",AM19="VT REJETÉ – À REPRENDRE")),MAX(0,'PROGRAMME RT'!$C$4-R19),"")</f>
        <v/>
      </c>
      <c r="AO19" s="78" t="n">
        <f aca="false">IF(AND(OR(AM19="À RADIOGRAPHIER",AM19="RÉPARÉ – À RADIOGRAPHIER",AM19="NX – RT À REFAIRE"),OR('PROGRAMME RT'!$D$5="TOUTES",B19='PROGRAMME RT'!$D$5)),1,0)</f>
        <v>0</v>
      </c>
      <c r="AP19" s="78" t="str">
        <f aca="false">IF(AO19=1,SUM(AO$7:AO19),"")</f>
        <v/>
      </c>
      <c r="AQ19" s="78" t="n">
        <f aca="false">IF(AND(OR(X19="R",X19="NX",X19="NT",X19="CO"),OR('JOINTS DE RÉPARATION'!$D$5="TOUTES",B19='JOINTS DE RÉPARATION'!$D$5),OR('JOINTS DE RÉPARATION'!$L$4="TOUS",AM19&lt;&gt;"ACCEPTÉ")),1,0)</f>
        <v>0</v>
      </c>
      <c r="AR19" s="78" t="str">
        <f aca="false">IF(AQ19=1,SUM(AQ$7:AQ19),"")</f>
        <v/>
      </c>
    </row>
    <row r="20" customFormat="false" ht="15" hidden="false" customHeight="false" outlineLevel="0" collapsed="false">
      <c r="A20" s="78" t="n">
        <f aca="false">IF(E20="","",ROW()-6)</f>
        <v>14</v>
      </c>
      <c r="B20" s="79" t="s">
        <v>102</v>
      </c>
      <c r="C20" s="80" t="s">
        <v>130</v>
      </c>
      <c r="D20" s="80" t="s">
        <v>103</v>
      </c>
      <c r="E20" s="80" t="s">
        <v>144</v>
      </c>
      <c r="F20" s="80" t="s">
        <v>105</v>
      </c>
      <c r="G20" s="80" t="s">
        <v>106</v>
      </c>
      <c r="H20" s="80" t="n">
        <v>11</v>
      </c>
      <c r="I20" s="80" t="s">
        <v>114</v>
      </c>
      <c r="J20" s="80" t="s">
        <v>132</v>
      </c>
      <c r="K20" s="80" t="s">
        <v>143</v>
      </c>
      <c r="L20" s="84" t="n">
        <f aca="false">IF(K20="","",IFERROR(INDEX(BARDAGE!$C$7:$C$1506,MATCH(K20,BARDAGE!$B$7:$B$1506,0)),"? hors registre"))</f>
        <v>852405000610</v>
      </c>
      <c r="M20" s="80" t="s">
        <v>145</v>
      </c>
      <c r="N20" s="84" t="n">
        <f aca="false">IF(M20="","",IFERROR(INDEX(BARDAGE!$C$7:$C$1506,MATCH(M20,BARDAGE!$B$7:$B$1506,0)),"? hors registre"))</f>
        <v>852404000882</v>
      </c>
      <c r="O20" s="80" t="s">
        <v>141</v>
      </c>
      <c r="P20" s="80" t="s">
        <v>141</v>
      </c>
      <c r="Q20" s="80" t="s">
        <v>125</v>
      </c>
      <c r="R20" s="82" t="n">
        <v>45876</v>
      </c>
      <c r="S20" s="82" t="n">
        <v>45876</v>
      </c>
      <c r="T20" s="80" t="s">
        <v>146</v>
      </c>
      <c r="U20" s="80" t="s">
        <v>105</v>
      </c>
      <c r="V20" s="82" t="n">
        <v>45888</v>
      </c>
      <c r="W20" s="80" t="s">
        <v>147</v>
      </c>
      <c r="X20" s="80" t="s">
        <v>105</v>
      </c>
      <c r="Y20" s="80"/>
      <c r="Z20" s="80"/>
      <c r="AA20" s="82"/>
      <c r="AB20" s="80"/>
      <c r="AC20" s="80"/>
      <c r="AD20" s="80"/>
      <c r="AE20" s="80"/>
      <c r="AF20" s="82"/>
      <c r="AG20" s="80"/>
      <c r="AH20" s="80"/>
      <c r="AI20" s="82"/>
      <c r="AJ20" s="79"/>
      <c r="AK20" s="78" t="n">
        <f aca="false">IF(E20="","",(X20&lt;&gt;"")+(AC20&lt;&gt;"")+(AH20&lt;&gt;""))</f>
        <v>1</v>
      </c>
      <c r="AL20" s="81" t="str">
        <f aca="false">IF(AH20&lt;&gt;"",AH20,IF(AC20&lt;&gt;"",AC20,IF(X20&lt;&gt;"",X20,"")))</f>
        <v>A</v>
      </c>
      <c r="AM20" s="83" t="str">
        <f aca="false">IF(E20="","",IF(R20="","À SOUDER",IF(U20="","VT EN ATTENTE",IF(U20="R","VT REJETÉ – À REPRENDRE",IF(AL20="","À RADIOGRAPHIER",IF(AL20="A","ACCEPTÉ",IF(AL20="NX","NX – RT À REFAIRE",IF(IF(AK20=1,Z20,IF(AK20=2,AE20,""))="A","RÉPARÉ – À RADIOGRAPHIER",IF(IF(AK20=1,Z20,IF(AK20=2,AE20,""))="R","VT REJETÉ – À REPRENDRE",IF(OR(AL20="CO",AL20="NT"),"COUPE – À RESOUDER","À RÉPARER"))))))))))</f>
        <v>ACCEPTÉ</v>
      </c>
      <c r="AN20" s="81" t="str">
        <f aca="false">IF(AND(ISNUMBER(R20),OR(AM20="À RADIOGRAPHIER",AM20="RÉPARÉ – À RADIOGRAPHIER",AM20="NX – RT À REFAIRE",AM20="À RÉPARER",AM20="COUPE – À RESOUDER",AM20="VT REJETÉ – À REPRENDRE")),MAX(0,'PROGRAMME RT'!$C$4-R20),"")</f>
        <v/>
      </c>
      <c r="AO20" s="78" t="n">
        <f aca="false">IF(AND(OR(AM20="À RADIOGRAPHIER",AM20="RÉPARÉ – À RADIOGRAPHIER",AM20="NX – RT À REFAIRE"),OR('PROGRAMME RT'!$D$5="TOUTES",B20='PROGRAMME RT'!$D$5)),1,0)</f>
        <v>0</v>
      </c>
      <c r="AP20" s="78" t="str">
        <f aca="false">IF(AO20=1,SUM(AO$7:AO20),"")</f>
        <v/>
      </c>
      <c r="AQ20" s="78" t="n">
        <f aca="false">IF(AND(OR(X20="R",X20="NX",X20="NT",X20="CO"),OR('JOINTS DE RÉPARATION'!$D$5="TOUTES",B20='JOINTS DE RÉPARATION'!$D$5),OR('JOINTS DE RÉPARATION'!$L$4="TOUS",AM20&lt;&gt;"ACCEPTÉ")),1,0)</f>
        <v>0</v>
      </c>
      <c r="AR20" s="78" t="str">
        <f aca="false">IF(AQ20=1,SUM(AQ$7:AQ20),"")</f>
        <v/>
      </c>
    </row>
    <row r="21" customFormat="false" ht="15" hidden="false" customHeight="false" outlineLevel="0" collapsed="false">
      <c r="A21" s="78" t="n">
        <f aca="false">IF(E21="","",ROW()-6)</f>
        <v>15</v>
      </c>
      <c r="B21" s="79" t="s">
        <v>102</v>
      </c>
      <c r="C21" s="80" t="s">
        <v>130</v>
      </c>
      <c r="D21" s="80" t="s">
        <v>103</v>
      </c>
      <c r="E21" s="80" t="s">
        <v>148</v>
      </c>
      <c r="F21" s="80" t="s">
        <v>105</v>
      </c>
      <c r="G21" s="80" t="s">
        <v>106</v>
      </c>
      <c r="H21" s="80" t="n">
        <v>11</v>
      </c>
      <c r="I21" s="80" t="s">
        <v>114</v>
      </c>
      <c r="J21" s="80" t="s">
        <v>132</v>
      </c>
      <c r="K21" s="80" t="s">
        <v>145</v>
      </c>
      <c r="L21" s="84" t="n">
        <f aca="false">IF(K21="","",IFERROR(INDEX(BARDAGE!$C$7:$C$1506,MATCH(K21,BARDAGE!$B$7:$B$1506,0)),"? hors registre"))</f>
        <v>852404000882</v>
      </c>
      <c r="M21" s="80" t="s">
        <v>149</v>
      </c>
      <c r="N21" s="84" t="n">
        <f aca="false">IF(M21="","",IFERROR(INDEX(BARDAGE!$C$7:$C$1506,MATCH(M21,BARDAGE!$B$7:$B$1506,0)),"? hors registre"))</f>
        <v>852405000564</v>
      </c>
      <c r="O21" s="80" t="s">
        <v>141</v>
      </c>
      <c r="P21" s="80" t="s">
        <v>141</v>
      </c>
      <c r="Q21" s="80" t="s">
        <v>125</v>
      </c>
      <c r="R21" s="82" t="n">
        <v>45876</v>
      </c>
      <c r="S21" s="82" t="n">
        <v>45876</v>
      </c>
      <c r="T21" s="80" t="s">
        <v>146</v>
      </c>
      <c r="U21" s="80" t="s">
        <v>105</v>
      </c>
      <c r="V21" s="82" t="n">
        <v>45888</v>
      </c>
      <c r="W21" s="80" t="s">
        <v>147</v>
      </c>
      <c r="X21" s="80" t="s">
        <v>105</v>
      </c>
      <c r="Y21" s="80"/>
      <c r="Z21" s="80"/>
      <c r="AA21" s="82"/>
      <c r="AB21" s="80"/>
      <c r="AC21" s="80"/>
      <c r="AD21" s="80"/>
      <c r="AE21" s="80"/>
      <c r="AF21" s="82"/>
      <c r="AG21" s="80"/>
      <c r="AH21" s="80"/>
      <c r="AI21" s="82"/>
      <c r="AJ21" s="79"/>
      <c r="AK21" s="78" t="n">
        <f aca="false">IF(E21="","",(X21&lt;&gt;"")+(AC21&lt;&gt;"")+(AH21&lt;&gt;""))</f>
        <v>1</v>
      </c>
      <c r="AL21" s="81" t="str">
        <f aca="false">IF(AH21&lt;&gt;"",AH21,IF(AC21&lt;&gt;"",AC21,IF(X21&lt;&gt;"",X21,"")))</f>
        <v>A</v>
      </c>
      <c r="AM21" s="83" t="str">
        <f aca="false">IF(E21="","",IF(R21="","À SOUDER",IF(U21="","VT EN ATTENTE",IF(U21="R","VT REJETÉ – À REPRENDRE",IF(AL21="","À RADIOGRAPHIER",IF(AL21="A","ACCEPTÉ",IF(AL21="NX","NX – RT À REFAIRE",IF(IF(AK21=1,Z21,IF(AK21=2,AE21,""))="A","RÉPARÉ – À RADIOGRAPHIER",IF(IF(AK21=1,Z21,IF(AK21=2,AE21,""))="R","VT REJETÉ – À REPRENDRE",IF(OR(AL21="CO",AL21="NT"),"COUPE – À RESOUDER","À RÉPARER"))))))))))</f>
        <v>ACCEPTÉ</v>
      </c>
      <c r="AN21" s="81" t="str">
        <f aca="false">IF(AND(ISNUMBER(R21),OR(AM21="À RADIOGRAPHIER",AM21="RÉPARÉ – À RADIOGRAPHIER",AM21="NX – RT À REFAIRE",AM21="À RÉPARER",AM21="COUPE – À RESOUDER",AM21="VT REJETÉ – À REPRENDRE")),MAX(0,'PROGRAMME RT'!$C$4-R21),"")</f>
        <v/>
      </c>
      <c r="AO21" s="78" t="n">
        <f aca="false">IF(AND(OR(AM21="À RADIOGRAPHIER",AM21="RÉPARÉ – À RADIOGRAPHIER",AM21="NX – RT À REFAIRE"),OR('PROGRAMME RT'!$D$5="TOUTES",B21='PROGRAMME RT'!$D$5)),1,0)</f>
        <v>0</v>
      </c>
      <c r="AP21" s="78" t="str">
        <f aca="false">IF(AO21=1,SUM(AO$7:AO21),"")</f>
        <v/>
      </c>
      <c r="AQ21" s="78" t="n">
        <f aca="false">IF(AND(OR(X21="R",X21="NX",X21="NT",X21="CO"),OR('JOINTS DE RÉPARATION'!$D$5="TOUTES",B21='JOINTS DE RÉPARATION'!$D$5),OR('JOINTS DE RÉPARATION'!$L$4="TOUS",AM21&lt;&gt;"ACCEPTÉ")),1,0)</f>
        <v>0</v>
      </c>
      <c r="AR21" s="78" t="str">
        <f aca="false">IF(AQ21=1,SUM(AQ$7:AQ21),"")</f>
        <v/>
      </c>
    </row>
    <row r="22" customFormat="false" ht="15" hidden="false" customHeight="false" outlineLevel="0" collapsed="false">
      <c r="A22" s="78" t="n">
        <f aca="false">IF(E22="","",ROW()-6)</f>
        <v>16</v>
      </c>
      <c r="B22" s="79" t="s">
        <v>102</v>
      </c>
      <c r="C22" s="80" t="s">
        <v>130</v>
      </c>
      <c r="D22" s="80" t="s">
        <v>103</v>
      </c>
      <c r="E22" s="80" t="s">
        <v>150</v>
      </c>
      <c r="F22" s="80" t="s">
        <v>151</v>
      </c>
      <c r="G22" s="80" t="s">
        <v>106</v>
      </c>
      <c r="H22" s="80" t="n">
        <v>11</v>
      </c>
      <c r="I22" s="80" t="s">
        <v>114</v>
      </c>
      <c r="J22" s="80" t="s">
        <v>132</v>
      </c>
      <c r="K22" s="80" t="s">
        <v>149</v>
      </c>
      <c r="L22" s="84" t="n">
        <f aca="false">IF(K22="","",IFERROR(INDEX(BARDAGE!$C$7:$C$1506,MATCH(K22,BARDAGE!$B$7:$B$1506,0)),"? hors registre"))</f>
        <v>852405000564</v>
      </c>
      <c r="M22" s="80" t="s">
        <v>152</v>
      </c>
      <c r="N22" s="84" t="n">
        <f aca="false">IF(M22="","",IFERROR(INDEX(BARDAGE!$C$7:$C$1506,MATCH(M22,BARDAGE!$B$7:$B$1506,0)),"? hors registre"))</f>
        <v>852405000564</v>
      </c>
      <c r="O22" s="80" t="s">
        <v>141</v>
      </c>
      <c r="P22" s="80" t="s">
        <v>141</v>
      </c>
      <c r="Q22" s="80" t="s">
        <v>125</v>
      </c>
      <c r="R22" s="82" t="n">
        <v>45876</v>
      </c>
      <c r="S22" s="82" t="n">
        <v>45876</v>
      </c>
      <c r="T22" s="80" t="s">
        <v>146</v>
      </c>
      <c r="U22" s="80" t="s">
        <v>105</v>
      </c>
      <c r="V22" s="82" t="n">
        <v>45888</v>
      </c>
      <c r="W22" s="80" t="s">
        <v>147</v>
      </c>
      <c r="X22" s="80" t="s">
        <v>105</v>
      </c>
      <c r="Y22" s="80"/>
      <c r="Z22" s="80"/>
      <c r="AA22" s="82"/>
      <c r="AB22" s="80"/>
      <c r="AC22" s="80"/>
      <c r="AD22" s="80"/>
      <c r="AE22" s="80"/>
      <c r="AF22" s="82"/>
      <c r="AG22" s="80"/>
      <c r="AH22" s="80"/>
      <c r="AI22" s="82"/>
      <c r="AJ22" s="79"/>
      <c r="AK22" s="78" t="n">
        <f aca="false">IF(E22="","",(X22&lt;&gt;"")+(AC22&lt;&gt;"")+(AH22&lt;&gt;""))</f>
        <v>1</v>
      </c>
      <c r="AL22" s="81" t="str">
        <f aca="false">IF(AH22&lt;&gt;"",AH22,IF(AC22&lt;&gt;"",AC22,IF(X22&lt;&gt;"",X22,"")))</f>
        <v>A</v>
      </c>
      <c r="AM22" s="83" t="str">
        <f aca="false">IF(E22="","",IF(R22="","À SOUDER",IF(U22="","VT EN ATTENTE",IF(U22="R","VT REJETÉ – À REPRENDRE",IF(AL22="","À RADIOGRAPHIER",IF(AL22="A","ACCEPTÉ",IF(AL22="NX","NX – RT À REFAIRE",IF(IF(AK22=1,Z22,IF(AK22=2,AE22,""))="A","RÉPARÉ – À RADIOGRAPHIER",IF(IF(AK22=1,Z22,IF(AK22=2,AE22,""))="R","VT REJETÉ – À REPRENDRE",IF(OR(AL22="CO",AL22="NT"),"COUPE – À RESOUDER","À RÉPARER"))))))))))</f>
        <v>ACCEPTÉ</v>
      </c>
      <c r="AN22" s="81" t="str">
        <f aca="false">IF(AND(ISNUMBER(R22),OR(AM22="À RADIOGRAPHIER",AM22="RÉPARÉ – À RADIOGRAPHIER",AM22="NX – RT À REFAIRE",AM22="À RÉPARER",AM22="COUPE – À RESOUDER",AM22="VT REJETÉ – À REPRENDRE")),MAX(0,'PROGRAMME RT'!$C$4-R22),"")</f>
        <v/>
      </c>
      <c r="AO22" s="78" t="n">
        <f aca="false">IF(AND(OR(AM22="À RADIOGRAPHIER",AM22="RÉPARÉ – À RADIOGRAPHIER",AM22="NX – RT À REFAIRE"),OR('PROGRAMME RT'!$D$5="TOUTES",B22='PROGRAMME RT'!$D$5)),1,0)</f>
        <v>0</v>
      </c>
      <c r="AP22" s="78" t="str">
        <f aca="false">IF(AO22=1,SUM(AO$7:AO22),"")</f>
        <v/>
      </c>
      <c r="AQ22" s="78" t="n">
        <f aca="false">IF(AND(OR(X22="R",X22="NX",X22="NT",X22="CO"),OR('JOINTS DE RÉPARATION'!$D$5="TOUTES",B22='JOINTS DE RÉPARATION'!$D$5),OR('JOINTS DE RÉPARATION'!$L$4="TOUS",AM22&lt;&gt;"ACCEPTÉ")),1,0)</f>
        <v>0</v>
      </c>
      <c r="AR22" s="78" t="str">
        <f aca="false">IF(AQ22=1,SUM(AQ$7:AQ22),"")</f>
        <v/>
      </c>
    </row>
    <row r="23" customFormat="false" ht="15" hidden="false" customHeight="false" outlineLevel="0" collapsed="false">
      <c r="A23" s="78" t="n">
        <f aca="false">IF(E23="","",ROW()-6)</f>
        <v>17</v>
      </c>
      <c r="B23" s="79" t="s">
        <v>102</v>
      </c>
      <c r="C23" s="80" t="s">
        <v>130</v>
      </c>
      <c r="D23" s="80" t="s">
        <v>103</v>
      </c>
      <c r="E23" s="80" t="s">
        <v>153</v>
      </c>
      <c r="F23" s="80" t="s">
        <v>151</v>
      </c>
      <c r="G23" s="80" t="s">
        <v>106</v>
      </c>
      <c r="H23" s="80" t="n">
        <v>11</v>
      </c>
      <c r="I23" s="80" t="s">
        <v>114</v>
      </c>
      <c r="J23" s="80" t="s">
        <v>132</v>
      </c>
      <c r="K23" s="80" t="s">
        <v>152</v>
      </c>
      <c r="L23" s="84" t="n">
        <f aca="false">IF(K23="","",IFERROR(INDEX(BARDAGE!$C$7:$C$1506,MATCH(K23,BARDAGE!$B$7:$B$1506,0)),"? hors registre"))</f>
        <v>852405000564</v>
      </c>
      <c r="M23" s="80" t="s">
        <v>124</v>
      </c>
      <c r="N23" s="84" t="n">
        <f aca="false">IF(M23="","",IFERROR(INDEX(BARDAGE!$C$7:$C$1506,MATCH(M23,BARDAGE!$B$7:$B$1506,0)),"? hors registre"))</f>
        <v>852404002201</v>
      </c>
      <c r="O23" s="80" t="s">
        <v>141</v>
      </c>
      <c r="P23" s="80" t="s">
        <v>141</v>
      </c>
      <c r="Q23" s="80" t="s">
        <v>125</v>
      </c>
      <c r="R23" s="82" t="n">
        <v>45876</v>
      </c>
      <c r="S23" s="82" t="n">
        <v>45876</v>
      </c>
      <c r="T23" s="80" t="s">
        <v>146</v>
      </c>
      <c r="U23" s="80" t="s">
        <v>105</v>
      </c>
      <c r="V23" s="82" t="n">
        <v>45888</v>
      </c>
      <c r="W23" s="80" t="s">
        <v>147</v>
      </c>
      <c r="X23" s="80" t="s">
        <v>105</v>
      </c>
      <c r="Y23" s="80"/>
      <c r="Z23" s="80"/>
      <c r="AA23" s="82"/>
      <c r="AB23" s="80"/>
      <c r="AC23" s="80"/>
      <c r="AD23" s="80"/>
      <c r="AE23" s="80"/>
      <c r="AF23" s="82"/>
      <c r="AG23" s="80"/>
      <c r="AH23" s="80"/>
      <c r="AI23" s="82"/>
      <c r="AJ23" s="79"/>
      <c r="AK23" s="78" t="n">
        <f aca="false">IF(E23="","",(X23&lt;&gt;"")+(AC23&lt;&gt;"")+(AH23&lt;&gt;""))</f>
        <v>1</v>
      </c>
      <c r="AL23" s="81" t="str">
        <f aca="false">IF(AH23&lt;&gt;"",AH23,IF(AC23&lt;&gt;"",AC23,IF(X23&lt;&gt;"",X23,"")))</f>
        <v>A</v>
      </c>
      <c r="AM23" s="83" t="str">
        <f aca="false">IF(E23="","",IF(R23="","À SOUDER",IF(U23="","VT EN ATTENTE",IF(U23="R","VT REJETÉ – À REPRENDRE",IF(AL23="","À RADIOGRAPHIER",IF(AL23="A","ACCEPTÉ",IF(AL23="NX","NX – RT À REFAIRE",IF(IF(AK23=1,Z23,IF(AK23=2,AE23,""))="A","RÉPARÉ – À RADIOGRAPHIER",IF(IF(AK23=1,Z23,IF(AK23=2,AE23,""))="R","VT REJETÉ – À REPRENDRE",IF(OR(AL23="CO",AL23="NT"),"COUPE – À RESOUDER","À RÉPARER"))))))))))</f>
        <v>ACCEPTÉ</v>
      </c>
      <c r="AN23" s="81" t="str">
        <f aca="false">IF(AND(ISNUMBER(R23),OR(AM23="À RADIOGRAPHIER",AM23="RÉPARÉ – À RADIOGRAPHIER",AM23="NX – RT À REFAIRE",AM23="À RÉPARER",AM23="COUPE – À RESOUDER",AM23="VT REJETÉ – À REPRENDRE")),MAX(0,'PROGRAMME RT'!$C$4-R23),"")</f>
        <v/>
      </c>
      <c r="AO23" s="78" t="n">
        <f aca="false">IF(AND(OR(AM23="À RADIOGRAPHIER",AM23="RÉPARÉ – À RADIOGRAPHIER",AM23="NX – RT À REFAIRE"),OR('PROGRAMME RT'!$D$5="TOUTES",B23='PROGRAMME RT'!$D$5)),1,0)</f>
        <v>0</v>
      </c>
      <c r="AP23" s="78" t="str">
        <f aca="false">IF(AO23=1,SUM(AO$7:AO23),"")</f>
        <v/>
      </c>
      <c r="AQ23" s="78" t="n">
        <f aca="false">IF(AND(OR(X23="R",X23="NX",X23="NT",X23="CO"),OR('JOINTS DE RÉPARATION'!$D$5="TOUTES",B23='JOINTS DE RÉPARATION'!$D$5),OR('JOINTS DE RÉPARATION'!$L$4="TOUS",AM23&lt;&gt;"ACCEPTÉ")),1,0)</f>
        <v>0</v>
      </c>
      <c r="AR23" s="78" t="str">
        <f aca="false">IF(AQ23=1,SUM(AQ$7:AQ23),"")</f>
        <v/>
      </c>
    </row>
    <row r="24" customFormat="false" ht="15" hidden="false" customHeight="false" outlineLevel="0" collapsed="false">
      <c r="A24" s="78" t="n">
        <f aca="false">IF(E24="","",ROW()-6)</f>
        <v>18</v>
      </c>
      <c r="B24" s="79" t="s">
        <v>102</v>
      </c>
      <c r="C24" s="80" t="s">
        <v>154</v>
      </c>
      <c r="D24" s="80" t="s">
        <v>103</v>
      </c>
      <c r="E24" s="80" t="s">
        <v>155</v>
      </c>
      <c r="F24" s="80" t="s">
        <v>151</v>
      </c>
      <c r="G24" s="80" t="s">
        <v>106</v>
      </c>
      <c r="H24" s="80" t="n">
        <v>11</v>
      </c>
      <c r="I24" s="80" t="s">
        <v>114</v>
      </c>
      <c r="J24" s="80" t="s">
        <v>115</v>
      </c>
      <c r="K24" s="80" t="s">
        <v>124</v>
      </c>
      <c r="L24" s="84" t="n">
        <f aca="false">IF(K24="","",IFERROR(INDEX(BARDAGE!$C$7:$C$1506,MATCH(K24,BARDAGE!$B$7:$B$1506,0)),"? hors registre"))</f>
        <v>852404002201</v>
      </c>
      <c r="M24" s="80" t="s">
        <v>156</v>
      </c>
      <c r="N24" s="84" t="n">
        <f aca="false">IF(M24="","",IFERROR(INDEX(BARDAGE!$C$7:$C$1506,MATCH(M24,BARDAGE!$B$7:$B$1506,0)),"? hors registre"))</f>
        <v>24803598</v>
      </c>
      <c r="O24" s="80" t="s">
        <v>125</v>
      </c>
      <c r="P24" s="80" t="s">
        <v>125</v>
      </c>
      <c r="Q24" s="80" t="s">
        <v>125</v>
      </c>
      <c r="R24" s="82" t="n">
        <v>45908</v>
      </c>
      <c r="S24" s="82" t="n">
        <v>45908</v>
      </c>
      <c r="T24" s="80" t="s">
        <v>128</v>
      </c>
      <c r="U24" s="80" t="s">
        <v>105</v>
      </c>
      <c r="V24" s="82" t="n">
        <v>45917</v>
      </c>
      <c r="W24" s="80" t="s">
        <v>119</v>
      </c>
      <c r="X24" s="80" t="s">
        <v>105</v>
      </c>
      <c r="Y24" s="80"/>
      <c r="Z24" s="80"/>
      <c r="AA24" s="82"/>
      <c r="AB24" s="80"/>
      <c r="AC24" s="80"/>
      <c r="AD24" s="80"/>
      <c r="AE24" s="80"/>
      <c r="AF24" s="82"/>
      <c r="AG24" s="80"/>
      <c r="AH24" s="80"/>
      <c r="AI24" s="82"/>
      <c r="AJ24" s="79"/>
      <c r="AK24" s="78" t="n">
        <f aca="false">IF(E24="","",(X24&lt;&gt;"")+(AC24&lt;&gt;"")+(AH24&lt;&gt;""))</f>
        <v>1</v>
      </c>
      <c r="AL24" s="81" t="str">
        <f aca="false">IF(AH24&lt;&gt;"",AH24,IF(AC24&lt;&gt;"",AC24,IF(X24&lt;&gt;"",X24,"")))</f>
        <v>A</v>
      </c>
      <c r="AM24" s="83" t="str">
        <f aca="false">IF(E24="","",IF(R24="","À SOUDER",IF(U24="","VT EN ATTENTE",IF(U24="R","VT REJETÉ – À REPRENDRE",IF(AL24="","À RADIOGRAPHIER",IF(AL24="A","ACCEPTÉ",IF(AL24="NX","NX – RT À REFAIRE",IF(IF(AK24=1,Z24,IF(AK24=2,AE24,""))="A","RÉPARÉ – À RADIOGRAPHIER",IF(IF(AK24=1,Z24,IF(AK24=2,AE24,""))="R","VT REJETÉ – À REPRENDRE",IF(OR(AL24="CO",AL24="NT"),"COUPE – À RESOUDER","À RÉPARER"))))))))))</f>
        <v>ACCEPTÉ</v>
      </c>
      <c r="AN24" s="81" t="str">
        <f aca="false">IF(AND(ISNUMBER(R24),OR(AM24="À RADIOGRAPHIER",AM24="RÉPARÉ – À RADIOGRAPHIER",AM24="NX – RT À REFAIRE",AM24="À RÉPARER",AM24="COUPE – À RESOUDER",AM24="VT REJETÉ – À REPRENDRE")),MAX(0,'PROGRAMME RT'!$C$4-R24),"")</f>
        <v/>
      </c>
      <c r="AO24" s="78" t="n">
        <f aca="false">IF(AND(OR(AM24="À RADIOGRAPHIER",AM24="RÉPARÉ – À RADIOGRAPHIER",AM24="NX – RT À REFAIRE"),OR('PROGRAMME RT'!$D$5="TOUTES",B24='PROGRAMME RT'!$D$5)),1,0)</f>
        <v>0</v>
      </c>
      <c r="AP24" s="78" t="str">
        <f aca="false">IF(AO24=1,SUM(AO$7:AO24),"")</f>
        <v/>
      </c>
      <c r="AQ24" s="78" t="n">
        <f aca="false">IF(AND(OR(X24="R",X24="NX",X24="NT",X24="CO"),OR('JOINTS DE RÉPARATION'!$D$5="TOUTES",B24='JOINTS DE RÉPARATION'!$D$5),OR('JOINTS DE RÉPARATION'!$L$4="TOUS",AM24&lt;&gt;"ACCEPTÉ")),1,0)</f>
        <v>0</v>
      </c>
      <c r="AR24" s="78" t="str">
        <f aca="false">IF(AQ24=1,SUM(AQ$7:AQ24),"")</f>
        <v/>
      </c>
    </row>
    <row r="25" customFormat="false" ht="15" hidden="false" customHeight="false" outlineLevel="0" collapsed="false">
      <c r="A25" s="78" t="n">
        <f aca="false">IF(E25="","",ROW()-6)</f>
        <v>19</v>
      </c>
      <c r="B25" s="79" t="s">
        <v>102</v>
      </c>
      <c r="C25" s="80" t="s">
        <v>154</v>
      </c>
      <c r="D25" s="80" t="s">
        <v>103</v>
      </c>
      <c r="E25" s="80" t="s">
        <v>157</v>
      </c>
      <c r="F25" s="80" t="s">
        <v>151</v>
      </c>
      <c r="G25" s="80" t="s">
        <v>106</v>
      </c>
      <c r="H25" s="80" t="n">
        <v>11</v>
      </c>
      <c r="I25" s="80" t="s">
        <v>114</v>
      </c>
      <c r="J25" s="80" t="s">
        <v>115</v>
      </c>
      <c r="K25" s="80" t="s">
        <v>156</v>
      </c>
      <c r="L25" s="84" t="n">
        <f aca="false">IF(K25="","",IFERROR(INDEX(BARDAGE!$C$7:$C$1506,MATCH(K25,BARDAGE!$B$7:$B$1506,0)),"? hors registre"))</f>
        <v>24803598</v>
      </c>
      <c r="M25" s="80" t="s">
        <v>158</v>
      </c>
      <c r="N25" s="84" t="n">
        <f aca="false">IF(M25="","",IFERROR(INDEX(BARDAGE!$C$7:$C$1506,MATCH(M25,BARDAGE!$B$7:$B$1506,0)),"? hors registre"))</f>
        <v>852404002201</v>
      </c>
      <c r="O25" s="80" t="s">
        <v>141</v>
      </c>
      <c r="P25" s="80" t="s">
        <v>141</v>
      </c>
      <c r="Q25" s="80" t="s">
        <v>141</v>
      </c>
      <c r="R25" s="82" t="n">
        <v>45908</v>
      </c>
      <c r="S25" s="82" t="n">
        <v>45908</v>
      </c>
      <c r="T25" s="80" t="s">
        <v>128</v>
      </c>
      <c r="U25" s="80" t="s">
        <v>105</v>
      </c>
      <c r="V25" s="82" t="n">
        <v>45915</v>
      </c>
      <c r="W25" s="80" t="s">
        <v>129</v>
      </c>
      <c r="X25" s="80" t="s">
        <v>105</v>
      </c>
      <c r="Y25" s="80"/>
      <c r="Z25" s="80"/>
      <c r="AA25" s="82"/>
      <c r="AB25" s="80"/>
      <c r="AC25" s="80"/>
      <c r="AD25" s="80"/>
      <c r="AE25" s="80"/>
      <c r="AF25" s="82"/>
      <c r="AG25" s="80"/>
      <c r="AH25" s="80"/>
      <c r="AI25" s="82"/>
      <c r="AJ25" s="79"/>
      <c r="AK25" s="78" t="n">
        <f aca="false">IF(E25="","",(X25&lt;&gt;"")+(AC25&lt;&gt;"")+(AH25&lt;&gt;""))</f>
        <v>1</v>
      </c>
      <c r="AL25" s="81" t="str">
        <f aca="false">IF(AH25&lt;&gt;"",AH25,IF(AC25&lt;&gt;"",AC25,IF(X25&lt;&gt;"",X25,"")))</f>
        <v>A</v>
      </c>
      <c r="AM25" s="83" t="str">
        <f aca="false">IF(E25="","",IF(R25="","À SOUDER",IF(U25="","VT EN ATTENTE",IF(U25="R","VT REJETÉ – À REPRENDRE",IF(AL25="","À RADIOGRAPHIER",IF(AL25="A","ACCEPTÉ",IF(AL25="NX","NX – RT À REFAIRE",IF(IF(AK25=1,Z25,IF(AK25=2,AE25,""))="A","RÉPARÉ – À RADIOGRAPHIER",IF(IF(AK25=1,Z25,IF(AK25=2,AE25,""))="R","VT REJETÉ – À REPRENDRE",IF(OR(AL25="CO",AL25="NT"),"COUPE – À RESOUDER","À RÉPARER"))))))))))</f>
        <v>ACCEPTÉ</v>
      </c>
      <c r="AN25" s="81" t="str">
        <f aca="false">IF(AND(ISNUMBER(R25),OR(AM25="À RADIOGRAPHIER",AM25="RÉPARÉ – À RADIOGRAPHIER",AM25="NX – RT À REFAIRE",AM25="À RÉPARER",AM25="COUPE – À RESOUDER",AM25="VT REJETÉ – À REPRENDRE")),MAX(0,'PROGRAMME RT'!$C$4-R25),"")</f>
        <v/>
      </c>
      <c r="AO25" s="78" t="n">
        <f aca="false">IF(AND(OR(AM25="À RADIOGRAPHIER",AM25="RÉPARÉ – À RADIOGRAPHIER",AM25="NX – RT À REFAIRE"),OR('PROGRAMME RT'!$D$5="TOUTES",B25='PROGRAMME RT'!$D$5)),1,0)</f>
        <v>0</v>
      </c>
      <c r="AP25" s="78" t="str">
        <f aca="false">IF(AO25=1,SUM(AO$7:AO25),"")</f>
        <v/>
      </c>
      <c r="AQ25" s="78" t="n">
        <f aca="false">IF(AND(OR(X25="R",X25="NX",X25="NT",X25="CO"),OR('JOINTS DE RÉPARATION'!$D$5="TOUTES",B25='JOINTS DE RÉPARATION'!$D$5),OR('JOINTS DE RÉPARATION'!$L$4="TOUS",AM25&lt;&gt;"ACCEPTÉ")),1,0)</f>
        <v>0</v>
      </c>
      <c r="AR25" s="78" t="str">
        <f aca="false">IF(AQ25=1,SUM(AQ$7:AQ25),"")</f>
        <v/>
      </c>
    </row>
    <row r="26" customFormat="false" ht="15" hidden="false" customHeight="false" outlineLevel="0" collapsed="false">
      <c r="A26" s="78" t="n">
        <f aca="false">IF(E26="","",ROW()-6)</f>
        <v>20</v>
      </c>
      <c r="B26" s="79" t="s">
        <v>102</v>
      </c>
      <c r="C26" s="80" t="s">
        <v>154</v>
      </c>
      <c r="D26" s="80" t="s">
        <v>103</v>
      </c>
      <c r="E26" s="80" t="s">
        <v>159</v>
      </c>
      <c r="F26" s="80" t="s">
        <v>151</v>
      </c>
      <c r="G26" s="80" t="s">
        <v>106</v>
      </c>
      <c r="H26" s="80" t="n">
        <v>11</v>
      </c>
      <c r="I26" s="80" t="s">
        <v>114</v>
      </c>
      <c r="J26" s="80" t="s">
        <v>115</v>
      </c>
      <c r="K26" s="80" t="s">
        <v>158</v>
      </c>
      <c r="L26" s="84" t="n">
        <f aca="false">IF(K26="","",IFERROR(INDEX(BARDAGE!$C$7:$C$1506,MATCH(K26,BARDAGE!$B$7:$B$1506,0)),"? hors registre"))</f>
        <v>852404002201</v>
      </c>
      <c r="M26" s="80" t="s">
        <v>160</v>
      </c>
      <c r="N26" s="84" t="n">
        <f aca="false">IF(M26="","",IFERROR(INDEX(BARDAGE!$C$7:$C$1506,MATCH(M26,BARDAGE!$B$7:$B$1506,0)),"? hors registre"))</f>
        <v>852405000610</v>
      </c>
      <c r="O26" s="80" t="s">
        <v>125</v>
      </c>
      <c r="P26" s="80" t="s">
        <v>125</v>
      </c>
      <c r="Q26" s="80" t="s">
        <v>125</v>
      </c>
      <c r="R26" s="82" t="n">
        <v>45907</v>
      </c>
      <c r="S26" s="82" t="n">
        <v>45907</v>
      </c>
      <c r="T26" s="80" t="s">
        <v>161</v>
      </c>
      <c r="U26" s="80" t="s">
        <v>105</v>
      </c>
      <c r="V26" s="82" t="n">
        <v>45915</v>
      </c>
      <c r="W26" s="80" t="s">
        <v>129</v>
      </c>
      <c r="X26" s="80" t="s">
        <v>105</v>
      </c>
      <c r="Y26" s="80"/>
      <c r="Z26" s="80"/>
      <c r="AA26" s="82"/>
      <c r="AB26" s="80"/>
      <c r="AC26" s="80"/>
      <c r="AD26" s="80"/>
      <c r="AE26" s="80"/>
      <c r="AF26" s="82"/>
      <c r="AG26" s="80"/>
      <c r="AH26" s="80"/>
      <c r="AI26" s="82"/>
      <c r="AJ26" s="79"/>
      <c r="AK26" s="78" t="n">
        <f aca="false">IF(E26="","",(X26&lt;&gt;"")+(AC26&lt;&gt;"")+(AH26&lt;&gt;""))</f>
        <v>1</v>
      </c>
      <c r="AL26" s="81" t="str">
        <f aca="false">IF(AH26&lt;&gt;"",AH26,IF(AC26&lt;&gt;"",AC26,IF(X26&lt;&gt;"",X26,"")))</f>
        <v>A</v>
      </c>
      <c r="AM26" s="83" t="str">
        <f aca="false">IF(E26="","",IF(R26="","À SOUDER",IF(U26="","VT EN ATTENTE",IF(U26="R","VT REJETÉ – À REPRENDRE",IF(AL26="","À RADIOGRAPHIER",IF(AL26="A","ACCEPTÉ",IF(AL26="NX","NX – RT À REFAIRE",IF(IF(AK26=1,Z26,IF(AK26=2,AE26,""))="A","RÉPARÉ – À RADIOGRAPHIER",IF(IF(AK26=1,Z26,IF(AK26=2,AE26,""))="R","VT REJETÉ – À REPRENDRE",IF(OR(AL26="CO",AL26="NT"),"COUPE – À RESOUDER","À RÉPARER"))))))))))</f>
        <v>ACCEPTÉ</v>
      </c>
      <c r="AN26" s="81" t="str">
        <f aca="false">IF(AND(ISNUMBER(R26),OR(AM26="À RADIOGRAPHIER",AM26="RÉPARÉ – À RADIOGRAPHIER",AM26="NX – RT À REFAIRE",AM26="À RÉPARER",AM26="COUPE – À RESOUDER",AM26="VT REJETÉ – À REPRENDRE")),MAX(0,'PROGRAMME RT'!$C$4-R26),"")</f>
        <v/>
      </c>
      <c r="AO26" s="78" t="n">
        <f aca="false">IF(AND(OR(AM26="À RADIOGRAPHIER",AM26="RÉPARÉ – À RADIOGRAPHIER",AM26="NX – RT À REFAIRE"),OR('PROGRAMME RT'!$D$5="TOUTES",B26='PROGRAMME RT'!$D$5)),1,0)</f>
        <v>0</v>
      </c>
      <c r="AP26" s="78" t="str">
        <f aca="false">IF(AO26=1,SUM(AO$7:AO26),"")</f>
        <v/>
      </c>
      <c r="AQ26" s="78" t="n">
        <f aca="false">IF(AND(OR(X26="R",X26="NX",X26="NT",X26="CO"),OR('JOINTS DE RÉPARATION'!$D$5="TOUTES",B26='JOINTS DE RÉPARATION'!$D$5),OR('JOINTS DE RÉPARATION'!$L$4="TOUS",AM26&lt;&gt;"ACCEPTÉ")),1,0)</f>
        <v>0</v>
      </c>
      <c r="AR26" s="78" t="str">
        <f aca="false">IF(AQ26=1,SUM(AQ$7:AQ26),"")</f>
        <v/>
      </c>
    </row>
    <row r="27" customFormat="false" ht="15" hidden="false" customHeight="false" outlineLevel="0" collapsed="false">
      <c r="A27" s="78" t="n">
        <f aca="false">IF(E27="","",ROW()-6)</f>
        <v>21</v>
      </c>
      <c r="B27" s="79" t="s">
        <v>102</v>
      </c>
      <c r="C27" s="80" t="s">
        <v>162</v>
      </c>
      <c r="D27" s="80" t="s">
        <v>103</v>
      </c>
      <c r="E27" s="80" t="s">
        <v>163</v>
      </c>
      <c r="F27" s="80" t="s">
        <v>151</v>
      </c>
      <c r="G27" s="80" t="s">
        <v>106</v>
      </c>
      <c r="H27" s="80" t="n">
        <v>11</v>
      </c>
      <c r="I27" s="80" t="s">
        <v>114</v>
      </c>
      <c r="J27" s="80" t="s">
        <v>132</v>
      </c>
      <c r="K27" s="80" t="s">
        <v>160</v>
      </c>
      <c r="L27" s="84" t="n">
        <f aca="false">IF(K27="","",IFERROR(INDEX(BARDAGE!$C$7:$C$1506,MATCH(K27,BARDAGE!$B$7:$B$1506,0)),"? hors registre"))</f>
        <v>852405000610</v>
      </c>
      <c r="M27" s="80" t="s">
        <v>164</v>
      </c>
      <c r="N27" s="84" t="n">
        <f aca="false">IF(M27="","",IFERROR(INDEX(BARDAGE!$C$7:$C$1506,MATCH(M27,BARDAGE!$B$7:$B$1506,0)),"? hors registre"))</f>
        <v>852405000610</v>
      </c>
      <c r="O27" s="80" t="s">
        <v>141</v>
      </c>
      <c r="P27" s="80" t="s">
        <v>141</v>
      </c>
      <c r="Q27" s="80" t="s">
        <v>125</v>
      </c>
      <c r="R27" s="82" t="n">
        <v>45876</v>
      </c>
      <c r="S27" s="82" t="n">
        <v>45876</v>
      </c>
      <c r="T27" s="80" t="s">
        <v>146</v>
      </c>
      <c r="U27" s="80" t="s">
        <v>105</v>
      </c>
      <c r="V27" s="82" t="n">
        <v>45888</v>
      </c>
      <c r="W27" s="80" t="s">
        <v>147</v>
      </c>
      <c r="X27" s="80" t="s">
        <v>105</v>
      </c>
      <c r="Y27" s="80"/>
      <c r="Z27" s="80"/>
      <c r="AA27" s="82"/>
      <c r="AB27" s="80"/>
      <c r="AC27" s="80"/>
      <c r="AD27" s="80"/>
      <c r="AE27" s="80"/>
      <c r="AF27" s="82"/>
      <c r="AG27" s="80"/>
      <c r="AH27" s="80"/>
      <c r="AI27" s="82"/>
      <c r="AJ27" s="79"/>
      <c r="AK27" s="78" t="n">
        <f aca="false">IF(E27="","",(X27&lt;&gt;"")+(AC27&lt;&gt;"")+(AH27&lt;&gt;""))</f>
        <v>1</v>
      </c>
      <c r="AL27" s="81" t="str">
        <f aca="false">IF(AH27&lt;&gt;"",AH27,IF(AC27&lt;&gt;"",AC27,IF(X27&lt;&gt;"",X27,"")))</f>
        <v>A</v>
      </c>
      <c r="AM27" s="83" t="str">
        <f aca="false">IF(E27="","",IF(R27="","À SOUDER",IF(U27="","VT EN ATTENTE",IF(U27="R","VT REJETÉ – À REPRENDRE",IF(AL27="","À RADIOGRAPHIER",IF(AL27="A","ACCEPTÉ",IF(AL27="NX","NX – RT À REFAIRE",IF(IF(AK27=1,Z27,IF(AK27=2,AE27,""))="A","RÉPARÉ – À RADIOGRAPHIER",IF(IF(AK27=1,Z27,IF(AK27=2,AE27,""))="R","VT REJETÉ – À REPRENDRE",IF(OR(AL27="CO",AL27="NT"),"COUPE – À RESOUDER","À RÉPARER"))))))))))</f>
        <v>ACCEPTÉ</v>
      </c>
      <c r="AN27" s="81" t="str">
        <f aca="false">IF(AND(ISNUMBER(R27),OR(AM27="À RADIOGRAPHIER",AM27="RÉPARÉ – À RADIOGRAPHIER",AM27="NX – RT À REFAIRE",AM27="À RÉPARER",AM27="COUPE – À RESOUDER",AM27="VT REJETÉ – À REPRENDRE")),MAX(0,'PROGRAMME RT'!$C$4-R27),"")</f>
        <v/>
      </c>
      <c r="AO27" s="78" t="n">
        <f aca="false">IF(AND(OR(AM27="À RADIOGRAPHIER",AM27="RÉPARÉ – À RADIOGRAPHIER",AM27="NX – RT À REFAIRE"),OR('PROGRAMME RT'!$D$5="TOUTES",B27='PROGRAMME RT'!$D$5)),1,0)</f>
        <v>0</v>
      </c>
      <c r="AP27" s="78" t="str">
        <f aca="false">IF(AO27=1,SUM(AO$7:AO27),"")</f>
        <v/>
      </c>
      <c r="AQ27" s="78" t="n">
        <f aca="false">IF(AND(OR(X27="R",X27="NX",X27="NT",X27="CO"),OR('JOINTS DE RÉPARATION'!$D$5="TOUTES",B27='JOINTS DE RÉPARATION'!$D$5),OR('JOINTS DE RÉPARATION'!$L$4="TOUS",AM27&lt;&gt;"ACCEPTÉ")),1,0)</f>
        <v>0</v>
      </c>
      <c r="AR27" s="78" t="str">
        <f aca="false">IF(AQ27=1,SUM(AQ$7:AQ27),"")</f>
        <v/>
      </c>
    </row>
    <row r="28" customFormat="false" ht="15" hidden="false" customHeight="false" outlineLevel="0" collapsed="false">
      <c r="A28" s="78" t="n">
        <f aca="false">IF(E28="","",ROW()-6)</f>
        <v>22</v>
      </c>
      <c r="B28" s="79" t="s">
        <v>102</v>
      </c>
      <c r="C28" s="80" t="s">
        <v>165</v>
      </c>
      <c r="D28" s="80" t="s">
        <v>103</v>
      </c>
      <c r="E28" s="80" t="s">
        <v>166</v>
      </c>
      <c r="F28" s="80" t="s">
        <v>151</v>
      </c>
      <c r="G28" s="80" t="s">
        <v>106</v>
      </c>
      <c r="H28" s="80" t="n">
        <v>11</v>
      </c>
      <c r="I28" s="80" t="s">
        <v>114</v>
      </c>
      <c r="J28" s="80" t="s">
        <v>115</v>
      </c>
      <c r="K28" s="80" t="s">
        <v>164</v>
      </c>
      <c r="L28" s="84" t="n">
        <f aca="false">IF(K28="","",IFERROR(INDEX(BARDAGE!$C$7:$C$1506,MATCH(K28,BARDAGE!$B$7:$B$1506,0)),"? hors registre"))</f>
        <v>852405000610</v>
      </c>
      <c r="M28" s="80" t="s">
        <v>167</v>
      </c>
      <c r="N28" s="84" t="n">
        <f aca="false">IF(M28="","",IFERROR(INDEX(BARDAGE!$C$7:$C$1506,MATCH(M28,BARDAGE!$B$7:$B$1506,0)),"? hors registre"))</f>
        <v>24102495</v>
      </c>
      <c r="O28" s="80" t="s">
        <v>141</v>
      </c>
      <c r="P28" s="80" t="s">
        <v>141</v>
      </c>
      <c r="Q28" s="80" t="s">
        <v>141</v>
      </c>
      <c r="R28" s="82" t="n">
        <v>45906</v>
      </c>
      <c r="S28" s="82" t="n">
        <v>45906</v>
      </c>
      <c r="T28" s="80" t="s">
        <v>168</v>
      </c>
      <c r="U28" s="80" t="s">
        <v>105</v>
      </c>
      <c r="V28" s="82" t="n">
        <v>45917</v>
      </c>
      <c r="W28" s="80" t="s">
        <v>119</v>
      </c>
      <c r="X28" s="80" t="s">
        <v>105</v>
      </c>
      <c r="Y28" s="80"/>
      <c r="Z28" s="80"/>
      <c r="AA28" s="82"/>
      <c r="AB28" s="80"/>
      <c r="AC28" s="80"/>
      <c r="AD28" s="80"/>
      <c r="AE28" s="80"/>
      <c r="AF28" s="82"/>
      <c r="AG28" s="80"/>
      <c r="AH28" s="80"/>
      <c r="AI28" s="82"/>
      <c r="AJ28" s="79"/>
      <c r="AK28" s="78" t="n">
        <f aca="false">IF(E28="","",(X28&lt;&gt;"")+(AC28&lt;&gt;"")+(AH28&lt;&gt;""))</f>
        <v>1</v>
      </c>
      <c r="AL28" s="81" t="str">
        <f aca="false">IF(AH28&lt;&gt;"",AH28,IF(AC28&lt;&gt;"",AC28,IF(X28&lt;&gt;"",X28,"")))</f>
        <v>A</v>
      </c>
      <c r="AM28" s="83" t="str">
        <f aca="false">IF(E28="","",IF(R28="","À SOUDER",IF(U28="","VT EN ATTENTE",IF(U28="R","VT REJETÉ – À REPRENDRE",IF(AL28="","À RADIOGRAPHIER",IF(AL28="A","ACCEPTÉ",IF(AL28="NX","NX – RT À REFAIRE",IF(IF(AK28=1,Z28,IF(AK28=2,AE28,""))="A","RÉPARÉ – À RADIOGRAPHIER",IF(IF(AK28=1,Z28,IF(AK28=2,AE28,""))="R","VT REJETÉ – À REPRENDRE",IF(OR(AL28="CO",AL28="NT"),"COUPE – À RESOUDER","À RÉPARER"))))))))))</f>
        <v>ACCEPTÉ</v>
      </c>
      <c r="AN28" s="81" t="str">
        <f aca="false">IF(AND(ISNUMBER(R28),OR(AM28="À RADIOGRAPHIER",AM28="RÉPARÉ – À RADIOGRAPHIER",AM28="NX – RT À REFAIRE",AM28="À RÉPARER",AM28="COUPE – À RESOUDER",AM28="VT REJETÉ – À REPRENDRE")),MAX(0,'PROGRAMME RT'!$C$4-R28),"")</f>
        <v/>
      </c>
      <c r="AO28" s="78" t="n">
        <f aca="false">IF(AND(OR(AM28="À RADIOGRAPHIER",AM28="RÉPARÉ – À RADIOGRAPHIER",AM28="NX – RT À REFAIRE"),OR('PROGRAMME RT'!$D$5="TOUTES",B28='PROGRAMME RT'!$D$5)),1,0)</f>
        <v>0</v>
      </c>
      <c r="AP28" s="78" t="str">
        <f aca="false">IF(AO28=1,SUM(AO$7:AO28),"")</f>
        <v/>
      </c>
      <c r="AQ28" s="78" t="n">
        <f aca="false">IF(AND(OR(X28="R",X28="NX",X28="NT",X28="CO"),OR('JOINTS DE RÉPARATION'!$D$5="TOUTES",B28='JOINTS DE RÉPARATION'!$D$5),OR('JOINTS DE RÉPARATION'!$L$4="TOUS",AM28&lt;&gt;"ACCEPTÉ")),1,0)</f>
        <v>0</v>
      </c>
      <c r="AR28" s="78" t="str">
        <f aca="false">IF(AQ28=1,SUM(AQ$7:AQ28),"")</f>
        <v/>
      </c>
    </row>
    <row r="29" customFormat="false" ht="15" hidden="false" customHeight="false" outlineLevel="0" collapsed="false">
      <c r="A29" s="78" t="n">
        <f aca="false">IF(E29="","",ROW()-6)</f>
        <v>23</v>
      </c>
      <c r="B29" s="79" t="s">
        <v>102</v>
      </c>
      <c r="C29" s="80" t="s">
        <v>165</v>
      </c>
      <c r="D29" s="80" t="s">
        <v>103</v>
      </c>
      <c r="E29" s="80" t="s">
        <v>169</v>
      </c>
      <c r="F29" s="80" t="s">
        <v>151</v>
      </c>
      <c r="G29" s="80" t="s">
        <v>106</v>
      </c>
      <c r="H29" s="80" t="n">
        <v>11</v>
      </c>
      <c r="I29" s="80" t="s">
        <v>114</v>
      </c>
      <c r="J29" s="80" t="s">
        <v>132</v>
      </c>
      <c r="K29" s="80" t="s">
        <v>167</v>
      </c>
      <c r="L29" s="84" t="n">
        <f aca="false">IF(K29="","",IFERROR(INDEX(BARDAGE!$C$7:$C$1506,MATCH(K29,BARDAGE!$B$7:$B$1506,0)),"? hors registre"))</f>
        <v>24102495</v>
      </c>
      <c r="M29" s="80" t="s">
        <v>170</v>
      </c>
      <c r="N29" s="84" t="n">
        <f aca="false">IF(M29="","",IFERROR(INDEX(BARDAGE!$C$7:$C$1506,MATCH(M29,BARDAGE!$B$7:$B$1506,0)),"? hors registre"))</f>
        <v>852405000564</v>
      </c>
      <c r="O29" s="80" t="s">
        <v>125</v>
      </c>
      <c r="P29" s="80" t="s">
        <v>125</v>
      </c>
      <c r="Q29" s="80" t="s">
        <v>125</v>
      </c>
      <c r="R29" s="82" t="n">
        <v>45906</v>
      </c>
      <c r="S29" s="82" t="n">
        <v>45906</v>
      </c>
      <c r="T29" s="80" t="s">
        <v>168</v>
      </c>
      <c r="U29" s="80" t="s">
        <v>105</v>
      </c>
      <c r="V29" s="82" t="n">
        <v>45915</v>
      </c>
      <c r="W29" s="80" t="s">
        <v>129</v>
      </c>
      <c r="X29" s="80" t="s">
        <v>105</v>
      </c>
      <c r="Y29" s="80"/>
      <c r="Z29" s="80"/>
      <c r="AA29" s="82"/>
      <c r="AB29" s="80"/>
      <c r="AC29" s="80"/>
      <c r="AD29" s="80"/>
      <c r="AE29" s="80"/>
      <c r="AF29" s="82"/>
      <c r="AG29" s="80"/>
      <c r="AH29" s="80"/>
      <c r="AI29" s="82"/>
      <c r="AJ29" s="79"/>
      <c r="AK29" s="78" t="n">
        <f aca="false">IF(E29="","",(X29&lt;&gt;"")+(AC29&lt;&gt;"")+(AH29&lt;&gt;""))</f>
        <v>1</v>
      </c>
      <c r="AL29" s="81" t="str">
        <f aca="false">IF(AH29&lt;&gt;"",AH29,IF(AC29&lt;&gt;"",AC29,IF(X29&lt;&gt;"",X29,"")))</f>
        <v>A</v>
      </c>
      <c r="AM29" s="83" t="str">
        <f aca="false">IF(E29="","",IF(R29="","À SOUDER",IF(U29="","VT EN ATTENTE",IF(U29="R","VT REJETÉ – À REPRENDRE",IF(AL29="","À RADIOGRAPHIER",IF(AL29="A","ACCEPTÉ",IF(AL29="NX","NX – RT À REFAIRE",IF(IF(AK29=1,Z29,IF(AK29=2,AE29,""))="A","RÉPARÉ – À RADIOGRAPHIER",IF(IF(AK29=1,Z29,IF(AK29=2,AE29,""))="R","VT REJETÉ – À REPRENDRE",IF(OR(AL29="CO",AL29="NT"),"COUPE – À RESOUDER","À RÉPARER"))))))))))</f>
        <v>ACCEPTÉ</v>
      </c>
      <c r="AN29" s="81" t="str">
        <f aca="false">IF(AND(ISNUMBER(R29),OR(AM29="À RADIOGRAPHIER",AM29="RÉPARÉ – À RADIOGRAPHIER",AM29="NX – RT À REFAIRE",AM29="À RÉPARER",AM29="COUPE – À RESOUDER",AM29="VT REJETÉ – À REPRENDRE")),MAX(0,'PROGRAMME RT'!$C$4-R29),"")</f>
        <v/>
      </c>
      <c r="AO29" s="78" t="n">
        <f aca="false">IF(AND(OR(AM29="À RADIOGRAPHIER",AM29="RÉPARÉ – À RADIOGRAPHIER",AM29="NX – RT À REFAIRE"),OR('PROGRAMME RT'!$D$5="TOUTES",B29='PROGRAMME RT'!$D$5)),1,0)</f>
        <v>0</v>
      </c>
      <c r="AP29" s="78" t="str">
        <f aca="false">IF(AO29=1,SUM(AO$7:AO29),"")</f>
        <v/>
      </c>
      <c r="AQ29" s="78" t="n">
        <f aca="false">IF(AND(OR(X29="R",X29="NX",X29="NT",X29="CO"),OR('JOINTS DE RÉPARATION'!$D$5="TOUTES",B29='JOINTS DE RÉPARATION'!$D$5),OR('JOINTS DE RÉPARATION'!$L$4="TOUS",AM29&lt;&gt;"ACCEPTÉ")),1,0)</f>
        <v>0</v>
      </c>
      <c r="AR29" s="78" t="str">
        <f aca="false">IF(AQ29=1,SUM(AQ$7:AQ29),"")</f>
        <v/>
      </c>
    </row>
    <row r="30" customFormat="false" ht="15" hidden="false" customHeight="false" outlineLevel="0" collapsed="false">
      <c r="A30" s="78" t="n">
        <f aca="false">IF(E30="","",ROW()-6)</f>
        <v>24</v>
      </c>
      <c r="B30" s="79" t="s">
        <v>102</v>
      </c>
      <c r="C30" s="80" t="s">
        <v>171</v>
      </c>
      <c r="D30" s="80" t="s">
        <v>103</v>
      </c>
      <c r="E30" s="80" t="s">
        <v>172</v>
      </c>
      <c r="F30" s="80" t="s">
        <v>151</v>
      </c>
      <c r="G30" s="80" t="s">
        <v>106</v>
      </c>
      <c r="H30" s="80" t="n">
        <v>11</v>
      </c>
      <c r="I30" s="80" t="s">
        <v>114</v>
      </c>
      <c r="J30" s="80" t="s">
        <v>132</v>
      </c>
      <c r="K30" s="80" t="s">
        <v>170</v>
      </c>
      <c r="L30" s="84" t="n">
        <f aca="false">IF(K30="","",IFERROR(INDEX(BARDAGE!$C$7:$C$1506,MATCH(K30,BARDAGE!$B$7:$B$1506,0)),"? hors registre"))</f>
        <v>852405000564</v>
      </c>
      <c r="M30" s="80" t="s">
        <v>173</v>
      </c>
      <c r="N30" s="84" t="n">
        <f aca="false">IF(M30="","",IFERROR(INDEX(BARDAGE!$C$7:$C$1506,MATCH(M30,BARDAGE!$B$7:$B$1506,0)),"? hors registre"))</f>
        <v>852405000610</v>
      </c>
      <c r="O30" s="80" t="s">
        <v>141</v>
      </c>
      <c r="P30" s="80" t="s">
        <v>141</v>
      </c>
      <c r="Q30" s="80" t="s">
        <v>125</v>
      </c>
      <c r="R30" s="82" t="n">
        <v>45876</v>
      </c>
      <c r="S30" s="82" t="n">
        <v>45876</v>
      </c>
      <c r="T30" s="80" t="s">
        <v>146</v>
      </c>
      <c r="U30" s="80" t="s">
        <v>105</v>
      </c>
      <c r="V30" s="82" t="n">
        <v>45888</v>
      </c>
      <c r="W30" s="80" t="s">
        <v>147</v>
      </c>
      <c r="X30" s="80" t="s">
        <v>105</v>
      </c>
      <c r="Y30" s="80"/>
      <c r="Z30" s="80"/>
      <c r="AA30" s="82"/>
      <c r="AB30" s="80"/>
      <c r="AC30" s="80"/>
      <c r="AD30" s="80"/>
      <c r="AE30" s="80"/>
      <c r="AF30" s="82"/>
      <c r="AG30" s="80"/>
      <c r="AH30" s="80"/>
      <c r="AI30" s="82"/>
      <c r="AJ30" s="79"/>
      <c r="AK30" s="78" t="n">
        <f aca="false">IF(E30="","",(X30&lt;&gt;"")+(AC30&lt;&gt;"")+(AH30&lt;&gt;""))</f>
        <v>1</v>
      </c>
      <c r="AL30" s="81" t="str">
        <f aca="false">IF(AH30&lt;&gt;"",AH30,IF(AC30&lt;&gt;"",AC30,IF(X30&lt;&gt;"",X30,"")))</f>
        <v>A</v>
      </c>
      <c r="AM30" s="83" t="str">
        <f aca="false">IF(E30="","",IF(R30="","À SOUDER",IF(U30="","VT EN ATTENTE",IF(U30="R","VT REJETÉ – À REPRENDRE",IF(AL30="","À RADIOGRAPHIER",IF(AL30="A","ACCEPTÉ",IF(AL30="NX","NX – RT À REFAIRE",IF(IF(AK30=1,Z30,IF(AK30=2,AE30,""))="A","RÉPARÉ – À RADIOGRAPHIER",IF(IF(AK30=1,Z30,IF(AK30=2,AE30,""))="R","VT REJETÉ – À REPRENDRE",IF(OR(AL30="CO",AL30="NT"),"COUPE – À RESOUDER","À RÉPARER"))))))))))</f>
        <v>ACCEPTÉ</v>
      </c>
      <c r="AN30" s="81" t="str">
        <f aca="false">IF(AND(ISNUMBER(R30),OR(AM30="À RADIOGRAPHIER",AM30="RÉPARÉ – À RADIOGRAPHIER",AM30="NX – RT À REFAIRE",AM30="À RÉPARER",AM30="COUPE – À RESOUDER",AM30="VT REJETÉ – À REPRENDRE")),MAX(0,'PROGRAMME RT'!$C$4-R30),"")</f>
        <v/>
      </c>
      <c r="AO30" s="78" t="n">
        <f aca="false">IF(AND(OR(AM30="À RADIOGRAPHIER",AM30="RÉPARÉ – À RADIOGRAPHIER",AM30="NX – RT À REFAIRE"),OR('PROGRAMME RT'!$D$5="TOUTES",B30='PROGRAMME RT'!$D$5)),1,0)</f>
        <v>0</v>
      </c>
      <c r="AP30" s="78" t="str">
        <f aca="false">IF(AO30=1,SUM(AO$7:AO30),"")</f>
        <v/>
      </c>
      <c r="AQ30" s="78" t="n">
        <f aca="false">IF(AND(OR(X30="R",X30="NX",X30="NT",X30="CO"),OR('JOINTS DE RÉPARATION'!$D$5="TOUTES",B30='JOINTS DE RÉPARATION'!$D$5),OR('JOINTS DE RÉPARATION'!$L$4="TOUS",AM30&lt;&gt;"ACCEPTÉ")),1,0)</f>
        <v>0</v>
      </c>
      <c r="AR30" s="78" t="str">
        <f aca="false">IF(AQ30=1,SUM(AQ$7:AQ30),"")</f>
        <v/>
      </c>
    </row>
    <row r="31" customFormat="false" ht="15" hidden="false" customHeight="false" outlineLevel="0" collapsed="false">
      <c r="A31" s="78" t="n">
        <f aca="false">IF(E31="","",ROW()-6)</f>
        <v>25</v>
      </c>
      <c r="B31" s="79" t="s">
        <v>102</v>
      </c>
      <c r="C31" s="80" t="s">
        <v>171</v>
      </c>
      <c r="D31" s="80" t="s">
        <v>103</v>
      </c>
      <c r="E31" s="80" t="s">
        <v>174</v>
      </c>
      <c r="F31" s="80" t="s">
        <v>151</v>
      </c>
      <c r="G31" s="80" t="s">
        <v>106</v>
      </c>
      <c r="H31" s="80" t="n">
        <v>11</v>
      </c>
      <c r="I31" s="80" t="s">
        <v>114</v>
      </c>
      <c r="J31" s="80" t="s">
        <v>132</v>
      </c>
      <c r="K31" s="80" t="s">
        <v>173</v>
      </c>
      <c r="L31" s="84" t="n">
        <f aca="false">IF(K31="","",IFERROR(INDEX(BARDAGE!$C$7:$C$1506,MATCH(K31,BARDAGE!$B$7:$B$1506,0)),"? hors registre"))</f>
        <v>852405000610</v>
      </c>
      <c r="M31" s="80" t="s">
        <v>175</v>
      </c>
      <c r="N31" s="84" t="n">
        <f aca="false">IF(M31="","",IFERROR(INDEX(BARDAGE!$C$7:$C$1506,MATCH(M31,BARDAGE!$B$7:$B$1506,0)),"? hors registre"))</f>
        <v>852405000415</v>
      </c>
      <c r="O31" s="80" t="s">
        <v>141</v>
      </c>
      <c r="P31" s="80" t="s">
        <v>141</v>
      </c>
      <c r="Q31" s="80" t="s">
        <v>125</v>
      </c>
      <c r="R31" s="82" t="n">
        <v>45876</v>
      </c>
      <c r="S31" s="82" t="n">
        <v>45876</v>
      </c>
      <c r="T31" s="80" t="s">
        <v>146</v>
      </c>
      <c r="U31" s="80" t="s">
        <v>105</v>
      </c>
      <c r="V31" s="82" t="n">
        <v>45888</v>
      </c>
      <c r="W31" s="80" t="s">
        <v>147</v>
      </c>
      <c r="X31" s="80" t="s">
        <v>105</v>
      </c>
      <c r="Y31" s="80"/>
      <c r="Z31" s="80"/>
      <c r="AA31" s="82"/>
      <c r="AB31" s="80"/>
      <c r="AC31" s="80"/>
      <c r="AD31" s="80"/>
      <c r="AE31" s="80"/>
      <c r="AF31" s="82"/>
      <c r="AG31" s="80"/>
      <c r="AH31" s="80"/>
      <c r="AI31" s="82"/>
      <c r="AJ31" s="79"/>
      <c r="AK31" s="78" t="n">
        <f aca="false">IF(E31="","",(X31&lt;&gt;"")+(AC31&lt;&gt;"")+(AH31&lt;&gt;""))</f>
        <v>1</v>
      </c>
      <c r="AL31" s="81" t="str">
        <f aca="false">IF(AH31&lt;&gt;"",AH31,IF(AC31&lt;&gt;"",AC31,IF(X31&lt;&gt;"",X31,"")))</f>
        <v>A</v>
      </c>
      <c r="AM31" s="83" t="str">
        <f aca="false">IF(E31="","",IF(R31="","À SOUDER",IF(U31="","VT EN ATTENTE",IF(U31="R","VT REJETÉ – À REPRENDRE",IF(AL31="","À RADIOGRAPHIER",IF(AL31="A","ACCEPTÉ",IF(AL31="NX","NX – RT À REFAIRE",IF(IF(AK31=1,Z31,IF(AK31=2,AE31,""))="A","RÉPARÉ – À RADIOGRAPHIER",IF(IF(AK31=1,Z31,IF(AK31=2,AE31,""))="R","VT REJETÉ – À REPRENDRE",IF(OR(AL31="CO",AL31="NT"),"COUPE – À RESOUDER","À RÉPARER"))))))))))</f>
        <v>ACCEPTÉ</v>
      </c>
      <c r="AN31" s="81" t="str">
        <f aca="false">IF(AND(ISNUMBER(R31),OR(AM31="À RADIOGRAPHIER",AM31="RÉPARÉ – À RADIOGRAPHIER",AM31="NX – RT À REFAIRE",AM31="À RÉPARER",AM31="COUPE – À RESOUDER",AM31="VT REJETÉ – À REPRENDRE")),MAX(0,'PROGRAMME RT'!$C$4-R31),"")</f>
        <v/>
      </c>
      <c r="AO31" s="78" t="n">
        <f aca="false">IF(AND(OR(AM31="À RADIOGRAPHIER",AM31="RÉPARÉ – À RADIOGRAPHIER",AM31="NX – RT À REFAIRE"),OR('PROGRAMME RT'!$D$5="TOUTES",B31='PROGRAMME RT'!$D$5)),1,0)</f>
        <v>0</v>
      </c>
      <c r="AP31" s="78" t="str">
        <f aca="false">IF(AO31=1,SUM(AO$7:AO31),"")</f>
        <v/>
      </c>
      <c r="AQ31" s="78" t="n">
        <f aca="false">IF(AND(OR(X31="R",X31="NX",X31="NT",X31="CO"),OR('JOINTS DE RÉPARATION'!$D$5="TOUTES",B31='JOINTS DE RÉPARATION'!$D$5),OR('JOINTS DE RÉPARATION'!$L$4="TOUS",AM31&lt;&gt;"ACCEPTÉ")),1,0)</f>
        <v>0</v>
      </c>
      <c r="AR31" s="78" t="str">
        <f aca="false">IF(AQ31=1,SUM(AQ$7:AQ31),"")</f>
        <v/>
      </c>
    </row>
    <row r="32" customFormat="false" ht="15" hidden="false" customHeight="false" outlineLevel="0" collapsed="false">
      <c r="A32" s="78" t="n">
        <f aca="false">IF(E32="","",ROW()-6)</f>
        <v>26</v>
      </c>
      <c r="B32" s="79" t="s">
        <v>102</v>
      </c>
      <c r="C32" s="80" t="s">
        <v>171</v>
      </c>
      <c r="D32" s="80" t="s">
        <v>103</v>
      </c>
      <c r="E32" s="80" t="s">
        <v>176</v>
      </c>
      <c r="F32" s="80" t="s">
        <v>151</v>
      </c>
      <c r="G32" s="80" t="s">
        <v>106</v>
      </c>
      <c r="H32" s="80" t="n">
        <v>11</v>
      </c>
      <c r="I32" s="80" t="s">
        <v>114</v>
      </c>
      <c r="J32" s="80" t="s">
        <v>132</v>
      </c>
      <c r="K32" s="80" t="s">
        <v>175</v>
      </c>
      <c r="L32" s="84" t="n">
        <f aca="false">IF(K32="","",IFERROR(INDEX(BARDAGE!$C$7:$C$1506,MATCH(K32,BARDAGE!$B$7:$B$1506,0)),"? hors registre"))</f>
        <v>852405000415</v>
      </c>
      <c r="M32" s="80" t="s">
        <v>177</v>
      </c>
      <c r="N32" s="84" t="n">
        <f aca="false">IF(M32="","",IFERROR(INDEX(BARDAGE!$C$7:$C$1506,MATCH(M32,BARDAGE!$B$7:$B$1506,0)),"? hors registre"))</f>
        <v>852405000610</v>
      </c>
      <c r="O32" s="80" t="s">
        <v>141</v>
      </c>
      <c r="P32" s="80" t="s">
        <v>141</v>
      </c>
      <c r="Q32" s="80" t="s">
        <v>125</v>
      </c>
      <c r="R32" s="82" t="n">
        <v>45876</v>
      </c>
      <c r="S32" s="82" t="n">
        <v>45876</v>
      </c>
      <c r="T32" s="80" t="s">
        <v>146</v>
      </c>
      <c r="U32" s="80" t="s">
        <v>105</v>
      </c>
      <c r="V32" s="82" t="n">
        <v>45888</v>
      </c>
      <c r="W32" s="80" t="s">
        <v>147</v>
      </c>
      <c r="X32" s="80" t="s">
        <v>105</v>
      </c>
      <c r="Y32" s="80"/>
      <c r="Z32" s="80"/>
      <c r="AA32" s="82"/>
      <c r="AB32" s="80"/>
      <c r="AC32" s="80"/>
      <c r="AD32" s="80"/>
      <c r="AE32" s="80"/>
      <c r="AF32" s="82"/>
      <c r="AG32" s="80"/>
      <c r="AH32" s="80"/>
      <c r="AI32" s="82"/>
      <c r="AJ32" s="79"/>
      <c r="AK32" s="78" t="n">
        <f aca="false">IF(E32="","",(X32&lt;&gt;"")+(AC32&lt;&gt;"")+(AH32&lt;&gt;""))</f>
        <v>1</v>
      </c>
      <c r="AL32" s="81" t="str">
        <f aca="false">IF(AH32&lt;&gt;"",AH32,IF(AC32&lt;&gt;"",AC32,IF(X32&lt;&gt;"",X32,"")))</f>
        <v>A</v>
      </c>
      <c r="AM32" s="83" t="str">
        <f aca="false">IF(E32="","",IF(R32="","À SOUDER",IF(U32="","VT EN ATTENTE",IF(U32="R","VT REJETÉ – À REPRENDRE",IF(AL32="","À RADIOGRAPHIER",IF(AL32="A","ACCEPTÉ",IF(AL32="NX","NX – RT À REFAIRE",IF(IF(AK32=1,Z32,IF(AK32=2,AE32,""))="A","RÉPARÉ – À RADIOGRAPHIER",IF(IF(AK32=1,Z32,IF(AK32=2,AE32,""))="R","VT REJETÉ – À REPRENDRE",IF(OR(AL32="CO",AL32="NT"),"COUPE – À RESOUDER","À RÉPARER"))))))))))</f>
        <v>ACCEPTÉ</v>
      </c>
      <c r="AN32" s="81" t="str">
        <f aca="false">IF(AND(ISNUMBER(R32),OR(AM32="À RADIOGRAPHIER",AM32="RÉPARÉ – À RADIOGRAPHIER",AM32="NX – RT À REFAIRE",AM32="À RÉPARER",AM32="COUPE – À RESOUDER",AM32="VT REJETÉ – À REPRENDRE")),MAX(0,'PROGRAMME RT'!$C$4-R32),"")</f>
        <v/>
      </c>
      <c r="AO32" s="78" t="n">
        <f aca="false">IF(AND(OR(AM32="À RADIOGRAPHIER",AM32="RÉPARÉ – À RADIOGRAPHIER",AM32="NX – RT À REFAIRE"),OR('PROGRAMME RT'!$D$5="TOUTES",B32='PROGRAMME RT'!$D$5)),1,0)</f>
        <v>0</v>
      </c>
      <c r="AP32" s="78" t="str">
        <f aca="false">IF(AO32=1,SUM(AO$7:AO32),"")</f>
        <v/>
      </c>
      <c r="AQ32" s="78" t="n">
        <f aca="false">IF(AND(OR(X32="R",X32="NX",X32="NT",X32="CO"),OR('JOINTS DE RÉPARATION'!$D$5="TOUTES",B32='JOINTS DE RÉPARATION'!$D$5),OR('JOINTS DE RÉPARATION'!$L$4="TOUS",AM32&lt;&gt;"ACCEPTÉ")),1,0)</f>
        <v>0</v>
      </c>
      <c r="AR32" s="78" t="str">
        <f aca="false">IF(AQ32=1,SUM(AQ$7:AQ32),"")</f>
        <v/>
      </c>
    </row>
    <row r="33" customFormat="false" ht="15" hidden="false" customHeight="false" outlineLevel="0" collapsed="false">
      <c r="A33" s="78" t="n">
        <f aca="false">IF(E33="","",ROW()-6)</f>
        <v>27</v>
      </c>
      <c r="B33" s="79" t="s">
        <v>102</v>
      </c>
      <c r="C33" s="80" t="s">
        <v>171</v>
      </c>
      <c r="D33" s="80" t="s">
        <v>103</v>
      </c>
      <c r="E33" s="80" t="s">
        <v>178</v>
      </c>
      <c r="F33" s="80" t="s">
        <v>151</v>
      </c>
      <c r="G33" s="80" t="s">
        <v>106</v>
      </c>
      <c r="H33" s="80" t="n">
        <v>11</v>
      </c>
      <c r="I33" s="80" t="s">
        <v>114</v>
      </c>
      <c r="J33" s="80" t="s">
        <v>132</v>
      </c>
      <c r="K33" s="80" t="s">
        <v>177</v>
      </c>
      <c r="L33" s="84" t="n">
        <f aca="false">IF(K33="","",IFERROR(INDEX(BARDAGE!$C$7:$C$1506,MATCH(K33,BARDAGE!$B$7:$B$1506,0)),"? hors registre"))</f>
        <v>852405000610</v>
      </c>
      <c r="M33" s="80" t="s">
        <v>179</v>
      </c>
      <c r="N33" s="84" t="n">
        <f aca="false">IF(M33="","",IFERROR(INDEX(BARDAGE!$C$7:$C$1506,MATCH(M33,BARDAGE!$B$7:$B$1506,0)),"? hors registre"))</f>
        <v>852405000415</v>
      </c>
      <c r="O33" s="80" t="s">
        <v>141</v>
      </c>
      <c r="P33" s="80" t="s">
        <v>141</v>
      </c>
      <c r="Q33" s="80" t="s">
        <v>125</v>
      </c>
      <c r="R33" s="82" t="n">
        <v>45876</v>
      </c>
      <c r="S33" s="82" t="n">
        <v>45876</v>
      </c>
      <c r="T33" s="80" t="s">
        <v>146</v>
      </c>
      <c r="U33" s="80" t="s">
        <v>105</v>
      </c>
      <c r="V33" s="82" t="n">
        <v>45888</v>
      </c>
      <c r="W33" s="80" t="s">
        <v>147</v>
      </c>
      <c r="X33" s="80" t="s">
        <v>105</v>
      </c>
      <c r="Y33" s="80"/>
      <c r="Z33" s="80"/>
      <c r="AA33" s="82"/>
      <c r="AB33" s="80"/>
      <c r="AC33" s="80"/>
      <c r="AD33" s="80"/>
      <c r="AE33" s="80"/>
      <c r="AF33" s="82"/>
      <c r="AG33" s="80"/>
      <c r="AH33" s="80"/>
      <c r="AI33" s="82"/>
      <c r="AJ33" s="79"/>
      <c r="AK33" s="78" t="n">
        <f aca="false">IF(E33="","",(X33&lt;&gt;"")+(AC33&lt;&gt;"")+(AH33&lt;&gt;""))</f>
        <v>1</v>
      </c>
      <c r="AL33" s="81" t="str">
        <f aca="false">IF(AH33&lt;&gt;"",AH33,IF(AC33&lt;&gt;"",AC33,IF(X33&lt;&gt;"",X33,"")))</f>
        <v>A</v>
      </c>
      <c r="AM33" s="83" t="str">
        <f aca="false">IF(E33="","",IF(R33="","À SOUDER",IF(U33="","VT EN ATTENTE",IF(U33="R","VT REJETÉ – À REPRENDRE",IF(AL33="","À RADIOGRAPHIER",IF(AL33="A","ACCEPTÉ",IF(AL33="NX","NX – RT À REFAIRE",IF(IF(AK33=1,Z33,IF(AK33=2,AE33,""))="A","RÉPARÉ – À RADIOGRAPHIER",IF(IF(AK33=1,Z33,IF(AK33=2,AE33,""))="R","VT REJETÉ – À REPRENDRE",IF(OR(AL33="CO",AL33="NT"),"COUPE – À RESOUDER","À RÉPARER"))))))))))</f>
        <v>ACCEPTÉ</v>
      </c>
      <c r="AN33" s="81" t="str">
        <f aca="false">IF(AND(ISNUMBER(R33),OR(AM33="À RADIOGRAPHIER",AM33="RÉPARÉ – À RADIOGRAPHIER",AM33="NX – RT À REFAIRE",AM33="À RÉPARER",AM33="COUPE – À RESOUDER",AM33="VT REJETÉ – À REPRENDRE")),MAX(0,'PROGRAMME RT'!$C$4-R33),"")</f>
        <v/>
      </c>
      <c r="AO33" s="78" t="n">
        <f aca="false">IF(AND(OR(AM33="À RADIOGRAPHIER",AM33="RÉPARÉ – À RADIOGRAPHIER",AM33="NX – RT À REFAIRE"),OR('PROGRAMME RT'!$D$5="TOUTES",B33='PROGRAMME RT'!$D$5)),1,0)</f>
        <v>0</v>
      </c>
      <c r="AP33" s="78" t="str">
        <f aca="false">IF(AO33=1,SUM(AO$7:AO33),"")</f>
        <v/>
      </c>
      <c r="AQ33" s="78" t="n">
        <f aca="false">IF(AND(OR(X33="R",X33="NX",X33="NT",X33="CO"),OR('JOINTS DE RÉPARATION'!$D$5="TOUTES",B33='JOINTS DE RÉPARATION'!$D$5),OR('JOINTS DE RÉPARATION'!$L$4="TOUS",AM33&lt;&gt;"ACCEPTÉ")),1,0)</f>
        <v>0</v>
      </c>
      <c r="AR33" s="78" t="str">
        <f aca="false">IF(AQ33=1,SUM(AQ$7:AQ33),"")</f>
        <v/>
      </c>
    </row>
    <row r="34" customFormat="false" ht="15" hidden="false" customHeight="false" outlineLevel="0" collapsed="false">
      <c r="A34" s="78" t="n">
        <f aca="false">IF(E34="","",ROW()-6)</f>
        <v>28</v>
      </c>
      <c r="B34" s="79" t="s">
        <v>102</v>
      </c>
      <c r="C34" s="80" t="s">
        <v>171</v>
      </c>
      <c r="D34" s="80" t="s">
        <v>103</v>
      </c>
      <c r="E34" s="80" t="s">
        <v>180</v>
      </c>
      <c r="F34" s="80" t="s">
        <v>151</v>
      </c>
      <c r="G34" s="80" t="s">
        <v>106</v>
      </c>
      <c r="H34" s="80" t="n">
        <v>11</v>
      </c>
      <c r="I34" s="80" t="s">
        <v>114</v>
      </c>
      <c r="J34" s="80" t="s">
        <v>132</v>
      </c>
      <c r="K34" s="80" t="s">
        <v>179</v>
      </c>
      <c r="L34" s="84" t="n">
        <f aca="false">IF(K34="","",IFERROR(INDEX(BARDAGE!$C$7:$C$1506,MATCH(K34,BARDAGE!$B$7:$B$1506,0)),"? hors registre"))</f>
        <v>852405000415</v>
      </c>
      <c r="M34" s="80" t="s">
        <v>181</v>
      </c>
      <c r="N34" s="84" t="n">
        <f aca="false">IF(M34="","",IFERROR(INDEX(BARDAGE!$C$7:$C$1506,MATCH(M34,BARDAGE!$B$7:$B$1506,0)),"? hors registre"))</f>
        <v>852405000610</v>
      </c>
      <c r="O34" s="80" t="s">
        <v>141</v>
      </c>
      <c r="P34" s="80" t="s">
        <v>141</v>
      </c>
      <c r="Q34" s="80" t="s">
        <v>125</v>
      </c>
      <c r="R34" s="82" t="n">
        <v>45876</v>
      </c>
      <c r="S34" s="82" t="n">
        <v>45876</v>
      </c>
      <c r="T34" s="80" t="s">
        <v>146</v>
      </c>
      <c r="U34" s="80" t="s">
        <v>105</v>
      </c>
      <c r="V34" s="82" t="n">
        <v>45888</v>
      </c>
      <c r="W34" s="80" t="s">
        <v>147</v>
      </c>
      <c r="X34" s="80" t="s">
        <v>105</v>
      </c>
      <c r="Y34" s="80"/>
      <c r="Z34" s="80"/>
      <c r="AA34" s="82"/>
      <c r="AB34" s="80"/>
      <c r="AC34" s="80"/>
      <c r="AD34" s="80"/>
      <c r="AE34" s="80"/>
      <c r="AF34" s="82"/>
      <c r="AG34" s="80"/>
      <c r="AH34" s="80"/>
      <c r="AI34" s="82"/>
      <c r="AJ34" s="79"/>
      <c r="AK34" s="78" t="n">
        <f aca="false">IF(E34="","",(X34&lt;&gt;"")+(AC34&lt;&gt;"")+(AH34&lt;&gt;""))</f>
        <v>1</v>
      </c>
      <c r="AL34" s="81" t="str">
        <f aca="false">IF(AH34&lt;&gt;"",AH34,IF(AC34&lt;&gt;"",AC34,IF(X34&lt;&gt;"",X34,"")))</f>
        <v>A</v>
      </c>
      <c r="AM34" s="83" t="str">
        <f aca="false">IF(E34="","",IF(R34="","À SOUDER",IF(U34="","VT EN ATTENTE",IF(U34="R","VT REJETÉ – À REPRENDRE",IF(AL34="","À RADIOGRAPHIER",IF(AL34="A","ACCEPTÉ",IF(AL34="NX","NX – RT À REFAIRE",IF(IF(AK34=1,Z34,IF(AK34=2,AE34,""))="A","RÉPARÉ – À RADIOGRAPHIER",IF(IF(AK34=1,Z34,IF(AK34=2,AE34,""))="R","VT REJETÉ – À REPRENDRE",IF(OR(AL34="CO",AL34="NT"),"COUPE – À RESOUDER","À RÉPARER"))))))))))</f>
        <v>ACCEPTÉ</v>
      </c>
      <c r="AN34" s="81" t="str">
        <f aca="false">IF(AND(ISNUMBER(R34),OR(AM34="À RADIOGRAPHIER",AM34="RÉPARÉ – À RADIOGRAPHIER",AM34="NX – RT À REFAIRE",AM34="À RÉPARER",AM34="COUPE – À RESOUDER",AM34="VT REJETÉ – À REPRENDRE")),MAX(0,'PROGRAMME RT'!$C$4-R34),"")</f>
        <v/>
      </c>
      <c r="AO34" s="78" t="n">
        <f aca="false">IF(AND(OR(AM34="À RADIOGRAPHIER",AM34="RÉPARÉ – À RADIOGRAPHIER",AM34="NX – RT À REFAIRE"),OR('PROGRAMME RT'!$D$5="TOUTES",B34='PROGRAMME RT'!$D$5)),1,0)</f>
        <v>0</v>
      </c>
      <c r="AP34" s="78" t="str">
        <f aca="false">IF(AO34=1,SUM(AO$7:AO34),"")</f>
        <v/>
      </c>
      <c r="AQ34" s="78" t="n">
        <f aca="false">IF(AND(OR(X34="R",X34="NX",X34="NT",X34="CO"),OR('JOINTS DE RÉPARATION'!$D$5="TOUTES",B34='JOINTS DE RÉPARATION'!$D$5),OR('JOINTS DE RÉPARATION'!$L$4="TOUS",AM34&lt;&gt;"ACCEPTÉ")),1,0)</f>
        <v>0</v>
      </c>
      <c r="AR34" s="78" t="str">
        <f aca="false">IF(AQ34=1,SUM(AQ$7:AQ34),"")</f>
        <v/>
      </c>
    </row>
    <row r="35" customFormat="false" ht="15" hidden="false" customHeight="false" outlineLevel="0" collapsed="false">
      <c r="A35" s="78" t="n">
        <f aca="false">IF(E35="","",ROW()-6)</f>
        <v>29</v>
      </c>
      <c r="B35" s="79" t="s">
        <v>102</v>
      </c>
      <c r="C35" s="80" t="s">
        <v>171</v>
      </c>
      <c r="D35" s="80" t="s">
        <v>103</v>
      </c>
      <c r="E35" s="80" t="s">
        <v>182</v>
      </c>
      <c r="F35" s="80" t="s">
        <v>151</v>
      </c>
      <c r="G35" s="80" t="s">
        <v>106</v>
      </c>
      <c r="H35" s="80" t="n">
        <v>11</v>
      </c>
      <c r="I35" s="80" t="s">
        <v>114</v>
      </c>
      <c r="J35" s="80" t="s">
        <v>132</v>
      </c>
      <c r="K35" s="80" t="s">
        <v>181</v>
      </c>
      <c r="L35" s="84" t="n">
        <f aca="false">IF(K35="","",IFERROR(INDEX(BARDAGE!$C$7:$C$1506,MATCH(K35,BARDAGE!$B$7:$B$1506,0)),"? hors registre"))</f>
        <v>852405000610</v>
      </c>
      <c r="M35" s="80" t="s">
        <v>183</v>
      </c>
      <c r="N35" s="84" t="n">
        <f aca="false">IF(M35="","",IFERROR(INDEX(BARDAGE!$C$7:$C$1506,MATCH(M35,BARDAGE!$B$7:$B$1506,0)),"? hors registre"))</f>
        <v>852405000610</v>
      </c>
      <c r="O35" s="80" t="s">
        <v>141</v>
      </c>
      <c r="P35" s="80" t="s">
        <v>141</v>
      </c>
      <c r="Q35" s="80" t="s">
        <v>125</v>
      </c>
      <c r="R35" s="82" t="n">
        <v>45877</v>
      </c>
      <c r="S35" s="82" t="n">
        <v>45877</v>
      </c>
      <c r="T35" s="80" t="s">
        <v>184</v>
      </c>
      <c r="U35" s="80" t="s">
        <v>105</v>
      </c>
      <c r="V35" s="82" t="n">
        <v>45889</v>
      </c>
      <c r="W35" s="80" t="s">
        <v>185</v>
      </c>
      <c r="X35" s="80" t="s">
        <v>105</v>
      </c>
      <c r="Y35" s="80"/>
      <c r="Z35" s="80"/>
      <c r="AA35" s="82"/>
      <c r="AB35" s="80"/>
      <c r="AC35" s="80"/>
      <c r="AD35" s="80"/>
      <c r="AE35" s="80"/>
      <c r="AF35" s="82"/>
      <c r="AG35" s="80"/>
      <c r="AH35" s="80"/>
      <c r="AI35" s="82"/>
      <c r="AJ35" s="79"/>
      <c r="AK35" s="78" t="n">
        <f aca="false">IF(E35="","",(X35&lt;&gt;"")+(AC35&lt;&gt;"")+(AH35&lt;&gt;""))</f>
        <v>1</v>
      </c>
      <c r="AL35" s="81" t="str">
        <f aca="false">IF(AH35&lt;&gt;"",AH35,IF(AC35&lt;&gt;"",AC35,IF(X35&lt;&gt;"",X35,"")))</f>
        <v>A</v>
      </c>
      <c r="AM35" s="83" t="str">
        <f aca="false">IF(E35="","",IF(R35="","À SOUDER",IF(U35="","VT EN ATTENTE",IF(U35="R","VT REJETÉ – À REPRENDRE",IF(AL35="","À RADIOGRAPHIER",IF(AL35="A","ACCEPTÉ",IF(AL35="NX","NX – RT À REFAIRE",IF(IF(AK35=1,Z35,IF(AK35=2,AE35,""))="A","RÉPARÉ – À RADIOGRAPHIER",IF(IF(AK35=1,Z35,IF(AK35=2,AE35,""))="R","VT REJETÉ – À REPRENDRE",IF(OR(AL35="CO",AL35="NT"),"COUPE – À RESOUDER","À RÉPARER"))))))))))</f>
        <v>ACCEPTÉ</v>
      </c>
      <c r="AN35" s="81" t="str">
        <f aca="false">IF(AND(ISNUMBER(R35),OR(AM35="À RADIOGRAPHIER",AM35="RÉPARÉ – À RADIOGRAPHIER",AM35="NX – RT À REFAIRE",AM35="À RÉPARER",AM35="COUPE – À RESOUDER",AM35="VT REJETÉ – À REPRENDRE")),MAX(0,'PROGRAMME RT'!$C$4-R35),"")</f>
        <v/>
      </c>
      <c r="AO35" s="78" t="n">
        <f aca="false">IF(AND(OR(AM35="À RADIOGRAPHIER",AM35="RÉPARÉ – À RADIOGRAPHIER",AM35="NX – RT À REFAIRE"),OR('PROGRAMME RT'!$D$5="TOUTES",B35='PROGRAMME RT'!$D$5)),1,0)</f>
        <v>0</v>
      </c>
      <c r="AP35" s="78" t="str">
        <f aca="false">IF(AO35=1,SUM(AO$7:AO35),"")</f>
        <v/>
      </c>
      <c r="AQ35" s="78" t="n">
        <f aca="false">IF(AND(OR(X35="R",X35="NX",X35="NT",X35="CO"),OR('JOINTS DE RÉPARATION'!$D$5="TOUTES",B35='JOINTS DE RÉPARATION'!$D$5),OR('JOINTS DE RÉPARATION'!$L$4="TOUS",AM35&lt;&gt;"ACCEPTÉ")),1,0)</f>
        <v>0</v>
      </c>
      <c r="AR35" s="78" t="str">
        <f aca="false">IF(AQ35=1,SUM(AQ$7:AQ35),"")</f>
        <v/>
      </c>
    </row>
    <row r="36" customFormat="false" ht="15" hidden="false" customHeight="false" outlineLevel="0" collapsed="false">
      <c r="A36" s="78" t="n">
        <f aca="false">IF(E36="","",ROW()-6)</f>
        <v>30</v>
      </c>
      <c r="B36" s="79" t="s">
        <v>102</v>
      </c>
      <c r="C36" s="80" t="s">
        <v>171</v>
      </c>
      <c r="D36" s="80" t="s">
        <v>103</v>
      </c>
      <c r="E36" s="80" t="s">
        <v>186</v>
      </c>
      <c r="F36" s="80" t="s">
        <v>151</v>
      </c>
      <c r="G36" s="80" t="s">
        <v>106</v>
      </c>
      <c r="H36" s="80" t="n">
        <v>11</v>
      </c>
      <c r="I36" s="80" t="s">
        <v>114</v>
      </c>
      <c r="J36" s="80" t="s">
        <v>132</v>
      </c>
      <c r="K36" s="80" t="s">
        <v>183</v>
      </c>
      <c r="L36" s="84" t="n">
        <f aca="false">IF(K36="","",IFERROR(INDEX(BARDAGE!$C$7:$C$1506,MATCH(K36,BARDAGE!$B$7:$B$1506,0)),"? hors registre"))</f>
        <v>852405000610</v>
      </c>
      <c r="M36" s="80" t="s">
        <v>187</v>
      </c>
      <c r="N36" s="84" t="n">
        <f aca="false">IF(M36="","",IFERROR(INDEX(BARDAGE!$C$7:$C$1506,MATCH(M36,BARDAGE!$B$7:$B$1506,0)),"? hors registre"))</f>
        <v>852405000564</v>
      </c>
      <c r="O36" s="80" t="s">
        <v>141</v>
      </c>
      <c r="P36" s="80" t="s">
        <v>141</v>
      </c>
      <c r="Q36" s="80" t="s">
        <v>125</v>
      </c>
      <c r="R36" s="82" t="n">
        <v>45877</v>
      </c>
      <c r="S36" s="82" t="n">
        <v>45877</v>
      </c>
      <c r="T36" s="80" t="s">
        <v>184</v>
      </c>
      <c r="U36" s="80" t="s">
        <v>105</v>
      </c>
      <c r="V36" s="82" t="n">
        <v>45888</v>
      </c>
      <c r="W36" s="80" t="s">
        <v>147</v>
      </c>
      <c r="X36" s="80" t="s">
        <v>105</v>
      </c>
      <c r="Y36" s="80"/>
      <c r="Z36" s="80"/>
      <c r="AA36" s="82"/>
      <c r="AB36" s="80"/>
      <c r="AC36" s="80"/>
      <c r="AD36" s="80"/>
      <c r="AE36" s="80"/>
      <c r="AF36" s="82"/>
      <c r="AG36" s="80"/>
      <c r="AH36" s="80"/>
      <c r="AI36" s="82"/>
      <c r="AJ36" s="79"/>
      <c r="AK36" s="78" t="n">
        <f aca="false">IF(E36="","",(X36&lt;&gt;"")+(AC36&lt;&gt;"")+(AH36&lt;&gt;""))</f>
        <v>1</v>
      </c>
      <c r="AL36" s="81" t="str">
        <f aca="false">IF(AH36&lt;&gt;"",AH36,IF(AC36&lt;&gt;"",AC36,IF(X36&lt;&gt;"",X36,"")))</f>
        <v>A</v>
      </c>
      <c r="AM36" s="83" t="str">
        <f aca="false">IF(E36="","",IF(R36="","À SOUDER",IF(U36="","VT EN ATTENTE",IF(U36="R","VT REJETÉ – À REPRENDRE",IF(AL36="","À RADIOGRAPHIER",IF(AL36="A","ACCEPTÉ",IF(AL36="NX","NX – RT À REFAIRE",IF(IF(AK36=1,Z36,IF(AK36=2,AE36,""))="A","RÉPARÉ – À RADIOGRAPHIER",IF(IF(AK36=1,Z36,IF(AK36=2,AE36,""))="R","VT REJETÉ – À REPRENDRE",IF(OR(AL36="CO",AL36="NT"),"COUPE – À RESOUDER","À RÉPARER"))))))))))</f>
        <v>ACCEPTÉ</v>
      </c>
      <c r="AN36" s="81" t="str">
        <f aca="false">IF(AND(ISNUMBER(R36),OR(AM36="À RADIOGRAPHIER",AM36="RÉPARÉ – À RADIOGRAPHIER",AM36="NX – RT À REFAIRE",AM36="À RÉPARER",AM36="COUPE – À RESOUDER",AM36="VT REJETÉ – À REPRENDRE")),MAX(0,'PROGRAMME RT'!$C$4-R36),"")</f>
        <v/>
      </c>
      <c r="AO36" s="78" t="n">
        <f aca="false">IF(AND(OR(AM36="À RADIOGRAPHIER",AM36="RÉPARÉ – À RADIOGRAPHIER",AM36="NX – RT À REFAIRE"),OR('PROGRAMME RT'!$D$5="TOUTES",B36='PROGRAMME RT'!$D$5)),1,0)</f>
        <v>0</v>
      </c>
      <c r="AP36" s="78" t="str">
        <f aca="false">IF(AO36=1,SUM(AO$7:AO36),"")</f>
        <v/>
      </c>
      <c r="AQ36" s="78" t="n">
        <f aca="false">IF(AND(OR(X36="R",X36="NX",X36="NT",X36="CO"),OR('JOINTS DE RÉPARATION'!$D$5="TOUTES",B36='JOINTS DE RÉPARATION'!$D$5),OR('JOINTS DE RÉPARATION'!$L$4="TOUS",AM36&lt;&gt;"ACCEPTÉ")),1,0)</f>
        <v>0</v>
      </c>
      <c r="AR36" s="78" t="str">
        <f aca="false">IF(AQ36=1,SUM(AQ$7:AQ36),"")</f>
        <v/>
      </c>
    </row>
    <row r="37" customFormat="false" ht="15" hidden="false" customHeight="false" outlineLevel="0" collapsed="false">
      <c r="A37" s="78" t="n">
        <f aca="false">IF(E37="","",ROW()-6)</f>
        <v>31</v>
      </c>
      <c r="B37" s="79" t="s">
        <v>102</v>
      </c>
      <c r="C37" s="80" t="s">
        <v>171</v>
      </c>
      <c r="D37" s="80" t="s">
        <v>103</v>
      </c>
      <c r="E37" s="80" t="s">
        <v>188</v>
      </c>
      <c r="F37" s="80" t="s">
        <v>151</v>
      </c>
      <c r="G37" s="80" t="s">
        <v>106</v>
      </c>
      <c r="H37" s="80" t="n">
        <v>11</v>
      </c>
      <c r="I37" s="80" t="s">
        <v>114</v>
      </c>
      <c r="J37" s="80" t="s">
        <v>132</v>
      </c>
      <c r="K37" s="80" t="s">
        <v>187</v>
      </c>
      <c r="L37" s="84" t="n">
        <f aca="false">IF(K37="","",IFERROR(INDEX(BARDAGE!$C$7:$C$1506,MATCH(K37,BARDAGE!$B$7:$B$1506,0)),"? hors registre"))</f>
        <v>852405000564</v>
      </c>
      <c r="M37" s="80" t="s">
        <v>189</v>
      </c>
      <c r="N37" s="84" t="n">
        <f aca="false">IF(M37="","",IFERROR(INDEX(BARDAGE!$C$7:$C$1506,MATCH(M37,BARDAGE!$B$7:$B$1506,0)),"? hors registre"))</f>
        <v>852404002201</v>
      </c>
      <c r="O37" s="80" t="s">
        <v>141</v>
      </c>
      <c r="P37" s="80" t="s">
        <v>141</v>
      </c>
      <c r="Q37" s="80" t="s">
        <v>125</v>
      </c>
      <c r="R37" s="82" t="n">
        <v>45877</v>
      </c>
      <c r="S37" s="82" t="n">
        <v>45877</v>
      </c>
      <c r="T37" s="80" t="s">
        <v>184</v>
      </c>
      <c r="U37" s="80" t="s">
        <v>105</v>
      </c>
      <c r="V37" s="82" t="n">
        <v>45888</v>
      </c>
      <c r="W37" s="80" t="s">
        <v>147</v>
      </c>
      <c r="X37" s="80" t="s">
        <v>105</v>
      </c>
      <c r="Y37" s="80"/>
      <c r="Z37" s="80"/>
      <c r="AA37" s="82"/>
      <c r="AB37" s="80"/>
      <c r="AC37" s="80"/>
      <c r="AD37" s="80"/>
      <c r="AE37" s="80"/>
      <c r="AF37" s="82"/>
      <c r="AG37" s="80"/>
      <c r="AH37" s="80"/>
      <c r="AI37" s="82"/>
      <c r="AJ37" s="79"/>
      <c r="AK37" s="78" t="n">
        <f aca="false">IF(E37="","",(X37&lt;&gt;"")+(AC37&lt;&gt;"")+(AH37&lt;&gt;""))</f>
        <v>1</v>
      </c>
      <c r="AL37" s="81" t="str">
        <f aca="false">IF(AH37&lt;&gt;"",AH37,IF(AC37&lt;&gt;"",AC37,IF(X37&lt;&gt;"",X37,"")))</f>
        <v>A</v>
      </c>
      <c r="AM37" s="83" t="str">
        <f aca="false">IF(E37="","",IF(R37="","À SOUDER",IF(U37="","VT EN ATTENTE",IF(U37="R","VT REJETÉ – À REPRENDRE",IF(AL37="","À RADIOGRAPHIER",IF(AL37="A","ACCEPTÉ",IF(AL37="NX","NX – RT À REFAIRE",IF(IF(AK37=1,Z37,IF(AK37=2,AE37,""))="A","RÉPARÉ – À RADIOGRAPHIER",IF(IF(AK37=1,Z37,IF(AK37=2,AE37,""))="R","VT REJETÉ – À REPRENDRE",IF(OR(AL37="CO",AL37="NT"),"COUPE – À RESOUDER","À RÉPARER"))))))))))</f>
        <v>ACCEPTÉ</v>
      </c>
      <c r="AN37" s="81" t="str">
        <f aca="false">IF(AND(ISNUMBER(R37),OR(AM37="À RADIOGRAPHIER",AM37="RÉPARÉ – À RADIOGRAPHIER",AM37="NX – RT À REFAIRE",AM37="À RÉPARER",AM37="COUPE – À RESOUDER",AM37="VT REJETÉ – À REPRENDRE")),MAX(0,'PROGRAMME RT'!$C$4-R37),"")</f>
        <v/>
      </c>
      <c r="AO37" s="78" t="n">
        <f aca="false">IF(AND(OR(AM37="À RADIOGRAPHIER",AM37="RÉPARÉ – À RADIOGRAPHIER",AM37="NX – RT À REFAIRE"),OR('PROGRAMME RT'!$D$5="TOUTES",B37='PROGRAMME RT'!$D$5)),1,0)</f>
        <v>0</v>
      </c>
      <c r="AP37" s="78" t="str">
        <f aca="false">IF(AO37=1,SUM(AO$7:AO37),"")</f>
        <v/>
      </c>
      <c r="AQ37" s="78" t="n">
        <f aca="false">IF(AND(OR(X37="R",X37="NX",X37="NT",X37="CO"),OR('JOINTS DE RÉPARATION'!$D$5="TOUTES",B37='JOINTS DE RÉPARATION'!$D$5),OR('JOINTS DE RÉPARATION'!$L$4="TOUS",AM37&lt;&gt;"ACCEPTÉ")),1,0)</f>
        <v>0</v>
      </c>
      <c r="AR37" s="78" t="str">
        <f aca="false">IF(AQ37=1,SUM(AQ$7:AQ37),"")</f>
        <v/>
      </c>
    </row>
    <row r="38" customFormat="false" ht="15" hidden="false" customHeight="false" outlineLevel="0" collapsed="false">
      <c r="A38" s="78" t="n">
        <f aca="false">IF(E38="","",ROW()-6)</f>
        <v>32</v>
      </c>
      <c r="B38" s="79" t="s">
        <v>102</v>
      </c>
      <c r="C38" s="80" t="s">
        <v>171</v>
      </c>
      <c r="D38" s="80" t="s">
        <v>103</v>
      </c>
      <c r="E38" s="80" t="s">
        <v>190</v>
      </c>
      <c r="F38" s="80" t="s">
        <v>151</v>
      </c>
      <c r="G38" s="80" t="s">
        <v>106</v>
      </c>
      <c r="H38" s="80" t="n">
        <v>11</v>
      </c>
      <c r="I38" s="80" t="s">
        <v>114</v>
      </c>
      <c r="J38" s="80" t="s">
        <v>132</v>
      </c>
      <c r="K38" s="80" t="s">
        <v>189</v>
      </c>
      <c r="L38" s="84" t="n">
        <f aca="false">IF(K38="","",IFERROR(INDEX(BARDAGE!$C$7:$C$1506,MATCH(K38,BARDAGE!$B$7:$B$1506,0)),"? hors registre"))</f>
        <v>852404002201</v>
      </c>
      <c r="M38" s="80" t="s">
        <v>191</v>
      </c>
      <c r="N38" s="84" t="n">
        <f aca="false">IF(M38="","",IFERROR(INDEX(BARDAGE!$C$7:$C$1506,MATCH(M38,BARDAGE!$B$7:$B$1506,0)),"? hors registre"))</f>
        <v>852405000564</v>
      </c>
      <c r="O38" s="80" t="s">
        <v>141</v>
      </c>
      <c r="P38" s="80" t="s">
        <v>141</v>
      </c>
      <c r="Q38" s="80" t="s">
        <v>125</v>
      </c>
      <c r="R38" s="82" t="n">
        <v>45877</v>
      </c>
      <c r="S38" s="82" t="n">
        <v>45877</v>
      </c>
      <c r="T38" s="80" t="s">
        <v>184</v>
      </c>
      <c r="U38" s="80" t="s">
        <v>105</v>
      </c>
      <c r="V38" s="82" t="n">
        <v>45888</v>
      </c>
      <c r="W38" s="80" t="s">
        <v>147</v>
      </c>
      <c r="X38" s="80" t="s">
        <v>105</v>
      </c>
      <c r="Y38" s="80"/>
      <c r="Z38" s="80"/>
      <c r="AA38" s="82"/>
      <c r="AB38" s="80"/>
      <c r="AC38" s="80"/>
      <c r="AD38" s="80"/>
      <c r="AE38" s="80"/>
      <c r="AF38" s="82"/>
      <c r="AG38" s="80"/>
      <c r="AH38" s="80"/>
      <c r="AI38" s="82"/>
      <c r="AJ38" s="79"/>
      <c r="AK38" s="78" t="n">
        <f aca="false">IF(E38="","",(X38&lt;&gt;"")+(AC38&lt;&gt;"")+(AH38&lt;&gt;""))</f>
        <v>1</v>
      </c>
      <c r="AL38" s="81" t="str">
        <f aca="false">IF(AH38&lt;&gt;"",AH38,IF(AC38&lt;&gt;"",AC38,IF(X38&lt;&gt;"",X38,"")))</f>
        <v>A</v>
      </c>
      <c r="AM38" s="83" t="str">
        <f aca="false">IF(E38="","",IF(R38="","À SOUDER",IF(U38="","VT EN ATTENTE",IF(U38="R","VT REJETÉ – À REPRENDRE",IF(AL38="","À RADIOGRAPHIER",IF(AL38="A","ACCEPTÉ",IF(AL38="NX","NX – RT À REFAIRE",IF(IF(AK38=1,Z38,IF(AK38=2,AE38,""))="A","RÉPARÉ – À RADIOGRAPHIER",IF(IF(AK38=1,Z38,IF(AK38=2,AE38,""))="R","VT REJETÉ – À REPRENDRE",IF(OR(AL38="CO",AL38="NT"),"COUPE – À RESOUDER","À RÉPARER"))))))))))</f>
        <v>ACCEPTÉ</v>
      </c>
      <c r="AN38" s="81" t="str">
        <f aca="false">IF(AND(ISNUMBER(R38),OR(AM38="À RADIOGRAPHIER",AM38="RÉPARÉ – À RADIOGRAPHIER",AM38="NX – RT À REFAIRE",AM38="À RÉPARER",AM38="COUPE – À RESOUDER",AM38="VT REJETÉ – À REPRENDRE")),MAX(0,'PROGRAMME RT'!$C$4-R38),"")</f>
        <v/>
      </c>
      <c r="AO38" s="78" t="n">
        <f aca="false">IF(AND(OR(AM38="À RADIOGRAPHIER",AM38="RÉPARÉ – À RADIOGRAPHIER",AM38="NX – RT À REFAIRE"),OR('PROGRAMME RT'!$D$5="TOUTES",B38='PROGRAMME RT'!$D$5)),1,0)</f>
        <v>0</v>
      </c>
      <c r="AP38" s="78" t="str">
        <f aca="false">IF(AO38=1,SUM(AO$7:AO38),"")</f>
        <v/>
      </c>
      <c r="AQ38" s="78" t="n">
        <f aca="false">IF(AND(OR(X38="R",X38="NX",X38="NT",X38="CO"),OR('JOINTS DE RÉPARATION'!$D$5="TOUTES",B38='JOINTS DE RÉPARATION'!$D$5),OR('JOINTS DE RÉPARATION'!$L$4="TOUS",AM38&lt;&gt;"ACCEPTÉ")),1,0)</f>
        <v>0</v>
      </c>
      <c r="AR38" s="78" t="str">
        <f aca="false">IF(AQ38=1,SUM(AQ$7:AQ38),"")</f>
        <v/>
      </c>
    </row>
    <row r="39" customFormat="false" ht="15" hidden="false" customHeight="false" outlineLevel="0" collapsed="false">
      <c r="A39" s="78" t="n">
        <f aca="false">IF(E39="","",ROW()-6)</f>
        <v>33</v>
      </c>
      <c r="B39" s="79" t="s">
        <v>102</v>
      </c>
      <c r="C39" s="80" t="s">
        <v>171</v>
      </c>
      <c r="D39" s="80" t="s">
        <v>103</v>
      </c>
      <c r="E39" s="80" t="s">
        <v>192</v>
      </c>
      <c r="F39" s="80" t="s">
        <v>151</v>
      </c>
      <c r="G39" s="80" t="s">
        <v>106</v>
      </c>
      <c r="H39" s="80" t="n">
        <v>11</v>
      </c>
      <c r="I39" s="80" t="s">
        <v>114</v>
      </c>
      <c r="J39" s="80" t="s">
        <v>132</v>
      </c>
      <c r="K39" s="80" t="s">
        <v>191</v>
      </c>
      <c r="L39" s="84" t="n">
        <f aca="false">IF(K39="","",IFERROR(INDEX(BARDAGE!$C$7:$C$1506,MATCH(K39,BARDAGE!$B$7:$B$1506,0)),"? hors registre"))</f>
        <v>852405000564</v>
      </c>
      <c r="M39" s="80" t="s">
        <v>193</v>
      </c>
      <c r="N39" s="84" t="n">
        <f aca="false">IF(M39="","",IFERROR(INDEX(BARDAGE!$C$7:$C$1506,MATCH(M39,BARDAGE!$B$7:$B$1506,0)),"? hors registre"))</f>
        <v>852404000882</v>
      </c>
      <c r="O39" s="80" t="s">
        <v>141</v>
      </c>
      <c r="P39" s="80" t="s">
        <v>141</v>
      </c>
      <c r="Q39" s="80" t="s">
        <v>125</v>
      </c>
      <c r="R39" s="82" t="n">
        <v>45878</v>
      </c>
      <c r="S39" s="82" t="n">
        <v>45878</v>
      </c>
      <c r="T39" s="80" t="s">
        <v>194</v>
      </c>
      <c r="U39" s="80" t="s">
        <v>105</v>
      </c>
      <c r="V39" s="82" t="n">
        <v>45889</v>
      </c>
      <c r="W39" s="80" t="s">
        <v>185</v>
      </c>
      <c r="X39" s="80" t="s">
        <v>105</v>
      </c>
      <c r="Y39" s="80"/>
      <c r="Z39" s="80"/>
      <c r="AA39" s="82"/>
      <c r="AB39" s="80"/>
      <c r="AC39" s="80"/>
      <c r="AD39" s="80"/>
      <c r="AE39" s="80"/>
      <c r="AF39" s="82"/>
      <c r="AG39" s="80"/>
      <c r="AH39" s="80"/>
      <c r="AI39" s="82"/>
      <c r="AJ39" s="79"/>
      <c r="AK39" s="78" t="n">
        <f aca="false">IF(E39="","",(X39&lt;&gt;"")+(AC39&lt;&gt;"")+(AH39&lt;&gt;""))</f>
        <v>1</v>
      </c>
      <c r="AL39" s="81" t="str">
        <f aca="false">IF(AH39&lt;&gt;"",AH39,IF(AC39&lt;&gt;"",AC39,IF(X39&lt;&gt;"",X39,"")))</f>
        <v>A</v>
      </c>
      <c r="AM39" s="83" t="str">
        <f aca="false">IF(E39="","",IF(R39="","À SOUDER",IF(U39="","VT EN ATTENTE",IF(U39="R","VT REJETÉ – À REPRENDRE",IF(AL39="","À RADIOGRAPHIER",IF(AL39="A","ACCEPTÉ",IF(AL39="NX","NX – RT À REFAIRE",IF(IF(AK39=1,Z39,IF(AK39=2,AE39,""))="A","RÉPARÉ – À RADIOGRAPHIER",IF(IF(AK39=1,Z39,IF(AK39=2,AE39,""))="R","VT REJETÉ – À REPRENDRE",IF(OR(AL39="CO",AL39="NT"),"COUPE – À RESOUDER","À RÉPARER"))))))))))</f>
        <v>ACCEPTÉ</v>
      </c>
      <c r="AN39" s="81" t="str">
        <f aca="false">IF(AND(ISNUMBER(R39),OR(AM39="À RADIOGRAPHIER",AM39="RÉPARÉ – À RADIOGRAPHIER",AM39="NX – RT À REFAIRE",AM39="À RÉPARER",AM39="COUPE – À RESOUDER",AM39="VT REJETÉ – À REPRENDRE")),MAX(0,'PROGRAMME RT'!$C$4-R39),"")</f>
        <v/>
      </c>
      <c r="AO39" s="78" t="n">
        <f aca="false">IF(AND(OR(AM39="À RADIOGRAPHIER",AM39="RÉPARÉ – À RADIOGRAPHIER",AM39="NX – RT À REFAIRE"),OR('PROGRAMME RT'!$D$5="TOUTES",B39='PROGRAMME RT'!$D$5)),1,0)</f>
        <v>0</v>
      </c>
      <c r="AP39" s="78" t="str">
        <f aca="false">IF(AO39=1,SUM(AO$7:AO39),"")</f>
        <v/>
      </c>
      <c r="AQ39" s="78" t="n">
        <f aca="false">IF(AND(OR(X39="R",X39="NX",X39="NT",X39="CO"),OR('JOINTS DE RÉPARATION'!$D$5="TOUTES",B39='JOINTS DE RÉPARATION'!$D$5),OR('JOINTS DE RÉPARATION'!$L$4="TOUS",AM39&lt;&gt;"ACCEPTÉ")),1,0)</f>
        <v>0</v>
      </c>
      <c r="AR39" s="78" t="str">
        <f aca="false">IF(AQ39=1,SUM(AQ$7:AQ39),"")</f>
        <v/>
      </c>
    </row>
    <row r="40" customFormat="false" ht="15" hidden="false" customHeight="false" outlineLevel="0" collapsed="false">
      <c r="A40" s="78" t="n">
        <f aca="false">IF(E40="","",ROW()-6)</f>
        <v>34</v>
      </c>
      <c r="B40" s="79" t="s">
        <v>102</v>
      </c>
      <c r="C40" s="80" t="s">
        <v>171</v>
      </c>
      <c r="D40" s="80" t="s">
        <v>103</v>
      </c>
      <c r="E40" s="80" t="s">
        <v>195</v>
      </c>
      <c r="F40" s="80" t="s">
        <v>151</v>
      </c>
      <c r="G40" s="80" t="s">
        <v>106</v>
      </c>
      <c r="H40" s="80" t="n">
        <v>11</v>
      </c>
      <c r="I40" s="80" t="s">
        <v>114</v>
      </c>
      <c r="J40" s="80" t="s">
        <v>132</v>
      </c>
      <c r="K40" s="80" t="s">
        <v>193</v>
      </c>
      <c r="L40" s="84" t="n">
        <f aca="false">IF(K40="","",IFERROR(INDEX(BARDAGE!$C$7:$C$1506,MATCH(K40,BARDAGE!$B$7:$B$1506,0)),"? hors registre"))</f>
        <v>852404000882</v>
      </c>
      <c r="M40" s="80" t="s">
        <v>196</v>
      </c>
      <c r="N40" s="84" t="n">
        <f aca="false">IF(M40="","",IFERROR(INDEX(BARDAGE!$C$7:$C$1506,MATCH(M40,BARDAGE!$B$7:$B$1506,0)),"? hors registre"))</f>
        <v>852404002201</v>
      </c>
      <c r="O40" s="80" t="s">
        <v>141</v>
      </c>
      <c r="P40" s="80" t="s">
        <v>141</v>
      </c>
      <c r="Q40" s="80" t="s">
        <v>134</v>
      </c>
      <c r="R40" s="82" t="n">
        <v>45878</v>
      </c>
      <c r="S40" s="82" t="n">
        <v>45878</v>
      </c>
      <c r="T40" s="80" t="s">
        <v>194</v>
      </c>
      <c r="U40" s="80" t="s">
        <v>105</v>
      </c>
      <c r="V40" s="82" t="n">
        <v>45889</v>
      </c>
      <c r="W40" s="80" t="s">
        <v>185</v>
      </c>
      <c r="X40" s="80" t="s">
        <v>105</v>
      </c>
      <c r="Y40" s="80"/>
      <c r="Z40" s="80"/>
      <c r="AA40" s="82"/>
      <c r="AB40" s="80"/>
      <c r="AC40" s="80"/>
      <c r="AD40" s="80"/>
      <c r="AE40" s="80"/>
      <c r="AF40" s="82"/>
      <c r="AG40" s="80"/>
      <c r="AH40" s="80"/>
      <c r="AI40" s="82"/>
      <c r="AJ40" s="79"/>
      <c r="AK40" s="78" t="n">
        <f aca="false">IF(E40="","",(X40&lt;&gt;"")+(AC40&lt;&gt;"")+(AH40&lt;&gt;""))</f>
        <v>1</v>
      </c>
      <c r="AL40" s="81" t="str">
        <f aca="false">IF(AH40&lt;&gt;"",AH40,IF(AC40&lt;&gt;"",AC40,IF(X40&lt;&gt;"",X40,"")))</f>
        <v>A</v>
      </c>
      <c r="AM40" s="83" t="str">
        <f aca="false">IF(E40="","",IF(R40="","À SOUDER",IF(U40="","VT EN ATTENTE",IF(U40="R","VT REJETÉ – À REPRENDRE",IF(AL40="","À RADIOGRAPHIER",IF(AL40="A","ACCEPTÉ",IF(AL40="NX","NX – RT À REFAIRE",IF(IF(AK40=1,Z40,IF(AK40=2,AE40,""))="A","RÉPARÉ – À RADIOGRAPHIER",IF(IF(AK40=1,Z40,IF(AK40=2,AE40,""))="R","VT REJETÉ – À REPRENDRE",IF(OR(AL40="CO",AL40="NT"),"COUPE – À RESOUDER","À RÉPARER"))))))))))</f>
        <v>ACCEPTÉ</v>
      </c>
      <c r="AN40" s="81" t="str">
        <f aca="false">IF(AND(ISNUMBER(R40),OR(AM40="À RADIOGRAPHIER",AM40="RÉPARÉ – À RADIOGRAPHIER",AM40="NX – RT À REFAIRE",AM40="À RÉPARER",AM40="COUPE – À RESOUDER",AM40="VT REJETÉ – À REPRENDRE")),MAX(0,'PROGRAMME RT'!$C$4-R40),"")</f>
        <v/>
      </c>
      <c r="AO40" s="78" t="n">
        <f aca="false">IF(AND(OR(AM40="À RADIOGRAPHIER",AM40="RÉPARÉ – À RADIOGRAPHIER",AM40="NX – RT À REFAIRE"),OR('PROGRAMME RT'!$D$5="TOUTES",B40='PROGRAMME RT'!$D$5)),1,0)</f>
        <v>0</v>
      </c>
      <c r="AP40" s="78" t="str">
        <f aca="false">IF(AO40=1,SUM(AO$7:AO40),"")</f>
        <v/>
      </c>
      <c r="AQ40" s="78" t="n">
        <f aca="false">IF(AND(OR(X40="R",X40="NX",X40="NT",X40="CO"),OR('JOINTS DE RÉPARATION'!$D$5="TOUTES",B40='JOINTS DE RÉPARATION'!$D$5),OR('JOINTS DE RÉPARATION'!$L$4="TOUS",AM40&lt;&gt;"ACCEPTÉ")),1,0)</f>
        <v>0</v>
      </c>
      <c r="AR40" s="78" t="str">
        <f aca="false">IF(AQ40=1,SUM(AQ$7:AQ40),"")</f>
        <v/>
      </c>
    </row>
    <row r="41" customFormat="false" ht="15" hidden="false" customHeight="false" outlineLevel="0" collapsed="false">
      <c r="A41" s="78" t="n">
        <f aca="false">IF(E41="","",ROW()-6)</f>
        <v>35</v>
      </c>
      <c r="B41" s="79" t="s">
        <v>102</v>
      </c>
      <c r="C41" s="80" t="s">
        <v>171</v>
      </c>
      <c r="D41" s="80" t="s">
        <v>103</v>
      </c>
      <c r="E41" s="80" t="s">
        <v>197</v>
      </c>
      <c r="F41" s="80" t="s">
        <v>151</v>
      </c>
      <c r="G41" s="80" t="s">
        <v>106</v>
      </c>
      <c r="H41" s="80" t="n">
        <v>11</v>
      </c>
      <c r="I41" s="80" t="s">
        <v>114</v>
      </c>
      <c r="J41" s="80" t="s">
        <v>132</v>
      </c>
      <c r="K41" s="80" t="s">
        <v>196</v>
      </c>
      <c r="L41" s="84" t="n">
        <f aca="false">IF(K41="","",IFERROR(INDEX(BARDAGE!$C$7:$C$1506,MATCH(K41,BARDAGE!$B$7:$B$1506,0)),"? hors registre"))</f>
        <v>852404002201</v>
      </c>
      <c r="M41" s="80" t="s">
        <v>198</v>
      </c>
      <c r="N41" s="84" t="n">
        <f aca="false">IF(M41="","",IFERROR(INDEX(BARDAGE!$C$7:$C$1506,MATCH(M41,BARDAGE!$B$7:$B$1506,0)),"? hors registre"))</f>
        <v>852404002201</v>
      </c>
      <c r="O41" s="80" t="s">
        <v>141</v>
      </c>
      <c r="P41" s="80" t="s">
        <v>141</v>
      </c>
      <c r="Q41" s="80" t="s">
        <v>134</v>
      </c>
      <c r="R41" s="82" t="n">
        <v>45878</v>
      </c>
      <c r="S41" s="82" t="n">
        <v>45878</v>
      </c>
      <c r="T41" s="80" t="s">
        <v>194</v>
      </c>
      <c r="U41" s="80" t="s">
        <v>105</v>
      </c>
      <c r="V41" s="82" t="n">
        <v>45889</v>
      </c>
      <c r="W41" s="80" t="s">
        <v>185</v>
      </c>
      <c r="X41" s="80" t="s">
        <v>105</v>
      </c>
      <c r="Y41" s="80"/>
      <c r="Z41" s="80"/>
      <c r="AA41" s="82"/>
      <c r="AB41" s="80"/>
      <c r="AC41" s="80"/>
      <c r="AD41" s="80"/>
      <c r="AE41" s="80"/>
      <c r="AF41" s="82"/>
      <c r="AG41" s="80"/>
      <c r="AH41" s="80"/>
      <c r="AI41" s="82"/>
      <c r="AJ41" s="79"/>
      <c r="AK41" s="78" t="n">
        <f aca="false">IF(E41="","",(X41&lt;&gt;"")+(AC41&lt;&gt;"")+(AH41&lt;&gt;""))</f>
        <v>1</v>
      </c>
      <c r="AL41" s="81" t="str">
        <f aca="false">IF(AH41&lt;&gt;"",AH41,IF(AC41&lt;&gt;"",AC41,IF(X41&lt;&gt;"",X41,"")))</f>
        <v>A</v>
      </c>
      <c r="AM41" s="83" t="str">
        <f aca="false">IF(E41="","",IF(R41="","À SOUDER",IF(U41="","VT EN ATTENTE",IF(U41="R","VT REJETÉ – À REPRENDRE",IF(AL41="","À RADIOGRAPHIER",IF(AL41="A","ACCEPTÉ",IF(AL41="NX","NX – RT À REFAIRE",IF(IF(AK41=1,Z41,IF(AK41=2,AE41,""))="A","RÉPARÉ – À RADIOGRAPHIER",IF(IF(AK41=1,Z41,IF(AK41=2,AE41,""))="R","VT REJETÉ – À REPRENDRE",IF(OR(AL41="CO",AL41="NT"),"COUPE – À RESOUDER","À RÉPARER"))))))))))</f>
        <v>ACCEPTÉ</v>
      </c>
      <c r="AN41" s="81" t="str">
        <f aca="false">IF(AND(ISNUMBER(R41),OR(AM41="À RADIOGRAPHIER",AM41="RÉPARÉ – À RADIOGRAPHIER",AM41="NX – RT À REFAIRE",AM41="À RÉPARER",AM41="COUPE – À RESOUDER",AM41="VT REJETÉ – À REPRENDRE")),MAX(0,'PROGRAMME RT'!$C$4-R41),"")</f>
        <v/>
      </c>
      <c r="AO41" s="78" t="n">
        <f aca="false">IF(AND(OR(AM41="À RADIOGRAPHIER",AM41="RÉPARÉ – À RADIOGRAPHIER",AM41="NX – RT À REFAIRE"),OR('PROGRAMME RT'!$D$5="TOUTES",B41='PROGRAMME RT'!$D$5)),1,0)</f>
        <v>0</v>
      </c>
      <c r="AP41" s="78" t="str">
        <f aca="false">IF(AO41=1,SUM(AO$7:AO41),"")</f>
        <v/>
      </c>
      <c r="AQ41" s="78" t="n">
        <f aca="false">IF(AND(OR(X41="R",X41="NX",X41="NT",X41="CO"),OR('JOINTS DE RÉPARATION'!$D$5="TOUTES",B41='JOINTS DE RÉPARATION'!$D$5),OR('JOINTS DE RÉPARATION'!$L$4="TOUS",AM41&lt;&gt;"ACCEPTÉ")),1,0)</f>
        <v>0</v>
      </c>
      <c r="AR41" s="78" t="str">
        <f aca="false">IF(AQ41=1,SUM(AQ$7:AQ41),"")</f>
        <v/>
      </c>
    </row>
    <row r="42" customFormat="false" ht="15" hidden="false" customHeight="false" outlineLevel="0" collapsed="false">
      <c r="A42" s="78" t="n">
        <f aca="false">IF(E42="","",ROW()-6)</f>
        <v>36</v>
      </c>
      <c r="B42" s="79" t="s">
        <v>102</v>
      </c>
      <c r="C42" s="80" t="s">
        <v>171</v>
      </c>
      <c r="D42" s="80" t="s">
        <v>103</v>
      </c>
      <c r="E42" s="80" t="s">
        <v>199</v>
      </c>
      <c r="F42" s="80" t="s">
        <v>105</v>
      </c>
      <c r="G42" s="80" t="s">
        <v>106</v>
      </c>
      <c r="H42" s="80" t="n">
        <v>11</v>
      </c>
      <c r="I42" s="80" t="s">
        <v>114</v>
      </c>
      <c r="J42" s="80" t="s">
        <v>115</v>
      </c>
      <c r="K42" s="80" t="s">
        <v>198</v>
      </c>
      <c r="L42" s="84" t="n">
        <f aca="false">IF(K42="","",IFERROR(INDEX(BARDAGE!$C$7:$C$1506,MATCH(K42,BARDAGE!$B$7:$B$1506,0)),"? hors registre"))</f>
        <v>852404002201</v>
      </c>
      <c r="M42" s="80" t="s">
        <v>200</v>
      </c>
      <c r="N42" s="84" t="n">
        <f aca="false">IF(M42="","",IFERROR(INDEX(BARDAGE!$C$7:$C$1506,MATCH(M42,BARDAGE!$B$7:$B$1506,0)),"? hors registre"))</f>
        <v>852405000610</v>
      </c>
      <c r="O42" s="80" t="s">
        <v>117</v>
      </c>
      <c r="P42" s="80" t="s">
        <v>117</v>
      </c>
      <c r="Q42" s="80" t="s">
        <v>117</v>
      </c>
      <c r="R42" s="82" t="n">
        <v>45892</v>
      </c>
      <c r="S42" s="82" t="n">
        <v>45892</v>
      </c>
      <c r="T42" s="80" t="s">
        <v>201</v>
      </c>
      <c r="U42" s="80" t="s">
        <v>105</v>
      </c>
      <c r="V42" s="82" t="n">
        <v>45893</v>
      </c>
      <c r="W42" s="80" t="s">
        <v>136</v>
      </c>
      <c r="X42" s="80" t="s">
        <v>105</v>
      </c>
      <c r="Y42" s="80"/>
      <c r="Z42" s="80"/>
      <c r="AA42" s="82"/>
      <c r="AB42" s="80"/>
      <c r="AC42" s="80"/>
      <c r="AD42" s="80"/>
      <c r="AE42" s="80"/>
      <c r="AF42" s="82"/>
      <c r="AG42" s="80"/>
      <c r="AH42" s="80"/>
      <c r="AI42" s="82"/>
      <c r="AJ42" s="79"/>
      <c r="AK42" s="78" t="n">
        <f aca="false">IF(E42="","",(X42&lt;&gt;"")+(AC42&lt;&gt;"")+(AH42&lt;&gt;""))</f>
        <v>1</v>
      </c>
      <c r="AL42" s="81" t="str">
        <f aca="false">IF(AH42&lt;&gt;"",AH42,IF(AC42&lt;&gt;"",AC42,IF(X42&lt;&gt;"",X42,"")))</f>
        <v>A</v>
      </c>
      <c r="AM42" s="83" t="str">
        <f aca="false">IF(E42="","",IF(R42="","À SOUDER",IF(U42="","VT EN ATTENTE",IF(U42="R","VT REJETÉ – À REPRENDRE",IF(AL42="","À RADIOGRAPHIER",IF(AL42="A","ACCEPTÉ",IF(AL42="NX","NX – RT À REFAIRE",IF(IF(AK42=1,Z42,IF(AK42=2,AE42,""))="A","RÉPARÉ – À RADIOGRAPHIER",IF(IF(AK42=1,Z42,IF(AK42=2,AE42,""))="R","VT REJETÉ – À REPRENDRE",IF(OR(AL42="CO",AL42="NT"),"COUPE – À RESOUDER","À RÉPARER"))))))))))</f>
        <v>ACCEPTÉ</v>
      </c>
      <c r="AN42" s="81" t="str">
        <f aca="false">IF(AND(ISNUMBER(R42),OR(AM42="À RADIOGRAPHIER",AM42="RÉPARÉ – À RADIOGRAPHIER",AM42="NX – RT À REFAIRE",AM42="À RÉPARER",AM42="COUPE – À RESOUDER",AM42="VT REJETÉ – À REPRENDRE")),MAX(0,'PROGRAMME RT'!$C$4-R42),"")</f>
        <v/>
      </c>
      <c r="AO42" s="78" t="n">
        <f aca="false">IF(AND(OR(AM42="À RADIOGRAPHIER",AM42="RÉPARÉ – À RADIOGRAPHIER",AM42="NX – RT À REFAIRE"),OR('PROGRAMME RT'!$D$5="TOUTES",B42='PROGRAMME RT'!$D$5)),1,0)</f>
        <v>0</v>
      </c>
      <c r="AP42" s="78" t="str">
        <f aca="false">IF(AO42=1,SUM(AO$7:AO42),"")</f>
        <v/>
      </c>
      <c r="AQ42" s="78" t="n">
        <f aca="false">IF(AND(OR(X42="R",X42="NX",X42="NT",X42="CO"),OR('JOINTS DE RÉPARATION'!$D$5="TOUTES",B42='JOINTS DE RÉPARATION'!$D$5),OR('JOINTS DE RÉPARATION'!$L$4="TOUS",AM42&lt;&gt;"ACCEPTÉ")),1,0)</f>
        <v>0</v>
      </c>
      <c r="AR42" s="78" t="str">
        <f aca="false">IF(AQ42=1,SUM(AQ$7:AQ42),"")</f>
        <v/>
      </c>
    </row>
    <row r="43" customFormat="false" ht="15" hidden="false" customHeight="false" outlineLevel="0" collapsed="false">
      <c r="A43" s="78" t="n">
        <f aca="false">IF(E43="","",ROW()-6)</f>
        <v>37</v>
      </c>
      <c r="B43" s="79" t="s">
        <v>102</v>
      </c>
      <c r="C43" s="80" t="s">
        <v>171</v>
      </c>
      <c r="D43" s="80" t="s">
        <v>103</v>
      </c>
      <c r="E43" s="80" t="s">
        <v>202</v>
      </c>
      <c r="F43" s="80" t="s">
        <v>105</v>
      </c>
      <c r="G43" s="80" t="s">
        <v>106</v>
      </c>
      <c r="H43" s="80" t="n">
        <v>11</v>
      </c>
      <c r="I43" s="80" t="s">
        <v>114</v>
      </c>
      <c r="J43" s="80" t="s">
        <v>115</v>
      </c>
      <c r="K43" s="80" t="s">
        <v>200</v>
      </c>
      <c r="L43" s="84" t="n">
        <f aca="false">IF(K43="","",IFERROR(INDEX(BARDAGE!$C$7:$C$1506,MATCH(K43,BARDAGE!$B$7:$B$1506,0)),"? hors registre"))</f>
        <v>852405000610</v>
      </c>
      <c r="M43" s="80" t="s">
        <v>203</v>
      </c>
      <c r="N43" s="84" t="n">
        <f aca="false">IF(M43="","",IFERROR(INDEX(BARDAGE!$C$7:$C$1506,MATCH(M43,BARDAGE!$B$7:$B$1506,0)),"? hors registre"))</f>
        <v>852405000610</v>
      </c>
      <c r="O43" s="80" t="s">
        <v>204</v>
      </c>
      <c r="P43" s="80" t="s">
        <v>204</v>
      </c>
      <c r="Q43" s="80" t="s">
        <v>117</v>
      </c>
      <c r="R43" s="82" t="n">
        <v>45892</v>
      </c>
      <c r="S43" s="82" t="n">
        <v>45892</v>
      </c>
      <c r="T43" s="80" t="s">
        <v>201</v>
      </c>
      <c r="U43" s="80" t="s">
        <v>105</v>
      </c>
      <c r="V43" s="82" t="n">
        <v>45893</v>
      </c>
      <c r="W43" s="80" t="s">
        <v>136</v>
      </c>
      <c r="X43" s="80" t="s">
        <v>105</v>
      </c>
      <c r="Y43" s="80"/>
      <c r="Z43" s="80"/>
      <c r="AA43" s="82"/>
      <c r="AB43" s="80"/>
      <c r="AC43" s="80"/>
      <c r="AD43" s="80"/>
      <c r="AE43" s="80"/>
      <c r="AF43" s="82"/>
      <c r="AG43" s="80"/>
      <c r="AH43" s="80"/>
      <c r="AI43" s="82"/>
      <c r="AJ43" s="79"/>
      <c r="AK43" s="78" t="n">
        <f aca="false">IF(E43="","",(X43&lt;&gt;"")+(AC43&lt;&gt;"")+(AH43&lt;&gt;""))</f>
        <v>1</v>
      </c>
      <c r="AL43" s="81" t="str">
        <f aca="false">IF(AH43&lt;&gt;"",AH43,IF(AC43&lt;&gt;"",AC43,IF(X43&lt;&gt;"",X43,"")))</f>
        <v>A</v>
      </c>
      <c r="AM43" s="83" t="str">
        <f aca="false">IF(E43="","",IF(R43="","À SOUDER",IF(U43="","VT EN ATTENTE",IF(U43="R","VT REJETÉ – À REPRENDRE",IF(AL43="","À RADIOGRAPHIER",IF(AL43="A","ACCEPTÉ",IF(AL43="NX","NX – RT À REFAIRE",IF(IF(AK43=1,Z43,IF(AK43=2,AE43,""))="A","RÉPARÉ – À RADIOGRAPHIER",IF(IF(AK43=1,Z43,IF(AK43=2,AE43,""))="R","VT REJETÉ – À REPRENDRE",IF(OR(AL43="CO",AL43="NT"),"COUPE – À RESOUDER","À RÉPARER"))))))))))</f>
        <v>ACCEPTÉ</v>
      </c>
      <c r="AN43" s="81" t="str">
        <f aca="false">IF(AND(ISNUMBER(R43),OR(AM43="À RADIOGRAPHIER",AM43="RÉPARÉ – À RADIOGRAPHIER",AM43="NX – RT À REFAIRE",AM43="À RÉPARER",AM43="COUPE – À RESOUDER",AM43="VT REJETÉ – À REPRENDRE")),MAX(0,'PROGRAMME RT'!$C$4-R43),"")</f>
        <v/>
      </c>
      <c r="AO43" s="78" t="n">
        <f aca="false">IF(AND(OR(AM43="À RADIOGRAPHIER",AM43="RÉPARÉ – À RADIOGRAPHIER",AM43="NX – RT À REFAIRE"),OR('PROGRAMME RT'!$D$5="TOUTES",B43='PROGRAMME RT'!$D$5)),1,0)</f>
        <v>0</v>
      </c>
      <c r="AP43" s="78" t="str">
        <f aca="false">IF(AO43=1,SUM(AO$7:AO43),"")</f>
        <v/>
      </c>
      <c r="AQ43" s="78" t="n">
        <f aca="false">IF(AND(OR(X43="R",X43="NX",X43="NT",X43="CO"),OR('JOINTS DE RÉPARATION'!$D$5="TOUTES",B43='JOINTS DE RÉPARATION'!$D$5),OR('JOINTS DE RÉPARATION'!$L$4="TOUS",AM43&lt;&gt;"ACCEPTÉ")),1,0)</f>
        <v>0</v>
      </c>
      <c r="AR43" s="78" t="str">
        <f aca="false">IF(AQ43=1,SUM(AQ$7:AQ43),"")</f>
        <v/>
      </c>
    </row>
    <row r="44" customFormat="false" ht="15" hidden="false" customHeight="false" outlineLevel="0" collapsed="false">
      <c r="A44" s="78" t="n">
        <f aca="false">IF(E44="","",ROW()-6)</f>
        <v>38</v>
      </c>
      <c r="B44" s="79" t="s">
        <v>102</v>
      </c>
      <c r="C44" s="80" t="s">
        <v>171</v>
      </c>
      <c r="D44" s="80" t="s">
        <v>103</v>
      </c>
      <c r="E44" s="80" t="s">
        <v>205</v>
      </c>
      <c r="F44" s="80" t="s">
        <v>105</v>
      </c>
      <c r="G44" s="80" t="s">
        <v>106</v>
      </c>
      <c r="H44" s="80" t="n">
        <v>11</v>
      </c>
      <c r="I44" s="80" t="s">
        <v>114</v>
      </c>
      <c r="J44" s="80" t="s">
        <v>115</v>
      </c>
      <c r="K44" s="80" t="s">
        <v>206</v>
      </c>
      <c r="L44" s="84" t="n">
        <f aca="false">IF(K44="","",IFERROR(INDEX(BARDAGE!$C$7:$C$1506,MATCH(K44,BARDAGE!$B$7:$B$1506,0)),"? hors registre"))</f>
        <v>852405000610</v>
      </c>
      <c r="M44" s="80" t="s">
        <v>207</v>
      </c>
      <c r="N44" s="84" t="n">
        <f aca="false">IF(M44="","",IFERROR(INDEX(BARDAGE!$C$7:$C$1506,MATCH(M44,BARDAGE!$B$7:$B$1506,0)),"? hors registre"))</f>
        <v>852404002201</v>
      </c>
      <c r="O44" s="80" t="s">
        <v>204</v>
      </c>
      <c r="P44" s="80" t="s">
        <v>204</v>
      </c>
      <c r="Q44" s="80" t="s">
        <v>117</v>
      </c>
      <c r="R44" s="82" t="n">
        <v>45892</v>
      </c>
      <c r="S44" s="82" t="n">
        <v>45892</v>
      </c>
      <c r="T44" s="80" t="s">
        <v>201</v>
      </c>
      <c r="U44" s="80" t="s">
        <v>105</v>
      </c>
      <c r="V44" s="82" t="n">
        <v>45893</v>
      </c>
      <c r="W44" s="80" t="s">
        <v>136</v>
      </c>
      <c r="X44" s="80" t="s">
        <v>105</v>
      </c>
      <c r="Y44" s="80"/>
      <c r="Z44" s="80"/>
      <c r="AA44" s="82"/>
      <c r="AB44" s="80"/>
      <c r="AC44" s="80"/>
      <c r="AD44" s="80"/>
      <c r="AE44" s="80"/>
      <c r="AF44" s="82"/>
      <c r="AG44" s="80"/>
      <c r="AH44" s="80"/>
      <c r="AI44" s="82"/>
      <c r="AJ44" s="79"/>
      <c r="AK44" s="78" t="n">
        <f aca="false">IF(E44="","",(X44&lt;&gt;"")+(AC44&lt;&gt;"")+(AH44&lt;&gt;""))</f>
        <v>1</v>
      </c>
      <c r="AL44" s="81" t="str">
        <f aca="false">IF(AH44&lt;&gt;"",AH44,IF(AC44&lt;&gt;"",AC44,IF(X44&lt;&gt;"",X44,"")))</f>
        <v>A</v>
      </c>
      <c r="AM44" s="83" t="str">
        <f aca="false">IF(E44="","",IF(R44="","À SOUDER",IF(U44="","VT EN ATTENTE",IF(U44="R","VT REJETÉ – À REPRENDRE",IF(AL44="","À RADIOGRAPHIER",IF(AL44="A","ACCEPTÉ",IF(AL44="NX","NX – RT À REFAIRE",IF(IF(AK44=1,Z44,IF(AK44=2,AE44,""))="A","RÉPARÉ – À RADIOGRAPHIER",IF(IF(AK44=1,Z44,IF(AK44=2,AE44,""))="R","VT REJETÉ – À REPRENDRE",IF(OR(AL44="CO",AL44="NT"),"COUPE – À RESOUDER","À RÉPARER"))))))))))</f>
        <v>ACCEPTÉ</v>
      </c>
      <c r="AN44" s="81" t="str">
        <f aca="false">IF(AND(ISNUMBER(R44),OR(AM44="À RADIOGRAPHIER",AM44="RÉPARÉ – À RADIOGRAPHIER",AM44="NX – RT À REFAIRE",AM44="À RÉPARER",AM44="COUPE – À RESOUDER",AM44="VT REJETÉ – À REPRENDRE")),MAX(0,'PROGRAMME RT'!$C$4-R44),"")</f>
        <v/>
      </c>
      <c r="AO44" s="78" t="n">
        <f aca="false">IF(AND(OR(AM44="À RADIOGRAPHIER",AM44="RÉPARÉ – À RADIOGRAPHIER",AM44="NX – RT À REFAIRE"),OR('PROGRAMME RT'!$D$5="TOUTES",B44='PROGRAMME RT'!$D$5)),1,0)</f>
        <v>0</v>
      </c>
      <c r="AP44" s="78" t="str">
        <f aca="false">IF(AO44=1,SUM(AO$7:AO44),"")</f>
        <v/>
      </c>
      <c r="AQ44" s="78" t="n">
        <f aca="false">IF(AND(OR(X44="R",X44="NX",X44="NT",X44="CO"),OR('JOINTS DE RÉPARATION'!$D$5="TOUTES",B44='JOINTS DE RÉPARATION'!$D$5),OR('JOINTS DE RÉPARATION'!$L$4="TOUS",AM44&lt;&gt;"ACCEPTÉ")),1,0)</f>
        <v>0</v>
      </c>
      <c r="AR44" s="78" t="str">
        <f aca="false">IF(AQ44=1,SUM(AQ$7:AQ44),"")</f>
        <v/>
      </c>
    </row>
    <row r="45" customFormat="false" ht="15" hidden="false" customHeight="false" outlineLevel="0" collapsed="false">
      <c r="A45" s="78" t="n">
        <f aca="false">IF(E45="","",ROW()-6)</f>
        <v>39</v>
      </c>
      <c r="B45" s="79" t="s">
        <v>102</v>
      </c>
      <c r="C45" s="80" t="s">
        <v>171</v>
      </c>
      <c r="D45" s="80" t="s">
        <v>103</v>
      </c>
      <c r="E45" s="80" t="s">
        <v>208</v>
      </c>
      <c r="F45" s="80" t="s">
        <v>105</v>
      </c>
      <c r="G45" s="80" t="s">
        <v>106</v>
      </c>
      <c r="H45" s="80" t="n">
        <v>11</v>
      </c>
      <c r="I45" s="80" t="s">
        <v>114</v>
      </c>
      <c r="J45" s="80" t="s">
        <v>115</v>
      </c>
      <c r="K45" s="80" t="s">
        <v>207</v>
      </c>
      <c r="L45" s="84" t="n">
        <f aca="false">IF(K45="","",IFERROR(INDEX(BARDAGE!$C$7:$C$1506,MATCH(K45,BARDAGE!$B$7:$B$1506,0)),"? hors registre"))</f>
        <v>852404002201</v>
      </c>
      <c r="M45" s="80" t="s">
        <v>209</v>
      </c>
      <c r="N45" s="84" t="n">
        <f aca="false">IF(M45="","",IFERROR(INDEX(BARDAGE!$C$7:$C$1506,MATCH(M45,BARDAGE!$B$7:$B$1506,0)),"? hors registre"))</f>
        <v>852405000610</v>
      </c>
      <c r="O45" s="80" t="s">
        <v>204</v>
      </c>
      <c r="P45" s="80" t="s">
        <v>204</v>
      </c>
      <c r="Q45" s="80" t="s">
        <v>117</v>
      </c>
      <c r="R45" s="82" t="n">
        <v>45892</v>
      </c>
      <c r="S45" s="82" t="n">
        <v>45892</v>
      </c>
      <c r="T45" s="80" t="s">
        <v>201</v>
      </c>
      <c r="U45" s="80" t="s">
        <v>105</v>
      </c>
      <c r="V45" s="82" t="n">
        <v>45893</v>
      </c>
      <c r="W45" s="80" t="s">
        <v>136</v>
      </c>
      <c r="X45" s="80" t="s">
        <v>105</v>
      </c>
      <c r="Y45" s="80"/>
      <c r="Z45" s="80"/>
      <c r="AA45" s="82"/>
      <c r="AB45" s="80"/>
      <c r="AC45" s="80"/>
      <c r="AD45" s="80"/>
      <c r="AE45" s="80"/>
      <c r="AF45" s="82"/>
      <c r="AG45" s="80"/>
      <c r="AH45" s="80"/>
      <c r="AI45" s="82"/>
      <c r="AJ45" s="79"/>
      <c r="AK45" s="78" t="n">
        <f aca="false">IF(E45="","",(X45&lt;&gt;"")+(AC45&lt;&gt;"")+(AH45&lt;&gt;""))</f>
        <v>1</v>
      </c>
      <c r="AL45" s="81" t="str">
        <f aca="false">IF(AH45&lt;&gt;"",AH45,IF(AC45&lt;&gt;"",AC45,IF(X45&lt;&gt;"",X45,"")))</f>
        <v>A</v>
      </c>
      <c r="AM45" s="83" t="str">
        <f aca="false">IF(E45="","",IF(R45="","À SOUDER",IF(U45="","VT EN ATTENTE",IF(U45="R","VT REJETÉ – À REPRENDRE",IF(AL45="","À RADIOGRAPHIER",IF(AL45="A","ACCEPTÉ",IF(AL45="NX","NX – RT À REFAIRE",IF(IF(AK45=1,Z45,IF(AK45=2,AE45,""))="A","RÉPARÉ – À RADIOGRAPHIER",IF(IF(AK45=1,Z45,IF(AK45=2,AE45,""))="R","VT REJETÉ – À REPRENDRE",IF(OR(AL45="CO",AL45="NT"),"COUPE – À RESOUDER","À RÉPARER"))))))))))</f>
        <v>ACCEPTÉ</v>
      </c>
      <c r="AN45" s="81" t="str">
        <f aca="false">IF(AND(ISNUMBER(R45),OR(AM45="À RADIOGRAPHIER",AM45="RÉPARÉ – À RADIOGRAPHIER",AM45="NX – RT À REFAIRE",AM45="À RÉPARER",AM45="COUPE – À RESOUDER",AM45="VT REJETÉ – À REPRENDRE")),MAX(0,'PROGRAMME RT'!$C$4-R45),"")</f>
        <v/>
      </c>
      <c r="AO45" s="78" t="n">
        <f aca="false">IF(AND(OR(AM45="À RADIOGRAPHIER",AM45="RÉPARÉ – À RADIOGRAPHIER",AM45="NX – RT À REFAIRE"),OR('PROGRAMME RT'!$D$5="TOUTES",B45='PROGRAMME RT'!$D$5)),1,0)</f>
        <v>0</v>
      </c>
      <c r="AP45" s="78" t="str">
        <f aca="false">IF(AO45=1,SUM(AO$7:AO45),"")</f>
        <v/>
      </c>
      <c r="AQ45" s="78" t="n">
        <f aca="false">IF(AND(OR(X45="R",X45="NX",X45="NT",X45="CO"),OR('JOINTS DE RÉPARATION'!$D$5="TOUTES",B45='JOINTS DE RÉPARATION'!$D$5),OR('JOINTS DE RÉPARATION'!$L$4="TOUS",AM45&lt;&gt;"ACCEPTÉ")),1,0)</f>
        <v>0</v>
      </c>
      <c r="AR45" s="78" t="str">
        <f aca="false">IF(AQ45=1,SUM(AQ$7:AQ45),"")</f>
        <v/>
      </c>
    </row>
    <row r="46" customFormat="false" ht="15" hidden="false" customHeight="false" outlineLevel="0" collapsed="false">
      <c r="A46" s="78" t="n">
        <f aca="false">IF(E46="","",ROW()-6)</f>
        <v>40</v>
      </c>
      <c r="B46" s="79" t="s">
        <v>102</v>
      </c>
      <c r="C46" s="80" t="s">
        <v>171</v>
      </c>
      <c r="D46" s="80" t="s">
        <v>103</v>
      </c>
      <c r="E46" s="80" t="s">
        <v>210</v>
      </c>
      <c r="F46" s="80" t="s">
        <v>105</v>
      </c>
      <c r="G46" s="80" t="s">
        <v>106</v>
      </c>
      <c r="H46" s="80" t="n">
        <v>11</v>
      </c>
      <c r="I46" s="80" t="s">
        <v>114</v>
      </c>
      <c r="J46" s="80" t="s">
        <v>115</v>
      </c>
      <c r="K46" s="80" t="s">
        <v>209</v>
      </c>
      <c r="L46" s="84" t="n">
        <f aca="false">IF(K46="","",IFERROR(INDEX(BARDAGE!$C$7:$C$1506,MATCH(K46,BARDAGE!$B$7:$B$1506,0)),"? hors registre"))</f>
        <v>852405000610</v>
      </c>
      <c r="M46" s="80" t="s">
        <v>211</v>
      </c>
      <c r="N46" s="84" t="n">
        <f aca="false">IF(M46="","",IFERROR(INDEX(BARDAGE!$C$7:$C$1506,MATCH(M46,BARDAGE!$B$7:$B$1506,0)),"? hors registre"))</f>
        <v>852404002201</v>
      </c>
      <c r="O46" s="80" t="s">
        <v>204</v>
      </c>
      <c r="P46" s="80" t="s">
        <v>204</v>
      </c>
      <c r="Q46" s="80" t="s">
        <v>117</v>
      </c>
      <c r="R46" s="82" t="n">
        <v>45892</v>
      </c>
      <c r="S46" s="82" t="n">
        <v>45892</v>
      </c>
      <c r="T46" s="80" t="s">
        <v>201</v>
      </c>
      <c r="U46" s="80" t="s">
        <v>105</v>
      </c>
      <c r="V46" s="82" t="n">
        <v>45893</v>
      </c>
      <c r="W46" s="80" t="s">
        <v>136</v>
      </c>
      <c r="X46" s="80" t="s">
        <v>105</v>
      </c>
      <c r="Y46" s="80"/>
      <c r="Z46" s="80"/>
      <c r="AA46" s="82"/>
      <c r="AB46" s="80"/>
      <c r="AC46" s="80"/>
      <c r="AD46" s="80"/>
      <c r="AE46" s="80"/>
      <c r="AF46" s="82"/>
      <c r="AG46" s="80"/>
      <c r="AH46" s="80"/>
      <c r="AI46" s="82"/>
      <c r="AJ46" s="79"/>
      <c r="AK46" s="78" t="n">
        <f aca="false">IF(E46="","",(X46&lt;&gt;"")+(AC46&lt;&gt;"")+(AH46&lt;&gt;""))</f>
        <v>1</v>
      </c>
      <c r="AL46" s="81" t="str">
        <f aca="false">IF(AH46&lt;&gt;"",AH46,IF(AC46&lt;&gt;"",AC46,IF(X46&lt;&gt;"",X46,"")))</f>
        <v>A</v>
      </c>
      <c r="AM46" s="83" t="str">
        <f aca="false">IF(E46="","",IF(R46="","À SOUDER",IF(U46="","VT EN ATTENTE",IF(U46="R","VT REJETÉ – À REPRENDRE",IF(AL46="","À RADIOGRAPHIER",IF(AL46="A","ACCEPTÉ",IF(AL46="NX","NX – RT À REFAIRE",IF(IF(AK46=1,Z46,IF(AK46=2,AE46,""))="A","RÉPARÉ – À RADIOGRAPHIER",IF(IF(AK46=1,Z46,IF(AK46=2,AE46,""))="R","VT REJETÉ – À REPRENDRE",IF(OR(AL46="CO",AL46="NT"),"COUPE – À RESOUDER","À RÉPARER"))))))))))</f>
        <v>ACCEPTÉ</v>
      </c>
      <c r="AN46" s="81" t="str">
        <f aca="false">IF(AND(ISNUMBER(R46),OR(AM46="À RADIOGRAPHIER",AM46="RÉPARÉ – À RADIOGRAPHIER",AM46="NX – RT À REFAIRE",AM46="À RÉPARER",AM46="COUPE – À RESOUDER",AM46="VT REJETÉ – À REPRENDRE")),MAX(0,'PROGRAMME RT'!$C$4-R46),"")</f>
        <v/>
      </c>
      <c r="AO46" s="78" t="n">
        <f aca="false">IF(AND(OR(AM46="À RADIOGRAPHIER",AM46="RÉPARÉ – À RADIOGRAPHIER",AM46="NX – RT À REFAIRE"),OR('PROGRAMME RT'!$D$5="TOUTES",B46='PROGRAMME RT'!$D$5)),1,0)</f>
        <v>0</v>
      </c>
      <c r="AP46" s="78" t="str">
        <f aca="false">IF(AO46=1,SUM(AO$7:AO46),"")</f>
        <v/>
      </c>
      <c r="AQ46" s="78" t="n">
        <f aca="false">IF(AND(OR(X46="R",X46="NX",X46="NT",X46="CO"),OR('JOINTS DE RÉPARATION'!$D$5="TOUTES",B46='JOINTS DE RÉPARATION'!$D$5),OR('JOINTS DE RÉPARATION'!$L$4="TOUS",AM46&lt;&gt;"ACCEPTÉ")),1,0)</f>
        <v>0</v>
      </c>
      <c r="AR46" s="78" t="str">
        <f aca="false">IF(AQ46=1,SUM(AQ$7:AQ46),"")</f>
        <v/>
      </c>
    </row>
    <row r="47" customFormat="false" ht="15" hidden="false" customHeight="false" outlineLevel="0" collapsed="false">
      <c r="A47" s="78" t="n">
        <f aca="false">IF(E47="","",ROW()-6)</f>
        <v>41</v>
      </c>
      <c r="B47" s="79" t="s">
        <v>102</v>
      </c>
      <c r="C47" s="80" t="s">
        <v>171</v>
      </c>
      <c r="D47" s="80" t="s">
        <v>103</v>
      </c>
      <c r="E47" s="80" t="s">
        <v>212</v>
      </c>
      <c r="F47" s="80" t="s">
        <v>105</v>
      </c>
      <c r="G47" s="80" t="s">
        <v>106</v>
      </c>
      <c r="H47" s="80" t="n">
        <v>11</v>
      </c>
      <c r="I47" s="80" t="s">
        <v>114</v>
      </c>
      <c r="J47" s="80" t="s">
        <v>115</v>
      </c>
      <c r="K47" s="80" t="s">
        <v>211</v>
      </c>
      <c r="L47" s="84" t="n">
        <f aca="false">IF(K47="","",IFERROR(INDEX(BARDAGE!$C$7:$C$1506,MATCH(K47,BARDAGE!$B$7:$B$1506,0)),"? hors registre"))</f>
        <v>852404002201</v>
      </c>
      <c r="M47" s="80" t="s">
        <v>206</v>
      </c>
      <c r="N47" s="84" t="n">
        <f aca="false">IF(M47="","",IFERROR(INDEX(BARDAGE!$C$7:$C$1506,MATCH(M47,BARDAGE!$B$7:$B$1506,0)),"? hors registre"))</f>
        <v>852405000610</v>
      </c>
      <c r="O47" s="80" t="s">
        <v>204</v>
      </c>
      <c r="P47" s="80" t="s">
        <v>204</v>
      </c>
      <c r="Q47" s="80" t="s">
        <v>204</v>
      </c>
      <c r="R47" s="82" t="n">
        <v>45892</v>
      </c>
      <c r="S47" s="82" t="n">
        <v>45892</v>
      </c>
      <c r="T47" s="80" t="s">
        <v>201</v>
      </c>
      <c r="U47" s="80" t="s">
        <v>105</v>
      </c>
      <c r="V47" s="82" t="n">
        <v>45893</v>
      </c>
      <c r="W47" s="80" t="s">
        <v>136</v>
      </c>
      <c r="X47" s="80" t="s">
        <v>105</v>
      </c>
      <c r="Y47" s="80"/>
      <c r="Z47" s="80"/>
      <c r="AA47" s="82"/>
      <c r="AB47" s="80"/>
      <c r="AC47" s="80"/>
      <c r="AD47" s="80"/>
      <c r="AE47" s="80"/>
      <c r="AF47" s="82"/>
      <c r="AG47" s="80"/>
      <c r="AH47" s="80"/>
      <c r="AI47" s="82"/>
      <c r="AJ47" s="79"/>
      <c r="AK47" s="78" t="n">
        <f aca="false">IF(E47="","",(X47&lt;&gt;"")+(AC47&lt;&gt;"")+(AH47&lt;&gt;""))</f>
        <v>1</v>
      </c>
      <c r="AL47" s="81" t="str">
        <f aca="false">IF(AH47&lt;&gt;"",AH47,IF(AC47&lt;&gt;"",AC47,IF(X47&lt;&gt;"",X47,"")))</f>
        <v>A</v>
      </c>
      <c r="AM47" s="83" t="str">
        <f aca="false">IF(E47="","",IF(R47="","À SOUDER",IF(U47="","VT EN ATTENTE",IF(U47="R","VT REJETÉ – À REPRENDRE",IF(AL47="","À RADIOGRAPHIER",IF(AL47="A","ACCEPTÉ",IF(AL47="NX","NX – RT À REFAIRE",IF(IF(AK47=1,Z47,IF(AK47=2,AE47,""))="A","RÉPARÉ – À RADIOGRAPHIER",IF(IF(AK47=1,Z47,IF(AK47=2,AE47,""))="R","VT REJETÉ – À REPRENDRE",IF(OR(AL47="CO",AL47="NT"),"COUPE – À RESOUDER","À RÉPARER"))))))))))</f>
        <v>ACCEPTÉ</v>
      </c>
      <c r="AN47" s="81" t="str">
        <f aca="false">IF(AND(ISNUMBER(R47),OR(AM47="À RADIOGRAPHIER",AM47="RÉPARÉ – À RADIOGRAPHIER",AM47="NX – RT À REFAIRE",AM47="À RÉPARER",AM47="COUPE – À RESOUDER",AM47="VT REJETÉ – À REPRENDRE")),MAX(0,'PROGRAMME RT'!$C$4-R47),"")</f>
        <v/>
      </c>
      <c r="AO47" s="78" t="n">
        <f aca="false">IF(AND(OR(AM47="À RADIOGRAPHIER",AM47="RÉPARÉ – À RADIOGRAPHIER",AM47="NX – RT À REFAIRE"),OR('PROGRAMME RT'!$D$5="TOUTES",B47='PROGRAMME RT'!$D$5)),1,0)</f>
        <v>0</v>
      </c>
      <c r="AP47" s="78" t="str">
        <f aca="false">IF(AO47=1,SUM(AO$7:AO47),"")</f>
        <v/>
      </c>
      <c r="AQ47" s="78" t="n">
        <f aca="false">IF(AND(OR(X47="R",X47="NX",X47="NT",X47="CO"),OR('JOINTS DE RÉPARATION'!$D$5="TOUTES",B47='JOINTS DE RÉPARATION'!$D$5),OR('JOINTS DE RÉPARATION'!$L$4="TOUS",AM47&lt;&gt;"ACCEPTÉ")),1,0)</f>
        <v>0</v>
      </c>
      <c r="AR47" s="78" t="str">
        <f aca="false">IF(AQ47=1,SUM(AQ$7:AQ47),"")</f>
        <v/>
      </c>
    </row>
    <row r="48" customFormat="false" ht="15" hidden="false" customHeight="false" outlineLevel="0" collapsed="false">
      <c r="A48" s="78" t="n">
        <f aca="false">IF(E48="","",ROW()-6)</f>
        <v>42</v>
      </c>
      <c r="B48" s="79" t="s">
        <v>102</v>
      </c>
      <c r="C48" s="80" t="s">
        <v>171</v>
      </c>
      <c r="D48" s="80" t="s">
        <v>103</v>
      </c>
      <c r="E48" s="80" t="s">
        <v>213</v>
      </c>
      <c r="F48" s="80" t="s">
        <v>151</v>
      </c>
      <c r="G48" s="80" t="s">
        <v>106</v>
      </c>
      <c r="H48" s="80" t="n">
        <v>11</v>
      </c>
      <c r="I48" s="80" t="s">
        <v>114</v>
      </c>
      <c r="J48" s="80" t="s">
        <v>132</v>
      </c>
      <c r="K48" s="80" t="s">
        <v>206</v>
      </c>
      <c r="L48" s="84" t="n">
        <f aca="false">IF(K48="","",IFERROR(INDEX(BARDAGE!$C$7:$C$1506,MATCH(K48,BARDAGE!$B$7:$B$1506,0)),"? hors registre"))</f>
        <v>852405000610</v>
      </c>
      <c r="M48" s="80" t="s">
        <v>214</v>
      </c>
      <c r="N48" s="84" t="n">
        <f aca="false">IF(M48="","",IFERROR(INDEX(BARDAGE!$C$7:$C$1506,MATCH(M48,BARDAGE!$B$7:$B$1506,0)),"? hors registre"))</f>
        <v>852404000882</v>
      </c>
      <c r="O48" s="80" t="s">
        <v>141</v>
      </c>
      <c r="P48" s="80" t="s">
        <v>141</v>
      </c>
      <c r="Q48" s="80" t="s">
        <v>125</v>
      </c>
      <c r="R48" s="82" t="n">
        <v>45878</v>
      </c>
      <c r="S48" s="82" t="n">
        <v>45878</v>
      </c>
      <c r="T48" s="80" t="s">
        <v>194</v>
      </c>
      <c r="U48" s="80" t="s">
        <v>105</v>
      </c>
      <c r="V48" s="82" t="n">
        <v>45889</v>
      </c>
      <c r="W48" s="80" t="s">
        <v>185</v>
      </c>
      <c r="X48" s="80" t="s">
        <v>105</v>
      </c>
      <c r="Y48" s="80"/>
      <c r="Z48" s="80"/>
      <c r="AA48" s="82"/>
      <c r="AB48" s="80"/>
      <c r="AC48" s="80"/>
      <c r="AD48" s="80"/>
      <c r="AE48" s="80"/>
      <c r="AF48" s="82"/>
      <c r="AG48" s="80"/>
      <c r="AH48" s="80"/>
      <c r="AI48" s="82"/>
      <c r="AJ48" s="79"/>
      <c r="AK48" s="78" t="n">
        <f aca="false">IF(E48="","",(X48&lt;&gt;"")+(AC48&lt;&gt;"")+(AH48&lt;&gt;""))</f>
        <v>1</v>
      </c>
      <c r="AL48" s="81" t="str">
        <f aca="false">IF(AH48&lt;&gt;"",AH48,IF(AC48&lt;&gt;"",AC48,IF(X48&lt;&gt;"",X48,"")))</f>
        <v>A</v>
      </c>
      <c r="AM48" s="83" t="str">
        <f aca="false">IF(E48="","",IF(R48="","À SOUDER",IF(U48="","VT EN ATTENTE",IF(U48="R","VT REJETÉ – À REPRENDRE",IF(AL48="","À RADIOGRAPHIER",IF(AL48="A","ACCEPTÉ",IF(AL48="NX","NX – RT À REFAIRE",IF(IF(AK48=1,Z48,IF(AK48=2,AE48,""))="A","RÉPARÉ – À RADIOGRAPHIER",IF(IF(AK48=1,Z48,IF(AK48=2,AE48,""))="R","VT REJETÉ – À REPRENDRE",IF(OR(AL48="CO",AL48="NT"),"COUPE – À RESOUDER","À RÉPARER"))))))))))</f>
        <v>ACCEPTÉ</v>
      </c>
      <c r="AN48" s="81" t="str">
        <f aca="false">IF(AND(ISNUMBER(R48),OR(AM48="À RADIOGRAPHIER",AM48="RÉPARÉ – À RADIOGRAPHIER",AM48="NX – RT À REFAIRE",AM48="À RÉPARER",AM48="COUPE – À RESOUDER",AM48="VT REJETÉ – À REPRENDRE")),MAX(0,'PROGRAMME RT'!$C$4-R48),"")</f>
        <v/>
      </c>
      <c r="AO48" s="78" t="n">
        <f aca="false">IF(AND(OR(AM48="À RADIOGRAPHIER",AM48="RÉPARÉ – À RADIOGRAPHIER",AM48="NX – RT À REFAIRE"),OR('PROGRAMME RT'!$D$5="TOUTES",B48='PROGRAMME RT'!$D$5)),1,0)</f>
        <v>0</v>
      </c>
      <c r="AP48" s="78" t="str">
        <f aca="false">IF(AO48=1,SUM(AO$7:AO48),"")</f>
        <v/>
      </c>
      <c r="AQ48" s="78" t="n">
        <f aca="false">IF(AND(OR(X48="R",X48="NX",X48="NT",X48="CO"),OR('JOINTS DE RÉPARATION'!$D$5="TOUTES",B48='JOINTS DE RÉPARATION'!$D$5),OR('JOINTS DE RÉPARATION'!$L$4="TOUS",AM48&lt;&gt;"ACCEPTÉ")),1,0)</f>
        <v>0</v>
      </c>
      <c r="AR48" s="78" t="str">
        <f aca="false">IF(AQ48=1,SUM(AQ$7:AQ48),"")</f>
        <v/>
      </c>
    </row>
    <row r="49" customFormat="false" ht="15" hidden="false" customHeight="false" outlineLevel="0" collapsed="false">
      <c r="A49" s="78" t="n">
        <f aca="false">IF(E49="","",ROW()-6)</f>
        <v>43</v>
      </c>
      <c r="B49" s="79" t="s">
        <v>102</v>
      </c>
      <c r="C49" s="80" t="s">
        <v>171</v>
      </c>
      <c r="D49" s="80" t="s">
        <v>103</v>
      </c>
      <c r="E49" s="80" t="s">
        <v>215</v>
      </c>
      <c r="F49" s="80" t="s">
        <v>151</v>
      </c>
      <c r="G49" s="80" t="s">
        <v>106</v>
      </c>
      <c r="H49" s="80" t="n">
        <v>11</v>
      </c>
      <c r="I49" s="80" t="s">
        <v>114</v>
      </c>
      <c r="J49" s="80" t="s">
        <v>132</v>
      </c>
      <c r="K49" s="80" t="s">
        <v>214</v>
      </c>
      <c r="L49" s="84" t="n">
        <f aca="false">IF(K49="","",IFERROR(INDEX(BARDAGE!$C$7:$C$1506,MATCH(K49,BARDAGE!$B$7:$B$1506,0)),"? hors registre"))</f>
        <v>852404000882</v>
      </c>
      <c r="M49" s="80" t="s">
        <v>216</v>
      </c>
      <c r="N49" s="84" t="n">
        <f aca="false">IF(M49="","",IFERROR(INDEX(BARDAGE!$C$7:$C$1506,MATCH(M49,BARDAGE!$B$7:$B$1506,0)),"? hors registre"))</f>
        <v>852404002201</v>
      </c>
      <c r="O49" s="80" t="s">
        <v>141</v>
      </c>
      <c r="P49" s="80" t="s">
        <v>141</v>
      </c>
      <c r="Q49" s="80" t="s">
        <v>125</v>
      </c>
      <c r="R49" s="82" t="n">
        <v>45878</v>
      </c>
      <c r="S49" s="82" t="n">
        <v>45878</v>
      </c>
      <c r="T49" s="80" t="s">
        <v>194</v>
      </c>
      <c r="U49" s="80" t="s">
        <v>105</v>
      </c>
      <c r="V49" s="82" t="n">
        <v>45889</v>
      </c>
      <c r="W49" s="80" t="s">
        <v>185</v>
      </c>
      <c r="X49" s="80" t="s">
        <v>105</v>
      </c>
      <c r="Y49" s="80"/>
      <c r="Z49" s="80"/>
      <c r="AA49" s="82"/>
      <c r="AB49" s="80"/>
      <c r="AC49" s="80"/>
      <c r="AD49" s="80"/>
      <c r="AE49" s="80"/>
      <c r="AF49" s="82"/>
      <c r="AG49" s="80"/>
      <c r="AH49" s="80"/>
      <c r="AI49" s="82"/>
      <c r="AJ49" s="79"/>
      <c r="AK49" s="78" t="n">
        <f aca="false">IF(E49="","",(X49&lt;&gt;"")+(AC49&lt;&gt;"")+(AH49&lt;&gt;""))</f>
        <v>1</v>
      </c>
      <c r="AL49" s="81" t="str">
        <f aca="false">IF(AH49&lt;&gt;"",AH49,IF(AC49&lt;&gt;"",AC49,IF(X49&lt;&gt;"",X49,"")))</f>
        <v>A</v>
      </c>
      <c r="AM49" s="83" t="str">
        <f aca="false">IF(E49="","",IF(R49="","À SOUDER",IF(U49="","VT EN ATTENTE",IF(U49="R","VT REJETÉ – À REPRENDRE",IF(AL49="","À RADIOGRAPHIER",IF(AL49="A","ACCEPTÉ",IF(AL49="NX","NX – RT À REFAIRE",IF(IF(AK49=1,Z49,IF(AK49=2,AE49,""))="A","RÉPARÉ – À RADIOGRAPHIER",IF(IF(AK49=1,Z49,IF(AK49=2,AE49,""))="R","VT REJETÉ – À REPRENDRE",IF(OR(AL49="CO",AL49="NT"),"COUPE – À RESOUDER","À RÉPARER"))))))))))</f>
        <v>ACCEPTÉ</v>
      </c>
      <c r="AN49" s="81" t="str">
        <f aca="false">IF(AND(ISNUMBER(R49),OR(AM49="À RADIOGRAPHIER",AM49="RÉPARÉ – À RADIOGRAPHIER",AM49="NX – RT À REFAIRE",AM49="À RÉPARER",AM49="COUPE – À RESOUDER",AM49="VT REJETÉ – À REPRENDRE")),MAX(0,'PROGRAMME RT'!$C$4-R49),"")</f>
        <v/>
      </c>
      <c r="AO49" s="78" t="n">
        <f aca="false">IF(AND(OR(AM49="À RADIOGRAPHIER",AM49="RÉPARÉ – À RADIOGRAPHIER",AM49="NX – RT À REFAIRE"),OR('PROGRAMME RT'!$D$5="TOUTES",B49='PROGRAMME RT'!$D$5)),1,0)</f>
        <v>0</v>
      </c>
      <c r="AP49" s="78" t="str">
        <f aca="false">IF(AO49=1,SUM(AO$7:AO49),"")</f>
        <v/>
      </c>
      <c r="AQ49" s="78" t="n">
        <f aca="false">IF(AND(OR(X49="R",X49="NX",X49="NT",X49="CO"),OR('JOINTS DE RÉPARATION'!$D$5="TOUTES",B49='JOINTS DE RÉPARATION'!$D$5),OR('JOINTS DE RÉPARATION'!$L$4="TOUS",AM49&lt;&gt;"ACCEPTÉ")),1,0)</f>
        <v>0</v>
      </c>
      <c r="AR49" s="78" t="str">
        <f aca="false">IF(AQ49=1,SUM(AQ$7:AQ49),"")</f>
        <v/>
      </c>
    </row>
    <row r="50" customFormat="false" ht="15" hidden="false" customHeight="false" outlineLevel="0" collapsed="false">
      <c r="A50" s="78" t="n">
        <f aca="false">IF(E50="","",ROW()-6)</f>
        <v>44</v>
      </c>
      <c r="B50" s="79" t="s">
        <v>102</v>
      </c>
      <c r="C50" s="80" t="s">
        <v>171</v>
      </c>
      <c r="D50" s="80" t="s">
        <v>103</v>
      </c>
      <c r="E50" s="80" t="s">
        <v>217</v>
      </c>
      <c r="F50" s="80" t="s">
        <v>151</v>
      </c>
      <c r="G50" s="80" t="s">
        <v>106</v>
      </c>
      <c r="H50" s="80" t="n">
        <v>11</v>
      </c>
      <c r="I50" s="80" t="s">
        <v>114</v>
      </c>
      <c r="J50" s="80" t="s">
        <v>132</v>
      </c>
      <c r="K50" s="80" t="s">
        <v>216</v>
      </c>
      <c r="L50" s="84" t="n">
        <f aca="false">IF(K50="","",IFERROR(INDEX(BARDAGE!$C$7:$C$1506,MATCH(K50,BARDAGE!$B$7:$B$1506,0)),"? hors registre"))</f>
        <v>852404002201</v>
      </c>
      <c r="M50" s="80" t="s">
        <v>218</v>
      </c>
      <c r="N50" s="84" t="n">
        <f aca="false">IF(M50="","",IFERROR(INDEX(BARDAGE!$C$7:$C$1506,MATCH(M50,BARDAGE!$B$7:$B$1506,0)),"? hors registre"))</f>
        <v>24703643</v>
      </c>
      <c r="O50" s="80" t="s">
        <v>141</v>
      </c>
      <c r="P50" s="80" t="s">
        <v>141</v>
      </c>
      <c r="Q50" s="80" t="s">
        <v>134</v>
      </c>
      <c r="R50" s="82" t="n">
        <v>45878</v>
      </c>
      <c r="S50" s="82" t="n">
        <v>45878</v>
      </c>
      <c r="T50" s="80" t="s">
        <v>194</v>
      </c>
      <c r="U50" s="80" t="s">
        <v>105</v>
      </c>
      <c r="V50" s="82" t="n">
        <v>45889</v>
      </c>
      <c r="W50" s="80" t="s">
        <v>185</v>
      </c>
      <c r="X50" s="80" t="s">
        <v>105</v>
      </c>
      <c r="Y50" s="80"/>
      <c r="Z50" s="80"/>
      <c r="AA50" s="82"/>
      <c r="AB50" s="80"/>
      <c r="AC50" s="80"/>
      <c r="AD50" s="80"/>
      <c r="AE50" s="80"/>
      <c r="AF50" s="82"/>
      <c r="AG50" s="80"/>
      <c r="AH50" s="80"/>
      <c r="AI50" s="82"/>
      <c r="AJ50" s="79"/>
      <c r="AK50" s="78" t="n">
        <f aca="false">IF(E50="","",(X50&lt;&gt;"")+(AC50&lt;&gt;"")+(AH50&lt;&gt;""))</f>
        <v>1</v>
      </c>
      <c r="AL50" s="81" t="str">
        <f aca="false">IF(AH50&lt;&gt;"",AH50,IF(AC50&lt;&gt;"",AC50,IF(X50&lt;&gt;"",X50,"")))</f>
        <v>A</v>
      </c>
      <c r="AM50" s="83" t="str">
        <f aca="false">IF(E50="","",IF(R50="","À SOUDER",IF(U50="","VT EN ATTENTE",IF(U50="R","VT REJETÉ – À REPRENDRE",IF(AL50="","À RADIOGRAPHIER",IF(AL50="A","ACCEPTÉ",IF(AL50="NX","NX – RT À REFAIRE",IF(IF(AK50=1,Z50,IF(AK50=2,AE50,""))="A","RÉPARÉ – À RADIOGRAPHIER",IF(IF(AK50=1,Z50,IF(AK50=2,AE50,""))="R","VT REJETÉ – À REPRENDRE",IF(OR(AL50="CO",AL50="NT"),"COUPE – À RESOUDER","À RÉPARER"))))))))))</f>
        <v>ACCEPTÉ</v>
      </c>
      <c r="AN50" s="81" t="str">
        <f aca="false">IF(AND(ISNUMBER(R50),OR(AM50="À RADIOGRAPHIER",AM50="RÉPARÉ – À RADIOGRAPHIER",AM50="NX – RT À REFAIRE",AM50="À RÉPARER",AM50="COUPE – À RESOUDER",AM50="VT REJETÉ – À REPRENDRE")),MAX(0,'PROGRAMME RT'!$C$4-R50),"")</f>
        <v/>
      </c>
      <c r="AO50" s="78" t="n">
        <f aca="false">IF(AND(OR(AM50="À RADIOGRAPHIER",AM50="RÉPARÉ – À RADIOGRAPHIER",AM50="NX – RT À REFAIRE"),OR('PROGRAMME RT'!$D$5="TOUTES",B50='PROGRAMME RT'!$D$5)),1,0)</f>
        <v>0</v>
      </c>
      <c r="AP50" s="78" t="str">
        <f aca="false">IF(AO50=1,SUM(AO$7:AO50),"")</f>
        <v/>
      </c>
      <c r="AQ50" s="78" t="n">
        <f aca="false">IF(AND(OR(X50="R",X50="NX",X50="NT",X50="CO"),OR('JOINTS DE RÉPARATION'!$D$5="TOUTES",B50='JOINTS DE RÉPARATION'!$D$5),OR('JOINTS DE RÉPARATION'!$L$4="TOUS",AM50&lt;&gt;"ACCEPTÉ")),1,0)</f>
        <v>0</v>
      </c>
      <c r="AR50" s="78" t="str">
        <f aca="false">IF(AQ50=1,SUM(AQ$7:AQ50),"")</f>
        <v/>
      </c>
    </row>
    <row r="51" customFormat="false" ht="15" hidden="false" customHeight="false" outlineLevel="0" collapsed="false">
      <c r="A51" s="78" t="n">
        <f aca="false">IF(E51="","",ROW()-6)</f>
        <v>45</v>
      </c>
      <c r="B51" s="79" t="s">
        <v>102</v>
      </c>
      <c r="C51" s="80" t="s">
        <v>171</v>
      </c>
      <c r="D51" s="80" t="s">
        <v>103</v>
      </c>
      <c r="E51" s="80" t="s">
        <v>219</v>
      </c>
      <c r="F51" s="80" t="s">
        <v>151</v>
      </c>
      <c r="G51" s="80" t="s">
        <v>106</v>
      </c>
      <c r="H51" s="80" t="n">
        <v>11</v>
      </c>
      <c r="I51" s="80" t="s">
        <v>114</v>
      </c>
      <c r="J51" s="80" t="s">
        <v>132</v>
      </c>
      <c r="K51" s="80" t="s">
        <v>218</v>
      </c>
      <c r="L51" s="84" t="n">
        <f aca="false">IF(K51="","",IFERROR(INDEX(BARDAGE!$C$7:$C$1506,MATCH(K51,BARDAGE!$B$7:$B$1506,0)),"? hors registre"))</f>
        <v>24703643</v>
      </c>
      <c r="M51" s="80" t="s">
        <v>220</v>
      </c>
      <c r="N51" s="84" t="n">
        <f aca="false">IF(M51="","",IFERROR(INDEX(BARDAGE!$C$7:$C$1506,MATCH(M51,BARDAGE!$B$7:$B$1506,0)),"? hors registre"))</f>
        <v>24803600</v>
      </c>
      <c r="O51" s="80" t="s">
        <v>141</v>
      </c>
      <c r="P51" s="80" t="s">
        <v>141</v>
      </c>
      <c r="Q51" s="80" t="s">
        <v>134</v>
      </c>
      <c r="R51" s="82" t="n">
        <v>45878</v>
      </c>
      <c r="S51" s="82" t="n">
        <v>45878</v>
      </c>
      <c r="T51" s="80" t="s">
        <v>194</v>
      </c>
      <c r="U51" s="80" t="s">
        <v>105</v>
      </c>
      <c r="V51" s="82" t="n">
        <v>45889</v>
      </c>
      <c r="W51" s="80" t="s">
        <v>185</v>
      </c>
      <c r="X51" s="80" t="s">
        <v>105</v>
      </c>
      <c r="Y51" s="80"/>
      <c r="Z51" s="80"/>
      <c r="AA51" s="82"/>
      <c r="AB51" s="80"/>
      <c r="AC51" s="80"/>
      <c r="AD51" s="80"/>
      <c r="AE51" s="80"/>
      <c r="AF51" s="82"/>
      <c r="AG51" s="80"/>
      <c r="AH51" s="80"/>
      <c r="AI51" s="82"/>
      <c r="AJ51" s="79"/>
      <c r="AK51" s="78" t="n">
        <f aca="false">IF(E51="","",(X51&lt;&gt;"")+(AC51&lt;&gt;"")+(AH51&lt;&gt;""))</f>
        <v>1</v>
      </c>
      <c r="AL51" s="81" t="str">
        <f aca="false">IF(AH51&lt;&gt;"",AH51,IF(AC51&lt;&gt;"",AC51,IF(X51&lt;&gt;"",X51,"")))</f>
        <v>A</v>
      </c>
      <c r="AM51" s="83" t="str">
        <f aca="false">IF(E51="","",IF(R51="","À SOUDER",IF(U51="","VT EN ATTENTE",IF(U51="R","VT REJETÉ – À REPRENDRE",IF(AL51="","À RADIOGRAPHIER",IF(AL51="A","ACCEPTÉ",IF(AL51="NX","NX – RT À REFAIRE",IF(IF(AK51=1,Z51,IF(AK51=2,AE51,""))="A","RÉPARÉ – À RADIOGRAPHIER",IF(IF(AK51=1,Z51,IF(AK51=2,AE51,""))="R","VT REJETÉ – À REPRENDRE",IF(OR(AL51="CO",AL51="NT"),"COUPE – À RESOUDER","À RÉPARER"))))))))))</f>
        <v>ACCEPTÉ</v>
      </c>
      <c r="AN51" s="81" t="str">
        <f aca="false">IF(AND(ISNUMBER(R51),OR(AM51="À RADIOGRAPHIER",AM51="RÉPARÉ – À RADIOGRAPHIER",AM51="NX – RT À REFAIRE",AM51="À RÉPARER",AM51="COUPE – À RESOUDER",AM51="VT REJETÉ – À REPRENDRE")),MAX(0,'PROGRAMME RT'!$C$4-R51),"")</f>
        <v/>
      </c>
      <c r="AO51" s="78" t="n">
        <f aca="false">IF(AND(OR(AM51="À RADIOGRAPHIER",AM51="RÉPARÉ – À RADIOGRAPHIER",AM51="NX – RT À REFAIRE"),OR('PROGRAMME RT'!$D$5="TOUTES",B51='PROGRAMME RT'!$D$5)),1,0)</f>
        <v>0</v>
      </c>
      <c r="AP51" s="78" t="str">
        <f aca="false">IF(AO51=1,SUM(AO$7:AO51),"")</f>
        <v/>
      </c>
      <c r="AQ51" s="78" t="n">
        <f aca="false">IF(AND(OR(X51="R",X51="NX",X51="NT",X51="CO"),OR('JOINTS DE RÉPARATION'!$D$5="TOUTES",B51='JOINTS DE RÉPARATION'!$D$5),OR('JOINTS DE RÉPARATION'!$L$4="TOUS",AM51&lt;&gt;"ACCEPTÉ")),1,0)</f>
        <v>0</v>
      </c>
      <c r="AR51" s="78" t="str">
        <f aca="false">IF(AQ51=1,SUM(AQ$7:AQ51),"")</f>
        <v/>
      </c>
    </row>
    <row r="52" customFormat="false" ht="15" hidden="false" customHeight="false" outlineLevel="0" collapsed="false">
      <c r="A52" s="78" t="n">
        <f aca="false">IF(E52="","",ROW()-6)</f>
        <v>46</v>
      </c>
      <c r="B52" s="79" t="s">
        <v>102</v>
      </c>
      <c r="C52" s="80"/>
      <c r="D52" s="80" t="s">
        <v>103</v>
      </c>
      <c r="E52" s="80" t="s">
        <v>221</v>
      </c>
      <c r="F52" s="80" t="s">
        <v>151</v>
      </c>
      <c r="G52" s="80" t="s">
        <v>106</v>
      </c>
      <c r="H52" s="80" t="n">
        <v>11</v>
      </c>
      <c r="I52" s="80" t="s">
        <v>114</v>
      </c>
      <c r="J52" s="80" t="s">
        <v>115</v>
      </c>
      <c r="K52" s="80" t="s">
        <v>220</v>
      </c>
      <c r="L52" s="84" t="n">
        <f aca="false">IF(K52="","",IFERROR(INDEX(BARDAGE!$C$7:$C$1506,MATCH(K52,BARDAGE!$B$7:$B$1506,0)),"? hors registre"))</f>
        <v>24803600</v>
      </c>
      <c r="M52" s="80" t="s">
        <v>222</v>
      </c>
      <c r="N52" s="84" t="n">
        <f aca="false">IF(M52="","",IFERROR(INDEX(BARDAGE!$C$7:$C$1506,MATCH(M52,BARDAGE!$B$7:$B$1506,0)),"? hors registre"))</f>
        <v>24803596</v>
      </c>
      <c r="O52" s="80" t="s">
        <v>117</v>
      </c>
      <c r="P52" s="80" t="s">
        <v>117</v>
      </c>
      <c r="Q52" s="80" t="s">
        <v>117</v>
      </c>
      <c r="R52" s="82" t="n">
        <v>45909</v>
      </c>
      <c r="S52" s="82" t="n">
        <v>45909</v>
      </c>
      <c r="T52" s="80" t="s">
        <v>223</v>
      </c>
      <c r="U52" s="80" t="s">
        <v>105</v>
      </c>
      <c r="V52" s="82"/>
      <c r="W52" s="80"/>
      <c r="X52" s="80"/>
      <c r="Y52" s="80"/>
      <c r="Z52" s="80"/>
      <c r="AA52" s="82"/>
      <c r="AB52" s="80"/>
      <c r="AC52" s="80"/>
      <c r="AD52" s="80"/>
      <c r="AE52" s="80"/>
      <c r="AF52" s="82"/>
      <c r="AG52" s="80"/>
      <c r="AH52" s="80"/>
      <c r="AI52" s="82"/>
      <c r="AJ52" s="79"/>
      <c r="AK52" s="78" t="n">
        <f aca="false">IF(E52="","",(X52&lt;&gt;"")+(AC52&lt;&gt;"")+(AH52&lt;&gt;""))</f>
        <v>0</v>
      </c>
      <c r="AL52" s="81" t="str">
        <f aca="false">IF(AH52&lt;&gt;"",AH52,IF(AC52&lt;&gt;"",AC52,IF(X52&lt;&gt;"",X52,"")))</f>
        <v/>
      </c>
      <c r="AM52" s="83" t="str">
        <f aca="false">IF(E52="","",IF(R52="","À SOUDER",IF(U52="","VT EN ATTENTE",IF(U52="R","VT REJETÉ – À REPRENDRE",IF(AL52="","À RADIOGRAPHIER",IF(AL52="A","ACCEPTÉ",IF(AL52="NX","NX – RT À REFAIRE",IF(IF(AK52=1,Z52,IF(AK52=2,AE52,""))="A","RÉPARÉ – À RADIOGRAPHIER",IF(IF(AK52=1,Z52,IF(AK52=2,AE52,""))="R","VT REJETÉ – À REPRENDRE",IF(OR(AL52="CO",AL52="NT"),"COUPE – À RESOUDER","À RÉPARER"))))))))))</f>
        <v>À RADIOGRAPHIER</v>
      </c>
      <c r="AN52" s="81" t="n">
        <f aca="false">IF(AND(ISNUMBER(R52),OR(AM52="À RADIOGRAPHIER",AM52="RÉPARÉ – À RADIOGRAPHIER",AM52="NX – RT À REFAIRE",AM52="À RÉPARER",AM52="COUPE – À RESOUDER",AM52="VT REJETÉ – À REPRENDRE")),MAX(0,'PROGRAMME RT'!$C$4-R52),"")</f>
        <v>384</v>
      </c>
      <c r="AO52" s="78" t="n">
        <f aca="false">IF(AND(OR(AM52="À RADIOGRAPHIER",AM52="RÉPARÉ – À RADIOGRAPHIER",AM52="NX – RT À REFAIRE"),OR('PROGRAMME RT'!$D$5="TOUTES",B52='PROGRAMME RT'!$D$5)),1,0)</f>
        <v>1</v>
      </c>
      <c r="AP52" s="78" t="n">
        <f aca="false">IF(AO52=1,SUM(AO$7:AO52),"")</f>
        <v>1</v>
      </c>
      <c r="AQ52" s="78" t="n">
        <f aca="false">IF(AND(OR(X52="R",X52="NX",X52="NT",X52="CO"),OR('JOINTS DE RÉPARATION'!$D$5="TOUTES",B52='JOINTS DE RÉPARATION'!$D$5),OR('JOINTS DE RÉPARATION'!$L$4="TOUS",AM52&lt;&gt;"ACCEPTÉ")),1,0)</f>
        <v>0</v>
      </c>
      <c r="AR52" s="78" t="str">
        <f aca="false">IF(AQ52=1,SUM(AQ$7:AQ52),"")</f>
        <v/>
      </c>
    </row>
    <row r="53" customFormat="false" ht="15" hidden="false" customHeight="false" outlineLevel="0" collapsed="false">
      <c r="A53" s="78" t="n">
        <f aca="false">IF(E53="","",ROW()-6)</f>
        <v>47</v>
      </c>
      <c r="B53" s="79" t="s">
        <v>102</v>
      </c>
      <c r="C53" s="80"/>
      <c r="D53" s="80" t="s">
        <v>103</v>
      </c>
      <c r="E53" s="80" t="s">
        <v>224</v>
      </c>
      <c r="F53" s="80" t="s">
        <v>151</v>
      </c>
      <c r="G53" s="80" t="s">
        <v>106</v>
      </c>
      <c r="H53" s="80" t="n">
        <v>11</v>
      </c>
      <c r="I53" s="80" t="s">
        <v>114</v>
      </c>
      <c r="J53" s="80" t="s">
        <v>115</v>
      </c>
      <c r="K53" s="80" t="s">
        <v>222</v>
      </c>
      <c r="L53" s="84" t="n">
        <f aca="false">IF(K53="","",IFERROR(INDEX(BARDAGE!$C$7:$C$1506,MATCH(K53,BARDAGE!$B$7:$B$1506,0)),"? hors registre"))</f>
        <v>24803596</v>
      </c>
      <c r="M53" s="80" t="s">
        <v>225</v>
      </c>
      <c r="N53" s="84" t="n">
        <f aca="false">IF(M53="","",IFERROR(INDEX(BARDAGE!$C$7:$C$1506,MATCH(M53,BARDAGE!$B$7:$B$1506,0)),"? hors registre"))</f>
        <v>24703645</v>
      </c>
      <c r="O53" s="80" t="s">
        <v>125</v>
      </c>
      <c r="P53" s="80" t="s">
        <v>125</v>
      </c>
      <c r="Q53" s="80" t="s">
        <v>125</v>
      </c>
      <c r="R53" s="82" t="n">
        <v>45909</v>
      </c>
      <c r="S53" s="82" t="n">
        <v>45909</v>
      </c>
      <c r="T53" s="80" t="s">
        <v>223</v>
      </c>
      <c r="U53" s="80" t="s">
        <v>105</v>
      </c>
      <c r="V53" s="82" t="n">
        <v>45915</v>
      </c>
      <c r="W53" s="80" t="s">
        <v>129</v>
      </c>
      <c r="X53" s="80" t="s">
        <v>105</v>
      </c>
      <c r="Y53" s="80"/>
      <c r="Z53" s="80"/>
      <c r="AA53" s="82"/>
      <c r="AB53" s="80"/>
      <c r="AC53" s="80"/>
      <c r="AD53" s="80"/>
      <c r="AE53" s="80"/>
      <c r="AF53" s="82"/>
      <c r="AG53" s="80"/>
      <c r="AH53" s="80"/>
      <c r="AI53" s="82"/>
      <c r="AJ53" s="79"/>
      <c r="AK53" s="78" t="n">
        <f aca="false">IF(E53="","",(X53&lt;&gt;"")+(AC53&lt;&gt;"")+(AH53&lt;&gt;""))</f>
        <v>1</v>
      </c>
      <c r="AL53" s="81" t="str">
        <f aca="false">IF(AH53&lt;&gt;"",AH53,IF(AC53&lt;&gt;"",AC53,IF(X53&lt;&gt;"",X53,"")))</f>
        <v>A</v>
      </c>
      <c r="AM53" s="83" t="str">
        <f aca="false">IF(E53="","",IF(R53="","À SOUDER",IF(U53="","VT EN ATTENTE",IF(U53="R","VT REJETÉ – À REPRENDRE",IF(AL53="","À RADIOGRAPHIER",IF(AL53="A","ACCEPTÉ",IF(AL53="NX","NX – RT À REFAIRE",IF(IF(AK53=1,Z53,IF(AK53=2,AE53,""))="A","RÉPARÉ – À RADIOGRAPHIER",IF(IF(AK53=1,Z53,IF(AK53=2,AE53,""))="R","VT REJETÉ – À REPRENDRE",IF(OR(AL53="CO",AL53="NT"),"COUPE – À RESOUDER","À RÉPARER"))))))))))</f>
        <v>ACCEPTÉ</v>
      </c>
      <c r="AN53" s="81" t="str">
        <f aca="false">IF(AND(ISNUMBER(R53),OR(AM53="À RADIOGRAPHIER",AM53="RÉPARÉ – À RADIOGRAPHIER",AM53="NX – RT À REFAIRE",AM53="À RÉPARER",AM53="COUPE – À RESOUDER",AM53="VT REJETÉ – À REPRENDRE")),MAX(0,'PROGRAMME RT'!$C$4-R53),"")</f>
        <v/>
      </c>
      <c r="AO53" s="78" t="n">
        <f aca="false">IF(AND(OR(AM53="À RADIOGRAPHIER",AM53="RÉPARÉ – À RADIOGRAPHIER",AM53="NX – RT À REFAIRE"),OR('PROGRAMME RT'!$D$5="TOUTES",B53='PROGRAMME RT'!$D$5)),1,0)</f>
        <v>0</v>
      </c>
      <c r="AP53" s="78" t="str">
        <f aca="false">IF(AO53=1,SUM(AO$7:AO53),"")</f>
        <v/>
      </c>
      <c r="AQ53" s="78" t="n">
        <f aca="false">IF(AND(OR(X53="R",X53="NX",X53="NT",X53="CO"),OR('JOINTS DE RÉPARATION'!$D$5="TOUTES",B53='JOINTS DE RÉPARATION'!$D$5),OR('JOINTS DE RÉPARATION'!$L$4="TOUS",AM53&lt;&gt;"ACCEPTÉ")),1,0)</f>
        <v>0</v>
      </c>
      <c r="AR53" s="78" t="str">
        <f aca="false">IF(AQ53=1,SUM(AQ$7:AQ53),"")</f>
        <v/>
      </c>
    </row>
    <row r="54" customFormat="false" ht="15" hidden="false" customHeight="false" outlineLevel="0" collapsed="false">
      <c r="A54" s="78" t="n">
        <f aca="false">IF(E54="","",ROW()-6)</f>
        <v>48</v>
      </c>
      <c r="B54" s="79" t="s">
        <v>102</v>
      </c>
      <c r="C54" s="80"/>
      <c r="D54" s="80" t="s">
        <v>103</v>
      </c>
      <c r="E54" s="80" t="s">
        <v>226</v>
      </c>
      <c r="F54" s="80" t="s">
        <v>151</v>
      </c>
      <c r="G54" s="80" t="s">
        <v>106</v>
      </c>
      <c r="H54" s="80" t="n">
        <v>11</v>
      </c>
      <c r="I54" s="80" t="s">
        <v>114</v>
      </c>
      <c r="J54" s="80" t="s">
        <v>115</v>
      </c>
      <c r="K54" s="80" t="s">
        <v>225</v>
      </c>
      <c r="L54" s="84" t="n">
        <f aca="false">IF(K54="","",IFERROR(INDEX(BARDAGE!$C$7:$C$1506,MATCH(K54,BARDAGE!$B$7:$B$1506,0)),"? hors registre"))</f>
        <v>24703645</v>
      </c>
      <c r="M54" s="80" t="s">
        <v>227</v>
      </c>
      <c r="N54" s="84" t="n">
        <f aca="false">IF(M54="","",IFERROR(INDEX(BARDAGE!$C$7:$C$1506,MATCH(M54,BARDAGE!$B$7:$B$1506,0)),"? hors registre"))</f>
        <v>24803600</v>
      </c>
      <c r="O54" s="80" t="s">
        <v>141</v>
      </c>
      <c r="P54" s="80" t="s">
        <v>141</v>
      </c>
      <c r="Q54" s="80" t="s">
        <v>141</v>
      </c>
      <c r="R54" s="82" t="n">
        <v>45909</v>
      </c>
      <c r="S54" s="82" t="n">
        <v>45909</v>
      </c>
      <c r="T54" s="80" t="s">
        <v>223</v>
      </c>
      <c r="U54" s="80" t="s">
        <v>105</v>
      </c>
      <c r="V54" s="82" t="n">
        <v>45915</v>
      </c>
      <c r="W54" s="80" t="s">
        <v>129</v>
      </c>
      <c r="X54" s="80" t="s">
        <v>105</v>
      </c>
      <c r="Y54" s="80"/>
      <c r="Z54" s="80"/>
      <c r="AA54" s="82"/>
      <c r="AB54" s="80"/>
      <c r="AC54" s="80"/>
      <c r="AD54" s="80"/>
      <c r="AE54" s="80"/>
      <c r="AF54" s="82"/>
      <c r="AG54" s="80"/>
      <c r="AH54" s="80"/>
      <c r="AI54" s="82"/>
      <c r="AJ54" s="79"/>
      <c r="AK54" s="78" t="n">
        <f aca="false">IF(E54="","",(X54&lt;&gt;"")+(AC54&lt;&gt;"")+(AH54&lt;&gt;""))</f>
        <v>1</v>
      </c>
      <c r="AL54" s="81" t="str">
        <f aca="false">IF(AH54&lt;&gt;"",AH54,IF(AC54&lt;&gt;"",AC54,IF(X54&lt;&gt;"",X54,"")))</f>
        <v>A</v>
      </c>
      <c r="AM54" s="83" t="str">
        <f aca="false">IF(E54="","",IF(R54="","À SOUDER",IF(U54="","VT EN ATTENTE",IF(U54="R","VT REJETÉ – À REPRENDRE",IF(AL54="","À RADIOGRAPHIER",IF(AL54="A","ACCEPTÉ",IF(AL54="NX","NX – RT À REFAIRE",IF(IF(AK54=1,Z54,IF(AK54=2,AE54,""))="A","RÉPARÉ – À RADIOGRAPHIER",IF(IF(AK54=1,Z54,IF(AK54=2,AE54,""))="R","VT REJETÉ – À REPRENDRE",IF(OR(AL54="CO",AL54="NT"),"COUPE – À RESOUDER","À RÉPARER"))))))))))</f>
        <v>ACCEPTÉ</v>
      </c>
      <c r="AN54" s="81" t="str">
        <f aca="false">IF(AND(ISNUMBER(R54),OR(AM54="À RADIOGRAPHIER",AM54="RÉPARÉ – À RADIOGRAPHIER",AM54="NX – RT À REFAIRE",AM54="À RÉPARER",AM54="COUPE – À RESOUDER",AM54="VT REJETÉ – À REPRENDRE")),MAX(0,'PROGRAMME RT'!$C$4-R54),"")</f>
        <v/>
      </c>
      <c r="AO54" s="78" t="n">
        <f aca="false">IF(AND(OR(AM54="À RADIOGRAPHIER",AM54="RÉPARÉ – À RADIOGRAPHIER",AM54="NX – RT À REFAIRE"),OR('PROGRAMME RT'!$D$5="TOUTES",B54='PROGRAMME RT'!$D$5)),1,0)</f>
        <v>0</v>
      </c>
      <c r="AP54" s="78" t="str">
        <f aca="false">IF(AO54=1,SUM(AO$7:AO54),"")</f>
        <v/>
      </c>
      <c r="AQ54" s="78" t="n">
        <f aca="false">IF(AND(OR(X54="R",X54="NX",X54="NT",X54="CO"),OR('JOINTS DE RÉPARATION'!$D$5="TOUTES",B54='JOINTS DE RÉPARATION'!$D$5),OR('JOINTS DE RÉPARATION'!$L$4="TOUS",AM54&lt;&gt;"ACCEPTÉ")),1,0)</f>
        <v>0</v>
      </c>
      <c r="AR54" s="78" t="str">
        <f aca="false">IF(AQ54=1,SUM(AQ$7:AQ54),"")</f>
        <v/>
      </c>
    </row>
    <row r="55" customFormat="false" ht="15" hidden="false" customHeight="false" outlineLevel="0" collapsed="false">
      <c r="A55" s="78" t="n">
        <f aca="false">IF(E55="","",ROW()-6)</f>
        <v>49</v>
      </c>
      <c r="B55" s="79" t="s">
        <v>102</v>
      </c>
      <c r="C55" s="80"/>
      <c r="D55" s="80" t="s">
        <v>228</v>
      </c>
      <c r="E55" s="80" t="s">
        <v>229</v>
      </c>
      <c r="F55" s="80"/>
      <c r="G55" s="80"/>
      <c r="H55" s="80"/>
      <c r="I55" s="80"/>
      <c r="J55" s="80"/>
      <c r="K55" s="80" t="s">
        <v>230</v>
      </c>
      <c r="L55" s="81" t="str">
        <f aca="false">IF(K55="","",IFERROR(INDEX(BARDAGE!$C$7:$C$1506,MATCH(K55,BARDAGE!$B$7:$B$1506,0)),"? hors registre"))</f>
        <v>? hors registre</v>
      </c>
      <c r="M55" s="80"/>
      <c r="N55" s="81" t="str">
        <f aca="false">IF(M55="","",IFERROR(INDEX(BARDAGE!$C$7:$C$1506,MATCH(M55,BARDAGE!$B$7:$B$1506,0)),"? hors registre"))</f>
        <v/>
      </c>
      <c r="O55" s="80"/>
      <c r="P55" s="80"/>
      <c r="Q55" s="80"/>
      <c r="R55" s="82"/>
      <c r="S55" s="82" t="n">
        <v>45909</v>
      </c>
      <c r="T55" s="80" t="s">
        <v>223</v>
      </c>
      <c r="U55" s="80"/>
      <c r="V55" s="82"/>
      <c r="W55" s="80"/>
      <c r="X55" s="80"/>
      <c r="Y55" s="80"/>
      <c r="Z55" s="80"/>
      <c r="AA55" s="82"/>
      <c r="AB55" s="80"/>
      <c r="AC55" s="80"/>
      <c r="AD55" s="80"/>
      <c r="AE55" s="80"/>
      <c r="AF55" s="82"/>
      <c r="AG55" s="80"/>
      <c r="AH55" s="80"/>
      <c r="AI55" s="82"/>
      <c r="AJ55" s="79"/>
      <c r="AK55" s="78" t="n">
        <f aca="false">IF(E55="","",(X55&lt;&gt;"")+(AC55&lt;&gt;"")+(AH55&lt;&gt;""))</f>
        <v>0</v>
      </c>
      <c r="AL55" s="81" t="str">
        <f aca="false">IF(AH55&lt;&gt;"",AH55,IF(AC55&lt;&gt;"",AC55,IF(X55&lt;&gt;"",X55,"")))</f>
        <v/>
      </c>
      <c r="AM55" s="83" t="str">
        <f aca="false">IF(E55="","",IF(R55="","À SOUDER",IF(U55="","VT EN ATTENTE",IF(U55="R","VT REJETÉ – À REPRENDRE",IF(AL55="","À RADIOGRAPHIER",IF(AL55="A","ACCEPTÉ",IF(AL55="NX","NX – RT À REFAIRE",IF(IF(AK55=1,Z55,IF(AK55=2,AE55,""))="A","RÉPARÉ – À RADIOGRAPHIER",IF(IF(AK55=1,Z55,IF(AK55=2,AE55,""))="R","VT REJETÉ – À REPRENDRE",IF(OR(AL55="CO",AL55="NT"),"COUPE – À RESOUDER","À RÉPARER"))))))))))</f>
        <v>À SOUDER</v>
      </c>
      <c r="AN55" s="81" t="str">
        <f aca="false">IF(AND(ISNUMBER(R55),OR(AM55="À RADIOGRAPHIER",AM55="RÉPARÉ – À RADIOGRAPHIER",AM55="NX – RT À REFAIRE",AM55="À RÉPARER",AM55="COUPE – À RESOUDER",AM55="VT REJETÉ – À REPRENDRE")),MAX(0,'PROGRAMME RT'!$C$4-R55),"")</f>
        <v/>
      </c>
      <c r="AO55" s="78" t="n">
        <f aca="false">IF(AND(OR(AM55="À RADIOGRAPHIER",AM55="RÉPARÉ – À RADIOGRAPHIER",AM55="NX – RT À REFAIRE"),OR('PROGRAMME RT'!$D$5="TOUTES",B55='PROGRAMME RT'!$D$5)),1,0)</f>
        <v>0</v>
      </c>
      <c r="AP55" s="78" t="str">
        <f aca="false">IF(AO55=1,SUM(AO$7:AO55),"")</f>
        <v/>
      </c>
      <c r="AQ55" s="78" t="n">
        <f aca="false">IF(AND(OR(X55="R",X55="NX",X55="NT",X55="CO"),OR('JOINTS DE RÉPARATION'!$D$5="TOUTES",B55='JOINTS DE RÉPARATION'!$D$5),OR('JOINTS DE RÉPARATION'!$L$4="TOUS",AM55&lt;&gt;"ACCEPTÉ")),1,0)</f>
        <v>0</v>
      </c>
      <c r="AR55" s="78" t="str">
        <f aca="false">IF(AQ55=1,SUM(AQ$7:AQ55),"")</f>
        <v/>
      </c>
    </row>
    <row r="56" customFormat="false" ht="15" hidden="false" customHeight="false" outlineLevel="0" collapsed="false">
      <c r="A56" s="78" t="n">
        <f aca="false">IF(E56="","",ROW()-6)</f>
        <v>50</v>
      </c>
      <c r="B56" s="79" t="s">
        <v>102</v>
      </c>
      <c r="C56" s="80" t="s">
        <v>231</v>
      </c>
      <c r="D56" s="80" t="s">
        <v>103</v>
      </c>
      <c r="E56" s="80" t="s">
        <v>232</v>
      </c>
      <c r="F56" s="80" t="s">
        <v>151</v>
      </c>
      <c r="G56" s="80" t="s">
        <v>106</v>
      </c>
      <c r="H56" s="80" t="n">
        <v>11</v>
      </c>
      <c r="I56" s="80" t="s">
        <v>114</v>
      </c>
      <c r="J56" s="80" t="s">
        <v>132</v>
      </c>
      <c r="K56" s="80" t="s">
        <v>227</v>
      </c>
      <c r="L56" s="84" t="n">
        <f aca="false">IF(K56="","",IFERROR(INDEX(BARDAGE!$C$7:$C$1506,MATCH(K56,BARDAGE!$B$7:$B$1506,0)),"? hors registre"))</f>
        <v>24803600</v>
      </c>
      <c r="M56" s="80" t="s">
        <v>233</v>
      </c>
      <c r="N56" s="84" t="n">
        <f aca="false">IF(M56="","",IFERROR(INDEX(BARDAGE!$C$7:$C$1506,MATCH(M56,BARDAGE!$B$7:$B$1506,0)),"? hors registre"))</f>
        <v>24703636</v>
      </c>
      <c r="O56" s="80" t="s">
        <v>141</v>
      </c>
      <c r="P56" s="80" t="s">
        <v>141</v>
      </c>
      <c r="Q56" s="80" t="s">
        <v>134</v>
      </c>
      <c r="R56" s="82" t="n">
        <v>45878</v>
      </c>
      <c r="S56" s="82" t="n">
        <v>45878</v>
      </c>
      <c r="T56" s="80" t="s">
        <v>194</v>
      </c>
      <c r="U56" s="80" t="s">
        <v>105</v>
      </c>
      <c r="V56" s="82" t="n">
        <v>45889</v>
      </c>
      <c r="W56" s="80" t="s">
        <v>185</v>
      </c>
      <c r="X56" s="80" t="s">
        <v>105</v>
      </c>
      <c r="Y56" s="80"/>
      <c r="Z56" s="80"/>
      <c r="AA56" s="82"/>
      <c r="AB56" s="80"/>
      <c r="AC56" s="80"/>
      <c r="AD56" s="80"/>
      <c r="AE56" s="80"/>
      <c r="AF56" s="82"/>
      <c r="AG56" s="80"/>
      <c r="AH56" s="80"/>
      <c r="AI56" s="82"/>
      <c r="AJ56" s="79"/>
      <c r="AK56" s="78" t="n">
        <f aca="false">IF(E56="","",(X56&lt;&gt;"")+(AC56&lt;&gt;"")+(AH56&lt;&gt;""))</f>
        <v>1</v>
      </c>
      <c r="AL56" s="81" t="str">
        <f aca="false">IF(AH56&lt;&gt;"",AH56,IF(AC56&lt;&gt;"",AC56,IF(X56&lt;&gt;"",X56,"")))</f>
        <v>A</v>
      </c>
      <c r="AM56" s="83" t="str">
        <f aca="false">IF(E56="","",IF(R56="","À SOUDER",IF(U56="","VT EN ATTENTE",IF(U56="R","VT REJETÉ – À REPRENDRE",IF(AL56="","À RADIOGRAPHIER",IF(AL56="A","ACCEPTÉ",IF(AL56="NX","NX – RT À REFAIRE",IF(IF(AK56=1,Z56,IF(AK56=2,AE56,""))="A","RÉPARÉ – À RADIOGRAPHIER",IF(IF(AK56=1,Z56,IF(AK56=2,AE56,""))="R","VT REJETÉ – À REPRENDRE",IF(OR(AL56="CO",AL56="NT"),"COUPE – À RESOUDER","À RÉPARER"))))))))))</f>
        <v>ACCEPTÉ</v>
      </c>
      <c r="AN56" s="81" t="str">
        <f aca="false">IF(AND(ISNUMBER(R56),OR(AM56="À RADIOGRAPHIER",AM56="RÉPARÉ – À RADIOGRAPHIER",AM56="NX – RT À REFAIRE",AM56="À RÉPARER",AM56="COUPE – À RESOUDER",AM56="VT REJETÉ – À REPRENDRE")),MAX(0,'PROGRAMME RT'!$C$4-R56),"")</f>
        <v/>
      </c>
      <c r="AO56" s="78" t="n">
        <f aca="false">IF(AND(OR(AM56="À RADIOGRAPHIER",AM56="RÉPARÉ – À RADIOGRAPHIER",AM56="NX – RT À REFAIRE"),OR('PROGRAMME RT'!$D$5="TOUTES",B56='PROGRAMME RT'!$D$5)),1,0)</f>
        <v>0</v>
      </c>
      <c r="AP56" s="78" t="str">
        <f aca="false">IF(AO56=1,SUM(AO$7:AO56),"")</f>
        <v/>
      </c>
      <c r="AQ56" s="78" t="n">
        <f aca="false">IF(AND(OR(X56="R",X56="NX",X56="NT",X56="CO"),OR('JOINTS DE RÉPARATION'!$D$5="TOUTES",B56='JOINTS DE RÉPARATION'!$D$5),OR('JOINTS DE RÉPARATION'!$L$4="TOUS",AM56&lt;&gt;"ACCEPTÉ")),1,0)</f>
        <v>0</v>
      </c>
      <c r="AR56" s="78" t="str">
        <f aca="false">IF(AQ56=1,SUM(AQ$7:AQ56),"")</f>
        <v/>
      </c>
    </row>
    <row r="57" customFormat="false" ht="15" hidden="false" customHeight="false" outlineLevel="0" collapsed="false">
      <c r="A57" s="78" t="n">
        <f aca="false">IF(E57="","",ROW()-6)</f>
        <v>51</v>
      </c>
      <c r="B57" s="79" t="s">
        <v>102</v>
      </c>
      <c r="C57" s="80" t="s">
        <v>231</v>
      </c>
      <c r="D57" s="80" t="s">
        <v>103</v>
      </c>
      <c r="E57" s="80" t="s">
        <v>234</v>
      </c>
      <c r="F57" s="80" t="s">
        <v>151</v>
      </c>
      <c r="G57" s="80" t="s">
        <v>106</v>
      </c>
      <c r="H57" s="80" t="n">
        <v>11</v>
      </c>
      <c r="I57" s="80" t="s">
        <v>114</v>
      </c>
      <c r="J57" s="80" t="s">
        <v>132</v>
      </c>
      <c r="K57" s="80" t="s">
        <v>233</v>
      </c>
      <c r="L57" s="84" t="n">
        <f aca="false">IF(K57="","",IFERROR(INDEX(BARDAGE!$C$7:$C$1506,MATCH(K57,BARDAGE!$B$7:$B$1506,0)),"? hors registre"))</f>
        <v>24703636</v>
      </c>
      <c r="M57" s="80" t="s">
        <v>235</v>
      </c>
      <c r="N57" s="84" t="n">
        <f aca="false">IF(M57="","",IFERROR(INDEX(BARDAGE!$C$7:$C$1506,MATCH(M57,BARDAGE!$B$7:$B$1506,0)),"? hors registre"))</f>
        <v>24703636</v>
      </c>
      <c r="O57" s="80" t="s">
        <v>141</v>
      </c>
      <c r="P57" s="80" t="s">
        <v>141</v>
      </c>
      <c r="Q57" s="80" t="s">
        <v>125</v>
      </c>
      <c r="R57" s="82" t="n">
        <v>45878</v>
      </c>
      <c r="S57" s="82" t="n">
        <v>45878</v>
      </c>
      <c r="T57" s="80" t="s">
        <v>194</v>
      </c>
      <c r="U57" s="80" t="s">
        <v>105</v>
      </c>
      <c r="V57" s="82" t="n">
        <v>45889</v>
      </c>
      <c r="W57" s="80" t="s">
        <v>185</v>
      </c>
      <c r="X57" s="80" t="s">
        <v>105</v>
      </c>
      <c r="Y57" s="80"/>
      <c r="Z57" s="80"/>
      <c r="AA57" s="82"/>
      <c r="AB57" s="80"/>
      <c r="AC57" s="80"/>
      <c r="AD57" s="80"/>
      <c r="AE57" s="80"/>
      <c r="AF57" s="82"/>
      <c r="AG57" s="80"/>
      <c r="AH57" s="80"/>
      <c r="AI57" s="82"/>
      <c r="AJ57" s="79"/>
      <c r="AK57" s="78" t="n">
        <f aca="false">IF(E57="","",(X57&lt;&gt;"")+(AC57&lt;&gt;"")+(AH57&lt;&gt;""))</f>
        <v>1</v>
      </c>
      <c r="AL57" s="81" t="str">
        <f aca="false">IF(AH57&lt;&gt;"",AH57,IF(AC57&lt;&gt;"",AC57,IF(X57&lt;&gt;"",X57,"")))</f>
        <v>A</v>
      </c>
      <c r="AM57" s="83" t="str">
        <f aca="false">IF(E57="","",IF(R57="","À SOUDER",IF(U57="","VT EN ATTENTE",IF(U57="R","VT REJETÉ – À REPRENDRE",IF(AL57="","À RADIOGRAPHIER",IF(AL57="A","ACCEPTÉ",IF(AL57="NX","NX – RT À REFAIRE",IF(IF(AK57=1,Z57,IF(AK57=2,AE57,""))="A","RÉPARÉ – À RADIOGRAPHIER",IF(IF(AK57=1,Z57,IF(AK57=2,AE57,""))="R","VT REJETÉ – À REPRENDRE",IF(OR(AL57="CO",AL57="NT"),"COUPE – À RESOUDER","À RÉPARER"))))))))))</f>
        <v>ACCEPTÉ</v>
      </c>
      <c r="AN57" s="81" t="str">
        <f aca="false">IF(AND(ISNUMBER(R57),OR(AM57="À RADIOGRAPHIER",AM57="RÉPARÉ – À RADIOGRAPHIER",AM57="NX – RT À REFAIRE",AM57="À RÉPARER",AM57="COUPE – À RESOUDER",AM57="VT REJETÉ – À REPRENDRE")),MAX(0,'PROGRAMME RT'!$C$4-R57),"")</f>
        <v/>
      </c>
      <c r="AO57" s="78" t="n">
        <f aca="false">IF(AND(OR(AM57="À RADIOGRAPHIER",AM57="RÉPARÉ – À RADIOGRAPHIER",AM57="NX – RT À REFAIRE"),OR('PROGRAMME RT'!$D$5="TOUTES",B57='PROGRAMME RT'!$D$5)),1,0)</f>
        <v>0</v>
      </c>
      <c r="AP57" s="78" t="str">
        <f aca="false">IF(AO57=1,SUM(AO$7:AO57),"")</f>
        <v/>
      </c>
      <c r="AQ57" s="78" t="n">
        <f aca="false">IF(AND(OR(X57="R",X57="NX",X57="NT",X57="CO"),OR('JOINTS DE RÉPARATION'!$D$5="TOUTES",B57='JOINTS DE RÉPARATION'!$D$5),OR('JOINTS DE RÉPARATION'!$L$4="TOUS",AM57&lt;&gt;"ACCEPTÉ")),1,0)</f>
        <v>0</v>
      </c>
      <c r="AR57" s="78" t="str">
        <f aca="false">IF(AQ57=1,SUM(AQ$7:AQ57),"")</f>
        <v/>
      </c>
    </row>
    <row r="58" customFormat="false" ht="15" hidden="false" customHeight="false" outlineLevel="0" collapsed="false">
      <c r="A58" s="78" t="n">
        <f aca="false">IF(E58="","",ROW()-6)</f>
        <v>52</v>
      </c>
      <c r="B58" s="79" t="s">
        <v>102</v>
      </c>
      <c r="C58" s="80" t="s">
        <v>231</v>
      </c>
      <c r="D58" s="80" t="s">
        <v>103</v>
      </c>
      <c r="E58" s="80" t="s">
        <v>236</v>
      </c>
      <c r="F58" s="80" t="s">
        <v>151</v>
      </c>
      <c r="G58" s="80" t="s">
        <v>106</v>
      </c>
      <c r="H58" s="80" t="n">
        <v>11</v>
      </c>
      <c r="I58" s="80" t="s">
        <v>114</v>
      </c>
      <c r="J58" s="80" t="s">
        <v>132</v>
      </c>
      <c r="K58" s="80" t="s">
        <v>235</v>
      </c>
      <c r="L58" s="84" t="n">
        <f aca="false">IF(K58="","",IFERROR(INDEX(BARDAGE!$C$7:$C$1506,MATCH(K58,BARDAGE!$B$7:$B$1506,0)),"? hors registre"))</f>
        <v>24703636</v>
      </c>
      <c r="M58" s="80" t="s">
        <v>237</v>
      </c>
      <c r="N58" s="84" t="n">
        <f aca="false">IF(M58="","",IFERROR(INDEX(BARDAGE!$C$7:$C$1506,MATCH(M58,BARDAGE!$B$7:$B$1506,0)),"? hors registre"))</f>
        <v>24703643</v>
      </c>
      <c r="O58" s="80" t="s">
        <v>141</v>
      </c>
      <c r="P58" s="80" t="s">
        <v>141</v>
      </c>
      <c r="Q58" s="80" t="s">
        <v>125</v>
      </c>
      <c r="R58" s="82" t="n">
        <v>45878</v>
      </c>
      <c r="S58" s="82" t="n">
        <v>45878</v>
      </c>
      <c r="T58" s="80" t="s">
        <v>194</v>
      </c>
      <c r="U58" s="80" t="s">
        <v>105</v>
      </c>
      <c r="V58" s="82" t="n">
        <v>45889</v>
      </c>
      <c r="W58" s="80" t="s">
        <v>185</v>
      </c>
      <c r="X58" s="80" t="s">
        <v>105</v>
      </c>
      <c r="Y58" s="80"/>
      <c r="Z58" s="80"/>
      <c r="AA58" s="82"/>
      <c r="AB58" s="80"/>
      <c r="AC58" s="80"/>
      <c r="AD58" s="80"/>
      <c r="AE58" s="80"/>
      <c r="AF58" s="82"/>
      <c r="AG58" s="80"/>
      <c r="AH58" s="80"/>
      <c r="AI58" s="82"/>
      <c r="AJ58" s="79"/>
      <c r="AK58" s="78" t="n">
        <f aca="false">IF(E58="","",(X58&lt;&gt;"")+(AC58&lt;&gt;"")+(AH58&lt;&gt;""))</f>
        <v>1</v>
      </c>
      <c r="AL58" s="81" t="str">
        <f aca="false">IF(AH58&lt;&gt;"",AH58,IF(AC58&lt;&gt;"",AC58,IF(X58&lt;&gt;"",X58,"")))</f>
        <v>A</v>
      </c>
      <c r="AM58" s="83" t="str">
        <f aca="false">IF(E58="","",IF(R58="","À SOUDER",IF(U58="","VT EN ATTENTE",IF(U58="R","VT REJETÉ – À REPRENDRE",IF(AL58="","À RADIOGRAPHIER",IF(AL58="A","ACCEPTÉ",IF(AL58="NX","NX – RT À REFAIRE",IF(IF(AK58=1,Z58,IF(AK58=2,AE58,""))="A","RÉPARÉ – À RADIOGRAPHIER",IF(IF(AK58=1,Z58,IF(AK58=2,AE58,""))="R","VT REJETÉ – À REPRENDRE",IF(OR(AL58="CO",AL58="NT"),"COUPE – À RESOUDER","À RÉPARER"))))))))))</f>
        <v>ACCEPTÉ</v>
      </c>
      <c r="AN58" s="81" t="str">
        <f aca="false">IF(AND(ISNUMBER(R58),OR(AM58="À RADIOGRAPHIER",AM58="RÉPARÉ – À RADIOGRAPHIER",AM58="NX – RT À REFAIRE",AM58="À RÉPARER",AM58="COUPE – À RESOUDER",AM58="VT REJETÉ – À REPRENDRE")),MAX(0,'PROGRAMME RT'!$C$4-R58),"")</f>
        <v/>
      </c>
      <c r="AO58" s="78" t="n">
        <f aca="false">IF(AND(OR(AM58="À RADIOGRAPHIER",AM58="RÉPARÉ – À RADIOGRAPHIER",AM58="NX – RT À REFAIRE"),OR('PROGRAMME RT'!$D$5="TOUTES",B58='PROGRAMME RT'!$D$5)),1,0)</f>
        <v>0</v>
      </c>
      <c r="AP58" s="78" t="str">
        <f aca="false">IF(AO58=1,SUM(AO$7:AO58),"")</f>
        <v/>
      </c>
      <c r="AQ58" s="78" t="n">
        <f aca="false">IF(AND(OR(X58="R",X58="NX",X58="NT",X58="CO"),OR('JOINTS DE RÉPARATION'!$D$5="TOUTES",B58='JOINTS DE RÉPARATION'!$D$5),OR('JOINTS DE RÉPARATION'!$L$4="TOUS",AM58&lt;&gt;"ACCEPTÉ")),1,0)</f>
        <v>0</v>
      </c>
      <c r="AR58" s="78" t="str">
        <f aca="false">IF(AQ58=1,SUM(AQ$7:AQ58),"")</f>
        <v/>
      </c>
    </row>
    <row r="59" customFormat="false" ht="15" hidden="false" customHeight="false" outlineLevel="0" collapsed="false">
      <c r="A59" s="78" t="n">
        <f aca="false">IF(E59="","",ROW()-6)</f>
        <v>53</v>
      </c>
      <c r="B59" s="79" t="s">
        <v>102</v>
      </c>
      <c r="C59" s="80" t="s">
        <v>231</v>
      </c>
      <c r="D59" s="80" t="s">
        <v>103</v>
      </c>
      <c r="E59" s="80" t="s">
        <v>238</v>
      </c>
      <c r="F59" s="80" t="s">
        <v>151</v>
      </c>
      <c r="G59" s="80" t="s">
        <v>106</v>
      </c>
      <c r="H59" s="80" t="n">
        <v>11</v>
      </c>
      <c r="I59" s="80" t="s">
        <v>114</v>
      </c>
      <c r="J59" s="80" t="s">
        <v>132</v>
      </c>
      <c r="K59" s="80" t="s">
        <v>237</v>
      </c>
      <c r="L59" s="84" t="n">
        <f aca="false">IF(K59="","",IFERROR(INDEX(BARDAGE!$C$7:$C$1506,MATCH(K59,BARDAGE!$B$7:$B$1506,0)),"? hors registre"))</f>
        <v>24703643</v>
      </c>
      <c r="M59" s="80" t="s">
        <v>239</v>
      </c>
      <c r="N59" s="84" t="n">
        <f aca="false">IF(M59="","",IFERROR(INDEX(BARDAGE!$C$7:$C$1506,MATCH(M59,BARDAGE!$B$7:$B$1506,0)),"? hors registre"))</f>
        <v>24803598</v>
      </c>
      <c r="O59" s="80" t="s">
        <v>141</v>
      </c>
      <c r="P59" s="80" t="s">
        <v>141</v>
      </c>
      <c r="Q59" s="80" t="s">
        <v>134</v>
      </c>
      <c r="R59" s="82" t="n">
        <v>45878</v>
      </c>
      <c r="S59" s="82" t="n">
        <v>45878</v>
      </c>
      <c r="T59" s="80" t="s">
        <v>194</v>
      </c>
      <c r="U59" s="80" t="s">
        <v>105</v>
      </c>
      <c r="V59" s="82" t="n">
        <v>45889</v>
      </c>
      <c r="W59" s="80" t="s">
        <v>185</v>
      </c>
      <c r="X59" s="80" t="s">
        <v>105</v>
      </c>
      <c r="Y59" s="80"/>
      <c r="Z59" s="80"/>
      <c r="AA59" s="82"/>
      <c r="AB59" s="80"/>
      <c r="AC59" s="80"/>
      <c r="AD59" s="80"/>
      <c r="AE59" s="80"/>
      <c r="AF59" s="82"/>
      <c r="AG59" s="80"/>
      <c r="AH59" s="80"/>
      <c r="AI59" s="82"/>
      <c r="AJ59" s="79"/>
      <c r="AK59" s="78" t="n">
        <f aca="false">IF(E59="","",(X59&lt;&gt;"")+(AC59&lt;&gt;"")+(AH59&lt;&gt;""))</f>
        <v>1</v>
      </c>
      <c r="AL59" s="81" t="str">
        <f aca="false">IF(AH59&lt;&gt;"",AH59,IF(AC59&lt;&gt;"",AC59,IF(X59&lt;&gt;"",X59,"")))</f>
        <v>A</v>
      </c>
      <c r="AM59" s="83" t="str">
        <f aca="false">IF(E59="","",IF(R59="","À SOUDER",IF(U59="","VT EN ATTENTE",IF(U59="R","VT REJETÉ – À REPRENDRE",IF(AL59="","À RADIOGRAPHIER",IF(AL59="A","ACCEPTÉ",IF(AL59="NX","NX – RT À REFAIRE",IF(IF(AK59=1,Z59,IF(AK59=2,AE59,""))="A","RÉPARÉ – À RADIOGRAPHIER",IF(IF(AK59=1,Z59,IF(AK59=2,AE59,""))="R","VT REJETÉ – À REPRENDRE",IF(OR(AL59="CO",AL59="NT"),"COUPE – À RESOUDER","À RÉPARER"))))))))))</f>
        <v>ACCEPTÉ</v>
      </c>
      <c r="AN59" s="81" t="str">
        <f aca="false">IF(AND(ISNUMBER(R59),OR(AM59="À RADIOGRAPHIER",AM59="RÉPARÉ – À RADIOGRAPHIER",AM59="NX – RT À REFAIRE",AM59="À RÉPARER",AM59="COUPE – À RESOUDER",AM59="VT REJETÉ – À REPRENDRE")),MAX(0,'PROGRAMME RT'!$C$4-R59),"")</f>
        <v/>
      </c>
      <c r="AO59" s="78" t="n">
        <f aca="false">IF(AND(OR(AM59="À RADIOGRAPHIER",AM59="RÉPARÉ – À RADIOGRAPHIER",AM59="NX – RT À REFAIRE"),OR('PROGRAMME RT'!$D$5="TOUTES",B59='PROGRAMME RT'!$D$5)),1,0)</f>
        <v>0</v>
      </c>
      <c r="AP59" s="78" t="str">
        <f aca="false">IF(AO59=1,SUM(AO$7:AO59),"")</f>
        <v/>
      </c>
      <c r="AQ59" s="78" t="n">
        <f aca="false">IF(AND(OR(X59="R",X59="NX",X59="NT",X59="CO"),OR('JOINTS DE RÉPARATION'!$D$5="TOUTES",B59='JOINTS DE RÉPARATION'!$D$5),OR('JOINTS DE RÉPARATION'!$L$4="TOUS",AM59&lt;&gt;"ACCEPTÉ")),1,0)</f>
        <v>0</v>
      </c>
      <c r="AR59" s="78" t="str">
        <f aca="false">IF(AQ59=1,SUM(AQ$7:AQ59),"")</f>
        <v/>
      </c>
    </row>
    <row r="60" customFormat="false" ht="15" hidden="false" customHeight="false" outlineLevel="0" collapsed="false">
      <c r="A60" s="78" t="n">
        <f aca="false">IF(E60="","",ROW()-6)</f>
        <v>54</v>
      </c>
      <c r="B60" s="79" t="s">
        <v>102</v>
      </c>
      <c r="C60" s="80" t="s">
        <v>231</v>
      </c>
      <c r="D60" s="80" t="s">
        <v>103</v>
      </c>
      <c r="E60" s="80" t="s">
        <v>240</v>
      </c>
      <c r="F60" s="80" t="s">
        <v>151</v>
      </c>
      <c r="G60" s="80" t="s">
        <v>106</v>
      </c>
      <c r="H60" s="80" t="n">
        <v>11</v>
      </c>
      <c r="I60" s="80" t="s">
        <v>114</v>
      </c>
      <c r="J60" s="80" t="s">
        <v>132</v>
      </c>
      <c r="K60" s="80" t="s">
        <v>239</v>
      </c>
      <c r="L60" s="84" t="n">
        <f aca="false">IF(K60="","",IFERROR(INDEX(BARDAGE!$C$7:$C$1506,MATCH(K60,BARDAGE!$B$7:$B$1506,0)),"? hors registre"))</f>
        <v>24803598</v>
      </c>
      <c r="M60" s="80" t="s">
        <v>241</v>
      </c>
      <c r="N60" s="84" t="n">
        <f aca="false">IF(M60="","",IFERROR(INDEX(BARDAGE!$C$7:$C$1506,MATCH(M60,BARDAGE!$B$7:$B$1506,0)),"? hors registre"))</f>
        <v>852405000415</v>
      </c>
      <c r="O60" s="80" t="s">
        <v>141</v>
      </c>
      <c r="P60" s="80" t="s">
        <v>141</v>
      </c>
      <c r="Q60" s="80" t="s">
        <v>125</v>
      </c>
      <c r="R60" s="82" t="n">
        <v>45879</v>
      </c>
      <c r="S60" s="82" t="n">
        <v>45879</v>
      </c>
      <c r="T60" s="80" t="s">
        <v>242</v>
      </c>
      <c r="U60" s="80" t="s">
        <v>105</v>
      </c>
      <c r="V60" s="82" t="n">
        <v>45889</v>
      </c>
      <c r="W60" s="80" t="s">
        <v>185</v>
      </c>
      <c r="X60" s="80" t="s">
        <v>105</v>
      </c>
      <c r="Y60" s="80"/>
      <c r="Z60" s="80"/>
      <c r="AA60" s="82"/>
      <c r="AB60" s="80"/>
      <c r="AC60" s="80"/>
      <c r="AD60" s="80"/>
      <c r="AE60" s="80"/>
      <c r="AF60" s="82"/>
      <c r="AG60" s="80"/>
      <c r="AH60" s="80"/>
      <c r="AI60" s="82"/>
      <c r="AJ60" s="79"/>
      <c r="AK60" s="78" t="n">
        <f aca="false">IF(E60="","",(X60&lt;&gt;"")+(AC60&lt;&gt;"")+(AH60&lt;&gt;""))</f>
        <v>1</v>
      </c>
      <c r="AL60" s="81" t="str">
        <f aca="false">IF(AH60&lt;&gt;"",AH60,IF(AC60&lt;&gt;"",AC60,IF(X60&lt;&gt;"",X60,"")))</f>
        <v>A</v>
      </c>
      <c r="AM60" s="83" t="str">
        <f aca="false">IF(E60="","",IF(R60="","À SOUDER",IF(U60="","VT EN ATTENTE",IF(U60="R","VT REJETÉ – À REPRENDRE",IF(AL60="","À RADIOGRAPHIER",IF(AL60="A","ACCEPTÉ",IF(AL60="NX","NX – RT À REFAIRE",IF(IF(AK60=1,Z60,IF(AK60=2,AE60,""))="A","RÉPARÉ – À RADIOGRAPHIER",IF(IF(AK60=1,Z60,IF(AK60=2,AE60,""))="R","VT REJETÉ – À REPRENDRE",IF(OR(AL60="CO",AL60="NT"),"COUPE – À RESOUDER","À RÉPARER"))))))))))</f>
        <v>ACCEPTÉ</v>
      </c>
      <c r="AN60" s="81" t="str">
        <f aca="false">IF(AND(ISNUMBER(R60),OR(AM60="À RADIOGRAPHIER",AM60="RÉPARÉ – À RADIOGRAPHIER",AM60="NX – RT À REFAIRE",AM60="À RÉPARER",AM60="COUPE – À RESOUDER",AM60="VT REJETÉ – À REPRENDRE")),MAX(0,'PROGRAMME RT'!$C$4-R60),"")</f>
        <v/>
      </c>
      <c r="AO60" s="78" t="n">
        <f aca="false">IF(AND(OR(AM60="À RADIOGRAPHIER",AM60="RÉPARÉ – À RADIOGRAPHIER",AM60="NX – RT À REFAIRE"),OR('PROGRAMME RT'!$D$5="TOUTES",B60='PROGRAMME RT'!$D$5)),1,0)</f>
        <v>0</v>
      </c>
      <c r="AP60" s="78" t="str">
        <f aca="false">IF(AO60=1,SUM(AO$7:AO60),"")</f>
        <v/>
      </c>
      <c r="AQ60" s="78" t="n">
        <f aca="false">IF(AND(OR(X60="R",X60="NX",X60="NT",X60="CO"),OR('JOINTS DE RÉPARATION'!$D$5="TOUTES",B60='JOINTS DE RÉPARATION'!$D$5),OR('JOINTS DE RÉPARATION'!$L$4="TOUS",AM60&lt;&gt;"ACCEPTÉ")),1,0)</f>
        <v>0</v>
      </c>
      <c r="AR60" s="78" t="str">
        <f aca="false">IF(AQ60=1,SUM(AQ$7:AQ60),"")</f>
        <v/>
      </c>
    </row>
    <row r="61" customFormat="false" ht="15" hidden="false" customHeight="false" outlineLevel="0" collapsed="false">
      <c r="A61" s="78" t="n">
        <f aca="false">IF(E61="","",ROW()-6)</f>
        <v>55</v>
      </c>
      <c r="B61" s="79" t="s">
        <v>102</v>
      </c>
      <c r="C61" s="80" t="s">
        <v>231</v>
      </c>
      <c r="D61" s="80" t="s">
        <v>103</v>
      </c>
      <c r="E61" s="80" t="s">
        <v>243</v>
      </c>
      <c r="F61" s="80" t="s">
        <v>151</v>
      </c>
      <c r="G61" s="80" t="s">
        <v>106</v>
      </c>
      <c r="H61" s="80" t="n">
        <v>11</v>
      </c>
      <c r="I61" s="80" t="s">
        <v>114</v>
      </c>
      <c r="J61" s="80" t="s">
        <v>132</v>
      </c>
      <c r="K61" s="80" t="s">
        <v>241</v>
      </c>
      <c r="L61" s="84" t="n">
        <f aca="false">IF(K61="","",IFERROR(INDEX(BARDAGE!$C$7:$C$1506,MATCH(K61,BARDAGE!$B$7:$B$1506,0)),"? hors registre"))</f>
        <v>852405000415</v>
      </c>
      <c r="M61" s="80" t="s">
        <v>244</v>
      </c>
      <c r="N61" s="84" t="n">
        <f aca="false">IF(M61="","",IFERROR(INDEX(BARDAGE!$C$7:$C$1506,MATCH(M61,BARDAGE!$B$7:$B$1506,0)),"? hors registre"))</f>
        <v>24803600</v>
      </c>
      <c r="O61" s="80" t="s">
        <v>141</v>
      </c>
      <c r="P61" s="80" t="s">
        <v>141</v>
      </c>
      <c r="Q61" s="80" t="s">
        <v>134</v>
      </c>
      <c r="R61" s="82" t="n">
        <v>45879</v>
      </c>
      <c r="S61" s="82" t="n">
        <v>45879</v>
      </c>
      <c r="T61" s="80" t="s">
        <v>242</v>
      </c>
      <c r="U61" s="80" t="s">
        <v>105</v>
      </c>
      <c r="V61" s="82" t="n">
        <v>45889</v>
      </c>
      <c r="W61" s="80" t="s">
        <v>185</v>
      </c>
      <c r="X61" s="80" t="s">
        <v>105</v>
      </c>
      <c r="Y61" s="80"/>
      <c r="Z61" s="80"/>
      <c r="AA61" s="82"/>
      <c r="AB61" s="80"/>
      <c r="AC61" s="80"/>
      <c r="AD61" s="80"/>
      <c r="AE61" s="80"/>
      <c r="AF61" s="82"/>
      <c r="AG61" s="80"/>
      <c r="AH61" s="80"/>
      <c r="AI61" s="82"/>
      <c r="AJ61" s="79"/>
      <c r="AK61" s="78" t="n">
        <f aca="false">IF(E61="","",(X61&lt;&gt;"")+(AC61&lt;&gt;"")+(AH61&lt;&gt;""))</f>
        <v>1</v>
      </c>
      <c r="AL61" s="81" t="str">
        <f aca="false">IF(AH61&lt;&gt;"",AH61,IF(AC61&lt;&gt;"",AC61,IF(X61&lt;&gt;"",X61,"")))</f>
        <v>A</v>
      </c>
      <c r="AM61" s="83" t="str">
        <f aca="false">IF(E61="","",IF(R61="","À SOUDER",IF(U61="","VT EN ATTENTE",IF(U61="R","VT REJETÉ – À REPRENDRE",IF(AL61="","À RADIOGRAPHIER",IF(AL61="A","ACCEPTÉ",IF(AL61="NX","NX – RT À REFAIRE",IF(IF(AK61=1,Z61,IF(AK61=2,AE61,""))="A","RÉPARÉ – À RADIOGRAPHIER",IF(IF(AK61=1,Z61,IF(AK61=2,AE61,""))="R","VT REJETÉ – À REPRENDRE",IF(OR(AL61="CO",AL61="NT"),"COUPE – À RESOUDER","À RÉPARER"))))))))))</f>
        <v>ACCEPTÉ</v>
      </c>
      <c r="AN61" s="81" t="str">
        <f aca="false">IF(AND(ISNUMBER(R61),OR(AM61="À RADIOGRAPHIER",AM61="RÉPARÉ – À RADIOGRAPHIER",AM61="NX – RT À REFAIRE",AM61="À RÉPARER",AM61="COUPE – À RESOUDER",AM61="VT REJETÉ – À REPRENDRE")),MAX(0,'PROGRAMME RT'!$C$4-R61),"")</f>
        <v/>
      </c>
      <c r="AO61" s="78" t="n">
        <f aca="false">IF(AND(OR(AM61="À RADIOGRAPHIER",AM61="RÉPARÉ – À RADIOGRAPHIER",AM61="NX – RT À REFAIRE"),OR('PROGRAMME RT'!$D$5="TOUTES",B61='PROGRAMME RT'!$D$5)),1,0)</f>
        <v>0</v>
      </c>
      <c r="AP61" s="78" t="str">
        <f aca="false">IF(AO61=1,SUM(AO$7:AO61),"")</f>
        <v/>
      </c>
      <c r="AQ61" s="78" t="n">
        <f aca="false">IF(AND(OR(X61="R",X61="NX",X61="NT",X61="CO"),OR('JOINTS DE RÉPARATION'!$D$5="TOUTES",B61='JOINTS DE RÉPARATION'!$D$5),OR('JOINTS DE RÉPARATION'!$L$4="TOUS",AM61&lt;&gt;"ACCEPTÉ")),1,0)</f>
        <v>0</v>
      </c>
      <c r="AR61" s="78" t="str">
        <f aca="false">IF(AQ61=1,SUM(AQ$7:AQ61),"")</f>
        <v/>
      </c>
    </row>
    <row r="62" customFormat="false" ht="15" hidden="false" customHeight="false" outlineLevel="0" collapsed="false">
      <c r="A62" s="78" t="n">
        <f aca="false">IF(E62="","",ROW()-6)</f>
        <v>56</v>
      </c>
      <c r="B62" s="79" t="s">
        <v>102</v>
      </c>
      <c r="C62" s="80" t="s">
        <v>231</v>
      </c>
      <c r="D62" s="80" t="s">
        <v>103</v>
      </c>
      <c r="E62" s="80" t="s">
        <v>245</v>
      </c>
      <c r="F62" s="80" t="s">
        <v>151</v>
      </c>
      <c r="G62" s="80" t="s">
        <v>106</v>
      </c>
      <c r="H62" s="80" t="n">
        <v>11</v>
      </c>
      <c r="I62" s="80" t="s">
        <v>114</v>
      </c>
      <c r="J62" s="80" t="s">
        <v>132</v>
      </c>
      <c r="K62" s="80" t="s">
        <v>244</v>
      </c>
      <c r="L62" s="84" t="n">
        <f aca="false">IF(K62="","",IFERROR(INDEX(BARDAGE!$C$7:$C$1506,MATCH(K62,BARDAGE!$B$7:$B$1506,0)),"? hors registre"))</f>
        <v>24803600</v>
      </c>
      <c r="M62" s="80" t="s">
        <v>246</v>
      </c>
      <c r="N62" s="84" t="n">
        <f aca="false">IF(M62="","",IFERROR(INDEX(BARDAGE!$C$7:$C$1506,MATCH(M62,BARDAGE!$B$7:$B$1506,0)),"? hors registre"))</f>
        <v>24703643</v>
      </c>
      <c r="O62" s="80" t="s">
        <v>141</v>
      </c>
      <c r="P62" s="80" t="s">
        <v>141</v>
      </c>
      <c r="Q62" s="80" t="s">
        <v>125</v>
      </c>
      <c r="R62" s="82" t="n">
        <v>45879</v>
      </c>
      <c r="S62" s="82" t="n">
        <v>45879</v>
      </c>
      <c r="T62" s="80" t="s">
        <v>242</v>
      </c>
      <c r="U62" s="80" t="s">
        <v>105</v>
      </c>
      <c r="V62" s="82" t="n">
        <v>45889</v>
      </c>
      <c r="W62" s="80" t="s">
        <v>185</v>
      </c>
      <c r="X62" s="80" t="s">
        <v>105</v>
      </c>
      <c r="Y62" s="80"/>
      <c r="Z62" s="80"/>
      <c r="AA62" s="82"/>
      <c r="AB62" s="80"/>
      <c r="AC62" s="80"/>
      <c r="AD62" s="80"/>
      <c r="AE62" s="80"/>
      <c r="AF62" s="82"/>
      <c r="AG62" s="80"/>
      <c r="AH62" s="80"/>
      <c r="AI62" s="82"/>
      <c r="AJ62" s="79"/>
      <c r="AK62" s="78" t="n">
        <f aca="false">IF(E62="","",(X62&lt;&gt;"")+(AC62&lt;&gt;"")+(AH62&lt;&gt;""))</f>
        <v>1</v>
      </c>
      <c r="AL62" s="81" t="str">
        <f aca="false">IF(AH62&lt;&gt;"",AH62,IF(AC62&lt;&gt;"",AC62,IF(X62&lt;&gt;"",X62,"")))</f>
        <v>A</v>
      </c>
      <c r="AM62" s="83" t="str">
        <f aca="false">IF(E62="","",IF(R62="","À SOUDER",IF(U62="","VT EN ATTENTE",IF(U62="R","VT REJETÉ – À REPRENDRE",IF(AL62="","À RADIOGRAPHIER",IF(AL62="A","ACCEPTÉ",IF(AL62="NX","NX – RT À REFAIRE",IF(IF(AK62=1,Z62,IF(AK62=2,AE62,""))="A","RÉPARÉ – À RADIOGRAPHIER",IF(IF(AK62=1,Z62,IF(AK62=2,AE62,""))="R","VT REJETÉ – À REPRENDRE",IF(OR(AL62="CO",AL62="NT"),"COUPE – À RESOUDER","À RÉPARER"))))))))))</f>
        <v>ACCEPTÉ</v>
      </c>
      <c r="AN62" s="81" t="str">
        <f aca="false">IF(AND(ISNUMBER(R62),OR(AM62="À RADIOGRAPHIER",AM62="RÉPARÉ – À RADIOGRAPHIER",AM62="NX – RT À REFAIRE",AM62="À RÉPARER",AM62="COUPE – À RESOUDER",AM62="VT REJETÉ – À REPRENDRE")),MAX(0,'PROGRAMME RT'!$C$4-R62),"")</f>
        <v/>
      </c>
      <c r="AO62" s="78" t="n">
        <f aca="false">IF(AND(OR(AM62="À RADIOGRAPHIER",AM62="RÉPARÉ – À RADIOGRAPHIER",AM62="NX – RT À REFAIRE"),OR('PROGRAMME RT'!$D$5="TOUTES",B62='PROGRAMME RT'!$D$5)),1,0)</f>
        <v>0</v>
      </c>
      <c r="AP62" s="78" t="str">
        <f aca="false">IF(AO62=1,SUM(AO$7:AO62),"")</f>
        <v/>
      </c>
      <c r="AQ62" s="78" t="n">
        <f aca="false">IF(AND(OR(X62="R",X62="NX",X62="NT",X62="CO"),OR('JOINTS DE RÉPARATION'!$D$5="TOUTES",B62='JOINTS DE RÉPARATION'!$D$5),OR('JOINTS DE RÉPARATION'!$L$4="TOUS",AM62&lt;&gt;"ACCEPTÉ")),1,0)</f>
        <v>0</v>
      </c>
      <c r="AR62" s="78" t="str">
        <f aca="false">IF(AQ62=1,SUM(AQ$7:AQ62),"")</f>
        <v/>
      </c>
    </row>
    <row r="63" customFormat="false" ht="15" hidden="false" customHeight="false" outlineLevel="0" collapsed="false">
      <c r="A63" s="78" t="n">
        <f aca="false">IF(E63="","",ROW()-6)</f>
        <v>57</v>
      </c>
      <c r="B63" s="79" t="s">
        <v>102</v>
      </c>
      <c r="C63" s="80" t="s">
        <v>231</v>
      </c>
      <c r="D63" s="80" t="s">
        <v>103</v>
      </c>
      <c r="E63" s="80" t="s">
        <v>247</v>
      </c>
      <c r="F63" s="80" t="s">
        <v>151</v>
      </c>
      <c r="G63" s="80" t="s">
        <v>106</v>
      </c>
      <c r="H63" s="80" t="n">
        <v>11</v>
      </c>
      <c r="I63" s="80" t="s">
        <v>114</v>
      </c>
      <c r="J63" s="80" t="s">
        <v>132</v>
      </c>
      <c r="K63" s="80" t="s">
        <v>246</v>
      </c>
      <c r="L63" s="84" t="n">
        <f aca="false">IF(K63="","",IFERROR(INDEX(BARDAGE!$C$7:$C$1506,MATCH(K63,BARDAGE!$B$7:$B$1506,0)),"? hors registre"))</f>
        <v>24703643</v>
      </c>
      <c r="M63" s="80" t="s">
        <v>248</v>
      </c>
      <c r="N63" s="84" t="n">
        <f aca="false">IF(M63="","",IFERROR(INDEX(BARDAGE!$C$7:$C$1506,MATCH(M63,BARDAGE!$B$7:$B$1506,0)),"? hors registre"))</f>
        <v>24703643</v>
      </c>
      <c r="O63" s="80" t="s">
        <v>141</v>
      </c>
      <c r="P63" s="80" t="s">
        <v>141</v>
      </c>
      <c r="Q63" s="80" t="s">
        <v>134</v>
      </c>
      <c r="R63" s="82" t="n">
        <v>45879</v>
      </c>
      <c r="S63" s="82" t="n">
        <v>45879</v>
      </c>
      <c r="T63" s="80" t="s">
        <v>242</v>
      </c>
      <c r="U63" s="80" t="s">
        <v>105</v>
      </c>
      <c r="V63" s="82" t="n">
        <v>45890</v>
      </c>
      <c r="W63" s="80" t="s">
        <v>249</v>
      </c>
      <c r="X63" s="80" t="s">
        <v>105</v>
      </c>
      <c r="Y63" s="80"/>
      <c r="Z63" s="80"/>
      <c r="AA63" s="82"/>
      <c r="AB63" s="80"/>
      <c r="AC63" s="80"/>
      <c r="AD63" s="80"/>
      <c r="AE63" s="80"/>
      <c r="AF63" s="82"/>
      <c r="AG63" s="80"/>
      <c r="AH63" s="80"/>
      <c r="AI63" s="82"/>
      <c r="AJ63" s="79"/>
      <c r="AK63" s="78" t="n">
        <f aca="false">IF(E63="","",(X63&lt;&gt;"")+(AC63&lt;&gt;"")+(AH63&lt;&gt;""))</f>
        <v>1</v>
      </c>
      <c r="AL63" s="81" t="str">
        <f aca="false">IF(AH63&lt;&gt;"",AH63,IF(AC63&lt;&gt;"",AC63,IF(X63&lt;&gt;"",X63,"")))</f>
        <v>A</v>
      </c>
      <c r="AM63" s="83" t="str">
        <f aca="false">IF(E63="","",IF(R63="","À SOUDER",IF(U63="","VT EN ATTENTE",IF(U63="R","VT REJETÉ – À REPRENDRE",IF(AL63="","À RADIOGRAPHIER",IF(AL63="A","ACCEPTÉ",IF(AL63="NX","NX – RT À REFAIRE",IF(IF(AK63=1,Z63,IF(AK63=2,AE63,""))="A","RÉPARÉ – À RADIOGRAPHIER",IF(IF(AK63=1,Z63,IF(AK63=2,AE63,""))="R","VT REJETÉ – À REPRENDRE",IF(OR(AL63="CO",AL63="NT"),"COUPE – À RESOUDER","À RÉPARER"))))))))))</f>
        <v>ACCEPTÉ</v>
      </c>
      <c r="AN63" s="81" t="str">
        <f aca="false">IF(AND(ISNUMBER(R63),OR(AM63="À RADIOGRAPHIER",AM63="RÉPARÉ – À RADIOGRAPHIER",AM63="NX – RT À REFAIRE",AM63="À RÉPARER",AM63="COUPE – À RESOUDER",AM63="VT REJETÉ – À REPRENDRE")),MAX(0,'PROGRAMME RT'!$C$4-R63),"")</f>
        <v/>
      </c>
      <c r="AO63" s="78" t="n">
        <f aca="false">IF(AND(OR(AM63="À RADIOGRAPHIER",AM63="RÉPARÉ – À RADIOGRAPHIER",AM63="NX – RT À REFAIRE"),OR('PROGRAMME RT'!$D$5="TOUTES",B63='PROGRAMME RT'!$D$5)),1,0)</f>
        <v>0</v>
      </c>
      <c r="AP63" s="78" t="str">
        <f aca="false">IF(AO63=1,SUM(AO$7:AO63),"")</f>
        <v/>
      </c>
      <c r="AQ63" s="78" t="n">
        <f aca="false">IF(AND(OR(X63="R",X63="NX",X63="NT",X63="CO"),OR('JOINTS DE RÉPARATION'!$D$5="TOUTES",B63='JOINTS DE RÉPARATION'!$D$5),OR('JOINTS DE RÉPARATION'!$L$4="TOUS",AM63&lt;&gt;"ACCEPTÉ")),1,0)</f>
        <v>0</v>
      </c>
      <c r="AR63" s="78" t="str">
        <f aca="false">IF(AQ63=1,SUM(AQ$7:AQ63),"")</f>
        <v/>
      </c>
    </row>
    <row r="64" customFormat="false" ht="15" hidden="false" customHeight="false" outlineLevel="0" collapsed="false">
      <c r="A64" s="78" t="n">
        <f aca="false">IF(E64="","",ROW()-6)</f>
        <v>58</v>
      </c>
      <c r="B64" s="79" t="s">
        <v>102</v>
      </c>
      <c r="C64" s="80" t="s">
        <v>231</v>
      </c>
      <c r="D64" s="80" t="s">
        <v>103</v>
      </c>
      <c r="E64" s="80" t="s">
        <v>250</v>
      </c>
      <c r="F64" s="80" t="s">
        <v>151</v>
      </c>
      <c r="G64" s="80" t="s">
        <v>106</v>
      </c>
      <c r="H64" s="80" t="n">
        <v>11</v>
      </c>
      <c r="I64" s="80" t="s">
        <v>114</v>
      </c>
      <c r="J64" s="80" t="s">
        <v>132</v>
      </c>
      <c r="K64" s="80" t="s">
        <v>248</v>
      </c>
      <c r="L64" s="84" t="n">
        <f aca="false">IF(K64="","",IFERROR(INDEX(BARDAGE!$C$7:$C$1506,MATCH(K64,BARDAGE!$B$7:$B$1506,0)),"? hors registre"))</f>
        <v>24703643</v>
      </c>
      <c r="M64" s="80" t="s">
        <v>251</v>
      </c>
      <c r="N64" s="84" t="n">
        <f aca="false">IF(M64="","",IFERROR(INDEX(BARDAGE!$C$7:$C$1506,MATCH(M64,BARDAGE!$B$7:$B$1506,0)),"? hors registre"))</f>
        <v>24703643</v>
      </c>
      <c r="O64" s="80" t="s">
        <v>141</v>
      </c>
      <c r="P64" s="80" t="s">
        <v>141</v>
      </c>
      <c r="Q64" s="80" t="s">
        <v>125</v>
      </c>
      <c r="R64" s="82" t="n">
        <v>45879</v>
      </c>
      <c r="S64" s="82" t="n">
        <v>45879</v>
      </c>
      <c r="T64" s="80" t="s">
        <v>242</v>
      </c>
      <c r="U64" s="80" t="s">
        <v>105</v>
      </c>
      <c r="V64" s="82" t="n">
        <v>45890</v>
      </c>
      <c r="W64" s="80" t="s">
        <v>249</v>
      </c>
      <c r="X64" s="80" t="s">
        <v>105</v>
      </c>
      <c r="Y64" s="80"/>
      <c r="Z64" s="80"/>
      <c r="AA64" s="82"/>
      <c r="AB64" s="80"/>
      <c r="AC64" s="80"/>
      <c r="AD64" s="80"/>
      <c r="AE64" s="80"/>
      <c r="AF64" s="82"/>
      <c r="AG64" s="80"/>
      <c r="AH64" s="80"/>
      <c r="AI64" s="82"/>
      <c r="AJ64" s="79"/>
      <c r="AK64" s="78" t="n">
        <f aca="false">IF(E64="","",(X64&lt;&gt;"")+(AC64&lt;&gt;"")+(AH64&lt;&gt;""))</f>
        <v>1</v>
      </c>
      <c r="AL64" s="81" t="str">
        <f aca="false">IF(AH64&lt;&gt;"",AH64,IF(AC64&lt;&gt;"",AC64,IF(X64&lt;&gt;"",X64,"")))</f>
        <v>A</v>
      </c>
      <c r="AM64" s="83" t="str">
        <f aca="false">IF(E64="","",IF(R64="","À SOUDER",IF(U64="","VT EN ATTENTE",IF(U64="R","VT REJETÉ – À REPRENDRE",IF(AL64="","À RADIOGRAPHIER",IF(AL64="A","ACCEPTÉ",IF(AL64="NX","NX – RT À REFAIRE",IF(IF(AK64=1,Z64,IF(AK64=2,AE64,""))="A","RÉPARÉ – À RADIOGRAPHIER",IF(IF(AK64=1,Z64,IF(AK64=2,AE64,""))="R","VT REJETÉ – À REPRENDRE",IF(OR(AL64="CO",AL64="NT"),"COUPE – À RESOUDER","À RÉPARER"))))))))))</f>
        <v>ACCEPTÉ</v>
      </c>
      <c r="AN64" s="81" t="str">
        <f aca="false">IF(AND(ISNUMBER(R64),OR(AM64="À RADIOGRAPHIER",AM64="RÉPARÉ – À RADIOGRAPHIER",AM64="NX – RT À REFAIRE",AM64="À RÉPARER",AM64="COUPE – À RESOUDER",AM64="VT REJETÉ – À REPRENDRE")),MAX(0,'PROGRAMME RT'!$C$4-R64),"")</f>
        <v/>
      </c>
      <c r="AO64" s="78" t="n">
        <f aca="false">IF(AND(OR(AM64="À RADIOGRAPHIER",AM64="RÉPARÉ – À RADIOGRAPHIER",AM64="NX – RT À REFAIRE"),OR('PROGRAMME RT'!$D$5="TOUTES",B64='PROGRAMME RT'!$D$5)),1,0)</f>
        <v>0</v>
      </c>
      <c r="AP64" s="78" t="str">
        <f aca="false">IF(AO64=1,SUM(AO$7:AO64),"")</f>
        <v/>
      </c>
      <c r="AQ64" s="78" t="n">
        <f aca="false">IF(AND(OR(X64="R",X64="NX",X64="NT",X64="CO"),OR('JOINTS DE RÉPARATION'!$D$5="TOUTES",B64='JOINTS DE RÉPARATION'!$D$5),OR('JOINTS DE RÉPARATION'!$L$4="TOUS",AM64&lt;&gt;"ACCEPTÉ")),1,0)</f>
        <v>0</v>
      </c>
      <c r="AR64" s="78" t="str">
        <f aca="false">IF(AQ64=1,SUM(AQ$7:AQ64),"")</f>
        <v/>
      </c>
    </row>
    <row r="65" customFormat="false" ht="15" hidden="false" customHeight="false" outlineLevel="0" collapsed="false">
      <c r="A65" s="78" t="n">
        <f aca="false">IF(E65="","",ROW()-6)</f>
        <v>59</v>
      </c>
      <c r="B65" s="79" t="s">
        <v>102</v>
      </c>
      <c r="C65" s="80" t="s">
        <v>231</v>
      </c>
      <c r="D65" s="80" t="s">
        <v>103</v>
      </c>
      <c r="E65" s="80" t="s">
        <v>252</v>
      </c>
      <c r="F65" s="80" t="s">
        <v>151</v>
      </c>
      <c r="G65" s="80" t="s">
        <v>106</v>
      </c>
      <c r="H65" s="80" t="n">
        <v>11</v>
      </c>
      <c r="I65" s="80" t="s">
        <v>114</v>
      </c>
      <c r="J65" s="80" t="s">
        <v>132</v>
      </c>
      <c r="K65" s="80" t="s">
        <v>251</v>
      </c>
      <c r="L65" s="84" t="n">
        <f aca="false">IF(K65="","",IFERROR(INDEX(BARDAGE!$C$7:$C$1506,MATCH(K65,BARDAGE!$B$7:$B$1506,0)),"? hors registre"))</f>
        <v>24703643</v>
      </c>
      <c r="M65" s="80" t="s">
        <v>253</v>
      </c>
      <c r="N65" s="84" t="n">
        <f aca="false">IF(M65="","",IFERROR(INDEX(BARDAGE!$C$7:$C$1506,MATCH(M65,BARDAGE!$B$7:$B$1506,0)),"? hors registre"))</f>
        <v>24703645</v>
      </c>
      <c r="O65" s="80" t="s">
        <v>141</v>
      </c>
      <c r="P65" s="80" t="s">
        <v>141</v>
      </c>
      <c r="Q65" s="80" t="s">
        <v>134</v>
      </c>
      <c r="R65" s="82" t="n">
        <v>45879</v>
      </c>
      <c r="S65" s="82" t="n">
        <v>45879</v>
      </c>
      <c r="T65" s="80" t="s">
        <v>242</v>
      </c>
      <c r="U65" s="80" t="s">
        <v>105</v>
      </c>
      <c r="V65" s="82" t="n">
        <v>45890</v>
      </c>
      <c r="W65" s="80" t="s">
        <v>249</v>
      </c>
      <c r="X65" s="80" t="s">
        <v>105</v>
      </c>
      <c r="Y65" s="80"/>
      <c r="Z65" s="80"/>
      <c r="AA65" s="82"/>
      <c r="AB65" s="80"/>
      <c r="AC65" s="80"/>
      <c r="AD65" s="80"/>
      <c r="AE65" s="80"/>
      <c r="AF65" s="82"/>
      <c r="AG65" s="80"/>
      <c r="AH65" s="80"/>
      <c r="AI65" s="82"/>
      <c r="AJ65" s="79"/>
      <c r="AK65" s="78" t="n">
        <f aca="false">IF(E65="","",(X65&lt;&gt;"")+(AC65&lt;&gt;"")+(AH65&lt;&gt;""))</f>
        <v>1</v>
      </c>
      <c r="AL65" s="81" t="str">
        <f aca="false">IF(AH65&lt;&gt;"",AH65,IF(AC65&lt;&gt;"",AC65,IF(X65&lt;&gt;"",X65,"")))</f>
        <v>A</v>
      </c>
      <c r="AM65" s="83" t="str">
        <f aca="false">IF(E65="","",IF(R65="","À SOUDER",IF(U65="","VT EN ATTENTE",IF(U65="R","VT REJETÉ – À REPRENDRE",IF(AL65="","À RADIOGRAPHIER",IF(AL65="A","ACCEPTÉ",IF(AL65="NX","NX – RT À REFAIRE",IF(IF(AK65=1,Z65,IF(AK65=2,AE65,""))="A","RÉPARÉ – À RADIOGRAPHIER",IF(IF(AK65=1,Z65,IF(AK65=2,AE65,""))="R","VT REJETÉ – À REPRENDRE",IF(OR(AL65="CO",AL65="NT"),"COUPE – À RESOUDER","À RÉPARER"))))))))))</f>
        <v>ACCEPTÉ</v>
      </c>
      <c r="AN65" s="81" t="str">
        <f aca="false">IF(AND(ISNUMBER(R65),OR(AM65="À RADIOGRAPHIER",AM65="RÉPARÉ – À RADIOGRAPHIER",AM65="NX – RT À REFAIRE",AM65="À RÉPARER",AM65="COUPE – À RESOUDER",AM65="VT REJETÉ – À REPRENDRE")),MAX(0,'PROGRAMME RT'!$C$4-R65),"")</f>
        <v/>
      </c>
      <c r="AO65" s="78" t="n">
        <f aca="false">IF(AND(OR(AM65="À RADIOGRAPHIER",AM65="RÉPARÉ – À RADIOGRAPHIER",AM65="NX – RT À REFAIRE"),OR('PROGRAMME RT'!$D$5="TOUTES",B65='PROGRAMME RT'!$D$5)),1,0)</f>
        <v>0</v>
      </c>
      <c r="AP65" s="78" t="str">
        <f aca="false">IF(AO65=1,SUM(AO$7:AO65),"")</f>
        <v/>
      </c>
      <c r="AQ65" s="78" t="n">
        <f aca="false">IF(AND(OR(X65="R",X65="NX",X65="NT",X65="CO"),OR('JOINTS DE RÉPARATION'!$D$5="TOUTES",B65='JOINTS DE RÉPARATION'!$D$5),OR('JOINTS DE RÉPARATION'!$L$4="TOUS",AM65&lt;&gt;"ACCEPTÉ")),1,0)</f>
        <v>0</v>
      </c>
      <c r="AR65" s="78" t="str">
        <f aca="false">IF(AQ65=1,SUM(AQ$7:AQ65),"")</f>
        <v/>
      </c>
    </row>
    <row r="66" customFormat="false" ht="15" hidden="false" customHeight="false" outlineLevel="0" collapsed="false">
      <c r="A66" s="78" t="n">
        <f aca="false">IF(E66="","",ROW()-6)</f>
        <v>60</v>
      </c>
      <c r="B66" s="79" t="s">
        <v>102</v>
      </c>
      <c r="C66" s="80" t="s">
        <v>231</v>
      </c>
      <c r="D66" s="80" t="s">
        <v>103</v>
      </c>
      <c r="E66" s="80" t="s">
        <v>254</v>
      </c>
      <c r="F66" s="80" t="s">
        <v>151</v>
      </c>
      <c r="G66" s="80" t="s">
        <v>106</v>
      </c>
      <c r="H66" s="80" t="n">
        <v>11</v>
      </c>
      <c r="I66" s="80" t="s">
        <v>114</v>
      </c>
      <c r="J66" s="80" t="s">
        <v>132</v>
      </c>
      <c r="K66" s="80" t="s">
        <v>253</v>
      </c>
      <c r="L66" s="84" t="n">
        <f aca="false">IF(K66="","",IFERROR(INDEX(BARDAGE!$C$7:$C$1506,MATCH(K66,BARDAGE!$B$7:$B$1506,0)),"? hors registre"))</f>
        <v>24703645</v>
      </c>
      <c r="M66" s="80" t="s">
        <v>255</v>
      </c>
      <c r="N66" s="84" t="n">
        <f aca="false">IF(M66="","",IFERROR(INDEX(BARDAGE!$C$7:$C$1506,MATCH(M66,BARDAGE!$B$7:$B$1506,0)),"? hors registre"))</f>
        <v>24803600</v>
      </c>
      <c r="O66" s="80" t="s">
        <v>141</v>
      </c>
      <c r="P66" s="80" t="s">
        <v>141</v>
      </c>
      <c r="Q66" s="80" t="s">
        <v>125</v>
      </c>
      <c r="R66" s="82" t="n">
        <v>45879</v>
      </c>
      <c r="S66" s="82" t="n">
        <v>45879</v>
      </c>
      <c r="T66" s="80" t="s">
        <v>242</v>
      </c>
      <c r="U66" s="80" t="s">
        <v>105</v>
      </c>
      <c r="V66" s="82" t="n">
        <v>45890</v>
      </c>
      <c r="W66" s="80" t="s">
        <v>249</v>
      </c>
      <c r="X66" s="80" t="s">
        <v>105</v>
      </c>
      <c r="Y66" s="80"/>
      <c r="Z66" s="80"/>
      <c r="AA66" s="82"/>
      <c r="AB66" s="80"/>
      <c r="AC66" s="80"/>
      <c r="AD66" s="80"/>
      <c r="AE66" s="80"/>
      <c r="AF66" s="82"/>
      <c r="AG66" s="80"/>
      <c r="AH66" s="80"/>
      <c r="AI66" s="82"/>
      <c r="AJ66" s="79"/>
      <c r="AK66" s="78" t="n">
        <f aca="false">IF(E66="","",(X66&lt;&gt;"")+(AC66&lt;&gt;"")+(AH66&lt;&gt;""))</f>
        <v>1</v>
      </c>
      <c r="AL66" s="81" t="str">
        <f aca="false">IF(AH66&lt;&gt;"",AH66,IF(AC66&lt;&gt;"",AC66,IF(X66&lt;&gt;"",X66,"")))</f>
        <v>A</v>
      </c>
      <c r="AM66" s="83" t="str">
        <f aca="false">IF(E66="","",IF(R66="","À SOUDER",IF(U66="","VT EN ATTENTE",IF(U66="R","VT REJETÉ – À REPRENDRE",IF(AL66="","À RADIOGRAPHIER",IF(AL66="A","ACCEPTÉ",IF(AL66="NX","NX – RT À REFAIRE",IF(IF(AK66=1,Z66,IF(AK66=2,AE66,""))="A","RÉPARÉ – À RADIOGRAPHIER",IF(IF(AK66=1,Z66,IF(AK66=2,AE66,""))="R","VT REJETÉ – À REPRENDRE",IF(OR(AL66="CO",AL66="NT"),"COUPE – À RESOUDER","À RÉPARER"))))))))))</f>
        <v>ACCEPTÉ</v>
      </c>
      <c r="AN66" s="81" t="str">
        <f aca="false">IF(AND(ISNUMBER(R66),OR(AM66="À RADIOGRAPHIER",AM66="RÉPARÉ – À RADIOGRAPHIER",AM66="NX – RT À REFAIRE",AM66="À RÉPARER",AM66="COUPE – À RESOUDER",AM66="VT REJETÉ – À REPRENDRE")),MAX(0,'PROGRAMME RT'!$C$4-R66),"")</f>
        <v/>
      </c>
      <c r="AO66" s="78" t="n">
        <f aca="false">IF(AND(OR(AM66="À RADIOGRAPHIER",AM66="RÉPARÉ – À RADIOGRAPHIER",AM66="NX – RT À REFAIRE"),OR('PROGRAMME RT'!$D$5="TOUTES",B66='PROGRAMME RT'!$D$5)),1,0)</f>
        <v>0</v>
      </c>
      <c r="AP66" s="78" t="str">
        <f aca="false">IF(AO66=1,SUM(AO$7:AO66),"")</f>
        <v/>
      </c>
      <c r="AQ66" s="78" t="n">
        <f aca="false">IF(AND(OR(X66="R",X66="NX",X66="NT",X66="CO"),OR('JOINTS DE RÉPARATION'!$D$5="TOUTES",B66='JOINTS DE RÉPARATION'!$D$5),OR('JOINTS DE RÉPARATION'!$L$4="TOUS",AM66&lt;&gt;"ACCEPTÉ")),1,0)</f>
        <v>0</v>
      </c>
      <c r="AR66" s="78" t="str">
        <f aca="false">IF(AQ66=1,SUM(AQ$7:AQ66),"")</f>
        <v/>
      </c>
    </row>
    <row r="67" customFormat="false" ht="15" hidden="false" customHeight="false" outlineLevel="0" collapsed="false">
      <c r="A67" s="78" t="n">
        <f aca="false">IF(E67="","",ROW()-6)</f>
        <v>61</v>
      </c>
      <c r="B67" s="79" t="s">
        <v>102</v>
      </c>
      <c r="C67" s="80" t="s">
        <v>231</v>
      </c>
      <c r="D67" s="80" t="s">
        <v>103</v>
      </c>
      <c r="E67" s="80" t="s">
        <v>256</v>
      </c>
      <c r="F67" s="80" t="s">
        <v>151</v>
      </c>
      <c r="G67" s="80" t="s">
        <v>106</v>
      </c>
      <c r="H67" s="80" t="n">
        <v>11</v>
      </c>
      <c r="I67" s="80" t="s">
        <v>114</v>
      </c>
      <c r="J67" s="80" t="s">
        <v>132</v>
      </c>
      <c r="K67" s="80" t="s">
        <v>255</v>
      </c>
      <c r="L67" s="84" t="n">
        <f aca="false">IF(K67="","",IFERROR(INDEX(BARDAGE!$C$7:$C$1506,MATCH(K67,BARDAGE!$B$7:$B$1506,0)),"? hors registre"))</f>
        <v>24803600</v>
      </c>
      <c r="M67" s="80" t="s">
        <v>257</v>
      </c>
      <c r="N67" s="84" t="n">
        <f aca="false">IF(M67="","",IFERROR(INDEX(BARDAGE!$C$7:$C$1506,MATCH(M67,BARDAGE!$B$7:$B$1506,0)),"? hors registre"))</f>
        <v>24803600</v>
      </c>
      <c r="O67" s="80" t="s">
        <v>141</v>
      </c>
      <c r="P67" s="80" t="s">
        <v>141</v>
      </c>
      <c r="Q67" s="80" t="s">
        <v>134</v>
      </c>
      <c r="R67" s="82" t="n">
        <v>45879</v>
      </c>
      <c r="S67" s="82" t="n">
        <v>45879</v>
      </c>
      <c r="T67" s="80" t="s">
        <v>242</v>
      </c>
      <c r="U67" s="80" t="s">
        <v>105</v>
      </c>
      <c r="V67" s="82" t="n">
        <v>45880</v>
      </c>
      <c r="W67" s="80" t="s">
        <v>258</v>
      </c>
      <c r="X67" s="80" t="s">
        <v>105</v>
      </c>
      <c r="Y67" s="80"/>
      <c r="Z67" s="80"/>
      <c r="AA67" s="82"/>
      <c r="AB67" s="80"/>
      <c r="AC67" s="80"/>
      <c r="AD67" s="80"/>
      <c r="AE67" s="80"/>
      <c r="AF67" s="82"/>
      <c r="AG67" s="80"/>
      <c r="AH67" s="80"/>
      <c r="AI67" s="82"/>
      <c r="AJ67" s="79"/>
      <c r="AK67" s="78" t="n">
        <f aca="false">IF(E67="","",(X67&lt;&gt;"")+(AC67&lt;&gt;"")+(AH67&lt;&gt;""))</f>
        <v>1</v>
      </c>
      <c r="AL67" s="81" t="str">
        <f aca="false">IF(AH67&lt;&gt;"",AH67,IF(AC67&lt;&gt;"",AC67,IF(X67&lt;&gt;"",X67,"")))</f>
        <v>A</v>
      </c>
      <c r="AM67" s="83" t="str">
        <f aca="false">IF(E67="","",IF(R67="","À SOUDER",IF(U67="","VT EN ATTENTE",IF(U67="R","VT REJETÉ – À REPRENDRE",IF(AL67="","À RADIOGRAPHIER",IF(AL67="A","ACCEPTÉ",IF(AL67="NX","NX – RT À REFAIRE",IF(IF(AK67=1,Z67,IF(AK67=2,AE67,""))="A","RÉPARÉ – À RADIOGRAPHIER",IF(IF(AK67=1,Z67,IF(AK67=2,AE67,""))="R","VT REJETÉ – À REPRENDRE",IF(OR(AL67="CO",AL67="NT"),"COUPE – À RESOUDER","À RÉPARER"))))))))))</f>
        <v>ACCEPTÉ</v>
      </c>
      <c r="AN67" s="81" t="str">
        <f aca="false">IF(AND(ISNUMBER(R67),OR(AM67="À RADIOGRAPHIER",AM67="RÉPARÉ – À RADIOGRAPHIER",AM67="NX – RT À REFAIRE",AM67="À RÉPARER",AM67="COUPE – À RESOUDER",AM67="VT REJETÉ – À REPRENDRE")),MAX(0,'PROGRAMME RT'!$C$4-R67),"")</f>
        <v/>
      </c>
      <c r="AO67" s="78" t="n">
        <f aca="false">IF(AND(OR(AM67="À RADIOGRAPHIER",AM67="RÉPARÉ – À RADIOGRAPHIER",AM67="NX – RT À REFAIRE"),OR('PROGRAMME RT'!$D$5="TOUTES",B67='PROGRAMME RT'!$D$5)),1,0)</f>
        <v>0</v>
      </c>
      <c r="AP67" s="78" t="str">
        <f aca="false">IF(AO67=1,SUM(AO$7:AO67),"")</f>
        <v/>
      </c>
      <c r="AQ67" s="78" t="n">
        <f aca="false">IF(AND(OR(X67="R",X67="NX",X67="NT",X67="CO"),OR('JOINTS DE RÉPARATION'!$D$5="TOUTES",B67='JOINTS DE RÉPARATION'!$D$5),OR('JOINTS DE RÉPARATION'!$L$4="TOUS",AM67&lt;&gt;"ACCEPTÉ")),1,0)</f>
        <v>0</v>
      </c>
      <c r="AR67" s="78" t="str">
        <f aca="false">IF(AQ67=1,SUM(AQ$7:AQ67),"")</f>
        <v/>
      </c>
    </row>
    <row r="68" customFormat="false" ht="15" hidden="false" customHeight="false" outlineLevel="0" collapsed="false">
      <c r="A68" s="78" t="n">
        <f aca="false">IF(E68="","",ROW()-6)</f>
        <v>62</v>
      </c>
      <c r="B68" s="79" t="s">
        <v>102</v>
      </c>
      <c r="C68" s="80" t="s">
        <v>231</v>
      </c>
      <c r="D68" s="80" t="s">
        <v>103</v>
      </c>
      <c r="E68" s="80" t="s">
        <v>259</v>
      </c>
      <c r="F68" s="80" t="s">
        <v>151</v>
      </c>
      <c r="G68" s="80" t="s">
        <v>106</v>
      </c>
      <c r="H68" s="80" t="n">
        <v>11</v>
      </c>
      <c r="I68" s="80" t="s">
        <v>114</v>
      </c>
      <c r="J68" s="80" t="s">
        <v>132</v>
      </c>
      <c r="K68" s="80" t="s">
        <v>257</v>
      </c>
      <c r="L68" s="84" t="n">
        <f aca="false">IF(K68="","",IFERROR(INDEX(BARDAGE!$C$7:$C$1506,MATCH(K68,BARDAGE!$B$7:$B$1506,0)),"? hors registre"))</f>
        <v>24803600</v>
      </c>
      <c r="M68" s="80" t="s">
        <v>260</v>
      </c>
      <c r="N68" s="84" t="n">
        <f aca="false">IF(M68="","",IFERROR(INDEX(BARDAGE!$C$7:$C$1506,MATCH(M68,BARDAGE!$B$7:$B$1506,0)),"? hors registre"))</f>
        <v>24703636</v>
      </c>
      <c r="O68" s="80" t="s">
        <v>141</v>
      </c>
      <c r="P68" s="80" t="s">
        <v>141</v>
      </c>
      <c r="Q68" s="80" t="s">
        <v>125</v>
      </c>
      <c r="R68" s="82" t="n">
        <v>45879</v>
      </c>
      <c r="S68" s="82" t="n">
        <v>45879</v>
      </c>
      <c r="T68" s="80" t="s">
        <v>242</v>
      </c>
      <c r="U68" s="80" t="s">
        <v>105</v>
      </c>
      <c r="V68" s="82" t="n">
        <v>45880</v>
      </c>
      <c r="W68" s="80" t="s">
        <v>258</v>
      </c>
      <c r="X68" s="80" t="s">
        <v>105</v>
      </c>
      <c r="Y68" s="80"/>
      <c r="Z68" s="80"/>
      <c r="AA68" s="82"/>
      <c r="AB68" s="80"/>
      <c r="AC68" s="80"/>
      <c r="AD68" s="80"/>
      <c r="AE68" s="80"/>
      <c r="AF68" s="82"/>
      <c r="AG68" s="80"/>
      <c r="AH68" s="80"/>
      <c r="AI68" s="82"/>
      <c r="AJ68" s="79"/>
      <c r="AK68" s="78" t="n">
        <f aca="false">IF(E68="","",(X68&lt;&gt;"")+(AC68&lt;&gt;"")+(AH68&lt;&gt;""))</f>
        <v>1</v>
      </c>
      <c r="AL68" s="81" t="str">
        <f aca="false">IF(AH68&lt;&gt;"",AH68,IF(AC68&lt;&gt;"",AC68,IF(X68&lt;&gt;"",X68,"")))</f>
        <v>A</v>
      </c>
      <c r="AM68" s="83" t="str">
        <f aca="false">IF(E68="","",IF(R68="","À SOUDER",IF(U68="","VT EN ATTENTE",IF(U68="R","VT REJETÉ – À REPRENDRE",IF(AL68="","À RADIOGRAPHIER",IF(AL68="A","ACCEPTÉ",IF(AL68="NX","NX – RT À REFAIRE",IF(IF(AK68=1,Z68,IF(AK68=2,AE68,""))="A","RÉPARÉ – À RADIOGRAPHIER",IF(IF(AK68=1,Z68,IF(AK68=2,AE68,""))="R","VT REJETÉ – À REPRENDRE",IF(OR(AL68="CO",AL68="NT"),"COUPE – À RESOUDER","À RÉPARER"))))))))))</f>
        <v>ACCEPTÉ</v>
      </c>
      <c r="AN68" s="81" t="str">
        <f aca="false">IF(AND(ISNUMBER(R68),OR(AM68="À RADIOGRAPHIER",AM68="RÉPARÉ – À RADIOGRAPHIER",AM68="NX – RT À REFAIRE",AM68="À RÉPARER",AM68="COUPE – À RESOUDER",AM68="VT REJETÉ – À REPRENDRE")),MAX(0,'PROGRAMME RT'!$C$4-R68),"")</f>
        <v/>
      </c>
      <c r="AO68" s="78" t="n">
        <f aca="false">IF(AND(OR(AM68="À RADIOGRAPHIER",AM68="RÉPARÉ – À RADIOGRAPHIER",AM68="NX – RT À REFAIRE"),OR('PROGRAMME RT'!$D$5="TOUTES",B68='PROGRAMME RT'!$D$5)),1,0)</f>
        <v>0</v>
      </c>
      <c r="AP68" s="78" t="str">
        <f aca="false">IF(AO68=1,SUM(AO$7:AO68),"")</f>
        <v/>
      </c>
      <c r="AQ68" s="78" t="n">
        <f aca="false">IF(AND(OR(X68="R",X68="NX",X68="NT",X68="CO"),OR('JOINTS DE RÉPARATION'!$D$5="TOUTES",B68='JOINTS DE RÉPARATION'!$D$5),OR('JOINTS DE RÉPARATION'!$L$4="TOUS",AM68&lt;&gt;"ACCEPTÉ")),1,0)</f>
        <v>0</v>
      </c>
      <c r="AR68" s="78" t="str">
        <f aca="false">IF(AQ68=1,SUM(AQ$7:AQ68),"")</f>
        <v/>
      </c>
    </row>
    <row r="69" customFormat="false" ht="15" hidden="false" customHeight="false" outlineLevel="0" collapsed="false">
      <c r="A69" s="78" t="n">
        <f aca="false">IF(E69="","",ROW()-6)</f>
        <v>63</v>
      </c>
      <c r="B69" s="79" t="s">
        <v>102</v>
      </c>
      <c r="C69" s="80" t="s">
        <v>231</v>
      </c>
      <c r="D69" s="80" t="s">
        <v>103</v>
      </c>
      <c r="E69" s="80" t="s">
        <v>261</v>
      </c>
      <c r="F69" s="80" t="s">
        <v>151</v>
      </c>
      <c r="G69" s="80" t="s">
        <v>106</v>
      </c>
      <c r="H69" s="80" t="n">
        <v>11</v>
      </c>
      <c r="I69" s="80" t="s">
        <v>114</v>
      </c>
      <c r="J69" s="80" t="s">
        <v>132</v>
      </c>
      <c r="K69" s="80" t="s">
        <v>260</v>
      </c>
      <c r="L69" s="84" t="n">
        <f aca="false">IF(K69="","",IFERROR(INDEX(BARDAGE!$C$7:$C$1506,MATCH(K69,BARDAGE!$B$7:$B$1506,0)),"? hors registre"))</f>
        <v>24703636</v>
      </c>
      <c r="M69" s="80" t="s">
        <v>262</v>
      </c>
      <c r="N69" s="84" t="n">
        <f aca="false">IF(M69="","",IFERROR(INDEX(BARDAGE!$C$7:$C$1506,MATCH(M69,BARDAGE!$B$7:$B$1506,0)),"? hors registre"))</f>
        <v>24803600</v>
      </c>
      <c r="O69" s="80" t="s">
        <v>141</v>
      </c>
      <c r="P69" s="80" t="s">
        <v>141</v>
      </c>
      <c r="Q69" s="80" t="s">
        <v>134</v>
      </c>
      <c r="R69" s="82" t="n">
        <v>45879</v>
      </c>
      <c r="S69" s="82" t="n">
        <v>45879</v>
      </c>
      <c r="T69" s="80" t="s">
        <v>242</v>
      </c>
      <c r="U69" s="80" t="s">
        <v>105</v>
      </c>
      <c r="V69" s="82" t="n">
        <v>45880</v>
      </c>
      <c r="W69" s="80" t="s">
        <v>258</v>
      </c>
      <c r="X69" s="80" t="s">
        <v>105</v>
      </c>
      <c r="Y69" s="80"/>
      <c r="Z69" s="80"/>
      <c r="AA69" s="82"/>
      <c r="AB69" s="80"/>
      <c r="AC69" s="80"/>
      <c r="AD69" s="80"/>
      <c r="AE69" s="80"/>
      <c r="AF69" s="82"/>
      <c r="AG69" s="80"/>
      <c r="AH69" s="80"/>
      <c r="AI69" s="82"/>
      <c r="AJ69" s="79"/>
      <c r="AK69" s="78" t="n">
        <f aca="false">IF(E69="","",(X69&lt;&gt;"")+(AC69&lt;&gt;"")+(AH69&lt;&gt;""))</f>
        <v>1</v>
      </c>
      <c r="AL69" s="81" t="str">
        <f aca="false">IF(AH69&lt;&gt;"",AH69,IF(AC69&lt;&gt;"",AC69,IF(X69&lt;&gt;"",X69,"")))</f>
        <v>A</v>
      </c>
      <c r="AM69" s="83" t="str">
        <f aca="false">IF(E69="","",IF(R69="","À SOUDER",IF(U69="","VT EN ATTENTE",IF(U69="R","VT REJETÉ – À REPRENDRE",IF(AL69="","À RADIOGRAPHIER",IF(AL69="A","ACCEPTÉ",IF(AL69="NX","NX – RT À REFAIRE",IF(IF(AK69=1,Z69,IF(AK69=2,AE69,""))="A","RÉPARÉ – À RADIOGRAPHIER",IF(IF(AK69=1,Z69,IF(AK69=2,AE69,""))="R","VT REJETÉ – À REPRENDRE",IF(OR(AL69="CO",AL69="NT"),"COUPE – À RESOUDER","À RÉPARER"))))))))))</f>
        <v>ACCEPTÉ</v>
      </c>
      <c r="AN69" s="81" t="str">
        <f aca="false">IF(AND(ISNUMBER(R69),OR(AM69="À RADIOGRAPHIER",AM69="RÉPARÉ – À RADIOGRAPHIER",AM69="NX – RT À REFAIRE",AM69="À RÉPARER",AM69="COUPE – À RESOUDER",AM69="VT REJETÉ – À REPRENDRE")),MAX(0,'PROGRAMME RT'!$C$4-R69),"")</f>
        <v/>
      </c>
      <c r="AO69" s="78" t="n">
        <f aca="false">IF(AND(OR(AM69="À RADIOGRAPHIER",AM69="RÉPARÉ – À RADIOGRAPHIER",AM69="NX – RT À REFAIRE"),OR('PROGRAMME RT'!$D$5="TOUTES",B69='PROGRAMME RT'!$D$5)),1,0)</f>
        <v>0</v>
      </c>
      <c r="AP69" s="78" t="str">
        <f aca="false">IF(AO69=1,SUM(AO$7:AO69),"")</f>
        <v/>
      </c>
      <c r="AQ69" s="78" t="n">
        <f aca="false">IF(AND(OR(X69="R",X69="NX",X69="NT",X69="CO"),OR('JOINTS DE RÉPARATION'!$D$5="TOUTES",B69='JOINTS DE RÉPARATION'!$D$5),OR('JOINTS DE RÉPARATION'!$L$4="TOUS",AM69&lt;&gt;"ACCEPTÉ")),1,0)</f>
        <v>0</v>
      </c>
      <c r="AR69" s="78" t="str">
        <f aca="false">IF(AQ69=1,SUM(AQ$7:AQ69),"")</f>
        <v/>
      </c>
    </row>
    <row r="70" customFormat="false" ht="15" hidden="false" customHeight="false" outlineLevel="0" collapsed="false">
      <c r="A70" s="78" t="n">
        <f aca="false">IF(E70="","",ROW()-6)</f>
        <v>64</v>
      </c>
      <c r="B70" s="79" t="s">
        <v>102</v>
      </c>
      <c r="C70" s="80" t="s">
        <v>231</v>
      </c>
      <c r="D70" s="80" t="s">
        <v>103</v>
      </c>
      <c r="E70" s="80" t="s">
        <v>263</v>
      </c>
      <c r="F70" s="80" t="s">
        <v>151</v>
      </c>
      <c r="G70" s="80" t="s">
        <v>106</v>
      </c>
      <c r="H70" s="80" t="n">
        <v>11</v>
      </c>
      <c r="I70" s="80" t="s">
        <v>114</v>
      </c>
      <c r="J70" s="80" t="s">
        <v>132</v>
      </c>
      <c r="K70" s="80" t="s">
        <v>262</v>
      </c>
      <c r="L70" s="84" t="n">
        <f aca="false">IF(K70="","",IFERROR(INDEX(BARDAGE!$C$7:$C$1506,MATCH(K70,BARDAGE!$B$7:$B$1506,0)),"? hors registre"))</f>
        <v>24803600</v>
      </c>
      <c r="M70" s="80" t="s">
        <v>264</v>
      </c>
      <c r="N70" s="84" t="n">
        <f aca="false">IF(M70="","",IFERROR(INDEX(BARDAGE!$C$7:$C$1506,MATCH(M70,BARDAGE!$B$7:$B$1506,0)),"? hors registre"))</f>
        <v>24703643</v>
      </c>
      <c r="O70" s="80" t="s">
        <v>141</v>
      </c>
      <c r="P70" s="80" t="s">
        <v>141</v>
      </c>
      <c r="Q70" s="80" t="s">
        <v>125</v>
      </c>
      <c r="R70" s="82" t="n">
        <v>45879</v>
      </c>
      <c r="S70" s="82" t="n">
        <v>45879</v>
      </c>
      <c r="T70" s="80" t="s">
        <v>242</v>
      </c>
      <c r="U70" s="80" t="s">
        <v>105</v>
      </c>
      <c r="V70" s="82" t="n">
        <v>45890</v>
      </c>
      <c r="W70" s="80" t="s">
        <v>249</v>
      </c>
      <c r="X70" s="80" t="s">
        <v>265</v>
      </c>
      <c r="Y70" s="80" t="s">
        <v>204</v>
      </c>
      <c r="Z70" s="80" t="s">
        <v>105</v>
      </c>
      <c r="AA70" s="82" t="n">
        <v>45893</v>
      </c>
      <c r="AB70" s="80" t="s">
        <v>136</v>
      </c>
      <c r="AC70" s="80" t="s">
        <v>105</v>
      </c>
      <c r="AD70" s="80"/>
      <c r="AE70" s="80"/>
      <c r="AF70" s="82"/>
      <c r="AG70" s="80"/>
      <c r="AH70" s="80"/>
      <c r="AI70" s="82"/>
      <c r="AJ70" s="79"/>
      <c r="AK70" s="78" t="n">
        <f aca="false">IF(E70="","",(X70&lt;&gt;"")+(AC70&lt;&gt;"")+(AH70&lt;&gt;""))</f>
        <v>2</v>
      </c>
      <c r="AL70" s="81" t="str">
        <f aca="false">IF(AH70&lt;&gt;"",AH70,IF(AC70&lt;&gt;"",AC70,IF(X70&lt;&gt;"",X70,"")))</f>
        <v>A</v>
      </c>
      <c r="AM70" s="83" t="str">
        <f aca="false">IF(E70="","",IF(R70="","À SOUDER",IF(U70="","VT EN ATTENTE",IF(U70="R","VT REJETÉ – À REPRENDRE",IF(AL70="","À RADIOGRAPHIER",IF(AL70="A","ACCEPTÉ",IF(AL70="NX","NX – RT À REFAIRE",IF(IF(AK70=1,Z70,IF(AK70=2,AE70,""))="A","RÉPARÉ – À RADIOGRAPHIER",IF(IF(AK70=1,Z70,IF(AK70=2,AE70,""))="R","VT REJETÉ – À REPRENDRE",IF(OR(AL70="CO",AL70="NT"),"COUPE – À RESOUDER","À RÉPARER"))))))))))</f>
        <v>ACCEPTÉ</v>
      </c>
      <c r="AN70" s="81" t="str">
        <f aca="false">IF(AND(ISNUMBER(R70),OR(AM70="À RADIOGRAPHIER",AM70="RÉPARÉ – À RADIOGRAPHIER",AM70="NX – RT À REFAIRE",AM70="À RÉPARER",AM70="COUPE – À RESOUDER",AM70="VT REJETÉ – À REPRENDRE")),MAX(0,'PROGRAMME RT'!$C$4-R70),"")</f>
        <v/>
      </c>
      <c r="AO70" s="78" t="n">
        <f aca="false">IF(AND(OR(AM70="À RADIOGRAPHIER",AM70="RÉPARÉ – À RADIOGRAPHIER",AM70="NX – RT À REFAIRE"),OR('PROGRAMME RT'!$D$5="TOUTES",B70='PROGRAMME RT'!$D$5)),1,0)</f>
        <v>0</v>
      </c>
      <c r="AP70" s="78" t="str">
        <f aca="false">IF(AO70=1,SUM(AO$7:AO70),"")</f>
        <v/>
      </c>
      <c r="AQ70" s="78" t="n">
        <f aca="false">IF(AND(OR(X70="R",X70="NX",X70="NT",X70="CO"),OR('JOINTS DE RÉPARATION'!$D$5="TOUTES",B70='JOINTS DE RÉPARATION'!$D$5),OR('JOINTS DE RÉPARATION'!$L$4="TOUS",AM70&lt;&gt;"ACCEPTÉ")),1,0)</f>
        <v>1</v>
      </c>
      <c r="AR70" s="78" t="n">
        <f aca="false">IF(AQ70=1,SUM(AQ$7:AQ70),"")</f>
        <v>1</v>
      </c>
    </row>
    <row r="71" customFormat="false" ht="15" hidden="false" customHeight="false" outlineLevel="0" collapsed="false">
      <c r="A71" s="78" t="n">
        <f aca="false">IF(E71="","",ROW()-6)</f>
        <v>65</v>
      </c>
      <c r="B71" s="79" t="s">
        <v>102</v>
      </c>
      <c r="C71" s="80" t="s">
        <v>231</v>
      </c>
      <c r="D71" s="80" t="s">
        <v>103</v>
      </c>
      <c r="E71" s="80" t="s">
        <v>266</v>
      </c>
      <c r="F71" s="80" t="s">
        <v>151</v>
      </c>
      <c r="G71" s="80" t="s">
        <v>106</v>
      </c>
      <c r="H71" s="80" t="n">
        <v>11</v>
      </c>
      <c r="I71" s="80" t="s">
        <v>114</v>
      </c>
      <c r="J71" s="80" t="s">
        <v>132</v>
      </c>
      <c r="K71" s="80" t="s">
        <v>264</v>
      </c>
      <c r="L71" s="84" t="n">
        <f aca="false">IF(K71="","",IFERROR(INDEX(BARDAGE!$C$7:$C$1506,MATCH(K71,BARDAGE!$B$7:$B$1506,0)),"? hors registre"))</f>
        <v>24703643</v>
      </c>
      <c r="M71" s="80" t="s">
        <v>267</v>
      </c>
      <c r="N71" s="84" t="n">
        <f aca="false">IF(M71="","",IFERROR(INDEX(BARDAGE!$C$7:$C$1506,MATCH(M71,BARDAGE!$B$7:$B$1506,0)),"? hors registre"))</f>
        <v>24703643</v>
      </c>
      <c r="O71" s="80" t="s">
        <v>141</v>
      </c>
      <c r="P71" s="80" t="s">
        <v>141</v>
      </c>
      <c r="Q71" s="80" t="s">
        <v>134</v>
      </c>
      <c r="R71" s="82" t="n">
        <v>45880</v>
      </c>
      <c r="S71" s="82" t="n">
        <v>45880</v>
      </c>
      <c r="T71" s="80" t="s">
        <v>268</v>
      </c>
      <c r="U71" s="80" t="s">
        <v>105</v>
      </c>
      <c r="V71" s="82" t="n">
        <v>45890</v>
      </c>
      <c r="W71" s="80" t="s">
        <v>249</v>
      </c>
      <c r="X71" s="80" t="s">
        <v>105</v>
      </c>
      <c r="Y71" s="80"/>
      <c r="Z71" s="80"/>
      <c r="AA71" s="82"/>
      <c r="AB71" s="80"/>
      <c r="AC71" s="80"/>
      <c r="AD71" s="80"/>
      <c r="AE71" s="80"/>
      <c r="AF71" s="82"/>
      <c r="AG71" s="80"/>
      <c r="AH71" s="80"/>
      <c r="AI71" s="82"/>
      <c r="AJ71" s="79"/>
      <c r="AK71" s="78" t="n">
        <f aca="false">IF(E71="","",(X71&lt;&gt;"")+(AC71&lt;&gt;"")+(AH71&lt;&gt;""))</f>
        <v>1</v>
      </c>
      <c r="AL71" s="81" t="str">
        <f aca="false">IF(AH71&lt;&gt;"",AH71,IF(AC71&lt;&gt;"",AC71,IF(X71&lt;&gt;"",X71,"")))</f>
        <v>A</v>
      </c>
      <c r="AM71" s="83" t="str">
        <f aca="false">IF(E71="","",IF(R71="","À SOUDER",IF(U71="","VT EN ATTENTE",IF(U71="R","VT REJETÉ – À REPRENDRE",IF(AL71="","À RADIOGRAPHIER",IF(AL71="A","ACCEPTÉ",IF(AL71="NX","NX – RT À REFAIRE",IF(IF(AK71=1,Z71,IF(AK71=2,AE71,""))="A","RÉPARÉ – À RADIOGRAPHIER",IF(IF(AK71=1,Z71,IF(AK71=2,AE71,""))="R","VT REJETÉ – À REPRENDRE",IF(OR(AL71="CO",AL71="NT"),"COUPE – À RESOUDER","À RÉPARER"))))))))))</f>
        <v>ACCEPTÉ</v>
      </c>
      <c r="AN71" s="81" t="str">
        <f aca="false">IF(AND(ISNUMBER(R71),OR(AM71="À RADIOGRAPHIER",AM71="RÉPARÉ – À RADIOGRAPHIER",AM71="NX – RT À REFAIRE",AM71="À RÉPARER",AM71="COUPE – À RESOUDER",AM71="VT REJETÉ – À REPRENDRE")),MAX(0,'PROGRAMME RT'!$C$4-R71),"")</f>
        <v/>
      </c>
      <c r="AO71" s="78" t="n">
        <f aca="false">IF(AND(OR(AM71="À RADIOGRAPHIER",AM71="RÉPARÉ – À RADIOGRAPHIER",AM71="NX – RT À REFAIRE"),OR('PROGRAMME RT'!$D$5="TOUTES",B71='PROGRAMME RT'!$D$5)),1,0)</f>
        <v>0</v>
      </c>
      <c r="AP71" s="78" t="str">
        <f aca="false">IF(AO71=1,SUM(AO$7:AO71),"")</f>
        <v/>
      </c>
      <c r="AQ71" s="78" t="n">
        <f aca="false">IF(AND(OR(X71="R",X71="NX",X71="NT",X71="CO"),OR('JOINTS DE RÉPARATION'!$D$5="TOUTES",B71='JOINTS DE RÉPARATION'!$D$5),OR('JOINTS DE RÉPARATION'!$L$4="TOUS",AM71&lt;&gt;"ACCEPTÉ")),1,0)</f>
        <v>0</v>
      </c>
      <c r="AR71" s="78" t="str">
        <f aca="false">IF(AQ71=1,SUM(AQ$7:AQ71),"")</f>
        <v/>
      </c>
    </row>
    <row r="72" customFormat="false" ht="15" hidden="false" customHeight="false" outlineLevel="0" collapsed="false">
      <c r="A72" s="78" t="n">
        <f aca="false">IF(E72="","",ROW()-6)</f>
        <v>66</v>
      </c>
      <c r="B72" s="79" t="s">
        <v>102</v>
      </c>
      <c r="C72" s="80" t="s">
        <v>231</v>
      </c>
      <c r="D72" s="80" t="s">
        <v>103</v>
      </c>
      <c r="E72" s="80" t="s">
        <v>269</v>
      </c>
      <c r="F72" s="80" t="s">
        <v>151</v>
      </c>
      <c r="G72" s="80" t="s">
        <v>106</v>
      </c>
      <c r="H72" s="80" t="n">
        <v>11</v>
      </c>
      <c r="I72" s="80" t="s">
        <v>114</v>
      </c>
      <c r="J72" s="80" t="s">
        <v>132</v>
      </c>
      <c r="K72" s="80" t="s">
        <v>267</v>
      </c>
      <c r="L72" s="84" t="n">
        <f aca="false">IF(K72="","",IFERROR(INDEX(BARDAGE!$C$7:$C$1506,MATCH(K72,BARDAGE!$B$7:$B$1506,0)),"? hors registre"))</f>
        <v>24703643</v>
      </c>
      <c r="M72" s="80" t="s">
        <v>270</v>
      </c>
      <c r="N72" s="84" t="n">
        <f aca="false">IF(M72="","",IFERROR(INDEX(BARDAGE!$C$7:$C$1506,MATCH(M72,BARDAGE!$B$7:$B$1506,0)),"? hors registre"))</f>
        <v>24703643</v>
      </c>
      <c r="O72" s="80" t="s">
        <v>141</v>
      </c>
      <c r="P72" s="80" t="s">
        <v>141</v>
      </c>
      <c r="Q72" s="80" t="s">
        <v>125</v>
      </c>
      <c r="R72" s="82" t="n">
        <v>45879</v>
      </c>
      <c r="S72" s="82" t="n">
        <v>45880</v>
      </c>
      <c r="T72" s="80" t="s">
        <v>268</v>
      </c>
      <c r="U72" s="80" t="s">
        <v>105</v>
      </c>
      <c r="V72" s="82" t="n">
        <v>45890</v>
      </c>
      <c r="W72" s="80" t="s">
        <v>249</v>
      </c>
      <c r="X72" s="80" t="s">
        <v>105</v>
      </c>
      <c r="Y72" s="80"/>
      <c r="Z72" s="80"/>
      <c r="AA72" s="82"/>
      <c r="AB72" s="80"/>
      <c r="AC72" s="80"/>
      <c r="AD72" s="80"/>
      <c r="AE72" s="80"/>
      <c r="AF72" s="82"/>
      <c r="AG72" s="80"/>
      <c r="AH72" s="80"/>
      <c r="AI72" s="82"/>
      <c r="AJ72" s="79"/>
      <c r="AK72" s="78" t="n">
        <f aca="false">IF(E72="","",(X72&lt;&gt;"")+(AC72&lt;&gt;"")+(AH72&lt;&gt;""))</f>
        <v>1</v>
      </c>
      <c r="AL72" s="81" t="str">
        <f aca="false">IF(AH72&lt;&gt;"",AH72,IF(AC72&lt;&gt;"",AC72,IF(X72&lt;&gt;"",X72,"")))</f>
        <v>A</v>
      </c>
      <c r="AM72" s="83" t="str">
        <f aca="false">IF(E72="","",IF(R72="","À SOUDER",IF(U72="","VT EN ATTENTE",IF(U72="R","VT REJETÉ – À REPRENDRE",IF(AL72="","À RADIOGRAPHIER",IF(AL72="A","ACCEPTÉ",IF(AL72="NX","NX – RT À REFAIRE",IF(IF(AK72=1,Z72,IF(AK72=2,AE72,""))="A","RÉPARÉ – À RADIOGRAPHIER",IF(IF(AK72=1,Z72,IF(AK72=2,AE72,""))="R","VT REJETÉ – À REPRENDRE",IF(OR(AL72="CO",AL72="NT"),"COUPE – À RESOUDER","À RÉPARER"))))))))))</f>
        <v>ACCEPTÉ</v>
      </c>
      <c r="AN72" s="81" t="str">
        <f aca="false">IF(AND(ISNUMBER(R72),OR(AM72="À RADIOGRAPHIER",AM72="RÉPARÉ – À RADIOGRAPHIER",AM72="NX – RT À REFAIRE",AM72="À RÉPARER",AM72="COUPE – À RESOUDER",AM72="VT REJETÉ – À REPRENDRE")),MAX(0,'PROGRAMME RT'!$C$4-R72),"")</f>
        <v/>
      </c>
      <c r="AO72" s="78" t="n">
        <f aca="false">IF(AND(OR(AM72="À RADIOGRAPHIER",AM72="RÉPARÉ – À RADIOGRAPHIER",AM72="NX – RT À REFAIRE"),OR('PROGRAMME RT'!$D$5="TOUTES",B72='PROGRAMME RT'!$D$5)),1,0)</f>
        <v>0</v>
      </c>
      <c r="AP72" s="78" t="str">
        <f aca="false">IF(AO72=1,SUM(AO$7:AO72),"")</f>
        <v/>
      </c>
      <c r="AQ72" s="78" t="n">
        <f aca="false">IF(AND(OR(X72="R",X72="NX",X72="NT",X72="CO"),OR('JOINTS DE RÉPARATION'!$D$5="TOUTES",B72='JOINTS DE RÉPARATION'!$D$5),OR('JOINTS DE RÉPARATION'!$L$4="TOUS",AM72&lt;&gt;"ACCEPTÉ")),1,0)</f>
        <v>0</v>
      </c>
      <c r="AR72" s="78" t="str">
        <f aca="false">IF(AQ72=1,SUM(AQ$7:AQ72),"")</f>
        <v/>
      </c>
    </row>
    <row r="73" customFormat="false" ht="15" hidden="false" customHeight="false" outlineLevel="0" collapsed="false">
      <c r="A73" s="78" t="n">
        <f aca="false">IF(E73="","",ROW()-6)</f>
        <v>67</v>
      </c>
      <c r="B73" s="79" t="s">
        <v>102</v>
      </c>
      <c r="C73" s="80" t="s">
        <v>231</v>
      </c>
      <c r="D73" s="80" t="s">
        <v>103</v>
      </c>
      <c r="E73" s="80" t="s">
        <v>271</v>
      </c>
      <c r="F73" s="80" t="s">
        <v>151</v>
      </c>
      <c r="G73" s="80" t="s">
        <v>106</v>
      </c>
      <c r="H73" s="80" t="n">
        <v>11</v>
      </c>
      <c r="I73" s="80" t="s">
        <v>114</v>
      </c>
      <c r="J73" s="80" t="s">
        <v>132</v>
      </c>
      <c r="K73" s="80" t="s">
        <v>270</v>
      </c>
      <c r="L73" s="84" t="n">
        <f aca="false">IF(K73="","",IFERROR(INDEX(BARDAGE!$C$7:$C$1506,MATCH(K73,BARDAGE!$B$7:$B$1506,0)),"? hors registre"))</f>
        <v>24703643</v>
      </c>
      <c r="M73" s="80" t="s">
        <v>272</v>
      </c>
      <c r="N73" s="84" t="n">
        <f aca="false">IF(M73="","",IFERROR(INDEX(BARDAGE!$C$7:$C$1506,MATCH(M73,BARDAGE!$B$7:$B$1506,0)),"? hors registre"))</f>
        <v>24703643</v>
      </c>
      <c r="O73" s="80" t="s">
        <v>141</v>
      </c>
      <c r="P73" s="80" t="s">
        <v>141</v>
      </c>
      <c r="Q73" s="80" t="s">
        <v>134</v>
      </c>
      <c r="R73" s="82" t="n">
        <v>45880</v>
      </c>
      <c r="S73" s="82" t="n">
        <v>45880</v>
      </c>
      <c r="T73" s="80" t="s">
        <v>268</v>
      </c>
      <c r="U73" s="80" t="s">
        <v>105</v>
      </c>
      <c r="V73" s="82" t="n">
        <v>45890</v>
      </c>
      <c r="W73" s="80" t="s">
        <v>249</v>
      </c>
      <c r="X73" s="80" t="s">
        <v>105</v>
      </c>
      <c r="Y73" s="80"/>
      <c r="Z73" s="80"/>
      <c r="AA73" s="82"/>
      <c r="AB73" s="80"/>
      <c r="AC73" s="80"/>
      <c r="AD73" s="80"/>
      <c r="AE73" s="80"/>
      <c r="AF73" s="82"/>
      <c r="AG73" s="80"/>
      <c r="AH73" s="80"/>
      <c r="AI73" s="82"/>
      <c r="AJ73" s="79"/>
      <c r="AK73" s="78" t="n">
        <f aca="false">IF(E73="","",(X73&lt;&gt;"")+(AC73&lt;&gt;"")+(AH73&lt;&gt;""))</f>
        <v>1</v>
      </c>
      <c r="AL73" s="81" t="str">
        <f aca="false">IF(AH73&lt;&gt;"",AH73,IF(AC73&lt;&gt;"",AC73,IF(X73&lt;&gt;"",X73,"")))</f>
        <v>A</v>
      </c>
      <c r="AM73" s="83" t="str">
        <f aca="false">IF(E73="","",IF(R73="","À SOUDER",IF(U73="","VT EN ATTENTE",IF(U73="R","VT REJETÉ – À REPRENDRE",IF(AL73="","À RADIOGRAPHIER",IF(AL73="A","ACCEPTÉ",IF(AL73="NX","NX – RT À REFAIRE",IF(IF(AK73=1,Z73,IF(AK73=2,AE73,""))="A","RÉPARÉ – À RADIOGRAPHIER",IF(IF(AK73=1,Z73,IF(AK73=2,AE73,""))="R","VT REJETÉ – À REPRENDRE",IF(OR(AL73="CO",AL73="NT"),"COUPE – À RESOUDER","À RÉPARER"))))))))))</f>
        <v>ACCEPTÉ</v>
      </c>
      <c r="AN73" s="81" t="str">
        <f aca="false">IF(AND(ISNUMBER(R73),OR(AM73="À RADIOGRAPHIER",AM73="RÉPARÉ – À RADIOGRAPHIER",AM73="NX – RT À REFAIRE",AM73="À RÉPARER",AM73="COUPE – À RESOUDER",AM73="VT REJETÉ – À REPRENDRE")),MAX(0,'PROGRAMME RT'!$C$4-R73),"")</f>
        <v/>
      </c>
      <c r="AO73" s="78" t="n">
        <f aca="false">IF(AND(OR(AM73="À RADIOGRAPHIER",AM73="RÉPARÉ – À RADIOGRAPHIER",AM73="NX – RT À REFAIRE"),OR('PROGRAMME RT'!$D$5="TOUTES",B73='PROGRAMME RT'!$D$5)),1,0)</f>
        <v>0</v>
      </c>
      <c r="AP73" s="78" t="str">
        <f aca="false">IF(AO73=1,SUM(AO$7:AO73),"")</f>
        <v/>
      </c>
      <c r="AQ73" s="78" t="n">
        <f aca="false">IF(AND(OR(X73="R",X73="NX",X73="NT",X73="CO"),OR('JOINTS DE RÉPARATION'!$D$5="TOUTES",B73='JOINTS DE RÉPARATION'!$D$5),OR('JOINTS DE RÉPARATION'!$L$4="TOUS",AM73&lt;&gt;"ACCEPTÉ")),1,0)</f>
        <v>0</v>
      </c>
      <c r="AR73" s="78" t="str">
        <f aca="false">IF(AQ73=1,SUM(AQ$7:AQ73),"")</f>
        <v/>
      </c>
    </row>
    <row r="74" customFormat="false" ht="15" hidden="false" customHeight="false" outlineLevel="0" collapsed="false">
      <c r="A74" s="78" t="n">
        <f aca="false">IF(E74="","",ROW()-6)</f>
        <v>68</v>
      </c>
      <c r="B74" s="79" t="s">
        <v>102</v>
      </c>
      <c r="C74" s="80" t="s">
        <v>231</v>
      </c>
      <c r="D74" s="80" t="s">
        <v>103</v>
      </c>
      <c r="E74" s="80" t="s">
        <v>273</v>
      </c>
      <c r="F74" s="80" t="s">
        <v>151</v>
      </c>
      <c r="G74" s="80" t="s">
        <v>106</v>
      </c>
      <c r="H74" s="80" t="n">
        <v>11</v>
      </c>
      <c r="I74" s="80" t="s">
        <v>114</v>
      </c>
      <c r="J74" s="80" t="s">
        <v>132</v>
      </c>
      <c r="K74" s="80" t="s">
        <v>272</v>
      </c>
      <c r="L74" s="84" t="n">
        <f aca="false">IF(K74="","",IFERROR(INDEX(BARDAGE!$C$7:$C$1506,MATCH(K74,BARDAGE!$B$7:$B$1506,0)),"? hors registre"))</f>
        <v>24703643</v>
      </c>
      <c r="M74" s="80" t="s">
        <v>274</v>
      </c>
      <c r="N74" s="84" t="n">
        <f aca="false">IF(M74="","",IFERROR(INDEX(BARDAGE!$C$7:$C$1506,MATCH(M74,BARDAGE!$B$7:$B$1506,0)),"? hors registre"))</f>
        <v>852405000610</v>
      </c>
      <c r="O74" s="80" t="s">
        <v>141</v>
      </c>
      <c r="P74" s="80" t="s">
        <v>141</v>
      </c>
      <c r="Q74" s="80" t="s">
        <v>125</v>
      </c>
      <c r="R74" s="82" t="n">
        <v>45879</v>
      </c>
      <c r="S74" s="82" t="n">
        <v>45880</v>
      </c>
      <c r="T74" s="80" t="s">
        <v>268</v>
      </c>
      <c r="U74" s="80" t="s">
        <v>105</v>
      </c>
      <c r="V74" s="82" t="n">
        <v>45890</v>
      </c>
      <c r="W74" s="80" t="s">
        <v>249</v>
      </c>
      <c r="X74" s="80" t="s">
        <v>105</v>
      </c>
      <c r="Y74" s="80"/>
      <c r="Z74" s="80"/>
      <c r="AA74" s="82"/>
      <c r="AB74" s="80"/>
      <c r="AC74" s="80"/>
      <c r="AD74" s="80"/>
      <c r="AE74" s="80"/>
      <c r="AF74" s="82"/>
      <c r="AG74" s="80"/>
      <c r="AH74" s="80"/>
      <c r="AI74" s="82"/>
      <c r="AJ74" s="79"/>
      <c r="AK74" s="78" t="n">
        <f aca="false">IF(E74="","",(X74&lt;&gt;"")+(AC74&lt;&gt;"")+(AH74&lt;&gt;""))</f>
        <v>1</v>
      </c>
      <c r="AL74" s="81" t="str">
        <f aca="false">IF(AH74&lt;&gt;"",AH74,IF(AC74&lt;&gt;"",AC74,IF(X74&lt;&gt;"",X74,"")))</f>
        <v>A</v>
      </c>
      <c r="AM74" s="83" t="str">
        <f aca="false">IF(E74="","",IF(R74="","À SOUDER",IF(U74="","VT EN ATTENTE",IF(U74="R","VT REJETÉ – À REPRENDRE",IF(AL74="","À RADIOGRAPHIER",IF(AL74="A","ACCEPTÉ",IF(AL74="NX","NX – RT À REFAIRE",IF(IF(AK74=1,Z74,IF(AK74=2,AE74,""))="A","RÉPARÉ – À RADIOGRAPHIER",IF(IF(AK74=1,Z74,IF(AK74=2,AE74,""))="R","VT REJETÉ – À REPRENDRE",IF(OR(AL74="CO",AL74="NT"),"COUPE – À RESOUDER","À RÉPARER"))))))))))</f>
        <v>ACCEPTÉ</v>
      </c>
      <c r="AN74" s="81" t="str">
        <f aca="false">IF(AND(ISNUMBER(R74),OR(AM74="À RADIOGRAPHIER",AM74="RÉPARÉ – À RADIOGRAPHIER",AM74="NX – RT À REFAIRE",AM74="À RÉPARER",AM74="COUPE – À RESOUDER",AM74="VT REJETÉ – À REPRENDRE")),MAX(0,'PROGRAMME RT'!$C$4-R74),"")</f>
        <v/>
      </c>
      <c r="AO74" s="78" t="n">
        <f aca="false">IF(AND(OR(AM74="À RADIOGRAPHIER",AM74="RÉPARÉ – À RADIOGRAPHIER",AM74="NX – RT À REFAIRE"),OR('PROGRAMME RT'!$D$5="TOUTES",B74='PROGRAMME RT'!$D$5)),1,0)</f>
        <v>0</v>
      </c>
      <c r="AP74" s="78" t="str">
        <f aca="false">IF(AO74=1,SUM(AO$7:AO74),"")</f>
        <v/>
      </c>
      <c r="AQ74" s="78" t="n">
        <f aca="false">IF(AND(OR(X74="R",X74="NX",X74="NT",X74="CO"),OR('JOINTS DE RÉPARATION'!$D$5="TOUTES",B74='JOINTS DE RÉPARATION'!$D$5),OR('JOINTS DE RÉPARATION'!$L$4="TOUS",AM74&lt;&gt;"ACCEPTÉ")),1,0)</f>
        <v>0</v>
      </c>
      <c r="AR74" s="78" t="str">
        <f aca="false">IF(AQ74=1,SUM(AQ$7:AQ74),"")</f>
        <v/>
      </c>
    </row>
    <row r="75" customFormat="false" ht="15" hidden="false" customHeight="false" outlineLevel="0" collapsed="false">
      <c r="A75" s="78" t="n">
        <f aca="false">IF(E75="","",ROW()-6)</f>
        <v>69</v>
      </c>
      <c r="B75" s="79" t="s">
        <v>102</v>
      </c>
      <c r="C75" s="80" t="s">
        <v>231</v>
      </c>
      <c r="D75" s="80" t="s">
        <v>103</v>
      </c>
      <c r="E75" s="80" t="s">
        <v>275</v>
      </c>
      <c r="F75" s="80" t="s">
        <v>151</v>
      </c>
      <c r="G75" s="80" t="s">
        <v>106</v>
      </c>
      <c r="H75" s="80" t="n">
        <v>11</v>
      </c>
      <c r="I75" s="80" t="s">
        <v>114</v>
      </c>
      <c r="J75" s="80" t="s">
        <v>132</v>
      </c>
      <c r="K75" s="80" t="s">
        <v>274</v>
      </c>
      <c r="L75" s="84" t="n">
        <f aca="false">IF(K75="","",IFERROR(INDEX(BARDAGE!$C$7:$C$1506,MATCH(K75,BARDAGE!$B$7:$B$1506,0)),"? hors registre"))</f>
        <v>852405000610</v>
      </c>
      <c r="M75" s="80" t="s">
        <v>276</v>
      </c>
      <c r="N75" s="84" t="n">
        <f aca="false">IF(M75="","",IFERROR(INDEX(BARDAGE!$C$7:$C$1506,MATCH(M75,BARDAGE!$B$7:$B$1506,0)),"? hors registre"))</f>
        <v>24703643</v>
      </c>
      <c r="O75" s="80" t="s">
        <v>141</v>
      </c>
      <c r="P75" s="80" t="s">
        <v>141</v>
      </c>
      <c r="Q75" s="80" t="s">
        <v>134</v>
      </c>
      <c r="R75" s="82" t="n">
        <v>45880</v>
      </c>
      <c r="S75" s="82" t="n">
        <v>45880</v>
      </c>
      <c r="T75" s="80" t="s">
        <v>268</v>
      </c>
      <c r="U75" s="80" t="s">
        <v>105</v>
      </c>
      <c r="V75" s="82" t="n">
        <v>45890</v>
      </c>
      <c r="W75" s="80" t="s">
        <v>249</v>
      </c>
      <c r="X75" s="80" t="s">
        <v>105</v>
      </c>
      <c r="Y75" s="80"/>
      <c r="Z75" s="80"/>
      <c r="AA75" s="82"/>
      <c r="AB75" s="80"/>
      <c r="AC75" s="80"/>
      <c r="AD75" s="80"/>
      <c r="AE75" s="80"/>
      <c r="AF75" s="82"/>
      <c r="AG75" s="80"/>
      <c r="AH75" s="80"/>
      <c r="AI75" s="82"/>
      <c r="AJ75" s="79"/>
      <c r="AK75" s="78" t="n">
        <f aca="false">IF(E75="","",(X75&lt;&gt;"")+(AC75&lt;&gt;"")+(AH75&lt;&gt;""))</f>
        <v>1</v>
      </c>
      <c r="AL75" s="81" t="str">
        <f aca="false">IF(AH75&lt;&gt;"",AH75,IF(AC75&lt;&gt;"",AC75,IF(X75&lt;&gt;"",X75,"")))</f>
        <v>A</v>
      </c>
      <c r="AM75" s="83" t="str">
        <f aca="false">IF(E75="","",IF(R75="","À SOUDER",IF(U75="","VT EN ATTENTE",IF(U75="R","VT REJETÉ – À REPRENDRE",IF(AL75="","À RADIOGRAPHIER",IF(AL75="A","ACCEPTÉ",IF(AL75="NX","NX – RT À REFAIRE",IF(IF(AK75=1,Z75,IF(AK75=2,AE75,""))="A","RÉPARÉ – À RADIOGRAPHIER",IF(IF(AK75=1,Z75,IF(AK75=2,AE75,""))="R","VT REJETÉ – À REPRENDRE",IF(OR(AL75="CO",AL75="NT"),"COUPE – À RESOUDER","À RÉPARER"))))))))))</f>
        <v>ACCEPTÉ</v>
      </c>
      <c r="AN75" s="81" t="str">
        <f aca="false">IF(AND(ISNUMBER(R75),OR(AM75="À RADIOGRAPHIER",AM75="RÉPARÉ – À RADIOGRAPHIER",AM75="NX – RT À REFAIRE",AM75="À RÉPARER",AM75="COUPE – À RESOUDER",AM75="VT REJETÉ – À REPRENDRE")),MAX(0,'PROGRAMME RT'!$C$4-R75),"")</f>
        <v/>
      </c>
      <c r="AO75" s="78" t="n">
        <f aca="false">IF(AND(OR(AM75="À RADIOGRAPHIER",AM75="RÉPARÉ – À RADIOGRAPHIER",AM75="NX – RT À REFAIRE"),OR('PROGRAMME RT'!$D$5="TOUTES",B75='PROGRAMME RT'!$D$5)),1,0)</f>
        <v>0</v>
      </c>
      <c r="AP75" s="78" t="str">
        <f aca="false">IF(AO75=1,SUM(AO$7:AO75),"")</f>
        <v/>
      </c>
      <c r="AQ75" s="78" t="n">
        <f aca="false">IF(AND(OR(X75="R",X75="NX",X75="NT",X75="CO"),OR('JOINTS DE RÉPARATION'!$D$5="TOUTES",B75='JOINTS DE RÉPARATION'!$D$5),OR('JOINTS DE RÉPARATION'!$L$4="TOUS",AM75&lt;&gt;"ACCEPTÉ")),1,0)</f>
        <v>0</v>
      </c>
      <c r="AR75" s="78" t="str">
        <f aca="false">IF(AQ75=1,SUM(AQ$7:AQ75),"")</f>
        <v/>
      </c>
    </row>
    <row r="76" customFormat="false" ht="15" hidden="false" customHeight="false" outlineLevel="0" collapsed="false">
      <c r="A76" s="78" t="n">
        <f aca="false">IF(E76="","",ROW()-6)</f>
        <v>70</v>
      </c>
      <c r="B76" s="79" t="s">
        <v>102</v>
      </c>
      <c r="C76" s="80" t="s">
        <v>231</v>
      </c>
      <c r="D76" s="80" t="s">
        <v>103</v>
      </c>
      <c r="E76" s="80" t="s">
        <v>277</v>
      </c>
      <c r="F76" s="80" t="s">
        <v>151</v>
      </c>
      <c r="G76" s="80" t="s">
        <v>106</v>
      </c>
      <c r="H76" s="80" t="n">
        <v>11</v>
      </c>
      <c r="I76" s="80" t="s">
        <v>114</v>
      </c>
      <c r="J76" s="80" t="s">
        <v>132</v>
      </c>
      <c r="K76" s="80" t="s">
        <v>276</v>
      </c>
      <c r="L76" s="84" t="n">
        <f aca="false">IF(K76="","",IFERROR(INDEX(BARDAGE!$C$7:$C$1506,MATCH(K76,BARDAGE!$B$7:$B$1506,0)),"? hors registre"))</f>
        <v>24703643</v>
      </c>
      <c r="M76" s="80" t="s">
        <v>278</v>
      </c>
      <c r="N76" s="84" t="n">
        <f aca="false">IF(M76="","",IFERROR(INDEX(BARDAGE!$C$7:$C$1506,MATCH(M76,BARDAGE!$B$7:$B$1506,0)),"? hors registre"))</f>
        <v>24703643</v>
      </c>
      <c r="O76" s="80" t="s">
        <v>141</v>
      </c>
      <c r="P76" s="80" t="s">
        <v>141</v>
      </c>
      <c r="Q76" s="80" t="s">
        <v>125</v>
      </c>
      <c r="R76" s="82" t="n">
        <v>45879</v>
      </c>
      <c r="S76" s="82" t="n">
        <v>45880</v>
      </c>
      <c r="T76" s="80" t="s">
        <v>268</v>
      </c>
      <c r="U76" s="80" t="s">
        <v>105</v>
      </c>
      <c r="V76" s="82" t="n">
        <v>45890</v>
      </c>
      <c r="W76" s="80" t="s">
        <v>249</v>
      </c>
      <c r="X76" s="80" t="s">
        <v>105</v>
      </c>
      <c r="Y76" s="80"/>
      <c r="Z76" s="80"/>
      <c r="AA76" s="82"/>
      <c r="AB76" s="80"/>
      <c r="AC76" s="80"/>
      <c r="AD76" s="80"/>
      <c r="AE76" s="80"/>
      <c r="AF76" s="82"/>
      <c r="AG76" s="80"/>
      <c r="AH76" s="80"/>
      <c r="AI76" s="82"/>
      <c r="AJ76" s="79"/>
      <c r="AK76" s="78" t="n">
        <f aca="false">IF(E76="","",(X76&lt;&gt;"")+(AC76&lt;&gt;"")+(AH76&lt;&gt;""))</f>
        <v>1</v>
      </c>
      <c r="AL76" s="81" t="str">
        <f aca="false">IF(AH76&lt;&gt;"",AH76,IF(AC76&lt;&gt;"",AC76,IF(X76&lt;&gt;"",X76,"")))</f>
        <v>A</v>
      </c>
      <c r="AM76" s="83" t="str">
        <f aca="false">IF(E76="","",IF(R76="","À SOUDER",IF(U76="","VT EN ATTENTE",IF(U76="R","VT REJETÉ – À REPRENDRE",IF(AL76="","À RADIOGRAPHIER",IF(AL76="A","ACCEPTÉ",IF(AL76="NX","NX – RT À REFAIRE",IF(IF(AK76=1,Z76,IF(AK76=2,AE76,""))="A","RÉPARÉ – À RADIOGRAPHIER",IF(IF(AK76=1,Z76,IF(AK76=2,AE76,""))="R","VT REJETÉ – À REPRENDRE",IF(OR(AL76="CO",AL76="NT"),"COUPE – À RESOUDER","À RÉPARER"))))))))))</f>
        <v>ACCEPTÉ</v>
      </c>
      <c r="AN76" s="81" t="str">
        <f aca="false">IF(AND(ISNUMBER(R76),OR(AM76="À RADIOGRAPHIER",AM76="RÉPARÉ – À RADIOGRAPHIER",AM76="NX – RT À REFAIRE",AM76="À RÉPARER",AM76="COUPE – À RESOUDER",AM76="VT REJETÉ – À REPRENDRE")),MAX(0,'PROGRAMME RT'!$C$4-R76),"")</f>
        <v/>
      </c>
      <c r="AO76" s="78" t="n">
        <f aca="false">IF(AND(OR(AM76="À RADIOGRAPHIER",AM76="RÉPARÉ – À RADIOGRAPHIER",AM76="NX – RT À REFAIRE"),OR('PROGRAMME RT'!$D$5="TOUTES",B76='PROGRAMME RT'!$D$5)),1,0)</f>
        <v>0</v>
      </c>
      <c r="AP76" s="78" t="str">
        <f aca="false">IF(AO76=1,SUM(AO$7:AO76),"")</f>
        <v/>
      </c>
      <c r="AQ76" s="78" t="n">
        <f aca="false">IF(AND(OR(X76="R",X76="NX",X76="NT",X76="CO"),OR('JOINTS DE RÉPARATION'!$D$5="TOUTES",B76='JOINTS DE RÉPARATION'!$D$5),OR('JOINTS DE RÉPARATION'!$L$4="TOUS",AM76&lt;&gt;"ACCEPTÉ")),1,0)</f>
        <v>0</v>
      </c>
      <c r="AR76" s="78" t="str">
        <f aca="false">IF(AQ76=1,SUM(AQ$7:AQ76),"")</f>
        <v/>
      </c>
    </row>
    <row r="77" customFormat="false" ht="15" hidden="false" customHeight="false" outlineLevel="0" collapsed="false">
      <c r="A77" s="78" t="n">
        <f aca="false">IF(E77="","",ROW()-6)</f>
        <v>71</v>
      </c>
      <c r="B77" s="79" t="s">
        <v>102</v>
      </c>
      <c r="C77" s="80" t="s">
        <v>231</v>
      </c>
      <c r="D77" s="80" t="s">
        <v>103</v>
      </c>
      <c r="E77" s="80" t="s">
        <v>279</v>
      </c>
      <c r="F77" s="80" t="s">
        <v>151</v>
      </c>
      <c r="G77" s="80" t="s">
        <v>106</v>
      </c>
      <c r="H77" s="80" t="n">
        <v>11</v>
      </c>
      <c r="I77" s="80" t="s">
        <v>114</v>
      </c>
      <c r="J77" s="80" t="s">
        <v>132</v>
      </c>
      <c r="K77" s="80" t="s">
        <v>278</v>
      </c>
      <c r="L77" s="84" t="n">
        <f aca="false">IF(K77="","",IFERROR(INDEX(BARDAGE!$C$7:$C$1506,MATCH(K77,BARDAGE!$B$7:$B$1506,0)),"? hors registre"))</f>
        <v>24703643</v>
      </c>
      <c r="M77" s="80" t="s">
        <v>280</v>
      </c>
      <c r="N77" s="84" t="n">
        <f aca="false">IF(M77="","",IFERROR(INDEX(BARDAGE!$C$7:$C$1506,MATCH(M77,BARDAGE!$B$7:$B$1506,0)),"? hors registre"))</f>
        <v>24102307</v>
      </c>
      <c r="O77" s="80" t="s">
        <v>141</v>
      </c>
      <c r="P77" s="80" t="s">
        <v>141</v>
      </c>
      <c r="Q77" s="80" t="s">
        <v>134</v>
      </c>
      <c r="R77" s="82" t="n">
        <v>45880</v>
      </c>
      <c r="S77" s="82" t="n">
        <v>45880</v>
      </c>
      <c r="T77" s="80" t="s">
        <v>268</v>
      </c>
      <c r="U77" s="80" t="s">
        <v>105</v>
      </c>
      <c r="V77" s="82" t="n">
        <v>45890</v>
      </c>
      <c r="W77" s="80" t="s">
        <v>249</v>
      </c>
      <c r="X77" s="80" t="s">
        <v>105</v>
      </c>
      <c r="Y77" s="80"/>
      <c r="Z77" s="80"/>
      <c r="AA77" s="82"/>
      <c r="AB77" s="80"/>
      <c r="AC77" s="80"/>
      <c r="AD77" s="80"/>
      <c r="AE77" s="80"/>
      <c r="AF77" s="82"/>
      <c r="AG77" s="80"/>
      <c r="AH77" s="80"/>
      <c r="AI77" s="82"/>
      <c r="AJ77" s="79"/>
      <c r="AK77" s="78" t="n">
        <f aca="false">IF(E77="","",(X77&lt;&gt;"")+(AC77&lt;&gt;"")+(AH77&lt;&gt;""))</f>
        <v>1</v>
      </c>
      <c r="AL77" s="81" t="str">
        <f aca="false">IF(AH77&lt;&gt;"",AH77,IF(AC77&lt;&gt;"",AC77,IF(X77&lt;&gt;"",X77,"")))</f>
        <v>A</v>
      </c>
      <c r="AM77" s="83" t="str">
        <f aca="false">IF(E77="","",IF(R77="","À SOUDER",IF(U77="","VT EN ATTENTE",IF(U77="R","VT REJETÉ – À REPRENDRE",IF(AL77="","À RADIOGRAPHIER",IF(AL77="A","ACCEPTÉ",IF(AL77="NX","NX – RT À REFAIRE",IF(IF(AK77=1,Z77,IF(AK77=2,AE77,""))="A","RÉPARÉ – À RADIOGRAPHIER",IF(IF(AK77=1,Z77,IF(AK77=2,AE77,""))="R","VT REJETÉ – À REPRENDRE",IF(OR(AL77="CO",AL77="NT"),"COUPE – À RESOUDER","À RÉPARER"))))))))))</f>
        <v>ACCEPTÉ</v>
      </c>
      <c r="AN77" s="81" t="str">
        <f aca="false">IF(AND(ISNUMBER(R77),OR(AM77="À RADIOGRAPHIER",AM77="RÉPARÉ – À RADIOGRAPHIER",AM77="NX – RT À REFAIRE",AM77="À RÉPARER",AM77="COUPE – À RESOUDER",AM77="VT REJETÉ – À REPRENDRE")),MAX(0,'PROGRAMME RT'!$C$4-R77),"")</f>
        <v/>
      </c>
      <c r="AO77" s="78" t="n">
        <f aca="false">IF(AND(OR(AM77="À RADIOGRAPHIER",AM77="RÉPARÉ – À RADIOGRAPHIER",AM77="NX – RT À REFAIRE"),OR('PROGRAMME RT'!$D$5="TOUTES",B77='PROGRAMME RT'!$D$5)),1,0)</f>
        <v>0</v>
      </c>
      <c r="AP77" s="78" t="str">
        <f aca="false">IF(AO77=1,SUM(AO$7:AO77),"")</f>
        <v/>
      </c>
      <c r="AQ77" s="78" t="n">
        <f aca="false">IF(AND(OR(X77="R",X77="NX",X77="NT",X77="CO"),OR('JOINTS DE RÉPARATION'!$D$5="TOUTES",B77='JOINTS DE RÉPARATION'!$D$5),OR('JOINTS DE RÉPARATION'!$L$4="TOUS",AM77&lt;&gt;"ACCEPTÉ")),1,0)</f>
        <v>0</v>
      </c>
      <c r="AR77" s="78" t="str">
        <f aca="false">IF(AQ77=1,SUM(AQ$7:AQ77),"")</f>
        <v/>
      </c>
    </row>
    <row r="78" customFormat="false" ht="15" hidden="false" customHeight="false" outlineLevel="0" collapsed="false">
      <c r="A78" s="78" t="n">
        <f aca="false">IF(E78="","",ROW()-6)</f>
        <v>72</v>
      </c>
      <c r="B78" s="79" t="s">
        <v>102</v>
      </c>
      <c r="C78" s="80" t="s">
        <v>231</v>
      </c>
      <c r="D78" s="80" t="s">
        <v>103</v>
      </c>
      <c r="E78" s="80" t="s">
        <v>281</v>
      </c>
      <c r="F78" s="80" t="s">
        <v>151</v>
      </c>
      <c r="G78" s="80" t="s">
        <v>106</v>
      </c>
      <c r="H78" s="80" t="n">
        <v>11</v>
      </c>
      <c r="I78" s="80" t="s">
        <v>114</v>
      </c>
      <c r="J78" s="80" t="s">
        <v>132</v>
      </c>
      <c r="K78" s="80" t="s">
        <v>280</v>
      </c>
      <c r="L78" s="84" t="n">
        <f aca="false">IF(K78="","",IFERROR(INDEX(BARDAGE!$C$7:$C$1506,MATCH(K78,BARDAGE!$B$7:$B$1506,0)),"? hors registre"))</f>
        <v>24102307</v>
      </c>
      <c r="M78" s="80" t="s">
        <v>282</v>
      </c>
      <c r="N78" s="84" t="n">
        <f aca="false">IF(M78="","",IFERROR(INDEX(BARDAGE!$C$7:$C$1506,MATCH(M78,BARDAGE!$B$7:$B$1506,0)),"? hors registre"))</f>
        <v>24803598</v>
      </c>
      <c r="O78" s="80" t="s">
        <v>141</v>
      </c>
      <c r="P78" s="80" t="s">
        <v>141</v>
      </c>
      <c r="Q78" s="80" t="s">
        <v>125</v>
      </c>
      <c r="R78" s="82" t="n">
        <v>45879</v>
      </c>
      <c r="S78" s="82" t="n">
        <v>45880</v>
      </c>
      <c r="T78" s="80" t="s">
        <v>268</v>
      </c>
      <c r="U78" s="80" t="s">
        <v>105</v>
      </c>
      <c r="V78" s="82" t="n">
        <v>45890</v>
      </c>
      <c r="W78" s="80" t="s">
        <v>249</v>
      </c>
      <c r="X78" s="80" t="s">
        <v>105</v>
      </c>
      <c r="Y78" s="80"/>
      <c r="Z78" s="80"/>
      <c r="AA78" s="82"/>
      <c r="AB78" s="80"/>
      <c r="AC78" s="80"/>
      <c r="AD78" s="80"/>
      <c r="AE78" s="80"/>
      <c r="AF78" s="82"/>
      <c r="AG78" s="80"/>
      <c r="AH78" s="80"/>
      <c r="AI78" s="82"/>
      <c r="AJ78" s="79"/>
      <c r="AK78" s="78" t="n">
        <f aca="false">IF(E78="","",(X78&lt;&gt;"")+(AC78&lt;&gt;"")+(AH78&lt;&gt;""))</f>
        <v>1</v>
      </c>
      <c r="AL78" s="81" t="str">
        <f aca="false">IF(AH78&lt;&gt;"",AH78,IF(AC78&lt;&gt;"",AC78,IF(X78&lt;&gt;"",X78,"")))</f>
        <v>A</v>
      </c>
      <c r="AM78" s="83" t="str">
        <f aca="false">IF(E78="","",IF(R78="","À SOUDER",IF(U78="","VT EN ATTENTE",IF(U78="R","VT REJETÉ – À REPRENDRE",IF(AL78="","À RADIOGRAPHIER",IF(AL78="A","ACCEPTÉ",IF(AL78="NX","NX – RT À REFAIRE",IF(IF(AK78=1,Z78,IF(AK78=2,AE78,""))="A","RÉPARÉ – À RADIOGRAPHIER",IF(IF(AK78=1,Z78,IF(AK78=2,AE78,""))="R","VT REJETÉ – À REPRENDRE",IF(OR(AL78="CO",AL78="NT"),"COUPE – À RESOUDER","À RÉPARER"))))))))))</f>
        <v>ACCEPTÉ</v>
      </c>
      <c r="AN78" s="81" t="str">
        <f aca="false">IF(AND(ISNUMBER(R78),OR(AM78="À RADIOGRAPHIER",AM78="RÉPARÉ – À RADIOGRAPHIER",AM78="NX – RT À REFAIRE",AM78="À RÉPARER",AM78="COUPE – À RESOUDER",AM78="VT REJETÉ – À REPRENDRE")),MAX(0,'PROGRAMME RT'!$C$4-R78),"")</f>
        <v/>
      </c>
      <c r="AO78" s="78" t="n">
        <f aca="false">IF(AND(OR(AM78="À RADIOGRAPHIER",AM78="RÉPARÉ – À RADIOGRAPHIER",AM78="NX – RT À REFAIRE"),OR('PROGRAMME RT'!$D$5="TOUTES",B78='PROGRAMME RT'!$D$5)),1,0)</f>
        <v>0</v>
      </c>
      <c r="AP78" s="78" t="str">
        <f aca="false">IF(AO78=1,SUM(AO$7:AO78),"")</f>
        <v/>
      </c>
      <c r="AQ78" s="78" t="n">
        <f aca="false">IF(AND(OR(X78="R",X78="NX",X78="NT",X78="CO"),OR('JOINTS DE RÉPARATION'!$D$5="TOUTES",B78='JOINTS DE RÉPARATION'!$D$5),OR('JOINTS DE RÉPARATION'!$L$4="TOUS",AM78&lt;&gt;"ACCEPTÉ")),1,0)</f>
        <v>0</v>
      </c>
      <c r="AR78" s="78" t="str">
        <f aca="false">IF(AQ78=1,SUM(AQ$7:AQ78),"")</f>
        <v/>
      </c>
    </row>
    <row r="79" customFormat="false" ht="15" hidden="false" customHeight="false" outlineLevel="0" collapsed="false">
      <c r="A79" s="78" t="n">
        <f aca="false">IF(E79="","",ROW()-6)</f>
        <v>73</v>
      </c>
      <c r="B79" s="79" t="s">
        <v>102</v>
      </c>
      <c r="C79" s="80" t="s">
        <v>231</v>
      </c>
      <c r="D79" s="80" t="s">
        <v>103</v>
      </c>
      <c r="E79" s="80" t="s">
        <v>283</v>
      </c>
      <c r="F79" s="80" t="s">
        <v>151</v>
      </c>
      <c r="G79" s="80" t="s">
        <v>106</v>
      </c>
      <c r="H79" s="80" t="n">
        <v>11</v>
      </c>
      <c r="I79" s="80" t="s">
        <v>114</v>
      </c>
      <c r="J79" s="80" t="s">
        <v>132</v>
      </c>
      <c r="K79" s="80" t="s">
        <v>282</v>
      </c>
      <c r="L79" s="84" t="n">
        <f aca="false">IF(K79="","",IFERROR(INDEX(BARDAGE!$C$7:$C$1506,MATCH(K79,BARDAGE!$B$7:$B$1506,0)),"? hors registre"))</f>
        <v>24803598</v>
      </c>
      <c r="M79" s="80" t="s">
        <v>284</v>
      </c>
      <c r="N79" s="84" t="n">
        <f aca="false">IF(M79="","",IFERROR(INDEX(BARDAGE!$C$7:$C$1506,MATCH(M79,BARDAGE!$B$7:$B$1506,0)),"? hors registre"))</f>
        <v>24803598</v>
      </c>
      <c r="O79" s="80" t="s">
        <v>141</v>
      </c>
      <c r="P79" s="80" t="s">
        <v>141</v>
      </c>
      <c r="Q79" s="80" t="s">
        <v>134</v>
      </c>
      <c r="R79" s="82" t="n">
        <v>45880</v>
      </c>
      <c r="S79" s="82" t="n">
        <v>45880</v>
      </c>
      <c r="T79" s="80" t="s">
        <v>268</v>
      </c>
      <c r="U79" s="80" t="s">
        <v>105</v>
      </c>
      <c r="V79" s="82" t="n">
        <v>45890</v>
      </c>
      <c r="W79" s="80" t="s">
        <v>249</v>
      </c>
      <c r="X79" s="80" t="s">
        <v>105</v>
      </c>
      <c r="Y79" s="80"/>
      <c r="Z79" s="80"/>
      <c r="AA79" s="82"/>
      <c r="AB79" s="80"/>
      <c r="AC79" s="80"/>
      <c r="AD79" s="80"/>
      <c r="AE79" s="80"/>
      <c r="AF79" s="82"/>
      <c r="AG79" s="80"/>
      <c r="AH79" s="80"/>
      <c r="AI79" s="82"/>
      <c r="AJ79" s="79"/>
      <c r="AK79" s="78" t="n">
        <f aca="false">IF(E79="","",(X79&lt;&gt;"")+(AC79&lt;&gt;"")+(AH79&lt;&gt;""))</f>
        <v>1</v>
      </c>
      <c r="AL79" s="81" t="str">
        <f aca="false">IF(AH79&lt;&gt;"",AH79,IF(AC79&lt;&gt;"",AC79,IF(X79&lt;&gt;"",X79,"")))</f>
        <v>A</v>
      </c>
      <c r="AM79" s="83" t="str">
        <f aca="false">IF(E79="","",IF(R79="","À SOUDER",IF(U79="","VT EN ATTENTE",IF(U79="R","VT REJETÉ – À REPRENDRE",IF(AL79="","À RADIOGRAPHIER",IF(AL79="A","ACCEPTÉ",IF(AL79="NX","NX – RT À REFAIRE",IF(IF(AK79=1,Z79,IF(AK79=2,AE79,""))="A","RÉPARÉ – À RADIOGRAPHIER",IF(IF(AK79=1,Z79,IF(AK79=2,AE79,""))="R","VT REJETÉ – À REPRENDRE",IF(OR(AL79="CO",AL79="NT"),"COUPE – À RESOUDER","À RÉPARER"))))))))))</f>
        <v>ACCEPTÉ</v>
      </c>
      <c r="AN79" s="81" t="str">
        <f aca="false">IF(AND(ISNUMBER(R79),OR(AM79="À RADIOGRAPHIER",AM79="RÉPARÉ – À RADIOGRAPHIER",AM79="NX – RT À REFAIRE",AM79="À RÉPARER",AM79="COUPE – À RESOUDER",AM79="VT REJETÉ – À REPRENDRE")),MAX(0,'PROGRAMME RT'!$C$4-R79),"")</f>
        <v/>
      </c>
      <c r="AO79" s="78" t="n">
        <f aca="false">IF(AND(OR(AM79="À RADIOGRAPHIER",AM79="RÉPARÉ – À RADIOGRAPHIER",AM79="NX – RT À REFAIRE"),OR('PROGRAMME RT'!$D$5="TOUTES",B79='PROGRAMME RT'!$D$5)),1,0)</f>
        <v>0</v>
      </c>
      <c r="AP79" s="78" t="str">
        <f aca="false">IF(AO79=1,SUM(AO$7:AO79),"")</f>
        <v/>
      </c>
      <c r="AQ79" s="78" t="n">
        <f aca="false">IF(AND(OR(X79="R",X79="NX",X79="NT",X79="CO"),OR('JOINTS DE RÉPARATION'!$D$5="TOUTES",B79='JOINTS DE RÉPARATION'!$D$5),OR('JOINTS DE RÉPARATION'!$L$4="TOUS",AM79&lt;&gt;"ACCEPTÉ")),1,0)</f>
        <v>0</v>
      </c>
      <c r="AR79" s="78" t="str">
        <f aca="false">IF(AQ79=1,SUM(AQ$7:AQ79),"")</f>
        <v/>
      </c>
    </row>
    <row r="80" customFormat="false" ht="15" hidden="false" customHeight="false" outlineLevel="0" collapsed="false">
      <c r="A80" s="78" t="n">
        <f aca="false">IF(E80="","",ROW()-6)</f>
        <v>74</v>
      </c>
      <c r="B80" s="79" t="s">
        <v>102</v>
      </c>
      <c r="C80" s="80" t="s">
        <v>231</v>
      </c>
      <c r="D80" s="80" t="s">
        <v>103</v>
      </c>
      <c r="E80" s="80" t="s">
        <v>285</v>
      </c>
      <c r="F80" s="80" t="s">
        <v>151</v>
      </c>
      <c r="G80" s="80" t="s">
        <v>106</v>
      </c>
      <c r="H80" s="80" t="n">
        <v>11</v>
      </c>
      <c r="I80" s="80" t="s">
        <v>114</v>
      </c>
      <c r="J80" s="80" t="s">
        <v>132</v>
      </c>
      <c r="K80" s="80" t="s">
        <v>284</v>
      </c>
      <c r="L80" s="84" t="n">
        <f aca="false">IF(K80="","",IFERROR(INDEX(BARDAGE!$C$7:$C$1506,MATCH(K80,BARDAGE!$B$7:$B$1506,0)),"? hors registre"))</f>
        <v>24803598</v>
      </c>
      <c r="M80" s="80" t="s">
        <v>286</v>
      </c>
      <c r="N80" s="84" t="n">
        <f aca="false">IF(M80="","",IFERROR(INDEX(BARDAGE!$C$7:$C$1506,MATCH(M80,BARDAGE!$B$7:$B$1506,0)),"? hors registre"))</f>
        <v>24703643</v>
      </c>
      <c r="O80" s="80" t="s">
        <v>141</v>
      </c>
      <c r="P80" s="80" t="s">
        <v>141</v>
      </c>
      <c r="Q80" s="80" t="s">
        <v>125</v>
      </c>
      <c r="R80" s="82" t="n">
        <v>45879</v>
      </c>
      <c r="S80" s="82" t="n">
        <v>45880</v>
      </c>
      <c r="T80" s="80" t="s">
        <v>268</v>
      </c>
      <c r="U80" s="80" t="s">
        <v>105</v>
      </c>
      <c r="V80" s="82" t="n">
        <v>45890</v>
      </c>
      <c r="W80" s="80" t="s">
        <v>249</v>
      </c>
      <c r="X80" s="80" t="s">
        <v>105</v>
      </c>
      <c r="Y80" s="80"/>
      <c r="Z80" s="80"/>
      <c r="AA80" s="82"/>
      <c r="AB80" s="80"/>
      <c r="AC80" s="80"/>
      <c r="AD80" s="80"/>
      <c r="AE80" s="80"/>
      <c r="AF80" s="82"/>
      <c r="AG80" s="80"/>
      <c r="AH80" s="80"/>
      <c r="AI80" s="82"/>
      <c r="AJ80" s="79"/>
      <c r="AK80" s="78" t="n">
        <f aca="false">IF(E80="","",(X80&lt;&gt;"")+(AC80&lt;&gt;"")+(AH80&lt;&gt;""))</f>
        <v>1</v>
      </c>
      <c r="AL80" s="81" t="str">
        <f aca="false">IF(AH80&lt;&gt;"",AH80,IF(AC80&lt;&gt;"",AC80,IF(X80&lt;&gt;"",X80,"")))</f>
        <v>A</v>
      </c>
      <c r="AM80" s="83" t="str">
        <f aca="false">IF(E80="","",IF(R80="","À SOUDER",IF(U80="","VT EN ATTENTE",IF(U80="R","VT REJETÉ – À REPRENDRE",IF(AL80="","À RADIOGRAPHIER",IF(AL80="A","ACCEPTÉ",IF(AL80="NX","NX – RT À REFAIRE",IF(IF(AK80=1,Z80,IF(AK80=2,AE80,""))="A","RÉPARÉ – À RADIOGRAPHIER",IF(IF(AK80=1,Z80,IF(AK80=2,AE80,""))="R","VT REJETÉ – À REPRENDRE",IF(OR(AL80="CO",AL80="NT"),"COUPE – À RESOUDER","À RÉPARER"))))))))))</f>
        <v>ACCEPTÉ</v>
      </c>
      <c r="AN80" s="81" t="str">
        <f aca="false">IF(AND(ISNUMBER(R80),OR(AM80="À RADIOGRAPHIER",AM80="RÉPARÉ – À RADIOGRAPHIER",AM80="NX – RT À REFAIRE",AM80="À RÉPARER",AM80="COUPE – À RESOUDER",AM80="VT REJETÉ – À REPRENDRE")),MAX(0,'PROGRAMME RT'!$C$4-R80),"")</f>
        <v/>
      </c>
      <c r="AO80" s="78" t="n">
        <f aca="false">IF(AND(OR(AM80="À RADIOGRAPHIER",AM80="RÉPARÉ – À RADIOGRAPHIER",AM80="NX – RT À REFAIRE"),OR('PROGRAMME RT'!$D$5="TOUTES",B80='PROGRAMME RT'!$D$5)),1,0)</f>
        <v>0</v>
      </c>
      <c r="AP80" s="78" t="str">
        <f aca="false">IF(AO80=1,SUM(AO$7:AO80),"")</f>
        <v/>
      </c>
      <c r="AQ80" s="78" t="n">
        <f aca="false">IF(AND(OR(X80="R",X80="NX",X80="NT",X80="CO"),OR('JOINTS DE RÉPARATION'!$D$5="TOUTES",B80='JOINTS DE RÉPARATION'!$D$5),OR('JOINTS DE RÉPARATION'!$L$4="TOUS",AM80&lt;&gt;"ACCEPTÉ")),1,0)</f>
        <v>0</v>
      </c>
      <c r="AR80" s="78" t="str">
        <f aca="false">IF(AQ80=1,SUM(AQ$7:AQ80),"")</f>
        <v/>
      </c>
    </row>
    <row r="81" customFormat="false" ht="15" hidden="false" customHeight="false" outlineLevel="0" collapsed="false">
      <c r="A81" s="78" t="n">
        <f aca="false">IF(E81="","",ROW()-6)</f>
        <v>75</v>
      </c>
      <c r="B81" s="79" t="s">
        <v>102</v>
      </c>
      <c r="C81" s="80" t="s">
        <v>231</v>
      </c>
      <c r="D81" s="80" t="s">
        <v>103</v>
      </c>
      <c r="E81" s="80" t="s">
        <v>287</v>
      </c>
      <c r="F81" s="80" t="s">
        <v>151</v>
      </c>
      <c r="G81" s="80" t="s">
        <v>106</v>
      </c>
      <c r="H81" s="80" t="n">
        <v>11</v>
      </c>
      <c r="I81" s="80" t="s">
        <v>114</v>
      </c>
      <c r="J81" s="80" t="s">
        <v>132</v>
      </c>
      <c r="K81" s="80" t="s">
        <v>286</v>
      </c>
      <c r="L81" s="84" t="n">
        <f aca="false">IF(K81="","",IFERROR(INDEX(BARDAGE!$C$7:$C$1506,MATCH(K81,BARDAGE!$B$7:$B$1506,0)),"? hors registre"))</f>
        <v>24703643</v>
      </c>
      <c r="M81" s="80" t="s">
        <v>288</v>
      </c>
      <c r="N81" s="84" t="n">
        <f aca="false">IF(M81="","",IFERROR(INDEX(BARDAGE!$C$7:$C$1506,MATCH(M81,BARDAGE!$B$7:$B$1506,0)),"? hors registre"))</f>
        <v>24102307</v>
      </c>
      <c r="O81" s="80" t="s">
        <v>141</v>
      </c>
      <c r="P81" s="80" t="s">
        <v>141</v>
      </c>
      <c r="Q81" s="80" t="s">
        <v>134</v>
      </c>
      <c r="R81" s="82" t="n">
        <v>45880</v>
      </c>
      <c r="S81" s="82" t="n">
        <v>45880</v>
      </c>
      <c r="T81" s="80" t="s">
        <v>268</v>
      </c>
      <c r="U81" s="80" t="s">
        <v>105</v>
      </c>
      <c r="V81" s="82" t="n">
        <v>45890</v>
      </c>
      <c r="W81" s="80" t="s">
        <v>289</v>
      </c>
      <c r="X81" s="80" t="s">
        <v>105</v>
      </c>
      <c r="Y81" s="80"/>
      <c r="Z81" s="80"/>
      <c r="AA81" s="82"/>
      <c r="AB81" s="80"/>
      <c r="AC81" s="80"/>
      <c r="AD81" s="80"/>
      <c r="AE81" s="80"/>
      <c r="AF81" s="82"/>
      <c r="AG81" s="80"/>
      <c r="AH81" s="80"/>
      <c r="AI81" s="82"/>
      <c r="AJ81" s="79"/>
      <c r="AK81" s="78" t="n">
        <f aca="false">IF(E81="","",(X81&lt;&gt;"")+(AC81&lt;&gt;"")+(AH81&lt;&gt;""))</f>
        <v>1</v>
      </c>
      <c r="AL81" s="81" t="str">
        <f aca="false">IF(AH81&lt;&gt;"",AH81,IF(AC81&lt;&gt;"",AC81,IF(X81&lt;&gt;"",X81,"")))</f>
        <v>A</v>
      </c>
      <c r="AM81" s="83" t="str">
        <f aca="false">IF(E81="","",IF(R81="","À SOUDER",IF(U81="","VT EN ATTENTE",IF(U81="R","VT REJETÉ – À REPRENDRE",IF(AL81="","À RADIOGRAPHIER",IF(AL81="A","ACCEPTÉ",IF(AL81="NX","NX – RT À REFAIRE",IF(IF(AK81=1,Z81,IF(AK81=2,AE81,""))="A","RÉPARÉ – À RADIOGRAPHIER",IF(IF(AK81=1,Z81,IF(AK81=2,AE81,""))="R","VT REJETÉ – À REPRENDRE",IF(OR(AL81="CO",AL81="NT"),"COUPE – À RESOUDER","À RÉPARER"))))))))))</f>
        <v>ACCEPTÉ</v>
      </c>
      <c r="AN81" s="81" t="str">
        <f aca="false">IF(AND(ISNUMBER(R81),OR(AM81="À RADIOGRAPHIER",AM81="RÉPARÉ – À RADIOGRAPHIER",AM81="NX – RT À REFAIRE",AM81="À RÉPARER",AM81="COUPE – À RESOUDER",AM81="VT REJETÉ – À REPRENDRE")),MAX(0,'PROGRAMME RT'!$C$4-R81),"")</f>
        <v/>
      </c>
      <c r="AO81" s="78" t="n">
        <f aca="false">IF(AND(OR(AM81="À RADIOGRAPHIER",AM81="RÉPARÉ – À RADIOGRAPHIER",AM81="NX – RT À REFAIRE"),OR('PROGRAMME RT'!$D$5="TOUTES",B81='PROGRAMME RT'!$D$5)),1,0)</f>
        <v>0</v>
      </c>
      <c r="AP81" s="78" t="str">
        <f aca="false">IF(AO81=1,SUM(AO$7:AO81),"")</f>
        <v/>
      </c>
      <c r="AQ81" s="78" t="n">
        <f aca="false">IF(AND(OR(X81="R",X81="NX",X81="NT",X81="CO"),OR('JOINTS DE RÉPARATION'!$D$5="TOUTES",B81='JOINTS DE RÉPARATION'!$D$5),OR('JOINTS DE RÉPARATION'!$L$4="TOUS",AM81&lt;&gt;"ACCEPTÉ")),1,0)</f>
        <v>0</v>
      </c>
      <c r="AR81" s="78" t="str">
        <f aca="false">IF(AQ81=1,SUM(AQ$7:AQ81),"")</f>
        <v/>
      </c>
    </row>
    <row r="82" customFormat="false" ht="15" hidden="false" customHeight="false" outlineLevel="0" collapsed="false">
      <c r="A82" s="78" t="n">
        <f aca="false">IF(E82="","",ROW()-6)</f>
        <v>76</v>
      </c>
      <c r="B82" s="79" t="s">
        <v>102</v>
      </c>
      <c r="C82" s="80" t="s">
        <v>231</v>
      </c>
      <c r="D82" s="80" t="s">
        <v>103</v>
      </c>
      <c r="E82" s="80" t="s">
        <v>290</v>
      </c>
      <c r="F82" s="80" t="s">
        <v>151</v>
      </c>
      <c r="G82" s="80" t="s">
        <v>106</v>
      </c>
      <c r="H82" s="80" t="n">
        <v>11</v>
      </c>
      <c r="I82" s="80" t="s">
        <v>114</v>
      </c>
      <c r="J82" s="80" t="s">
        <v>132</v>
      </c>
      <c r="K82" s="80" t="s">
        <v>288</v>
      </c>
      <c r="L82" s="84" t="n">
        <f aca="false">IF(K82="","",IFERROR(INDEX(BARDAGE!$C$7:$C$1506,MATCH(K82,BARDAGE!$B$7:$B$1506,0)),"? hors registre"))</f>
        <v>24102307</v>
      </c>
      <c r="M82" s="80" t="s">
        <v>291</v>
      </c>
      <c r="N82" s="84" t="n">
        <f aca="false">IF(M82="","",IFERROR(INDEX(BARDAGE!$C$7:$C$1506,MATCH(M82,BARDAGE!$B$7:$B$1506,0)),"? hors registre"))</f>
        <v>24703636</v>
      </c>
      <c r="O82" s="80" t="s">
        <v>141</v>
      </c>
      <c r="P82" s="80" t="s">
        <v>141</v>
      </c>
      <c r="Q82" s="80" t="s">
        <v>125</v>
      </c>
      <c r="R82" s="82" t="n">
        <v>45881</v>
      </c>
      <c r="S82" s="82" t="n">
        <v>45881</v>
      </c>
      <c r="T82" s="80" t="s">
        <v>292</v>
      </c>
      <c r="U82" s="80" t="s">
        <v>105</v>
      </c>
      <c r="V82" s="82" t="n">
        <v>45890</v>
      </c>
      <c r="W82" s="80" t="s">
        <v>289</v>
      </c>
      <c r="X82" s="80" t="s">
        <v>105</v>
      </c>
      <c r="Y82" s="80"/>
      <c r="Z82" s="80"/>
      <c r="AA82" s="82"/>
      <c r="AB82" s="80"/>
      <c r="AC82" s="80"/>
      <c r="AD82" s="80"/>
      <c r="AE82" s="80"/>
      <c r="AF82" s="82"/>
      <c r="AG82" s="80"/>
      <c r="AH82" s="80"/>
      <c r="AI82" s="82"/>
      <c r="AJ82" s="79"/>
      <c r="AK82" s="78" t="n">
        <f aca="false">IF(E82="","",(X82&lt;&gt;"")+(AC82&lt;&gt;"")+(AH82&lt;&gt;""))</f>
        <v>1</v>
      </c>
      <c r="AL82" s="81" t="str">
        <f aca="false">IF(AH82&lt;&gt;"",AH82,IF(AC82&lt;&gt;"",AC82,IF(X82&lt;&gt;"",X82,"")))</f>
        <v>A</v>
      </c>
      <c r="AM82" s="83" t="str">
        <f aca="false">IF(E82="","",IF(R82="","À SOUDER",IF(U82="","VT EN ATTENTE",IF(U82="R","VT REJETÉ – À REPRENDRE",IF(AL82="","À RADIOGRAPHIER",IF(AL82="A","ACCEPTÉ",IF(AL82="NX","NX – RT À REFAIRE",IF(IF(AK82=1,Z82,IF(AK82=2,AE82,""))="A","RÉPARÉ – À RADIOGRAPHIER",IF(IF(AK82=1,Z82,IF(AK82=2,AE82,""))="R","VT REJETÉ – À REPRENDRE",IF(OR(AL82="CO",AL82="NT"),"COUPE – À RESOUDER","À RÉPARER"))))))))))</f>
        <v>ACCEPTÉ</v>
      </c>
      <c r="AN82" s="81" t="str">
        <f aca="false">IF(AND(ISNUMBER(R82),OR(AM82="À RADIOGRAPHIER",AM82="RÉPARÉ – À RADIOGRAPHIER",AM82="NX – RT À REFAIRE",AM82="À RÉPARER",AM82="COUPE – À RESOUDER",AM82="VT REJETÉ – À REPRENDRE")),MAX(0,'PROGRAMME RT'!$C$4-R82),"")</f>
        <v/>
      </c>
      <c r="AO82" s="78" t="n">
        <f aca="false">IF(AND(OR(AM82="À RADIOGRAPHIER",AM82="RÉPARÉ – À RADIOGRAPHIER",AM82="NX – RT À REFAIRE"),OR('PROGRAMME RT'!$D$5="TOUTES",B82='PROGRAMME RT'!$D$5)),1,0)</f>
        <v>0</v>
      </c>
      <c r="AP82" s="78" t="str">
        <f aca="false">IF(AO82=1,SUM(AO$7:AO82),"")</f>
        <v/>
      </c>
      <c r="AQ82" s="78" t="n">
        <f aca="false">IF(AND(OR(X82="R",X82="NX",X82="NT",X82="CO"),OR('JOINTS DE RÉPARATION'!$D$5="TOUTES",B82='JOINTS DE RÉPARATION'!$D$5),OR('JOINTS DE RÉPARATION'!$L$4="TOUS",AM82&lt;&gt;"ACCEPTÉ")),1,0)</f>
        <v>0</v>
      </c>
      <c r="AR82" s="78" t="str">
        <f aca="false">IF(AQ82=1,SUM(AQ$7:AQ82),"")</f>
        <v/>
      </c>
    </row>
    <row r="83" customFormat="false" ht="15" hidden="false" customHeight="false" outlineLevel="0" collapsed="false">
      <c r="A83" s="78" t="n">
        <f aca="false">IF(E83="","",ROW()-6)</f>
        <v>77</v>
      </c>
      <c r="B83" s="79" t="s">
        <v>102</v>
      </c>
      <c r="C83" s="80" t="s">
        <v>231</v>
      </c>
      <c r="D83" s="80" t="s">
        <v>103</v>
      </c>
      <c r="E83" s="80" t="s">
        <v>293</v>
      </c>
      <c r="F83" s="80" t="s">
        <v>151</v>
      </c>
      <c r="G83" s="80" t="s">
        <v>106</v>
      </c>
      <c r="H83" s="80" t="n">
        <v>11</v>
      </c>
      <c r="I83" s="80" t="s">
        <v>114</v>
      </c>
      <c r="J83" s="80" t="s">
        <v>132</v>
      </c>
      <c r="K83" s="80" t="s">
        <v>291</v>
      </c>
      <c r="L83" s="84" t="n">
        <f aca="false">IF(K83="","",IFERROR(INDEX(BARDAGE!$C$7:$C$1506,MATCH(K83,BARDAGE!$B$7:$B$1506,0)),"? hors registre"))</f>
        <v>24703636</v>
      </c>
      <c r="M83" s="80" t="s">
        <v>294</v>
      </c>
      <c r="N83" s="84" t="n">
        <f aca="false">IF(M83="","",IFERROR(INDEX(BARDAGE!$C$7:$C$1506,MATCH(M83,BARDAGE!$B$7:$B$1506,0)),"? hors registre"))</f>
        <v>24803600</v>
      </c>
      <c r="O83" s="80" t="s">
        <v>141</v>
      </c>
      <c r="P83" s="80" t="s">
        <v>141</v>
      </c>
      <c r="Q83" s="80" t="s">
        <v>134</v>
      </c>
      <c r="R83" s="82" t="n">
        <v>45881</v>
      </c>
      <c r="S83" s="82" t="n">
        <v>45881</v>
      </c>
      <c r="T83" s="80" t="s">
        <v>292</v>
      </c>
      <c r="U83" s="80" t="s">
        <v>105</v>
      </c>
      <c r="V83" s="82" t="n">
        <v>45890</v>
      </c>
      <c r="W83" s="80" t="s">
        <v>289</v>
      </c>
      <c r="X83" s="80" t="s">
        <v>105</v>
      </c>
      <c r="Y83" s="80"/>
      <c r="Z83" s="80"/>
      <c r="AA83" s="82"/>
      <c r="AB83" s="80"/>
      <c r="AC83" s="80"/>
      <c r="AD83" s="80"/>
      <c r="AE83" s="80"/>
      <c r="AF83" s="82"/>
      <c r="AG83" s="80"/>
      <c r="AH83" s="80"/>
      <c r="AI83" s="82"/>
      <c r="AJ83" s="79"/>
      <c r="AK83" s="78" t="n">
        <f aca="false">IF(E83="","",(X83&lt;&gt;"")+(AC83&lt;&gt;"")+(AH83&lt;&gt;""))</f>
        <v>1</v>
      </c>
      <c r="AL83" s="81" t="str">
        <f aca="false">IF(AH83&lt;&gt;"",AH83,IF(AC83&lt;&gt;"",AC83,IF(X83&lt;&gt;"",X83,"")))</f>
        <v>A</v>
      </c>
      <c r="AM83" s="83" t="str">
        <f aca="false">IF(E83="","",IF(R83="","À SOUDER",IF(U83="","VT EN ATTENTE",IF(U83="R","VT REJETÉ – À REPRENDRE",IF(AL83="","À RADIOGRAPHIER",IF(AL83="A","ACCEPTÉ",IF(AL83="NX","NX – RT À REFAIRE",IF(IF(AK83=1,Z83,IF(AK83=2,AE83,""))="A","RÉPARÉ – À RADIOGRAPHIER",IF(IF(AK83=1,Z83,IF(AK83=2,AE83,""))="R","VT REJETÉ – À REPRENDRE",IF(OR(AL83="CO",AL83="NT"),"COUPE – À RESOUDER","À RÉPARER"))))))))))</f>
        <v>ACCEPTÉ</v>
      </c>
      <c r="AN83" s="81" t="str">
        <f aca="false">IF(AND(ISNUMBER(R83),OR(AM83="À RADIOGRAPHIER",AM83="RÉPARÉ – À RADIOGRAPHIER",AM83="NX – RT À REFAIRE",AM83="À RÉPARER",AM83="COUPE – À RESOUDER",AM83="VT REJETÉ – À REPRENDRE")),MAX(0,'PROGRAMME RT'!$C$4-R83),"")</f>
        <v/>
      </c>
      <c r="AO83" s="78" t="n">
        <f aca="false">IF(AND(OR(AM83="À RADIOGRAPHIER",AM83="RÉPARÉ – À RADIOGRAPHIER",AM83="NX – RT À REFAIRE"),OR('PROGRAMME RT'!$D$5="TOUTES",B83='PROGRAMME RT'!$D$5)),1,0)</f>
        <v>0</v>
      </c>
      <c r="AP83" s="78" t="str">
        <f aca="false">IF(AO83=1,SUM(AO$7:AO83),"")</f>
        <v/>
      </c>
      <c r="AQ83" s="78" t="n">
        <f aca="false">IF(AND(OR(X83="R",X83="NX",X83="NT",X83="CO"),OR('JOINTS DE RÉPARATION'!$D$5="TOUTES",B83='JOINTS DE RÉPARATION'!$D$5),OR('JOINTS DE RÉPARATION'!$L$4="TOUS",AM83&lt;&gt;"ACCEPTÉ")),1,0)</f>
        <v>0</v>
      </c>
      <c r="AR83" s="78" t="str">
        <f aca="false">IF(AQ83=1,SUM(AQ$7:AQ83),"")</f>
        <v/>
      </c>
    </row>
    <row r="84" customFormat="false" ht="15" hidden="false" customHeight="false" outlineLevel="0" collapsed="false">
      <c r="A84" s="78" t="n">
        <f aca="false">IF(E84="","",ROW()-6)</f>
        <v>78</v>
      </c>
      <c r="B84" s="79" t="s">
        <v>102</v>
      </c>
      <c r="C84" s="80" t="s">
        <v>231</v>
      </c>
      <c r="D84" s="80" t="s">
        <v>103</v>
      </c>
      <c r="E84" s="80" t="s">
        <v>295</v>
      </c>
      <c r="F84" s="80" t="s">
        <v>151</v>
      </c>
      <c r="G84" s="80" t="s">
        <v>106</v>
      </c>
      <c r="H84" s="80" t="n">
        <v>11</v>
      </c>
      <c r="I84" s="80" t="s">
        <v>114</v>
      </c>
      <c r="J84" s="80" t="s">
        <v>132</v>
      </c>
      <c r="K84" s="80" t="s">
        <v>294</v>
      </c>
      <c r="L84" s="84" t="n">
        <f aca="false">IF(K84="","",IFERROR(INDEX(BARDAGE!$C$7:$C$1506,MATCH(K84,BARDAGE!$B$7:$B$1506,0)),"? hors registre"))</f>
        <v>24803600</v>
      </c>
      <c r="M84" s="80" t="s">
        <v>296</v>
      </c>
      <c r="N84" s="84" t="n">
        <f aca="false">IF(M84="","",IFERROR(INDEX(BARDAGE!$C$7:$C$1506,MATCH(M84,BARDAGE!$B$7:$B$1506,0)),"? hors registre"))</f>
        <v>24703643</v>
      </c>
      <c r="O84" s="80" t="s">
        <v>141</v>
      </c>
      <c r="P84" s="80" t="s">
        <v>141</v>
      </c>
      <c r="Q84" s="80" t="s">
        <v>125</v>
      </c>
      <c r="R84" s="82" t="n">
        <v>45881</v>
      </c>
      <c r="S84" s="82" t="n">
        <v>45881</v>
      </c>
      <c r="T84" s="80" t="s">
        <v>292</v>
      </c>
      <c r="U84" s="80" t="s">
        <v>105</v>
      </c>
      <c r="V84" s="82" t="n">
        <v>45890</v>
      </c>
      <c r="W84" s="80" t="s">
        <v>289</v>
      </c>
      <c r="X84" s="80" t="s">
        <v>105</v>
      </c>
      <c r="Y84" s="80"/>
      <c r="Z84" s="80"/>
      <c r="AA84" s="82"/>
      <c r="AB84" s="80"/>
      <c r="AC84" s="80"/>
      <c r="AD84" s="80"/>
      <c r="AE84" s="80"/>
      <c r="AF84" s="82"/>
      <c r="AG84" s="80"/>
      <c r="AH84" s="80"/>
      <c r="AI84" s="82"/>
      <c r="AJ84" s="79"/>
      <c r="AK84" s="78" t="n">
        <f aca="false">IF(E84="","",(X84&lt;&gt;"")+(AC84&lt;&gt;"")+(AH84&lt;&gt;""))</f>
        <v>1</v>
      </c>
      <c r="AL84" s="81" t="str">
        <f aca="false">IF(AH84&lt;&gt;"",AH84,IF(AC84&lt;&gt;"",AC84,IF(X84&lt;&gt;"",X84,"")))</f>
        <v>A</v>
      </c>
      <c r="AM84" s="83" t="str">
        <f aca="false">IF(E84="","",IF(R84="","À SOUDER",IF(U84="","VT EN ATTENTE",IF(U84="R","VT REJETÉ – À REPRENDRE",IF(AL84="","À RADIOGRAPHIER",IF(AL84="A","ACCEPTÉ",IF(AL84="NX","NX – RT À REFAIRE",IF(IF(AK84=1,Z84,IF(AK84=2,AE84,""))="A","RÉPARÉ – À RADIOGRAPHIER",IF(IF(AK84=1,Z84,IF(AK84=2,AE84,""))="R","VT REJETÉ – À REPRENDRE",IF(OR(AL84="CO",AL84="NT"),"COUPE – À RESOUDER","À RÉPARER"))))))))))</f>
        <v>ACCEPTÉ</v>
      </c>
      <c r="AN84" s="81" t="str">
        <f aca="false">IF(AND(ISNUMBER(R84),OR(AM84="À RADIOGRAPHIER",AM84="RÉPARÉ – À RADIOGRAPHIER",AM84="NX – RT À REFAIRE",AM84="À RÉPARER",AM84="COUPE – À RESOUDER",AM84="VT REJETÉ – À REPRENDRE")),MAX(0,'PROGRAMME RT'!$C$4-R84),"")</f>
        <v/>
      </c>
      <c r="AO84" s="78" t="n">
        <f aca="false">IF(AND(OR(AM84="À RADIOGRAPHIER",AM84="RÉPARÉ – À RADIOGRAPHIER",AM84="NX – RT À REFAIRE"),OR('PROGRAMME RT'!$D$5="TOUTES",B84='PROGRAMME RT'!$D$5)),1,0)</f>
        <v>0</v>
      </c>
      <c r="AP84" s="78" t="str">
        <f aca="false">IF(AO84=1,SUM(AO$7:AO84),"")</f>
        <v/>
      </c>
      <c r="AQ84" s="78" t="n">
        <f aca="false">IF(AND(OR(X84="R",X84="NX",X84="NT",X84="CO"),OR('JOINTS DE RÉPARATION'!$D$5="TOUTES",B84='JOINTS DE RÉPARATION'!$D$5),OR('JOINTS DE RÉPARATION'!$L$4="TOUS",AM84&lt;&gt;"ACCEPTÉ")),1,0)</f>
        <v>0</v>
      </c>
      <c r="AR84" s="78" t="str">
        <f aca="false">IF(AQ84=1,SUM(AQ$7:AQ84),"")</f>
        <v/>
      </c>
    </row>
    <row r="85" customFormat="false" ht="15" hidden="false" customHeight="false" outlineLevel="0" collapsed="false">
      <c r="A85" s="78" t="n">
        <f aca="false">IF(E85="","",ROW()-6)</f>
        <v>79</v>
      </c>
      <c r="B85" s="79" t="s">
        <v>102</v>
      </c>
      <c r="C85" s="80" t="s">
        <v>231</v>
      </c>
      <c r="D85" s="80" t="s">
        <v>103</v>
      </c>
      <c r="E85" s="80" t="s">
        <v>297</v>
      </c>
      <c r="F85" s="80" t="s">
        <v>151</v>
      </c>
      <c r="G85" s="80" t="s">
        <v>106</v>
      </c>
      <c r="H85" s="80" t="n">
        <v>11</v>
      </c>
      <c r="I85" s="80" t="s">
        <v>114</v>
      </c>
      <c r="J85" s="80" t="s">
        <v>132</v>
      </c>
      <c r="K85" s="80" t="s">
        <v>296</v>
      </c>
      <c r="L85" s="84" t="n">
        <f aca="false">IF(K85="","",IFERROR(INDEX(BARDAGE!$C$7:$C$1506,MATCH(K85,BARDAGE!$B$7:$B$1506,0)),"? hors registre"))</f>
        <v>24703643</v>
      </c>
      <c r="M85" s="80" t="s">
        <v>298</v>
      </c>
      <c r="N85" s="84" t="n">
        <f aca="false">IF(M85="","",IFERROR(INDEX(BARDAGE!$C$7:$C$1506,MATCH(M85,BARDAGE!$B$7:$B$1506,0)),"? hors registre"))</f>
        <v>24102307</v>
      </c>
      <c r="O85" s="80" t="s">
        <v>141</v>
      </c>
      <c r="P85" s="80" t="s">
        <v>141</v>
      </c>
      <c r="Q85" s="80" t="s">
        <v>134</v>
      </c>
      <c r="R85" s="82" t="n">
        <v>45881</v>
      </c>
      <c r="S85" s="82" t="n">
        <v>45881</v>
      </c>
      <c r="T85" s="80" t="s">
        <v>292</v>
      </c>
      <c r="U85" s="80" t="s">
        <v>105</v>
      </c>
      <c r="V85" s="82" t="n">
        <v>45890</v>
      </c>
      <c r="W85" s="80" t="s">
        <v>289</v>
      </c>
      <c r="X85" s="80" t="s">
        <v>105</v>
      </c>
      <c r="Y85" s="80"/>
      <c r="Z85" s="80"/>
      <c r="AA85" s="82"/>
      <c r="AB85" s="80"/>
      <c r="AC85" s="80"/>
      <c r="AD85" s="80"/>
      <c r="AE85" s="80"/>
      <c r="AF85" s="82"/>
      <c r="AG85" s="80"/>
      <c r="AH85" s="80"/>
      <c r="AI85" s="82"/>
      <c r="AJ85" s="79"/>
      <c r="AK85" s="78" t="n">
        <f aca="false">IF(E85="","",(X85&lt;&gt;"")+(AC85&lt;&gt;"")+(AH85&lt;&gt;""))</f>
        <v>1</v>
      </c>
      <c r="AL85" s="81" t="str">
        <f aca="false">IF(AH85&lt;&gt;"",AH85,IF(AC85&lt;&gt;"",AC85,IF(X85&lt;&gt;"",X85,"")))</f>
        <v>A</v>
      </c>
      <c r="AM85" s="83" t="str">
        <f aca="false">IF(E85="","",IF(R85="","À SOUDER",IF(U85="","VT EN ATTENTE",IF(U85="R","VT REJETÉ – À REPRENDRE",IF(AL85="","À RADIOGRAPHIER",IF(AL85="A","ACCEPTÉ",IF(AL85="NX","NX – RT À REFAIRE",IF(IF(AK85=1,Z85,IF(AK85=2,AE85,""))="A","RÉPARÉ – À RADIOGRAPHIER",IF(IF(AK85=1,Z85,IF(AK85=2,AE85,""))="R","VT REJETÉ – À REPRENDRE",IF(OR(AL85="CO",AL85="NT"),"COUPE – À RESOUDER","À RÉPARER"))))))))))</f>
        <v>ACCEPTÉ</v>
      </c>
      <c r="AN85" s="81" t="str">
        <f aca="false">IF(AND(ISNUMBER(R85),OR(AM85="À RADIOGRAPHIER",AM85="RÉPARÉ – À RADIOGRAPHIER",AM85="NX – RT À REFAIRE",AM85="À RÉPARER",AM85="COUPE – À RESOUDER",AM85="VT REJETÉ – À REPRENDRE")),MAX(0,'PROGRAMME RT'!$C$4-R85),"")</f>
        <v/>
      </c>
      <c r="AO85" s="78" t="n">
        <f aca="false">IF(AND(OR(AM85="À RADIOGRAPHIER",AM85="RÉPARÉ – À RADIOGRAPHIER",AM85="NX – RT À REFAIRE"),OR('PROGRAMME RT'!$D$5="TOUTES",B85='PROGRAMME RT'!$D$5)),1,0)</f>
        <v>0</v>
      </c>
      <c r="AP85" s="78" t="str">
        <f aca="false">IF(AO85=1,SUM(AO$7:AO85),"")</f>
        <v/>
      </c>
      <c r="AQ85" s="78" t="n">
        <f aca="false">IF(AND(OR(X85="R",X85="NX",X85="NT",X85="CO"),OR('JOINTS DE RÉPARATION'!$D$5="TOUTES",B85='JOINTS DE RÉPARATION'!$D$5),OR('JOINTS DE RÉPARATION'!$L$4="TOUS",AM85&lt;&gt;"ACCEPTÉ")),1,0)</f>
        <v>0</v>
      </c>
      <c r="AR85" s="78" t="str">
        <f aca="false">IF(AQ85=1,SUM(AQ$7:AQ85),"")</f>
        <v/>
      </c>
    </row>
    <row r="86" customFormat="false" ht="15" hidden="false" customHeight="false" outlineLevel="0" collapsed="false">
      <c r="A86" s="78" t="n">
        <f aca="false">IF(E86="","",ROW()-6)</f>
        <v>80</v>
      </c>
      <c r="B86" s="79" t="s">
        <v>102</v>
      </c>
      <c r="C86" s="80" t="s">
        <v>231</v>
      </c>
      <c r="D86" s="80" t="s">
        <v>103</v>
      </c>
      <c r="E86" s="80" t="s">
        <v>299</v>
      </c>
      <c r="F86" s="80" t="s">
        <v>151</v>
      </c>
      <c r="G86" s="80" t="s">
        <v>106</v>
      </c>
      <c r="H86" s="80" t="n">
        <v>11</v>
      </c>
      <c r="I86" s="80" t="s">
        <v>114</v>
      </c>
      <c r="J86" s="80" t="s">
        <v>132</v>
      </c>
      <c r="K86" s="80" t="s">
        <v>298</v>
      </c>
      <c r="L86" s="84" t="n">
        <f aca="false">IF(K86="","",IFERROR(INDEX(BARDAGE!$C$7:$C$1506,MATCH(K86,BARDAGE!$B$7:$B$1506,0)),"? hors registre"))</f>
        <v>24102307</v>
      </c>
      <c r="M86" s="80" t="s">
        <v>300</v>
      </c>
      <c r="N86" s="84" t="n">
        <f aca="false">IF(M86="","",IFERROR(INDEX(BARDAGE!$C$7:$C$1506,MATCH(M86,BARDAGE!$B$7:$B$1506,0)),"? hors registre"))</f>
        <v>24703643</v>
      </c>
      <c r="O86" s="80" t="s">
        <v>141</v>
      </c>
      <c r="P86" s="80" t="s">
        <v>141</v>
      </c>
      <c r="Q86" s="80" t="s">
        <v>125</v>
      </c>
      <c r="R86" s="82" t="n">
        <v>45881</v>
      </c>
      <c r="S86" s="82" t="n">
        <v>45881</v>
      </c>
      <c r="T86" s="80" t="s">
        <v>292</v>
      </c>
      <c r="U86" s="80" t="s">
        <v>105</v>
      </c>
      <c r="V86" s="82" t="n">
        <v>45890</v>
      </c>
      <c r="W86" s="80" t="s">
        <v>289</v>
      </c>
      <c r="X86" s="80" t="s">
        <v>105</v>
      </c>
      <c r="Y86" s="80"/>
      <c r="Z86" s="80"/>
      <c r="AA86" s="82"/>
      <c r="AB86" s="80"/>
      <c r="AC86" s="80"/>
      <c r="AD86" s="80"/>
      <c r="AE86" s="80"/>
      <c r="AF86" s="82"/>
      <c r="AG86" s="80"/>
      <c r="AH86" s="80"/>
      <c r="AI86" s="82"/>
      <c r="AJ86" s="79"/>
      <c r="AK86" s="78" t="n">
        <f aca="false">IF(E86="","",(X86&lt;&gt;"")+(AC86&lt;&gt;"")+(AH86&lt;&gt;""))</f>
        <v>1</v>
      </c>
      <c r="AL86" s="81" t="str">
        <f aca="false">IF(AH86&lt;&gt;"",AH86,IF(AC86&lt;&gt;"",AC86,IF(X86&lt;&gt;"",X86,"")))</f>
        <v>A</v>
      </c>
      <c r="AM86" s="83" t="str">
        <f aca="false">IF(E86="","",IF(R86="","À SOUDER",IF(U86="","VT EN ATTENTE",IF(U86="R","VT REJETÉ – À REPRENDRE",IF(AL86="","À RADIOGRAPHIER",IF(AL86="A","ACCEPTÉ",IF(AL86="NX","NX – RT À REFAIRE",IF(IF(AK86=1,Z86,IF(AK86=2,AE86,""))="A","RÉPARÉ – À RADIOGRAPHIER",IF(IF(AK86=1,Z86,IF(AK86=2,AE86,""))="R","VT REJETÉ – À REPRENDRE",IF(OR(AL86="CO",AL86="NT"),"COUPE – À RESOUDER","À RÉPARER"))))))))))</f>
        <v>ACCEPTÉ</v>
      </c>
      <c r="AN86" s="81" t="str">
        <f aca="false">IF(AND(ISNUMBER(R86),OR(AM86="À RADIOGRAPHIER",AM86="RÉPARÉ – À RADIOGRAPHIER",AM86="NX – RT À REFAIRE",AM86="À RÉPARER",AM86="COUPE – À RESOUDER",AM86="VT REJETÉ – À REPRENDRE")),MAX(0,'PROGRAMME RT'!$C$4-R86),"")</f>
        <v/>
      </c>
      <c r="AO86" s="78" t="n">
        <f aca="false">IF(AND(OR(AM86="À RADIOGRAPHIER",AM86="RÉPARÉ – À RADIOGRAPHIER",AM86="NX – RT À REFAIRE"),OR('PROGRAMME RT'!$D$5="TOUTES",B86='PROGRAMME RT'!$D$5)),1,0)</f>
        <v>0</v>
      </c>
      <c r="AP86" s="78" t="str">
        <f aca="false">IF(AO86=1,SUM(AO$7:AO86),"")</f>
        <v/>
      </c>
      <c r="AQ86" s="78" t="n">
        <f aca="false">IF(AND(OR(X86="R",X86="NX",X86="NT",X86="CO"),OR('JOINTS DE RÉPARATION'!$D$5="TOUTES",B86='JOINTS DE RÉPARATION'!$D$5),OR('JOINTS DE RÉPARATION'!$L$4="TOUS",AM86&lt;&gt;"ACCEPTÉ")),1,0)</f>
        <v>0</v>
      </c>
      <c r="AR86" s="78" t="str">
        <f aca="false">IF(AQ86=1,SUM(AQ$7:AQ86),"")</f>
        <v/>
      </c>
    </row>
    <row r="87" customFormat="false" ht="15" hidden="false" customHeight="false" outlineLevel="0" collapsed="false">
      <c r="A87" s="78" t="n">
        <f aca="false">IF(E87="","",ROW()-6)</f>
        <v>81</v>
      </c>
      <c r="B87" s="79" t="s">
        <v>102</v>
      </c>
      <c r="C87" s="80" t="s">
        <v>231</v>
      </c>
      <c r="D87" s="80" t="s">
        <v>103</v>
      </c>
      <c r="E87" s="80" t="s">
        <v>301</v>
      </c>
      <c r="F87" s="80" t="s">
        <v>151</v>
      </c>
      <c r="G87" s="80" t="s">
        <v>106</v>
      </c>
      <c r="H87" s="80" t="n">
        <v>11</v>
      </c>
      <c r="I87" s="80" t="s">
        <v>114</v>
      </c>
      <c r="J87" s="80" t="s">
        <v>132</v>
      </c>
      <c r="K87" s="80" t="s">
        <v>300</v>
      </c>
      <c r="L87" s="84" t="n">
        <f aca="false">IF(K87="","",IFERROR(INDEX(BARDAGE!$C$7:$C$1506,MATCH(K87,BARDAGE!$B$7:$B$1506,0)),"? hors registre"))</f>
        <v>24703643</v>
      </c>
      <c r="M87" s="80" t="s">
        <v>302</v>
      </c>
      <c r="N87" s="84" t="n">
        <f aca="false">IF(M87="","",IFERROR(INDEX(BARDAGE!$C$7:$C$1506,MATCH(M87,BARDAGE!$B$7:$B$1506,0)),"? hors registre"))</f>
        <v>852405000449</v>
      </c>
      <c r="O87" s="80" t="s">
        <v>141</v>
      </c>
      <c r="P87" s="80" t="s">
        <v>141</v>
      </c>
      <c r="Q87" s="80" t="s">
        <v>134</v>
      </c>
      <c r="R87" s="82" t="n">
        <v>45881</v>
      </c>
      <c r="S87" s="82" t="n">
        <v>45881</v>
      </c>
      <c r="T87" s="80" t="s">
        <v>292</v>
      </c>
      <c r="U87" s="80" t="s">
        <v>105</v>
      </c>
      <c r="V87" s="82" t="n">
        <v>45890</v>
      </c>
      <c r="W87" s="80" t="s">
        <v>289</v>
      </c>
      <c r="X87" s="80" t="s">
        <v>105</v>
      </c>
      <c r="Y87" s="80"/>
      <c r="Z87" s="80"/>
      <c r="AA87" s="82"/>
      <c r="AB87" s="80"/>
      <c r="AC87" s="80"/>
      <c r="AD87" s="80"/>
      <c r="AE87" s="80"/>
      <c r="AF87" s="82"/>
      <c r="AG87" s="80"/>
      <c r="AH87" s="80"/>
      <c r="AI87" s="82"/>
      <c r="AJ87" s="79"/>
      <c r="AK87" s="78" t="n">
        <f aca="false">IF(E87="","",(X87&lt;&gt;"")+(AC87&lt;&gt;"")+(AH87&lt;&gt;""))</f>
        <v>1</v>
      </c>
      <c r="AL87" s="81" t="str">
        <f aca="false">IF(AH87&lt;&gt;"",AH87,IF(AC87&lt;&gt;"",AC87,IF(X87&lt;&gt;"",X87,"")))</f>
        <v>A</v>
      </c>
      <c r="AM87" s="83" t="str">
        <f aca="false">IF(E87="","",IF(R87="","À SOUDER",IF(U87="","VT EN ATTENTE",IF(U87="R","VT REJETÉ – À REPRENDRE",IF(AL87="","À RADIOGRAPHIER",IF(AL87="A","ACCEPTÉ",IF(AL87="NX","NX – RT À REFAIRE",IF(IF(AK87=1,Z87,IF(AK87=2,AE87,""))="A","RÉPARÉ – À RADIOGRAPHIER",IF(IF(AK87=1,Z87,IF(AK87=2,AE87,""))="R","VT REJETÉ – À REPRENDRE",IF(OR(AL87="CO",AL87="NT"),"COUPE – À RESOUDER","À RÉPARER"))))))))))</f>
        <v>ACCEPTÉ</v>
      </c>
      <c r="AN87" s="81" t="str">
        <f aca="false">IF(AND(ISNUMBER(R87),OR(AM87="À RADIOGRAPHIER",AM87="RÉPARÉ – À RADIOGRAPHIER",AM87="NX – RT À REFAIRE",AM87="À RÉPARER",AM87="COUPE – À RESOUDER",AM87="VT REJETÉ – À REPRENDRE")),MAX(0,'PROGRAMME RT'!$C$4-R87),"")</f>
        <v/>
      </c>
      <c r="AO87" s="78" t="n">
        <f aca="false">IF(AND(OR(AM87="À RADIOGRAPHIER",AM87="RÉPARÉ – À RADIOGRAPHIER",AM87="NX – RT À REFAIRE"),OR('PROGRAMME RT'!$D$5="TOUTES",B87='PROGRAMME RT'!$D$5)),1,0)</f>
        <v>0</v>
      </c>
      <c r="AP87" s="78" t="str">
        <f aca="false">IF(AO87=1,SUM(AO$7:AO87),"")</f>
        <v/>
      </c>
      <c r="AQ87" s="78" t="n">
        <f aca="false">IF(AND(OR(X87="R",X87="NX",X87="NT",X87="CO"),OR('JOINTS DE RÉPARATION'!$D$5="TOUTES",B87='JOINTS DE RÉPARATION'!$D$5),OR('JOINTS DE RÉPARATION'!$L$4="TOUS",AM87&lt;&gt;"ACCEPTÉ")),1,0)</f>
        <v>0</v>
      </c>
      <c r="AR87" s="78" t="str">
        <f aca="false">IF(AQ87=1,SUM(AQ$7:AQ87),"")</f>
        <v/>
      </c>
    </row>
    <row r="88" customFormat="false" ht="15" hidden="false" customHeight="false" outlineLevel="0" collapsed="false">
      <c r="A88" s="78" t="n">
        <f aca="false">IF(E88="","",ROW()-6)</f>
        <v>82</v>
      </c>
      <c r="B88" s="79" t="s">
        <v>102</v>
      </c>
      <c r="C88" s="80" t="s">
        <v>231</v>
      </c>
      <c r="D88" s="80" t="s">
        <v>103</v>
      </c>
      <c r="E88" s="80" t="s">
        <v>303</v>
      </c>
      <c r="F88" s="80" t="s">
        <v>151</v>
      </c>
      <c r="G88" s="80" t="s">
        <v>106</v>
      </c>
      <c r="H88" s="80" t="n">
        <v>11</v>
      </c>
      <c r="I88" s="80" t="s">
        <v>114</v>
      </c>
      <c r="J88" s="80" t="s">
        <v>132</v>
      </c>
      <c r="K88" s="80" t="s">
        <v>302</v>
      </c>
      <c r="L88" s="84" t="n">
        <f aca="false">IF(K88="","",IFERROR(INDEX(BARDAGE!$C$7:$C$1506,MATCH(K88,BARDAGE!$B$7:$B$1506,0)),"? hors registre"))</f>
        <v>852405000449</v>
      </c>
      <c r="M88" s="80" t="s">
        <v>304</v>
      </c>
      <c r="N88" s="84" t="n">
        <f aca="false">IF(M88="","",IFERROR(INDEX(BARDAGE!$C$7:$C$1506,MATCH(M88,BARDAGE!$B$7:$B$1506,0)),"? hors registre"))</f>
        <v>24102493</v>
      </c>
      <c r="O88" s="80" t="s">
        <v>141</v>
      </c>
      <c r="P88" s="80" t="s">
        <v>141</v>
      </c>
      <c r="Q88" s="80" t="s">
        <v>125</v>
      </c>
      <c r="R88" s="82" t="n">
        <v>45881</v>
      </c>
      <c r="S88" s="82" t="n">
        <v>45881</v>
      </c>
      <c r="T88" s="80" t="s">
        <v>292</v>
      </c>
      <c r="U88" s="80" t="s">
        <v>105</v>
      </c>
      <c r="V88" s="82" t="n">
        <v>45890</v>
      </c>
      <c r="W88" s="80" t="s">
        <v>289</v>
      </c>
      <c r="X88" s="80" t="s">
        <v>105</v>
      </c>
      <c r="Y88" s="80"/>
      <c r="Z88" s="80"/>
      <c r="AA88" s="82"/>
      <c r="AB88" s="80"/>
      <c r="AC88" s="80"/>
      <c r="AD88" s="80"/>
      <c r="AE88" s="80"/>
      <c r="AF88" s="82"/>
      <c r="AG88" s="80"/>
      <c r="AH88" s="80"/>
      <c r="AI88" s="82"/>
      <c r="AJ88" s="79"/>
      <c r="AK88" s="78" t="n">
        <f aca="false">IF(E88="","",(X88&lt;&gt;"")+(AC88&lt;&gt;"")+(AH88&lt;&gt;""))</f>
        <v>1</v>
      </c>
      <c r="AL88" s="81" t="str">
        <f aca="false">IF(AH88&lt;&gt;"",AH88,IF(AC88&lt;&gt;"",AC88,IF(X88&lt;&gt;"",X88,"")))</f>
        <v>A</v>
      </c>
      <c r="AM88" s="83" t="str">
        <f aca="false">IF(E88="","",IF(R88="","À SOUDER",IF(U88="","VT EN ATTENTE",IF(U88="R","VT REJETÉ – À REPRENDRE",IF(AL88="","À RADIOGRAPHIER",IF(AL88="A","ACCEPTÉ",IF(AL88="NX","NX – RT À REFAIRE",IF(IF(AK88=1,Z88,IF(AK88=2,AE88,""))="A","RÉPARÉ – À RADIOGRAPHIER",IF(IF(AK88=1,Z88,IF(AK88=2,AE88,""))="R","VT REJETÉ – À REPRENDRE",IF(OR(AL88="CO",AL88="NT"),"COUPE – À RESOUDER","À RÉPARER"))))))))))</f>
        <v>ACCEPTÉ</v>
      </c>
      <c r="AN88" s="81" t="str">
        <f aca="false">IF(AND(ISNUMBER(R88),OR(AM88="À RADIOGRAPHIER",AM88="RÉPARÉ – À RADIOGRAPHIER",AM88="NX – RT À REFAIRE",AM88="À RÉPARER",AM88="COUPE – À RESOUDER",AM88="VT REJETÉ – À REPRENDRE")),MAX(0,'PROGRAMME RT'!$C$4-R88),"")</f>
        <v/>
      </c>
      <c r="AO88" s="78" t="n">
        <f aca="false">IF(AND(OR(AM88="À RADIOGRAPHIER",AM88="RÉPARÉ – À RADIOGRAPHIER",AM88="NX – RT À REFAIRE"),OR('PROGRAMME RT'!$D$5="TOUTES",B88='PROGRAMME RT'!$D$5)),1,0)</f>
        <v>0</v>
      </c>
      <c r="AP88" s="78" t="str">
        <f aca="false">IF(AO88=1,SUM(AO$7:AO88),"")</f>
        <v/>
      </c>
      <c r="AQ88" s="78" t="n">
        <f aca="false">IF(AND(OR(X88="R",X88="NX",X88="NT",X88="CO"),OR('JOINTS DE RÉPARATION'!$D$5="TOUTES",B88='JOINTS DE RÉPARATION'!$D$5),OR('JOINTS DE RÉPARATION'!$L$4="TOUS",AM88&lt;&gt;"ACCEPTÉ")),1,0)</f>
        <v>0</v>
      </c>
      <c r="AR88" s="78" t="str">
        <f aca="false">IF(AQ88=1,SUM(AQ$7:AQ88),"")</f>
        <v/>
      </c>
    </row>
    <row r="89" customFormat="false" ht="15" hidden="false" customHeight="false" outlineLevel="0" collapsed="false">
      <c r="A89" s="78" t="n">
        <f aca="false">IF(E89="","",ROW()-6)</f>
        <v>83</v>
      </c>
      <c r="B89" s="79" t="s">
        <v>102</v>
      </c>
      <c r="C89" s="80" t="s">
        <v>231</v>
      </c>
      <c r="D89" s="80" t="s">
        <v>103</v>
      </c>
      <c r="E89" s="80" t="s">
        <v>305</v>
      </c>
      <c r="F89" s="80" t="s">
        <v>151</v>
      </c>
      <c r="G89" s="80" t="s">
        <v>106</v>
      </c>
      <c r="H89" s="80" t="n">
        <v>11</v>
      </c>
      <c r="I89" s="80" t="s">
        <v>114</v>
      </c>
      <c r="J89" s="80" t="s">
        <v>132</v>
      </c>
      <c r="K89" s="80" t="s">
        <v>304</v>
      </c>
      <c r="L89" s="84" t="n">
        <f aca="false">IF(K89="","",IFERROR(INDEX(BARDAGE!$C$7:$C$1506,MATCH(K89,BARDAGE!$B$7:$B$1506,0)),"? hors registre"))</f>
        <v>24102493</v>
      </c>
      <c r="M89" s="80" t="s">
        <v>306</v>
      </c>
      <c r="N89" s="84" t="n">
        <f aca="false">IF(M89="","",IFERROR(INDEX(BARDAGE!$C$7:$C$1506,MATCH(M89,BARDAGE!$B$7:$B$1506,0)),"? hors registre"))</f>
        <v>24703645</v>
      </c>
      <c r="O89" s="80" t="s">
        <v>141</v>
      </c>
      <c r="P89" s="80" t="s">
        <v>141</v>
      </c>
      <c r="Q89" s="80" t="s">
        <v>134</v>
      </c>
      <c r="R89" s="82" t="n">
        <v>45881</v>
      </c>
      <c r="S89" s="82" t="n">
        <v>45881</v>
      </c>
      <c r="T89" s="80" t="s">
        <v>292</v>
      </c>
      <c r="U89" s="80" t="s">
        <v>105</v>
      </c>
      <c r="V89" s="82" t="n">
        <v>45890</v>
      </c>
      <c r="W89" s="80" t="s">
        <v>289</v>
      </c>
      <c r="X89" s="80" t="s">
        <v>105</v>
      </c>
      <c r="Y89" s="80"/>
      <c r="Z89" s="80"/>
      <c r="AA89" s="82"/>
      <c r="AB89" s="80"/>
      <c r="AC89" s="80"/>
      <c r="AD89" s="80"/>
      <c r="AE89" s="80"/>
      <c r="AF89" s="82"/>
      <c r="AG89" s="80"/>
      <c r="AH89" s="80"/>
      <c r="AI89" s="82"/>
      <c r="AJ89" s="79"/>
      <c r="AK89" s="78" t="n">
        <f aca="false">IF(E89="","",(X89&lt;&gt;"")+(AC89&lt;&gt;"")+(AH89&lt;&gt;""))</f>
        <v>1</v>
      </c>
      <c r="AL89" s="81" t="str">
        <f aca="false">IF(AH89&lt;&gt;"",AH89,IF(AC89&lt;&gt;"",AC89,IF(X89&lt;&gt;"",X89,"")))</f>
        <v>A</v>
      </c>
      <c r="AM89" s="83" t="str">
        <f aca="false">IF(E89="","",IF(R89="","À SOUDER",IF(U89="","VT EN ATTENTE",IF(U89="R","VT REJETÉ – À REPRENDRE",IF(AL89="","À RADIOGRAPHIER",IF(AL89="A","ACCEPTÉ",IF(AL89="NX","NX – RT À REFAIRE",IF(IF(AK89=1,Z89,IF(AK89=2,AE89,""))="A","RÉPARÉ – À RADIOGRAPHIER",IF(IF(AK89=1,Z89,IF(AK89=2,AE89,""))="R","VT REJETÉ – À REPRENDRE",IF(OR(AL89="CO",AL89="NT"),"COUPE – À RESOUDER","À RÉPARER"))))))))))</f>
        <v>ACCEPTÉ</v>
      </c>
      <c r="AN89" s="81" t="str">
        <f aca="false">IF(AND(ISNUMBER(R89),OR(AM89="À RADIOGRAPHIER",AM89="RÉPARÉ – À RADIOGRAPHIER",AM89="NX – RT À REFAIRE",AM89="À RÉPARER",AM89="COUPE – À RESOUDER",AM89="VT REJETÉ – À REPRENDRE")),MAX(0,'PROGRAMME RT'!$C$4-R89),"")</f>
        <v/>
      </c>
      <c r="AO89" s="78" t="n">
        <f aca="false">IF(AND(OR(AM89="À RADIOGRAPHIER",AM89="RÉPARÉ – À RADIOGRAPHIER",AM89="NX – RT À REFAIRE"),OR('PROGRAMME RT'!$D$5="TOUTES",B89='PROGRAMME RT'!$D$5)),1,0)</f>
        <v>0</v>
      </c>
      <c r="AP89" s="78" t="str">
        <f aca="false">IF(AO89=1,SUM(AO$7:AO89),"")</f>
        <v/>
      </c>
      <c r="AQ89" s="78" t="n">
        <f aca="false">IF(AND(OR(X89="R",X89="NX",X89="NT",X89="CO"),OR('JOINTS DE RÉPARATION'!$D$5="TOUTES",B89='JOINTS DE RÉPARATION'!$D$5),OR('JOINTS DE RÉPARATION'!$L$4="TOUS",AM89&lt;&gt;"ACCEPTÉ")),1,0)</f>
        <v>0</v>
      </c>
      <c r="AR89" s="78" t="str">
        <f aca="false">IF(AQ89=1,SUM(AQ$7:AQ89),"")</f>
        <v/>
      </c>
    </row>
    <row r="90" customFormat="false" ht="15" hidden="false" customHeight="false" outlineLevel="0" collapsed="false">
      <c r="A90" s="78" t="n">
        <f aca="false">IF(E90="","",ROW()-6)</f>
        <v>84</v>
      </c>
      <c r="B90" s="79" t="s">
        <v>102</v>
      </c>
      <c r="C90" s="80" t="s">
        <v>231</v>
      </c>
      <c r="D90" s="80" t="s">
        <v>103</v>
      </c>
      <c r="E90" s="80" t="s">
        <v>307</v>
      </c>
      <c r="F90" s="80" t="s">
        <v>151</v>
      </c>
      <c r="G90" s="80" t="s">
        <v>106</v>
      </c>
      <c r="H90" s="80" t="n">
        <v>11</v>
      </c>
      <c r="I90" s="80" t="s">
        <v>114</v>
      </c>
      <c r="J90" s="80" t="s">
        <v>132</v>
      </c>
      <c r="K90" s="80" t="s">
        <v>306</v>
      </c>
      <c r="L90" s="84" t="n">
        <f aca="false">IF(K90="","",IFERROR(INDEX(BARDAGE!$C$7:$C$1506,MATCH(K90,BARDAGE!$B$7:$B$1506,0)),"? hors registre"))</f>
        <v>24703645</v>
      </c>
      <c r="M90" s="80" t="s">
        <v>308</v>
      </c>
      <c r="N90" s="84" t="n">
        <f aca="false">IF(M90="","",IFERROR(INDEX(BARDAGE!$C$7:$C$1506,MATCH(M90,BARDAGE!$B$7:$B$1506,0)),"? hors registre"))</f>
        <v>24703645</v>
      </c>
      <c r="O90" s="80" t="s">
        <v>141</v>
      </c>
      <c r="P90" s="80" t="s">
        <v>141</v>
      </c>
      <c r="Q90" s="80" t="s">
        <v>125</v>
      </c>
      <c r="R90" s="82" t="n">
        <v>45881</v>
      </c>
      <c r="S90" s="82" t="n">
        <v>45881</v>
      </c>
      <c r="T90" s="80" t="s">
        <v>292</v>
      </c>
      <c r="U90" s="80" t="s">
        <v>105</v>
      </c>
      <c r="V90" s="82" t="n">
        <v>45890</v>
      </c>
      <c r="W90" s="80" t="s">
        <v>289</v>
      </c>
      <c r="X90" s="80" t="s">
        <v>105</v>
      </c>
      <c r="Y90" s="80"/>
      <c r="Z90" s="80"/>
      <c r="AA90" s="82"/>
      <c r="AB90" s="80"/>
      <c r="AC90" s="80"/>
      <c r="AD90" s="80"/>
      <c r="AE90" s="80"/>
      <c r="AF90" s="82"/>
      <c r="AG90" s="80"/>
      <c r="AH90" s="80"/>
      <c r="AI90" s="82"/>
      <c r="AJ90" s="79"/>
      <c r="AK90" s="78" t="n">
        <f aca="false">IF(E90="","",(X90&lt;&gt;"")+(AC90&lt;&gt;"")+(AH90&lt;&gt;""))</f>
        <v>1</v>
      </c>
      <c r="AL90" s="81" t="str">
        <f aca="false">IF(AH90&lt;&gt;"",AH90,IF(AC90&lt;&gt;"",AC90,IF(X90&lt;&gt;"",X90,"")))</f>
        <v>A</v>
      </c>
      <c r="AM90" s="83" t="str">
        <f aca="false">IF(E90="","",IF(R90="","À SOUDER",IF(U90="","VT EN ATTENTE",IF(U90="R","VT REJETÉ – À REPRENDRE",IF(AL90="","À RADIOGRAPHIER",IF(AL90="A","ACCEPTÉ",IF(AL90="NX","NX – RT À REFAIRE",IF(IF(AK90=1,Z90,IF(AK90=2,AE90,""))="A","RÉPARÉ – À RADIOGRAPHIER",IF(IF(AK90=1,Z90,IF(AK90=2,AE90,""))="R","VT REJETÉ – À REPRENDRE",IF(OR(AL90="CO",AL90="NT"),"COUPE – À RESOUDER","À RÉPARER"))))))))))</f>
        <v>ACCEPTÉ</v>
      </c>
      <c r="AN90" s="81" t="str">
        <f aca="false">IF(AND(ISNUMBER(R90),OR(AM90="À RADIOGRAPHIER",AM90="RÉPARÉ – À RADIOGRAPHIER",AM90="NX – RT À REFAIRE",AM90="À RÉPARER",AM90="COUPE – À RESOUDER",AM90="VT REJETÉ – À REPRENDRE")),MAX(0,'PROGRAMME RT'!$C$4-R90),"")</f>
        <v/>
      </c>
      <c r="AO90" s="78" t="n">
        <f aca="false">IF(AND(OR(AM90="À RADIOGRAPHIER",AM90="RÉPARÉ – À RADIOGRAPHIER",AM90="NX – RT À REFAIRE"),OR('PROGRAMME RT'!$D$5="TOUTES",B90='PROGRAMME RT'!$D$5)),1,0)</f>
        <v>0</v>
      </c>
      <c r="AP90" s="78" t="str">
        <f aca="false">IF(AO90=1,SUM(AO$7:AO90),"")</f>
        <v/>
      </c>
      <c r="AQ90" s="78" t="n">
        <f aca="false">IF(AND(OR(X90="R",X90="NX",X90="NT",X90="CO"),OR('JOINTS DE RÉPARATION'!$D$5="TOUTES",B90='JOINTS DE RÉPARATION'!$D$5),OR('JOINTS DE RÉPARATION'!$L$4="TOUS",AM90&lt;&gt;"ACCEPTÉ")),1,0)</f>
        <v>0</v>
      </c>
      <c r="AR90" s="78" t="str">
        <f aca="false">IF(AQ90=1,SUM(AQ$7:AQ90),"")</f>
        <v/>
      </c>
    </row>
    <row r="91" customFormat="false" ht="15" hidden="false" customHeight="false" outlineLevel="0" collapsed="false">
      <c r="A91" s="78" t="n">
        <f aca="false">IF(E91="","",ROW()-6)</f>
        <v>85</v>
      </c>
      <c r="B91" s="79" t="s">
        <v>102</v>
      </c>
      <c r="C91" s="80" t="s">
        <v>231</v>
      </c>
      <c r="D91" s="80" t="s">
        <v>103</v>
      </c>
      <c r="E91" s="80" t="s">
        <v>309</v>
      </c>
      <c r="F91" s="80" t="s">
        <v>151</v>
      </c>
      <c r="G91" s="80" t="s">
        <v>106</v>
      </c>
      <c r="H91" s="80" t="n">
        <v>11</v>
      </c>
      <c r="I91" s="80" t="s">
        <v>114</v>
      </c>
      <c r="J91" s="80" t="s">
        <v>132</v>
      </c>
      <c r="K91" s="80" t="s">
        <v>308</v>
      </c>
      <c r="L91" s="84" t="n">
        <f aca="false">IF(K91="","",IFERROR(INDEX(BARDAGE!$C$7:$C$1506,MATCH(K91,BARDAGE!$B$7:$B$1506,0)),"? hors registre"))</f>
        <v>24703645</v>
      </c>
      <c r="M91" s="80" t="s">
        <v>310</v>
      </c>
      <c r="N91" s="84" t="n">
        <f aca="false">IF(M91="","",IFERROR(INDEX(BARDAGE!$C$7:$C$1506,MATCH(M91,BARDAGE!$B$7:$B$1506,0)),"? hors registre"))</f>
        <v>24703645</v>
      </c>
      <c r="O91" s="80" t="s">
        <v>141</v>
      </c>
      <c r="P91" s="80" t="s">
        <v>141</v>
      </c>
      <c r="Q91" s="80" t="s">
        <v>134</v>
      </c>
      <c r="R91" s="82" t="n">
        <v>45881</v>
      </c>
      <c r="S91" s="82" t="n">
        <v>45881</v>
      </c>
      <c r="T91" s="80" t="s">
        <v>292</v>
      </c>
      <c r="U91" s="80" t="s">
        <v>105</v>
      </c>
      <c r="V91" s="82" t="n">
        <v>45890</v>
      </c>
      <c r="W91" s="80" t="s">
        <v>289</v>
      </c>
      <c r="X91" s="80" t="s">
        <v>105</v>
      </c>
      <c r="Y91" s="80"/>
      <c r="Z91" s="80"/>
      <c r="AA91" s="82"/>
      <c r="AB91" s="80"/>
      <c r="AC91" s="80"/>
      <c r="AD91" s="80"/>
      <c r="AE91" s="80"/>
      <c r="AF91" s="82"/>
      <c r="AG91" s="80"/>
      <c r="AH91" s="80"/>
      <c r="AI91" s="82"/>
      <c r="AJ91" s="79"/>
      <c r="AK91" s="78" t="n">
        <f aca="false">IF(E91="","",(X91&lt;&gt;"")+(AC91&lt;&gt;"")+(AH91&lt;&gt;""))</f>
        <v>1</v>
      </c>
      <c r="AL91" s="81" t="str">
        <f aca="false">IF(AH91&lt;&gt;"",AH91,IF(AC91&lt;&gt;"",AC91,IF(X91&lt;&gt;"",X91,"")))</f>
        <v>A</v>
      </c>
      <c r="AM91" s="83" t="str">
        <f aca="false">IF(E91="","",IF(R91="","À SOUDER",IF(U91="","VT EN ATTENTE",IF(U91="R","VT REJETÉ – À REPRENDRE",IF(AL91="","À RADIOGRAPHIER",IF(AL91="A","ACCEPTÉ",IF(AL91="NX","NX – RT À REFAIRE",IF(IF(AK91=1,Z91,IF(AK91=2,AE91,""))="A","RÉPARÉ – À RADIOGRAPHIER",IF(IF(AK91=1,Z91,IF(AK91=2,AE91,""))="R","VT REJETÉ – À REPRENDRE",IF(OR(AL91="CO",AL91="NT"),"COUPE – À RESOUDER","À RÉPARER"))))))))))</f>
        <v>ACCEPTÉ</v>
      </c>
      <c r="AN91" s="81" t="str">
        <f aca="false">IF(AND(ISNUMBER(R91),OR(AM91="À RADIOGRAPHIER",AM91="RÉPARÉ – À RADIOGRAPHIER",AM91="NX – RT À REFAIRE",AM91="À RÉPARER",AM91="COUPE – À RESOUDER",AM91="VT REJETÉ – À REPRENDRE")),MAX(0,'PROGRAMME RT'!$C$4-R91),"")</f>
        <v/>
      </c>
      <c r="AO91" s="78" t="n">
        <f aca="false">IF(AND(OR(AM91="À RADIOGRAPHIER",AM91="RÉPARÉ – À RADIOGRAPHIER",AM91="NX – RT À REFAIRE"),OR('PROGRAMME RT'!$D$5="TOUTES",B91='PROGRAMME RT'!$D$5)),1,0)</f>
        <v>0</v>
      </c>
      <c r="AP91" s="78" t="str">
        <f aca="false">IF(AO91=1,SUM(AO$7:AO91),"")</f>
        <v/>
      </c>
      <c r="AQ91" s="78" t="n">
        <f aca="false">IF(AND(OR(X91="R",X91="NX",X91="NT",X91="CO"),OR('JOINTS DE RÉPARATION'!$D$5="TOUTES",B91='JOINTS DE RÉPARATION'!$D$5),OR('JOINTS DE RÉPARATION'!$L$4="TOUS",AM91&lt;&gt;"ACCEPTÉ")),1,0)</f>
        <v>0</v>
      </c>
      <c r="AR91" s="78" t="str">
        <f aca="false">IF(AQ91=1,SUM(AQ$7:AQ91),"")</f>
        <v/>
      </c>
    </row>
    <row r="92" customFormat="false" ht="15" hidden="false" customHeight="false" outlineLevel="0" collapsed="false">
      <c r="A92" s="78" t="n">
        <f aca="false">IF(E92="","",ROW()-6)</f>
        <v>86</v>
      </c>
      <c r="B92" s="79" t="s">
        <v>102</v>
      </c>
      <c r="C92" s="80" t="s">
        <v>231</v>
      </c>
      <c r="D92" s="80" t="s">
        <v>103</v>
      </c>
      <c r="E92" s="80" t="s">
        <v>311</v>
      </c>
      <c r="F92" s="80" t="s">
        <v>151</v>
      </c>
      <c r="G92" s="80" t="s">
        <v>106</v>
      </c>
      <c r="H92" s="80" t="n">
        <v>11</v>
      </c>
      <c r="I92" s="80" t="s">
        <v>114</v>
      </c>
      <c r="J92" s="80" t="s">
        <v>132</v>
      </c>
      <c r="K92" s="80" t="s">
        <v>310</v>
      </c>
      <c r="L92" s="84" t="n">
        <f aca="false">IF(K92="","",IFERROR(INDEX(BARDAGE!$C$7:$C$1506,MATCH(K92,BARDAGE!$B$7:$B$1506,0)),"? hors registre"))</f>
        <v>24703645</v>
      </c>
      <c r="M92" s="80" t="s">
        <v>312</v>
      </c>
      <c r="N92" s="84" t="n">
        <f aca="false">IF(M92="","",IFERROR(INDEX(BARDAGE!$C$7:$C$1506,MATCH(M92,BARDAGE!$B$7:$B$1506,0)),"? hors registre"))</f>
        <v>24102493</v>
      </c>
      <c r="O92" s="80" t="s">
        <v>141</v>
      </c>
      <c r="P92" s="80" t="s">
        <v>141</v>
      </c>
      <c r="Q92" s="80" t="s">
        <v>125</v>
      </c>
      <c r="R92" s="82" t="n">
        <v>45881</v>
      </c>
      <c r="S92" s="82" t="n">
        <v>45881</v>
      </c>
      <c r="T92" s="80" t="s">
        <v>292</v>
      </c>
      <c r="U92" s="80" t="s">
        <v>105</v>
      </c>
      <c r="V92" s="82" t="n">
        <v>45890</v>
      </c>
      <c r="W92" s="80" t="s">
        <v>289</v>
      </c>
      <c r="X92" s="80" t="s">
        <v>105</v>
      </c>
      <c r="Y92" s="80"/>
      <c r="Z92" s="80"/>
      <c r="AA92" s="82"/>
      <c r="AB92" s="80"/>
      <c r="AC92" s="80"/>
      <c r="AD92" s="80"/>
      <c r="AE92" s="80"/>
      <c r="AF92" s="82"/>
      <c r="AG92" s="80"/>
      <c r="AH92" s="80"/>
      <c r="AI92" s="82"/>
      <c r="AJ92" s="79"/>
      <c r="AK92" s="78" t="n">
        <f aca="false">IF(E92="","",(X92&lt;&gt;"")+(AC92&lt;&gt;"")+(AH92&lt;&gt;""))</f>
        <v>1</v>
      </c>
      <c r="AL92" s="81" t="str">
        <f aca="false">IF(AH92&lt;&gt;"",AH92,IF(AC92&lt;&gt;"",AC92,IF(X92&lt;&gt;"",X92,"")))</f>
        <v>A</v>
      </c>
      <c r="AM92" s="83" t="str">
        <f aca="false">IF(E92="","",IF(R92="","À SOUDER",IF(U92="","VT EN ATTENTE",IF(U92="R","VT REJETÉ – À REPRENDRE",IF(AL92="","À RADIOGRAPHIER",IF(AL92="A","ACCEPTÉ",IF(AL92="NX","NX – RT À REFAIRE",IF(IF(AK92=1,Z92,IF(AK92=2,AE92,""))="A","RÉPARÉ – À RADIOGRAPHIER",IF(IF(AK92=1,Z92,IF(AK92=2,AE92,""))="R","VT REJETÉ – À REPRENDRE",IF(OR(AL92="CO",AL92="NT"),"COUPE – À RESOUDER","À RÉPARER"))))))))))</f>
        <v>ACCEPTÉ</v>
      </c>
      <c r="AN92" s="81" t="str">
        <f aca="false">IF(AND(ISNUMBER(R92),OR(AM92="À RADIOGRAPHIER",AM92="RÉPARÉ – À RADIOGRAPHIER",AM92="NX – RT À REFAIRE",AM92="À RÉPARER",AM92="COUPE – À RESOUDER",AM92="VT REJETÉ – À REPRENDRE")),MAX(0,'PROGRAMME RT'!$C$4-R92),"")</f>
        <v/>
      </c>
      <c r="AO92" s="78" t="n">
        <f aca="false">IF(AND(OR(AM92="À RADIOGRAPHIER",AM92="RÉPARÉ – À RADIOGRAPHIER",AM92="NX – RT À REFAIRE"),OR('PROGRAMME RT'!$D$5="TOUTES",B92='PROGRAMME RT'!$D$5)),1,0)</f>
        <v>0</v>
      </c>
      <c r="AP92" s="78" t="str">
        <f aca="false">IF(AO92=1,SUM(AO$7:AO92),"")</f>
        <v/>
      </c>
      <c r="AQ92" s="78" t="n">
        <f aca="false">IF(AND(OR(X92="R",X92="NX",X92="NT",X92="CO"),OR('JOINTS DE RÉPARATION'!$D$5="TOUTES",B92='JOINTS DE RÉPARATION'!$D$5),OR('JOINTS DE RÉPARATION'!$L$4="TOUS",AM92&lt;&gt;"ACCEPTÉ")),1,0)</f>
        <v>0</v>
      </c>
      <c r="AR92" s="78" t="str">
        <f aca="false">IF(AQ92=1,SUM(AQ$7:AQ92),"")</f>
        <v/>
      </c>
    </row>
    <row r="93" customFormat="false" ht="15" hidden="false" customHeight="false" outlineLevel="0" collapsed="false">
      <c r="A93" s="78" t="n">
        <f aca="false">IF(E93="","",ROW()-6)</f>
        <v>87</v>
      </c>
      <c r="B93" s="79" t="s">
        <v>102</v>
      </c>
      <c r="C93" s="80" t="s">
        <v>231</v>
      </c>
      <c r="D93" s="80" t="s">
        <v>103</v>
      </c>
      <c r="E93" s="80" t="s">
        <v>313</v>
      </c>
      <c r="F93" s="80" t="s">
        <v>151</v>
      </c>
      <c r="G93" s="80" t="s">
        <v>106</v>
      </c>
      <c r="H93" s="80" t="n">
        <v>11</v>
      </c>
      <c r="I93" s="80" t="s">
        <v>114</v>
      </c>
      <c r="J93" s="80" t="s">
        <v>132</v>
      </c>
      <c r="K93" s="80" t="s">
        <v>312</v>
      </c>
      <c r="L93" s="84" t="n">
        <f aca="false">IF(K93="","",IFERROR(INDEX(BARDAGE!$C$7:$C$1506,MATCH(K93,BARDAGE!$B$7:$B$1506,0)),"? hors registre"))</f>
        <v>24102493</v>
      </c>
      <c r="M93" s="80" t="s">
        <v>314</v>
      </c>
      <c r="N93" s="84" t="n">
        <f aca="false">IF(M93="","",IFERROR(INDEX(BARDAGE!$C$7:$C$1506,MATCH(M93,BARDAGE!$B$7:$B$1506,0)),"? hors registre"))</f>
        <v>24803579</v>
      </c>
      <c r="O93" s="80" t="s">
        <v>141</v>
      </c>
      <c r="P93" s="80" t="s">
        <v>141</v>
      </c>
      <c r="Q93" s="80" t="s">
        <v>134</v>
      </c>
      <c r="R93" s="82" t="n">
        <v>45882</v>
      </c>
      <c r="S93" s="82" t="n">
        <v>45882</v>
      </c>
      <c r="T93" s="80" t="s">
        <v>315</v>
      </c>
      <c r="U93" s="80" t="s">
        <v>105</v>
      </c>
      <c r="V93" s="82" t="n">
        <v>45890</v>
      </c>
      <c r="W93" s="80" t="s">
        <v>289</v>
      </c>
      <c r="X93" s="80" t="s">
        <v>105</v>
      </c>
      <c r="Y93" s="80"/>
      <c r="Z93" s="80"/>
      <c r="AA93" s="82"/>
      <c r="AB93" s="80"/>
      <c r="AC93" s="80"/>
      <c r="AD93" s="80"/>
      <c r="AE93" s="80"/>
      <c r="AF93" s="82"/>
      <c r="AG93" s="80"/>
      <c r="AH93" s="80"/>
      <c r="AI93" s="82"/>
      <c r="AJ93" s="79"/>
      <c r="AK93" s="78" t="n">
        <f aca="false">IF(E93="","",(X93&lt;&gt;"")+(AC93&lt;&gt;"")+(AH93&lt;&gt;""))</f>
        <v>1</v>
      </c>
      <c r="AL93" s="81" t="str">
        <f aca="false">IF(AH93&lt;&gt;"",AH93,IF(AC93&lt;&gt;"",AC93,IF(X93&lt;&gt;"",X93,"")))</f>
        <v>A</v>
      </c>
      <c r="AM93" s="83" t="str">
        <f aca="false">IF(E93="","",IF(R93="","À SOUDER",IF(U93="","VT EN ATTENTE",IF(U93="R","VT REJETÉ – À REPRENDRE",IF(AL93="","À RADIOGRAPHIER",IF(AL93="A","ACCEPTÉ",IF(AL93="NX","NX – RT À REFAIRE",IF(IF(AK93=1,Z93,IF(AK93=2,AE93,""))="A","RÉPARÉ – À RADIOGRAPHIER",IF(IF(AK93=1,Z93,IF(AK93=2,AE93,""))="R","VT REJETÉ – À REPRENDRE",IF(OR(AL93="CO",AL93="NT"),"COUPE – À RESOUDER","À RÉPARER"))))))))))</f>
        <v>ACCEPTÉ</v>
      </c>
      <c r="AN93" s="81" t="str">
        <f aca="false">IF(AND(ISNUMBER(R93),OR(AM93="À RADIOGRAPHIER",AM93="RÉPARÉ – À RADIOGRAPHIER",AM93="NX – RT À REFAIRE",AM93="À RÉPARER",AM93="COUPE – À RESOUDER",AM93="VT REJETÉ – À REPRENDRE")),MAX(0,'PROGRAMME RT'!$C$4-R93),"")</f>
        <v/>
      </c>
      <c r="AO93" s="78" t="n">
        <f aca="false">IF(AND(OR(AM93="À RADIOGRAPHIER",AM93="RÉPARÉ – À RADIOGRAPHIER",AM93="NX – RT À REFAIRE"),OR('PROGRAMME RT'!$D$5="TOUTES",B93='PROGRAMME RT'!$D$5)),1,0)</f>
        <v>0</v>
      </c>
      <c r="AP93" s="78" t="str">
        <f aca="false">IF(AO93=1,SUM(AO$7:AO93),"")</f>
        <v/>
      </c>
      <c r="AQ93" s="78" t="n">
        <f aca="false">IF(AND(OR(X93="R",X93="NX",X93="NT",X93="CO"),OR('JOINTS DE RÉPARATION'!$D$5="TOUTES",B93='JOINTS DE RÉPARATION'!$D$5),OR('JOINTS DE RÉPARATION'!$L$4="TOUS",AM93&lt;&gt;"ACCEPTÉ")),1,0)</f>
        <v>0</v>
      </c>
      <c r="AR93" s="78" t="str">
        <f aca="false">IF(AQ93=1,SUM(AQ$7:AQ93),"")</f>
        <v/>
      </c>
    </row>
    <row r="94" customFormat="false" ht="15" hidden="false" customHeight="false" outlineLevel="0" collapsed="false">
      <c r="A94" s="78" t="n">
        <f aca="false">IF(E94="","",ROW()-6)</f>
        <v>88</v>
      </c>
      <c r="B94" s="79" t="s">
        <v>102</v>
      </c>
      <c r="C94" s="80" t="s">
        <v>231</v>
      </c>
      <c r="D94" s="80" t="s">
        <v>103</v>
      </c>
      <c r="E94" s="80" t="s">
        <v>316</v>
      </c>
      <c r="F94" s="80" t="s">
        <v>151</v>
      </c>
      <c r="G94" s="80" t="s">
        <v>106</v>
      </c>
      <c r="H94" s="80" t="n">
        <v>11</v>
      </c>
      <c r="I94" s="80" t="s">
        <v>114</v>
      </c>
      <c r="J94" s="80" t="s">
        <v>132</v>
      </c>
      <c r="K94" s="80" t="s">
        <v>314</v>
      </c>
      <c r="L94" s="84" t="n">
        <f aca="false">IF(K94="","",IFERROR(INDEX(BARDAGE!$C$7:$C$1506,MATCH(K94,BARDAGE!$B$7:$B$1506,0)),"? hors registre"))</f>
        <v>24803579</v>
      </c>
      <c r="M94" s="80" t="s">
        <v>317</v>
      </c>
      <c r="N94" s="84" t="n">
        <f aca="false">IF(M94="","",IFERROR(INDEX(BARDAGE!$C$7:$C$1506,MATCH(M94,BARDAGE!$B$7:$B$1506,0)),"? hors registre"))</f>
        <v>24703643</v>
      </c>
      <c r="O94" s="80" t="s">
        <v>141</v>
      </c>
      <c r="P94" s="80" t="s">
        <v>141</v>
      </c>
      <c r="Q94" s="80" t="s">
        <v>125</v>
      </c>
      <c r="R94" s="82" t="n">
        <v>45882</v>
      </c>
      <c r="S94" s="82" t="n">
        <v>45882</v>
      </c>
      <c r="T94" s="80" t="s">
        <v>315</v>
      </c>
      <c r="U94" s="80" t="s">
        <v>105</v>
      </c>
      <c r="V94" s="82" t="n">
        <v>45890</v>
      </c>
      <c r="W94" s="80" t="s">
        <v>289</v>
      </c>
      <c r="X94" s="80" t="s">
        <v>105</v>
      </c>
      <c r="Y94" s="80"/>
      <c r="Z94" s="80"/>
      <c r="AA94" s="82"/>
      <c r="AB94" s="80"/>
      <c r="AC94" s="80"/>
      <c r="AD94" s="80"/>
      <c r="AE94" s="80"/>
      <c r="AF94" s="82"/>
      <c r="AG94" s="80"/>
      <c r="AH94" s="80"/>
      <c r="AI94" s="82"/>
      <c r="AJ94" s="79"/>
      <c r="AK94" s="78" t="n">
        <f aca="false">IF(E94="","",(X94&lt;&gt;"")+(AC94&lt;&gt;"")+(AH94&lt;&gt;""))</f>
        <v>1</v>
      </c>
      <c r="AL94" s="81" t="str">
        <f aca="false">IF(AH94&lt;&gt;"",AH94,IF(AC94&lt;&gt;"",AC94,IF(X94&lt;&gt;"",X94,"")))</f>
        <v>A</v>
      </c>
      <c r="AM94" s="83" t="str">
        <f aca="false">IF(E94="","",IF(R94="","À SOUDER",IF(U94="","VT EN ATTENTE",IF(U94="R","VT REJETÉ – À REPRENDRE",IF(AL94="","À RADIOGRAPHIER",IF(AL94="A","ACCEPTÉ",IF(AL94="NX","NX – RT À REFAIRE",IF(IF(AK94=1,Z94,IF(AK94=2,AE94,""))="A","RÉPARÉ – À RADIOGRAPHIER",IF(IF(AK94=1,Z94,IF(AK94=2,AE94,""))="R","VT REJETÉ – À REPRENDRE",IF(OR(AL94="CO",AL94="NT"),"COUPE – À RESOUDER","À RÉPARER"))))))))))</f>
        <v>ACCEPTÉ</v>
      </c>
      <c r="AN94" s="81" t="str">
        <f aca="false">IF(AND(ISNUMBER(R94),OR(AM94="À RADIOGRAPHIER",AM94="RÉPARÉ – À RADIOGRAPHIER",AM94="NX – RT À REFAIRE",AM94="À RÉPARER",AM94="COUPE – À RESOUDER",AM94="VT REJETÉ – À REPRENDRE")),MAX(0,'PROGRAMME RT'!$C$4-R94),"")</f>
        <v/>
      </c>
      <c r="AO94" s="78" t="n">
        <f aca="false">IF(AND(OR(AM94="À RADIOGRAPHIER",AM94="RÉPARÉ – À RADIOGRAPHIER",AM94="NX – RT À REFAIRE"),OR('PROGRAMME RT'!$D$5="TOUTES",B94='PROGRAMME RT'!$D$5)),1,0)</f>
        <v>0</v>
      </c>
      <c r="AP94" s="78" t="str">
        <f aca="false">IF(AO94=1,SUM(AO$7:AO94),"")</f>
        <v/>
      </c>
      <c r="AQ94" s="78" t="n">
        <f aca="false">IF(AND(OR(X94="R",X94="NX",X94="NT",X94="CO"),OR('JOINTS DE RÉPARATION'!$D$5="TOUTES",B94='JOINTS DE RÉPARATION'!$D$5),OR('JOINTS DE RÉPARATION'!$L$4="TOUS",AM94&lt;&gt;"ACCEPTÉ")),1,0)</f>
        <v>0</v>
      </c>
      <c r="AR94" s="78" t="str">
        <f aca="false">IF(AQ94=1,SUM(AQ$7:AQ94),"")</f>
        <v/>
      </c>
    </row>
    <row r="95" customFormat="false" ht="15" hidden="false" customHeight="false" outlineLevel="0" collapsed="false">
      <c r="A95" s="78" t="n">
        <f aca="false">IF(E95="","",ROW()-6)</f>
        <v>89</v>
      </c>
      <c r="B95" s="79" t="s">
        <v>102</v>
      </c>
      <c r="C95" s="80" t="s">
        <v>231</v>
      </c>
      <c r="D95" s="80" t="s">
        <v>318</v>
      </c>
      <c r="E95" s="80" t="s">
        <v>319</v>
      </c>
      <c r="F95" s="80" t="s">
        <v>151</v>
      </c>
      <c r="G95" s="80" t="s">
        <v>106</v>
      </c>
      <c r="H95" s="80" t="n">
        <v>11</v>
      </c>
      <c r="I95" s="80" t="s">
        <v>114</v>
      </c>
      <c r="J95" s="80" t="s">
        <v>132</v>
      </c>
      <c r="K95" s="80" t="s">
        <v>317</v>
      </c>
      <c r="L95" s="84" t="n">
        <f aca="false">IF(K95="","",IFERROR(INDEX(BARDAGE!$C$7:$C$1506,MATCH(K95,BARDAGE!$B$7:$B$1506,0)),"? hors registre"))</f>
        <v>24703643</v>
      </c>
      <c r="M95" s="80" t="s">
        <v>320</v>
      </c>
      <c r="N95" s="84" t="n">
        <f aca="false">IF(M95="","",IFERROR(INDEX(BARDAGE!$C$7:$C$1506,MATCH(M95,BARDAGE!$B$7:$B$1506,0)),"? hors registre"))</f>
        <v>24803579</v>
      </c>
      <c r="O95" s="80" t="s">
        <v>141</v>
      </c>
      <c r="P95" s="80" t="s">
        <v>141</v>
      </c>
      <c r="Q95" s="80" t="s">
        <v>134</v>
      </c>
      <c r="R95" s="82" t="n">
        <v>45882</v>
      </c>
      <c r="S95" s="82" t="n">
        <v>45882</v>
      </c>
      <c r="T95" s="80" t="s">
        <v>315</v>
      </c>
      <c r="U95" s="80" t="s">
        <v>105</v>
      </c>
      <c r="V95" s="82" t="n">
        <v>45892</v>
      </c>
      <c r="W95" s="80" t="s">
        <v>321</v>
      </c>
      <c r="X95" s="80" t="s">
        <v>105</v>
      </c>
      <c r="Y95" s="80"/>
      <c r="Z95" s="80"/>
      <c r="AA95" s="82"/>
      <c r="AB95" s="80"/>
      <c r="AC95" s="80"/>
      <c r="AD95" s="80"/>
      <c r="AE95" s="80"/>
      <c r="AF95" s="82"/>
      <c r="AG95" s="80"/>
      <c r="AH95" s="80"/>
      <c r="AI95" s="82"/>
      <c r="AJ95" s="79"/>
      <c r="AK95" s="78" t="n">
        <f aca="false">IF(E95="","",(X95&lt;&gt;"")+(AC95&lt;&gt;"")+(AH95&lt;&gt;""))</f>
        <v>1</v>
      </c>
      <c r="AL95" s="81" t="str">
        <f aca="false">IF(AH95&lt;&gt;"",AH95,IF(AC95&lt;&gt;"",AC95,IF(X95&lt;&gt;"",X95,"")))</f>
        <v>A</v>
      </c>
      <c r="AM95" s="83" t="str">
        <f aca="false">IF(E95="","",IF(R95="","À SOUDER",IF(U95="","VT EN ATTENTE",IF(U95="R","VT REJETÉ – À REPRENDRE",IF(AL95="","À RADIOGRAPHIER",IF(AL95="A","ACCEPTÉ",IF(AL95="NX","NX – RT À REFAIRE",IF(IF(AK95=1,Z95,IF(AK95=2,AE95,""))="A","RÉPARÉ – À RADIOGRAPHIER",IF(IF(AK95=1,Z95,IF(AK95=2,AE95,""))="R","VT REJETÉ – À REPRENDRE",IF(OR(AL95="CO",AL95="NT"),"COUPE – À RESOUDER","À RÉPARER"))))))))))</f>
        <v>ACCEPTÉ</v>
      </c>
      <c r="AN95" s="81" t="str">
        <f aca="false">IF(AND(ISNUMBER(R95),OR(AM95="À RADIOGRAPHIER",AM95="RÉPARÉ – À RADIOGRAPHIER",AM95="NX – RT À REFAIRE",AM95="À RÉPARER",AM95="COUPE – À RESOUDER",AM95="VT REJETÉ – À REPRENDRE")),MAX(0,'PROGRAMME RT'!$C$4-R95),"")</f>
        <v/>
      </c>
      <c r="AO95" s="78" t="n">
        <f aca="false">IF(AND(OR(AM95="À RADIOGRAPHIER",AM95="RÉPARÉ – À RADIOGRAPHIER",AM95="NX – RT À REFAIRE"),OR('PROGRAMME RT'!$D$5="TOUTES",B95='PROGRAMME RT'!$D$5)),1,0)</f>
        <v>0</v>
      </c>
      <c r="AP95" s="78" t="str">
        <f aca="false">IF(AO95=1,SUM(AO$7:AO95),"")</f>
        <v/>
      </c>
      <c r="AQ95" s="78" t="n">
        <f aca="false">IF(AND(OR(X95="R",X95="NX",X95="NT",X95="CO"),OR('JOINTS DE RÉPARATION'!$D$5="TOUTES",B95='JOINTS DE RÉPARATION'!$D$5),OR('JOINTS DE RÉPARATION'!$L$4="TOUS",AM95&lt;&gt;"ACCEPTÉ")),1,0)</f>
        <v>0</v>
      </c>
      <c r="AR95" s="78" t="str">
        <f aca="false">IF(AQ95=1,SUM(AQ$7:AQ95),"")</f>
        <v/>
      </c>
    </row>
    <row r="96" customFormat="false" ht="15" hidden="false" customHeight="false" outlineLevel="0" collapsed="false">
      <c r="A96" s="78" t="n">
        <f aca="false">IF(E96="","",ROW()-6)</f>
        <v>90</v>
      </c>
      <c r="B96" s="79" t="s">
        <v>102</v>
      </c>
      <c r="C96" s="80" t="s">
        <v>231</v>
      </c>
      <c r="D96" s="80" t="s">
        <v>318</v>
      </c>
      <c r="E96" s="80" t="s">
        <v>322</v>
      </c>
      <c r="F96" s="80" t="s">
        <v>151</v>
      </c>
      <c r="G96" s="80" t="s">
        <v>106</v>
      </c>
      <c r="H96" s="80" t="n">
        <v>11</v>
      </c>
      <c r="I96" s="80" t="s">
        <v>114</v>
      </c>
      <c r="J96" s="80" t="s">
        <v>132</v>
      </c>
      <c r="K96" s="80" t="s">
        <v>320</v>
      </c>
      <c r="L96" s="84" t="n">
        <f aca="false">IF(K96="","",IFERROR(INDEX(BARDAGE!$C$7:$C$1506,MATCH(K96,BARDAGE!$B$7:$B$1506,0)),"? hors registre"))</f>
        <v>24803579</v>
      </c>
      <c r="M96" s="80" t="s">
        <v>323</v>
      </c>
      <c r="N96" s="84" t="n">
        <f aca="false">IF(M96="","",IFERROR(INDEX(BARDAGE!$C$7:$C$1506,MATCH(M96,BARDAGE!$B$7:$B$1506,0)),"? hors registre"))</f>
        <v>24703643</v>
      </c>
      <c r="O96" s="80" t="s">
        <v>141</v>
      </c>
      <c r="P96" s="80" t="s">
        <v>141</v>
      </c>
      <c r="Q96" s="80" t="s">
        <v>134</v>
      </c>
      <c r="R96" s="82" t="n">
        <v>45882</v>
      </c>
      <c r="S96" s="82" t="n">
        <v>45882</v>
      </c>
      <c r="T96" s="80" t="s">
        <v>315</v>
      </c>
      <c r="U96" s="80" t="s">
        <v>105</v>
      </c>
      <c r="V96" s="82" t="n">
        <v>45892</v>
      </c>
      <c r="W96" s="80" t="s">
        <v>321</v>
      </c>
      <c r="X96" s="80" t="s">
        <v>105</v>
      </c>
      <c r="Y96" s="80"/>
      <c r="Z96" s="80"/>
      <c r="AA96" s="82"/>
      <c r="AB96" s="80"/>
      <c r="AC96" s="80"/>
      <c r="AD96" s="80"/>
      <c r="AE96" s="80"/>
      <c r="AF96" s="82"/>
      <c r="AG96" s="80"/>
      <c r="AH96" s="80"/>
      <c r="AI96" s="82"/>
      <c r="AJ96" s="79"/>
      <c r="AK96" s="78" t="n">
        <f aca="false">IF(E96="","",(X96&lt;&gt;"")+(AC96&lt;&gt;"")+(AH96&lt;&gt;""))</f>
        <v>1</v>
      </c>
      <c r="AL96" s="81" t="str">
        <f aca="false">IF(AH96&lt;&gt;"",AH96,IF(AC96&lt;&gt;"",AC96,IF(X96&lt;&gt;"",X96,"")))</f>
        <v>A</v>
      </c>
      <c r="AM96" s="83" t="str">
        <f aca="false">IF(E96="","",IF(R96="","À SOUDER",IF(U96="","VT EN ATTENTE",IF(U96="R","VT REJETÉ – À REPRENDRE",IF(AL96="","À RADIOGRAPHIER",IF(AL96="A","ACCEPTÉ",IF(AL96="NX","NX – RT À REFAIRE",IF(IF(AK96=1,Z96,IF(AK96=2,AE96,""))="A","RÉPARÉ – À RADIOGRAPHIER",IF(IF(AK96=1,Z96,IF(AK96=2,AE96,""))="R","VT REJETÉ – À REPRENDRE",IF(OR(AL96="CO",AL96="NT"),"COUPE – À RESOUDER","À RÉPARER"))))))))))</f>
        <v>ACCEPTÉ</v>
      </c>
      <c r="AN96" s="81" t="str">
        <f aca="false">IF(AND(ISNUMBER(R96),OR(AM96="À RADIOGRAPHIER",AM96="RÉPARÉ – À RADIOGRAPHIER",AM96="NX – RT À REFAIRE",AM96="À RÉPARER",AM96="COUPE – À RESOUDER",AM96="VT REJETÉ – À REPRENDRE")),MAX(0,'PROGRAMME RT'!$C$4-R96),"")</f>
        <v/>
      </c>
      <c r="AO96" s="78" t="n">
        <f aca="false">IF(AND(OR(AM96="À RADIOGRAPHIER",AM96="RÉPARÉ – À RADIOGRAPHIER",AM96="NX – RT À REFAIRE"),OR('PROGRAMME RT'!$D$5="TOUTES",B96='PROGRAMME RT'!$D$5)),1,0)</f>
        <v>0</v>
      </c>
      <c r="AP96" s="78" t="str">
        <f aca="false">IF(AO96=1,SUM(AO$7:AO96),"")</f>
        <v/>
      </c>
      <c r="AQ96" s="78" t="n">
        <f aca="false">IF(AND(OR(X96="R",X96="NX",X96="NT",X96="CO"),OR('JOINTS DE RÉPARATION'!$D$5="TOUTES",B96='JOINTS DE RÉPARATION'!$D$5),OR('JOINTS DE RÉPARATION'!$L$4="TOUS",AM96&lt;&gt;"ACCEPTÉ")),1,0)</f>
        <v>0</v>
      </c>
      <c r="AR96" s="78" t="str">
        <f aca="false">IF(AQ96=1,SUM(AQ$7:AQ96),"")</f>
        <v/>
      </c>
    </row>
    <row r="97" customFormat="false" ht="15" hidden="false" customHeight="false" outlineLevel="0" collapsed="false">
      <c r="A97" s="78" t="n">
        <f aca="false">IF(E97="","",ROW()-6)</f>
        <v>91</v>
      </c>
      <c r="B97" s="79" t="s">
        <v>102</v>
      </c>
      <c r="C97" s="80" t="s">
        <v>231</v>
      </c>
      <c r="D97" s="80" t="s">
        <v>318</v>
      </c>
      <c r="E97" s="80" t="s">
        <v>324</v>
      </c>
      <c r="F97" s="80" t="s">
        <v>151</v>
      </c>
      <c r="G97" s="80" t="s">
        <v>106</v>
      </c>
      <c r="H97" s="80" t="n">
        <v>11</v>
      </c>
      <c r="I97" s="80" t="s">
        <v>114</v>
      </c>
      <c r="J97" s="80" t="s">
        <v>132</v>
      </c>
      <c r="K97" s="80" t="s">
        <v>323</v>
      </c>
      <c r="L97" s="84" t="n">
        <f aca="false">IF(K97="","",IFERROR(INDEX(BARDAGE!$C$7:$C$1506,MATCH(K97,BARDAGE!$B$7:$B$1506,0)),"? hors registre"))</f>
        <v>24703643</v>
      </c>
      <c r="M97" s="80" t="s">
        <v>325</v>
      </c>
      <c r="N97" s="84" t="n">
        <f aca="false">IF(M97="","",IFERROR(INDEX(BARDAGE!$C$7:$C$1506,MATCH(M97,BARDAGE!$B$7:$B$1506,0)),"? hors registre"))</f>
        <v>24212237</v>
      </c>
      <c r="O97" s="80" t="s">
        <v>141</v>
      </c>
      <c r="P97" s="80" t="s">
        <v>141</v>
      </c>
      <c r="Q97" s="80" t="s">
        <v>125</v>
      </c>
      <c r="R97" s="82" t="n">
        <v>45882</v>
      </c>
      <c r="S97" s="82" t="n">
        <v>45882</v>
      </c>
      <c r="T97" s="80" t="s">
        <v>315</v>
      </c>
      <c r="U97" s="80" t="s">
        <v>105</v>
      </c>
      <c r="V97" s="82" t="n">
        <v>45892</v>
      </c>
      <c r="W97" s="80" t="s">
        <v>321</v>
      </c>
      <c r="X97" s="80" t="s">
        <v>105</v>
      </c>
      <c r="Y97" s="80"/>
      <c r="Z97" s="80"/>
      <c r="AA97" s="82"/>
      <c r="AB97" s="80"/>
      <c r="AC97" s="80"/>
      <c r="AD97" s="80"/>
      <c r="AE97" s="80"/>
      <c r="AF97" s="82"/>
      <c r="AG97" s="80"/>
      <c r="AH97" s="80"/>
      <c r="AI97" s="82"/>
      <c r="AJ97" s="79"/>
      <c r="AK97" s="78" t="n">
        <f aca="false">IF(E97="","",(X97&lt;&gt;"")+(AC97&lt;&gt;"")+(AH97&lt;&gt;""))</f>
        <v>1</v>
      </c>
      <c r="AL97" s="81" t="str">
        <f aca="false">IF(AH97&lt;&gt;"",AH97,IF(AC97&lt;&gt;"",AC97,IF(X97&lt;&gt;"",X97,"")))</f>
        <v>A</v>
      </c>
      <c r="AM97" s="83" t="str">
        <f aca="false">IF(E97="","",IF(R97="","À SOUDER",IF(U97="","VT EN ATTENTE",IF(U97="R","VT REJETÉ – À REPRENDRE",IF(AL97="","À RADIOGRAPHIER",IF(AL97="A","ACCEPTÉ",IF(AL97="NX","NX – RT À REFAIRE",IF(IF(AK97=1,Z97,IF(AK97=2,AE97,""))="A","RÉPARÉ – À RADIOGRAPHIER",IF(IF(AK97=1,Z97,IF(AK97=2,AE97,""))="R","VT REJETÉ – À REPRENDRE",IF(OR(AL97="CO",AL97="NT"),"COUPE – À RESOUDER","À RÉPARER"))))))))))</f>
        <v>ACCEPTÉ</v>
      </c>
      <c r="AN97" s="81" t="str">
        <f aca="false">IF(AND(ISNUMBER(R97),OR(AM97="À RADIOGRAPHIER",AM97="RÉPARÉ – À RADIOGRAPHIER",AM97="NX – RT À REFAIRE",AM97="À RÉPARER",AM97="COUPE – À RESOUDER",AM97="VT REJETÉ – À REPRENDRE")),MAX(0,'PROGRAMME RT'!$C$4-R97),"")</f>
        <v/>
      </c>
      <c r="AO97" s="78" t="n">
        <f aca="false">IF(AND(OR(AM97="À RADIOGRAPHIER",AM97="RÉPARÉ – À RADIOGRAPHIER",AM97="NX – RT À REFAIRE"),OR('PROGRAMME RT'!$D$5="TOUTES",B97='PROGRAMME RT'!$D$5)),1,0)</f>
        <v>0</v>
      </c>
      <c r="AP97" s="78" t="str">
        <f aca="false">IF(AO97=1,SUM(AO$7:AO97),"")</f>
        <v/>
      </c>
      <c r="AQ97" s="78" t="n">
        <f aca="false">IF(AND(OR(X97="R",X97="NX",X97="NT",X97="CO"),OR('JOINTS DE RÉPARATION'!$D$5="TOUTES",B97='JOINTS DE RÉPARATION'!$D$5),OR('JOINTS DE RÉPARATION'!$L$4="TOUS",AM97&lt;&gt;"ACCEPTÉ")),1,0)</f>
        <v>0</v>
      </c>
      <c r="AR97" s="78" t="str">
        <f aca="false">IF(AQ97=1,SUM(AQ$7:AQ97),"")</f>
        <v/>
      </c>
    </row>
    <row r="98" customFormat="false" ht="15" hidden="false" customHeight="false" outlineLevel="0" collapsed="false">
      <c r="A98" s="78" t="n">
        <f aca="false">IF(E98="","",ROW()-6)</f>
        <v>92</v>
      </c>
      <c r="B98" s="79" t="s">
        <v>102</v>
      </c>
      <c r="C98" s="80" t="s">
        <v>231</v>
      </c>
      <c r="D98" s="80" t="s">
        <v>318</v>
      </c>
      <c r="E98" s="80" t="s">
        <v>326</v>
      </c>
      <c r="F98" s="80" t="s">
        <v>151</v>
      </c>
      <c r="G98" s="80" t="s">
        <v>106</v>
      </c>
      <c r="H98" s="80" t="n">
        <v>11</v>
      </c>
      <c r="I98" s="80" t="s">
        <v>114</v>
      </c>
      <c r="J98" s="80" t="s">
        <v>132</v>
      </c>
      <c r="K98" s="80" t="s">
        <v>325</v>
      </c>
      <c r="L98" s="84" t="n">
        <f aca="false">IF(K98="","",IFERROR(INDEX(BARDAGE!$C$7:$C$1506,MATCH(K98,BARDAGE!$B$7:$B$1506,0)),"? hors registre"))</f>
        <v>24212237</v>
      </c>
      <c r="M98" s="80" t="s">
        <v>327</v>
      </c>
      <c r="N98" s="84" t="n">
        <f aca="false">IF(M98="","",IFERROR(INDEX(BARDAGE!$C$7:$C$1506,MATCH(M98,BARDAGE!$B$7:$B$1506,0)),"? hors registre"))</f>
        <v>24703643</v>
      </c>
      <c r="O98" s="80" t="s">
        <v>141</v>
      </c>
      <c r="P98" s="80" t="s">
        <v>141</v>
      </c>
      <c r="Q98" s="80" t="s">
        <v>125</v>
      </c>
      <c r="R98" s="82" t="n">
        <v>45882</v>
      </c>
      <c r="S98" s="82" t="n">
        <v>45882</v>
      </c>
      <c r="T98" s="80" t="s">
        <v>315</v>
      </c>
      <c r="U98" s="80" t="s">
        <v>105</v>
      </c>
      <c r="V98" s="82" t="n">
        <v>45892</v>
      </c>
      <c r="W98" s="80" t="s">
        <v>321</v>
      </c>
      <c r="X98" s="80" t="s">
        <v>105</v>
      </c>
      <c r="Y98" s="80"/>
      <c r="Z98" s="80"/>
      <c r="AA98" s="82"/>
      <c r="AB98" s="80"/>
      <c r="AC98" s="80"/>
      <c r="AD98" s="80"/>
      <c r="AE98" s="80"/>
      <c r="AF98" s="82"/>
      <c r="AG98" s="80"/>
      <c r="AH98" s="80"/>
      <c r="AI98" s="82"/>
      <c r="AJ98" s="79"/>
      <c r="AK98" s="78" t="n">
        <f aca="false">IF(E98="","",(X98&lt;&gt;"")+(AC98&lt;&gt;"")+(AH98&lt;&gt;""))</f>
        <v>1</v>
      </c>
      <c r="AL98" s="81" t="str">
        <f aca="false">IF(AH98&lt;&gt;"",AH98,IF(AC98&lt;&gt;"",AC98,IF(X98&lt;&gt;"",X98,"")))</f>
        <v>A</v>
      </c>
      <c r="AM98" s="83" t="str">
        <f aca="false">IF(E98="","",IF(R98="","À SOUDER",IF(U98="","VT EN ATTENTE",IF(U98="R","VT REJETÉ – À REPRENDRE",IF(AL98="","À RADIOGRAPHIER",IF(AL98="A","ACCEPTÉ",IF(AL98="NX","NX – RT À REFAIRE",IF(IF(AK98=1,Z98,IF(AK98=2,AE98,""))="A","RÉPARÉ – À RADIOGRAPHIER",IF(IF(AK98=1,Z98,IF(AK98=2,AE98,""))="R","VT REJETÉ – À REPRENDRE",IF(OR(AL98="CO",AL98="NT"),"COUPE – À RESOUDER","À RÉPARER"))))))))))</f>
        <v>ACCEPTÉ</v>
      </c>
      <c r="AN98" s="81" t="str">
        <f aca="false">IF(AND(ISNUMBER(R98),OR(AM98="À RADIOGRAPHIER",AM98="RÉPARÉ – À RADIOGRAPHIER",AM98="NX – RT À REFAIRE",AM98="À RÉPARER",AM98="COUPE – À RESOUDER",AM98="VT REJETÉ – À REPRENDRE")),MAX(0,'PROGRAMME RT'!$C$4-R98),"")</f>
        <v/>
      </c>
      <c r="AO98" s="78" t="n">
        <f aca="false">IF(AND(OR(AM98="À RADIOGRAPHIER",AM98="RÉPARÉ – À RADIOGRAPHIER",AM98="NX – RT À REFAIRE"),OR('PROGRAMME RT'!$D$5="TOUTES",B98='PROGRAMME RT'!$D$5)),1,0)</f>
        <v>0</v>
      </c>
      <c r="AP98" s="78" t="str">
        <f aca="false">IF(AO98=1,SUM(AO$7:AO98),"")</f>
        <v/>
      </c>
      <c r="AQ98" s="78" t="n">
        <f aca="false">IF(AND(OR(X98="R",X98="NX",X98="NT",X98="CO"),OR('JOINTS DE RÉPARATION'!$D$5="TOUTES",B98='JOINTS DE RÉPARATION'!$D$5),OR('JOINTS DE RÉPARATION'!$L$4="TOUS",AM98&lt;&gt;"ACCEPTÉ")),1,0)</f>
        <v>0</v>
      </c>
      <c r="AR98" s="78" t="str">
        <f aca="false">IF(AQ98=1,SUM(AQ$7:AQ98),"")</f>
        <v/>
      </c>
    </row>
    <row r="99" customFormat="false" ht="15" hidden="false" customHeight="false" outlineLevel="0" collapsed="false">
      <c r="A99" s="78" t="n">
        <f aca="false">IF(E99="","",ROW()-6)</f>
        <v>93</v>
      </c>
      <c r="B99" s="79" t="s">
        <v>102</v>
      </c>
      <c r="C99" s="80" t="s">
        <v>231</v>
      </c>
      <c r="D99" s="80" t="s">
        <v>318</v>
      </c>
      <c r="E99" s="80" t="s">
        <v>328</v>
      </c>
      <c r="F99" s="80" t="s">
        <v>151</v>
      </c>
      <c r="G99" s="80" t="s">
        <v>106</v>
      </c>
      <c r="H99" s="80" t="n">
        <v>11</v>
      </c>
      <c r="I99" s="80" t="s">
        <v>114</v>
      </c>
      <c r="J99" s="80" t="s">
        <v>132</v>
      </c>
      <c r="K99" s="80" t="s">
        <v>327</v>
      </c>
      <c r="L99" s="84" t="n">
        <f aca="false">IF(K99="","",IFERROR(INDEX(BARDAGE!$C$7:$C$1506,MATCH(K99,BARDAGE!$B$7:$B$1506,0)),"? hors registre"))</f>
        <v>24703643</v>
      </c>
      <c r="M99" s="80" t="s">
        <v>329</v>
      </c>
      <c r="N99" s="84" t="n">
        <f aca="false">IF(M99="","",IFERROR(INDEX(BARDAGE!$C$7:$C$1506,MATCH(M99,BARDAGE!$B$7:$B$1506,0)),"? hors registre"))</f>
        <v>24803579</v>
      </c>
      <c r="O99" s="80" t="s">
        <v>141</v>
      </c>
      <c r="P99" s="80" t="s">
        <v>141</v>
      </c>
      <c r="Q99" s="80" t="s">
        <v>134</v>
      </c>
      <c r="R99" s="82" t="n">
        <v>45882</v>
      </c>
      <c r="S99" s="82" t="n">
        <v>45882</v>
      </c>
      <c r="T99" s="80" t="s">
        <v>315</v>
      </c>
      <c r="U99" s="80" t="s">
        <v>105</v>
      </c>
      <c r="V99" s="82" t="n">
        <v>45892</v>
      </c>
      <c r="W99" s="80" t="s">
        <v>321</v>
      </c>
      <c r="X99" s="80" t="s">
        <v>105</v>
      </c>
      <c r="Y99" s="80"/>
      <c r="Z99" s="80"/>
      <c r="AA99" s="82"/>
      <c r="AB99" s="80"/>
      <c r="AC99" s="80"/>
      <c r="AD99" s="80"/>
      <c r="AE99" s="80"/>
      <c r="AF99" s="82"/>
      <c r="AG99" s="80"/>
      <c r="AH99" s="80"/>
      <c r="AI99" s="82"/>
      <c r="AJ99" s="79"/>
      <c r="AK99" s="78" t="n">
        <f aca="false">IF(E99="","",(X99&lt;&gt;"")+(AC99&lt;&gt;"")+(AH99&lt;&gt;""))</f>
        <v>1</v>
      </c>
      <c r="AL99" s="81" t="str">
        <f aca="false">IF(AH99&lt;&gt;"",AH99,IF(AC99&lt;&gt;"",AC99,IF(X99&lt;&gt;"",X99,"")))</f>
        <v>A</v>
      </c>
      <c r="AM99" s="83" t="str">
        <f aca="false">IF(E99="","",IF(R99="","À SOUDER",IF(U99="","VT EN ATTENTE",IF(U99="R","VT REJETÉ – À REPRENDRE",IF(AL99="","À RADIOGRAPHIER",IF(AL99="A","ACCEPTÉ",IF(AL99="NX","NX – RT À REFAIRE",IF(IF(AK99=1,Z99,IF(AK99=2,AE99,""))="A","RÉPARÉ – À RADIOGRAPHIER",IF(IF(AK99=1,Z99,IF(AK99=2,AE99,""))="R","VT REJETÉ – À REPRENDRE",IF(OR(AL99="CO",AL99="NT"),"COUPE – À RESOUDER","À RÉPARER"))))))))))</f>
        <v>ACCEPTÉ</v>
      </c>
      <c r="AN99" s="81" t="str">
        <f aca="false">IF(AND(ISNUMBER(R99),OR(AM99="À RADIOGRAPHIER",AM99="RÉPARÉ – À RADIOGRAPHIER",AM99="NX – RT À REFAIRE",AM99="À RÉPARER",AM99="COUPE – À RESOUDER",AM99="VT REJETÉ – À REPRENDRE")),MAX(0,'PROGRAMME RT'!$C$4-R99),"")</f>
        <v/>
      </c>
      <c r="AO99" s="78" t="n">
        <f aca="false">IF(AND(OR(AM99="À RADIOGRAPHIER",AM99="RÉPARÉ – À RADIOGRAPHIER",AM99="NX – RT À REFAIRE"),OR('PROGRAMME RT'!$D$5="TOUTES",B99='PROGRAMME RT'!$D$5)),1,0)</f>
        <v>0</v>
      </c>
      <c r="AP99" s="78" t="str">
        <f aca="false">IF(AO99=1,SUM(AO$7:AO99),"")</f>
        <v/>
      </c>
      <c r="AQ99" s="78" t="n">
        <f aca="false">IF(AND(OR(X99="R",X99="NX",X99="NT",X99="CO"),OR('JOINTS DE RÉPARATION'!$D$5="TOUTES",B99='JOINTS DE RÉPARATION'!$D$5),OR('JOINTS DE RÉPARATION'!$L$4="TOUS",AM99&lt;&gt;"ACCEPTÉ")),1,0)</f>
        <v>0</v>
      </c>
      <c r="AR99" s="78" t="str">
        <f aca="false">IF(AQ99=1,SUM(AQ$7:AQ99),"")</f>
        <v/>
      </c>
    </row>
    <row r="100" customFormat="false" ht="15" hidden="false" customHeight="false" outlineLevel="0" collapsed="false">
      <c r="A100" s="78" t="n">
        <f aca="false">IF(E100="","",ROW()-6)</f>
        <v>94</v>
      </c>
      <c r="B100" s="79" t="s">
        <v>102</v>
      </c>
      <c r="C100" s="80" t="s">
        <v>231</v>
      </c>
      <c r="D100" s="80" t="s">
        <v>318</v>
      </c>
      <c r="E100" s="80" t="s">
        <v>330</v>
      </c>
      <c r="F100" s="80" t="s">
        <v>151</v>
      </c>
      <c r="G100" s="80" t="s">
        <v>106</v>
      </c>
      <c r="H100" s="80" t="n">
        <v>11</v>
      </c>
      <c r="I100" s="80" t="s">
        <v>114</v>
      </c>
      <c r="J100" s="80" t="s">
        <v>132</v>
      </c>
      <c r="K100" s="80" t="s">
        <v>329</v>
      </c>
      <c r="L100" s="84" t="n">
        <f aca="false">IF(K100="","",IFERROR(INDEX(BARDAGE!$C$7:$C$1506,MATCH(K100,BARDAGE!$B$7:$B$1506,0)),"? hors registre"))</f>
        <v>24803579</v>
      </c>
      <c r="M100" s="80" t="s">
        <v>331</v>
      </c>
      <c r="N100" s="84" t="n">
        <f aca="false">IF(M100="","",IFERROR(INDEX(BARDAGE!$C$7:$C$1506,MATCH(M100,BARDAGE!$B$7:$B$1506,0)),"? hors registre"))</f>
        <v>24703643</v>
      </c>
      <c r="O100" s="80" t="s">
        <v>141</v>
      </c>
      <c r="P100" s="80" t="s">
        <v>141</v>
      </c>
      <c r="Q100" s="80" t="s">
        <v>125</v>
      </c>
      <c r="R100" s="82" t="n">
        <v>45882</v>
      </c>
      <c r="S100" s="82" t="n">
        <v>45882</v>
      </c>
      <c r="T100" s="80" t="s">
        <v>315</v>
      </c>
      <c r="U100" s="80" t="s">
        <v>105</v>
      </c>
      <c r="V100" s="82" t="n">
        <v>45892</v>
      </c>
      <c r="W100" s="80" t="s">
        <v>321</v>
      </c>
      <c r="X100" s="80" t="s">
        <v>105</v>
      </c>
      <c r="Y100" s="80"/>
      <c r="Z100" s="80"/>
      <c r="AA100" s="82"/>
      <c r="AB100" s="80"/>
      <c r="AC100" s="80"/>
      <c r="AD100" s="80"/>
      <c r="AE100" s="80"/>
      <c r="AF100" s="82"/>
      <c r="AG100" s="80"/>
      <c r="AH100" s="80"/>
      <c r="AI100" s="82"/>
      <c r="AJ100" s="79"/>
      <c r="AK100" s="78" t="n">
        <f aca="false">IF(E100="","",(X100&lt;&gt;"")+(AC100&lt;&gt;"")+(AH100&lt;&gt;""))</f>
        <v>1</v>
      </c>
      <c r="AL100" s="81" t="str">
        <f aca="false">IF(AH100&lt;&gt;"",AH100,IF(AC100&lt;&gt;"",AC100,IF(X100&lt;&gt;"",X100,"")))</f>
        <v>A</v>
      </c>
      <c r="AM100" s="83" t="str">
        <f aca="false">IF(E100="","",IF(R100="","À SOUDER",IF(U100="","VT EN ATTENTE",IF(U100="R","VT REJETÉ – À REPRENDRE",IF(AL100="","À RADIOGRAPHIER",IF(AL100="A","ACCEPTÉ",IF(AL100="NX","NX – RT À REFAIRE",IF(IF(AK100=1,Z100,IF(AK100=2,AE100,""))="A","RÉPARÉ – À RADIOGRAPHIER",IF(IF(AK100=1,Z100,IF(AK100=2,AE100,""))="R","VT REJETÉ – À REPRENDRE",IF(OR(AL100="CO",AL100="NT"),"COUPE – À RESOUDER","À RÉPARER"))))))))))</f>
        <v>ACCEPTÉ</v>
      </c>
      <c r="AN100" s="81" t="str">
        <f aca="false">IF(AND(ISNUMBER(R100),OR(AM100="À RADIOGRAPHIER",AM100="RÉPARÉ – À RADIOGRAPHIER",AM100="NX – RT À REFAIRE",AM100="À RÉPARER",AM100="COUPE – À RESOUDER",AM100="VT REJETÉ – À REPRENDRE")),MAX(0,'PROGRAMME RT'!$C$4-R100),"")</f>
        <v/>
      </c>
      <c r="AO100" s="78" t="n">
        <f aca="false">IF(AND(OR(AM100="À RADIOGRAPHIER",AM100="RÉPARÉ – À RADIOGRAPHIER",AM100="NX – RT À REFAIRE"),OR('PROGRAMME RT'!$D$5="TOUTES",B100='PROGRAMME RT'!$D$5)),1,0)</f>
        <v>0</v>
      </c>
      <c r="AP100" s="78" t="str">
        <f aca="false">IF(AO100=1,SUM(AO$7:AO100),"")</f>
        <v/>
      </c>
      <c r="AQ100" s="78" t="n">
        <f aca="false">IF(AND(OR(X100="R",X100="NX",X100="NT",X100="CO"),OR('JOINTS DE RÉPARATION'!$D$5="TOUTES",B100='JOINTS DE RÉPARATION'!$D$5),OR('JOINTS DE RÉPARATION'!$L$4="TOUS",AM100&lt;&gt;"ACCEPTÉ")),1,0)</f>
        <v>0</v>
      </c>
      <c r="AR100" s="78" t="str">
        <f aca="false">IF(AQ100=1,SUM(AQ$7:AQ100),"")</f>
        <v/>
      </c>
    </row>
    <row r="101" customFormat="false" ht="15" hidden="false" customHeight="false" outlineLevel="0" collapsed="false">
      <c r="A101" s="78" t="n">
        <f aca="false">IF(E101="","",ROW()-6)</f>
        <v>95</v>
      </c>
      <c r="B101" s="79" t="s">
        <v>102</v>
      </c>
      <c r="C101" s="80" t="s">
        <v>231</v>
      </c>
      <c r="D101" s="80" t="s">
        <v>318</v>
      </c>
      <c r="E101" s="80" t="s">
        <v>332</v>
      </c>
      <c r="F101" s="80" t="s">
        <v>151</v>
      </c>
      <c r="G101" s="80" t="s">
        <v>106</v>
      </c>
      <c r="H101" s="80" t="n">
        <v>11</v>
      </c>
      <c r="I101" s="80" t="s">
        <v>114</v>
      </c>
      <c r="J101" s="80" t="s">
        <v>132</v>
      </c>
      <c r="K101" s="80" t="s">
        <v>331</v>
      </c>
      <c r="L101" s="84" t="n">
        <f aca="false">IF(K101="","",IFERROR(INDEX(BARDAGE!$C$7:$C$1506,MATCH(K101,BARDAGE!$B$7:$B$1506,0)),"? hors registre"))</f>
        <v>24703643</v>
      </c>
      <c r="M101" s="80" t="s">
        <v>333</v>
      </c>
      <c r="N101" s="84" t="n">
        <f aca="false">IF(M101="","",IFERROR(INDEX(BARDAGE!$C$7:$C$1506,MATCH(M101,BARDAGE!$B$7:$B$1506,0)),"? hors registre"))</f>
        <v>24703643</v>
      </c>
      <c r="O101" s="80" t="s">
        <v>141</v>
      </c>
      <c r="P101" s="80" t="s">
        <v>141</v>
      </c>
      <c r="Q101" s="80" t="s">
        <v>134</v>
      </c>
      <c r="R101" s="82" t="n">
        <v>45882</v>
      </c>
      <c r="S101" s="82" t="n">
        <v>45882</v>
      </c>
      <c r="T101" s="80" t="s">
        <v>315</v>
      </c>
      <c r="U101" s="80" t="s">
        <v>105</v>
      </c>
      <c r="V101" s="82" t="n">
        <v>45892</v>
      </c>
      <c r="W101" s="80" t="s">
        <v>321</v>
      </c>
      <c r="X101" s="80" t="s">
        <v>105</v>
      </c>
      <c r="Y101" s="80"/>
      <c r="Z101" s="80"/>
      <c r="AA101" s="82"/>
      <c r="AB101" s="80"/>
      <c r="AC101" s="80"/>
      <c r="AD101" s="80"/>
      <c r="AE101" s="80"/>
      <c r="AF101" s="82"/>
      <c r="AG101" s="80"/>
      <c r="AH101" s="80"/>
      <c r="AI101" s="82"/>
      <c r="AJ101" s="79"/>
      <c r="AK101" s="78" t="n">
        <f aca="false">IF(E101="","",(X101&lt;&gt;"")+(AC101&lt;&gt;"")+(AH101&lt;&gt;""))</f>
        <v>1</v>
      </c>
      <c r="AL101" s="81" t="str">
        <f aca="false">IF(AH101&lt;&gt;"",AH101,IF(AC101&lt;&gt;"",AC101,IF(X101&lt;&gt;"",X101,"")))</f>
        <v>A</v>
      </c>
      <c r="AM101" s="83" t="str">
        <f aca="false">IF(E101="","",IF(R101="","À SOUDER",IF(U101="","VT EN ATTENTE",IF(U101="R","VT REJETÉ – À REPRENDRE",IF(AL101="","À RADIOGRAPHIER",IF(AL101="A","ACCEPTÉ",IF(AL101="NX","NX – RT À REFAIRE",IF(IF(AK101=1,Z101,IF(AK101=2,AE101,""))="A","RÉPARÉ – À RADIOGRAPHIER",IF(IF(AK101=1,Z101,IF(AK101=2,AE101,""))="R","VT REJETÉ – À REPRENDRE",IF(OR(AL101="CO",AL101="NT"),"COUPE – À RESOUDER","À RÉPARER"))))))))))</f>
        <v>ACCEPTÉ</v>
      </c>
      <c r="AN101" s="81" t="str">
        <f aca="false">IF(AND(ISNUMBER(R101),OR(AM101="À RADIOGRAPHIER",AM101="RÉPARÉ – À RADIOGRAPHIER",AM101="NX – RT À REFAIRE",AM101="À RÉPARER",AM101="COUPE – À RESOUDER",AM101="VT REJETÉ – À REPRENDRE")),MAX(0,'PROGRAMME RT'!$C$4-R101),"")</f>
        <v/>
      </c>
      <c r="AO101" s="78" t="n">
        <f aca="false">IF(AND(OR(AM101="À RADIOGRAPHIER",AM101="RÉPARÉ – À RADIOGRAPHIER",AM101="NX – RT À REFAIRE"),OR('PROGRAMME RT'!$D$5="TOUTES",B101='PROGRAMME RT'!$D$5)),1,0)</f>
        <v>0</v>
      </c>
      <c r="AP101" s="78" t="str">
        <f aca="false">IF(AO101=1,SUM(AO$7:AO101),"")</f>
        <v/>
      </c>
      <c r="AQ101" s="78" t="n">
        <f aca="false">IF(AND(OR(X101="R",X101="NX",X101="NT",X101="CO"),OR('JOINTS DE RÉPARATION'!$D$5="TOUTES",B101='JOINTS DE RÉPARATION'!$D$5),OR('JOINTS DE RÉPARATION'!$L$4="TOUS",AM101&lt;&gt;"ACCEPTÉ")),1,0)</f>
        <v>0</v>
      </c>
      <c r="AR101" s="78" t="str">
        <f aca="false">IF(AQ101=1,SUM(AQ$7:AQ101),"")</f>
        <v/>
      </c>
    </row>
    <row r="102" customFormat="false" ht="15" hidden="false" customHeight="false" outlineLevel="0" collapsed="false">
      <c r="A102" s="78" t="n">
        <f aca="false">IF(E102="","",ROW()-6)</f>
        <v>96</v>
      </c>
      <c r="B102" s="79" t="s">
        <v>102</v>
      </c>
      <c r="C102" s="80" t="s">
        <v>231</v>
      </c>
      <c r="D102" s="80" t="s">
        <v>318</v>
      </c>
      <c r="E102" s="80" t="s">
        <v>334</v>
      </c>
      <c r="F102" s="80" t="s">
        <v>151</v>
      </c>
      <c r="G102" s="80" t="s">
        <v>106</v>
      </c>
      <c r="H102" s="80" t="n">
        <v>11</v>
      </c>
      <c r="I102" s="80" t="s">
        <v>114</v>
      </c>
      <c r="J102" s="80" t="s">
        <v>132</v>
      </c>
      <c r="K102" s="80" t="s">
        <v>333</v>
      </c>
      <c r="L102" s="84" t="n">
        <f aca="false">IF(K102="","",IFERROR(INDEX(BARDAGE!$C$7:$C$1506,MATCH(K102,BARDAGE!$B$7:$B$1506,0)),"? hors registre"))</f>
        <v>24703643</v>
      </c>
      <c r="M102" s="80" t="s">
        <v>335</v>
      </c>
      <c r="N102" s="84" t="n">
        <f aca="false">IF(M102="","",IFERROR(INDEX(BARDAGE!$C$7:$C$1506,MATCH(M102,BARDAGE!$B$7:$B$1506,0)),"? hors registre"))</f>
        <v>24803598</v>
      </c>
      <c r="O102" s="80" t="s">
        <v>141</v>
      </c>
      <c r="P102" s="80" t="s">
        <v>141</v>
      </c>
      <c r="Q102" s="80" t="s">
        <v>125</v>
      </c>
      <c r="R102" s="82" t="n">
        <v>45882</v>
      </c>
      <c r="S102" s="82" t="n">
        <v>45882</v>
      </c>
      <c r="T102" s="80" t="s">
        <v>315</v>
      </c>
      <c r="U102" s="80" t="s">
        <v>105</v>
      </c>
      <c r="V102" s="82" t="n">
        <v>45892</v>
      </c>
      <c r="W102" s="80" t="s">
        <v>321</v>
      </c>
      <c r="X102" s="80" t="s">
        <v>105</v>
      </c>
      <c r="Y102" s="80"/>
      <c r="Z102" s="80"/>
      <c r="AA102" s="82"/>
      <c r="AB102" s="80"/>
      <c r="AC102" s="80"/>
      <c r="AD102" s="80"/>
      <c r="AE102" s="80"/>
      <c r="AF102" s="82"/>
      <c r="AG102" s="80"/>
      <c r="AH102" s="80"/>
      <c r="AI102" s="82"/>
      <c r="AJ102" s="79"/>
      <c r="AK102" s="78" t="n">
        <f aca="false">IF(E102="","",(X102&lt;&gt;"")+(AC102&lt;&gt;"")+(AH102&lt;&gt;""))</f>
        <v>1</v>
      </c>
      <c r="AL102" s="81" t="str">
        <f aca="false">IF(AH102&lt;&gt;"",AH102,IF(AC102&lt;&gt;"",AC102,IF(X102&lt;&gt;"",X102,"")))</f>
        <v>A</v>
      </c>
      <c r="AM102" s="83" t="str">
        <f aca="false">IF(E102="","",IF(R102="","À SOUDER",IF(U102="","VT EN ATTENTE",IF(U102="R","VT REJETÉ – À REPRENDRE",IF(AL102="","À RADIOGRAPHIER",IF(AL102="A","ACCEPTÉ",IF(AL102="NX","NX – RT À REFAIRE",IF(IF(AK102=1,Z102,IF(AK102=2,AE102,""))="A","RÉPARÉ – À RADIOGRAPHIER",IF(IF(AK102=1,Z102,IF(AK102=2,AE102,""))="R","VT REJETÉ – À REPRENDRE",IF(OR(AL102="CO",AL102="NT"),"COUPE – À RESOUDER","À RÉPARER"))))))))))</f>
        <v>ACCEPTÉ</v>
      </c>
      <c r="AN102" s="81" t="str">
        <f aca="false">IF(AND(ISNUMBER(R102),OR(AM102="À RADIOGRAPHIER",AM102="RÉPARÉ – À RADIOGRAPHIER",AM102="NX – RT À REFAIRE",AM102="À RÉPARER",AM102="COUPE – À RESOUDER",AM102="VT REJETÉ – À REPRENDRE")),MAX(0,'PROGRAMME RT'!$C$4-R102),"")</f>
        <v/>
      </c>
      <c r="AO102" s="78" t="n">
        <f aca="false">IF(AND(OR(AM102="À RADIOGRAPHIER",AM102="RÉPARÉ – À RADIOGRAPHIER",AM102="NX – RT À REFAIRE"),OR('PROGRAMME RT'!$D$5="TOUTES",B102='PROGRAMME RT'!$D$5)),1,0)</f>
        <v>0</v>
      </c>
      <c r="AP102" s="78" t="str">
        <f aca="false">IF(AO102=1,SUM(AO$7:AO102),"")</f>
        <v/>
      </c>
      <c r="AQ102" s="78" t="n">
        <f aca="false">IF(AND(OR(X102="R",X102="NX",X102="NT",X102="CO"),OR('JOINTS DE RÉPARATION'!$D$5="TOUTES",B102='JOINTS DE RÉPARATION'!$D$5),OR('JOINTS DE RÉPARATION'!$L$4="TOUS",AM102&lt;&gt;"ACCEPTÉ")),1,0)</f>
        <v>0</v>
      </c>
      <c r="AR102" s="78" t="str">
        <f aca="false">IF(AQ102=1,SUM(AQ$7:AQ102),"")</f>
        <v/>
      </c>
    </row>
    <row r="103" customFormat="false" ht="15" hidden="false" customHeight="false" outlineLevel="0" collapsed="false">
      <c r="A103" s="78" t="n">
        <f aca="false">IF(E103="","",ROW()-6)</f>
        <v>97</v>
      </c>
      <c r="B103" s="79" t="s">
        <v>102</v>
      </c>
      <c r="C103" s="80" t="s">
        <v>231</v>
      </c>
      <c r="D103" s="80" t="s">
        <v>318</v>
      </c>
      <c r="E103" s="80" t="s">
        <v>336</v>
      </c>
      <c r="F103" s="80" t="s">
        <v>151</v>
      </c>
      <c r="G103" s="80" t="s">
        <v>106</v>
      </c>
      <c r="H103" s="80" t="n">
        <v>11</v>
      </c>
      <c r="I103" s="80" t="s">
        <v>114</v>
      </c>
      <c r="J103" s="80" t="s">
        <v>132</v>
      </c>
      <c r="K103" s="80" t="s">
        <v>335</v>
      </c>
      <c r="L103" s="84" t="n">
        <f aca="false">IF(K103="","",IFERROR(INDEX(BARDAGE!$C$7:$C$1506,MATCH(K103,BARDAGE!$B$7:$B$1506,0)),"? hors registre"))</f>
        <v>24803598</v>
      </c>
      <c r="M103" s="80" t="s">
        <v>337</v>
      </c>
      <c r="N103" s="84" t="n">
        <f aca="false">IF(M103="","",IFERROR(INDEX(BARDAGE!$C$7:$C$1506,MATCH(M103,BARDAGE!$B$7:$B$1506,0)),"? hors registre"))</f>
        <v>24102493</v>
      </c>
      <c r="O103" s="80" t="s">
        <v>141</v>
      </c>
      <c r="P103" s="80" t="s">
        <v>141</v>
      </c>
      <c r="Q103" s="80" t="s">
        <v>134</v>
      </c>
      <c r="R103" s="82" t="n">
        <v>45882</v>
      </c>
      <c r="S103" s="82" t="n">
        <v>45882</v>
      </c>
      <c r="T103" s="80" t="s">
        <v>315</v>
      </c>
      <c r="U103" s="80" t="s">
        <v>105</v>
      </c>
      <c r="V103" s="82" t="n">
        <v>45892</v>
      </c>
      <c r="W103" s="80" t="s">
        <v>321</v>
      </c>
      <c r="X103" s="80" t="s">
        <v>105</v>
      </c>
      <c r="Y103" s="80"/>
      <c r="Z103" s="80"/>
      <c r="AA103" s="82"/>
      <c r="AB103" s="80"/>
      <c r="AC103" s="80"/>
      <c r="AD103" s="80"/>
      <c r="AE103" s="80"/>
      <c r="AF103" s="82"/>
      <c r="AG103" s="80"/>
      <c r="AH103" s="80"/>
      <c r="AI103" s="82"/>
      <c r="AJ103" s="79"/>
      <c r="AK103" s="78" t="n">
        <f aca="false">IF(E103="","",(X103&lt;&gt;"")+(AC103&lt;&gt;"")+(AH103&lt;&gt;""))</f>
        <v>1</v>
      </c>
      <c r="AL103" s="81" t="str">
        <f aca="false">IF(AH103&lt;&gt;"",AH103,IF(AC103&lt;&gt;"",AC103,IF(X103&lt;&gt;"",X103,"")))</f>
        <v>A</v>
      </c>
      <c r="AM103" s="83" t="str">
        <f aca="false">IF(E103="","",IF(R103="","À SOUDER",IF(U103="","VT EN ATTENTE",IF(U103="R","VT REJETÉ – À REPRENDRE",IF(AL103="","À RADIOGRAPHIER",IF(AL103="A","ACCEPTÉ",IF(AL103="NX","NX – RT À REFAIRE",IF(IF(AK103=1,Z103,IF(AK103=2,AE103,""))="A","RÉPARÉ – À RADIOGRAPHIER",IF(IF(AK103=1,Z103,IF(AK103=2,AE103,""))="R","VT REJETÉ – À REPRENDRE",IF(OR(AL103="CO",AL103="NT"),"COUPE – À RESOUDER","À RÉPARER"))))))))))</f>
        <v>ACCEPTÉ</v>
      </c>
      <c r="AN103" s="81" t="str">
        <f aca="false">IF(AND(ISNUMBER(R103),OR(AM103="À RADIOGRAPHIER",AM103="RÉPARÉ – À RADIOGRAPHIER",AM103="NX – RT À REFAIRE",AM103="À RÉPARER",AM103="COUPE – À RESOUDER",AM103="VT REJETÉ – À REPRENDRE")),MAX(0,'PROGRAMME RT'!$C$4-R103),"")</f>
        <v/>
      </c>
      <c r="AO103" s="78" t="n">
        <f aca="false">IF(AND(OR(AM103="À RADIOGRAPHIER",AM103="RÉPARÉ – À RADIOGRAPHIER",AM103="NX – RT À REFAIRE"),OR('PROGRAMME RT'!$D$5="TOUTES",B103='PROGRAMME RT'!$D$5)),1,0)</f>
        <v>0</v>
      </c>
      <c r="AP103" s="78" t="str">
        <f aca="false">IF(AO103=1,SUM(AO$7:AO103),"")</f>
        <v/>
      </c>
      <c r="AQ103" s="78" t="n">
        <f aca="false">IF(AND(OR(X103="R",X103="NX",X103="NT",X103="CO"),OR('JOINTS DE RÉPARATION'!$D$5="TOUTES",B103='JOINTS DE RÉPARATION'!$D$5),OR('JOINTS DE RÉPARATION'!$L$4="TOUS",AM103&lt;&gt;"ACCEPTÉ")),1,0)</f>
        <v>0</v>
      </c>
      <c r="AR103" s="78" t="str">
        <f aca="false">IF(AQ103=1,SUM(AQ$7:AQ103),"")</f>
        <v/>
      </c>
    </row>
    <row r="104" customFormat="false" ht="15" hidden="false" customHeight="false" outlineLevel="0" collapsed="false">
      <c r="A104" s="78" t="n">
        <f aca="false">IF(E104="","",ROW()-6)</f>
        <v>98</v>
      </c>
      <c r="B104" s="79" t="s">
        <v>102</v>
      </c>
      <c r="C104" s="80" t="s">
        <v>231</v>
      </c>
      <c r="D104" s="80" t="s">
        <v>318</v>
      </c>
      <c r="E104" s="80" t="s">
        <v>338</v>
      </c>
      <c r="F104" s="80" t="s">
        <v>151</v>
      </c>
      <c r="G104" s="80" t="s">
        <v>106</v>
      </c>
      <c r="H104" s="80" t="n">
        <v>11</v>
      </c>
      <c r="I104" s="80" t="s">
        <v>114</v>
      </c>
      <c r="J104" s="80" t="s">
        <v>132</v>
      </c>
      <c r="K104" s="80" t="s">
        <v>337</v>
      </c>
      <c r="L104" s="84" t="n">
        <f aca="false">IF(K104="","",IFERROR(INDEX(BARDAGE!$C$7:$C$1506,MATCH(K104,BARDAGE!$B$7:$B$1506,0)),"? hors registre"))</f>
        <v>24102493</v>
      </c>
      <c r="M104" s="80" t="s">
        <v>339</v>
      </c>
      <c r="N104" s="84" t="n">
        <f aca="false">IF(M104="","",IFERROR(INDEX(BARDAGE!$C$7:$C$1506,MATCH(M104,BARDAGE!$B$7:$B$1506,0)),"? hors registre"))</f>
        <v>24102489</v>
      </c>
      <c r="O104" s="80" t="s">
        <v>141</v>
      </c>
      <c r="P104" s="80" t="s">
        <v>141</v>
      </c>
      <c r="Q104" s="80" t="s">
        <v>125</v>
      </c>
      <c r="R104" s="82" t="n">
        <v>45883</v>
      </c>
      <c r="S104" s="82" t="n">
        <v>45883</v>
      </c>
      <c r="T104" s="80" t="s">
        <v>340</v>
      </c>
      <c r="U104" s="80" t="s">
        <v>105</v>
      </c>
      <c r="V104" s="82" t="n">
        <v>45892</v>
      </c>
      <c r="W104" s="80" t="s">
        <v>321</v>
      </c>
      <c r="X104" s="80" t="s">
        <v>105</v>
      </c>
      <c r="Y104" s="80"/>
      <c r="Z104" s="80"/>
      <c r="AA104" s="82"/>
      <c r="AB104" s="80"/>
      <c r="AC104" s="80"/>
      <c r="AD104" s="80"/>
      <c r="AE104" s="80"/>
      <c r="AF104" s="82"/>
      <c r="AG104" s="80"/>
      <c r="AH104" s="80"/>
      <c r="AI104" s="82"/>
      <c r="AJ104" s="79"/>
      <c r="AK104" s="78" t="n">
        <f aca="false">IF(E104="","",(X104&lt;&gt;"")+(AC104&lt;&gt;"")+(AH104&lt;&gt;""))</f>
        <v>1</v>
      </c>
      <c r="AL104" s="81" t="str">
        <f aca="false">IF(AH104&lt;&gt;"",AH104,IF(AC104&lt;&gt;"",AC104,IF(X104&lt;&gt;"",X104,"")))</f>
        <v>A</v>
      </c>
      <c r="AM104" s="83" t="str">
        <f aca="false">IF(E104="","",IF(R104="","À SOUDER",IF(U104="","VT EN ATTENTE",IF(U104="R","VT REJETÉ – À REPRENDRE",IF(AL104="","À RADIOGRAPHIER",IF(AL104="A","ACCEPTÉ",IF(AL104="NX","NX – RT À REFAIRE",IF(IF(AK104=1,Z104,IF(AK104=2,AE104,""))="A","RÉPARÉ – À RADIOGRAPHIER",IF(IF(AK104=1,Z104,IF(AK104=2,AE104,""))="R","VT REJETÉ – À REPRENDRE",IF(OR(AL104="CO",AL104="NT"),"COUPE – À RESOUDER","À RÉPARER"))))))))))</f>
        <v>ACCEPTÉ</v>
      </c>
      <c r="AN104" s="81" t="str">
        <f aca="false">IF(AND(ISNUMBER(R104),OR(AM104="À RADIOGRAPHIER",AM104="RÉPARÉ – À RADIOGRAPHIER",AM104="NX – RT À REFAIRE",AM104="À RÉPARER",AM104="COUPE – À RESOUDER",AM104="VT REJETÉ – À REPRENDRE")),MAX(0,'PROGRAMME RT'!$C$4-R104),"")</f>
        <v/>
      </c>
      <c r="AO104" s="78" t="n">
        <f aca="false">IF(AND(OR(AM104="À RADIOGRAPHIER",AM104="RÉPARÉ – À RADIOGRAPHIER",AM104="NX – RT À REFAIRE"),OR('PROGRAMME RT'!$D$5="TOUTES",B104='PROGRAMME RT'!$D$5)),1,0)</f>
        <v>0</v>
      </c>
      <c r="AP104" s="78" t="str">
        <f aca="false">IF(AO104=1,SUM(AO$7:AO104),"")</f>
        <v/>
      </c>
      <c r="AQ104" s="78" t="n">
        <f aca="false">IF(AND(OR(X104="R",X104="NX",X104="NT",X104="CO"),OR('JOINTS DE RÉPARATION'!$D$5="TOUTES",B104='JOINTS DE RÉPARATION'!$D$5),OR('JOINTS DE RÉPARATION'!$L$4="TOUS",AM104&lt;&gt;"ACCEPTÉ")),1,0)</f>
        <v>0</v>
      </c>
      <c r="AR104" s="78" t="str">
        <f aca="false">IF(AQ104=1,SUM(AQ$7:AQ104),"")</f>
        <v/>
      </c>
    </row>
    <row r="105" customFormat="false" ht="15" hidden="false" customHeight="false" outlineLevel="0" collapsed="false">
      <c r="A105" s="78" t="n">
        <f aca="false">IF(E105="","",ROW()-6)</f>
        <v>99</v>
      </c>
      <c r="B105" s="79" t="s">
        <v>102</v>
      </c>
      <c r="C105" s="80" t="s">
        <v>231</v>
      </c>
      <c r="D105" s="80" t="s">
        <v>318</v>
      </c>
      <c r="E105" s="80" t="s">
        <v>341</v>
      </c>
      <c r="F105" s="80" t="s">
        <v>151</v>
      </c>
      <c r="G105" s="80" t="s">
        <v>106</v>
      </c>
      <c r="H105" s="80" t="n">
        <v>11</v>
      </c>
      <c r="I105" s="80" t="s">
        <v>114</v>
      </c>
      <c r="J105" s="80" t="s">
        <v>132</v>
      </c>
      <c r="K105" s="80" t="s">
        <v>339</v>
      </c>
      <c r="L105" s="84" t="n">
        <f aca="false">IF(K105="","",IFERROR(INDEX(BARDAGE!$C$7:$C$1506,MATCH(K105,BARDAGE!$B$7:$B$1506,0)),"? hors registre"))</f>
        <v>24102489</v>
      </c>
      <c r="M105" s="80" t="s">
        <v>342</v>
      </c>
      <c r="N105" s="84" t="n">
        <f aca="false">IF(M105="","",IFERROR(INDEX(BARDAGE!$C$7:$C$1506,MATCH(M105,BARDAGE!$B$7:$B$1506,0)),"? hors registre"))</f>
        <v>24102493</v>
      </c>
      <c r="O105" s="80" t="s">
        <v>141</v>
      </c>
      <c r="P105" s="80" t="s">
        <v>141</v>
      </c>
      <c r="Q105" s="80" t="s">
        <v>134</v>
      </c>
      <c r="R105" s="82" t="n">
        <v>45883</v>
      </c>
      <c r="S105" s="82" t="n">
        <v>45883</v>
      </c>
      <c r="T105" s="80" t="s">
        <v>340</v>
      </c>
      <c r="U105" s="80" t="s">
        <v>105</v>
      </c>
      <c r="V105" s="82" t="n">
        <v>45892</v>
      </c>
      <c r="W105" s="80" t="s">
        <v>321</v>
      </c>
      <c r="X105" s="80" t="s">
        <v>105</v>
      </c>
      <c r="Y105" s="80"/>
      <c r="Z105" s="80"/>
      <c r="AA105" s="82"/>
      <c r="AB105" s="80"/>
      <c r="AC105" s="80"/>
      <c r="AD105" s="80"/>
      <c r="AE105" s="80"/>
      <c r="AF105" s="82"/>
      <c r="AG105" s="80"/>
      <c r="AH105" s="80"/>
      <c r="AI105" s="82"/>
      <c r="AJ105" s="79"/>
      <c r="AK105" s="78" t="n">
        <f aca="false">IF(E105="","",(X105&lt;&gt;"")+(AC105&lt;&gt;"")+(AH105&lt;&gt;""))</f>
        <v>1</v>
      </c>
      <c r="AL105" s="81" t="str">
        <f aca="false">IF(AH105&lt;&gt;"",AH105,IF(AC105&lt;&gt;"",AC105,IF(X105&lt;&gt;"",X105,"")))</f>
        <v>A</v>
      </c>
      <c r="AM105" s="83" t="str">
        <f aca="false">IF(E105="","",IF(R105="","À SOUDER",IF(U105="","VT EN ATTENTE",IF(U105="R","VT REJETÉ – À REPRENDRE",IF(AL105="","À RADIOGRAPHIER",IF(AL105="A","ACCEPTÉ",IF(AL105="NX","NX – RT À REFAIRE",IF(IF(AK105=1,Z105,IF(AK105=2,AE105,""))="A","RÉPARÉ – À RADIOGRAPHIER",IF(IF(AK105=1,Z105,IF(AK105=2,AE105,""))="R","VT REJETÉ – À REPRENDRE",IF(OR(AL105="CO",AL105="NT"),"COUPE – À RESOUDER","À RÉPARER"))))))))))</f>
        <v>ACCEPTÉ</v>
      </c>
      <c r="AN105" s="81" t="str">
        <f aca="false">IF(AND(ISNUMBER(R105),OR(AM105="À RADIOGRAPHIER",AM105="RÉPARÉ – À RADIOGRAPHIER",AM105="NX – RT À REFAIRE",AM105="À RÉPARER",AM105="COUPE – À RESOUDER",AM105="VT REJETÉ – À REPRENDRE")),MAX(0,'PROGRAMME RT'!$C$4-R105),"")</f>
        <v/>
      </c>
      <c r="AO105" s="78" t="n">
        <f aca="false">IF(AND(OR(AM105="À RADIOGRAPHIER",AM105="RÉPARÉ – À RADIOGRAPHIER",AM105="NX – RT À REFAIRE"),OR('PROGRAMME RT'!$D$5="TOUTES",B105='PROGRAMME RT'!$D$5)),1,0)</f>
        <v>0</v>
      </c>
      <c r="AP105" s="78" t="str">
        <f aca="false">IF(AO105=1,SUM(AO$7:AO105),"")</f>
        <v/>
      </c>
      <c r="AQ105" s="78" t="n">
        <f aca="false">IF(AND(OR(X105="R",X105="NX",X105="NT",X105="CO"),OR('JOINTS DE RÉPARATION'!$D$5="TOUTES",B105='JOINTS DE RÉPARATION'!$D$5),OR('JOINTS DE RÉPARATION'!$L$4="TOUS",AM105&lt;&gt;"ACCEPTÉ")),1,0)</f>
        <v>0</v>
      </c>
      <c r="AR105" s="78" t="str">
        <f aca="false">IF(AQ105=1,SUM(AQ$7:AQ105),"")</f>
        <v/>
      </c>
    </row>
    <row r="106" customFormat="false" ht="15" hidden="false" customHeight="false" outlineLevel="0" collapsed="false">
      <c r="A106" s="78" t="n">
        <f aca="false">IF(E106="","",ROW()-6)</f>
        <v>100</v>
      </c>
      <c r="B106" s="79" t="s">
        <v>102</v>
      </c>
      <c r="C106" s="80" t="s">
        <v>231</v>
      </c>
      <c r="D106" s="80" t="s">
        <v>318</v>
      </c>
      <c r="E106" s="80" t="s">
        <v>343</v>
      </c>
      <c r="F106" s="80" t="s">
        <v>151</v>
      </c>
      <c r="G106" s="80" t="s">
        <v>106</v>
      </c>
      <c r="H106" s="80" t="n">
        <v>11</v>
      </c>
      <c r="I106" s="80" t="s">
        <v>114</v>
      </c>
      <c r="J106" s="80" t="s">
        <v>132</v>
      </c>
      <c r="K106" s="80" t="s">
        <v>342</v>
      </c>
      <c r="L106" s="84" t="n">
        <f aca="false">IF(K106="","",IFERROR(INDEX(BARDAGE!$C$7:$C$1506,MATCH(K106,BARDAGE!$B$7:$B$1506,0)),"? hors registre"))</f>
        <v>24102493</v>
      </c>
      <c r="M106" s="80" t="s">
        <v>344</v>
      </c>
      <c r="N106" s="84" t="n">
        <f aca="false">IF(M106="","",IFERROR(INDEX(BARDAGE!$C$7:$C$1506,MATCH(M106,BARDAGE!$B$7:$B$1506,0)),"? hors registre"))</f>
        <v>24102493</v>
      </c>
      <c r="O106" s="80" t="s">
        <v>141</v>
      </c>
      <c r="P106" s="80" t="s">
        <v>141</v>
      </c>
      <c r="Q106" s="80" t="s">
        <v>204</v>
      </c>
      <c r="R106" s="82" t="n">
        <v>45883</v>
      </c>
      <c r="S106" s="82" t="n">
        <v>45883</v>
      </c>
      <c r="T106" s="80" t="s">
        <v>340</v>
      </c>
      <c r="U106" s="80" t="s">
        <v>105</v>
      </c>
      <c r="V106" s="82" t="n">
        <v>45892</v>
      </c>
      <c r="W106" s="80" t="s">
        <v>321</v>
      </c>
      <c r="X106" s="80" t="s">
        <v>105</v>
      </c>
      <c r="Y106" s="80"/>
      <c r="Z106" s="80"/>
      <c r="AA106" s="82"/>
      <c r="AB106" s="80"/>
      <c r="AC106" s="80"/>
      <c r="AD106" s="80"/>
      <c r="AE106" s="80"/>
      <c r="AF106" s="82"/>
      <c r="AG106" s="80"/>
      <c r="AH106" s="80"/>
      <c r="AI106" s="82"/>
      <c r="AJ106" s="79"/>
      <c r="AK106" s="78" t="n">
        <f aca="false">IF(E106="","",(X106&lt;&gt;"")+(AC106&lt;&gt;"")+(AH106&lt;&gt;""))</f>
        <v>1</v>
      </c>
      <c r="AL106" s="81" t="str">
        <f aca="false">IF(AH106&lt;&gt;"",AH106,IF(AC106&lt;&gt;"",AC106,IF(X106&lt;&gt;"",X106,"")))</f>
        <v>A</v>
      </c>
      <c r="AM106" s="83" t="str">
        <f aca="false">IF(E106="","",IF(R106="","À SOUDER",IF(U106="","VT EN ATTENTE",IF(U106="R","VT REJETÉ – À REPRENDRE",IF(AL106="","À RADIOGRAPHIER",IF(AL106="A","ACCEPTÉ",IF(AL106="NX","NX – RT À REFAIRE",IF(IF(AK106=1,Z106,IF(AK106=2,AE106,""))="A","RÉPARÉ – À RADIOGRAPHIER",IF(IF(AK106=1,Z106,IF(AK106=2,AE106,""))="R","VT REJETÉ – À REPRENDRE",IF(OR(AL106="CO",AL106="NT"),"COUPE – À RESOUDER","À RÉPARER"))))))))))</f>
        <v>ACCEPTÉ</v>
      </c>
      <c r="AN106" s="81" t="str">
        <f aca="false">IF(AND(ISNUMBER(R106),OR(AM106="À RADIOGRAPHIER",AM106="RÉPARÉ – À RADIOGRAPHIER",AM106="NX – RT À REFAIRE",AM106="À RÉPARER",AM106="COUPE – À RESOUDER",AM106="VT REJETÉ – À REPRENDRE")),MAX(0,'PROGRAMME RT'!$C$4-R106),"")</f>
        <v/>
      </c>
      <c r="AO106" s="78" t="n">
        <f aca="false">IF(AND(OR(AM106="À RADIOGRAPHIER",AM106="RÉPARÉ – À RADIOGRAPHIER",AM106="NX – RT À REFAIRE"),OR('PROGRAMME RT'!$D$5="TOUTES",B106='PROGRAMME RT'!$D$5)),1,0)</f>
        <v>0</v>
      </c>
      <c r="AP106" s="78" t="str">
        <f aca="false">IF(AO106=1,SUM(AO$7:AO106),"")</f>
        <v/>
      </c>
      <c r="AQ106" s="78" t="n">
        <f aca="false">IF(AND(OR(X106="R",X106="NX",X106="NT",X106="CO"),OR('JOINTS DE RÉPARATION'!$D$5="TOUTES",B106='JOINTS DE RÉPARATION'!$D$5),OR('JOINTS DE RÉPARATION'!$L$4="TOUS",AM106&lt;&gt;"ACCEPTÉ")),1,0)</f>
        <v>0</v>
      </c>
      <c r="AR106" s="78" t="str">
        <f aca="false">IF(AQ106=1,SUM(AQ$7:AQ106),"")</f>
        <v/>
      </c>
    </row>
    <row r="107" customFormat="false" ht="15" hidden="false" customHeight="false" outlineLevel="0" collapsed="false">
      <c r="A107" s="78" t="n">
        <f aca="false">IF(E107="","",ROW()-6)</f>
        <v>101</v>
      </c>
      <c r="B107" s="79" t="s">
        <v>102</v>
      </c>
      <c r="C107" s="80" t="s">
        <v>231</v>
      </c>
      <c r="D107" s="80" t="s">
        <v>318</v>
      </c>
      <c r="E107" s="80" t="s">
        <v>345</v>
      </c>
      <c r="F107" s="80" t="s">
        <v>151</v>
      </c>
      <c r="G107" s="80" t="s">
        <v>106</v>
      </c>
      <c r="H107" s="80" t="n">
        <v>11</v>
      </c>
      <c r="I107" s="80" t="s">
        <v>114</v>
      </c>
      <c r="J107" s="80" t="s">
        <v>132</v>
      </c>
      <c r="K107" s="80" t="s">
        <v>344</v>
      </c>
      <c r="L107" s="84" t="n">
        <f aca="false">IF(K107="","",IFERROR(INDEX(BARDAGE!$C$7:$C$1506,MATCH(K107,BARDAGE!$B$7:$B$1506,0)),"? hors registre"))</f>
        <v>24102493</v>
      </c>
      <c r="M107" s="80" t="s">
        <v>346</v>
      </c>
      <c r="N107" s="84" t="n">
        <f aca="false">IF(M107="","",IFERROR(INDEX(BARDAGE!$C$7:$C$1506,MATCH(M107,BARDAGE!$B$7:$B$1506,0)),"? hors registre"))</f>
        <v>24212237</v>
      </c>
      <c r="O107" s="80" t="s">
        <v>141</v>
      </c>
      <c r="P107" s="80" t="s">
        <v>141</v>
      </c>
      <c r="Q107" s="80" t="s">
        <v>134</v>
      </c>
      <c r="R107" s="82" t="n">
        <v>45883</v>
      </c>
      <c r="S107" s="82" t="n">
        <v>45883</v>
      </c>
      <c r="T107" s="80" t="s">
        <v>340</v>
      </c>
      <c r="U107" s="80" t="s">
        <v>105</v>
      </c>
      <c r="V107" s="82" t="n">
        <v>45892</v>
      </c>
      <c r="W107" s="80" t="s">
        <v>347</v>
      </c>
      <c r="X107" s="80" t="s">
        <v>105</v>
      </c>
      <c r="Y107" s="80"/>
      <c r="Z107" s="80"/>
      <c r="AA107" s="82"/>
      <c r="AB107" s="80"/>
      <c r="AC107" s="80"/>
      <c r="AD107" s="80"/>
      <c r="AE107" s="80"/>
      <c r="AF107" s="82"/>
      <c r="AG107" s="80"/>
      <c r="AH107" s="80"/>
      <c r="AI107" s="82"/>
      <c r="AJ107" s="79"/>
      <c r="AK107" s="78" t="n">
        <f aca="false">IF(E107="","",(X107&lt;&gt;"")+(AC107&lt;&gt;"")+(AH107&lt;&gt;""))</f>
        <v>1</v>
      </c>
      <c r="AL107" s="81" t="str">
        <f aca="false">IF(AH107&lt;&gt;"",AH107,IF(AC107&lt;&gt;"",AC107,IF(X107&lt;&gt;"",X107,"")))</f>
        <v>A</v>
      </c>
      <c r="AM107" s="83" t="str">
        <f aca="false">IF(E107="","",IF(R107="","À SOUDER",IF(U107="","VT EN ATTENTE",IF(U107="R","VT REJETÉ – À REPRENDRE",IF(AL107="","À RADIOGRAPHIER",IF(AL107="A","ACCEPTÉ",IF(AL107="NX","NX – RT À REFAIRE",IF(IF(AK107=1,Z107,IF(AK107=2,AE107,""))="A","RÉPARÉ – À RADIOGRAPHIER",IF(IF(AK107=1,Z107,IF(AK107=2,AE107,""))="R","VT REJETÉ – À REPRENDRE",IF(OR(AL107="CO",AL107="NT"),"COUPE – À RESOUDER","À RÉPARER"))))))))))</f>
        <v>ACCEPTÉ</v>
      </c>
      <c r="AN107" s="81" t="str">
        <f aca="false">IF(AND(ISNUMBER(R107),OR(AM107="À RADIOGRAPHIER",AM107="RÉPARÉ – À RADIOGRAPHIER",AM107="NX – RT À REFAIRE",AM107="À RÉPARER",AM107="COUPE – À RESOUDER",AM107="VT REJETÉ – À REPRENDRE")),MAX(0,'PROGRAMME RT'!$C$4-R107),"")</f>
        <v/>
      </c>
      <c r="AO107" s="78" t="n">
        <f aca="false">IF(AND(OR(AM107="À RADIOGRAPHIER",AM107="RÉPARÉ – À RADIOGRAPHIER",AM107="NX – RT À REFAIRE"),OR('PROGRAMME RT'!$D$5="TOUTES",B107='PROGRAMME RT'!$D$5)),1,0)</f>
        <v>0</v>
      </c>
      <c r="AP107" s="78" t="str">
        <f aca="false">IF(AO107=1,SUM(AO$7:AO107),"")</f>
        <v/>
      </c>
      <c r="AQ107" s="78" t="n">
        <f aca="false">IF(AND(OR(X107="R",X107="NX",X107="NT",X107="CO"),OR('JOINTS DE RÉPARATION'!$D$5="TOUTES",B107='JOINTS DE RÉPARATION'!$D$5),OR('JOINTS DE RÉPARATION'!$L$4="TOUS",AM107&lt;&gt;"ACCEPTÉ")),1,0)</f>
        <v>0</v>
      </c>
      <c r="AR107" s="78" t="str">
        <f aca="false">IF(AQ107=1,SUM(AQ$7:AQ107),"")</f>
        <v/>
      </c>
    </row>
    <row r="108" customFormat="false" ht="15" hidden="false" customHeight="false" outlineLevel="0" collapsed="false">
      <c r="A108" s="78" t="n">
        <f aca="false">IF(E108="","",ROW()-6)</f>
        <v>102</v>
      </c>
      <c r="B108" s="79" t="s">
        <v>102</v>
      </c>
      <c r="C108" s="80" t="s">
        <v>231</v>
      </c>
      <c r="D108" s="80" t="s">
        <v>318</v>
      </c>
      <c r="E108" s="80" t="s">
        <v>348</v>
      </c>
      <c r="F108" s="80" t="s">
        <v>151</v>
      </c>
      <c r="G108" s="80" t="s">
        <v>106</v>
      </c>
      <c r="H108" s="80" t="n">
        <v>11</v>
      </c>
      <c r="I108" s="80" t="s">
        <v>114</v>
      </c>
      <c r="J108" s="80" t="s">
        <v>132</v>
      </c>
      <c r="K108" s="80" t="s">
        <v>346</v>
      </c>
      <c r="L108" s="84" t="n">
        <f aca="false">IF(K108="","",IFERROR(INDEX(BARDAGE!$C$7:$C$1506,MATCH(K108,BARDAGE!$B$7:$B$1506,0)),"? hors registre"))</f>
        <v>24212237</v>
      </c>
      <c r="M108" s="80" t="s">
        <v>349</v>
      </c>
      <c r="N108" s="84" t="n">
        <f aca="false">IF(M108="","",IFERROR(INDEX(BARDAGE!$C$7:$C$1506,MATCH(M108,BARDAGE!$B$7:$B$1506,0)),"? hors registre"))</f>
        <v>24703645</v>
      </c>
      <c r="O108" s="80" t="s">
        <v>141</v>
      </c>
      <c r="P108" s="80" t="s">
        <v>141</v>
      </c>
      <c r="Q108" s="80" t="s">
        <v>125</v>
      </c>
      <c r="R108" s="82" t="n">
        <v>45883</v>
      </c>
      <c r="S108" s="82" t="n">
        <v>45883</v>
      </c>
      <c r="T108" s="80" t="s">
        <v>340</v>
      </c>
      <c r="U108" s="80" t="s">
        <v>105</v>
      </c>
      <c r="V108" s="82" t="n">
        <v>45892</v>
      </c>
      <c r="W108" s="80" t="s">
        <v>347</v>
      </c>
      <c r="X108" s="80" t="s">
        <v>105</v>
      </c>
      <c r="Y108" s="80"/>
      <c r="Z108" s="80"/>
      <c r="AA108" s="82"/>
      <c r="AB108" s="80"/>
      <c r="AC108" s="80"/>
      <c r="AD108" s="80"/>
      <c r="AE108" s="80"/>
      <c r="AF108" s="82"/>
      <c r="AG108" s="80"/>
      <c r="AH108" s="80"/>
      <c r="AI108" s="82"/>
      <c r="AJ108" s="79"/>
      <c r="AK108" s="78" t="n">
        <f aca="false">IF(E108="","",(X108&lt;&gt;"")+(AC108&lt;&gt;"")+(AH108&lt;&gt;""))</f>
        <v>1</v>
      </c>
      <c r="AL108" s="81" t="str">
        <f aca="false">IF(AH108&lt;&gt;"",AH108,IF(AC108&lt;&gt;"",AC108,IF(X108&lt;&gt;"",X108,"")))</f>
        <v>A</v>
      </c>
      <c r="AM108" s="83" t="str">
        <f aca="false">IF(E108="","",IF(R108="","À SOUDER",IF(U108="","VT EN ATTENTE",IF(U108="R","VT REJETÉ – À REPRENDRE",IF(AL108="","À RADIOGRAPHIER",IF(AL108="A","ACCEPTÉ",IF(AL108="NX","NX – RT À REFAIRE",IF(IF(AK108=1,Z108,IF(AK108=2,AE108,""))="A","RÉPARÉ – À RADIOGRAPHIER",IF(IF(AK108=1,Z108,IF(AK108=2,AE108,""))="R","VT REJETÉ – À REPRENDRE",IF(OR(AL108="CO",AL108="NT"),"COUPE – À RESOUDER","À RÉPARER"))))))))))</f>
        <v>ACCEPTÉ</v>
      </c>
      <c r="AN108" s="81" t="str">
        <f aca="false">IF(AND(ISNUMBER(R108),OR(AM108="À RADIOGRAPHIER",AM108="RÉPARÉ – À RADIOGRAPHIER",AM108="NX – RT À REFAIRE",AM108="À RÉPARER",AM108="COUPE – À RESOUDER",AM108="VT REJETÉ – À REPRENDRE")),MAX(0,'PROGRAMME RT'!$C$4-R108),"")</f>
        <v/>
      </c>
      <c r="AO108" s="78" t="n">
        <f aca="false">IF(AND(OR(AM108="À RADIOGRAPHIER",AM108="RÉPARÉ – À RADIOGRAPHIER",AM108="NX – RT À REFAIRE"),OR('PROGRAMME RT'!$D$5="TOUTES",B108='PROGRAMME RT'!$D$5)),1,0)</f>
        <v>0</v>
      </c>
      <c r="AP108" s="78" t="str">
        <f aca="false">IF(AO108=1,SUM(AO$7:AO108),"")</f>
        <v/>
      </c>
      <c r="AQ108" s="78" t="n">
        <f aca="false">IF(AND(OR(X108="R",X108="NX",X108="NT",X108="CO"),OR('JOINTS DE RÉPARATION'!$D$5="TOUTES",B108='JOINTS DE RÉPARATION'!$D$5),OR('JOINTS DE RÉPARATION'!$L$4="TOUS",AM108&lt;&gt;"ACCEPTÉ")),1,0)</f>
        <v>0</v>
      </c>
      <c r="AR108" s="78" t="str">
        <f aca="false">IF(AQ108=1,SUM(AQ$7:AQ108),"")</f>
        <v/>
      </c>
    </row>
    <row r="109" customFormat="false" ht="15" hidden="false" customHeight="false" outlineLevel="0" collapsed="false">
      <c r="A109" s="78" t="n">
        <f aca="false">IF(E109="","",ROW()-6)</f>
        <v>103</v>
      </c>
      <c r="B109" s="79" t="s">
        <v>102</v>
      </c>
      <c r="C109" s="80" t="s">
        <v>231</v>
      </c>
      <c r="D109" s="80" t="s">
        <v>318</v>
      </c>
      <c r="E109" s="80" t="s">
        <v>350</v>
      </c>
      <c r="F109" s="80" t="s">
        <v>151</v>
      </c>
      <c r="G109" s="80" t="s">
        <v>106</v>
      </c>
      <c r="H109" s="80" t="n">
        <v>11</v>
      </c>
      <c r="I109" s="80" t="s">
        <v>114</v>
      </c>
      <c r="J109" s="80" t="s">
        <v>132</v>
      </c>
      <c r="K109" s="80" t="s">
        <v>349</v>
      </c>
      <c r="L109" s="84" t="n">
        <f aca="false">IF(K109="","",IFERROR(INDEX(BARDAGE!$C$7:$C$1506,MATCH(K109,BARDAGE!$B$7:$B$1506,0)),"? hors registre"))</f>
        <v>24703645</v>
      </c>
      <c r="M109" s="80" t="s">
        <v>351</v>
      </c>
      <c r="N109" s="84" t="n">
        <f aca="false">IF(M109="","",IFERROR(INDEX(BARDAGE!$C$7:$C$1506,MATCH(M109,BARDAGE!$B$7:$B$1506,0)),"? hors registre"))</f>
        <v>85240400216</v>
      </c>
      <c r="O109" s="80" t="s">
        <v>141</v>
      </c>
      <c r="P109" s="80" t="s">
        <v>141</v>
      </c>
      <c r="Q109" s="80" t="s">
        <v>204</v>
      </c>
      <c r="R109" s="82" t="n">
        <v>45883</v>
      </c>
      <c r="S109" s="82" t="n">
        <v>45883</v>
      </c>
      <c r="T109" s="80" t="s">
        <v>340</v>
      </c>
      <c r="U109" s="80" t="s">
        <v>105</v>
      </c>
      <c r="V109" s="82" t="n">
        <v>45892</v>
      </c>
      <c r="W109" s="80" t="s">
        <v>347</v>
      </c>
      <c r="X109" s="80" t="s">
        <v>105</v>
      </c>
      <c r="Y109" s="80"/>
      <c r="Z109" s="80"/>
      <c r="AA109" s="82"/>
      <c r="AB109" s="80"/>
      <c r="AC109" s="80"/>
      <c r="AD109" s="80"/>
      <c r="AE109" s="80"/>
      <c r="AF109" s="82"/>
      <c r="AG109" s="80"/>
      <c r="AH109" s="80"/>
      <c r="AI109" s="82"/>
      <c r="AJ109" s="79"/>
      <c r="AK109" s="78" t="n">
        <f aca="false">IF(E109="","",(X109&lt;&gt;"")+(AC109&lt;&gt;"")+(AH109&lt;&gt;""))</f>
        <v>1</v>
      </c>
      <c r="AL109" s="81" t="str">
        <f aca="false">IF(AH109&lt;&gt;"",AH109,IF(AC109&lt;&gt;"",AC109,IF(X109&lt;&gt;"",X109,"")))</f>
        <v>A</v>
      </c>
      <c r="AM109" s="83" t="str">
        <f aca="false">IF(E109="","",IF(R109="","À SOUDER",IF(U109="","VT EN ATTENTE",IF(U109="R","VT REJETÉ – À REPRENDRE",IF(AL109="","À RADIOGRAPHIER",IF(AL109="A","ACCEPTÉ",IF(AL109="NX","NX – RT À REFAIRE",IF(IF(AK109=1,Z109,IF(AK109=2,AE109,""))="A","RÉPARÉ – À RADIOGRAPHIER",IF(IF(AK109=1,Z109,IF(AK109=2,AE109,""))="R","VT REJETÉ – À REPRENDRE",IF(OR(AL109="CO",AL109="NT"),"COUPE – À RESOUDER","À RÉPARER"))))))))))</f>
        <v>ACCEPTÉ</v>
      </c>
      <c r="AN109" s="81" t="str">
        <f aca="false">IF(AND(ISNUMBER(R109),OR(AM109="À RADIOGRAPHIER",AM109="RÉPARÉ – À RADIOGRAPHIER",AM109="NX – RT À REFAIRE",AM109="À RÉPARER",AM109="COUPE – À RESOUDER",AM109="VT REJETÉ – À REPRENDRE")),MAX(0,'PROGRAMME RT'!$C$4-R109),"")</f>
        <v/>
      </c>
      <c r="AO109" s="78" t="n">
        <f aca="false">IF(AND(OR(AM109="À RADIOGRAPHIER",AM109="RÉPARÉ – À RADIOGRAPHIER",AM109="NX – RT À REFAIRE"),OR('PROGRAMME RT'!$D$5="TOUTES",B109='PROGRAMME RT'!$D$5)),1,0)</f>
        <v>0</v>
      </c>
      <c r="AP109" s="78" t="str">
        <f aca="false">IF(AO109=1,SUM(AO$7:AO109),"")</f>
        <v/>
      </c>
      <c r="AQ109" s="78" t="n">
        <f aca="false">IF(AND(OR(X109="R",X109="NX",X109="NT",X109="CO"),OR('JOINTS DE RÉPARATION'!$D$5="TOUTES",B109='JOINTS DE RÉPARATION'!$D$5),OR('JOINTS DE RÉPARATION'!$L$4="TOUS",AM109&lt;&gt;"ACCEPTÉ")),1,0)</f>
        <v>0</v>
      </c>
      <c r="AR109" s="78" t="str">
        <f aca="false">IF(AQ109=1,SUM(AQ$7:AQ109),"")</f>
        <v/>
      </c>
    </row>
    <row r="110" customFormat="false" ht="15" hidden="false" customHeight="false" outlineLevel="0" collapsed="false">
      <c r="A110" s="78" t="n">
        <f aca="false">IF(E110="","",ROW()-6)</f>
        <v>104</v>
      </c>
      <c r="B110" s="79" t="s">
        <v>102</v>
      </c>
      <c r="C110" s="80" t="s">
        <v>231</v>
      </c>
      <c r="D110" s="80" t="s">
        <v>318</v>
      </c>
      <c r="E110" s="80" t="s">
        <v>352</v>
      </c>
      <c r="F110" s="80" t="s">
        <v>151</v>
      </c>
      <c r="G110" s="80" t="s">
        <v>106</v>
      </c>
      <c r="H110" s="80" t="n">
        <v>11</v>
      </c>
      <c r="I110" s="80" t="s">
        <v>114</v>
      </c>
      <c r="J110" s="80" t="s">
        <v>132</v>
      </c>
      <c r="K110" s="80" t="s">
        <v>351</v>
      </c>
      <c r="L110" s="84" t="n">
        <f aca="false">IF(K110="","",IFERROR(INDEX(BARDAGE!$C$7:$C$1506,MATCH(K110,BARDAGE!$B$7:$B$1506,0)),"? hors registre"))</f>
        <v>85240400216</v>
      </c>
      <c r="M110" s="80" t="s">
        <v>353</v>
      </c>
      <c r="N110" s="84" t="n">
        <f aca="false">IF(M110="","",IFERROR(INDEX(BARDAGE!$C$7:$C$1506,MATCH(M110,BARDAGE!$B$7:$B$1506,0)),"? hors registre"))</f>
        <v>24803579</v>
      </c>
      <c r="O110" s="80" t="s">
        <v>141</v>
      </c>
      <c r="P110" s="80" t="s">
        <v>141</v>
      </c>
      <c r="Q110" s="80" t="s">
        <v>204</v>
      </c>
      <c r="R110" s="82" t="n">
        <v>45883</v>
      </c>
      <c r="S110" s="82" t="n">
        <v>45883</v>
      </c>
      <c r="T110" s="80" t="s">
        <v>340</v>
      </c>
      <c r="U110" s="80" t="s">
        <v>105</v>
      </c>
      <c r="V110" s="82" t="n">
        <v>45892</v>
      </c>
      <c r="W110" s="80" t="s">
        <v>347</v>
      </c>
      <c r="X110" s="80" t="s">
        <v>105</v>
      </c>
      <c r="Y110" s="80"/>
      <c r="Z110" s="80"/>
      <c r="AA110" s="82"/>
      <c r="AB110" s="80"/>
      <c r="AC110" s="80"/>
      <c r="AD110" s="80"/>
      <c r="AE110" s="80"/>
      <c r="AF110" s="82"/>
      <c r="AG110" s="80"/>
      <c r="AH110" s="80"/>
      <c r="AI110" s="82"/>
      <c r="AJ110" s="79"/>
      <c r="AK110" s="78" t="n">
        <f aca="false">IF(E110="","",(X110&lt;&gt;"")+(AC110&lt;&gt;"")+(AH110&lt;&gt;""))</f>
        <v>1</v>
      </c>
      <c r="AL110" s="81" t="str">
        <f aca="false">IF(AH110&lt;&gt;"",AH110,IF(AC110&lt;&gt;"",AC110,IF(X110&lt;&gt;"",X110,"")))</f>
        <v>A</v>
      </c>
      <c r="AM110" s="83" t="str">
        <f aca="false">IF(E110="","",IF(R110="","À SOUDER",IF(U110="","VT EN ATTENTE",IF(U110="R","VT REJETÉ – À REPRENDRE",IF(AL110="","À RADIOGRAPHIER",IF(AL110="A","ACCEPTÉ",IF(AL110="NX","NX – RT À REFAIRE",IF(IF(AK110=1,Z110,IF(AK110=2,AE110,""))="A","RÉPARÉ – À RADIOGRAPHIER",IF(IF(AK110=1,Z110,IF(AK110=2,AE110,""))="R","VT REJETÉ – À REPRENDRE",IF(OR(AL110="CO",AL110="NT"),"COUPE – À RESOUDER","À RÉPARER"))))))))))</f>
        <v>ACCEPTÉ</v>
      </c>
      <c r="AN110" s="81" t="str">
        <f aca="false">IF(AND(ISNUMBER(R110),OR(AM110="À RADIOGRAPHIER",AM110="RÉPARÉ – À RADIOGRAPHIER",AM110="NX – RT À REFAIRE",AM110="À RÉPARER",AM110="COUPE – À RESOUDER",AM110="VT REJETÉ – À REPRENDRE")),MAX(0,'PROGRAMME RT'!$C$4-R110),"")</f>
        <v/>
      </c>
      <c r="AO110" s="78" t="n">
        <f aca="false">IF(AND(OR(AM110="À RADIOGRAPHIER",AM110="RÉPARÉ – À RADIOGRAPHIER",AM110="NX – RT À REFAIRE"),OR('PROGRAMME RT'!$D$5="TOUTES",B110='PROGRAMME RT'!$D$5)),1,0)</f>
        <v>0</v>
      </c>
      <c r="AP110" s="78" t="str">
        <f aca="false">IF(AO110=1,SUM(AO$7:AO110),"")</f>
        <v/>
      </c>
      <c r="AQ110" s="78" t="n">
        <f aca="false">IF(AND(OR(X110="R",X110="NX",X110="NT",X110="CO"),OR('JOINTS DE RÉPARATION'!$D$5="TOUTES",B110='JOINTS DE RÉPARATION'!$D$5),OR('JOINTS DE RÉPARATION'!$L$4="TOUS",AM110&lt;&gt;"ACCEPTÉ")),1,0)</f>
        <v>0</v>
      </c>
      <c r="AR110" s="78" t="str">
        <f aca="false">IF(AQ110=1,SUM(AQ$7:AQ110),"")</f>
        <v/>
      </c>
    </row>
    <row r="111" customFormat="false" ht="15" hidden="false" customHeight="false" outlineLevel="0" collapsed="false">
      <c r="A111" s="78" t="n">
        <f aca="false">IF(E111="","",ROW()-6)</f>
        <v>105</v>
      </c>
      <c r="B111" s="79" t="s">
        <v>102</v>
      </c>
      <c r="C111" s="80" t="s">
        <v>231</v>
      </c>
      <c r="D111" s="80" t="s">
        <v>318</v>
      </c>
      <c r="E111" s="80" t="s">
        <v>354</v>
      </c>
      <c r="F111" s="80" t="s">
        <v>151</v>
      </c>
      <c r="G111" s="80" t="s">
        <v>106</v>
      </c>
      <c r="H111" s="80" t="n">
        <v>11</v>
      </c>
      <c r="I111" s="80" t="s">
        <v>114</v>
      </c>
      <c r="J111" s="80" t="s">
        <v>132</v>
      </c>
      <c r="K111" s="80" t="s">
        <v>353</v>
      </c>
      <c r="L111" s="84" t="n">
        <f aca="false">IF(K111="","",IFERROR(INDEX(BARDAGE!$C$7:$C$1506,MATCH(K111,BARDAGE!$B$7:$B$1506,0)),"? hors registre"))</f>
        <v>24803579</v>
      </c>
      <c r="M111" s="80" t="s">
        <v>355</v>
      </c>
      <c r="N111" s="84" t="n">
        <f aca="false">IF(M111="","",IFERROR(INDEX(BARDAGE!$C$7:$C$1506,MATCH(M111,BARDAGE!$B$7:$B$1506,0)),"? hors registre"))</f>
        <v>24803598</v>
      </c>
      <c r="O111" s="80" t="s">
        <v>141</v>
      </c>
      <c r="P111" s="80" t="s">
        <v>141</v>
      </c>
      <c r="Q111" s="80" t="s">
        <v>134</v>
      </c>
      <c r="R111" s="82" t="n">
        <v>45883</v>
      </c>
      <c r="S111" s="82" t="n">
        <v>45883</v>
      </c>
      <c r="T111" s="80" t="s">
        <v>340</v>
      </c>
      <c r="U111" s="80" t="s">
        <v>105</v>
      </c>
      <c r="V111" s="82" t="n">
        <v>45893</v>
      </c>
      <c r="W111" s="80" t="s">
        <v>347</v>
      </c>
      <c r="X111" s="80" t="s">
        <v>356</v>
      </c>
      <c r="Y111" s="80"/>
      <c r="Z111" s="80"/>
      <c r="AA111" s="82" t="n">
        <v>45893</v>
      </c>
      <c r="AB111" s="80" t="s">
        <v>136</v>
      </c>
      <c r="AC111" s="80" t="s">
        <v>105</v>
      </c>
      <c r="AD111" s="80"/>
      <c r="AE111" s="80"/>
      <c r="AF111" s="82"/>
      <c r="AG111" s="80"/>
      <c r="AH111" s="80"/>
      <c r="AI111" s="82"/>
      <c r="AJ111" s="79"/>
      <c r="AK111" s="78" t="n">
        <f aca="false">IF(E111="","",(X111&lt;&gt;"")+(AC111&lt;&gt;"")+(AH111&lt;&gt;""))</f>
        <v>2</v>
      </c>
      <c r="AL111" s="81" t="str">
        <f aca="false">IF(AH111&lt;&gt;"",AH111,IF(AC111&lt;&gt;"",AC111,IF(X111&lt;&gt;"",X111,"")))</f>
        <v>A</v>
      </c>
      <c r="AM111" s="83" t="str">
        <f aca="false">IF(E111="","",IF(R111="","À SOUDER",IF(U111="","VT EN ATTENTE",IF(U111="R","VT REJETÉ – À REPRENDRE",IF(AL111="","À RADIOGRAPHIER",IF(AL111="A","ACCEPTÉ",IF(AL111="NX","NX – RT À REFAIRE",IF(IF(AK111=1,Z111,IF(AK111=2,AE111,""))="A","RÉPARÉ – À RADIOGRAPHIER",IF(IF(AK111=1,Z111,IF(AK111=2,AE111,""))="R","VT REJETÉ – À REPRENDRE",IF(OR(AL111="CO",AL111="NT"),"COUPE – À RESOUDER","À RÉPARER"))))))))))</f>
        <v>ACCEPTÉ</v>
      </c>
      <c r="AN111" s="81" t="str">
        <f aca="false">IF(AND(ISNUMBER(R111),OR(AM111="À RADIOGRAPHIER",AM111="RÉPARÉ – À RADIOGRAPHIER",AM111="NX – RT À REFAIRE",AM111="À RÉPARER",AM111="COUPE – À RESOUDER",AM111="VT REJETÉ – À REPRENDRE")),MAX(0,'PROGRAMME RT'!$C$4-R111),"")</f>
        <v/>
      </c>
      <c r="AO111" s="78" t="n">
        <f aca="false">IF(AND(OR(AM111="À RADIOGRAPHIER",AM111="RÉPARÉ – À RADIOGRAPHIER",AM111="NX – RT À REFAIRE"),OR('PROGRAMME RT'!$D$5="TOUTES",B111='PROGRAMME RT'!$D$5)),1,0)</f>
        <v>0</v>
      </c>
      <c r="AP111" s="78" t="str">
        <f aca="false">IF(AO111=1,SUM(AO$7:AO111),"")</f>
        <v/>
      </c>
      <c r="AQ111" s="78" t="n">
        <f aca="false">IF(AND(OR(X111="R",X111="NX",X111="NT",X111="CO"),OR('JOINTS DE RÉPARATION'!$D$5="TOUTES",B111='JOINTS DE RÉPARATION'!$D$5),OR('JOINTS DE RÉPARATION'!$L$4="TOUS",AM111&lt;&gt;"ACCEPTÉ")),1,0)</f>
        <v>1</v>
      </c>
      <c r="AR111" s="78" t="n">
        <f aca="false">IF(AQ111=1,SUM(AQ$7:AQ111),"")</f>
        <v>2</v>
      </c>
    </row>
    <row r="112" customFormat="false" ht="15" hidden="false" customHeight="false" outlineLevel="0" collapsed="false">
      <c r="A112" s="78" t="n">
        <f aca="false">IF(E112="","",ROW()-6)</f>
        <v>106</v>
      </c>
      <c r="B112" s="79" t="s">
        <v>102</v>
      </c>
      <c r="C112" s="80" t="s">
        <v>231</v>
      </c>
      <c r="D112" s="80" t="s">
        <v>318</v>
      </c>
      <c r="E112" s="80" t="s">
        <v>357</v>
      </c>
      <c r="F112" s="80" t="s">
        <v>151</v>
      </c>
      <c r="G112" s="80" t="s">
        <v>106</v>
      </c>
      <c r="H112" s="80" t="n">
        <v>11</v>
      </c>
      <c r="I112" s="80" t="s">
        <v>114</v>
      </c>
      <c r="J112" s="80" t="s">
        <v>132</v>
      </c>
      <c r="K112" s="80" t="s">
        <v>355</v>
      </c>
      <c r="L112" s="84" t="n">
        <f aca="false">IF(K112="","",IFERROR(INDEX(BARDAGE!$C$7:$C$1506,MATCH(K112,BARDAGE!$B$7:$B$1506,0)),"? hors registre"))</f>
        <v>24803598</v>
      </c>
      <c r="M112" s="80" t="s">
        <v>358</v>
      </c>
      <c r="N112" s="84" t="n">
        <f aca="false">IF(M112="","",IFERROR(INDEX(BARDAGE!$C$7:$C$1506,MATCH(M112,BARDAGE!$B$7:$B$1506,0)),"? hors registre"))</f>
        <v>24212237</v>
      </c>
      <c r="O112" s="80" t="s">
        <v>141</v>
      </c>
      <c r="P112" s="80" t="s">
        <v>141</v>
      </c>
      <c r="Q112" s="80" t="s">
        <v>125</v>
      </c>
      <c r="R112" s="82" t="n">
        <v>45883</v>
      </c>
      <c r="S112" s="82" t="n">
        <v>45883</v>
      </c>
      <c r="T112" s="80" t="s">
        <v>340</v>
      </c>
      <c r="U112" s="80" t="s">
        <v>105</v>
      </c>
      <c r="V112" s="82" t="n">
        <v>45892</v>
      </c>
      <c r="W112" s="80" t="s">
        <v>347</v>
      </c>
      <c r="X112" s="80" t="s">
        <v>105</v>
      </c>
      <c r="Y112" s="80"/>
      <c r="Z112" s="80"/>
      <c r="AA112" s="82"/>
      <c r="AB112" s="80"/>
      <c r="AC112" s="80"/>
      <c r="AD112" s="80"/>
      <c r="AE112" s="80"/>
      <c r="AF112" s="82"/>
      <c r="AG112" s="80"/>
      <c r="AH112" s="80"/>
      <c r="AI112" s="82"/>
      <c r="AJ112" s="79"/>
      <c r="AK112" s="78" t="n">
        <f aca="false">IF(E112="","",(X112&lt;&gt;"")+(AC112&lt;&gt;"")+(AH112&lt;&gt;""))</f>
        <v>1</v>
      </c>
      <c r="AL112" s="81" t="str">
        <f aca="false">IF(AH112&lt;&gt;"",AH112,IF(AC112&lt;&gt;"",AC112,IF(X112&lt;&gt;"",X112,"")))</f>
        <v>A</v>
      </c>
      <c r="AM112" s="83" t="str">
        <f aca="false">IF(E112="","",IF(R112="","À SOUDER",IF(U112="","VT EN ATTENTE",IF(U112="R","VT REJETÉ – À REPRENDRE",IF(AL112="","À RADIOGRAPHIER",IF(AL112="A","ACCEPTÉ",IF(AL112="NX","NX – RT À REFAIRE",IF(IF(AK112=1,Z112,IF(AK112=2,AE112,""))="A","RÉPARÉ – À RADIOGRAPHIER",IF(IF(AK112=1,Z112,IF(AK112=2,AE112,""))="R","VT REJETÉ – À REPRENDRE",IF(OR(AL112="CO",AL112="NT"),"COUPE – À RESOUDER","À RÉPARER"))))))))))</f>
        <v>ACCEPTÉ</v>
      </c>
      <c r="AN112" s="81" t="str">
        <f aca="false">IF(AND(ISNUMBER(R112),OR(AM112="À RADIOGRAPHIER",AM112="RÉPARÉ – À RADIOGRAPHIER",AM112="NX – RT À REFAIRE",AM112="À RÉPARER",AM112="COUPE – À RESOUDER",AM112="VT REJETÉ – À REPRENDRE")),MAX(0,'PROGRAMME RT'!$C$4-R112),"")</f>
        <v/>
      </c>
      <c r="AO112" s="78" t="n">
        <f aca="false">IF(AND(OR(AM112="À RADIOGRAPHIER",AM112="RÉPARÉ – À RADIOGRAPHIER",AM112="NX – RT À REFAIRE"),OR('PROGRAMME RT'!$D$5="TOUTES",B112='PROGRAMME RT'!$D$5)),1,0)</f>
        <v>0</v>
      </c>
      <c r="AP112" s="78" t="str">
        <f aca="false">IF(AO112=1,SUM(AO$7:AO112),"")</f>
        <v/>
      </c>
      <c r="AQ112" s="78" t="n">
        <f aca="false">IF(AND(OR(X112="R",X112="NX",X112="NT",X112="CO"),OR('JOINTS DE RÉPARATION'!$D$5="TOUTES",B112='JOINTS DE RÉPARATION'!$D$5),OR('JOINTS DE RÉPARATION'!$L$4="TOUS",AM112&lt;&gt;"ACCEPTÉ")),1,0)</f>
        <v>0</v>
      </c>
      <c r="AR112" s="78" t="str">
        <f aca="false">IF(AQ112=1,SUM(AQ$7:AQ112),"")</f>
        <v/>
      </c>
    </row>
    <row r="113" customFormat="false" ht="15" hidden="false" customHeight="false" outlineLevel="0" collapsed="false">
      <c r="A113" s="78" t="n">
        <f aca="false">IF(E113="","",ROW()-6)</f>
        <v>107</v>
      </c>
      <c r="B113" s="79" t="s">
        <v>102</v>
      </c>
      <c r="C113" s="80" t="s">
        <v>231</v>
      </c>
      <c r="D113" s="80" t="s">
        <v>318</v>
      </c>
      <c r="E113" s="80" t="s">
        <v>359</v>
      </c>
      <c r="F113" s="80" t="s">
        <v>151</v>
      </c>
      <c r="G113" s="80" t="s">
        <v>106</v>
      </c>
      <c r="H113" s="80" t="n">
        <v>11</v>
      </c>
      <c r="I113" s="80" t="s">
        <v>114</v>
      </c>
      <c r="J113" s="80" t="s">
        <v>132</v>
      </c>
      <c r="K113" s="80" t="s">
        <v>358</v>
      </c>
      <c r="L113" s="84" t="n">
        <f aca="false">IF(K113="","",IFERROR(INDEX(BARDAGE!$C$7:$C$1506,MATCH(K113,BARDAGE!$B$7:$B$1506,0)),"? hors registre"))</f>
        <v>24212237</v>
      </c>
      <c r="M113" s="80" t="s">
        <v>360</v>
      </c>
      <c r="N113" s="84" t="n">
        <f aca="false">IF(M113="","",IFERROR(INDEX(BARDAGE!$C$7:$C$1506,MATCH(M113,BARDAGE!$B$7:$B$1506,0)),"? hors registre"))</f>
        <v>852405000576</v>
      </c>
      <c r="O113" s="80" t="s">
        <v>141</v>
      </c>
      <c r="P113" s="80" t="s">
        <v>141</v>
      </c>
      <c r="Q113" s="80" t="s">
        <v>125</v>
      </c>
      <c r="R113" s="82" t="n">
        <v>45883</v>
      </c>
      <c r="S113" s="82" t="n">
        <v>45883</v>
      </c>
      <c r="T113" s="80" t="s">
        <v>340</v>
      </c>
      <c r="U113" s="80" t="s">
        <v>105</v>
      </c>
      <c r="V113" s="82" t="n">
        <v>45892</v>
      </c>
      <c r="W113" s="80" t="s">
        <v>347</v>
      </c>
      <c r="X113" s="80" t="s">
        <v>105</v>
      </c>
      <c r="Y113" s="80"/>
      <c r="Z113" s="80"/>
      <c r="AA113" s="82"/>
      <c r="AB113" s="80"/>
      <c r="AC113" s="80"/>
      <c r="AD113" s="80"/>
      <c r="AE113" s="80"/>
      <c r="AF113" s="82"/>
      <c r="AG113" s="80"/>
      <c r="AH113" s="80"/>
      <c r="AI113" s="82"/>
      <c r="AJ113" s="79"/>
      <c r="AK113" s="78" t="n">
        <f aca="false">IF(E113="","",(X113&lt;&gt;"")+(AC113&lt;&gt;"")+(AH113&lt;&gt;""))</f>
        <v>1</v>
      </c>
      <c r="AL113" s="81" t="str">
        <f aca="false">IF(AH113&lt;&gt;"",AH113,IF(AC113&lt;&gt;"",AC113,IF(X113&lt;&gt;"",X113,"")))</f>
        <v>A</v>
      </c>
      <c r="AM113" s="83" t="str">
        <f aca="false">IF(E113="","",IF(R113="","À SOUDER",IF(U113="","VT EN ATTENTE",IF(U113="R","VT REJETÉ – À REPRENDRE",IF(AL113="","À RADIOGRAPHIER",IF(AL113="A","ACCEPTÉ",IF(AL113="NX","NX – RT À REFAIRE",IF(IF(AK113=1,Z113,IF(AK113=2,AE113,""))="A","RÉPARÉ – À RADIOGRAPHIER",IF(IF(AK113=1,Z113,IF(AK113=2,AE113,""))="R","VT REJETÉ – À REPRENDRE",IF(OR(AL113="CO",AL113="NT"),"COUPE – À RESOUDER","À RÉPARER"))))))))))</f>
        <v>ACCEPTÉ</v>
      </c>
      <c r="AN113" s="81" t="str">
        <f aca="false">IF(AND(ISNUMBER(R113),OR(AM113="À RADIOGRAPHIER",AM113="RÉPARÉ – À RADIOGRAPHIER",AM113="NX – RT À REFAIRE",AM113="À RÉPARER",AM113="COUPE – À RESOUDER",AM113="VT REJETÉ – À REPRENDRE")),MAX(0,'PROGRAMME RT'!$C$4-R113),"")</f>
        <v/>
      </c>
      <c r="AO113" s="78" t="n">
        <f aca="false">IF(AND(OR(AM113="À RADIOGRAPHIER",AM113="RÉPARÉ – À RADIOGRAPHIER",AM113="NX – RT À REFAIRE"),OR('PROGRAMME RT'!$D$5="TOUTES",B113='PROGRAMME RT'!$D$5)),1,0)</f>
        <v>0</v>
      </c>
      <c r="AP113" s="78" t="str">
        <f aca="false">IF(AO113=1,SUM(AO$7:AO113),"")</f>
        <v/>
      </c>
      <c r="AQ113" s="78" t="n">
        <f aca="false">IF(AND(OR(X113="R",X113="NX",X113="NT",X113="CO"),OR('JOINTS DE RÉPARATION'!$D$5="TOUTES",B113='JOINTS DE RÉPARATION'!$D$5),OR('JOINTS DE RÉPARATION'!$L$4="TOUS",AM113&lt;&gt;"ACCEPTÉ")),1,0)</f>
        <v>0</v>
      </c>
      <c r="AR113" s="78" t="str">
        <f aca="false">IF(AQ113=1,SUM(AQ$7:AQ113),"")</f>
        <v/>
      </c>
    </row>
    <row r="114" customFormat="false" ht="15" hidden="false" customHeight="false" outlineLevel="0" collapsed="false">
      <c r="A114" s="78" t="n">
        <f aca="false">IF(E114="","",ROW()-6)</f>
        <v>108</v>
      </c>
      <c r="B114" s="79" t="s">
        <v>102</v>
      </c>
      <c r="C114" s="80" t="s">
        <v>231</v>
      </c>
      <c r="D114" s="80" t="s">
        <v>318</v>
      </c>
      <c r="E114" s="80" t="s">
        <v>361</v>
      </c>
      <c r="F114" s="80" t="s">
        <v>151</v>
      </c>
      <c r="G114" s="80" t="s">
        <v>106</v>
      </c>
      <c r="H114" s="80" t="n">
        <v>11</v>
      </c>
      <c r="I114" s="80" t="s">
        <v>114</v>
      </c>
      <c r="J114" s="80" t="s">
        <v>132</v>
      </c>
      <c r="K114" s="80" t="s">
        <v>360</v>
      </c>
      <c r="L114" s="84" t="n">
        <f aca="false">IF(K114="","",IFERROR(INDEX(BARDAGE!$C$7:$C$1506,MATCH(K114,BARDAGE!$B$7:$B$1506,0)),"? hors registre"))</f>
        <v>852405000576</v>
      </c>
      <c r="M114" s="80" t="s">
        <v>362</v>
      </c>
      <c r="N114" s="84" t="n">
        <f aca="false">IF(M114="","",IFERROR(INDEX(BARDAGE!$C$7:$C$1506,MATCH(M114,BARDAGE!$B$7:$B$1506,0)),"? hors registre"))</f>
        <v>24102489</v>
      </c>
      <c r="O114" s="80" t="s">
        <v>141</v>
      </c>
      <c r="P114" s="80" t="s">
        <v>141</v>
      </c>
      <c r="Q114" s="80" t="s">
        <v>134</v>
      </c>
      <c r="R114" s="82" t="n">
        <v>45883</v>
      </c>
      <c r="S114" s="82" t="n">
        <v>45883</v>
      </c>
      <c r="T114" s="80" t="s">
        <v>340</v>
      </c>
      <c r="U114" s="80" t="s">
        <v>105</v>
      </c>
      <c r="V114" s="82" t="n">
        <v>45892</v>
      </c>
      <c r="W114" s="80" t="s">
        <v>347</v>
      </c>
      <c r="X114" s="80" t="s">
        <v>105</v>
      </c>
      <c r="Y114" s="80"/>
      <c r="Z114" s="80"/>
      <c r="AA114" s="82"/>
      <c r="AB114" s="80"/>
      <c r="AC114" s="80"/>
      <c r="AD114" s="80"/>
      <c r="AE114" s="80"/>
      <c r="AF114" s="82"/>
      <c r="AG114" s="80"/>
      <c r="AH114" s="80"/>
      <c r="AI114" s="82"/>
      <c r="AJ114" s="79"/>
      <c r="AK114" s="78" t="n">
        <f aca="false">IF(E114="","",(X114&lt;&gt;"")+(AC114&lt;&gt;"")+(AH114&lt;&gt;""))</f>
        <v>1</v>
      </c>
      <c r="AL114" s="81" t="str">
        <f aca="false">IF(AH114&lt;&gt;"",AH114,IF(AC114&lt;&gt;"",AC114,IF(X114&lt;&gt;"",X114,"")))</f>
        <v>A</v>
      </c>
      <c r="AM114" s="83" t="str">
        <f aca="false">IF(E114="","",IF(R114="","À SOUDER",IF(U114="","VT EN ATTENTE",IF(U114="R","VT REJETÉ – À REPRENDRE",IF(AL114="","À RADIOGRAPHIER",IF(AL114="A","ACCEPTÉ",IF(AL114="NX","NX – RT À REFAIRE",IF(IF(AK114=1,Z114,IF(AK114=2,AE114,""))="A","RÉPARÉ – À RADIOGRAPHIER",IF(IF(AK114=1,Z114,IF(AK114=2,AE114,""))="R","VT REJETÉ – À REPRENDRE",IF(OR(AL114="CO",AL114="NT"),"COUPE – À RESOUDER","À RÉPARER"))))))))))</f>
        <v>ACCEPTÉ</v>
      </c>
      <c r="AN114" s="81" t="str">
        <f aca="false">IF(AND(ISNUMBER(R114),OR(AM114="À RADIOGRAPHIER",AM114="RÉPARÉ – À RADIOGRAPHIER",AM114="NX – RT À REFAIRE",AM114="À RÉPARER",AM114="COUPE – À RESOUDER",AM114="VT REJETÉ – À REPRENDRE")),MAX(0,'PROGRAMME RT'!$C$4-R114),"")</f>
        <v/>
      </c>
      <c r="AO114" s="78" t="n">
        <f aca="false">IF(AND(OR(AM114="À RADIOGRAPHIER",AM114="RÉPARÉ – À RADIOGRAPHIER",AM114="NX – RT À REFAIRE"),OR('PROGRAMME RT'!$D$5="TOUTES",B114='PROGRAMME RT'!$D$5)),1,0)</f>
        <v>0</v>
      </c>
      <c r="AP114" s="78" t="str">
        <f aca="false">IF(AO114=1,SUM(AO$7:AO114),"")</f>
        <v/>
      </c>
      <c r="AQ114" s="78" t="n">
        <f aca="false">IF(AND(OR(X114="R",X114="NX",X114="NT",X114="CO"),OR('JOINTS DE RÉPARATION'!$D$5="TOUTES",B114='JOINTS DE RÉPARATION'!$D$5),OR('JOINTS DE RÉPARATION'!$L$4="TOUS",AM114&lt;&gt;"ACCEPTÉ")),1,0)</f>
        <v>0</v>
      </c>
      <c r="AR114" s="78" t="str">
        <f aca="false">IF(AQ114=1,SUM(AQ$7:AQ114),"")</f>
        <v/>
      </c>
    </row>
    <row r="115" customFormat="false" ht="15" hidden="false" customHeight="false" outlineLevel="0" collapsed="false">
      <c r="A115" s="78" t="n">
        <f aca="false">IF(E115="","",ROW()-6)</f>
        <v>109</v>
      </c>
      <c r="B115" s="79" t="s">
        <v>102</v>
      </c>
      <c r="C115" s="80" t="s">
        <v>231</v>
      </c>
      <c r="D115" s="80" t="s">
        <v>318</v>
      </c>
      <c r="E115" s="80" t="s">
        <v>363</v>
      </c>
      <c r="F115" s="80" t="s">
        <v>151</v>
      </c>
      <c r="G115" s="80" t="s">
        <v>106</v>
      </c>
      <c r="H115" s="80" t="n">
        <v>11</v>
      </c>
      <c r="I115" s="80" t="s">
        <v>114</v>
      </c>
      <c r="J115" s="80" t="s">
        <v>132</v>
      </c>
      <c r="K115" s="80" t="s">
        <v>362</v>
      </c>
      <c r="L115" s="84" t="n">
        <f aca="false">IF(K115="","",IFERROR(INDEX(BARDAGE!$C$7:$C$1506,MATCH(K115,BARDAGE!$B$7:$B$1506,0)),"? hors registre"))</f>
        <v>24102489</v>
      </c>
      <c r="M115" s="80" t="s">
        <v>364</v>
      </c>
      <c r="N115" s="84" t="n">
        <f aca="false">IF(M115="","",IFERROR(INDEX(BARDAGE!$C$7:$C$1506,MATCH(M115,BARDAGE!$B$7:$B$1506,0)),"? hors registre"))</f>
        <v>24102487</v>
      </c>
      <c r="O115" s="80" t="s">
        <v>141</v>
      </c>
      <c r="P115" s="80" t="s">
        <v>141</v>
      </c>
      <c r="Q115" s="80" t="s">
        <v>204</v>
      </c>
      <c r="R115" s="82" t="n">
        <v>45883</v>
      </c>
      <c r="S115" s="82" t="n">
        <v>45883</v>
      </c>
      <c r="T115" s="80" t="s">
        <v>340</v>
      </c>
      <c r="U115" s="80" t="s">
        <v>105</v>
      </c>
      <c r="V115" s="82" t="n">
        <v>45892</v>
      </c>
      <c r="W115" s="80" t="s">
        <v>347</v>
      </c>
      <c r="X115" s="80" t="s">
        <v>105</v>
      </c>
      <c r="Y115" s="80"/>
      <c r="Z115" s="80"/>
      <c r="AA115" s="82"/>
      <c r="AB115" s="80"/>
      <c r="AC115" s="80"/>
      <c r="AD115" s="80"/>
      <c r="AE115" s="80"/>
      <c r="AF115" s="82"/>
      <c r="AG115" s="80"/>
      <c r="AH115" s="80"/>
      <c r="AI115" s="82"/>
      <c r="AJ115" s="79"/>
      <c r="AK115" s="78" t="n">
        <f aca="false">IF(E115="","",(X115&lt;&gt;"")+(AC115&lt;&gt;"")+(AH115&lt;&gt;""))</f>
        <v>1</v>
      </c>
      <c r="AL115" s="81" t="str">
        <f aca="false">IF(AH115&lt;&gt;"",AH115,IF(AC115&lt;&gt;"",AC115,IF(X115&lt;&gt;"",X115,"")))</f>
        <v>A</v>
      </c>
      <c r="AM115" s="83" t="str">
        <f aca="false">IF(E115="","",IF(R115="","À SOUDER",IF(U115="","VT EN ATTENTE",IF(U115="R","VT REJETÉ – À REPRENDRE",IF(AL115="","À RADIOGRAPHIER",IF(AL115="A","ACCEPTÉ",IF(AL115="NX","NX – RT À REFAIRE",IF(IF(AK115=1,Z115,IF(AK115=2,AE115,""))="A","RÉPARÉ – À RADIOGRAPHIER",IF(IF(AK115=1,Z115,IF(AK115=2,AE115,""))="R","VT REJETÉ – À REPRENDRE",IF(OR(AL115="CO",AL115="NT"),"COUPE – À RESOUDER","À RÉPARER"))))))))))</f>
        <v>ACCEPTÉ</v>
      </c>
      <c r="AN115" s="81" t="str">
        <f aca="false">IF(AND(ISNUMBER(R115),OR(AM115="À RADIOGRAPHIER",AM115="RÉPARÉ – À RADIOGRAPHIER",AM115="NX – RT À REFAIRE",AM115="À RÉPARER",AM115="COUPE – À RESOUDER",AM115="VT REJETÉ – À REPRENDRE")),MAX(0,'PROGRAMME RT'!$C$4-R115),"")</f>
        <v/>
      </c>
      <c r="AO115" s="78" t="n">
        <f aca="false">IF(AND(OR(AM115="À RADIOGRAPHIER",AM115="RÉPARÉ – À RADIOGRAPHIER",AM115="NX – RT À REFAIRE"),OR('PROGRAMME RT'!$D$5="TOUTES",B115='PROGRAMME RT'!$D$5)),1,0)</f>
        <v>0</v>
      </c>
      <c r="AP115" s="78" t="str">
        <f aca="false">IF(AO115=1,SUM(AO$7:AO115),"")</f>
        <v/>
      </c>
      <c r="AQ115" s="78" t="n">
        <f aca="false">IF(AND(OR(X115="R",X115="NX",X115="NT",X115="CO"),OR('JOINTS DE RÉPARATION'!$D$5="TOUTES",B115='JOINTS DE RÉPARATION'!$D$5),OR('JOINTS DE RÉPARATION'!$L$4="TOUS",AM115&lt;&gt;"ACCEPTÉ")),1,0)</f>
        <v>0</v>
      </c>
      <c r="AR115" s="78" t="str">
        <f aca="false">IF(AQ115=1,SUM(AQ$7:AQ115),"")</f>
        <v/>
      </c>
    </row>
    <row r="116" customFormat="false" ht="15" hidden="false" customHeight="false" outlineLevel="0" collapsed="false">
      <c r="A116" s="78" t="n">
        <f aca="false">IF(E116="","",ROW()-6)</f>
        <v>110</v>
      </c>
      <c r="B116" s="79" t="s">
        <v>102</v>
      </c>
      <c r="C116" s="80" t="s">
        <v>231</v>
      </c>
      <c r="D116" s="80" t="s">
        <v>318</v>
      </c>
      <c r="E116" s="80" t="s">
        <v>365</v>
      </c>
      <c r="F116" s="80" t="s">
        <v>151</v>
      </c>
      <c r="G116" s="80" t="s">
        <v>106</v>
      </c>
      <c r="H116" s="80" t="n">
        <v>11</v>
      </c>
      <c r="I116" s="80" t="s">
        <v>114</v>
      </c>
      <c r="J116" s="80" t="s">
        <v>132</v>
      </c>
      <c r="K116" s="80" t="s">
        <v>364</v>
      </c>
      <c r="L116" s="84" t="n">
        <f aca="false">IF(K116="","",IFERROR(INDEX(BARDAGE!$C$7:$C$1506,MATCH(K116,BARDAGE!$B$7:$B$1506,0)),"? hors registre"))</f>
        <v>24102487</v>
      </c>
      <c r="M116" s="80" t="s">
        <v>366</v>
      </c>
      <c r="N116" s="84" t="n">
        <f aca="false">IF(M116="","",IFERROR(INDEX(BARDAGE!$C$7:$C$1506,MATCH(M116,BARDAGE!$B$7:$B$1506,0)),"? hors registre"))</f>
        <v>24212237</v>
      </c>
      <c r="O116" s="80" t="s">
        <v>141</v>
      </c>
      <c r="P116" s="80" t="s">
        <v>141</v>
      </c>
      <c r="Q116" s="80" t="s">
        <v>204</v>
      </c>
      <c r="R116" s="82" t="n">
        <v>45883</v>
      </c>
      <c r="S116" s="82" t="n">
        <v>45883</v>
      </c>
      <c r="T116" s="80" t="s">
        <v>340</v>
      </c>
      <c r="U116" s="80" t="s">
        <v>105</v>
      </c>
      <c r="V116" s="82" t="n">
        <v>45892</v>
      </c>
      <c r="W116" s="80" t="s">
        <v>347</v>
      </c>
      <c r="X116" s="80" t="s">
        <v>105</v>
      </c>
      <c r="Y116" s="80"/>
      <c r="Z116" s="80"/>
      <c r="AA116" s="82"/>
      <c r="AB116" s="80"/>
      <c r="AC116" s="80"/>
      <c r="AD116" s="80"/>
      <c r="AE116" s="80"/>
      <c r="AF116" s="82"/>
      <c r="AG116" s="80"/>
      <c r="AH116" s="80"/>
      <c r="AI116" s="82"/>
      <c r="AJ116" s="79"/>
      <c r="AK116" s="78" t="n">
        <f aca="false">IF(E116="","",(X116&lt;&gt;"")+(AC116&lt;&gt;"")+(AH116&lt;&gt;""))</f>
        <v>1</v>
      </c>
      <c r="AL116" s="81" t="str">
        <f aca="false">IF(AH116&lt;&gt;"",AH116,IF(AC116&lt;&gt;"",AC116,IF(X116&lt;&gt;"",X116,"")))</f>
        <v>A</v>
      </c>
      <c r="AM116" s="83" t="str">
        <f aca="false">IF(E116="","",IF(R116="","À SOUDER",IF(U116="","VT EN ATTENTE",IF(U116="R","VT REJETÉ – À REPRENDRE",IF(AL116="","À RADIOGRAPHIER",IF(AL116="A","ACCEPTÉ",IF(AL116="NX","NX – RT À REFAIRE",IF(IF(AK116=1,Z116,IF(AK116=2,AE116,""))="A","RÉPARÉ – À RADIOGRAPHIER",IF(IF(AK116=1,Z116,IF(AK116=2,AE116,""))="R","VT REJETÉ – À REPRENDRE",IF(OR(AL116="CO",AL116="NT"),"COUPE – À RESOUDER","À RÉPARER"))))))))))</f>
        <v>ACCEPTÉ</v>
      </c>
      <c r="AN116" s="81" t="str">
        <f aca="false">IF(AND(ISNUMBER(R116),OR(AM116="À RADIOGRAPHIER",AM116="RÉPARÉ – À RADIOGRAPHIER",AM116="NX – RT À REFAIRE",AM116="À RÉPARER",AM116="COUPE – À RESOUDER",AM116="VT REJETÉ – À REPRENDRE")),MAX(0,'PROGRAMME RT'!$C$4-R116),"")</f>
        <v/>
      </c>
      <c r="AO116" s="78" t="n">
        <f aca="false">IF(AND(OR(AM116="À RADIOGRAPHIER",AM116="RÉPARÉ – À RADIOGRAPHIER",AM116="NX – RT À REFAIRE"),OR('PROGRAMME RT'!$D$5="TOUTES",B116='PROGRAMME RT'!$D$5)),1,0)</f>
        <v>0</v>
      </c>
      <c r="AP116" s="78" t="str">
        <f aca="false">IF(AO116=1,SUM(AO$7:AO116),"")</f>
        <v/>
      </c>
      <c r="AQ116" s="78" t="n">
        <f aca="false">IF(AND(OR(X116="R",X116="NX",X116="NT",X116="CO"),OR('JOINTS DE RÉPARATION'!$D$5="TOUTES",B116='JOINTS DE RÉPARATION'!$D$5),OR('JOINTS DE RÉPARATION'!$L$4="TOUS",AM116&lt;&gt;"ACCEPTÉ")),1,0)</f>
        <v>0</v>
      </c>
      <c r="AR116" s="78" t="str">
        <f aca="false">IF(AQ116=1,SUM(AQ$7:AQ116),"")</f>
        <v/>
      </c>
    </row>
    <row r="117" customFormat="false" ht="15" hidden="false" customHeight="false" outlineLevel="0" collapsed="false">
      <c r="A117" s="78" t="n">
        <f aca="false">IF(E117="","",ROW()-6)</f>
        <v>111</v>
      </c>
      <c r="B117" s="79" t="s">
        <v>102</v>
      </c>
      <c r="C117" s="80" t="s">
        <v>231</v>
      </c>
      <c r="D117" s="80" t="s">
        <v>318</v>
      </c>
      <c r="E117" s="80" t="s">
        <v>367</v>
      </c>
      <c r="F117" s="80" t="s">
        <v>151</v>
      </c>
      <c r="G117" s="80" t="s">
        <v>106</v>
      </c>
      <c r="H117" s="80" t="n">
        <v>11</v>
      </c>
      <c r="I117" s="80" t="s">
        <v>114</v>
      </c>
      <c r="J117" s="80" t="s">
        <v>132</v>
      </c>
      <c r="K117" s="80" t="s">
        <v>366</v>
      </c>
      <c r="L117" s="84" t="n">
        <f aca="false">IF(K117="","",IFERROR(INDEX(BARDAGE!$C$7:$C$1506,MATCH(K117,BARDAGE!$B$7:$B$1506,0)),"? hors registre"))</f>
        <v>24212237</v>
      </c>
      <c r="M117" s="80" t="s">
        <v>368</v>
      </c>
      <c r="N117" s="84" t="n">
        <f aca="false">IF(M117="","",IFERROR(INDEX(BARDAGE!$C$7:$C$1506,MATCH(M117,BARDAGE!$B$7:$B$1506,0)),"? hors registre"))</f>
        <v>24102489</v>
      </c>
      <c r="O117" s="80" t="s">
        <v>141</v>
      </c>
      <c r="P117" s="80" t="s">
        <v>141</v>
      </c>
      <c r="Q117" s="80" t="s">
        <v>134</v>
      </c>
      <c r="R117" s="82" t="n">
        <v>45883</v>
      </c>
      <c r="S117" s="82" t="n">
        <v>45883</v>
      </c>
      <c r="T117" s="80" t="s">
        <v>340</v>
      </c>
      <c r="U117" s="80" t="s">
        <v>105</v>
      </c>
      <c r="V117" s="82" t="n">
        <v>45892</v>
      </c>
      <c r="W117" s="80" t="s">
        <v>347</v>
      </c>
      <c r="X117" s="80" t="s">
        <v>105</v>
      </c>
      <c r="Y117" s="80"/>
      <c r="Z117" s="80"/>
      <c r="AA117" s="82"/>
      <c r="AB117" s="80"/>
      <c r="AC117" s="80"/>
      <c r="AD117" s="80"/>
      <c r="AE117" s="80"/>
      <c r="AF117" s="82"/>
      <c r="AG117" s="80"/>
      <c r="AH117" s="80"/>
      <c r="AI117" s="82"/>
      <c r="AJ117" s="79"/>
      <c r="AK117" s="78" t="n">
        <f aca="false">IF(E117="","",(X117&lt;&gt;"")+(AC117&lt;&gt;"")+(AH117&lt;&gt;""))</f>
        <v>1</v>
      </c>
      <c r="AL117" s="81" t="str">
        <f aca="false">IF(AH117&lt;&gt;"",AH117,IF(AC117&lt;&gt;"",AC117,IF(X117&lt;&gt;"",X117,"")))</f>
        <v>A</v>
      </c>
      <c r="AM117" s="83" t="str">
        <f aca="false">IF(E117="","",IF(R117="","À SOUDER",IF(U117="","VT EN ATTENTE",IF(U117="R","VT REJETÉ – À REPRENDRE",IF(AL117="","À RADIOGRAPHIER",IF(AL117="A","ACCEPTÉ",IF(AL117="NX","NX – RT À REFAIRE",IF(IF(AK117=1,Z117,IF(AK117=2,AE117,""))="A","RÉPARÉ – À RADIOGRAPHIER",IF(IF(AK117=1,Z117,IF(AK117=2,AE117,""))="R","VT REJETÉ – À REPRENDRE",IF(OR(AL117="CO",AL117="NT"),"COUPE – À RESOUDER","À RÉPARER"))))))))))</f>
        <v>ACCEPTÉ</v>
      </c>
      <c r="AN117" s="81" t="str">
        <f aca="false">IF(AND(ISNUMBER(R117),OR(AM117="À RADIOGRAPHIER",AM117="RÉPARÉ – À RADIOGRAPHIER",AM117="NX – RT À REFAIRE",AM117="À RÉPARER",AM117="COUPE – À RESOUDER",AM117="VT REJETÉ – À REPRENDRE")),MAX(0,'PROGRAMME RT'!$C$4-R117),"")</f>
        <v/>
      </c>
      <c r="AO117" s="78" t="n">
        <f aca="false">IF(AND(OR(AM117="À RADIOGRAPHIER",AM117="RÉPARÉ – À RADIOGRAPHIER",AM117="NX – RT À REFAIRE"),OR('PROGRAMME RT'!$D$5="TOUTES",B117='PROGRAMME RT'!$D$5)),1,0)</f>
        <v>0</v>
      </c>
      <c r="AP117" s="78" t="str">
        <f aca="false">IF(AO117=1,SUM(AO$7:AO117),"")</f>
        <v/>
      </c>
      <c r="AQ117" s="78" t="n">
        <f aca="false">IF(AND(OR(X117="R",X117="NX",X117="NT",X117="CO"),OR('JOINTS DE RÉPARATION'!$D$5="TOUTES",B117='JOINTS DE RÉPARATION'!$D$5),OR('JOINTS DE RÉPARATION'!$L$4="TOUS",AM117&lt;&gt;"ACCEPTÉ")),1,0)</f>
        <v>0</v>
      </c>
      <c r="AR117" s="78" t="str">
        <f aca="false">IF(AQ117=1,SUM(AQ$7:AQ117),"")</f>
        <v/>
      </c>
    </row>
    <row r="118" customFormat="false" ht="15" hidden="false" customHeight="false" outlineLevel="0" collapsed="false">
      <c r="A118" s="78" t="n">
        <f aca="false">IF(E118="","",ROW()-6)</f>
        <v>112</v>
      </c>
      <c r="B118" s="79" t="s">
        <v>102</v>
      </c>
      <c r="C118" s="80" t="s">
        <v>231</v>
      </c>
      <c r="D118" s="80" t="s">
        <v>318</v>
      </c>
      <c r="E118" s="80" t="s">
        <v>369</v>
      </c>
      <c r="F118" s="80" t="s">
        <v>151</v>
      </c>
      <c r="G118" s="80" t="s">
        <v>106</v>
      </c>
      <c r="H118" s="80" t="n">
        <v>11</v>
      </c>
      <c r="I118" s="80" t="s">
        <v>114</v>
      </c>
      <c r="J118" s="80" t="s">
        <v>132</v>
      </c>
      <c r="K118" s="80" t="s">
        <v>368</v>
      </c>
      <c r="L118" s="84" t="n">
        <f aca="false">IF(K118="","",IFERROR(INDEX(BARDAGE!$C$7:$C$1506,MATCH(K118,BARDAGE!$B$7:$B$1506,0)),"? hors registre"))</f>
        <v>24102489</v>
      </c>
      <c r="M118" s="80" t="s">
        <v>370</v>
      </c>
      <c r="N118" s="84" t="n">
        <f aca="false">IF(M118="","",IFERROR(INDEX(BARDAGE!$C$7:$C$1506,MATCH(M118,BARDAGE!$B$7:$B$1506,0)),"? hors registre"))</f>
        <v>24102489</v>
      </c>
      <c r="O118" s="80" t="s">
        <v>141</v>
      </c>
      <c r="P118" s="80" t="s">
        <v>141</v>
      </c>
      <c r="Q118" s="80" t="s">
        <v>125</v>
      </c>
      <c r="R118" s="82" t="n">
        <v>45884</v>
      </c>
      <c r="S118" s="82" t="n">
        <v>45884</v>
      </c>
      <c r="T118" s="80" t="s">
        <v>371</v>
      </c>
      <c r="U118" s="80" t="s">
        <v>105</v>
      </c>
      <c r="V118" s="82" t="n">
        <v>45892</v>
      </c>
      <c r="W118" s="80" t="s">
        <v>347</v>
      </c>
      <c r="X118" s="80" t="s">
        <v>105</v>
      </c>
      <c r="Y118" s="80"/>
      <c r="Z118" s="80"/>
      <c r="AA118" s="82"/>
      <c r="AB118" s="80"/>
      <c r="AC118" s="80"/>
      <c r="AD118" s="80"/>
      <c r="AE118" s="80"/>
      <c r="AF118" s="82"/>
      <c r="AG118" s="80"/>
      <c r="AH118" s="80"/>
      <c r="AI118" s="82"/>
      <c r="AJ118" s="79"/>
      <c r="AK118" s="78" t="n">
        <f aca="false">IF(E118="","",(X118&lt;&gt;"")+(AC118&lt;&gt;"")+(AH118&lt;&gt;""))</f>
        <v>1</v>
      </c>
      <c r="AL118" s="81" t="str">
        <f aca="false">IF(AH118&lt;&gt;"",AH118,IF(AC118&lt;&gt;"",AC118,IF(X118&lt;&gt;"",X118,"")))</f>
        <v>A</v>
      </c>
      <c r="AM118" s="83" t="str">
        <f aca="false">IF(E118="","",IF(R118="","À SOUDER",IF(U118="","VT EN ATTENTE",IF(U118="R","VT REJETÉ – À REPRENDRE",IF(AL118="","À RADIOGRAPHIER",IF(AL118="A","ACCEPTÉ",IF(AL118="NX","NX – RT À REFAIRE",IF(IF(AK118=1,Z118,IF(AK118=2,AE118,""))="A","RÉPARÉ – À RADIOGRAPHIER",IF(IF(AK118=1,Z118,IF(AK118=2,AE118,""))="R","VT REJETÉ – À REPRENDRE",IF(OR(AL118="CO",AL118="NT"),"COUPE – À RESOUDER","À RÉPARER"))))))))))</f>
        <v>ACCEPTÉ</v>
      </c>
      <c r="AN118" s="81" t="str">
        <f aca="false">IF(AND(ISNUMBER(R118),OR(AM118="À RADIOGRAPHIER",AM118="RÉPARÉ – À RADIOGRAPHIER",AM118="NX – RT À REFAIRE",AM118="À RÉPARER",AM118="COUPE – À RESOUDER",AM118="VT REJETÉ – À REPRENDRE")),MAX(0,'PROGRAMME RT'!$C$4-R118),"")</f>
        <v/>
      </c>
      <c r="AO118" s="78" t="n">
        <f aca="false">IF(AND(OR(AM118="À RADIOGRAPHIER",AM118="RÉPARÉ – À RADIOGRAPHIER",AM118="NX – RT À REFAIRE"),OR('PROGRAMME RT'!$D$5="TOUTES",B118='PROGRAMME RT'!$D$5)),1,0)</f>
        <v>0</v>
      </c>
      <c r="AP118" s="78" t="str">
        <f aca="false">IF(AO118=1,SUM(AO$7:AO118),"")</f>
        <v/>
      </c>
      <c r="AQ118" s="78" t="n">
        <f aca="false">IF(AND(OR(X118="R",X118="NX",X118="NT",X118="CO"),OR('JOINTS DE RÉPARATION'!$D$5="TOUTES",B118='JOINTS DE RÉPARATION'!$D$5),OR('JOINTS DE RÉPARATION'!$L$4="TOUS",AM118&lt;&gt;"ACCEPTÉ")),1,0)</f>
        <v>0</v>
      </c>
      <c r="AR118" s="78" t="str">
        <f aca="false">IF(AQ118=1,SUM(AQ$7:AQ118),"")</f>
        <v/>
      </c>
    </row>
    <row r="119" customFormat="false" ht="15" hidden="false" customHeight="false" outlineLevel="0" collapsed="false">
      <c r="A119" s="78" t="n">
        <f aca="false">IF(E119="","",ROW()-6)</f>
        <v>113</v>
      </c>
      <c r="B119" s="79" t="s">
        <v>102</v>
      </c>
      <c r="C119" s="80" t="s">
        <v>231</v>
      </c>
      <c r="D119" s="80" t="s">
        <v>318</v>
      </c>
      <c r="E119" s="80" t="s">
        <v>372</v>
      </c>
      <c r="F119" s="80" t="s">
        <v>151</v>
      </c>
      <c r="G119" s="80" t="s">
        <v>106</v>
      </c>
      <c r="H119" s="80" t="n">
        <v>11</v>
      </c>
      <c r="I119" s="80" t="s">
        <v>114</v>
      </c>
      <c r="J119" s="80" t="s">
        <v>132</v>
      </c>
      <c r="K119" s="80" t="s">
        <v>370</v>
      </c>
      <c r="L119" s="84" t="n">
        <f aca="false">IF(K119="","",IFERROR(INDEX(BARDAGE!$C$7:$C$1506,MATCH(K119,BARDAGE!$B$7:$B$1506,0)),"? hors registre"))</f>
        <v>24102489</v>
      </c>
      <c r="M119" s="80" t="s">
        <v>373</v>
      </c>
      <c r="N119" s="84" t="n">
        <f aca="false">IF(M119="","",IFERROR(INDEX(BARDAGE!$C$7:$C$1506,MATCH(M119,BARDAGE!$B$7:$B$1506,0)),"? hors registre"))</f>
        <v>852404002574</v>
      </c>
      <c r="O119" s="80" t="s">
        <v>141</v>
      </c>
      <c r="P119" s="80" t="s">
        <v>141</v>
      </c>
      <c r="Q119" s="80" t="s">
        <v>134</v>
      </c>
      <c r="R119" s="82" t="n">
        <v>45884</v>
      </c>
      <c r="S119" s="82" t="n">
        <v>45884</v>
      </c>
      <c r="T119" s="80" t="s">
        <v>371</v>
      </c>
      <c r="U119" s="80" t="s">
        <v>105</v>
      </c>
      <c r="V119" s="82" t="n">
        <v>45892</v>
      </c>
      <c r="W119" s="80" t="s">
        <v>347</v>
      </c>
      <c r="X119" s="80" t="s">
        <v>105</v>
      </c>
      <c r="Y119" s="80"/>
      <c r="Z119" s="80"/>
      <c r="AA119" s="82"/>
      <c r="AB119" s="80"/>
      <c r="AC119" s="80"/>
      <c r="AD119" s="80"/>
      <c r="AE119" s="80"/>
      <c r="AF119" s="82"/>
      <c r="AG119" s="80"/>
      <c r="AH119" s="80"/>
      <c r="AI119" s="82"/>
      <c r="AJ119" s="79"/>
      <c r="AK119" s="78" t="n">
        <f aca="false">IF(E119="","",(X119&lt;&gt;"")+(AC119&lt;&gt;"")+(AH119&lt;&gt;""))</f>
        <v>1</v>
      </c>
      <c r="AL119" s="81" t="str">
        <f aca="false">IF(AH119&lt;&gt;"",AH119,IF(AC119&lt;&gt;"",AC119,IF(X119&lt;&gt;"",X119,"")))</f>
        <v>A</v>
      </c>
      <c r="AM119" s="83" t="str">
        <f aca="false">IF(E119="","",IF(R119="","À SOUDER",IF(U119="","VT EN ATTENTE",IF(U119="R","VT REJETÉ – À REPRENDRE",IF(AL119="","À RADIOGRAPHIER",IF(AL119="A","ACCEPTÉ",IF(AL119="NX","NX – RT À REFAIRE",IF(IF(AK119=1,Z119,IF(AK119=2,AE119,""))="A","RÉPARÉ – À RADIOGRAPHIER",IF(IF(AK119=1,Z119,IF(AK119=2,AE119,""))="R","VT REJETÉ – À REPRENDRE",IF(OR(AL119="CO",AL119="NT"),"COUPE – À RESOUDER","À RÉPARER"))))))))))</f>
        <v>ACCEPTÉ</v>
      </c>
      <c r="AN119" s="81" t="str">
        <f aca="false">IF(AND(ISNUMBER(R119),OR(AM119="À RADIOGRAPHIER",AM119="RÉPARÉ – À RADIOGRAPHIER",AM119="NX – RT À REFAIRE",AM119="À RÉPARER",AM119="COUPE – À RESOUDER",AM119="VT REJETÉ – À REPRENDRE")),MAX(0,'PROGRAMME RT'!$C$4-R119),"")</f>
        <v/>
      </c>
      <c r="AO119" s="78" t="n">
        <f aca="false">IF(AND(OR(AM119="À RADIOGRAPHIER",AM119="RÉPARÉ – À RADIOGRAPHIER",AM119="NX – RT À REFAIRE"),OR('PROGRAMME RT'!$D$5="TOUTES",B119='PROGRAMME RT'!$D$5)),1,0)</f>
        <v>0</v>
      </c>
      <c r="AP119" s="78" t="str">
        <f aca="false">IF(AO119=1,SUM(AO$7:AO119),"")</f>
        <v/>
      </c>
      <c r="AQ119" s="78" t="n">
        <f aca="false">IF(AND(OR(X119="R",X119="NX",X119="NT",X119="CO"),OR('JOINTS DE RÉPARATION'!$D$5="TOUTES",B119='JOINTS DE RÉPARATION'!$D$5),OR('JOINTS DE RÉPARATION'!$L$4="TOUS",AM119&lt;&gt;"ACCEPTÉ")),1,0)</f>
        <v>0</v>
      </c>
      <c r="AR119" s="78" t="str">
        <f aca="false">IF(AQ119=1,SUM(AQ$7:AQ119),"")</f>
        <v/>
      </c>
    </row>
    <row r="120" customFormat="false" ht="15" hidden="false" customHeight="false" outlineLevel="0" collapsed="false">
      <c r="A120" s="78" t="n">
        <f aca="false">IF(E120="","",ROW()-6)</f>
        <v>114</v>
      </c>
      <c r="B120" s="79" t="s">
        <v>102</v>
      </c>
      <c r="C120" s="80" t="s">
        <v>231</v>
      </c>
      <c r="D120" s="80" t="s">
        <v>318</v>
      </c>
      <c r="E120" s="80" t="s">
        <v>374</v>
      </c>
      <c r="F120" s="80" t="s">
        <v>151</v>
      </c>
      <c r="G120" s="80" t="s">
        <v>106</v>
      </c>
      <c r="H120" s="80" t="n">
        <v>11</v>
      </c>
      <c r="I120" s="80" t="s">
        <v>114</v>
      </c>
      <c r="J120" s="80" t="s">
        <v>132</v>
      </c>
      <c r="K120" s="80" t="s">
        <v>373</v>
      </c>
      <c r="L120" s="84" t="n">
        <f aca="false">IF(K120="","",IFERROR(INDEX(BARDAGE!$C$7:$C$1506,MATCH(K120,BARDAGE!$B$7:$B$1506,0)),"? hors registre"))</f>
        <v>852404002574</v>
      </c>
      <c r="M120" s="80" t="s">
        <v>375</v>
      </c>
      <c r="N120" s="84" t="n">
        <f aca="false">IF(M120="","",IFERROR(INDEX(BARDAGE!$C$7:$C$1506,MATCH(M120,BARDAGE!$B$7:$B$1506,0)),"? hors registre"))</f>
        <v>24212237</v>
      </c>
      <c r="O120" s="80" t="s">
        <v>141</v>
      </c>
      <c r="P120" s="80" t="s">
        <v>141</v>
      </c>
      <c r="Q120" s="80" t="s">
        <v>204</v>
      </c>
      <c r="R120" s="82" t="n">
        <v>45884</v>
      </c>
      <c r="S120" s="82" t="n">
        <v>45884</v>
      </c>
      <c r="T120" s="80" t="s">
        <v>371</v>
      </c>
      <c r="U120" s="80" t="s">
        <v>105</v>
      </c>
      <c r="V120" s="82" t="n">
        <v>45892</v>
      </c>
      <c r="W120" s="80" t="s">
        <v>347</v>
      </c>
      <c r="X120" s="80" t="s">
        <v>105</v>
      </c>
      <c r="Y120" s="80"/>
      <c r="Z120" s="80"/>
      <c r="AA120" s="82"/>
      <c r="AB120" s="80"/>
      <c r="AC120" s="80"/>
      <c r="AD120" s="80"/>
      <c r="AE120" s="80"/>
      <c r="AF120" s="82"/>
      <c r="AG120" s="80"/>
      <c r="AH120" s="80"/>
      <c r="AI120" s="82"/>
      <c r="AJ120" s="79"/>
      <c r="AK120" s="78" t="n">
        <f aca="false">IF(E120="","",(X120&lt;&gt;"")+(AC120&lt;&gt;"")+(AH120&lt;&gt;""))</f>
        <v>1</v>
      </c>
      <c r="AL120" s="81" t="str">
        <f aca="false">IF(AH120&lt;&gt;"",AH120,IF(AC120&lt;&gt;"",AC120,IF(X120&lt;&gt;"",X120,"")))</f>
        <v>A</v>
      </c>
      <c r="AM120" s="83" t="str">
        <f aca="false">IF(E120="","",IF(R120="","À SOUDER",IF(U120="","VT EN ATTENTE",IF(U120="R","VT REJETÉ – À REPRENDRE",IF(AL120="","À RADIOGRAPHIER",IF(AL120="A","ACCEPTÉ",IF(AL120="NX","NX – RT À REFAIRE",IF(IF(AK120=1,Z120,IF(AK120=2,AE120,""))="A","RÉPARÉ – À RADIOGRAPHIER",IF(IF(AK120=1,Z120,IF(AK120=2,AE120,""))="R","VT REJETÉ – À REPRENDRE",IF(OR(AL120="CO",AL120="NT"),"COUPE – À RESOUDER","À RÉPARER"))))))))))</f>
        <v>ACCEPTÉ</v>
      </c>
      <c r="AN120" s="81" t="str">
        <f aca="false">IF(AND(ISNUMBER(R120),OR(AM120="À RADIOGRAPHIER",AM120="RÉPARÉ – À RADIOGRAPHIER",AM120="NX – RT À REFAIRE",AM120="À RÉPARER",AM120="COUPE – À RESOUDER",AM120="VT REJETÉ – À REPRENDRE")),MAX(0,'PROGRAMME RT'!$C$4-R120),"")</f>
        <v/>
      </c>
      <c r="AO120" s="78" t="n">
        <f aca="false">IF(AND(OR(AM120="À RADIOGRAPHIER",AM120="RÉPARÉ – À RADIOGRAPHIER",AM120="NX – RT À REFAIRE"),OR('PROGRAMME RT'!$D$5="TOUTES",B120='PROGRAMME RT'!$D$5)),1,0)</f>
        <v>0</v>
      </c>
      <c r="AP120" s="78" t="str">
        <f aca="false">IF(AO120=1,SUM(AO$7:AO120),"")</f>
        <v/>
      </c>
      <c r="AQ120" s="78" t="n">
        <f aca="false">IF(AND(OR(X120="R",X120="NX",X120="NT",X120="CO"),OR('JOINTS DE RÉPARATION'!$D$5="TOUTES",B120='JOINTS DE RÉPARATION'!$D$5),OR('JOINTS DE RÉPARATION'!$L$4="TOUS",AM120&lt;&gt;"ACCEPTÉ")),1,0)</f>
        <v>0</v>
      </c>
      <c r="AR120" s="78" t="str">
        <f aca="false">IF(AQ120=1,SUM(AQ$7:AQ120),"")</f>
        <v/>
      </c>
    </row>
    <row r="121" customFormat="false" ht="15" hidden="false" customHeight="false" outlineLevel="0" collapsed="false">
      <c r="A121" s="78" t="n">
        <f aca="false">IF(E121="","",ROW()-6)</f>
        <v>115</v>
      </c>
      <c r="B121" s="79" t="s">
        <v>102</v>
      </c>
      <c r="C121" s="80" t="s">
        <v>231</v>
      </c>
      <c r="D121" s="80" t="s">
        <v>318</v>
      </c>
      <c r="E121" s="80" t="s">
        <v>376</v>
      </c>
      <c r="F121" s="80" t="s">
        <v>151</v>
      </c>
      <c r="G121" s="80" t="s">
        <v>106</v>
      </c>
      <c r="H121" s="80" t="n">
        <v>11</v>
      </c>
      <c r="I121" s="80" t="s">
        <v>114</v>
      </c>
      <c r="J121" s="80" t="s">
        <v>132</v>
      </c>
      <c r="K121" s="80" t="s">
        <v>375</v>
      </c>
      <c r="L121" s="84" t="n">
        <f aca="false">IF(K121="","",IFERROR(INDEX(BARDAGE!$C$7:$C$1506,MATCH(K121,BARDAGE!$B$7:$B$1506,0)),"? hors registre"))</f>
        <v>24212237</v>
      </c>
      <c r="M121" s="80" t="s">
        <v>377</v>
      </c>
      <c r="N121" s="84" t="n">
        <f aca="false">IF(M121="","",IFERROR(INDEX(BARDAGE!$C$7:$C$1506,MATCH(M121,BARDAGE!$B$7:$B$1506,0)),"? hors registre"))</f>
        <v>852405000449</v>
      </c>
      <c r="O121" s="80" t="s">
        <v>141</v>
      </c>
      <c r="P121" s="80" t="s">
        <v>141</v>
      </c>
      <c r="Q121" s="80" t="s">
        <v>204</v>
      </c>
      <c r="R121" s="82" t="n">
        <v>45884</v>
      </c>
      <c r="S121" s="82" t="n">
        <v>45884</v>
      </c>
      <c r="T121" s="80" t="s">
        <v>371</v>
      </c>
      <c r="U121" s="80" t="s">
        <v>105</v>
      </c>
      <c r="V121" s="82" t="n">
        <v>45894</v>
      </c>
      <c r="W121" s="80" t="s">
        <v>378</v>
      </c>
      <c r="X121" s="80" t="s">
        <v>105</v>
      </c>
      <c r="Y121" s="80"/>
      <c r="Z121" s="80"/>
      <c r="AA121" s="82"/>
      <c r="AB121" s="80"/>
      <c r="AC121" s="80"/>
      <c r="AD121" s="80"/>
      <c r="AE121" s="80"/>
      <c r="AF121" s="82"/>
      <c r="AG121" s="80"/>
      <c r="AH121" s="80"/>
      <c r="AI121" s="82"/>
      <c r="AJ121" s="79"/>
      <c r="AK121" s="78" t="n">
        <f aca="false">IF(E121="","",(X121&lt;&gt;"")+(AC121&lt;&gt;"")+(AH121&lt;&gt;""))</f>
        <v>1</v>
      </c>
      <c r="AL121" s="81" t="str">
        <f aca="false">IF(AH121&lt;&gt;"",AH121,IF(AC121&lt;&gt;"",AC121,IF(X121&lt;&gt;"",X121,"")))</f>
        <v>A</v>
      </c>
      <c r="AM121" s="83" t="str">
        <f aca="false">IF(E121="","",IF(R121="","À SOUDER",IF(U121="","VT EN ATTENTE",IF(U121="R","VT REJETÉ – À REPRENDRE",IF(AL121="","À RADIOGRAPHIER",IF(AL121="A","ACCEPTÉ",IF(AL121="NX","NX – RT À REFAIRE",IF(IF(AK121=1,Z121,IF(AK121=2,AE121,""))="A","RÉPARÉ – À RADIOGRAPHIER",IF(IF(AK121=1,Z121,IF(AK121=2,AE121,""))="R","VT REJETÉ – À REPRENDRE",IF(OR(AL121="CO",AL121="NT"),"COUPE – À RESOUDER","À RÉPARER"))))))))))</f>
        <v>ACCEPTÉ</v>
      </c>
      <c r="AN121" s="81" t="str">
        <f aca="false">IF(AND(ISNUMBER(R121),OR(AM121="À RADIOGRAPHIER",AM121="RÉPARÉ – À RADIOGRAPHIER",AM121="NX – RT À REFAIRE",AM121="À RÉPARER",AM121="COUPE – À RESOUDER",AM121="VT REJETÉ – À REPRENDRE")),MAX(0,'PROGRAMME RT'!$C$4-R121),"")</f>
        <v/>
      </c>
      <c r="AO121" s="78" t="n">
        <f aca="false">IF(AND(OR(AM121="À RADIOGRAPHIER",AM121="RÉPARÉ – À RADIOGRAPHIER",AM121="NX – RT À REFAIRE"),OR('PROGRAMME RT'!$D$5="TOUTES",B121='PROGRAMME RT'!$D$5)),1,0)</f>
        <v>0</v>
      </c>
      <c r="AP121" s="78" t="str">
        <f aca="false">IF(AO121=1,SUM(AO$7:AO121),"")</f>
        <v/>
      </c>
      <c r="AQ121" s="78" t="n">
        <f aca="false">IF(AND(OR(X121="R",X121="NX",X121="NT",X121="CO"),OR('JOINTS DE RÉPARATION'!$D$5="TOUTES",B121='JOINTS DE RÉPARATION'!$D$5),OR('JOINTS DE RÉPARATION'!$L$4="TOUS",AM121&lt;&gt;"ACCEPTÉ")),1,0)</f>
        <v>0</v>
      </c>
      <c r="AR121" s="78" t="str">
        <f aca="false">IF(AQ121=1,SUM(AQ$7:AQ121),"")</f>
        <v/>
      </c>
    </row>
    <row r="122" customFormat="false" ht="15" hidden="false" customHeight="false" outlineLevel="0" collapsed="false">
      <c r="A122" s="78" t="n">
        <f aca="false">IF(E122="","",ROW()-6)</f>
        <v>116</v>
      </c>
      <c r="B122" s="79" t="s">
        <v>102</v>
      </c>
      <c r="C122" s="80" t="s">
        <v>231</v>
      </c>
      <c r="D122" s="80" t="s">
        <v>318</v>
      </c>
      <c r="E122" s="80" t="s">
        <v>379</v>
      </c>
      <c r="F122" s="80" t="s">
        <v>151</v>
      </c>
      <c r="G122" s="80" t="s">
        <v>106</v>
      </c>
      <c r="H122" s="80" t="n">
        <v>11</v>
      </c>
      <c r="I122" s="80" t="s">
        <v>114</v>
      </c>
      <c r="J122" s="80" t="s">
        <v>132</v>
      </c>
      <c r="K122" s="80" t="s">
        <v>377</v>
      </c>
      <c r="L122" s="84" t="n">
        <f aca="false">IF(K122="","",IFERROR(INDEX(BARDAGE!$C$7:$C$1506,MATCH(K122,BARDAGE!$B$7:$B$1506,0)),"? hors registre"))</f>
        <v>852405000449</v>
      </c>
      <c r="M122" s="80" t="s">
        <v>380</v>
      </c>
      <c r="N122" s="84" t="n">
        <f aca="false">IF(M122="","",IFERROR(INDEX(BARDAGE!$C$7:$C$1506,MATCH(M122,BARDAGE!$B$7:$B$1506,0)),"? hors registre"))</f>
        <v>21212327</v>
      </c>
      <c r="O122" s="80" t="s">
        <v>141</v>
      </c>
      <c r="P122" s="80" t="s">
        <v>141</v>
      </c>
      <c r="Q122" s="80" t="s">
        <v>125</v>
      </c>
      <c r="R122" s="82" t="n">
        <v>45884</v>
      </c>
      <c r="S122" s="82" t="n">
        <v>45884</v>
      </c>
      <c r="T122" s="80" t="s">
        <v>371</v>
      </c>
      <c r="U122" s="80" t="s">
        <v>105</v>
      </c>
      <c r="V122" s="82" t="n">
        <v>45894</v>
      </c>
      <c r="W122" s="80" t="s">
        <v>378</v>
      </c>
      <c r="X122" s="80" t="s">
        <v>105</v>
      </c>
      <c r="Y122" s="80"/>
      <c r="Z122" s="80"/>
      <c r="AA122" s="82"/>
      <c r="AB122" s="80"/>
      <c r="AC122" s="80"/>
      <c r="AD122" s="80"/>
      <c r="AE122" s="80"/>
      <c r="AF122" s="82"/>
      <c r="AG122" s="80"/>
      <c r="AH122" s="80"/>
      <c r="AI122" s="82"/>
      <c r="AJ122" s="79"/>
      <c r="AK122" s="78" t="n">
        <f aca="false">IF(E122="","",(X122&lt;&gt;"")+(AC122&lt;&gt;"")+(AH122&lt;&gt;""))</f>
        <v>1</v>
      </c>
      <c r="AL122" s="81" t="str">
        <f aca="false">IF(AH122&lt;&gt;"",AH122,IF(AC122&lt;&gt;"",AC122,IF(X122&lt;&gt;"",X122,"")))</f>
        <v>A</v>
      </c>
      <c r="AM122" s="83" t="str">
        <f aca="false">IF(E122="","",IF(R122="","À SOUDER",IF(U122="","VT EN ATTENTE",IF(U122="R","VT REJETÉ – À REPRENDRE",IF(AL122="","À RADIOGRAPHIER",IF(AL122="A","ACCEPTÉ",IF(AL122="NX","NX – RT À REFAIRE",IF(IF(AK122=1,Z122,IF(AK122=2,AE122,""))="A","RÉPARÉ – À RADIOGRAPHIER",IF(IF(AK122=1,Z122,IF(AK122=2,AE122,""))="R","VT REJETÉ – À REPRENDRE",IF(OR(AL122="CO",AL122="NT"),"COUPE – À RESOUDER","À RÉPARER"))))))))))</f>
        <v>ACCEPTÉ</v>
      </c>
      <c r="AN122" s="81" t="str">
        <f aca="false">IF(AND(ISNUMBER(R122),OR(AM122="À RADIOGRAPHIER",AM122="RÉPARÉ – À RADIOGRAPHIER",AM122="NX – RT À REFAIRE",AM122="À RÉPARER",AM122="COUPE – À RESOUDER",AM122="VT REJETÉ – À REPRENDRE")),MAX(0,'PROGRAMME RT'!$C$4-R122),"")</f>
        <v/>
      </c>
      <c r="AO122" s="78" t="n">
        <f aca="false">IF(AND(OR(AM122="À RADIOGRAPHIER",AM122="RÉPARÉ – À RADIOGRAPHIER",AM122="NX – RT À REFAIRE"),OR('PROGRAMME RT'!$D$5="TOUTES",B122='PROGRAMME RT'!$D$5)),1,0)</f>
        <v>0</v>
      </c>
      <c r="AP122" s="78" t="str">
        <f aca="false">IF(AO122=1,SUM(AO$7:AO122),"")</f>
        <v/>
      </c>
      <c r="AQ122" s="78" t="n">
        <f aca="false">IF(AND(OR(X122="R",X122="NX",X122="NT",X122="CO"),OR('JOINTS DE RÉPARATION'!$D$5="TOUTES",B122='JOINTS DE RÉPARATION'!$D$5),OR('JOINTS DE RÉPARATION'!$L$4="TOUS",AM122&lt;&gt;"ACCEPTÉ")),1,0)</f>
        <v>0</v>
      </c>
      <c r="AR122" s="78" t="str">
        <f aca="false">IF(AQ122=1,SUM(AQ$7:AQ122),"")</f>
        <v/>
      </c>
    </row>
    <row r="123" customFormat="false" ht="15" hidden="false" customHeight="false" outlineLevel="0" collapsed="false">
      <c r="A123" s="78" t="n">
        <f aca="false">IF(E123="","",ROW()-6)</f>
        <v>117</v>
      </c>
      <c r="B123" s="79" t="s">
        <v>102</v>
      </c>
      <c r="C123" s="80" t="s">
        <v>231</v>
      </c>
      <c r="D123" s="80" t="s">
        <v>318</v>
      </c>
      <c r="E123" s="80" t="s">
        <v>381</v>
      </c>
      <c r="F123" s="80" t="s">
        <v>151</v>
      </c>
      <c r="G123" s="80" t="s">
        <v>106</v>
      </c>
      <c r="H123" s="80" t="n">
        <v>11</v>
      </c>
      <c r="I123" s="80" t="s">
        <v>114</v>
      </c>
      <c r="J123" s="80" t="s">
        <v>132</v>
      </c>
      <c r="K123" s="80" t="s">
        <v>380</v>
      </c>
      <c r="L123" s="84" t="n">
        <f aca="false">IF(K123="","",IFERROR(INDEX(BARDAGE!$C$7:$C$1506,MATCH(K123,BARDAGE!$B$7:$B$1506,0)),"? hors registre"))</f>
        <v>21212327</v>
      </c>
      <c r="M123" s="80" t="s">
        <v>382</v>
      </c>
      <c r="N123" s="84" t="n">
        <f aca="false">IF(M123="","",IFERROR(INDEX(BARDAGE!$C$7:$C$1506,MATCH(M123,BARDAGE!$B$7:$B$1506,0)),"? hors registre"))</f>
        <v>24803578</v>
      </c>
      <c r="O123" s="80" t="s">
        <v>141</v>
      </c>
      <c r="P123" s="80" t="s">
        <v>141</v>
      </c>
      <c r="Q123" s="80" t="s">
        <v>134</v>
      </c>
      <c r="R123" s="82" t="n">
        <v>45884</v>
      </c>
      <c r="S123" s="82" t="n">
        <v>45884</v>
      </c>
      <c r="T123" s="80" t="s">
        <v>371</v>
      </c>
      <c r="U123" s="80" t="s">
        <v>105</v>
      </c>
      <c r="V123" s="82" t="n">
        <v>45894</v>
      </c>
      <c r="W123" s="80" t="s">
        <v>378</v>
      </c>
      <c r="X123" s="80" t="s">
        <v>105</v>
      </c>
      <c r="Y123" s="80"/>
      <c r="Z123" s="80"/>
      <c r="AA123" s="82"/>
      <c r="AB123" s="80"/>
      <c r="AC123" s="80"/>
      <c r="AD123" s="80"/>
      <c r="AE123" s="80"/>
      <c r="AF123" s="82"/>
      <c r="AG123" s="80"/>
      <c r="AH123" s="80"/>
      <c r="AI123" s="82"/>
      <c r="AJ123" s="79"/>
      <c r="AK123" s="78" t="n">
        <f aca="false">IF(E123="","",(X123&lt;&gt;"")+(AC123&lt;&gt;"")+(AH123&lt;&gt;""))</f>
        <v>1</v>
      </c>
      <c r="AL123" s="81" t="str">
        <f aca="false">IF(AH123&lt;&gt;"",AH123,IF(AC123&lt;&gt;"",AC123,IF(X123&lt;&gt;"",X123,"")))</f>
        <v>A</v>
      </c>
      <c r="AM123" s="83" t="str">
        <f aca="false">IF(E123="","",IF(R123="","À SOUDER",IF(U123="","VT EN ATTENTE",IF(U123="R","VT REJETÉ – À REPRENDRE",IF(AL123="","À RADIOGRAPHIER",IF(AL123="A","ACCEPTÉ",IF(AL123="NX","NX – RT À REFAIRE",IF(IF(AK123=1,Z123,IF(AK123=2,AE123,""))="A","RÉPARÉ – À RADIOGRAPHIER",IF(IF(AK123=1,Z123,IF(AK123=2,AE123,""))="R","VT REJETÉ – À REPRENDRE",IF(OR(AL123="CO",AL123="NT"),"COUPE – À RESOUDER","À RÉPARER"))))))))))</f>
        <v>ACCEPTÉ</v>
      </c>
      <c r="AN123" s="81" t="str">
        <f aca="false">IF(AND(ISNUMBER(R123),OR(AM123="À RADIOGRAPHIER",AM123="RÉPARÉ – À RADIOGRAPHIER",AM123="NX – RT À REFAIRE",AM123="À RÉPARER",AM123="COUPE – À RESOUDER",AM123="VT REJETÉ – À REPRENDRE")),MAX(0,'PROGRAMME RT'!$C$4-R123),"")</f>
        <v/>
      </c>
      <c r="AO123" s="78" t="n">
        <f aca="false">IF(AND(OR(AM123="À RADIOGRAPHIER",AM123="RÉPARÉ – À RADIOGRAPHIER",AM123="NX – RT À REFAIRE"),OR('PROGRAMME RT'!$D$5="TOUTES",B123='PROGRAMME RT'!$D$5)),1,0)</f>
        <v>0</v>
      </c>
      <c r="AP123" s="78" t="str">
        <f aca="false">IF(AO123=1,SUM(AO$7:AO123),"")</f>
        <v/>
      </c>
      <c r="AQ123" s="78" t="n">
        <f aca="false">IF(AND(OR(X123="R",X123="NX",X123="NT",X123="CO"),OR('JOINTS DE RÉPARATION'!$D$5="TOUTES",B123='JOINTS DE RÉPARATION'!$D$5),OR('JOINTS DE RÉPARATION'!$L$4="TOUS",AM123&lt;&gt;"ACCEPTÉ")),1,0)</f>
        <v>0</v>
      </c>
      <c r="AR123" s="78" t="str">
        <f aca="false">IF(AQ123=1,SUM(AQ$7:AQ123),"")</f>
        <v/>
      </c>
    </row>
    <row r="124" customFormat="false" ht="15" hidden="false" customHeight="false" outlineLevel="0" collapsed="false">
      <c r="A124" s="78" t="n">
        <f aca="false">IF(E124="","",ROW()-6)</f>
        <v>118</v>
      </c>
      <c r="B124" s="79" t="s">
        <v>102</v>
      </c>
      <c r="C124" s="80" t="s">
        <v>231</v>
      </c>
      <c r="D124" s="80" t="s">
        <v>318</v>
      </c>
      <c r="E124" s="80" t="s">
        <v>383</v>
      </c>
      <c r="F124" s="80" t="s">
        <v>151</v>
      </c>
      <c r="G124" s="80" t="s">
        <v>106</v>
      </c>
      <c r="H124" s="80" t="n">
        <v>11</v>
      </c>
      <c r="I124" s="80" t="s">
        <v>114</v>
      </c>
      <c r="J124" s="80" t="s">
        <v>132</v>
      </c>
      <c r="K124" s="80" t="s">
        <v>382</v>
      </c>
      <c r="L124" s="84" t="n">
        <f aca="false">IF(K124="","",IFERROR(INDEX(BARDAGE!$C$7:$C$1506,MATCH(K124,BARDAGE!$B$7:$B$1506,0)),"? hors registre"))</f>
        <v>24803578</v>
      </c>
      <c r="M124" s="80" t="s">
        <v>384</v>
      </c>
      <c r="N124" s="84" t="n">
        <f aca="false">IF(M124="","",IFERROR(INDEX(BARDAGE!$C$7:$C$1506,MATCH(M124,BARDAGE!$B$7:$B$1506,0)),"? hors registre"))</f>
        <v>21212327</v>
      </c>
      <c r="O124" s="80" t="s">
        <v>141</v>
      </c>
      <c r="P124" s="80" t="s">
        <v>141</v>
      </c>
      <c r="Q124" s="80" t="s">
        <v>204</v>
      </c>
      <c r="R124" s="82" t="n">
        <v>45884</v>
      </c>
      <c r="S124" s="82" t="n">
        <v>45884</v>
      </c>
      <c r="T124" s="80" t="s">
        <v>371</v>
      </c>
      <c r="U124" s="80" t="s">
        <v>105</v>
      </c>
      <c r="V124" s="82" t="n">
        <v>45894</v>
      </c>
      <c r="W124" s="80" t="s">
        <v>378</v>
      </c>
      <c r="X124" s="80" t="s">
        <v>105</v>
      </c>
      <c r="Y124" s="80"/>
      <c r="Z124" s="80"/>
      <c r="AA124" s="82"/>
      <c r="AB124" s="80"/>
      <c r="AC124" s="80"/>
      <c r="AD124" s="80"/>
      <c r="AE124" s="80"/>
      <c r="AF124" s="82"/>
      <c r="AG124" s="80"/>
      <c r="AH124" s="80"/>
      <c r="AI124" s="82"/>
      <c r="AJ124" s="79"/>
      <c r="AK124" s="78" t="n">
        <f aca="false">IF(E124="","",(X124&lt;&gt;"")+(AC124&lt;&gt;"")+(AH124&lt;&gt;""))</f>
        <v>1</v>
      </c>
      <c r="AL124" s="81" t="str">
        <f aca="false">IF(AH124&lt;&gt;"",AH124,IF(AC124&lt;&gt;"",AC124,IF(X124&lt;&gt;"",X124,"")))</f>
        <v>A</v>
      </c>
      <c r="AM124" s="83" t="str">
        <f aca="false">IF(E124="","",IF(R124="","À SOUDER",IF(U124="","VT EN ATTENTE",IF(U124="R","VT REJETÉ – À REPRENDRE",IF(AL124="","À RADIOGRAPHIER",IF(AL124="A","ACCEPTÉ",IF(AL124="NX","NX – RT À REFAIRE",IF(IF(AK124=1,Z124,IF(AK124=2,AE124,""))="A","RÉPARÉ – À RADIOGRAPHIER",IF(IF(AK124=1,Z124,IF(AK124=2,AE124,""))="R","VT REJETÉ – À REPRENDRE",IF(OR(AL124="CO",AL124="NT"),"COUPE – À RESOUDER","À RÉPARER"))))))))))</f>
        <v>ACCEPTÉ</v>
      </c>
      <c r="AN124" s="81" t="str">
        <f aca="false">IF(AND(ISNUMBER(R124),OR(AM124="À RADIOGRAPHIER",AM124="RÉPARÉ – À RADIOGRAPHIER",AM124="NX – RT À REFAIRE",AM124="À RÉPARER",AM124="COUPE – À RESOUDER",AM124="VT REJETÉ – À REPRENDRE")),MAX(0,'PROGRAMME RT'!$C$4-R124),"")</f>
        <v/>
      </c>
      <c r="AO124" s="78" t="n">
        <f aca="false">IF(AND(OR(AM124="À RADIOGRAPHIER",AM124="RÉPARÉ – À RADIOGRAPHIER",AM124="NX – RT À REFAIRE"),OR('PROGRAMME RT'!$D$5="TOUTES",B124='PROGRAMME RT'!$D$5)),1,0)</f>
        <v>0</v>
      </c>
      <c r="AP124" s="78" t="str">
        <f aca="false">IF(AO124=1,SUM(AO$7:AO124),"")</f>
        <v/>
      </c>
      <c r="AQ124" s="78" t="n">
        <f aca="false">IF(AND(OR(X124="R",X124="NX",X124="NT",X124="CO"),OR('JOINTS DE RÉPARATION'!$D$5="TOUTES",B124='JOINTS DE RÉPARATION'!$D$5),OR('JOINTS DE RÉPARATION'!$L$4="TOUS",AM124&lt;&gt;"ACCEPTÉ")),1,0)</f>
        <v>0</v>
      </c>
      <c r="AR124" s="78" t="str">
        <f aca="false">IF(AQ124=1,SUM(AQ$7:AQ124),"")</f>
        <v/>
      </c>
    </row>
    <row r="125" customFormat="false" ht="15" hidden="false" customHeight="false" outlineLevel="0" collapsed="false">
      <c r="A125" s="78" t="n">
        <f aca="false">IF(E125="","",ROW()-6)</f>
        <v>119</v>
      </c>
      <c r="B125" s="79" t="s">
        <v>102</v>
      </c>
      <c r="C125" s="80" t="s">
        <v>231</v>
      </c>
      <c r="D125" s="80" t="s">
        <v>318</v>
      </c>
      <c r="E125" s="80" t="s">
        <v>385</v>
      </c>
      <c r="F125" s="80" t="s">
        <v>151</v>
      </c>
      <c r="G125" s="80" t="s">
        <v>106</v>
      </c>
      <c r="H125" s="80" t="n">
        <v>11</v>
      </c>
      <c r="I125" s="80" t="s">
        <v>114</v>
      </c>
      <c r="J125" s="80" t="s">
        <v>132</v>
      </c>
      <c r="K125" s="80" t="s">
        <v>384</v>
      </c>
      <c r="L125" s="84" t="n">
        <f aca="false">IF(K125="","",IFERROR(INDEX(BARDAGE!$C$7:$C$1506,MATCH(K125,BARDAGE!$B$7:$B$1506,0)),"? hors registre"))</f>
        <v>21212327</v>
      </c>
      <c r="M125" s="80" t="s">
        <v>386</v>
      </c>
      <c r="N125" s="84" t="n">
        <f aca="false">IF(M125="","",IFERROR(INDEX(BARDAGE!$C$7:$C$1506,MATCH(M125,BARDAGE!$B$7:$B$1506,0)),"? hors registre"))</f>
        <v>24803590</v>
      </c>
      <c r="O125" s="80" t="s">
        <v>141</v>
      </c>
      <c r="P125" s="80" t="s">
        <v>141</v>
      </c>
      <c r="Q125" s="80" t="s">
        <v>125</v>
      </c>
      <c r="R125" s="82" t="n">
        <v>45884</v>
      </c>
      <c r="S125" s="82" t="n">
        <v>45884</v>
      </c>
      <c r="T125" s="80" t="s">
        <v>371</v>
      </c>
      <c r="U125" s="80" t="s">
        <v>105</v>
      </c>
      <c r="V125" s="82" t="n">
        <v>45894</v>
      </c>
      <c r="W125" s="80" t="s">
        <v>378</v>
      </c>
      <c r="X125" s="80" t="s">
        <v>105</v>
      </c>
      <c r="Y125" s="80"/>
      <c r="Z125" s="80"/>
      <c r="AA125" s="82"/>
      <c r="AB125" s="80"/>
      <c r="AC125" s="80"/>
      <c r="AD125" s="80"/>
      <c r="AE125" s="80"/>
      <c r="AF125" s="82"/>
      <c r="AG125" s="80"/>
      <c r="AH125" s="80"/>
      <c r="AI125" s="82"/>
      <c r="AJ125" s="79"/>
      <c r="AK125" s="78" t="n">
        <f aca="false">IF(E125="","",(X125&lt;&gt;"")+(AC125&lt;&gt;"")+(AH125&lt;&gt;""))</f>
        <v>1</v>
      </c>
      <c r="AL125" s="81" t="str">
        <f aca="false">IF(AH125&lt;&gt;"",AH125,IF(AC125&lt;&gt;"",AC125,IF(X125&lt;&gt;"",X125,"")))</f>
        <v>A</v>
      </c>
      <c r="AM125" s="83" t="str">
        <f aca="false">IF(E125="","",IF(R125="","À SOUDER",IF(U125="","VT EN ATTENTE",IF(U125="R","VT REJETÉ – À REPRENDRE",IF(AL125="","À RADIOGRAPHIER",IF(AL125="A","ACCEPTÉ",IF(AL125="NX","NX – RT À REFAIRE",IF(IF(AK125=1,Z125,IF(AK125=2,AE125,""))="A","RÉPARÉ – À RADIOGRAPHIER",IF(IF(AK125=1,Z125,IF(AK125=2,AE125,""))="R","VT REJETÉ – À REPRENDRE",IF(OR(AL125="CO",AL125="NT"),"COUPE – À RESOUDER","À RÉPARER"))))))))))</f>
        <v>ACCEPTÉ</v>
      </c>
      <c r="AN125" s="81" t="str">
        <f aca="false">IF(AND(ISNUMBER(R125),OR(AM125="À RADIOGRAPHIER",AM125="RÉPARÉ – À RADIOGRAPHIER",AM125="NX – RT À REFAIRE",AM125="À RÉPARER",AM125="COUPE – À RESOUDER",AM125="VT REJETÉ – À REPRENDRE")),MAX(0,'PROGRAMME RT'!$C$4-R125),"")</f>
        <v/>
      </c>
      <c r="AO125" s="78" t="n">
        <f aca="false">IF(AND(OR(AM125="À RADIOGRAPHIER",AM125="RÉPARÉ – À RADIOGRAPHIER",AM125="NX – RT À REFAIRE"),OR('PROGRAMME RT'!$D$5="TOUTES",B125='PROGRAMME RT'!$D$5)),1,0)</f>
        <v>0</v>
      </c>
      <c r="AP125" s="78" t="str">
        <f aca="false">IF(AO125=1,SUM(AO$7:AO125),"")</f>
        <v/>
      </c>
      <c r="AQ125" s="78" t="n">
        <f aca="false">IF(AND(OR(X125="R",X125="NX",X125="NT",X125="CO"),OR('JOINTS DE RÉPARATION'!$D$5="TOUTES",B125='JOINTS DE RÉPARATION'!$D$5),OR('JOINTS DE RÉPARATION'!$L$4="TOUS",AM125&lt;&gt;"ACCEPTÉ")),1,0)</f>
        <v>0</v>
      </c>
      <c r="AR125" s="78" t="str">
        <f aca="false">IF(AQ125=1,SUM(AQ$7:AQ125),"")</f>
        <v/>
      </c>
    </row>
    <row r="126" customFormat="false" ht="15" hidden="false" customHeight="false" outlineLevel="0" collapsed="false">
      <c r="A126" s="78" t="n">
        <f aca="false">IF(E126="","",ROW()-6)</f>
        <v>120</v>
      </c>
      <c r="B126" s="79" t="s">
        <v>102</v>
      </c>
      <c r="C126" s="80" t="s">
        <v>231</v>
      </c>
      <c r="D126" s="80" t="s">
        <v>318</v>
      </c>
      <c r="E126" s="80" t="s">
        <v>387</v>
      </c>
      <c r="F126" s="80" t="s">
        <v>151</v>
      </c>
      <c r="G126" s="80" t="s">
        <v>106</v>
      </c>
      <c r="H126" s="80" t="n">
        <v>11</v>
      </c>
      <c r="I126" s="80" t="s">
        <v>114</v>
      </c>
      <c r="J126" s="80" t="s">
        <v>132</v>
      </c>
      <c r="K126" s="80" t="s">
        <v>386</v>
      </c>
      <c r="L126" s="84" t="n">
        <f aca="false">IF(K126="","",IFERROR(INDEX(BARDAGE!$C$7:$C$1506,MATCH(K126,BARDAGE!$B$7:$B$1506,0)),"? hors registre"))</f>
        <v>24803590</v>
      </c>
      <c r="M126" s="80" t="s">
        <v>388</v>
      </c>
      <c r="N126" s="84" t="n">
        <f aca="false">IF(M126="","",IFERROR(INDEX(BARDAGE!$C$7:$C$1506,MATCH(M126,BARDAGE!$B$7:$B$1506,0)),"? hors registre"))</f>
        <v>21212327</v>
      </c>
      <c r="O126" s="80" t="s">
        <v>141</v>
      </c>
      <c r="P126" s="80" t="s">
        <v>141</v>
      </c>
      <c r="Q126" s="80" t="s">
        <v>134</v>
      </c>
      <c r="R126" s="82" t="n">
        <v>45885</v>
      </c>
      <c r="S126" s="82" t="n">
        <v>45885</v>
      </c>
      <c r="T126" s="80" t="s">
        <v>389</v>
      </c>
      <c r="U126" s="80" t="s">
        <v>105</v>
      </c>
      <c r="V126" s="82" t="n">
        <v>45894</v>
      </c>
      <c r="W126" s="80" t="s">
        <v>378</v>
      </c>
      <c r="X126" s="80" t="s">
        <v>105</v>
      </c>
      <c r="Y126" s="80"/>
      <c r="Z126" s="80"/>
      <c r="AA126" s="82"/>
      <c r="AB126" s="80"/>
      <c r="AC126" s="80"/>
      <c r="AD126" s="80"/>
      <c r="AE126" s="80"/>
      <c r="AF126" s="82"/>
      <c r="AG126" s="80"/>
      <c r="AH126" s="80"/>
      <c r="AI126" s="82"/>
      <c r="AJ126" s="79"/>
      <c r="AK126" s="78" t="n">
        <f aca="false">IF(E126="","",(X126&lt;&gt;"")+(AC126&lt;&gt;"")+(AH126&lt;&gt;""))</f>
        <v>1</v>
      </c>
      <c r="AL126" s="81" t="str">
        <f aca="false">IF(AH126&lt;&gt;"",AH126,IF(AC126&lt;&gt;"",AC126,IF(X126&lt;&gt;"",X126,"")))</f>
        <v>A</v>
      </c>
      <c r="AM126" s="83" t="str">
        <f aca="false">IF(E126="","",IF(R126="","À SOUDER",IF(U126="","VT EN ATTENTE",IF(U126="R","VT REJETÉ – À REPRENDRE",IF(AL126="","À RADIOGRAPHIER",IF(AL126="A","ACCEPTÉ",IF(AL126="NX","NX – RT À REFAIRE",IF(IF(AK126=1,Z126,IF(AK126=2,AE126,""))="A","RÉPARÉ – À RADIOGRAPHIER",IF(IF(AK126=1,Z126,IF(AK126=2,AE126,""))="R","VT REJETÉ – À REPRENDRE",IF(OR(AL126="CO",AL126="NT"),"COUPE – À RESOUDER","À RÉPARER"))))))))))</f>
        <v>ACCEPTÉ</v>
      </c>
      <c r="AN126" s="81" t="str">
        <f aca="false">IF(AND(ISNUMBER(R126),OR(AM126="À RADIOGRAPHIER",AM126="RÉPARÉ – À RADIOGRAPHIER",AM126="NX – RT À REFAIRE",AM126="À RÉPARER",AM126="COUPE – À RESOUDER",AM126="VT REJETÉ – À REPRENDRE")),MAX(0,'PROGRAMME RT'!$C$4-R126),"")</f>
        <v/>
      </c>
      <c r="AO126" s="78" t="n">
        <f aca="false">IF(AND(OR(AM126="À RADIOGRAPHIER",AM126="RÉPARÉ – À RADIOGRAPHIER",AM126="NX – RT À REFAIRE"),OR('PROGRAMME RT'!$D$5="TOUTES",B126='PROGRAMME RT'!$D$5)),1,0)</f>
        <v>0</v>
      </c>
      <c r="AP126" s="78" t="str">
        <f aca="false">IF(AO126=1,SUM(AO$7:AO126),"")</f>
        <v/>
      </c>
      <c r="AQ126" s="78" t="n">
        <f aca="false">IF(AND(OR(X126="R",X126="NX",X126="NT",X126="CO"),OR('JOINTS DE RÉPARATION'!$D$5="TOUTES",B126='JOINTS DE RÉPARATION'!$D$5),OR('JOINTS DE RÉPARATION'!$L$4="TOUS",AM126&lt;&gt;"ACCEPTÉ")),1,0)</f>
        <v>0</v>
      </c>
      <c r="AR126" s="78" t="str">
        <f aca="false">IF(AQ126=1,SUM(AQ$7:AQ126),"")</f>
        <v/>
      </c>
    </row>
    <row r="127" customFormat="false" ht="15" hidden="false" customHeight="false" outlineLevel="0" collapsed="false">
      <c r="A127" s="78" t="n">
        <f aca="false">IF(E127="","",ROW()-6)</f>
        <v>121</v>
      </c>
      <c r="B127" s="79" t="s">
        <v>102</v>
      </c>
      <c r="C127" s="80" t="s">
        <v>231</v>
      </c>
      <c r="D127" s="80" t="s">
        <v>318</v>
      </c>
      <c r="E127" s="80" t="s">
        <v>390</v>
      </c>
      <c r="F127" s="80" t="s">
        <v>151</v>
      </c>
      <c r="G127" s="80" t="s">
        <v>106</v>
      </c>
      <c r="H127" s="80" t="n">
        <v>11</v>
      </c>
      <c r="I127" s="80" t="s">
        <v>114</v>
      </c>
      <c r="J127" s="80" t="s">
        <v>132</v>
      </c>
      <c r="K127" s="80" t="s">
        <v>388</v>
      </c>
      <c r="L127" s="84" t="n">
        <f aca="false">IF(K127="","",IFERROR(INDEX(BARDAGE!$C$7:$C$1506,MATCH(K127,BARDAGE!$B$7:$B$1506,0)),"? hors registre"))</f>
        <v>21212327</v>
      </c>
      <c r="M127" s="80" t="s">
        <v>391</v>
      </c>
      <c r="N127" s="84" t="n">
        <f aca="false">IF(M127="","",IFERROR(INDEX(BARDAGE!$C$7:$C$1506,MATCH(M127,BARDAGE!$B$7:$B$1506,0)),"? hors registre"))</f>
        <v>24803590</v>
      </c>
      <c r="O127" s="80" t="s">
        <v>141</v>
      </c>
      <c r="P127" s="80" t="s">
        <v>141</v>
      </c>
      <c r="Q127" s="80" t="s">
        <v>204</v>
      </c>
      <c r="R127" s="82" t="n">
        <v>45885</v>
      </c>
      <c r="S127" s="82" t="n">
        <v>45885</v>
      </c>
      <c r="T127" s="80" t="s">
        <v>389</v>
      </c>
      <c r="U127" s="80" t="s">
        <v>105</v>
      </c>
      <c r="V127" s="82" t="n">
        <v>45894</v>
      </c>
      <c r="W127" s="80" t="s">
        <v>378</v>
      </c>
      <c r="X127" s="80" t="s">
        <v>105</v>
      </c>
      <c r="Y127" s="80"/>
      <c r="Z127" s="80"/>
      <c r="AA127" s="82"/>
      <c r="AB127" s="80"/>
      <c r="AC127" s="80"/>
      <c r="AD127" s="80"/>
      <c r="AE127" s="80"/>
      <c r="AF127" s="82"/>
      <c r="AG127" s="80"/>
      <c r="AH127" s="80"/>
      <c r="AI127" s="82"/>
      <c r="AJ127" s="79"/>
      <c r="AK127" s="78" t="n">
        <f aca="false">IF(E127="","",(X127&lt;&gt;"")+(AC127&lt;&gt;"")+(AH127&lt;&gt;""))</f>
        <v>1</v>
      </c>
      <c r="AL127" s="81" t="str">
        <f aca="false">IF(AH127&lt;&gt;"",AH127,IF(AC127&lt;&gt;"",AC127,IF(X127&lt;&gt;"",X127,"")))</f>
        <v>A</v>
      </c>
      <c r="AM127" s="83" t="str">
        <f aca="false">IF(E127="","",IF(R127="","À SOUDER",IF(U127="","VT EN ATTENTE",IF(U127="R","VT REJETÉ – À REPRENDRE",IF(AL127="","À RADIOGRAPHIER",IF(AL127="A","ACCEPTÉ",IF(AL127="NX","NX – RT À REFAIRE",IF(IF(AK127=1,Z127,IF(AK127=2,AE127,""))="A","RÉPARÉ – À RADIOGRAPHIER",IF(IF(AK127=1,Z127,IF(AK127=2,AE127,""))="R","VT REJETÉ – À REPRENDRE",IF(OR(AL127="CO",AL127="NT"),"COUPE – À RESOUDER","À RÉPARER"))))))))))</f>
        <v>ACCEPTÉ</v>
      </c>
      <c r="AN127" s="81" t="str">
        <f aca="false">IF(AND(ISNUMBER(R127),OR(AM127="À RADIOGRAPHIER",AM127="RÉPARÉ – À RADIOGRAPHIER",AM127="NX – RT À REFAIRE",AM127="À RÉPARER",AM127="COUPE – À RESOUDER",AM127="VT REJETÉ – À REPRENDRE")),MAX(0,'PROGRAMME RT'!$C$4-R127),"")</f>
        <v/>
      </c>
      <c r="AO127" s="78" t="n">
        <f aca="false">IF(AND(OR(AM127="À RADIOGRAPHIER",AM127="RÉPARÉ – À RADIOGRAPHIER",AM127="NX – RT À REFAIRE"),OR('PROGRAMME RT'!$D$5="TOUTES",B127='PROGRAMME RT'!$D$5)),1,0)</f>
        <v>0</v>
      </c>
      <c r="AP127" s="78" t="str">
        <f aca="false">IF(AO127=1,SUM(AO$7:AO127),"")</f>
        <v/>
      </c>
      <c r="AQ127" s="78" t="n">
        <f aca="false">IF(AND(OR(X127="R",X127="NX",X127="NT",X127="CO"),OR('JOINTS DE RÉPARATION'!$D$5="TOUTES",B127='JOINTS DE RÉPARATION'!$D$5),OR('JOINTS DE RÉPARATION'!$L$4="TOUS",AM127&lt;&gt;"ACCEPTÉ")),1,0)</f>
        <v>0</v>
      </c>
      <c r="AR127" s="78" t="str">
        <f aca="false">IF(AQ127=1,SUM(AQ$7:AQ127),"")</f>
        <v/>
      </c>
    </row>
    <row r="128" customFormat="false" ht="15" hidden="false" customHeight="false" outlineLevel="0" collapsed="false">
      <c r="A128" s="78" t="n">
        <f aca="false">IF(E128="","",ROW()-6)</f>
        <v>122</v>
      </c>
      <c r="B128" s="79" t="s">
        <v>102</v>
      </c>
      <c r="C128" s="80" t="s">
        <v>231</v>
      </c>
      <c r="D128" s="80" t="s">
        <v>318</v>
      </c>
      <c r="E128" s="80" t="s">
        <v>392</v>
      </c>
      <c r="F128" s="80" t="s">
        <v>151</v>
      </c>
      <c r="G128" s="80" t="s">
        <v>106</v>
      </c>
      <c r="H128" s="80" t="n">
        <v>11</v>
      </c>
      <c r="I128" s="80" t="s">
        <v>114</v>
      </c>
      <c r="J128" s="80" t="s">
        <v>132</v>
      </c>
      <c r="K128" s="80" t="s">
        <v>391</v>
      </c>
      <c r="L128" s="84" t="n">
        <f aca="false">IF(K128="","",IFERROR(INDEX(BARDAGE!$C$7:$C$1506,MATCH(K128,BARDAGE!$B$7:$B$1506,0)),"? hors registre"))</f>
        <v>24803590</v>
      </c>
      <c r="M128" s="80" t="s">
        <v>393</v>
      </c>
      <c r="N128" s="84" t="n">
        <f aca="false">IF(M128="","",IFERROR(INDEX(BARDAGE!$C$7:$C$1506,MATCH(M128,BARDAGE!$B$7:$B$1506,0)),"? hors registre"))</f>
        <v>24803579</v>
      </c>
      <c r="O128" s="80" t="s">
        <v>141</v>
      </c>
      <c r="P128" s="80" t="s">
        <v>141</v>
      </c>
      <c r="Q128" s="80" t="s">
        <v>125</v>
      </c>
      <c r="R128" s="82" t="n">
        <v>45885</v>
      </c>
      <c r="S128" s="82" t="n">
        <v>45885</v>
      </c>
      <c r="T128" s="80" t="s">
        <v>389</v>
      </c>
      <c r="U128" s="80" t="s">
        <v>105</v>
      </c>
      <c r="V128" s="82" t="n">
        <v>45894</v>
      </c>
      <c r="W128" s="80" t="s">
        <v>378</v>
      </c>
      <c r="X128" s="80" t="s">
        <v>105</v>
      </c>
      <c r="Y128" s="80"/>
      <c r="Z128" s="80"/>
      <c r="AA128" s="82"/>
      <c r="AB128" s="80"/>
      <c r="AC128" s="80"/>
      <c r="AD128" s="80"/>
      <c r="AE128" s="80"/>
      <c r="AF128" s="82"/>
      <c r="AG128" s="80"/>
      <c r="AH128" s="80"/>
      <c r="AI128" s="82"/>
      <c r="AJ128" s="79"/>
      <c r="AK128" s="78" t="n">
        <f aca="false">IF(E128="","",(X128&lt;&gt;"")+(AC128&lt;&gt;"")+(AH128&lt;&gt;""))</f>
        <v>1</v>
      </c>
      <c r="AL128" s="81" t="str">
        <f aca="false">IF(AH128&lt;&gt;"",AH128,IF(AC128&lt;&gt;"",AC128,IF(X128&lt;&gt;"",X128,"")))</f>
        <v>A</v>
      </c>
      <c r="AM128" s="83" t="str">
        <f aca="false">IF(E128="","",IF(R128="","À SOUDER",IF(U128="","VT EN ATTENTE",IF(U128="R","VT REJETÉ – À REPRENDRE",IF(AL128="","À RADIOGRAPHIER",IF(AL128="A","ACCEPTÉ",IF(AL128="NX","NX – RT À REFAIRE",IF(IF(AK128=1,Z128,IF(AK128=2,AE128,""))="A","RÉPARÉ – À RADIOGRAPHIER",IF(IF(AK128=1,Z128,IF(AK128=2,AE128,""))="R","VT REJETÉ – À REPRENDRE",IF(OR(AL128="CO",AL128="NT"),"COUPE – À RESOUDER","À RÉPARER"))))))))))</f>
        <v>ACCEPTÉ</v>
      </c>
      <c r="AN128" s="81" t="str">
        <f aca="false">IF(AND(ISNUMBER(R128),OR(AM128="À RADIOGRAPHIER",AM128="RÉPARÉ – À RADIOGRAPHIER",AM128="NX – RT À REFAIRE",AM128="À RÉPARER",AM128="COUPE – À RESOUDER",AM128="VT REJETÉ – À REPRENDRE")),MAX(0,'PROGRAMME RT'!$C$4-R128),"")</f>
        <v/>
      </c>
      <c r="AO128" s="78" t="n">
        <f aca="false">IF(AND(OR(AM128="À RADIOGRAPHIER",AM128="RÉPARÉ – À RADIOGRAPHIER",AM128="NX – RT À REFAIRE"),OR('PROGRAMME RT'!$D$5="TOUTES",B128='PROGRAMME RT'!$D$5)),1,0)</f>
        <v>0</v>
      </c>
      <c r="AP128" s="78" t="str">
        <f aca="false">IF(AO128=1,SUM(AO$7:AO128),"")</f>
        <v/>
      </c>
      <c r="AQ128" s="78" t="n">
        <f aca="false">IF(AND(OR(X128="R",X128="NX",X128="NT",X128="CO"),OR('JOINTS DE RÉPARATION'!$D$5="TOUTES",B128='JOINTS DE RÉPARATION'!$D$5),OR('JOINTS DE RÉPARATION'!$L$4="TOUS",AM128&lt;&gt;"ACCEPTÉ")),1,0)</f>
        <v>0</v>
      </c>
      <c r="AR128" s="78" t="str">
        <f aca="false">IF(AQ128=1,SUM(AQ$7:AQ128),"")</f>
        <v/>
      </c>
    </row>
    <row r="129" customFormat="false" ht="15" hidden="false" customHeight="false" outlineLevel="0" collapsed="false">
      <c r="A129" s="78" t="n">
        <f aca="false">IF(E129="","",ROW()-6)</f>
        <v>123</v>
      </c>
      <c r="B129" s="79" t="s">
        <v>102</v>
      </c>
      <c r="C129" s="80" t="s">
        <v>231</v>
      </c>
      <c r="D129" s="80" t="s">
        <v>318</v>
      </c>
      <c r="E129" s="80" t="s">
        <v>394</v>
      </c>
      <c r="F129" s="80" t="s">
        <v>151</v>
      </c>
      <c r="G129" s="80" t="s">
        <v>106</v>
      </c>
      <c r="H129" s="80" t="n">
        <v>11</v>
      </c>
      <c r="I129" s="80" t="s">
        <v>114</v>
      </c>
      <c r="J129" s="80" t="s">
        <v>132</v>
      </c>
      <c r="K129" s="80" t="s">
        <v>393</v>
      </c>
      <c r="L129" s="84" t="n">
        <f aca="false">IF(K129="","",IFERROR(INDEX(BARDAGE!$C$7:$C$1506,MATCH(K129,BARDAGE!$B$7:$B$1506,0)),"? hors registre"))</f>
        <v>24803579</v>
      </c>
      <c r="M129" s="80" t="s">
        <v>395</v>
      </c>
      <c r="N129" s="84" t="n">
        <f aca="false">IF(M129="","",IFERROR(INDEX(BARDAGE!$C$7:$C$1506,MATCH(M129,BARDAGE!$B$7:$B$1506,0)),"? hors registre"))</f>
        <v>24212332</v>
      </c>
      <c r="O129" s="80" t="s">
        <v>141</v>
      </c>
      <c r="P129" s="80" t="s">
        <v>141</v>
      </c>
      <c r="Q129" s="80" t="s">
        <v>134</v>
      </c>
      <c r="R129" s="82" t="n">
        <v>45885</v>
      </c>
      <c r="S129" s="82" t="n">
        <v>45885</v>
      </c>
      <c r="T129" s="80" t="s">
        <v>389</v>
      </c>
      <c r="U129" s="80" t="s">
        <v>105</v>
      </c>
      <c r="V129" s="82" t="n">
        <v>45894</v>
      </c>
      <c r="W129" s="80" t="s">
        <v>378</v>
      </c>
      <c r="X129" s="80" t="s">
        <v>265</v>
      </c>
      <c r="Y129" s="80" t="s">
        <v>117</v>
      </c>
      <c r="Z129" s="80" t="s">
        <v>105</v>
      </c>
      <c r="AA129" s="82" t="n">
        <v>45898</v>
      </c>
      <c r="AB129" s="80" t="s">
        <v>396</v>
      </c>
      <c r="AC129" s="80" t="s">
        <v>105</v>
      </c>
      <c r="AD129" s="80"/>
      <c r="AE129" s="80"/>
      <c r="AF129" s="82"/>
      <c r="AG129" s="80"/>
      <c r="AH129" s="80"/>
      <c r="AI129" s="82"/>
      <c r="AJ129" s="79"/>
      <c r="AK129" s="78" t="n">
        <f aca="false">IF(E129="","",(X129&lt;&gt;"")+(AC129&lt;&gt;"")+(AH129&lt;&gt;""))</f>
        <v>2</v>
      </c>
      <c r="AL129" s="81" t="str">
        <f aca="false">IF(AH129&lt;&gt;"",AH129,IF(AC129&lt;&gt;"",AC129,IF(X129&lt;&gt;"",X129,"")))</f>
        <v>A</v>
      </c>
      <c r="AM129" s="83" t="str">
        <f aca="false">IF(E129="","",IF(R129="","À SOUDER",IF(U129="","VT EN ATTENTE",IF(U129="R","VT REJETÉ – À REPRENDRE",IF(AL129="","À RADIOGRAPHIER",IF(AL129="A","ACCEPTÉ",IF(AL129="NX","NX – RT À REFAIRE",IF(IF(AK129=1,Z129,IF(AK129=2,AE129,""))="A","RÉPARÉ – À RADIOGRAPHIER",IF(IF(AK129=1,Z129,IF(AK129=2,AE129,""))="R","VT REJETÉ – À REPRENDRE",IF(OR(AL129="CO",AL129="NT"),"COUPE – À RESOUDER","À RÉPARER"))))))))))</f>
        <v>ACCEPTÉ</v>
      </c>
      <c r="AN129" s="81" t="str">
        <f aca="false">IF(AND(ISNUMBER(R129),OR(AM129="À RADIOGRAPHIER",AM129="RÉPARÉ – À RADIOGRAPHIER",AM129="NX – RT À REFAIRE",AM129="À RÉPARER",AM129="COUPE – À RESOUDER",AM129="VT REJETÉ – À REPRENDRE")),MAX(0,'PROGRAMME RT'!$C$4-R129),"")</f>
        <v/>
      </c>
      <c r="AO129" s="78" t="n">
        <f aca="false">IF(AND(OR(AM129="À RADIOGRAPHIER",AM129="RÉPARÉ – À RADIOGRAPHIER",AM129="NX – RT À REFAIRE"),OR('PROGRAMME RT'!$D$5="TOUTES",B129='PROGRAMME RT'!$D$5)),1,0)</f>
        <v>0</v>
      </c>
      <c r="AP129" s="78" t="str">
        <f aca="false">IF(AO129=1,SUM(AO$7:AO129),"")</f>
        <v/>
      </c>
      <c r="AQ129" s="78" t="n">
        <f aca="false">IF(AND(OR(X129="R",X129="NX",X129="NT",X129="CO"),OR('JOINTS DE RÉPARATION'!$D$5="TOUTES",B129='JOINTS DE RÉPARATION'!$D$5),OR('JOINTS DE RÉPARATION'!$L$4="TOUS",AM129&lt;&gt;"ACCEPTÉ")),1,0)</f>
        <v>1</v>
      </c>
      <c r="AR129" s="78" t="n">
        <f aca="false">IF(AQ129=1,SUM(AQ$7:AQ129),"")</f>
        <v>3</v>
      </c>
    </row>
    <row r="130" customFormat="false" ht="15" hidden="false" customHeight="false" outlineLevel="0" collapsed="false">
      <c r="A130" s="78" t="n">
        <f aca="false">IF(E130="","",ROW()-6)</f>
        <v>124</v>
      </c>
      <c r="B130" s="79" t="s">
        <v>102</v>
      </c>
      <c r="C130" s="80" t="s">
        <v>231</v>
      </c>
      <c r="D130" s="80" t="s">
        <v>318</v>
      </c>
      <c r="E130" s="80" t="s">
        <v>397</v>
      </c>
      <c r="F130" s="80" t="s">
        <v>151</v>
      </c>
      <c r="G130" s="80" t="s">
        <v>106</v>
      </c>
      <c r="H130" s="80" t="n">
        <v>11</v>
      </c>
      <c r="I130" s="80" t="s">
        <v>114</v>
      </c>
      <c r="J130" s="80" t="s">
        <v>132</v>
      </c>
      <c r="K130" s="80" t="s">
        <v>395</v>
      </c>
      <c r="L130" s="84" t="n">
        <f aca="false">IF(K130="","",IFERROR(INDEX(BARDAGE!$C$7:$C$1506,MATCH(K130,BARDAGE!$B$7:$B$1506,0)),"? hors registre"))</f>
        <v>24212332</v>
      </c>
      <c r="M130" s="80" t="s">
        <v>398</v>
      </c>
      <c r="N130" s="84" t="n">
        <f aca="false">IF(M130="","",IFERROR(INDEX(BARDAGE!$C$7:$C$1506,MATCH(M130,BARDAGE!$B$7:$B$1506,0)),"? hors registre"))</f>
        <v>21212327</v>
      </c>
      <c r="O130" s="80" t="s">
        <v>141</v>
      </c>
      <c r="P130" s="80" t="s">
        <v>141</v>
      </c>
      <c r="Q130" s="80" t="s">
        <v>204</v>
      </c>
      <c r="R130" s="82" t="n">
        <v>45885</v>
      </c>
      <c r="S130" s="82" t="n">
        <v>45885</v>
      </c>
      <c r="T130" s="80" t="s">
        <v>389</v>
      </c>
      <c r="U130" s="80" t="s">
        <v>105</v>
      </c>
      <c r="V130" s="82" t="n">
        <v>45895</v>
      </c>
      <c r="W130" s="80" t="s">
        <v>399</v>
      </c>
      <c r="X130" s="80" t="s">
        <v>105</v>
      </c>
      <c r="Y130" s="80"/>
      <c r="Z130" s="80"/>
      <c r="AA130" s="82"/>
      <c r="AB130" s="80"/>
      <c r="AC130" s="80"/>
      <c r="AD130" s="80"/>
      <c r="AE130" s="80"/>
      <c r="AF130" s="82"/>
      <c r="AG130" s="80"/>
      <c r="AH130" s="80"/>
      <c r="AI130" s="82"/>
      <c r="AJ130" s="79"/>
      <c r="AK130" s="78" t="n">
        <f aca="false">IF(E130="","",(X130&lt;&gt;"")+(AC130&lt;&gt;"")+(AH130&lt;&gt;""))</f>
        <v>1</v>
      </c>
      <c r="AL130" s="81" t="str">
        <f aca="false">IF(AH130&lt;&gt;"",AH130,IF(AC130&lt;&gt;"",AC130,IF(X130&lt;&gt;"",X130,"")))</f>
        <v>A</v>
      </c>
      <c r="AM130" s="83" t="str">
        <f aca="false">IF(E130="","",IF(R130="","À SOUDER",IF(U130="","VT EN ATTENTE",IF(U130="R","VT REJETÉ – À REPRENDRE",IF(AL130="","À RADIOGRAPHIER",IF(AL130="A","ACCEPTÉ",IF(AL130="NX","NX – RT À REFAIRE",IF(IF(AK130=1,Z130,IF(AK130=2,AE130,""))="A","RÉPARÉ – À RADIOGRAPHIER",IF(IF(AK130=1,Z130,IF(AK130=2,AE130,""))="R","VT REJETÉ – À REPRENDRE",IF(OR(AL130="CO",AL130="NT"),"COUPE – À RESOUDER","À RÉPARER"))))))))))</f>
        <v>ACCEPTÉ</v>
      </c>
      <c r="AN130" s="81" t="str">
        <f aca="false">IF(AND(ISNUMBER(R130),OR(AM130="À RADIOGRAPHIER",AM130="RÉPARÉ – À RADIOGRAPHIER",AM130="NX – RT À REFAIRE",AM130="À RÉPARER",AM130="COUPE – À RESOUDER",AM130="VT REJETÉ – À REPRENDRE")),MAX(0,'PROGRAMME RT'!$C$4-R130),"")</f>
        <v/>
      </c>
      <c r="AO130" s="78" t="n">
        <f aca="false">IF(AND(OR(AM130="À RADIOGRAPHIER",AM130="RÉPARÉ – À RADIOGRAPHIER",AM130="NX – RT À REFAIRE"),OR('PROGRAMME RT'!$D$5="TOUTES",B130='PROGRAMME RT'!$D$5)),1,0)</f>
        <v>0</v>
      </c>
      <c r="AP130" s="78" t="str">
        <f aca="false">IF(AO130=1,SUM(AO$7:AO130),"")</f>
        <v/>
      </c>
      <c r="AQ130" s="78" t="n">
        <f aca="false">IF(AND(OR(X130="R",X130="NX",X130="NT",X130="CO"),OR('JOINTS DE RÉPARATION'!$D$5="TOUTES",B130='JOINTS DE RÉPARATION'!$D$5),OR('JOINTS DE RÉPARATION'!$L$4="TOUS",AM130&lt;&gt;"ACCEPTÉ")),1,0)</f>
        <v>0</v>
      </c>
      <c r="AR130" s="78" t="str">
        <f aca="false">IF(AQ130=1,SUM(AQ$7:AQ130),"")</f>
        <v/>
      </c>
    </row>
    <row r="131" customFormat="false" ht="15" hidden="false" customHeight="false" outlineLevel="0" collapsed="false">
      <c r="A131" s="78" t="n">
        <f aca="false">IF(E131="","",ROW()-6)</f>
        <v>125</v>
      </c>
      <c r="B131" s="79" t="s">
        <v>102</v>
      </c>
      <c r="C131" s="80" t="s">
        <v>231</v>
      </c>
      <c r="D131" s="80" t="s">
        <v>318</v>
      </c>
      <c r="E131" s="80" t="s">
        <v>400</v>
      </c>
      <c r="F131" s="80" t="s">
        <v>151</v>
      </c>
      <c r="G131" s="80" t="s">
        <v>106</v>
      </c>
      <c r="H131" s="80" t="n">
        <v>11</v>
      </c>
      <c r="I131" s="80" t="s">
        <v>114</v>
      </c>
      <c r="J131" s="80" t="s">
        <v>132</v>
      </c>
      <c r="K131" s="80" t="s">
        <v>398</v>
      </c>
      <c r="L131" s="84" t="n">
        <f aca="false">IF(K131="","",IFERROR(INDEX(BARDAGE!$C$7:$C$1506,MATCH(K131,BARDAGE!$B$7:$B$1506,0)),"? hors registre"))</f>
        <v>21212327</v>
      </c>
      <c r="M131" s="80" t="s">
        <v>401</v>
      </c>
      <c r="N131" s="81" t="str">
        <f aca="false">IF(M131="","",IFERROR(INDEX(BARDAGE!$C$7:$C$1506,MATCH(M131,BARDAGE!$B$7:$B$1506,0)),"? hors registre"))</f>
        <v>? hors registre</v>
      </c>
      <c r="O131" s="80" t="s">
        <v>141</v>
      </c>
      <c r="P131" s="80" t="s">
        <v>141</v>
      </c>
      <c r="Q131" s="80" t="s">
        <v>134</v>
      </c>
      <c r="R131" s="82" t="n">
        <v>45885</v>
      </c>
      <c r="S131" s="82" t="n">
        <v>45885</v>
      </c>
      <c r="T131" s="80" t="s">
        <v>389</v>
      </c>
      <c r="U131" s="80" t="s">
        <v>105</v>
      </c>
      <c r="V131" s="82" t="n">
        <v>45895</v>
      </c>
      <c r="W131" s="80" t="s">
        <v>399</v>
      </c>
      <c r="X131" s="80" t="s">
        <v>105</v>
      </c>
      <c r="Y131" s="80"/>
      <c r="Z131" s="80"/>
      <c r="AA131" s="82"/>
      <c r="AB131" s="80"/>
      <c r="AC131" s="80"/>
      <c r="AD131" s="80"/>
      <c r="AE131" s="80"/>
      <c r="AF131" s="82"/>
      <c r="AG131" s="80"/>
      <c r="AH131" s="80"/>
      <c r="AI131" s="82"/>
      <c r="AJ131" s="79"/>
      <c r="AK131" s="78" t="n">
        <f aca="false">IF(E131="","",(X131&lt;&gt;"")+(AC131&lt;&gt;"")+(AH131&lt;&gt;""))</f>
        <v>1</v>
      </c>
      <c r="AL131" s="81" t="str">
        <f aca="false">IF(AH131&lt;&gt;"",AH131,IF(AC131&lt;&gt;"",AC131,IF(X131&lt;&gt;"",X131,"")))</f>
        <v>A</v>
      </c>
      <c r="AM131" s="83" t="str">
        <f aca="false">IF(E131="","",IF(R131="","À SOUDER",IF(U131="","VT EN ATTENTE",IF(U131="R","VT REJETÉ – À REPRENDRE",IF(AL131="","À RADIOGRAPHIER",IF(AL131="A","ACCEPTÉ",IF(AL131="NX","NX – RT À REFAIRE",IF(IF(AK131=1,Z131,IF(AK131=2,AE131,""))="A","RÉPARÉ – À RADIOGRAPHIER",IF(IF(AK131=1,Z131,IF(AK131=2,AE131,""))="R","VT REJETÉ – À REPRENDRE",IF(OR(AL131="CO",AL131="NT"),"COUPE – À RESOUDER","À RÉPARER"))))))))))</f>
        <v>ACCEPTÉ</v>
      </c>
      <c r="AN131" s="81" t="str">
        <f aca="false">IF(AND(ISNUMBER(R131),OR(AM131="À RADIOGRAPHIER",AM131="RÉPARÉ – À RADIOGRAPHIER",AM131="NX – RT À REFAIRE",AM131="À RÉPARER",AM131="COUPE – À RESOUDER",AM131="VT REJETÉ – À REPRENDRE")),MAX(0,'PROGRAMME RT'!$C$4-R131),"")</f>
        <v/>
      </c>
      <c r="AO131" s="78" t="n">
        <f aca="false">IF(AND(OR(AM131="À RADIOGRAPHIER",AM131="RÉPARÉ – À RADIOGRAPHIER",AM131="NX – RT À REFAIRE"),OR('PROGRAMME RT'!$D$5="TOUTES",B131='PROGRAMME RT'!$D$5)),1,0)</f>
        <v>0</v>
      </c>
      <c r="AP131" s="78" t="str">
        <f aca="false">IF(AO131=1,SUM(AO$7:AO131),"")</f>
        <v/>
      </c>
      <c r="AQ131" s="78" t="n">
        <f aca="false">IF(AND(OR(X131="R",X131="NX",X131="NT",X131="CO"),OR('JOINTS DE RÉPARATION'!$D$5="TOUTES",B131='JOINTS DE RÉPARATION'!$D$5),OR('JOINTS DE RÉPARATION'!$L$4="TOUS",AM131&lt;&gt;"ACCEPTÉ")),1,0)</f>
        <v>0</v>
      </c>
      <c r="AR131" s="78" t="str">
        <f aca="false">IF(AQ131=1,SUM(AQ$7:AQ131),"")</f>
        <v/>
      </c>
    </row>
    <row r="132" customFormat="false" ht="15" hidden="false" customHeight="false" outlineLevel="0" collapsed="false">
      <c r="A132" s="78" t="n">
        <f aca="false">IF(E132="","",ROW()-6)</f>
        <v>126</v>
      </c>
      <c r="B132" s="79" t="s">
        <v>102</v>
      </c>
      <c r="C132" s="80" t="s">
        <v>231</v>
      </c>
      <c r="D132" s="80" t="s">
        <v>318</v>
      </c>
      <c r="E132" s="80" t="s">
        <v>402</v>
      </c>
      <c r="F132" s="80" t="s">
        <v>151</v>
      </c>
      <c r="G132" s="80" t="s">
        <v>106</v>
      </c>
      <c r="H132" s="80" t="n">
        <v>11</v>
      </c>
      <c r="I132" s="80" t="s">
        <v>114</v>
      </c>
      <c r="J132" s="80" t="s">
        <v>132</v>
      </c>
      <c r="K132" s="80" t="s">
        <v>401</v>
      </c>
      <c r="L132" s="81" t="str">
        <f aca="false">IF(K132="","",IFERROR(INDEX(BARDAGE!$C$7:$C$1506,MATCH(K132,BARDAGE!$B$7:$B$1506,0)),"? hors registre"))</f>
        <v>? hors registre</v>
      </c>
      <c r="M132" s="80" t="s">
        <v>403</v>
      </c>
      <c r="N132" s="84" t="n">
        <f aca="false">IF(M132="","",IFERROR(INDEX(BARDAGE!$C$7:$C$1506,MATCH(M132,BARDAGE!$B$7:$B$1506,0)),"? hors registre"))</f>
        <v>24212332</v>
      </c>
      <c r="O132" s="80" t="s">
        <v>141</v>
      </c>
      <c r="P132" s="80" t="s">
        <v>141</v>
      </c>
      <c r="Q132" s="80" t="s">
        <v>125</v>
      </c>
      <c r="R132" s="82" t="n">
        <v>45885</v>
      </c>
      <c r="S132" s="82" t="n">
        <v>45885</v>
      </c>
      <c r="T132" s="80" t="s">
        <v>389</v>
      </c>
      <c r="U132" s="80" t="s">
        <v>105</v>
      </c>
      <c r="V132" s="82" t="n">
        <v>45895</v>
      </c>
      <c r="W132" s="80" t="s">
        <v>399</v>
      </c>
      <c r="X132" s="80" t="s">
        <v>105</v>
      </c>
      <c r="Y132" s="80"/>
      <c r="Z132" s="80"/>
      <c r="AA132" s="82"/>
      <c r="AB132" s="80"/>
      <c r="AC132" s="80"/>
      <c r="AD132" s="80"/>
      <c r="AE132" s="80"/>
      <c r="AF132" s="82"/>
      <c r="AG132" s="80"/>
      <c r="AH132" s="80"/>
      <c r="AI132" s="82"/>
      <c r="AJ132" s="79"/>
      <c r="AK132" s="78" t="n">
        <f aca="false">IF(E132="","",(X132&lt;&gt;"")+(AC132&lt;&gt;"")+(AH132&lt;&gt;""))</f>
        <v>1</v>
      </c>
      <c r="AL132" s="81" t="str">
        <f aca="false">IF(AH132&lt;&gt;"",AH132,IF(AC132&lt;&gt;"",AC132,IF(X132&lt;&gt;"",X132,"")))</f>
        <v>A</v>
      </c>
      <c r="AM132" s="83" t="str">
        <f aca="false">IF(E132="","",IF(R132="","À SOUDER",IF(U132="","VT EN ATTENTE",IF(U132="R","VT REJETÉ – À REPRENDRE",IF(AL132="","À RADIOGRAPHIER",IF(AL132="A","ACCEPTÉ",IF(AL132="NX","NX – RT À REFAIRE",IF(IF(AK132=1,Z132,IF(AK132=2,AE132,""))="A","RÉPARÉ – À RADIOGRAPHIER",IF(IF(AK132=1,Z132,IF(AK132=2,AE132,""))="R","VT REJETÉ – À REPRENDRE",IF(OR(AL132="CO",AL132="NT"),"COUPE – À RESOUDER","À RÉPARER"))))))))))</f>
        <v>ACCEPTÉ</v>
      </c>
      <c r="AN132" s="81" t="str">
        <f aca="false">IF(AND(ISNUMBER(R132),OR(AM132="À RADIOGRAPHIER",AM132="RÉPARÉ – À RADIOGRAPHIER",AM132="NX – RT À REFAIRE",AM132="À RÉPARER",AM132="COUPE – À RESOUDER",AM132="VT REJETÉ – À REPRENDRE")),MAX(0,'PROGRAMME RT'!$C$4-R132),"")</f>
        <v/>
      </c>
      <c r="AO132" s="78" t="n">
        <f aca="false">IF(AND(OR(AM132="À RADIOGRAPHIER",AM132="RÉPARÉ – À RADIOGRAPHIER",AM132="NX – RT À REFAIRE"),OR('PROGRAMME RT'!$D$5="TOUTES",B132='PROGRAMME RT'!$D$5)),1,0)</f>
        <v>0</v>
      </c>
      <c r="AP132" s="78" t="str">
        <f aca="false">IF(AO132=1,SUM(AO$7:AO132),"")</f>
        <v/>
      </c>
      <c r="AQ132" s="78" t="n">
        <f aca="false">IF(AND(OR(X132="R",X132="NX",X132="NT",X132="CO"),OR('JOINTS DE RÉPARATION'!$D$5="TOUTES",B132='JOINTS DE RÉPARATION'!$D$5),OR('JOINTS DE RÉPARATION'!$L$4="TOUS",AM132&lt;&gt;"ACCEPTÉ")),1,0)</f>
        <v>0</v>
      </c>
      <c r="AR132" s="78" t="str">
        <f aca="false">IF(AQ132=1,SUM(AQ$7:AQ132),"")</f>
        <v/>
      </c>
    </row>
    <row r="133" customFormat="false" ht="15" hidden="false" customHeight="false" outlineLevel="0" collapsed="false">
      <c r="A133" s="78" t="n">
        <f aca="false">IF(E133="","",ROW()-6)</f>
        <v>127</v>
      </c>
      <c r="B133" s="79" t="s">
        <v>102</v>
      </c>
      <c r="C133" s="80" t="s">
        <v>231</v>
      </c>
      <c r="D133" s="80" t="s">
        <v>318</v>
      </c>
      <c r="E133" s="80" t="s">
        <v>404</v>
      </c>
      <c r="F133" s="80" t="s">
        <v>151</v>
      </c>
      <c r="G133" s="80" t="s">
        <v>106</v>
      </c>
      <c r="H133" s="80" t="n">
        <v>11</v>
      </c>
      <c r="I133" s="80" t="s">
        <v>114</v>
      </c>
      <c r="J133" s="80" t="s">
        <v>132</v>
      </c>
      <c r="K133" s="80" t="s">
        <v>403</v>
      </c>
      <c r="L133" s="84" t="n">
        <f aca="false">IF(K133="","",IFERROR(INDEX(BARDAGE!$C$7:$C$1506,MATCH(K133,BARDAGE!$B$7:$B$1506,0)),"? hors registre"))</f>
        <v>24212332</v>
      </c>
      <c r="M133" s="80" t="s">
        <v>405</v>
      </c>
      <c r="N133" s="84" t="n">
        <f aca="false">IF(M133="","",IFERROR(INDEX(BARDAGE!$C$7:$C$1506,MATCH(M133,BARDAGE!$B$7:$B$1506,0)),"? hors registre"))</f>
        <v>24102487</v>
      </c>
      <c r="O133" s="80" t="s">
        <v>141</v>
      </c>
      <c r="P133" s="80" t="s">
        <v>141</v>
      </c>
      <c r="Q133" s="80" t="s">
        <v>204</v>
      </c>
      <c r="R133" s="82" t="n">
        <v>45885</v>
      </c>
      <c r="S133" s="82" t="n">
        <v>45885</v>
      </c>
      <c r="T133" s="80" t="s">
        <v>389</v>
      </c>
      <c r="U133" s="80" t="s">
        <v>105</v>
      </c>
      <c r="V133" s="82" t="n">
        <v>45895</v>
      </c>
      <c r="W133" s="80" t="s">
        <v>399</v>
      </c>
      <c r="X133" s="80" t="s">
        <v>105</v>
      </c>
      <c r="Y133" s="80"/>
      <c r="Z133" s="80"/>
      <c r="AA133" s="82"/>
      <c r="AB133" s="80"/>
      <c r="AC133" s="80"/>
      <c r="AD133" s="80"/>
      <c r="AE133" s="80"/>
      <c r="AF133" s="82"/>
      <c r="AG133" s="80"/>
      <c r="AH133" s="80"/>
      <c r="AI133" s="82"/>
      <c r="AJ133" s="79"/>
      <c r="AK133" s="78" t="n">
        <f aca="false">IF(E133="","",(X133&lt;&gt;"")+(AC133&lt;&gt;"")+(AH133&lt;&gt;""))</f>
        <v>1</v>
      </c>
      <c r="AL133" s="81" t="str">
        <f aca="false">IF(AH133&lt;&gt;"",AH133,IF(AC133&lt;&gt;"",AC133,IF(X133&lt;&gt;"",X133,"")))</f>
        <v>A</v>
      </c>
      <c r="AM133" s="83" t="str">
        <f aca="false">IF(E133="","",IF(R133="","À SOUDER",IF(U133="","VT EN ATTENTE",IF(U133="R","VT REJETÉ – À REPRENDRE",IF(AL133="","À RADIOGRAPHIER",IF(AL133="A","ACCEPTÉ",IF(AL133="NX","NX – RT À REFAIRE",IF(IF(AK133=1,Z133,IF(AK133=2,AE133,""))="A","RÉPARÉ – À RADIOGRAPHIER",IF(IF(AK133=1,Z133,IF(AK133=2,AE133,""))="R","VT REJETÉ – À REPRENDRE",IF(OR(AL133="CO",AL133="NT"),"COUPE – À RESOUDER","À RÉPARER"))))))))))</f>
        <v>ACCEPTÉ</v>
      </c>
      <c r="AN133" s="81" t="str">
        <f aca="false">IF(AND(ISNUMBER(R133),OR(AM133="À RADIOGRAPHIER",AM133="RÉPARÉ – À RADIOGRAPHIER",AM133="NX – RT À REFAIRE",AM133="À RÉPARER",AM133="COUPE – À RESOUDER",AM133="VT REJETÉ – À REPRENDRE")),MAX(0,'PROGRAMME RT'!$C$4-R133),"")</f>
        <v/>
      </c>
      <c r="AO133" s="78" t="n">
        <f aca="false">IF(AND(OR(AM133="À RADIOGRAPHIER",AM133="RÉPARÉ – À RADIOGRAPHIER",AM133="NX – RT À REFAIRE"),OR('PROGRAMME RT'!$D$5="TOUTES",B133='PROGRAMME RT'!$D$5)),1,0)</f>
        <v>0</v>
      </c>
      <c r="AP133" s="78" t="str">
        <f aca="false">IF(AO133=1,SUM(AO$7:AO133),"")</f>
        <v/>
      </c>
      <c r="AQ133" s="78" t="n">
        <f aca="false">IF(AND(OR(X133="R",X133="NX",X133="NT",X133="CO"),OR('JOINTS DE RÉPARATION'!$D$5="TOUTES",B133='JOINTS DE RÉPARATION'!$D$5),OR('JOINTS DE RÉPARATION'!$L$4="TOUS",AM133&lt;&gt;"ACCEPTÉ")),1,0)</f>
        <v>0</v>
      </c>
      <c r="AR133" s="78" t="str">
        <f aca="false">IF(AQ133=1,SUM(AQ$7:AQ133),"")</f>
        <v/>
      </c>
    </row>
    <row r="134" customFormat="false" ht="15" hidden="false" customHeight="false" outlineLevel="0" collapsed="false">
      <c r="A134" s="78" t="n">
        <f aca="false">IF(E134="","",ROW()-6)</f>
        <v>128</v>
      </c>
      <c r="B134" s="79" t="s">
        <v>102</v>
      </c>
      <c r="C134" s="80" t="s">
        <v>231</v>
      </c>
      <c r="D134" s="80" t="s">
        <v>318</v>
      </c>
      <c r="E134" s="80" t="s">
        <v>406</v>
      </c>
      <c r="F134" s="80" t="s">
        <v>151</v>
      </c>
      <c r="G134" s="80" t="s">
        <v>106</v>
      </c>
      <c r="H134" s="80" t="n">
        <v>11</v>
      </c>
      <c r="I134" s="80" t="s">
        <v>114</v>
      </c>
      <c r="J134" s="80" t="s">
        <v>132</v>
      </c>
      <c r="K134" s="80" t="s">
        <v>405</v>
      </c>
      <c r="L134" s="84" t="n">
        <f aca="false">IF(K134="","",IFERROR(INDEX(BARDAGE!$C$7:$C$1506,MATCH(K134,BARDAGE!$B$7:$B$1506,0)),"? hors registre"))</f>
        <v>24102487</v>
      </c>
      <c r="M134" s="80" t="s">
        <v>407</v>
      </c>
      <c r="N134" s="84" t="n">
        <f aca="false">IF(M134="","",IFERROR(INDEX(BARDAGE!$C$7:$C$1506,MATCH(M134,BARDAGE!$B$7:$B$1506,0)),"? hors registre"))</f>
        <v>24803600</v>
      </c>
      <c r="O134" s="80" t="s">
        <v>141</v>
      </c>
      <c r="P134" s="80" t="s">
        <v>141</v>
      </c>
      <c r="Q134" s="80" t="s">
        <v>134</v>
      </c>
      <c r="R134" s="82" t="n">
        <v>45885</v>
      </c>
      <c r="S134" s="82" t="n">
        <v>45885</v>
      </c>
      <c r="T134" s="80" t="s">
        <v>389</v>
      </c>
      <c r="U134" s="80" t="s">
        <v>105</v>
      </c>
      <c r="V134" s="82" t="n">
        <v>45895</v>
      </c>
      <c r="W134" s="80" t="s">
        <v>399</v>
      </c>
      <c r="X134" s="80" t="s">
        <v>105</v>
      </c>
      <c r="Y134" s="80"/>
      <c r="Z134" s="80"/>
      <c r="AA134" s="82"/>
      <c r="AB134" s="80"/>
      <c r="AC134" s="80"/>
      <c r="AD134" s="80"/>
      <c r="AE134" s="80"/>
      <c r="AF134" s="82"/>
      <c r="AG134" s="80"/>
      <c r="AH134" s="80"/>
      <c r="AI134" s="82"/>
      <c r="AJ134" s="79"/>
      <c r="AK134" s="78" t="n">
        <f aca="false">IF(E134="","",(X134&lt;&gt;"")+(AC134&lt;&gt;"")+(AH134&lt;&gt;""))</f>
        <v>1</v>
      </c>
      <c r="AL134" s="81" t="str">
        <f aca="false">IF(AH134&lt;&gt;"",AH134,IF(AC134&lt;&gt;"",AC134,IF(X134&lt;&gt;"",X134,"")))</f>
        <v>A</v>
      </c>
      <c r="AM134" s="83" t="str">
        <f aca="false">IF(E134="","",IF(R134="","À SOUDER",IF(U134="","VT EN ATTENTE",IF(U134="R","VT REJETÉ – À REPRENDRE",IF(AL134="","À RADIOGRAPHIER",IF(AL134="A","ACCEPTÉ",IF(AL134="NX","NX – RT À REFAIRE",IF(IF(AK134=1,Z134,IF(AK134=2,AE134,""))="A","RÉPARÉ – À RADIOGRAPHIER",IF(IF(AK134=1,Z134,IF(AK134=2,AE134,""))="R","VT REJETÉ – À REPRENDRE",IF(OR(AL134="CO",AL134="NT"),"COUPE – À RESOUDER","À RÉPARER"))))))))))</f>
        <v>ACCEPTÉ</v>
      </c>
      <c r="AN134" s="81" t="str">
        <f aca="false">IF(AND(ISNUMBER(R134),OR(AM134="À RADIOGRAPHIER",AM134="RÉPARÉ – À RADIOGRAPHIER",AM134="NX – RT À REFAIRE",AM134="À RÉPARER",AM134="COUPE – À RESOUDER",AM134="VT REJETÉ – À REPRENDRE")),MAX(0,'PROGRAMME RT'!$C$4-R134),"")</f>
        <v/>
      </c>
      <c r="AO134" s="78" t="n">
        <f aca="false">IF(AND(OR(AM134="À RADIOGRAPHIER",AM134="RÉPARÉ – À RADIOGRAPHIER",AM134="NX – RT À REFAIRE"),OR('PROGRAMME RT'!$D$5="TOUTES",B134='PROGRAMME RT'!$D$5)),1,0)</f>
        <v>0</v>
      </c>
      <c r="AP134" s="78" t="str">
        <f aca="false">IF(AO134=1,SUM(AO$7:AO134),"")</f>
        <v/>
      </c>
      <c r="AQ134" s="78" t="n">
        <f aca="false">IF(AND(OR(X134="R",X134="NX",X134="NT",X134="CO"),OR('JOINTS DE RÉPARATION'!$D$5="TOUTES",B134='JOINTS DE RÉPARATION'!$D$5),OR('JOINTS DE RÉPARATION'!$L$4="TOUS",AM134&lt;&gt;"ACCEPTÉ")),1,0)</f>
        <v>0</v>
      </c>
      <c r="AR134" s="78" t="str">
        <f aca="false">IF(AQ134=1,SUM(AQ$7:AQ134),"")</f>
        <v/>
      </c>
    </row>
    <row r="135" customFormat="false" ht="15" hidden="false" customHeight="false" outlineLevel="0" collapsed="false">
      <c r="A135" s="78" t="n">
        <f aca="false">IF(E135="","",ROW()-6)</f>
        <v>129</v>
      </c>
      <c r="B135" s="79" t="s">
        <v>102</v>
      </c>
      <c r="C135" s="80" t="s">
        <v>231</v>
      </c>
      <c r="D135" s="80" t="s">
        <v>318</v>
      </c>
      <c r="E135" s="80" t="s">
        <v>408</v>
      </c>
      <c r="F135" s="80" t="s">
        <v>151</v>
      </c>
      <c r="G135" s="80" t="s">
        <v>106</v>
      </c>
      <c r="H135" s="80" t="n">
        <v>11</v>
      </c>
      <c r="I135" s="80" t="s">
        <v>114</v>
      </c>
      <c r="J135" s="80" t="s">
        <v>132</v>
      </c>
      <c r="K135" s="80" t="s">
        <v>407</v>
      </c>
      <c r="L135" s="84" t="n">
        <f aca="false">IF(K135="","",IFERROR(INDEX(BARDAGE!$C$7:$C$1506,MATCH(K135,BARDAGE!$B$7:$B$1506,0)),"? hors registre"))</f>
        <v>24803600</v>
      </c>
      <c r="M135" s="80" t="s">
        <v>409</v>
      </c>
      <c r="N135" s="84" t="n">
        <f aca="false">IF(M135="","",IFERROR(INDEX(BARDAGE!$C$7:$C$1506,MATCH(M135,BARDAGE!$B$7:$B$1506,0)),"? hors registre"))</f>
        <v>24703653</v>
      </c>
      <c r="O135" s="80" t="s">
        <v>141</v>
      </c>
      <c r="P135" s="80" t="s">
        <v>141</v>
      </c>
      <c r="Q135" s="80" t="s">
        <v>204</v>
      </c>
      <c r="R135" s="82" t="n">
        <v>45885</v>
      </c>
      <c r="S135" s="82" t="n">
        <v>45885</v>
      </c>
      <c r="T135" s="80" t="s">
        <v>389</v>
      </c>
      <c r="U135" s="80" t="s">
        <v>105</v>
      </c>
      <c r="V135" s="82" t="n">
        <v>45895</v>
      </c>
      <c r="W135" s="80" t="s">
        <v>399</v>
      </c>
      <c r="X135" s="80" t="s">
        <v>105</v>
      </c>
      <c r="Y135" s="80"/>
      <c r="Z135" s="80"/>
      <c r="AA135" s="82"/>
      <c r="AB135" s="80"/>
      <c r="AC135" s="80"/>
      <c r="AD135" s="80"/>
      <c r="AE135" s="80"/>
      <c r="AF135" s="82"/>
      <c r="AG135" s="80"/>
      <c r="AH135" s="80"/>
      <c r="AI135" s="82"/>
      <c r="AJ135" s="79"/>
      <c r="AK135" s="78" t="n">
        <f aca="false">IF(E135="","",(X135&lt;&gt;"")+(AC135&lt;&gt;"")+(AH135&lt;&gt;""))</f>
        <v>1</v>
      </c>
      <c r="AL135" s="81" t="str">
        <f aca="false">IF(AH135&lt;&gt;"",AH135,IF(AC135&lt;&gt;"",AC135,IF(X135&lt;&gt;"",X135,"")))</f>
        <v>A</v>
      </c>
      <c r="AM135" s="83" t="str">
        <f aca="false">IF(E135="","",IF(R135="","À SOUDER",IF(U135="","VT EN ATTENTE",IF(U135="R","VT REJETÉ – À REPRENDRE",IF(AL135="","À RADIOGRAPHIER",IF(AL135="A","ACCEPTÉ",IF(AL135="NX","NX – RT À REFAIRE",IF(IF(AK135=1,Z135,IF(AK135=2,AE135,""))="A","RÉPARÉ – À RADIOGRAPHIER",IF(IF(AK135=1,Z135,IF(AK135=2,AE135,""))="R","VT REJETÉ – À REPRENDRE",IF(OR(AL135="CO",AL135="NT"),"COUPE – À RESOUDER","À RÉPARER"))))))))))</f>
        <v>ACCEPTÉ</v>
      </c>
      <c r="AN135" s="81" t="str">
        <f aca="false">IF(AND(ISNUMBER(R135),OR(AM135="À RADIOGRAPHIER",AM135="RÉPARÉ – À RADIOGRAPHIER",AM135="NX – RT À REFAIRE",AM135="À RÉPARER",AM135="COUPE – À RESOUDER",AM135="VT REJETÉ – À REPRENDRE")),MAX(0,'PROGRAMME RT'!$C$4-R135),"")</f>
        <v/>
      </c>
      <c r="AO135" s="78" t="n">
        <f aca="false">IF(AND(OR(AM135="À RADIOGRAPHIER",AM135="RÉPARÉ – À RADIOGRAPHIER",AM135="NX – RT À REFAIRE"),OR('PROGRAMME RT'!$D$5="TOUTES",B135='PROGRAMME RT'!$D$5)),1,0)</f>
        <v>0</v>
      </c>
      <c r="AP135" s="78" t="str">
        <f aca="false">IF(AO135=1,SUM(AO$7:AO135),"")</f>
        <v/>
      </c>
      <c r="AQ135" s="78" t="n">
        <f aca="false">IF(AND(OR(X135="R",X135="NX",X135="NT",X135="CO"),OR('JOINTS DE RÉPARATION'!$D$5="TOUTES",B135='JOINTS DE RÉPARATION'!$D$5),OR('JOINTS DE RÉPARATION'!$L$4="TOUS",AM135&lt;&gt;"ACCEPTÉ")),1,0)</f>
        <v>0</v>
      </c>
      <c r="AR135" s="78" t="str">
        <f aca="false">IF(AQ135=1,SUM(AQ$7:AQ135),"")</f>
        <v/>
      </c>
    </row>
    <row r="136" customFormat="false" ht="15" hidden="false" customHeight="false" outlineLevel="0" collapsed="false">
      <c r="A136" s="78" t="n">
        <f aca="false">IF(E136="","",ROW()-6)</f>
        <v>130</v>
      </c>
      <c r="B136" s="79" t="s">
        <v>102</v>
      </c>
      <c r="C136" s="80" t="s">
        <v>231</v>
      </c>
      <c r="D136" s="80" t="s">
        <v>318</v>
      </c>
      <c r="E136" s="80" t="s">
        <v>410</v>
      </c>
      <c r="F136" s="80" t="s">
        <v>151</v>
      </c>
      <c r="G136" s="80" t="s">
        <v>106</v>
      </c>
      <c r="H136" s="80" t="n">
        <v>11</v>
      </c>
      <c r="I136" s="80" t="s">
        <v>114</v>
      </c>
      <c r="J136" s="80" t="s">
        <v>132</v>
      </c>
      <c r="K136" s="80" t="s">
        <v>409</v>
      </c>
      <c r="L136" s="84" t="n">
        <f aca="false">IF(K136="","",IFERROR(INDEX(BARDAGE!$C$7:$C$1506,MATCH(K136,BARDAGE!$B$7:$B$1506,0)),"? hors registre"))</f>
        <v>24703653</v>
      </c>
      <c r="M136" s="80" t="s">
        <v>411</v>
      </c>
      <c r="N136" s="84" t="n">
        <f aca="false">IF(M136="","",IFERROR(INDEX(BARDAGE!$C$7:$C$1506,MATCH(M136,BARDAGE!$B$7:$B$1506,0)),"? hors registre"))</f>
        <v>24803590</v>
      </c>
      <c r="O136" s="80" t="s">
        <v>141</v>
      </c>
      <c r="P136" s="80" t="s">
        <v>141</v>
      </c>
      <c r="Q136" s="80" t="s">
        <v>125</v>
      </c>
      <c r="R136" s="82" t="n">
        <v>45885</v>
      </c>
      <c r="S136" s="82" t="n">
        <v>45885</v>
      </c>
      <c r="T136" s="80" t="s">
        <v>389</v>
      </c>
      <c r="U136" s="80" t="s">
        <v>105</v>
      </c>
      <c r="V136" s="82" t="n">
        <v>45895</v>
      </c>
      <c r="W136" s="80" t="s">
        <v>399</v>
      </c>
      <c r="X136" s="80" t="s">
        <v>105</v>
      </c>
      <c r="Y136" s="80"/>
      <c r="Z136" s="80"/>
      <c r="AA136" s="82"/>
      <c r="AB136" s="80"/>
      <c r="AC136" s="80"/>
      <c r="AD136" s="80"/>
      <c r="AE136" s="80"/>
      <c r="AF136" s="82"/>
      <c r="AG136" s="80"/>
      <c r="AH136" s="80"/>
      <c r="AI136" s="82"/>
      <c r="AJ136" s="79"/>
      <c r="AK136" s="78" t="n">
        <f aca="false">IF(E136="","",(X136&lt;&gt;"")+(AC136&lt;&gt;"")+(AH136&lt;&gt;""))</f>
        <v>1</v>
      </c>
      <c r="AL136" s="81" t="str">
        <f aca="false">IF(AH136&lt;&gt;"",AH136,IF(AC136&lt;&gt;"",AC136,IF(X136&lt;&gt;"",X136,"")))</f>
        <v>A</v>
      </c>
      <c r="AM136" s="83" t="str">
        <f aca="false">IF(E136="","",IF(R136="","À SOUDER",IF(U136="","VT EN ATTENTE",IF(U136="R","VT REJETÉ – À REPRENDRE",IF(AL136="","À RADIOGRAPHIER",IF(AL136="A","ACCEPTÉ",IF(AL136="NX","NX – RT À REFAIRE",IF(IF(AK136=1,Z136,IF(AK136=2,AE136,""))="A","RÉPARÉ – À RADIOGRAPHIER",IF(IF(AK136=1,Z136,IF(AK136=2,AE136,""))="R","VT REJETÉ – À REPRENDRE",IF(OR(AL136="CO",AL136="NT"),"COUPE – À RESOUDER","À RÉPARER"))))))))))</f>
        <v>ACCEPTÉ</v>
      </c>
      <c r="AN136" s="81" t="str">
        <f aca="false">IF(AND(ISNUMBER(R136),OR(AM136="À RADIOGRAPHIER",AM136="RÉPARÉ – À RADIOGRAPHIER",AM136="NX – RT À REFAIRE",AM136="À RÉPARER",AM136="COUPE – À RESOUDER",AM136="VT REJETÉ – À REPRENDRE")),MAX(0,'PROGRAMME RT'!$C$4-R136),"")</f>
        <v/>
      </c>
      <c r="AO136" s="78" t="n">
        <f aca="false">IF(AND(OR(AM136="À RADIOGRAPHIER",AM136="RÉPARÉ – À RADIOGRAPHIER",AM136="NX – RT À REFAIRE"),OR('PROGRAMME RT'!$D$5="TOUTES",B136='PROGRAMME RT'!$D$5)),1,0)</f>
        <v>0</v>
      </c>
      <c r="AP136" s="78" t="str">
        <f aca="false">IF(AO136=1,SUM(AO$7:AO136),"")</f>
        <v/>
      </c>
      <c r="AQ136" s="78" t="n">
        <f aca="false">IF(AND(OR(X136="R",X136="NX",X136="NT",X136="CO"),OR('JOINTS DE RÉPARATION'!$D$5="TOUTES",B136='JOINTS DE RÉPARATION'!$D$5),OR('JOINTS DE RÉPARATION'!$L$4="TOUS",AM136&lt;&gt;"ACCEPTÉ")),1,0)</f>
        <v>0</v>
      </c>
      <c r="AR136" s="78" t="str">
        <f aca="false">IF(AQ136=1,SUM(AQ$7:AQ136),"")</f>
        <v/>
      </c>
    </row>
    <row r="137" customFormat="false" ht="15" hidden="false" customHeight="false" outlineLevel="0" collapsed="false">
      <c r="A137" s="78" t="n">
        <f aca="false">IF(E137="","",ROW()-6)</f>
        <v>131</v>
      </c>
      <c r="B137" s="79" t="s">
        <v>102</v>
      </c>
      <c r="C137" s="80" t="s">
        <v>231</v>
      </c>
      <c r="D137" s="80" t="s">
        <v>318</v>
      </c>
      <c r="E137" s="80" t="s">
        <v>412</v>
      </c>
      <c r="F137" s="80" t="s">
        <v>151</v>
      </c>
      <c r="G137" s="80" t="s">
        <v>106</v>
      </c>
      <c r="H137" s="80" t="n">
        <v>11</v>
      </c>
      <c r="I137" s="80" t="s">
        <v>114</v>
      </c>
      <c r="J137" s="80" t="s">
        <v>132</v>
      </c>
      <c r="K137" s="80" t="s">
        <v>411</v>
      </c>
      <c r="L137" s="84" t="n">
        <f aca="false">IF(K137="","",IFERROR(INDEX(BARDAGE!$C$7:$C$1506,MATCH(K137,BARDAGE!$B$7:$B$1506,0)),"? hors registre"))</f>
        <v>24803590</v>
      </c>
      <c r="M137" s="80" t="s">
        <v>413</v>
      </c>
      <c r="N137" s="84" t="n">
        <f aca="false">IF(M137="","",IFERROR(INDEX(BARDAGE!$C$7:$C$1506,MATCH(M137,BARDAGE!$B$7:$B$1506,0)),"? hors registre"))</f>
        <v>24803579</v>
      </c>
      <c r="O137" s="80" t="s">
        <v>141</v>
      </c>
      <c r="P137" s="80" t="s">
        <v>141</v>
      </c>
      <c r="Q137" s="80" t="s">
        <v>134</v>
      </c>
      <c r="R137" s="82" t="n">
        <v>45885</v>
      </c>
      <c r="S137" s="82" t="n">
        <v>45885</v>
      </c>
      <c r="T137" s="80" t="s">
        <v>389</v>
      </c>
      <c r="U137" s="80" t="s">
        <v>105</v>
      </c>
      <c r="V137" s="82" t="n">
        <v>45895</v>
      </c>
      <c r="W137" s="80" t="s">
        <v>399</v>
      </c>
      <c r="X137" s="80" t="s">
        <v>105</v>
      </c>
      <c r="Y137" s="80"/>
      <c r="Z137" s="80"/>
      <c r="AA137" s="82"/>
      <c r="AB137" s="80"/>
      <c r="AC137" s="80"/>
      <c r="AD137" s="80"/>
      <c r="AE137" s="80"/>
      <c r="AF137" s="82"/>
      <c r="AG137" s="80"/>
      <c r="AH137" s="80"/>
      <c r="AI137" s="82"/>
      <c r="AJ137" s="79"/>
      <c r="AK137" s="78" t="n">
        <f aca="false">IF(E137="","",(X137&lt;&gt;"")+(AC137&lt;&gt;"")+(AH137&lt;&gt;""))</f>
        <v>1</v>
      </c>
      <c r="AL137" s="81" t="str">
        <f aca="false">IF(AH137&lt;&gt;"",AH137,IF(AC137&lt;&gt;"",AC137,IF(X137&lt;&gt;"",X137,"")))</f>
        <v>A</v>
      </c>
      <c r="AM137" s="83" t="str">
        <f aca="false">IF(E137="","",IF(R137="","À SOUDER",IF(U137="","VT EN ATTENTE",IF(U137="R","VT REJETÉ – À REPRENDRE",IF(AL137="","À RADIOGRAPHIER",IF(AL137="A","ACCEPTÉ",IF(AL137="NX","NX – RT À REFAIRE",IF(IF(AK137=1,Z137,IF(AK137=2,AE137,""))="A","RÉPARÉ – À RADIOGRAPHIER",IF(IF(AK137=1,Z137,IF(AK137=2,AE137,""))="R","VT REJETÉ – À REPRENDRE",IF(OR(AL137="CO",AL137="NT"),"COUPE – À RESOUDER","À RÉPARER"))))))))))</f>
        <v>ACCEPTÉ</v>
      </c>
      <c r="AN137" s="81" t="str">
        <f aca="false">IF(AND(ISNUMBER(R137),OR(AM137="À RADIOGRAPHIER",AM137="RÉPARÉ – À RADIOGRAPHIER",AM137="NX – RT À REFAIRE",AM137="À RÉPARER",AM137="COUPE – À RESOUDER",AM137="VT REJETÉ – À REPRENDRE")),MAX(0,'PROGRAMME RT'!$C$4-R137),"")</f>
        <v/>
      </c>
      <c r="AO137" s="78" t="n">
        <f aca="false">IF(AND(OR(AM137="À RADIOGRAPHIER",AM137="RÉPARÉ – À RADIOGRAPHIER",AM137="NX – RT À REFAIRE"),OR('PROGRAMME RT'!$D$5="TOUTES",B137='PROGRAMME RT'!$D$5)),1,0)</f>
        <v>0</v>
      </c>
      <c r="AP137" s="78" t="str">
        <f aca="false">IF(AO137=1,SUM(AO$7:AO137),"")</f>
        <v/>
      </c>
      <c r="AQ137" s="78" t="n">
        <f aca="false">IF(AND(OR(X137="R",X137="NX",X137="NT",X137="CO"),OR('JOINTS DE RÉPARATION'!$D$5="TOUTES",B137='JOINTS DE RÉPARATION'!$D$5),OR('JOINTS DE RÉPARATION'!$L$4="TOUS",AM137&lt;&gt;"ACCEPTÉ")),1,0)</f>
        <v>0</v>
      </c>
      <c r="AR137" s="78" t="str">
        <f aca="false">IF(AQ137=1,SUM(AQ$7:AQ137),"")</f>
        <v/>
      </c>
    </row>
    <row r="138" customFormat="false" ht="15" hidden="false" customHeight="false" outlineLevel="0" collapsed="false">
      <c r="A138" s="78" t="n">
        <f aca="false">IF(E138="","",ROW()-6)</f>
        <v>132</v>
      </c>
      <c r="B138" s="79" t="s">
        <v>102</v>
      </c>
      <c r="C138" s="80" t="s">
        <v>231</v>
      </c>
      <c r="D138" s="80" t="s">
        <v>318</v>
      </c>
      <c r="E138" s="80" t="s">
        <v>414</v>
      </c>
      <c r="F138" s="80" t="s">
        <v>151</v>
      </c>
      <c r="G138" s="80" t="s">
        <v>106</v>
      </c>
      <c r="H138" s="80" t="n">
        <v>11</v>
      </c>
      <c r="I138" s="80" t="s">
        <v>114</v>
      </c>
      <c r="J138" s="80" t="s">
        <v>132</v>
      </c>
      <c r="K138" s="80" t="s">
        <v>413</v>
      </c>
      <c r="L138" s="84" t="n">
        <f aca="false">IF(K138="","",IFERROR(INDEX(BARDAGE!$C$7:$C$1506,MATCH(K138,BARDAGE!$B$7:$B$1506,0)),"? hors registre"))</f>
        <v>24803579</v>
      </c>
      <c r="M138" s="80" t="s">
        <v>415</v>
      </c>
      <c r="N138" s="84" t="n">
        <f aca="false">IF(M138="","",IFERROR(INDEX(BARDAGE!$C$7:$C$1506,MATCH(M138,BARDAGE!$B$7:$B$1506,0)),"? hors registre"))</f>
        <v>24703653</v>
      </c>
      <c r="O138" s="80" t="s">
        <v>141</v>
      </c>
      <c r="P138" s="80" t="s">
        <v>141</v>
      </c>
      <c r="Q138" s="80" t="s">
        <v>204</v>
      </c>
      <c r="R138" s="82" t="n">
        <v>45885</v>
      </c>
      <c r="S138" s="82" t="n">
        <v>45885</v>
      </c>
      <c r="T138" s="80" t="s">
        <v>389</v>
      </c>
      <c r="U138" s="80" t="s">
        <v>105</v>
      </c>
      <c r="V138" s="82" t="n">
        <v>45895</v>
      </c>
      <c r="W138" s="80" t="s">
        <v>399</v>
      </c>
      <c r="X138" s="80" t="s">
        <v>105</v>
      </c>
      <c r="Y138" s="80"/>
      <c r="Z138" s="80"/>
      <c r="AA138" s="82"/>
      <c r="AB138" s="80"/>
      <c r="AC138" s="80"/>
      <c r="AD138" s="80"/>
      <c r="AE138" s="80"/>
      <c r="AF138" s="82"/>
      <c r="AG138" s="80"/>
      <c r="AH138" s="80"/>
      <c r="AI138" s="82"/>
      <c r="AJ138" s="79"/>
      <c r="AK138" s="78" t="n">
        <f aca="false">IF(E138="","",(X138&lt;&gt;"")+(AC138&lt;&gt;"")+(AH138&lt;&gt;""))</f>
        <v>1</v>
      </c>
      <c r="AL138" s="81" t="str">
        <f aca="false">IF(AH138&lt;&gt;"",AH138,IF(AC138&lt;&gt;"",AC138,IF(X138&lt;&gt;"",X138,"")))</f>
        <v>A</v>
      </c>
      <c r="AM138" s="83" t="str">
        <f aca="false">IF(E138="","",IF(R138="","À SOUDER",IF(U138="","VT EN ATTENTE",IF(U138="R","VT REJETÉ – À REPRENDRE",IF(AL138="","À RADIOGRAPHIER",IF(AL138="A","ACCEPTÉ",IF(AL138="NX","NX – RT À REFAIRE",IF(IF(AK138=1,Z138,IF(AK138=2,AE138,""))="A","RÉPARÉ – À RADIOGRAPHIER",IF(IF(AK138=1,Z138,IF(AK138=2,AE138,""))="R","VT REJETÉ – À REPRENDRE",IF(OR(AL138="CO",AL138="NT"),"COUPE – À RESOUDER","À RÉPARER"))))))))))</f>
        <v>ACCEPTÉ</v>
      </c>
      <c r="AN138" s="81" t="str">
        <f aca="false">IF(AND(ISNUMBER(R138),OR(AM138="À RADIOGRAPHIER",AM138="RÉPARÉ – À RADIOGRAPHIER",AM138="NX – RT À REFAIRE",AM138="À RÉPARER",AM138="COUPE – À RESOUDER",AM138="VT REJETÉ – À REPRENDRE")),MAX(0,'PROGRAMME RT'!$C$4-R138),"")</f>
        <v/>
      </c>
      <c r="AO138" s="78" t="n">
        <f aca="false">IF(AND(OR(AM138="À RADIOGRAPHIER",AM138="RÉPARÉ – À RADIOGRAPHIER",AM138="NX – RT À REFAIRE"),OR('PROGRAMME RT'!$D$5="TOUTES",B138='PROGRAMME RT'!$D$5)),1,0)</f>
        <v>0</v>
      </c>
      <c r="AP138" s="78" t="str">
        <f aca="false">IF(AO138=1,SUM(AO$7:AO138),"")</f>
        <v/>
      </c>
      <c r="AQ138" s="78" t="n">
        <f aca="false">IF(AND(OR(X138="R",X138="NX",X138="NT",X138="CO"),OR('JOINTS DE RÉPARATION'!$D$5="TOUTES",B138='JOINTS DE RÉPARATION'!$D$5),OR('JOINTS DE RÉPARATION'!$L$4="TOUS",AM138&lt;&gt;"ACCEPTÉ")),1,0)</f>
        <v>0</v>
      </c>
      <c r="AR138" s="78" t="str">
        <f aca="false">IF(AQ138=1,SUM(AQ$7:AQ138),"")</f>
        <v/>
      </c>
    </row>
    <row r="139" customFormat="false" ht="15" hidden="false" customHeight="false" outlineLevel="0" collapsed="false">
      <c r="A139" s="78" t="n">
        <f aca="false">IF(E139="","",ROW()-6)</f>
        <v>133</v>
      </c>
      <c r="B139" s="79" t="s">
        <v>102</v>
      </c>
      <c r="C139" s="80" t="s">
        <v>231</v>
      </c>
      <c r="D139" s="80" t="s">
        <v>318</v>
      </c>
      <c r="E139" s="80" t="s">
        <v>416</v>
      </c>
      <c r="F139" s="80" t="s">
        <v>151</v>
      </c>
      <c r="G139" s="80" t="s">
        <v>106</v>
      </c>
      <c r="H139" s="80" t="n">
        <v>11</v>
      </c>
      <c r="I139" s="80" t="s">
        <v>114</v>
      </c>
      <c r="J139" s="80" t="s">
        <v>132</v>
      </c>
      <c r="K139" s="80" t="s">
        <v>415</v>
      </c>
      <c r="L139" s="84" t="n">
        <f aca="false">IF(K139="","",IFERROR(INDEX(BARDAGE!$C$7:$C$1506,MATCH(K139,BARDAGE!$B$7:$B$1506,0)),"? hors registre"))</f>
        <v>24703653</v>
      </c>
      <c r="M139" s="80" t="s">
        <v>417</v>
      </c>
      <c r="N139" s="84" t="n">
        <f aca="false">IF(M139="","",IFERROR(INDEX(BARDAGE!$C$7:$C$1506,MATCH(M139,BARDAGE!$B$7:$B$1506,0)),"? hors registre"))</f>
        <v>24703653</v>
      </c>
      <c r="O139" s="80" t="s">
        <v>141</v>
      </c>
      <c r="P139" s="80" t="s">
        <v>141</v>
      </c>
      <c r="Q139" s="80" t="s">
        <v>125</v>
      </c>
      <c r="R139" s="82" t="n">
        <v>45885</v>
      </c>
      <c r="S139" s="82" t="n">
        <v>45885</v>
      </c>
      <c r="T139" s="80" t="s">
        <v>389</v>
      </c>
      <c r="U139" s="80" t="s">
        <v>105</v>
      </c>
      <c r="V139" s="82" t="n">
        <v>45895</v>
      </c>
      <c r="W139" s="80" t="s">
        <v>399</v>
      </c>
      <c r="X139" s="80" t="s">
        <v>105</v>
      </c>
      <c r="Y139" s="80"/>
      <c r="Z139" s="80"/>
      <c r="AA139" s="82"/>
      <c r="AB139" s="80"/>
      <c r="AC139" s="80"/>
      <c r="AD139" s="80"/>
      <c r="AE139" s="80"/>
      <c r="AF139" s="82"/>
      <c r="AG139" s="80"/>
      <c r="AH139" s="80"/>
      <c r="AI139" s="82"/>
      <c r="AJ139" s="79"/>
      <c r="AK139" s="78" t="n">
        <f aca="false">IF(E139="","",(X139&lt;&gt;"")+(AC139&lt;&gt;"")+(AH139&lt;&gt;""))</f>
        <v>1</v>
      </c>
      <c r="AL139" s="81" t="str">
        <f aca="false">IF(AH139&lt;&gt;"",AH139,IF(AC139&lt;&gt;"",AC139,IF(X139&lt;&gt;"",X139,"")))</f>
        <v>A</v>
      </c>
      <c r="AM139" s="83" t="str">
        <f aca="false">IF(E139="","",IF(R139="","À SOUDER",IF(U139="","VT EN ATTENTE",IF(U139="R","VT REJETÉ – À REPRENDRE",IF(AL139="","À RADIOGRAPHIER",IF(AL139="A","ACCEPTÉ",IF(AL139="NX","NX – RT À REFAIRE",IF(IF(AK139=1,Z139,IF(AK139=2,AE139,""))="A","RÉPARÉ – À RADIOGRAPHIER",IF(IF(AK139=1,Z139,IF(AK139=2,AE139,""))="R","VT REJETÉ – À REPRENDRE",IF(OR(AL139="CO",AL139="NT"),"COUPE – À RESOUDER","À RÉPARER"))))))))))</f>
        <v>ACCEPTÉ</v>
      </c>
      <c r="AN139" s="81" t="str">
        <f aca="false">IF(AND(ISNUMBER(R139),OR(AM139="À RADIOGRAPHIER",AM139="RÉPARÉ – À RADIOGRAPHIER",AM139="NX – RT À REFAIRE",AM139="À RÉPARER",AM139="COUPE – À RESOUDER",AM139="VT REJETÉ – À REPRENDRE")),MAX(0,'PROGRAMME RT'!$C$4-R139),"")</f>
        <v/>
      </c>
      <c r="AO139" s="78" t="n">
        <f aca="false">IF(AND(OR(AM139="À RADIOGRAPHIER",AM139="RÉPARÉ – À RADIOGRAPHIER",AM139="NX – RT À REFAIRE"),OR('PROGRAMME RT'!$D$5="TOUTES",B139='PROGRAMME RT'!$D$5)),1,0)</f>
        <v>0</v>
      </c>
      <c r="AP139" s="78" t="str">
        <f aca="false">IF(AO139=1,SUM(AO$7:AO139),"")</f>
        <v/>
      </c>
      <c r="AQ139" s="78" t="n">
        <f aca="false">IF(AND(OR(X139="R",X139="NX",X139="NT",X139="CO"),OR('JOINTS DE RÉPARATION'!$D$5="TOUTES",B139='JOINTS DE RÉPARATION'!$D$5),OR('JOINTS DE RÉPARATION'!$L$4="TOUS",AM139&lt;&gt;"ACCEPTÉ")),1,0)</f>
        <v>0</v>
      </c>
      <c r="AR139" s="78" t="str">
        <f aca="false">IF(AQ139=1,SUM(AQ$7:AQ139),"")</f>
        <v/>
      </c>
    </row>
    <row r="140" customFormat="false" ht="15" hidden="false" customHeight="false" outlineLevel="0" collapsed="false">
      <c r="A140" s="78" t="n">
        <f aca="false">IF(E140="","",ROW()-6)</f>
        <v>134</v>
      </c>
      <c r="B140" s="79" t="s">
        <v>102</v>
      </c>
      <c r="C140" s="80" t="s">
        <v>231</v>
      </c>
      <c r="D140" s="80" t="s">
        <v>318</v>
      </c>
      <c r="E140" s="80" t="s">
        <v>418</v>
      </c>
      <c r="F140" s="80" t="s">
        <v>151</v>
      </c>
      <c r="G140" s="80" t="s">
        <v>106</v>
      </c>
      <c r="H140" s="80" t="n">
        <v>11</v>
      </c>
      <c r="I140" s="80" t="s">
        <v>114</v>
      </c>
      <c r="J140" s="80" t="s">
        <v>132</v>
      </c>
      <c r="K140" s="80" t="s">
        <v>417</v>
      </c>
      <c r="L140" s="84" t="n">
        <f aca="false">IF(K140="","",IFERROR(INDEX(BARDAGE!$C$7:$C$1506,MATCH(K140,BARDAGE!$B$7:$B$1506,0)),"? hors registre"))</f>
        <v>24703653</v>
      </c>
      <c r="M140" s="80" t="s">
        <v>419</v>
      </c>
      <c r="N140" s="84" t="n">
        <f aca="false">IF(M140="","",IFERROR(INDEX(BARDAGE!$C$7:$C$1506,MATCH(M140,BARDAGE!$B$7:$B$1506,0)),"? hors registre"))</f>
        <v>24803579</v>
      </c>
      <c r="O140" s="80" t="s">
        <v>141</v>
      </c>
      <c r="P140" s="80" t="s">
        <v>141</v>
      </c>
      <c r="Q140" s="80" t="s">
        <v>134</v>
      </c>
      <c r="R140" s="82" t="n">
        <v>45886</v>
      </c>
      <c r="S140" s="82" t="n">
        <v>45886</v>
      </c>
      <c r="T140" s="80" t="s">
        <v>420</v>
      </c>
      <c r="U140" s="80" t="s">
        <v>105</v>
      </c>
      <c r="V140" s="82" t="n">
        <v>45895</v>
      </c>
      <c r="W140" s="80" t="s">
        <v>399</v>
      </c>
      <c r="X140" s="80" t="s">
        <v>105</v>
      </c>
      <c r="Y140" s="80"/>
      <c r="Z140" s="80"/>
      <c r="AA140" s="82"/>
      <c r="AB140" s="80"/>
      <c r="AC140" s="80"/>
      <c r="AD140" s="80"/>
      <c r="AE140" s="80"/>
      <c r="AF140" s="82"/>
      <c r="AG140" s="80"/>
      <c r="AH140" s="80"/>
      <c r="AI140" s="82"/>
      <c r="AJ140" s="79"/>
      <c r="AK140" s="78" t="n">
        <f aca="false">IF(E140="","",(X140&lt;&gt;"")+(AC140&lt;&gt;"")+(AH140&lt;&gt;""))</f>
        <v>1</v>
      </c>
      <c r="AL140" s="81" t="str">
        <f aca="false">IF(AH140&lt;&gt;"",AH140,IF(AC140&lt;&gt;"",AC140,IF(X140&lt;&gt;"",X140,"")))</f>
        <v>A</v>
      </c>
      <c r="AM140" s="83" t="str">
        <f aca="false">IF(E140="","",IF(R140="","À SOUDER",IF(U140="","VT EN ATTENTE",IF(U140="R","VT REJETÉ – À REPRENDRE",IF(AL140="","À RADIOGRAPHIER",IF(AL140="A","ACCEPTÉ",IF(AL140="NX","NX – RT À REFAIRE",IF(IF(AK140=1,Z140,IF(AK140=2,AE140,""))="A","RÉPARÉ – À RADIOGRAPHIER",IF(IF(AK140=1,Z140,IF(AK140=2,AE140,""))="R","VT REJETÉ – À REPRENDRE",IF(OR(AL140="CO",AL140="NT"),"COUPE – À RESOUDER","À RÉPARER"))))))))))</f>
        <v>ACCEPTÉ</v>
      </c>
      <c r="AN140" s="81" t="str">
        <f aca="false">IF(AND(ISNUMBER(R140),OR(AM140="À RADIOGRAPHIER",AM140="RÉPARÉ – À RADIOGRAPHIER",AM140="NX – RT À REFAIRE",AM140="À RÉPARER",AM140="COUPE – À RESOUDER",AM140="VT REJETÉ – À REPRENDRE")),MAX(0,'PROGRAMME RT'!$C$4-R140),"")</f>
        <v/>
      </c>
      <c r="AO140" s="78" t="n">
        <f aca="false">IF(AND(OR(AM140="À RADIOGRAPHIER",AM140="RÉPARÉ – À RADIOGRAPHIER",AM140="NX – RT À REFAIRE"),OR('PROGRAMME RT'!$D$5="TOUTES",B140='PROGRAMME RT'!$D$5)),1,0)</f>
        <v>0</v>
      </c>
      <c r="AP140" s="78" t="str">
        <f aca="false">IF(AO140=1,SUM(AO$7:AO140),"")</f>
        <v/>
      </c>
      <c r="AQ140" s="78" t="n">
        <f aca="false">IF(AND(OR(X140="R",X140="NX",X140="NT",X140="CO"),OR('JOINTS DE RÉPARATION'!$D$5="TOUTES",B140='JOINTS DE RÉPARATION'!$D$5),OR('JOINTS DE RÉPARATION'!$L$4="TOUS",AM140&lt;&gt;"ACCEPTÉ")),1,0)</f>
        <v>0</v>
      </c>
      <c r="AR140" s="78" t="str">
        <f aca="false">IF(AQ140=1,SUM(AQ$7:AQ140),"")</f>
        <v/>
      </c>
    </row>
    <row r="141" customFormat="false" ht="15" hidden="false" customHeight="false" outlineLevel="0" collapsed="false">
      <c r="A141" s="78" t="n">
        <f aca="false">IF(E141="","",ROW()-6)</f>
        <v>135</v>
      </c>
      <c r="B141" s="79" t="s">
        <v>102</v>
      </c>
      <c r="C141" s="80" t="s">
        <v>231</v>
      </c>
      <c r="D141" s="80" t="s">
        <v>318</v>
      </c>
      <c r="E141" s="80" t="s">
        <v>421</v>
      </c>
      <c r="F141" s="80" t="s">
        <v>151</v>
      </c>
      <c r="G141" s="80" t="s">
        <v>106</v>
      </c>
      <c r="H141" s="80" t="n">
        <v>11</v>
      </c>
      <c r="I141" s="80" t="s">
        <v>114</v>
      </c>
      <c r="J141" s="80" t="s">
        <v>132</v>
      </c>
      <c r="K141" s="80" t="s">
        <v>419</v>
      </c>
      <c r="L141" s="84" t="n">
        <f aca="false">IF(K141="","",IFERROR(INDEX(BARDAGE!$C$7:$C$1506,MATCH(K141,BARDAGE!$B$7:$B$1506,0)),"? hors registre"))</f>
        <v>24803579</v>
      </c>
      <c r="M141" s="80" t="s">
        <v>422</v>
      </c>
      <c r="N141" s="84" t="n">
        <f aca="false">IF(M141="","",IFERROR(INDEX(BARDAGE!$C$7:$C$1506,MATCH(M141,BARDAGE!$B$7:$B$1506,0)),"? hors registre"))</f>
        <v>24703653</v>
      </c>
      <c r="O141" s="80" t="s">
        <v>141</v>
      </c>
      <c r="P141" s="80" t="s">
        <v>141</v>
      </c>
      <c r="Q141" s="80" t="s">
        <v>125</v>
      </c>
      <c r="R141" s="82" t="n">
        <v>45886</v>
      </c>
      <c r="S141" s="82" t="n">
        <v>45886</v>
      </c>
      <c r="T141" s="80" t="s">
        <v>420</v>
      </c>
      <c r="U141" s="80" t="s">
        <v>105</v>
      </c>
      <c r="V141" s="82" t="n">
        <v>45895</v>
      </c>
      <c r="W141" s="80" t="s">
        <v>399</v>
      </c>
      <c r="X141" s="80" t="s">
        <v>105</v>
      </c>
      <c r="Y141" s="80"/>
      <c r="Z141" s="80"/>
      <c r="AA141" s="82"/>
      <c r="AB141" s="80"/>
      <c r="AC141" s="80"/>
      <c r="AD141" s="80"/>
      <c r="AE141" s="80"/>
      <c r="AF141" s="82"/>
      <c r="AG141" s="80"/>
      <c r="AH141" s="80"/>
      <c r="AI141" s="82"/>
      <c r="AJ141" s="79"/>
      <c r="AK141" s="78" t="n">
        <f aca="false">IF(E141="","",(X141&lt;&gt;"")+(AC141&lt;&gt;"")+(AH141&lt;&gt;""))</f>
        <v>1</v>
      </c>
      <c r="AL141" s="81" t="str">
        <f aca="false">IF(AH141&lt;&gt;"",AH141,IF(AC141&lt;&gt;"",AC141,IF(X141&lt;&gt;"",X141,"")))</f>
        <v>A</v>
      </c>
      <c r="AM141" s="83" t="str">
        <f aca="false">IF(E141="","",IF(R141="","À SOUDER",IF(U141="","VT EN ATTENTE",IF(U141="R","VT REJETÉ – À REPRENDRE",IF(AL141="","À RADIOGRAPHIER",IF(AL141="A","ACCEPTÉ",IF(AL141="NX","NX – RT À REFAIRE",IF(IF(AK141=1,Z141,IF(AK141=2,AE141,""))="A","RÉPARÉ – À RADIOGRAPHIER",IF(IF(AK141=1,Z141,IF(AK141=2,AE141,""))="R","VT REJETÉ – À REPRENDRE",IF(OR(AL141="CO",AL141="NT"),"COUPE – À RESOUDER","À RÉPARER"))))))))))</f>
        <v>ACCEPTÉ</v>
      </c>
      <c r="AN141" s="81" t="str">
        <f aca="false">IF(AND(ISNUMBER(R141),OR(AM141="À RADIOGRAPHIER",AM141="RÉPARÉ – À RADIOGRAPHIER",AM141="NX – RT À REFAIRE",AM141="À RÉPARER",AM141="COUPE – À RESOUDER",AM141="VT REJETÉ – À REPRENDRE")),MAX(0,'PROGRAMME RT'!$C$4-R141),"")</f>
        <v/>
      </c>
      <c r="AO141" s="78" t="n">
        <f aca="false">IF(AND(OR(AM141="À RADIOGRAPHIER",AM141="RÉPARÉ – À RADIOGRAPHIER",AM141="NX – RT À REFAIRE"),OR('PROGRAMME RT'!$D$5="TOUTES",B141='PROGRAMME RT'!$D$5)),1,0)</f>
        <v>0</v>
      </c>
      <c r="AP141" s="78" t="str">
        <f aca="false">IF(AO141=1,SUM(AO$7:AO141),"")</f>
        <v/>
      </c>
      <c r="AQ141" s="78" t="n">
        <f aca="false">IF(AND(OR(X141="R",X141="NX",X141="NT",X141="CO"),OR('JOINTS DE RÉPARATION'!$D$5="TOUTES",B141='JOINTS DE RÉPARATION'!$D$5),OR('JOINTS DE RÉPARATION'!$L$4="TOUS",AM141&lt;&gt;"ACCEPTÉ")),1,0)</f>
        <v>0</v>
      </c>
      <c r="AR141" s="78" t="str">
        <f aca="false">IF(AQ141=1,SUM(AQ$7:AQ141),"")</f>
        <v/>
      </c>
    </row>
    <row r="142" customFormat="false" ht="15" hidden="false" customHeight="false" outlineLevel="0" collapsed="false">
      <c r="A142" s="78" t="n">
        <f aca="false">IF(E142="","",ROW()-6)</f>
        <v>136</v>
      </c>
      <c r="B142" s="79" t="s">
        <v>102</v>
      </c>
      <c r="C142" s="80" t="s">
        <v>231</v>
      </c>
      <c r="D142" s="80" t="s">
        <v>318</v>
      </c>
      <c r="E142" s="80" t="s">
        <v>423</v>
      </c>
      <c r="F142" s="80" t="s">
        <v>151</v>
      </c>
      <c r="G142" s="80" t="s">
        <v>106</v>
      </c>
      <c r="H142" s="80" t="n">
        <v>11</v>
      </c>
      <c r="I142" s="80" t="s">
        <v>114</v>
      </c>
      <c r="J142" s="80" t="s">
        <v>132</v>
      </c>
      <c r="K142" s="80" t="s">
        <v>422</v>
      </c>
      <c r="L142" s="84" t="n">
        <f aca="false">IF(K142="","",IFERROR(INDEX(BARDAGE!$C$7:$C$1506,MATCH(K142,BARDAGE!$B$7:$B$1506,0)),"? hors registre"))</f>
        <v>24703653</v>
      </c>
      <c r="M142" s="80" t="s">
        <v>424</v>
      </c>
      <c r="N142" s="84" t="n">
        <f aca="false">IF(M142="","",IFERROR(INDEX(BARDAGE!$C$7:$C$1506,MATCH(M142,BARDAGE!$B$7:$B$1506,0)),"? hors registre"))</f>
        <v>24803590</v>
      </c>
      <c r="O142" s="80" t="s">
        <v>141</v>
      </c>
      <c r="P142" s="80" t="s">
        <v>141</v>
      </c>
      <c r="Q142" s="80" t="s">
        <v>125</v>
      </c>
      <c r="R142" s="82" t="n">
        <v>45886</v>
      </c>
      <c r="S142" s="82" t="n">
        <v>45886</v>
      </c>
      <c r="T142" s="80" t="s">
        <v>420</v>
      </c>
      <c r="U142" s="80" t="s">
        <v>105</v>
      </c>
      <c r="V142" s="82" t="n">
        <v>45895</v>
      </c>
      <c r="W142" s="80" t="s">
        <v>399</v>
      </c>
      <c r="X142" s="80" t="s">
        <v>105</v>
      </c>
      <c r="Y142" s="80"/>
      <c r="Z142" s="80"/>
      <c r="AA142" s="82"/>
      <c r="AB142" s="80"/>
      <c r="AC142" s="80"/>
      <c r="AD142" s="80"/>
      <c r="AE142" s="80"/>
      <c r="AF142" s="82"/>
      <c r="AG142" s="80"/>
      <c r="AH142" s="80"/>
      <c r="AI142" s="82"/>
      <c r="AJ142" s="79"/>
      <c r="AK142" s="78" t="n">
        <f aca="false">IF(E142="","",(X142&lt;&gt;"")+(AC142&lt;&gt;"")+(AH142&lt;&gt;""))</f>
        <v>1</v>
      </c>
      <c r="AL142" s="81" t="str">
        <f aca="false">IF(AH142&lt;&gt;"",AH142,IF(AC142&lt;&gt;"",AC142,IF(X142&lt;&gt;"",X142,"")))</f>
        <v>A</v>
      </c>
      <c r="AM142" s="83" t="str">
        <f aca="false">IF(E142="","",IF(R142="","À SOUDER",IF(U142="","VT EN ATTENTE",IF(U142="R","VT REJETÉ – À REPRENDRE",IF(AL142="","À RADIOGRAPHIER",IF(AL142="A","ACCEPTÉ",IF(AL142="NX","NX – RT À REFAIRE",IF(IF(AK142=1,Z142,IF(AK142=2,AE142,""))="A","RÉPARÉ – À RADIOGRAPHIER",IF(IF(AK142=1,Z142,IF(AK142=2,AE142,""))="R","VT REJETÉ – À REPRENDRE",IF(OR(AL142="CO",AL142="NT"),"COUPE – À RESOUDER","À RÉPARER"))))))))))</f>
        <v>ACCEPTÉ</v>
      </c>
      <c r="AN142" s="81" t="str">
        <f aca="false">IF(AND(ISNUMBER(R142),OR(AM142="À RADIOGRAPHIER",AM142="RÉPARÉ – À RADIOGRAPHIER",AM142="NX – RT À REFAIRE",AM142="À RÉPARER",AM142="COUPE – À RESOUDER",AM142="VT REJETÉ – À REPRENDRE")),MAX(0,'PROGRAMME RT'!$C$4-R142),"")</f>
        <v/>
      </c>
      <c r="AO142" s="78" t="n">
        <f aca="false">IF(AND(OR(AM142="À RADIOGRAPHIER",AM142="RÉPARÉ – À RADIOGRAPHIER",AM142="NX – RT À REFAIRE"),OR('PROGRAMME RT'!$D$5="TOUTES",B142='PROGRAMME RT'!$D$5)),1,0)</f>
        <v>0</v>
      </c>
      <c r="AP142" s="78" t="str">
        <f aca="false">IF(AO142=1,SUM(AO$7:AO142),"")</f>
        <v/>
      </c>
      <c r="AQ142" s="78" t="n">
        <f aca="false">IF(AND(OR(X142="R",X142="NX",X142="NT",X142="CO"),OR('JOINTS DE RÉPARATION'!$D$5="TOUTES",B142='JOINTS DE RÉPARATION'!$D$5),OR('JOINTS DE RÉPARATION'!$L$4="TOUS",AM142&lt;&gt;"ACCEPTÉ")),1,0)</f>
        <v>0</v>
      </c>
      <c r="AR142" s="78" t="str">
        <f aca="false">IF(AQ142=1,SUM(AQ$7:AQ142),"")</f>
        <v/>
      </c>
    </row>
    <row r="143" customFormat="false" ht="15" hidden="false" customHeight="false" outlineLevel="0" collapsed="false">
      <c r="A143" s="78" t="n">
        <f aca="false">IF(E143="","",ROW()-6)</f>
        <v>137</v>
      </c>
      <c r="B143" s="79" t="s">
        <v>102</v>
      </c>
      <c r="C143" s="80"/>
      <c r="D143" s="80" t="s">
        <v>318</v>
      </c>
      <c r="E143" s="80" t="s">
        <v>425</v>
      </c>
      <c r="F143" s="80" t="s">
        <v>151</v>
      </c>
      <c r="G143" s="80" t="s">
        <v>106</v>
      </c>
      <c r="H143" s="80" t="n">
        <v>11</v>
      </c>
      <c r="I143" s="80" t="s">
        <v>114</v>
      </c>
      <c r="J143" s="80" t="s">
        <v>115</v>
      </c>
      <c r="K143" s="80" t="s">
        <v>424</v>
      </c>
      <c r="L143" s="84" t="n">
        <f aca="false">IF(K143="","",IFERROR(INDEX(BARDAGE!$C$7:$C$1506,MATCH(K143,BARDAGE!$B$7:$B$1506,0)),"? hors registre"))</f>
        <v>24803590</v>
      </c>
      <c r="M143" s="80" t="s">
        <v>426</v>
      </c>
      <c r="N143" s="81" t="str">
        <f aca="false">IF(M143="","",IFERROR(INDEX(BARDAGE!$C$7:$C$1506,MATCH(M143,BARDAGE!$B$7:$B$1506,0)),"? hors registre"))</f>
        <v>? hors registre</v>
      </c>
      <c r="O143" s="80" t="s">
        <v>125</v>
      </c>
      <c r="P143" s="80" t="s">
        <v>125</v>
      </c>
      <c r="Q143" s="80" t="s">
        <v>125</v>
      </c>
      <c r="R143" s="82" t="n">
        <v>45911</v>
      </c>
      <c r="S143" s="82" t="n">
        <v>45911</v>
      </c>
      <c r="T143" s="80" t="s">
        <v>427</v>
      </c>
      <c r="U143" s="80" t="s">
        <v>105</v>
      </c>
      <c r="V143" s="82"/>
      <c r="W143" s="80"/>
      <c r="X143" s="80"/>
      <c r="Y143" s="80"/>
      <c r="Z143" s="80"/>
      <c r="AA143" s="82"/>
      <c r="AB143" s="80"/>
      <c r="AC143" s="80"/>
      <c r="AD143" s="80"/>
      <c r="AE143" s="80"/>
      <c r="AF143" s="82"/>
      <c r="AG143" s="80"/>
      <c r="AH143" s="80"/>
      <c r="AI143" s="82"/>
      <c r="AJ143" s="79"/>
      <c r="AK143" s="78" t="n">
        <f aca="false">IF(E143="","",(X143&lt;&gt;"")+(AC143&lt;&gt;"")+(AH143&lt;&gt;""))</f>
        <v>0</v>
      </c>
      <c r="AL143" s="81" t="str">
        <f aca="false">IF(AH143&lt;&gt;"",AH143,IF(AC143&lt;&gt;"",AC143,IF(X143&lt;&gt;"",X143,"")))</f>
        <v/>
      </c>
      <c r="AM143" s="83" t="str">
        <f aca="false">IF(E143="","",IF(R143="","À SOUDER",IF(U143="","VT EN ATTENTE",IF(U143="R","VT REJETÉ – À REPRENDRE",IF(AL143="","À RADIOGRAPHIER",IF(AL143="A","ACCEPTÉ",IF(AL143="NX","NX – RT À REFAIRE",IF(IF(AK143=1,Z143,IF(AK143=2,AE143,""))="A","RÉPARÉ – À RADIOGRAPHIER",IF(IF(AK143=1,Z143,IF(AK143=2,AE143,""))="R","VT REJETÉ – À REPRENDRE",IF(OR(AL143="CO",AL143="NT"),"COUPE – À RESOUDER","À RÉPARER"))))))))))</f>
        <v>À RADIOGRAPHIER</v>
      </c>
      <c r="AN143" s="81" t="n">
        <f aca="false">IF(AND(ISNUMBER(R143),OR(AM143="À RADIOGRAPHIER",AM143="RÉPARÉ – À RADIOGRAPHIER",AM143="NX – RT À REFAIRE",AM143="À RÉPARER",AM143="COUPE – À RESOUDER",AM143="VT REJETÉ – À REPRENDRE")),MAX(0,'PROGRAMME RT'!$C$4-R143),"")</f>
        <v>382</v>
      </c>
      <c r="AO143" s="78" t="n">
        <f aca="false">IF(AND(OR(AM143="À RADIOGRAPHIER",AM143="RÉPARÉ – À RADIOGRAPHIER",AM143="NX – RT À REFAIRE"),OR('PROGRAMME RT'!$D$5="TOUTES",B143='PROGRAMME RT'!$D$5)),1,0)</f>
        <v>1</v>
      </c>
      <c r="AP143" s="78" t="n">
        <f aca="false">IF(AO143=1,SUM(AO$7:AO143),"")</f>
        <v>2</v>
      </c>
      <c r="AQ143" s="78" t="n">
        <f aca="false">IF(AND(OR(X143="R",X143="NX",X143="NT",X143="CO"),OR('JOINTS DE RÉPARATION'!$D$5="TOUTES",B143='JOINTS DE RÉPARATION'!$D$5),OR('JOINTS DE RÉPARATION'!$L$4="TOUS",AM143&lt;&gt;"ACCEPTÉ")),1,0)</f>
        <v>0</v>
      </c>
      <c r="AR143" s="78" t="str">
        <f aca="false">IF(AQ143=1,SUM(AQ$7:AQ143),"")</f>
        <v/>
      </c>
    </row>
    <row r="144" customFormat="false" ht="15" hidden="false" customHeight="false" outlineLevel="0" collapsed="false">
      <c r="A144" s="78" t="n">
        <f aca="false">IF(E144="","",ROW()-6)</f>
        <v>138</v>
      </c>
      <c r="B144" s="79" t="s">
        <v>102</v>
      </c>
      <c r="C144" s="80" t="s">
        <v>428</v>
      </c>
      <c r="D144" s="80" t="s">
        <v>318</v>
      </c>
      <c r="E144" s="80" t="s">
        <v>429</v>
      </c>
      <c r="F144" s="80" t="s">
        <v>105</v>
      </c>
      <c r="G144" s="80" t="s">
        <v>106</v>
      </c>
      <c r="H144" s="80" t="n">
        <v>11</v>
      </c>
      <c r="I144" s="80" t="s">
        <v>114</v>
      </c>
      <c r="J144" s="80" t="s">
        <v>115</v>
      </c>
      <c r="K144" s="80" t="s">
        <v>426</v>
      </c>
      <c r="L144" s="81" t="str">
        <f aca="false">IF(K144="","",IFERROR(INDEX(BARDAGE!$C$7:$C$1506,MATCH(K144,BARDAGE!$B$7:$B$1506,0)),"? hors registre"))</f>
        <v>? hors registre</v>
      </c>
      <c r="M144" s="80" t="s">
        <v>430</v>
      </c>
      <c r="N144" s="84" t="n">
        <f aca="false">IF(M144="","",IFERROR(INDEX(BARDAGE!$C$7:$C$1506,MATCH(M144,BARDAGE!$B$7:$B$1506,0)),"? hors registre"))</f>
        <v>24803578</v>
      </c>
      <c r="O144" s="80" t="s">
        <v>204</v>
      </c>
      <c r="P144" s="80" t="s">
        <v>204</v>
      </c>
      <c r="Q144" s="80" t="s">
        <v>204</v>
      </c>
      <c r="R144" s="82" t="n">
        <v>45890</v>
      </c>
      <c r="S144" s="82" t="n">
        <v>45890</v>
      </c>
      <c r="T144" s="80" t="s">
        <v>431</v>
      </c>
      <c r="U144" s="80" t="s">
        <v>105</v>
      </c>
      <c r="V144" s="82" t="n">
        <v>45895</v>
      </c>
      <c r="W144" s="80" t="s">
        <v>432</v>
      </c>
      <c r="X144" s="80" t="s">
        <v>105</v>
      </c>
      <c r="Y144" s="80"/>
      <c r="Z144" s="80"/>
      <c r="AA144" s="82"/>
      <c r="AB144" s="80"/>
      <c r="AC144" s="80"/>
      <c r="AD144" s="80"/>
      <c r="AE144" s="80"/>
      <c r="AF144" s="82"/>
      <c r="AG144" s="80"/>
      <c r="AH144" s="80"/>
      <c r="AI144" s="82"/>
      <c r="AJ144" s="79"/>
      <c r="AK144" s="78" t="n">
        <f aca="false">IF(E144="","",(X144&lt;&gt;"")+(AC144&lt;&gt;"")+(AH144&lt;&gt;""))</f>
        <v>1</v>
      </c>
      <c r="AL144" s="81" t="str">
        <f aca="false">IF(AH144&lt;&gt;"",AH144,IF(AC144&lt;&gt;"",AC144,IF(X144&lt;&gt;"",X144,"")))</f>
        <v>A</v>
      </c>
      <c r="AM144" s="83" t="str">
        <f aca="false">IF(E144="","",IF(R144="","À SOUDER",IF(U144="","VT EN ATTENTE",IF(U144="R","VT REJETÉ – À REPRENDRE",IF(AL144="","À RADIOGRAPHIER",IF(AL144="A","ACCEPTÉ",IF(AL144="NX","NX – RT À REFAIRE",IF(IF(AK144=1,Z144,IF(AK144=2,AE144,""))="A","RÉPARÉ – À RADIOGRAPHIER",IF(IF(AK144=1,Z144,IF(AK144=2,AE144,""))="R","VT REJETÉ – À REPRENDRE",IF(OR(AL144="CO",AL144="NT"),"COUPE – À RESOUDER","À RÉPARER"))))))))))</f>
        <v>ACCEPTÉ</v>
      </c>
      <c r="AN144" s="81" t="str">
        <f aca="false">IF(AND(ISNUMBER(R144),OR(AM144="À RADIOGRAPHIER",AM144="RÉPARÉ – À RADIOGRAPHIER",AM144="NX – RT À REFAIRE",AM144="À RÉPARER",AM144="COUPE – À RESOUDER",AM144="VT REJETÉ – À REPRENDRE")),MAX(0,'PROGRAMME RT'!$C$4-R144),"")</f>
        <v/>
      </c>
      <c r="AO144" s="78" t="n">
        <f aca="false">IF(AND(OR(AM144="À RADIOGRAPHIER",AM144="RÉPARÉ – À RADIOGRAPHIER",AM144="NX – RT À REFAIRE"),OR('PROGRAMME RT'!$D$5="TOUTES",B144='PROGRAMME RT'!$D$5)),1,0)</f>
        <v>0</v>
      </c>
      <c r="AP144" s="78" t="str">
        <f aca="false">IF(AO144=1,SUM(AO$7:AO144),"")</f>
        <v/>
      </c>
      <c r="AQ144" s="78" t="n">
        <f aca="false">IF(AND(OR(X144="R",X144="NX",X144="NT",X144="CO"),OR('JOINTS DE RÉPARATION'!$D$5="TOUTES",B144='JOINTS DE RÉPARATION'!$D$5),OR('JOINTS DE RÉPARATION'!$L$4="TOUS",AM144&lt;&gt;"ACCEPTÉ")),1,0)</f>
        <v>0</v>
      </c>
      <c r="AR144" s="78" t="str">
        <f aca="false">IF(AQ144=1,SUM(AQ$7:AQ144),"")</f>
        <v/>
      </c>
    </row>
    <row r="145" customFormat="false" ht="15" hidden="false" customHeight="false" outlineLevel="0" collapsed="false">
      <c r="A145" s="78" t="n">
        <f aca="false">IF(E145="","",ROW()-6)</f>
        <v>139</v>
      </c>
      <c r="B145" s="79" t="s">
        <v>102</v>
      </c>
      <c r="C145" s="80" t="s">
        <v>428</v>
      </c>
      <c r="D145" s="80" t="s">
        <v>318</v>
      </c>
      <c r="E145" s="80" t="s">
        <v>433</v>
      </c>
      <c r="F145" s="80" t="s">
        <v>105</v>
      </c>
      <c r="G145" s="80" t="s">
        <v>106</v>
      </c>
      <c r="H145" s="80" t="n">
        <v>11</v>
      </c>
      <c r="I145" s="80" t="s">
        <v>114</v>
      </c>
      <c r="J145" s="80" t="s">
        <v>115</v>
      </c>
      <c r="K145" s="80" t="s">
        <v>430</v>
      </c>
      <c r="L145" s="84" t="n">
        <f aca="false">IF(K145="","",IFERROR(INDEX(BARDAGE!$C$7:$C$1506,MATCH(K145,BARDAGE!$B$7:$B$1506,0)),"? hors registre"))</f>
        <v>24803578</v>
      </c>
      <c r="M145" s="80" t="s">
        <v>434</v>
      </c>
      <c r="N145" s="84" t="n">
        <f aca="false">IF(M145="","",IFERROR(INDEX(BARDAGE!$C$7:$C$1506,MATCH(M145,BARDAGE!$B$7:$B$1506,0)),"? hors registre"))</f>
        <v>24803578</v>
      </c>
      <c r="O145" s="80" t="s">
        <v>204</v>
      </c>
      <c r="P145" s="80" t="s">
        <v>204</v>
      </c>
      <c r="Q145" s="80" t="s">
        <v>117</v>
      </c>
      <c r="R145" s="82" t="n">
        <v>45890</v>
      </c>
      <c r="S145" s="82" t="n">
        <v>45890</v>
      </c>
      <c r="T145" s="80" t="s">
        <v>431</v>
      </c>
      <c r="U145" s="80" t="s">
        <v>105</v>
      </c>
      <c r="V145" s="82" t="n">
        <v>45895</v>
      </c>
      <c r="W145" s="80" t="s">
        <v>432</v>
      </c>
      <c r="X145" s="80" t="s">
        <v>105</v>
      </c>
      <c r="Y145" s="80"/>
      <c r="Z145" s="80"/>
      <c r="AA145" s="82"/>
      <c r="AB145" s="80"/>
      <c r="AC145" s="80"/>
      <c r="AD145" s="80"/>
      <c r="AE145" s="80"/>
      <c r="AF145" s="82"/>
      <c r="AG145" s="80"/>
      <c r="AH145" s="80"/>
      <c r="AI145" s="82"/>
      <c r="AJ145" s="79"/>
      <c r="AK145" s="78" t="n">
        <f aca="false">IF(E145="","",(X145&lt;&gt;"")+(AC145&lt;&gt;"")+(AH145&lt;&gt;""))</f>
        <v>1</v>
      </c>
      <c r="AL145" s="81" t="str">
        <f aca="false">IF(AH145&lt;&gt;"",AH145,IF(AC145&lt;&gt;"",AC145,IF(X145&lt;&gt;"",X145,"")))</f>
        <v>A</v>
      </c>
      <c r="AM145" s="83" t="str">
        <f aca="false">IF(E145="","",IF(R145="","À SOUDER",IF(U145="","VT EN ATTENTE",IF(U145="R","VT REJETÉ – À REPRENDRE",IF(AL145="","À RADIOGRAPHIER",IF(AL145="A","ACCEPTÉ",IF(AL145="NX","NX – RT À REFAIRE",IF(IF(AK145=1,Z145,IF(AK145=2,AE145,""))="A","RÉPARÉ – À RADIOGRAPHIER",IF(IF(AK145=1,Z145,IF(AK145=2,AE145,""))="R","VT REJETÉ – À REPRENDRE",IF(OR(AL145="CO",AL145="NT"),"COUPE – À RESOUDER","À RÉPARER"))))))))))</f>
        <v>ACCEPTÉ</v>
      </c>
      <c r="AN145" s="81" t="str">
        <f aca="false">IF(AND(ISNUMBER(R145),OR(AM145="À RADIOGRAPHIER",AM145="RÉPARÉ – À RADIOGRAPHIER",AM145="NX – RT À REFAIRE",AM145="À RÉPARER",AM145="COUPE – À RESOUDER",AM145="VT REJETÉ – À REPRENDRE")),MAX(0,'PROGRAMME RT'!$C$4-R145),"")</f>
        <v/>
      </c>
      <c r="AO145" s="78" t="n">
        <f aca="false">IF(AND(OR(AM145="À RADIOGRAPHIER",AM145="RÉPARÉ – À RADIOGRAPHIER",AM145="NX – RT À REFAIRE"),OR('PROGRAMME RT'!$D$5="TOUTES",B145='PROGRAMME RT'!$D$5)),1,0)</f>
        <v>0</v>
      </c>
      <c r="AP145" s="78" t="str">
        <f aca="false">IF(AO145=1,SUM(AO$7:AO145),"")</f>
        <v/>
      </c>
      <c r="AQ145" s="78" t="n">
        <f aca="false">IF(AND(OR(X145="R",X145="NX",X145="NT",X145="CO"),OR('JOINTS DE RÉPARATION'!$D$5="TOUTES",B145='JOINTS DE RÉPARATION'!$D$5),OR('JOINTS DE RÉPARATION'!$L$4="TOUS",AM145&lt;&gt;"ACCEPTÉ")),1,0)</f>
        <v>0</v>
      </c>
      <c r="AR145" s="78" t="str">
        <f aca="false">IF(AQ145=1,SUM(AQ$7:AQ145),"")</f>
        <v/>
      </c>
    </row>
    <row r="146" customFormat="false" ht="15" hidden="false" customHeight="false" outlineLevel="0" collapsed="false">
      <c r="A146" s="78" t="n">
        <f aca="false">IF(E146="","",ROW()-6)</f>
        <v>140</v>
      </c>
      <c r="B146" s="79" t="s">
        <v>102</v>
      </c>
      <c r="C146" s="80" t="s">
        <v>428</v>
      </c>
      <c r="D146" s="80" t="s">
        <v>318</v>
      </c>
      <c r="E146" s="80" t="s">
        <v>435</v>
      </c>
      <c r="F146" s="80" t="s">
        <v>105</v>
      </c>
      <c r="G146" s="80" t="s">
        <v>106</v>
      </c>
      <c r="H146" s="80" t="n">
        <v>11</v>
      </c>
      <c r="I146" s="80" t="s">
        <v>114</v>
      </c>
      <c r="J146" s="80" t="s">
        <v>115</v>
      </c>
      <c r="K146" s="80" t="s">
        <v>434</v>
      </c>
      <c r="L146" s="84" t="n">
        <f aca="false">IF(K146="","",IFERROR(INDEX(BARDAGE!$C$7:$C$1506,MATCH(K146,BARDAGE!$B$7:$B$1506,0)),"? hors registre"))</f>
        <v>24803578</v>
      </c>
      <c r="M146" s="80" t="s">
        <v>436</v>
      </c>
      <c r="N146" s="84" t="n">
        <f aca="false">IF(M146="","",IFERROR(INDEX(BARDAGE!$C$7:$C$1506,MATCH(M146,BARDAGE!$B$7:$B$1506,0)),"? hors registre"))</f>
        <v>24212332</v>
      </c>
      <c r="O146" s="80" t="s">
        <v>204</v>
      </c>
      <c r="P146" s="80" t="s">
        <v>204</v>
      </c>
      <c r="Q146" s="80" t="s">
        <v>117</v>
      </c>
      <c r="R146" s="82" t="n">
        <v>45890</v>
      </c>
      <c r="S146" s="82" t="n">
        <v>45890</v>
      </c>
      <c r="T146" s="80" t="s">
        <v>431</v>
      </c>
      <c r="U146" s="80" t="s">
        <v>105</v>
      </c>
      <c r="V146" s="82" t="n">
        <v>45895</v>
      </c>
      <c r="W146" s="80" t="s">
        <v>432</v>
      </c>
      <c r="X146" s="80" t="s">
        <v>105</v>
      </c>
      <c r="Y146" s="80"/>
      <c r="Z146" s="80"/>
      <c r="AA146" s="82"/>
      <c r="AB146" s="80"/>
      <c r="AC146" s="80"/>
      <c r="AD146" s="80"/>
      <c r="AE146" s="80"/>
      <c r="AF146" s="82"/>
      <c r="AG146" s="80"/>
      <c r="AH146" s="80"/>
      <c r="AI146" s="82"/>
      <c r="AJ146" s="79"/>
      <c r="AK146" s="78" t="n">
        <f aca="false">IF(E146="","",(X146&lt;&gt;"")+(AC146&lt;&gt;"")+(AH146&lt;&gt;""))</f>
        <v>1</v>
      </c>
      <c r="AL146" s="81" t="str">
        <f aca="false">IF(AH146&lt;&gt;"",AH146,IF(AC146&lt;&gt;"",AC146,IF(X146&lt;&gt;"",X146,"")))</f>
        <v>A</v>
      </c>
      <c r="AM146" s="83" t="str">
        <f aca="false">IF(E146="","",IF(R146="","À SOUDER",IF(U146="","VT EN ATTENTE",IF(U146="R","VT REJETÉ – À REPRENDRE",IF(AL146="","À RADIOGRAPHIER",IF(AL146="A","ACCEPTÉ",IF(AL146="NX","NX – RT À REFAIRE",IF(IF(AK146=1,Z146,IF(AK146=2,AE146,""))="A","RÉPARÉ – À RADIOGRAPHIER",IF(IF(AK146=1,Z146,IF(AK146=2,AE146,""))="R","VT REJETÉ – À REPRENDRE",IF(OR(AL146="CO",AL146="NT"),"COUPE – À RESOUDER","À RÉPARER"))))))))))</f>
        <v>ACCEPTÉ</v>
      </c>
      <c r="AN146" s="81" t="str">
        <f aca="false">IF(AND(ISNUMBER(R146),OR(AM146="À RADIOGRAPHIER",AM146="RÉPARÉ – À RADIOGRAPHIER",AM146="NX – RT À REFAIRE",AM146="À RÉPARER",AM146="COUPE – À RESOUDER",AM146="VT REJETÉ – À REPRENDRE")),MAX(0,'PROGRAMME RT'!$C$4-R146),"")</f>
        <v/>
      </c>
      <c r="AO146" s="78" t="n">
        <f aca="false">IF(AND(OR(AM146="À RADIOGRAPHIER",AM146="RÉPARÉ – À RADIOGRAPHIER",AM146="NX – RT À REFAIRE"),OR('PROGRAMME RT'!$D$5="TOUTES",B146='PROGRAMME RT'!$D$5)),1,0)</f>
        <v>0</v>
      </c>
      <c r="AP146" s="78" t="str">
        <f aca="false">IF(AO146=1,SUM(AO$7:AO146),"")</f>
        <v/>
      </c>
      <c r="AQ146" s="78" t="n">
        <f aca="false">IF(AND(OR(X146="R",X146="NX",X146="NT",X146="CO"),OR('JOINTS DE RÉPARATION'!$D$5="TOUTES",B146='JOINTS DE RÉPARATION'!$D$5),OR('JOINTS DE RÉPARATION'!$L$4="TOUS",AM146&lt;&gt;"ACCEPTÉ")),1,0)</f>
        <v>0</v>
      </c>
      <c r="AR146" s="78" t="str">
        <f aca="false">IF(AQ146=1,SUM(AQ$7:AQ146),"")</f>
        <v/>
      </c>
    </row>
    <row r="147" customFormat="false" ht="15" hidden="false" customHeight="false" outlineLevel="0" collapsed="false">
      <c r="A147" s="78" t="n">
        <f aca="false">IF(E147="","",ROW()-6)</f>
        <v>141</v>
      </c>
      <c r="B147" s="79" t="s">
        <v>102</v>
      </c>
      <c r="C147" s="80"/>
      <c r="D147" s="80" t="s">
        <v>318</v>
      </c>
      <c r="E147" s="80" t="s">
        <v>437</v>
      </c>
      <c r="F147" s="80" t="s">
        <v>151</v>
      </c>
      <c r="G147" s="80" t="s">
        <v>106</v>
      </c>
      <c r="H147" s="80" t="n">
        <v>11</v>
      </c>
      <c r="I147" s="80" t="s">
        <v>114</v>
      </c>
      <c r="J147" s="80" t="s">
        <v>115</v>
      </c>
      <c r="K147" s="80" t="s">
        <v>436</v>
      </c>
      <c r="L147" s="84" t="n">
        <f aca="false">IF(K147="","",IFERROR(INDEX(BARDAGE!$C$7:$C$1506,MATCH(K147,BARDAGE!$B$7:$B$1506,0)),"? hors registre"))</f>
        <v>24212332</v>
      </c>
      <c r="M147" s="80" t="s">
        <v>438</v>
      </c>
      <c r="N147" s="84" t="n">
        <f aca="false">IF(M147="","",IFERROR(INDEX(BARDAGE!$C$7:$C$1506,MATCH(M147,BARDAGE!$B$7:$B$1506,0)),"? hors registre"))</f>
        <v>21212327</v>
      </c>
      <c r="O147" s="80" t="s">
        <v>117</v>
      </c>
      <c r="P147" s="80" t="s">
        <v>117</v>
      </c>
      <c r="Q147" s="80" t="s">
        <v>117</v>
      </c>
      <c r="R147" s="82" t="n">
        <v>45912</v>
      </c>
      <c r="S147" s="82" t="n">
        <v>45912</v>
      </c>
      <c r="T147" s="80" t="s">
        <v>439</v>
      </c>
      <c r="U147" s="80" t="s">
        <v>105</v>
      </c>
      <c r="V147" s="82"/>
      <c r="W147" s="80"/>
      <c r="X147" s="80"/>
      <c r="Y147" s="80"/>
      <c r="Z147" s="80"/>
      <c r="AA147" s="82"/>
      <c r="AB147" s="80"/>
      <c r="AC147" s="80"/>
      <c r="AD147" s="80"/>
      <c r="AE147" s="80"/>
      <c r="AF147" s="82"/>
      <c r="AG147" s="80"/>
      <c r="AH147" s="80"/>
      <c r="AI147" s="82"/>
      <c r="AJ147" s="79"/>
      <c r="AK147" s="78" t="n">
        <f aca="false">IF(E147="","",(X147&lt;&gt;"")+(AC147&lt;&gt;"")+(AH147&lt;&gt;""))</f>
        <v>0</v>
      </c>
      <c r="AL147" s="81" t="str">
        <f aca="false">IF(AH147&lt;&gt;"",AH147,IF(AC147&lt;&gt;"",AC147,IF(X147&lt;&gt;"",X147,"")))</f>
        <v/>
      </c>
      <c r="AM147" s="83" t="str">
        <f aca="false">IF(E147="","",IF(R147="","À SOUDER",IF(U147="","VT EN ATTENTE",IF(U147="R","VT REJETÉ – À REPRENDRE",IF(AL147="","À RADIOGRAPHIER",IF(AL147="A","ACCEPTÉ",IF(AL147="NX","NX – RT À REFAIRE",IF(IF(AK147=1,Z147,IF(AK147=2,AE147,""))="A","RÉPARÉ – À RADIOGRAPHIER",IF(IF(AK147=1,Z147,IF(AK147=2,AE147,""))="R","VT REJETÉ – À REPRENDRE",IF(OR(AL147="CO",AL147="NT"),"COUPE – À RESOUDER","À RÉPARER"))))))))))</f>
        <v>À RADIOGRAPHIER</v>
      </c>
      <c r="AN147" s="81" t="n">
        <f aca="false">IF(AND(ISNUMBER(R147),OR(AM147="À RADIOGRAPHIER",AM147="RÉPARÉ – À RADIOGRAPHIER",AM147="NX – RT À REFAIRE",AM147="À RÉPARER",AM147="COUPE – À RESOUDER",AM147="VT REJETÉ – À REPRENDRE")),MAX(0,'PROGRAMME RT'!$C$4-R147),"")</f>
        <v>381</v>
      </c>
      <c r="AO147" s="78" t="n">
        <f aca="false">IF(AND(OR(AM147="À RADIOGRAPHIER",AM147="RÉPARÉ – À RADIOGRAPHIER",AM147="NX – RT À REFAIRE"),OR('PROGRAMME RT'!$D$5="TOUTES",B147='PROGRAMME RT'!$D$5)),1,0)</f>
        <v>1</v>
      </c>
      <c r="AP147" s="78" t="n">
        <f aca="false">IF(AO147=1,SUM(AO$7:AO147),"")</f>
        <v>3</v>
      </c>
      <c r="AQ147" s="78" t="n">
        <f aca="false">IF(AND(OR(X147="R",X147="NX",X147="NT",X147="CO"),OR('JOINTS DE RÉPARATION'!$D$5="TOUTES",B147='JOINTS DE RÉPARATION'!$D$5),OR('JOINTS DE RÉPARATION'!$L$4="TOUS",AM147&lt;&gt;"ACCEPTÉ")),1,0)</f>
        <v>0</v>
      </c>
      <c r="AR147" s="78" t="str">
        <f aca="false">IF(AQ147=1,SUM(AQ$7:AQ147),"")</f>
        <v/>
      </c>
    </row>
    <row r="148" customFormat="false" ht="15" hidden="false" customHeight="false" outlineLevel="0" collapsed="false">
      <c r="A148" s="78" t="n">
        <f aca="false">IF(E148="","",ROW()-6)</f>
        <v>142</v>
      </c>
      <c r="B148" s="79" t="s">
        <v>102</v>
      </c>
      <c r="C148" s="80" t="s">
        <v>440</v>
      </c>
      <c r="D148" s="80" t="s">
        <v>318</v>
      </c>
      <c r="E148" s="80" t="s">
        <v>441</v>
      </c>
      <c r="F148" s="80" t="s">
        <v>151</v>
      </c>
      <c r="G148" s="80" t="s">
        <v>106</v>
      </c>
      <c r="H148" s="80" t="n">
        <v>11</v>
      </c>
      <c r="I148" s="80" t="s">
        <v>114</v>
      </c>
      <c r="J148" s="80" t="s">
        <v>132</v>
      </c>
      <c r="K148" s="80" t="s">
        <v>438</v>
      </c>
      <c r="L148" s="84" t="n">
        <f aca="false">IF(K148="","",IFERROR(INDEX(BARDAGE!$C$7:$C$1506,MATCH(K148,BARDAGE!$B$7:$B$1506,0)),"? hors registre"))</f>
        <v>21212327</v>
      </c>
      <c r="M148" s="80" t="s">
        <v>442</v>
      </c>
      <c r="N148" s="84" t="n">
        <f aca="false">IF(M148="","",IFERROR(INDEX(BARDAGE!$C$7:$C$1506,MATCH(M148,BARDAGE!$B$7:$B$1506,0)),"? hors registre"))</f>
        <v>24803579</v>
      </c>
      <c r="O148" s="80" t="s">
        <v>141</v>
      </c>
      <c r="P148" s="80" t="s">
        <v>141</v>
      </c>
      <c r="Q148" s="80" t="s">
        <v>204</v>
      </c>
      <c r="R148" s="82" t="n">
        <v>45886</v>
      </c>
      <c r="S148" s="82" t="n">
        <v>45886</v>
      </c>
      <c r="T148" s="80" t="s">
        <v>420</v>
      </c>
      <c r="U148" s="80" t="s">
        <v>105</v>
      </c>
      <c r="V148" s="82" t="n">
        <v>45895</v>
      </c>
      <c r="W148" s="80" t="s">
        <v>432</v>
      </c>
      <c r="X148" s="80" t="s">
        <v>105</v>
      </c>
      <c r="Y148" s="80"/>
      <c r="Z148" s="80"/>
      <c r="AA148" s="82"/>
      <c r="AB148" s="80"/>
      <c r="AC148" s="80"/>
      <c r="AD148" s="80"/>
      <c r="AE148" s="80"/>
      <c r="AF148" s="82"/>
      <c r="AG148" s="80"/>
      <c r="AH148" s="80"/>
      <c r="AI148" s="82"/>
      <c r="AJ148" s="79"/>
      <c r="AK148" s="78" t="n">
        <f aca="false">IF(E148="","",(X148&lt;&gt;"")+(AC148&lt;&gt;"")+(AH148&lt;&gt;""))</f>
        <v>1</v>
      </c>
      <c r="AL148" s="81" t="str">
        <f aca="false">IF(AH148&lt;&gt;"",AH148,IF(AC148&lt;&gt;"",AC148,IF(X148&lt;&gt;"",X148,"")))</f>
        <v>A</v>
      </c>
      <c r="AM148" s="83" t="str">
        <f aca="false">IF(E148="","",IF(R148="","À SOUDER",IF(U148="","VT EN ATTENTE",IF(U148="R","VT REJETÉ – À REPRENDRE",IF(AL148="","À RADIOGRAPHIER",IF(AL148="A","ACCEPTÉ",IF(AL148="NX","NX – RT À REFAIRE",IF(IF(AK148=1,Z148,IF(AK148=2,AE148,""))="A","RÉPARÉ – À RADIOGRAPHIER",IF(IF(AK148=1,Z148,IF(AK148=2,AE148,""))="R","VT REJETÉ – À REPRENDRE",IF(OR(AL148="CO",AL148="NT"),"COUPE – À RESOUDER","À RÉPARER"))))))))))</f>
        <v>ACCEPTÉ</v>
      </c>
      <c r="AN148" s="81" t="str">
        <f aca="false">IF(AND(ISNUMBER(R148),OR(AM148="À RADIOGRAPHIER",AM148="RÉPARÉ – À RADIOGRAPHIER",AM148="NX – RT À REFAIRE",AM148="À RÉPARER",AM148="COUPE – À RESOUDER",AM148="VT REJETÉ – À REPRENDRE")),MAX(0,'PROGRAMME RT'!$C$4-R148),"")</f>
        <v/>
      </c>
      <c r="AO148" s="78" t="n">
        <f aca="false">IF(AND(OR(AM148="À RADIOGRAPHIER",AM148="RÉPARÉ – À RADIOGRAPHIER",AM148="NX – RT À REFAIRE"),OR('PROGRAMME RT'!$D$5="TOUTES",B148='PROGRAMME RT'!$D$5)),1,0)</f>
        <v>0</v>
      </c>
      <c r="AP148" s="78" t="str">
        <f aca="false">IF(AO148=1,SUM(AO$7:AO148),"")</f>
        <v/>
      </c>
      <c r="AQ148" s="78" t="n">
        <f aca="false">IF(AND(OR(X148="R",X148="NX",X148="NT",X148="CO"),OR('JOINTS DE RÉPARATION'!$D$5="TOUTES",B148='JOINTS DE RÉPARATION'!$D$5),OR('JOINTS DE RÉPARATION'!$L$4="TOUS",AM148&lt;&gt;"ACCEPTÉ")),1,0)</f>
        <v>0</v>
      </c>
      <c r="AR148" s="78" t="str">
        <f aca="false">IF(AQ148=1,SUM(AQ$7:AQ148),"")</f>
        <v/>
      </c>
    </row>
    <row r="149" customFormat="false" ht="15" hidden="false" customHeight="false" outlineLevel="0" collapsed="false">
      <c r="A149" s="78" t="n">
        <f aca="false">IF(E149="","",ROW()-6)</f>
        <v>143</v>
      </c>
      <c r="B149" s="79" t="s">
        <v>102</v>
      </c>
      <c r="C149" s="80"/>
      <c r="D149" s="80" t="s">
        <v>318</v>
      </c>
      <c r="E149" s="80" t="s">
        <v>443</v>
      </c>
      <c r="F149" s="80" t="s">
        <v>151</v>
      </c>
      <c r="G149" s="80" t="s">
        <v>106</v>
      </c>
      <c r="H149" s="80" t="n">
        <v>11</v>
      </c>
      <c r="I149" s="80" t="s">
        <v>114</v>
      </c>
      <c r="J149" s="80" t="s">
        <v>115</v>
      </c>
      <c r="K149" s="80" t="s">
        <v>442</v>
      </c>
      <c r="L149" s="84" t="n">
        <f aca="false">IF(K149="","",IFERROR(INDEX(BARDAGE!$C$7:$C$1506,MATCH(K149,BARDAGE!$B$7:$B$1506,0)),"? hors registre"))</f>
        <v>24803579</v>
      </c>
      <c r="M149" s="80" t="s">
        <v>444</v>
      </c>
      <c r="N149" s="84" t="n">
        <f aca="false">IF(M149="","",IFERROR(INDEX(BARDAGE!$C$7:$C$1506,MATCH(M149,BARDAGE!$B$7:$B$1506,0)),"? hors registre"))</f>
        <v>24212332</v>
      </c>
      <c r="O149" s="80" t="s">
        <v>125</v>
      </c>
      <c r="P149" s="80" t="s">
        <v>125</v>
      </c>
      <c r="Q149" s="80" t="s">
        <v>125</v>
      </c>
      <c r="R149" s="82" t="n">
        <v>45912</v>
      </c>
      <c r="S149" s="82" t="n">
        <v>45912</v>
      </c>
      <c r="T149" s="80" t="s">
        <v>439</v>
      </c>
      <c r="U149" s="80" t="s">
        <v>105</v>
      </c>
      <c r="V149" s="82"/>
      <c r="W149" s="80"/>
      <c r="X149" s="80"/>
      <c r="Y149" s="80"/>
      <c r="Z149" s="80"/>
      <c r="AA149" s="82"/>
      <c r="AB149" s="80"/>
      <c r="AC149" s="80"/>
      <c r="AD149" s="80"/>
      <c r="AE149" s="80"/>
      <c r="AF149" s="82"/>
      <c r="AG149" s="80"/>
      <c r="AH149" s="80"/>
      <c r="AI149" s="82"/>
      <c r="AJ149" s="79"/>
      <c r="AK149" s="78" t="n">
        <f aca="false">IF(E149="","",(X149&lt;&gt;"")+(AC149&lt;&gt;"")+(AH149&lt;&gt;""))</f>
        <v>0</v>
      </c>
      <c r="AL149" s="81" t="str">
        <f aca="false">IF(AH149&lt;&gt;"",AH149,IF(AC149&lt;&gt;"",AC149,IF(X149&lt;&gt;"",X149,"")))</f>
        <v/>
      </c>
      <c r="AM149" s="83" t="str">
        <f aca="false">IF(E149="","",IF(R149="","À SOUDER",IF(U149="","VT EN ATTENTE",IF(U149="R","VT REJETÉ – À REPRENDRE",IF(AL149="","À RADIOGRAPHIER",IF(AL149="A","ACCEPTÉ",IF(AL149="NX","NX – RT À REFAIRE",IF(IF(AK149=1,Z149,IF(AK149=2,AE149,""))="A","RÉPARÉ – À RADIOGRAPHIER",IF(IF(AK149=1,Z149,IF(AK149=2,AE149,""))="R","VT REJETÉ – À REPRENDRE",IF(OR(AL149="CO",AL149="NT"),"COUPE – À RESOUDER","À RÉPARER"))))))))))</f>
        <v>À RADIOGRAPHIER</v>
      </c>
      <c r="AN149" s="81" t="n">
        <f aca="false">IF(AND(ISNUMBER(R149),OR(AM149="À RADIOGRAPHIER",AM149="RÉPARÉ – À RADIOGRAPHIER",AM149="NX – RT À REFAIRE",AM149="À RÉPARER",AM149="COUPE – À RESOUDER",AM149="VT REJETÉ – À REPRENDRE")),MAX(0,'PROGRAMME RT'!$C$4-R149),"")</f>
        <v>381</v>
      </c>
      <c r="AO149" s="78" t="n">
        <f aca="false">IF(AND(OR(AM149="À RADIOGRAPHIER",AM149="RÉPARÉ – À RADIOGRAPHIER",AM149="NX – RT À REFAIRE"),OR('PROGRAMME RT'!$D$5="TOUTES",B149='PROGRAMME RT'!$D$5)),1,0)</f>
        <v>1</v>
      </c>
      <c r="AP149" s="78" t="n">
        <f aca="false">IF(AO149=1,SUM(AO$7:AO149),"")</f>
        <v>4</v>
      </c>
      <c r="AQ149" s="78" t="n">
        <f aca="false">IF(AND(OR(X149="R",X149="NX",X149="NT",X149="CO"),OR('JOINTS DE RÉPARATION'!$D$5="TOUTES",B149='JOINTS DE RÉPARATION'!$D$5),OR('JOINTS DE RÉPARATION'!$L$4="TOUS",AM149&lt;&gt;"ACCEPTÉ")),1,0)</f>
        <v>0</v>
      </c>
      <c r="AR149" s="78" t="str">
        <f aca="false">IF(AQ149=1,SUM(AQ$7:AQ149),"")</f>
        <v/>
      </c>
    </row>
    <row r="150" customFormat="false" ht="15" hidden="false" customHeight="false" outlineLevel="0" collapsed="false">
      <c r="A150" s="78" t="n">
        <f aca="false">IF(E150="","",ROW()-6)</f>
        <v>144</v>
      </c>
      <c r="B150" s="79" t="s">
        <v>102</v>
      </c>
      <c r="C150" s="80"/>
      <c r="D150" s="80" t="s">
        <v>318</v>
      </c>
      <c r="E150" s="80" t="s">
        <v>445</v>
      </c>
      <c r="F150" s="80" t="s">
        <v>151</v>
      </c>
      <c r="G150" s="80" t="s">
        <v>106</v>
      </c>
      <c r="H150" s="80" t="n">
        <v>11</v>
      </c>
      <c r="I150" s="80" t="s">
        <v>114</v>
      </c>
      <c r="J150" s="80" t="s">
        <v>115</v>
      </c>
      <c r="K150" s="80" t="s">
        <v>444</v>
      </c>
      <c r="L150" s="84" t="n">
        <f aca="false">IF(K150="","",IFERROR(INDEX(BARDAGE!$C$7:$C$1506,MATCH(K150,BARDAGE!$B$7:$B$1506,0)),"? hors registre"))</f>
        <v>24212332</v>
      </c>
      <c r="M150" s="80" t="s">
        <v>446</v>
      </c>
      <c r="N150" s="84" t="n">
        <f aca="false">IF(M150="","",IFERROR(INDEX(BARDAGE!$C$7:$C$1506,MATCH(M150,BARDAGE!$B$7:$B$1506,0)),"? hors registre"))</f>
        <v>24803596</v>
      </c>
      <c r="O150" s="80" t="s">
        <v>125</v>
      </c>
      <c r="P150" s="80" t="s">
        <v>125</v>
      </c>
      <c r="Q150" s="80" t="s">
        <v>125</v>
      </c>
      <c r="R150" s="82" t="n">
        <v>45913</v>
      </c>
      <c r="S150" s="82" t="n">
        <v>45913</v>
      </c>
      <c r="T150" s="80" t="s">
        <v>447</v>
      </c>
      <c r="U150" s="80" t="s">
        <v>105</v>
      </c>
      <c r="V150" s="82"/>
      <c r="W150" s="80"/>
      <c r="X150" s="80"/>
      <c r="Y150" s="80"/>
      <c r="Z150" s="80"/>
      <c r="AA150" s="82"/>
      <c r="AB150" s="80"/>
      <c r="AC150" s="80"/>
      <c r="AD150" s="80"/>
      <c r="AE150" s="80"/>
      <c r="AF150" s="82"/>
      <c r="AG150" s="80"/>
      <c r="AH150" s="80"/>
      <c r="AI150" s="82"/>
      <c r="AJ150" s="79"/>
      <c r="AK150" s="78" t="n">
        <f aca="false">IF(E150="","",(X150&lt;&gt;"")+(AC150&lt;&gt;"")+(AH150&lt;&gt;""))</f>
        <v>0</v>
      </c>
      <c r="AL150" s="81" t="str">
        <f aca="false">IF(AH150&lt;&gt;"",AH150,IF(AC150&lt;&gt;"",AC150,IF(X150&lt;&gt;"",X150,"")))</f>
        <v/>
      </c>
      <c r="AM150" s="83" t="str">
        <f aca="false">IF(E150="","",IF(R150="","À SOUDER",IF(U150="","VT EN ATTENTE",IF(U150="R","VT REJETÉ – À REPRENDRE",IF(AL150="","À RADIOGRAPHIER",IF(AL150="A","ACCEPTÉ",IF(AL150="NX","NX – RT À REFAIRE",IF(IF(AK150=1,Z150,IF(AK150=2,AE150,""))="A","RÉPARÉ – À RADIOGRAPHIER",IF(IF(AK150=1,Z150,IF(AK150=2,AE150,""))="R","VT REJETÉ – À REPRENDRE",IF(OR(AL150="CO",AL150="NT"),"COUPE – À RESOUDER","À RÉPARER"))))))))))</f>
        <v>À RADIOGRAPHIER</v>
      </c>
      <c r="AN150" s="81" t="n">
        <f aca="false">IF(AND(ISNUMBER(R150),OR(AM150="À RADIOGRAPHIER",AM150="RÉPARÉ – À RADIOGRAPHIER",AM150="NX – RT À REFAIRE",AM150="À RÉPARER",AM150="COUPE – À RESOUDER",AM150="VT REJETÉ – À REPRENDRE")),MAX(0,'PROGRAMME RT'!$C$4-R150),"")</f>
        <v>380</v>
      </c>
      <c r="AO150" s="78" t="n">
        <f aca="false">IF(AND(OR(AM150="À RADIOGRAPHIER",AM150="RÉPARÉ – À RADIOGRAPHIER",AM150="NX – RT À REFAIRE"),OR('PROGRAMME RT'!$D$5="TOUTES",B150='PROGRAMME RT'!$D$5)),1,0)</f>
        <v>1</v>
      </c>
      <c r="AP150" s="78" t="n">
        <f aca="false">IF(AO150=1,SUM(AO$7:AO150),"")</f>
        <v>5</v>
      </c>
      <c r="AQ150" s="78" t="n">
        <f aca="false">IF(AND(OR(X150="R",X150="NX",X150="NT",X150="CO"),OR('JOINTS DE RÉPARATION'!$D$5="TOUTES",B150='JOINTS DE RÉPARATION'!$D$5),OR('JOINTS DE RÉPARATION'!$L$4="TOUS",AM150&lt;&gt;"ACCEPTÉ")),1,0)</f>
        <v>0</v>
      </c>
      <c r="AR150" s="78" t="str">
        <f aca="false">IF(AQ150=1,SUM(AQ$7:AQ150),"")</f>
        <v/>
      </c>
    </row>
    <row r="151" customFormat="false" ht="15" hidden="false" customHeight="false" outlineLevel="0" collapsed="false">
      <c r="A151" s="78" t="n">
        <f aca="false">IF(E151="","",ROW()-6)</f>
        <v>145</v>
      </c>
      <c r="B151" s="79" t="s">
        <v>102</v>
      </c>
      <c r="C151" s="80"/>
      <c r="D151" s="80" t="s">
        <v>318</v>
      </c>
      <c r="E151" s="80" t="s">
        <v>448</v>
      </c>
      <c r="F151" s="80" t="s">
        <v>151</v>
      </c>
      <c r="G151" s="80" t="s">
        <v>106</v>
      </c>
      <c r="H151" s="80" t="n">
        <v>11</v>
      </c>
      <c r="I151" s="80" t="s">
        <v>114</v>
      </c>
      <c r="J151" s="80" t="s">
        <v>115</v>
      </c>
      <c r="K151" s="80" t="s">
        <v>446</v>
      </c>
      <c r="L151" s="84" t="n">
        <f aca="false">IF(K151="","",IFERROR(INDEX(BARDAGE!$C$7:$C$1506,MATCH(K151,BARDAGE!$B$7:$B$1506,0)),"? hors registre"))</f>
        <v>24803596</v>
      </c>
      <c r="M151" s="80" t="s">
        <v>449</v>
      </c>
      <c r="N151" s="84" t="n">
        <f aca="false">IF(M151="","",IFERROR(INDEX(BARDAGE!$C$7:$C$1506,MATCH(M151,BARDAGE!$B$7:$B$1506,0)),"? hors registre"))</f>
        <v>24803578</v>
      </c>
      <c r="O151" s="80" t="s">
        <v>117</v>
      </c>
      <c r="P151" s="80" t="s">
        <v>117</v>
      </c>
      <c r="Q151" s="80" t="s">
        <v>117</v>
      </c>
      <c r="R151" s="82" t="n">
        <v>45913</v>
      </c>
      <c r="S151" s="82" t="n">
        <v>45913</v>
      </c>
      <c r="T151" s="80" t="s">
        <v>447</v>
      </c>
      <c r="U151" s="80" t="s">
        <v>105</v>
      </c>
      <c r="V151" s="82"/>
      <c r="W151" s="80"/>
      <c r="X151" s="80"/>
      <c r="Y151" s="80"/>
      <c r="Z151" s="80"/>
      <c r="AA151" s="82"/>
      <c r="AB151" s="80"/>
      <c r="AC151" s="80"/>
      <c r="AD151" s="80"/>
      <c r="AE151" s="80"/>
      <c r="AF151" s="82"/>
      <c r="AG151" s="80"/>
      <c r="AH151" s="80"/>
      <c r="AI151" s="82"/>
      <c r="AJ151" s="79"/>
      <c r="AK151" s="78" t="n">
        <f aca="false">IF(E151="","",(X151&lt;&gt;"")+(AC151&lt;&gt;"")+(AH151&lt;&gt;""))</f>
        <v>0</v>
      </c>
      <c r="AL151" s="81" t="str">
        <f aca="false">IF(AH151&lt;&gt;"",AH151,IF(AC151&lt;&gt;"",AC151,IF(X151&lt;&gt;"",X151,"")))</f>
        <v/>
      </c>
      <c r="AM151" s="83" t="str">
        <f aca="false">IF(E151="","",IF(R151="","À SOUDER",IF(U151="","VT EN ATTENTE",IF(U151="R","VT REJETÉ – À REPRENDRE",IF(AL151="","À RADIOGRAPHIER",IF(AL151="A","ACCEPTÉ",IF(AL151="NX","NX – RT À REFAIRE",IF(IF(AK151=1,Z151,IF(AK151=2,AE151,""))="A","RÉPARÉ – À RADIOGRAPHIER",IF(IF(AK151=1,Z151,IF(AK151=2,AE151,""))="R","VT REJETÉ – À REPRENDRE",IF(OR(AL151="CO",AL151="NT"),"COUPE – À RESOUDER","À RÉPARER"))))))))))</f>
        <v>À RADIOGRAPHIER</v>
      </c>
      <c r="AN151" s="81" t="n">
        <f aca="false">IF(AND(ISNUMBER(R151),OR(AM151="À RADIOGRAPHIER",AM151="RÉPARÉ – À RADIOGRAPHIER",AM151="NX – RT À REFAIRE",AM151="À RÉPARER",AM151="COUPE – À RESOUDER",AM151="VT REJETÉ – À REPRENDRE")),MAX(0,'PROGRAMME RT'!$C$4-R151),"")</f>
        <v>380</v>
      </c>
      <c r="AO151" s="78" t="n">
        <f aca="false">IF(AND(OR(AM151="À RADIOGRAPHIER",AM151="RÉPARÉ – À RADIOGRAPHIER",AM151="NX – RT À REFAIRE"),OR('PROGRAMME RT'!$D$5="TOUTES",B151='PROGRAMME RT'!$D$5)),1,0)</f>
        <v>1</v>
      </c>
      <c r="AP151" s="78" t="n">
        <f aca="false">IF(AO151=1,SUM(AO$7:AO151),"")</f>
        <v>6</v>
      </c>
      <c r="AQ151" s="78" t="n">
        <f aca="false">IF(AND(OR(X151="R",X151="NX",X151="NT",X151="CO"),OR('JOINTS DE RÉPARATION'!$D$5="TOUTES",B151='JOINTS DE RÉPARATION'!$D$5),OR('JOINTS DE RÉPARATION'!$L$4="TOUS",AM151&lt;&gt;"ACCEPTÉ")),1,0)</f>
        <v>0</v>
      </c>
      <c r="AR151" s="78" t="str">
        <f aca="false">IF(AQ151=1,SUM(AQ$7:AQ151),"")</f>
        <v/>
      </c>
    </row>
    <row r="152" customFormat="false" ht="15" hidden="false" customHeight="false" outlineLevel="0" collapsed="false">
      <c r="A152" s="78" t="n">
        <f aca="false">IF(E152="","",ROW()-6)</f>
        <v>146</v>
      </c>
      <c r="B152" s="79" t="s">
        <v>102</v>
      </c>
      <c r="C152" s="80"/>
      <c r="D152" s="80" t="s">
        <v>318</v>
      </c>
      <c r="E152" s="80" t="s">
        <v>450</v>
      </c>
      <c r="F152" s="80" t="s">
        <v>151</v>
      </c>
      <c r="G152" s="80" t="s">
        <v>106</v>
      </c>
      <c r="H152" s="80" t="n">
        <v>11</v>
      </c>
      <c r="I152" s="80" t="s">
        <v>114</v>
      </c>
      <c r="J152" s="80" t="s">
        <v>115</v>
      </c>
      <c r="K152" s="80" t="s">
        <v>449</v>
      </c>
      <c r="L152" s="84" t="n">
        <f aca="false">IF(K152="","",IFERROR(INDEX(BARDAGE!$C$7:$C$1506,MATCH(K152,BARDAGE!$B$7:$B$1506,0)),"? hors registre"))</f>
        <v>24803578</v>
      </c>
      <c r="M152" s="80" t="s">
        <v>111</v>
      </c>
      <c r="N152" s="84" t="n">
        <f aca="false">IF(M152="","",IFERROR(INDEX(BARDAGE!$C$7:$C$1506,MATCH(M152,BARDAGE!$B$7:$B$1506,0)),"? hors registre"))</f>
        <v>24803579</v>
      </c>
      <c r="O152" s="80" t="s">
        <v>125</v>
      </c>
      <c r="P152" s="80" t="s">
        <v>125</v>
      </c>
      <c r="Q152" s="80" t="s">
        <v>125</v>
      </c>
      <c r="R152" s="82" t="n">
        <v>45913</v>
      </c>
      <c r="S152" s="82" t="n">
        <v>45913</v>
      </c>
      <c r="T152" s="80" t="s">
        <v>447</v>
      </c>
      <c r="U152" s="80" t="s">
        <v>105</v>
      </c>
      <c r="V152" s="82"/>
      <c r="W152" s="80"/>
      <c r="X152" s="80"/>
      <c r="Y152" s="80"/>
      <c r="Z152" s="80"/>
      <c r="AA152" s="82"/>
      <c r="AB152" s="80"/>
      <c r="AC152" s="80"/>
      <c r="AD152" s="80"/>
      <c r="AE152" s="80"/>
      <c r="AF152" s="82"/>
      <c r="AG152" s="80"/>
      <c r="AH152" s="80"/>
      <c r="AI152" s="82"/>
      <c r="AJ152" s="79"/>
      <c r="AK152" s="78" t="n">
        <f aca="false">IF(E152="","",(X152&lt;&gt;"")+(AC152&lt;&gt;"")+(AH152&lt;&gt;""))</f>
        <v>0</v>
      </c>
      <c r="AL152" s="81" t="str">
        <f aca="false">IF(AH152&lt;&gt;"",AH152,IF(AC152&lt;&gt;"",AC152,IF(X152&lt;&gt;"",X152,"")))</f>
        <v/>
      </c>
      <c r="AM152" s="83" t="str">
        <f aca="false">IF(E152="","",IF(R152="","À SOUDER",IF(U152="","VT EN ATTENTE",IF(U152="R","VT REJETÉ – À REPRENDRE",IF(AL152="","À RADIOGRAPHIER",IF(AL152="A","ACCEPTÉ",IF(AL152="NX","NX – RT À REFAIRE",IF(IF(AK152=1,Z152,IF(AK152=2,AE152,""))="A","RÉPARÉ – À RADIOGRAPHIER",IF(IF(AK152=1,Z152,IF(AK152=2,AE152,""))="R","VT REJETÉ – À REPRENDRE",IF(OR(AL152="CO",AL152="NT"),"COUPE – À RESOUDER","À RÉPARER"))))))))))</f>
        <v>À RADIOGRAPHIER</v>
      </c>
      <c r="AN152" s="81" t="n">
        <f aca="false">IF(AND(ISNUMBER(R152),OR(AM152="À RADIOGRAPHIER",AM152="RÉPARÉ – À RADIOGRAPHIER",AM152="NX – RT À REFAIRE",AM152="À RÉPARER",AM152="COUPE – À RESOUDER",AM152="VT REJETÉ – À REPRENDRE")),MAX(0,'PROGRAMME RT'!$C$4-R152),"")</f>
        <v>380</v>
      </c>
      <c r="AO152" s="78" t="n">
        <f aca="false">IF(AND(OR(AM152="À RADIOGRAPHIER",AM152="RÉPARÉ – À RADIOGRAPHIER",AM152="NX – RT À REFAIRE"),OR('PROGRAMME RT'!$D$5="TOUTES",B152='PROGRAMME RT'!$D$5)),1,0)</f>
        <v>1</v>
      </c>
      <c r="AP152" s="78" t="n">
        <f aca="false">IF(AO152=1,SUM(AO$7:AO152),"")</f>
        <v>7</v>
      </c>
      <c r="AQ152" s="78" t="n">
        <f aca="false">IF(AND(OR(X152="R",X152="NX",X152="NT",X152="CO"),OR('JOINTS DE RÉPARATION'!$D$5="TOUTES",B152='JOINTS DE RÉPARATION'!$D$5),OR('JOINTS DE RÉPARATION'!$L$4="TOUS",AM152&lt;&gt;"ACCEPTÉ")),1,0)</f>
        <v>0</v>
      </c>
      <c r="AR152" s="78" t="str">
        <f aca="false">IF(AQ152=1,SUM(AQ$7:AQ152),"")</f>
        <v/>
      </c>
    </row>
    <row r="153" customFormat="false" ht="15" hidden="false" customHeight="false" outlineLevel="0" collapsed="false">
      <c r="A153" s="78" t="n">
        <f aca="false">IF(E153="","",ROW()-6)</f>
        <v>147</v>
      </c>
      <c r="B153" s="79" t="s">
        <v>102</v>
      </c>
      <c r="C153" s="80" t="s">
        <v>451</v>
      </c>
      <c r="D153" s="80" t="s">
        <v>318</v>
      </c>
      <c r="E153" s="80" t="s">
        <v>452</v>
      </c>
      <c r="F153" s="80" t="s">
        <v>151</v>
      </c>
      <c r="G153" s="80" t="s">
        <v>106</v>
      </c>
      <c r="H153" s="80" t="n">
        <v>11</v>
      </c>
      <c r="I153" s="80" t="s">
        <v>114</v>
      </c>
      <c r="J153" s="80" t="s">
        <v>132</v>
      </c>
      <c r="K153" s="80" t="s">
        <v>111</v>
      </c>
      <c r="L153" s="84" t="n">
        <f aca="false">IF(K153="","",IFERROR(INDEX(BARDAGE!$C$7:$C$1506,MATCH(K153,BARDAGE!$B$7:$B$1506,0)),"? hors registre"))</f>
        <v>24803579</v>
      </c>
      <c r="M153" s="80" t="s">
        <v>453</v>
      </c>
      <c r="N153" s="84" t="n">
        <f aca="false">IF(M153="","",IFERROR(INDEX(BARDAGE!$C$7:$C$1506,MATCH(M153,BARDAGE!$B$7:$B$1506,0)),"? hors registre"))</f>
        <v>24803581</v>
      </c>
      <c r="O153" s="80" t="s">
        <v>141</v>
      </c>
      <c r="P153" s="80" t="s">
        <v>141</v>
      </c>
      <c r="Q153" s="80" t="s">
        <v>134</v>
      </c>
      <c r="R153" s="82" t="n">
        <v>45886</v>
      </c>
      <c r="S153" s="82" t="n">
        <v>45886</v>
      </c>
      <c r="T153" s="80" t="s">
        <v>420</v>
      </c>
      <c r="U153" s="80" t="s">
        <v>105</v>
      </c>
      <c r="V153" s="82" t="n">
        <v>45895</v>
      </c>
      <c r="W153" s="80" t="s">
        <v>432</v>
      </c>
      <c r="X153" s="80" t="s">
        <v>105</v>
      </c>
      <c r="Y153" s="80"/>
      <c r="Z153" s="80"/>
      <c r="AA153" s="82"/>
      <c r="AB153" s="80"/>
      <c r="AC153" s="80"/>
      <c r="AD153" s="80"/>
      <c r="AE153" s="80"/>
      <c r="AF153" s="82"/>
      <c r="AG153" s="80"/>
      <c r="AH153" s="80"/>
      <c r="AI153" s="82"/>
      <c r="AJ153" s="79"/>
      <c r="AK153" s="78" t="n">
        <f aca="false">IF(E153="","",(X153&lt;&gt;"")+(AC153&lt;&gt;"")+(AH153&lt;&gt;""))</f>
        <v>1</v>
      </c>
      <c r="AL153" s="81" t="str">
        <f aca="false">IF(AH153&lt;&gt;"",AH153,IF(AC153&lt;&gt;"",AC153,IF(X153&lt;&gt;"",X153,"")))</f>
        <v>A</v>
      </c>
      <c r="AM153" s="83" t="str">
        <f aca="false">IF(E153="","",IF(R153="","À SOUDER",IF(U153="","VT EN ATTENTE",IF(U153="R","VT REJETÉ – À REPRENDRE",IF(AL153="","À RADIOGRAPHIER",IF(AL153="A","ACCEPTÉ",IF(AL153="NX","NX – RT À REFAIRE",IF(IF(AK153=1,Z153,IF(AK153=2,AE153,""))="A","RÉPARÉ – À RADIOGRAPHIER",IF(IF(AK153=1,Z153,IF(AK153=2,AE153,""))="R","VT REJETÉ – À REPRENDRE",IF(OR(AL153="CO",AL153="NT"),"COUPE – À RESOUDER","À RÉPARER"))))))))))</f>
        <v>ACCEPTÉ</v>
      </c>
      <c r="AN153" s="81" t="str">
        <f aca="false">IF(AND(ISNUMBER(R153),OR(AM153="À RADIOGRAPHIER",AM153="RÉPARÉ – À RADIOGRAPHIER",AM153="NX – RT À REFAIRE",AM153="À RÉPARER",AM153="COUPE – À RESOUDER",AM153="VT REJETÉ – À REPRENDRE")),MAX(0,'PROGRAMME RT'!$C$4-R153),"")</f>
        <v/>
      </c>
      <c r="AO153" s="78" t="n">
        <f aca="false">IF(AND(OR(AM153="À RADIOGRAPHIER",AM153="RÉPARÉ – À RADIOGRAPHIER",AM153="NX – RT À REFAIRE"),OR('PROGRAMME RT'!$D$5="TOUTES",B153='PROGRAMME RT'!$D$5)),1,0)</f>
        <v>0</v>
      </c>
      <c r="AP153" s="78" t="str">
        <f aca="false">IF(AO153=1,SUM(AO$7:AO153),"")</f>
        <v/>
      </c>
      <c r="AQ153" s="78" t="n">
        <f aca="false">IF(AND(OR(X153="R",X153="NX",X153="NT",X153="CO"),OR('JOINTS DE RÉPARATION'!$D$5="TOUTES",B153='JOINTS DE RÉPARATION'!$D$5),OR('JOINTS DE RÉPARATION'!$L$4="TOUS",AM153&lt;&gt;"ACCEPTÉ")),1,0)</f>
        <v>0</v>
      </c>
      <c r="AR153" s="78" t="str">
        <f aca="false">IF(AQ153=1,SUM(AQ$7:AQ153),"")</f>
        <v/>
      </c>
    </row>
    <row r="154" customFormat="false" ht="15" hidden="false" customHeight="false" outlineLevel="0" collapsed="false">
      <c r="A154" s="78" t="n">
        <f aca="false">IF(E154="","",ROW()-6)</f>
        <v>148</v>
      </c>
      <c r="B154" s="79" t="s">
        <v>102</v>
      </c>
      <c r="C154" s="80" t="s">
        <v>451</v>
      </c>
      <c r="D154" s="80" t="s">
        <v>318</v>
      </c>
      <c r="E154" s="80" t="s">
        <v>454</v>
      </c>
      <c r="F154" s="80" t="s">
        <v>151</v>
      </c>
      <c r="G154" s="80" t="s">
        <v>106</v>
      </c>
      <c r="H154" s="80" t="n">
        <v>11</v>
      </c>
      <c r="I154" s="80" t="s">
        <v>114</v>
      </c>
      <c r="J154" s="80" t="s">
        <v>132</v>
      </c>
      <c r="K154" s="80" t="s">
        <v>453</v>
      </c>
      <c r="L154" s="84" t="n">
        <f aca="false">IF(K154="","",IFERROR(INDEX(BARDAGE!$C$7:$C$1506,MATCH(K154,BARDAGE!$B$7:$B$1506,0)),"? hors registre"))</f>
        <v>24803581</v>
      </c>
      <c r="M154" s="80" t="s">
        <v>455</v>
      </c>
      <c r="N154" s="84" t="n">
        <f aca="false">IF(M154="","",IFERROR(INDEX(BARDAGE!$C$7:$C$1506,MATCH(M154,BARDAGE!$B$7:$B$1506,0)),"? hors registre"))</f>
        <v>24803578</v>
      </c>
      <c r="O154" s="80" t="s">
        <v>141</v>
      </c>
      <c r="P154" s="80" t="s">
        <v>141</v>
      </c>
      <c r="Q154" s="80" t="s">
        <v>204</v>
      </c>
      <c r="R154" s="82" t="n">
        <v>45886</v>
      </c>
      <c r="S154" s="82" t="n">
        <v>45886</v>
      </c>
      <c r="T154" s="80" t="s">
        <v>420</v>
      </c>
      <c r="U154" s="80" t="s">
        <v>105</v>
      </c>
      <c r="V154" s="82" t="n">
        <v>45895</v>
      </c>
      <c r="W154" s="80" t="s">
        <v>432</v>
      </c>
      <c r="X154" s="80" t="s">
        <v>105</v>
      </c>
      <c r="Y154" s="80"/>
      <c r="Z154" s="80"/>
      <c r="AA154" s="82"/>
      <c r="AB154" s="80"/>
      <c r="AC154" s="80"/>
      <c r="AD154" s="80"/>
      <c r="AE154" s="80"/>
      <c r="AF154" s="82"/>
      <c r="AG154" s="80"/>
      <c r="AH154" s="80"/>
      <c r="AI154" s="82"/>
      <c r="AJ154" s="79"/>
      <c r="AK154" s="78" t="n">
        <f aca="false">IF(E154="","",(X154&lt;&gt;"")+(AC154&lt;&gt;"")+(AH154&lt;&gt;""))</f>
        <v>1</v>
      </c>
      <c r="AL154" s="81" t="str">
        <f aca="false">IF(AH154&lt;&gt;"",AH154,IF(AC154&lt;&gt;"",AC154,IF(X154&lt;&gt;"",X154,"")))</f>
        <v>A</v>
      </c>
      <c r="AM154" s="83" t="str">
        <f aca="false">IF(E154="","",IF(R154="","À SOUDER",IF(U154="","VT EN ATTENTE",IF(U154="R","VT REJETÉ – À REPRENDRE",IF(AL154="","À RADIOGRAPHIER",IF(AL154="A","ACCEPTÉ",IF(AL154="NX","NX – RT À REFAIRE",IF(IF(AK154=1,Z154,IF(AK154=2,AE154,""))="A","RÉPARÉ – À RADIOGRAPHIER",IF(IF(AK154=1,Z154,IF(AK154=2,AE154,""))="R","VT REJETÉ – À REPRENDRE",IF(OR(AL154="CO",AL154="NT"),"COUPE – À RESOUDER","À RÉPARER"))))))))))</f>
        <v>ACCEPTÉ</v>
      </c>
      <c r="AN154" s="81" t="str">
        <f aca="false">IF(AND(ISNUMBER(R154),OR(AM154="À RADIOGRAPHIER",AM154="RÉPARÉ – À RADIOGRAPHIER",AM154="NX – RT À REFAIRE",AM154="À RÉPARER",AM154="COUPE – À RESOUDER",AM154="VT REJETÉ – À REPRENDRE")),MAX(0,'PROGRAMME RT'!$C$4-R154),"")</f>
        <v/>
      </c>
      <c r="AO154" s="78" t="n">
        <f aca="false">IF(AND(OR(AM154="À RADIOGRAPHIER",AM154="RÉPARÉ – À RADIOGRAPHIER",AM154="NX – RT À REFAIRE"),OR('PROGRAMME RT'!$D$5="TOUTES",B154='PROGRAMME RT'!$D$5)),1,0)</f>
        <v>0</v>
      </c>
      <c r="AP154" s="78" t="str">
        <f aca="false">IF(AO154=1,SUM(AO$7:AO154),"")</f>
        <v/>
      </c>
      <c r="AQ154" s="78" t="n">
        <f aca="false">IF(AND(OR(X154="R",X154="NX",X154="NT",X154="CO"),OR('JOINTS DE RÉPARATION'!$D$5="TOUTES",B154='JOINTS DE RÉPARATION'!$D$5),OR('JOINTS DE RÉPARATION'!$L$4="TOUS",AM154&lt;&gt;"ACCEPTÉ")),1,0)</f>
        <v>0</v>
      </c>
      <c r="AR154" s="78" t="str">
        <f aca="false">IF(AQ154=1,SUM(AQ$7:AQ154),"")</f>
        <v/>
      </c>
    </row>
    <row r="155" customFormat="false" ht="15" hidden="false" customHeight="false" outlineLevel="0" collapsed="false">
      <c r="A155" s="78" t="n">
        <f aca="false">IF(E155="","",ROW()-6)</f>
        <v>149</v>
      </c>
      <c r="B155" s="79" t="s">
        <v>102</v>
      </c>
      <c r="C155" s="80" t="s">
        <v>451</v>
      </c>
      <c r="D155" s="80" t="s">
        <v>318</v>
      </c>
      <c r="E155" s="80" t="s">
        <v>456</v>
      </c>
      <c r="F155" s="80" t="s">
        <v>151</v>
      </c>
      <c r="G155" s="80" t="s">
        <v>106</v>
      </c>
      <c r="H155" s="80" t="n">
        <v>11</v>
      </c>
      <c r="I155" s="80" t="s">
        <v>114</v>
      </c>
      <c r="J155" s="80" t="s">
        <v>132</v>
      </c>
      <c r="K155" s="80" t="s">
        <v>455</v>
      </c>
      <c r="L155" s="84" t="n">
        <f aca="false">IF(K155="","",IFERROR(INDEX(BARDAGE!$C$7:$C$1506,MATCH(K155,BARDAGE!$B$7:$B$1506,0)),"? hors registre"))</f>
        <v>24803578</v>
      </c>
      <c r="M155" s="80" t="s">
        <v>430</v>
      </c>
      <c r="N155" s="84" t="n">
        <f aca="false">IF(M155="","",IFERROR(INDEX(BARDAGE!$C$7:$C$1506,MATCH(M155,BARDAGE!$B$7:$B$1506,0)),"? hors registre"))</f>
        <v>24803578</v>
      </c>
      <c r="O155" s="80" t="s">
        <v>141</v>
      </c>
      <c r="P155" s="80" t="s">
        <v>141</v>
      </c>
      <c r="Q155" s="80" t="s">
        <v>204</v>
      </c>
      <c r="R155" s="82" t="n">
        <v>45886</v>
      </c>
      <c r="S155" s="82" t="n">
        <v>45886</v>
      </c>
      <c r="T155" s="80" t="s">
        <v>420</v>
      </c>
      <c r="U155" s="80" t="s">
        <v>105</v>
      </c>
      <c r="V155" s="82" t="n">
        <v>45895</v>
      </c>
      <c r="W155" s="80" t="s">
        <v>432</v>
      </c>
      <c r="X155" s="80" t="s">
        <v>105</v>
      </c>
      <c r="Y155" s="80"/>
      <c r="Z155" s="80"/>
      <c r="AA155" s="82"/>
      <c r="AB155" s="80"/>
      <c r="AC155" s="80"/>
      <c r="AD155" s="80"/>
      <c r="AE155" s="80"/>
      <c r="AF155" s="82"/>
      <c r="AG155" s="80"/>
      <c r="AH155" s="80"/>
      <c r="AI155" s="82"/>
      <c r="AJ155" s="79"/>
      <c r="AK155" s="78" t="n">
        <f aca="false">IF(E155="","",(X155&lt;&gt;"")+(AC155&lt;&gt;"")+(AH155&lt;&gt;""))</f>
        <v>1</v>
      </c>
      <c r="AL155" s="81" t="str">
        <f aca="false">IF(AH155&lt;&gt;"",AH155,IF(AC155&lt;&gt;"",AC155,IF(X155&lt;&gt;"",X155,"")))</f>
        <v>A</v>
      </c>
      <c r="AM155" s="83" t="str">
        <f aca="false">IF(E155="","",IF(R155="","À SOUDER",IF(U155="","VT EN ATTENTE",IF(U155="R","VT REJETÉ – À REPRENDRE",IF(AL155="","À RADIOGRAPHIER",IF(AL155="A","ACCEPTÉ",IF(AL155="NX","NX – RT À REFAIRE",IF(IF(AK155=1,Z155,IF(AK155=2,AE155,""))="A","RÉPARÉ – À RADIOGRAPHIER",IF(IF(AK155=1,Z155,IF(AK155=2,AE155,""))="R","VT REJETÉ – À REPRENDRE",IF(OR(AL155="CO",AL155="NT"),"COUPE – À RESOUDER","À RÉPARER"))))))))))</f>
        <v>ACCEPTÉ</v>
      </c>
      <c r="AN155" s="81" t="str">
        <f aca="false">IF(AND(ISNUMBER(R155),OR(AM155="À RADIOGRAPHIER",AM155="RÉPARÉ – À RADIOGRAPHIER",AM155="NX – RT À REFAIRE",AM155="À RÉPARER",AM155="COUPE – À RESOUDER",AM155="VT REJETÉ – À REPRENDRE")),MAX(0,'PROGRAMME RT'!$C$4-R155),"")</f>
        <v/>
      </c>
      <c r="AO155" s="78" t="n">
        <f aca="false">IF(AND(OR(AM155="À RADIOGRAPHIER",AM155="RÉPARÉ – À RADIOGRAPHIER",AM155="NX – RT À REFAIRE"),OR('PROGRAMME RT'!$D$5="TOUTES",B155='PROGRAMME RT'!$D$5)),1,0)</f>
        <v>0</v>
      </c>
      <c r="AP155" s="78" t="str">
        <f aca="false">IF(AO155=1,SUM(AO$7:AO155),"")</f>
        <v/>
      </c>
      <c r="AQ155" s="78" t="n">
        <f aca="false">IF(AND(OR(X155="R",X155="NX",X155="NT",X155="CO"),OR('JOINTS DE RÉPARATION'!$D$5="TOUTES",B155='JOINTS DE RÉPARATION'!$D$5),OR('JOINTS DE RÉPARATION'!$L$4="TOUS",AM155&lt;&gt;"ACCEPTÉ")),1,0)</f>
        <v>0</v>
      </c>
      <c r="AR155" s="78" t="str">
        <f aca="false">IF(AQ155=1,SUM(AQ$7:AQ155),"")</f>
        <v/>
      </c>
    </row>
    <row r="156" customFormat="false" ht="15" hidden="false" customHeight="false" outlineLevel="0" collapsed="false">
      <c r="A156" s="78" t="n">
        <f aca="false">IF(E156="","",ROW()-6)</f>
        <v>150</v>
      </c>
      <c r="B156" s="79" t="s">
        <v>102</v>
      </c>
      <c r="C156" s="80" t="s">
        <v>451</v>
      </c>
      <c r="D156" s="80" t="s">
        <v>318</v>
      </c>
      <c r="E156" s="80" t="s">
        <v>457</v>
      </c>
      <c r="F156" s="80" t="s">
        <v>151</v>
      </c>
      <c r="G156" s="80" t="s">
        <v>106</v>
      </c>
      <c r="H156" s="80" t="n">
        <v>11</v>
      </c>
      <c r="I156" s="80" t="s">
        <v>114</v>
      </c>
      <c r="J156" s="80" t="s">
        <v>132</v>
      </c>
      <c r="K156" s="80" t="s">
        <v>430</v>
      </c>
      <c r="L156" s="84" t="n">
        <f aca="false">IF(K156="","",IFERROR(INDEX(BARDAGE!$C$7:$C$1506,MATCH(K156,BARDAGE!$B$7:$B$1506,0)),"? hors registre"))</f>
        <v>24803578</v>
      </c>
      <c r="M156" s="80" t="s">
        <v>458</v>
      </c>
      <c r="N156" s="84" t="n">
        <f aca="false">IF(M156="","",IFERROR(INDEX(BARDAGE!$C$7:$C$1506,MATCH(M156,BARDAGE!$B$7:$B$1506,0)),"? hors registre"))</f>
        <v>24803578</v>
      </c>
      <c r="O156" s="80" t="s">
        <v>141</v>
      </c>
      <c r="P156" s="80" t="s">
        <v>141</v>
      </c>
      <c r="Q156" s="80" t="s">
        <v>134</v>
      </c>
      <c r="R156" s="82" t="n">
        <v>45886</v>
      </c>
      <c r="S156" s="82" t="n">
        <v>45886</v>
      </c>
      <c r="T156" s="80" t="s">
        <v>420</v>
      </c>
      <c r="U156" s="80" t="s">
        <v>105</v>
      </c>
      <c r="V156" s="82" t="n">
        <v>45895</v>
      </c>
      <c r="W156" s="80" t="s">
        <v>432</v>
      </c>
      <c r="X156" s="80" t="s">
        <v>105</v>
      </c>
      <c r="Y156" s="80"/>
      <c r="Z156" s="80"/>
      <c r="AA156" s="82"/>
      <c r="AB156" s="80"/>
      <c r="AC156" s="80"/>
      <c r="AD156" s="80"/>
      <c r="AE156" s="80"/>
      <c r="AF156" s="82"/>
      <c r="AG156" s="80"/>
      <c r="AH156" s="80"/>
      <c r="AI156" s="82"/>
      <c r="AJ156" s="79"/>
      <c r="AK156" s="78" t="n">
        <f aca="false">IF(E156="","",(X156&lt;&gt;"")+(AC156&lt;&gt;"")+(AH156&lt;&gt;""))</f>
        <v>1</v>
      </c>
      <c r="AL156" s="81" t="str">
        <f aca="false">IF(AH156&lt;&gt;"",AH156,IF(AC156&lt;&gt;"",AC156,IF(X156&lt;&gt;"",X156,"")))</f>
        <v>A</v>
      </c>
      <c r="AM156" s="83" t="str">
        <f aca="false">IF(E156="","",IF(R156="","À SOUDER",IF(U156="","VT EN ATTENTE",IF(U156="R","VT REJETÉ – À REPRENDRE",IF(AL156="","À RADIOGRAPHIER",IF(AL156="A","ACCEPTÉ",IF(AL156="NX","NX – RT À REFAIRE",IF(IF(AK156=1,Z156,IF(AK156=2,AE156,""))="A","RÉPARÉ – À RADIOGRAPHIER",IF(IF(AK156=1,Z156,IF(AK156=2,AE156,""))="R","VT REJETÉ – À REPRENDRE",IF(OR(AL156="CO",AL156="NT"),"COUPE – À RESOUDER","À RÉPARER"))))))))))</f>
        <v>ACCEPTÉ</v>
      </c>
      <c r="AN156" s="81" t="str">
        <f aca="false">IF(AND(ISNUMBER(R156),OR(AM156="À RADIOGRAPHIER",AM156="RÉPARÉ – À RADIOGRAPHIER",AM156="NX – RT À REFAIRE",AM156="À RÉPARER",AM156="COUPE – À RESOUDER",AM156="VT REJETÉ – À REPRENDRE")),MAX(0,'PROGRAMME RT'!$C$4-R156),"")</f>
        <v/>
      </c>
      <c r="AO156" s="78" t="n">
        <f aca="false">IF(AND(OR(AM156="À RADIOGRAPHIER",AM156="RÉPARÉ – À RADIOGRAPHIER",AM156="NX – RT À REFAIRE"),OR('PROGRAMME RT'!$D$5="TOUTES",B156='PROGRAMME RT'!$D$5)),1,0)</f>
        <v>0</v>
      </c>
      <c r="AP156" s="78" t="str">
        <f aca="false">IF(AO156=1,SUM(AO$7:AO156),"")</f>
        <v/>
      </c>
      <c r="AQ156" s="78" t="n">
        <f aca="false">IF(AND(OR(X156="R",X156="NX",X156="NT",X156="CO"),OR('JOINTS DE RÉPARATION'!$D$5="TOUTES",B156='JOINTS DE RÉPARATION'!$D$5),OR('JOINTS DE RÉPARATION'!$L$4="TOUS",AM156&lt;&gt;"ACCEPTÉ")),1,0)</f>
        <v>0</v>
      </c>
      <c r="AR156" s="78" t="str">
        <f aca="false">IF(AQ156=1,SUM(AQ$7:AQ156),"")</f>
        <v/>
      </c>
    </row>
    <row r="157" customFormat="false" ht="15" hidden="false" customHeight="false" outlineLevel="0" collapsed="false">
      <c r="A157" s="78" t="n">
        <f aca="false">IF(E157="","",ROW()-6)</f>
        <v>151</v>
      </c>
      <c r="B157" s="79" t="s">
        <v>102</v>
      </c>
      <c r="C157" s="80" t="s">
        <v>451</v>
      </c>
      <c r="D157" s="80" t="s">
        <v>318</v>
      </c>
      <c r="E157" s="80" t="s">
        <v>459</v>
      </c>
      <c r="F157" s="80" t="s">
        <v>151</v>
      </c>
      <c r="G157" s="80" t="s">
        <v>106</v>
      </c>
      <c r="H157" s="80" t="n">
        <v>11</v>
      </c>
      <c r="I157" s="80" t="s">
        <v>114</v>
      </c>
      <c r="J157" s="80" t="s">
        <v>132</v>
      </c>
      <c r="K157" s="80" t="s">
        <v>458</v>
      </c>
      <c r="L157" s="84" t="n">
        <f aca="false">IF(K157="","",IFERROR(INDEX(BARDAGE!$C$7:$C$1506,MATCH(K157,BARDAGE!$B$7:$B$1506,0)),"? hors registre"))</f>
        <v>24803578</v>
      </c>
      <c r="M157" s="80" t="s">
        <v>460</v>
      </c>
      <c r="N157" s="84" t="n">
        <f aca="false">IF(M157="","",IFERROR(INDEX(BARDAGE!$C$7:$C$1506,MATCH(M157,BARDAGE!$B$7:$B$1506,0)),"? hors registre"))</f>
        <v>24803578</v>
      </c>
      <c r="O157" s="80" t="s">
        <v>141</v>
      </c>
      <c r="P157" s="80" t="s">
        <v>141</v>
      </c>
      <c r="Q157" s="80" t="s">
        <v>125</v>
      </c>
      <c r="R157" s="82" t="n">
        <v>45886</v>
      </c>
      <c r="S157" s="82" t="n">
        <v>45886</v>
      </c>
      <c r="T157" s="80" t="s">
        <v>420</v>
      </c>
      <c r="U157" s="80" t="s">
        <v>105</v>
      </c>
      <c r="V157" s="82" t="n">
        <v>45895</v>
      </c>
      <c r="W157" s="80" t="s">
        <v>432</v>
      </c>
      <c r="X157" s="80" t="s">
        <v>105</v>
      </c>
      <c r="Y157" s="80"/>
      <c r="Z157" s="80"/>
      <c r="AA157" s="82"/>
      <c r="AB157" s="80"/>
      <c r="AC157" s="80"/>
      <c r="AD157" s="80"/>
      <c r="AE157" s="80"/>
      <c r="AF157" s="82"/>
      <c r="AG157" s="80"/>
      <c r="AH157" s="80"/>
      <c r="AI157" s="82"/>
      <c r="AJ157" s="79"/>
      <c r="AK157" s="78" t="n">
        <f aca="false">IF(E157="","",(X157&lt;&gt;"")+(AC157&lt;&gt;"")+(AH157&lt;&gt;""))</f>
        <v>1</v>
      </c>
      <c r="AL157" s="81" t="str">
        <f aca="false">IF(AH157&lt;&gt;"",AH157,IF(AC157&lt;&gt;"",AC157,IF(X157&lt;&gt;"",X157,"")))</f>
        <v>A</v>
      </c>
      <c r="AM157" s="83" t="str">
        <f aca="false">IF(E157="","",IF(R157="","À SOUDER",IF(U157="","VT EN ATTENTE",IF(U157="R","VT REJETÉ – À REPRENDRE",IF(AL157="","À RADIOGRAPHIER",IF(AL157="A","ACCEPTÉ",IF(AL157="NX","NX – RT À REFAIRE",IF(IF(AK157=1,Z157,IF(AK157=2,AE157,""))="A","RÉPARÉ – À RADIOGRAPHIER",IF(IF(AK157=1,Z157,IF(AK157=2,AE157,""))="R","VT REJETÉ – À REPRENDRE",IF(OR(AL157="CO",AL157="NT"),"COUPE – À RESOUDER","À RÉPARER"))))))))))</f>
        <v>ACCEPTÉ</v>
      </c>
      <c r="AN157" s="81" t="str">
        <f aca="false">IF(AND(ISNUMBER(R157),OR(AM157="À RADIOGRAPHIER",AM157="RÉPARÉ – À RADIOGRAPHIER",AM157="NX – RT À REFAIRE",AM157="À RÉPARER",AM157="COUPE – À RESOUDER",AM157="VT REJETÉ – À REPRENDRE")),MAX(0,'PROGRAMME RT'!$C$4-R157),"")</f>
        <v/>
      </c>
      <c r="AO157" s="78" t="n">
        <f aca="false">IF(AND(OR(AM157="À RADIOGRAPHIER",AM157="RÉPARÉ – À RADIOGRAPHIER",AM157="NX – RT À REFAIRE"),OR('PROGRAMME RT'!$D$5="TOUTES",B157='PROGRAMME RT'!$D$5)),1,0)</f>
        <v>0</v>
      </c>
      <c r="AP157" s="78" t="str">
        <f aca="false">IF(AO157=1,SUM(AO$7:AO157),"")</f>
        <v/>
      </c>
      <c r="AQ157" s="78" t="n">
        <f aca="false">IF(AND(OR(X157="R",X157="NX",X157="NT",X157="CO"),OR('JOINTS DE RÉPARATION'!$D$5="TOUTES",B157='JOINTS DE RÉPARATION'!$D$5),OR('JOINTS DE RÉPARATION'!$L$4="TOUS",AM157&lt;&gt;"ACCEPTÉ")),1,0)</f>
        <v>0</v>
      </c>
      <c r="AR157" s="78" t="str">
        <f aca="false">IF(AQ157=1,SUM(AQ$7:AQ157),"")</f>
        <v/>
      </c>
    </row>
    <row r="158" customFormat="false" ht="15" hidden="false" customHeight="false" outlineLevel="0" collapsed="false">
      <c r="A158" s="78" t="n">
        <f aca="false">IF(E158="","",ROW()-6)</f>
        <v>152</v>
      </c>
      <c r="B158" s="79" t="s">
        <v>102</v>
      </c>
      <c r="C158" s="80" t="s">
        <v>451</v>
      </c>
      <c r="D158" s="80" t="s">
        <v>318</v>
      </c>
      <c r="E158" s="80" t="s">
        <v>461</v>
      </c>
      <c r="F158" s="80" t="s">
        <v>151</v>
      </c>
      <c r="G158" s="80" t="s">
        <v>106</v>
      </c>
      <c r="H158" s="80" t="n">
        <v>11</v>
      </c>
      <c r="I158" s="80" t="s">
        <v>114</v>
      </c>
      <c r="J158" s="80" t="s">
        <v>132</v>
      </c>
      <c r="K158" s="80" t="s">
        <v>460</v>
      </c>
      <c r="L158" s="84" t="n">
        <f aca="false">IF(K158="","",IFERROR(INDEX(BARDAGE!$C$7:$C$1506,MATCH(K158,BARDAGE!$B$7:$B$1506,0)),"? hors registre"))</f>
        <v>24803578</v>
      </c>
      <c r="M158" s="80" t="s">
        <v>462</v>
      </c>
      <c r="N158" s="84" t="n">
        <f aca="false">IF(M158="","",IFERROR(INDEX(BARDAGE!$C$7:$C$1506,MATCH(M158,BARDAGE!$B$7:$B$1506,0)),"? hors registre"))</f>
        <v>24102495</v>
      </c>
      <c r="O158" s="80" t="s">
        <v>141</v>
      </c>
      <c r="P158" s="80" t="s">
        <v>141</v>
      </c>
      <c r="Q158" s="80" t="s">
        <v>125</v>
      </c>
      <c r="R158" s="82" t="n">
        <v>45886</v>
      </c>
      <c r="S158" s="82" t="n">
        <v>45886</v>
      </c>
      <c r="T158" s="80" t="s">
        <v>420</v>
      </c>
      <c r="U158" s="80" t="s">
        <v>105</v>
      </c>
      <c r="V158" s="82" t="n">
        <v>45895</v>
      </c>
      <c r="W158" s="80" t="s">
        <v>432</v>
      </c>
      <c r="X158" s="80" t="s">
        <v>105</v>
      </c>
      <c r="Y158" s="80"/>
      <c r="Z158" s="80"/>
      <c r="AA158" s="82"/>
      <c r="AB158" s="80"/>
      <c r="AC158" s="80"/>
      <c r="AD158" s="80"/>
      <c r="AE158" s="80"/>
      <c r="AF158" s="82"/>
      <c r="AG158" s="80"/>
      <c r="AH158" s="80"/>
      <c r="AI158" s="82"/>
      <c r="AJ158" s="79"/>
      <c r="AK158" s="78" t="n">
        <f aca="false">IF(E158="","",(X158&lt;&gt;"")+(AC158&lt;&gt;"")+(AH158&lt;&gt;""))</f>
        <v>1</v>
      </c>
      <c r="AL158" s="81" t="str">
        <f aca="false">IF(AH158&lt;&gt;"",AH158,IF(AC158&lt;&gt;"",AC158,IF(X158&lt;&gt;"",X158,"")))</f>
        <v>A</v>
      </c>
      <c r="AM158" s="83" t="str">
        <f aca="false">IF(E158="","",IF(R158="","À SOUDER",IF(U158="","VT EN ATTENTE",IF(U158="R","VT REJETÉ – À REPRENDRE",IF(AL158="","À RADIOGRAPHIER",IF(AL158="A","ACCEPTÉ",IF(AL158="NX","NX – RT À REFAIRE",IF(IF(AK158=1,Z158,IF(AK158=2,AE158,""))="A","RÉPARÉ – À RADIOGRAPHIER",IF(IF(AK158=1,Z158,IF(AK158=2,AE158,""))="R","VT REJETÉ – À REPRENDRE",IF(OR(AL158="CO",AL158="NT"),"COUPE – À RESOUDER","À RÉPARER"))))))))))</f>
        <v>ACCEPTÉ</v>
      </c>
      <c r="AN158" s="81" t="str">
        <f aca="false">IF(AND(ISNUMBER(R158),OR(AM158="À RADIOGRAPHIER",AM158="RÉPARÉ – À RADIOGRAPHIER",AM158="NX – RT À REFAIRE",AM158="À RÉPARER",AM158="COUPE – À RESOUDER",AM158="VT REJETÉ – À REPRENDRE")),MAX(0,'PROGRAMME RT'!$C$4-R158),"")</f>
        <v/>
      </c>
      <c r="AO158" s="78" t="n">
        <f aca="false">IF(AND(OR(AM158="À RADIOGRAPHIER",AM158="RÉPARÉ – À RADIOGRAPHIER",AM158="NX – RT À REFAIRE"),OR('PROGRAMME RT'!$D$5="TOUTES",B158='PROGRAMME RT'!$D$5)),1,0)</f>
        <v>0</v>
      </c>
      <c r="AP158" s="78" t="str">
        <f aca="false">IF(AO158=1,SUM(AO$7:AO158),"")</f>
        <v/>
      </c>
      <c r="AQ158" s="78" t="n">
        <f aca="false">IF(AND(OR(X158="R",X158="NX",X158="NT",X158="CO"),OR('JOINTS DE RÉPARATION'!$D$5="TOUTES",B158='JOINTS DE RÉPARATION'!$D$5),OR('JOINTS DE RÉPARATION'!$L$4="TOUS",AM158&lt;&gt;"ACCEPTÉ")),1,0)</f>
        <v>0</v>
      </c>
      <c r="AR158" s="78" t="str">
        <f aca="false">IF(AQ158=1,SUM(AQ$7:AQ158),"")</f>
        <v/>
      </c>
    </row>
    <row r="159" customFormat="false" ht="15" hidden="false" customHeight="false" outlineLevel="0" collapsed="false">
      <c r="A159" s="78" t="n">
        <f aca="false">IF(E159="","",ROW()-6)</f>
        <v>153</v>
      </c>
      <c r="B159" s="79" t="s">
        <v>102</v>
      </c>
      <c r="C159" s="80" t="s">
        <v>451</v>
      </c>
      <c r="D159" s="80" t="s">
        <v>318</v>
      </c>
      <c r="E159" s="80" t="s">
        <v>463</v>
      </c>
      <c r="F159" s="80" t="s">
        <v>151</v>
      </c>
      <c r="G159" s="80" t="s">
        <v>106</v>
      </c>
      <c r="H159" s="80" t="n">
        <v>11</v>
      </c>
      <c r="I159" s="80" t="s">
        <v>114</v>
      </c>
      <c r="J159" s="80" t="s">
        <v>132</v>
      </c>
      <c r="K159" s="80" t="s">
        <v>462</v>
      </c>
      <c r="L159" s="84" t="n">
        <f aca="false">IF(K159="","",IFERROR(INDEX(BARDAGE!$C$7:$C$1506,MATCH(K159,BARDAGE!$B$7:$B$1506,0)),"? hors registre"))</f>
        <v>24102495</v>
      </c>
      <c r="M159" s="80" t="s">
        <v>464</v>
      </c>
      <c r="N159" s="84" t="n">
        <f aca="false">IF(M159="","",IFERROR(INDEX(BARDAGE!$C$7:$C$1506,MATCH(M159,BARDAGE!$B$7:$B$1506,0)),"? hors registre"))</f>
        <v>24102488</v>
      </c>
      <c r="O159" s="80" t="s">
        <v>141</v>
      </c>
      <c r="P159" s="80" t="s">
        <v>141</v>
      </c>
      <c r="Q159" s="80" t="s">
        <v>134</v>
      </c>
      <c r="R159" s="82" t="n">
        <v>45886</v>
      </c>
      <c r="S159" s="82" t="n">
        <v>45886</v>
      </c>
      <c r="T159" s="80" t="s">
        <v>420</v>
      </c>
      <c r="U159" s="80" t="s">
        <v>105</v>
      </c>
      <c r="V159" s="82" t="n">
        <v>45895</v>
      </c>
      <c r="W159" s="80" t="s">
        <v>432</v>
      </c>
      <c r="X159" s="80" t="s">
        <v>105</v>
      </c>
      <c r="Y159" s="80"/>
      <c r="Z159" s="80"/>
      <c r="AA159" s="82"/>
      <c r="AB159" s="80"/>
      <c r="AC159" s="80"/>
      <c r="AD159" s="80"/>
      <c r="AE159" s="80"/>
      <c r="AF159" s="82"/>
      <c r="AG159" s="80"/>
      <c r="AH159" s="80"/>
      <c r="AI159" s="82"/>
      <c r="AJ159" s="79"/>
      <c r="AK159" s="78" t="n">
        <f aca="false">IF(E159="","",(X159&lt;&gt;"")+(AC159&lt;&gt;"")+(AH159&lt;&gt;""))</f>
        <v>1</v>
      </c>
      <c r="AL159" s="81" t="str">
        <f aca="false">IF(AH159&lt;&gt;"",AH159,IF(AC159&lt;&gt;"",AC159,IF(X159&lt;&gt;"",X159,"")))</f>
        <v>A</v>
      </c>
      <c r="AM159" s="83" t="str">
        <f aca="false">IF(E159="","",IF(R159="","À SOUDER",IF(U159="","VT EN ATTENTE",IF(U159="R","VT REJETÉ – À REPRENDRE",IF(AL159="","À RADIOGRAPHIER",IF(AL159="A","ACCEPTÉ",IF(AL159="NX","NX – RT À REFAIRE",IF(IF(AK159=1,Z159,IF(AK159=2,AE159,""))="A","RÉPARÉ – À RADIOGRAPHIER",IF(IF(AK159=1,Z159,IF(AK159=2,AE159,""))="R","VT REJETÉ – À REPRENDRE",IF(OR(AL159="CO",AL159="NT"),"COUPE – À RESOUDER","À RÉPARER"))))))))))</f>
        <v>ACCEPTÉ</v>
      </c>
      <c r="AN159" s="81" t="str">
        <f aca="false">IF(AND(ISNUMBER(R159),OR(AM159="À RADIOGRAPHIER",AM159="RÉPARÉ – À RADIOGRAPHIER",AM159="NX – RT À REFAIRE",AM159="À RÉPARER",AM159="COUPE – À RESOUDER",AM159="VT REJETÉ – À REPRENDRE")),MAX(0,'PROGRAMME RT'!$C$4-R159),"")</f>
        <v/>
      </c>
      <c r="AO159" s="78" t="n">
        <f aca="false">IF(AND(OR(AM159="À RADIOGRAPHIER",AM159="RÉPARÉ – À RADIOGRAPHIER",AM159="NX – RT À REFAIRE"),OR('PROGRAMME RT'!$D$5="TOUTES",B159='PROGRAMME RT'!$D$5)),1,0)</f>
        <v>0</v>
      </c>
      <c r="AP159" s="78" t="str">
        <f aca="false">IF(AO159=1,SUM(AO$7:AO159),"")</f>
        <v/>
      </c>
      <c r="AQ159" s="78" t="n">
        <f aca="false">IF(AND(OR(X159="R",X159="NX",X159="NT",X159="CO"),OR('JOINTS DE RÉPARATION'!$D$5="TOUTES",B159='JOINTS DE RÉPARATION'!$D$5),OR('JOINTS DE RÉPARATION'!$L$4="TOUS",AM159&lt;&gt;"ACCEPTÉ")),1,0)</f>
        <v>0</v>
      </c>
      <c r="AR159" s="78" t="str">
        <f aca="false">IF(AQ159=1,SUM(AQ$7:AQ159),"")</f>
        <v/>
      </c>
    </row>
    <row r="160" customFormat="false" ht="15" hidden="false" customHeight="false" outlineLevel="0" collapsed="false">
      <c r="A160" s="78" t="n">
        <f aca="false">IF(E160="","",ROW()-6)</f>
        <v>154</v>
      </c>
      <c r="B160" s="79" t="s">
        <v>102</v>
      </c>
      <c r="C160" s="80" t="s">
        <v>451</v>
      </c>
      <c r="D160" s="80" t="s">
        <v>318</v>
      </c>
      <c r="E160" s="80" t="s">
        <v>465</v>
      </c>
      <c r="F160" s="80" t="s">
        <v>151</v>
      </c>
      <c r="G160" s="80" t="s">
        <v>106</v>
      </c>
      <c r="H160" s="80" t="n">
        <v>11</v>
      </c>
      <c r="I160" s="80" t="s">
        <v>114</v>
      </c>
      <c r="J160" s="80" t="s">
        <v>132</v>
      </c>
      <c r="K160" s="80" t="s">
        <v>464</v>
      </c>
      <c r="L160" s="84" t="n">
        <f aca="false">IF(K160="","",IFERROR(INDEX(BARDAGE!$C$7:$C$1506,MATCH(K160,BARDAGE!$B$7:$B$1506,0)),"? hors registre"))</f>
        <v>24102488</v>
      </c>
      <c r="M160" s="80" t="s">
        <v>466</v>
      </c>
      <c r="N160" s="84" t="n">
        <f aca="false">IF(M160="","",IFERROR(INDEX(BARDAGE!$C$7:$C$1506,MATCH(M160,BARDAGE!$B$7:$B$1506,0)),"? hors registre"))</f>
        <v>24102488</v>
      </c>
      <c r="O160" s="80" t="s">
        <v>141</v>
      </c>
      <c r="P160" s="80" t="s">
        <v>141</v>
      </c>
      <c r="Q160" s="80" t="s">
        <v>125</v>
      </c>
      <c r="R160" s="82" t="n">
        <v>45886</v>
      </c>
      <c r="S160" s="82" t="n">
        <v>45886</v>
      </c>
      <c r="T160" s="80" t="s">
        <v>420</v>
      </c>
      <c r="U160" s="80" t="s">
        <v>105</v>
      </c>
      <c r="V160" s="82" t="n">
        <v>45895</v>
      </c>
      <c r="W160" s="80" t="s">
        <v>432</v>
      </c>
      <c r="X160" s="80" t="s">
        <v>105</v>
      </c>
      <c r="Y160" s="80"/>
      <c r="Z160" s="80"/>
      <c r="AA160" s="82"/>
      <c r="AB160" s="80"/>
      <c r="AC160" s="80"/>
      <c r="AD160" s="80"/>
      <c r="AE160" s="80"/>
      <c r="AF160" s="82"/>
      <c r="AG160" s="80"/>
      <c r="AH160" s="80"/>
      <c r="AI160" s="82"/>
      <c r="AJ160" s="79"/>
      <c r="AK160" s="78" t="n">
        <f aca="false">IF(E160="","",(X160&lt;&gt;"")+(AC160&lt;&gt;"")+(AH160&lt;&gt;""))</f>
        <v>1</v>
      </c>
      <c r="AL160" s="81" t="str">
        <f aca="false">IF(AH160&lt;&gt;"",AH160,IF(AC160&lt;&gt;"",AC160,IF(X160&lt;&gt;"",X160,"")))</f>
        <v>A</v>
      </c>
      <c r="AM160" s="83" t="str">
        <f aca="false">IF(E160="","",IF(R160="","À SOUDER",IF(U160="","VT EN ATTENTE",IF(U160="R","VT REJETÉ – À REPRENDRE",IF(AL160="","À RADIOGRAPHIER",IF(AL160="A","ACCEPTÉ",IF(AL160="NX","NX – RT À REFAIRE",IF(IF(AK160=1,Z160,IF(AK160=2,AE160,""))="A","RÉPARÉ – À RADIOGRAPHIER",IF(IF(AK160=1,Z160,IF(AK160=2,AE160,""))="R","VT REJETÉ – À REPRENDRE",IF(OR(AL160="CO",AL160="NT"),"COUPE – À RESOUDER","À RÉPARER"))))))))))</f>
        <v>ACCEPTÉ</v>
      </c>
      <c r="AN160" s="81" t="str">
        <f aca="false">IF(AND(ISNUMBER(R160),OR(AM160="À RADIOGRAPHIER",AM160="RÉPARÉ – À RADIOGRAPHIER",AM160="NX – RT À REFAIRE",AM160="À RÉPARER",AM160="COUPE – À RESOUDER",AM160="VT REJETÉ – À REPRENDRE")),MAX(0,'PROGRAMME RT'!$C$4-R160),"")</f>
        <v/>
      </c>
      <c r="AO160" s="78" t="n">
        <f aca="false">IF(AND(OR(AM160="À RADIOGRAPHIER",AM160="RÉPARÉ – À RADIOGRAPHIER",AM160="NX – RT À REFAIRE"),OR('PROGRAMME RT'!$D$5="TOUTES",B160='PROGRAMME RT'!$D$5)),1,0)</f>
        <v>0</v>
      </c>
      <c r="AP160" s="78" t="str">
        <f aca="false">IF(AO160=1,SUM(AO$7:AO160),"")</f>
        <v/>
      </c>
      <c r="AQ160" s="78" t="n">
        <f aca="false">IF(AND(OR(X160="R",X160="NX",X160="NT",X160="CO"),OR('JOINTS DE RÉPARATION'!$D$5="TOUTES",B160='JOINTS DE RÉPARATION'!$D$5),OR('JOINTS DE RÉPARATION'!$L$4="TOUS",AM160&lt;&gt;"ACCEPTÉ")),1,0)</f>
        <v>0</v>
      </c>
      <c r="AR160" s="78" t="str">
        <f aca="false">IF(AQ160=1,SUM(AQ$7:AQ160),"")</f>
        <v/>
      </c>
    </row>
    <row r="161" customFormat="false" ht="15" hidden="false" customHeight="false" outlineLevel="0" collapsed="false">
      <c r="A161" s="78" t="n">
        <f aca="false">IF(E161="","",ROW()-6)</f>
        <v>155</v>
      </c>
      <c r="B161" s="79" t="s">
        <v>102</v>
      </c>
      <c r="C161" s="80" t="s">
        <v>451</v>
      </c>
      <c r="D161" s="80" t="s">
        <v>318</v>
      </c>
      <c r="E161" s="80" t="s">
        <v>467</v>
      </c>
      <c r="F161" s="80" t="s">
        <v>151</v>
      </c>
      <c r="G161" s="80" t="s">
        <v>106</v>
      </c>
      <c r="H161" s="80" t="n">
        <v>11</v>
      </c>
      <c r="I161" s="80" t="s">
        <v>114</v>
      </c>
      <c r="J161" s="80" t="s">
        <v>132</v>
      </c>
      <c r="K161" s="80" t="s">
        <v>466</v>
      </c>
      <c r="L161" s="84" t="n">
        <f aca="false">IF(K161="","",IFERROR(INDEX(BARDAGE!$C$7:$C$1506,MATCH(K161,BARDAGE!$B$7:$B$1506,0)),"? hors registre"))</f>
        <v>24102488</v>
      </c>
      <c r="M161" s="80" t="s">
        <v>468</v>
      </c>
      <c r="N161" s="84" t="n">
        <f aca="false">IF(M161="","",IFERROR(INDEX(BARDAGE!$C$7:$C$1506,MATCH(M161,BARDAGE!$B$7:$B$1506,0)),"? hors registre"))</f>
        <v>24102495</v>
      </c>
      <c r="O161" s="80" t="s">
        <v>141</v>
      </c>
      <c r="P161" s="80" t="s">
        <v>141</v>
      </c>
      <c r="Q161" s="80" t="s">
        <v>204</v>
      </c>
      <c r="R161" s="82" t="n">
        <v>45886</v>
      </c>
      <c r="S161" s="82" t="n">
        <v>45886</v>
      </c>
      <c r="T161" s="80" t="s">
        <v>420</v>
      </c>
      <c r="U161" s="80" t="s">
        <v>105</v>
      </c>
      <c r="V161" s="82" t="n">
        <v>45896</v>
      </c>
      <c r="W161" s="80" t="s">
        <v>469</v>
      </c>
      <c r="X161" s="80" t="s">
        <v>105</v>
      </c>
      <c r="Y161" s="80"/>
      <c r="Z161" s="80"/>
      <c r="AA161" s="82"/>
      <c r="AB161" s="80"/>
      <c r="AC161" s="80"/>
      <c r="AD161" s="80"/>
      <c r="AE161" s="80"/>
      <c r="AF161" s="82"/>
      <c r="AG161" s="80"/>
      <c r="AH161" s="80"/>
      <c r="AI161" s="82"/>
      <c r="AJ161" s="79"/>
      <c r="AK161" s="78" t="n">
        <f aca="false">IF(E161="","",(X161&lt;&gt;"")+(AC161&lt;&gt;"")+(AH161&lt;&gt;""))</f>
        <v>1</v>
      </c>
      <c r="AL161" s="81" t="str">
        <f aca="false">IF(AH161&lt;&gt;"",AH161,IF(AC161&lt;&gt;"",AC161,IF(X161&lt;&gt;"",X161,"")))</f>
        <v>A</v>
      </c>
      <c r="AM161" s="83" t="str">
        <f aca="false">IF(E161="","",IF(R161="","À SOUDER",IF(U161="","VT EN ATTENTE",IF(U161="R","VT REJETÉ – À REPRENDRE",IF(AL161="","À RADIOGRAPHIER",IF(AL161="A","ACCEPTÉ",IF(AL161="NX","NX – RT À REFAIRE",IF(IF(AK161=1,Z161,IF(AK161=2,AE161,""))="A","RÉPARÉ – À RADIOGRAPHIER",IF(IF(AK161=1,Z161,IF(AK161=2,AE161,""))="R","VT REJETÉ – À REPRENDRE",IF(OR(AL161="CO",AL161="NT"),"COUPE – À RESOUDER","À RÉPARER"))))))))))</f>
        <v>ACCEPTÉ</v>
      </c>
      <c r="AN161" s="81" t="str">
        <f aca="false">IF(AND(ISNUMBER(R161),OR(AM161="À RADIOGRAPHIER",AM161="RÉPARÉ – À RADIOGRAPHIER",AM161="NX – RT À REFAIRE",AM161="À RÉPARER",AM161="COUPE – À RESOUDER",AM161="VT REJETÉ – À REPRENDRE")),MAX(0,'PROGRAMME RT'!$C$4-R161),"")</f>
        <v/>
      </c>
      <c r="AO161" s="78" t="n">
        <f aca="false">IF(AND(OR(AM161="À RADIOGRAPHIER",AM161="RÉPARÉ – À RADIOGRAPHIER",AM161="NX – RT À REFAIRE"),OR('PROGRAMME RT'!$D$5="TOUTES",B161='PROGRAMME RT'!$D$5)),1,0)</f>
        <v>0</v>
      </c>
      <c r="AP161" s="78" t="str">
        <f aca="false">IF(AO161=1,SUM(AO$7:AO161),"")</f>
        <v/>
      </c>
      <c r="AQ161" s="78" t="n">
        <f aca="false">IF(AND(OR(X161="R",X161="NX",X161="NT",X161="CO"),OR('JOINTS DE RÉPARATION'!$D$5="TOUTES",B161='JOINTS DE RÉPARATION'!$D$5),OR('JOINTS DE RÉPARATION'!$L$4="TOUS",AM161&lt;&gt;"ACCEPTÉ")),1,0)</f>
        <v>0</v>
      </c>
      <c r="AR161" s="78" t="str">
        <f aca="false">IF(AQ161=1,SUM(AQ$7:AQ161),"")</f>
        <v/>
      </c>
    </row>
    <row r="162" customFormat="false" ht="15" hidden="false" customHeight="false" outlineLevel="0" collapsed="false">
      <c r="A162" s="78" t="n">
        <f aca="false">IF(E162="","",ROW()-6)</f>
        <v>156</v>
      </c>
      <c r="B162" s="79" t="s">
        <v>102</v>
      </c>
      <c r="C162" s="80" t="s">
        <v>451</v>
      </c>
      <c r="D162" s="80" t="s">
        <v>318</v>
      </c>
      <c r="E162" s="80" t="s">
        <v>470</v>
      </c>
      <c r="F162" s="80" t="s">
        <v>151</v>
      </c>
      <c r="G162" s="80" t="s">
        <v>106</v>
      </c>
      <c r="H162" s="80" t="n">
        <v>11</v>
      </c>
      <c r="I162" s="80" t="s">
        <v>114</v>
      </c>
      <c r="J162" s="80" t="s">
        <v>132</v>
      </c>
      <c r="K162" s="80" t="s">
        <v>468</v>
      </c>
      <c r="L162" s="84" t="n">
        <f aca="false">IF(K162="","",IFERROR(INDEX(BARDAGE!$C$7:$C$1506,MATCH(K162,BARDAGE!$B$7:$B$1506,0)),"? hors registre"))</f>
        <v>24102495</v>
      </c>
      <c r="M162" s="80" t="s">
        <v>471</v>
      </c>
      <c r="N162" s="84" t="n">
        <f aca="false">IF(M162="","",IFERROR(INDEX(BARDAGE!$C$7:$C$1506,MATCH(M162,BARDAGE!$B$7:$B$1506,0)),"? hors registre"))</f>
        <v>24102495</v>
      </c>
      <c r="O162" s="80" t="s">
        <v>141</v>
      </c>
      <c r="P162" s="80" t="s">
        <v>141</v>
      </c>
      <c r="Q162" s="80" t="s">
        <v>134</v>
      </c>
      <c r="R162" s="82" t="n">
        <v>45886</v>
      </c>
      <c r="S162" s="82" t="n">
        <v>45886</v>
      </c>
      <c r="T162" s="80" t="s">
        <v>420</v>
      </c>
      <c r="U162" s="80" t="s">
        <v>105</v>
      </c>
      <c r="V162" s="82" t="n">
        <v>45896</v>
      </c>
      <c r="W162" s="80" t="s">
        <v>469</v>
      </c>
      <c r="X162" s="80" t="s">
        <v>105</v>
      </c>
      <c r="Y162" s="80"/>
      <c r="Z162" s="80"/>
      <c r="AA162" s="82"/>
      <c r="AB162" s="80"/>
      <c r="AC162" s="80"/>
      <c r="AD162" s="80"/>
      <c r="AE162" s="80"/>
      <c r="AF162" s="82"/>
      <c r="AG162" s="80"/>
      <c r="AH162" s="80"/>
      <c r="AI162" s="82"/>
      <c r="AJ162" s="79"/>
      <c r="AK162" s="78" t="n">
        <f aca="false">IF(E162="","",(X162&lt;&gt;"")+(AC162&lt;&gt;"")+(AH162&lt;&gt;""))</f>
        <v>1</v>
      </c>
      <c r="AL162" s="81" t="str">
        <f aca="false">IF(AH162&lt;&gt;"",AH162,IF(AC162&lt;&gt;"",AC162,IF(X162&lt;&gt;"",X162,"")))</f>
        <v>A</v>
      </c>
      <c r="AM162" s="83" t="str">
        <f aca="false">IF(E162="","",IF(R162="","À SOUDER",IF(U162="","VT EN ATTENTE",IF(U162="R","VT REJETÉ – À REPRENDRE",IF(AL162="","À RADIOGRAPHIER",IF(AL162="A","ACCEPTÉ",IF(AL162="NX","NX – RT À REFAIRE",IF(IF(AK162=1,Z162,IF(AK162=2,AE162,""))="A","RÉPARÉ – À RADIOGRAPHIER",IF(IF(AK162=1,Z162,IF(AK162=2,AE162,""))="R","VT REJETÉ – À REPRENDRE",IF(OR(AL162="CO",AL162="NT"),"COUPE – À RESOUDER","À RÉPARER"))))))))))</f>
        <v>ACCEPTÉ</v>
      </c>
      <c r="AN162" s="81" t="str">
        <f aca="false">IF(AND(ISNUMBER(R162),OR(AM162="À RADIOGRAPHIER",AM162="RÉPARÉ – À RADIOGRAPHIER",AM162="NX – RT À REFAIRE",AM162="À RÉPARER",AM162="COUPE – À RESOUDER",AM162="VT REJETÉ – À REPRENDRE")),MAX(0,'PROGRAMME RT'!$C$4-R162),"")</f>
        <v/>
      </c>
      <c r="AO162" s="78" t="n">
        <f aca="false">IF(AND(OR(AM162="À RADIOGRAPHIER",AM162="RÉPARÉ – À RADIOGRAPHIER",AM162="NX – RT À REFAIRE"),OR('PROGRAMME RT'!$D$5="TOUTES",B162='PROGRAMME RT'!$D$5)),1,0)</f>
        <v>0</v>
      </c>
      <c r="AP162" s="78" t="str">
        <f aca="false">IF(AO162=1,SUM(AO$7:AO162),"")</f>
        <v/>
      </c>
      <c r="AQ162" s="78" t="n">
        <f aca="false">IF(AND(OR(X162="R",X162="NX",X162="NT",X162="CO"),OR('JOINTS DE RÉPARATION'!$D$5="TOUTES",B162='JOINTS DE RÉPARATION'!$D$5),OR('JOINTS DE RÉPARATION'!$L$4="TOUS",AM162&lt;&gt;"ACCEPTÉ")),1,0)</f>
        <v>0</v>
      </c>
      <c r="AR162" s="78" t="str">
        <f aca="false">IF(AQ162=1,SUM(AQ$7:AQ162),"")</f>
        <v/>
      </c>
    </row>
    <row r="163" customFormat="false" ht="15" hidden="false" customHeight="false" outlineLevel="0" collapsed="false">
      <c r="A163" s="78" t="n">
        <f aca="false">IF(E163="","",ROW()-6)</f>
        <v>157</v>
      </c>
      <c r="B163" s="79" t="s">
        <v>102</v>
      </c>
      <c r="C163" s="80" t="s">
        <v>451</v>
      </c>
      <c r="D163" s="80" t="s">
        <v>318</v>
      </c>
      <c r="E163" s="80" t="s">
        <v>472</v>
      </c>
      <c r="F163" s="80" t="s">
        <v>151</v>
      </c>
      <c r="G163" s="80" t="s">
        <v>106</v>
      </c>
      <c r="H163" s="80" t="n">
        <v>11</v>
      </c>
      <c r="I163" s="80" t="s">
        <v>114</v>
      </c>
      <c r="J163" s="80" t="s">
        <v>132</v>
      </c>
      <c r="K163" s="80" t="s">
        <v>471</v>
      </c>
      <c r="L163" s="84" t="n">
        <f aca="false">IF(K163="","",IFERROR(INDEX(BARDAGE!$C$7:$C$1506,MATCH(K163,BARDAGE!$B$7:$B$1506,0)),"? hors registre"))</f>
        <v>24102495</v>
      </c>
      <c r="M163" s="80" t="s">
        <v>473</v>
      </c>
      <c r="N163" s="84" t="n">
        <f aca="false">IF(M163="","",IFERROR(INDEX(BARDAGE!$C$7:$C$1506,MATCH(M163,BARDAGE!$B$7:$B$1506,0)),"? hors registre"))</f>
        <v>24803581</v>
      </c>
      <c r="O163" s="80" t="s">
        <v>141</v>
      </c>
      <c r="P163" s="80" t="s">
        <v>141</v>
      </c>
      <c r="Q163" s="80" t="s">
        <v>134</v>
      </c>
      <c r="R163" s="82" t="n">
        <v>45887</v>
      </c>
      <c r="S163" s="82" t="n">
        <v>45887</v>
      </c>
      <c r="T163" s="80" t="s">
        <v>474</v>
      </c>
      <c r="U163" s="80" t="s">
        <v>105</v>
      </c>
      <c r="V163" s="82" t="n">
        <v>45896</v>
      </c>
      <c r="W163" s="80" t="s">
        <v>469</v>
      </c>
      <c r="X163" s="80" t="s">
        <v>105</v>
      </c>
      <c r="Y163" s="80"/>
      <c r="Z163" s="80"/>
      <c r="AA163" s="82"/>
      <c r="AB163" s="80"/>
      <c r="AC163" s="80"/>
      <c r="AD163" s="80"/>
      <c r="AE163" s="80"/>
      <c r="AF163" s="82"/>
      <c r="AG163" s="80"/>
      <c r="AH163" s="80"/>
      <c r="AI163" s="82"/>
      <c r="AJ163" s="79"/>
      <c r="AK163" s="78" t="n">
        <f aca="false">IF(E163="","",(X163&lt;&gt;"")+(AC163&lt;&gt;"")+(AH163&lt;&gt;""))</f>
        <v>1</v>
      </c>
      <c r="AL163" s="81" t="str">
        <f aca="false">IF(AH163&lt;&gt;"",AH163,IF(AC163&lt;&gt;"",AC163,IF(X163&lt;&gt;"",X163,"")))</f>
        <v>A</v>
      </c>
      <c r="AM163" s="83" t="str">
        <f aca="false">IF(E163="","",IF(R163="","À SOUDER",IF(U163="","VT EN ATTENTE",IF(U163="R","VT REJETÉ – À REPRENDRE",IF(AL163="","À RADIOGRAPHIER",IF(AL163="A","ACCEPTÉ",IF(AL163="NX","NX – RT À REFAIRE",IF(IF(AK163=1,Z163,IF(AK163=2,AE163,""))="A","RÉPARÉ – À RADIOGRAPHIER",IF(IF(AK163=1,Z163,IF(AK163=2,AE163,""))="R","VT REJETÉ – À REPRENDRE",IF(OR(AL163="CO",AL163="NT"),"COUPE – À RESOUDER","À RÉPARER"))))))))))</f>
        <v>ACCEPTÉ</v>
      </c>
      <c r="AN163" s="81" t="str">
        <f aca="false">IF(AND(ISNUMBER(R163),OR(AM163="À RADIOGRAPHIER",AM163="RÉPARÉ – À RADIOGRAPHIER",AM163="NX – RT À REFAIRE",AM163="À RÉPARER",AM163="COUPE – À RESOUDER",AM163="VT REJETÉ – À REPRENDRE")),MAX(0,'PROGRAMME RT'!$C$4-R163),"")</f>
        <v/>
      </c>
      <c r="AO163" s="78" t="n">
        <f aca="false">IF(AND(OR(AM163="À RADIOGRAPHIER",AM163="RÉPARÉ – À RADIOGRAPHIER",AM163="NX – RT À REFAIRE"),OR('PROGRAMME RT'!$D$5="TOUTES",B163='PROGRAMME RT'!$D$5)),1,0)</f>
        <v>0</v>
      </c>
      <c r="AP163" s="78" t="str">
        <f aca="false">IF(AO163=1,SUM(AO$7:AO163),"")</f>
        <v/>
      </c>
      <c r="AQ163" s="78" t="n">
        <f aca="false">IF(AND(OR(X163="R",X163="NX",X163="NT",X163="CO"),OR('JOINTS DE RÉPARATION'!$D$5="TOUTES",B163='JOINTS DE RÉPARATION'!$D$5),OR('JOINTS DE RÉPARATION'!$L$4="TOUS",AM163&lt;&gt;"ACCEPTÉ")),1,0)</f>
        <v>0</v>
      </c>
      <c r="AR163" s="78" t="str">
        <f aca="false">IF(AQ163=1,SUM(AQ$7:AQ163),"")</f>
        <v/>
      </c>
    </row>
    <row r="164" customFormat="false" ht="15" hidden="false" customHeight="false" outlineLevel="0" collapsed="false">
      <c r="A164" s="78" t="n">
        <f aca="false">IF(E164="","",ROW()-6)</f>
        <v>158</v>
      </c>
      <c r="B164" s="79" t="s">
        <v>102</v>
      </c>
      <c r="C164" s="80" t="s">
        <v>451</v>
      </c>
      <c r="D164" s="80" t="s">
        <v>318</v>
      </c>
      <c r="E164" s="80" t="s">
        <v>475</v>
      </c>
      <c r="F164" s="80" t="s">
        <v>151</v>
      </c>
      <c r="G164" s="80" t="s">
        <v>106</v>
      </c>
      <c r="H164" s="80" t="n">
        <v>11</v>
      </c>
      <c r="I164" s="80" t="s">
        <v>114</v>
      </c>
      <c r="J164" s="80" t="s">
        <v>132</v>
      </c>
      <c r="K164" s="80" t="s">
        <v>473</v>
      </c>
      <c r="L164" s="84" t="n">
        <f aca="false">IF(K164="","",IFERROR(INDEX(BARDAGE!$C$7:$C$1506,MATCH(K164,BARDAGE!$B$7:$B$1506,0)),"? hors registre"))</f>
        <v>24803581</v>
      </c>
      <c r="M164" s="80" t="s">
        <v>476</v>
      </c>
      <c r="N164" s="84" t="n">
        <f aca="false">IF(M164="","",IFERROR(INDEX(BARDAGE!$C$7:$C$1506,MATCH(M164,BARDAGE!$B$7:$B$1506,0)),"? hors registre"))</f>
        <v>24102495</v>
      </c>
      <c r="O164" s="80" t="s">
        <v>141</v>
      </c>
      <c r="P164" s="80" t="s">
        <v>141</v>
      </c>
      <c r="Q164" s="80" t="s">
        <v>204</v>
      </c>
      <c r="R164" s="82" t="n">
        <v>45887</v>
      </c>
      <c r="S164" s="82" t="n">
        <v>45887</v>
      </c>
      <c r="T164" s="80" t="s">
        <v>474</v>
      </c>
      <c r="U164" s="80" t="s">
        <v>105</v>
      </c>
      <c r="V164" s="82" t="n">
        <v>45896</v>
      </c>
      <c r="W164" s="80" t="s">
        <v>469</v>
      </c>
      <c r="X164" s="80" t="s">
        <v>105</v>
      </c>
      <c r="Y164" s="80"/>
      <c r="Z164" s="80"/>
      <c r="AA164" s="82"/>
      <c r="AB164" s="80"/>
      <c r="AC164" s="80"/>
      <c r="AD164" s="80"/>
      <c r="AE164" s="80"/>
      <c r="AF164" s="82"/>
      <c r="AG164" s="80"/>
      <c r="AH164" s="80"/>
      <c r="AI164" s="82"/>
      <c r="AJ164" s="79"/>
      <c r="AK164" s="78" t="n">
        <f aca="false">IF(E164="","",(X164&lt;&gt;"")+(AC164&lt;&gt;"")+(AH164&lt;&gt;""))</f>
        <v>1</v>
      </c>
      <c r="AL164" s="81" t="str">
        <f aca="false">IF(AH164&lt;&gt;"",AH164,IF(AC164&lt;&gt;"",AC164,IF(X164&lt;&gt;"",X164,"")))</f>
        <v>A</v>
      </c>
      <c r="AM164" s="83" t="str">
        <f aca="false">IF(E164="","",IF(R164="","À SOUDER",IF(U164="","VT EN ATTENTE",IF(U164="R","VT REJETÉ – À REPRENDRE",IF(AL164="","À RADIOGRAPHIER",IF(AL164="A","ACCEPTÉ",IF(AL164="NX","NX – RT À REFAIRE",IF(IF(AK164=1,Z164,IF(AK164=2,AE164,""))="A","RÉPARÉ – À RADIOGRAPHIER",IF(IF(AK164=1,Z164,IF(AK164=2,AE164,""))="R","VT REJETÉ – À REPRENDRE",IF(OR(AL164="CO",AL164="NT"),"COUPE – À RESOUDER","À RÉPARER"))))))))))</f>
        <v>ACCEPTÉ</v>
      </c>
      <c r="AN164" s="81" t="str">
        <f aca="false">IF(AND(ISNUMBER(R164),OR(AM164="À RADIOGRAPHIER",AM164="RÉPARÉ – À RADIOGRAPHIER",AM164="NX – RT À REFAIRE",AM164="À RÉPARER",AM164="COUPE – À RESOUDER",AM164="VT REJETÉ – À REPRENDRE")),MAX(0,'PROGRAMME RT'!$C$4-R164),"")</f>
        <v/>
      </c>
      <c r="AO164" s="78" t="n">
        <f aca="false">IF(AND(OR(AM164="À RADIOGRAPHIER",AM164="RÉPARÉ – À RADIOGRAPHIER",AM164="NX – RT À REFAIRE"),OR('PROGRAMME RT'!$D$5="TOUTES",B164='PROGRAMME RT'!$D$5)),1,0)</f>
        <v>0</v>
      </c>
      <c r="AP164" s="78" t="str">
        <f aca="false">IF(AO164=1,SUM(AO$7:AO164),"")</f>
        <v/>
      </c>
      <c r="AQ164" s="78" t="n">
        <f aca="false">IF(AND(OR(X164="R",X164="NX",X164="NT",X164="CO"),OR('JOINTS DE RÉPARATION'!$D$5="TOUTES",B164='JOINTS DE RÉPARATION'!$D$5),OR('JOINTS DE RÉPARATION'!$L$4="TOUS",AM164&lt;&gt;"ACCEPTÉ")),1,0)</f>
        <v>0</v>
      </c>
      <c r="AR164" s="78" t="str">
        <f aca="false">IF(AQ164=1,SUM(AQ$7:AQ164),"")</f>
        <v/>
      </c>
    </row>
    <row r="165" customFormat="false" ht="15" hidden="false" customHeight="false" outlineLevel="0" collapsed="false">
      <c r="A165" s="78" t="n">
        <f aca="false">IF(E165="","",ROW()-6)</f>
        <v>159</v>
      </c>
      <c r="B165" s="79" t="s">
        <v>102</v>
      </c>
      <c r="C165" s="80" t="s">
        <v>451</v>
      </c>
      <c r="D165" s="80" t="s">
        <v>318</v>
      </c>
      <c r="E165" s="80" t="s">
        <v>477</v>
      </c>
      <c r="F165" s="80" t="s">
        <v>151</v>
      </c>
      <c r="G165" s="80" t="s">
        <v>106</v>
      </c>
      <c r="H165" s="80" t="n">
        <v>11</v>
      </c>
      <c r="I165" s="80" t="s">
        <v>114</v>
      </c>
      <c r="J165" s="80" t="s">
        <v>132</v>
      </c>
      <c r="K165" s="80" t="s">
        <v>476</v>
      </c>
      <c r="L165" s="84" t="n">
        <f aca="false">IF(K165="","",IFERROR(INDEX(BARDAGE!$C$7:$C$1506,MATCH(K165,BARDAGE!$B$7:$B$1506,0)),"? hors registre"))</f>
        <v>24102495</v>
      </c>
      <c r="M165" s="80" t="s">
        <v>478</v>
      </c>
      <c r="N165" s="84" t="n">
        <f aca="false">IF(M165="","",IFERROR(INDEX(BARDAGE!$C$7:$C$1506,MATCH(M165,BARDAGE!$B$7:$B$1506,0)),"? hors registre"))</f>
        <v>24703643</v>
      </c>
      <c r="O165" s="80" t="s">
        <v>141</v>
      </c>
      <c r="P165" s="80" t="s">
        <v>141</v>
      </c>
      <c r="Q165" s="80" t="s">
        <v>125</v>
      </c>
      <c r="R165" s="82" t="n">
        <v>45887</v>
      </c>
      <c r="S165" s="82" t="n">
        <v>45887</v>
      </c>
      <c r="T165" s="80" t="s">
        <v>474</v>
      </c>
      <c r="U165" s="80" t="s">
        <v>105</v>
      </c>
      <c r="V165" s="82" t="n">
        <v>45896</v>
      </c>
      <c r="W165" s="80" t="s">
        <v>469</v>
      </c>
      <c r="X165" s="80" t="s">
        <v>105</v>
      </c>
      <c r="Y165" s="80"/>
      <c r="Z165" s="80"/>
      <c r="AA165" s="82"/>
      <c r="AB165" s="80"/>
      <c r="AC165" s="80"/>
      <c r="AD165" s="80"/>
      <c r="AE165" s="80"/>
      <c r="AF165" s="82"/>
      <c r="AG165" s="80"/>
      <c r="AH165" s="80"/>
      <c r="AI165" s="82"/>
      <c r="AJ165" s="79"/>
      <c r="AK165" s="78" t="n">
        <f aca="false">IF(E165="","",(X165&lt;&gt;"")+(AC165&lt;&gt;"")+(AH165&lt;&gt;""))</f>
        <v>1</v>
      </c>
      <c r="AL165" s="81" t="str">
        <f aca="false">IF(AH165&lt;&gt;"",AH165,IF(AC165&lt;&gt;"",AC165,IF(X165&lt;&gt;"",X165,"")))</f>
        <v>A</v>
      </c>
      <c r="AM165" s="83" t="str">
        <f aca="false">IF(E165="","",IF(R165="","À SOUDER",IF(U165="","VT EN ATTENTE",IF(U165="R","VT REJETÉ – À REPRENDRE",IF(AL165="","À RADIOGRAPHIER",IF(AL165="A","ACCEPTÉ",IF(AL165="NX","NX – RT À REFAIRE",IF(IF(AK165=1,Z165,IF(AK165=2,AE165,""))="A","RÉPARÉ – À RADIOGRAPHIER",IF(IF(AK165=1,Z165,IF(AK165=2,AE165,""))="R","VT REJETÉ – À REPRENDRE",IF(OR(AL165="CO",AL165="NT"),"COUPE – À RESOUDER","À RÉPARER"))))))))))</f>
        <v>ACCEPTÉ</v>
      </c>
      <c r="AN165" s="81" t="str">
        <f aca="false">IF(AND(ISNUMBER(R165),OR(AM165="À RADIOGRAPHIER",AM165="RÉPARÉ – À RADIOGRAPHIER",AM165="NX – RT À REFAIRE",AM165="À RÉPARER",AM165="COUPE – À RESOUDER",AM165="VT REJETÉ – À REPRENDRE")),MAX(0,'PROGRAMME RT'!$C$4-R165),"")</f>
        <v/>
      </c>
      <c r="AO165" s="78" t="n">
        <f aca="false">IF(AND(OR(AM165="À RADIOGRAPHIER",AM165="RÉPARÉ – À RADIOGRAPHIER",AM165="NX – RT À REFAIRE"),OR('PROGRAMME RT'!$D$5="TOUTES",B165='PROGRAMME RT'!$D$5)),1,0)</f>
        <v>0</v>
      </c>
      <c r="AP165" s="78" t="str">
        <f aca="false">IF(AO165=1,SUM(AO$7:AO165),"")</f>
        <v/>
      </c>
      <c r="AQ165" s="78" t="n">
        <f aca="false">IF(AND(OR(X165="R",X165="NX",X165="NT",X165="CO"),OR('JOINTS DE RÉPARATION'!$D$5="TOUTES",B165='JOINTS DE RÉPARATION'!$D$5),OR('JOINTS DE RÉPARATION'!$L$4="TOUS",AM165&lt;&gt;"ACCEPTÉ")),1,0)</f>
        <v>0</v>
      </c>
      <c r="AR165" s="78" t="str">
        <f aca="false">IF(AQ165=1,SUM(AQ$7:AQ165),"")</f>
        <v/>
      </c>
    </row>
    <row r="166" customFormat="false" ht="15" hidden="false" customHeight="false" outlineLevel="0" collapsed="false">
      <c r="A166" s="78" t="n">
        <f aca="false">IF(E166="","",ROW()-6)</f>
        <v>160</v>
      </c>
      <c r="B166" s="79" t="s">
        <v>102</v>
      </c>
      <c r="C166" s="80" t="s">
        <v>451</v>
      </c>
      <c r="D166" s="80" t="s">
        <v>318</v>
      </c>
      <c r="E166" s="80" t="s">
        <v>479</v>
      </c>
      <c r="F166" s="80" t="s">
        <v>151</v>
      </c>
      <c r="G166" s="80" t="s">
        <v>106</v>
      </c>
      <c r="H166" s="80" t="n">
        <v>11</v>
      </c>
      <c r="I166" s="80" t="s">
        <v>114</v>
      </c>
      <c r="J166" s="80" t="s">
        <v>132</v>
      </c>
      <c r="K166" s="80" t="s">
        <v>478</v>
      </c>
      <c r="L166" s="84" t="n">
        <f aca="false">IF(K166="","",IFERROR(INDEX(BARDAGE!$C$7:$C$1506,MATCH(K166,BARDAGE!$B$7:$B$1506,0)),"? hors registre"))</f>
        <v>24703643</v>
      </c>
      <c r="M166" s="80" t="s">
        <v>480</v>
      </c>
      <c r="N166" s="84" t="n">
        <f aca="false">IF(M166="","",IFERROR(INDEX(BARDAGE!$C$7:$C$1506,MATCH(M166,BARDAGE!$B$7:$B$1506,0)),"? hors registre"))</f>
        <v>24703643</v>
      </c>
      <c r="O166" s="80" t="s">
        <v>141</v>
      </c>
      <c r="P166" s="80" t="s">
        <v>141</v>
      </c>
      <c r="Q166" s="80" t="s">
        <v>204</v>
      </c>
      <c r="R166" s="82" t="n">
        <v>45887</v>
      </c>
      <c r="S166" s="82" t="n">
        <v>45887</v>
      </c>
      <c r="T166" s="80" t="s">
        <v>474</v>
      </c>
      <c r="U166" s="80" t="s">
        <v>105</v>
      </c>
      <c r="V166" s="82" t="n">
        <v>45896</v>
      </c>
      <c r="W166" s="80" t="s">
        <v>469</v>
      </c>
      <c r="X166" s="80" t="s">
        <v>105</v>
      </c>
      <c r="Y166" s="80"/>
      <c r="Z166" s="80"/>
      <c r="AA166" s="82"/>
      <c r="AB166" s="80"/>
      <c r="AC166" s="80"/>
      <c r="AD166" s="80"/>
      <c r="AE166" s="80"/>
      <c r="AF166" s="82"/>
      <c r="AG166" s="80"/>
      <c r="AH166" s="80"/>
      <c r="AI166" s="82"/>
      <c r="AJ166" s="79"/>
      <c r="AK166" s="78" t="n">
        <f aca="false">IF(E166="","",(X166&lt;&gt;"")+(AC166&lt;&gt;"")+(AH166&lt;&gt;""))</f>
        <v>1</v>
      </c>
      <c r="AL166" s="81" t="str">
        <f aca="false">IF(AH166&lt;&gt;"",AH166,IF(AC166&lt;&gt;"",AC166,IF(X166&lt;&gt;"",X166,"")))</f>
        <v>A</v>
      </c>
      <c r="AM166" s="83" t="str">
        <f aca="false">IF(E166="","",IF(R166="","À SOUDER",IF(U166="","VT EN ATTENTE",IF(U166="R","VT REJETÉ – À REPRENDRE",IF(AL166="","À RADIOGRAPHIER",IF(AL166="A","ACCEPTÉ",IF(AL166="NX","NX – RT À REFAIRE",IF(IF(AK166=1,Z166,IF(AK166=2,AE166,""))="A","RÉPARÉ – À RADIOGRAPHIER",IF(IF(AK166=1,Z166,IF(AK166=2,AE166,""))="R","VT REJETÉ – À REPRENDRE",IF(OR(AL166="CO",AL166="NT"),"COUPE – À RESOUDER","À RÉPARER"))))))))))</f>
        <v>ACCEPTÉ</v>
      </c>
      <c r="AN166" s="81" t="str">
        <f aca="false">IF(AND(ISNUMBER(R166),OR(AM166="À RADIOGRAPHIER",AM166="RÉPARÉ – À RADIOGRAPHIER",AM166="NX – RT À REFAIRE",AM166="À RÉPARER",AM166="COUPE – À RESOUDER",AM166="VT REJETÉ – À REPRENDRE")),MAX(0,'PROGRAMME RT'!$C$4-R166),"")</f>
        <v/>
      </c>
      <c r="AO166" s="78" t="n">
        <f aca="false">IF(AND(OR(AM166="À RADIOGRAPHIER",AM166="RÉPARÉ – À RADIOGRAPHIER",AM166="NX – RT À REFAIRE"),OR('PROGRAMME RT'!$D$5="TOUTES",B166='PROGRAMME RT'!$D$5)),1,0)</f>
        <v>0</v>
      </c>
      <c r="AP166" s="78" t="str">
        <f aca="false">IF(AO166=1,SUM(AO$7:AO166),"")</f>
        <v/>
      </c>
      <c r="AQ166" s="78" t="n">
        <f aca="false">IF(AND(OR(X166="R",X166="NX",X166="NT",X166="CO"),OR('JOINTS DE RÉPARATION'!$D$5="TOUTES",B166='JOINTS DE RÉPARATION'!$D$5),OR('JOINTS DE RÉPARATION'!$L$4="TOUS",AM166&lt;&gt;"ACCEPTÉ")),1,0)</f>
        <v>0</v>
      </c>
      <c r="AR166" s="78" t="str">
        <f aca="false">IF(AQ166=1,SUM(AQ$7:AQ166),"")</f>
        <v/>
      </c>
    </row>
    <row r="167" customFormat="false" ht="15" hidden="false" customHeight="false" outlineLevel="0" collapsed="false">
      <c r="A167" s="78" t="n">
        <f aca="false">IF(E167="","",ROW()-6)</f>
        <v>161</v>
      </c>
      <c r="B167" s="79" t="s">
        <v>102</v>
      </c>
      <c r="C167" s="80" t="s">
        <v>451</v>
      </c>
      <c r="D167" s="80" t="s">
        <v>318</v>
      </c>
      <c r="E167" s="80" t="s">
        <v>481</v>
      </c>
      <c r="F167" s="80" t="s">
        <v>151</v>
      </c>
      <c r="G167" s="80" t="s">
        <v>106</v>
      </c>
      <c r="H167" s="80" t="n">
        <v>11</v>
      </c>
      <c r="I167" s="80" t="s">
        <v>114</v>
      </c>
      <c r="J167" s="80" t="s">
        <v>132</v>
      </c>
      <c r="K167" s="80" t="s">
        <v>480</v>
      </c>
      <c r="L167" s="84" t="n">
        <f aca="false">IF(K167="","",IFERROR(INDEX(BARDAGE!$C$7:$C$1506,MATCH(K167,BARDAGE!$B$7:$B$1506,0)),"? hors registre"))</f>
        <v>24703643</v>
      </c>
      <c r="M167" s="80" t="s">
        <v>482</v>
      </c>
      <c r="N167" s="84" t="n">
        <f aca="false">IF(M167="","",IFERROR(INDEX(BARDAGE!$C$7:$C$1506,MATCH(M167,BARDAGE!$B$7:$B$1506,0)),"? hors registre"))</f>
        <v>24803596</v>
      </c>
      <c r="O167" s="80" t="s">
        <v>141</v>
      </c>
      <c r="P167" s="80" t="s">
        <v>141</v>
      </c>
      <c r="Q167" s="80" t="s">
        <v>125</v>
      </c>
      <c r="R167" s="82" t="n">
        <v>45887</v>
      </c>
      <c r="S167" s="82" t="n">
        <v>45887</v>
      </c>
      <c r="T167" s="80" t="s">
        <v>474</v>
      </c>
      <c r="U167" s="80" t="s">
        <v>105</v>
      </c>
      <c r="V167" s="82" t="n">
        <v>45896</v>
      </c>
      <c r="W167" s="80" t="s">
        <v>469</v>
      </c>
      <c r="X167" s="80" t="s">
        <v>105</v>
      </c>
      <c r="Y167" s="80"/>
      <c r="Z167" s="80"/>
      <c r="AA167" s="82"/>
      <c r="AB167" s="80"/>
      <c r="AC167" s="80"/>
      <c r="AD167" s="80"/>
      <c r="AE167" s="80"/>
      <c r="AF167" s="82"/>
      <c r="AG167" s="80"/>
      <c r="AH167" s="80"/>
      <c r="AI167" s="82"/>
      <c r="AJ167" s="79"/>
      <c r="AK167" s="78" t="n">
        <f aca="false">IF(E167="","",(X167&lt;&gt;"")+(AC167&lt;&gt;"")+(AH167&lt;&gt;""))</f>
        <v>1</v>
      </c>
      <c r="AL167" s="81" t="str">
        <f aca="false">IF(AH167&lt;&gt;"",AH167,IF(AC167&lt;&gt;"",AC167,IF(X167&lt;&gt;"",X167,"")))</f>
        <v>A</v>
      </c>
      <c r="AM167" s="83" t="str">
        <f aca="false">IF(E167="","",IF(R167="","À SOUDER",IF(U167="","VT EN ATTENTE",IF(U167="R","VT REJETÉ – À REPRENDRE",IF(AL167="","À RADIOGRAPHIER",IF(AL167="A","ACCEPTÉ",IF(AL167="NX","NX – RT À REFAIRE",IF(IF(AK167=1,Z167,IF(AK167=2,AE167,""))="A","RÉPARÉ – À RADIOGRAPHIER",IF(IF(AK167=1,Z167,IF(AK167=2,AE167,""))="R","VT REJETÉ – À REPRENDRE",IF(OR(AL167="CO",AL167="NT"),"COUPE – À RESOUDER","À RÉPARER"))))))))))</f>
        <v>ACCEPTÉ</v>
      </c>
      <c r="AN167" s="81" t="str">
        <f aca="false">IF(AND(ISNUMBER(R167),OR(AM167="À RADIOGRAPHIER",AM167="RÉPARÉ – À RADIOGRAPHIER",AM167="NX – RT À REFAIRE",AM167="À RÉPARER",AM167="COUPE – À RESOUDER",AM167="VT REJETÉ – À REPRENDRE")),MAX(0,'PROGRAMME RT'!$C$4-R167),"")</f>
        <v/>
      </c>
      <c r="AO167" s="78" t="n">
        <f aca="false">IF(AND(OR(AM167="À RADIOGRAPHIER",AM167="RÉPARÉ – À RADIOGRAPHIER",AM167="NX – RT À REFAIRE"),OR('PROGRAMME RT'!$D$5="TOUTES",B167='PROGRAMME RT'!$D$5)),1,0)</f>
        <v>0</v>
      </c>
      <c r="AP167" s="78" t="str">
        <f aca="false">IF(AO167=1,SUM(AO$7:AO167),"")</f>
        <v/>
      </c>
      <c r="AQ167" s="78" t="n">
        <f aca="false">IF(AND(OR(X167="R",X167="NX",X167="NT",X167="CO"),OR('JOINTS DE RÉPARATION'!$D$5="TOUTES",B167='JOINTS DE RÉPARATION'!$D$5),OR('JOINTS DE RÉPARATION'!$L$4="TOUS",AM167&lt;&gt;"ACCEPTÉ")),1,0)</f>
        <v>0</v>
      </c>
      <c r="AR167" s="78" t="str">
        <f aca="false">IF(AQ167=1,SUM(AQ$7:AQ167),"")</f>
        <v/>
      </c>
    </row>
    <row r="168" customFormat="false" ht="15" hidden="false" customHeight="false" outlineLevel="0" collapsed="false">
      <c r="A168" s="78" t="n">
        <f aca="false">IF(E168="","",ROW()-6)</f>
        <v>162</v>
      </c>
      <c r="B168" s="79" t="s">
        <v>102</v>
      </c>
      <c r="C168" s="80" t="s">
        <v>451</v>
      </c>
      <c r="D168" s="80" t="s">
        <v>318</v>
      </c>
      <c r="E168" s="80" t="s">
        <v>483</v>
      </c>
      <c r="F168" s="80" t="s">
        <v>151</v>
      </c>
      <c r="G168" s="80" t="s">
        <v>106</v>
      </c>
      <c r="H168" s="80" t="n">
        <v>11</v>
      </c>
      <c r="I168" s="80" t="s">
        <v>114</v>
      </c>
      <c r="J168" s="80" t="s">
        <v>132</v>
      </c>
      <c r="K168" s="80" t="s">
        <v>482</v>
      </c>
      <c r="L168" s="84" t="n">
        <f aca="false">IF(K168="","",IFERROR(INDEX(BARDAGE!$C$7:$C$1506,MATCH(K168,BARDAGE!$B$7:$B$1506,0)),"? hors registre"))</f>
        <v>24803596</v>
      </c>
      <c r="M168" s="80" t="s">
        <v>484</v>
      </c>
      <c r="N168" s="84" t="n">
        <f aca="false">IF(M168="","",IFERROR(INDEX(BARDAGE!$C$7:$C$1506,MATCH(M168,BARDAGE!$B$7:$B$1506,0)),"? hors registre"))</f>
        <v>24803581</v>
      </c>
      <c r="O168" s="80" t="s">
        <v>141</v>
      </c>
      <c r="P168" s="80" t="s">
        <v>141</v>
      </c>
      <c r="Q168" s="80" t="s">
        <v>204</v>
      </c>
      <c r="R168" s="82" t="n">
        <v>45887</v>
      </c>
      <c r="S168" s="82" t="n">
        <v>45887</v>
      </c>
      <c r="T168" s="80" t="s">
        <v>474</v>
      </c>
      <c r="U168" s="80" t="s">
        <v>105</v>
      </c>
      <c r="V168" s="82" t="n">
        <v>45896</v>
      </c>
      <c r="W168" s="80" t="s">
        <v>469</v>
      </c>
      <c r="X168" s="80" t="s">
        <v>105</v>
      </c>
      <c r="Y168" s="80"/>
      <c r="Z168" s="80"/>
      <c r="AA168" s="82"/>
      <c r="AB168" s="80"/>
      <c r="AC168" s="80"/>
      <c r="AD168" s="80"/>
      <c r="AE168" s="80"/>
      <c r="AF168" s="82"/>
      <c r="AG168" s="80"/>
      <c r="AH168" s="80"/>
      <c r="AI168" s="82"/>
      <c r="AJ168" s="79"/>
      <c r="AK168" s="78" t="n">
        <f aca="false">IF(E168="","",(X168&lt;&gt;"")+(AC168&lt;&gt;"")+(AH168&lt;&gt;""))</f>
        <v>1</v>
      </c>
      <c r="AL168" s="81" t="str">
        <f aca="false">IF(AH168&lt;&gt;"",AH168,IF(AC168&lt;&gt;"",AC168,IF(X168&lt;&gt;"",X168,"")))</f>
        <v>A</v>
      </c>
      <c r="AM168" s="83" t="str">
        <f aca="false">IF(E168="","",IF(R168="","À SOUDER",IF(U168="","VT EN ATTENTE",IF(U168="R","VT REJETÉ – À REPRENDRE",IF(AL168="","À RADIOGRAPHIER",IF(AL168="A","ACCEPTÉ",IF(AL168="NX","NX – RT À REFAIRE",IF(IF(AK168=1,Z168,IF(AK168=2,AE168,""))="A","RÉPARÉ – À RADIOGRAPHIER",IF(IF(AK168=1,Z168,IF(AK168=2,AE168,""))="R","VT REJETÉ – À REPRENDRE",IF(OR(AL168="CO",AL168="NT"),"COUPE – À RESOUDER","À RÉPARER"))))))))))</f>
        <v>ACCEPTÉ</v>
      </c>
      <c r="AN168" s="81" t="str">
        <f aca="false">IF(AND(ISNUMBER(R168),OR(AM168="À RADIOGRAPHIER",AM168="RÉPARÉ – À RADIOGRAPHIER",AM168="NX – RT À REFAIRE",AM168="À RÉPARER",AM168="COUPE – À RESOUDER",AM168="VT REJETÉ – À REPRENDRE")),MAX(0,'PROGRAMME RT'!$C$4-R168),"")</f>
        <v/>
      </c>
      <c r="AO168" s="78" t="n">
        <f aca="false">IF(AND(OR(AM168="À RADIOGRAPHIER",AM168="RÉPARÉ – À RADIOGRAPHIER",AM168="NX – RT À REFAIRE"),OR('PROGRAMME RT'!$D$5="TOUTES",B168='PROGRAMME RT'!$D$5)),1,0)</f>
        <v>0</v>
      </c>
      <c r="AP168" s="78" t="str">
        <f aca="false">IF(AO168=1,SUM(AO$7:AO168),"")</f>
        <v/>
      </c>
      <c r="AQ168" s="78" t="n">
        <f aca="false">IF(AND(OR(X168="R",X168="NX",X168="NT",X168="CO"),OR('JOINTS DE RÉPARATION'!$D$5="TOUTES",B168='JOINTS DE RÉPARATION'!$D$5),OR('JOINTS DE RÉPARATION'!$L$4="TOUS",AM168&lt;&gt;"ACCEPTÉ")),1,0)</f>
        <v>0</v>
      </c>
      <c r="AR168" s="78" t="str">
        <f aca="false">IF(AQ168=1,SUM(AQ$7:AQ168),"")</f>
        <v/>
      </c>
    </row>
    <row r="169" customFormat="false" ht="15" hidden="false" customHeight="false" outlineLevel="0" collapsed="false">
      <c r="A169" s="78" t="n">
        <f aca="false">IF(E169="","",ROW()-6)</f>
        <v>163</v>
      </c>
      <c r="B169" s="79" t="s">
        <v>102</v>
      </c>
      <c r="C169" s="80" t="s">
        <v>451</v>
      </c>
      <c r="D169" s="80" t="s">
        <v>318</v>
      </c>
      <c r="E169" s="80" t="s">
        <v>485</v>
      </c>
      <c r="F169" s="80" t="s">
        <v>151</v>
      </c>
      <c r="G169" s="80" t="s">
        <v>106</v>
      </c>
      <c r="H169" s="80" t="n">
        <v>11</v>
      </c>
      <c r="I169" s="80" t="s">
        <v>114</v>
      </c>
      <c r="J169" s="80" t="s">
        <v>132</v>
      </c>
      <c r="K169" s="80" t="s">
        <v>484</v>
      </c>
      <c r="L169" s="84" t="n">
        <f aca="false">IF(K169="","",IFERROR(INDEX(BARDAGE!$C$7:$C$1506,MATCH(K169,BARDAGE!$B$7:$B$1506,0)),"? hors registre"))</f>
        <v>24803581</v>
      </c>
      <c r="M169" s="80" t="s">
        <v>486</v>
      </c>
      <c r="N169" s="84" t="n">
        <f aca="false">IF(M169="","",IFERROR(INDEX(BARDAGE!$C$7:$C$1506,MATCH(M169,BARDAGE!$B$7:$B$1506,0)),"? hors registre"))</f>
        <v>24803579</v>
      </c>
      <c r="O169" s="80" t="s">
        <v>141</v>
      </c>
      <c r="P169" s="80" t="s">
        <v>141</v>
      </c>
      <c r="Q169" s="80" t="s">
        <v>125</v>
      </c>
      <c r="R169" s="82" t="n">
        <v>45887</v>
      </c>
      <c r="S169" s="82" t="n">
        <v>45887</v>
      </c>
      <c r="T169" s="80" t="s">
        <v>474</v>
      </c>
      <c r="U169" s="80" t="s">
        <v>105</v>
      </c>
      <c r="V169" s="82" t="n">
        <v>45896</v>
      </c>
      <c r="W169" s="80" t="s">
        <v>469</v>
      </c>
      <c r="X169" s="80" t="s">
        <v>105</v>
      </c>
      <c r="Y169" s="80"/>
      <c r="Z169" s="80"/>
      <c r="AA169" s="82"/>
      <c r="AB169" s="80"/>
      <c r="AC169" s="80"/>
      <c r="AD169" s="80"/>
      <c r="AE169" s="80"/>
      <c r="AF169" s="82"/>
      <c r="AG169" s="80"/>
      <c r="AH169" s="80"/>
      <c r="AI169" s="82"/>
      <c r="AJ169" s="79"/>
      <c r="AK169" s="78" t="n">
        <f aca="false">IF(E169="","",(X169&lt;&gt;"")+(AC169&lt;&gt;"")+(AH169&lt;&gt;""))</f>
        <v>1</v>
      </c>
      <c r="AL169" s="81" t="str">
        <f aca="false">IF(AH169&lt;&gt;"",AH169,IF(AC169&lt;&gt;"",AC169,IF(X169&lt;&gt;"",X169,"")))</f>
        <v>A</v>
      </c>
      <c r="AM169" s="83" t="str">
        <f aca="false">IF(E169="","",IF(R169="","À SOUDER",IF(U169="","VT EN ATTENTE",IF(U169="R","VT REJETÉ – À REPRENDRE",IF(AL169="","À RADIOGRAPHIER",IF(AL169="A","ACCEPTÉ",IF(AL169="NX","NX – RT À REFAIRE",IF(IF(AK169=1,Z169,IF(AK169=2,AE169,""))="A","RÉPARÉ – À RADIOGRAPHIER",IF(IF(AK169=1,Z169,IF(AK169=2,AE169,""))="R","VT REJETÉ – À REPRENDRE",IF(OR(AL169="CO",AL169="NT"),"COUPE – À RESOUDER","À RÉPARER"))))))))))</f>
        <v>ACCEPTÉ</v>
      </c>
      <c r="AN169" s="81" t="str">
        <f aca="false">IF(AND(ISNUMBER(R169),OR(AM169="À RADIOGRAPHIER",AM169="RÉPARÉ – À RADIOGRAPHIER",AM169="NX – RT À REFAIRE",AM169="À RÉPARER",AM169="COUPE – À RESOUDER",AM169="VT REJETÉ – À REPRENDRE")),MAX(0,'PROGRAMME RT'!$C$4-R169),"")</f>
        <v/>
      </c>
      <c r="AO169" s="78" t="n">
        <f aca="false">IF(AND(OR(AM169="À RADIOGRAPHIER",AM169="RÉPARÉ – À RADIOGRAPHIER",AM169="NX – RT À REFAIRE"),OR('PROGRAMME RT'!$D$5="TOUTES",B169='PROGRAMME RT'!$D$5)),1,0)</f>
        <v>0</v>
      </c>
      <c r="AP169" s="78" t="str">
        <f aca="false">IF(AO169=1,SUM(AO$7:AO169),"")</f>
        <v/>
      </c>
      <c r="AQ169" s="78" t="n">
        <f aca="false">IF(AND(OR(X169="R",X169="NX",X169="NT",X169="CO"),OR('JOINTS DE RÉPARATION'!$D$5="TOUTES",B169='JOINTS DE RÉPARATION'!$D$5),OR('JOINTS DE RÉPARATION'!$L$4="TOUS",AM169&lt;&gt;"ACCEPTÉ")),1,0)</f>
        <v>0</v>
      </c>
      <c r="AR169" s="78" t="str">
        <f aca="false">IF(AQ169=1,SUM(AQ$7:AQ169),"")</f>
        <v/>
      </c>
    </row>
    <row r="170" customFormat="false" ht="15" hidden="false" customHeight="false" outlineLevel="0" collapsed="false">
      <c r="A170" s="78" t="n">
        <f aca="false">IF(E170="","",ROW()-6)</f>
        <v>164</v>
      </c>
      <c r="B170" s="79" t="s">
        <v>102</v>
      </c>
      <c r="C170" s="80" t="s">
        <v>451</v>
      </c>
      <c r="D170" s="80" t="s">
        <v>318</v>
      </c>
      <c r="E170" s="80" t="s">
        <v>487</v>
      </c>
      <c r="F170" s="80" t="s">
        <v>151</v>
      </c>
      <c r="G170" s="80" t="s">
        <v>106</v>
      </c>
      <c r="H170" s="80" t="n">
        <v>11</v>
      </c>
      <c r="I170" s="80" t="s">
        <v>114</v>
      </c>
      <c r="J170" s="80" t="s">
        <v>132</v>
      </c>
      <c r="K170" s="80" t="s">
        <v>486</v>
      </c>
      <c r="L170" s="84" t="n">
        <f aca="false">IF(K170="","",IFERROR(INDEX(BARDAGE!$C$7:$C$1506,MATCH(K170,BARDAGE!$B$7:$B$1506,0)),"? hors registre"))</f>
        <v>24803579</v>
      </c>
      <c r="M170" s="80" t="s">
        <v>488</v>
      </c>
      <c r="N170" s="84" t="n">
        <f aca="false">IF(M170="","",IFERROR(INDEX(BARDAGE!$C$7:$C$1506,MATCH(M170,BARDAGE!$B$7:$B$1506,0)),"? hors registre"))</f>
        <v>24803581</v>
      </c>
      <c r="O170" s="80" t="s">
        <v>141</v>
      </c>
      <c r="P170" s="80" t="s">
        <v>141</v>
      </c>
      <c r="Q170" s="80" t="s">
        <v>125</v>
      </c>
      <c r="R170" s="82" t="n">
        <v>45887</v>
      </c>
      <c r="S170" s="82" t="n">
        <v>45887</v>
      </c>
      <c r="T170" s="80" t="s">
        <v>474</v>
      </c>
      <c r="U170" s="80" t="s">
        <v>105</v>
      </c>
      <c r="V170" s="82" t="n">
        <v>45896</v>
      </c>
      <c r="W170" s="80" t="s">
        <v>469</v>
      </c>
      <c r="X170" s="80" t="s">
        <v>105</v>
      </c>
      <c r="Y170" s="80"/>
      <c r="Z170" s="80"/>
      <c r="AA170" s="82"/>
      <c r="AB170" s="80"/>
      <c r="AC170" s="80"/>
      <c r="AD170" s="80"/>
      <c r="AE170" s="80"/>
      <c r="AF170" s="82"/>
      <c r="AG170" s="80"/>
      <c r="AH170" s="80"/>
      <c r="AI170" s="82"/>
      <c r="AJ170" s="79"/>
      <c r="AK170" s="78" t="n">
        <f aca="false">IF(E170="","",(X170&lt;&gt;"")+(AC170&lt;&gt;"")+(AH170&lt;&gt;""))</f>
        <v>1</v>
      </c>
      <c r="AL170" s="81" t="str">
        <f aca="false">IF(AH170&lt;&gt;"",AH170,IF(AC170&lt;&gt;"",AC170,IF(X170&lt;&gt;"",X170,"")))</f>
        <v>A</v>
      </c>
      <c r="AM170" s="83" t="str">
        <f aca="false">IF(E170="","",IF(R170="","À SOUDER",IF(U170="","VT EN ATTENTE",IF(U170="R","VT REJETÉ – À REPRENDRE",IF(AL170="","À RADIOGRAPHIER",IF(AL170="A","ACCEPTÉ",IF(AL170="NX","NX – RT À REFAIRE",IF(IF(AK170=1,Z170,IF(AK170=2,AE170,""))="A","RÉPARÉ – À RADIOGRAPHIER",IF(IF(AK170=1,Z170,IF(AK170=2,AE170,""))="R","VT REJETÉ – À REPRENDRE",IF(OR(AL170="CO",AL170="NT"),"COUPE – À RESOUDER","À RÉPARER"))))))))))</f>
        <v>ACCEPTÉ</v>
      </c>
      <c r="AN170" s="81" t="str">
        <f aca="false">IF(AND(ISNUMBER(R170),OR(AM170="À RADIOGRAPHIER",AM170="RÉPARÉ – À RADIOGRAPHIER",AM170="NX – RT À REFAIRE",AM170="À RÉPARER",AM170="COUPE – À RESOUDER",AM170="VT REJETÉ – À REPRENDRE")),MAX(0,'PROGRAMME RT'!$C$4-R170),"")</f>
        <v/>
      </c>
      <c r="AO170" s="78" t="n">
        <f aca="false">IF(AND(OR(AM170="À RADIOGRAPHIER",AM170="RÉPARÉ – À RADIOGRAPHIER",AM170="NX – RT À REFAIRE"),OR('PROGRAMME RT'!$D$5="TOUTES",B170='PROGRAMME RT'!$D$5)),1,0)</f>
        <v>0</v>
      </c>
      <c r="AP170" s="78" t="str">
        <f aca="false">IF(AO170=1,SUM(AO$7:AO170),"")</f>
        <v/>
      </c>
      <c r="AQ170" s="78" t="n">
        <f aca="false">IF(AND(OR(X170="R",X170="NX",X170="NT",X170="CO"),OR('JOINTS DE RÉPARATION'!$D$5="TOUTES",B170='JOINTS DE RÉPARATION'!$D$5),OR('JOINTS DE RÉPARATION'!$L$4="TOUS",AM170&lt;&gt;"ACCEPTÉ")),1,0)</f>
        <v>0</v>
      </c>
      <c r="AR170" s="78" t="str">
        <f aca="false">IF(AQ170=1,SUM(AQ$7:AQ170),"")</f>
        <v/>
      </c>
    </row>
    <row r="171" customFormat="false" ht="15" hidden="false" customHeight="false" outlineLevel="0" collapsed="false">
      <c r="A171" s="78" t="n">
        <f aca="false">IF(E171="","",ROW()-6)</f>
        <v>165</v>
      </c>
      <c r="B171" s="79" t="s">
        <v>102</v>
      </c>
      <c r="C171" s="80" t="s">
        <v>451</v>
      </c>
      <c r="D171" s="80" t="s">
        <v>318</v>
      </c>
      <c r="E171" s="80" t="s">
        <v>489</v>
      </c>
      <c r="F171" s="80" t="s">
        <v>151</v>
      </c>
      <c r="G171" s="80" t="s">
        <v>106</v>
      </c>
      <c r="H171" s="80" t="n">
        <v>11</v>
      </c>
      <c r="I171" s="80" t="s">
        <v>114</v>
      </c>
      <c r="J171" s="80" t="s">
        <v>132</v>
      </c>
      <c r="K171" s="80" t="s">
        <v>488</v>
      </c>
      <c r="L171" s="84" t="n">
        <f aca="false">IF(K171="","",IFERROR(INDEX(BARDAGE!$C$7:$C$1506,MATCH(K171,BARDAGE!$B$7:$B$1506,0)),"? hors registre"))</f>
        <v>24803581</v>
      </c>
      <c r="M171" s="80" t="s">
        <v>484</v>
      </c>
      <c r="N171" s="84" t="n">
        <f aca="false">IF(M171="","",IFERROR(INDEX(BARDAGE!$C$7:$C$1506,MATCH(M171,BARDAGE!$B$7:$B$1506,0)),"? hors registre"))</f>
        <v>24803581</v>
      </c>
      <c r="O171" s="80" t="s">
        <v>141</v>
      </c>
      <c r="P171" s="80" t="s">
        <v>141</v>
      </c>
      <c r="Q171" s="80" t="s">
        <v>204</v>
      </c>
      <c r="R171" s="82" t="n">
        <v>45887</v>
      </c>
      <c r="S171" s="82" t="n">
        <v>45887</v>
      </c>
      <c r="T171" s="80" t="s">
        <v>474</v>
      </c>
      <c r="U171" s="80" t="s">
        <v>105</v>
      </c>
      <c r="V171" s="82" t="n">
        <v>45896</v>
      </c>
      <c r="W171" s="80" t="s">
        <v>469</v>
      </c>
      <c r="X171" s="80" t="s">
        <v>105</v>
      </c>
      <c r="Y171" s="80"/>
      <c r="Z171" s="80"/>
      <c r="AA171" s="82"/>
      <c r="AB171" s="80"/>
      <c r="AC171" s="80"/>
      <c r="AD171" s="80"/>
      <c r="AE171" s="80"/>
      <c r="AF171" s="82"/>
      <c r="AG171" s="80"/>
      <c r="AH171" s="80"/>
      <c r="AI171" s="82"/>
      <c r="AJ171" s="79"/>
      <c r="AK171" s="78" t="n">
        <f aca="false">IF(E171="","",(X171&lt;&gt;"")+(AC171&lt;&gt;"")+(AH171&lt;&gt;""))</f>
        <v>1</v>
      </c>
      <c r="AL171" s="81" t="str">
        <f aca="false">IF(AH171&lt;&gt;"",AH171,IF(AC171&lt;&gt;"",AC171,IF(X171&lt;&gt;"",X171,"")))</f>
        <v>A</v>
      </c>
      <c r="AM171" s="83" t="str">
        <f aca="false">IF(E171="","",IF(R171="","À SOUDER",IF(U171="","VT EN ATTENTE",IF(U171="R","VT REJETÉ – À REPRENDRE",IF(AL171="","À RADIOGRAPHIER",IF(AL171="A","ACCEPTÉ",IF(AL171="NX","NX – RT À REFAIRE",IF(IF(AK171=1,Z171,IF(AK171=2,AE171,""))="A","RÉPARÉ – À RADIOGRAPHIER",IF(IF(AK171=1,Z171,IF(AK171=2,AE171,""))="R","VT REJETÉ – À REPRENDRE",IF(OR(AL171="CO",AL171="NT"),"COUPE – À RESOUDER","À RÉPARER"))))))))))</f>
        <v>ACCEPTÉ</v>
      </c>
      <c r="AN171" s="81" t="str">
        <f aca="false">IF(AND(ISNUMBER(R171),OR(AM171="À RADIOGRAPHIER",AM171="RÉPARÉ – À RADIOGRAPHIER",AM171="NX – RT À REFAIRE",AM171="À RÉPARER",AM171="COUPE – À RESOUDER",AM171="VT REJETÉ – À REPRENDRE")),MAX(0,'PROGRAMME RT'!$C$4-R171),"")</f>
        <v/>
      </c>
      <c r="AO171" s="78" t="n">
        <f aca="false">IF(AND(OR(AM171="À RADIOGRAPHIER",AM171="RÉPARÉ – À RADIOGRAPHIER",AM171="NX – RT À REFAIRE"),OR('PROGRAMME RT'!$D$5="TOUTES",B171='PROGRAMME RT'!$D$5)),1,0)</f>
        <v>0</v>
      </c>
      <c r="AP171" s="78" t="str">
        <f aca="false">IF(AO171=1,SUM(AO$7:AO171),"")</f>
        <v/>
      </c>
      <c r="AQ171" s="78" t="n">
        <f aca="false">IF(AND(OR(X171="R",X171="NX",X171="NT",X171="CO"),OR('JOINTS DE RÉPARATION'!$D$5="TOUTES",B171='JOINTS DE RÉPARATION'!$D$5),OR('JOINTS DE RÉPARATION'!$L$4="TOUS",AM171&lt;&gt;"ACCEPTÉ")),1,0)</f>
        <v>0</v>
      </c>
      <c r="AR171" s="78" t="str">
        <f aca="false">IF(AQ171=1,SUM(AQ$7:AQ171),"")</f>
        <v/>
      </c>
    </row>
    <row r="172" customFormat="false" ht="15" hidden="false" customHeight="false" outlineLevel="0" collapsed="false">
      <c r="A172" s="78" t="n">
        <f aca="false">IF(E172="","",ROW()-6)</f>
        <v>166</v>
      </c>
      <c r="B172" s="79" t="s">
        <v>102</v>
      </c>
      <c r="C172" s="80" t="s">
        <v>451</v>
      </c>
      <c r="D172" s="80" t="s">
        <v>318</v>
      </c>
      <c r="E172" s="80" t="s">
        <v>490</v>
      </c>
      <c r="F172" s="80" t="s">
        <v>151</v>
      </c>
      <c r="G172" s="80" t="s">
        <v>106</v>
      </c>
      <c r="H172" s="80" t="n">
        <v>11</v>
      </c>
      <c r="I172" s="80" t="s">
        <v>114</v>
      </c>
      <c r="J172" s="80" t="s">
        <v>132</v>
      </c>
      <c r="K172" s="80" t="s">
        <v>484</v>
      </c>
      <c r="L172" s="84" t="n">
        <f aca="false">IF(K172="","",IFERROR(INDEX(BARDAGE!$C$7:$C$1506,MATCH(K172,BARDAGE!$B$7:$B$1506,0)),"? hors registre"))</f>
        <v>24803581</v>
      </c>
      <c r="M172" s="80" t="s">
        <v>491</v>
      </c>
      <c r="N172" s="84" t="n">
        <f aca="false">IF(M172="","",IFERROR(INDEX(BARDAGE!$C$7:$C$1506,MATCH(M172,BARDAGE!$B$7:$B$1506,0)),"? hors registre"))</f>
        <v>24102487</v>
      </c>
      <c r="O172" s="80" t="s">
        <v>141</v>
      </c>
      <c r="P172" s="80" t="s">
        <v>141</v>
      </c>
      <c r="Q172" s="80" t="s">
        <v>204</v>
      </c>
      <c r="R172" s="82" t="n">
        <v>45887</v>
      </c>
      <c r="S172" s="82" t="n">
        <v>45887</v>
      </c>
      <c r="T172" s="80" t="s">
        <v>474</v>
      </c>
      <c r="U172" s="80" t="s">
        <v>105</v>
      </c>
      <c r="V172" s="82" t="n">
        <v>45896</v>
      </c>
      <c r="W172" s="80" t="s">
        <v>469</v>
      </c>
      <c r="X172" s="80" t="s">
        <v>105</v>
      </c>
      <c r="Y172" s="80"/>
      <c r="Z172" s="80"/>
      <c r="AA172" s="82"/>
      <c r="AB172" s="80"/>
      <c r="AC172" s="80"/>
      <c r="AD172" s="80"/>
      <c r="AE172" s="80"/>
      <c r="AF172" s="82"/>
      <c r="AG172" s="80"/>
      <c r="AH172" s="80"/>
      <c r="AI172" s="82"/>
      <c r="AJ172" s="79"/>
      <c r="AK172" s="78" t="n">
        <f aca="false">IF(E172="","",(X172&lt;&gt;"")+(AC172&lt;&gt;"")+(AH172&lt;&gt;""))</f>
        <v>1</v>
      </c>
      <c r="AL172" s="81" t="str">
        <f aca="false">IF(AH172&lt;&gt;"",AH172,IF(AC172&lt;&gt;"",AC172,IF(X172&lt;&gt;"",X172,"")))</f>
        <v>A</v>
      </c>
      <c r="AM172" s="83" t="str">
        <f aca="false">IF(E172="","",IF(R172="","À SOUDER",IF(U172="","VT EN ATTENTE",IF(U172="R","VT REJETÉ – À REPRENDRE",IF(AL172="","À RADIOGRAPHIER",IF(AL172="A","ACCEPTÉ",IF(AL172="NX","NX – RT À REFAIRE",IF(IF(AK172=1,Z172,IF(AK172=2,AE172,""))="A","RÉPARÉ – À RADIOGRAPHIER",IF(IF(AK172=1,Z172,IF(AK172=2,AE172,""))="R","VT REJETÉ – À REPRENDRE",IF(OR(AL172="CO",AL172="NT"),"COUPE – À RESOUDER","À RÉPARER"))))))))))</f>
        <v>ACCEPTÉ</v>
      </c>
      <c r="AN172" s="81" t="str">
        <f aca="false">IF(AND(ISNUMBER(R172),OR(AM172="À RADIOGRAPHIER",AM172="RÉPARÉ – À RADIOGRAPHIER",AM172="NX – RT À REFAIRE",AM172="À RÉPARER",AM172="COUPE – À RESOUDER",AM172="VT REJETÉ – À REPRENDRE")),MAX(0,'PROGRAMME RT'!$C$4-R172),"")</f>
        <v/>
      </c>
      <c r="AO172" s="78" t="n">
        <f aca="false">IF(AND(OR(AM172="À RADIOGRAPHIER",AM172="RÉPARÉ – À RADIOGRAPHIER",AM172="NX – RT À REFAIRE"),OR('PROGRAMME RT'!$D$5="TOUTES",B172='PROGRAMME RT'!$D$5)),1,0)</f>
        <v>0</v>
      </c>
      <c r="AP172" s="78" t="str">
        <f aca="false">IF(AO172=1,SUM(AO$7:AO172),"")</f>
        <v/>
      </c>
      <c r="AQ172" s="78" t="n">
        <f aca="false">IF(AND(OR(X172="R",X172="NX",X172="NT",X172="CO"),OR('JOINTS DE RÉPARATION'!$D$5="TOUTES",B172='JOINTS DE RÉPARATION'!$D$5),OR('JOINTS DE RÉPARATION'!$L$4="TOUS",AM172&lt;&gt;"ACCEPTÉ")),1,0)</f>
        <v>0</v>
      </c>
      <c r="AR172" s="78" t="str">
        <f aca="false">IF(AQ172=1,SUM(AQ$7:AQ172),"")</f>
        <v/>
      </c>
    </row>
    <row r="173" customFormat="false" ht="15" hidden="false" customHeight="false" outlineLevel="0" collapsed="false">
      <c r="A173" s="78" t="n">
        <f aca="false">IF(E173="","",ROW()-6)</f>
        <v>167</v>
      </c>
      <c r="B173" s="79" t="s">
        <v>102</v>
      </c>
      <c r="C173" s="80" t="s">
        <v>451</v>
      </c>
      <c r="D173" s="80" t="s">
        <v>318</v>
      </c>
      <c r="E173" s="80" t="s">
        <v>492</v>
      </c>
      <c r="F173" s="80" t="s">
        <v>151</v>
      </c>
      <c r="G173" s="80" t="s">
        <v>106</v>
      </c>
      <c r="H173" s="80" t="n">
        <v>11</v>
      </c>
      <c r="I173" s="80" t="s">
        <v>114</v>
      </c>
      <c r="J173" s="80" t="s">
        <v>132</v>
      </c>
      <c r="K173" s="80" t="s">
        <v>491</v>
      </c>
      <c r="L173" s="84" t="n">
        <f aca="false">IF(K173="","",IFERROR(INDEX(BARDAGE!$C$7:$C$1506,MATCH(K173,BARDAGE!$B$7:$B$1506,0)),"? hors registre"))</f>
        <v>24102487</v>
      </c>
      <c r="M173" s="80" t="s">
        <v>493</v>
      </c>
      <c r="N173" s="84" t="n">
        <f aca="false">IF(M173="","",IFERROR(INDEX(BARDAGE!$C$7:$C$1506,MATCH(M173,BARDAGE!$B$7:$B$1506,0)),"? hors registre"))</f>
        <v>24703643</v>
      </c>
      <c r="O173" s="80" t="s">
        <v>141</v>
      </c>
      <c r="P173" s="80" t="s">
        <v>141</v>
      </c>
      <c r="Q173" s="80" t="s">
        <v>125</v>
      </c>
      <c r="R173" s="82" t="n">
        <v>45887</v>
      </c>
      <c r="S173" s="82" t="n">
        <v>45887</v>
      </c>
      <c r="T173" s="80" t="s">
        <v>474</v>
      </c>
      <c r="U173" s="80" t="s">
        <v>105</v>
      </c>
      <c r="V173" s="82" t="n">
        <v>45896</v>
      </c>
      <c r="W173" s="80" t="s">
        <v>469</v>
      </c>
      <c r="X173" s="80" t="s">
        <v>105</v>
      </c>
      <c r="Y173" s="80"/>
      <c r="Z173" s="80"/>
      <c r="AA173" s="82"/>
      <c r="AB173" s="80"/>
      <c r="AC173" s="80"/>
      <c r="AD173" s="80"/>
      <c r="AE173" s="80"/>
      <c r="AF173" s="82"/>
      <c r="AG173" s="80"/>
      <c r="AH173" s="80"/>
      <c r="AI173" s="82"/>
      <c r="AJ173" s="79"/>
      <c r="AK173" s="78" t="n">
        <f aca="false">IF(E173="","",(X173&lt;&gt;"")+(AC173&lt;&gt;"")+(AH173&lt;&gt;""))</f>
        <v>1</v>
      </c>
      <c r="AL173" s="81" t="str">
        <f aca="false">IF(AH173&lt;&gt;"",AH173,IF(AC173&lt;&gt;"",AC173,IF(X173&lt;&gt;"",X173,"")))</f>
        <v>A</v>
      </c>
      <c r="AM173" s="83" t="str">
        <f aca="false">IF(E173="","",IF(R173="","À SOUDER",IF(U173="","VT EN ATTENTE",IF(U173="R","VT REJETÉ – À REPRENDRE",IF(AL173="","À RADIOGRAPHIER",IF(AL173="A","ACCEPTÉ",IF(AL173="NX","NX – RT À REFAIRE",IF(IF(AK173=1,Z173,IF(AK173=2,AE173,""))="A","RÉPARÉ – À RADIOGRAPHIER",IF(IF(AK173=1,Z173,IF(AK173=2,AE173,""))="R","VT REJETÉ – À REPRENDRE",IF(OR(AL173="CO",AL173="NT"),"COUPE – À RESOUDER","À RÉPARER"))))))))))</f>
        <v>ACCEPTÉ</v>
      </c>
      <c r="AN173" s="81" t="str">
        <f aca="false">IF(AND(ISNUMBER(R173),OR(AM173="À RADIOGRAPHIER",AM173="RÉPARÉ – À RADIOGRAPHIER",AM173="NX – RT À REFAIRE",AM173="À RÉPARER",AM173="COUPE – À RESOUDER",AM173="VT REJETÉ – À REPRENDRE")),MAX(0,'PROGRAMME RT'!$C$4-R173),"")</f>
        <v/>
      </c>
      <c r="AO173" s="78" t="n">
        <f aca="false">IF(AND(OR(AM173="À RADIOGRAPHIER",AM173="RÉPARÉ – À RADIOGRAPHIER",AM173="NX – RT À REFAIRE"),OR('PROGRAMME RT'!$D$5="TOUTES",B173='PROGRAMME RT'!$D$5)),1,0)</f>
        <v>0</v>
      </c>
      <c r="AP173" s="78" t="str">
        <f aca="false">IF(AO173=1,SUM(AO$7:AO173),"")</f>
        <v/>
      </c>
      <c r="AQ173" s="78" t="n">
        <f aca="false">IF(AND(OR(X173="R",X173="NX",X173="NT",X173="CO"),OR('JOINTS DE RÉPARATION'!$D$5="TOUTES",B173='JOINTS DE RÉPARATION'!$D$5),OR('JOINTS DE RÉPARATION'!$L$4="TOUS",AM173&lt;&gt;"ACCEPTÉ")),1,0)</f>
        <v>0</v>
      </c>
      <c r="AR173" s="78" t="str">
        <f aca="false">IF(AQ173=1,SUM(AQ$7:AQ173),"")</f>
        <v/>
      </c>
    </row>
    <row r="174" customFormat="false" ht="15" hidden="false" customHeight="false" outlineLevel="0" collapsed="false">
      <c r="A174" s="78" t="n">
        <f aca="false">IF(E174="","",ROW()-6)</f>
        <v>168</v>
      </c>
      <c r="B174" s="79" t="s">
        <v>102</v>
      </c>
      <c r="C174" s="80" t="s">
        <v>451</v>
      </c>
      <c r="D174" s="80" t="s">
        <v>318</v>
      </c>
      <c r="E174" s="80" t="s">
        <v>494</v>
      </c>
      <c r="F174" s="80" t="s">
        <v>151</v>
      </c>
      <c r="G174" s="80" t="s">
        <v>106</v>
      </c>
      <c r="H174" s="80" t="n">
        <v>11</v>
      </c>
      <c r="I174" s="80" t="s">
        <v>114</v>
      </c>
      <c r="J174" s="80" t="s">
        <v>132</v>
      </c>
      <c r="K174" s="80" t="s">
        <v>493</v>
      </c>
      <c r="L174" s="84" t="n">
        <f aca="false">IF(K174="","",IFERROR(INDEX(BARDAGE!$C$7:$C$1506,MATCH(K174,BARDAGE!$B$7:$B$1506,0)),"? hors registre"))</f>
        <v>24703643</v>
      </c>
      <c r="M174" s="80" t="s">
        <v>495</v>
      </c>
      <c r="N174" s="84" t="n">
        <f aca="false">IF(M174="","",IFERROR(INDEX(BARDAGE!$C$7:$C$1506,MATCH(M174,BARDAGE!$B$7:$B$1506,0)),"? hors registre"))</f>
        <v>24102495</v>
      </c>
      <c r="O174" s="80" t="s">
        <v>141</v>
      </c>
      <c r="P174" s="80" t="s">
        <v>141</v>
      </c>
      <c r="Q174" s="80" t="s">
        <v>204</v>
      </c>
      <c r="R174" s="82" t="n">
        <v>45887</v>
      </c>
      <c r="S174" s="82" t="n">
        <v>45887</v>
      </c>
      <c r="T174" s="80" t="s">
        <v>474</v>
      </c>
      <c r="U174" s="80" t="s">
        <v>105</v>
      </c>
      <c r="V174" s="82" t="n">
        <v>45896</v>
      </c>
      <c r="W174" s="80" t="s">
        <v>469</v>
      </c>
      <c r="X174" s="80" t="s">
        <v>105</v>
      </c>
      <c r="Y174" s="80"/>
      <c r="Z174" s="80"/>
      <c r="AA174" s="82"/>
      <c r="AB174" s="80"/>
      <c r="AC174" s="80"/>
      <c r="AD174" s="80"/>
      <c r="AE174" s="80"/>
      <c r="AF174" s="82"/>
      <c r="AG174" s="80"/>
      <c r="AH174" s="80"/>
      <c r="AI174" s="82"/>
      <c r="AJ174" s="79"/>
      <c r="AK174" s="78" t="n">
        <f aca="false">IF(E174="","",(X174&lt;&gt;"")+(AC174&lt;&gt;"")+(AH174&lt;&gt;""))</f>
        <v>1</v>
      </c>
      <c r="AL174" s="81" t="str">
        <f aca="false">IF(AH174&lt;&gt;"",AH174,IF(AC174&lt;&gt;"",AC174,IF(X174&lt;&gt;"",X174,"")))</f>
        <v>A</v>
      </c>
      <c r="AM174" s="83" t="str">
        <f aca="false">IF(E174="","",IF(R174="","À SOUDER",IF(U174="","VT EN ATTENTE",IF(U174="R","VT REJETÉ – À REPRENDRE",IF(AL174="","À RADIOGRAPHIER",IF(AL174="A","ACCEPTÉ",IF(AL174="NX","NX – RT À REFAIRE",IF(IF(AK174=1,Z174,IF(AK174=2,AE174,""))="A","RÉPARÉ – À RADIOGRAPHIER",IF(IF(AK174=1,Z174,IF(AK174=2,AE174,""))="R","VT REJETÉ – À REPRENDRE",IF(OR(AL174="CO",AL174="NT"),"COUPE – À RESOUDER","À RÉPARER"))))))))))</f>
        <v>ACCEPTÉ</v>
      </c>
      <c r="AN174" s="81" t="str">
        <f aca="false">IF(AND(ISNUMBER(R174),OR(AM174="À RADIOGRAPHIER",AM174="RÉPARÉ – À RADIOGRAPHIER",AM174="NX – RT À REFAIRE",AM174="À RÉPARER",AM174="COUPE – À RESOUDER",AM174="VT REJETÉ – À REPRENDRE")),MAX(0,'PROGRAMME RT'!$C$4-R174),"")</f>
        <v/>
      </c>
      <c r="AO174" s="78" t="n">
        <f aca="false">IF(AND(OR(AM174="À RADIOGRAPHIER",AM174="RÉPARÉ – À RADIOGRAPHIER",AM174="NX – RT À REFAIRE"),OR('PROGRAMME RT'!$D$5="TOUTES",B174='PROGRAMME RT'!$D$5)),1,0)</f>
        <v>0</v>
      </c>
      <c r="AP174" s="78" t="str">
        <f aca="false">IF(AO174=1,SUM(AO$7:AO174),"")</f>
        <v/>
      </c>
      <c r="AQ174" s="78" t="n">
        <f aca="false">IF(AND(OR(X174="R",X174="NX",X174="NT",X174="CO"),OR('JOINTS DE RÉPARATION'!$D$5="TOUTES",B174='JOINTS DE RÉPARATION'!$D$5),OR('JOINTS DE RÉPARATION'!$L$4="TOUS",AM174&lt;&gt;"ACCEPTÉ")),1,0)</f>
        <v>0</v>
      </c>
      <c r="AR174" s="78" t="str">
        <f aca="false">IF(AQ174=1,SUM(AQ$7:AQ174),"")</f>
        <v/>
      </c>
    </row>
    <row r="175" customFormat="false" ht="15" hidden="false" customHeight="false" outlineLevel="0" collapsed="false">
      <c r="A175" s="78" t="n">
        <f aca="false">IF(E175="","",ROW()-6)</f>
        <v>169</v>
      </c>
      <c r="B175" s="79" t="s">
        <v>102</v>
      </c>
      <c r="C175" s="80" t="s">
        <v>451</v>
      </c>
      <c r="D175" s="80" t="s">
        <v>318</v>
      </c>
      <c r="E175" s="80" t="s">
        <v>496</v>
      </c>
      <c r="F175" s="80" t="s">
        <v>151</v>
      </c>
      <c r="G175" s="80" t="s">
        <v>106</v>
      </c>
      <c r="H175" s="80" t="n">
        <v>11</v>
      </c>
      <c r="I175" s="80" t="s">
        <v>114</v>
      </c>
      <c r="J175" s="80" t="s">
        <v>132</v>
      </c>
      <c r="K175" s="80" t="s">
        <v>495</v>
      </c>
      <c r="L175" s="84" t="n">
        <f aca="false">IF(K175="","",IFERROR(INDEX(BARDAGE!$C$7:$C$1506,MATCH(K175,BARDAGE!$B$7:$B$1506,0)),"? hors registre"))</f>
        <v>24102495</v>
      </c>
      <c r="M175" s="80" t="s">
        <v>497</v>
      </c>
      <c r="N175" s="84" t="n">
        <f aca="false">IF(M175="","",IFERROR(INDEX(BARDAGE!$C$7:$C$1506,MATCH(M175,BARDAGE!$B$7:$B$1506,0)),"? hors registre"))</f>
        <v>24102495</v>
      </c>
      <c r="O175" s="80" t="s">
        <v>141</v>
      </c>
      <c r="P175" s="80" t="s">
        <v>141</v>
      </c>
      <c r="Q175" s="80" t="s">
        <v>141</v>
      </c>
      <c r="R175" s="82" t="n">
        <v>45887</v>
      </c>
      <c r="S175" s="82" t="n">
        <v>45887</v>
      </c>
      <c r="T175" s="80" t="s">
        <v>474</v>
      </c>
      <c r="U175" s="80" t="s">
        <v>105</v>
      </c>
      <c r="V175" s="82" t="n">
        <v>45896</v>
      </c>
      <c r="W175" s="80" t="s">
        <v>469</v>
      </c>
      <c r="X175" s="80" t="s">
        <v>105</v>
      </c>
      <c r="Y175" s="80"/>
      <c r="Z175" s="80"/>
      <c r="AA175" s="82"/>
      <c r="AB175" s="80"/>
      <c r="AC175" s="80"/>
      <c r="AD175" s="80"/>
      <c r="AE175" s="80"/>
      <c r="AF175" s="82"/>
      <c r="AG175" s="80"/>
      <c r="AH175" s="80"/>
      <c r="AI175" s="82"/>
      <c r="AJ175" s="79"/>
      <c r="AK175" s="78" t="n">
        <f aca="false">IF(E175="","",(X175&lt;&gt;"")+(AC175&lt;&gt;"")+(AH175&lt;&gt;""))</f>
        <v>1</v>
      </c>
      <c r="AL175" s="81" t="str">
        <f aca="false">IF(AH175&lt;&gt;"",AH175,IF(AC175&lt;&gt;"",AC175,IF(X175&lt;&gt;"",X175,"")))</f>
        <v>A</v>
      </c>
      <c r="AM175" s="83" t="str">
        <f aca="false">IF(E175="","",IF(R175="","À SOUDER",IF(U175="","VT EN ATTENTE",IF(U175="R","VT REJETÉ – À REPRENDRE",IF(AL175="","À RADIOGRAPHIER",IF(AL175="A","ACCEPTÉ",IF(AL175="NX","NX – RT À REFAIRE",IF(IF(AK175=1,Z175,IF(AK175=2,AE175,""))="A","RÉPARÉ – À RADIOGRAPHIER",IF(IF(AK175=1,Z175,IF(AK175=2,AE175,""))="R","VT REJETÉ – À REPRENDRE",IF(OR(AL175="CO",AL175="NT"),"COUPE – À RESOUDER","À RÉPARER"))))))))))</f>
        <v>ACCEPTÉ</v>
      </c>
      <c r="AN175" s="81" t="str">
        <f aca="false">IF(AND(ISNUMBER(R175),OR(AM175="À RADIOGRAPHIER",AM175="RÉPARÉ – À RADIOGRAPHIER",AM175="NX – RT À REFAIRE",AM175="À RÉPARER",AM175="COUPE – À RESOUDER",AM175="VT REJETÉ – À REPRENDRE")),MAX(0,'PROGRAMME RT'!$C$4-R175),"")</f>
        <v/>
      </c>
      <c r="AO175" s="78" t="n">
        <f aca="false">IF(AND(OR(AM175="À RADIOGRAPHIER",AM175="RÉPARÉ – À RADIOGRAPHIER",AM175="NX – RT À REFAIRE"),OR('PROGRAMME RT'!$D$5="TOUTES",B175='PROGRAMME RT'!$D$5)),1,0)</f>
        <v>0</v>
      </c>
      <c r="AP175" s="78" t="str">
        <f aca="false">IF(AO175=1,SUM(AO$7:AO175),"")</f>
        <v/>
      </c>
      <c r="AQ175" s="78" t="n">
        <f aca="false">IF(AND(OR(X175="R",X175="NX",X175="NT",X175="CO"),OR('JOINTS DE RÉPARATION'!$D$5="TOUTES",B175='JOINTS DE RÉPARATION'!$D$5),OR('JOINTS DE RÉPARATION'!$L$4="TOUS",AM175&lt;&gt;"ACCEPTÉ")),1,0)</f>
        <v>0</v>
      </c>
      <c r="AR175" s="78" t="str">
        <f aca="false">IF(AQ175=1,SUM(AQ$7:AQ175),"")</f>
        <v/>
      </c>
    </row>
    <row r="176" customFormat="false" ht="15" hidden="false" customHeight="false" outlineLevel="0" collapsed="false">
      <c r="A176" s="78" t="n">
        <f aca="false">IF(E176="","",ROW()-6)</f>
        <v>170</v>
      </c>
      <c r="B176" s="79" t="s">
        <v>102</v>
      </c>
      <c r="C176" s="80" t="s">
        <v>451</v>
      </c>
      <c r="D176" s="80" t="s">
        <v>318</v>
      </c>
      <c r="E176" s="80" t="s">
        <v>498</v>
      </c>
      <c r="F176" s="80" t="s">
        <v>151</v>
      </c>
      <c r="G176" s="80" t="s">
        <v>106</v>
      </c>
      <c r="H176" s="80" t="n">
        <v>11</v>
      </c>
      <c r="I176" s="80" t="s">
        <v>114</v>
      </c>
      <c r="J176" s="80" t="s">
        <v>132</v>
      </c>
      <c r="K176" s="80" t="s">
        <v>497</v>
      </c>
      <c r="L176" s="84" t="n">
        <f aca="false">IF(K176="","",IFERROR(INDEX(BARDAGE!$C$7:$C$1506,MATCH(K176,BARDAGE!$B$7:$B$1506,0)),"? hors registre"))</f>
        <v>24102495</v>
      </c>
      <c r="M176" s="80" t="s">
        <v>499</v>
      </c>
      <c r="N176" s="84" t="n">
        <f aca="false">IF(M176="","",IFERROR(INDEX(BARDAGE!$C$7:$C$1506,MATCH(M176,BARDAGE!$B$7:$B$1506,0)),"? hors registre"))</f>
        <v>24803579</v>
      </c>
      <c r="O176" s="80" t="s">
        <v>141</v>
      </c>
      <c r="P176" s="80" t="s">
        <v>141</v>
      </c>
      <c r="Q176" s="80" t="s">
        <v>141</v>
      </c>
      <c r="R176" s="82" t="n">
        <v>45887</v>
      </c>
      <c r="S176" s="82" t="n">
        <v>45887</v>
      </c>
      <c r="T176" s="80" t="s">
        <v>474</v>
      </c>
      <c r="U176" s="80" t="s">
        <v>105</v>
      </c>
      <c r="V176" s="82" t="n">
        <v>45897</v>
      </c>
      <c r="W176" s="80" t="s">
        <v>500</v>
      </c>
      <c r="X176" s="80" t="s">
        <v>105</v>
      </c>
      <c r="Y176" s="80"/>
      <c r="Z176" s="80"/>
      <c r="AA176" s="82"/>
      <c r="AB176" s="80"/>
      <c r="AC176" s="80"/>
      <c r="AD176" s="80"/>
      <c r="AE176" s="80"/>
      <c r="AF176" s="82"/>
      <c r="AG176" s="80"/>
      <c r="AH176" s="80"/>
      <c r="AI176" s="82"/>
      <c r="AJ176" s="79"/>
      <c r="AK176" s="78" t="n">
        <f aca="false">IF(E176="","",(X176&lt;&gt;"")+(AC176&lt;&gt;"")+(AH176&lt;&gt;""))</f>
        <v>1</v>
      </c>
      <c r="AL176" s="81" t="str">
        <f aca="false">IF(AH176&lt;&gt;"",AH176,IF(AC176&lt;&gt;"",AC176,IF(X176&lt;&gt;"",X176,"")))</f>
        <v>A</v>
      </c>
      <c r="AM176" s="83" t="str">
        <f aca="false">IF(E176="","",IF(R176="","À SOUDER",IF(U176="","VT EN ATTENTE",IF(U176="R","VT REJETÉ – À REPRENDRE",IF(AL176="","À RADIOGRAPHIER",IF(AL176="A","ACCEPTÉ",IF(AL176="NX","NX – RT À REFAIRE",IF(IF(AK176=1,Z176,IF(AK176=2,AE176,""))="A","RÉPARÉ – À RADIOGRAPHIER",IF(IF(AK176=1,Z176,IF(AK176=2,AE176,""))="R","VT REJETÉ – À REPRENDRE",IF(OR(AL176="CO",AL176="NT"),"COUPE – À RESOUDER","À RÉPARER"))))))))))</f>
        <v>ACCEPTÉ</v>
      </c>
      <c r="AN176" s="81" t="str">
        <f aca="false">IF(AND(ISNUMBER(R176),OR(AM176="À RADIOGRAPHIER",AM176="RÉPARÉ – À RADIOGRAPHIER",AM176="NX – RT À REFAIRE",AM176="À RÉPARER",AM176="COUPE – À RESOUDER",AM176="VT REJETÉ – À REPRENDRE")),MAX(0,'PROGRAMME RT'!$C$4-R176),"")</f>
        <v/>
      </c>
      <c r="AO176" s="78" t="n">
        <f aca="false">IF(AND(OR(AM176="À RADIOGRAPHIER",AM176="RÉPARÉ – À RADIOGRAPHIER",AM176="NX – RT À REFAIRE"),OR('PROGRAMME RT'!$D$5="TOUTES",B176='PROGRAMME RT'!$D$5)),1,0)</f>
        <v>0</v>
      </c>
      <c r="AP176" s="78" t="str">
        <f aca="false">IF(AO176=1,SUM(AO$7:AO176),"")</f>
        <v/>
      </c>
      <c r="AQ176" s="78" t="n">
        <f aca="false">IF(AND(OR(X176="R",X176="NX",X176="NT",X176="CO"),OR('JOINTS DE RÉPARATION'!$D$5="TOUTES",B176='JOINTS DE RÉPARATION'!$D$5),OR('JOINTS DE RÉPARATION'!$L$4="TOUS",AM176&lt;&gt;"ACCEPTÉ")),1,0)</f>
        <v>0</v>
      </c>
      <c r="AR176" s="78" t="str">
        <f aca="false">IF(AQ176=1,SUM(AQ$7:AQ176),"")</f>
        <v/>
      </c>
    </row>
    <row r="177" customFormat="false" ht="15" hidden="false" customHeight="false" outlineLevel="0" collapsed="false">
      <c r="A177" s="78" t="n">
        <f aca="false">IF(E177="","",ROW()-6)</f>
        <v>171</v>
      </c>
      <c r="B177" s="79" t="s">
        <v>102</v>
      </c>
      <c r="C177" s="80" t="s">
        <v>451</v>
      </c>
      <c r="D177" s="80" t="s">
        <v>501</v>
      </c>
      <c r="E177" s="80" t="s">
        <v>502</v>
      </c>
      <c r="F177" s="80" t="s">
        <v>151</v>
      </c>
      <c r="G177" s="80" t="s">
        <v>106</v>
      </c>
      <c r="H177" s="80" t="n">
        <v>11</v>
      </c>
      <c r="I177" s="80" t="s">
        <v>114</v>
      </c>
      <c r="J177" s="80" t="s">
        <v>132</v>
      </c>
      <c r="K177" s="80" t="s">
        <v>499</v>
      </c>
      <c r="L177" s="84" t="n">
        <f aca="false">IF(K177="","",IFERROR(INDEX(BARDAGE!$C$7:$C$1506,MATCH(K177,BARDAGE!$B$7:$B$1506,0)),"? hors registre"))</f>
        <v>24803579</v>
      </c>
      <c r="M177" s="80" t="s">
        <v>503</v>
      </c>
      <c r="N177" s="84" t="n">
        <f aca="false">IF(M177="","",IFERROR(INDEX(BARDAGE!$C$7:$C$1506,MATCH(M177,BARDAGE!$B$7:$B$1506,0)),"? hors registre"))</f>
        <v>24102488</v>
      </c>
      <c r="O177" s="80" t="s">
        <v>141</v>
      </c>
      <c r="P177" s="80" t="s">
        <v>125</v>
      </c>
      <c r="Q177" s="80" t="s">
        <v>125</v>
      </c>
      <c r="R177" s="82" t="n">
        <v>45888</v>
      </c>
      <c r="S177" s="82" t="n">
        <v>45888</v>
      </c>
      <c r="T177" s="80" t="s">
        <v>504</v>
      </c>
      <c r="U177" s="80" t="s">
        <v>105</v>
      </c>
      <c r="V177" s="82" t="n">
        <v>45897</v>
      </c>
      <c r="W177" s="80" t="s">
        <v>500</v>
      </c>
      <c r="X177" s="80" t="s">
        <v>105</v>
      </c>
      <c r="Y177" s="80"/>
      <c r="Z177" s="80"/>
      <c r="AA177" s="82"/>
      <c r="AB177" s="80"/>
      <c r="AC177" s="80"/>
      <c r="AD177" s="80"/>
      <c r="AE177" s="80"/>
      <c r="AF177" s="82"/>
      <c r="AG177" s="80"/>
      <c r="AH177" s="80"/>
      <c r="AI177" s="82"/>
      <c r="AJ177" s="79"/>
      <c r="AK177" s="78" t="n">
        <f aca="false">IF(E177="","",(X177&lt;&gt;"")+(AC177&lt;&gt;"")+(AH177&lt;&gt;""))</f>
        <v>1</v>
      </c>
      <c r="AL177" s="81" t="str">
        <f aca="false">IF(AH177&lt;&gt;"",AH177,IF(AC177&lt;&gt;"",AC177,IF(X177&lt;&gt;"",X177,"")))</f>
        <v>A</v>
      </c>
      <c r="AM177" s="83" t="str">
        <f aca="false">IF(E177="","",IF(R177="","À SOUDER",IF(U177="","VT EN ATTENTE",IF(U177="R","VT REJETÉ – À REPRENDRE",IF(AL177="","À RADIOGRAPHIER",IF(AL177="A","ACCEPTÉ",IF(AL177="NX","NX – RT À REFAIRE",IF(IF(AK177=1,Z177,IF(AK177=2,AE177,""))="A","RÉPARÉ – À RADIOGRAPHIER",IF(IF(AK177=1,Z177,IF(AK177=2,AE177,""))="R","VT REJETÉ – À REPRENDRE",IF(OR(AL177="CO",AL177="NT"),"COUPE – À RESOUDER","À RÉPARER"))))))))))</f>
        <v>ACCEPTÉ</v>
      </c>
      <c r="AN177" s="81" t="str">
        <f aca="false">IF(AND(ISNUMBER(R177),OR(AM177="À RADIOGRAPHIER",AM177="RÉPARÉ – À RADIOGRAPHIER",AM177="NX – RT À REFAIRE",AM177="À RÉPARER",AM177="COUPE – À RESOUDER",AM177="VT REJETÉ – À REPRENDRE")),MAX(0,'PROGRAMME RT'!$C$4-R177),"")</f>
        <v/>
      </c>
      <c r="AO177" s="78" t="n">
        <f aca="false">IF(AND(OR(AM177="À RADIOGRAPHIER",AM177="RÉPARÉ – À RADIOGRAPHIER",AM177="NX – RT À REFAIRE"),OR('PROGRAMME RT'!$D$5="TOUTES",B177='PROGRAMME RT'!$D$5)),1,0)</f>
        <v>0</v>
      </c>
      <c r="AP177" s="78" t="str">
        <f aca="false">IF(AO177=1,SUM(AO$7:AO177),"")</f>
        <v/>
      </c>
      <c r="AQ177" s="78" t="n">
        <f aca="false">IF(AND(OR(X177="R",X177="NX",X177="NT",X177="CO"),OR('JOINTS DE RÉPARATION'!$D$5="TOUTES",B177='JOINTS DE RÉPARATION'!$D$5),OR('JOINTS DE RÉPARATION'!$L$4="TOUS",AM177&lt;&gt;"ACCEPTÉ")),1,0)</f>
        <v>0</v>
      </c>
      <c r="AR177" s="78" t="str">
        <f aca="false">IF(AQ177=1,SUM(AQ$7:AQ177),"")</f>
        <v/>
      </c>
    </row>
    <row r="178" customFormat="false" ht="15" hidden="false" customHeight="false" outlineLevel="0" collapsed="false">
      <c r="A178" s="78" t="n">
        <f aca="false">IF(E178="","",ROW()-6)</f>
        <v>172</v>
      </c>
      <c r="B178" s="79" t="s">
        <v>102</v>
      </c>
      <c r="C178" s="80" t="s">
        <v>451</v>
      </c>
      <c r="D178" s="80" t="s">
        <v>501</v>
      </c>
      <c r="E178" s="80" t="s">
        <v>505</v>
      </c>
      <c r="F178" s="80" t="s">
        <v>151</v>
      </c>
      <c r="G178" s="80" t="s">
        <v>106</v>
      </c>
      <c r="H178" s="80" t="n">
        <v>11</v>
      </c>
      <c r="I178" s="80" t="s">
        <v>114</v>
      </c>
      <c r="J178" s="80" t="s">
        <v>132</v>
      </c>
      <c r="K178" s="80" t="s">
        <v>503</v>
      </c>
      <c r="L178" s="84" t="n">
        <f aca="false">IF(K178="","",IFERROR(INDEX(BARDAGE!$C$7:$C$1506,MATCH(K178,BARDAGE!$B$7:$B$1506,0)),"? hors registre"))</f>
        <v>24102488</v>
      </c>
      <c r="M178" s="80" t="s">
        <v>506</v>
      </c>
      <c r="N178" s="84" t="n">
        <f aca="false">IF(M178="","",IFERROR(INDEX(BARDAGE!$C$7:$C$1506,MATCH(M178,BARDAGE!$B$7:$B$1506,0)),"? hors registre"))</f>
        <v>24803596</v>
      </c>
      <c r="O178" s="80" t="s">
        <v>141</v>
      </c>
      <c r="P178" s="80" t="s">
        <v>134</v>
      </c>
      <c r="Q178" s="80" t="s">
        <v>134</v>
      </c>
      <c r="R178" s="82" t="n">
        <v>45888</v>
      </c>
      <c r="S178" s="82" t="n">
        <v>45888</v>
      </c>
      <c r="T178" s="80" t="s">
        <v>504</v>
      </c>
      <c r="U178" s="80" t="s">
        <v>105</v>
      </c>
      <c r="V178" s="82" t="n">
        <v>45897</v>
      </c>
      <c r="W178" s="80" t="s">
        <v>500</v>
      </c>
      <c r="X178" s="80" t="s">
        <v>105</v>
      </c>
      <c r="Y178" s="80"/>
      <c r="Z178" s="80"/>
      <c r="AA178" s="82"/>
      <c r="AB178" s="80"/>
      <c r="AC178" s="80"/>
      <c r="AD178" s="80"/>
      <c r="AE178" s="80"/>
      <c r="AF178" s="82"/>
      <c r="AG178" s="80"/>
      <c r="AH178" s="80"/>
      <c r="AI178" s="82"/>
      <c r="AJ178" s="79"/>
      <c r="AK178" s="78" t="n">
        <f aca="false">IF(E178="","",(X178&lt;&gt;"")+(AC178&lt;&gt;"")+(AH178&lt;&gt;""))</f>
        <v>1</v>
      </c>
      <c r="AL178" s="81" t="str">
        <f aca="false">IF(AH178&lt;&gt;"",AH178,IF(AC178&lt;&gt;"",AC178,IF(X178&lt;&gt;"",X178,"")))</f>
        <v>A</v>
      </c>
      <c r="AM178" s="83" t="str">
        <f aca="false">IF(E178="","",IF(R178="","À SOUDER",IF(U178="","VT EN ATTENTE",IF(U178="R","VT REJETÉ – À REPRENDRE",IF(AL178="","À RADIOGRAPHIER",IF(AL178="A","ACCEPTÉ",IF(AL178="NX","NX – RT À REFAIRE",IF(IF(AK178=1,Z178,IF(AK178=2,AE178,""))="A","RÉPARÉ – À RADIOGRAPHIER",IF(IF(AK178=1,Z178,IF(AK178=2,AE178,""))="R","VT REJETÉ – À REPRENDRE",IF(OR(AL178="CO",AL178="NT"),"COUPE – À RESOUDER","À RÉPARER"))))))))))</f>
        <v>ACCEPTÉ</v>
      </c>
      <c r="AN178" s="81" t="str">
        <f aca="false">IF(AND(ISNUMBER(R178),OR(AM178="À RADIOGRAPHIER",AM178="RÉPARÉ – À RADIOGRAPHIER",AM178="NX – RT À REFAIRE",AM178="À RÉPARER",AM178="COUPE – À RESOUDER",AM178="VT REJETÉ – À REPRENDRE")),MAX(0,'PROGRAMME RT'!$C$4-R178),"")</f>
        <v/>
      </c>
      <c r="AO178" s="78" t="n">
        <f aca="false">IF(AND(OR(AM178="À RADIOGRAPHIER",AM178="RÉPARÉ – À RADIOGRAPHIER",AM178="NX – RT À REFAIRE"),OR('PROGRAMME RT'!$D$5="TOUTES",B178='PROGRAMME RT'!$D$5)),1,0)</f>
        <v>0</v>
      </c>
      <c r="AP178" s="78" t="str">
        <f aca="false">IF(AO178=1,SUM(AO$7:AO178),"")</f>
        <v/>
      </c>
      <c r="AQ178" s="78" t="n">
        <f aca="false">IF(AND(OR(X178="R",X178="NX",X178="NT",X178="CO"),OR('JOINTS DE RÉPARATION'!$D$5="TOUTES",B178='JOINTS DE RÉPARATION'!$D$5),OR('JOINTS DE RÉPARATION'!$L$4="TOUS",AM178&lt;&gt;"ACCEPTÉ")),1,0)</f>
        <v>0</v>
      </c>
      <c r="AR178" s="78" t="str">
        <f aca="false">IF(AQ178=1,SUM(AQ$7:AQ178),"")</f>
        <v/>
      </c>
    </row>
    <row r="179" customFormat="false" ht="15" hidden="false" customHeight="false" outlineLevel="0" collapsed="false">
      <c r="A179" s="78" t="n">
        <f aca="false">IF(E179="","",ROW()-6)</f>
        <v>173</v>
      </c>
      <c r="B179" s="79" t="s">
        <v>102</v>
      </c>
      <c r="C179" s="80" t="s">
        <v>451</v>
      </c>
      <c r="D179" s="80" t="s">
        <v>501</v>
      </c>
      <c r="E179" s="80" t="s">
        <v>507</v>
      </c>
      <c r="F179" s="80" t="s">
        <v>151</v>
      </c>
      <c r="G179" s="80" t="s">
        <v>106</v>
      </c>
      <c r="H179" s="80" t="n">
        <v>11</v>
      </c>
      <c r="I179" s="80" t="s">
        <v>114</v>
      </c>
      <c r="J179" s="80" t="s">
        <v>132</v>
      </c>
      <c r="K179" s="80" t="s">
        <v>506</v>
      </c>
      <c r="L179" s="84" t="n">
        <f aca="false">IF(K179="","",IFERROR(INDEX(BARDAGE!$C$7:$C$1506,MATCH(K179,BARDAGE!$B$7:$B$1506,0)),"? hors registre"))</f>
        <v>24803596</v>
      </c>
      <c r="M179" s="80" t="s">
        <v>508</v>
      </c>
      <c r="N179" s="84" t="n">
        <f aca="false">IF(M179="","",IFERROR(INDEX(BARDAGE!$C$7:$C$1506,MATCH(M179,BARDAGE!$B$7:$B$1506,0)),"? hors registre"))</f>
        <v>24703645</v>
      </c>
      <c r="O179" s="80" t="s">
        <v>141</v>
      </c>
      <c r="P179" s="80" t="s">
        <v>125</v>
      </c>
      <c r="Q179" s="80" t="s">
        <v>125</v>
      </c>
      <c r="R179" s="82" t="n">
        <v>45888</v>
      </c>
      <c r="S179" s="82" t="n">
        <v>45888</v>
      </c>
      <c r="T179" s="80" t="s">
        <v>504</v>
      </c>
      <c r="U179" s="80" t="s">
        <v>105</v>
      </c>
      <c r="V179" s="82" t="n">
        <v>45897</v>
      </c>
      <c r="W179" s="80" t="s">
        <v>500</v>
      </c>
      <c r="X179" s="80" t="s">
        <v>105</v>
      </c>
      <c r="Y179" s="80"/>
      <c r="Z179" s="80"/>
      <c r="AA179" s="82"/>
      <c r="AB179" s="80"/>
      <c r="AC179" s="80"/>
      <c r="AD179" s="80"/>
      <c r="AE179" s="80"/>
      <c r="AF179" s="82"/>
      <c r="AG179" s="80"/>
      <c r="AH179" s="80"/>
      <c r="AI179" s="82"/>
      <c r="AJ179" s="79"/>
      <c r="AK179" s="78" t="n">
        <f aca="false">IF(E179="","",(X179&lt;&gt;"")+(AC179&lt;&gt;"")+(AH179&lt;&gt;""))</f>
        <v>1</v>
      </c>
      <c r="AL179" s="81" t="str">
        <f aca="false">IF(AH179&lt;&gt;"",AH179,IF(AC179&lt;&gt;"",AC179,IF(X179&lt;&gt;"",X179,"")))</f>
        <v>A</v>
      </c>
      <c r="AM179" s="83" t="str">
        <f aca="false">IF(E179="","",IF(R179="","À SOUDER",IF(U179="","VT EN ATTENTE",IF(U179="R","VT REJETÉ – À REPRENDRE",IF(AL179="","À RADIOGRAPHIER",IF(AL179="A","ACCEPTÉ",IF(AL179="NX","NX – RT À REFAIRE",IF(IF(AK179=1,Z179,IF(AK179=2,AE179,""))="A","RÉPARÉ – À RADIOGRAPHIER",IF(IF(AK179=1,Z179,IF(AK179=2,AE179,""))="R","VT REJETÉ – À REPRENDRE",IF(OR(AL179="CO",AL179="NT"),"COUPE – À RESOUDER","À RÉPARER"))))))))))</f>
        <v>ACCEPTÉ</v>
      </c>
      <c r="AN179" s="81" t="str">
        <f aca="false">IF(AND(ISNUMBER(R179),OR(AM179="À RADIOGRAPHIER",AM179="RÉPARÉ – À RADIOGRAPHIER",AM179="NX – RT À REFAIRE",AM179="À RÉPARER",AM179="COUPE – À RESOUDER",AM179="VT REJETÉ – À REPRENDRE")),MAX(0,'PROGRAMME RT'!$C$4-R179),"")</f>
        <v/>
      </c>
      <c r="AO179" s="78" t="n">
        <f aca="false">IF(AND(OR(AM179="À RADIOGRAPHIER",AM179="RÉPARÉ – À RADIOGRAPHIER",AM179="NX – RT À REFAIRE"),OR('PROGRAMME RT'!$D$5="TOUTES",B179='PROGRAMME RT'!$D$5)),1,0)</f>
        <v>0</v>
      </c>
      <c r="AP179" s="78" t="str">
        <f aca="false">IF(AO179=1,SUM(AO$7:AO179),"")</f>
        <v/>
      </c>
      <c r="AQ179" s="78" t="n">
        <f aca="false">IF(AND(OR(X179="R",X179="NX",X179="NT",X179="CO"),OR('JOINTS DE RÉPARATION'!$D$5="TOUTES",B179='JOINTS DE RÉPARATION'!$D$5),OR('JOINTS DE RÉPARATION'!$L$4="TOUS",AM179&lt;&gt;"ACCEPTÉ")),1,0)</f>
        <v>0</v>
      </c>
      <c r="AR179" s="78" t="str">
        <f aca="false">IF(AQ179=1,SUM(AQ$7:AQ179),"")</f>
        <v/>
      </c>
    </row>
    <row r="180" customFormat="false" ht="15" hidden="false" customHeight="false" outlineLevel="0" collapsed="false">
      <c r="A180" s="78" t="n">
        <f aca="false">IF(E180="","",ROW()-6)</f>
        <v>174</v>
      </c>
      <c r="B180" s="79" t="s">
        <v>102</v>
      </c>
      <c r="C180" s="80" t="s">
        <v>451</v>
      </c>
      <c r="D180" s="80" t="s">
        <v>501</v>
      </c>
      <c r="E180" s="80" t="s">
        <v>509</v>
      </c>
      <c r="F180" s="80" t="s">
        <v>151</v>
      </c>
      <c r="G180" s="80" t="s">
        <v>106</v>
      </c>
      <c r="H180" s="80" t="n">
        <v>11</v>
      </c>
      <c r="I180" s="80" t="s">
        <v>114</v>
      </c>
      <c r="J180" s="80" t="s">
        <v>132</v>
      </c>
      <c r="K180" s="80" t="s">
        <v>508</v>
      </c>
      <c r="L180" s="84" t="n">
        <f aca="false">IF(K180="","",IFERROR(INDEX(BARDAGE!$C$7:$C$1506,MATCH(K180,BARDAGE!$B$7:$B$1506,0)),"? hors registre"))</f>
        <v>24703645</v>
      </c>
      <c r="M180" s="80" t="s">
        <v>510</v>
      </c>
      <c r="N180" s="84" t="n">
        <f aca="false">IF(M180="","",IFERROR(INDEX(BARDAGE!$C$7:$C$1506,MATCH(M180,BARDAGE!$B$7:$B$1506,0)),"? hors registre"))</f>
        <v>24102495</v>
      </c>
      <c r="O180" s="80" t="s">
        <v>141</v>
      </c>
      <c r="P180" s="80" t="s">
        <v>125</v>
      </c>
      <c r="Q180" s="80" t="s">
        <v>125</v>
      </c>
      <c r="R180" s="82" t="n">
        <v>45888</v>
      </c>
      <c r="S180" s="82" t="n">
        <v>45888</v>
      </c>
      <c r="T180" s="80" t="s">
        <v>504</v>
      </c>
      <c r="U180" s="80" t="s">
        <v>105</v>
      </c>
      <c r="V180" s="82" t="n">
        <v>45897</v>
      </c>
      <c r="W180" s="80" t="s">
        <v>500</v>
      </c>
      <c r="X180" s="80" t="s">
        <v>105</v>
      </c>
      <c r="Y180" s="80"/>
      <c r="Z180" s="80"/>
      <c r="AA180" s="82"/>
      <c r="AB180" s="80"/>
      <c r="AC180" s="80"/>
      <c r="AD180" s="80"/>
      <c r="AE180" s="80"/>
      <c r="AF180" s="82"/>
      <c r="AG180" s="80"/>
      <c r="AH180" s="80"/>
      <c r="AI180" s="82"/>
      <c r="AJ180" s="79"/>
      <c r="AK180" s="78" t="n">
        <f aca="false">IF(E180="","",(X180&lt;&gt;"")+(AC180&lt;&gt;"")+(AH180&lt;&gt;""))</f>
        <v>1</v>
      </c>
      <c r="AL180" s="81" t="str">
        <f aca="false">IF(AH180&lt;&gt;"",AH180,IF(AC180&lt;&gt;"",AC180,IF(X180&lt;&gt;"",X180,"")))</f>
        <v>A</v>
      </c>
      <c r="AM180" s="83" t="str">
        <f aca="false">IF(E180="","",IF(R180="","À SOUDER",IF(U180="","VT EN ATTENTE",IF(U180="R","VT REJETÉ – À REPRENDRE",IF(AL180="","À RADIOGRAPHIER",IF(AL180="A","ACCEPTÉ",IF(AL180="NX","NX – RT À REFAIRE",IF(IF(AK180=1,Z180,IF(AK180=2,AE180,""))="A","RÉPARÉ – À RADIOGRAPHIER",IF(IF(AK180=1,Z180,IF(AK180=2,AE180,""))="R","VT REJETÉ – À REPRENDRE",IF(OR(AL180="CO",AL180="NT"),"COUPE – À RESOUDER","À RÉPARER"))))))))))</f>
        <v>ACCEPTÉ</v>
      </c>
      <c r="AN180" s="81" t="str">
        <f aca="false">IF(AND(ISNUMBER(R180),OR(AM180="À RADIOGRAPHIER",AM180="RÉPARÉ – À RADIOGRAPHIER",AM180="NX – RT À REFAIRE",AM180="À RÉPARER",AM180="COUPE – À RESOUDER",AM180="VT REJETÉ – À REPRENDRE")),MAX(0,'PROGRAMME RT'!$C$4-R180),"")</f>
        <v/>
      </c>
      <c r="AO180" s="78" t="n">
        <f aca="false">IF(AND(OR(AM180="À RADIOGRAPHIER",AM180="RÉPARÉ – À RADIOGRAPHIER",AM180="NX – RT À REFAIRE"),OR('PROGRAMME RT'!$D$5="TOUTES",B180='PROGRAMME RT'!$D$5)),1,0)</f>
        <v>0</v>
      </c>
      <c r="AP180" s="78" t="str">
        <f aca="false">IF(AO180=1,SUM(AO$7:AO180),"")</f>
        <v/>
      </c>
      <c r="AQ180" s="78" t="n">
        <f aca="false">IF(AND(OR(X180="R",X180="NX",X180="NT",X180="CO"),OR('JOINTS DE RÉPARATION'!$D$5="TOUTES",B180='JOINTS DE RÉPARATION'!$D$5),OR('JOINTS DE RÉPARATION'!$L$4="TOUS",AM180&lt;&gt;"ACCEPTÉ")),1,0)</f>
        <v>0</v>
      </c>
      <c r="AR180" s="78" t="str">
        <f aca="false">IF(AQ180=1,SUM(AQ$7:AQ180),"")</f>
        <v/>
      </c>
    </row>
    <row r="181" customFormat="false" ht="15" hidden="false" customHeight="false" outlineLevel="0" collapsed="false">
      <c r="A181" s="78" t="n">
        <f aca="false">IF(E181="","",ROW()-6)</f>
        <v>175</v>
      </c>
      <c r="B181" s="79" t="s">
        <v>102</v>
      </c>
      <c r="C181" s="80" t="s">
        <v>451</v>
      </c>
      <c r="D181" s="80" t="s">
        <v>501</v>
      </c>
      <c r="E181" s="80" t="s">
        <v>511</v>
      </c>
      <c r="F181" s="80" t="s">
        <v>151</v>
      </c>
      <c r="G181" s="80" t="s">
        <v>106</v>
      </c>
      <c r="H181" s="80" t="n">
        <v>11</v>
      </c>
      <c r="I181" s="80" t="s">
        <v>114</v>
      </c>
      <c r="J181" s="80" t="s">
        <v>132</v>
      </c>
      <c r="K181" s="80" t="s">
        <v>510</v>
      </c>
      <c r="L181" s="84" t="n">
        <f aca="false">IF(K181="","",IFERROR(INDEX(BARDAGE!$C$7:$C$1506,MATCH(K181,BARDAGE!$B$7:$B$1506,0)),"? hors registre"))</f>
        <v>24102495</v>
      </c>
      <c r="M181" s="80" t="s">
        <v>512</v>
      </c>
      <c r="N181" s="84" t="n">
        <f aca="false">IF(M181="","",IFERROR(INDEX(BARDAGE!$C$7:$C$1506,MATCH(M181,BARDAGE!$B$7:$B$1506,0)),"? hors registre"))</f>
        <v>24703643</v>
      </c>
      <c r="O181" s="80" t="s">
        <v>141</v>
      </c>
      <c r="P181" s="80" t="s">
        <v>134</v>
      </c>
      <c r="Q181" s="80" t="s">
        <v>134</v>
      </c>
      <c r="R181" s="82" t="n">
        <v>45888</v>
      </c>
      <c r="S181" s="82" t="n">
        <v>45888</v>
      </c>
      <c r="T181" s="80" t="s">
        <v>504</v>
      </c>
      <c r="U181" s="80" t="s">
        <v>105</v>
      </c>
      <c r="V181" s="82" t="n">
        <v>45897</v>
      </c>
      <c r="W181" s="80" t="s">
        <v>500</v>
      </c>
      <c r="X181" s="80" t="s">
        <v>105</v>
      </c>
      <c r="Y181" s="80"/>
      <c r="Z181" s="80"/>
      <c r="AA181" s="82"/>
      <c r="AB181" s="80"/>
      <c r="AC181" s="80"/>
      <c r="AD181" s="80"/>
      <c r="AE181" s="80"/>
      <c r="AF181" s="82"/>
      <c r="AG181" s="80"/>
      <c r="AH181" s="80"/>
      <c r="AI181" s="82"/>
      <c r="AJ181" s="79"/>
      <c r="AK181" s="78" t="n">
        <f aca="false">IF(E181="","",(X181&lt;&gt;"")+(AC181&lt;&gt;"")+(AH181&lt;&gt;""))</f>
        <v>1</v>
      </c>
      <c r="AL181" s="81" t="str">
        <f aca="false">IF(AH181&lt;&gt;"",AH181,IF(AC181&lt;&gt;"",AC181,IF(X181&lt;&gt;"",X181,"")))</f>
        <v>A</v>
      </c>
      <c r="AM181" s="83" t="str">
        <f aca="false">IF(E181="","",IF(R181="","À SOUDER",IF(U181="","VT EN ATTENTE",IF(U181="R","VT REJETÉ – À REPRENDRE",IF(AL181="","À RADIOGRAPHIER",IF(AL181="A","ACCEPTÉ",IF(AL181="NX","NX – RT À REFAIRE",IF(IF(AK181=1,Z181,IF(AK181=2,AE181,""))="A","RÉPARÉ – À RADIOGRAPHIER",IF(IF(AK181=1,Z181,IF(AK181=2,AE181,""))="R","VT REJETÉ – À REPRENDRE",IF(OR(AL181="CO",AL181="NT"),"COUPE – À RESOUDER","À RÉPARER"))))))))))</f>
        <v>ACCEPTÉ</v>
      </c>
      <c r="AN181" s="81" t="str">
        <f aca="false">IF(AND(ISNUMBER(R181),OR(AM181="À RADIOGRAPHIER",AM181="RÉPARÉ – À RADIOGRAPHIER",AM181="NX – RT À REFAIRE",AM181="À RÉPARER",AM181="COUPE – À RESOUDER",AM181="VT REJETÉ – À REPRENDRE")),MAX(0,'PROGRAMME RT'!$C$4-R181),"")</f>
        <v/>
      </c>
      <c r="AO181" s="78" t="n">
        <f aca="false">IF(AND(OR(AM181="À RADIOGRAPHIER",AM181="RÉPARÉ – À RADIOGRAPHIER",AM181="NX – RT À REFAIRE"),OR('PROGRAMME RT'!$D$5="TOUTES",B181='PROGRAMME RT'!$D$5)),1,0)</f>
        <v>0</v>
      </c>
      <c r="AP181" s="78" t="str">
        <f aca="false">IF(AO181=1,SUM(AO$7:AO181),"")</f>
        <v/>
      </c>
      <c r="AQ181" s="78" t="n">
        <f aca="false">IF(AND(OR(X181="R",X181="NX",X181="NT",X181="CO"),OR('JOINTS DE RÉPARATION'!$D$5="TOUTES",B181='JOINTS DE RÉPARATION'!$D$5),OR('JOINTS DE RÉPARATION'!$L$4="TOUS",AM181&lt;&gt;"ACCEPTÉ")),1,0)</f>
        <v>0</v>
      </c>
      <c r="AR181" s="78" t="str">
        <f aca="false">IF(AQ181=1,SUM(AQ$7:AQ181),"")</f>
        <v/>
      </c>
    </row>
    <row r="182" customFormat="false" ht="15" hidden="false" customHeight="false" outlineLevel="0" collapsed="false">
      <c r="A182" s="78" t="n">
        <f aca="false">IF(E182="","",ROW()-6)</f>
        <v>176</v>
      </c>
      <c r="B182" s="79" t="s">
        <v>102</v>
      </c>
      <c r="C182" s="80" t="s">
        <v>451</v>
      </c>
      <c r="D182" s="80" t="s">
        <v>501</v>
      </c>
      <c r="E182" s="80" t="s">
        <v>513</v>
      </c>
      <c r="F182" s="80" t="s">
        <v>151</v>
      </c>
      <c r="G182" s="80" t="s">
        <v>106</v>
      </c>
      <c r="H182" s="80" t="n">
        <v>11</v>
      </c>
      <c r="I182" s="80" t="s">
        <v>114</v>
      </c>
      <c r="J182" s="80" t="s">
        <v>132</v>
      </c>
      <c r="K182" s="80" t="s">
        <v>512</v>
      </c>
      <c r="L182" s="84" t="n">
        <f aca="false">IF(K182="","",IFERROR(INDEX(BARDAGE!$C$7:$C$1506,MATCH(K182,BARDAGE!$B$7:$B$1506,0)),"? hors registre"))</f>
        <v>24703643</v>
      </c>
      <c r="M182" s="80" t="s">
        <v>514</v>
      </c>
      <c r="N182" s="84" t="n">
        <f aca="false">IF(M182="","",IFERROR(INDEX(BARDAGE!$C$7:$C$1506,MATCH(M182,BARDAGE!$B$7:$B$1506,0)),"? hors registre"))</f>
        <v>24102488</v>
      </c>
      <c r="O182" s="80" t="s">
        <v>141</v>
      </c>
      <c r="P182" s="80" t="s">
        <v>204</v>
      </c>
      <c r="Q182" s="80" t="s">
        <v>204</v>
      </c>
      <c r="R182" s="82" t="n">
        <v>45888</v>
      </c>
      <c r="S182" s="82" t="n">
        <v>45888</v>
      </c>
      <c r="T182" s="80" t="s">
        <v>504</v>
      </c>
      <c r="U182" s="80" t="s">
        <v>105</v>
      </c>
      <c r="V182" s="82" t="n">
        <v>45897</v>
      </c>
      <c r="W182" s="80" t="s">
        <v>500</v>
      </c>
      <c r="X182" s="80" t="s">
        <v>105</v>
      </c>
      <c r="Y182" s="80"/>
      <c r="Z182" s="80"/>
      <c r="AA182" s="82"/>
      <c r="AB182" s="80"/>
      <c r="AC182" s="80"/>
      <c r="AD182" s="80"/>
      <c r="AE182" s="80"/>
      <c r="AF182" s="82"/>
      <c r="AG182" s="80"/>
      <c r="AH182" s="80"/>
      <c r="AI182" s="82"/>
      <c r="AJ182" s="79"/>
      <c r="AK182" s="78" t="n">
        <f aca="false">IF(E182="","",(X182&lt;&gt;"")+(AC182&lt;&gt;"")+(AH182&lt;&gt;""))</f>
        <v>1</v>
      </c>
      <c r="AL182" s="81" t="str">
        <f aca="false">IF(AH182&lt;&gt;"",AH182,IF(AC182&lt;&gt;"",AC182,IF(X182&lt;&gt;"",X182,"")))</f>
        <v>A</v>
      </c>
      <c r="AM182" s="83" t="str">
        <f aca="false">IF(E182="","",IF(R182="","À SOUDER",IF(U182="","VT EN ATTENTE",IF(U182="R","VT REJETÉ – À REPRENDRE",IF(AL182="","À RADIOGRAPHIER",IF(AL182="A","ACCEPTÉ",IF(AL182="NX","NX – RT À REFAIRE",IF(IF(AK182=1,Z182,IF(AK182=2,AE182,""))="A","RÉPARÉ – À RADIOGRAPHIER",IF(IF(AK182=1,Z182,IF(AK182=2,AE182,""))="R","VT REJETÉ – À REPRENDRE",IF(OR(AL182="CO",AL182="NT"),"COUPE – À RESOUDER","À RÉPARER"))))))))))</f>
        <v>ACCEPTÉ</v>
      </c>
      <c r="AN182" s="81" t="str">
        <f aca="false">IF(AND(ISNUMBER(R182),OR(AM182="À RADIOGRAPHIER",AM182="RÉPARÉ – À RADIOGRAPHIER",AM182="NX – RT À REFAIRE",AM182="À RÉPARER",AM182="COUPE – À RESOUDER",AM182="VT REJETÉ – À REPRENDRE")),MAX(0,'PROGRAMME RT'!$C$4-R182),"")</f>
        <v/>
      </c>
      <c r="AO182" s="78" t="n">
        <f aca="false">IF(AND(OR(AM182="À RADIOGRAPHIER",AM182="RÉPARÉ – À RADIOGRAPHIER",AM182="NX – RT À REFAIRE"),OR('PROGRAMME RT'!$D$5="TOUTES",B182='PROGRAMME RT'!$D$5)),1,0)</f>
        <v>0</v>
      </c>
      <c r="AP182" s="78" t="str">
        <f aca="false">IF(AO182=1,SUM(AO$7:AO182),"")</f>
        <v/>
      </c>
      <c r="AQ182" s="78" t="n">
        <f aca="false">IF(AND(OR(X182="R",X182="NX",X182="NT",X182="CO"),OR('JOINTS DE RÉPARATION'!$D$5="TOUTES",B182='JOINTS DE RÉPARATION'!$D$5),OR('JOINTS DE RÉPARATION'!$L$4="TOUS",AM182&lt;&gt;"ACCEPTÉ")),1,0)</f>
        <v>0</v>
      </c>
      <c r="AR182" s="78" t="str">
        <f aca="false">IF(AQ182=1,SUM(AQ$7:AQ182),"")</f>
        <v/>
      </c>
    </row>
    <row r="183" customFormat="false" ht="15" hidden="false" customHeight="false" outlineLevel="0" collapsed="false">
      <c r="A183" s="78" t="n">
        <f aca="false">IF(E183="","",ROW()-6)</f>
        <v>177</v>
      </c>
      <c r="B183" s="79" t="s">
        <v>102</v>
      </c>
      <c r="C183" s="80" t="s">
        <v>451</v>
      </c>
      <c r="D183" s="80" t="s">
        <v>501</v>
      </c>
      <c r="E183" s="80" t="s">
        <v>515</v>
      </c>
      <c r="F183" s="80" t="s">
        <v>151</v>
      </c>
      <c r="G183" s="80" t="s">
        <v>106</v>
      </c>
      <c r="H183" s="80" t="n">
        <v>11</v>
      </c>
      <c r="I183" s="80" t="s">
        <v>114</v>
      </c>
      <c r="J183" s="80" t="s">
        <v>132</v>
      </c>
      <c r="K183" s="80" t="s">
        <v>514</v>
      </c>
      <c r="L183" s="84" t="n">
        <f aca="false">IF(K183="","",IFERROR(INDEX(BARDAGE!$C$7:$C$1506,MATCH(K183,BARDAGE!$B$7:$B$1506,0)),"? hors registre"))</f>
        <v>24102488</v>
      </c>
      <c r="M183" s="80" t="s">
        <v>516</v>
      </c>
      <c r="N183" s="84" t="n">
        <f aca="false">IF(M183="","",IFERROR(INDEX(BARDAGE!$C$7:$C$1506,MATCH(M183,BARDAGE!$B$7:$B$1506,0)),"? hors registre"))</f>
        <v>24102495</v>
      </c>
      <c r="O183" s="80" t="s">
        <v>141</v>
      </c>
      <c r="P183" s="80" t="s">
        <v>204</v>
      </c>
      <c r="Q183" s="80" t="s">
        <v>204</v>
      </c>
      <c r="R183" s="82" t="n">
        <v>45888</v>
      </c>
      <c r="S183" s="82" t="n">
        <v>45888</v>
      </c>
      <c r="T183" s="80" t="s">
        <v>504</v>
      </c>
      <c r="U183" s="80" t="s">
        <v>105</v>
      </c>
      <c r="V183" s="82" t="n">
        <v>45897</v>
      </c>
      <c r="W183" s="80" t="s">
        <v>500</v>
      </c>
      <c r="X183" s="80" t="s">
        <v>105</v>
      </c>
      <c r="Y183" s="80"/>
      <c r="Z183" s="80"/>
      <c r="AA183" s="82"/>
      <c r="AB183" s="80"/>
      <c r="AC183" s="80"/>
      <c r="AD183" s="80"/>
      <c r="AE183" s="80"/>
      <c r="AF183" s="82"/>
      <c r="AG183" s="80"/>
      <c r="AH183" s="80"/>
      <c r="AI183" s="82"/>
      <c r="AJ183" s="79"/>
      <c r="AK183" s="78" t="n">
        <f aca="false">IF(E183="","",(X183&lt;&gt;"")+(AC183&lt;&gt;"")+(AH183&lt;&gt;""))</f>
        <v>1</v>
      </c>
      <c r="AL183" s="81" t="str">
        <f aca="false">IF(AH183&lt;&gt;"",AH183,IF(AC183&lt;&gt;"",AC183,IF(X183&lt;&gt;"",X183,"")))</f>
        <v>A</v>
      </c>
      <c r="AM183" s="83" t="str">
        <f aca="false">IF(E183="","",IF(R183="","À SOUDER",IF(U183="","VT EN ATTENTE",IF(U183="R","VT REJETÉ – À REPRENDRE",IF(AL183="","À RADIOGRAPHIER",IF(AL183="A","ACCEPTÉ",IF(AL183="NX","NX – RT À REFAIRE",IF(IF(AK183=1,Z183,IF(AK183=2,AE183,""))="A","RÉPARÉ – À RADIOGRAPHIER",IF(IF(AK183=1,Z183,IF(AK183=2,AE183,""))="R","VT REJETÉ – À REPRENDRE",IF(OR(AL183="CO",AL183="NT"),"COUPE – À RESOUDER","À RÉPARER"))))))))))</f>
        <v>ACCEPTÉ</v>
      </c>
      <c r="AN183" s="81" t="str">
        <f aca="false">IF(AND(ISNUMBER(R183),OR(AM183="À RADIOGRAPHIER",AM183="RÉPARÉ – À RADIOGRAPHIER",AM183="NX – RT À REFAIRE",AM183="À RÉPARER",AM183="COUPE – À RESOUDER",AM183="VT REJETÉ – À REPRENDRE")),MAX(0,'PROGRAMME RT'!$C$4-R183),"")</f>
        <v/>
      </c>
      <c r="AO183" s="78" t="n">
        <f aca="false">IF(AND(OR(AM183="À RADIOGRAPHIER",AM183="RÉPARÉ – À RADIOGRAPHIER",AM183="NX – RT À REFAIRE"),OR('PROGRAMME RT'!$D$5="TOUTES",B183='PROGRAMME RT'!$D$5)),1,0)</f>
        <v>0</v>
      </c>
      <c r="AP183" s="78" t="str">
        <f aca="false">IF(AO183=1,SUM(AO$7:AO183),"")</f>
        <v/>
      </c>
      <c r="AQ183" s="78" t="n">
        <f aca="false">IF(AND(OR(X183="R",X183="NX",X183="NT",X183="CO"),OR('JOINTS DE RÉPARATION'!$D$5="TOUTES",B183='JOINTS DE RÉPARATION'!$D$5),OR('JOINTS DE RÉPARATION'!$L$4="TOUS",AM183&lt;&gt;"ACCEPTÉ")),1,0)</f>
        <v>0</v>
      </c>
      <c r="AR183" s="78" t="str">
        <f aca="false">IF(AQ183=1,SUM(AQ$7:AQ183),"")</f>
        <v/>
      </c>
    </row>
    <row r="184" customFormat="false" ht="15" hidden="false" customHeight="false" outlineLevel="0" collapsed="false">
      <c r="A184" s="78" t="n">
        <f aca="false">IF(E184="","",ROW()-6)</f>
        <v>178</v>
      </c>
      <c r="B184" s="79" t="s">
        <v>102</v>
      </c>
      <c r="C184" s="80" t="s">
        <v>451</v>
      </c>
      <c r="D184" s="80" t="s">
        <v>501</v>
      </c>
      <c r="E184" s="80" t="s">
        <v>517</v>
      </c>
      <c r="F184" s="80" t="s">
        <v>151</v>
      </c>
      <c r="G184" s="80" t="s">
        <v>106</v>
      </c>
      <c r="H184" s="80" t="n">
        <v>11</v>
      </c>
      <c r="I184" s="80" t="s">
        <v>114</v>
      </c>
      <c r="J184" s="80" t="s">
        <v>132</v>
      </c>
      <c r="K184" s="80" t="s">
        <v>516</v>
      </c>
      <c r="L184" s="84" t="n">
        <f aca="false">IF(K184="","",IFERROR(INDEX(BARDAGE!$C$7:$C$1506,MATCH(K184,BARDAGE!$B$7:$B$1506,0)),"? hors registre"))</f>
        <v>24102495</v>
      </c>
      <c r="M184" s="80" t="s">
        <v>518</v>
      </c>
      <c r="N184" s="84" t="n">
        <f aca="false">IF(M184="","",IFERROR(INDEX(BARDAGE!$C$7:$C$1506,MATCH(M184,BARDAGE!$B$7:$B$1506,0)),"? hors registre"))</f>
        <v>24703643</v>
      </c>
      <c r="O184" s="80" t="s">
        <v>141</v>
      </c>
      <c r="P184" s="80" t="s">
        <v>134</v>
      </c>
      <c r="Q184" s="80" t="s">
        <v>134</v>
      </c>
      <c r="R184" s="82" t="n">
        <v>45888</v>
      </c>
      <c r="S184" s="82" t="n">
        <v>45888</v>
      </c>
      <c r="T184" s="80" t="s">
        <v>504</v>
      </c>
      <c r="U184" s="80" t="s">
        <v>105</v>
      </c>
      <c r="V184" s="82" t="n">
        <v>45897</v>
      </c>
      <c r="W184" s="80" t="s">
        <v>500</v>
      </c>
      <c r="X184" s="80" t="s">
        <v>105</v>
      </c>
      <c r="Y184" s="80"/>
      <c r="Z184" s="80"/>
      <c r="AA184" s="82"/>
      <c r="AB184" s="80"/>
      <c r="AC184" s="80"/>
      <c r="AD184" s="80"/>
      <c r="AE184" s="80"/>
      <c r="AF184" s="82"/>
      <c r="AG184" s="80"/>
      <c r="AH184" s="80"/>
      <c r="AI184" s="82"/>
      <c r="AJ184" s="79"/>
      <c r="AK184" s="78" t="n">
        <f aca="false">IF(E184="","",(X184&lt;&gt;"")+(AC184&lt;&gt;"")+(AH184&lt;&gt;""))</f>
        <v>1</v>
      </c>
      <c r="AL184" s="81" t="str">
        <f aca="false">IF(AH184&lt;&gt;"",AH184,IF(AC184&lt;&gt;"",AC184,IF(X184&lt;&gt;"",X184,"")))</f>
        <v>A</v>
      </c>
      <c r="AM184" s="83" t="str">
        <f aca="false">IF(E184="","",IF(R184="","À SOUDER",IF(U184="","VT EN ATTENTE",IF(U184="R","VT REJETÉ – À REPRENDRE",IF(AL184="","À RADIOGRAPHIER",IF(AL184="A","ACCEPTÉ",IF(AL184="NX","NX – RT À REFAIRE",IF(IF(AK184=1,Z184,IF(AK184=2,AE184,""))="A","RÉPARÉ – À RADIOGRAPHIER",IF(IF(AK184=1,Z184,IF(AK184=2,AE184,""))="R","VT REJETÉ – À REPRENDRE",IF(OR(AL184="CO",AL184="NT"),"COUPE – À RESOUDER","À RÉPARER"))))))))))</f>
        <v>ACCEPTÉ</v>
      </c>
      <c r="AN184" s="81" t="str">
        <f aca="false">IF(AND(ISNUMBER(R184),OR(AM184="À RADIOGRAPHIER",AM184="RÉPARÉ – À RADIOGRAPHIER",AM184="NX – RT À REFAIRE",AM184="À RÉPARER",AM184="COUPE – À RESOUDER",AM184="VT REJETÉ – À REPRENDRE")),MAX(0,'PROGRAMME RT'!$C$4-R184),"")</f>
        <v/>
      </c>
      <c r="AO184" s="78" t="n">
        <f aca="false">IF(AND(OR(AM184="À RADIOGRAPHIER",AM184="RÉPARÉ – À RADIOGRAPHIER",AM184="NX – RT À REFAIRE"),OR('PROGRAMME RT'!$D$5="TOUTES",B184='PROGRAMME RT'!$D$5)),1,0)</f>
        <v>0</v>
      </c>
      <c r="AP184" s="78" t="str">
        <f aca="false">IF(AO184=1,SUM(AO$7:AO184),"")</f>
        <v/>
      </c>
      <c r="AQ184" s="78" t="n">
        <f aca="false">IF(AND(OR(X184="R",X184="NX",X184="NT",X184="CO"),OR('JOINTS DE RÉPARATION'!$D$5="TOUTES",B184='JOINTS DE RÉPARATION'!$D$5),OR('JOINTS DE RÉPARATION'!$L$4="TOUS",AM184&lt;&gt;"ACCEPTÉ")),1,0)</f>
        <v>0</v>
      </c>
      <c r="AR184" s="78" t="str">
        <f aca="false">IF(AQ184=1,SUM(AQ$7:AQ184),"")</f>
        <v/>
      </c>
    </row>
    <row r="185" customFormat="false" ht="15" hidden="false" customHeight="false" outlineLevel="0" collapsed="false">
      <c r="A185" s="78" t="n">
        <f aca="false">IF(E185="","",ROW()-6)</f>
        <v>179</v>
      </c>
      <c r="B185" s="79" t="s">
        <v>102</v>
      </c>
      <c r="C185" s="80" t="s">
        <v>451</v>
      </c>
      <c r="D185" s="80" t="s">
        <v>501</v>
      </c>
      <c r="E185" s="80" t="s">
        <v>519</v>
      </c>
      <c r="F185" s="80" t="s">
        <v>151</v>
      </c>
      <c r="G185" s="80" t="s">
        <v>106</v>
      </c>
      <c r="H185" s="80" t="n">
        <v>11</v>
      </c>
      <c r="I185" s="80" t="s">
        <v>114</v>
      </c>
      <c r="J185" s="80" t="s">
        <v>132</v>
      </c>
      <c r="K185" s="80" t="s">
        <v>518</v>
      </c>
      <c r="L185" s="84" t="n">
        <f aca="false">IF(K185="","",IFERROR(INDEX(BARDAGE!$C$7:$C$1506,MATCH(K185,BARDAGE!$B$7:$B$1506,0)),"? hors registre"))</f>
        <v>24703643</v>
      </c>
      <c r="M185" s="80" t="s">
        <v>520</v>
      </c>
      <c r="N185" s="84" t="n">
        <f aca="false">IF(M185="","",IFERROR(INDEX(BARDAGE!$C$7:$C$1506,MATCH(M185,BARDAGE!$B$7:$B$1506,0)),"? hors registre"))</f>
        <v>24102484</v>
      </c>
      <c r="O185" s="80" t="s">
        <v>141</v>
      </c>
      <c r="P185" s="80" t="s">
        <v>125</v>
      </c>
      <c r="Q185" s="80" t="s">
        <v>125</v>
      </c>
      <c r="R185" s="82" t="n">
        <v>45888</v>
      </c>
      <c r="S185" s="82" t="n">
        <v>45888</v>
      </c>
      <c r="T185" s="80" t="s">
        <v>504</v>
      </c>
      <c r="U185" s="80" t="s">
        <v>105</v>
      </c>
      <c r="V185" s="82" t="n">
        <v>45897</v>
      </c>
      <c r="W185" s="80" t="s">
        <v>500</v>
      </c>
      <c r="X185" s="80" t="s">
        <v>105</v>
      </c>
      <c r="Y185" s="80"/>
      <c r="Z185" s="80"/>
      <c r="AA185" s="82"/>
      <c r="AB185" s="80"/>
      <c r="AC185" s="80"/>
      <c r="AD185" s="80"/>
      <c r="AE185" s="80"/>
      <c r="AF185" s="82"/>
      <c r="AG185" s="80"/>
      <c r="AH185" s="80"/>
      <c r="AI185" s="82"/>
      <c r="AJ185" s="79"/>
      <c r="AK185" s="78" t="n">
        <f aca="false">IF(E185="","",(X185&lt;&gt;"")+(AC185&lt;&gt;"")+(AH185&lt;&gt;""))</f>
        <v>1</v>
      </c>
      <c r="AL185" s="81" t="str">
        <f aca="false">IF(AH185&lt;&gt;"",AH185,IF(AC185&lt;&gt;"",AC185,IF(X185&lt;&gt;"",X185,"")))</f>
        <v>A</v>
      </c>
      <c r="AM185" s="83" t="str">
        <f aca="false">IF(E185="","",IF(R185="","À SOUDER",IF(U185="","VT EN ATTENTE",IF(U185="R","VT REJETÉ – À REPRENDRE",IF(AL185="","À RADIOGRAPHIER",IF(AL185="A","ACCEPTÉ",IF(AL185="NX","NX – RT À REFAIRE",IF(IF(AK185=1,Z185,IF(AK185=2,AE185,""))="A","RÉPARÉ – À RADIOGRAPHIER",IF(IF(AK185=1,Z185,IF(AK185=2,AE185,""))="R","VT REJETÉ – À REPRENDRE",IF(OR(AL185="CO",AL185="NT"),"COUPE – À RESOUDER","À RÉPARER"))))))))))</f>
        <v>ACCEPTÉ</v>
      </c>
      <c r="AN185" s="81" t="str">
        <f aca="false">IF(AND(ISNUMBER(R185),OR(AM185="À RADIOGRAPHIER",AM185="RÉPARÉ – À RADIOGRAPHIER",AM185="NX – RT À REFAIRE",AM185="À RÉPARER",AM185="COUPE – À RESOUDER",AM185="VT REJETÉ – À REPRENDRE")),MAX(0,'PROGRAMME RT'!$C$4-R185),"")</f>
        <v/>
      </c>
      <c r="AO185" s="78" t="n">
        <f aca="false">IF(AND(OR(AM185="À RADIOGRAPHIER",AM185="RÉPARÉ – À RADIOGRAPHIER",AM185="NX – RT À REFAIRE"),OR('PROGRAMME RT'!$D$5="TOUTES",B185='PROGRAMME RT'!$D$5)),1,0)</f>
        <v>0</v>
      </c>
      <c r="AP185" s="78" t="str">
        <f aca="false">IF(AO185=1,SUM(AO$7:AO185),"")</f>
        <v/>
      </c>
      <c r="AQ185" s="78" t="n">
        <f aca="false">IF(AND(OR(X185="R",X185="NX",X185="NT",X185="CO"),OR('JOINTS DE RÉPARATION'!$D$5="TOUTES",B185='JOINTS DE RÉPARATION'!$D$5),OR('JOINTS DE RÉPARATION'!$L$4="TOUS",AM185&lt;&gt;"ACCEPTÉ")),1,0)</f>
        <v>0</v>
      </c>
      <c r="AR185" s="78" t="str">
        <f aca="false">IF(AQ185=1,SUM(AQ$7:AQ185),"")</f>
        <v/>
      </c>
    </row>
    <row r="186" customFormat="false" ht="15" hidden="false" customHeight="false" outlineLevel="0" collapsed="false">
      <c r="A186" s="78" t="n">
        <f aca="false">IF(E186="","",ROW()-6)</f>
        <v>180</v>
      </c>
      <c r="B186" s="79" t="s">
        <v>102</v>
      </c>
      <c r="C186" s="80" t="s">
        <v>451</v>
      </c>
      <c r="D186" s="80" t="s">
        <v>501</v>
      </c>
      <c r="E186" s="80" t="s">
        <v>521</v>
      </c>
      <c r="F186" s="80" t="s">
        <v>151</v>
      </c>
      <c r="G186" s="80" t="s">
        <v>106</v>
      </c>
      <c r="H186" s="80" t="n">
        <v>11</v>
      </c>
      <c r="I186" s="80" t="s">
        <v>114</v>
      </c>
      <c r="J186" s="80" t="s">
        <v>132</v>
      </c>
      <c r="K186" s="80" t="s">
        <v>520</v>
      </c>
      <c r="L186" s="84" t="n">
        <f aca="false">IF(K186="","",IFERROR(INDEX(BARDAGE!$C$7:$C$1506,MATCH(K186,BARDAGE!$B$7:$B$1506,0)),"? hors registre"))</f>
        <v>24102484</v>
      </c>
      <c r="M186" s="80" t="s">
        <v>522</v>
      </c>
      <c r="N186" s="81" t="str">
        <f aca="false">IF(M186="","",IFERROR(INDEX(BARDAGE!$C$7:$C$1506,MATCH(M186,BARDAGE!$B$7:$B$1506,0)),"? hors registre"))</f>
        <v>? hors registre</v>
      </c>
      <c r="O186" s="80" t="s">
        <v>141</v>
      </c>
      <c r="P186" s="80" t="s">
        <v>204</v>
      </c>
      <c r="Q186" s="80" t="s">
        <v>204</v>
      </c>
      <c r="R186" s="82" t="n">
        <v>45888</v>
      </c>
      <c r="S186" s="82" t="n">
        <v>45888</v>
      </c>
      <c r="T186" s="80" t="s">
        <v>504</v>
      </c>
      <c r="U186" s="80" t="s">
        <v>105</v>
      </c>
      <c r="V186" s="82" t="n">
        <v>45897</v>
      </c>
      <c r="W186" s="80" t="s">
        <v>500</v>
      </c>
      <c r="X186" s="80" t="s">
        <v>105</v>
      </c>
      <c r="Y186" s="80"/>
      <c r="Z186" s="80"/>
      <c r="AA186" s="82"/>
      <c r="AB186" s="80"/>
      <c r="AC186" s="80"/>
      <c r="AD186" s="80"/>
      <c r="AE186" s="80"/>
      <c r="AF186" s="82"/>
      <c r="AG186" s="80"/>
      <c r="AH186" s="80"/>
      <c r="AI186" s="82"/>
      <c r="AJ186" s="79"/>
      <c r="AK186" s="78" t="n">
        <f aca="false">IF(E186="","",(X186&lt;&gt;"")+(AC186&lt;&gt;"")+(AH186&lt;&gt;""))</f>
        <v>1</v>
      </c>
      <c r="AL186" s="81" t="str">
        <f aca="false">IF(AH186&lt;&gt;"",AH186,IF(AC186&lt;&gt;"",AC186,IF(X186&lt;&gt;"",X186,"")))</f>
        <v>A</v>
      </c>
      <c r="AM186" s="83" t="str">
        <f aca="false">IF(E186="","",IF(R186="","À SOUDER",IF(U186="","VT EN ATTENTE",IF(U186="R","VT REJETÉ – À REPRENDRE",IF(AL186="","À RADIOGRAPHIER",IF(AL186="A","ACCEPTÉ",IF(AL186="NX","NX – RT À REFAIRE",IF(IF(AK186=1,Z186,IF(AK186=2,AE186,""))="A","RÉPARÉ – À RADIOGRAPHIER",IF(IF(AK186=1,Z186,IF(AK186=2,AE186,""))="R","VT REJETÉ – À REPRENDRE",IF(OR(AL186="CO",AL186="NT"),"COUPE – À RESOUDER","À RÉPARER"))))))))))</f>
        <v>ACCEPTÉ</v>
      </c>
      <c r="AN186" s="81" t="str">
        <f aca="false">IF(AND(ISNUMBER(R186),OR(AM186="À RADIOGRAPHIER",AM186="RÉPARÉ – À RADIOGRAPHIER",AM186="NX – RT À REFAIRE",AM186="À RÉPARER",AM186="COUPE – À RESOUDER",AM186="VT REJETÉ – À REPRENDRE")),MAX(0,'PROGRAMME RT'!$C$4-R186),"")</f>
        <v/>
      </c>
      <c r="AO186" s="78" t="n">
        <f aca="false">IF(AND(OR(AM186="À RADIOGRAPHIER",AM186="RÉPARÉ – À RADIOGRAPHIER",AM186="NX – RT À REFAIRE"),OR('PROGRAMME RT'!$D$5="TOUTES",B186='PROGRAMME RT'!$D$5)),1,0)</f>
        <v>0</v>
      </c>
      <c r="AP186" s="78" t="str">
        <f aca="false">IF(AO186=1,SUM(AO$7:AO186),"")</f>
        <v/>
      </c>
      <c r="AQ186" s="78" t="n">
        <f aca="false">IF(AND(OR(X186="R",X186="NX",X186="NT",X186="CO"),OR('JOINTS DE RÉPARATION'!$D$5="TOUTES",B186='JOINTS DE RÉPARATION'!$D$5),OR('JOINTS DE RÉPARATION'!$L$4="TOUS",AM186&lt;&gt;"ACCEPTÉ")),1,0)</f>
        <v>0</v>
      </c>
      <c r="AR186" s="78" t="str">
        <f aca="false">IF(AQ186=1,SUM(AQ$7:AQ186),"")</f>
        <v/>
      </c>
    </row>
    <row r="187" customFormat="false" ht="15" hidden="false" customHeight="false" outlineLevel="0" collapsed="false">
      <c r="A187" s="78" t="n">
        <f aca="false">IF(E187="","",ROW()-6)</f>
        <v>181</v>
      </c>
      <c r="B187" s="79" t="s">
        <v>102</v>
      </c>
      <c r="C187" s="80" t="s">
        <v>451</v>
      </c>
      <c r="D187" s="80" t="s">
        <v>501</v>
      </c>
      <c r="E187" s="80" t="s">
        <v>523</v>
      </c>
      <c r="F187" s="80" t="s">
        <v>151</v>
      </c>
      <c r="G187" s="80" t="s">
        <v>106</v>
      </c>
      <c r="H187" s="80" t="n">
        <v>11</v>
      </c>
      <c r="I187" s="80" t="s">
        <v>114</v>
      </c>
      <c r="J187" s="80" t="s">
        <v>132</v>
      </c>
      <c r="K187" s="80" t="s">
        <v>522</v>
      </c>
      <c r="L187" s="81" t="str">
        <f aca="false">IF(K187="","",IFERROR(INDEX(BARDAGE!$C$7:$C$1506,MATCH(K187,BARDAGE!$B$7:$B$1506,0)),"? hors registre"))</f>
        <v>? hors registre</v>
      </c>
      <c r="M187" s="80" t="s">
        <v>524</v>
      </c>
      <c r="N187" s="84" t="n">
        <f aca="false">IF(M187="","",IFERROR(INDEX(BARDAGE!$C$7:$C$1506,MATCH(M187,BARDAGE!$B$7:$B$1506,0)),"? hors registre"))</f>
        <v>24102307</v>
      </c>
      <c r="O187" s="80" t="s">
        <v>141</v>
      </c>
      <c r="P187" s="80" t="s">
        <v>134</v>
      </c>
      <c r="Q187" s="80" t="s">
        <v>134</v>
      </c>
      <c r="R187" s="82" t="n">
        <v>45888</v>
      </c>
      <c r="S187" s="82" t="n">
        <v>45888</v>
      </c>
      <c r="T187" s="80" t="s">
        <v>504</v>
      </c>
      <c r="U187" s="80" t="s">
        <v>105</v>
      </c>
      <c r="V187" s="82" t="n">
        <v>45897</v>
      </c>
      <c r="W187" s="80" t="s">
        <v>500</v>
      </c>
      <c r="X187" s="80" t="s">
        <v>105</v>
      </c>
      <c r="Y187" s="80"/>
      <c r="Z187" s="80"/>
      <c r="AA187" s="82"/>
      <c r="AB187" s="80"/>
      <c r="AC187" s="80"/>
      <c r="AD187" s="80"/>
      <c r="AE187" s="80"/>
      <c r="AF187" s="82"/>
      <c r="AG187" s="80"/>
      <c r="AH187" s="80"/>
      <c r="AI187" s="82"/>
      <c r="AJ187" s="79"/>
      <c r="AK187" s="78" t="n">
        <f aca="false">IF(E187="","",(X187&lt;&gt;"")+(AC187&lt;&gt;"")+(AH187&lt;&gt;""))</f>
        <v>1</v>
      </c>
      <c r="AL187" s="81" t="str">
        <f aca="false">IF(AH187&lt;&gt;"",AH187,IF(AC187&lt;&gt;"",AC187,IF(X187&lt;&gt;"",X187,"")))</f>
        <v>A</v>
      </c>
      <c r="AM187" s="83" t="str">
        <f aca="false">IF(E187="","",IF(R187="","À SOUDER",IF(U187="","VT EN ATTENTE",IF(U187="R","VT REJETÉ – À REPRENDRE",IF(AL187="","À RADIOGRAPHIER",IF(AL187="A","ACCEPTÉ",IF(AL187="NX","NX – RT À REFAIRE",IF(IF(AK187=1,Z187,IF(AK187=2,AE187,""))="A","RÉPARÉ – À RADIOGRAPHIER",IF(IF(AK187=1,Z187,IF(AK187=2,AE187,""))="R","VT REJETÉ – À REPRENDRE",IF(OR(AL187="CO",AL187="NT"),"COUPE – À RESOUDER","À RÉPARER"))))))))))</f>
        <v>ACCEPTÉ</v>
      </c>
      <c r="AN187" s="81" t="str">
        <f aca="false">IF(AND(ISNUMBER(R187),OR(AM187="À RADIOGRAPHIER",AM187="RÉPARÉ – À RADIOGRAPHIER",AM187="NX – RT À REFAIRE",AM187="À RÉPARER",AM187="COUPE – À RESOUDER",AM187="VT REJETÉ – À REPRENDRE")),MAX(0,'PROGRAMME RT'!$C$4-R187),"")</f>
        <v/>
      </c>
      <c r="AO187" s="78" t="n">
        <f aca="false">IF(AND(OR(AM187="À RADIOGRAPHIER",AM187="RÉPARÉ – À RADIOGRAPHIER",AM187="NX – RT À REFAIRE"),OR('PROGRAMME RT'!$D$5="TOUTES",B187='PROGRAMME RT'!$D$5)),1,0)</f>
        <v>0</v>
      </c>
      <c r="AP187" s="78" t="str">
        <f aca="false">IF(AO187=1,SUM(AO$7:AO187),"")</f>
        <v/>
      </c>
      <c r="AQ187" s="78" t="n">
        <f aca="false">IF(AND(OR(X187="R",X187="NX",X187="NT",X187="CO"),OR('JOINTS DE RÉPARATION'!$D$5="TOUTES",B187='JOINTS DE RÉPARATION'!$D$5),OR('JOINTS DE RÉPARATION'!$L$4="TOUS",AM187&lt;&gt;"ACCEPTÉ")),1,0)</f>
        <v>0</v>
      </c>
      <c r="AR187" s="78" t="str">
        <f aca="false">IF(AQ187=1,SUM(AQ$7:AQ187),"")</f>
        <v/>
      </c>
    </row>
    <row r="188" customFormat="false" ht="15" hidden="false" customHeight="false" outlineLevel="0" collapsed="false">
      <c r="A188" s="78" t="n">
        <f aca="false">IF(E188="","",ROW()-6)</f>
        <v>182</v>
      </c>
      <c r="B188" s="79" t="s">
        <v>102</v>
      </c>
      <c r="C188" s="80" t="s">
        <v>451</v>
      </c>
      <c r="D188" s="80" t="s">
        <v>501</v>
      </c>
      <c r="E188" s="80" t="s">
        <v>525</v>
      </c>
      <c r="F188" s="80" t="s">
        <v>151</v>
      </c>
      <c r="G188" s="80" t="s">
        <v>106</v>
      </c>
      <c r="H188" s="80" t="n">
        <v>11</v>
      </c>
      <c r="I188" s="80" t="s">
        <v>114</v>
      </c>
      <c r="J188" s="80" t="s">
        <v>132</v>
      </c>
      <c r="K188" s="80" t="s">
        <v>524</v>
      </c>
      <c r="L188" s="84" t="n">
        <f aca="false">IF(K188="","",IFERROR(INDEX(BARDAGE!$C$7:$C$1506,MATCH(K188,BARDAGE!$B$7:$B$1506,0)),"? hors registre"))</f>
        <v>24102307</v>
      </c>
      <c r="M188" s="80" t="s">
        <v>526</v>
      </c>
      <c r="N188" s="84" t="n">
        <f aca="false">IF(M188="","",IFERROR(INDEX(BARDAGE!$C$7:$C$1506,MATCH(M188,BARDAGE!$B$7:$B$1506,0)),"? hors registre"))</f>
        <v>24803600</v>
      </c>
      <c r="O188" s="80" t="s">
        <v>141</v>
      </c>
      <c r="P188" s="80" t="s">
        <v>204</v>
      </c>
      <c r="Q188" s="80" t="s">
        <v>204</v>
      </c>
      <c r="R188" s="82" t="n">
        <v>45888</v>
      </c>
      <c r="S188" s="82" t="n">
        <v>45888</v>
      </c>
      <c r="T188" s="80" t="s">
        <v>504</v>
      </c>
      <c r="U188" s="80" t="s">
        <v>105</v>
      </c>
      <c r="V188" s="82" t="n">
        <v>45898</v>
      </c>
      <c r="W188" s="80" t="s">
        <v>396</v>
      </c>
      <c r="X188" s="80" t="s">
        <v>105</v>
      </c>
      <c r="Y188" s="80"/>
      <c r="Z188" s="80"/>
      <c r="AA188" s="82"/>
      <c r="AB188" s="80"/>
      <c r="AC188" s="80"/>
      <c r="AD188" s="80"/>
      <c r="AE188" s="80"/>
      <c r="AF188" s="82"/>
      <c r="AG188" s="80"/>
      <c r="AH188" s="80"/>
      <c r="AI188" s="82"/>
      <c r="AJ188" s="79"/>
      <c r="AK188" s="78" t="n">
        <f aca="false">IF(E188="","",(X188&lt;&gt;"")+(AC188&lt;&gt;"")+(AH188&lt;&gt;""))</f>
        <v>1</v>
      </c>
      <c r="AL188" s="81" t="str">
        <f aca="false">IF(AH188&lt;&gt;"",AH188,IF(AC188&lt;&gt;"",AC188,IF(X188&lt;&gt;"",X188,"")))</f>
        <v>A</v>
      </c>
      <c r="AM188" s="83" t="str">
        <f aca="false">IF(E188="","",IF(R188="","À SOUDER",IF(U188="","VT EN ATTENTE",IF(U188="R","VT REJETÉ – À REPRENDRE",IF(AL188="","À RADIOGRAPHIER",IF(AL188="A","ACCEPTÉ",IF(AL188="NX","NX – RT À REFAIRE",IF(IF(AK188=1,Z188,IF(AK188=2,AE188,""))="A","RÉPARÉ – À RADIOGRAPHIER",IF(IF(AK188=1,Z188,IF(AK188=2,AE188,""))="R","VT REJETÉ – À REPRENDRE",IF(OR(AL188="CO",AL188="NT"),"COUPE – À RESOUDER","À RÉPARER"))))))))))</f>
        <v>ACCEPTÉ</v>
      </c>
      <c r="AN188" s="81" t="str">
        <f aca="false">IF(AND(ISNUMBER(R188),OR(AM188="À RADIOGRAPHIER",AM188="RÉPARÉ – À RADIOGRAPHIER",AM188="NX – RT À REFAIRE",AM188="À RÉPARER",AM188="COUPE – À RESOUDER",AM188="VT REJETÉ – À REPRENDRE")),MAX(0,'PROGRAMME RT'!$C$4-R188),"")</f>
        <v/>
      </c>
      <c r="AO188" s="78" t="n">
        <f aca="false">IF(AND(OR(AM188="À RADIOGRAPHIER",AM188="RÉPARÉ – À RADIOGRAPHIER",AM188="NX – RT À REFAIRE"),OR('PROGRAMME RT'!$D$5="TOUTES",B188='PROGRAMME RT'!$D$5)),1,0)</f>
        <v>0</v>
      </c>
      <c r="AP188" s="78" t="str">
        <f aca="false">IF(AO188=1,SUM(AO$7:AO188),"")</f>
        <v/>
      </c>
      <c r="AQ188" s="78" t="n">
        <f aca="false">IF(AND(OR(X188="R",X188="NX",X188="NT",X188="CO"),OR('JOINTS DE RÉPARATION'!$D$5="TOUTES",B188='JOINTS DE RÉPARATION'!$D$5),OR('JOINTS DE RÉPARATION'!$L$4="TOUS",AM188&lt;&gt;"ACCEPTÉ")),1,0)</f>
        <v>0</v>
      </c>
      <c r="AR188" s="78" t="str">
        <f aca="false">IF(AQ188=1,SUM(AQ$7:AQ188),"")</f>
        <v/>
      </c>
    </row>
    <row r="189" customFormat="false" ht="15" hidden="false" customHeight="false" outlineLevel="0" collapsed="false">
      <c r="A189" s="78" t="n">
        <f aca="false">IF(E189="","",ROW()-6)</f>
        <v>183</v>
      </c>
      <c r="B189" s="79" t="s">
        <v>102</v>
      </c>
      <c r="C189" s="80" t="s">
        <v>451</v>
      </c>
      <c r="D189" s="80" t="s">
        <v>501</v>
      </c>
      <c r="E189" s="80" t="s">
        <v>527</v>
      </c>
      <c r="F189" s="80" t="s">
        <v>151</v>
      </c>
      <c r="G189" s="80" t="s">
        <v>106</v>
      </c>
      <c r="H189" s="80" t="n">
        <v>11</v>
      </c>
      <c r="I189" s="80" t="s">
        <v>114</v>
      </c>
      <c r="J189" s="80" t="s">
        <v>132</v>
      </c>
      <c r="K189" s="80" t="s">
        <v>526</v>
      </c>
      <c r="L189" s="84" t="n">
        <f aca="false">IF(K189="","",IFERROR(INDEX(BARDAGE!$C$7:$C$1506,MATCH(K189,BARDAGE!$B$7:$B$1506,0)),"? hors registre"))</f>
        <v>24803600</v>
      </c>
      <c r="M189" s="80" t="s">
        <v>528</v>
      </c>
      <c r="N189" s="84" t="n">
        <f aca="false">IF(M189="","",IFERROR(INDEX(BARDAGE!$C$7:$C$1506,MATCH(M189,BARDAGE!$B$7:$B$1506,0)),"? hors registre"))</f>
        <v>24102307</v>
      </c>
      <c r="O189" s="80" t="s">
        <v>141</v>
      </c>
      <c r="P189" s="80" t="s">
        <v>125</v>
      </c>
      <c r="Q189" s="80" t="s">
        <v>125</v>
      </c>
      <c r="R189" s="82" t="n">
        <v>45888</v>
      </c>
      <c r="S189" s="82" t="n">
        <v>45888</v>
      </c>
      <c r="T189" s="80" t="s">
        <v>504</v>
      </c>
      <c r="U189" s="80" t="s">
        <v>105</v>
      </c>
      <c r="V189" s="82" t="n">
        <v>45898</v>
      </c>
      <c r="W189" s="80" t="s">
        <v>396</v>
      </c>
      <c r="X189" s="80" t="s">
        <v>105</v>
      </c>
      <c r="Y189" s="80"/>
      <c r="Z189" s="80"/>
      <c r="AA189" s="82"/>
      <c r="AB189" s="80"/>
      <c r="AC189" s="80"/>
      <c r="AD189" s="80"/>
      <c r="AE189" s="80"/>
      <c r="AF189" s="82"/>
      <c r="AG189" s="80"/>
      <c r="AH189" s="80"/>
      <c r="AI189" s="82"/>
      <c r="AJ189" s="79"/>
      <c r="AK189" s="78" t="n">
        <f aca="false">IF(E189="","",(X189&lt;&gt;"")+(AC189&lt;&gt;"")+(AH189&lt;&gt;""))</f>
        <v>1</v>
      </c>
      <c r="AL189" s="81" t="str">
        <f aca="false">IF(AH189&lt;&gt;"",AH189,IF(AC189&lt;&gt;"",AC189,IF(X189&lt;&gt;"",X189,"")))</f>
        <v>A</v>
      </c>
      <c r="AM189" s="83" t="str">
        <f aca="false">IF(E189="","",IF(R189="","À SOUDER",IF(U189="","VT EN ATTENTE",IF(U189="R","VT REJETÉ – À REPRENDRE",IF(AL189="","À RADIOGRAPHIER",IF(AL189="A","ACCEPTÉ",IF(AL189="NX","NX – RT À REFAIRE",IF(IF(AK189=1,Z189,IF(AK189=2,AE189,""))="A","RÉPARÉ – À RADIOGRAPHIER",IF(IF(AK189=1,Z189,IF(AK189=2,AE189,""))="R","VT REJETÉ – À REPRENDRE",IF(OR(AL189="CO",AL189="NT"),"COUPE – À RESOUDER","À RÉPARER"))))))))))</f>
        <v>ACCEPTÉ</v>
      </c>
      <c r="AN189" s="81" t="str">
        <f aca="false">IF(AND(ISNUMBER(R189),OR(AM189="À RADIOGRAPHIER",AM189="RÉPARÉ – À RADIOGRAPHIER",AM189="NX – RT À REFAIRE",AM189="À RÉPARER",AM189="COUPE – À RESOUDER",AM189="VT REJETÉ – À REPRENDRE")),MAX(0,'PROGRAMME RT'!$C$4-R189),"")</f>
        <v/>
      </c>
      <c r="AO189" s="78" t="n">
        <f aca="false">IF(AND(OR(AM189="À RADIOGRAPHIER",AM189="RÉPARÉ – À RADIOGRAPHIER",AM189="NX – RT À REFAIRE"),OR('PROGRAMME RT'!$D$5="TOUTES",B189='PROGRAMME RT'!$D$5)),1,0)</f>
        <v>0</v>
      </c>
      <c r="AP189" s="78" t="str">
        <f aca="false">IF(AO189=1,SUM(AO$7:AO189),"")</f>
        <v/>
      </c>
      <c r="AQ189" s="78" t="n">
        <f aca="false">IF(AND(OR(X189="R",X189="NX",X189="NT",X189="CO"),OR('JOINTS DE RÉPARATION'!$D$5="TOUTES",B189='JOINTS DE RÉPARATION'!$D$5),OR('JOINTS DE RÉPARATION'!$L$4="TOUS",AM189&lt;&gt;"ACCEPTÉ")),1,0)</f>
        <v>0</v>
      </c>
      <c r="AR189" s="78" t="str">
        <f aca="false">IF(AQ189=1,SUM(AQ$7:AQ189),"")</f>
        <v/>
      </c>
    </row>
    <row r="190" customFormat="false" ht="15" hidden="false" customHeight="false" outlineLevel="0" collapsed="false">
      <c r="A190" s="78" t="n">
        <f aca="false">IF(E190="","",ROW()-6)</f>
        <v>184</v>
      </c>
      <c r="B190" s="79" t="s">
        <v>102</v>
      </c>
      <c r="C190" s="80" t="s">
        <v>451</v>
      </c>
      <c r="D190" s="80" t="s">
        <v>501</v>
      </c>
      <c r="E190" s="80" t="s">
        <v>529</v>
      </c>
      <c r="F190" s="80" t="s">
        <v>151</v>
      </c>
      <c r="G190" s="80" t="s">
        <v>106</v>
      </c>
      <c r="H190" s="80" t="n">
        <v>11</v>
      </c>
      <c r="I190" s="80" t="s">
        <v>114</v>
      </c>
      <c r="J190" s="80" t="s">
        <v>132</v>
      </c>
      <c r="K190" s="80" t="s">
        <v>528</v>
      </c>
      <c r="L190" s="84" t="n">
        <f aca="false">IF(K190="","",IFERROR(INDEX(BARDAGE!$C$7:$C$1506,MATCH(K190,BARDAGE!$B$7:$B$1506,0)),"? hors registre"))</f>
        <v>24102307</v>
      </c>
      <c r="M190" s="80" t="s">
        <v>530</v>
      </c>
      <c r="N190" s="84" t="n">
        <f aca="false">IF(M190="","",IFERROR(INDEX(BARDAGE!$C$7:$C$1506,MATCH(M190,BARDAGE!$B$7:$B$1506,0)),"? hors registre"))</f>
        <v>24102307</v>
      </c>
      <c r="O190" s="80" t="s">
        <v>141</v>
      </c>
      <c r="P190" s="80" t="s">
        <v>134</v>
      </c>
      <c r="Q190" s="80" t="s">
        <v>134</v>
      </c>
      <c r="R190" s="82" t="n">
        <v>45888</v>
      </c>
      <c r="S190" s="82" t="n">
        <v>45888</v>
      </c>
      <c r="T190" s="80" t="s">
        <v>504</v>
      </c>
      <c r="U190" s="80" t="s">
        <v>105</v>
      </c>
      <c r="V190" s="82" t="n">
        <v>45898</v>
      </c>
      <c r="W190" s="80" t="s">
        <v>396</v>
      </c>
      <c r="X190" s="80" t="s">
        <v>105</v>
      </c>
      <c r="Y190" s="80"/>
      <c r="Z190" s="80"/>
      <c r="AA190" s="82"/>
      <c r="AB190" s="80"/>
      <c r="AC190" s="80"/>
      <c r="AD190" s="80"/>
      <c r="AE190" s="80"/>
      <c r="AF190" s="82"/>
      <c r="AG190" s="80"/>
      <c r="AH190" s="80"/>
      <c r="AI190" s="82"/>
      <c r="AJ190" s="79"/>
      <c r="AK190" s="78" t="n">
        <f aca="false">IF(E190="","",(X190&lt;&gt;"")+(AC190&lt;&gt;"")+(AH190&lt;&gt;""))</f>
        <v>1</v>
      </c>
      <c r="AL190" s="81" t="str">
        <f aca="false">IF(AH190&lt;&gt;"",AH190,IF(AC190&lt;&gt;"",AC190,IF(X190&lt;&gt;"",X190,"")))</f>
        <v>A</v>
      </c>
      <c r="AM190" s="83" t="str">
        <f aca="false">IF(E190="","",IF(R190="","À SOUDER",IF(U190="","VT EN ATTENTE",IF(U190="R","VT REJETÉ – À REPRENDRE",IF(AL190="","À RADIOGRAPHIER",IF(AL190="A","ACCEPTÉ",IF(AL190="NX","NX – RT À REFAIRE",IF(IF(AK190=1,Z190,IF(AK190=2,AE190,""))="A","RÉPARÉ – À RADIOGRAPHIER",IF(IF(AK190=1,Z190,IF(AK190=2,AE190,""))="R","VT REJETÉ – À REPRENDRE",IF(OR(AL190="CO",AL190="NT"),"COUPE – À RESOUDER","À RÉPARER"))))))))))</f>
        <v>ACCEPTÉ</v>
      </c>
      <c r="AN190" s="81" t="str">
        <f aca="false">IF(AND(ISNUMBER(R190),OR(AM190="À RADIOGRAPHIER",AM190="RÉPARÉ – À RADIOGRAPHIER",AM190="NX – RT À REFAIRE",AM190="À RÉPARER",AM190="COUPE – À RESOUDER",AM190="VT REJETÉ – À REPRENDRE")),MAX(0,'PROGRAMME RT'!$C$4-R190),"")</f>
        <v/>
      </c>
      <c r="AO190" s="78" t="n">
        <f aca="false">IF(AND(OR(AM190="À RADIOGRAPHIER",AM190="RÉPARÉ – À RADIOGRAPHIER",AM190="NX – RT À REFAIRE"),OR('PROGRAMME RT'!$D$5="TOUTES",B190='PROGRAMME RT'!$D$5)),1,0)</f>
        <v>0</v>
      </c>
      <c r="AP190" s="78" t="str">
        <f aca="false">IF(AO190=1,SUM(AO$7:AO190),"")</f>
        <v/>
      </c>
      <c r="AQ190" s="78" t="n">
        <f aca="false">IF(AND(OR(X190="R",X190="NX",X190="NT",X190="CO"),OR('JOINTS DE RÉPARATION'!$D$5="TOUTES",B190='JOINTS DE RÉPARATION'!$D$5),OR('JOINTS DE RÉPARATION'!$L$4="TOUS",AM190&lt;&gt;"ACCEPTÉ")),1,0)</f>
        <v>0</v>
      </c>
      <c r="AR190" s="78" t="str">
        <f aca="false">IF(AQ190=1,SUM(AQ$7:AQ190),"")</f>
        <v/>
      </c>
    </row>
    <row r="191" customFormat="false" ht="15" hidden="false" customHeight="false" outlineLevel="0" collapsed="false">
      <c r="A191" s="78" t="n">
        <f aca="false">IF(E191="","",ROW()-6)</f>
        <v>185</v>
      </c>
      <c r="B191" s="79" t="s">
        <v>102</v>
      </c>
      <c r="C191" s="80" t="s">
        <v>451</v>
      </c>
      <c r="D191" s="80" t="s">
        <v>501</v>
      </c>
      <c r="E191" s="80" t="s">
        <v>531</v>
      </c>
      <c r="F191" s="80" t="s">
        <v>151</v>
      </c>
      <c r="G191" s="80" t="s">
        <v>106</v>
      </c>
      <c r="H191" s="80" t="n">
        <v>11</v>
      </c>
      <c r="I191" s="80" t="s">
        <v>114</v>
      </c>
      <c r="J191" s="80" t="s">
        <v>132</v>
      </c>
      <c r="K191" s="80" t="s">
        <v>530</v>
      </c>
      <c r="L191" s="84" t="n">
        <f aca="false">IF(K191="","",IFERROR(INDEX(BARDAGE!$C$7:$C$1506,MATCH(K191,BARDAGE!$B$7:$B$1506,0)),"? hors registre"))</f>
        <v>24102307</v>
      </c>
      <c r="M191" s="80" t="s">
        <v>532</v>
      </c>
      <c r="N191" s="84" t="n">
        <f aca="false">IF(M191="","",IFERROR(INDEX(BARDAGE!$C$7:$C$1506,MATCH(M191,BARDAGE!$B$7:$B$1506,0)),"? hors registre"))</f>
        <v>582404002186</v>
      </c>
      <c r="O191" s="80" t="s">
        <v>141</v>
      </c>
      <c r="P191" s="80" t="s">
        <v>141</v>
      </c>
      <c r="Q191" s="80" t="s">
        <v>134</v>
      </c>
      <c r="R191" s="82" t="n">
        <v>45889</v>
      </c>
      <c r="S191" s="82" t="n">
        <v>45889</v>
      </c>
      <c r="T191" s="80" t="s">
        <v>533</v>
      </c>
      <c r="U191" s="80" t="s">
        <v>105</v>
      </c>
      <c r="V191" s="82" t="n">
        <v>45898</v>
      </c>
      <c r="W191" s="80" t="s">
        <v>396</v>
      </c>
      <c r="X191" s="80" t="s">
        <v>105</v>
      </c>
      <c r="Y191" s="80"/>
      <c r="Z191" s="80"/>
      <c r="AA191" s="82"/>
      <c r="AB191" s="80"/>
      <c r="AC191" s="80"/>
      <c r="AD191" s="80"/>
      <c r="AE191" s="80"/>
      <c r="AF191" s="82"/>
      <c r="AG191" s="80"/>
      <c r="AH191" s="80"/>
      <c r="AI191" s="82"/>
      <c r="AJ191" s="79"/>
      <c r="AK191" s="78" t="n">
        <f aca="false">IF(E191="","",(X191&lt;&gt;"")+(AC191&lt;&gt;"")+(AH191&lt;&gt;""))</f>
        <v>1</v>
      </c>
      <c r="AL191" s="81" t="str">
        <f aca="false">IF(AH191&lt;&gt;"",AH191,IF(AC191&lt;&gt;"",AC191,IF(X191&lt;&gt;"",X191,"")))</f>
        <v>A</v>
      </c>
      <c r="AM191" s="83" t="str">
        <f aca="false">IF(E191="","",IF(R191="","À SOUDER",IF(U191="","VT EN ATTENTE",IF(U191="R","VT REJETÉ – À REPRENDRE",IF(AL191="","À RADIOGRAPHIER",IF(AL191="A","ACCEPTÉ",IF(AL191="NX","NX – RT À REFAIRE",IF(IF(AK191=1,Z191,IF(AK191=2,AE191,""))="A","RÉPARÉ – À RADIOGRAPHIER",IF(IF(AK191=1,Z191,IF(AK191=2,AE191,""))="R","VT REJETÉ – À REPRENDRE",IF(OR(AL191="CO",AL191="NT"),"COUPE – À RESOUDER","À RÉPARER"))))))))))</f>
        <v>ACCEPTÉ</v>
      </c>
      <c r="AN191" s="81" t="str">
        <f aca="false">IF(AND(ISNUMBER(R191),OR(AM191="À RADIOGRAPHIER",AM191="RÉPARÉ – À RADIOGRAPHIER",AM191="NX – RT À REFAIRE",AM191="À RÉPARER",AM191="COUPE – À RESOUDER",AM191="VT REJETÉ – À REPRENDRE")),MAX(0,'PROGRAMME RT'!$C$4-R191),"")</f>
        <v/>
      </c>
      <c r="AO191" s="78" t="n">
        <f aca="false">IF(AND(OR(AM191="À RADIOGRAPHIER",AM191="RÉPARÉ – À RADIOGRAPHIER",AM191="NX – RT À REFAIRE"),OR('PROGRAMME RT'!$D$5="TOUTES",B191='PROGRAMME RT'!$D$5)),1,0)</f>
        <v>0</v>
      </c>
      <c r="AP191" s="78" t="str">
        <f aca="false">IF(AO191=1,SUM(AO$7:AO191),"")</f>
        <v/>
      </c>
      <c r="AQ191" s="78" t="n">
        <f aca="false">IF(AND(OR(X191="R",X191="NX",X191="NT",X191="CO"),OR('JOINTS DE RÉPARATION'!$D$5="TOUTES",B191='JOINTS DE RÉPARATION'!$D$5),OR('JOINTS DE RÉPARATION'!$L$4="TOUS",AM191&lt;&gt;"ACCEPTÉ")),1,0)</f>
        <v>0</v>
      </c>
      <c r="AR191" s="78" t="str">
        <f aca="false">IF(AQ191=1,SUM(AQ$7:AQ191),"")</f>
        <v/>
      </c>
    </row>
    <row r="192" customFormat="false" ht="15" hidden="false" customHeight="false" outlineLevel="0" collapsed="false">
      <c r="A192" s="78" t="n">
        <f aca="false">IF(E192="","",ROW()-6)</f>
        <v>186</v>
      </c>
      <c r="B192" s="79" t="s">
        <v>102</v>
      </c>
      <c r="C192" s="80" t="s">
        <v>451</v>
      </c>
      <c r="D192" s="80" t="s">
        <v>501</v>
      </c>
      <c r="E192" s="80" t="s">
        <v>534</v>
      </c>
      <c r="F192" s="80" t="s">
        <v>151</v>
      </c>
      <c r="G192" s="80" t="s">
        <v>106</v>
      </c>
      <c r="H192" s="80" t="n">
        <v>11</v>
      </c>
      <c r="I192" s="80" t="s">
        <v>114</v>
      </c>
      <c r="J192" s="80" t="s">
        <v>132</v>
      </c>
      <c r="K192" s="80" t="s">
        <v>532</v>
      </c>
      <c r="L192" s="84" t="n">
        <f aca="false">IF(K192="","",IFERROR(INDEX(BARDAGE!$C$7:$C$1506,MATCH(K192,BARDAGE!$B$7:$B$1506,0)),"? hors registre"))</f>
        <v>582404002186</v>
      </c>
      <c r="M192" s="80" t="s">
        <v>535</v>
      </c>
      <c r="N192" s="84" t="n">
        <f aca="false">IF(M192="","",IFERROR(INDEX(BARDAGE!$C$7:$C$1506,MATCH(M192,BARDAGE!$B$7:$B$1506,0)),"? hors registre"))</f>
        <v>24703636</v>
      </c>
      <c r="O192" s="80" t="s">
        <v>141</v>
      </c>
      <c r="P192" s="80" t="s">
        <v>141</v>
      </c>
      <c r="Q192" s="80" t="s">
        <v>204</v>
      </c>
      <c r="R192" s="82" t="n">
        <v>45889</v>
      </c>
      <c r="S192" s="82" t="n">
        <v>45889</v>
      </c>
      <c r="T192" s="80" t="s">
        <v>533</v>
      </c>
      <c r="U192" s="80" t="s">
        <v>105</v>
      </c>
      <c r="V192" s="82" t="n">
        <v>45898</v>
      </c>
      <c r="W192" s="80" t="s">
        <v>396</v>
      </c>
      <c r="X192" s="80" t="s">
        <v>105</v>
      </c>
      <c r="Y192" s="80"/>
      <c r="Z192" s="80"/>
      <c r="AA192" s="82"/>
      <c r="AB192" s="80"/>
      <c r="AC192" s="80"/>
      <c r="AD192" s="80"/>
      <c r="AE192" s="80"/>
      <c r="AF192" s="82"/>
      <c r="AG192" s="80"/>
      <c r="AH192" s="80"/>
      <c r="AI192" s="82"/>
      <c r="AJ192" s="79"/>
      <c r="AK192" s="78" t="n">
        <f aca="false">IF(E192="","",(X192&lt;&gt;"")+(AC192&lt;&gt;"")+(AH192&lt;&gt;""))</f>
        <v>1</v>
      </c>
      <c r="AL192" s="81" t="str">
        <f aca="false">IF(AH192&lt;&gt;"",AH192,IF(AC192&lt;&gt;"",AC192,IF(X192&lt;&gt;"",X192,"")))</f>
        <v>A</v>
      </c>
      <c r="AM192" s="83" t="str">
        <f aca="false">IF(E192="","",IF(R192="","À SOUDER",IF(U192="","VT EN ATTENTE",IF(U192="R","VT REJETÉ – À REPRENDRE",IF(AL192="","À RADIOGRAPHIER",IF(AL192="A","ACCEPTÉ",IF(AL192="NX","NX – RT À REFAIRE",IF(IF(AK192=1,Z192,IF(AK192=2,AE192,""))="A","RÉPARÉ – À RADIOGRAPHIER",IF(IF(AK192=1,Z192,IF(AK192=2,AE192,""))="R","VT REJETÉ – À REPRENDRE",IF(OR(AL192="CO",AL192="NT"),"COUPE – À RESOUDER","À RÉPARER"))))))))))</f>
        <v>ACCEPTÉ</v>
      </c>
      <c r="AN192" s="81" t="str">
        <f aca="false">IF(AND(ISNUMBER(R192),OR(AM192="À RADIOGRAPHIER",AM192="RÉPARÉ – À RADIOGRAPHIER",AM192="NX – RT À REFAIRE",AM192="À RÉPARER",AM192="COUPE – À RESOUDER",AM192="VT REJETÉ – À REPRENDRE")),MAX(0,'PROGRAMME RT'!$C$4-R192),"")</f>
        <v/>
      </c>
      <c r="AO192" s="78" t="n">
        <f aca="false">IF(AND(OR(AM192="À RADIOGRAPHIER",AM192="RÉPARÉ – À RADIOGRAPHIER",AM192="NX – RT À REFAIRE"),OR('PROGRAMME RT'!$D$5="TOUTES",B192='PROGRAMME RT'!$D$5)),1,0)</f>
        <v>0</v>
      </c>
      <c r="AP192" s="78" t="str">
        <f aca="false">IF(AO192=1,SUM(AO$7:AO192),"")</f>
        <v/>
      </c>
      <c r="AQ192" s="78" t="n">
        <f aca="false">IF(AND(OR(X192="R",X192="NX",X192="NT",X192="CO"),OR('JOINTS DE RÉPARATION'!$D$5="TOUTES",B192='JOINTS DE RÉPARATION'!$D$5),OR('JOINTS DE RÉPARATION'!$L$4="TOUS",AM192&lt;&gt;"ACCEPTÉ")),1,0)</f>
        <v>0</v>
      </c>
      <c r="AR192" s="78" t="str">
        <f aca="false">IF(AQ192=1,SUM(AQ$7:AQ192),"")</f>
        <v/>
      </c>
    </row>
    <row r="193" customFormat="false" ht="15" hidden="false" customHeight="false" outlineLevel="0" collapsed="false">
      <c r="A193" s="78" t="n">
        <f aca="false">IF(E193="","",ROW()-6)</f>
        <v>187</v>
      </c>
      <c r="B193" s="79" t="s">
        <v>102</v>
      </c>
      <c r="C193" s="80" t="s">
        <v>451</v>
      </c>
      <c r="D193" s="80" t="s">
        <v>501</v>
      </c>
      <c r="E193" s="80" t="s">
        <v>536</v>
      </c>
      <c r="F193" s="80" t="s">
        <v>151</v>
      </c>
      <c r="G193" s="80" t="s">
        <v>106</v>
      </c>
      <c r="H193" s="80" t="n">
        <v>11</v>
      </c>
      <c r="I193" s="80" t="s">
        <v>114</v>
      </c>
      <c r="J193" s="80" t="s">
        <v>132</v>
      </c>
      <c r="K193" s="80" t="s">
        <v>535</v>
      </c>
      <c r="L193" s="84" t="n">
        <f aca="false">IF(K193="","",IFERROR(INDEX(BARDAGE!$C$7:$C$1506,MATCH(K193,BARDAGE!$B$7:$B$1506,0)),"? hors registre"))</f>
        <v>24703636</v>
      </c>
      <c r="M193" s="80" t="s">
        <v>537</v>
      </c>
      <c r="N193" s="84" t="n">
        <f aca="false">IF(M193="","",IFERROR(INDEX(BARDAGE!$C$7:$C$1506,MATCH(M193,BARDAGE!$B$7:$B$1506,0)),"? hors registre"))</f>
        <v>582404002186</v>
      </c>
      <c r="O193" s="80" t="s">
        <v>141</v>
      </c>
      <c r="P193" s="80" t="s">
        <v>141</v>
      </c>
      <c r="Q193" s="80" t="s">
        <v>134</v>
      </c>
      <c r="R193" s="82" t="n">
        <v>45889</v>
      </c>
      <c r="S193" s="82" t="n">
        <v>45889</v>
      </c>
      <c r="T193" s="80" t="s">
        <v>533</v>
      </c>
      <c r="U193" s="80" t="s">
        <v>105</v>
      </c>
      <c r="V193" s="82" t="n">
        <v>45898</v>
      </c>
      <c r="W193" s="80" t="s">
        <v>396</v>
      </c>
      <c r="X193" s="80" t="s">
        <v>105</v>
      </c>
      <c r="Y193" s="80"/>
      <c r="Z193" s="80"/>
      <c r="AA193" s="82"/>
      <c r="AB193" s="80"/>
      <c r="AC193" s="80"/>
      <c r="AD193" s="80"/>
      <c r="AE193" s="80"/>
      <c r="AF193" s="82"/>
      <c r="AG193" s="80"/>
      <c r="AH193" s="80"/>
      <c r="AI193" s="82"/>
      <c r="AJ193" s="79"/>
      <c r="AK193" s="78" t="n">
        <f aca="false">IF(E193="","",(X193&lt;&gt;"")+(AC193&lt;&gt;"")+(AH193&lt;&gt;""))</f>
        <v>1</v>
      </c>
      <c r="AL193" s="81" t="str">
        <f aca="false">IF(AH193&lt;&gt;"",AH193,IF(AC193&lt;&gt;"",AC193,IF(X193&lt;&gt;"",X193,"")))</f>
        <v>A</v>
      </c>
      <c r="AM193" s="83" t="str">
        <f aca="false">IF(E193="","",IF(R193="","À SOUDER",IF(U193="","VT EN ATTENTE",IF(U193="R","VT REJETÉ – À REPRENDRE",IF(AL193="","À RADIOGRAPHIER",IF(AL193="A","ACCEPTÉ",IF(AL193="NX","NX – RT À REFAIRE",IF(IF(AK193=1,Z193,IF(AK193=2,AE193,""))="A","RÉPARÉ – À RADIOGRAPHIER",IF(IF(AK193=1,Z193,IF(AK193=2,AE193,""))="R","VT REJETÉ – À REPRENDRE",IF(OR(AL193="CO",AL193="NT"),"COUPE – À RESOUDER","À RÉPARER"))))))))))</f>
        <v>ACCEPTÉ</v>
      </c>
      <c r="AN193" s="81" t="str">
        <f aca="false">IF(AND(ISNUMBER(R193),OR(AM193="À RADIOGRAPHIER",AM193="RÉPARÉ – À RADIOGRAPHIER",AM193="NX – RT À REFAIRE",AM193="À RÉPARER",AM193="COUPE – À RESOUDER",AM193="VT REJETÉ – À REPRENDRE")),MAX(0,'PROGRAMME RT'!$C$4-R193),"")</f>
        <v/>
      </c>
      <c r="AO193" s="78" t="n">
        <f aca="false">IF(AND(OR(AM193="À RADIOGRAPHIER",AM193="RÉPARÉ – À RADIOGRAPHIER",AM193="NX – RT À REFAIRE"),OR('PROGRAMME RT'!$D$5="TOUTES",B193='PROGRAMME RT'!$D$5)),1,0)</f>
        <v>0</v>
      </c>
      <c r="AP193" s="78" t="str">
        <f aca="false">IF(AO193=1,SUM(AO$7:AO193),"")</f>
        <v/>
      </c>
      <c r="AQ193" s="78" t="n">
        <f aca="false">IF(AND(OR(X193="R",X193="NX",X193="NT",X193="CO"),OR('JOINTS DE RÉPARATION'!$D$5="TOUTES",B193='JOINTS DE RÉPARATION'!$D$5),OR('JOINTS DE RÉPARATION'!$L$4="TOUS",AM193&lt;&gt;"ACCEPTÉ")),1,0)</f>
        <v>0</v>
      </c>
      <c r="AR193" s="78" t="str">
        <f aca="false">IF(AQ193=1,SUM(AQ$7:AQ193),"")</f>
        <v/>
      </c>
    </row>
    <row r="194" customFormat="false" ht="15" hidden="false" customHeight="false" outlineLevel="0" collapsed="false">
      <c r="A194" s="78" t="n">
        <f aca="false">IF(E194="","",ROW()-6)</f>
        <v>188</v>
      </c>
      <c r="B194" s="79" t="s">
        <v>102</v>
      </c>
      <c r="C194" s="80" t="s">
        <v>451</v>
      </c>
      <c r="D194" s="80" t="s">
        <v>501</v>
      </c>
      <c r="E194" s="80" t="s">
        <v>538</v>
      </c>
      <c r="F194" s="80" t="s">
        <v>151</v>
      </c>
      <c r="G194" s="80" t="s">
        <v>106</v>
      </c>
      <c r="H194" s="80" t="n">
        <v>11</v>
      </c>
      <c r="I194" s="80" t="s">
        <v>114</v>
      </c>
      <c r="J194" s="80" t="s">
        <v>132</v>
      </c>
      <c r="K194" s="80" t="s">
        <v>537</v>
      </c>
      <c r="L194" s="84" t="n">
        <f aca="false">IF(K194="","",IFERROR(INDEX(BARDAGE!$C$7:$C$1506,MATCH(K194,BARDAGE!$B$7:$B$1506,0)),"? hors registre"))</f>
        <v>582404002186</v>
      </c>
      <c r="M194" s="80" t="s">
        <v>539</v>
      </c>
      <c r="N194" s="84" t="n">
        <f aca="false">IF(M194="","",IFERROR(INDEX(BARDAGE!$C$7:$C$1506,MATCH(M194,BARDAGE!$B$7:$B$1506,0)),"? hors registre"))</f>
        <v>24102484</v>
      </c>
      <c r="O194" s="80" t="s">
        <v>141</v>
      </c>
      <c r="P194" s="80" t="s">
        <v>141</v>
      </c>
      <c r="Q194" s="80" t="s">
        <v>125</v>
      </c>
      <c r="R194" s="82" t="n">
        <v>45889</v>
      </c>
      <c r="S194" s="82" t="n">
        <v>45889</v>
      </c>
      <c r="T194" s="80" t="s">
        <v>533</v>
      </c>
      <c r="U194" s="80" t="s">
        <v>105</v>
      </c>
      <c r="V194" s="82" t="n">
        <v>45898</v>
      </c>
      <c r="W194" s="80" t="s">
        <v>396</v>
      </c>
      <c r="X194" s="80" t="s">
        <v>105</v>
      </c>
      <c r="Y194" s="80"/>
      <c r="Z194" s="80"/>
      <c r="AA194" s="82"/>
      <c r="AB194" s="80"/>
      <c r="AC194" s="80"/>
      <c r="AD194" s="80"/>
      <c r="AE194" s="80"/>
      <c r="AF194" s="82"/>
      <c r="AG194" s="80"/>
      <c r="AH194" s="80"/>
      <c r="AI194" s="82"/>
      <c r="AJ194" s="79"/>
      <c r="AK194" s="78" t="n">
        <f aca="false">IF(E194="","",(X194&lt;&gt;"")+(AC194&lt;&gt;"")+(AH194&lt;&gt;""))</f>
        <v>1</v>
      </c>
      <c r="AL194" s="81" t="str">
        <f aca="false">IF(AH194&lt;&gt;"",AH194,IF(AC194&lt;&gt;"",AC194,IF(X194&lt;&gt;"",X194,"")))</f>
        <v>A</v>
      </c>
      <c r="AM194" s="83" t="str">
        <f aca="false">IF(E194="","",IF(R194="","À SOUDER",IF(U194="","VT EN ATTENTE",IF(U194="R","VT REJETÉ – À REPRENDRE",IF(AL194="","À RADIOGRAPHIER",IF(AL194="A","ACCEPTÉ",IF(AL194="NX","NX – RT À REFAIRE",IF(IF(AK194=1,Z194,IF(AK194=2,AE194,""))="A","RÉPARÉ – À RADIOGRAPHIER",IF(IF(AK194=1,Z194,IF(AK194=2,AE194,""))="R","VT REJETÉ – À REPRENDRE",IF(OR(AL194="CO",AL194="NT"),"COUPE – À RESOUDER","À RÉPARER"))))))))))</f>
        <v>ACCEPTÉ</v>
      </c>
      <c r="AN194" s="81" t="str">
        <f aca="false">IF(AND(ISNUMBER(R194),OR(AM194="À RADIOGRAPHIER",AM194="RÉPARÉ – À RADIOGRAPHIER",AM194="NX – RT À REFAIRE",AM194="À RÉPARER",AM194="COUPE – À RESOUDER",AM194="VT REJETÉ – À REPRENDRE")),MAX(0,'PROGRAMME RT'!$C$4-R194),"")</f>
        <v/>
      </c>
      <c r="AO194" s="78" t="n">
        <f aca="false">IF(AND(OR(AM194="À RADIOGRAPHIER",AM194="RÉPARÉ – À RADIOGRAPHIER",AM194="NX – RT À REFAIRE"),OR('PROGRAMME RT'!$D$5="TOUTES",B194='PROGRAMME RT'!$D$5)),1,0)</f>
        <v>0</v>
      </c>
      <c r="AP194" s="78" t="str">
        <f aca="false">IF(AO194=1,SUM(AO$7:AO194),"")</f>
        <v/>
      </c>
      <c r="AQ194" s="78" t="n">
        <f aca="false">IF(AND(OR(X194="R",X194="NX",X194="NT",X194="CO"),OR('JOINTS DE RÉPARATION'!$D$5="TOUTES",B194='JOINTS DE RÉPARATION'!$D$5),OR('JOINTS DE RÉPARATION'!$L$4="TOUS",AM194&lt;&gt;"ACCEPTÉ")),1,0)</f>
        <v>0</v>
      </c>
      <c r="AR194" s="78" t="str">
        <f aca="false">IF(AQ194=1,SUM(AQ$7:AQ194),"")</f>
        <v/>
      </c>
    </row>
    <row r="195" customFormat="false" ht="15" hidden="false" customHeight="false" outlineLevel="0" collapsed="false">
      <c r="A195" s="78" t="n">
        <f aca="false">IF(E195="","",ROW()-6)</f>
        <v>189</v>
      </c>
      <c r="B195" s="79" t="s">
        <v>102</v>
      </c>
      <c r="C195" s="80" t="s">
        <v>451</v>
      </c>
      <c r="D195" s="80" t="s">
        <v>501</v>
      </c>
      <c r="E195" s="80" t="s">
        <v>540</v>
      </c>
      <c r="F195" s="80" t="s">
        <v>151</v>
      </c>
      <c r="G195" s="80" t="s">
        <v>106</v>
      </c>
      <c r="H195" s="80" t="n">
        <v>11</v>
      </c>
      <c r="I195" s="80" t="s">
        <v>114</v>
      </c>
      <c r="J195" s="80" t="s">
        <v>132</v>
      </c>
      <c r="K195" s="80" t="s">
        <v>539</v>
      </c>
      <c r="L195" s="84" t="n">
        <f aca="false">IF(K195="","",IFERROR(INDEX(BARDAGE!$C$7:$C$1506,MATCH(K195,BARDAGE!$B$7:$B$1506,0)),"? hors registre"))</f>
        <v>24102484</v>
      </c>
      <c r="M195" s="80" t="s">
        <v>541</v>
      </c>
      <c r="N195" s="84" t="n">
        <f aca="false">IF(M195="","",IFERROR(INDEX(BARDAGE!$C$7:$C$1506,MATCH(M195,BARDAGE!$B$7:$B$1506,0)),"? hors registre"))</f>
        <v>852405000610</v>
      </c>
      <c r="O195" s="80" t="s">
        <v>141</v>
      </c>
      <c r="P195" s="80" t="s">
        <v>141</v>
      </c>
      <c r="Q195" s="80" t="s">
        <v>134</v>
      </c>
      <c r="R195" s="82" t="n">
        <v>45889</v>
      </c>
      <c r="S195" s="82" t="n">
        <v>45889</v>
      </c>
      <c r="T195" s="80" t="s">
        <v>533</v>
      </c>
      <c r="U195" s="80" t="s">
        <v>105</v>
      </c>
      <c r="V195" s="82" t="n">
        <v>45898</v>
      </c>
      <c r="W195" s="80" t="s">
        <v>396</v>
      </c>
      <c r="X195" s="80" t="s">
        <v>105</v>
      </c>
      <c r="Y195" s="80"/>
      <c r="Z195" s="80"/>
      <c r="AA195" s="82"/>
      <c r="AB195" s="80"/>
      <c r="AC195" s="80"/>
      <c r="AD195" s="80"/>
      <c r="AE195" s="80"/>
      <c r="AF195" s="82"/>
      <c r="AG195" s="80"/>
      <c r="AH195" s="80"/>
      <c r="AI195" s="82"/>
      <c r="AJ195" s="79"/>
      <c r="AK195" s="78" t="n">
        <f aca="false">IF(E195="","",(X195&lt;&gt;"")+(AC195&lt;&gt;"")+(AH195&lt;&gt;""))</f>
        <v>1</v>
      </c>
      <c r="AL195" s="81" t="str">
        <f aca="false">IF(AH195&lt;&gt;"",AH195,IF(AC195&lt;&gt;"",AC195,IF(X195&lt;&gt;"",X195,"")))</f>
        <v>A</v>
      </c>
      <c r="AM195" s="83" t="str">
        <f aca="false">IF(E195="","",IF(R195="","À SOUDER",IF(U195="","VT EN ATTENTE",IF(U195="R","VT REJETÉ – À REPRENDRE",IF(AL195="","À RADIOGRAPHIER",IF(AL195="A","ACCEPTÉ",IF(AL195="NX","NX – RT À REFAIRE",IF(IF(AK195=1,Z195,IF(AK195=2,AE195,""))="A","RÉPARÉ – À RADIOGRAPHIER",IF(IF(AK195=1,Z195,IF(AK195=2,AE195,""))="R","VT REJETÉ – À REPRENDRE",IF(OR(AL195="CO",AL195="NT"),"COUPE – À RESOUDER","À RÉPARER"))))))))))</f>
        <v>ACCEPTÉ</v>
      </c>
      <c r="AN195" s="81" t="str">
        <f aca="false">IF(AND(ISNUMBER(R195),OR(AM195="À RADIOGRAPHIER",AM195="RÉPARÉ – À RADIOGRAPHIER",AM195="NX – RT À REFAIRE",AM195="À RÉPARER",AM195="COUPE – À RESOUDER",AM195="VT REJETÉ – À REPRENDRE")),MAX(0,'PROGRAMME RT'!$C$4-R195),"")</f>
        <v/>
      </c>
      <c r="AO195" s="78" t="n">
        <f aca="false">IF(AND(OR(AM195="À RADIOGRAPHIER",AM195="RÉPARÉ – À RADIOGRAPHIER",AM195="NX – RT À REFAIRE"),OR('PROGRAMME RT'!$D$5="TOUTES",B195='PROGRAMME RT'!$D$5)),1,0)</f>
        <v>0</v>
      </c>
      <c r="AP195" s="78" t="str">
        <f aca="false">IF(AO195=1,SUM(AO$7:AO195),"")</f>
        <v/>
      </c>
      <c r="AQ195" s="78" t="n">
        <f aca="false">IF(AND(OR(X195="R",X195="NX",X195="NT",X195="CO"),OR('JOINTS DE RÉPARATION'!$D$5="TOUTES",B195='JOINTS DE RÉPARATION'!$D$5),OR('JOINTS DE RÉPARATION'!$L$4="TOUS",AM195&lt;&gt;"ACCEPTÉ")),1,0)</f>
        <v>0</v>
      </c>
      <c r="AR195" s="78" t="str">
        <f aca="false">IF(AQ195=1,SUM(AQ$7:AQ195),"")</f>
        <v/>
      </c>
    </row>
    <row r="196" customFormat="false" ht="15" hidden="false" customHeight="false" outlineLevel="0" collapsed="false">
      <c r="A196" s="78" t="n">
        <f aca="false">IF(E196="","",ROW()-6)</f>
        <v>190</v>
      </c>
      <c r="B196" s="79" t="s">
        <v>102</v>
      </c>
      <c r="C196" s="80" t="s">
        <v>451</v>
      </c>
      <c r="D196" s="80" t="s">
        <v>501</v>
      </c>
      <c r="E196" s="80" t="s">
        <v>542</v>
      </c>
      <c r="F196" s="80" t="s">
        <v>151</v>
      </c>
      <c r="G196" s="80" t="s">
        <v>106</v>
      </c>
      <c r="H196" s="80" t="n">
        <v>11</v>
      </c>
      <c r="I196" s="80" t="s">
        <v>114</v>
      </c>
      <c r="J196" s="80" t="s">
        <v>132</v>
      </c>
      <c r="K196" s="80" t="s">
        <v>541</v>
      </c>
      <c r="L196" s="84" t="n">
        <f aca="false">IF(K196="","",IFERROR(INDEX(BARDAGE!$C$7:$C$1506,MATCH(K196,BARDAGE!$B$7:$B$1506,0)),"? hors registre"))</f>
        <v>852405000610</v>
      </c>
      <c r="M196" s="80" t="s">
        <v>543</v>
      </c>
      <c r="N196" s="84" t="n">
        <f aca="false">IF(M196="","",IFERROR(INDEX(BARDAGE!$C$7:$C$1506,MATCH(M196,BARDAGE!$B$7:$B$1506,0)),"? hors registre"))</f>
        <v>24102307</v>
      </c>
      <c r="O196" s="80" t="s">
        <v>141</v>
      </c>
      <c r="P196" s="80" t="s">
        <v>141</v>
      </c>
      <c r="Q196" s="80" t="s">
        <v>204</v>
      </c>
      <c r="R196" s="82" t="n">
        <v>45889</v>
      </c>
      <c r="S196" s="82" t="n">
        <v>45889</v>
      </c>
      <c r="T196" s="80" t="s">
        <v>533</v>
      </c>
      <c r="U196" s="80" t="s">
        <v>105</v>
      </c>
      <c r="V196" s="82" t="n">
        <v>45898</v>
      </c>
      <c r="W196" s="80" t="s">
        <v>396</v>
      </c>
      <c r="X196" s="80" t="s">
        <v>105</v>
      </c>
      <c r="Y196" s="80"/>
      <c r="Z196" s="80"/>
      <c r="AA196" s="82"/>
      <c r="AB196" s="80"/>
      <c r="AC196" s="80"/>
      <c r="AD196" s="80"/>
      <c r="AE196" s="80"/>
      <c r="AF196" s="82"/>
      <c r="AG196" s="80"/>
      <c r="AH196" s="80"/>
      <c r="AI196" s="82"/>
      <c r="AJ196" s="79"/>
      <c r="AK196" s="78" t="n">
        <f aca="false">IF(E196="","",(X196&lt;&gt;"")+(AC196&lt;&gt;"")+(AH196&lt;&gt;""))</f>
        <v>1</v>
      </c>
      <c r="AL196" s="81" t="str">
        <f aca="false">IF(AH196&lt;&gt;"",AH196,IF(AC196&lt;&gt;"",AC196,IF(X196&lt;&gt;"",X196,"")))</f>
        <v>A</v>
      </c>
      <c r="AM196" s="83" t="str">
        <f aca="false">IF(E196="","",IF(R196="","À SOUDER",IF(U196="","VT EN ATTENTE",IF(U196="R","VT REJETÉ – À REPRENDRE",IF(AL196="","À RADIOGRAPHIER",IF(AL196="A","ACCEPTÉ",IF(AL196="NX","NX – RT À REFAIRE",IF(IF(AK196=1,Z196,IF(AK196=2,AE196,""))="A","RÉPARÉ – À RADIOGRAPHIER",IF(IF(AK196=1,Z196,IF(AK196=2,AE196,""))="R","VT REJETÉ – À REPRENDRE",IF(OR(AL196="CO",AL196="NT"),"COUPE – À RESOUDER","À RÉPARER"))))))))))</f>
        <v>ACCEPTÉ</v>
      </c>
      <c r="AN196" s="81" t="str">
        <f aca="false">IF(AND(ISNUMBER(R196),OR(AM196="À RADIOGRAPHIER",AM196="RÉPARÉ – À RADIOGRAPHIER",AM196="NX – RT À REFAIRE",AM196="À RÉPARER",AM196="COUPE – À RESOUDER",AM196="VT REJETÉ – À REPRENDRE")),MAX(0,'PROGRAMME RT'!$C$4-R196),"")</f>
        <v/>
      </c>
      <c r="AO196" s="78" t="n">
        <f aca="false">IF(AND(OR(AM196="À RADIOGRAPHIER",AM196="RÉPARÉ – À RADIOGRAPHIER",AM196="NX – RT À REFAIRE"),OR('PROGRAMME RT'!$D$5="TOUTES",B196='PROGRAMME RT'!$D$5)),1,0)</f>
        <v>0</v>
      </c>
      <c r="AP196" s="78" t="str">
        <f aca="false">IF(AO196=1,SUM(AO$7:AO196),"")</f>
        <v/>
      </c>
      <c r="AQ196" s="78" t="n">
        <f aca="false">IF(AND(OR(X196="R",X196="NX",X196="NT",X196="CO"),OR('JOINTS DE RÉPARATION'!$D$5="TOUTES",B196='JOINTS DE RÉPARATION'!$D$5),OR('JOINTS DE RÉPARATION'!$L$4="TOUS",AM196&lt;&gt;"ACCEPTÉ")),1,0)</f>
        <v>0</v>
      </c>
      <c r="AR196" s="78" t="str">
        <f aca="false">IF(AQ196=1,SUM(AQ$7:AQ196),"")</f>
        <v/>
      </c>
    </row>
    <row r="197" customFormat="false" ht="15" hidden="false" customHeight="false" outlineLevel="0" collapsed="false">
      <c r="A197" s="78" t="n">
        <f aca="false">IF(E197="","",ROW()-6)</f>
        <v>191</v>
      </c>
      <c r="B197" s="79" t="s">
        <v>102</v>
      </c>
      <c r="C197" s="80" t="s">
        <v>451</v>
      </c>
      <c r="D197" s="80" t="s">
        <v>501</v>
      </c>
      <c r="E197" s="80" t="s">
        <v>544</v>
      </c>
      <c r="F197" s="80" t="s">
        <v>151</v>
      </c>
      <c r="G197" s="80" t="s">
        <v>106</v>
      </c>
      <c r="H197" s="80" t="n">
        <v>11</v>
      </c>
      <c r="I197" s="80" t="s">
        <v>114</v>
      </c>
      <c r="J197" s="80" t="s">
        <v>132</v>
      </c>
      <c r="K197" s="80" t="s">
        <v>543</v>
      </c>
      <c r="L197" s="84" t="n">
        <f aca="false">IF(K197="","",IFERROR(INDEX(BARDAGE!$C$7:$C$1506,MATCH(K197,BARDAGE!$B$7:$B$1506,0)),"? hors registre"))</f>
        <v>24102307</v>
      </c>
      <c r="M197" s="80" t="s">
        <v>545</v>
      </c>
      <c r="N197" s="84" t="n">
        <f aca="false">IF(M197="","",IFERROR(INDEX(BARDAGE!$C$7:$C$1506,MATCH(M197,BARDAGE!$B$7:$B$1506,0)),"? hors registre"))</f>
        <v>582404002186</v>
      </c>
      <c r="O197" s="80" t="s">
        <v>141</v>
      </c>
      <c r="P197" s="80" t="s">
        <v>141</v>
      </c>
      <c r="Q197" s="80" t="s">
        <v>204</v>
      </c>
      <c r="R197" s="82" t="n">
        <v>45889</v>
      </c>
      <c r="S197" s="82" t="n">
        <v>45889</v>
      </c>
      <c r="T197" s="80" t="s">
        <v>533</v>
      </c>
      <c r="U197" s="80" t="s">
        <v>105</v>
      </c>
      <c r="V197" s="82" t="n">
        <v>45898</v>
      </c>
      <c r="W197" s="80" t="s">
        <v>396</v>
      </c>
      <c r="X197" s="80" t="s">
        <v>105</v>
      </c>
      <c r="Y197" s="80"/>
      <c r="Z197" s="80"/>
      <c r="AA197" s="82"/>
      <c r="AB197" s="80"/>
      <c r="AC197" s="80"/>
      <c r="AD197" s="80"/>
      <c r="AE197" s="80"/>
      <c r="AF197" s="82"/>
      <c r="AG197" s="80"/>
      <c r="AH197" s="80"/>
      <c r="AI197" s="82"/>
      <c r="AJ197" s="79"/>
      <c r="AK197" s="78" t="n">
        <f aca="false">IF(E197="","",(X197&lt;&gt;"")+(AC197&lt;&gt;"")+(AH197&lt;&gt;""))</f>
        <v>1</v>
      </c>
      <c r="AL197" s="81" t="str">
        <f aca="false">IF(AH197&lt;&gt;"",AH197,IF(AC197&lt;&gt;"",AC197,IF(X197&lt;&gt;"",X197,"")))</f>
        <v>A</v>
      </c>
      <c r="AM197" s="83" t="str">
        <f aca="false">IF(E197="","",IF(R197="","À SOUDER",IF(U197="","VT EN ATTENTE",IF(U197="R","VT REJETÉ – À REPRENDRE",IF(AL197="","À RADIOGRAPHIER",IF(AL197="A","ACCEPTÉ",IF(AL197="NX","NX – RT À REFAIRE",IF(IF(AK197=1,Z197,IF(AK197=2,AE197,""))="A","RÉPARÉ – À RADIOGRAPHIER",IF(IF(AK197=1,Z197,IF(AK197=2,AE197,""))="R","VT REJETÉ – À REPRENDRE",IF(OR(AL197="CO",AL197="NT"),"COUPE – À RESOUDER","À RÉPARER"))))))))))</f>
        <v>ACCEPTÉ</v>
      </c>
      <c r="AN197" s="81" t="str">
        <f aca="false">IF(AND(ISNUMBER(R197),OR(AM197="À RADIOGRAPHIER",AM197="RÉPARÉ – À RADIOGRAPHIER",AM197="NX – RT À REFAIRE",AM197="À RÉPARER",AM197="COUPE – À RESOUDER",AM197="VT REJETÉ – À REPRENDRE")),MAX(0,'PROGRAMME RT'!$C$4-R197),"")</f>
        <v/>
      </c>
      <c r="AO197" s="78" t="n">
        <f aca="false">IF(AND(OR(AM197="À RADIOGRAPHIER",AM197="RÉPARÉ – À RADIOGRAPHIER",AM197="NX – RT À REFAIRE"),OR('PROGRAMME RT'!$D$5="TOUTES",B197='PROGRAMME RT'!$D$5)),1,0)</f>
        <v>0</v>
      </c>
      <c r="AP197" s="78" t="str">
        <f aca="false">IF(AO197=1,SUM(AO$7:AO197),"")</f>
        <v/>
      </c>
      <c r="AQ197" s="78" t="n">
        <f aca="false">IF(AND(OR(X197="R",X197="NX",X197="NT",X197="CO"),OR('JOINTS DE RÉPARATION'!$D$5="TOUTES",B197='JOINTS DE RÉPARATION'!$D$5),OR('JOINTS DE RÉPARATION'!$L$4="TOUS",AM197&lt;&gt;"ACCEPTÉ")),1,0)</f>
        <v>0</v>
      </c>
      <c r="AR197" s="78" t="str">
        <f aca="false">IF(AQ197=1,SUM(AQ$7:AQ197),"")</f>
        <v/>
      </c>
    </row>
    <row r="198" customFormat="false" ht="15" hidden="false" customHeight="false" outlineLevel="0" collapsed="false">
      <c r="A198" s="78" t="n">
        <f aca="false">IF(E198="","",ROW()-6)</f>
        <v>192</v>
      </c>
      <c r="B198" s="79" t="s">
        <v>102</v>
      </c>
      <c r="C198" s="80" t="s">
        <v>451</v>
      </c>
      <c r="D198" s="80" t="s">
        <v>501</v>
      </c>
      <c r="E198" s="80" t="s">
        <v>546</v>
      </c>
      <c r="F198" s="80" t="s">
        <v>151</v>
      </c>
      <c r="G198" s="80" t="s">
        <v>106</v>
      </c>
      <c r="H198" s="80" t="n">
        <v>11</v>
      </c>
      <c r="I198" s="80" t="s">
        <v>114</v>
      </c>
      <c r="J198" s="80" t="s">
        <v>132</v>
      </c>
      <c r="K198" s="80" t="s">
        <v>545</v>
      </c>
      <c r="L198" s="84" t="n">
        <f aca="false">IF(K198="","",IFERROR(INDEX(BARDAGE!$C$7:$C$1506,MATCH(K198,BARDAGE!$B$7:$B$1506,0)),"? hors registre"))</f>
        <v>582404002186</v>
      </c>
      <c r="M198" s="80" t="s">
        <v>547</v>
      </c>
      <c r="N198" s="84" t="n">
        <f aca="false">IF(M198="","",IFERROR(INDEX(BARDAGE!$C$7:$C$1506,MATCH(M198,BARDAGE!$B$7:$B$1506,0)),"? hors registre"))</f>
        <v>24102484</v>
      </c>
      <c r="O198" s="80" t="s">
        <v>141</v>
      </c>
      <c r="P198" s="80" t="s">
        <v>141</v>
      </c>
      <c r="Q198" s="80" t="s">
        <v>134</v>
      </c>
      <c r="R198" s="82" t="n">
        <v>45889</v>
      </c>
      <c r="S198" s="82" t="n">
        <v>45889</v>
      </c>
      <c r="T198" s="80" t="s">
        <v>533</v>
      </c>
      <c r="U198" s="80" t="s">
        <v>105</v>
      </c>
      <c r="V198" s="82" t="n">
        <v>45899</v>
      </c>
      <c r="W198" s="80" t="s">
        <v>548</v>
      </c>
      <c r="X198" s="80" t="s">
        <v>105</v>
      </c>
      <c r="Y198" s="80"/>
      <c r="Z198" s="80"/>
      <c r="AA198" s="82"/>
      <c r="AB198" s="80"/>
      <c r="AC198" s="80"/>
      <c r="AD198" s="80"/>
      <c r="AE198" s="80"/>
      <c r="AF198" s="82"/>
      <c r="AG198" s="80"/>
      <c r="AH198" s="80"/>
      <c r="AI198" s="82"/>
      <c r="AJ198" s="79"/>
      <c r="AK198" s="78" t="n">
        <f aca="false">IF(E198="","",(X198&lt;&gt;"")+(AC198&lt;&gt;"")+(AH198&lt;&gt;""))</f>
        <v>1</v>
      </c>
      <c r="AL198" s="81" t="str">
        <f aca="false">IF(AH198&lt;&gt;"",AH198,IF(AC198&lt;&gt;"",AC198,IF(X198&lt;&gt;"",X198,"")))</f>
        <v>A</v>
      </c>
      <c r="AM198" s="83" t="str">
        <f aca="false">IF(E198="","",IF(R198="","À SOUDER",IF(U198="","VT EN ATTENTE",IF(U198="R","VT REJETÉ – À REPRENDRE",IF(AL198="","À RADIOGRAPHIER",IF(AL198="A","ACCEPTÉ",IF(AL198="NX","NX – RT À REFAIRE",IF(IF(AK198=1,Z198,IF(AK198=2,AE198,""))="A","RÉPARÉ – À RADIOGRAPHIER",IF(IF(AK198=1,Z198,IF(AK198=2,AE198,""))="R","VT REJETÉ – À REPRENDRE",IF(OR(AL198="CO",AL198="NT"),"COUPE – À RESOUDER","À RÉPARER"))))))))))</f>
        <v>ACCEPTÉ</v>
      </c>
      <c r="AN198" s="81" t="str">
        <f aca="false">IF(AND(ISNUMBER(R198),OR(AM198="À RADIOGRAPHIER",AM198="RÉPARÉ – À RADIOGRAPHIER",AM198="NX – RT À REFAIRE",AM198="À RÉPARER",AM198="COUPE – À RESOUDER",AM198="VT REJETÉ – À REPRENDRE")),MAX(0,'PROGRAMME RT'!$C$4-R198),"")</f>
        <v/>
      </c>
      <c r="AO198" s="78" t="n">
        <f aca="false">IF(AND(OR(AM198="À RADIOGRAPHIER",AM198="RÉPARÉ – À RADIOGRAPHIER",AM198="NX – RT À REFAIRE"),OR('PROGRAMME RT'!$D$5="TOUTES",B198='PROGRAMME RT'!$D$5)),1,0)</f>
        <v>0</v>
      </c>
      <c r="AP198" s="78" t="str">
        <f aca="false">IF(AO198=1,SUM(AO$7:AO198),"")</f>
        <v/>
      </c>
      <c r="AQ198" s="78" t="n">
        <f aca="false">IF(AND(OR(X198="R",X198="NX",X198="NT",X198="CO"),OR('JOINTS DE RÉPARATION'!$D$5="TOUTES",B198='JOINTS DE RÉPARATION'!$D$5),OR('JOINTS DE RÉPARATION'!$L$4="TOUS",AM198&lt;&gt;"ACCEPTÉ")),1,0)</f>
        <v>0</v>
      </c>
      <c r="AR198" s="78" t="str">
        <f aca="false">IF(AQ198=1,SUM(AQ$7:AQ198),"")</f>
        <v/>
      </c>
    </row>
    <row r="199" customFormat="false" ht="15" hidden="false" customHeight="false" outlineLevel="0" collapsed="false">
      <c r="A199" s="78" t="n">
        <f aca="false">IF(E199="","",ROW()-6)</f>
        <v>193</v>
      </c>
      <c r="B199" s="79" t="s">
        <v>102</v>
      </c>
      <c r="C199" s="80" t="s">
        <v>451</v>
      </c>
      <c r="D199" s="80" t="s">
        <v>501</v>
      </c>
      <c r="E199" s="80" t="s">
        <v>549</v>
      </c>
      <c r="F199" s="80" t="s">
        <v>151</v>
      </c>
      <c r="G199" s="80" t="s">
        <v>106</v>
      </c>
      <c r="H199" s="80" t="n">
        <v>11</v>
      </c>
      <c r="I199" s="80" t="s">
        <v>114</v>
      </c>
      <c r="J199" s="80" t="s">
        <v>132</v>
      </c>
      <c r="K199" s="80" t="s">
        <v>547</v>
      </c>
      <c r="L199" s="84" t="n">
        <f aca="false">IF(K199="","",IFERROR(INDEX(BARDAGE!$C$7:$C$1506,MATCH(K199,BARDAGE!$B$7:$B$1506,0)),"? hors registre"))</f>
        <v>24102484</v>
      </c>
      <c r="M199" s="80" t="s">
        <v>550</v>
      </c>
      <c r="N199" s="84" t="n">
        <f aca="false">IF(M199="","",IFERROR(INDEX(BARDAGE!$C$7:$C$1506,MATCH(M199,BARDAGE!$B$7:$B$1506,0)),"? hors registre"))</f>
        <v>24102484</v>
      </c>
      <c r="O199" s="80" t="s">
        <v>141</v>
      </c>
      <c r="P199" s="80" t="s">
        <v>141</v>
      </c>
      <c r="Q199" s="80" t="s">
        <v>125</v>
      </c>
      <c r="R199" s="82" t="n">
        <v>45889</v>
      </c>
      <c r="S199" s="82" t="n">
        <v>45889</v>
      </c>
      <c r="T199" s="80" t="s">
        <v>533</v>
      </c>
      <c r="U199" s="80" t="s">
        <v>105</v>
      </c>
      <c r="V199" s="82" t="n">
        <v>45899</v>
      </c>
      <c r="W199" s="80" t="s">
        <v>548</v>
      </c>
      <c r="X199" s="80" t="s">
        <v>105</v>
      </c>
      <c r="Y199" s="80"/>
      <c r="Z199" s="80"/>
      <c r="AA199" s="82"/>
      <c r="AB199" s="80"/>
      <c r="AC199" s="80"/>
      <c r="AD199" s="80"/>
      <c r="AE199" s="80"/>
      <c r="AF199" s="82"/>
      <c r="AG199" s="80"/>
      <c r="AH199" s="80"/>
      <c r="AI199" s="82"/>
      <c r="AJ199" s="79"/>
      <c r="AK199" s="78" t="n">
        <f aca="false">IF(E199="","",(X199&lt;&gt;"")+(AC199&lt;&gt;"")+(AH199&lt;&gt;""))</f>
        <v>1</v>
      </c>
      <c r="AL199" s="81" t="str">
        <f aca="false">IF(AH199&lt;&gt;"",AH199,IF(AC199&lt;&gt;"",AC199,IF(X199&lt;&gt;"",X199,"")))</f>
        <v>A</v>
      </c>
      <c r="AM199" s="83" t="str">
        <f aca="false">IF(E199="","",IF(R199="","À SOUDER",IF(U199="","VT EN ATTENTE",IF(U199="R","VT REJETÉ – À REPRENDRE",IF(AL199="","À RADIOGRAPHIER",IF(AL199="A","ACCEPTÉ",IF(AL199="NX","NX – RT À REFAIRE",IF(IF(AK199=1,Z199,IF(AK199=2,AE199,""))="A","RÉPARÉ – À RADIOGRAPHIER",IF(IF(AK199=1,Z199,IF(AK199=2,AE199,""))="R","VT REJETÉ – À REPRENDRE",IF(OR(AL199="CO",AL199="NT"),"COUPE – À RESOUDER","À RÉPARER"))))))))))</f>
        <v>ACCEPTÉ</v>
      </c>
      <c r="AN199" s="81" t="str">
        <f aca="false">IF(AND(ISNUMBER(R199),OR(AM199="À RADIOGRAPHIER",AM199="RÉPARÉ – À RADIOGRAPHIER",AM199="NX – RT À REFAIRE",AM199="À RÉPARER",AM199="COUPE – À RESOUDER",AM199="VT REJETÉ – À REPRENDRE")),MAX(0,'PROGRAMME RT'!$C$4-R199),"")</f>
        <v/>
      </c>
      <c r="AO199" s="78" t="n">
        <f aca="false">IF(AND(OR(AM199="À RADIOGRAPHIER",AM199="RÉPARÉ – À RADIOGRAPHIER",AM199="NX – RT À REFAIRE"),OR('PROGRAMME RT'!$D$5="TOUTES",B199='PROGRAMME RT'!$D$5)),1,0)</f>
        <v>0</v>
      </c>
      <c r="AP199" s="78" t="str">
        <f aca="false">IF(AO199=1,SUM(AO$7:AO199),"")</f>
        <v/>
      </c>
      <c r="AQ199" s="78" t="n">
        <f aca="false">IF(AND(OR(X199="R",X199="NX",X199="NT",X199="CO"),OR('JOINTS DE RÉPARATION'!$D$5="TOUTES",B199='JOINTS DE RÉPARATION'!$D$5),OR('JOINTS DE RÉPARATION'!$L$4="TOUS",AM199&lt;&gt;"ACCEPTÉ")),1,0)</f>
        <v>0</v>
      </c>
      <c r="AR199" s="78" t="str">
        <f aca="false">IF(AQ199=1,SUM(AQ$7:AQ199),"")</f>
        <v/>
      </c>
    </row>
    <row r="200" customFormat="false" ht="15" hidden="false" customHeight="false" outlineLevel="0" collapsed="false">
      <c r="A200" s="78" t="n">
        <f aca="false">IF(E200="","",ROW()-6)</f>
        <v>194</v>
      </c>
      <c r="B200" s="79" t="s">
        <v>102</v>
      </c>
      <c r="C200" s="80" t="s">
        <v>451</v>
      </c>
      <c r="D200" s="80" t="s">
        <v>501</v>
      </c>
      <c r="E200" s="80" t="s">
        <v>551</v>
      </c>
      <c r="F200" s="80" t="s">
        <v>151</v>
      </c>
      <c r="G200" s="80" t="s">
        <v>106</v>
      </c>
      <c r="H200" s="80" t="n">
        <v>11</v>
      </c>
      <c r="I200" s="80" t="s">
        <v>114</v>
      </c>
      <c r="J200" s="80" t="s">
        <v>132</v>
      </c>
      <c r="K200" s="80" t="s">
        <v>550</v>
      </c>
      <c r="L200" s="84" t="n">
        <f aca="false">IF(K200="","",IFERROR(INDEX(BARDAGE!$C$7:$C$1506,MATCH(K200,BARDAGE!$B$7:$B$1506,0)),"? hors registre"))</f>
        <v>24102484</v>
      </c>
      <c r="M200" s="80" t="s">
        <v>552</v>
      </c>
      <c r="N200" s="84" t="n">
        <f aca="false">IF(M200="","",IFERROR(INDEX(BARDAGE!$C$7:$C$1506,MATCH(M200,BARDAGE!$B$7:$B$1506,0)),"? hors registre"))</f>
        <v>24803598</v>
      </c>
      <c r="O200" s="80" t="s">
        <v>141</v>
      </c>
      <c r="P200" s="80" t="s">
        <v>141</v>
      </c>
      <c r="Q200" s="80" t="s">
        <v>125</v>
      </c>
      <c r="R200" s="82" t="n">
        <v>45889</v>
      </c>
      <c r="S200" s="82" t="n">
        <v>45889</v>
      </c>
      <c r="T200" s="80" t="s">
        <v>533</v>
      </c>
      <c r="U200" s="80" t="s">
        <v>105</v>
      </c>
      <c r="V200" s="82" t="n">
        <v>45899</v>
      </c>
      <c r="W200" s="80" t="s">
        <v>548</v>
      </c>
      <c r="X200" s="80" t="s">
        <v>105</v>
      </c>
      <c r="Y200" s="80"/>
      <c r="Z200" s="80"/>
      <c r="AA200" s="82"/>
      <c r="AB200" s="80"/>
      <c r="AC200" s="80"/>
      <c r="AD200" s="80"/>
      <c r="AE200" s="80"/>
      <c r="AF200" s="82"/>
      <c r="AG200" s="80"/>
      <c r="AH200" s="80"/>
      <c r="AI200" s="82"/>
      <c r="AJ200" s="79"/>
      <c r="AK200" s="78" t="n">
        <f aca="false">IF(E200="","",(X200&lt;&gt;"")+(AC200&lt;&gt;"")+(AH200&lt;&gt;""))</f>
        <v>1</v>
      </c>
      <c r="AL200" s="81" t="str">
        <f aca="false">IF(AH200&lt;&gt;"",AH200,IF(AC200&lt;&gt;"",AC200,IF(X200&lt;&gt;"",X200,"")))</f>
        <v>A</v>
      </c>
      <c r="AM200" s="83" t="str">
        <f aca="false">IF(E200="","",IF(R200="","À SOUDER",IF(U200="","VT EN ATTENTE",IF(U200="R","VT REJETÉ – À REPRENDRE",IF(AL200="","À RADIOGRAPHIER",IF(AL200="A","ACCEPTÉ",IF(AL200="NX","NX – RT À REFAIRE",IF(IF(AK200=1,Z200,IF(AK200=2,AE200,""))="A","RÉPARÉ – À RADIOGRAPHIER",IF(IF(AK200=1,Z200,IF(AK200=2,AE200,""))="R","VT REJETÉ – À REPRENDRE",IF(OR(AL200="CO",AL200="NT"),"COUPE – À RESOUDER","À RÉPARER"))))))))))</f>
        <v>ACCEPTÉ</v>
      </c>
      <c r="AN200" s="81" t="str">
        <f aca="false">IF(AND(ISNUMBER(R200),OR(AM200="À RADIOGRAPHIER",AM200="RÉPARÉ – À RADIOGRAPHIER",AM200="NX – RT À REFAIRE",AM200="À RÉPARER",AM200="COUPE – À RESOUDER",AM200="VT REJETÉ – À REPRENDRE")),MAX(0,'PROGRAMME RT'!$C$4-R200),"")</f>
        <v/>
      </c>
      <c r="AO200" s="78" t="n">
        <f aca="false">IF(AND(OR(AM200="À RADIOGRAPHIER",AM200="RÉPARÉ – À RADIOGRAPHIER",AM200="NX – RT À REFAIRE"),OR('PROGRAMME RT'!$D$5="TOUTES",B200='PROGRAMME RT'!$D$5)),1,0)</f>
        <v>0</v>
      </c>
      <c r="AP200" s="78" t="str">
        <f aca="false">IF(AO200=1,SUM(AO$7:AO200),"")</f>
        <v/>
      </c>
      <c r="AQ200" s="78" t="n">
        <f aca="false">IF(AND(OR(X200="R",X200="NX",X200="NT",X200="CO"),OR('JOINTS DE RÉPARATION'!$D$5="TOUTES",B200='JOINTS DE RÉPARATION'!$D$5),OR('JOINTS DE RÉPARATION'!$L$4="TOUS",AM200&lt;&gt;"ACCEPTÉ")),1,0)</f>
        <v>0</v>
      </c>
      <c r="AR200" s="78" t="str">
        <f aca="false">IF(AQ200=1,SUM(AQ$7:AQ200),"")</f>
        <v/>
      </c>
    </row>
    <row r="201" customFormat="false" ht="15" hidden="false" customHeight="false" outlineLevel="0" collapsed="false">
      <c r="A201" s="78" t="n">
        <f aca="false">IF(E201="","",ROW()-6)</f>
        <v>195</v>
      </c>
      <c r="B201" s="79" t="s">
        <v>102</v>
      </c>
      <c r="C201" s="80" t="s">
        <v>451</v>
      </c>
      <c r="D201" s="80" t="s">
        <v>501</v>
      </c>
      <c r="E201" s="80" t="s">
        <v>553</v>
      </c>
      <c r="F201" s="80" t="s">
        <v>151</v>
      </c>
      <c r="G201" s="80" t="s">
        <v>106</v>
      </c>
      <c r="H201" s="80" t="n">
        <v>11</v>
      </c>
      <c r="I201" s="80" t="s">
        <v>114</v>
      </c>
      <c r="J201" s="80" t="s">
        <v>132</v>
      </c>
      <c r="K201" s="80" t="s">
        <v>552</v>
      </c>
      <c r="L201" s="84" t="n">
        <f aca="false">IF(K201="","",IFERROR(INDEX(BARDAGE!$C$7:$C$1506,MATCH(K201,BARDAGE!$B$7:$B$1506,0)),"? hors registre"))</f>
        <v>24803598</v>
      </c>
      <c r="M201" s="80" t="s">
        <v>554</v>
      </c>
      <c r="N201" s="84" t="n">
        <f aca="false">IF(M201="","",IFERROR(INDEX(BARDAGE!$C$7:$C$1506,MATCH(M201,BARDAGE!$B$7:$B$1506,0)),"? hors registre"))</f>
        <v>852404002574</v>
      </c>
      <c r="O201" s="80" t="s">
        <v>141</v>
      </c>
      <c r="P201" s="80" t="s">
        <v>141</v>
      </c>
      <c r="Q201" s="80" t="s">
        <v>204</v>
      </c>
      <c r="R201" s="82" t="n">
        <v>45889</v>
      </c>
      <c r="S201" s="82" t="n">
        <v>45889</v>
      </c>
      <c r="T201" s="80" t="s">
        <v>533</v>
      </c>
      <c r="U201" s="80" t="s">
        <v>105</v>
      </c>
      <c r="V201" s="82" t="n">
        <v>45899</v>
      </c>
      <c r="W201" s="80" t="s">
        <v>548</v>
      </c>
      <c r="X201" s="80" t="s">
        <v>105</v>
      </c>
      <c r="Y201" s="80"/>
      <c r="Z201" s="80"/>
      <c r="AA201" s="82"/>
      <c r="AB201" s="80"/>
      <c r="AC201" s="80"/>
      <c r="AD201" s="80"/>
      <c r="AE201" s="80"/>
      <c r="AF201" s="82"/>
      <c r="AG201" s="80"/>
      <c r="AH201" s="80"/>
      <c r="AI201" s="82"/>
      <c r="AJ201" s="79"/>
      <c r="AK201" s="78" t="n">
        <f aca="false">IF(E201="","",(X201&lt;&gt;"")+(AC201&lt;&gt;"")+(AH201&lt;&gt;""))</f>
        <v>1</v>
      </c>
      <c r="AL201" s="81" t="str">
        <f aca="false">IF(AH201&lt;&gt;"",AH201,IF(AC201&lt;&gt;"",AC201,IF(X201&lt;&gt;"",X201,"")))</f>
        <v>A</v>
      </c>
      <c r="AM201" s="83" t="str">
        <f aca="false">IF(E201="","",IF(R201="","À SOUDER",IF(U201="","VT EN ATTENTE",IF(U201="R","VT REJETÉ – À REPRENDRE",IF(AL201="","À RADIOGRAPHIER",IF(AL201="A","ACCEPTÉ",IF(AL201="NX","NX – RT À REFAIRE",IF(IF(AK201=1,Z201,IF(AK201=2,AE201,""))="A","RÉPARÉ – À RADIOGRAPHIER",IF(IF(AK201=1,Z201,IF(AK201=2,AE201,""))="R","VT REJETÉ – À REPRENDRE",IF(OR(AL201="CO",AL201="NT"),"COUPE – À RESOUDER","À RÉPARER"))))))))))</f>
        <v>ACCEPTÉ</v>
      </c>
      <c r="AN201" s="81" t="str">
        <f aca="false">IF(AND(ISNUMBER(R201),OR(AM201="À RADIOGRAPHIER",AM201="RÉPARÉ – À RADIOGRAPHIER",AM201="NX – RT À REFAIRE",AM201="À RÉPARER",AM201="COUPE – À RESOUDER",AM201="VT REJETÉ – À REPRENDRE")),MAX(0,'PROGRAMME RT'!$C$4-R201),"")</f>
        <v/>
      </c>
      <c r="AO201" s="78" t="n">
        <f aca="false">IF(AND(OR(AM201="À RADIOGRAPHIER",AM201="RÉPARÉ – À RADIOGRAPHIER",AM201="NX – RT À REFAIRE"),OR('PROGRAMME RT'!$D$5="TOUTES",B201='PROGRAMME RT'!$D$5)),1,0)</f>
        <v>0</v>
      </c>
      <c r="AP201" s="78" t="str">
        <f aca="false">IF(AO201=1,SUM(AO$7:AO201),"")</f>
        <v/>
      </c>
      <c r="AQ201" s="78" t="n">
        <f aca="false">IF(AND(OR(X201="R",X201="NX",X201="NT",X201="CO"),OR('JOINTS DE RÉPARATION'!$D$5="TOUTES",B201='JOINTS DE RÉPARATION'!$D$5),OR('JOINTS DE RÉPARATION'!$L$4="TOUS",AM201&lt;&gt;"ACCEPTÉ")),1,0)</f>
        <v>0</v>
      </c>
      <c r="AR201" s="78" t="str">
        <f aca="false">IF(AQ201=1,SUM(AQ$7:AQ201),"")</f>
        <v/>
      </c>
    </row>
    <row r="202" customFormat="false" ht="15" hidden="false" customHeight="false" outlineLevel="0" collapsed="false">
      <c r="A202" s="78" t="n">
        <f aca="false">IF(E202="","",ROW()-6)</f>
        <v>196</v>
      </c>
      <c r="B202" s="79" t="s">
        <v>102</v>
      </c>
      <c r="C202" s="80" t="s">
        <v>451</v>
      </c>
      <c r="D202" s="80" t="s">
        <v>501</v>
      </c>
      <c r="E202" s="80" t="s">
        <v>555</v>
      </c>
      <c r="F202" s="80" t="s">
        <v>151</v>
      </c>
      <c r="G202" s="80" t="s">
        <v>106</v>
      </c>
      <c r="H202" s="80" t="n">
        <v>11</v>
      </c>
      <c r="I202" s="80" t="s">
        <v>114</v>
      </c>
      <c r="J202" s="80" t="s">
        <v>132</v>
      </c>
      <c r="K202" s="80" t="s">
        <v>554</v>
      </c>
      <c r="L202" s="84" t="n">
        <f aca="false">IF(K202="","",IFERROR(INDEX(BARDAGE!$C$7:$C$1506,MATCH(K202,BARDAGE!$B$7:$B$1506,0)),"? hors registre"))</f>
        <v>852404002574</v>
      </c>
      <c r="M202" s="80" t="s">
        <v>556</v>
      </c>
      <c r="N202" s="84" t="n">
        <f aca="false">IF(M202="","",IFERROR(INDEX(BARDAGE!$C$7:$C$1506,MATCH(M202,BARDAGE!$B$7:$B$1506,0)),"? hors registre"))</f>
        <v>24102487</v>
      </c>
      <c r="O202" s="80" t="s">
        <v>141</v>
      </c>
      <c r="P202" s="80" t="s">
        <v>141</v>
      </c>
      <c r="Q202" s="80" t="s">
        <v>134</v>
      </c>
      <c r="R202" s="82" t="n">
        <v>45889</v>
      </c>
      <c r="S202" s="82" t="n">
        <v>45889</v>
      </c>
      <c r="T202" s="80" t="s">
        <v>533</v>
      </c>
      <c r="U202" s="80" t="s">
        <v>105</v>
      </c>
      <c r="V202" s="82" t="n">
        <v>45899</v>
      </c>
      <c r="W202" s="80" t="s">
        <v>548</v>
      </c>
      <c r="X202" s="80" t="s">
        <v>105</v>
      </c>
      <c r="Y202" s="80"/>
      <c r="Z202" s="80"/>
      <c r="AA202" s="82"/>
      <c r="AB202" s="80"/>
      <c r="AC202" s="80"/>
      <c r="AD202" s="80"/>
      <c r="AE202" s="80"/>
      <c r="AF202" s="82"/>
      <c r="AG202" s="80"/>
      <c r="AH202" s="80"/>
      <c r="AI202" s="82"/>
      <c r="AJ202" s="79"/>
      <c r="AK202" s="78" t="n">
        <f aca="false">IF(E202="","",(X202&lt;&gt;"")+(AC202&lt;&gt;"")+(AH202&lt;&gt;""))</f>
        <v>1</v>
      </c>
      <c r="AL202" s="81" t="str">
        <f aca="false">IF(AH202&lt;&gt;"",AH202,IF(AC202&lt;&gt;"",AC202,IF(X202&lt;&gt;"",X202,"")))</f>
        <v>A</v>
      </c>
      <c r="AM202" s="83" t="str">
        <f aca="false">IF(E202="","",IF(R202="","À SOUDER",IF(U202="","VT EN ATTENTE",IF(U202="R","VT REJETÉ – À REPRENDRE",IF(AL202="","À RADIOGRAPHIER",IF(AL202="A","ACCEPTÉ",IF(AL202="NX","NX – RT À REFAIRE",IF(IF(AK202=1,Z202,IF(AK202=2,AE202,""))="A","RÉPARÉ – À RADIOGRAPHIER",IF(IF(AK202=1,Z202,IF(AK202=2,AE202,""))="R","VT REJETÉ – À REPRENDRE",IF(OR(AL202="CO",AL202="NT"),"COUPE – À RESOUDER","À RÉPARER"))))))))))</f>
        <v>ACCEPTÉ</v>
      </c>
      <c r="AN202" s="81" t="str">
        <f aca="false">IF(AND(ISNUMBER(R202),OR(AM202="À RADIOGRAPHIER",AM202="RÉPARÉ – À RADIOGRAPHIER",AM202="NX – RT À REFAIRE",AM202="À RÉPARER",AM202="COUPE – À RESOUDER",AM202="VT REJETÉ – À REPRENDRE")),MAX(0,'PROGRAMME RT'!$C$4-R202),"")</f>
        <v/>
      </c>
      <c r="AO202" s="78" t="n">
        <f aca="false">IF(AND(OR(AM202="À RADIOGRAPHIER",AM202="RÉPARÉ – À RADIOGRAPHIER",AM202="NX – RT À REFAIRE"),OR('PROGRAMME RT'!$D$5="TOUTES",B202='PROGRAMME RT'!$D$5)),1,0)</f>
        <v>0</v>
      </c>
      <c r="AP202" s="78" t="str">
        <f aca="false">IF(AO202=1,SUM(AO$7:AO202),"")</f>
        <v/>
      </c>
      <c r="AQ202" s="78" t="n">
        <f aca="false">IF(AND(OR(X202="R",X202="NX",X202="NT",X202="CO"),OR('JOINTS DE RÉPARATION'!$D$5="TOUTES",B202='JOINTS DE RÉPARATION'!$D$5),OR('JOINTS DE RÉPARATION'!$L$4="TOUS",AM202&lt;&gt;"ACCEPTÉ")),1,0)</f>
        <v>0</v>
      </c>
      <c r="AR202" s="78" t="str">
        <f aca="false">IF(AQ202=1,SUM(AQ$7:AQ202),"")</f>
        <v/>
      </c>
    </row>
    <row r="203" customFormat="false" ht="15" hidden="false" customHeight="false" outlineLevel="0" collapsed="false">
      <c r="A203" s="78" t="n">
        <f aca="false">IF(E203="","",ROW()-6)</f>
        <v>197</v>
      </c>
      <c r="B203" s="79" t="s">
        <v>102</v>
      </c>
      <c r="C203" s="80" t="s">
        <v>451</v>
      </c>
      <c r="D203" s="80" t="s">
        <v>501</v>
      </c>
      <c r="E203" s="80" t="s">
        <v>557</v>
      </c>
      <c r="F203" s="80" t="s">
        <v>151</v>
      </c>
      <c r="G203" s="80" t="s">
        <v>106</v>
      </c>
      <c r="H203" s="80" t="n">
        <v>11</v>
      </c>
      <c r="I203" s="80" t="s">
        <v>114</v>
      </c>
      <c r="J203" s="80" t="s">
        <v>132</v>
      </c>
      <c r="K203" s="80" t="s">
        <v>556</v>
      </c>
      <c r="L203" s="84" t="n">
        <f aca="false">IF(K203="","",IFERROR(INDEX(BARDAGE!$C$7:$C$1506,MATCH(K203,BARDAGE!$B$7:$B$1506,0)),"? hors registre"))</f>
        <v>24102487</v>
      </c>
      <c r="M203" s="80" t="s">
        <v>558</v>
      </c>
      <c r="N203" s="84" t="n">
        <f aca="false">IF(M203="","",IFERROR(INDEX(BARDAGE!$C$7:$C$1506,MATCH(M203,BARDAGE!$B$7:$B$1506,0)),"? hors registre"))</f>
        <v>24803579</v>
      </c>
      <c r="O203" s="80" t="s">
        <v>141</v>
      </c>
      <c r="P203" s="80" t="s">
        <v>141</v>
      </c>
      <c r="Q203" s="80" t="s">
        <v>125</v>
      </c>
      <c r="R203" s="82" t="n">
        <v>45889</v>
      </c>
      <c r="S203" s="82" t="n">
        <v>45889</v>
      </c>
      <c r="T203" s="80" t="s">
        <v>533</v>
      </c>
      <c r="U203" s="80" t="s">
        <v>105</v>
      </c>
      <c r="V203" s="82" t="n">
        <v>45899</v>
      </c>
      <c r="W203" s="80" t="s">
        <v>548</v>
      </c>
      <c r="X203" s="80" t="s">
        <v>105</v>
      </c>
      <c r="Y203" s="80"/>
      <c r="Z203" s="80"/>
      <c r="AA203" s="82"/>
      <c r="AB203" s="80"/>
      <c r="AC203" s="80"/>
      <c r="AD203" s="80"/>
      <c r="AE203" s="80"/>
      <c r="AF203" s="82"/>
      <c r="AG203" s="80"/>
      <c r="AH203" s="80"/>
      <c r="AI203" s="82"/>
      <c r="AJ203" s="79"/>
      <c r="AK203" s="78" t="n">
        <f aca="false">IF(E203="","",(X203&lt;&gt;"")+(AC203&lt;&gt;"")+(AH203&lt;&gt;""))</f>
        <v>1</v>
      </c>
      <c r="AL203" s="81" t="str">
        <f aca="false">IF(AH203&lt;&gt;"",AH203,IF(AC203&lt;&gt;"",AC203,IF(X203&lt;&gt;"",X203,"")))</f>
        <v>A</v>
      </c>
      <c r="AM203" s="83" t="str">
        <f aca="false">IF(E203="","",IF(R203="","À SOUDER",IF(U203="","VT EN ATTENTE",IF(U203="R","VT REJETÉ – À REPRENDRE",IF(AL203="","À RADIOGRAPHIER",IF(AL203="A","ACCEPTÉ",IF(AL203="NX","NX – RT À REFAIRE",IF(IF(AK203=1,Z203,IF(AK203=2,AE203,""))="A","RÉPARÉ – À RADIOGRAPHIER",IF(IF(AK203=1,Z203,IF(AK203=2,AE203,""))="R","VT REJETÉ – À REPRENDRE",IF(OR(AL203="CO",AL203="NT"),"COUPE – À RESOUDER","À RÉPARER"))))))))))</f>
        <v>ACCEPTÉ</v>
      </c>
      <c r="AN203" s="81" t="str">
        <f aca="false">IF(AND(ISNUMBER(R203),OR(AM203="À RADIOGRAPHIER",AM203="RÉPARÉ – À RADIOGRAPHIER",AM203="NX – RT À REFAIRE",AM203="À RÉPARER",AM203="COUPE – À RESOUDER",AM203="VT REJETÉ – À REPRENDRE")),MAX(0,'PROGRAMME RT'!$C$4-R203),"")</f>
        <v/>
      </c>
      <c r="AO203" s="78" t="n">
        <f aca="false">IF(AND(OR(AM203="À RADIOGRAPHIER",AM203="RÉPARÉ – À RADIOGRAPHIER",AM203="NX – RT À REFAIRE"),OR('PROGRAMME RT'!$D$5="TOUTES",B203='PROGRAMME RT'!$D$5)),1,0)</f>
        <v>0</v>
      </c>
      <c r="AP203" s="78" t="str">
        <f aca="false">IF(AO203=1,SUM(AO$7:AO203),"")</f>
        <v/>
      </c>
      <c r="AQ203" s="78" t="n">
        <f aca="false">IF(AND(OR(X203="R",X203="NX",X203="NT",X203="CO"),OR('JOINTS DE RÉPARATION'!$D$5="TOUTES",B203='JOINTS DE RÉPARATION'!$D$5),OR('JOINTS DE RÉPARATION'!$L$4="TOUS",AM203&lt;&gt;"ACCEPTÉ")),1,0)</f>
        <v>0</v>
      </c>
      <c r="AR203" s="78" t="str">
        <f aca="false">IF(AQ203=1,SUM(AQ$7:AQ203),"")</f>
        <v/>
      </c>
    </row>
    <row r="204" customFormat="false" ht="15" hidden="false" customHeight="false" outlineLevel="0" collapsed="false">
      <c r="A204" s="78" t="n">
        <f aca="false">IF(E204="","",ROW()-6)</f>
        <v>198</v>
      </c>
      <c r="B204" s="79" t="s">
        <v>102</v>
      </c>
      <c r="C204" s="80" t="s">
        <v>451</v>
      </c>
      <c r="D204" s="80" t="s">
        <v>501</v>
      </c>
      <c r="E204" s="80" t="s">
        <v>559</v>
      </c>
      <c r="F204" s="80" t="s">
        <v>151</v>
      </c>
      <c r="G204" s="80" t="s">
        <v>106</v>
      </c>
      <c r="H204" s="80" t="n">
        <v>11</v>
      </c>
      <c r="I204" s="80" t="s">
        <v>114</v>
      </c>
      <c r="J204" s="80" t="s">
        <v>132</v>
      </c>
      <c r="K204" s="80" t="s">
        <v>558</v>
      </c>
      <c r="L204" s="84" t="n">
        <f aca="false">IF(K204="","",IFERROR(INDEX(BARDAGE!$C$7:$C$1506,MATCH(K204,BARDAGE!$B$7:$B$1506,0)),"? hors registre"))</f>
        <v>24803579</v>
      </c>
      <c r="M204" s="80" t="s">
        <v>560</v>
      </c>
      <c r="N204" s="84" t="n">
        <f aca="false">IF(M204="","",IFERROR(INDEX(BARDAGE!$C$7:$C$1506,MATCH(M204,BARDAGE!$B$7:$B$1506,0)),"? hors registre"))</f>
        <v>24803598</v>
      </c>
      <c r="O204" s="80" t="s">
        <v>141</v>
      </c>
      <c r="P204" s="80" t="s">
        <v>141</v>
      </c>
      <c r="Q204" s="80" t="s">
        <v>134</v>
      </c>
      <c r="R204" s="82" t="n">
        <v>45889</v>
      </c>
      <c r="S204" s="82" t="n">
        <v>45889</v>
      </c>
      <c r="T204" s="80" t="s">
        <v>533</v>
      </c>
      <c r="U204" s="80" t="s">
        <v>105</v>
      </c>
      <c r="V204" s="82" t="n">
        <v>45899</v>
      </c>
      <c r="W204" s="80" t="s">
        <v>548</v>
      </c>
      <c r="X204" s="80" t="s">
        <v>105</v>
      </c>
      <c r="Y204" s="80"/>
      <c r="Z204" s="80"/>
      <c r="AA204" s="82"/>
      <c r="AB204" s="80"/>
      <c r="AC204" s="80"/>
      <c r="AD204" s="80"/>
      <c r="AE204" s="80"/>
      <c r="AF204" s="82"/>
      <c r="AG204" s="80"/>
      <c r="AH204" s="80"/>
      <c r="AI204" s="82"/>
      <c r="AJ204" s="79"/>
      <c r="AK204" s="78" t="n">
        <f aca="false">IF(E204="","",(X204&lt;&gt;"")+(AC204&lt;&gt;"")+(AH204&lt;&gt;""))</f>
        <v>1</v>
      </c>
      <c r="AL204" s="81" t="str">
        <f aca="false">IF(AH204&lt;&gt;"",AH204,IF(AC204&lt;&gt;"",AC204,IF(X204&lt;&gt;"",X204,"")))</f>
        <v>A</v>
      </c>
      <c r="AM204" s="83" t="str">
        <f aca="false">IF(E204="","",IF(R204="","À SOUDER",IF(U204="","VT EN ATTENTE",IF(U204="R","VT REJETÉ – À REPRENDRE",IF(AL204="","À RADIOGRAPHIER",IF(AL204="A","ACCEPTÉ",IF(AL204="NX","NX – RT À REFAIRE",IF(IF(AK204=1,Z204,IF(AK204=2,AE204,""))="A","RÉPARÉ – À RADIOGRAPHIER",IF(IF(AK204=1,Z204,IF(AK204=2,AE204,""))="R","VT REJETÉ – À REPRENDRE",IF(OR(AL204="CO",AL204="NT"),"COUPE – À RESOUDER","À RÉPARER"))))))))))</f>
        <v>ACCEPTÉ</v>
      </c>
      <c r="AN204" s="81" t="str">
        <f aca="false">IF(AND(ISNUMBER(R204),OR(AM204="À RADIOGRAPHIER",AM204="RÉPARÉ – À RADIOGRAPHIER",AM204="NX – RT À REFAIRE",AM204="À RÉPARER",AM204="COUPE – À RESOUDER",AM204="VT REJETÉ – À REPRENDRE")),MAX(0,'PROGRAMME RT'!$C$4-R204),"")</f>
        <v/>
      </c>
      <c r="AO204" s="78" t="n">
        <f aca="false">IF(AND(OR(AM204="À RADIOGRAPHIER",AM204="RÉPARÉ – À RADIOGRAPHIER",AM204="NX – RT À REFAIRE"),OR('PROGRAMME RT'!$D$5="TOUTES",B204='PROGRAMME RT'!$D$5)),1,0)</f>
        <v>0</v>
      </c>
      <c r="AP204" s="78" t="str">
        <f aca="false">IF(AO204=1,SUM(AO$7:AO204),"")</f>
        <v/>
      </c>
      <c r="AQ204" s="78" t="n">
        <f aca="false">IF(AND(OR(X204="R",X204="NX",X204="NT",X204="CO"),OR('JOINTS DE RÉPARATION'!$D$5="TOUTES",B204='JOINTS DE RÉPARATION'!$D$5),OR('JOINTS DE RÉPARATION'!$L$4="TOUS",AM204&lt;&gt;"ACCEPTÉ")),1,0)</f>
        <v>0</v>
      </c>
      <c r="AR204" s="78" t="str">
        <f aca="false">IF(AQ204=1,SUM(AQ$7:AQ204),"")</f>
        <v/>
      </c>
    </row>
    <row r="205" customFormat="false" ht="15" hidden="false" customHeight="false" outlineLevel="0" collapsed="false">
      <c r="A205" s="78" t="n">
        <f aca="false">IF(E205="","",ROW()-6)</f>
        <v>199</v>
      </c>
      <c r="B205" s="79" t="s">
        <v>102</v>
      </c>
      <c r="C205" s="80" t="s">
        <v>451</v>
      </c>
      <c r="D205" s="80" t="s">
        <v>501</v>
      </c>
      <c r="E205" s="80" t="s">
        <v>561</v>
      </c>
      <c r="F205" s="80" t="s">
        <v>151</v>
      </c>
      <c r="G205" s="80" t="s">
        <v>106</v>
      </c>
      <c r="H205" s="80" t="n">
        <v>11</v>
      </c>
      <c r="I205" s="80" t="s">
        <v>114</v>
      </c>
      <c r="J205" s="80" t="s">
        <v>132</v>
      </c>
      <c r="K205" s="80" t="s">
        <v>560</v>
      </c>
      <c r="L205" s="84" t="n">
        <f aca="false">IF(K205="","",IFERROR(INDEX(BARDAGE!$C$7:$C$1506,MATCH(K205,BARDAGE!$B$7:$B$1506,0)),"? hors registre"))</f>
        <v>24803598</v>
      </c>
      <c r="M205" s="80" t="s">
        <v>562</v>
      </c>
      <c r="N205" s="84" t="n">
        <f aca="false">IF(M205="","",IFERROR(INDEX(BARDAGE!$C$7:$C$1506,MATCH(M205,BARDAGE!$B$7:$B$1506,0)),"? hors registre"))</f>
        <v>24102484</v>
      </c>
      <c r="O205" s="80" t="s">
        <v>141</v>
      </c>
      <c r="P205" s="80" t="s">
        <v>141</v>
      </c>
      <c r="Q205" s="80" t="s">
        <v>125</v>
      </c>
      <c r="R205" s="82" t="n">
        <v>45890</v>
      </c>
      <c r="S205" s="82" t="n">
        <v>45890</v>
      </c>
      <c r="T205" s="80" t="s">
        <v>431</v>
      </c>
      <c r="U205" s="80" t="s">
        <v>105</v>
      </c>
      <c r="V205" s="82" t="n">
        <v>45899</v>
      </c>
      <c r="W205" s="80" t="s">
        <v>548</v>
      </c>
      <c r="X205" s="80" t="s">
        <v>105</v>
      </c>
      <c r="Y205" s="80"/>
      <c r="Z205" s="80"/>
      <c r="AA205" s="82"/>
      <c r="AB205" s="80"/>
      <c r="AC205" s="80"/>
      <c r="AD205" s="80"/>
      <c r="AE205" s="80"/>
      <c r="AF205" s="82"/>
      <c r="AG205" s="80"/>
      <c r="AH205" s="80"/>
      <c r="AI205" s="82"/>
      <c r="AJ205" s="79"/>
      <c r="AK205" s="78" t="n">
        <f aca="false">IF(E205="","",(X205&lt;&gt;"")+(AC205&lt;&gt;"")+(AH205&lt;&gt;""))</f>
        <v>1</v>
      </c>
      <c r="AL205" s="81" t="str">
        <f aca="false">IF(AH205&lt;&gt;"",AH205,IF(AC205&lt;&gt;"",AC205,IF(X205&lt;&gt;"",X205,"")))</f>
        <v>A</v>
      </c>
      <c r="AM205" s="83" t="str">
        <f aca="false">IF(E205="","",IF(R205="","À SOUDER",IF(U205="","VT EN ATTENTE",IF(U205="R","VT REJETÉ – À REPRENDRE",IF(AL205="","À RADIOGRAPHIER",IF(AL205="A","ACCEPTÉ",IF(AL205="NX","NX – RT À REFAIRE",IF(IF(AK205=1,Z205,IF(AK205=2,AE205,""))="A","RÉPARÉ – À RADIOGRAPHIER",IF(IF(AK205=1,Z205,IF(AK205=2,AE205,""))="R","VT REJETÉ – À REPRENDRE",IF(OR(AL205="CO",AL205="NT"),"COUPE – À RESOUDER","À RÉPARER"))))))))))</f>
        <v>ACCEPTÉ</v>
      </c>
      <c r="AN205" s="81" t="str">
        <f aca="false">IF(AND(ISNUMBER(R205),OR(AM205="À RADIOGRAPHIER",AM205="RÉPARÉ – À RADIOGRAPHIER",AM205="NX – RT À REFAIRE",AM205="À RÉPARER",AM205="COUPE – À RESOUDER",AM205="VT REJETÉ – À REPRENDRE")),MAX(0,'PROGRAMME RT'!$C$4-R205),"")</f>
        <v/>
      </c>
      <c r="AO205" s="78" t="n">
        <f aca="false">IF(AND(OR(AM205="À RADIOGRAPHIER",AM205="RÉPARÉ – À RADIOGRAPHIER",AM205="NX – RT À REFAIRE"),OR('PROGRAMME RT'!$D$5="TOUTES",B205='PROGRAMME RT'!$D$5)),1,0)</f>
        <v>0</v>
      </c>
      <c r="AP205" s="78" t="str">
        <f aca="false">IF(AO205=1,SUM(AO$7:AO205),"")</f>
        <v/>
      </c>
      <c r="AQ205" s="78" t="n">
        <f aca="false">IF(AND(OR(X205="R",X205="NX",X205="NT",X205="CO"),OR('JOINTS DE RÉPARATION'!$D$5="TOUTES",B205='JOINTS DE RÉPARATION'!$D$5),OR('JOINTS DE RÉPARATION'!$L$4="TOUS",AM205&lt;&gt;"ACCEPTÉ")),1,0)</f>
        <v>0</v>
      </c>
      <c r="AR205" s="78" t="str">
        <f aca="false">IF(AQ205=1,SUM(AQ$7:AQ205),"")</f>
        <v/>
      </c>
    </row>
    <row r="206" customFormat="false" ht="15" hidden="false" customHeight="false" outlineLevel="0" collapsed="false">
      <c r="A206" s="78" t="n">
        <f aca="false">IF(E206="","",ROW()-6)</f>
        <v>200</v>
      </c>
      <c r="B206" s="79" t="s">
        <v>102</v>
      </c>
      <c r="C206" s="80" t="s">
        <v>451</v>
      </c>
      <c r="D206" s="80" t="s">
        <v>501</v>
      </c>
      <c r="E206" s="80" t="s">
        <v>563</v>
      </c>
      <c r="F206" s="80" t="s">
        <v>151</v>
      </c>
      <c r="G206" s="80" t="s">
        <v>106</v>
      </c>
      <c r="H206" s="80" t="n">
        <v>11</v>
      </c>
      <c r="I206" s="80" t="s">
        <v>114</v>
      </c>
      <c r="J206" s="80" t="s">
        <v>132</v>
      </c>
      <c r="K206" s="80" t="s">
        <v>562</v>
      </c>
      <c r="L206" s="84" t="n">
        <f aca="false">IF(K206="","",IFERROR(INDEX(BARDAGE!$C$7:$C$1506,MATCH(K206,BARDAGE!$B$7:$B$1506,0)),"? hors registre"))</f>
        <v>24102484</v>
      </c>
      <c r="M206" s="80" t="s">
        <v>564</v>
      </c>
      <c r="N206" s="84" t="n">
        <f aca="false">IF(M206="","",IFERROR(INDEX(BARDAGE!$C$7:$C$1506,MATCH(M206,BARDAGE!$B$7:$B$1506,0)),"? hors registre"))</f>
        <v>582404002186</v>
      </c>
      <c r="O206" s="80" t="s">
        <v>141</v>
      </c>
      <c r="P206" s="80" t="s">
        <v>141</v>
      </c>
      <c r="Q206" s="80" t="s">
        <v>134</v>
      </c>
      <c r="R206" s="82" t="n">
        <v>45890</v>
      </c>
      <c r="S206" s="82" t="n">
        <v>45890</v>
      </c>
      <c r="T206" s="80" t="s">
        <v>431</v>
      </c>
      <c r="U206" s="80" t="s">
        <v>105</v>
      </c>
      <c r="V206" s="82" t="n">
        <v>45899</v>
      </c>
      <c r="W206" s="80" t="s">
        <v>548</v>
      </c>
      <c r="X206" s="80" t="s">
        <v>105</v>
      </c>
      <c r="Y206" s="80"/>
      <c r="Z206" s="80"/>
      <c r="AA206" s="82"/>
      <c r="AB206" s="80"/>
      <c r="AC206" s="80"/>
      <c r="AD206" s="80"/>
      <c r="AE206" s="80"/>
      <c r="AF206" s="82"/>
      <c r="AG206" s="80"/>
      <c r="AH206" s="80"/>
      <c r="AI206" s="82"/>
      <c r="AJ206" s="79"/>
      <c r="AK206" s="78" t="n">
        <f aca="false">IF(E206="","",(X206&lt;&gt;"")+(AC206&lt;&gt;"")+(AH206&lt;&gt;""))</f>
        <v>1</v>
      </c>
      <c r="AL206" s="81" t="str">
        <f aca="false">IF(AH206&lt;&gt;"",AH206,IF(AC206&lt;&gt;"",AC206,IF(X206&lt;&gt;"",X206,"")))</f>
        <v>A</v>
      </c>
      <c r="AM206" s="83" t="str">
        <f aca="false">IF(E206="","",IF(R206="","À SOUDER",IF(U206="","VT EN ATTENTE",IF(U206="R","VT REJETÉ – À REPRENDRE",IF(AL206="","À RADIOGRAPHIER",IF(AL206="A","ACCEPTÉ",IF(AL206="NX","NX – RT À REFAIRE",IF(IF(AK206=1,Z206,IF(AK206=2,AE206,""))="A","RÉPARÉ – À RADIOGRAPHIER",IF(IF(AK206=1,Z206,IF(AK206=2,AE206,""))="R","VT REJETÉ – À REPRENDRE",IF(OR(AL206="CO",AL206="NT"),"COUPE – À RESOUDER","À RÉPARER"))))))))))</f>
        <v>ACCEPTÉ</v>
      </c>
      <c r="AN206" s="81" t="str">
        <f aca="false">IF(AND(ISNUMBER(R206),OR(AM206="À RADIOGRAPHIER",AM206="RÉPARÉ – À RADIOGRAPHIER",AM206="NX – RT À REFAIRE",AM206="À RÉPARER",AM206="COUPE – À RESOUDER",AM206="VT REJETÉ – À REPRENDRE")),MAX(0,'PROGRAMME RT'!$C$4-R206),"")</f>
        <v/>
      </c>
      <c r="AO206" s="78" t="n">
        <f aca="false">IF(AND(OR(AM206="À RADIOGRAPHIER",AM206="RÉPARÉ – À RADIOGRAPHIER",AM206="NX – RT À REFAIRE"),OR('PROGRAMME RT'!$D$5="TOUTES",B206='PROGRAMME RT'!$D$5)),1,0)</f>
        <v>0</v>
      </c>
      <c r="AP206" s="78" t="str">
        <f aca="false">IF(AO206=1,SUM(AO$7:AO206),"")</f>
        <v/>
      </c>
      <c r="AQ206" s="78" t="n">
        <f aca="false">IF(AND(OR(X206="R",X206="NX",X206="NT",X206="CO"),OR('JOINTS DE RÉPARATION'!$D$5="TOUTES",B206='JOINTS DE RÉPARATION'!$D$5),OR('JOINTS DE RÉPARATION'!$L$4="TOUS",AM206&lt;&gt;"ACCEPTÉ")),1,0)</f>
        <v>0</v>
      </c>
      <c r="AR206" s="78" t="str">
        <f aca="false">IF(AQ206=1,SUM(AQ$7:AQ206),"")</f>
        <v/>
      </c>
    </row>
    <row r="207" customFormat="false" ht="15" hidden="false" customHeight="false" outlineLevel="0" collapsed="false">
      <c r="A207" s="78" t="n">
        <f aca="false">IF(E207="","",ROW()-6)</f>
        <v>201</v>
      </c>
      <c r="B207" s="79" t="s">
        <v>102</v>
      </c>
      <c r="C207" s="80" t="s">
        <v>451</v>
      </c>
      <c r="D207" s="80" t="s">
        <v>501</v>
      </c>
      <c r="E207" s="80" t="s">
        <v>565</v>
      </c>
      <c r="F207" s="80" t="s">
        <v>151</v>
      </c>
      <c r="G207" s="80" t="s">
        <v>106</v>
      </c>
      <c r="H207" s="80" t="n">
        <v>11</v>
      </c>
      <c r="I207" s="80" t="s">
        <v>114</v>
      </c>
      <c r="J207" s="80" t="s">
        <v>132</v>
      </c>
      <c r="K207" s="80" t="s">
        <v>564</v>
      </c>
      <c r="L207" s="84" t="n">
        <f aca="false">IF(K207="","",IFERROR(INDEX(BARDAGE!$C$7:$C$1506,MATCH(K207,BARDAGE!$B$7:$B$1506,0)),"? hors registre"))</f>
        <v>582404002186</v>
      </c>
      <c r="M207" s="80" t="s">
        <v>566</v>
      </c>
      <c r="N207" s="84" t="n">
        <f aca="false">IF(M207="","",IFERROR(INDEX(BARDAGE!$C$7:$C$1506,MATCH(M207,BARDAGE!$B$7:$B$1506,0)),"? hors registre"))</f>
        <v>24102487</v>
      </c>
      <c r="O207" s="80" t="s">
        <v>141</v>
      </c>
      <c r="P207" s="80" t="s">
        <v>141</v>
      </c>
      <c r="Q207" s="80" t="s">
        <v>134</v>
      </c>
      <c r="R207" s="82" t="n">
        <v>45890</v>
      </c>
      <c r="S207" s="82" t="n">
        <v>45890</v>
      </c>
      <c r="T207" s="80" t="s">
        <v>431</v>
      </c>
      <c r="U207" s="80" t="s">
        <v>105</v>
      </c>
      <c r="V207" s="82" t="n">
        <v>45899</v>
      </c>
      <c r="W207" s="80" t="s">
        <v>548</v>
      </c>
      <c r="X207" s="80" t="s">
        <v>105</v>
      </c>
      <c r="Y207" s="80"/>
      <c r="Z207" s="80"/>
      <c r="AA207" s="82"/>
      <c r="AB207" s="80"/>
      <c r="AC207" s="80"/>
      <c r="AD207" s="80"/>
      <c r="AE207" s="80"/>
      <c r="AF207" s="82"/>
      <c r="AG207" s="80"/>
      <c r="AH207" s="80"/>
      <c r="AI207" s="82"/>
      <c r="AJ207" s="79"/>
      <c r="AK207" s="78" t="n">
        <f aca="false">IF(E207="","",(X207&lt;&gt;"")+(AC207&lt;&gt;"")+(AH207&lt;&gt;""))</f>
        <v>1</v>
      </c>
      <c r="AL207" s="81" t="str">
        <f aca="false">IF(AH207&lt;&gt;"",AH207,IF(AC207&lt;&gt;"",AC207,IF(X207&lt;&gt;"",X207,"")))</f>
        <v>A</v>
      </c>
      <c r="AM207" s="83" t="str">
        <f aca="false">IF(E207="","",IF(R207="","À SOUDER",IF(U207="","VT EN ATTENTE",IF(U207="R","VT REJETÉ – À REPRENDRE",IF(AL207="","À RADIOGRAPHIER",IF(AL207="A","ACCEPTÉ",IF(AL207="NX","NX – RT À REFAIRE",IF(IF(AK207=1,Z207,IF(AK207=2,AE207,""))="A","RÉPARÉ – À RADIOGRAPHIER",IF(IF(AK207=1,Z207,IF(AK207=2,AE207,""))="R","VT REJETÉ – À REPRENDRE",IF(OR(AL207="CO",AL207="NT"),"COUPE – À RESOUDER","À RÉPARER"))))))))))</f>
        <v>ACCEPTÉ</v>
      </c>
      <c r="AN207" s="81" t="str">
        <f aca="false">IF(AND(ISNUMBER(R207),OR(AM207="À RADIOGRAPHIER",AM207="RÉPARÉ – À RADIOGRAPHIER",AM207="NX – RT À REFAIRE",AM207="À RÉPARER",AM207="COUPE – À RESOUDER",AM207="VT REJETÉ – À REPRENDRE")),MAX(0,'PROGRAMME RT'!$C$4-R207),"")</f>
        <v/>
      </c>
      <c r="AO207" s="78" t="n">
        <f aca="false">IF(AND(OR(AM207="À RADIOGRAPHIER",AM207="RÉPARÉ – À RADIOGRAPHIER",AM207="NX – RT À REFAIRE"),OR('PROGRAMME RT'!$D$5="TOUTES",B207='PROGRAMME RT'!$D$5)),1,0)</f>
        <v>0</v>
      </c>
      <c r="AP207" s="78" t="str">
        <f aca="false">IF(AO207=1,SUM(AO$7:AO207),"")</f>
        <v/>
      </c>
      <c r="AQ207" s="78" t="n">
        <f aca="false">IF(AND(OR(X207="R",X207="NX",X207="NT",X207="CO"),OR('JOINTS DE RÉPARATION'!$D$5="TOUTES",B207='JOINTS DE RÉPARATION'!$D$5),OR('JOINTS DE RÉPARATION'!$L$4="TOUS",AM207&lt;&gt;"ACCEPTÉ")),1,0)</f>
        <v>0</v>
      </c>
      <c r="AR207" s="78" t="str">
        <f aca="false">IF(AQ207=1,SUM(AQ$7:AQ207),"")</f>
        <v/>
      </c>
    </row>
    <row r="208" customFormat="false" ht="15" hidden="false" customHeight="false" outlineLevel="0" collapsed="false">
      <c r="A208" s="78" t="n">
        <f aca="false">IF(E208="","",ROW()-6)</f>
        <v>202</v>
      </c>
      <c r="B208" s="79" t="s">
        <v>102</v>
      </c>
      <c r="C208" s="80"/>
      <c r="D208" s="80" t="s">
        <v>501</v>
      </c>
      <c r="E208" s="80" t="s">
        <v>567</v>
      </c>
      <c r="F208" s="80" t="s">
        <v>151</v>
      </c>
      <c r="G208" s="80" t="s">
        <v>106</v>
      </c>
      <c r="H208" s="80" t="n">
        <v>11</v>
      </c>
      <c r="I208" s="80" t="s">
        <v>114</v>
      </c>
      <c r="J208" s="80" t="s">
        <v>115</v>
      </c>
      <c r="K208" s="80" t="s">
        <v>566</v>
      </c>
      <c r="L208" s="84" t="n">
        <f aca="false">IF(K208="","",IFERROR(INDEX(BARDAGE!$C$7:$C$1506,MATCH(K208,BARDAGE!$B$7:$B$1506,0)),"? hors registre"))</f>
        <v>24102487</v>
      </c>
      <c r="M208" s="80" t="s">
        <v>568</v>
      </c>
      <c r="N208" s="84" t="n">
        <f aca="false">IF(M208="","",IFERROR(INDEX(BARDAGE!$C$7:$C$1506,MATCH(M208,BARDAGE!$B$7:$B$1506,0)),"? hors registre"))</f>
        <v>24703643</v>
      </c>
      <c r="O208" s="80" t="s">
        <v>125</v>
      </c>
      <c r="P208" s="80" t="s">
        <v>125</v>
      </c>
      <c r="Q208" s="80" t="s">
        <v>125</v>
      </c>
      <c r="R208" s="82" t="n">
        <v>45915</v>
      </c>
      <c r="S208" s="82" t="n">
        <v>45915</v>
      </c>
      <c r="T208" s="80" t="s">
        <v>118</v>
      </c>
      <c r="U208" s="80" t="s">
        <v>105</v>
      </c>
      <c r="V208" s="82"/>
      <c r="W208" s="80"/>
      <c r="X208" s="80"/>
      <c r="Y208" s="80"/>
      <c r="Z208" s="80"/>
      <c r="AA208" s="82"/>
      <c r="AB208" s="80"/>
      <c r="AC208" s="80"/>
      <c r="AD208" s="80"/>
      <c r="AE208" s="80"/>
      <c r="AF208" s="82"/>
      <c r="AG208" s="80"/>
      <c r="AH208" s="80"/>
      <c r="AI208" s="82"/>
      <c r="AJ208" s="79"/>
      <c r="AK208" s="78" t="n">
        <f aca="false">IF(E208="","",(X208&lt;&gt;"")+(AC208&lt;&gt;"")+(AH208&lt;&gt;""))</f>
        <v>0</v>
      </c>
      <c r="AL208" s="81" t="str">
        <f aca="false">IF(AH208&lt;&gt;"",AH208,IF(AC208&lt;&gt;"",AC208,IF(X208&lt;&gt;"",X208,"")))</f>
        <v/>
      </c>
      <c r="AM208" s="83" t="str">
        <f aca="false">IF(E208="","",IF(R208="","À SOUDER",IF(U208="","VT EN ATTENTE",IF(U208="R","VT REJETÉ – À REPRENDRE",IF(AL208="","À RADIOGRAPHIER",IF(AL208="A","ACCEPTÉ",IF(AL208="NX","NX – RT À REFAIRE",IF(IF(AK208=1,Z208,IF(AK208=2,AE208,""))="A","RÉPARÉ – À RADIOGRAPHIER",IF(IF(AK208=1,Z208,IF(AK208=2,AE208,""))="R","VT REJETÉ – À REPRENDRE",IF(OR(AL208="CO",AL208="NT"),"COUPE – À RESOUDER","À RÉPARER"))))))))))</f>
        <v>À RADIOGRAPHIER</v>
      </c>
      <c r="AN208" s="81" t="n">
        <f aca="false">IF(AND(ISNUMBER(R208),OR(AM208="À RADIOGRAPHIER",AM208="RÉPARÉ – À RADIOGRAPHIER",AM208="NX – RT À REFAIRE",AM208="À RÉPARER",AM208="COUPE – À RESOUDER",AM208="VT REJETÉ – À REPRENDRE")),MAX(0,'PROGRAMME RT'!$C$4-R208),"")</f>
        <v>378</v>
      </c>
      <c r="AO208" s="78" t="n">
        <f aca="false">IF(AND(OR(AM208="À RADIOGRAPHIER",AM208="RÉPARÉ – À RADIOGRAPHIER",AM208="NX – RT À REFAIRE"),OR('PROGRAMME RT'!$D$5="TOUTES",B208='PROGRAMME RT'!$D$5)),1,0)</f>
        <v>1</v>
      </c>
      <c r="AP208" s="78" t="n">
        <f aca="false">IF(AO208=1,SUM(AO$7:AO208),"")</f>
        <v>8</v>
      </c>
      <c r="AQ208" s="78" t="n">
        <f aca="false">IF(AND(OR(X208="R",X208="NX",X208="NT",X208="CO"),OR('JOINTS DE RÉPARATION'!$D$5="TOUTES",B208='JOINTS DE RÉPARATION'!$D$5),OR('JOINTS DE RÉPARATION'!$L$4="TOUS",AM208&lt;&gt;"ACCEPTÉ")),1,0)</f>
        <v>0</v>
      </c>
      <c r="AR208" s="78" t="str">
        <f aca="false">IF(AQ208=1,SUM(AQ$7:AQ208),"")</f>
        <v/>
      </c>
    </row>
    <row r="209" customFormat="false" ht="15" hidden="false" customHeight="false" outlineLevel="0" collapsed="false">
      <c r="A209" s="78" t="n">
        <f aca="false">IF(E209="","",ROW()-6)</f>
        <v>203</v>
      </c>
      <c r="B209" s="79" t="s">
        <v>102</v>
      </c>
      <c r="C209" s="80"/>
      <c r="D209" s="80" t="s">
        <v>569</v>
      </c>
      <c r="E209" s="80" t="s">
        <v>570</v>
      </c>
      <c r="F209" s="80" t="s">
        <v>151</v>
      </c>
      <c r="G209" s="80"/>
      <c r="H209" s="80"/>
      <c r="I209" s="80"/>
      <c r="J209" s="80"/>
      <c r="K209" s="80" t="s">
        <v>568</v>
      </c>
      <c r="L209" s="84" t="n">
        <f aca="false">IF(K209="","",IFERROR(INDEX(BARDAGE!$C$7:$C$1506,MATCH(K209,BARDAGE!$B$7:$B$1506,0)),"? hors registre"))</f>
        <v>24703643</v>
      </c>
      <c r="M209" s="80" t="s">
        <v>571</v>
      </c>
      <c r="N209" s="84" t="n">
        <f aca="false">IF(M209="","",IFERROR(INDEX(BARDAGE!$C$7:$C$1506,MATCH(M209,BARDAGE!$B$7:$B$1506,0)),"? hors registre"))</f>
        <v>24703645</v>
      </c>
      <c r="O209" s="80"/>
      <c r="P209" s="80"/>
      <c r="Q209" s="80"/>
      <c r="R209" s="82"/>
      <c r="S209" s="82"/>
      <c r="T209" s="80"/>
      <c r="U209" s="80"/>
      <c r="V209" s="82"/>
      <c r="W209" s="80"/>
      <c r="X209" s="80"/>
      <c r="Y209" s="80"/>
      <c r="Z209" s="80"/>
      <c r="AA209" s="82"/>
      <c r="AB209" s="80"/>
      <c r="AC209" s="80"/>
      <c r="AD209" s="80"/>
      <c r="AE209" s="80"/>
      <c r="AF209" s="82"/>
      <c r="AG209" s="80"/>
      <c r="AH209" s="80"/>
      <c r="AI209" s="82"/>
      <c r="AJ209" s="79"/>
      <c r="AK209" s="78" t="n">
        <f aca="false">IF(E209="","",(X209&lt;&gt;"")+(AC209&lt;&gt;"")+(AH209&lt;&gt;""))</f>
        <v>0</v>
      </c>
      <c r="AL209" s="81" t="str">
        <f aca="false">IF(AH209&lt;&gt;"",AH209,IF(AC209&lt;&gt;"",AC209,IF(X209&lt;&gt;"",X209,"")))</f>
        <v/>
      </c>
      <c r="AM209" s="83" t="str">
        <f aca="false">IF(E209="","",IF(R209="","À SOUDER",IF(U209="","VT EN ATTENTE",IF(U209="R","VT REJETÉ – À REPRENDRE",IF(AL209="","À RADIOGRAPHIER",IF(AL209="A","ACCEPTÉ",IF(AL209="NX","NX – RT À REFAIRE",IF(IF(AK209=1,Z209,IF(AK209=2,AE209,""))="A","RÉPARÉ – À RADIOGRAPHIER",IF(IF(AK209=1,Z209,IF(AK209=2,AE209,""))="R","VT REJETÉ – À REPRENDRE",IF(OR(AL209="CO",AL209="NT"),"COUPE – À RESOUDER","À RÉPARER"))))))))))</f>
        <v>À SOUDER</v>
      </c>
      <c r="AN209" s="81" t="str">
        <f aca="false">IF(AND(ISNUMBER(R209),OR(AM209="À RADIOGRAPHIER",AM209="RÉPARÉ – À RADIOGRAPHIER",AM209="NX – RT À REFAIRE",AM209="À RÉPARER",AM209="COUPE – À RESOUDER",AM209="VT REJETÉ – À REPRENDRE")),MAX(0,'PROGRAMME RT'!$C$4-R209),"")</f>
        <v/>
      </c>
      <c r="AO209" s="78" t="n">
        <f aca="false">IF(AND(OR(AM209="À RADIOGRAPHIER",AM209="RÉPARÉ – À RADIOGRAPHIER",AM209="NX – RT À REFAIRE"),OR('PROGRAMME RT'!$D$5="TOUTES",B209='PROGRAMME RT'!$D$5)),1,0)</f>
        <v>0</v>
      </c>
      <c r="AP209" s="78" t="str">
        <f aca="false">IF(AO209=1,SUM(AO$7:AO209),"")</f>
        <v/>
      </c>
      <c r="AQ209" s="78" t="n">
        <f aca="false">IF(AND(OR(X209="R",X209="NX",X209="NT",X209="CO"),OR('JOINTS DE RÉPARATION'!$D$5="TOUTES",B209='JOINTS DE RÉPARATION'!$D$5),OR('JOINTS DE RÉPARATION'!$L$4="TOUS",AM209&lt;&gt;"ACCEPTÉ")),1,0)</f>
        <v>0</v>
      </c>
      <c r="AR209" s="78" t="str">
        <f aca="false">IF(AQ209=1,SUM(AQ$7:AQ209),"")</f>
        <v/>
      </c>
    </row>
    <row r="210" customFormat="false" ht="15" hidden="false" customHeight="false" outlineLevel="0" collapsed="false">
      <c r="A210" s="78" t="n">
        <f aca="false">IF(E210="","",ROW()-6)</f>
        <v>204</v>
      </c>
      <c r="B210" s="79" t="s">
        <v>102</v>
      </c>
      <c r="C210" s="80"/>
      <c r="D210" s="80" t="s">
        <v>501</v>
      </c>
      <c r="E210" s="80" t="s">
        <v>572</v>
      </c>
      <c r="F210" s="80" t="s">
        <v>151</v>
      </c>
      <c r="G210" s="80" t="s">
        <v>106</v>
      </c>
      <c r="H210" s="80" t="n">
        <v>11</v>
      </c>
      <c r="I210" s="80" t="s">
        <v>114</v>
      </c>
      <c r="J210" s="80" t="s">
        <v>115</v>
      </c>
      <c r="K210" s="80" t="s">
        <v>571</v>
      </c>
      <c r="L210" s="84" t="n">
        <f aca="false">IF(K210="","",IFERROR(INDEX(BARDAGE!$C$7:$C$1506,MATCH(K210,BARDAGE!$B$7:$B$1506,0)),"? hors registre"))</f>
        <v>24703645</v>
      </c>
      <c r="M210" s="80" t="s">
        <v>573</v>
      </c>
      <c r="N210" s="84" t="n">
        <f aca="false">IF(M210="","",IFERROR(INDEX(BARDAGE!$C$7:$C$1506,MATCH(M210,BARDAGE!$B$7:$B$1506,0)),"? hors registre"))</f>
        <v>24803596</v>
      </c>
      <c r="O210" s="80" t="s">
        <v>125</v>
      </c>
      <c r="P210" s="80" t="s">
        <v>117</v>
      </c>
      <c r="Q210" s="80" t="s">
        <v>117</v>
      </c>
      <c r="R210" s="82" t="n">
        <v>45913</v>
      </c>
      <c r="S210" s="82" t="n">
        <v>45913</v>
      </c>
      <c r="T210" s="80" t="s">
        <v>447</v>
      </c>
      <c r="U210" s="80" t="s">
        <v>105</v>
      </c>
      <c r="V210" s="82"/>
      <c r="W210" s="80"/>
      <c r="X210" s="80"/>
      <c r="Y210" s="80"/>
      <c r="Z210" s="80"/>
      <c r="AA210" s="82"/>
      <c r="AB210" s="80"/>
      <c r="AC210" s="80"/>
      <c r="AD210" s="80"/>
      <c r="AE210" s="80"/>
      <c r="AF210" s="82"/>
      <c r="AG210" s="80"/>
      <c r="AH210" s="80"/>
      <c r="AI210" s="82"/>
      <c r="AJ210" s="79"/>
      <c r="AK210" s="78" t="n">
        <f aca="false">IF(E210="","",(X210&lt;&gt;"")+(AC210&lt;&gt;"")+(AH210&lt;&gt;""))</f>
        <v>0</v>
      </c>
      <c r="AL210" s="81" t="str">
        <f aca="false">IF(AH210&lt;&gt;"",AH210,IF(AC210&lt;&gt;"",AC210,IF(X210&lt;&gt;"",X210,"")))</f>
        <v/>
      </c>
      <c r="AM210" s="83" t="str">
        <f aca="false">IF(E210="","",IF(R210="","À SOUDER",IF(U210="","VT EN ATTENTE",IF(U210="R","VT REJETÉ – À REPRENDRE",IF(AL210="","À RADIOGRAPHIER",IF(AL210="A","ACCEPTÉ",IF(AL210="NX","NX – RT À REFAIRE",IF(IF(AK210=1,Z210,IF(AK210=2,AE210,""))="A","RÉPARÉ – À RADIOGRAPHIER",IF(IF(AK210=1,Z210,IF(AK210=2,AE210,""))="R","VT REJETÉ – À REPRENDRE",IF(OR(AL210="CO",AL210="NT"),"COUPE – À RESOUDER","À RÉPARER"))))))))))</f>
        <v>À RADIOGRAPHIER</v>
      </c>
      <c r="AN210" s="81" t="n">
        <f aca="false">IF(AND(ISNUMBER(R210),OR(AM210="À RADIOGRAPHIER",AM210="RÉPARÉ – À RADIOGRAPHIER",AM210="NX – RT À REFAIRE",AM210="À RÉPARER",AM210="COUPE – À RESOUDER",AM210="VT REJETÉ – À REPRENDRE")),MAX(0,'PROGRAMME RT'!$C$4-R210),"")</f>
        <v>380</v>
      </c>
      <c r="AO210" s="78" t="n">
        <f aca="false">IF(AND(OR(AM210="À RADIOGRAPHIER",AM210="RÉPARÉ – À RADIOGRAPHIER",AM210="NX – RT À REFAIRE"),OR('PROGRAMME RT'!$D$5="TOUTES",B210='PROGRAMME RT'!$D$5)),1,0)</f>
        <v>1</v>
      </c>
      <c r="AP210" s="78" t="n">
        <f aca="false">IF(AO210=1,SUM(AO$7:AO210),"")</f>
        <v>9</v>
      </c>
      <c r="AQ210" s="78" t="n">
        <f aca="false">IF(AND(OR(X210="R",X210="NX",X210="NT",X210="CO"),OR('JOINTS DE RÉPARATION'!$D$5="TOUTES",B210='JOINTS DE RÉPARATION'!$D$5),OR('JOINTS DE RÉPARATION'!$L$4="TOUS",AM210&lt;&gt;"ACCEPTÉ")),1,0)</f>
        <v>0</v>
      </c>
      <c r="AR210" s="78" t="str">
        <f aca="false">IF(AQ210=1,SUM(AQ$7:AQ210),"")</f>
        <v/>
      </c>
    </row>
    <row r="211" customFormat="false" ht="15" hidden="false" customHeight="false" outlineLevel="0" collapsed="false">
      <c r="A211" s="78" t="n">
        <f aca="false">IF(E211="","",ROW()-6)</f>
        <v>205</v>
      </c>
      <c r="B211" s="79" t="s">
        <v>102</v>
      </c>
      <c r="C211" s="80"/>
      <c r="D211" s="80" t="s">
        <v>569</v>
      </c>
      <c r="E211" s="80" t="s">
        <v>574</v>
      </c>
      <c r="F211" s="80" t="s">
        <v>151</v>
      </c>
      <c r="G211" s="80" t="s">
        <v>106</v>
      </c>
      <c r="H211" s="80"/>
      <c r="I211" s="80"/>
      <c r="J211" s="80"/>
      <c r="K211" s="80" t="s">
        <v>573</v>
      </c>
      <c r="L211" s="84" t="n">
        <f aca="false">IF(K211="","",IFERROR(INDEX(BARDAGE!$C$7:$C$1506,MATCH(K211,BARDAGE!$B$7:$B$1506,0)),"? hors registre"))</f>
        <v>24803596</v>
      </c>
      <c r="M211" s="80"/>
      <c r="N211" s="81" t="str">
        <f aca="false">IF(M211="","",IFERROR(INDEX(BARDAGE!$C$7:$C$1506,MATCH(M211,BARDAGE!$B$7:$B$1506,0)),"? hors registre"))</f>
        <v/>
      </c>
      <c r="O211" s="80"/>
      <c r="P211" s="80"/>
      <c r="Q211" s="80"/>
      <c r="R211" s="82"/>
      <c r="S211" s="82"/>
      <c r="T211" s="80"/>
      <c r="U211" s="80"/>
      <c r="V211" s="82"/>
      <c r="W211" s="80"/>
      <c r="X211" s="80"/>
      <c r="Y211" s="80"/>
      <c r="Z211" s="80"/>
      <c r="AA211" s="82"/>
      <c r="AB211" s="80"/>
      <c r="AC211" s="80"/>
      <c r="AD211" s="80"/>
      <c r="AE211" s="80"/>
      <c r="AF211" s="82"/>
      <c r="AG211" s="80"/>
      <c r="AH211" s="80"/>
      <c r="AI211" s="82"/>
      <c r="AJ211" s="79"/>
      <c r="AK211" s="78" t="n">
        <f aca="false">IF(E211="","",(X211&lt;&gt;"")+(AC211&lt;&gt;"")+(AH211&lt;&gt;""))</f>
        <v>0</v>
      </c>
      <c r="AL211" s="81" t="str">
        <f aca="false">IF(AH211&lt;&gt;"",AH211,IF(AC211&lt;&gt;"",AC211,IF(X211&lt;&gt;"",X211,"")))</f>
        <v/>
      </c>
      <c r="AM211" s="83" t="str">
        <f aca="false">IF(E211="","",IF(R211="","À SOUDER",IF(U211="","VT EN ATTENTE",IF(U211="R","VT REJETÉ – À REPRENDRE",IF(AL211="","À RADIOGRAPHIER",IF(AL211="A","ACCEPTÉ",IF(AL211="NX","NX – RT À REFAIRE",IF(IF(AK211=1,Z211,IF(AK211=2,AE211,""))="A","RÉPARÉ – À RADIOGRAPHIER",IF(IF(AK211=1,Z211,IF(AK211=2,AE211,""))="R","VT REJETÉ – À REPRENDRE",IF(OR(AL211="CO",AL211="NT"),"COUPE – À RESOUDER","À RÉPARER"))))))))))</f>
        <v>À SOUDER</v>
      </c>
      <c r="AN211" s="81" t="str">
        <f aca="false">IF(AND(ISNUMBER(R211),OR(AM211="À RADIOGRAPHIER",AM211="RÉPARÉ – À RADIOGRAPHIER",AM211="NX – RT À REFAIRE",AM211="À RÉPARER",AM211="COUPE – À RESOUDER",AM211="VT REJETÉ – À REPRENDRE")),MAX(0,'PROGRAMME RT'!$C$4-R211),"")</f>
        <v/>
      </c>
      <c r="AO211" s="78" t="n">
        <f aca="false">IF(AND(OR(AM211="À RADIOGRAPHIER",AM211="RÉPARÉ – À RADIOGRAPHIER",AM211="NX – RT À REFAIRE"),OR('PROGRAMME RT'!$D$5="TOUTES",B211='PROGRAMME RT'!$D$5)),1,0)</f>
        <v>0</v>
      </c>
      <c r="AP211" s="78" t="str">
        <f aca="false">IF(AO211=1,SUM(AO$7:AO211),"")</f>
        <v/>
      </c>
      <c r="AQ211" s="78" t="n">
        <f aca="false">IF(AND(OR(X211="R",X211="NX",X211="NT",X211="CO"),OR('JOINTS DE RÉPARATION'!$D$5="TOUTES",B211='JOINTS DE RÉPARATION'!$D$5),OR('JOINTS DE RÉPARATION'!$L$4="TOUS",AM211&lt;&gt;"ACCEPTÉ")),1,0)</f>
        <v>0</v>
      </c>
      <c r="AR211" s="78" t="str">
        <f aca="false">IF(AQ211=1,SUM(AQ$7:AQ211),"")</f>
        <v/>
      </c>
    </row>
    <row r="212" customFormat="false" ht="15" hidden="false" customHeight="false" outlineLevel="0" collapsed="false">
      <c r="A212" s="78" t="n">
        <f aca="false">IF(E212="","",ROW()-6)</f>
        <v>206</v>
      </c>
      <c r="B212" s="79" t="s">
        <v>575</v>
      </c>
      <c r="C212" s="80"/>
      <c r="D212" s="80"/>
      <c r="E212" s="80" t="s">
        <v>104</v>
      </c>
      <c r="F212" s="80"/>
      <c r="G212" s="80" t="s">
        <v>106</v>
      </c>
      <c r="H212" s="80"/>
      <c r="I212" s="80"/>
      <c r="J212" s="80"/>
      <c r="K212" s="80"/>
      <c r="L212" s="81" t="str">
        <f aca="false">IF(K212="","",IFERROR(INDEX(BARDAGE!$C$7:$C$1506,MATCH(K212,BARDAGE!$B$7:$B$1506,0)),"? hors registre"))</f>
        <v/>
      </c>
      <c r="M212" s="80"/>
      <c r="N212" s="81" t="str">
        <f aca="false">IF(M212="","",IFERROR(INDEX(BARDAGE!$C$7:$C$1506,MATCH(M212,BARDAGE!$B$7:$B$1506,0)),"? hors registre"))</f>
        <v/>
      </c>
      <c r="O212" s="80"/>
      <c r="P212" s="80"/>
      <c r="Q212" s="80"/>
      <c r="R212" s="82"/>
      <c r="S212" s="82"/>
      <c r="T212" s="80"/>
      <c r="U212" s="80"/>
      <c r="V212" s="82"/>
      <c r="W212" s="80"/>
      <c r="X212" s="80"/>
      <c r="Y212" s="80"/>
      <c r="Z212" s="80"/>
      <c r="AA212" s="82"/>
      <c r="AB212" s="80"/>
      <c r="AC212" s="80"/>
      <c r="AD212" s="80"/>
      <c r="AE212" s="80"/>
      <c r="AF212" s="82"/>
      <c r="AG212" s="80"/>
      <c r="AH212" s="80"/>
      <c r="AI212" s="82"/>
      <c r="AJ212" s="79"/>
      <c r="AK212" s="78" t="n">
        <f aca="false">IF(E212="","",(X212&lt;&gt;"")+(AC212&lt;&gt;"")+(AH212&lt;&gt;""))</f>
        <v>0</v>
      </c>
      <c r="AL212" s="81" t="str">
        <f aca="false">IF(AH212&lt;&gt;"",AH212,IF(AC212&lt;&gt;"",AC212,IF(X212&lt;&gt;"",X212,"")))</f>
        <v/>
      </c>
      <c r="AM212" s="83" t="str">
        <f aca="false">IF(E212="","",IF(R212="","À SOUDER",IF(U212="","VT EN ATTENTE",IF(U212="R","VT REJETÉ – À REPRENDRE",IF(AL212="","À RADIOGRAPHIER",IF(AL212="A","ACCEPTÉ",IF(AL212="NX","NX – RT À REFAIRE",IF(IF(AK212=1,Z212,IF(AK212=2,AE212,""))="A","RÉPARÉ – À RADIOGRAPHIER",IF(IF(AK212=1,Z212,IF(AK212=2,AE212,""))="R","VT REJETÉ – À REPRENDRE",IF(OR(AL212="CO",AL212="NT"),"COUPE – À RESOUDER","À RÉPARER"))))))))))</f>
        <v>À SOUDER</v>
      </c>
      <c r="AN212" s="81" t="str">
        <f aca="false">IF(AND(ISNUMBER(R212),OR(AM212="À RADIOGRAPHIER",AM212="RÉPARÉ – À RADIOGRAPHIER",AM212="NX – RT À REFAIRE",AM212="À RÉPARER",AM212="COUPE – À RESOUDER",AM212="VT REJETÉ – À REPRENDRE")),MAX(0,'PROGRAMME RT'!$C$4-R212),"")</f>
        <v/>
      </c>
      <c r="AO212" s="78" t="n">
        <f aca="false">IF(AND(OR(AM212="À RADIOGRAPHIER",AM212="RÉPARÉ – À RADIOGRAPHIER",AM212="NX – RT À REFAIRE"),OR('PROGRAMME RT'!$D$5="TOUTES",B212='PROGRAMME RT'!$D$5)),1,0)</f>
        <v>0</v>
      </c>
      <c r="AP212" s="78" t="str">
        <f aca="false">IF(AO212=1,SUM(AO$7:AO212),"")</f>
        <v/>
      </c>
      <c r="AQ212" s="78" t="n">
        <f aca="false">IF(AND(OR(X212="R",X212="NX",X212="NT",X212="CO"),OR('JOINTS DE RÉPARATION'!$D$5="TOUTES",B212='JOINTS DE RÉPARATION'!$D$5),OR('JOINTS DE RÉPARATION'!$L$4="TOUS",AM212&lt;&gt;"ACCEPTÉ")),1,0)</f>
        <v>0</v>
      </c>
      <c r="AR212" s="78" t="str">
        <f aca="false">IF(AQ212=1,SUM(AQ$7:AQ212),"")</f>
        <v/>
      </c>
    </row>
    <row r="213" customFormat="false" ht="15" hidden="false" customHeight="false" outlineLevel="0" collapsed="false">
      <c r="A213" s="78" t="n">
        <f aca="false">IF(E213="","",ROW()-6)</f>
        <v>207</v>
      </c>
      <c r="B213" s="79" t="s">
        <v>575</v>
      </c>
      <c r="C213" s="80"/>
      <c r="D213" s="80"/>
      <c r="E213" s="80" t="s">
        <v>107</v>
      </c>
      <c r="F213" s="80"/>
      <c r="G213" s="80" t="s">
        <v>106</v>
      </c>
      <c r="H213" s="80"/>
      <c r="I213" s="80"/>
      <c r="J213" s="80"/>
      <c r="K213" s="80"/>
      <c r="L213" s="81" t="str">
        <f aca="false">IF(K213="","",IFERROR(INDEX(BARDAGE!$C$7:$C$1506,MATCH(K213,BARDAGE!$B$7:$B$1506,0)),"? hors registre"))</f>
        <v/>
      </c>
      <c r="M213" s="80"/>
      <c r="N213" s="81" t="str">
        <f aca="false">IF(M213="","",IFERROR(INDEX(BARDAGE!$C$7:$C$1506,MATCH(M213,BARDAGE!$B$7:$B$1506,0)),"? hors registre"))</f>
        <v/>
      </c>
      <c r="O213" s="80"/>
      <c r="P213" s="80"/>
      <c r="Q213" s="80"/>
      <c r="R213" s="82"/>
      <c r="S213" s="82"/>
      <c r="T213" s="80"/>
      <c r="U213" s="80"/>
      <c r="V213" s="82"/>
      <c r="W213" s="80"/>
      <c r="X213" s="80"/>
      <c r="Y213" s="80"/>
      <c r="Z213" s="80"/>
      <c r="AA213" s="82"/>
      <c r="AB213" s="80"/>
      <c r="AC213" s="80"/>
      <c r="AD213" s="80"/>
      <c r="AE213" s="80"/>
      <c r="AF213" s="82"/>
      <c r="AG213" s="80"/>
      <c r="AH213" s="80"/>
      <c r="AI213" s="82"/>
      <c r="AJ213" s="79"/>
      <c r="AK213" s="78" t="n">
        <f aca="false">IF(E213="","",(X213&lt;&gt;"")+(AC213&lt;&gt;"")+(AH213&lt;&gt;""))</f>
        <v>0</v>
      </c>
      <c r="AL213" s="81" t="str">
        <f aca="false">IF(AH213&lt;&gt;"",AH213,IF(AC213&lt;&gt;"",AC213,IF(X213&lt;&gt;"",X213,"")))</f>
        <v/>
      </c>
      <c r="AM213" s="83" t="str">
        <f aca="false">IF(E213="","",IF(R213="","À SOUDER",IF(U213="","VT EN ATTENTE",IF(U213="R","VT REJETÉ – À REPRENDRE",IF(AL213="","À RADIOGRAPHIER",IF(AL213="A","ACCEPTÉ",IF(AL213="NX","NX – RT À REFAIRE",IF(IF(AK213=1,Z213,IF(AK213=2,AE213,""))="A","RÉPARÉ – À RADIOGRAPHIER",IF(IF(AK213=1,Z213,IF(AK213=2,AE213,""))="R","VT REJETÉ – À REPRENDRE",IF(OR(AL213="CO",AL213="NT"),"COUPE – À RESOUDER","À RÉPARER"))))))))))</f>
        <v>À SOUDER</v>
      </c>
      <c r="AN213" s="81" t="str">
        <f aca="false">IF(AND(ISNUMBER(R213),OR(AM213="À RADIOGRAPHIER",AM213="RÉPARÉ – À RADIOGRAPHIER",AM213="NX – RT À REFAIRE",AM213="À RÉPARER",AM213="COUPE – À RESOUDER",AM213="VT REJETÉ – À REPRENDRE")),MAX(0,'PROGRAMME RT'!$C$4-R213),"")</f>
        <v/>
      </c>
      <c r="AO213" s="78" t="n">
        <f aca="false">IF(AND(OR(AM213="À RADIOGRAPHIER",AM213="RÉPARÉ – À RADIOGRAPHIER",AM213="NX – RT À REFAIRE"),OR('PROGRAMME RT'!$D$5="TOUTES",B213='PROGRAMME RT'!$D$5)),1,0)</f>
        <v>0</v>
      </c>
      <c r="AP213" s="78" t="str">
        <f aca="false">IF(AO213=1,SUM(AO$7:AO213),"")</f>
        <v/>
      </c>
      <c r="AQ213" s="78" t="n">
        <f aca="false">IF(AND(OR(X213="R",X213="NX",X213="NT",X213="CO"),OR('JOINTS DE RÉPARATION'!$D$5="TOUTES",B213='JOINTS DE RÉPARATION'!$D$5),OR('JOINTS DE RÉPARATION'!$L$4="TOUS",AM213&lt;&gt;"ACCEPTÉ")),1,0)</f>
        <v>0</v>
      </c>
      <c r="AR213" s="78" t="str">
        <f aca="false">IF(AQ213=1,SUM(AQ$7:AQ213),"")</f>
        <v/>
      </c>
    </row>
    <row r="214" customFormat="false" ht="15" hidden="false" customHeight="false" outlineLevel="0" collapsed="false">
      <c r="A214" s="78" t="n">
        <f aca="false">IF(E214="","",ROW()-6)</f>
        <v>208</v>
      </c>
      <c r="B214" s="79" t="s">
        <v>575</v>
      </c>
      <c r="C214" s="80"/>
      <c r="D214" s="80"/>
      <c r="E214" s="80" t="s">
        <v>108</v>
      </c>
      <c r="F214" s="80"/>
      <c r="G214" s="80" t="s">
        <v>106</v>
      </c>
      <c r="H214" s="80"/>
      <c r="I214" s="80"/>
      <c r="J214" s="80"/>
      <c r="K214" s="80"/>
      <c r="L214" s="81" t="str">
        <f aca="false">IF(K214="","",IFERROR(INDEX(BARDAGE!$C$7:$C$1506,MATCH(K214,BARDAGE!$B$7:$B$1506,0)),"? hors registre"))</f>
        <v/>
      </c>
      <c r="M214" s="80"/>
      <c r="N214" s="81" t="str">
        <f aca="false">IF(M214="","",IFERROR(INDEX(BARDAGE!$C$7:$C$1506,MATCH(M214,BARDAGE!$B$7:$B$1506,0)),"? hors registre"))</f>
        <v/>
      </c>
      <c r="O214" s="80"/>
      <c r="P214" s="80"/>
      <c r="Q214" s="80"/>
      <c r="R214" s="82"/>
      <c r="S214" s="82"/>
      <c r="T214" s="80"/>
      <c r="U214" s="80"/>
      <c r="V214" s="82"/>
      <c r="W214" s="80"/>
      <c r="X214" s="80"/>
      <c r="Y214" s="80"/>
      <c r="Z214" s="80"/>
      <c r="AA214" s="82"/>
      <c r="AB214" s="80"/>
      <c r="AC214" s="80"/>
      <c r="AD214" s="80"/>
      <c r="AE214" s="80"/>
      <c r="AF214" s="82"/>
      <c r="AG214" s="80"/>
      <c r="AH214" s="80"/>
      <c r="AI214" s="82"/>
      <c r="AJ214" s="79"/>
      <c r="AK214" s="78" t="n">
        <f aca="false">IF(E214="","",(X214&lt;&gt;"")+(AC214&lt;&gt;"")+(AH214&lt;&gt;""))</f>
        <v>0</v>
      </c>
      <c r="AL214" s="81" t="str">
        <f aca="false">IF(AH214&lt;&gt;"",AH214,IF(AC214&lt;&gt;"",AC214,IF(X214&lt;&gt;"",X214,"")))</f>
        <v/>
      </c>
      <c r="AM214" s="83" t="str">
        <f aca="false">IF(E214="","",IF(R214="","À SOUDER",IF(U214="","VT EN ATTENTE",IF(U214="R","VT REJETÉ – À REPRENDRE",IF(AL214="","À RADIOGRAPHIER",IF(AL214="A","ACCEPTÉ",IF(AL214="NX","NX – RT À REFAIRE",IF(IF(AK214=1,Z214,IF(AK214=2,AE214,""))="A","RÉPARÉ – À RADIOGRAPHIER",IF(IF(AK214=1,Z214,IF(AK214=2,AE214,""))="R","VT REJETÉ – À REPRENDRE",IF(OR(AL214="CO",AL214="NT"),"COUPE – À RESOUDER","À RÉPARER"))))))))))</f>
        <v>À SOUDER</v>
      </c>
      <c r="AN214" s="81" t="str">
        <f aca="false">IF(AND(ISNUMBER(R214),OR(AM214="À RADIOGRAPHIER",AM214="RÉPARÉ – À RADIOGRAPHIER",AM214="NX – RT À REFAIRE",AM214="À RÉPARER",AM214="COUPE – À RESOUDER",AM214="VT REJETÉ – À REPRENDRE")),MAX(0,'PROGRAMME RT'!$C$4-R214),"")</f>
        <v/>
      </c>
      <c r="AO214" s="78" t="n">
        <f aca="false">IF(AND(OR(AM214="À RADIOGRAPHIER",AM214="RÉPARÉ – À RADIOGRAPHIER",AM214="NX – RT À REFAIRE"),OR('PROGRAMME RT'!$D$5="TOUTES",B214='PROGRAMME RT'!$D$5)),1,0)</f>
        <v>0</v>
      </c>
      <c r="AP214" s="78" t="str">
        <f aca="false">IF(AO214=1,SUM(AO$7:AO214),"")</f>
        <v/>
      </c>
      <c r="AQ214" s="78" t="n">
        <f aca="false">IF(AND(OR(X214="R",X214="NX",X214="NT",X214="CO"),OR('JOINTS DE RÉPARATION'!$D$5="TOUTES",B214='JOINTS DE RÉPARATION'!$D$5),OR('JOINTS DE RÉPARATION'!$L$4="TOUS",AM214&lt;&gt;"ACCEPTÉ")),1,0)</f>
        <v>0</v>
      </c>
      <c r="AR214" s="78" t="str">
        <f aca="false">IF(AQ214=1,SUM(AQ$7:AQ214),"")</f>
        <v/>
      </c>
    </row>
    <row r="215" customFormat="false" ht="15" hidden="false" customHeight="false" outlineLevel="0" collapsed="false">
      <c r="A215" s="78" t="n">
        <f aca="false">IF(E215="","",ROW()-6)</f>
        <v>209</v>
      </c>
      <c r="B215" s="79" t="s">
        <v>575</v>
      </c>
      <c r="C215" s="80"/>
      <c r="D215" s="80"/>
      <c r="E215" s="80" t="s">
        <v>109</v>
      </c>
      <c r="F215" s="80"/>
      <c r="G215" s="80" t="s">
        <v>106</v>
      </c>
      <c r="H215" s="80"/>
      <c r="I215" s="80"/>
      <c r="J215" s="80"/>
      <c r="K215" s="80"/>
      <c r="L215" s="81" t="str">
        <f aca="false">IF(K215="","",IFERROR(INDEX(BARDAGE!$C$7:$C$1506,MATCH(K215,BARDAGE!$B$7:$B$1506,0)),"? hors registre"))</f>
        <v/>
      </c>
      <c r="M215" s="80"/>
      <c r="N215" s="81" t="str">
        <f aca="false">IF(M215="","",IFERROR(INDEX(BARDAGE!$C$7:$C$1506,MATCH(M215,BARDAGE!$B$7:$B$1506,0)),"? hors registre"))</f>
        <v/>
      </c>
      <c r="O215" s="80"/>
      <c r="P215" s="80"/>
      <c r="Q215" s="80"/>
      <c r="R215" s="82"/>
      <c r="S215" s="82"/>
      <c r="T215" s="80"/>
      <c r="U215" s="80"/>
      <c r="V215" s="82"/>
      <c r="W215" s="80"/>
      <c r="X215" s="80"/>
      <c r="Y215" s="80"/>
      <c r="Z215" s="80"/>
      <c r="AA215" s="82"/>
      <c r="AB215" s="80"/>
      <c r="AC215" s="80"/>
      <c r="AD215" s="80"/>
      <c r="AE215" s="80"/>
      <c r="AF215" s="82"/>
      <c r="AG215" s="80"/>
      <c r="AH215" s="80"/>
      <c r="AI215" s="82"/>
      <c r="AJ215" s="79"/>
      <c r="AK215" s="78" t="n">
        <f aca="false">IF(E215="","",(X215&lt;&gt;"")+(AC215&lt;&gt;"")+(AH215&lt;&gt;""))</f>
        <v>0</v>
      </c>
      <c r="AL215" s="81" t="str">
        <f aca="false">IF(AH215&lt;&gt;"",AH215,IF(AC215&lt;&gt;"",AC215,IF(X215&lt;&gt;"",X215,"")))</f>
        <v/>
      </c>
      <c r="AM215" s="83" t="str">
        <f aca="false">IF(E215="","",IF(R215="","À SOUDER",IF(U215="","VT EN ATTENTE",IF(U215="R","VT REJETÉ – À REPRENDRE",IF(AL215="","À RADIOGRAPHIER",IF(AL215="A","ACCEPTÉ",IF(AL215="NX","NX – RT À REFAIRE",IF(IF(AK215=1,Z215,IF(AK215=2,AE215,""))="A","RÉPARÉ – À RADIOGRAPHIER",IF(IF(AK215=1,Z215,IF(AK215=2,AE215,""))="R","VT REJETÉ – À REPRENDRE",IF(OR(AL215="CO",AL215="NT"),"COUPE – À RESOUDER","À RÉPARER"))))))))))</f>
        <v>À SOUDER</v>
      </c>
      <c r="AN215" s="81" t="str">
        <f aca="false">IF(AND(ISNUMBER(R215),OR(AM215="À RADIOGRAPHIER",AM215="RÉPARÉ – À RADIOGRAPHIER",AM215="NX – RT À REFAIRE",AM215="À RÉPARER",AM215="COUPE – À RESOUDER",AM215="VT REJETÉ – À REPRENDRE")),MAX(0,'PROGRAMME RT'!$C$4-R215),"")</f>
        <v/>
      </c>
      <c r="AO215" s="78" t="n">
        <f aca="false">IF(AND(OR(AM215="À RADIOGRAPHIER",AM215="RÉPARÉ – À RADIOGRAPHIER",AM215="NX – RT À REFAIRE"),OR('PROGRAMME RT'!$D$5="TOUTES",B215='PROGRAMME RT'!$D$5)),1,0)</f>
        <v>0</v>
      </c>
      <c r="AP215" s="78" t="str">
        <f aca="false">IF(AO215=1,SUM(AO$7:AO215),"")</f>
        <v/>
      </c>
      <c r="AQ215" s="78" t="n">
        <f aca="false">IF(AND(OR(X215="R",X215="NX",X215="NT",X215="CO"),OR('JOINTS DE RÉPARATION'!$D$5="TOUTES",B215='JOINTS DE RÉPARATION'!$D$5),OR('JOINTS DE RÉPARATION'!$L$4="TOUS",AM215&lt;&gt;"ACCEPTÉ")),1,0)</f>
        <v>0</v>
      </c>
      <c r="AR215" s="78" t="str">
        <f aca="false">IF(AQ215=1,SUM(AQ$7:AQ215),"")</f>
        <v/>
      </c>
    </row>
    <row r="216" customFormat="false" ht="15" hidden="false" customHeight="false" outlineLevel="0" collapsed="false">
      <c r="A216" s="78" t="n">
        <f aca="false">IF(E216="","",ROW()-6)</f>
        <v>210</v>
      </c>
      <c r="B216" s="79" t="s">
        <v>575</v>
      </c>
      <c r="C216" s="80"/>
      <c r="D216" s="80"/>
      <c r="E216" s="80" t="s">
        <v>110</v>
      </c>
      <c r="F216" s="80"/>
      <c r="G216" s="80" t="s">
        <v>106</v>
      </c>
      <c r="H216" s="80"/>
      <c r="I216" s="80"/>
      <c r="J216" s="80"/>
      <c r="K216" s="80"/>
      <c r="L216" s="81" t="str">
        <f aca="false">IF(K216="","",IFERROR(INDEX(BARDAGE!$C$7:$C$1506,MATCH(K216,BARDAGE!$B$7:$B$1506,0)),"? hors registre"))</f>
        <v/>
      </c>
      <c r="M216" s="80"/>
      <c r="N216" s="81" t="str">
        <f aca="false">IF(M216="","",IFERROR(INDEX(BARDAGE!$C$7:$C$1506,MATCH(M216,BARDAGE!$B$7:$B$1506,0)),"? hors registre"))</f>
        <v/>
      </c>
      <c r="O216" s="80"/>
      <c r="P216" s="80"/>
      <c r="Q216" s="80"/>
      <c r="R216" s="82"/>
      <c r="S216" s="82"/>
      <c r="T216" s="80"/>
      <c r="U216" s="80"/>
      <c r="V216" s="82"/>
      <c r="W216" s="80"/>
      <c r="X216" s="80"/>
      <c r="Y216" s="80"/>
      <c r="Z216" s="80"/>
      <c r="AA216" s="82"/>
      <c r="AB216" s="80"/>
      <c r="AC216" s="80"/>
      <c r="AD216" s="80"/>
      <c r="AE216" s="80"/>
      <c r="AF216" s="82"/>
      <c r="AG216" s="80"/>
      <c r="AH216" s="80"/>
      <c r="AI216" s="82"/>
      <c r="AJ216" s="79"/>
      <c r="AK216" s="78" t="n">
        <f aca="false">IF(E216="","",(X216&lt;&gt;"")+(AC216&lt;&gt;"")+(AH216&lt;&gt;""))</f>
        <v>0</v>
      </c>
      <c r="AL216" s="81" t="str">
        <f aca="false">IF(AH216&lt;&gt;"",AH216,IF(AC216&lt;&gt;"",AC216,IF(X216&lt;&gt;"",X216,"")))</f>
        <v/>
      </c>
      <c r="AM216" s="83" t="str">
        <f aca="false">IF(E216="","",IF(R216="","À SOUDER",IF(U216="","VT EN ATTENTE",IF(U216="R","VT REJETÉ – À REPRENDRE",IF(AL216="","À RADIOGRAPHIER",IF(AL216="A","ACCEPTÉ",IF(AL216="NX","NX – RT À REFAIRE",IF(IF(AK216=1,Z216,IF(AK216=2,AE216,""))="A","RÉPARÉ – À RADIOGRAPHIER",IF(IF(AK216=1,Z216,IF(AK216=2,AE216,""))="R","VT REJETÉ – À REPRENDRE",IF(OR(AL216="CO",AL216="NT"),"COUPE – À RESOUDER","À RÉPARER"))))))))))</f>
        <v>À SOUDER</v>
      </c>
      <c r="AN216" s="81" t="str">
        <f aca="false">IF(AND(ISNUMBER(R216),OR(AM216="À RADIOGRAPHIER",AM216="RÉPARÉ – À RADIOGRAPHIER",AM216="NX – RT À REFAIRE",AM216="À RÉPARER",AM216="COUPE – À RESOUDER",AM216="VT REJETÉ – À REPRENDRE")),MAX(0,'PROGRAMME RT'!$C$4-R216),"")</f>
        <v/>
      </c>
      <c r="AO216" s="78" t="n">
        <f aca="false">IF(AND(OR(AM216="À RADIOGRAPHIER",AM216="RÉPARÉ – À RADIOGRAPHIER",AM216="NX – RT À REFAIRE"),OR('PROGRAMME RT'!$D$5="TOUTES",B216='PROGRAMME RT'!$D$5)),1,0)</f>
        <v>0</v>
      </c>
      <c r="AP216" s="78" t="str">
        <f aca="false">IF(AO216=1,SUM(AO$7:AO216),"")</f>
        <v/>
      </c>
      <c r="AQ216" s="78" t="n">
        <f aca="false">IF(AND(OR(X216="R",X216="NX",X216="NT",X216="CO"),OR('JOINTS DE RÉPARATION'!$D$5="TOUTES",B216='JOINTS DE RÉPARATION'!$D$5),OR('JOINTS DE RÉPARATION'!$L$4="TOUS",AM216&lt;&gt;"ACCEPTÉ")),1,0)</f>
        <v>0</v>
      </c>
      <c r="AR216" s="78" t="str">
        <f aca="false">IF(AQ216=1,SUM(AQ$7:AQ216),"")</f>
        <v/>
      </c>
    </row>
    <row r="217" customFormat="false" ht="15" hidden="false" customHeight="false" outlineLevel="0" collapsed="false">
      <c r="A217" s="78" t="n">
        <f aca="false">IF(E217="","",ROW()-6)</f>
        <v>211</v>
      </c>
      <c r="B217" s="79" t="s">
        <v>575</v>
      </c>
      <c r="C217" s="80"/>
      <c r="D217" s="80"/>
      <c r="E217" s="80" t="s">
        <v>113</v>
      </c>
      <c r="F217" s="80"/>
      <c r="G217" s="80" t="s">
        <v>106</v>
      </c>
      <c r="H217" s="80"/>
      <c r="I217" s="80"/>
      <c r="J217" s="80"/>
      <c r="K217" s="80"/>
      <c r="L217" s="81" t="str">
        <f aca="false">IF(K217="","",IFERROR(INDEX(BARDAGE!$C$7:$C$1506,MATCH(K217,BARDAGE!$B$7:$B$1506,0)),"? hors registre"))</f>
        <v/>
      </c>
      <c r="M217" s="80"/>
      <c r="N217" s="81" t="str">
        <f aca="false">IF(M217="","",IFERROR(INDEX(BARDAGE!$C$7:$C$1506,MATCH(M217,BARDAGE!$B$7:$B$1506,0)),"? hors registre"))</f>
        <v/>
      </c>
      <c r="O217" s="80"/>
      <c r="P217" s="80"/>
      <c r="Q217" s="80"/>
      <c r="R217" s="82"/>
      <c r="S217" s="82"/>
      <c r="T217" s="80"/>
      <c r="U217" s="80"/>
      <c r="V217" s="82"/>
      <c r="W217" s="80"/>
      <c r="X217" s="80"/>
      <c r="Y217" s="80"/>
      <c r="Z217" s="80"/>
      <c r="AA217" s="82"/>
      <c r="AB217" s="80"/>
      <c r="AC217" s="80"/>
      <c r="AD217" s="80"/>
      <c r="AE217" s="80"/>
      <c r="AF217" s="82"/>
      <c r="AG217" s="80"/>
      <c r="AH217" s="80"/>
      <c r="AI217" s="82"/>
      <c r="AJ217" s="79"/>
      <c r="AK217" s="78" t="n">
        <f aca="false">IF(E217="","",(X217&lt;&gt;"")+(AC217&lt;&gt;"")+(AH217&lt;&gt;""))</f>
        <v>0</v>
      </c>
      <c r="AL217" s="81" t="str">
        <f aca="false">IF(AH217&lt;&gt;"",AH217,IF(AC217&lt;&gt;"",AC217,IF(X217&lt;&gt;"",X217,"")))</f>
        <v/>
      </c>
      <c r="AM217" s="83" t="str">
        <f aca="false">IF(E217="","",IF(R217="","À SOUDER",IF(U217="","VT EN ATTENTE",IF(U217="R","VT REJETÉ – À REPRENDRE",IF(AL217="","À RADIOGRAPHIER",IF(AL217="A","ACCEPTÉ",IF(AL217="NX","NX – RT À REFAIRE",IF(IF(AK217=1,Z217,IF(AK217=2,AE217,""))="A","RÉPARÉ – À RADIOGRAPHIER",IF(IF(AK217=1,Z217,IF(AK217=2,AE217,""))="R","VT REJETÉ – À REPRENDRE",IF(OR(AL217="CO",AL217="NT"),"COUPE – À RESOUDER","À RÉPARER"))))))))))</f>
        <v>À SOUDER</v>
      </c>
      <c r="AN217" s="81" t="str">
        <f aca="false">IF(AND(ISNUMBER(R217),OR(AM217="À RADIOGRAPHIER",AM217="RÉPARÉ – À RADIOGRAPHIER",AM217="NX – RT À REFAIRE",AM217="À RÉPARER",AM217="COUPE – À RESOUDER",AM217="VT REJETÉ – À REPRENDRE")),MAX(0,'PROGRAMME RT'!$C$4-R217),"")</f>
        <v/>
      </c>
      <c r="AO217" s="78" t="n">
        <f aca="false">IF(AND(OR(AM217="À RADIOGRAPHIER",AM217="RÉPARÉ – À RADIOGRAPHIER",AM217="NX – RT À REFAIRE"),OR('PROGRAMME RT'!$D$5="TOUTES",B217='PROGRAMME RT'!$D$5)),1,0)</f>
        <v>0</v>
      </c>
      <c r="AP217" s="78" t="str">
        <f aca="false">IF(AO217=1,SUM(AO$7:AO217),"")</f>
        <v/>
      </c>
      <c r="AQ217" s="78" t="n">
        <f aca="false">IF(AND(OR(X217="R",X217="NX",X217="NT",X217="CO"),OR('JOINTS DE RÉPARATION'!$D$5="TOUTES",B217='JOINTS DE RÉPARATION'!$D$5),OR('JOINTS DE RÉPARATION'!$L$4="TOUS",AM217&lt;&gt;"ACCEPTÉ")),1,0)</f>
        <v>0</v>
      </c>
      <c r="AR217" s="78" t="str">
        <f aca="false">IF(AQ217=1,SUM(AQ$7:AQ217),"")</f>
        <v/>
      </c>
    </row>
    <row r="218" customFormat="false" ht="15" hidden="false" customHeight="false" outlineLevel="0" collapsed="false">
      <c r="A218" s="78" t="n">
        <f aca="false">IF(E218="","",ROW()-6)</f>
        <v>212</v>
      </c>
      <c r="B218" s="79" t="s">
        <v>575</v>
      </c>
      <c r="C218" s="80"/>
      <c r="D218" s="80"/>
      <c r="E218" s="80" t="s">
        <v>120</v>
      </c>
      <c r="F218" s="80"/>
      <c r="G218" s="80" t="s">
        <v>106</v>
      </c>
      <c r="H218" s="80"/>
      <c r="I218" s="80"/>
      <c r="J218" s="80"/>
      <c r="K218" s="80"/>
      <c r="L218" s="81" t="str">
        <f aca="false">IF(K218="","",IFERROR(INDEX(BARDAGE!$C$7:$C$1506,MATCH(K218,BARDAGE!$B$7:$B$1506,0)),"? hors registre"))</f>
        <v/>
      </c>
      <c r="M218" s="80"/>
      <c r="N218" s="81" t="str">
        <f aca="false">IF(M218="","",IFERROR(INDEX(BARDAGE!$C$7:$C$1506,MATCH(M218,BARDAGE!$B$7:$B$1506,0)),"? hors registre"))</f>
        <v/>
      </c>
      <c r="O218" s="80"/>
      <c r="P218" s="80"/>
      <c r="Q218" s="80"/>
      <c r="R218" s="82"/>
      <c r="S218" s="82"/>
      <c r="T218" s="80"/>
      <c r="U218" s="80"/>
      <c r="V218" s="82"/>
      <c r="W218" s="80"/>
      <c r="X218" s="80"/>
      <c r="Y218" s="80"/>
      <c r="Z218" s="80"/>
      <c r="AA218" s="82"/>
      <c r="AB218" s="80"/>
      <c r="AC218" s="80"/>
      <c r="AD218" s="80"/>
      <c r="AE218" s="80"/>
      <c r="AF218" s="82"/>
      <c r="AG218" s="80"/>
      <c r="AH218" s="80"/>
      <c r="AI218" s="82"/>
      <c r="AJ218" s="79"/>
      <c r="AK218" s="78" t="n">
        <f aca="false">IF(E218="","",(X218&lt;&gt;"")+(AC218&lt;&gt;"")+(AH218&lt;&gt;""))</f>
        <v>0</v>
      </c>
      <c r="AL218" s="81" t="str">
        <f aca="false">IF(AH218&lt;&gt;"",AH218,IF(AC218&lt;&gt;"",AC218,IF(X218&lt;&gt;"",X218,"")))</f>
        <v/>
      </c>
      <c r="AM218" s="83" t="str">
        <f aca="false">IF(E218="","",IF(R218="","À SOUDER",IF(U218="","VT EN ATTENTE",IF(U218="R","VT REJETÉ – À REPRENDRE",IF(AL218="","À RADIOGRAPHIER",IF(AL218="A","ACCEPTÉ",IF(AL218="NX","NX – RT À REFAIRE",IF(IF(AK218=1,Z218,IF(AK218=2,AE218,""))="A","RÉPARÉ – À RADIOGRAPHIER",IF(IF(AK218=1,Z218,IF(AK218=2,AE218,""))="R","VT REJETÉ – À REPRENDRE",IF(OR(AL218="CO",AL218="NT"),"COUPE – À RESOUDER","À RÉPARER"))))))))))</f>
        <v>À SOUDER</v>
      </c>
      <c r="AN218" s="81" t="str">
        <f aca="false">IF(AND(ISNUMBER(R218),OR(AM218="À RADIOGRAPHIER",AM218="RÉPARÉ – À RADIOGRAPHIER",AM218="NX – RT À REFAIRE",AM218="À RÉPARER",AM218="COUPE – À RESOUDER",AM218="VT REJETÉ – À REPRENDRE")),MAX(0,'PROGRAMME RT'!$C$4-R218),"")</f>
        <v/>
      </c>
      <c r="AO218" s="78" t="n">
        <f aca="false">IF(AND(OR(AM218="À RADIOGRAPHIER",AM218="RÉPARÉ – À RADIOGRAPHIER",AM218="NX – RT À REFAIRE"),OR('PROGRAMME RT'!$D$5="TOUTES",B218='PROGRAMME RT'!$D$5)),1,0)</f>
        <v>0</v>
      </c>
      <c r="AP218" s="78" t="str">
        <f aca="false">IF(AO218=1,SUM(AO$7:AO218),"")</f>
        <v/>
      </c>
      <c r="AQ218" s="78" t="n">
        <f aca="false">IF(AND(OR(X218="R",X218="NX",X218="NT",X218="CO"),OR('JOINTS DE RÉPARATION'!$D$5="TOUTES",B218='JOINTS DE RÉPARATION'!$D$5),OR('JOINTS DE RÉPARATION'!$L$4="TOUS",AM218&lt;&gt;"ACCEPTÉ")),1,0)</f>
        <v>0</v>
      </c>
      <c r="AR218" s="78" t="str">
        <f aca="false">IF(AQ218=1,SUM(AQ$7:AQ218),"")</f>
        <v/>
      </c>
    </row>
    <row r="219" customFormat="false" ht="15" hidden="false" customHeight="false" outlineLevel="0" collapsed="false">
      <c r="A219" s="78" t="n">
        <f aca="false">IF(E219="","",ROW()-6)</f>
        <v>213</v>
      </c>
      <c r="B219" s="79" t="s">
        <v>575</v>
      </c>
      <c r="C219" s="80"/>
      <c r="D219" s="80"/>
      <c r="E219" s="80" t="s">
        <v>123</v>
      </c>
      <c r="F219" s="80"/>
      <c r="G219" s="80" t="s">
        <v>106</v>
      </c>
      <c r="H219" s="80"/>
      <c r="I219" s="80"/>
      <c r="J219" s="80"/>
      <c r="K219" s="80"/>
      <c r="L219" s="81" t="str">
        <f aca="false">IF(K219="","",IFERROR(INDEX(BARDAGE!$C$7:$C$1506,MATCH(K219,BARDAGE!$B$7:$B$1506,0)),"? hors registre"))</f>
        <v/>
      </c>
      <c r="M219" s="80"/>
      <c r="N219" s="81" t="str">
        <f aca="false">IF(M219="","",IFERROR(INDEX(BARDAGE!$C$7:$C$1506,MATCH(M219,BARDAGE!$B$7:$B$1506,0)),"? hors registre"))</f>
        <v/>
      </c>
      <c r="O219" s="80"/>
      <c r="P219" s="80"/>
      <c r="Q219" s="80"/>
      <c r="R219" s="82"/>
      <c r="S219" s="82"/>
      <c r="T219" s="80"/>
      <c r="U219" s="80"/>
      <c r="V219" s="82"/>
      <c r="W219" s="80"/>
      <c r="X219" s="80"/>
      <c r="Y219" s="80"/>
      <c r="Z219" s="80"/>
      <c r="AA219" s="82"/>
      <c r="AB219" s="80"/>
      <c r="AC219" s="80"/>
      <c r="AD219" s="80"/>
      <c r="AE219" s="80"/>
      <c r="AF219" s="82"/>
      <c r="AG219" s="80"/>
      <c r="AH219" s="80"/>
      <c r="AI219" s="82"/>
      <c r="AJ219" s="79"/>
      <c r="AK219" s="78" t="n">
        <f aca="false">IF(E219="","",(X219&lt;&gt;"")+(AC219&lt;&gt;"")+(AH219&lt;&gt;""))</f>
        <v>0</v>
      </c>
      <c r="AL219" s="81" t="str">
        <f aca="false">IF(AH219&lt;&gt;"",AH219,IF(AC219&lt;&gt;"",AC219,IF(X219&lt;&gt;"",X219,"")))</f>
        <v/>
      </c>
      <c r="AM219" s="83" t="str">
        <f aca="false">IF(E219="","",IF(R219="","À SOUDER",IF(U219="","VT EN ATTENTE",IF(U219="R","VT REJETÉ – À REPRENDRE",IF(AL219="","À RADIOGRAPHIER",IF(AL219="A","ACCEPTÉ",IF(AL219="NX","NX – RT À REFAIRE",IF(IF(AK219=1,Z219,IF(AK219=2,AE219,""))="A","RÉPARÉ – À RADIOGRAPHIER",IF(IF(AK219=1,Z219,IF(AK219=2,AE219,""))="R","VT REJETÉ – À REPRENDRE",IF(OR(AL219="CO",AL219="NT"),"COUPE – À RESOUDER","À RÉPARER"))))))))))</f>
        <v>À SOUDER</v>
      </c>
      <c r="AN219" s="81" t="str">
        <f aca="false">IF(AND(ISNUMBER(R219),OR(AM219="À RADIOGRAPHIER",AM219="RÉPARÉ – À RADIOGRAPHIER",AM219="NX – RT À REFAIRE",AM219="À RÉPARER",AM219="COUPE – À RESOUDER",AM219="VT REJETÉ – À REPRENDRE")),MAX(0,'PROGRAMME RT'!$C$4-R219),"")</f>
        <v/>
      </c>
      <c r="AO219" s="78" t="n">
        <f aca="false">IF(AND(OR(AM219="À RADIOGRAPHIER",AM219="RÉPARÉ – À RADIOGRAPHIER",AM219="NX – RT À REFAIRE"),OR('PROGRAMME RT'!$D$5="TOUTES",B219='PROGRAMME RT'!$D$5)),1,0)</f>
        <v>0</v>
      </c>
      <c r="AP219" s="78" t="str">
        <f aca="false">IF(AO219=1,SUM(AO$7:AO219),"")</f>
        <v/>
      </c>
      <c r="AQ219" s="78" t="n">
        <f aca="false">IF(AND(OR(X219="R",X219="NX",X219="NT",X219="CO"),OR('JOINTS DE RÉPARATION'!$D$5="TOUTES",B219='JOINTS DE RÉPARATION'!$D$5),OR('JOINTS DE RÉPARATION'!$L$4="TOUS",AM219&lt;&gt;"ACCEPTÉ")),1,0)</f>
        <v>0</v>
      </c>
      <c r="AR219" s="78" t="str">
        <f aca="false">IF(AQ219=1,SUM(AQ$7:AQ219),"")</f>
        <v/>
      </c>
    </row>
    <row r="220" customFormat="false" ht="15" hidden="false" customHeight="false" outlineLevel="0" collapsed="false">
      <c r="A220" s="78" t="n">
        <f aca="false">IF(E220="","",ROW()-6)</f>
        <v>214</v>
      </c>
      <c r="B220" s="79" t="s">
        <v>575</v>
      </c>
      <c r="C220" s="80"/>
      <c r="D220" s="80"/>
      <c r="E220" s="80" t="s">
        <v>126</v>
      </c>
      <c r="F220" s="80"/>
      <c r="G220" s="80" t="s">
        <v>106</v>
      </c>
      <c r="H220" s="80"/>
      <c r="I220" s="80"/>
      <c r="J220" s="80"/>
      <c r="K220" s="80"/>
      <c r="L220" s="81" t="str">
        <f aca="false">IF(K220="","",IFERROR(INDEX(BARDAGE!$C$7:$C$1506,MATCH(K220,BARDAGE!$B$7:$B$1506,0)),"? hors registre"))</f>
        <v/>
      </c>
      <c r="M220" s="80"/>
      <c r="N220" s="81" t="str">
        <f aca="false">IF(M220="","",IFERROR(INDEX(BARDAGE!$C$7:$C$1506,MATCH(M220,BARDAGE!$B$7:$B$1506,0)),"? hors registre"))</f>
        <v/>
      </c>
      <c r="O220" s="80"/>
      <c r="P220" s="80"/>
      <c r="Q220" s="80"/>
      <c r="R220" s="82"/>
      <c r="S220" s="82"/>
      <c r="T220" s="80"/>
      <c r="U220" s="80"/>
      <c r="V220" s="82"/>
      <c r="W220" s="80"/>
      <c r="X220" s="80"/>
      <c r="Y220" s="80"/>
      <c r="Z220" s="80"/>
      <c r="AA220" s="82"/>
      <c r="AB220" s="80"/>
      <c r="AC220" s="80"/>
      <c r="AD220" s="80"/>
      <c r="AE220" s="80"/>
      <c r="AF220" s="82"/>
      <c r="AG220" s="80"/>
      <c r="AH220" s="80"/>
      <c r="AI220" s="82"/>
      <c r="AJ220" s="79"/>
      <c r="AK220" s="78" t="n">
        <f aca="false">IF(E220="","",(X220&lt;&gt;"")+(AC220&lt;&gt;"")+(AH220&lt;&gt;""))</f>
        <v>0</v>
      </c>
      <c r="AL220" s="81" t="str">
        <f aca="false">IF(AH220&lt;&gt;"",AH220,IF(AC220&lt;&gt;"",AC220,IF(X220&lt;&gt;"",X220,"")))</f>
        <v/>
      </c>
      <c r="AM220" s="83" t="str">
        <f aca="false">IF(E220="","",IF(R220="","À SOUDER",IF(U220="","VT EN ATTENTE",IF(U220="R","VT REJETÉ – À REPRENDRE",IF(AL220="","À RADIOGRAPHIER",IF(AL220="A","ACCEPTÉ",IF(AL220="NX","NX – RT À REFAIRE",IF(IF(AK220=1,Z220,IF(AK220=2,AE220,""))="A","RÉPARÉ – À RADIOGRAPHIER",IF(IF(AK220=1,Z220,IF(AK220=2,AE220,""))="R","VT REJETÉ – À REPRENDRE",IF(OR(AL220="CO",AL220="NT"),"COUPE – À RESOUDER","À RÉPARER"))))))))))</f>
        <v>À SOUDER</v>
      </c>
      <c r="AN220" s="81" t="str">
        <f aca="false">IF(AND(ISNUMBER(R220),OR(AM220="À RADIOGRAPHIER",AM220="RÉPARÉ – À RADIOGRAPHIER",AM220="NX – RT À REFAIRE",AM220="À RÉPARER",AM220="COUPE – À RESOUDER",AM220="VT REJETÉ – À REPRENDRE")),MAX(0,'PROGRAMME RT'!$C$4-R220),"")</f>
        <v/>
      </c>
      <c r="AO220" s="78" t="n">
        <f aca="false">IF(AND(OR(AM220="À RADIOGRAPHIER",AM220="RÉPARÉ – À RADIOGRAPHIER",AM220="NX – RT À REFAIRE"),OR('PROGRAMME RT'!$D$5="TOUTES",B220='PROGRAMME RT'!$D$5)),1,0)</f>
        <v>0</v>
      </c>
      <c r="AP220" s="78" t="str">
        <f aca="false">IF(AO220=1,SUM(AO$7:AO220),"")</f>
        <v/>
      </c>
      <c r="AQ220" s="78" t="n">
        <f aca="false">IF(AND(OR(X220="R",X220="NX",X220="NT",X220="CO"),OR('JOINTS DE RÉPARATION'!$D$5="TOUTES",B220='JOINTS DE RÉPARATION'!$D$5),OR('JOINTS DE RÉPARATION'!$L$4="TOUS",AM220&lt;&gt;"ACCEPTÉ")),1,0)</f>
        <v>0</v>
      </c>
      <c r="AR220" s="78" t="str">
        <f aca="false">IF(AQ220=1,SUM(AQ$7:AQ220),"")</f>
        <v/>
      </c>
    </row>
    <row r="221" customFormat="false" ht="15" hidden="false" customHeight="false" outlineLevel="0" collapsed="false">
      <c r="A221" s="78" t="n">
        <f aca="false">IF(E221="","",ROW()-6)</f>
        <v>215</v>
      </c>
      <c r="B221" s="79" t="s">
        <v>575</v>
      </c>
      <c r="C221" s="80"/>
      <c r="D221" s="80"/>
      <c r="E221" s="80" t="s">
        <v>131</v>
      </c>
      <c r="F221" s="80"/>
      <c r="G221" s="80" t="s">
        <v>106</v>
      </c>
      <c r="H221" s="80"/>
      <c r="I221" s="80"/>
      <c r="J221" s="80"/>
      <c r="K221" s="80"/>
      <c r="L221" s="81" t="str">
        <f aca="false">IF(K221="","",IFERROR(INDEX(BARDAGE!$C$7:$C$1506,MATCH(K221,BARDAGE!$B$7:$B$1506,0)),"? hors registre"))</f>
        <v/>
      </c>
      <c r="M221" s="80"/>
      <c r="N221" s="81" t="str">
        <f aca="false">IF(M221="","",IFERROR(INDEX(BARDAGE!$C$7:$C$1506,MATCH(M221,BARDAGE!$B$7:$B$1506,0)),"? hors registre"))</f>
        <v/>
      </c>
      <c r="O221" s="80"/>
      <c r="P221" s="80"/>
      <c r="Q221" s="80"/>
      <c r="R221" s="82"/>
      <c r="S221" s="82"/>
      <c r="T221" s="80"/>
      <c r="U221" s="80"/>
      <c r="V221" s="82"/>
      <c r="W221" s="80"/>
      <c r="X221" s="80"/>
      <c r="Y221" s="80"/>
      <c r="Z221" s="80"/>
      <c r="AA221" s="82"/>
      <c r="AB221" s="80"/>
      <c r="AC221" s="80"/>
      <c r="AD221" s="80"/>
      <c r="AE221" s="80"/>
      <c r="AF221" s="82"/>
      <c r="AG221" s="80"/>
      <c r="AH221" s="80"/>
      <c r="AI221" s="82"/>
      <c r="AJ221" s="79"/>
      <c r="AK221" s="78" t="n">
        <f aca="false">IF(E221="","",(X221&lt;&gt;"")+(AC221&lt;&gt;"")+(AH221&lt;&gt;""))</f>
        <v>0</v>
      </c>
      <c r="AL221" s="81" t="str">
        <f aca="false">IF(AH221&lt;&gt;"",AH221,IF(AC221&lt;&gt;"",AC221,IF(X221&lt;&gt;"",X221,"")))</f>
        <v/>
      </c>
      <c r="AM221" s="83" t="str">
        <f aca="false">IF(E221="","",IF(R221="","À SOUDER",IF(U221="","VT EN ATTENTE",IF(U221="R","VT REJETÉ – À REPRENDRE",IF(AL221="","À RADIOGRAPHIER",IF(AL221="A","ACCEPTÉ",IF(AL221="NX","NX – RT À REFAIRE",IF(IF(AK221=1,Z221,IF(AK221=2,AE221,""))="A","RÉPARÉ – À RADIOGRAPHIER",IF(IF(AK221=1,Z221,IF(AK221=2,AE221,""))="R","VT REJETÉ – À REPRENDRE",IF(OR(AL221="CO",AL221="NT"),"COUPE – À RESOUDER","À RÉPARER"))))))))))</f>
        <v>À SOUDER</v>
      </c>
      <c r="AN221" s="81" t="str">
        <f aca="false">IF(AND(ISNUMBER(R221),OR(AM221="À RADIOGRAPHIER",AM221="RÉPARÉ – À RADIOGRAPHIER",AM221="NX – RT À REFAIRE",AM221="À RÉPARER",AM221="COUPE – À RESOUDER",AM221="VT REJETÉ – À REPRENDRE")),MAX(0,'PROGRAMME RT'!$C$4-R221),"")</f>
        <v/>
      </c>
      <c r="AO221" s="78" t="n">
        <f aca="false">IF(AND(OR(AM221="À RADIOGRAPHIER",AM221="RÉPARÉ – À RADIOGRAPHIER",AM221="NX – RT À REFAIRE"),OR('PROGRAMME RT'!$D$5="TOUTES",B221='PROGRAMME RT'!$D$5)),1,0)</f>
        <v>0</v>
      </c>
      <c r="AP221" s="78" t="str">
        <f aca="false">IF(AO221=1,SUM(AO$7:AO221),"")</f>
        <v/>
      </c>
      <c r="AQ221" s="78" t="n">
        <f aca="false">IF(AND(OR(X221="R",X221="NX",X221="NT",X221="CO"),OR('JOINTS DE RÉPARATION'!$D$5="TOUTES",B221='JOINTS DE RÉPARATION'!$D$5),OR('JOINTS DE RÉPARATION'!$L$4="TOUS",AM221&lt;&gt;"ACCEPTÉ")),1,0)</f>
        <v>0</v>
      </c>
      <c r="AR221" s="78" t="str">
        <f aca="false">IF(AQ221=1,SUM(AQ$7:AQ221),"")</f>
        <v/>
      </c>
    </row>
    <row r="222" customFormat="false" ht="15" hidden="false" customHeight="false" outlineLevel="0" collapsed="false">
      <c r="A222" s="78" t="n">
        <f aca="false">IF(E222="","",ROW()-6)</f>
        <v>216</v>
      </c>
      <c r="B222" s="79" t="s">
        <v>575</v>
      </c>
      <c r="C222" s="80"/>
      <c r="D222" s="80"/>
      <c r="E222" s="80" t="s">
        <v>137</v>
      </c>
      <c r="F222" s="80"/>
      <c r="G222" s="80" t="s">
        <v>106</v>
      </c>
      <c r="H222" s="80"/>
      <c r="I222" s="80"/>
      <c r="J222" s="80"/>
      <c r="K222" s="80"/>
      <c r="L222" s="81" t="str">
        <f aca="false">IF(K222="","",IFERROR(INDEX(BARDAGE!$C$7:$C$1506,MATCH(K222,BARDAGE!$B$7:$B$1506,0)),"? hors registre"))</f>
        <v/>
      </c>
      <c r="M222" s="80"/>
      <c r="N222" s="81" t="str">
        <f aca="false">IF(M222="","",IFERROR(INDEX(BARDAGE!$C$7:$C$1506,MATCH(M222,BARDAGE!$B$7:$B$1506,0)),"? hors registre"))</f>
        <v/>
      </c>
      <c r="O222" s="80"/>
      <c r="P222" s="80"/>
      <c r="Q222" s="80"/>
      <c r="R222" s="82"/>
      <c r="S222" s="82"/>
      <c r="T222" s="80"/>
      <c r="U222" s="80"/>
      <c r="V222" s="82"/>
      <c r="W222" s="80"/>
      <c r="X222" s="80"/>
      <c r="Y222" s="80"/>
      <c r="Z222" s="80"/>
      <c r="AA222" s="82"/>
      <c r="AB222" s="80"/>
      <c r="AC222" s="80"/>
      <c r="AD222" s="80"/>
      <c r="AE222" s="80"/>
      <c r="AF222" s="82"/>
      <c r="AG222" s="80"/>
      <c r="AH222" s="80"/>
      <c r="AI222" s="82"/>
      <c r="AJ222" s="79"/>
      <c r="AK222" s="78" t="n">
        <f aca="false">IF(E222="","",(X222&lt;&gt;"")+(AC222&lt;&gt;"")+(AH222&lt;&gt;""))</f>
        <v>0</v>
      </c>
      <c r="AL222" s="81" t="str">
        <f aca="false">IF(AH222&lt;&gt;"",AH222,IF(AC222&lt;&gt;"",AC222,IF(X222&lt;&gt;"",X222,"")))</f>
        <v/>
      </c>
      <c r="AM222" s="83" t="str">
        <f aca="false">IF(E222="","",IF(R222="","À SOUDER",IF(U222="","VT EN ATTENTE",IF(U222="R","VT REJETÉ – À REPRENDRE",IF(AL222="","À RADIOGRAPHIER",IF(AL222="A","ACCEPTÉ",IF(AL222="NX","NX – RT À REFAIRE",IF(IF(AK222=1,Z222,IF(AK222=2,AE222,""))="A","RÉPARÉ – À RADIOGRAPHIER",IF(IF(AK222=1,Z222,IF(AK222=2,AE222,""))="R","VT REJETÉ – À REPRENDRE",IF(OR(AL222="CO",AL222="NT"),"COUPE – À RESOUDER","À RÉPARER"))))))))))</f>
        <v>À SOUDER</v>
      </c>
      <c r="AN222" s="81" t="str">
        <f aca="false">IF(AND(ISNUMBER(R222),OR(AM222="À RADIOGRAPHIER",AM222="RÉPARÉ – À RADIOGRAPHIER",AM222="NX – RT À REFAIRE",AM222="À RÉPARER",AM222="COUPE – À RESOUDER",AM222="VT REJETÉ – À REPRENDRE")),MAX(0,'PROGRAMME RT'!$C$4-R222),"")</f>
        <v/>
      </c>
      <c r="AO222" s="78" t="n">
        <f aca="false">IF(AND(OR(AM222="À RADIOGRAPHIER",AM222="RÉPARÉ – À RADIOGRAPHIER",AM222="NX – RT À REFAIRE"),OR('PROGRAMME RT'!$D$5="TOUTES",B222='PROGRAMME RT'!$D$5)),1,0)</f>
        <v>0</v>
      </c>
      <c r="AP222" s="78" t="str">
        <f aca="false">IF(AO222=1,SUM(AO$7:AO222),"")</f>
        <v/>
      </c>
      <c r="AQ222" s="78" t="n">
        <f aca="false">IF(AND(OR(X222="R",X222="NX",X222="NT",X222="CO"),OR('JOINTS DE RÉPARATION'!$D$5="TOUTES",B222='JOINTS DE RÉPARATION'!$D$5),OR('JOINTS DE RÉPARATION'!$L$4="TOUS",AM222&lt;&gt;"ACCEPTÉ")),1,0)</f>
        <v>0</v>
      </c>
      <c r="AR222" s="78" t="str">
        <f aca="false">IF(AQ222=1,SUM(AQ$7:AQ222),"")</f>
        <v/>
      </c>
    </row>
    <row r="223" customFormat="false" ht="15" hidden="false" customHeight="false" outlineLevel="0" collapsed="false">
      <c r="A223" s="78" t="n">
        <f aca="false">IF(E223="","",ROW()-6)</f>
        <v>217</v>
      </c>
      <c r="B223" s="79" t="s">
        <v>575</v>
      </c>
      <c r="C223" s="80"/>
      <c r="D223" s="80"/>
      <c r="E223" s="80" t="s">
        <v>139</v>
      </c>
      <c r="F223" s="80"/>
      <c r="G223" s="80" t="s">
        <v>106</v>
      </c>
      <c r="H223" s="80"/>
      <c r="I223" s="80"/>
      <c r="J223" s="80"/>
      <c r="K223" s="80"/>
      <c r="L223" s="81" t="str">
        <f aca="false">IF(K223="","",IFERROR(INDEX(BARDAGE!$C$7:$C$1506,MATCH(K223,BARDAGE!$B$7:$B$1506,0)),"? hors registre"))</f>
        <v/>
      </c>
      <c r="M223" s="80"/>
      <c r="N223" s="81" t="str">
        <f aca="false">IF(M223="","",IFERROR(INDEX(BARDAGE!$C$7:$C$1506,MATCH(M223,BARDAGE!$B$7:$B$1506,0)),"? hors registre"))</f>
        <v/>
      </c>
      <c r="O223" s="80"/>
      <c r="P223" s="80"/>
      <c r="Q223" s="80"/>
      <c r="R223" s="82"/>
      <c r="S223" s="82"/>
      <c r="T223" s="80"/>
      <c r="U223" s="80"/>
      <c r="V223" s="82"/>
      <c r="W223" s="80"/>
      <c r="X223" s="80"/>
      <c r="Y223" s="80"/>
      <c r="Z223" s="80"/>
      <c r="AA223" s="82"/>
      <c r="AB223" s="80"/>
      <c r="AC223" s="80"/>
      <c r="AD223" s="80"/>
      <c r="AE223" s="80"/>
      <c r="AF223" s="82"/>
      <c r="AG223" s="80"/>
      <c r="AH223" s="80"/>
      <c r="AI223" s="82"/>
      <c r="AJ223" s="79"/>
      <c r="AK223" s="78" t="n">
        <f aca="false">IF(E223="","",(X223&lt;&gt;"")+(AC223&lt;&gt;"")+(AH223&lt;&gt;""))</f>
        <v>0</v>
      </c>
      <c r="AL223" s="81" t="str">
        <f aca="false">IF(AH223&lt;&gt;"",AH223,IF(AC223&lt;&gt;"",AC223,IF(X223&lt;&gt;"",X223,"")))</f>
        <v/>
      </c>
      <c r="AM223" s="83" t="str">
        <f aca="false">IF(E223="","",IF(R223="","À SOUDER",IF(U223="","VT EN ATTENTE",IF(U223="R","VT REJETÉ – À REPRENDRE",IF(AL223="","À RADIOGRAPHIER",IF(AL223="A","ACCEPTÉ",IF(AL223="NX","NX – RT À REFAIRE",IF(IF(AK223=1,Z223,IF(AK223=2,AE223,""))="A","RÉPARÉ – À RADIOGRAPHIER",IF(IF(AK223=1,Z223,IF(AK223=2,AE223,""))="R","VT REJETÉ – À REPRENDRE",IF(OR(AL223="CO",AL223="NT"),"COUPE – À RESOUDER","À RÉPARER"))))))))))</f>
        <v>À SOUDER</v>
      </c>
      <c r="AN223" s="81" t="str">
        <f aca="false">IF(AND(ISNUMBER(R223),OR(AM223="À RADIOGRAPHIER",AM223="RÉPARÉ – À RADIOGRAPHIER",AM223="NX – RT À REFAIRE",AM223="À RÉPARER",AM223="COUPE – À RESOUDER",AM223="VT REJETÉ – À REPRENDRE")),MAX(0,'PROGRAMME RT'!$C$4-R223),"")</f>
        <v/>
      </c>
      <c r="AO223" s="78" t="n">
        <f aca="false">IF(AND(OR(AM223="À RADIOGRAPHIER",AM223="RÉPARÉ – À RADIOGRAPHIER",AM223="NX – RT À REFAIRE"),OR('PROGRAMME RT'!$D$5="TOUTES",B223='PROGRAMME RT'!$D$5)),1,0)</f>
        <v>0</v>
      </c>
      <c r="AP223" s="78" t="str">
        <f aca="false">IF(AO223=1,SUM(AO$7:AO223),"")</f>
        <v/>
      </c>
      <c r="AQ223" s="78" t="n">
        <f aca="false">IF(AND(OR(X223="R",X223="NX",X223="NT",X223="CO"),OR('JOINTS DE RÉPARATION'!$D$5="TOUTES",B223='JOINTS DE RÉPARATION'!$D$5),OR('JOINTS DE RÉPARATION'!$L$4="TOUS",AM223&lt;&gt;"ACCEPTÉ")),1,0)</f>
        <v>0</v>
      </c>
      <c r="AR223" s="78" t="str">
        <f aca="false">IF(AQ223=1,SUM(AQ$7:AQ223),"")</f>
        <v/>
      </c>
    </row>
    <row r="224" customFormat="false" ht="15" hidden="false" customHeight="false" outlineLevel="0" collapsed="false">
      <c r="A224" s="78" t="n">
        <f aca="false">IF(E224="","",ROW()-6)</f>
        <v>218</v>
      </c>
      <c r="B224" s="79" t="s">
        <v>575</v>
      </c>
      <c r="C224" s="80"/>
      <c r="D224" s="80"/>
      <c r="E224" s="80" t="s">
        <v>142</v>
      </c>
      <c r="F224" s="80"/>
      <c r="G224" s="80" t="s">
        <v>106</v>
      </c>
      <c r="H224" s="80"/>
      <c r="I224" s="80"/>
      <c r="J224" s="80"/>
      <c r="K224" s="80"/>
      <c r="L224" s="81" t="str">
        <f aca="false">IF(K224="","",IFERROR(INDEX(BARDAGE!$C$7:$C$1506,MATCH(K224,BARDAGE!$B$7:$B$1506,0)),"? hors registre"))</f>
        <v/>
      </c>
      <c r="M224" s="80"/>
      <c r="N224" s="81" t="str">
        <f aca="false">IF(M224="","",IFERROR(INDEX(BARDAGE!$C$7:$C$1506,MATCH(M224,BARDAGE!$B$7:$B$1506,0)),"? hors registre"))</f>
        <v/>
      </c>
      <c r="O224" s="80"/>
      <c r="P224" s="80"/>
      <c r="Q224" s="80"/>
      <c r="R224" s="82"/>
      <c r="S224" s="82"/>
      <c r="T224" s="80"/>
      <c r="U224" s="80"/>
      <c r="V224" s="82"/>
      <c r="W224" s="80"/>
      <c r="X224" s="80"/>
      <c r="Y224" s="80"/>
      <c r="Z224" s="80"/>
      <c r="AA224" s="82"/>
      <c r="AB224" s="80"/>
      <c r="AC224" s="80"/>
      <c r="AD224" s="80"/>
      <c r="AE224" s="80"/>
      <c r="AF224" s="82"/>
      <c r="AG224" s="80"/>
      <c r="AH224" s="80"/>
      <c r="AI224" s="82"/>
      <c r="AJ224" s="79"/>
      <c r="AK224" s="78" t="n">
        <f aca="false">IF(E224="","",(X224&lt;&gt;"")+(AC224&lt;&gt;"")+(AH224&lt;&gt;""))</f>
        <v>0</v>
      </c>
      <c r="AL224" s="81" t="str">
        <f aca="false">IF(AH224&lt;&gt;"",AH224,IF(AC224&lt;&gt;"",AC224,IF(X224&lt;&gt;"",X224,"")))</f>
        <v/>
      </c>
      <c r="AM224" s="83" t="str">
        <f aca="false">IF(E224="","",IF(R224="","À SOUDER",IF(U224="","VT EN ATTENTE",IF(U224="R","VT REJETÉ – À REPRENDRE",IF(AL224="","À RADIOGRAPHIER",IF(AL224="A","ACCEPTÉ",IF(AL224="NX","NX – RT À REFAIRE",IF(IF(AK224=1,Z224,IF(AK224=2,AE224,""))="A","RÉPARÉ – À RADIOGRAPHIER",IF(IF(AK224=1,Z224,IF(AK224=2,AE224,""))="R","VT REJETÉ – À REPRENDRE",IF(OR(AL224="CO",AL224="NT"),"COUPE – À RESOUDER","À RÉPARER"))))))))))</f>
        <v>À SOUDER</v>
      </c>
      <c r="AN224" s="81" t="str">
        <f aca="false">IF(AND(ISNUMBER(R224),OR(AM224="À RADIOGRAPHIER",AM224="RÉPARÉ – À RADIOGRAPHIER",AM224="NX – RT À REFAIRE",AM224="À RÉPARER",AM224="COUPE – À RESOUDER",AM224="VT REJETÉ – À REPRENDRE")),MAX(0,'PROGRAMME RT'!$C$4-R224),"")</f>
        <v/>
      </c>
      <c r="AO224" s="78" t="n">
        <f aca="false">IF(AND(OR(AM224="À RADIOGRAPHIER",AM224="RÉPARÉ – À RADIOGRAPHIER",AM224="NX – RT À REFAIRE"),OR('PROGRAMME RT'!$D$5="TOUTES",B224='PROGRAMME RT'!$D$5)),1,0)</f>
        <v>0</v>
      </c>
      <c r="AP224" s="78" t="str">
        <f aca="false">IF(AO224=1,SUM(AO$7:AO224),"")</f>
        <v/>
      </c>
      <c r="AQ224" s="78" t="n">
        <f aca="false">IF(AND(OR(X224="R",X224="NX",X224="NT",X224="CO"),OR('JOINTS DE RÉPARATION'!$D$5="TOUTES",B224='JOINTS DE RÉPARATION'!$D$5),OR('JOINTS DE RÉPARATION'!$L$4="TOUS",AM224&lt;&gt;"ACCEPTÉ")),1,0)</f>
        <v>0</v>
      </c>
      <c r="AR224" s="78" t="str">
        <f aca="false">IF(AQ224=1,SUM(AQ$7:AQ224),"")</f>
        <v/>
      </c>
    </row>
    <row r="225" customFormat="false" ht="15" hidden="false" customHeight="false" outlineLevel="0" collapsed="false">
      <c r="A225" s="78" t="n">
        <f aca="false">IF(E225="","",ROW()-6)</f>
        <v>219</v>
      </c>
      <c r="B225" s="79" t="s">
        <v>575</v>
      </c>
      <c r="C225" s="80"/>
      <c r="D225" s="80"/>
      <c r="E225" s="80" t="s">
        <v>144</v>
      </c>
      <c r="F225" s="80"/>
      <c r="G225" s="80" t="s">
        <v>106</v>
      </c>
      <c r="H225" s="80"/>
      <c r="I225" s="80"/>
      <c r="J225" s="80"/>
      <c r="K225" s="80"/>
      <c r="L225" s="81" t="str">
        <f aca="false">IF(K225="","",IFERROR(INDEX(BARDAGE!$C$7:$C$1506,MATCH(K225,BARDAGE!$B$7:$B$1506,0)),"? hors registre"))</f>
        <v/>
      </c>
      <c r="M225" s="80"/>
      <c r="N225" s="81" t="str">
        <f aca="false">IF(M225="","",IFERROR(INDEX(BARDAGE!$C$7:$C$1506,MATCH(M225,BARDAGE!$B$7:$B$1506,0)),"? hors registre"))</f>
        <v/>
      </c>
      <c r="O225" s="80"/>
      <c r="P225" s="80"/>
      <c r="Q225" s="80"/>
      <c r="R225" s="82"/>
      <c r="S225" s="82"/>
      <c r="T225" s="80"/>
      <c r="U225" s="80"/>
      <c r="V225" s="82"/>
      <c r="W225" s="80"/>
      <c r="X225" s="80"/>
      <c r="Y225" s="80"/>
      <c r="Z225" s="80"/>
      <c r="AA225" s="82"/>
      <c r="AB225" s="80"/>
      <c r="AC225" s="80"/>
      <c r="AD225" s="80"/>
      <c r="AE225" s="80"/>
      <c r="AF225" s="82"/>
      <c r="AG225" s="80"/>
      <c r="AH225" s="80"/>
      <c r="AI225" s="82"/>
      <c r="AJ225" s="79"/>
      <c r="AK225" s="78" t="n">
        <f aca="false">IF(E225="","",(X225&lt;&gt;"")+(AC225&lt;&gt;"")+(AH225&lt;&gt;""))</f>
        <v>0</v>
      </c>
      <c r="AL225" s="81" t="str">
        <f aca="false">IF(AH225&lt;&gt;"",AH225,IF(AC225&lt;&gt;"",AC225,IF(X225&lt;&gt;"",X225,"")))</f>
        <v/>
      </c>
      <c r="AM225" s="83" t="str">
        <f aca="false">IF(E225="","",IF(R225="","À SOUDER",IF(U225="","VT EN ATTENTE",IF(U225="R","VT REJETÉ – À REPRENDRE",IF(AL225="","À RADIOGRAPHIER",IF(AL225="A","ACCEPTÉ",IF(AL225="NX","NX – RT À REFAIRE",IF(IF(AK225=1,Z225,IF(AK225=2,AE225,""))="A","RÉPARÉ – À RADIOGRAPHIER",IF(IF(AK225=1,Z225,IF(AK225=2,AE225,""))="R","VT REJETÉ – À REPRENDRE",IF(OR(AL225="CO",AL225="NT"),"COUPE – À RESOUDER","À RÉPARER"))))))))))</f>
        <v>À SOUDER</v>
      </c>
      <c r="AN225" s="81" t="str">
        <f aca="false">IF(AND(ISNUMBER(R225),OR(AM225="À RADIOGRAPHIER",AM225="RÉPARÉ – À RADIOGRAPHIER",AM225="NX – RT À REFAIRE",AM225="À RÉPARER",AM225="COUPE – À RESOUDER",AM225="VT REJETÉ – À REPRENDRE")),MAX(0,'PROGRAMME RT'!$C$4-R225),"")</f>
        <v/>
      </c>
      <c r="AO225" s="78" t="n">
        <f aca="false">IF(AND(OR(AM225="À RADIOGRAPHIER",AM225="RÉPARÉ – À RADIOGRAPHIER",AM225="NX – RT À REFAIRE"),OR('PROGRAMME RT'!$D$5="TOUTES",B225='PROGRAMME RT'!$D$5)),1,0)</f>
        <v>0</v>
      </c>
      <c r="AP225" s="78" t="str">
        <f aca="false">IF(AO225=1,SUM(AO$7:AO225),"")</f>
        <v/>
      </c>
      <c r="AQ225" s="78" t="n">
        <f aca="false">IF(AND(OR(X225="R",X225="NX",X225="NT",X225="CO"),OR('JOINTS DE RÉPARATION'!$D$5="TOUTES",B225='JOINTS DE RÉPARATION'!$D$5),OR('JOINTS DE RÉPARATION'!$L$4="TOUS",AM225&lt;&gt;"ACCEPTÉ")),1,0)</f>
        <v>0</v>
      </c>
      <c r="AR225" s="78" t="str">
        <f aca="false">IF(AQ225=1,SUM(AQ$7:AQ225),"")</f>
        <v/>
      </c>
    </row>
    <row r="226" customFormat="false" ht="15" hidden="false" customHeight="false" outlineLevel="0" collapsed="false">
      <c r="A226" s="78" t="n">
        <f aca="false">IF(E226="","",ROW()-6)</f>
        <v>220</v>
      </c>
      <c r="B226" s="79" t="s">
        <v>575</v>
      </c>
      <c r="C226" s="80"/>
      <c r="D226" s="80"/>
      <c r="E226" s="80" t="s">
        <v>148</v>
      </c>
      <c r="F226" s="80"/>
      <c r="G226" s="80" t="s">
        <v>106</v>
      </c>
      <c r="H226" s="80"/>
      <c r="I226" s="80"/>
      <c r="J226" s="80"/>
      <c r="K226" s="80"/>
      <c r="L226" s="81" t="str">
        <f aca="false">IF(K226="","",IFERROR(INDEX(BARDAGE!$C$7:$C$1506,MATCH(K226,BARDAGE!$B$7:$B$1506,0)),"? hors registre"))</f>
        <v/>
      </c>
      <c r="M226" s="80"/>
      <c r="N226" s="81" t="str">
        <f aca="false">IF(M226="","",IFERROR(INDEX(BARDAGE!$C$7:$C$1506,MATCH(M226,BARDAGE!$B$7:$B$1506,0)),"? hors registre"))</f>
        <v/>
      </c>
      <c r="O226" s="80"/>
      <c r="P226" s="80"/>
      <c r="Q226" s="80"/>
      <c r="R226" s="82"/>
      <c r="S226" s="82"/>
      <c r="T226" s="80"/>
      <c r="U226" s="80"/>
      <c r="V226" s="82"/>
      <c r="W226" s="80"/>
      <c r="X226" s="80"/>
      <c r="Y226" s="80"/>
      <c r="Z226" s="80"/>
      <c r="AA226" s="82"/>
      <c r="AB226" s="80"/>
      <c r="AC226" s="80"/>
      <c r="AD226" s="80"/>
      <c r="AE226" s="80"/>
      <c r="AF226" s="82"/>
      <c r="AG226" s="80"/>
      <c r="AH226" s="80"/>
      <c r="AI226" s="82"/>
      <c r="AJ226" s="79"/>
      <c r="AK226" s="78" t="n">
        <f aca="false">IF(E226="","",(X226&lt;&gt;"")+(AC226&lt;&gt;"")+(AH226&lt;&gt;""))</f>
        <v>0</v>
      </c>
      <c r="AL226" s="81" t="str">
        <f aca="false">IF(AH226&lt;&gt;"",AH226,IF(AC226&lt;&gt;"",AC226,IF(X226&lt;&gt;"",X226,"")))</f>
        <v/>
      </c>
      <c r="AM226" s="83" t="str">
        <f aca="false">IF(E226="","",IF(R226="","À SOUDER",IF(U226="","VT EN ATTENTE",IF(U226="R","VT REJETÉ – À REPRENDRE",IF(AL226="","À RADIOGRAPHIER",IF(AL226="A","ACCEPTÉ",IF(AL226="NX","NX – RT À REFAIRE",IF(IF(AK226=1,Z226,IF(AK226=2,AE226,""))="A","RÉPARÉ – À RADIOGRAPHIER",IF(IF(AK226=1,Z226,IF(AK226=2,AE226,""))="R","VT REJETÉ – À REPRENDRE",IF(OR(AL226="CO",AL226="NT"),"COUPE – À RESOUDER","À RÉPARER"))))))))))</f>
        <v>À SOUDER</v>
      </c>
      <c r="AN226" s="81" t="str">
        <f aca="false">IF(AND(ISNUMBER(R226),OR(AM226="À RADIOGRAPHIER",AM226="RÉPARÉ – À RADIOGRAPHIER",AM226="NX – RT À REFAIRE",AM226="À RÉPARER",AM226="COUPE – À RESOUDER",AM226="VT REJETÉ – À REPRENDRE")),MAX(0,'PROGRAMME RT'!$C$4-R226),"")</f>
        <v/>
      </c>
      <c r="AO226" s="78" t="n">
        <f aca="false">IF(AND(OR(AM226="À RADIOGRAPHIER",AM226="RÉPARÉ – À RADIOGRAPHIER",AM226="NX – RT À REFAIRE"),OR('PROGRAMME RT'!$D$5="TOUTES",B226='PROGRAMME RT'!$D$5)),1,0)</f>
        <v>0</v>
      </c>
      <c r="AP226" s="78" t="str">
        <f aca="false">IF(AO226=1,SUM(AO$7:AO226),"")</f>
        <v/>
      </c>
      <c r="AQ226" s="78" t="n">
        <f aca="false">IF(AND(OR(X226="R",X226="NX",X226="NT",X226="CO"),OR('JOINTS DE RÉPARATION'!$D$5="TOUTES",B226='JOINTS DE RÉPARATION'!$D$5),OR('JOINTS DE RÉPARATION'!$L$4="TOUS",AM226&lt;&gt;"ACCEPTÉ")),1,0)</f>
        <v>0</v>
      </c>
      <c r="AR226" s="78" t="str">
        <f aca="false">IF(AQ226=1,SUM(AQ$7:AQ226),"")</f>
        <v/>
      </c>
    </row>
    <row r="227" customFormat="false" ht="15" hidden="false" customHeight="false" outlineLevel="0" collapsed="false">
      <c r="A227" s="78" t="n">
        <f aca="false">IF(E227="","",ROW()-6)</f>
        <v>221</v>
      </c>
      <c r="B227" s="79" t="s">
        <v>575</v>
      </c>
      <c r="C227" s="80"/>
      <c r="D227" s="80"/>
      <c r="E227" s="80" t="s">
        <v>150</v>
      </c>
      <c r="F227" s="80"/>
      <c r="G227" s="80" t="s">
        <v>106</v>
      </c>
      <c r="H227" s="80"/>
      <c r="I227" s="80"/>
      <c r="J227" s="80"/>
      <c r="K227" s="80"/>
      <c r="L227" s="81" t="str">
        <f aca="false">IF(K227="","",IFERROR(INDEX(BARDAGE!$C$7:$C$1506,MATCH(K227,BARDAGE!$B$7:$B$1506,0)),"? hors registre"))</f>
        <v/>
      </c>
      <c r="M227" s="80"/>
      <c r="N227" s="81" t="str">
        <f aca="false">IF(M227="","",IFERROR(INDEX(BARDAGE!$C$7:$C$1506,MATCH(M227,BARDAGE!$B$7:$B$1506,0)),"? hors registre"))</f>
        <v/>
      </c>
      <c r="O227" s="80"/>
      <c r="P227" s="80"/>
      <c r="Q227" s="80"/>
      <c r="R227" s="82"/>
      <c r="S227" s="82"/>
      <c r="T227" s="80"/>
      <c r="U227" s="80"/>
      <c r="V227" s="82"/>
      <c r="W227" s="80"/>
      <c r="X227" s="80"/>
      <c r="Y227" s="80"/>
      <c r="Z227" s="80"/>
      <c r="AA227" s="82"/>
      <c r="AB227" s="80"/>
      <c r="AC227" s="80"/>
      <c r="AD227" s="80"/>
      <c r="AE227" s="80"/>
      <c r="AF227" s="82"/>
      <c r="AG227" s="80"/>
      <c r="AH227" s="80"/>
      <c r="AI227" s="82"/>
      <c r="AJ227" s="79"/>
      <c r="AK227" s="78" t="n">
        <f aca="false">IF(E227="","",(X227&lt;&gt;"")+(AC227&lt;&gt;"")+(AH227&lt;&gt;""))</f>
        <v>0</v>
      </c>
      <c r="AL227" s="81" t="str">
        <f aca="false">IF(AH227&lt;&gt;"",AH227,IF(AC227&lt;&gt;"",AC227,IF(X227&lt;&gt;"",X227,"")))</f>
        <v/>
      </c>
      <c r="AM227" s="83" t="str">
        <f aca="false">IF(E227="","",IF(R227="","À SOUDER",IF(U227="","VT EN ATTENTE",IF(U227="R","VT REJETÉ – À REPRENDRE",IF(AL227="","À RADIOGRAPHIER",IF(AL227="A","ACCEPTÉ",IF(AL227="NX","NX – RT À REFAIRE",IF(IF(AK227=1,Z227,IF(AK227=2,AE227,""))="A","RÉPARÉ – À RADIOGRAPHIER",IF(IF(AK227=1,Z227,IF(AK227=2,AE227,""))="R","VT REJETÉ – À REPRENDRE",IF(OR(AL227="CO",AL227="NT"),"COUPE – À RESOUDER","À RÉPARER"))))))))))</f>
        <v>À SOUDER</v>
      </c>
      <c r="AN227" s="81" t="str">
        <f aca="false">IF(AND(ISNUMBER(R227),OR(AM227="À RADIOGRAPHIER",AM227="RÉPARÉ – À RADIOGRAPHIER",AM227="NX – RT À REFAIRE",AM227="À RÉPARER",AM227="COUPE – À RESOUDER",AM227="VT REJETÉ – À REPRENDRE")),MAX(0,'PROGRAMME RT'!$C$4-R227),"")</f>
        <v/>
      </c>
      <c r="AO227" s="78" t="n">
        <f aca="false">IF(AND(OR(AM227="À RADIOGRAPHIER",AM227="RÉPARÉ – À RADIOGRAPHIER",AM227="NX – RT À REFAIRE"),OR('PROGRAMME RT'!$D$5="TOUTES",B227='PROGRAMME RT'!$D$5)),1,0)</f>
        <v>0</v>
      </c>
      <c r="AP227" s="78" t="str">
        <f aca="false">IF(AO227=1,SUM(AO$7:AO227),"")</f>
        <v/>
      </c>
      <c r="AQ227" s="78" t="n">
        <f aca="false">IF(AND(OR(X227="R",X227="NX",X227="NT",X227="CO"),OR('JOINTS DE RÉPARATION'!$D$5="TOUTES",B227='JOINTS DE RÉPARATION'!$D$5),OR('JOINTS DE RÉPARATION'!$L$4="TOUS",AM227&lt;&gt;"ACCEPTÉ")),1,0)</f>
        <v>0</v>
      </c>
      <c r="AR227" s="78" t="str">
        <f aca="false">IF(AQ227=1,SUM(AQ$7:AQ227),"")</f>
        <v/>
      </c>
    </row>
    <row r="228" customFormat="false" ht="15" hidden="false" customHeight="false" outlineLevel="0" collapsed="false">
      <c r="A228" s="78" t="n">
        <f aca="false">IF(E228="","",ROW()-6)</f>
        <v>222</v>
      </c>
      <c r="B228" s="79" t="s">
        <v>575</v>
      </c>
      <c r="C228" s="80"/>
      <c r="D228" s="80"/>
      <c r="E228" s="80" t="s">
        <v>153</v>
      </c>
      <c r="F228" s="80"/>
      <c r="G228" s="80" t="s">
        <v>106</v>
      </c>
      <c r="H228" s="80"/>
      <c r="I228" s="80"/>
      <c r="J228" s="80"/>
      <c r="K228" s="80"/>
      <c r="L228" s="81" t="str">
        <f aca="false">IF(K228="","",IFERROR(INDEX(BARDAGE!$C$7:$C$1506,MATCH(K228,BARDAGE!$B$7:$B$1506,0)),"? hors registre"))</f>
        <v/>
      </c>
      <c r="M228" s="80"/>
      <c r="N228" s="81" t="str">
        <f aca="false">IF(M228="","",IFERROR(INDEX(BARDAGE!$C$7:$C$1506,MATCH(M228,BARDAGE!$B$7:$B$1506,0)),"? hors registre"))</f>
        <v/>
      </c>
      <c r="O228" s="80"/>
      <c r="P228" s="80"/>
      <c r="Q228" s="80"/>
      <c r="R228" s="82"/>
      <c r="S228" s="82"/>
      <c r="T228" s="80"/>
      <c r="U228" s="80"/>
      <c r="V228" s="82"/>
      <c r="W228" s="80"/>
      <c r="X228" s="80"/>
      <c r="Y228" s="80"/>
      <c r="Z228" s="80"/>
      <c r="AA228" s="82"/>
      <c r="AB228" s="80"/>
      <c r="AC228" s="80"/>
      <c r="AD228" s="80"/>
      <c r="AE228" s="80"/>
      <c r="AF228" s="82"/>
      <c r="AG228" s="80"/>
      <c r="AH228" s="80"/>
      <c r="AI228" s="82"/>
      <c r="AJ228" s="79"/>
      <c r="AK228" s="78" t="n">
        <f aca="false">IF(E228="","",(X228&lt;&gt;"")+(AC228&lt;&gt;"")+(AH228&lt;&gt;""))</f>
        <v>0</v>
      </c>
      <c r="AL228" s="81" t="str">
        <f aca="false">IF(AH228&lt;&gt;"",AH228,IF(AC228&lt;&gt;"",AC228,IF(X228&lt;&gt;"",X228,"")))</f>
        <v/>
      </c>
      <c r="AM228" s="83" t="str">
        <f aca="false">IF(E228="","",IF(R228="","À SOUDER",IF(U228="","VT EN ATTENTE",IF(U228="R","VT REJETÉ – À REPRENDRE",IF(AL228="","À RADIOGRAPHIER",IF(AL228="A","ACCEPTÉ",IF(AL228="NX","NX – RT À REFAIRE",IF(IF(AK228=1,Z228,IF(AK228=2,AE228,""))="A","RÉPARÉ – À RADIOGRAPHIER",IF(IF(AK228=1,Z228,IF(AK228=2,AE228,""))="R","VT REJETÉ – À REPRENDRE",IF(OR(AL228="CO",AL228="NT"),"COUPE – À RESOUDER","À RÉPARER"))))))))))</f>
        <v>À SOUDER</v>
      </c>
      <c r="AN228" s="81" t="str">
        <f aca="false">IF(AND(ISNUMBER(R228),OR(AM228="À RADIOGRAPHIER",AM228="RÉPARÉ – À RADIOGRAPHIER",AM228="NX – RT À REFAIRE",AM228="À RÉPARER",AM228="COUPE – À RESOUDER",AM228="VT REJETÉ – À REPRENDRE")),MAX(0,'PROGRAMME RT'!$C$4-R228),"")</f>
        <v/>
      </c>
      <c r="AO228" s="78" t="n">
        <f aca="false">IF(AND(OR(AM228="À RADIOGRAPHIER",AM228="RÉPARÉ – À RADIOGRAPHIER",AM228="NX – RT À REFAIRE"),OR('PROGRAMME RT'!$D$5="TOUTES",B228='PROGRAMME RT'!$D$5)),1,0)</f>
        <v>0</v>
      </c>
      <c r="AP228" s="78" t="str">
        <f aca="false">IF(AO228=1,SUM(AO$7:AO228),"")</f>
        <v/>
      </c>
      <c r="AQ228" s="78" t="n">
        <f aca="false">IF(AND(OR(X228="R",X228="NX",X228="NT",X228="CO"),OR('JOINTS DE RÉPARATION'!$D$5="TOUTES",B228='JOINTS DE RÉPARATION'!$D$5),OR('JOINTS DE RÉPARATION'!$L$4="TOUS",AM228&lt;&gt;"ACCEPTÉ")),1,0)</f>
        <v>0</v>
      </c>
      <c r="AR228" s="78" t="str">
        <f aca="false">IF(AQ228=1,SUM(AQ$7:AQ228),"")</f>
        <v/>
      </c>
    </row>
    <row r="229" customFormat="false" ht="15" hidden="false" customHeight="false" outlineLevel="0" collapsed="false">
      <c r="A229" s="78" t="n">
        <f aca="false">IF(E229="","",ROW()-6)</f>
        <v>223</v>
      </c>
      <c r="B229" s="79" t="s">
        <v>575</v>
      </c>
      <c r="C229" s="80"/>
      <c r="D229" s="80"/>
      <c r="E229" s="80" t="s">
        <v>576</v>
      </c>
      <c r="F229" s="80"/>
      <c r="G229" s="80" t="s">
        <v>106</v>
      </c>
      <c r="H229" s="80"/>
      <c r="I229" s="80"/>
      <c r="J229" s="80"/>
      <c r="K229" s="80"/>
      <c r="L229" s="81" t="str">
        <f aca="false">IF(K229="","",IFERROR(INDEX(BARDAGE!$C$7:$C$1506,MATCH(K229,BARDAGE!$B$7:$B$1506,0)),"? hors registre"))</f>
        <v/>
      </c>
      <c r="M229" s="80"/>
      <c r="N229" s="81" t="str">
        <f aca="false">IF(M229="","",IFERROR(INDEX(BARDAGE!$C$7:$C$1506,MATCH(M229,BARDAGE!$B$7:$B$1506,0)),"? hors registre"))</f>
        <v/>
      </c>
      <c r="O229" s="80"/>
      <c r="P229" s="80"/>
      <c r="Q229" s="80"/>
      <c r="R229" s="82"/>
      <c r="S229" s="82"/>
      <c r="T229" s="80"/>
      <c r="U229" s="80"/>
      <c r="V229" s="82"/>
      <c r="W229" s="80"/>
      <c r="X229" s="80"/>
      <c r="Y229" s="80"/>
      <c r="Z229" s="80"/>
      <c r="AA229" s="82"/>
      <c r="AB229" s="80"/>
      <c r="AC229" s="80"/>
      <c r="AD229" s="80"/>
      <c r="AE229" s="80"/>
      <c r="AF229" s="82"/>
      <c r="AG229" s="80"/>
      <c r="AH229" s="80"/>
      <c r="AI229" s="82"/>
      <c r="AJ229" s="79"/>
      <c r="AK229" s="78" t="n">
        <f aca="false">IF(E229="","",(X229&lt;&gt;"")+(AC229&lt;&gt;"")+(AH229&lt;&gt;""))</f>
        <v>0</v>
      </c>
      <c r="AL229" s="81" t="str">
        <f aca="false">IF(AH229&lt;&gt;"",AH229,IF(AC229&lt;&gt;"",AC229,IF(X229&lt;&gt;"",X229,"")))</f>
        <v/>
      </c>
      <c r="AM229" s="83" t="str">
        <f aca="false">IF(E229="","",IF(R229="","À SOUDER",IF(U229="","VT EN ATTENTE",IF(U229="R","VT REJETÉ – À REPRENDRE",IF(AL229="","À RADIOGRAPHIER",IF(AL229="A","ACCEPTÉ",IF(AL229="NX","NX – RT À REFAIRE",IF(IF(AK229=1,Z229,IF(AK229=2,AE229,""))="A","RÉPARÉ – À RADIOGRAPHIER",IF(IF(AK229=1,Z229,IF(AK229=2,AE229,""))="R","VT REJETÉ – À REPRENDRE",IF(OR(AL229="CO",AL229="NT"),"COUPE – À RESOUDER","À RÉPARER"))))))))))</f>
        <v>À SOUDER</v>
      </c>
      <c r="AN229" s="81" t="str">
        <f aca="false">IF(AND(ISNUMBER(R229),OR(AM229="À RADIOGRAPHIER",AM229="RÉPARÉ – À RADIOGRAPHIER",AM229="NX – RT À REFAIRE",AM229="À RÉPARER",AM229="COUPE – À RESOUDER",AM229="VT REJETÉ – À REPRENDRE")),MAX(0,'PROGRAMME RT'!$C$4-R229),"")</f>
        <v/>
      </c>
      <c r="AO229" s="78" t="n">
        <f aca="false">IF(AND(OR(AM229="À RADIOGRAPHIER",AM229="RÉPARÉ – À RADIOGRAPHIER",AM229="NX – RT À REFAIRE"),OR('PROGRAMME RT'!$D$5="TOUTES",B229='PROGRAMME RT'!$D$5)),1,0)</f>
        <v>0</v>
      </c>
      <c r="AP229" s="78" t="str">
        <f aca="false">IF(AO229=1,SUM(AO$7:AO229),"")</f>
        <v/>
      </c>
      <c r="AQ229" s="78" t="n">
        <f aca="false">IF(AND(OR(X229="R",X229="NX",X229="NT",X229="CO"),OR('JOINTS DE RÉPARATION'!$D$5="TOUTES",B229='JOINTS DE RÉPARATION'!$D$5),OR('JOINTS DE RÉPARATION'!$L$4="TOUS",AM229&lt;&gt;"ACCEPTÉ")),1,0)</f>
        <v>0</v>
      </c>
      <c r="AR229" s="78" t="str">
        <f aca="false">IF(AQ229=1,SUM(AQ$7:AQ229),"")</f>
        <v/>
      </c>
    </row>
    <row r="230" customFormat="false" ht="15" hidden="false" customHeight="false" outlineLevel="0" collapsed="false">
      <c r="A230" s="78" t="n">
        <f aca="false">IF(E230="","",ROW()-6)</f>
        <v>224</v>
      </c>
      <c r="B230" s="79" t="s">
        <v>575</v>
      </c>
      <c r="C230" s="80"/>
      <c r="D230" s="80"/>
      <c r="E230" s="80" t="s">
        <v>157</v>
      </c>
      <c r="F230" s="80"/>
      <c r="G230" s="80" t="s">
        <v>106</v>
      </c>
      <c r="H230" s="80"/>
      <c r="I230" s="80"/>
      <c r="J230" s="80"/>
      <c r="K230" s="80"/>
      <c r="L230" s="81" t="str">
        <f aca="false">IF(K230="","",IFERROR(INDEX(BARDAGE!$C$7:$C$1506,MATCH(K230,BARDAGE!$B$7:$B$1506,0)),"? hors registre"))</f>
        <v/>
      </c>
      <c r="M230" s="80"/>
      <c r="N230" s="81" t="str">
        <f aca="false">IF(M230="","",IFERROR(INDEX(BARDAGE!$C$7:$C$1506,MATCH(M230,BARDAGE!$B$7:$B$1506,0)),"? hors registre"))</f>
        <v/>
      </c>
      <c r="O230" s="80"/>
      <c r="P230" s="80"/>
      <c r="Q230" s="80"/>
      <c r="R230" s="82"/>
      <c r="S230" s="82"/>
      <c r="T230" s="80"/>
      <c r="U230" s="80"/>
      <c r="V230" s="82"/>
      <c r="W230" s="80"/>
      <c r="X230" s="80"/>
      <c r="Y230" s="80"/>
      <c r="Z230" s="80"/>
      <c r="AA230" s="82"/>
      <c r="AB230" s="80"/>
      <c r="AC230" s="80"/>
      <c r="AD230" s="80"/>
      <c r="AE230" s="80"/>
      <c r="AF230" s="82"/>
      <c r="AG230" s="80"/>
      <c r="AH230" s="80"/>
      <c r="AI230" s="82"/>
      <c r="AJ230" s="79"/>
      <c r="AK230" s="78" t="n">
        <f aca="false">IF(E230="","",(X230&lt;&gt;"")+(AC230&lt;&gt;"")+(AH230&lt;&gt;""))</f>
        <v>0</v>
      </c>
      <c r="AL230" s="81" t="str">
        <f aca="false">IF(AH230&lt;&gt;"",AH230,IF(AC230&lt;&gt;"",AC230,IF(X230&lt;&gt;"",X230,"")))</f>
        <v/>
      </c>
      <c r="AM230" s="83" t="str">
        <f aca="false">IF(E230="","",IF(R230="","À SOUDER",IF(U230="","VT EN ATTENTE",IF(U230="R","VT REJETÉ – À REPRENDRE",IF(AL230="","À RADIOGRAPHIER",IF(AL230="A","ACCEPTÉ",IF(AL230="NX","NX – RT À REFAIRE",IF(IF(AK230=1,Z230,IF(AK230=2,AE230,""))="A","RÉPARÉ – À RADIOGRAPHIER",IF(IF(AK230=1,Z230,IF(AK230=2,AE230,""))="R","VT REJETÉ – À REPRENDRE",IF(OR(AL230="CO",AL230="NT"),"COUPE – À RESOUDER","À RÉPARER"))))))))))</f>
        <v>À SOUDER</v>
      </c>
      <c r="AN230" s="81" t="str">
        <f aca="false">IF(AND(ISNUMBER(R230),OR(AM230="À RADIOGRAPHIER",AM230="RÉPARÉ – À RADIOGRAPHIER",AM230="NX – RT À REFAIRE",AM230="À RÉPARER",AM230="COUPE – À RESOUDER",AM230="VT REJETÉ – À REPRENDRE")),MAX(0,'PROGRAMME RT'!$C$4-R230),"")</f>
        <v/>
      </c>
      <c r="AO230" s="78" t="n">
        <f aca="false">IF(AND(OR(AM230="À RADIOGRAPHIER",AM230="RÉPARÉ – À RADIOGRAPHIER",AM230="NX – RT À REFAIRE"),OR('PROGRAMME RT'!$D$5="TOUTES",B230='PROGRAMME RT'!$D$5)),1,0)</f>
        <v>0</v>
      </c>
      <c r="AP230" s="78" t="str">
        <f aca="false">IF(AO230=1,SUM(AO$7:AO230),"")</f>
        <v/>
      </c>
      <c r="AQ230" s="78" t="n">
        <f aca="false">IF(AND(OR(X230="R",X230="NX",X230="NT",X230="CO"),OR('JOINTS DE RÉPARATION'!$D$5="TOUTES",B230='JOINTS DE RÉPARATION'!$D$5),OR('JOINTS DE RÉPARATION'!$L$4="TOUS",AM230&lt;&gt;"ACCEPTÉ")),1,0)</f>
        <v>0</v>
      </c>
      <c r="AR230" s="78" t="str">
        <f aca="false">IF(AQ230=1,SUM(AQ$7:AQ230),"")</f>
        <v/>
      </c>
    </row>
    <row r="231" customFormat="false" ht="15" hidden="false" customHeight="false" outlineLevel="0" collapsed="false">
      <c r="A231" s="78" t="n">
        <f aca="false">IF(E231="","",ROW()-6)</f>
        <v>225</v>
      </c>
      <c r="B231" s="79" t="s">
        <v>575</v>
      </c>
      <c r="C231" s="80"/>
      <c r="D231" s="80"/>
      <c r="E231" s="80" t="s">
        <v>163</v>
      </c>
      <c r="F231" s="80"/>
      <c r="G231" s="80" t="s">
        <v>106</v>
      </c>
      <c r="H231" s="80"/>
      <c r="I231" s="80"/>
      <c r="J231" s="80"/>
      <c r="K231" s="80"/>
      <c r="L231" s="81" t="str">
        <f aca="false">IF(K231="","",IFERROR(INDEX(BARDAGE!$C$7:$C$1506,MATCH(K231,BARDAGE!$B$7:$B$1506,0)),"? hors registre"))</f>
        <v/>
      </c>
      <c r="M231" s="80"/>
      <c r="N231" s="81" t="str">
        <f aca="false">IF(M231="","",IFERROR(INDEX(BARDAGE!$C$7:$C$1506,MATCH(M231,BARDAGE!$B$7:$B$1506,0)),"? hors registre"))</f>
        <v/>
      </c>
      <c r="O231" s="80"/>
      <c r="P231" s="80"/>
      <c r="Q231" s="80"/>
      <c r="R231" s="82"/>
      <c r="S231" s="82"/>
      <c r="T231" s="80"/>
      <c r="U231" s="80"/>
      <c r="V231" s="82"/>
      <c r="W231" s="80"/>
      <c r="X231" s="80"/>
      <c r="Y231" s="80"/>
      <c r="Z231" s="80"/>
      <c r="AA231" s="82"/>
      <c r="AB231" s="80"/>
      <c r="AC231" s="80"/>
      <c r="AD231" s="80"/>
      <c r="AE231" s="80"/>
      <c r="AF231" s="82"/>
      <c r="AG231" s="80"/>
      <c r="AH231" s="80"/>
      <c r="AI231" s="82"/>
      <c r="AJ231" s="79"/>
      <c r="AK231" s="78" t="n">
        <f aca="false">IF(E231="","",(X231&lt;&gt;"")+(AC231&lt;&gt;"")+(AH231&lt;&gt;""))</f>
        <v>0</v>
      </c>
      <c r="AL231" s="81" t="str">
        <f aca="false">IF(AH231&lt;&gt;"",AH231,IF(AC231&lt;&gt;"",AC231,IF(X231&lt;&gt;"",X231,"")))</f>
        <v/>
      </c>
      <c r="AM231" s="83" t="str">
        <f aca="false">IF(E231="","",IF(R231="","À SOUDER",IF(U231="","VT EN ATTENTE",IF(U231="R","VT REJETÉ – À REPRENDRE",IF(AL231="","À RADIOGRAPHIER",IF(AL231="A","ACCEPTÉ",IF(AL231="NX","NX – RT À REFAIRE",IF(IF(AK231=1,Z231,IF(AK231=2,AE231,""))="A","RÉPARÉ – À RADIOGRAPHIER",IF(IF(AK231=1,Z231,IF(AK231=2,AE231,""))="R","VT REJETÉ – À REPRENDRE",IF(OR(AL231="CO",AL231="NT"),"COUPE – À RESOUDER","À RÉPARER"))))))))))</f>
        <v>À SOUDER</v>
      </c>
      <c r="AN231" s="81" t="str">
        <f aca="false">IF(AND(ISNUMBER(R231),OR(AM231="À RADIOGRAPHIER",AM231="RÉPARÉ – À RADIOGRAPHIER",AM231="NX – RT À REFAIRE",AM231="À RÉPARER",AM231="COUPE – À RESOUDER",AM231="VT REJETÉ – À REPRENDRE")),MAX(0,'PROGRAMME RT'!$C$4-R231),"")</f>
        <v/>
      </c>
      <c r="AO231" s="78" t="n">
        <f aca="false">IF(AND(OR(AM231="À RADIOGRAPHIER",AM231="RÉPARÉ – À RADIOGRAPHIER",AM231="NX – RT À REFAIRE"),OR('PROGRAMME RT'!$D$5="TOUTES",B231='PROGRAMME RT'!$D$5)),1,0)</f>
        <v>0</v>
      </c>
      <c r="AP231" s="78" t="str">
        <f aca="false">IF(AO231=1,SUM(AO$7:AO231),"")</f>
        <v/>
      </c>
      <c r="AQ231" s="78" t="n">
        <f aca="false">IF(AND(OR(X231="R",X231="NX",X231="NT",X231="CO"),OR('JOINTS DE RÉPARATION'!$D$5="TOUTES",B231='JOINTS DE RÉPARATION'!$D$5),OR('JOINTS DE RÉPARATION'!$L$4="TOUS",AM231&lt;&gt;"ACCEPTÉ")),1,0)</f>
        <v>0</v>
      </c>
      <c r="AR231" s="78" t="str">
        <f aca="false">IF(AQ231=1,SUM(AQ$7:AQ231),"")</f>
        <v/>
      </c>
    </row>
    <row r="232" customFormat="false" ht="15" hidden="false" customHeight="false" outlineLevel="0" collapsed="false">
      <c r="A232" s="78" t="n">
        <f aca="false">IF(E232="","",ROW()-6)</f>
        <v>226</v>
      </c>
      <c r="B232" s="79" t="s">
        <v>575</v>
      </c>
      <c r="C232" s="80"/>
      <c r="D232" s="80"/>
      <c r="E232" s="80" t="s">
        <v>577</v>
      </c>
      <c r="F232" s="80"/>
      <c r="G232" s="80" t="s">
        <v>106</v>
      </c>
      <c r="H232" s="80"/>
      <c r="I232" s="80"/>
      <c r="J232" s="80"/>
      <c r="K232" s="80"/>
      <c r="L232" s="81" t="str">
        <f aca="false">IF(K232="","",IFERROR(INDEX(BARDAGE!$C$7:$C$1506,MATCH(K232,BARDAGE!$B$7:$B$1506,0)),"? hors registre"))</f>
        <v/>
      </c>
      <c r="M232" s="80"/>
      <c r="N232" s="81" t="str">
        <f aca="false">IF(M232="","",IFERROR(INDEX(BARDAGE!$C$7:$C$1506,MATCH(M232,BARDAGE!$B$7:$B$1506,0)),"? hors registre"))</f>
        <v/>
      </c>
      <c r="O232" s="80"/>
      <c r="P232" s="80"/>
      <c r="Q232" s="80"/>
      <c r="R232" s="82"/>
      <c r="S232" s="82"/>
      <c r="T232" s="80"/>
      <c r="U232" s="80"/>
      <c r="V232" s="82"/>
      <c r="W232" s="80"/>
      <c r="X232" s="80"/>
      <c r="Y232" s="80"/>
      <c r="Z232" s="80"/>
      <c r="AA232" s="82"/>
      <c r="AB232" s="80"/>
      <c r="AC232" s="80"/>
      <c r="AD232" s="80"/>
      <c r="AE232" s="80"/>
      <c r="AF232" s="82"/>
      <c r="AG232" s="80"/>
      <c r="AH232" s="80"/>
      <c r="AI232" s="82"/>
      <c r="AJ232" s="79"/>
      <c r="AK232" s="78" t="n">
        <f aca="false">IF(E232="","",(X232&lt;&gt;"")+(AC232&lt;&gt;"")+(AH232&lt;&gt;""))</f>
        <v>0</v>
      </c>
      <c r="AL232" s="81" t="str">
        <f aca="false">IF(AH232&lt;&gt;"",AH232,IF(AC232&lt;&gt;"",AC232,IF(X232&lt;&gt;"",X232,"")))</f>
        <v/>
      </c>
      <c r="AM232" s="83" t="str">
        <f aca="false">IF(E232="","",IF(R232="","À SOUDER",IF(U232="","VT EN ATTENTE",IF(U232="R","VT REJETÉ – À REPRENDRE",IF(AL232="","À RADIOGRAPHIER",IF(AL232="A","ACCEPTÉ",IF(AL232="NX","NX – RT À REFAIRE",IF(IF(AK232=1,Z232,IF(AK232=2,AE232,""))="A","RÉPARÉ – À RADIOGRAPHIER",IF(IF(AK232=1,Z232,IF(AK232=2,AE232,""))="R","VT REJETÉ – À REPRENDRE",IF(OR(AL232="CO",AL232="NT"),"COUPE – À RESOUDER","À RÉPARER"))))))))))</f>
        <v>À SOUDER</v>
      </c>
      <c r="AN232" s="81" t="str">
        <f aca="false">IF(AND(ISNUMBER(R232),OR(AM232="À RADIOGRAPHIER",AM232="RÉPARÉ – À RADIOGRAPHIER",AM232="NX – RT À REFAIRE",AM232="À RÉPARER",AM232="COUPE – À RESOUDER",AM232="VT REJETÉ – À REPRENDRE")),MAX(0,'PROGRAMME RT'!$C$4-R232),"")</f>
        <v/>
      </c>
      <c r="AO232" s="78" t="n">
        <f aca="false">IF(AND(OR(AM232="À RADIOGRAPHIER",AM232="RÉPARÉ – À RADIOGRAPHIER",AM232="NX – RT À REFAIRE"),OR('PROGRAMME RT'!$D$5="TOUTES",B232='PROGRAMME RT'!$D$5)),1,0)</f>
        <v>0</v>
      </c>
      <c r="AP232" s="78" t="str">
        <f aca="false">IF(AO232=1,SUM(AO$7:AO232),"")</f>
        <v/>
      </c>
      <c r="AQ232" s="78" t="n">
        <f aca="false">IF(AND(OR(X232="R",X232="NX",X232="NT",X232="CO"),OR('JOINTS DE RÉPARATION'!$D$5="TOUTES",B232='JOINTS DE RÉPARATION'!$D$5),OR('JOINTS DE RÉPARATION'!$L$4="TOUS",AM232&lt;&gt;"ACCEPTÉ")),1,0)</f>
        <v>0</v>
      </c>
      <c r="AR232" s="78" t="str">
        <f aca="false">IF(AQ232=1,SUM(AQ$7:AQ232),"")</f>
        <v/>
      </c>
    </row>
    <row r="233" customFormat="false" ht="15" hidden="false" customHeight="false" outlineLevel="0" collapsed="false">
      <c r="A233" s="78" t="n">
        <f aca="false">IF(E233="","",ROW()-6)</f>
        <v>227</v>
      </c>
      <c r="B233" s="79" t="s">
        <v>575</v>
      </c>
      <c r="C233" s="80"/>
      <c r="D233" s="80"/>
      <c r="E233" s="80" t="s">
        <v>169</v>
      </c>
      <c r="F233" s="80"/>
      <c r="G233" s="80" t="s">
        <v>106</v>
      </c>
      <c r="H233" s="80"/>
      <c r="I233" s="80"/>
      <c r="J233" s="80"/>
      <c r="K233" s="80"/>
      <c r="L233" s="81" t="str">
        <f aca="false">IF(K233="","",IFERROR(INDEX(BARDAGE!$C$7:$C$1506,MATCH(K233,BARDAGE!$B$7:$B$1506,0)),"? hors registre"))</f>
        <v/>
      </c>
      <c r="M233" s="80"/>
      <c r="N233" s="81" t="str">
        <f aca="false">IF(M233="","",IFERROR(INDEX(BARDAGE!$C$7:$C$1506,MATCH(M233,BARDAGE!$B$7:$B$1506,0)),"? hors registre"))</f>
        <v/>
      </c>
      <c r="O233" s="80"/>
      <c r="P233" s="80"/>
      <c r="Q233" s="80"/>
      <c r="R233" s="82"/>
      <c r="S233" s="82"/>
      <c r="T233" s="80"/>
      <c r="U233" s="80"/>
      <c r="V233" s="82"/>
      <c r="W233" s="80"/>
      <c r="X233" s="80"/>
      <c r="Y233" s="80"/>
      <c r="Z233" s="80"/>
      <c r="AA233" s="82"/>
      <c r="AB233" s="80"/>
      <c r="AC233" s="80"/>
      <c r="AD233" s="80"/>
      <c r="AE233" s="80"/>
      <c r="AF233" s="82"/>
      <c r="AG233" s="80"/>
      <c r="AH233" s="80"/>
      <c r="AI233" s="82"/>
      <c r="AJ233" s="79"/>
      <c r="AK233" s="78" t="n">
        <f aca="false">IF(E233="","",(X233&lt;&gt;"")+(AC233&lt;&gt;"")+(AH233&lt;&gt;""))</f>
        <v>0</v>
      </c>
      <c r="AL233" s="81" t="str">
        <f aca="false">IF(AH233&lt;&gt;"",AH233,IF(AC233&lt;&gt;"",AC233,IF(X233&lt;&gt;"",X233,"")))</f>
        <v/>
      </c>
      <c r="AM233" s="83" t="str">
        <f aca="false">IF(E233="","",IF(R233="","À SOUDER",IF(U233="","VT EN ATTENTE",IF(U233="R","VT REJETÉ – À REPRENDRE",IF(AL233="","À RADIOGRAPHIER",IF(AL233="A","ACCEPTÉ",IF(AL233="NX","NX – RT À REFAIRE",IF(IF(AK233=1,Z233,IF(AK233=2,AE233,""))="A","RÉPARÉ – À RADIOGRAPHIER",IF(IF(AK233=1,Z233,IF(AK233=2,AE233,""))="R","VT REJETÉ – À REPRENDRE",IF(OR(AL233="CO",AL233="NT"),"COUPE – À RESOUDER","À RÉPARER"))))))))))</f>
        <v>À SOUDER</v>
      </c>
      <c r="AN233" s="81" t="str">
        <f aca="false">IF(AND(ISNUMBER(R233),OR(AM233="À RADIOGRAPHIER",AM233="RÉPARÉ – À RADIOGRAPHIER",AM233="NX – RT À REFAIRE",AM233="À RÉPARER",AM233="COUPE – À RESOUDER",AM233="VT REJETÉ – À REPRENDRE")),MAX(0,'PROGRAMME RT'!$C$4-R233),"")</f>
        <v/>
      </c>
      <c r="AO233" s="78" t="n">
        <f aca="false">IF(AND(OR(AM233="À RADIOGRAPHIER",AM233="RÉPARÉ – À RADIOGRAPHIER",AM233="NX – RT À REFAIRE"),OR('PROGRAMME RT'!$D$5="TOUTES",B233='PROGRAMME RT'!$D$5)),1,0)</f>
        <v>0</v>
      </c>
      <c r="AP233" s="78" t="str">
        <f aca="false">IF(AO233=1,SUM(AO$7:AO233),"")</f>
        <v/>
      </c>
      <c r="AQ233" s="78" t="n">
        <f aca="false">IF(AND(OR(X233="R",X233="NX",X233="NT",X233="CO"),OR('JOINTS DE RÉPARATION'!$D$5="TOUTES",B233='JOINTS DE RÉPARATION'!$D$5),OR('JOINTS DE RÉPARATION'!$L$4="TOUS",AM233&lt;&gt;"ACCEPTÉ")),1,0)</f>
        <v>0</v>
      </c>
      <c r="AR233" s="78" t="str">
        <f aca="false">IF(AQ233=1,SUM(AQ$7:AQ233),"")</f>
        <v/>
      </c>
    </row>
    <row r="234" customFormat="false" ht="15" hidden="false" customHeight="false" outlineLevel="0" collapsed="false">
      <c r="A234" s="78" t="n">
        <f aca="false">IF(E234="","",ROW()-6)</f>
        <v>228</v>
      </c>
      <c r="B234" s="79" t="s">
        <v>575</v>
      </c>
      <c r="C234" s="80"/>
      <c r="D234" s="80"/>
      <c r="E234" s="80" t="s">
        <v>172</v>
      </c>
      <c r="F234" s="80"/>
      <c r="G234" s="80" t="s">
        <v>106</v>
      </c>
      <c r="H234" s="80"/>
      <c r="I234" s="80"/>
      <c r="J234" s="80"/>
      <c r="K234" s="80"/>
      <c r="L234" s="81" t="str">
        <f aca="false">IF(K234="","",IFERROR(INDEX(BARDAGE!$C$7:$C$1506,MATCH(K234,BARDAGE!$B$7:$B$1506,0)),"? hors registre"))</f>
        <v/>
      </c>
      <c r="M234" s="80"/>
      <c r="N234" s="81" t="str">
        <f aca="false">IF(M234="","",IFERROR(INDEX(BARDAGE!$C$7:$C$1506,MATCH(M234,BARDAGE!$B$7:$B$1506,0)),"? hors registre"))</f>
        <v/>
      </c>
      <c r="O234" s="80"/>
      <c r="P234" s="80"/>
      <c r="Q234" s="80"/>
      <c r="R234" s="82"/>
      <c r="S234" s="82"/>
      <c r="T234" s="80"/>
      <c r="U234" s="80"/>
      <c r="V234" s="82"/>
      <c r="W234" s="80"/>
      <c r="X234" s="80"/>
      <c r="Y234" s="80"/>
      <c r="Z234" s="80"/>
      <c r="AA234" s="82"/>
      <c r="AB234" s="80"/>
      <c r="AC234" s="80"/>
      <c r="AD234" s="80"/>
      <c r="AE234" s="80"/>
      <c r="AF234" s="82"/>
      <c r="AG234" s="80"/>
      <c r="AH234" s="80"/>
      <c r="AI234" s="82"/>
      <c r="AJ234" s="79"/>
      <c r="AK234" s="78" t="n">
        <f aca="false">IF(E234="","",(X234&lt;&gt;"")+(AC234&lt;&gt;"")+(AH234&lt;&gt;""))</f>
        <v>0</v>
      </c>
      <c r="AL234" s="81" t="str">
        <f aca="false">IF(AH234&lt;&gt;"",AH234,IF(AC234&lt;&gt;"",AC234,IF(X234&lt;&gt;"",X234,"")))</f>
        <v/>
      </c>
      <c r="AM234" s="83" t="str">
        <f aca="false">IF(E234="","",IF(R234="","À SOUDER",IF(U234="","VT EN ATTENTE",IF(U234="R","VT REJETÉ – À REPRENDRE",IF(AL234="","À RADIOGRAPHIER",IF(AL234="A","ACCEPTÉ",IF(AL234="NX","NX – RT À REFAIRE",IF(IF(AK234=1,Z234,IF(AK234=2,AE234,""))="A","RÉPARÉ – À RADIOGRAPHIER",IF(IF(AK234=1,Z234,IF(AK234=2,AE234,""))="R","VT REJETÉ – À REPRENDRE",IF(OR(AL234="CO",AL234="NT"),"COUPE – À RESOUDER","À RÉPARER"))))))))))</f>
        <v>À SOUDER</v>
      </c>
      <c r="AN234" s="81" t="str">
        <f aca="false">IF(AND(ISNUMBER(R234),OR(AM234="À RADIOGRAPHIER",AM234="RÉPARÉ – À RADIOGRAPHIER",AM234="NX – RT À REFAIRE",AM234="À RÉPARER",AM234="COUPE – À RESOUDER",AM234="VT REJETÉ – À REPRENDRE")),MAX(0,'PROGRAMME RT'!$C$4-R234),"")</f>
        <v/>
      </c>
      <c r="AO234" s="78" t="n">
        <f aca="false">IF(AND(OR(AM234="À RADIOGRAPHIER",AM234="RÉPARÉ – À RADIOGRAPHIER",AM234="NX – RT À REFAIRE"),OR('PROGRAMME RT'!$D$5="TOUTES",B234='PROGRAMME RT'!$D$5)),1,0)</f>
        <v>0</v>
      </c>
      <c r="AP234" s="78" t="str">
        <f aca="false">IF(AO234=1,SUM(AO$7:AO234),"")</f>
        <v/>
      </c>
      <c r="AQ234" s="78" t="n">
        <f aca="false">IF(AND(OR(X234="R",X234="NX",X234="NT",X234="CO"),OR('JOINTS DE RÉPARATION'!$D$5="TOUTES",B234='JOINTS DE RÉPARATION'!$D$5),OR('JOINTS DE RÉPARATION'!$L$4="TOUS",AM234&lt;&gt;"ACCEPTÉ")),1,0)</f>
        <v>0</v>
      </c>
      <c r="AR234" s="78" t="str">
        <f aca="false">IF(AQ234=1,SUM(AQ$7:AQ234),"")</f>
        <v/>
      </c>
    </row>
    <row r="235" customFormat="false" ht="15" hidden="false" customHeight="false" outlineLevel="0" collapsed="false">
      <c r="A235" s="78" t="n">
        <f aca="false">IF(E235="","",ROW()-6)</f>
        <v>229</v>
      </c>
      <c r="B235" s="79" t="s">
        <v>575</v>
      </c>
      <c r="C235" s="80"/>
      <c r="D235" s="80"/>
      <c r="E235" s="80" t="s">
        <v>174</v>
      </c>
      <c r="F235" s="80"/>
      <c r="G235" s="80" t="s">
        <v>106</v>
      </c>
      <c r="H235" s="80"/>
      <c r="I235" s="80"/>
      <c r="J235" s="80"/>
      <c r="K235" s="80"/>
      <c r="L235" s="81" t="str">
        <f aca="false">IF(K235="","",IFERROR(INDEX(BARDAGE!$C$7:$C$1506,MATCH(K235,BARDAGE!$B$7:$B$1506,0)),"? hors registre"))</f>
        <v/>
      </c>
      <c r="M235" s="80"/>
      <c r="N235" s="81" t="str">
        <f aca="false">IF(M235="","",IFERROR(INDEX(BARDAGE!$C$7:$C$1506,MATCH(M235,BARDAGE!$B$7:$B$1506,0)),"? hors registre"))</f>
        <v/>
      </c>
      <c r="O235" s="80"/>
      <c r="P235" s="80"/>
      <c r="Q235" s="80"/>
      <c r="R235" s="82"/>
      <c r="S235" s="82"/>
      <c r="T235" s="80"/>
      <c r="U235" s="80"/>
      <c r="V235" s="82"/>
      <c r="W235" s="80"/>
      <c r="X235" s="80"/>
      <c r="Y235" s="80"/>
      <c r="Z235" s="80"/>
      <c r="AA235" s="82"/>
      <c r="AB235" s="80"/>
      <c r="AC235" s="80"/>
      <c r="AD235" s="80"/>
      <c r="AE235" s="80"/>
      <c r="AF235" s="82"/>
      <c r="AG235" s="80"/>
      <c r="AH235" s="80"/>
      <c r="AI235" s="82"/>
      <c r="AJ235" s="79"/>
      <c r="AK235" s="78" t="n">
        <f aca="false">IF(E235="","",(X235&lt;&gt;"")+(AC235&lt;&gt;"")+(AH235&lt;&gt;""))</f>
        <v>0</v>
      </c>
      <c r="AL235" s="81" t="str">
        <f aca="false">IF(AH235&lt;&gt;"",AH235,IF(AC235&lt;&gt;"",AC235,IF(X235&lt;&gt;"",X235,"")))</f>
        <v/>
      </c>
      <c r="AM235" s="83" t="str">
        <f aca="false">IF(E235="","",IF(R235="","À SOUDER",IF(U235="","VT EN ATTENTE",IF(U235="R","VT REJETÉ – À REPRENDRE",IF(AL235="","À RADIOGRAPHIER",IF(AL235="A","ACCEPTÉ",IF(AL235="NX","NX – RT À REFAIRE",IF(IF(AK235=1,Z235,IF(AK235=2,AE235,""))="A","RÉPARÉ – À RADIOGRAPHIER",IF(IF(AK235=1,Z235,IF(AK235=2,AE235,""))="R","VT REJETÉ – À REPRENDRE",IF(OR(AL235="CO",AL235="NT"),"COUPE – À RESOUDER","À RÉPARER"))))))))))</f>
        <v>À SOUDER</v>
      </c>
      <c r="AN235" s="81" t="str">
        <f aca="false">IF(AND(ISNUMBER(R235),OR(AM235="À RADIOGRAPHIER",AM235="RÉPARÉ – À RADIOGRAPHIER",AM235="NX – RT À REFAIRE",AM235="À RÉPARER",AM235="COUPE – À RESOUDER",AM235="VT REJETÉ – À REPRENDRE")),MAX(0,'PROGRAMME RT'!$C$4-R235),"")</f>
        <v/>
      </c>
      <c r="AO235" s="78" t="n">
        <f aca="false">IF(AND(OR(AM235="À RADIOGRAPHIER",AM235="RÉPARÉ – À RADIOGRAPHIER",AM235="NX – RT À REFAIRE"),OR('PROGRAMME RT'!$D$5="TOUTES",B235='PROGRAMME RT'!$D$5)),1,0)</f>
        <v>0</v>
      </c>
      <c r="AP235" s="78" t="str">
        <f aca="false">IF(AO235=1,SUM(AO$7:AO235),"")</f>
        <v/>
      </c>
      <c r="AQ235" s="78" t="n">
        <f aca="false">IF(AND(OR(X235="R",X235="NX",X235="NT",X235="CO"),OR('JOINTS DE RÉPARATION'!$D$5="TOUTES",B235='JOINTS DE RÉPARATION'!$D$5),OR('JOINTS DE RÉPARATION'!$L$4="TOUS",AM235&lt;&gt;"ACCEPTÉ")),1,0)</f>
        <v>0</v>
      </c>
      <c r="AR235" s="78" t="str">
        <f aca="false">IF(AQ235=1,SUM(AQ$7:AQ235),"")</f>
        <v/>
      </c>
    </row>
    <row r="236" customFormat="false" ht="15" hidden="false" customHeight="false" outlineLevel="0" collapsed="false">
      <c r="A236" s="78" t="n">
        <f aca="false">IF(E236="","",ROW()-6)</f>
        <v>230</v>
      </c>
      <c r="B236" s="79" t="s">
        <v>575</v>
      </c>
      <c r="C236" s="80"/>
      <c r="D236" s="80"/>
      <c r="E236" s="80" t="s">
        <v>176</v>
      </c>
      <c r="F236" s="80"/>
      <c r="G236" s="80" t="s">
        <v>106</v>
      </c>
      <c r="H236" s="80"/>
      <c r="I236" s="80"/>
      <c r="J236" s="80"/>
      <c r="K236" s="80"/>
      <c r="L236" s="81" t="str">
        <f aca="false">IF(K236="","",IFERROR(INDEX(BARDAGE!$C$7:$C$1506,MATCH(K236,BARDAGE!$B$7:$B$1506,0)),"? hors registre"))</f>
        <v/>
      </c>
      <c r="M236" s="80"/>
      <c r="N236" s="81" t="str">
        <f aca="false">IF(M236="","",IFERROR(INDEX(BARDAGE!$C$7:$C$1506,MATCH(M236,BARDAGE!$B$7:$B$1506,0)),"? hors registre"))</f>
        <v/>
      </c>
      <c r="O236" s="80"/>
      <c r="P236" s="80"/>
      <c r="Q236" s="80"/>
      <c r="R236" s="82"/>
      <c r="S236" s="82"/>
      <c r="T236" s="80"/>
      <c r="U236" s="80"/>
      <c r="V236" s="82"/>
      <c r="W236" s="80"/>
      <c r="X236" s="80"/>
      <c r="Y236" s="80"/>
      <c r="Z236" s="80"/>
      <c r="AA236" s="82"/>
      <c r="AB236" s="80"/>
      <c r="AC236" s="80"/>
      <c r="AD236" s="80"/>
      <c r="AE236" s="80"/>
      <c r="AF236" s="82"/>
      <c r="AG236" s="80"/>
      <c r="AH236" s="80"/>
      <c r="AI236" s="82"/>
      <c r="AJ236" s="79"/>
      <c r="AK236" s="78" t="n">
        <f aca="false">IF(E236="","",(X236&lt;&gt;"")+(AC236&lt;&gt;"")+(AH236&lt;&gt;""))</f>
        <v>0</v>
      </c>
      <c r="AL236" s="81" t="str">
        <f aca="false">IF(AH236&lt;&gt;"",AH236,IF(AC236&lt;&gt;"",AC236,IF(X236&lt;&gt;"",X236,"")))</f>
        <v/>
      </c>
      <c r="AM236" s="83" t="str">
        <f aca="false">IF(E236="","",IF(R236="","À SOUDER",IF(U236="","VT EN ATTENTE",IF(U236="R","VT REJETÉ – À REPRENDRE",IF(AL236="","À RADIOGRAPHIER",IF(AL236="A","ACCEPTÉ",IF(AL236="NX","NX – RT À REFAIRE",IF(IF(AK236=1,Z236,IF(AK236=2,AE236,""))="A","RÉPARÉ – À RADIOGRAPHIER",IF(IF(AK236=1,Z236,IF(AK236=2,AE236,""))="R","VT REJETÉ – À REPRENDRE",IF(OR(AL236="CO",AL236="NT"),"COUPE – À RESOUDER","À RÉPARER"))))))))))</f>
        <v>À SOUDER</v>
      </c>
      <c r="AN236" s="81" t="str">
        <f aca="false">IF(AND(ISNUMBER(R236),OR(AM236="À RADIOGRAPHIER",AM236="RÉPARÉ – À RADIOGRAPHIER",AM236="NX – RT À REFAIRE",AM236="À RÉPARER",AM236="COUPE – À RESOUDER",AM236="VT REJETÉ – À REPRENDRE")),MAX(0,'PROGRAMME RT'!$C$4-R236),"")</f>
        <v/>
      </c>
      <c r="AO236" s="78" t="n">
        <f aca="false">IF(AND(OR(AM236="À RADIOGRAPHIER",AM236="RÉPARÉ – À RADIOGRAPHIER",AM236="NX – RT À REFAIRE"),OR('PROGRAMME RT'!$D$5="TOUTES",B236='PROGRAMME RT'!$D$5)),1,0)</f>
        <v>0</v>
      </c>
      <c r="AP236" s="78" t="str">
        <f aca="false">IF(AO236=1,SUM(AO$7:AO236),"")</f>
        <v/>
      </c>
      <c r="AQ236" s="78" t="n">
        <f aca="false">IF(AND(OR(X236="R",X236="NX",X236="NT",X236="CO"),OR('JOINTS DE RÉPARATION'!$D$5="TOUTES",B236='JOINTS DE RÉPARATION'!$D$5),OR('JOINTS DE RÉPARATION'!$L$4="TOUS",AM236&lt;&gt;"ACCEPTÉ")),1,0)</f>
        <v>0</v>
      </c>
      <c r="AR236" s="78" t="str">
        <f aca="false">IF(AQ236=1,SUM(AQ$7:AQ236),"")</f>
        <v/>
      </c>
    </row>
    <row r="237" customFormat="false" ht="15" hidden="false" customHeight="false" outlineLevel="0" collapsed="false">
      <c r="A237" s="78" t="n">
        <f aca="false">IF(E237="","",ROW()-6)</f>
        <v>231</v>
      </c>
      <c r="B237" s="79" t="s">
        <v>575</v>
      </c>
      <c r="C237" s="80"/>
      <c r="D237" s="80"/>
      <c r="E237" s="80" t="s">
        <v>178</v>
      </c>
      <c r="F237" s="80"/>
      <c r="G237" s="80" t="s">
        <v>106</v>
      </c>
      <c r="H237" s="80"/>
      <c r="I237" s="80"/>
      <c r="J237" s="80"/>
      <c r="K237" s="80"/>
      <c r="L237" s="81" t="str">
        <f aca="false">IF(K237="","",IFERROR(INDEX(BARDAGE!$C$7:$C$1506,MATCH(K237,BARDAGE!$B$7:$B$1506,0)),"? hors registre"))</f>
        <v/>
      </c>
      <c r="M237" s="80"/>
      <c r="N237" s="81" t="str">
        <f aca="false">IF(M237="","",IFERROR(INDEX(BARDAGE!$C$7:$C$1506,MATCH(M237,BARDAGE!$B$7:$B$1506,0)),"? hors registre"))</f>
        <v/>
      </c>
      <c r="O237" s="80"/>
      <c r="P237" s="80"/>
      <c r="Q237" s="80"/>
      <c r="R237" s="82"/>
      <c r="S237" s="82"/>
      <c r="T237" s="80"/>
      <c r="U237" s="80"/>
      <c r="V237" s="82"/>
      <c r="W237" s="80"/>
      <c r="X237" s="80"/>
      <c r="Y237" s="80"/>
      <c r="Z237" s="80"/>
      <c r="AA237" s="82"/>
      <c r="AB237" s="80"/>
      <c r="AC237" s="80"/>
      <c r="AD237" s="80"/>
      <c r="AE237" s="80"/>
      <c r="AF237" s="82"/>
      <c r="AG237" s="80"/>
      <c r="AH237" s="80"/>
      <c r="AI237" s="82"/>
      <c r="AJ237" s="79"/>
      <c r="AK237" s="78" t="n">
        <f aca="false">IF(E237="","",(X237&lt;&gt;"")+(AC237&lt;&gt;"")+(AH237&lt;&gt;""))</f>
        <v>0</v>
      </c>
      <c r="AL237" s="81" t="str">
        <f aca="false">IF(AH237&lt;&gt;"",AH237,IF(AC237&lt;&gt;"",AC237,IF(X237&lt;&gt;"",X237,"")))</f>
        <v/>
      </c>
      <c r="AM237" s="83" t="str">
        <f aca="false">IF(E237="","",IF(R237="","À SOUDER",IF(U237="","VT EN ATTENTE",IF(U237="R","VT REJETÉ – À REPRENDRE",IF(AL237="","À RADIOGRAPHIER",IF(AL237="A","ACCEPTÉ",IF(AL237="NX","NX – RT À REFAIRE",IF(IF(AK237=1,Z237,IF(AK237=2,AE237,""))="A","RÉPARÉ – À RADIOGRAPHIER",IF(IF(AK237=1,Z237,IF(AK237=2,AE237,""))="R","VT REJETÉ – À REPRENDRE",IF(OR(AL237="CO",AL237="NT"),"COUPE – À RESOUDER","À RÉPARER"))))))))))</f>
        <v>À SOUDER</v>
      </c>
      <c r="AN237" s="81" t="str">
        <f aca="false">IF(AND(ISNUMBER(R237),OR(AM237="À RADIOGRAPHIER",AM237="RÉPARÉ – À RADIOGRAPHIER",AM237="NX – RT À REFAIRE",AM237="À RÉPARER",AM237="COUPE – À RESOUDER",AM237="VT REJETÉ – À REPRENDRE")),MAX(0,'PROGRAMME RT'!$C$4-R237),"")</f>
        <v/>
      </c>
      <c r="AO237" s="78" t="n">
        <f aca="false">IF(AND(OR(AM237="À RADIOGRAPHIER",AM237="RÉPARÉ – À RADIOGRAPHIER",AM237="NX – RT À REFAIRE"),OR('PROGRAMME RT'!$D$5="TOUTES",B237='PROGRAMME RT'!$D$5)),1,0)</f>
        <v>0</v>
      </c>
      <c r="AP237" s="78" t="str">
        <f aca="false">IF(AO237=1,SUM(AO$7:AO237),"")</f>
        <v/>
      </c>
      <c r="AQ237" s="78" t="n">
        <f aca="false">IF(AND(OR(X237="R",X237="NX",X237="NT",X237="CO"),OR('JOINTS DE RÉPARATION'!$D$5="TOUTES",B237='JOINTS DE RÉPARATION'!$D$5),OR('JOINTS DE RÉPARATION'!$L$4="TOUS",AM237&lt;&gt;"ACCEPTÉ")),1,0)</f>
        <v>0</v>
      </c>
      <c r="AR237" s="78" t="str">
        <f aca="false">IF(AQ237=1,SUM(AQ$7:AQ237),"")</f>
        <v/>
      </c>
    </row>
    <row r="238" customFormat="false" ht="15" hidden="false" customHeight="false" outlineLevel="0" collapsed="false">
      <c r="A238" s="78" t="n">
        <f aca="false">IF(E238="","",ROW()-6)</f>
        <v>232</v>
      </c>
      <c r="B238" s="79" t="s">
        <v>575</v>
      </c>
      <c r="C238" s="80"/>
      <c r="D238" s="80"/>
      <c r="E238" s="80" t="s">
        <v>180</v>
      </c>
      <c r="F238" s="80"/>
      <c r="G238" s="80" t="s">
        <v>106</v>
      </c>
      <c r="H238" s="80"/>
      <c r="I238" s="80"/>
      <c r="J238" s="80"/>
      <c r="K238" s="80"/>
      <c r="L238" s="81" t="str">
        <f aca="false">IF(K238="","",IFERROR(INDEX(BARDAGE!$C$7:$C$1506,MATCH(K238,BARDAGE!$B$7:$B$1506,0)),"? hors registre"))</f>
        <v/>
      </c>
      <c r="M238" s="80"/>
      <c r="N238" s="81" t="str">
        <f aca="false">IF(M238="","",IFERROR(INDEX(BARDAGE!$C$7:$C$1506,MATCH(M238,BARDAGE!$B$7:$B$1506,0)),"? hors registre"))</f>
        <v/>
      </c>
      <c r="O238" s="80"/>
      <c r="P238" s="80"/>
      <c r="Q238" s="80"/>
      <c r="R238" s="82"/>
      <c r="S238" s="82"/>
      <c r="T238" s="80"/>
      <c r="U238" s="80"/>
      <c r="V238" s="82"/>
      <c r="W238" s="80"/>
      <c r="X238" s="80"/>
      <c r="Y238" s="80"/>
      <c r="Z238" s="80"/>
      <c r="AA238" s="82"/>
      <c r="AB238" s="80"/>
      <c r="AC238" s="80"/>
      <c r="AD238" s="80"/>
      <c r="AE238" s="80"/>
      <c r="AF238" s="82"/>
      <c r="AG238" s="80"/>
      <c r="AH238" s="80"/>
      <c r="AI238" s="82"/>
      <c r="AJ238" s="79"/>
      <c r="AK238" s="78" t="n">
        <f aca="false">IF(E238="","",(X238&lt;&gt;"")+(AC238&lt;&gt;"")+(AH238&lt;&gt;""))</f>
        <v>0</v>
      </c>
      <c r="AL238" s="81" t="str">
        <f aca="false">IF(AH238&lt;&gt;"",AH238,IF(AC238&lt;&gt;"",AC238,IF(X238&lt;&gt;"",X238,"")))</f>
        <v/>
      </c>
      <c r="AM238" s="83" t="str">
        <f aca="false">IF(E238="","",IF(R238="","À SOUDER",IF(U238="","VT EN ATTENTE",IF(U238="R","VT REJETÉ – À REPRENDRE",IF(AL238="","À RADIOGRAPHIER",IF(AL238="A","ACCEPTÉ",IF(AL238="NX","NX – RT À REFAIRE",IF(IF(AK238=1,Z238,IF(AK238=2,AE238,""))="A","RÉPARÉ – À RADIOGRAPHIER",IF(IF(AK238=1,Z238,IF(AK238=2,AE238,""))="R","VT REJETÉ – À REPRENDRE",IF(OR(AL238="CO",AL238="NT"),"COUPE – À RESOUDER","À RÉPARER"))))))))))</f>
        <v>À SOUDER</v>
      </c>
      <c r="AN238" s="81" t="str">
        <f aca="false">IF(AND(ISNUMBER(R238),OR(AM238="À RADIOGRAPHIER",AM238="RÉPARÉ – À RADIOGRAPHIER",AM238="NX – RT À REFAIRE",AM238="À RÉPARER",AM238="COUPE – À RESOUDER",AM238="VT REJETÉ – À REPRENDRE")),MAX(0,'PROGRAMME RT'!$C$4-R238),"")</f>
        <v/>
      </c>
      <c r="AO238" s="78" t="n">
        <f aca="false">IF(AND(OR(AM238="À RADIOGRAPHIER",AM238="RÉPARÉ – À RADIOGRAPHIER",AM238="NX – RT À REFAIRE"),OR('PROGRAMME RT'!$D$5="TOUTES",B238='PROGRAMME RT'!$D$5)),1,0)</f>
        <v>0</v>
      </c>
      <c r="AP238" s="78" t="str">
        <f aca="false">IF(AO238=1,SUM(AO$7:AO238),"")</f>
        <v/>
      </c>
      <c r="AQ238" s="78" t="n">
        <f aca="false">IF(AND(OR(X238="R",X238="NX",X238="NT",X238="CO"),OR('JOINTS DE RÉPARATION'!$D$5="TOUTES",B238='JOINTS DE RÉPARATION'!$D$5),OR('JOINTS DE RÉPARATION'!$L$4="TOUS",AM238&lt;&gt;"ACCEPTÉ")),1,0)</f>
        <v>0</v>
      </c>
      <c r="AR238" s="78" t="str">
        <f aca="false">IF(AQ238=1,SUM(AQ$7:AQ238),"")</f>
        <v/>
      </c>
    </row>
    <row r="239" customFormat="false" ht="15" hidden="false" customHeight="false" outlineLevel="0" collapsed="false">
      <c r="A239" s="78" t="n">
        <f aca="false">IF(E239="","",ROW()-6)</f>
        <v>233</v>
      </c>
      <c r="B239" s="79" t="s">
        <v>575</v>
      </c>
      <c r="C239" s="80"/>
      <c r="D239" s="80"/>
      <c r="E239" s="80" t="s">
        <v>182</v>
      </c>
      <c r="F239" s="80"/>
      <c r="G239" s="80" t="s">
        <v>106</v>
      </c>
      <c r="H239" s="80"/>
      <c r="I239" s="80"/>
      <c r="J239" s="80"/>
      <c r="K239" s="80"/>
      <c r="L239" s="81" t="str">
        <f aca="false">IF(K239="","",IFERROR(INDEX(BARDAGE!$C$7:$C$1506,MATCH(K239,BARDAGE!$B$7:$B$1506,0)),"? hors registre"))</f>
        <v/>
      </c>
      <c r="M239" s="80"/>
      <c r="N239" s="81" t="str">
        <f aca="false">IF(M239="","",IFERROR(INDEX(BARDAGE!$C$7:$C$1506,MATCH(M239,BARDAGE!$B$7:$B$1506,0)),"? hors registre"))</f>
        <v/>
      </c>
      <c r="O239" s="80"/>
      <c r="P239" s="80"/>
      <c r="Q239" s="80"/>
      <c r="R239" s="82"/>
      <c r="S239" s="82"/>
      <c r="T239" s="80"/>
      <c r="U239" s="80"/>
      <c r="V239" s="82"/>
      <c r="W239" s="80"/>
      <c r="X239" s="80"/>
      <c r="Y239" s="80"/>
      <c r="Z239" s="80"/>
      <c r="AA239" s="82"/>
      <c r="AB239" s="80"/>
      <c r="AC239" s="80"/>
      <c r="AD239" s="80"/>
      <c r="AE239" s="80"/>
      <c r="AF239" s="82"/>
      <c r="AG239" s="80"/>
      <c r="AH239" s="80"/>
      <c r="AI239" s="82"/>
      <c r="AJ239" s="79"/>
      <c r="AK239" s="78" t="n">
        <f aca="false">IF(E239="","",(X239&lt;&gt;"")+(AC239&lt;&gt;"")+(AH239&lt;&gt;""))</f>
        <v>0</v>
      </c>
      <c r="AL239" s="81" t="str">
        <f aca="false">IF(AH239&lt;&gt;"",AH239,IF(AC239&lt;&gt;"",AC239,IF(X239&lt;&gt;"",X239,"")))</f>
        <v/>
      </c>
      <c r="AM239" s="83" t="str">
        <f aca="false">IF(E239="","",IF(R239="","À SOUDER",IF(U239="","VT EN ATTENTE",IF(U239="R","VT REJETÉ – À REPRENDRE",IF(AL239="","À RADIOGRAPHIER",IF(AL239="A","ACCEPTÉ",IF(AL239="NX","NX – RT À REFAIRE",IF(IF(AK239=1,Z239,IF(AK239=2,AE239,""))="A","RÉPARÉ – À RADIOGRAPHIER",IF(IF(AK239=1,Z239,IF(AK239=2,AE239,""))="R","VT REJETÉ – À REPRENDRE",IF(OR(AL239="CO",AL239="NT"),"COUPE – À RESOUDER","À RÉPARER"))))))))))</f>
        <v>À SOUDER</v>
      </c>
      <c r="AN239" s="81" t="str">
        <f aca="false">IF(AND(ISNUMBER(R239),OR(AM239="À RADIOGRAPHIER",AM239="RÉPARÉ – À RADIOGRAPHIER",AM239="NX – RT À REFAIRE",AM239="À RÉPARER",AM239="COUPE – À RESOUDER",AM239="VT REJETÉ – À REPRENDRE")),MAX(0,'PROGRAMME RT'!$C$4-R239),"")</f>
        <v/>
      </c>
      <c r="AO239" s="78" t="n">
        <f aca="false">IF(AND(OR(AM239="À RADIOGRAPHIER",AM239="RÉPARÉ – À RADIOGRAPHIER",AM239="NX – RT À REFAIRE"),OR('PROGRAMME RT'!$D$5="TOUTES",B239='PROGRAMME RT'!$D$5)),1,0)</f>
        <v>0</v>
      </c>
      <c r="AP239" s="78" t="str">
        <f aca="false">IF(AO239=1,SUM(AO$7:AO239),"")</f>
        <v/>
      </c>
      <c r="AQ239" s="78" t="n">
        <f aca="false">IF(AND(OR(X239="R",X239="NX",X239="NT",X239="CO"),OR('JOINTS DE RÉPARATION'!$D$5="TOUTES",B239='JOINTS DE RÉPARATION'!$D$5),OR('JOINTS DE RÉPARATION'!$L$4="TOUS",AM239&lt;&gt;"ACCEPTÉ")),1,0)</f>
        <v>0</v>
      </c>
      <c r="AR239" s="78" t="str">
        <f aca="false">IF(AQ239=1,SUM(AQ$7:AQ239),"")</f>
        <v/>
      </c>
    </row>
    <row r="240" customFormat="false" ht="15" hidden="false" customHeight="false" outlineLevel="0" collapsed="false">
      <c r="A240" s="78" t="n">
        <f aca="false">IF(E240="","",ROW()-6)</f>
        <v>234</v>
      </c>
      <c r="B240" s="79" t="s">
        <v>575</v>
      </c>
      <c r="C240" s="80"/>
      <c r="D240" s="80"/>
      <c r="E240" s="80" t="s">
        <v>186</v>
      </c>
      <c r="F240" s="80"/>
      <c r="G240" s="80" t="s">
        <v>106</v>
      </c>
      <c r="H240" s="80"/>
      <c r="I240" s="80"/>
      <c r="J240" s="80"/>
      <c r="K240" s="80"/>
      <c r="L240" s="81" t="str">
        <f aca="false">IF(K240="","",IFERROR(INDEX(BARDAGE!$C$7:$C$1506,MATCH(K240,BARDAGE!$B$7:$B$1506,0)),"? hors registre"))</f>
        <v/>
      </c>
      <c r="M240" s="80"/>
      <c r="N240" s="81" t="str">
        <f aca="false">IF(M240="","",IFERROR(INDEX(BARDAGE!$C$7:$C$1506,MATCH(M240,BARDAGE!$B$7:$B$1506,0)),"? hors registre"))</f>
        <v/>
      </c>
      <c r="O240" s="80"/>
      <c r="P240" s="80"/>
      <c r="Q240" s="80"/>
      <c r="R240" s="82"/>
      <c r="S240" s="82"/>
      <c r="T240" s="80"/>
      <c r="U240" s="80"/>
      <c r="V240" s="82"/>
      <c r="W240" s="80"/>
      <c r="X240" s="80"/>
      <c r="Y240" s="80"/>
      <c r="Z240" s="80"/>
      <c r="AA240" s="82"/>
      <c r="AB240" s="80"/>
      <c r="AC240" s="80"/>
      <c r="AD240" s="80"/>
      <c r="AE240" s="80"/>
      <c r="AF240" s="82"/>
      <c r="AG240" s="80"/>
      <c r="AH240" s="80"/>
      <c r="AI240" s="82"/>
      <c r="AJ240" s="79"/>
      <c r="AK240" s="78" t="n">
        <f aca="false">IF(E240="","",(X240&lt;&gt;"")+(AC240&lt;&gt;"")+(AH240&lt;&gt;""))</f>
        <v>0</v>
      </c>
      <c r="AL240" s="81" t="str">
        <f aca="false">IF(AH240&lt;&gt;"",AH240,IF(AC240&lt;&gt;"",AC240,IF(X240&lt;&gt;"",X240,"")))</f>
        <v/>
      </c>
      <c r="AM240" s="83" t="str">
        <f aca="false">IF(E240="","",IF(R240="","À SOUDER",IF(U240="","VT EN ATTENTE",IF(U240="R","VT REJETÉ – À REPRENDRE",IF(AL240="","À RADIOGRAPHIER",IF(AL240="A","ACCEPTÉ",IF(AL240="NX","NX – RT À REFAIRE",IF(IF(AK240=1,Z240,IF(AK240=2,AE240,""))="A","RÉPARÉ – À RADIOGRAPHIER",IF(IF(AK240=1,Z240,IF(AK240=2,AE240,""))="R","VT REJETÉ – À REPRENDRE",IF(OR(AL240="CO",AL240="NT"),"COUPE – À RESOUDER","À RÉPARER"))))))))))</f>
        <v>À SOUDER</v>
      </c>
      <c r="AN240" s="81" t="str">
        <f aca="false">IF(AND(ISNUMBER(R240),OR(AM240="À RADIOGRAPHIER",AM240="RÉPARÉ – À RADIOGRAPHIER",AM240="NX – RT À REFAIRE",AM240="À RÉPARER",AM240="COUPE – À RESOUDER",AM240="VT REJETÉ – À REPRENDRE")),MAX(0,'PROGRAMME RT'!$C$4-R240),"")</f>
        <v/>
      </c>
      <c r="AO240" s="78" t="n">
        <f aca="false">IF(AND(OR(AM240="À RADIOGRAPHIER",AM240="RÉPARÉ – À RADIOGRAPHIER",AM240="NX – RT À REFAIRE"),OR('PROGRAMME RT'!$D$5="TOUTES",B240='PROGRAMME RT'!$D$5)),1,0)</f>
        <v>0</v>
      </c>
      <c r="AP240" s="78" t="str">
        <f aca="false">IF(AO240=1,SUM(AO$7:AO240),"")</f>
        <v/>
      </c>
      <c r="AQ240" s="78" t="n">
        <f aca="false">IF(AND(OR(X240="R",X240="NX",X240="NT",X240="CO"),OR('JOINTS DE RÉPARATION'!$D$5="TOUTES",B240='JOINTS DE RÉPARATION'!$D$5),OR('JOINTS DE RÉPARATION'!$L$4="TOUS",AM240&lt;&gt;"ACCEPTÉ")),1,0)</f>
        <v>0</v>
      </c>
      <c r="AR240" s="78" t="str">
        <f aca="false">IF(AQ240=1,SUM(AQ$7:AQ240),"")</f>
        <v/>
      </c>
    </row>
    <row r="241" customFormat="false" ht="15" hidden="false" customHeight="false" outlineLevel="0" collapsed="false">
      <c r="A241" s="78" t="n">
        <f aca="false">IF(E241="","",ROW()-6)</f>
        <v>235</v>
      </c>
      <c r="B241" s="79" t="s">
        <v>575</v>
      </c>
      <c r="C241" s="80"/>
      <c r="D241" s="80"/>
      <c r="E241" s="80" t="s">
        <v>188</v>
      </c>
      <c r="F241" s="80"/>
      <c r="G241" s="80" t="s">
        <v>106</v>
      </c>
      <c r="H241" s="80"/>
      <c r="I241" s="80"/>
      <c r="J241" s="80"/>
      <c r="K241" s="80"/>
      <c r="L241" s="81" t="str">
        <f aca="false">IF(K241="","",IFERROR(INDEX(BARDAGE!$C$7:$C$1506,MATCH(K241,BARDAGE!$B$7:$B$1506,0)),"? hors registre"))</f>
        <v/>
      </c>
      <c r="M241" s="80"/>
      <c r="N241" s="81" t="str">
        <f aca="false">IF(M241="","",IFERROR(INDEX(BARDAGE!$C$7:$C$1506,MATCH(M241,BARDAGE!$B$7:$B$1506,0)),"? hors registre"))</f>
        <v/>
      </c>
      <c r="O241" s="80"/>
      <c r="P241" s="80"/>
      <c r="Q241" s="80"/>
      <c r="R241" s="82"/>
      <c r="S241" s="82"/>
      <c r="T241" s="80"/>
      <c r="U241" s="80"/>
      <c r="V241" s="82"/>
      <c r="W241" s="80"/>
      <c r="X241" s="80"/>
      <c r="Y241" s="80"/>
      <c r="Z241" s="80"/>
      <c r="AA241" s="82"/>
      <c r="AB241" s="80"/>
      <c r="AC241" s="80"/>
      <c r="AD241" s="80"/>
      <c r="AE241" s="80"/>
      <c r="AF241" s="82"/>
      <c r="AG241" s="80"/>
      <c r="AH241" s="80"/>
      <c r="AI241" s="82"/>
      <c r="AJ241" s="79"/>
      <c r="AK241" s="78" t="n">
        <f aca="false">IF(E241="","",(X241&lt;&gt;"")+(AC241&lt;&gt;"")+(AH241&lt;&gt;""))</f>
        <v>0</v>
      </c>
      <c r="AL241" s="81" t="str">
        <f aca="false">IF(AH241&lt;&gt;"",AH241,IF(AC241&lt;&gt;"",AC241,IF(X241&lt;&gt;"",X241,"")))</f>
        <v/>
      </c>
      <c r="AM241" s="83" t="str">
        <f aca="false">IF(E241="","",IF(R241="","À SOUDER",IF(U241="","VT EN ATTENTE",IF(U241="R","VT REJETÉ – À REPRENDRE",IF(AL241="","À RADIOGRAPHIER",IF(AL241="A","ACCEPTÉ",IF(AL241="NX","NX – RT À REFAIRE",IF(IF(AK241=1,Z241,IF(AK241=2,AE241,""))="A","RÉPARÉ – À RADIOGRAPHIER",IF(IF(AK241=1,Z241,IF(AK241=2,AE241,""))="R","VT REJETÉ – À REPRENDRE",IF(OR(AL241="CO",AL241="NT"),"COUPE – À RESOUDER","À RÉPARER"))))))))))</f>
        <v>À SOUDER</v>
      </c>
      <c r="AN241" s="81" t="str">
        <f aca="false">IF(AND(ISNUMBER(R241),OR(AM241="À RADIOGRAPHIER",AM241="RÉPARÉ – À RADIOGRAPHIER",AM241="NX – RT À REFAIRE",AM241="À RÉPARER",AM241="COUPE – À RESOUDER",AM241="VT REJETÉ – À REPRENDRE")),MAX(0,'PROGRAMME RT'!$C$4-R241),"")</f>
        <v/>
      </c>
      <c r="AO241" s="78" t="n">
        <f aca="false">IF(AND(OR(AM241="À RADIOGRAPHIER",AM241="RÉPARÉ – À RADIOGRAPHIER",AM241="NX – RT À REFAIRE"),OR('PROGRAMME RT'!$D$5="TOUTES",B241='PROGRAMME RT'!$D$5)),1,0)</f>
        <v>0</v>
      </c>
      <c r="AP241" s="78" t="str">
        <f aca="false">IF(AO241=1,SUM(AO$7:AO241),"")</f>
        <v/>
      </c>
      <c r="AQ241" s="78" t="n">
        <f aca="false">IF(AND(OR(X241="R",X241="NX",X241="NT",X241="CO"),OR('JOINTS DE RÉPARATION'!$D$5="TOUTES",B241='JOINTS DE RÉPARATION'!$D$5),OR('JOINTS DE RÉPARATION'!$L$4="TOUS",AM241&lt;&gt;"ACCEPTÉ")),1,0)</f>
        <v>0</v>
      </c>
      <c r="AR241" s="78" t="str">
        <f aca="false">IF(AQ241=1,SUM(AQ$7:AQ241),"")</f>
        <v/>
      </c>
    </row>
    <row r="242" customFormat="false" ht="15" hidden="false" customHeight="false" outlineLevel="0" collapsed="false">
      <c r="A242" s="78" t="n">
        <f aca="false">IF(E242="","",ROW()-6)</f>
        <v>236</v>
      </c>
      <c r="B242" s="79" t="s">
        <v>575</v>
      </c>
      <c r="C242" s="80"/>
      <c r="D242" s="80"/>
      <c r="E242" s="80" t="s">
        <v>190</v>
      </c>
      <c r="F242" s="80"/>
      <c r="G242" s="80" t="s">
        <v>106</v>
      </c>
      <c r="H242" s="80"/>
      <c r="I242" s="80"/>
      <c r="J242" s="80"/>
      <c r="K242" s="80"/>
      <c r="L242" s="81" t="str">
        <f aca="false">IF(K242="","",IFERROR(INDEX(BARDAGE!$C$7:$C$1506,MATCH(K242,BARDAGE!$B$7:$B$1506,0)),"? hors registre"))</f>
        <v/>
      </c>
      <c r="M242" s="80"/>
      <c r="N242" s="81" t="str">
        <f aca="false">IF(M242="","",IFERROR(INDEX(BARDAGE!$C$7:$C$1506,MATCH(M242,BARDAGE!$B$7:$B$1506,0)),"? hors registre"))</f>
        <v/>
      </c>
      <c r="O242" s="80"/>
      <c r="P242" s="80"/>
      <c r="Q242" s="80"/>
      <c r="R242" s="82"/>
      <c r="S242" s="82"/>
      <c r="T242" s="80"/>
      <c r="U242" s="80"/>
      <c r="V242" s="82"/>
      <c r="W242" s="80"/>
      <c r="X242" s="80"/>
      <c r="Y242" s="80"/>
      <c r="Z242" s="80"/>
      <c r="AA242" s="82"/>
      <c r="AB242" s="80"/>
      <c r="AC242" s="80"/>
      <c r="AD242" s="80"/>
      <c r="AE242" s="80"/>
      <c r="AF242" s="82"/>
      <c r="AG242" s="80"/>
      <c r="AH242" s="80"/>
      <c r="AI242" s="82"/>
      <c r="AJ242" s="79"/>
      <c r="AK242" s="78" t="n">
        <f aca="false">IF(E242="","",(X242&lt;&gt;"")+(AC242&lt;&gt;"")+(AH242&lt;&gt;""))</f>
        <v>0</v>
      </c>
      <c r="AL242" s="81" t="str">
        <f aca="false">IF(AH242&lt;&gt;"",AH242,IF(AC242&lt;&gt;"",AC242,IF(X242&lt;&gt;"",X242,"")))</f>
        <v/>
      </c>
      <c r="AM242" s="83" t="str">
        <f aca="false">IF(E242="","",IF(R242="","À SOUDER",IF(U242="","VT EN ATTENTE",IF(U242="R","VT REJETÉ – À REPRENDRE",IF(AL242="","À RADIOGRAPHIER",IF(AL242="A","ACCEPTÉ",IF(AL242="NX","NX – RT À REFAIRE",IF(IF(AK242=1,Z242,IF(AK242=2,AE242,""))="A","RÉPARÉ – À RADIOGRAPHIER",IF(IF(AK242=1,Z242,IF(AK242=2,AE242,""))="R","VT REJETÉ – À REPRENDRE",IF(OR(AL242="CO",AL242="NT"),"COUPE – À RESOUDER","À RÉPARER"))))))))))</f>
        <v>À SOUDER</v>
      </c>
      <c r="AN242" s="81" t="str">
        <f aca="false">IF(AND(ISNUMBER(R242),OR(AM242="À RADIOGRAPHIER",AM242="RÉPARÉ – À RADIOGRAPHIER",AM242="NX – RT À REFAIRE",AM242="À RÉPARER",AM242="COUPE – À RESOUDER",AM242="VT REJETÉ – À REPRENDRE")),MAX(0,'PROGRAMME RT'!$C$4-R242),"")</f>
        <v/>
      </c>
      <c r="AO242" s="78" t="n">
        <f aca="false">IF(AND(OR(AM242="À RADIOGRAPHIER",AM242="RÉPARÉ – À RADIOGRAPHIER",AM242="NX – RT À REFAIRE"),OR('PROGRAMME RT'!$D$5="TOUTES",B242='PROGRAMME RT'!$D$5)),1,0)</f>
        <v>0</v>
      </c>
      <c r="AP242" s="78" t="str">
        <f aca="false">IF(AO242=1,SUM(AO$7:AO242),"")</f>
        <v/>
      </c>
      <c r="AQ242" s="78" t="n">
        <f aca="false">IF(AND(OR(X242="R",X242="NX",X242="NT",X242="CO"),OR('JOINTS DE RÉPARATION'!$D$5="TOUTES",B242='JOINTS DE RÉPARATION'!$D$5),OR('JOINTS DE RÉPARATION'!$L$4="TOUS",AM242&lt;&gt;"ACCEPTÉ")),1,0)</f>
        <v>0</v>
      </c>
      <c r="AR242" s="78" t="str">
        <f aca="false">IF(AQ242=1,SUM(AQ$7:AQ242),"")</f>
        <v/>
      </c>
    </row>
    <row r="243" customFormat="false" ht="15" hidden="false" customHeight="false" outlineLevel="0" collapsed="false">
      <c r="A243" s="78" t="n">
        <f aca="false">IF(E243="","",ROW()-6)</f>
        <v>237</v>
      </c>
      <c r="B243" s="79" t="s">
        <v>575</v>
      </c>
      <c r="C243" s="80"/>
      <c r="D243" s="80"/>
      <c r="E243" s="80" t="s">
        <v>192</v>
      </c>
      <c r="F243" s="80"/>
      <c r="G243" s="80" t="s">
        <v>106</v>
      </c>
      <c r="H243" s="80"/>
      <c r="I243" s="80"/>
      <c r="J243" s="80"/>
      <c r="K243" s="80"/>
      <c r="L243" s="81" t="str">
        <f aca="false">IF(K243="","",IFERROR(INDEX(BARDAGE!$C$7:$C$1506,MATCH(K243,BARDAGE!$B$7:$B$1506,0)),"? hors registre"))</f>
        <v/>
      </c>
      <c r="M243" s="80"/>
      <c r="N243" s="81" t="str">
        <f aca="false">IF(M243="","",IFERROR(INDEX(BARDAGE!$C$7:$C$1506,MATCH(M243,BARDAGE!$B$7:$B$1506,0)),"? hors registre"))</f>
        <v/>
      </c>
      <c r="O243" s="80"/>
      <c r="P243" s="80"/>
      <c r="Q243" s="80"/>
      <c r="R243" s="82"/>
      <c r="S243" s="82"/>
      <c r="T243" s="80"/>
      <c r="U243" s="80"/>
      <c r="V243" s="82"/>
      <c r="W243" s="80"/>
      <c r="X243" s="80"/>
      <c r="Y243" s="80"/>
      <c r="Z243" s="80"/>
      <c r="AA243" s="82"/>
      <c r="AB243" s="80"/>
      <c r="AC243" s="80"/>
      <c r="AD243" s="80"/>
      <c r="AE243" s="80"/>
      <c r="AF243" s="82"/>
      <c r="AG243" s="80"/>
      <c r="AH243" s="80"/>
      <c r="AI243" s="82"/>
      <c r="AJ243" s="79"/>
      <c r="AK243" s="78" t="n">
        <f aca="false">IF(E243="","",(X243&lt;&gt;"")+(AC243&lt;&gt;"")+(AH243&lt;&gt;""))</f>
        <v>0</v>
      </c>
      <c r="AL243" s="81" t="str">
        <f aca="false">IF(AH243&lt;&gt;"",AH243,IF(AC243&lt;&gt;"",AC243,IF(X243&lt;&gt;"",X243,"")))</f>
        <v/>
      </c>
      <c r="AM243" s="83" t="str">
        <f aca="false">IF(E243="","",IF(R243="","À SOUDER",IF(U243="","VT EN ATTENTE",IF(U243="R","VT REJETÉ – À REPRENDRE",IF(AL243="","À RADIOGRAPHIER",IF(AL243="A","ACCEPTÉ",IF(AL243="NX","NX – RT À REFAIRE",IF(IF(AK243=1,Z243,IF(AK243=2,AE243,""))="A","RÉPARÉ – À RADIOGRAPHIER",IF(IF(AK243=1,Z243,IF(AK243=2,AE243,""))="R","VT REJETÉ – À REPRENDRE",IF(OR(AL243="CO",AL243="NT"),"COUPE – À RESOUDER","À RÉPARER"))))))))))</f>
        <v>À SOUDER</v>
      </c>
      <c r="AN243" s="81" t="str">
        <f aca="false">IF(AND(ISNUMBER(R243),OR(AM243="À RADIOGRAPHIER",AM243="RÉPARÉ – À RADIOGRAPHIER",AM243="NX – RT À REFAIRE",AM243="À RÉPARER",AM243="COUPE – À RESOUDER",AM243="VT REJETÉ – À REPRENDRE")),MAX(0,'PROGRAMME RT'!$C$4-R243),"")</f>
        <v/>
      </c>
      <c r="AO243" s="78" t="n">
        <f aca="false">IF(AND(OR(AM243="À RADIOGRAPHIER",AM243="RÉPARÉ – À RADIOGRAPHIER",AM243="NX – RT À REFAIRE"),OR('PROGRAMME RT'!$D$5="TOUTES",B243='PROGRAMME RT'!$D$5)),1,0)</f>
        <v>0</v>
      </c>
      <c r="AP243" s="78" t="str">
        <f aca="false">IF(AO243=1,SUM(AO$7:AO243),"")</f>
        <v/>
      </c>
      <c r="AQ243" s="78" t="n">
        <f aca="false">IF(AND(OR(X243="R",X243="NX",X243="NT",X243="CO"),OR('JOINTS DE RÉPARATION'!$D$5="TOUTES",B243='JOINTS DE RÉPARATION'!$D$5),OR('JOINTS DE RÉPARATION'!$L$4="TOUS",AM243&lt;&gt;"ACCEPTÉ")),1,0)</f>
        <v>0</v>
      </c>
      <c r="AR243" s="78" t="str">
        <f aca="false">IF(AQ243=1,SUM(AQ$7:AQ243),"")</f>
        <v/>
      </c>
    </row>
    <row r="244" customFormat="false" ht="15" hidden="false" customHeight="false" outlineLevel="0" collapsed="false">
      <c r="A244" s="78" t="n">
        <f aca="false">IF(E244="","",ROW()-6)</f>
        <v>238</v>
      </c>
      <c r="B244" s="79" t="s">
        <v>575</v>
      </c>
      <c r="C244" s="80"/>
      <c r="D244" s="80"/>
      <c r="E244" s="80" t="s">
        <v>195</v>
      </c>
      <c r="F244" s="80"/>
      <c r="G244" s="80" t="s">
        <v>106</v>
      </c>
      <c r="H244" s="80"/>
      <c r="I244" s="80"/>
      <c r="J244" s="80"/>
      <c r="K244" s="80"/>
      <c r="L244" s="81" t="str">
        <f aca="false">IF(K244="","",IFERROR(INDEX(BARDAGE!$C$7:$C$1506,MATCH(K244,BARDAGE!$B$7:$B$1506,0)),"? hors registre"))</f>
        <v/>
      </c>
      <c r="M244" s="80"/>
      <c r="N244" s="81" t="str">
        <f aca="false">IF(M244="","",IFERROR(INDEX(BARDAGE!$C$7:$C$1506,MATCH(M244,BARDAGE!$B$7:$B$1506,0)),"? hors registre"))</f>
        <v/>
      </c>
      <c r="O244" s="80"/>
      <c r="P244" s="80"/>
      <c r="Q244" s="80"/>
      <c r="R244" s="82"/>
      <c r="S244" s="82"/>
      <c r="T244" s="80"/>
      <c r="U244" s="80"/>
      <c r="V244" s="82"/>
      <c r="W244" s="80"/>
      <c r="X244" s="80"/>
      <c r="Y244" s="80"/>
      <c r="Z244" s="80"/>
      <c r="AA244" s="82"/>
      <c r="AB244" s="80"/>
      <c r="AC244" s="80"/>
      <c r="AD244" s="80"/>
      <c r="AE244" s="80"/>
      <c r="AF244" s="82"/>
      <c r="AG244" s="80"/>
      <c r="AH244" s="80"/>
      <c r="AI244" s="82"/>
      <c r="AJ244" s="79"/>
      <c r="AK244" s="78" t="n">
        <f aca="false">IF(E244="","",(X244&lt;&gt;"")+(AC244&lt;&gt;"")+(AH244&lt;&gt;""))</f>
        <v>0</v>
      </c>
      <c r="AL244" s="81" t="str">
        <f aca="false">IF(AH244&lt;&gt;"",AH244,IF(AC244&lt;&gt;"",AC244,IF(X244&lt;&gt;"",X244,"")))</f>
        <v/>
      </c>
      <c r="AM244" s="83" t="str">
        <f aca="false">IF(E244="","",IF(R244="","À SOUDER",IF(U244="","VT EN ATTENTE",IF(U244="R","VT REJETÉ – À REPRENDRE",IF(AL244="","À RADIOGRAPHIER",IF(AL244="A","ACCEPTÉ",IF(AL244="NX","NX – RT À REFAIRE",IF(IF(AK244=1,Z244,IF(AK244=2,AE244,""))="A","RÉPARÉ – À RADIOGRAPHIER",IF(IF(AK244=1,Z244,IF(AK244=2,AE244,""))="R","VT REJETÉ – À REPRENDRE",IF(OR(AL244="CO",AL244="NT"),"COUPE – À RESOUDER","À RÉPARER"))))))))))</f>
        <v>À SOUDER</v>
      </c>
      <c r="AN244" s="81" t="str">
        <f aca="false">IF(AND(ISNUMBER(R244),OR(AM244="À RADIOGRAPHIER",AM244="RÉPARÉ – À RADIOGRAPHIER",AM244="NX – RT À REFAIRE",AM244="À RÉPARER",AM244="COUPE – À RESOUDER",AM244="VT REJETÉ – À REPRENDRE")),MAX(0,'PROGRAMME RT'!$C$4-R244),"")</f>
        <v/>
      </c>
      <c r="AO244" s="78" t="n">
        <f aca="false">IF(AND(OR(AM244="À RADIOGRAPHIER",AM244="RÉPARÉ – À RADIOGRAPHIER",AM244="NX – RT À REFAIRE"),OR('PROGRAMME RT'!$D$5="TOUTES",B244='PROGRAMME RT'!$D$5)),1,0)</f>
        <v>0</v>
      </c>
      <c r="AP244" s="78" t="str">
        <f aca="false">IF(AO244=1,SUM(AO$7:AO244),"")</f>
        <v/>
      </c>
      <c r="AQ244" s="78" t="n">
        <f aca="false">IF(AND(OR(X244="R",X244="NX",X244="NT",X244="CO"),OR('JOINTS DE RÉPARATION'!$D$5="TOUTES",B244='JOINTS DE RÉPARATION'!$D$5),OR('JOINTS DE RÉPARATION'!$L$4="TOUS",AM244&lt;&gt;"ACCEPTÉ")),1,0)</f>
        <v>0</v>
      </c>
      <c r="AR244" s="78" t="str">
        <f aca="false">IF(AQ244=1,SUM(AQ$7:AQ244),"")</f>
        <v/>
      </c>
    </row>
    <row r="245" customFormat="false" ht="15" hidden="false" customHeight="false" outlineLevel="0" collapsed="false">
      <c r="A245" s="78" t="n">
        <f aca="false">IF(E245="","",ROW()-6)</f>
        <v>239</v>
      </c>
      <c r="B245" s="79" t="s">
        <v>575</v>
      </c>
      <c r="C245" s="80"/>
      <c r="D245" s="80"/>
      <c r="E245" s="80" t="s">
        <v>197</v>
      </c>
      <c r="F245" s="80"/>
      <c r="G245" s="80" t="s">
        <v>106</v>
      </c>
      <c r="H245" s="80"/>
      <c r="I245" s="80"/>
      <c r="J245" s="80"/>
      <c r="K245" s="80"/>
      <c r="L245" s="81" t="str">
        <f aca="false">IF(K245="","",IFERROR(INDEX(BARDAGE!$C$7:$C$1506,MATCH(K245,BARDAGE!$B$7:$B$1506,0)),"? hors registre"))</f>
        <v/>
      </c>
      <c r="M245" s="80"/>
      <c r="N245" s="81" t="str">
        <f aca="false">IF(M245="","",IFERROR(INDEX(BARDAGE!$C$7:$C$1506,MATCH(M245,BARDAGE!$B$7:$B$1506,0)),"? hors registre"))</f>
        <v/>
      </c>
      <c r="O245" s="80"/>
      <c r="P245" s="80"/>
      <c r="Q245" s="80"/>
      <c r="R245" s="82"/>
      <c r="S245" s="82"/>
      <c r="T245" s="80"/>
      <c r="U245" s="80"/>
      <c r="V245" s="82"/>
      <c r="W245" s="80"/>
      <c r="X245" s="80"/>
      <c r="Y245" s="80"/>
      <c r="Z245" s="80"/>
      <c r="AA245" s="82"/>
      <c r="AB245" s="80"/>
      <c r="AC245" s="80"/>
      <c r="AD245" s="80"/>
      <c r="AE245" s="80"/>
      <c r="AF245" s="82"/>
      <c r="AG245" s="80"/>
      <c r="AH245" s="80"/>
      <c r="AI245" s="82"/>
      <c r="AJ245" s="79"/>
      <c r="AK245" s="78" t="n">
        <f aca="false">IF(E245="","",(X245&lt;&gt;"")+(AC245&lt;&gt;"")+(AH245&lt;&gt;""))</f>
        <v>0</v>
      </c>
      <c r="AL245" s="81" t="str">
        <f aca="false">IF(AH245&lt;&gt;"",AH245,IF(AC245&lt;&gt;"",AC245,IF(X245&lt;&gt;"",X245,"")))</f>
        <v/>
      </c>
      <c r="AM245" s="83" t="str">
        <f aca="false">IF(E245="","",IF(R245="","À SOUDER",IF(U245="","VT EN ATTENTE",IF(U245="R","VT REJETÉ – À REPRENDRE",IF(AL245="","À RADIOGRAPHIER",IF(AL245="A","ACCEPTÉ",IF(AL245="NX","NX – RT À REFAIRE",IF(IF(AK245=1,Z245,IF(AK245=2,AE245,""))="A","RÉPARÉ – À RADIOGRAPHIER",IF(IF(AK245=1,Z245,IF(AK245=2,AE245,""))="R","VT REJETÉ – À REPRENDRE",IF(OR(AL245="CO",AL245="NT"),"COUPE – À RESOUDER","À RÉPARER"))))))))))</f>
        <v>À SOUDER</v>
      </c>
      <c r="AN245" s="81" t="str">
        <f aca="false">IF(AND(ISNUMBER(R245),OR(AM245="À RADIOGRAPHIER",AM245="RÉPARÉ – À RADIOGRAPHIER",AM245="NX – RT À REFAIRE",AM245="À RÉPARER",AM245="COUPE – À RESOUDER",AM245="VT REJETÉ – À REPRENDRE")),MAX(0,'PROGRAMME RT'!$C$4-R245),"")</f>
        <v/>
      </c>
      <c r="AO245" s="78" t="n">
        <f aca="false">IF(AND(OR(AM245="À RADIOGRAPHIER",AM245="RÉPARÉ – À RADIOGRAPHIER",AM245="NX – RT À REFAIRE"),OR('PROGRAMME RT'!$D$5="TOUTES",B245='PROGRAMME RT'!$D$5)),1,0)</f>
        <v>0</v>
      </c>
      <c r="AP245" s="78" t="str">
        <f aca="false">IF(AO245=1,SUM(AO$7:AO245),"")</f>
        <v/>
      </c>
      <c r="AQ245" s="78" t="n">
        <f aca="false">IF(AND(OR(X245="R",X245="NX",X245="NT",X245="CO"),OR('JOINTS DE RÉPARATION'!$D$5="TOUTES",B245='JOINTS DE RÉPARATION'!$D$5),OR('JOINTS DE RÉPARATION'!$L$4="TOUS",AM245&lt;&gt;"ACCEPTÉ")),1,0)</f>
        <v>0</v>
      </c>
      <c r="AR245" s="78" t="str">
        <f aca="false">IF(AQ245=1,SUM(AQ$7:AQ245),"")</f>
        <v/>
      </c>
    </row>
    <row r="246" customFormat="false" ht="15" hidden="false" customHeight="false" outlineLevel="0" collapsed="false">
      <c r="A246" s="78" t="n">
        <f aca="false">IF(E246="","",ROW()-6)</f>
        <v>240</v>
      </c>
      <c r="B246" s="79" t="s">
        <v>575</v>
      </c>
      <c r="C246" s="80"/>
      <c r="D246" s="80"/>
      <c r="E246" s="80" t="s">
        <v>199</v>
      </c>
      <c r="F246" s="80"/>
      <c r="G246" s="80" t="s">
        <v>106</v>
      </c>
      <c r="H246" s="80"/>
      <c r="I246" s="80"/>
      <c r="J246" s="80"/>
      <c r="K246" s="80"/>
      <c r="L246" s="81" t="str">
        <f aca="false">IF(K246="","",IFERROR(INDEX(BARDAGE!$C$7:$C$1506,MATCH(K246,BARDAGE!$B$7:$B$1506,0)),"? hors registre"))</f>
        <v/>
      </c>
      <c r="M246" s="80"/>
      <c r="N246" s="81" t="str">
        <f aca="false">IF(M246="","",IFERROR(INDEX(BARDAGE!$C$7:$C$1506,MATCH(M246,BARDAGE!$B$7:$B$1506,0)),"? hors registre"))</f>
        <v/>
      </c>
      <c r="O246" s="80"/>
      <c r="P246" s="80"/>
      <c r="Q246" s="80"/>
      <c r="R246" s="82"/>
      <c r="S246" s="82"/>
      <c r="T246" s="80"/>
      <c r="U246" s="80"/>
      <c r="V246" s="82"/>
      <c r="W246" s="80"/>
      <c r="X246" s="80"/>
      <c r="Y246" s="80"/>
      <c r="Z246" s="80"/>
      <c r="AA246" s="82"/>
      <c r="AB246" s="80"/>
      <c r="AC246" s="80"/>
      <c r="AD246" s="80"/>
      <c r="AE246" s="80"/>
      <c r="AF246" s="82"/>
      <c r="AG246" s="80"/>
      <c r="AH246" s="80"/>
      <c r="AI246" s="82"/>
      <c r="AJ246" s="79"/>
      <c r="AK246" s="78" t="n">
        <f aca="false">IF(E246="","",(X246&lt;&gt;"")+(AC246&lt;&gt;"")+(AH246&lt;&gt;""))</f>
        <v>0</v>
      </c>
      <c r="AL246" s="81" t="str">
        <f aca="false">IF(AH246&lt;&gt;"",AH246,IF(AC246&lt;&gt;"",AC246,IF(X246&lt;&gt;"",X246,"")))</f>
        <v/>
      </c>
      <c r="AM246" s="83" t="str">
        <f aca="false">IF(E246="","",IF(R246="","À SOUDER",IF(U246="","VT EN ATTENTE",IF(U246="R","VT REJETÉ – À REPRENDRE",IF(AL246="","À RADIOGRAPHIER",IF(AL246="A","ACCEPTÉ",IF(AL246="NX","NX – RT À REFAIRE",IF(IF(AK246=1,Z246,IF(AK246=2,AE246,""))="A","RÉPARÉ – À RADIOGRAPHIER",IF(IF(AK246=1,Z246,IF(AK246=2,AE246,""))="R","VT REJETÉ – À REPRENDRE",IF(OR(AL246="CO",AL246="NT"),"COUPE – À RESOUDER","À RÉPARER"))))))))))</f>
        <v>À SOUDER</v>
      </c>
      <c r="AN246" s="81" t="str">
        <f aca="false">IF(AND(ISNUMBER(R246),OR(AM246="À RADIOGRAPHIER",AM246="RÉPARÉ – À RADIOGRAPHIER",AM246="NX – RT À REFAIRE",AM246="À RÉPARER",AM246="COUPE – À RESOUDER",AM246="VT REJETÉ – À REPRENDRE")),MAX(0,'PROGRAMME RT'!$C$4-R246),"")</f>
        <v/>
      </c>
      <c r="AO246" s="78" t="n">
        <f aca="false">IF(AND(OR(AM246="À RADIOGRAPHIER",AM246="RÉPARÉ – À RADIOGRAPHIER",AM246="NX – RT À REFAIRE"),OR('PROGRAMME RT'!$D$5="TOUTES",B246='PROGRAMME RT'!$D$5)),1,0)</f>
        <v>0</v>
      </c>
      <c r="AP246" s="78" t="str">
        <f aca="false">IF(AO246=1,SUM(AO$7:AO246),"")</f>
        <v/>
      </c>
      <c r="AQ246" s="78" t="n">
        <f aca="false">IF(AND(OR(X246="R",X246="NX",X246="NT",X246="CO"),OR('JOINTS DE RÉPARATION'!$D$5="TOUTES",B246='JOINTS DE RÉPARATION'!$D$5),OR('JOINTS DE RÉPARATION'!$L$4="TOUS",AM246&lt;&gt;"ACCEPTÉ")),1,0)</f>
        <v>0</v>
      </c>
      <c r="AR246" s="78" t="str">
        <f aca="false">IF(AQ246=1,SUM(AQ$7:AQ246),"")</f>
        <v/>
      </c>
    </row>
    <row r="247" customFormat="false" ht="15" hidden="false" customHeight="false" outlineLevel="0" collapsed="false">
      <c r="A247" s="78" t="n">
        <f aca="false">IF(E247="","",ROW()-6)</f>
        <v>241</v>
      </c>
      <c r="B247" s="79" t="s">
        <v>575</v>
      </c>
      <c r="C247" s="80"/>
      <c r="D247" s="80"/>
      <c r="E247" s="80" t="s">
        <v>202</v>
      </c>
      <c r="F247" s="80"/>
      <c r="G247" s="80" t="s">
        <v>106</v>
      </c>
      <c r="H247" s="80"/>
      <c r="I247" s="80"/>
      <c r="J247" s="80"/>
      <c r="K247" s="80"/>
      <c r="L247" s="81" t="str">
        <f aca="false">IF(K247="","",IFERROR(INDEX(BARDAGE!$C$7:$C$1506,MATCH(K247,BARDAGE!$B$7:$B$1506,0)),"? hors registre"))</f>
        <v/>
      </c>
      <c r="M247" s="80"/>
      <c r="N247" s="81" t="str">
        <f aca="false">IF(M247="","",IFERROR(INDEX(BARDAGE!$C$7:$C$1506,MATCH(M247,BARDAGE!$B$7:$B$1506,0)),"? hors registre"))</f>
        <v/>
      </c>
      <c r="O247" s="80"/>
      <c r="P247" s="80"/>
      <c r="Q247" s="80"/>
      <c r="R247" s="82"/>
      <c r="S247" s="82"/>
      <c r="T247" s="80"/>
      <c r="U247" s="80"/>
      <c r="V247" s="82"/>
      <c r="W247" s="80"/>
      <c r="X247" s="80"/>
      <c r="Y247" s="80"/>
      <c r="Z247" s="80"/>
      <c r="AA247" s="82"/>
      <c r="AB247" s="80"/>
      <c r="AC247" s="80"/>
      <c r="AD247" s="80"/>
      <c r="AE247" s="80"/>
      <c r="AF247" s="82"/>
      <c r="AG247" s="80"/>
      <c r="AH247" s="80"/>
      <c r="AI247" s="82"/>
      <c r="AJ247" s="79"/>
      <c r="AK247" s="78" t="n">
        <f aca="false">IF(E247="","",(X247&lt;&gt;"")+(AC247&lt;&gt;"")+(AH247&lt;&gt;""))</f>
        <v>0</v>
      </c>
      <c r="AL247" s="81" t="str">
        <f aca="false">IF(AH247&lt;&gt;"",AH247,IF(AC247&lt;&gt;"",AC247,IF(X247&lt;&gt;"",X247,"")))</f>
        <v/>
      </c>
      <c r="AM247" s="83" t="str">
        <f aca="false">IF(E247="","",IF(R247="","À SOUDER",IF(U247="","VT EN ATTENTE",IF(U247="R","VT REJETÉ – À REPRENDRE",IF(AL247="","À RADIOGRAPHIER",IF(AL247="A","ACCEPTÉ",IF(AL247="NX","NX – RT À REFAIRE",IF(IF(AK247=1,Z247,IF(AK247=2,AE247,""))="A","RÉPARÉ – À RADIOGRAPHIER",IF(IF(AK247=1,Z247,IF(AK247=2,AE247,""))="R","VT REJETÉ – À REPRENDRE",IF(OR(AL247="CO",AL247="NT"),"COUPE – À RESOUDER","À RÉPARER"))))))))))</f>
        <v>À SOUDER</v>
      </c>
      <c r="AN247" s="81" t="str">
        <f aca="false">IF(AND(ISNUMBER(R247),OR(AM247="À RADIOGRAPHIER",AM247="RÉPARÉ – À RADIOGRAPHIER",AM247="NX – RT À REFAIRE",AM247="À RÉPARER",AM247="COUPE – À RESOUDER",AM247="VT REJETÉ – À REPRENDRE")),MAX(0,'PROGRAMME RT'!$C$4-R247),"")</f>
        <v/>
      </c>
      <c r="AO247" s="78" t="n">
        <f aca="false">IF(AND(OR(AM247="À RADIOGRAPHIER",AM247="RÉPARÉ – À RADIOGRAPHIER",AM247="NX – RT À REFAIRE"),OR('PROGRAMME RT'!$D$5="TOUTES",B247='PROGRAMME RT'!$D$5)),1,0)</f>
        <v>0</v>
      </c>
      <c r="AP247" s="78" t="str">
        <f aca="false">IF(AO247=1,SUM(AO$7:AO247),"")</f>
        <v/>
      </c>
      <c r="AQ247" s="78" t="n">
        <f aca="false">IF(AND(OR(X247="R",X247="NX",X247="NT",X247="CO"),OR('JOINTS DE RÉPARATION'!$D$5="TOUTES",B247='JOINTS DE RÉPARATION'!$D$5),OR('JOINTS DE RÉPARATION'!$L$4="TOUS",AM247&lt;&gt;"ACCEPTÉ")),1,0)</f>
        <v>0</v>
      </c>
      <c r="AR247" s="78" t="str">
        <f aca="false">IF(AQ247=1,SUM(AQ$7:AQ247),"")</f>
        <v/>
      </c>
    </row>
    <row r="248" customFormat="false" ht="15" hidden="false" customHeight="false" outlineLevel="0" collapsed="false">
      <c r="A248" s="78" t="n">
        <f aca="false">IF(E248="","",ROW()-6)</f>
        <v>242</v>
      </c>
      <c r="B248" s="79" t="s">
        <v>575</v>
      </c>
      <c r="C248" s="80"/>
      <c r="D248" s="80"/>
      <c r="E248" s="80" t="s">
        <v>205</v>
      </c>
      <c r="F248" s="80"/>
      <c r="G248" s="80" t="s">
        <v>106</v>
      </c>
      <c r="H248" s="80"/>
      <c r="I248" s="80"/>
      <c r="J248" s="80"/>
      <c r="K248" s="80"/>
      <c r="L248" s="81" t="str">
        <f aca="false">IF(K248="","",IFERROR(INDEX(BARDAGE!$C$7:$C$1506,MATCH(K248,BARDAGE!$B$7:$B$1506,0)),"? hors registre"))</f>
        <v/>
      </c>
      <c r="M248" s="80"/>
      <c r="N248" s="81" t="str">
        <f aca="false">IF(M248="","",IFERROR(INDEX(BARDAGE!$C$7:$C$1506,MATCH(M248,BARDAGE!$B$7:$B$1506,0)),"? hors registre"))</f>
        <v/>
      </c>
      <c r="O248" s="80"/>
      <c r="P248" s="80"/>
      <c r="Q248" s="80"/>
      <c r="R248" s="82"/>
      <c r="S248" s="82"/>
      <c r="T248" s="80"/>
      <c r="U248" s="80"/>
      <c r="V248" s="82"/>
      <c r="W248" s="80"/>
      <c r="X248" s="80"/>
      <c r="Y248" s="80"/>
      <c r="Z248" s="80"/>
      <c r="AA248" s="82"/>
      <c r="AB248" s="80"/>
      <c r="AC248" s="80"/>
      <c r="AD248" s="80"/>
      <c r="AE248" s="80"/>
      <c r="AF248" s="82"/>
      <c r="AG248" s="80"/>
      <c r="AH248" s="80"/>
      <c r="AI248" s="82"/>
      <c r="AJ248" s="79"/>
      <c r="AK248" s="78" t="n">
        <f aca="false">IF(E248="","",(X248&lt;&gt;"")+(AC248&lt;&gt;"")+(AH248&lt;&gt;""))</f>
        <v>0</v>
      </c>
      <c r="AL248" s="81" t="str">
        <f aca="false">IF(AH248&lt;&gt;"",AH248,IF(AC248&lt;&gt;"",AC248,IF(X248&lt;&gt;"",X248,"")))</f>
        <v/>
      </c>
      <c r="AM248" s="83" t="str">
        <f aca="false">IF(E248="","",IF(R248="","À SOUDER",IF(U248="","VT EN ATTENTE",IF(U248="R","VT REJETÉ – À REPRENDRE",IF(AL248="","À RADIOGRAPHIER",IF(AL248="A","ACCEPTÉ",IF(AL248="NX","NX – RT À REFAIRE",IF(IF(AK248=1,Z248,IF(AK248=2,AE248,""))="A","RÉPARÉ – À RADIOGRAPHIER",IF(IF(AK248=1,Z248,IF(AK248=2,AE248,""))="R","VT REJETÉ – À REPRENDRE",IF(OR(AL248="CO",AL248="NT"),"COUPE – À RESOUDER","À RÉPARER"))))))))))</f>
        <v>À SOUDER</v>
      </c>
      <c r="AN248" s="81" t="str">
        <f aca="false">IF(AND(ISNUMBER(R248),OR(AM248="À RADIOGRAPHIER",AM248="RÉPARÉ – À RADIOGRAPHIER",AM248="NX – RT À REFAIRE",AM248="À RÉPARER",AM248="COUPE – À RESOUDER",AM248="VT REJETÉ – À REPRENDRE")),MAX(0,'PROGRAMME RT'!$C$4-R248),"")</f>
        <v/>
      </c>
      <c r="AO248" s="78" t="n">
        <f aca="false">IF(AND(OR(AM248="À RADIOGRAPHIER",AM248="RÉPARÉ – À RADIOGRAPHIER",AM248="NX – RT À REFAIRE"),OR('PROGRAMME RT'!$D$5="TOUTES",B248='PROGRAMME RT'!$D$5)),1,0)</f>
        <v>0</v>
      </c>
      <c r="AP248" s="78" t="str">
        <f aca="false">IF(AO248=1,SUM(AO$7:AO248),"")</f>
        <v/>
      </c>
      <c r="AQ248" s="78" t="n">
        <f aca="false">IF(AND(OR(X248="R",X248="NX",X248="NT",X248="CO"),OR('JOINTS DE RÉPARATION'!$D$5="TOUTES",B248='JOINTS DE RÉPARATION'!$D$5),OR('JOINTS DE RÉPARATION'!$L$4="TOUS",AM248&lt;&gt;"ACCEPTÉ")),1,0)</f>
        <v>0</v>
      </c>
      <c r="AR248" s="78" t="str">
        <f aca="false">IF(AQ248=1,SUM(AQ$7:AQ248),"")</f>
        <v/>
      </c>
    </row>
    <row r="249" customFormat="false" ht="15" hidden="false" customHeight="false" outlineLevel="0" collapsed="false">
      <c r="A249" s="78" t="n">
        <f aca="false">IF(E249="","",ROW()-6)</f>
        <v>243</v>
      </c>
      <c r="B249" s="79" t="s">
        <v>575</v>
      </c>
      <c r="C249" s="80"/>
      <c r="D249" s="80"/>
      <c r="E249" s="80" t="s">
        <v>208</v>
      </c>
      <c r="F249" s="80"/>
      <c r="G249" s="80" t="s">
        <v>106</v>
      </c>
      <c r="H249" s="80"/>
      <c r="I249" s="80"/>
      <c r="J249" s="80"/>
      <c r="K249" s="80"/>
      <c r="L249" s="81" t="str">
        <f aca="false">IF(K249="","",IFERROR(INDEX(BARDAGE!$C$7:$C$1506,MATCH(K249,BARDAGE!$B$7:$B$1506,0)),"? hors registre"))</f>
        <v/>
      </c>
      <c r="M249" s="80"/>
      <c r="N249" s="81" t="str">
        <f aca="false">IF(M249="","",IFERROR(INDEX(BARDAGE!$C$7:$C$1506,MATCH(M249,BARDAGE!$B$7:$B$1506,0)),"? hors registre"))</f>
        <v/>
      </c>
      <c r="O249" s="80"/>
      <c r="P249" s="80"/>
      <c r="Q249" s="80"/>
      <c r="R249" s="82"/>
      <c r="S249" s="82"/>
      <c r="T249" s="80"/>
      <c r="U249" s="80"/>
      <c r="V249" s="82"/>
      <c r="W249" s="80"/>
      <c r="X249" s="80"/>
      <c r="Y249" s="80"/>
      <c r="Z249" s="80"/>
      <c r="AA249" s="82"/>
      <c r="AB249" s="80"/>
      <c r="AC249" s="80"/>
      <c r="AD249" s="80"/>
      <c r="AE249" s="80"/>
      <c r="AF249" s="82"/>
      <c r="AG249" s="80"/>
      <c r="AH249" s="80"/>
      <c r="AI249" s="82"/>
      <c r="AJ249" s="79"/>
      <c r="AK249" s="78" t="n">
        <f aca="false">IF(E249="","",(X249&lt;&gt;"")+(AC249&lt;&gt;"")+(AH249&lt;&gt;""))</f>
        <v>0</v>
      </c>
      <c r="AL249" s="81" t="str">
        <f aca="false">IF(AH249&lt;&gt;"",AH249,IF(AC249&lt;&gt;"",AC249,IF(X249&lt;&gt;"",X249,"")))</f>
        <v/>
      </c>
      <c r="AM249" s="83" t="str">
        <f aca="false">IF(E249="","",IF(R249="","À SOUDER",IF(U249="","VT EN ATTENTE",IF(U249="R","VT REJETÉ – À REPRENDRE",IF(AL249="","À RADIOGRAPHIER",IF(AL249="A","ACCEPTÉ",IF(AL249="NX","NX – RT À REFAIRE",IF(IF(AK249=1,Z249,IF(AK249=2,AE249,""))="A","RÉPARÉ – À RADIOGRAPHIER",IF(IF(AK249=1,Z249,IF(AK249=2,AE249,""))="R","VT REJETÉ – À REPRENDRE",IF(OR(AL249="CO",AL249="NT"),"COUPE – À RESOUDER","À RÉPARER"))))))))))</f>
        <v>À SOUDER</v>
      </c>
      <c r="AN249" s="81" t="str">
        <f aca="false">IF(AND(ISNUMBER(R249),OR(AM249="À RADIOGRAPHIER",AM249="RÉPARÉ – À RADIOGRAPHIER",AM249="NX – RT À REFAIRE",AM249="À RÉPARER",AM249="COUPE – À RESOUDER",AM249="VT REJETÉ – À REPRENDRE")),MAX(0,'PROGRAMME RT'!$C$4-R249),"")</f>
        <v/>
      </c>
      <c r="AO249" s="78" t="n">
        <f aca="false">IF(AND(OR(AM249="À RADIOGRAPHIER",AM249="RÉPARÉ – À RADIOGRAPHIER",AM249="NX – RT À REFAIRE"),OR('PROGRAMME RT'!$D$5="TOUTES",B249='PROGRAMME RT'!$D$5)),1,0)</f>
        <v>0</v>
      </c>
      <c r="AP249" s="78" t="str">
        <f aca="false">IF(AO249=1,SUM(AO$7:AO249),"")</f>
        <v/>
      </c>
      <c r="AQ249" s="78" t="n">
        <f aca="false">IF(AND(OR(X249="R",X249="NX",X249="NT",X249="CO"),OR('JOINTS DE RÉPARATION'!$D$5="TOUTES",B249='JOINTS DE RÉPARATION'!$D$5),OR('JOINTS DE RÉPARATION'!$L$4="TOUS",AM249&lt;&gt;"ACCEPTÉ")),1,0)</f>
        <v>0</v>
      </c>
      <c r="AR249" s="78" t="str">
        <f aca="false">IF(AQ249=1,SUM(AQ$7:AQ249),"")</f>
        <v/>
      </c>
    </row>
    <row r="250" customFormat="false" ht="15" hidden="false" customHeight="false" outlineLevel="0" collapsed="false">
      <c r="A250" s="78" t="n">
        <f aca="false">IF(E250="","",ROW()-6)</f>
        <v>244</v>
      </c>
      <c r="B250" s="79" t="s">
        <v>575</v>
      </c>
      <c r="C250" s="80"/>
      <c r="D250" s="80"/>
      <c r="E250" s="80" t="s">
        <v>210</v>
      </c>
      <c r="F250" s="80"/>
      <c r="G250" s="80" t="s">
        <v>106</v>
      </c>
      <c r="H250" s="80"/>
      <c r="I250" s="80"/>
      <c r="J250" s="80"/>
      <c r="K250" s="80"/>
      <c r="L250" s="81" t="str">
        <f aca="false">IF(K250="","",IFERROR(INDEX(BARDAGE!$C$7:$C$1506,MATCH(K250,BARDAGE!$B$7:$B$1506,0)),"? hors registre"))</f>
        <v/>
      </c>
      <c r="M250" s="80"/>
      <c r="N250" s="81" t="str">
        <f aca="false">IF(M250="","",IFERROR(INDEX(BARDAGE!$C$7:$C$1506,MATCH(M250,BARDAGE!$B$7:$B$1506,0)),"? hors registre"))</f>
        <v/>
      </c>
      <c r="O250" s="80"/>
      <c r="P250" s="80"/>
      <c r="Q250" s="80"/>
      <c r="R250" s="82"/>
      <c r="S250" s="82"/>
      <c r="T250" s="80"/>
      <c r="U250" s="80"/>
      <c r="V250" s="82"/>
      <c r="W250" s="80"/>
      <c r="X250" s="80"/>
      <c r="Y250" s="80"/>
      <c r="Z250" s="80"/>
      <c r="AA250" s="82"/>
      <c r="AB250" s="80"/>
      <c r="AC250" s="80"/>
      <c r="AD250" s="80"/>
      <c r="AE250" s="80"/>
      <c r="AF250" s="82"/>
      <c r="AG250" s="80"/>
      <c r="AH250" s="80"/>
      <c r="AI250" s="82"/>
      <c r="AJ250" s="79"/>
      <c r="AK250" s="78" t="n">
        <f aca="false">IF(E250="","",(X250&lt;&gt;"")+(AC250&lt;&gt;"")+(AH250&lt;&gt;""))</f>
        <v>0</v>
      </c>
      <c r="AL250" s="81" t="str">
        <f aca="false">IF(AH250&lt;&gt;"",AH250,IF(AC250&lt;&gt;"",AC250,IF(X250&lt;&gt;"",X250,"")))</f>
        <v/>
      </c>
      <c r="AM250" s="83" t="str">
        <f aca="false">IF(E250="","",IF(R250="","À SOUDER",IF(U250="","VT EN ATTENTE",IF(U250="R","VT REJETÉ – À REPRENDRE",IF(AL250="","À RADIOGRAPHIER",IF(AL250="A","ACCEPTÉ",IF(AL250="NX","NX – RT À REFAIRE",IF(IF(AK250=1,Z250,IF(AK250=2,AE250,""))="A","RÉPARÉ – À RADIOGRAPHIER",IF(IF(AK250=1,Z250,IF(AK250=2,AE250,""))="R","VT REJETÉ – À REPRENDRE",IF(OR(AL250="CO",AL250="NT"),"COUPE – À RESOUDER","À RÉPARER"))))))))))</f>
        <v>À SOUDER</v>
      </c>
      <c r="AN250" s="81" t="str">
        <f aca="false">IF(AND(ISNUMBER(R250),OR(AM250="À RADIOGRAPHIER",AM250="RÉPARÉ – À RADIOGRAPHIER",AM250="NX – RT À REFAIRE",AM250="À RÉPARER",AM250="COUPE – À RESOUDER",AM250="VT REJETÉ – À REPRENDRE")),MAX(0,'PROGRAMME RT'!$C$4-R250),"")</f>
        <v/>
      </c>
      <c r="AO250" s="78" t="n">
        <f aca="false">IF(AND(OR(AM250="À RADIOGRAPHIER",AM250="RÉPARÉ – À RADIOGRAPHIER",AM250="NX – RT À REFAIRE"),OR('PROGRAMME RT'!$D$5="TOUTES",B250='PROGRAMME RT'!$D$5)),1,0)</f>
        <v>0</v>
      </c>
      <c r="AP250" s="78" t="str">
        <f aca="false">IF(AO250=1,SUM(AO$7:AO250),"")</f>
        <v/>
      </c>
      <c r="AQ250" s="78" t="n">
        <f aca="false">IF(AND(OR(X250="R",X250="NX",X250="NT",X250="CO"),OR('JOINTS DE RÉPARATION'!$D$5="TOUTES",B250='JOINTS DE RÉPARATION'!$D$5),OR('JOINTS DE RÉPARATION'!$L$4="TOUS",AM250&lt;&gt;"ACCEPTÉ")),1,0)</f>
        <v>0</v>
      </c>
      <c r="AR250" s="78" t="str">
        <f aca="false">IF(AQ250=1,SUM(AQ$7:AQ250),"")</f>
        <v/>
      </c>
    </row>
    <row r="251" customFormat="false" ht="15" hidden="false" customHeight="false" outlineLevel="0" collapsed="false">
      <c r="A251" s="78" t="n">
        <f aca="false">IF(E251="","",ROW()-6)</f>
        <v>245</v>
      </c>
      <c r="B251" s="79" t="s">
        <v>575</v>
      </c>
      <c r="C251" s="80"/>
      <c r="D251" s="80"/>
      <c r="E251" s="80" t="s">
        <v>212</v>
      </c>
      <c r="F251" s="80"/>
      <c r="G251" s="80" t="s">
        <v>106</v>
      </c>
      <c r="H251" s="80"/>
      <c r="I251" s="80"/>
      <c r="J251" s="80"/>
      <c r="K251" s="80"/>
      <c r="L251" s="81" t="str">
        <f aca="false">IF(K251="","",IFERROR(INDEX(BARDAGE!$C$7:$C$1506,MATCH(K251,BARDAGE!$B$7:$B$1506,0)),"? hors registre"))</f>
        <v/>
      </c>
      <c r="M251" s="80"/>
      <c r="N251" s="81" t="str">
        <f aca="false">IF(M251="","",IFERROR(INDEX(BARDAGE!$C$7:$C$1506,MATCH(M251,BARDAGE!$B$7:$B$1506,0)),"? hors registre"))</f>
        <v/>
      </c>
      <c r="O251" s="80"/>
      <c r="P251" s="80"/>
      <c r="Q251" s="80"/>
      <c r="R251" s="82"/>
      <c r="S251" s="82"/>
      <c r="T251" s="80"/>
      <c r="U251" s="80"/>
      <c r="V251" s="82"/>
      <c r="W251" s="80"/>
      <c r="X251" s="80"/>
      <c r="Y251" s="80"/>
      <c r="Z251" s="80"/>
      <c r="AA251" s="82"/>
      <c r="AB251" s="80"/>
      <c r="AC251" s="80"/>
      <c r="AD251" s="80"/>
      <c r="AE251" s="80"/>
      <c r="AF251" s="82"/>
      <c r="AG251" s="80"/>
      <c r="AH251" s="80"/>
      <c r="AI251" s="82"/>
      <c r="AJ251" s="79"/>
      <c r="AK251" s="78" t="n">
        <f aca="false">IF(E251="","",(X251&lt;&gt;"")+(AC251&lt;&gt;"")+(AH251&lt;&gt;""))</f>
        <v>0</v>
      </c>
      <c r="AL251" s="81" t="str">
        <f aca="false">IF(AH251&lt;&gt;"",AH251,IF(AC251&lt;&gt;"",AC251,IF(X251&lt;&gt;"",X251,"")))</f>
        <v/>
      </c>
      <c r="AM251" s="83" t="str">
        <f aca="false">IF(E251="","",IF(R251="","À SOUDER",IF(U251="","VT EN ATTENTE",IF(U251="R","VT REJETÉ – À REPRENDRE",IF(AL251="","À RADIOGRAPHIER",IF(AL251="A","ACCEPTÉ",IF(AL251="NX","NX – RT À REFAIRE",IF(IF(AK251=1,Z251,IF(AK251=2,AE251,""))="A","RÉPARÉ – À RADIOGRAPHIER",IF(IF(AK251=1,Z251,IF(AK251=2,AE251,""))="R","VT REJETÉ – À REPRENDRE",IF(OR(AL251="CO",AL251="NT"),"COUPE – À RESOUDER","À RÉPARER"))))))))))</f>
        <v>À SOUDER</v>
      </c>
      <c r="AN251" s="81" t="str">
        <f aca="false">IF(AND(ISNUMBER(R251),OR(AM251="À RADIOGRAPHIER",AM251="RÉPARÉ – À RADIOGRAPHIER",AM251="NX – RT À REFAIRE",AM251="À RÉPARER",AM251="COUPE – À RESOUDER",AM251="VT REJETÉ – À REPRENDRE")),MAX(0,'PROGRAMME RT'!$C$4-R251),"")</f>
        <v/>
      </c>
      <c r="AO251" s="78" t="n">
        <f aca="false">IF(AND(OR(AM251="À RADIOGRAPHIER",AM251="RÉPARÉ – À RADIOGRAPHIER",AM251="NX – RT À REFAIRE"),OR('PROGRAMME RT'!$D$5="TOUTES",B251='PROGRAMME RT'!$D$5)),1,0)</f>
        <v>0</v>
      </c>
      <c r="AP251" s="78" t="str">
        <f aca="false">IF(AO251=1,SUM(AO$7:AO251),"")</f>
        <v/>
      </c>
      <c r="AQ251" s="78" t="n">
        <f aca="false">IF(AND(OR(X251="R",X251="NX",X251="NT",X251="CO"),OR('JOINTS DE RÉPARATION'!$D$5="TOUTES",B251='JOINTS DE RÉPARATION'!$D$5),OR('JOINTS DE RÉPARATION'!$L$4="TOUS",AM251&lt;&gt;"ACCEPTÉ")),1,0)</f>
        <v>0</v>
      </c>
      <c r="AR251" s="78" t="str">
        <f aca="false">IF(AQ251=1,SUM(AQ$7:AQ251),"")</f>
        <v/>
      </c>
    </row>
    <row r="252" customFormat="false" ht="15" hidden="false" customHeight="false" outlineLevel="0" collapsed="false">
      <c r="A252" s="78" t="n">
        <f aca="false">IF(E252="","",ROW()-6)</f>
        <v>246</v>
      </c>
      <c r="B252" s="79" t="s">
        <v>575</v>
      </c>
      <c r="C252" s="80"/>
      <c r="D252" s="80"/>
      <c r="E252" s="80" t="s">
        <v>213</v>
      </c>
      <c r="F252" s="80"/>
      <c r="G252" s="80" t="s">
        <v>106</v>
      </c>
      <c r="H252" s="80"/>
      <c r="I252" s="80"/>
      <c r="J252" s="80"/>
      <c r="K252" s="80"/>
      <c r="L252" s="81" t="str">
        <f aca="false">IF(K252="","",IFERROR(INDEX(BARDAGE!$C$7:$C$1506,MATCH(K252,BARDAGE!$B$7:$B$1506,0)),"? hors registre"))</f>
        <v/>
      </c>
      <c r="M252" s="80"/>
      <c r="N252" s="81" t="str">
        <f aca="false">IF(M252="","",IFERROR(INDEX(BARDAGE!$C$7:$C$1506,MATCH(M252,BARDAGE!$B$7:$B$1506,0)),"? hors registre"))</f>
        <v/>
      </c>
      <c r="O252" s="80"/>
      <c r="P252" s="80"/>
      <c r="Q252" s="80"/>
      <c r="R252" s="82"/>
      <c r="S252" s="82"/>
      <c r="T252" s="80"/>
      <c r="U252" s="80"/>
      <c r="V252" s="82"/>
      <c r="W252" s="80"/>
      <c r="X252" s="80"/>
      <c r="Y252" s="80"/>
      <c r="Z252" s="80"/>
      <c r="AA252" s="82"/>
      <c r="AB252" s="80"/>
      <c r="AC252" s="80"/>
      <c r="AD252" s="80"/>
      <c r="AE252" s="80"/>
      <c r="AF252" s="82"/>
      <c r="AG252" s="80"/>
      <c r="AH252" s="80"/>
      <c r="AI252" s="82"/>
      <c r="AJ252" s="79"/>
      <c r="AK252" s="78" t="n">
        <f aca="false">IF(E252="","",(X252&lt;&gt;"")+(AC252&lt;&gt;"")+(AH252&lt;&gt;""))</f>
        <v>0</v>
      </c>
      <c r="AL252" s="81" t="str">
        <f aca="false">IF(AH252&lt;&gt;"",AH252,IF(AC252&lt;&gt;"",AC252,IF(X252&lt;&gt;"",X252,"")))</f>
        <v/>
      </c>
      <c r="AM252" s="83" t="str">
        <f aca="false">IF(E252="","",IF(R252="","À SOUDER",IF(U252="","VT EN ATTENTE",IF(U252="R","VT REJETÉ – À REPRENDRE",IF(AL252="","À RADIOGRAPHIER",IF(AL252="A","ACCEPTÉ",IF(AL252="NX","NX – RT À REFAIRE",IF(IF(AK252=1,Z252,IF(AK252=2,AE252,""))="A","RÉPARÉ – À RADIOGRAPHIER",IF(IF(AK252=1,Z252,IF(AK252=2,AE252,""))="R","VT REJETÉ – À REPRENDRE",IF(OR(AL252="CO",AL252="NT"),"COUPE – À RESOUDER","À RÉPARER"))))))))))</f>
        <v>À SOUDER</v>
      </c>
      <c r="AN252" s="81" t="str">
        <f aca="false">IF(AND(ISNUMBER(R252),OR(AM252="À RADIOGRAPHIER",AM252="RÉPARÉ – À RADIOGRAPHIER",AM252="NX – RT À REFAIRE",AM252="À RÉPARER",AM252="COUPE – À RESOUDER",AM252="VT REJETÉ – À REPRENDRE")),MAX(0,'PROGRAMME RT'!$C$4-R252),"")</f>
        <v/>
      </c>
      <c r="AO252" s="78" t="n">
        <f aca="false">IF(AND(OR(AM252="À RADIOGRAPHIER",AM252="RÉPARÉ – À RADIOGRAPHIER",AM252="NX – RT À REFAIRE"),OR('PROGRAMME RT'!$D$5="TOUTES",B252='PROGRAMME RT'!$D$5)),1,0)</f>
        <v>0</v>
      </c>
      <c r="AP252" s="78" t="str">
        <f aca="false">IF(AO252=1,SUM(AO$7:AO252),"")</f>
        <v/>
      </c>
      <c r="AQ252" s="78" t="n">
        <f aca="false">IF(AND(OR(X252="R",X252="NX",X252="NT",X252="CO"),OR('JOINTS DE RÉPARATION'!$D$5="TOUTES",B252='JOINTS DE RÉPARATION'!$D$5),OR('JOINTS DE RÉPARATION'!$L$4="TOUS",AM252&lt;&gt;"ACCEPTÉ")),1,0)</f>
        <v>0</v>
      </c>
      <c r="AR252" s="78" t="str">
        <f aca="false">IF(AQ252=1,SUM(AQ$7:AQ252),"")</f>
        <v/>
      </c>
    </row>
    <row r="253" customFormat="false" ht="15" hidden="false" customHeight="false" outlineLevel="0" collapsed="false">
      <c r="A253" s="78" t="n">
        <f aca="false">IF(E253="","",ROW()-6)</f>
        <v>247</v>
      </c>
      <c r="B253" s="79" t="s">
        <v>575</v>
      </c>
      <c r="C253" s="80"/>
      <c r="D253" s="80"/>
      <c r="E253" s="80" t="s">
        <v>215</v>
      </c>
      <c r="F253" s="80"/>
      <c r="G253" s="80" t="s">
        <v>106</v>
      </c>
      <c r="H253" s="80"/>
      <c r="I253" s="80"/>
      <c r="J253" s="80"/>
      <c r="K253" s="80"/>
      <c r="L253" s="81" t="str">
        <f aca="false">IF(K253="","",IFERROR(INDEX(BARDAGE!$C$7:$C$1506,MATCH(K253,BARDAGE!$B$7:$B$1506,0)),"? hors registre"))</f>
        <v/>
      </c>
      <c r="M253" s="80"/>
      <c r="N253" s="81" t="str">
        <f aca="false">IF(M253="","",IFERROR(INDEX(BARDAGE!$C$7:$C$1506,MATCH(M253,BARDAGE!$B$7:$B$1506,0)),"? hors registre"))</f>
        <v/>
      </c>
      <c r="O253" s="80"/>
      <c r="P253" s="80"/>
      <c r="Q253" s="80"/>
      <c r="R253" s="82"/>
      <c r="S253" s="82"/>
      <c r="T253" s="80"/>
      <c r="U253" s="80"/>
      <c r="V253" s="82"/>
      <c r="W253" s="80"/>
      <c r="X253" s="80"/>
      <c r="Y253" s="80"/>
      <c r="Z253" s="80"/>
      <c r="AA253" s="82"/>
      <c r="AB253" s="80"/>
      <c r="AC253" s="80"/>
      <c r="AD253" s="80"/>
      <c r="AE253" s="80"/>
      <c r="AF253" s="82"/>
      <c r="AG253" s="80"/>
      <c r="AH253" s="80"/>
      <c r="AI253" s="82"/>
      <c r="AJ253" s="79"/>
      <c r="AK253" s="78" t="n">
        <f aca="false">IF(E253="","",(X253&lt;&gt;"")+(AC253&lt;&gt;"")+(AH253&lt;&gt;""))</f>
        <v>0</v>
      </c>
      <c r="AL253" s="81" t="str">
        <f aca="false">IF(AH253&lt;&gt;"",AH253,IF(AC253&lt;&gt;"",AC253,IF(X253&lt;&gt;"",X253,"")))</f>
        <v/>
      </c>
      <c r="AM253" s="83" t="str">
        <f aca="false">IF(E253="","",IF(R253="","À SOUDER",IF(U253="","VT EN ATTENTE",IF(U253="R","VT REJETÉ – À REPRENDRE",IF(AL253="","À RADIOGRAPHIER",IF(AL253="A","ACCEPTÉ",IF(AL253="NX","NX – RT À REFAIRE",IF(IF(AK253=1,Z253,IF(AK253=2,AE253,""))="A","RÉPARÉ – À RADIOGRAPHIER",IF(IF(AK253=1,Z253,IF(AK253=2,AE253,""))="R","VT REJETÉ – À REPRENDRE",IF(OR(AL253="CO",AL253="NT"),"COUPE – À RESOUDER","À RÉPARER"))))))))))</f>
        <v>À SOUDER</v>
      </c>
      <c r="AN253" s="81" t="str">
        <f aca="false">IF(AND(ISNUMBER(R253),OR(AM253="À RADIOGRAPHIER",AM253="RÉPARÉ – À RADIOGRAPHIER",AM253="NX – RT À REFAIRE",AM253="À RÉPARER",AM253="COUPE – À RESOUDER",AM253="VT REJETÉ – À REPRENDRE")),MAX(0,'PROGRAMME RT'!$C$4-R253),"")</f>
        <v/>
      </c>
      <c r="AO253" s="78" t="n">
        <f aca="false">IF(AND(OR(AM253="À RADIOGRAPHIER",AM253="RÉPARÉ – À RADIOGRAPHIER",AM253="NX – RT À REFAIRE"),OR('PROGRAMME RT'!$D$5="TOUTES",B253='PROGRAMME RT'!$D$5)),1,0)</f>
        <v>0</v>
      </c>
      <c r="AP253" s="78" t="str">
        <f aca="false">IF(AO253=1,SUM(AO$7:AO253),"")</f>
        <v/>
      </c>
      <c r="AQ253" s="78" t="n">
        <f aca="false">IF(AND(OR(X253="R",X253="NX",X253="NT",X253="CO"),OR('JOINTS DE RÉPARATION'!$D$5="TOUTES",B253='JOINTS DE RÉPARATION'!$D$5),OR('JOINTS DE RÉPARATION'!$L$4="TOUS",AM253&lt;&gt;"ACCEPTÉ")),1,0)</f>
        <v>0</v>
      </c>
      <c r="AR253" s="78" t="str">
        <f aca="false">IF(AQ253=1,SUM(AQ$7:AQ253),"")</f>
        <v/>
      </c>
    </row>
    <row r="254" customFormat="false" ht="15" hidden="false" customHeight="false" outlineLevel="0" collapsed="false">
      <c r="A254" s="78" t="n">
        <f aca="false">IF(E254="","",ROW()-6)</f>
        <v>248</v>
      </c>
      <c r="B254" s="79" t="s">
        <v>575</v>
      </c>
      <c r="C254" s="80"/>
      <c r="D254" s="80"/>
      <c r="E254" s="80" t="s">
        <v>217</v>
      </c>
      <c r="F254" s="80"/>
      <c r="G254" s="80" t="s">
        <v>106</v>
      </c>
      <c r="H254" s="80"/>
      <c r="I254" s="80"/>
      <c r="J254" s="80"/>
      <c r="K254" s="80"/>
      <c r="L254" s="81" t="str">
        <f aca="false">IF(K254="","",IFERROR(INDEX(BARDAGE!$C$7:$C$1506,MATCH(K254,BARDAGE!$B$7:$B$1506,0)),"? hors registre"))</f>
        <v/>
      </c>
      <c r="M254" s="80"/>
      <c r="N254" s="81" t="str">
        <f aca="false">IF(M254="","",IFERROR(INDEX(BARDAGE!$C$7:$C$1506,MATCH(M254,BARDAGE!$B$7:$B$1506,0)),"? hors registre"))</f>
        <v/>
      </c>
      <c r="O254" s="80"/>
      <c r="P254" s="80"/>
      <c r="Q254" s="80"/>
      <c r="R254" s="82"/>
      <c r="S254" s="82"/>
      <c r="T254" s="80"/>
      <c r="U254" s="80"/>
      <c r="V254" s="82"/>
      <c r="W254" s="80"/>
      <c r="X254" s="80"/>
      <c r="Y254" s="80"/>
      <c r="Z254" s="80"/>
      <c r="AA254" s="82"/>
      <c r="AB254" s="80"/>
      <c r="AC254" s="80"/>
      <c r="AD254" s="80"/>
      <c r="AE254" s="80"/>
      <c r="AF254" s="82"/>
      <c r="AG254" s="80"/>
      <c r="AH254" s="80"/>
      <c r="AI254" s="82"/>
      <c r="AJ254" s="79"/>
      <c r="AK254" s="78" t="n">
        <f aca="false">IF(E254="","",(X254&lt;&gt;"")+(AC254&lt;&gt;"")+(AH254&lt;&gt;""))</f>
        <v>0</v>
      </c>
      <c r="AL254" s="81" t="str">
        <f aca="false">IF(AH254&lt;&gt;"",AH254,IF(AC254&lt;&gt;"",AC254,IF(X254&lt;&gt;"",X254,"")))</f>
        <v/>
      </c>
      <c r="AM254" s="83" t="str">
        <f aca="false">IF(E254="","",IF(R254="","À SOUDER",IF(U254="","VT EN ATTENTE",IF(U254="R","VT REJETÉ – À REPRENDRE",IF(AL254="","À RADIOGRAPHIER",IF(AL254="A","ACCEPTÉ",IF(AL254="NX","NX – RT À REFAIRE",IF(IF(AK254=1,Z254,IF(AK254=2,AE254,""))="A","RÉPARÉ – À RADIOGRAPHIER",IF(IF(AK254=1,Z254,IF(AK254=2,AE254,""))="R","VT REJETÉ – À REPRENDRE",IF(OR(AL254="CO",AL254="NT"),"COUPE – À RESOUDER","À RÉPARER"))))))))))</f>
        <v>À SOUDER</v>
      </c>
      <c r="AN254" s="81" t="str">
        <f aca="false">IF(AND(ISNUMBER(R254),OR(AM254="À RADIOGRAPHIER",AM254="RÉPARÉ – À RADIOGRAPHIER",AM254="NX – RT À REFAIRE",AM254="À RÉPARER",AM254="COUPE – À RESOUDER",AM254="VT REJETÉ – À REPRENDRE")),MAX(0,'PROGRAMME RT'!$C$4-R254),"")</f>
        <v/>
      </c>
      <c r="AO254" s="78" t="n">
        <f aca="false">IF(AND(OR(AM254="À RADIOGRAPHIER",AM254="RÉPARÉ – À RADIOGRAPHIER",AM254="NX – RT À REFAIRE"),OR('PROGRAMME RT'!$D$5="TOUTES",B254='PROGRAMME RT'!$D$5)),1,0)</f>
        <v>0</v>
      </c>
      <c r="AP254" s="78" t="str">
        <f aca="false">IF(AO254=1,SUM(AO$7:AO254),"")</f>
        <v/>
      </c>
      <c r="AQ254" s="78" t="n">
        <f aca="false">IF(AND(OR(X254="R",X254="NX",X254="NT",X254="CO"),OR('JOINTS DE RÉPARATION'!$D$5="TOUTES",B254='JOINTS DE RÉPARATION'!$D$5),OR('JOINTS DE RÉPARATION'!$L$4="TOUS",AM254&lt;&gt;"ACCEPTÉ")),1,0)</f>
        <v>0</v>
      </c>
      <c r="AR254" s="78" t="str">
        <f aca="false">IF(AQ254=1,SUM(AQ$7:AQ254),"")</f>
        <v/>
      </c>
    </row>
    <row r="255" customFormat="false" ht="15" hidden="false" customHeight="false" outlineLevel="0" collapsed="false">
      <c r="A255" s="78" t="n">
        <f aca="false">IF(E255="","",ROW()-6)</f>
        <v>249</v>
      </c>
      <c r="B255" s="79" t="s">
        <v>575</v>
      </c>
      <c r="C255" s="80"/>
      <c r="D255" s="80"/>
      <c r="E255" s="80" t="s">
        <v>219</v>
      </c>
      <c r="F255" s="80"/>
      <c r="G255" s="80" t="s">
        <v>106</v>
      </c>
      <c r="H255" s="80"/>
      <c r="I255" s="80"/>
      <c r="J255" s="80"/>
      <c r="K255" s="80"/>
      <c r="L255" s="81" t="str">
        <f aca="false">IF(K255="","",IFERROR(INDEX(BARDAGE!$C$7:$C$1506,MATCH(K255,BARDAGE!$B$7:$B$1506,0)),"? hors registre"))</f>
        <v/>
      </c>
      <c r="M255" s="80"/>
      <c r="N255" s="81" t="str">
        <f aca="false">IF(M255="","",IFERROR(INDEX(BARDAGE!$C$7:$C$1506,MATCH(M255,BARDAGE!$B$7:$B$1506,0)),"? hors registre"))</f>
        <v/>
      </c>
      <c r="O255" s="80"/>
      <c r="P255" s="80"/>
      <c r="Q255" s="80"/>
      <c r="R255" s="82"/>
      <c r="S255" s="82"/>
      <c r="T255" s="80"/>
      <c r="U255" s="80"/>
      <c r="V255" s="82"/>
      <c r="W255" s="80"/>
      <c r="X255" s="80"/>
      <c r="Y255" s="80"/>
      <c r="Z255" s="80"/>
      <c r="AA255" s="82"/>
      <c r="AB255" s="80"/>
      <c r="AC255" s="80"/>
      <c r="AD255" s="80"/>
      <c r="AE255" s="80"/>
      <c r="AF255" s="82"/>
      <c r="AG255" s="80"/>
      <c r="AH255" s="80"/>
      <c r="AI255" s="82"/>
      <c r="AJ255" s="79"/>
      <c r="AK255" s="78" t="n">
        <f aca="false">IF(E255="","",(X255&lt;&gt;"")+(AC255&lt;&gt;"")+(AH255&lt;&gt;""))</f>
        <v>0</v>
      </c>
      <c r="AL255" s="81" t="str">
        <f aca="false">IF(AH255&lt;&gt;"",AH255,IF(AC255&lt;&gt;"",AC255,IF(X255&lt;&gt;"",X255,"")))</f>
        <v/>
      </c>
      <c r="AM255" s="83" t="str">
        <f aca="false">IF(E255="","",IF(R255="","À SOUDER",IF(U255="","VT EN ATTENTE",IF(U255="R","VT REJETÉ – À REPRENDRE",IF(AL255="","À RADIOGRAPHIER",IF(AL255="A","ACCEPTÉ",IF(AL255="NX","NX – RT À REFAIRE",IF(IF(AK255=1,Z255,IF(AK255=2,AE255,""))="A","RÉPARÉ – À RADIOGRAPHIER",IF(IF(AK255=1,Z255,IF(AK255=2,AE255,""))="R","VT REJETÉ – À REPRENDRE",IF(OR(AL255="CO",AL255="NT"),"COUPE – À RESOUDER","À RÉPARER"))))))))))</f>
        <v>À SOUDER</v>
      </c>
      <c r="AN255" s="81" t="str">
        <f aca="false">IF(AND(ISNUMBER(R255),OR(AM255="À RADIOGRAPHIER",AM255="RÉPARÉ – À RADIOGRAPHIER",AM255="NX – RT À REFAIRE",AM255="À RÉPARER",AM255="COUPE – À RESOUDER",AM255="VT REJETÉ – À REPRENDRE")),MAX(0,'PROGRAMME RT'!$C$4-R255),"")</f>
        <v/>
      </c>
      <c r="AO255" s="78" t="n">
        <f aca="false">IF(AND(OR(AM255="À RADIOGRAPHIER",AM255="RÉPARÉ – À RADIOGRAPHIER",AM255="NX – RT À REFAIRE"),OR('PROGRAMME RT'!$D$5="TOUTES",B255='PROGRAMME RT'!$D$5)),1,0)</f>
        <v>0</v>
      </c>
      <c r="AP255" s="78" t="str">
        <f aca="false">IF(AO255=1,SUM(AO$7:AO255),"")</f>
        <v/>
      </c>
      <c r="AQ255" s="78" t="n">
        <f aca="false">IF(AND(OR(X255="R",X255="NX",X255="NT",X255="CO"),OR('JOINTS DE RÉPARATION'!$D$5="TOUTES",B255='JOINTS DE RÉPARATION'!$D$5),OR('JOINTS DE RÉPARATION'!$L$4="TOUS",AM255&lt;&gt;"ACCEPTÉ")),1,0)</f>
        <v>0</v>
      </c>
      <c r="AR255" s="78" t="str">
        <f aca="false">IF(AQ255=1,SUM(AQ$7:AQ255),"")</f>
        <v/>
      </c>
    </row>
    <row r="256" customFormat="false" ht="15" hidden="false" customHeight="false" outlineLevel="0" collapsed="false">
      <c r="A256" s="78" t="n">
        <f aca="false">IF(E256="","",ROW()-6)</f>
        <v>250</v>
      </c>
      <c r="B256" s="79" t="s">
        <v>575</v>
      </c>
      <c r="C256" s="80"/>
      <c r="D256" s="80"/>
      <c r="E256" s="80" t="s">
        <v>578</v>
      </c>
      <c r="F256" s="80"/>
      <c r="G256" s="80" t="s">
        <v>106</v>
      </c>
      <c r="H256" s="80"/>
      <c r="I256" s="80"/>
      <c r="J256" s="80"/>
      <c r="K256" s="80"/>
      <c r="L256" s="81" t="str">
        <f aca="false">IF(K256="","",IFERROR(INDEX(BARDAGE!$C$7:$C$1506,MATCH(K256,BARDAGE!$B$7:$B$1506,0)),"? hors registre"))</f>
        <v/>
      </c>
      <c r="M256" s="80"/>
      <c r="N256" s="81" t="str">
        <f aca="false">IF(M256="","",IFERROR(INDEX(BARDAGE!$C$7:$C$1506,MATCH(M256,BARDAGE!$B$7:$B$1506,0)),"? hors registre"))</f>
        <v/>
      </c>
      <c r="O256" s="80"/>
      <c r="P256" s="80"/>
      <c r="Q256" s="80"/>
      <c r="R256" s="82"/>
      <c r="S256" s="82"/>
      <c r="T256" s="80"/>
      <c r="U256" s="80"/>
      <c r="V256" s="82"/>
      <c r="W256" s="80"/>
      <c r="X256" s="80"/>
      <c r="Y256" s="80"/>
      <c r="Z256" s="80"/>
      <c r="AA256" s="82"/>
      <c r="AB256" s="80"/>
      <c r="AC256" s="80"/>
      <c r="AD256" s="80"/>
      <c r="AE256" s="80"/>
      <c r="AF256" s="82"/>
      <c r="AG256" s="80"/>
      <c r="AH256" s="80"/>
      <c r="AI256" s="82"/>
      <c r="AJ256" s="79"/>
      <c r="AK256" s="78" t="n">
        <f aca="false">IF(E256="","",(X256&lt;&gt;"")+(AC256&lt;&gt;"")+(AH256&lt;&gt;""))</f>
        <v>0</v>
      </c>
      <c r="AL256" s="81" t="str">
        <f aca="false">IF(AH256&lt;&gt;"",AH256,IF(AC256&lt;&gt;"",AC256,IF(X256&lt;&gt;"",X256,"")))</f>
        <v/>
      </c>
      <c r="AM256" s="83" t="str">
        <f aca="false">IF(E256="","",IF(R256="","À SOUDER",IF(U256="","VT EN ATTENTE",IF(U256="R","VT REJETÉ – À REPRENDRE",IF(AL256="","À RADIOGRAPHIER",IF(AL256="A","ACCEPTÉ",IF(AL256="NX","NX – RT À REFAIRE",IF(IF(AK256=1,Z256,IF(AK256=2,AE256,""))="A","RÉPARÉ – À RADIOGRAPHIER",IF(IF(AK256=1,Z256,IF(AK256=2,AE256,""))="R","VT REJETÉ – À REPRENDRE",IF(OR(AL256="CO",AL256="NT"),"COUPE – À RESOUDER","À RÉPARER"))))))))))</f>
        <v>À SOUDER</v>
      </c>
      <c r="AN256" s="81" t="str">
        <f aca="false">IF(AND(ISNUMBER(R256),OR(AM256="À RADIOGRAPHIER",AM256="RÉPARÉ – À RADIOGRAPHIER",AM256="NX – RT À REFAIRE",AM256="À RÉPARER",AM256="COUPE – À RESOUDER",AM256="VT REJETÉ – À REPRENDRE")),MAX(0,'PROGRAMME RT'!$C$4-R256),"")</f>
        <v/>
      </c>
      <c r="AO256" s="78" t="n">
        <f aca="false">IF(AND(OR(AM256="À RADIOGRAPHIER",AM256="RÉPARÉ – À RADIOGRAPHIER",AM256="NX – RT À REFAIRE"),OR('PROGRAMME RT'!$D$5="TOUTES",B256='PROGRAMME RT'!$D$5)),1,0)</f>
        <v>0</v>
      </c>
      <c r="AP256" s="78" t="str">
        <f aca="false">IF(AO256=1,SUM(AO$7:AO256),"")</f>
        <v/>
      </c>
      <c r="AQ256" s="78" t="n">
        <f aca="false">IF(AND(OR(X256="R",X256="NX",X256="NT",X256="CO"),OR('JOINTS DE RÉPARATION'!$D$5="TOUTES",B256='JOINTS DE RÉPARATION'!$D$5),OR('JOINTS DE RÉPARATION'!$L$4="TOUS",AM256&lt;&gt;"ACCEPTÉ")),1,0)</f>
        <v>0</v>
      </c>
      <c r="AR256" s="78" t="str">
        <f aca="false">IF(AQ256=1,SUM(AQ$7:AQ256),"")</f>
        <v/>
      </c>
    </row>
    <row r="257" customFormat="false" ht="15" hidden="false" customHeight="false" outlineLevel="0" collapsed="false">
      <c r="A257" s="78" t="n">
        <f aca="false">IF(E257="","",ROW()-6)</f>
        <v>251</v>
      </c>
      <c r="B257" s="79" t="s">
        <v>575</v>
      </c>
      <c r="C257" s="80"/>
      <c r="D257" s="80"/>
      <c r="E257" s="80" t="s">
        <v>224</v>
      </c>
      <c r="F257" s="80"/>
      <c r="G257" s="80" t="s">
        <v>106</v>
      </c>
      <c r="H257" s="80"/>
      <c r="I257" s="80"/>
      <c r="J257" s="80"/>
      <c r="K257" s="80"/>
      <c r="L257" s="81" t="str">
        <f aca="false">IF(K257="","",IFERROR(INDEX(BARDAGE!$C$7:$C$1506,MATCH(K257,BARDAGE!$B$7:$B$1506,0)),"? hors registre"))</f>
        <v/>
      </c>
      <c r="M257" s="80"/>
      <c r="N257" s="81" t="str">
        <f aca="false">IF(M257="","",IFERROR(INDEX(BARDAGE!$C$7:$C$1506,MATCH(M257,BARDAGE!$B$7:$B$1506,0)),"? hors registre"))</f>
        <v/>
      </c>
      <c r="O257" s="80"/>
      <c r="P257" s="80"/>
      <c r="Q257" s="80"/>
      <c r="R257" s="82"/>
      <c r="S257" s="82"/>
      <c r="T257" s="80"/>
      <c r="U257" s="80"/>
      <c r="V257" s="82"/>
      <c r="W257" s="80"/>
      <c r="X257" s="80"/>
      <c r="Y257" s="80"/>
      <c r="Z257" s="80"/>
      <c r="AA257" s="82"/>
      <c r="AB257" s="80"/>
      <c r="AC257" s="80"/>
      <c r="AD257" s="80"/>
      <c r="AE257" s="80"/>
      <c r="AF257" s="82"/>
      <c r="AG257" s="80"/>
      <c r="AH257" s="80"/>
      <c r="AI257" s="82"/>
      <c r="AJ257" s="79"/>
      <c r="AK257" s="78" t="n">
        <f aca="false">IF(E257="","",(X257&lt;&gt;"")+(AC257&lt;&gt;"")+(AH257&lt;&gt;""))</f>
        <v>0</v>
      </c>
      <c r="AL257" s="81" t="str">
        <f aca="false">IF(AH257&lt;&gt;"",AH257,IF(AC257&lt;&gt;"",AC257,IF(X257&lt;&gt;"",X257,"")))</f>
        <v/>
      </c>
      <c r="AM257" s="83" t="str">
        <f aca="false">IF(E257="","",IF(R257="","À SOUDER",IF(U257="","VT EN ATTENTE",IF(U257="R","VT REJETÉ – À REPRENDRE",IF(AL257="","À RADIOGRAPHIER",IF(AL257="A","ACCEPTÉ",IF(AL257="NX","NX – RT À REFAIRE",IF(IF(AK257=1,Z257,IF(AK257=2,AE257,""))="A","RÉPARÉ – À RADIOGRAPHIER",IF(IF(AK257=1,Z257,IF(AK257=2,AE257,""))="R","VT REJETÉ – À REPRENDRE",IF(OR(AL257="CO",AL257="NT"),"COUPE – À RESOUDER","À RÉPARER"))))))))))</f>
        <v>À SOUDER</v>
      </c>
      <c r="AN257" s="81" t="str">
        <f aca="false">IF(AND(ISNUMBER(R257),OR(AM257="À RADIOGRAPHIER",AM257="RÉPARÉ – À RADIOGRAPHIER",AM257="NX – RT À REFAIRE",AM257="À RÉPARER",AM257="COUPE – À RESOUDER",AM257="VT REJETÉ – À REPRENDRE")),MAX(0,'PROGRAMME RT'!$C$4-R257),"")</f>
        <v/>
      </c>
      <c r="AO257" s="78" t="n">
        <f aca="false">IF(AND(OR(AM257="À RADIOGRAPHIER",AM257="RÉPARÉ – À RADIOGRAPHIER",AM257="NX – RT À REFAIRE"),OR('PROGRAMME RT'!$D$5="TOUTES",B257='PROGRAMME RT'!$D$5)),1,0)</f>
        <v>0</v>
      </c>
      <c r="AP257" s="78" t="str">
        <f aca="false">IF(AO257=1,SUM(AO$7:AO257),"")</f>
        <v/>
      </c>
      <c r="AQ257" s="78" t="n">
        <f aca="false">IF(AND(OR(X257="R",X257="NX",X257="NT",X257="CO"),OR('JOINTS DE RÉPARATION'!$D$5="TOUTES",B257='JOINTS DE RÉPARATION'!$D$5),OR('JOINTS DE RÉPARATION'!$L$4="TOUS",AM257&lt;&gt;"ACCEPTÉ")),1,0)</f>
        <v>0</v>
      </c>
      <c r="AR257" s="78" t="str">
        <f aca="false">IF(AQ257=1,SUM(AQ$7:AQ257),"")</f>
        <v/>
      </c>
    </row>
    <row r="258" customFormat="false" ht="15" hidden="false" customHeight="false" outlineLevel="0" collapsed="false">
      <c r="A258" s="78" t="n">
        <f aca="false">IF(E258="","",ROW()-6)</f>
        <v>252</v>
      </c>
      <c r="B258" s="79" t="s">
        <v>575</v>
      </c>
      <c r="C258" s="80"/>
      <c r="D258" s="80"/>
      <c r="E258" s="80" t="s">
        <v>226</v>
      </c>
      <c r="F258" s="80"/>
      <c r="G258" s="80" t="s">
        <v>106</v>
      </c>
      <c r="H258" s="80"/>
      <c r="I258" s="80"/>
      <c r="J258" s="80"/>
      <c r="K258" s="80"/>
      <c r="L258" s="81" t="str">
        <f aca="false">IF(K258="","",IFERROR(INDEX(BARDAGE!$C$7:$C$1506,MATCH(K258,BARDAGE!$B$7:$B$1506,0)),"? hors registre"))</f>
        <v/>
      </c>
      <c r="M258" s="80"/>
      <c r="N258" s="81" t="str">
        <f aca="false">IF(M258="","",IFERROR(INDEX(BARDAGE!$C$7:$C$1506,MATCH(M258,BARDAGE!$B$7:$B$1506,0)),"? hors registre"))</f>
        <v/>
      </c>
      <c r="O258" s="80"/>
      <c r="P258" s="80"/>
      <c r="Q258" s="80"/>
      <c r="R258" s="82"/>
      <c r="S258" s="82"/>
      <c r="T258" s="80"/>
      <c r="U258" s="80"/>
      <c r="V258" s="82"/>
      <c r="W258" s="80"/>
      <c r="X258" s="80"/>
      <c r="Y258" s="80"/>
      <c r="Z258" s="80"/>
      <c r="AA258" s="82"/>
      <c r="AB258" s="80"/>
      <c r="AC258" s="80"/>
      <c r="AD258" s="80"/>
      <c r="AE258" s="80"/>
      <c r="AF258" s="82"/>
      <c r="AG258" s="80"/>
      <c r="AH258" s="80"/>
      <c r="AI258" s="82"/>
      <c r="AJ258" s="79"/>
      <c r="AK258" s="78" t="n">
        <f aca="false">IF(E258="","",(X258&lt;&gt;"")+(AC258&lt;&gt;"")+(AH258&lt;&gt;""))</f>
        <v>0</v>
      </c>
      <c r="AL258" s="81" t="str">
        <f aca="false">IF(AH258&lt;&gt;"",AH258,IF(AC258&lt;&gt;"",AC258,IF(X258&lt;&gt;"",X258,"")))</f>
        <v/>
      </c>
      <c r="AM258" s="83" t="str">
        <f aca="false">IF(E258="","",IF(R258="","À SOUDER",IF(U258="","VT EN ATTENTE",IF(U258="R","VT REJETÉ – À REPRENDRE",IF(AL258="","À RADIOGRAPHIER",IF(AL258="A","ACCEPTÉ",IF(AL258="NX","NX – RT À REFAIRE",IF(IF(AK258=1,Z258,IF(AK258=2,AE258,""))="A","RÉPARÉ – À RADIOGRAPHIER",IF(IF(AK258=1,Z258,IF(AK258=2,AE258,""))="R","VT REJETÉ – À REPRENDRE",IF(OR(AL258="CO",AL258="NT"),"COUPE – À RESOUDER","À RÉPARER"))))))))))</f>
        <v>À SOUDER</v>
      </c>
      <c r="AN258" s="81" t="str">
        <f aca="false">IF(AND(ISNUMBER(R258),OR(AM258="À RADIOGRAPHIER",AM258="RÉPARÉ – À RADIOGRAPHIER",AM258="NX – RT À REFAIRE",AM258="À RÉPARER",AM258="COUPE – À RESOUDER",AM258="VT REJETÉ – À REPRENDRE")),MAX(0,'PROGRAMME RT'!$C$4-R258),"")</f>
        <v/>
      </c>
      <c r="AO258" s="78" t="n">
        <f aca="false">IF(AND(OR(AM258="À RADIOGRAPHIER",AM258="RÉPARÉ – À RADIOGRAPHIER",AM258="NX – RT À REFAIRE"),OR('PROGRAMME RT'!$D$5="TOUTES",B258='PROGRAMME RT'!$D$5)),1,0)</f>
        <v>0</v>
      </c>
      <c r="AP258" s="78" t="str">
        <f aca="false">IF(AO258=1,SUM(AO$7:AO258),"")</f>
        <v/>
      </c>
      <c r="AQ258" s="78" t="n">
        <f aca="false">IF(AND(OR(X258="R",X258="NX",X258="NT",X258="CO"),OR('JOINTS DE RÉPARATION'!$D$5="TOUTES",B258='JOINTS DE RÉPARATION'!$D$5),OR('JOINTS DE RÉPARATION'!$L$4="TOUS",AM258&lt;&gt;"ACCEPTÉ")),1,0)</f>
        <v>0</v>
      </c>
      <c r="AR258" s="78" t="str">
        <f aca="false">IF(AQ258=1,SUM(AQ$7:AQ258),"")</f>
        <v/>
      </c>
    </row>
    <row r="259" customFormat="false" ht="15" hidden="false" customHeight="false" outlineLevel="0" collapsed="false">
      <c r="A259" s="78" t="n">
        <f aca="false">IF(E259="","",ROW()-6)</f>
        <v>253</v>
      </c>
      <c r="B259" s="79" t="s">
        <v>575</v>
      </c>
      <c r="C259" s="80"/>
      <c r="D259" s="80"/>
      <c r="E259" s="80" t="s">
        <v>229</v>
      </c>
      <c r="F259" s="80"/>
      <c r="G259" s="80" t="s">
        <v>106</v>
      </c>
      <c r="H259" s="80"/>
      <c r="I259" s="80"/>
      <c r="J259" s="80"/>
      <c r="K259" s="80"/>
      <c r="L259" s="81" t="str">
        <f aca="false">IF(K259="","",IFERROR(INDEX(BARDAGE!$C$7:$C$1506,MATCH(K259,BARDAGE!$B$7:$B$1506,0)),"? hors registre"))</f>
        <v/>
      </c>
      <c r="M259" s="80"/>
      <c r="N259" s="81" t="str">
        <f aca="false">IF(M259="","",IFERROR(INDEX(BARDAGE!$C$7:$C$1506,MATCH(M259,BARDAGE!$B$7:$B$1506,0)),"? hors registre"))</f>
        <v/>
      </c>
      <c r="O259" s="80"/>
      <c r="P259" s="80"/>
      <c r="Q259" s="80"/>
      <c r="R259" s="82"/>
      <c r="S259" s="82"/>
      <c r="T259" s="80"/>
      <c r="U259" s="80"/>
      <c r="V259" s="82"/>
      <c r="W259" s="80"/>
      <c r="X259" s="80"/>
      <c r="Y259" s="80"/>
      <c r="Z259" s="80"/>
      <c r="AA259" s="82"/>
      <c r="AB259" s="80"/>
      <c r="AC259" s="80"/>
      <c r="AD259" s="80"/>
      <c r="AE259" s="80"/>
      <c r="AF259" s="82"/>
      <c r="AG259" s="80"/>
      <c r="AH259" s="80"/>
      <c r="AI259" s="82"/>
      <c r="AJ259" s="79"/>
      <c r="AK259" s="78" t="n">
        <f aca="false">IF(E259="","",(X259&lt;&gt;"")+(AC259&lt;&gt;"")+(AH259&lt;&gt;""))</f>
        <v>0</v>
      </c>
      <c r="AL259" s="81" t="str">
        <f aca="false">IF(AH259&lt;&gt;"",AH259,IF(AC259&lt;&gt;"",AC259,IF(X259&lt;&gt;"",X259,"")))</f>
        <v/>
      </c>
      <c r="AM259" s="83" t="str">
        <f aca="false">IF(E259="","",IF(R259="","À SOUDER",IF(U259="","VT EN ATTENTE",IF(U259="R","VT REJETÉ – À REPRENDRE",IF(AL259="","À RADIOGRAPHIER",IF(AL259="A","ACCEPTÉ",IF(AL259="NX","NX – RT À REFAIRE",IF(IF(AK259=1,Z259,IF(AK259=2,AE259,""))="A","RÉPARÉ – À RADIOGRAPHIER",IF(IF(AK259=1,Z259,IF(AK259=2,AE259,""))="R","VT REJETÉ – À REPRENDRE",IF(OR(AL259="CO",AL259="NT"),"COUPE – À RESOUDER","À RÉPARER"))))))))))</f>
        <v>À SOUDER</v>
      </c>
      <c r="AN259" s="81" t="str">
        <f aca="false">IF(AND(ISNUMBER(R259),OR(AM259="À RADIOGRAPHIER",AM259="RÉPARÉ – À RADIOGRAPHIER",AM259="NX – RT À REFAIRE",AM259="À RÉPARER",AM259="COUPE – À RESOUDER",AM259="VT REJETÉ – À REPRENDRE")),MAX(0,'PROGRAMME RT'!$C$4-R259),"")</f>
        <v/>
      </c>
      <c r="AO259" s="78" t="n">
        <f aca="false">IF(AND(OR(AM259="À RADIOGRAPHIER",AM259="RÉPARÉ – À RADIOGRAPHIER",AM259="NX – RT À REFAIRE"),OR('PROGRAMME RT'!$D$5="TOUTES",B259='PROGRAMME RT'!$D$5)),1,0)</f>
        <v>0</v>
      </c>
      <c r="AP259" s="78" t="str">
        <f aca="false">IF(AO259=1,SUM(AO$7:AO259),"")</f>
        <v/>
      </c>
      <c r="AQ259" s="78" t="n">
        <f aca="false">IF(AND(OR(X259="R",X259="NX",X259="NT",X259="CO"),OR('JOINTS DE RÉPARATION'!$D$5="TOUTES",B259='JOINTS DE RÉPARATION'!$D$5),OR('JOINTS DE RÉPARATION'!$L$4="TOUS",AM259&lt;&gt;"ACCEPTÉ")),1,0)</f>
        <v>0</v>
      </c>
      <c r="AR259" s="78" t="str">
        <f aca="false">IF(AQ259=1,SUM(AQ$7:AQ259),"")</f>
        <v/>
      </c>
    </row>
    <row r="260" customFormat="false" ht="15" hidden="false" customHeight="false" outlineLevel="0" collapsed="false">
      <c r="A260" s="78" t="n">
        <f aca="false">IF(E260="","",ROW()-6)</f>
        <v>254</v>
      </c>
      <c r="B260" s="79" t="s">
        <v>575</v>
      </c>
      <c r="C260" s="80"/>
      <c r="D260" s="80"/>
      <c r="E260" s="80" t="s">
        <v>232</v>
      </c>
      <c r="F260" s="80"/>
      <c r="G260" s="80" t="s">
        <v>106</v>
      </c>
      <c r="H260" s="80"/>
      <c r="I260" s="80"/>
      <c r="J260" s="80"/>
      <c r="K260" s="80"/>
      <c r="L260" s="81" t="str">
        <f aca="false">IF(K260="","",IFERROR(INDEX(BARDAGE!$C$7:$C$1506,MATCH(K260,BARDAGE!$B$7:$B$1506,0)),"? hors registre"))</f>
        <v/>
      </c>
      <c r="M260" s="80"/>
      <c r="N260" s="81" t="str">
        <f aca="false">IF(M260="","",IFERROR(INDEX(BARDAGE!$C$7:$C$1506,MATCH(M260,BARDAGE!$B$7:$B$1506,0)),"? hors registre"))</f>
        <v/>
      </c>
      <c r="O260" s="80"/>
      <c r="P260" s="80"/>
      <c r="Q260" s="80"/>
      <c r="R260" s="82"/>
      <c r="S260" s="82"/>
      <c r="T260" s="80"/>
      <c r="U260" s="80"/>
      <c r="V260" s="82"/>
      <c r="W260" s="80"/>
      <c r="X260" s="80"/>
      <c r="Y260" s="80"/>
      <c r="Z260" s="80"/>
      <c r="AA260" s="82"/>
      <c r="AB260" s="80"/>
      <c r="AC260" s="80"/>
      <c r="AD260" s="80"/>
      <c r="AE260" s="80"/>
      <c r="AF260" s="82"/>
      <c r="AG260" s="80"/>
      <c r="AH260" s="80"/>
      <c r="AI260" s="82"/>
      <c r="AJ260" s="79"/>
      <c r="AK260" s="78" t="n">
        <f aca="false">IF(E260="","",(X260&lt;&gt;"")+(AC260&lt;&gt;"")+(AH260&lt;&gt;""))</f>
        <v>0</v>
      </c>
      <c r="AL260" s="81" t="str">
        <f aca="false">IF(AH260&lt;&gt;"",AH260,IF(AC260&lt;&gt;"",AC260,IF(X260&lt;&gt;"",X260,"")))</f>
        <v/>
      </c>
      <c r="AM260" s="83" t="str">
        <f aca="false">IF(E260="","",IF(R260="","À SOUDER",IF(U260="","VT EN ATTENTE",IF(U260="R","VT REJETÉ – À REPRENDRE",IF(AL260="","À RADIOGRAPHIER",IF(AL260="A","ACCEPTÉ",IF(AL260="NX","NX – RT À REFAIRE",IF(IF(AK260=1,Z260,IF(AK260=2,AE260,""))="A","RÉPARÉ – À RADIOGRAPHIER",IF(IF(AK260=1,Z260,IF(AK260=2,AE260,""))="R","VT REJETÉ – À REPRENDRE",IF(OR(AL260="CO",AL260="NT"),"COUPE – À RESOUDER","À RÉPARER"))))))))))</f>
        <v>À SOUDER</v>
      </c>
      <c r="AN260" s="81" t="str">
        <f aca="false">IF(AND(ISNUMBER(R260),OR(AM260="À RADIOGRAPHIER",AM260="RÉPARÉ – À RADIOGRAPHIER",AM260="NX – RT À REFAIRE",AM260="À RÉPARER",AM260="COUPE – À RESOUDER",AM260="VT REJETÉ – À REPRENDRE")),MAX(0,'PROGRAMME RT'!$C$4-R260),"")</f>
        <v/>
      </c>
      <c r="AO260" s="78" t="n">
        <f aca="false">IF(AND(OR(AM260="À RADIOGRAPHIER",AM260="RÉPARÉ – À RADIOGRAPHIER",AM260="NX – RT À REFAIRE"),OR('PROGRAMME RT'!$D$5="TOUTES",B260='PROGRAMME RT'!$D$5)),1,0)</f>
        <v>0</v>
      </c>
      <c r="AP260" s="78" t="str">
        <f aca="false">IF(AO260=1,SUM(AO$7:AO260),"")</f>
        <v/>
      </c>
      <c r="AQ260" s="78" t="n">
        <f aca="false">IF(AND(OR(X260="R",X260="NX",X260="NT",X260="CO"),OR('JOINTS DE RÉPARATION'!$D$5="TOUTES",B260='JOINTS DE RÉPARATION'!$D$5),OR('JOINTS DE RÉPARATION'!$L$4="TOUS",AM260&lt;&gt;"ACCEPTÉ")),1,0)</f>
        <v>0</v>
      </c>
      <c r="AR260" s="78" t="str">
        <f aca="false">IF(AQ260=1,SUM(AQ$7:AQ260),"")</f>
        <v/>
      </c>
    </row>
    <row r="261" customFormat="false" ht="15" hidden="false" customHeight="false" outlineLevel="0" collapsed="false">
      <c r="A261" s="78" t="n">
        <f aca="false">IF(E261="","",ROW()-6)</f>
        <v>255</v>
      </c>
      <c r="B261" s="79" t="s">
        <v>575</v>
      </c>
      <c r="C261" s="80"/>
      <c r="D261" s="80"/>
      <c r="E261" s="80" t="s">
        <v>234</v>
      </c>
      <c r="F261" s="80"/>
      <c r="G261" s="80" t="s">
        <v>106</v>
      </c>
      <c r="H261" s="80"/>
      <c r="I261" s="80"/>
      <c r="J261" s="80"/>
      <c r="K261" s="80"/>
      <c r="L261" s="81" t="str">
        <f aca="false">IF(K261="","",IFERROR(INDEX(BARDAGE!$C$7:$C$1506,MATCH(K261,BARDAGE!$B$7:$B$1506,0)),"? hors registre"))</f>
        <v/>
      </c>
      <c r="M261" s="80"/>
      <c r="N261" s="81" t="str">
        <f aca="false">IF(M261="","",IFERROR(INDEX(BARDAGE!$C$7:$C$1506,MATCH(M261,BARDAGE!$B$7:$B$1506,0)),"? hors registre"))</f>
        <v/>
      </c>
      <c r="O261" s="80"/>
      <c r="P261" s="80"/>
      <c r="Q261" s="80"/>
      <c r="R261" s="82"/>
      <c r="S261" s="82"/>
      <c r="T261" s="80"/>
      <c r="U261" s="80"/>
      <c r="V261" s="82"/>
      <c r="W261" s="80"/>
      <c r="X261" s="80"/>
      <c r="Y261" s="80"/>
      <c r="Z261" s="80"/>
      <c r="AA261" s="82"/>
      <c r="AB261" s="80"/>
      <c r="AC261" s="80"/>
      <c r="AD261" s="80"/>
      <c r="AE261" s="80"/>
      <c r="AF261" s="82"/>
      <c r="AG261" s="80"/>
      <c r="AH261" s="80"/>
      <c r="AI261" s="82"/>
      <c r="AJ261" s="79"/>
      <c r="AK261" s="78" t="n">
        <f aca="false">IF(E261="","",(X261&lt;&gt;"")+(AC261&lt;&gt;"")+(AH261&lt;&gt;""))</f>
        <v>0</v>
      </c>
      <c r="AL261" s="81" t="str">
        <f aca="false">IF(AH261&lt;&gt;"",AH261,IF(AC261&lt;&gt;"",AC261,IF(X261&lt;&gt;"",X261,"")))</f>
        <v/>
      </c>
      <c r="AM261" s="83" t="str">
        <f aca="false">IF(E261="","",IF(R261="","À SOUDER",IF(U261="","VT EN ATTENTE",IF(U261="R","VT REJETÉ – À REPRENDRE",IF(AL261="","À RADIOGRAPHIER",IF(AL261="A","ACCEPTÉ",IF(AL261="NX","NX – RT À REFAIRE",IF(IF(AK261=1,Z261,IF(AK261=2,AE261,""))="A","RÉPARÉ – À RADIOGRAPHIER",IF(IF(AK261=1,Z261,IF(AK261=2,AE261,""))="R","VT REJETÉ – À REPRENDRE",IF(OR(AL261="CO",AL261="NT"),"COUPE – À RESOUDER","À RÉPARER"))))))))))</f>
        <v>À SOUDER</v>
      </c>
      <c r="AN261" s="81" t="str">
        <f aca="false">IF(AND(ISNUMBER(R261),OR(AM261="À RADIOGRAPHIER",AM261="RÉPARÉ – À RADIOGRAPHIER",AM261="NX – RT À REFAIRE",AM261="À RÉPARER",AM261="COUPE – À RESOUDER",AM261="VT REJETÉ – À REPRENDRE")),MAX(0,'PROGRAMME RT'!$C$4-R261),"")</f>
        <v/>
      </c>
      <c r="AO261" s="78" t="n">
        <f aca="false">IF(AND(OR(AM261="À RADIOGRAPHIER",AM261="RÉPARÉ – À RADIOGRAPHIER",AM261="NX – RT À REFAIRE"),OR('PROGRAMME RT'!$D$5="TOUTES",B261='PROGRAMME RT'!$D$5)),1,0)</f>
        <v>0</v>
      </c>
      <c r="AP261" s="78" t="str">
        <f aca="false">IF(AO261=1,SUM(AO$7:AO261),"")</f>
        <v/>
      </c>
      <c r="AQ261" s="78" t="n">
        <f aca="false">IF(AND(OR(X261="R",X261="NX",X261="NT",X261="CO"),OR('JOINTS DE RÉPARATION'!$D$5="TOUTES",B261='JOINTS DE RÉPARATION'!$D$5),OR('JOINTS DE RÉPARATION'!$L$4="TOUS",AM261&lt;&gt;"ACCEPTÉ")),1,0)</f>
        <v>0</v>
      </c>
      <c r="AR261" s="78" t="str">
        <f aca="false">IF(AQ261=1,SUM(AQ$7:AQ261),"")</f>
        <v/>
      </c>
    </row>
    <row r="262" customFormat="false" ht="15" hidden="false" customHeight="false" outlineLevel="0" collapsed="false">
      <c r="A262" s="78" t="n">
        <f aca="false">IF(E262="","",ROW()-6)</f>
        <v>256</v>
      </c>
      <c r="B262" s="79" t="s">
        <v>575</v>
      </c>
      <c r="C262" s="80"/>
      <c r="D262" s="80"/>
      <c r="E262" s="80" t="s">
        <v>236</v>
      </c>
      <c r="F262" s="80"/>
      <c r="G262" s="80" t="s">
        <v>106</v>
      </c>
      <c r="H262" s="80"/>
      <c r="I262" s="80"/>
      <c r="J262" s="80"/>
      <c r="K262" s="80"/>
      <c r="L262" s="81" t="str">
        <f aca="false">IF(K262="","",IFERROR(INDEX(BARDAGE!$C$7:$C$1506,MATCH(K262,BARDAGE!$B$7:$B$1506,0)),"? hors registre"))</f>
        <v/>
      </c>
      <c r="M262" s="80"/>
      <c r="N262" s="81" t="str">
        <f aca="false">IF(M262="","",IFERROR(INDEX(BARDAGE!$C$7:$C$1506,MATCH(M262,BARDAGE!$B$7:$B$1506,0)),"? hors registre"))</f>
        <v/>
      </c>
      <c r="O262" s="80"/>
      <c r="P262" s="80"/>
      <c r="Q262" s="80"/>
      <c r="R262" s="82"/>
      <c r="S262" s="82"/>
      <c r="T262" s="80"/>
      <c r="U262" s="80"/>
      <c r="V262" s="82"/>
      <c r="W262" s="80"/>
      <c r="X262" s="80"/>
      <c r="Y262" s="80"/>
      <c r="Z262" s="80"/>
      <c r="AA262" s="82"/>
      <c r="AB262" s="80"/>
      <c r="AC262" s="80"/>
      <c r="AD262" s="80"/>
      <c r="AE262" s="80"/>
      <c r="AF262" s="82"/>
      <c r="AG262" s="80"/>
      <c r="AH262" s="80"/>
      <c r="AI262" s="82"/>
      <c r="AJ262" s="79"/>
      <c r="AK262" s="78" t="n">
        <f aca="false">IF(E262="","",(X262&lt;&gt;"")+(AC262&lt;&gt;"")+(AH262&lt;&gt;""))</f>
        <v>0</v>
      </c>
      <c r="AL262" s="81" t="str">
        <f aca="false">IF(AH262&lt;&gt;"",AH262,IF(AC262&lt;&gt;"",AC262,IF(X262&lt;&gt;"",X262,"")))</f>
        <v/>
      </c>
      <c r="AM262" s="83" t="str">
        <f aca="false">IF(E262="","",IF(R262="","À SOUDER",IF(U262="","VT EN ATTENTE",IF(U262="R","VT REJETÉ – À REPRENDRE",IF(AL262="","À RADIOGRAPHIER",IF(AL262="A","ACCEPTÉ",IF(AL262="NX","NX – RT À REFAIRE",IF(IF(AK262=1,Z262,IF(AK262=2,AE262,""))="A","RÉPARÉ – À RADIOGRAPHIER",IF(IF(AK262=1,Z262,IF(AK262=2,AE262,""))="R","VT REJETÉ – À REPRENDRE",IF(OR(AL262="CO",AL262="NT"),"COUPE – À RESOUDER","À RÉPARER"))))))))))</f>
        <v>À SOUDER</v>
      </c>
      <c r="AN262" s="81" t="str">
        <f aca="false">IF(AND(ISNUMBER(R262),OR(AM262="À RADIOGRAPHIER",AM262="RÉPARÉ – À RADIOGRAPHIER",AM262="NX – RT À REFAIRE",AM262="À RÉPARER",AM262="COUPE – À RESOUDER",AM262="VT REJETÉ – À REPRENDRE")),MAX(0,'PROGRAMME RT'!$C$4-R262),"")</f>
        <v/>
      </c>
      <c r="AO262" s="78" t="n">
        <f aca="false">IF(AND(OR(AM262="À RADIOGRAPHIER",AM262="RÉPARÉ – À RADIOGRAPHIER",AM262="NX – RT À REFAIRE"),OR('PROGRAMME RT'!$D$5="TOUTES",B262='PROGRAMME RT'!$D$5)),1,0)</f>
        <v>0</v>
      </c>
      <c r="AP262" s="78" t="str">
        <f aca="false">IF(AO262=1,SUM(AO$7:AO262),"")</f>
        <v/>
      </c>
      <c r="AQ262" s="78" t="n">
        <f aca="false">IF(AND(OR(X262="R",X262="NX",X262="NT",X262="CO"),OR('JOINTS DE RÉPARATION'!$D$5="TOUTES",B262='JOINTS DE RÉPARATION'!$D$5),OR('JOINTS DE RÉPARATION'!$L$4="TOUS",AM262&lt;&gt;"ACCEPTÉ")),1,0)</f>
        <v>0</v>
      </c>
      <c r="AR262" s="78" t="str">
        <f aca="false">IF(AQ262=1,SUM(AQ$7:AQ262),"")</f>
        <v/>
      </c>
    </row>
    <row r="263" customFormat="false" ht="15" hidden="false" customHeight="false" outlineLevel="0" collapsed="false">
      <c r="A263" s="78" t="n">
        <f aca="false">IF(E263="","",ROW()-6)</f>
        <v>257</v>
      </c>
      <c r="B263" s="79" t="s">
        <v>575</v>
      </c>
      <c r="C263" s="80"/>
      <c r="D263" s="80"/>
      <c r="E263" s="80" t="s">
        <v>238</v>
      </c>
      <c r="F263" s="80"/>
      <c r="G263" s="80" t="s">
        <v>106</v>
      </c>
      <c r="H263" s="80"/>
      <c r="I263" s="80"/>
      <c r="J263" s="80"/>
      <c r="K263" s="80"/>
      <c r="L263" s="81" t="str">
        <f aca="false">IF(K263="","",IFERROR(INDEX(BARDAGE!$C$7:$C$1506,MATCH(K263,BARDAGE!$B$7:$B$1506,0)),"? hors registre"))</f>
        <v/>
      </c>
      <c r="M263" s="80"/>
      <c r="N263" s="81" t="str">
        <f aca="false">IF(M263="","",IFERROR(INDEX(BARDAGE!$C$7:$C$1506,MATCH(M263,BARDAGE!$B$7:$B$1506,0)),"? hors registre"))</f>
        <v/>
      </c>
      <c r="O263" s="80"/>
      <c r="P263" s="80"/>
      <c r="Q263" s="80"/>
      <c r="R263" s="82"/>
      <c r="S263" s="82"/>
      <c r="T263" s="80"/>
      <c r="U263" s="80"/>
      <c r="V263" s="82"/>
      <c r="W263" s="80"/>
      <c r="X263" s="80"/>
      <c r="Y263" s="80"/>
      <c r="Z263" s="80"/>
      <c r="AA263" s="82"/>
      <c r="AB263" s="80"/>
      <c r="AC263" s="80"/>
      <c r="AD263" s="80"/>
      <c r="AE263" s="80"/>
      <c r="AF263" s="82"/>
      <c r="AG263" s="80"/>
      <c r="AH263" s="80"/>
      <c r="AI263" s="82"/>
      <c r="AJ263" s="79"/>
      <c r="AK263" s="78" t="n">
        <f aca="false">IF(E263="","",(X263&lt;&gt;"")+(AC263&lt;&gt;"")+(AH263&lt;&gt;""))</f>
        <v>0</v>
      </c>
      <c r="AL263" s="81" t="str">
        <f aca="false">IF(AH263&lt;&gt;"",AH263,IF(AC263&lt;&gt;"",AC263,IF(X263&lt;&gt;"",X263,"")))</f>
        <v/>
      </c>
      <c r="AM263" s="83" t="str">
        <f aca="false">IF(E263="","",IF(R263="","À SOUDER",IF(U263="","VT EN ATTENTE",IF(U263="R","VT REJETÉ – À REPRENDRE",IF(AL263="","À RADIOGRAPHIER",IF(AL263="A","ACCEPTÉ",IF(AL263="NX","NX – RT À REFAIRE",IF(IF(AK263=1,Z263,IF(AK263=2,AE263,""))="A","RÉPARÉ – À RADIOGRAPHIER",IF(IF(AK263=1,Z263,IF(AK263=2,AE263,""))="R","VT REJETÉ – À REPRENDRE",IF(OR(AL263="CO",AL263="NT"),"COUPE – À RESOUDER","À RÉPARER"))))))))))</f>
        <v>À SOUDER</v>
      </c>
      <c r="AN263" s="81" t="str">
        <f aca="false">IF(AND(ISNUMBER(R263),OR(AM263="À RADIOGRAPHIER",AM263="RÉPARÉ – À RADIOGRAPHIER",AM263="NX – RT À REFAIRE",AM263="À RÉPARER",AM263="COUPE – À RESOUDER",AM263="VT REJETÉ – À REPRENDRE")),MAX(0,'PROGRAMME RT'!$C$4-R263),"")</f>
        <v/>
      </c>
      <c r="AO263" s="78" t="n">
        <f aca="false">IF(AND(OR(AM263="À RADIOGRAPHIER",AM263="RÉPARÉ – À RADIOGRAPHIER",AM263="NX – RT À REFAIRE"),OR('PROGRAMME RT'!$D$5="TOUTES",B263='PROGRAMME RT'!$D$5)),1,0)</f>
        <v>0</v>
      </c>
      <c r="AP263" s="78" t="str">
        <f aca="false">IF(AO263=1,SUM(AO$7:AO263),"")</f>
        <v/>
      </c>
      <c r="AQ263" s="78" t="n">
        <f aca="false">IF(AND(OR(X263="R",X263="NX",X263="NT",X263="CO"),OR('JOINTS DE RÉPARATION'!$D$5="TOUTES",B263='JOINTS DE RÉPARATION'!$D$5),OR('JOINTS DE RÉPARATION'!$L$4="TOUS",AM263&lt;&gt;"ACCEPTÉ")),1,0)</f>
        <v>0</v>
      </c>
      <c r="AR263" s="78" t="str">
        <f aca="false">IF(AQ263=1,SUM(AQ$7:AQ263),"")</f>
        <v/>
      </c>
    </row>
    <row r="264" customFormat="false" ht="15" hidden="false" customHeight="false" outlineLevel="0" collapsed="false">
      <c r="A264" s="78" t="n">
        <f aca="false">IF(E264="","",ROW()-6)</f>
        <v>258</v>
      </c>
      <c r="B264" s="79" t="s">
        <v>575</v>
      </c>
      <c r="C264" s="80"/>
      <c r="D264" s="80"/>
      <c r="E264" s="80" t="s">
        <v>240</v>
      </c>
      <c r="F264" s="80"/>
      <c r="G264" s="80" t="s">
        <v>106</v>
      </c>
      <c r="H264" s="80"/>
      <c r="I264" s="80"/>
      <c r="J264" s="80"/>
      <c r="K264" s="80"/>
      <c r="L264" s="81" t="str">
        <f aca="false">IF(K264="","",IFERROR(INDEX(BARDAGE!$C$7:$C$1506,MATCH(K264,BARDAGE!$B$7:$B$1506,0)),"? hors registre"))</f>
        <v/>
      </c>
      <c r="M264" s="80"/>
      <c r="N264" s="81" t="str">
        <f aca="false">IF(M264="","",IFERROR(INDEX(BARDAGE!$C$7:$C$1506,MATCH(M264,BARDAGE!$B$7:$B$1506,0)),"? hors registre"))</f>
        <v/>
      </c>
      <c r="O264" s="80"/>
      <c r="P264" s="80"/>
      <c r="Q264" s="80"/>
      <c r="R264" s="82"/>
      <c r="S264" s="82"/>
      <c r="T264" s="80"/>
      <c r="U264" s="80"/>
      <c r="V264" s="82"/>
      <c r="W264" s="80"/>
      <c r="X264" s="80"/>
      <c r="Y264" s="80"/>
      <c r="Z264" s="80"/>
      <c r="AA264" s="82"/>
      <c r="AB264" s="80"/>
      <c r="AC264" s="80"/>
      <c r="AD264" s="80"/>
      <c r="AE264" s="80"/>
      <c r="AF264" s="82"/>
      <c r="AG264" s="80"/>
      <c r="AH264" s="80"/>
      <c r="AI264" s="82"/>
      <c r="AJ264" s="79"/>
      <c r="AK264" s="78" t="n">
        <f aca="false">IF(E264="","",(X264&lt;&gt;"")+(AC264&lt;&gt;"")+(AH264&lt;&gt;""))</f>
        <v>0</v>
      </c>
      <c r="AL264" s="81" t="str">
        <f aca="false">IF(AH264&lt;&gt;"",AH264,IF(AC264&lt;&gt;"",AC264,IF(X264&lt;&gt;"",X264,"")))</f>
        <v/>
      </c>
      <c r="AM264" s="83" t="str">
        <f aca="false">IF(E264="","",IF(R264="","À SOUDER",IF(U264="","VT EN ATTENTE",IF(U264="R","VT REJETÉ – À REPRENDRE",IF(AL264="","À RADIOGRAPHIER",IF(AL264="A","ACCEPTÉ",IF(AL264="NX","NX – RT À REFAIRE",IF(IF(AK264=1,Z264,IF(AK264=2,AE264,""))="A","RÉPARÉ – À RADIOGRAPHIER",IF(IF(AK264=1,Z264,IF(AK264=2,AE264,""))="R","VT REJETÉ – À REPRENDRE",IF(OR(AL264="CO",AL264="NT"),"COUPE – À RESOUDER","À RÉPARER"))))))))))</f>
        <v>À SOUDER</v>
      </c>
      <c r="AN264" s="81" t="str">
        <f aca="false">IF(AND(ISNUMBER(R264),OR(AM264="À RADIOGRAPHIER",AM264="RÉPARÉ – À RADIOGRAPHIER",AM264="NX – RT À REFAIRE",AM264="À RÉPARER",AM264="COUPE – À RESOUDER",AM264="VT REJETÉ – À REPRENDRE")),MAX(0,'PROGRAMME RT'!$C$4-R264),"")</f>
        <v/>
      </c>
      <c r="AO264" s="78" t="n">
        <f aca="false">IF(AND(OR(AM264="À RADIOGRAPHIER",AM264="RÉPARÉ – À RADIOGRAPHIER",AM264="NX – RT À REFAIRE"),OR('PROGRAMME RT'!$D$5="TOUTES",B264='PROGRAMME RT'!$D$5)),1,0)</f>
        <v>0</v>
      </c>
      <c r="AP264" s="78" t="str">
        <f aca="false">IF(AO264=1,SUM(AO$7:AO264),"")</f>
        <v/>
      </c>
      <c r="AQ264" s="78" t="n">
        <f aca="false">IF(AND(OR(X264="R",X264="NX",X264="NT",X264="CO"),OR('JOINTS DE RÉPARATION'!$D$5="TOUTES",B264='JOINTS DE RÉPARATION'!$D$5),OR('JOINTS DE RÉPARATION'!$L$4="TOUS",AM264&lt;&gt;"ACCEPTÉ")),1,0)</f>
        <v>0</v>
      </c>
      <c r="AR264" s="78" t="str">
        <f aca="false">IF(AQ264=1,SUM(AQ$7:AQ264),"")</f>
        <v/>
      </c>
    </row>
    <row r="265" customFormat="false" ht="15" hidden="false" customHeight="false" outlineLevel="0" collapsed="false">
      <c r="A265" s="78" t="n">
        <f aca="false">IF(E265="","",ROW()-6)</f>
        <v>259</v>
      </c>
      <c r="B265" s="79" t="s">
        <v>575</v>
      </c>
      <c r="C265" s="80"/>
      <c r="D265" s="80"/>
      <c r="E265" s="80" t="s">
        <v>243</v>
      </c>
      <c r="F265" s="80"/>
      <c r="G265" s="80" t="s">
        <v>106</v>
      </c>
      <c r="H265" s="80"/>
      <c r="I265" s="80"/>
      <c r="J265" s="80"/>
      <c r="K265" s="80"/>
      <c r="L265" s="81" t="str">
        <f aca="false">IF(K265="","",IFERROR(INDEX(BARDAGE!$C$7:$C$1506,MATCH(K265,BARDAGE!$B$7:$B$1506,0)),"? hors registre"))</f>
        <v/>
      </c>
      <c r="M265" s="80"/>
      <c r="N265" s="81" t="str">
        <f aca="false">IF(M265="","",IFERROR(INDEX(BARDAGE!$C$7:$C$1506,MATCH(M265,BARDAGE!$B$7:$B$1506,0)),"? hors registre"))</f>
        <v/>
      </c>
      <c r="O265" s="80"/>
      <c r="P265" s="80"/>
      <c r="Q265" s="80"/>
      <c r="R265" s="82"/>
      <c r="S265" s="82"/>
      <c r="T265" s="80"/>
      <c r="U265" s="80"/>
      <c r="V265" s="82"/>
      <c r="W265" s="80"/>
      <c r="X265" s="80"/>
      <c r="Y265" s="80"/>
      <c r="Z265" s="80"/>
      <c r="AA265" s="82"/>
      <c r="AB265" s="80"/>
      <c r="AC265" s="80"/>
      <c r="AD265" s="80"/>
      <c r="AE265" s="80"/>
      <c r="AF265" s="82"/>
      <c r="AG265" s="80"/>
      <c r="AH265" s="80"/>
      <c r="AI265" s="82"/>
      <c r="AJ265" s="79"/>
      <c r="AK265" s="78" t="n">
        <f aca="false">IF(E265="","",(X265&lt;&gt;"")+(AC265&lt;&gt;"")+(AH265&lt;&gt;""))</f>
        <v>0</v>
      </c>
      <c r="AL265" s="81" t="str">
        <f aca="false">IF(AH265&lt;&gt;"",AH265,IF(AC265&lt;&gt;"",AC265,IF(X265&lt;&gt;"",X265,"")))</f>
        <v/>
      </c>
      <c r="AM265" s="83" t="str">
        <f aca="false">IF(E265="","",IF(R265="","À SOUDER",IF(U265="","VT EN ATTENTE",IF(U265="R","VT REJETÉ – À REPRENDRE",IF(AL265="","À RADIOGRAPHIER",IF(AL265="A","ACCEPTÉ",IF(AL265="NX","NX – RT À REFAIRE",IF(IF(AK265=1,Z265,IF(AK265=2,AE265,""))="A","RÉPARÉ – À RADIOGRAPHIER",IF(IF(AK265=1,Z265,IF(AK265=2,AE265,""))="R","VT REJETÉ – À REPRENDRE",IF(OR(AL265="CO",AL265="NT"),"COUPE – À RESOUDER","À RÉPARER"))))))))))</f>
        <v>À SOUDER</v>
      </c>
      <c r="AN265" s="81" t="str">
        <f aca="false">IF(AND(ISNUMBER(R265),OR(AM265="À RADIOGRAPHIER",AM265="RÉPARÉ – À RADIOGRAPHIER",AM265="NX – RT À REFAIRE",AM265="À RÉPARER",AM265="COUPE – À RESOUDER",AM265="VT REJETÉ – À REPRENDRE")),MAX(0,'PROGRAMME RT'!$C$4-R265),"")</f>
        <v/>
      </c>
      <c r="AO265" s="78" t="n">
        <f aca="false">IF(AND(OR(AM265="À RADIOGRAPHIER",AM265="RÉPARÉ – À RADIOGRAPHIER",AM265="NX – RT À REFAIRE"),OR('PROGRAMME RT'!$D$5="TOUTES",B265='PROGRAMME RT'!$D$5)),1,0)</f>
        <v>0</v>
      </c>
      <c r="AP265" s="78" t="str">
        <f aca="false">IF(AO265=1,SUM(AO$7:AO265),"")</f>
        <v/>
      </c>
      <c r="AQ265" s="78" t="n">
        <f aca="false">IF(AND(OR(X265="R",X265="NX",X265="NT",X265="CO"),OR('JOINTS DE RÉPARATION'!$D$5="TOUTES",B265='JOINTS DE RÉPARATION'!$D$5),OR('JOINTS DE RÉPARATION'!$L$4="TOUS",AM265&lt;&gt;"ACCEPTÉ")),1,0)</f>
        <v>0</v>
      </c>
      <c r="AR265" s="78" t="str">
        <f aca="false">IF(AQ265=1,SUM(AQ$7:AQ265),"")</f>
        <v/>
      </c>
    </row>
    <row r="266" customFormat="false" ht="15" hidden="false" customHeight="false" outlineLevel="0" collapsed="false">
      <c r="A266" s="78" t="n">
        <f aca="false">IF(E266="","",ROW()-6)</f>
        <v>260</v>
      </c>
      <c r="B266" s="79" t="s">
        <v>575</v>
      </c>
      <c r="C266" s="80"/>
      <c r="D266" s="80"/>
      <c r="E266" s="80" t="s">
        <v>245</v>
      </c>
      <c r="F266" s="80"/>
      <c r="G266" s="80" t="s">
        <v>106</v>
      </c>
      <c r="H266" s="80"/>
      <c r="I266" s="80"/>
      <c r="J266" s="80"/>
      <c r="K266" s="80"/>
      <c r="L266" s="81" t="str">
        <f aca="false">IF(K266="","",IFERROR(INDEX(BARDAGE!$C$7:$C$1506,MATCH(K266,BARDAGE!$B$7:$B$1506,0)),"? hors registre"))</f>
        <v/>
      </c>
      <c r="M266" s="80"/>
      <c r="N266" s="81" t="str">
        <f aca="false">IF(M266="","",IFERROR(INDEX(BARDAGE!$C$7:$C$1506,MATCH(M266,BARDAGE!$B$7:$B$1506,0)),"? hors registre"))</f>
        <v/>
      </c>
      <c r="O266" s="80"/>
      <c r="P266" s="80"/>
      <c r="Q266" s="80"/>
      <c r="R266" s="82"/>
      <c r="S266" s="82"/>
      <c r="T266" s="80"/>
      <c r="U266" s="80"/>
      <c r="V266" s="82"/>
      <c r="W266" s="80"/>
      <c r="X266" s="80"/>
      <c r="Y266" s="80"/>
      <c r="Z266" s="80"/>
      <c r="AA266" s="82"/>
      <c r="AB266" s="80"/>
      <c r="AC266" s="80"/>
      <c r="AD266" s="80"/>
      <c r="AE266" s="80"/>
      <c r="AF266" s="82"/>
      <c r="AG266" s="80"/>
      <c r="AH266" s="80"/>
      <c r="AI266" s="82"/>
      <c r="AJ266" s="79"/>
      <c r="AK266" s="78" t="n">
        <f aca="false">IF(E266="","",(X266&lt;&gt;"")+(AC266&lt;&gt;"")+(AH266&lt;&gt;""))</f>
        <v>0</v>
      </c>
      <c r="AL266" s="81" t="str">
        <f aca="false">IF(AH266&lt;&gt;"",AH266,IF(AC266&lt;&gt;"",AC266,IF(X266&lt;&gt;"",X266,"")))</f>
        <v/>
      </c>
      <c r="AM266" s="83" t="str">
        <f aca="false">IF(E266="","",IF(R266="","À SOUDER",IF(U266="","VT EN ATTENTE",IF(U266="R","VT REJETÉ – À REPRENDRE",IF(AL266="","À RADIOGRAPHIER",IF(AL266="A","ACCEPTÉ",IF(AL266="NX","NX – RT À REFAIRE",IF(IF(AK266=1,Z266,IF(AK266=2,AE266,""))="A","RÉPARÉ – À RADIOGRAPHIER",IF(IF(AK266=1,Z266,IF(AK266=2,AE266,""))="R","VT REJETÉ – À REPRENDRE",IF(OR(AL266="CO",AL266="NT"),"COUPE – À RESOUDER","À RÉPARER"))))))))))</f>
        <v>À SOUDER</v>
      </c>
      <c r="AN266" s="81" t="str">
        <f aca="false">IF(AND(ISNUMBER(R266),OR(AM266="À RADIOGRAPHIER",AM266="RÉPARÉ – À RADIOGRAPHIER",AM266="NX – RT À REFAIRE",AM266="À RÉPARER",AM266="COUPE – À RESOUDER",AM266="VT REJETÉ – À REPRENDRE")),MAX(0,'PROGRAMME RT'!$C$4-R266),"")</f>
        <v/>
      </c>
      <c r="AO266" s="78" t="n">
        <f aca="false">IF(AND(OR(AM266="À RADIOGRAPHIER",AM266="RÉPARÉ – À RADIOGRAPHIER",AM266="NX – RT À REFAIRE"),OR('PROGRAMME RT'!$D$5="TOUTES",B266='PROGRAMME RT'!$D$5)),1,0)</f>
        <v>0</v>
      </c>
      <c r="AP266" s="78" t="str">
        <f aca="false">IF(AO266=1,SUM(AO$7:AO266),"")</f>
        <v/>
      </c>
      <c r="AQ266" s="78" t="n">
        <f aca="false">IF(AND(OR(X266="R",X266="NX",X266="NT",X266="CO"),OR('JOINTS DE RÉPARATION'!$D$5="TOUTES",B266='JOINTS DE RÉPARATION'!$D$5),OR('JOINTS DE RÉPARATION'!$L$4="TOUS",AM266&lt;&gt;"ACCEPTÉ")),1,0)</f>
        <v>0</v>
      </c>
      <c r="AR266" s="78" t="str">
        <f aca="false">IF(AQ266=1,SUM(AQ$7:AQ266),"")</f>
        <v/>
      </c>
    </row>
    <row r="267" customFormat="false" ht="15" hidden="false" customHeight="false" outlineLevel="0" collapsed="false">
      <c r="A267" s="78" t="n">
        <f aca="false">IF(E267="","",ROW()-6)</f>
        <v>261</v>
      </c>
      <c r="B267" s="79" t="s">
        <v>575</v>
      </c>
      <c r="C267" s="80"/>
      <c r="D267" s="80"/>
      <c r="E267" s="80" t="s">
        <v>247</v>
      </c>
      <c r="F267" s="80"/>
      <c r="G267" s="80" t="s">
        <v>106</v>
      </c>
      <c r="H267" s="80"/>
      <c r="I267" s="80"/>
      <c r="J267" s="80"/>
      <c r="K267" s="80"/>
      <c r="L267" s="81" t="str">
        <f aca="false">IF(K267="","",IFERROR(INDEX(BARDAGE!$C$7:$C$1506,MATCH(K267,BARDAGE!$B$7:$B$1506,0)),"? hors registre"))</f>
        <v/>
      </c>
      <c r="M267" s="80"/>
      <c r="N267" s="81" t="str">
        <f aca="false">IF(M267="","",IFERROR(INDEX(BARDAGE!$C$7:$C$1506,MATCH(M267,BARDAGE!$B$7:$B$1506,0)),"? hors registre"))</f>
        <v/>
      </c>
      <c r="O267" s="80"/>
      <c r="P267" s="80"/>
      <c r="Q267" s="80"/>
      <c r="R267" s="82"/>
      <c r="S267" s="82"/>
      <c r="T267" s="80"/>
      <c r="U267" s="80"/>
      <c r="V267" s="82"/>
      <c r="W267" s="80"/>
      <c r="X267" s="80"/>
      <c r="Y267" s="80"/>
      <c r="Z267" s="80"/>
      <c r="AA267" s="82"/>
      <c r="AB267" s="80"/>
      <c r="AC267" s="80"/>
      <c r="AD267" s="80"/>
      <c r="AE267" s="80"/>
      <c r="AF267" s="82"/>
      <c r="AG267" s="80"/>
      <c r="AH267" s="80"/>
      <c r="AI267" s="82"/>
      <c r="AJ267" s="79"/>
      <c r="AK267" s="78" t="n">
        <f aca="false">IF(E267="","",(X267&lt;&gt;"")+(AC267&lt;&gt;"")+(AH267&lt;&gt;""))</f>
        <v>0</v>
      </c>
      <c r="AL267" s="81" t="str">
        <f aca="false">IF(AH267&lt;&gt;"",AH267,IF(AC267&lt;&gt;"",AC267,IF(X267&lt;&gt;"",X267,"")))</f>
        <v/>
      </c>
      <c r="AM267" s="83" t="str">
        <f aca="false">IF(E267="","",IF(R267="","À SOUDER",IF(U267="","VT EN ATTENTE",IF(U267="R","VT REJETÉ – À REPRENDRE",IF(AL267="","À RADIOGRAPHIER",IF(AL267="A","ACCEPTÉ",IF(AL267="NX","NX – RT À REFAIRE",IF(IF(AK267=1,Z267,IF(AK267=2,AE267,""))="A","RÉPARÉ – À RADIOGRAPHIER",IF(IF(AK267=1,Z267,IF(AK267=2,AE267,""))="R","VT REJETÉ – À REPRENDRE",IF(OR(AL267="CO",AL267="NT"),"COUPE – À RESOUDER","À RÉPARER"))))))))))</f>
        <v>À SOUDER</v>
      </c>
      <c r="AN267" s="81" t="str">
        <f aca="false">IF(AND(ISNUMBER(R267),OR(AM267="À RADIOGRAPHIER",AM267="RÉPARÉ – À RADIOGRAPHIER",AM267="NX – RT À REFAIRE",AM267="À RÉPARER",AM267="COUPE – À RESOUDER",AM267="VT REJETÉ – À REPRENDRE")),MAX(0,'PROGRAMME RT'!$C$4-R267),"")</f>
        <v/>
      </c>
      <c r="AO267" s="78" t="n">
        <f aca="false">IF(AND(OR(AM267="À RADIOGRAPHIER",AM267="RÉPARÉ – À RADIOGRAPHIER",AM267="NX – RT À REFAIRE"),OR('PROGRAMME RT'!$D$5="TOUTES",B267='PROGRAMME RT'!$D$5)),1,0)</f>
        <v>0</v>
      </c>
      <c r="AP267" s="78" t="str">
        <f aca="false">IF(AO267=1,SUM(AO$7:AO267),"")</f>
        <v/>
      </c>
      <c r="AQ267" s="78" t="n">
        <f aca="false">IF(AND(OR(X267="R",X267="NX",X267="NT",X267="CO"),OR('JOINTS DE RÉPARATION'!$D$5="TOUTES",B267='JOINTS DE RÉPARATION'!$D$5),OR('JOINTS DE RÉPARATION'!$L$4="TOUS",AM267&lt;&gt;"ACCEPTÉ")),1,0)</f>
        <v>0</v>
      </c>
      <c r="AR267" s="78" t="str">
        <f aca="false">IF(AQ267=1,SUM(AQ$7:AQ267),"")</f>
        <v/>
      </c>
    </row>
    <row r="268" customFormat="false" ht="15" hidden="false" customHeight="false" outlineLevel="0" collapsed="false">
      <c r="A268" s="78" t="n">
        <f aca="false">IF(E268="","",ROW()-6)</f>
        <v>262</v>
      </c>
      <c r="B268" s="79" t="s">
        <v>575</v>
      </c>
      <c r="C268" s="80"/>
      <c r="D268" s="80"/>
      <c r="E268" s="80" t="s">
        <v>250</v>
      </c>
      <c r="F268" s="80"/>
      <c r="G268" s="80" t="s">
        <v>106</v>
      </c>
      <c r="H268" s="80"/>
      <c r="I268" s="80"/>
      <c r="J268" s="80"/>
      <c r="K268" s="80"/>
      <c r="L268" s="81" t="str">
        <f aca="false">IF(K268="","",IFERROR(INDEX(BARDAGE!$C$7:$C$1506,MATCH(K268,BARDAGE!$B$7:$B$1506,0)),"? hors registre"))</f>
        <v/>
      </c>
      <c r="M268" s="80"/>
      <c r="N268" s="81" t="str">
        <f aca="false">IF(M268="","",IFERROR(INDEX(BARDAGE!$C$7:$C$1506,MATCH(M268,BARDAGE!$B$7:$B$1506,0)),"? hors registre"))</f>
        <v/>
      </c>
      <c r="O268" s="80"/>
      <c r="P268" s="80"/>
      <c r="Q268" s="80"/>
      <c r="R268" s="82"/>
      <c r="S268" s="82"/>
      <c r="T268" s="80"/>
      <c r="U268" s="80"/>
      <c r="V268" s="82"/>
      <c r="W268" s="80"/>
      <c r="X268" s="80"/>
      <c r="Y268" s="80"/>
      <c r="Z268" s="80"/>
      <c r="AA268" s="82"/>
      <c r="AB268" s="80"/>
      <c r="AC268" s="80"/>
      <c r="AD268" s="80"/>
      <c r="AE268" s="80"/>
      <c r="AF268" s="82"/>
      <c r="AG268" s="80"/>
      <c r="AH268" s="80"/>
      <c r="AI268" s="82"/>
      <c r="AJ268" s="79"/>
      <c r="AK268" s="78" t="n">
        <f aca="false">IF(E268="","",(X268&lt;&gt;"")+(AC268&lt;&gt;"")+(AH268&lt;&gt;""))</f>
        <v>0</v>
      </c>
      <c r="AL268" s="81" t="str">
        <f aca="false">IF(AH268&lt;&gt;"",AH268,IF(AC268&lt;&gt;"",AC268,IF(X268&lt;&gt;"",X268,"")))</f>
        <v/>
      </c>
      <c r="AM268" s="83" t="str">
        <f aca="false">IF(E268="","",IF(R268="","À SOUDER",IF(U268="","VT EN ATTENTE",IF(U268="R","VT REJETÉ – À REPRENDRE",IF(AL268="","À RADIOGRAPHIER",IF(AL268="A","ACCEPTÉ",IF(AL268="NX","NX – RT À REFAIRE",IF(IF(AK268=1,Z268,IF(AK268=2,AE268,""))="A","RÉPARÉ – À RADIOGRAPHIER",IF(IF(AK268=1,Z268,IF(AK268=2,AE268,""))="R","VT REJETÉ – À REPRENDRE",IF(OR(AL268="CO",AL268="NT"),"COUPE – À RESOUDER","À RÉPARER"))))))))))</f>
        <v>À SOUDER</v>
      </c>
      <c r="AN268" s="81" t="str">
        <f aca="false">IF(AND(ISNUMBER(R268),OR(AM268="À RADIOGRAPHIER",AM268="RÉPARÉ – À RADIOGRAPHIER",AM268="NX – RT À REFAIRE",AM268="À RÉPARER",AM268="COUPE – À RESOUDER",AM268="VT REJETÉ – À REPRENDRE")),MAX(0,'PROGRAMME RT'!$C$4-R268),"")</f>
        <v/>
      </c>
      <c r="AO268" s="78" t="n">
        <f aca="false">IF(AND(OR(AM268="À RADIOGRAPHIER",AM268="RÉPARÉ – À RADIOGRAPHIER",AM268="NX – RT À REFAIRE"),OR('PROGRAMME RT'!$D$5="TOUTES",B268='PROGRAMME RT'!$D$5)),1,0)</f>
        <v>0</v>
      </c>
      <c r="AP268" s="78" t="str">
        <f aca="false">IF(AO268=1,SUM(AO$7:AO268),"")</f>
        <v/>
      </c>
      <c r="AQ268" s="78" t="n">
        <f aca="false">IF(AND(OR(X268="R",X268="NX",X268="NT",X268="CO"),OR('JOINTS DE RÉPARATION'!$D$5="TOUTES",B268='JOINTS DE RÉPARATION'!$D$5),OR('JOINTS DE RÉPARATION'!$L$4="TOUS",AM268&lt;&gt;"ACCEPTÉ")),1,0)</f>
        <v>0</v>
      </c>
      <c r="AR268" s="78" t="str">
        <f aca="false">IF(AQ268=1,SUM(AQ$7:AQ268),"")</f>
        <v/>
      </c>
    </row>
    <row r="269" customFormat="false" ht="15" hidden="false" customHeight="false" outlineLevel="0" collapsed="false">
      <c r="A269" s="78" t="n">
        <f aca="false">IF(E269="","",ROW()-6)</f>
        <v>263</v>
      </c>
      <c r="B269" s="79" t="s">
        <v>575</v>
      </c>
      <c r="C269" s="80"/>
      <c r="D269" s="80"/>
      <c r="E269" s="80" t="s">
        <v>252</v>
      </c>
      <c r="F269" s="80"/>
      <c r="G269" s="80" t="s">
        <v>106</v>
      </c>
      <c r="H269" s="80"/>
      <c r="I269" s="80"/>
      <c r="J269" s="80"/>
      <c r="K269" s="80"/>
      <c r="L269" s="81" t="str">
        <f aca="false">IF(K269="","",IFERROR(INDEX(BARDAGE!$C$7:$C$1506,MATCH(K269,BARDAGE!$B$7:$B$1506,0)),"? hors registre"))</f>
        <v/>
      </c>
      <c r="M269" s="80"/>
      <c r="N269" s="81" t="str">
        <f aca="false">IF(M269="","",IFERROR(INDEX(BARDAGE!$C$7:$C$1506,MATCH(M269,BARDAGE!$B$7:$B$1506,0)),"? hors registre"))</f>
        <v/>
      </c>
      <c r="O269" s="80"/>
      <c r="P269" s="80"/>
      <c r="Q269" s="80"/>
      <c r="R269" s="82"/>
      <c r="S269" s="82"/>
      <c r="T269" s="80"/>
      <c r="U269" s="80"/>
      <c r="V269" s="82"/>
      <c r="W269" s="80"/>
      <c r="X269" s="80"/>
      <c r="Y269" s="80"/>
      <c r="Z269" s="80"/>
      <c r="AA269" s="82"/>
      <c r="AB269" s="80"/>
      <c r="AC269" s="80"/>
      <c r="AD269" s="80"/>
      <c r="AE269" s="80"/>
      <c r="AF269" s="82"/>
      <c r="AG269" s="80"/>
      <c r="AH269" s="80"/>
      <c r="AI269" s="82"/>
      <c r="AJ269" s="79"/>
      <c r="AK269" s="78" t="n">
        <f aca="false">IF(E269="","",(X269&lt;&gt;"")+(AC269&lt;&gt;"")+(AH269&lt;&gt;""))</f>
        <v>0</v>
      </c>
      <c r="AL269" s="81" t="str">
        <f aca="false">IF(AH269&lt;&gt;"",AH269,IF(AC269&lt;&gt;"",AC269,IF(X269&lt;&gt;"",X269,"")))</f>
        <v/>
      </c>
      <c r="AM269" s="83" t="str">
        <f aca="false">IF(E269="","",IF(R269="","À SOUDER",IF(U269="","VT EN ATTENTE",IF(U269="R","VT REJETÉ – À REPRENDRE",IF(AL269="","À RADIOGRAPHIER",IF(AL269="A","ACCEPTÉ",IF(AL269="NX","NX – RT À REFAIRE",IF(IF(AK269=1,Z269,IF(AK269=2,AE269,""))="A","RÉPARÉ – À RADIOGRAPHIER",IF(IF(AK269=1,Z269,IF(AK269=2,AE269,""))="R","VT REJETÉ – À REPRENDRE",IF(OR(AL269="CO",AL269="NT"),"COUPE – À RESOUDER","À RÉPARER"))))))))))</f>
        <v>À SOUDER</v>
      </c>
      <c r="AN269" s="81" t="str">
        <f aca="false">IF(AND(ISNUMBER(R269),OR(AM269="À RADIOGRAPHIER",AM269="RÉPARÉ – À RADIOGRAPHIER",AM269="NX – RT À REFAIRE",AM269="À RÉPARER",AM269="COUPE – À RESOUDER",AM269="VT REJETÉ – À REPRENDRE")),MAX(0,'PROGRAMME RT'!$C$4-R269),"")</f>
        <v/>
      </c>
      <c r="AO269" s="78" t="n">
        <f aca="false">IF(AND(OR(AM269="À RADIOGRAPHIER",AM269="RÉPARÉ – À RADIOGRAPHIER",AM269="NX – RT À REFAIRE"),OR('PROGRAMME RT'!$D$5="TOUTES",B269='PROGRAMME RT'!$D$5)),1,0)</f>
        <v>0</v>
      </c>
      <c r="AP269" s="78" t="str">
        <f aca="false">IF(AO269=1,SUM(AO$7:AO269),"")</f>
        <v/>
      </c>
      <c r="AQ269" s="78" t="n">
        <f aca="false">IF(AND(OR(X269="R",X269="NX",X269="NT",X269="CO"),OR('JOINTS DE RÉPARATION'!$D$5="TOUTES",B269='JOINTS DE RÉPARATION'!$D$5),OR('JOINTS DE RÉPARATION'!$L$4="TOUS",AM269&lt;&gt;"ACCEPTÉ")),1,0)</f>
        <v>0</v>
      </c>
      <c r="AR269" s="78" t="str">
        <f aca="false">IF(AQ269=1,SUM(AQ$7:AQ269),"")</f>
        <v/>
      </c>
    </row>
    <row r="270" customFormat="false" ht="15" hidden="false" customHeight="false" outlineLevel="0" collapsed="false">
      <c r="A270" s="78" t="n">
        <f aca="false">IF(E270="","",ROW()-6)</f>
        <v>264</v>
      </c>
      <c r="B270" s="79" t="s">
        <v>575</v>
      </c>
      <c r="C270" s="80"/>
      <c r="D270" s="80"/>
      <c r="E270" s="80" t="s">
        <v>254</v>
      </c>
      <c r="F270" s="80"/>
      <c r="G270" s="80" t="s">
        <v>106</v>
      </c>
      <c r="H270" s="80"/>
      <c r="I270" s="80"/>
      <c r="J270" s="80"/>
      <c r="K270" s="80"/>
      <c r="L270" s="81" t="str">
        <f aca="false">IF(K270="","",IFERROR(INDEX(BARDAGE!$C$7:$C$1506,MATCH(K270,BARDAGE!$B$7:$B$1506,0)),"? hors registre"))</f>
        <v/>
      </c>
      <c r="M270" s="80"/>
      <c r="N270" s="81" t="str">
        <f aca="false">IF(M270="","",IFERROR(INDEX(BARDAGE!$C$7:$C$1506,MATCH(M270,BARDAGE!$B$7:$B$1506,0)),"? hors registre"))</f>
        <v/>
      </c>
      <c r="O270" s="80"/>
      <c r="P270" s="80"/>
      <c r="Q270" s="80"/>
      <c r="R270" s="82"/>
      <c r="S270" s="82"/>
      <c r="T270" s="80"/>
      <c r="U270" s="80"/>
      <c r="V270" s="82"/>
      <c r="W270" s="80"/>
      <c r="X270" s="80"/>
      <c r="Y270" s="80"/>
      <c r="Z270" s="80"/>
      <c r="AA270" s="82"/>
      <c r="AB270" s="80"/>
      <c r="AC270" s="80"/>
      <c r="AD270" s="80"/>
      <c r="AE270" s="80"/>
      <c r="AF270" s="82"/>
      <c r="AG270" s="80"/>
      <c r="AH270" s="80"/>
      <c r="AI270" s="82"/>
      <c r="AJ270" s="79"/>
      <c r="AK270" s="78" t="n">
        <f aca="false">IF(E270="","",(X270&lt;&gt;"")+(AC270&lt;&gt;"")+(AH270&lt;&gt;""))</f>
        <v>0</v>
      </c>
      <c r="AL270" s="81" t="str">
        <f aca="false">IF(AH270&lt;&gt;"",AH270,IF(AC270&lt;&gt;"",AC270,IF(X270&lt;&gt;"",X270,"")))</f>
        <v/>
      </c>
      <c r="AM270" s="83" t="str">
        <f aca="false">IF(E270="","",IF(R270="","À SOUDER",IF(U270="","VT EN ATTENTE",IF(U270="R","VT REJETÉ – À REPRENDRE",IF(AL270="","À RADIOGRAPHIER",IF(AL270="A","ACCEPTÉ",IF(AL270="NX","NX – RT À REFAIRE",IF(IF(AK270=1,Z270,IF(AK270=2,AE270,""))="A","RÉPARÉ – À RADIOGRAPHIER",IF(IF(AK270=1,Z270,IF(AK270=2,AE270,""))="R","VT REJETÉ – À REPRENDRE",IF(OR(AL270="CO",AL270="NT"),"COUPE – À RESOUDER","À RÉPARER"))))))))))</f>
        <v>À SOUDER</v>
      </c>
      <c r="AN270" s="81" t="str">
        <f aca="false">IF(AND(ISNUMBER(R270),OR(AM270="À RADIOGRAPHIER",AM270="RÉPARÉ – À RADIOGRAPHIER",AM270="NX – RT À REFAIRE",AM270="À RÉPARER",AM270="COUPE – À RESOUDER",AM270="VT REJETÉ – À REPRENDRE")),MAX(0,'PROGRAMME RT'!$C$4-R270),"")</f>
        <v/>
      </c>
      <c r="AO270" s="78" t="n">
        <f aca="false">IF(AND(OR(AM270="À RADIOGRAPHIER",AM270="RÉPARÉ – À RADIOGRAPHIER",AM270="NX – RT À REFAIRE"),OR('PROGRAMME RT'!$D$5="TOUTES",B270='PROGRAMME RT'!$D$5)),1,0)</f>
        <v>0</v>
      </c>
      <c r="AP270" s="78" t="str">
        <f aca="false">IF(AO270=1,SUM(AO$7:AO270),"")</f>
        <v/>
      </c>
      <c r="AQ270" s="78" t="n">
        <f aca="false">IF(AND(OR(X270="R",X270="NX",X270="NT",X270="CO"),OR('JOINTS DE RÉPARATION'!$D$5="TOUTES",B270='JOINTS DE RÉPARATION'!$D$5),OR('JOINTS DE RÉPARATION'!$L$4="TOUS",AM270&lt;&gt;"ACCEPTÉ")),1,0)</f>
        <v>0</v>
      </c>
      <c r="AR270" s="78" t="str">
        <f aca="false">IF(AQ270=1,SUM(AQ$7:AQ270),"")</f>
        <v/>
      </c>
    </row>
    <row r="271" customFormat="false" ht="15" hidden="false" customHeight="false" outlineLevel="0" collapsed="false">
      <c r="A271" s="78" t="n">
        <f aca="false">IF(E271="","",ROW()-6)</f>
        <v>265</v>
      </c>
      <c r="B271" s="79" t="s">
        <v>575</v>
      </c>
      <c r="C271" s="80"/>
      <c r="D271" s="80"/>
      <c r="E271" s="80" t="s">
        <v>256</v>
      </c>
      <c r="F271" s="80"/>
      <c r="G271" s="80" t="s">
        <v>106</v>
      </c>
      <c r="H271" s="80"/>
      <c r="I271" s="80"/>
      <c r="J271" s="80"/>
      <c r="K271" s="80"/>
      <c r="L271" s="81" t="str">
        <f aca="false">IF(K271="","",IFERROR(INDEX(BARDAGE!$C$7:$C$1506,MATCH(K271,BARDAGE!$B$7:$B$1506,0)),"? hors registre"))</f>
        <v/>
      </c>
      <c r="M271" s="80"/>
      <c r="N271" s="81" t="str">
        <f aca="false">IF(M271="","",IFERROR(INDEX(BARDAGE!$C$7:$C$1506,MATCH(M271,BARDAGE!$B$7:$B$1506,0)),"? hors registre"))</f>
        <v/>
      </c>
      <c r="O271" s="80"/>
      <c r="P271" s="80"/>
      <c r="Q271" s="80"/>
      <c r="R271" s="82"/>
      <c r="S271" s="82"/>
      <c r="T271" s="80"/>
      <c r="U271" s="80"/>
      <c r="V271" s="82"/>
      <c r="W271" s="80"/>
      <c r="X271" s="80"/>
      <c r="Y271" s="80"/>
      <c r="Z271" s="80"/>
      <c r="AA271" s="82"/>
      <c r="AB271" s="80"/>
      <c r="AC271" s="80"/>
      <c r="AD271" s="80"/>
      <c r="AE271" s="80"/>
      <c r="AF271" s="82"/>
      <c r="AG271" s="80"/>
      <c r="AH271" s="80"/>
      <c r="AI271" s="82"/>
      <c r="AJ271" s="79"/>
      <c r="AK271" s="78" t="n">
        <f aca="false">IF(E271="","",(X271&lt;&gt;"")+(AC271&lt;&gt;"")+(AH271&lt;&gt;""))</f>
        <v>0</v>
      </c>
      <c r="AL271" s="81" t="str">
        <f aca="false">IF(AH271&lt;&gt;"",AH271,IF(AC271&lt;&gt;"",AC271,IF(X271&lt;&gt;"",X271,"")))</f>
        <v/>
      </c>
      <c r="AM271" s="83" t="str">
        <f aca="false">IF(E271="","",IF(R271="","À SOUDER",IF(U271="","VT EN ATTENTE",IF(U271="R","VT REJETÉ – À REPRENDRE",IF(AL271="","À RADIOGRAPHIER",IF(AL271="A","ACCEPTÉ",IF(AL271="NX","NX – RT À REFAIRE",IF(IF(AK271=1,Z271,IF(AK271=2,AE271,""))="A","RÉPARÉ – À RADIOGRAPHIER",IF(IF(AK271=1,Z271,IF(AK271=2,AE271,""))="R","VT REJETÉ – À REPRENDRE",IF(OR(AL271="CO",AL271="NT"),"COUPE – À RESOUDER","À RÉPARER"))))))))))</f>
        <v>À SOUDER</v>
      </c>
      <c r="AN271" s="81" t="str">
        <f aca="false">IF(AND(ISNUMBER(R271),OR(AM271="À RADIOGRAPHIER",AM271="RÉPARÉ – À RADIOGRAPHIER",AM271="NX – RT À REFAIRE",AM271="À RÉPARER",AM271="COUPE – À RESOUDER",AM271="VT REJETÉ – À REPRENDRE")),MAX(0,'PROGRAMME RT'!$C$4-R271),"")</f>
        <v/>
      </c>
      <c r="AO271" s="78" t="n">
        <f aca="false">IF(AND(OR(AM271="À RADIOGRAPHIER",AM271="RÉPARÉ – À RADIOGRAPHIER",AM271="NX – RT À REFAIRE"),OR('PROGRAMME RT'!$D$5="TOUTES",B271='PROGRAMME RT'!$D$5)),1,0)</f>
        <v>0</v>
      </c>
      <c r="AP271" s="78" t="str">
        <f aca="false">IF(AO271=1,SUM(AO$7:AO271),"")</f>
        <v/>
      </c>
      <c r="AQ271" s="78" t="n">
        <f aca="false">IF(AND(OR(X271="R",X271="NX",X271="NT",X271="CO"),OR('JOINTS DE RÉPARATION'!$D$5="TOUTES",B271='JOINTS DE RÉPARATION'!$D$5),OR('JOINTS DE RÉPARATION'!$L$4="TOUS",AM271&lt;&gt;"ACCEPTÉ")),1,0)</f>
        <v>0</v>
      </c>
      <c r="AR271" s="78" t="str">
        <f aca="false">IF(AQ271=1,SUM(AQ$7:AQ271),"")</f>
        <v/>
      </c>
    </row>
    <row r="272" customFormat="false" ht="15" hidden="false" customHeight="false" outlineLevel="0" collapsed="false">
      <c r="A272" s="78" t="n">
        <f aca="false">IF(E272="","",ROW()-6)</f>
        <v>266</v>
      </c>
      <c r="B272" s="79" t="s">
        <v>575</v>
      </c>
      <c r="C272" s="80"/>
      <c r="D272" s="80"/>
      <c r="E272" s="80" t="s">
        <v>259</v>
      </c>
      <c r="F272" s="80"/>
      <c r="G272" s="80" t="s">
        <v>106</v>
      </c>
      <c r="H272" s="80"/>
      <c r="I272" s="80"/>
      <c r="J272" s="80"/>
      <c r="K272" s="80"/>
      <c r="L272" s="81" t="str">
        <f aca="false">IF(K272="","",IFERROR(INDEX(BARDAGE!$C$7:$C$1506,MATCH(K272,BARDAGE!$B$7:$B$1506,0)),"? hors registre"))</f>
        <v/>
      </c>
      <c r="M272" s="80"/>
      <c r="N272" s="81" t="str">
        <f aca="false">IF(M272="","",IFERROR(INDEX(BARDAGE!$C$7:$C$1506,MATCH(M272,BARDAGE!$B$7:$B$1506,0)),"? hors registre"))</f>
        <v/>
      </c>
      <c r="O272" s="80"/>
      <c r="P272" s="80"/>
      <c r="Q272" s="80"/>
      <c r="R272" s="82"/>
      <c r="S272" s="82"/>
      <c r="T272" s="80"/>
      <c r="U272" s="80"/>
      <c r="V272" s="82"/>
      <c r="W272" s="80"/>
      <c r="X272" s="80"/>
      <c r="Y272" s="80"/>
      <c r="Z272" s="80"/>
      <c r="AA272" s="82"/>
      <c r="AB272" s="80"/>
      <c r="AC272" s="80"/>
      <c r="AD272" s="80"/>
      <c r="AE272" s="80"/>
      <c r="AF272" s="82"/>
      <c r="AG272" s="80"/>
      <c r="AH272" s="80"/>
      <c r="AI272" s="82"/>
      <c r="AJ272" s="79"/>
      <c r="AK272" s="78" t="n">
        <f aca="false">IF(E272="","",(X272&lt;&gt;"")+(AC272&lt;&gt;"")+(AH272&lt;&gt;""))</f>
        <v>0</v>
      </c>
      <c r="AL272" s="81" t="str">
        <f aca="false">IF(AH272&lt;&gt;"",AH272,IF(AC272&lt;&gt;"",AC272,IF(X272&lt;&gt;"",X272,"")))</f>
        <v/>
      </c>
      <c r="AM272" s="83" t="str">
        <f aca="false">IF(E272="","",IF(R272="","À SOUDER",IF(U272="","VT EN ATTENTE",IF(U272="R","VT REJETÉ – À REPRENDRE",IF(AL272="","À RADIOGRAPHIER",IF(AL272="A","ACCEPTÉ",IF(AL272="NX","NX – RT À REFAIRE",IF(IF(AK272=1,Z272,IF(AK272=2,AE272,""))="A","RÉPARÉ – À RADIOGRAPHIER",IF(IF(AK272=1,Z272,IF(AK272=2,AE272,""))="R","VT REJETÉ – À REPRENDRE",IF(OR(AL272="CO",AL272="NT"),"COUPE – À RESOUDER","À RÉPARER"))))))))))</f>
        <v>À SOUDER</v>
      </c>
      <c r="AN272" s="81" t="str">
        <f aca="false">IF(AND(ISNUMBER(R272),OR(AM272="À RADIOGRAPHIER",AM272="RÉPARÉ – À RADIOGRAPHIER",AM272="NX – RT À REFAIRE",AM272="À RÉPARER",AM272="COUPE – À RESOUDER",AM272="VT REJETÉ – À REPRENDRE")),MAX(0,'PROGRAMME RT'!$C$4-R272),"")</f>
        <v/>
      </c>
      <c r="AO272" s="78" t="n">
        <f aca="false">IF(AND(OR(AM272="À RADIOGRAPHIER",AM272="RÉPARÉ – À RADIOGRAPHIER",AM272="NX – RT À REFAIRE"),OR('PROGRAMME RT'!$D$5="TOUTES",B272='PROGRAMME RT'!$D$5)),1,0)</f>
        <v>0</v>
      </c>
      <c r="AP272" s="78" t="str">
        <f aca="false">IF(AO272=1,SUM(AO$7:AO272),"")</f>
        <v/>
      </c>
      <c r="AQ272" s="78" t="n">
        <f aca="false">IF(AND(OR(X272="R",X272="NX",X272="NT",X272="CO"),OR('JOINTS DE RÉPARATION'!$D$5="TOUTES",B272='JOINTS DE RÉPARATION'!$D$5),OR('JOINTS DE RÉPARATION'!$L$4="TOUS",AM272&lt;&gt;"ACCEPTÉ")),1,0)</f>
        <v>0</v>
      </c>
      <c r="AR272" s="78" t="str">
        <f aca="false">IF(AQ272=1,SUM(AQ$7:AQ272),"")</f>
        <v/>
      </c>
    </row>
    <row r="273" customFormat="false" ht="15" hidden="false" customHeight="false" outlineLevel="0" collapsed="false">
      <c r="A273" s="78" t="n">
        <f aca="false">IF(E273="","",ROW()-6)</f>
        <v>267</v>
      </c>
      <c r="B273" s="79" t="s">
        <v>575</v>
      </c>
      <c r="C273" s="80"/>
      <c r="D273" s="80"/>
      <c r="E273" s="80" t="s">
        <v>261</v>
      </c>
      <c r="F273" s="80"/>
      <c r="G273" s="80" t="s">
        <v>106</v>
      </c>
      <c r="H273" s="80"/>
      <c r="I273" s="80"/>
      <c r="J273" s="80"/>
      <c r="K273" s="80"/>
      <c r="L273" s="81" t="str">
        <f aca="false">IF(K273="","",IFERROR(INDEX(BARDAGE!$C$7:$C$1506,MATCH(K273,BARDAGE!$B$7:$B$1506,0)),"? hors registre"))</f>
        <v/>
      </c>
      <c r="M273" s="80"/>
      <c r="N273" s="81" t="str">
        <f aca="false">IF(M273="","",IFERROR(INDEX(BARDAGE!$C$7:$C$1506,MATCH(M273,BARDAGE!$B$7:$B$1506,0)),"? hors registre"))</f>
        <v/>
      </c>
      <c r="O273" s="80"/>
      <c r="P273" s="80"/>
      <c r="Q273" s="80"/>
      <c r="R273" s="82"/>
      <c r="S273" s="82"/>
      <c r="T273" s="80"/>
      <c r="U273" s="80"/>
      <c r="V273" s="82"/>
      <c r="W273" s="80"/>
      <c r="X273" s="80"/>
      <c r="Y273" s="80"/>
      <c r="Z273" s="80"/>
      <c r="AA273" s="82"/>
      <c r="AB273" s="80"/>
      <c r="AC273" s="80"/>
      <c r="AD273" s="80"/>
      <c r="AE273" s="80"/>
      <c r="AF273" s="82"/>
      <c r="AG273" s="80"/>
      <c r="AH273" s="80"/>
      <c r="AI273" s="82"/>
      <c r="AJ273" s="79"/>
      <c r="AK273" s="78" t="n">
        <f aca="false">IF(E273="","",(X273&lt;&gt;"")+(AC273&lt;&gt;"")+(AH273&lt;&gt;""))</f>
        <v>0</v>
      </c>
      <c r="AL273" s="81" t="str">
        <f aca="false">IF(AH273&lt;&gt;"",AH273,IF(AC273&lt;&gt;"",AC273,IF(X273&lt;&gt;"",X273,"")))</f>
        <v/>
      </c>
      <c r="AM273" s="83" t="str">
        <f aca="false">IF(E273="","",IF(R273="","À SOUDER",IF(U273="","VT EN ATTENTE",IF(U273="R","VT REJETÉ – À REPRENDRE",IF(AL273="","À RADIOGRAPHIER",IF(AL273="A","ACCEPTÉ",IF(AL273="NX","NX – RT À REFAIRE",IF(IF(AK273=1,Z273,IF(AK273=2,AE273,""))="A","RÉPARÉ – À RADIOGRAPHIER",IF(IF(AK273=1,Z273,IF(AK273=2,AE273,""))="R","VT REJETÉ – À REPRENDRE",IF(OR(AL273="CO",AL273="NT"),"COUPE – À RESOUDER","À RÉPARER"))))))))))</f>
        <v>À SOUDER</v>
      </c>
      <c r="AN273" s="81" t="str">
        <f aca="false">IF(AND(ISNUMBER(R273),OR(AM273="À RADIOGRAPHIER",AM273="RÉPARÉ – À RADIOGRAPHIER",AM273="NX – RT À REFAIRE",AM273="À RÉPARER",AM273="COUPE – À RESOUDER",AM273="VT REJETÉ – À REPRENDRE")),MAX(0,'PROGRAMME RT'!$C$4-R273),"")</f>
        <v/>
      </c>
      <c r="AO273" s="78" t="n">
        <f aca="false">IF(AND(OR(AM273="À RADIOGRAPHIER",AM273="RÉPARÉ – À RADIOGRAPHIER",AM273="NX – RT À REFAIRE"),OR('PROGRAMME RT'!$D$5="TOUTES",B273='PROGRAMME RT'!$D$5)),1,0)</f>
        <v>0</v>
      </c>
      <c r="AP273" s="78" t="str">
        <f aca="false">IF(AO273=1,SUM(AO$7:AO273),"")</f>
        <v/>
      </c>
      <c r="AQ273" s="78" t="n">
        <f aca="false">IF(AND(OR(X273="R",X273="NX",X273="NT",X273="CO"),OR('JOINTS DE RÉPARATION'!$D$5="TOUTES",B273='JOINTS DE RÉPARATION'!$D$5),OR('JOINTS DE RÉPARATION'!$L$4="TOUS",AM273&lt;&gt;"ACCEPTÉ")),1,0)</f>
        <v>0</v>
      </c>
      <c r="AR273" s="78" t="str">
        <f aca="false">IF(AQ273=1,SUM(AQ$7:AQ273),"")</f>
        <v/>
      </c>
    </row>
    <row r="274" customFormat="false" ht="15" hidden="false" customHeight="false" outlineLevel="0" collapsed="false">
      <c r="A274" s="78" t="n">
        <f aca="false">IF(E274="","",ROW()-6)</f>
        <v>268</v>
      </c>
      <c r="B274" s="79" t="s">
        <v>575</v>
      </c>
      <c r="C274" s="80"/>
      <c r="D274" s="80"/>
      <c r="E274" s="80" t="s">
        <v>579</v>
      </c>
      <c r="F274" s="80"/>
      <c r="G274" s="80" t="s">
        <v>106</v>
      </c>
      <c r="H274" s="80"/>
      <c r="I274" s="80"/>
      <c r="J274" s="80"/>
      <c r="K274" s="80"/>
      <c r="L274" s="81" t="str">
        <f aca="false">IF(K274="","",IFERROR(INDEX(BARDAGE!$C$7:$C$1506,MATCH(K274,BARDAGE!$B$7:$B$1506,0)),"? hors registre"))</f>
        <v/>
      </c>
      <c r="M274" s="80"/>
      <c r="N274" s="81" t="str">
        <f aca="false">IF(M274="","",IFERROR(INDEX(BARDAGE!$C$7:$C$1506,MATCH(M274,BARDAGE!$B$7:$B$1506,0)),"? hors registre"))</f>
        <v/>
      </c>
      <c r="O274" s="80"/>
      <c r="P274" s="80"/>
      <c r="Q274" s="80"/>
      <c r="R274" s="82"/>
      <c r="S274" s="82"/>
      <c r="T274" s="80"/>
      <c r="U274" s="80"/>
      <c r="V274" s="82"/>
      <c r="W274" s="80"/>
      <c r="X274" s="80"/>
      <c r="Y274" s="80"/>
      <c r="Z274" s="80"/>
      <c r="AA274" s="82"/>
      <c r="AB274" s="80"/>
      <c r="AC274" s="80"/>
      <c r="AD274" s="80"/>
      <c r="AE274" s="80"/>
      <c r="AF274" s="82"/>
      <c r="AG274" s="80"/>
      <c r="AH274" s="80"/>
      <c r="AI274" s="82"/>
      <c r="AJ274" s="79"/>
      <c r="AK274" s="78" t="n">
        <f aca="false">IF(E274="","",(X274&lt;&gt;"")+(AC274&lt;&gt;"")+(AH274&lt;&gt;""))</f>
        <v>0</v>
      </c>
      <c r="AL274" s="81" t="str">
        <f aca="false">IF(AH274&lt;&gt;"",AH274,IF(AC274&lt;&gt;"",AC274,IF(X274&lt;&gt;"",X274,"")))</f>
        <v/>
      </c>
      <c r="AM274" s="83" t="str">
        <f aca="false">IF(E274="","",IF(R274="","À SOUDER",IF(U274="","VT EN ATTENTE",IF(U274="R","VT REJETÉ – À REPRENDRE",IF(AL274="","À RADIOGRAPHIER",IF(AL274="A","ACCEPTÉ",IF(AL274="NX","NX – RT À REFAIRE",IF(IF(AK274=1,Z274,IF(AK274=2,AE274,""))="A","RÉPARÉ – À RADIOGRAPHIER",IF(IF(AK274=1,Z274,IF(AK274=2,AE274,""))="R","VT REJETÉ – À REPRENDRE",IF(OR(AL274="CO",AL274="NT"),"COUPE – À RESOUDER","À RÉPARER"))))))))))</f>
        <v>À SOUDER</v>
      </c>
      <c r="AN274" s="81" t="str">
        <f aca="false">IF(AND(ISNUMBER(R274),OR(AM274="À RADIOGRAPHIER",AM274="RÉPARÉ – À RADIOGRAPHIER",AM274="NX – RT À REFAIRE",AM274="À RÉPARER",AM274="COUPE – À RESOUDER",AM274="VT REJETÉ – À REPRENDRE")),MAX(0,'PROGRAMME RT'!$C$4-R274),"")</f>
        <v/>
      </c>
      <c r="AO274" s="78" t="n">
        <f aca="false">IF(AND(OR(AM274="À RADIOGRAPHIER",AM274="RÉPARÉ – À RADIOGRAPHIER",AM274="NX – RT À REFAIRE"),OR('PROGRAMME RT'!$D$5="TOUTES",B274='PROGRAMME RT'!$D$5)),1,0)</f>
        <v>0</v>
      </c>
      <c r="AP274" s="78" t="str">
        <f aca="false">IF(AO274=1,SUM(AO$7:AO274),"")</f>
        <v/>
      </c>
      <c r="AQ274" s="78" t="n">
        <f aca="false">IF(AND(OR(X274="R",X274="NX",X274="NT",X274="CO"),OR('JOINTS DE RÉPARATION'!$D$5="TOUTES",B274='JOINTS DE RÉPARATION'!$D$5),OR('JOINTS DE RÉPARATION'!$L$4="TOUS",AM274&lt;&gt;"ACCEPTÉ")),1,0)</f>
        <v>0</v>
      </c>
      <c r="AR274" s="78" t="str">
        <f aca="false">IF(AQ274=1,SUM(AQ$7:AQ274),"")</f>
        <v/>
      </c>
    </row>
    <row r="275" customFormat="false" ht="15" hidden="false" customHeight="false" outlineLevel="0" collapsed="false">
      <c r="A275" s="78" t="n">
        <f aca="false">IF(E275="","",ROW()-6)</f>
        <v>269</v>
      </c>
      <c r="B275" s="79" t="s">
        <v>575</v>
      </c>
      <c r="C275" s="80"/>
      <c r="D275" s="80"/>
      <c r="E275" s="80" t="s">
        <v>266</v>
      </c>
      <c r="F275" s="80"/>
      <c r="G275" s="80" t="s">
        <v>106</v>
      </c>
      <c r="H275" s="80"/>
      <c r="I275" s="80"/>
      <c r="J275" s="80"/>
      <c r="K275" s="80"/>
      <c r="L275" s="81" t="str">
        <f aca="false">IF(K275="","",IFERROR(INDEX(BARDAGE!$C$7:$C$1506,MATCH(K275,BARDAGE!$B$7:$B$1506,0)),"? hors registre"))</f>
        <v/>
      </c>
      <c r="M275" s="80"/>
      <c r="N275" s="81" t="str">
        <f aca="false">IF(M275="","",IFERROR(INDEX(BARDAGE!$C$7:$C$1506,MATCH(M275,BARDAGE!$B$7:$B$1506,0)),"? hors registre"))</f>
        <v/>
      </c>
      <c r="O275" s="80"/>
      <c r="P275" s="80"/>
      <c r="Q275" s="80"/>
      <c r="R275" s="82"/>
      <c r="S275" s="82"/>
      <c r="T275" s="80"/>
      <c r="U275" s="80"/>
      <c r="V275" s="82"/>
      <c r="W275" s="80"/>
      <c r="X275" s="80"/>
      <c r="Y275" s="80"/>
      <c r="Z275" s="80"/>
      <c r="AA275" s="82"/>
      <c r="AB275" s="80"/>
      <c r="AC275" s="80"/>
      <c r="AD275" s="80"/>
      <c r="AE275" s="80"/>
      <c r="AF275" s="82"/>
      <c r="AG275" s="80"/>
      <c r="AH275" s="80"/>
      <c r="AI275" s="82"/>
      <c r="AJ275" s="79"/>
      <c r="AK275" s="78" t="n">
        <f aca="false">IF(E275="","",(X275&lt;&gt;"")+(AC275&lt;&gt;"")+(AH275&lt;&gt;""))</f>
        <v>0</v>
      </c>
      <c r="AL275" s="81" t="str">
        <f aca="false">IF(AH275&lt;&gt;"",AH275,IF(AC275&lt;&gt;"",AC275,IF(X275&lt;&gt;"",X275,"")))</f>
        <v/>
      </c>
      <c r="AM275" s="83" t="str">
        <f aca="false">IF(E275="","",IF(R275="","À SOUDER",IF(U275="","VT EN ATTENTE",IF(U275="R","VT REJETÉ – À REPRENDRE",IF(AL275="","À RADIOGRAPHIER",IF(AL275="A","ACCEPTÉ",IF(AL275="NX","NX – RT À REFAIRE",IF(IF(AK275=1,Z275,IF(AK275=2,AE275,""))="A","RÉPARÉ – À RADIOGRAPHIER",IF(IF(AK275=1,Z275,IF(AK275=2,AE275,""))="R","VT REJETÉ – À REPRENDRE",IF(OR(AL275="CO",AL275="NT"),"COUPE – À RESOUDER","À RÉPARER"))))))))))</f>
        <v>À SOUDER</v>
      </c>
      <c r="AN275" s="81" t="str">
        <f aca="false">IF(AND(ISNUMBER(R275),OR(AM275="À RADIOGRAPHIER",AM275="RÉPARÉ – À RADIOGRAPHIER",AM275="NX – RT À REFAIRE",AM275="À RÉPARER",AM275="COUPE – À RESOUDER",AM275="VT REJETÉ – À REPRENDRE")),MAX(0,'PROGRAMME RT'!$C$4-R275),"")</f>
        <v/>
      </c>
      <c r="AO275" s="78" t="n">
        <f aca="false">IF(AND(OR(AM275="À RADIOGRAPHIER",AM275="RÉPARÉ – À RADIOGRAPHIER",AM275="NX – RT À REFAIRE"),OR('PROGRAMME RT'!$D$5="TOUTES",B275='PROGRAMME RT'!$D$5)),1,0)</f>
        <v>0</v>
      </c>
      <c r="AP275" s="78" t="str">
        <f aca="false">IF(AO275=1,SUM(AO$7:AO275),"")</f>
        <v/>
      </c>
      <c r="AQ275" s="78" t="n">
        <f aca="false">IF(AND(OR(X275="R",X275="NX",X275="NT",X275="CO"),OR('JOINTS DE RÉPARATION'!$D$5="TOUTES",B275='JOINTS DE RÉPARATION'!$D$5),OR('JOINTS DE RÉPARATION'!$L$4="TOUS",AM275&lt;&gt;"ACCEPTÉ")),1,0)</f>
        <v>0</v>
      </c>
      <c r="AR275" s="78" t="str">
        <f aca="false">IF(AQ275=1,SUM(AQ$7:AQ275),"")</f>
        <v/>
      </c>
    </row>
    <row r="276" customFormat="false" ht="15" hidden="false" customHeight="false" outlineLevel="0" collapsed="false">
      <c r="A276" s="78" t="n">
        <f aca="false">IF(E276="","",ROW()-6)</f>
        <v>270</v>
      </c>
      <c r="B276" s="79" t="s">
        <v>575</v>
      </c>
      <c r="C276" s="80"/>
      <c r="D276" s="80"/>
      <c r="E276" s="80" t="s">
        <v>269</v>
      </c>
      <c r="F276" s="80"/>
      <c r="G276" s="80" t="s">
        <v>106</v>
      </c>
      <c r="H276" s="80"/>
      <c r="I276" s="80"/>
      <c r="J276" s="80"/>
      <c r="K276" s="80"/>
      <c r="L276" s="81" t="str">
        <f aca="false">IF(K276="","",IFERROR(INDEX(BARDAGE!$C$7:$C$1506,MATCH(K276,BARDAGE!$B$7:$B$1506,0)),"? hors registre"))</f>
        <v/>
      </c>
      <c r="M276" s="80"/>
      <c r="N276" s="81" t="str">
        <f aca="false">IF(M276="","",IFERROR(INDEX(BARDAGE!$C$7:$C$1506,MATCH(M276,BARDAGE!$B$7:$B$1506,0)),"? hors registre"))</f>
        <v/>
      </c>
      <c r="O276" s="80"/>
      <c r="P276" s="80"/>
      <c r="Q276" s="80"/>
      <c r="R276" s="82"/>
      <c r="S276" s="82"/>
      <c r="T276" s="80"/>
      <c r="U276" s="80"/>
      <c r="V276" s="82"/>
      <c r="W276" s="80"/>
      <c r="X276" s="80"/>
      <c r="Y276" s="80"/>
      <c r="Z276" s="80"/>
      <c r="AA276" s="82"/>
      <c r="AB276" s="80"/>
      <c r="AC276" s="80"/>
      <c r="AD276" s="80"/>
      <c r="AE276" s="80"/>
      <c r="AF276" s="82"/>
      <c r="AG276" s="80"/>
      <c r="AH276" s="80"/>
      <c r="AI276" s="82"/>
      <c r="AJ276" s="79"/>
      <c r="AK276" s="78" t="n">
        <f aca="false">IF(E276="","",(X276&lt;&gt;"")+(AC276&lt;&gt;"")+(AH276&lt;&gt;""))</f>
        <v>0</v>
      </c>
      <c r="AL276" s="81" t="str">
        <f aca="false">IF(AH276&lt;&gt;"",AH276,IF(AC276&lt;&gt;"",AC276,IF(X276&lt;&gt;"",X276,"")))</f>
        <v/>
      </c>
      <c r="AM276" s="83" t="str">
        <f aca="false">IF(E276="","",IF(R276="","À SOUDER",IF(U276="","VT EN ATTENTE",IF(U276="R","VT REJETÉ – À REPRENDRE",IF(AL276="","À RADIOGRAPHIER",IF(AL276="A","ACCEPTÉ",IF(AL276="NX","NX – RT À REFAIRE",IF(IF(AK276=1,Z276,IF(AK276=2,AE276,""))="A","RÉPARÉ – À RADIOGRAPHIER",IF(IF(AK276=1,Z276,IF(AK276=2,AE276,""))="R","VT REJETÉ – À REPRENDRE",IF(OR(AL276="CO",AL276="NT"),"COUPE – À RESOUDER","À RÉPARER"))))))))))</f>
        <v>À SOUDER</v>
      </c>
      <c r="AN276" s="81" t="str">
        <f aca="false">IF(AND(ISNUMBER(R276),OR(AM276="À RADIOGRAPHIER",AM276="RÉPARÉ – À RADIOGRAPHIER",AM276="NX – RT À REFAIRE",AM276="À RÉPARER",AM276="COUPE – À RESOUDER",AM276="VT REJETÉ – À REPRENDRE")),MAX(0,'PROGRAMME RT'!$C$4-R276),"")</f>
        <v/>
      </c>
      <c r="AO276" s="78" t="n">
        <f aca="false">IF(AND(OR(AM276="À RADIOGRAPHIER",AM276="RÉPARÉ – À RADIOGRAPHIER",AM276="NX – RT À REFAIRE"),OR('PROGRAMME RT'!$D$5="TOUTES",B276='PROGRAMME RT'!$D$5)),1,0)</f>
        <v>0</v>
      </c>
      <c r="AP276" s="78" t="str">
        <f aca="false">IF(AO276=1,SUM(AO$7:AO276),"")</f>
        <v/>
      </c>
      <c r="AQ276" s="78" t="n">
        <f aca="false">IF(AND(OR(X276="R",X276="NX",X276="NT",X276="CO"),OR('JOINTS DE RÉPARATION'!$D$5="TOUTES",B276='JOINTS DE RÉPARATION'!$D$5),OR('JOINTS DE RÉPARATION'!$L$4="TOUS",AM276&lt;&gt;"ACCEPTÉ")),1,0)</f>
        <v>0</v>
      </c>
      <c r="AR276" s="78" t="str">
        <f aca="false">IF(AQ276=1,SUM(AQ$7:AQ276),"")</f>
        <v/>
      </c>
    </row>
    <row r="277" customFormat="false" ht="15" hidden="false" customHeight="false" outlineLevel="0" collapsed="false">
      <c r="A277" s="78" t="n">
        <f aca="false">IF(E277="","",ROW()-6)</f>
        <v>271</v>
      </c>
      <c r="B277" s="79" t="s">
        <v>575</v>
      </c>
      <c r="C277" s="80"/>
      <c r="D277" s="80"/>
      <c r="E277" s="80" t="s">
        <v>271</v>
      </c>
      <c r="F277" s="80"/>
      <c r="G277" s="80" t="s">
        <v>106</v>
      </c>
      <c r="H277" s="80"/>
      <c r="I277" s="80"/>
      <c r="J277" s="80"/>
      <c r="K277" s="80"/>
      <c r="L277" s="81" t="str">
        <f aca="false">IF(K277="","",IFERROR(INDEX(BARDAGE!$C$7:$C$1506,MATCH(K277,BARDAGE!$B$7:$B$1506,0)),"? hors registre"))</f>
        <v/>
      </c>
      <c r="M277" s="80"/>
      <c r="N277" s="81" t="str">
        <f aca="false">IF(M277="","",IFERROR(INDEX(BARDAGE!$C$7:$C$1506,MATCH(M277,BARDAGE!$B$7:$B$1506,0)),"? hors registre"))</f>
        <v/>
      </c>
      <c r="O277" s="80"/>
      <c r="P277" s="80"/>
      <c r="Q277" s="80"/>
      <c r="R277" s="82"/>
      <c r="S277" s="82"/>
      <c r="T277" s="80"/>
      <c r="U277" s="80"/>
      <c r="V277" s="82"/>
      <c r="W277" s="80"/>
      <c r="X277" s="80"/>
      <c r="Y277" s="80"/>
      <c r="Z277" s="80"/>
      <c r="AA277" s="82"/>
      <c r="AB277" s="80"/>
      <c r="AC277" s="80"/>
      <c r="AD277" s="80"/>
      <c r="AE277" s="80"/>
      <c r="AF277" s="82"/>
      <c r="AG277" s="80"/>
      <c r="AH277" s="80"/>
      <c r="AI277" s="82"/>
      <c r="AJ277" s="79"/>
      <c r="AK277" s="78" t="n">
        <f aca="false">IF(E277="","",(X277&lt;&gt;"")+(AC277&lt;&gt;"")+(AH277&lt;&gt;""))</f>
        <v>0</v>
      </c>
      <c r="AL277" s="81" t="str">
        <f aca="false">IF(AH277&lt;&gt;"",AH277,IF(AC277&lt;&gt;"",AC277,IF(X277&lt;&gt;"",X277,"")))</f>
        <v/>
      </c>
      <c r="AM277" s="83" t="str">
        <f aca="false">IF(E277="","",IF(R277="","À SOUDER",IF(U277="","VT EN ATTENTE",IF(U277="R","VT REJETÉ – À REPRENDRE",IF(AL277="","À RADIOGRAPHIER",IF(AL277="A","ACCEPTÉ",IF(AL277="NX","NX – RT À REFAIRE",IF(IF(AK277=1,Z277,IF(AK277=2,AE277,""))="A","RÉPARÉ – À RADIOGRAPHIER",IF(IF(AK277=1,Z277,IF(AK277=2,AE277,""))="R","VT REJETÉ – À REPRENDRE",IF(OR(AL277="CO",AL277="NT"),"COUPE – À RESOUDER","À RÉPARER"))))))))))</f>
        <v>À SOUDER</v>
      </c>
      <c r="AN277" s="81" t="str">
        <f aca="false">IF(AND(ISNUMBER(R277),OR(AM277="À RADIOGRAPHIER",AM277="RÉPARÉ – À RADIOGRAPHIER",AM277="NX – RT À REFAIRE",AM277="À RÉPARER",AM277="COUPE – À RESOUDER",AM277="VT REJETÉ – À REPRENDRE")),MAX(0,'PROGRAMME RT'!$C$4-R277),"")</f>
        <v/>
      </c>
      <c r="AO277" s="78" t="n">
        <f aca="false">IF(AND(OR(AM277="À RADIOGRAPHIER",AM277="RÉPARÉ – À RADIOGRAPHIER",AM277="NX – RT À REFAIRE"),OR('PROGRAMME RT'!$D$5="TOUTES",B277='PROGRAMME RT'!$D$5)),1,0)</f>
        <v>0</v>
      </c>
      <c r="AP277" s="78" t="str">
        <f aca="false">IF(AO277=1,SUM(AO$7:AO277),"")</f>
        <v/>
      </c>
      <c r="AQ277" s="78" t="n">
        <f aca="false">IF(AND(OR(X277="R",X277="NX",X277="NT",X277="CO"),OR('JOINTS DE RÉPARATION'!$D$5="TOUTES",B277='JOINTS DE RÉPARATION'!$D$5),OR('JOINTS DE RÉPARATION'!$L$4="TOUS",AM277&lt;&gt;"ACCEPTÉ")),1,0)</f>
        <v>0</v>
      </c>
      <c r="AR277" s="78" t="str">
        <f aca="false">IF(AQ277=1,SUM(AQ$7:AQ277),"")</f>
        <v/>
      </c>
    </row>
    <row r="278" customFormat="false" ht="15" hidden="false" customHeight="false" outlineLevel="0" collapsed="false">
      <c r="A278" s="78" t="n">
        <f aca="false">IF(E278="","",ROW()-6)</f>
        <v>272</v>
      </c>
      <c r="B278" s="79" t="s">
        <v>575</v>
      </c>
      <c r="C278" s="80"/>
      <c r="D278" s="80"/>
      <c r="E278" s="80" t="s">
        <v>273</v>
      </c>
      <c r="F278" s="80"/>
      <c r="G278" s="80" t="s">
        <v>106</v>
      </c>
      <c r="H278" s="80"/>
      <c r="I278" s="80"/>
      <c r="J278" s="80"/>
      <c r="K278" s="80"/>
      <c r="L278" s="81" t="str">
        <f aca="false">IF(K278="","",IFERROR(INDEX(BARDAGE!$C$7:$C$1506,MATCH(K278,BARDAGE!$B$7:$B$1506,0)),"? hors registre"))</f>
        <v/>
      </c>
      <c r="M278" s="80"/>
      <c r="N278" s="81" t="str">
        <f aca="false">IF(M278="","",IFERROR(INDEX(BARDAGE!$C$7:$C$1506,MATCH(M278,BARDAGE!$B$7:$B$1506,0)),"? hors registre"))</f>
        <v/>
      </c>
      <c r="O278" s="80"/>
      <c r="P278" s="80"/>
      <c r="Q278" s="80"/>
      <c r="R278" s="82"/>
      <c r="S278" s="82"/>
      <c r="T278" s="80"/>
      <c r="U278" s="80"/>
      <c r="V278" s="82"/>
      <c r="W278" s="80"/>
      <c r="X278" s="80"/>
      <c r="Y278" s="80"/>
      <c r="Z278" s="80"/>
      <c r="AA278" s="82"/>
      <c r="AB278" s="80"/>
      <c r="AC278" s="80"/>
      <c r="AD278" s="80"/>
      <c r="AE278" s="80"/>
      <c r="AF278" s="82"/>
      <c r="AG278" s="80"/>
      <c r="AH278" s="80"/>
      <c r="AI278" s="82"/>
      <c r="AJ278" s="79"/>
      <c r="AK278" s="78" t="n">
        <f aca="false">IF(E278="","",(X278&lt;&gt;"")+(AC278&lt;&gt;"")+(AH278&lt;&gt;""))</f>
        <v>0</v>
      </c>
      <c r="AL278" s="81" t="str">
        <f aca="false">IF(AH278&lt;&gt;"",AH278,IF(AC278&lt;&gt;"",AC278,IF(X278&lt;&gt;"",X278,"")))</f>
        <v/>
      </c>
      <c r="AM278" s="83" t="str">
        <f aca="false">IF(E278="","",IF(R278="","À SOUDER",IF(U278="","VT EN ATTENTE",IF(U278="R","VT REJETÉ – À REPRENDRE",IF(AL278="","À RADIOGRAPHIER",IF(AL278="A","ACCEPTÉ",IF(AL278="NX","NX – RT À REFAIRE",IF(IF(AK278=1,Z278,IF(AK278=2,AE278,""))="A","RÉPARÉ – À RADIOGRAPHIER",IF(IF(AK278=1,Z278,IF(AK278=2,AE278,""))="R","VT REJETÉ – À REPRENDRE",IF(OR(AL278="CO",AL278="NT"),"COUPE – À RESOUDER","À RÉPARER"))))))))))</f>
        <v>À SOUDER</v>
      </c>
      <c r="AN278" s="81" t="str">
        <f aca="false">IF(AND(ISNUMBER(R278),OR(AM278="À RADIOGRAPHIER",AM278="RÉPARÉ – À RADIOGRAPHIER",AM278="NX – RT À REFAIRE",AM278="À RÉPARER",AM278="COUPE – À RESOUDER",AM278="VT REJETÉ – À REPRENDRE")),MAX(0,'PROGRAMME RT'!$C$4-R278),"")</f>
        <v/>
      </c>
      <c r="AO278" s="78" t="n">
        <f aca="false">IF(AND(OR(AM278="À RADIOGRAPHIER",AM278="RÉPARÉ – À RADIOGRAPHIER",AM278="NX – RT À REFAIRE"),OR('PROGRAMME RT'!$D$5="TOUTES",B278='PROGRAMME RT'!$D$5)),1,0)</f>
        <v>0</v>
      </c>
      <c r="AP278" s="78" t="str">
        <f aca="false">IF(AO278=1,SUM(AO$7:AO278),"")</f>
        <v/>
      </c>
      <c r="AQ278" s="78" t="n">
        <f aca="false">IF(AND(OR(X278="R",X278="NX",X278="NT",X278="CO"),OR('JOINTS DE RÉPARATION'!$D$5="TOUTES",B278='JOINTS DE RÉPARATION'!$D$5),OR('JOINTS DE RÉPARATION'!$L$4="TOUS",AM278&lt;&gt;"ACCEPTÉ")),1,0)</f>
        <v>0</v>
      </c>
      <c r="AR278" s="78" t="str">
        <f aca="false">IF(AQ278=1,SUM(AQ$7:AQ278),"")</f>
        <v/>
      </c>
    </row>
    <row r="279" customFormat="false" ht="15" hidden="false" customHeight="false" outlineLevel="0" collapsed="false">
      <c r="A279" s="78" t="n">
        <f aca="false">IF(E279="","",ROW()-6)</f>
        <v>273</v>
      </c>
      <c r="B279" s="79" t="s">
        <v>575</v>
      </c>
      <c r="C279" s="80"/>
      <c r="D279" s="80"/>
      <c r="E279" s="80" t="s">
        <v>275</v>
      </c>
      <c r="F279" s="80"/>
      <c r="G279" s="80" t="s">
        <v>106</v>
      </c>
      <c r="H279" s="80"/>
      <c r="I279" s="80"/>
      <c r="J279" s="80"/>
      <c r="K279" s="80"/>
      <c r="L279" s="81" t="str">
        <f aca="false">IF(K279="","",IFERROR(INDEX(BARDAGE!$C$7:$C$1506,MATCH(K279,BARDAGE!$B$7:$B$1506,0)),"? hors registre"))</f>
        <v/>
      </c>
      <c r="M279" s="80"/>
      <c r="N279" s="81" t="str">
        <f aca="false">IF(M279="","",IFERROR(INDEX(BARDAGE!$C$7:$C$1506,MATCH(M279,BARDAGE!$B$7:$B$1506,0)),"? hors registre"))</f>
        <v/>
      </c>
      <c r="O279" s="80"/>
      <c r="P279" s="80"/>
      <c r="Q279" s="80"/>
      <c r="R279" s="82"/>
      <c r="S279" s="82"/>
      <c r="T279" s="80"/>
      <c r="U279" s="80"/>
      <c r="V279" s="82"/>
      <c r="W279" s="80"/>
      <c r="X279" s="80"/>
      <c r="Y279" s="80"/>
      <c r="Z279" s="80"/>
      <c r="AA279" s="82"/>
      <c r="AB279" s="80"/>
      <c r="AC279" s="80"/>
      <c r="AD279" s="80"/>
      <c r="AE279" s="80"/>
      <c r="AF279" s="82"/>
      <c r="AG279" s="80"/>
      <c r="AH279" s="80"/>
      <c r="AI279" s="82"/>
      <c r="AJ279" s="79"/>
      <c r="AK279" s="78" t="n">
        <f aca="false">IF(E279="","",(X279&lt;&gt;"")+(AC279&lt;&gt;"")+(AH279&lt;&gt;""))</f>
        <v>0</v>
      </c>
      <c r="AL279" s="81" t="str">
        <f aca="false">IF(AH279&lt;&gt;"",AH279,IF(AC279&lt;&gt;"",AC279,IF(X279&lt;&gt;"",X279,"")))</f>
        <v/>
      </c>
      <c r="AM279" s="83" t="str">
        <f aca="false">IF(E279="","",IF(R279="","À SOUDER",IF(U279="","VT EN ATTENTE",IF(U279="R","VT REJETÉ – À REPRENDRE",IF(AL279="","À RADIOGRAPHIER",IF(AL279="A","ACCEPTÉ",IF(AL279="NX","NX – RT À REFAIRE",IF(IF(AK279=1,Z279,IF(AK279=2,AE279,""))="A","RÉPARÉ – À RADIOGRAPHIER",IF(IF(AK279=1,Z279,IF(AK279=2,AE279,""))="R","VT REJETÉ – À REPRENDRE",IF(OR(AL279="CO",AL279="NT"),"COUPE – À RESOUDER","À RÉPARER"))))))))))</f>
        <v>À SOUDER</v>
      </c>
      <c r="AN279" s="81" t="str">
        <f aca="false">IF(AND(ISNUMBER(R279),OR(AM279="À RADIOGRAPHIER",AM279="RÉPARÉ – À RADIOGRAPHIER",AM279="NX – RT À REFAIRE",AM279="À RÉPARER",AM279="COUPE – À RESOUDER",AM279="VT REJETÉ – À REPRENDRE")),MAX(0,'PROGRAMME RT'!$C$4-R279),"")</f>
        <v/>
      </c>
      <c r="AO279" s="78" t="n">
        <f aca="false">IF(AND(OR(AM279="À RADIOGRAPHIER",AM279="RÉPARÉ – À RADIOGRAPHIER",AM279="NX – RT À REFAIRE"),OR('PROGRAMME RT'!$D$5="TOUTES",B279='PROGRAMME RT'!$D$5)),1,0)</f>
        <v>0</v>
      </c>
      <c r="AP279" s="78" t="str">
        <f aca="false">IF(AO279=1,SUM(AO$7:AO279),"")</f>
        <v/>
      </c>
      <c r="AQ279" s="78" t="n">
        <f aca="false">IF(AND(OR(X279="R",X279="NX",X279="NT",X279="CO"),OR('JOINTS DE RÉPARATION'!$D$5="TOUTES",B279='JOINTS DE RÉPARATION'!$D$5),OR('JOINTS DE RÉPARATION'!$L$4="TOUS",AM279&lt;&gt;"ACCEPTÉ")),1,0)</f>
        <v>0</v>
      </c>
      <c r="AR279" s="78" t="str">
        <f aca="false">IF(AQ279=1,SUM(AQ$7:AQ279),"")</f>
        <v/>
      </c>
    </row>
    <row r="280" customFormat="false" ht="15" hidden="false" customHeight="false" outlineLevel="0" collapsed="false">
      <c r="A280" s="78" t="n">
        <f aca="false">IF(E280="","",ROW()-6)</f>
        <v>274</v>
      </c>
      <c r="B280" s="79" t="s">
        <v>575</v>
      </c>
      <c r="C280" s="80"/>
      <c r="D280" s="80"/>
      <c r="E280" s="80" t="s">
        <v>277</v>
      </c>
      <c r="F280" s="80"/>
      <c r="G280" s="80" t="s">
        <v>106</v>
      </c>
      <c r="H280" s="80"/>
      <c r="I280" s="80"/>
      <c r="J280" s="80"/>
      <c r="K280" s="80"/>
      <c r="L280" s="81" t="str">
        <f aca="false">IF(K280="","",IFERROR(INDEX(BARDAGE!$C$7:$C$1506,MATCH(K280,BARDAGE!$B$7:$B$1506,0)),"? hors registre"))</f>
        <v/>
      </c>
      <c r="M280" s="80"/>
      <c r="N280" s="81" t="str">
        <f aca="false">IF(M280="","",IFERROR(INDEX(BARDAGE!$C$7:$C$1506,MATCH(M280,BARDAGE!$B$7:$B$1506,0)),"? hors registre"))</f>
        <v/>
      </c>
      <c r="O280" s="80"/>
      <c r="P280" s="80"/>
      <c r="Q280" s="80"/>
      <c r="R280" s="82"/>
      <c r="S280" s="82"/>
      <c r="T280" s="80"/>
      <c r="U280" s="80"/>
      <c r="V280" s="82"/>
      <c r="W280" s="80"/>
      <c r="X280" s="80"/>
      <c r="Y280" s="80"/>
      <c r="Z280" s="80"/>
      <c r="AA280" s="82"/>
      <c r="AB280" s="80"/>
      <c r="AC280" s="80"/>
      <c r="AD280" s="80"/>
      <c r="AE280" s="80"/>
      <c r="AF280" s="82"/>
      <c r="AG280" s="80"/>
      <c r="AH280" s="80"/>
      <c r="AI280" s="82"/>
      <c r="AJ280" s="79"/>
      <c r="AK280" s="78" t="n">
        <f aca="false">IF(E280="","",(X280&lt;&gt;"")+(AC280&lt;&gt;"")+(AH280&lt;&gt;""))</f>
        <v>0</v>
      </c>
      <c r="AL280" s="81" t="str">
        <f aca="false">IF(AH280&lt;&gt;"",AH280,IF(AC280&lt;&gt;"",AC280,IF(X280&lt;&gt;"",X280,"")))</f>
        <v/>
      </c>
      <c r="AM280" s="83" t="str">
        <f aca="false">IF(E280="","",IF(R280="","À SOUDER",IF(U280="","VT EN ATTENTE",IF(U280="R","VT REJETÉ – À REPRENDRE",IF(AL280="","À RADIOGRAPHIER",IF(AL280="A","ACCEPTÉ",IF(AL280="NX","NX – RT À REFAIRE",IF(IF(AK280=1,Z280,IF(AK280=2,AE280,""))="A","RÉPARÉ – À RADIOGRAPHIER",IF(IF(AK280=1,Z280,IF(AK280=2,AE280,""))="R","VT REJETÉ – À REPRENDRE",IF(OR(AL280="CO",AL280="NT"),"COUPE – À RESOUDER","À RÉPARER"))))))))))</f>
        <v>À SOUDER</v>
      </c>
      <c r="AN280" s="81" t="str">
        <f aca="false">IF(AND(ISNUMBER(R280),OR(AM280="À RADIOGRAPHIER",AM280="RÉPARÉ – À RADIOGRAPHIER",AM280="NX – RT À REFAIRE",AM280="À RÉPARER",AM280="COUPE – À RESOUDER",AM280="VT REJETÉ – À REPRENDRE")),MAX(0,'PROGRAMME RT'!$C$4-R280),"")</f>
        <v/>
      </c>
      <c r="AO280" s="78" t="n">
        <f aca="false">IF(AND(OR(AM280="À RADIOGRAPHIER",AM280="RÉPARÉ – À RADIOGRAPHIER",AM280="NX – RT À REFAIRE"),OR('PROGRAMME RT'!$D$5="TOUTES",B280='PROGRAMME RT'!$D$5)),1,0)</f>
        <v>0</v>
      </c>
      <c r="AP280" s="78" t="str">
        <f aca="false">IF(AO280=1,SUM(AO$7:AO280),"")</f>
        <v/>
      </c>
      <c r="AQ280" s="78" t="n">
        <f aca="false">IF(AND(OR(X280="R",X280="NX",X280="NT",X280="CO"),OR('JOINTS DE RÉPARATION'!$D$5="TOUTES",B280='JOINTS DE RÉPARATION'!$D$5),OR('JOINTS DE RÉPARATION'!$L$4="TOUS",AM280&lt;&gt;"ACCEPTÉ")),1,0)</f>
        <v>0</v>
      </c>
      <c r="AR280" s="78" t="str">
        <f aca="false">IF(AQ280=1,SUM(AQ$7:AQ280),"")</f>
        <v/>
      </c>
    </row>
    <row r="281" customFormat="false" ht="15" hidden="false" customHeight="false" outlineLevel="0" collapsed="false">
      <c r="A281" s="78" t="n">
        <f aca="false">IF(E281="","",ROW()-6)</f>
        <v>275</v>
      </c>
      <c r="B281" s="79" t="s">
        <v>575</v>
      </c>
      <c r="C281" s="80"/>
      <c r="D281" s="80"/>
      <c r="E281" s="80" t="s">
        <v>279</v>
      </c>
      <c r="F281" s="80"/>
      <c r="G281" s="80" t="s">
        <v>106</v>
      </c>
      <c r="H281" s="80"/>
      <c r="I281" s="80"/>
      <c r="J281" s="80"/>
      <c r="K281" s="80"/>
      <c r="L281" s="81" t="str">
        <f aca="false">IF(K281="","",IFERROR(INDEX(BARDAGE!$C$7:$C$1506,MATCH(K281,BARDAGE!$B$7:$B$1506,0)),"? hors registre"))</f>
        <v/>
      </c>
      <c r="M281" s="80"/>
      <c r="N281" s="81" t="str">
        <f aca="false">IF(M281="","",IFERROR(INDEX(BARDAGE!$C$7:$C$1506,MATCH(M281,BARDAGE!$B$7:$B$1506,0)),"? hors registre"))</f>
        <v/>
      </c>
      <c r="O281" s="80"/>
      <c r="P281" s="80"/>
      <c r="Q281" s="80"/>
      <c r="R281" s="82"/>
      <c r="S281" s="82"/>
      <c r="T281" s="80"/>
      <c r="U281" s="80"/>
      <c r="V281" s="82"/>
      <c r="W281" s="80"/>
      <c r="X281" s="80"/>
      <c r="Y281" s="80"/>
      <c r="Z281" s="80"/>
      <c r="AA281" s="82"/>
      <c r="AB281" s="80"/>
      <c r="AC281" s="80"/>
      <c r="AD281" s="80"/>
      <c r="AE281" s="80"/>
      <c r="AF281" s="82"/>
      <c r="AG281" s="80"/>
      <c r="AH281" s="80"/>
      <c r="AI281" s="82"/>
      <c r="AJ281" s="79"/>
      <c r="AK281" s="78" t="n">
        <f aca="false">IF(E281="","",(X281&lt;&gt;"")+(AC281&lt;&gt;"")+(AH281&lt;&gt;""))</f>
        <v>0</v>
      </c>
      <c r="AL281" s="81" t="str">
        <f aca="false">IF(AH281&lt;&gt;"",AH281,IF(AC281&lt;&gt;"",AC281,IF(X281&lt;&gt;"",X281,"")))</f>
        <v/>
      </c>
      <c r="AM281" s="83" t="str">
        <f aca="false">IF(E281="","",IF(R281="","À SOUDER",IF(U281="","VT EN ATTENTE",IF(U281="R","VT REJETÉ – À REPRENDRE",IF(AL281="","À RADIOGRAPHIER",IF(AL281="A","ACCEPTÉ",IF(AL281="NX","NX – RT À REFAIRE",IF(IF(AK281=1,Z281,IF(AK281=2,AE281,""))="A","RÉPARÉ – À RADIOGRAPHIER",IF(IF(AK281=1,Z281,IF(AK281=2,AE281,""))="R","VT REJETÉ – À REPRENDRE",IF(OR(AL281="CO",AL281="NT"),"COUPE – À RESOUDER","À RÉPARER"))))))))))</f>
        <v>À SOUDER</v>
      </c>
      <c r="AN281" s="81" t="str">
        <f aca="false">IF(AND(ISNUMBER(R281),OR(AM281="À RADIOGRAPHIER",AM281="RÉPARÉ – À RADIOGRAPHIER",AM281="NX – RT À REFAIRE",AM281="À RÉPARER",AM281="COUPE – À RESOUDER",AM281="VT REJETÉ – À REPRENDRE")),MAX(0,'PROGRAMME RT'!$C$4-R281),"")</f>
        <v/>
      </c>
      <c r="AO281" s="78" t="n">
        <f aca="false">IF(AND(OR(AM281="À RADIOGRAPHIER",AM281="RÉPARÉ – À RADIOGRAPHIER",AM281="NX – RT À REFAIRE"),OR('PROGRAMME RT'!$D$5="TOUTES",B281='PROGRAMME RT'!$D$5)),1,0)</f>
        <v>0</v>
      </c>
      <c r="AP281" s="78" t="str">
        <f aca="false">IF(AO281=1,SUM(AO$7:AO281),"")</f>
        <v/>
      </c>
      <c r="AQ281" s="78" t="n">
        <f aca="false">IF(AND(OR(X281="R",X281="NX",X281="NT",X281="CO"),OR('JOINTS DE RÉPARATION'!$D$5="TOUTES",B281='JOINTS DE RÉPARATION'!$D$5),OR('JOINTS DE RÉPARATION'!$L$4="TOUS",AM281&lt;&gt;"ACCEPTÉ")),1,0)</f>
        <v>0</v>
      </c>
      <c r="AR281" s="78" t="str">
        <f aca="false">IF(AQ281=1,SUM(AQ$7:AQ281),"")</f>
        <v/>
      </c>
    </row>
    <row r="282" customFormat="false" ht="15" hidden="false" customHeight="false" outlineLevel="0" collapsed="false">
      <c r="A282" s="78" t="n">
        <f aca="false">IF(E282="","",ROW()-6)</f>
        <v>276</v>
      </c>
      <c r="B282" s="79" t="s">
        <v>575</v>
      </c>
      <c r="C282" s="80"/>
      <c r="D282" s="80"/>
      <c r="E282" s="80" t="s">
        <v>281</v>
      </c>
      <c r="F282" s="80"/>
      <c r="G282" s="80" t="s">
        <v>106</v>
      </c>
      <c r="H282" s="80"/>
      <c r="I282" s="80"/>
      <c r="J282" s="80"/>
      <c r="K282" s="80"/>
      <c r="L282" s="81" t="str">
        <f aca="false">IF(K282="","",IFERROR(INDEX(BARDAGE!$C$7:$C$1506,MATCH(K282,BARDAGE!$B$7:$B$1506,0)),"? hors registre"))</f>
        <v/>
      </c>
      <c r="M282" s="80"/>
      <c r="N282" s="81" t="str">
        <f aca="false">IF(M282="","",IFERROR(INDEX(BARDAGE!$C$7:$C$1506,MATCH(M282,BARDAGE!$B$7:$B$1506,0)),"? hors registre"))</f>
        <v/>
      </c>
      <c r="O282" s="80"/>
      <c r="P282" s="80"/>
      <c r="Q282" s="80"/>
      <c r="R282" s="82"/>
      <c r="S282" s="82"/>
      <c r="T282" s="80"/>
      <c r="U282" s="80"/>
      <c r="V282" s="82"/>
      <c r="W282" s="80"/>
      <c r="X282" s="80"/>
      <c r="Y282" s="80"/>
      <c r="Z282" s="80"/>
      <c r="AA282" s="82"/>
      <c r="AB282" s="80"/>
      <c r="AC282" s="80"/>
      <c r="AD282" s="80"/>
      <c r="AE282" s="80"/>
      <c r="AF282" s="82"/>
      <c r="AG282" s="80"/>
      <c r="AH282" s="80"/>
      <c r="AI282" s="82"/>
      <c r="AJ282" s="79"/>
      <c r="AK282" s="78" t="n">
        <f aca="false">IF(E282="","",(X282&lt;&gt;"")+(AC282&lt;&gt;"")+(AH282&lt;&gt;""))</f>
        <v>0</v>
      </c>
      <c r="AL282" s="81" t="str">
        <f aca="false">IF(AH282&lt;&gt;"",AH282,IF(AC282&lt;&gt;"",AC282,IF(X282&lt;&gt;"",X282,"")))</f>
        <v/>
      </c>
      <c r="AM282" s="83" t="str">
        <f aca="false">IF(E282="","",IF(R282="","À SOUDER",IF(U282="","VT EN ATTENTE",IF(U282="R","VT REJETÉ – À REPRENDRE",IF(AL282="","À RADIOGRAPHIER",IF(AL282="A","ACCEPTÉ",IF(AL282="NX","NX – RT À REFAIRE",IF(IF(AK282=1,Z282,IF(AK282=2,AE282,""))="A","RÉPARÉ – À RADIOGRAPHIER",IF(IF(AK282=1,Z282,IF(AK282=2,AE282,""))="R","VT REJETÉ – À REPRENDRE",IF(OR(AL282="CO",AL282="NT"),"COUPE – À RESOUDER","À RÉPARER"))))))))))</f>
        <v>À SOUDER</v>
      </c>
      <c r="AN282" s="81" t="str">
        <f aca="false">IF(AND(ISNUMBER(R282),OR(AM282="À RADIOGRAPHIER",AM282="RÉPARÉ – À RADIOGRAPHIER",AM282="NX – RT À REFAIRE",AM282="À RÉPARER",AM282="COUPE – À RESOUDER",AM282="VT REJETÉ – À REPRENDRE")),MAX(0,'PROGRAMME RT'!$C$4-R282),"")</f>
        <v/>
      </c>
      <c r="AO282" s="78" t="n">
        <f aca="false">IF(AND(OR(AM282="À RADIOGRAPHIER",AM282="RÉPARÉ – À RADIOGRAPHIER",AM282="NX – RT À REFAIRE"),OR('PROGRAMME RT'!$D$5="TOUTES",B282='PROGRAMME RT'!$D$5)),1,0)</f>
        <v>0</v>
      </c>
      <c r="AP282" s="78" t="str">
        <f aca="false">IF(AO282=1,SUM(AO$7:AO282),"")</f>
        <v/>
      </c>
      <c r="AQ282" s="78" t="n">
        <f aca="false">IF(AND(OR(X282="R",X282="NX",X282="NT",X282="CO"),OR('JOINTS DE RÉPARATION'!$D$5="TOUTES",B282='JOINTS DE RÉPARATION'!$D$5),OR('JOINTS DE RÉPARATION'!$L$4="TOUS",AM282&lt;&gt;"ACCEPTÉ")),1,0)</f>
        <v>0</v>
      </c>
      <c r="AR282" s="78" t="str">
        <f aca="false">IF(AQ282=1,SUM(AQ$7:AQ282),"")</f>
        <v/>
      </c>
    </row>
    <row r="283" customFormat="false" ht="15" hidden="false" customHeight="false" outlineLevel="0" collapsed="false">
      <c r="A283" s="78" t="n">
        <f aca="false">IF(E283="","",ROW()-6)</f>
        <v>277</v>
      </c>
      <c r="B283" s="79" t="s">
        <v>575</v>
      </c>
      <c r="C283" s="80"/>
      <c r="D283" s="80"/>
      <c r="E283" s="80" t="s">
        <v>283</v>
      </c>
      <c r="F283" s="80"/>
      <c r="G283" s="80" t="s">
        <v>106</v>
      </c>
      <c r="H283" s="80"/>
      <c r="I283" s="80"/>
      <c r="J283" s="80"/>
      <c r="K283" s="80"/>
      <c r="L283" s="81" t="str">
        <f aca="false">IF(K283="","",IFERROR(INDEX(BARDAGE!$C$7:$C$1506,MATCH(K283,BARDAGE!$B$7:$B$1506,0)),"? hors registre"))</f>
        <v/>
      </c>
      <c r="M283" s="80"/>
      <c r="N283" s="81" t="str">
        <f aca="false">IF(M283="","",IFERROR(INDEX(BARDAGE!$C$7:$C$1506,MATCH(M283,BARDAGE!$B$7:$B$1506,0)),"? hors registre"))</f>
        <v/>
      </c>
      <c r="O283" s="80"/>
      <c r="P283" s="80"/>
      <c r="Q283" s="80"/>
      <c r="R283" s="82"/>
      <c r="S283" s="82"/>
      <c r="T283" s="80"/>
      <c r="U283" s="80"/>
      <c r="V283" s="82"/>
      <c r="W283" s="80"/>
      <c r="X283" s="80"/>
      <c r="Y283" s="80"/>
      <c r="Z283" s="80"/>
      <c r="AA283" s="82"/>
      <c r="AB283" s="80"/>
      <c r="AC283" s="80"/>
      <c r="AD283" s="80"/>
      <c r="AE283" s="80"/>
      <c r="AF283" s="82"/>
      <c r="AG283" s="80"/>
      <c r="AH283" s="80"/>
      <c r="AI283" s="82"/>
      <c r="AJ283" s="79"/>
      <c r="AK283" s="78" t="n">
        <f aca="false">IF(E283="","",(X283&lt;&gt;"")+(AC283&lt;&gt;"")+(AH283&lt;&gt;""))</f>
        <v>0</v>
      </c>
      <c r="AL283" s="81" t="str">
        <f aca="false">IF(AH283&lt;&gt;"",AH283,IF(AC283&lt;&gt;"",AC283,IF(X283&lt;&gt;"",X283,"")))</f>
        <v/>
      </c>
      <c r="AM283" s="83" t="str">
        <f aca="false">IF(E283="","",IF(R283="","À SOUDER",IF(U283="","VT EN ATTENTE",IF(U283="R","VT REJETÉ – À REPRENDRE",IF(AL283="","À RADIOGRAPHIER",IF(AL283="A","ACCEPTÉ",IF(AL283="NX","NX – RT À REFAIRE",IF(IF(AK283=1,Z283,IF(AK283=2,AE283,""))="A","RÉPARÉ – À RADIOGRAPHIER",IF(IF(AK283=1,Z283,IF(AK283=2,AE283,""))="R","VT REJETÉ – À REPRENDRE",IF(OR(AL283="CO",AL283="NT"),"COUPE – À RESOUDER","À RÉPARER"))))))))))</f>
        <v>À SOUDER</v>
      </c>
      <c r="AN283" s="81" t="str">
        <f aca="false">IF(AND(ISNUMBER(R283),OR(AM283="À RADIOGRAPHIER",AM283="RÉPARÉ – À RADIOGRAPHIER",AM283="NX – RT À REFAIRE",AM283="À RÉPARER",AM283="COUPE – À RESOUDER",AM283="VT REJETÉ – À REPRENDRE")),MAX(0,'PROGRAMME RT'!$C$4-R283),"")</f>
        <v/>
      </c>
      <c r="AO283" s="78" t="n">
        <f aca="false">IF(AND(OR(AM283="À RADIOGRAPHIER",AM283="RÉPARÉ – À RADIOGRAPHIER",AM283="NX – RT À REFAIRE"),OR('PROGRAMME RT'!$D$5="TOUTES",B283='PROGRAMME RT'!$D$5)),1,0)</f>
        <v>0</v>
      </c>
      <c r="AP283" s="78" t="str">
        <f aca="false">IF(AO283=1,SUM(AO$7:AO283),"")</f>
        <v/>
      </c>
      <c r="AQ283" s="78" t="n">
        <f aca="false">IF(AND(OR(X283="R",X283="NX",X283="NT",X283="CO"),OR('JOINTS DE RÉPARATION'!$D$5="TOUTES",B283='JOINTS DE RÉPARATION'!$D$5),OR('JOINTS DE RÉPARATION'!$L$4="TOUS",AM283&lt;&gt;"ACCEPTÉ")),1,0)</f>
        <v>0</v>
      </c>
      <c r="AR283" s="78" t="str">
        <f aca="false">IF(AQ283=1,SUM(AQ$7:AQ283),"")</f>
        <v/>
      </c>
    </row>
    <row r="284" customFormat="false" ht="15" hidden="false" customHeight="false" outlineLevel="0" collapsed="false">
      <c r="A284" s="78" t="n">
        <f aca="false">IF(E284="","",ROW()-6)</f>
        <v>278</v>
      </c>
      <c r="B284" s="79" t="s">
        <v>575</v>
      </c>
      <c r="C284" s="80"/>
      <c r="D284" s="80"/>
      <c r="E284" s="80" t="s">
        <v>285</v>
      </c>
      <c r="F284" s="80"/>
      <c r="G284" s="80" t="s">
        <v>106</v>
      </c>
      <c r="H284" s="80"/>
      <c r="I284" s="80"/>
      <c r="J284" s="80"/>
      <c r="K284" s="80"/>
      <c r="L284" s="81" t="str">
        <f aca="false">IF(K284="","",IFERROR(INDEX(BARDAGE!$C$7:$C$1506,MATCH(K284,BARDAGE!$B$7:$B$1506,0)),"? hors registre"))</f>
        <v/>
      </c>
      <c r="M284" s="80"/>
      <c r="N284" s="81" t="str">
        <f aca="false">IF(M284="","",IFERROR(INDEX(BARDAGE!$C$7:$C$1506,MATCH(M284,BARDAGE!$B$7:$B$1506,0)),"? hors registre"))</f>
        <v/>
      </c>
      <c r="O284" s="80"/>
      <c r="P284" s="80"/>
      <c r="Q284" s="80"/>
      <c r="R284" s="82"/>
      <c r="S284" s="82"/>
      <c r="T284" s="80"/>
      <c r="U284" s="80"/>
      <c r="V284" s="82"/>
      <c r="W284" s="80"/>
      <c r="X284" s="80"/>
      <c r="Y284" s="80"/>
      <c r="Z284" s="80"/>
      <c r="AA284" s="82"/>
      <c r="AB284" s="80"/>
      <c r="AC284" s="80"/>
      <c r="AD284" s="80"/>
      <c r="AE284" s="80"/>
      <c r="AF284" s="82"/>
      <c r="AG284" s="80"/>
      <c r="AH284" s="80"/>
      <c r="AI284" s="82"/>
      <c r="AJ284" s="79"/>
      <c r="AK284" s="78" t="n">
        <f aca="false">IF(E284="","",(X284&lt;&gt;"")+(AC284&lt;&gt;"")+(AH284&lt;&gt;""))</f>
        <v>0</v>
      </c>
      <c r="AL284" s="81" t="str">
        <f aca="false">IF(AH284&lt;&gt;"",AH284,IF(AC284&lt;&gt;"",AC284,IF(X284&lt;&gt;"",X284,"")))</f>
        <v/>
      </c>
      <c r="AM284" s="83" t="str">
        <f aca="false">IF(E284="","",IF(R284="","À SOUDER",IF(U284="","VT EN ATTENTE",IF(U284="R","VT REJETÉ – À REPRENDRE",IF(AL284="","À RADIOGRAPHIER",IF(AL284="A","ACCEPTÉ",IF(AL284="NX","NX – RT À REFAIRE",IF(IF(AK284=1,Z284,IF(AK284=2,AE284,""))="A","RÉPARÉ – À RADIOGRAPHIER",IF(IF(AK284=1,Z284,IF(AK284=2,AE284,""))="R","VT REJETÉ – À REPRENDRE",IF(OR(AL284="CO",AL284="NT"),"COUPE – À RESOUDER","À RÉPARER"))))))))))</f>
        <v>À SOUDER</v>
      </c>
      <c r="AN284" s="81" t="str">
        <f aca="false">IF(AND(ISNUMBER(R284),OR(AM284="À RADIOGRAPHIER",AM284="RÉPARÉ – À RADIOGRAPHIER",AM284="NX – RT À REFAIRE",AM284="À RÉPARER",AM284="COUPE – À RESOUDER",AM284="VT REJETÉ – À REPRENDRE")),MAX(0,'PROGRAMME RT'!$C$4-R284),"")</f>
        <v/>
      </c>
      <c r="AO284" s="78" t="n">
        <f aca="false">IF(AND(OR(AM284="À RADIOGRAPHIER",AM284="RÉPARÉ – À RADIOGRAPHIER",AM284="NX – RT À REFAIRE"),OR('PROGRAMME RT'!$D$5="TOUTES",B284='PROGRAMME RT'!$D$5)),1,0)</f>
        <v>0</v>
      </c>
      <c r="AP284" s="78" t="str">
        <f aca="false">IF(AO284=1,SUM(AO$7:AO284),"")</f>
        <v/>
      </c>
      <c r="AQ284" s="78" t="n">
        <f aca="false">IF(AND(OR(X284="R",X284="NX",X284="NT",X284="CO"),OR('JOINTS DE RÉPARATION'!$D$5="TOUTES",B284='JOINTS DE RÉPARATION'!$D$5),OR('JOINTS DE RÉPARATION'!$L$4="TOUS",AM284&lt;&gt;"ACCEPTÉ")),1,0)</f>
        <v>0</v>
      </c>
      <c r="AR284" s="78" t="str">
        <f aca="false">IF(AQ284=1,SUM(AQ$7:AQ284),"")</f>
        <v/>
      </c>
    </row>
    <row r="285" customFormat="false" ht="15" hidden="false" customHeight="false" outlineLevel="0" collapsed="false">
      <c r="A285" s="78" t="n">
        <f aca="false">IF(E285="","",ROW()-6)</f>
        <v>279</v>
      </c>
      <c r="B285" s="79" t="s">
        <v>575</v>
      </c>
      <c r="C285" s="80"/>
      <c r="D285" s="80"/>
      <c r="E285" s="80" t="s">
        <v>287</v>
      </c>
      <c r="F285" s="80"/>
      <c r="G285" s="80" t="s">
        <v>106</v>
      </c>
      <c r="H285" s="80"/>
      <c r="I285" s="80"/>
      <c r="J285" s="80"/>
      <c r="K285" s="80"/>
      <c r="L285" s="81" t="str">
        <f aca="false">IF(K285="","",IFERROR(INDEX(BARDAGE!$C$7:$C$1506,MATCH(K285,BARDAGE!$B$7:$B$1506,0)),"? hors registre"))</f>
        <v/>
      </c>
      <c r="M285" s="80"/>
      <c r="N285" s="81" t="str">
        <f aca="false">IF(M285="","",IFERROR(INDEX(BARDAGE!$C$7:$C$1506,MATCH(M285,BARDAGE!$B$7:$B$1506,0)),"? hors registre"))</f>
        <v/>
      </c>
      <c r="O285" s="80"/>
      <c r="P285" s="80"/>
      <c r="Q285" s="80"/>
      <c r="R285" s="82"/>
      <c r="S285" s="82"/>
      <c r="T285" s="80"/>
      <c r="U285" s="80"/>
      <c r="V285" s="82"/>
      <c r="W285" s="80"/>
      <c r="X285" s="80"/>
      <c r="Y285" s="80"/>
      <c r="Z285" s="80"/>
      <c r="AA285" s="82"/>
      <c r="AB285" s="80"/>
      <c r="AC285" s="80"/>
      <c r="AD285" s="80"/>
      <c r="AE285" s="80"/>
      <c r="AF285" s="82"/>
      <c r="AG285" s="80"/>
      <c r="AH285" s="80"/>
      <c r="AI285" s="82"/>
      <c r="AJ285" s="79"/>
      <c r="AK285" s="78" t="n">
        <f aca="false">IF(E285="","",(X285&lt;&gt;"")+(AC285&lt;&gt;"")+(AH285&lt;&gt;""))</f>
        <v>0</v>
      </c>
      <c r="AL285" s="81" t="str">
        <f aca="false">IF(AH285&lt;&gt;"",AH285,IF(AC285&lt;&gt;"",AC285,IF(X285&lt;&gt;"",X285,"")))</f>
        <v/>
      </c>
      <c r="AM285" s="83" t="str">
        <f aca="false">IF(E285="","",IF(R285="","À SOUDER",IF(U285="","VT EN ATTENTE",IF(U285="R","VT REJETÉ – À REPRENDRE",IF(AL285="","À RADIOGRAPHIER",IF(AL285="A","ACCEPTÉ",IF(AL285="NX","NX – RT À REFAIRE",IF(IF(AK285=1,Z285,IF(AK285=2,AE285,""))="A","RÉPARÉ – À RADIOGRAPHIER",IF(IF(AK285=1,Z285,IF(AK285=2,AE285,""))="R","VT REJETÉ – À REPRENDRE",IF(OR(AL285="CO",AL285="NT"),"COUPE – À RESOUDER","À RÉPARER"))))))))))</f>
        <v>À SOUDER</v>
      </c>
      <c r="AN285" s="81" t="str">
        <f aca="false">IF(AND(ISNUMBER(R285),OR(AM285="À RADIOGRAPHIER",AM285="RÉPARÉ – À RADIOGRAPHIER",AM285="NX – RT À REFAIRE",AM285="À RÉPARER",AM285="COUPE – À RESOUDER",AM285="VT REJETÉ – À REPRENDRE")),MAX(0,'PROGRAMME RT'!$C$4-R285),"")</f>
        <v/>
      </c>
      <c r="AO285" s="78" t="n">
        <f aca="false">IF(AND(OR(AM285="À RADIOGRAPHIER",AM285="RÉPARÉ – À RADIOGRAPHIER",AM285="NX – RT À REFAIRE"),OR('PROGRAMME RT'!$D$5="TOUTES",B285='PROGRAMME RT'!$D$5)),1,0)</f>
        <v>0</v>
      </c>
      <c r="AP285" s="78" t="str">
        <f aca="false">IF(AO285=1,SUM(AO$7:AO285),"")</f>
        <v/>
      </c>
      <c r="AQ285" s="78" t="n">
        <f aca="false">IF(AND(OR(X285="R",X285="NX",X285="NT",X285="CO"),OR('JOINTS DE RÉPARATION'!$D$5="TOUTES",B285='JOINTS DE RÉPARATION'!$D$5),OR('JOINTS DE RÉPARATION'!$L$4="TOUS",AM285&lt;&gt;"ACCEPTÉ")),1,0)</f>
        <v>0</v>
      </c>
      <c r="AR285" s="78" t="str">
        <f aca="false">IF(AQ285=1,SUM(AQ$7:AQ285),"")</f>
        <v/>
      </c>
    </row>
    <row r="286" customFormat="false" ht="15" hidden="false" customHeight="false" outlineLevel="0" collapsed="false">
      <c r="A286" s="78" t="n">
        <f aca="false">IF(E286="","",ROW()-6)</f>
        <v>280</v>
      </c>
      <c r="B286" s="79" t="s">
        <v>575</v>
      </c>
      <c r="C286" s="80"/>
      <c r="D286" s="80"/>
      <c r="E286" s="80" t="s">
        <v>290</v>
      </c>
      <c r="F286" s="80"/>
      <c r="G286" s="80" t="s">
        <v>106</v>
      </c>
      <c r="H286" s="80"/>
      <c r="I286" s="80"/>
      <c r="J286" s="80"/>
      <c r="K286" s="80"/>
      <c r="L286" s="81" t="str">
        <f aca="false">IF(K286="","",IFERROR(INDEX(BARDAGE!$C$7:$C$1506,MATCH(K286,BARDAGE!$B$7:$B$1506,0)),"? hors registre"))</f>
        <v/>
      </c>
      <c r="M286" s="80"/>
      <c r="N286" s="81" t="str">
        <f aca="false">IF(M286="","",IFERROR(INDEX(BARDAGE!$C$7:$C$1506,MATCH(M286,BARDAGE!$B$7:$B$1506,0)),"? hors registre"))</f>
        <v/>
      </c>
      <c r="O286" s="80"/>
      <c r="P286" s="80"/>
      <c r="Q286" s="80"/>
      <c r="R286" s="82"/>
      <c r="S286" s="82"/>
      <c r="T286" s="80"/>
      <c r="U286" s="80"/>
      <c r="V286" s="82"/>
      <c r="W286" s="80"/>
      <c r="X286" s="80"/>
      <c r="Y286" s="80"/>
      <c r="Z286" s="80"/>
      <c r="AA286" s="82"/>
      <c r="AB286" s="80"/>
      <c r="AC286" s="80"/>
      <c r="AD286" s="80"/>
      <c r="AE286" s="80"/>
      <c r="AF286" s="82"/>
      <c r="AG286" s="80"/>
      <c r="AH286" s="80"/>
      <c r="AI286" s="82"/>
      <c r="AJ286" s="79"/>
      <c r="AK286" s="78" t="n">
        <f aca="false">IF(E286="","",(X286&lt;&gt;"")+(AC286&lt;&gt;"")+(AH286&lt;&gt;""))</f>
        <v>0</v>
      </c>
      <c r="AL286" s="81" t="str">
        <f aca="false">IF(AH286&lt;&gt;"",AH286,IF(AC286&lt;&gt;"",AC286,IF(X286&lt;&gt;"",X286,"")))</f>
        <v/>
      </c>
      <c r="AM286" s="83" t="str">
        <f aca="false">IF(E286="","",IF(R286="","À SOUDER",IF(U286="","VT EN ATTENTE",IF(U286="R","VT REJETÉ – À REPRENDRE",IF(AL286="","À RADIOGRAPHIER",IF(AL286="A","ACCEPTÉ",IF(AL286="NX","NX – RT À REFAIRE",IF(IF(AK286=1,Z286,IF(AK286=2,AE286,""))="A","RÉPARÉ – À RADIOGRAPHIER",IF(IF(AK286=1,Z286,IF(AK286=2,AE286,""))="R","VT REJETÉ – À REPRENDRE",IF(OR(AL286="CO",AL286="NT"),"COUPE – À RESOUDER","À RÉPARER"))))))))))</f>
        <v>À SOUDER</v>
      </c>
      <c r="AN286" s="81" t="str">
        <f aca="false">IF(AND(ISNUMBER(R286),OR(AM286="À RADIOGRAPHIER",AM286="RÉPARÉ – À RADIOGRAPHIER",AM286="NX – RT À REFAIRE",AM286="À RÉPARER",AM286="COUPE – À RESOUDER",AM286="VT REJETÉ – À REPRENDRE")),MAX(0,'PROGRAMME RT'!$C$4-R286),"")</f>
        <v/>
      </c>
      <c r="AO286" s="78" t="n">
        <f aca="false">IF(AND(OR(AM286="À RADIOGRAPHIER",AM286="RÉPARÉ – À RADIOGRAPHIER",AM286="NX – RT À REFAIRE"),OR('PROGRAMME RT'!$D$5="TOUTES",B286='PROGRAMME RT'!$D$5)),1,0)</f>
        <v>0</v>
      </c>
      <c r="AP286" s="78" t="str">
        <f aca="false">IF(AO286=1,SUM(AO$7:AO286),"")</f>
        <v/>
      </c>
      <c r="AQ286" s="78" t="n">
        <f aca="false">IF(AND(OR(X286="R",X286="NX",X286="NT",X286="CO"),OR('JOINTS DE RÉPARATION'!$D$5="TOUTES",B286='JOINTS DE RÉPARATION'!$D$5),OR('JOINTS DE RÉPARATION'!$L$4="TOUS",AM286&lt;&gt;"ACCEPTÉ")),1,0)</f>
        <v>0</v>
      </c>
      <c r="AR286" s="78" t="str">
        <f aca="false">IF(AQ286=1,SUM(AQ$7:AQ286),"")</f>
        <v/>
      </c>
    </row>
    <row r="287" customFormat="false" ht="15" hidden="false" customHeight="false" outlineLevel="0" collapsed="false">
      <c r="A287" s="78" t="n">
        <f aca="false">IF(E287="","",ROW()-6)</f>
        <v>281</v>
      </c>
      <c r="B287" s="79" t="s">
        <v>575</v>
      </c>
      <c r="C287" s="80"/>
      <c r="D287" s="80"/>
      <c r="E287" s="80" t="s">
        <v>293</v>
      </c>
      <c r="F287" s="80"/>
      <c r="G287" s="80" t="s">
        <v>106</v>
      </c>
      <c r="H287" s="80"/>
      <c r="I287" s="80"/>
      <c r="J287" s="80"/>
      <c r="K287" s="80"/>
      <c r="L287" s="81" t="str">
        <f aca="false">IF(K287="","",IFERROR(INDEX(BARDAGE!$C$7:$C$1506,MATCH(K287,BARDAGE!$B$7:$B$1506,0)),"? hors registre"))</f>
        <v/>
      </c>
      <c r="M287" s="80"/>
      <c r="N287" s="81" t="str">
        <f aca="false">IF(M287="","",IFERROR(INDEX(BARDAGE!$C$7:$C$1506,MATCH(M287,BARDAGE!$B$7:$B$1506,0)),"? hors registre"))</f>
        <v/>
      </c>
      <c r="O287" s="80"/>
      <c r="P287" s="80"/>
      <c r="Q287" s="80"/>
      <c r="R287" s="82"/>
      <c r="S287" s="82"/>
      <c r="T287" s="80"/>
      <c r="U287" s="80"/>
      <c r="V287" s="82"/>
      <c r="W287" s="80"/>
      <c r="X287" s="80"/>
      <c r="Y287" s="80"/>
      <c r="Z287" s="80"/>
      <c r="AA287" s="82"/>
      <c r="AB287" s="80"/>
      <c r="AC287" s="80"/>
      <c r="AD287" s="80"/>
      <c r="AE287" s="80"/>
      <c r="AF287" s="82"/>
      <c r="AG287" s="80"/>
      <c r="AH287" s="80"/>
      <c r="AI287" s="82"/>
      <c r="AJ287" s="79"/>
      <c r="AK287" s="78" t="n">
        <f aca="false">IF(E287="","",(X287&lt;&gt;"")+(AC287&lt;&gt;"")+(AH287&lt;&gt;""))</f>
        <v>0</v>
      </c>
      <c r="AL287" s="81" t="str">
        <f aca="false">IF(AH287&lt;&gt;"",AH287,IF(AC287&lt;&gt;"",AC287,IF(X287&lt;&gt;"",X287,"")))</f>
        <v/>
      </c>
      <c r="AM287" s="83" t="str">
        <f aca="false">IF(E287="","",IF(R287="","À SOUDER",IF(U287="","VT EN ATTENTE",IF(U287="R","VT REJETÉ – À REPRENDRE",IF(AL287="","À RADIOGRAPHIER",IF(AL287="A","ACCEPTÉ",IF(AL287="NX","NX – RT À REFAIRE",IF(IF(AK287=1,Z287,IF(AK287=2,AE287,""))="A","RÉPARÉ – À RADIOGRAPHIER",IF(IF(AK287=1,Z287,IF(AK287=2,AE287,""))="R","VT REJETÉ – À REPRENDRE",IF(OR(AL287="CO",AL287="NT"),"COUPE – À RESOUDER","À RÉPARER"))))))))))</f>
        <v>À SOUDER</v>
      </c>
      <c r="AN287" s="81" t="str">
        <f aca="false">IF(AND(ISNUMBER(R287),OR(AM287="À RADIOGRAPHIER",AM287="RÉPARÉ – À RADIOGRAPHIER",AM287="NX – RT À REFAIRE",AM287="À RÉPARER",AM287="COUPE – À RESOUDER",AM287="VT REJETÉ – À REPRENDRE")),MAX(0,'PROGRAMME RT'!$C$4-R287),"")</f>
        <v/>
      </c>
      <c r="AO287" s="78" t="n">
        <f aca="false">IF(AND(OR(AM287="À RADIOGRAPHIER",AM287="RÉPARÉ – À RADIOGRAPHIER",AM287="NX – RT À REFAIRE"),OR('PROGRAMME RT'!$D$5="TOUTES",B287='PROGRAMME RT'!$D$5)),1,0)</f>
        <v>0</v>
      </c>
      <c r="AP287" s="78" t="str">
        <f aca="false">IF(AO287=1,SUM(AO$7:AO287),"")</f>
        <v/>
      </c>
      <c r="AQ287" s="78" t="n">
        <f aca="false">IF(AND(OR(X287="R",X287="NX",X287="NT",X287="CO"),OR('JOINTS DE RÉPARATION'!$D$5="TOUTES",B287='JOINTS DE RÉPARATION'!$D$5),OR('JOINTS DE RÉPARATION'!$L$4="TOUS",AM287&lt;&gt;"ACCEPTÉ")),1,0)</f>
        <v>0</v>
      </c>
      <c r="AR287" s="78" t="str">
        <f aca="false">IF(AQ287=1,SUM(AQ$7:AQ287),"")</f>
        <v/>
      </c>
    </row>
    <row r="288" customFormat="false" ht="15" hidden="false" customHeight="false" outlineLevel="0" collapsed="false">
      <c r="A288" s="78" t="n">
        <f aca="false">IF(E288="","",ROW()-6)</f>
        <v>282</v>
      </c>
      <c r="B288" s="79" t="s">
        <v>575</v>
      </c>
      <c r="C288" s="80"/>
      <c r="D288" s="80"/>
      <c r="E288" s="80" t="s">
        <v>295</v>
      </c>
      <c r="F288" s="80"/>
      <c r="G288" s="80" t="s">
        <v>106</v>
      </c>
      <c r="H288" s="80"/>
      <c r="I288" s="80"/>
      <c r="J288" s="80"/>
      <c r="K288" s="80"/>
      <c r="L288" s="81" t="str">
        <f aca="false">IF(K288="","",IFERROR(INDEX(BARDAGE!$C$7:$C$1506,MATCH(K288,BARDAGE!$B$7:$B$1506,0)),"? hors registre"))</f>
        <v/>
      </c>
      <c r="M288" s="80"/>
      <c r="N288" s="81" t="str">
        <f aca="false">IF(M288="","",IFERROR(INDEX(BARDAGE!$C$7:$C$1506,MATCH(M288,BARDAGE!$B$7:$B$1506,0)),"? hors registre"))</f>
        <v/>
      </c>
      <c r="O288" s="80"/>
      <c r="P288" s="80"/>
      <c r="Q288" s="80"/>
      <c r="R288" s="82"/>
      <c r="S288" s="82"/>
      <c r="T288" s="80"/>
      <c r="U288" s="80"/>
      <c r="V288" s="82"/>
      <c r="W288" s="80"/>
      <c r="X288" s="80"/>
      <c r="Y288" s="80"/>
      <c r="Z288" s="80"/>
      <c r="AA288" s="82"/>
      <c r="AB288" s="80"/>
      <c r="AC288" s="80"/>
      <c r="AD288" s="80"/>
      <c r="AE288" s="80"/>
      <c r="AF288" s="82"/>
      <c r="AG288" s="80"/>
      <c r="AH288" s="80"/>
      <c r="AI288" s="82"/>
      <c r="AJ288" s="79"/>
      <c r="AK288" s="78" t="n">
        <f aca="false">IF(E288="","",(X288&lt;&gt;"")+(AC288&lt;&gt;"")+(AH288&lt;&gt;""))</f>
        <v>0</v>
      </c>
      <c r="AL288" s="81" t="str">
        <f aca="false">IF(AH288&lt;&gt;"",AH288,IF(AC288&lt;&gt;"",AC288,IF(X288&lt;&gt;"",X288,"")))</f>
        <v/>
      </c>
      <c r="AM288" s="83" t="str">
        <f aca="false">IF(E288="","",IF(R288="","À SOUDER",IF(U288="","VT EN ATTENTE",IF(U288="R","VT REJETÉ – À REPRENDRE",IF(AL288="","À RADIOGRAPHIER",IF(AL288="A","ACCEPTÉ",IF(AL288="NX","NX – RT À REFAIRE",IF(IF(AK288=1,Z288,IF(AK288=2,AE288,""))="A","RÉPARÉ – À RADIOGRAPHIER",IF(IF(AK288=1,Z288,IF(AK288=2,AE288,""))="R","VT REJETÉ – À REPRENDRE",IF(OR(AL288="CO",AL288="NT"),"COUPE – À RESOUDER","À RÉPARER"))))))))))</f>
        <v>À SOUDER</v>
      </c>
      <c r="AN288" s="81" t="str">
        <f aca="false">IF(AND(ISNUMBER(R288),OR(AM288="À RADIOGRAPHIER",AM288="RÉPARÉ – À RADIOGRAPHIER",AM288="NX – RT À REFAIRE",AM288="À RÉPARER",AM288="COUPE – À RESOUDER",AM288="VT REJETÉ – À REPRENDRE")),MAX(0,'PROGRAMME RT'!$C$4-R288),"")</f>
        <v/>
      </c>
      <c r="AO288" s="78" t="n">
        <f aca="false">IF(AND(OR(AM288="À RADIOGRAPHIER",AM288="RÉPARÉ – À RADIOGRAPHIER",AM288="NX – RT À REFAIRE"),OR('PROGRAMME RT'!$D$5="TOUTES",B288='PROGRAMME RT'!$D$5)),1,0)</f>
        <v>0</v>
      </c>
      <c r="AP288" s="78" t="str">
        <f aca="false">IF(AO288=1,SUM(AO$7:AO288),"")</f>
        <v/>
      </c>
      <c r="AQ288" s="78" t="n">
        <f aca="false">IF(AND(OR(X288="R",X288="NX",X288="NT",X288="CO"),OR('JOINTS DE RÉPARATION'!$D$5="TOUTES",B288='JOINTS DE RÉPARATION'!$D$5),OR('JOINTS DE RÉPARATION'!$L$4="TOUS",AM288&lt;&gt;"ACCEPTÉ")),1,0)</f>
        <v>0</v>
      </c>
      <c r="AR288" s="78" t="str">
        <f aca="false">IF(AQ288=1,SUM(AQ$7:AQ288),"")</f>
        <v/>
      </c>
    </row>
    <row r="289" customFormat="false" ht="15" hidden="false" customHeight="false" outlineLevel="0" collapsed="false">
      <c r="A289" s="78" t="n">
        <f aca="false">IF(E289="","",ROW()-6)</f>
        <v>283</v>
      </c>
      <c r="B289" s="79" t="s">
        <v>575</v>
      </c>
      <c r="C289" s="80"/>
      <c r="D289" s="80"/>
      <c r="E289" s="80" t="s">
        <v>297</v>
      </c>
      <c r="F289" s="80"/>
      <c r="G289" s="80" t="s">
        <v>106</v>
      </c>
      <c r="H289" s="80"/>
      <c r="I289" s="80"/>
      <c r="J289" s="80"/>
      <c r="K289" s="80"/>
      <c r="L289" s="81" t="str">
        <f aca="false">IF(K289="","",IFERROR(INDEX(BARDAGE!$C$7:$C$1506,MATCH(K289,BARDAGE!$B$7:$B$1506,0)),"? hors registre"))</f>
        <v/>
      </c>
      <c r="M289" s="80"/>
      <c r="N289" s="81" t="str">
        <f aca="false">IF(M289="","",IFERROR(INDEX(BARDAGE!$C$7:$C$1506,MATCH(M289,BARDAGE!$B$7:$B$1506,0)),"? hors registre"))</f>
        <v/>
      </c>
      <c r="O289" s="80"/>
      <c r="P289" s="80"/>
      <c r="Q289" s="80"/>
      <c r="R289" s="82"/>
      <c r="S289" s="82"/>
      <c r="T289" s="80"/>
      <c r="U289" s="80"/>
      <c r="V289" s="82"/>
      <c r="W289" s="80"/>
      <c r="X289" s="80"/>
      <c r="Y289" s="80"/>
      <c r="Z289" s="80"/>
      <c r="AA289" s="82"/>
      <c r="AB289" s="80"/>
      <c r="AC289" s="80"/>
      <c r="AD289" s="80"/>
      <c r="AE289" s="80"/>
      <c r="AF289" s="82"/>
      <c r="AG289" s="80"/>
      <c r="AH289" s="80"/>
      <c r="AI289" s="82"/>
      <c r="AJ289" s="79"/>
      <c r="AK289" s="78" t="n">
        <f aca="false">IF(E289="","",(X289&lt;&gt;"")+(AC289&lt;&gt;"")+(AH289&lt;&gt;""))</f>
        <v>0</v>
      </c>
      <c r="AL289" s="81" t="str">
        <f aca="false">IF(AH289&lt;&gt;"",AH289,IF(AC289&lt;&gt;"",AC289,IF(X289&lt;&gt;"",X289,"")))</f>
        <v/>
      </c>
      <c r="AM289" s="83" t="str">
        <f aca="false">IF(E289="","",IF(R289="","À SOUDER",IF(U289="","VT EN ATTENTE",IF(U289="R","VT REJETÉ – À REPRENDRE",IF(AL289="","À RADIOGRAPHIER",IF(AL289="A","ACCEPTÉ",IF(AL289="NX","NX – RT À REFAIRE",IF(IF(AK289=1,Z289,IF(AK289=2,AE289,""))="A","RÉPARÉ – À RADIOGRAPHIER",IF(IF(AK289=1,Z289,IF(AK289=2,AE289,""))="R","VT REJETÉ – À REPRENDRE",IF(OR(AL289="CO",AL289="NT"),"COUPE – À RESOUDER","À RÉPARER"))))))))))</f>
        <v>À SOUDER</v>
      </c>
      <c r="AN289" s="81" t="str">
        <f aca="false">IF(AND(ISNUMBER(R289),OR(AM289="À RADIOGRAPHIER",AM289="RÉPARÉ – À RADIOGRAPHIER",AM289="NX – RT À REFAIRE",AM289="À RÉPARER",AM289="COUPE – À RESOUDER",AM289="VT REJETÉ – À REPRENDRE")),MAX(0,'PROGRAMME RT'!$C$4-R289),"")</f>
        <v/>
      </c>
      <c r="AO289" s="78" t="n">
        <f aca="false">IF(AND(OR(AM289="À RADIOGRAPHIER",AM289="RÉPARÉ – À RADIOGRAPHIER",AM289="NX – RT À REFAIRE"),OR('PROGRAMME RT'!$D$5="TOUTES",B289='PROGRAMME RT'!$D$5)),1,0)</f>
        <v>0</v>
      </c>
      <c r="AP289" s="78" t="str">
        <f aca="false">IF(AO289=1,SUM(AO$7:AO289),"")</f>
        <v/>
      </c>
      <c r="AQ289" s="78" t="n">
        <f aca="false">IF(AND(OR(X289="R",X289="NX",X289="NT",X289="CO"),OR('JOINTS DE RÉPARATION'!$D$5="TOUTES",B289='JOINTS DE RÉPARATION'!$D$5),OR('JOINTS DE RÉPARATION'!$L$4="TOUS",AM289&lt;&gt;"ACCEPTÉ")),1,0)</f>
        <v>0</v>
      </c>
      <c r="AR289" s="78" t="str">
        <f aca="false">IF(AQ289=1,SUM(AQ$7:AQ289),"")</f>
        <v/>
      </c>
    </row>
    <row r="290" customFormat="false" ht="15" hidden="false" customHeight="false" outlineLevel="0" collapsed="false">
      <c r="A290" s="78" t="n">
        <f aca="false">IF(E290="","",ROW()-6)</f>
        <v>284</v>
      </c>
      <c r="B290" s="79" t="s">
        <v>575</v>
      </c>
      <c r="C290" s="80"/>
      <c r="D290" s="80"/>
      <c r="E290" s="80" t="s">
        <v>299</v>
      </c>
      <c r="F290" s="80"/>
      <c r="G290" s="80" t="s">
        <v>106</v>
      </c>
      <c r="H290" s="80"/>
      <c r="I290" s="80"/>
      <c r="J290" s="80"/>
      <c r="K290" s="80"/>
      <c r="L290" s="81" t="str">
        <f aca="false">IF(K290="","",IFERROR(INDEX(BARDAGE!$C$7:$C$1506,MATCH(K290,BARDAGE!$B$7:$B$1506,0)),"? hors registre"))</f>
        <v/>
      </c>
      <c r="M290" s="80"/>
      <c r="N290" s="81" t="str">
        <f aca="false">IF(M290="","",IFERROR(INDEX(BARDAGE!$C$7:$C$1506,MATCH(M290,BARDAGE!$B$7:$B$1506,0)),"? hors registre"))</f>
        <v/>
      </c>
      <c r="O290" s="80"/>
      <c r="P290" s="80"/>
      <c r="Q290" s="80"/>
      <c r="R290" s="82"/>
      <c r="S290" s="82"/>
      <c r="T290" s="80"/>
      <c r="U290" s="80"/>
      <c r="V290" s="82"/>
      <c r="W290" s="80"/>
      <c r="X290" s="80"/>
      <c r="Y290" s="80"/>
      <c r="Z290" s="80"/>
      <c r="AA290" s="82"/>
      <c r="AB290" s="80"/>
      <c r="AC290" s="80"/>
      <c r="AD290" s="80"/>
      <c r="AE290" s="80"/>
      <c r="AF290" s="82"/>
      <c r="AG290" s="80"/>
      <c r="AH290" s="80"/>
      <c r="AI290" s="82"/>
      <c r="AJ290" s="79"/>
      <c r="AK290" s="78" t="n">
        <f aca="false">IF(E290="","",(X290&lt;&gt;"")+(AC290&lt;&gt;"")+(AH290&lt;&gt;""))</f>
        <v>0</v>
      </c>
      <c r="AL290" s="81" t="str">
        <f aca="false">IF(AH290&lt;&gt;"",AH290,IF(AC290&lt;&gt;"",AC290,IF(X290&lt;&gt;"",X290,"")))</f>
        <v/>
      </c>
      <c r="AM290" s="83" t="str">
        <f aca="false">IF(E290="","",IF(R290="","À SOUDER",IF(U290="","VT EN ATTENTE",IF(U290="R","VT REJETÉ – À REPRENDRE",IF(AL290="","À RADIOGRAPHIER",IF(AL290="A","ACCEPTÉ",IF(AL290="NX","NX – RT À REFAIRE",IF(IF(AK290=1,Z290,IF(AK290=2,AE290,""))="A","RÉPARÉ – À RADIOGRAPHIER",IF(IF(AK290=1,Z290,IF(AK290=2,AE290,""))="R","VT REJETÉ – À REPRENDRE",IF(OR(AL290="CO",AL290="NT"),"COUPE – À RESOUDER","À RÉPARER"))))))))))</f>
        <v>À SOUDER</v>
      </c>
      <c r="AN290" s="81" t="str">
        <f aca="false">IF(AND(ISNUMBER(R290),OR(AM290="À RADIOGRAPHIER",AM290="RÉPARÉ – À RADIOGRAPHIER",AM290="NX – RT À REFAIRE",AM290="À RÉPARER",AM290="COUPE – À RESOUDER",AM290="VT REJETÉ – À REPRENDRE")),MAX(0,'PROGRAMME RT'!$C$4-R290),"")</f>
        <v/>
      </c>
      <c r="AO290" s="78" t="n">
        <f aca="false">IF(AND(OR(AM290="À RADIOGRAPHIER",AM290="RÉPARÉ – À RADIOGRAPHIER",AM290="NX – RT À REFAIRE"),OR('PROGRAMME RT'!$D$5="TOUTES",B290='PROGRAMME RT'!$D$5)),1,0)</f>
        <v>0</v>
      </c>
      <c r="AP290" s="78" t="str">
        <f aca="false">IF(AO290=1,SUM(AO$7:AO290),"")</f>
        <v/>
      </c>
      <c r="AQ290" s="78" t="n">
        <f aca="false">IF(AND(OR(X290="R",X290="NX",X290="NT",X290="CO"),OR('JOINTS DE RÉPARATION'!$D$5="TOUTES",B290='JOINTS DE RÉPARATION'!$D$5),OR('JOINTS DE RÉPARATION'!$L$4="TOUS",AM290&lt;&gt;"ACCEPTÉ")),1,0)</f>
        <v>0</v>
      </c>
      <c r="AR290" s="78" t="str">
        <f aca="false">IF(AQ290=1,SUM(AQ$7:AQ290),"")</f>
        <v/>
      </c>
    </row>
    <row r="291" customFormat="false" ht="15" hidden="false" customHeight="false" outlineLevel="0" collapsed="false">
      <c r="A291" s="78" t="n">
        <f aca="false">IF(E291="","",ROW()-6)</f>
        <v>285</v>
      </c>
      <c r="B291" s="79" t="s">
        <v>575</v>
      </c>
      <c r="C291" s="80"/>
      <c r="D291" s="80"/>
      <c r="E291" s="80" t="s">
        <v>301</v>
      </c>
      <c r="F291" s="80"/>
      <c r="G291" s="80" t="s">
        <v>106</v>
      </c>
      <c r="H291" s="80"/>
      <c r="I291" s="80"/>
      <c r="J291" s="80"/>
      <c r="K291" s="80"/>
      <c r="L291" s="81" t="str">
        <f aca="false">IF(K291="","",IFERROR(INDEX(BARDAGE!$C$7:$C$1506,MATCH(K291,BARDAGE!$B$7:$B$1506,0)),"? hors registre"))</f>
        <v/>
      </c>
      <c r="M291" s="80"/>
      <c r="N291" s="81" t="str">
        <f aca="false">IF(M291="","",IFERROR(INDEX(BARDAGE!$C$7:$C$1506,MATCH(M291,BARDAGE!$B$7:$B$1506,0)),"? hors registre"))</f>
        <v/>
      </c>
      <c r="O291" s="80"/>
      <c r="P291" s="80"/>
      <c r="Q291" s="80"/>
      <c r="R291" s="82"/>
      <c r="S291" s="82"/>
      <c r="T291" s="80"/>
      <c r="U291" s="80"/>
      <c r="V291" s="82"/>
      <c r="W291" s="80"/>
      <c r="X291" s="80"/>
      <c r="Y291" s="80"/>
      <c r="Z291" s="80"/>
      <c r="AA291" s="82"/>
      <c r="AB291" s="80"/>
      <c r="AC291" s="80"/>
      <c r="AD291" s="80"/>
      <c r="AE291" s="80"/>
      <c r="AF291" s="82"/>
      <c r="AG291" s="80"/>
      <c r="AH291" s="80"/>
      <c r="AI291" s="82"/>
      <c r="AJ291" s="79"/>
      <c r="AK291" s="78" t="n">
        <f aca="false">IF(E291="","",(X291&lt;&gt;"")+(AC291&lt;&gt;"")+(AH291&lt;&gt;""))</f>
        <v>0</v>
      </c>
      <c r="AL291" s="81" t="str">
        <f aca="false">IF(AH291&lt;&gt;"",AH291,IF(AC291&lt;&gt;"",AC291,IF(X291&lt;&gt;"",X291,"")))</f>
        <v/>
      </c>
      <c r="AM291" s="83" t="str">
        <f aca="false">IF(E291="","",IF(R291="","À SOUDER",IF(U291="","VT EN ATTENTE",IF(U291="R","VT REJETÉ – À REPRENDRE",IF(AL291="","À RADIOGRAPHIER",IF(AL291="A","ACCEPTÉ",IF(AL291="NX","NX – RT À REFAIRE",IF(IF(AK291=1,Z291,IF(AK291=2,AE291,""))="A","RÉPARÉ – À RADIOGRAPHIER",IF(IF(AK291=1,Z291,IF(AK291=2,AE291,""))="R","VT REJETÉ – À REPRENDRE",IF(OR(AL291="CO",AL291="NT"),"COUPE – À RESOUDER","À RÉPARER"))))))))))</f>
        <v>À SOUDER</v>
      </c>
      <c r="AN291" s="81" t="str">
        <f aca="false">IF(AND(ISNUMBER(R291),OR(AM291="À RADIOGRAPHIER",AM291="RÉPARÉ – À RADIOGRAPHIER",AM291="NX – RT À REFAIRE",AM291="À RÉPARER",AM291="COUPE – À RESOUDER",AM291="VT REJETÉ – À REPRENDRE")),MAX(0,'PROGRAMME RT'!$C$4-R291),"")</f>
        <v/>
      </c>
      <c r="AO291" s="78" t="n">
        <f aca="false">IF(AND(OR(AM291="À RADIOGRAPHIER",AM291="RÉPARÉ – À RADIOGRAPHIER",AM291="NX – RT À REFAIRE"),OR('PROGRAMME RT'!$D$5="TOUTES",B291='PROGRAMME RT'!$D$5)),1,0)</f>
        <v>0</v>
      </c>
      <c r="AP291" s="78" t="str">
        <f aca="false">IF(AO291=1,SUM(AO$7:AO291),"")</f>
        <v/>
      </c>
      <c r="AQ291" s="78" t="n">
        <f aca="false">IF(AND(OR(X291="R",X291="NX",X291="NT",X291="CO"),OR('JOINTS DE RÉPARATION'!$D$5="TOUTES",B291='JOINTS DE RÉPARATION'!$D$5),OR('JOINTS DE RÉPARATION'!$L$4="TOUS",AM291&lt;&gt;"ACCEPTÉ")),1,0)</f>
        <v>0</v>
      </c>
      <c r="AR291" s="78" t="str">
        <f aca="false">IF(AQ291=1,SUM(AQ$7:AQ291),"")</f>
        <v/>
      </c>
    </row>
    <row r="292" customFormat="false" ht="15" hidden="false" customHeight="false" outlineLevel="0" collapsed="false">
      <c r="A292" s="78" t="n">
        <f aca="false">IF(E292="","",ROW()-6)</f>
        <v>286</v>
      </c>
      <c r="B292" s="79" t="s">
        <v>575</v>
      </c>
      <c r="C292" s="80"/>
      <c r="D292" s="80"/>
      <c r="E292" s="80" t="s">
        <v>303</v>
      </c>
      <c r="F292" s="80"/>
      <c r="G292" s="80" t="s">
        <v>106</v>
      </c>
      <c r="H292" s="80"/>
      <c r="I292" s="80"/>
      <c r="J292" s="80"/>
      <c r="K292" s="80"/>
      <c r="L292" s="81" t="str">
        <f aca="false">IF(K292="","",IFERROR(INDEX(BARDAGE!$C$7:$C$1506,MATCH(K292,BARDAGE!$B$7:$B$1506,0)),"? hors registre"))</f>
        <v/>
      </c>
      <c r="M292" s="80"/>
      <c r="N292" s="81" t="str">
        <f aca="false">IF(M292="","",IFERROR(INDEX(BARDAGE!$C$7:$C$1506,MATCH(M292,BARDAGE!$B$7:$B$1506,0)),"? hors registre"))</f>
        <v/>
      </c>
      <c r="O292" s="80"/>
      <c r="P292" s="80"/>
      <c r="Q292" s="80"/>
      <c r="R292" s="82"/>
      <c r="S292" s="82"/>
      <c r="T292" s="80"/>
      <c r="U292" s="80"/>
      <c r="V292" s="82"/>
      <c r="W292" s="80"/>
      <c r="X292" s="80"/>
      <c r="Y292" s="80"/>
      <c r="Z292" s="80"/>
      <c r="AA292" s="82"/>
      <c r="AB292" s="80"/>
      <c r="AC292" s="80"/>
      <c r="AD292" s="80"/>
      <c r="AE292" s="80"/>
      <c r="AF292" s="82"/>
      <c r="AG292" s="80"/>
      <c r="AH292" s="80"/>
      <c r="AI292" s="82"/>
      <c r="AJ292" s="79"/>
      <c r="AK292" s="78" t="n">
        <f aca="false">IF(E292="","",(X292&lt;&gt;"")+(AC292&lt;&gt;"")+(AH292&lt;&gt;""))</f>
        <v>0</v>
      </c>
      <c r="AL292" s="81" t="str">
        <f aca="false">IF(AH292&lt;&gt;"",AH292,IF(AC292&lt;&gt;"",AC292,IF(X292&lt;&gt;"",X292,"")))</f>
        <v/>
      </c>
      <c r="AM292" s="83" t="str">
        <f aca="false">IF(E292="","",IF(R292="","À SOUDER",IF(U292="","VT EN ATTENTE",IF(U292="R","VT REJETÉ – À REPRENDRE",IF(AL292="","À RADIOGRAPHIER",IF(AL292="A","ACCEPTÉ",IF(AL292="NX","NX – RT À REFAIRE",IF(IF(AK292=1,Z292,IF(AK292=2,AE292,""))="A","RÉPARÉ – À RADIOGRAPHIER",IF(IF(AK292=1,Z292,IF(AK292=2,AE292,""))="R","VT REJETÉ – À REPRENDRE",IF(OR(AL292="CO",AL292="NT"),"COUPE – À RESOUDER","À RÉPARER"))))))))))</f>
        <v>À SOUDER</v>
      </c>
      <c r="AN292" s="81" t="str">
        <f aca="false">IF(AND(ISNUMBER(R292),OR(AM292="À RADIOGRAPHIER",AM292="RÉPARÉ – À RADIOGRAPHIER",AM292="NX – RT À REFAIRE",AM292="À RÉPARER",AM292="COUPE – À RESOUDER",AM292="VT REJETÉ – À REPRENDRE")),MAX(0,'PROGRAMME RT'!$C$4-R292),"")</f>
        <v/>
      </c>
      <c r="AO292" s="78" t="n">
        <f aca="false">IF(AND(OR(AM292="À RADIOGRAPHIER",AM292="RÉPARÉ – À RADIOGRAPHIER",AM292="NX – RT À REFAIRE"),OR('PROGRAMME RT'!$D$5="TOUTES",B292='PROGRAMME RT'!$D$5)),1,0)</f>
        <v>0</v>
      </c>
      <c r="AP292" s="78" t="str">
        <f aca="false">IF(AO292=1,SUM(AO$7:AO292),"")</f>
        <v/>
      </c>
      <c r="AQ292" s="78" t="n">
        <f aca="false">IF(AND(OR(X292="R",X292="NX",X292="NT",X292="CO"),OR('JOINTS DE RÉPARATION'!$D$5="TOUTES",B292='JOINTS DE RÉPARATION'!$D$5),OR('JOINTS DE RÉPARATION'!$L$4="TOUS",AM292&lt;&gt;"ACCEPTÉ")),1,0)</f>
        <v>0</v>
      </c>
      <c r="AR292" s="78" t="str">
        <f aca="false">IF(AQ292=1,SUM(AQ$7:AQ292),"")</f>
        <v/>
      </c>
    </row>
    <row r="293" customFormat="false" ht="15" hidden="false" customHeight="false" outlineLevel="0" collapsed="false">
      <c r="A293" s="78" t="n">
        <f aca="false">IF(E293="","",ROW()-6)</f>
        <v>287</v>
      </c>
      <c r="B293" s="79" t="s">
        <v>575</v>
      </c>
      <c r="C293" s="80"/>
      <c r="D293" s="80"/>
      <c r="E293" s="80" t="s">
        <v>305</v>
      </c>
      <c r="F293" s="80"/>
      <c r="G293" s="80" t="s">
        <v>106</v>
      </c>
      <c r="H293" s="80"/>
      <c r="I293" s="80"/>
      <c r="J293" s="80"/>
      <c r="K293" s="80"/>
      <c r="L293" s="81" t="str">
        <f aca="false">IF(K293="","",IFERROR(INDEX(BARDAGE!$C$7:$C$1506,MATCH(K293,BARDAGE!$B$7:$B$1506,0)),"? hors registre"))</f>
        <v/>
      </c>
      <c r="M293" s="80"/>
      <c r="N293" s="81" t="str">
        <f aca="false">IF(M293="","",IFERROR(INDEX(BARDAGE!$C$7:$C$1506,MATCH(M293,BARDAGE!$B$7:$B$1506,0)),"? hors registre"))</f>
        <v/>
      </c>
      <c r="O293" s="80"/>
      <c r="P293" s="80"/>
      <c r="Q293" s="80"/>
      <c r="R293" s="82"/>
      <c r="S293" s="82"/>
      <c r="T293" s="80"/>
      <c r="U293" s="80"/>
      <c r="V293" s="82"/>
      <c r="W293" s="80"/>
      <c r="X293" s="80"/>
      <c r="Y293" s="80"/>
      <c r="Z293" s="80"/>
      <c r="AA293" s="82"/>
      <c r="AB293" s="80"/>
      <c r="AC293" s="80"/>
      <c r="AD293" s="80"/>
      <c r="AE293" s="80"/>
      <c r="AF293" s="82"/>
      <c r="AG293" s="80"/>
      <c r="AH293" s="80"/>
      <c r="AI293" s="82"/>
      <c r="AJ293" s="79"/>
      <c r="AK293" s="78" t="n">
        <f aca="false">IF(E293="","",(X293&lt;&gt;"")+(AC293&lt;&gt;"")+(AH293&lt;&gt;""))</f>
        <v>0</v>
      </c>
      <c r="AL293" s="81" t="str">
        <f aca="false">IF(AH293&lt;&gt;"",AH293,IF(AC293&lt;&gt;"",AC293,IF(X293&lt;&gt;"",X293,"")))</f>
        <v/>
      </c>
      <c r="AM293" s="83" t="str">
        <f aca="false">IF(E293="","",IF(R293="","À SOUDER",IF(U293="","VT EN ATTENTE",IF(U293="R","VT REJETÉ – À REPRENDRE",IF(AL293="","À RADIOGRAPHIER",IF(AL293="A","ACCEPTÉ",IF(AL293="NX","NX – RT À REFAIRE",IF(IF(AK293=1,Z293,IF(AK293=2,AE293,""))="A","RÉPARÉ – À RADIOGRAPHIER",IF(IF(AK293=1,Z293,IF(AK293=2,AE293,""))="R","VT REJETÉ – À REPRENDRE",IF(OR(AL293="CO",AL293="NT"),"COUPE – À RESOUDER","À RÉPARER"))))))))))</f>
        <v>À SOUDER</v>
      </c>
      <c r="AN293" s="81" t="str">
        <f aca="false">IF(AND(ISNUMBER(R293),OR(AM293="À RADIOGRAPHIER",AM293="RÉPARÉ – À RADIOGRAPHIER",AM293="NX – RT À REFAIRE",AM293="À RÉPARER",AM293="COUPE – À RESOUDER",AM293="VT REJETÉ – À REPRENDRE")),MAX(0,'PROGRAMME RT'!$C$4-R293),"")</f>
        <v/>
      </c>
      <c r="AO293" s="78" t="n">
        <f aca="false">IF(AND(OR(AM293="À RADIOGRAPHIER",AM293="RÉPARÉ – À RADIOGRAPHIER",AM293="NX – RT À REFAIRE"),OR('PROGRAMME RT'!$D$5="TOUTES",B293='PROGRAMME RT'!$D$5)),1,0)</f>
        <v>0</v>
      </c>
      <c r="AP293" s="78" t="str">
        <f aca="false">IF(AO293=1,SUM(AO$7:AO293),"")</f>
        <v/>
      </c>
      <c r="AQ293" s="78" t="n">
        <f aca="false">IF(AND(OR(X293="R",X293="NX",X293="NT",X293="CO"),OR('JOINTS DE RÉPARATION'!$D$5="TOUTES",B293='JOINTS DE RÉPARATION'!$D$5),OR('JOINTS DE RÉPARATION'!$L$4="TOUS",AM293&lt;&gt;"ACCEPTÉ")),1,0)</f>
        <v>0</v>
      </c>
      <c r="AR293" s="78" t="str">
        <f aca="false">IF(AQ293=1,SUM(AQ$7:AQ293),"")</f>
        <v/>
      </c>
    </row>
    <row r="294" customFormat="false" ht="15" hidden="false" customHeight="false" outlineLevel="0" collapsed="false">
      <c r="A294" s="78" t="n">
        <f aca="false">IF(E294="","",ROW()-6)</f>
        <v>288</v>
      </c>
      <c r="B294" s="79" t="s">
        <v>575</v>
      </c>
      <c r="C294" s="80"/>
      <c r="D294" s="80"/>
      <c r="E294" s="80" t="s">
        <v>307</v>
      </c>
      <c r="F294" s="80"/>
      <c r="G294" s="80" t="s">
        <v>106</v>
      </c>
      <c r="H294" s="80"/>
      <c r="I294" s="80"/>
      <c r="J294" s="80"/>
      <c r="K294" s="80"/>
      <c r="L294" s="81" t="str">
        <f aca="false">IF(K294="","",IFERROR(INDEX(BARDAGE!$C$7:$C$1506,MATCH(K294,BARDAGE!$B$7:$B$1506,0)),"? hors registre"))</f>
        <v/>
      </c>
      <c r="M294" s="80"/>
      <c r="N294" s="81" t="str">
        <f aca="false">IF(M294="","",IFERROR(INDEX(BARDAGE!$C$7:$C$1506,MATCH(M294,BARDAGE!$B$7:$B$1506,0)),"? hors registre"))</f>
        <v/>
      </c>
      <c r="O294" s="80"/>
      <c r="P294" s="80"/>
      <c r="Q294" s="80"/>
      <c r="R294" s="82"/>
      <c r="S294" s="82"/>
      <c r="T294" s="80"/>
      <c r="U294" s="80"/>
      <c r="V294" s="82"/>
      <c r="W294" s="80"/>
      <c r="X294" s="80"/>
      <c r="Y294" s="80"/>
      <c r="Z294" s="80"/>
      <c r="AA294" s="82"/>
      <c r="AB294" s="80"/>
      <c r="AC294" s="80"/>
      <c r="AD294" s="80"/>
      <c r="AE294" s="80"/>
      <c r="AF294" s="82"/>
      <c r="AG294" s="80"/>
      <c r="AH294" s="80"/>
      <c r="AI294" s="82"/>
      <c r="AJ294" s="79"/>
      <c r="AK294" s="78" t="n">
        <f aca="false">IF(E294="","",(X294&lt;&gt;"")+(AC294&lt;&gt;"")+(AH294&lt;&gt;""))</f>
        <v>0</v>
      </c>
      <c r="AL294" s="81" t="str">
        <f aca="false">IF(AH294&lt;&gt;"",AH294,IF(AC294&lt;&gt;"",AC294,IF(X294&lt;&gt;"",X294,"")))</f>
        <v/>
      </c>
      <c r="AM294" s="83" t="str">
        <f aca="false">IF(E294="","",IF(R294="","À SOUDER",IF(U294="","VT EN ATTENTE",IF(U294="R","VT REJETÉ – À REPRENDRE",IF(AL294="","À RADIOGRAPHIER",IF(AL294="A","ACCEPTÉ",IF(AL294="NX","NX – RT À REFAIRE",IF(IF(AK294=1,Z294,IF(AK294=2,AE294,""))="A","RÉPARÉ – À RADIOGRAPHIER",IF(IF(AK294=1,Z294,IF(AK294=2,AE294,""))="R","VT REJETÉ – À REPRENDRE",IF(OR(AL294="CO",AL294="NT"),"COUPE – À RESOUDER","À RÉPARER"))))))))))</f>
        <v>À SOUDER</v>
      </c>
      <c r="AN294" s="81" t="str">
        <f aca="false">IF(AND(ISNUMBER(R294),OR(AM294="À RADIOGRAPHIER",AM294="RÉPARÉ – À RADIOGRAPHIER",AM294="NX – RT À REFAIRE",AM294="À RÉPARER",AM294="COUPE – À RESOUDER",AM294="VT REJETÉ – À REPRENDRE")),MAX(0,'PROGRAMME RT'!$C$4-R294),"")</f>
        <v/>
      </c>
      <c r="AO294" s="78" t="n">
        <f aca="false">IF(AND(OR(AM294="À RADIOGRAPHIER",AM294="RÉPARÉ – À RADIOGRAPHIER",AM294="NX – RT À REFAIRE"),OR('PROGRAMME RT'!$D$5="TOUTES",B294='PROGRAMME RT'!$D$5)),1,0)</f>
        <v>0</v>
      </c>
      <c r="AP294" s="78" t="str">
        <f aca="false">IF(AO294=1,SUM(AO$7:AO294),"")</f>
        <v/>
      </c>
      <c r="AQ294" s="78" t="n">
        <f aca="false">IF(AND(OR(X294="R",X294="NX",X294="NT",X294="CO"),OR('JOINTS DE RÉPARATION'!$D$5="TOUTES",B294='JOINTS DE RÉPARATION'!$D$5),OR('JOINTS DE RÉPARATION'!$L$4="TOUS",AM294&lt;&gt;"ACCEPTÉ")),1,0)</f>
        <v>0</v>
      </c>
      <c r="AR294" s="78" t="str">
        <f aca="false">IF(AQ294=1,SUM(AQ$7:AQ294),"")</f>
        <v/>
      </c>
    </row>
    <row r="295" customFormat="false" ht="15" hidden="false" customHeight="false" outlineLevel="0" collapsed="false">
      <c r="A295" s="78" t="n">
        <f aca="false">IF(E295="","",ROW()-6)</f>
        <v>289</v>
      </c>
      <c r="B295" s="79" t="s">
        <v>575</v>
      </c>
      <c r="C295" s="80"/>
      <c r="D295" s="80"/>
      <c r="E295" s="80" t="s">
        <v>309</v>
      </c>
      <c r="F295" s="80"/>
      <c r="G295" s="80" t="s">
        <v>106</v>
      </c>
      <c r="H295" s="80"/>
      <c r="I295" s="80"/>
      <c r="J295" s="80"/>
      <c r="K295" s="80"/>
      <c r="L295" s="81" t="str">
        <f aca="false">IF(K295="","",IFERROR(INDEX(BARDAGE!$C$7:$C$1506,MATCH(K295,BARDAGE!$B$7:$B$1506,0)),"? hors registre"))</f>
        <v/>
      </c>
      <c r="M295" s="80"/>
      <c r="N295" s="81" t="str">
        <f aca="false">IF(M295="","",IFERROR(INDEX(BARDAGE!$C$7:$C$1506,MATCH(M295,BARDAGE!$B$7:$B$1506,0)),"? hors registre"))</f>
        <v/>
      </c>
      <c r="O295" s="80"/>
      <c r="P295" s="80"/>
      <c r="Q295" s="80"/>
      <c r="R295" s="82"/>
      <c r="S295" s="82"/>
      <c r="T295" s="80"/>
      <c r="U295" s="80"/>
      <c r="V295" s="82"/>
      <c r="W295" s="80"/>
      <c r="X295" s="80"/>
      <c r="Y295" s="80"/>
      <c r="Z295" s="80"/>
      <c r="AA295" s="82"/>
      <c r="AB295" s="80"/>
      <c r="AC295" s="80"/>
      <c r="AD295" s="80"/>
      <c r="AE295" s="80"/>
      <c r="AF295" s="82"/>
      <c r="AG295" s="80"/>
      <c r="AH295" s="80"/>
      <c r="AI295" s="82"/>
      <c r="AJ295" s="79"/>
      <c r="AK295" s="78" t="n">
        <f aca="false">IF(E295="","",(X295&lt;&gt;"")+(AC295&lt;&gt;"")+(AH295&lt;&gt;""))</f>
        <v>0</v>
      </c>
      <c r="AL295" s="81" t="str">
        <f aca="false">IF(AH295&lt;&gt;"",AH295,IF(AC295&lt;&gt;"",AC295,IF(X295&lt;&gt;"",X295,"")))</f>
        <v/>
      </c>
      <c r="AM295" s="83" t="str">
        <f aca="false">IF(E295="","",IF(R295="","À SOUDER",IF(U295="","VT EN ATTENTE",IF(U295="R","VT REJETÉ – À REPRENDRE",IF(AL295="","À RADIOGRAPHIER",IF(AL295="A","ACCEPTÉ",IF(AL295="NX","NX – RT À REFAIRE",IF(IF(AK295=1,Z295,IF(AK295=2,AE295,""))="A","RÉPARÉ – À RADIOGRAPHIER",IF(IF(AK295=1,Z295,IF(AK295=2,AE295,""))="R","VT REJETÉ – À REPRENDRE",IF(OR(AL295="CO",AL295="NT"),"COUPE – À RESOUDER","À RÉPARER"))))))))))</f>
        <v>À SOUDER</v>
      </c>
      <c r="AN295" s="81" t="str">
        <f aca="false">IF(AND(ISNUMBER(R295),OR(AM295="À RADIOGRAPHIER",AM295="RÉPARÉ – À RADIOGRAPHIER",AM295="NX – RT À REFAIRE",AM295="À RÉPARER",AM295="COUPE – À RESOUDER",AM295="VT REJETÉ – À REPRENDRE")),MAX(0,'PROGRAMME RT'!$C$4-R295),"")</f>
        <v/>
      </c>
      <c r="AO295" s="78" t="n">
        <f aca="false">IF(AND(OR(AM295="À RADIOGRAPHIER",AM295="RÉPARÉ – À RADIOGRAPHIER",AM295="NX – RT À REFAIRE"),OR('PROGRAMME RT'!$D$5="TOUTES",B295='PROGRAMME RT'!$D$5)),1,0)</f>
        <v>0</v>
      </c>
      <c r="AP295" s="78" t="str">
        <f aca="false">IF(AO295=1,SUM(AO$7:AO295),"")</f>
        <v/>
      </c>
      <c r="AQ295" s="78" t="n">
        <f aca="false">IF(AND(OR(X295="R",X295="NX",X295="NT",X295="CO"),OR('JOINTS DE RÉPARATION'!$D$5="TOUTES",B295='JOINTS DE RÉPARATION'!$D$5),OR('JOINTS DE RÉPARATION'!$L$4="TOUS",AM295&lt;&gt;"ACCEPTÉ")),1,0)</f>
        <v>0</v>
      </c>
      <c r="AR295" s="78" t="str">
        <f aca="false">IF(AQ295=1,SUM(AQ$7:AQ295),"")</f>
        <v/>
      </c>
    </row>
    <row r="296" customFormat="false" ht="15" hidden="false" customHeight="false" outlineLevel="0" collapsed="false">
      <c r="A296" s="78" t="n">
        <f aca="false">IF(E296="","",ROW()-6)</f>
        <v>290</v>
      </c>
      <c r="B296" s="79" t="s">
        <v>575</v>
      </c>
      <c r="C296" s="80"/>
      <c r="D296" s="80"/>
      <c r="E296" s="80" t="s">
        <v>311</v>
      </c>
      <c r="F296" s="80"/>
      <c r="G296" s="80" t="s">
        <v>106</v>
      </c>
      <c r="H296" s="80"/>
      <c r="I296" s="80"/>
      <c r="J296" s="80"/>
      <c r="K296" s="80"/>
      <c r="L296" s="81" t="str">
        <f aca="false">IF(K296="","",IFERROR(INDEX(BARDAGE!$C$7:$C$1506,MATCH(K296,BARDAGE!$B$7:$B$1506,0)),"? hors registre"))</f>
        <v/>
      </c>
      <c r="M296" s="80"/>
      <c r="N296" s="81" t="str">
        <f aca="false">IF(M296="","",IFERROR(INDEX(BARDAGE!$C$7:$C$1506,MATCH(M296,BARDAGE!$B$7:$B$1506,0)),"? hors registre"))</f>
        <v/>
      </c>
      <c r="O296" s="80"/>
      <c r="P296" s="80"/>
      <c r="Q296" s="80"/>
      <c r="R296" s="82"/>
      <c r="S296" s="82"/>
      <c r="T296" s="80"/>
      <c r="U296" s="80"/>
      <c r="V296" s="82"/>
      <c r="W296" s="80"/>
      <c r="X296" s="80"/>
      <c r="Y296" s="80"/>
      <c r="Z296" s="80"/>
      <c r="AA296" s="82"/>
      <c r="AB296" s="80"/>
      <c r="AC296" s="80"/>
      <c r="AD296" s="80"/>
      <c r="AE296" s="80"/>
      <c r="AF296" s="82"/>
      <c r="AG296" s="80"/>
      <c r="AH296" s="80"/>
      <c r="AI296" s="82"/>
      <c r="AJ296" s="79"/>
      <c r="AK296" s="78" t="n">
        <f aca="false">IF(E296="","",(X296&lt;&gt;"")+(AC296&lt;&gt;"")+(AH296&lt;&gt;""))</f>
        <v>0</v>
      </c>
      <c r="AL296" s="81" t="str">
        <f aca="false">IF(AH296&lt;&gt;"",AH296,IF(AC296&lt;&gt;"",AC296,IF(X296&lt;&gt;"",X296,"")))</f>
        <v/>
      </c>
      <c r="AM296" s="83" t="str">
        <f aca="false">IF(E296="","",IF(R296="","À SOUDER",IF(U296="","VT EN ATTENTE",IF(U296="R","VT REJETÉ – À REPRENDRE",IF(AL296="","À RADIOGRAPHIER",IF(AL296="A","ACCEPTÉ",IF(AL296="NX","NX – RT À REFAIRE",IF(IF(AK296=1,Z296,IF(AK296=2,AE296,""))="A","RÉPARÉ – À RADIOGRAPHIER",IF(IF(AK296=1,Z296,IF(AK296=2,AE296,""))="R","VT REJETÉ – À REPRENDRE",IF(OR(AL296="CO",AL296="NT"),"COUPE – À RESOUDER","À RÉPARER"))))))))))</f>
        <v>À SOUDER</v>
      </c>
      <c r="AN296" s="81" t="str">
        <f aca="false">IF(AND(ISNUMBER(R296),OR(AM296="À RADIOGRAPHIER",AM296="RÉPARÉ – À RADIOGRAPHIER",AM296="NX – RT À REFAIRE",AM296="À RÉPARER",AM296="COUPE – À RESOUDER",AM296="VT REJETÉ – À REPRENDRE")),MAX(0,'PROGRAMME RT'!$C$4-R296),"")</f>
        <v/>
      </c>
      <c r="AO296" s="78" t="n">
        <f aca="false">IF(AND(OR(AM296="À RADIOGRAPHIER",AM296="RÉPARÉ – À RADIOGRAPHIER",AM296="NX – RT À REFAIRE"),OR('PROGRAMME RT'!$D$5="TOUTES",B296='PROGRAMME RT'!$D$5)),1,0)</f>
        <v>0</v>
      </c>
      <c r="AP296" s="78" t="str">
        <f aca="false">IF(AO296=1,SUM(AO$7:AO296),"")</f>
        <v/>
      </c>
      <c r="AQ296" s="78" t="n">
        <f aca="false">IF(AND(OR(X296="R",X296="NX",X296="NT",X296="CO"),OR('JOINTS DE RÉPARATION'!$D$5="TOUTES",B296='JOINTS DE RÉPARATION'!$D$5),OR('JOINTS DE RÉPARATION'!$L$4="TOUS",AM296&lt;&gt;"ACCEPTÉ")),1,0)</f>
        <v>0</v>
      </c>
      <c r="AR296" s="78" t="str">
        <f aca="false">IF(AQ296=1,SUM(AQ$7:AQ296),"")</f>
        <v/>
      </c>
    </row>
    <row r="297" customFormat="false" ht="15" hidden="false" customHeight="false" outlineLevel="0" collapsed="false">
      <c r="A297" s="78" t="n">
        <f aca="false">IF(E297="","",ROW()-6)</f>
        <v>291</v>
      </c>
      <c r="B297" s="79" t="s">
        <v>575</v>
      </c>
      <c r="C297" s="80"/>
      <c r="D297" s="80"/>
      <c r="E297" s="80" t="s">
        <v>313</v>
      </c>
      <c r="F297" s="80"/>
      <c r="G297" s="80" t="s">
        <v>106</v>
      </c>
      <c r="H297" s="80"/>
      <c r="I297" s="80"/>
      <c r="J297" s="80"/>
      <c r="K297" s="80"/>
      <c r="L297" s="81" t="str">
        <f aca="false">IF(K297="","",IFERROR(INDEX(BARDAGE!$C$7:$C$1506,MATCH(K297,BARDAGE!$B$7:$B$1506,0)),"? hors registre"))</f>
        <v/>
      </c>
      <c r="M297" s="80"/>
      <c r="N297" s="81" t="str">
        <f aca="false">IF(M297="","",IFERROR(INDEX(BARDAGE!$C$7:$C$1506,MATCH(M297,BARDAGE!$B$7:$B$1506,0)),"? hors registre"))</f>
        <v/>
      </c>
      <c r="O297" s="80"/>
      <c r="P297" s="80"/>
      <c r="Q297" s="80"/>
      <c r="R297" s="82"/>
      <c r="S297" s="82"/>
      <c r="T297" s="80"/>
      <c r="U297" s="80"/>
      <c r="V297" s="82"/>
      <c r="W297" s="80"/>
      <c r="X297" s="80"/>
      <c r="Y297" s="80"/>
      <c r="Z297" s="80"/>
      <c r="AA297" s="82"/>
      <c r="AB297" s="80"/>
      <c r="AC297" s="80"/>
      <c r="AD297" s="80"/>
      <c r="AE297" s="80"/>
      <c r="AF297" s="82"/>
      <c r="AG297" s="80"/>
      <c r="AH297" s="80"/>
      <c r="AI297" s="82"/>
      <c r="AJ297" s="79"/>
      <c r="AK297" s="78" t="n">
        <f aca="false">IF(E297="","",(X297&lt;&gt;"")+(AC297&lt;&gt;"")+(AH297&lt;&gt;""))</f>
        <v>0</v>
      </c>
      <c r="AL297" s="81" t="str">
        <f aca="false">IF(AH297&lt;&gt;"",AH297,IF(AC297&lt;&gt;"",AC297,IF(X297&lt;&gt;"",X297,"")))</f>
        <v/>
      </c>
      <c r="AM297" s="83" t="str">
        <f aca="false">IF(E297="","",IF(R297="","À SOUDER",IF(U297="","VT EN ATTENTE",IF(U297="R","VT REJETÉ – À REPRENDRE",IF(AL297="","À RADIOGRAPHIER",IF(AL297="A","ACCEPTÉ",IF(AL297="NX","NX – RT À REFAIRE",IF(IF(AK297=1,Z297,IF(AK297=2,AE297,""))="A","RÉPARÉ – À RADIOGRAPHIER",IF(IF(AK297=1,Z297,IF(AK297=2,AE297,""))="R","VT REJETÉ – À REPRENDRE",IF(OR(AL297="CO",AL297="NT"),"COUPE – À RESOUDER","À RÉPARER"))))))))))</f>
        <v>À SOUDER</v>
      </c>
      <c r="AN297" s="81" t="str">
        <f aca="false">IF(AND(ISNUMBER(R297),OR(AM297="À RADIOGRAPHIER",AM297="RÉPARÉ – À RADIOGRAPHIER",AM297="NX – RT À REFAIRE",AM297="À RÉPARER",AM297="COUPE – À RESOUDER",AM297="VT REJETÉ – À REPRENDRE")),MAX(0,'PROGRAMME RT'!$C$4-R297),"")</f>
        <v/>
      </c>
      <c r="AO297" s="78" t="n">
        <f aca="false">IF(AND(OR(AM297="À RADIOGRAPHIER",AM297="RÉPARÉ – À RADIOGRAPHIER",AM297="NX – RT À REFAIRE"),OR('PROGRAMME RT'!$D$5="TOUTES",B297='PROGRAMME RT'!$D$5)),1,0)</f>
        <v>0</v>
      </c>
      <c r="AP297" s="78" t="str">
        <f aca="false">IF(AO297=1,SUM(AO$7:AO297),"")</f>
        <v/>
      </c>
      <c r="AQ297" s="78" t="n">
        <f aca="false">IF(AND(OR(X297="R",X297="NX",X297="NT",X297="CO"),OR('JOINTS DE RÉPARATION'!$D$5="TOUTES",B297='JOINTS DE RÉPARATION'!$D$5),OR('JOINTS DE RÉPARATION'!$L$4="TOUS",AM297&lt;&gt;"ACCEPTÉ")),1,0)</f>
        <v>0</v>
      </c>
      <c r="AR297" s="78" t="str">
        <f aca="false">IF(AQ297=1,SUM(AQ$7:AQ297),"")</f>
        <v/>
      </c>
    </row>
    <row r="298" customFormat="false" ht="15" hidden="false" customHeight="false" outlineLevel="0" collapsed="false">
      <c r="A298" s="78" t="n">
        <f aca="false">IF(E298="","",ROW()-6)</f>
        <v>292</v>
      </c>
      <c r="B298" s="79" t="s">
        <v>575</v>
      </c>
      <c r="C298" s="80"/>
      <c r="D298" s="80"/>
      <c r="E298" s="80" t="s">
        <v>316</v>
      </c>
      <c r="F298" s="80"/>
      <c r="G298" s="80" t="s">
        <v>106</v>
      </c>
      <c r="H298" s="80"/>
      <c r="I298" s="80"/>
      <c r="J298" s="80"/>
      <c r="K298" s="80"/>
      <c r="L298" s="81" t="str">
        <f aca="false">IF(K298="","",IFERROR(INDEX(BARDAGE!$C$7:$C$1506,MATCH(K298,BARDAGE!$B$7:$B$1506,0)),"? hors registre"))</f>
        <v/>
      </c>
      <c r="M298" s="80"/>
      <c r="N298" s="81" t="str">
        <f aca="false">IF(M298="","",IFERROR(INDEX(BARDAGE!$C$7:$C$1506,MATCH(M298,BARDAGE!$B$7:$B$1506,0)),"? hors registre"))</f>
        <v/>
      </c>
      <c r="O298" s="80"/>
      <c r="P298" s="80"/>
      <c r="Q298" s="80"/>
      <c r="R298" s="82"/>
      <c r="S298" s="82"/>
      <c r="T298" s="80"/>
      <c r="U298" s="80"/>
      <c r="V298" s="82"/>
      <c r="W298" s="80"/>
      <c r="X298" s="80"/>
      <c r="Y298" s="80"/>
      <c r="Z298" s="80"/>
      <c r="AA298" s="82"/>
      <c r="AB298" s="80"/>
      <c r="AC298" s="80"/>
      <c r="AD298" s="80"/>
      <c r="AE298" s="80"/>
      <c r="AF298" s="82"/>
      <c r="AG298" s="80"/>
      <c r="AH298" s="80"/>
      <c r="AI298" s="82"/>
      <c r="AJ298" s="79"/>
      <c r="AK298" s="78" t="n">
        <f aca="false">IF(E298="","",(X298&lt;&gt;"")+(AC298&lt;&gt;"")+(AH298&lt;&gt;""))</f>
        <v>0</v>
      </c>
      <c r="AL298" s="81" t="str">
        <f aca="false">IF(AH298&lt;&gt;"",AH298,IF(AC298&lt;&gt;"",AC298,IF(X298&lt;&gt;"",X298,"")))</f>
        <v/>
      </c>
      <c r="AM298" s="83" t="str">
        <f aca="false">IF(E298="","",IF(R298="","À SOUDER",IF(U298="","VT EN ATTENTE",IF(U298="R","VT REJETÉ – À REPRENDRE",IF(AL298="","À RADIOGRAPHIER",IF(AL298="A","ACCEPTÉ",IF(AL298="NX","NX – RT À REFAIRE",IF(IF(AK298=1,Z298,IF(AK298=2,AE298,""))="A","RÉPARÉ – À RADIOGRAPHIER",IF(IF(AK298=1,Z298,IF(AK298=2,AE298,""))="R","VT REJETÉ – À REPRENDRE",IF(OR(AL298="CO",AL298="NT"),"COUPE – À RESOUDER","À RÉPARER"))))))))))</f>
        <v>À SOUDER</v>
      </c>
      <c r="AN298" s="81" t="str">
        <f aca="false">IF(AND(ISNUMBER(R298),OR(AM298="À RADIOGRAPHIER",AM298="RÉPARÉ – À RADIOGRAPHIER",AM298="NX – RT À REFAIRE",AM298="À RÉPARER",AM298="COUPE – À RESOUDER",AM298="VT REJETÉ – À REPRENDRE")),MAX(0,'PROGRAMME RT'!$C$4-R298),"")</f>
        <v/>
      </c>
      <c r="AO298" s="78" t="n">
        <f aca="false">IF(AND(OR(AM298="À RADIOGRAPHIER",AM298="RÉPARÉ – À RADIOGRAPHIER",AM298="NX – RT À REFAIRE"),OR('PROGRAMME RT'!$D$5="TOUTES",B298='PROGRAMME RT'!$D$5)),1,0)</f>
        <v>0</v>
      </c>
      <c r="AP298" s="78" t="str">
        <f aca="false">IF(AO298=1,SUM(AO$7:AO298),"")</f>
        <v/>
      </c>
      <c r="AQ298" s="78" t="n">
        <f aca="false">IF(AND(OR(X298="R",X298="NX",X298="NT",X298="CO"),OR('JOINTS DE RÉPARATION'!$D$5="TOUTES",B298='JOINTS DE RÉPARATION'!$D$5),OR('JOINTS DE RÉPARATION'!$L$4="TOUS",AM298&lt;&gt;"ACCEPTÉ")),1,0)</f>
        <v>0</v>
      </c>
      <c r="AR298" s="78" t="str">
        <f aca="false">IF(AQ298=1,SUM(AQ$7:AQ298),"")</f>
        <v/>
      </c>
    </row>
    <row r="299" customFormat="false" ht="15" hidden="false" customHeight="false" outlineLevel="0" collapsed="false">
      <c r="A299" s="78" t="n">
        <f aca="false">IF(E299="","",ROW()-6)</f>
        <v>293</v>
      </c>
      <c r="B299" s="79" t="s">
        <v>575</v>
      </c>
      <c r="C299" s="80"/>
      <c r="D299" s="80"/>
      <c r="E299" s="80" t="s">
        <v>319</v>
      </c>
      <c r="F299" s="80"/>
      <c r="G299" s="80" t="s">
        <v>106</v>
      </c>
      <c r="H299" s="80"/>
      <c r="I299" s="80"/>
      <c r="J299" s="80"/>
      <c r="K299" s="80"/>
      <c r="L299" s="81" t="str">
        <f aca="false">IF(K299="","",IFERROR(INDEX(BARDAGE!$C$7:$C$1506,MATCH(K299,BARDAGE!$B$7:$B$1506,0)),"? hors registre"))</f>
        <v/>
      </c>
      <c r="M299" s="80"/>
      <c r="N299" s="81" t="str">
        <f aca="false">IF(M299="","",IFERROR(INDEX(BARDAGE!$C$7:$C$1506,MATCH(M299,BARDAGE!$B$7:$B$1506,0)),"? hors registre"))</f>
        <v/>
      </c>
      <c r="O299" s="80"/>
      <c r="P299" s="80"/>
      <c r="Q299" s="80"/>
      <c r="R299" s="82"/>
      <c r="S299" s="82"/>
      <c r="T299" s="80"/>
      <c r="U299" s="80"/>
      <c r="V299" s="82"/>
      <c r="W299" s="80"/>
      <c r="X299" s="80"/>
      <c r="Y299" s="80"/>
      <c r="Z299" s="80"/>
      <c r="AA299" s="82"/>
      <c r="AB299" s="80"/>
      <c r="AC299" s="80"/>
      <c r="AD299" s="80"/>
      <c r="AE299" s="80"/>
      <c r="AF299" s="82"/>
      <c r="AG299" s="80"/>
      <c r="AH299" s="80"/>
      <c r="AI299" s="82"/>
      <c r="AJ299" s="79"/>
      <c r="AK299" s="78" t="n">
        <f aca="false">IF(E299="","",(X299&lt;&gt;"")+(AC299&lt;&gt;"")+(AH299&lt;&gt;""))</f>
        <v>0</v>
      </c>
      <c r="AL299" s="81" t="str">
        <f aca="false">IF(AH299&lt;&gt;"",AH299,IF(AC299&lt;&gt;"",AC299,IF(X299&lt;&gt;"",X299,"")))</f>
        <v/>
      </c>
      <c r="AM299" s="83" t="str">
        <f aca="false">IF(E299="","",IF(R299="","À SOUDER",IF(U299="","VT EN ATTENTE",IF(U299="R","VT REJETÉ – À REPRENDRE",IF(AL299="","À RADIOGRAPHIER",IF(AL299="A","ACCEPTÉ",IF(AL299="NX","NX – RT À REFAIRE",IF(IF(AK299=1,Z299,IF(AK299=2,AE299,""))="A","RÉPARÉ – À RADIOGRAPHIER",IF(IF(AK299=1,Z299,IF(AK299=2,AE299,""))="R","VT REJETÉ – À REPRENDRE",IF(OR(AL299="CO",AL299="NT"),"COUPE – À RESOUDER","À RÉPARER"))))))))))</f>
        <v>À SOUDER</v>
      </c>
      <c r="AN299" s="81" t="str">
        <f aca="false">IF(AND(ISNUMBER(R299),OR(AM299="À RADIOGRAPHIER",AM299="RÉPARÉ – À RADIOGRAPHIER",AM299="NX – RT À REFAIRE",AM299="À RÉPARER",AM299="COUPE – À RESOUDER",AM299="VT REJETÉ – À REPRENDRE")),MAX(0,'PROGRAMME RT'!$C$4-R299),"")</f>
        <v/>
      </c>
      <c r="AO299" s="78" t="n">
        <f aca="false">IF(AND(OR(AM299="À RADIOGRAPHIER",AM299="RÉPARÉ – À RADIOGRAPHIER",AM299="NX – RT À REFAIRE"),OR('PROGRAMME RT'!$D$5="TOUTES",B299='PROGRAMME RT'!$D$5)),1,0)</f>
        <v>0</v>
      </c>
      <c r="AP299" s="78" t="str">
        <f aca="false">IF(AO299=1,SUM(AO$7:AO299),"")</f>
        <v/>
      </c>
      <c r="AQ299" s="78" t="n">
        <f aca="false">IF(AND(OR(X299="R",X299="NX",X299="NT",X299="CO"),OR('JOINTS DE RÉPARATION'!$D$5="TOUTES",B299='JOINTS DE RÉPARATION'!$D$5),OR('JOINTS DE RÉPARATION'!$L$4="TOUS",AM299&lt;&gt;"ACCEPTÉ")),1,0)</f>
        <v>0</v>
      </c>
      <c r="AR299" s="78" t="str">
        <f aca="false">IF(AQ299=1,SUM(AQ$7:AQ299),"")</f>
        <v/>
      </c>
    </row>
    <row r="300" customFormat="false" ht="15" hidden="false" customHeight="false" outlineLevel="0" collapsed="false">
      <c r="A300" s="78" t="n">
        <f aca="false">IF(E300="","",ROW()-6)</f>
        <v>294</v>
      </c>
      <c r="B300" s="79" t="s">
        <v>575</v>
      </c>
      <c r="C300" s="80"/>
      <c r="D300" s="80"/>
      <c r="E300" s="80" t="s">
        <v>322</v>
      </c>
      <c r="F300" s="80"/>
      <c r="G300" s="80" t="s">
        <v>106</v>
      </c>
      <c r="H300" s="80"/>
      <c r="I300" s="80"/>
      <c r="J300" s="80"/>
      <c r="K300" s="80"/>
      <c r="L300" s="81" t="str">
        <f aca="false">IF(K300="","",IFERROR(INDEX(BARDAGE!$C$7:$C$1506,MATCH(K300,BARDAGE!$B$7:$B$1506,0)),"? hors registre"))</f>
        <v/>
      </c>
      <c r="M300" s="80"/>
      <c r="N300" s="81" t="str">
        <f aca="false">IF(M300="","",IFERROR(INDEX(BARDAGE!$C$7:$C$1506,MATCH(M300,BARDAGE!$B$7:$B$1506,0)),"? hors registre"))</f>
        <v/>
      </c>
      <c r="O300" s="80"/>
      <c r="P300" s="80"/>
      <c r="Q300" s="80"/>
      <c r="R300" s="82"/>
      <c r="S300" s="82"/>
      <c r="T300" s="80"/>
      <c r="U300" s="80"/>
      <c r="V300" s="82"/>
      <c r="W300" s="80"/>
      <c r="X300" s="80"/>
      <c r="Y300" s="80"/>
      <c r="Z300" s="80"/>
      <c r="AA300" s="82"/>
      <c r="AB300" s="80"/>
      <c r="AC300" s="80"/>
      <c r="AD300" s="80"/>
      <c r="AE300" s="80"/>
      <c r="AF300" s="82"/>
      <c r="AG300" s="80"/>
      <c r="AH300" s="80"/>
      <c r="AI300" s="82"/>
      <c r="AJ300" s="79"/>
      <c r="AK300" s="78" t="n">
        <f aca="false">IF(E300="","",(X300&lt;&gt;"")+(AC300&lt;&gt;"")+(AH300&lt;&gt;""))</f>
        <v>0</v>
      </c>
      <c r="AL300" s="81" t="str">
        <f aca="false">IF(AH300&lt;&gt;"",AH300,IF(AC300&lt;&gt;"",AC300,IF(X300&lt;&gt;"",X300,"")))</f>
        <v/>
      </c>
      <c r="AM300" s="83" t="str">
        <f aca="false">IF(E300="","",IF(R300="","À SOUDER",IF(U300="","VT EN ATTENTE",IF(U300="R","VT REJETÉ – À REPRENDRE",IF(AL300="","À RADIOGRAPHIER",IF(AL300="A","ACCEPTÉ",IF(AL300="NX","NX – RT À REFAIRE",IF(IF(AK300=1,Z300,IF(AK300=2,AE300,""))="A","RÉPARÉ – À RADIOGRAPHIER",IF(IF(AK300=1,Z300,IF(AK300=2,AE300,""))="R","VT REJETÉ – À REPRENDRE",IF(OR(AL300="CO",AL300="NT"),"COUPE – À RESOUDER","À RÉPARER"))))))))))</f>
        <v>À SOUDER</v>
      </c>
      <c r="AN300" s="81" t="str">
        <f aca="false">IF(AND(ISNUMBER(R300),OR(AM300="À RADIOGRAPHIER",AM300="RÉPARÉ – À RADIOGRAPHIER",AM300="NX – RT À REFAIRE",AM300="À RÉPARER",AM300="COUPE – À RESOUDER",AM300="VT REJETÉ – À REPRENDRE")),MAX(0,'PROGRAMME RT'!$C$4-R300),"")</f>
        <v/>
      </c>
      <c r="AO300" s="78" t="n">
        <f aca="false">IF(AND(OR(AM300="À RADIOGRAPHIER",AM300="RÉPARÉ – À RADIOGRAPHIER",AM300="NX – RT À REFAIRE"),OR('PROGRAMME RT'!$D$5="TOUTES",B300='PROGRAMME RT'!$D$5)),1,0)</f>
        <v>0</v>
      </c>
      <c r="AP300" s="78" t="str">
        <f aca="false">IF(AO300=1,SUM(AO$7:AO300),"")</f>
        <v/>
      </c>
      <c r="AQ300" s="78" t="n">
        <f aca="false">IF(AND(OR(X300="R",X300="NX",X300="NT",X300="CO"),OR('JOINTS DE RÉPARATION'!$D$5="TOUTES",B300='JOINTS DE RÉPARATION'!$D$5),OR('JOINTS DE RÉPARATION'!$L$4="TOUS",AM300&lt;&gt;"ACCEPTÉ")),1,0)</f>
        <v>0</v>
      </c>
      <c r="AR300" s="78" t="str">
        <f aca="false">IF(AQ300=1,SUM(AQ$7:AQ300),"")</f>
        <v/>
      </c>
    </row>
    <row r="301" customFormat="false" ht="15" hidden="false" customHeight="false" outlineLevel="0" collapsed="false">
      <c r="A301" s="78" t="n">
        <f aca="false">IF(E301="","",ROW()-6)</f>
        <v>295</v>
      </c>
      <c r="B301" s="79" t="s">
        <v>575</v>
      </c>
      <c r="C301" s="80"/>
      <c r="D301" s="80"/>
      <c r="E301" s="80" t="s">
        <v>324</v>
      </c>
      <c r="F301" s="80"/>
      <c r="G301" s="80" t="s">
        <v>106</v>
      </c>
      <c r="H301" s="80"/>
      <c r="I301" s="80"/>
      <c r="J301" s="80"/>
      <c r="K301" s="80"/>
      <c r="L301" s="81" t="str">
        <f aca="false">IF(K301="","",IFERROR(INDEX(BARDAGE!$C$7:$C$1506,MATCH(K301,BARDAGE!$B$7:$B$1506,0)),"? hors registre"))</f>
        <v/>
      </c>
      <c r="M301" s="80"/>
      <c r="N301" s="81" t="str">
        <f aca="false">IF(M301="","",IFERROR(INDEX(BARDAGE!$C$7:$C$1506,MATCH(M301,BARDAGE!$B$7:$B$1506,0)),"? hors registre"))</f>
        <v/>
      </c>
      <c r="O301" s="80"/>
      <c r="P301" s="80"/>
      <c r="Q301" s="80"/>
      <c r="R301" s="82"/>
      <c r="S301" s="82"/>
      <c r="T301" s="80"/>
      <c r="U301" s="80"/>
      <c r="V301" s="82"/>
      <c r="W301" s="80"/>
      <c r="X301" s="80"/>
      <c r="Y301" s="80"/>
      <c r="Z301" s="80"/>
      <c r="AA301" s="82"/>
      <c r="AB301" s="80"/>
      <c r="AC301" s="80"/>
      <c r="AD301" s="80"/>
      <c r="AE301" s="80"/>
      <c r="AF301" s="82"/>
      <c r="AG301" s="80"/>
      <c r="AH301" s="80"/>
      <c r="AI301" s="82"/>
      <c r="AJ301" s="79"/>
      <c r="AK301" s="78" t="n">
        <f aca="false">IF(E301="","",(X301&lt;&gt;"")+(AC301&lt;&gt;"")+(AH301&lt;&gt;""))</f>
        <v>0</v>
      </c>
      <c r="AL301" s="81" t="str">
        <f aca="false">IF(AH301&lt;&gt;"",AH301,IF(AC301&lt;&gt;"",AC301,IF(X301&lt;&gt;"",X301,"")))</f>
        <v/>
      </c>
      <c r="AM301" s="83" t="str">
        <f aca="false">IF(E301="","",IF(R301="","À SOUDER",IF(U301="","VT EN ATTENTE",IF(U301="R","VT REJETÉ – À REPRENDRE",IF(AL301="","À RADIOGRAPHIER",IF(AL301="A","ACCEPTÉ",IF(AL301="NX","NX – RT À REFAIRE",IF(IF(AK301=1,Z301,IF(AK301=2,AE301,""))="A","RÉPARÉ – À RADIOGRAPHIER",IF(IF(AK301=1,Z301,IF(AK301=2,AE301,""))="R","VT REJETÉ – À REPRENDRE",IF(OR(AL301="CO",AL301="NT"),"COUPE – À RESOUDER","À RÉPARER"))))))))))</f>
        <v>À SOUDER</v>
      </c>
      <c r="AN301" s="81" t="str">
        <f aca="false">IF(AND(ISNUMBER(R301),OR(AM301="À RADIOGRAPHIER",AM301="RÉPARÉ – À RADIOGRAPHIER",AM301="NX – RT À REFAIRE",AM301="À RÉPARER",AM301="COUPE – À RESOUDER",AM301="VT REJETÉ – À REPRENDRE")),MAX(0,'PROGRAMME RT'!$C$4-R301),"")</f>
        <v/>
      </c>
      <c r="AO301" s="78" t="n">
        <f aca="false">IF(AND(OR(AM301="À RADIOGRAPHIER",AM301="RÉPARÉ – À RADIOGRAPHIER",AM301="NX – RT À REFAIRE"),OR('PROGRAMME RT'!$D$5="TOUTES",B301='PROGRAMME RT'!$D$5)),1,0)</f>
        <v>0</v>
      </c>
      <c r="AP301" s="78" t="str">
        <f aca="false">IF(AO301=1,SUM(AO$7:AO301),"")</f>
        <v/>
      </c>
      <c r="AQ301" s="78" t="n">
        <f aca="false">IF(AND(OR(X301="R",X301="NX",X301="NT",X301="CO"),OR('JOINTS DE RÉPARATION'!$D$5="TOUTES",B301='JOINTS DE RÉPARATION'!$D$5),OR('JOINTS DE RÉPARATION'!$L$4="TOUS",AM301&lt;&gt;"ACCEPTÉ")),1,0)</f>
        <v>0</v>
      </c>
      <c r="AR301" s="78" t="str">
        <f aca="false">IF(AQ301=1,SUM(AQ$7:AQ301),"")</f>
        <v/>
      </c>
    </row>
    <row r="302" customFormat="false" ht="15" hidden="false" customHeight="false" outlineLevel="0" collapsed="false">
      <c r="A302" s="78" t="n">
        <f aca="false">IF(E302="","",ROW()-6)</f>
        <v>296</v>
      </c>
      <c r="B302" s="79" t="s">
        <v>575</v>
      </c>
      <c r="C302" s="80"/>
      <c r="D302" s="80"/>
      <c r="E302" s="80" t="s">
        <v>326</v>
      </c>
      <c r="F302" s="80"/>
      <c r="G302" s="80" t="s">
        <v>106</v>
      </c>
      <c r="H302" s="80"/>
      <c r="I302" s="80"/>
      <c r="J302" s="80"/>
      <c r="K302" s="80"/>
      <c r="L302" s="81" t="str">
        <f aca="false">IF(K302="","",IFERROR(INDEX(BARDAGE!$C$7:$C$1506,MATCH(K302,BARDAGE!$B$7:$B$1506,0)),"? hors registre"))</f>
        <v/>
      </c>
      <c r="M302" s="80"/>
      <c r="N302" s="81" t="str">
        <f aca="false">IF(M302="","",IFERROR(INDEX(BARDAGE!$C$7:$C$1506,MATCH(M302,BARDAGE!$B$7:$B$1506,0)),"? hors registre"))</f>
        <v/>
      </c>
      <c r="O302" s="80"/>
      <c r="P302" s="80"/>
      <c r="Q302" s="80"/>
      <c r="R302" s="82"/>
      <c r="S302" s="82"/>
      <c r="T302" s="80"/>
      <c r="U302" s="80"/>
      <c r="V302" s="82"/>
      <c r="W302" s="80"/>
      <c r="X302" s="80"/>
      <c r="Y302" s="80"/>
      <c r="Z302" s="80"/>
      <c r="AA302" s="82"/>
      <c r="AB302" s="80"/>
      <c r="AC302" s="80"/>
      <c r="AD302" s="80"/>
      <c r="AE302" s="80"/>
      <c r="AF302" s="82"/>
      <c r="AG302" s="80"/>
      <c r="AH302" s="80"/>
      <c r="AI302" s="82"/>
      <c r="AJ302" s="79"/>
      <c r="AK302" s="78" t="n">
        <f aca="false">IF(E302="","",(X302&lt;&gt;"")+(AC302&lt;&gt;"")+(AH302&lt;&gt;""))</f>
        <v>0</v>
      </c>
      <c r="AL302" s="81" t="str">
        <f aca="false">IF(AH302&lt;&gt;"",AH302,IF(AC302&lt;&gt;"",AC302,IF(X302&lt;&gt;"",X302,"")))</f>
        <v/>
      </c>
      <c r="AM302" s="83" t="str">
        <f aca="false">IF(E302="","",IF(R302="","À SOUDER",IF(U302="","VT EN ATTENTE",IF(U302="R","VT REJETÉ – À REPRENDRE",IF(AL302="","À RADIOGRAPHIER",IF(AL302="A","ACCEPTÉ",IF(AL302="NX","NX – RT À REFAIRE",IF(IF(AK302=1,Z302,IF(AK302=2,AE302,""))="A","RÉPARÉ – À RADIOGRAPHIER",IF(IF(AK302=1,Z302,IF(AK302=2,AE302,""))="R","VT REJETÉ – À REPRENDRE",IF(OR(AL302="CO",AL302="NT"),"COUPE – À RESOUDER","À RÉPARER"))))))))))</f>
        <v>À SOUDER</v>
      </c>
      <c r="AN302" s="81" t="str">
        <f aca="false">IF(AND(ISNUMBER(R302),OR(AM302="À RADIOGRAPHIER",AM302="RÉPARÉ – À RADIOGRAPHIER",AM302="NX – RT À REFAIRE",AM302="À RÉPARER",AM302="COUPE – À RESOUDER",AM302="VT REJETÉ – À REPRENDRE")),MAX(0,'PROGRAMME RT'!$C$4-R302),"")</f>
        <v/>
      </c>
      <c r="AO302" s="78" t="n">
        <f aca="false">IF(AND(OR(AM302="À RADIOGRAPHIER",AM302="RÉPARÉ – À RADIOGRAPHIER",AM302="NX – RT À REFAIRE"),OR('PROGRAMME RT'!$D$5="TOUTES",B302='PROGRAMME RT'!$D$5)),1,0)</f>
        <v>0</v>
      </c>
      <c r="AP302" s="78" t="str">
        <f aca="false">IF(AO302=1,SUM(AO$7:AO302),"")</f>
        <v/>
      </c>
      <c r="AQ302" s="78" t="n">
        <f aca="false">IF(AND(OR(X302="R",X302="NX",X302="NT",X302="CO"),OR('JOINTS DE RÉPARATION'!$D$5="TOUTES",B302='JOINTS DE RÉPARATION'!$D$5),OR('JOINTS DE RÉPARATION'!$L$4="TOUS",AM302&lt;&gt;"ACCEPTÉ")),1,0)</f>
        <v>0</v>
      </c>
      <c r="AR302" s="78" t="str">
        <f aca="false">IF(AQ302=1,SUM(AQ$7:AQ302),"")</f>
        <v/>
      </c>
    </row>
    <row r="303" customFormat="false" ht="15" hidden="false" customHeight="false" outlineLevel="0" collapsed="false">
      <c r="A303" s="78" t="n">
        <f aca="false">IF(E303="","",ROW()-6)</f>
        <v>297</v>
      </c>
      <c r="B303" s="79" t="s">
        <v>575</v>
      </c>
      <c r="C303" s="80"/>
      <c r="D303" s="80"/>
      <c r="E303" s="80" t="s">
        <v>328</v>
      </c>
      <c r="F303" s="80"/>
      <c r="G303" s="80" t="s">
        <v>106</v>
      </c>
      <c r="H303" s="80"/>
      <c r="I303" s="80"/>
      <c r="J303" s="80"/>
      <c r="K303" s="80"/>
      <c r="L303" s="81" t="str">
        <f aca="false">IF(K303="","",IFERROR(INDEX(BARDAGE!$C$7:$C$1506,MATCH(K303,BARDAGE!$B$7:$B$1506,0)),"? hors registre"))</f>
        <v/>
      </c>
      <c r="M303" s="80"/>
      <c r="N303" s="81" t="str">
        <f aca="false">IF(M303="","",IFERROR(INDEX(BARDAGE!$C$7:$C$1506,MATCH(M303,BARDAGE!$B$7:$B$1506,0)),"? hors registre"))</f>
        <v/>
      </c>
      <c r="O303" s="80"/>
      <c r="P303" s="80"/>
      <c r="Q303" s="80"/>
      <c r="R303" s="82"/>
      <c r="S303" s="82"/>
      <c r="T303" s="80"/>
      <c r="U303" s="80"/>
      <c r="V303" s="82"/>
      <c r="W303" s="80"/>
      <c r="X303" s="80"/>
      <c r="Y303" s="80"/>
      <c r="Z303" s="80"/>
      <c r="AA303" s="82"/>
      <c r="AB303" s="80"/>
      <c r="AC303" s="80"/>
      <c r="AD303" s="80"/>
      <c r="AE303" s="80"/>
      <c r="AF303" s="82"/>
      <c r="AG303" s="80"/>
      <c r="AH303" s="80"/>
      <c r="AI303" s="82"/>
      <c r="AJ303" s="79"/>
      <c r="AK303" s="78" t="n">
        <f aca="false">IF(E303="","",(X303&lt;&gt;"")+(AC303&lt;&gt;"")+(AH303&lt;&gt;""))</f>
        <v>0</v>
      </c>
      <c r="AL303" s="81" t="str">
        <f aca="false">IF(AH303&lt;&gt;"",AH303,IF(AC303&lt;&gt;"",AC303,IF(X303&lt;&gt;"",X303,"")))</f>
        <v/>
      </c>
      <c r="AM303" s="83" t="str">
        <f aca="false">IF(E303="","",IF(R303="","À SOUDER",IF(U303="","VT EN ATTENTE",IF(U303="R","VT REJETÉ – À REPRENDRE",IF(AL303="","À RADIOGRAPHIER",IF(AL303="A","ACCEPTÉ",IF(AL303="NX","NX – RT À REFAIRE",IF(IF(AK303=1,Z303,IF(AK303=2,AE303,""))="A","RÉPARÉ – À RADIOGRAPHIER",IF(IF(AK303=1,Z303,IF(AK303=2,AE303,""))="R","VT REJETÉ – À REPRENDRE",IF(OR(AL303="CO",AL303="NT"),"COUPE – À RESOUDER","À RÉPARER"))))))))))</f>
        <v>À SOUDER</v>
      </c>
      <c r="AN303" s="81" t="str">
        <f aca="false">IF(AND(ISNUMBER(R303),OR(AM303="À RADIOGRAPHIER",AM303="RÉPARÉ – À RADIOGRAPHIER",AM303="NX – RT À REFAIRE",AM303="À RÉPARER",AM303="COUPE – À RESOUDER",AM303="VT REJETÉ – À REPRENDRE")),MAX(0,'PROGRAMME RT'!$C$4-R303),"")</f>
        <v/>
      </c>
      <c r="AO303" s="78" t="n">
        <f aca="false">IF(AND(OR(AM303="À RADIOGRAPHIER",AM303="RÉPARÉ – À RADIOGRAPHIER",AM303="NX – RT À REFAIRE"),OR('PROGRAMME RT'!$D$5="TOUTES",B303='PROGRAMME RT'!$D$5)),1,0)</f>
        <v>0</v>
      </c>
      <c r="AP303" s="78" t="str">
        <f aca="false">IF(AO303=1,SUM(AO$7:AO303),"")</f>
        <v/>
      </c>
      <c r="AQ303" s="78" t="n">
        <f aca="false">IF(AND(OR(X303="R",X303="NX",X303="NT",X303="CO"),OR('JOINTS DE RÉPARATION'!$D$5="TOUTES",B303='JOINTS DE RÉPARATION'!$D$5),OR('JOINTS DE RÉPARATION'!$L$4="TOUS",AM303&lt;&gt;"ACCEPTÉ")),1,0)</f>
        <v>0</v>
      </c>
      <c r="AR303" s="78" t="str">
        <f aca="false">IF(AQ303=1,SUM(AQ$7:AQ303),"")</f>
        <v/>
      </c>
    </row>
    <row r="304" customFormat="false" ht="15" hidden="false" customHeight="false" outlineLevel="0" collapsed="false">
      <c r="A304" s="78" t="n">
        <f aca="false">IF(E304="","",ROW()-6)</f>
        <v>298</v>
      </c>
      <c r="B304" s="79" t="s">
        <v>575</v>
      </c>
      <c r="C304" s="80"/>
      <c r="D304" s="80"/>
      <c r="E304" s="80" t="s">
        <v>330</v>
      </c>
      <c r="F304" s="80"/>
      <c r="G304" s="80" t="s">
        <v>106</v>
      </c>
      <c r="H304" s="80"/>
      <c r="I304" s="80"/>
      <c r="J304" s="80"/>
      <c r="K304" s="80"/>
      <c r="L304" s="81" t="str">
        <f aca="false">IF(K304="","",IFERROR(INDEX(BARDAGE!$C$7:$C$1506,MATCH(K304,BARDAGE!$B$7:$B$1506,0)),"? hors registre"))</f>
        <v/>
      </c>
      <c r="M304" s="80"/>
      <c r="N304" s="81" t="str">
        <f aca="false">IF(M304="","",IFERROR(INDEX(BARDAGE!$C$7:$C$1506,MATCH(M304,BARDAGE!$B$7:$B$1506,0)),"? hors registre"))</f>
        <v/>
      </c>
      <c r="O304" s="80"/>
      <c r="P304" s="80"/>
      <c r="Q304" s="80"/>
      <c r="R304" s="82"/>
      <c r="S304" s="82"/>
      <c r="T304" s="80"/>
      <c r="U304" s="80"/>
      <c r="V304" s="82"/>
      <c r="W304" s="80"/>
      <c r="X304" s="80"/>
      <c r="Y304" s="80"/>
      <c r="Z304" s="80"/>
      <c r="AA304" s="82"/>
      <c r="AB304" s="80"/>
      <c r="AC304" s="80"/>
      <c r="AD304" s="80"/>
      <c r="AE304" s="80"/>
      <c r="AF304" s="82"/>
      <c r="AG304" s="80"/>
      <c r="AH304" s="80"/>
      <c r="AI304" s="82"/>
      <c r="AJ304" s="79"/>
      <c r="AK304" s="78" t="n">
        <f aca="false">IF(E304="","",(X304&lt;&gt;"")+(AC304&lt;&gt;"")+(AH304&lt;&gt;""))</f>
        <v>0</v>
      </c>
      <c r="AL304" s="81" t="str">
        <f aca="false">IF(AH304&lt;&gt;"",AH304,IF(AC304&lt;&gt;"",AC304,IF(X304&lt;&gt;"",X304,"")))</f>
        <v/>
      </c>
      <c r="AM304" s="83" t="str">
        <f aca="false">IF(E304="","",IF(R304="","À SOUDER",IF(U304="","VT EN ATTENTE",IF(U304="R","VT REJETÉ – À REPRENDRE",IF(AL304="","À RADIOGRAPHIER",IF(AL304="A","ACCEPTÉ",IF(AL304="NX","NX – RT À REFAIRE",IF(IF(AK304=1,Z304,IF(AK304=2,AE304,""))="A","RÉPARÉ – À RADIOGRAPHIER",IF(IF(AK304=1,Z304,IF(AK304=2,AE304,""))="R","VT REJETÉ – À REPRENDRE",IF(OR(AL304="CO",AL304="NT"),"COUPE – À RESOUDER","À RÉPARER"))))))))))</f>
        <v>À SOUDER</v>
      </c>
      <c r="AN304" s="81" t="str">
        <f aca="false">IF(AND(ISNUMBER(R304),OR(AM304="À RADIOGRAPHIER",AM304="RÉPARÉ – À RADIOGRAPHIER",AM304="NX – RT À REFAIRE",AM304="À RÉPARER",AM304="COUPE – À RESOUDER",AM304="VT REJETÉ – À REPRENDRE")),MAX(0,'PROGRAMME RT'!$C$4-R304),"")</f>
        <v/>
      </c>
      <c r="AO304" s="78" t="n">
        <f aca="false">IF(AND(OR(AM304="À RADIOGRAPHIER",AM304="RÉPARÉ – À RADIOGRAPHIER",AM304="NX – RT À REFAIRE"),OR('PROGRAMME RT'!$D$5="TOUTES",B304='PROGRAMME RT'!$D$5)),1,0)</f>
        <v>0</v>
      </c>
      <c r="AP304" s="78" t="str">
        <f aca="false">IF(AO304=1,SUM(AO$7:AO304),"")</f>
        <v/>
      </c>
      <c r="AQ304" s="78" t="n">
        <f aca="false">IF(AND(OR(X304="R",X304="NX",X304="NT",X304="CO"),OR('JOINTS DE RÉPARATION'!$D$5="TOUTES",B304='JOINTS DE RÉPARATION'!$D$5),OR('JOINTS DE RÉPARATION'!$L$4="TOUS",AM304&lt;&gt;"ACCEPTÉ")),1,0)</f>
        <v>0</v>
      </c>
      <c r="AR304" s="78" t="str">
        <f aca="false">IF(AQ304=1,SUM(AQ$7:AQ304),"")</f>
        <v/>
      </c>
    </row>
    <row r="305" customFormat="false" ht="15" hidden="false" customHeight="false" outlineLevel="0" collapsed="false">
      <c r="A305" s="78" t="n">
        <f aca="false">IF(E305="","",ROW()-6)</f>
        <v>299</v>
      </c>
      <c r="B305" s="79" t="s">
        <v>575</v>
      </c>
      <c r="C305" s="80"/>
      <c r="D305" s="80"/>
      <c r="E305" s="80" t="s">
        <v>332</v>
      </c>
      <c r="F305" s="80"/>
      <c r="G305" s="80" t="s">
        <v>106</v>
      </c>
      <c r="H305" s="80"/>
      <c r="I305" s="80"/>
      <c r="J305" s="80"/>
      <c r="K305" s="80"/>
      <c r="L305" s="81" t="str">
        <f aca="false">IF(K305="","",IFERROR(INDEX(BARDAGE!$C$7:$C$1506,MATCH(K305,BARDAGE!$B$7:$B$1506,0)),"? hors registre"))</f>
        <v/>
      </c>
      <c r="M305" s="80"/>
      <c r="N305" s="81" t="str">
        <f aca="false">IF(M305="","",IFERROR(INDEX(BARDAGE!$C$7:$C$1506,MATCH(M305,BARDAGE!$B$7:$B$1506,0)),"? hors registre"))</f>
        <v/>
      </c>
      <c r="O305" s="80"/>
      <c r="P305" s="80"/>
      <c r="Q305" s="80"/>
      <c r="R305" s="82"/>
      <c r="S305" s="82"/>
      <c r="T305" s="80"/>
      <c r="U305" s="80"/>
      <c r="V305" s="82"/>
      <c r="W305" s="80"/>
      <c r="X305" s="80"/>
      <c r="Y305" s="80"/>
      <c r="Z305" s="80"/>
      <c r="AA305" s="82"/>
      <c r="AB305" s="80"/>
      <c r="AC305" s="80"/>
      <c r="AD305" s="80"/>
      <c r="AE305" s="80"/>
      <c r="AF305" s="82"/>
      <c r="AG305" s="80"/>
      <c r="AH305" s="80"/>
      <c r="AI305" s="82"/>
      <c r="AJ305" s="79"/>
      <c r="AK305" s="78" t="n">
        <f aca="false">IF(E305="","",(X305&lt;&gt;"")+(AC305&lt;&gt;"")+(AH305&lt;&gt;""))</f>
        <v>0</v>
      </c>
      <c r="AL305" s="81" t="str">
        <f aca="false">IF(AH305&lt;&gt;"",AH305,IF(AC305&lt;&gt;"",AC305,IF(X305&lt;&gt;"",X305,"")))</f>
        <v/>
      </c>
      <c r="AM305" s="83" t="str">
        <f aca="false">IF(E305="","",IF(R305="","À SOUDER",IF(U305="","VT EN ATTENTE",IF(U305="R","VT REJETÉ – À REPRENDRE",IF(AL305="","À RADIOGRAPHIER",IF(AL305="A","ACCEPTÉ",IF(AL305="NX","NX – RT À REFAIRE",IF(IF(AK305=1,Z305,IF(AK305=2,AE305,""))="A","RÉPARÉ – À RADIOGRAPHIER",IF(IF(AK305=1,Z305,IF(AK305=2,AE305,""))="R","VT REJETÉ – À REPRENDRE",IF(OR(AL305="CO",AL305="NT"),"COUPE – À RESOUDER","À RÉPARER"))))))))))</f>
        <v>À SOUDER</v>
      </c>
      <c r="AN305" s="81" t="str">
        <f aca="false">IF(AND(ISNUMBER(R305),OR(AM305="À RADIOGRAPHIER",AM305="RÉPARÉ – À RADIOGRAPHIER",AM305="NX – RT À REFAIRE",AM305="À RÉPARER",AM305="COUPE – À RESOUDER",AM305="VT REJETÉ – À REPRENDRE")),MAX(0,'PROGRAMME RT'!$C$4-R305),"")</f>
        <v/>
      </c>
      <c r="AO305" s="78" t="n">
        <f aca="false">IF(AND(OR(AM305="À RADIOGRAPHIER",AM305="RÉPARÉ – À RADIOGRAPHIER",AM305="NX – RT À REFAIRE"),OR('PROGRAMME RT'!$D$5="TOUTES",B305='PROGRAMME RT'!$D$5)),1,0)</f>
        <v>0</v>
      </c>
      <c r="AP305" s="78" t="str">
        <f aca="false">IF(AO305=1,SUM(AO$7:AO305),"")</f>
        <v/>
      </c>
      <c r="AQ305" s="78" t="n">
        <f aca="false">IF(AND(OR(X305="R",X305="NX",X305="NT",X305="CO"),OR('JOINTS DE RÉPARATION'!$D$5="TOUTES",B305='JOINTS DE RÉPARATION'!$D$5),OR('JOINTS DE RÉPARATION'!$L$4="TOUS",AM305&lt;&gt;"ACCEPTÉ")),1,0)</f>
        <v>0</v>
      </c>
      <c r="AR305" s="78" t="str">
        <f aca="false">IF(AQ305=1,SUM(AQ$7:AQ305),"")</f>
        <v/>
      </c>
    </row>
    <row r="306" customFormat="false" ht="15" hidden="false" customHeight="false" outlineLevel="0" collapsed="false">
      <c r="A306" s="78" t="n">
        <f aca="false">IF(E306="","",ROW()-6)</f>
        <v>300</v>
      </c>
      <c r="B306" s="79" t="s">
        <v>575</v>
      </c>
      <c r="C306" s="80"/>
      <c r="D306" s="80"/>
      <c r="E306" s="80" t="s">
        <v>334</v>
      </c>
      <c r="F306" s="80"/>
      <c r="G306" s="80" t="s">
        <v>106</v>
      </c>
      <c r="H306" s="80"/>
      <c r="I306" s="80"/>
      <c r="J306" s="80"/>
      <c r="K306" s="80"/>
      <c r="L306" s="81" t="str">
        <f aca="false">IF(K306="","",IFERROR(INDEX(BARDAGE!$C$7:$C$1506,MATCH(K306,BARDAGE!$B$7:$B$1506,0)),"? hors registre"))</f>
        <v/>
      </c>
      <c r="M306" s="80"/>
      <c r="N306" s="81" t="str">
        <f aca="false">IF(M306="","",IFERROR(INDEX(BARDAGE!$C$7:$C$1506,MATCH(M306,BARDAGE!$B$7:$B$1506,0)),"? hors registre"))</f>
        <v/>
      </c>
      <c r="O306" s="80"/>
      <c r="P306" s="80"/>
      <c r="Q306" s="80"/>
      <c r="R306" s="82"/>
      <c r="S306" s="82"/>
      <c r="T306" s="80"/>
      <c r="U306" s="80"/>
      <c r="V306" s="82"/>
      <c r="W306" s="80"/>
      <c r="X306" s="80"/>
      <c r="Y306" s="80"/>
      <c r="Z306" s="80"/>
      <c r="AA306" s="82"/>
      <c r="AB306" s="80"/>
      <c r="AC306" s="80"/>
      <c r="AD306" s="80"/>
      <c r="AE306" s="80"/>
      <c r="AF306" s="82"/>
      <c r="AG306" s="80"/>
      <c r="AH306" s="80"/>
      <c r="AI306" s="82"/>
      <c r="AJ306" s="79"/>
      <c r="AK306" s="78" t="n">
        <f aca="false">IF(E306="","",(X306&lt;&gt;"")+(AC306&lt;&gt;"")+(AH306&lt;&gt;""))</f>
        <v>0</v>
      </c>
      <c r="AL306" s="81" t="str">
        <f aca="false">IF(AH306&lt;&gt;"",AH306,IF(AC306&lt;&gt;"",AC306,IF(X306&lt;&gt;"",X306,"")))</f>
        <v/>
      </c>
      <c r="AM306" s="83" t="str">
        <f aca="false">IF(E306="","",IF(R306="","À SOUDER",IF(U306="","VT EN ATTENTE",IF(U306="R","VT REJETÉ – À REPRENDRE",IF(AL306="","À RADIOGRAPHIER",IF(AL306="A","ACCEPTÉ",IF(AL306="NX","NX – RT À REFAIRE",IF(IF(AK306=1,Z306,IF(AK306=2,AE306,""))="A","RÉPARÉ – À RADIOGRAPHIER",IF(IF(AK306=1,Z306,IF(AK306=2,AE306,""))="R","VT REJETÉ – À REPRENDRE",IF(OR(AL306="CO",AL306="NT"),"COUPE – À RESOUDER","À RÉPARER"))))))))))</f>
        <v>À SOUDER</v>
      </c>
      <c r="AN306" s="81" t="str">
        <f aca="false">IF(AND(ISNUMBER(R306),OR(AM306="À RADIOGRAPHIER",AM306="RÉPARÉ – À RADIOGRAPHIER",AM306="NX – RT À REFAIRE",AM306="À RÉPARER",AM306="COUPE – À RESOUDER",AM306="VT REJETÉ – À REPRENDRE")),MAX(0,'PROGRAMME RT'!$C$4-R306),"")</f>
        <v/>
      </c>
      <c r="AO306" s="78" t="n">
        <f aca="false">IF(AND(OR(AM306="À RADIOGRAPHIER",AM306="RÉPARÉ – À RADIOGRAPHIER",AM306="NX – RT À REFAIRE"),OR('PROGRAMME RT'!$D$5="TOUTES",B306='PROGRAMME RT'!$D$5)),1,0)</f>
        <v>0</v>
      </c>
      <c r="AP306" s="78" t="str">
        <f aca="false">IF(AO306=1,SUM(AO$7:AO306),"")</f>
        <v/>
      </c>
      <c r="AQ306" s="78" t="n">
        <f aca="false">IF(AND(OR(X306="R",X306="NX",X306="NT",X306="CO"),OR('JOINTS DE RÉPARATION'!$D$5="TOUTES",B306='JOINTS DE RÉPARATION'!$D$5),OR('JOINTS DE RÉPARATION'!$L$4="TOUS",AM306&lt;&gt;"ACCEPTÉ")),1,0)</f>
        <v>0</v>
      </c>
      <c r="AR306" s="78" t="str">
        <f aca="false">IF(AQ306=1,SUM(AQ$7:AQ306),"")</f>
        <v/>
      </c>
    </row>
    <row r="307" customFormat="false" ht="15" hidden="false" customHeight="false" outlineLevel="0" collapsed="false">
      <c r="A307" s="78" t="n">
        <f aca="false">IF(E307="","",ROW()-6)</f>
        <v>301</v>
      </c>
      <c r="B307" s="79" t="s">
        <v>575</v>
      </c>
      <c r="C307" s="80"/>
      <c r="D307" s="80"/>
      <c r="E307" s="80" t="s">
        <v>336</v>
      </c>
      <c r="F307" s="80"/>
      <c r="G307" s="80" t="s">
        <v>106</v>
      </c>
      <c r="H307" s="80"/>
      <c r="I307" s="80"/>
      <c r="J307" s="80"/>
      <c r="K307" s="80"/>
      <c r="L307" s="81" t="str">
        <f aca="false">IF(K307="","",IFERROR(INDEX(BARDAGE!$C$7:$C$1506,MATCH(K307,BARDAGE!$B$7:$B$1506,0)),"? hors registre"))</f>
        <v/>
      </c>
      <c r="M307" s="80"/>
      <c r="N307" s="81" t="str">
        <f aca="false">IF(M307="","",IFERROR(INDEX(BARDAGE!$C$7:$C$1506,MATCH(M307,BARDAGE!$B$7:$B$1506,0)),"? hors registre"))</f>
        <v/>
      </c>
      <c r="O307" s="80"/>
      <c r="P307" s="80"/>
      <c r="Q307" s="80"/>
      <c r="R307" s="82"/>
      <c r="S307" s="82"/>
      <c r="T307" s="80"/>
      <c r="U307" s="80"/>
      <c r="V307" s="82"/>
      <c r="W307" s="80"/>
      <c r="X307" s="80"/>
      <c r="Y307" s="80"/>
      <c r="Z307" s="80"/>
      <c r="AA307" s="82"/>
      <c r="AB307" s="80"/>
      <c r="AC307" s="80"/>
      <c r="AD307" s="80"/>
      <c r="AE307" s="80"/>
      <c r="AF307" s="82"/>
      <c r="AG307" s="80"/>
      <c r="AH307" s="80"/>
      <c r="AI307" s="82"/>
      <c r="AJ307" s="79"/>
      <c r="AK307" s="78" t="n">
        <f aca="false">IF(E307="","",(X307&lt;&gt;"")+(AC307&lt;&gt;"")+(AH307&lt;&gt;""))</f>
        <v>0</v>
      </c>
      <c r="AL307" s="81" t="str">
        <f aca="false">IF(AH307&lt;&gt;"",AH307,IF(AC307&lt;&gt;"",AC307,IF(X307&lt;&gt;"",X307,"")))</f>
        <v/>
      </c>
      <c r="AM307" s="83" t="str">
        <f aca="false">IF(E307="","",IF(R307="","À SOUDER",IF(U307="","VT EN ATTENTE",IF(U307="R","VT REJETÉ – À REPRENDRE",IF(AL307="","À RADIOGRAPHIER",IF(AL307="A","ACCEPTÉ",IF(AL307="NX","NX – RT À REFAIRE",IF(IF(AK307=1,Z307,IF(AK307=2,AE307,""))="A","RÉPARÉ – À RADIOGRAPHIER",IF(IF(AK307=1,Z307,IF(AK307=2,AE307,""))="R","VT REJETÉ – À REPRENDRE",IF(OR(AL307="CO",AL307="NT"),"COUPE – À RESOUDER","À RÉPARER"))))))))))</f>
        <v>À SOUDER</v>
      </c>
      <c r="AN307" s="81" t="str">
        <f aca="false">IF(AND(ISNUMBER(R307),OR(AM307="À RADIOGRAPHIER",AM307="RÉPARÉ – À RADIOGRAPHIER",AM307="NX – RT À REFAIRE",AM307="À RÉPARER",AM307="COUPE – À RESOUDER",AM307="VT REJETÉ – À REPRENDRE")),MAX(0,'PROGRAMME RT'!$C$4-R307),"")</f>
        <v/>
      </c>
      <c r="AO307" s="78" t="n">
        <f aca="false">IF(AND(OR(AM307="À RADIOGRAPHIER",AM307="RÉPARÉ – À RADIOGRAPHIER",AM307="NX – RT À REFAIRE"),OR('PROGRAMME RT'!$D$5="TOUTES",B307='PROGRAMME RT'!$D$5)),1,0)</f>
        <v>0</v>
      </c>
      <c r="AP307" s="78" t="str">
        <f aca="false">IF(AO307=1,SUM(AO$7:AO307),"")</f>
        <v/>
      </c>
      <c r="AQ307" s="78" t="n">
        <f aca="false">IF(AND(OR(X307="R",X307="NX",X307="NT",X307="CO"),OR('JOINTS DE RÉPARATION'!$D$5="TOUTES",B307='JOINTS DE RÉPARATION'!$D$5),OR('JOINTS DE RÉPARATION'!$L$4="TOUS",AM307&lt;&gt;"ACCEPTÉ")),1,0)</f>
        <v>0</v>
      </c>
      <c r="AR307" s="78" t="str">
        <f aca="false">IF(AQ307=1,SUM(AQ$7:AQ307),"")</f>
        <v/>
      </c>
    </row>
    <row r="308" customFormat="false" ht="15" hidden="false" customHeight="false" outlineLevel="0" collapsed="false">
      <c r="A308" s="78" t="n">
        <f aca="false">IF(E308="","",ROW()-6)</f>
        <v>302</v>
      </c>
      <c r="B308" s="79" t="s">
        <v>575</v>
      </c>
      <c r="C308" s="80"/>
      <c r="D308" s="80"/>
      <c r="E308" s="80" t="s">
        <v>338</v>
      </c>
      <c r="F308" s="80"/>
      <c r="G308" s="80" t="s">
        <v>106</v>
      </c>
      <c r="H308" s="80"/>
      <c r="I308" s="80"/>
      <c r="J308" s="80"/>
      <c r="K308" s="80"/>
      <c r="L308" s="81" t="str">
        <f aca="false">IF(K308="","",IFERROR(INDEX(BARDAGE!$C$7:$C$1506,MATCH(K308,BARDAGE!$B$7:$B$1506,0)),"? hors registre"))</f>
        <v/>
      </c>
      <c r="M308" s="80"/>
      <c r="N308" s="81" t="str">
        <f aca="false">IF(M308="","",IFERROR(INDEX(BARDAGE!$C$7:$C$1506,MATCH(M308,BARDAGE!$B$7:$B$1506,0)),"? hors registre"))</f>
        <v/>
      </c>
      <c r="O308" s="80"/>
      <c r="P308" s="80"/>
      <c r="Q308" s="80"/>
      <c r="R308" s="82"/>
      <c r="S308" s="82"/>
      <c r="T308" s="80"/>
      <c r="U308" s="80"/>
      <c r="V308" s="82"/>
      <c r="W308" s="80"/>
      <c r="X308" s="80"/>
      <c r="Y308" s="80"/>
      <c r="Z308" s="80"/>
      <c r="AA308" s="82"/>
      <c r="AB308" s="80"/>
      <c r="AC308" s="80"/>
      <c r="AD308" s="80"/>
      <c r="AE308" s="80"/>
      <c r="AF308" s="82"/>
      <c r="AG308" s="80"/>
      <c r="AH308" s="80"/>
      <c r="AI308" s="82"/>
      <c r="AJ308" s="79"/>
      <c r="AK308" s="78" t="n">
        <f aca="false">IF(E308="","",(X308&lt;&gt;"")+(AC308&lt;&gt;"")+(AH308&lt;&gt;""))</f>
        <v>0</v>
      </c>
      <c r="AL308" s="81" t="str">
        <f aca="false">IF(AH308&lt;&gt;"",AH308,IF(AC308&lt;&gt;"",AC308,IF(X308&lt;&gt;"",X308,"")))</f>
        <v/>
      </c>
      <c r="AM308" s="83" t="str">
        <f aca="false">IF(E308="","",IF(R308="","À SOUDER",IF(U308="","VT EN ATTENTE",IF(U308="R","VT REJETÉ – À REPRENDRE",IF(AL308="","À RADIOGRAPHIER",IF(AL308="A","ACCEPTÉ",IF(AL308="NX","NX – RT À REFAIRE",IF(IF(AK308=1,Z308,IF(AK308=2,AE308,""))="A","RÉPARÉ – À RADIOGRAPHIER",IF(IF(AK308=1,Z308,IF(AK308=2,AE308,""))="R","VT REJETÉ – À REPRENDRE",IF(OR(AL308="CO",AL308="NT"),"COUPE – À RESOUDER","À RÉPARER"))))))))))</f>
        <v>À SOUDER</v>
      </c>
      <c r="AN308" s="81" t="str">
        <f aca="false">IF(AND(ISNUMBER(R308),OR(AM308="À RADIOGRAPHIER",AM308="RÉPARÉ – À RADIOGRAPHIER",AM308="NX – RT À REFAIRE",AM308="À RÉPARER",AM308="COUPE – À RESOUDER",AM308="VT REJETÉ – À REPRENDRE")),MAX(0,'PROGRAMME RT'!$C$4-R308),"")</f>
        <v/>
      </c>
      <c r="AO308" s="78" t="n">
        <f aca="false">IF(AND(OR(AM308="À RADIOGRAPHIER",AM308="RÉPARÉ – À RADIOGRAPHIER",AM308="NX – RT À REFAIRE"),OR('PROGRAMME RT'!$D$5="TOUTES",B308='PROGRAMME RT'!$D$5)),1,0)</f>
        <v>0</v>
      </c>
      <c r="AP308" s="78" t="str">
        <f aca="false">IF(AO308=1,SUM(AO$7:AO308),"")</f>
        <v/>
      </c>
      <c r="AQ308" s="78" t="n">
        <f aca="false">IF(AND(OR(X308="R",X308="NX",X308="NT",X308="CO"),OR('JOINTS DE RÉPARATION'!$D$5="TOUTES",B308='JOINTS DE RÉPARATION'!$D$5),OR('JOINTS DE RÉPARATION'!$L$4="TOUS",AM308&lt;&gt;"ACCEPTÉ")),1,0)</f>
        <v>0</v>
      </c>
      <c r="AR308" s="78" t="str">
        <f aca="false">IF(AQ308=1,SUM(AQ$7:AQ308),"")</f>
        <v/>
      </c>
    </row>
    <row r="309" customFormat="false" ht="15" hidden="false" customHeight="false" outlineLevel="0" collapsed="false">
      <c r="A309" s="78" t="n">
        <f aca="false">IF(E309="","",ROW()-6)</f>
        <v>303</v>
      </c>
      <c r="B309" s="79" t="s">
        <v>575</v>
      </c>
      <c r="C309" s="80"/>
      <c r="D309" s="80"/>
      <c r="E309" s="80" t="s">
        <v>341</v>
      </c>
      <c r="F309" s="80"/>
      <c r="G309" s="80" t="s">
        <v>106</v>
      </c>
      <c r="H309" s="80"/>
      <c r="I309" s="80"/>
      <c r="J309" s="80"/>
      <c r="K309" s="80"/>
      <c r="L309" s="81" t="str">
        <f aca="false">IF(K309="","",IFERROR(INDEX(BARDAGE!$C$7:$C$1506,MATCH(K309,BARDAGE!$B$7:$B$1506,0)),"? hors registre"))</f>
        <v/>
      </c>
      <c r="M309" s="80"/>
      <c r="N309" s="81" t="str">
        <f aca="false">IF(M309="","",IFERROR(INDEX(BARDAGE!$C$7:$C$1506,MATCH(M309,BARDAGE!$B$7:$B$1506,0)),"? hors registre"))</f>
        <v/>
      </c>
      <c r="O309" s="80"/>
      <c r="P309" s="80"/>
      <c r="Q309" s="80"/>
      <c r="R309" s="82"/>
      <c r="S309" s="82"/>
      <c r="T309" s="80"/>
      <c r="U309" s="80"/>
      <c r="V309" s="82"/>
      <c r="W309" s="80"/>
      <c r="X309" s="80"/>
      <c r="Y309" s="80"/>
      <c r="Z309" s="80"/>
      <c r="AA309" s="82"/>
      <c r="AB309" s="80"/>
      <c r="AC309" s="80"/>
      <c r="AD309" s="80"/>
      <c r="AE309" s="80"/>
      <c r="AF309" s="82"/>
      <c r="AG309" s="80"/>
      <c r="AH309" s="80"/>
      <c r="AI309" s="82"/>
      <c r="AJ309" s="79"/>
      <c r="AK309" s="78" t="n">
        <f aca="false">IF(E309="","",(X309&lt;&gt;"")+(AC309&lt;&gt;"")+(AH309&lt;&gt;""))</f>
        <v>0</v>
      </c>
      <c r="AL309" s="81" t="str">
        <f aca="false">IF(AH309&lt;&gt;"",AH309,IF(AC309&lt;&gt;"",AC309,IF(X309&lt;&gt;"",X309,"")))</f>
        <v/>
      </c>
      <c r="AM309" s="83" t="str">
        <f aca="false">IF(E309="","",IF(R309="","À SOUDER",IF(U309="","VT EN ATTENTE",IF(U309="R","VT REJETÉ – À REPRENDRE",IF(AL309="","À RADIOGRAPHIER",IF(AL309="A","ACCEPTÉ",IF(AL309="NX","NX – RT À REFAIRE",IF(IF(AK309=1,Z309,IF(AK309=2,AE309,""))="A","RÉPARÉ – À RADIOGRAPHIER",IF(IF(AK309=1,Z309,IF(AK309=2,AE309,""))="R","VT REJETÉ – À REPRENDRE",IF(OR(AL309="CO",AL309="NT"),"COUPE – À RESOUDER","À RÉPARER"))))))))))</f>
        <v>À SOUDER</v>
      </c>
      <c r="AN309" s="81" t="str">
        <f aca="false">IF(AND(ISNUMBER(R309),OR(AM309="À RADIOGRAPHIER",AM309="RÉPARÉ – À RADIOGRAPHIER",AM309="NX – RT À REFAIRE",AM309="À RÉPARER",AM309="COUPE – À RESOUDER",AM309="VT REJETÉ – À REPRENDRE")),MAX(0,'PROGRAMME RT'!$C$4-R309),"")</f>
        <v/>
      </c>
      <c r="AO309" s="78" t="n">
        <f aca="false">IF(AND(OR(AM309="À RADIOGRAPHIER",AM309="RÉPARÉ – À RADIOGRAPHIER",AM309="NX – RT À REFAIRE"),OR('PROGRAMME RT'!$D$5="TOUTES",B309='PROGRAMME RT'!$D$5)),1,0)</f>
        <v>0</v>
      </c>
      <c r="AP309" s="78" t="str">
        <f aca="false">IF(AO309=1,SUM(AO$7:AO309),"")</f>
        <v/>
      </c>
      <c r="AQ309" s="78" t="n">
        <f aca="false">IF(AND(OR(X309="R",X309="NX",X309="NT",X309="CO"),OR('JOINTS DE RÉPARATION'!$D$5="TOUTES",B309='JOINTS DE RÉPARATION'!$D$5),OR('JOINTS DE RÉPARATION'!$L$4="TOUS",AM309&lt;&gt;"ACCEPTÉ")),1,0)</f>
        <v>0</v>
      </c>
      <c r="AR309" s="78" t="str">
        <f aca="false">IF(AQ309=1,SUM(AQ$7:AQ309),"")</f>
        <v/>
      </c>
    </row>
    <row r="310" customFormat="false" ht="15" hidden="false" customHeight="false" outlineLevel="0" collapsed="false">
      <c r="A310" s="78" t="n">
        <f aca="false">IF(E310="","",ROW()-6)</f>
        <v>304</v>
      </c>
      <c r="B310" s="79" t="s">
        <v>575</v>
      </c>
      <c r="C310" s="80"/>
      <c r="D310" s="80"/>
      <c r="E310" s="80" t="s">
        <v>343</v>
      </c>
      <c r="F310" s="80"/>
      <c r="G310" s="80" t="s">
        <v>106</v>
      </c>
      <c r="H310" s="80"/>
      <c r="I310" s="80"/>
      <c r="J310" s="80"/>
      <c r="K310" s="80"/>
      <c r="L310" s="81" t="str">
        <f aca="false">IF(K310="","",IFERROR(INDEX(BARDAGE!$C$7:$C$1506,MATCH(K310,BARDAGE!$B$7:$B$1506,0)),"? hors registre"))</f>
        <v/>
      </c>
      <c r="M310" s="80"/>
      <c r="N310" s="81" t="str">
        <f aca="false">IF(M310="","",IFERROR(INDEX(BARDAGE!$C$7:$C$1506,MATCH(M310,BARDAGE!$B$7:$B$1506,0)),"? hors registre"))</f>
        <v/>
      </c>
      <c r="O310" s="80"/>
      <c r="P310" s="80"/>
      <c r="Q310" s="80"/>
      <c r="R310" s="82"/>
      <c r="S310" s="82"/>
      <c r="T310" s="80"/>
      <c r="U310" s="80"/>
      <c r="V310" s="82"/>
      <c r="W310" s="80"/>
      <c r="X310" s="80"/>
      <c r="Y310" s="80"/>
      <c r="Z310" s="80"/>
      <c r="AA310" s="82"/>
      <c r="AB310" s="80"/>
      <c r="AC310" s="80"/>
      <c r="AD310" s="80"/>
      <c r="AE310" s="80"/>
      <c r="AF310" s="82"/>
      <c r="AG310" s="80"/>
      <c r="AH310" s="80"/>
      <c r="AI310" s="82"/>
      <c r="AJ310" s="79"/>
      <c r="AK310" s="78" t="n">
        <f aca="false">IF(E310="","",(X310&lt;&gt;"")+(AC310&lt;&gt;"")+(AH310&lt;&gt;""))</f>
        <v>0</v>
      </c>
      <c r="AL310" s="81" t="str">
        <f aca="false">IF(AH310&lt;&gt;"",AH310,IF(AC310&lt;&gt;"",AC310,IF(X310&lt;&gt;"",X310,"")))</f>
        <v/>
      </c>
      <c r="AM310" s="83" t="str">
        <f aca="false">IF(E310="","",IF(R310="","À SOUDER",IF(U310="","VT EN ATTENTE",IF(U310="R","VT REJETÉ – À REPRENDRE",IF(AL310="","À RADIOGRAPHIER",IF(AL310="A","ACCEPTÉ",IF(AL310="NX","NX – RT À REFAIRE",IF(IF(AK310=1,Z310,IF(AK310=2,AE310,""))="A","RÉPARÉ – À RADIOGRAPHIER",IF(IF(AK310=1,Z310,IF(AK310=2,AE310,""))="R","VT REJETÉ – À REPRENDRE",IF(OR(AL310="CO",AL310="NT"),"COUPE – À RESOUDER","À RÉPARER"))))))))))</f>
        <v>À SOUDER</v>
      </c>
      <c r="AN310" s="81" t="str">
        <f aca="false">IF(AND(ISNUMBER(R310),OR(AM310="À RADIOGRAPHIER",AM310="RÉPARÉ – À RADIOGRAPHIER",AM310="NX – RT À REFAIRE",AM310="À RÉPARER",AM310="COUPE – À RESOUDER",AM310="VT REJETÉ – À REPRENDRE")),MAX(0,'PROGRAMME RT'!$C$4-R310),"")</f>
        <v/>
      </c>
      <c r="AO310" s="78" t="n">
        <f aca="false">IF(AND(OR(AM310="À RADIOGRAPHIER",AM310="RÉPARÉ – À RADIOGRAPHIER",AM310="NX – RT À REFAIRE"),OR('PROGRAMME RT'!$D$5="TOUTES",B310='PROGRAMME RT'!$D$5)),1,0)</f>
        <v>0</v>
      </c>
      <c r="AP310" s="78" t="str">
        <f aca="false">IF(AO310=1,SUM(AO$7:AO310),"")</f>
        <v/>
      </c>
      <c r="AQ310" s="78" t="n">
        <f aca="false">IF(AND(OR(X310="R",X310="NX",X310="NT",X310="CO"),OR('JOINTS DE RÉPARATION'!$D$5="TOUTES",B310='JOINTS DE RÉPARATION'!$D$5),OR('JOINTS DE RÉPARATION'!$L$4="TOUS",AM310&lt;&gt;"ACCEPTÉ")),1,0)</f>
        <v>0</v>
      </c>
      <c r="AR310" s="78" t="str">
        <f aca="false">IF(AQ310=1,SUM(AQ$7:AQ310),"")</f>
        <v/>
      </c>
    </row>
    <row r="311" customFormat="false" ht="15" hidden="false" customHeight="false" outlineLevel="0" collapsed="false">
      <c r="A311" s="78" t="n">
        <f aca="false">IF(E311="","",ROW()-6)</f>
        <v>305</v>
      </c>
      <c r="B311" s="79" t="s">
        <v>575</v>
      </c>
      <c r="C311" s="80"/>
      <c r="D311" s="80"/>
      <c r="E311" s="80" t="s">
        <v>345</v>
      </c>
      <c r="F311" s="80"/>
      <c r="G311" s="80" t="s">
        <v>106</v>
      </c>
      <c r="H311" s="80"/>
      <c r="I311" s="80"/>
      <c r="J311" s="80"/>
      <c r="K311" s="80"/>
      <c r="L311" s="81" t="str">
        <f aca="false">IF(K311="","",IFERROR(INDEX(BARDAGE!$C$7:$C$1506,MATCH(K311,BARDAGE!$B$7:$B$1506,0)),"? hors registre"))</f>
        <v/>
      </c>
      <c r="M311" s="80"/>
      <c r="N311" s="81" t="str">
        <f aca="false">IF(M311="","",IFERROR(INDEX(BARDAGE!$C$7:$C$1506,MATCH(M311,BARDAGE!$B$7:$B$1506,0)),"? hors registre"))</f>
        <v/>
      </c>
      <c r="O311" s="80"/>
      <c r="P311" s="80"/>
      <c r="Q311" s="80"/>
      <c r="R311" s="82"/>
      <c r="S311" s="82"/>
      <c r="T311" s="80"/>
      <c r="U311" s="80"/>
      <c r="V311" s="82"/>
      <c r="W311" s="80"/>
      <c r="X311" s="80"/>
      <c r="Y311" s="80"/>
      <c r="Z311" s="80"/>
      <c r="AA311" s="82"/>
      <c r="AB311" s="80"/>
      <c r="AC311" s="80"/>
      <c r="AD311" s="80"/>
      <c r="AE311" s="80"/>
      <c r="AF311" s="82"/>
      <c r="AG311" s="80"/>
      <c r="AH311" s="80"/>
      <c r="AI311" s="82"/>
      <c r="AJ311" s="79"/>
      <c r="AK311" s="78" t="n">
        <f aca="false">IF(E311="","",(X311&lt;&gt;"")+(AC311&lt;&gt;"")+(AH311&lt;&gt;""))</f>
        <v>0</v>
      </c>
      <c r="AL311" s="81" t="str">
        <f aca="false">IF(AH311&lt;&gt;"",AH311,IF(AC311&lt;&gt;"",AC311,IF(X311&lt;&gt;"",X311,"")))</f>
        <v/>
      </c>
      <c r="AM311" s="83" t="str">
        <f aca="false">IF(E311="","",IF(R311="","À SOUDER",IF(U311="","VT EN ATTENTE",IF(U311="R","VT REJETÉ – À REPRENDRE",IF(AL311="","À RADIOGRAPHIER",IF(AL311="A","ACCEPTÉ",IF(AL311="NX","NX – RT À REFAIRE",IF(IF(AK311=1,Z311,IF(AK311=2,AE311,""))="A","RÉPARÉ – À RADIOGRAPHIER",IF(IF(AK311=1,Z311,IF(AK311=2,AE311,""))="R","VT REJETÉ – À REPRENDRE",IF(OR(AL311="CO",AL311="NT"),"COUPE – À RESOUDER","À RÉPARER"))))))))))</f>
        <v>À SOUDER</v>
      </c>
      <c r="AN311" s="81" t="str">
        <f aca="false">IF(AND(ISNUMBER(R311),OR(AM311="À RADIOGRAPHIER",AM311="RÉPARÉ – À RADIOGRAPHIER",AM311="NX – RT À REFAIRE",AM311="À RÉPARER",AM311="COUPE – À RESOUDER",AM311="VT REJETÉ – À REPRENDRE")),MAX(0,'PROGRAMME RT'!$C$4-R311),"")</f>
        <v/>
      </c>
      <c r="AO311" s="78" t="n">
        <f aca="false">IF(AND(OR(AM311="À RADIOGRAPHIER",AM311="RÉPARÉ – À RADIOGRAPHIER",AM311="NX – RT À REFAIRE"),OR('PROGRAMME RT'!$D$5="TOUTES",B311='PROGRAMME RT'!$D$5)),1,0)</f>
        <v>0</v>
      </c>
      <c r="AP311" s="78" t="str">
        <f aca="false">IF(AO311=1,SUM(AO$7:AO311),"")</f>
        <v/>
      </c>
      <c r="AQ311" s="78" t="n">
        <f aca="false">IF(AND(OR(X311="R",X311="NX",X311="NT",X311="CO"),OR('JOINTS DE RÉPARATION'!$D$5="TOUTES",B311='JOINTS DE RÉPARATION'!$D$5),OR('JOINTS DE RÉPARATION'!$L$4="TOUS",AM311&lt;&gt;"ACCEPTÉ")),1,0)</f>
        <v>0</v>
      </c>
      <c r="AR311" s="78" t="str">
        <f aca="false">IF(AQ311=1,SUM(AQ$7:AQ311),"")</f>
        <v/>
      </c>
    </row>
    <row r="312" customFormat="false" ht="15" hidden="false" customHeight="false" outlineLevel="0" collapsed="false">
      <c r="A312" s="78" t="n">
        <f aca="false">IF(E312="","",ROW()-6)</f>
        <v>306</v>
      </c>
      <c r="B312" s="79" t="s">
        <v>575</v>
      </c>
      <c r="C312" s="80"/>
      <c r="D312" s="80"/>
      <c r="E312" s="80" t="s">
        <v>348</v>
      </c>
      <c r="F312" s="80"/>
      <c r="G312" s="80" t="s">
        <v>106</v>
      </c>
      <c r="H312" s="80"/>
      <c r="I312" s="80"/>
      <c r="J312" s="80"/>
      <c r="K312" s="80"/>
      <c r="L312" s="81" t="str">
        <f aca="false">IF(K312="","",IFERROR(INDEX(BARDAGE!$C$7:$C$1506,MATCH(K312,BARDAGE!$B$7:$B$1506,0)),"? hors registre"))</f>
        <v/>
      </c>
      <c r="M312" s="80"/>
      <c r="N312" s="81" t="str">
        <f aca="false">IF(M312="","",IFERROR(INDEX(BARDAGE!$C$7:$C$1506,MATCH(M312,BARDAGE!$B$7:$B$1506,0)),"? hors registre"))</f>
        <v/>
      </c>
      <c r="O312" s="80"/>
      <c r="P312" s="80"/>
      <c r="Q312" s="80"/>
      <c r="R312" s="82"/>
      <c r="S312" s="82"/>
      <c r="T312" s="80"/>
      <c r="U312" s="80"/>
      <c r="V312" s="82"/>
      <c r="W312" s="80"/>
      <c r="X312" s="80"/>
      <c r="Y312" s="80"/>
      <c r="Z312" s="80"/>
      <c r="AA312" s="82"/>
      <c r="AB312" s="80"/>
      <c r="AC312" s="80"/>
      <c r="AD312" s="80"/>
      <c r="AE312" s="80"/>
      <c r="AF312" s="82"/>
      <c r="AG312" s="80"/>
      <c r="AH312" s="80"/>
      <c r="AI312" s="82"/>
      <c r="AJ312" s="79"/>
      <c r="AK312" s="78" t="n">
        <f aca="false">IF(E312="","",(X312&lt;&gt;"")+(AC312&lt;&gt;"")+(AH312&lt;&gt;""))</f>
        <v>0</v>
      </c>
      <c r="AL312" s="81" t="str">
        <f aca="false">IF(AH312&lt;&gt;"",AH312,IF(AC312&lt;&gt;"",AC312,IF(X312&lt;&gt;"",X312,"")))</f>
        <v/>
      </c>
      <c r="AM312" s="83" t="str">
        <f aca="false">IF(E312="","",IF(R312="","À SOUDER",IF(U312="","VT EN ATTENTE",IF(U312="R","VT REJETÉ – À REPRENDRE",IF(AL312="","À RADIOGRAPHIER",IF(AL312="A","ACCEPTÉ",IF(AL312="NX","NX – RT À REFAIRE",IF(IF(AK312=1,Z312,IF(AK312=2,AE312,""))="A","RÉPARÉ – À RADIOGRAPHIER",IF(IF(AK312=1,Z312,IF(AK312=2,AE312,""))="R","VT REJETÉ – À REPRENDRE",IF(OR(AL312="CO",AL312="NT"),"COUPE – À RESOUDER","À RÉPARER"))))))))))</f>
        <v>À SOUDER</v>
      </c>
      <c r="AN312" s="81" t="str">
        <f aca="false">IF(AND(ISNUMBER(R312),OR(AM312="À RADIOGRAPHIER",AM312="RÉPARÉ – À RADIOGRAPHIER",AM312="NX – RT À REFAIRE",AM312="À RÉPARER",AM312="COUPE – À RESOUDER",AM312="VT REJETÉ – À REPRENDRE")),MAX(0,'PROGRAMME RT'!$C$4-R312),"")</f>
        <v/>
      </c>
      <c r="AO312" s="78" t="n">
        <f aca="false">IF(AND(OR(AM312="À RADIOGRAPHIER",AM312="RÉPARÉ – À RADIOGRAPHIER",AM312="NX – RT À REFAIRE"),OR('PROGRAMME RT'!$D$5="TOUTES",B312='PROGRAMME RT'!$D$5)),1,0)</f>
        <v>0</v>
      </c>
      <c r="AP312" s="78" t="str">
        <f aca="false">IF(AO312=1,SUM(AO$7:AO312),"")</f>
        <v/>
      </c>
      <c r="AQ312" s="78" t="n">
        <f aca="false">IF(AND(OR(X312="R",X312="NX",X312="NT",X312="CO"),OR('JOINTS DE RÉPARATION'!$D$5="TOUTES",B312='JOINTS DE RÉPARATION'!$D$5),OR('JOINTS DE RÉPARATION'!$L$4="TOUS",AM312&lt;&gt;"ACCEPTÉ")),1,0)</f>
        <v>0</v>
      </c>
      <c r="AR312" s="78" t="str">
        <f aca="false">IF(AQ312=1,SUM(AQ$7:AQ312),"")</f>
        <v/>
      </c>
    </row>
    <row r="313" customFormat="false" ht="15" hidden="false" customHeight="false" outlineLevel="0" collapsed="false">
      <c r="A313" s="78" t="n">
        <f aca="false">IF(E313="","",ROW()-6)</f>
        <v>307</v>
      </c>
      <c r="B313" s="79" t="s">
        <v>575</v>
      </c>
      <c r="C313" s="80"/>
      <c r="D313" s="80"/>
      <c r="E313" s="80" t="s">
        <v>350</v>
      </c>
      <c r="F313" s="80"/>
      <c r="G313" s="80" t="s">
        <v>106</v>
      </c>
      <c r="H313" s="80"/>
      <c r="I313" s="80"/>
      <c r="J313" s="80"/>
      <c r="K313" s="80"/>
      <c r="L313" s="81" t="str">
        <f aca="false">IF(K313="","",IFERROR(INDEX(BARDAGE!$C$7:$C$1506,MATCH(K313,BARDAGE!$B$7:$B$1506,0)),"? hors registre"))</f>
        <v/>
      </c>
      <c r="M313" s="80"/>
      <c r="N313" s="81" t="str">
        <f aca="false">IF(M313="","",IFERROR(INDEX(BARDAGE!$C$7:$C$1506,MATCH(M313,BARDAGE!$B$7:$B$1506,0)),"? hors registre"))</f>
        <v/>
      </c>
      <c r="O313" s="80"/>
      <c r="P313" s="80"/>
      <c r="Q313" s="80"/>
      <c r="R313" s="82"/>
      <c r="S313" s="82"/>
      <c r="T313" s="80"/>
      <c r="U313" s="80"/>
      <c r="V313" s="82"/>
      <c r="W313" s="80"/>
      <c r="X313" s="80"/>
      <c r="Y313" s="80"/>
      <c r="Z313" s="80"/>
      <c r="AA313" s="82"/>
      <c r="AB313" s="80"/>
      <c r="AC313" s="80"/>
      <c r="AD313" s="80"/>
      <c r="AE313" s="80"/>
      <c r="AF313" s="82"/>
      <c r="AG313" s="80"/>
      <c r="AH313" s="80"/>
      <c r="AI313" s="82"/>
      <c r="AJ313" s="79"/>
      <c r="AK313" s="78" t="n">
        <f aca="false">IF(E313="","",(X313&lt;&gt;"")+(AC313&lt;&gt;"")+(AH313&lt;&gt;""))</f>
        <v>0</v>
      </c>
      <c r="AL313" s="81" t="str">
        <f aca="false">IF(AH313&lt;&gt;"",AH313,IF(AC313&lt;&gt;"",AC313,IF(X313&lt;&gt;"",X313,"")))</f>
        <v/>
      </c>
      <c r="AM313" s="83" t="str">
        <f aca="false">IF(E313="","",IF(R313="","À SOUDER",IF(U313="","VT EN ATTENTE",IF(U313="R","VT REJETÉ – À REPRENDRE",IF(AL313="","À RADIOGRAPHIER",IF(AL313="A","ACCEPTÉ",IF(AL313="NX","NX – RT À REFAIRE",IF(IF(AK313=1,Z313,IF(AK313=2,AE313,""))="A","RÉPARÉ – À RADIOGRAPHIER",IF(IF(AK313=1,Z313,IF(AK313=2,AE313,""))="R","VT REJETÉ – À REPRENDRE",IF(OR(AL313="CO",AL313="NT"),"COUPE – À RESOUDER","À RÉPARER"))))))))))</f>
        <v>À SOUDER</v>
      </c>
      <c r="AN313" s="81" t="str">
        <f aca="false">IF(AND(ISNUMBER(R313),OR(AM313="À RADIOGRAPHIER",AM313="RÉPARÉ – À RADIOGRAPHIER",AM313="NX – RT À REFAIRE",AM313="À RÉPARER",AM313="COUPE – À RESOUDER",AM313="VT REJETÉ – À REPRENDRE")),MAX(0,'PROGRAMME RT'!$C$4-R313),"")</f>
        <v/>
      </c>
      <c r="AO313" s="78" t="n">
        <f aca="false">IF(AND(OR(AM313="À RADIOGRAPHIER",AM313="RÉPARÉ – À RADIOGRAPHIER",AM313="NX – RT À REFAIRE"),OR('PROGRAMME RT'!$D$5="TOUTES",B313='PROGRAMME RT'!$D$5)),1,0)</f>
        <v>0</v>
      </c>
      <c r="AP313" s="78" t="str">
        <f aca="false">IF(AO313=1,SUM(AO$7:AO313),"")</f>
        <v/>
      </c>
      <c r="AQ313" s="78" t="n">
        <f aca="false">IF(AND(OR(X313="R",X313="NX",X313="NT",X313="CO"),OR('JOINTS DE RÉPARATION'!$D$5="TOUTES",B313='JOINTS DE RÉPARATION'!$D$5),OR('JOINTS DE RÉPARATION'!$L$4="TOUS",AM313&lt;&gt;"ACCEPTÉ")),1,0)</f>
        <v>0</v>
      </c>
      <c r="AR313" s="78" t="str">
        <f aca="false">IF(AQ313=1,SUM(AQ$7:AQ313),"")</f>
        <v/>
      </c>
    </row>
    <row r="314" customFormat="false" ht="15" hidden="false" customHeight="false" outlineLevel="0" collapsed="false">
      <c r="A314" s="78" t="n">
        <f aca="false">IF(E314="","",ROW()-6)</f>
        <v>308</v>
      </c>
      <c r="B314" s="79" t="s">
        <v>575</v>
      </c>
      <c r="C314" s="80"/>
      <c r="D314" s="80"/>
      <c r="E314" s="80" t="s">
        <v>352</v>
      </c>
      <c r="F314" s="80"/>
      <c r="G314" s="80" t="s">
        <v>106</v>
      </c>
      <c r="H314" s="80"/>
      <c r="I314" s="80"/>
      <c r="J314" s="80"/>
      <c r="K314" s="80"/>
      <c r="L314" s="81" t="str">
        <f aca="false">IF(K314="","",IFERROR(INDEX(BARDAGE!$C$7:$C$1506,MATCH(K314,BARDAGE!$B$7:$B$1506,0)),"? hors registre"))</f>
        <v/>
      </c>
      <c r="M314" s="80"/>
      <c r="N314" s="81" t="str">
        <f aca="false">IF(M314="","",IFERROR(INDEX(BARDAGE!$C$7:$C$1506,MATCH(M314,BARDAGE!$B$7:$B$1506,0)),"? hors registre"))</f>
        <v/>
      </c>
      <c r="O314" s="80"/>
      <c r="P314" s="80"/>
      <c r="Q314" s="80"/>
      <c r="R314" s="82"/>
      <c r="S314" s="82"/>
      <c r="T314" s="80"/>
      <c r="U314" s="80"/>
      <c r="V314" s="82"/>
      <c r="W314" s="80"/>
      <c r="X314" s="80"/>
      <c r="Y314" s="80"/>
      <c r="Z314" s="80"/>
      <c r="AA314" s="82"/>
      <c r="AB314" s="80"/>
      <c r="AC314" s="80"/>
      <c r="AD314" s="80"/>
      <c r="AE314" s="80"/>
      <c r="AF314" s="82"/>
      <c r="AG314" s="80"/>
      <c r="AH314" s="80"/>
      <c r="AI314" s="82"/>
      <c r="AJ314" s="79"/>
      <c r="AK314" s="78" t="n">
        <f aca="false">IF(E314="","",(X314&lt;&gt;"")+(AC314&lt;&gt;"")+(AH314&lt;&gt;""))</f>
        <v>0</v>
      </c>
      <c r="AL314" s="81" t="str">
        <f aca="false">IF(AH314&lt;&gt;"",AH314,IF(AC314&lt;&gt;"",AC314,IF(X314&lt;&gt;"",X314,"")))</f>
        <v/>
      </c>
      <c r="AM314" s="83" t="str">
        <f aca="false">IF(E314="","",IF(R314="","À SOUDER",IF(U314="","VT EN ATTENTE",IF(U314="R","VT REJETÉ – À REPRENDRE",IF(AL314="","À RADIOGRAPHIER",IF(AL314="A","ACCEPTÉ",IF(AL314="NX","NX – RT À REFAIRE",IF(IF(AK314=1,Z314,IF(AK314=2,AE314,""))="A","RÉPARÉ – À RADIOGRAPHIER",IF(IF(AK314=1,Z314,IF(AK314=2,AE314,""))="R","VT REJETÉ – À REPRENDRE",IF(OR(AL314="CO",AL314="NT"),"COUPE – À RESOUDER","À RÉPARER"))))))))))</f>
        <v>À SOUDER</v>
      </c>
      <c r="AN314" s="81" t="str">
        <f aca="false">IF(AND(ISNUMBER(R314),OR(AM314="À RADIOGRAPHIER",AM314="RÉPARÉ – À RADIOGRAPHIER",AM314="NX – RT À REFAIRE",AM314="À RÉPARER",AM314="COUPE – À RESOUDER",AM314="VT REJETÉ – À REPRENDRE")),MAX(0,'PROGRAMME RT'!$C$4-R314),"")</f>
        <v/>
      </c>
      <c r="AO314" s="78" t="n">
        <f aca="false">IF(AND(OR(AM314="À RADIOGRAPHIER",AM314="RÉPARÉ – À RADIOGRAPHIER",AM314="NX – RT À REFAIRE"),OR('PROGRAMME RT'!$D$5="TOUTES",B314='PROGRAMME RT'!$D$5)),1,0)</f>
        <v>0</v>
      </c>
      <c r="AP314" s="78" t="str">
        <f aca="false">IF(AO314=1,SUM(AO$7:AO314),"")</f>
        <v/>
      </c>
      <c r="AQ314" s="78" t="n">
        <f aca="false">IF(AND(OR(X314="R",X314="NX",X314="NT",X314="CO"),OR('JOINTS DE RÉPARATION'!$D$5="TOUTES",B314='JOINTS DE RÉPARATION'!$D$5),OR('JOINTS DE RÉPARATION'!$L$4="TOUS",AM314&lt;&gt;"ACCEPTÉ")),1,0)</f>
        <v>0</v>
      </c>
      <c r="AR314" s="78" t="str">
        <f aca="false">IF(AQ314=1,SUM(AQ$7:AQ314),"")</f>
        <v/>
      </c>
    </row>
    <row r="315" customFormat="false" ht="15" hidden="false" customHeight="false" outlineLevel="0" collapsed="false">
      <c r="A315" s="78" t="n">
        <f aca="false">IF(E315="","",ROW()-6)</f>
        <v>309</v>
      </c>
      <c r="B315" s="79" t="s">
        <v>575</v>
      </c>
      <c r="C315" s="80"/>
      <c r="D315" s="80"/>
      <c r="E315" s="80" t="s">
        <v>580</v>
      </c>
      <c r="F315" s="80"/>
      <c r="G315" s="80" t="s">
        <v>106</v>
      </c>
      <c r="H315" s="80"/>
      <c r="I315" s="80"/>
      <c r="J315" s="80"/>
      <c r="K315" s="80"/>
      <c r="L315" s="81" t="str">
        <f aca="false">IF(K315="","",IFERROR(INDEX(BARDAGE!$C$7:$C$1506,MATCH(K315,BARDAGE!$B$7:$B$1506,0)),"? hors registre"))</f>
        <v/>
      </c>
      <c r="M315" s="80"/>
      <c r="N315" s="81" t="str">
        <f aca="false">IF(M315="","",IFERROR(INDEX(BARDAGE!$C$7:$C$1506,MATCH(M315,BARDAGE!$B$7:$B$1506,0)),"? hors registre"))</f>
        <v/>
      </c>
      <c r="O315" s="80"/>
      <c r="P315" s="80"/>
      <c r="Q315" s="80"/>
      <c r="R315" s="82"/>
      <c r="S315" s="82"/>
      <c r="T315" s="80"/>
      <c r="U315" s="80"/>
      <c r="V315" s="82"/>
      <c r="W315" s="80"/>
      <c r="X315" s="80"/>
      <c r="Y315" s="80"/>
      <c r="Z315" s="80"/>
      <c r="AA315" s="82"/>
      <c r="AB315" s="80"/>
      <c r="AC315" s="80"/>
      <c r="AD315" s="80"/>
      <c r="AE315" s="80"/>
      <c r="AF315" s="82"/>
      <c r="AG315" s="80"/>
      <c r="AH315" s="80"/>
      <c r="AI315" s="82"/>
      <c r="AJ315" s="79"/>
      <c r="AK315" s="78" t="n">
        <f aca="false">IF(E315="","",(X315&lt;&gt;"")+(AC315&lt;&gt;"")+(AH315&lt;&gt;""))</f>
        <v>0</v>
      </c>
      <c r="AL315" s="81" t="str">
        <f aca="false">IF(AH315&lt;&gt;"",AH315,IF(AC315&lt;&gt;"",AC315,IF(X315&lt;&gt;"",X315,"")))</f>
        <v/>
      </c>
      <c r="AM315" s="83" t="str">
        <f aca="false">IF(E315="","",IF(R315="","À SOUDER",IF(U315="","VT EN ATTENTE",IF(U315="R","VT REJETÉ – À REPRENDRE",IF(AL315="","À RADIOGRAPHIER",IF(AL315="A","ACCEPTÉ",IF(AL315="NX","NX – RT À REFAIRE",IF(IF(AK315=1,Z315,IF(AK315=2,AE315,""))="A","RÉPARÉ – À RADIOGRAPHIER",IF(IF(AK315=1,Z315,IF(AK315=2,AE315,""))="R","VT REJETÉ – À REPRENDRE",IF(OR(AL315="CO",AL315="NT"),"COUPE – À RESOUDER","À RÉPARER"))))))))))</f>
        <v>À SOUDER</v>
      </c>
      <c r="AN315" s="81" t="str">
        <f aca="false">IF(AND(ISNUMBER(R315),OR(AM315="À RADIOGRAPHIER",AM315="RÉPARÉ – À RADIOGRAPHIER",AM315="NX – RT À REFAIRE",AM315="À RÉPARER",AM315="COUPE – À RESOUDER",AM315="VT REJETÉ – À REPRENDRE")),MAX(0,'PROGRAMME RT'!$C$4-R315),"")</f>
        <v/>
      </c>
      <c r="AO315" s="78" t="n">
        <f aca="false">IF(AND(OR(AM315="À RADIOGRAPHIER",AM315="RÉPARÉ – À RADIOGRAPHIER",AM315="NX – RT À REFAIRE"),OR('PROGRAMME RT'!$D$5="TOUTES",B315='PROGRAMME RT'!$D$5)),1,0)</f>
        <v>0</v>
      </c>
      <c r="AP315" s="78" t="str">
        <f aca="false">IF(AO315=1,SUM(AO$7:AO315),"")</f>
        <v/>
      </c>
      <c r="AQ315" s="78" t="n">
        <f aca="false">IF(AND(OR(X315="R",X315="NX",X315="NT",X315="CO"),OR('JOINTS DE RÉPARATION'!$D$5="TOUTES",B315='JOINTS DE RÉPARATION'!$D$5),OR('JOINTS DE RÉPARATION'!$L$4="TOUS",AM315&lt;&gt;"ACCEPTÉ")),1,0)</f>
        <v>0</v>
      </c>
      <c r="AR315" s="78" t="str">
        <f aca="false">IF(AQ315=1,SUM(AQ$7:AQ315),"")</f>
        <v/>
      </c>
    </row>
    <row r="316" customFormat="false" ht="15" hidden="false" customHeight="false" outlineLevel="0" collapsed="false">
      <c r="A316" s="78" t="n">
        <f aca="false">IF(E316="","",ROW()-6)</f>
        <v>310</v>
      </c>
      <c r="B316" s="79" t="s">
        <v>575</v>
      </c>
      <c r="C316" s="80"/>
      <c r="D316" s="80"/>
      <c r="E316" s="80" t="s">
        <v>357</v>
      </c>
      <c r="F316" s="80"/>
      <c r="G316" s="80" t="s">
        <v>106</v>
      </c>
      <c r="H316" s="80"/>
      <c r="I316" s="80"/>
      <c r="J316" s="80"/>
      <c r="K316" s="80"/>
      <c r="L316" s="81" t="str">
        <f aca="false">IF(K316="","",IFERROR(INDEX(BARDAGE!$C$7:$C$1506,MATCH(K316,BARDAGE!$B$7:$B$1506,0)),"? hors registre"))</f>
        <v/>
      </c>
      <c r="M316" s="80"/>
      <c r="N316" s="81" t="str">
        <f aca="false">IF(M316="","",IFERROR(INDEX(BARDAGE!$C$7:$C$1506,MATCH(M316,BARDAGE!$B$7:$B$1506,0)),"? hors registre"))</f>
        <v/>
      </c>
      <c r="O316" s="80"/>
      <c r="P316" s="80"/>
      <c r="Q316" s="80"/>
      <c r="R316" s="82"/>
      <c r="S316" s="82"/>
      <c r="T316" s="80"/>
      <c r="U316" s="80"/>
      <c r="V316" s="82"/>
      <c r="W316" s="80"/>
      <c r="X316" s="80"/>
      <c r="Y316" s="80"/>
      <c r="Z316" s="80"/>
      <c r="AA316" s="82"/>
      <c r="AB316" s="80"/>
      <c r="AC316" s="80"/>
      <c r="AD316" s="80"/>
      <c r="AE316" s="80"/>
      <c r="AF316" s="82"/>
      <c r="AG316" s="80"/>
      <c r="AH316" s="80"/>
      <c r="AI316" s="82"/>
      <c r="AJ316" s="79"/>
      <c r="AK316" s="78" t="n">
        <f aca="false">IF(E316="","",(X316&lt;&gt;"")+(AC316&lt;&gt;"")+(AH316&lt;&gt;""))</f>
        <v>0</v>
      </c>
      <c r="AL316" s="81" t="str">
        <f aca="false">IF(AH316&lt;&gt;"",AH316,IF(AC316&lt;&gt;"",AC316,IF(X316&lt;&gt;"",X316,"")))</f>
        <v/>
      </c>
      <c r="AM316" s="83" t="str">
        <f aca="false">IF(E316="","",IF(R316="","À SOUDER",IF(U316="","VT EN ATTENTE",IF(U316="R","VT REJETÉ – À REPRENDRE",IF(AL316="","À RADIOGRAPHIER",IF(AL316="A","ACCEPTÉ",IF(AL316="NX","NX – RT À REFAIRE",IF(IF(AK316=1,Z316,IF(AK316=2,AE316,""))="A","RÉPARÉ – À RADIOGRAPHIER",IF(IF(AK316=1,Z316,IF(AK316=2,AE316,""))="R","VT REJETÉ – À REPRENDRE",IF(OR(AL316="CO",AL316="NT"),"COUPE – À RESOUDER","À RÉPARER"))))))))))</f>
        <v>À SOUDER</v>
      </c>
      <c r="AN316" s="81" t="str">
        <f aca="false">IF(AND(ISNUMBER(R316),OR(AM316="À RADIOGRAPHIER",AM316="RÉPARÉ – À RADIOGRAPHIER",AM316="NX – RT À REFAIRE",AM316="À RÉPARER",AM316="COUPE – À RESOUDER",AM316="VT REJETÉ – À REPRENDRE")),MAX(0,'PROGRAMME RT'!$C$4-R316),"")</f>
        <v/>
      </c>
      <c r="AO316" s="78" t="n">
        <f aca="false">IF(AND(OR(AM316="À RADIOGRAPHIER",AM316="RÉPARÉ – À RADIOGRAPHIER",AM316="NX – RT À REFAIRE"),OR('PROGRAMME RT'!$D$5="TOUTES",B316='PROGRAMME RT'!$D$5)),1,0)</f>
        <v>0</v>
      </c>
      <c r="AP316" s="78" t="str">
        <f aca="false">IF(AO316=1,SUM(AO$7:AO316),"")</f>
        <v/>
      </c>
      <c r="AQ316" s="78" t="n">
        <f aca="false">IF(AND(OR(X316="R",X316="NX",X316="NT",X316="CO"),OR('JOINTS DE RÉPARATION'!$D$5="TOUTES",B316='JOINTS DE RÉPARATION'!$D$5),OR('JOINTS DE RÉPARATION'!$L$4="TOUS",AM316&lt;&gt;"ACCEPTÉ")),1,0)</f>
        <v>0</v>
      </c>
      <c r="AR316" s="78" t="str">
        <f aca="false">IF(AQ316=1,SUM(AQ$7:AQ316),"")</f>
        <v/>
      </c>
    </row>
    <row r="317" customFormat="false" ht="15" hidden="false" customHeight="false" outlineLevel="0" collapsed="false">
      <c r="A317" s="78" t="n">
        <f aca="false">IF(E317="","",ROW()-6)</f>
        <v>311</v>
      </c>
      <c r="B317" s="79" t="s">
        <v>575</v>
      </c>
      <c r="C317" s="80"/>
      <c r="D317" s="80"/>
      <c r="E317" s="80" t="s">
        <v>359</v>
      </c>
      <c r="F317" s="80"/>
      <c r="G317" s="80" t="s">
        <v>106</v>
      </c>
      <c r="H317" s="80"/>
      <c r="I317" s="80"/>
      <c r="J317" s="80"/>
      <c r="K317" s="80"/>
      <c r="L317" s="81" t="str">
        <f aca="false">IF(K317="","",IFERROR(INDEX(BARDAGE!$C$7:$C$1506,MATCH(K317,BARDAGE!$B$7:$B$1506,0)),"? hors registre"))</f>
        <v/>
      </c>
      <c r="M317" s="80"/>
      <c r="N317" s="81" t="str">
        <f aca="false">IF(M317="","",IFERROR(INDEX(BARDAGE!$C$7:$C$1506,MATCH(M317,BARDAGE!$B$7:$B$1506,0)),"? hors registre"))</f>
        <v/>
      </c>
      <c r="O317" s="80"/>
      <c r="P317" s="80"/>
      <c r="Q317" s="80"/>
      <c r="R317" s="82"/>
      <c r="S317" s="82"/>
      <c r="T317" s="80"/>
      <c r="U317" s="80"/>
      <c r="V317" s="82"/>
      <c r="W317" s="80"/>
      <c r="X317" s="80"/>
      <c r="Y317" s="80"/>
      <c r="Z317" s="80"/>
      <c r="AA317" s="82"/>
      <c r="AB317" s="80"/>
      <c r="AC317" s="80"/>
      <c r="AD317" s="80"/>
      <c r="AE317" s="80"/>
      <c r="AF317" s="82"/>
      <c r="AG317" s="80"/>
      <c r="AH317" s="80"/>
      <c r="AI317" s="82"/>
      <c r="AJ317" s="79"/>
      <c r="AK317" s="78" t="n">
        <f aca="false">IF(E317="","",(X317&lt;&gt;"")+(AC317&lt;&gt;"")+(AH317&lt;&gt;""))</f>
        <v>0</v>
      </c>
      <c r="AL317" s="81" t="str">
        <f aca="false">IF(AH317&lt;&gt;"",AH317,IF(AC317&lt;&gt;"",AC317,IF(X317&lt;&gt;"",X317,"")))</f>
        <v/>
      </c>
      <c r="AM317" s="83" t="str">
        <f aca="false">IF(E317="","",IF(R317="","À SOUDER",IF(U317="","VT EN ATTENTE",IF(U317="R","VT REJETÉ – À REPRENDRE",IF(AL317="","À RADIOGRAPHIER",IF(AL317="A","ACCEPTÉ",IF(AL317="NX","NX – RT À REFAIRE",IF(IF(AK317=1,Z317,IF(AK317=2,AE317,""))="A","RÉPARÉ – À RADIOGRAPHIER",IF(IF(AK317=1,Z317,IF(AK317=2,AE317,""))="R","VT REJETÉ – À REPRENDRE",IF(OR(AL317="CO",AL317="NT"),"COUPE – À RESOUDER","À RÉPARER"))))))))))</f>
        <v>À SOUDER</v>
      </c>
      <c r="AN317" s="81" t="str">
        <f aca="false">IF(AND(ISNUMBER(R317),OR(AM317="À RADIOGRAPHIER",AM317="RÉPARÉ – À RADIOGRAPHIER",AM317="NX – RT À REFAIRE",AM317="À RÉPARER",AM317="COUPE – À RESOUDER",AM317="VT REJETÉ – À REPRENDRE")),MAX(0,'PROGRAMME RT'!$C$4-R317),"")</f>
        <v/>
      </c>
      <c r="AO317" s="78" t="n">
        <f aca="false">IF(AND(OR(AM317="À RADIOGRAPHIER",AM317="RÉPARÉ – À RADIOGRAPHIER",AM317="NX – RT À REFAIRE"),OR('PROGRAMME RT'!$D$5="TOUTES",B317='PROGRAMME RT'!$D$5)),1,0)</f>
        <v>0</v>
      </c>
      <c r="AP317" s="78" t="str">
        <f aca="false">IF(AO317=1,SUM(AO$7:AO317),"")</f>
        <v/>
      </c>
      <c r="AQ317" s="78" t="n">
        <f aca="false">IF(AND(OR(X317="R",X317="NX",X317="NT",X317="CO"),OR('JOINTS DE RÉPARATION'!$D$5="TOUTES",B317='JOINTS DE RÉPARATION'!$D$5),OR('JOINTS DE RÉPARATION'!$L$4="TOUS",AM317&lt;&gt;"ACCEPTÉ")),1,0)</f>
        <v>0</v>
      </c>
      <c r="AR317" s="78" t="str">
        <f aca="false">IF(AQ317=1,SUM(AQ$7:AQ317),"")</f>
        <v/>
      </c>
    </row>
    <row r="318" customFormat="false" ht="15" hidden="false" customHeight="false" outlineLevel="0" collapsed="false">
      <c r="A318" s="78" t="n">
        <f aca="false">IF(E318="","",ROW()-6)</f>
        <v>312</v>
      </c>
      <c r="B318" s="79" t="s">
        <v>575</v>
      </c>
      <c r="C318" s="80"/>
      <c r="D318" s="80"/>
      <c r="E318" s="80" t="s">
        <v>361</v>
      </c>
      <c r="F318" s="80"/>
      <c r="G318" s="80" t="s">
        <v>106</v>
      </c>
      <c r="H318" s="80"/>
      <c r="I318" s="80"/>
      <c r="J318" s="80"/>
      <c r="K318" s="80"/>
      <c r="L318" s="81" t="str">
        <f aca="false">IF(K318="","",IFERROR(INDEX(BARDAGE!$C$7:$C$1506,MATCH(K318,BARDAGE!$B$7:$B$1506,0)),"? hors registre"))</f>
        <v/>
      </c>
      <c r="M318" s="80"/>
      <c r="N318" s="81" t="str">
        <f aca="false">IF(M318="","",IFERROR(INDEX(BARDAGE!$C$7:$C$1506,MATCH(M318,BARDAGE!$B$7:$B$1506,0)),"? hors registre"))</f>
        <v/>
      </c>
      <c r="O318" s="80"/>
      <c r="P318" s="80"/>
      <c r="Q318" s="80"/>
      <c r="R318" s="82"/>
      <c r="S318" s="82"/>
      <c r="T318" s="80"/>
      <c r="U318" s="80"/>
      <c r="V318" s="82"/>
      <c r="W318" s="80"/>
      <c r="X318" s="80"/>
      <c r="Y318" s="80"/>
      <c r="Z318" s="80"/>
      <c r="AA318" s="82"/>
      <c r="AB318" s="80"/>
      <c r="AC318" s="80"/>
      <c r="AD318" s="80"/>
      <c r="AE318" s="80"/>
      <c r="AF318" s="82"/>
      <c r="AG318" s="80"/>
      <c r="AH318" s="80"/>
      <c r="AI318" s="82"/>
      <c r="AJ318" s="79"/>
      <c r="AK318" s="78" t="n">
        <f aca="false">IF(E318="","",(X318&lt;&gt;"")+(AC318&lt;&gt;"")+(AH318&lt;&gt;""))</f>
        <v>0</v>
      </c>
      <c r="AL318" s="81" t="str">
        <f aca="false">IF(AH318&lt;&gt;"",AH318,IF(AC318&lt;&gt;"",AC318,IF(X318&lt;&gt;"",X318,"")))</f>
        <v/>
      </c>
      <c r="AM318" s="83" t="str">
        <f aca="false">IF(E318="","",IF(R318="","À SOUDER",IF(U318="","VT EN ATTENTE",IF(U318="R","VT REJETÉ – À REPRENDRE",IF(AL318="","À RADIOGRAPHIER",IF(AL318="A","ACCEPTÉ",IF(AL318="NX","NX – RT À REFAIRE",IF(IF(AK318=1,Z318,IF(AK318=2,AE318,""))="A","RÉPARÉ – À RADIOGRAPHIER",IF(IF(AK318=1,Z318,IF(AK318=2,AE318,""))="R","VT REJETÉ – À REPRENDRE",IF(OR(AL318="CO",AL318="NT"),"COUPE – À RESOUDER","À RÉPARER"))))))))))</f>
        <v>À SOUDER</v>
      </c>
      <c r="AN318" s="81" t="str">
        <f aca="false">IF(AND(ISNUMBER(R318),OR(AM318="À RADIOGRAPHIER",AM318="RÉPARÉ – À RADIOGRAPHIER",AM318="NX – RT À REFAIRE",AM318="À RÉPARER",AM318="COUPE – À RESOUDER",AM318="VT REJETÉ – À REPRENDRE")),MAX(0,'PROGRAMME RT'!$C$4-R318),"")</f>
        <v/>
      </c>
      <c r="AO318" s="78" t="n">
        <f aca="false">IF(AND(OR(AM318="À RADIOGRAPHIER",AM318="RÉPARÉ – À RADIOGRAPHIER",AM318="NX – RT À REFAIRE"),OR('PROGRAMME RT'!$D$5="TOUTES",B318='PROGRAMME RT'!$D$5)),1,0)</f>
        <v>0</v>
      </c>
      <c r="AP318" s="78" t="str">
        <f aca="false">IF(AO318=1,SUM(AO$7:AO318),"")</f>
        <v/>
      </c>
      <c r="AQ318" s="78" t="n">
        <f aca="false">IF(AND(OR(X318="R",X318="NX",X318="NT",X318="CO"),OR('JOINTS DE RÉPARATION'!$D$5="TOUTES",B318='JOINTS DE RÉPARATION'!$D$5),OR('JOINTS DE RÉPARATION'!$L$4="TOUS",AM318&lt;&gt;"ACCEPTÉ")),1,0)</f>
        <v>0</v>
      </c>
      <c r="AR318" s="78" t="str">
        <f aca="false">IF(AQ318=1,SUM(AQ$7:AQ318),"")</f>
        <v/>
      </c>
    </row>
    <row r="319" customFormat="false" ht="15" hidden="false" customHeight="false" outlineLevel="0" collapsed="false">
      <c r="A319" s="78" t="n">
        <f aca="false">IF(E319="","",ROW()-6)</f>
        <v>313</v>
      </c>
      <c r="B319" s="79" t="s">
        <v>575</v>
      </c>
      <c r="C319" s="80"/>
      <c r="D319" s="80"/>
      <c r="E319" s="80" t="s">
        <v>363</v>
      </c>
      <c r="F319" s="80"/>
      <c r="G319" s="80" t="s">
        <v>106</v>
      </c>
      <c r="H319" s="80"/>
      <c r="I319" s="80"/>
      <c r="J319" s="80"/>
      <c r="K319" s="80"/>
      <c r="L319" s="81" t="str">
        <f aca="false">IF(K319="","",IFERROR(INDEX(BARDAGE!$C$7:$C$1506,MATCH(K319,BARDAGE!$B$7:$B$1506,0)),"? hors registre"))</f>
        <v/>
      </c>
      <c r="M319" s="80"/>
      <c r="N319" s="81" t="str">
        <f aca="false">IF(M319="","",IFERROR(INDEX(BARDAGE!$C$7:$C$1506,MATCH(M319,BARDAGE!$B$7:$B$1506,0)),"? hors registre"))</f>
        <v/>
      </c>
      <c r="O319" s="80"/>
      <c r="P319" s="80"/>
      <c r="Q319" s="80"/>
      <c r="R319" s="82"/>
      <c r="S319" s="82"/>
      <c r="T319" s="80"/>
      <c r="U319" s="80"/>
      <c r="V319" s="82"/>
      <c r="W319" s="80"/>
      <c r="X319" s="80"/>
      <c r="Y319" s="80"/>
      <c r="Z319" s="80"/>
      <c r="AA319" s="82"/>
      <c r="AB319" s="80"/>
      <c r="AC319" s="80"/>
      <c r="AD319" s="80"/>
      <c r="AE319" s="80"/>
      <c r="AF319" s="82"/>
      <c r="AG319" s="80"/>
      <c r="AH319" s="80"/>
      <c r="AI319" s="82"/>
      <c r="AJ319" s="79"/>
      <c r="AK319" s="78" t="n">
        <f aca="false">IF(E319="","",(X319&lt;&gt;"")+(AC319&lt;&gt;"")+(AH319&lt;&gt;""))</f>
        <v>0</v>
      </c>
      <c r="AL319" s="81" t="str">
        <f aca="false">IF(AH319&lt;&gt;"",AH319,IF(AC319&lt;&gt;"",AC319,IF(X319&lt;&gt;"",X319,"")))</f>
        <v/>
      </c>
      <c r="AM319" s="83" t="str">
        <f aca="false">IF(E319="","",IF(R319="","À SOUDER",IF(U319="","VT EN ATTENTE",IF(U319="R","VT REJETÉ – À REPRENDRE",IF(AL319="","À RADIOGRAPHIER",IF(AL319="A","ACCEPTÉ",IF(AL319="NX","NX – RT À REFAIRE",IF(IF(AK319=1,Z319,IF(AK319=2,AE319,""))="A","RÉPARÉ – À RADIOGRAPHIER",IF(IF(AK319=1,Z319,IF(AK319=2,AE319,""))="R","VT REJETÉ – À REPRENDRE",IF(OR(AL319="CO",AL319="NT"),"COUPE – À RESOUDER","À RÉPARER"))))))))))</f>
        <v>À SOUDER</v>
      </c>
      <c r="AN319" s="81" t="str">
        <f aca="false">IF(AND(ISNUMBER(R319),OR(AM319="À RADIOGRAPHIER",AM319="RÉPARÉ – À RADIOGRAPHIER",AM319="NX – RT À REFAIRE",AM319="À RÉPARER",AM319="COUPE – À RESOUDER",AM319="VT REJETÉ – À REPRENDRE")),MAX(0,'PROGRAMME RT'!$C$4-R319),"")</f>
        <v/>
      </c>
      <c r="AO319" s="78" t="n">
        <f aca="false">IF(AND(OR(AM319="À RADIOGRAPHIER",AM319="RÉPARÉ – À RADIOGRAPHIER",AM319="NX – RT À REFAIRE"),OR('PROGRAMME RT'!$D$5="TOUTES",B319='PROGRAMME RT'!$D$5)),1,0)</f>
        <v>0</v>
      </c>
      <c r="AP319" s="78" t="str">
        <f aca="false">IF(AO319=1,SUM(AO$7:AO319),"")</f>
        <v/>
      </c>
      <c r="AQ319" s="78" t="n">
        <f aca="false">IF(AND(OR(X319="R",X319="NX",X319="NT",X319="CO"),OR('JOINTS DE RÉPARATION'!$D$5="TOUTES",B319='JOINTS DE RÉPARATION'!$D$5),OR('JOINTS DE RÉPARATION'!$L$4="TOUS",AM319&lt;&gt;"ACCEPTÉ")),1,0)</f>
        <v>0</v>
      </c>
      <c r="AR319" s="78" t="str">
        <f aca="false">IF(AQ319=1,SUM(AQ$7:AQ319),"")</f>
        <v/>
      </c>
    </row>
    <row r="320" customFormat="false" ht="15" hidden="false" customHeight="false" outlineLevel="0" collapsed="false">
      <c r="A320" s="78" t="n">
        <f aca="false">IF(E320="","",ROW()-6)</f>
        <v>314</v>
      </c>
      <c r="B320" s="79" t="s">
        <v>575</v>
      </c>
      <c r="C320" s="80"/>
      <c r="D320" s="80"/>
      <c r="E320" s="80" t="s">
        <v>365</v>
      </c>
      <c r="F320" s="80"/>
      <c r="G320" s="80" t="s">
        <v>106</v>
      </c>
      <c r="H320" s="80"/>
      <c r="I320" s="80"/>
      <c r="J320" s="80"/>
      <c r="K320" s="80"/>
      <c r="L320" s="81" t="str">
        <f aca="false">IF(K320="","",IFERROR(INDEX(BARDAGE!$C$7:$C$1506,MATCH(K320,BARDAGE!$B$7:$B$1506,0)),"? hors registre"))</f>
        <v/>
      </c>
      <c r="M320" s="80"/>
      <c r="N320" s="81" t="str">
        <f aca="false">IF(M320="","",IFERROR(INDEX(BARDAGE!$C$7:$C$1506,MATCH(M320,BARDAGE!$B$7:$B$1506,0)),"? hors registre"))</f>
        <v/>
      </c>
      <c r="O320" s="80"/>
      <c r="P320" s="80"/>
      <c r="Q320" s="80"/>
      <c r="R320" s="82"/>
      <c r="S320" s="82"/>
      <c r="T320" s="80"/>
      <c r="U320" s="80"/>
      <c r="V320" s="82"/>
      <c r="W320" s="80"/>
      <c r="X320" s="80"/>
      <c r="Y320" s="80"/>
      <c r="Z320" s="80"/>
      <c r="AA320" s="82"/>
      <c r="AB320" s="80"/>
      <c r="AC320" s="80"/>
      <c r="AD320" s="80"/>
      <c r="AE320" s="80"/>
      <c r="AF320" s="82"/>
      <c r="AG320" s="80"/>
      <c r="AH320" s="80"/>
      <c r="AI320" s="82"/>
      <c r="AJ320" s="79"/>
      <c r="AK320" s="78" t="n">
        <f aca="false">IF(E320="","",(X320&lt;&gt;"")+(AC320&lt;&gt;"")+(AH320&lt;&gt;""))</f>
        <v>0</v>
      </c>
      <c r="AL320" s="81" t="str">
        <f aca="false">IF(AH320&lt;&gt;"",AH320,IF(AC320&lt;&gt;"",AC320,IF(X320&lt;&gt;"",X320,"")))</f>
        <v/>
      </c>
      <c r="AM320" s="83" t="str">
        <f aca="false">IF(E320="","",IF(R320="","À SOUDER",IF(U320="","VT EN ATTENTE",IF(U320="R","VT REJETÉ – À REPRENDRE",IF(AL320="","À RADIOGRAPHIER",IF(AL320="A","ACCEPTÉ",IF(AL320="NX","NX – RT À REFAIRE",IF(IF(AK320=1,Z320,IF(AK320=2,AE320,""))="A","RÉPARÉ – À RADIOGRAPHIER",IF(IF(AK320=1,Z320,IF(AK320=2,AE320,""))="R","VT REJETÉ – À REPRENDRE",IF(OR(AL320="CO",AL320="NT"),"COUPE – À RESOUDER","À RÉPARER"))))))))))</f>
        <v>À SOUDER</v>
      </c>
      <c r="AN320" s="81" t="str">
        <f aca="false">IF(AND(ISNUMBER(R320),OR(AM320="À RADIOGRAPHIER",AM320="RÉPARÉ – À RADIOGRAPHIER",AM320="NX – RT À REFAIRE",AM320="À RÉPARER",AM320="COUPE – À RESOUDER",AM320="VT REJETÉ – À REPRENDRE")),MAX(0,'PROGRAMME RT'!$C$4-R320),"")</f>
        <v/>
      </c>
      <c r="AO320" s="78" t="n">
        <f aca="false">IF(AND(OR(AM320="À RADIOGRAPHIER",AM320="RÉPARÉ – À RADIOGRAPHIER",AM320="NX – RT À REFAIRE"),OR('PROGRAMME RT'!$D$5="TOUTES",B320='PROGRAMME RT'!$D$5)),1,0)</f>
        <v>0</v>
      </c>
      <c r="AP320" s="78" t="str">
        <f aca="false">IF(AO320=1,SUM(AO$7:AO320),"")</f>
        <v/>
      </c>
      <c r="AQ320" s="78" t="n">
        <f aca="false">IF(AND(OR(X320="R",X320="NX",X320="NT",X320="CO"),OR('JOINTS DE RÉPARATION'!$D$5="TOUTES",B320='JOINTS DE RÉPARATION'!$D$5),OR('JOINTS DE RÉPARATION'!$L$4="TOUS",AM320&lt;&gt;"ACCEPTÉ")),1,0)</f>
        <v>0</v>
      </c>
      <c r="AR320" s="78" t="str">
        <f aca="false">IF(AQ320=1,SUM(AQ$7:AQ320),"")</f>
        <v/>
      </c>
    </row>
    <row r="321" customFormat="false" ht="15" hidden="false" customHeight="false" outlineLevel="0" collapsed="false">
      <c r="A321" s="78" t="n">
        <f aca="false">IF(E321="","",ROW()-6)</f>
        <v>315</v>
      </c>
      <c r="B321" s="79" t="s">
        <v>575</v>
      </c>
      <c r="C321" s="80"/>
      <c r="D321" s="80"/>
      <c r="E321" s="80" t="s">
        <v>367</v>
      </c>
      <c r="F321" s="80"/>
      <c r="G321" s="80" t="s">
        <v>106</v>
      </c>
      <c r="H321" s="80"/>
      <c r="I321" s="80"/>
      <c r="J321" s="80"/>
      <c r="K321" s="80"/>
      <c r="L321" s="81" t="str">
        <f aca="false">IF(K321="","",IFERROR(INDEX(BARDAGE!$C$7:$C$1506,MATCH(K321,BARDAGE!$B$7:$B$1506,0)),"? hors registre"))</f>
        <v/>
      </c>
      <c r="M321" s="80"/>
      <c r="N321" s="81" t="str">
        <f aca="false">IF(M321="","",IFERROR(INDEX(BARDAGE!$C$7:$C$1506,MATCH(M321,BARDAGE!$B$7:$B$1506,0)),"? hors registre"))</f>
        <v/>
      </c>
      <c r="O321" s="80"/>
      <c r="P321" s="80"/>
      <c r="Q321" s="80"/>
      <c r="R321" s="82"/>
      <c r="S321" s="82"/>
      <c r="T321" s="80"/>
      <c r="U321" s="80"/>
      <c r="V321" s="82"/>
      <c r="W321" s="80"/>
      <c r="X321" s="80"/>
      <c r="Y321" s="80"/>
      <c r="Z321" s="80"/>
      <c r="AA321" s="82"/>
      <c r="AB321" s="80"/>
      <c r="AC321" s="80"/>
      <c r="AD321" s="80"/>
      <c r="AE321" s="80"/>
      <c r="AF321" s="82"/>
      <c r="AG321" s="80"/>
      <c r="AH321" s="80"/>
      <c r="AI321" s="82"/>
      <c r="AJ321" s="79"/>
      <c r="AK321" s="78" t="n">
        <f aca="false">IF(E321="","",(X321&lt;&gt;"")+(AC321&lt;&gt;"")+(AH321&lt;&gt;""))</f>
        <v>0</v>
      </c>
      <c r="AL321" s="81" t="str">
        <f aca="false">IF(AH321&lt;&gt;"",AH321,IF(AC321&lt;&gt;"",AC321,IF(X321&lt;&gt;"",X321,"")))</f>
        <v/>
      </c>
      <c r="AM321" s="83" t="str">
        <f aca="false">IF(E321="","",IF(R321="","À SOUDER",IF(U321="","VT EN ATTENTE",IF(U321="R","VT REJETÉ – À REPRENDRE",IF(AL321="","À RADIOGRAPHIER",IF(AL321="A","ACCEPTÉ",IF(AL321="NX","NX – RT À REFAIRE",IF(IF(AK321=1,Z321,IF(AK321=2,AE321,""))="A","RÉPARÉ – À RADIOGRAPHIER",IF(IF(AK321=1,Z321,IF(AK321=2,AE321,""))="R","VT REJETÉ – À REPRENDRE",IF(OR(AL321="CO",AL321="NT"),"COUPE – À RESOUDER","À RÉPARER"))))))))))</f>
        <v>À SOUDER</v>
      </c>
      <c r="AN321" s="81" t="str">
        <f aca="false">IF(AND(ISNUMBER(R321),OR(AM321="À RADIOGRAPHIER",AM321="RÉPARÉ – À RADIOGRAPHIER",AM321="NX – RT À REFAIRE",AM321="À RÉPARER",AM321="COUPE – À RESOUDER",AM321="VT REJETÉ – À REPRENDRE")),MAX(0,'PROGRAMME RT'!$C$4-R321),"")</f>
        <v/>
      </c>
      <c r="AO321" s="78" t="n">
        <f aca="false">IF(AND(OR(AM321="À RADIOGRAPHIER",AM321="RÉPARÉ – À RADIOGRAPHIER",AM321="NX – RT À REFAIRE"),OR('PROGRAMME RT'!$D$5="TOUTES",B321='PROGRAMME RT'!$D$5)),1,0)</f>
        <v>0</v>
      </c>
      <c r="AP321" s="78" t="str">
        <f aca="false">IF(AO321=1,SUM(AO$7:AO321),"")</f>
        <v/>
      </c>
      <c r="AQ321" s="78" t="n">
        <f aca="false">IF(AND(OR(X321="R",X321="NX",X321="NT",X321="CO"),OR('JOINTS DE RÉPARATION'!$D$5="TOUTES",B321='JOINTS DE RÉPARATION'!$D$5),OR('JOINTS DE RÉPARATION'!$L$4="TOUS",AM321&lt;&gt;"ACCEPTÉ")),1,0)</f>
        <v>0</v>
      </c>
      <c r="AR321" s="78" t="str">
        <f aca="false">IF(AQ321=1,SUM(AQ$7:AQ321),"")</f>
        <v/>
      </c>
    </row>
    <row r="322" customFormat="false" ht="15" hidden="false" customHeight="false" outlineLevel="0" collapsed="false">
      <c r="A322" s="78" t="n">
        <f aca="false">IF(E322="","",ROW()-6)</f>
        <v>316</v>
      </c>
      <c r="B322" s="79" t="s">
        <v>575</v>
      </c>
      <c r="C322" s="80"/>
      <c r="D322" s="80"/>
      <c r="E322" s="80" t="s">
        <v>369</v>
      </c>
      <c r="F322" s="80"/>
      <c r="G322" s="80" t="s">
        <v>106</v>
      </c>
      <c r="H322" s="80"/>
      <c r="I322" s="80"/>
      <c r="J322" s="80"/>
      <c r="K322" s="80"/>
      <c r="L322" s="81" t="str">
        <f aca="false">IF(K322="","",IFERROR(INDEX(BARDAGE!$C$7:$C$1506,MATCH(K322,BARDAGE!$B$7:$B$1506,0)),"? hors registre"))</f>
        <v/>
      </c>
      <c r="M322" s="80"/>
      <c r="N322" s="81" t="str">
        <f aca="false">IF(M322="","",IFERROR(INDEX(BARDAGE!$C$7:$C$1506,MATCH(M322,BARDAGE!$B$7:$B$1506,0)),"? hors registre"))</f>
        <v/>
      </c>
      <c r="O322" s="80"/>
      <c r="P322" s="80"/>
      <c r="Q322" s="80"/>
      <c r="R322" s="82"/>
      <c r="S322" s="82"/>
      <c r="T322" s="80"/>
      <c r="U322" s="80"/>
      <c r="V322" s="82"/>
      <c r="W322" s="80"/>
      <c r="X322" s="80"/>
      <c r="Y322" s="80"/>
      <c r="Z322" s="80"/>
      <c r="AA322" s="82"/>
      <c r="AB322" s="80"/>
      <c r="AC322" s="80"/>
      <c r="AD322" s="80"/>
      <c r="AE322" s="80"/>
      <c r="AF322" s="82"/>
      <c r="AG322" s="80"/>
      <c r="AH322" s="80"/>
      <c r="AI322" s="82"/>
      <c r="AJ322" s="79"/>
      <c r="AK322" s="78" t="n">
        <f aca="false">IF(E322="","",(X322&lt;&gt;"")+(AC322&lt;&gt;"")+(AH322&lt;&gt;""))</f>
        <v>0</v>
      </c>
      <c r="AL322" s="81" t="str">
        <f aca="false">IF(AH322&lt;&gt;"",AH322,IF(AC322&lt;&gt;"",AC322,IF(X322&lt;&gt;"",X322,"")))</f>
        <v/>
      </c>
      <c r="AM322" s="83" t="str">
        <f aca="false">IF(E322="","",IF(R322="","À SOUDER",IF(U322="","VT EN ATTENTE",IF(U322="R","VT REJETÉ – À REPRENDRE",IF(AL322="","À RADIOGRAPHIER",IF(AL322="A","ACCEPTÉ",IF(AL322="NX","NX – RT À REFAIRE",IF(IF(AK322=1,Z322,IF(AK322=2,AE322,""))="A","RÉPARÉ – À RADIOGRAPHIER",IF(IF(AK322=1,Z322,IF(AK322=2,AE322,""))="R","VT REJETÉ – À REPRENDRE",IF(OR(AL322="CO",AL322="NT"),"COUPE – À RESOUDER","À RÉPARER"))))))))))</f>
        <v>À SOUDER</v>
      </c>
      <c r="AN322" s="81" t="str">
        <f aca="false">IF(AND(ISNUMBER(R322),OR(AM322="À RADIOGRAPHIER",AM322="RÉPARÉ – À RADIOGRAPHIER",AM322="NX – RT À REFAIRE",AM322="À RÉPARER",AM322="COUPE – À RESOUDER",AM322="VT REJETÉ – À REPRENDRE")),MAX(0,'PROGRAMME RT'!$C$4-R322),"")</f>
        <v/>
      </c>
      <c r="AO322" s="78" t="n">
        <f aca="false">IF(AND(OR(AM322="À RADIOGRAPHIER",AM322="RÉPARÉ – À RADIOGRAPHIER",AM322="NX – RT À REFAIRE"),OR('PROGRAMME RT'!$D$5="TOUTES",B322='PROGRAMME RT'!$D$5)),1,0)</f>
        <v>0</v>
      </c>
      <c r="AP322" s="78" t="str">
        <f aca="false">IF(AO322=1,SUM(AO$7:AO322),"")</f>
        <v/>
      </c>
      <c r="AQ322" s="78" t="n">
        <f aca="false">IF(AND(OR(X322="R",X322="NX",X322="NT",X322="CO"),OR('JOINTS DE RÉPARATION'!$D$5="TOUTES",B322='JOINTS DE RÉPARATION'!$D$5),OR('JOINTS DE RÉPARATION'!$L$4="TOUS",AM322&lt;&gt;"ACCEPTÉ")),1,0)</f>
        <v>0</v>
      </c>
      <c r="AR322" s="78" t="str">
        <f aca="false">IF(AQ322=1,SUM(AQ$7:AQ322),"")</f>
        <v/>
      </c>
    </row>
    <row r="323" customFormat="false" ht="15" hidden="false" customHeight="false" outlineLevel="0" collapsed="false">
      <c r="A323" s="78" t="n">
        <f aca="false">IF(E323="","",ROW()-6)</f>
        <v>317</v>
      </c>
      <c r="B323" s="79" t="s">
        <v>575</v>
      </c>
      <c r="C323" s="80"/>
      <c r="D323" s="80"/>
      <c r="E323" s="80" t="s">
        <v>372</v>
      </c>
      <c r="F323" s="80"/>
      <c r="G323" s="80" t="s">
        <v>106</v>
      </c>
      <c r="H323" s="80"/>
      <c r="I323" s="80"/>
      <c r="J323" s="80"/>
      <c r="K323" s="80"/>
      <c r="L323" s="81" t="str">
        <f aca="false">IF(K323="","",IFERROR(INDEX(BARDAGE!$C$7:$C$1506,MATCH(K323,BARDAGE!$B$7:$B$1506,0)),"? hors registre"))</f>
        <v/>
      </c>
      <c r="M323" s="80"/>
      <c r="N323" s="81" t="str">
        <f aca="false">IF(M323="","",IFERROR(INDEX(BARDAGE!$C$7:$C$1506,MATCH(M323,BARDAGE!$B$7:$B$1506,0)),"? hors registre"))</f>
        <v/>
      </c>
      <c r="O323" s="80"/>
      <c r="P323" s="80"/>
      <c r="Q323" s="80"/>
      <c r="R323" s="82"/>
      <c r="S323" s="82"/>
      <c r="T323" s="80"/>
      <c r="U323" s="80"/>
      <c r="V323" s="82"/>
      <c r="W323" s="80"/>
      <c r="X323" s="80"/>
      <c r="Y323" s="80"/>
      <c r="Z323" s="80"/>
      <c r="AA323" s="82"/>
      <c r="AB323" s="80"/>
      <c r="AC323" s="80"/>
      <c r="AD323" s="80"/>
      <c r="AE323" s="80"/>
      <c r="AF323" s="82"/>
      <c r="AG323" s="80"/>
      <c r="AH323" s="80"/>
      <c r="AI323" s="82"/>
      <c r="AJ323" s="79"/>
      <c r="AK323" s="78" t="n">
        <f aca="false">IF(E323="","",(X323&lt;&gt;"")+(AC323&lt;&gt;"")+(AH323&lt;&gt;""))</f>
        <v>0</v>
      </c>
      <c r="AL323" s="81" t="str">
        <f aca="false">IF(AH323&lt;&gt;"",AH323,IF(AC323&lt;&gt;"",AC323,IF(X323&lt;&gt;"",X323,"")))</f>
        <v/>
      </c>
      <c r="AM323" s="83" t="str">
        <f aca="false">IF(E323="","",IF(R323="","À SOUDER",IF(U323="","VT EN ATTENTE",IF(U323="R","VT REJETÉ – À REPRENDRE",IF(AL323="","À RADIOGRAPHIER",IF(AL323="A","ACCEPTÉ",IF(AL323="NX","NX – RT À REFAIRE",IF(IF(AK323=1,Z323,IF(AK323=2,AE323,""))="A","RÉPARÉ – À RADIOGRAPHIER",IF(IF(AK323=1,Z323,IF(AK323=2,AE323,""))="R","VT REJETÉ – À REPRENDRE",IF(OR(AL323="CO",AL323="NT"),"COUPE – À RESOUDER","À RÉPARER"))))))))))</f>
        <v>À SOUDER</v>
      </c>
      <c r="AN323" s="81" t="str">
        <f aca="false">IF(AND(ISNUMBER(R323),OR(AM323="À RADIOGRAPHIER",AM323="RÉPARÉ – À RADIOGRAPHIER",AM323="NX – RT À REFAIRE",AM323="À RÉPARER",AM323="COUPE – À RESOUDER",AM323="VT REJETÉ – À REPRENDRE")),MAX(0,'PROGRAMME RT'!$C$4-R323),"")</f>
        <v/>
      </c>
      <c r="AO323" s="78" t="n">
        <f aca="false">IF(AND(OR(AM323="À RADIOGRAPHIER",AM323="RÉPARÉ – À RADIOGRAPHIER",AM323="NX – RT À REFAIRE"),OR('PROGRAMME RT'!$D$5="TOUTES",B323='PROGRAMME RT'!$D$5)),1,0)</f>
        <v>0</v>
      </c>
      <c r="AP323" s="78" t="str">
        <f aca="false">IF(AO323=1,SUM(AO$7:AO323),"")</f>
        <v/>
      </c>
      <c r="AQ323" s="78" t="n">
        <f aca="false">IF(AND(OR(X323="R",X323="NX",X323="NT",X323="CO"),OR('JOINTS DE RÉPARATION'!$D$5="TOUTES",B323='JOINTS DE RÉPARATION'!$D$5),OR('JOINTS DE RÉPARATION'!$L$4="TOUS",AM323&lt;&gt;"ACCEPTÉ")),1,0)</f>
        <v>0</v>
      </c>
      <c r="AR323" s="78" t="str">
        <f aca="false">IF(AQ323=1,SUM(AQ$7:AQ323),"")</f>
        <v/>
      </c>
    </row>
    <row r="324" customFormat="false" ht="15" hidden="false" customHeight="false" outlineLevel="0" collapsed="false">
      <c r="A324" s="78" t="n">
        <f aca="false">IF(E324="","",ROW()-6)</f>
        <v>318</v>
      </c>
      <c r="B324" s="79" t="s">
        <v>575</v>
      </c>
      <c r="C324" s="80"/>
      <c r="D324" s="80"/>
      <c r="E324" s="80" t="s">
        <v>374</v>
      </c>
      <c r="F324" s="80"/>
      <c r="G324" s="80" t="s">
        <v>106</v>
      </c>
      <c r="H324" s="80"/>
      <c r="I324" s="80"/>
      <c r="J324" s="80"/>
      <c r="K324" s="80"/>
      <c r="L324" s="81" t="str">
        <f aca="false">IF(K324="","",IFERROR(INDEX(BARDAGE!$C$7:$C$1506,MATCH(K324,BARDAGE!$B$7:$B$1506,0)),"? hors registre"))</f>
        <v/>
      </c>
      <c r="M324" s="80"/>
      <c r="N324" s="81" t="str">
        <f aca="false">IF(M324="","",IFERROR(INDEX(BARDAGE!$C$7:$C$1506,MATCH(M324,BARDAGE!$B$7:$B$1506,0)),"? hors registre"))</f>
        <v/>
      </c>
      <c r="O324" s="80"/>
      <c r="P324" s="80"/>
      <c r="Q324" s="80"/>
      <c r="R324" s="82"/>
      <c r="S324" s="82"/>
      <c r="T324" s="80"/>
      <c r="U324" s="80"/>
      <c r="V324" s="82"/>
      <c r="W324" s="80"/>
      <c r="X324" s="80"/>
      <c r="Y324" s="80"/>
      <c r="Z324" s="80"/>
      <c r="AA324" s="82"/>
      <c r="AB324" s="80"/>
      <c r="AC324" s="80"/>
      <c r="AD324" s="80"/>
      <c r="AE324" s="80"/>
      <c r="AF324" s="82"/>
      <c r="AG324" s="80"/>
      <c r="AH324" s="80"/>
      <c r="AI324" s="82"/>
      <c r="AJ324" s="79"/>
      <c r="AK324" s="78" t="n">
        <f aca="false">IF(E324="","",(X324&lt;&gt;"")+(AC324&lt;&gt;"")+(AH324&lt;&gt;""))</f>
        <v>0</v>
      </c>
      <c r="AL324" s="81" t="str">
        <f aca="false">IF(AH324&lt;&gt;"",AH324,IF(AC324&lt;&gt;"",AC324,IF(X324&lt;&gt;"",X324,"")))</f>
        <v/>
      </c>
      <c r="AM324" s="83" t="str">
        <f aca="false">IF(E324="","",IF(R324="","À SOUDER",IF(U324="","VT EN ATTENTE",IF(U324="R","VT REJETÉ – À REPRENDRE",IF(AL324="","À RADIOGRAPHIER",IF(AL324="A","ACCEPTÉ",IF(AL324="NX","NX – RT À REFAIRE",IF(IF(AK324=1,Z324,IF(AK324=2,AE324,""))="A","RÉPARÉ – À RADIOGRAPHIER",IF(IF(AK324=1,Z324,IF(AK324=2,AE324,""))="R","VT REJETÉ – À REPRENDRE",IF(OR(AL324="CO",AL324="NT"),"COUPE – À RESOUDER","À RÉPARER"))))))))))</f>
        <v>À SOUDER</v>
      </c>
      <c r="AN324" s="81" t="str">
        <f aca="false">IF(AND(ISNUMBER(R324),OR(AM324="À RADIOGRAPHIER",AM324="RÉPARÉ – À RADIOGRAPHIER",AM324="NX – RT À REFAIRE",AM324="À RÉPARER",AM324="COUPE – À RESOUDER",AM324="VT REJETÉ – À REPRENDRE")),MAX(0,'PROGRAMME RT'!$C$4-R324),"")</f>
        <v/>
      </c>
      <c r="AO324" s="78" t="n">
        <f aca="false">IF(AND(OR(AM324="À RADIOGRAPHIER",AM324="RÉPARÉ – À RADIOGRAPHIER",AM324="NX – RT À REFAIRE"),OR('PROGRAMME RT'!$D$5="TOUTES",B324='PROGRAMME RT'!$D$5)),1,0)</f>
        <v>0</v>
      </c>
      <c r="AP324" s="78" t="str">
        <f aca="false">IF(AO324=1,SUM(AO$7:AO324),"")</f>
        <v/>
      </c>
      <c r="AQ324" s="78" t="n">
        <f aca="false">IF(AND(OR(X324="R",X324="NX",X324="NT",X324="CO"),OR('JOINTS DE RÉPARATION'!$D$5="TOUTES",B324='JOINTS DE RÉPARATION'!$D$5),OR('JOINTS DE RÉPARATION'!$L$4="TOUS",AM324&lt;&gt;"ACCEPTÉ")),1,0)</f>
        <v>0</v>
      </c>
      <c r="AR324" s="78" t="str">
        <f aca="false">IF(AQ324=1,SUM(AQ$7:AQ324),"")</f>
        <v/>
      </c>
    </row>
    <row r="325" customFormat="false" ht="15" hidden="false" customHeight="false" outlineLevel="0" collapsed="false">
      <c r="A325" s="78" t="n">
        <f aca="false">IF(E325="","",ROW()-6)</f>
        <v>319</v>
      </c>
      <c r="B325" s="79" t="s">
        <v>575</v>
      </c>
      <c r="C325" s="80"/>
      <c r="D325" s="80"/>
      <c r="E325" s="80" t="s">
        <v>376</v>
      </c>
      <c r="F325" s="80"/>
      <c r="G325" s="80" t="s">
        <v>106</v>
      </c>
      <c r="H325" s="80"/>
      <c r="I325" s="80"/>
      <c r="J325" s="80"/>
      <c r="K325" s="80"/>
      <c r="L325" s="81" t="str">
        <f aca="false">IF(K325="","",IFERROR(INDEX(BARDAGE!$C$7:$C$1506,MATCH(K325,BARDAGE!$B$7:$B$1506,0)),"? hors registre"))</f>
        <v/>
      </c>
      <c r="M325" s="80"/>
      <c r="N325" s="81" t="str">
        <f aca="false">IF(M325="","",IFERROR(INDEX(BARDAGE!$C$7:$C$1506,MATCH(M325,BARDAGE!$B$7:$B$1506,0)),"? hors registre"))</f>
        <v/>
      </c>
      <c r="O325" s="80"/>
      <c r="P325" s="80"/>
      <c r="Q325" s="80"/>
      <c r="R325" s="82"/>
      <c r="S325" s="82"/>
      <c r="T325" s="80"/>
      <c r="U325" s="80"/>
      <c r="V325" s="82"/>
      <c r="W325" s="80"/>
      <c r="X325" s="80"/>
      <c r="Y325" s="80"/>
      <c r="Z325" s="80"/>
      <c r="AA325" s="82"/>
      <c r="AB325" s="80"/>
      <c r="AC325" s="80"/>
      <c r="AD325" s="80"/>
      <c r="AE325" s="80"/>
      <c r="AF325" s="82"/>
      <c r="AG325" s="80"/>
      <c r="AH325" s="80"/>
      <c r="AI325" s="82"/>
      <c r="AJ325" s="79"/>
      <c r="AK325" s="78" t="n">
        <f aca="false">IF(E325="","",(X325&lt;&gt;"")+(AC325&lt;&gt;"")+(AH325&lt;&gt;""))</f>
        <v>0</v>
      </c>
      <c r="AL325" s="81" t="str">
        <f aca="false">IF(AH325&lt;&gt;"",AH325,IF(AC325&lt;&gt;"",AC325,IF(X325&lt;&gt;"",X325,"")))</f>
        <v/>
      </c>
      <c r="AM325" s="83" t="str">
        <f aca="false">IF(E325="","",IF(R325="","À SOUDER",IF(U325="","VT EN ATTENTE",IF(U325="R","VT REJETÉ – À REPRENDRE",IF(AL325="","À RADIOGRAPHIER",IF(AL325="A","ACCEPTÉ",IF(AL325="NX","NX – RT À REFAIRE",IF(IF(AK325=1,Z325,IF(AK325=2,AE325,""))="A","RÉPARÉ – À RADIOGRAPHIER",IF(IF(AK325=1,Z325,IF(AK325=2,AE325,""))="R","VT REJETÉ – À REPRENDRE",IF(OR(AL325="CO",AL325="NT"),"COUPE – À RESOUDER","À RÉPARER"))))))))))</f>
        <v>À SOUDER</v>
      </c>
      <c r="AN325" s="81" t="str">
        <f aca="false">IF(AND(ISNUMBER(R325),OR(AM325="À RADIOGRAPHIER",AM325="RÉPARÉ – À RADIOGRAPHIER",AM325="NX – RT À REFAIRE",AM325="À RÉPARER",AM325="COUPE – À RESOUDER",AM325="VT REJETÉ – À REPRENDRE")),MAX(0,'PROGRAMME RT'!$C$4-R325),"")</f>
        <v/>
      </c>
      <c r="AO325" s="78" t="n">
        <f aca="false">IF(AND(OR(AM325="À RADIOGRAPHIER",AM325="RÉPARÉ – À RADIOGRAPHIER",AM325="NX – RT À REFAIRE"),OR('PROGRAMME RT'!$D$5="TOUTES",B325='PROGRAMME RT'!$D$5)),1,0)</f>
        <v>0</v>
      </c>
      <c r="AP325" s="78" t="str">
        <f aca="false">IF(AO325=1,SUM(AO$7:AO325),"")</f>
        <v/>
      </c>
      <c r="AQ325" s="78" t="n">
        <f aca="false">IF(AND(OR(X325="R",X325="NX",X325="NT",X325="CO"),OR('JOINTS DE RÉPARATION'!$D$5="TOUTES",B325='JOINTS DE RÉPARATION'!$D$5),OR('JOINTS DE RÉPARATION'!$L$4="TOUS",AM325&lt;&gt;"ACCEPTÉ")),1,0)</f>
        <v>0</v>
      </c>
      <c r="AR325" s="78" t="str">
        <f aca="false">IF(AQ325=1,SUM(AQ$7:AQ325),"")</f>
        <v/>
      </c>
    </row>
    <row r="326" customFormat="false" ht="15" hidden="false" customHeight="false" outlineLevel="0" collapsed="false">
      <c r="A326" s="78" t="n">
        <f aca="false">IF(E326="","",ROW()-6)</f>
        <v>320</v>
      </c>
      <c r="B326" s="79" t="s">
        <v>575</v>
      </c>
      <c r="C326" s="80"/>
      <c r="D326" s="80"/>
      <c r="E326" s="80" t="s">
        <v>379</v>
      </c>
      <c r="F326" s="80"/>
      <c r="G326" s="80" t="s">
        <v>106</v>
      </c>
      <c r="H326" s="80"/>
      <c r="I326" s="80"/>
      <c r="J326" s="80"/>
      <c r="K326" s="80"/>
      <c r="L326" s="81" t="str">
        <f aca="false">IF(K326="","",IFERROR(INDEX(BARDAGE!$C$7:$C$1506,MATCH(K326,BARDAGE!$B$7:$B$1506,0)),"? hors registre"))</f>
        <v/>
      </c>
      <c r="M326" s="80"/>
      <c r="N326" s="81" t="str">
        <f aca="false">IF(M326="","",IFERROR(INDEX(BARDAGE!$C$7:$C$1506,MATCH(M326,BARDAGE!$B$7:$B$1506,0)),"? hors registre"))</f>
        <v/>
      </c>
      <c r="O326" s="80"/>
      <c r="P326" s="80"/>
      <c r="Q326" s="80"/>
      <c r="R326" s="82"/>
      <c r="S326" s="82"/>
      <c r="T326" s="80"/>
      <c r="U326" s="80"/>
      <c r="V326" s="82"/>
      <c r="W326" s="80"/>
      <c r="X326" s="80"/>
      <c r="Y326" s="80"/>
      <c r="Z326" s="80"/>
      <c r="AA326" s="82"/>
      <c r="AB326" s="80"/>
      <c r="AC326" s="80"/>
      <c r="AD326" s="80"/>
      <c r="AE326" s="80"/>
      <c r="AF326" s="82"/>
      <c r="AG326" s="80"/>
      <c r="AH326" s="80"/>
      <c r="AI326" s="82"/>
      <c r="AJ326" s="79"/>
      <c r="AK326" s="78" t="n">
        <f aca="false">IF(E326="","",(X326&lt;&gt;"")+(AC326&lt;&gt;"")+(AH326&lt;&gt;""))</f>
        <v>0</v>
      </c>
      <c r="AL326" s="81" t="str">
        <f aca="false">IF(AH326&lt;&gt;"",AH326,IF(AC326&lt;&gt;"",AC326,IF(X326&lt;&gt;"",X326,"")))</f>
        <v/>
      </c>
      <c r="AM326" s="83" t="str">
        <f aca="false">IF(E326="","",IF(R326="","À SOUDER",IF(U326="","VT EN ATTENTE",IF(U326="R","VT REJETÉ – À REPRENDRE",IF(AL326="","À RADIOGRAPHIER",IF(AL326="A","ACCEPTÉ",IF(AL326="NX","NX – RT À REFAIRE",IF(IF(AK326=1,Z326,IF(AK326=2,AE326,""))="A","RÉPARÉ – À RADIOGRAPHIER",IF(IF(AK326=1,Z326,IF(AK326=2,AE326,""))="R","VT REJETÉ – À REPRENDRE",IF(OR(AL326="CO",AL326="NT"),"COUPE – À RESOUDER","À RÉPARER"))))))))))</f>
        <v>À SOUDER</v>
      </c>
      <c r="AN326" s="81" t="str">
        <f aca="false">IF(AND(ISNUMBER(R326),OR(AM326="À RADIOGRAPHIER",AM326="RÉPARÉ – À RADIOGRAPHIER",AM326="NX – RT À REFAIRE",AM326="À RÉPARER",AM326="COUPE – À RESOUDER",AM326="VT REJETÉ – À REPRENDRE")),MAX(0,'PROGRAMME RT'!$C$4-R326),"")</f>
        <v/>
      </c>
      <c r="AO326" s="78" t="n">
        <f aca="false">IF(AND(OR(AM326="À RADIOGRAPHIER",AM326="RÉPARÉ – À RADIOGRAPHIER",AM326="NX – RT À REFAIRE"),OR('PROGRAMME RT'!$D$5="TOUTES",B326='PROGRAMME RT'!$D$5)),1,0)</f>
        <v>0</v>
      </c>
      <c r="AP326" s="78" t="str">
        <f aca="false">IF(AO326=1,SUM(AO$7:AO326),"")</f>
        <v/>
      </c>
      <c r="AQ326" s="78" t="n">
        <f aca="false">IF(AND(OR(X326="R",X326="NX",X326="NT",X326="CO"),OR('JOINTS DE RÉPARATION'!$D$5="TOUTES",B326='JOINTS DE RÉPARATION'!$D$5),OR('JOINTS DE RÉPARATION'!$L$4="TOUS",AM326&lt;&gt;"ACCEPTÉ")),1,0)</f>
        <v>0</v>
      </c>
      <c r="AR326" s="78" t="str">
        <f aca="false">IF(AQ326=1,SUM(AQ$7:AQ326),"")</f>
        <v/>
      </c>
    </row>
    <row r="327" customFormat="false" ht="15" hidden="false" customHeight="false" outlineLevel="0" collapsed="false">
      <c r="A327" s="78" t="n">
        <f aca="false">IF(E327="","",ROW()-6)</f>
        <v>321</v>
      </c>
      <c r="B327" s="79" t="s">
        <v>575</v>
      </c>
      <c r="C327" s="80"/>
      <c r="D327" s="80"/>
      <c r="E327" s="80" t="s">
        <v>381</v>
      </c>
      <c r="F327" s="80"/>
      <c r="G327" s="80" t="s">
        <v>106</v>
      </c>
      <c r="H327" s="80"/>
      <c r="I327" s="80"/>
      <c r="J327" s="80"/>
      <c r="K327" s="80"/>
      <c r="L327" s="81" t="str">
        <f aca="false">IF(K327="","",IFERROR(INDEX(BARDAGE!$C$7:$C$1506,MATCH(K327,BARDAGE!$B$7:$B$1506,0)),"? hors registre"))</f>
        <v/>
      </c>
      <c r="M327" s="80"/>
      <c r="N327" s="81" t="str">
        <f aca="false">IF(M327="","",IFERROR(INDEX(BARDAGE!$C$7:$C$1506,MATCH(M327,BARDAGE!$B$7:$B$1506,0)),"? hors registre"))</f>
        <v/>
      </c>
      <c r="O327" s="80"/>
      <c r="P327" s="80"/>
      <c r="Q327" s="80"/>
      <c r="R327" s="82"/>
      <c r="S327" s="82"/>
      <c r="T327" s="80"/>
      <c r="U327" s="80"/>
      <c r="V327" s="82"/>
      <c r="W327" s="80"/>
      <c r="X327" s="80"/>
      <c r="Y327" s="80"/>
      <c r="Z327" s="80"/>
      <c r="AA327" s="82"/>
      <c r="AB327" s="80"/>
      <c r="AC327" s="80"/>
      <c r="AD327" s="80"/>
      <c r="AE327" s="80"/>
      <c r="AF327" s="82"/>
      <c r="AG327" s="80"/>
      <c r="AH327" s="80"/>
      <c r="AI327" s="82"/>
      <c r="AJ327" s="79"/>
      <c r="AK327" s="78" t="n">
        <f aca="false">IF(E327="","",(X327&lt;&gt;"")+(AC327&lt;&gt;"")+(AH327&lt;&gt;""))</f>
        <v>0</v>
      </c>
      <c r="AL327" s="81" t="str">
        <f aca="false">IF(AH327&lt;&gt;"",AH327,IF(AC327&lt;&gt;"",AC327,IF(X327&lt;&gt;"",X327,"")))</f>
        <v/>
      </c>
      <c r="AM327" s="83" t="str">
        <f aca="false">IF(E327="","",IF(R327="","À SOUDER",IF(U327="","VT EN ATTENTE",IF(U327="R","VT REJETÉ – À REPRENDRE",IF(AL327="","À RADIOGRAPHIER",IF(AL327="A","ACCEPTÉ",IF(AL327="NX","NX – RT À REFAIRE",IF(IF(AK327=1,Z327,IF(AK327=2,AE327,""))="A","RÉPARÉ – À RADIOGRAPHIER",IF(IF(AK327=1,Z327,IF(AK327=2,AE327,""))="R","VT REJETÉ – À REPRENDRE",IF(OR(AL327="CO",AL327="NT"),"COUPE – À RESOUDER","À RÉPARER"))))))))))</f>
        <v>À SOUDER</v>
      </c>
      <c r="AN327" s="81" t="str">
        <f aca="false">IF(AND(ISNUMBER(R327),OR(AM327="À RADIOGRAPHIER",AM327="RÉPARÉ – À RADIOGRAPHIER",AM327="NX – RT À REFAIRE",AM327="À RÉPARER",AM327="COUPE – À RESOUDER",AM327="VT REJETÉ – À REPRENDRE")),MAX(0,'PROGRAMME RT'!$C$4-R327),"")</f>
        <v/>
      </c>
      <c r="AO327" s="78" t="n">
        <f aca="false">IF(AND(OR(AM327="À RADIOGRAPHIER",AM327="RÉPARÉ – À RADIOGRAPHIER",AM327="NX – RT À REFAIRE"),OR('PROGRAMME RT'!$D$5="TOUTES",B327='PROGRAMME RT'!$D$5)),1,0)</f>
        <v>0</v>
      </c>
      <c r="AP327" s="78" t="str">
        <f aca="false">IF(AO327=1,SUM(AO$7:AO327),"")</f>
        <v/>
      </c>
      <c r="AQ327" s="78" t="n">
        <f aca="false">IF(AND(OR(X327="R",X327="NX",X327="NT",X327="CO"),OR('JOINTS DE RÉPARATION'!$D$5="TOUTES",B327='JOINTS DE RÉPARATION'!$D$5),OR('JOINTS DE RÉPARATION'!$L$4="TOUS",AM327&lt;&gt;"ACCEPTÉ")),1,0)</f>
        <v>0</v>
      </c>
      <c r="AR327" s="78" t="str">
        <f aca="false">IF(AQ327=1,SUM(AQ$7:AQ327),"")</f>
        <v/>
      </c>
    </row>
    <row r="328" customFormat="false" ht="15" hidden="false" customHeight="false" outlineLevel="0" collapsed="false">
      <c r="A328" s="78" t="n">
        <f aca="false">IF(E328="","",ROW()-6)</f>
        <v>322</v>
      </c>
      <c r="B328" s="79" t="s">
        <v>575</v>
      </c>
      <c r="C328" s="80"/>
      <c r="D328" s="80"/>
      <c r="E328" s="80" t="s">
        <v>383</v>
      </c>
      <c r="F328" s="80"/>
      <c r="G328" s="80" t="s">
        <v>106</v>
      </c>
      <c r="H328" s="80"/>
      <c r="I328" s="80"/>
      <c r="J328" s="80"/>
      <c r="K328" s="80"/>
      <c r="L328" s="81" t="str">
        <f aca="false">IF(K328="","",IFERROR(INDEX(BARDAGE!$C$7:$C$1506,MATCH(K328,BARDAGE!$B$7:$B$1506,0)),"? hors registre"))</f>
        <v/>
      </c>
      <c r="M328" s="80"/>
      <c r="N328" s="81" t="str">
        <f aca="false">IF(M328="","",IFERROR(INDEX(BARDAGE!$C$7:$C$1506,MATCH(M328,BARDAGE!$B$7:$B$1506,0)),"? hors registre"))</f>
        <v/>
      </c>
      <c r="O328" s="80"/>
      <c r="P328" s="80"/>
      <c r="Q328" s="80"/>
      <c r="R328" s="82"/>
      <c r="S328" s="82"/>
      <c r="T328" s="80"/>
      <c r="U328" s="80"/>
      <c r="V328" s="82"/>
      <c r="W328" s="80"/>
      <c r="X328" s="80"/>
      <c r="Y328" s="80"/>
      <c r="Z328" s="80"/>
      <c r="AA328" s="82"/>
      <c r="AB328" s="80"/>
      <c r="AC328" s="80"/>
      <c r="AD328" s="80"/>
      <c r="AE328" s="80"/>
      <c r="AF328" s="82"/>
      <c r="AG328" s="80"/>
      <c r="AH328" s="80"/>
      <c r="AI328" s="82"/>
      <c r="AJ328" s="79"/>
      <c r="AK328" s="78" t="n">
        <f aca="false">IF(E328="","",(X328&lt;&gt;"")+(AC328&lt;&gt;"")+(AH328&lt;&gt;""))</f>
        <v>0</v>
      </c>
      <c r="AL328" s="81" t="str">
        <f aca="false">IF(AH328&lt;&gt;"",AH328,IF(AC328&lt;&gt;"",AC328,IF(X328&lt;&gt;"",X328,"")))</f>
        <v/>
      </c>
      <c r="AM328" s="83" t="str">
        <f aca="false">IF(E328="","",IF(R328="","À SOUDER",IF(U328="","VT EN ATTENTE",IF(U328="R","VT REJETÉ – À REPRENDRE",IF(AL328="","À RADIOGRAPHIER",IF(AL328="A","ACCEPTÉ",IF(AL328="NX","NX – RT À REFAIRE",IF(IF(AK328=1,Z328,IF(AK328=2,AE328,""))="A","RÉPARÉ – À RADIOGRAPHIER",IF(IF(AK328=1,Z328,IF(AK328=2,AE328,""))="R","VT REJETÉ – À REPRENDRE",IF(OR(AL328="CO",AL328="NT"),"COUPE – À RESOUDER","À RÉPARER"))))))))))</f>
        <v>À SOUDER</v>
      </c>
      <c r="AN328" s="81" t="str">
        <f aca="false">IF(AND(ISNUMBER(R328),OR(AM328="À RADIOGRAPHIER",AM328="RÉPARÉ – À RADIOGRAPHIER",AM328="NX – RT À REFAIRE",AM328="À RÉPARER",AM328="COUPE – À RESOUDER",AM328="VT REJETÉ – À REPRENDRE")),MAX(0,'PROGRAMME RT'!$C$4-R328),"")</f>
        <v/>
      </c>
      <c r="AO328" s="78" t="n">
        <f aca="false">IF(AND(OR(AM328="À RADIOGRAPHIER",AM328="RÉPARÉ – À RADIOGRAPHIER",AM328="NX – RT À REFAIRE"),OR('PROGRAMME RT'!$D$5="TOUTES",B328='PROGRAMME RT'!$D$5)),1,0)</f>
        <v>0</v>
      </c>
      <c r="AP328" s="78" t="str">
        <f aca="false">IF(AO328=1,SUM(AO$7:AO328),"")</f>
        <v/>
      </c>
      <c r="AQ328" s="78" t="n">
        <f aca="false">IF(AND(OR(X328="R",X328="NX",X328="NT",X328="CO"),OR('JOINTS DE RÉPARATION'!$D$5="TOUTES",B328='JOINTS DE RÉPARATION'!$D$5),OR('JOINTS DE RÉPARATION'!$L$4="TOUS",AM328&lt;&gt;"ACCEPTÉ")),1,0)</f>
        <v>0</v>
      </c>
      <c r="AR328" s="78" t="str">
        <f aca="false">IF(AQ328=1,SUM(AQ$7:AQ328),"")</f>
        <v/>
      </c>
    </row>
    <row r="329" customFormat="false" ht="15" hidden="false" customHeight="false" outlineLevel="0" collapsed="false">
      <c r="A329" s="78" t="n">
        <f aca="false">IF(E329="","",ROW()-6)</f>
        <v>323</v>
      </c>
      <c r="B329" s="79" t="s">
        <v>575</v>
      </c>
      <c r="C329" s="80"/>
      <c r="D329" s="80"/>
      <c r="E329" s="80" t="s">
        <v>385</v>
      </c>
      <c r="F329" s="80"/>
      <c r="G329" s="80" t="s">
        <v>106</v>
      </c>
      <c r="H329" s="80"/>
      <c r="I329" s="80"/>
      <c r="J329" s="80"/>
      <c r="K329" s="80"/>
      <c r="L329" s="81" t="str">
        <f aca="false">IF(K329="","",IFERROR(INDEX(BARDAGE!$C$7:$C$1506,MATCH(K329,BARDAGE!$B$7:$B$1506,0)),"? hors registre"))</f>
        <v/>
      </c>
      <c r="M329" s="80"/>
      <c r="N329" s="81" t="str">
        <f aca="false">IF(M329="","",IFERROR(INDEX(BARDAGE!$C$7:$C$1506,MATCH(M329,BARDAGE!$B$7:$B$1506,0)),"? hors registre"))</f>
        <v/>
      </c>
      <c r="O329" s="80"/>
      <c r="P329" s="80"/>
      <c r="Q329" s="80"/>
      <c r="R329" s="82"/>
      <c r="S329" s="82"/>
      <c r="T329" s="80"/>
      <c r="U329" s="80"/>
      <c r="V329" s="82"/>
      <c r="W329" s="80"/>
      <c r="X329" s="80"/>
      <c r="Y329" s="80"/>
      <c r="Z329" s="80"/>
      <c r="AA329" s="82"/>
      <c r="AB329" s="80"/>
      <c r="AC329" s="80"/>
      <c r="AD329" s="80"/>
      <c r="AE329" s="80"/>
      <c r="AF329" s="82"/>
      <c r="AG329" s="80"/>
      <c r="AH329" s="80"/>
      <c r="AI329" s="82"/>
      <c r="AJ329" s="79"/>
      <c r="AK329" s="78" t="n">
        <f aca="false">IF(E329="","",(X329&lt;&gt;"")+(AC329&lt;&gt;"")+(AH329&lt;&gt;""))</f>
        <v>0</v>
      </c>
      <c r="AL329" s="81" t="str">
        <f aca="false">IF(AH329&lt;&gt;"",AH329,IF(AC329&lt;&gt;"",AC329,IF(X329&lt;&gt;"",X329,"")))</f>
        <v/>
      </c>
      <c r="AM329" s="83" t="str">
        <f aca="false">IF(E329="","",IF(R329="","À SOUDER",IF(U329="","VT EN ATTENTE",IF(U329="R","VT REJETÉ – À REPRENDRE",IF(AL329="","À RADIOGRAPHIER",IF(AL329="A","ACCEPTÉ",IF(AL329="NX","NX – RT À REFAIRE",IF(IF(AK329=1,Z329,IF(AK329=2,AE329,""))="A","RÉPARÉ – À RADIOGRAPHIER",IF(IF(AK329=1,Z329,IF(AK329=2,AE329,""))="R","VT REJETÉ – À REPRENDRE",IF(OR(AL329="CO",AL329="NT"),"COUPE – À RESOUDER","À RÉPARER"))))))))))</f>
        <v>À SOUDER</v>
      </c>
      <c r="AN329" s="81" t="str">
        <f aca="false">IF(AND(ISNUMBER(R329),OR(AM329="À RADIOGRAPHIER",AM329="RÉPARÉ – À RADIOGRAPHIER",AM329="NX – RT À REFAIRE",AM329="À RÉPARER",AM329="COUPE – À RESOUDER",AM329="VT REJETÉ – À REPRENDRE")),MAX(0,'PROGRAMME RT'!$C$4-R329),"")</f>
        <v/>
      </c>
      <c r="AO329" s="78" t="n">
        <f aca="false">IF(AND(OR(AM329="À RADIOGRAPHIER",AM329="RÉPARÉ – À RADIOGRAPHIER",AM329="NX – RT À REFAIRE"),OR('PROGRAMME RT'!$D$5="TOUTES",B329='PROGRAMME RT'!$D$5)),1,0)</f>
        <v>0</v>
      </c>
      <c r="AP329" s="78" t="str">
        <f aca="false">IF(AO329=1,SUM(AO$7:AO329),"")</f>
        <v/>
      </c>
      <c r="AQ329" s="78" t="n">
        <f aca="false">IF(AND(OR(X329="R",X329="NX",X329="NT",X329="CO"),OR('JOINTS DE RÉPARATION'!$D$5="TOUTES",B329='JOINTS DE RÉPARATION'!$D$5),OR('JOINTS DE RÉPARATION'!$L$4="TOUS",AM329&lt;&gt;"ACCEPTÉ")),1,0)</f>
        <v>0</v>
      </c>
      <c r="AR329" s="78" t="str">
        <f aca="false">IF(AQ329=1,SUM(AQ$7:AQ329),"")</f>
        <v/>
      </c>
    </row>
    <row r="330" customFormat="false" ht="15" hidden="false" customHeight="false" outlineLevel="0" collapsed="false">
      <c r="A330" s="78" t="n">
        <f aca="false">IF(E330="","",ROW()-6)</f>
        <v>324</v>
      </c>
      <c r="B330" s="79" t="s">
        <v>575</v>
      </c>
      <c r="C330" s="80"/>
      <c r="D330" s="80"/>
      <c r="E330" s="80" t="s">
        <v>387</v>
      </c>
      <c r="F330" s="80"/>
      <c r="G330" s="80" t="s">
        <v>106</v>
      </c>
      <c r="H330" s="80"/>
      <c r="I330" s="80"/>
      <c r="J330" s="80"/>
      <c r="K330" s="80"/>
      <c r="L330" s="81" t="str">
        <f aca="false">IF(K330="","",IFERROR(INDEX(BARDAGE!$C$7:$C$1506,MATCH(K330,BARDAGE!$B$7:$B$1506,0)),"? hors registre"))</f>
        <v/>
      </c>
      <c r="M330" s="80"/>
      <c r="N330" s="81" t="str">
        <f aca="false">IF(M330="","",IFERROR(INDEX(BARDAGE!$C$7:$C$1506,MATCH(M330,BARDAGE!$B$7:$B$1506,0)),"? hors registre"))</f>
        <v/>
      </c>
      <c r="O330" s="80"/>
      <c r="P330" s="80"/>
      <c r="Q330" s="80"/>
      <c r="R330" s="82"/>
      <c r="S330" s="82"/>
      <c r="T330" s="80"/>
      <c r="U330" s="80"/>
      <c r="V330" s="82"/>
      <c r="W330" s="80"/>
      <c r="X330" s="80"/>
      <c r="Y330" s="80"/>
      <c r="Z330" s="80"/>
      <c r="AA330" s="82"/>
      <c r="AB330" s="80"/>
      <c r="AC330" s="80"/>
      <c r="AD330" s="80"/>
      <c r="AE330" s="80"/>
      <c r="AF330" s="82"/>
      <c r="AG330" s="80"/>
      <c r="AH330" s="80"/>
      <c r="AI330" s="82"/>
      <c r="AJ330" s="79"/>
      <c r="AK330" s="78" t="n">
        <f aca="false">IF(E330="","",(X330&lt;&gt;"")+(AC330&lt;&gt;"")+(AH330&lt;&gt;""))</f>
        <v>0</v>
      </c>
      <c r="AL330" s="81" t="str">
        <f aca="false">IF(AH330&lt;&gt;"",AH330,IF(AC330&lt;&gt;"",AC330,IF(X330&lt;&gt;"",X330,"")))</f>
        <v/>
      </c>
      <c r="AM330" s="83" t="str">
        <f aca="false">IF(E330="","",IF(R330="","À SOUDER",IF(U330="","VT EN ATTENTE",IF(U330="R","VT REJETÉ – À REPRENDRE",IF(AL330="","À RADIOGRAPHIER",IF(AL330="A","ACCEPTÉ",IF(AL330="NX","NX – RT À REFAIRE",IF(IF(AK330=1,Z330,IF(AK330=2,AE330,""))="A","RÉPARÉ – À RADIOGRAPHIER",IF(IF(AK330=1,Z330,IF(AK330=2,AE330,""))="R","VT REJETÉ – À REPRENDRE",IF(OR(AL330="CO",AL330="NT"),"COUPE – À RESOUDER","À RÉPARER"))))))))))</f>
        <v>À SOUDER</v>
      </c>
      <c r="AN330" s="81" t="str">
        <f aca="false">IF(AND(ISNUMBER(R330),OR(AM330="À RADIOGRAPHIER",AM330="RÉPARÉ – À RADIOGRAPHIER",AM330="NX – RT À REFAIRE",AM330="À RÉPARER",AM330="COUPE – À RESOUDER",AM330="VT REJETÉ – À REPRENDRE")),MAX(0,'PROGRAMME RT'!$C$4-R330),"")</f>
        <v/>
      </c>
      <c r="AO330" s="78" t="n">
        <f aca="false">IF(AND(OR(AM330="À RADIOGRAPHIER",AM330="RÉPARÉ – À RADIOGRAPHIER",AM330="NX – RT À REFAIRE"),OR('PROGRAMME RT'!$D$5="TOUTES",B330='PROGRAMME RT'!$D$5)),1,0)</f>
        <v>0</v>
      </c>
      <c r="AP330" s="78" t="str">
        <f aca="false">IF(AO330=1,SUM(AO$7:AO330),"")</f>
        <v/>
      </c>
      <c r="AQ330" s="78" t="n">
        <f aca="false">IF(AND(OR(X330="R",X330="NX",X330="NT",X330="CO"),OR('JOINTS DE RÉPARATION'!$D$5="TOUTES",B330='JOINTS DE RÉPARATION'!$D$5),OR('JOINTS DE RÉPARATION'!$L$4="TOUS",AM330&lt;&gt;"ACCEPTÉ")),1,0)</f>
        <v>0</v>
      </c>
      <c r="AR330" s="78" t="str">
        <f aca="false">IF(AQ330=1,SUM(AQ$7:AQ330),"")</f>
        <v/>
      </c>
    </row>
    <row r="331" customFormat="false" ht="15" hidden="false" customHeight="false" outlineLevel="0" collapsed="false">
      <c r="A331" s="78" t="n">
        <f aca="false">IF(E331="","",ROW()-6)</f>
        <v>325</v>
      </c>
      <c r="B331" s="79" t="s">
        <v>575</v>
      </c>
      <c r="C331" s="80"/>
      <c r="D331" s="80"/>
      <c r="E331" s="80" t="s">
        <v>390</v>
      </c>
      <c r="F331" s="80"/>
      <c r="G331" s="80" t="s">
        <v>106</v>
      </c>
      <c r="H331" s="80"/>
      <c r="I331" s="80"/>
      <c r="J331" s="80"/>
      <c r="K331" s="80"/>
      <c r="L331" s="81" t="str">
        <f aca="false">IF(K331="","",IFERROR(INDEX(BARDAGE!$C$7:$C$1506,MATCH(K331,BARDAGE!$B$7:$B$1506,0)),"? hors registre"))</f>
        <v/>
      </c>
      <c r="M331" s="80"/>
      <c r="N331" s="81" t="str">
        <f aca="false">IF(M331="","",IFERROR(INDEX(BARDAGE!$C$7:$C$1506,MATCH(M331,BARDAGE!$B$7:$B$1506,0)),"? hors registre"))</f>
        <v/>
      </c>
      <c r="O331" s="80"/>
      <c r="P331" s="80"/>
      <c r="Q331" s="80"/>
      <c r="R331" s="82"/>
      <c r="S331" s="82"/>
      <c r="T331" s="80"/>
      <c r="U331" s="80"/>
      <c r="V331" s="82"/>
      <c r="W331" s="80"/>
      <c r="X331" s="80"/>
      <c r="Y331" s="80"/>
      <c r="Z331" s="80"/>
      <c r="AA331" s="82"/>
      <c r="AB331" s="80"/>
      <c r="AC331" s="80"/>
      <c r="AD331" s="80"/>
      <c r="AE331" s="80"/>
      <c r="AF331" s="82"/>
      <c r="AG331" s="80"/>
      <c r="AH331" s="80"/>
      <c r="AI331" s="82"/>
      <c r="AJ331" s="79"/>
      <c r="AK331" s="78" t="n">
        <f aca="false">IF(E331="","",(X331&lt;&gt;"")+(AC331&lt;&gt;"")+(AH331&lt;&gt;""))</f>
        <v>0</v>
      </c>
      <c r="AL331" s="81" t="str">
        <f aca="false">IF(AH331&lt;&gt;"",AH331,IF(AC331&lt;&gt;"",AC331,IF(X331&lt;&gt;"",X331,"")))</f>
        <v/>
      </c>
      <c r="AM331" s="83" t="str">
        <f aca="false">IF(E331="","",IF(R331="","À SOUDER",IF(U331="","VT EN ATTENTE",IF(U331="R","VT REJETÉ – À REPRENDRE",IF(AL331="","À RADIOGRAPHIER",IF(AL331="A","ACCEPTÉ",IF(AL331="NX","NX – RT À REFAIRE",IF(IF(AK331=1,Z331,IF(AK331=2,AE331,""))="A","RÉPARÉ – À RADIOGRAPHIER",IF(IF(AK331=1,Z331,IF(AK331=2,AE331,""))="R","VT REJETÉ – À REPRENDRE",IF(OR(AL331="CO",AL331="NT"),"COUPE – À RESOUDER","À RÉPARER"))))))))))</f>
        <v>À SOUDER</v>
      </c>
      <c r="AN331" s="81" t="str">
        <f aca="false">IF(AND(ISNUMBER(R331),OR(AM331="À RADIOGRAPHIER",AM331="RÉPARÉ – À RADIOGRAPHIER",AM331="NX – RT À REFAIRE",AM331="À RÉPARER",AM331="COUPE – À RESOUDER",AM331="VT REJETÉ – À REPRENDRE")),MAX(0,'PROGRAMME RT'!$C$4-R331),"")</f>
        <v/>
      </c>
      <c r="AO331" s="78" t="n">
        <f aca="false">IF(AND(OR(AM331="À RADIOGRAPHIER",AM331="RÉPARÉ – À RADIOGRAPHIER",AM331="NX – RT À REFAIRE"),OR('PROGRAMME RT'!$D$5="TOUTES",B331='PROGRAMME RT'!$D$5)),1,0)</f>
        <v>0</v>
      </c>
      <c r="AP331" s="78" t="str">
        <f aca="false">IF(AO331=1,SUM(AO$7:AO331),"")</f>
        <v/>
      </c>
      <c r="AQ331" s="78" t="n">
        <f aca="false">IF(AND(OR(X331="R",X331="NX",X331="NT",X331="CO"),OR('JOINTS DE RÉPARATION'!$D$5="TOUTES",B331='JOINTS DE RÉPARATION'!$D$5),OR('JOINTS DE RÉPARATION'!$L$4="TOUS",AM331&lt;&gt;"ACCEPTÉ")),1,0)</f>
        <v>0</v>
      </c>
      <c r="AR331" s="78" t="str">
        <f aca="false">IF(AQ331=1,SUM(AQ$7:AQ331),"")</f>
        <v/>
      </c>
    </row>
    <row r="332" customFormat="false" ht="15" hidden="false" customHeight="false" outlineLevel="0" collapsed="false">
      <c r="A332" s="78" t="n">
        <f aca="false">IF(E332="","",ROW()-6)</f>
        <v>326</v>
      </c>
      <c r="B332" s="79" t="s">
        <v>575</v>
      </c>
      <c r="C332" s="80"/>
      <c r="D332" s="80"/>
      <c r="E332" s="80" t="s">
        <v>392</v>
      </c>
      <c r="F332" s="80"/>
      <c r="G332" s="80" t="s">
        <v>106</v>
      </c>
      <c r="H332" s="80"/>
      <c r="I332" s="80"/>
      <c r="J332" s="80"/>
      <c r="K332" s="80"/>
      <c r="L332" s="81" t="str">
        <f aca="false">IF(K332="","",IFERROR(INDEX(BARDAGE!$C$7:$C$1506,MATCH(K332,BARDAGE!$B$7:$B$1506,0)),"? hors registre"))</f>
        <v/>
      </c>
      <c r="M332" s="80"/>
      <c r="N332" s="81" t="str">
        <f aca="false">IF(M332="","",IFERROR(INDEX(BARDAGE!$C$7:$C$1506,MATCH(M332,BARDAGE!$B$7:$B$1506,0)),"? hors registre"))</f>
        <v/>
      </c>
      <c r="O332" s="80"/>
      <c r="P332" s="80"/>
      <c r="Q332" s="80"/>
      <c r="R332" s="82"/>
      <c r="S332" s="82"/>
      <c r="T332" s="80"/>
      <c r="U332" s="80"/>
      <c r="V332" s="82"/>
      <c r="W332" s="80"/>
      <c r="X332" s="80"/>
      <c r="Y332" s="80"/>
      <c r="Z332" s="80"/>
      <c r="AA332" s="82"/>
      <c r="AB332" s="80"/>
      <c r="AC332" s="80"/>
      <c r="AD332" s="80"/>
      <c r="AE332" s="80"/>
      <c r="AF332" s="82"/>
      <c r="AG332" s="80"/>
      <c r="AH332" s="80"/>
      <c r="AI332" s="82"/>
      <c r="AJ332" s="79"/>
      <c r="AK332" s="78" t="n">
        <f aca="false">IF(E332="","",(X332&lt;&gt;"")+(AC332&lt;&gt;"")+(AH332&lt;&gt;""))</f>
        <v>0</v>
      </c>
      <c r="AL332" s="81" t="str">
        <f aca="false">IF(AH332&lt;&gt;"",AH332,IF(AC332&lt;&gt;"",AC332,IF(X332&lt;&gt;"",X332,"")))</f>
        <v/>
      </c>
      <c r="AM332" s="83" t="str">
        <f aca="false">IF(E332="","",IF(R332="","À SOUDER",IF(U332="","VT EN ATTENTE",IF(U332="R","VT REJETÉ – À REPRENDRE",IF(AL332="","À RADIOGRAPHIER",IF(AL332="A","ACCEPTÉ",IF(AL332="NX","NX – RT À REFAIRE",IF(IF(AK332=1,Z332,IF(AK332=2,AE332,""))="A","RÉPARÉ – À RADIOGRAPHIER",IF(IF(AK332=1,Z332,IF(AK332=2,AE332,""))="R","VT REJETÉ – À REPRENDRE",IF(OR(AL332="CO",AL332="NT"),"COUPE – À RESOUDER","À RÉPARER"))))))))))</f>
        <v>À SOUDER</v>
      </c>
      <c r="AN332" s="81" t="str">
        <f aca="false">IF(AND(ISNUMBER(R332),OR(AM332="À RADIOGRAPHIER",AM332="RÉPARÉ – À RADIOGRAPHIER",AM332="NX – RT À REFAIRE",AM332="À RÉPARER",AM332="COUPE – À RESOUDER",AM332="VT REJETÉ – À REPRENDRE")),MAX(0,'PROGRAMME RT'!$C$4-R332),"")</f>
        <v/>
      </c>
      <c r="AO332" s="78" t="n">
        <f aca="false">IF(AND(OR(AM332="À RADIOGRAPHIER",AM332="RÉPARÉ – À RADIOGRAPHIER",AM332="NX – RT À REFAIRE"),OR('PROGRAMME RT'!$D$5="TOUTES",B332='PROGRAMME RT'!$D$5)),1,0)</f>
        <v>0</v>
      </c>
      <c r="AP332" s="78" t="str">
        <f aca="false">IF(AO332=1,SUM(AO$7:AO332),"")</f>
        <v/>
      </c>
      <c r="AQ332" s="78" t="n">
        <f aca="false">IF(AND(OR(X332="R",X332="NX",X332="NT",X332="CO"),OR('JOINTS DE RÉPARATION'!$D$5="TOUTES",B332='JOINTS DE RÉPARATION'!$D$5),OR('JOINTS DE RÉPARATION'!$L$4="TOUS",AM332&lt;&gt;"ACCEPTÉ")),1,0)</f>
        <v>0</v>
      </c>
      <c r="AR332" s="78" t="str">
        <f aca="false">IF(AQ332=1,SUM(AQ$7:AQ332),"")</f>
        <v/>
      </c>
    </row>
    <row r="333" customFormat="false" ht="15" hidden="false" customHeight="false" outlineLevel="0" collapsed="false">
      <c r="A333" s="78" t="n">
        <f aca="false">IF(E333="","",ROW()-6)</f>
        <v>327</v>
      </c>
      <c r="B333" s="79" t="s">
        <v>575</v>
      </c>
      <c r="C333" s="80"/>
      <c r="D333" s="80"/>
      <c r="E333" s="80" t="s">
        <v>581</v>
      </c>
      <c r="F333" s="80"/>
      <c r="G333" s="80" t="s">
        <v>106</v>
      </c>
      <c r="H333" s="80"/>
      <c r="I333" s="80"/>
      <c r="J333" s="80"/>
      <c r="K333" s="80"/>
      <c r="L333" s="81" t="str">
        <f aca="false">IF(K333="","",IFERROR(INDEX(BARDAGE!$C$7:$C$1506,MATCH(K333,BARDAGE!$B$7:$B$1506,0)),"? hors registre"))</f>
        <v/>
      </c>
      <c r="M333" s="80"/>
      <c r="N333" s="81" t="str">
        <f aca="false">IF(M333="","",IFERROR(INDEX(BARDAGE!$C$7:$C$1506,MATCH(M333,BARDAGE!$B$7:$B$1506,0)),"? hors registre"))</f>
        <v/>
      </c>
      <c r="O333" s="80"/>
      <c r="P333" s="80"/>
      <c r="Q333" s="80"/>
      <c r="R333" s="82"/>
      <c r="S333" s="82"/>
      <c r="T333" s="80"/>
      <c r="U333" s="80"/>
      <c r="V333" s="82"/>
      <c r="W333" s="80"/>
      <c r="X333" s="80"/>
      <c r="Y333" s="80"/>
      <c r="Z333" s="80"/>
      <c r="AA333" s="82"/>
      <c r="AB333" s="80"/>
      <c r="AC333" s="80"/>
      <c r="AD333" s="80"/>
      <c r="AE333" s="80"/>
      <c r="AF333" s="82"/>
      <c r="AG333" s="80"/>
      <c r="AH333" s="80"/>
      <c r="AI333" s="82"/>
      <c r="AJ333" s="79"/>
      <c r="AK333" s="78" t="n">
        <f aca="false">IF(E333="","",(X333&lt;&gt;"")+(AC333&lt;&gt;"")+(AH333&lt;&gt;""))</f>
        <v>0</v>
      </c>
      <c r="AL333" s="81" t="str">
        <f aca="false">IF(AH333&lt;&gt;"",AH333,IF(AC333&lt;&gt;"",AC333,IF(X333&lt;&gt;"",X333,"")))</f>
        <v/>
      </c>
      <c r="AM333" s="83" t="str">
        <f aca="false">IF(E333="","",IF(R333="","À SOUDER",IF(U333="","VT EN ATTENTE",IF(U333="R","VT REJETÉ – À REPRENDRE",IF(AL333="","À RADIOGRAPHIER",IF(AL333="A","ACCEPTÉ",IF(AL333="NX","NX – RT À REFAIRE",IF(IF(AK333=1,Z333,IF(AK333=2,AE333,""))="A","RÉPARÉ – À RADIOGRAPHIER",IF(IF(AK333=1,Z333,IF(AK333=2,AE333,""))="R","VT REJETÉ – À REPRENDRE",IF(OR(AL333="CO",AL333="NT"),"COUPE – À RESOUDER","À RÉPARER"))))))))))</f>
        <v>À SOUDER</v>
      </c>
      <c r="AN333" s="81" t="str">
        <f aca="false">IF(AND(ISNUMBER(R333),OR(AM333="À RADIOGRAPHIER",AM333="RÉPARÉ – À RADIOGRAPHIER",AM333="NX – RT À REFAIRE",AM333="À RÉPARER",AM333="COUPE – À RESOUDER",AM333="VT REJETÉ – À REPRENDRE")),MAX(0,'PROGRAMME RT'!$C$4-R333),"")</f>
        <v/>
      </c>
      <c r="AO333" s="78" t="n">
        <f aca="false">IF(AND(OR(AM333="À RADIOGRAPHIER",AM333="RÉPARÉ – À RADIOGRAPHIER",AM333="NX – RT À REFAIRE"),OR('PROGRAMME RT'!$D$5="TOUTES",B333='PROGRAMME RT'!$D$5)),1,0)</f>
        <v>0</v>
      </c>
      <c r="AP333" s="78" t="str">
        <f aca="false">IF(AO333=1,SUM(AO$7:AO333),"")</f>
        <v/>
      </c>
      <c r="AQ333" s="78" t="n">
        <f aca="false">IF(AND(OR(X333="R",X333="NX",X333="NT",X333="CO"),OR('JOINTS DE RÉPARATION'!$D$5="TOUTES",B333='JOINTS DE RÉPARATION'!$D$5),OR('JOINTS DE RÉPARATION'!$L$4="TOUS",AM333&lt;&gt;"ACCEPTÉ")),1,0)</f>
        <v>0</v>
      </c>
      <c r="AR333" s="78" t="str">
        <f aca="false">IF(AQ333=1,SUM(AQ$7:AQ333),"")</f>
        <v/>
      </c>
    </row>
    <row r="334" customFormat="false" ht="15" hidden="false" customHeight="false" outlineLevel="0" collapsed="false">
      <c r="A334" s="78" t="n">
        <f aca="false">IF(E334="","",ROW()-6)</f>
        <v>328</v>
      </c>
      <c r="B334" s="79" t="s">
        <v>575</v>
      </c>
      <c r="C334" s="80"/>
      <c r="D334" s="80"/>
      <c r="E334" s="80" t="s">
        <v>397</v>
      </c>
      <c r="F334" s="80"/>
      <c r="G334" s="80" t="s">
        <v>106</v>
      </c>
      <c r="H334" s="80"/>
      <c r="I334" s="80"/>
      <c r="J334" s="80"/>
      <c r="K334" s="80"/>
      <c r="L334" s="81" t="str">
        <f aca="false">IF(K334="","",IFERROR(INDEX(BARDAGE!$C$7:$C$1506,MATCH(K334,BARDAGE!$B$7:$B$1506,0)),"? hors registre"))</f>
        <v/>
      </c>
      <c r="M334" s="80"/>
      <c r="N334" s="81" t="str">
        <f aca="false">IF(M334="","",IFERROR(INDEX(BARDAGE!$C$7:$C$1506,MATCH(M334,BARDAGE!$B$7:$B$1506,0)),"? hors registre"))</f>
        <v/>
      </c>
      <c r="O334" s="80"/>
      <c r="P334" s="80"/>
      <c r="Q334" s="80"/>
      <c r="R334" s="82"/>
      <c r="S334" s="82"/>
      <c r="T334" s="80"/>
      <c r="U334" s="80"/>
      <c r="V334" s="82"/>
      <c r="W334" s="80"/>
      <c r="X334" s="80"/>
      <c r="Y334" s="80"/>
      <c r="Z334" s="80"/>
      <c r="AA334" s="82"/>
      <c r="AB334" s="80"/>
      <c r="AC334" s="80"/>
      <c r="AD334" s="80"/>
      <c r="AE334" s="80"/>
      <c r="AF334" s="82"/>
      <c r="AG334" s="80"/>
      <c r="AH334" s="80"/>
      <c r="AI334" s="82"/>
      <c r="AJ334" s="79"/>
      <c r="AK334" s="78" t="n">
        <f aca="false">IF(E334="","",(X334&lt;&gt;"")+(AC334&lt;&gt;"")+(AH334&lt;&gt;""))</f>
        <v>0</v>
      </c>
      <c r="AL334" s="81" t="str">
        <f aca="false">IF(AH334&lt;&gt;"",AH334,IF(AC334&lt;&gt;"",AC334,IF(X334&lt;&gt;"",X334,"")))</f>
        <v/>
      </c>
      <c r="AM334" s="83" t="str">
        <f aca="false">IF(E334="","",IF(R334="","À SOUDER",IF(U334="","VT EN ATTENTE",IF(U334="R","VT REJETÉ – À REPRENDRE",IF(AL334="","À RADIOGRAPHIER",IF(AL334="A","ACCEPTÉ",IF(AL334="NX","NX – RT À REFAIRE",IF(IF(AK334=1,Z334,IF(AK334=2,AE334,""))="A","RÉPARÉ – À RADIOGRAPHIER",IF(IF(AK334=1,Z334,IF(AK334=2,AE334,""))="R","VT REJETÉ – À REPRENDRE",IF(OR(AL334="CO",AL334="NT"),"COUPE – À RESOUDER","À RÉPARER"))))))))))</f>
        <v>À SOUDER</v>
      </c>
      <c r="AN334" s="81" t="str">
        <f aca="false">IF(AND(ISNUMBER(R334),OR(AM334="À RADIOGRAPHIER",AM334="RÉPARÉ – À RADIOGRAPHIER",AM334="NX – RT À REFAIRE",AM334="À RÉPARER",AM334="COUPE – À RESOUDER",AM334="VT REJETÉ – À REPRENDRE")),MAX(0,'PROGRAMME RT'!$C$4-R334),"")</f>
        <v/>
      </c>
      <c r="AO334" s="78" t="n">
        <f aca="false">IF(AND(OR(AM334="À RADIOGRAPHIER",AM334="RÉPARÉ – À RADIOGRAPHIER",AM334="NX – RT À REFAIRE"),OR('PROGRAMME RT'!$D$5="TOUTES",B334='PROGRAMME RT'!$D$5)),1,0)</f>
        <v>0</v>
      </c>
      <c r="AP334" s="78" t="str">
        <f aca="false">IF(AO334=1,SUM(AO$7:AO334),"")</f>
        <v/>
      </c>
      <c r="AQ334" s="78" t="n">
        <f aca="false">IF(AND(OR(X334="R",X334="NX",X334="NT",X334="CO"),OR('JOINTS DE RÉPARATION'!$D$5="TOUTES",B334='JOINTS DE RÉPARATION'!$D$5),OR('JOINTS DE RÉPARATION'!$L$4="TOUS",AM334&lt;&gt;"ACCEPTÉ")),1,0)</f>
        <v>0</v>
      </c>
      <c r="AR334" s="78" t="str">
        <f aca="false">IF(AQ334=1,SUM(AQ$7:AQ334),"")</f>
        <v/>
      </c>
    </row>
    <row r="335" customFormat="false" ht="15" hidden="false" customHeight="false" outlineLevel="0" collapsed="false">
      <c r="A335" s="78" t="n">
        <f aca="false">IF(E335="","",ROW()-6)</f>
        <v>329</v>
      </c>
      <c r="B335" s="79" t="s">
        <v>575</v>
      </c>
      <c r="C335" s="80"/>
      <c r="D335" s="80"/>
      <c r="E335" s="80" t="s">
        <v>400</v>
      </c>
      <c r="F335" s="80"/>
      <c r="G335" s="80" t="s">
        <v>106</v>
      </c>
      <c r="H335" s="80"/>
      <c r="I335" s="80"/>
      <c r="J335" s="80"/>
      <c r="K335" s="80"/>
      <c r="L335" s="81" t="str">
        <f aca="false">IF(K335="","",IFERROR(INDEX(BARDAGE!$C$7:$C$1506,MATCH(K335,BARDAGE!$B$7:$B$1506,0)),"? hors registre"))</f>
        <v/>
      </c>
      <c r="M335" s="80"/>
      <c r="N335" s="81" t="str">
        <f aca="false">IF(M335="","",IFERROR(INDEX(BARDAGE!$C$7:$C$1506,MATCH(M335,BARDAGE!$B$7:$B$1506,0)),"? hors registre"))</f>
        <v/>
      </c>
      <c r="O335" s="80"/>
      <c r="P335" s="80"/>
      <c r="Q335" s="80"/>
      <c r="R335" s="82"/>
      <c r="S335" s="82"/>
      <c r="T335" s="80"/>
      <c r="U335" s="80"/>
      <c r="V335" s="82"/>
      <c r="W335" s="80"/>
      <c r="X335" s="80"/>
      <c r="Y335" s="80"/>
      <c r="Z335" s="80"/>
      <c r="AA335" s="82"/>
      <c r="AB335" s="80"/>
      <c r="AC335" s="80"/>
      <c r="AD335" s="80"/>
      <c r="AE335" s="80"/>
      <c r="AF335" s="82"/>
      <c r="AG335" s="80"/>
      <c r="AH335" s="80"/>
      <c r="AI335" s="82"/>
      <c r="AJ335" s="79"/>
      <c r="AK335" s="78" t="n">
        <f aca="false">IF(E335="","",(X335&lt;&gt;"")+(AC335&lt;&gt;"")+(AH335&lt;&gt;""))</f>
        <v>0</v>
      </c>
      <c r="AL335" s="81" t="str">
        <f aca="false">IF(AH335&lt;&gt;"",AH335,IF(AC335&lt;&gt;"",AC335,IF(X335&lt;&gt;"",X335,"")))</f>
        <v/>
      </c>
      <c r="AM335" s="83" t="str">
        <f aca="false">IF(E335="","",IF(R335="","À SOUDER",IF(U335="","VT EN ATTENTE",IF(U335="R","VT REJETÉ – À REPRENDRE",IF(AL335="","À RADIOGRAPHIER",IF(AL335="A","ACCEPTÉ",IF(AL335="NX","NX – RT À REFAIRE",IF(IF(AK335=1,Z335,IF(AK335=2,AE335,""))="A","RÉPARÉ – À RADIOGRAPHIER",IF(IF(AK335=1,Z335,IF(AK335=2,AE335,""))="R","VT REJETÉ – À REPRENDRE",IF(OR(AL335="CO",AL335="NT"),"COUPE – À RESOUDER","À RÉPARER"))))))))))</f>
        <v>À SOUDER</v>
      </c>
      <c r="AN335" s="81" t="str">
        <f aca="false">IF(AND(ISNUMBER(R335),OR(AM335="À RADIOGRAPHIER",AM335="RÉPARÉ – À RADIOGRAPHIER",AM335="NX – RT À REFAIRE",AM335="À RÉPARER",AM335="COUPE – À RESOUDER",AM335="VT REJETÉ – À REPRENDRE")),MAX(0,'PROGRAMME RT'!$C$4-R335),"")</f>
        <v/>
      </c>
      <c r="AO335" s="78" t="n">
        <f aca="false">IF(AND(OR(AM335="À RADIOGRAPHIER",AM335="RÉPARÉ – À RADIOGRAPHIER",AM335="NX – RT À REFAIRE"),OR('PROGRAMME RT'!$D$5="TOUTES",B335='PROGRAMME RT'!$D$5)),1,0)</f>
        <v>0</v>
      </c>
      <c r="AP335" s="78" t="str">
        <f aca="false">IF(AO335=1,SUM(AO$7:AO335),"")</f>
        <v/>
      </c>
      <c r="AQ335" s="78" t="n">
        <f aca="false">IF(AND(OR(X335="R",X335="NX",X335="NT",X335="CO"),OR('JOINTS DE RÉPARATION'!$D$5="TOUTES",B335='JOINTS DE RÉPARATION'!$D$5),OR('JOINTS DE RÉPARATION'!$L$4="TOUS",AM335&lt;&gt;"ACCEPTÉ")),1,0)</f>
        <v>0</v>
      </c>
      <c r="AR335" s="78" t="str">
        <f aca="false">IF(AQ335=1,SUM(AQ$7:AQ335),"")</f>
        <v/>
      </c>
    </row>
    <row r="336" customFormat="false" ht="15" hidden="false" customHeight="false" outlineLevel="0" collapsed="false">
      <c r="A336" s="78" t="n">
        <f aca="false">IF(E336="","",ROW()-6)</f>
        <v>330</v>
      </c>
      <c r="B336" s="79" t="s">
        <v>575</v>
      </c>
      <c r="C336" s="80"/>
      <c r="D336" s="80"/>
      <c r="E336" s="80" t="s">
        <v>402</v>
      </c>
      <c r="F336" s="80"/>
      <c r="G336" s="80" t="s">
        <v>106</v>
      </c>
      <c r="H336" s="80"/>
      <c r="I336" s="80"/>
      <c r="J336" s="80"/>
      <c r="K336" s="80"/>
      <c r="L336" s="81" t="str">
        <f aca="false">IF(K336="","",IFERROR(INDEX(BARDAGE!$C$7:$C$1506,MATCH(K336,BARDAGE!$B$7:$B$1506,0)),"? hors registre"))</f>
        <v/>
      </c>
      <c r="M336" s="80"/>
      <c r="N336" s="81" t="str">
        <f aca="false">IF(M336="","",IFERROR(INDEX(BARDAGE!$C$7:$C$1506,MATCH(M336,BARDAGE!$B$7:$B$1506,0)),"? hors registre"))</f>
        <v/>
      </c>
      <c r="O336" s="80"/>
      <c r="P336" s="80"/>
      <c r="Q336" s="80"/>
      <c r="R336" s="82"/>
      <c r="S336" s="82"/>
      <c r="T336" s="80"/>
      <c r="U336" s="80"/>
      <c r="V336" s="82"/>
      <c r="W336" s="80"/>
      <c r="X336" s="80"/>
      <c r="Y336" s="80"/>
      <c r="Z336" s="80"/>
      <c r="AA336" s="82"/>
      <c r="AB336" s="80"/>
      <c r="AC336" s="80"/>
      <c r="AD336" s="80"/>
      <c r="AE336" s="80"/>
      <c r="AF336" s="82"/>
      <c r="AG336" s="80"/>
      <c r="AH336" s="80"/>
      <c r="AI336" s="82"/>
      <c r="AJ336" s="79"/>
      <c r="AK336" s="78" t="n">
        <f aca="false">IF(E336="","",(X336&lt;&gt;"")+(AC336&lt;&gt;"")+(AH336&lt;&gt;""))</f>
        <v>0</v>
      </c>
      <c r="AL336" s="81" t="str">
        <f aca="false">IF(AH336&lt;&gt;"",AH336,IF(AC336&lt;&gt;"",AC336,IF(X336&lt;&gt;"",X336,"")))</f>
        <v/>
      </c>
      <c r="AM336" s="83" t="str">
        <f aca="false">IF(E336="","",IF(R336="","À SOUDER",IF(U336="","VT EN ATTENTE",IF(U336="R","VT REJETÉ – À REPRENDRE",IF(AL336="","À RADIOGRAPHIER",IF(AL336="A","ACCEPTÉ",IF(AL336="NX","NX – RT À REFAIRE",IF(IF(AK336=1,Z336,IF(AK336=2,AE336,""))="A","RÉPARÉ – À RADIOGRAPHIER",IF(IF(AK336=1,Z336,IF(AK336=2,AE336,""))="R","VT REJETÉ – À REPRENDRE",IF(OR(AL336="CO",AL336="NT"),"COUPE – À RESOUDER","À RÉPARER"))))))))))</f>
        <v>À SOUDER</v>
      </c>
      <c r="AN336" s="81" t="str">
        <f aca="false">IF(AND(ISNUMBER(R336),OR(AM336="À RADIOGRAPHIER",AM336="RÉPARÉ – À RADIOGRAPHIER",AM336="NX – RT À REFAIRE",AM336="À RÉPARER",AM336="COUPE – À RESOUDER",AM336="VT REJETÉ – À REPRENDRE")),MAX(0,'PROGRAMME RT'!$C$4-R336),"")</f>
        <v/>
      </c>
      <c r="AO336" s="78" t="n">
        <f aca="false">IF(AND(OR(AM336="À RADIOGRAPHIER",AM336="RÉPARÉ – À RADIOGRAPHIER",AM336="NX – RT À REFAIRE"),OR('PROGRAMME RT'!$D$5="TOUTES",B336='PROGRAMME RT'!$D$5)),1,0)</f>
        <v>0</v>
      </c>
      <c r="AP336" s="78" t="str">
        <f aca="false">IF(AO336=1,SUM(AO$7:AO336),"")</f>
        <v/>
      </c>
      <c r="AQ336" s="78" t="n">
        <f aca="false">IF(AND(OR(X336="R",X336="NX",X336="NT",X336="CO"),OR('JOINTS DE RÉPARATION'!$D$5="TOUTES",B336='JOINTS DE RÉPARATION'!$D$5),OR('JOINTS DE RÉPARATION'!$L$4="TOUS",AM336&lt;&gt;"ACCEPTÉ")),1,0)</f>
        <v>0</v>
      </c>
      <c r="AR336" s="78" t="str">
        <f aca="false">IF(AQ336=1,SUM(AQ$7:AQ336),"")</f>
        <v/>
      </c>
    </row>
    <row r="337" customFormat="false" ht="15" hidden="false" customHeight="false" outlineLevel="0" collapsed="false">
      <c r="A337" s="78" t="n">
        <f aca="false">IF(E337="","",ROW()-6)</f>
        <v>331</v>
      </c>
      <c r="B337" s="79" t="s">
        <v>575</v>
      </c>
      <c r="C337" s="80"/>
      <c r="D337" s="80"/>
      <c r="E337" s="80" t="s">
        <v>404</v>
      </c>
      <c r="F337" s="80"/>
      <c r="G337" s="80" t="s">
        <v>106</v>
      </c>
      <c r="H337" s="80"/>
      <c r="I337" s="80"/>
      <c r="J337" s="80"/>
      <c r="K337" s="80"/>
      <c r="L337" s="81" t="str">
        <f aca="false">IF(K337="","",IFERROR(INDEX(BARDAGE!$C$7:$C$1506,MATCH(K337,BARDAGE!$B$7:$B$1506,0)),"? hors registre"))</f>
        <v/>
      </c>
      <c r="M337" s="80"/>
      <c r="N337" s="81" t="str">
        <f aca="false">IF(M337="","",IFERROR(INDEX(BARDAGE!$C$7:$C$1506,MATCH(M337,BARDAGE!$B$7:$B$1506,0)),"? hors registre"))</f>
        <v/>
      </c>
      <c r="O337" s="80"/>
      <c r="P337" s="80"/>
      <c r="Q337" s="80"/>
      <c r="R337" s="82"/>
      <c r="S337" s="82"/>
      <c r="T337" s="80"/>
      <c r="U337" s="80"/>
      <c r="V337" s="82"/>
      <c r="W337" s="80"/>
      <c r="X337" s="80"/>
      <c r="Y337" s="80"/>
      <c r="Z337" s="80"/>
      <c r="AA337" s="82"/>
      <c r="AB337" s="80"/>
      <c r="AC337" s="80"/>
      <c r="AD337" s="80"/>
      <c r="AE337" s="80"/>
      <c r="AF337" s="82"/>
      <c r="AG337" s="80"/>
      <c r="AH337" s="80"/>
      <c r="AI337" s="82"/>
      <c r="AJ337" s="79"/>
      <c r="AK337" s="78" t="n">
        <f aca="false">IF(E337="","",(X337&lt;&gt;"")+(AC337&lt;&gt;"")+(AH337&lt;&gt;""))</f>
        <v>0</v>
      </c>
      <c r="AL337" s="81" t="str">
        <f aca="false">IF(AH337&lt;&gt;"",AH337,IF(AC337&lt;&gt;"",AC337,IF(X337&lt;&gt;"",X337,"")))</f>
        <v/>
      </c>
      <c r="AM337" s="83" t="str">
        <f aca="false">IF(E337="","",IF(R337="","À SOUDER",IF(U337="","VT EN ATTENTE",IF(U337="R","VT REJETÉ – À REPRENDRE",IF(AL337="","À RADIOGRAPHIER",IF(AL337="A","ACCEPTÉ",IF(AL337="NX","NX – RT À REFAIRE",IF(IF(AK337=1,Z337,IF(AK337=2,AE337,""))="A","RÉPARÉ – À RADIOGRAPHIER",IF(IF(AK337=1,Z337,IF(AK337=2,AE337,""))="R","VT REJETÉ – À REPRENDRE",IF(OR(AL337="CO",AL337="NT"),"COUPE – À RESOUDER","À RÉPARER"))))))))))</f>
        <v>À SOUDER</v>
      </c>
      <c r="AN337" s="81" t="str">
        <f aca="false">IF(AND(ISNUMBER(R337),OR(AM337="À RADIOGRAPHIER",AM337="RÉPARÉ – À RADIOGRAPHIER",AM337="NX – RT À REFAIRE",AM337="À RÉPARER",AM337="COUPE – À RESOUDER",AM337="VT REJETÉ – À REPRENDRE")),MAX(0,'PROGRAMME RT'!$C$4-R337),"")</f>
        <v/>
      </c>
      <c r="AO337" s="78" t="n">
        <f aca="false">IF(AND(OR(AM337="À RADIOGRAPHIER",AM337="RÉPARÉ – À RADIOGRAPHIER",AM337="NX – RT À REFAIRE"),OR('PROGRAMME RT'!$D$5="TOUTES",B337='PROGRAMME RT'!$D$5)),1,0)</f>
        <v>0</v>
      </c>
      <c r="AP337" s="78" t="str">
        <f aca="false">IF(AO337=1,SUM(AO$7:AO337),"")</f>
        <v/>
      </c>
      <c r="AQ337" s="78" t="n">
        <f aca="false">IF(AND(OR(X337="R",X337="NX",X337="NT",X337="CO"),OR('JOINTS DE RÉPARATION'!$D$5="TOUTES",B337='JOINTS DE RÉPARATION'!$D$5),OR('JOINTS DE RÉPARATION'!$L$4="TOUS",AM337&lt;&gt;"ACCEPTÉ")),1,0)</f>
        <v>0</v>
      </c>
      <c r="AR337" s="78" t="str">
        <f aca="false">IF(AQ337=1,SUM(AQ$7:AQ337),"")</f>
        <v/>
      </c>
    </row>
    <row r="338" customFormat="false" ht="15" hidden="false" customHeight="false" outlineLevel="0" collapsed="false">
      <c r="A338" s="78" t="n">
        <f aca="false">IF(E338="","",ROW()-6)</f>
        <v>332</v>
      </c>
      <c r="B338" s="79" t="s">
        <v>575</v>
      </c>
      <c r="C338" s="80"/>
      <c r="D338" s="80"/>
      <c r="E338" s="80" t="s">
        <v>406</v>
      </c>
      <c r="F338" s="80"/>
      <c r="G338" s="80" t="s">
        <v>106</v>
      </c>
      <c r="H338" s="80"/>
      <c r="I338" s="80"/>
      <c r="J338" s="80"/>
      <c r="K338" s="80"/>
      <c r="L338" s="81" t="str">
        <f aca="false">IF(K338="","",IFERROR(INDEX(BARDAGE!$C$7:$C$1506,MATCH(K338,BARDAGE!$B$7:$B$1506,0)),"? hors registre"))</f>
        <v/>
      </c>
      <c r="M338" s="80"/>
      <c r="N338" s="81" t="str">
        <f aca="false">IF(M338="","",IFERROR(INDEX(BARDAGE!$C$7:$C$1506,MATCH(M338,BARDAGE!$B$7:$B$1506,0)),"? hors registre"))</f>
        <v/>
      </c>
      <c r="O338" s="80"/>
      <c r="P338" s="80"/>
      <c r="Q338" s="80"/>
      <c r="R338" s="82"/>
      <c r="S338" s="82"/>
      <c r="T338" s="80"/>
      <c r="U338" s="80"/>
      <c r="V338" s="82"/>
      <c r="W338" s="80"/>
      <c r="X338" s="80"/>
      <c r="Y338" s="80"/>
      <c r="Z338" s="80"/>
      <c r="AA338" s="82"/>
      <c r="AB338" s="80"/>
      <c r="AC338" s="80"/>
      <c r="AD338" s="80"/>
      <c r="AE338" s="80"/>
      <c r="AF338" s="82"/>
      <c r="AG338" s="80"/>
      <c r="AH338" s="80"/>
      <c r="AI338" s="82"/>
      <c r="AJ338" s="79"/>
      <c r="AK338" s="78" t="n">
        <f aca="false">IF(E338="","",(X338&lt;&gt;"")+(AC338&lt;&gt;"")+(AH338&lt;&gt;""))</f>
        <v>0</v>
      </c>
      <c r="AL338" s="81" t="str">
        <f aca="false">IF(AH338&lt;&gt;"",AH338,IF(AC338&lt;&gt;"",AC338,IF(X338&lt;&gt;"",X338,"")))</f>
        <v/>
      </c>
      <c r="AM338" s="83" t="str">
        <f aca="false">IF(E338="","",IF(R338="","À SOUDER",IF(U338="","VT EN ATTENTE",IF(U338="R","VT REJETÉ – À REPRENDRE",IF(AL338="","À RADIOGRAPHIER",IF(AL338="A","ACCEPTÉ",IF(AL338="NX","NX – RT À REFAIRE",IF(IF(AK338=1,Z338,IF(AK338=2,AE338,""))="A","RÉPARÉ – À RADIOGRAPHIER",IF(IF(AK338=1,Z338,IF(AK338=2,AE338,""))="R","VT REJETÉ – À REPRENDRE",IF(OR(AL338="CO",AL338="NT"),"COUPE – À RESOUDER","À RÉPARER"))))))))))</f>
        <v>À SOUDER</v>
      </c>
      <c r="AN338" s="81" t="str">
        <f aca="false">IF(AND(ISNUMBER(R338),OR(AM338="À RADIOGRAPHIER",AM338="RÉPARÉ – À RADIOGRAPHIER",AM338="NX – RT À REFAIRE",AM338="À RÉPARER",AM338="COUPE – À RESOUDER",AM338="VT REJETÉ – À REPRENDRE")),MAX(0,'PROGRAMME RT'!$C$4-R338),"")</f>
        <v/>
      </c>
      <c r="AO338" s="78" t="n">
        <f aca="false">IF(AND(OR(AM338="À RADIOGRAPHIER",AM338="RÉPARÉ – À RADIOGRAPHIER",AM338="NX – RT À REFAIRE"),OR('PROGRAMME RT'!$D$5="TOUTES",B338='PROGRAMME RT'!$D$5)),1,0)</f>
        <v>0</v>
      </c>
      <c r="AP338" s="78" t="str">
        <f aca="false">IF(AO338=1,SUM(AO$7:AO338),"")</f>
        <v/>
      </c>
      <c r="AQ338" s="78" t="n">
        <f aca="false">IF(AND(OR(X338="R",X338="NX",X338="NT",X338="CO"),OR('JOINTS DE RÉPARATION'!$D$5="TOUTES",B338='JOINTS DE RÉPARATION'!$D$5),OR('JOINTS DE RÉPARATION'!$L$4="TOUS",AM338&lt;&gt;"ACCEPTÉ")),1,0)</f>
        <v>0</v>
      </c>
      <c r="AR338" s="78" t="str">
        <f aca="false">IF(AQ338=1,SUM(AQ$7:AQ338),"")</f>
        <v/>
      </c>
    </row>
    <row r="339" customFormat="false" ht="15" hidden="false" customHeight="false" outlineLevel="0" collapsed="false">
      <c r="A339" s="78" t="n">
        <f aca="false">IF(E339="","",ROW()-6)</f>
        <v>333</v>
      </c>
      <c r="B339" s="79" t="s">
        <v>575</v>
      </c>
      <c r="C339" s="80"/>
      <c r="D339" s="80"/>
      <c r="E339" s="80" t="s">
        <v>408</v>
      </c>
      <c r="F339" s="80"/>
      <c r="G339" s="80" t="s">
        <v>106</v>
      </c>
      <c r="H339" s="80"/>
      <c r="I339" s="80"/>
      <c r="J339" s="80"/>
      <c r="K339" s="80"/>
      <c r="L339" s="81" t="str">
        <f aca="false">IF(K339="","",IFERROR(INDEX(BARDAGE!$C$7:$C$1506,MATCH(K339,BARDAGE!$B$7:$B$1506,0)),"? hors registre"))</f>
        <v/>
      </c>
      <c r="M339" s="80"/>
      <c r="N339" s="81" t="str">
        <f aca="false">IF(M339="","",IFERROR(INDEX(BARDAGE!$C$7:$C$1506,MATCH(M339,BARDAGE!$B$7:$B$1506,0)),"? hors registre"))</f>
        <v/>
      </c>
      <c r="O339" s="80"/>
      <c r="P339" s="80"/>
      <c r="Q339" s="80"/>
      <c r="R339" s="82"/>
      <c r="S339" s="82"/>
      <c r="T339" s="80"/>
      <c r="U339" s="80"/>
      <c r="V339" s="82"/>
      <c r="W339" s="80"/>
      <c r="X339" s="80"/>
      <c r="Y339" s="80"/>
      <c r="Z339" s="80"/>
      <c r="AA339" s="82"/>
      <c r="AB339" s="80"/>
      <c r="AC339" s="80"/>
      <c r="AD339" s="80"/>
      <c r="AE339" s="80"/>
      <c r="AF339" s="82"/>
      <c r="AG339" s="80"/>
      <c r="AH339" s="80"/>
      <c r="AI339" s="82"/>
      <c r="AJ339" s="79"/>
      <c r="AK339" s="78" t="n">
        <f aca="false">IF(E339="","",(X339&lt;&gt;"")+(AC339&lt;&gt;"")+(AH339&lt;&gt;""))</f>
        <v>0</v>
      </c>
      <c r="AL339" s="81" t="str">
        <f aca="false">IF(AH339&lt;&gt;"",AH339,IF(AC339&lt;&gt;"",AC339,IF(X339&lt;&gt;"",X339,"")))</f>
        <v/>
      </c>
      <c r="AM339" s="83" t="str">
        <f aca="false">IF(E339="","",IF(R339="","À SOUDER",IF(U339="","VT EN ATTENTE",IF(U339="R","VT REJETÉ – À REPRENDRE",IF(AL339="","À RADIOGRAPHIER",IF(AL339="A","ACCEPTÉ",IF(AL339="NX","NX – RT À REFAIRE",IF(IF(AK339=1,Z339,IF(AK339=2,AE339,""))="A","RÉPARÉ – À RADIOGRAPHIER",IF(IF(AK339=1,Z339,IF(AK339=2,AE339,""))="R","VT REJETÉ – À REPRENDRE",IF(OR(AL339="CO",AL339="NT"),"COUPE – À RESOUDER","À RÉPARER"))))))))))</f>
        <v>À SOUDER</v>
      </c>
      <c r="AN339" s="81" t="str">
        <f aca="false">IF(AND(ISNUMBER(R339),OR(AM339="À RADIOGRAPHIER",AM339="RÉPARÉ – À RADIOGRAPHIER",AM339="NX – RT À REFAIRE",AM339="À RÉPARER",AM339="COUPE – À RESOUDER",AM339="VT REJETÉ – À REPRENDRE")),MAX(0,'PROGRAMME RT'!$C$4-R339),"")</f>
        <v/>
      </c>
      <c r="AO339" s="78" t="n">
        <f aca="false">IF(AND(OR(AM339="À RADIOGRAPHIER",AM339="RÉPARÉ – À RADIOGRAPHIER",AM339="NX – RT À REFAIRE"),OR('PROGRAMME RT'!$D$5="TOUTES",B339='PROGRAMME RT'!$D$5)),1,0)</f>
        <v>0</v>
      </c>
      <c r="AP339" s="78" t="str">
        <f aca="false">IF(AO339=1,SUM(AO$7:AO339),"")</f>
        <v/>
      </c>
      <c r="AQ339" s="78" t="n">
        <f aca="false">IF(AND(OR(X339="R",X339="NX",X339="NT",X339="CO"),OR('JOINTS DE RÉPARATION'!$D$5="TOUTES",B339='JOINTS DE RÉPARATION'!$D$5),OR('JOINTS DE RÉPARATION'!$L$4="TOUS",AM339&lt;&gt;"ACCEPTÉ")),1,0)</f>
        <v>0</v>
      </c>
      <c r="AR339" s="78" t="str">
        <f aca="false">IF(AQ339=1,SUM(AQ$7:AQ339),"")</f>
        <v/>
      </c>
    </row>
    <row r="340" customFormat="false" ht="15" hidden="false" customHeight="false" outlineLevel="0" collapsed="false">
      <c r="A340" s="78" t="n">
        <f aca="false">IF(E340="","",ROW()-6)</f>
        <v>334</v>
      </c>
      <c r="B340" s="79" t="s">
        <v>575</v>
      </c>
      <c r="C340" s="80"/>
      <c r="D340" s="80"/>
      <c r="E340" s="80" t="s">
        <v>410</v>
      </c>
      <c r="F340" s="80"/>
      <c r="G340" s="80" t="s">
        <v>106</v>
      </c>
      <c r="H340" s="80"/>
      <c r="I340" s="80"/>
      <c r="J340" s="80"/>
      <c r="K340" s="80"/>
      <c r="L340" s="81" t="str">
        <f aca="false">IF(K340="","",IFERROR(INDEX(BARDAGE!$C$7:$C$1506,MATCH(K340,BARDAGE!$B$7:$B$1506,0)),"? hors registre"))</f>
        <v/>
      </c>
      <c r="M340" s="80"/>
      <c r="N340" s="81" t="str">
        <f aca="false">IF(M340="","",IFERROR(INDEX(BARDAGE!$C$7:$C$1506,MATCH(M340,BARDAGE!$B$7:$B$1506,0)),"? hors registre"))</f>
        <v/>
      </c>
      <c r="O340" s="80"/>
      <c r="P340" s="80"/>
      <c r="Q340" s="80"/>
      <c r="R340" s="82"/>
      <c r="S340" s="82"/>
      <c r="T340" s="80"/>
      <c r="U340" s="80"/>
      <c r="V340" s="82"/>
      <c r="W340" s="80"/>
      <c r="X340" s="80"/>
      <c r="Y340" s="80"/>
      <c r="Z340" s="80"/>
      <c r="AA340" s="82"/>
      <c r="AB340" s="80"/>
      <c r="AC340" s="80"/>
      <c r="AD340" s="80"/>
      <c r="AE340" s="80"/>
      <c r="AF340" s="82"/>
      <c r="AG340" s="80"/>
      <c r="AH340" s="80"/>
      <c r="AI340" s="82"/>
      <c r="AJ340" s="79"/>
      <c r="AK340" s="78" t="n">
        <f aca="false">IF(E340="","",(X340&lt;&gt;"")+(AC340&lt;&gt;"")+(AH340&lt;&gt;""))</f>
        <v>0</v>
      </c>
      <c r="AL340" s="81" t="str">
        <f aca="false">IF(AH340&lt;&gt;"",AH340,IF(AC340&lt;&gt;"",AC340,IF(X340&lt;&gt;"",X340,"")))</f>
        <v/>
      </c>
      <c r="AM340" s="83" t="str">
        <f aca="false">IF(E340="","",IF(R340="","À SOUDER",IF(U340="","VT EN ATTENTE",IF(U340="R","VT REJETÉ – À REPRENDRE",IF(AL340="","À RADIOGRAPHIER",IF(AL340="A","ACCEPTÉ",IF(AL340="NX","NX – RT À REFAIRE",IF(IF(AK340=1,Z340,IF(AK340=2,AE340,""))="A","RÉPARÉ – À RADIOGRAPHIER",IF(IF(AK340=1,Z340,IF(AK340=2,AE340,""))="R","VT REJETÉ – À REPRENDRE",IF(OR(AL340="CO",AL340="NT"),"COUPE – À RESOUDER","À RÉPARER"))))))))))</f>
        <v>À SOUDER</v>
      </c>
      <c r="AN340" s="81" t="str">
        <f aca="false">IF(AND(ISNUMBER(R340),OR(AM340="À RADIOGRAPHIER",AM340="RÉPARÉ – À RADIOGRAPHIER",AM340="NX – RT À REFAIRE",AM340="À RÉPARER",AM340="COUPE – À RESOUDER",AM340="VT REJETÉ – À REPRENDRE")),MAX(0,'PROGRAMME RT'!$C$4-R340),"")</f>
        <v/>
      </c>
      <c r="AO340" s="78" t="n">
        <f aca="false">IF(AND(OR(AM340="À RADIOGRAPHIER",AM340="RÉPARÉ – À RADIOGRAPHIER",AM340="NX – RT À REFAIRE"),OR('PROGRAMME RT'!$D$5="TOUTES",B340='PROGRAMME RT'!$D$5)),1,0)</f>
        <v>0</v>
      </c>
      <c r="AP340" s="78" t="str">
        <f aca="false">IF(AO340=1,SUM(AO$7:AO340),"")</f>
        <v/>
      </c>
      <c r="AQ340" s="78" t="n">
        <f aca="false">IF(AND(OR(X340="R",X340="NX",X340="NT",X340="CO"),OR('JOINTS DE RÉPARATION'!$D$5="TOUTES",B340='JOINTS DE RÉPARATION'!$D$5),OR('JOINTS DE RÉPARATION'!$L$4="TOUS",AM340&lt;&gt;"ACCEPTÉ")),1,0)</f>
        <v>0</v>
      </c>
      <c r="AR340" s="78" t="str">
        <f aca="false">IF(AQ340=1,SUM(AQ$7:AQ340),"")</f>
        <v/>
      </c>
    </row>
    <row r="341" customFormat="false" ht="15" hidden="false" customHeight="false" outlineLevel="0" collapsed="false">
      <c r="A341" s="78" t="n">
        <f aca="false">IF(E341="","",ROW()-6)</f>
        <v>335</v>
      </c>
      <c r="B341" s="79" t="s">
        <v>575</v>
      </c>
      <c r="C341" s="80"/>
      <c r="D341" s="80"/>
      <c r="E341" s="80" t="s">
        <v>412</v>
      </c>
      <c r="F341" s="80"/>
      <c r="G341" s="80" t="s">
        <v>106</v>
      </c>
      <c r="H341" s="80"/>
      <c r="I341" s="80"/>
      <c r="J341" s="80"/>
      <c r="K341" s="80"/>
      <c r="L341" s="81" t="str">
        <f aca="false">IF(K341="","",IFERROR(INDEX(BARDAGE!$C$7:$C$1506,MATCH(K341,BARDAGE!$B$7:$B$1506,0)),"? hors registre"))</f>
        <v/>
      </c>
      <c r="M341" s="80"/>
      <c r="N341" s="81" t="str">
        <f aca="false">IF(M341="","",IFERROR(INDEX(BARDAGE!$C$7:$C$1506,MATCH(M341,BARDAGE!$B$7:$B$1506,0)),"? hors registre"))</f>
        <v/>
      </c>
      <c r="O341" s="80"/>
      <c r="P341" s="80"/>
      <c r="Q341" s="80"/>
      <c r="R341" s="82"/>
      <c r="S341" s="82"/>
      <c r="T341" s="80"/>
      <c r="U341" s="80"/>
      <c r="V341" s="82"/>
      <c r="W341" s="80"/>
      <c r="X341" s="80"/>
      <c r="Y341" s="80"/>
      <c r="Z341" s="80"/>
      <c r="AA341" s="82"/>
      <c r="AB341" s="80"/>
      <c r="AC341" s="80"/>
      <c r="AD341" s="80"/>
      <c r="AE341" s="80"/>
      <c r="AF341" s="82"/>
      <c r="AG341" s="80"/>
      <c r="AH341" s="80"/>
      <c r="AI341" s="82"/>
      <c r="AJ341" s="79"/>
      <c r="AK341" s="78" t="n">
        <f aca="false">IF(E341="","",(X341&lt;&gt;"")+(AC341&lt;&gt;"")+(AH341&lt;&gt;""))</f>
        <v>0</v>
      </c>
      <c r="AL341" s="81" t="str">
        <f aca="false">IF(AH341&lt;&gt;"",AH341,IF(AC341&lt;&gt;"",AC341,IF(X341&lt;&gt;"",X341,"")))</f>
        <v/>
      </c>
      <c r="AM341" s="83" t="str">
        <f aca="false">IF(E341="","",IF(R341="","À SOUDER",IF(U341="","VT EN ATTENTE",IF(U341="R","VT REJETÉ – À REPRENDRE",IF(AL341="","À RADIOGRAPHIER",IF(AL341="A","ACCEPTÉ",IF(AL341="NX","NX – RT À REFAIRE",IF(IF(AK341=1,Z341,IF(AK341=2,AE341,""))="A","RÉPARÉ – À RADIOGRAPHIER",IF(IF(AK341=1,Z341,IF(AK341=2,AE341,""))="R","VT REJETÉ – À REPRENDRE",IF(OR(AL341="CO",AL341="NT"),"COUPE – À RESOUDER","À RÉPARER"))))))))))</f>
        <v>À SOUDER</v>
      </c>
      <c r="AN341" s="81" t="str">
        <f aca="false">IF(AND(ISNUMBER(R341),OR(AM341="À RADIOGRAPHIER",AM341="RÉPARÉ – À RADIOGRAPHIER",AM341="NX – RT À REFAIRE",AM341="À RÉPARER",AM341="COUPE – À RESOUDER",AM341="VT REJETÉ – À REPRENDRE")),MAX(0,'PROGRAMME RT'!$C$4-R341),"")</f>
        <v/>
      </c>
      <c r="AO341" s="78" t="n">
        <f aca="false">IF(AND(OR(AM341="À RADIOGRAPHIER",AM341="RÉPARÉ – À RADIOGRAPHIER",AM341="NX – RT À REFAIRE"),OR('PROGRAMME RT'!$D$5="TOUTES",B341='PROGRAMME RT'!$D$5)),1,0)</f>
        <v>0</v>
      </c>
      <c r="AP341" s="78" t="str">
        <f aca="false">IF(AO341=1,SUM(AO$7:AO341),"")</f>
        <v/>
      </c>
      <c r="AQ341" s="78" t="n">
        <f aca="false">IF(AND(OR(X341="R",X341="NX",X341="NT",X341="CO"),OR('JOINTS DE RÉPARATION'!$D$5="TOUTES",B341='JOINTS DE RÉPARATION'!$D$5),OR('JOINTS DE RÉPARATION'!$L$4="TOUS",AM341&lt;&gt;"ACCEPTÉ")),1,0)</f>
        <v>0</v>
      </c>
      <c r="AR341" s="78" t="str">
        <f aca="false">IF(AQ341=1,SUM(AQ$7:AQ341),"")</f>
        <v/>
      </c>
    </row>
    <row r="342" customFormat="false" ht="15" hidden="false" customHeight="false" outlineLevel="0" collapsed="false">
      <c r="A342" s="78" t="n">
        <f aca="false">IF(E342="","",ROW()-6)</f>
        <v>336</v>
      </c>
      <c r="B342" s="79" t="s">
        <v>575</v>
      </c>
      <c r="C342" s="80"/>
      <c r="D342" s="80"/>
      <c r="E342" s="80" t="s">
        <v>414</v>
      </c>
      <c r="F342" s="80"/>
      <c r="G342" s="80" t="s">
        <v>106</v>
      </c>
      <c r="H342" s="80"/>
      <c r="I342" s="80"/>
      <c r="J342" s="80"/>
      <c r="K342" s="80"/>
      <c r="L342" s="81" t="str">
        <f aca="false">IF(K342="","",IFERROR(INDEX(BARDAGE!$C$7:$C$1506,MATCH(K342,BARDAGE!$B$7:$B$1506,0)),"? hors registre"))</f>
        <v/>
      </c>
      <c r="M342" s="80"/>
      <c r="N342" s="81" t="str">
        <f aca="false">IF(M342="","",IFERROR(INDEX(BARDAGE!$C$7:$C$1506,MATCH(M342,BARDAGE!$B$7:$B$1506,0)),"? hors registre"))</f>
        <v/>
      </c>
      <c r="O342" s="80"/>
      <c r="P342" s="80"/>
      <c r="Q342" s="80"/>
      <c r="R342" s="82"/>
      <c r="S342" s="82"/>
      <c r="T342" s="80"/>
      <c r="U342" s="80"/>
      <c r="V342" s="82"/>
      <c r="W342" s="80"/>
      <c r="X342" s="80"/>
      <c r="Y342" s="80"/>
      <c r="Z342" s="80"/>
      <c r="AA342" s="82"/>
      <c r="AB342" s="80"/>
      <c r="AC342" s="80"/>
      <c r="AD342" s="80"/>
      <c r="AE342" s="80"/>
      <c r="AF342" s="82"/>
      <c r="AG342" s="80"/>
      <c r="AH342" s="80"/>
      <c r="AI342" s="82"/>
      <c r="AJ342" s="79"/>
      <c r="AK342" s="78" t="n">
        <f aca="false">IF(E342="","",(X342&lt;&gt;"")+(AC342&lt;&gt;"")+(AH342&lt;&gt;""))</f>
        <v>0</v>
      </c>
      <c r="AL342" s="81" t="str">
        <f aca="false">IF(AH342&lt;&gt;"",AH342,IF(AC342&lt;&gt;"",AC342,IF(X342&lt;&gt;"",X342,"")))</f>
        <v/>
      </c>
      <c r="AM342" s="83" t="str">
        <f aca="false">IF(E342="","",IF(R342="","À SOUDER",IF(U342="","VT EN ATTENTE",IF(U342="R","VT REJETÉ – À REPRENDRE",IF(AL342="","À RADIOGRAPHIER",IF(AL342="A","ACCEPTÉ",IF(AL342="NX","NX – RT À REFAIRE",IF(IF(AK342=1,Z342,IF(AK342=2,AE342,""))="A","RÉPARÉ – À RADIOGRAPHIER",IF(IF(AK342=1,Z342,IF(AK342=2,AE342,""))="R","VT REJETÉ – À REPRENDRE",IF(OR(AL342="CO",AL342="NT"),"COUPE – À RESOUDER","À RÉPARER"))))))))))</f>
        <v>À SOUDER</v>
      </c>
      <c r="AN342" s="81" t="str">
        <f aca="false">IF(AND(ISNUMBER(R342),OR(AM342="À RADIOGRAPHIER",AM342="RÉPARÉ – À RADIOGRAPHIER",AM342="NX – RT À REFAIRE",AM342="À RÉPARER",AM342="COUPE – À RESOUDER",AM342="VT REJETÉ – À REPRENDRE")),MAX(0,'PROGRAMME RT'!$C$4-R342),"")</f>
        <v/>
      </c>
      <c r="AO342" s="78" t="n">
        <f aca="false">IF(AND(OR(AM342="À RADIOGRAPHIER",AM342="RÉPARÉ – À RADIOGRAPHIER",AM342="NX – RT À REFAIRE"),OR('PROGRAMME RT'!$D$5="TOUTES",B342='PROGRAMME RT'!$D$5)),1,0)</f>
        <v>0</v>
      </c>
      <c r="AP342" s="78" t="str">
        <f aca="false">IF(AO342=1,SUM(AO$7:AO342),"")</f>
        <v/>
      </c>
      <c r="AQ342" s="78" t="n">
        <f aca="false">IF(AND(OR(X342="R",X342="NX",X342="NT",X342="CO"),OR('JOINTS DE RÉPARATION'!$D$5="TOUTES",B342='JOINTS DE RÉPARATION'!$D$5),OR('JOINTS DE RÉPARATION'!$L$4="TOUS",AM342&lt;&gt;"ACCEPTÉ")),1,0)</f>
        <v>0</v>
      </c>
      <c r="AR342" s="78" t="str">
        <f aca="false">IF(AQ342=1,SUM(AQ$7:AQ342),"")</f>
        <v/>
      </c>
    </row>
    <row r="343" customFormat="false" ht="15" hidden="false" customHeight="false" outlineLevel="0" collapsed="false">
      <c r="A343" s="78" t="n">
        <f aca="false">IF(E343="","",ROW()-6)</f>
        <v>337</v>
      </c>
      <c r="B343" s="79" t="s">
        <v>575</v>
      </c>
      <c r="C343" s="80"/>
      <c r="D343" s="80"/>
      <c r="E343" s="80" t="s">
        <v>416</v>
      </c>
      <c r="F343" s="80"/>
      <c r="G343" s="80" t="s">
        <v>106</v>
      </c>
      <c r="H343" s="80"/>
      <c r="I343" s="80"/>
      <c r="J343" s="80"/>
      <c r="K343" s="80"/>
      <c r="L343" s="81" t="str">
        <f aca="false">IF(K343="","",IFERROR(INDEX(BARDAGE!$C$7:$C$1506,MATCH(K343,BARDAGE!$B$7:$B$1506,0)),"? hors registre"))</f>
        <v/>
      </c>
      <c r="M343" s="80"/>
      <c r="N343" s="81" t="str">
        <f aca="false">IF(M343="","",IFERROR(INDEX(BARDAGE!$C$7:$C$1506,MATCH(M343,BARDAGE!$B$7:$B$1506,0)),"? hors registre"))</f>
        <v/>
      </c>
      <c r="O343" s="80"/>
      <c r="P343" s="80"/>
      <c r="Q343" s="80"/>
      <c r="R343" s="82"/>
      <c r="S343" s="82"/>
      <c r="T343" s="80"/>
      <c r="U343" s="80"/>
      <c r="V343" s="82"/>
      <c r="W343" s="80"/>
      <c r="X343" s="80"/>
      <c r="Y343" s="80"/>
      <c r="Z343" s="80"/>
      <c r="AA343" s="82"/>
      <c r="AB343" s="80"/>
      <c r="AC343" s="80"/>
      <c r="AD343" s="80"/>
      <c r="AE343" s="80"/>
      <c r="AF343" s="82"/>
      <c r="AG343" s="80"/>
      <c r="AH343" s="80"/>
      <c r="AI343" s="82"/>
      <c r="AJ343" s="79"/>
      <c r="AK343" s="78" t="n">
        <f aca="false">IF(E343="","",(X343&lt;&gt;"")+(AC343&lt;&gt;"")+(AH343&lt;&gt;""))</f>
        <v>0</v>
      </c>
      <c r="AL343" s="81" t="str">
        <f aca="false">IF(AH343&lt;&gt;"",AH343,IF(AC343&lt;&gt;"",AC343,IF(X343&lt;&gt;"",X343,"")))</f>
        <v/>
      </c>
      <c r="AM343" s="83" t="str">
        <f aca="false">IF(E343="","",IF(R343="","À SOUDER",IF(U343="","VT EN ATTENTE",IF(U343="R","VT REJETÉ – À REPRENDRE",IF(AL343="","À RADIOGRAPHIER",IF(AL343="A","ACCEPTÉ",IF(AL343="NX","NX – RT À REFAIRE",IF(IF(AK343=1,Z343,IF(AK343=2,AE343,""))="A","RÉPARÉ – À RADIOGRAPHIER",IF(IF(AK343=1,Z343,IF(AK343=2,AE343,""))="R","VT REJETÉ – À REPRENDRE",IF(OR(AL343="CO",AL343="NT"),"COUPE – À RESOUDER","À RÉPARER"))))))))))</f>
        <v>À SOUDER</v>
      </c>
      <c r="AN343" s="81" t="str">
        <f aca="false">IF(AND(ISNUMBER(R343),OR(AM343="À RADIOGRAPHIER",AM343="RÉPARÉ – À RADIOGRAPHIER",AM343="NX – RT À REFAIRE",AM343="À RÉPARER",AM343="COUPE – À RESOUDER",AM343="VT REJETÉ – À REPRENDRE")),MAX(0,'PROGRAMME RT'!$C$4-R343),"")</f>
        <v/>
      </c>
      <c r="AO343" s="78" t="n">
        <f aca="false">IF(AND(OR(AM343="À RADIOGRAPHIER",AM343="RÉPARÉ – À RADIOGRAPHIER",AM343="NX – RT À REFAIRE"),OR('PROGRAMME RT'!$D$5="TOUTES",B343='PROGRAMME RT'!$D$5)),1,0)</f>
        <v>0</v>
      </c>
      <c r="AP343" s="78" t="str">
        <f aca="false">IF(AO343=1,SUM(AO$7:AO343),"")</f>
        <v/>
      </c>
      <c r="AQ343" s="78" t="n">
        <f aca="false">IF(AND(OR(X343="R",X343="NX",X343="NT",X343="CO"),OR('JOINTS DE RÉPARATION'!$D$5="TOUTES",B343='JOINTS DE RÉPARATION'!$D$5),OR('JOINTS DE RÉPARATION'!$L$4="TOUS",AM343&lt;&gt;"ACCEPTÉ")),1,0)</f>
        <v>0</v>
      </c>
      <c r="AR343" s="78" t="str">
        <f aca="false">IF(AQ343=1,SUM(AQ$7:AQ343),"")</f>
        <v/>
      </c>
    </row>
    <row r="344" customFormat="false" ht="15" hidden="false" customHeight="false" outlineLevel="0" collapsed="false">
      <c r="A344" s="78" t="n">
        <f aca="false">IF(E344="","",ROW()-6)</f>
        <v>338</v>
      </c>
      <c r="B344" s="79" t="s">
        <v>575</v>
      </c>
      <c r="C344" s="80"/>
      <c r="D344" s="80"/>
      <c r="E344" s="80" t="s">
        <v>418</v>
      </c>
      <c r="F344" s="80"/>
      <c r="G344" s="80" t="s">
        <v>106</v>
      </c>
      <c r="H344" s="80"/>
      <c r="I344" s="80"/>
      <c r="J344" s="80"/>
      <c r="K344" s="80"/>
      <c r="L344" s="81" t="str">
        <f aca="false">IF(K344="","",IFERROR(INDEX(BARDAGE!$C$7:$C$1506,MATCH(K344,BARDAGE!$B$7:$B$1506,0)),"? hors registre"))</f>
        <v/>
      </c>
      <c r="M344" s="80"/>
      <c r="N344" s="81" t="str">
        <f aca="false">IF(M344="","",IFERROR(INDEX(BARDAGE!$C$7:$C$1506,MATCH(M344,BARDAGE!$B$7:$B$1506,0)),"? hors registre"))</f>
        <v/>
      </c>
      <c r="O344" s="80"/>
      <c r="P344" s="80"/>
      <c r="Q344" s="80"/>
      <c r="R344" s="82"/>
      <c r="S344" s="82"/>
      <c r="T344" s="80"/>
      <c r="U344" s="80"/>
      <c r="V344" s="82"/>
      <c r="W344" s="80"/>
      <c r="X344" s="80"/>
      <c r="Y344" s="80"/>
      <c r="Z344" s="80"/>
      <c r="AA344" s="82"/>
      <c r="AB344" s="80"/>
      <c r="AC344" s="80"/>
      <c r="AD344" s="80"/>
      <c r="AE344" s="80"/>
      <c r="AF344" s="82"/>
      <c r="AG344" s="80"/>
      <c r="AH344" s="80"/>
      <c r="AI344" s="82"/>
      <c r="AJ344" s="79"/>
      <c r="AK344" s="78" t="n">
        <f aca="false">IF(E344="","",(X344&lt;&gt;"")+(AC344&lt;&gt;"")+(AH344&lt;&gt;""))</f>
        <v>0</v>
      </c>
      <c r="AL344" s="81" t="str">
        <f aca="false">IF(AH344&lt;&gt;"",AH344,IF(AC344&lt;&gt;"",AC344,IF(X344&lt;&gt;"",X344,"")))</f>
        <v/>
      </c>
      <c r="AM344" s="83" t="str">
        <f aca="false">IF(E344="","",IF(R344="","À SOUDER",IF(U344="","VT EN ATTENTE",IF(U344="R","VT REJETÉ – À REPRENDRE",IF(AL344="","À RADIOGRAPHIER",IF(AL344="A","ACCEPTÉ",IF(AL344="NX","NX – RT À REFAIRE",IF(IF(AK344=1,Z344,IF(AK344=2,AE344,""))="A","RÉPARÉ – À RADIOGRAPHIER",IF(IF(AK344=1,Z344,IF(AK344=2,AE344,""))="R","VT REJETÉ – À REPRENDRE",IF(OR(AL344="CO",AL344="NT"),"COUPE – À RESOUDER","À RÉPARER"))))))))))</f>
        <v>À SOUDER</v>
      </c>
      <c r="AN344" s="81" t="str">
        <f aca="false">IF(AND(ISNUMBER(R344),OR(AM344="À RADIOGRAPHIER",AM344="RÉPARÉ – À RADIOGRAPHIER",AM344="NX – RT À REFAIRE",AM344="À RÉPARER",AM344="COUPE – À RESOUDER",AM344="VT REJETÉ – À REPRENDRE")),MAX(0,'PROGRAMME RT'!$C$4-R344),"")</f>
        <v/>
      </c>
      <c r="AO344" s="78" t="n">
        <f aca="false">IF(AND(OR(AM344="À RADIOGRAPHIER",AM344="RÉPARÉ – À RADIOGRAPHIER",AM344="NX – RT À REFAIRE"),OR('PROGRAMME RT'!$D$5="TOUTES",B344='PROGRAMME RT'!$D$5)),1,0)</f>
        <v>0</v>
      </c>
      <c r="AP344" s="78" t="str">
        <f aca="false">IF(AO344=1,SUM(AO$7:AO344),"")</f>
        <v/>
      </c>
      <c r="AQ344" s="78" t="n">
        <f aca="false">IF(AND(OR(X344="R",X344="NX",X344="NT",X344="CO"),OR('JOINTS DE RÉPARATION'!$D$5="TOUTES",B344='JOINTS DE RÉPARATION'!$D$5),OR('JOINTS DE RÉPARATION'!$L$4="TOUS",AM344&lt;&gt;"ACCEPTÉ")),1,0)</f>
        <v>0</v>
      </c>
      <c r="AR344" s="78" t="str">
        <f aca="false">IF(AQ344=1,SUM(AQ$7:AQ344),"")</f>
        <v/>
      </c>
    </row>
    <row r="345" customFormat="false" ht="15" hidden="false" customHeight="false" outlineLevel="0" collapsed="false">
      <c r="A345" s="78" t="n">
        <f aca="false">IF(E345="","",ROW()-6)</f>
        <v>339</v>
      </c>
      <c r="B345" s="79" t="s">
        <v>575</v>
      </c>
      <c r="C345" s="80"/>
      <c r="D345" s="80"/>
      <c r="E345" s="80" t="s">
        <v>421</v>
      </c>
      <c r="F345" s="80"/>
      <c r="G345" s="80" t="s">
        <v>106</v>
      </c>
      <c r="H345" s="80"/>
      <c r="I345" s="80"/>
      <c r="J345" s="80"/>
      <c r="K345" s="80"/>
      <c r="L345" s="81" t="str">
        <f aca="false">IF(K345="","",IFERROR(INDEX(BARDAGE!$C$7:$C$1506,MATCH(K345,BARDAGE!$B$7:$B$1506,0)),"? hors registre"))</f>
        <v/>
      </c>
      <c r="M345" s="80"/>
      <c r="N345" s="81" t="str">
        <f aca="false">IF(M345="","",IFERROR(INDEX(BARDAGE!$C$7:$C$1506,MATCH(M345,BARDAGE!$B$7:$B$1506,0)),"? hors registre"))</f>
        <v/>
      </c>
      <c r="O345" s="80"/>
      <c r="P345" s="80"/>
      <c r="Q345" s="80"/>
      <c r="R345" s="82"/>
      <c r="S345" s="82"/>
      <c r="T345" s="80"/>
      <c r="U345" s="80"/>
      <c r="V345" s="82"/>
      <c r="W345" s="80"/>
      <c r="X345" s="80"/>
      <c r="Y345" s="80"/>
      <c r="Z345" s="80"/>
      <c r="AA345" s="82"/>
      <c r="AB345" s="80"/>
      <c r="AC345" s="80"/>
      <c r="AD345" s="80"/>
      <c r="AE345" s="80"/>
      <c r="AF345" s="82"/>
      <c r="AG345" s="80"/>
      <c r="AH345" s="80"/>
      <c r="AI345" s="82"/>
      <c r="AJ345" s="79"/>
      <c r="AK345" s="78" t="n">
        <f aca="false">IF(E345="","",(X345&lt;&gt;"")+(AC345&lt;&gt;"")+(AH345&lt;&gt;""))</f>
        <v>0</v>
      </c>
      <c r="AL345" s="81" t="str">
        <f aca="false">IF(AH345&lt;&gt;"",AH345,IF(AC345&lt;&gt;"",AC345,IF(X345&lt;&gt;"",X345,"")))</f>
        <v/>
      </c>
      <c r="AM345" s="83" t="str">
        <f aca="false">IF(E345="","",IF(R345="","À SOUDER",IF(U345="","VT EN ATTENTE",IF(U345="R","VT REJETÉ – À REPRENDRE",IF(AL345="","À RADIOGRAPHIER",IF(AL345="A","ACCEPTÉ",IF(AL345="NX","NX – RT À REFAIRE",IF(IF(AK345=1,Z345,IF(AK345=2,AE345,""))="A","RÉPARÉ – À RADIOGRAPHIER",IF(IF(AK345=1,Z345,IF(AK345=2,AE345,""))="R","VT REJETÉ – À REPRENDRE",IF(OR(AL345="CO",AL345="NT"),"COUPE – À RESOUDER","À RÉPARER"))))))))))</f>
        <v>À SOUDER</v>
      </c>
      <c r="AN345" s="81" t="str">
        <f aca="false">IF(AND(ISNUMBER(R345),OR(AM345="À RADIOGRAPHIER",AM345="RÉPARÉ – À RADIOGRAPHIER",AM345="NX – RT À REFAIRE",AM345="À RÉPARER",AM345="COUPE – À RESOUDER",AM345="VT REJETÉ – À REPRENDRE")),MAX(0,'PROGRAMME RT'!$C$4-R345),"")</f>
        <v/>
      </c>
      <c r="AO345" s="78" t="n">
        <f aca="false">IF(AND(OR(AM345="À RADIOGRAPHIER",AM345="RÉPARÉ – À RADIOGRAPHIER",AM345="NX – RT À REFAIRE"),OR('PROGRAMME RT'!$D$5="TOUTES",B345='PROGRAMME RT'!$D$5)),1,0)</f>
        <v>0</v>
      </c>
      <c r="AP345" s="78" t="str">
        <f aca="false">IF(AO345=1,SUM(AO$7:AO345),"")</f>
        <v/>
      </c>
      <c r="AQ345" s="78" t="n">
        <f aca="false">IF(AND(OR(X345="R",X345="NX",X345="NT",X345="CO"),OR('JOINTS DE RÉPARATION'!$D$5="TOUTES",B345='JOINTS DE RÉPARATION'!$D$5),OR('JOINTS DE RÉPARATION'!$L$4="TOUS",AM345&lt;&gt;"ACCEPTÉ")),1,0)</f>
        <v>0</v>
      </c>
      <c r="AR345" s="78" t="str">
        <f aca="false">IF(AQ345=1,SUM(AQ$7:AQ345),"")</f>
        <v/>
      </c>
    </row>
    <row r="346" customFormat="false" ht="15" hidden="false" customHeight="false" outlineLevel="0" collapsed="false">
      <c r="A346" s="78" t="n">
        <f aca="false">IF(E346="","",ROW()-6)</f>
        <v>340</v>
      </c>
      <c r="B346" s="79" t="s">
        <v>575</v>
      </c>
      <c r="C346" s="80"/>
      <c r="D346" s="80"/>
      <c r="E346" s="80" t="s">
        <v>423</v>
      </c>
      <c r="F346" s="80"/>
      <c r="G346" s="80" t="s">
        <v>106</v>
      </c>
      <c r="H346" s="80"/>
      <c r="I346" s="80"/>
      <c r="J346" s="80"/>
      <c r="K346" s="80"/>
      <c r="L346" s="81" t="str">
        <f aca="false">IF(K346="","",IFERROR(INDEX(BARDAGE!$C$7:$C$1506,MATCH(K346,BARDAGE!$B$7:$B$1506,0)),"? hors registre"))</f>
        <v/>
      </c>
      <c r="M346" s="80"/>
      <c r="N346" s="81" t="str">
        <f aca="false">IF(M346="","",IFERROR(INDEX(BARDAGE!$C$7:$C$1506,MATCH(M346,BARDAGE!$B$7:$B$1506,0)),"? hors registre"))</f>
        <v/>
      </c>
      <c r="O346" s="80"/>
      <c r="P346" s="80"/>
      <c r="Q346" s="80"/>
      <c r="R346" s="82"/>
      <c r="S346" s="82"/>
      <c r="T346" s="80"/>
      <c r="U346" s="80"/>
      <c r="V346" s="82"/>
      <c r="W346" s="80"/>
      <c r="X346" s="80"/>
      <c r="Y346" s="80"/>
      <c r="Z346" s="80"/>
      <c r="AA346" s="82"/>
      <c r="AB346" s="80"/>
      <c r="AC346" s="80"/>
      <c r="AD346" s="80"/>
      <c r="AE346" s="80"/>
      <c r="AF346" s="82"/>
      <c r="AG346" s="80"/>
      <c r="AH346" s="80"/>
      <c r="AI346" s="82"/>
      <c r="AJ346" s="79"/>
      <c r="AK346" s="78" t="n">
        <f aca="false">IF(E346="","",(X346&lt;&gt;"")+(AC346&lt;&gt;"")+(AH346&lt;&gt;""))</f>
        <v>0</v>
      </c>
      <c r="AL346" s="81" t="str">
        <f aca="false">IF(AH346&lt;&gt;"",AH346,IF(AC346&lt;&gt;"",AC346,IF(X346&lt;&gt;"",X346,"")))</f>
        <v/>
      </c>
      <c r="AM346" s="83" t="str">
        <f aca="false">IF(E346="","",IF(R346="","À SOUDER",IF(U346="","VT EN ATTENTE",IF(U346="R","VT REJETÉ – À REPRENDRE",IF(AL346="","À RADIOGRAPHIER",IF(AL346="A","ACCEPTÉ",IF(AL346="NX","NX – RT À REFAIRE",IF(IF(AK346=1,Z346,IF(AK346=2,AE346,""))="A","RÉPARÉ – À RADIOGRAPHIER",IF(IF(AK346=1,Z346,IF(AK346=2,AE346,""))="R","VT REJETÉ – À REPRENDRE",IF(OR(AL346="CO",AL346="NT"),"COUPE – À RESOUDER","À RÉPARER"))))))))))</f>
        <v>À SOUDER</v>
      </c>
      <c r="AN346" s="81" t="str">
        <f aca="false">IF(AND(ISNUMBER(R346),OR(AM346="À RADIOGRAPHIER",AM346="RÉPARÉ – À RADIOGRAPHIER",AM346="NX – RT À REFAIRE",AM346="À RÉPARER",AM346="COUPE – À RESOUDER",AM346="VT REJETÉ – À REPRENDRE")),MAX(0,'PROGRAMME RT'!$C$4-R346),"")</f>
        <v/>
      </c>
      <c r="AO346" s="78" t="n">
        <f aca="false">IF(AND(OR(AM346="À RADIOGRAPHIER",AM346="RÉPARÉ – À RADIOGRAPHIER",AM346="NX – RT À REFAIRE"),OR('PROGRAMME RT'!$D$5="TOUTES",B346='PROGRAMME RT'!$D$5)),1,0)</f>
        <v>0</v>
      </c>
      <c r="AP346" s="78" t="str">
        <f aca="false">IF(AO346=1,SUM(AO$7:AO346),"")</f>
        <v/>
      </c>
      <c r="AQ346" s="78" t="n">
        <f aca="false">IF(AND(OR(X346="R",X346="NX",X346="NT",X346="CO"),OR('JOINTS DE RÉPARATION'!$D$5="TOUTES",B346='JOINTS DE RÉPARATION'!$D$5),OR('JOINTS DE RÉPARATION'!$L$4="TOUS",AM346&lt;&gt;"ACCEPTÉ")),1,0)</f>
        <v>0</v>
      </c>
      <c r="AR346" s="78" t="str">
        <f aca="false">IF(AQ346=1,SUM(AQ$7:AQ346),"")</f>
        <v/>
      </c>
    </row>
    <row r="347" customFormat="false" ht="15" hidden="false" customHeight="false" outlineLevel="0" collapsed="false">
      <c r="A347" s="78" t="n">
        <f aca="false">IF(E347="","",ROW()-6)</f>
        <v>341</v>
      </c>
      <c r="B347" s="79" t="s">
        <v>575</v>
      </c>
      <c r="C347" s="80"/>
      <c r="D347" s="80"/>
      <c r="E347" s="80" t="s">
        <v>582</v>
      </c>
      <c r="F347" s="80"/>
      <c r="G347" s="80" t="s">
        <v>106</v>
      </c>
      <c r="H347" s="80"/>
      <c r="I347" s="80"/>
      <c r="J347" s="80"/>
      <c r="K347" s="80"/>
      <c r="L347" s="81" t="str">
        <f aca="false">IF(K347="","",IFERROR(INDEX(BARDAGE!$C$7:$C$1506,MATCH(K347,BARDAGE!$B$7:$B$1506,0)),"? hors registre"))</f>
        <v/>
      </c>
      <c r="M347" s="80"/>
      <c r="N347" s="81" t="str">
        <f aca="false">IF(M347="","",IFERROR(INDEX(BARDAGE!$C$7:$C$1506,MATCH(M347,BARDAGE!$B$7:$B$1506,0)),"? hors registre"))</f>
        <v/>
      </c>
      <c r="O347" s="80"/>
      <c r="P347" s="80"/>
      <c r="Q347" s="80"/>
      <c r="R347" s="82"/>
      <c r="S347" s="82"/>
      <c r="T347" s="80"/>
      <c r="U347" s="80"/>
      <c r="V347" s="82"/>
      <c r="W347" s="80"/>
      <c r="X347" s="80"/>
      <c r="Y347" s="80"/>
      <c r="Z347" s="80"/>
      <c r="AA347" s="82"/>
      <c r="AB347" s="80"/>
      <c r="AC347" s="80"/>
      <c r="AD347" s="80"/>
      <c r="AE347" s="80"/>
      <c r="AF347" s="82"/>
      <c r="AG347" s="80"/>
      <c r="AH347" s="80"/>
      <c r="AI347" s="82"/>
      <c r="AJ347" s="79"/>
      <c r="AK347" s="78" t="n">
        <f aca="false">IF(E347="","",(X347&lt;&gt;"")+(AC347&lt;&gt;"")+(AH347&lt;&gt;""))</f>
        <v>0</v>
      </c>
      <c r="AL347" s="81" t="str">
        <f aca="false">IF(AH347&lt;&gt;"",AH347,IF(AC347&lt;&gt;"",AC347,IF(X347&lt;&gt;"",X347,"")))</f>
        <v/>
      </c>
      <c r="AM347" s="83" t="str">
        <f aca="false">IF(E347="","",IF(R347="","À SOUDER",IF(U347="","VT EN ATTENTE",IF(U347="R","VT REJETÉ – À REPRENDRE",IF(AL347="","À RADIOGRAPHIER",IF(AL347="A","ACCEPTÉ",IF(AL347="NX","NX – RT À REFAIRE",IF(IF(AK347=1,Z347,IF(AK347=2,AE347,""))="A","RÉPARÉ – À RADIOGRAPHIER",IF(IF(AK347=1,Z347,IF(AK347=2,AE347,""))="R","VT REJETÉ – À REPRENDRE",IF(OR(AL347="CO",AL347="NT"),"COUPE – À RESOUDER","À RÉPARER"))))))))))</f>
        <v>À SOUDER</v>
      </c>
      <c r="AN347" s="81" t="str">
        <f aca="false">IF(AND(ISNUMBER(R347),OR(AM347="À RADIOGRAPHIER",AM347="RÉPARÉ – À RADIOGRAPHIER",AM347="NX – RT À REFAIRE",AM347="À RÉPARER",AM347="COUPE – À RESOUDER",AM347="VT REJETÉ – À REPRENDRE")),MAX(0,'PROGRAMME RT'!$C$4-R347),"")</f>
        <v/>
      </c>
      <c r="AO347" s="78" t="n">
        <f aca="false">IF(AND(OR(AM347="À RADIOGRAPHIER",AM347="RÉPARÉ – À RADIOGRAPHIER",AM347="NX – RT À REFAIRE"),OR('PROGRAMME RT'!$D$5="TOUTES",B347='PROGRAMME RT'!$D$5)),1,0)</f>
        <v>0</v>
      </c>
      <c r="AP347" s="78" t="str">
        <f aca="false">IF(AO347=1,SUM(AO$7:AO347),"")</f>
        <v/>
      </c>
      <c r="AQ347" s="78" t="n">
        <f aca="false">IF(AND(OR(X347="R",X347="NX",X347="NT",X347="CO"),OR('JOINTS DE RÉPARATION'!$D$5="TOUTES",B347='JOINTS DE RÉPARATION'!$D$5),OR('JOINTS DE RÉPARATION'!$L$4="TOUS",AM347&lt;&gt;"ACCEPTÉ")),1,0)</f>
        <v>0</v>
      </c>
      <c r="AR347" s="78" t="str">
        <f aca="false">IF(AQ347=1,SUM(AQ$7:AQ347),"")</f>
        <v/>
      </c>
    </row>
    <row r="348" customFormat="false" ht="15" hidden="false" customHeight="false" outlineLevel="0" collapsed="false">
      <c r="A348" s="78" t="n">
        <f aca="false">IF(E348="","",ROW()-6)</f>
        <v>342</v>
      </c>
      <c r="B348" s="79" t="s">
        <v>575</v>
      </c>
      <c r="C348" s="80"/>
      <c r="D348" s="80"/>
      <c r="E348" s="80" t="s">
        <v>429</v>
      </c>
      <c r="F348" s="80"/>
      <c r="G348" s="80" t="s">
        <v>106</v>
      </c>
      <c r="H348" s="80"/>
      <c r="I348" s="80"/>
      <c r="J348" s="80"/>
      <c r="K348" s="80"/>
      <c r="L348" s="81" t="str">
        <f aca="false">IF(K348="","",IFERROR(INDEX(BARDAGE!$C$7:$C$1506,MATCH(K348,BARDAGE!$B$7:$B$1506,0)),"? hors registre"))</f>
        <v/>
      </c>
      <c r="M348" s="80"/>
      <c r="N348" s="81" t="str">
        <f aca="false">IF(M348="","",IFERROR(INDEX(BARDAGE!$C$7:$C$1506,MATCH(M348,BARDAGE!$B$7:$B$1506,0)),"? hors registre"))</f>
        <v/>
      </c>
      <c r="O348" s="80"/>
      <c r="P348" s="80"/>
      <c r="Q348" s="80"/>
      <c r="R348" s="82"/>
      <c r="S348" s="82"/>
      <c r="T348" s="80"/>
      <c r="U348" s="80"/>
      <c r="V348" s="82"/>
      <c r="W348" s="80"/>
      <c r="X348" s="80"/>
      <c r="Y348" s="80"/>
      <c r="Z348" s="80"/>
      <c r="AA348" s="82"/>
      <c r="AB348" s="80"/>
      <c r="AC348" s="80"/>
      <c r="AD348" s="80"/>
      <c r="AE348" s="80"/>
      <c r="AF348" s="82"/>
      <c r="AG348" s="80"/>
      <c r="AH348" s="80"/>
      <c r="AI348" s="82"/>
      <c r="AJ348" s="79"/>
      <c r="AK348" s="78" t="n">
        <f aca="false">IF(E348="","",(X348&lt;&gt;"")+(AC348&lt;&gt;"")+(AH348&lt;&gt;""))</f>
        <v>0</v>
      </c>
      <c r="AL348" s="81" t="str">
        <f aca="false">IF(AH348&lt;&gt;"",AH348,IF(AC348&lt;&gt;"",AC348,IF(X348&lt;&gt;"",X348,"")))</f>
        <v/>
      </c>
      <c r="AM348" s="83" t="str">
        <f aca="false">IF(E348="","",IF(R348="","À SOUDER",IF(U348="","VT EN ATTENTE",IF(U348="R","VT REJETÉ – À REPRENDRE",IF(AL348="","À RADIOGRAPHIER",IF(AL348="A","ACCEPTÉ",IF(AL348="NX","NX – RT À REFAIRE",IF(IF(AK348=1,Z348,IF(AK348=2,AE348,""))="A","RÉPARÉ – À RADIOGRAPHIER",IF(IF(AK348=1,Z348,IF(AK348=2,AE348,""))="R","VT REJETÉ – À REPRENDRE",IF(OR(AL348="CO",AL348="NT"),"COUPE – À RESOUDER","À RÉPARER"))))))))))</f>
        <v>À SOUDER</v>
      </c>
      <c r="AN348" s="81" t="str">
        <f aca="false">IF(AND(ISNUMBER(R348),OR(AM348="À RADIOGRAPHIER",AM348="RÉPARÉ – À RADIOGRAPHIER",AM348="NX – RT À REFAIRE",AM348="À RÉPARER",AM348="COUPE – À RESOUDER",AM348="VT REJETÉ – À REPRENDRE")),MAX(0,'PROGRAMME RT'!$C$4-R348),"")</f>
        <v/>
      </c>
      <c r="AO348" s="78" t="n">
        <f aca="false">IF(AND(OR(AM348="À RADIOGRAPHIER",AM348="RÉPARÉ – À RADIOGRAPHIER",AM348="NX – RT À REFAIRE"),OR('PROGRAMME RT'!$D$5="TOUTES",B348='PROGRAMME RT'!$D$5)),1,0)</f>
        <v>0</v>
      </c>
      <c r="AP348" s="78" t="str">
        <f aca="false">IF(AO348=1,SUM(AO$7:AO348),"")</f>
        <v/>
      </c>
      <c r="AQ348" s="78" t="n">
        <f aca="false">IF(AND(OR(X348="R",X348="NX",X348="NT",X348="CO"),OR('JOINTS DE RÉPARATION'!$D$5="TOUTES",B348='JOINTS DE RÉPARATION'!$D$5),OR('JOINTS DE RÉPARATION'!$L$4="TOUS",AM348&lt;&gt;"ACCEPTÉ")),1,0)</f>
        <v>0</v>
      </c>
      <c r="AR348" s="78" t="str">
        <f aca="false">IF(AQ348=1,SUM(AQ$7:AQ348),"")</f>
        <v/>
      </c>
    </row>
    <row r="349" customFormat="false" ht="15" hidden="false" customHeight="false" outlineLevel="0" collapsed="false">
      <c r="A349" s="78" t="n">
        <f aca="false">IF(E349="","",ROW()-6)</f>
        <v>343</v>
      </c>
      <c r="B349" s="79" t="s">
        <v>575</v>
      </c>
      <c r="C349" s="80"/>
      <c r="D349" s="80"/>
      <c r="E349" s="80" t="s">
        <v>433</v>
      </c>
      <c r="F349" s="80"/>
      <c r="G349" s="80" t="s">
        <v>106</v>
      </c>
      <c r="H349" s="80"/>
      <c r="I349" s="80"/>
      <c r="J349" s="80"/>
      <c r="K349" s="80"/>
      <c r="L349" s="81" t="str">
        <f aca="false">IF(K349="","",IFERROR(INDEX(BARDAGE!$C$7:$C$1506,MATCH(K349,BARDAGE!$B$7:$B$1506,0)),"? hors registre"))</f>
        <v/>
      </c>
      <c r="M349" s="80"/>
      <c r="N349" s="81" t="str">
        <f aca="false">IF(M349="","",IFERROR(INDEX(BARDAGE!$C$7:$C$1506,MATCH(M349,BARDAGE!$B$7:$B$1506,0)),"? hors registre"))</f>
        <v/>
      </c>
      <c r="O349" s="80"/>
      <c r="P349" s="80"/>
      <c r="Q349" s="80"/>
      <c r="R349" s="82"/>
      <c r="S349" s="82"/>
      <c r="T349" s="80"/>
      <c r="U349" s="80"/>
      <c r="V349" s="82"/>
      <c r="W349" s="80"/>
      <c r="X349" s="80"/>
      <c r="Y349" s="80"/>
      <c r="Z349" s="80"/>
      <c r="AA349" s="82"/>
      <c r="AB349" s="80"/>
      <c r="AC349" s="80"/>
      <c r="AD349" s="80"/>
      <c r="AE349" s="80"/>
      <c r="AF349" s="82"/>
      <c r="AG349" s="80"/>
      <c r="AH349" s="80"/>
      <c r="AI349" s="82"/>
      <c r="AJ349" s="79"/>
      <c r="AK349" s="78" t="n">
        <f aca="false">IF(E349="","",(X349&lt;&gt;"")+(AC349&lt;&gt;"")+(AH349&lt;&gt;""))</f>
        <v>0</v>
      </c>
      <c r="AL349" s="81" t="str">
        <f aca="false">IF(AH349&lt;&gt;"",AH349,IF(AC349&lt;&gt;"",AC349,IF(X349&lt;&gt;"",X349,"")))</f>
        <v/>
      </c>
      <c r="AM349" s="83" t="str">
        <f aca="false">IF(E349="","",IF(R349="","À SOUDER",IF(U349="","VT EN ATTENTE",IF(U349="R","VT REJETÉ – À REPRENDRE",IF(AL349="","À RADIOGRAPHIER",IF(AL349="A","ACCEPTÉ",IF(AL349="NX","NX – RT À REFAIRE",IF(IF(AK349=1,Z349,IF(AK349=2,AE349,""))="A","RÉPARÉ – À RADIOGRAPHIER",IF(IF(AK349=1,Z349,IF(AK349=2,AE349,""))="R","VT REJETÉ – À REPRENDRE",IF(OR(AL349="CO",AL349="NT"),"COUPE – À RESOUDER","À RÉPARER"))))))))))</f>
        <v>À SOUDER</v>
      </c>
      <c r="AN349" s="81" t="str">
        <f aca="false">IF(AND(ISNUMBER(R349),OR(AM349="À RADIOGRAPHIER",AM349="RÉPARÉ – À RADIOGRAPHIER",AM349="NX – RT À REFAIRE",AM349="À RÉPARER",AM349="COUPE – À RESOUDER",AM349="VT REJETÉ – À REPRENDRE")),MAX(0,'PROGRAMME RT'!$C$4-R349),"")</f>
        <v/>
      </c>
      <c r="AO349" s="78" t="n">
        <f aca="false">IF(AND(OR(AM349="À RADIOGRAPHIER",AM349="RÉPARÉ – À RADIOGRAPHIER",AM349="NX – RT À REFAIRE"),OR('PROGRAMME RT'!$D$5="TOUTES",B349='PROGRAMME RT'!$D$5)),1,0)</f>
        <v>0</v>
      </c>
      <c r="AP349" s="78" t="str">
        <f aca="false">IF(AO349=1,SUM(AO$7:AO349),"")</f>
        <v/>
      </c>
      <c r="AQ349" s="78" t="n">
        <f aca="false">IF(AND(OR(X349="R",X349="NX",X349="NT",X349="CO"),OR('JOINTS DE RÉPARATION'!$D$5="TOUTES",B349='JOINTS DE RÉPARATION'!$D$5),OR('JOINTS DE RÉPARATION'!$L$4="TOUS",AM349&lt;&gt;"ACCEPTÉ")),1,0)</f>
        <v>0</v>
      </c>
      <c r="AR349" s="78" t="str">
        <f aca="false">IF(AQ349=1,SUM(AQ$7:AQ349),"")</f>
        <v/>
      </c>
    </row>
    <row r="350" customFormat="false" ht="15" hidden="false" customHeight="false" outlineLevel="0" collapsed="false">
      <c r="A350" s="78" t="n">
        <f aca="false">IF(E350="","",ROW()-6)</f>
        <v>344</v>
      </c>
      <c r="B350" s="79" t="s">
        <v>575</v>
      </c>
      <c r="C350" s="80"/>
      <c r="D350" s="80"/>
      <c r="E350" s="80" t="s">
        <v>435</v>
      </c>
      <c r="F350" s="80"/>
      <c r="G350" s="80" t="s">
        <v>106</v>
      </c>
      <c r="H350" s="80"/>
      <c r="I350" s="80"/>
      <c r="J350" s="80"/>
      <c r="K350" s="80"/>
      <c r="L350" s="81" t="str">
        <f aca="false">IF(K350="","",IFERROR(INDEX(BARDAGE!$C$7:$C$1506,MATCH(K350,BARDAGE!$B$7:$B$1506,0)),"? hors registre"))</f>
        <v/>
      </c>
      <c r="M350" s="80"/>
      <c r="N350" s="81" t="str">
        <f aca="false">IF(M350="","",IFERROR(INDEX(BARDAGE!$C$7:$C$1506,MATCH(M350,BARDAGE!$B$7:$B$1506,0)),"? hors registre"))</f>
        <v/>
      </c>
      <c r="O350" s="80"/>
      <c r="P350" s="80"/>
      <c r="Q350" s="80"/>
      <c r="R350" s="82"/>
      <c r="S350" s="82"/>
      <c r="T350" s="80"/>
      <c r="U350" s="80"/>
      <c r="V350" s="82"/>
      <c r="W350" s="80"/>
      <c r="X350" s="80"/>
      <c r="Y350" s="80"/>
      <c r="Z350" s="80"/>
      <c r="AA350" s="82"/>
      <c r="AB350" s="80"/>
      <c r="AC350" s="80"/>
      <c r="AD350" s="80"/>
      <c r="AE350" s="80"/>
      <c r="AF350" s="82"/>
      <c r="AG350" s="80"/>
      <c r="AH350" s="80"/>
      <c r="AI350" s="82"/>
      <c r="AJ350" s="79"/>
      <c r="AK350" s="78" t="n">
        <f aca="false">IF(E350="","",(X350&lt;&gt;"")+(AC350&lt;&gt;"")+(AH350&lt;&gt;""))</f>
        <v>0</v>
      </c>
      <c r="AL350" s="81" t="str">
        <f aca="false">IF(AH350&lt;&gt;"",AH350,IF(AC350&lt;&gt;"",AC350,IF(X350&lt;&gt;"",X350,"")))</f>
        <v/>
      </c>
      <c r="AM350" s="83" t="str">
        <f aca="false">IF(E350="","",IF(R350="","À SOUDER",IF(U350="","VT EN ATTENTE",IF(U350="R","VT REJETÉ – À REPRENDRE",IF(AL350="","À RADIOGRAPHIER",IF(AL350="A","ACCEPTÉ",IF(AL350="NX","NX – RT À REFAIRE",IF(IF(AK350=1,Z350,IF(AK350=2,AE350,""))="A","RÉPARÉ – À RADIOGRAPHIER",IF(IF(AK350=1,Z350,IF(AK350=2,AE350,""))="R","VT REJETÉ – À REPRENDRE",IF(OR(AL350="CO",AL350="NT"),"COUPE – À RESOUDER","À RÉPARER"))))))))))</f>
        <v>À SOUDER</v>
      </c>
      <c r="AN350" s="81" t="str">
        <f aca="false">IF(AND(ISNUMBER(R350),OR(AM350="À RADIOGRAPHIER",AM350="RÉPARÉ – À RADIOGRAPHIER",AM350="NX – RT À REFAIRE",AM350="À RÉPARER",AM350="COUPE – À RESOUDER",AM350="VT REJETÉ – À REPRENDRE")),MAX(0,'PROGRAMME RT'!$C$4-R350),"")</f>
        <v/>
      </c>
      <c r="AO350" s="78" t="n">
        <f aca="false">IF(AND(OR(AM350="À RADIOGRAPHIER",AM350="RÉPARÉ – À RADIOGRAPHIER",AM350="NX – RT À REFAIRE"),OR('PROGRAMME RT'!$D$5="TOUTES",B350='PROGRAMME RT'!$D$5)),1,0)</f>
        <v>0</v>
      </c>
      <c r="AP350" s="78" t="str">
        <f aca="false">IF(AO350=1,SUM(AO$7:AO350),"")</f>
        <v/>
      </c>
      <c r="AQ350" s="78" t="n">
        <f aca="false">IF(AND(OR(X350="R",X350="NX",X350="NT",X350="CO"),OR('JOINTS DE RÉPARATION'!$D$5="TOUTES",B350='JOINTS DE RÉPARATION'!$D$5),OR('JOINTS DE RÉPARATION'!$L$4="TOUS",AM350&lt;&gt;"ACCEPTÉ")),1,0)</f>
        <v>0</v>
      </c>
      <c r="AR350" s="78" t="str">
        <f aca="false">IF(AQ350=1,SUM(AQ$7:AQ350),"")</f>
        <v/>
      </c>
    </row>
    <row r="351" customFormat="false" ht="15" hidden="false" customHeight="false" outlineLevel="0" collapsed="false">
      <c r="A351" s="78" t="n">
        <f aca="false">IF(E351="","",ROW()-6)</f>
        <v>345</v>
      </c>
      <c r="B351" s="79" t="s">
        <v>575</v>
      </c>
      <c r="C351" s="80"/>
      <c r="D351" s="80"/>
      <c r="E351" s="80" t="s">
        <v>583</v>
      </c>
      <c r="F351" s="80"/>
      <c r="G351" s="80" t="s">
        <v>106</v>
      </c>
      <c r="H351" s="80"/>
      <c r="I351" s="80"/>
      <c r="J351" s="80"/>
      <c r="K351" s="80"/>
      <c r="L351" s="81" t="str">
        <f aca="false">IF(K351="","",IFERROR(INDEX(BARDAGE!$C$7:$C$1506,MATCH(K351,BARDAGE!$B$7:$B$1506,0)),"? hors registre"))</f>
        <v/>
      </c>
      <c r="M351" s="80"/>
      <c r="N351" s="81" t="str">
        <f aca="false">IF(M351="","",IFERROR(INDEX(BARDAGE!$C$7:$C$1506,MATCH(M351,BARDAGE!$B$7:$B$1506,0)),"? hors registre"))</f>
        <v/>
      </c>
      <c r="O351" s="80"/>
      <c r="P351" s="80"/>
      <c r="Q351" s="80"/>
      <c r="R351" s="82"/>
      <c r="S351" s="82"/>
      <c r="T351" s="80"/>
      <c r="U351" s="80"/>
      <c r="V351" s="82"/>
      <c r="W351" s="80"/>
      <c r="X351" s="80"/>
      <c r="Y351" s="80"/>
      <c r="Z351" s="80"/>
      <c r="AA351" s="82"/>
      <c r="AB351" s="80"/>
      <c r="AC351" s="80"/>
      <c r="AD351" s="80"/>
      <c r="AE351" s="80"/>
      <c r="AF351" s="82"/>
      <c r="AG351" s="80"/>
      <c r="AH351" s="80"/>
      <c r="AI351" s="82"/>
      <c r="AJ351" s="79"/>
      <c r="AK351" s="78" t="n">
        <f aca="false">IF(E351="","",(X351&lt;&gt;"")+(AC351&lt;&gt;"")+(AH351&lt;&gt;""))</f>
        <v>0</v>
      </c>
      <c r="AL351" s="81" t="str">
        <f aca="false">IF(AH351&lt;&gt;"",AH351,IF(AC351&lt;&gt;"",AC351,IF(X351&lt;&gt;"",X351,"")))</f>
        <v/>
      </c>
      <c r="AM351" s="83" t="str">
        <f aca="false">IF(E351="","",IF(R351="","À SOUDER",IF(U351="","VT EN ATTENTE",IF(U351="R","VT REJETÉ – À REPRENDRE",IF(AL351="","À RADIOGRAPHIER",IF(AL351="A","ACCEPTÉ",IF(AL351="NX","NX – RT À REFAIRE",IF(IF(AK351=1,Z351,IF(AK351=2,AE351,""))="A","RÉPARÉ – À RADIOGRAPHIER",IF(IF(AK351=1,Z351,IF(AK351=2,AE351,""))="R","VT REJETÉ – À REPRENDRE",IF(OR(AL351="CO",AL351="NT"),"COUPE – À RESOUDER","À RÉPARER"))))))))))</f>
        <v>À SOUDER</v>
      </c>
      <c r="AN351" s="81" t="str">
        <f aca="false">IF(AND(ISNUMBER(R351),OR(AM351="À RADIOGRAPHIER",AM351="RÉPARÉ – À RADIOGRAPHIER",AM351="NX – RT À REFAIRE",AM351="À RÉPARER",AM351="COUPE – À RESOUDER",AM351="VT REJETÉ – À REPRENDRE")),MAX(0,'PROGRAMME RT'!$C$4-R351),"")</f>
        <v/>
      </c>
      <c r="AO351" s="78" t="n">
        <f aca="false">IF(AND(OR(AM351="À RADIOGRAPHIER",AM351="RÉPARÉ – À RADIOGRAPHIER",AM351="NX – RT À REFAIRE"),OR('PROGRAMME RT'!$D$5="TOUTES",B351='PROGRAMME RT'!$D$5)),1,0)</f>
        <v>0</v>
      </c>
      <c r="AP351" s="78" t="str">
        <f aca="false">IF(AO351=1,SUM(AO$7:AO351),"")</f>
        <v/>
      </c>
      <c r="AQ351" s="78" t="n">
        <f aca="false">IF(AND(OR(X351="R",X351="NX",X351="NT",X351="CO"),OR('JOINTS DE RÉPARATION'!$D$5="TOUTES",B351='JOINTS DE RÉPARATION'!$D$5),OR('JOINTS DE RÉPARATION'!$L$4="TOUS",AM351&lt;&gt;"ACCEPTÉ")),1,0)</f>
        <v>0</v>
      </c>
      <c r="AR351" s="78" t="str">
        <f aca="false">IF(AQ351=1,SUM(AQ$7:AQ351),"")</f>
        <v/>
      </c>
    </row>
    <row r="352" customFormat="false" ht="15" hidden="false" customHeight="false" outlineLevel="0" collapsed="false">
      <c r="A352" s="78" t="n">
        <f aca="false">IF(E352="","",ROW()-6)</f>
        <v>346</v>
      </c>
      <c r="B352" s="79" t="s">
        <v>575</v>
      </c>
      <c r="C352" s="80"/>
      <c r="D352" s="80"/>
      <c r="E352" s="80" t="s">
        <v>441</v>
      </c>
      <c r="F352" s="80"/>
      <c r="G352" s="80" t="s">
        <v>106</v>
      </c>
      <c r="H352" s="80"/>
      <c r="I352" s="80"/>
      <c r="J352" s="80"/>
      <c r="K352" s="80"/>
      <c r="L352" s="81" t="str">
        <f aca="false">IF(K352="","",IFERROR(INDEX(BARDAGE!$C$7:$C$1506,MATCH(K352,BARDAGE!$B$7:$B$1506,0)),"? hors registre"))</f>
        <v/>
      </c>
      <c r="M352" s="80"/>
      <c r="N352" s="81" t="str">
        <f aca="false">IF(M352="","",IFERROR(INDEX(BARDAGE!$C$7:$C$1506,MATCH(M352,BARDAGE!$B$7:$B$1506,0)),"? hors registre"))</f>
        <v/>
      </c>
      <c r="O352" s="80"/>
      <c r="P352" s="80"/>
      <c r="Q352" s="80"/>
      <c r="R352" s="82"/>
      <c r="S352" s="82"/>
      <c r="T352" s="80"/>
      <c r="U352" s="80"/>
      <c r="V352" s="82"/>
      <c r="W352" s="80"/>
      <c r="X352" s="80"/>
      <c r="Y352" s="80"/>
      <c r="Z352" s="80"/>
      <c r="AA352" s="82"/>
      <c r="AB352" s="80"/>
      <c r="AC352" s="80"/>
      <c r="AD352" s="80"/>
      <c r="AE352" s="80"/>
      <c r="AF352" s="82"/>
      <c r="AG352" s="80"/>
      <c r="AH352" s="80"/>
      <c r="AI352" s="82"/>
      <c r="AJ352" s="79"/>
      <c r="AK352" s="78" t="n">
        <f aca="false">IF(E352="","",(X352&lt;&gt;"")+(AC352&lt;&gt;"")+(AH352&lt;&gt;""))</f>
        <v>0</v>
      </c>
      <c r="AL352" s="81" t="str">
        <f aca="false">IF(AH352&lt;&gt;"",AH352,IF(AC352&lt;&gt;"",AC352,IF(X352&lt;&gt;"",X352,"")))</f>
        <v/>
      </c>
      <c r="AM352" s="83" t="str">
        <f aca="false">IF(E352="","",IF(R352="","À SOUDER",IF(U352="","VT EN ATTENTE",IF(U352="R","VT REJETÉ – À REPRENDRE",IF(AL352="","À RADIOGRAPHIER",IF(AL352="A","ACCEPTÉ",IF(AL352="NX","NX – RT À REFAIRE",IF(IF(AK352=1,Z352,IF(AK352=2,AE352,""))="A","RÉPARÉ – À RADIOGRAPHIER",IF(IF(AK352=1,Z352,IF(AK352=2,AE352,""))="R","VT REJETÉ – À REPRENDRE",IF(OR(AL352="CO",AL352="NT"),"COUPE – À RESOUDER","À RÉPARER"))))))))))</f>
        <v>À SOUDER</v>
      </c>
      <c r="AN352" s="81" t="str">
        <f aca="false">IF(AND(ISNUMBER(R352),OR(AM352="À RADIOGRAPHIER",AM352="RÉPARÉ – À RADIOGRAPHIER",AM352="NX – RT À REFAIRE",AM352="À RÉPARER",AM352="COUPE – À RESOUDER",AM352="VT REJETÉ – À REPRENDRE")),MAX(0,'PROGRAMME RT'!$C$4-R352),"")</f>
        <v/>
      </c>
      <c r="AO352" s="78" t="n">
        <f aca="false">IF(AND(OR(AM352="À RADIOGRAPHIER",AM352="RÉPARÉ – À RADIOGRAPHIER",AM352="NX – RT À REFAIRE"),OR('PROGRAMME RT'!$D$5="TOUTES",B352='PROGRAMME RT'!$D$5)),1,0)</f>
        <v>0</v>
      </c>
      <c r="AP352" s="78" t="str">
        <f aca="false">IF(AO352=1,SUM(AO$7:AO352),"")</f>
        <v/>
      </c>
      <c r="AQ352" s="78" t="n">
        <f aca="false">IF(AND(OR(X352="R",X352="NX",X352="NT",X352="CO"),OR('JOINTS DE RÉPARATION'!$D$5="TOUTES",B352='JOINTS DE RÉPARATION'!$D$5),OR('JOINTS DE RÉPARATION'!$L$4="TOUS",AM352&lt;&gt;"ACCEPTÉ")),1,0)</f>
        <v>0</v>
      </c>
      <c r="AR352" s="78" t="str">
        <f aca="false">IF(AQ352=1,SUM(AQ$7:AQ352),"")</f>
        <v/>
      </c>
    </row>
    <row r="353" customFormat="false" ht="15" hidden="false" customHeight="false" outlineLevel="0" collapsed="false">
      <c r="A353" s="78" t="n">
        <f aca="false">IF(E353="","",ROW()-6)</f>
        <v>347</v>
      </c>
      <c r="B353" s="79" t="s">
        <v>575</v>
      </c>
      <c r="C353" s="80"/>
      <c r="D353" s="80"/>
      <c r="E353" s="80" t="s">
        <v>443</v>
      </c>
      <c r="F353" s="80"/>
      <c r="G353" s="80" t="s">
        <v>106</v>
      </c>
      <c r="H353" s="80"/>
      <c r="I353" s="80"/>
      <c r="J353" s="80"/>
      <c r="K353" s="80"/>
      <c r="L353" s="81" t="str">
        <f aca="false">IF(K353="","",IFERROR(INDEX(BARDAGE!$C$7:$C$1506,MATCH(K353,BARDAGE!$B$7:$B$1506,0)),"? hors registre"))</f>
        <v/>
      </c>
      <c r="M353" s="80"/>
      <c r="N353" s="81" t="str">
        <f aca="false">IF(M353="","",IFERROR(INDEX(BARDAGE!$C$7:$C$1506,MATCH(M353,BARDAGE!$B$7:$B$1506,0)),"? hors registre"))</f>
        <v/>
      </c>
      <c r="O353" s="80"/>
      <c r="P353" s="80"/>
      <c r="Q353" s="80"/>
      <c r="R353" s="82"/>
      <c r="S353" s="82"/>
      <c r="T353" s="80"/>
      <c r="U353" s="80"/>
      <c r="V353" s="82"/>
      <c r="W353" s="80"/>
      <c r="X353" s="80"/>
      <c r="Y353" s="80"/>
      <c r="Z353" s="80"/>
      <c r="AA353" s="82"/>
      <c r="AB353" s="80"/>
      <c r="AC353" s="80"/>
      <c r="AD353" s="80"/>
      <c r="AE353" s="80"/>
      <c r="AF353" s="82"/>
      <c r="AG353" s="80"/>
      <c r="AH353" s="80"/>
      <c r="AI353" s="82"/>
      <c r="AJ353" s="79"/>
      <c r="AK353" s="78" t="n">
        <f aca="false">IF(E353="","",(X353&lt;&gt;"")+(AC353&lt;&gt;"")+(AH353&lt;&gt;""))</f>
        <v>0</v>
      </c>
      <c r="AL353" s="81" t="str">
        <f aca="false">IF(AH353&lt;&gt;"",AH353,IF(AC353&lt;&gt;"",AC353,IF(X353&lt;&gt;"",X353,"")))</f>
        <v/>
      </c>
      <c r="AM353" s="83" t="str">
        <f aca="false">IF(E353="","",IF(R353="","À SOUDER",IF(U353="","VT EN ATTENTE",IF(U353="R","VT REJETÉ – À REPRENDRE",IF(AL353="","À RADIOGRAPHIER",IF(AL353="A","ACCEPTÉ",IF(AL353="NX","NX – RT À REFAIRE",IF(IF(AK353=1,Z353,IF(AK353=2,AE353,""))="A","RÉPARÉ – À RADIOGRAPHIER",IF(IF(AK353=1,Z353,IF(AK353=2,AE353,""))="R","VT REJETÉ – À REPRENDRE",IF(OR(AL353="CO",AL353="NT"),"COUPE – À RESOUDER","À RÉPARER"))))))))))</f>
        <v>À SOUDER</v>
      </c>
      <c r="AN353" s="81" t="str">
        <f aca="false">IF(AND(ISNUMBER(R353),OR(AM353="À RADIOGRAPHIER",AM353="RÉPARÉ – À RADIOGRAPHIER",AM353="NX – RT À REFAIRE",AM353="À RÉPARER",AM353="COUPE – À RESOUDER",AM353="VT REJETÉ – À REPRENDRE")),MAX(0,'PROGRAMME RT'!$C$4-R353),"")</f>
        <v/>
      </c>
      <c r="AO353" s="78" t="n">
        <f aca="false">IF(AND(OR(AM353="À RADIOGRAPHIER",AM353="RÉPARÉ – À RADIOGRAPHIER",AM353="NX – RT À REFAIRE"),OR('PROGRAMME RT'!$D$5="TOUTES",B353='PROGRAMME RT'!$D$5)),1,0)</f>
        <v>0</v>
      </c>
      <c r="AP353" s="78" t="str">
        <f aca="false">IF(AO353=1,SUM(AO$7:AO353),"")</f>
        <v/>
      </c>
      <c r="AQ353" s="78" t="n">
        <f aca="false">IF(AND(OR(X353="R",X353="NX",X353="NT",X353="CO"),OR('JOINTS DE RÉPARATION'!$D$5="TOUTES",B353='JOINTS DE RÉPARATION'!$D$5),OR('JOINTS DE RÉPARATION'!$L$4="TOUS",AM353&lt;&gt;"ACCEPTÉ")),1,0)</f>
        <v>0</v>
      </c>
      <c r="AR353" s="78" t="str">
        <f aca="false">IF(AQ353=1,SUM(AQ$7:AQ353),"")</f>
        <v/>
      </c>
    </row>
    <row r="354" customFormat="false" ht="15" hidden="false" customHeight="false" outlineLevel="0" collapsed="false">
      <c r="A354" s="78" t="n">
        <f aca="false">IF(E354="","",ROW()-6)</f>
        <v>348</v>
      </c>
      <c r="B354" s="79" t="s">
        <v>575</v>
      </c>
      <c r="C354" s="80"/>
      <c r="D354" s="80"/>
      <c r="E354" s="80" t="s">
        <v>584</v>
      </c>
      <c r="F354" s="80"/>
      <c r="G354" s="80" t="s">
        <v>106</v>
      </c>
      <c r="H354" s="80"/>
      <c r="I354" s="80"/>
      <c r="J354" s="80"/>
      <c r="K354" s="80"/>
      <c r="L354" s="81" t="str">
        <f aca="false">IF(K354="","",IFERROR(INDEX(BARDAGE!$C$7:$C$1506,MATCH(K354,BARDAGE!$B$7:$B$1506,0)),"? hors registre"))</f>
        <v/>
      </c>
      <c r="M354" s="80"/>
      <c r="N354" s="81" t="str">
        <f aca="false">IF(M354="","",IFERROR(INDEX(BARDAGE!$C$7:$C$1506,MATCH(M354,BARDAGE!$B$7:$B$1506,0)),"? hors registre"))</f>
        <v/>
      </c>
      <c r="O354" s="80"/>
      <c r="P354" s="80"/>
      <c r="Q354" s="80"/>
      <c r="R354" s="82"/>
      <c r="S354" s="82"/>
      <c r="T354" s="80"/>
      <c r="U354" s="80"/>
      <c r="V354" s="82"/>
      <c r="W354" s="80"/>
      <c r="X354" s="80"/>
      <c r="Y354" s="80"/>
      <c r="Z354" s="80"/>
      <c r="AA354" s="82"/>
      <c r="AB354" s="80"/>
      <c r="AC354" s="80"/>
      <c r="AD354" s="80"/>
      <c r="AE354" s="80"/>
      <c r="AF354" s="82"/>
      <c r="AG354" s="80"/>
      <c r="AH354" s="80"/>
      <c r="AI354" s="82"/>
      <c r="AJ354" s="79"/>
      <c r="AK354" s="78" t="n">
        <f aca="false">IF(E354="","",(X354&lt;&gt;"")+(AC354&lt;&gt;"")+(AH354&lt;&gt;""))</f>
        <v>0</v>
      </c>
      <c r="AL354" s="81" t="str">
        <f aca="false">IF(AH354&lt;&gt;"",AH354,IF(AC354&lt;&gt;"",AC354,IF(X354&lt;&gt;"",X354,"")))</f>
        <v/>
      </c>
      <c r="AM354" s="83" t="str">
        <f aca="false">IF(E354="","",IF(R354="","À SOUDER",IF(U354="","VT EN ATTENTE",IF(U354="R","VT REJETÉ – À REPRENDRE",IF(AL354="","À RADIOGRAPHIER",IF(AL354="A","ACCEPTÉ",IF(AL354="NX","NX – RT À REFAIRE",IF(IF(AK354=1,Z354,IF(AK354=2,AE354,""))="A","RÉPARÉ – À RADIOGRAPHIER",IF(IF(AK354=1,Z354,IF(AK354=2,AE354,""))="R","VT REJETÉ – À REPRENDRE",IF(OR(AL354="CO",AL354="NT"),"COUPE – À RESOUDER","À RÉPARER"))))))))))</f>
        <v>À SOUDER</v>
      </c>
      <c r="AN354" s="81" t="str">
        <f aca="false">IF(AND(ISNUMBER(R354),OR(AM354="À RADIOGRAPHIER",AM354="RÉPARÉ – À RADIOGRAPHIER",AM354="NX – RT À REFAIRE",AM354="À RÉPARER",AM354="COUPE – À RESOUDER",AM354="VT REJETÉ – À REPRENDRE")),MAX(0,'PROGRAMME RT'!$C$4-R354),"")</f>
        <v/>
      </c>
      <c r="AO354" s="78" t="n">
        <f aca="false">IF(AND(OR(AM354="À RADIOGRAPHIER",AM354="RÉPARÉ – À RADIOGRAPHIER",AM354="NX – RT À REFAIRE"),OR('PROGRAMME RT'!$D$5="TOUTES",B354='PROGRAMME RT'!$D$5)),1,0)</f>
        <v>0</v>
      </c>
      <c r="AP354" s="78" t="str">
        <f aca="false">IF(AO354=1,SUM(AO$7:AO354),"")</f>
        <v/>
      </c>
      <c r="AQ354" s="78" t="n">
        <f aca="false">IF(AND(OR(X354="R",X354="NX",X354="NT",X354="CO"),OR('JOINTS DE RÉPARATION'!$D$5="TOUTES",B354='JOINTS DE RÉPARATION'!$D$5),OR('JOINTS DE RÉPARATION'!$L$4="TOUS",AM354&lt;&gt;"ACCEPTÉ")),1,0)</f>
        <v>0</v>
      </c>
      <c r="AR354" s="78" t="str">
        <f aca="false">IF(AQ354=1,SUM(AQ$7:AQ354),"")</f>
        <v/>
      </c>
    </row>
    <row r="355" customFormat="false" ht="15" hidden="false" customHeight="false" outlineLevel="0" collapsed="false">
      <c r="A355" s="78" t="n">
        <f aca="false">IF(E355="","",ROW()-6)</f>
        <v>349</v>
      </c>
      <c r="B355" s="79" t="s">
        <v>575</v>
      </c>
      <c r="C355" s="80"/>
      <c r="D355" s="80"/>
      <c r="E355" s="80" t="s">
        <v>452</v>
      </c>
      <c r="F355" s="80"/>
      <c r="G355" s="80" t="s">
        <v>106</v>
      </c>
      <c r="H355" s="80"/>
      <c r="I355" s="80"/>
      <c r="J355" s="80"/>
      <c r="K355" s="80"/>
      <c r="L355" s="81" t="str">
        <f aca="false">IF(K355="","",IFERROR(INDEX(BARDAGE!$C$7:$C$1506,MATCH(K355,BARDAGE!$B$7:$B$1506,0)),"? hors registre"))</f>
        <v/>
      </c>
      <c r="M355" s="80"/>
      <c r="N355" s="81" t="str">
        <f aca="false">IF(M355="","",IFERROR(INDEX(BARDAGE!$C$7:$C$1506,MATCH(M355,BARDAGE!$B$7:$B$1506,0)),"? hors registre"))</f>
        <v/>
      </c>
      <c r="O355" s="80"/>
      <c r="P355" s="80"/>
      <c r="Q355" s="80"/>
      <c r="R355" s="82"/>
      <c r="S355" s="82"/>
      <c r="T355" s="80"/>
      <c r="U355" s="80"/>
      <c r="V355" s="82"/>
      <c r="W355" s="80"/>
      <c r="X355" s="80"/>
      <c r="Y355" s="80"/>
      <c r="Z355" s="80"/>
      <c r="AA355" s="82"/>
      <c r="AB355" s="80"/>
      <c r="AC355" s="80"/>
      <c r="AD355" s="80"/>
      <c r="AE355" s="80"/>
      <c r="AF355" s="82"/>
      <c r="AG355" s="80"/>
      <c r="AH355" s="80"/>
      <c r="AI355" s="82"/>
      <c r="AJ355" s="79"/>
      <c r="AK355" s="78" t="n">
        <f aca="false">IF(E355="","",(X355&lt;&gt;"")+(AC355&lt;&gt;"")+(AH355&lt;&gt;""))</f>
        <v>0</v>
      </c>
      <c r="AL355" s="81" t="str">
        <f aca="false">IF(AH355&lt;&gt;"",AH355,IF(AC355&lt;&gt;"",AC355,IF(X355&lt;&gt;"",X355,"")))</f>
        <v/>
      </c>
      <c r="AM355" s="83" t="str">
        <f aca="false">IF(E355="","",IF(R355="","À SOUDER",IF(U355="","VT EN ATTENTE",IF(U355="R","VT REJETÉ – À REPRENDRE",IF(AL355="","À RADIOGRAPHIER",IF(AL355="A","ACCEPTÉ",IF(AL355="NX","NX – RT À REFAIRE",IF(IF(AK355=1,Z355,IF(AK355=2,AE355,""))="A","RÉPARÉ – À RADIOGRAPHIER",IF(IF(AK355=1,Z355,IF(AK355=2,AE355,""))="R","VT REJETÉ – À REPRENDRE",IF(OR(AL355="CO",AL355="NT"),"COUPE – À RESOUDER","À RÉPARER"))))))))))</f>
        <v>À SOUDER</v>
      </c>
      <c r="AN355" s="81" t="str">
        <f aca="false">IF(AND(ISNUMBER(R355),OR(AM355="À RADIOGRAPHIER",AM355="RÉPARÉ – À RADIOGRAPHIER",AM355="NX – RT À REFAIRE",AM355="À RÉPARER",AM355="COUPE – À RESOUDER",AM355="VT REJETÉ – À REPRENDRE")),MAX(0,'PROGRAMME RT'!$C$4-R355),"")</f>
        <v/>
      </c>
      <c r="AO355" s="78" t="n">
        <f aca="false">IF(AND(OR(AM355="À RADIOGRAPHIER",AM355="RÉPARÉ – À RADIOGRAPHIER",AM355="NX – RT À REFAIRE"),OR('PROGRAMME RT'!$D$5="TOUTES",B355='PROGRAMME RT'!$D$5)),1,0)</f>
        <v>0</v>
      </c>
      <c r="AP355" s="78" t="str">
        <f aca="false">IF(AO355=1,SUM(AO$7:AO355),"")</f>
        <v/>
      </c>
      <c r="AQ355" s="78" t="n">
        <f aca="false">IF(AND(OR(X355="R",X355="NX",X355="NT",X355="CO"),OR('JOINTS DE RÉPARATION'!$D$5="TOUTES",B355='JOINTS DE RÉPARATION'!$D$5),OR('JOINTS DE RÉPARATION'!$L$4="TOUS",AM355&lt;&gt;"ACCEPTÉ")),1,0)</f>
        <v>0</v>
      </c>
      <c r="AR355" s="78" t="str">
        <f aca="false">IF(AQ355=1,SUM(AQ$7:AQ355),"")</f>
        <v/>
      </c>
    </row>
    <row r="356" customFormat="false" ht="15" hidden="false" customHeight="false" outlineLevel="0" collapsed="false">
      <c r="A356" s="78" t="n">
        <f aca="false">IF(E356="","",ROW()-6)</f>
        <v>350</v>
      </c>
      <c r="B356" s="79" t="s">
        <v>575</v>
      </c>
      <c r="C356" s="80"/>
      <c r="D356" s="80"/>
      <c r="E356" s="80" t="s">
        <v>454</v>
      </c>
      <c r="F356" s="80"/>
      <c r="G356" s="80" t="s">
        <v>106</v>
      </c>
      <c r="H356" s="80"/>
      <c r="I356" s="80"/>
      <c r="J356" s="80"/>
      <c r="K356" s="80"/>
      <c r="L356" s="81" t="str">
        <f aca="false">IF(K356="","",IFERROR(INDEX(BARDAGE!$C$7:$C$1506,MATCH(K356,BARDAGE!$B$7:$B$1506,0)),"? hors registre"))</f>
        <v/>
      </c>
      <c r="M356" s="80"/>
      <c r="N356" s="81" t="str">
        <f aca="false">IF(M356="","",IFERROR(INDEX(BARDAGE!$C$7:$C$1506,MATCH(M356,BARDAGE!$B$7:$B$1506,0)),"? hors registre"))</f>
        <v/>
      </c>
      <c r="O356" s="80"/>
      <c r="P356" s="80"/>
      <c r="Q356" s="80"/>
      <c r="R356" s="82"/>
      <c r="S356" s="82"/>
      <c r="T356" s="80"/>
      <c r="U356" s="80"/>
      <c r="V356" s="82"/>
      <c r="W356" s="80"/>
      <c r="X356" s="80"/>
      <c r="Y356" s="80"/>
      <c r="Z356" s="80"/>
      <c r="AA356" s="82"/>
      <c r="AB356" s="80"/>
      <c r="AC356" s="80"/>
      <c r="AD356" s="80"/>
      <c r="AE356" s="80"/>
      <c r="AF356" s="82"/>
      <c r="AG356" s="80"/>
      <c r="AH356" s="80"/>
      <c r="AI356" s="82"/>
      <c r="AJ356" s="79"/>
      <c r="AK356" s="78" t="n">
        <f aca="false">IF(E356="","",(X356&lt;&gt;"")+(AC356&lt;&gt;"")+(AH356&lt;&gt;""))</f>
        <v>0</v>
      </c>
      <c r="AL356" s="81" t="str">
        <f aca="false">IF(AH356&lt;&gt;"",AH356,IF(AC356&lt;&gt;"",AC356,IF(X356&lt;&gt;"",X356,"")))</f>
        <v/>
      </c>
      <c r="AM356" s="83" t="str">
        <f aca="false">IF(E356="","",IF(R356="","À SOUDER",IF(U356="","VT EN ATTENTE",IF(U356="R","VT REJETÉ – À REPRENDRE",IF(AL356="","À RADIOGRAPHIER",IF(AL356="A","ACCEPTÉ",IF(AL356="NX","NX – RT À REFAIRE",IF(IF(AK356=1,Z356,IF(AK356=2,AE356,""))="A","RÉPARÉ – À RADIOGRAPHIER",IF(IF(AK356=1,Z356,IF(AK356=2,AE356,""))="R","VT REJETÉ – À REPRENDRE",IF(OR(AL356="CO",AL356="NT"),"COUPE – À RESOUDER","À RÉPARER"))))))))))</f>
        <v>À SOUDER</v>
      </c>
      <c r="AN356" s="81" t="str">
        <f aca="false">IF(AND(ISNUMBER(R356),OR(AM356="À RADIOGRAPHIER",AM356="RÉPARÉ – À RADIOGRAPHIER",AM356="NX – RT À REFAIRE",AM356="À RÉPARER",AM356="COUPE – À RESOUDER",AM356="VT REJETÉ – À REPRENDRE")),MAX(0,'PROGRAMME RT'!$C$4-R356),"")</f>
        <v/>
      </c>
      <c r="AO356" s="78" t="n">
        <f aca="false">IF(AND(OR(AM356="À RADIOGRAPHIER",AM356="RÉPARÉ – À RADIOGRAPHIER",AM356="NX – RT À REFAIRE"),OR('PROGRAMME RT'!$D$5="TOUTES",B356='PROGRAMME RT'!$D$5)),1,0)</f>
        <v>0</v>
      </c>
      <c r="AP356" s="78" t="str">
        <f aca="false">IF(AO356=1,SUM(AO$7:AO356),"")</f>
        <v/>
      </c>
      <c r="AQ356" s="78" t="n">
        <f aca="false">IF(AND(OR(X356="R",X356="NX",X356="NT",X356="CO"),OR('JOINTS DE RÉPARATION'!$D$5="TOUTES",B356='JOINTS DE RÉPARATION'!$D$5),OR('JOINTS DE RÉPARATION'!$L$4="TOUS",AM356&lt;&gt;"ACCEPTÉ")),1,0)</f>
        <v>0</v>
      </c>
      <c r="AR356" s="78" t="str">
        <f aca="false">IF(AQ356=1,SUM(AQ$7:AQ356),"")</f>
        <v/>
      </c>
    </row>
    <row r="357" customFormat="false" ht="15" hidden="false" customHeight="false" outlineLevel="0" collapsed="false">
      <c r="A357" s="78" t="n">
        <f aca="false">IF(E357="","",ROW()-6)</f>
        <v>351</v>
      </c>
      <c r="B357" s="79" t="s">
        <v>575</v>
      </c>
      <c r="C357" s="80"/>
      <c r="D357" s="80"/>
      <c r="E357" s="80" t="s">
        <v>456</v>
      </c>
      <c r="F357" s="80"/>
      <c r="G357" s="80" t="s">
        <v>106</v>
      </c>
      <c r="H357" s="80"/>
      <c r="I357" s="80"/>
      <c r="J357" s="80"/>
      <c r="K357" s="80"/>
      <c r="L357" s="81" t="str">
        <f aca="false">IF(K357="","",IFERROR(INDEX(BARDAGE!$C$7:$C$1506,MATCH(K357,BARDAGE!$B$7:$B$1506,0)),"? hors registre"))</f>
        <v/>
      </c>
      <c r="M357" s="80"/>
      <c r="N357" s="81" t="str">
        <f aca="false">IF(M357="","",IFERROR(INDEX(BARDAGE!$C$7:$C$1506,MATCH(M357,BARDAGE!$B$7:$B$1506,0)),"? hors registre"))</f>
        <v/>
      </c>
      <c r="O357" s="80"/>
      <c r="P357" s="80"/>
      <c r="Q357" s="80"/>
      <c r="R357" s="82"/>
      <c r="S357" s="82"/>
      <c r="T357" s="80"/>
      <c r="U357" s="80"/>
      <c r="V357" s="82"/>
      <c r="W357" s="80"/>
      <c r="X357" s="80"/>
      <c r="Y357" s="80"/>
      <c r="Z357" s="80"/>
      <c r="AA357" s="82"/>
      <c r="AB357" s="80"/>
      <c r="AC357" s="80"/>
      <c r="AD357" s="80"/>
      <c r="AE357" s="80"/>
      <c r="AF357" s="82"/>
      <c r="AG357" s="80"/>
      <c r="AH357" s="80"/>
      <c r="AI357" s="82"/>
      <c r="AJ357" s="79"/>
      <c r="AK357" s="78" t="n">
        <f aca="false">IF(E357="","",(X357&lt;&gt;"")+(AC357&lt;&gt;"")+(AH357&lt;&gt;""))</f>
        <v>0</v>
      </c>
      <c r="AL357" s="81" t="str">
        <f aca="false">IF(AH357&lt;&gt;"",AH357,IF(AC357&lt;&gt;"",AC357,IF(X357&lt;&gt;"",X357,"")))</f>
        <v/>
      </c>
      <c r="AM357" s="83" t="str">
        <f aca="false">IF(E357="","",IF(R357="","À SOUDER",IF(U357="","VT EN ATTENTE",IF(U357="R","VT REJETÉ – À REPRENDRE",IF(AL357="","À RADIOGRAPHIER",IF(AL357="A","ACCEPTÉ",IF(AL357="NX","NX – RT À REFAIRE",IF(IF(AK357=1,Z357,IF(AK357=2,AE357,""))="A","RÉPARÉ – À RADIOGRAPHIER",IF(IF(AK357=1,Z357,IF(AK357=2,AE357,""))="R","VT REJETÉ – À REPRENDRE",IF(OR(AL357="CO",AL357="NT"),"COUPE – À RESOUDER","À RÉPARER"))))))))))</f>
        <v>À SOUDER</v>
      </c>
      <c r="AN357" s="81" t="str">
        <f aca="false">IF(AND(ISNUMBER(R357),OR(AM357="À RADIOGRAPHIER",AM357="RÉPARÉ – À RADIOGRAPHIER",AM357="NX – RT À REFAIRE",AM357="À RÉPARER",AM357="COUPE – À RESOUDER",AM357="VT REJETÉ – À REPRENDRE")),MAX(0,'PROGRAMME RT'!$C$4-R357),"")</f>
        <v/>
      </c>
      <c r="AO357" s="78" t="n">
        <f aca="false">IF(AND(OR(AM357="À RADIOGRAPHIER",AM357="RÉPARÉ – À RADIOGRAPHIER",AM357="NX – RT À REFAIRE"),OR('PROGRAMME RT'!$D$5="TOUTES",B357='PROGRAMME RT'!$D$5)),1,0)</f>
        <v>0</v>
      </c>
      <c r="AP357" s="78" t="str">
        <f aca="false">IF(AO357=1,SUM(AO$7:AO357),"")</f>
        <v/>
      </c>
      <c r="AQ357" s="78" t="n">
        <f aca="false">IF(AND(OR(X357="R",X357="NX",X357="NT",X357="CO"),OR('JOINTS DE RÉPARATION'!$D$5="TOUTES",B357='JOINTS DE RÉPARATION'!$D$5),OR('JOINTS DE RÉPARATION'!$L$4="TOUS",AM357&lt;&gt;"ACCEPTÉ")),1,0)</f>
        <v>0</v>
      </c>
      <c r="AR357" s="78" t="str">
        <f aca="false">IF(AQ357=1,SUM(AQ$7:AQ357),"")</f>
        <v/>
      </c>
    </row>
    <row r="358" customFormat="false" ht="15" hidden="false" customHeight="false" outlineLevel="0" collapsed="false">
      <c r="A358" s="78" t="n">
        <f aca="false">IF(E358="","",ROW()-6)</f>
        <v>352</v>
      </c>
      <c r="B358" s="79" t="s">
        <v>575</v>
      </c>
      <c r="C358" s="80"/>
      <c r="D358" s="80"/>
      <c r="E358" s="80" t="s">
        <v>457</v>
      </c>
      <c r="F358" s="80"/>
      <c r="G358" s="80" t="s">
        <v>106</v>
      </c>
      <c r="H358" s="80"/>
      <c r="I358" s="80"/>
      <c r="J358" s="80"/>
      <c r="K358" s="80"/>
      <c r="L358" s="81" t="str">
        <f aca="false">IF(K358="","",IFERROR(INDEX(BARDAGE!$C$7:$C$1506,MATCH(K358,BARDAGE!$B$7:$B$1506,0)),"? hors registre"))</f>
        <v/>
      </c>
      <c r="M358" s="80"/>
      <c r="N358" s="81" t="str">
        <f aca="false">IF(M358="","",IFERROR(INDEX(BARDAGE!$C$7:$C$1506,MATCH(M358,BARDAGE!$B$7:$B$1506,0)),"? hors registre"))</f>
        <v/>
      </c>
      <c r="O358" s="80"/>
      <c r="P358" s="80"/>
      <c r="Q358" s="80"/>
      <c r="R358" s="82"/>
      <c r="S358" s="82"/>
      <c r="T358" s="80"/>
      <c r="U358" s="80"/>
      <c r="V358" s="82"/>
      <c r="W358" s="80"/>
      <c r="X358" s="80"/>
      <c r="Y358" s="80"/>
      <c r="Z358" s="80"/>
      <c r="AA358" s="82"/>
      <c r="AB358" s="80"/>
      <c r="AC358" s="80"/>
      <c r="AD358" s="80"/>
      <c r="AE358" s="80"/>
      <c r="AF358" s="82"/>
      <c r="AG358" s="80"/>
      <c r="AH358" s="80"/>
      <c r="AI358" s="82"/>
      <c r="AJ358" s="79"/>
      <c r="AK358" s="78" t="n">
        <f aca="false">IF(E358="","",(X358&lt;&gt;"")+(AC358&lt;&gt;"")+(AH358&lt;&gt;""))</f>
        <v>0</v>
      </c>
      <c r="AL358" s="81" t="str">
        <f aca="false">IF(AH358&lt;&gt;"",AH358,IF(AC358&lt;&gt;"",AC358,IF(X358&lt;&gt;"",X358,"")))</f>
        <v/>
      </c>
      <c r="AM358" s="83" t="str">
        <f aca="false">IF(E358="","",IF(R358="","À SOUDER",IF(U358="","VT EN ATTENTE",IF(U358="R","VT REJETÉ – À REPRENDRE",IF(AL358="","À RADIOGRAPHIER",IF(AL358="A","ACCEPTÉ",IF(AL358="NX","NX – RT À REFAIRE",IF(IF(AK358=1,Z358,IF(AK358=2,AE358,""))="A","RÉPARÉ – À RADIOGRAPHIER",IF(IF(AK358=1,Z358,IF(AK358=2,AE358,""))="R","VT REJETÉ – À REPRENDRE",IF(OR(AL358="CO",AL358="NT"),"COUPE – À RESOUDER","À RÉPARER"))))))))))</f>
        <v>À SOUDER</v>
      </c>
      <c r="AN358" s="81" t="str">
        <f aca="false">IF(AND(ISNUMBER(R358),OR(AM358="À RADIOGRAPHIER",AM358="RÉPARÉ – À RADIOGRAPHIER",AM358="NX – RT À REFAIRE",AM358="À RÉPARER",AM358="COUPE – À RESOUDER",AM358="VT REJETÉ – À REPRENDRE")),MAX(0,'PROGRAMME RT'!$C$4-R358),"")</f>
        <v/>
      </c>
      <c r="AO358" s="78" t="n">
        <f aca="false">IF(AND(OR(AM358="À RADIOGRAPHIER",AM358="RÉPARÉ – À RADIOGRAPHIER",AM358="NX – RT À REFAIRE"),OR('PROGRAMME RT'!$D$5="TOUTES",B358='PROGRAMME RT'!$D$5)),1,0)</f>
        <v>0</v>
      </c>
      <c r="AP358" s="78" t="str">
        <f aca="false">IF(AO358=1,SUM(AO$7:AO358),"")</f>
        <v/>
      </c>
      <c r="AQ358" s="78" t="n">
        <f aca="false">IF(AND(OR(X358="R",X358="NX",X358="NT",X358="CO"),OR('JOINTS DE RÉPARATION'!$D$5="TOUTES",B358='JOINTS DE RÉPARATION'!$D$5),OR('JOINTS DE RÉPARATION'!$L$4="TOUS",AM358&lt;&gt;"ACCEPTÉ")),1,0)</f>
        <v>0</v>
      </c>
      <c r="AR358" s="78" t="str">
        <f aca="false">IF(AQ358=1,SUM(AQ$7:AQ358),"")</f>
        <v/>
      </c>
    </row>
    <row r="359" customFormat="false" ht="15" hidden="false" customHeight="false" outlineLevel="0" collapsed="false">
      <c r="A359" s="78" t="n">
        <f aca="false">IF(E359="","",ROW()-6)</f>
        <v>353</v>
      </c>
      <c r="B359" s="79" t="s">
        <v>575</v>
      </c>
      <c r="C359" s="80"/>
      <c r="D359" s="80"/>
      <c r="E359" s="80" t="s">
        <v>459</v>
      </c>
      <c r="F359" s="80"/>
      <c r="G359" s="80" t="s">
        <v>106</v>
      </c>
      <c r="H359" s="80"/>
      <c r="I359" s="80"/>
      <c r="J359" s="80"/>
      <c r="K359" s="80"/>
      <c r="L359" s="81" t="str">
        <f aca="false">IF(K359="","",IFERROR(INDEX(BARDAGE!$C$7:$C$1506,MATCH(K359,BARDAGE!$B$7:$B$1506,0)),"? hors registre"))</f>
        <v/>
      </c>
      <c r="M359" s="80"/>
      <c r="N359" s="81" t="str">
        <f aca="false">IF(M359="","",IFERROR(INDEX(BARDAGE!$C$7:$C$1506,MATCH(M359,BARDAGE!$B$7:$B$1506,0)),"? hors registre"))</f>
        <v/>
      </c>
      <c r="O359" s="80"/>
      <c r="P359" s="80"/>
      <c r="Q359" s="80"/>
      <c r="R359" s="82"/>
      <c r="S359" s="82"/>
      <c r="T359" s="80"/>
      <c r="U359" s="80"/>
      <c r="V359" s="82"/>
      <c r="W359" s="80"/>
      <c r="X359" s="80"/>
      <c r="Y359" s="80"/>
      <c r="Z359" s="80"/>
      <c r="AA359" s="82"/>
      <c r="AB359" s="80"/>
      <c r="AC359" s="80"/>
      <c r="AD359" s="80"/>
      <c r="AE359" s="80"/>
      <c r="AF359" s="82"/>
      <c r="AG359" s="80"/>
      <c r="AH359" s="80"/>
      <c r="AI359" s="82"/>
      <c r="AJ359" s="79"/>
      <c r="AK359" s="78" t="n">
        <f aca="false">IF(E359="","",(X359&lt;&gt;"")+(AC359&lt;&gt;"")+(AH359&lt;&gt;""))</f>
        <v>0</v>
      </c>
      <c r="AL359" s="81" t="str">
        <f aca="false">IF(AH359&lt;&gt;"",AH359,IF(AC359&lt;&gt;"",AC359,IF(X359&lt;&gt;"",X359,"")))</f>
        <v/>
      </c>
      <c r="AM359" s="83" t="str">
        <f aca="false">IF(E359="","",IF(R359="","À SOUDER",IF(U359="","VT EN ATTENTE",IF(U359="R","VT REJETÉ – À REPRENDRE",IF(AL359="","À RADIOGRAPHIER",IF(AL359="A","ACCEPTÉ",IF(AL359="NX","NX – RT À REFAIRE",IF(IF(AK359=1,Z359,IF(AK359=2,AE359,""))="A","RÉPARÉ – À RADIOGRAPHIER",IF(IF(AK359=1,Z359,IF(AK359=2,AE359,""))="R","VT REJETÉ – À REPRENDRE",IF(OR(AL359="CO",AL359="NT"),"COUPE – À RESOUDER","À RÉPARER"))))))))))</f>
        <v>À SOUDER</v>
      </c>
      <c r="AN359" s="81" t="str">
        <f aca="false">IF(AND(ISNUMBER(R359),OR(AM359="À RADIOGRAPHIER",AM359="RÉPARÉ – À RADIOGRAPHIER",AM359="NX – RT À REFAIRE",AM359="À RÉPARER",AM359="COUPE – À RESOUDER",AM359="VT REJETÉ – À REPRENDRE")),MAX(0,'PROGRAMME RT'!$C$4-R359),"")</f>
        <v/>
      </c>
      <c r="AO359" s="78" t="n">
        <f aca="false">IF(AND(OR(AM359="À RADIOGRAPHIER",AM359="RÉPARÉ – À RADIOGRAPHIER",AM359="NX – RT À REFAIRE"),OR('PROGRAMME RT'!$D$5="TOUTES",B359='PROGRAMME RT'!$D$5)),1,0)</f>
        <v>0</v>
      </c>
      <c r="AP359" s="78" t="str">
        <f aca="false">IF(AO359=1,SUM(AO$7:AO359),"")</f>
        <v/>
      </c>
      <c r="AQ359" s="78" t="n">
        <f aca="false">IF(AND(OR(X359="R",X359="NX",X359="NT",X359="CO"),OR('JOINTS DE RÉPARATION'!$D$5="TOUTES",B359='JOINTS DE RÉPARATION'!$D$5),OR('JOINTS DE RÉPARATION'!$L$4="TOUS",AM359&lt;&gt;"ACCEPTÉ")),1,0)</f>
        <v>0</v>
      </c>
      <c r="AR359" s="78" t="str">
        <f aca="false">IF(AQ359=1,SUM(AQ$7:AQ359),"")</f>
        <v/>
      </c>
    </row>
    <row r="360" customFormat="false" ht="15" hidden="false" customHeight="false" outlineLevel="0" collapsed="false">
      <c r="A360" s="78" t="n">
        <f aca="false">IF(E360="","",ROW()-6)</f>
        <v>354</v>
      </c>
      <c r="B360" s="79" t="s">
        <v>575</v>
      </c>
      <c r="C360" s="80"/>
      <c r="D360" s="80"/>
      <c r="E360" s="80" t="s">
        <v>461</v>
      </c>
      <c r="F360" s="80"/>
      <c r="G360" s="80" t="s">
        <v>106</v>
      </c>
      <c r="H360" s="80"/>
      <c r="I360" s="80"/>
      <c r="J360" s="80"/>
      <c r="K360" s="80"/>
      <c r="L360" s="81" t="str">
        <f aca="false">IF(K360="","",IFERROR(INDEX(BARDAGE!$C$7:$C$1506,MATCH(K360,BARDAGE!$B$7:$B$1506,0)),"? hors registre"))</f>
        <v/>
      </c>
      <c r="M360" s="80"/>
      <c r="N360" s="81" t="str">
        <f aca="false">IF(M360="","",IFERROR(INDEX(BARDAGE!$C$7:$C$1506,MATCH(M360,BARDAGE!$B$7:$B$1506,0)),"? hors registre"))</f>
        <v/>
      </c>
      <c r="O360" s="80"/>
      <c r="P360" s="80"/>
      <c r="Q360" s="80"/>
      <c r="R360" s="82"/>
      <c r="S360" s="82"/>
      <c r="T360" s="80"/>
      <c r="U360" s="80"/>
      <c r="V360" s="82"/>
      <c r="W360" s="80"/>
      <c r="X360" s="80"/>
      <c r="Y360" s="80"/>
      <c r="Z360" s="80"/>
      <c r="AA360" s="82"/>
      <c r="AB360" s="80"/>
      <c r="AC360" s="80"/>
      <c r="AD360" s="80"/>
      <c r="AE360" s="80"/>
      <c r="AF360" s="82"/>
      <c r="AG360" s="80"/>
      <c r="AH360" s="80"/>
      <c r="AI360" s="82"/>
      <c r="AJ360" s="79"/>
      <c r="AK360" s="78" t="n">
        <f aca="false">IF(E360="","",(X360&lt;&gt;"")+(AC360&lt;&gt;"")+(AH360&lt;&gt;""))</f>
        <v>0</v>
      </c>
      <c r="AL360" s="81" t="str">
        <f aca="false">IF(AH360&lt;&gt;"",AH360,IF(AC360&lt;&gt;"",AC360,IF(X360&lt;&gt;"",X360,"")))</f>
        <v/>
      </c>
      <c r="AM360" s="83" t="str">
        <f aca="false">IF(E360="","",IF(R360="","À SOUDER",IF(U360="","VT EN ATTENTE",IF(U360="R","VT REJETÉ – À REPRENDRE",IF(AL360="","À RADIOGRAPHIER",IF(AL360="A","ACCEPTÉ",IF(AL360="NX","NX – RT À REFAIRE",IF(IF(AK360=1,Z360,IF(AK360=2,AE360,""))="A","RÉPARÉ – À RADIOGRAPHIER",IF(IF(AK360=1,Z360,IF(AK360=2,AE360,""))="R","VT REJETÉ – À REPRENDRE",IF(OR(AL360="CO",AL360="NT"),"COUPE – À RESOUDER","À RÉPARER"))))))))))</f>
        <v>À SOUDER</v>
      </c>
      <c r="AN360" s="81" t="str">
        <f aca="false">IF(AND(ISNUMBER(R360),OR(AM360="À RADIOGRAPHIER",AM360="RÉPARÉ – À RADIOGRAPHIER",AM360="NX – RT À REFAIRE",AM360="À RÉPARER",AM360="COUPE – À RESOUDER",AM360="VT REJETÉ – À REPRENDRE")),MAX(0,'PROGRAMME RT'!$C$4-R360),"")</f>
        <v/>
      </c>
      <c r="AO360" s="78" t="n">
        <f aca="false">IF(AND(OR(AM360="À RADIOGRAPHIER",AM360="RÉPARÉ – À RADIOGRAPHIER",AM360="NX – RT À REFAIRE"),OR('PROGRAMME RT'!$D$5="TOUTES",B360='PROGRAMME RT'!$D$5)),1,0)</f>
        <v>0</v>
      </c>
      <c r="AP360" s="78" t="str">
        <f aca="false">IF(AO360=1,SUM(AO$7:AO360),"")</f>
        <v/>
      </c>
      <c r="AQ360" s="78" t="n">
        <f aca="false">IF(AND(OR(X360="R",X360="NX",X360="NT",X360="CO"),OR('JOINTS DE RÉPARATION'!$D$5="TOUTES",B360='JOINTS DE RÉPARATION'!$D$5),OR('JOINTS DE RÉPARATION'!$L$4="TOUS",AM360&lt;&gt;"ACCEPTÉ")),1,0)</f>
        <v>0</v>
      </c>
      <c r="AR360" s="78" t="str">
        <f aca="false">IF(AQ360=1,SUM(AQ$7:AQ360),"")</f>
        <v/>
      </c>
    </row>
    <row r="361" customFormat="false" ht="15" hidden="false" customHeight="false" outlineLevel="0" collapsed="false">
      <c r="A361" s="78" t="n">
        <f aca="false">IF(E361="","",ROW()-6)</f>
        <v>355</v>
      </c>
      <c r="B361" s="79" t="s">
        <v>575</v>
      </c>
      <c r="C361" s="80"/>
      <c r="D361" s="80"/>
      <c r="E361" s="80" t="s">
        <v>463</v>
      </c>
      <c r="F361" s="80"/>
      <c r="G361" s="80" t="s">
        <v>106</v>
      </c>
      <c r="H361" s="80"/>
      <c r="I361" s="80"/>
      <c r="J361" s="80"/>
      <c r="K361" s="80"/>
      <c r="L361" s="81" t="str">
        <f aca="false">IF(K361="","",IFERROR(INDEX(BARDAGE!$C$7:$C$1506,MATCH(K361,BARDAGE!$B$7:$B$1506,0)),"? hors registre"))</f>
        <v/>
      </c>
      <c r="M361" s="80"/>
      <c r="N361" s="81" t="str">
        <f aca="false">IF(M361="","",IFERROR(INDEX(BARDAGE!$C$7:$C$1506,MATCH(M361,BARDAGE!$B$7:$B$1506,0)),"? hors registre"))</f>
        <v/>
      </c>
      <c r="O361" s="80"/>
      <c r="P361" s="80"/>
      <c r="Q361" s="80"/>
      <c r="R361" s="82"/>
      <c r="S361" s="82"/>
      <c r="T361" s="80"/>
      <c r="U361" s="80"/>
      <c r="V361" s="82"/>
      <c r="W361" s="80"/>
      <c r="X361" s="80"/>
      <c r="Y361" s="80"/>
      <c r="Z361" s="80"/>
      <c r="AA361" s="82"/>
      <c r="AB361" s="80"/>
      <c r="AC361" s="80"/>
      <c r="AD361" s="80"/>
      <c r="AE361" s="80"/>
      <c r="AF361" s="82"/>
      <c r="AG361" s="80"/>
      <c r="AH361" s="80"/>
      <c r="AI361" s="82"/>
      <c r="AJ361" s="79"/>
      <c r="AK361" s="78" t="n">
        <f aca="false">IF(E361="","",(X361&lt;&gt;"")+(AC361&lt;&gt;"")+(AH361&lt;&gt;""))</f>
        <v>0</v>
      </c>
      <c r="AL361" s="81" t="str">
        <f aca="false">IF(AH361&lt;&gt;"",AH361,IF(AC361&lt;&gt;"",AC361,IF(X361&lt;&gt;"",X361,"")))</f>
        <v/>
      </c>
      <c r="AM361" s="83" t="str">
        <f aca="false">IF(E361="","",IF(R361="","À SOUDER",IF(U361="","VT EN ATTENTE",IF(U361="R","VT REJETÉ – À REPRENDRE",IF(AL361="","À RADIOGRAPHIER",IF(AL361="A","ACCEPTÉ",IF(AL361="NX","NX – RT À REFAIRE",IF(IF(AK361=1,Z361,IF(AK361=2,AE361,""))="A","RÉPARÉ – À RADIOGRAPHIER",IF(IF(AK361=1,Z361,IF(AK361=2,AE361,""))="R","VT REJETÉ – À REPRENDRE",IF(OR(AL361="CO",AL361="NT"),"COUPE – À RESOUDER","À RÉPARER"))))))))))</f>
        <v>À SOUDER</v>
      </c>
      <c r="AN361" s="81" t="str">
        <f aca="false">IF(AND(ISNUMBER(R361),OR(AM361="À RADIOGRAPHIER",AM361="RÉPARÉ – À RADIOGRAPHIER",AM361="NX – RT À REFAIRE",AM361="À RÉPARER",AM361="COUPE – À RESOUDER",AM361="VT REJETÉ – À REPRENDRE")),MAX(0,'PROGRAMME RT'!$C$4-R361),"")</f>
        <v/>
      </c>
      <c r="AO361" s="78" t="n">
        <f aca="false">IF(AND(OR(AM361="À RADIOGRAPHIER",AM361="RÉPARÉ – À RADIOGRAPHIER",AM361="NX – RT À REFAIRE"),OR('PROGRAMME RT'!$D$5="TOUTES",B361='PROGRAMME RT'!$D$5)),1,0)</f>
        <v>0</v>
      </c>
      <c r="AP361" s="78" t="str">
        <f aca="false">IF(AO361=1,SUM(AO$7:AO361),"")</f>
        <v/>
      </c>
      <c r="AQ361" s="78" t="n">
        <f aca="false">IF(AND(OR(X361="R",X361="NX",X361="NT",X361="CO"),OR('JOINTS DE RÉPARATION'!$D$5="TOUTES",B361='JOINTS DE RÉPARATION'!$D$5),OR('JOINTS DE RÉPARATION'!$L$4="TOUS",AM361&lt;&gt;"ACCEPTÉ")),1,0)</f>
        <v>0</v>
      </c>
      <c r="AR361" s="78" t="str">
        <f aca="false">IF(AQ361=1,SUM(AQ$7:AQ361),"")</f>
        <v/>
      </c>
    </row>
    <row r="362" customFormat="false" ht="15" hidden="false" customHeight="false" outlineLevel="0" collapsed="false">
      <c r="A362" s="78" t="n">
        <f aca="false">IF(E362="","",ROW()-6)</f>
        <v>356</v>
      </c>
      <c r="B362" s="79" t="s">
        <v>575</v>
      </c>
      <c r="C362" s="80"/>
      <c r="D362" s="80"/>
      <c r="E362" s="80" t="s">
        <v>465</v>
      </c>
      <c r="F362" s="80"/>
      <c r="G362" s="80" t="s">
        <v>106</v>
      </c>
      <c r="H362" s="80"/>
      <c r="I362" s="80"/>
      <c r="J362" s="80"/>
      <c r="K362" s="80"/>
      <c r="L362" s="81" t="str">
        <f aca="false">IF(K362="","",IFERROR(INDEX(BARDAGE!$C$7:$C$1506,MATCH(K362,BARDAGE!$B$7:$B$1506,0)),"? hors registre"))</f>
        <v/>
      </c>
      <c r="M362" s="80"/>
      <c r="N362" s="81" t="str">
        <f aca="false">IF(M362="","",IFERROR(INDEX(BARDAGE!$C$7:$C$1506,MATCH(M362,BARDAGE!$B$7:$B$1506,0)),"? hors registre"))</f>
        <v/>
      </c>
      <c r="O362" s="80"/>
      <c r="P362" s="80"/>
      <c r="Q362" s="80"/>
      <c r="R362" s="82"/>
      <c r="S362" s="82"/>
      <c r="T362" s="80"/>
      <c r="U362" s="80"/>
      <c r="V362" s="82"/>
      <c r="W362" s="80"/>
      <c r="X362" s="80"/>
      <c r="Y362" s="80"/>
      <c r="Z362" s="80"/>
      <c r="AA362" s="82"/>
      <c r="AB362" s="80"/>
      <c r="AC362" s="80"/>
      <c r="AD362" s="80"/>
      <c r="AE362" s="80"/>
      <c r="AF362" s="82"/>
      <c r="AG362" s="80"/>
      <c r="AH362" s="80"/>
      <c r="AI362" s="82"/>
      <c r="AJ362" s="79"/>
      <c r="AK362" s="78" t="n">
        <f aca="false">IF(E362="","",(X362&lt;&gt;"")+(AC362&lt;&gt;"")+(AH362&lt;&gt;""))</f>
        <v>0</v>
      </c>
      <c r="AL362" s="81" t="str">
        <f aca="false">IF(AH362&lt;&gt;"",AH362,IF(AC362&lt;&gt;"",AC362,IF(X362&lt;&gt;"",X362,"")))</f>
        <v/>
      </c>
      <c r="AM362" s="83" t="str">
        <f aca="false">IF(E362="","",IF(R362="","À SOUDER",IF(U362="","VT EN ATTENTE",IF(U362="R","VT REJETÉ – À REPRENDRE",IF(AL362="","À RADIOGRAPHIER",IF(AL362="A","ACCEPTÉ",IF(AL362="NX","NX – RT À REFAIRE",IF(IF(AK362=1,Z362,IF(AK362=2,AE362,""))="A","RÉPARÉ – À RADIOGRAPHIER",IF(IF(AK362=1,Z362,IF(AK362=2,AE362,""))="R","VT REJETÉ – À REPRENDRE",IF(OR(AL362="CO",AL362="NT"),"COUPE – À RESOUDER","À RÉPARER"))))))))))</f>
        <v>À SOUDER</v>
      </c>
      <c r="AN362" s="81" t="str">
        <f aca="false">IF(AND(ISNUMBER(R362),OR(AM362="À RADIOGRAPHIER",AM362="RÉPARÉ – À RADIOGRAPHIER",AM362="NX – RT À REFAIRE",AM362="À RÉPARER",AM362="COUPE – À RESOUDER",AM362="VT REJETÉ – À REPRENDRE")),MAX(0,'PROGRAMME RT'!$C$4-R362),"")</f>
        <v/>
      </c>
      <c r="AO362" s="78" t="n">
        <f aca="false">IF(AND(OR(AM362="À RADIOGRAPHIER",AM362="RÉPARÉ – À RADIOGRAPHIER",AM362="NX – RT À REFAIRE"),OR('PROGRAMME RT'!$D$5="TOUTES",B362='PROGRAMME RT'!$D$5)),1,0)</f>
        <v>0</v>
      </c>
      <c r="AP362" s="78" t="str">
        <f aca="false">IF(AO362=1,SUM(AO$7:AO362),"")</f>
        <v/>
      </c>
      <c r="AQ362" s="78" t="n">
        <f aca="false">IF(AND(OR(X362="R",X362="NX",X362="NT",X362="CO"),OR('JOINTS DE RÉPARATION'!$D$5="TOUTES",B362='JOINTS DE RÉPARATION'!$D$5),OR('JOINTS DE RÉPARATION'!$L$4="TOUS",AM362&lt;&gt;"ACCEPTÉ")),1,0)</f>
        <v>0</v>
      </c>
      <c r="AR362" s="78" t="str">
        <f aca="false">IF(AQ362=1,SUM(AQ$7:AQ362),"")</f>
        <v/>
      </c>
    </row>
    <row r="363" customFormat="false" ht="15" hidden="false" customHeight="false" outlineLevel="0" collapsed="false">
      <c r="A363" s="78" t="n">
        <f aca="false">IF(E363="","",ROW()-6)</f>
        <v>357</v>
      </c>
      <c r="B363" s="79" t="s">
        <v>575</v>
      </c>
      <c r="C363" s="80"/>
      <c r="D363" s="80"/>
      <c r="E363" s="80" t="s">
        <v>467</v>
      </c>
      <c r="F363" s="80"/>
      <c r="G363" s="80" t="s">
        <v>106</v>
      </c>
      <c r="H363" s="80"/>
      <c r="I363" s="80"/>
      <c r="J363" s="80"/>
      <c r="K363" s="80"/>
      <c r="L363" s="81" t="str">
        <f aca="false">IF(K363="","",IFERROR(INDEX(BARDAGE!$C$7:$C$1506,MATCH(K363,BARDAGE!$B$7:$B$1506,0)),"? hors registre"))</f>
        <v/>
      </c>
      <c r="M363" s="80"/>
      <c r="N363" s="81" t="str">
        <f aca="false">IF(M363="","",IFERROR(INDEX(BARDAGE!$C$7:$C$1506,MATCH(M363,BARDAGE!$B$7:$B$1506,0)),"? hors registre"))</f>
        <v/>
      </c>
      <c r="O363" s="80"/>
      <c r="P363" s="80"/>
      <c r="Q363" s="80"/>
      <c r="R363" s="82"/>
      <c r="S363" s="82"/>
      <c r="T363" s="80"/>
      <c r="U363" s="80"/>
      <c r="V363" s="82"/>
      <c r="W363" s="80"/>
      <c r="X363" s="80"/>
      <c r="Y363" s="80"/>
      <c r="Z363" s="80"/>
      <c r="AA363" s="82"/>
      <c r="AB363" s="80"/>
      <c r="AC363" s="80"/>
      <c r="AD363" s="80"/>
      <c r="AE363" s="80"/>
      <c r="AF363" s="82"/>
      <c r="AG363" s="80"/>
      <c r="AH363" s="80"/>
      <c r="AI363" s="82"/>
      <c r="AJ363" s="79"/>
      <c r="AK363" s="78" t="n">
        <f aca="false">IF(E363="","",(X363&lt;&gt;"")+(AC363&lt;&gt;"")+(AH363&lt;&gt;""))</f>
        <v>0</v>
      </c>
      <c r="AL363" s="81" t="str">
        <f aca="false">IF(AH363&lt;&gt;"",AH363,IF(AC363&lt;&gt;"",AC363,IF(X363&lt;&gt;"",X363,"")))</f>
        <v/>
      </c>
      <c r="AM363" s="83" t="str">
        <f aca="false">IF(E363="","",IF(R363="","À SOUDER",IF(U363="","VT EN ATTENTE",IF(U363="R","VT REJETÉ – À REPRENDRE",IF(AL363="","À RADIOGRAPHIER",IF(AL363="A","ACCEPTÉ",IF(AL363="NX","NX – RT À REFAIRE",IF(IF(AK363=1,Z363,IF(AK363=2,AE363,""))="A","RÉPARÉ – À RADIOGRAPHIER",IF(IF(AK363=1,Z363,IF(AK363=2,AE363,""))="R","VT REJETÉ – À REPRENDRE",IF(OR(AL363="CO",AL363="NT"),"COUPE – À RESOUDER","À RÉPARER"))))))))))</f>
        <v>À SOUDER</v>
      </c>
      <c r="AN363" s="81" t="str">
        <f aca="false">IF(AND(ISNUMBER(R363),OR(AM363="À RADIOGRAPHIER",AM363="RÉPARÉ – À RADIOGRAPHIER",AM363="NX – RT À REFAIRE",AM363="À RÉPARER",AM363="COUPE – À RESOUDER",AM363="VT REJETÉ – À REPRENDRE")),MAX(0,'PROGRAMME RT'!$C$4-R363),"")</f>
        <v/>
      </c>
      <c r="AO363" s="78" t="n">
        <f aca="false">IF(AND(OR(AM363="À RADIOGRAPHIER",AM363="RÉPARÉ – À RADIOGRAPHIER",AM363="NX – RT À REFAIRE"),OR('PROGRAMME RT'!$D$5="TOUTES",B363='PROGRAMME RT'!$D$5)),1,0)</f>
        <v>0</v>
      </c>
      <c r="AP363" s="78" t="str">
        <f aca="false">IF(AO363=1,SUM(AO$7:AO363),"")</f>
        <v/>
      </c>
      <c r="AQ363" s="78" t="n">
        <f aca="false">IF(AND(OR(X363="R",X363="NX",X363="NT",X363="CO"),OR('JOINTS DE RÉPARATION'!$D$5="TOUTES",B363='JOINTS DE RÉPARATION'!$D$5),OR('JOINTS DE RÉPARATION'!$L$4="TOUS",AM363&lt;&gt;"ACCEPTÉ")),1,0)</f>
        <v>0</v>
      </c>
      <c r="AR363" s="78" t="str">
        <f aca="false">IF(AQ363=1,SUM(AQ$7:AQ363),"")</f>
        <v/>
      </c>
    </row>
    <row r="364" customFormat="false" ht="15" hidden="false" customHeight="false" outlineLevel="0" collapsed="false">
      <c r="A364" s="78" t="n">
        <f aca="false">IF(E364="","",ROW()-6)</f>
        <v>358</v>
      </c>
      <c r="B364" s="79" t="s">
        <v>575</v>
      </c>
      <c r="C364" s="80"/>
      <c r="D364" s="80"/>
      <c r="E364" s="80" t="s">
        <v>470</v>
      </c>
      <c r="F364" s="80"/>
      <c r="G364" s="80" t="s">
        <v>106</v>
      </c>
      <c r="H364" s="80"/>
      <c r="I364" s="80"/>
      <c r="J364" s="80"/>
      <c r="K364" s="80"/>
      <c r="L364" s="81" t="str">
        <f aca="false">IF(K364="","",IFERROR(INDEX(BARDAGE!$C$7:$C$1506,MATCH(K364,BARDAGE!$B$7:$B$1506,0)),"? hors registre"))</f>
        <v/>
      </c>
      <c r="M364" s="80"/>
      <c r="N364" s="81" t="str">
        <f aca="false">IF(M364="","",IFERROR(INDEX(BARDAGE!$C$7:$C$1506,MATCH(M364,BARDAGE!$B$7:$B$1506,0)),"? hors registre"))</f>
        <v/>
      </c>
      <c r="O364" s="80"/>
      <c r="P364" s="80"/>
      <c r="Q364" s="80"/>
      <c r="R364" s="82"/>
      <c r="S364" s="82"/>
      <c r="T364" s="80"/>
      <c r="U364" s="80"/>
      <c r="V364" s="82"/>
      <c r="W364" s="80"/>
      <c r="X364" s="80"/>
      <c r="Y364" s="80"/>
      <c r="Z364" s="80"/>
      <c r="AA364" s="82"/>
      <c r="AB364" s="80"/>
      <c r="AC364" s="80"/>
      <c r="AD364" s="80"/>
      <c r="AE364" s="80"/>
      <c r="AF364" s="82"/>
      <c r="AG364" s="80"/>
      <c r="AH364" s="80"/>
      <c r="AI364" s="82"/>
      <c r="AJ364" s="79"/>
      <c r="AK364" s="78" t="n">
        <f aca="false">IF(E364="","",(X364&lt;&gt;"")+(AC364&lt;&gt;"")+(AH364&lt;&gt;""))</f>
        <v>0</v>
      </c>
      <c r="AL364" s="81" t="str">
        <f aca="false">IF(AH364&lt;&gt;"",AH364,IF(AC364&lt;&gt;"",AC364,IF(X364&lt;&gt;"",X364,"")))</f>
        <v/>
      </c>
      <c r="AM364" s="83" t="str">
        <f aca="false">IF(E364="","",IF(R364="","À SOUDER",IF(U364="","VT EN ATTENTE",IF(U364="R","VT REJETÉ – À REPRENDRE",IF(AL364="","À RADIOGRAPHIER",IF(AL364="A","ACCEPTÉ",IF(AL364="NX","NX – RT À REFAIRE",IF(IF(AK364=1,Z364,IF(AK364=2,AE364,""))="A","RÉPARÉ – À RADIOGRAPHIER",IF(IF(AK364=1,Z364,IF(AK364=2,AE364,""))="R","VT REJETÉ – À REPRENDRE",IF(OR(AL364="CO",AL364="NT"),"COUPE – À RESOUDER","À RÉPARER"))))))))))</f>
        <v>À SOUDER</v>
      </c>
      <c r="AN364" s="81" t="str">
        <f aca="false">IF(AND(ISNUMBER(R364),OR(AM364="À RADIOGRAPHIER",AM364="RÉPARÉ – À RADIOGRAPHIER",AM364="NX – RT À REFAIRE",AM364="À RÉPARER",AM364="COUPE – À RESOUDER",AM364="VT REJETÉ – À REPRENDRE")),MAX(0,'PROGRAMME RT'!$C$4-R364),"")</f>
        <v/>
      </c>
      <c r="AO364" s="78" t="n">
        <f aca="false">IF(AND(OR(AM364="À RADIOGRAPHIER",AM364="RÉPARÉ – À RADIOGRAPHIER",AM364="NX – RT À REFAIRE"),OR('PROGRAMME RT'!$D$5="TOUTES",B364='PROGRAMME RT'!$D$5)),1,0)</f>
        <v>0</v>
      </c>
      <c r="AP364" s="78" t="str">
        <f aca="false">IF(AO364=1,SUM(AO$7:AO364),"")</f>
        <v/>
      </c>
      <c r="AQ364" s="78" t="n">
        <f aca="false">IF(AND(OR(X364="R",X364="NX",X364="NT",X364="CO"),OR('JOINTS DE RÉPARATION'!$D$5="TOUTES",B364='JOINTS DE RÉPARATION'!$D$5),OR('JOINTS DE RÉPARATION'!$L$4="TOUS",AM364&lt;&gt;"ACCEPTÉ")),1,0)</f>
        <v>0</v>
      </c>
      <c r="AR364" s="78" t="str">
        <f aca="false">IF(AQ364=1,SUM(AQ$7:AQ364),"")</f>
        <v/>
      </c>
    </row>
    <row r="365" customFormat="false" ht="15" hidden="false" customHeight="false" outlineLevel="0" collapsed="false">
      <c r="A365" s="78" t="n">
        <f aca="false">IF(E365="","",ROW()-6)</f>
        <v>359</v>
      </c>
      <c r="B365" s="79" t="s">
        <v>575</v>
      </c>
      <c r="C365" s="80"/>
      <c r="D365" s="80"/>
      <c r="E365" s="80" t="s">
        <v>472</v>
      </c>
      <c r="F365" s="80"/>
      <c r="G365" s="80" t="s">
        <v>106</v>
      </c>
      <c r="H365" s="80"/>
      <c r="I365" s="80"/>
      <c r="J365" s="80"/>
      <c r="K365" s="80"/>
      <c r="L365" s="81" t="str">
        <f aca="false">IF(K365="","",IFERROR(INDEX(BARDAGE!$C$7:$C$1506,MATCH(K365,BARDAGE!$B$7:$B$1506,0)),"? hors registre"))</f>
        <v/>
      </c>
      <c r="M365" s="80"/>
      <c r="N365" s="81" t="str">
        <f aca="false">IF(M365="","",IFERROR(INDEX(BARDAGE!$C$7:$C$1506,MATCH(M365,BARDAGE!$B$7:$B$1506,0)),"? hors registre"))</f>
        <v/>
      </c>
      <c r="O365" s="80"/>
      <c r="P365" s="80"/>
      <c r="Q365" s="80"/>
      <c r="R365" s="82"/>
      <c r="S365" s="82"/>
      <c r="T365" s="80"/>
      <c r="U365" s="80"/>
      <c r="V365" s="82"/>
      <c r="W365" s="80"/>
      <c r="X365" s="80"/>
      <c r="Y365" s="80"/>
      <c r="Z365" s="80"/>
      <c r="AA365" s="82"/>
      <c r="AB365" s="80"/>
      <c r="AC365" s="80"/>
      <c r="AD365" s="80"/>
      <c r="AE365" s="80"/>
      <c r="AF365" s="82"/>
      <c r="AG365" s="80"/>
      <c r="AH365" s="80"/>
      <c r="AI365" s="82"/>
      <c r="AJ365" s="79"/>
      <c r="AK365" s="78" t="n">
        <f aca="false">IF(E365="","",(X365&lt;&gt;"")+(AC365&lt;&gt;"")+(AH365&lt;&gt;""))</f>
        <v>0</v>
      </c>
      <c r="AL365" s="81" t="str">
        <f aca="false">IF(AH365&lt;&gt;"",AH365,IF(AC365&lt;&gt;"",AC365,IF(X365&lt;&gt;"",X365,"")))</f>
        <v/>
      </c>
      <c r="AM365" s="83" t="str">
        <f aca="false">IF(E365="","",IF(R365="","À SOUDER",IF(U365="","VT EN ATTENTE",IF(U365="R","VT REJETÉ – À REPRENDRE",IF(AL365="","À RADIOGRAPHIER",IF(AL365="A","ACCEPTÉ",IF(AL365="NX","NX – RT À REFAIRE",IF(IF(AK365=1,Z365,IF(AK365=2,AE365,""))="A","RÉPARÉ – À RADIOGRAPHIER",IF(IF(AK365=1,Z365,IF(AK365=2,AE365,""))="R","VT REJETÉ – À REPRENDRE",IF(OR(AL365="CO",AL365="NT"),"COUPE – À RESOUDER","À RÉPARER"))))))))))</f>
        <v>À SOUDER</v>
      </c>
      <c r="AN365" s="81" t="str">
        <f aca="false">IF(AND(ISNUMBER(R365),OR(AM365="À RADIOGRAPHIER",AM365="RÉPARÉ – À RADIOGRAPHIER",AM365="NX – RT À REFAIRE",AM365="À RÉPARER",AM365="COUPE – À RESOUDER",AM365="VT REJETÉ – À REPRENDRE")),MAX(0,'PROGRAMME RT'!$C$4-R365),"")</f>
        <v/>
      </c>
      <c r="AO365" s="78" t="n">
        <f aca="false">IF(AND(OR(AM365="À RADIOGRAPHIER",AM365="RÉPARÉ – À RADIOGRAPHIER",AM365="NX – RT À REFAIRE"),OR('PROGRAMME RT'!$D$5="TOUTES",B365='PROGRAMME RT'!$D$5)),1,0)</f>
        <v>0</v>
      </c>
      <c r="AP365" s="78" t="str">
        <f aca="false">IF(AO365=1,SUM(AO$7:AO365),"")</f>
        <v/>
      </c>
      <c r="AQ365" s="78" t="n">
        <f aca="false">IF(AND(OR(X365="R",X365="NX",X365="NT",X365="CO"),OR('JOINTS DE RÉPARATION'!$D$5="TOUTES",B365='JOINTS DE RÉPARATION'!$D$5),OR('JOINTS DE RÉPARATION'!$L$4="TOUS",AM365&lt;&gt;"ACCEPTÉ")),1,0)</f>
        <v>0</v>
      </c>
      <c r="AR365" s="78" t="str">
        <f aca="false">IF(AQ365=1,SUM(AQ$7:AQ365),"")</f>
        <v/>
      </c>
    </row>
    <row r="366" customFormat="false" ht="15" hidden="false" customHeight="false" outlineLevel="0" collapsed="false">
      <c r="A366" s="78" t="n">
        <f aca="false">IF(E366="","",ROW()-6)</f>
        <v>360</v>
      </c>
      <c r="B366" s="79" t="s">
        <v>575</v>
      </c>
      <c r="C366" s="80"/>
      <c r="D366" s="80"/>
      <c r="E366" s="80" t="s">
        <v>475</v>
      </c>
      <c r="F366" s="80"/>
      <c r="G366" s="80" t="s">
        <v>106</v>
      </c>
      <c r="H366" s="80"/>
      <c r="I366" s="80"/>
      <c r="J366" s="80"/>
      <c r="K366" s="80"/>
      <c r="L366" s="81" t="str">
        <f aca="false">IF(K366="","",IFERROR(INDEX(BARDAGE!$C$7:$C$1506,MATCH(K366,BARDAGE!$B$7:$B$1506,0)),"? hors registre"))</f>
        <v/>
      </c>
      <c r="M366" s="80"/>
      <c r="N366" s="81" t="str">
        <f aca="false">IF(M366="","",IFERROR(INDEX(BARDAGE!$C$7:$C$1506,MATCH(M366,BARDAGE!$B$7:$B$1506,0)),"? hors registre"))</f>
        <v/>
      </c>
      <c r="O366" s="80"/>
      <c r="P366" s="80"/>
      <c r="Q366" s="80"/>
      <c r="R366" s="82"/>
      <c r="S366" s="82"/>
      <c r="T366" s="80"/>
      <c r="U366" s="80"/>
      <c r="V366" s="82"/>
      <c r="W366" s="80"/>
      <c r="X366" s="80"/>
      <c r="Y366" s="80"/>
      <c r="Z366" s="80"/>
      <c r="AA366" s="82"/>
      <c r="AB366" s="80"/>
      <c r="AC366" s="80"/>
      <c r="AD366" s="80"/>
      <c r="AE366" s="80"/>
      <c r="AF366" s="82"/>
      <c r="AG366" s="80"/>
      <c r="AH366" s="80"/>
      <c r="AI366" s="82"/>
      <c r="AJ366" s="79"/>
      <c r="AK366" s="78" t="n">
        <f aca="false">IF(E366="","",(X366&lt;&gt;"")+(AC366&lt;&gt;"")+(AH366&lt;&gt;""))</f>
        <v>0</v>
      </c>
      <c r="AL366" s="81" t="str">
        <f aca="false">IF(AH366&lt;&gt;"",AH366,IF(AC366&lt;&gt;"",AC366,IF(X366&lt;&gt;"",X366,"")))</f>
        <v/>
      </c>
      <c r="AM366" s="83" t="str">
        <f aca="false">IF(E366="","",IF(R366="","À SOUDER",IF(U366="","VT EN ATTENTE",IF(U366="R","VT REJETÉ – À REPRENDRE",IF(AL366="","À RADIOGRAPHIER",IF(AL366="A","ACCEPTÉ",IF(AL366="NX","NX – RT À REFAIRE",IF(IF(AK366=1,Z366,IF(AK366=2,AE366,""))="A","RÉPARÉ – À RADIOGRAPHIER",IF(IF(AK366=1,Z366,IF(AK366=2,AE366,""))="R","VT REJETÉ – À REPRENDRE",IF(OR(AL366="CO",AL366="NT"),"COUPE – À RESOUDER","À RÉPARER"))))))))))</f>
        <v>À SOUDER</v>
      </c>
      <c r="AN366" s="81" t="str">
        <f aca="false">IF(AND(ISNUMBER(R366),OR(AM366="À RADIOGRAPHIER",AM366="RÉPARÉ – À RADIOGRAPHIER",AM366="NX – RT À REFAIRE",AM366="À RÉPARER",AM366="COUPE – À RESOUDER",AM366="VT REJETÉ – À REPRENDRE")),MAX(0,'PROGRAMME RT'!$C$4-R366),"")</f>
        <v/>
      </c>
      <c r="AO366" s="78" t="n">
        <f aca="false">IF(AND(OR(AM366="À RADIOGRAPHIER",AM366="RÉPARÉ – À RADIOGRAPHIER",AM366="NX – RT À REFAIRE"),OR('PROGRAMME RT'!$D$5="TOUTES",B366='PROGRAMME RT'!$D$5)),1,0)</f>
        <v>0</v>
      </c>
      <c r="AP366" s="78" t="str">
        <f aca="false">IF(AO366=1,SUM(AO$7:AO366),"")</f>
        <v/>
      </c>
      <c r="AQ366" s="78" t="n">
        <f aca="false">IF(AND(OR(X366="R",X366="NX",X366="NT",X366="CO"),OR('JOINTS DE RÉPARATION'!$D$5="TOUTES",B366='JOINTS DE RÉPARATION'!$D$5),OR('JOINTS DE RÉPARATION'!$L$4="TOUS",AM366&lt;&gt;"ACCEPTÉ")),1,0)</f>
        <v>0</v>
      </c>
      <c r="AR366" s="78" t="str">
        <f aca="false">IF(AQ366=1,SUM(AQ$7:AQ366),"")</f>
        <v/>
      </c>
    </row>
    <row r="367" customFormat="false" ht="15" hidden="false" customHeight="false" outlineLevel="0" collapsed="false">
      <c r="A367" s="78" t="n">
        <f aca="false">IF(E367="","",ROW()-6)</f>
        <v>361</v>
      </c>
      <c r="B367" s="79" t="s">
        <v>575</v>
      </c>
      <c r="C367" s="80"/>
      <c r="D367" s="80"/>
      <c r="E367" s="80" t="s">
        <v>477</v>
      </c>
      <c r="F367" s="80"/>
      <c r="G367" s="80" t="s">
        <v>106</v>
      </c>
      <c r="H367" s="80"/>
      <c r="I367" s="80"/>
      <c r="J367" s="80"/>
      <c r="K367" s="80"/>
      <c r="L367" s="81" t="str">
        <f aca="false">IF(K367="","",IFERROR(INDEX(BARDAGE!$C$7:$C$1506,MATCH(K367,BARDAGE!$B$7:$B$1506,0)),"? hors registre"))</f>
        <v/>
      </c>
      <c r="M367" s="80"/>
      <c r="N367" s="81" t="str">
        <f aca="false">IF(M367="","",IFERROR(INDEX(BARDAGE!$C$7:$C$1506,MATCH(M367,BARDAGE!$B$7:$B$1506,0)),"? hors registre"))</f>
        <v/>
      </c>
      <c r="O367" s="80"/>
      <c r="P367" s="80"/>
      <c r="Q367" s="80"/>
      <c r="R367" s="82"/>
      <c r="S367" s="82"/>
      <c r="T367" s="80"/>
      <c r="U367" s="80"/>
      <c r="V367" s="82"/>
      <c r="W367" s="80"/>
      <c r="X367" s="80"/>
      <c r="Y367" s="80"/>
      <c r="Z367" s="80"/>
      <c r="AA367" s="82"/>
      <c r="AB367" s="80"/>
      <c r="AC367" s="80"/>
      <c r="AD367" s="80"/>
      <c r="AE367" s="80"/>
      <c r="AF367" s="82"/>
      <c r="AG367" s="80"/>
      <c r="AH367" s="80"/>
      <c r="AI367" s="82"/>
      <c r="AJ367" s="79"/>
      <c r="AK367" s="78" t="n">
        <f aca="false">IF(E367="","",(X367&lt;&gt;"")+(AC367&lt;&gt;"")+(AH367&lt;&gt;""))</f>
        <v>0</v>
      </c>
      <c r="AL367" s="81" t="str">
        <f aca="false">IF(AH367&lt;&gt;"",AH367,IF(AC367&lt;&gt;"",AC367,IF(X367&lt;&gt;"",X367,"")))</f>
        <v/>
      </c>
      <c r="AM367" s="83" t="str">
        <f aca="false">IF(E367="","",IF(R367="","À SOUDER",IF(U367="","VT EN ATTENTE",IF(U367="R","VT REJETÉ – À REPRENDRE",IF(AL367="","À RADIOGRAPHIER",IF(AL367="A","ACCEPTÉ",IF(AL367="NX","NX – RT À REFAIRE",IF(IF(AK367=1,Z367,IF(AK367=2,AE367,""))="A","RÉPARÉ – À RADIOGRAPHIER",IF(IF(AK367=1,Z367,IF(AK367=2,AE367,""))="R","VT REJETÉ – À REPRENDRE",IF(OR(AL367="CO",AL367="NT"),"COUPE – À RESOUDER","À RÉPARER"))))))))))</f>
        <v>À SOUDER</v>
      </c>
      <c r="AN367" s="81" t="str">
        <f aca="false">IF(AND(ISNUMBER(R367),OR(AM367="À RADIOGRAPHIER",AM367="RÉPARÉ – À RADIOGRAPHIER",AM367="NX – RT À REFAIRE",AM367="À RÉPARER",AM367="COUPE – À RESOUDER",AM367="VT REJETÉ – À REPRENDRE")),MAX(0,'PROGRAMME RT'!$C$4-R367),"")</f>
        <v/>
      </c>
      <c r="AO367" s="78" t="n">
        <f aca="false">IF(AND(OR(AM367="À RADIOGRAPHIER",AM367="RÉPARÉ – À RADIOGRAPHIER",AM367="NX – RT À REFAIRE"),OR('PROGRAMME RT'!$D$5="TOUTES",B367='PROGRAMME RT'!$D$5)),1,0)</f>
        <v>0</v>
      </c>
      <c r="AP367" s="78" t="str">
        <f aca="false">IF(AO367=1,SUM(AO$7:AO367),"")</f>
        <v/>
      </c>
      <c r="AQ367" s="78" t="n">
        <f aca="false">IF(AND(OR(X367="R",X367="NX",X367="NT",X367="CO"),OR('JOINTS DE RÉPARATION'!$D$5="TOUTES",B367='JOINTS DE RÉPARATION'!$D$5),OR('JOINTS DE RÉPARATION'!$L$4="TOUS",AM367&lt;&gt;"ACCEPTÉ")),1,0)</f>
        <v>0</v>
      </c>
      <c r="AR367" s="78" t="str">
        <f aca="false">IF(AQ367=1,SUM(AQ$7:AQ367),"")</f>
        <v/>
      </c>
    </row>
    <row r="368" customFormat="false" ht="15" hidden="false" customHeight="false" outlineLevel="0" collapsed="false">
      <c r="A368" s="78" t="n">
        <f aca="false">IF(E368="","",ROW()-6)</f>
        <v>362</v>
      </c>
      <c r="B368" s="79" t="s">
        <v>575</v>
      </c>
      <c r="C368" s="80"/>
      <c r="D368" s="80"/>
      <c r="E368" s="80" t="s">
        <v>479</v>
      </c>
      <c r="F368" s="80"/>
      <c r="G368" s="80" t="s">
        <v>106</v>
      </c>
      <c r="H368" s="80"/>
      <c r="I368" s="80"/>
      <c r="J368" s="80"/>
      <c r="K368" s="80"/>
      <c r="L368" s="81" t="str">
        <f aca="false">IF(K368="","",IFERROR(INDEX(BARDAGE!$C$7:$C$1506,MATCH(K368,BARDAGE!$B$7:$B$1506,0)),"? hors registre"))</f>
        <v/>
      </c>
      <c r="M368" s="80"/>
      <c r="N368" s="81" t="str">
        <f aca="false">IF(M368="","",IFERROR(INDEX(BARDAGE!$C$7:$C$1506,MATCH(M368,BARDAGE!$B$7:$B$1506,0)),"? hors registre"))</f>
        <v/>
      </c>
      <c r="O368" s="80"/>
      <c r="P368" s="80"/>
      <c r="Q368" s="80"/>
      <c r="R368" s="82"/>
      <c r="S368" s="82"/>
      <c r="T368" s="80"/>
      <c r="U368" s="80"/>
      <c r="V368" s="82"/>
      <c r="W368" s="80"/>
      <c r="X368" s="80"/>
      <c r="Y368" s="80"/>
      <c r="Z368" s="80"/>
      <c r="AA368" s="82"/>
      <c r="AB368" s="80"/>
      <c r="AC368" s="80"/>
      <c r="AD368" s="80"/>
      <c r="AE368" s="80"/>
      <c r="AF368" s="82"/>
      <c r="AG368" s="80"/>
      <c r="AH368" s="80"/>
      <c r="AI368" s="82"/>
      <c r="AJ368" s="79"/>
      <c r="AK368" s="78" t="n">
        <f aca="false">IF(E368="","",(X368&lt;&gt;"")+(AC368&lt;&gt;"")+(AH368&lt;&gt;""))</f>
        <v>0</v>
      </c>
      <c r="AL368" s="81" t="str">
        <f aca="false">IF(AH368&lt;&gt;"",AH368,IF(AC368&lt;&gt;"",AC368,IF(X368&lt;&gt;"",X368,"")))</f>
        <v/>
      </c>
      <c r="AM368" s="83" t="str">
        <f aca="false">IF(E368="","",IF(R368="","À SOUDER",IF(U368="","VT EN ATTENTE",IF(U368="R","VT REJETÉ – À REPRENDRE",IF(AL368="","À RADIOGRAPHIER",IF(AL368="A","ACCEPTÉ",IF(AL368="NX","NX – RT À REFAIRE",IF(IF(AK368=1,Z368,IF(AK368=2,AE368,""))="A","RÉPARÉ – À RADIOGRAPHIER",IF(IF(AK368=1,Z368,IF(AK368=2,AE368,""))="R","VT REJETÉ – À REPRENDRE",IF(OR(AL368="CO",AL368="NT"),"COUPE – À RESOUDER","À RÉPARER"))))))))))</f>
        <v>À SOUDER</v>
      </c>
      <c r="AN368" s="81" t="str">
        <f aca="false">IF(AND(ISNUMBER(R368),OR(AM368="À RADIOGRAPHIER",AM368="RÉPARÉ – À RADIOGRAPHIER",AM368="NX – RT À REFAIRE",AM368="À RÉPARER",AM368="COUPE – À RESOUDER",AM368="VT REJETÉ – À REPRENDRE")),MAX(0,'PROGRAMME RT'!$C$4-R368),"")</f>
        <v/>
      </c>
      <c r="AO368" s="78" t="n">
        <f aca="false">IF(AND(OR(AM368="À RADIOGRAPHIER",AM368="RÉPARÉ – À RADIOGRAPHIER",AM368="NX – RT À REFAIRE"),OR('PROGRAMME RT'!$D$5="TOUTES",B368='PROGRAMME RT'!$D$5)),1,0)</f>
        <v>0</v>
      </c>
      <c r="AP368" s="78" t="str">
        <f aca="false">IF(AO368=1,SUM(AO$7:AO368),"")</f>
        <v/>
      </c>
      <c r="AQ368" s="78" t="n">
        <f aca="false">IF(AND(OR(X368="R",X368="NX",X368="NT",X368="CO"),OR('JOINTS DE RÉPARATION'!$D$5="TOUTES",B368='JOINTS DE RÉPARATION'!$D$5),OR('JOINTS DE RÉPARATION'!$L$4="TOUS",AM368&lt;&gt;"ACCEPTÉ")),1,0)</f>
        <v>0</v>
      </c>
      <c r="AR368" s="78" t="str">
        <f aca="false">IF(AQ368=1,SUM(AQ$7:AQ368),"")</f>
        <v/>
      </c>
    </row>
    <row r="369" customFormat="false" ht="15" hidden="false" customHeight="false" outlineLevel="0" collapsed="false">
      <c r="A369" s="78" t="n">
        <f aca="false">IF(E369="","",ROW()-6)</f>
        <v>363</v>
      </c>
      <c r="B369" s="79" t="s">
        <v>575</v>
      </c>
      <c r="C369" s="80"/>
      <c r="D369" s="80"/>
      <c r="E369" s="80" t="s">
        <v>481</v>
      </c>
      <c r="F369" s="80"/>
      <c r="G369" s="80" t="s">
        <v>106</v>
      </c>
      <c r="H369" s="80"/>
      <c r="I369" s="80"/>
      <c r="J369" s="80"/>
      <c r="K369" s="80"/>
      <c r="L369" s="81" t="str">
        <f aca="false">IF(K369="","",IFERROR(INDEX(BARDAGE!$C$7:$C$1506,MATCH(K369,BARDAGE!$B$7:$B$1506,0)),"? hors registre"))</f>
        <v/>
      </c>
      <c r="M369" s="80"/>
      <c r="N369" s="81" t="str">
        <f aca="false">IF(M369="","",IFERROR(INDEX(BARDAGE!$C$7:$C$1506,MATCH(M369,BARDAGE!$B$7:$B$1506,0)),"? hors registre"))</f>
        <v/>
      </c>
      <c r="O369" s="80"/>
      <c r="P369" s="80"/>
      <c r="Q369" s="80"/>
      <c r="R369" s="82"/>
      <c r="S369" s="82"/>
      <c r="T369" s="80"/>
      <c r="U369" s="80"/>
      <c r="V369" s="82"/>
      <c r="W369" s="80"/>
      <c r="X369" s="80"/>
      <c r="Y369" s="80"/>
      <c r="Z369" s="80"/>
      <c r="AA369" s="82"/>
      <c r="AB369" s="80"/>
      <c r="AC369" s="80"/>
      <c r="AD369" s="80"/>
      <c r="AE369" s="80"/>
      <c r="AF369" s="82"/>
      <c r="AG369" s="80"/>
      <c r="AH369" s="80"/>
      <c r="AI369" s="82"/>
      <c r="AJ369" s="79"/>
      <c r="AK369" s="78" t="n">
        <f aca="false">IF(E369="","",(X369&lt;&gt;"")+(AC369&lt;&gt;"")+(AH369&lt;&gt;""))</f>
        <v>0</v>
      </c>
      <c r="AL369" s="81" t="str">
        <f aca="false">IF(AH369&lt;&gt;"",AH369,IF(AC369&lt;&gt;"",AC369,IF(X369&lt;&gt;"",X369,"")))</f>
        <v/>
      </c>
      <c r="AM369" s="83" t="str">
        <f aca="false">IF(E369="","",IF(R369="","À SOUDER",IF(U369="","VT EN ATTENTE",IF(U369="R","VT REJETÉ – À REPRENDRE",IF(AL369="","À RADIOGRAPHIER",IF(AL369="A","ACCEPTÉ",IF(AL369="NX","NX – RT À REFAIRE",IF(IF(AK369=1,Z369,IF(AK369=2,AE369,""))="A","RÉPARÉ – À RADIOGRAPHIER",IF(IF(AK369=1,Z369,IF(AK369=2,AE369,""))="R","VT REJETÉ – À REPRENDRE",IF(OR(AL369="CO",AL369="NT"),"COUPE – À RESOUDER","À RÉPARER"))))))))))</f>
        <v>À SOUDER</v>
      </c>
      <c r="AN369" s="81" t="str">
        <f aca="false">IF(AND(ISNUMBER(R369),OR(AM369="À RADIOGRAPHIER",AM369="RÉPARÉ – À RADIOGRAPHIER",AM369="NX – RT À REFAIRE",AM369="À RÉPARER",AM369="COUPE – À RESOUDER",AM369="VT REJETÉ – À REPRENDRE")),MAX(0,'PROGRAMME RT'!$C$4-R369),"")</f>
        <v/>
      </c>
      <c r="AO369" s="78" t="n">
        <f aca="false">IF(AND(OR(AM369="À RADIOGRAPHIER",AM369="RÉPARÉ – À RADIOGRAPHIER",AM369="NX – RT À REFAIRE"),OR('PROGRAMME RT'!$D$5="TOUTES",B369='PROGRAMME RT'!$D$5)),1,0)</f>
        <v>0</v>
      </c>
      <c r="AP369" s="78" t="str">
        <f aca="false">IF(AO369=1,SUM(AO$7:AO369),"")</f>
        <v/>
      </c>
      <c r="AQ369" s="78" t="n">
        <f aca="false">IF(AND(OR(X369="R",X369="NX",X369="NT",X369="CO"),OR('JOINTS DE RÉPARATION'!$D$5="TOUTES",B369='JOINTS DE RÉPARATION'!$D$5),OR('JOINTS DE RÉPARATION'!$L$4="TOUS",AM369&lt;&gt;"ACCEPTÉ")),1,0)</f>
        <v>0</v>
      </c>
      <c r="AR369" s="78" t="str">
        <f aca="false">IF(AQ369=1,SUM(AQ$7:AQ369),"")</f>
        <v/>
      </c>
    </row>
    <row r="370" customFormat="false" ht="15" hidden="false" customHeight="false" outlineLevel="0" collapsed="false">
      <c r="A370" s="78" t="n">
        <f aca="false">IF(E370="","",ROW()-6)</f>
        <v>364</v>
      </c>
      <c r="B370" s="79" t="s">
        <v>575</v>
      </c>
      <c r="C370" s="80"/>
      <c r="D370" s="80"/>
      <c r="E370" s="80" t="s">
        <v>483</v>
      </c>
      <c r="F370" s="80"/>
      <c r="G370" s="80" t="s">
        <v>106</v>
      </c>
      <c r="H370" s="80"/>
      <c r="I370" s="80"/>
      <c r="J370" s="80"/>
      <c r="K370" s="80"/>
      <c r="L370" s="81" t="str">
        <f aca="false">IF(K370="","",IFERROR(INDEX(BARDAGE!$C$7:$C$1506,MATCH(K370,BARDAGE!$B$7:$B$1506,0)),"? hors registre"))</f>
        <v/>
      </c>
      <c r="M370" s="80"/>
      <c r="N370" s="81" t="str">
        <f aca="false">IF(M370="","",IFERROR(INDEX(BARDAGE!$C$7:$C$1506,MATCH(M370,BARDAGE!$B$7:$B$1506,0)),"? hors registre"))</f>
        <v/>
      </c>
      <c r="O370" s="80"/>
      <c r="P370" s="80"/>
      <c r="Q370" s="80"/>
      <c r="R370" s="82"/>
      <c r="S370" s="82"/>
      <c r="T370" s="80"/>
      <c r="U370" s="80"/>
      <c r="V370" s="82"/>
      <c r="W370" s="80"/>
      <c r="X370" s="80"/>
      <c r="Y370" s="80"/>
      <c r="Z370" s="80"/>
      <c r="AA370" s="82"/>
      <c r="AB370" s="80"/>
      <c r="AC370" s="80"/>
      <c r="AD370" s="80"/>
      <c r="AE370" s="80"/>
      <c r="AF370" s="82"/>
      <c r="AG370" s="80"/>
      <c r="AH370" s="80"/>
      <c r="AI370" s="82"/>
      <c r="AJ370" s="79"/>
      <c r="AK370" s="78" t="n">
        <f aca="false">IF(E370="","",(X370&lt;&gt;"")+(AC370&lt;&gt;"")+(AH370&lt;&gt;""))</f>
        <v>0</v>
      </c>
      <c r="AL370" s="81" t="str">
        <f aca="false">IF(AH370&lt;&gt;"",AH370,IF(AC370&lt;&gt;"",AC370,IF(X370&lt;&gt;"",X370,"")))</f>
        <v/>
      </c>
      <c r="AM370" s="83" t="str">
        <f aca="false">IF(E370="","",IF(R370="","À SOUDER",IF(U370="","VT EN ATTENTE",IF(U370="R","VT REJETÉ – À REPRENDRE",IF(AL370="","À RADIOGRAPHIER",IF(AL370="A","ACCEPTÉ",IF(AL370="NX","NX – RT À REFAIRE",IF(IF(AK370=1,Z370,IF(AK370=2,AE370,""))="A","RÉPARÉ – À RADIOGRAPHIER",IF(IF(AK370=1,Z370,IF(AK370=2,AE370,""))="R","VT REJETÉ – À REPRENDRE",IF(OR(AL370="CO",AL370="NT"),"COUPE – À RESOUDER","À RÉPARER"))))))))))</f>
        <v>À SOUDER</v>
      </c>
      <c r="AN370" s="81" t="str">
        <f aca="false">IF(AND(ISNUMBER(R370),OR(AM370="À RADIOGRAPHIER",AM370="RÉPARÉ – À RADIOGRAPHIER",AM370="NX – RT À REFAIRE",AM370="À RÉPARER",AM370="COUPE – À RESOUDER",AM370="VT REJETÉ – À REPRENDRE")),MAX(0,'PROGRAMME RT'!$C$4-R370),"")</f>
        <v/>
      </c>
      <c r="AO370" s="78" t="n">
        <f aca="false">IF(AND(OR(AM370="À RADIOGRAPHIER",AM370="RÉPARÉ – À RADIOGRAPHIER",AM370="NX – RT À REFAIRE"),OR('PROGRAMME RT'!$D$5="TOUTES",B370='PROGRAMME RT'!$D$5)),1,0)</f>
        <v>0</v>
      </c>
      <c r="AP370" s="78" t="str">
        <f aca="false">IF(AO370=1,SUM(AO$7:AO370),"")</f>
        <v/>
      </c>
      <c r="AQ370" s="78" t="n">
        <f aca="false">IF(AND(OR(X370="R",X370="NX",X370="NT",X370="CO"),OR('JOINTS DE RÉPARATION'!$D$5="TOUTES",B370='JOINTS DE RÉPARATION'!$D$5),OR('JOINTS DE RÉPARATION'!$L$4="TOUS",AM370&lt;&gt;"ACCEPTÉ")),1,0)</f>
        <v>0</v>
      </c>
      <c r="AR370" s="78" t="str">
        <f aca="false">IF(AQ370=1,SUM(AQ$7:AQ370),"")</f>
        <v/>
      </c>
    </row>
    <row r="371" customFormat="false" ht="15" hidden="false" customHeight="false" outlineLevel="0" collapsed="false">
      <c r="A371" s="78" t="n">
        <f aca="false">IF(E371="","",ROW()-6)</f>
        <v>365</v>
      </c>
      <c r="B371" s="79" t="s">
        <v>575</v>
      </c>
      <c r="C371" s="80"/>
      <c r="D371" s="80"/>
      <c r="E371" s="80" t="s">
        <v>485</v>
      </c>
      <c r="F371" s="80"/>
      <c r="G371" s="80" t="s">
        <v>106</v>
      </c>
      <c r="H371" s="80"/>
      <c r="I371" s="80"/>
      <c r="J371" s="80"/>
      <c r="K371" s="80"/>
      <c r="L371" s="81" t="str">
        <f aca="false">IF(K371="","",IFERROR(INDEX(BARDAGE!$C$7:$C$1506,MATCH(K371,BARDAGE!$B$7:$B$1506,0)),"? hors registre"))</f>
        <v/>
      </c>
      <c r="M371" s="80"/>
      <c r="N371" s="81" t="str">
        <f aca="false">IF(M371="","",IFERROR(INDEX(BARDAGE!$C$7:$C$1506,MATCH(M371,BARDAGE!$B$7:$B$1506,0)),"? hors registre"))</f>
        <v/>
      </c>
      <c r="O371" s="80"/>
      <c r="P371" s="80"/>
      <c r="Q371" s="80"/>
      <c r="R371" s="82"/>
      <c r="S371" s="82"/>
      <c r="T371" s="80"/>
      <c r="U371" s="80"/>
      <c r="V371" s="82"/>
      <c r="W371" s="80"/>
      <c r="X371" s="80"/>
      <c r="Y371" s="80"/>
      <c r="Z371" s="80"/>
      <c r="AA371" s="82"/>
      <c r="AB371" s="80"/>
      <c r="AC371" s="80"/>
      <c r="AD371" s="80"/>
      <c r="AE371" s="80"/>
      <c r="AF371" s="82"/>
      <c r="AG371" s="80"/>
      <c r="AH371" s="80"/>
      <c r="AI371" s="82"/>
      <c r="AJ371" s="79"/>
      <c r="AK371" s="78" t="n">
        <f aca="false">IF(E371="","",(X371&lt;&gt;"")+(AC371&lt;&gt;"")+(AH371&lt;&gt;""))</f>
        <v>0</v>
      </c>
      <c r="AL371" s="81" t="str">
        <f aca="false">IF(AH371&lt;&gt;"",AH371,IF(AC371&lt;&gt;"",AC371,IF(X371&lt;&gt;"",X371,"")))</f>
        <v/>
      </c>
      <c r="AM371" s="83" t="str">
        <f aca="false">IF(E371="","",IF(R371="","À SOUDER",IF(U371="","VT EN ATTENTE",IF(U371="R","VT REJETÉ – À REPRENDRE",IF(AL371="","À RADIOGRAPHIER",IF(AL371="A","ACCEPTÉ",IF(AL371="NX","NX – RT À REFAIRE",IF(IF(AK371=1,Z371,IF(AK371=2,AE371,""))="A","RÉPARÉ – À RADIOGRAPHIER",IF(IF(AK371=1,Z371,IF(AK371=2,AE371,""))="R","VT REJETÉ – À REPRENDRE",IF(OR(AL371="CO",AL371="NT"),"COUPE – À RESOUDER","À RÉPARER"))))))))))</f>
        <v>À SOUDER</v>
      </c>
      <c r="AN371" s="81" t="str">
        <f aca="false">IF(AND(ISNUMBER(R371),OR(AM371="À RADIOGRAPHIER",AM371="RÉPARÉ – À RADIOGRAPHIER",AM371="NX – RT À REFAIRE",AM371="À RÉPARER",AM371="COUPE – À RESOUDER",AM371="VT REJETÉ – À REPRENDRE")),MAX(0,'PROGRAMME RT'!$C$4-R371),"")</f>
        <v/>
      </c>
      <c r="AO371" s="78" t="n">
        <f aca="false">IF(AND(OR(AM371="À RADIOGRAPHIER",AM371="RÉPARÉ – À RADIOGRAPHIER",AM371="NX – RT À REFAIRE"),OR('PROGRAMME RT'!$D$5="TOUTES",B371='PROGRAMME RT'!$D$5)),1,0)</f>
        <v>0</v>
      </c>
      <c r="AP371" s="78" t="str">
        <f aca="false">IF(AO371=1,SUM(AO$7:AO371),"")</f>
        <v/>
      </c>
      <c r="AQ371" s="78" t="n">
        <f aca="false">IF(AND(OR(X371="R",X371="NX",X371="NT",X371="CO"),OR('JOINTS DE RÉPARATION'!$D$5="TOUTES",B371='JOINTS DE RÉPARATION'!$D$5),OR('JOINTS DE RÉPARATION'!$L$4="TOUS",AM371&lt;&gt;"ACCEPTÉ")),1,0)</f>
        <v>0</v>
      </c>
      <c r="AR371" s="78" t="str">
        <f aca="false">IF(AQ371=1,SUM(AQ$7:AQ371),"")</f>
        <v/>
      </c>
    </row>
    <row r="372" customFormat="false" ht="15" hidden="false" customHeight="false" outlineLevel="0" collapsed="false">
      <c r="A372" s="78" t="n">
        <f aca="false">IF(E372="","",ROW()-6)</f>
        <v>366</v>
      </c>
      <c r="B372" s="79" t="s">
        <v>575</v>
      </c>
      <c r="C372" s="80"/>
      <c r="D372" s="80"/>
      <c r="E372" s="80" t="s">
        <v>487</v>
      </c>
      <c r="F372" s="80"/>
      <c r="G372" s="80" t="s">
        <v>106</v>
      </c>
      <c r="H372" s="80"/>
      <c r="I372" s="80"/>
      <c r="J372" s="80"/>
      <c r="K372" s="80"/>
      <c r="L372" s="81" t="str">
        <f aca="false">IF(K372="","",IFERROR(INDEX(BARDAGE!$C$7:$C$1506,MATCH(K372,BARDAGE!$B$7:$B$1506,0)),"? hors registre"))</f>
        <v/>
      </c>
      <c r="M372" s="80"/>
      <c r="N372" s="81" t="str">
        <f aca="false">IF(M372="","",IFERROR(INDEX(BARDAGE!$C$7:$C$1506,MATCH(M372,BARDAGE!$B$7:$B$1506,0)),"? hors registre"))</f>
        <v/>
      </c>
      <c r="O372" s="80"/>
      <c r="P372" s="80"/>
      <c r="Q372" s="80"/>
      <c r="R372" s="82"/>
      <c r="S372" s="82"/>
      <c r="T372" s="80"/>
      <c r="U372" s="80"/>
      <c r="V372" s="82"/>
      <c r="W372" s="80"/>
      <c r="X372" s="80"/>
      <c r="Y372" s="80"/>
      <c r="Z372" s="80"/>
      <c r="AA372" s="82"/>
      <c r="AB372" s="80"/>
      <c r="AC372" s="80"/>
      <c r="AD372" s="80"/>
      <c r="AE372" s="80"/>
      <c r="AF372" s="82"/>
      <c r="AG372" s="80"/>
      <c r="AH372" s="80"/>
      <c r="AI372" s="82"/>
      <c r="AJ372" s="79"/>
      <c r="AK372" s="78" t="n">
        <f aca="false">IF(E372="","",(X372&lt;&gt;"")+(AC372&lt;&gt;"")+(AH372&lt;&gt;""))</f>
        <v>0</v>
      </c>
      <c r="AL372" s="81" t="str">
        <f aca="false">IF(AH372&lt;&gt;"",AH372,IF(AC372&lt;&gt;"",AC372,IF(X372&lt;&gt;"",X372,"")))</f>
        <v/>
      </c>
      <c r="AM372" s="83" t="str">
        <f aca="false">IF(E372="","",IF(R372="","À SOUDER",IF(U372="","VT EN ATTENTE",IF(U372="R","VT REJETÉ – À REPRENDRE",IF(AL372="","À RADIOGRAPHIER",IF(AL372="A","ACCEPTÉ",IF(AL372="NX","NX – RT À REFAIRE",IF(IF(AK372=1,Z372,IF(AK372=2,AE372,""))="A","RÉPARÉ – À RADIOGRAPHIER",IF(IF(AK372=1,Z372,IF(AK372=2,AE372,""))="R","VT REJETÉ – À REPRENDRE",IF(OR(AL372="CO",AL372="NT"),"COUPE – À RESOUDER","À RÉPARER"))))))))))</f>
        <v>À SOUDER</v>
      </c>
      <c r="AN372" s="81" t="str">
        <f aca="false">IF(AND(ISNUMBER(R372),OR(AM372="À RADIOGRAPHIER",AM372="RÉPARÉ – À RADIOGRAPHIER",AM372="NX – RT À REFAIRE",AM372="À RÉPARER",AM372="COUPE – À RESOUDER",AM372="VT REJETÉ – À REPRENDRE")),MAX(0,'PROGRAMME RT'!$C$4-R372),"")</f>
        <v/>
      </c>
      <c r="AO372" s="78" t="n">
        <f aca="false">IF(AND(OR(AM372="À RADIOGRAPHIER",AM372="RÉPARÉ – À RADIOGRAPHIER",AM372="NX – RT À REFAIRE"),OR('PROGRAMME RT'!$D$5="TOUTES",B372='PROGRAMME RT'!$D$5)),1,0)</f>
        <v>0</v>
      </c>
      <c r="AP372" s="78" t="str">
        <f aca="false">IF(AO372=1,SUM(AO$7:AO372),"")</f>
        <v/>
      </c>
      <c r="AQ372" s="78" t="n">
        <f aca="false">IF(AND(OR(X372="R",X372="NX",X372="NT",X372="CO"),OR('JOINTS DE RÉPARATION'!$D$5="TOUTES",B372='JOINTS DE RÉPARATION'!$D$5),OR('JOINTS DE RÉPARATION'!$L$4="TOUS",AM372&lt;&gt;"ACCEPTÉ")),1,0)</f>
        <v>0</v>
      </c>
      <c r="AR372" s="78" t="str">
        <f aca="false">IF(AQ372=1,SUM(AQ$7:AQ372),"")</f>
        <v/>
      </c>
    </row>
    <row r="373" customFormat="false" ht="15" hidden="false" customHeight="false" outlineLevel="0" collapsed="false">
      <c r="A373" s="78" t="n">
        <f aca="false">IF(E373="","",ROW()-6)</f>
        <v>367</v>
      </c>
      <c r="B373" s="79" t="s">
        <v>575</v>
      </c>
      <c r="C373" s="80"/>
      <c r="D373" s="80"/>
      <c r="E373" s="80" t="s">
        <v>489</v>
      </c>
      <c r="F373" s="80"/>
      <c r="G373" s="80" t="s">
        <v>106</v>
      </c>
      <c r="H373" s="80"/>
      <c r="I373" s="80"/>
      <c r="J373" s="80"/>
      <c r="K373" s="80"/>
      <c r="L373" s="81" t="str">
        <f aca="false">IF(K373="","",IFERROR(INDEX(BARDAGE!$C$7:$C$1506,MATCH(K373,BARDAGE!$B$7:$B$1506,0)),"? hors registre"))</f>
        <v/>
      </c>
      <c r="M373" s="80"/>
      <c r="N373" s="81" t="str">
        <f aca="false">IF(M373="","",IFERROR(INDEX(BARDAGE!$C$7:$C$1506,MATCH(M373,BARDAGE!$B$7:$B$1506,0)),"? hors registre"))</f>
        <v/>
      </c>
      <c r="O373" s="80"/>
      <c r="P373" s="80"/>
      <c r="Q373" s="80"/>
      <c r="R373" s="82"/>
      <c r="S373" s="82"/>
      <c r="T373" s="80"/>
      <c r="U373" s="80"/>
      <c r="V373" s="82"/>
      <c r="W373" s="80"/>
      <c r="X373" s="80"/>
      <c r="Y373" s="80"/>
      <c r="Z373" s="80"/>
      <c r="AA373" s="82"/>
      <c r="AB373" s="80"/>
      <c r="AC373" s="80"/>
      <c r="AD373" s="80"/>
      <c r="AE373" s="80"/>
      <c r="AF373" s="82"/>
      <c r="AG373" s="80"/>
      <c r="AH373" s="80"/>
      <c r="AI373" s="82"/>
      <c r="AJ373" s="79"/>
      <c r="AK373" s="78" t="n">
        <f aca="false">IF(E373="","",(X373&lt;&gt;"")+(AC373&lt;&gt;"")+(AH373&lt;&gt;""))</f>
        <v>0</v>
      </c>
      <c r="AL373" s="81" t="str">
        <f aca="false">IF(AH373&lt;&gt;"",AH373,IF(AC373&lt;&gt;"",AC373,IF(X373&lt;&gt;"",X373,"")))</f>
        <v/>
      </c>
      <c r="AM373" s="83" t="str">
        <f aca="false">IF(E373="","",IF(R373="","À SOUDER",IF(U373="","VT EN ATTENTE",IF(U373="R","VT REJETÉ – À REPRENDRE",IF(AL373="","À RADIOGRAPHIER",IF(AL373="A","ACCEPTÉ",IF(AL373="NX","NX – RT À REFAIRE",IF(IF(AK373=1,Z373,IF(AK373=2,AE373,""))="A","RÉPARÉ – À RADIOGRAPHIER",IF(IF(AK373=1,Z373,IF(AK373=2,AE373,""))="R","VT REJETÉ – À REPRENDRE",IF(OR(AL373="CO",AL373="NT"),"COUPE – À RESOUDER","À RÉPARER"))))))))))</f>
        <v>À SOUDER</v>
      </c>
      <c r="AN373" s="81" t="str">
        <f aca="false">IF(AND(ISNUMBER(R373),OR(AM373="À RADIOGRAPHIER",AM373="RÉPARÉ – À RADIOGRAPHIER",AM373="NX – RT À REFAIRE",AM373="À RÉPARER",AM373="COUPE – À RESOUDER",AM373="VT REJETÉ – À REPRENDRE")),MAX(0,'PROGRAMME RT'!$C$4-R373),"")</f>
        <v/>
      </c>
      <c r="AO373" s="78" t="n">
        <f aca="false">IF(AND(OR(AM373="À RADIOGRAPHIER",AM373="RÉPARÉ – À RADIOGRAPHIER",AM373="NX – RT À REFAIRE"),OR('PROGRAMME RT'!$D$5="TOUTES",B373='PROGRAMME RT'!$D$5)),1,0)</f>
        <v>0</v>
      </c>
      <c r="AP373" s="78" t="str">
        <f aca="false">IF(AO373=1,SUM(AO$7:AO373),"")</f>
        <v/>
      </c>
      <c r="AQ373" s="78" t="n">
        <f aca="false">IF(AND(OR(X373="R",X373="NX",X373="NT",X373="CO"),OR('JOINTS DE RÉPARATION'!$D$5="TOUTES",B373='JOINTS DE RÉPARATION'!$D$5),OR('JOINTS DE RÉPARATION'!$L$4="TOUS",AM373&lt;&gt;"ACCEPTÉ")),1,0)</f>
        <v>0</v>
      </c>
      <c r="AR373" s="78" t="str">
        <f aca="false">IF(AQ373=1,SUM(AQ$7:AQ373),"")</f>
        <v/>
      </c>
    </row>
    <row r="374" customFormat="false" ht="15" hidden="false" customHeight="false" outlineLevel="0" collapsed="false">
      <c r="A374" s="78" t="n">
        <f aca="false">IF(E374="","",ROW()-6)</f>
        <v>368</v>
      </c>
      <c r="B374" s="79" t="s">
        <v>575</v>
      </c>
      <c r="C374" s="80"/>
      <c r="D374" s="80"/>
      <c r="E374" s="80" t="s">
        <v>490</v>
      </c>
      <c r="F374" s="80"/>
      <c r="G374" s="80" t="s">
        <v>106</v>
      </c>
      <c r="H374" s="80"/>
      <c r="I374" s="80"/>
      <c r="J374" s="80"/>
      <c r="K374" s="80"/>
      <c r="L374" s="81" t="str">
        <f aca="false">IF(K374="","",IFERROR(INDEX(BARDAGE!$C$7:$C$1506,MATCH(K374,BARDAGE!$B$7:$B$1506,0)),"? hors registre"))</f>
        <v/>
      </c>
      <c r="M374" s="80"/>
      <c r="N374" s="81" t="str">
        <f aca="false">IF(M374="","",IFERROR(INDEX(BARDAGE!$C$7:$C$1506,MATCH(M374,BARDAGE!$B$7:$B$1506,0)),"? hors registre"))</f>
        <v/>
      </c>
      <c r="O374" s="80"/>
      <c r="P374" s="80"/>
      <c r="Q374" s="80"/>
      <c r="R374" s="82"/>
      <c r="S374" s="82"/>
      <c r="T374" s="80"/>
      <c r="U374" s="80"/>
      <c r="V374" s="82"/>
      <c r="W374" s="80"/>
      <c r="X374" s="80"/>
      <c r="Y374" s="80"/>
      <c r="Z374" s="80"/>
      <c r="AA374" s="82"/>
      <c r="AB374" s="80"/>
      <c r="AC374" s="80"/>
      <c r="AD374" s="80"/>
      <c r="AE374" s="80"/>
      <c r="AF374" s="82"/>
      <c r="AG374" s="80"/>
      <c r="AH374" s="80"/>
      <c r="AI374" s="82"/>
      <c r="AJ374" s="79"/>
      <c r="AK374" s="78" t="n">
        <f aca="false">IF(E374="","",(X374&lt;&gt;"")+(AC374&lt;&gt;"")+(AH374&lt;&gt;""))</f>
        <v>0</v>
      </c>
      <c r="AL374" s="81" t="str">
        <f aca="false">IF(AH374&lt;&gt;"",AH374,IF(AC374&lt;&gt;"",AC374,IF(X374&lt;&gt;"",X374,"")))</f>
        <v/>
      </c>
      <c r="AM374" s="83" t="str">
        <f aca="false">IF(E374="","",IF(R374="","À SOUDER",IF(U374="","VT EN ATTENTE",IF(U374="R","VT REJETÉ – À REPRENDRE",IF(AL374="","À RADIOGRAPHIER",IF(AL374="A","ACCEPTÉ",IF(AL374="NX","NX – RT À REFAIRE",IF(IF(AK374=1,Z374,IF(AK374=2,AE374,""))="A","RÉPARÉ – À RADIOGRAPHIER",IF(IF(AK374=1,Z374,IF(AK374=2,AE374,""))="R","VT REJETÉ – À REPRENDRE",IF(OR(AL374="CO",AL374="NT"),"COUPE – À RESOUDER","À RÉPARER"))))))))))</f>
        <v>À SOUDER</v>
      </c>
      <c r="AN374" s="81" t="str">
        <f aca="false">IF(AND(ISNUMBER(R374),OR(AM374="À RADIOGRAPHIER",AM374="RÉPARÉ – À RADIOGRAPHIER",AM374="NX – RT À REFAIRE",AM374="À RÉPARER",AM374="COUPE – À RESOUDER",AM374="VT REJETÉ – À REPRENDRE")),MAX(0,'PROGRAMME RT'!$C$4-R374),"")</f>
        <v/>
      </c>
      <c r="AO374" s="78" t="n">
        <f aca="false">IF(AND(OR(AM374="À RADIOGRAPHIER",AM374="RÉPARÉ – À RADIOGRAPHIER",AM374="NX – RT À REFAIRE"),OR('PROGRAMME RT'!$D$5="TOUTES",B374='PROGRAMME RT'!$D$5)),1,0)</f>
        <v>0</v>
      </c>
      <c r="AP374" s="78" t="str">
        <f aca="false">IF(AO374=1,SUM(AO$7:AO374),"")</f>
        <v/>
      </c>
      <c r="AQ374" s="78" t="n">
        <f aca="false">IF(AND(OR(X374="R",X374="NX",X374="NT",X374="CO"),OR('JOINTS DE RÉPARATION'!$D$5="TOUTES",B374='JOINTS DE RÉPARATION'!$D$5),OR('JOINTS DE RÉPARATION'!$L$4="TOUS",AM374&lt;&gt;"ACCEPTÉ")),1,0)</f>
        <v>0</v>
      </c>
      <c r="AR374" s="78" t="str">
        <f aca="false">IF(AQ374=1,SUM(AQ$7:AQ374),"")</f>
        <v/>
      </c>
    </row>
    <row r="375" customFormat="false" ht="15" hidden="false" customHeight="false" outlineLevel="0" collapsed="false">
      <c r="A375" s="78" t="n">
        <f aca="false">IF(E375="","",ROW()-6)</f>
        <v>369</v>
      </c>
      <c r="B375" s="79" t="s">
        <v>575</v>
      </c>
      <c r="C375" s="80"/>
      <c r="D375" s="80"/>
      <c r="E375" s="80" t="s">
        <v>492</v>
      </c>
      <c r="F375" s="80"/>
      <c r="G375" s="80" t="s">
        <v>106</v>
      </c>
      <c r="H375" s="80"/>
      <c r="I375" s="80"/>
      <c r="J375" s="80"/>
      <c r="K375" s="80"/>
      <c r="L375" s="81" t="str">
        <f aca="false">IF(K375="","",IFERROR(INDEX(BARDAGE!$C$7:$C$1506,MATCH(K375,BARDAGE!$B$7:$B$1506,0)),"? hors registre"))</f>
        <v/>
      </c>
      <c r="M375" s="80"/>
      <c r="N375" s="81" t="str">
        <f aca="false">IF(M375="","",IFERROR(INDEX(BARDAGE!$C$7:$C$1506,MATCH(M375,BARDAGE!$B$7:$B$1506,0)),"? hors registre"))</f>
        <v/>
      </c>
      <c r="O375" s="80"/>
      <c r="P375" s="80"/>
      <c r="Q375" s="80"/>
      <c r="R375" s="82"/>
      <c r="S375" s="82"/>
      <c r="T375" s="80"/>
      <c r="U375" s="80"/>
      <c r="V375" s="82"/>
      <c r="W375" s="80"/>
      <c r="X375" s="80"/>
      <c r="Y375" s="80"/>
      <c r="Z375" s="80"/>
      <c r="AA375" s="82"/>
      <c r="AB375" s="80"/>
      <c r="AC375" s="80"/>
      <c r="AD375" s="80"/>
      <c r="AE375" s="80"/>
      <c r="AF375" s="82"/>
      <c r="AG375" s="80"/>
      <c r="AH375" s="80"/>
      <c r="AI375" s="82"/>
      <c r="AJ375" s="79"/>
      <c r="AK375" s="78" t="n">
        <f aca="false">IF(E375="","",(X375&lt;&gt;"")+(AC375&lt;&gt;"")+(AH375&lt;&gt;""))</f>
        <v>0</v>
      </c>
      <c r="AL375" s="81" t="str">
        <f aca="false">IF(AH375&lt;&gt;"",AH375,IF(AC375&lt;&gt;"",AC375,IF(X375&lt;&gt;"",X375,"")))</f>
        <v/>
      </c>
      <c r="AM375" s="83" t="str">
        <f aca="false">IF(E375="","",IF(R375="","À SOUDER",IF(U375="","VT EN ATTENTE",IF(U375="R","VT REJETÉ – À REPRENDRE",IF(AL375="","À RADIOGRAPHIER",IF(AL375="A","ACCEPTÉ",IF(AL375="NX","NX – RT À REFAIRE",IF(IF(AK375=1,Z375,IF(AK375=2,AE375,""))="A","RÉPARÉ – À RADIOGRAPHIER",IF(IF(AK375=1,Z375,IF(AK375=2,AE375,""))="R","VT REJETÉ – À REPRENDRE",IF(OR(AL375="CO",AL375="NT"),"COUPE – À RESOUDER","À RÉPARER"))))))))))</f>
        <v>À SOUDER</v>
      </c>
      <c r="AN375" s="81" t="str">
        <f aca="false">IF(AND(ISNUMBER(R375),OR(AM375="À RADIOGRAPHIER",AM375="RÉPARÉ – À RADIOGRAPHIER",AM375="NX – RT À REFAIRE",AM375="À RÉPARER",AM375="COUPE – À RESOUDER",AM375="VT REJETÉ – À REPRENDRE")),MAX(0,'PROGRAMME RT'!$C$4-R375),"")</f>
        <v/>
      </c>
      <c r="AO375" s="78" t="n">
        <f aca="false">IF(AND(OR(AM375="À RADIOGRAPHIER",AM375="RÉPARÉ – À RADIOGRAPHIER",AM375="NX – RT À REFAIRE"),OR('PROGRAMME RT'!$D$5="TOUTES",B375='PROGRAMME RT'!$D$5)),1,0)</f>
        <v>0</v>
      </c>
      <c r="AP375" s="78" t="str">
        <f aca="false">IF(AO375=1,SUM(AO$7:AO375),"")</f>
        <v/>
      </c>
      <c r="AQ375" s="78" t="n">
        <f aca="false">IF(AND(OR(X375="R",X375="NX",X375="NT",X375="CO"),OR('JOINTS DE RÉPARATION'!$D$5="TOUTES",B375='JOINTS DE RÉPARATION'!$D$5),OR('JOINTS DE RÉPARATION'!$L$4="TOUS",AM375&lt;&gt;"ACCEPTÉ")),1,0)</f>
        <v>0</v>
      </c>
      <c r="AR375" s="78" t="str">
        <f aca="false">IF(AQ375=1,SUM(AQ$7:AQ375),"")</f>
        <v/>
      </c>
    </row>
    <row r="376" customFormat="false" ht="15" hidden="false" customHeight="false" outlineLevel="0" collapsed="false">
      <c r="A376" s="78" t="n">
        <f aca="false">IF(E376="","",ROW()-6)</f>
        <v>370</v>
      </c>
      <c r="B376" s="79" t="s">
        <v>575</v>
      </c>
      <c r="C376" s="80"/>
      <c r="D376" s="80"/>
      <c r="E376" s="80" t="s">
        <v>494</v>
      </c>
      <c r="F376" s="80"/>
      <c r="G376" s="80" t="s">
        <v>106</v>
      </c>
      <c r="H376" s="80"/>
      <c r="I376" s="80"/>
      <c r="J376" s="80"/>
      <c r="K376" s="80"/>
      <c r="L376" s="81" t="str">
        <f aca="false">IF(K376="","",IFERROR(INDEX(BARDAGE!$C$7:$C$1506,MATCH(K376,BARDAGE!$B$7:$B$1506,0)),"? hors registre"))</f>
        <v/>
      </c>
      <c r="M376" s="80"/>
      <c r="N376" s="81" t="str">
        <f aca="false">IF(M376="","",IFERROR(INDEX(BARDAGE!$C$7:$C$1506,MATCH(M376,BARDAGE!$B$7:$B$1506,0)),"? hors registre"))</f>
        <v/>
      </c>
      <c r="O376" s="80"/>
      <c r="P376" s="80"/>
      <c r="Q376" s="80"/>
      <c r="R376" s="82"/>
      <c r="S376" s="82"/>
      <c r="T376" s="80"/>
      <c r="U376" s="80"/>
      <c r="V376" s="82"/>
      <c r="W376" s="80"/>
      <c r="X376" s="80"/>
      <c r="Y376" s="80"/>
      <c r="Z376" s="80"/>
      <c r="AA376" s="82"/>
      <c r="AB376" s="80"/>
      <c r="AC376" s="80"/>
      <c r="AD376" s="80"/>
      <c r="AE376" s="80"/>
      <c r="AF376" s="82"/>
      <c r="AG376" s="80"/>
      <c r="AH376" s="80"/>
      <c r="AI376" s="82"/>
      <c r="AJ376" s="79"/>
      <c r="AK376" s="78" t="n">
        <f aca="false">IF(E376="","",(X376&lt;&gt;"")+(AC376&lt;&gt;"")+(AH376&lt;&gt;""))</f>
        <v>0</v>
      </c>
      <c r="AL376" s="81" t="str">
        <f aca="false">IF(AH376&lt;&gt;"",AH376,IF(AC376&lt;&gt;"",AC376,IF(X376&lt;&gt;"",X376,"")))</f>
        <v/>
      </c>
      <c r="AM376" s="83" t="str">
        <f aca="false">IF(E376="","",IF(R376="","À SOUDER",IF(U376="","VT EN ATTENTE",IF(U376="R","VT REJETÉ – À REPRENDRE",IF(AL376="","À RADIOGRAPHIER",IF(AL376="A","ACCEPTÉ",IF(AL376="NX","NX – RT À REFAIRE",IF(IF(AK376=1,Z376,IF(AK376=2,AE376,""))="A","RÉPARÉ – À RADIOGRAPHIER",IF(IF(AK376=1,Z376,IF(AK376=2,AE376,""))="R","VT REJETÉ – À REPRENDRE",IF(OR(AL376="CO",AL376="NT"),"COUPE – À RESOUDER","À RÉPARER"))))))))))</f>
        <v>À SOUDER</v>
      </c>
      <c r="AN376" s="81" t="str">
        <f aca="false">IF(AND(ISNUMBER(R376),OR(AM376="À RADIOGRAPHIER",AM376="RÉPARÉ – À RADIOGRAPHIER",AM376="NX – RT À REFAIRE",AM376="À RÉPARER",AM376="COUPE – À RESOUDER",AM376="VT REJETÉ – À REPRENDRE")),MAX(0,'PROGRAMME RT'!$C$4-R376),"")</f>
        <v/>
      </c>
      <c r="AO376" s="78" t="n">
        <f aca="false">IF(AND(OR(AM376="À RADIOGRAPHIER",AM376="RÉPARÉ – À RADIOGRAPHIER",AM376="NX – RT À REFAIRE"),OR('PROGRAMME RT'!$D$5="TOUTES",B376='PROGRAMME RT'!$D$5)),1,0)</f>
        <v>0</v>
      </c>
      <c r="AP376" s="78" t="str">
        <f aca="false">IF(AO376=1,SUM(AO$7:AO376),"")</f>
        <v/>
      </c>
      <c r="AQ376" s="78" t="n">
        <f aca="false">IF(AND(OR(X376="R",X376="NX",X376="NT",X376="CO"),OR('JOINTS DE RÉPARATION'!$D$5="TOUTES",B376='JOINTS DE RÉPARATION'!$D$5),OR('JOINTS DE RÉPARATION'!$L$4="TOUS",AM376&lt;&gt;"ACCEPTÉ")),1,0)</f>
        <v>0</v>
      </c>
      <c r="AR376" s="78" t="str">
        <f aca="false">IF(AQ376=1,SUM(AQ$7:AQ376),"")</f>
        <v/>
      </c>
    </row>
    <row r="377" customFormat="false" ht="15" hidden="false" customHeight="false" outlineLevel="0" collapsed="false">
      <c r="A377" s="78" t="n">
        <f aca="false">IF(E377="","",ROW()-6)</f>
        <v>371</v>
      </c>
      <c r="B377" s="79" t="s">
        <v>575</v>
      </c>
      <c r="C377" s="80"/>
      <c r="D377" s="80"/>
      <c r="E377" s="80" t="s">
        <v>496</v>
      </c>
      <c r="F377" s="80"/>
      <c r="G377" s="80" t="s">
        <v>106</v>
      </c>
      <c r="H377" s="80"/>
      <c r="I377" s="80"/>
      <c r="J377" s="80"/>
      <c r="K377" s="80"/>
      <c r="L377" s="81" t="str">
        <f aca="false">IF(K377="","",IFERROR(INDEX(BARDAGE!$C$7:$C$1506,MATCH(K377,BARDAGE!$B$7:$B$1506,0)),"? hors registre"))</f>
        <v/>
      </c>
      <c r="M377" s="80"/>
      <c r="N377" s="81" t="str">
        <f aca="false">IF(M377="","",IFERROR(INDEX(BARDAGE!$C$7:$C$1506,MATCH(M377,BARDAGE!$B$7:$B$1506,0)),"? hors registre"))</f>
        <v/>
      </c>
      <c r="O377" s="80"/>
      <c r="P377" s="80"/>
      <c r="Q377" s="80"/>
      <c r="R377" s="82"/>
      <c r="S377" s="82"/>
      <c r="T377" s="80"/>
      <c r="U377" s="80"/>
      <c r="V377" s="82"/>
      <c r="W377" s="80"/>
      <c r="X377" s="80"/>
      <c r="Y377" s="80"/>
      <c r="Z377" s="80"/>
      <c r="AA377" s="82"/>
      <c r="AB377" s="80"/>
      <c r="AC377" s="80"/>
      <c r="AD377" s="80"/>
      <c r="AE377" s="80"/>
      <c r="AF377" s="82"/>
      <c r="AG377" s="80"/>
      <c r="AH377" s="80"/>
      <c r="AI377" s="82"/>
      <c r="AJ377" s="79"/>
      <c r="AK377" s="78" t="n">
        <f aca="false">IF(E377="","",(X377&lt;&gt;"")+(AC377&lt;&gt;"")+(AH377&lt;&gt;""))</f>
        <v>0</v>
      </c>
      <c r="AL377" s="81" t="str">
        <f aca="false">IF(AH377&lt;&gt;"",AH377,IF(AC377&lt;&gt;"",AC377,IF(X377&lt;&gt;"",X377,"")))</f>
        <v/>
      </c>
      <c r="AM377" s="83" t="str">
        <f aca="false">IF(E377="","",IF(R377="","À SOUDER",IF(U377="","VT EN ATTENTE",IF(U377="R","VT REJETÉ – À REPRENDRE",IF(AL377="","À RADIOGRAPHIER",IF(AL377="A","ACCEPTÉ",IF(AL377="NX","NX – RT À REFAIRE",IF(IF(AK377=1,Z377,IF(AK377=2,AE377,""))="A","RÉPARÉ – À RADIOGRAPHIER",IF(IF(AK377=1,Z377,IF(AK377=2,AE377,""))="R","VT REJETÉ – À REPRENDRE",IF(OR(AL377="CO",AL377="NT"),"COUPE – À RESOUDER","À RÉPARER"))))))))))</f>
        <v>À SOUDER</v>
      </c>
      <c r="AN377" s="81" t="str">
        <f aca="false">IF(AND(ISNUMBER(R377),OR(AM377="À RADIOGRAPHIER",AM377="RÉPARÉ – À RADIOGRAPHIER",AM377="NX – RT À REFAIRE",AM377="À RÉPARER",AM377="COUPE – À RESOUDER",AM377="VT REJETÉ – À REPRENDRE")),MAX(0,'PROGRAMME RT'!$C$4-R377),"")</f>
        <v/>
      </c>
      <c r="AO377" s="78" t="n">
        <f aca="false">IF(AND(OR(AM377="À RADIOGRAPHIER",AM377="RÉPARÉ – À RADIOGRAPHIER",AM377="NX – RT À REFAIRE"),OR('PROGRAMME RT'!$D$5="TOUTES",B377='PROGRAMME RT'!$D$5)),1,0)</f>
        <v>0</v>
      </c>
      <c r="AP377" s="78" t="str">
        <f aca="false">IF(AO377=1,SUM(AO$7:AO377),"")</f>
        <v/>
      </c>
      <c r="AQ377" s="78" t="n">
        <f aca="false">IF(AND(OR(X377="R",X377="NX",X377="NT",X377="CO"),OR('JOINTS DE RÉPARATION'!$D$5="TOUTES",B377='JOINTS DE RÉPARATION'!$D$5),OR('JOINTS DE RÉPARATION'!$L$4="TOUS",AM377&lt;&gt;"ACCEPTÉ")),1,0)</f>
        <v>0</v>
      </c>
      <c r="AR377" s="78" t="str">
        <f aca="false">IF(AQ377=1,SUM(AQ$7:AQ377),"")</f>
        <v/>
      </c>
    </row>
    <row r="378" customFormat="false" ht="15" hidden="false" customHeight="false" outlineLevel="0" collapsed="false">
      <c r="A378" s="78" t="n">
        <f aca="false">IF(E378="","",ROW()-6)</f>
        <v>372</v>
      </c>
      <c r="B378" s="79" t="s">
        <v>575</v>
      </c>
      <c r="C378" s="80"/>
      <c r="D378" s="80"/>
      <c r="E378" s="80" t="s">
        <v>498</v>
      </c>
      <c r="F378" s="80"/>
      <c r="G378" s="80" t="s">
        <v>106</v>
      </c>
      <c r="H378" s="80"/>
      <c r="I378" s="80"/>
      <c r="J378" s="80"/>
      <c r="K378" s="80"/>
      <c r="L378" s="81" t="str">
        <f aca="false">IF(K378="","",IFERROR(INDEX(BARDAGE!$C$7:$C$1506,MATCH(K378,BARDAGE!$B$7:$B$1506,0)),"? hors registre"))</f>
        <v/>
      </c>
      <c r="M378" s="80"/>
      <c r="N378" s="81" t="str">
        <f aca="false">IF(M378="","",IFERROR(INDEX(BARDAGE!$C$7:$C$1506,MATCH(M378,BARDAGE!$B$7:$B$1506,0)),"? hors registre"))</f>
        <v/>
      </c>
      <c r="O378" s="80"/>
      <c r="P378" s="80"/>
      <c r="Q378" s="80"/>
      <c r="R378" s="82"/>
      <c r="S378" s="82"/>
      <c r="T378" s="80"/>
      <c r="U378" s="80"/>
      <c r="V378" s="82"/>
      <c r="W378" s="80"/>
      <c r="X378" s="80"/>
      <c r="Y378" s="80"/>
      <c r="Z378" s="80"/>
      <c r="AA378" s="82"/>
      <c r="AB378" s="80"/>
      <c r="AC378" s="80"/>
      <c r="AD378" s="80"/>
      <c r="AE378" s="80"/>
      <c r="AF378" s="82"/>
      <c r="AG378" s="80"/>
      <c r="AH378" s="80"/>
      <c r="AI378" s="82"/>
      <c r="AJ378" s="79"/>
      <c r="AK378" s="78" t="n">
        <f aca="false">IF(E378="","",(X378&lt;&gt;"")+(AC378&lt;&gt;"")+(AH378&lt;&gt;""))</f>
        <v>0</v>
      </c>
      <c r="AL378" s="81" t="str">
        <f aca="false">IF(AH378&lt;&gt;"",AH378,IF(AC378&lt;&gt;"",AC378,IF(X378&lt;&gt;"",X378,"")))</f>
        <v/>
      </c>
      <c r="AM378" s="83" t="str">
        <f aca="false">IF(E378="","",IF(R378="","À SOUDER",IF(U378="","VT EN ATTENTE",IF(U378="R","VT REJETÉ – À REPRENDRE",IF(AL378="","À RADIOGRAPHIER",IF(AL378="A","ACCEPTÉ",IF(AL378="NX","NX – RT À REFAIRE",IF(IF(AK378=1,Z378,IF(AK378=2,AE378,""))="A","RÉPARÉ – À RADIOGRAPHIER",IF(IF(AK378=1,Z378,IF(AK378=2,AE378,""))="R","VT REJETÉ – À REPRENDRE",IF(OR(AL378="CO",AL378="NT"),"COUPE – À RESOUDER","À RÉPARER"))))))))))</f>
        <v>À SOUDER</v>
      </c>
      <c r="AN378" s="81" t="str">
        <f aca="false">IF(AND(ISNUMBER(R378),OR(AM378="À RADIOGRAPHIER",AM378="RÉPARÉ – À RADIOGRAPHIER",AM378="NX – RT À REFAIRE",AM378="À RÉPARER",AM378="COUPE – À RESOUDER",AM378="VT REJETÉ – À REPRENDRE")),MAX(0,'PROGRAMME RT'!$C$4-R378),"")</f>
        <v/>
      </c>
      <c r="AO378" s="78" t="n">
        <f aca="false">IF(AND(OR(AM378="À RADIOGRAPHIER",AM378="RÉPARÉ – À RADIOGRAPHIER",AM378="NX – RT À REFAIRE"),OR('PROGRAMME RT'!$D$5="TOUTES",B378='PROGRAMME RT'!$D$5)),1,0)</f>
        <v>0</v>
      </c>
      <c r="AP378" s="78" t="str">
        <f aca="false">IF(AO378=1,SUM(AO$7:AO378),"")</f>
        <v/>
      </c>
      <c r="AQ378" s="78" t="n">
        <f aca="false">IF(AND(OR(X378="R",X378="NX",X378="NT",X378="CO"),OR('JOINTS DE RÉPARATION'!$D$5="TOUTES",B378='JOINTS DE RÉPARATION'!$D$5),OR('JOINTS DE RÉPARATION'!$L$4="TOUS",AM378&lt;&gt;"ACCEPTÉ")),1,0)</f>
        <v>0</v>
      </c>
      <c r="AR378" s="78" t="str">
        <f aca="false">IF(AQ378=1,SUM(AQ$7:AQ378),"")</f>
        <v/>
      </c>
    </row>
    <row r="379" customFormat="false" ht="15" hidden="false" customHeight="false" outlineLevel="0" collapsed="false">
      <c r="A379" s="78" t="n">
        <f aca="false">IF(E379="","",ROW()-6)</f>
        <v>373</v>
      </c>
      <c r="B379" s="79" t="s">
        <v>575</v>
      </c>
      <c r="C379" s="80"/>
      <c r="D379" s="80"/>
      <c r="E379" s="80" t="s">
        <v>502</v>
      </c>
      <c r="F379" s="80"/>
      <c r="G379" s="80" t="s">
        <v>106</v>
      </c>
      <c r="H379" s="80"/>
      <c r="I379" s="80"/>
      <c r="J379" s="80"/>
      <c r="K379" s="80"/>
      <c r="L379" s="81" t="str">
        <f aca="false">IF(K379="","",IFERROR(INDEX(BARDAGE!$C$7:$C$1506,MATCH(K379,BARDAGE!$B$7:$B$1506,0)),"? hors registre"))</f>
        <v/>
      </c>
      <c r="M379" s="80"/>
      <c r="N379" s="81" t="str">
        <f aca="false">IF(M379="","",IFERROR(INDEX(BARDAGE!$C$7:$C$1506,MATCH(M379,BARDAGE!$B$7:$B$1506,0)),"? hors registre"))</f>
        <v/>
      </c>
      <c r="O379" s="80"/>
      <c r="P379" s="80"/>
      <c r="Q379" s="80"/>
      <c r="R379" s="82"/>
      <c r="S379" s="82"/>
      <c r="T379" s="80"/>
      <c r="U379" s="80"/>
      <c r="V379" s="82"/>
      <c r="W379" s="80"/>
      <c r="X379" s="80"/>
      <c r="Y379" s="80"/>
      <c r="Z379" s="80"/>
      <c r="AA379" s="82"/>
      <c r="AB379" s="80"/>
      <c r="AC379" s="80"/>
      <c r="AD379" s="80"/>
      <c r="AE379" s="80"/>
      <c r="AF379" s="82"/>
      <c r="AG379" s="80"/>
      <c r="AH379" s="80"/>
      <c r="AI379" s="82"/>
      <c r="AJ379" s="79"/>
      <c r="AK379" s="78" t="n">
        <f aca="false">IF(E379="","",(X379&lt;&gt;"")+(AC379&lt;&gt;"")+(AH379&lt;&gt;""))</f>
        <v>0</v>
      </c>
      <c r="AL379" s="81" t="str">
        <f aca="false">IF(AH379&lt;&gt;"",AH379,IF(AC379&lt;&gt;"",AC379,IF(X379&lt;&gt;"",X379,"")))</f>
        <v/>
      </c>
      <c r="AM379" s="83" t="str">
        <f aca="false">IF(E379="","",IF(R379="","À SOUDER",IF(U379="","VT EN ATTENTE",IF(U379="R","VT REJETÉ – À REPRENDRE",IF(AL379="","À RADIOGRAPHIER",IF(AL379="A","ACCEPTÉ",IF(AL379="NX","NX – RT À REFAIRE",IF(IF(AK379=1,Z379,IF(AK379=2,AE379,""))="A","RÉPARÉ – À RADIOGRAPHIER",IF(IF(AK379=1,Z379,IF(AK379=2,AE379,""))="R","VT REJETÉ – À REPRENDRE",IF(OR(AL379="CO",AL379="NT"),"COUPE – À RESOUDER","À RÉPARER"))))))))))</f>
        <v>À SOUDER</v>
      </c>
      <c r="AN379" s="81" t="str">
        <f aca="false">IF(AND(ISNUMBER(R379),OR(AM379="À RADIOGRAPHIER",AM379="RÉPARÉ – À RADIOGRAPHIER",AM379="NX – RT À REFAIRE",AM379="À RÉPARER",AM379="COUPE – À RESOUDER",AM379="VT REJETÉ – À REPRENDRE")),MAX(0,'PROGRAMME RT'!$C$4-R379),"")</f>
        <v/>
      </c>
      <c r="AO379" s="78" t="n">
        <f aca="false">IF(AND(OR(AM379="À RADIOGRAPHIER",AM379="RÉPARÉ – À RADIOGRAPHIER",AM379="NX – RT À REFAIRE"),OR('PROGRAMME RT'!$D$5="TOUTES",B379='PROGRAMME RT'!$D$5)),1,0)</f>
        <v>0</v>
      </c>
      <c r="AP379" s="78" t="str">
        <f aca="false">IF(AO379=1,SUM(AO$7:AO379),"")</f>
        <v/>
      </c>
      <c r="AQ379" s="78" t="n">
        <f aca="false">IF(AND(OR(X379="R",X379="NX",X379="NT",X379="CO"),OR('JOINTS DE RÉPARATION'!$D$5="TOUTES",B379='JOINTS DE RÉPARATION'!$D$5),OR('JOINTS DE RÉPARATION'!$L$4="TOUS",AM379&lt;&gt;"ACCEPTÉ")),1,0)</f>
        <v>0</v>
      </c>
      <c r="AR379" s="78" t="str">
        <f aca="false">IF(AQ379=1,SUM(AQ$7:AQ379),"")</f>
        <v/>
      </c>
    </row>
    <row r="380" customFormat="false" ht="15" hidden="false" customHeight="false" outlineLevel="0" collapsed="false">
      <c r="A380" s="78" t="n">
        <f aca="false">IF(E380="","",ROW()-6)</f>
        <v>374</v>
      </c>
      <c r="B380" s="79" t="s">
        <v>575</v>
      </c>
      <c r="C380" s="80"/>
      <c r="D380" s="80"/>
      <c r="E380" s="80" t="s">
        <v>505</v>
      </c>
      <c r="F380" s="80"/>
      <c r="G380" s="80" t="s">
        <v>106</v>
      </c>
      <c r="H380" s="80"/>
      <c r="I380" s="80"/>
      <c r="J380" s="80"/>
      <c r="K380" s="80"/>
      <c r="L380" s="81" t="str">
        <f aca="false">IF(K380="","",IFERROR(INDEX(BARDAGE!$C$7:$C$1506,MATCH(K380,BARDAGE!$B$7:$B$1506,0)),"? hors registre"))</f>
        <v/>
      </c>
      <c r="M380" s="80"/>
      <c r="N380" s="81" t="str">
        <f aca="false">IF(M380="","",IFERROR(INDEX(BARDAGE!$C$7:$C$1506,MATCH(M380,BARDAGE!$B$7:$B$1506,0)),"? hors registre"))</f>
        <v/>
      </c>
      <c r="O380" s="80"/>
      <c r="P380" s="80"/>
      <c r="Q380" s="80"/>
      <c r="R380" s="82"/>
      <c r="S380" s="82"/>
      <c r="T380" s="80"/>
      <c r="U380" s="80"/>
      <c r="V380" s="82"/>
      <c r="W380" s="80"/>
      <c r="X380" s="80"/>
      <c r="Y380" s="80"/>
      <c r="Z380" s="80"/>
      <c r="AA380" s="82"/>
      <c r="AB380" s="80"/>
      <c r="AC380" s="80"/>
      <c r="AD380" s="80"/>
      <c r="AE380" s="80"/>
      <c r="AF380" s="82"/>
      <c r="AG380" s="80"/>
      <c r="AH380" s="80"/>
      <c r="AI380" s="82"/>
      <c r="AJ380" s="79"/>
      <c r="AK380" s="78" t="n">
        <f aca="false">IF(E380="","",(X380&lt;&gt;"")+(AC380&lt;&gt;"")+(AH380&lt;&gt;""))</f>
        <v>0</v>
      </c>
      <c r="AL380" s="81" t="str">
        <f aca="false">IF(AH380&lt;&gt;"",AH380,IF(AC380&lt;&gt;"",AC380,IF(X380&lt;&gt;"",X380,"")))</f>
        <v/>
      </c>
      <c r="AM380" s="83" t="str">
        <f aca="false">IF(E380="","",IF(R380="","À SOUDER",IF(U380="","VT EN ATTENTE",IF(U380="R","VT REJETÉ – À REPRENDRE",IF(AL380="","À RADIOGRAPHIER",IF(AL380="A","ACCEPTÉ",IF(AL380="NX","NX – RT À REFAIRE",IF(IF(AK380=1,Z380,IF(AK380=2,AE380,""))="A","RÉPARÉ – À RADIOGRAPHIER",IF(IF(AK380=1,Z380,IF(AK380=2,AE380,""))="R","VT REJETÉ – À REPRENDRE",IF(OR(AL380="CO",AL380="NT"),"COUPE – À RESOUDER","À RÉPARER"))))))))))</f>
        <v>À SOUDER</v>
      </c>
      <c r="AN380" s="81" t="str">
        <f aca="false">IF(AND(ISNUMBER(R380),OR(AM380="À RADIOGRAPHIER",AM380="RÉPARÉ – À RADIOGRAPHIER",AM380="NX – RT À REFAIRE",AM380="À RÉPARER",AM380="COUPE – À RESOUDER",AM380="VT REJETÉ – À REPRENDRE")),MAX(0,'PROGRAMME RT'!$C$4-R380),"")</f>
        <v/>
      </c>
      <c r="AO380" s="78" t="n">
        <f aca="false">IF(AND(OR(AM380="À RADIOGRAPHIER",AM380="RÉPARÉ – À RADIOGRAPHIER",AM380="NX – RT À REFAIRE"),OR('PROGRAMME RT'!$D$5="TOUTES",B380='PROGRAMME RT'!$D$5)),1,0)</f>
        <v>0</v>
      </c>
      <c r="AP380" s="78" t="str">
        <f aca="false">IF(AO380=1,SUM(AO$7:AO380),"")</f>
        <v/>
      </c>
      <c r="AQ380" s="78" t="n">
        <f aca="false">IF(AND(OR(X380="R",X380="NX",X380="NT",X380="CO"),OR('JOINTS DE RÉPARATION'!$D$5="TOUTES",B380='JOINTS DE RÉPARATION'!$D$5),OR('JOINTS DE RÉPARATION'!$L$4="TOUS",AM380&lt;&gt;"ACCEPTÉ")),1,0)</f>
        <v>0</v>
      </c>
      <c r="AR380" s="78" t="str">
        <f aca="false">IF(AQ380=1,SUM(AQ$7:AQ380),"")</f>
        <v/>
      </c>
    </row>
    <row r="381" customFormat="false" ht="15" hidden="false" customHeight="false" outlineLevel="0" collapsed="false">
      <c r="A381" s="78" t="n">
        <f aca="false">IF(E381="","",ROW()-6)</f>
        <v>375</v>
      </c>
      <c r="B381" s="79" t="s">
        <v>575</v>
      </c>
      <c r="C381" s="80"/>
      <c r="D381" s="80"/>
      <c r="E381" s="80" t="s">
        <v>507</v>
      </c>
      <c r="F381" s="80"/>
      <c r="G381" s="80" t="s">
        <v>106</v>
      </c>
      <c r="H381" s="80"/>
      <c r="I381" s="80"/>
      <c r="J381" s="80"/>
      <c r="K381" s="80"/>
      <c r="L381" s="81" t="str">
        <f aca="false">IF(K381="","",IFERROR(INDEX(BARDAGE!$C$7:$C$1506,MATCH(K381,BARDAGE!$B$7:$B$1506,0)),"? hors registre"))</f>
        <v/>
      </c>
      <c r="M381" s="80"/>
      <c r="N381" s="81" t="str">
        <f aca="false">IF(M381="","",IFERROR(INDEX(BARDAGE!$C$7:$C$1506,MATCH(M381,BARDAGE!$B$7:$B$1506,0)),"? hors registre"))</f>
        <v/>
      </c>
      <c r="O381" s="80"/>
      <c r="P381" s="80"/>
      <c r="Q381" s="80"/>
      <c r="R381" s="82"/>
      <c r="S381" s="82"/>
      <c r="T381" s="80"/>
      <c r="U381" s="80"/>
      <c r="V381" s="82"/>
      <c r="W381" s="80"/>
      <c r="X381" s="80"/>
      <c r="Y381" s="80"/>
      <c r="Z381" s="80"/>
      <c r="AA381" s="82"/>
      <c r="AB381" s="80"/>
      <c r="AC381" s="80"/>
      <c r="AD381" s="80"/>
      <c r="AE381" s="80"/>
      <c r="AF381" s="82"/>
      <c r="AG381" s="80"/>
      <c r="AH381" s="80"/>
      <c r="AI381" s="82"/>
      <c r="AJ381" s="79"/>
      <c r="AK381" s="78" t="n">
        <f aca="false">IF(E381="","",(X381&lt;&gt;"")+(AC381&lt;&gt;"")+(AH381&lt;&gt;""))</f>
        <v>0</v>
      </c>
      <c r="AL381" s="81" t="str">
        <f aca="false">IF(AH381&lt;&gt;"",AH381,IF(AC381&lt;&gt;"",AC381,IF(X381&lt;&gt;"",X381,"")))</f>
        <v/>
      </c>
      <c r="AM381" s="83" t="str">
        <f aca="false">IF(E381="","",IF(R381="","À SOUDER",IF(U381="","VT EN ATTENTE",IF(U381="R","VT REJETÉ – À REPRENDRE",IF(AL381="","À RADIOGRAPHIER",IF(AL381="A","ACCEPTÉ",IF(AL381="NX","NX – RT À REFAIRE",IF(IF(AK381=1,Z381,IF(AK381=2,AE381,""))="A","RÉPARÉ – À RADIOGRAPHIER",IF(IF(AK381=1,Z381,IF(AK381=2,AE381,""))="R","VT REJETÉ – À REPRENDRE",IF(OR(AL381="CO",AL381="NT"),"COUPE – À RESOUDER","À RÉPARER"))))))))))</f>
        <v>À SOUDER</v>
      </c>
      <c r="AN381" s="81" t="str">
        <f aca="false">IF(AND(ISNUMBER(R381),OR(AM381="À RADIOGRAPHIER",AM381="RÉPARÉ – À RADIOGRAPHIER",AM381="NX – RT À REFAIRE",AM381="À RÉPARER",AM381="COUPE – À RESOUDER",AM381="VT REJETÉ – À REPRENDRE")),MAX(0,'PROGRAMME RT'!$C$4-R381),"")</f>
        <v/>
      </c>
      <c r="AO381" s="78" t="n">
        <f aca="false">IF(AND(OR(AM381="À RADIOGRAPHIER",AM381="RÉPARÉ – À RADIOGRAPHIER",AM381="NX – RT À REFAIRE"),OR('PROGRAMME RT'!$D$5="TOUTES",B381='PROGRAMME RT'!$D$5)),1,0)</f>
        <v>0</v>
      </c>
      <c r="AP381" s="78" t="str">
        <f aca="false">IF(AO381=1,SUM(AO$7:AO381),"")</f>
        <v/>
      </c>
      <c r="AQ381" s="78" t="n">
        <f aca="false">IF(AND(OR(X381="R",X381="NX",X381="NT",X381="CO"),OR('JOINTS DE RÉPARATION'!$D$5="TOUTES",B381='JOINTS DE RÉPARATION'!$D$5),OR('JOINTS DE RÉPARATION'!$L$4="TOUS",AM381&lt;&gt;"ACCEPTÉ")),1,0)</f>
        <v>0</v>
      </c>
      <c r="AR381" s="78" t="str">
        <f aca="false">IF(AQ381=1,SUM(AQ$7:AQ381),"")</f>
        <v/>
      </c>
    </row>
    <row r="382" customFormat="false" ht="15" hidden="false" customHeight="false" outlineLevel="0" collapsed="false">
      <c r="A382" s="78" t="n">
        <f aca="false">IF(E382="","",ROW()-6)</f>
        <v>376</v>
      </c>
      <c r="B382" s="79" t="s">
        <v>575</v>
      </c>
      <c r="C382" s="80"/>
      <c r="D382" s="80"/>
      <c r="E382" s="80" t="s">
        <v>509</v>
      </c>
      <c r="F382" s="80"/>
      <c r="G382" s="80" t="s">
        <v>106</v>
      </c>
      <c r="H382" s="80"/>
      <c r="I382" s="80"/>
      <c r="J382" s="80"/>
      <c r="K382" s="80"/>
      <c r="L382" s="81" t="str">
        <f aca="false">IF(K382="","",IFERROR(INDEX(BARDAGE!$C$7:$C$1506,MATCH(K382,BARDAGE!$B$7:$B$1506,0)),"? hors registre"))</f>
        <v/>
      </c>
      <c r="M382" s="80"/>
      <c r="N382" s="81" t="str">
        <f aca="false">IF(M382="","",IFERROR(INDEX(BARDAGE!$C$7:$C$1506,MATCH(M382,BARDAGE!$B$7:$B$1506,0)),"? hors registre"))</f>
        <v/>
      </c>
      <c r="O382" s="80"/>
      <c r="P382" s="80"/>
      <c r="Q382" s="80"/>
      <c r="R382" s="82"/>
      <c r="S382" s="82"/>
      <c r="T382" s="80"/>
      <c r="U382" s="80"/>
      <c r="V382" s="82"/>
      <c r="W382" s="80"/>
      <c r="X382" s="80"/>
      <c r="Y382" s="80"/>
      <c r="Z382" s="80"/>
      <c r="AA382" s="82"/>
      <c r="AB382" s="80"/>
      <c r="AC382" s="80"/>
      <c r="AD382" s="80"/>
      <c r="AE382" s="80"/>
      <c r="AF382" s="82"/>
      <c r="AG382" s="80"/>
      <c r="AH382" s="80"/>
      <c r="AI382" s="82"/>
      <c r="AJ382" s="79"/>
      <c r="AK382" s="78" t="n">
        <f aca="false">IF(E382="","",(X382&lt;&gt;"")+(AC382&lt;&gt;"")+(AH382&lt;&gt;""))</f>
        <v>0</v>
      </c>
      <c r="AL382" s="81" t="str">
        <f aca="false">IF(AH382&lt;&gt;"",AH382,IF(AC382&lt;&gt;"",AC382,IF(X382&lt;&gt;"",X382,"")))</f>
        <v/>
      </c>
      <c r="AM382" s="83" t="str">
        <f aca="false">IF(E382="","",IF(R382="","À SOUDER",IF(U382="","VT EN ATTENTE",IF(U382="R","VT REJETÉ – À REPRENDRE",IF(AL382="","À RADIOGRAPHIER",IF(AL382="A","ACCEPTÉ",IF(AL382="NX","NX – RT À REFAIRE",IF(IF(AK382=1,Z382,IF(AK382=2,AE382,""))="A","RÉPARÉ – À RADIOGRAPHIER",IF(IF(AK382=1,Z382,IF(AK382=2,AE382,""))="R","VT REJETÉ – À REPRENDRE",IF(OR(AL382="CO",AL382="NT"),"COUPE – À RESOUDER","À RÉPARER"))))))))))</f>
        <v>À SOUDER</v>
      </c>
      <c r="AN382" s="81" t="str">
        <f aca="false">IF(AND(ISNUMBER(R382),OR(AM382="À RADIOGRAPHIER",AM382="RÉPARÉ – À RADIOGRAPHIER",AM382="NX – RT À REFAIRE",AM382="À RÉPARER",AM382="COUPE – À RESOUDER",AM382="VT REJETÉ – À REPRENDRE")),MAX(0,'PROGRAMME RT'!$C$4-R382),"")</f>
        <v/>
      </c>
      <c r="AO382" s="78" t="n">
        <f aca="false">IF(AND(OR(AM382="À RADIOGRAPHIER",AM382="RÉPARÉ – À RADIOGRAPHIER",AM382="NX – RT À REFAIRE"),OR('PROGRAMME RT'!$D$5="TOUTES",B382='PROGRAMME RT'!$D$5)),1,0)</f>
        <v>0</v>
      </c>
      <c r="AP382" s="78" t="str">
        <f aca="false">IF(AO382=1,SUM(AO$7:AO382),"")</f>
        <v/>
      </c>
      <c r="AQ382" s="78" t="n">
        <f aca="false">IF(AND(OR(X382="R",X382="NX",X382="NT",X382="CO"),OR('JOINTS DE RÉPARATION'!$D$5="TOUTES",B382='JOINTS DE RÉPARATION'!$D$5),OR('JOINTS DE RÉPARATION'!$L$4="TOUS",AM382&lt;&gt;"ACCEPTÉ")),1,0)</f>
        <v>0</v>
      </c>
      <c r="AR382" s="78" t="str">
        <f aca="false">IF(AQ382=1,SUM(AQ$7:AQ382),"")</f>
        <v/>
      </c>
    </row>
    <row r="383" customFormat="false" ht="15" hidden="false" customHeight="false" outlineLevel="0" collapsed="false">
      <c r="A383" s="78" t="n">
        <f aca="false">IF(E383="","",ROW()-6)</f>
        <v>377</v>
      </c>
      <c r="B383" s="79" t="s">
        <v>575</v>
      </c>
      <c r="C383" s="80"/>
      <c r="D383" s="80"/>
      <c r="E383" s="80" t="s">
        <v>511</v>
      </c>
      <c r="F383" s="80"/>
      <c r="G383" s="80" t="s">
        <v>106</v>
      </c>
      <c r="H383" s="80"/>
      <c r="I383" s="80"/>
      <c r="J383" s="80"/>
      <c r="K383" s="80"/>
      <c r="L383" s="81" t="str">
        <f aca="false">IF(K383="","",IFERROR(INDEX(BARDAGE!$C$7:$C$1506,MATCH(K383,BARDAGE!$B$7:$B$1506,0)),"? hors registre"))</f>
        <v/>
      </c>
      <c r="M383" s="80"/>
      <c r="N383" s="81" t="str">
        <f aca="false">IF(M383="","",IFERROR(INDEX(BARDAGE!$C$7:$C$1506,MATCH(M383,BARDAGE!$B$7:$B$1506,0)),"? hors registre"))</f>
        <v/>
      </c>
      <c r="O383" s="80"/>
      <c r="P383" s="80"/>
      <c r="Q383" s="80"/>
      <c r="R383" s="82"/>
      <c r="S383" s="82"/>
      <c r="T383" s="80"/>
      <c r="U383" s="80"/>
      <c r="V383" s="82"/>
      <c r="W383" s="80"/>
      <c r="X383" s="80"/>
      <c r="Y383" s="80"/>
      <c r="Z383" s="80"/>
      <c r="AA383" s="82"/>
      <c r="AB383" s="80"/>
      <c r="AC383" s="80"/>
      <c r="AD383" s="80"/>
      <c r="AE383" s="80"/>
      <c r="AF383" s="82"/>
      <c r="AG383" s="80"/>
      <c r="AH383" s="80"/>
      <c r="AI383" s="82"/>
      <c r="AJ383" s="79"/>
      <c r="AK383" s="78" t="n">
        <f aca="false">IF(E383="","",(X383&lt;&gt;"")+(AC383&lt;&gt;"")+(AH383&lt;&gt;""))</f>
        <v>0</v>
      </c>
      <c r="AL383" s="81" t="str">
        <f aca="false">IF(AH383&lt;&gt;"",AH383,IF(AC383&lt;&gt;"",AC383,IF(X383&lt;&gt;"",X383,"")))</f>
        <v/>
      </c>
      <c r="AM383" s="83" t="str">
        <f aca="false">IF(E383="","",IF(R383="","À SOUDER",IF(U383="","VT EN ATTENTE",IF(U383="R","VT REJETÉ – À REPRENDRE",IF(AL383="","À RADIOGRAPHIER",IF(AL383="A","ACCEPTÉ",IF(AL383="NX","NX – RT À REFAIRE",IF(IF(AK383=1,Z383,IF(AK383=2,AE383,""))="A","RÉPARÉ – À RADIOGRAPHIER",IF(IF(AK383=1,Z383,IF(AK383=2,AE383,""))="R","VT REJETÉ – À REPRENDRE",IF(OR(AL383="CO",AL383="NT"),"COUPE – À RESOUDER","À RÉPARER"))))))))))</f>
        <v>À SOUDER</v>
      </c>
      <c r="AN383" s="81" t="str">
        <f aca="false">IF(AND(ISNUMBER(R383),OR(AM383="À RADIOGRAPHIER",AM383="RÉPARÉ – À RADIOGRAPHIER",AM383="NX – RT À REFAIRE",AM383="À RÉPARER",AM383="COUPE – À RESOUDER",AM383="VT REJETÉ – À REPRENDRE")),MAX(0,'PROGRAMME RT'!$C$4-R383),"")</f>
        <v/>
      </c>
      <c r="AO383" s="78" t="n">
        <f aca="false">IF(AND(OR(AM383="À RADIOGRAPHIER",AM383="RÉPARÉ – À RADIOGRAPHIER",AM383="NX – RT À REFAIRE"),OR('PROGRAMME RT'!$D$5="TOUTES",B383='PROGRAMME RT'!$D$5)),1,0)</f>
        <v>0</v>
      </c>
      <c r="AP383" s="78" t="str">
        <f aca="false">IF(AO383=1,SUM(AO$7:AO383),"")</f>
        <v/>
      </c>
      <c r="AQ383" s="78" t="n">
        <f aca="false">IF(AND(OR(X383="R",X383="NX",X383="NT",X383="CO"),OR('JOINTS DE RÉPARATION'!$D$5="TOUTES",B383='JOINTS DE RÉPARATION'!$D$5),OR('JOINTS DE RÉPARATION'!$L$4="TOUS",AM383&lt;&gt;"ACCEPTÉ")),1,0)</f>
        <v>0</v>
      </c>
      <c r="AR383" s="78" t="str">
        <f aca="false">IF(AQ383=1,SUM(AQ$7:AQ383),"")</f>
        <v/>
      </c>
    </row>
    <row r="384" customFormat="false" ht="15" hidden="false" customHeight="false" outlineLevel="0" collapsed="false">
      <c r="A384" s="78" t="n">
        <f aca="false">IF(E384="","",ROW()-6)</f>
        <v>378</v>
      </c>
      <c r="B384" s="79" t="s">
        <v>575</v>
      </c>
      <c r="C384" s="80"/>
      <c r="D384" s="80"/>
      <c r="E384" s="80" t="s">
        <v>513</v>
      </c>
      <c r="F384" s="80"/>
      <c r="G384" s="80" t="s">
        <v>106</v>
      </c>
      <c r="H384" s="80"/>
      <c r="I384" s="80"/>
      <c r="J384" s="80"/>
      <c r="K384" s="80"/>
      <c r="L384" s="81" t="str">
        <f aca="false">IF(K384="","",IFERROR(INDEX(BARDAGE!$C$7:$C$1506,MATCH(K384,BARDAGE!$B$7:$B$1506,0)),"? hors registre"))</f>
        <v/>
      </c>
      <c r="M384" s="80"/>
      <c r="N384" s="81" t="str">
        <f aca="false">IF(M384="","",IFERROR(INDEX(BARDAGE!$C$7:$C$1506,MATCH(M384,BARDAGE!$B$7:$B$1506,0)),"? hors registre"))</f>
        <v/>
      </c>
      <c r="O384" s="80"/>
      <c r="P384" s="80"/>
      <c r="Q384" s="80"/>
      <c r="R384" s="82"/>
      <c r="S384" s="82"/>
      <c r="T384" s="80"/>
      <c r="U384" s="80"/>
      <c r="V384" s="82"/>
      <c r="W384" s="80"/>
      <c r="X384" s="80"/>
      <c r="Y384" s="80"/>
      <c r="Z384" s="80"/>
      <c r="AA384" s="82"/>
      <c r="AB384" s="80"/>
      <c r="AC384" s="80"/>
      <c r="AD384" s="80"/>
      <c r="AE384" s="80"/>
      <c r="AF384" s="82"/>
      <c r="AG384" s="80"/>
      <c r="AH384" s="80"/>
      <c r="AI384" s="82"/>
      <c r="AJ384" s="79"/>
      <c r="AK384" s="78" t="n">
        <f aca="false">IF(E384="","",(X384&lt;&gt;"")+(AC384&lt;&gt;"")+(AH384&lt;&gt;""))</f>
        <v>0</v>
      </c>
      <c r="AL384" s="81" t="str">
        <f aca="false">IF(AH384&lt;&gt;"",AH384,IF(AC384&lt;&gt;"",AC384,IF(X384&lt;&gt;"",X384,"")))</f>
        <v/>
      </c>
      <c r="AM384" s="83" t="str">
        <f aca="false">IF(E384="","",IF(R384="","À SOUDER",IF(U384="","VT EN ATTENTE",IF(U384="R","VT REJETÉ – À REPRENDRE",IF(AL384="","À RADIOGRAPHIER",IF(AL384="A","ACCEPTÉ",IF(AL384="NX","NX – RT À REFAIRE",IF(IF(AK384=1,Z384,IF(AK384=2,AE384,""))="A","RÉPARÉ – À RADIOGRAPHIER",IF(IF(AK384=1,Z384,IF(AK384=2,AE384,""))="R","VT REJETÉ – À REPRENDRE",IF(OR(AL384="CO",AL384="NT"),"COUPE – À RESOUDER","À RÉPARER"))))))))))</f>
        <v>À SOUDER</v>
      </c>
      <c r="AN384" s="81" t="str">
        <f aca="false">IF(AND(ISNUMBER(R384),OR(AM384="À RADIOGRAPHIER",AM384="RÉPARÉ – À RADIOGRAPHIER",AM384="NX – RT À REFAIRE",AM384="À RÉPARER",AM384="COUPE – À RESOUDER",AM384="VT REJETÉ – À REPRENDRE")),MAX(0,'PROGRAMME RT'!$C$4-R384),"")</f>
        <v/>
      </c>
      <c r="AO384" s="78" t="n">
        <f aca="false">IF(AND(OR(AM384="À RADIOGRAPHIER",AM384="RÉPARÉ – À RADIOGRAPHIER",AM384="NX – RT À REFAIRE"),OR('PROGRAMME RT'!$D$5="TOUTES",B384='PROGRAMME RT'!$D$5)),1,0)</f>
        <v>0</v>
      </c>
      <c r="AP384" s="78" t="str">
        <f aca="false">IF(AO384=1,SUM(AO$7:AO384),"")</f>
        <v/>
      </c>
      <c r="AQ384" s="78" t="n">
        <f aca="false">IF(AND(OR(X384="R",X384="NX",X384="NT",X384="CO"),OR('JOINTS DE RÉPARATION'!$D$5="TOUTES",B384='JOINTS DE RÉPARATION'!$D$5),OR('JOINTS DE RÉPARATION'!$L$4="TOUS",AM384&lt;&gt;"ACCEPTÉ")),1,0)</f>
        <v>0</v>
      </c>
      <c r="AR384" s="78" t="str">
        <f aca="false">IF(AQ384=1,SUM(AQ$7:AQ384),"")</f>
        <v/>
      </c>
    </row>
    <row r="385" customFormat="false" ht="15" hidden="false" customHeight="false" outlineLevel="0" collapsed="false">
      <c r="A385" s="78" t="n">
        <f aca="false">IF(E385="","",ROW()-6)</f>
        <v>379</v>
      </c>
      <c r="B385" s="79" t="s">
        <v>575</v>
      </c>
      <c r="C385" s="80"/>
      <c r="D385" s="80"/>
      <c r="E385" s="80" t="s">
        <v>515</v>
      </c>
      <c r="F385" s="80"/>
      <c r="G385" s="80" t="s">
        <v>106</v>
      </c>
      <c r="H385" s="80"/>
      <c r="I385" s="80"/>
      <c r="J385" s="80"/>
      <c r="K385" s="80"/>
      <c r="L385" s="81" t="str">
        <f aca="false">IF(K385="","",IFERROR(INDEX(BARDAGE!$C$7:$C$1506,MATCH(K385,BARDAGE!$B$7:$B$1506,0)),"? hors registre"))</f>
        <v/>
      </c>
      <c r="M385" s="80"/>
      <c r="N385" s="81" t="str">
        <f aca="false">IF(M385="","",IFERROR(INDEX(BARDAGE!$C$7:$C$1506,MATCH(M385,BARDAGE!$B$7:$B$1506,0)),"? hors registre"))</f>
        <v/>
      </c>
      <c r="O385" s="80"/>
      <c r="P385" s="80"/>
      <c r="Q385" s="80"/>
      <c r="R385" s="82"/>
      <c r="S385" s="82"/>
      <c r="T385" s="80"/>
      <c r="U385" s="80"/>
      <c r="V385" s="82"/>
      <c r="W385" s="80"/>
      <c r="X385" s="80"/>
      <c r="Y385" s="80"/>
      <c r="Z385" s="80"/>
      <c r="AA385" s="82"/>
      <c r="AB385" s="80"/>
      <c r="AC385" s="80"/>
      <c r="AD385" s="80"/>
      <c r="AE385" s="80"/>
      <c r="AF385" s="82"/>
      <c r="AG385" s="80"/>
      <c r="AH385" s="80"/>
      <c r="AI385" s="82"/>
      <c r="AJ385" s="79"/>
      <c r="AK385" s="78" t="n">
        <f aca="false">IF(E385="","",(X385&lt;&gt;"")+(AC385&lt;&gt;"")+(AH385&lt;&gt;""))</f>
        <v>0</v>
      </c>
      <c r="AL385" s="81" t="str">
        <f aca="false">IF(AH385&lt;&gt;"",AH385,IF(AC385&lt;&gt;"",AC385,IF(X385&lt;&gt;"",X385,"")))</f>
        <v/>
      </c>
      <c r="AM385" s="83" t="str">
        <f aca="false">IF(E385="","",IF(R385="","À SOUDER",IF(U385="","VT EN ATTENTE",IF(U385="R","VT REJETÉ – À REPRENDRE",IF(AL385="","À RADIOGRAPHIER",IF(AL385="A","ACCEPTÉ",IF(AL385="NX","NX – RT À REFAIRE",IF(IF(AK385=1,Z385,IF(AK385=2,AE385,""))="A","RÉPARÉ – À RADIOGRAPHIER",IF(IF(AK385=1,Z385,IF(AK385=2,AE385,""))="R","VT REJETÉ – À REPRENDRE",IF(OR(AL385="CO",AL385="NT"),"COUPE – À RESOUDER","À RÉPARER"))))))))))</f>
        <v>À SOUDER</v>
      </c>
      <c r="AN385" s="81" t="str">
        <f aca="false">IF(AND(ISNUMBER(R385),OR(AM385="À RADIOGRAPHIER",AM385="RÉPARÉ – À RADIOGRAPHIER",AM385="NX – RT À REFAIRE",AM385="À RÉPARER",AM385="COUPE – À RESOUDER",AM385="VT REJETÉ – À REPRENDRE")),MAX(0,'PROGRAMME RT'!$C$4-R385),"")</f>
        <v/>
      </c>
      <c r="AO385" s="78" t="n">
        <f aca="false">IF(AND(OR(AM385="À RADIOGRAPHIER",AM385="RÉPARÉ – À RADIOGRAPHIER",AM385="NX – RT À REFAIRE"),OR('PROGRAMME RT'!$D$5="TOUTES",B385='PROGRAMME RT'!$D$5)),1,0)</f>
        <v>0</v>
      </c>
      <c r="AP385" s="78" t="str">
        <f aca="false">IF(AO385=1,SUM(AO$7:AO385),"")</f>
        <v/>
      </c>
      <c r="AQ385" s="78" t="n">
        <f aca="false">IF(AND(OR(X385="R",X385="NX",X385="NT",X385="CO"),OR('JOINTS DE RÉPARATION'!$D$5="TOUTES",B385='JOINTS DE RÉPARATION'!$D$5),OR('JOINTS DE RÉPARATION'!$L$4="TOUS",AM385&lt;&gt;"ACCEPTÉ")),1,0)</f>
        <v>0</v>
      </c>
      <c r="AR385" s="78" t="str">
        <f aca="false">IF(AQ385=1,SUM(AQ$7:AQ385),"")</f>
        <v/>
      </c>
    </row>
    <row r="386" customFormat="false" ht="15" hidden="false" customHeight="false" outlineLevel="0" collapsed="false">
      <c r="A386" s="78" t="n">
        <f aca="false">IF(E386="","",ROW()-6)</f>
        <v>380</v>
      </c>
      <c r="B386" s="79" t="s">
        <v>575</v>
      </c>
      <c r="C386" s="80"/>
      <c r="D386" s="80"/>
      <c r="E386" s="80" t="s">
        <v>517</v>
      </c>
      <c r="F386" s="80"/>
      <c r="G386" s="80" t="s">
        <v>106</v>
      </c>
      <c r="H386" s="80"/>
      <c r="I386" s="80"/>
      <c r="J386" s="80"/>
      <c r="K386" s="80"/>
      <c r="L386" s="81" t="str">
        <f aca="false">IF(K386="","",IFERROR(INDEX(BARDAGE!$C$7:$C$1506,MATCH(K386,BARDAGE!$B$7:$B$1506,0)),"? hors registre"))</f>
        <v/>
      </c>
      <c r="M386" s="80"/>
      <c r="N386" s="81" t="str">
        <f aca="false">IF(M386="","",IFERROR(INDEX(BARDAGE!$C$7:$C$1506,MATCH(M386,BARDAGE!$B$7:$B$1506,0)),"? hors registre"))</f>
        <v/>
      </c>
      <c r="O386" s="80"/>
      <c r="P386" s="80"/>
      <c r="Q386" s="80"/>
      <c r="R386" s="82"/>
      <c r="S386" s="82"/>
      <c r="T386" s="80"/>
      <c r="U386" s="80"/>
      <c r="V386" s="82"/>
      <c r="W386" s="80"/>
      <c r="X386" s="80"/>
      <c r="Y386" s="80"/>
      <c r="Z386" s="80"/>
      <c r="AA386" s="82"/>
      <c r="AB386" s="80"/>
      <c r="AC386" s="80"/>
      <c r="AD386" s="80"/>
      <c r="AE386" s="80"/>
      <c r="AF386" s="82"/>
      <c r="AG386" s="80"/>
      <c r="AH386" s="80"/>
      <c r="AI386" s="82"/>
      <c r="AJ386" s="79"/>
      <c r="AK386" s="78" t="n">
        <f aca="false">IF(E386="","",(X386&lt;&gt;"")+(AC386&lt;&gt;"")+(AH386&lt;&gt;""))</f>
        <v>0</v>
      </c>
      <c r="AL386" s="81" t="str">
        <f aca="false">IF(AH386&lt;&gt;"",AH386,IF(AC386&lt;&gt;"",AC386,IF(X386&lt;&gt;"",X386,"")))</f>
        <v/>
      </c>
      <c r="AM386" s="83" t="str">
        <f aca="false">IF(E386="","",IF(R386="","À SOUDER",IF(U386="","VT EN ATTENTE",IF(U386="R","VT REJETÉ – À REPRENDRE",IF(AL386="","À RADIOGRAPHIER",IF(AL386="A","ACCEPTÉ",IF(AL386="NX","NX – RT À REFAIRE",IF(IF(AK386=1,Z386,IF(AK386=2,AE386,""))="A","RÉPARÉ – À RADIOGRAPHIER",IF(IF(AK386=1,Z386,IF(AK386=2,AE386,""))="R","VT REJETÉ – À REPRENDRE",IF(OR(AL386="CO",AL386="NT"),"COUPE – À RESOUDER","À RÉPARER"))))))))))</f>
        <v>À SOUDER</v>
      </c>
      <c r="AN386" s="81" t="str">
        <f aca="false">IF(AND(ISNUMBER(R386),OR(AM386="À RADIOGRAPHIER",AM386="RÉPARÉ – À RADIOGRAPHIER",AM386="NX – RT À REFAIRE",AM386="À RÉPARER",AM386="COUPE – À RESOUDER",AM386="VT REJETÉ – À REPRENDRE")),MAX(0,'PROGRAMME RT'!$C$4-R386),"")</f>
        <v/>
      </c>
      <c r="AO386" s="78" t="n">
        <f aca="false">IF(AND(OR(AM386="À RADIOGRAPHIER",AM386="RÉPARÉ – À RADIOGRAPHIER",AM386="NX – RT À REFAIRE"),OR('PROGRAMME RT'!$D$5="TOUTES",B386='PROGRAMME RT'!$D$5)),1,0)</f>
        <v>0</v>
      </c>
      <c r="AP386" s="78" t="str">
        <f aca="false">IF(AO386=1,SUM(AO$7:AO386),"")</f>
        <v/>
      </c>
      <c r="AQ386" s="78" t="n">
        <f aca="false">IF(AND(OR(X386="R",X386="NX",X386="NT",X386="CO"),OR('JOINTS DE RÉPARATION'!$D$5="TOUTES",B386='JOINTS DE RÉPARATION'!$D$5),OR('JOINTS DE RÉPARATION'!$L$4="TOUS",AM386&lt;&gt;"ACCEPTÉ")),1,0)</f>
        <v>0</v>
      </c>
      <c r="AR386" s="78" t="str">
        <f aca="false">IF(AQ386=1,SUM(AQ$7:AQ386),"")</f>
        <v/>
      </c>
    </row>
    <row r="387" customFormat="false" ht="15" hidden="false" customHeight="false" outlineLevel="0" collapsed="false">
      <c r="A387" s="78" t="n">
        <f aca="false">IF(E387="","",ROW()-6)</f>
        <v>381</v>
      </c>
      <c r="B387" s="79" t="s">
        <v>575</v>
      </c>
      <c r="C387" s="80"/>
      <c r="D387" s="80"/>
      <c r="E387" s="80" t="s">
        <v>519</v>
      </c>
      <c r="F387" s="80"/>
      <c r="G387" s="80" t="s">
        <v>106</v>
      </c>
      <c r="H387" s="80"/>
      <c r="I387" s="80"/>
      <c r="J387" s="80"/>
      <c r="K387" s="80"/>
      <c r="L387" s="81" t="str">
        <f aca="false">IF(K387="","",IFERROR(INDEX(BARDAGE!$C$7:$C$1506,MATCH(K387,BARDAGE!$B$7:$B$1506,0)),"? hors registre"))</f>
        <v/>
      </c>
      <c r="M387" s="80"/>
      <c r="N387" s="81" t="str">
        <f aca="false">IF(M387="","",IFERROR(INDEX(BARDAGE!$C$7:$C$1506,MATCH(M387,BARDAGE!$B$7:$B$1506,0)),"? hors registre"))</f>
        <v/>
      </c>
      <c r="O387" s="80"/>
      <c r="P387" s="80"/>
      <c r="Q387" s="80"/>
      <c r="R387" s="82"/>
      <c r="S387" s="82"/>
      <c r="T387" s="80"/>
      <c r="U387" s="80"/>
      <c r="V387" s="82"/>
      <c r="W387" s="80"/>
      <c r="X387" s="80"/>
      <c r="Y387" s="80"/>
      <c r="Z387" s="80"/>
      <c r="AA387" s="82"/>
      <c r="AB387" s="80"/>
      <c r="AC387" s="80"/>
      <c r="AD387" s="80"/>
      <c r="AE387" s="80"/>
      <c r="AF387" s="82"/>
      <c r="AG387" s="80"/>
      <c r="AH387" s="80"/>
      <c r="AI387" s="82"/>
      <c r="AJ387" s="79"/>
      <c r="AK387" s="78" t="n">
        <f aca="false">IF(E387="","",(X387&lt;&gt;"")+(AC387&lt;&gt;"")+(AH387&lt;&gt;""))</f>
        <v>0</v>
      </c>
      <c r="AL387" s="81" t="str">
        <f aca="false">IF(AH387&lt;&gt;"",AH387,IF(AC387&lt;&gt;"",AC387,IF(X387&lt;&gt;"",X387,"")))</f>
        <v/>
      </c>
      <c r="AM387" s="83" t="str">
        <f aca="false">IF(E387="","",IF(R387="","À SOUDER",IF(U387="","VT EN ATTENTE",IF(U387="R","VT REJETÉ – À REPRENDRE",IF(AL387="","À RADIOGRAPHIER",IF(AL387="A","ACCEPTÉ",IF(AL387="NX","NX – RT À REFAIRE",IF(IF(AK387=1,Z387,IF(AK387=2,AE387,""))="A","RÉPARÉ – À RADIOGRAPHIER",IF(IF(AK387=1,Z387,IF(AK387=2,AE387,""))="R","VT REJETÉ – À REPRENDRE",IF(OR(AL387="CO",AL387="NT"),"COUPE – À RESOUDER","À RÉPARER"))))))))))</f>
        <v>À SOUDER</v>
      </c>
      <c r="AN387" s="81" t="str">
        <f aca="false">IF(AND(ISNUMBER(R387),OR(AM387="À RADIOGRAPHIER",AM387="RÉPARÉ – À RADIOGRAPHIER",AM387="NX – RT À REFAIRE",AM387="À RÉPARER",AM387="COUPE – À RESOUDER",AM387="VT REJETÉ – À REPRENDRE")),MAX(0,'PROGRAMME RT'!$C$4-R387),"")</f>
        <v/>
      </c>
      <c r="AO387" s="78" t="n">
        <f aca="false">IF(AND(OR(AM387="À RADIOGRAPHIER",AM387="RÉPARÉ – À RADIOGRAPHIER",AM387="NX – RT À REFAIRE"),OR('PROGRAMME RT'!$D$5="TOUTES",B387='PROGRAMME RT'!$D$5)),1,0)</f>
        <v>0</v>
      </c>
      <c r="AP387" s="78" t="str">
        <f aca="false">IF(AO387=1,SUM(AO$7:AO387),"")</f>
        <v/>
      </c>
      <c r="AQ387" s="78" t="n">
        <f aca="false">IF(AND(OR(X387="R",X387="NX",X387="NT",X387="CO"),OR('JOINTS DE RÉPARATION'!$D$5="TOUTES",B387='JOINTS DE RÉPARATION'!$D$5),OR('JOINTS DE RÉPARATION'!$L$4="TOUS",AM387&lt;&gt;"ACCEPTÉ")),1,0)</f>
        <v>0</v>
      </c>
      <c r="AR387" s="78" t="str">
        <f aca="false">IF(AQ387=1,SUM(AQ$7:AQ387),"")</f>
        <v/>
      </c>
    </row>
    <row r="388" customFormat="false" ht="15" hidden="false" customHeight="false" outlineLevel="0" collapsed="false">
      <c r="A388" s="78" t="n">
        <f aca="false">IF(E388="","",ROW()-6)</f>
        <v>382</v>
      </c>
      <c r="B388" s="79" t="s">
        <v>575</v>
      </c>
      <c r="C388" s="80"/>
      <c r="D388" s="80"/>
      <c r="E388" s="80" t="s">
        <v>521</v>
      </c>
      <c r="F388" s="80"/>
      <c r="G388" s="80" t="s">
        <v>106</v>
      </c>
      <c r="H388" s="80"/>
      <c r="I388" s="80"/>
      <c r="J388" s="80"/>
      <c r="K388" s="80"/>
      <c r="L388" s="81" t="str">
        <f aca="false">IF(K388="","",IFERROR(INDEX(BARDAGE!$C$7:$C$1506,MATCH(K388,BARDAGE!$B$7:$B$1506,0)),"? hors registre"))</f>
        <v/>
      </c>
      <c r="M388" s="80"/>
      <c r="N388" s="81" t="str">
        <f aca="false">IF(M388="","",IFERROR(INDEX(BARDAGE!$C$7:$C$1506,MATCH(M388,BARDAGE!$B$7:$B$1506,0)),"? hors registre"))</f>
        <v/>
      </c>
      <c r="O388" s="80"/>
      <c r="P388" s="80"/>
      <c r="Q388" s="80"/>
      <c r="R388" s="82"/>
      <c r="S388" s="82"/>
      <c r="T388" s="80"/>
      <c r="U388" s="80"/>
      <c r="V388" s="82"/>
      <c r="W388" s="80"/>
      <c r="X388" s="80"/>
      <c r="Y388" s="80"/>
      <c r="Z388" s="80"/>
      <c r="AA388" s="82"/>
      <c r="AB388" s="80"/>
      <c r="AC388" s="80"/>
      <c r="AD388" s="80"/>
      <c r="AE388" s="80"/>
      <c r="AF388" s="82"/>
      <c r="AG388" s="80"/>
      <c r="AH388" s="80"/>
      <c r="AI388" s="82"/>
      <c r="AJ388" s="79"/>
      <c r="AK388" s="78" t="n">
        <f aca="false">IF(E388="","",(X388&lt;&gt;"")+(AC388&lt;&gt;"")+(AH388&lt;&gt;""))</f>
        <v>0</v>
      </c>
      <c r="AL388" s="81" t="str">
        <f aca="false">IF(AH388&lt;&gt;"",AH388,IF(AC388&lt;&gt;"",AC388,IF(X388&lt;&gt;"",X388,"")))</f>
        <v/>
      </c>
      <c r="AM388" s="83" t="str">
        <f aca="false">IF(E388="","",IF(R388="","À SOUDER",IF(U388="","VT EN ATTENTE",IF(U388="R","VT REJETÉ – À REPRENDRE",IF(AL388="","À RADIOGRAPHIER",IF(AL388="A","ACCEPTÉ",IF(AL388="NX","NX – RT À REFAIRE",IF(IF(AK388=1,Z388,IF(AK388=2,AE388,""))="A","RÉPARÉ – À RADIOGRAPHIER",IF(IF(AK388=1,Z388,IF(AK388=2,AE388,""))="R","VT REJETÉ – À REPRENDRE",IF(OR(AL388="CO",AL388="NT"),"COUPE – À RESOUDER","À RÉPARER"))))))))))</f>
        <v>À SOUDER</v>
      </c>
      <c r="AN388" s="81" t="str">
        <f aca="false">IF(AND(ISNUMBER(R388),OR(AM388="À RADIOGRAPHIER",AM388="RÉPARÉ – À RADIOGRAPHIER",AM388="NX – RT À REFAIRE",AM388="À RÉPARER",AM388="COUPE – À RESOUDER",AM388="VT REJETÉ – À REPRENDRE")),MAX(0,'PROGRAMME RT'!$C$4-R388),"")</f>
        <v/>
      </c>
      <c r="AO388" s="78" t="n">
        <f aca="false">IF(AND(OR(AM388="À RADIOGRAPHIER",AM388="RÉPARÉ – À RADIOGRAPHIER",AM388="NX – RT À REFAIRE"),OR('PROGRAMME RT'!$D$5="TOUTES",B388='PROGRAMME RT'!$D$5)),1,0)</f>
        <v>0</v>
      </c>
      <c r="AP388" s="78" t="str">
        <f aca="false">IF(AO388=1,SUM(AO$7:AO388),"")</f>
        <v/>
      </c>
      <c r="AQ388" s="78" t="n">
        <f aca="false">IF(AND(OR(X388="R",X388="NX",X388="NT",X388="CO"),OR('JOINTS DE RÉPARATION'!$D$5="TOUTES",B388='JOINTS DE RÉPARATION'!$D$5),OR('JOINTS DE RÉPARATION'!$L$4="TOUS",AM388&lt;&gt;"ACCEPTÉ")),1,0)</f>
        <v>0</v>
      </c>
      <c r="AR388" s="78" t="str">
        <f aca="false">IF(AQ388=1,SUM(AQ$7:AQ388),"")</f>
        <v/>
      </c>
    </row>
    <row r="389" customFormat="false" ht="15" hidden="false" customHeight="false" outlineLevel="0" collapsed="false">
      <c r="A389" s="78" t="n">
        <f aca="false">IF(E389="","",ROW()-6)</f>
        <v>383</v>
      </c>
      <c r="B389" s="79" t="s">
        <v>575</v>
      </c>
      <c r="C389" s="80"/>
      <c r="D389" s="80"/>
      <c r="E389" s="80" t="s">
        <v>523</v>
      </c>
      <c r="F389" s="80"/>
      <c r="G389" s="80" t="s">
        <v>106</v>
      </c>
      <c r="H389" s="80"/>
      <c r="I389" s="80"/>
      <c r="J389" s="80"/>
      <c r="K389" s="80"/>
      <c r="L389" s="81" t="str">
        <f aca="false">IF(K389="","",IFERROR(INDEX(BARDAGE!$C$7:$C$1506,MATCH(K389,BARDAGE!$B$7:$B$1506,0)),"? hors registre"))</f>
        <v/>
      </c>
      <c r="M389" s="80"/>
      <c r="N389" s="81" t="str">
        <f aca="false">IF(M389="","",IFERROR(INDEX(BARDAGE!$C$7:$C$1506,MATCH(M389,BARDAGE!$B$7:$B$1506,0)),"? hors registre"))</f>
        <v/>
      </c>
      <c r="O389" s="80"/>
      <c r="P389" s="80"/>
      <c r="Q389" s="80"/>
      <c r="R389" s="82"/>
      <c r="S389" s="82"/>
      <c r="T389" s="80"/>
      <c r="U389" s="80"/>
      <c r="V389" s="82"/>
      <c r="W389" s="80"/>
      <c r="X389" s="80"/>
      <c r="Y389" s="80"/>
      <c r="Z389" s="80"/>
      <c r="AA389" s="82"/>
      <c r="AB389" s="80"/>
      <c r="AC389" s="80"/>
      <c r="AD389" s="80"/>
      <c r="AE389" s="80"/>
      <c r="AF389" s="82"/>
      <c r="AG389" s="80"/>
      <c r="AH389" s="80"/>
      <c r="AI389" s="82"/>
      <c r="AJ389" s="79"/>
      <c r="AK389" s="78" t="n">
        <f aca="false">IF(E389="","",(X389&lt;&gt;"")+(AC389&lt;&gt;"")+(AH389&lt;&gt;""))</f>
        <v>0</v>
      </c>
      <c r="AL389" s="81" t="str">
        <f aca="false">IF(AH389&lt;&gt;"",AH389,IF(AC389&lt;&gt;"",AC389,IF(X389&lt;&gt;"",X389,"")))</f>
        <v/>
      </c>
      <c r="AM389" s="83" t="str">
        <f aca="false">IF(E389="","",IF(R389="","À SOUDER",IF(U389="","VT EN ATTENTE",IF(U389="R","VT REJETÉ – À REPRENDRE",IF(AL389="","À RADIOGRAPHIER",IF(AL389="A","ACCEPTÉ",IF(AL389="NX","NX – RT À REFAIRE",IF(IF(AK389=1,Z389,IF(AK389=2,AE389,""))="A","RÉPARÉ – À RADIOGRAPHIER",IF(IF(AK389=1,Z389,IF(AK389=2,AE389,""))="R","VT REJETÉ – À REPRENDRE",IF(OR(AL389="CO",AL389="NT"),"COUPE – À RESOUDER","À RÉPARER"))))))))))</f>
        <v>À SOUDER</v>
      </c>
      <c r="AN389" s="81" t="str">
        <f aca="false">IF(AND(ISNUMBER(R389),OR(AM389="À RADIOGRAPHIER",AM389="RÉPARÉ – À RADIOGRAPHIER",AM389="NX – RT À REFAIRE",AM389="À RÉPARER",AM389="COUPE – À RESOUDER",AM389="VT REJETÉ – À REPRENDRE")),MAX(0,'PROGRAMME RT'!$C$4-R389),"")</f>
        <v/>
      </c>
      <c r="AO389" s="78" t="n">
        <f aca="false">IF(AND(OR(AM389="À RADIOGRAPHIER",AM389="RÉPARÉ – À RADIOGRAPHIER",AM389="NX – RT À REFAIRE"),OR('PROGRAMME RT'!$D$5="TOUTES",B389='PROGRAMME RT'!$D$5)),1,0)</f>
        <v>0</v>
      </c>
      <c r="AP389" s="78" t="str">
        <f aca="false">IF(AO389=1,SUM(AO$7:AO389),"")</f>
        <v/>
      </c>
      <c r="AQ389" s="78" t="n">
        <f aca="false">IF(AND(OR(X389="R",X389="NX",X389="NT",X389="CO"),OR('JOINTS DE RÉPARATION'!$D$5="TOUTES",B389='JOINTS DE RÉPARATION'!$D$5),OR('JOINTS DE RÉPARATION'!$L$4="TOUS",AM389&lt;&gt;"ACCEPTÉ")),1,0)</f>
        <v>0</v>
      </c>
      <c r="AR389" s="78" t="str">
        <f aca="false">IF(AQ389=1,SUM(AQ$7:AQ389),"")</f>
        <v/>
      </c>
    </row>
    <row r="390" customFormat="false" ht="15" hidden="false" customHeight="false" outlineLevel="0" collapsed="false">
      <c r="A390" s="78" t="n">
        <f aca="false">IF(E390="","",ROW()-6)</f>
        <v>384</v>
      </c>
      <c r="B390" s="79" t="s">
        <v>575</v>
      </c>
      <c r="C390" s="80"/>
      <c r="D390" s="80"/>
      <c r="E390" s="80" t="s">
        <v>525</v>
      </c>
      <c r="F390" s="80"/>
      <c r="G390" s="80" t="s">
        <v>106</v>
      </c>
      <c r="H390" s="80"/>
      <c r="I390" s="80"/>
      <c r="J390" s="80"/>
      <c r="K390" s="80"/>
      <c r="L390" s="81" t="str">
        <f aca="false">IF(K390="","",IFERROR(INDEX(BARDAGE!$C$7:$C$1506,MATCH(K390,BARDAGE!$B$7:$B$1506,0)),"? hors registre"))</f>
        <v/>
      </c>
      <c r="M390" s="80"/>
      <c r="N390" s="81" t="str">
        <f aca="false">IF(M390="","",IFERROR(INDEX(BARDAGE!$C$7:$C$1506,MATCH(M390,BARDAGE!$B$7:$B$1506,0)),"? hors registre"))</f>
        <v/>
      </c>
      <c r="O390" s="80"/>
      <c r="P390" s="80"/>
      <c r="Q390" s="80"/>
      <c r="R390" s="82"/>
      <c r="S390" s="82"/>
      <c r="T390" s="80"/>
      <c r="U390" s="80"/>
      <c r="V390" s="82"/>
      <c r="W390" s="80"/>
      <c r="X390" s="80"/>
      <c r="Y390" s="80"/>
      <c r="Z390" s="80"/>
      <c r="AA390" s="82"/>
      <c r="AB390" s="80"/>
      <c r="AC390" s="80"/>
      <c r="AD390" s="80"/>
      <c r="AE390" s="80"/>
      <c r="AF390" s="82"/>
      <c r="AG390" s="80"/>
      <c r="AH390" s="80"/>
      <c r="AI390" s="82"/>
      <c r="AJ390" s="79"/>
      <c r="AK390" s="78" t="n">
        <f aca="false">IF(E390="","",(X390&lt;&gt;"")+(AC390&lt;&gt;"")+(AH390&lt;&gt;""))</f>
        <v>0</v>
      </c>
      <c r="AL390" s="81" t="str">
        <f aca="false">IF(AH390&lt;&gt;"",AH390,IF(AC390&lt;&gt;"",AC390,IF(X390&lt;&gt;"",X390,"")))</f>
        <v/>
      </c>
      <c r="AM390" s="83" t="str">
        <f aca="false">IF(E390="","",IF(R390="","À SOUDER",IF(U390="","VT EN ATTENTE",IF(U390="R","VT REJETÉ – À REPRENDRE",IF(AL390="","À RADIOGRAPHIER",IF(AL390="A","ACCEPTÉ",IF(AL390="NX","NX – RT À REFAIRE",IF(IF(AK390=1,Z390,IF(AK390=2,AE390,""))="A","RÉPARÉ – À RADIOGRAPHIER",IF(IF(AK390=1,Z390,IF(AK390=2,AE390,""))="R","VT REJETÉ – À REPRENDRE",IF(OR(AL390="CO",AL390="NT"),"COUPE – À RESOUDER","À RÉPARER"))))))))))</f>
        <v>À SOUDER</v>
      </c>
      <c r="AN390" s="81" t="str">
        <f aca="false">IF(AND(ISNUMBER(R390),OR(AM390="À RADIOGRAPHIER",AM390="RÉPARÉ – À RADIOGRAPHIER",AM390="NX – RT À REFAIRE",AM390="À RÉPARER",AM390="COUPE – À RESOUDER",AM390="VT REJETÉ – À REPRENDRE")),MAX(0,'PROGRAMME RT'!$C$4-R390),"")</f>
        <v/>
      </c>
      <c r="AO390" s="78" t="n">
        <f aca="false">IF(AND(OR(AM390="À RADIOGRAPHIER",AM390="RÉPARÉ – À RADIOGRAPHIER",AM390="NX – RT À REFAIRE"),OR('PROGRAMME RT'!$D$5="TOUTES",B390='PROGRAMME RT'!$D$5)),1,0)</f>
        <v>0</v>
      </c>
      <c r="AP390" s="78" t="str">
        <f aca="false">IF(AO390=1,SUM(AO$7:AO390),"")</f>
        <v/>
      </c>
      <c r="AQ390" s="78" t="n">
        <f aca="false">IF(AND(OR(X390="R",X390="NX",X390="NT",X390="CO"),OR('JOINTS DE RÉPARATION'!$D$5="TOUTES",B390='JOINTS DE RÉPARATION'!$D$5),OR('JOINTS DE RÉPARATION'!$L$4="TOUS",AM390&lt;&gt;"ACCEPTÉ")),1,0)</f>
        <v>0</v>
      </c>
      <c r="AR390" s="78" t="str">
        <f aca="false">IF(AQ390=1,SUM(AQ$7:AQ390),"")</f>
        <v/>
      </c>
    </row>
    <row r="391" customFormat="false" ht="15" hidden="false" customHeight="false" outlineLevel="0" collapsed="false">
      <c r="A391" s="78" t="n">
        <f aca="false">IF(E391="","",ROW()-6)</f>
        <v>385</v>
      </c>
      <c r="B391" s="79" t="s">
        <v>575</v>
      </c>
      <c r="C391" s="80"/>
      <c r="D391" s="80"/>
      <c r="E391" s="80" t="s">
        <v>527</v>
      </c>
      <c r="F391" s="80"/>
      <c r="G391" s="80" t="s">
        <v>106</v>
      </c>
      <c r="H391" s="80"/>
      <c r="I391" s="80"/>
      <c r="J391" s="80"/>
      <c r="K391" s="80"/>
      <c r="L391" s="81" t="str">
        <f aca="false">IF(K391="","",IFERROR(INDEX(BARDAGE!$C$7:$C$1506,MATCH(K391,BARDAGE!$B$7:$B$1506,0)),"? hors registre"))</f>
        <v/>
      </c>
      <c r="M391" s="80"/>
      <c r="N391" s="81" t="str">
        <f aca="false">IF(M391="","",IFERROR(INDEX(BARDAGE!$C$7:$C$1506,MATCH(M391,BARDAGE!$B$7:$B$1506,0)),"? hors registre"))</f>
        <v/>
      </c>
      <c r="O391" s="80"/>
      <c r="P391" s="80"/>
      <c r="Q391" s="80"/>
      <c r="R391" s="82"/>
      <c r="S391" s="82"/>
      <c r="T391" s="80"/>
      <c r="U391" s="80"/>
      <c r="V391" s="82"/>
      <c r="W391" s="80"/>
      <c r="X391" s="80"/>
      <c r="Y391" s="80"/>
      <c r="Z391" s="80"/>
      <c r="AA391" s="82"/>
      <c r="AB391" s="80"/>
      <c r="AC391" s="80"/>
      <c r="AD391" s="80"/>
      <c r="AE391" s="80"/>
      <c r="AF391" s="82"/>
      <c r="AG391" s="80"/>
      <c r="AH391" s="80"/>
      <c r="AI391" s="82"/>
      <c r="AJ391" s="79"/>
      <c r="AK391" s="78" t="n">
        <f aca="false">IF(E391="","",(X391&lt;&gt;"")+(AC391&lt;&gt;"")+(AH391&lt;&gt;""))</f>
        <v>0</v>
      </c>
      <c r="AL391" s="81" t="str">
        <f aca="false">IF(AH391&lt;&gt;"",AH391,IF(AC391&lt;&gt;"",AC391,IF(X391&lt;&gt;"",X391,"")))</f>
        <v/>
      </c>
      <c r="AM391" s="83" t="str">
        <f aca="false">IF(E391="","",IF(R391="","À SOUDER",IF(U391="","VT EN ATTENTE",IF(U391="R","VT REJETÉ – À REPRENDRE",IF(AL391="","À RADIOGRAPHIER",IF(AL391="A","ACCEPTÉ",IF(AL391="NX","NX – RT À REFAIRE",IF(IF(AK391=1,Z391,IF(AK391=2,AE391,""))="A","RÉPARÉ – À RADIOGRAPHIER",IF(IF(AK391=1,Z391,IF(AK391=2,AE391,""))="R","VT REJETÉ – À REPRENDRE",IF(OR(AL391="CO",AL391="NT"),"COUPE – À RESOUDER","À RÉPARER"))))))))))</f>
        <v>À SOUDER</v>
      </c>
      <c r="AN391" s="81" t="str">
        <f aca="false">IF(AND(ISNUMBER(R391),OR(AM391="À RADIOGRAPHIER",AM391="RÉPARÉ – À RADIOGRAPHIER",AM391="NX – RT À REFAIRE",AM391="À RÉPARER",AM391="COUPE – À RESOUDER",AM391="VT REJETÉ – À REPRENDRE")),MAX(0,'PROGRAMME RT'!$C$4-R391),"")</f>
        <v/>
      </c>
      <c r="AO391" s="78" t="n">
        <f aca="false">IF(AND(OR(AM391="À RADIOGRAPHIER",AM391="RÉPARÉ – À RADIOGRAPHIER",AM391="NX – RT À REFAIRE"),OR('PROGRAMME RT'!$D$5="TOUTES",B391='PROGRAMME RT'!$D$5)),1,0)</f>
        <v>0</v>
      </c>
      <c r="AP391" s="78" t="str">
        <f aca="false">IF(AO391=1,SUM(AO$7:AO391),"")</f>
        <v/>
      </c>
      <c r="AQ391" s="78" t="n">
        <f aca="false">IF(AND(OR(X391="R",X391="NX",X391="NT",X391="CO"),OR('JOINTS DE RÉPARATION'!$D$5="TOUTES",B391='JOINTS DE RÉPARATION'!$D$5),OR('JOINTS DE RÉPARATION'!$L$4="TOUS",AM391&lt;&gt;"ACCEPTÉ")),1,0)</f>
        <v>0</v>
      </c>
      <c r="AR391" s="78" t="str">
        <f aca="false">IF(AQ391=1,SUM(AQ$7:AQ391),"")</f>
        <v/>
      </c>
    </row>
    <row r="392" customFormat="false" ht="15" hidden="false" customHeight="false" outlineLevel="0" collapsed="false">
      <c r="A392" s="78" t="n">
        <f aca="false">IF(E392="","",ROW()-6)</f>
        <v>386</v>
      </c>
      <c r="B392" s="79" t="s">
        <v>575</v>
      </c>
      <c r="C392" s="80"/>
      <c r="D392" s="80"/>
      <c r="E392" s="80" t="s">
        <v>529</v>
      </c>
      <c r="F392" s="80"/>
      <c r="G392" s="80" t="s">
        <v>106</v>
      </c>
      <c r="H392" s="80"/>
      <c r="I392" s="80"/>
      <c r="J392" s="80"/>
      <c r="K392" s="80"/>
      <c r="L392" s="81" t="str">
        <f aca="false">IF(K392="","",IFERROR(INDEX(BARDAGE!$C$7:$C$1506,MATCH(K392,BARDAGE!$B$7:$B$1506,0)),"? hors registre"))</f>
        <v/>
      </c>
      <c r="M392" s="80"/>
      <c r="N392" s="81" t="str">
        <f aca="false">IF(M392="","",IFERROR(INDEX(BARDAGE!$C$7:$C$1506,MATCH(M392,BARDAGE!$B$7:$B$1506,0)),"? hors registre"))</f>
        <v/>
      </c>
      <c r="O392" s="80"/>
      <c r="P392" s="80"/>
      <c r="Q392" s="80"/>
      <c r="R392" s="82"/>
      <c r="S392" s="82"/>
      <c r="T392" s="80"/>
      <c r="U392" s="80"/>
      <c r="V392" s="82"/>
      <c r="W392" s="80"/>
      <c r="X392" s="80"/>
      <c r="Y392" s="80"/>
      <c r="Z392" s="80"/>
      <c r="AA392" s="82"/>
      <c r="AB392" s="80"/>
      <c r="AC392" s="80"/>
      <c r="AD392" s="80"/>
      <c r="AE392" s="80"/>
      <c r="AF392" s="82"/>
      <c r="AG392" s="80"/>
      <c r="AH392" s="80"/>
      <c r="AI392" s="82"/>
      <c r="AJ392" s="79"/>
      <c r="AK392" s="78" t="n">
        <f aca="false">IF(E392="","",(X392&lt;&gt;"")+(AC392&lt;&gt;"")+(AH392&lt;&gt;""))</f>
        <v>0</v>
      </c>
      <c r="AL392" s="81" t="str">
        <f aca="false">IF(AH392&lt;&gt;"",AH392,IF(AC392&lt;&gt;"",AC392,IF(X392&lt;&gt;"",X392,"")))</f>
        <v/>
      </c>
      <c r="AM392" s="83" t="str">
        <f aca="false">IF(E392="","",IF(R392="","À SOUDER",IF(U392="","VT EN ATTENTE",IF(U392="R","VT REJETÉ – À REPRENDRE",IF(AL392="","À RADIOGRAPHIER",IF(AL392="A","ACCEPTÉ",IF(AL392="NX","NX – RT À REFAIRE",IF(IF(AK392=1,Z392,IF(AK392=2,AE392,""))="A","RÉPARÉ – À RADIOGRAPHIER",IF(IF(AK392=1,Z392,IF(AK392=2,AE392,""))="R","VT REJETÉ – À REPRENDRE",IF(OR(AL392="CO",AL392="NT"),"COUPE – À RESOUDER","À RÉPARER"))))))))))</f>
        <v>À SOUDER</v>
      </c>
      <c r="AN392" s="81" t="str">
        <f aca="false">IF(AND(ISNUMBER(R392),OR(AM392="À RADIOGRAPHIER",AM392="RÉPARÉ – À RADIOGRAPHIER",AM392="NX – RT À REFAIRE",AM392="À RÉPARER",AM392="COUPE – À RESOUDER",AM392="VT REJETÉ – À REPRENDRE")),MAX(0,'PROGRAMME RT'!$C$4-R392),"")</f>
        <v/>
      </c>
      <c r="AO392" s="78" t="n">
        <f aca="false">IF(AND(OR(AM392="À RADIOGRAPHIER",AM392="RÉPARÉ – À RADIOGRAPHIER",AM392="NX – RT À REFAIRE"),OR('PROGRAMME RT'!$D$5="TOUTES",B392='PROGRAMME RT'!$D$5)),1,0)</f>
        <v>0</v>
      </c>
      <c r="AP392" s="78" t="str">
        <f aca="false">IF(AO392=1,SUM(AO$7:AO392),"")</f>
        <v/>
      </c>
      <c r="AQ392" s="78" t="n">
        <f aca="false">IF(AND(OR(X392="R",X392="NX",X392="NT",X392="CO"),OR('JOINTS DE RÉPARATION'!$D$5="TOUTES",B392='JOINTS DE RÉPARATION'!$D$5),OR('JOINTS DE RÉPARATION'!$L$4="TOUS",AM392&lt;&gt;"ACCEPTÉ")),1,0)</f>
        <v>0</v>
      </c>
      <c r="AR392" s="78" t="str">
        <f aca="false">IF(AQ392=1,SUM(AQ$7:AQ392),"")</f>
        <v/>
      </c>
    </row>
    <row r="393" customFormat="false" ht="15" hidden="false" customHeight="false" outlineLevel="0" collapsed="false">
      <c r="A393" s="78" t="n">
        <f aca="false">IF(E393="","",ROW()-6)</f>
        <v>387</v>
      </c>
      <c r="B393" s="79" t="s">
        <v>575</v>
      </c>
      <c r="C393" s="80"/>
      <c r="D393" s="80"/>
      <c r="E393" s="80" t="s">
        <v>531</v>
      </c>
      <c r="F393" s="80"/>
      <c r="G393" s="80" t="s">
        <v>106</v>
      </c>
      <c r="H393" s="80"/>
      <c r="I393" s="80"/>
      <c r="J393" s="80"/>
      <c r="K393" s="80"/>
      <c r="L393" s="81" t="str">
        <f aca="false">IF(K393="","",IFERROR(INDEX(BARDAGE!$C$7:$C$1506,MATCH(K393,BARDAGE!$B$7:$B$1506,0)),"? hors registre"))</f>
        <v/>
      </c>
      <c r="M393" s="80"/>
      <c r="N393" s="81" t="str">
        <f aca="false">IF(M393="","",IFERROR(INDEX(BARDAGE!$C$7:$C$1506,MATCH(M393,BARDAGE!$B$7:$B$1506,0)),"? hors registre"))</f>
        <v/>
      </c>
      <c r="O393" s="80"/>
      <c r="P393" s="80"/>
      <c r="Q393" s="80"/>
      <c r="R393" s="82"/>
      <c r="S393" s="82"/>
      <c r="T393" s="80"/>
      <c r="U393" s="80"/>
      <c r="V393" s="82"/>
      <c r="W393" s="80"/>
      <c r="X393" s="80"/>
      <c r="Y393" s="80"/>
      <c r="Z393" s="80"/>
      <c r="AA393" s="82"/>
      <c r="AB393" s="80"/>
      <c r="AC393" s="80"/>
      <c r="AD393" s="80"/>
      <c r="AE393" s="80"/>
      <c r="AF393" s="82"/>
      <c r="AG393" s="80"/>
      <c r="AH393" s="80"/>
      <c r="AI393" s="82"/>
      <c r="AJ393" s="79"/>
      <c r="AK393" s="78" t="n">
        <f aca="false">IF(E393="","",(X393&lt;&gt;"")+(AC393&lt;&gt;"")+(AH393&lt;&gt;""))</f>
        <v>0</v>
      </c>
      <c r="AL393" s="81" t="str">
        <f aca="false">IF(AH393&lt;&gt;"",AH393,IF(AC393&lt;&gt;"",AC393,IF(X393&lt;&gt;"",X393,"")))</f>
        <v/>
      </c>
      <c r="AM393" s="83" t="str">
        <f aca="false">IF(E393="","",IF(R393="","À SOUDER",IF(U393="","VT EN ATTENTE",IF(U393="R","VT REJETÉ – À REPRENDRE",IF(AL393="","À RADIOGRAPHIER",IF(AL393="A","ACCEPTÉ",IF(AL393="NX","NX – RT À REFAIRE",IF(IF(AK393=1,Z393,IF(AK393=2,AE393,""))="A","RÉPARÉ – À RADIOGRAPHIER",IF(IF(AK393=1,Z393,IF(AK393=2,AE393,""))="R","VT REJETÉ – À REPRENDRE",IF(OR(AL393="CO",AL393="NT"),"COUPE – À RESOUDER","À RÉPARER"))))))))))</f>
        <v>À SOUDER</v>
      </c>
      <c r="AN393" s="81" t="str">
        <f aca="false">IF(AND(ISNUMBER(R393),OR(AM393="À RADIOGRAPHIER",AM393="RÉPARÉ – À RADIOGRAPHIER",AM393="NX – RT À REFAIRE",AM393="À RÉPARER",AM393="COUPE – À RESOUDER",AM393="VT REJETÉ – À REPRENDRE")),MAX(0,'PROGRAMME RT'!$C$4-R393),"")</f>
        <v/>
      </c>
      <c r="AO393" s="78" t="n">
        <f aca="false">IF(AND(OR(AM393="À RADIOGRAPHIER",AM393="RÉPARÉ – À RADIOGRAPHIER",AM393="NX – RT À REFAIRE"),OR('PROGRAMME RT'!$D$5="TOUTES",B393='PROGRAMME RT'!$D$5)),1,0)</f>
        <v>0</v>
      </c>
      <c r="AP393" s="78" t="str">
        <f aca="false">IF(AO393=1,SUM(AO$7:AO393),"")</f>
        <v/>
      </c>
      <c r="AQ393" s="78" t="n">
        <f aca="false">IF(AND(OR(X393="R",X393="NX",X393="NT",X393="CO"),OR('JOINTS DE RÉPARATION'!$D$5="TOUTES",B393='JOINTS DE RÉPARATION'!$D$5),OR('JOINTS DE RÉPARATION'!$L$4="TOUS",AM393&lt;&gt;"ACCEPTÉ")),1,0)</f>
        <v>0</v>
      </c>
      <c r="AR393" s="78" t="str">
        <f aca="false">IF(AQ393=1,SUM(AQ$7:AQ393),"")</f>
        <v/>
      </c>
    </row>
    <row r="394" customFormat="false" ht="15" hidden="false" customHeight="false" outlineLevel="0" collapsed="false">
      <c r="A394" s="78" t="n">
        <f aca="false">IF(E394="","",ROW()-6)</f>
        <v>388</v>
      </c>
      <c r="B394" s="79" t="s">
        <v>575</v>
      </c>
      <c r="C394" s="80"/>
      <c r="D394" s="80"/>
      <c r="E394" s="80" t="s">
        <v>534</v>
      </c>
      <c r="F394" s="80"/>
      <c r="G394" s="80" t="s">
        <v>106</v>
      </c>
      <c r="H394" s="80"/>
      <c r="I394" s="80"/>
      <c r="J394" s="80"/>
      <c r="K394" s="80"/>
      <c r="L394" s="81" t="str">
        <f aca="false">IF(K394="","",IFERROR(INDEX(BARDAGE!$C$7:$C$1506,MATCH(K394,BARDAGE!$B$7:$B$1506,0)),"? hors registre"))</f>
        <v/>
      </c>
      <c r="M394" s="80"/>
      <c r="N394" s="81" t="str">
        <f aca="false">IF(M394="","",IFERROR(INDEX(BARDAGE!$C$7:$C$1506,MATCH(M394,BARDAGE!$B$7:$B$1506,0)),"? hors registre"))</f>
        <v/>
      </c>
      <c r="O394" s="80"/>
      <c r="P394" s="80"/>
      <c r="Q394" s="80"/>
      <c r="R394" s="82"/>
      <c r="S394" s="82"/>
      <c r="T394" s="80"/>
      <c r="U394" s="80"/>
      <c r="V394" s="82"/>
      <c r="W394" s="80"/>
      <c r="X394" s="80"/>
      <c r="Y394" s="80"/>
      <c r="Z394" s="80"/>
      <c r="AA394" s="82"/>
      <c r="AB394" s="80"/>
      <c r="AC394" s="80"/>
      <c r="AD394" s="80"/>
      <c r="AE394" s="80"/>
      <c r="AF394" s="82"/>
      <c r="AG394" s="80"/>
      <c r="AH394" s="80"/>
      <c r="AI394" s="82"/>
      <c r="AJ394" s="79"/>
      <c r="AK394" s="78" t="n">
        <f aca="false">IF(E394="","",(X394&lt;&gt;"")+(AC394&lt;&gt;"")+(AH394&lt;&gt;""))</f>
        <v>0</v>
      </c>
      <c r="AL394" s="81" t="str">
        <f aca="false">IF(AH394&lt;&gt;"",AH394,IF(AC394&lt;&gt;"",AC394,IF(X394&lt;&gt;"",X394,"")))</f>
        <v/>
      </c>
      <c r="AM394" s="83" t="str">
        <f aca="false">IF(E394="","",IF(R394="","À SOUDER",IF(U394="","VT EN ATTENTE",IF(U394="R","VT REJETÉ – À REPRENDRE",IF(AL394="","À RADIOGRAPHIER",IF(AL394="A","ACCEPTÉ",IF(AL394="NX","NX – RT À REFAIRE",IF(IF(AK394=1,Z394,IF(AK394=2,AE394,""))="A","RÉPARÉ – À RADIOGRAPHIER",IF(IF(AK394=1,Z394,IF(AK394=2,AE394,""))="R","VT REJETÉ – À REPRENDRE",IF(OR(AL394="CO",AL394="NT"),"COUPE – À RESOUDER","À RÉPARER"))))))))))</f>
        <v>À SOUDER</v>
      </c>
      <c r="AN394" s="81" t="str">
        <f aca="false">IF(AND(ISNUMBER(R394),OR(AM394="À RADIOGRAPHIER",AM394="RÉPARÉ – À RADIOGRAPHIER",AM394="NX – RT À REFAIRE",AM394="À RÉPARER",AM394="COUPE – À RESOUDER",AM394="VT REJETÉ – À REPRENDRE")),MAX(0,'PROGRAMME RT'!$C$4-R394),"")</f>
        <v/>
      </c>
      <c r="AO394" s="78" t="n">
        <f aca="false">IF(AND(OR(AM394="À RADIOGRAPHIER",AM394="RÉPARÉ – À RADIOGRAPHIER",AM394="NX – RT À REFAIRE"),OR('PROGRAMME RT'!$D$5="TOUTES",B394='PROGRAMME RT'!$D$5)),1,0)</f>
        <v>0</v>
      </c>
      <c r="AP394" s="78" t="str">
        <f aca="false">IF(AO394=1,SUM(AO$7:AO394),"")</f>
        <v/>
      </c>
      <c r="AQ394" s="78" t="n">
        <f aca="false">IF(AND(OR(X394="R",X394="NX",X394="NT",X394="CO"),OR('JOINTS DE RÉPARATION'!$D$5="TOUTES",B394='JOINTS DE RÉPARATION'!$D$5),OR('JOINTS DE RÉPARATION'!$L$4="TOUS",AM394&lt;&gt;"ACCEPTÉ")),1,0)</f>
        <v>0</v>
      </c>
      <c r="AR394" s="78" t="str">
        <f aca="false">IF(AQ394=1,SUM(AQ$7:AQ394),"")</f>
        <v/>
      </c>
    </row>
    <row r="395" customFormat="false" ht="15" hidden="false" customHeight="false" outlineLevel="0" collapsed="false">
      <c r="A395" s="78" t="n">
        <f aca="false">IF(E395="","",ROW()-6)</f>
        <v>389</v>
      </c>
      <c r="B395" s="79" t="s">
        <v>575</v>
      </c>
      <c r="C395" s="80"/>
      <c r="D395" s="80"/>
      <c r="E395" s="80" t="s">
        <v>536</v>
      </c>
      <c r="F395" s="80"/>
      <c r="G395" s="80" t="s">
        <v>106</v>
      </c>
      <c r="H395" s="80"/>
      <c r="I395" s="80"/>
      <c r="J395" s="80"/>
      <c r="K395" s="80"/>
      <c r="L395" s="81" t="str">
        <f aca="false">IF(K395="","",IFERROR(INDEX(BARDAGE!$C$7:$C$1506,MATCH(K395,BARDAGE!$B$7:$B$1506,0)),"? hors registre"))</f>
        <v/>
      </c>
      <c r="M395" s="80"/>
      <c r="N395" s="81" t="str">
        <f aca="false">IF(M395="","",IFERROR(INDEX(BARDAGE!$C$7:$C$1506,MATCH(M395,BARDAGE!$B$7:$B$1506,0)),"? hors registre"))</f>
        <v/>
      </c>
      <c r="O395" s="80"/>
      <c r="P395" s="80"/>
      <c r="Q395" s="80"/>
      <c r="R395" s="82"/>
      <c r="S395" s="82"/>
      <c r="T395" s="80"/>
      <c r="U395" s="80"/>
      <c r="V395" s="82"/>
      <c r="W395" s="80"/>
      <c r="X395" s="80"/>
      <c r="Y395" s="80"/>
      <c r="Z395" s="80"/>
      <c r="AA395" s="82"/>
      <c r="AB395" s="80"/>
      <c r="AC395" s="80"/>
      <c r="AD395" s="80"/>
      <c r="AE395" s="80"/>
      <c r="AF395" s="82"/>
      <c r="AG395" s="80"/>
      <c r="AH395" s="80"/>
      <c r="AI395" s="82"/>
      <c r="AJ395" s="79"/>
      <c r="AK395" s="78" t="n">
        <f aca="false">IF(E395="","",(X395&lt;&gt;"")+(AC395&lt;&gt;"")+(AH395&lt;&gt;""))</f>
        <v>0</v>
      </c>
      <c r="AL395" s="81" t="str">
        <f aca="false">IF(AH395&lt;&gt;"",AH395,IF(AC395&lt;&gt;"",AC395,IF(X395&lt;&gt;"",X395,"")))</f>
        <v/>
      </c>
      <c r="AM395" s="83" t="str">
        <f aca="false">IF(E395="","",IF(R395="","À SOUDER",IF(U395="","VT EN ATTENTE",IF(U395="R","VT REJETÉ – À REPRENDRE",IF(AL395="","À RADIOGRAPHIER",IF(AL395="A","ACCEPTÉ",IF(AL395="NX","NX – RT À REFAIRE",IF(IF(AK395=1,Z395,IF(AK395=2,AE395,""))="A","RÉPARÉ – À RADIOGRAPHIER",IF(IF(AK395=1,Z395,IF(AK395=2,AE395,""))="R","VT REJETÉ – À REPRENDRE",IF(OR(AL395="CO",AL395="NT"),"COUPE – À RESOUDER","À RÉPARER"))))))))))</f>
        <v>À SOUDER</v>
      </c>
      <c r="AN395" s="81" t="str">
        <f aca="false">IF(AND(ISNUMBER(R395),OR(AM395="À RADIOGRAPHIER",AM395="RÉPARÉ – À RADIOGRAPHIER",AM395="NX – RT À REFAIRE",AM395="À RÉPARER",AM395="COUPE – À RESOUDER",AM395="VT REJETÉ – À REPRENDRE")),MAX(0,'PROGRAMME RT'!$C$4-R395),"")</f>
        <v/>
      </c>
      <c r="AO395" s="78" t="n">
        <f aca="false">IF(AND(OR(AM395="À RADIOGRAPHIER",AM395="RÉPARÉ – À RADIOGRAPHIER",AM395="NX – RT À REFAIRE"),OR('PROGRAMME RT'!$D$5="TOUTES",B395='PROGRAMME RT'!$D$5)),1,0)</f>
        <v>0</v>
      </c>
      <c r="AP395" s="78" t="str">
        <f aca="false">IF(AO395=1,SUM(AO$7:AO395),"")</f>
        <v/>
      </c>
      <c r="AQ395" s="78" t="n">
        <f aca="false">IF(AND(OR(X395="R",X395="NX",X395="NT",X395="CO"),OR('JOINTS DE RÉPARATION'!$D$5="TOUTES",B395='JOINTS DE RÉPARATION'!$D$5),OR('JOINTS DE RÉPARATION'!$L$4="TOUS",AM395&lt;&gt;"ACCEPTÉ")),1,0)</f>
        <v>0</v>
      </c>
      <c r="AR395" s="78" t="str">
        <f aca="false">IF(AQ395=1,SUM(AQ$7:AQ395),"")</f>
        <v/>
      </c>
    </row>
    <row r="396" customFormat="false" ht="15" hidden="false" customHeight="false" outlineLevel="0" collapsed="false">
      <c r="A396" s="78" t="n">
        <f aca="false">IF(E396="","",ROW()-6)</f>
        <v>390</v>
      </c>
      <c r="B396" s="79" t="s">
        <v>575</v>
      </c>
      <c r="C396" s="80"/>
      <c r="D396" s="80"/>
      <c r="E396" s="80" t="s">
        <v>538</v>
      </c>
      <c r="F396" s="80"/>
      <c r="G396" s="80" t="s">
        <v>106</v>
      </c>
      <c r="H396" s="80"/>
      <c r="I396" s="80"/>
      <c r="J396" s="80"/>
      <c r="K396" s="80"/>
      <c r="L396" s="81" t="str">
        <f aca="false">IF(K396="","",IFERROR(INDEX(BARDAGE!$C$7:$C$1506,MATCH(K396,BARDAGE!$B$7:$B$1506,0)),"? hors registre"))</f>
        <v/>
      </c>
      <c r="M396" s="80"/>
      <c r="N396" s="81" t="str">
        <f aca="false">IF(M396="","",IFERROR(INDEX(BARDAGE!$C$7:$C$1506,MATCH(M396,BARDAGE!$B$7:$B$1506,0)),"? hors registre"))</f>
        <v/>
      </c>
      <c r="O396" s="80"/>
      <c r="P396" s="80"/>
      <c r="Q396" s="80"/>
      <c r="R396" s="82"/>
      <c r="S396" s="82"/>
      <c r="T396" s="80"/>
      <c r="U396" s="80"/>
      <c r="V396" s="82"/>
      <c r="W396" s="80"/>
      <c r="X396" s="80"/>
      <c r="Y396" s="80"/>
      <c r="Z396" s="80"/>
      <c r="AA396" s="82"/>
      <c r="AB396" s="80"/>
      <c r="AC396" s="80"/>
      <c r="AD396" s="80"/>
      <c r="AE396" s="80"/>
      <c r="AF396" s="82"/>
      <c r="AG396" s="80"/>
      <c r="AH396" s="80"/>
      <c r="AI396" s="82"/>
      <c r="AJ396" s="79"/>
      <c r="AK396" s="78" t="n">
        <f aca="false">IF(E396="","",(X396&lt;&gt;"")+(AC396&lt;&gt;"")+(AH396&lt;&gt;""))</f>
        <v>0</v>
      </c>
      <c r="AL396" s="81" t="str">
        <f aca="false">IF(AH396&lt;&gt;"",AH396,IF(AC396&lt;&gt;"",AC396,IF(X396&lt;&gt;"",X396,"")))</f>
        <v/>
      </c>
      <c r="AM396" s="83" t="str">
        <f aca="false">IF(E396="","",IF(R396="","À SOUDER",IF(U396="","VT EN ATTENTE",IF(U396="R","VT REJETÉ – À REPRENDRE",IF(AL396="","À RADIOGRAPHIER",IF(AL396="A","ACCEPTÉ",IF(AL396="NX","NX – RT À REFAIRE",IF(IF(AK396=1,Z396,IF(AK396=2,AE396,""))="A","RÉPARÉ – À RADIOGRAPHIER",IF(IF(AK396=1,Z396,IF(AK396=2,AE396,""))="R","VT REJETÉ – À REPRENDRE",IF(OR(AL396="CO",AL396="NT"),"COUPE – À RESOUDER","À RÉPARER"))))))))))</f>
        <v>À SOUDER</v>
      </c>
      <c r="AN396" s="81" t="str">
        <f aca="false">IF(AND(ISNUMBER(R396),OR(AM396="À RADIOGRAPHIER",AM396="RÉPARÉ – À RADIOGRAPHIER",AM396="NX – RT À REFAIRE",AM396="À RÉPARER",AM396="COUPE – À RESOUDER",AM396="VT REJETÉ – À REPRENDRE")),MAX(0,'PROGRAMME RT'!$C$4-R396),"")</f>
        <v/>
      </c>
      <c r="AO396" s="78" t="n">
        <f aca="false">IF(AND(OR(AM396="À RADIOGRAPHIER",AM396="RÉPARÉ – À RADIOGRAPHIER",AM396="NX – RT À REFAIRE"),OR('PROGRAMME RT'!$D$5="TOUTES",B396='PROGRAMME RT'!$D$5)),1,0)</f>
        <v>0</v>
      </c>
      <c r="AP396" s="78" t="str">
        <f aca="false">IF(AO396=1,SUM(AO$7:AO396),"")</f>
        <v/>
      </c>
      <c r="AQ396" s="78" t="n">
        <f aca="false">IF(AND(OR(X396="R",X396="NX",X396="NT",X396="CO"),OR('JOINTS DE RÉPARATION'!$D$5="TOUTES",B396='JOINTS DE RÉPARATION'!$D$5),OR('JOINTS DE RÉPARATION'!$L$4="TOUS",AM396&lt;&gt;"ACCEPTÉ")),1,0)</f>
        <v>0</v>
      </c>
      <c r="AR396" s="78" t="str">
        <f aca="false">IF(AQ396=1,SUM(AQ$7:AQ396),"")</f>
        <v/>
      </c>
    </row>
    <row r="397" customFormat="false" ht="15" hidden="false" customHeight="false" outlineLevel="0" collapsed="false">
      <c r="A397" s="78" t="n">
        <f aca="false">IF(E397="","",ROW()-6)</f>
        <v>391</v>
      </c>
      <c r="B397" s="79" t="s">
        <v>575</v>
      </c>
      <c r="C397" s="80"/>
      <c r="D397" s="80"/>
      <c r="E397" s="80" t="s">
        <v>540</v>
      </c>
      <c r="F397" s="80"/>
      <c r="G397" s="80" t="s">
        <v>106</v>
      </c>
      <c r="H397" s="80"/>
      <c r="I397" s="80"/>
      <c r="J397" s="80"/>
      <c r="K397" s="80"/>
      <c r="L397" s="81" t="str">
        <f aca="false">IF(K397="","",IFERROR(INDEX(BARDAGE!$C$7:$C$1506,MATCH(K397,BARDAGE!$B$7:$B$1506,0)),"? hors registre"))</f>
        <v/>
      </c>
      <c r="M397" s="80"/>
      <c r="N397" s="81" t="str">
        <f aca="false">IF(M397="","",IFERROR(INDEX(BARDAGE!$C$7:$C$1506,MATCH(M397,BARDAGE!$B$7:$B$1506,0)),"? hors registre"))</f>
        <v/>
      </c>
      <c r="O397" s="80"/>
      <c r="P397" s="80"/>
      <c r="Q397" s="80"/>
      <c r="R397" s="82"/>
      <c r="S397" s="82"/>
      <c r="T397" s="80"/>
      <c r="U397" s="80"/>
      <c r="V397" s="82"/>
      <c r="W397" s="80"/>
      <c r="X397" s="80"/>
      <c r="Y397" s="80"/>
      <c r="Z397" s="80"/>
      <c r="AA397" s="82"/>
      <c r="AB397" s="80"/>
      <c r="AC397" s="80"/>
      <c r="AD397" s="80"/>
      <c r="AE397" s="80"/>
      <c r="AF397" s="82"/>
      <c r="AG397" s="80"/>
      <c r="AH397" s="80"/>
      <c r="AI397" s="82"/>
      <c r="AJ397" s="79"/>
      <c r="AK397" s="78" t="n">
        <f aca="false">IF(E397="","",(X397&lt;&gt;"")+(AC397&lt;&gt;"")+(AH397&lt;&gt;""))</f>
        <v>0</v>
      </c>
      <c r="AL397" s="81" t="str">
        <f aca="false">IF(AH397&lt;&gt;"",AH397,IF(AC397&lt;&gt;"",AC397,IF(X397&lt;&gt;"",X397,"")))</f>
        <v/>
      </c>
      <c r="AM397" s="83" t="str">
        <f aca="false">IF(E397="","",IF(R397="","À SOUDER",IF(U397="","VT EN ATTENTE",IF(U397="R","VT REJETÉ – À REPRENDRE",IF(AL397="","À RADIOGRAPHIER",IF(AL397="A","ACCEPTÉ",IF(AL397="NX","NX – RT À REFAIRE",IF(IF(AK397=1,Z397,IF(AK397=2,AE397,""))="A","RÉPARÉ – À RADIOGRAPHIER",IF(IF(AK397=1,Z397,IF(AK397=2,AE397,""))="R","VT REJETÉ – À REPRENDRE",IF(OR(AL397="CO",AL397="NT"),"COUPE – À RESOUDER","À RÉPARER"))))))))))</f>
        <v>À SOUDER</v>
      </c>
      <c r="AN397" s="81" t="str">
        <f aca="false">IF(AND(ISNUMBER(R397),OR(AM397="À RADIOGRAPHIER",AM397="RÉPARÉ – À RADIOGRAPHIER",AM397="NX – RT À REFAIRE",AM397="À RÉPARER",AM397="COUPE – À RESOUDER",AM397="VT REJETÉ – À REPRENDRE")),MAX(0,'PROGRAMME RT'!$C$4-R397),"")</f>
        <v/>
      </c>
      <c r="AO397" s="78" t="n">
        <f aca="false">IF(AND(OR(AM397="À RADIOGRAPHIER",AM397="RÉPARÉ – À RADIOGRAPHIER",AM397="NX – RT À REFAIRE"),OR('PROGRAMME RT'!$D$5="TOUTES",B397='PROGRAMME RT'!$D$5)),1,0)</f>
        <v>0</v>
      </c>
      <c r="AP397" s="78" t="str">
        <f aca="false">IF(AO397=1,SUM(AO$7:AO397),"")</f>
        <v/>
      </c>
      <c r="AQ397" s="78" t="n">
        <f aca="false">IF(AND(OR(X397="R",X397="NX",X397="NT",X397="CO"),OR('JOINTS DE RÉPARATION'!$D$5="TOUTES",B397='JOINTS DE RÉPARATION'!$D$5),OR('JOINTS DE RÉPARATION'!$L$4="TOUS",AM397&lt;&gt;"ACCEPTÉ")),1,0)</f>
        <v>0</v>
      </c>
      <c r="AR397" s="78" t="str">
        <f aca="false">IF(AQ397=1,SUM(AQ$7:AQ397),"")</f>
        <v/>
      </c>
    </row>
    <row r="398" customFormat="false" ht="15" hidden="false" customHeight="false" outlineLevel="0" collapsed="false">
      <c r="A398" s="78" t="n">
        <f aca="false">IF(E398="","",ROW()-6)</f>
        <v>392</v>
      </c>
      <c r="B398" s="79" t="s">
        <v>575</v>
      </c>
      <c r="C398" s="80"/>
      <c r="D398" s="80"/>
      <c r="E398" s="80" t="s">
        <v>542</v>
      </c>
      <c r="F398" s="80"/>
      <c r="G398" s="80" t="s">
        <v>106</v>
      </c>
      <c r="H398" s="80"/>
      <c r="I398" s="80"/>
      <c r="J398" s="80"/>
      <c r="K398" s="80"/>
      <c r="L398" s="81" t="str">
        <f aca="false">IF(K398="","",IFERROR(INDEX(BARDAGE!$C$7:$C$1506,MATCH(K398,BARDAGE!$B$7:$B$1506,0)),"? hors registre"))</f>
        <v/>
      </c>
      <c r="M398" s="80"/>
      <c r="N398" s="81" t="str">
        <f aca="false">IF(M398="","",IFERROR(INDEX(BARDAGE!$C$7:$C$1506,MATCH(M398,BARDAGE!$B$7:$B$1506,0)),"? hors registre"))</f>
        <v/>
      </c>
      <c r="O398" s="80"/>
      <c r="P398" s="80"/>
      <c r="Q398" s="80"/>
      <c r="R398" s="82"/>
      <c r="S398" s="82"/>
      <c r="T398" s="80"/>
      <c r="U398" s="80"/>
      <c r="V398" s="82"/>
      <c r="W398" s="80"/>
      <c r="X398" s="80"/>
      <c r="Y398" s="80"/>
      <c r="Z398" s="80"/>
      <c r="AA398" s="82"/>
      <c r="AB398" s="80"/>
      <c r="AC398" s="80"/>
      <c r="AD398" s="80"/>
      <c r="AE398" s="80"/>
      <c r="AF398" s="82"/>
      <c r="AG398" s="80"/>
      <c r="AH398" s="80"/>
      <c r="AI398" s="82"/>
      <c r="AJ398" s="79"/>
      <c r="AK398" s="78" t="n">
        <f aca="false">IF(E398="","",(X398&lt;&gt;"")+(AC398&lt;&gt;"")+(AH398&lt;&gt;""))</f>
        <v>0</v>
      </c>
      <c r="AL398" s="81" t="str">
        <f aca="false">IF(AH398&lt;&gt;"",AH398,IF(AC398&lt;&gt;"",AC398,IF(X398&lt;&gt;"",X398,"")))</f>
        <v/>
      </c>
      <c r="AM398" s="83" t="str">
        <f aca="false">IF(E398="","",IF(R398="","À SOUDER",IF(U398="","VT EN ATTENTE",IF(U398="R","VT REJETÉ – À REPRENDRE",IF(AL398="","À RADIOGRAPHIER",IF(AL398="A","ACCEPTÉ",IF(AL398="NX","NX – RT À REFAIRE",IF(IF(AK398=1,Z398,IF(AK398=2,AE398,""))="A","RÉPARÉ – À RADIOGRAPHIER",IF(IF(AK398=1,Z398,IF(AK398=2,AE398,""))="R","VT REJETÉ – À REPRENDRE",IF(OR(AL398="CO",AL398="NT"),"COUPE – À RESOUDER","À RÉPARER"))))))))))</f>
        <v>À SOUDER</v>
      </c>
      <c r="AN398" s="81" t="str">
        <f aca="false">IF(AND(ISNUMBER(R398),OR(AM398="À RADIOGRAPHIER",AM398="RÉPARÉ – À RADIOGRAPHIER",AM398="NX – RT À REFAIRE",AM398="À RÉPARER",AM398="COUPE – À RESOUDER",AM398="VT REJETÉ – À REPRENDRE")),MAX(0,'PROGRAMME RT'!$C$4-R398),"")</f>
        <v/>
      </c>
      <c r="AO398" s="78" t="n">
        <f aca="false">IF(AND(OR(AM398="À RADIOGRAPHIER",AM398="RÉPARÉ – À RADIOGRAPHIER",AM398="NX – RT À REFAIRE"),OR('PROGRAMME RT'!$D$5="TOUTES",B398='PROGRAMME RT'!$D$5)),1,0)</f>
        <v>0</v>
      </c>
      <c r="AP398" s="78" t="str">
        <f aca="false">IF(AO398=1,SUM(AO$7:AO398),"")</f>
        <v/>
      </c>
      <c r="AQ398" s="78" t="n">
        <f aca="false">IF(AND(OR(X398="R",X398="NX",X398="NT",X398="CO"),OR('JOINTS DE RÉPARATION'!$D$5="TOUTES",B398='JOINTS DE RÉPARATION'!$D$5),OR('JOINTS DE RÉPARATION'!$L$4="TOUS",AM398&lt;&gt;"ACCEPTÉ")),1,0)</f>
        <v>0</v>
      </c>
      <c r="AR398" s="78" t="str">
        <f aca="false">IF(AQ398=1,SUM(AQ$7:AQ398),"")</f>
        <v/>
      </c>
    </row>
    <row r="399" customFormat="false" ht="15" hidden="false" customHeight="false" outlineLevel="0" collapsed="false">
      <c r="A399" s="78" t="n">
        <f aca="false">IF(E399="","",ROW()-6)</f>
        <v>393</v>
      </c>
      <c r="B399" s="79" t="s">
        <v>575</v>
      </c>
      <c r="C399" s="80"/>
      <c r="D399" s="80"/>
      <c r="E399" s="80" t="s">
        <v>544</v>
      </c>
      <c r="F399" s="80"/>
      <c r="G399" s="80" t="s">
        <v>106</v>
      </c>
      <c r="H399" s="80"/>
      <c r="I399" s="80"/>
      <c r="J399" s="80"/>
      <c r="K399" s="80"/>
      <c r="L399" s="81" t="str">
        <f aca="false">IF(K399="","",IFERROR(INDEX(BARDAGE!$C$7:$C$1506,MATCH(K399,BARDAGE!$B$7:$B$1506,0)),"? hors registre"))</f>
        <v/>
      </c>
      <c r="M399" s="80"/>
      <c r="N399" s="81" t="str">
        <f aca="false">IF(M399="","",IFERROR(INDEX(BARDAGE!$C$7:$C$1506,MATCH(M399,BARDAGE!$B$7:$B$1506,0)),"? hors registre"))</f>
        <v/>
      </c>
      <c r="O399" s="80"/>
      <c r="P399" s="80"/>
      <c r="Q399" s="80"/>
      <c r="R399" s="82"/>
      <c r="S399" s="82"/>
      <c r="T399" s="80"/>
      <c r="U399" s="80"/>
      <c r="V399" s="82"/>
      <c r="W399" s="80"/>
      <c r="X399" s="80"/>
      <c r="Y399" s="80"/>
      <c r="Z399" s="80"/>
      <c r="AA399" s="82"/>
      <c r="AB399" s="80"/>
      <c r="AC399" s="80"/>
      <c r="AD399" s="80"/>
      <c r="AE399" s="80"/>
      <c r="AF399" s="82"/>
      <c r="AG399" s="80"/>
      <c r="AH399" s="80"/>
      <c r="AI399" s="82"/>
      <c r="AJ399" s="79"/>
      <c r="AK399" s="78" t="n">
        <f aca="false">IF(E399="","",(X399&lt;&gt;"")+(AC399&lt;&gt;"")+(AH399&lt;&gt;""))</f>
        <v>0</v>
      </c>
      <c r="AL399" s="81" t="str">
        <f aca="false">IF(AH399&lt;&gt;"",AH399,IF(AC399&lt;&gt;"",AC399,IF(X399&lt;&gt;"",X399,"")))</f>
        <v/>
      </c>
      <c r="AM399" s="83" t="str">
        <f aca="false">IF(E399="","",IF(R399="","À SOUDER",IF(U399="","VT EN ATTENTE",IF(U399="R","VT REJETÉ – À REPRENDRE",IF(AL399="","À RADIOGRAPHIER",IF(AL399="A","ACCEPTÉ",IF(AL399="NX","NX – RT À REFAIRE",IF(IF(AK399=1,Z399,IF(AK399=2,AE399,""))="A","RÉPARÉ – À RADIOGRAPHIER",IF(IF(AK399=1,Z399,IF(AK399=2,AE399,""))="R","VT REJETÉ – À REPRENDRE",IF(OR(AL399="CO",AL399="NT"),"COUPE – À RESOUDER","À RÉPARER"))))))))))</f>
        <v>À SOUDER</v>
      </c>
      <c r="AN399" s="81" t="str">
        <f aca="false">IF(AND(ISNUMBER(R399),OR(AM399="À RADIOGRAPHIER",AM399="RÉPARÉ – À RADIOGRAPHIER",AM399="NX – RT À REFAIRE",AM399="À RÉPARER",AM399="COUPE – À RESOUDER",AM399="VT REJETÉ – À REPRENDRE")),MAX(0,'PROGRAMME RT'!$C$4-R399),"")</f>
        <v/>
      </c>
      <c r="AO399" s="78" t="n">
        <f aca="false">IF(AND(OR(AM399="À RADIOGRAPHIER",AM399="RÉPARÉ – À RADIOGRAPHIER",AM399="NX – RT À REFAIRE"),OR('PROGRAMME RT'!$D$5="TOUTES",B399='PROGRAMME RT'!$D$5)),1,0)</f>
        <v>0</v>
      </c>
      <c r="AP399" s="78" t="str">
        <f aca="false">IF(AO399=1,SUM(AO$7:AO399),"")</f>
        <v/>
      </c>
      <c r="AQ399" s="78" t="n">
        <f aca="false">IF(AND(OR(X399="R",X399="NX",X399="NT",X399="CO"),OR('JOINTS DE RÉPARATION'!$D$5="TOUTES",B399='JOINTS DE RÉPARATION'!$D$5),OR('JOINTS DE RÉPARATION'!$L$4="TOUS",AM399&lt;&gt;"ACCEPTÉ")),1,0)</f>
        <v>0</v>
      </c>
      <c r="AR399" s="78" t="str">
        <f aca="false">IF(AQ399=1,SUM(AQ$7:AQ399),"")</f>
        <v/>
      </c>
    </row>
    <row r="400" customFormat="false" ht="15" hidden="false" customHeight="false" outlineLevel="0" collapsed="false">
      <c r="A400" s="78" t="n">
        <f aca="false">IF(E400="","",ROW()-6)</f>
        <v>394</v>
      </c>
      <c r="B400" s="79" t="s">
        <v>575</v>
      </c>
      <c r="C400" s="80"/>
      <c r="D400" s="80"/>
      <c r="E400" s="80" t="s">
        <v>546</v>
      </c>
      <c r="F400" s="80"/>
      <c r="G400" s="80" t="s">
        <v>106</v>
      </c>
      <c r="H400" s="80"/>
      <c r="I400" s="80"/>
      <c r="J400" s="80"/>
      <c r="K400" s="80"/>
      <c r="L400" s="81" t="str">
        <f aca="false">IF(K400="","",IFERROR(INDEX(BARDAGE!$C$7:$C$1506,MATCH(K400,BARDAGE!$B$7:$B$1506,0)),"? hors registre"))</f>
        <v/>
      </c>
      <c r="M400" s="80"/>
      <c r="N400" s="81" t="str">
        <f aca="false">IF(M400="","",IFERROR(INDEX(BARDAGE!$C$7:$C$1506,MATCH(M400,BARDAGE!$B$7:$B$1506,0)),"? hors registre"))</f>
        <v/>
      </c>
      <c r="O400" s="80"/>
      <c r="P400" s="80"/>
      <c r="Q400" s="80"/>
      <c r="R400" s="82"/>
      <c r="S400" s="82"/>
      <c r="T400" s="80"/>
      <c r="U400" s="80"/>
      <c r="V400" s="82"/>
      <c r="W400" s="80"/>
      <c r="X400" s="80"/>
      <c r="Y400" s="80"/>
      <c r="Z400" s="80"/>
      <c r="AA400" s="82"/>
      <c r="AB400" s="80"/>
      <c r="AC400" s="80"/>
      <c r="AD400" s="80"/>
      <c r="AE400" s="80"/>
      <c r="AF400" s="82"/>
      <c r="AG400" s="80"/>
      <c r="AH400" s="80"/>
      <c r="AI400" s="82"/>
      <c r="AJ400" s="79"/>
      <c r="AK400" s="78" t="n">
        <f aca="false">IF(E400="","",(X400&lt;&gt;"")+(AC400&lt;&gt;"")+(AH400&lt;&gt;""))</f>
        <v>0</v>
      </c>
      <c r="AL400" s="81" t="str">
        <f aca="false">IF(AH400&lt;&gt;"",AH400,IF(AC400&lt;&gt;"",AC400,IF(X400&lt;&gt;"",X400,"")))</f>
        <v/>
      </c>
      <c r="AM400" s="83" t="str">
        <f aca="false">IF(E400="","",IF(R400="","À SOUDER",IF(U400="","VT EN ATTENTE",IF(U400="R","VT REJETÉ – À REPRENDRE",IF(AL400="","À RADIOGRAPHIER",IF(AL400="A","ACCEPTÉ",IF(AL400="NX","NX – RT À REFAIRE",IF(IF(AK400=1,Z400,IF(AK400=2,AE400,""))="A","RÉPARÉ – À RADIOGRAPHIER",IF(IF(AK400=1,Z400,IF(AK400=2,AE400,""))="R","VT REJETÉ – À REPRENDRE",IF(OR(AL400="CO",AL400="NT"),"COUPE – À RESOUDER","À RÉPARER"))))))))))</f>
        <v>À SOUDER</v>
      </c>
      <c r="AN400" s="81" t="str">
        <f aca="false">IF(AND(ISNUMBER(R400),OR(AM400="À RADIOGRAPHIER",AM400="RÉPARÉ – À RADIOGRAPHIER",AM400="NX – RT À REFAIRE",AM400="À RÉPARER",AM400="COUPE – À RESOUDER",AM400="VT REJETÉ – À REPRENDRE")),MAX(0,'PROGRAMME RT'!$C$4-R400),"")</f>
        <v/>
      </c>
      <c r="AO400" s="78" t="n">
        <f aca="false">IF(AND(OR(AM400="À RADIOGRAPHIER",AM400="RÉPARÉ – À RADIOGRAPHIER",AM400="NX – RT À REFAIRE"),OR('PROGRAMME RT'!$D$5="TOUTES",B400='PROGRAMME RT'!$D$5)),1,0)</f>
        <v>0</v>
      </c>
      <c r="AP400" s="78" t="str">
        <f aca="false">IF(AO400=1,SUM(AO$7:AO400),"")</f>
        <v/>
      </c>
      <c r="AQ400" s="78" t="n">
        <f aca="false">IF(AND(OR(X400="R",X400="NX",X400="NT",X400="CO"),OR('JOINTS DE RÉPARATION'!$D$5="TOUTES",B400='JOINTS DE RÉPARATION'!$D$5),OR('JOINTS DE RÉPARATION'!$L$4="TOUS",AM400&lt;&gt;"ACCEPTÉ")),1,0)</f>
        <v>0</v>
      </c>
      <c r="AR400" s="78" t="str">
        <f aca="false">IF(AQ400=1,SUM(AQ$7:AQ400),"")</f>
        <v/>
      </c>
    </row>
    <row r="401" customFormat="false" ht="15" hidden="false" customHeight="false" outlineLevel="0" collapsed="false">
      <c r="A401" s="78" t="n">
        <f aca="false">IF(E401="","",ROW()-6)</f>
        <v>395</v>
      </c>
      <c r="B401" s="79" t="s">
        <v>575</v>
      </c>
      <c r="C401" s="80"/>
      <c r="D401" s="80"/>
      <c r="E401" s="80" t="s">
        <v>549</v>
      </c>
      <c r="F401" s="80"/>
      <c r="G401" s="80" t="s">
        <v>106</v>
      </c>
      <c r="H401" s="80"/>
      <c r="I401" s="80"/>
      <c r="J401" s="80"/>
      <c r="K401" s="80"/>
      <c r="L401" s="81" t="str">
        <f aca="false">IF(K401="","",IFERROR(INDEX(BARDAGE!$C$7:$C$1506,MATCH(K401,BARDAGE!$B$7:$B$1506,0)),"? hors registre"))</f>
        <v/>
      </c>
      <c r="M401" s="80"/>
      <c r="N401" s="81" t="str">
        <f aca="false">IF(M401="","",IFERROR(INDEX(BARDAGE!$C$7:$C$1506,MATCH(M401,BARDAGE!$B$7:$B$1506,0)),"? hors registre"))</f>
        <v/>
      </c>
      <c r="O401" s="80"/>
      <c r="P401" s="80"/>
      <c r="Q401" s="80"/>
      <c r="R401" s="82"/>
      <c r="S401" s="82"/>
      <c r="T401" s="80"/>
      <c r="U401" s="80"/>
      <c r="V401" s="82"/>
      <c r="W401" s="80"/>
      <c r="X401" s="80"/>
      <c r="Y401" s="80"/>
      <c r="Z401" s="80"/>
      <c r="AA401" s="82"/>
      <c r="AB401" s="80"/>
      <c r="AC401" s="80"/>
      <c r="AD401" s="80"/>
      <c r="AE401" s="80"/>
      <c r="AF401" s="82"/>
      <c r="AG401" s="80"/>
      <c r="AH401" s="80"/>
      <c r="AI401" s="82"/>
      <c r="AJ401" s="79"/>
      <c r="AK401" s="78" t="n">
        <f aca="false">IF(E401="","",(X401&lt;&gt;"")+(AC401&lt;&gt;"")+(AH401&lt;&gt;""))</f>
        <v>0</v>
      </c>
      <c r="AL401" s="81" t="str">
        <f aca="false">IF(AH401&lt;&gt;"",AH401,IF(AC401&lt;&gt;"",AC401,IF(X401&lt;&gt;"",X401,"")))</f>
        <v/>
      </c>
      <c r="AM401" s="83" t="str">
        <f aca="false">IF(E401="","",IF(R401="","À SOUDER",IF(U401="","VT EN ATTENTE",IF(U401="R","VT REJETÉ – À REPRENDRE",IF(AL401="","À RADIOGRAPHIER",IF(AL401="A","ACCEPTÉ",IF(AL401="NX","NX – RT À REFAIRE",IF(IF(AK401=1,Z401,IF(AK401=2,AE401,""))="A","RÉPARÉ – À RADIOGRAPHIER",IF(IF(AK401=1,Z401,IF(AK401=2,AE401,""))="R","VT REJETÉ – À REPRENDRE",IF(OR(AL401="CO",AL401="NT"),"COUPE – À RESOUDER","À RÉPARER"))))))))))</f>
        <v>À SOUDER</v>
      </c>
      <c r="AN401" s="81" t="str">
        <f aca="false">IF(AND(ISNUMBER(R401),OR(AM401="À RADIOGRAPHIER",AM401="RÉPARÉ – À RADIOGRAPHIER",AM401="NX – RT À REFAIRE",AM401="À RÉPARER",AM401="COUPE – À RESOUDER",AM401="VT REJETÉ – À REPRENDRE")),MAX(0,'PROGRAMME RT'!$C$4-R401),"")</f>
        <v/>
      </c>
      <c r="AO401" s="78" t="n">
        <f aca="false">IF(AND(OR(AM401="À RADIOGRAPHIER",AM401="RÉPARÉ – À RADIOGRAPHIER",AM401="NX – RT À REFAIRE"),OR('PROGRAMME RT'!$D$5="TOUTES",B401='PROGRAMME RT'!$D$5)),1,0)</f>
        <v>0</v>
      </c>
      <c r="AP401" s="78" t="str">
        <f aca="false">IF(AO401=1,SUM(AO$7:AO401),"")</f>
        <v/>
      </c>
      <c r="AQ401" s="78" t="n">
        <f aca="false">IF(AND(OR(X401="R",X401="NX",X401="NT",X401="CO"),OR('JOINTS DE RÉPARATION'!$D$5="TOUTES",B401='JOINTS DE RÉPARATION'!$D$5),OR('JOINTS DE RÉPARATION'!$L$4="TOUS",AM401&lt;&gt;"ACCEPTÉ")),1,0)</f>
        <v>0</v>
      </c>
      <c r="AR401" s="78" t="str">
        <f aca="false">IF(AQ401=1,SUM(AQ$7:AQ401),"")</f>
        <v/>
      </c>
    </row>
    <row r="402" customFormat="false" ht="15" hidden="false" customHeight="false" outlineLevel="0" collapsed="false">
      <c r="A402" s="78" t="n">
        <f aca="false">IF(E402="","",ROW()-6)</f>
        <v>396</v>
      </c>
      <c r="B402" s="79" t="s">
        <v>575</v>
      </c>
      <c r="C402" s="80"/>
      <c r="D402" s="80"/>
      <c r="E402" s="80" t="s">
        <v>551</v>
      </c>
      <c r="F402" s="80"/>
      <c r="G402" s="80" t="s">
        <v>106</v>
      </c>
      <c r="H402" s="80"/>
      <c r="I402" s="80"/>
      <c r="J402" s="80"/>
      <c r="K402" s="80"/>
      <c r="L402" s="81" t="str">
        <f aca="false">IF(K402="","",IFERROR(INDEX(BARDAGE!$C$7:$C$1506,MATCH(K402,BARDAGE!$B$7:$B$1506,0)),"? hors registre"))</f>
        <v/>
      </c>
      <c r="M402" s="80"/>
      <c r="N402" s="81" t="str">
        <f aca="false">IF(M402="","",IFERROR(INDEX(BARDAGE!$C$7:$C$1506,MATCH(M402,BARDAGE!$B$7:$B$1506,0)),"? hors registre"))</f>
        <v/>
      </c>
      <c r="O402" s="80"/>
      <c r="P402" s="80"/>
      <c r="Q402" s="80"/>
      <c r="R402" s="82"/>
      <c r="S402" s="82"/>
      <c r="T402" s="80"/>
      <c r="U402" s="80"/>
      <c r="V402" s="82"/>
      <c r="W402" s="80"/>
      <c r="X402" s="80"/>
      <c r="Y402" s="80"/>
      <c r="Z402" s="80"/>
      <c r="AA402" s="82"/>
      <c r="AB402" s="80"/>
      <c r="AC402" s="80"/>
      <c r="AD402" s="80"/>
      <c r="AE402" s="80"/>
      <c r="AF402" s="82"/>
      <c r="AG402" s="80"/>
      <c r="AH402" s="80"/>
      <c r="AI402" s="82"/>
      <c r="AJ402" s="79"/>
      <c r="AK402" s="78" t="n">
        <f aca="false">IF(E402="","",(X402&lt;&gt;"")+(AC402&lt;&gt;"")+(AH402&lt;&gt;""))</f>
        <v>0</v>
      </c>
      <c r="AL402" s="81" t="str">
        <f aca="false">IF(AH402&lt;&gt;"",AH402,IF(AC402&lt;&gt;"",AC402,IF(X402&lt;&gt;"",X402,"")))</f>
        <v/>
      </c>
      <c r="AM402" s="83" t="str">
        <f aca="false">IF(E402="","",IF(R402="","À SOUDER",IF(U402="","VT EN ATTENTE",IF(U402="R","VT REJETÉ – À REPRENDRE",IF(AL402="","À RADIOGRAPHIER",IF(AL402="A","ACCEPTÉ",IF(AL402="NX","NX – RT À REFAIRE",IF(IF(AK402=1,Z402,IF(AK402=2,AE402,""))="A","RÉPARÉ – À RADIOGRAPHIER",IF(IF(AK402=1,Z402,IF(AK402=2,AE402,""))="R","VT REJETÉ – À REPRENDRE",IF(OR(AL402="CO",AL402="NT"),"COUPE – À RESOUDER","À RÉPARER"))))))))))</f>
        <v>À SOUDER</v>
      </c>
      <c r="AN402" s="81" t="str">
        <f aca="false">IF(AND(ISNUMBER(R402),OR(AM402="À RADIOGRAPHIER",AM402="RÉPARÉ – À RADIOGRAPHIER",AM402="NX – RT À REFAIRE",AM402="À RÉPARER",AM402="COUPE – À RESOUDER",AM402="VT REJETÉ – À REPRENDRE")),MAX(0,'PROGRAMME RT'!$C$4-R402),"")</f>
        <v/>
      </c>
      <c r="AO402" s="78" t="n">
        <f aca="false">IF(AND(OR(AM402="À RADIOGRAPHIER",AM402="RÉPARÉ – À RADIOGRAPHIER",AM402="NX – RT À REFAIRE"),OR('PROGRAMME RT'!$D$5="TOUTES",B402='PROGRAMME RT'!$D$5)),1,0)</f>
        <v>0</v>
      </c>
      <c r="AP402" s="78" t="str">
        <f aca="false">IF(AO402=1,SUM(AO$7:AO402),"")</f>
        <v/>
      </c>
      <c r="AQ402" s="78" t="n">
        <f aca="false">IF(AND(OR(X402="R",X402="NX",X402="NT",X402="CO"),OR('JOINTS DE RÉPARATION'!$D$5="TOUTES",B402='JOINTS DE RÉPARATION'!$D$5),OR('JOINTS DE RÉPARATION'!$L$4="TOUS",AM402&lt;&gt;"ACCEPTÉ")),1,0)</f>
        <v>0</v>
      </c>
      <c r="AR402" s="78" t="str">
        <f aca="false">IF(AQ402=1,SUM(AQ$7:AQ402),"")</f>
        <v/>
      </c>
    </row>
    <row r="403" customFormat="false" ht="15" hidden="false" customHeight="false" outlineLevel="0" collapsed="false">
      <c r="A403" s="78" t="n">
        <f aca="false">IF(E403="","",ROW()-6)</f>
        <v>397</v>
      </c>
      <c r="B403" s="79" t="s">
        <v>575</v>
      </c>
      <c r="C403" s="80"/>
      <c r="D403" s="80"/>
      <c r="E403" s="80" t="s">
        <v>553</v>
      </c>
      <c r="F403" s="80"/>
      <c r="G403" s="80" t="s">
        <v>106</v>
      </c>
      <c r="H403" s="80"/>
      <c r="I403" s="80"/>
      <c r="J403" s="80"/>
      <c r="K403" s="80"/>
      <c r="L403" s="81" t="str">
        <f aca="false">IF(K403="","",IFERROR(INDEX(BARDAGE!$C$7:$C$1506,MATCH(K403,BARDAGE!$B$7:$B$1506,0)),"? hors registre"))</f>
        <v/>
      </c>
      <c r="M403" s="80"/>
      <c r="N403" s="81" t="str">
        <f aca="false">IF(M403="","",IFERROR(INDEX(BARDAGE!$C$7:$C$1506,MATCH(M403,BARDAGE!$B$7:$B$1506,0)),"? hors registre"))</f>
        <v/>
      </c>
      <c r="O403" s="80"/>
      <c r="P403" s="80"/>
      <c r="Q403" s="80"/>
      <c r="R403" s="82"/>
      <c r="S403" s="82"/>
      <c r="T403" s="80"/>
      <c r="U403" s="80"/>
      <c r="V403" s="82"/>
      <c r="W403" s="80"/>
      <c r="X403" s="80"/>
      <c r="Y403" s="80"/>
      <c r="Z403" s="80"/>
      <c r="AA403" s="82"/>
      <c r="AB403" s="80"/>
      <c r="AC403" s="80"/>
      <c r="AD403" s="80"/>
      <c r="AE403" s="80"/>
      <c r="AF403" s="82"/>
      <c r="AG403" s="80"/>
      <c r="AH403" s="80"/>
      <c r="AI403" s="82"/>
      <c r="AJ403" s="79"/>
      <c r="AK403" s="78" t="n">
        <f aca="false">IF(E403="","",(X403&lt;&gt;"")+(AC403&lt;&gt;"")+(AH403&lt;&gt;""))</f>
        <v>0</v>
      </c>
      <c r="AL403" s="81" t="str">
        <f aca="false">IF(AH403&lt;&gt;"",AH403,IF(AC403&lt;&gt;"",AC403,IF(X403&lt;&gt;"",X403,"")))</f>
        <v/>
      </c>
      <c r="AM403" s="83" t="str">
        <f aca="false">IF(E403="","",IF(R403="","À SOUDER",IF(U403="","VT EN ATTENTE",IF(U403="R","VT REJETÉ – À REPRENDRE",IF(AL403="","À RADIOGRAPHIER",IF(AL403="A","ACCEPTÉ",IF(AL403="NX","NX – RT À REFAIRE",IF(IF(AK403=1,Z403,IF(AK403=2,AE403,""))="A","RÉPARÉ – À RADIOGRAPHIER",IF(IF(AK403=1,Z403,IF(AK403=2,AE403,""))="R","VT REJETÉ – À REPRENDRE",IF(OR(AL403="CO",AL403="NT"),"COUPE – À RESOUDER","À RÉPARER"))))))))))</f>
        <v>À SOUDER</v>
      </c>
      <c r="AN403" s="81" t="str">
        <f aca="false">IF(AND(ISNUMBER(R403),OR(AM403="À RADIOGRAPHIER",AM403="RÉPARÉ – À RADIOGRAPHIER",AM403="NX – RT À REFAIRE",AM403="À RÉPARER",AM403="COUPE – À RESOUDER",AM403="VT REJETÉ – À REPRENDRE")),MAX(0,'PROGRAMME RT'!$C$4-R403),"")</f>
        <v/>
      </c>
      <c r="AO403" s="78" t="n">
        <f aca="false">IF(AND(OR(AM403="À RADIOGRAPHIER",AM403="RÉPARÉ – À RADIOGRAPHIER",AM403="NX – RT À REFAIRE"),OR('PROGRAMME RT'!$D$5="TOUTES",B403='PROGRAMME RT'!$D$5)),1,0)</f>
        <v>0</v>
      </c>
      <c r="AP403" s="78" t="str">
        <f aca="false">IF(AO403=1,SUM(AO$7:AO403),"")</f>
        <v/>
      </c>
      <c r="AQ403" s="78" t="n">
        <f aca="false">IF(AND(OR(X403="R",X403="NX",X403="NT",X403="CO"),OR('JOINTS DE RÉPARATION'!$D$5="TOUTES",B403='JOINTS DE RÉPARATION'!$D$5),OR('JOINTS DE RÉPARATION'!$L$4="TOUS",AM403&lt;&gt;"ACCEPTÉ")),1,0)</f>
        <v>0</v>
      </c>
      <c r="AR403" s="78" t="str">
        <f aca="false">IF(AQ403=1,SUM(AQ$7:AQ403),"")</f>
        <v/>
      </c>
    </row>
    <row r="404" customFormat="false" ht="15" hidden="false" customHeight="false" outlineLevel="0" collapsed="false">
      <c r="A404" s="78" t="n">
        <f aca="false">IF(E404="","",ROW()-6)</f>
        <v>398</v>
      </c>
      <c r="B404" s="79" t="s">
        <v>575</v>
      </c>
      <c r="C404" s="80"/>
      <c r="D404" s="80"/>
      <c r="E404" s="80" t="s">
        <v>555</v>
      </c>
      <c r="F404" s="80"/>
      <c r="G404" s="80" t="s">
        <v>106</v>
      </c>
      <c r="H404" s="80"/>
      <c r="I404" s="80"/>
      <c r="J404" s="80"/>
      <c r="K404" s="80"/>
      <c r="L404" s="81" t="str">
        <f aca="false">IF(K404="","",IFERROR(INDEX(BARDAGE!$C$7:$C$1506,MATCH(K404,BARDAGE!$B$7:$B$1506,0)),"? hors registre"))</f>
        <v/>
      </c>
      <c r="M404" s="80"/>
      <c r="N404" s="81" t="str">
        <f aca="false">IF(M404="","",IFERROR(INDEX(BARDAGE!$C$7:$C$1506,MATCH(M404,BARDAGE!$B$7:$B$1506,0)),"? hors registre"))</f>
        <v/>
      </c>
      <c r="O404" s="80"/>
      <c r="P404" s="80"/>
      <c r="Q404" s="80"/>
      <c r="R404" s="82"/>
      <c r="S404" s="82"/>
      <c r="T404" s="80"/>
      <c r="U404" s="80"/>
      <c r="V404" s="82"/>
      <c r="W404" s="80"/>
      <c r="X404" s="80"/>
      <c r="Y404" s="80"/>
      <c r="Z404" s="80"/>
      <c r="AA404" s="82"/>
      <c r="AB404" s="80"/>
      <c r="AC404" s="80"/>
      <c r="AD404" s="80"/>
      <c r="AE404" s="80"/>
      <c r="AF404" s="82"/>
      <c r="AG404" s="80"/>
      <c r="AH404" s="80"/>
      <c r="AI404" s="82"/>
      <c r="AJ404" s="79"/>
      <c r="AK404" s="78" t="n">
        <f aca="false">IF(E404="","",(X404&lt;&gt;"")+(AC404&lt;&gt;"")+(AH404&lt;&gt;""))</f>
        <v>0</v>
      </c>
      <c r="AL404" s="81" t="str">
        <f aca="false">IF(AH404&lt;&gt;"",AH404,IF(AC404&lt;&gt;"",AC404,IF(X404&lt;&gt;"",X404,"")))</f>
        <v/>
      </c>
      <c r="AM404" s="83" t="str">
        <f aca="false">IF(E404="","",IF(R404="","À SOUDER",IF(U404="","VT EN ATTENTE",IF(U404="R","VT REJETÉ – À REPRENDRE",IF(AL404="","À RADIOGRAPHIER",IF(AL404="A","ACCEPTÉ",IF(AL404="NX","NX – RT À REFAIRE",IF(IF(AK404=1,Z404,IF(AK404=2,AE404,""))="A","RÉPARÉ – À RADIOGRAPHIER",IF(IF(AK404=1,Z404,IF(AK404=2,AE404,""))="R","VT REJETÉ – À REPRENDRE",IF(OR(AL404="CO",AL404="NT"),"COUPE – À RESOUDER","À RÉPARER"))))))))))</f>
        <v>À SOUDER</v>
      </c>
      <c r="AN404" s="81" t="str">
        <f aca="false">IF(AND(ISNUMBER(R404),OR(AM404="À RADIOGRAPHIER",AM404="RÉPARÉ – À RADIOGRAPHIER",AM404="NX – RT À REFAIRE",AM404="À RÉPARER",AM404="COUPE – À RESOUDER",AM404="VT REJETÉ – À REPRENDRE")),MAX(0,'PROGRAMME RT'!$C$4-R404),"")</f>
        <v/>
      </c>
      <c r="AO404" s="78" t="n">
        <f aca="false">IF(AND(OR(AM404="À RADIOGRAPHIER",AM404="RÉPARÉ – À RADIOGRAPHIER",AM404="NX – RT À REFAIRE"),OR('PROGRAMME RT'!$D$5="TOUTES",B404='PROGRAMME RT'!$D$5)),1,0)</f>
        <v>0</v>
      </c>
      <c r="AP404" s="78" t="str">
        <f aca="false">IF(AO404=1,SUM(AO$7:AO404),"")</f>
        <v/>
      </c>
      <c r="AQ404" s="78" t="n">
        <f aca="false">IF(AND(OR(X404="R",X404="NX",X404="NT",X404="CO"),OR('JOINTS DE RÉPARATION'!$D$5="TOUTES",B404='JOINTS DE RÉPARATION'!$D$5),OR('JOINTS DE RÉPARATION'!$L$4="TOUS",AM404&lt;&gt;"ACCEPTÉ")),1,0)</f>
        <v>0</v>
      </c>
      <c r="AR404" s="78" t="str">
        <f aca="false">IF(AQ404=1,SUM(AQ$7:AQ404),"")</f>
        <v/>
      </c>
    </row>
    <row r="405" customFormat="false" ht="15" hidden="false" customHeight="false" outlineLevel="0" collapsed="false">
      <c r="A405" s="78" t="n">
        <f aca="false">IF(E405="","",ROW()-6)</f>
        <v>399</v>
      </c>
      <c r="B405" s="79" t="s">
        <v>575</v>
      </c>
      <c r="C405" s="80"/>
      <c r="D405" s="80"/>
      <c r="E405" s="80" t="s">
        <v>557</v>
      </c>
      <c r="F405" s="80"/>
      <c r="G405" s="80" t="s">
        <v>106</v>
      </c>
      <c r="H405" s="80"/>
      <c r="I405" s="80"/>
      <c r="J405" s="80"/>
      <c r="K405" s="80"/>
      <c r="L405" s="81" t="str">
        <f aca="false">IF(K405="","",IFERROR(INDEX(BARDAGE!$C$7:$C$1506,MATCH(K405,BARDAGE!$B$7:$B$1506,0)),"? hors registre"))</f>
        <v/>
      </c>
      <c r="M405" s="80"/>
      <c r="N405" s="81" t="str">
        <f aca="false">IF(M405="","",IFERROR(INDEX(BARDAGE!$C$7:$C$1506,MATCH(M405,BARDAGE!$B$7:$B$1506,0)),"? hors registre"))</f>
        <v/>
      </c>
      <c r="O405" s="80"/>
      <c r="P405" s="80"/>
      <c r="Q405" s="80"/>
      <c r="R405" s="82"/>
      <c r="S405" s="82"/>
      <c r="T405" s="80"/>
      <c r="U405" s="80"/>
      <c r="V405" s="82"/>
      <c r="W405" s="80"/>
      <c r="X405" s="80"/>
      <c r="Y405" s="80"/>
      <c r="Z405" s="80"/>
      <c r="AA405" s="82"/>
      <c r="AB405" s="80"/>
      <c r="AC405" s="80"/>
      <c r="AD405" s="80"/>
      <c r="AE405" s="80"/>
      <c r="AF405" s="82"/>
      <c r="AG405" s="80"/>
      <c r="AH405" s="80"/>
      <c r="AI405" s="82"/>
      <c r="AJ405" s="79"/>
      <c r="AK405" s="78" t="n">
        <f aca="false">IF(E405="","",(X405&lt;&gt;"")+(AC405&lt;&gt;"")+(AH405&lt;&gt;""))</f>
        <v>0</v>
      </c>
      <c r="AL405" s="81" t="str">
        <f aca="false">IF(AH405&lt;&gt;"",AH405,IF(AC405&lt;&gt;"",AC405,IF(X405&lt;&gt;"",X405,"")))</f>
        <v/>
      </c>
      <c r="AM405" s="83" t="str">
        <f aca="false">IF(E405="","",IF(R405="","À SOUDER",IF(U405="","VT EN ATTENTE",IF(U405="R","VT REJETÉ – À REPRENDRE",IF(AL405="","À RADIOGRAPHIER",IF(AL405="A","ACCEPTÉ",IF(AL405="NX","NX – RT À REFAIRE",IF(IF(AK405=1,Z405,IF(AK405=2,AE405,""))="A","RÉPARÉ – À RADIOGRAPHIER",IF(IF(AK405=1,Z405,IF(AK405=2,AE405,""))="R","VT REJETÉ – À REPRENDRE",IF(OR(AL405="CO",AL405="NT"),"COUPE – À RESOUDER","À RÉPARER"))))))))))</f>
        <v>À SOUDER</v>
      </c>
      <c r="AN405" s="81" t="str">
        <f aca="false">IF(AND(ISNUMBER(R405),OR(AM405="À RADIOGRAPHIER",AM405="RÉPARÉ – À RADIOGRAPHIER",AM405="NX – RT À REFAIRE",AM405="À RÉPARER",AM405="COUPE – À RESOUDER",AM405="VT REJETÉ – À REPRENDRE")),MAX(0,'PROGRAMME RT'!$C$4-R405),"")</f>
        <v/>
      </c>
      <c r="AO405" s="78" t="n">
        <f aca="false">IF(AND(OR(AM405="À RADIOGRAPHIER",AM405="RÉPARÉ – À RADIOGRAPHIER",AM405="NX – RT À REFAIRE"),OR('PROGRAMME RT'!$D$5="TOUTES",B405='PROGRAMME RT'!$D$5)),1,0)</f>
        <v>0</v>
      </c>
      <c r="AP405" s="78" t="str">
        <f aca="false">IF(AO405=1,SUM(AO$7:AO405),"")</f>
        <v/>
      </c>
      <c r="AQ405" s="78" t="n">
        <f aca="false">IF(AND(OR(X405="R",X405="NX",X405="NT",X405="CO"),OR('JOINTS DE RÉPARATION'!$D$5="TOUTES",B405='JOINTS DE RÉPARATION'!$D$5),OR('JOINTS DE RÉPARATION'!$L$4="TOUS",AM405&lt;&gt;"ACCEPTÉ")),1,0)</f>
        <v>0</v>
      </c>
      <c r="AR405" s="78" t="str">
        <f aca="false">IF(AQ405=1,SUM(AQ$7:AQ405),"")</f>
        <v/>
      </c>
    </row>
    <row r="406" customFormat="false" ht="15" hidden="false" customHeight="false" outlineLevel="0" collapsed="false">
      <c r="A406" s="78" t="n">
        <f aca="false">IF(E406="","",ROW()-6)</f>
        <v>400</v>
      </c>
      <c r="B406" s="79" t="s">
        <v>575</v>
      </c>
      <c r="C406" s="80"/>
      <c r="D406" s="80"/>
      <c r="E406" s="80" t="s">
        <v>559</v>
      </c>
      <c r="F406" s="80"/>
      <c r="G406" s="80" t="s">
        <v>106</v>
      </c>
      <c r="H406" s="80"/>
      <c r="I406" s="80"/>
      <c r="J406" s="80"/>
      <c r="K406" s="80"/>
      <c r="L406" s="81" t="str">
        <f aca="false">IF(K406="","",IFERROR(INDEX(BARDAGE!$C$7:$C$1506,MATCH(K406,BARDAGE!$B$7:$B$1506,0)),"? hors registre"))</f>
        <v/>
      </c>
      <c r="M406" s="80"/>
      <c r="N406" s="81" t="str">
        <f aca="false">IF(M406="","",IFERROR(INDEX(BARDAGE!$C$7:$C$1506,MATCH(M406,BARDAGE!$B$7:$B$1506,0)),"? hors registre"))</f>
        <v/>
      </c>
      <c r="O406" s="80"/>
      <c r="P406" s="80"/>
      <c r="Q406" s="80"/>
      <c r="R406" s="82"/>
      <c r="S406" s="82"/>
      <c r="T406" s="80"/>
      <c r="U406" s="80"/>
      <c r="V406" s="82"/>
      <c r="W406" s="80"/>
      <c r="X406" s="80"/>
      <c r="Y406" s="80"/>
      <c r="Z406" s="80"/>
      <c r="AA406" s="82"/>
      <c r="AB406" s="80"/>
      <c r="AC406" s="80"/>
      <c r="AD406" s="80"/>
      <c r="AE406" s="80"/>
      <c r="AF406" s="82"/>
      <c r="AG406" s="80"/>
      <c r="AH406" s="80"/>
      <c r="AI406" s="82"/>
      <c r="AJ406" s="79"/>
      <c r="AK406" s="78" t="n">
        <f aca="false">IF(E406="","",(X406&lt;&gt;"")+(AC406&lt;&gt;"")+(AH406&lt;&gt;""))</f>
        <v>0</v>
      </c>
      <c r="AL406" s="81" t="str">
        <f aca="false">IF(AH406&lt;&gt;"",AH406,IF(AC406&lt;&gt;"",AC406,IF(X406&lt;&gt;"",X406,"")))</f>
        <v/>
      </c>
      <c r="AM406" s="83" t="str">
        <f aca="false">IF(E406="","",IF(R406="","À SOUDER",IF(U406="","VT EN ATTENTE",IF(U406="R","VT REJETÉ – À REPRENDRE",IF(AL406="","À RADIOGRAPHIER",IF(AL406="A","ACCEPTÉ",IF(AL406="NX","NX – RT À REFAIRE",IF(IF(AK406=1,Z406,IF(AK406=2,AE406,""))="A","RÉPARÉ – À RADIOGRAPHIER",IF(IF(AK406=1,Z406,IF(AK406=2,AE406,""))="R","VT REJETÉ – À REPRENDRE",IF(OR(AL406="CO",AL406="NT"),"COUPE – À RESOUDER","À RÉPARER"))))))))))</f>
        <v>À SOUDER</v>
      </c>
      <c r="AN406" s="81" t="str">
        <f aca="false">IF(AND(ISNUMBER(R406),OR(AM406="À RADIOGRAPHIER",AM406="RÉPARÉ – À RADIOGRAPHIER",AM406="NX – RT À REFAIRE",AM406="À RÉPARER",AM406="COUPE – À RESOUDER",AM406="VT REJETÉ – À REPRENDRE")),MAX(0,'PROGRAMME RT'!$C$4-R406),"")</f>
        <v/>
      </c>
      <c r="AO406" s="78" t="n">
        <f aca="false">IF(AND(OR(AM406="À RADIOGRAPHIER",AM406="RÉPARÉ – À RADIOGRAPHIER",AM406="NX – RT À REFAIRE"),OR('PROGRAMME RT'!$D$5="TOUTES",B406='PROGRAMME RT'!$D$5)),1,0)</f>
        <v>0</v>
      </c>
      <c r="AP406" s="78" t="str">
        <f aca="false">IF(AO406=1,SUM(AO$7:AO406),"")</f>
        <v/>
      </c>
      <c r="AQ406" s="78" t="n">
        <f aca="false">IF(AND(OR(X406="R",X406="NX",X406="NT",X406="CO"),OR('JOINTS DE RÉPARATION'!$D$5="TOUTES",B406='JOINTS DE RÉPARATION'!$D$5),OR('JOINTS DE RÉPARATION'!$L$4="TOUS",AM406&lt;&gt;"ACCEPTÉ")),1,0)</f>
        <v>0</v>
      </c>
      <c r="AR406" s="78" t="str">
        <f aca="false">IF(AQ406=1,SUM(AQ$7:AQ406),"")</f>
        <v/>
      </c>
    </row>
    <row r="407" customFormat="false" ht="15" hidden="false" customHeight="false" outlineLevel="0" collapsed="false">
      <c r="A407" s="78" t="n">
        <f aca="false">IF(E407="","",ROW()-6)</f>
        <v>401</v>
      </c>
      <c r="B407" s="79" t="s">
        <v>575</v>
      </c>
      <c r="C407" s="80"/>
      <c r="D407" s="80"/>
      <c r="E407" s="80" t="s">
        <v>561</v>
      </c>
      <c r="F407" s="80"/>
      <c r="G407" s="80" t="s">
        <v>106</v>
      </c>
      <c r="H407" s="80"/>
      <c r="I407" s="80"/>
      <c r="J407" s="80"/>
      <c r="K407" s="80"/>
      <c r="L407" s="81" t="str">
        <f aca="false">IF(K407="","",IFERROR(INDEX(BARDAGE!$C$7:$C$1506,MATCH(K407,BARDAGE!$B$7:$B$1506,0)),"? hors registre"))</f>
        <v/>
      </c>
      <c r="M407" s="80"/>
      <c r="N407" s="81" t="str">
        <f aca="false">IF(M407="","",IFERROR(INDEX(BARDAGE!$C$7:$C$1506,MATCH(M407,BARDAGE!$B$7:$B$1506,0)),"? hors registre"))</f>
        <v/>
      </c>
      <c r="O407" s="80"/>
      <c r="P407" s="80"/>
      <c r="Q407" s="80"/>
      <c r="R407" s="82"/>
      <c r="S407" s="82"/>
      <c r="T407" s="80"/>
      <c r="U407" s="80"/>
      <c r="V407" s="82"/>
      <c r="W407" s="80"/>
      <c r="X407" s="80"/>
      <c r="Y407" s="80"/>
      <c r="Z407" s="80"/>
      <c r="AA407" s="82"/>
      <c r="AB407" s="80"/>
      <c r="AC407" s="80"/>
      <c r="AD407" s="80"/>
      <c r="AE407" s="80"/>
      <c r="AF407" s="82"/>
      <c r="AG407" s="80"/>
      <c r="AH407" s="80"/>
      <c r="AI407" s="82"/>
      <c r="AJ407" s="79"/>
      <c r="AK407" s="78" t="n">
        <f aca="false">IF(E407="","",(X407&lt;&gt;"")+(AC407&lt;&gt;"")+(AH407&lt;&gt;""))</f>
        <v>0</v>
      </c>
      <c r="AL407" s="81" t="str">
        <f aca="false">IF(AH407&lt;&gt;"",AH407,IF(AC407&lt;&gt;"",AC407,IF(X407&lt;&gt;"",X407,"")))</f>
        <v/>
      </c>
      <c r="AM407" s="83" t="str">
        <f aca="false">IF(E407="","",IF(R407="","À SOUDER",IF(U407="","VT EN ATTENTE",IF(U407="R","VT REJETÉ – À REPRENDRE",IF(AL407="","À RADIOGRAPHIER",IF(AL407="A","ACCEPTÉ",IF(AL407="NX","NX – RT À REFAIRE",IF(IF(AK407=1,Z407,IF(AK407=2,AE407,""))="A","RÉPARÉ – À RADIOGRAPHIER",IF(IF(AK407=1,Z407,IF(AK407=2,AE407,""))="R","VT REJETÉ – À REPRENDRE",IF(OR(AL407="CO",AL407="NT"),"COUPE – À RESOUDER","À RÉPARER"))))))))))</f>
        <v>À SOUDER</v>
      </c>
      <c r="AN407" s="81" t="str">
        <f aca="false">IF(AND(ISNUMBER(R407),OR(AM407="À RADIOGRAPHIER",AM407="RÉPARÉ – À RADIOGRAPHIER",AM407="NX – RT À REFAIRE",AM407="À RÉPARER",AM407="COUPE – À RESOUDER",AM407="VT REJETÉ – À REPRENDRE")),MAX(0,'PROGRAMME RT'!$C$4-R407),"")</f>
        <v/>
      </c>
      <c r="AO407" s="78" t="n">
        <f aca="false">IF(AND(OR(AM407="À RADIOGRAPHIER",AM407="RÉPARÉ – À RADIOGRAPHIER",AM407="NX – RT À REFAIRE"),OR('PROGRAMME RT'!$D$5="TOUTES",B407='PROGRAMME RT'!$D$5)),1,0)</f>
        <v>0</v>
      </c>
      <c r="AP407" s="78" t="str">
        <f aca="false">IF(AO407=1,SUM(AO$7:AO407),"")</f>
        <v/>
      </c>
      <c r="AQ407" s="78" t="n">
        <f aca="false">IF(AND(OR(X407="R",X407="NX",X407="NT",X407="CO"),OR('JOINTS DE RÉPARATION'!$D$5="TOUTES",B407='JOINTS DE RÉPARATION'!$D$5),OR('JOINTS DE RÉPARATION'!$L$4="TOUS",AM407&lt;&gt;"ACCEPTÉ")),1,0)</f>
        <v>0</v>
      </c>
      <c r="AR407" s="78" t="str">
        <f aca="false">IF(AQ407=1,SUM(AQ$7:AQ407),"")</f>
        <v/>
      </c>
    </row>
    <row r="408" customFormat="false" ht="15" hidden="false" customHeight="false" outlineLevel="0" collapsed="false">
      <c r="A408" s="78" t="n">
        <f aca="false">IF(E408="","",ROW()-6)</f>
        <v>402</v>
      </c>
      <c r="B408" s="79" t="s">
        <v>575</v>
      </c>
      <c r="C408" s="80"/>
      <c r="D408" s="80"/>
      <c r="E408" s="80" t="s">
        <v>563</v>
      </c>
      <c r="F408" s="80"/>
      <c r="G408" s="80" t="s">
        <v>106</v>
      </c>
      <c r="H408" s="80"/>
      <c r="I408" s="80"/>
      <c r="J408" s="80"/>
      <c r="K408" s="80"/>
      <c r="L408" s="81" t="str">
        <f aca="false">IF(K408="","",IFERROR(INDEX(BARDAGE!$C$7:$C$1506,MATCH(K408,BARDAGE!$B$7:$B$1506,0)),"? hors registre"))</f>
        <v/>
      </c>
      <c r="M408" s="80"/>
      <c r="N408" s="81" t="str">
        <f aca="false">IF(M408="","",IFERROR(INDEX(BARDAGE!$C$7:$C$1506,MATCH(M408,BARDAGE!$B$7:$B$1506,0)),"? hors registre"))</f>
        <v/>
      </c>
      <c r="O408" s="80"/>
      <c r="P408" s="80"/>
      <c r="Q408" s="80"/>
      <c r="R408" s="82"/>
      <c r="S408" s="82"/>
      <c r="T408" s="80"/>
      <c r="U408" s="80"/>
      <c r="V408" s="82"/>
      <c r="W408" s="80"/>
      <c r="X408" s="80"/>
      <c r="Y408" s="80"/>
      <c r="Z408" s="80"/>
      <c r="AA408" s="82"/>
      <c r="AB408" s="80"/>
      <c r="AC408" s="80"/>
      <c r="AD408" s="80"/>
      <c r="AE408" s="80"/>
      <c r="AF408" s="82"/>
      <c r="AG408" s="80"/>
      <c r="AH408" s="80"/>
      <c r="AI408" s="82"/>
      <c r="AJ408" s="79"/>
      <c r="AK408" s="78" t="n">
        <f aca="false">IF(E408="","",(X408&lt;&gt;"")+(AC408&lt;&gt;"")+(AH408&lt;&gt;""))</f>
        <v>0</v>
      </c>
      <c r="AL408" s="81" t="str">
        <f aca="false">IF(AH408&lt;&gt;"",AH408,IF(AC408&lt;&gt;"",AC408,IF(X408&lt;&gt;"",X408,"")))</f>
        <v/>
      </c>
      <c r="AM408" s="83" t="str">
        <f aca="false">IF(E408="","",IF(R408="","À SOUDER",IF(U408="","VT EN ATTENTE",IF(U408="R","VT REJETÉ – À REPRENDRE",IF(AL408="","À RADIOGRAPHIER",IF(AL408="A","ACCEPTÉ",IF(AL408="NX","NX – RT À REFAIRE",IF(IF(AK408=1,Z408,IF(AK408=2,AE408,""))="A","RÉPARÉ – À RADIOGRAPHIER",IF(IF(AK408=1,Z408,IF(AK408=2,AE408,""))="R","VT REJETÉ – À REPRENDRE",IF(OR(AL408="CO",AL408="NT"),"COUPE – À RESOUDER","À RÉPARER"))))))))))</f>
        <v>À SOUDER</v>
      </c>
      <c r="AN408" s="81" t="str">
        <f aca="false">IF(AND(ISNUMBER(R408),OR(AM408="À RADIOGRAPHIER",AM408="RÉPARÉ – À RADIOGRAPHIER",AM408="NX – RT À REFAIRE",AM408="À RÉPARER",AM408="COUPE – À RESOUDER",AM408="VT REJETÉ – À REPRENDRE")),MAX(0,'PROGRAMME RT'!$C$4-R408),"")</f>
        <v/>
      </c>
      <c r="AO408" s="78" t="n">
        <f aca="false">IF(AND(OR(AM408="À RADIOGRAPHIER",AM408="RÉPARÉ – À RADIOGRAPHIER",AM408="NX – RT À REFAIRE"),OR('PROGRAMME RT'!$D$5="TOUTES",B408='PROGRAMME RT'!$D$5)),1,0)</f>
        <v>0</v>
      </c>
      <c r="AP408" s="78" t="str">
        <f aca="false">IF(AO408=1,SUM(AO$7:AO408),"")</f>
        <v/>
      </c>
      <c r="AQ408" s="78" t="n">
        <f aca="false">IF(AND(OR(X408="R",X408="NX",X408="NT",X408="CO"),OR('JOINTS DE RÉPARATION'!$D$5="TOUTES",B408='JOINTS DE RÉPARATION'!$D$5),OR('JOINTS DE RÉPARATION'!$L$4="TOUS",AM408&lt;&gt;"ACCEPTÉ")),1,0)</f>
        <v>0</v>
      </c>
      <c r="AR408" s="78" t="str">
        <f aca="false">IF(AQ408=1,SUM(AQ$7:AQ408),"")</f>
        <v/>
      </c>
    </row>
    <row r="409" customFormat="false" ht="15" hidden="false" customHeight="false" outlineLevel="0" collapsed="false">
      <c r="A409" s="78" t="n">
        <f aca="false">IF(E409="","",ROW()-6)</f>
        <v>403</v>
      </c>
      <c r="B409" s="79" t="s">
        <v>575</v>
      </c>
      <c r="C409" s="80"/>
      <c r="D409" s="80"/>
      <c r="E409" s="80" t="s">
        <v>565</v>
      </c>
      <c r="F409" s="80"/>
      <c r="G409" s="80" t="s">
        <v>106</v>
      </c>
      <c r="H409" s="80"/>
      <c r="I409" s="80"/>
      <c r="J409" s="80"/>
      <c r="K409" s="80"/>
      <c r="L409" s="81" t="str">
        <f aca="false">IF(K409="","",IFERROR(INDEX(BARDAGE!$C$7:$C$1506,MATCH(K409,BARDAGE!$B$7:$B$1506,0)),"? hors registre"))</f>
        <v/>
      </c>
      <c r="M409" s="80"/>
      <c r="N409" s="81" t="str">
        <f aca="false">IF(M409="","",IFERROR(INDEX(BARDAGE!$C$7:$C$1506,MATCH(M409,BARDAGE!$B$7:$B$1506,0)),"? hors registre"))</f>
        <v/>
      </c>
      <c r="O409" s="80"/>
      <c r="P409" s="80"/>
      <c r="Q409" s="80"/>
      <c r="R409" s="82"/>
      <c r="S409" s="82"/>
      <c r="T409" s="80"/>
      <c r="U409" s="80"/>
      <c r="V409" s="82"/>
      <c r="W409" s="80"/>
      <c r="X409" s="80"/>
      <c r="Y409" s="80"/>
      <c r="Z409" s="80"/>
      <c r="AA409" s="82"/>
      <c r="AB409" s="80"/>
      <c r="AC409" s="80"/>
      <c r="AD409" s="80"/>
      <c r="AE409" s="80"/>
      <c r="AF409" s="82"/>
      <c r="AG409" s="80"/>
      <c r="AH409" s="80"/>
      <c r="AI409" s="82"/>
      <c r="AJ409" s="79"/>
      <c r="AK409" s="78" t="n">
        <f aca="false">IF(E409="","",(X409&lt;&gt;"")+(AC409&lt;&gt;"")+(AH409&lt;&gt;""))</f>
        <v>0</v>
      </c>
      <c r="AL409" s="81" t="str">
        <f aca="false">IF(AH409&lt;&gt;"",AH409,IF(AC409&lt;&gt;"",AC409,IF(X409&lt;&gt;"",X409,"")))</f>
        <v/>
      </c>
      <c r="AM409" s="83" t="str">
        <f aca="false">IF(E409="","",IF(R409="","À SOUDER",IF(U409="","VT EN ATTENTE",IF(U409="R","VT REJETÉ – À REPRENDRE",IF(AL409="","À RADIOGRAPHIER",IF(AL409="A","ACCEPTÉ",IF(AL409="NX","NX – RT À REFAIRE",IF(IF(AK409=1,Z409,IF(AK409=2,AE409,""))="A","RÉPARÉ – À RADIOGRAPHIER",IF(IF(AK409=1,Z409,IF(AK409=2,AE409,""))="R","VT REJETÉ – À REPRENDRE",IF(OR(AL409="CO",AL409="NT"),"COUPE – À RESOUDER","À RÉPARER"))))))))))</f>
        <v>À SOUDER</v>
      </c>
      <c r="AN409" s="81" t="str">
        <f aca="false">IF(AND(ISNUMBER(R409),OR(AM409="À RADIOGRAPHIER",AM409="RÉPARÉ – À RADIOGRAPHIER",AM409="NX – RT À REFAIRE",AM409="À RÉPARER",AM409="COUPE – À RESOUDER",AM409="VT REJETÉ – À REPRENDRE")),MAX(0,'PROGRAMME RT'!$C$4-R409),"")</f>
        <v/>
      </c>
      <c r="AO409" s="78" t="n">
        <f aca="false">IF(AND(OR(AM409="À RADIOGRAPHIER",AM409="RÉPARÉ – À RADIOGRAPHIER",AM409="NX – RT À REFAIRE"),OR('PROGRAMME RT'!$D$5="TOUTES",B409='PROGRAMME RT'!$D$5)),1,0)</f>
        <v>0</v>
      </c>
      <c r="AP409" s="78" t="str">
        <f aca="false">IF(AO409=1,SUM(AO$7:AO409),"")</f>
        <v/>
      </c>
      <c r="AQ409" s="78" t="n">
        <f aca="false">IF(AND(OR(X409="R",X409="NX",X409="NT",X409="CO"),OR('JOINTS DE RÉPARATION'!$D$5="TOUTES",B409='JOINTS DE RÉPARATION'!$D$5),OR('JOINTS DE RÉPARATION'!$L$4="TOUS",AM409&lt;&gt;"ACCEPTÉ")),1,0)</f>
        <v>0</v>
      </c>
      <c r="AR409" s="78" t="str">
        <f aca="false">IF(AQ409=1,SUM(AQ$7:AQ409),"")</f>
        <v/>
      </c>
    </row>
    <row r="410" customFormat="false" ht="15" hidden="false" customHeight="false" outlineLevel="0" collapsed="false">
      <c r="A410" s="78" t="n">
        <f aca="false">IF(E410="","",ROW()-6)</f>
        <v>404</v>
      </c>
      <c r="B410" s="79" t="s">
        <v>575</v>
      </c>
      <c r="C410" s="80"/>
      <c r="D410" s="80"/>
      <c r="E410" s="80" t="s">
        <v>567</v>
      </c>
      <c r="F410" s="80"/>
      <c r="G410" s="80" t="s">
        <v>106</v>
      </c>
      <c r="H410" s="80"/>
      <c r="I410" s="80"/>
      <c r="J410" s="80"/>
      <c r="K410" s="80"/>
      <c r="L410" s="81" t="str">
        <f aca="false">IF(K410="","",IFERROR(INDEX(BARDAGE!$C$7:$C$1506,MATCH(K410,BARDAGE!$B$7:$B$1506,0)),"? hors registre"))</f>
        <v/>
      </c>
      <c r="M410" s="80"/>
      <c r="N410" s="81" t="str">
        <f aca="false">IF(M410="","",IFERROR(INDEX(BARDAGE!$C$7:$C$1506,MATCH(M410,BARDAGE!$B$7:$B$1506,0)),"? hors registre"))</f>
        <v/>
      </c>
      <c r="O410" s="80"/>
      <c r="P410" s="80"/>
      <c r="Q410" s="80"/>
      <c r="R410" s="82"/>
      <c r="S410" s="82"/>
      <c r="T410" s="80"/>
      <c r="U410" s="80"/>
      <c r="V410" s="82"/>
      <c r="W410" s="80"/>
      <c r="X410" s="80"/>
      <c r="Y410" s="80"/>
      <c r="Z410" s="80"/>
      <c r="AA410" s="82"/>
      <c r="AB410" s="80"/>
      <c r="AC410" s="80"/>
      <c r="AD410" s="80"/>
      <c r="AE410" s="80"/>
      <c r="AF410" s="82"/>
      <c r="AG410" s="80"/>
      <c r="AH410" s="80"/>
      <c r="AI410" s="82"/>
      <c r="AJ410" s="79"/>
      <c r="AK410" s="78" t="n">
        <f aca="false">IF(E410="","",(X410&lt;&gt;"")+(AC410&lt;&gt;"")+(AH410&lt;&gt;""))</f>
        <v>0</v>
      </c>
      <c r="AL410" s="81" t="str">
        <f aca="false">IF(AH410&lt;&gt;"",AH410,IF(AC410&lt;&gt;"",AC410,IF(X410&lt;&gt;"",X410,"")))</f>
        <v/>
      </c>
      <c r="AM410" s="83" t="str">
        <f aca="false">IF(E410="","",IF(R410="","À SOUDER",IF(U410="","VT EN ATTENTE",IF(U410="R","VT REJETÉ – À REPRENDRE",IF(AL410="","À RADIOGRAPHIER",IF(AL410="A","ACCEPTÉ",IF(AL410="NX","NX – RT À REFAIRE",IF(IF(AK410=1,Z410,IF(AK410=2,AE410,""))="A","RÉPARÉ – À RADIOGRAPHIER",IF(IF(AK410=1,Z410,IF(AK410=2,AE410,""))="R","VT REJETÉ – À REPRENDRE",IF(OR(AL410="CO",AL410="NT"),"COUPE – À RESOUDER","À RÉPARER"))))))))))</f>
        <v>À SOUDER</v>
      </c>
      <c r="AN410" s="81" t="str">
        <f aca="false">IF(AND(ISNUMBER(R410),OR(AM410="À RADIOGRAPHIER",AM410="RÉPARÉ – À RADIOGRAPHIER",AM410="NX – RT À REFAIRE",AM410="À RÉPARER",AM410="COUPE – À RESOUDER",AM410="VT REJETÉ – À REPRENDRE")),MAX(0,'PROGRAMME RT'!$C$4-R410),"")</f>
        <v/>
      </c>
      <c r="AO410" s="78" t="n">
        <f aca="false">IF(AND(OR(AM410="À RADIOGRAPHIER",AM410="RÉPARÉ – À RADIOGRAPHIER",AM410="NX – RT À REFAIRE"),OR('PROGRAMME RT'!$D$5="TOUTES",B410='PROGRAMME RT'!$D$5)),1,0)</f>
        <v>0</v>
      </c>
      <c r="AP410" s="78" t="str">
        <f aca="false">IF(AO410=1,SUM(AO$7:AO410),"")</f>
        <v/>
      </c>
      <c r="AQ410" s="78" t="n">
        <f aca="false">IF(AND(OR(X410="R",X410="NX",X410="NT",X410="CO"),OR('JOINTS DE RÉPARATION'!$D$5="TOUTES",B410='JOINTS DE RÉPARATION'!$D$5),OR('JOINTS DE RÉPARATION'!$L$4="TOUS",AM410&lt;&gt;"ACCEPTÉ")),1,0)</f>
        <v>0</v>
      </c>
      <c r="AR410" s="78" t="str">
        <f aca="false">IF(AQ410=1,SUM(AQ$7:AQ410),"")</f>
        <v/>
      </c>
    </row>
    <row r="411" customFormat="false" ht="15" hidden="false" customHeight="false" outlineLevel="0" collapsed="false">
      <c r="A411" s="78" t="n">
        <f aca="false">IF(E411="","",ROW()-6)</f>
        <v>405</v>
      </c>
      <c r="B411" s="79" t="s">
        <v>575</v>
      </c>
      <c r="C411" s="80"/>
      <c r="D411" s="80"/>
      <c r="E411" s="80" t="s">
        <v>570</v>
      </c>
      <c r="F411" s="80"/>
      <c r="G411" s="80" t="s">
        <v>106</v>
      </c>
      <c r="H411" s="80"/>
      <c r="I411" s="80"/>
      <c r="J411" s="80"/>
      <c r="K411" s="80"/>
      <c r="L411" s="81" t="str">
        <f aca="false">IF(K411="","",IFERROR(INDEX(BARDAGE!$C$7:$C$1506,MATCH(K411,BARDAGE!$B$7:$B$1506,0)),"? hors registre"))</f>
        <v/>
      </c>
      <c r="M411" s="80"/>
      <c r="N411" s="81" t="str">
        <f aca="false">IF(M411="","",IFERROR(INDEX(BARDAGE!$C$7:$C$1506,MATCH(M411,BARDAGE!$B$7:$B$1506,0)),"? hors registre"))</f>
        <v/>
      </c>
      <c r="O411" s="80"/>
      <c r="P411" s="80"/>
      <c r="Q411" s="80"/>
      <c r="R411" s="82"/>
      <c r="S411" s="82"/>
      <c r="T411" s="80"/>
      <c r="U411" s="80"/>
      <c r="V411" s="82"/>
      <c r="W411" s="80"/>
      <c r="X411" s="80"/>
      <c r="Y411" s="80"/>
      <c r="Z411" s="80"/>
      <c r="AA411" s="82"/>
      <c r="AB411" s="80"/>
      <c r="AC411" s="80"/>
      <c r="AD411" s="80"/>
      <c r="AE411" s="80"/>
      <c r="AF411" s="82"/>
      <c r="AG411" s="80"/>
      <c r="AH411" s="80"/>
      <c r="AI411" s="82"/>
      <c r="AJ411" s="79"/>
      <c r="AK411" s="78" t="n">
        <f aca="false">IF(E411="","",(X411&lt;&gt;"")+(AC411&lt;&gt;"")+(AH411&lt;&gt;""))</f>
        <v>0</v>
      </c>
      <c r="AL411" s="81" t="str">
        <f aca="false">IF(AH411&lt;&gt;"",AH411,IF(AC411&lt;&gt;"",AC411,IF(X411&lt;&gt;"",X411,"")))</f>
        <v/>
      </c>
      <c r="AM411" s="83" t="str">
        <f aca="false">IF(E411="","",IF(R411="","À SOUDER",IF(U411="","VT EN ATTENTE",IF(U411="R","VT REJETÉ – À REPRENDRE",IF(AL411="","À RADIOGRAPHIER",IF(AL411="A","ACCEPTÉ",IF(AL411="NX","NX – RT À REFAIRE",IF(IF(AK411=1,Z411,IF(AK411=2,AE411,""))="A","RÉPARÉ – À RADIOGRAPHIER",IF(IF(AK411=1,Z411,IF(AK411=2,AE411,""))="R","VT REJETÉ – À REPRENDRE",IF(OR(AL411="CO",AL411="NT"),"COUPE – À RESOUDER","À RÉPARER"))))))))))</f>
        <v>À SOUDER</v>
      </c>
      <c r="AN411" s="81" t="str">
        <f aca="false">IF(AND(ISNUMBER(R411),OR(AM411="À RADIOGRAPHIER",AM411="RÉPARÉ – À RADIOGRAPHIER",AM411="NX – RT À REFAIRE",AM411="À RÉPARER",AM411="COUPE – À RESOUDER",AM411="VT REJETÉ – À REPRENDRE")),MAX(0,'PROGRAMME RT'!$C$4-R411),"")</f>
        <v/>
      </c>
      <c r="AO411" s="78" t="n">
        <f aca="false">IF(AND(OR(AM411="À RADIOGRAPHIER",AM411="RÉPARÉ – À RADIOGRAPHIER",AM411="NX – RT À REFAIRE"),OR('PROGRAMME RT'!$D$5="TOUTES",B411='PROGRAMME RT'!$D$5)),1,0)</f>
        <v>0</v>
      </c>
      <c r="AP411" s="78" t="str">
        <f aca="false">IF(AO411=1,SUM(AO$7:AO411),"")</f>
        <v/>
      </c>
      <c r="AQ411" s="78" t="n">
        <f aca="false">IF(AND(OR(X411="R",X411="NX",X411="NT",X411="CO"),OR('JOINTS DE RÉPARATION'!$D$5="TOUTES",B411='JOINTS DE RÉPARATION'!$D$5),OR('JOINTS DE RÉPARATION'!$L$4="TOUS",AM411&lt;&gt;"ACCEPTÉ")),1,0)</f>
        <v>0</v>
      </c>
      <c r="AR411" s="78" t="str">
        <f aca="false">IF(AQ411=1,SUM(AQ$7:AQ411),"")</f>
        <v/>
      </c>
    </row>
    <row r="412" customFormat="false" ht="15" hidden="false" customHeight="false" outlineLevel="0" collapsed="false">
      <c r="A412" s="78" t="n">
        <f aca="false">IF(E412="","",ROW()-6)</f>
        <v>406</v>
      </c>
      <c r="B412" s="79" t="s">
        <v>585</v>
      </c>
      <c r="C412" s="80"/>
      <c r="D412" s="80"/>
      <c r="E412" s="80" t="s">
        <v>104</v>
      </c>
      <c r="F412" s="80"/>
      <c r="G412" s="80" t="s">
        <v>106</v>
      </c>
      <c r="H412" s="80"/>
      <c r="I412" s="80"/>
      <c r="J412" s="80"/>
      <c r="K412" s="80"/>
      <c r="L412" s="81" t="str">
        <f aca="false">IF(K412="","",IFERROR(INDEX(BARDAGE!$C$7:$C$1506,MATCH(K412,BARDAGE!$B$7:$B$1506,0)),"? hors registre"))</f>
        <v/>
      </c>
      <c r="M412" s="80"/>
      <c r="N412" s="81" t="str">
        <f aca="false">IF(M412="","",IFERROR(INDEX(BARDAGE!$C$7:$C$1506,MATCH(M412,BARDAGE!$B$7:$B$1506,0)),"? hors registre"))</f>
        <v/>
      </c>
      <c r="O412" s="80"/>
      <c r="P412" s="80"/>
      <c r="Q412" s="80"/>
      <c r="R412" s="82"/>
      <c r="S412" s="82"/>
      <c r="T412" s="80"/>
      <c r="U412" s="80"/>
      <c r="V412" s="82"/>
      <c r="W412" s="80"/>
      <c r="X412" s="80"/>
      <c r="Y412" s="80"/>
      <c r="Z412" s="80"/>
      <c r="AA412" s="82"/>
      <c r="AB412" s="80"/>
      <c r="AC412" s="80"/>
      <c r="AD412" s="80"/>
      <c r="AE412" s="80"/>
      <c r="AF412" s="82"/>
      <c r="AG412" s="80"/>
      <c r="AH412" s="80"/>
      <c r="AI412" s="82"/>
      <c r="AJ412" s="79"/>
      <c r="AK412" s="78" t="n">
        <f aca="false">IF(E412="","",(X412&lt;&gt;"")+(AC412&lt;&gt;"")+(AH412&lt;&gt;""))</f>
        <v>0</v>
      </c>
      <c r="AL412" s="81" t="str">
        <f aca="false">IF(AH412&lt;&gt;"",AH412,IF(AC412&lt;&gt;"",AC412,IF(X412&lt;&gt;"",X412,"")))</f>
        <v/>
      </c>
      <c r="AM412" s="83" t="str">
        <f aca="false">IF(E412="","",IF(R412="","À SOUDER",IF(U412="","VT EN ATTENTE",IF(U412="R","VT REJETÉ – À REPRENDRE",IF(AL412="","À RADIOGRAPHIER",IF(AL412="A","ACCEPTÉ",IF(AL412="NX","NX – RT À REFAIRE",IF(IF(AK412=1,Z412,IF(AK412=2,AE412,""))="A","RÉPARÉ – À RADIOGRAPHIER",IF(IF(AK412=1,Z412,IF(AK412=2,AE412,""))="R","VT REJETÉ – À REPRENDRE",IF(OR(AL412="CO",AL412="NT"),"COUPE – À RESOUDER","À RÉPARER"))))))))))</f>
        <v>À SOUDER</v>
      </c>
      <c r="AN412" s="81" t="str">
        <f aca="false">IF(AND(ISNUMBER(R412),OR(AM412="À RADIOGRAPHIER",AM412="RÉPARÉ – À RADIOGRAPHIER",AM412="NX – RT À REFAIRE",AM412="À RÉPARER",AM412="COUPE – À RESOUDER",AM412="VT REJETÉ – À REPRENDRE")),MAX(0,'PROGRAMME RT'!$C$4-R412),"")</f>
        <v/>
      </c>
      <c r="AO412" s="78" t="n">
        <f aca="false">IF(AND(OR(AM412="À RADIOGRAPHIER",AM412="RÉPARÉ – À RADIOGRAPHIER",AM412="NX – RT À REFAIRE"),OR('PROGRAMME RT'!$D$5="TOUTES",B412='PROGRAMME RT'!$D$5)),1,0)</f>
        <v>0</v>
      </c>
      <c r="AP412" s="78" t="str">
        <f aca="false">IF(AO412=1,SUM(AO$7:AO412),"")</f>
        <v/>
      </c>
      <c r="AQ412" s="78" t="n">
        <f aca="false">IF(AND(OR(X412="R",X412="NX",X412="NT",X412="CO"),OR('JOINTS DE RÉPARATION'!$D$5="TOUTES",B412='JOINTS DE RÉPARATION'!$D$5),OR('JOINTS DE RÉPARATION'!$L$4="TOUS",AM412&lt;&gt;"ACCEPTÉ")),1,0)</f>
        <v>0</v>
      </c>
      <c r="AR412" s="78" t="str">
        <f aca="false">IF(AQ412=1,SUM(AQ$7:AQ412),"")</f>
        <v/>
      </c>
    </row>
    <row r="413" customFormat="false" ht="15" hidden="false" customHeight="false" outlineLevel="0" collapsed="false">
      <c r="A413" s="78" t="n">
        <f aca="false">IF(E413="","",ROW()-6)</f>
        <v>407</v>
      </c>
      <c r="B413" s="79" t="s">
        <v>585</v>
      </c>
      <c r="C413" s="80"/>
      <c r="D413" s="80"/>
      <c r="E413" s="80" t="s">
        <v>107</v>
      </c>
      <c r="F413" s="80"/>
      <c r="G413" s="80" t="s">
        <v>106</v>
      </c>
      <c r="H413" s="80"/>
      <c r="I413" s="80"/>
      <c r="J413" s="80"/>
      <c r="K413" s="80"/>
      <c r="L413" s="81" t="str">
        <f aca="false">IF(K413="","",IFERROR(INDEX(BARDAGE!$C$7:$C$1506,MATCH(K413,BARDAGE!$B$7:$B$1506,0)),"? hors registre"))</f>
        <v/>
      </c>
      <c r="M413" s="80"/>
      <c r="N413" s="81" t="str">
        <f aca="false">IF(M413="","",IFERROR(INDEX(BARDAGE!$C$7:$C$1506,MATCH(M413,BARDAGE!$B$7:$B$1506,0)),"? hors registre"))</f>
        <v/>
      </c>
      <c r="O413" s="80"/>
      <c r="P413" s="80"/>
      <c r="Q413" s="80"/>
      <c r="R413" s="82"/>
      <c r="S413" s="82"/>
      <c r="T413" s="80"/>
      <c r="U413" s="80"/>
      <c r="V413" s="82"/>
      <c r="W413" s="80"/>
      <c r="X413" s="80"/>
      <c r="Y413" s="80"/>
      <c r="Z413" s="80"/>
      <c r="AA413" s="82"/>
      <c r="AB413" s="80"/>
      <c r="AC413" s="80"/>
      <c r="AD413" s="80"/>
      <c r="AE413" s="80"/>
      <c r="AF413" s="82"/>
      <c r="AG413" s="80"/>
      <c r="AH413" s="80"/>
      <c r="AI413" s="82"/>
      <c r="AJ413" s="79"/>
      <c r="AK413" s="78" t="n">
        <f aca="false">IF(E413="","",(X413&lt;&gt;"")+(AC413&lt;&gt;"")+(AH413&lt;&gt;""))</f>
        <v>0</v>
      </c>
      <c r="AL413" s="81" t="str">
        <f aca="false">IF(AH413&lt;&gt;"",AH413,IF(AC413&lt;&gt;"",AC413,IF(X413&lt;&gt;"",X413,"")))</f>
        <v/>
      </c>
      <c r="AM413" s="83" t="str">
        <f aca="false">IF(E413="","",IF(R413="","À SOUDER",IF(U413="","VT EN ATTENTE",IF(U413="R","VT REJETÉ – À REPRENDRE",IF(AL413="","À RADIOGRAPHIER",IF(AL413="A","ACCEPTÉ",IF(AL413="NX","NX – RT À REFAIRE",IF(IF(AK413=1,Z413,IF(AK413=2,AE413,""))="A","RÉPARÉ – À RADIOGRAPHIER",IF(IF(AK413=1,Z413,IF(AK413=2,AE413,""))="R","VT REJETÉ – À REPRENDRE",IF(OR(AL413="CO",AL413="NT"),"COUPE – À RESOUDER","À RÉPARER"))))))))))</f>
        <v>À SOUDER</v>
      </c>
      <c r="AN413" s="81" t="str">
        <f aca="false">IF(AND(ISNUMBER(R413),OR(AM413="À RADIOGRAPHIER",AM413="RÉPARÉ – À RADIOGRAPHIER",AM413="NX – RT À REFAIRE",AM413="À RÉPARER",AM413="COUPE – À RESOUDER",AM413="VT REJETÉ – À REPRENDRE")),MAX(0,'PROGRAMME RT'!$C$4-R413),"")</f>
        <v/>
      </c>
      <c r="AO413" s="78" t="n">
        <f aca="false">IF(AND(OR(AM413="À RADIOGRAPHIER",AM413="RÉPARÉ – À RADIOGRAPHIER",AM413="NX – RT À REFAIRE"),OR('PROGRAMME RT'!$D$5="TOUTES",B413='PROGRAMME RT'!$D$5)),1,0)</f>
        <v>0</v>
      </c>
      <c r="AP413" s="78" t="str">
        <f aca="false">IF(AO413=1,SUM(AO$7:AO413),"")</f>
        <v/>
      </c>
      <c r="AQ413" s="78" t="n">
        <f aca="false">IF(AND(OR(X413="R",X413="NX",X413="NT",X413="CO"),OR('JOINTS DE RÉPARATION'!$D$5="TOUTES",B413='JOINTS DE RÉPARATION'!$D$5),OR('JOINTS DE RÉPARATION'!$L$4="TOUS",AM413&lt;&gt;"ACCEPTÉ")),1,0)</f>
        <v>0</v>
      </c>
      <c r="AR413" s="78" t="str">
        <f aca="false">IF(AQ413=1,SUM(AQ$7:AQ413),"")</f>
        <v/>
      </c>
    </row>
    <row r="414" customFormat="false" ht="15" hidden="false" customHeight="false" outlineLevel="0" collapsed="false">
      <c r="A414" s="78" t="n">
        <f aca="false">IF(E414="","",ROW()-6)</f>
        <v>408</v>
      </c>
      <c r="B414" s="79" t="s">
        <v>585</v>
      </c>
      <c r="C414" s="80"/>
      <c r="D414" s="80"/>
      <c r="E414" s="80" t="s">
        <v>108</v>
      </c>
      <c r="F414" s="80"/>
      <c r="G414" s="80" t="s">
        <v>106</v>
      </c>
      <c r="H414" s="80"/>
      <c r="I414" s="80"/>
      <c r="J414" s="80"/>
      <c r="K414" s="80"/>
      <c r="L414" s="81" t="str">
        <f aca="false">IF(K414="","",IFERROR(INDEX(BARDAGE!$C$7:$C$1506,MATCH(K414,BARDAGE!$B$7:$B$1506,0)),"? hors registre"))</f>
        <v/>
      </c>
      <c r="M414" s="80"/>
      <c r="N414" s="81" t="str">
        <f aca="false">IF(M414="","",IFERROR(INDEX(BARDAGE!$C$7:$C$1506,MATCH(M414,BARDAGE!$B$7:$B$1506,0)),"? hors registre"))</f>
        <v/>
      </c>
      <c r="O414" s="80"/>
      <c r="P414" s="80"/>
      <c r="Q414" s="80"/>
      <c r="R414" s="82"/>
      <c r="S414" s="82"/>
      <c r="T414" s="80"/>
      <c r="U414" s="80"/>
      <c r="V414" s="82"/>
      <c r="W414" s="80"/>
      <c r="X414" s="80"/>
      <c r="Y414" s="80"/>
      <c r="Z414" s="80"/>
      <c r="AA414" s="82"/>
      <c r="AB414" s="80"/>
      <c r="AC414" s="80"/>
      <c r="AD414" s="80"/>
      <c r="AE414" s="80"/>
      <c r="AF414" s="82"/>
      <c r="AG414" s="80"/>
      <c r="AH414" s="80"/>
      <c r="AI414" s="82"/>
      <c r="AJ414" s="79"/>
      <c r="AK414" s="78" t="n">
        <f aca="false">IF(E414="","",(X414&lt;&gt;"")+(AC414&lt;&gt;"")+(AH414&lt;&gt;""))</f>
        <v>0</v>
      </c>
      <c r="AL414" s="81" t="str">
        <f aca="false">IF(AH414&lt;&gt;"",AH414,IF(AC414&lt;&gt;"",AC414,IF(X414&lt;&gt;"",X414,"")))</f>
        <v/>
      </c>
      <c r="AM414" s="83" t="str">
        <f aca="false">IF(E414="","",IF(R414="","À SOUDER",IF(U414="","VT EN ATTENTE",IF(U414="R","VT REJETÉ – À REPRENDRE",IF(AL414="","À RADIOGRAPHIER",IF(AL414="A","ACCEPTÉ",IF(AL414="NX","NX – RT À REFAIRE",IF(IF(AK414=1,Z414,IF(AK414=2,AE414,""))="A","RÉPARÉ – À RADIOGRAPHIER",IF(IF(AK414=1,Z414,IF(AK414=2,AE414,""))="R","VT REJETÉ – À REPRENDRE",IF(OR(AL414="CO",AL414="NT"),"COUPE – À RESOUDER","À RÉPARER"))))))))))</f>
        <v>À SOUDER</v>
      </c>
      <c r="AN414" s="81" t="str">
        <f aca="false">IF(AND(ISNUMBER(R414),OR(AM414="À RADIOGRAPHIER",AM414="RÉPARÉ – À RADIOGRAPHIER",AM414="NX – RT À REFAIRE",AM414="À RÉPARER",AM414="COUPE – À RESOUDER",AM414="VT REJETÉ – À REPRENDRE")),MAX(0,'PROGRAMME RT'!$C$4-R414),"")</f>
        <v/>
      </c>
      <c r="AO414" s="78" t="n">
        <f aca="false">IF(AND(OR(AM414="À RADIOGRAPHIER",AM414="RÉPARÉ – À RADIOGRAPHIER",AM414="NX – RT À REFAIRE"),OR('PROGRAMME RT'!$D$5="TOUTES",B414='PROGRAMME RT'!$D$5)),1,0)</f>
        <v>0</v>
      </c>
      <c r="AP414" s="78" t="str">
        <f aca="false">IF(AO414=1,SUM(AO$7:AO414),"")</f>
        <v/>
      </c>
      <c r="AQ414" s="78" t="n">
        <f aca="false">IF(AND(OR(X414="R",X414="NX",X414="NT",X414="CO"),OR('JOINTS DE RÉPARATION'!$D$5="TOUTES",B414='JOINTS DE RÉPARATION'!$D$5),OR('JOINTS DE RÉPARATION'!$L$4="TOUS",AM414&lt;&gt;"ACCEPTÉ")),1,0)</f>
        <v>0</v>
      </c>
      <c r="AR414" s="78" t="str">
        <f aca="false">IF(AQ414=1,SUM(AQ$7:AQ414),"")</f>
        <v/>
      </c>
    </row>
    <row r="415" customFormat="false" ht="15" hidden="false" customHeight="false" outlineLevel="0" collapsed="false">
      <c r="A415" s="78" t="n">
        <f aca="false">IF(E415="","",ROW()-6)</f>
        <v>409</v>
      </c>
      <c r="B415" s="79" t="s">
        <v>585</v>
      </c>
      <c r="C415" s="80"/>
      <c r="D415" s="80"/>
      <c r="E415" s="80" t="s">
        <v>109</v>
      </c>
      <c r="F415" s="80"/>
      <c r="G415" s="80" t="s">
        <v>106</v>
      </c>
      <c r="H415" s="80"/>
      <c r="I415" s="80"/>
      <c r="J415" s="80"/>
      <c r="K415" s="80"/>
      <c r="L415" s="81" t="str">
        <f aca="false">IF(K415="","",IFERROR(INDEX(BARDAGE!$C$7:$C$1506,MATCH(K415,BARDAGE!$B$7:$B$1506,0)),"? hors registre"))</f>
        <v/>
      </c>
      <c r="M415" s="80"/>
      <c r="N415" s="81" t="str">
        <f aca="false">IF(M415="","",IFERROR(INDEX(BARDAGE!$C$7:$C$1506,MATCH(M415,BARDAGE!$B$7:$B$1506,0)),"? hors registre"))</f>
        <v/>
      </c>
      <c r="O415" s="80"/>
      <c r="P415" s="80"/>
      <c r="Q415" s="80"/>
      <c r="R415" s="82"/>
      <c r="S415" s="82"/>
      <c r="T415" s="80"/>
      <c r="U415" s="80"/>
      <c r="V415" s="82"/>
      <c r="W415" s="80"/>
      <c r="X415" s="80"/>
      <c r="Y415" s="80"/>
      <c r="Z415" s="80"/>
      <c r="AA415" s="82"/>
      <c r="AB415" s="80"/>
      <c r="AC415" s="80"/>
      <c r="AD415" s="80"/>
      <c r="AE415" s="80"/>
      <c r="AF415" s="82"/>
      <c r="AG415" s="80"/>
      <c r="AH415" s="80"/>
      <c r="AI415" s="82"/>
      <c r="AJ415" s="79"/>
      <c r="AK415" s="78" t="n">
        <f aca="false">IF(E415="","",(X415&lt;&gt;"")+(AC415&lt;&gt;"")+(AH415&lt;&gt;""))</f>
        <v>0</v>
      </c>
      <c r="AL415" s="81" t="str">
        <f aca="false">IF(AH415&lt;&gt;"",AH415,IF(AC415&lt;&gt;"",AC415,IF(X415&lt;&gt;"",X415,"")))</f>
        <v/>
      </c>
      <c r="AM415" s="83" t="str">
        <f aca="false">IF(E415="","",IF(R415="","À SOUDER",IF(U415="","VT EN ATTENTE",IF(U415="R","VT REJETÉ – À REPRENDRE",IF(AL415="","À RADIOGRAPHIER",IF(AL415="A","ACCEPTÉ",IF(AL415="NX","NX – RT À REFAIRE",IF(IF(AK415=1,Z415,IF(AK415=2,AE415,""))="A","RÉPARÉ – À RADIOGRAPHIER",IF(IF(AK415=1,Z415,IF(AK415=2,AE415,""))="R","VT REJETÉ – À REPRENDRE",IF(OR(AL415="CO",AL415="NT"),"COUPE – À RESOUDER","À RÉPARER"))))))))))</f>
        <v>À SOUDER</v>
      </c>
      <c r="AN415" s="81" t="str">
        <f aca="false">IF(AND(ISNUMBER(R415),OR(AM415="À RADIOGRAPHIER",AM415="RÉPARÉ – À RADIOGRAPHIER",AM415="NX – RT À REFAIRE",AM415="À RÉPARER",AM415="COUPE – À RESOUDER",AM415="VT REJETÉ – À REPRENDRE")),MAX(0,'PROGRAMME RT'!$C$4-R415),"")</f>
        <v/>
      </c>
      <c r="AO415" s="78" t="n">
        <f aca="false">IF(AND(OR(AM415="À RADIOGRAPHIER",AM415="RÉPARÉ – À RADIOGRAPHIER",AM415="NX – RT À REFAIRE"),OR('PROGRAMME RT'!$D$5="TOUTES",B415='PROGRAMME RT'!$D$5)),1,0)</f>
        <v>0</v>
      </c>
      <c r="AP415" s="78" t="str">
        <f aca="false">IF(AO415=1,SUM(AO$7:AO415),"")</f>
        <v/>
      </c>
      <c r="AQ415" s="78" t="n">
        <f aca="false">IF(AND(OR(X415="R",X415="NX",X415="NT",X415="CO"),OR('JOINTS DE RÉPARATION'!$D$5="TOUTES",B415='JOINTS DE RÉPARATION'!$D$5),OR('JOINTS DE RÉPARATION'!$L$4="TOUS",AM415&lt;&gt;"ACCEPTÉ")),1,0)</f>
        <v>0</v>
      </c>
      <c r="AR415" s="78" t="str">
        <f aca="false">IF(AQ415=1,SUM(AQ$7:AQ415),"")</f>
        <v/>
      </c>
    </row>
    <row r="416" customFormat="false" ht="15" hidden="false" customHeight="false" outlineLevel="0" collapsed="false">
      <c r="A416" s="78" t="n">
        <f aca="false">IF(E416="","",ROW()-6)</f>
        <v>410</v>
      </c>
      <c r="B416" s="79" t="s">
        <v>585</v>
      </c>
      <c r="C416" s="80"/>
      <c r="D416" s="80"/>
      <c r="E416" s="80" t="s">
        <v>110</v>
      </c>
      <c r="F416" s="80"/>
      <c r="G416" s="80" t="s">
        <v>106</v>
      </c>
      <c r="H416" s="80"/>
      <c r="I416" s="80"/>
      <c r="J416" s="80"/>
      <c r="K416" s="80"/>
      <c r="L416" s="81" t="str">
        <f aca="false">IF(K416="","",IFERROR(INDEX(BARDAGE!$C$7:$C$1506,MATCH(K416,BARDAGE!$B$7:$B$1506,0)),"? hors registre"))</f>
        <v/>
      </c>
      <c r="M416" s="80"/>
      <c r="N416" s="81" t="str">
        <f aca="false">IF(M416="","",IFERROR(INDEX(BARDAGE!$C$7:$C$1506,MATCH(M416,BARDAGE!$B$7:$B$1506,0)),"? hors registre"))</f>
        <v/>
      </c>
      <c r="O416" s="80"/>
      <c r="P416" s="80"/>
      <c r="Q416" s="80"/>
      <c r="R416" s="82"/>
      <c r="S416" s="82"/>
      <c r="T416" s="80"/>
      <c r="U416" s="80"/>
      <c r="V416" s="82"/>
      <c r="W416" s="80"/>
      <c r="X416" s="80"/>
      <c r="Y416" s="80"/>
      <c r="Z416" s="80"/>
      <c r="AA416" s="82"/>
      <c r="AB416" s="80"/>
      <c r="AC416" s="80"/>
      <c r="AD416" s="80"/>
      <c r="AE416" s="80"/>
      <c r="AF416" s="82"/>
      <c r="AG416" s="80"/>
      <c r="AH416" s="80"/>
      <c r="AI416" s="82"/>
      <c r="AJ416" s="79"/>
      <c r="AK416" s="78" t="n">
        <f aca="false">IF(E416="","",(X416&lt;&gt;"")+(AC416&lt;&gt;"")+(AH416&lt;&gt;""))</f>
        <v>0</v>
      </c>
      <c r="AL416" s="81" t="str">
        <f aca="false">IF(AH416&lt;&gt;"",AH416,IF(AC416&lt;&gt;"",AC416,IF(X416&lt;&gt;"",X416,"")))</f>
        <v/>
      </c>
      <c r="AM416" s="83" t="str">
        <f aca="false">IF(E416="","",IF(R416="","À SOUDER",IF(U416="","VT EN ATTENTE",IF(U416="R","VT REJETÉ – À REPRENDRE",IF(AL416="","À RADIOGRAPHIER",IF(AL416="A","ACCEPTÉ",IF(AL416="NX","NX – RT À REFAIRE",IF(IF(AK416=1,Z416,IF(AK416=2,AE416,""))="A","RÉPARÉ – À RADIOGRAPHIER",IF(IF(AK416=1,Z416,IF(AK416=2,AE416,""))="R","VT REJETÉ – À REPRENDRE",IF(OR(AL416="CO",AL416="NT"),"COUPE – À RESOUDER","À RÉPARER"))))))))))</f>
        <v>À SOUDER</v>
      </c>
      <c r="AN416" s="81" t="str">
        <f aca="false">IF(AND(ISNUMBER(R416),OR(AM416="À RADIOGRAPHIER",AM416="RÉPARÉ – À RADIOGRAPHIER",AM416="NX – RT À REFAIRE",AM416="À RÉPARER",AM416="COUPE – À RESOUDER",AM416="VT REJETÉ – À REPRENDRE")),MAX(0,'PROGRAMME RT'!$C$4-R416),"")</f>
        <v/>
      </c>
      <c r="AO416" s="78" t="n">
        <f aca="false">IF(AND(OR(AM416="À RADIOGRAPHIER",AM416="RÉPARÉ – À RADIOGRAPHIER",AM416="NX – RT À REFAIRE"),OR('PROGRAMME RT'!$D$5="TOUTES",B416='PROGRAMME RT'!$D$5)),1,0)</f>
        <v>0</v>
      </c>
      <c r="AP416" s="78" t="str">
        <f aca="false">IF(AO416=1,SUM(AO$7:AO416),"")</f>
        <v/>
      </c>
      <c r="AQ416" s="78" t="n">
        <f aca="false">IF(AND(OR(X416="R",X416="NX",X416="NT",X416="CO"),OR('JOINTS DE RÉPARATION'!$D$5="TOUTES",B416='JOINTS DE RÉPARATION'!$D$5),OR('JOINTS DE RÉPARATION'!$L$4="TOUS",AM416&lt;&gt;"ACCEPTÉ")),1,0)</f>
        <v>0</v>
      </c>
      <c r="AR416" s="78" t="str">
        <f aca="false">IF(AQ416=1,SUM(AQ$7:AQ416),"")</f>
        <v/>
      </c>
    </row>
    <row r="417" customFormat="false" ht="15" hidden="false" customHeight="false" outlineLevel="0" collapsed="false">
      <c r="A417" s="78" t="n">
        <f aca="false">IF(E417="","",ROW()-6)</f>
        <v>411</v>
      </c>
      <c r="B417" s="79" t="s">
        <v>585</v>
      </c>
      <c r="C417" s="80"/>
      <c r="D417" s="80"/>
      <c r="E417" s="80" t="s">
        <v>113</v>
      </c>
      <c r="F417" s="80"/>
      <c r="G417" s="80" t="s">
        <v>106</v>
      </c>
      <c r="H417" s="80"/>
      <c r="I417" s="80"/>
      <c r="J417" s="80"/>
      <c r="K417" s="80"/>
      <c r="L417" s="81" t="str">
        <f aca="false">IF(K417="","",IFERROR(INDEX(BARDAGE!$C$7:$C$1506,MATCH(K417,BARDAGE!$B$7:$B$1506,0)),"? hors registre"))</f>
        <v/>
      </c>
      <c r="M417" s="80"/>
      <c r="N417" s="81" t="str">
        <f aca="false">IF(M417="","",IFERROR(INDEX(BARDAGE!$C$7:$C$1506,MATCH(M417,BARDAGE!$B$7:$B$1506,0)),"? hors registre"))</f>
        <v/>
      </c>
      <c r="O417" s="80"/>
      <c r="P417" s="80"/>
      <c r="Q417" s="80"/>
      <c r="R417" s="82"/>
      <c r="S417" s="82"/>
      <c r="T417" s="80"/>
      <c r="U417" s="80"/>
      <c r="V417" s="82"/>
      <c r="W417" s="80"/>
      <c r="X417" s="80"/>
      <c r="Y417" s="80"/>
      <c r="Z417" s="80"/>
      <c r="AA417" s="82"/>
      <c r="AB417" s="80"/>
      <c r="AC417" s="80"/>
      <c r="AD417" s="80"/>
      <c r="AE417" s="80"/>
      <c r="AF417" s="82"/>
      <c r="AG417" s="80"/>
      <c r="AH417" s="80"/>
      <c r="AI417" s="82"/>
      <c r="AJ417" s="79"/>
      <c r="AK417" s="78" t="n">
        <f aca="false">IF(E417="","",(X417&lt;&gt;"")+(AC417&lt;&gt;"")+(AH417&lt;&gt;""))</f>
        <v>0</v>
      </c>
      <c r="AL417" s="81" t="str">
        <f aca="false">IF(AH417&lt;&gt;"",AH417,IF(AC417&lt;&gt;"",AC417,IF(X417&lt;&gt;"",X417,"")))</f>
        <v/>
      </c>
      <c r="AM417" s="83" t="str">
        <f aca="false">IF(E417="","",IF(R417="","À SOUDER",IF(U417="","VT EN ATTENTE",IF(U417="R","VT REJETÉ – À REPRENDRE",IF(AL417="","À RADIOGRAPHIER",IF(AL417="A","ACCEPTÉ",IF(AL417="NX","NX – RT À REFAIRE",IF(IF(AK417=1,Z417,IF(AK417=2,AE417,""))="A","RÉPARÉ – À RADIOGRAPHIER",IF(IF(AK417=1,Z417,IF(AK417=2,AE417,""))="R","VT REJETÉ – À REPRENDRE",IF(OR(AL417="CO",AL417="NT"),"COUPE – À RESOUDER","À RÉPARER"))))))))))</f>
        <v>À SOUDER</v>
      </c>
      <c r="AN417" s="81" t="str">
        <f aca="false">IF(AND(ISNUMBER(R417),OR(AM417="À RADIOGRAPHIER",AM417="RÉPARÉ – À RADIOGRAPHIER",AM417="NX – RT À REFAIRE",AM417="À RÉPARER",AM417="COUPE – À RESOUDER",AM417="VT REJETÉ – À REPRENDRE")),MAX(0,'PROGRAMME RT'!$C$4-R417),"")</f>
        <v/>
      </c>
      <c r="AO417" s="78" t="n">
        <f aca="false">IF(AND(OR(AM417="À RADIOGRAPHIER",AM417="RÉPARÉ – À RADIOGRAPHIER",AM417="NX – RT À REFAIRE"),OR('PROGRAMME RT'!$D$5="TOUTES",B417='PROGRAMME RT'!$D$5)),1,0)</f>
        <v>0</v>
      </c>
      <c r="AP417" s="78" t="str">
        <f aca="false">IF(AO417=1,SUM(AO$7:AO417),"")</f>
        <v/>
      </c>
      <c r="AQ417" s="78" t="n">
        <f aca="false">IF(AND(OR(X417="R",X417="NX",X417="NT",X417="CO"),OR('JOINTS DE RÉPARATION'!$D$5="TOUTES",B417='JOINTS DE RÉPARATION'!$D$5),OR('JOINTS DE RÉPARATION'!$L$4="TOUS",AM417&lt;&gt;"ACCEPTÉ")),1,0)</f>
        <v>0</v>
      </c>
      <c r="AR417" s="78" t="str">
        <f aca="false">IF(AQ417=1,SUM(AQ$7:AQ417),"")</f>
        <v/>
      </c>
    </row>
    <row r="418" customFormat="false" ht="15" hidden="false" customHeight="false" outlineLevel="0" collapsed="false">
      <c r="A418" s="78" t="n">
        <f aca="false">IF(E418="","",ROW()-6)</f>
        <v>412</v>
      </c>
      <c r="B418" s="79" t="s">
        <v>585</v>
      </c>
      <c r="C418" s="80"/>
      <c r="D418" s="80"/>
      <c r="E418" s="80" t="s">
        <v>120</v>
      </c>
      <c r="F418" s="80"/>
      <c r="G418" s="80" t="s">
        <v>106</v>
      </c>
      <c r="H418" s="80"/>
      <c r="I418" s="80"/>
      <c r="J418" s="80"/>
      <c r="K418" s="80"/>
      <c r="L418" s="81" t="str">
        <f aca="false">IF(K418="","",IFERROR(INDEX(BARDAGE!$C$7:$C$1506,MATCH(K418,BARDAGE!$B$7:$B$1506,0)),"? hors registre"))</f>
        <v/>
      </c>
      <c r="M418" s="80"/>
      <c r="N418" s="81" t="str">
        <f aca="false">IF(M418="","",IFERROR(INDEX(BARDAGE!$C$7:$C$1506,MATCH(M418,BARDAGE!$B$7:$B$1506,0)),"? hors registre"))</f>
        <v/>
      </c>
      <c r="O418" s="80"/>
      <c r="P418" s="80"/>
      <c r="Q418" s="80"/>
      <c r="R418" s="82"/>
      <c r="S418" s="82"/>
      <c r="T418" s="80"/>
      <c r="U418" s="80"/>
      <c r="V418" s="82"/>
      <c r="W418" s="80"/>
      <c r="X418" s="80"/>
      <c r="Y418" s="80"/>
      <c r="Z418" s="80"/>
      <c r="AA418" s="82"/>
      <c r="AB418" s="80"/>
      <c r="AC418" s="80"/>
      <c r="AD418" s="80"/>
      <c r="AE418" s="80"/>
      <c r="AF418" s="82"/>
      <c r="AG418" s="80"/>
      <c r="AH418" s="80"/>
      <c r="AI418" s="82"/>
      <c r="AJ418" s="79"/>
      <c r="AK418" s="78" t="n">
        <f aca="false">IF(E418="","",(X418&lt;&gt;"")+(AC418&lt;&gt;"")+(AH418&lt;&gt;""))</f>
        <v>0</v>
      </c>
      <c r="AL418" s="81" t="str">
        <f aca="false">IF(AH418&lt;&gt;"",AH418,IF(AC418&lt;&gt;"",AC418,IF(X418&lt;&gt;"",X418,"")))</f>
        <v/>
      </c>
      <c r="AM418" s="83" t="str">
        <f aca="false">IF(E418="","",IF(R418="","À SOUDER",IF(U418="","VT EN ATTENTE",IF(U418="R","VT REJETÉ – À REPRENDRE",IF(AL418="","À RADIOGRAPHIER",IF(AL418="A","ACCEPTÉ",IF(AL418="NX","NX – RT À REFAIRE",IF(IF(AK418=1,Z418,IF(AK418=2,AE418,""))="A","RÉPARÉ – À RADIOGRAPHIER",IF(IF(AK418=1,Z418,IF(AK418=2,AE418,""))="R","VT REJETÉ – À REPRENDRE",IF(OR(AL418="CO",AL418="NT"),"COUPE – À RESOUDER","À RÉPARER"))))))))))</f>
        <v>À SOUDER</v>
      </c>
      <c r="AN418" s="81" t="str">
        <f aca="false">IF(AND(ISNUMBER(R418),OR(AM418="À RADIOGRAPHIER",AM418="RÉPARÉ – À RADIOGRAPHIER",AM418="NX – RT À REFAIRE",AM418="À RÉPARER",AM418="COUPE – À RESOUDER",AM418="VT REJETÉ – À REPRENDRE")),MAX(0,'PROGRAMME RT'!$C$4-R418),"")</f>
        <v/>
      </c>
      <c r="AO418" s="78" t="n">
        <f aca="false">IF(AND(OR(AM418="À RADIOGRAPHIER",AM418="RÉPARÉ – À RADIOGRAPHIER",AM418="NX – RT À REFAIRE"),OR('PROGRAMME RT'!$D$5="TOUTES",B418='PROGRAMME RT'!$D$5)),1,0)</f>
        <v>0</v>
      </c>
      <c r="AP418" s="78" t="str">
        <f aca="false">IF(AO418=1,SUM(AO$7:AO418),"")</f>
        <v/>
      </c>
      <c r="AQ418" s="78" t="n">
        <f aca="false">IF(AND(OR(X418="R",X418="NX",X418="NT",X418="CO"),OR('JOINTS DE RÉPARATION'!$D$5="TOUTES",B418='JOINTS DE RÉPARATION'!$D$5),OR('JOINTS DE RÉPARATION'!$L$4="TOUS",AM418&lt;&gt;"ACCEPTÉ")),1,0)</f>
        <v>0</v>
      </c>
      <c r="AR418" s="78" t="str">
        <f aca="false">IF(AQ418=1,SUM(AQ$7:AQ418),"")</f>
        <v/>
      </c>
    </row>
    <row r="419" customFormat="false" ht="15" hidden="false" customHeight="false" outlineLevel="0" collapsed="false">
      <c r="A419" s="78" t="n">
        <f aca="false">IF(E419="","",ROW()-6)</f>
        <v>413</v>
      </c>
      <c r="B419" s="79" t="s">
        <v>585</v>
      </c>
      <c r="C419" s="80"/>
      <c r="D419" s="80"/>
      <c r="E419" s="80" t="s">
        <v>123</v>
      </c>
      <c r="F419" s="80"/>
      <c r="G419" s="80" t="s">
        <v>106</v>
      </c>
      <c r="H419" s="80"/>
      <c r="I419" s="80"/>
      <c r="J419" s="80"/>
      <c r="K419" s="80"/>
      <c r="L419" s="81" t="str">
        <f aca="false">IF(K419="","",IFERROR(INDEX(BARDAGE!$C$7:$C$1506,MATCH(K419,BARDAGE!$B$7:$B$1506,0)),"? hors registre"))</f>
        <v/>
      </c>
      <c r="M419" s="80"/>
      <c r="N419" s="81" t="str">
        <f aca="false">IF(M419="","",IFERROR(INDEX(BARDAGE!$C$7:$C$1506,MATCH(M419,BARDAGE!$B$7:$B$1506,0)),"? hors registre"))</f>
        <v/>
      </c>
      <c r="O419" s="80"/>
      <c r="P419" s="80"/>
      <c r="Q419" s="80"/>
      <c r="R419" s="82"/>
      <c r="S419" s="82"/>
      <c r="T419" s="80"/>
      <c r="U419" s="80"/>
      <c r="V419" s="82"/>
      <c r="W419" s="80"/>
      <c r="X419" s="80"/>
      <c r="Y419" s="80"/>
      <c r="Z419" s="80"/>
      <c r="AA419" s="82"/>
      <c r="AB419" s="80"/>
      <c r="AC419" s="80"/>
      <c r="AD419" s="80"/>
      <c r="AE419" s="80"/>
      <c r="AF419" s="82"/>
      <c r="AG419" s="80"/>
      <c r="AH419" s="80"/>
      <c r="AI419" s="82"/>
      <c r="AJ419" s="79"/>
      <c r="AK419" s="78" t="n">
        <f aca="false">IF(E419="","",(X419&lt;&gt;"")+(AC419&lt;&gt;"")+(AH419&lt;&gt;""))</f>
        <v>0</v>
      </c>
      <c r="AL419" s="81" t="str">
        <f aca="false">IF(AH419&lt;&gt;"",AH419,IF(AC419&lt;&gt;"",AC419,IF(X419&lt;&gt;"",X419,"")))</f>
        <v/>
      </c>
      <c r="AM419" s="83" t="str">
        <f aca="false">IF(E419="","",IF(R419="","À SOUDER",IF(U419="","VT EN ATTENTE",IF(U419="R","VT REJETÉ – À REPRENDRE",IF(AL419="","À RADIOGRAPHIER",IF(AL419="A","ACCEPTÉ",IF(AL419="NX","NX – RT À REFAIRE",IF(IF(AK419=1,Z419,IF(AK419=2,AE419,""))="A","RÉPARÉ – À RADIOGRAPHIER",IF(IF(AK419=1,Z419,IF(AK419=2,AE419,""))="R","VT REJETÉ – À REPRENDRE",IF(OR(AL419="CO",AL419="NT"),"COUPE – À RESOUDER","À RÉPARER"))))))))))</f>
        <v>À SOUDER</v>
      </c>
      <c r="AN419" s="81" t="str">
        <f aca="false">IF(AND(ISNUMBER(R419),OR(AM419="À RADIOGRAPHIER",AM419="RÉPARÉ – À RADIOGRAPHIER",AM419="NX – RT À REFAIRE",AM419="À RÉPARER",AM419="COUPE – À RESOUDER",AM419="VT REJETÉ – À REPRENDRE")),MAX(0,'PROGRAMME RT'!$C$4-R419),"")</f>
        <v/>
      </c>
      <c r="AO419" s="78" t="n">
        <f aca="false">IF(AND(OR(AM419="À RADIOGRAPHIER",AM419="RÉPARÉ – À RADIOGRAPHIER",AM419="NX – RT À REFAIRE"),OR('PROGRAMME RT'!$D$5="TOUTES",B419='PROGRAMME RT'!$D$5)),1,0)</f>
        <v>0</v>
      </c>
      <c r="AP419" s="78" t="str">
        <f aca="false">IF(AO419=1,SUM(AO$7:AO419),"")</f>
        <v/>
      </c>
      <c r="AQ419" s="78" t="n">
        <f aca="false">IF(AND(OR(X419="R",X419="NX",X419="NT",X419="CO"),OR('JOINTS DE RÉPARATION'!$D$5="TOUTES",B419='JOINTS DE RÉPARATION'!$D$5),OR('JOINTS DE RÉPARATION'!$L$4="TOUS",AM419&lt;&gt;"ACCEPTÉ")),1,0)</f>
        <v>0</v>
      </c>
      <c r="AR419" s="78" t="str">
        <f aca="false">IF(AQ419=1,SUM(AQ$7:AQ419),"")</f>
        <v/>
      </c>
    </row>
    <row r="420" customFormat="false" ht="15" hidden="false" customHeight="false" outlineLevel="0" collapsed="false">
      <c r="A420" s="78" t="n">
        <f aca="false">IF(E420="","",ROW()-6)</f>
        <v>414</v>
      </c>
      <c r="B420" s="79" t="s">
        <v>585</v>
      </c>
      <c r="C420" s="80"/>
      <c r="D420" s="80"/>
      <c r="E420" s="80" t="s">
        <v>126</v>
      </c>
      <c r="F420" s="80"/>
      <c r="G420" s="80" t="s">
        <v>106</v>
      </c>
      <c r="H420" s="80"/>
      <c r="I420" s="80"/>
      <c r="J420" s="80"/>
      <c r="K420" s="80"/>
      <c r="L420" s="81" t="str">
        <f aca="false">IF(K420="","",IFERROR(INDEX(BARDAGE!$C$7:$C$1506,MATCH(K420,BARDAGE!$B$7:$B$1506,0)),"? hors registre"))</f>
        <v/>
      </c>
      <c r="M420" s="80"/>
      <c r="N420" s="81" t="str">
        <f aca="false">IF(M420="","",IFERROR(INDEX(BARDAGE!$C$7:$C$1506,MATCH(M420,BARDAGE!$B$7:$B$1506,0)),"? hors registre"))</f>
        <v/>
      </c>
      <c r="O420" s="80"/>
      <c r="P420" s="80"/>
      <c r="Q420" s="80"/>
      <c r="R420" s="82"/>
      <c r="S420" s="82"/>
      <c r="T420" s="80"/>
      <c r="U420" s="80"/>
      <c r="V420" s="82"/>
      <c r="W420" s="80"/>
      <c r="X420" s="80"/>
      <c r="Y420" s="80"/>
      <c r="Z420" s="80"/>
      <c r="AA420" s="82"/>
      <c r="AB420" s="80"/>
      <c r="AC420" s="80"/>
      <c r="AD420" s="80"/>
      <c r="AE420" s="80"/>
      <c r="AF420" s="82"/>
      <c r="AG420" s="80"/>
      <c r="AH420" s="80"/>
      <c r="AI420" s="82"/>
      <c r="AJ420" s="79"/>
      <c r="AK420" s="78" t="n">
        <f aca="false">IF(E420="","",(X420&lt;&gt;"")+(AC420&lt;&gt;"")+(AH420&lt;&gt;""))</f>
        <v>0</v>
      </c>
      <c r="AL420" s="81" t="str">
        <f aca="false">IF(AH420&lt;&gt;"",AH420,IF(AC420&lt;&gt;"",AC420,IF(X420&lt;&gt;"",X420,"")))</f>
        <v/>
      </c>
      <c r="AM420" s="83" t="str">
        <f aca="false">IF(E420="","",IF(R420="","À SOUDER",IF(U420="","VT EN ATTENTE",IF(U420="R","VT REJETÉ – À REPRENDRE",IF(AL420="","À RADIOGRAPHIER",IF(AL420="A","ACCEPTÉ",IF(AL420="NX","NX – RT À REFAIRE",IF(IF(AK420=1,Z420,IF(AK420=2,AE420,""))="A","RÉPARÉ – À RADIOGRAPHIER",IF(IF(AK420=1,Z420,IF(AK420=2,AE420,""))="R","VT REJETÉ – À REPRENDRE",IF(OR(AL420="CO",AL420="NT"),"COUPE – À RESOUDER","À RÉPARER"))))))))))</f>
        <v>À SOUDER</v>
      </c>
      <c r="AN420" s="81" t="str">
        <f aca="false">IF(AND(ISNUMBER(R420),OR(AM420="À RADIOGRAPHIER",AM420="RÉPARÉ – À RADIOGRAPHIER",AM420="NX – RT À REFAIRE",AM420="À RÉPARER",AM420="COUPE – À RESOUDER",AM420="VT REJETÉ – À REPRENDRE")),MAX(0,'PROGRAMME RT'!$C$4-R420),"")</f>
        <v/>
      </c>
      <c r="AO420" s="78" t="n">
        <f aca="false">IF(AND(OR(AM420="À RADIOGRAPHIER",AM420="RÉPARÉ – À RADIOGRAPHIER",AM420="NX – RT À REFAIRE"),OR('PROGRAMME RT'!$D$5="TOUTES",B420='PROGRAMME RT'!$D$5)),1,0)</f>
        <v>0</v>
      </c>
      <c r="AP420" s="78" t="str">
        <f aca="false">IF(AO420=1,SUM(AO$7:AO420),"")</f>
        <v/>
      </c>
      <c r="AQ420" s="78" t="n">
        <f aca="false">IF(AND(OR(X420="R",X420="NX",X420="NT",X420="CO"),OR('JOINTS DE RÉPARATION'!$D$5="TOUTES",B420='JOINTS DE RÉPARATION'!$D$5),OR('JOINTS DE RÉPARATION'!$L$4="TOUS",AM420&lt;&gt;"ACCEPTÉ")),1,0)</f>
        <v>0</v>
      </c>
      <c r="AR420" s="78" t="str">
        <f aca="false">IF(AQ420=1,SUM(AQ$7:AQ420),"")</f>
        <v/>
      </c>
    </row>
    <row r="421" customFormat="false" ht="15" hidden="false" customHeight="false" outlineLevel="0" collapsed="false">
      <c r="A421" s="78" t="n">
        <f aca="false">IF(E421="","",ROW()-6)</f>
        <v>415</v>
      </c>
      <c r="B421" s="79" t="s">
        <v>585</v>
      </c>
      <c r="C421" s="80"/>
      <c r="D421" s="80"/>
      <c r="E421" s="80" t="s">
        <v>131</v>
      </c>
      <c r="F421" s="80"/>
      <c r="G421" s="80" t="s">
        <v>106</v>
      </c>
      <c r="H421" s="80"/>
      <c r="I421" s="80"/>
      <c r="J421" s="80"/>
      <c r="K421" s="80"/>
      <c r="L421" s="81" t="str">
        <f aca="false">IF(K421="","",IFERROR(INDEX(BARDAGE!$C$7:$C$1506,MATCH(K421,BARDAGE!$B$7:$B$1506,0)),"? hors registre"))</f>
        <v/>
      </c>
      <c r="M421" s="80"/>
      <c r="N421" s="81" t="str">
        <f aca="false">IF(M421="","",IFERROR(INDEX(BARDAGE!$C$7:$C$1506,MATCH(M421,BARDAGE!$B$7:$B$1506,0)),"? hors registre"))</f>
        <v/>
      </c>
      <c r="O421" s="80"/>
      <c r="P421" s="80"/>
      <c r="Q421" s="80"/>
      <c r="R421" s="82"/>
      <c r="S421" s="82"/>
      <c r="T421" s="80"/>
      <c r="U421" s="80"/>
      <c r="V421" s="82"/>
      <c r="W421" s="80"/>
      <c r="X421" s="80"/>
      <c r="Y421" s="80"/>
      <c r="Z421" s="80"/>
      <c r="AA421" s="82"/>
      <c r="AB421" s="80"/>
      <c r="AC421" s="80"/>
      <c r="AD421" s="80"/>
      <c r="AE421" s="80"/>
      <c r="AF421" s="82"/>
      <c r="AG421" s="80"/>
      <c r="AH421" s="80"/>
      <c r="AI421" s="82"/>
      <c r="AJ421" s="79"/>
      <c r="AK421" s="78" t="n">
        <f aca="false">IF(E421="","",(X421&lt;&gt;"")+(AC421&lt;&gt;"")+(AH421&lt;&gt;""))</f>
        <v>0</v>
      </c>
      <c r="AL421" s="81" t="str">
        <f aca="false">IF(AH421&lt;&gt;"",AH421,IF(AC421&lt;&gt;"",AC421,IF(X421&lt;&gt;"",X421,"")))</f>
        <v/>
      </c>
      <c r="AM421" s="83" t="str">
        <f aca="false">IF(E421="","",IF(R421="","À SOUDER",IF(U421="","VT EN ATTENTE",IF(U421="R","VT REJETÉ – À REPRENDRE",IF(AL421="","À RADIOGRAPHIER",IF(AL421="A","ACCEPTÉ",IF(AL421="NX","NX – RT À REFAIRE",IF(IF(AK421=1,Z421,IF(AK421=2,AE421,""))="A","RÉPARÉ – À RADIOGRAPHIER",IF(IF(AK421=1,Z421,IF(AK421=2,AE421,""))="R","VT REJETÉ – À REPRENDRE",IF(OR(AL421="CO",AL421="NT"),"COUPE – À RESOUDER","À RÉPARER"))))))))))</f>
        <v>À SOUDER</v>
      </c>
      <c r="AN421" s="81" t="str">
        <f aca="false">IF(AND(ISNUMBER(R421),OR(AM421="À RADIOGRAPHIER",AM421="RÉPARÉ – À RADIOGRAPHIER",AM421="NX – RT À REFAIRE",AM421="À RÉPARER",AM421="COUPE – À RESOUDER",AM421="VT REJETÉ – À REPRENDRE")),MAX(0,'PROGRAMME RT'!$C$4-R421),"")</f>
        <v/>
      </c>
      <c r="AO421" s="78" t="n">
        <f aca="false">IF(AND(OR(AM421="À RADIOGRAPHIER",AM421="RÉPARÉ – À RADIOGRAPHIER",AM421="NX – RT À REFAIRE"),OR('PROGRAMME RT'!$D$5="TOUTES",B421='PROGRAMME RT'!$D$5)),1,0)</f>
        <v>0</v>
      </c>
      <c r="AP421" s="78" t="str">
        <f aca="false">IF(AO421=1,SUM(AO$7:AO421),"")</f>
        <v/>
      </c>
      <c r="AQ421" s="78" t="n">
        <f aca="false">IF(AND(OR(X421="R",X421="NX",X421="NT",X421="CO"),OR('JOINTS DE RÉPARATION'!$D$5="TOUTES",B421='JOINTS DE RÉPARATION'!$D$5),OR('JOINTS DE RÉPARATION'!$L$4="TOUS",AM421&lt;&gt;"ACCEPTÉ")),1,0)</f>
        <v>0</v>
      </c>
      <c r="AR421" s="78" t="str">
        <f aca="false">IF(AQ421=1,SUM(AQ$7:AQ421),"")</f>
        <v/>
      </c>
    </row>
    <row r="422" customFormat="false" ht="15" hidden="false" customHeight="false" outlineLevel="0" collapsed="false">
      <c r="A422" s="78" t="n">
        <f aca="false">IF(E422="","",ROW()-6)</f>
        <v>416</v>
      </c>
      <c r="B422" s="79" t="s">
        <v>585</v>
      </c>
      <c r="C422" s="80"/>
      <c r="D422" s="80"/>
      <c r="E422" s="80" t="s">
        <v>137</v>
      </c>
      <c r="F422" s="80"/>
      <c r="G422" s="80" t="s">
        <v>106</v>
      </c>
      <c r="H422" s="80"/>
      <c r="I422" s="80"/>
      <c r="J422" s="80"/>
      <c r="K422" s="80"/>
      <c r="L422" s="81" t="str">
        <f aca="false">IF(K422="","",IFERROR(INDEX(BARDAGE!$C$7:$C$1506,MATCH(K422,BARDAGE!$B$7:$B$1506,0)),"? hors registre"))</f>
        <v/>
      </c>
      <c r="M422" s="80"/>
      <c r="N422" s="81" t="str">
        <f aca="false">IF(M422="","",IFERROR(INDEX(BARDAGE!$C$7:$C$1506,MATCH(M422,BARDAGE!$B$7:$B$1506,0)),"? hors registre"))</f>
        <v/>
      </c>
      <c r="O422" s="80"/>
      <c r="P422" s="80"/>
      <c r="Q422" s="80"/>
      <c r="R422" s="82"/>
      <c r="S422" s="82"/>
      <c r="T422" s="80"/>
      <c r="U422" s="80"/>
      <c r="V422" s="82"/>
      <c r="W422" s="80"/>
      <c r="X422" s="80"/>
      <c r="Y422" s="80"/>
      <c r="Z422" s="80"/>
      <c r="AA422" s="82"/>
      <c r="AB422" s="80"/>
      <c r="AC422" s="80"/>
      <c r="AD422" s="80"/>
      <c r="AE422" s="80"/>
      <c r="AF422" s="82"/>
      <c r="AG422" s="80"/>
      <c r="AH422" s="80"/>
      <c r="AI422" s="82"/>
      <c r="AJ422" s="79"/>
      <c r="AK422" s="78" t="n">
        <f aca="false">IF(E422="","",(X422&lt;&gt;"")+(AC422&lt;&gt;"")+(AH422&lt;&gt;""))</f>
        <v>0</v>
      </c>
      <c r="AL422" s="81" t="str">
        <f aca="false">IF(AH422&lt;&gt;"",AH422,IF(AC422&lt;&gt;"",AC422,IF(X422&lt;&gt;"",X422,"")))</f>
        <v/>
      </c>
      <c r="AM422" s="83" t="str">
        <f aca="false">IF(E422="","",IF(R422="","À SOUDER",IF(U422="","VT EN ATTENTE",IF(U422="R","VT REJETÉ – À REPRENDRE",IF(AL422="","À RADIOGRAPHIER",IF(AL422="A","ACCEPTÉ",IF(AL422="NX","NX – RT À REFAIRE",IF(IF(AK422=1,Z422,IF(AK422=2,AE422,""))="A","RÉPARÉ – À RADIOGRAPHIER",IF(IF(AK422=1,Z422,IF(AK422=2,AE422,""))="R","VT REJETÉ – À REPRENDRE",IF(OR(AL422="CO",AL422="NT"),"COUPE – À RESOUDER","À RÉPARER"))))))))))</f>
        <v>À SOUDER</v>
      </c>
      <c r="AN422" s="81" t="str">
        <f aca="false">IF(AND(ISNUMBER(R422),OR(AM422="À RADIOGRAPHIER",AM422="RÉPARÉ – À RADIOGRAPHIER",AM422="NX – RT À REFAIRE",AM422="À RÉPARER",AM422="COUPE – À RESOUDER",AM422="VT REJETÉ – À REPRENDRE")),MAX(0,'PROGRAMME RT'!$C$4-R422),"")</f>
        <v/>
      </c>
      <c r="AO422" s="78" t="n">
        <f aca="false">IF(AND(OR(AM422="À RADIOGRAPHIER",AM422="RÉPARÉ – À RADIOGRAPHIER",AM422="NX – RT À REFAIRE"),OR('PROGRAMME RT'!$D$5="TOUTES",B422='PROGRAMME RT'!$D$5)),1,0)</f>
        <v>0</v>
      </c>
      <c r="AP422" s="78" t="str">
        <f aca="false">IF(AO422=1,SUM(AO$7:AO422),"")</f>
        <v/>
      </c>
      <c r="AQ422" s="78" t="n">
        <f aca="false">IF(AND(OR(X422="R",X422="NX",X422="NT",X422="CO"),OR('JOINTS DE RÉPARATION'!$D$5="TOUTES",B422='JOINTS DE RÉPARATION'!$D$5),OR('JOINTS DE RÉPARATION'!$L$4="TOUS",AM422&lt;&gt;"ACCEPTÉ")),1,0)</f>
        <v>0</v>
      </c>
      <c r="AR422" s="78" t="str">
        <f aca="false">IF(AQ422=1,SUM(AQ$7:AQ422),"")</f>
        <v/>
      </c>
    </row>
    <row r="423" customFormat="false" ht="15" hidden="false" customHeight="false" outlineLevel="0" collapsed="false">
      <c r="A423" s="78" t="n">
        <f aca="false">IF(E423="","",ROW()-6)</f>
        <v>417</v>
      </c>
      <c r="B423" s="79" t="s">
        <v>585</v>
      </c>
      <c r="C423" s="80"/>
      <c r="D423" s="80"/>
      <c r="E423" s="80" t="s">
        <v>139</v>
      </c>
      <c r="F423" s="80"/>
      <c r="G423" s="80" t="s">
        <v>106</v>
      </c>
      <c r="H423" s="80"/>
      <c r="I423" s="80"/>
      <c r="J423" s="80"/>
      <c r="K423" s="80"/>
      <c r="L423" s="81" t="str">
        <f aca="false">IF(K423="","",IFERROR(INDEX(BARDAGE!$C$7:$C$1506,MATCH(K423,BARDAGE!$B$7:$B$1506,0)),"? hors registre"))</f>
        <v/>
      </c>
      <c r="M423" s="80"/>
      <c r="N423" s="81" t="str">
        <f aca="false">IF(M423="","",IFERROR(INDEX(BARDAGE!$C$7:$C$1506,MATCH(M423,BARDAGE!$B$7:$B$1506,0)),"? hors registre"))</f>
        <v/>
      </c>
      <c r="O423" s="80"/>
      <c r="P423" s="80"/>
      <c r="Q423" s="80"/>
      <c r="R423" s="82"/>
      <c r="S423" s="82"/>
      <c r="T423" s="80"/>
      <c r="U423" s="80"/>
      <c r="V423" s="82"/>
      <c r="W423" s="80"/>
      <c r="X423" s="80"/>
      <c r="Y423" s="80"/>
      <c r="Z423" s="80"/>
      <c r="AA423" s="82"/>
      <c r="AB423" s="80"/>
      <c r="AC423" s="80"/>
      <c r="AD423" s="80"/>
      <c r="AE423" s="80"/>
      <c r="AF423" s="82"/>
      <c r="AG423" s="80"/>
      <c r="AH423" s="80"/>
      <c r="AI423" s="82"/>
      <c r="AJ423" s="79"/>
      <c r="AK423" s="78" t="n">
        <f aca="false">IF(E423="","",(X423&lt;&gt;"")+(AC423&lt;&gt;"")+(AH423&lt;&gt;""))</f>
        <v>0</v>
      </c>
      <c r="AL423" s="81" t="str">
        <f aca="false">IF(AH423&lt;&gt;"",AH423,IF(AC423&lt;&gt;"",AC423,IF(X423&lt;&gt;"",X423,"")))</f>
        <v/>
      </c>
      <c r="AM423" s="83" t="str">
        <f aca="false">IF(E423="","",IF(R423="","À SOUDER",IF(U423="","VT EN ATTENTE",IF(U423="R","VT REJETÉ – À REPRENDRE",IF(AL423="","À RADIOGRAPHIER",IF(AL423="A","ACCEPTÉ",IF(AL423="NX","NX – RT À REFAIRE",IF(IF(AK423=1,Z423,IF(AK423=2,AE423,""))="A","RÉPARÉ – À RADIOGRAPHIER",IF(IF(AK423=1,Z423,IF(AK423=2,AE423,""))="R","VT REJETÉ – À REPRENDRE",IF(OR(AL423="CO",AL423="NT"),"COUPE – À RESOUDER","À RÉPARER"))))))))))</f>
        <v>À SOUDER</v>
      </c>
      <c r="AN423" s="81" t="str">
        <f aca="false">IF(AND(ISNUMBER(R423),OR(AM423="À RADIOGRAPHIER",AM423="RÉPARÉ – À RADIOGRAPHIER",AM423="NX – RT À REFAIRE",AM423="À RÉPARER",AM423="COUPE – À RESOUDER",AM423="VT REJETÉ – À REPRENDRE")),MAX(0,'PROGRAMME RT'!$C$4-R423),"")</f>
        <v/>
      </c>
      <c r="AO423" s="78" t="n">
        <f aca="false">IF(AND(OR(AM423="À RADIOGRAPHIER",AM423="RÉPARÉ – À RADIOGRAPHIER",AM423="NX – RT À REFAIRE"),OR('PROGRAMME RT'!$D$5="TOUTES",B423='PROGRAMME RT'!$D$5)),1,0)</f>
        <v>0</v>
      </c>
      <c r="AP423" s="78" t="str">
        <f aca="false">IF(AO423=1,SUM(AO$7:AO423),"")</f>
        <v/>
      </c>
      <c r="AQ423" s="78" t="n">
        <f aca="false">IF(AND(OR(X423="R",X423="NX",X423="NT",X423="CO"),OR('JOINTS DE RÉPARATION'!$D$5="TOUTES",B423='JOINTS DE RÉPARATION'!$D$5),OR('JOINTS DE RÉPARATION'!$L$4="TOUS",AM423&lt;&gt;"ACCEPTÉ")),1,0)</f>
        <v>0</v>
      </c>
      <c r="AR423" s="78" t="str">
        <f aca="false">IF(AQ423=1,SUM(AQ$7:AQ423),"")</f>
        <v/>
      </c>
    </row>
    <row r="424" customFormat="false" ht="15" hidden="false" customHeight="false" outlineLevel="0" collapsed="false">
      <c r="A424" s="78" t="n">
        <f aca="false">IF(E424="","",ROW()-6)</f>
        <v>418</v>
      </c>
      <c r="B424" s="79" t="s">
        <v>585</v>
      </c>
      <c r="C424" s="80"/>
      <c r="D424" s="80"/>
      <c r="E424" s="80" t="s">
        <v>142</v>
      </c>
      <c r="F424" s="80"/>
      <c r="G424" s="80" t="s">
        <v>106</v>
      </c>
      <c r="H424" s="80"/>
      <c r="I424" s="80"/>
      <c r="J424" s="80"/>
      <c r="K424" s="80"/>
      <c r="L424" s="81" t="str">
        <f aca="false">IF(K424="","",IFERROR(INDEX(BARDAGE!$C$7:$C$1506,MATCH(K424,BARDAGE!$B$7:$B$1506,0)),"? hors registre"))</f>
        <v/>
      </c>
      <c r="M424" s="80"/>
      <c r="N424" s="81" t="str">
        <f aca="false">IF(M424="","",IFERROR(INDEX(BARDAGE!$C$7:$C$1506,MATCH(M424,BARDAGE!$B$7:$B$1506,0)),"? hors registre"))</f>
        <v/>
      </c>
      <c r="O424" s="80"/>
      <c r="P424" s="80"/>
      <c r="Q424" s="80"/>
      <c r="R424" s="82"/>
      <c r="S424" s="82"/>
      <c r="T424" s="80"/>
      <c r="U424" s="80"/>
      <c r="V424" s="82"/>
      <c r="W424" s="80"/>
      <c r="X424" s="80"/>
      <c r="Y424" s="80"/>
      <c r="Z424" s="80"/>
      <c r="AA424" s="82"/>
      <c r="AB424" s="80"/>
      <c r="AC424" s="80"/>
      <c r="AD424" s="80"/>
      <c r="AE424" s="80"/>
      <c r="AF424" s="82"/>
      <c r="AG424" s="80"/>
      <c r="AH424" s="80"/>
      <c r="AI424" s="82"/>
      <c r="AJ424" s="79"/>
      <c r="AK424" s="78" t="n">
        <f aca="false">IF(E424="","",(X424&lt;&gt;"")+(AC424&lt;&gt;"")+(AH424&lt;&gt;""))</f>
        <v>0</v>
      </c>
      <c r="AL424" s="81" t="str">
        <f aca="false">IF(AH424&lt;&gt;"",AH424,IF(AC424&lt;&gt;"",AC424,IF(X424&lt;&gt;"",X424,"")))</f>
        <v/>
      </c>
      <c r="AM424" s="83" t="str">
        <f aca="false">IF(E424="","",IF(R424="","À SOUDER",IF(U424="","VT EN ATTENTE",IF(U424="R","VT REJETÉ – À REPRENDRE",IF(AL424="","À RADIOGRAPHIER",IF(AL424="A","ACCEPTÉ",IF(AL424="NX","NX – RT À REFAIRE",IF(IF(AK424=1,Z424,IF(AK424=2,AE424,""))="A","RÉPARÉ – À RADIOGRAPHIER",IF(IF(AK424=1,Z424,IF(AK424=2,AE424,""))="R","VT REJETÉ – À REPRENDRE",IF(OR(AL424="CO",AL424="NT"),"COUPE – À RESOUDER","À RÉPARER"))))))))))</f>
        <v>À SOUDER</v>
      </c>
      <c r="AN424" s="81" t="str">
        <f aca="false">IF(AND(ISNUMBER(R424),OR(AM424="À RADIOGRAPHIER",AM424="RÉPARÉ – À RADIOGRAPHIER",AM424="NX – RT À REFAIRE",AM424="À RÉPARER",AM424="COUPE – À RESOUDER",AM424="VT REJETÉ – À REPRENDRE")),MAX(0,'PROGRAMME RT'!$C$4-R424),"")</f>
        <v/>
      </c>
      <c r="AO424" s="78" t="n">
        <f aca="false">IF(AND(OR(AM424="À RADIOGRAPHIER",AM424="RÉPARÉ – À RADIOGRAPHIER",AM424="NX – RT À REFAIRE"),OR('PROGRAMME RT'!$D$5="TOUTES",B424='PROGRAMME RT'!$D$5)),1,0)</f>
        <v>0</v>
      </c>
      <c r="AP424" s="78" t="str">
        <f aca="false">IF(AO424=1,SUM(AO$7:AO424),"")</f>
        <v/>
      </c>
      <c r="AQ424" s="78" t="n">
        <f aca="false">IF(AND(OR(X424="R",X424="NX",X424="NT",X424="CO"),OR('JOINTS DE RÉPARATION'!$D$5="TOUTES",B424='JOINTS DE RÉPARATION'!$D$5),OR('JOINTS DE RÉPARATION'!$L$4="TOUS",AM424&lt;&gt;"ACCEPTÉ")),1,0)</f>
        <v>0</v>
      </c>
      <c r="AR424" s="78" t="str">
        <f aca="false">IF(AQ424=1,SUM(AQ$7:AQ424),"")</f>
        <v/>
      </c>
    </row>
    <row r="425" customFormat="false" ht="15" hidden="false" customHeight="false" outlineLevel="0" collapsed="false">
      <c r="A425" s="78" t="n">
        <f aca="false">IF(E425="","",ROW()-6)</f>
        <v>419</v>
      </c>
      <c r="B425" s="79" t="s">
        <v>585</v>
      </c>
      <c r="C425" s="80"/>
      <c r="D425" s="80"/>
      <c r="E425" s="80" t="s">
        <v>144</v>
      </c>
      <c r="F425" s="80"/>
      <c r="G425" s="80" t="s">
        <v>106</v>
      </c>
      <c r="H425" s="80"/>
      <c r="I425" s="80"/>
      <c r="J425" s="80"/>
      <c r="K425" s="80"/>
      <c r="L425" s="81" t="str">
        <f aca="false">IF(K425="","",IFERROR(INDEX(BARDAGE!$C$7:$C$1506,MATCH(K425,BARDAGE!$B$7:$B$1506,0)),"? hors registre"))</f>
        <v/>
      </c>
      <c r="M425" s="80"/>
      <c r="N425" s="81" t="str">
        <f aca="false">IF(M425="","",IFERROR(INDEX(BARDAGE!$C$7:$C$1506,MATCH(M425,BARDAGE!$B$7:$B$1506,0)),"? hors registre"))</f>
        <v/>
      </c>
      <c r="O425" s="80"/>
      <c r="P425" s="80"/>
      <c r="Q425" s="80"/>
      <c r="R425" s="82"/>
      <c r="S425" s="82"/>
      <c r="T425" s="80"/>
      <c r="U425" s="80"/>
      <c r="V425" s="82"/>
      <c r="W425" s="80"/>
      <c r="X425" s="80"/>
      <c r="Y425" s="80"/>
      <c r="Z425" s="80"/>
      <c r="AA425" s="82"/>
      <c r="AB425" s="80"/>
      <c r="AC425" s="80"/>
      <c r="AD425" s="80"/>
      <c r="AE425" s="80"/>
      <c r="AF425" s="82"/>
      <c r="AG425" s="80"/>
      <c r="AH425" s="80"/>
      <c r="AI425" s="82"/>
      <c r="AJ425" s="79"/>
      <c r="AK425" s="78" t="n">
        <f aca="false">IF(E425="","",(X425&lt;&gt;"")+(AC425&lt;&gt;"")+(AH425&lt;&gt;""))</f>
        <v>0</v>
      </c>
      <c r="AL425" s="81" t="str">
        <f aca="false">IF(AH425&lt;&gt;"",AH425,IF(AC425&lt;&gt;"",AC425,IF(X425&lt;&gt;"",X425,"")))</f>
        <v/>
      </c>
      <c r="AM425" s="83" t="str">
        <f aca="false">IF(E425="","",IF(R425="","À SOUDER",IF(U425="","VT EN ATTENTE",IF(U425="R","VT REJETÉ – À REPRENDRE",IF(AL425="","À RADIOGRAPHIER",IF(AL425="A","ACCEPTÉ",IF(AL425="NX","NX – RT À REFAIRE",IF(IF(AK425=1,Z425,IF(AK425=2,AE425,""))="A","RÉPARÉ – À RADIOGRAPHIER",IF(IF(AK425=1,Z425,IF(AK425=2,AE425,""))="R","VT REJETÉ – À REPRENDRE",IF(OR(AL425="CO",AL425="NT"),"COUPE – À RESOUDER","À RÉPARER"))))))))))</f>
        <v>À SOUDER</v>
      </c>
      <c r="AN425" s="81" t="str">
        <f aca="false">IF(AND(ISNUMBER(R425),OR(AM425="À RADIOGRAPHIER",AM425="RÉPARÉ – À RADIOGRAPHIER",AM425="NX – RT À REFAIRE",AM425="À RÉPARER",AM425="COUPE – À RESOUDER",AM425="VT REJETÉ – À REPRENDRE")),MAX(0,'PROGRAMME RT'!$C$4-R425),"")</f>
        <v/>
      </c>
      <c r="AO425" s="78" t="n">
        <f aca="false">IF(AND(OR(AM425="À RADIOGRAPHIER",AM425="RÉPARÉ – À RADIOGRAPHIER",AM425="NX – RT À REFAIRE"),OR('PROGRAMME RT'!$D$5="TOUTES",B425='PROGRAMME RT'!$D$5)),1,0)</f>
        <v>0</v>
      </c>
      <c r="AP425" s="78" t="str">
        <f aca="false">IF(AO425=1,SUM(AO$7:AO425),"")</f>
        <v/>
      </c>
      <c r="AQ425" s="78" t="n">
        <f aca="false">IF(AND(OR(X425="R",X425="NX",X425="NT",X425="CO"),OR('JOINTS DE RÉPARATION'!$D$5="TOUTES",B425='JOINTS DE RÉPARATION'!$D$5),OR('JOINTS DE RÉPARATION'!$L$4="TOUS",AM425&lt;&gt;"ACCEPTÉ")),1,0)</f>
        <v>0</v>
      </c>
      <c r="AR425" s="78" t="str">
        <f aca="false">IF(AQ425=1,SUM(AQ$7:AQ425),"")</f>
        <v/>
      </c>
    </row>
    <row r="426" customFormat="false" ht="15" hidden="false" customHeight="false" outlineLevel="0" collapsed="false">
      <c r="A426" s="78" t="n">
        <f aca="false">IF(E426="","",ROW()-6)</f>
        <v>420</v>
      </c>
      <c r="B426" s="79" t="s">
        <v>585</v>
      </c>
      <c r="C426" s="80"/>
      <c r="D426" s="80"/>
      <c r="E426" s="80" t="s">
        <v>148</v>
      </c>
      <c r="F426" s="80"/>
      <c r="G426" s="80" t="s">
        <v>106</v>
      </c>
      <c r="H426" s="80"/>
      <c r="I426" s="80"/>
      <c r="J426" s="80"/>
      <c r="K426" s="80"/>
      <c r="L426" s="81" t="str">
        <f aca="false">IF(K426="","",IFERROR(INDEX(BARDAGE!$C$7:$C$1506,MATCH(K426,BARDAGE!$B$7:$B$1506,0)),"? hors registre"))</f>
        <v/>
      </c>
      <c r="M426" s="80"/>
      <c r="N426" s="81" t="str">
        <f aca="false">IF(M426="","",IFERROR(INDEX(BARDAGE!$C$7:$C$1506,MATCH(M426,BARDAGE!$B$7:$B$1506,0)),"? hors registre"))</f>
        <v/>
      </c>
      <c r="O426" s="80"/>
      <c r="P426" s="80"/>
      <c r="Q426" s="80"/>
      <c r="R426" s="82"/>
      <c r="S426" s="82"/>
      <c r="T426" s="80"/>
      <c r="U426" s="80"/>
      <c r="V426" s="82"/>
      <c r="W426" s="80"/>
      <c r="X426" s="80"/>
      <c r="Y426" s="80"/>
      <c r="Z426" s="80"/>
      <c r="AA426" s="82"/>
      <c r="AB426" s="80"/>
      <c r="AC426" s="80"/>
      <c r="AD426" s="80"/>
      <c r="AE426" s="80"/>
      <c r="AF426" s="82"/>
      <c r="AG426" s="80"/>
      <c r="AH426" s="80"/>
      <c r="AI426" s="82"/>
      <c r="AJ426" s="79"/>
      <c r="AK426" s="78" t="n">
        <f aca="false">IF(E426="","",(X426&lt;&gt;"")+(AC426&lt;&gt;"")+(AH426&lt;&gt;""))</f>
        <v>0</v>
      </c>
      <c r="AL426" s="81" t="str">
        <f aca="false">IF(AH426&lt;&gt;"",AH426,IF(AC426&lt;&gt;"",AC426,IF(X426&lt;&gt;"",X426,"")))</f>
        <v/>
      </c>
      <c r="AM426" s="83" t="str">
        <f aca="false">IF(E426="","",IF(R426="","À SOUDER",IF(U426="","VT EN ATTENTE",IF(U426="R","VT REJETÉ – À REPRENDRE",IF(AL426="","À RADIOGRAPHIER",IF(AL426="A","ACCEPTÉ",IF(AL426="NX","NX – RT À REFAIRE",IF(IF(AK426=1,Z426,IF(AK426=2,AE426,""))="A","RÉPARÉ – À RADIOGRAPHIER",IF(IF(AK426=1,Z426,IF(AK426=2,AE426,""))="R","VT REJETÉ – À REPRENDRE",IF(OR(AL426="CO",AL426="NT"),"COUPE – À RESOUDER","À RÉPARER"))))))))))</f>
        <v>À SOUDER</v>
      </c>
      <c r="AN426" s="81" t="str">
        <f aca="false">IF(AND(ISNUMBER(R426),OR(AM426="À RADIOGRAPHIER",AM426="RÉPARÉ – À RADIOGRAPHIER",AM426="NX – RT À REFAIRE",AM426="À RÉPARER",AM426="COUPE – À RESOUDER",AM426="VT REJETÉ – À REPRENDRE")),MAX(0,'PROGRAMME RT'!$C$4-R426),"")</f>
        <v/>
      </c>
      <c r="AO426" s="78" t="n">
        <f aca="false">IF(AND(OR(AM426="À RADIOGRAPHIER",AM426="RÉPARÉ – À RADIOGRAPHIER",AM426="NX – RT À REFAIRE"),OR('PROGRAMME RT'!$D$5="TOUTES",B426='PROGRAMME RT'!$D$5)),1,0)</f>
        <v>0</v>
      </c>
      <c r="AP426" s="78" t="str">
        <f aca="false">IF(AO426=1,SUM(AO$7:AO426),"")</f>
        <v/>
      </c>
      <c r="AQ426" s="78" t="n">
        <f aca="false">IF(AND(OR(X426="R",X426="NX",X426="NT",X426="CO"),OR('JOINTS DE RÉPARATION'!$D$5="TOUTES",B426='JOINTS DE RÉPARATION'!$D$5),OR('JOINTS DE RÉPARATION'!$L$4="TOUS",AM426&lt;&gt;"ACCEPTÉ")),1,0)</f>
        <v>0</v>
      </c>
      <c r="AR426" s="78" t="str">
        <f aca="false">IF(AQ426=1,SUM(AQ$7:AQ426),"")</f>
        <v/>
      </c>
    </row>
    <row r="427" customFormat="false" ht="15" hidden="false" customHeight="false" outlineLevel="0" collapsed="false">
      <c r="A427" s="78" t="n">
        <f aca="false">IF(E427="","",ROW()-6)</f>
        <v>421</v>
      </c>
      <c r="B427" s="79" t="s">
        <v>585</v>
      </c>
      <c r="C427" s="80"/>
      <c r="D427" s="80"/>
      <c r="E427" s="80" t="s">
        <v>150</v>
      </c>
      <c r="F427" s="80"/>
      <c r="G427" s="80" t="s">
        <v>106</v>
      </c>
      <c r="H427" s="80"/>
      <c r="I427" s="80"/>
      <c r="J427" s="80"/>
      <c r="K427" s="80"/>
      <c r="L427" s="81" t="str">
        <f aca="false">IF(K427="","",IFERROR(INDEX(BARDAGE!$C$7:$C$1506,MATCH(K427,BARDAGE!$B$7:$B$1506,0)),"? hors registre"))</f>
        <v/>
      </c>
      <c r="M427" s="80"/>
      <c r="N427" s="81" t="str">
        <f aca="false">IF(M427="","",IFERROR(INDEX(BARDAGE!$C$7:$C$1506,MATCH(M427,BARDAGE!$B$7:$B$1506,0)),"? hors registre"))</f>
        <v/>
      </c>
      <c r="O427" s="80"/>
      <c r="P427" s="80"/>
      <c r="Q427" s="80"/>
      <c r="R427" s="82"/>
      <c r="S427" s="82"/>
      <c r="T427" s="80"/>
      <c r="U427" s="80"/>
      <c r="V427" s="82"/>
      <c r="W427" s="80"/>
      <c r="X427" s="80"/>
      <c r="Y427" s="80"/>
      <c r="Z427" s="80"/>
      <c r="AA427" s="82"/>
      <c r="AB427" s="80"/>
      <c r="AC427" s="80"/>
      <c r="AD427" s="80"/>
      <c r="AE427" s="80"/>
      <c r="AF427" s="82"/>
      <c r="AG427" s="80"/>
      <c r="AH427" s="80"/>
      <c r="AI427" s="82"/>
      <c r="AJ427" s="79"/>
      <c r="AK427" s="78" t="n">
        <f aca="false">IF(E427="","",(X427&lt;&gt;"")+(AC427&lt;&gt;"")+(AH427&lt;&gt;""))</f>
        <v>0</v>
      </c>
      <c r="AL427" s="81" t="str">
        <f aca="false">IF(AH427&lt;&gt;"",AH427,IF(AC427&lt;&gt;"",AC427,IF(X427&lt;&gt;"",X427,"")))</f>
        <v/>
      </c>
      <c r="AM427" s="83" t="str">
        <f aca="false">IF(E427="","",IF(R427="","À SOUDER",IF(U427="","VT EN ATTENTE",IF(U427="R","VT REJETÉ – À REPRENDRE",IF(AL427="","À RADIOGRAPHIER",IF(AL427="A","ACCEPTÉ",IF(AL427="NX","NX – RT À REFAIRE",IF(IF(AK427=1,Z427,IF(AK427=2,AE427,""))="A","RÉPARÉ – À RADIOGRAPHIER",IF(IF(AK427=1,Z427,IF(AK427=2,AE427,""))="R","VT REJETÉ – À REPRENDRE",IF(OR(AL427="CO",AL427="NT"),"COUPE – À RESOUDER","À RÉPARER"))))))))))</f>
        <v>À SOUDER</v>
      </c>
      <c r="AN427" s="81" t="str">
        <f aca="false">IF(AND(ISNUMBER(R427),OR(AM427="À RADIOGRAPHIER",AM427="RÉPARÉ – À RADIOGRAPHIER",AM427="NX – RT À REFAIRE",AM427="À RÉPARER",AM427="COUPE – À RESOUDER",AM427="VT REJETÉ – À REPRENDRE")),MAX(0,'PROGRAMME RT'!$C$4-R427),"")</f>
        <v/>
      </c>
      <c r="AO427" s="78" t="n">
        <f aca="false">IF(AND(OR(AM427="À RADIOGRAPHIER",AM427="RÉPARÉ – À RADIOGRAPHIER",AM427="NX – RT À REFAIRE"),OR('PROGRAMME RT'!$D$5="TOUTES",B427='PROGRAMME RT'!$D$5)),1,0)</f>
        <v>0</v>
      </c>
      <c r="AP427" s="78" t="str">
        <f aca="false">IF(AO427=1,SUM(AO$7:AO427),"")</f>
        <v/>
      </c>
      <c r="AQ427" s="78" t="n">
        <f aca="false">IF(AND(OR(X427="R",X427="NX",X427="NT",X427="CO"),OR('JOINTS DE RÉPARATION'!$D$5="TOUTES",B427='JOINTS DE RÉPARATION'!$D$5),OR('JOINTS DE RÉPARATION'!$L$4="TOUS",AM427&lt;&gt;"ACCEPTÉ")),1,0)</f>
        <v>0</v>
      </c>
      <c r="AR427" s="78" t="str">
        <f aca="false">IF(AQ427=1,SUM(AQ$7:AQ427),"")</f>
        <v/>
      </c>
    </row>
    <row r="428" customFormat="false" ht="15" hidden="false" customHeight="false" outlineLevel="0" collapsed="false">
      <c r="A428" s="78" t="n">
        <f aca="false">IF(E428="","",ROW()-6)</f>
        <v>422</v>
      </c>
      <c r="B428" s="79" t="s">
        <v>585</v>
      </c>
      <c r="C428" s="80"/>
      <c r="D428" s="80"/>
      <c r="E428" s="80" t="s">
        <v>153</v>
      </c>
      <c r="F428" s="80"/>
      <c r="G428" s="80" t="s">
        <v>106</v>
      </c>
      <c r="H428" s="80"/>
      <c r="I428" s="80"/>
      <c r="J428" s="80"/>
      <c r="K428" s="80"/>
      <c r="L428" s="81" t="str">
        <f aca="false">IF(K428="","",IFERROR(INDEX(BARDAGE!$C$7:$C$1506,MATCH(K428,BARDAGE!$B$7:$B$1506,0)),"? hors registre"))</f>
        <v/>
      </c>
      <c r="M428" s="80"/>
      <c r="N428" s="81" t="str">
        <f aca="false">IF(M428="","",IFERROR(INDEX(BARDAGE!$C$7:$C$1506,MATCH(M428,BARDAGE!$B$7:$B$1506,0)),"? hors registre"))</f>
        <v/>
      </c>
      <c r="O428" s="80"/>
      <c r="P428" s="80"/>
      <c r="Q428" s="80"/>
      <c r="R428" s="82"/>
      <c r="S428" s="82"/>
      <c r="T428" s="80"/>
      <c r="U428" s="80"/>
      <c r="V428" s="82"/>
      <c r="W428" s="80"/>
      <c r="X428" s="80"/>
      <c r="Y428" s="80"/>
      <c r="Z428" s="80"/>
      <c r="AA428" s="82"/>
      <c r="AB428" s="80"/>
      <c r="AC428" s="80"/>
      <c r="AD428" s="80"/>
      <c r="AE428" s="80"/>
      <c r="AF428" s="82"/>
      <c r="AG428" s="80"/>
      <c r="AH428" s="80"/>
      <c r="AI428" s="82"/>
      <c r="AJ428" s="79"/>
      <c r="AK428" s="78" t="n">
        <f aca="false">IF(E428="","",(X428&lt;&gt;"")+(AC428&lt;&gt;"")+(AH428&lt;&gt;""))</f>
        <v>0</v>
      </c>
      <c r="AL428" s="81" t="str">
        <f aca="false">IF(AH428&lt;&gt;"",AH428,IF(AC428&lt;&gt;"",AC428,IF(X428&lt;&gt;"",X428,"")))</f>
        <v/>
      </c>
      <c r="AM428" s="83" t="str">
        <f aca="false">IF(E428="","",IF(R428="","À SOUDER",IF(U428="","VT EN ATTENTE",IF(U428="R","VT REJETÉ – À REPRENDRE",IF(AL428="","À RADIOGRAPHIER",IF(AL428="A","ACCEPTÉ",IF(AL428="NX","NX – RT À REFAIRE",IF(IF(AK428=1,Z428,IF(AK428=2,AE428,""))="A","RÉPARÉ – À RADIOGRAPHIER",IF(IF(AK428=1,Z428,IF(AK428=2,AE428,""))="R","VT REJETÉ – À REPRENDRE",IF(OR(AL428="CO",AL428="NT"),"COUPE – À RESOUDER","À RÉPARER"))))))))))</f>
        <v>À SOUDER</v>
      </c>
      <c r="AN428" s="81" t="str">
        <f aca="false">IF(AND(ISNUMBER(R428),OR(AM428="À RADIOGRAPHIER",AM428="RÉPARÉ – À RADIOGRAPHIER",AM428="NX – RT À REFAIRE",AM428="À RÉPARER",AM428="COUPE – À RESOUDER",AM428="VT REJETÉ – À REPRENDRE")),MAX(0,'PROGRAMME RT'!$C$4-R428),"")</f>
        <v/>
      </c>
      <c r="AO428" s="78" t="n">
        <f aca="false">IF(AND(OR(AM428="À RADIOGRAPHIER",AM428="RÉPARÉ – À RADIOGRAPHIER",AM428="NX – RT À REFAIRE"),OR('PROGRAMME RT'!$D$5="TOUTES",B428='PROGRAMME RT'!$D$5)),1,0)</f>
        <v>0</v>
      </c>
      <c r="AP428" s="78" t="str">
        <f aca="false">IF(AO428=1,SUM(AO$7:AO428),"")</f>
        <v/>
      </c>
      <c r="AQ428" s="78" t="n">
        <f aca="false">IF(AND(OR(X428="R",X428="NX",X428="NT",X428="CO"),OR('JOINTS DE RÉPARATION'!$D$5="TOUTES",B428='JOINTS DE RÉPARATION'!$D$5),OR('JOINTS DE RÉPARATION'!$L$4="TOUS",AM428&lt;&gt;"ACCEPTÉ")),1,0)</f>
        <v>0</v>
      </c>
      <c r="AR428" s="78" t="str">
        <f aca="false">IF(AQ428=1,SUM(AQ$7:AQ428),"")</f>
        <v/>
      </c>
    </row>
    <row r="429" customFormat="false" ht="15" hidden="false" customHeight="false" outlineLevel="0" collapsed="false">
      <c r="A429" s="78" t="n">
        <f aca="false">IF(E429="","",ROW()-6)</f>
        <v>423</v>
      </c>
      <c r="B429" s="79" t="s">
        <v>585</v>
      </c>
      <c r="C429" s="80"/>
      <c r="D429" s="80"/>
      <c r="E429" s="80" t="s">
        <v>576</v>
      </c>
      <c r="F429" s="80"/>
      <c r="G429" s="80" t="s">
        <v>106</v>
      </c>
      <c r="H429" s="80"/>
      <c r="I429" s="80"/>
      <c r="J429" s="80"/>
      <c r="K429" s="80"/>
      <c r="L429" s="81" t="str">
        <f aca="false">IF(K429="","",IFERROR(INDEX(BARDAGE!$C$7:$C$1506,MATCH(K429,BARDAGE!$B$7:$B$1506,0)),"? hors registre"))</f>
        <v/>
      </c>
      <c r="M429" s="80"/>
      <c r="N429" s="81" t="str">
        <f aca="false">IF(M429="","",IFERROR(INDEX(BARDAGE!$C$7:$C$1506,MATCH(M429,BARDAGE!$B$7:$B$1506,0)),"? hors registre"))</f>
        <v/>
      </c>
      <c r="O429" s="80"/>
      <c r="P429" s="80"/>
      <c r="Q429" s="80"/>
      <c r="R429" s="82"/>
      <c r="S429" s="82"/>
      <c r="T429" s="80"/>
      <c r="U429" s="80"/>
      <c r="V429" s="82"/>
      <c r="W429" s="80"/>
      <c r="X429" s="80"/>
      <c r="Y429" s="80"/>
      <c r="Z429" s="80"/>
      <c r="AA429" s="82"/>
      <c r="AB429" s="80"/>
      <c r="AC429" s="80"/>
      <c r="AD429" s="80"/>
      <c r="AE429" s="80"/>
      <c r="AF429" s="82"/>
      <c r="AG429" s="80"/>
      <c r="AH429" s="80"/>
      <c r="AI429" s="82"/>
      <c r="AJ429" s="79"/>
      <c r="AK429" s="78" t="n">
        <f aca="false">IF(E429="","",(X429&lt;&gt;"")+(AC429&lt;&gt;"")+(AH429&lt;&gt;""))</f>
        <v>0</v>
      </c>
      <c r="AL429" s="81" t="str">
        <f aca="false">IF(AH429&lt;&gt;"",AH429,IF(AC429&lt;&gt;"",AC429,IF(X429&lt;&gt;"",X429,"")))</f>
        <v/>
      </c>
      <c r="AM429" s="83" t="str">
        <f aca="false">IF(E429="","",IF(R429="","À SOUDER",IF(U429="","VT EN ATTENTE",IF(U429="R","VT REJETÉ – À REPRENDRE",IF(AL429="","À RADIOGRAPHIER",IF(AL429="A","ACCEPTÉ",IF(AL429="NX","NX – RT À REFAIRE",IF(IF(AK429=1,Z429,IF(AK429=2,AE429,""))="A","RÉPARÉ – À RADIOGRAPHIER",IF(IF(AK429=1,Z429,IF(AK429=2,AE429,""))="R","VT REJETÉ – À REPRENDRE",IF(OR(AL429="CO",AL429="NT"),"COUPE – À RESOUDER","À RÉPARER"))))))))))</f>
        <v>À SOUDER</v>
      </c>
      <c r="AN429" s="81" t="str">
        <f aca="false">IF(AND(ISNUMBER(R429),OR(AM429="À RADIOGRAPHIER",AM429="RÉPARÉ – À RADIOGRAPHIER",AM429="NX – RT À REFAIRE",AM429="À RÉPARER",AM429="COUPE – À RESOUDER",AM429="VT REJETÉ – À REPRENDRE")),MAX(0,'PROGRAMME RT'!$C$4-R429),"")</f>
        <v/>
      </c>
      <c r="AO429" s="78" t="n">
        <f aca="false">IF(AND(OR(AM429="À RADIOGRAPHIER",AM429="RÉPARÉ – À RADIOGRAPHIER",AM429="NX – RT À REFAIRE"),OR('PROGRAMME RT'!$D$5="TOUTES",B429='PROGRAMME RT'!$D$5)),1,0)</f>
        <v>0</v>
      </c>
      <c r="AP429" s="78" t="str">
        <f aca="false">IF(AO429=1,SUM(AO$7:AO429),"")</f>
        <v/>
      </c>
      <c r="AQ429" s="78" t="n">
        <f aca="false">IF(AND(OR(X429="R",X429="NX",X429="NT",X429="CO"),OR('JOINTS DE RÉPARATION'!$D$5="TOUTES",B429='JOINTS DE RÉPARATION'!$D$5),OR('JOINTS DE RÉPARATION'!$L$4="TOUS",AM429&lt;&gt;"ACCEPTÉ")),1,0)</f>
        <v>0</v>
      </c>
      <c r="AR429" s="78" t="str">
        <f aca="false">IF(AQ429=1,SUM(AQ$7:AQ429),"")</f>
        <v/>
      </c>
    </row>
    <row r="430" customFormat="false" ht="15" hidden="false" customHeight="false" outlineLevel="0" collapsed="false">
      <c r="A430" s="78" t="n">
        <f aca="false">IF(E430="","",ROW()-6)</f>
        <v>424</v>
      </c>
      <c r="B430" s="79" t="s">
        <v>585</v>
      </c>
      <c r="C430" s="80"/>
      <c r="D430" s="80"/>
      <c r="E430" s="80" t="s">
        <v>157</v>
      </c>
      <c r="F430" s="80"/>
      <c r="G430" s="80" t="s">
        <v>106</v>
      </c>
      <c r="H430" s="80"/>
      <c r="I430" s="80"/>
      <c r="J430" s="80"/>
      <c r="K430" s="80"/>
      <c r="L430" s="81" t="str">
        <f aca="false">IF(K430="","",IFERROR(INDEX(BARDAGE!$C$7:$C$1506,MATCH(K430,BARDAGE!$B$7:$B$1506,0)),"? hors registre"))</f>
        <v/>
      </c>
      <c r="M430" s="80"/>
      <c r="N430" s="81" t="str">
        <f aca="false">IF(M430="","",IFERROR(INDEX(BARDAGE!$C$7:$C$1506,MATCH(M430,BARDAGE!$B$7:$B$1506,0)),"? hors registre"))</f>
        <v/>
      </c>
      <c r="O430" s="80"/>
      <c r="P430" s="80"/>
      <c r="Q430" s="80"/>
      <c r="R430" s="82"/>
      <c r="S430" s="82"/>
      <c r="T430" s="80"/>
      <c r="U430" s="80"/>
      <c r="V430" s="82"/>
      <c r="W430" s="80"/>
      <c r="X430" s="80"/>
      <c r="Y430" s="80"/>
      <c r="Z430" s="80"/>
      <c r="AA430" s="82"/>
      <c r="AB430" s="80"/>
      <c r="AC430" s="80"/>
      <c r="AD430" s="80"/>
      <c r="AE430" s="80"/>
      <c r="AF430" s="82"/>
      <c r="AG430" s="80"/>
      <c r="AH430" s="80"/>
      <c r="AI430" s="82"/>
      <c r="AJ430" s="79"/>
      <c r="AK430" s="78" t="n">
        <f aca="false">IF(E430="","",(X430&lt;&gt;"")+(AC430&lt;&gt;"")+(AH430&lt;&gt;""))</f>
        <v>0</v>
      </c>
      <c r="AL430" s="81" t="str">
        <f aca="false">IF(AH430&lt;&gt;"",AH430,IF(AC430&lt;&gt;"",AC430,IF(X430&lt;&gt;"",X430,"")))</f>
        <v/>
      </c>
      <c r="AM430" s="83" t="str">
        <f aca="false">IF(E430="","",IF(R430="","À SOUDER",IF(U430="","VT EN ATTENTE",IF(U430="R","VT REJETÉ – À REPRENDRE",IF(AL430="","À RADIOGRAPHIER",IF(AL430="A","ACCEPTÉ",IF(AL430="NX","NX – RT À REFAIRE",IF(IF(AK430=1,Z430,IF(AK430=2,AE430,""))="A","RÉPARÉ – À RADIOGRAPHIER",IF(IF(AK430=1,Z430,IF(AK430=2,AE430,""))="R","VT REJETÉ – À REPRENDRE",IF(OR(AL430="CO",AL430="NT"),"COUPE – À RESOUDER","À RÉPARER"))))))))))</f>
        <v>À SOUDER</v>
      </c>
      <c r="AN430" s="81" t="str">
        <f aca="false">IF(AND(ISNUMBER(R430),OR(AM430="À RADIOGRAPHIER",AM430="RÉPARÉ – À RADIOGRAPHIER",AM430="NX – RT À REFAIRE",AM430="À RÉPARER",AM430="COUPE – À RESOUDER",AM430="VT REJETÉ – À REPRENDRE")),MAX(0,'PROGRAMME RT'!$C$4-R430),"")</f>
        <v/>
      </c>
      <c r="AO430" s="78" t="n">
        <f aca="false">IF(AND(OR(AM430="À RADIOGRAPHIER",AM430="RÉPARÉ – À RADIOGRAPHIER",AM430="NX – RT À REFAIRE"),OR('PROGRAMME RT'!$D$5="TOUTES",B430='PROGRAMME RT'!$D$5)),1,0)</f>
        <v>0</v>
      </c>
      <c r="AP430" s="78" t="str">
        <f aca="false">IF(AO430=1,SUM(AO$7:AO430),"")</f>
        <v/>
      </c>
      <c r="AQ430" s="78" t="n">
        <f aca="false">IF(AND(OR(X430="R",X430="NX",X430="NT",X430="CO"),OR('JOINTS DE RÉPARATION'!$D$5="TOUTES",B430='JOINTS DE RÉPARATION'!$D$5),OR('JOINTS DE RÉPARATION'!$L$4="TOUS",AM430&lt;&gt;"ACCEPTÉ")),1,0)</f>
        <v>0</v>
      </c>
      <c r="AR430" s="78" t="str">
        <f aca="false">IF(AQ430=1,SUM(AQ$7:AQ430),"")</f>
        <v/>
      </c>
    </row>
    <row r="431" customFormat="false" ht="15" hidden="false" customHeight="false" outlineLevel="0" collapsed="false">
      <c r="A431" s="78" t="n">
        <f aca="false">IF(E431="","",ROW()-6)</f>
        <v>425</v>
      </c>
      <c r="B431" s="79" t="s">
        <v>585</v>
      </c>
      <c r="C431" s="80"/>
      <c r="D431" s="80"/>
      <c r="E431" s="80" t="s">
        <v>163</v>
      </c>
      <c r="F431" s="80"/>
      <c r="G431" s="80" t="s">
        <v>106</v>
      </c>
      <c r="H431" s="80"/>
      <c r="I431" s="80"/>
      <c r="J431" s="80"/>
      <c r="K431" s="80"/>
      <c r="L431" s="81" t="str">
        <f aca="false">IF(K431="","",IFERROR(INDEX(BARDAGE!$C$7:$C$1506,MATCH(K431,BARDAGE!$B$7:$B$1506,0)),"? hors registre"))</f>
        <v/>
      </c>
      <c r="M431" s="80"/>
      <c r="N431" s="81" t="str">
        <f aca="false">IF(M431="","",IFERROR(INDEX(BARDAGE!$C$7:$C$1506,MATCH(M431,BARDAGE!$B$7:$B$1506,0)),"? hors registre"))</f>
        <v/>
      </c>
      <c r="O431" s="80"/>
      <c r="P431" s="80"/>
      <c r="Q431" s="80"/>
      <c r="R431" s="82"/>
      <c r="S431" s="82"/>
      <c r="T431" s="80"/>
      <c r="U431" s="80"/>
      <c r="V431" s="82"/>
      <c r="W431" s="80"/>
      <c r="X431" s="80"/>
      <c r="Y431" s="80"/>
      <c r="Z431" s="80"/>
      <c r="AA431" s="82"/>
      <c r="AB431" s="80"/>
      <c r="AC431" s="80"/>
      <c r="AD431" s="80"/>
      <c r="AE431" s="80"/>
      <c r="AF431" s="82"/>
      <c r="AG431" s="80"/>
      <c r="AH431" s="80"/>
      <c r="AI431" s="82"/>
      <c r="AJ431" s="79"/>
      <c r="AK431" s="78" t="n">
        <f aca="false">IF(E431="","",(X431&lt;&gt;"")+(AC431&lt;&gt;"")+(AH431&lt;&gt;""))</f>
        <v>0</v>
      </c>
      <c r="AL431" s="81" t="str">
        <f aca="false">IF(AH431&lt;&gt;"",AH431,IF(AC431&lt;&gt;"",AC431,IF(X431&lt;&gt;"",X431,"")))</f>
        <v/>
      </c>
      <c r="AM431" s="83" t="str">
        <f aca="false">IF(E431="","",IF(R431="","À SOUDER",IF(U431="","VT EN ATTENTE",IF(U431="R","VT REJETÉ – À REPRENDRE",IF(AL431="","À RADIOGRAPHIER",IF(AL431="A","ACCEPTÉ",IF(AL431="NX","NX – RT À REFAIRE",IF(IF(AK431=1,Z431,IF(AK431=2,AE431,""))="A","RÉPARÉ – À RADIOGRAPHIER",IF(IF(AK431=1,Z431,IF(AK431=2,AE431,""))="R","VT REJETÉ – À REPRENDRE",IF(OR(AL431="CO",AL431="NT"),"COUPE – À RESOUDER","À RÉPARER"))))))))))</f>
        <v>À SOUDER</v>
      </c>
      <c r="AN431" s="81" t="str">
        <f aca="false">IF(AND(ISNUMBER(R431),OR(AM431="À RADIOGRAPHIER",AM431="RÉPARÉ – À RADIOGRAPHIER",AM431="NX – RT À REFAIRE",AM431="À RÉPARER",AM431="COUPE – À RESOUDER",AM431="VT REJETÉ – À REPRENDRE")),MAX(0,'PROGRAMME RT'!$C$4-R431),"")</f>
        <v/>
      </c>
      <c r="AO431" s="78" t="n">
        <f aca="false">IF(AND(OR(AM431="À RADIOGRAPHIER",AM431="RÉPARÉ – À RADIOGRAPHIER",AM431="NX – RT À REFAIRE"),OR('PROGRAMME RT'!$D$5="TOUTES",B431='PROGRAMME RT'!$D$5)),1,0)</f>
        <v>0</v>
      </c>
      <c r="AP431" s="78" t="str">
        <f aca="false">IF(AO431=1,SUM(AO$7:AO431),"")</f>
        <v/>
      </c>
      <c r="AQ431" s="78" t="n">
        <f aca="false">IF(AND(OR(X431="R",X431="NX",X431="NT",X431="CO"),OR('JOINTS DE RÉPARATION'!$D$5="TOUTES",B431='JOINTS DE RÉPARATION'!$D$5),OR('JOINTS DE RÉPARATION'!$L$4="TOUS",AM431&lt;&gt;"ACCEPTÉ")),1,0)</f>
        <v>0</v>
      </c>
      <c r="AR431" s="78" t="str">
        <f aca="false">IF(AQ431=1,SUM(AQ$7:AQ431),"")</f>
        <v/>
      </c>
    </row>
    <row r="432" customFormat="false" ht="15" hidden="false" customHeight="false" outlineLevel="0" collapsed="false">
      <c r="A432" s="78" t="n">
        <f aca="false">IF(E432="","",ROW()-6)</f>
        <v>426</v>
      </c>
      <c r="B432" s="79" t="s">
        <v>585</v>
      </c>
      <c r="C432" s="80"/>
      <c r="D432" s="80"/>
      <c r="E432" s="80" t="s">
        <v>577</v>
      </c>
      <c r="F432" s="80"/>
      <c r="G432" s="80" t="s">
        <v>106</v>
      </c>
      <c r="H432" s="80"/>
      <c r="I432" s="80"/>
      <c r="J432" s="80"/>
      <c r="K432" s="80"/>
      <c r="L432" s="81" t="str">
        <f aca="false">IF(K432="","",IFERROR(INDEX(BARDAGE!$C$7:$C$1506,MATCH(K432,BARDAGE!$B$7:$B$1506,0)),"? hors registre"))</f>
        <v/>
      </c>
      <c r="M432" s="80"/>
      <c r="N432" s="81" t="str">
        <f aca="false">IF(M432="","",IFERROR(INDEX(BARDAGE!$C$7:$C$1506,MATCH(M432,BARDAGE!$B$7:$B$1506,0)),"? hors registre"))</f>
        <v/>
      </c>
      <c r="O432" s="80"/>
      <c r="P432" s="80"/>
      <c r="Q432" s="80"/>
      <c r="R432" s="82"/>
      <c r="S432" s="82"/>
      <c r="T432" s="80"/>
      <c r="U432" s="80"/>
      <c r="V432" s="82"/>
      <c r="W432" s="80"/>
      <c r="X432" s="80"/>
      <c r="Y432" s="80"/>
      <c r="Z432" s="80"/>
      <c r="AA432" s="82"/>
      <c r="AB432" s="80"/>
      <c r="AC432" s="80"/>
      <c r="AD432" s="80"/>
      <c r="AE432" s="80"/>
      <c r="AF432" s="82"/>
      <c r="AG432" s="80"/>
      <c r="AH432" s="80"/>
      <c r="AI432" s="82"/>
      <c r="AJ432" s="79"/>
      <c r="AK432" s="78" t="n">
        <f aca="false">IF(E432="","",(X432&lt;&gt;"")+(AC432&lt;&gt;"")+(AH432&lt;&gt;""))</f>
        <v>0</v>
      </c>
      <c r="AL432" s="81" t="str">
        <f aca="false">IF(AH432&lt;&gt;"",AH432,IF(AC432&lt;&gt;"",AC432,IF(X432&lt;&gt;"",X432,"")))</f>
        <v/>
      </c>
      <c r="AM432" s="83" t="str">
        <f aca="false">IF(E432="","",IF(R432="","À SOUDER",IF(U432="","VT EN ATTENTE",IF(U432="R","VT REJETÉ – À REPRENDRE",IF(AL432="","À RADIOGRAPHIER",IF(AL432="A","ACCEPTÉ",IF(AL432="NX","NX – RT À REFAIRE",IF(IF(AK432=1,Z432,IF(AK432=2,AE432,""))="A","RÉPARÉ – À RADIOGRAPHIER",IF(IF(AK432=1,Z432,IF(AK432=2,AE432,""))="R","VT REJETÉ – À REPRENDRE",IF(OR(AL432="CO",AL432="NT"),"COUPE – À RESOUDER","À RÉPARER"))))))))))</f>
        <v>À SOUDER</v>
      </c>
      <c r="AN432" s="81" t="str">
        <f aca="false">IF(AND(ISNUMBER(R432),OR(AM432="À RADIOGRAPHIER",AM432="RÉPARÉ – À RADIOGRAPHIER",AM432="NX – RT À REFAIRE",AM432="À RÉPARER",AM432="COUPE – À RESOUDER",AM432="VT REJETÉ – À REPRENDRE")),MAX(0,'PROGRAMME RT'!$C$4-R432),"")</f>
        <v/>
      </c>
      <c r="AO432" s="78" t="n">
        <f aca="false">IF(AND(OR(AM432="À RADIOGRAPHIER",AM432="RÉPARÉ – À RADIOGRAPHIER",AM432="NX – RT À REFAIRE"),OR('PROGRAMME RT'!$D$5="TOUTES",B432='PROGRAMME RT'!$D$5)),1,0)</f>
        <v>0</v>
      </c>
      <c r="AP432" s="78" t="str">
        <f aca="false">IF(AO432=1,SUM(AO$7:AO432),"")</f>
        <v/>
      </c>
      <c r="AQ432" s="78" t="n">
        <f aca="false">IF(AND(OR(X432="R",X432="NX",X432="NT",X432="CO"),OR('JOINTS DE RÉPARATION'!$D$5="TOUTES",B432='JOINTS DE RÉPARATION'!$D$5),OR('JOINTS DE RÉPARATION'!$L$4="TOUS",AM432&lt;&gt;"ACCEPTÉ")),1,0)</f>
        <v>0</v>
      </c>
      <c r="AR432" s="78" t="str">
        <f aca="false">IF(AQ432=1,SUM(AQ$7:AQ432),"")</f>
        <v/>
      </c>
    </row>
    <row r="433" customFormat="false" ht="15" hidden="false" customHeight="false" outlineLevel="0" collapsed="false">
      <c r="A433" s="78" t="n">
        <f aca="false">IF(E433="","",ROW()-6)</f>
        <v>427</v>
      </c>
      <c r="B433" s="79" t="s">
        <v>585</v>
      </c>
      <c r="C433" s="80"/>
      <c r="D433" s="80"/>
      <c r="E433" s="80" t="s">
        <v>169</v>
      </c>
      <c r="F433" s="80"/>
      <c r="G433" s="80" t="s">
        <v>106</v>
      </c>
      <c r="H433" s="80"/>
      <c r="I433" s="80"/>
      <c r="J433" s="80"/>
      <c r="K433" s="80"/>
      <c r="L433" s="81" t="str">
        <f aca="false">IF(K433="","",IFERROR(INDEX(BARDAGE!$C$7:$C$1506,MATCH(K433,BARDAGE!$B$7:$B$1506,0)),"? hors registre"))</f>
        <v/>
      </c>
      <c r="M433" s="80"/>
      <c r="N433" s="81" t="str">
        <f aca="false">IF(M433="","",IFERROR(INDEX(BARDAGE!$C$7:$C$1506,MATCH(M433,BARDAGE!$B$7:$B$1506,0)),"? hors registre"))</f>
        <v/>
      </c>
      <c r="O433" s="80"/>
      <c r="P433" s="80"/>
      <c r="Q433" s="80"/>
      <c r="R433" s="82"/>
      <c r="S433" s="82"/>
      <c r="T433" s="80"/>
      <c r="U433" s="80"/>
      <c r="V433" s="82"/>
      <c r="W433" s="80"/>
      <c r="X433" s="80"/>
      <c r="Y433" s="80"/>
      <c r="Z433" s="80"/>
      <c r="AA433" s="82"/>
      <c r="AB433" s="80"/>
      <c r="AC433" s="80"/>
      <c r="AD433" s="80"/>
      <c r="AE433" s="80"/>
      <c r="AF433" s="82"/>
      <c r="AG433" s="80"/>
      <c r="AH433" s="80"/>
      <c r="AI433" s="82"/>
      <c r="AJ433" s="79"/>
      <c r="AK433" s="78" t="n">
        <f aca="false">IF(E433="","",(X433&lt;&gt;"")+(AC433&lt;&gt;"")+(AH433&lt;&gt;""))</f>
        <v>0</v>
      </c>
      <c r="AL433" s="81" t="str">
        <f aca="false">IF(AH433&lt;&gt;"",AH433,IF(AC433&lt;&gt;"",AC433,IF(X433&lt;&gt;"",X433,"")))</f>
        <v/>
      </c>
      <c r="AM433" s="83" t="str">
        <f aca="false">IF(E433="","",IF(R433="","À SOUDER",IF(U433="","VT EN ATTENTE",IF(U433="R","VT REJETÉ – À REPRENDRE",IF(AL433="","À RADIOGRAPHIER",IF(AL433="A","ACCEPTÉ",IF(AL433="NX","NX – RT À REFAIRE",IF(IF(AK433=1,Z433,IF(AK433=2,AE433,""))="A","RÉPARÉ – À RADIOGRAPHIER",IF(IF(AK433=1,Z433,IF(AK433=2,AE433,""))="R","VT REJETÉ – À REPRENDRE",IF(OR(AL433="CO",AL433="NT"),"COUPE – À RESOUDER","À RÉPARER"))))))))))</f>
        <v>À SOUDER</v>
      </c>
      <c r="AN433" s="81" t="str">
        <f aca="false">IF(AND(ISNUMBER(R433),OR(AM433="À RADIOGRAPHIER",AM433="RÉPARÉ – À RADIOGRAPHIER",AM433="NX – RT À REFAIRE",AM433="À RÉPARER",AM433="COUPE – À RESOUDER",AM433="VT REJETÉ – À REPRENDRE")),MAX(0,'PROGRAMME RT'!$C$4-R433),"")</f>
        <v/>
      </c>
      <c r="AO433" s="78" t="n">
        <f aca="false">IF(AND(OR(AM433="À RADIOGRAPHIER",AM433="RÉPARÉ – À RADIOGRAPHIER",AM433="NX – RT À REFAIRE"),OR('PROGRAMME RT'!$D$5="TOUTES",B433='PROGRAMME RT'!$D$5)),1,0)</f>
        <v>0</v>
      </c>
      <c r="AP433" s="78" t="str">
        <f aca="false">IF(AO433=1,SUM(AO$7:AO433),"")</f>
        <v/>
      </c>
      <c r="AQ433" s="78" t="n">
        <f aca="false">IF(AND(OR(X433="R",X433="NX",X433="NT",X433="CO"),OR('JOINTS DE RÉPARATION'!$D$5="TOUTES",B433='JOINTS DE RÉPARATION'!$D$5),OR('JOINTS DE RÉPARATION'!$L$4="TOUS",AM433&lt;&gt;"ACCEPTÉ")),1,0)</f>
        <v>0</v>
      </c>
      <c r="AR433" s="78" t="str">
        <f aca="false">IF(AQ433=1,SUM(AQ$7:AQ433),"")</f>
        <v/>
      </c>
    </row>
    <row r="434" customFormat="false" ht="15" hidden="false" customHeight="false" outlineLevel="0" collapsed="false">
      <c r="A434" s="78" t="n">
        <f aca="false">IF(E434="","",ROW()-6)</f>
        <v>428</v>
      </c>
      <c r="B434" s="79" t="s">
        <v>585</v>
      </c>
      <c r="C434" s="80"/>
      <c r="D434" s="80"/>
      <c r="E434" s="80" t="s">
        <v>172</v>
      </c>
      <c r="F434" s="80"/>
      <c r="G434" s="80" t="s">
        <v>106</v>
      </c>
      <c r="H434" s="80"/>
      <c r="I434" s="80"/>
      <c r="J434" s="80"/>
      <c r="K434" s="80"/>
      <c r="L434" s="81" t="str">
        <f aca="false">IF(K434="","",IFERROR(INDEX(BARDAGE!$C$7:$C$1506,MATCH(K434,BARDAGE!$B$7:$B$1506,0)),"? hors registre"))</f>
        <v/>
      </c>
      <c r="M434" s="80"/>
      <c r="N434" s="81" t="str">
        <f aca="false">IF(M434="","",IFERROR(INDEX(BARDAGE!$C$7:$C$1506,MATCH(M434,BARDAGE!$B$7:$B$1506,0)),"? hors registre"))</f>
        <v/>
      </c>
      <c r="O434" s="80"/>
      <c r="P434" s="80"/>
      <c r="Q434" s="80"/>
      <c r="R434" s="82"/>
      <c r="S434" s="82"/>
      <c r="T434" s="80"/>
      <c r="U434" s="80"/>
      <c r="V434" s="82"/>
      <c r="W434" s="80"/>
      <c r="X434" s="80"/>
      <c r="Y434" s="80"/>
      <c r="Z434" s="80"/>
      <c r="AA434" s="82"/>
      <c r="AB434" s="80"/>
      <c r="AC434" s="80"/>
      <c r="AD434" s="80"/>
      <c r="AE434" s="80"/>
      <c r="AF434" s="82"/>
      <c r="AG434" s="80"/>
      <c r="AH434" s="80"/>
      <c r="AI434" s="82"/>
      <c r="AJ434" s="79"/>
      <c r="AK434" s="78" t="n">
        <f aca="false">IF(E434="","",(X434&lt;&gt;"")+(AC434&lt;&gt;"")+(AH434&lt;&gt;""))</f>
        <v>0</v>
      </c>
      <c r="AL434" s="81" t="str">
        <f aca="false">IF(AH434&lt;&gt;"",AH434,IF(AC434&lt;&gt;"",AC434,IF(X434&lt;&gt;"",X434,"")))</f>
        <v/>
      </c>
      <c r="AM434" s="83" t="str">
        <f aca="false">IF(E434="","",IF(R434="","À SOUDER",IF(U434="","VT EN ATTENTE",IF(U434="R","VT REJETÉ – À REPRENDRE",IF(AL434="","À RADIOGRAPHIER",IF(AL434="A","ACCEPTÉ",IF(AL434="NX","NX – RT À REFAIRE",IF(IF(AK434=1,Z434,IF(AK434=2,AE434,""))="A","RÉPARÉ – À RADIOGRAPHIER",IF(IF(AK434=1,Z434,IF(AK434=2,AE434,""))="R","VT REJETÉ – À REPRENDRE",IF(OR(AL434="CO",AL434="NT"),"COUPE – À RESOUDER","À RÉPARER"))))))))))</f>
        <v>À SOUDER</v>
      </c>
      <c r="AN434" s="81" t="str">
        <f aca="false">IF(AND(ISNUMBER(R434),OR(AM434="À RADIOGRAPHIER",AM434="RÉPARÉ – À RADIOGRAPHIER",AM434="NX – RT À REFAIRE",AM434="À RÉPARER",AM434="COUPE – À RESOUDER",AM434="VT REJETÉ – À REPRENDRE")),MAX(0,'PROGRAMME RT'!$C$4-R434),"")</f>
        <v/>
      </c>
      <c r="AO434" s="78" t="n">
        <f aca="false">IF(AND(OR(AM434="À RADIOGRAPHIER",AM434="RÉPARÉ – À RADIOGRAPHIER",AM434="NX – RT À REFAIRE"),OR('PROGRAMME RT'!$D$5="TOUTES",B434='PROGRAMME RT'!$D$5)),1,0)</f>
        <v>0</v>
      </c>
      <c r="AP434" s="78" t="str">
        <f aca="false">IF(AO434=1,SUM(AO$7:AO434),"")</f>
        <v/>
      </c>
      <c r="AQ434" s="78" t="n">
        <f aca="false">IF(AND(OR(X434="R",X434="NX",X434="NT",X434="CO"),OR('JOINTS DE RÉPARATION'!$D$5="TOUTES",B434='JOINTS DE RÉPARATION'!$D$5),OR('JOINTS DE RÉPARATION'!$L$4="TOUS",AM434&lt;&gt;"ACCEPTÉ")),1,0)</f>
        <v>0</v>
      </c>
      <c r="AR434" s="78" t="str">
        <f aca="false">IF(AQ434=1,SUM(AQ$7:AQ434),"")</f>
        <v/>
      </c>
    </row>
    <row r="435" customFormat="false" ht="15" hidden="false" customHeight="false" outlineLevel="0" collapsed="false">
      <c r="A435" s="78" t="n">
        <f aca="false">IF(E435="","",ROW()-6)</f>
        <v>429</v>
      </c>
      <c r="B435" s="79" t="s">
        <v>585</v>
      </c>
      <c r="C435" s="80"/>
      <c r="D435" s="80"/>
      <c r="E435" s="80" t="s">
        <v>174</v>
      </c>
      <c r="F435" s="80"/>
      <c r="G435" s="80" t="s">
        <v>106</v>
      </c>
      <c r="H435" s="80"/>
      <c r="I435" s="80"/>
      <c r="J435" s="80"/>
      <c r="K435" s="80"/>
      <c r="L435" s="81" t="str">
        <f aca="false">IF(K435="","",IFERROR(INDEX(BARDAGE!$C$7:$C$1506,MATCH(K435,BARDAGE!$B$7:$B$1506,0)),"? hors registre"))</f>
        <v/>
      </c>
      <c r="M435" s="80"/>
      <c r="N435" s="81" t="str">
        <f aca="false">IF(M435="","",IFERROR(INDEX(BARDAGE!$C$7:$C$1506,MATCH(M435,BARDAGE!$B$7:$B$1506,0)),"? hors registre"))</f>
        <v/>
      </c>
      <c r="O435" s="80"/>
      <c r="P435" s="80"/>
      <c r="Q435" s="80"/>
      <c r="R435" s="82"/>
      <c r="S435" s="82"/>
      <c r="T435" s="80"/>
      <c r="U435" s="80"/>
      <c r="V435" s="82"/>
      <c r="W435" s="80"/>
      <c r="X435" s="80"/>
      <c r="Y435" s="80"/>
      <c r="Z435" s="80"/>
      <c r="AA435" s="82"/>
      <c r="AB435" s="80"/>
      <c r="AC435" s="80"/>
      <c r="AD435" s="80"/>
      <c r="AE435" s="80"/>
      <c r="AF435" s="82"/>
      <c r="AG435" s="80"/>
      <c r="AH435" s="80"/>
      <c r="AI435" s="82"/>
      <c r="AJ435" s="79"/>
      <c r="AK435" s="78" t="n">
        <f aca="false">IF(E435="","",(X435&lt;&gt;"")+(AC435&lt;&gt;"")+(AH435&lt;&gt;""))</f>
        <v>0</v>
      </c>
      <c r="AL435" s="81" t="str">
        <f aca="false">IF(AH435&lt;&gt;"",AH435,IF(AC435&lt;&gt;"",AC435,IF(X435&lt;&gt;"",X435,"")))</f>
        <v/>
      </c>
      <c r="AM435" s="83" t="str">
        <f aca="false">IF(E435="","",IF(R435="","À SOUDER",IF(U435="","VT EN ATTENTE",IF(U435="R","VT REJETÉ – À REPRENDRE",IF(AL435="","À RADIOGRAPHIER",IF(AL435="A","ACCEPTÉ",IF(AL435="NX","NX – RT À REFAIRE",IF(IF(AK435=1,Z435,IF(AK435=2,AE435,""))="A","RÉPARÉ – À RADIOGRAPHIER",IF(IF(AK435=1,Z435,IF(AK435=2,AE435,""))="R","VT REJETÉ – À REPRENDRE",IF(OR(AL435="CO",AL435="NT"),"COUPE – À RESOUDER","À RÉPARER"))))))))))</f>
        <v>À SOUDER</v>
      </c>
      <c r="AN435" s="81" t="str">
        <f aca="false">IF(AND(ISNUMBER(R435),OR(AM435="À RADIOGRAPHIER",AM435="RÉPARÉ – À RADIOGRAPHIER",AM435="NX – RT À REFAIRE",AM435="À RÉPARER",AM435="COUPE – À RESOUDER",AM435="VT REJETÉ – À REPRENDRE")),MAX(0,'PROGRAMME RT'!$C$4-R435),"")</f>
        <v/>
      </c>
      <c r="AO435" s="78" t="n">
        <f aca="false">IF(AND(OR(AM435="À RADIOGRAPHIER",AM435="RÉPARÉ – À RADIOGRAPHIER",AM435="NX – RT À REFAIRE"),OR('PROGRAMME RT'!$D$5="TOUTES",B435='PROGRAMME RT'!$D$5)),1,0)</f>
        <v>0</v>
      </c>
      <c r="AP435" s="78" t="str">
        <f aca="false">IF(AO435=1,SUM(AO$7:AO435),"")</f>
        <v/>
      </c>
      <c r="AQ435" s="78" t="n">
        <f aca="false">IF(AND(OR(X435="R",X435="NX",X435="NT",X435="CO"),OR('JOINTS DE RÉPARATION'!$D$5="TOUTES",B435='JOINTS DE RÉPARATION'!$D$5),OR('JOINTS DE RÉPARATION'!$L$4="TOUS",AM435&lt;&gt;"ACCEPTÉ")),1,0)</f>
        <v>0</v>
      </c>
      <c r="AR435" s="78" t="str">
        <f aca="false">IF(AQ435=1,SUM(AQ$7:AQ435),"")</f>
        <v/>
      </c>
    </row>
    <row r="436" customFormat="false" ht="15" hidden="false" customHeight="false" outlineLevel="0" collapsed="false">
      <c r="A436" s="78" t="n">
        <f aca="false">IF(E436="","",ROW()-6)</f>
        <v>430</v>
      </c>
      <c r="B436" s="79" t="s">
        <v>585</v>
      </c>
      <c r="C436" s="80"/>
      <c r="D436" s="80"/>
      <c r="E436" s="80" t="s">
        <v>176</v>
      </c>
      <c r="F436" s="80"/>
      <c r="G436" s="80" t="s">
        <v>106</v>
      </c>
      <c r="H436" s="80"/>
      <c r="I436" s="80"/>
      <c r="J436" s="80"/>
      <c r="K436" s="80"/>
      <c r="L436" s="81" t="str">
        <f aca="false">IF(K436="","",IFERROR(INDEX(BARDAGE!$C$7:$C$1506,MATCH(K436,BARDAGE!$B$7:$B$1506,0)),"? hors registre"))</f>
        <v/>
      </c>
      <c r="M436" s="80"/>
      <c r="N436" s="81" t="str">
        <f aca="false">IF(M436="","",IFERROR(INDEX(BARDAGE!$C$7:$C$1506,MATCH(M436,BARDAGE!$B$7:$B$1506,0)),"? hors registre"))</f>
        <v/>
      </c>
      <c r="O436" s="80"/>
      <c r="P436" s="80"/>
      <c r="Q436" s="80"/>
      <c r="R436" s="82"/>
      <c r="S436" s="82"/>
      <c r="T436" s="80"/>
      <c r="U436" s="80"/>
      <c r="V436" s="82"/>
      <c r="W436" s="80"/>
      <c r="X436" s="80"/>
      <c r="Y436" s="80"/>
      <c r="Z436" s="80"/>
      <c r="AA436" s="82"/>
      <c r="AB436" s="80"/>
      <c r="AC436" s="80"/>
      <c r="AD436" s="80"/>
      <c r="AE436" s="80"/>
      <c r="AF436" s="82"/>
      <c r="AG436" s="80"/>
      <c r="AH436" s="80"/>
      <c r="AI436" s="82"/>
      <c r="AJ436" s="79"/>
      <c r="AK436" s="78" t="n">
        <f aca="false">IF(E436="","",(X436&lt;&gt;"")+(AC436&lt;&gt;"")+(AH436&lt;&gt;""))</f>
        <v>0</v>
      </c>
      <c r="AL436" s="81" t="str">
        <f aca="false">IF(AH436&lt;&gt;"",AH436,IF(AC436&lt;&gt;"",AC436,IF(X436&lt;&gt;"",X436,"")))</f>
        <v/>
      </c>
      <c r="AM436" s="83" t="str">
        <f aca="false">IF(E436="","",IF(R436="","À SOUDER",IF(U436="","VT EN ATTENTE",IF(U436="R","VT REJETÉ – À REPRENDRE",IF(AL436="","À RADIOGRAPHIER",IF(AL436="A","ACCEPTÉ",IF(AL436="NX","NX – RT À REFAIRE",IF(IF(AK436=1,Z436,IF(AK436=2,AE436,""))="A","RÉPARÉ – À RADIOGRAPHIER",IF(IF(AK436=1,Z436,IF(AK436=2,AE436,""))="R","VT REJETÉ – À REPRENDRE",IF(OR(AL436="CO",AL436="NT"),"COUPE – À RESOUDER","À RÉPARER"))))))))))</f>
        <v>À SOUDER</v>
      </c>
      <c r="AN436" s="81" t="str">
        <f aca="false">IF(AND(ISNUMBER(R436),OR(AM436="À RADIOGRAPHIER",AM436="RÉPARÉ – À RADIOGRAPHIER",AM436="NX – RT À REFAIRE",AM436="À RÉPARER",AM436="COUPE – À RESOUDER",AM436="VT REJETÉ – À REPRENDRE")),MAX(0,'PROGRAMME RT'!$C$4-R436),"")</f>
        <v/>
      </c>
      <c r="AO436" s="78" t="n">
        <f aca="false">IF(AND(OR(AM436="À RADIOGRAPHIER",AM436="RÉPARÉ – À RADIOGRAPHIER",AM436="NX – RT À REFAIRE"),OR('PROGRAMME RT'!$D$5="TOUTES",B436='PROGRAMME RT'!$D$5)),1,0)</f>
        <v>0</v>
      </c>
      <c r="AP436" s="78" t="str">
        <f aca="false">IF(AO436=1,SUM(AO$7:AO436),"")</f>
        <v/>
      </c>
      <c r="AQ436" s="78" t="n">
        <f aca="false">IF(AND(OR(X436="R",X436="NX",X436="NT",X436="CO"),OR('JOINTS DE RÉPARATION'!$D$5="TOUTES",B436='JOINTS DE RÉPARATION'!$D$5),OR('JOINTS DE RÉPARATION'!$L$4="TOUS",AM436&lt;&gt;"ACCEPTÉ")),1,0)</f>
        <v>0</v>
      </c>
      <c r="AR436" s="78" t="str">
        <f aca="false">IF(AQ436=1,SUM(AQ$7:AQ436),"")</f>
        <v/>
      </c>
    </row>
    <row r="437" customFormat="false" ht="15" hidden="false" customHeight="false" outlineLevel="0" collapsed="false">
      <c r="A437" s="78" t="n">
        <f aca="false">IF(E437="","",ROW()-6)</f>
        <v>431</v>
      </c>
      <c r="B437" s="79" t="s">
        <v>585</v>
      </c>
      <c r="C437" s="80"/>
      <c r="D437" s="80"/>
      <c r="E437" s="80" t="s">
        <v>178</v>
      </c>
      <c r="F437" s="80"/>
      <c r="G437" s="80" t="s">
        <v>106</v>
      </c>
      <c r="H437" s="80"/>
      <c r="I437" s="80"/>
      <c r="J437" s="80"/>
      <c r="K437" s="80"/>
      <c r="L437" s="81" t="str">
        <f aca="false">IF(K437="","",IFERROR(INDEX(BARDAGE!$C$7:$C$1506,MATCH(K437,BARDAGE!$B$7:$B$1506,0)),"? hors registre"))</f>
        <v/>
      </c>
      <c r="M437" s="80"/>
      <c r="N437" s="81" t="str">
        <f aca="false">IF(M437="","",IFERROR(INDEX(BARDAGE!$C$7:$C$1506,MATCH(M437,BARDAGE!$B$7:$B$1506,0)),"? hors registre"))</f>
        <v/>
      </c>
      <c r="O437" s="80"/>
      <c r="P437" s="80"/>
      <c r="Q437" s="80"/>
      <c r="R437" s="82"/>
      <c r="S437" s="82"/>
      <c r="T437" s="80"/>
      <c r="U437" s="80"/>
      <c r="V437" s="82"/>
      <c r="W437" s="80"/>
      <c r="X437" s="80"/>
      <c r="Y437" s="80"/>
      <c r="Z437" s="80"/>
      <c r="AA437" s="82"/>
      <c r="AB437" s="80"/>
      <c r="AC437" s="80"/>
      <c r="AD437" s="80"/>
      <c r="AE437" s="80"/>
      <c r="AF437" s="82"/>
      <c r="AG437" s="80"/>
      <c r="AH437" s="80"/>
      <c r="AI437" s="82"/>
      <c r="AJ437" s="79"/>
      <c r="AK437" s="78" t="n">
        <f aca="false">IF(E437="","",(X437&lt;&gt;"")+(AC437&lt;&gt;"")+(AH437&lt;&gt;""))</f>
        <v>0</v>
      </c>
      <c r="AL437" s="81" t="str">
        <f aca="false">IF(AH437&lt;&gt;"",AH437,IF(AC437&lt;&gt;"",AC437,IF(X437&lt;&gt;"",X437,"")))</f>
        <v/>
      </c>
      <c r="AM437" s="83" t="str">
        <f aca="false">IF(E437="","",IF(R437="","À SOUDER",IF(U437="","VT EN ATTENTE",IF(U437="R","VT REJETÉ – À REPRENDRE",IF(AL437="","À RADIOGRAPHIER",IF(AL437="A","ACCEPTÉ",IF(AL437="NX","NX – RT À REFAIRE",IF(IF(AK437=1,Z437,IF(AK437=2,AE437,""))="A","RÉPARÉ – À RADIOGRAPHIER",IF(IF(AK437=1,Z437,IF(AK437=2,AE437,""))="R","VT REJETÉ – À REPRENDRE",IF(OR(AL437="CO",AL437="NT"),"COUPE – À RESOUDER","À RÉPARER"))))))))))</f>
        <v>À SOUDER</v>
      </c>
      <c r="AN437" s="81" t="str">
        <f aca="false">IF(AND(ISNUMBER(R437),OR(AM437="À RADIOGRAPHIER",AM437="RÉPARÉ – À RADIOGRAPHIER",AM437="NX – RT À REFAIRE",AM437="À RÉPARER",AM437="COUPE – À RESOUDER",AM437="VT REJETÉ – À REPRENDRE")),MAX(0,'PROGRAMME RT'!$C$4-R437),"")</f>
        <v/>
      </c>
      <c r="AO437" s="78" t="n">
        <f aca="false">IF(AND(OR(AM437="À RADIOGRAPHIER",AM437="RÉPARÉ – À RADIOGRAPHIER",AM437="NX – RT À REFAIRE"),OR('PROGRAMME RT'!$D$5="TOUTES",B437='PROGRAMME RT'!$D$5)),1,0)</f>
        <v>0</v>
      </c>
      <c r="AP437" s="78" t="str">
        <f aca="false">IF(AO437=1,SUM(AO$7:AO437),"")</f>
        <v/>
      </c>
      <c r="AQ437" s="78" t="n">
        <f aca="false">IF(AND(OR(X437="R",X437="NX",X437="NT",X437="CO"),OR('JOINTS DE RÉPARATION'!$D$5="TOUTES",B437='JOINTS DE RÉPARATION'!$D$5),OR('JOINTS DE RÉPARATION'!$L$4="TOUS",AM437&lt;&gt;"ACCEPTÉ")),1,0)</f>
        <v>0</v>
      </c>
      <c r="AR437" s="78" t="str">
        <f aca="false">IF(AQ437=1,SUM(AQ$7:AQ437),"")</f>
        <v/>
      </c>
    </row>
    <row r="438" customFormat="false" ht="15" hidden="false" customHeight="false" outlineLevel="0" collapsed="false">
      <c r="A438" s="78" t="n">
        <f aca="false">IF(E438="","",ROW()-6)</f>
        <v>432</v>
      </c>
      <c r="B438" s="79" t="s">
        <v>585</v>
      </c>
      <c r="C438" s="80"/>
      <c r="D438" s="80"/>
      <c r="E438" s="80" t="s">
        <v>180</v>
      </c>
      <c r="F438" s="80"/>
      <c r="G438" s="80" t="s">
        <v>106</v>
      </c>
      <c r="H438" s="80"/>
      <c r="I438" s="80"/>
      <c r="J438" s="80"/>
      <c r="K438" s="80"/>
      <c r="L438" s="81" t="str">
        <f aca="false">IF(K438="","",IFERROR(INDEX(BARDAGE!$C$7:$C$1506,MATCH(K438,BARDAGE!$B$7:$B$1506,0)),"? hors registre"))</f>
        <v/>
      </c>
      <c r="M438" s="80"/>
      <c r="N438" s="81" t="str">
        <f aca="false">IF(M438="","",IFERROR(INDEX(BARDAGE!$C$7:$C$1506,MATCH(M438,BARDAGE!$B$7:$B$1506,0)),"? hors registre"))</f>
        <v/>
      </c>
      <c r="O438" s="80"/>
      <c r="P438" s="80"/>
      <c r="Q438" s="80"/>
      <c r="R438" s="82"/>
      <c r="S438" s="82"/>
      <c r="T438" s="80"/>
      <c r="U438" s="80"/>
      <c r="V438" s="82"/>
      <c r="W438" s="80"/>
      <c r="X438" s="80"/>
      <c r="Y438" s="80"/>
      <c r="Z438" s="80"/>
      <c r="AA438" s="82"/>
      <c r="AB438" s="80"/>
      <c r="AC438" s="80"/>
      <c r="AD438" s="80"/>
      <c r="AE438" s="80"/>
      <c r="AF438" s="82"/>
      <c r="AG438" s="80"/>
      <c r="AH438" s="80"/>
      <c r="AI438" s="82"/>
      <c r="AJ438" s="79"/>
      <c r="AK438" s="78" t="n">
        <f aca="false">IF(E438="","",(X438&lt;&gt;"")+(AC438&lt;&gt;"")+(AH438&lt;&gt;""))</f>
        <v>0</v>
      </c>
      <c r="AL438" s="81" t="str">
        <f aca="false">IF(AH438&lt;&gt;"",AH438,IF(AC438&lt;&gt;"",AC438,IF(X438&lt;&gt;"",X438,"")))</f>
        <v/>
      </c>
      <c r="AM438" s="83" t="str">
        <f aca="false">IF(E438="","",IF(R438="","À SOUDER",IF(U438="","VT EN ATTENTE",IF(U438="R","VT REJETÉ – À REPRENDRE",IF(AL438="","À RADIOGRAPHIER",IF(AL438="A","ACCEPTÉ",IF(AL438="NX","NX – RT À REFAIRE",IF(IF(AK438=1,Z438,IF(AK438=2,AE438,""))="A","RÉPARÉ – À RADIOGRAPHIER",IF(IF(AK438=1,Z438,IF(AK438=2,AE438,""))="R","VT REJETÉ – À REPRENDRE",IF(OR(AL438="CO",AL438="NT"),"COUPE – À RESOUDER","À RÉPARER"))))))))))</f>
        <v>À SOUDER</v>
      </c>
      <c r="AN438" s="81" t="str">
        <f aca="false">IF(AND(ISNUMBER(R438),OR(AM438="À RADIOGRAPHIER",AM438="RÉPARÉ – À RADIOGRAPHIER",AM438="NX – RT À REFAIRE",AM438="À RÉPARER",AM438="COUPE – À RESOUDER",AM438="VT REJETÉ – À REPRENDRE")),MAX(0,'PROGRAMME RT'!$C$4-R438),"")</f>
        <v/>
      </c>
      <c r="AO438" s="78" t="n">
        <f aca="false">IF(AND(OR(AM438="À RADIOGRAPHIER",AM438="RÉPARÉ – À RADIOGRAPHIER",AM438="NX – RT À REFAIRE"),OR('PROGRAMME RT'!$D$5="TOUTES",B438='PROGRAMME RT'!$D$5)),1,0)</f>
        <v>0</v>
      </c>
      <c r="AP438" s="78" t="str">
        <f aca="false">IF(AO438=1,SUM(AO$7:AO438),"")</f>
        <v/>
      </c>
      <c r="AQ438" s="78" t="n">
        <f aca="false">IF(AND(OR(X438="R",X438="NX",X438="NT",X438="CO"),OR('JOINTS DE RÉPARATION'!$D$5="TOUTES",B438='JOINTS DE RÉPARATION'!$D$5),OR('JOINTS DE RÉPARATION'!$L$4="TOUS",AM438&lt;&gt;"ACCEPTÉ")),1,0)</f>
        <v>0</v>
      </c>
      <c r="AR438" s="78" t="str">
        <f aca="false">IF(AQ438=1,SUM(AQ$7:AQ438),"")</f>
        <v/>
      </c>
    </row>
    <row r="439" customFormat="false" ht="15" hidden="false" customHeight="false" outlineLevel="0" collapsed="false">
      <c r="A439" s="78" t="n">
        <f aca="false">IF(E439="","",ROW()-6)</f>
        <v>433</v>
      </c>
      <c r="B439" s="79" t="s">
        <v>585</v>
      </c>
      <c r="C439" s="80"/>
      <c r="D439" s="80"/>
      <c r="E439" s="80" t="s">
        <v>182</v>
      </c>
      <c r="F439" s="80"/>
      <c r="G439" s="80" t="s">
        <v>106</v>
      </c>
      <c r="H439" s="80"/>
      <c r="I439" s="80"/>
      <c r="J439" s="80"/>
      <c r="K439" s="80"/>
      <c r="L439" s="81" t="str">
        <f aca="false">IF(K439="","",IFERROR(INDEX(BARDAGE!$C$7:$C$1506,MATCH(K439,BARDAGE!$B$7:$B$1506,0)),"? hors registre"))</f>
        <v/>
      </c>
      <c r="M439" s="80"/>
      <c r="N439" s="81" t="str">
        <f aca="false">IF(M439="","",IFERROR(INDEX(BARDAGE!$C$7:$C$1506,MATCH(M439,BARDAGE!$B$7:$B$1506,0)),"? hors registre"))</f>
        <v/>
      </c>
      <c r="O439" s="80"/>
      <c r="P439" s="80"/>
      <c r="Q439" s="80"/>
      <c r="R439" s="82"/>
      <c r="S439" s="82"/>
      <c r="T439" s="80"/>
      <c r="U439" s="80"/>
      <c r="V439" s="82"/>
      <c r="W439" s="80"/>
      <c r="X439" s="80"/>
      <c r="Y439" s="80"/>
      <c r="Z439" s="80"/>
      <c r="AA439" s="82"/>
      <c r="AB439" s="80"/>
      <c r="AC439" s="80"/>
      <c r="AD439" s="80"/>
      <c r="AE439" s="80"/>
      <c r="AF439" s="82"/>
      <c r="AG439" s="80"/>
      <c r="AH439" s="80"/>
      <c r="AI439" s="82"/>
      <c r="AJ439" s="79"/>
      <c r="AK439" s="78" t="n">
        <f aca="false">IF(E439="","",(X439&lt;&gt;"")+(AC439&lt;&gt;"")+(AH439&lt;&gt;""))</f>
        <v>0</v>
      </c>
      <c r="AL439" s="81" t="str">
        <f aca="false">IF(AH439&lt;&gt;"",AH439,IF(AC439&lt;&gt;"",AC439,IF(X439&lt;&gt;"",X439,"")))</f>
        <v/>
      </c>
      <c r="AM439" s="83" t="str">
        <f aca="false">IF(E439="","",IF(R439="","À SOUDER",IF(U439="","VT EN ATTENTE",IF(U439="R","VT REJETÉ – À REPRENDRE",IF(AL439="","À RADIOGRAPHIER",IF(AL439="A","ACCEPTÉ",IF(AL439="NX","NX – RT À REFAIRE",IF(IF(AK439=1,Z439,IF(AK439=2,AE439,""))="A","RÉPARÉ – À RADIOGRAPHIER",IF(IF(AK439=1,Z439,IF(AK439=2,AE439,""))="R","VT REJETÉ – À REPRENDRE",IF(OR(AL439="CO",AL439="NT"),"COUPE – À RESOUDER","À RÉPARER"))))))))))</f>
        <v>À SOUDER</v>
      </c>
      <c r="AN439" s="81" t="str">
        <f aca="false">IF(AND(ISNUMBER(R439),OR(AM439="À RADIOGRAPHIER",AM439="RÉPARÉ – À RADIOGRAPHIER",AM439="NX – RT À REFAIRE",AM439="À RÉPARER",AM439="COUPE – À RESOUDER",AM439="VT REJETÉ – À REPRENDRE")),MAX(0,'PROGRAMME RT'!$C$4-R439),"")</f>
        <v/>
      </c>
      <c r="AO439" s="78" t="n">
        <f aca="false">IF(AND(OR(AM439="À RADIOGRAPHIER",AM439="RÉPARÉ – À RADIOGRAPHIER",AM439="NX – RT À REFAIRE"),OR('PROGRAMME RT'!$D$5="TOUTES",B439='PROGRAMME RT'!$D$5)),1,0)</f>
        <v>0</v>
      </c>
      <c r="AP439" s="78" t="str">
        <f aca="false">IF(AO439=1,SUM(AO$7:AO439),"")</f>
        <v/>
      </c>
      <c r="AQ439" s="78" t="n">
        <f aca="false">IF(AND(OR(X439="R",X439="NX",X439="NT",X439="CO"),OR('JOINTS DE RÉPARATION'!$D$5="TOUTES",B439='JOINTS DE RÉPARATION'!$D$5),OR('JOINTS DE RÉPARATION'!$L$4="TOUS",AM439&lt;&gt;"ACCEPTÉ")),1,0)</f>
        <v>0</v>
      </c>
      <c r="AR439" s="78" t="str">
        <f aca="false">IF(AQ439=1,SUM(AQ$7:AQ439),"")</f>
        <v/>
      </c>
    </row>
    <row r="440" customFormat="false" ht="15" hidden="false" customHeight="false" outlineLevel="0" collapsed="false">
      <c r="A440" s="78" t="n">
        <f aca="false">IF(E440="","",ROW()-6)</f>
        <v>434</v>
      </c>
      <c r="B440" s="79" t="s">
        <v>585</v>
      </c>
      <c r="C440" s="80"/>
      <c r="D440" s="80"/>
      <c r="E440" s="80" t="s">
        <v>186</v>
      </c>
      <c r="F440" s="80"/>
      <c r="G440" s="80" t="s">
        <v>106</v>
      </c>
      <c r="H440" s="80"/>
      <c r="I440" s="80"/>
      <c r="J440" s="80"/>
      <c r="K440" s="80"/>
      <c r="L440" s="81" t="str">
        <f aca="false">IF(K440="","",IFERROR(INDEX(BARDAGE!$C$7:$C$1506,MATCH(K440,BARDAGE!$B$7:$B$1506,0)),"? hors registre"))</f>
        <v/>
      </c>
      <c r="M440" s="80"/>
      <c r="N440" s="81" t="str">
        <f aca="false">IF(M440="","",IFERROR(INDEX(BARDAGE!$C$7:$C$1506,MATCH(M440,BARDAGE!$B$7:$B$1506,0)),"? hors registre"))</f>
        <v/>
      </c>
      <c r="O440" s="80"/>
      <c r="P440" s="80"/>
      <c r="Q440" s="80"/>
      <c r="R440" s="82"/>
      <c r="S440" s="82"/>
      <c r="T440" s="80"/>
      <c r="U440" s="80"/>
      <c r="V440" s="82"/>
      <c r="W440" s="80"/>
      <c r="X440" s="80"/>
      <c r="Y440" s="80"/>
      <c r="Z440" s="80"/>
      <c r="AA440" s="82"/>
      <c r="AB440" s="80"/>
      <c r="AC440" s="80"/>
      <c r="AD440" s="80"/>
      <c r="AE440" s="80"/>
      <c r="AF440" s="82"/>
      <c r="AG440" s="80"/>
      <c r="AH440" s="80"/>
      <c r="AI440" s="82"/>
      <c r="AJ440" s="79"/>
      <c r="AK440" s="78" t="n">
        <f aca="false">IF(E440="","",(X440&lt;&gt;"")+(AC440&lt;&gt;"")+(AH440&lt;&gt;""))</f>
        <v>0</v>
      </c>
      <c r="AL440" s="81" t="str">
        <f aca="false">IF(AH440&lt;&gt;"",AH440,IF(AC440&lt;&gt;"",AC440,IF(X440&lt;&gt;"",X440,"")))</f>
        <v/>
      </c>
      <c r="AM440" s="83" t="str">
        <f aca="false">IF(E440="","",IF(R440="","À SOUDER",IF(U440="","VT EN ATTENTE",IF(U440="R","VT REJETÉ – À REPRENDRE",IF(AL440="","À RADIOGRAPHIER",IF(AL440="A","ACCEPTÉ",IF(AL440="NX","NX – RT À REFAIRE",IF(IF(AK440=1,Z440,IF(AK440=2,AE440,""))="A","RÉPARÉ – À RADIOGRAPHIER",IF(IF(AK440=1,Z440,IF(AK440=2,AE440,""))="R","VT REJETÉ – À REPRENDRE",IF(OR(AL440="CO",AL440="NT"),"COUPE – À RESOUDER","À RÉPARER"))))))))))</f>
        <v>À SOUDER</v>
      </c>
      <c r="AN440" s="81" t="str">
        <f aca="false">IF(AND(ISNUMBER(R440),OR(AM440="À RADIOGRAPHIER",AM440="RÉPARÉ – À RADIOGRAPHIER",AM440="NX – RT À REFAIRE",AM440="À RÉPARER",AM440="COUPE – À RESOUDER",AM440="VT REJETÉ – À REPRENDRE")),MAX(0,'PROGRAMME RT'!$C$4-R440),"")</f>
        <v/>
      </c>
      <c r="AO440" s="78" t="n">
        <f aca="false">IF(AND(OR(AM440="À RADIOGRAPHIER",AM440="RÉPARÉ – À RADIOGRAPHIER",AM440="NX – RT À REFAIRE"),OR('PROGRAMME RT'!$D$5="TOUTES",B440='PROGRAMME RT'!$D$5)),1,0)</f>
        <v>0</v>
      </c>
      <c r="AP440" s="78" t="str">
        <f aca="false">IF(AO440=1,SUM(AO$7:AO440),"")</f>
        <v/>
      </c>
      <c r="AQ440" s="78" t="n">
        <f aca="false">IF(AND(OR(X440="R",X440="NX",X440="NT",X440="CO"),OR('JOINTS DE RÉPARATION'!$D$5="TOUTES",B440='JOINTS DE RÉPARATION'!$D$5),OR('JOINTS DE RÉPARATION'!$L$4="TOUS",AM440&lt;&gt;"ACCEPTÉ")),1,0)</f>
        <v>0</v>
      </c>
      <c r="AR440" s="78" t="str">
        <f aca="false">IF(AQ440=1,SUM(AQ$7:AQ440),"")</f>
        <v/>
      </c>
    </row>
    <row r="441" customFormat="false" ht="15" hidden="false" customHeight="false" outlineLevel="0" collapsed="false">
      <c r="A441" s="78" t="n">
        <f aca="false">IF(E441="","",ROW()-6)</f>
        <v>435</v>
      </c>
      <c r="B441" s="79" t="s">
        <v>585</v>
      </c>
      <c r="C441" s="80"/>
      <c r="D441" s="80"/>
      <c r="E441" s="80" t="s">
        <v>188</v>
      </c>
      <c r="F441" s="80"/>
      <c r="G441" s="80" t="s">
        <v>106</v>
      </c>
      <c r="H441" s="80"/>
      <c r="I441" s="80"/>
      <c r="J441" s="80"/>
      <c r="K441" s="80"/>
      <c r="L441" s="81" t="str">
        <f aca="false">IF(K441="","",IFERROR(INDEX(BARDAGE!$C$7:$C$1506,MATCH(K441,BARDAGE!$B$7:$B$1506,0)),"? hors registre"))</f>
        <v/>
      </c>
      <c r="M441" s="80"/>
      <c r="N441" s="81" t="str">
        <f aca="false">IF(M441="","",IFERROR(INDEX(BARDAGE!$C$7:$C$1506,MATCH(M441,BARDAGE!$B$7:$B$1506,0)),"? hors registre"))</f>
        <v/>
      </c>
      <c r="O441" s="80"/>
      <c r="P441" s="80"/>
      <c r="Q441" s="80"/>
      <c r="R441" s="82"/>
      <c r="S441" s="82"/>
      <c r="T441" s="80"/>
      <c r="U441" s="80"/>
      <c r="V441" s="82"/>
      <c r="W441" s="80"/>
      <c r="X441" s="80"/>
      <c r="Y441" s="80"/>
      <c r="Z441" s="80"/>
      <c r="AA441" s="82"/>
      <c r="AB441" s="80"/>
      <c r="AC441" s="80"/>
      <c r="AD441" s="80"/>
      <c r="AE441" s="80"/>
      <c r="AF441" s="82"/>
      <c r="AG441" s="80"/>
      <c r="AH441" s="80"/>
      <c r="AI441" s="82"/>
      <c r="AJ441" s="79"/>
      <c r="AK441" s="78" t="n">
        <f aca="false">IF(E441="","",(X441&lt;&gt;"")+(AC441&lt;&gt;"")+(AH441&lt;&gt;""))</f>
        <v>0</v>
      </c>
      <c r="AL441" s="81" t="str">
        <f aca="false">IF(AH441&lt;&gt;"",AH441,IF(AC441&lt;&gt;"",AC441,IF(X441&lt;&gt;"",X441,"")))</f>
        <v/>
      </c>
      <c r="AM441" s="83" t="str">
        <f aca="false">IF(E441="","",IF(R441="","À SOUDER",IF(U441="","VT EN ATTENTE",IF(U441="R","VT REJETÉ – À REPRENDRE",IF(AL441="","À RADIOGRAPHIER",IF(AL441="A","ACCEPTÉ",IF(AL441="NX","NX – RT À REFAIRE",IF(IF(AK441=1,Z441,IF(AK441=2,AE441,""))="A","RÉPARÉ – À RADIOGRAPHIER",IF(IF(AK441=1,Z441,IF(AK441=2,AE441,""))="R","VT REJETÉ – À REPRENDRE",IF(OR(AL441="CO",AL441="NT"),"COUPE – À RESOUDER","À RÉPARER"))))))))))</f>
        <v>À SOUDER</v>
      </c>
      <c r="AN441" s="81" t="str">
        <f aca="false">IF(AND(ISNUMBER(R441),OR(AM441="À RADIOGRAPHIER",AM441="RÉPARÉ – À RADIOGRAPHIER",AM441="NX – RT À REFAIRE",AM441="À RÉPARER",AM441="COUPE – À RESOUDER",AM441="VT REJETÉ – À REPRENDRE")),MAX(0,'PROGRAMME RT'!$C$4-R441),"")</f>
        <v/>
      </c>
      <c r="AO441" s="78" t="n">
        <f aca="false">IF(AND(OR(AM441="À RADIOGRAPHIER",AM441="RÉPARÉ – À RADIOGRAPHIER",AM441="NX – RT À REFAIRE"),OR('PROGRAMME RT'!$D$5="TOUTES",B441='PROGRAMME RT'!$D$5)),1,0)</f>
        <v>0</v>
      </c>
      <c r="AP441" s="78" t="str">
        <f aca="false">IF(AO441=1,SUM(AO$7:AO441),"")</f>
        <v/>
      </c>
      <c r="AQ441" s="78" t="n">
        <f aca="false">IF(AND(OR(X441="R",X441="NX",X441="NT",X441="CO"),OR('JOINTS DE RÉPARATION'!$D$5="TOUTES",B441='JOINTS DE RÉPARATION'!$D$5),OR('JOINTS DE RÉPARATION'!$L$4="TOUS",AM441&lt;&gt;"ACCEPTÉ")),1,0)</f>
        <v>0</v>
      </c>
      <c r="AR441" s="78" t="str">
        <f aca="false">IF(AQ441=1,SUM(AQ$7:AQ441),"")</f>
        <v/>
      </c>
    </row>
    <row r="442" customFormat="false" ht="15" hidden="false" customHeight="false" outlineLevel="0" collapsed="false">
      <c r="A442" s="78" t="n">
        <f aca="false">IF(E442="","",ROW()-6)</f>
        <v>436</v>
      </c>
      <c r="B442" s="79" t="s">
        <v>585</v>
      </c>
      <c r="C442" s="80"/>
      <c r="D442" s="80"/>
      <c r="E442" s="80" t="s">
        <v>190</v>
      </c>
      <c r="F442" s="80"/>
      <c r="G442" s="80" t="s">
        <v>106</v>
      </c>
      <c r="H442" s="80"/>
      <c r="I442" s="80"/>
      <c r="J442" s="80"/>
      <c r="K442" s="80"/>
      <c r="L442" s="81" t="str">
        <f aca="false">IF(K442="","",IFERROR(INDEX(BARDAGE!$C$7:$C$1506,MATCH(K442,BARDAGE!$B$7:$B$1506,0)),"? hors registre"))</f>
        <v/>
      </c>
      <c r="M442" s="80"/>
      <c r="N442" s="81" t="str">
        <f aca="false">IF(M442="","",IFERROR(INDEX(BARDAGE!$C$7:$C$1506,MATCH(M442,BARDAGE!$B$7:$B$1506,0)),"? hors registre"))</f>
        <v/>
      </c>
      <c r="O442" s="80"/>
      <c r="P442" s="80"/>
      <c r="Q442" s="80"/>
      <c r="R442" s="82"/>
      <c r="S442" s="82"/>
      <c r="T442" s="80"/>
      <c r="U442" s="80"/>
      <c r="V442" s="82"/>
      <c r="W442" s="80"/>
      <c r="X442" s="80"/>
      <c r="Y442" s="80"/>
      <c r="Z442" s="80"/>
      <c r="AA442" s="82"/>
      <c r="AB442" s="80"/>
      <c r="AC442" s="80"/>
      <c r="AD442" s="80"/>
      <c r="AE442" s="80"/>
      <c r="AF442" s="82"/>
      <c r="AG442" s="80"/>
      <c r="AH442" s="80"/>
      <c r="AI442" s="82"/>
      <c r="AJ442" s="79"/>
      <c r="AK442" s="78" t="n">
        <f aca="false">IF(E442="","",(X442&lt;&gt;"")+(AC442&lt;&gt;"")+(AH442&lt;&gt;""))</f>
        <v>0</v>
      </c>
      <c r="AL442" s="81" t="str">
        <f aca="false">IF(AH442&lt;&gt;"",AH442,IF(AC442&lt;&gt;"",AC442,IF(X442&lt;&gt;"",X442,"")))</f>
        <v/>
      </c>
      <c r="AM442" s="83" t="str">
        <f aca="false">IF(E442="","",IF(R442="","À SOUDER",IF(U442="","VT EN ATTENTE",IF(U442="R","VT REJETÉ – À REPRENDRE",IF(AL442="","À RADIOGRAPHIER",IF(AL442="A","ACCEPTÉ",IF(AL442="NX","NX – RT À REFAIRE",IF(IF(AK442=1,Z442,IF(AK442=2,AE442,""))="A","RÉPARÉ – À RADIOGRAPHIER",IF(IF(AK442=1,Z442,IF(AK442=2,AE442,""))="R","VT REJETÉ – À REPRENDRE",IF(OR(AL442="CO",AL442="NT"),"COUPE – À RESOUDER","À RÉPARER"))))))))))</f>
        <v>À SOUDER</v>
      </c>
      <c r="AN442" s="81" t="str">
        <f aca="false">IF(AND(ISNUMBER(R442),OR(AM442="À RADIOGRAPHIER",AM442="RÉPARÉ – À RADIOGRAPHIER",AM442="NX – RT À REFAIRE",AM442="À RÉPARER",AM442="COUPE – À RESOUDER",AM442="VT REJETÉ – À REPRENDRE")),MAX(0,'PROGRAMME RT'!$C$4-R442),"")</f>
        <v/>
      </c>
      <c r="AO442" s="78" t="n">
        <f aca="false">IF(AND(OR(AM442="À RADIOGRAPHIER",AM442="RÉPARÉ – À RADIOGRAPHIER",AM442="NX – RT À REFAIRE"),OR('PROGRAMME RT'!$D$5="TOUTES",B442='PROGRAMME RT'!$D$5)),1,0)</f>
        <v>0</v>
      </c>
      <c r="AP442" s="78" t="str">
        <f aca="false">IF(AO442=1,SUM(AO$7:AO442),"")</f>
        <v/>
      </c>
      <c r="AQ442" s="78" t="n">
        <f aca="false">IF(AND(OR(X442="R",X442="NX",X442="NT",X442="CO"),OR('JOINTS DE RÉPARATION'!$D$5="TOUTES",B442='JOINTS DE RÉPARATION'!$D$5),OR('JOINTS DE RÉPARATION'!$L$4="TOUS",AM442&lt;&gt;"ACCEPTÉ")),1,0)</f>
        <v>0</v>
      </c>
      <c r="AR442" s="78" t="str">
        <f aca="false">IF(AQ442=1,SUM(AQ$7:AQ442),"")</f>
        <v/>
      </c>
    </row>
    <row r="443" customFormat="false" ht="15" hidden="false" customHeight="false" outlineLevel="0" collapsed="false">
      <c r="A443" s="78" t="n">
        <f aca="false">IF(E443="","",ROW()-6)</f>
        <v>437</v>
      </c>
      <c r="B443" s="79" t="s">
        <v>585</v>
      </c>
      <c r="C443" s="80"/>
      <c r="D443" s="80"/>
      <c r="E443" s="80" t="s">
        <v>192</v>
      </c>
      <c r="F443" s="80"/>
      <c r="G443" s="80" t="s">
        <v>106</v>
      </c>
      <c r="H443" s="80"/>
      <c r="I443" s="80"/>
      <c r="J443" s="80"/>
      <c r="K443" s="80"/>
      <c r="L443" s="81" t="str">
        <f aca="false">IF(K443="","",IFERROR(INDEX(BARDAGE!$C$7:$C$1506,MATCH(K443,BARDAGE!$B$7:$B$1506,0)),"? hors registre"))</f>
        <v/>
      </c>
      <c r="M443" s="80"/>
      <c r="N443" s="81" t="str">
        <f aca="false">IF(M443="","",IFERROR(INDEX(BARDAGE!$C$7:$C$1506,MATCH(M443,BARDAGE!$B$7:$B$1506,0)),"? hors registre"))</f>
        <v/>
      </c>
      <c r="O443" s="80"/>
      <c r="P443" s="80"/>
      <c r="Q443" s="80"/>
      <c r="R443" s="82"/>
      <c r="S443" s="82"/>
      <c r="T443" s="80"/>
      <c r="U443" s="80"/>
      <c r="V443" s="82"/>
      <c r="W443" s="80"/>
      <c r="X443" s="80"/>
      <c r="Y443" s="80"/>
      <c r="Z443" s="80"/>
      <c r="AA443" s="82"/>
      <c r="AB443" s="80"/>
      <c r="AC443" s="80"/>
      <c r="AD443" s="80"/>
      <c r="AE443" s="80"/>
      <c r="AF443" s="82"/>
      <c r="AG443" s="80"/>
      <c r="AH443" s="80"/>
      <c r="AI443" s="82"/>
      <c r="AJ443" s="79"/>
      <c r="AK443" s="78" t="n">
        <f aca="false">IF(E443="","",(X443&lt;&gt;"")+(AC443&lt;&gt;"")+(AH443&lt;&gt;""))</f>
        <v>0</v>
      </c>
      <c r="AL443" s="81" t="str">
        <f aca="false">IF(AH443&lt;&gt;"",AH443,IF(AC443&lt;&gt;"",AC443,IF(X443&lt;&gt;"",X443,"")))</f>
        <v/>
      </c>
      <c r="AM443" s="83" t="str">
        <f aca="false">IF(E443="","",IF(R443="","À SOUDER",IF(U443="","VT EN ATTENTE",IF(U443="R","VT REJETÉ – À REPRENDRE",IF(AL443="","À RADIOGRAPHIER",IF(AL443="A","ACCEPTÉ",IF(AL443="NX","NX – RT À REFAIRE",IF(IF(AK443=1,Z443,IF(AK443=2,AE443,""))="A","RÉPARÉ – À RADIOGRAPHIER",IF(IF(AK443=1,Z443,IF(AK443=2,AE443,""))="R","VT REJETÉ – À REPRENDRE",IF(OR(AL443="CO",AL443="NT"),"COUPE – À RESOUDER","À RÉPARER"))))))))))</f>
        <v>À SOUDER</v>
      </c>
      <c r="AN443" s="81" t="str">
        <f aca="false">IF(AND(ISNUMBER(R443),OR(AM443="À RADIOGRAPHIER",AM443="RÉPARÉ – À RADIOGRAPHIER",AM443="NX – RT À REFAIRE",AM443="À RÉPARER",AM443="COUPE – À RESOUDER",AM443="VT REJETÉ – À REPRENDRE")),MAX(0,'PROGRAMME RT'!$C$4-R443),"")</f>
        <v/>
      </c>
      <c r="AO443" s="78" t="n">
        <f aca="false">IF(AND(OR(AM443="À RADIOGRAPHIER",AM443="RÉPARÉ – À RADIOGRAPHIER",AM443="NX – RT À REFAIRE"),OR('PROGRAMME RT'!$D$5="TOUTES",B443='PROGRAMME RT'!$D$5)),1,0)</f>
        <v>0</v>
      </c>
      <c r="AP443" s="78" t="str">
        <f aca="false">IF(AO443=1,SUM(AO$7:AO443),"")</f>
        <v/>
      </c>
      <c r="AQ443" s="78" t="n">
        <f aca="false">IF(AND(OR(X443="R",X443="NX",X443="NT",X443="CO"),OR('JOINTS DE RÉPARATION'!$D$5="TOUTES",B443='JOINTS DE RÉPARATION'!$D$5),OR('JOINTS DE RÉPARATION'!$L$4="TOUS",AM443&lt;&gt;"ACCEPTÉ")),1,0)</f>
        <v>0</v>
      </c>
      <c r="AR443" s="78" t="str">
        <f aca="false">IF(AQ443=1,SUM(AQ$7:AQ443),"")</f>
        <v/>
      </c>
    </row>
    <row r="444" customFormat="false" ht="15" hidden="false" customHeight="false" outlineLevel="0" collapsed="false">
      <c r="A444" s="78" t="n">
        <f aca="false">IF(E444="","",ROW()-6)</f>
        <v>438</v>
      </c>
      <c r="B444" s="79" t="s">
        <v>585</v>
      </c>
      <c r="C444" s="80"/>
      <c r="D444" s="80"/>
      <c r="E444" s="80" t="s">
        <v>195</v>
      </c>
      <c r="F444" s="80"/>
      <c r="G444" s="80" t="s">
        <v>106</v>
      </c>
      <c r="H444" s="80"/>
      <c r="I444" s="80"/>
      <c r="J444" s="80"/>
      <c r="K444" s="80"/>
      <c r="L444" s="81" t="str">
        <f aca="false">IF(K444="","",IFERROR(INDEX(BARDAGE!$C$7:$C$1506,MATCH(K444,BARDAGE!$B$7:$B$1506,0)),"? hors registre"))</f>
        <v/>
      </c>
      <c r="M444" s="80"/>
      <c r="N444" s="81" t="str">
        <f aca="false">IF(M444="","",IFERROR(INDEX(BARDAGE!$C$7:$C$1506,MATCH(M444,BARDAGE!$B$7:$B$1506,0)),"? hors registre"))</f>
        <v/>
      </c>
      <c r="O444" s="80"/>
      <c r="P444" s="80"/>
      <c r="Q444" s="80"/>
      <c r="R444" s="82"/>
      <c r="S444" s="82"/>
      <c r="T444" s="80"/>
      <c r="U444" s="80"/>
      <c r="V444" s="82"/>
      <c r="W444" s="80"/>
      <c r="X444" s="80"/>
      <c r="Y444" s="80"/>
      <c r="Z444" s="80"/>
      <c r="AA444" s="82"/>
      <c r="AB444" s="80"/>
      <c r="AC444" s="80"/>
      <c r="AD444" s="80"/>
      <c r="AE444" s="80"/>
      <c r="AF444" s="82"/>
      <c r="AG444" s="80"/>
      <c r="AH444" s="80"/>
      <c r="AI444" s="82"/>
      <c r="AJ444" s="79"/>
      <c r="AK444" s="78" t="n">
        <f aca="false">IF(E444="","",(X444&lt;&gt;"")+(AC444&lt;&gt;"")+(AH444&lt;&gt;""))</f>
        <v>0</v>
      </c>
      <c r="AL444" s="81" t="str">
        <f aca="false">IF(AH444&lt;&gt;"",AH444,IF(AC444&lt;&gt;"",AC444,IF(X444&lt;&gt;"",X444,"")))</f>
        <v/>
      </c>
      <c r="AM444" s="83" t="str">
        <f aca="false">IF(E444="","",IF(R444="","À SOUDER",IF(U444="","VT EN ATTENTE",IF(U444="R","VT REJETÉ – À REPRENDRE",IF(AL444="","À RADIOGRAPHIER",IF(AL444="A","ACCEPTÉ",IF(AL444="NX","NX – RT À REFAIRE",IF(IF(AK444=1,Z444,IF(AK444=2,AE444,""))="A","RÉPARÉ – À RADIOGRAPHIER",IF(IF(AK444=1,Z444,IF(AK444=2,AE444,""))="R","VT REJETÉ – À REPRENDRE",IF(OR(AL444="CO",AL444="NT"),"COUPE – À RESOUDER","À RÉPARER"))))))))))</f>
        <v>À SOUDER</v>
      </c>
      <c r="AN444" s="81" t="str">
        <f aca="false">IF(AND(ISNUMBER(R444),OR(AM444="À RADIOGRAPHIER",AM444="RÉPARÉ – À RADIOGRAPHIER",AM444="NX – RT À REFAIRE",AM444="À RÉPARER",AM444="COUPE – À RESOUDER",AM444="VT REJETÉ – À REPRENDRE")),MAX(0,'PROGRAMME RT'!$C$4-R444),"")</f>
        <v/>
      </c>
      <c r="AO444" s="78" t="n">
        <f aca="false">IF(AND(OR(AM444="À RADIOGRAPHIER",AM444="RÉPARÉ – À RADIOGRAPHIER",AM444="NX – RT À REFAIRE"),OR('PROGRAMME RT'!$D$5="TOUTES",B444='PROGRAMME RT'!$D$5)),1,0)</f>
        <v>0</v>
      </c>
      <c r="AP444" s="78" t="str">
        <f aca="false">IF(AO444=1,SUM(AO$7:AO444),"")</f>
        <v/>
      </c>
      <c r="AQ444" s="78" t="n">
        <f aca="false">IF(AND(OR(X444="R",X444="NX",X444="NT",X444="CO"),OR('JOINTS DE RÉPARATION'!$D$5="TOUTES",B444='JOINTS DE RÉPARATION'!$D$5),OR('JOINTS DE RÉPARATION'!$L$4="TOUS",AM444&lt;&gt;"ACCEPTÉ")),1,0)</f>
        <v>0</v>
      </c>
      <c r="AR444" s="78" t="str">
        <f aca="false">IF(AQ444=1,SUM(AQ$7:AQ444),"")</f>
        <v/>
      </c>
    </row>
    <row r="445" customFormat="false" ht="15" hidden="false" customHeight="false" outlineLevel="0" collapsed="false">
      <c r="A445" s="78" t="n">
        <f aca="false">IF(E445="","",ROW()-6)</f>
        <v>439</v>
      </c>
      <c r="B445" s="79" t="s">
        <v>585</v>
      </c>
      <c r="C445" s="80"/>
      <c r="D445" s="80"/>
      <c r="E445" s="80" t="s">
        <v>197</v>
      </c>
      <c r="F445" s="80"/>
      <c r="G445" s="80" t="s">
        <v>106</v>
      </c>
      <c r="H445" s="80"/>
      <c r="I445" s="80"/>
      <c r="J445" s="80"/>
      <c r="K445" s="80"/>
      <c r="L445" s="81" t="str">
        <f aca="false">IF(K445="","",IFERROR(INDEX(BARDAGE!$C$7:$C$1506,MATCH(K445,BARDAGE!$B$7:$B$1506,0)),"? hors registre"))</f>
        <v/>
      </c>
      <c r="M445" s="80"/>
      <c r="N445" s="81" t="str">
        <f aca="false">IF(M445="","",IFERROR(INDEX(BARDAGE!$C$7:$C$1506,MATCH(M445,BARDAGE!$B$7:$B$1506,0)),"? hors registre"))</f>
        <v/>
      </c>
      <c r="O445" s="80"/>
      <c r="P445" s="80"/>
      <c r="Q445" s="80"/>
      <c r="R445" s="82"/>
      <c r="S445" s="82"/>
      <c r="T445" s="80"/>
      <c r="U445" s="80"/>
      <c r="V445" s="82"/>
      <c r="W445" s="80"/>
      <c r="X445" s="80"/>
      <c r="Y445" s="80"/>
      <c r="Z445" s="80"/>
      <c r="AA445" s="82"/>
      <c r="AB445" s="80"/>
      <c r="AC445" s="80"/>
      <c r="AD445" s="80"/>
      <c r="AE445" s="80"/>
      <c r="AF445" s="82"/>
      <c r="AG445" s="80"/>
      <c r="AH445" s="80"/>
      <c r="AI445" s="82"/>
      <c r="AJ445" s="79"/>
      <c r="AK445" s="78" t="n">
        <f aca="false">IF(E445="","",(X445&lt;&gt;"")+(AC445&lt;&gt;"")+(AH445&lt;&gt;""))</f>
        <v>0</v>
      </c>
      <c r="AL445" s="81" t="str">
        <f aca="false">IF(AH445&lt;&gt;"",AH445,IF(AC445&lt;&gt;"",AC445,IF(X445&lt;&gt;"",X445,"")))</f>
        <v/>
      </c>
      <c r="AM445" s="83" t="str">
        <f aca="false">IF(E445="","",IF(R445="","À SOUDER",IF(U445="","VT EN ATTENTE",IF(U445="R","VT REJETÉ – À REPRENDRE",IF(AL445="","À RADIOGRAPHIER",IF(AL445="A","ACCEPTÉ",IF(AL445="NX","NX – RT À REFAIRE",IF(IF(AK445=1,Z445,IF(AK445=2,AE445,""))="A","RÉPARÉ – À RADIOGRAPHIER",IF(IF(AK445=1,Z445,IF(AK445=2,AE445,""))="R","VT REJETÉ – À REPRENDRE",IF(OR(AL445="CO",AL445="NT"),"COUPE – À RESOUDER","À RÉPARER"))))))))))</f>
        <v>À SOUDER</v>
      </c>
      <c r="AN445" s="81" t="str">
        <f aca="false">IF(AND(ISNUMBER(R445),OR(AM445="À RADIOGRAPHIER",AM445="RÉPARÉ – À RADIOGRAPHIER",AM445="NX – RT À REFAIRE",AM445="À RÉPARER",AM445="COUPE – À RESOUDER",AM445="VT REJETÉ – À REPRENDRE")),MAX(0,'PROGRAMME RT'!$C$4-R445),"")</f>
        <v/>
      </c>
      <c r="AO445" s="78" t="n">
        <f aca="false">IF(AND(OR(AM445="À RADIOGRAPHIER",AM445="RÉPARÉ – À RADIOGRAPHIER",AM445="NX – RT À REFAIRE"),OR('PROGRAMME RT'!$D$5="TOUTES",B445='PROGRAMME RT'!$D$5)),1,0)</f>
        <v>0</v>
      </c>
      <c r="AP445" s="78" t="str">
        <f aca="false">IF(AO445=1,SUM(AO$7:AO445),"")</f>
        <v/>
      </c>
      <c r="AQ445" s="78" t="n">
        <f aca="false">IF(AND(OR(X445="R",X445="NX",X445="NT",X445="CO"),OR('JOINTS DE RÉPARATION'!$D$5="TOUTES",B445='JOINTS DE RÉPARATION'!$D$5),OR('JOINTS DE RÉPARATION'!$L$4="TOUS",AM445&lt;&gt;"ACCEPTÉ")),1,0)</f>
        <v>0</v>
      </c>
      <c r="AR445" s="78" t="str">
        <f aca="false">IF(AQ445=1,SUM(AQ$7:AQ445),"")</f>
        <v/>
      </c>
    </row>
    <row r="446" customFormat="false" ht="15" hidden="false" customHeight="false" outlineLevel="0" collapsed="false">
      <c r="A446" s="78" t="n">
        <f aca="false">IF(E446="","",ROW()-6)</f>
        <v>440</v>
      </c>
      <c r="B446" s="79" t="s">
        <v>585</v>
      </c>
      <c r="C446" s="80"/>
      <c r="D446" s="80"/>
      <c r="E446" s="80" t="s">
        <v>199</v>
      </c>
      <c r="F446" s="80"/>
      <c r="G446" s="80" t="s">
        <v>106</v>
      </c>
      <c r="H446" s="80"/>
      <c r="I446" s="80"/>
      <c r="J446" s="80"/>
      <c r="K446" s="80"/>
      <c r="L446" s="81" t="str">
        <f aca="false">IF(K446="","",IFERROR(INDEX(BARDAGE!$C$7:$C$1506,MATCH(K446,BARDAGE!$B$7:$B$1506,0)),"? hors registre"))</f>
        <v/>
      </c>
      <c r="M446" s="80"/>
      <c r="N446" s="81" t="str">
        <f aca="false">IF(M446="","",IFERROR(INDEX(BARDAGE!$C$7:$C$1506,MATCH(M446,BARDAGE!$B$7:$B$1506,0)),"? hors registre"))</f>
        <v/>
      </c>
      <c r="O446" s="80"/>
      <c r="P446" s="80"/>
      <c r="Q446" s="80"/>
      <c r="R446" s="82"/>
      <c r="S446" s="82"/>
      <c r="T446" s="80"/>
      <c r="U446" s="80"/>
      <c r="V446" s="82"/>
      <c r="W446" s="80"/>
      <c r="X446" s="80"/>
      <c r="Y446" s="80"/>
      <c r="Z446" s="80"/>
      <c r="AA446" s="82"/>
      <c r="AB446" s="80"/>
      <c r="AC446" s="80"/>
      <c r="AD446" s="80"/>
      <c r="AE446" s="80"/>
      <c r="AF446" s="82"/>
      <c r="AG446" s="80"/>
      <c r="AH446" s="80"/>
      <c r="AI446" s="82"/>
      <c r="AJ446" s="79"/>
      <c r="AK446" s="78" t="n">
        <f aca="false">IF(E446="","",(X446&lt;&gt;"")+(AC446&lt;&gt;"")+(AH446&lt;&gt;""))</f>
        <v>0</v>
      </c>
      <c r="AL446" s="81" t="str">
        <f aca="false">IF(AH446&lt;&gt;"",AH446,IF(AC446&lt;&gt;"",AC446,IF(X446&lt;&gt;"",X446,"")))</f>
        <v/>
      </c>
      <c r="AM446" s="83" t="str">
        <f aca="false">IF(E446="","",IF(R446="","À SOUDER",IF(U446="","VT EN ATTENTE",IF(U446="R","VT REJETÉ – À REPRENDRE",IF(AL446="","À RADIOGRAPHIER",IF(AL446="A","ACCEPTÉ",IF(AL446="NX","NX – RT À REFAIRE",IF(IF(AK446=1,Z446,IF(AK446=2,AE446,""))="A","RÉPARÉ – À RADIOGRAPHIER",IF(IF(AK446=1,Z446,IF(AK446=2,AE446,""))="R","VT REJETÉ – À REPRENDRE",IF(OR(AL446="CO",AL446="NT"),"COUPE – À RESOUDER","À RÉPARER"))))))))))</f>
        <v>À SOUDER</v>
      </c>
      <c r="AN446" s="81" t="str">
        <f aca="false">IF(AND(ISNUMBER(R446),OR(AM446="À RADIOGRAPHIER",AM446="RÉPARÉ – À RADIOGRAPHIER",AM446="NX – RT À REFAIRE",AM446="À RÉPARER",AM446="COUPE – À RESOUDER",AM446="VT REJETÉ – À REPRENDRE")),MAX(0,'PROGRAMME RT'!$C$4-R446),"")</f>
        <v/>
      </c>
      <c r="AO446" s="78" t="n">
        <f aca="false">IF(AND(OR(AM446="À RADIOGRAPHIER",AM446="RÉPARÉ – À RADIOGRAPHIER",AM446="NX – RT À REFAIRE"),OR('PROGRAMME RT'!$D$5="TOUTES",B446='PROGRAMME RT'!$D$5)),1,0)</f>
        <v>0</v>
      </c>
      <c r="AP446" s="78" t="str">
        <f aca="false">IF(AO446=1,SUM(AO$7:AO446),"")</f>
        <v/>
      </c>
      <c r="AQ446" s="78" t="n">
        <f aca="false">IF(AND(OR(X446="R",X446="NX",X446="NT",X446="CO"),OR('JOINTS DE RÉPARATION'!$D$5="TOUTES",B446='JOINTS DE RÉPARATION'!$D$5),OR('JOINTS DE RÉPARATION'!$L$4="TOUS",AM446&lt;&gt;"ACCEPTÉ")),1,0)</f>
        <v>0</v>
      </c>
      <c r="AR446" s="78" t="str">
        <f aca="false">IF(AQ446=1,SUM(AQ$7:AQ446),"")</f>
        <v/>
      </c>
    </row>
    <row r="447" customFormat="false" ht="15" hidden="false" customHeight="false" outlineLevel="0" collapsed="false">
      <c r="A447" s="78" t="n">
        <f aca="false">IF(E447="","",ROW()-6)</f>
        <v>441</v>
      </c>
      <c r="B447" s="79" t="s">
        <v>585</v>
      </c>
      <c r="C447" s="80"/>
      <c r="D447" s="80"/>
      <c r="E447" s="80" t="s">
        <v>202</v>
      </c>
      <c r="F447" s="80"/>
      <c r="G447" s="80" t="s">
        <v>106</v>
      </c>
      <c r="H447" s="80"/>
      <c r="I447" s="80"/>
      <c r="J447" s="80"/>
      <c r="K447" s="80"/>
      <c r="L447" s="81" t="str">
        <f aca="false">IF(K447="","",IFERROR(INDEX(BARDAGE!$C$7:$C$1506,MATCH(K447,BARDAGE!$B$7:$B$1506,0)),"? hors registre"))</f>
        <v/>
      </c>
      <c r="M447" s="80"/>
      <c r="N447" s="81" t="str">
        <f aca="false">IF(M447="","",IFERROR(INDEX(BARDAGE!$C$7:$C$1506,MATCH(M447,BARDAGE!$B$7:$B$1506,0)),"? hors registre"))</f>
        <v/>
      </c>
      <c r="O447" s="80"/>
      <c r="P447" s="80"/>
      <c r="Q447" s="80"/>
      <c r="R447" s="82"/>
      <c r="S447" s="82"/>
      <c r="T447" s="80"/>
      <c r="U447" s="80"/>
      <c r="V447" s="82"/>
      <c r="W447" s="80"/>
      <c r="X447" s="80"/>
      <c r="Y447" s="80"/>
      <c r="Z447" s="80"/>
      <c r="AA447" s="82"/>
      <c r="AB447" s="80"/>
      <c r="AC447" s="80"/>
      <c r="AD447" s="80"/>
      <c r="AE447" s="80"/>
      <c r="AF447" s="82"/>
      <c r="AG447" s="80"/>
      <c r="AH447" s="80"/>
      <c r="AI447" s="82"/>
      <c r="AJ447" s="79"/>
      <c r="AK447" s="78" t="n">
        <f aca="false">IF(E447="","",(X447&lt;&gt;"")+(AC447&lt;&gt;"")+(AH447&lt;&gt;""))</f>
        <v>0</v>
      </c>
      <c r="AL447" s="81" t="str">
        <f aca="false">IF(AH447&lt;&gt;"",AH447,IF(AC447&lt;&gt;"",AC447,IF(X447&lt;&gt;"",X447,"")))</f>
        <v/>
      </c>
      <c r="AM447" s="83" t="str">
        <f aca="false">IF(E447="","",IF(R447="","À SOUDER",IF(U447="","VT EN ATTENTE",IF(U447="R","VT REJETÉ – À REPRENDRE",IF(AL447="","À RADIOGRAPHIER",IF(AL447="A","ACCEPTÉ",IF(AL447="NX","NX – RT À REFAIRE",IF(IF(AK447=1,Z447,IF(AK447=2,AE447,""))="A","RÉPARÉ – À RADIOGRAPHIER",IF(IF(AK447=1,Z447,IF(AK447=2,AE447,""))="R","VT REJETÉ – À REPRENDRE",IF(OR(AL447="CO",AL447="NT"),"COUPE – À RESOUDER","À RÉPARER"))))))))))</f>
        <v>À SOUDER</v>
      </c>
      <c r="AN447" s="81" t="str">
        <f aca="false">IF(AND(ISNUMBER(R447),OR(AM447="À RADIOGRAPHIER",AM447="RÉPARÉ – À RADIOGRAPHIER",AM447="NX – RT À REFAIRE",AM447="À RÉPARER",AM447="COUPE – À RESOUDER",AM447="VT REJETÉ – À REPRENDRE")),MAX(0,'PROGRAMME RT'!$C$4-R447),"")</f>
        <v/>
      </c>
      <c r="AO447" s="78" t="n">
        <f aca="false">IF(AND(OR(AM447="À RADIOGRAPHIER",AM447="RÉPARÉ – À RADIOGRAPHIER",AM447="NX – RT À REFAIRE"),OR('PROGRAMME RT'!$D$5="TOUTES",B447='PROGRAMME RT'!$D$5)),1,0)</f>
        <v>0</v>
      </c>
      <c r="AP447" s="78" t="str">
        <f aca="false">IF(AO447=1,SUM(AO$7:AO447),"")</f>
        <v/>
      </c>
      <c r="AQ447" s="78" t="n">
        <f aca="false">IF(AND(OR(X447="R",X447="NX",X447="NT",X447="CO"),OR('JOINTS DE RÉPARATION'!$D$5="TOUTES",B447='JOINTS DE RÉPARATION'!$D$5),OR('JOINTS DE RÉPARATION'!$L$4="TOUS",AM447&lt;&gt;"ACCEPTÉ")),1,0)</f>
        <v>0</v>
      </c>
      <c r="AR447" s="78" t="str">
        <f aca="false">IF(AQ447=1,SUM(AQ$7:AQ447),"")</f>
        <v/>
      </c>
    </row>
    <row r="448" customFormat="false" ht="15" hidden="false" customHeight="false" outlineLevel="0" collapsed="false">
      <c r="A448" s="78" t="n">
        <f aca="false">IF(E448="","",ROW()-6)</f>
        <v>442</v>
      </c>
      <c r="B448" s="79" t="s">
        <v>585</v>
      </c>
      <c r="C448" s="80"/>
      <c r="D448" s="80"/>
      <c r="E448" s="80" t="s">
        <v>205</v>
      </c>
      <c r="F448" s="80"/>
      <c r="G448" s="80" t="s">
        <v>106</v>
      </c>
      <c r="H448" s="80"/>
      <c r="I448" s="80"/>
      <c r="J448" s="80"/>
      <c r="K448" s="80"/>
      <c r="L448" s="81" t="str">
        <f aca="false">IF(K448="","",IFERROR(INDEX(BARDAGE!$C$7:$C$1506,MATCH(K448,BARDAGE!$B$7:$B$1506,0)),"? hors registre"))</f>
        <v/>
      </c>
      <c r="M448" s="80"/>
      <c r="N448" s="81" t="str">
        <f aca="false">IF(M448="","",IFERROR(INDEX(BARDAGE!$C$7:$C$1506,MATCH(M448,BARDAGE!$B$7:$B$1506,0)),"? hors registre"))</f>
        <v/>
      </c>
      <c r="O448" s="80"/>
      <c r="P448" s="80"/>
      <c r="Q448" s="80"/>
      <c r="R448" s="82"/>
      <c r="S448" s="82"/>
      <c r="T448" s="80"/>
      <c r="U448" s="80"/>
      <c r="V448" s="82"/>
      <c r="W448" s="80"/>
      <c r="X448" s="80"/>
      <c r="Y448" s="80"/>
      <c r="Z448" s="80"/>
      <c r="AA448" s="82"/>
      <c r="AB448" s="80"/>
      <c r="AC448" s="80"/>
      <c r="AD448" s="80"/>
      <c r="AE448" s="80"/>
      <c r="AF448" s="82"/>
      <c r="AG448" s="80"/>
      <c r="AH448" s="80"/>
      <c r="AI448" s="82"/>
      <c r="AJ448" s="79"/>
      <c r="AK448" s="78" t="n">
        <f aca="false">IF(E448="","",(X448&lt;&gt;"")+(AC448&lt;&gt;"")+(AH448&lt;&gt;""))</f>
        <v>0</v>
      </c>
      <c r="AL448" s="81" t="str">
        <f aca="false">IF(AH448&lt;&gt;"",AH448,IF(AC448&lt;&gt;"",AC448,IF(X448&lt;&gt;"",X448,"")))</f>
        <v/>
      </c>
      <c r="AM448" s="83" t="str">
        <f aca="false">IF(E448="","",IF(R448="","À SOUDER",IF(U448="","VT EN ATTENTE",IF(U448="R","VT REJETÉ – À REPRENDRE",IF(AL448="","À RADIOGRAPHIER",IF(AL448="A","ACCEPTÉ",IF(AL448="NX","NX – RT À REFAIRE",IF(IF(AK448=1,Z448,IF(AK448=2,AE448,""))="A","RÉPARÉ – À RADIOGRAPHIER",IF(IF(AK448=1,Z448,IF(AK448=2,AE448,""))="R","VT REJETÉ – À REPRENDRE",IF(OR(AL448="CO",AL448="NT"),"COUPE – À RESOUDER","À RÉPARER"))))))))))</f>
        <v>À SOUDER</v>
      </c>
      <c r="AN448" s="81" t="str">
        <f aca="false">IF(AND(ISNUMBER(R448),OR(AM448="À RADIOGRAPHIER",AM448="RÉPARÉ – À RADIOGRAPHIER",AM448="NX – RT À REFAIRE",AM448="À RÉPARER",AM448="COUPE – À RESOUDER",AM448="VT REJETÉ – À REPRENDRE")),MAX(0,'PROGRAMME RT'!$C$4-R448),"")</f>
        <v/>
      </c>
      <c r="AO448" s="78" t="n">
        <f aca="false">IF(AND(OR(AM448="À RADIOGRAPHIER",AM448="RÉPARÉ – À RADIOGRAPHIER",AM448="NX – RT À REFAIRE"),OR('PROGRAMME RT'!$D$5="TOUTES",B448='PROGRAMME RT'!$D$5)),1,0)</f>
        <v>0</v>
      </c>
      <c r="AP448" s="78" t="str">
        <f aca="false">IF(AO448=1,SUM(AO$7:AO448),"")</f>
        <v/>
      </c>
      <c r="AQ448" s="78" t="n">
        <f aca="false">IF(AND(OR(X448="R",X448="NX",X448="NT",X448="CO"),OR('JOINTS DE RÉPARATION'!$D$5="TOUTES",B448='JOINTS DE RÉPARATION'!$D$5),OR('JOINTS DE RÉPARATION'!$L$4="TOUS",AM448&lt;&gt;"ACCEPTÉ")),1,0)</f>
        <v>0</v>
      </c>
      <c r="AR448" s="78" t="str">
        <f aca="false">IF(AQ448=1,SUM(AQ$7:AQ448),"")</f>
        <v/>
      </c>
    </row>
    <row r="449" customFormat="false" ht="15" hidden="false" customHeight="false" outlineLevel="0" collapsed="false">
      <c r="A449" s="78" t="n">
        <f aca="false">IF(E449="","",ROW()-6)</f>
        <v>443</v>
      </c>
      <c r="B449" s="79" t="s">
        <v>585</v>
      </c>
      <c r="C449" s="80"/>
      <c r="D449" s="80"/>
      <c r="E449" s="80" t="s">
        <v>208</v>
      </c>
      <c r="F449" s="80"/>
      <c r="G449" s="80" t="s">
        <v>106</v>
      </c>
      <c r="H449" s="80"/>
      <c r="I449" s="80"/>
      <c r="J449" s="80"/>
      <c r="K449" s="80"/>
      <c r="L449" s="81" t="str">
        <f aca="false">IF(K449="","",IFERROR(INDEX(BARDAGE!$C$7:$C$1506,MATCH(K449,BARDAGE!$B$7:$B$1506,0)),"? hors registre"))</f>
        <v/>
      </c>
      <c r="M449" s="80"/>
      <c r="N449" s="81" t="str">
        <f aca="false">IF(M449="","",IFERROR(INDEX(BARDAGE!$C$7:$C$1506,MATCH(M449,BARDAGE!$B$7:$B$1506,0)),"? hors registre"))</f>
        <v/>
      </c>
      <c r="O449" s="80"/>
      <c r="P449" s="80"/>
      <c r="Q449" s="80"/>
      <c r="R449" s="82"/>
      <c r="S449" s="82"/>
      <c r="T449" s="80"/>
      <c r="U449" s="80"/>
      <c r="V449" s="82"/>
      <c r="W449" s="80"/>
      <c r="X449" s="80"/>
      <c r="Y449" s="80"/>
      <c r="Z449" s="80"/>
      <c r="AA449" s="82"/>
      <c r="AB449" s="80"/>
      <c r="AC449" s="80"/>
      <c r="AD449" s="80"/>
      <c r="AE449" s="80"/>
      <c r="AF449" s="82"/>
      <c r="AG449" s="80"/>
      <c r="AH449" s="80"/>
      <c r="AI449" s="82"/>
      <c r="AJ449" s="79"/>
      <c r="AK449" s="78" t="n">
        <f aca="false">IF(E449="","",(X449&lt;&gt;"")+(AC449&lt;&gt;"")+(AH449&lt;&gt;""))</f>
        <v>0</v>
      </c>
      <c r="AL449" s="81" t="str">
        <f aca="false">IF(AH449&lt;&gt;"",AH449,IF(AC449&lt;&gt;"",AC449,IF(X449&lt;&gt;"",X449,"")))</f>
        <v/>
      </c>
      <c r="AM449" s="83" t="str">
        <f aca="false">IF(E449="","",IF(R449="","À SOUDER",IF(U449="","VT EN ATTENTE",IF(U449="R","VT REJETÉ – À REPRENDRE",IF(AL449="","À RADIOGRAPHIER",IF(AL449="A","ACCEPTÉ",IF(AL449="NX","NX – RT À REFAIRE",IF(IF(AK449=1,Z449,IF(AK449=2,AE449,""))="A","RÉPARÉ – À RADIOGRAPHIER",IF(IF(AK449=1,Z449,IF(AK449=2,AE449,""))="R","VT REJETÉ – À REPRENDRE",IF(OR(AL449="CO",AL449="NT"),"COUPE – À RESOUDER","À RÉPARER"))))))))))</f>
        <v>À SOUDER</v>
      </c>
      <c r="AN449" s="81" t="str">
        <f aca="false">IF(AND(ISNUMBER(R449),OR(AM449="À RADIOGRAPHIER",AM449="RÉPARÉ – À RADIOGRAPHIER",AM449="NX – RT À REFAIRE",AM449="À RÉPARER",AM449="COUPE – À RESOUDER",AM449="VT REJETÉ – À REPRENDRE")),MAX(0,'PROGRAMME RT'!$C$4-R449),"")</f>
        <v/>
      </c>
      <c r="AO449" s="78" t="n">
        <f aca="false">IF(AND(OR(AM449="À RADIOGRAPHIER",AM449="RÉPARÉ – À RADIOGRAPHIER",AM449="NX – RT À REFAIRE"),OR('PROGRAMME RT'!$D$5="TOUTES",B449='PROGRAMME RT'!$D$5)),1,0)</f>
        <v>0</v>
      </c>
      <c r="AP449" s="78" t="str">
        <f aca="false">IF(AO449=1,SUM(AO$7:AO449),"")</f>
        <v/>
      </c>
      <c r="AQ449" s="78" t="n">
        <f aca="false">IF(AND(OR(X449="R",X449="NX",X449="NT",X449="CO"),OR('JOINTS DE RÉPARATION'!$D$5="TOUTES",B449='JOINTS DE RÉPARATION'!$D$5),OR('JOINTS DE RÉPARATION'!$L$4="TOUS",AM449&lt;&gt;"ACCEPTÉ")),1,0)</f>
        <v>0</v>
      </c>
      <c r="AR449" s="78" t="str">
        <f aca="false">IF(AQ449=1,SUM(AQ$7:AQ449),"")</f>
        <v/>
      </c>
    </row>
    <row r="450" customFormat="false" ht="15" hidden="false" customHeight="false" outlineLevel="0" collapsed="false">
      <c r="A450" s="78" t="n">
        <f aca="false">IF(E450="","",ROW()-6)</f>
        <v>444</v>
      </c>
      <c r="B450" s="79" t="s">
        <v>585</v>
      </c>
      <c r="C450" s="80"/>
      <c r="D450" s="80"/>
      <c r="E450" s="80" t="s">
        <v>210</v>
      </c>
      <c r="F450" s="80"/>
      <c r="G450" s="80" t="s">
        <v>106</v>
      </c>
      <c r="H450" s="80"/>
      <c r="I450" s="80"/>
      <c r="J450" s="80"/>
      <c r="K450" s="80"/>
      <c r="L450" s="81" t="str">
        <f aca="false">IF(K450="","",IFERROR(INDEX(BARDAGE!$C$7:$C$1506,MATCH(K450,BARDAGE!$B$7:$B$1506,0)),"? hors registre"))</f>
        <v/>
      </c>
      <c r="M450" s="80"/>
      <c r="N450" s="81" t="str">
        <f aca="false">IF(M450="","",IFERROR(INDEX(BARDAGE!$C$7:$C$1506,MATCH(M450,BARDAGE!$B$7:$B$1506,0)),"? hors registre"))</f>
        <v/>
      </c>
      <c r="O450" s="80"/>
      <c r="P450" s="80"/>
      <c r="Q450" s="80"/>
      <c r="R450" s="82"/>
      <c r="S450" s="82"/>
      <c r="T450" s="80"/>
      <c r="U450" s="80"/>
      <c r="V450" s="82"/>
      <c r="W450" s="80"/>
      <c r="X450" s="80"/>
      <c r="Y450" s="80"/>
      <c r="Z450" s="80"/>
      <c r="AA450" s="82"/>
      <c r="AB450" s="80"/>
      <c r="AC450" s="80"/>
      <c r="AD450" s="80"/>
      <c r="AE450" s="80"/>
      <c r="AF450" s="82"/>
      <c r="AG450" s="80"/>
      <c r="AH450" s="80"/>
      <c r="AI450" s="82"/>
      <c r="AJ450" s="79"/>
      <c r="AK450" s="78" t="n">
        <f aca="false">IF(E450="","",(X450&lt;&gt;"")+(AC450&lt;&gt;"")+(AH450&lt;&gt;""))</f>
        <v>0</v>
      </c>
      <c r="AL450" s="81" t="str">
        <f aca="false">IF(AH450&lt;&gt;"",AH450,IF(AC450&lt;&gt;"",AC450,IF(X450&lt;&gt;"",X450,"")))</f>
        <v/>
      </c>
      <c r="AM450" s="83" t="str">
        <f aca="false">IF(E450="","",IF(R450="","À SOUDER",IF(U450="","VT EN ATTENTE",IF(U450="R","VT REJETÉ – À REPRENDRE",IF(AL450="","À RADIOGRAPHIER",IF(AL450="A","ACCEPTÉ",IF(AL450="NX","NX – RT À REFAIRE",IF(IF(AK450=1,Z450,IF(AK450=2,AE450,""))="A","RÉPARÉ – À RADIOGRAPHIER",IF(IF(AK450=1,Z450,IF(AK450=2,AE450,""))="R","VT REJETÉ – À REPRENDRE",IF(OR(AL450="CO",AL450="NT"),"COUPE – À RESOUDER","À RÉPARER"))))))))))</f>
        <v>À SOUDER</v>
      </c>
      <c r="AN450" s="81" t="str">
        <f aca="false">IF(AND(ISNUMBER(R450),OR(AM450="À RADIOGRAPHIER",AM450="RÉPARÉ – À RADIOGRAPHIER",AM450="NX – RT À REFAIRE",AM450="À RÉPARER",AM450="COUPE – À RESOUDER",AM450="VT REJETÉ – À REPRENDRE")),MAX(0,'PROGRAMME RT'!$C$4-R450),"")</f>
        <v/>
      </c>
      <c r="AO450" s="78" t="n">
        <f aca="false">IF(AND(OR(AM450="À RADIOGRAPHIER",AM450="RÉPARÉ – À RADIOGRAPHIER",AM450="NX – RT À REFAIRE"),OR('PROGRAMME RT'!$D$5="TOUTES",B450='PROGRAMME RT'!$D$5)),1,0)</f>
        <v>0</v>
      </c>
      <c r="AP450" s="78" t="str">
        <f aca="false">IF(AO450=1,SUM(AO$7:AO450),"")</f>
        <v/>
      </c>
      <c r="AQ450" s="78" t="n">
        <f aca="false">IF(AND(OR(X450="R",X450="NX",X450="NT",X450="CO"),OR('JOINTS DE RÉPARATION'!$D$5="TOUTES",B450='JOINTS DE RÉPARATION'!$D$5),OR('JOINTS DE RÉPARATION'!$L$4="TOUS",AM450&lt;&gt;"ACCEPTÉ")),1,0)</f>
        <v>0</v>
      </c>
      <c r="AR450" s="78" t="str">
        <f aca="false">IF(AQ450=1,SUM(AQ$7:AQ450),"")</f>
        <v/>
      </c>
    </row>
    <row r="451" customFormat="false" ht="15" hidden="false" customHeight="false" outlineLevel="0" collapsed="false">
      <c r="A451" s="78" t="n">
        <f aca="false">IF(E451="","",ROW()-6)</f>
        <v>445</v>
      </c>
      <c r="B451" s="79" t="s">
        <v>585</v>
      </c>
      <c r="C451" s="80"/>
      <c r="D451" s="80"/>
      <c r="E451" s="80" t="s">
        <v>212</v>
      </c>
      <c r="F451" s="80"/>
      <c r="G451" s="80" t="s">
        <v>106</v>
      </c>
      <c r="H451" s="80"/>
      <c r="I451" s="80"/>
      <c r="J451" s="80"/>
      <c r="K451" s="80"/>
      <c r="L451" s="81" t="str">
        <f aca="false">IF(K451="","",IFERROR(INDEX(BARDAGE!$C$7:$C$1506,MATCH(K451,BARDAGE!$B$7:$B$1506,0)),"? hors registre"))</f>
        <v/>
      </c>
      <c r="M451" s="80"/>
      <c r="N451" s="81" t="str">
        <f aca="false">IF(M451="","",IFERROR(INDEX(BARDAGE!$C$7:$C$1506,MATCH(M451,BARDAGE!$B$7:$B$1506,0)),"? hors registre"))</f>
        <v/>
      </c>
      <c r="O451" s="80"/>
      <c r="P451" s="80"/>
      <c r="Q451" s="80"/>
      <c r="R451" s="82"/>
      <c r="S451" s="82"/>
      <c r="T451" s="80"/>
      <c r="U451" s="80"/>
      <c r="V451" s="82"/>
      <c r="W451" s="80"/>
      <c r="X451" s="80"/>
      <c r="Y451" s="80"/>
      <c r="Z451" s="80"/>
      <c r="AA451" s="82"/>
      <c r="AB451" s="80"/>
      <c r="AC451" s="80"/>
      <c r="AD451" s="80"/>
      <c r="AE451" s="80"/>
      <c r="AF451" s="82"/>
      <c r="AG451" s="80"/>
      <c r="AH451" s="80"/>
      <c r="AI451" s="82"/>
      <c r="AJ451" s="79"/>
      <c r="AK451" s="78" t="n">
        <f aca="false">IF(E451="","",(X451&lt;&gt;"")+(AC451&lt;&gt;"")+(AH451&lt;&gt;""))</f>
        <v>0</v>
      </c>
      <c r="AL451" s="81" t="str">
        <f aca="false">IF(AH451&lt;&gt;"",AH451,IF(AC451&lt;&gt;"",AC451,IF(X451&lt;&gt;"",X451,"")))</f>
        <v/>
      </c>
      <c r="AM451" s="83" t="str">
        <f aca="false">IF(E451="","",IF(R451="","À SOUDER",IF(U451="","VT EN ATTENTE",IF(U451="R","VT REJETÉ – À REPRENDRE",IF(AL451="","À RADIOGRAPHIER",IF(AL451="A","ACCEPTÉ",IF(AL451="NX","NX – RT À REFAIRE",IF(IF(AK451=1,Z451,IF(AK451=2,AE451,""))="A","RÉPARÉ – À RADIOGRAPHIER",IF(IF(AK451=1,Z451,IF(AK451=2,AE451,""))="R","VT REJETÉ – À REPRENDRE",IF(OR(AL451="CO",AL451="NT"),"COUPE – À RESOUDER","À RÉPARER"))))))))))</f>
        <v>À SOUDER</v>
      </c>
      <c r="AN451" s="81" t="str">
        <f aca="false">IF(AND(ISNUMBER(R451),OR(AM451="À RADIOGRAPHIER",AM451="RÉPARÉ – À RADIOGRAPHIER",AM451="NX – RT À REFAIRE",AM451="À RÉPARER",AM451="COUPE – À RESOUDER",AM451="VT REJETÉ – À REPRENDRE")),MAX(0,'PROGRAMME RT'!$C$4-R451),"")</f>
        <v/>
      </c>
      <c r="AO451" s="78" t="n">
        <f aca="false">IF(AND(OR(AM451="À RADIOGRAPHIER",AM451="RÉPARÉ – À RADIOGRAPHIER",AM451="NX – RT À REFAIRE"),OR('PROGRAMME RT'!$D$5="TOUTES",B451='PROGRAMME RT'!$D$5)),1,0)</f>
        <v>0</v>
      </c>
      <c r="AP451" s="78" t="str">
        <f aca="false">IF(AO451=1,SUM(AO$7:AO451),"")</f>
        <v/>
      </c>
      <c r="AQ451" s="78" t="n">
        <f aca="false">IF(AND(OR(X451="R",X451="NX",X451="NT",X451="CO"),OR('JOINTS DE RÉPARATION'!$D$5="TOUTES",B451='JOINTS DE RÉPARATION'!$D$5),OR('JOINTS DE RÉPARATION'!$L$4="TOUS",AM451&lt;&gt;"ACCEPTÉ")),1,0)</f>
        <v>0</v>
      </c>
      <c r="AR451" s="78" t="str">
        <f aca="false">IF(AQ451=1,SUM(AQ$7:AQ451),"")</f>
        <v/>
      </c>
    </row>
    <row r="452" customFormat="false" ht="15" hidden="false" customHeight="false" outlineLevel="0" collapsed="false">
      <c r="A452" s="78" t="n">
        <f aca="false">IF(E452="","",ROW()-6)</f>
        <v>446</v>
      </c>
      <c r="B452" s="79" t="s">
        <v>585</v>
      </c>
      <c r="C452" s="80"/>
      <c r="D452" s="80"/>
      <c r="E452" s="80" t="s">
        <v>213</v>
      </c>
      <c r="F452" s="80"/>
      <c r="G452" s="80" t="s">
        <v>106</v>
      </c>
      <c r="H452" s="80"/>
      <c r="I452" s="80"/>
      <c r="J452" s="80"/>
      <c r="K452" s="80"/>
      <c r="L452" s="81" t="str">
        <f aca="false">IF(K452="","",IFERROR(INDEX(BARDAGE!$C$7:$C$1506,MATCH(K452,BARDAGE!$B$7:$B$1506,0)),"? hors registre"))</f>
        <v/>
      </c>
      <c r="M452" s="80"/>
      <c r="N452" s="81" t="str">
        <f aca="false">IF(M452="","",IFERROR(INDEX(BARDAGE!$C$7:$C$1506,MATCH(M452,BARDAGE!$B$7:$B$1506,0)),"? hors registre"))</f>
        <v/>
      </c>
      <c r="O452" s="80"/>
      <c r="P452" s="80"/>
      <c r="Q452" s="80"/>
      <c r="R452" s="82"/>
      <c r="S452" s="82"/>
      <c r="T452" s="80"/>
      <c r="U452" s="80"/>
      <c r="V452" s="82"/>
      <c r="W452" s="80"/>
      <c r="X452" s="80"/>
      <c r="Y452" s="80"/>
      <c r="Z452" s="80"/>
      <c r="AA452" s="82"/>
      <c r="AB452" s="80"/>
      <c r="AC452" s="80"/>
      <c r="AD452" s="80"/>
      <c r="AE452" s="80"/>
      <c r="AF452" s="82"/>
      <c r="AG452" s="80"/>
      <c r="AH452" s="80"/>
      <c r="AI452" s="82"/>
      <c r="AJ452" s="79"/>
      <c r="AK452" s="78" t="n">
        <f aca="false">IF(E452="","",(X452&lt;&gt;"")+(AC452&lt;&gt;"")+(AH452&lt;&gt;""))</f>
        <v>0</v>
      </c>
      <c r="AL452" s="81" t="str">
        <f aca="false">IF(AH452&lt;&gt;"",AH452,IF(AC452&lt;&gt;"",AC452,IF(X452&lt;&gt;"",X452,"")))</f>
        <v/>
      </c>
      <c r="AM452" s="83" t="str">
        <f aca="false">IF(E452="","",IF(R452="","À SOUDER",IF(U452="","VT EN ATTENTE",IF(U452="R","VT REJETÉ – À REPRENDRE",IF(AL452="","À RADIOGRAPHIER",IF(AL452="A","ACCEPTÉ",IF(AL452="NX","NX – RT À REFAIRE",IF(IF(AK452=1,Z452,IF(AK452=2,AE452,""))="A","RÉPARÉ – À RADIOGRAPHIER",IF(IF(AK452=1,Z452,IF(AK452=2,AE452,""))="R","VT REJETÉ – À REPRENDRE",IF(OR(AL452="CO",AL452="NT"),"COUPE – À RESOUDER","À RÉPARER"))))))))))</f>
        <v>À SOUDER</v>
      </c>
      <c r="AN452" s="81" t="str">
        <f aca="false">IF(AND(ISNUMBER(R452),OR(AM452="À RADIOGRAPHIER",AM452="RÉPARÉ – À RADIOGRAPHIER",AM452="NX – RT À REFAIRE",AM452="À RÉPARER",AM452="COUPE – À RESOUDER",AM452="VT REJETÉ – À REPRENDRE")),MAX(0,'PROGRAMME RT'!$C$4-R452),"")</f>
        <v/>
      </c>
      <c r="AO452" s="78" t="n">
        <f aca="false">IF(AND(OR(AM452="À RADIOGRAPHIER",AM452="RÉPARÉ – À RADIOGRAPHIER",AM452="NX – RT À REFAIRE"),OR('PROGRAMME RT'!$D$5="TOUTES",B452='PROGRAMME RT'!$D$5)),1,0)</f>
        <v>0</v>
      </c>
      <c r="AP452" s="78" t="str">
        <f aca="false">IF(AO452=1,SUM(AO$7:AO452),"")</f>
        <v/>
      </c>
      <c r="AQ452" s="78" t="n">
        <f aca="false">IF(AND(OR(X452="R",X452="NX",X452="NT",X452="CO"),OR('JOINTS DE RÉPARATION'!$D$5="TOUTES",B452='JOINTS DE RÉPARATION'!$D$5),OR('JOINTS DE RÉPARATION'!$L$4="TOUS",AM452&lt;&gt;"ACCEPTÉ")),1,0)</f>
        <v>0</v>
      </c>
      <c r="AR452" s="78" t="str">
        <f aca="false">IF(AQ452=1,SUM(AQ$7:AQ452),"")</f>
        <v/>
      </c>
    </row>
    <row r="453" customFormat="false" ht="15" hidden="false" customHeight="false" outlineLevel="0" collapsed="false">
      <c r="A453" s="78" t="n">
        <f aca="false">IF(E453="","",ROW()-6)</f>
        <v>447</v>
      </c>
      <c r="B453" s="79" t="s">
        <v>585</v>
      </c>
      <c r="C453" s="80"/>
      <c r="D453" s="80"/>
      <c r="E453" s="80" t="s">
        <v>215</v>
      </c>
      <c r="F453" s="80"/>
      <c r="G453" s="80" t="s">
        <v>106</v>
      </c>
      <c r="H453" s="80"/>
      <c r="I453" s="80"/>
      <c r="J453" s="80"/>
      <c r="K453" s="80"/>
      <c r="L453" s="81" t="str">
        <f aca="false">IF(K453="","",IFERROR(INDEX(BARDAGE!$C$7:$C$1506,MATCH(K453,BARDAGE!$B$7:$B$1506,0)),"? hors registre"))</f>
        <v/>
      </c>
      <c r="M453" s="80"/>
      <c r="N453" s="81" t="str">
        <f aca="false">IF(M453="","",IFERROR(INDEX(BARDAGE!$C$7:$C$1506,MATCH(M453,BARDAGE!$B$7:$B$1506,0)),"? hors registre"))</f>
        <v/>
      </c>
      <c r="O453" s="80"/>
      <c r="P453" s="80"/>
      <c r="Q453" s="80"/>
      <c r="R453" s="82"/>
      <c r="S453" s="82"/>
      <c r="T453" s="80"/>
      <c r="U453" s="80"/>
      <c r="V453" s="82"/>
      <c r="W453" s="80"/>
      <c r="X453" s="80"/>
      <c r="Y453" s="80"/>
      <c r="Z453" s="80"/>
      <c r="AA453" s="82"/>
      <c r="AB453" s="80"/>
      <c r="AC453" s="80"/>
      <c r="AD453" s="80"/>
      <c r="AE453" s="80"/>
      <c r="AF453" s="82"/>
      <c r="AG453" s="80"/>
      <c r="AH453" s="80"/>
      <c r="AI453" s="82"/>
      <c r="AJ453" s="79"/>
      <c r="AK453" s="78" t="n">
        <f aca="false">IF(E453="","",(X453&lt;&gt;"")+(AC453&lt;&gt;"")+(AH453&lt;&gt;""))</f>
        <v>0</v>
      </c>
      <c r="AL453" s="81" t="str">
        <f aca="false">IF(AH453&lt;&gt;"",AH453,IF(AC453&lt;&gt;"",AC453,IF(X453&lt;&gt;"",X453,"")))</f>
        <v/>
      </c>
      <c r="AM453" s="83" t="str">
        <f aca="false">IF(E453="","",IF(R453="","À SOUDER",IF(U453="","VT EN ATTENTE",IF(U453="R","VT REJETÉ – À REPRENDRE",IF(AL453="","À RADIOGRAPHIER",IF(AL453="A","ACCEPTÉ",IF(AL453="NX","NX – RT À REFAIRE",IF(IF(AK453=1,Z453,IF(AK453=2,AE453,""))="A","RÉPARÉ – À RADIOGRAPHIER",IF(IF(AK453=1,Z453,IF(AK453=2,AE453,""))="R","VT REJETÉ – À REPRENDRE",IF(OR(AL453="CO",AL453="NT"),"COUPE – À RESOUDER","À RÉPARER"))))))))))</f>
        <v>À SOUDER</v>
      </c>
      <c r="AN453" s="81" t="str">
        <f aca="false">IF(AND(ISNUMBER(R453),OR(AM453="À RADIOGRAPHIER",AM453="RÉPARÉ – À RADIOGRAPHIER",AM453="NX – RT À REFAIRE",AM453="À RÉPARER",AM453="COUPE – À RESOUDER",AM453="VT REJETÉ – À REPRENDRE")),MAX(0,'PROGRAMME RT'!$C$4-R453),"")</f>
        <v/>
      </c>
      <c r="AO453" s="78" t="n">
        <f aca="false">IF(AND(OR(AM453="À RADIOGRAPHIER",AM453="RÉPARÉ – À RADIOGRAPHIER",AM453="NX – RT À REFAIRE"),OR('PROGRAMME RT'!$D$5="TOUTES",B453='PROGRAMME RT'!$D$5)),1,0)</f>
        <v>0</v>
      </c>
      <c r="AP453" s="78" t="str">
        <f aca="false">IF(AO453=1,SUM(AO$7:AO453),"")</f>
        <v/>
      </c>
      <c r="AQ453" s="78" t="n">
        <f aca="false">IF(AND(OR(X453="R",X453="NX",X453="NT",X453="CO"),OR('JOINTS DE RÉPARATION'!$D$5="TOUTES",B453='JOINTS DE RÉPARATION'!$D$5),OR('JOINTS DE RÉPARATION'!$L$4="TOUS",AM453&lt;&gt;"ACCEPTÉ")),1,0)</f>
        <v>0</v>
      </c>
      <c r="AR453" s="78" t="str">
        <f aca="false">IF(AQ453=1,SUM(AQ$7:AQ453),"")</f>
        <v/>
      </c>
    </row>
    <row r="454" customFormat="false" ht="15" hidden="false" customHeight="false" outlineLevel="0" collapsed="false">
      <c r="A454" s="78" t="n">
        <f aca="false">IF(E454="","",ROW()-6)</f>
        <v>448</v>
      </c>
      <c r="B454" s="79" t="s">
        <v>585</v>
      </c>
      <c r="C454" s="80"/>
      <c r="D454" s="80"/>
      <c r="E454" s="80" t="s">
        <v>217</v>
      </c>
      <c r="F454" s="80"/>
      <c r="G454" s="80" t="s">
        <v>106</v>
      </c>
      <c r="H454" s="80"/>
      <c r="I454" s="80"/>
      <c r="J454" s="80"/>
      <c r="K454" s="80"/>
      <c r="L454" s="81" t="str">
        <f aca="false">IF(K454="","",IFERROR(INDEX(BARDAGE!$C$7:$C$1506,MATCH(K454,BARDAGE!$B$7:$B$1506,0)),"? hors registre"))</f>
        <v/>
      </c>
      <c r="M454" s="80"/>
      <c r="N454" s="81" t="str">
        <f aca="false">IF(M454="","",IFERROR(INDEX(BARDAGE!$C$7:$C$1506,MATCH(M454,BARDAGE!$B$7:$B$1506,0)),"? hors registre"))</f>
        <v/>
      </c>
      <c r="O454" s="80"/>
      <c r="P454" s="80"/>
      <c r="Q454" s="80"/>
      <c r="R454" s="82"/>
      <c r="S454" s="82"/>
      <c r="T454" s="80"/>
      <c r="U454" s="80"/>
      <c r="V454" s="82"/>
      <c r="W454" s="80"/>
      <c r="X454" s="80"/>
      <c r="Y454" s="80"/>
      <c r="Z454" s="80"/>
      <c r="AA454" s="82"/>
      <c r="AB454" s="80"/>
      <c r="AC454" s="80"/>
      <c r="AD454" s="80"/>
      <c r="AE454" s="80"/>
      <c r="AF454" s="82"/>
      <c r="AG454" s="80"/>
      <c r="AH454" s="80"/>
      <c r="AI454" s="82"/>
      <c r="AJ454" s="79"/>
      <c r="AK454" s="78" t="n">
        <f aca="false">IF(E454="","",(X454&lt;&gt;"")+(AC454&lt;&gt;"")+(AH454&lt;&gt;""))</f>
        <v>0</v>
      </c>
      <c r="AL454" s="81" t="str">
        <f aca="false">IF(AH454&lt;&gt;"",AH454,IF(AC454&lt;&gt;"",AC454,IF(X454&lt;&gt;"",X454,"")))</f>
        <v/>
      </c>
      <c r="AM454" s="83" t="str">
        <f aca="false">IF(E454="","",IF(R454="","À SOUDER",IF(U454="","VT EN ATTENTE",IF(U454="R","VT REJETÉ – À REPRENDRE",IF(AL454="","À RADIOGRAPHIER",IF(AL454="A","ACCEPTÉ",IF(AL454="NX","NX – RT À REFAIRE",IF(IF(AK454=1,Z454,IF(AK454=2,AE454,""))="A","RÉPARÉ – À RADIOGRAPHIER",IF(IF(AK454=1,Z454,IF(AK454=2,AE454,""))="R","VT REJETÉ – À REPRENDRE",IF(OR(AL454="CO",AL454="NT"),"COUPE – À RESOUDER","À RÉPARER"))))))))))</f>
        <v>À SOUDER</v>
      </c>
      <c r="AN454" s="81" t="str">
        <f aca="false">IF(AND(ISNUMBER(R454),OR(AM454="À RADIOGRAPHIER",AM454="RÉPARÉ – À RADIOGRAPHIER",AM454="NX – RT À REFAIRE",AM454="À RÉPARER",AM454="COUPE – À RESOUDER",AM454="VT REJETÉ – À REPRENDRE")),MAX(0,'PROGRAMME RT'!$C$4-R454),"")</f>
        <v/>
      </c>
      <c r="AO454" s="78" t="n">
        <f aca="false">IF(AND(OR(AM454="À RADIOGRAPHIER",AM454="RÉPARÉ – À RADIOGRAPHIER",AM454="NX – RT À REFAIRE"),OR('PROGRAMME RT'!$D$5="TOUTES",B454='PROGRAMME RT'!$D$5)),1,0)</f>
        <v>0</v>
      </c>
      <c r="AP454" s="78" t="str">
        <f aca="false">IF(AO454=1,SUM(AO$7:AO454),"")</f>
        <v/>
      </c>
      <c r="AQ454" s="78" t="n">
        <f aca="false">IF(AND(OR(X454="R",X454="NX",X454="NT",X454="CO"),OR('JOINTS DE RÉPARATION'!$D$5="TOUTES",B454='JOINTS DE RÉPARATION'!$D$5),OR('JOINTS DE RÉPARATION'!$L$4="TOUS",AM454&lt;&gt;"ACCEPTÉ")),1,0)</f>
        <v>0</v>
      </c>
      <c r="AR454" s="78" t="str">
        <f aca="false">IF(AQ454=1,SUM(AQ$7:AQ454),"")</f>
        <v/>
      </c>
    </row>
    <row r="455" customFormat="false" ht="15" hidden="false" customHeight="false" outlineLevel="0" collapsed="false">
      <c r="A455" s="78" t="n">
        <f aca="false">IF(E455="","",ROW()-6)</f>
        <v>449</v>
      </c>
      <c r="B455" s="79" t="s">
        <v>585</v>
      </c>
      <c r="C455" s="80"/>
      <c r="D455" s="80"/>
      <c r="E455" s="80" t="s">
        <v>219</v>
      </c>
      <c r="F455" s="80"/>
      <c r="G455" s="80" t="s">
        <v>106</v>
      </c>
      <c r="H455" s="80"/>
      <c r="I455" s="80"/>
      <c r="J455" s="80"/>
      <c r="K455" s="80"/>
      <c r="L455" s="81" t="str">
        <f aca="false">IF(K455="","",IFERROR(INDEX(BARDAGE!$C$7:$C$1506,MATCH(K455,BARDAGE!$B$7:$B$1506,0)),"? hors registre"))</f>
        <v/>
      </c>
      <c r="M455" s="80"/>
      <c r="N455" s="81" t="str">
        <f aca="false">IF(M455="","",IFERROR(INDEX(BARDAGE!$C$7:$C$1506,MATCH(M455,BARDAGE!$B$7:$B$1506,0)),"? hors registre"))</f>
        <v/>
      </c>
      <c r="O455" s="80"/>
      <c r="P455" s="80"/>
      <c r="Q455" s="80"/>
      <c r="R455" s="82"/>
      <c r="S455" s="82"/>
      <c r="T455" s="80"/>
      <c r="U455" s="80"/>
      <c r="V455" s="82"/>
      <c r="W455" s="80"/>
      <c r="X455" s="80"/>
      <c r="Y455" s="80"/>
      <c r="Z455" s="80"/>
      <c r="AA455" s="82"/>
      <c r="AB455" s="80"/>
      <c r="AC455" s="80"/>
      <c r="AD455" s="80"/>
      <c r="AE455" s="80"/>
      <c r="AF455" s="82"/>
      <c r="AG455" s="80"/>
      <c r="AH455" s="80"/>
      <c r="AI455" s="82"/>
      <c r="AJ455" s="79"/>
      <c r="AK455" s="78" t="n">
        <f aca="false">IF(E455="","",(X455&lt;&gt;"")+(AC455&lt;&gt;"")+(AH455&lt;&gt;""))</f>
        <v>0</v>
      </c>
      <c r="AL455" s="81" t="str">
        <f aca="false">IF(AH455&lt;&gt;"",AH455,IF(AC455&lt;&gt;"",AC455,IF(X455&lt;&gt;"",X455,"")))</f>
        <v/>
      </c>
      <c r="AM455" s="83" t="str">
        <f aca="false">IF(E455="","",IF(R455="","À SOUDER",IF(U455="","VT EN ATTENTE",IF(U455="R","VT REJETÉ – À REPRENDRE",IF(AL455="","À RADIOGRAPHIER",IF(AL455="A","ACCEPTÉ",IF(AL455="NX","NX – RT À REFAIRE",IF(IF(AK455=1,Z455,IF(AK455=2,AE455,""))="A","RÉPARÉ – À RADIOGRAPHIER",IF(IF(AK455=1,Z455,IF(AK455=2,AE455,""))="R","VT REJETÉ – À REPRENDRE",IF(OR(AL455="CO",AL455="NT"),"COUPE – À RESOUDER","À RÉPARER"))))))))))</f>
        <v>À SOUDER</v>
      </c>
      <c r="AN455" s="81" t="str">
        <f aca="false">IF(AND(ISNUMBER(R455),OR(AM455="À RADIOGRAPHIER",AM455="RÉPARÉ – À RADIOGRAPHIER",AM455="NX – RT À REFAIRE",AM455="À RÉPARER",AM455="COUPE – À RESOUDER",AM455="VT REJETÉ – À REPRENDRE")),MAX(0,'PROGRAMME RT'!$C$4-R455),"")</f>
        <v/>
      </c>
      <c r="AO455" s="78" t="n">
        <f aca="false">IF(AND(OR(AM455="À RADIOGRAPHIER",AM455="RÉPARÉ – À RADIOGRAPHIER",AM455="NX – RT À REFAIRE"),OR('PROGRAMME RT'!$D$5="TOUTES",B455='PROGRAMME RT'!$D$5)),1,0)</f>
        <v>0</v>
      </c>
      <c r="AP455" s="78" t="str">
        <f aca="false">IF(AO455=1,SUM(AO$7:AO455),"")</f>
        <v/>
      </c>
      <c r="AQ455" s="78" t="n">
        <f aca="false">IF(AND(OR(X455="R",X455="NX",X455="NT",X455="CO"),OR('JOINTS DE RÉPARATION'!$D$5="TOUTES",B455='JOINTS DE RÉPARATION'!$D$5),OR('JOINTS DE RÉPARATION'!$L$4="TOUS",AM455&lt;&gt;"ACCEPTÉ")),1,0)</f>
        <v>0</v>
      </c>
      <c r="AR455" s="78" t="str">
        <f aca="false">IF(AQ455=1,SUM(AQ$7:AQ455),"")</f>
        <v/>
      </c>
    </row>
    <row r="456" customFormat="false" ht="15" hidden="false" customHeight="false" outlineLevel="0" collapsed="false">
      <c r="A456" s="78" t="n">
        <f aca="false">IF(E456="","",ROW()-6)</f>
        <v>450</v>
      </c>
      <c r="B456" s="79" t="s">
        <v>585</v>
      </c>
      <c r="C456" s="80"/>
      <c r="D456" s="80"/>
      <c r="E456" s="80" t="s">
        <v>578</v>
      </c>
      <c r="F456" s="80"/>
      <c r="G456" s="80" t="s">
        <v>106</v>
      </c>
      <c r="H456" s="80"/>
      <c r="I456" s="80"/>
      <c r="J456" s="80"/>
      <c r="K456" s="80"/>
      <c r="L456" s="81" t="str">
        <f aca="false">IF(K456="","",IFERROR(INDEX(BARDAGE!$C$7:$C$1506,MATCH(K456,BARDAGE!$B$7:$B$1506,0)),"? hors registre"))</f>
        <v/>
      </c>
      <c r="M456" s="80"/>
      <c r="N456" s="81" t="str">
        <f aca="false">IF(M456="","",IFERROR(INDEX(BARDAGE!$C$7:$C$1506,MATCH(M456,BARDAGE!$B$7:$B$1506,0)),"? hors registre"))</f>
        <v/>
      </c>
      <c r="O456" s="80"/>
      <c r="P456" s="80"/>
      <c r="Q456" s="80"/>
      <c r="R456" s="82"/>
      <c r="S456" s="82"/>
      <c r="T456" s="80"/>
      <c r="U456" s="80"/>
      <c r="V456" s="82"/>
      <c r="W456" s="80"/>
      <c r="X456" s="80"/>
      <c r="Y456" s="80"/>
      <c r="Z456" s="80"/>
      <c r="AA456" s="82"/>
      <c r="AB456" s="80"/>
      <c r="AC456" s="80"/>
      <c r="AD456" s="80"/>
      <c r="AE456" s="80"/>
      <c r="AF456" s="82"/>
      <c r="AG456" s="80"/>
      <c r="AH456" s="80"/>
      <c r="AI456" s="82"/>
      <c r="AJ456" s="79"/>
      <c r="AK456" s="78" t="n">
        <f aca="false">IF(E456="","",(X456&lt;&gt;"")+(AC456&lt;&gt;"")+(AH456&lt;&gt;""))</f>
        <v>0</v>
      </c>
      <c r="AL456" s="81" t="str">
        <f aca="false">IF(AH456&lt;&gt;"",AH456,IF(AC456&lt;&gt;"",AC456,IF(X456&lt;&gt;"",X456,"")))</f>
        <v/>
      </c>
      <c r="AM456" s="83" t="str">
        <f aca="false">IF(E456="","",IF(R456="","À SOUDER",IF(U456="","VT EN ATTENTE",IF(U456="R","VT REJETÉ – À REPRENDRE",IF(AL456="","À RADIOGRAPHIER",IF(AL456="A","ACCEPTÉ",IF(AL456="NX","NX – RT À REFAIRE",IF(IF(AK456=1,Z456,IF(AK456=2,AE456,""))="A","RÉPARÉ – À RADIOGRAPHIER",IF(IF(AK456=1,Z456,IF(AK456=2,AE456,""))="R","VT REJETÉ – À REPRENDRE",IF(OR(AL456="CO",AL456="NT"),"COUPE – À RESOUDER","À RÉPARER"))))))))))</f>
        <v>À SOUDER</v>
      </c>
      <c r="AN456" s="81" t="str">
        <f aca="false">IF(AND(ISNUMBER(R456),OR(AM456="À RADIOGRAPHIER",AM456="RÉPARÉ – À RADIOGRAPHIER",AM456="NX – RT À REFAIRE",AM456="À RÉPARER",AM456="COUPE – À RESOUDER",AM456="VT REJETÉ – À REPRENDRE")),MAX(0,'PROGRAMME RT'!$C$4-R456),"")</f>
        <v/>
      </c>
      <c r="AO456" s="78" t="n">
        <f aca="false">IF(AND(OR(AM456="À RADIOGRAPHIER",AM456="RÉPARÉ – À RADIOGRAPHIER",AM456="NX – RT À REFAIRE"),OR('PROGRAMME RT'!$D$5="TOUTES",B456='PROGRAMME RT'!$D$5)),1,0)</f>
        <v>0</v>
      </c>
      <c r="AP456" s="78" t="str">
        <f aca="false">IF(AO456=1,SUM(AO$7:AO456),"")</f>
        <v/>
      </c>
      <c r="AQ456" s="78" t="n">
        <f aca="false">IF(AND(OR(X456="R",X456="NX",X456="NT",X456="CO"),OR('JOINTS DE RÉPARATION'!$D$5="TOUTES",B456='JOINTS DE RÉPARATION'!$D$5),OR('JOINTS DE RÉPARATION'!$L$4="TOUS",AM456&lt;&gt;"ACCEPTÉ")),1,0)</f>
        <v>0</v>
      </c>
      <c r="AR456" s="78" t="str">
        <f aca="false">IF(AQ456=1,SUM(AQ$7:AQ456),"")</f>
        <v/>
      </c>
    </row>
    <row r="457" customFormat="false" ht="15" hidden="false" customHeight="false" outlineLevel="0" collapsed="false">
      <c r="A457" s="78" t="n">
        <f aca="false">IF(E457="","",ROW()-6)</f>
        <v>451</v>
      </c>
      <c r="B457" s="79" t="s">
        <v>585</v>
      </c>
      <c r="C457" s="80"/>
      <c r="D457" s="80"/>
      <c r="E457" s="80" t="s">
        <v>224</v>
      </c>
      <c r="F457" s="80"/>
      <c r="G457" s="80" t="s">
        <v>106</v>
      </c>
      <c r="H457" s="80"/>
      <c r="I457" s="80"/>
      <c r="J457" s="80"/>
      <c r="K457" s="80"/>
      <c r="L457" s="81" t="str">
        <f aca="false">IF(K457="","",IFERROR(INDEX(BARDAGE!$C$7:$C$1506,MATCH(K457,BARDAGE!$B$7:$B$1506,0)),"? hors registre"))</f>
        <v/>
      </c>
      <c r="M457" s="80"/>
      <c r="N457" s="81" t="str">
        <f aca="false">IF(M457="","",IFERROR(INDEX(BARDAGE!$C$7:$C$1506,MATCH(M457,BARDAGE!$B$7:$B$1506,0)),"? hors registre"))</f>
        <v/>
      </c>
      <c r="O457" s="80"/>
      <c r="P457" s="80"/>
      <c r="Q457" s="80"/>
      <c r="R457" s="82"/>
      <c r="S457" s="82"/>
      <c r="T457" s="80"/>
      <c r="U457" s="80"/>
      <c r="V457" s="82"/>
      <c r="W457" s="80"/>
      <c r="X457" s="80"/>
      <c r="Y457" s="80"/>
      <c r="Z457" s="80"/>
      <c r="AA457" s="82"/>
      <c r="AB457" s="80"/>
      <c r="AC457" s="80"/>
      <c r="AD457" s="80"/>
      <c r="AE457" s="80"/>
      <c r="AF457" s="82"/>
      <c r="AG457" s="80"/>
      <c r="AH457" s="80"/>
      <c r="AI457" s="82"/>
      <c r="AJ457" s="79"/>
      <c r="AK457" s="78" t="n">
        <f aca="false">IF(E457="","",(X457&lt;&gt;"")+(AC457&lt;&gt;"")+(AH457&lt;&gt;""))</f>
        <v>0</v>
      </c>
      <c r="AL457" s="81" t="str">
        <f aca="false">IF(AH457&lt;&gt;"",AH457,IF(AC457&lt;&gt;"",AC457,IF(X457&lt;&gt;"",X457,"")))</f>
        <v/>
      </c>
      <c r="AM457" s="83" t="str">
        <f aca="false">IF(E457="","",IF(R457="","À SOUDER",IF(U457="","VT EN ATTENTE",IF(U457="R","VT REJETÉ – À REPRENDRE",IF(AL457="","À RADIOGRAPHIER",IF(AL457="A","ACCEPTÉ",IF(AL457="NX","NX – RT À REFAIRE",IF(IF(AK457=1,Z457,IF(AK457=2,AE457,""))="A","RÉPARÉ – À RADIOGRAPHIER",IF(IF(AK457=1,Z457,IF(AK457=2,AE457,""))="R","VT REJETÉ – À REPRENDRE",IF(OR(AL457="CO",AL457="NT"),"COUPE – À RESOUDER","À RÉPARER"))))))))))</f>
        <v>À SOUDER</v>
      </c>
      <c r="AN457" s="81" t="str">
        <f aca="false">IF(AND(ISNUMBER(R457),OR(AM457="À RADIOGRAPHIER",AM457="RÉPARÉ – À RADIOGRAPHIER",AM457="NX – RT À REFAIRE",AM457="À RÉPARER",AM457="COUPE – À RESOUDER",AM457="VT REJETÉ – À REPRENDRE")),MAX(0,'PROGRAMME RT'!$C$4-R457),"")</f>
        <v/>
      </c>
      <c r="AO457" s="78" t="n">
        <f aca="false">IF(AND(OR(AM457="À RADIOGRAPHIER",AM457="RÉPARÉ – À RADIOGRAPHIER",AM457="NX – RT À REFAIRE"),OR('PROGRAMME RT'!$D$5="TOUTES",B457='PROGRAMME RT'!$D$5)),1,0)</f>
        <v>0</v>
      </c>
      <c r="AP457" s="78" t="str">
        <f aca="false">IF(AO457=1,SUM(AO$7:AO457),"")</f>
        <v/>
      </c>
      <c r="AQ457" s="78" t="n">
        <f aca="false">IF(AND(OR(X457="R",X457="NX",X457="NT",X457="CO"),OR('JOINTS DE RÉPARATION'!$D$5="TOUTES",B457='JOINTS DE RÉPARATION'!$D$5),OR('JOINTS DE RÉPARATION'!$L$4="TOUS",AM457&lt;&gt;"ACCEPTÉ")),1,0)</f>
        <v>0</v>
      </c>
      <c r="AR457" s="78" t="str">
        <f aca="false">IF(AQ457=1,SUM(AQ$7:AQ457),"")</f>
        <v/>
      </c>
    </row>
    <row r="458" customFormat="false" ht="15" hidden="false" customHeight="false" outlineLevel="0" collapsed="false">
      <c r="A458" s="78" t="n">
        <f aca="false">IF(E458="","",ROW()-6)</f>
        <v>452</v>
      </c>
      <c r="B458" s="79" t="s">
        <v>585</v>
      </c>
      <c r="C458" s="80"/>
      <c r="D458" s="80"/>
      <c r="E458" s="80" t="s">
        <v>226</v>
      </c>
      <c r="F458" s="80"/>
      <c r="G458" s="80" t="s">
        <v>106</v>
      </c>
      <c r="H458" s="80"/>
      <c r="I458" s="80"/>
      <c r="J458" s="80"/>
      <c r="K458" s="80"/>
      <c r="L458" s="81" t="str">
        <f aca="false">IF(K458="","",IFERROR(INDEX(BARDAGE!$C$7:$C$1506,MATCH(K458,BARDAGE!$B$7:$B$1506,0)),"? hors registre"))</f>
        <v/>
      </c>
      <c r="M458" s="80"/>
      <c r="N458" s="81" t="str">
        <f aca="false">IF(M458="","",IFERROR(INDEX(BARDAGE!$C$7:$C$1506,MATCH(M458,BARDAGE!$B$7:$B$1506,0)),"? hors registre"))</f>
        <v/>
      </c>
      <c r="O458" s="80"/>
      <c r="P458" s="80"/>
      <c r="Q458" s="80"/>
      <c r="R458" s="82"/>
      <c r="S458" s="82"/>
      <c r="T458" s="80"/>
      <c r="U458" s="80"/>
      <c r="V458" s="82"/>
      <c r="W458" s="80"/>
      <c r="X458" s="80"/>
      <c r="Y458" s="80"/>
      <c r="Z458" s="80"/>
      <c r="AA458" s="82"/>
      <c r="AB458" s="80"/>
      <c r="AC458" s="80"/>
      <c r="AD458" s="80"/>
      <c r="AE458" s="80"/>
      <c r="AF458" s="82"/>
      <c r="AG458" s="80"/>
      <c r="AH458" s="80"/>
      <c r="AI458" s="82"/>
      <c r="AJ458" s="79"/>
      <c r="AK458" s="78" t="n">
        <f aca="false">IF(E458="","",(X458&lt;&gt;"")+(AC458&lt;&gt;"")+(AH458&lt;&gt;""))</f>
        <v>0</v>
      </c>
      <c r="AL458" s="81" t="str">
        <f aca="false">IF(AH458&lt;&gt;"",AH458,IF(AC458&lt;&gt;"",AC458,IF(X458&lt;&gt;"",X458,"")))</f>
        <v/>
      </c>
      <c r="AM458" s="83" t="str">
        <f aca="false">IF(E458="","",IF(R458="","À SOUDER",IF(U458="","VT EN ATTENTE",IF(U458="R","VT REJETÉ – À REPRENDRE",IF(AL458="","À RADIOGRAPHIER",IF(AL458="A","ACCEPTÉ",IF(AL458="NX","NX – RT À REFAIRE",IF(IF(AK458=1,Z458,IF(AK458=2,AE458,""))="A","RÉPARÉ – À RADIOGRAPHIER",IF(IF(AK458=1,Z458,IF(AK458=2,AE458,""))="R","VT REJETÉ – À REPRENDRE",IF(OR(AL458="CO",AL458="NT"),"COUPE – À RESOUDER","À RÉPARER"))))))))))</f>
        <v>À SOUDER</v>
      </c>
      <c r="AN458" s="81" t="str">
        <f aca="false">IF(AND(ISNUMBER(R458),OR(AM458="À RADIOGRAPHIER",AM458="RÉPARÉ – À RADIOGRAPHIER",AM458="NX – RT À REFAIRE",AM458="À RÉPARER",AM458="COUPE – À RESOUDER",AM458="VT REJETÉ – À REPRENDRE")),MAX(0,'PROGRAMME RT'!$C$4-R458),"")</f>
        <v/>
      </c>
      <c r="AO458" s="78" t="n">
        <f aca="false">IF(AND(OR(AM458="À RADIOGRAPHIER",AM458="RÉPARÉ – À RADIOGRAPHIER",AM458="NX – RT À REFAIRE"),OR('PROGRAMME RT'!$D$5="TOUTES",B458='PROGRAMME RT'!$D$5)),1,0)</f>
        <v>0</v>
      </c>
      <c r="AP458" s="78" t="str">
        <f aca="false">IF(AO458=1,SUM(AO$7:AO458),"")</f>
        <v/>
      </c>
      <c r="AQ458" s="78" t="n">
        <f aca="false">IF(AND(OR(X458="R",X458="NX",X458="NT",X458="CO"),OR('JOINTS DE RÉPARATION'!$D$5="TOUTES",B458='JOINTS DE RÉPARATION'!$D$5),OR('JOINTS DE RÉPARATION'!$L$4="TOUS",AM458&lt;&gt;"ACCEPTÉ")),1,0)</f>
        <v>0</v>
      </c>
      <c r="AR458" s="78" t="str">
        <f aca="false">IF(AQ458=1,SUM(AQ$7:AQ458),"")</f>
        <v/>
      </c>
    </row>
    <row r="459" customFormat="false" ht="15" hidden="false" customHeight="false" outlineLevel="0" collapsed="false">
      <c r="A459" s="78" t="n">
        <f aca="false">IF(E459="","",ROW()-6)</f>
        <v>453</v>
      </c>
      <c r="B459" s="79" t="s">
        <v>585</v>
      </c>
      <c r="C459" s="80"/>
      <c r="D459" s="80"/>
      <c r="E459" s="80" t="s">
        <v>229</v>
      </c>
      <c r="F459" s="80"/>
      <c r="G459" s="80" t="s">
        <v>106</v>
      </c>
      <c r="H459" s="80"/>
      <c r="I459" s="80"/>
      <c r="J459" s="80"/>
      <c r="K459" s="80"/>
      <c r="L459" s="81" t="str">
        <f aca="false">IF(K459="","",IFERROR(INDEX(BARDAGE!$C$7:$C$1506,MATCH(K459,BARDAGE!$B$7:$B$1506,0)),"? hors registre"))</f>
        <v/>
      </c>
      <c r="M459" s="80"/>
      <c r="N459" s="81" t="str">
        <f aca="false">IF(M459="","",IFERROR(INDEX(BARDAGE!$C$7:$C$1506,MATCH(M459,BARDAGE!$B$7:$B$1506,0)),"? hors registre"))</f>
        <v/>
      </c>
      <c r="O459" s="80"/>
      <c r="P459" s="80"/>
      <c r="Q459" s="80"/>
      <c r="R459" s="82"/>
      <c r="S459" s="82"/>
      <c r="T459" s="80"/>
      <c r="U459" s="80"/>
      <c r="V459" s="82"/>
      <c r="W459" s="80"/>
      <c r="X459" s="80"/>
      <c r="Y459" s="80"/>
      <c r="Z459" s="80"/>
      <c r="AA459" s="82"/>
      <c r="AB459" s="80"/>
      <c r="AC459" s="80"/>
      <c r="AD459" s="80"/>
      <c r="AE459" s="80"/>
      <c r="AF459" s="82"/>
      <c r="AG459" s="80"/>
      <c r="AH459" s="80"/>
      <c r="AI459" s="82"/>
      <c r="AJ459" s="79"/>
      <c r="AK459" s="78" t="n">
        <f aca="false">IF(E459="","",(X459&lt;&gt;"")+(AC459&lt;&gt;"")+(AH459&lt;&gt;""))</f>
        <v>0</v>
      </c>
      <c r="AL459" s="81" t="str">
        <f aca="false">IF(AH459&lt;&gt;"",AH459,IF(AC459&lt;&gt;"",AC459,IF(X459&lt;&gt;"",X459,"")))</f>
        <v/>
      </c>
      <c r="AM459" s="83" t="str">
        <f aca="false">IF(E459="","",IF(R459="","À SOUDER",IF(U459="","VT EN ATTENTE",IF(U459="R","VT REJETÉ – À REPRENDRE",IF(AL459="","À RADIOGRAPHIER",IF(AL459="A","ACCEPTÉ",IF(AL459="NX","NX – RT À REFAIRE",IF(IF(AK459=1,Z459,IF(AK459=2,AE459,""))="A","RÉPARÉ – À RADIOGRAPHIER",IF(IF(AK459=1,Z459,IF(AK459=2,AE459,""))="R","VT REJETÉ – À REPRENDRE",IF(OR(AL459="CO",AL459="NT"),"COUPE – À RESOUDER","À RÉPARER"))))))))))</f>
        <v>À SOUDER</v>
      </c>
      <c r="AN459" s="81" t="str">
        <f aca="false">IF(AND(ISNUMBER(R459),OR(AM459="À RADIOGRAPHIER",AM459="RÉPARÉ – À RADIOGRAPHIER",AM459="NX – RT À REFAIRE",AM459="À RÉPARER",AM459="COUPE – À RESOUDER",AM459="VT REJETÉ – À REPRENDRE")),MAX(0,'PROGRAMME RT'!$C$4-R459),"")</f>
        <v/>
      </c>
      <c r="AO459" s="78" t="n">
        <f aca="false">IF(AND(OR(AM459="À RADIOGRAPHIER",AM459="RÉPARÉ – À RADIOGRAPHIER",AM459="NX – RT À REFAIRE"),OR('PROGRAMME RT'!$D$5="TOUTES",B459='PROGRAMME RT'!$D$5)),1,0)</f>
        <v>0</v>
      </c>
      <c r="AP459" s="78" t="str">
        <f aca="false">IF(AO459=1,SUM(AO$7:AO459),"")</f>
        <v/>
      </c>
      <c r="AQ459" s="78" t="n">
        <f aca="false">IF(AND(OR(X459="R",X459="NX",X459="NT",X459="CO"),OR('JOINTS DE RÉPARATION'!$D$5="TOUTES",B459='JOINTS DE RÉPARATION'!$D$5),OR('JOINTS DE RÉPARATION'!$L$4="TOUS",AM459&lt;&gt;"ACCEPTÉ")),1,0)</f>
        <v>0</v>
      </c>
      <c r="AR459" s="78" t="str">
        <f aca="false">IF(AQ459=1,SUM(AQ$7:AQ459),"")</f>
        <v/>
      </c>
    </row>
    <row r="460" customFormat="false" ht="15" hidden="false" customHeight="false" outlineLevel="0" collapsed="false">
      <c r="A460" s="78" t="n">
        <f aca="false">IF(E460="","",ROW()-6)</f>
        <v>454</v>
      </c>
      <c r="B460" s="79" t="s">
        <v>585</v>
      </c>
      <c r="C460" s="80"/>
      <c r="D460" s="80"/>
      <c r="E460" s="80" t="s">
        <v>232</v>
      </c>
      <c r="F460" s="80"/>
      <c r="G460" s="80" t="s">
        <v>106</v>
      </c>
      <c r="H460" s="80"/>
      <c r="I460" s="80"/>
      <c r="J460" s="80"/>
      <c r="K460" s="80"/>
      <c r="L460" s="81" t="str">
        <f aca="false">IF(K460="","",IFERROR(INDEX(BARDAGE!$C$7:$C$1506,MATCH(K460,BARDAGE!$B$7:$B$1506,0)),"? hors registre"))</f>
        <v/>
      </c>
      <c r="M460" s="80"/>
      <c r="N460" s="81" t="str">
        <f aca="false">IF(M460="","",IFERROR(INDEX(BARDAGE!$C$7:$C$1506,MATCH(M460,BARDAGE!$B$7:$B$1506,0)),"? hors registre"))</f>
        <v/>
      </c>
      <c r="O460" s="80"/>
      <c r="P460" s="80"/>
      <c r="Q460" s="80"/>
      <c r="R460" s="82"/>
      <c r="S460" s="82"/>
      <c r="T460" s="80"/>
      <c r="U460" s="80"/>
      <c r="V460" s="82"/>
      <c r="W460" s="80"/>
      <c r="X460" s="80"/>
      <c r="Y460" s="80"/>
      <c r="Z460" s="80"/>
      <c r="AA460" s="82"/>
      <c r="AB460" s="80"/>
      <c r="AC460" s="80"/>
      <c r="AD460" s="80"/>
      <c r="AE460" s="80"/>
      <c r="AF460" s="82"/>
      <c r="AG460" s="80"/>
      <c r="AH460" s="80"/>
      <c r="AI460" s="82"/>
      <c r="AJ460" s="79"/>
      <c r="AK460" s="78" t="n">
        <f aca="false">IF(E460="","",(X460&lt;&gt;"")+(AC460&lt;&gt;"")+(AH460&lt;&gt;""))</f>
        <v>0</v>
      </c>
      <c r="AL460" s="81" t="str">
        <f aca="false">IF(AH460&lt;&gt;"",AH460,IF(AC460&lt;&gt;"",AC460,IF(X460&lt;&gt;"",X460,"")))</f>
        <v/>
      </c>
      <c r="AM460" s="83" t="str">
        <f aca="false">IF(E460="","",IF(R460="","À SOUDER",IF(U460="","VT EN ATTENTE",IF(U460="R","VT REJETÉ – À REPRENDRE",IF(AL460="","À RADIOGRAPHIER",IF(AL460="A","ACCEPTÉ",IF(AL460="NX","NX – RT À REFAIRE",IF(IF(AK460=1,Z460,IF(AK460=2,AE460,""))="A","RÉPARÉ – À RADIOGRAPHIER",IF(IF(AK460=1,Z460,IF(AK460=2,AE460,""))="R","VT REJETÉ – À REPRENDRE",IF(OR(AL460="CO",AL460="NT"),"COUPE – À RESOUDER","À RÉPARER"))))))))))</f>
        <v>À SOUDER</v>
      </c>
      <c r="AN460" s="81" t="str">
        <f aca="false">IF(AND(ISNUMBER(R460),OR(AM460="À RADIOGRAPHIER",AM460="RÉPARÉ – À RADIOGRAPHIER",AM460="NX – RT À REFAIRE",AM460="À RÉPARER",AM460="COUPE – À RESOUDER",AM460="VT REJETÉ – À REPRENDRE")),MAX(0,'PROGRAMME RT'!$C$4-R460),"")</f>
        <v/>
      </c>
      <c r="AO460" s="78" t="n">
        <f aca="false">IF(AND(OR(AM460="À RADIOGRAPHIER",AM460="RÉPARÉ – À RADIOGRAPHIER",AM460="NX – RT À REFAIRE"),OR('PROGRAMME RT'!$D$5="TOUTES",B460='PROGRAMME RT'!$D$5)),1,0)</f>
        <v>0</v>
      </c>
      <c r="AP460" s="78" t="str">
        <f aca="false">IF(AO460=1,SUM(AO$7:AO460),"")</f>
        <v/>
      </c>
      <c r="AQ460" s="78" t="n">
        <f aca="false">IF(AND(OR(X460="R",X460="NX",X460="NT",X460="CO"),OR('JOINTS DE RÉPARATION'!$D$5="TOUTES",B460='JOINTS DE RÉPARATION'!$D$5),OR('JOINTS DE RÉPARATION'!$L$4="TOUS",AM460&lt;&gt;"ACCEPTÉ")),1,0)</f>
        <v>0</v>
      </c>
      <c r="AR460" s="78" t="str">
        <f aca="false">IF(AQ460=1,SUM(AQ$7:AQ460),"")</f>
        <v/>
      </c>
    </row>
    <row r="461" customFormat="false" ht="15" hidden="false" customHeight="false" outlineLevel="0" collapsed="false">
      <c r="A461" s="78" t="n">
        <f aca="false">IF(E461="","",ROW()-6)</f>
        <v>455</v>
      </c>
      <c r="B461" s="79" t="s">
        <v>585</v>
      </c>
      <c r="C461" s="80"/>
      <c r="D461" s="80"/>
      <c r="E461" s="80" t="s">
        <v>234</v>
      </c>
      <c r="F461" s="80"/>
      <c r="G461" s="80" t="s">
        <v>106</v>
      </c>
      <c r="H461" s="80"/>
      <c r="I461" s="80"/>
      <c r="J461" s="80"/>
      <c r="K461" s="80"/>
      <c r="L461" s="81" t="str">
        <f aca="false">IF(K461="","",IFERROR(INDEX(BARDAGE!$C$7:$C$1506,MATCH(K461,BARDAGE!$B$7:$B$1506,0)),"? hors registre"))</f>
        <v/>
      </c>
      <c r="M461" s="80"/>
      <c r="N461" s="81" t="str">
        <f aca="false">IF(M461="","",IFERROR(INDEX(BARDAGE!$C$7:$C$1506,MATCH(M461,BARDAGE!$B$7:$B$1506,0)),"? hors registre"))</f>
        <v/>
      </c>
      <c r="O461" s="80"/>
      <c r="P461" s="80"/>
      <c r="Q461" s="80"/>
      <c r="R461" s="82"/>
      <c r="S461" s="82"/>
      <c r="T461" s="80"/>
      <c r="U461" s="80"/>
      <c r="V461" s="82"/>
      <c r="W461" s="80"/>
      <c r="X461" s="80"/>
      <c r="Y461" s="80"/>
      <c r="Z461" s="80"/>
      <c r="AA461" s="82"/>
      <c r="AB461" s="80"/>
      <c r="AC461" s="80"/>
      <c r="AD461" s="80"/>
      <c r="AE461" s="80"/>
      <c r="AF461" s="82"/>
      <c r="AG461" s="80"/>
      <c r="AH461" s="80"/>
      <c r="AI461" s="82"/>
      <c r="AJ461" s="79"/>
      <c r="AK461" s="78" t="n">
        <f aca="false">IF(E461="","",(X461&lt;&gt;"")+(AC461&lt;&gt;"")+(AH461&lt;&gt;""))</f>
        <v>0</v>
      </c>
      <c r="AL461" s="81" t="str">
        <f aca="false">IF(AH461&lt;&gt;"",AH461,IF(AC461&lt;&gt;"",AC461,IF(X461&lt;&gt;"",X461,"")))</f>
        <v/>
      </c>
      <c r="AM461" s="83" t="str">
        <f aca="false">IF(E461="","",IF(R461="","À SOUDER",IF(U461="","VT EN ATTENTE",IF(U461="R","VT REJETÉ – À REPRENDRE",IF(AL461="","À RADIOGRAPHIER",IF(AL461="A","ACCEPTÉ",IF(AL461="NX","NX – RT À REFAIRE",IF(IF(AK461=1,Z461,IF(AK461=2,AE461,""))="A","RÉPARÉ – À RADIOGRAPHIER",IF(IF(AK461=1,Z461,IF(AK461=2,AE461,""))="R","VT REJETÉ – À REPRENDRE",IF(OR(AL461="CO",AL461="NT"),"COUPE – À RESOUDER","À RÉPARER"))))))))))</f>
        <v>À SOUDER</v>
      </c>
      <c r="AN461" s="81" t="str">
        <f aca="false">IF(AND(ISNUMBER(R461),OR(AM461="À RADIOGRAPHIER",AM461="RÉPARÉ – À RADIOGRAPHIER",AM461="NX – RT À REFAIRE",AM461="À RÉPARER",AM461="COUPE – À RESOUDER",AM461="VT REJETÉ – À REPRENDRE")),MAX(0,'PROGRAMME RT'!$C$4-R461),"")</f>
        <v/>
      </c>
      <c r="AO461" s="78" t="n">
        <f aca="false">IF(AND(OR(AM461="À RADIOGRAPHIER",AM461="RÉPARÉ – À RADIOGRAPHIER",AM461="NX – RT À REFAIRE"),OR('PROGRAMME RT'!$D$5="TOUTES",B461='PROGRAMME RT'!$D$5)),1,0)</f>
        <v>0</v>
      </c>
      <c r="AP461" s="78" t="str">
        <f aca="false">IF(AO461=1,SUM(AO$7:AO461),"")</f>
        <v/>
      </c>
      <c r="AQ461" s="78" t="n">
        <f aca="false">IF(AND(OR(X461="R",X461="NX",X461="NT",X461="CO"),OR('JOINTS DE RÉPARATION'!$D$5="TOUTES",B461='JOINTS DE RÉPARATION'!$D$5),OR('JOINTS DE RÉPARATION'!$L$4="TOUS",AM461&lt;&gt;"ACCEPTÉ")),1,0)</f>
        <v>0</v>
      </c>
      <c r="AR461" s="78" t="str">
        <f aca="false">IF(AQ461=1,SUM(AQ$7:AQ461),"")</f>
        <v/>
      </c>
    </row>
    <row r="462" customFormat="false" ht="15" hidden="false" customHeight="false" outlineLevel="0" collapsed="false">
      <c r="A462" s="78" t="n">
        <f aca="false">IF(E462="","",ROW()-6)</f>
        <v>456</v>
      </c>
      <c r="B462" s="79" t="s">
        <v>585</v>
      </c>
      <c r="C462" s="80"/>
      <c r="D462" s="80"/>
      <c r="E462" s="80" t="s">
        <v>236</v>
      </c>
      <c r="F462" s="80"/>
      <c r="G462" s="80" t="s">
        <v>106</v>
      </c>
      <c r="H462" s="80"/>
      <c r="I462" s="80"/>
      <c r="J462" s="80"/>
      <c r="K462" s="80"/>
      <c r="L462" s="81" t="str">
        <f aca="false">IF(K462="","",IFERROR(INDEX(BARDAGE!$C$7:$C$1506,MATCH(K462,BARDAGE!$B$7:$B$1506,0)),"? hors registre"))</f>
        <v/>
      </c>
      <c r="M462" s="80"/>
      <c r="N462" s="81" t="str">
        <f aca="false">IF(M462="","",IFERROR(INDEX(BARDAGE!$C$7:$C$1506,MATCH(M462,BARDAGE!$B$7:$B$1506,0)),"? hors registre"))</f>
        <v/>
      </c>
      <c r="O462" s="80"/>
      <c r="P462" s="80"/>
      <c r="Q462" s="80"/>
      <c r="R462" s="82"/>
      <c r="S462" s="82"/>
      <c r="T462" s="80"/>
      <c r="U462" s="80"/>
      <c r="V462" s="82"/>
      <c r="W462" s="80"/>
      <c r="X462" s="80"/>
      <c r="Y462" s="80"/>
      <c r="Z462" s="80"/>
      <c r="AA462" s="82"/>
      <c r="AB462" s="80"/>
      <c r="AC462" s="80"/>
      <c r="AD462" s="80"/>
      <c r="AE462" s="80"/>
      <c r="AF462" s="82"/>
      <c r="AG462" s="80"/>
      <c r="AH462" s="80"/>
      <c r="AI462" s="82"/>
      <c r="AJ462" s="79"/>
      <c r="AK462" s="78" t="n">
        <f aca="false">IF(E462="","",(X462&lt;&gt;"")+(AC462&lt;&gt;"")+(AH462&lt;&gt;""))</f>
        <v>0</v>
      </c>
      <c r="AL462" s="81" t="str">
        <f aca="false">IF(AH462&lt;&gt;"",AH462,IF(AC462&lt;&gt;"",AC462,IF(X462&lt;&gt;"",X462,"")))</f>
        <v/>
      </c>
      <c r="AM462" s="83" t="str">
        <f aca="false">IF(E462="","",IF(R462="","À SOUDER",IF(U462="","VT EN ATTENTE",IF(U462="R","VT REJETÉ – À REPRENDRE",IF(AL462="","À RADIOGRAPHIER",IF(AL462="A","ACCEPTÉ",IF(AL462="NX","NX – RT À REFAIRE",IF(IF(AK462=1,Z462,IF(AK462=2,AE462,""))="A","RÉPARÉ – À RADIOGRAPHIER",IF(IF(AK462=1,Z462,IF(AK462=2,AE462,""))="R","VT REJETÉ – À REPRENDRE",IF(OR(AL462="CO",AL462="NT"),"COUPE – À RESOUDER","À RÉPARER"))))))))))</f>
        <v>À SOUDER</v>
      </c>
      <c r="AN462" s="81" t="str">
        <f aca="false">IF(AND(ISNUMBER(R462),OR(AM462="À RADIOGRAPHIER",AM462="RÉPARÉ – À RADIOGRAPHIER",AM462="NX – RT À REFAIRE",AM462="À RÉPARER",AM462="COUPE – À RESOUDER",AM462="VT REJETÉ – À REPRENDRE")),MAX(0,'PROGRAMME RT'!$C$4-R462),"")</f>
        <v/>
      </c>
      <c r="AO462" s="78" t="n">
        <f aca="false">IF(AND(OR(AM462="À RADIOGRAPHIER",AM462="RÉPARÉ – À RADIOGRAPHIER",AM462="NX – RT À REFAIRE"),OR('PROGRAMME RT'!$D$5="TOUTES",B462='PROGRAMME RT'!$D$5)),1,0)</f>
        <v>0</v>
      </c>
      <c r="AP462" s="78" t="str">
        <f aca="false">IF(AO462=1,SUM(AO$7:AO462),"")</f>
        <v/>
      </c>
      <c r="AQ462" s="78" t="n">
        <f aca="false">IF(AND(OR(X462="R",X462="NX",X462="NT",X462="CO"),OR('JOINTS DE RÉPARATION'!$D$5="TOUTES",B462='JOINTS DE RÉPARATION'!$D$5),OR('JOINTS DE RÉPARATION'!$L$4="TOUS",AM462&lt;&gt;"ACCEPTÉ")),1,0)</f>
        <v>0</v>
      </c>
      <c r="AR462" s="78" t="str">
        <f aca="false">IF(AQ462=1,SUM(AQ$7:AQ462),"")</f>
        <v/>
      </c>
    </row>
    <row r="463" customFormat="false" ht="15" hidden="false" customHeight="false" outlineLevel="0" collapsed="false">
      <c r="A463" s="78" t="n">
        <f aca="false">IF(E463="","",ROW()-6)</f>
        <v>457</v>
      </c>
      <c r="B463" s="79" t="s">
        <v>585</v>
      </c>
      <c r="C463" s="80"/>
      <c r="D463" s="80"/>
      <c r="E463" s="80" t="s">
        <v>238</v>
      </c>
      <c r="F463" s="80"/>
      <c r="G463" s="80" t="s">
        <v>106</v>
      </c>
      <c r="H463" s="80"/>
      <c r="I463" s="80"/>
      <c r="J463" s="80"/>
      <c r="K463" s="80"/>
      <c r="L463" s="81" t="str">
        <f aca="false">IF(K463="","",IFERROR(INDEX(BARDAGE!$C$7:$C$1506,MATCH(K463,BARDAGE!$B$7:$B$1506,0)),"? hors registre"))</f>
        <v/>
      </c>
      <c r="M463" s="80"/>
      <c r="N463" s="81" t="str">
        <f aca="false">IF(M463="","",IFERROR(INDEX(BARDAGE!$C$7:$C$1506,MATCH(M463,BARDAGE!$B$7:$B$1506,0)),"? hors registre"))</f>
        <v/>
      </c>
      <c r="O463" s="80"/>
      <c r="P463" s="80"/>
      <c r="Q463" s="80"/>
      <c r="R463" s="82"/>
      <c r="S463" s="82"/>
      <c r="T463" s="80"/>
      <c r="U463" s="80"/>
      <c r="V463" s="82"/>
      <c r="W463" s="80"/>
      <c r="X463" s="80"/>
      <c r="Y463" s="80"/>
      <c r="Z463" s="80"/>
      <c r="AA463" s="82"/>
      <c r="AB463" s="80"/>
      <c r="AC463" s="80"/>
      <c r="AD463" s="80"/>
      <c r="AE463" s="80"/>
      <c r="AF463" s="82"/>
      <c r="AG463" s="80"/>
      <c r="AH463" s="80"/>
      <c r="AI463" s="82"/>
      <c r="AJ463" s="79"/>
      <c r="AK463" s="78" t="n">
        <f aca="false">IF(E463="","",(X463&lt;&gt;"")+(AC463&lt;&gt;"")+(AH463&lt;&gt;""))</f>
        <v>0</v>
      </c>
      <c r="AL463" s="81" t="str">
        <f aca="false">IF(AH463&lt;&gt;"",AH463,IF(AC463&lt;&gt;"",AC463,IF(X463&lt;&gt;"",X463,"")))</f>
        <v/>
      </c>
      <c r="AM463" s="83" t="str">
        <f aca="false">IF(E463="","",IF(R463="","À SOUDER",IF(U463="","VT EN ATTENTE",IF(U463="R","VT REJETÉ – À REPRENDRE",IF(AL463="","À RADIOGRAPHIER",IF(AL463="A","ACCEPTÉ",IF(AL463="NX","NX – RT À REFAIRE",IF(IF(AK463=1,Z463,IF(AK463=2,AE463,""))="A","RÉPARÉ – À RADIOGRAPHIER",IF(IF(AK463=1,Z463,IF(AK463=2,AE463,""))="R","VT REJETÉ – À REPRENDRE",IF(OR(AL463="CO",AL463="NT"),"COUPE – À RESOUDER","À RÉPARER"))))))))))</f>
        <v>À SOUDER</v>
      </c>
      <c r="AN463" s="81" t="str">
        <f aca="false">IF(AND(ISNUMBER(R463),OR(AM463="À RADIOGRAPHIER",AM463="RÉPARÉ – À RADIOGRAPHIER",AM463="NX – RT À REFAIRE",AM463="À RÉPARER",AM463="COUPE – À RESOUDER",AM463="VT REJETÉ – À REPRENDRE")),MAX(0,'PROGRAMME RT'!$C$4-R463),"")</f>
        <v/>
      </c>
      <c r="AO463" s="78" t="n">
        <f aca="false">IF(AND(OR(AM463="À RADIOGRAPHIER",AM463="RÉPARÉ – À RADIOGRAPHIER",AM463="NX – RT À REFAIRE"),OR('PROGRAMME RT'!$D$5="TOUTES",B463='PROGRAMME RT'!$D$5)),1,0)</f>
        <v>0</v>
      </c>
      <c r="AP463" s="78" t="str">
        <f aca="false">IF(AO463=1,SUM(AO$7:AO463),"")</f>
        <v/>
      </c>
      <c r="AQ463" s="78" t="n">
        <f aca="false">IF(AND(OR(X463="R",X463="NX",X463="NT",X463="CO"),OR('JOINTS DE RÉPARATION'!$D$5="TOUTES",B463='JOINTS DE RÉPARATION'!$D$5),OR('JOINTS DE RÉPARATION'!$L$4="TOUS",AM463&lt;&gt;"ACCEPTÉ")),1,0)</f>
        <v>0</v>
      </c>
      <c r="AR463" s="78" t="str">
        <f aca="false">IF(AQ463=1,SUM(AQ$7:AQ463),"")</f>
        <v/>
      </c>
    </row>
    <row r="464" customFormat="false" ht="15" hidden="false" customHeight="false" outlineLevel="0" collapsed="false">
      <c r="A464" s="78" t="n">
        <f aca="false">IF(E464="","",ROW()-6)</f>
        <v>458</v>
      </c>
      <c r="B464" s="79" t="s">
        <v>585</v>
      </c>
      <c r="C464" s="80"/>
      <c r="D464" s="80"/>
      <c r="E464" s="80" t="s">
        <v>240</v>
      </c>
      <c r="F464" s="80"/>
      <c r="G464" s="80" t="s">
        <v>106</v>
      </c>
      <c r="H464" s="80"/>
      <c r="I464" s="80"/>
      <c r="J464" s="80"/>
      <c r="K464" s="80"/>
      <c r="L464" s="81" t="str">
        <f aca="false">IF(K464="","",IFERROR(INDEX(BARDAGE!$C$7:$C$1506,MATCH(K464,BARDAGE!$B$7:$B$1506,0)),"? hors registre"))</f>
        <v/>
      </c>
      <c r="M464" s="80"/>
      <c r="N464" s="81" t="str">
        <f aca="false">IF(M464="","",IFERROR(INDEX(BARDAGE!$C$7:$C$1506,MATCH(M464,BARDAGE!$B$7:$B$1506,0)),"? hors registre"))</f>
        <v/>
      </c>
      <c r="O464" s="80"/>
      <c r="P464" s="80"/>
      <c r="Q464" s="80"/>
      <c r="R464" s="82"/>
      <c r="S464" s="82"/>
      <c r="T464" s="80"/>
      <c r="U464" s="80"/>
      <c r="V464" s="82"/>
      <c r="W464" s="80"/>
      <c r="X464" s="80"/>
      <c r="Y464" s="80"/>
      <c r="Z464" s="80"/>
      <c r="AA464" s="82"/>
      <c r="AB464" s="80"/>
      <c r="AC464" s="80"/>
      <c r="AD464" s="80"/>
      <c r="AE464" s="80"/>
      <c r="AF464" s="82"/>
      <c r="AG464" s="80"/>
      <c r="AH464" s="80"/>
      <c r="AI464" s="82"/>
      <c r="AJ464" s="79"/>
      <c r="AK464" s="78" t="n">
        <f aca="false">IF(E464="","",(X464&lt;&gt;"")+(AC464&lt;&gt;"")+(AH464&lt;&gt;""))</f>
        <v>0</v>
      </c>
      <c r="AL464" s="81" t="str">
        <f aca="false">IF(AH464&lt;&gt;"",AH464,IF(AC464&lt;&gt;"",AC464,IF(X464&lt;&gt;"",X464,"")))</f>
        <v/>
      </c>
      <c r="AM464" s="83" t="str">
        <f aca="false">IF(E464="","",IF(R464="","À SOUDER",IF(U464="","VT EN ATTENTE",IF(U464="R","VT REJETÉ – À REPRENDRE",IF(AL464="","À RADIOGRAPHIER",IF(AL464="A","ACCEPTÉ",IF(AL464="NX","NX – RT À REFAIRE",IF(IF(AK464=1,Z464,IF(AK464=2,AE464,""))="A","RÉPARÉ – À RADIOGRAPHIER",IF(IF(AK464=1,Z464,IF(AK464=2,AE464,""))="R","VT REJETÉ – À REPRENDRE",IF(OR(AL464="CO",AL464="NT"),"COUPE – À RESOUDER","À RÉPARER"))))))))))</f>
        <v>À SOUDER</v>
      </c>
      <c r="AN464" s="81" t="str">
        <f aca="false">IF(AND(ISNUMBER(R464),OR(AM464="À RADIOGRAPHIER",AM464="RÉPARÉ – À RADIOGRAPHIER",AM464="NX – RT À REFAIRE",AM464="À RÉPARER",AM464="COUPE – À RESOUDER",AM464="VT REJETÉ – À REPRENDRE")),MAX(0,'PROGRAMME RT'!$C$4-R464),"")</f>
        <v/>
      </c>
      <c r="AO464" s="78" t="n">
        <f aca="false">IF(AND(OR(AM464="À RADIOGRAPHIER",AM464="RÉPARÉ – À RADIOGRAPHIER",AM464="NX – RT À REFAIRE"),OR('PROGRAMME RT'!$D$5="TOUTES",B464='PROGRAMME RT'!$D$5)),1,0)</f>
        <v>0</v>
      </c>
      <c r="AP464" s="78" t="str">
        <f aca="false">IF(AO464=1,SUM(AO$7:AO464),"")</f>
        <v/>
      </c>
      <c r="AQ464" s="78" t="n">
        <f aca="false">IF(AND(OR(X464="R",X464="NX",X464="NT",X464="CO"),OR('JOINTS DE RÉPARATION'!$D$5="TOUTES",B464='JOINTS DE RÉPARATION'!$D$5),OR('JOINTS DE RÉPARATION'!$L$4="TOUS",AM464&lt;&gt;"ACCEPTÉ")),1,0)</f>
        <v>0</v>
      </c>
      <c r="AR464" s="78" t="str">
        <f aca="false">IF(AQ464=1,SUM(AQ$7:AQ464),"")</f>
        <v/>
      </c>
    </row>
    <row r="465" customFormat="false" ht="15" hidden="false" customHeight="false" outlineLevel="0" collapsed="false">
      <c r="A465" s="78" t="n">
        <f aca="false">IF(E465="","",ROW()-6)</f>
        <v>459</v>
      </c>
      <c r="B465" s="79" t="s">
        <v>585</v>
      </c>
      <c r="C465" s="80"/>
      <c r="D465" s="80"/>
      <c r="E465" s="80" t="s">
        <v>243</v>
      </c>
      <c r="F465" s="80"/>
      <c r="G465" s="80" t="s">
        <v>106</v>
      </c>
      <c r="H465" s="80"/>
      <c r="I465" s="80"/>
      <c r="J465" s="80"/>
      <c r="K465" s="80"/>
      <c r="L465" s="81" t="str">
        <f aca="false">IF(K465="","",IFERROR(INDEX(BARDAGE!$C$7:$C$1506,MATCH(K465,BARDAGE!$B$7:$B$1506,0)),"? hors registre"))</f>
        <v/>
      </c>
      <c r="M465" s="80"/>
      <c r="N465" s="81" t="str">
        <f aca="false">IF(M465="","",IFERROR(INDEX(BARDAGE!$C$7:$C$1506,MATCH(M465,BARDAGE!$B$7:$B$1506,0)),"? hors registre"))</f>
        <v/>
      </c>
      <c r="O465" s="80"/>
      <c r="P465" s="80"/>
      <c r="Q465" s="80"/>
      <c r="R465" s="82"/>
      <c r="S465" s="82"/>
      <c r="T465" s="80"/>
      <c r="U465" s="80"/>
      <c r="V465" s="82"/>
      <c r="W465" s="80"/>
      <c r="X465" s="80"/>
      <c r="Y465" s="80"/>
      <c r="Z465" s="80"/>
      <c r="AA465" s="82"/>
      <c r="AB465" s="80"/>
      <c r="AC465" s="80"/>
      <c r="AD465" s="80"/>
      <c r="AE465" s="80"/>
      <c r="AF465" s="82"/>
      <c r="AG465" s="80"/>
      <c r="AH465" s="80"/>
      <c r="AI465" s="82"/>
      <c r="AJ465" s="79"/>
      <c r="AK465" s="78" t="n">
        <f aca="false">IF(E465="","",(X465&lt;&gt;"")+(AC465&lt;&gt;"")+(AH465&lt;&gt;""))</f>
        <v>0</v>
      </c>
      <c r="AL465" s="81" t="str">
        <f aca="false">IF(AH465&lt;&gt;"",AH465,IF(AC465&lt;&gt;"",AC465,IF(X465&lt;&gt;"",X465,"")))</f>
        <v/>
      </c>
      <c r="AM465" s="83" t="str">
        <f aca="false">IF(E465="","",IF(R465="","À SOUDER",IF(U465="","VT EN ATTENTE",IF(U465="R","VT REJETÉ – À REPRENDRE",IF(AL465="","À RADIOGRAPHIER",IF(AL465="A","ACCEPTÉ",IF(AL465="NX","NX – RT À REFAIRE",IF(IF(AK465=1,Z465,IF(AK465=2,AE465,""))="A","RÉPARÉ – À RADIOGRAPHIER",IF(IF(AK465=1,Z465,IF(AK465=2,AE465,""))="R","VT REJETÉ – À REPRENDRE",IF(OR(AL465="CO",AL465="NT"),"COUPE – À RESOUDER","À RÉPARER"))))))))))</f>
        <v>À SOUDER</v>
      </c>
      <c r="AN465" s="81" t="str">
        <f aca="false">IF(AND(ISNUMBER(R465),OR(AM465="À RADIOGRAPHIER",AM465="RÉPARÉ – À RADIOGRAPHIER",AM465="NX – RT À REFAIRE",AM465="À RÉPARER",AM465="COUPE – À RESOUDER",AM465="VT REJETÉ – À REPRENDRE")),MAX(0,'PROGRAMME RT'!$C$4-R465),"")</f>
        <v/>
      </c>
      <c r="AO465" s="78" t="n">
        <f aca="false">IF(AND(OR(AM465="À RADIOGRAPHIER",AM465="RÉPARÉ – À RADIOGRAPHIER",AM465="NX – RT À REFAIRE"),OR('PROGRAMME RT'!$D$5="TOUTES",B465='PROGRAMME RT'!$D$5)),1,0)</f>
        <v>0</v>
      </c>
      <c r="AP465" s="78" t="str">
        <f aca="false">IF(AO465=1,SUM(AO$7:AO465),"")</f>
        <v/>
      </c>
      <c r="AQ465" s="78" t="n">
        <f aca="false">IF(AND(OR(X465="R",X465="NX",X465="NT",X465="CO"),OR('JOINTS DE RÉPARATION'!$D$5="TOUTES",B465='JOINTS DE RÉPARATION'!$D$5),OR('JOINTS DE RÉPARATION'!$L$4="TOUS",AM465&lt;&gt;"ACCEPTÉ")),1,0)</f>
        <v>0</v>
      </c>
      <c r="AR465" s="78" t="str">
        <f aca="false">IF(AQ465=1,SUM(AQ$7:AQ465),"")</f>
        <v/>
      </c>
    </row>
    <row r="466" customFormat="false" ht="15" hidden="false" customHeight="false" outlineLevel="0" collapsed="false">
      <c r="A466" s="78" t="n">
        <f aca="false">IF(E466="","",ROW()-6)</f>
        <v>460</v>
      </c>
      <c r="B466" s="79" t="s">
        <v>585</v>
      </c>
      <c r="C466" s="80"/>
      <c r="D466" s="80"/>
      <c r="E466" s="80" t="s">
        <v>245</v>
      </c>
      <c r="F466" s="80"/>
      <c r="G466" s="80" t="s">
        <v>106</v>
      </c>
      <c r="H466" s="80"/>
      <c r="I466" s="80"/>
      <c r="J466" s="80"/>
      <c r="K466" s="80"/>
      <c r="L466" s="81" t="str">
        <f aca="false">IF(K466="","",IFERROR(INDEX(BARDAGE!$C$7:$C$1506,MATCH(K466,BARDAGE!$B$7:$B$1506,0)),"? hors registre"))</f>
        <v/>
      </c>
      <c r="M466" s="80"/>
      <c r="N466" s="81" t="str">
        <f aca="false">IF(M466="","",IFERROR(INDEX(BARDAGE!$C$7:$C$1506,MATCH(M466,BARDAGE!$B$7:$B$1506,0)),"? hors registre"))</f>
        <v/>
      </c>
      <c r="O466" s="80"/>
      <c r="P466" s="80"/>
      <c r="Q466" s="80"/>
      <c r="R466" s="82"/>
      <c r="S466" s="82"/>
      <c r="T466" s="80"/>
      <c r="U466" s="80"/>
      <c r="V466" s="82"/>
      <c r="W466" s="80"/>
      <c r="X466" s="80"/>
      <c r="Y466" s="80"/>
      <c r="Z466" s="80"/>
      <c r="AA466" s="82"/>
      <c r="AB466" s="80"/>
      <c r="AC466" s="80"/>
      <c r="AD466" s="80"/>
      <c r="AE466" s="80"/>
      <c r="AF466" s="82"/>
      <c r="AG466" s="80"/>
      <c r="AH466" s="80"/>
      <c r="AI466" s="82"/>
      <c r="AJ466" s="79"/>
      <c r="AK466" s="78" t="n">
        <f aca="false">IF(E466="","",(X466&lt;&gt;"")+(AC466&lt;&gt;"")+(AH466&lt;&gt;""))</f>
        <v>0</v>
      </c>
      <c r="AL466" s="81" t="str">
        <f aca="false">IF(AH466&lt;&gt;"",AH466,IF(AC466&lt;&gt;"",AC466,IF(X466&lt;&gt;"",X466,"")))</f>
        <v/>
      </c>
      <c r="AM466" s="83" t="str">
        <f aca="false">IF(E466="","",IF(R466="","À SOUDER",IF(U466="","VT EN ATTENTE",IF(U466="R","VT REJETÉ – À REPRENDRE",IF(AL466="","À RADIOGRAPHIER",IF(AL466="A","ACCEPTÉ",IF(AL466="NX","NX – RT À REFAIRE",IF(IF(AK466=1,Z466,IF(AK466=2,AE466,""))="A","RÉPARÉ – À RADIOGRAPHIER",IF(IF(AK466=1,Z466,IF(AK466=2,AE466,""))="R","VT REJETÉ – À REPRENDRE",IF(OR(AL466="CO",AL466="NT"),"COUPE – À RESOUDER","À RÉPARER"))))))))))</f>
        <v>À SOUDER</v>
      </c>
      <c r="AN466" s="81" t="str">
        <f aca="false">IF(AND(ISNUMBER(R466),OR(AM466="À RADIOGRAPHIER",AM466="RÉPARÉ – À RADIOGRAPHIER",AM466="NX – RT À REFAIRE",AM466="À RÉPARER",AM466="COUPE – À RESOUDER",AM466="VT REJETÉ – À REPRENDRE")),MAX(0,'PROGRAMME RT'!$C$4-R466),"")</f>
        <v/>
      </c>
      <c r="AO466" s="78" t="n">
        <f aca="false">IF(AND(OR(AM466="À RADIOGRAPHIER",AM466="RÉPARÉ – À RADIOGRAPHIER",AM466="NX – RT À REFAIRE"),OR('PROGRAMME RT'!$D$5="TOUTES",B466='PROGRAMME RT'!$D$5)),1,0)</f>
        <v>0</v>
      </c>
      <c r="AP466" s="78" t="str">
        <f aca="false">IF(AO466=1,SUM(AO$7:AO466),"")</f>
        <v/>
      </c>
      <c r="AQ466" s="78" t="n">
        <f aca="false">IF(AND(OR(X466="R",X466="NX",X466="NT",X466="CO"),OR('JOINTS DE RÉPARATION'!$D$5="TOUTES",B466='JOINTS DE RÉPARATION'!$D$5),OR('JOINTS DE RÉPARATION'!$L$4="TOUS",AM466&lt;&gt;"ACCEPTÉ")),1,0)</f>
        <v>0</v>
      </c>
      <c r="AR466" s="78" t="str">
        <f aca="false">IF(AQ466=1,SUM(AQ$7:AQ466),"")</f>
        <v/>
      </c>
    </row>
    <row r="467" customFormat="false" ht="15" hidden="false" customHeight="false" outlineLevel="0" collapsed="false">
      <c r="A467" s="78" t="n">
        <f aca="false">IF(E467="","",ROW()-6)</f>
        <v>461</v>
      </c>
      <c r="B467" s="79" t="s">
        <v>585</v>
      </c>
      <c r="C467" s="80"/>
      <c r="D467" s="80"/>
      <c r="E467" s="80" t="s">
        <v>247</v>
      </c>
      <c r="F467" s="80"/>
      <c r="G467" s="80" t="s">
        <v>106</v>
      </c>
      <c r="H467" s="80"/>
      <c r="I467" s="80"/>
      <c r="J467" s="80"/>
      <c r="K467" s="80"/>
      <c r="L467" s="81" t="str">
        <f aca="false">IF(K467="","",IFERROR(INDEX(BARDAGE!$C$7:$C$1506,MATCH(K467,BARDAGE!$B$7:$B$1506,0)),"? hors registre"))</f>
        <v/>
      </c>
      <c r="M467" s="80"/>
      <c r="N467" s="81" t="str">
        <f aca="false">IF(M467="","",IFERROR(INDEX(BARDAGE!$C$7:$C$1506,MATCH(M467,BARDAGE!$B$7:$B$1506,0)),"? hors registre"))</f>
        <v/>
      </c>
      <c r="O467" s="80"/>
      <c r="P467" s="80"/>
      <c r="Q467" s="80"/>
      <c r="R467" s="82"/>
      <c r="S467" s="82"/>
      <c r="T467" s="80"/>
      <c r="U467" s="80"/>
      <c r="V467" s="82"/>
      <c r="W467" s="80"/>
      <c r="X467" s="80"/>
      <c r="Y467" s="80"/>
      <c r="Z467" s="80"/>
      <c r="AA467" s="82"/>
      <c r="AB467" s="80"/>
      <c r="AC467" s="80"/>
      <c r="AD467" s="80"/>
      <c r="AE467" s="80"/>
      <c r="AF467" s="82"/>
      <c r="AG467" s="80"/>
      <c r="AH467" s="80"/>
      <c r="AI467" s="82"/>
      <c r="AJ467" s="79"/>
      <c r="AK467" s="78" t="n">
        <f aca="false">IF(E467="","",(X467&lt;&gt;"")+(AC467&lt;&gt;"")+(AH467&lt;&gt;""))</f>
        <v>0</v>
      </c>
      <c r="AL467" s="81" t="str">
        <f aca="false">IF(AH467&lt;&gt;"",AH467,IF(AC467&lt;&gt;"",AC467,IF(X467&lt;&gt;"",X467,"")))</f>
        <v/>
      </c>
      <c r="AM467" s="83" t="str">
        <f aca="false">IF(E467="","",IF(R467="","À SOUDER",IF(U467="","VT EN ATTENTE",IF(U467="R","VT REJETÉ – À REPRENDRE",IF(AL467="","À RADIOGRAPHIER",IF(AL467="A","ACCEPTÉ",IF(AL467="NX","NX – RT À REFAIRE",IF(IF(AK467=1,Z467,IF(AK467=2,AE467,""))="A","RÉPARÉ – À RADIOGRAPHIER",IF(IF(AK467=1,Z467,IF(AK467=2,AE467,""))="R","VT REJETÉ – À REPRENDRE",IF(OR(AL467="CO",AL467="NT"),"COUPE – À RESOUDER","À RÉPARER"))))))))))</f>
        <v>À SOUDER</v>
      </c>
      <c r="AN467" s="81" t="str">
        <f aca="false">IF(AND(ISNUMBER(R467),OR(AM467="À RADIOGRAPHIER",AM467="RÉPARÉ – À RADIOGRAPHIER",AM467="NX – RT À REFAIRE",AM467="À RÉPARER",AM467="COUPE – À RESOUDER",AM467="VT REJETÉ – À REPRENDRE")),MAX(0,'PROGRAMME RT'!$C$4-R467),"")</f>
        <v/>
      </c>
      <c r="AO467" s="78" t="n">
        <f aca="false">IF(AND(OR(AM467="À RADIOGRAPHIER",AM467="RÉPARÉ – À RADIOGRAPHIER",AM467="NX – RT À REFAIRE"),OR('PROGRAMME RT'!$D$5="TOUTES",B467='PROGRAMME RT'!$D$5)),1,0)</f>
        <v>0</v>
      </c>
      <c r="AP467" s="78" t="str">
        <f aca="false">IF(AO467=1,SUM(AO$7:AO467),"")</f>
        <v/>
      </c>
      <c r="AQ467" s="78" t="n">
        <f aca="false">IF(AND(OR(X467="R",X467="NX",X467="NT",X467="CO"),OR('JOINTS DE RÉPARATION'!$D$5="TOUTES",B467='JOINTS DE RÉPARATION'!$D$5),OR('JOINTS DE RÉPARATION'!$L$4="TOUS",AM467&lt;&gt;"ACCEPTÉ")),1,0)</f>
        <v>0</v>
      </c>
      <c r="AR467" s="78" t="str">
        <f aca="false">IF(AQ467=1,SUM(AQ$7:AQ467),"")</f>
        <v/>
      </c>
    </row>
    <row r="468" customFormat="false" ht="15" hidden="false" customHeight="false" outlineLevel="0" collapsed="false">
      <c r="A468" s="78" t="n">
        <f aca="false">IF(E468="","",ROW()-6)</f>
        <v>462</v>
      </c>
      <c r="B468" s="79" t="s">
        <v>585</v>
      </c>
      <c r="C468" s="80"/>
      <c r="D468" s="80"/>
      <c r="E468" s="80" t="s">
        <v>250</v>
      </c>
      <c r="F468" s="80"/>
      <c r="G468" s="80" t="s">
        <v>106</v>
      </c>
      <c r="H468" s="80"/>
      <c r="I468" s="80"/>
      <c r="J468" s="80"/>
      <c r="K468" s="80"/>
      <c r="L468" s="81" t="str">
        <f aca="false">IF(K468="","",IFERROR(INDEX(BARDAGE!$C$7:$C$1506,MATCH(K468,BARDAGE!$B$7:$B$1506,0)),"? hors registre"))</f>
        <v/>
      </c>
      <c r="M468" s="80"/>
      <c r="N468" s="81" t="str">
        <f aca="false">IF(M468="","",IFERROR(INDEX(BARDAGE!$C$7:$C$1506,MATCH(M468,BARDAGE!$B$7:$B$1506,0)),"? hors registre"))</f>
        <v/>
      </c>
      <c r="O468" s="80"/>
      <c r="P468" s="80"/>
      <c r="Q468" s="80"/>
      <c r="R468" s="82"/>
      <c r="S468" s="82"/>
      <c r="T468" s="80"/>
      <c r="U468" s="80"/>
      <c r="V468" s="82"/>
      <c r="W468" s="80"/>
      <c r="X468" s="80"/>
      <c r="Y468" s="80"/>
      <c r="Z468" s="80"/>
      <c r="AA468" s="82"/>
      <c r="AB468" s="80"/>
      <c r="AC468" s="80"/>
      <c r="AD468" s="80"/>
      <c r="AE468" s="80"/>
      <c r="AF468" s="82"/>
      <c r="AG468" s="80"/>
      <c r="AH468" s="80"/>
      <c r="AI468" s="82"/>
      <c r="AJ468" s="79"/>
      <c r="AK468" s="78" t="n">
        <f aca="false">IF(E468="","",(X468&lt;&gt;"")+(AC468&lt;&gt;"")+(AH468&lt;&gt;""))</f>
        <v>0</v>
      </c>
      <c r="AL468" s="81" t="str">
        <f aca="false">IF(AH468&lt;&gt;"",AH468,IF(AC468&lt;&gt;"",AC468,IF(X468&lt;&gt;"",X468,"")))</f>
        <v/>
      </c>
      <c r="AM468" s="83" t="str">
        <f aca="false">IF(E468="","",IF(R468="","À SOUDER",IF(U468="","VT EN ATTENTE",IF(U468="R","VT REJETÉ – À REPRENDRE",IF(AL468="","À RADIOGRAPHIER",IF(AL468="A","ACCEPTÉ",IF(AL468="NX","NX – RT À REFAIRE",IF(IF(AK468=1,Z468,IF(AK468=2,AE468,""))="A","RÉPARÉ – À RADIOGRAPHIER",IF(IF(AK468=1,Z468,IF(AK468=2,AE468,""))="R","VT REJETÉ – À REPRENDRE",IF(OR(AL468="CO",AL468="NT"),"COUPE – À RESOUDER","À RÉPARER"))))))))))</f>
        <v>À SOUDER</v>
      </c>
      <c r="AN468" s="81" t="str">
        <f aca="false">IF(AND(ISNUMBER(R468),OR(AM468="À RADIOGRAPHIER",AM468="RÉPARÉ – À RADIOGRAPHIER",AM468="NX – RT À REFAIRE",AM468="À RÉPARER",AM468="COUPE – À RESOUDER",AM468="VT REJETÉ – À REPRENDRE")),MAX(0,'PROGRAMME RT'!$C$4-R468),"")</f>
        <v/>
      </c>
      <c r="AO468" s="78" t="n">
        <f aca="false">IF(AND(OR(AM468="À RADIOGRAPHIER",AM468="RÉPARÉ – À RADIOGRAPHIER",AM468="NX – RT À REFAIRE"),OR('PROGRAMME RT'!$D$5="TOUTES",B468='PROGRAMME RT'!$D$5)),1,0)</f>
        <v>0</v>
      </c>
      <c r="AP468" s="78" t="str">
        <f aca="false">IF(AO468=1,SUM(AO$7:AO468),"")</f>
        <v/>
      </c>
      <c r="AQ468" s="78" t="n">
        <f aca="false">IF(AND(OR(X468="R",X468="NX",X468="NT",X468="CO"),OR('JOINTS DE RÉPARATION'!$D$5="TOUTES",B468='JOINTS DE RÉPARATION'!$D$5),OR('JOINTS DE RÉPARATION'!$L$4="TOUS",AM468&lt;&gt;"ACCEPTÉ")),1,0)</f>
        <v>0</v>
      </c>
      <c r="AR468" s="78" t="str">
        <f aca="false">IF(AQ468=1,SUM(AQ$7:AQ468),"")</f>
        <v/>
      </c>
    </row>
    <row r="469" customFormat="false" ht="15" hidden="false" customHeight="false" outlineLevel="0" collapsed="false">
      <c r="A469" s="78" t="n">
        <f aca="false">IF(E469="","",ROW()-6)</f>
        <v>463</v>
      </c>
      <c r="B469" s="79" t="s">
        <v>585</v>
      </c>
      <c r="C469" s="80"/>
      <c r="D469" s="80"/>
      <c r="E469" s="80" t="s">
        <v>252</v>
      </c>
      <c r="F469" s="80"/>
      <c r="G469" s="80" t="s">
        <v>106</v>
      </c>
      <c r="H469" s="80"/>
      <c r="I469" s="80"/>
      <c r="J469" s="80"/>
      <c r="K469" s="80"/>
      <c r="L469" s="81" t="str">
        <f aca="false">IF(K469="","",IFERROR(INDEX(BARDAGE!$C$7:$C$1506,MATCH(K469,BARDAGE!$B$7:$B$1506,0)),"? hors registre"))</f>
        <v/>
      </c>
      <c r="M469" s="80"/>
      <c r="N469" s="81" t="str">
        <f aca="false">IF(M469="","",IFERROR(INDEX(BARDAGE!$C$7:$C$1506,MATCH(M469,BARDAGE!$B$7:$B$1506,0)),"? hors registre"))</f>
        <v/>
      </c>
      <c r="O469" s="80"/>
      <c r="P469" s="80"/>
      <c r="Q469" s="80"/>
      <c r="R469" s="82"/>
      <c r="S469" s="82"/>
      <c r="T469" s="80"/>
      <c r="U469" s="80"/>
      <c r="V469" s="82"/>
      <c r="W469" s="80"/>
      <c r="X469" s="80"/>
      <c r="Y469" s="80"/>
      <c r="Z469" s="80"/>
      <c r="AA469" s="82"/>
      <c r="AB469" s="80"/>
      <c r="AC469" s="80"/>
      <c r="AD469" s="80"/>
      <c r="AE469" s="80"/>
      <c r="AF469" s="82"/>
      <c r="AG469" s="80"/>
      <c r="AH469" s="80"/>
      <c r="AI469" s="82"/>
      <c r="AJ469" s="79"/>
      <c r="AK469" s="78" t="n">
        <f aca="false">IF(E469="","",(X469&lt;&gt;"")+(AC469&lt;&gt;"")+(AH469&lt;&gt;""))</f>
        <v>0</v>
      </c>
      <c r="AL469" s="81" t="str">
        <f aca="false">IF(AH469&lt;&gt;"",AH469,IF(AC469&lt;&gt;"",AC469,IF(X469&lt;&gt;"",X469,"")))</f>
        <v/>
      </c>
      <c r="AM469" s="83" t="str">
        <f aca="false">IF(E469="","",IF(R469="","À SOUDER",IF(U469="","VT EN ATTENTE",IF(U469="R","VT REJETÉ – À REPRENDRE",IF(AL469="","À RADIOGRAPHIER",IF(AL469="A","ACCEPTÉ",IF(AL469="NX","NX – RT À REFAIRE",IF(IF(AK469=1,Z469,IF(AK469=2,AE469,""))="A","RÉPARÉ – À RADIOGRAPHIER",IF(IF(AK469=1,Z469,IF(AK469=2,AE469,""))="R","VT REJETÉ – À REPRENDRE",IF(OR(AL469="CO",AL469="NT"),"COUPE – À RESOUDER","À RÉPARER"))))))))))</f>
        <v>À SOUDER</v>
      </c>
      <c r="AN469" s="81" t="str">
        <f aca="false">IF(AND(ISNUMBER(R469),OR(AM469="À RADIOGRAPHIER",AM469="RÉPARÉ – À RADIOGRAPHIER",AM469="NX – RT À REFAIRE",AM469="À RÉPARER",AM469="COUPE – À RESOUDER",AM469="VT REJETÉ – À REPRENDRE")),MAX(0,'PROGRAMME RT'!$C$4-R469),"")</f>
        <v/>
      </c>
      <c r="AO469" s="78" t="n">
        <f aca="false">IF(AND(OR(AM469="À RADIOGRAPHIER",AM469="RÉPARÉ – À RADIOGRAPHIER",AM469="NX – RT À REFAIRE"),OR('PROGRAMME RT'!$D$5="TOUTES",B469='PROGRAMME RT'!$D$5)),1,0)</f>
        <v>0</v>
      </c>
      <c r="AP469" s="78" t="str">
        <f aca="false">IF(AO469=1,SUM(AO$7:AO469),"")</f>
        <v/>
      </c>
      <c r="AQ469" s="78" t="n">
        <f aca="false">IF(AND(OR(X469="R",X469="NX",X469="NT",X469="CO"),OR('JOINTS DE RÉPARATION'!$D$5="TOUTES",B469='JOINTS DE RÉPARATION'!$D$5),OR('JOINTS DE RÉPARATION'!$L$4="TOUS",AM469&lt;&gt;"ACCEPTÉ")),1,0)</f>
        <v>0</v>
      </c>
      <c r="AR469" s="78" t="str">
        <f aca="false">IF(AQ469=1,SUM(AQ$7:AQ469),"")</f>
        <v/>
      </c>
    </row>
    <row r="470" customFormat="false" ht="15" hidden="false" customHeight="false" outlineLevel="0" collapsed="false">
      <c r="A470" s="78" t="n">
        <f aca="false">IF(E470="","",ROW()-6)</f>
        <v>464</v>
      </c>
      <c r="B470" s="79" t="s">
        <v>585</v>
      </c>
      <c r="C470" s="80"/>
      <c r="D470" s="80"/>
      <c r="E470" s="80" t="s">
        <v>254</v>
      </c>
      <c r="F470" s="80"/>
      <c r="G470" s="80" t="s">
        <v>106</v>
      </c>
      <c r="H470" s="80"/>
      <c r="I470" s="80"/>
      <c r="J470" s="80"/>
      <c r="K470" s="80"/>
      <c r="L470" s="81" t="str">
        <f aca="false">IF(K470="","",IFERROR(INDEX(BARDAGE!$C$7:$C$1506,MATCH(K470,BARDAGE!$B$7:$B$1506,0)),"? hors registre"))</f>
        <v/>
      </c>
      <c r="M470" s="80"/>
      <c r="N470" s="81" t="str">
        <f aca="false">IF(M470="","",IFERROR(INDEX(BARDAGE!$C$7:$C$1506,MATCH(M470,BARDAGE!$B$7:$B$1506,0)),"? hors registre"))</f>
        <v/>
      </c>
      <c r="O470" s="80"/>
      <c r="P470" s="80"/>
      <c r="Q470" s="80"/>
      <c r="R470" s="82"/>
      <c r="S470" s="82"/>
      <c r="T470" s="80"/>
      <c r="U470" s="80"/>
      <c r="V470" s="82"/>
      <c r="W470" s="80"/>
      <c r="X470" s="80"/>
      <c r="Y470" s="80"/>
      <c r="Z470" s="80"/>
      <c r="AA470" s="82"/>
      <c r="AB470" s="80"/>
      <c r="AC470" s="80"/>
      <c r="AD470" s="80"/>
      <c r="AE470" s="80"/>
      <c r="AF470" s="82"/>
      <c r="AG470" s="80"/>
      <c r="AH470" s="80"/>
      <c r="AI470" s="82"/>
      <c r="AJ470" s="79"/>
      <c r="AK470" s="78" t="n">
        <f aca="false">IF(E470="","",(X470&lt;&gt;"")+(AC470&lt;&gt;"")+(AH470&lt;&gt;""))</f>
        <v>0</v>
      </c>
      <c r="AL470" s="81" t="str">
        <f aca="false">IF(AH470&lt;&gt;"",AH470,IF(AC470&lt;&gt;"",AC470,IF(X470&lt;&gt;"",X470,"")))</f>
        <v/>
      </c>
      <c r="AM470" s="83" t="str">
        <f aca="false">IF(E470="","",IF(R470="","À SOUDER",IF(U470="","VT EN ATTENTE",IF(U470="R","VT REJETÉ – À REPRENDRE",IF(AL470="","À RADIOGRAPHIER",IF(AL470="A","ACCEPTÉ",IF(AL470="NX","NX – RT À REFAIRE",IF(IF(AK470=1,Z470,IF(AK470=2,AE470,""))="A","RÉPARÉ – À RADIOGRAPHIER",IF(IF(AK470=1,Z470,IF(AK470=2,AE470,""))="R","VT REJETÉ – À REPRENDRE",IF(OR(AL470="CO",AL470="NT"),"COUPE – À RESOUDER","À RÉPARER"))))))))))</f>
        <v>À SOUDER</v>
      </c>
      <c r="AN470" s="81" t="str">
        <f aca="false">IF(AND(ISNUMBER(R470),OR(AM470="À RADIOGRAPHIER",AM470="RÉPARÉ – À RADIOGRAPHIER",AM470="NX – RT À REFAIRE",AM470="À RÉPARER",AM470="COUPE – À RESOUDER",AM470="VT REJETÉ – À REPRENDRE")),MAX(0,'PROGRAMME RT'!$C$4-R470),"")</f>
        <v/>
      </c>
      <c r="AO470" s="78" t="n">
        <f aca="false">IF(AND(OR(AM470="À RADIOGRAPHIER",AM470="RÉPARÉ – À RADIOGRAPHIER",AM470="NX – RT À REFAIRE"),OR('PROGRAMME RT'!$D$5="TOUTES",B470='PROGRAMME RT'!$D$5)),1,0)</f>
        <v>0</v>
      </c>
      <c r="AP470" s="78" t="str">
        <f aca="false">IF(AO470=1,SUM(AO$7:AO470),"")</f>
        <v/>
      </c>
      <c r="AQ470" s="78" t="n">
        <f aca="false">IF(AND(OR(X470="R",X470="NX",X470="NT",X470="CO"),OR('JOINTS DE RÉPARATION'!$D$5="TOUTES",B470='JOINTS DE RÉPARATION'!$D$5),OR('JOINTS DE RÉPARATION'!$L$4="TOUS",AM470&lt;&gt;"ACCEPTÉ")),1,0)</f>
        <v>0</v>
      </c>
      <c r="AR470" s="78" t="str">
        <f aca="false">IF(AQ470=1,SUM(AQ$7:AQ470),"")</f>
        <v/>
      </c>
    </row>
    <row r="471" customFormat="false" ht="15" hidden="false" customHeight="false" outlineLevel="0" collapsed="false">
      <c r="A471" s="78" t="n">
        <f aca="false">IF(E471="","",ROW()-6)</f>
        <v>465</v>
      </c>
      <c r="B471" s="79" t="s">
        <v>585</v>
      </c>
      <c r="C471" s="80"/>
      <c r="D471" s="80"/>
      <c r="E471" s="80" t="s">
        <v>256</v>
      </c>
      <c r="F471" s="80"/>
      <c r="G471" s="80" t="s">
        <v>106</v>
      </c>
      <c r="H471" s="80"/>
      <c r="I471" s="80"/>
      <c r="J471" s="80"/>
      <c r="K471" s="80"/>
      <c r="L471" s="81" t="str">
        <f aca="false">IF(K471="","",IFERROR(INDEX(BARDAGE!$C$7:$C$1506,MATCH(K471,BARDAGE!$B$7:$B$1506,0)),"? hors registre"))</f>
        <v/>
      </c>
      <c r="M471" s="80"/>
      <c r="N471" s="81" t="str">
        <f aca="false">IF(M471="","",IFERROR(INDEX(BARDAGE!$C$7:$C$1506,MATCH(M471,BARDAGE!$B$7:$B$1506,0)),"? hors registre"))</f>
        <v/>
      </c>
      <c r="O471" s="80"/>
      <c r="P471" s="80"/>
      <c r="Q471" s="80"/>
      <c r="R471" s="82"/>
      <c r="S471" s="82"/>
      <c r="T471" s="80"/>
      <c r="U471" s="80"/>
      <c r="V471" s="82"/>
      <c r="W471" s="80"/>
      <c r="X471" s="80"/>
      <c r="Y471" s="80"/>
      <c r="Z471" s="80"/>
      <c r="AA471" s="82"/>
      <c r="AB471" s="80"/>
      <c r="AC471" s="80"/>
      <c r="AD471" s="80"/>
      <c r="AE471" s="80"/>
      <c r="AF471" s="82"/>
      <c r="AG471" s="80"/>
      <c r="AH471" s="80"/>
      <c r="AI471" s="82"/>
      <c r="AJ471" s="79"/>
      <c r="AK471" s="78" t="n">
        <f aca="false">IF(E471="","",(X471&lt;&gt;"")+(AC471&lt;&gt;"")+(AH471&lt;&gt;""))</f>
        <v>0</v>
      </c>
      <c r="AL471" s="81" t="str">
        <f aca="false">IF(AH471&lt;&gt;"",AH471,IF(AC471&lt;&gt;"",AC471,IF(X471&lt;&gt;"",X471,"")))</f>
        <v/>
      </c>
      <c r="AM471" s="83" t="str">
        <f aca="false">IF(E471="","",IF(R471="","À SOUDER",IF(U471="","VT EN ATTENTE",IF(U471="R","VT REJETÉ – À REPRENDRE",IF(AL471="","À RADIOGRAPHIER",IF(AL471="A","ACCEPTÉ",IF(AL471="NX","NX – RT À REFAIRE",IF(IF(AK471=1,Z471,IF(AK471=2,AE471,""))="A","RÉPARÉ – À RADIOGRAPHIER",IF(IF(AK471=1,Z471,IF(AK471=2,AE471,""))="R","VT REJETÉ – À REPRENDRE",IF(OR(AL471="CO",AL471="NT"),"COUPE – À RESOUDER","À RÉPARER"))))))))))</f>
        <v>À SOUDER</v>
      </c>
      <c r="AN471" s="81" t="str">
        <f aca="false">IF(AND(ISNUMBER(R471),OR(AM471="À RADIOGRAPHIER",AM471="RÉPARÉ – À RADIOGRAPHIER",AM471="NX – RT À REFAIRE",AM471="À RÉPARER",AM471="COUPE – À RESOUDER",AM471="VT REJETÉ – À REPRENDRE")),MAX(0,'PROGRAMME RT'!$C$4-R471),"")</f>
        <v/>
      </c>
      <c r="AO471" s="78" t="n">
        <f aca="false">IF(AND(OR(AM471="À RADIOGRAPHIER",AM471="RÉPARÉ – À RADIOGRAPHIER",AM471="NX – RT À REFAIRE"),OR('PROGRAMME RT'!$D$5="TOUTES",B471='PROGRAMME RT'!$D$5)),1,0)</f>
        <v>0</v>
      </c>
      <c r="AP471" s="78" t="str">
        <f aca="false">IF(AO471=1,SUM(AO$7:AO471),"")</f>
        <v/>
      </c>
      <c r="AQ471" s="78" t="n">
        <f aca="false">IF(AND(OR(X471="R",X471="NX",X471="NT",X471="CO"),OR('JOINTS DE RÉPARATION'!$D$5="TOUTES",B471='JOINTS DE RÉPARATION'!$D$5),OR('JOINTS DE RÉPARATION'!$L$4="TOUS",AM471&lt;&gt;"ACCEPTÉ")),1,0)</f>
        <v>0</v>
      </c>
      <c r="AR471" s="78" t="str">
        <f aca="false">IF(AQ471=1,SUM(AQ$7:AQ471),"")</f>
        <v/>
      </c>
    </row>
    <row r="472" customFormat="false" ht="15" hidden="false" customHeight="false" outlineLevel="0" collapsed="false">
      <c r="A472" s="78" t="n">
        <f aca="false">IF(E472="","",ROW()-6)</f>
        <v>466</v>
      </c>
      <c r="B472" s="79" t="s">
        <v>585</v>
      </c>
      <c r="C472" s="80"/>
      <c r="D472" s="80"/>
      <c r="E472" s="80" t="s">
        <v>259</v>
      </c>
      <c r="F472" s="80"/>
      <c r="G472" s="80" t="s">
        <v>106</v>
      </c>
      <c r="H472" s="80"/>
      <c r="I472" s="80"/>
      <c r="J472" s="80"/>
      <c r="K472" s="80"/>
      <c r="L472" s="81" t="str">
        <f aca="false">IF(K472="","",IFERROR(INDEX(BARDAGE!$C$7:$C$1506,MATCH(K472,BARDAGE!$B$7:$B$1506,0)),"? hors registre"))</f>
        <v/>
      </c>
      <c r="M472" s="80"/>
      <c r="N472" s="81" t="str">
        <f aca="false">IF(M472="","",IFERROR(INDEX(BARDAGE!$C$7:$C$1506,MATCH(M472,BARDAGE!$B$7:$B$1506,0)),"? hors registre"))</f>
        <v/>
      </c>
      <c r="O472" s="80"/>
      <c r="P472" s="80"/>
      <c r="Q472" s="80"/>
      <c r="R472" s="82"/>
      <c r="S472" s="82"/>
      <c r="T472" s="80"/>
      <c r="U472" s="80"/>
      <c r="V472" s="82"/>
      <c r="W472" s="80"/>
      <c r="X472" s="80"/>
      <c r="Y472" s="80"/>
      <c r="Z472" s="80"/>
      <c r="AA472" s="82"/>
      <c r="AB472" s="80"/>
      <c r="AC472" s="80"/>
      <c r="AD472" s="80"/>
      <c r="AE472" s="80"/>
      <c r="AF472" s="82"/>
      <c r="AG472" s="80"/>
      <c r="AH472" s="80"/>
      <c r="AI472" s="82"/>
      <c r="AJ472" s="79"/>
      <c r="AK472" s="78" t="n">
        <f aca="false">IF(E472="","",(X472&lt;&gt;"")+(AC472&lt;&gt;"")+(AH472&lt;&gt;""))</f>
        <v>0</v>
      </c>
      <c r="AL472" s="81" t="str">
        <f aca="false">IF(AH472&lt;&gt;"",AH472,IF(AC472&lt;&gt;"",AC472,IF(X472&lt;&gt;"",X472,"")))</f>
        <v/>
      </c>
      <c r="AM472" s="83" t="str">
        <f aca="false">IF(E472="","",IF(R472="","À SOUDER",IF(U472="","VT EN ATTENTE",IF(U472="R","VT REJETÉ – À REPRENDRE",IF(AL472="","À RADIOGRAPHIER",IF(AL472="A","ACCEPTÉ",IF(AL472="NX","NX – RT À REFAIRE",IF(IF(AK472=1,Z472,IF(AK472=2,AE472,""))="A","RÉPARÉ – À RADIOGRAPHIER",IF(IF(AK472=1,Z472,IF(AK472=2,AE472,""))="R","VT REJETÉ – À REPRENDRE",IF(OR(AL472="CO",AL472="NT"),"COUPE – À RESOUDER","À RÉPARER"))))))))))</f>
        <v>À SOUDER</v>
      </c>
      <c r="AN472" s="81" t="str">
        <f aca="false">IF(AND(ISNUMBER(R472),OR(AM472="À RADIOGRAPHIER",AM472="RÉPARÉ – À RADIOGRAPHIER",AM472="NX – RT À REFAIRE",AM472="À RÉPARER",AM472="COUPE – À RESOUDER",AM472="VT REJETÉ – À REPRENDRE")),MAX(0,'PROGRAMME RT'!$C$4-R472),"")</f>
        <v/>
      </c>
      <c r="AO472" s="78" t="n">
        <f aca="false">IF(AND(OR(AM472="À RADIOGRAPHIER",AM472="RÉPARÉ – À RADIOGRAPHIER",AM472="NX – RT À REFAIRE"),OR('PROGRAMME RT'!$D$5="TOUTES",B472='PROGRAMME RT'!$D$5)),1,0)</f>
        <v>0</v>
      </c>
      <c r="AP472" s="78" t="str">
        <f aca="false">IF(AO472=1,SUM(AO$7:AO472),"")</f>
        <v/>
      </c>
      <c r="AQ472" s="78" t="n">
        <f aca="false">IF(AND(OR(X472="R",X472="NX",X472="NT",X472="CO"),OR('JOINTS DE RÉPARATION'!$D$5="TOUTES",B472='JOINTS DE RÉPARATION'!$D$5),OR('JOINTS DE RÉPARATION'!$L$4="TOUS",AM472&lt;&gt;"ACCEPTÉ")),1,0)</f>
        <v>0</v>
      </c>
      <c r="AR472" s="78" t="str">
        <f aca="false">IF(AQ472=1,SUM(AQ$7:AQ472),"")</f>
        <v/>
      </c>
    </row>
    <row r="473" customFormat="false" ht="15" hidden="false" customHeight="false" outlineLevel="0" collapsed="false">
      <c r="A473" s="78" t="n">
        <f aca="false">IF(E473="","",ROW()-6)</f>
        <v>467</v>
      </c>
      <c r="B473" s="79" t="s">
        <v>585</v>
      </c>
      <c r="C473" s="80"/>
      <c r="D473" s="80"/>
      <c r="E473" s="80" t="s">
        <v>261</v>
      </c>
      <c r="F473" s="80"/>
      <c r="G473" s="80" t="s">
        <v>106</v>
      </c>
      <c r="H473" s="80"/>
      <c r="I473" s="80"/>
      <c r="J473" s="80"/>
      <c r="K473" s="80"/>
      <c r="L473" s="81" t="str">
        <f aca="false">IF(K473="","",IFERROR(INDEX(BARDAGE!$C$7:$C$1506,MATCH(K473,BARDAGE!$B$7:$B$1506,0)),"? hors registre"))</f>
        <v/>
      </c>
      <c r="M473" s="80"/>
      <c r="N473" s="81" t="str">
        <f aca="false">IF(M473="","",IFERROR(INDEX(BARDAGE!$C$7:$C$1506,MATCH(M473,BARDAGE!$B$7:$B$1506,0)),"? hors registre"))</f>
        <v/>
      </c>
      <c r="O473" s="80"/>
      <c r="P473" s="80"/>
      <c r="Q473" s="80"/>
      <c r="R473" s="82"/>
      <c r="S473" s="82"/>
      <c r="T473" s="80"/>
      <c r="U473" s="80"/>
      <c r="V473" s="82"/>
      <c r="W473" s="80"/>
      <c r="X473" s="80"/>
      <c r="Y473" s="80"/>
      <c r="Z473" s="80"/>
      <c r="AA473" s="82"/>
      <c r="AB473" s="80"/>
      <c r="AC473" s="80"/>
      <c r="AD473" s="80"/>
      <c r="AE473" s="80"/>
      <c r="AF473" s="82"/>
      <c r="AG473" s="80"/>
      <c r="AH473" s="80"/>
      <c r="AI473" s="82"/>
      <c r="AJ473" s="79"/>
      <c r="AK473" s="78" t="n">
        <f aca="false">IF(E473="","",(X473&lt;&gt;"")+(AC473&lt;&gt;"")+(AH473&lt;&gt;""))</f>
        <v>0</v>
      </c>
      <c r="AL473" s="81" t="str">
        <f aca="false">IF(AH473&lt;&gt;"",AH473,IF(AC473&lt;&gt;"",AC473,IF(X473&lt;&gt;"",X473,"")))</f>
        <v/>
      </c>
      <c r="AM473" s="83" t="str">
        <f aca="false">IF(E473="","",IF(R473="","À SOUDER",IF(U473="","VT EN ATTENTE",IF(U473="R","VT REJETÉ – À REPRENDRE",IF(AL473="","À RADIOGRAPHIER",IF(AL473="A","ACCEPTÉ",IF(AL473="NX","NX – RT À REFAIRE",IF(IF(AK473=1,Z473,IF(AK473=2,AE473,""))="A","RÉPARÉ – À RADIOGRAPHIER",IF(IF(AK473=1,Z473,IF(AK473=2,AE473,""))="R","VT REJETÉ – À REPRENDRE",IF(OR(AL473="CO",AL473="NT"),"COUPE – À RESOUDER","À RÉPARER"))))))))))</f>
        <v>À SOUDER</v>
      </c>
      <c r="AN473" s="81" t="str">
        <f aca="false">IF(AND(ISNUMBER(R473),OR(AM473="À RADIOGRAPHIER",AM473="RÉPARÉ – À RADIOGRAPHIER",AM473="NX – RT À REFAIRE",AM473="À RÉPARER",AM473="COUPE – À RESOUDER",AM473="VT REJETÉ – À REPRENDRE")),MAX(0,'PROGRAMME RT'!$C$4-R473),"")</f>
        <v/>
      </c>
      <c r="AO473" s="78" t="n">
        <f aca="false">IF(AND(OR(AM473="À RADIOGRAPHIER",AM473="RÉPARÉ – À RADIOGRAPHIER",AM473="NX – RT À REFAIRE"),OR('PROGRAMME RT'!$D$5="TOUTES",B473='PROGRAMME RT'!$D$5)),1,0)</f>
        <v>0</v>
      </c>
      <c r="AP473" s="78" t="str">
        <f aca="false">IF(AO473=1,SUM(AO$7:AO473),"")</f>
        <v/>
      </c>
      <c r="AQ473" s="78" t="n">
        <f aca="false">IF(AND(OR(X473="R",X473="NX",X473="NT",X473="CO"),OR('JOINTS DE RÉPARATION'!$D$5="TOUTES",B473='JOINTS DE RÉPARATION'!$D$5),OR('JOINTS DE RÉPARATION'!$L$4="TOUS",AM473&lt;&gt;"ACCEPTÉ")),1,0)</f>
        <v>0</v>
      </c>
      <c r="AR473" s="78" t="str">
        <f aca="false">IF(AQ473=1,SUM(AQ$7:AQ473),"")</f>
        <v/>
      </c>
    </row>
    <row r="474" customFormat="false" ht="15" hidden="false" customHeight="false" outlineLevel="0" collapsed="false">
      <c r="A474" s="78" t="n">
        <f aca="false">IF(E474="","",ROW()-6)</f>
        <v>468</v>
      </c>
      <c r="B474" s="79" t="s">
        <v>585</v>
      </c>
      <c r="C474" s="80"/>
      <c r="D474" s="80"/>
      <c r="E474" s="80" t="s">
        <v>579</v>
      </c>
      <c r="F474" s="80"/>
      <c r="G474" s="80" t="s">
        <v>106</v>
      </c>
      <c r="H474" s="80"/>
      <c r="I474" s="80"/>
      <c r="J474" s="80"/>
      <c r="K474" s="80"/>
      <c r="L474" s="81" t="str">
        <f aca="false">IF(K474="","",IFERROR(INDEX(BARDAGE!$C$7:$C$1506,MATCH(K474,BARDAGE!$B$7:$B$1506,0)),"? hors registre"))</f>
        <v/>
      </c>
      <c r="M474" s="80"/>
      <c r="N474" s="81" t="str">
        <f aca="false">IF(M474="","",IFERROR(INDEX(BARDAGE!$C$7:$C$1506,MATCH(M474,BARDAGE!$B$7:$B$1506,0)),"? hors registre"))</f>
        <v/>
      </c>
      <c r="O474" s="80"/>
      <c r="P474" s="80"/>
      <c r="Q474" s="80"/>
      <c r="R474" s="82"/>
      <c r="S474" s="82"/>
      <c r="T474" s="80"/>
      <c r="U474" s="80"/>
      <c r="V474" s="82"/>
      <c r="W474" s="80"/>
      <c r="X474" s="80"/>
      <c r="Y474" s="80"/>
      <c r="Z474" s="80"/>
      <c r="AA474" s="82"/>
      <c r="AB474" s="80"/>
      <c r="AC474" s="80"/>
      <c r="AD474" s="80"/>
      <c r="AE474" s="80"/>
      <c r="AF474" s="82"/>
      <c r="AG474" s="80"/>
      <c r="AH474" s="80"/>
      <c r="AI474" s="82"/>
      <c r="AJ474" s="79"/>
      <c r="AK474" s="78" t="n">
        <f aca="false">IF(E474="","",(X474&lt;&gt;"")+(AC474&lt;&gt;"")+(AH474&lt;&gt;""))</f>
        <v>0</v>
      </c>
      <c r="AL474" s="81" t="str">
        <f aca="false">IF(AH474&lt;&gt;"",AH474,IF(AC474&lt;&gt;"",AC474,IF(X474&lt;&gt;"",X474,"")))</f>
        <v/>
      </c>
      <c r="AM474" s="83" t="str">
        <f aca="false">IF(E474="","",IF(R474="","À SOUDER",IF(U474="","VT EN ATTENTE",IF(U474="R","VT REJETÉ – À REPRENDRE",IF(AL474="","À RADIOGRAPHIER",IF(AL474="A","ACCEPTÉ",IF(AL474="NX","NX – RT À REFAIRE",IF(IF(AK474=1,Z474,IF(AK474=2,AE474,""))="A","RÉPARÉ – À RADIOGRAPHIER",IF(IF(AK474=1,Z474,IF(AK474=2,AE474,""))="R","VT REJETÉ – À REPRENDRE",IF(OR(AL474="CO",AL474="NT"),"COUPE – À RESOUDER","À RÉPARER"))))))))))</f>
        <v>À SOUDER</v>
      </c>
      <c r="AN474" s="81" t="str">
        <f aca="false">IF(AND(ISNUMBER(R474),OR(AM474="À RADIOGRAPHIER",AM474="RÉPARÉ – À RADIOGRAPHIER",AM474="NX – RT À REFAIRE",AM474="À RÉPARER",AM474="COUPE – À RESOUDER",AM474="VT REJETÉ – À REPRENDRE")),MAX(0,'PROGRAMME RT'!$C$4-R474),"")</f>
        <v/>
      </c>
      <c r="AO474" s="78" t="n">
        <f aca="false">IF(AND(OR(AM474="À RADIOGRAPHIER",AM474="RÉPARÉ – À RADIOGRAPHIER",AM474="NX – RT À REFAIRE"),OR('PROGRAMME RT'!$D$5="TOUTES",B474='PROGRAMME RT'!$D$5)),1,0)</f>
        <v>0</v>
      </c>
      <c r="AP474" s="78" t="str">
        <f aca="false">IF(AO474=1,SUM(AO$7:AO474),"")</f>
        <v/>
      </c>
      <c r="AQ474" s="78" t="n">
        <f aca="false">IF(AND(OR(X474="R",X474="NX",X474="NT",X474="CO"),OR('JOINTS DE RÉPARATION'!$D$5="TOUTES",B474='JOINTS DE RÉPARATION'!$D$5),OR('JOINTS DE RÉPARATION'!$L$4="TOUS",AM474&lt;&gt;"ACCEPTÉ")),1,0)</f>
        <v>0</v>
      </c>
      <c r="AR474" s="78" t="str">
        <f aca="false">IF(AQ474=1,SUM(AQ$7:AQ474),"")</f>
        <v/>
      </c>
    </row>
    <row r="475" customFormat="false" ht="15" hidden="false" customHeight="false" outlineLevel="0" collapsed="false">
      <c r="A475" s="78" t="n">
        <f aca="false">IF(E475="","",ROW()-6)</f>
        <v>469</v>
      </c>
      <c r="B475" s="79" t="s">
        <v>585</v>
      </c>
      <c r="C475" s="80"/>
      <c r="D475" s="80"/>
      <c r="E475" s="80" t="s">
        <v>266</v>
      </c>
      <c r="F475" s="80"/>
      <c r="G475" s="80" t="s">
        <v>106</v>
      </c>
      <c r="H475" s="80"/>
      <c r="I475" s="80"/>
      <c r="J475" s="80"/>
      <c r="K475" s="80"/>
      <c r="L475" s="81" t="str">
        <f aca="false">IF(K475="","",IFERROR(INDEX(BARDAGE!$C$7:$C$1506,MATCH(K475,BARDAGE!$B$7:$B$1506,0)),"? hors registre"))</f>
        <v/>
      </c>
      <c r="M475" s="80"/>
      <c r="N475" s="81" t="str">
        <f aca="false">IF(M475="","",IFERROR(INDEX(BARDAGE!$C$7:$C$1506,MATCH(M475,BARDAGE!$B$7:$B$1506,0)),"? hors registre"))</f>
        <v/>
      </c>
      <c r="O475" s="80"/>
      <c r="P475" s="80"/>
      <c r="Q475" s="80"/>
      <c r="R475" s="82"/>
      <c r="S475" s="82"/>
      <c r="T475" s="80"/>
      <c r="U475" s="80"/>
      <c r="V475" s="82"/>
      <c r="W475" s="80"/>
      <c r="X475" s="80"/>
      <c r="Y475" s="80"/>
      <c r="Z475" s="80"/>
      <c r="AA475" s="82"/>
      <c r="AB475" s="80"/>
      <c r="AC475" s="80"/>
      <c r="AD475" s="80"/>
      <c r="AE475" s="80"/>
      <c r="AF475" s="82"/>
      <c r="AG475" s="80"/>
      <c r="AH475" s="80"/>
      <c r="AI475" s="82"/>
      <c r="AJ475" s="79"/>
      <c r="AK475" s="78" t="n">
        <f aca="false">IF(E475="","",(X475&lt;&gt;"")+(AC475&lt;&gt;"")+(AH475&lt;&gt;""))</f>
        <v>0</v>
      </c>
      <c r="AL475" s="81" t="str">
        <f aca="false">IF(AH475&lt;&gt;"",AH475,IF(AC475&lt;&gt;"",AC475,IF(X475&lt;&gt;"",X475,"")))</f>
        <v/>
      </c>
      <c r="AM475" s="83" t="str">
        <f aca="false">IF(E475="","",IF(R475="","À SOUDER",IF(U475="","VT EN ATTENTE",IF(U475="R","VT REJETÉ – À REPRENDRE",IF(AL475="","À RADIOGRAPHIER",IF(AL475="A","ACCEPTÉ",IF(AL475="NX","NX – RT À REFAIRE",IF(IF(AK475=1,Z475,IF(AK475=2,AE475,""))="A","RÉPARÉ – À RADIOGRAPHIER",IF(IF(AK475=1,Z475,IF(AK475=2,AE475,""))="R","VT REJETÉ – À REPRENDRE",IF(OR(AL475="CO",AL475="NT"),"COUPE – À RESOUDER","À RÉPARER"))))))))))</f>
        <v>À SOUDER</v>
      </c>
      <c r="AN475" s="81" t="str">
        <f aca="false">IF(AND(ISNUMBER(R475),OR(AM475="À RADIOGRAPHIER",AM475="RÉPARÉ – À RADIOGRAPHIER",AM475="NX – RT À REFAIRE",AM475="À RÉPARER",AM475="COUPE – À RESOUDER",AM475="VT REJETÉ – À REPRENDRE")),MAX(0,'PROGRAMME RT'!$C$4-R475),"")</f>
        <v/>
      </c>
      <c r="AO475" s="78" t="n">
        <f aca="false">IF(AND(OR(AM475="À RADIOGRAPHIER",AM475="RÉPARÉ – À RADIOGRAPHIER",AM475="NX – RT À REFAIRE"),OR('PROGRAMME RT'!$D$5="TOUTES",B475='PROGRAMME RT'!$D$5)),1,0)</f>
        <v>0</v>
      </c>
      <c r="AP475" s="78" t="str">
        <f aca="false">IF(AO475=1,SUM(AO$7:AO475),"")</f>
        <v/>
      </c>
      <c r="AQ475" s="78" t="n">
        <f aca="false">IF(AND(OR(X475="R",X475="NX",X475="NT",X475="CO"),OR('JOINTS DE RÉPARATION'!$D$5="TOUTES",B475='JOINTS DE RÉPARATION'!$D$5),OR('JOINTS DE RÉPARATION'!$L$4="TOUS",AM475&lt;&gt;"ACCEPTÉ")),1,0)</f>
        <v>0</v>
      </c>
      <c r="AR475" s="78" t="str">
        <f aca="false">IF(AQ475=1,SUM(AQ$7:AQ475),"")</f>
        <v/>
      </c>
    </row>
    <row r="476" customFormat="false" ht="15" hidden="false" customHeight="false" outlineLevel="0" collapsed="false">
      <c r="A476" s="78" t="n">
        <f aca="false">IF(E476="","",ROW()-6)</f>
        <v>470</v>
      </c>
      <c r="B476" s="79" t="s">
        <v>585</v>
      </c>
      <c r="C476" s="80"/>
      <c r="D476" s="80"/>
      <c r="E476" s="80" t="s">
        <v>269</v>
      </c>
      <c r="F476" s="80"/>
      <c r="G476" s="80" t="s">
        <v>106</v>
      </c>
      <c r="H476" s="80"/>
      <c r="I476" s="80"/>
      <c r="J476" s="80"/>
      <c r="K476" s="80"/>
      <c r="L476" s="81" t="str">
        <f aca="false">IF(K476="","",IFERROR(INDEX(BARDAGE!$C$7:$C$1506,MATCH(K476,BARDAGE!$B$7:$B$1506,0)),"? hors registre"))</f>
        <v/>
      </c>
      <c r="M476" s="80"/>
      <c r="N476" s="81" t="str">
        <f aca="false">IF(M476="","",IFERROR(INDEX(BARDAGE!$C$7:$C$1506,MATCH(M476,BARDAGE!$B$7:$B$1506,0)),"? hors registre"))</f>
        <v/>
      </c>
      <c r="O476" s="80"/>
      <c r="P476" s="80"/>
      <c r="Q476" s="80"/>
      <c r="R476" s="82"/>
      <c r="S476" s="82"/>
      <c r="T476" s="80"/>
      <c r="U476" s="80"/>
      <c r="V476" s="82"/>
      <c r="W476" s="80"/>
      <c r="X476" s="80"/>
      <c r="Y476" s="80"/>
      <c r="Z476" s="80"/>
      <c r="AA476" s="82"/>
      <c r="AB476" s="80"/>
      <c r="AC476" s="80"/>
      <c r="AD476" s="80"/>
      <c r="AE476" s="80"/>
      <c r="AF476" s="82"/>
      <c r="AG476" s="80"/>
      <c r="AH476" s="80"/>
      <c r="AI476" s="82"/>
      <c r="AJ476" s="79"/>
      <c r="AK476" s="78" t="n">
        <f aca="false">IF(E476="","",(X476&lt;&gt;"")+(AC476&lt;&gt;"")+(AH476&lt;&gt;""))</f>
        <v>0</v>
      </c>
      <c r="AL476" s="81" t="str">
        <f aca="false">IF(AH476&lt;&gt;"",AH476,IF(AC476&lt;&gt;"",AC476,IF(X476&lt;&gt;"",X476,"")))</f>
        <v/>
      </c>
      <c r="AM476" s="83" t="str">
        <f aca="false">IF(E476="","",IF(R476="","À SOUDER",IF(U476="","VT EN ATTENTE",IF(U476="R","VT REJETÉ – À REPRENDRE",IF(AL476="","À RADIOGRAPHIER",IF(AL476="A","ACCEPTÉ",IF(AL476="NX","NX – RT À REFAIRE",IF(IF(AK476=1,Z476,IF(AK476=2,AE476,""))="A","RÉPARÉ – À RADIOGRAPHIER",IF(IF(AK476=1,Z476,IF(AK476=2,AE476,""))="R","VT REJETÉ – À REPRENDRE",IF(OR(AL476="CO",AL476="NT"),"COUPE – À RESOUDER","À RÉPARER"))))))))))</f>
        <v>À SOUDER</v>
      </c>
      <c r="AN476" s="81" t="str">
        <f aca="false">IF(AND(ISNUMBER(R476),OR(AM476="À RADIOGRAPHIER",AM476="RÉPARÉ – À RADIOGRAPHIER",AM476="NX – RT À REFAIRE",AM476="À RÉPARER",AM476="COUPE – À RESOUDER",AM476="VT REJETÉ – À REPRENDRE")),MAX(0,'PROGRAMME RT'!$C$4-R476),"")</f>
        <v/>
      </c>
      <c r="AO476" s="78" t="n">
        <f aca="false">IF(AND(OR(AM476="À RADIOGRAPHIER",AM476="RÉPARÉ – À RADIOGRAPHIER",AM476="NX – RT À REFAIRE"),OR('PROGRAMME RT'!$D$5="TOUTES",B476='PROGRAMME RT'!$D$5)),1,0)</f>
        <v>0</v>
      </c>
      <c r="AP476" s="78" t="str">
        <f aca="false">IF(AO476=1,SUM(AO$7:AO476),"")</f>
        <v/>
      </c>
      <c r="AQ476" s="78" t="n">
        <f aca="false">IF(AND(OR(X476="R",X476="NX",X476="NT",X476="CO"),OR('JOINTS DE RÉPARATION'!$D$5="TOUTES",B476='JOINTS DE RÉPARATION'!$D$5),OR('JOINTS DE RÉPARATION'!$L$4="TOUS",AM476&lt;&gt;"ACCEPTÉ")),1,0)</f>
        <v>0</v>
      </c>
      <c r="AR476" s="78" t="str">
        <f aca="false">IF(AQ476=1,SUM(AQ$7:AQ476),"")</f>
        <v/>
      </c>
    </row>
    <row r="477" customFormat="false" ht="15" hidden="false" customHeight="false" outlineLevel="0" collapsed="false">
      <c r="A477" s="78" t="n">
        <f aca="false">IF(E477="","",ROW()-6)</f>
        <v>471</v>
      </c>
      <c r="B477" s="79" t="s">
        <v>585</v>
      </c>
      <c r="C477" s="80"/>
      <c r="D477" s="80"/>
      <c r="E477" s="80" t="s">
        <v>271</v>
      </c>
      <c r="F477" s="80"/>
      <c r="G477" s="80" t="s">
        <v>106</v>
      </c>
      <c r="H477" s="80"/>
      <c r="I477" s="80"/>
      <c r="J477" s="80"/>
      <c r="K477" s="80"/>
      <c r="L477" s="81" t="str">
        <f aca="false">IF(K477="","",IFERROR(INDEX(BARDAGE!$C$7:$C$1506,MATCH(K477,BARDAGE!$B$7:$B$1506,0)),"? hors registre"))</f>
        <v/>
      </c>
      <c r="M477" s="80"/>
      <c r="N477" s="81" t="str">
        <f aca="false">IF(M477="","",IFERROR(INDEX(BARDAGE!$C$7:$C$1506,MATCH(M477,BARDAGE!$B$7:$B$1506,0)),"? hors registre"))</f>
        <v/>
      </c>
      <c r="O477" s="80"/>
      <c r="P477" s="80"/>
      <c r="Q477" s="80"/>
      <c r="R477" s="82"/>
      <c r="S477" s="82"/>
      <c r="T477" s="80"/>
      <c r="U477" s="80"/>
      <c r="V477" s="82"/>
      <c r="W477" s="80"/>
      <c r="X477" s="80"/>
      <c r="Y477" s="80"/>
      <c r="Z477" s="80"/>
      <c r="AA477" s="82"/>
      <c r="AB477" s="80"/>
      <c r="AC477" s="80"/>
      <c r="AD477" s="80"/>
      <c r="AE477" s="80"/>
      <c r="AF477" s="82"/>
      <c r="AG477" s="80"/>
      <c r="AH477" s="80"/>
      <c r="AI477" s="82"/>
      <c r="AJ477" s="79"/>
      <c r="AK477" s="78" t="n">
        <f aca="false">IF(E477="","",(X477&lt;&gt;"")+(AC477&lt;&gt;"")+(AH477&lt;&gt;""))</f>
        <v>0</v>
      </c>
      <c r="AL477" s="81" t="str">
        <f aca="false">IF(AH477&lt;&gt;"",AH477,IF(AC477&lt;&gt;"",AC477,IF(X477&lt;&gt;"",X477,"")))</f>
        <v/>
      </c>
      <c r="AM477" s="83" t="str">
        <f aca="false">IF(E477="","",IF(R477="","À SOUDER",IF(U477="","VT EN ATTENTE",IF(U477="R","VT REJETÉ – À REPRENDRE",IF(AL477="","À RADIOGRAPHIER",IF(AL477="A","ACCEPTÉ",IF(AL477="NX","NX – RT À REFAIRE",IF(IF(AK477=1,Z477,IF(AK477=2,AE477,""))="A","RÉPARÉ – À RADIOGRAPHIER",IF(IF(AK477=1,Z477,IF(AK477=2,AE477,""))="R","VT REJETÉ – À REPRENDRE",IF(OR(AL477="CO",AL477="NT"),"COUPE – À RESOUDER","À RÉPARER"))))))))))</f>
        <v>À SOUDER</v>
      </c>
      <c r="AN477" s="81" t="str">
        <f aca="false">IF(AND(ISNUMBER(R477),OR(AM477="À RADIOGRAPHIER",AM477="RÉPARÉ – À RADIOGRAPHIER",AM477="NX – RT À REFAIRE",AM477="À RÉPARER",AM477="COUPE – À RESOUDER",AM477="VT REJETÉ – À REPRENDRE")),MAX(0,'PROGRAMME RT'!$C$4-R477),"")</f>
        <v/>
      </c>
      <c r="AO477" s="78" t="n">
        <f aca="false">IF(AND(OR(AM477="À RADIOGRAPHIER",AM477="RÉPARÉ – À RADIOGRAPHIER",AM477="NX – RT À REFAIRE"),OR('PROGRAMME RT'!$D$5="TOUTES",B477='PROGRAMME RT'!$D$5)),1,0)</f>
        <v>0</v>
      </c>
      <c r="AP477" s="78" t="str">
        <f aca="false">IF(AO477=1,SUM(AO$7:AO477),"")</f>
        <v/>
      </c>
      <c r="AQ477" s="78" t="n">
        <f aca="false">IF(AND(OR(X477="R",X477="NX",X477="NT",X477="CO"),OR('JOINTS DE RÉPARATION'!$D$5="TOUTES",B477='JOINTS DE RÉPARATION'!$D$5),OR('JOINTS DE RÉPARATION'!$L$4="TOUS",AM477&lt;&gt;"ACCEPTÉ")),1,0)</f>
        <v>0</v>
      </c>
      <c r="AR477" s="78" t="str">
        <f aca="false">IF(AQ477=1,SUM(AQ$7:AQ477),"")</f>
        <v/>
      </c>
    </row>
    <row r="478" customFormat="false" ht="15" hidden="false" customHeight="false" outlineLevel="0" collapsed="false">
      <c r="A478" s="78" t="n">
        <f aca="false">IF(E478="","",ROW()-6)</f>
        <v>472</v>
      </c>
      <c r="B478" s="79" t="s">
        <v>585</v>
      </c>
      <c r="C478" s="80"/>
      <c r="D478" s="80"/>
      <c r="E478" s="80" t="s">
        <v>273</v>
      </c>
      <c r="F478" s="80"/>
      <c r="G478" s="80" t="s">
        <v>106</v>
      </c>
      <c r="H478" s="80"/>
      <c r="I478" s="80"/>
      <c r="J478" s="80"/>
      <c r="K478" s="80"/>
      <c r="L478" s="81" t="str">
        <f aca="false">IF(K478="","",IFERROR(INDEX(BARDAGE!$C$7:$C$1506,MATCH(K478,BARDAGE!$B$7:$B$1506,0)),"? hors registre"))</f>
        <v/>
      </c>
      <c r="M478" s="80"/>
      <c r="N478" s="81" t="str">
        <f aca="false">IF(M478="","",IFERROR(INDEX(BARDAGE!$C$7:$C$1506,MATCH(M478,BARDAGE!$B$7:$B$1506,0)),"? hors registre"))</f>
        <v/>
      </c>
      <c r="O478" s="80"/>
      <c r="P478" s="80"/>
      <c r="Q478" s="80"/>
      <c r="R478" s="82"/>
      <c r="S478" s="82"/>
      <c r="T478" s="80"/>
      <c r="U478" s="80"/>
      <c r="V478" s="82"/>
      <c r="W478" s="80"/>
      <c r="X478" s="80"/>
      <c r="Y478" s="80"/>
      <c r="Z478" s="80"/>
      <c r="AA478" s="82"/>
      <c r="AB478" s="80"/>
      <c r="AC478" s="80"/>
      <c r="AD478" s="80"/>
      <c r="AE478" s="80"/>
      <c r="AF478" s="82"/>
      <c r="AG478" s="80"/>
      <c r="AH478" s="80"/>
      <c r="AI478" s="82"/>
      <c r="AJ478" s="79"/>
      <c r="AK478" s="78" t="n">
        <f aca="false">IF(E478="","",(X478&lt;&gt;"")+(AC478&lt;&gt;"")+(AH478&lt;&gt;""))</f>
        <v>0</v>
      </c>
      <c r="AL478" s="81" t="str">
        <f aca="false">IF(AH478&lt;&gt;"",AH478,IF(AC478&lt;&gt;"",AC478,IF(X478&lt;&gt;"",X478,"")))</f>
        <v/>
      </c>
      <c r="AM478" s="83" t="str">
        <f aca="false">IF(E478="","",IF(R478="","À SOUDER",IF(U478="","VT EN ATTENTE",IF(U478="R","VT REJETÉ – À REPRENDRE",IF(AL478="","À RADIOGRAPHIER",IF(AL478="A","ACCEPTÉ",IF(AL478="NX","NX – RT À REFAIRE",IF(IF(AK478=1,Z478,IF(AK478=2,AE478,""))="A","RÉPARÉ – À RADIOGRAPHIER",IF(IF(AK478=1,Z478,IF(AK478=2,AE478,""))="R","VT REJETÉ – À REPRENDRE",IF(OR(AL478="CO",AL478="NT"),"COUPE – À RESOUDER","À RÉPARER"))))))))))</f>
        <v>À SOUDER</v>
      </c>
      <c r="AN478" s="81" t="str">
        <f aca="false">IF(AND(ISNUMBER(R478),OR(AM478="À RADIOGRAPHIER",AM478="RÉPARÉ – À RADIOGRAPHIER",AM478="NX – RT À REFAIRE",AM478="À RÉPARER",AM478="COUPE – À RESOUDER",AM478="VT REJETÉ – À REPRENDRE")),MAX(0,'PROGRAMME RT'!$C$4-R478),"")</f>
        <v/>
      </c>
      <c r="AO478" s="78" t="n">
        <f aca="false">IF(AND(OR(AM478="À RADIOGRAPHIER",AM478="RÉPARÉ – À RADIOGRAPHIER",AM478="NX – RT À REFAIRE"),OR('PROGRAMME RT'!$D$5="TOUTES",B478='PROGRAMME RT'!$D$5)),1,0)</f>
        <v>0</v>
      </c>
      <c r="AP478" s="78" t="str">
        <f aca="false">IF(AO478=1,SUM(AO$7:AO478),"")</f>
        <v/>
      </c>
      <c r="AQ478" s="78" t="n">
        <f aca="false">IF(AND(OR(X478="R",X478="NX",X478="NT",X478="CO"),OR('JOINTS DE RÉPARATION'!$D$5="TOUTES",B478='JOINTS DE RÉPARATION'!$D$5),OR('JOINTS DE RÉPARATION'!$L$4="TOUS",AM478&lt;&gt;"ACCEPTÉ")),1,0)</f>
        <v>0</v>
      </c>
      <c r="AR478" s="78" t="str">
        <f aca="false">IF(AQ478=1,SUM(AQ$7:AQ478),"")</f>
        <v/>
      </c>
    </row>
    <row r="479" customFormat="false" ht="15" hidden="false" customHeight="false" outlineLevel="0" collapsed="false">
      <c r="A479" s="78" t="n">
        <f aca="false">IF(E479="","",ROW()-6)</f>
        <v>473</v>
      </c>
      <c r="B479" s="79" t="s">
        <v>585</v>
      </c>
      <c r="C479" s="80"/>
      <c r="D479" s="80"/>
      <c r="E479" s="80" t="s">
        <v>275</v>
      </c>
      <c r="F479" s="80"/>
      <c r="G479" s="80" t="s">
        <v>106</v>
      </c>
      <c r="H479" s="80"/>
      <c r="I479" s="80"/>
      <c r="J479" s="80"/>
      <c r="K479" s="80"/>
      <c r="L479" s="81" t="str">
        <f aca="false">IF(K479="","",IFERROR(INDEX(BARDAGE!$C$7:$C$1506,MATCH(K479,BARDAGE!$B$7:$B$1506,0)),"? hors registre"))</f>
        <v/>
      </c>
      <c r="M479" s="80"/>
      <c r="N479" s="81" t="str">
        <f aca="false">IF(M479="","",IFERROR(INDEX(BARDAGE!$C$7:$C$1506,MATCH(M479,BARDAGE!$B$7:$B$1506,0)),"? hors registre"))</f>
        <v/>
      </c>
      <c r="O479" s="80"/>
      <c r="P479" s="80"/>
      <c r="Q479" s="80"/>
      <c r="R479" s="82"/>
      <c r="S479" s="82"/>
      <c r="T479" s="80"/>
      <c r="U479" s="80"/>
      <c r="V479" s="82"/>
      <c r="W479" s="80"/>
      <c r="X479" s="80"/>
      <c r="Y479" s="80"/>
      <c r="Z479" s="80"/>
      <c r="AA479" s="82"/>
      <c r="AB479" s="80"/>
      <c r="AC479" s="80"/>
      <c r="AD479" s="80"/>
      <c r="AE479" s="80"/>
      <c r="AF479" s="82"/>
      <c r="AG479" s="80"/>
      <c r="AH479" s="80"/>
      <c r="AI479" s="82"/>
      <c r="AJ479" s="79"/>
      <c r="AK479" s="78" t="n">
        <f aca="false">IF(E479="","",(X479&lt;&gt;"")+(AC479&lt;&gt;"")+(AH479&lt;&gt;""))</f>
        <v>0</v>
      </c>
      <c r="AL479" s="81" t="str">
        <f aca="false">IF(AH479&lt;&gt;"",AH479,IF(AC479&lt;&gt;"",AC479,IF(X479&lt;&gt;"",X479,"")))</f>
        <v/>
      </c>
      <c r="AM479" s="83" t="str">
        <f aca="false">IF(E479="","",IF(R479="","À SOUDER",IF(U479="","VT EN ATTENTE",IF(U479="R","VT REJETÉ – À REPRENDRE",IF(AL479="","À RADIOGRAPHIER",IF(AL479="A","ACCEPTÉ",IF(AL479="NX","NX – RT À REFAIRE",IF(IF(AK479=1,Z479,IF(AK479=2,AE479,""))="A","RÉPARÉ – À RADIOGRAPHIER",IF(IF(AK479=1,Z479,IF(AK479=2,AE479,""))="R","VT REJETÉ – À REPRENDRE",IF(OR(AL479="CO",AL479="NT"),"COUPE – À RESOUDER","À RÉPARER"))))))))))</f>
        <v>À SOUDER</v>
      </c>
      <c r="AN479" s="81" t="str">
        <f aca="false">IF(AND(ISNUMBER(R479),OR(AM479="À RADIOGRAPHIER",AM479="RÉPARÉ – À RADIOGRAPHIER",AM479="NX – RT À REFAIRE",AM479="À RÉPARER",AM479="COUPE – À RESOUDER",AM479="VT REJETÉ – À REPRENDRE")),MAX(0,'PROGRAMME RT'!$C$4-R479),"")</f>
        <v/>
      </c>
      <c r="AO479" s="78" t="n">
        <f aca="false">IF(AND(OR(AM479="À RADIOGRAPHIER",AM479="RÉPARÉ – À RADIOGRAPHIER",AM479="NX – RT À REFAIRE"),OR('PROGRAMME RT'!$D$5="TOUTES",B479='PROGRAMME RT'!$D$5)),1,0)</f>
        <v>0</v>
      </c>
      <c r="AP479" s="78" t="str">
        <f aca="false">IF(AO479=1,SUM(AO$7:AO479),"")</f>
        <v/>
      </c>
      <c r="AQ479" s="78" t="n">
        <f aca="false">IF(AND(OR(X479="R",X479="NX",X479="NT",X479="CO"),OR('JOINTS DE RÉPARATION'!$D$5="TOUTES",B479='JOINTS DE RÉPARATION'!$D$5),OR('JOINTS DE RÉPARATION'!$L$4="TOUS",AM479&lt;&gt;"ACCEPTÉ")),1,0)</f>
        <v>0</v>
      </c>
      <c r="AR479" s="78" t="str">
        <f aca="false">IF(AQ479=1,SUM(AQ$7:AQ479),"")</f>
        <v/>
      </c>
    </row>
    <row r="480" customFormat="false" ht="15" hidden="false" customHeight="false" outlineLevel="0" collapsed="false">
      <c r="A480" s="78" t="n">
        <f aca="false">IF(E480="","",ROW()-6)</f>
        <v>474</v>
      </c>
      <c r="B480" s="79" t="s">
        <v>585</v>
      </c>
      <c r="C480" s="80"/>
      <c r="D480" s="80"/>
      <c r="E480" s="80" t="s">
        <v>277</v>
      </c>
      <c r="F480" s="80"/>
      <c r="G480" s="80" t="s">
        <v>106</v>
      </c>
      <c r="H480" s="80"/>
      <c r="I480" s="80"/>
      <c r="J480" s="80"/>
      <c r="K480" s="80"/>
      <c r="L480" s="81" t="str">
        <f aca="false">IF(K480="","",IFERROR(INDEX(BARDAGE!$C$7:$C$1506,MATCH(K480,BARDAGE!$B$7:$B$1506,0)),"? hors registre"))</f>
        <v/>
      </c>
      <c r="M480" s="80"/>
      <c r="N480" s="81" t="str">
        <f aca="false">IF(M480="","",IFERROR(INDEX(BARDAGE!$C$7:$C$1506,MATCH(M480,BARDAGE!$B$7:$B$1506,0)),"? hors registre"))</f>
        <v/>
      </c>
      <c r="O480" s="80"/>
      <c r="P480" s="80"/>
      <c r="Q480" s="80"/>
      <c r="R480" s="82"/>
      <c r="S480" s="82"/>
      <c r="T480" s="80"/>
      <c r="U480" s="80"/>
      <c r="V480" s="82"/>
      <c r="W480" s="80"/>
      <c r="X480" s="80"/>
      <c r="Y480" s="80"/>
      <c r="Z480" s="80"/>
      <c r="AA480" s="82"/>
      <c r="AB480" s="80"/>
      <c r="AC480" s="80"/>
      <c r="AD480" s="80"/>
      <c r="AE480" s="80"/>
      <c r="AF480" s="82"/>
      <c r="AG480" s="80"/>
      <c r="AH480" s="80"/>
      <c r="AI480" s="82"/>
      <c r="AJ480" s="79"/>
      <c r="AK480" s="78" t="n">
        <f aca="false">IF(E480="","",(X480&lt;&gt;"")+(AC480&lt;&gt;"")+(AH480&lt;&gt;""))</f>
        <v>0</v>
      </c>
      <c r="AL480" s="81" t="str">
        <f aca="false">IF(AH480&lt;&gt;"",AH480,IF(AC480&lt;&gt;"",AC480,IF(X480&lt;&gt;"",X480,"")))</f>
        <v/>
      </c>
      <c r="AM480" s="83" t="str">
        <f aca="false">IF(E480="","",IF(R480="","À SOUDER",IF(U480="","VT EN ATTENTE",IF(U480="R","VT REJETÉ – À REPRENDRE",IF(AL480="","À RADIOGRAPHIER",IF(AL480="A","ACCEPTÉ",IF(AL480="NX","NX – RT À REFAIRE",IF(IF(AK480=1,Z480,IF(AK480=2,AE480,""))="A","RÉPARÉ – À RADIOGRAPHIER",IF(IF(AK480=1,Z480,IF(AK480=2,AE480,""))="R","VT REJETÉ – À REPRENDRE",IF(OR(AL480="CO",AL480="NT"),"COUPE – À RESOUDER","À RÉPARER"))))))))))</f>
        <v>À SOUDER</v>
      </c>
      <c r="AN480" s="81" t="str">
        <f aca="false">IF(AND(ISNUMBER(R480),OR(AM480="À RADIOGRAPHIER",AM480="RÉPARÉ – À RADIOGRAPHIER",AM480="NX – RT À REFAIRE",AM480="À RÉPARER",AM480="COUPE – À RESOUDER",AM480="VT REJETÉ – À REPRENDRE")),MAX(0,'PROGRAMME RT'!$C$4-R480),"")</f>
        <v/>
      </c>
      <c r="AO480" s="78" t="n">
        <f aca="false">IF(AND(OR(AM480="À RADIOGRAPHIER",AM480="RÉPARÉ – À RADIOGRAPHIER",AM480="NX – RT À REFAIRE"),OR('PROGRAMME RT'!$D$5="TOUTES",B480='PROGRAMME RT'!$D$5)),1,0)</f>
        <v>0</v>
      </c>
      <c r="AP480" s="78" t="str">
        <f aca="false">IF(AO480=1,SUM(AO$7:AO480),"")</f>
        <v/>
      </c>
      <c r="AQ480" s="78" t="n">
        <f aca="false">IF(AND(OR(X480="R",X480="NX",X480="NT",X480="CO"),OR('JOINTS DE RÉPARATION'!$D$5="TOUTES",B480='JOINTS DE RÉPARATION'!$D$5),OR('JOINTS DE RÉPARATION'!$L$4="TOUS",AM480&lt;&gt;"ACCEPTÉ")),1,0)</f>
        <v>0</v>
      </c>
      <c r="AR480" s="78" t="str">
        <f aca="false">IF(AQ480=1,SUM(AQ$7:AQ480),"")</f>
        <v/>
      </c>
    </row>
    <row r="481" customFormat="false" ht="15" hidden="false" customHeight="false" outlineLevel="0" collapsed="false">
      <c r="A481" s="78" t="n">
        <f aca="false">IF(E481="","",ROW()-6)</f>
        <v>475</v>
      </c>
      <c r="B481" s="79" t="s">
        <v>585</v>
      </c>
      <c r="C481" s="80"/>
      <c r="D481" s="80"/>
      <c r="E481" s="80" t="s">
        <v>279</v>
      </c>
      <c r="F481" s="80"/>
      <c r="G481" s="80" t="s">
        <v>106</v>
      </c>
      <c r="H481" s="80"/>
      <c r="I481" s="80"/>
      <c r="J481" s="80"/>
      <c r="K481" s="80"/>
      <c r="L481" s="81" t="str">
        <f aca="false">IF(K481="","",IFERROR(INDEX(BARDAGE!$C$7:$C$1506,MATCH(K481,BARDAGE!$B$7:$B$1506,0)),"? hors registre"))</f>
        <v/>
      </c>
      <c r="M481" s="80"/>
      <c r="N481" s="81" t="str">
        <f aca="false">IF(M481="","",IFERROR(INDEX(BARDAGE!$C$7:$C$1506,MATCH(M481,BARDAGE!$B$7:$B$1506,0)),"? hors registre"))</f>
        <v/>
      </c>
      <c r="O481" s="80"/>
      <c r="P481" s="80"/>
      <c r="Q481" s="80"/>
      <c r="R481" s="82"/>
      <c r="S481" s="82"/>
      <c r="T481" s="80"/>
      <c r="U481" s="80"/>
      <c r="V481" s="82"/>
      <c r="W481" s="80"/>
      <c r="X481" s="80"/>
      <c r="Y481" s="80"/>
      <c r="Z481" s="80"/>
      <c r="AA481" s="82"/>
      <c r="AB481" s="80"/>
      <c r="AC481" s="80"/>
      <c r="AD481" s="80"/>
      <c r="AE481" s="80"/>
      <c r="AF481" s="82"/>
      <c r="AG481" s="80"/>
      <c r="AH481" s="80"/>
      <c r="AI481" s="82"/>
      <c r="AJ481" s="79"/>
      <c r="AK481" s="78" t="n">
        <f aca="false">IF(E481="","",(X481&lt;&gt;"")+(AC481&lt;&gt;"")+(AH481&lt;&gt;""))</f>
        <v>0</v>
      </c>
      <c r="AL481" s="81" t="str">
        <f aca="false">IF(AH481&lt;&gt;"",AH481,IF(AC481&lt;&gt;"",AC481,IF(X481&lt;&gt;"",X481,"")))</f>
        <v/>
      </c>
      <c r="AM481" s="83" t="str">
        <f aca="false">IF(E481="","",IF(R481="","À SOUDER",IF(U481="","VT EN ATTENTE",IF(U481="R","VT REJETÉ – À REPRENDRE",IF(AL481="","À RADIOGRAPHIER",IF(AL481="A","ACCEPTÉ",IF(AL481="NX","NX – RT À REFAIRE",IF(IF(AK481=1,Z481,IF(AK481=2,AE481,""))="A","RÉPARÉ – À RADIOGRAPHIER",IF(IF(AK481=1,Z481,IF(AK481=2,AE481,""))="R","VT REJETÉ – À REPRENDRE",IF(OR(AL481="CO",AL481="NT"),"COUPE – À RESOUDER","À RÉPARER"))))))))))</f>
        <v>À SOUDER</v>
      </c>
      <c r="AN481" s="81" t="str">
        <f aca="false">IF(AND(ISNUMBER(R481),OR(AM481="À RADIOGRAPHIER",AM481="RÉPARÉ – À RADIOGRAPHIER",AM481="NX – RT À REFAIRE",AM481="À RÉPARER",AM481="COUPE – À RESOUDER",AM481="VT REJETÉ – À REPRENDRE")),MAX(0,'PROGRAMME RT'!$C$4-R481),"")</f>
        <v/>
      </c>
      <c r="AO481" s="78" t="n">
        <f aca="false">IF(AND(OR(AM481="À RADIOGRAPHIER",AM481="RÉPARÉ – À RADIOGRAPHIER",AM481="NX – RT À REFAIRE"),OR('PROGRAMME RT'!$D$5="TOUTES",B481='PROGRAMME RT'!$D$5)),1,0)</f>
        <v>0</v>
      </c>
      <c r="AP481" s="78" t="str">
        <f aca="false">IF(AO481=1,SUM(AO$7:AO481),"")</f>
        <v/>
      </c>
      <c r="AQ481" s="78" t="n">
        <f aca="false">IF(AND(OR(X481="R",X481="NX",X481="NT",X481="CO"),OR('JOINTS DE RÉPARATION'!$D$5="TOUTES",B481='JOINTS DE RÉPARATION'!$D$5),OR('JOINTS DE RÉPARATION'!$L$4="TOUS",AM481&lt;&gt;"ACCEPTÉ")),1,0)</f>
        <v>0</v>
      </c>
      <c r="AR481" s="78" t="str">
        <f aca="false">IF(AQ481=1,SUM(AQ$7:AQ481),"")</f>
        <v/>
      </c>
    </row>
    <row r="482" customFormat="false" ht="15" hidden="false" customHeight="false" outlineLevel="0" collapsed="false">
      <c r="A482" s="78" t="n">
        <f aca="false">IF(E482="","",ROW()-6)</f>
        <v>476</v>
      </c>
      <c r="B482" s="79" t="s">
        <v>585</v>
      </c>
      <c r="C482" s="80"/>
      <c r="D482" s="80"/>
      <c r="E482" s="80" t="s">
        <v>281</v>
      </c>
      <c r="F482" s="80"/>
      <c r="G482" s="80" t="s">
        <v>106</v>
      </c>
      <c r="H482" s="80"/>
      <c r="I482" s="80"/>
      <c r="J482" s="80"/>
      <c r="K482" s="80"/>
      <c r="L482" s="81" t="str">
        <f aca="false">IF(K482="","",IFERROR(INDEX(BARDAGE!$C$7:$C$1506,MATCH(K482,BARDAGE!$B$7:$B$1506,0)),"? hors registre"))</f>
        <v/>
      </c>
      <c r="M482" s="80"/>
      <c r="N482" s="81" t="str">
        <f aca="false">IF(M482="","",IFERROR(INDEX(BARDAGE!$C$7:$C$1506,MATCH(M482,BARDAGE!$B$7:$B$1506,0)),"? hors registre"))</f>
        <v/>
      </c>
      <c r="O482" s="80"/>
      <c r="P482" s="80"/>
      <c r="Q482" s="80"/>
      <c r="R482" s="82"/>
      <c r="S482" s="82"/>
      <c r="T482" s="80"/>
      <c r="U482" s="80"/>
      <c r="V482" s="82"/>
      <c r="W482" s="80"/>
      <c r="X482" s="80"/>
      <c r="Y482" s="80"/>
      <c r="Z482" s="80"/>
      <c r="AA482" s="82"/>
      <c r="AB482" s="80"/>
      <c r="AC482" s="80"/>
      <c r="AD482" s="80"/>
      <c r="AE482" s="80"/>
      <c r="AF482" s="82"/>
      <c r="AG482" s="80"/>
      <c r="AH482" s="80"/>
      <c r="AI482" s="82"/>
      <c r="AJ482" s="79"/>
      <c r="AK482" s="78" t="n">
        <f aca="false">IF(E482="","",(X482&lt;&gt;"")+(AC482&lt;&gt;"")+(AH482&lt;&gt;""))</f>
        <v>0</v>
      </c>
      <c r="AL482" s="81" t="str">
        <f aca="false">IF(AH482&lt;&gt;"",AH482,IF(AC482&lt;&gt;"",AC482,IF(X482&lt;&gt;"",X482,"")))</f>
        <v/>
      </c>
      <c r="AM482" s="83" t="str">
        <f aca="false">IF(E482="","",IF(R482="","À SOUDER",IF(U482="","VT EN ATTENTE",IF(U482="R","VT REJETÉ – À REPRENDRE",IF(AL482="","À RADIOGRAPHIER",IF(AL482="A","ACCEPTÉ",IF(AL482="NX","NX – RT À REFAIRE",IF(IF(AK482=1,Z482,IF(AK482=2,AE482,""))="A","RÉPARÉ – À RADIOGRAPHIER",IF(IF(AK482=1,Z482,IF(AK482=2,AE482,""))="R","VT REJETÉ – À REPRENDRE",IF(OR(AL482="CO",AL482="NT"),"COUPE – À RESOUDER","À RÉPARER"))))))))))</f>
        <v>À SOUDER</v>
      </c>
      <c r="AN482" s="81" t="str">
        <f aca="false">IF(AND(ISNUMBER(R482),OR(AM482="À RADIOGRAPHIER",AM482="RÉPARÉ – À RADIOGRAPHIER",AM482="NX – RT À REFAIRE",AM482="À RÉPARER",AM482="COUPE – À RESOUDER",AM482="VT REJETÉ – À REPRENDRE")),MAX(0,'PROGRAMME RT'!$C$4-R482),"")</f>
        <v/>
      </c>
      <c r="AO482" s="78" t="n">
        <f aca="false">IF(AND(OR(AM482="À RADIOGRAPHIER",AM482="RÉPARÉ – À RADIOGRAPHIER",AM482="NX – RT À REFAIRE"),OR('PROGRAMME RT'!$D$5="TOUTES",B482='PROGRAMME RT'!$D$5)),1,0)</f>
        <v>0</v>
      </c>
      <c r="AP482" s="78" t="str">
        <f aca="false">IF(AO482=1,SUM(AO$7:AO482),"")</f>
        <v/>
      </c>
      <c r="AQ482" s="78" t="n">
        <f aca="false">IF(AND(OR(X482="R",X482="NX",X482="NT",X482="CO"),OR('JOINTS DE RÉPARATION'!$D$5="TOUTES",B482='JOINTS DE RÉPARATION'!$D$5),OR('JOINTS DE RÉPARATION'!$L$4="TOUS",AM482&lt;&gt;"ACCEPTÉ")),1,0)</f>
        <v>0</v>
      </c>
      <c r="AR482" s="78" t="str">
        <f aca="false">IF(AQ482=1,SUM(AQ$7:AQ482),"")</f>
        <v/>
      </c>
    </row>
    <row r="483" customFormat="false" ht="15" hidden="false" customHeight="false" outlineLevel="0" collapsed="false">
      <c r="A483" s="78" t="n">
        <f aca="false">IF(E483="","",ROW()-6)</f>
        <v>477</v>
      </c>
      <c r="B483" s="79" t="s">
        <v>585</v>
      </c>
      <c r="C483" s="80"/>
      <c r="D483" s="80"/>
      <c r="E483" s="80" t="s">
        <v>283</v>
      </c>
      <c r="F483" s="80"/>
      <c r="G483" s="80" t="s">
        <v>106</v>
      </c>
      <c r="H483" s="80"/>
      <c r="I483" s="80"/>
      <c r="J483" s="80"/>
      <c r="K483" s="80"/>
      <c r="L483" s="81" t="str">
        <f aca="false">IF(K483="","",IFERROR(INDEX(BARDAGE!$C$7:$C$1506,MATCH(K483,BARDAGE!$B$7:$B$1506,0)),"? hors registre"))</f>
        <v/>
      </c>
      <c r="M483" s="80"/>
      <c r="N483" s="81" t="str">
        <f aca="false">IF(M483="","",IFERROR(INDEX(BARDAGE!$C$7:$C$1506,MATCH(M483,BARDAGE!$B$7:$B$1506,0)),"? hors registre"))</f>
        <v/>
      </c>
      <c r="O483" s="80"/>
      <c r="P483" s="80"/>
      <c r="Q483" s="80"/>
      <c r="R483" s="82"/>
      <c r="S483" s="82"/>
      <c r="T483" s="80"/>
      <c r="U483" s="80"/>
      <c r="V483" s="82"/>
      <c r="W483" s="80"/>
      <c r="X483" s="80"/>
      <c r="Y483" s="80"/>
      <c r="Z483" s="80"/>
      <c r="AA483" s="82"/>
      <c r="AB483" s="80"/>
      <c r="AC483" s="80"/>
      <c r="AD483" s="80"/>
      <c r="AE483" s="80"/>
      <c r="AF483" s="82"/>
      <c r="AG483" s="80"/>
      <c r="AH483" s="80"/>
      <c r="AI483" s="82"/>
      <c r="AJ483" s="79"/>
      <c r="AK483" s="78" t="n">
        <f aca="false">IF(E483="","",(X483&lt;&gt;"")+(AC483&lt;&gt;"")+(AH483&lt;&gt;""))</f>
        <v>0</v>
      </c>
      <c r="AL483" s="81" t="str">
        <f aca="false">IF(AH483&lt;&gt;"",AH483,IF(AC483&lt;&gt;"",AC483,IF(X483&lt;&gt;"",X483,"")))</f>
        <v/>
      </c>
      <c r="AM483" s="83" t="str">
        <f aca="false">IF(E483="","",IF(R483="","À SOUDER",IF(U483="","VT EN ATTENTE",IF(U483="R","VT REJETÉ – À REPRENDRE",IF(AL483="","À RADIOGRAPHIER",IF(AL483="A","ACCEPTÉ",IF(AL483="NX","NX – RT À REFAIRE",IF(IF(AK483=1,Z483,IF(AK483=2,AE483,""))="A","RÉPARÉ – À RADIOGRAPHIER",IF(IF(AK483=1,Z483,IF(AK483=2,AE483,""))="R","VT REJETÉ – À REPRENDRE",IF(OR(AL483="CO",AL483="NT"),"COUPE – À RESOUDER","À RÉPARER"))))))))))</f>
        <v>À SOUDER</v>
      </c>
      <c r="AN483" s="81" t="str">
        <f aca="false">IF(AND(ISNUMBER(R483),OR(AM483="À RADIOGRAPHIER",AM483="RÉPARÉ – À RADIOGRAPHIER",AM483="NX – RT À REFAIRE",AM483="À RÉPARER",AM483="COUPE – À RESOUDER",AM483="VT REJETÉ – À REPRENDRE")),MAX(0,'PROGRAMME RT'!$C$4-R483),"")</f>
        <v/>
      </c>
      <c r="AO483" s="78" t="n">
        <f aca="false">IF(AND(OR(AM483="À RADIOGRAPHIER",AM483="RÉPARÉ – À RADIOGRAPHIER",AM483="NX – RT À REFAIRE"),OR('PROGRAMME RT'!$D$5="TOUTES",B483='PROGRAMME RT'!$D$5)),1,0)</f>
        <v>0</v>
      </c>
      <c r="AP483" s="78" t="str">
        <f aca="false">IF(AO483=1,SUM(AO$7:AO483),"")</f>
        <v/>
      </c>
      <c r="AQ483" s="78" t="n">
        <f aca="false">IF(AND(OR(X483="R",X483="NX",X483="NT",X483="CO"),OR('JOINTS DE RÉPARATION'!$D$5="TOUTES",B483='JOINTS DE RÉPARATION'!$D$5),OR('JOINTS DE RÉPARATION'!$L$4="TOUS",AM483&lt;&gt;"ACCEPTÉ")),1,0)</f>
        <v>0</v>
      </c>
      <c r="AR483" s="78" t="str">
        <f aca="false">IF(AQ483=1,SUM(AQ$7:AQ483),"")</f>
        <v/>
      </c>
    </row>
    <row r="484" customFormat="false" ht="15" hidden="false" customHeight="false" outlineLevel="0" collapsed="false">
      <c r="A484" s="78" t="n">
        <f aca="false">IF(E484="","",ROW()-6)</f>
        <v>478</v>
      </c>
      <c r="B484" s="79" t="s">
        <v>585</v>
      </c>
      <c r="C484" s="80"/>
      <c r="D484" s="80"/>
      <c r="E484" s="80" t="s">
        <v>285</v>
      </c>
      <c r="F484" s="80"/>
      <c r="G484" s="80" t="s">
        <v>106</v>
      </c>
      <c r="H484" s="80"/>
      <c r="I484" s="80"/>
      <c r="J484" s="80"/>
      <c r="K484" s="80"/>
      <c r="L484" s="81" t="str">
        <f aca="false">IF(K484="","",IFERROR(INDEX(BARDAGE!$C$7:$C$1506,MATCH(K484,BARDAGE!$B$7:$B$1506,0)),"? hors registre"))</f>
        <v/>
      </c>
      <c r="M484" s="80"/>
      <c r="N484" s="81" t="str">
        <f aca="false">IF(M484="","",IFERROR(INDEX(BARDAGE!$C$7:$C$1506,MATCH(M484,BARDAGE!$B$7:$B$1506,0)),"? hors registre"))</f>
        <v/>
      </c>
      <c r="O484" s="80"/>
      <c r="P484" s="80"/>
      <c r="Q484" s="80"/>
      <c r="R484" s="82"/>
      <c r="S484" s="82"/>
      <c r="T484" s="80"/>
      <c r="U484" s="80"/>
      <c r="V484" s="82"/>
      <c r="W484" s="80"/>
      <c r="X484" s="80"/>
      <c r="Y484" s="80"/>
      <c r="Z484" s="80"/>
      <c r="AA484" s="82"/>
      <c r="AB484" s="80"/>
      <c r="AC484" s="80"/>
      <c r="AD484" s="80"/>
      <c r="AE484" s="80"/>
      <c r="AF484" s="82"/>
      <c r="AG484" s="80"/>
      <c r="AH484" s="80"/>
      <c r="AI484" s="82"/>
      <c r="AJ484" s="79"/>
      <c r="AK484" s="78" t="n">
        <f aca="false">IF(E484="","",(X484&lt;&gt;"")+(AC484&lt;&gt;"")+(AH484&lt;&gt;""))</f>
        <v>0</v>
      </c>
      <c r="AL484" s="81" t="str">
        <f aca="false">IF(AH484&lt;&gt;"",AH484,IF(AC484&lt;&gt;"",AC484,IF(X484&lt;&gt;"",X484,"")))</f>
        <v/>
      </c>
      <c r="AM484" s="83" t="str">
        <f aca="false">IF(E484="","",IF(R484="","À SOUDER",IF(U484="","VT EN ATTENTE",IF(U484="R","VT REJETÉ – À REPRENDRE",IF(AL484="","À RADIOGRAPHIER",IF(AL484="A","ACCEPTÉ",IF(AL484="NX","NX – RT À REFAIRE",IF(IF(AK484=1,Z484,IF(AK484=2,AE484,""))="A","RÉPARÉ – À RADIOGRAPHIER",IF(IF(AK484=1,Z484,IF(AK484=2,AE484,""))="R","VT REJETÉ – À REPRENDRE",IF(OR(AL484="CO",AL484="NT"),"COUPE – À RESOUDER","À RÉPARER"))))))))))</f>
        <v>À SOUDER</v>
      </c>
      <c r="AN484" s="81" t="str">
        <f aca="false">IF(AND(ISNUMBER(R484),OR(AM484="À RADIOGRAPHIER",AM484="RÉPARÉ – À RADIOGRAPHIER",AM484="NX – RT À REFAIRE",AM484="À RÉPARER",AM484="COUPE – À RESOUDER",AM484="VT REJETÉ – À REPRENDRE")),MAX(0,'PROGRAMME RT'!$C$4-R484),"")</f>
        <v/>
      </c>
      <c r="AO484" s="78" t="n">
        <f aca="false">IF(AND(OR(AM484="À RADIOGRAPHIER",AM484="RÉPARÉ – À RADIOGRAPHIER",AM484="NX – RT À REFAIRE"),OR('PROGRAMME RT'!$D$5="TOUTES",B484='PROGRAMME RT'!$D$5)),1,0)</f>
        <v>0</v>
      </c>
      <c r="AP484" s="78" t="str">
        <f aca="false">IF(AO484=1,SUM(AO$7:AO484),"")</f>
        <v/>
      </c>
      <c r="AQ484" s="78" t="n">
        <f aca="false">IF(AND(OR(X484="R",X484="NX",X484="NT",X484="CO"),OR('JOINTS DE RÉPARATION'!$D$5="TOUTES",B484='JOINTS DE RÉPARATION'!$D$5),OR('JOINTS DE RÉPARATION'!$L$4="TOUS",AM484&lt;&gt;"ACCEPTÉ")),1,0)</f>
        <v>0</v>
      </c>
      <c r="AR484" s="78" t="str">
        <f aca="false">IF(AQ484=1,SUM(AQ$7:AQ484),"")</f>
        <v/>
      </c>
    </row>
    <row r="485" customFormat="false" ht="15" hidden="false" customHeight="false" outlineLevel="0" collapsed="false">
      <c r="A485" s="78" t="n">
        <f aca="false">IF(E485="","",ROW()-6)</f>
        <v>479</v>
      </c>
      <c r="B485" s="79" t="s">
        <v>585</v>
      </c>
      <c r="C485" s="80"/>
      <c r="D485" s="80"/>
      <c r="E485" s="80" t="s">
        <v>287</v>
      </c>
      <c r="F485" s="80"/>
      <c r="G485" s="80" t="s">
        <v>106</v>
      </c>
      <c r="H485" s="80"/>
      <c r="I485" s="80"/>
      <c r="J485" s="80"/>
      <c r="K485" s="80"/>
      <c r="L485" s="81" t="str">
        <f aca="false">IF(K485="","",IFERROR(INDEX(BARDAGE!$C$7:$C$1506,MATCH(K485,BARDAGE!$B$7:$B$1506,0)),"? hors registre"))</f>
        <v/>
      </c>
      <c r="M485" s="80"/>
      <c r="N485" s="81" t="str">
        <f aca="false">IF(M485="","",IFERROR(INDEX(BARDAGE!$C$7:$C$1506,MATCH(M485,BARDAGE!$B$7:$B$1506,0)),"? hors registre"))</f>
        <v/>
      </c>
      <c r="O485" s="80"/>
      <c r="P485" s="80"/>
      <c r="Q485" s="80"/>
      <c r="R485" s="82"/>
      <c r="S485" s="82"/>
      <c r="T485" s="80"/>
      <c r="U485" s="80"/>
      <c r="V485" s="82"/>
      <c r="W485" s="80"/>
      <c r="X485" s="80"/>
      <c r="Y485" s="80"/>
      <c r="Z485" s="80"/>
      <c r="AA485" s="82"/>
      <c r="AB485" s="80"/>
      <c r="AC485" s="80"/>
      <c r="AD485" s="80"/>
      <c r="AE485" s="80"/>
      <c r="AF485" s="82"/>
      <c r="AG485" s="80"/>
      <c r="AH485" s="80"/>
      <c r="AI485" s="82"/>
      <c r="AJ485" s="79"/>
      <c r="AK485" s="78" t="n">
        <f aca="false">IF(E485="","",(X485&lt;&gt;"")+(AC485&lt;&gt;"")+(AH485&lt;&gt;""))</f>
        <v>0</v>
      </c>
      <c r="AL485" s="81" t="str">
        <f aca="false">IF(AH485&lt;&gt;"",AH485,IF(AC485&lt;&gt;"",AC485,IF(X485&lt;&gt;"",X485,"")))</f>
        <v/>
      </c>
      <c r="AM485" s="83" t="str">
        <f aca="false">IF(E485="","",IF(R485="","À SOUDER",IF(U485="","VT EN ATTENTE",IF(U485="R","VT REJETÉ – À REPRENDRE",IF(AL485="","À RADIOGRAPHIER",IF(AL485="A","ACCEPTÉ",IF(AL485="NX","NX – RT À REFAIRE",IF(IF(AK485=1,Z485,IF(AK485=2,AE485,""))="A","RÉPARÉ – À RADIOGRAPHIER",IF(IF(AK485=1,Z485,IF(AK485=2,AE485,""))="R","VT REJETÉ – À REPRENDRE",IF(OR(AL485="CO",AL485="NT"),"COUPE – À RESOUDER","À RÉPARER"))))))))))</f>
        <v>À SOUDER</v>
      </c>
      <c r="AN485" s="81" t="str">
        <f aca="false">IF(AND(ISNUMBER(R485),OR(AM485="À RADIOGRAPHIER",AM485="RÉPARÉ – À RADIOGRAPHIER",AM485="NX – RT À REFAIRE",AM485="À RÉPARER",AM485="COUPE – À RESOUDER",AM485="VT REJETÉ – À REPRENDRE")),MAX(0,'PROGRAMME RT'!$C$4-R485),"")</f>
        <v/>
      </c>
      <c r="AO485" s="78" t="n">
        <f aca="false">IF(AND(OR(AM485="À RADIOGRAPHIER",AM485="RÉPARÉ – À RADIOGRAPHIER",AM485="NX – RT À REFAIRE"),OR('PROGRAMME RT'!$D$5="TOUTES",B485='PROGRAMME RT'!$D$5)),1,0)</f>
        <v>0</v>
      </c>
      <c r="AP485" s="78" t="str">
        <f aca="false">IF(AO485=1,SUM(AO$7:AO485),"")</f>
        <v/>
      </c>
      <c r="AQ485" s="78" t="n">
        <f aca="false">IF(AND(OR(X485="R",X485="NX",X485="NT",X485="CO"),OR('JOINTS DE RÉPARATION'!$D$5="TOUTES",B485='JOINTS DE RÉPARATION'!$D$5),OR('JOINTS DE RÉPARATION'!$L$4="TOUS",AM485&lt;&gt;"ACCEPTÉ")),1,0)</f>
        <v>0</v>
      </c>
      <c r="AR485" s="78" t="str">
        <f aca="false">IF(AQ485=1,SUM(AQ$7:AQ485),"")</f>
        <v/>
      </c>
    </row>
    <row r="486" customFormat="false" ht="15" hidden="false" customHeight="false" outlineLevel="0" collapsed="false">
      <c r="A486" s="78" t="n">
        <f aca="false">IF(E486="","",ROW()-6)</f>
        <v>480</v>
      </c>
      <c r="B486" s="79" t="s">
        <v>585</v>
      </c>
      <c r="C486" s="80"/>
      <c r="D486" s="80"/>
      <c r="E486" s="80" t="s">
        <v>290</v>
      </c>
      <c r="F486" s="80"/>
      <c r="G486" s="80" t="s">
        <v>106</v>
      </c>
      <c r="H486" s="80"/>
      <c r="I486" s="80"/>
      <c r="J486" s="80"/>
      <c r="K486" s="80"/>
      <c r="L486" s="81" t="str">
        <f aca="false">IF(K486="","",IFERROR(INDEX(BARDAGE!$C$7:$C$1506,MATCH(K486,BARDAGE!$B$7:$B$1506,0)),"? hors registre"))</f>
        <v/>
      </c>
      <c r="M486" s="80"/>
      <c r="N486" s="81" t="str">
        <f aca="false">IF(M486="","",IFERROR(INDEX(BARDAGE!$C$7:$C$1506,MATCH(M486,BARDAGE!$B$7:$B$1506,0)),"? hors registre"))</f>
        <v/>
      </c>
      <c r="O486" s="80"/>
      <c r="P486" s="80"/>
      <c r="Q486" s="80"/>
      <c r="R486" s="82"/>
      <c r="S486" s="82"/>
      <c r="T486" s="80"/>
      <c r="U486" s="80"/>
      <c r="V486" s="82"/>
      <c r="W486" s="80"/>
      <c r="X486" s="80"/>
      <c r="Y486" s="80"/>
      <c r="Z486" s="80"/>
      <c r="AA486" s="82"/>
      <c r="AB486" s="80"/>
      <c r="AC486" s="80"/>
      <c r="AD486" s="80"/>
      <c r="AE486" s="80"/>
      <c r="AF486" s="82"/>
      <c r="AG486" s="80"/>
      <c r="AH486" s="80"/>
      <c r="AI486" s="82"/>
      <c r="AJ486" s="79"/>
      <c r="AK486" s="78" t="n">
        <f aca="false">IF(E486="","",(X486&lt;&gt;"")+(AC486&lt;&gt;"")+(AH486&lt;&gt;""))</f>
        <v>0</v>
      </c>
      <c r="AL486" s="81" t="str">
        <f aca="false">IF(AH486&lt;&gt;"",AH486,IF(AC486&lt;&gt;"",AC486,IF(X486&lt;&gt;"",X486,"")))</f>
        <v/>
      </c>
      <c r="AM486" s="83" t="str">
        <f aca="false">IF(E486="","",IF(R486="","À SOUDER",IF(U486="","VT EN ATTENTE",IF(U486="R","VT REJETÉ – À REPRENDRE",IF(AL486="","À RADIOGRAPHIER",IF(AL486="A","ACCEPTÉ",IF(AL486="NX","NX – RT À REFAIRE",IF(IF(AK486=1,Z486,IF(AK486=2,AE486,""))="A","RÉPARÉ – À RADIOGRAPHIER",IF(IF(AK486=1,Z486,IF(AK486=2,AE486,""))="R","VT REJETÉ – À REPRENDRE",IF(OR(AL486="CO",AL486="NT"),"COUPE – À RESOUDER","À RÉPARER"))))))))))</f>
        <v>À SOUDER</v>
      </c>
      <c r="AN486" s="81" t="str">
        <f aca="false">IF(AND(ISNUMBER(R486),OR(AM486="À RADIOGRAPHIER",AM486="RÉPARÉ – À RADIOGRAPHIER",AM486="NX – RT À REFAIRE",AM486="À RÉPARER",AM486="COUPE – À RESOUDER",AM486="VT REJETÉ – À REPRENDRE")),MAX(0,'PROGRAMME RT'!$C$4-R486),"")</f>
        <v/>
      </c>
      <c r="AO486" s="78" t="n">
        <f aca="false">IF(AND(OR(AM486="À RADIOGRAPHIER",AM486="RÉPARÉ – À RADIOGRAPHIER",AM486="NX – RT À REFAIRE"),OR('PROGRAMME RT'!$D$5="TOUTES",B486='PROGRAMME RT'!$D$5)),1,0)</f>
        <v>0</v>
      </c>
      <c r="AP486" s="78" t="str">
        <f aca="false">IF(AO486=1,SUM(AO$7:AO486),"")</f>
        <v/>
      </c>
      <c r="AQ486" s="78" t="n">
        <f aca="false">IF(AND(OR(X486="R",X486="NX",X486="NT",X486="CO"),OR('JOINTS DE RÉPARATION'!$D$5="TOUTES",B486='JOINTS DE RÉPARATION'!$D$5),OR('JOINTS DE RÉPARATION'!$L$4="TOUS",AM486&lt;&gt;"ACCEPTÉ")),1,0)</f>
        <v>0</v>
      </c>
      <c r="AR486" s="78" t="str">
        <f aca="false">IF(AQ486=1,SUM(AQ$7:AQ486),"")</f>
        <v/>
      </c>
    </row>
    <row r="487" customFormat="false" ht="15" hidden="false" customHeight="false" outlineLevel="0" collapsed="false">
      <c r="A487" s="78" t="n">
        <f aca="false">IF(E487="","",ROW()-6)</f>
        <v>481</v>
      </c>
      <c r="B487" s="79" t="s">
        <v>585</v>
      </c>
      <c r="C487" s="80"/>
      <c r="D487" s="80"/>
      <c r="E487" s="80" t="s">
        <v>293</v>
      </c>
      <c r="F487" s="80"/>
      <c r="G487" s="80" t="s">
        <v>106</v>
      </c>
      <c r="H487" s="80"/>
      <c r="I487" s="80"/>
      <c r="J487" s="80"/>
      <c r="K487" s="80"/>
      <c r="L487" s="81" t="str">
        <f aca="false">IF(K487="","",IFERROR(INDEX(BARDAGE!$C$7:$C$1506,MATCH(K487,BARDAGE!$B$7:$B$1506,0)),"? hors registre"))</f>
        <v/>
      </c>
      <c r="M487" s="80"/>
      <c r="N487" s="81" t="str">
        <f aca="false">IF(M487="","",IFERROR(INDEX(BARDAGE!$C$7:$C$1506,MATCH(M487,BARDAGE!$B$7:$B$1506,0)),"? hors registre"))</f>
        <v/>
      </c>
      <c r="O487" s="80"/>
      <c r="P487" s="80"/>
      <c r="Q487" s="80"/>
      <c r="R487" s="82"/>
      <c r="S487" s="82"/>
      <c r="T487" s="80"/>
      <c r="U487" s="80"/>
      <c r="V487" s="82"/>
      <c r="W487" s="80"/>
      <c r="X487" s="80"/>
      <c r="Y487" s="80"/>
      <c r="Z487" s="80"/>
      <c r="AA487" s="82"/>
      <c r="AB487" s="80"/>
      <c r="AC487" s="80"/>
      <c r="AD487" s="80"/>
      <c r="AE487" s="80"/>
      <c r="AF487" s="82"/>
      <c r="AG487" s="80"/>
      <c r="AH487" s="80"/>
      <c r="AI487" s="82"/>
      <c r="AJ487" s="79"/>
      <c r="AK487" s="78" t="n">
        <f aca="false">IF(E487="","",(X487&lt;&gt;"")+(AC487&lt;&gt;"")+(AH487&lt;&gt;""))</f>
        <v>0</v>
      </c>
      <c r="AL487" s="81" t="str">
        <f aca="false">IF(AH487&lt;&gt;"",AH487,IF(AC487&lt;&gt;"",AC487,IF(X487&lt;&gt;"",X487,"")))</f>
        <v/>
      </c>
      <c r="AM487" s="83" t="str">
        <f aca="false">IF(E487="","",IF(R487="","À SOUDER",IF(U487="","VT EN ATTENTE",IF(U487="R","VT REJETÉ – À REPRENDRE",IF(AL487="","À RADIOGRAPHIER",IF(AL487="A","ACCEPTÉ",IF(AL487="NX","NX – RT À REFAIRE",IF(IF(AK487=1,Z487,IF(AK487=2,AE487,""))="A","RÉPARÉ – À RADIOGRAPHIER",IF(IF(AK487=1,Z487,IF(AK487=2,AE487,""))="R","VT REJETÉ – À REPRENDRE",IF(OR(AL487="CO",AL487="NT"),"COUPE – À RESOUDER","À RÉPARER"))))))))))</f>
        <v>À SOUDER</v>
      </c>
      <c r="AN487" s="81" t="str">
        <f aca="false">IF(AND(ISNUMBER(R487),OR(AM487="À RADIOGRAPHIER",AM487="RÉPARÉ – À RADIOGRAPHIER",AM487="NX – RT À REFAIRE",AM487="À RÉPARER",AM487="COUPE – À RESOUDER",AM487="VT REJETÉ – À REPRENDRE")),MAX(0,'PROGRAMME RT'!$C$4-R487),"")</f>
        <v/>
      </c>
      <c r="AO487" s="78" t="n">
        <f aca="false">IF(AND(OR(AM487="À RADIOGRAPHIER",AM487="RÉPARÉ – À RADIOGRAPHIER",AM487="NX – RT À REFAIRE"),OR('PROGRAMME RT'!$D$5="TOUTES",B487='PROGRAMME RT'!$D$5)),1,0)</f>
        <v>0</v>
      </c>
      <c r="AP487" s="78" t="str">
        <f aca="false">IF(AO487=1,SUM(AO$7:AO487),"")</f>
        <v/>
      </c>
      <c r="AQ487" s="78" t="n">
        <f aca="false">IF(AND(OR(X487="R",X487="NX",X487="NT",X487="CO"),OR('JOINTS DE RÉPARATION'!$D$5="TOUTES",B487='JOINTS DE RÉPARATION'!$D$5),OR('JOINTS DE RÉPARATION'!$L$4="TOUS",AM487&lt;&gt;"ACCEPTÉ")),1,0)</f>
        <v>0</v>
      </c>
      <c r="AR487" s="78" t="str">
        <f aca="false">IF(AQ487=1,SUM(AQ$7:AQ487),"")</f>
        <v/>
      </c>
    </row>
    <row r="488" customFormat="false" ht="15" hidden="false" customHeight="false" outlineLevel="0" collapsed="false">
      <c r="A488" s="78" t="n">
        <f aca="false">IF(E488="","",ROW()-6)</f>
        <v>482</v>
      </c>
      <c r="B488" s="79" t="s">
        <v>585</v>
      </c>
      <c r="C488" s="80"/>
      <c r="D488" s="80"/>
      <c r="E488" s="80" t="s">
        <v>295</v>
      </c>
      <c r="F488" s="80"/>
      <c r="G488" s="80" t="s">
        <v>106</v>
      </c>
      <c r="H488" s="80"/>
      <c r="I488" s="80"/>
      <c r="J488" s="80"/>
      <c r="K488" s="80"/>
      <c r="L488" s="81" t="str">
        <f aca="false">IF(K488="","",IFERROR(INDEX(BARDAGE!$C$7:$C$1506,MATCH(K488,BARDAGE!$B$7:$B$1506,0)),"? hors registre"))</f>
        <v/>
      </c>
      <c r="M488" s="80"/>
      <c r="N488" s="81" t="str">
        <f aca="false">IF(M488="","",IFERROR(INDEX(BARDAGE!$C$7:$C$1506,MATCH(M488,BARDAGE!$B$7:$B$1506,0)),"? hors registre"))</f>
        <v/>
      </c>
      <c r="O488" s="80"/>
      <c r="P488" s="80"/>
      <c r="Q488" s="80"/>
      <c r="R488" s="82"/>
      <c r="S488" s="82"/>
      <c r="T488" s="80"/>
      <c r="U488" s="80"/>
      <c r="V488" s="82"/>
      <c r="W488" s="80"/>
      <c r="X488" s="80"/>
      <c r="Y488" s="80"/>
      <c r="Z488" s="80"/>
      <c r="AA488" s="82"/>
      <c r="AB488" s="80"/>
      <c r="AC488" s="80"/>
      <c r="AD488" s="80"/>
      <c r="AE488" s="80"/>
      <c r="AF488" s="82"/>
      <c r="AG488" s="80"/>
      <c r="AH488" s="80"/>
      <c r="AI488" s="82"/>
      <c r="AJ488" s="79"/>
      <c r="AK488" s="78" t="n">
        <f aca="false">IF(E488="","",(X488&lt;&gt;"")+(AC488&lt;&gt;"")+(AH488&lt;&gt;""))</f>
        <v>0</v>
      </c>
      <c r="AL488" s="81" t="str">
        <f aca="false">IF(AH488&lt;&gt;"",AH488,IF(AC488&lt;&gt;"",AC488,IF(X488&lt;&gt;"",X488,"")))</f>
        <v/>
      </c>
      <c r="AM488" s="83" t="str">
        <f aca="false">IF(E488="","",IF(R488="","À SOUDER",IF(U488="","VT EN ATTENTE",IF(U488="R","VT REJETÉ – À REPRENDRE",IF(AL488="","À RADIOGRAPHIER",IF(AL488="A","ACCEPTÉ",IF(AL488="NX","NX – RT À REFAIRE",IF(IF(AK488=1,Z488,IF(AK488=2,AE488,""))="A","RÉPARÉ – À RADIOGRAPHIER",IF(IF(AK488=1,Z488,IF(AK488=2,AE488,""))="R","VT REJETÉ – À REPRENDRE",IF(OR(AL488="CO",AL488="NT"),"COUPE – À RESOUDER","À RÉPARER"))))))))))</f>
        <v>À SOUDER</v>
      </c>
      <c r="AN488" s="81" t="str">
        <f aca="false">IF(AND(ISNUMBER(R488),OR(AM488="À RADIOGRAPHIER",AM488="RÉPARÉ – À RADIOGRAPHIER",AM488="NX – RT À REFAIRE",AM488="À RÉPARER",AM488="COUPE – À RESOUDER",AM488="VT REJETÉ – À REPRENDRE")),MAX(0,'PROGRAMME RT'!$C$4-R488),"")</f>
        <v/>
      </c>
      <c r="AO488" s="78" t="n">
        <f aca="false">IF(AND(OR(AM488="À RADIOGRAPHIER",AM488="RÉPARÉ – À RADIOGRAPHIER",AM488="NX – RT À REFAIRE"),OR('PROGRAMME RT'!$D$5="TOUTES",B488='PROGRAMME RT'!$D$5)),1,0)</f>
        <v>0</v>
      </c>
      <c r="AP488" s="78" t="str">
        <f aca="false">IF(AO488=1,SUM(AO$7:AO488),"")</f>
        <v/>
      </c>
      <c r="AQ488" s="78" t="n">
        <f aca="false">IF(AND(OR(X488="R",X488="NX",X488="NT",X488="CO"),OR('JOINTS DE RÉPARATION'!$D$5="TOUTES",B488='JOINTS DE RÉPARATION'!$D$5),OR('JOINTS DE RÉPARATION'!$L$4="TOUS",AM488&lt;&gt;"ACCEPTÉ")),1,0)</f>
        <v>0</v>
      </c>
      <c r="AR488" s="78" t="str">
        <f aca="false">IF(AQ488=1,SUM(AQ$7:AQ488),"")</f>
        <v/>
      </c>
    </row>
    <row r="489" customFormat="false" ht="15" hidden="false" customHeight="false" outlineLevel="0" collapsed="false">
      <c r="A489" s="78" t="n">
        <f aca="false">IF(E489="","",ROW()-6)</f>
        <v>483</v>
      </c>
      <c r="B489" s="79" t="s">
        <v>585</v>
      </c>
      <c r="C489" s="80"/>
      <c r="D489" s="80"/>
      <c r="E489" s="80" t="s">
        <v>297</v>
      </c>
      <c r="F489" s="80"/>
      <c r="G489" s="80" t="s">
        <v>106</v>
      </c>
      <c r="H489" s="80"/>
      <c r="I489" s="80"/>
      <c r="J489" s="80"/>
      <c r="K489" s="80"/>
      <c r="L489" s="81" t="str">
        <f aca="false">IF(K489="","",IFERROR(INDEX(BARDAGE!$C$7:$C$1506,MATCH(K489,BARDAGE!$B$7:$B$1506,0)),"? hors registre"))</f>
        <v/>
      </c>
      <c r="M489" s="80"/>
      <c r="N489" s="81" t="str">
        <f aca="false">IF(M489="","",IFERROR(INDEX(BARDAGE!$C$7:$C$1506,MATCH(M489,BARDAGE!$B$7:$B$1506,0)),"? hors registre"))</f>
        <v/>
      </c>
      <c r="O489" s="80"/>
      <c r="P489" s="80"/>
      <c r="Q489" s="80"/>
      <c r="R489" s="82"/>
      <c r="S489" s="82"/>
      <c r="T489" s="80"/>
      <c r="U489" s="80"/>
      <c r="V489" s="82"/>
      <c r="W489" s="80"/>
      <c r="X489" s="80"/>
      <c r="Y489" s="80"/>
      <c r="Z489" s="80"/>
      <c r="AA489" s="82"/>
      <c r="AB489" s="80"/>
      <c r="AC489" s="80"/>
      <c r="AD489" s="80"/>
      <c r="AE489" s="80"/>
      <c r="AF489" s="82"/>
      <c r="AG489" s="80"/>
      <c r="AH489" s="80"/>
      <c r="AI489" s="82"/>
      <c r="AJ489" s="79"/>
      <c r="AK489" s="78" t="n">
        <f aca="false">IF(E489="","",(X489&lt;&gt;"")+(AC489&lt;&gt;"")+(AH489&lt;&gt;""))</f>
        <v>0</v>
      </c>
      <c r="AL489" s="81" t="str">
        <f aca="false">IF(AH489&lt;&gt;"",AH489,IF(AC489&lt;&gt;"",AC489,IF(X489&lt;&gt;"",X489,"")))</f>
        <v/>
      </c>
      <c r="AM489" s="83" t="str">
        <f aca="false">IF(E489="","",IF(R489="","À SOUDER",IF(U489="","VT EN ATTENTE",IF(U489="R","VT REJETÉ – À REPRENDRE",IF(AL489="","À RADIOGRAPHIER",IF(AL489="A","ACCEPTÉ",IF(AL489="NX","NX – RT À REFAIRE",IF(IF(AK489=1,Z489,IF(AK489=2,AE489,""))="A","RÉPARÉ – À RADIOGRAPHIER",IF(IF(AK489=1,Z489,IF(AK489=2,AE489,""))="R","VT REJETÉ – À REPRENDRE",IF(OR(AL489="CO",AL489="NT"),"COUPE – À RESOUDER","À RÉPARER"))))))))))</f>
        <v>À SOUDER</v>
      </c>
      <c r="AN489" s="81" t="str">
        <f aca="false">IF(AND(ISNUMBER(R489),OR(AM489="À RADIOGRAPHIER",AM489="RÉPARÉ – À RADIOGRAPHIER",AM489="NX – RT À REFAIRE",AM489="À RÉPARER",AM489="COUPE – À RESOUDER",AM489="VT REJETÉ – À REPRENDRE")),MAX(0,'PROGRAMME RT'!$C$4-R489),"")</f>
        <v/>
      </c>
      <c r="AO489" s="78" t="n">
        <f aca="false">IF(AND(OR(AM489="À RADIOGRAPHIER",AM489="RÉPARÉ – À RADIOGRAPHIER",AM489="NX – RT À REFAIRE"),OR('PROGRAMME RT'!$D$5="TOUTES",B489='PROGRAMME RT'!$D$5)),1,0)</f>
        <v>0</v>
      </c>
      <c r="AP489" s="78" t="str">
        <f aca="false">IF(AO489=1,SUM(AO$7:AO489),"")</f>
        <v/>
      </c>
      <c r="AQ489" s="78" t="n">
        <f aca="false">IF(AND(OR(X489="R",X489="NX",X489="NT",X489="CO"),OR('JOINTS DE RÉPARATION'!$D$5="TOUTES",B489='JOINTS DE RÉPARATION'!$D$5),OR('JOINTS DE RÉPARATION'!$L$4="TOUS",AM489&lt;&gt;"ACCEPTÉ")),1,0)</f>
        <v>0</v>
      </c>
      <c r="AR489" s="78" t="str">
        <f aca="false">IF(AQ489=1,SUM(AQ$7:AQ489),"")</f>
        <v/>
      </c>
    </row>
    <row r="490" customFormat="false" ht="15" hidden="false" customHeight="false" outlineLevel="0" collapsed="false">
      <c r="A490" s="78" t="n">
        <f aca="false">IF(E490="","",ROW()-6)</f>
        <v>484</v>
      </c>
      <c r="B490" s="79" t="s">
        <v>585</v>
      </c>
      <c r="C490" s="80"/>
      <c r="D490" s="80"/>
      <c r="E490" s="80" t="s">
        <v>299</v>
      </c>
      <c r="F490" s="80"/>
      <c r="G490" s="80" t="s">
        <v>106</v>
      </c>
      <c r="H490" s="80"/>
      <c r="I490" s="80"/>
      <c r="J490" s="80"/>
      <c r="K490" s="80"/>
      <c r="L490" s="81" t="str">
        <f aca="false">IF(K490="","",IFERROR(INDEX(BARDAGE!$C$7:$C$1506,MATCH(K490,BARDAGE!$B$7:$B$1506,0)),"? hors registre"))</f>
        <v/>
      </c>
      <c r="M490" s="80"/>
      <c r="N490" s="81" t="str">
        <f aca="false">IF(M490="","",IFERROR(INDEX(BARDAGE!$C$7:$C$1506,MATCH(M490,BARDAGE!$B$7:$B$1506,0)),"? hors registre"))</f>
        <v/>
      </c>
      <c r="O490" s="80"/>
      <c r="P490" s="80"/>
      <c r="Q490" s="80"/>
      <c r="R490" s="82"/>
      <c r="S490" s="82"/>
      <c r="T490" s="80"/>
      <c r="U490" s="80"/>
      <c r="V490" s="82"/>
      <c r="W490" s="80"/>
      <c r="X490" s="80"/>
      <c r="Y490" s="80"/>
      <c r="Z490" s="80"/>
      <c r="AA490" s="82"/>
      <c r="AB490" s="80"/>
      <c r="AC490" s="80"/>
      <c r="AD490" s="80"/>
      <c r="AE490" s="80"/>
      <c r="AF490" s="82"/>
      <c r="AG490" s="80"/>
      <c r="AH490" s="80"/>
      <c r="AI490" s="82"/>
      <c r="AJ490" s="79"/>
      <c r="AK490" s="78" t="n">
        <f aca="false">IF(E490="","",(X490&lt;&gt;"")+(AC490&lt;&gt;"")+(AH490&lt;&gt;""))</f>
        <v>0</v>
      </c>
      <c r="AL490" s="81" t="str">
        <f aca="false">IF(AH490&lt;&gt;"",AH490,IF(AC490&lt;&gt;"",AC490,IF(X490&lt;&gt;"",X490,"")))</f>
        <v/>
      </c>
      <c r="AM490" s="83" t="str">
        <f aca="false">IF(E490="","",IF(R490="","À SOUDER",IF(U490="","VT EN ATTENTE",IF(U490="R","VT REJETÉ – À REPRENDRE",IF(AL490="","À RADIOGRAPHIER",IF(AL490="A","ACCEPTÉ",IF(AL490="NX","NX – RT À REFAIRE",IF(IF(AK490=1,Z490,IF(AK490=2,AE490,""))="A","RÉPARÉ – À RADIOGRAPHIER",IF(IF(AK490=1,Z490,IF(AK490=2,AE490,""))="R","VT REJETÉ – À REPRENDRE",IF(OR(AL490="CO",AL490="NT"),"COUPE – À RESOUDER","À RÉPARER"))))))))))</f>
        <v>À SOUDER</v>
      </c>
      <c r="AN490" s="81" t="str">
        <f aca="false">IF(AND(ISNUMBER(R490),OR(AM490="À RADIOGRAPHIER",AM490="RÉPARÉ – À RADIOGRAPHIER",AM490="NX – RT À REFAIRE",AM490="À RÉPARER",AM490="COUPE – À RESOUDER",AM490="VT REJETÉ – À REPRENDRE")),MAX(0,'PROGRAMME RT'!$C$4-R490),"")</f>
        <v/>
      </c>
      <c r="AO490" s="78" t="n">
        <f aca="false">IF(AND(OR(AM490="À RADIOGRAPHIER",AM490="RÉPARÉ – À RADIOGRAPHIER",AM490="NX – RT À REFAIRE"),OR('PROGRAMME RT'!$D$5="TOUTES",B490='PROGRAMME RT'!$D$5)),1,0)</f>
        <v>0</v>
      </c>
      <c r="AP490" s="78" t="str">
        <f aca="false">IF(AO490=1,SUM(AO$7:AO490),"")</f>
        <v/>
      </c>
      <c r="AQ490" s="78" t="n">
        <f aca="false">IF(AND(OR(X490="R",X490="NX",X490="NT",X490="CO"),OR('JOINTS DE RÉPARATION'!$D$5="TOUTES",B490='JOINTS DE RÉPARATION'!$D$5),OR('JOINTS DE RÉPARATION'!$L$4="TOUS",AM490&lt;&gt;"ACCEPTÉ")),1,0)</f>
        <v>0</v>
      </c>
      <c r="AR490" s="78" t="str">
        <f aca="false">IF(AQ490=1,SUM(AQ$7:AQ490),"")</f>
        <v/>
      </c>
    </row>
    <row r="491" customFormat="false" ht="15" hidden="false" customHeight="false" outlineLevel="0" collapsed="false">
      <c r="A491" s="78" t="n">
        <f aca="false">IF(E491="","",ROW()-6)</f>
        <v>485</v>
      </c>
      <c r="B491" s="79" t="s">
        <v>585</v>
      </c>
      <c r="C491" s="80"/>
      <c r="D491" s="80"/>
      <c r="E491" s="80" t="s">
        <v>301</v>
      </c>
      <c r="F491" s="80"/>
      <c r="G491" s="80" t="s">
        <v>106</v>
      </c>
      <c r="H491" s="80"/>
      <c r="I491" s="80"/>
      <c r="J491" s="80"/>
      <c r="K491" s="80"/>
      <c r="L491" s="81" t="str">
        <f aca="false">IF(K491="","",IFERROR(INDEX(BARDAGE!$C$7:$C$1506,MATCH(K491,BARDAGE!$B$7:$B$1506,0)),"? hors registre"))</f>
        <v/>
      </c>
      <c r="M491" s="80"/>
      <c r="N491" s="81" t="str">
        <f aca="false">IF(M491="","",IFERROR(INDEX(BARDAGE!$C$7:$C$1506,MATCH(M491,BARDAGE!$B$7:$B$1506,0)),"? hors registre"))</f>
        <v/>
      </c>
      <c r="O491" s="80"/>
      <c r="P491" s="80"/>
      <c r="Q491" s="80"/>
      <c r="R491" s="82"/>
      <c r="S491" s="82"/>
      <c r="T491" s="80"/>
      <c r="U491" s="80"/>
      <c r="V491" s="82"/>
      <c r="W491" s="80"/>
      <c r="X491" s="80"/>
      <c r="Y491" s="80"/>
      <c r="Z491" s="80"/>
      <c r="AA491" s="82"/>
      <c r="AB491" s="80"/>
      <c r="AC491" s="80"/>
      <c r="AD491" s="80"/>
      <c r="AE491" s="80"/>
      <c r="AF491" s="82"/>
      <c r="AG491" s="80"/>
      <c r="AH491" s="80"/>
      <c r="AI491" s="82"/>
      <c r="AJ491" s="79"/>
      <c r="AK491" s="78" t="n">
        <f aca="false">IF(E491="","",(X491&lt;&gt;"")+(AC491&lt;&gt;"")+(AH491&lt;&gt;""))</f>
        <v>0</v>
      </c>
      <c r="AL491" s="81" t="str">
        <f aca="false">IF(AH491&lt;&gt;"",AH491,IF(AC491&lt;&gt;"",AC491,IF(X491&lt;&gt;"",X491,"")))</f>
        <v/>
      </c>
      <c r="AM491" s="83" t="str">
        <f aca="false">IF(E491="","",IF(R491="","À SOUDER",IF(U491="","VT EN ATTENTE",IF(U491="R","VT REJETÉ – À REPRENDRE",IF(AL491="","À RADIOGRAPHIER",IF(AL491="A","ACCEPTÉ",IF(AL491="NX","NX – RT À REFAIRE",IF(IF(AK491=1,Z491,IF(AK491=2,AE491,""))="A","RÉPARÉ – À RADIOGRAPHIER",IF(IF(AK491=1,Z491,IF(AK491=2,AE491,""))="R","VT REJETÉ – À REPRENDRE",IF(OR(AL491="CO",AL491="NT"),"COUPE – À RESOUDER","À RÉPARER"))))))))))</f>
        <v>À SOUDER</v>
      </c>
      <c r="AN491" s="81" t="str">
        <f aca="false">IF(AND(ISNUMBER(R491),OR(AM491="À RADIOGRAPHIER",AM491="RÉPARÉ – À RADIOGRAPHIER",AM491="NX – RT À REFAIRE",AM491="À RÉPARER",AM491="COUPE – À RESOUDER",AM491="VT REJETÉ – À REPRENDRE")),MAX(0,'PROGRAMME RT'!$C$4-R491),"")</f>
        <v/>
      </c>
      <c r="AO491" s="78" t="n">
        <f aca="false">IF(AND(OR(AM491="À RADIOGRAPHIER",AM491="RÉPARÉ – À RADIOGRAPHIER",AM491="NX – RT À REFAIRE"),OR('PROGRAMME RT'!$D$5="TOUTES",B491='PROGRAMME RT'!$D$5)),1,0)</f>
        <v>0</v>
      </c>
      <c r="AP491" s="78" t="str">
        <f aca="false">IF(AO491=1,SUM(AO$7:AO491),"")</f>
        <v/>
      </c>
      <c r="AQ491" s="78" t="n">
        <f aca="false">IF(AND(OR(X491="R",X491="NX",X491="NT",X491="CO"),OR('JOINTS DE RÉPARATION'!$D$5="TOUTES",B491='JOINTS DE RÉPARATION'!$D$5),OR('JOINTS DE RÉPARATION'!$L$4="TOUS",AM491&lt;&gt;"ACCEPTÉ")),1,0)</f>
        <v>0</v>
      </c>
      <c r="AR491" s="78" t="str">
        <f aca="false">IF(AQ491=1,SUM(AQ$7:AQ491),"")</f>
        <v/>
      </c>
    </row>
    <row r="492" customFormat="false" ht="15" hidden="false" customHeight="false" outlineLevel="0" collapsed="false">
      <c r="A492" s="78" t="n">
        <f aca="false">IF(E492="","",ROW()-6)</f>
        <v>486</v>
      </c>
      <c r="B492" s="79" t="s">
        <v>585</v>
      </c>
      <c r="C492" s="80"/>
      <c r="D492" s="80"/>
      <c r="E492" s="80" t="s">
        <v>303</v>
      </c>
      <c r="F492" s="80"/>
      <c r="G492" s="80" t="s">
        <v>106</v>
      </c>
      <c r="H492" s="80"/>
      <c r="I492" s="80"/>
      <c r="J492" s="80"/>
      <c r="K492" s="80"/>
      <c r="L492" s="81" t="str">
        <f aca="false">IF(K492="","",IFERROR(INDEX(BARDAGE!$C$7:$C$1506,MATCH(K492,BARDAGE!$B$7:$B$1506,0)),"? hors registre"))</f>
        <v/>
      </c>
      <c r="M492" s="80"/>
      <c r="N492" s="81" t="str">
        <f aca="false">IF(M492="","",IFERROR(INDEX(BARDAGE!$C$7:$C$1506,MATCH(M492,BARDAGE!$B$7:$B$1506,0)),"? hors registre"))</f>
        <v/>
      </c>
      <c r="O492" s="80"/>
      <c r="P492" s="80"/>
      <c r="Q492" s="80"/>
      <c r="R492" s="82"/>
      <c r="S492" s="82"/>
      <c r="T492" s="80"/>
      <c r="U492" s="80"/>
      <c r="V492" s="82"/>
      <c r="W492" s="80"/>
      <c r="X492" s="80"/>
      <c r="Y492" s="80"/>
      <c r="Z492" s="80"/>
      <c r="AA492" s="82"/>
      <c r="AB492" s="80"/>
      <c r="AC492" s="80"/>
      <c r="AD492" s="80"/>
      <c r="AE492" s="80"/>
      <c r="AF492" s="82"/>
      <c r="AG492" s="80"/>
      <c r="AH492" s="80"/>
      <c r="AI492" s="82"/>
      <c r="AJ492" s="79"/>
      <c r="AK492" s="78" t="n">
        <f aca="false">IF(E492="","",(X492&lt;&gt;"")+(AC492&lt;&gt;"")+(AH492&lt;&gt;""))</f>
        <v>0</v>
      </c>
      <c r="AL492" s="81" t="str">
        <f aca="false">IF(AH492&lt;&gt;"",AH492,IF(AC492&lt;&gt;"",AC492,IF(X492&lt;&gt;"",X492,"")))</f>
        <v/>
      </c>
      <c r="AM492" s="83" t="str">
        <f aca="false">IF(E492="","",IF(R492="","À SOUDER",IF(U492="","VT EN ATTENTE",IF(U492="R","VT REJETÉ – À REPRENDRE",IF(AL492="","À RADIOGRAPHIER",IF(AL492="A","ACCEPTÉ",IF(AL492="NX","NX – RT À REFAIRE",IF(IF(AK492=1,Z492,IF(AK492=2,AE492,""))="A","RÉPARÉ – À RADIOGRAPHIER",IF(IF(AK492=1,Z492,IF(AK492=2,AE492,""))="R","VT REJETÉ – À REPRENDRE",IF(OR(AL492="CO",AL492="NT"),"COUPE – À RESOUDER","À RÉPARER"))))))))))</f>
        <v>À SOUDER</v>
      </c>
      <c r="AN492" s="81" t="str">
        <f aca="false">IF(AND(ISNUMBER(R492),OR(AM492="À RADIOGRAPHIER",AM492="RÉPARÉ – À RADIOGRAPHIER",AM492="NX – RT À REFAIRE",AM492="À RÉPARER",AM492="COUPE – À RESOUDER",AM492="VT REJETÉ – À REPRENDRE")),MAX(0,'PROGRAMME RT'!$C$4-R492),"")</f>
        <v/>
      </c>
      <c r="AO492" s="78" t="n">
        <f aca="false">IF(AND(OR(AM492="À RADIOGRAPHIER",AM492="RÉPARÉ – À RADIOGRAPHIER",AM492="NX – RT À REFAIRE"),OR('PROGRAMME RT'!$D$5="TOUTES",B492='PROGRAMME RT'!$D$5)),1,0)</f>
        <v>0</v>
      </c>
      <c r="AP492" s="78" t="str">
        <f aca="false">IF(AO492=1,SUM(AO$7:AO492),"")</f>
        <v/>
      </c>
      <c r="AQ492" s="78" t="n">
        <f aca="false">IF(AND(OR(X492="R",X492="NX",X492="NT",X492="CO"),OR('JOINTS DE RÉPARATION'!$D$5="TOUTES",B492='JOINTS DE RÉPARATION'!$D$5),OR('JOINTS DE RÉPARATION'!$L$4="TOUS",AM492&lt;&gt;"ACCEPTÉ")),1,0)</f>
        <v>0</v>
      </c>
      <c r="AR492" s="78" t="str">
        <f aca="false">IF(AQ492=1,SUM(AQ$7:AQ492),"")</f>
        <v/>
      </c>
    </row>
    <row r="493" customFormat="false" ht="15" hidden="false" customHeight="false" outlineLevel="0" collapsed="false">
      <c r="A493" s="78" t="n">
        <f aca="false">IF(E493="","",ROW()-6)</f>
        <v>487</v>
      </c>
      <c r="B493" s="79" t="s">
        <v>585</v>
      </c>
      <c r="C493" s="80"/>
      <c r="D493" s="80"/>
      <c r="E493" s="80" t="s">
        <v>305</v>
      </c>
      <c r="F493" s="80"/>
      <c r="G493" s="80" t="s">
        <v>106</v>
      </c>
      <c r="H493" s="80"/>
      <c r="I493" s="80"/>
      <c r="J493" s="80"/>
      <c r="K493" s="80"/>
      <c r="L493" s="81" t="str">
        <f aca="false">IF(K493="","",IFERROR(INDEX(BARDAGE!$C$7:$C$1506,MATCH(K493,BARDAGE!$B$7:$B$1506,0)),"? hors registre"))</f>
        <v/>
      </c>
      <c r="M493" s="80"/>
      <c r="N493" s="81" t="str">
        <f aca="false">IF(M493="","",IFERROR(INDEX(BARDAGE!$C$7:$C$1506,MATCH(M493,BARDAGE!$B$7:$B$1506,0)),"? hors registre"))</f>
        <v/>
      </c>
      <c r="O493" s="80"/>
      <c r="P493" s="80"/>
      <c r="Q493" s="80"/>
      <c r="R493" s="82"/>
      <c r="S493" s="82"/>
      <c r="T493" s="80"/>
      <c r="U493" s="80"/>
      <c r="V493" s="82"/>
      <c r="W493" s="80"/>
      <c r="X493" s="80"/>
      <c r="Y493" s="80"/>
      <c r="Z493" s="80"/>
      <c r="AA493" s="82"/>
      <c r="AB493" s="80"/>
      <c r="AC493" s="80"/>
      <c r="AD493" s="80"/>
      <c r="AE493" s="80"/>
      <c r="AF493" s="82"/>
      <c r="AG493" s="80"/>
      <c r="AH493" s="80"/>
      <c r="AI493" s="82"/>
      <c r="AJ493" s="79"/>
      <c r="AK493" s="78" t="n">
        <f aca="false">IF(E493="","",(X493&lt;&gt;"")+(AC493&lt;&gt;"")+(AH493&lt;&gt;""))</f>
        <v>0</v>
      </c>
      <c r="AL493" s="81" t="str">
        <f aca="false">IF(AH493&lt;&gt;"",AH493,IF(AC493&lt;&gt;"",AC493,IF(X493&lt;&gt;"",X493,"")))</f>
        <v/>
      </c>
      <c r="AM493" s="83" t="str">
        <f aca="false">IF(E493="","",IF(R493="","À SOUDER",IF(U493="","VT EN ATTENTE",IF(U493="R","VT REJETÉ – À REPRENDRE",IF(AL493="","À RADIOGRAPHIER",IF(AL493="A","ACCEPTÉ",IF(AL493="NX","NX – RT À REFAIRE",IF(IF(AK493=1,Z493,IF(AK493=2,AE493,""))="A","RÉPARÉ – À RADIOGRAPHIER",IF(IF(AK493=1,Z493,IF(AK493=2,AE493,""))="R","VT REJETÉ – À REPRENDRE",IF(OR(AL493="CO",AL493="NT"),"COUPE – À RESOUDER","À RÉPARER"))))))))))</f>
        <v>À SOUDER</v>
      </c>
      <c r="AN493" s="81" t="str">
        <f aca="false">IF(AND(ISNUMBER(R493),OR(AM493="À RADIOGRAPHIER",AM493="RÉPARÉ – À RADIOGRAPHIER",AM493="NX – RT À REFAIRE",AM493="À RÉPARER",AM493="COUPE – À RESOUDER",AM493="VT REJETÉ – À REPRENDRE")),MAX(0,'PROGRAMME RT'!$C$4-R493),"")</f>
        <v/>
      </c>
      <c r="AO493" s="78" t="n">
        <f aca="false">IF(AND(OR(AM493="À RADIOGRAPHIER",AM493="RÉPARÉ – À RADIOGRAPHIER",AM493="NX – RT À REFAIRE"),OR('PROGRAMME RT'!$D$5="TOUTES",B493='PROGRAMME RT'!$D$5)),1,0)</f>
        <v>0</v>
      </c>
      <c r="AP493" s="78" t="str">
        <f aca="false">IF(AO493=1,SUM(AO$7:AO493),"")</f>
        <v/>
      </c>
      <c r="AQ493" s="78" t="n">
        <f aca="false">IF(AND(OR(X493="R",X493="NX",X493="NT",X493="CO"),OR('JOINTS DE RÉPARATION'!$D$5="TOUTES",B493='JOINTS DE RÉPARATION'!$D$5),OR('JOINTS DE RÉPARATION'!$L$4="TOUS",AM493&lt;&gt;"ACCEPTÉ")),1,0)</f>
        <v>0</v>
      </c>
      <c r="AR493" s="78" t="str">
        <f aca="false">IF(AQ493=1,SUM(AQ$7:AQ493),"")</f>
        <v/>
      </c>
    </row>
    <row r="494" customFormat="false" ht="15" hidden="false" customHeight="false" outlineLevel="0" collapsed="false">
      <c r="A494" s="78" t="n">
        <f aca="false">IF(E494="","",ROW()-6)</f>
        <v>488</v>
      </c>
      <c r="B494" s="79" t="s">
        <v>585</v>
      </c>
      <c r="C494" s="80"/>
      <c r="D494" s="80"/>
      <c r="E494" s="80" t="s">
        <v>307</v>
      </c>
      <c r="F494" s="80"/>
      <c r="G494" s="80" t="s">
        <v>106</v>
      </c>
      <c r="H494" s="80"/>
      <c r="I494" s="80"/>
      <c r="J494" s="80"/>
      <c r="K494" s="80"/>
      <c r="L494" s="81" t="str">
        <f aca="false">IF(K494="","",IFERROR(INDEX(BARDAGE!$C$7:$C$1506,MATCH(K494,BARDAGE!$B$7:$B$1506,0)),"? hors registre"))</f>
        <v/>
      </c>
      <c r="M494" s="80"/>
      <c r="N494" s="81" t="str">
        <f aca="false">IF(M494="","",IFERROR(INDEX(BARDAGE!$C$7:$C$1506,MATCH(M494,BARDAGE!$B$7:$B$1506,0)),"? hors registre"))</f>
        <v/>
      </c>
      <c r="O494" s="80"/>
      <c r="P494" s="80"/>
      <c r="Q494" s="80"/>
      <c r="R494" s="82"/>
      <c r="S494" s="82"/>
      <c r="T494" s="80"/>
      <c r="U494" s="80"/>
      <c r="V494" s="82"/>
      <c r="W494" s="80"/>
      <c r="X494" s="80"/>
      <c r="Y494" s="80"/>
      <c r="Z494" s="80"/>
      <c r="AA494" s="82"/>
      <c r="AB494" s="80"/>
      <c r="AC494" s="80"/>
      <c r="AD494" s="80"/>
      <c r="AE494" s="80"/>
      <c r="AF494" s="82"/>
      <c r="AG494" s="80"/>
      <c r="AH494" s="80"/>
      <c r="AI494" s="82"/>
      <c r="AJ494" s="79"/>
      <c r="AK494" s="78" t="n">
        <f aca="false">IF(E494="","",(X494&lt;&gt;"")+(AC494&lt;&gt;"")+(AH494&lt;&gt;""))</f>
        <v>0</v>
      </c>
      <c r="AL494" s="81" t="str">
        <f aca="false">IF(AH494&lt;&gt;"",AH494,IF(AC494&lt;&gt;"",AC494,IF(X494&lt;&gt;"",X494,"")))</f>
        <v/>
      </c>
      <c r="AM494" s="83" t="str">
        <f aca="false">IF(E494="","",IF(R494="","À SOUDER",IF(U494="","VT EN ATTENTE",IF(U494="R","VT REJETÉ – À REPRENDRE",IF(AL494="","À RADIOGRAPHIER",IF(AL494="A","ACCEPTÉ",IF(AL494="NX","NX – RT À REFAIRE",IF(IF(AK494=1,Z494,IF(AK494=2,AE494,""))="A","RÉPARÉ – À RADIOGRAPHIER",IF(IF(AK494=1,Z494,IF(AK494=2,AE494,""))="R","VT REJETÉ – À REPRENDRE",IF(OR(AL494="CO",AL494="NT"),"COUPE – À RESOUDER","À RÉPARER"))))))))))</f>
        <v>À SOUDER</v>
      </c>
      <c r="AN494" s="81" t="str">
        <f aca="false">IF(AND(ISNUMBER(R494),OR(AM494="À RADIOGRAPHIER",AM494="RÉPARÉ – À RADIOGRAPHIER",AM494="NX – RT À REFAIRE",AM494="À RÉPARER",AM494="COUPE – À RESOUDER",AM494="VT REJETÉ – À REPRENDRE")),MAX(0,'PROGRAMME RT'!$C$4-R494),"")</f>
        <v/>
      </c>
      <c r="AO494" s="78" t="n">
        <f aca="false">IF(AND(OR(AM494="À RADIOGRAPHIER",AM494="RÉPARÉ – À RADIOGRAPHIER",AM494="NX – RT À REFAIRE"),OR('PROGRAMME RT'!$D$5="TOUTES",B494='PROGRAMME RT'!$D$5)),1,0)</f>
        <v>0</v>
      </c>
      <c r="AP494" s="78" t="str">
        <f aca="false">IF(AO494=1,SUM(AO$7:AO494),"")</f>
        <v/>
      </c>
      <c r="AQ494" s="78" t="n">
        <f aca="false">IF(AND(OR(X494="R",X494="NX",X494="NT",X494="CO"),OR('JOINTS DE RÉPARATION'!$D$5="TOUTES",B494='JOINTS DE RÉPARATION'!$D$5),OR('JOINTS DE RÉPARATION'!$L$4="TOUS",AM494&lt;&gt;"ACCEPTÉ")),1,0)</f>
        <v>0</v>
      </c>
      <c r="AR494" s="78" t="str">
        <f aca="false">IF(AQ494=1,SUM(AQ$7:AQ494),"")</f>
        <v/>
      </c>
    </row>
    <row r="495" customFormat="false" ht="15" hidden="false" customHeight="false" outlineLevel="0" collapsed="false">
      <c r="A495" s="78" t="n">
        <f aca="false">IF(E495="","",ROW()-6)</f>
        <v>489</v>
      </c>
      <c r="B495" s="79" t="s">
        <v>585</v>
      </c>
      <c r="C495" s="80"/>
      <c r="D495" s="80"/>
      <c r="E495" s="80" t="s">
        <v>309</v>
      </c>
      <c r="F495" s="80"/>
      <c r="G495" s="80" t="s">
        <v>106</v>
      </c>
      <c r="H495" s="80"/>
      <c r="I495" s="80"/>
      <c r="J495" s="80"/>
      <c r="K495" s="80"/>
      <c r="L495" s="81" t="str">
        <f aca="false">IF(K495="","",IFERROR(INDEX(BARDAGE!$C$7:$C$1506,MATCH(K495,BARDAGE!$B$7:$B$1506,0)),"? hors registre"))</f>
        <v/>
      </c>
      <c r="M495" s="80"/>
      <c r="N495" s="81" t="str">
        <f aca="false">IF(M495="","",IFERROR(INDEX(BARDAGE!$C$7:$C$1506,MATCH(M495,BARDAGE!$B$7:$B$1506,0)),"? hors registre"))</f>
        <v/>
      </c>
      <c r="O495" s="80"/>
      <c r="P495" s="80"/>
      <c r="Q495" s="80"/>
      <c r="R495" s="82"/>
      <c r="S495" s="82"/>
      <c r="T495" s="80"/>
      <c r="U495" s="80"/>
      <c r="V495" s="82"/>
      <c r="W495" s="80"/>
      <c r="X495" s="80"/>
      <c r="Y495" s="80"/>
      <c r="Z495" s="80"/>
      <c r="AA495" s="82"/>
      <c r="AB495" s="80"/>
      <c r="AC495" s="80"/>
      <c r="AD495" s="80"/>
      <c r="AE495" s="80"/>
      <c r="AF495" s="82"/>
      <c r="AG495" s="80"/>
      <c r="AH495" s="80"/>
      <c r="AI495" s="82"/>
      <c r="AJ495" s="79"/>
      <c r="AK495" s="78" t="n">
        <f aca="false">IF(E495="","",(X495&lt;&gt;"")+(AC495&lt;&gt;"")+(AH495&lt;&gt;""))</f>
        <v>0</v>
      </c>
      <c r="AL495" s="81" t="str">
        <f aca="false">IF(AH495&lt;&gt;"",AH495,IF(AC495&lt;&gt;"",AC495,IF(X495&lt;&gt;"",X495,"")))</f>
        <v/>
      </c>
      <c r="AM495" s="83" t="str">
        <f aca="false">IF(E495="","",IF(R495="","À SOUDER",IF(U495="","VT EN ATTENTE",IF(U495="R","VT REJETÉ – À REPRENDRE",IF(AL495="","À RADIOGRAPHIER",IF(AL495="A","ACCEPTÉ",IF(AL495="NX","NX – RT À REFAIRE",IF(IF(AK495=1,Z495,IF(AK495=2,AE495,""))="A","RÉPARÉ – À RADIOGRAPHIER",IF(IF(AK495=1,Z495,IF(AK495=2,AE495,""))="R","VT REJETÉ – À REPRENDRE",IF(OR(AL495="CO",AL495="NT"),"COUPE – À RESOUDER","À RÉPARER"))))))))))</f>
        <v>À SOUDER</v>
      </c>
      <c r="AN495" s="81" t="str">
        <f aca="false">IF(AND(ISNUMBER(R495),OR(AM495="À RADIOGRAPHIER",AM495="RÉPARÉ – À RADIOGRAPHIER",AM495="NX – RT À REFAIRE",AM495="À RÉPARER",AM495="COUPE – À RESOUDER",AM495="VT REJETÉ – À REPRENDRE")),MAX(0,'PROGRAMME RT'!$C$4-R495),"")</f>
        <v/>
      </c>
      <c r="AO495" s="78" t="n">
        <f aca="false">IF(AND(OR(AM495="À RADIOGRAPHIER",AM495="RÉPARÉ – À RADIOGRAPHIER",AM495="NX – RT À REFAIRE"),OR('PROGRAMME RT'!$D$5="TOUTES",B495='PROGRAMME RT'!$D$5)),1,0)</f>
        <v>0</v>
      </c>
      <c r="AP495" s="78" t="str">
        <f aca="false">IF(AO495=1,SUM(AO$7:AO495),"")</f>
        <v/>
      </c>
      <c r="AQ495" s="78" t="n">
        <f aca="false">IF(AND(OR(X495="R",X495="NX",X495="NT",X495="CO"),OR('JOINTS DE RÉPARATION'!$D$5="TOUTES",B495='JOINTS DE RÉPARATION'!$D$5),OR('JOINTS DE RÉPARATION'!$L$4="TOUS",AM495&lt;&gt;"ACCEPTÉ")),1,0)</f>
        <v>0</v>
      </c>
      <c r="AR495" s="78" t="str">
        <f aca="false">IF(AQ495=1,SUM(AQ$7:AQ495),"")</f>
        <v/>
      </c>
    </row>
    <row r="496" customFormat="false" ht="15" hidden="false" customHeight="false" outlineLevel="0" collapsed="false">
      <c r="A496" s="78" t="n">
        <f aca="false">IF(E496="","",ROW()-6)</f>
        <v>490</v>
      </c>
      <c r="B496" s="79" t="s">
        <v>585</v>
      </c>
      <c r="C496" s="80"/>
      <c r="D496" s="80"/>
      <c r="E496" s="80" t="s">
        <v>311</v>
      </c>
      <c r="F496" s="80"/>
      <c r="G496" s="80" t="s">
        <v>106</v>
      </c>
      <c r="H496" s="80"/>
      <c r="I496" s="80"/>
      <c r="J496" s="80"/>
      <c r="K496" s="80"/>
      <c r="L496" s="81" t="str">
        <f aca="false">IF(K496="","",IFERROR(INDEX(BARDAGE!$C$7:$C$1506,MATCH(K496,BARDAGE!$B$7:$B$1506,0)),"? hors registre"))</f>
        <v/>
      </c>
      <c r="M496" s="80"/>
      <c r="N496" s="81" t="str">
        <f aca="false">IF(M496="","",IFERROR(INDEX(BARDAGE!$C$7:$C$1506,MATCH(M496,BARDAGE!$B$7:$B$1506,0)),"? hors registre"))</f>
        <v/>
      </c>
      <c r="O496" s="80"/>
      <c r="P496" s="80"/>
      <c r="Q496" s="80"/>
      <c r="R496" s="82"/>
      <c r="S496" s="82"/>
      <c r="T496" s="80"/>
      <c r="U496" s="80"/>
      <c r="V496" s="82"/>
      <c r="W496" s="80"/>
      <c r="X496" s="80"/>
      <c r="Y496" s="80"/>
      <c r="Z496" s="80"/>
      <c r="AA496" s="82"/>
      <c r="AB496" s="80"/>
      <c r="AC496" s="80"/>
      <c r="AD496" s="80"/>
      <c r="AE496" s="80"/>
      <c r="AF496" s="82"/>
      <c r="AG496" s="80"/>
      <c r="AH496" s="80"/>
      <c r="AI496" s="82"/>
      <c r="AJ496" s="79"/>
      <c r="AK496" s="78" t="n">
        <f aca="false">IF(E496="","",(X496&lt;&gt;"")+(AC496&lt;&gt;"")+(AH496&lt;&gt;""))</f>
        <v>0</v>
      </c>
      <c r="AL496" s="81" t="str">
        <f aca="false">IF(AH496&lt;&gt;"",AH496,IF(AC496&lt;&gt;"",AC496,IF(X496&lt;&gt;"",X496,"")))</f>
        <v/>
      </c>
      <c r="AM496" s="83" t="str">
        <f aca="false">IF(E496="","",IF(R496="","À SOUDER",IF(U496="","VT EN ATTENTE",IF(U496="R","VT REJETÉ – À REPRENDRE",IF(AL496="","À RADIOGRAPHIER",IF(AL496="A","ACCEPTÉ",IF(AL496="NX","NX – RT À REFAIRE",IF(IF(AK496=1,Z496,IF(AK496=2,AE496,""))="A","RÉPARÉ – À RADIOGRAPHIER",IF(IF(AK496=1,Z496,IF(AK496=2,AE496,""))="R","VT REJETÉ – À REPRENDRE",IF(OR(AL496="CO",AL496="NT"),"COUPE – À RESOUDER","À RÉPARER"))))))))))</f>
        <v>À SOUDER</v>
      </c>
      <c r="AN496" s="81" t="str">
        <f aca="false">IF(AND(ISNUMBER(R496),OR(AM496="À RADIOGRAPHIER",AM496="RÉPARÉ – À RADIOGRAPHIER",AM496="NX – RT À REFAIRE",AM496="À RÉPARER",AM496="COUPE – À RESOUDER",AM496="VT REJETÉ – À REPRENDRE")),MAX(0,'PROGRAMME RT'!$C$4-R496),"")</f>
        <v/>
      </c>
      <c r="AO496" s="78" t="n">
        <f aca="false">IF(AND(OR(AM496="À RADIOGRAPHIER",AM496="RÉPARÉ – À RADIOGRAPHIER",AM496="NX – RT À REFAIRE"),OR('PROGRAMME RT'!$D$5="TOUTES",B496='PROGRAMME RT'!$D$5)),1,0)</f>
        <v>0</v>
      </c>
      <c r="AP496" s="78" t="str">
        <f aca="false">IF(AO496=1,SUM(AO$7:AO496),"")</f>
        <v/>
      </c>
      <c r="AQ496" s="78" t="n">
        <f aca="false">IF(AND(OR(X496="R",X496="NX",X496="NT",X496="CO"),OR('JOINTS DE RÉPARATION'!$D$5="TOUTES",B496='JOINTS DE RÉPARATION'!$D$5),OR('JOINTS DE RÉPARATION'!$L$4="TOUS",AM496&lt;&gt;"ACCEPTÉ")),1,0)</f>
        <v>0</v>
      </c>
      <c r="AR496" s="78" t="str">
        <f aca="false">IF(AQ496=1,SUM(AQ$7:AQ496),"")</f>
        <v/>
      </c>
    </row>
    <row r="497" customFormat="false" ht="15" hidden="false" customHeight="false" outlineLevel="0" collapsed="false">
      <c r="A497" s="78" t="n">
        <f aca="false">IF(E497="","",ROW()-6)</f>
        <v>491</v>
      </c>
      <c r="B497" s="79" t="s">
        <v>585</v>
      </c>
      <c r="C497" s="80"/>
      <c r="D497" s="80"/>
      <c r="E497" s="80" t="s">
        <v>313</v>
      </c>
      <c r="F497" s="80"/>
      <c r="G497" s="80" t="s">
        <v>106</v>
      </c>
      <c r="H497" s="80"/>
      <c r="I497" s="80"/>
      <c r="J497" s="80"/>
      <c r="K497" s="80"/>
      <c r="L497" s="81" t="str">
        <f aca="false">IF(K497="","",IFERROR(INDEX(BARDAGE!$C$7:$C$1506,MATCH(K497,BARDAGE!$B$7:$B$1506,0)),"? hors registre"))</f>
        <v/>
      </c>
      <c r="M497" s="80"/>
      <c r="N497" s="81" t="str">
        <f aca="false">IF(M497="","",IFERROR(INDEX(BARDAGE!$C$7:$C$1506,MATCH(M497,BARDAGE!$B$7:$B$1506,0)),"? hors registre"))</f>
        <v/>
      </c>
      <c r="O497" s="80"/>
      <c r="P497" s="80"/>
      <c r="Q497" s="80"/>
      <c r="R497" s="82"/>
      <c r="S497" s="82"/>
      <c r="T497" s="80"/>
      <c r="U497" s="80"/>
      <c r="V497" s="82"/>
      <c r="W497" s="80"/>
      <c r="X497" s="80"/>
      <c r="Y497" s="80"/>
      <c r="Z497" s="80"/>
      <c r="AA497" s="82"/>
      <c r="AB497" s="80"/>
      <c r="AC497" s="80"/>
      <c r="AD497" s="80"/>
      <c r="AE497" s="80"/>
      <c r="AF497" s="82"/>
      <c r="AG497" s="80"/>
      <c r="AH497" s="80"/>
      <c r="AI497" s="82"/>
      <c r="AJ497" s="79"/>
      <c r="AK497" s="78" t="n">
        <f aca="false">IF(E497="","",(X497&lt;&gt;"")+(AC497&lt;&gt;"")+(AH497&lt;&gt;""))</f>
        <v>0</v>
      </c>
      <c r="AL497" s="81" t="str">
        <f aca="false">IF(AH497&lt;&gt;"",AH497,IF(AC497&lt;&gt;"",AC497,IF(X497&lt;&gt;"",X497,"")))</f>
        <v/>
      </c>
      <c r="AM497" s="83" t="str">
        <f aca="false">IF(E497="","",IF(R497="","À SOUDER",IF(U497="","VT EN ATTENTE",IF(U497="R","VT REJETÉ – À REPRENDRE",IF(AL497="","À RADIOGRAPHIER",IF(AL497="A","ACCEPTÉ",IF(AL497="NX","NX – RT À REFAIRE",IF(IF(AK497=1,Z497,IF(AK497=2,AE497,""))="A","RÉPARÉ – À RADIOGRAPHIER",IF(IF(AK497=1,Z497,IF(AK497=2,AE497,""))="R","VT REJETÉ – À REPRENDRE",IF(OR(AL497="CO",AL497="NT"),"COUPE – À RESOUDER","À RÉPARER"))))))))))</f>
        <v>À SOUDER</v>
      </c>
      <c r="AN497" s="81" t="str">
        <f aca="false">IF(AND(ISNUMBER(R497),OR(AM497="À RADIOGRAPHIER",AM497="RÉPARÉ – À RADIOGRAPHIER",AM497="NX – RT À REFAIRE",AM497="À RÉPARER",AM497="COUPE – À RESOUDER",AM497="VT REJETÉ – À REPRENDRE")),MAX(0,'PROGRAMME RT'!$C$4-R497),"")</f>
        <v/>
      </c>
      <c r="AO497" s="78" t="n">
        <f aca="false">IF(AND(OR(AM497="À RADIOGRAPHIER",AM497="RÉPARÉ – À RADIOGRAPHIER",AM497="NX – RT À REFAIRE"),OR('PROGRAMME RT'!$D$5="TOUTES",B497='PROGRAMME RT'!$D$5)),1,0)</f>
        <v>0</v>
      </c>
      <c r="AP497" s="78" t="str">
        <f aca="false">IF(AO497=1,SUM(AO$7:AO497),"")</f>
        <v/>
      </c>
      <c r="AQ497" s="78" t="n">
        <f aca="false">IF(AND(OR(X497="R",X497="NX",X497="NT",X497="CO"),OR('JOINTS DE RÉPARATION'!$D$5="TOUTES",B497='JOINTS DE RÉPARATION'!$D$5),OR('JOINTS DE RÉPARATION'!$L$4="TOUS",AM497&lt;&gt;"ACCEPTÉ")),1,0)</f>
        <v>0</v>
      </c>
      <c r="AR497" s="78" t="str">
        <f aca="false">IF(AQ497=1,SUM(AQ$7:AQ497),"")</f>
        <v/>
      </c>
    </row>
    <row r="498" customFormat="false" ht="15" hidden="false" customHeight="false" outlineLevel="0" collapsed="false">
      <c r="A498" s="78" t="n">
        <f aca="false">IF(E498="","",ROW()-6)</f>
        <v>492</v>
      </c>
      <c r="B498" s="79" t="s">
        <v>585</v>
      </c>
      <c r="C498" s="80"/>
      <c r="D498" s="80"/>
      <c r="E498" s="80" t="s">
        <v>316</v>
      </c>
      <c r="F498" s="80"/>
      <c r="G498" s="80" t="s">
        <v>106</v>
      </c>
      <c r="H498" s="80"/>
      <c r="I498" s="80"/>
      <c r="J498" s="80"/>
      <c r="K498" s="80"/>
      <c r="L498" s="81" t="str">
        <f aca="false">IF(K498="","",IFERROR(INDEX(BARDAGE!$C$7:$C$1506,MATCH(K498,BARDAGE!$B$7:$B$1506,0)),"? hors registre"))</f>
        <v/>
      </c>
      <c r="M498" s="80"/>
      <c r="N498" s="81" t="str">
        <f aca="false">IF(M498="","",IFERROR(INDEX(BARDAGE!$C$7:$C$1506,MATCH(M498,BARDAGE!$B$7:$B$1506,0)),"? hors registre"))</f>
        <v/>
      </c>
      <c r="O498" s="80"/>
      <c r="P498" s="80"/>
      <c r="Q498" s="80"/>
      <c r="R498" s="82"/>
      <c r="S498" s="82"/>
      <c r="T498" s="80"/>
      <c r="U498" s="80"/>
      <c r="V498" s="82"/>
      <c r="W498" s="80"/>
      <c r="X498" s="80"/>
      <c r="Y498" s="80"/>
      <c r="Z498" s="80"/>
      <c r="AA498" s="82"/>
      <c r="AB498" s="80"/>
      <c r="AC498" s="80"/>
      <c r="AD498" s="80"/>
      <c r="AE498" s="80"/>
      <c r="AF498" s="82"/>
      <c r="AG498" s="80"/>
      <c r="AH498" s="80"/>
      <c r="AI498" s="82"/>
      <c r="AJ498" s="79"/>
      <c r="AK498" s="78" t="n">
        <f aca="false">IF(E498="","",(X498&lt;&gt;"")+(AC498&lt;&gt;"")+(AH498&lt;&gt;""))</f>
        <v>0</v>
      </c>
      <c r="AL498" s="81" t="str">
        <f aca="false">IF(AH498&lt;&gt;"",AH498,IF(AC498&lt;&gt;"",AC498,IF(X498&lt;&gt;"",X498,"")))</f>
        <v/>
      </c>
      <c r="AM498" s="83" t="str">
        <f aca="false">IF(E498="","",IF(R498="","À SOUDER",IF(U498="","VT EN ATTENTE",IF(U498="R","VT REJETÉ – À REPRENDRE",IF(AL498="","À RADIOGRAPHIER",IF(AL498="A","ACCEPTÉ",IF(AL498="NX","NX – RT À REFAIRE",IF(IF(AK498=1,Z498,IF(AK498=2,AE498,""))="A","RÉPARÉ – À RADIOGRAPHIER",IF(IF(AK498=1,Z498,IF(AK498=2,AE498,""))="R","VT REJETÉ – À REPRENDRE",IF(OR(AL498="CO",AL498="NT"),"COUPE – À RESOUDER","À RÉPARER"))))))))))</f>
        <v>À SOUDER</v>
      </c>
      <c r="AN498" s="81" t="str">
        <f aca="false">IF(AND(ISNUMBER(R498),OR(AM498="À RADIOGRAPHIER",AM498="RÉPARÉ – À RADIOGRAPHIER",AM498="NX – RT À REFAIRE",AM498="À RÉPARER",AM498="COUPE – À RESOUDER",AM498="VT REJETÉ – À REPRENDRE")),MAX(0,'PROGRAMME RT'!$C$4-R498),"")</f>
        <v/>
      </c>
      <c r="AO498" s="78" t="n">
        <f aca="false">IF(AND(OR(AM498="À RADIOGRAPHIER",AM498="RÉPARÉ – À RADIOGRAPHIER",AM498="NX – RT À REFAIRE"),OR('PROGRAMME RT'!$D$5="TOUTES",B498='PROGRAMME RT'!$D$5)),1,0)</f>
        <v>0</v>
      </c>
      <c r="AP498" s="78" t="str">
        <f aca="false">IF(AO498=1,SUM(AO$7:AO498),"")</f>
        <v/>
      </c>
      <c r="AQ498" s="78" t="n">
        <f aca="false">IF(AND(OR(X498="R",X498="NX",X498="NT",X498="CO"),OR('JOINTS DE RÉPARATION'!$D$5="TOUTES",B498='JOINTS DE RÉPARATION'!$D$5),OR('JOINTS DE RÉPARATION'!$L$4="TOUS",AM498&lt;&gt;"ACCEPTÉ")),1,0)</f>
        <v>0</v>
      </c>
      <c r="AR498" s="78" t="str">
        <f aca="false">IF(AQ498=1,SUM(AQ$7:AQ498),"")</f>
        <v/>
      </c>
    </row>
    <row r="499" customFormat="false" ht="15" hidden="false" customHeight="false" outlineLevel="0" collapsed="false">
      <c r="A499" s="78" t="n">
        <f aca="false">IF(E499="","",ROW()-6)</f>
        <v>493</v>
      </c>
      <c r="B499" s="79" t="s">
        <v>585</v>
      </c>
      <c r="C499" s="80"/>
      <c r="D499" s="80"/>
      <c r="E499" s="80" t="s">
        <v>319</v>
      </c>
      <c r="F499" s="80"/>
      <c r="G499" s="80" t="s">
        <v>106</v>
      </c>
      <c r="H499" s="80"/>
      <c r="I499" s="80"/>
      <c r="J499" s="80"/>
      <c r="K499" s="80"/>
      <c r="L499" s="81" t="str">
        <f aca="false">IF(K499="","",IFERROR(INDEX(BARDAGE!$C$7:$C$1506,MATCH(K499,BARDAGE!$B$7:$B$1506,0)),"? hors registre"))</f>
        <v/>
      </c>
      <c r="M499" s="80"/>
      <c r="N499" s="81" t="str">
        <f aca="false">IF(M499="","",IFERROR(INDEX(BARDAGE!$C$7:$C$1506,MATCH(M499,BARDAGE!$B$7:$B$1506,0)),"? hors registre"))</f>
        <v/>
      </c>
      <c r="O499" s="80"/>
      <c r="P499" s="80"/>
      <c r="Q499" s="80"/>
      <c r="R499" s="82"/>
      <c r="S499" s="82"/>
      <c r="T499" s="80"/>
      <c r="U499" s="80"/>
      <c r="V499" s="82"/>
      <c r="W499" s="80"/>
      <c r="X499" s="80"/>
      <c r="Y499" s="80"/>
      <c r="Z499" s="80"/>
      <c r="AA499" s="82"/>
      <c r="AB499" s="80"/>
      <c r="AC499" s="80"/>
      <c r="AD499" s="80"/>
      <c r="AE499" s="80"/>
      <c r="AF499" s="82"/>
      <c r="AG499" s="80"/>
      <c r="AH499" s="80"/>
      <c r="AI499" s="82"/>
      <c r="AJ499" s="79"/>
      <c r="AK499" s="78" t="n">
        <f aca="false">IF(E499="","",(X499&lt;&gt;"")+(AC499&lt;&gt;"")+(AH499&lt;&gt;""))</f>
        <v>0</v>
      </c>
      <c r="AL499" s="81" t="str">
        <f aca="false">IF(AH499&lt;&gt;"",AH499,IF(AC499&lt;&gt;"",AC499,IF(X499&lt;&gt;"",X499,"")))</f>
        <v/>
      </c>
      <c r="AM499" s="83" t="str">
        <f aca="false">IF(E499="","",IF(R499="","À SOUDER",IF(U499="","VT EN ATTENTE",IF(U499="R","VT REJETÉ – À REPRENDRE",IF(AL499="","À RADIOGRAPHIER",IF(AL499="A","ACCEPTÉ",IF(AL499="NX","NX – RT À REFAIRE",IF(IF(AK499=1,Z499,IF(AK499=2,AE499,""))="A","RÉPARÉ – À RADIOGRAPHIER",IF(IF(AK499=1,Z499,IF(AK499=2,AE499,""))="R","VT REJETÉ – À REPRENDRE",IF(OR(AL499="CO",AL499="NT"),"COUPE – À RESOUDER","À RÉPARER"))))))))))</f>
        <v>À SOUDER</v>
      </c>
      <c r="AN499" s="81" t="str">
        <f aca="false">IF(AND(ISNUMBER(R499),OR(AM499="À RADIOGRAPHIER",AM499="RÉPARÉ – À RADIOGRAPHIER",AM499="NX – RT À REFAIRE",AM499="À RÉPARER",AM499="COUPE – À RESOUDER",AM499="VT REJETÉ – À REPRENDRE")),MAX(0,'PROGRAMME RT'!$C$4-R499),"")</f>
        <v/>
      </c>
      <c r="AO499" s="78" t="n">
        <f aca="false">IF(AND(OR(AM499="À RADIOGRAPHIER",AM499="RÉPARÉ – À RADIOGRAPHIER",AM499="NX – RT À REFAIRE"),OR('PROGRAMME RT'!$D$5="TOUTES",B499='PROGRAMME RT'!$D$5)),1,0)</f>
        <v>0</v>
      </c>
      <c r="AP499" s="78" t="str">
        <f aca="false">IF(AO499=1,SUM(AO$7:AO499),"")</f>
        <v/>
      </c>
      <c r="AQ499" s="78" t="n">
        <f aca="false">IF(AND(OR(X499="R",X499="NX",X499="NT",X499="CO"),OR('JOINTS DE RÉPARATION'!$D$5="TOUTES",B499='JOINTS DE RÉPARATION'!$D$5),OR('JOINTS DE RÉPARATION'!$L$4="TOUS",AM499&lt;&gt;"ACCEPTÉ")),1,0)</f>
        <v>0</v>
      </c>
      <c r="AR499" s="78" t="str">
        <f aca="false">IF(AQ499=1,SUM(AQ$7:AQ499),"")</f>
        <v/>
      </c>
    </row>
    <row r="500" customFormat="false" ht="15" hidden="false" customHeight="false" outlineLevel="0" collapsed="false">
      <c r="A500" s="78" t="n">
        <f aca="false">IF(E500="","",ROW()-6)</f>
        <v>494</v>
      </c>
      <c r="B500" s="79" t="s">
        <v>585</v>
      </c>
      <c r="C500" s="80"/>
      <c r="D500" s="80"/>
      <c r="E500" s="80" t="s">
        <v>322</v>
      </c>
      <c r="F500" s="80"/>
      <c r="G500" s="80" t="s">
        <v>106</v>
      </c>
      <c r="H500" s="80"/>
      <c r="I500" s="80"/>
      <c r="J500" s="80"/>
      <c r="K500" s="80"/>
      <c r="L500" s="81" t="str">
        <f aca="false">IF(K500="","",IFERROR(INDEX(BARDAGE!$C$7:$C$1506,MATCH(K500,BARDAGE!$B$7:$B$1506,0)),"? hors registre"))</f>
        <v/>
      </c>
      <c r="M500" s="80"/>
      <c r="N500" s="81" t="str">
        <f aca="false">IF(M500="","",IFERROR(INDEX(BARDAGE!$C$7:$C$1506,MATCH(M500,BARDAGE!$B$7:$B$1506,0)),"? hors registre"))</f>
        <v/>
      </c>
      <c r="O500" s="80"/>
      <c r="P500" s="80"/>
      <c r="Q500" s="80"/>
      <c r="R500" s="82"/>
      <c r="S500" s="82"/>
      <c r="T500" s="80"/>
      <c r="U500" s="80"/>
      <c r="V500" s="82"/>
      <c r="W500" s="80"/>
      <c r="X500" s="80"/>
      <c r="Y500" s="80"/>
      <c r="Z500" s="80"/>
      <c r="AA500" s="82"/>
      <c r="AB500" s="80"/>
      <c r="AC500" s="80"/>
      <c r="AD500" s="80"/>
      <c r="AE500" s="80"/>
      <c r="AF500" s="82"/>
      <c r="AG500" s="80"/>
      <c r="AH500" s="80"/>
      <c r="AI500" s="82"/>
      <c r="AJ500" s="79"/>
      <c r="AK500" s="78" t="n">
        <f aca="false">IF(E500="","",(X500&lt;&gt;"")+(AC500&lt;&gt;"")+(AH500&lt;&gt;""))</f>
        <v>0</v>
      </c>
      <c r="AL500" s="81" t="str">
        <f aca="false">IF(AH500&lt;&gt;"",AH500,IF(AC500&lt;&gt;"",AC500,IF(X500&lt;&gt;"",X500,"")))</f>
        <v/>
      </c>
      <c r="AM500" s="83" t="str">
        <f aca="false">IF(E500="","",IF(R500="","À SOUDER",IF(U500="","VT EN ATTENTE",IF(U500="R","VT REJETÉ – À REPRENDRE",IF(AL500="","À RADIOGRAPHIER",IF(AL500="A","ACCEPTÉ",IF(AL500="NX","NX – RT À REFAIRE",IF(IF(AK500=1,Z500,IF(AK500=2,AE500,""))="A","RÉPARÉ – À RADIOGRAPHIER",IF(IF(AK500=1,Z500,IF(AK500=2,AE500,""))="R","VT REJETÉ – À REPRENDRE",IF(OR(AL500="CO",AL500="NT"),"COUPE – À RESOUDER","À RÉPARER"))))))))))</f>
        <v>À SOUDER</v>
      </c>
      <c r="AN500" s="81" t="str">
        <f aca="false">IF(AND(ISNUMBER(R500),OR(AM500="À RADIOGRAPHIER",AM500="RÉPARÉ – À RADIOGRAPHIER",AM500="NX – RT À REFAIRE",AM500="À RÉPARER",AM500="COUPE – À RESOUDER",AM500="VT REJETÉ – À REPRENDRE")),MAX(0,'PROGRAMME RT'!$C$4-R500),"")</f>
        <v/>
      </c>
      <c r="AO500" s="78" t="n">
        <f aca="false">IF(AND(OR(AM500="À RADIOGRAPHIER",AM500="RÉPARÉ – À RADIOGRAPHIER",AM500="NX – RT À REFAIRE"),OR('PROGRAMME RT'!$D$5="TOUTES",B500='PROGRAMME RT'!$D$5)),1,0)</f>
        <v>0</v>
      </c>
      <c r="AP500" s="78" t="str">
        <f aca="false">IF(AO500=1,SUM(AO$7:AO500),"")</f>
        <v/>
      </c>
      <c r="AQ500" s="78" t="n">
        <f aca="false">IF(AND(OR(X500="R",X500="NX",X500="NT",X500="CO"),OR('JOINTS DE RÉPARATION'!$D$5="TOUTES",B500='JOINTS DE RÉPARATION'!$D$5),OR('JOINTS DE RÉPARATION'!$L$4="TOUS",AM500&lt;&gt;"ACCEPTÉ")),1,0)</f>
        <v>0</v>
      </c>
      <c r="AR500" s="78" t="str">
        <f aca="false">IF(AQ500=1,SUM(AQ$7:AQ500),"")</f>
        <v/>
      </c>
    </row>
    <row r="501" customFormat="false" ht="15" hidden="false" customHeight="false" outlineLevel="0" collapsed="false">
      <c r="A501" s="78" t="n">
        <f aca="false">IF(E501="","",ROW()-6)</f>
        <v>495</v>
      </c>
      <c r="B501" s="79" t="s">
        <v>585</v>
      </c>
      <c r="C501" s="80"/>
      <c r="D501" s="80"/>
      <c r="E501" s="80" t="s">
        <v>324</v>
      </c>
      <c r="F501" s="80"/>
      <c r="G501" s="80" t="s">
        <v>106</v>
      </c>
      <c r="H501" s="80"/>
      <c r="I501" s="80"/>
      <c r="J501" s="80"/>
      <c r="K501" s="80"/>
      <c r="L501" s="81" t="str">
        <f aca="false">IF(K501="","",IFERROR(INDEX(BARDAGE!$C$7:$C$1506,MATCH(K501,BARDAGE!$B$7:$B$1506,0)),"? hors registre"))</f>
        <v/>
      </c>
      <c r="M501" s="80"/>
      <c r="N501" s="81" t="str">
        <f aca="false">IF(M501="","",IFERROR(INDEX(BARDAGE!$C$7:$C$1506,MATCH(M501,BARDAGE!$B$7:$B$1506,0)),"? hors registre"))</f>
        <v/>
      </c>
      <c r="O501" s="80"/>
      <c r="P501" s="80"/>
      <c r="Q501" s="80"/>
      <c r="R501" s="82"/>
      <c r="S501" s="82"/>
      <c r="T501" s="80"/>
      <c r="U501" s="80"/>
      <c r="V501" s="82"/>
      <c r="W501" s="80"/>
      <c r="X501" s="80"/>
      <c r="Y501" s="80"/>
      <c r="Z501" s="80"/>
      <c r="AA501" s="82"/>
      <c r="AB501" s="80"/>
      <c r="AC501" s="80"/>
      <c r="AD501" s="80"/>
      <c r="AE501" s="80"/>
      <c r="AF501" s="82"/>
      <c r="AG501" s="80"/>
      <c r="AH501" s="80"/>
      <c r="AI501" s="82"/>
      <c r="AJ501" s="79"/>
      <c r="AK501" s="78" t="n">
        <f aca="false">IF(E501="","",(X501&lt;&gt;"")+(AC501&lt;&gt;"")+(AH501&lt;&gt;""))</f>
        <v>0</v>
      </c>
      <c r="AL501" s="81" t="str">
        <f aca="false">IF(AH501&lt;&gt;"",AH501,IF(AC501&lt;&gt;"",AC501,IF(X501&lt;&gt;"",X501,"")))</f>
        <v/>
      </c>
      <c r="AM501" s="83" t="str">
        <f aca="false">IF(E501="","",IF(R501="","À SOUDER",IF(U501="","VT EN ATTENTE",IF(U501="R","VT REJETÉ – À REPRENDRE",IF(AL501="","À RADIOGRAPHIER",IF(AL501="A","ACCEPTÉ",IF(AL501="NX","NX – RT À REFAIRE",IF(IF(AK501=1,Z501,IF(AK501=2,AE501,""))="A","RÉPARÉ – À RADIOGRAPHIER",IF(IF(AK501=1,Z501,IF(AK501=2,AE501,""))="R","VT REJETÉ – À REPRENDRE",IF(OR(AL501="CO",AL501="NT"),"COUPE – À RESOUDER","À RÉPARER"))))))))))</f>
        <v>À SOUDER</v>
      </c>
      <c r="AN501" s="81" t="str">
        <f aca="false">IF(AND(ISNUMBER(R501),OR(AM501="À RADIOGRAPHIER",AM501="RÉPARÉ – À RADIOGRAPHIER",AM501="NX – RT À REFAIRE",AM501="À RÉPARER",AM501="COUPE – À RESOUDER",AM501="VT REJETÉ – À REPRENDRE")),MAX(0,'PROGRAMME RT'!$C$4-R501),"")</f>
        <v/>
      </c>
      <c r="AO501" s="78" t="n">
        <f aca="false">IF(AND(OR(AM501="À RADIOGRAPHIER",AM501="RÉPARÉ – À RADIOGRAPHIER",AM501="NX – RT À REFAIRE"),OR('PROGRAMME RT'!$D$5="TOUTES",B501='PROGRAMME RT'!$D$5)),1,0)</f>
        <v>0</v>
      </c>
      <c r="AP501" s="78" t="str">
        <f aca="false">IF(AO501=1,SUM(AO$7:AO501),"")</f>
        <v/>
      </c>
      <c r="AQ501" s="78" t="n">
        <f aca="false">IF(AND(OR(X501="R",X501="NX",X501="NT",X501="CO"),OR('JOINTS DE RÉPARATION'!$D$5="TOUTES",B501='JOINTS DE RÉPARATION'!$D$5),OR('JOINTS DE RÉPARATION'!$L$4="TOUS",AM501&lt;&gt;"ACCEPTÉ")),1,0)</f>
        <v>0</v>
      </c>
      <c r="AR501" s="78" t="str">
        <f aca="false">IF(AQ501=1,SUM(AQ$7:AQ501),"")</f>
        <v/>
      </c>
    </row>
    <row r="502" customFormat="false" ht="15" hidden="false" customHeight="false" outlineLevel="0" collapsed="false">
      <c r="A502" s="78" t="n">
        <f aca="false">IF(E502="","",ROW()-6)</f>
        <v>496</v>
      </c>
      <c r="B502" s="79" t="s">
        <v>585</v>
      </c>
      <c r="C502" s="80"/>
      <c r="D502" s="80"/>
      <c r="E502" s="80" t="s">
        <v>326</v>
      </c>
      <c r="F502" s="80"/>
      <c r="G502" s="80" t="s">
        <v>106</v>
      </c>
      <c r="H502" s="80"/>
      <c r="I502" s="80"/>
      <c r="J502" s="80"/>
      <c r="K502" s="80"/>
      <c r="L502" s="81" t="str">
        <f aca="false">IF(K502="","",IFERROR(INDEX(BARDAGE!$C$7:$C$1506,MATCH(K502,BARDAGE!$B$7:$B$1506,0)),"? hors registre"))</f>
        <v/>
      </c>
      <c r="M502" s="80"/>
      <c r="N502" s="81" t="str">
        <f aca="false">IF(M502="","",IFERROR(INDEX(BARDAGE!$C$7:$C$1506,MATCH(M502,BARDAGE!$B$7:$B$1506,0)),"? hors registre"))</f>
        <v/>
      </c>
      <c r="O502" s="80"/>
      <c r="P502" s="80"/>
      <c r="Q502" s="80"/>
      <c r="R502" s="82"/>
      <c r="S502" s="82"/>
      <c r="T502" s="80"/>
      <c r="U502" s="80"/>
      <c r="V502" s="82"/>
      <c r="W502" s="80"/>
      <c r="X502" s="80"/>
      <c r="Y502" s="80"/>
      <c r="Z502" s="80"/>
      <c r="AA502" s="82"/>
      <c r="AB502" s="80"/>
      <c r="AC502" s="80"/>
      <c r="AD502" s="80"/>
      <c r="AE502" s="80"/>
      <c r="AF502" s="82"/>
      <c r="AG502" s="80"/>
      <c r="AH502" s="80"/>
      <c r="AI502" s="82"/>
      <c r="AJ502" s="79"/>
      <c r="AK502" s="78" t="n">
        <f aca="false">IF(E502="","",(X502&lt;&gt;"")+(AC502&lt;&gt;"")+(AH502&lt;&gt;""))</f>
        <v>0</v>
      </c>
      <c r="AL502" s="81" t="str">
        <f aca="false">IF(AH502&lt;&gt;"",AH502,IF(AC502&lt;&gt;"",AC502,IF(X502&lt;&gt;"",X502,"")))</f>
        <v/>
      </c>
      <c r="AM502" s="83" t="str">
        <f aca="false">IF(E502="","",IF(R502="","À SOUDER",IF(U502="","VT EN ATTENTE",IF(U502="R","VT REJETÉ – À REPRENDRE",IF(AL502="","À RADIOGRAPHIER",IF(AL502="A","ACCEPTÉ",IF(AL502="NX","NX – RT À REFAIRE",IF(IF(AK502=1,Z502,IF(AK502=2,AE502,""))="A","RÉPARÉ – À RADIOGRAPHIER",IF(IF(AK502=1,Z502,IF(AK502=2,AE502,""))="R","VT REJETÉ – À REPRENDRE",IF(OR(AL502="CO",AL502="NT"),"COUPE – À RESOUDER","À RÉPARER"))))))))))</f>
        <v>À SOUDER</v>
      </c>
      <c r="AN502" s="81" t="str">
        <f aca="false">IF(AND(ISNUMBER(R502),OR(AM502="À RADIOGRAPHIER",AM502="RÉPARÉ – À RADIOGRAPHIER",AM502="NX – RT À REFAIRE",AM502="À RÉPARER",AM502="COUPE – À RESOUDER",AM502="VT REJETÉ – À REPRENDRE")),MAX(0,'PROGRAMME RT'!$C$4-R502),"")</f>
        <v/>
      </c>
      <c r="AO502" s="78" t="n">
        <f aca="false">IF(AND(OR(AM502="À RADIOGRAPHIER",AM502="RÉPARÉ – À RADIOGRAPHIER",AM502="NX – RT À REFAIRE"),OR('PROGRAMME RT'!$D$5="TOUTES",B502='PROGRAMME RT'!$D$5)),1,0)</f>
        <v>0</v>
      </c>
      <c r="AP502" s="78" t="str">
        <f aca="false">IF(AO502=1,SUM(AO$7:AO502),"")</f>
        <v/>
      </c>
      <c r="AQ502" s="78" t="n">
        <f aca="false">IF(AND(OR(X502="R",X502="NX",X502="NT",X502="CO"),OR('JOINTS DE RÉPARATION'!$D$5="TOUTES",B502='JOINTS DE RÉPARATION'!$D$5),OR('JOINTS DE RÉPARATION'!$L$4="TOUS",AM502&lt;&gt;"ACCEPTÉ")),1,0)</f>
        <v>0</v>
      </c>
      <c r="AR502" s="78" t="str">
        <f aca="false">IF(AQ502=1,SUM(AQ$7:AQ502),"")</f>
        <v/>
      </c>
    </row>
    <row r="503" customFormat="false" ht="15" hidden="false" customHeight="false" outlineLevel="0" collapsed="false">
      <c r="A503" s="78" t="n">
        <f aca="false">IF(E503="","",ROW()-6)</f>
        <v>497</v>
      </c>
      <c r="B503" s="79" t="s">
        <v>585</v>
      </c>
      <c r="C503" s="80"/>
      <c r="D503" s="80"/>
      <c r="E503" s="80" t="s">
        <v>328</v>
      </c>
      <c r="F503" s="80"/>
      <c r="G503" s="80" t="s">
        <v>106</v>
      </c>
      <c r="H503" s="80"/>
      <c r="I503" s="80"/>
      <c r="J503" s="80"/>
      <c r="K503" s="80"/>
      <c r="L503" s="81" t="str">
        <f aca="false">IF(K503="","",IFERROR(INDEX(BARDAGE!$C$7:$C$1506,MATCH(K503,BARDAGE!$B$7:$B$1506,0)),"? hors registre"))</f>
        <v/>
      </c>
      <c r="M503" s="80"/>
      <c r="N503" s="81" t="str">
        <f aca="false">IF(M503="","",IFERROR(INDEX(BARDAGE!$C$7:$C$1506,MATCH(M503,BARDAGE!$B$7:$B$1506,0)),"? hors registre"))</f>
        <v/>
      </c>
      <c r="O503" s="80"/>
      <c r="P503" s="80"/>
      <c r="Q503" s="80"/>
      <c r="R503" s="82"/>
      <c r="S503" s="82"/>
      <c r="T503" s="80"/>
      <c r="U503" s="80"/>
      <c r="V503" s="82"/>
      <c r="W503" s="80"/>
      <c r="X503" s="80"/>
      <c r="Y503" s="80"/>
      <c r="Z503" s="80"/>
      <c r="AA503" s="82"/>
      <c r="AB503" s="80"/>
      <c r="AC503" s="80"/>
      <c r="AD503" s="80"/>
      <c r="AE503" s="80"/>
      <c r="AF503" s="82"/>
      <c r="AG503" s="80"/>
      <c r="AH503" s="80"/>
      <c r="AI503" s="82"/>
      <c r="AJ503" s="79"/>
      <c r="AK503" s="78" t="n">
        <f aca="false">IF(E503="","",(X503&lt;&gt;"")+(AC503&lt;&gt;"")+(AH503&lt;&gt;""))</f>
        <v>0</v>
      </c>
      <c r="AL503" s="81" t="str">
        <f aca="false">IF(AH503&lt;&gt;"",AH503,IF(AC503&lt;&gt;"",AC503,IF(X503&lt;&gt;"",X503,"")))</f>
        <v/>
      </c>
      <c r="AM503" s="83" t="str">
        <f aca="false">IF(E503="","",IF(R503="","À SOUDER",IF(U503="","VT EN ATTENTE",IF(U503="R","VT REJETÉ – À REPRENDRE",IF(AL503="","À RADIOGRAPHIER",IF(AL503="A","ACCEPTÉ",IF(AL503="NX","NX – RT À REFAIRE",IF(IF(AK503=1,Z503,IF(AK503=2,AE503,""))="A","RÉPARÉ – À RADIOGRAPHIER",IF(IF(AK503=1,Z503,IF(AK503=2,AE503,""))="R","VT REJETÉ – À REPRENDRE",IF(OR(AL503="CO",AL503="NT"),"COUPE – À RESOUDER","À RÉPARER"))))))))))</f>
        <v>À SOUDER</v>
      </c>
      <c r="AN503" s="81" t="str">
        <f aca="false">IF(AND(ISNUMBER(R503),OR(AM503="À RADIOGRAPHIER",AM503="RÉPARÉ – À RADIOGRAPHIER",AM503="NX – RT À REFAIRE",AM503="À RÉPARER",AM503="COUPE – À RESOUDER",AM503="VT REJETÉ – À REPRENDRE")),MAX(0,'PROGRAMME RT'!$C$4-R503),"")</f>
        <v/>
      </c>
      <c r="AO503" s="78" t="n">
        <f aca="false">IF(AND(OR(AM503="À RADIOGRAPHIER",AM503="RÉPARÉ – À RADIOGRAPHIER",AM503="NX – RT À REFAIRE"),OR('PROGRAMME RT'!$D$5="TOUTES",B503='PROGRAMME RT'!$D$5)),1,0)</f>
        <v>0</v>
      </c>
      <c r="AP503" s="78" t="str">
        <f aca="false">IF(AO503=1,SUM(AO$7:AO503),"")</f>
        <v/>
      </c>
      <c r="AQ503" s="78" t="n">
        <f aca="false">IF(AND(OR(X503="R",X503="NX",X503="NT",X503="CO"),OR('JOINTS DE RÉPARATION'!$D$5="TOUTES",B503='JOINTS DE RÉPARATION'!$D$5),OR('JOINTS DE RÉPARATION'!$L$4="TOUS",AM503&lt;&gt;"ACCEPTÉ")),1,0)</f>
        <v>0</v>
      </c>
      <c r="AR503" s="78" t="str">
        <f aca="false">IF(AQ503=1,SUM(AQ$7:AQ503),"")</f>
        <v/>
      </c>
    </row>
    <row r="504" customFormat="false" ht="15" hidden="false" customHeight="false" outlineLevel="0" collapsed="false">
      <c r="A504" s="78" t="n">
        <f aca="false">IF(E504="","",ROW()-6)</f>
        <v>498</v>
      </c>
      <c r="B504" s="79" t="s">
        <v>585</v>
      </c>
      <c r="C504" s="80"/>
      <c r="D504" s="80"/>
      <c r="E504" s="80" t="s">
        <v>330</v>
      </c>
      <c r="F504" s="80"/>
      <c r="G504" s="80" t="s">
        <v>106</v>
      </c>
      <c r="H504" s="80"/>
      <c r="I504" s="80"/>
      <c r="J504" s="80"/>
      <c r="K504" s="80"/>
      <c r="L504" s="81" t="str">
        <f aca="false">IF(K504="","",IFERROR(INDEX(BARDAGE!$C$7:$C$1506,MATCH(K504,BARDAGE!$B$7:$B$1506,0)),"? hors registre"))</f>
        <v/>
      </c>
      <c r="M504" s="80"/>
      <c r="N504" s="81" t="str">
        <f aca="false">IF(M504="","",IFERROR(INDEX(BARDAGE!$C$7:$C$1506,MATCH(M504,BARDAGE!$B$7:$B$1506,0)),"? hors registre"))</f>
        <v/>
      </c>
      <c r="O504" s="80"/>
      <c r="P504" s="80"/>
      <c r="Q504" s="80"/>
      <c r="R504" s="82"/>
      <c r="S504" s="82"/>
      <c r="T504" s="80"/>
      <c r="U504" s="80"/>
      <c r="V504" s="82"/>
      <c r="W504" s="80"/>
      <c r="X504" s="80"/>
      <c r="Y504" s="80"/>
      <c r="Z504" s="80"/>
      <c r="AA504" s="82"/>
      <c r="AB504" s="80"/>
      <c r="AC504" s="80"/>
      <c r="AD504" s="80"/>
      <c r="AE504" s="80"/>
      <c r="AF504" s="82"/>
      <c r="AG504" s="80"/>
      <c r="AH504" s="80"/>
      <c r="AI504" s="82"/>
      <c r="AJ504" s="79"/>
      <c r="AK504" s="78" t="n">
        <f aca="false">IF(E504="","",(X504&lt;&gt;"")+(AC504&lt;&gt;"")+(AH504&lt;&gt;""))</f>
        <v>0</v>
      </c>
      <c r="AL504" s="81" t="str">
        <f aca="false">IF(AH504&lt;&gt;"",AH504,IF(AC504&lt;&gt;"",AC504,IF(X504&lt;&gt;"",X504,"")))</f>
        <v/>
      </c>
      <c r="AM504" s="83" t="str">
        <f aca="false">IF(E504="","",IF(R504="","À SOUDER",IF(U504="","VT EN ATTENTE",IF(U504="R","VT REJETÉ – À REPRENDRE",IF(AL504="","À RADIOGRAPHIER",IF(AL504="A","ACCEPTÉ",IF(AL504="NX","NX – RT À REFAIRE",IF(IF(AK504=1,Z504,IF(AK504=2,AE504,""))="A","RÉPARÉ – À RADIOGRAPHIER",IF(IF(AK504=1,Z504,IF(AK504=2,AE504,""))="R","VT REJETÉ – À REPRENDRE",IF(OR(AL504="CO",AL504="NT"),"COUPE – À RESOUDER","À RÉPARER"))))))))))</f>
        <v>À SOUDER</v>
      </c>
      <c r="AN504" s="81" t="str">
        <f aca="false">IF(AND(ISNUMBER(R504),OR(AM504="À RADIOGRAPHIER",AM504="RÉPARÉ – À RADIOGRAPHIER",AM504="NX – RT À REFAIRE",AM504="À RÉPARER",AM504="COUPE – À RESOUDER",AM504="VT REJETÉ – À REPRENDRE")),MAX(0,'PROGRAMME RT'!$C$4-R504),"")</f>
        <v/>
      </c>
      <c r="AO504" s="78" t="n">
        <f aca="false">IF(AND(OR(AM504="À RADIOGRAPHIER",AM504="RÉPARÉ – À RADIOGRAPHIER",AM504="NX – RT À REFAIRE"),OR('PROGRAMME RT'!$D$5="TOUTES",B504='PROGRAMME RT'!$D$5)),1,0)</f>
        <v>0</v>
      </c>
      <c r="AP504" s="78" t="str">
        <f aca="false">IF(AO504=1,SUM(AO$7:AO504),"")</f>
        <v/>
      </c>
      <c r="AQ504" s="78" t="n">
        <f aca="false">IF(AND(OR(X504="R",X504="NX",X504="NT",X504="CO"),OR('JOINTS DE RÉPARATION'!$D$5="TOUTES",B504='JOINTS DE RÉPARATION'!$D$5),OR('JOINTS DE RÉPARATION'!$L$4="TOUS",AM504&lt;&gt;"ACCEPTÉ")),1,0)</f>
        <v>0</v>
      </c>
      <c r="AR504" s="78" t="str">
        <f aca="false">IF(AQ504=1,SUM(AQ$7:AQ504),"")</f>
        <v/>
      </c>
    </row>
    <row r="505" customFormat="false" ht="15" hidden="false" customHeight="false" outlineLevel="0" collapsed="false">
      <c r="A505" s="78" t="n">
        <f aca="false">IF(E505="","",ROW()-6)</f>
        <v>499</v>
      </c>
      <c r="B505" s="79" t="s">
        <v>585</v>
      </c>
      <c r="C505" s="80"/>
      <c r="D505" s="80"/>
      <c r="E505" s="80" t="s">
        <v>332</v>
      </c>
      <c r="F505" s="80"/>
      <c r="G505" s="80" t="s">
        <v>106</v>
      </c>
      <c r="H505" s="80"/>
      <c r="I505" s="80"/>
      <c r="J505" s="80"/>
      <c r="K505" s="80"/>
      <c r="L505" s="81" t="str">
        <f aca="false">IF(K505="","",IFERROR(INDEX(BARDAGE!$C$7:$C$1506,MATCH(K505,BARDAGE!$B$7:$B$1506,0)),"? hors registre"))</f>
        <v/>
      </c>
      <c r="M505" s="80"/>
      <c r="N505" s="81" t="str">
        <f aca="false">IF(M505="","",IFERROR(INDEX(BARDAGE!$C$7:$C$1506,MATCH(M505,BARDAGE!$B$7:$B$1506,0)),"? hors registre"))</f>
        <v/>
      </c>
      <c r="O505" s="80"/>
      <c r="P505" s="80"/>
      <c r="Q505" s="80"/>
      <c r="R505" s="82"/>
      <c r="S505" s="82"/>
      <c r="T505" s="80"/>
      <c r="U505" s="80"/>
      <c r="V505" s="82"/>
      <c r="W505" s="80"/>
      <c r="X505" s="80"/>
      <c r="Y505" s="80"/>
      <c r="Z505" s="80"/>
      <c r="AA505" s="82"/>
      <c r="AB505" s="80"/>
      <c r="AC505" s="80"/>
      <c r="AD505" s="80"/>
      <c r="AE505" s="80"/>
      <c r="AF505" s="82"/>
      <c r="AG505" s="80"/>
      <c r="AH505" s="80"/>
      <c r="AI505" s="82"/>
      <c r="AJ505" s="79"/>
      <c r="AK505" s="78" t="n">
        <f aca="false">IF(E505="","",(X505&lt;&gt;"")+(AC505&lt;&gt;"")+(AH505&lt;&gt;""))</f>
        <v>0</v>
      </c>
      <c r="AL505" s="81" t="str">
        <f aca="false">IF(AH505&lt;&gt;"",AH505,IF(AC505&lt;&gt;"",AC505,IF(X505&lt;&gt;"",X505,"")))</f>
        <v/>
      </c>
      <c r="AM505" s="83" t="str">
        <f aca="false">IF(E505="","",IF(R505="","À SOUDER",IF(U505="","VT EN ATTENTE",IF(U505="R","VT REJETÉ – À REPRENDRE",IF(AL505="","À RADIOGRAPHIER",IF(AL505="A","ACCEPTÉ",IF(AL505="NX","NX – RT À REFAIRE",IF(IF(AK505=1,Z505,IF(AK505=2,AE505,""))="A","RÉPARÉ – À RADIOGRAPHIER",IF(IF(AK505=1,Z505,IF(AK505=2,AE505,""))="R","VT REJETÉ – À REPRENDRE",IF(OR(AL505="CO",AL505="NT"),"COUPE – À RESOUDER","À RÉPARER"))))))))))</f>
        <v>À SOUDER</v>
      </c>
      <c r="AN505" s="81" t="str">
        <f aca="false">IF(AND(ISNUMBER(R505),OR(AM505="À RADIOGRAPHIER",AM505="RÉPARÉ – À RADIOGRAPHIER",AM505="NX – RT À REFAIRE",AM505="À RÉPARER",AM505="COUPE – À RESOUDER",AM505="VT REJETÉ – À REPRENDRE")),MAX(0,'PROGRAMME RT'!$C$4-R505),"")</f>
        <v/>
      </c>
      <c r="AO505" s="78" t="n">
        <f aca="false">IF(AND(OR(AM505="À RADIOGRAPHIER",AM505="RÉPARÉ – À RADIOGRAPHIER",AM505="NX – RT À REFAIRE"),OR('PROGRAMME RT'!$D$5="TOUTES",B505='PROGRAMME RT'!$D$5)),1,0)</f>
        <v>0</v>
      </c>
      <c r="AP505" s="78" t="str">
        <f aca="false">IF(AO505=1,SUM(AO$7:AO505),"")</f>
        <v/>
      </c>
      <c r="AQ505" s="78" t="n">
        <f aca="false">IF(AND(OR(X505="R",X505="NX",X505="NT",X505="CO"),OR('JOINTS DE RÉPARATION'!$D$5="TOUTES",B505='JOINTS DE RÉPARATION'!$D$5),OR('JOINTS DE RÉPARATION'!$L$4="TOUS",AM505&lt;&gt;"ACCEPTÉ")),1,0)</f>
        <v>0</v>
      </c>
      <c r="AR505" s="78" t="str">
        <f aca="false">IF(AQ505=1,SUM(AQ$7:AQ505),"")</f>
        <v/>
      </c>
    </row>
    <row r="506" customFormat="false" ht="15" hidden="false" customHeight="false" outlineLevel="0" collapsed="false">
      <c r="A506" s="78" t="n">
        <f aca="false">IF(E506="","",ROW()-6)</f>
        <v>500</v>
      </c>
      <c r="B506" s="79" t="s">
        <v>585</v>
      </c>
      <c r="C506" s="80"/>
      <c r="D506" s="80"/>
      <c r="E506" s="80" t="s">
        <v>334</v>
      </c>
      <c r="F506" s="80"/>
      <c r="G506" s="80" t="s">
        <v>106</v>
      </c>
      <c r="H506" s="80"/>
      <c r="I506" s="80"/>
      <c r="J506" s="80"/>
      <c r="K506" s="80"/>
      <c r="L506" s="81" t="str">
        <f aca="false">IF(K506="","",IFERROR(INDEX(BARDAGE!$C$7:$C$1506,MATCH(K506,BARDAGE!$B$7:$B$1506,0)),"? hors registre"))</f>
        <v/>
      </c>
      <c r="M506" s="80"/>
      <c r="N506" s="81" t="str">
        <f aca="false">IF(M506="","",IFERROR(INDEX(BARDAGE!$C$7:$C$1506,MATCH(M506,BARDAGE!$B$7:$B$1506,0)),"? hors registre"))</f>
        <v/>
      </c>
      <c r="O506" s="80"/>
      <c r="P506" s="80"/>
      <c r="Q506" s="80"/>
      <c r="R506" s="82"/>
      <c r="S506" s="82"/>
      <c r="T506" s="80"/>
      <c r="U506" s="80"/>
      <c r="V506" s="82"/>
      <c r="W506" s="80"/>
      <c r="X506" s="80"/>
      <c r="Y506" s="80"/>
      <c r="Z506" s="80"/>
      <c r="AA506" s="82"/>
      <c r="AB506" s="80"/>
      <c r="AC506" s="80"/>
      <c r="AD506" s="80"/>
      <c r="AE506" s="80"/>
      <c r="AF506" s="82"/>
      <c r="AG506" s="80"/>
      <c r="AH506" s="80"/>
      <c r="AI506" s="82"/>
      <c r="AJ506" s="79"/>
      <c r="AK506" s="78" t="n">
        <f aca="false">IF(E506="","",(X506&lt;&gt;"")+(AC506&lt;&gt;"")+(AH506&lt;&gt;""))</f>
        <v>0</v>
      </c>
      <c r="AL506" s="81" t="str">
        <f aca="false">IF(AH506&lt;&gt;"",AH506,IF(AC506&lt;&gt;"",AC506,IF(X506&lt;&gt;"",X506,"")))</f>
        <v/>
      </c>
      <c r="AM506" s="83" t="str">
        <f aca="false">IF(E506="","",IF(R506="","À SOUDER",IF(U506="","VT EN ATTENTE",IF(U506="R","VT REJETÉ – À REPRENDRE",IF(AL506="","À RADIOGRAPHIER",IF(AL506="A","ACCEPTÉ",IF(AL506="NX","NX – RT À REFAIRE",IF(IF(AK506=1,Z506,IF(AK506=2,AE506,""))="A","RÉPARÉ – À RADIOGRAPHIER",IF(IF(AK506=1,Z506,IF(AK506=2,AE506,""))="R","VT REJETÉ – À REPRENDRE",IF(OR(AL506="CO",AL506="NT"),"COUPE – À RESOUDER","À RÉPARER"))))))))))</f>
        <v>À SOUDER</v>
      </c>
      <c r="AN506" s="81" t="str">
        <f aca="false">IF(AND(ISNUMBER(R506),OR(AM506="À RADIOGRAPHIER",AM506="RÉPARÉ – À RADIOGRAPHIER",AM506="NX – RT À REFAIRE",AM506="À RÉPARER",AM506="COUPE – À RESOUDER",AM506="VT REJETÉ – À REPRENDRE")),MAX(0,'PROGRAMME RT'!$C$4-R506),"")</f>
        <v/>
      </c>
      <c r="AO506" s="78" t="n">
        <f aca="false">IF(AND(OR(AM506="À RADIOGRAPHIER",AM506="RÉPARÉ – À RADIOGRAPHIER",AM506="NX – RT À REFAIRE"),OR('PROGRAMME RT'!$D$5="TOUTES",B506='PROGRAMME RT'!$D$5)),1,0)</f>
        <v>0</v>
      </c>
      <c r="AP506" s="78" t="str">
        <f aca="false">IF(AO506=1,SUM(AO$7:AO506),"")</f>
        <v/>
      </c>
      <c r="AQ506" s="78" t="n">
        <f aca="false">IF(AND(OR(X506="R",X506="NX",X506="NT",X506="CO"),OR('JOINTS DE RÉPARATION'!$D$5="TOUTES",B506='JOINTS DE RÉPARATION'!$D$5),OR('JOINTS DE RÉPARATION'!$L$4="TOUS",AM506&lt;&gt;"ACCEPTÉ")),1,0)</f>
        <v>0</v>
      </c>
      <c r="AR506" s="78" t="str">
        <f aca="false">IF(AQ506=1,SUM(AQ$7:AQ506),"")</f>
        <v/>
      </c>
    </row>
    <row r="507" customFormat="false" ht="15" hidden="false" customHeight="false" outlineLevel="0" collapsed="false">
      <c r="A507" s="78" t="n">
        <f aca="false">IF(E507="","",ROW()-6)</f>
        <v>501</v>
      </c>
      <c r="B507" s="79" t="s">
        <v>585</v>
      </c>
      <c r="C507" s="80"/>
      <c r="D507" s="80"/>
      <c r="E507" s="80" t="s">
        <v>336</v>
      </c>
      <c r="F507" s="80"/>
      <c r="G507" s="80" t="s">
        <v>106</v>
      </c>
      <c r="H507" s="80"/>
      <c r="I507" s="80"/>
      <c r="J507" s="80"/>
      <c r="K507" s="80"/>
      <c r="L507" s="81" t="str">
        <f aca="false">IF(K507="","",IFERROR(INDEX(BARDAGE!$C$7:$C$1506,MATCH(K507,BARDAGE!$B$7:$B$1506,0)),"? hors registre"))</f>
        <v/>
      </c>
      <c r="M507" s="80"/>
      <c r="N507" s="81" t="str">
        <f aca="false">IF(M507="","",IFERROR(INDEX(BARDAGE!$C$7:$C$1506,MATCH(M507,BARDAGE!$B$7:$B$1506,0)),"? hors registre"))</f>
        <v/>
      </c>
      <c r="O507" s="80"/>
      <c r="P507" s="80"/>
      <c r="Q507" s="80"/>
      <c r="R507" s="82"/>
      <c r="S507" s="82"/>
      <c r="T507" s="80"/>
      <c r="U507" s="80"/>
      <c r="V507" s="82"/>
      <c r="W507" s="80"/>
      <c r="X507" s="80"/>
      <c r="Y507" s="80"/>
      <c r="Z507" s="80"/>
      <c r="AA507" s="82"/>
      <c r="AB507" s="80"/>
      <c r="AC507" s="80"/>
      <c r="AD507" s="80"/>
      <c r="AE507" s="80"/>
      <c r="AF507" s="82"/>
      <c r="AG507" s="80"/>
      <c r="AH507" s="80"/>
      <c r="AI507" s="82"/>
      <c r="AJ507" s="79"/>
      <c r="AK507" s="78" t="n">
        <f aca="false">IF(E507="","",(X507&lt;&gt;"")+(AC507&lt;&gt;"")+(AH507&lt;&gt;""))</f>
        <v>0</v>
      </c>
      <c r="AL507" s="81" t="str">
        <f aca="false">IF(AH507&lt;&gt;"",AH507,IF(AC507&lt;&gt;"",AC507,IF(X507&lt;&gt;"",X507,"")))</f>
        <v/>
      </c>
      <c r="AM507" s="83" t="str">
        <f aca="false">IF(E507="","",IF(R507="","À SOUDER",IF(U507="","VT EN ATTENTE",IF(U507="R","VT REJETÉ – À REPRENDRE",IF(AL507="","À RADIOGRAPHIER",IF(AL507="A","ACCEPTÉ",IF(AL507="NX","NX – RT À REFAIRE",IF(IF(AK507=1,Z507,IF(AK507=2,AE507,""))="A","RÉPARÉ – À RADIOGRAPHIER",IF(IF(AK507=1,Z507,IF(AK507=2,AE507,""))="R","VT REJETÉ – À REPRENDRE",IF(OR(AL507="CO",AL507="NT"),"COUPE – À RESOUDER","À RÉPARER"))))))))))</f>
        <v>À SOUDER</v>
      </c>
      <c r="AN507" s="81" t="str">
        <f aca="false">IF(AND(ISNUMBER(R507),OR(AM507="À RADIOGRAPHIER",AM507="RÉPARÉ – À RADIOGRAPHIER",AM507="NX – RT À REFAIRE",AM507="À RÉPARER",AM507="COUPE – À RESOUDER",AM507="VT REJETÉ – À REPRENDRE")),MAX(0,'PROGRAMME RT'!$C$4-R507),"")</f>
        <v/>
      </c>
      <c r="AO507" s="78" t="n">
        <f aca="false">IF(AND(OR(AM507="À RADIOGRAPHIER",AM507="RÉPARÉ – À RADIOGRAPHIER",AM507="NX – RT À REFAIRE"),OR('PROGRAMME RT'!$D$5="TOUTES",B507='PROGRAMME RT'!$D$5)),1,0)</f>
        <v>0</v>
      </c>
      <c r="AP507" s="78" t="str">
        <f aca="false">IF(AO507=1,SUM(AO$7:AO507),"")</f>
        <v/>
      </c>
      <c r="AQ507" s="78" t="n">
        <f aca="false">IF(AND(OR(X507="R",X507="NX",X507="NT",X507="CO"),OR('JOINTS DE RÉPARATION'!$D$5="TOUTES",B507='JOINTS DE RÉPARATION'!$D$5),OR('JOINTS DE RÉPARATION'!$L$4="TOUS",AM507&lt;&gt;"ACCEPTÉ")),1,0)</f>
        <v>0</v>
      </c>
      <c r="AR507" s="78" t="str">
        <f aca="false">IF(AQ507=1,SUM(AQ$7:AQ507),"")</f>
        <v/>
      </c>
    </row>
    <row r="508" customFormat="false" ht="15" hidden="false" customHeight="false" outlineLevel="0" collapsed="false">
      <c r="A508" s="78" t="n">
        <f aca="false">IF(E508="","",ROW()-6)</f>
        <v>502</v>
      </c>
      <c r="B508" s="79" t="s">
        <v>585</v>
      </c>
      <c r="C508" s="80"/>
      <c r="D508" s="80"/>
      <c r="E508" s="80" t="s">
        <v>338</v>
      </c>
      <c r="F508" s="80"/>
      <c r="G508" s="80" t="s">
        <v>106</v>
      </c>
      <c r="H508" s="80"/>
      <c r="I508" s="80"/>
      <c r="J508" s="80"/>
      <c r="K508" s="80"/>
      <c r="L508" s="81" t="str">
        <f aca="false">IF(K508="","",IFERROR(INDEX(BARDAGE!$C$7:$C$1506,MATCH(K508,BARDAGE!$B$7:$B$1506,0)),"? hors registre"))</f>
        <v/>
      </c>
      <c r="M508" s="80"/>
      <c r="N508" s="81" t="str">
        <f aca="false">IF(M508="","",IFERROR(INDEX(BARDAGE!$C$7:$C$1506,MATCH(M508,BARDAGE!$B$7:$B$1506,0)),"? hors registre"))</f>
        <v/>
      </c>
      <c r="O508" s="80"/>
      <c r="P508" s="80"/>
      <c r="Q508" s="80"/>
      <c r="R508" s="82"/>
      <c r="S508" s="82"/>
      <c r="T508" s="80"/>
      <c r="U508" s="80"/>
      <c r="V508" s="82"/>
      <c r="W508" s="80"/>
      <c r="X508" s="80"/>
      <c r="Y508" s="80"/>
      <c r="Z508" s="80"/>
      <c r="AA508" s="82"/>
      <c r="AB508" s="80"/>
      <c r="AC508" s="80"/>
      <c r="AD508" s="80"/>
      <c r="AE508" s="80"/>
      <c r="AF508" s="82"/>
      <c r="AG508" s="80"/>
      <c r="AH508" s="80"/>
      <c r="AI508" s="82"/>
      <c r="AJ508" s="79"/>
      <c r="AK508" s="78" t="n">
        <f aca="false">IF(E508="","",(X508&lt;&gt;"")+(AC508&lt;&gt;"")+(AH508&lt;&gt;""))</f>
        <v>0</v>
      </c>
      <c r="AL508" s="81" t="str">
        <f aca="false">IF(AH508&lt;&gt;"",AH508,IF(AC508&lt;&gt;"",AC508,IF(X508&lt;&gt;"",X508,"")))</f>
        <v/>
      </c>
      <c r="AM508" s="83" t="str">
        <f aca="false">IF(E508="","",IF(R508="","À SOUDER",IF(U508="","VT EN ATTENTE",IF(U508="R","VT REJETÉ – À REPRENDRE",IF(AL508="","À RADIOGRAPHIER",IF(AL508="A","ACCEPTÉ",IF(AL508="NX","NX – RT À REFAIRE",IF(IF(AK508=1,Z508,IF(AK508=2,AE508,""))="A","RÉPARÉ – À RADIOGRAPHIER",IF(IF(AK508=1,Z508,IF(AK508=2,AE508,""))="R","VT REJETÉ – À REPRENDRE",IF(OR(AL508="CO",AL508="NT"),"COUPE – À RESOUDER","À RÉPARER"))))))))))</f>
        <v>À SOUDER</v>
      </c>
      <c r="AN508" s="81" t="str">
        <f aca="false">IF(AND(ISNUMBER(R508),OR(AM508="À RADIOGRAPHIER",AM508="RÉPARÉ – À RADIOGRAPHIER",AM508="NX – RT À REFAIRE",AM508="À RÉPARER",AM508="COUPE – À RESOUDER",AM508="VT REJETÉ – À REPRENDRE")),MAX(0,'PROGRAMME RT'!$C$4-R508),"")</f>
        <v/>
      </c>
      <c r="AO508" s="78" t="n">
        <f aca="false">IF(AND(OR(AM508="À RADIOGRAPHIER",AM508="RÉPARÉ – À RADIOGRAPHIER",AM508="NX – RT À REFAIRE"),OR('PROGRAMME RT'!$D$5="TOUTES",B508='PROGRAMME RT'!$D$5)),1,0)</f>
        <v>0</v>
      </c>
      <c r="AP508" s="78" t="str">
        <f aca="false">IF(AO508=1,SUM(AO$7:AO508),"")</f>
        <v/>
      </c>
      <c r="AQ508" s="78" t="n">
        <f aca="false">IF(AND(OR(X508="R",X508="NX",X508="NT",X508="CO"),OR('JOINTS DE RÉPARATION'!$D$5="TOUTES",B508='JOINTS DE RÉPARATION'!$D$5),OR('JOINTS DE RÉPARATION'!$L$4="TOUS",AM508&lt;&gt;"ACCEPTÉ")),1,0)</f>
        <v>0</v>
      </c>
      <c r="AR508" s="78" t="str">
        <f aca="false">IF(AQ508=1,SUM(AQ$7:AQ508),"")</f>
        <v/>
      </c>
    </row>
    <row r="509" customFormat="false" ht="15" hidden="false" customHeight="false" outlineLevel="0" collapsed="false">
      <c r="A509" s="78" t="n">
        <f aca="false">IF(E509="","",ROW()-6)</f>
        <v>503</v>
      </c>
      <c r="B509" s="79" t="s">
        <v>585</v>
      </c>
      <c r="C509" s="80"/>
      <c r="D509" s="80"/>
      <c r="E509" s="80" t="s">
        <v>341</v>
      </c>
      <c r="F509" s="80"/>
      <c r="G509" s="80" t="s">
        <v>106</v>
      </c>
      <c r="H509" s="80"/>
      <c r="I509" s="80"/>
      <c r="J509" s="80"/>
      <c r="K509" s="80"/>
      <c r="L509" s="81" t="str">
        <f aca="false">IF(K509="","",IFERROR(INDEX(BARDAGE!$C$7:$C$1506,MATCH(K509,BARDAGE!$B$7:$B$1506,0)),"? hors registre"))</f>
        <v/>
      </c>
      <c r="M509" s="80"/>
      <c r="N509" s="81" t="str">
        <f aca="false">IF(M509="","",IFERROR(INDEX(BARDAGE!$C$7:$C$1506,MATCH(M509,BARDAGE!$B$7:$B$1506,0)),"? hors registre"))</f>
        <v/>
      </c>
      <c r="O509" s="80"/>
      <c r="P509" s="80"/>
      <c r="Q509" s="80"/>
      <c r="R509" s="82"/>
      <c r="S509" s="82"/>
      <c r="T509" s="80"/>
      <c r="U509" s="80"/>
      <c r="V509" s="82"/>
      <c r="W509" s="80"/>
      <c r="X509" s="80"/>
      <c r="Y509" s="80"/>
      <c r="Z509" s="80"/>
      <c r="AA509" s="82"/>
      <c r="AB509" s="80"/>
      <c r="AC509" s="80"/>
      <c r="AD509" s="80"/>
      <c r="AE509" s="80"/>
      <c r="AF509" s="82"/>
      <c r="AG509" s="80"/>
      <c r="AH509" s="80"/>
      <c r="AI509" s="82"/>
      <c r="AJ509" s="79"/>
      <c r="AK509" s="78" t="n">
        <f aca="false">IF(E509="","",(X509&lt;&gt;"")+(AC509&lt;&gt;"")+(AH509&lt;&gt;""))</f>
        <v>0</v>
      </c>
      <c r="AL509" s="81" t="str">
        <f aca="false">IF(AH509&lt;&gt;"",AH509,IF(AC509&lt;&gt;"",AC509,IF(X509&lt;&gt;"",X509,"")))</f>
        <v/>
      </c>
      <c r="AM509" s="83" t="str">
        <f aca="false">IF(E509="","",IF(R509="","À SOUDER",IF(U509="","VT EN ATTENTE",IF(U509="R","VT REJETÉ – À REPRENDRE",IF(AL509="","À RADIOGRAPHIER",IF(AL509="A","ACCEPTÉ",IF(AL509="NX","NX – RT À REFAIRE",IF(IF(AK509=1,Z509,IF(AK509=2,AE509,""))="A","RÉPARÉ – À RADIOGRAPHIER",IF(IF(AK509=1,Z509,IF(AK509=2,AE509,""))="R","VT REJETÉ – À REPRENDRE",IF(OR(AL509="CO",AL509="NT"),"COUPE – À RESOUDER","À RÉPARER"))))))))))</f>
        <v>À SOUDER</v>
      </c>
      <c r="AN509" s="81" t="str">
        <f aca="false">IF(AND(ISNUMBER(R509),OR(AM509="À RADIOGRAPHIER",AM509="RÉPARÉ – À RADIOGRAPHIER",AM509="NX – RT À REFAIRE",AM509="À RÉPARER",AM509="COUPE – À RESOUDER",AM509="VT REJETÉ – À REPRENDRE")),MAX(0,'PROGRAMME RT'!$C$4-R509),"")</f>
        <v/>
      </c>
      <c r="AO509" s="78" t="n">
        <f aca="false">IF(AND(OR(AM509="À RADIOGRAPHIER",AM509="RÉPARÉ – À RADIOGRAPHIER",AM509="NX – RT À REFAIRE"),OR('PROGRAMME RT'!$D$5="TOUTES",B509='PROGRAMME RT'!$D$5)),1,0)</f>
        <v>0</v>
      </c>
      <c r="AP509" s="78" t="str">
        <f aca="false">IF(AO509=1,SUM(AO$7:AO509),"")</f>
        <v/>
      </c>
      <c r="AQ509" s="78" t="n">
        <f aca="false">IF(AND(OR(X509="R",X509="NX",X509="NT",X509="CO"),OR('JOINTS DE RÉPARATION'!$D$5="TOUTES",B509='JOINTS DE RÉPARATION'!$D$5),OR('JOINTS DE RÉPARATION'!$L$4="TOUS",AM509&lt;&gt;"ACCEPTÉ")),1,0)</f>
        <v>0</v>
      </c>
      <c r="AR509" s="78" t="str">
        <f aca="false">IF(AQ509=1,SUM(AQ$7:AQ509),"")</f>
        <v/>
      </c>
    </row>
    <row r="510" customFormat="false" ht="15" hidden="false" customHeight="false" outlineLevel="0" collapsed="false">
      <c r="A510" s="78" t="n">
        <f aca="false">IF(E510="","",ROW()-6)</f>
        <v>504</v>
      </c>
      <c r="B510" s="79" t="s">
        <v>585</v>
      </c>
      <c r="C510" s="80"/>
      <c r="D510" s="80"/>
      <c r="E510" s="80" t="s">
        <v>343</v>
      </c>
      <c r="F510" s="80"/>
      <c r="G510" s="80" t="s">
        <v>106</v>
      </c>
      <c r="H510" s="80"/>
      <c r="I510" s="80"/>
      <c r="J510" s="80"/>
      <c r="K510" s="80"/>
      <c r="L510" s="81" t="str">
        <f aca="false">IF(K510="","",IFERROR(INDEX(BARDAGE!$C$7:$C$1506,MATCH(K510,BARDAGE!$B$7:$B$1506,0)),"? hors registre"))</f>
        <v/>
      </c>
      <c r="M510" s="80"/>
      <c r="N510" s="81" t="str">
        <f aca="false">IF(M510="","",IFERROR(INDEX(BARDAGE!$C$7:$C$1506,MATCH(M510,BARDAGE!$B$7:$B$1506,0)),"? hors registre"))</f>
        <v/>
      </c>
      <c r="O510" s="80"/>
      <c r="P510" s="80"/>
      <c r="Q510" s="80"/>
      <c r="R510" s="82"/>
      <c r="S510" s="82"/>
      <c r="T510" s="80"/>
      <c r="U510" s="80"/>
      <c r="V510" s="82"/>
      <c r="W510" s="80"/>
      <c r="X510" s="80"/>
      <c r="Y510" s="80"/>
      <c r="Z510" s="80"/>
      <c r="AA510" s="82"/>
      <c r="AB510" s="80"/>
      <c r="AC510" s="80"/>
      <c r="AD510" s="80"/>
      <c r="AE510" s="80"/>
      <c r="AF510" s="82"/>
      <c r="AG510" s="80"/>
      <c r="AH510" s="80"/>
      <c r="AI510" s="82"/>
      <c r="AJ510" s="79"/>
      <c r="AK510" s="78" t="n">
        <f aca="false">IF(E510="","",(X510&lt;&gt;"")+(AC510&lt;&gt;"")+(AH510&lt;&gt;""))</f>
        <v>0</v>
      </c>
      <c r="AL510" s="81" t="str">
        <f aca="false">IF(AH510&lt;&gt;"",AH510,IF(AC510&lt;&gt;"",AC510,IF(X510&lt;&gt;"",X510,"")))</f>
        <v/>
      </c>
      <c r="AM510" s="83" t="str">
        <f aca="false">IF(E510="","",IF(R510="","À SOUDER",IF(U510="","VT EN ATTENTE",IF(U510="R","VT REJETÉ – À REPRENDRE",IF(AL510="","À RADIOGRAPHIER",IF(AL510="A","ACCEPTÉ",IF(AL510="NX","NX – RT À REFAIRE",IF(IF(AK510=1,Z510,IF(AK510=2,AE510,""))="A","RÉPARÉ – À RADIOGRAPHIER",IF(IF(AK510=1,Z510,IF(AK510=2,AE510,""))="R","VT REJETÉ – À REPRENDRE",IF(OR(AL510="CO",AL510="NT"),"COUPE – À RESOUDER","À RÉPARER"))))))))))</f>
        <v>À SOUDER</v>
      </c>
      <c r="AN510" s="81" t="str">
        <f aca="false">IF(AND(ISNUMBER(R510),OR(AM510="À RADIOGRAPHIER",AM510="RÉPARÉ – À RADIOGRAPHIER",AM510="NX – RT À REFAIRE",AM510="À RÉPARER",AM510="COUPE – À RESOUDER",AM510="VT REJETÉ – À REPRENDRE")),MAX(0,'PROGRAMME RT'!$C$4-R510),"")</f>
        <v/>
      </c>
      <c r="AO510" s="78" t="n">
        <f aca="false">IF(AND(OR(AM510="À RADIOGRAPHIER",AM510="RÉPARÉ – À RADIOGRAPHIER",AM510="NX – RT À REFAIRE"),OR('PROGRAMME RT'!$D$5="TOUTES",B510='PROGRAMME RT'!$D$5)),1,0)</f>
        <v>0</v>
      </c>
      <c r="AP510" s="78" t="str">
        <f aca="false">IF(AO510=1,SUM(AO$7:AO510),"")</f>
        <v/>
      </c>
      <c r="AQ510" s="78" t="n">
        <f aca="false">IF(AND(OR(X510="R",X510="NX",X510="NT",X510="CO"),OR('JOINTS DE RÉPARATION'!$D$5="TOUTES",B510='JOINTS DE RÉPARATION'!$D$5),OR('JOINTS DE RÉPARATION'!$L$4="TOUS",AM510&lt;&gt;"ACCEPTÉ")),1,0)</f>
        <v>0</v>
      </c>
      <c r="AR510" s="78" t="str">
        <f aca="false">IF(AQ510=1,SUM(AQ$7:AQ510),"")</f>
        <v/>
      </c>
    </row>
    <row r="511" customFormat="false" ht="15" hidden="false" customHeight="false" outlineLevel="0" collapsed="false">
      <c r="A511" s="78" t="n">
        <f aca="false">IF(E511="","",ROW()-6)</f>
        <v>505</v>
      </c>
      <c r="B511" s="79" t="s">
        <v>585</v>
      </c>
      <c r="C511" s="80"/>
      <c r="D511" s="80"/>
      <c r="E511" s="80" t="s">
        <v>345</v>
      </c>
      <c r="F511" s="80"/>
      <c r="G511" s="80" t="s">
        <v>106</v>
      </c>
      <c r="H511" s="80"/>
      <c r="I511" s="80"/>
      <c r="J511" s="80"/>
      <c r="K511" s="80"/>
      <c r="L511" s="81" t="str">
        <f aca="false">IF(K511="","",IFERROR(INDEX(BARDAGE!$C$7:$C$1506,MATCH(K511,BARDAGE!$B$7:$B$1506,0)),"? hors registre"))</f>
        <v/>
      </c>
      <c r="M511" s="80"/>
      <c r="N511" s="81" t="str">
        <f aca="false">IF(M511="","",IFERROR(INDEX(BARDAGE!$C$7:$C$1506,MATCH(M511,BARDAGE!$B$7:$B$1506,0)),"? hors registre"))</f>
        <v/>
      </c>
      <c r="O511" s="80"/>
      <c r="P511" s="80"/>
      <c r="Q511" s="80"/>
      <c r="R511" s="82"/>
      <c r="S511" s="82"/>
      <c r="T511" s="80"/>
      <c r="U511" s="80"/>
      <c r="V511" s="82"/>
      <c r="W511" s="80"/>
      <c r="X511" s="80"/>
      <c r="Y511" s="80"/>
      <c r="Z511" s="80"/>
      <c r="AA511" s="82"/>
      <c r="AB511" s="80"/>
      <c r="AC511" s="80"/>
      <c r="AD511" s="80"/>
      <c r="AE511" s="80"/>
      <c r="AF511" s="82"/>
      <c r="AG511" s="80"/>
      <c r="AH511" s="80"/>
      <c r="AI511" s="82"/>
      <c r="AJ511" s="79"/>
      <c r="AK511" s="78" t="n">
        <f aca="false">IF(E511="","",(X511&lt;&gt;"")+(AC511&lt;&gt;"")+(AH511&lt;&gt;""))</f>
        <v>0</v>
      </c>
      <c r="AL511" s="81" t="str">
        <f aca="false">IF(AH511&lt;&gt;"",AH511,IF(AC511&lt;&gt;"",AC511,IF(X511&lt;&gt;"",X511,"")))</f>
        <v/>
      </c>
      <c r="AM511" s="83" t="str">
        <f aca="false">IF(E511="","",IF(R511="","À SOUDER",IF(U511="","VT EN ATTENTE",IF(U511="R","VT REJETÉ – À REPRENDRE",IF(AL511="","À RADIOGRAPHIER",IF(AL511="A","ACCEPTÉ",IF(AL511="NX","NX – RT À REFAIRE",IF(IF(AK511=1,Z511,IF(AK511=2,AE511,""))="A","RÉPARÉ – À RADIOGRAPHIER",IF(IF(AK511=1,Z511,IF(AK511=2,AE511,""))="R","VT REJETÉ – À REPRENDRE",IF(OR(AL511="CO",AL511="NT"),"COUPE – À RESOUDER","À RÉPARER"))))))))))</f>
        <v>À SOUDER</v>
      </c>
      <c r="AN511" s="81" t="str">
        <f aca="false">IF(AND(ISNUMBER(R511),OR(AM511="À RADIOGRAPHIER",AM511="RÉPARÉ – À RADIOGRAPHIER",AM511="NX – RT À REFAIRE",AM511="À RÉPARER",AM511="COUPE – À RESOUDER",AM511="VT REJETÉ – À REPRENDRE")),MAX(0,'PROGRAMME RT'!$C$4-R511),"")</f>
        <v/>
      </c>
      <c r="AO511" s="78" t="n">
        <f aca="false">IF(AND(OR(AM511="À RADIOGRAPHIER",AM511="RÉPARÉ – À RADIOGRAPHIER",AM511="NX – RT À REFAIRE"),OR('PROGRAMME RT'!$D$5="TOUTES",B511='PROGRAMME RT'!$D$5)),1,0)</f>
        <v>0</v>
      </c>
      <c r="AP511" s="78" t="str">
        <f aca="false">IF(AO511=1,SUM(AO$7:AO511),"")</f>
        <v/>
      </c>
      <c r="AQ511" s="78" t="n">
        <f aca="false">IF(AND(OR(X511="R",X511="NX",X511="NT",X511="CO"),OR('JOINTS DE RÉPARATION'!$D$5="TOUTES",B511='JOINTS DE RÉPARATION'!$D$5),OR('JOINTS DE RÉPARATION'!$L$4="TOUS",AM511&lt;&gt;"ACCEPTÉ")),1,0)</f>
        <v>0</v>
      </c>
      <c r="AR511" s="78" t="str">
        <f aca="false">IF(AQ511=1,SUM(AQ$7:AQ511),"")</f>
        <v/>
      </c>
    </row>
    <row r="512" customFormat="false" ht="15" hidden="false" customHeight="false" outlineLevel="0" collapsed="false">
      <c r="A512" s="78" t="n">
        <f aca="false">IF(E512="","",ROW()-6)</f>
        <v>506</v>
      </c>
      <c r="B512" s="79" t="s">
        <v>585</v>
      </c>
      <c r="C512" s="80"/>
      <c r="D512" s="80"/>
      <c r="E512" s="80" t="s">
        <v>348</v>
      </c>
      <c r="F512" s="80"/>
      <c r="G512" s="80" t="s">
        <v>106</v>
      </c>
      <c r="H512" s="80"/>
      <c r="I512" s="80"/>
      <c r="J512" s="80"/>
      <c r="K512" s="80"/>
      <c r="L512" s="81" t="str">
        <f aca="false">IF(K512="","",IFERROR(INDEX(BARDAGE!$C$7:$C$1506,MATCH(K512,BARDAGE!$B$7:$B$1506,0)),"? hors registre"))</f>
        <v/>
      </c>
      <c r="M512" s="80"/>
      <c r="N512" s="81" t="str">
        <f aca="false">IF(M512="","",IFERROR(INDEX(BARDAGE!$C$7:$C$1506,MATCH(M512,BARDAGE!$B$7:$B$1506,0)),"? hors registre"))</f>
        <v/>
      </c>
      <c r="O512" s="80"/>
      <c r="P512" s="80"/>
      <c r="Q512" s="80"/>
      <c r="R512" s="82"/>
      <c r="S512" s="82"/>
      <c r="T512" s="80"/>
      <c r="U512" s="80"/>
      <c r="V512" s="82"/>
      <c r="W512" s="80"/>
      <c r="X512" s="80"/>
      <c r="Y512" s="80"/>
      <c r="Z512" s="80"/>
      <c r="AA512" s="82"/>
      <c r="AB512" s="80"/>
      <c r="AC512" s="80"/>
      <c r="AD512" s="80"/>
      <c r="AE512" s="80"/>
      <c r="AF512" s="82"/>
      <c r="AG512" s="80"/>
      <c r="AH512" s="80"/>
      <c r="AI512" s="82"/>
      <c r="AJ512" s="79"/>
      <c r="AK512" s="78" t="n">
        <f aca="false">IF(E512="","",(X512&lt;&gt;"")+(AC512&lt;&gt;"")+(AH512&lt;&gt;""))</f>
        <v>0</v>
      </c>
      <c r="AL512" s="81" t="str">
        <f aca="false">IF(AH512&lt;&gt;"",AH512,IF(AC512&lt;&gt;"",AC512,IF(X512&lt;&gt;"",X512,"")))</f>
        <v/>
      </c>
      <c r="AM512" s="83" t="str">
        <f aca="false">IF(E512="","",IF(R512="","À SOUDER",IF(U512="","VT EN ATTENTE",IF(U512="R","VT REJETÉ – À REPRENDRE",IF(AL512="","À RADIOGRAPHIER",IF(AL512="A","ACCEPTÉ",IF(AL512="NX","NX – RT À REFAIRE",IF(IF(AK512=1,Z512,IF(AK512=2,AE512,""))="A","RÉPARÉ – À RADIOGRAPHIER",IF(IF(AK512=1,Z512,IF(AK512=2,AE512,""))="R","VT REJETÉ – À REPRENDRE",IF(OR(AL512="CO",AL512="NT"),"COUPE – À RESOUDER","À RÉPARER"))))))))))</f>
        <v>À SOUDER</v>
      </c>
      <c r="AN512" s="81" t="str">
        <f aca="false">IF(AND(ISNUMBER(R512),OR(AM512="À RADIOGRAPHIER",AM512="RÉPARÉ – À RADIOGRAPHIER",AM512="NX – RT À REFAIRE",AM512="À RÉPARER",AM512="COUPE – À RESOUDER",AM512="VT REJETÉ – À REPRENDRE")),MAX(0,'PROGRAMME RT'!$C$4-R512),"")</f>
        <v/>
      </c>
      <c r="AO512" s="78" t="n">
        <f aca="false">IF(AND(OR(AM512="À RADIOGRAPHIER",AM512="RÉPARÉ – À RADIOGRAPHIER",AM512="NX – RT À REFAIRE"),OR('PROGRAMME RT'!$D$5="TOUTES",B512='PROGRAMME RT'!$D$5)),1,0)</f>
        <v>0</v>
      </c>
      <c r="AP512" s="78" t="str">
        <f aca="false">IF(AO512=1,SUM(AO$7:AO512),"")</f>
        <v/>
      </c>
      <c r="AQ512" s="78" t="n">
        <f aca="false">IF(AND(OR(X512="R",X512="NX",X512="NT",X512="CO"),OR('JOINTS DE RÉPARATION'!$D$5="TOUTES",B512='JOINTS DE RÉPARATION'!$D$5),OR('JOINTS DE RÉPARATION'!$L$4="TOUS",AM512&lt;&gt;"ACCEPTÉ")),1,0)</f>
        <v>0</v>
      </c>
      <c r="AR512" s="78" t="str">
        <f aca="false">IF(AQ512=1,SUM(AQ$7:AQ512),"")</f>
        <v/>
      </c>
    </row>
    <row r="513" customFormat="false" ht="15" hidden="false" customHeight="false" outlineLevel="0" collapsed="false">
      <c r="A513" s="78" t="n">
        <f aca="false">IF(E513="","",ROW()-6)</f>
        <v>507</v>
      </c>
      <c r="B513" s="79" t="s">
        <v>585</v>
      </c>
      <c r="C513" s="80"/>
      <c r="D513" s="80"/>
      <c r="E513" s="80" t="s">
        <v>350</v>
      </c>
      <c r="F513" s="80"/>
      <c r="G513" s="80" t="s">
        <v>106</v>
      </c>
      <c r="H513" s="80"/>
      <c r="I513" s="80"/>
      <c r="J513" s="80"/>
      <c r="K513" s="80"/>
      <c r="L513" s="81" t="str">
        <f aca="false">IF(K513="","",IFERROR(INDEX(BARDAGE!$C$7:$C$1506,MATCH(K513,BARDAGE!$B$7:$B$1506,0)),"? hors registre"))</f>
        <v/>
      </c>
      <c r="M513" s="80"/>
      <c r="N513" s="81" t="str">
        <f aca="false">IF(M513="","",IFERROR(INDEX(BARDAGE!$C$7:$C$1506,MATCH(M513,BARDAGE!$B$7:$B$1506,0)),"? hors registre"))</f>
        <v/>
      </c>
      <c r="O513" s="80"/>
      <c r="P513" s="80"/>
      <c r="Q513" s="80"/>
      <c r="R513" s="82"/>
      <c r="S513" s="82"/>
      <c r="T513" s="80"/>
      <c r="U513" s="80"/>
      <c r="V513" s="82"/>
      <c r="W513" s="80"/>
      <c r="X513" s="80"/>
      <c r="Y513" s="80"/>
      <c r="Z513" s="80"/>
      <c r="AA513" s="82"/>
      <c r="AB513" s="80"/>
      <c r="AC513" s="80"/>
      <c r="AD513" s="80"/>
      <c r="AE513" s="80"/>
      <c r="AF513" s="82"/>
      <c r="AG513" s="80"/>
      <c r="AH513" s="80"/>
      <c r="AI513" s="82"/>
      <c r="AJ513" s="79"/>
      <c r="AK513" s="78" t="n">
        <f aca="false">IF(E513="","",(X513&lt;&gt;"")+(AC513&lt;&gt;"")+(AH513&lt;&gt;""))</f>
        <v>0</v>
      </c>
      <c r="AL513" s="81" t="str">
        <f aca="false">IF(AH513&lt;&gt;"",AH513,IF(AC513&lt;&gt;"",AC513,IF(X513&lt;&gt;"",X513,"")))</f>
        <v/>
      </c>
      <c r="AM513" s="83" t="str">
        <f aca="false">IF(E513="","",IF(R513="","À SOUDER",IF(U513="","VT EN ATTENTE",IF(U513="R","VT REJETÉ – À REPRENDRE",IF(AL513="","À RADIOGRAPHIER",IF(AL513="A","ACCEPTÉ",IF(AL513="NX","NX – RT À REFAIRE",IF(IF(AK513=1,Z513,IF(AK513=2,AE513,""))="A","RÉPARÉ – À RADIOGRAPHIER",IF(IF(AK513=1,Z513,IF(AK513=2,AE513,""))="R","VT REJETÉ – À REPRENDRE",IF(OR(AL513="CO",AL513="NT"),"COUPE – À RESOUDER","À RÉPARER"))))))))))</f>
        <v>À SOUDER</v>
      </c>
      <c r="AN513" s="81" t="str">
        <f aca="false">IF(AND(ISNUMBER(R513),OR(AM513="À RADIOGRAPHIER",AM513="RÉPARÉ – À RADIOGRAPHIER",AM513="NX – RT À REFAIRE",AM513="À RÉPARER",AM513="COUPE – À RESOUDER",AM513="VT REJETÉ – À REPRENDRE")),MAX(0,'PROGRAMME RT'!$C$4-R513),"")</f>
        <v/>
      </c>
      <c r="AO513" s="78" t="n">
        <f aca="false">IF(AND(OR(AM513="À RADIOGRAPHIER",AM513="RÉPARÉ – À RADIOGRAPHIER",AM513="NX – RT À REFAIRE"),OR('PROGRAMME RT'!$D$5="TOUTES",B513='PROGRAMME RT'!$D$5)),1,0)</f>
        <v>0</v>
      </c>
      <c r="AP513" s="78" t="str">
        <f aca="false">IF(AO513=1,SUM(AO$7:AO513),"")</f>
        <v/>
      </c>
      <c r="AQ513" s="78" t="n">
        <f aca="false">IF(AND(OR(X513="R",X513="NX",X513="NT",X513="CO"),OR('JOINTS DE RÉPARATION'!$D$5="TOUTES",B513='JOINTS DE RÉPARATION'!$D$5),OR('JOINTS DE RÉPARATION'!$L$4="TOUS",AM513&lt;&gt;"ACCEPTÉ")),1,0)</f>
        <v>0</v>
      </c>
      <c r="AR513" s="78" t="str">
        <f aca="false">IF(AQ513=1,SUM(AQ$7:AQ513),"")</f>
        <v/>
      </c>
    </row>
    <row r="514" customFormat="false" ht="15" hidden="false" customHeight="false" outlineLevel="0" collapsed="false">
      <c r="A514" s="78" t="n">
        <f aca="false">IF(E514="","",ROW()-6)</f>
        <v>508</v>
      </c>
      <c r="B514" s="79" t="s">
        <v>585</v>
      </c>
      <c r="C514" s="80"/>
      <c r="D514" s="80"/>
      <c r="E514" s="80" t="s">
        <v>352</v>
      </c>
      <c r="F514" s="80"/>
      <c r="G514" s="80" t="s">
        <v>106</v>
      </c>
      <c r="H514" s="80"/>
      <c r="I514" s="80"/>
      <c r="J514" s="80"/>
      <c r="K514" s="80"/>
      <c r="L514" s="81" t="str">
        <f aca="false">IF(K514="","",IFERROR(INDEX(BARDAGE!$C$7:$C$1506,MATCH(K514,BARDAGE!$B$7:$B$1506,0)),"? hors registre"))</f>
        <v/>
      </c>
      <c r="M514" s="80"/>
      <c r="N514" s="81" t="str">
        <f aca="false">IF(M514="","",IFERROR(INDEX(BARDAGE!$C$7:$C$1506,MATCH(M514,BARDAGE!$B$7:$B$1506,0)),"? hors registre"))</f>
        <v/>
      </c>
      <c r="O514" s="80"/>
      <c r="P514" s="80"/>
      <c r="Q514" s="80"/>
      <c r="R514" s="82"/>
      <c r="S514" s="82"/>
      <c r="T514" s="80"/>
      <c r="U514" s="80"/>
      <c r="V514" s="82"/>
      <c r="W514" s="80"/>
      <c r="X514" s="80"/>
      <c r="Y514" s="80"/>
      <c r="Z514" s="80"/>
      <c r="AA514" s="82"/>
      <c r="AB514" s="80"/>
      <c r="AC514" s="80"/>
      <c r="AD514" s="80"/>
      <c r="AE514" s="80"/>
      <c r="AF514" s="82"/>
      <c r="AG514" s="80"/>
      <c r="AH514" s="80"/>
      <c r="AI514" s="82"/>
      <c r="AJ514" s="79"/>
      <c r="AK514" s="78" t="n">
        <f aca="false">IF(E514="","",(X514&lt;&gt;"")+(AC514&lt;&gt;"")+(AH514&lt;&gt;""))</f>
        <v>0</v>
      </c>
      <c r="AL514" s="81" t="str">
        <f aca="false">IF(AH514&lt;&gt;"",AH514,IF(AC514&lt;&gt;"",AC514,IF(X514&lt;&gt;"",X514,"")))</f>
        <v/>
      </c>
      <c r="AM514" s="83" t="str">
        <f aca="false">IF(E514="","",IF(R514="","À SOUDER",IF(U514="","VT EN ATTENTE",IF(U514="R","VT REJETÉ – À REPRENDRE",IF(AL514="","À RADIOGRAPHIER",IF(AL514="A","ACCEPTÉ",IF(AL514="NX","NX – RT À REFAIRE",IF(IF(AK514=1,Z514,IF(AK514=2,AE514,""))="A","RÉPARÉ – À RADIOGRAPHIER",IF(IF(AK514=1,Z514,IF(AK514=2,AE514,""))="R","VT REJETÉ – À REPRENDRE",IF(OR(AL514="CO",AL514="NT"),"COUPE – À RESOUDER","À RÉPARER"))))))))))</f>
        <v>À SOUDER</v>
      </c>
      <c r="AN514" s="81" t="str">
        <f aca="false">IF(AND(ISNUMBER(R514),OR(AM514="À RADIOGRAPHIER",AM514="RÉPARÉ – À RADIOGRAPHIER",AM514="NX – RT À REFAIRE",AM514="À RÉPARER",AM514="COUPE – À RESOUDER",AM514="VT REJETÉ – À REPRENDRE")),MAX(0,'PROGRAMME RT'!$C$4-R514),"")</f>
        <v/>
      </c>
      <c r="AO514" s="78" t="n">
        <f aca="false">IF(AND(OR(AM514="À RADIOGRAPHIER",AM514="RÉPARÉ – À RADIOGRAPHIER",AM514="NX – RT À REFAIRE"),OR('PROGRAMME RT'!$D$5="TOUTES",B514='PROGRAMME RT'!$D$5)),1,0)</f>
        <v>0</v>
      </c>
      <c r="AP514" s="78" t="str">
        <f aca="false">IF(AO514=1,SUM(AO$7:AO514),"")</f>
        <v/>
      </c>
      <c r="AQ514" s="78" t="n">
        <f aca="false">IF(AND(OR(X514="R",X514="NX",X514="NT",X514="CO"),OR('JOINTS DE RÉPARATION'!$D$5="TOUTES",B514='JOINTS DE RÉPARATION'!$D$5),OR('JOINTS DE RÉPARATION'!$L$4="TOUS",AM514&lt;&gt;"ACCEPTÉ")),1,0)</f>
        <v>0</v>
      </c>
      <c r="AR514" s="78" t="str">
        <f aca="false">IF(AQ514=1,SUM(AQ$7:AQ514),"")</f>
        <v/>
      </c>
    </row>
    <row r="515" customFormat="false" ht="15" hidden="false" customHeight="false" outlineLevel="0" collapsed="false">
      <c r="A515" s="78" t="n">
        <f aca="false">IF(E515="","",ROW()-6)</f>
        <v>509</v>
      </c>
      <c r="B515" s="79" t="s">
        <v>585</v>
      </c>
      <c r="C515" s="80"/>
      <c r="D515" s="80"/>
      <c r="E515" s="80" t="s">
        <v>580</v>
      </c>
      <c r="F515" s="80"/>
      <c r="G515" s="80" t="s">
        <v>106</v>
      </c>
      <c r="H515" s="80"/>
      <c r="I515" s="80"/>
      <c r="J515" s="80"/>
      <c r="K515" s="80"/>
      <c r="L515" s="81" t="str">
        <f aca="false">IF(K515="","",IFERROR(INDEX(BARDAGE!$C$7:$C$1506,MATCH(K515,BARDAGE!$B$7:$B$1506,0)),"? hors registre"))</f>
        <v/>
      </c>
      <c r="M515" s="80"/>
      <c r="N515" s="81" t="str">
        <f aca="false">IF(M515="","",IFERROR(INDEX(BARDAGE!$C$7:$C$1506,MATCH(M515,BARDAGE!$B$7:$B$1506,0)),"? hors registre"))</f>
        <v/>
      </c>
      <c r="O515" s="80"/>
      <c r="P515" s="80"/>
      <c r="Q515" s="80"/>
      <c r="R515" s="82"/>
      <c r="S515" s="82"/>
      <c r="T515" s="80"/>
      <c r="U515" s="80"/>
      <c r="V515" s="82"/>
      <c r="W515" s="80"/>
      <c r="X515" s="80"/>
      <c r="Y515" s="80"/>
      <c r="Z515" s="80"/>
      <c r="AA515" s="82"/>
      <c r="AB515" s="80"/>
      <c r="AC515" s="80"/>
      <c r="AD515" s="80"/>
      <c r="AE515" s="80"/>
      <c r="AF515" s="82"/>
      <c r="AG515" s="80"/>
      <c r="AH515" s="80"/>
      <c r="AI515" s="82"/>
      <c r="AJ515" s="79"/>
      <c r="AK515" s="78" t="n">
        <f aca="false">IF(E515="","",(X515&lt;&gt;"")+(AC515&lt;&gt;"")+(AH515&lt;&gt;""))</f>
        <v>0</v>
      </c>
      <c r="AL515" s="81" t="str">
        <f aca="false">IF(AH515&lt;&gt;"",AH515,IF(AC515&lt;&gt;"",AC515,IF(X515&lt;&gt;"",X515,"")))</f>
        <v/>
      </c>
      <c r="AM515" s="83" t="str">
        <f aca="false">IF(E515="","",IF(R515="","À SOUDER",IF(U515="","VT EN ATTENTE",IF(U515="R","VT REJETÉ – À REPRENDRE",IF(AL515="","À RADIOGRAPHIER",IF(AL515="A","ACCEPTÉ",IF(AL515="NX","NX – RT À REFAIRE",IF(IF(AK515=1,Z515,IF(AK515=2,AE515,""))="A","RÉPARÉ – À RADIOGRAPHIER",IF(IF(AK515=1,Z515,IF(AK515=2,AE515,""))="R","VT REJETÉ – À REPRENDRE",IF(OR(AL515="CO",AL515="NT"),"COUPE – À RESOUDER","À RÉPARER"))))))))))</f>
        <v>À SOUDER</v>
      </c>
      <c r="AN515" s="81" t="str">
        <f aca="false">IF(AND(ISNUMBER(R515),OR(AM515="À RADIOGRAPHIER",AM515="RÉPARÉ – À RADIOGRAPHIER",AM515="NX – RT À REFAIRE",AM515="À RÉPARER",AM515="COUPE – À RESOUDER",AM515="VT REJETÉ – À REPRENDRE")),MAX(0,'PROGRAMME RT'!$C$4-R515),"")</f>
        <v/>
      </c>
      <c r="AO515" s="78" t="n">
        <f aca="false">IF(AND(OR(AM515="À RADIOGRAPHIER",AM515="RÉPARÉ – À RADIOGRAPHIER",AM515="NX – RT À REFAIRE"),OR('PROGRAMME RT'!$D$5="TOUTES",B515='PROGRAMME RT'!$D$5)),1,0)</f>
        <v>0</v>
      </c>
      <c r="AP515" s="78" t="str">
        <f aca="false">IF(AO515=1,SUM(AO$7:AO515),"")</f>
        <v/>
      </c>
      <c r="AQ515" s="78" t="n">
        <f aca="false">IF(AND(OR(X515="R",X515="NX",X515="NT",X515="CO"),OR('JOINTS DE RÉPARATION'!$D$5="TOUTES",B515='JOINTS DE RÉPARATION'!$D$5),OR('JOINTS DE RÉPARATION'!$L$4="TOUS",AM515&lt;&gt;"ACCEPTÉ")),1,0)</f>
        <v>0</v>
      </c>
      <c r="AR515" s="78" t="str">
        <f aca="false">IF(AQ515=1,SUM(AQ$7:AQ515),"")</f>
        <v/>
      </c>
    </row>
    <row r="516" customFormat="false" ht="15" hidden="false" customHeight="false" outlineLevel="0" collapsed="false">
      <c r="A516" s="78" t="n">
        <f aca="false">IF(E516="","",ROW()-6)</f>
        <v>510</v>
      </c>
      <c r="B516" s="79" t="s">
        <v>585</v>
      </c>
      <c r="C516" s="80"/>
      <c r="D516" s="80"/>
      <c r="E516" s="80" t="s">
        <v>357</v>
      </c>
      <c r="F516" s="80"/>
      <c r="G516" s="80" t="s">
        <v>106</v>
      </c>
      <c r="H516" s="80"/>
      <c r="I516" s="80"/>
      <c r="J516" s="80"/>
      <c r="K516" s="80"/>
      <c r="L516" s="81" t="str">
        <f aca="false">IF(K516="","",IFERROR(INDEX(BARDAGE!$C$7:$C$1506,MATCH(K516,BARDAGE!$B$7:$B$1506,0)),"? hors registre"))</f>
        <v/>
      </c>
      <c r="M516" s="80"/>
      <c r="N516" s="81" t="str">
        <f aca="false">IF(M516="","",IFERROR(INDEX(BARDAGE!$C$7:$C$1506,MATCH(M516,BARDAGE!$B$7:$B$1506,0)),"? hors registre"))</f>
        <v/>
      </c>
      <c r="O516" s="80"/>
      <c r="P516" s="80"/>
      <c r="Q516" s="80"/>
      <c r="R516" s="82"/>
      <c r="S516" s="82"/>
      <c r="T516" s="80"/>
      <c r="U516" s="80"/>
      <c r="V516" s="82"/>
      <c r="W516" s="80"/>
      <c r="X516" s="80"/>
      <c r="Y516" s="80"/>
      <c r="Z516" s="80"/>
      <c r="AA516" s="82"/>
      <c r="AB516" s="80"/>
      <c r="AC516" s="80"/>
      <c r="AD516" s="80"/>
      <c r="AE516" s="80"/>
      <c r="AF516" s="82"/>
      <c r="AG516" s="80"/>
      <c r="AH516" s="80"/>
      <c r="AI516" s="82"/>
      <c r="AJ516" s="79"/>
      <c r="AK516" s="78" t="n">
        <f aca="false">IF(E516="","",(X516&lt;&gt;"")+(AC516&lt;&gt;"")+(AH516&lt;&gt;""))</f>
        <v>0</v>
      </c>
      <c r="AL516" s="81" t="str">
        <f aca="false">IF(AH516&lt;&gt;"",AH516,IF(AC516&lt;&gt;"",AC516,IF(X516&lt;&gt;"",X516,"")))</f>
        <v/>
      </c>
      <c r="AM516" s="83" t="str">
        <f aca="false">IF(E516="","",IF(R516="","À SOUDER",IF(U516="","VT EN ATTENTE",IF(U516="R","VT REJETÉ – À REPRENDRE",IF(AL516="","À RADIOGRAPHIER",IF(AL516="A","ACCEPTÉ",IF(AL516="NX","NX – RT À REFAIRE",IF(IF(AK516=1,Z516,IF(AK516=2,AE516,""))="A","RÉPARÉ – À RADIOGRAPHIER",IF(IF(AK516=1,Z516,IF(AK516=2,AE516,""))="R","VT REJETÉ – À REPRENDRE",IF(OR(AL516="CO",AL516="NT"),"COUPE – À RESOUDER","À RÉPARER"))))))))))</f>
        <v>À SOUDER</v>
      </c>
      <c r="AN516" s="81" t="str">
        <f aca="false">IF(AND(ISNUMBER(R516),OR(AM516="À RADIOGRAPHIER",AM516="RÉPARÉ – À RADIOGRAPHIER",AM516="NX – RT À REFAIRE",AM516="À RÉPARER",AM516="COUPE – À RESOUDER",AM516="VT REJETÉ – À REPRENDRE")),MAX(0,'PROGRAMME RT'!$C$4-R516),"")</f>
        <v/>
      </c>
      <c r="AO516" s="78" t="n">
        <f aca="false">IF(AND(OR(AM516="À RADIOGRAPHIER",AM516="RÉPARÉ – À RADIOGRAPHIER",AM516="NX – RT À REFAIRE"),OR('PROGRAMME RT'!$D$5="TOUTES",B516='PROGRAMME RT'!$D$5)),1,0)</f>
        <v>0</v>
      </c>
      <c r="AP516" s="78" t="str">
        <f aca="false">IF(AO516=1,SUM(AO$7:AO516),"")</f>
        <v/>
      </c>
      <c r="AQ516" s="78" t="n">
        <f aca="false">IF(AND(OR(X516="R",X516="NX",X516="NT",X516="CO"),OR('JOINTS DE RÉPARATION'!$D$5="TOUTES",B516='JOINTS DE RÉPARATION'!$D$5),OR('JOINTS DE RÉPARATION'!$L$4="TOUS",AM516&lt;&gt;"ACCEPTÉ")),1,0)</f>
        <v>0</v>
      </c>
      <c r="AR516" s="78" t="str">
        <f aca="false">IF(AQ516=1,SUM(AQ$7:AQ516),"")</f>
        <v/>
      </c>
    </row>
    <row r="517" customFormat="false" ht="15" hidden="false" customHeight="false" outlineLevel="0" collapsed="false">
      <c r="A517" s="78" t="n">
        <f aca="false">IF(E517="","",ROW()-6)</f>
        <v>511</v>
      </c>
      <c r="B517" s="79" t="s">
        <v>585</v>
      </c>
      <c r="C517" s="80"/>
      <c r="D517" s="80"/>
      <c r="E517" s="80" t="s">
        <v>359</v>
      </c>
      <c r="F517" s="80"/>
      <c r="G517" s="80" t="s">
        <v>106</v>
      </c>
      <c r="H517" s="80"/>
      <c r="I517" s="80"/>
      <c r="J517" s="80"/>
      <c r="K517" s="80"/>
      <c r="L517" s="81" t="str">
        <f aca="false">IF(K517="","",IFERROR(INDEX(BARDAGE!$C$7:$C$1506,MATCH(K517,BARDAGE!$B$7:$B$1506,0)),"? hors registre"))</f>
        <v/>
      </c>
      <c r="M517" s="80"/>
      <c r="N517" s="81" t="str">
        <f aca="false">IF(M517="","",IFERROR(INDEX(BARDAGE!$C$7:$C$1506,MATCH(M517,BARDAGE!$B$7:$B$1506,0)),"? hors registre"))</f>
        <v/>
      </c>
      <c r="O517" s="80"/>
      <c r="P517" s="80"/>
      <c r="Q517" s="80"/>
      <c r="R517" s="82"/>
      <c r="S517" s="82"/>
      <c r="T517" s="80"/>
      <c r="U517" s="80"/>
      <c r="V517" s="82"/>
      <c r="W517" s="80"/>
      <c r="X517" s="80"/>
      <c r="Y517" s="80"/>
      <c r="Z517" s="80"/>
      <c r="AA517" s="82"/>
      <c r="AB517" s="80"/>
      <c r="AC517" s="80"/>
      <c r="AD517" s="80"/>
      <c r="AE517" s="80"/>
      <c r="AF517" s="82"/>
      <c r="AG517" s="80"/>
      <c r="AH517" s="80"/>
      <c r="AI517" s="82"/>
      <c r="AJ517" s="79"/>
      <c r="AK517" s="78" t="n">
        <f aca="false">IF(E517="","",(X517&lt;&gt;"")+(AC517&lt;&gt;"")+(AH517&lt;&gt;""))</f>
        <v>0</v>
      </c>
      <c r="AL517" s="81" t="str">
        <f aca="false">IF(AH517&lt;&gt;"",AH517,IF(AC517&lt;&gt;"",AC517,IF(X517&lt;&gt;"",X517,"")))</f>
        <v/>
      </c>
      <c r="AM517" s="83" t="str">
        <f aca="false">IF(E517="","",IF(R517="","À SOUDER",IF(U517="","VT EN ATTENTE",IF(U517="R","VT REJETÉ – À REPRENDRE",IF(AL517="","À RADIOGRAPHIER",IF(AL517="A","ACCEPTÉ",IF(AL517="NX","NX – RT À REFAIRE",IF(IF(AK517=1,Z517,IF(AK517=2,AE517,""))="A","RÉPARÉ – À RADIOGRAPHIER",IF(IF(AK517=1,Z517,IF(AK517=2,AE517,""))="R","VT REJETÉ – À REPRENDRE",IF(OR(AL517="CO",AL517="NT"),"COUPE – À RESOUDER","À RÉPARER"))))))))))</f>
        <v>À SOUDER</v>
      </c>
      <c r="AN517" s="81" t="str">
        <f aca="false">IF(AND(ISNUMBER(R517),OR(AM517="À RADIOGRAPHIER",AM517="RÉPARÉ – À RADIOGRAPHIER",AM517="NX – RT À REFAIRE",AM517="À RÉPARER",AM517="COUPE – À RESOUDER",AM517="VT REJETÉ – À REPRENDRE")),MAX(0,'PROGRAMME RT'!$C$4-R517),"")</f>
        <v/>
      </c>
      <c r="AO517" s="78" t="n">
        <f aca="false">IF(AND(OR(AM517="À RADIOGRAPHIER",AM517="RÉPARÉ – À RADIOGRAPHIER",AM517="NX – RT À REFAIRE"),OR('PROGRAMME RT'!$D$5="TOUTES",B517='PROGRAMME RT'!$D$5)),1,0)</f>
        <v>0</v>
      </c>
      <c r="AP517" s="78" t="str">
        <f aca="false">IF(AO517=1,SUM(AO$7:AO517),"")</f>
        <v/>
      </c>
      <c r="AQ517" s="78" t="n">
        <f aca="false">IF(AND(OR(X517="R",X517="NX",X517="NT",X517="CO"),OR('JOINTS DE RÉPARATION'!$D$5="TOUTES",B517='JOINTS DE RÉPARATION'!$D$5),OR('JOINTS DE RÉPARATION'!$L$4="TOUS",AM517&lt;&gt;"ACCEPTÉ")),1,0)</f>
        <v>0</v>
      </c>
      <c r="AR517" s="78" t="str">
        <f aca="false">IF(AQ517=1,SUM(AQ$7:AQ517),"")</f>
        <v/>
      </c>
    </row>
    <row r="518" customFormat="false" ht="15" hidden="false" customHeight="false" outlineLevel="0" collapsed="false">
      <c r="A518" s="78" t="n">
        <f aca="false">IF(E518="","",ROW()-6)</f>
        <v>512</v>
      </c>
      <c r="B518" s="79" t="s">
        <v>585</v>
      </c>
      <c r="C518" s="80"/>
      <c r="D518" s="80"/>
      <c r="E518" s="80" t="s">
        <v>361</v>
      </c>
      <c r="F518" s="80"/>
      <c r="G518" s="80" t="s">
        <v>106</v>
      </c>
      <c r="H518" s="80"/>
      <c r="I518" s="80"/>
      <c r="J518" s="80"/>
      <c r="K518" s="80"/>
      <c r="L518" s="81" t="str">
        <f aca="false">IF(K518="","",IFERROR(INDEX(BARDAGE!$C$7:$C$1506,MATCH(K518,BARDAGE!$B$7:$B$1506,0)),"? hors registre"))</f>
        <v/>
      </c>
      <c r="M518" s="80"/>
      <c r="N518" s="81" t="str">
        <f aca="false">IF(M518="","",IFERROR(INDEX(BARDAGE!$C$7:$C$1506,MATCH(M518,BARDAGE!$B$7:$B$1506,0)),"? hors registre"))</f>
        <v/>
      </c>
      <c r="O518" s="80"/>
      <c r="P518" s="80"/>
      <c r="Q518" s="80"/>
      <c r="R518" s="82"/>
      <c r="S518" s="82"/>
      <c r="T518" s="80"/>
      <c r="U518" s="80"/>
      <c r="V518" s="82"/>
      <c r="W518" s="80"/>
      <c r="X518" s="80"/>
      <c r="Y518" s="80"/>
      <c r="Z518" s="80"/>
      <c r="AA518" s="82"/>
      <c r="AB518" s="80"/>
      <c r="AC518" s="80"/>
      <c r="AD518" s="80"/>
      <c r="AE518" s="80"/>
      <c r="AF518" s="82"/>
      <c r="AG518" s="80"/>
      <c r="AH518" s="80"/>
      <c r="AI518" s="82"/>
      <c r="AJ518" s="79"/>
      <c r="AK518" s="78" t="n">
        <f aca="false">IF(E518="","",(X518&lt;&gt;"")+(AC518&lt;&gt;"")+(AH518&lt;&gt;""))</f>
        <v>0</v>
      </c>
      <c r="AL518" s="81" t="str">
        <f aca="false">IF(AH518&lt;&gt;"",AH518,IF(AC518&lt;&gt;"",AC518,IF(X518&lt;&gt;"",X518,"")))</f>
        <v/>
      </c>
      <c r="AM518" s="83" t="str">
        <f aca="false">IF(E518="","",IF(R518="","À SOUDER",IF(U518="","VT EN ATTENTE",IF(U518="R","VT REJETÉ – À REPRENDRE",IF(AL518="","À RADIOGRAPHIER",IF(AL518="A","ACCEPTÉ",IF(AL518="NX","NX – RT À REFAIRE",IF(IF(AK518=1,Z518,IF(AK518=2,AE518,""))="A","RÉPARÉ – À RADIOGRAPHIER",IF(IF(AK518=1,Z518,IF(AK518=2,AE518,""))="R","VT REJETÉ – À REPRENDRE",IF(OR(AL518="CO",AL518="NT"),"COUPE – À RESOUDER","À RÉPARER"))))))))))</f>
        <v>À SOUDER</v>
      </c>
      <c r="AN518" s="81" t="str">
        <f aca="false">IF(AND(ISNUMBER(R518),OR(AM518="À RADIOGRAPHIER",AM518="RÉPARÉ – À RADIOGRAPHIER",AM518="NX – RT À REFAIRE",AM518="À RÉPARER",AM518="COUPE – À RESOUDER",AM518="VT REJETÉ – À REPRENDRE")),MAX(0,'PROGRAMME RT'!$C$4-R518),"")</f>
        <v/>
      </c>
      <c r="AO518" s="78" t="n">
        <f aca="false">IF(AND(OR(AM518="À RADIOGRAPHIER",AM518="RÉPARÉ – À RADIOGRAPHIER",AM518="NX – RT À REFAIRE"),OR('PROGRAMME RT'!$D$5="TOUTES",B518='PROGRAMME RT'!$D$5)),1,0)</f>
        <v>0</v>
      </c>
      <c r="AP518" s="78" t="str">
        <f aca="false">IF(AO518=1,SUM(AO$7:AO518),"")</f>
        <v/>
      </c>
      <c r="AQ518" s="78" t="n">
        <f aca="false">IF(AND(OR(X518="R",X518="NX",X518="NT",X518="CO"),OR('JOINTS DE RÉPARATION'!$D$5="TOUTES",B518='JOINTS DE RÉPARATION'!$D$5),OR('JOINTS DE RÉPARATION'!$L$4="TOUS",AM518&lt;&gt;"ACCEPTÉ")),1,0)</f>
        <v>0</v>
      </c>
      <c r="AR518" s="78" t="str">
        <f aca="false">IF(AQ518=1,SUM(AQ$7:AQ518),"")</f>
        <v/>
      </c>
    </row>
    <row r="519" customFormat="false" ht="15" hidden="false" customHeight="false" outlineLevel="0" collapsed="false">
      <c r="A519" s="78" t="n">
        <f aca="false">IF(E519="","",ROW()-6)</f>
        <v>513</v>
      </c>
      <c r="B519" s="79" t="s">
        <v>585</v>
      </c>
      <c r="C519" s="80"/>
      <c r="D519" s="80"/>
      <c r="E519" s="80" t="s">
        <v>363</v>
      </c>
      <c r="F519" s="80"/>
      <c r="G519" s="80" t="s">
        <v>106</v>
      </c>
      <c r="H519" s="80"/>
      <c r="I519" s="80"/>
      <c r="J519" s="80"/>
      <c r="K519" s="80"/>
      <c r="L519" s="81" t="str">
        <f aca="false">IF(K519="","",IFERROR(INDEX(BARDAGE!$C$7:$C$1506,MATCH(K519,BARDAGE!$B$7:$B$1506,0)),"? hors registre"))</f>
        <v/>
      </c>
      <c r="M519" s="80"/>
      <c r="N519" s="81" t="str">
        <f aca="false">IF(M519="","",IFERROR(INDEX(BARDAGE!$C$7:$C$1506,MATCH(M519,BARDAGE!$B$7:$B$1506,0)),"? hors registre"))</f>
        <v/>
      </c>
      <c r="O519" s="80"/>
      <c r="P519" s="80"/>
      <c r="Q519" s="80"/>
      <c r="R519" s="82"/>
      <c r="S519" s="82"/>
      <c r="T519" s="80"/>
      <c r="U519" s="80"/>
      <c r="V519" s="82"/>
      <c r="W519" s="80"/>
      <c r="X519" s="80"/>
      <c r="Y519" s="80"/>
      <c r="Z519" s="80"/>
      <c r="AA519" s="82"/>
      <c r="AB519" s="80"/>
      <c r="AC519" s="80"/>
      <c r="AD519" s="80"/>
      <c r="AE519" s="80"/>
      <c r="AF519" s="82"/>
      <c r="AG519" s="80"/>
      <c r="AH519" s="80"/>
      <c r="AI519" s="82"/>
      <c r="AJ519" s="79"/>
      <c r="AK519" s="78" t="n">
        <f aca="false">IF(E519="","",(X519&lt;&gt;"")+(AC519&lt;&gt;"")+(AH519&lt;&gt;""))</f>
        <v>0</v>
      </c>
      <c r="AL519" s="81" t="str">
        <f aca="false">IF(AH519&lt;&gt;"",AH519,IF(AC519&lt;&gt;"",AC519,IF(X519&lt;&gt;"",X519,"")))</f>
        <v/>
      </c>
      <c r="AM519" s="83" t="str">
        <f aca="false">IF(E519="","",IF(R519="","À SOUDER",IF(U519="","VT EN ATTENTE",IF(U519="R","VT REJETÉ – À REPRENDRE",IF(AL519="","À RADIOGRAPHIER",IF(AL519="A","ACCEPTÉ",IF(AL519="NX","NX – RT À REFAIRE",IF(IF(AK519=1,Z519,IF(AK519=2,AE519,""))="A","RÉPARÉ – À RADIOGRAPHIER",IF(IF(AK519=1,Z519,IF(AK519=2,AE519,""))="R","VT REJETÉ – À REPRENDRE",IF(OR(AL519="CO",AL519="NT"),"COUPE – À RESOUDER","À RÉPARER"))))))))))</f>
        <v>À SOUDER</v>
      </c>
      <c r="AN519" s="81" t="str">
        <f aca="false">IF(AND(ISNUMBER(R519),OR(AM519="À RADIOGRAPHIER",AM519="RÉPARÉ – À RADIOGRAPHIER",AM519="NX – RT À REFAIRE",AM519="À RÉPARER",AM519="COUPE – À RESOUDER",AM519="VT REJETÉ – À REPRENDRE")),MAX(0,'PROGRAMME RT'!$C$4-R519),"")</f>
        <v/>
      </c>
      <c r="AO519" s="78" t="n">
        <f aca="false">IF(AND(OR(AM519="À RADIOGRAPHIER",AM519="RÉPARÉ – À RADIOGRAPHIER",AM519="NX – RT À REFAIRE"),OR('PROGRAMME RT'!$D$5="TOUTES",B519='PROGRAMME RT'!$D$5)),1,0)</f>
        <v>0</v>
      </c>
      <c r="AP519" s="78" t="str">
        <f aca="false">IF(AO519=1,SUM(AO$7:AO519),"")</f>
        <v/>
      </c>
      <c r="AQ519" s="78" t="n">
        <f aca="false">IF(AND(OR(X519="R",X519="NX",X519="NT",X519="CO"),OR('JOINTS DE RÉPARATION'!$D$5="TOUTES",B519='JOINTS DE RÉPARATION'!$D$5),OR('JOINTS DE RÉPARATION'!$L$4="TOUS",AM519&lt;&gt;"ACCEPTÉ")),1,0)</f>
        <v>0</v>
      </c>
      <c r="AR519" s="78" t="str">
        <f aca="false">IF(AQ519=1,SUM(AQ$7:AQ519),"")</f>
        <v/>
      </c>
    </row>
    <row r="520" customFormat="false" ht="15" hidden="false" customHeight="false" outlineLevel="0" collapsed="false">
      <c r="A520" s="78" t="n">
        <f aca="false">IF(E520="","",ROW()-6)</f>
        <v>514</v>
      </c>
      <c r="B520" s="79" t="s">
        <v>585</v>
      </c>
      <c r="C520" s="80"/>
      <c r="D520" s="80"/>
      <c r="E520" s="80" t="s">
        <v>365</v>
      </c>
      <c r="F520" s="80"/>
      <c r="G520" s="80" t="s">
        <v>106</v>
      </c>
      <c r="H520" s="80"/>
      <c r="I520" s="80"/>
      <c r="J520" s="80"/>
      <c r="K520" s="80"/>
      <c r="L520" s="81" t="str">
        <f aca="false">IF(K520="","",IFERROR(INDEX(BARDAGE!$C$7:$C$1506,MATCH(K520,BARDAGE!$B$7:$B$1506,0)),"? hors registre"))</f>
        <v/>
      </c>
      <c r="M520" s="80"/>
      <c r="N520" s="81" t="str">
        <f aca="false">IF(M520="","",IFERROR(INDEX(BARDAGE!$C$7:$C$1506,MATCH(M520,BARDAGE!$B$7:$B$1506,0)),"? hors registre"))</f>
        <v/>
      </c>
      <c r="O520" s="80"/>
      <c r="P520" s="80"/>
      <c r="Q520" s="80"/>
      <c r="R520" s="82"/>
      <c r="S520" s="82"/>
      <c r="T520" s="80"/>
      <c r="U520" s="80"/>
      <c r="V520" s="82"/>
      <c r="W520" s="80"/>
      <c r="X520" s="80"/>
      <c r="Y520" s="80"/>
      <c r="Z520" s="80"/>
      <c r="AA520" s="82"/>
      <c r="AB520" s="80"/>
      <c r="AC520" s="80"/>
      <c r="AD520" s="80"/>
      <c r="AE520" s="80"/>
      <c r="AF520" s="82"/>
      <c r="AG520" s="80"/>
      <c r="AH520" s="80"/>
      <c r="AI520" s="82"/>
      <c r="AJ520" s="79"/>
      <c r="AK520" s="78" t="n">
        <f aca="false">IF(E520="","",(X520&lt;&gt;"")+(AC520&lt;&gt;"")+(AH520&lt;&gt;""))</f>
        <v>0</v>
      </c>
      <c r="AL520" s="81" t="str">
        <f aca="false">IF(AH520&lt;&gt;"",AH520,IF(AC520&lt;&gt;"",AC520,IF(X520&lt;&gt;"",X520,"")))</f>
        <v/>
      </c>
      <c r="AM520" s="83" t="str">
        <f aca="false">IF(E520="","",IF(R520="","À SOUDER",IF(U520="","VT EN ATTENTE",IF(U520="R","VT REJETÉ – À REPRENDRE",IF(AL520="","À RADIOGRAPHIER",IF(AL520="A","ACCEPTÉ",IF(AL520="NX","NX – RT À REFAIRE",IF(IF(AK520=1,Z520,IF(AK520=2,AE520,""))="A","RÉPARÉ – À RADIOGRAPHIER",IF(IF(AK520=1,Z520,IF(AK520=2,AE520,""))="R","VT REJETÉ – À REPRENDRE",IF(OR(AL520="CO",AL520="NT"),"COUPE – À RESOUDER","À RÉPARER"))))))))))</f>
        <v>À SOUDER</v>
      </c>
      <c r="AN520" s="81" t="str">
        <f aca="false">IF(AND(ISNUMBER(R520),OR(AM520="À RADIOGRAPHIER",AM520="RÉPARÉ – À RADIOGRAPHIER",AM520="NX – RT À REFAIRE",AM520="À RÉPARER",AM520="COUPE – À RESOUDER",AM520="VT REJETÉ – À REPRENDRE")),MAX(0,'PROGRAMME RT'!$C$4-R520),"")</f>
        <v/>
      </c>
      <c r="AO520" s="78" t="n">
        <f aca="false">IF(AND(OR(AM520="À RADIOGRAPHIER",AM520="RÉPARÉ – À RADIOGRAPHIER",AM520="NX – RT À REFAIRE"),OR('PROGRAMME RT'!$D$5="TOUTES",B520='PROGRAMME RT'!$D$5)),1,0)</f>
        <v>0</v>
      </c>
      <c r="AP520" s="78" t="str">
        <f aca="false">IF(AO520=1,SUM(AO$7:AO520),"")</f>
        <v/>
      </c>
      <c r="AQ520" s="78" t="n">
        <f aca="false">IF(AND(OR(X520="R",X520="NX",X520="NT",X520="CO"),OR('JOINTS DE RÉPARATION'!$D$5="TOUTES",B520='JOINTS DE RÉPARATION'!$D$5),OR('JOINTS DE RÉPARATION'!$L$4="TOUS",AM520&lt;&gt;"ACCEPTÉ")),1,0)</f>
        <v>0</v>
      </c>
      <c r="AR520" s="78" t="str">
        <f aca="false">IF(AQ520=1,SUM(AQ$7:AQ520),"")</f>
        <v/>
      </c>
    </row>
    <row r="521" customFormat="false" ht="15" hidden="false" customHeight="false" outlineLevel="0" collapsed="false">
      <c r="A521" s="78" t="n">
        <f aca="false">IF(E521="","",ROW()-6)</f>
        <v>515</v>
      </c>
      <c r="B521" s="79" t="s">
        <v>585</v>
      </c>
      <c r="C521" s="80"/>
      <c r="D521" s="80"/>
      <c r="E521" s="80" t="s">
        <v>367</v>
      </c>
      <c r="F521" s="80"/>
      <c r="G521" s="80" t="s">
        <v>106</v>
      </c>
      <c r="H521" s="80"/>
      <c r="I521" s="80"/>
      <c r="J521" s="80"/>
      <c r="K521" s="80"/>
      <c r="L521" s="81" t="str">
        <f aca="false">IF(K521="","",IFERROR(INDEX(BARDAGE!$C$7:$C$1506,MATCH(K521,BARDAGE!$B$7:$B$1506,0)),"? hors registre"))</f>
        <v/>
      </c>
      <c r="M521" s="80"/>
      <c r="N521" s="81" t="str">
        <f aca="false">IF(M521="","",IFERROR(INDEX(BARDAGE!$C$7:$C$1506,MATCH(M521,BARDAGE!$B$7:$B$1506,0)),"? hors registre"))</f>
        <v/>
      </c>
      <c r="O521" s="80"/>
      <c r="P521" s="80"/>
      <c r="Q521" s="80"/>
      <c r="R521" s="82"/>
      <c r="S521" s="82"/>
      <c r="T521" s="80"/>
      <c r="U521" s="80"/>
      <c r="V521" s="82"/>
      <c r="W521" s="80"/>
      <c r="X521" s="80"/>
      <c r="Y521" s="80"/>
      <c r="Z521" s="80"/>
      <c r="AA521" s="82"/>
      <c r="AB521" s="80"/>
      <c r="AC521" s="80"/>
      <c r="AD521" s="80"/>
      <c r="AE521" s="80"/>
      <c r="AF521" s="82"/>
      <c r="AG521" s="80"/>
      <c r="AH521" s="80"/>
      <c r="AI521" s="82"/>
      <c r="AJ521" s="79"/>
      <c r="AK521" s="78" t="n">
        <f aca="false">IF(E521="","",(X521&lt;&gt;"")+(AC521&lt;&gt;"")+(AH521&lt;&gt;""))</f>
        <v>0</v>
      </c>
      <c r="AL521" s="81" t="str">
        <f aca="false">IF(AH521&lt;&gt;"",AH521,IF(AC521&lt;&gt;"",AC521,IF(X521&lt;&gt;"",X521,"")))</f>
        <v/>
      </c>
      <c r="AM521" s="83" t="str">
        <f aca="false">IF(E521="","",IF(R521="","À SOUDER",IF(U521="","VT EN ATTENTE",IF(U521="R","VT REJETÉ – À REPRENDRE",IF(AL521="","À RADIOGRAPHIER",IF(AL521="A","ACCEPTÉ",IF(AL521="NX","NX – RT À REFAIRE",IF(IF(AK521=1,Z521,IF(AK521=2,AE521,""))="A","RÉPARÉ – À RADIOGRAPHIER",IF(IF(AK521=1,Z521,IF(AK521=2,AE521,""))="R","VT REJETÉ – À REPRENDRE",IF(OR(AL521="CO",AL521="NT"),"COUPE – À RESOUDER","À RÉPARER"))))))))))</f>
        <v>À SOUDER</v>
      </c>
      <c r="AN521" s="81" t="str">
        <f aca="false">IF(AND(ISNUMBER(R521),OR(AM521="À RADIOGRAPHIER",AM521="RÉPARÉ – À RADIOGRAPHIER",AM521="NX – RT À REFAIRE",AM521="À RÉPARER",AM521="COUPE – À RESOUDER",AM521="VT REJETÉ – À REPRENDRE")),MAX(0,'PROGRAMME RT'!$C$4-R521),"")</f>
        <v/>
      </c>
      <c r="AO521" s="78" t="n">
        <f aca="false">IF(AND(OR(AM521="À RADIOGRAPHIER",AM521="RÉPARÉ – À RADIOGRAPHIER",AM521="NX – RT À REFAIRE"),OR('PROGRAMME RT'!$D$5="TOUTES",B521='PROGRAMME RT'!$D$5)),1,0)</f>
        <v>0</v>
      </c>
      <c r="AP521" s="78" t="str">
        <f aca="false">IF(AO521=1,SUM(AO$7:AO521),"")</f>
        <v/>
      </c>
      <c r="AQ521" s="78" t="n">
        <f aca="false">IF(AND(OR(X521="R",X521="NX",X521="NT",X521="CO"),OR('JOINTS DE RÉPARATION'!$D$5="TOUTES",B521='JOINTS DE RÉPARATION'!$D$5),OR('JOINTS DE RÉPARATION'!$L$4="TOUS",AM521&lt;&gt;"ACCEPTÉ")),1,0)</f>
        <v>0</v>
      </c>
      <c r="AR521" s="78" t="str">
        <f aca="false">IF(AQ521=1,SUM(AQ$7:AQ521),"")</f>
        <v/>
      </c>
    </row>
    <row r="522" customFormat="false" ht="15" hidden="false" customHeight="false" outlineLevel="0" collapsed="false">
      <c r="A522" s="78" t="n">
        <f aca="false">IF(E522="","",ROW()-6)</f>
        <v>516</v>
      </c>
      <c r="B522" s="79" t="s">
        <v>585</v>
      </c>
      <c r="C522" s="80"/>
      <c r="D522" s="80"/>
      <c r="E522" s="80" t="s">
        <v>369</v>
      </c>
      <c r="F522" s="80"/>
      <c r="G522" s="80" t="s">
        <v>106</v>
      </c>
      <c r="H522" s="80"/>
      <c r="I522" s="80"/>
      <c r="J522" s="80"/>
      <c r="K522" s="80"/>
      <c r="L522" s="81" t="str">
        <f aca="false">IF(K522="","",IFERROR(INDEX(BARDAGE!$C$7:$C$1506,MATCH(K522,BARDAGE!$B$7:$B$1506,0)),"? hors registre"))</f>
        <v/>
      </c>
      <c r="M522" s="80"/>
      <c r="N522" s="81" t="str">
        <f aca="false">IF(M522="","",IFERROR(INDEX(BARDAGE!$C$7:$C$1506,MATCH(M522,BARDAGE!$B$7:$B$1506,0)),"? hors registre"))</f>
        <v/>
      </c>
      <c r="O522" s="80"/>
      <c r="P522" s="80"/>
      <c r="Q522" s="80"/>
      <c r="R522" s="82"/>
      <c r="S522" s="82"/>
      <c r="T522" s="80"/>
      <c r="U522" s="80"/>
      <c r="V522" s="82"/>
      <c r="W522" s="80"/>
      <c r="X522" s="80"/>
      <c r="Y522" s="80"/>
      <c r="Z522" s="80"/>
      <c r="AA522" s="82"/>
      <c r="AB522" s="80"/>
      <c r="AC522" s="80"/>
      <c r="AD522" s="80"/>
      <c r="AE522" s="80"/>
      <c r="AF522" s="82"/>
      <c r="AG522" s="80"/>
      <c r="AH522" s="80"/>
      <c r="AI522" s="82"/>
      <c r="AJ522" s="79"/>
      <c r="AK522" s="78" t="n">
        <f aca="false">IF(E522="","",(X522&lt;&gt;"")+(AC522&lt;&gt;"")+(AH522&lt;&gt;""))</f>
        <v>0</v>
      </c>
      <c r="AL522" s="81" t="str">
        <f aca="false">IF(AH522&lt;&gt;"",AH522,IF(AC522&lt;&gt;"",AC522,IF(X522&lt;&gt;"",X522,"")))</f>
        <v/>
      </c>
      <c r="AM522" s="83" t="str">
        <f aca="false">IF(E522="","",IF(R522="","À SOUDER",IF(U522="","VT EN ATTENTE",IF(U522="R","VT REJETÉ – À REPRENDRE",IF(AL522="","À RADIOGRAPHIER",IF(AL522="A","ACCEPTÉ",IF(AL522="NX","NX – RT À REFAIRE",IF(IF(AK522=1,Z522,IF(AK522=2,AE522,""))="A","RÉPARÉ – À RADIOGRAPHIER",IF(IF(AK522=1,Z522,IF(AK522=2,AE522,""))="R","VT REJETÉ – À REPRENDRE",IF(OR(AL522="CO",AL522="NT"),"COUPE – À RESOUDER","À RÉPARER"))))))))))</f>
        <v>À SOUDER</v>
      </c>
      <c r="AN522" s="81" t="str">
        <f aca="false">IF(AND(ISNUMBER(R522),OR(AM522="À RADIOGRAPHIER",AM522="RÉPARÉ – À RADIOGRAPHIER",AM522="NX – RT À REFAIRE",AM522="À RÉPARER",AM522="COUPE – À RESOUDER",AM522="VT REJETÉ – À REPRENDRE")),MAX(0,'PROGRAMME RT'!$C$4-R522),"")</f>
        <v/>
      </c>
      <c r="AO522" s="78" t="n">
        <f aca="false">IF(AND(OR(AM522="À RADIOGRAPHIER",AM522="RÉPARÉ – À RADIOGRAPHIER",AM522="NX – RT À REFAIRE"),OR('PROGRAMME RT'!$D$5="TOUTES",B522='PROGRAMME RT'!$D$5)),1,0)</f>
        <v>0</v>
      </c>
      <c r="AP522" s="78" t="str">
        <f aca="false">IF(AO522=1,SUM(AO$7:AO522),"")</f>
        <v/>
      </c>
      <c r="AQ522" s="78" t="n">
        <f aca="false">IF(AND(OR(X522="R",X522="NX",X522="NT",X522="CO"),OR('JOINTS DE RÉPARATION'!$D$5="TOUTES",B522='JOINTS DE RÉPARATION'!$D$5),OR('JOINTS DE RÉPARATION'!$L$4="TOUS",AM522&lt;&gt;"ACCEPTÉ")),1,0)</f>
        <v>0</v>
      </c>
      <c r="AR522" s="78" t="str">
        <f aca="false">IF(AQ522=1,SUM(AQ$7:AQ522),"")</f>
        <v/>
      </c>
    </row>
    <row r="523" customFormat="false" ht="15" hidden="false" customHeight="false" outlineLevel="0" collapsed="false">
      <c r="A523" s="78" t="n">
        <f aca="false">IF(E523="","",ROW()-6)</f>
        <v>517</v>
      </c>
      <c r="B523" s="79" t="s">
        <v>585</v>
      </c>
      <c r="C523" s="80"/>
      <c r="D523" s="80"/>
      <c r="E523" s="80" t="s">
        <v>372</v>
      </c>
      <c r="F523" s="80"/>
      <c r="G523" s="80" t="s">
        <v>106</v>
      </c>
      <c r="H523" s="80"/>
      <c r="I523" s="80"/>
      <c r="J523" s="80"/>
      <c r="K523" s="80"/>
      <c r="L523" s="81" t="str">
        <f aca="false">IF(K523="","",IFERROR(INDEX(BARDAGE!$C$7:$C$1506,MATCH(K523,BARDAGE!$B$7:$B$1506,0)),"? hors registre"))</f>
        <v/>
      </c>
      <c r="M523" s="80"/>
      <c r="N523" s="81" t="str">
        <f aca="false">IF(M523="","",IFERROR(INDEX(BARDAGE!$C$7:$C$1506,MATCH(M523,BARDAGE!$B$7:$B$1506,0)),"? hors registre"))</f>
        <v/>
      </c>
      <c r="O523" s="80"/>
      <c r="P523" s="80"/>
      <c r="Q523" s="80"/>
      <c r="R523" s="82"/>
      <c r="S523" s="82"/>
      <c r="T523" s="80"/>
      <c r="U523" s="80"/>
      <c r="V523" s="82"/>
      <c r="W523" s="80"/>
      <c r="X523" s="80"/>
      <c r="Y523" s="80"/>
      <c r="Z523" s="80"/>
      <c r="AA523" s="82"/>
      <c r="AB523" s="80"/>
      <c r="AC523" s="80"/>
      <c r="AD523" s="80"/>
      <c r="AE523" s="80"/>
      <c r="AF523" s="82"/>
      <c r="AG523" s="80"/>
      <c r="AH523" s="80"/>
      <c r="AI523" s="82"/>
      <c r="AJ523" s="79"/>
      <c r="AK523" s="78" t="n">
        <f aca="false">IF(E523="","",(X523&lt;&gt;"")+(AC523&lt;&gt;"")+(AH523&lt;&gt;""))</f>
        <v>0</v>
      </c>
      <c r="AL523" s="81" t="str">
        <f aca="false">IF(AH523&lt;&gt;"",AH523,IF(AC523&lt;&gt;"",AC523,IF(X523&lt;&gt;"",X523,"")))</f>
        <v/>
      </c>
      <c r="AM523" s="83" t="str">
        <f aca="false">IF(E523="","",IF(R523="","À SOUDER",IF(U523="","VT EN ATTENTE",IF(U523="R","VT REJETÉ – À REPRENDRE",IF(AL523="","À RADIOGRAPHIER",IF(AL523="A","ACCEPTÉ",IF(AL523="NX","NX – RT À REFAIRE",IF(IF(AK523=1,Z523,IF(AK523=2,AE523,""))="A","RÉPARÉ – À RADIOGRAPHIER",IF(IF(AK523=1,Z523,IF(AK523=2,AE523,""))="R","VT REJETÉ – À REPRENDRE",IF(OR(AL523="CO",AL523="NT"),"COUPE – À RESOUDER","À RÉPARER"))))))))))</f>
        <v>À SOUDER</v>
      </c>
      <c r="AN523" s="81" t="str">
        <f aca="false">IF(AND(ISNUMBER(R523),OR(AM523="À RADIOGRAPHIER",AM523="RÉPARÉ – À RADIOGRAPHIER",AM523="NX – RT À REFAIRE",AM523="À RÉPARER",AM523="COUPE – À RESOUDER",AM523="VT REJETÉ – À REPRENDRE")),MAX(0,'PROGRAMME RT'!$C$4-R523),"")</f>
        <v/>
      </c>
      <c r="AO523" s="78" t="n">
        <f aca="false">IF(AND(OR(AM523="À RADIOGRAPHIER",AM523="RÉPARÉ – À RADIOGRAPHIER",AM523="NX – RT À REFAIRE"),OR('PROGRAMME RT'!$D$5="TOUTES",B523='PROGRAMME RT'!$D$5)),1,0)</f>
        <v>0</v>
      </c>
      <c r="AP523" s="78" t="str">
        <f aca="false">IF(AO523=1,SUM(AO$7:AO523),"")</f>
        <v/>
      </c>
      <c r="AQ523" s="78" t="n">
        <f aca="false">IF(AND(OR(X523="R",X523="NX",X523="NT",X523="CO"),OR('JOINTS DE RÉPARATION'!$D$5="TOUTES",B523='JOINTS DE RÉPARATION'!$D$5),OR('JOINTS DE RÉPARATION'!$L$4="TOUS",AM523&lt;&gt;"ACCEPTÉ")),1,0)</f>
        <v>0</v>
      </c>
      <c r="AR523" s="78" t="str">
        <f aca="false">IF(AQ523=1,SUM(AQ$7:AQ523),"")</f>
        <v/>
      </c>
    </row>
    <row r="524" customFormat="false" ht="15" hidden="false" customHeight="false" outlineLevel="0" collapsed="false">
      <c r="A524" s="78" t="n">
        <f aca="false">IF(E524="","",ROW()-6)</f>
        <v>518</v>
      </c>
      <c r="B524" s="79" t="s">
        <v>585</v>
      </c>
      <c r="C524" s="80"/>
      <c r="D524" s="80"/>
      <c r="E524" s="80" t="s">
        <v>374</v>
      </c>
      <c r="F524" s="80"/>
      <c r="G524" s="80" t="s">
        <v>106</v>
      </c>
      <c r="H524" s="80"/>
      <c r="I524" s="80"/>
      <c r="J524" s="80"/>
      <c r="K524" s="80"/>
      <c r="L524" s="81" t="str">
        <f aca="false">IF(K524="","",IFERROR(INDEX(BARDAGE!$C$7:$C$1506,MATCH(K524,BARDAGE!$B$7:$B$1506,0)),"? hors registre"))</f>
        <v/>
      </c>
      <c r="M524" s="80"/>
      <c r="N524" s="81" t="str">
        <f aca="false">IF(M524="","",IFERROR(INDEX(BARDAGE!$C$7:$C$1506,MATCH(M524,BARDAGE!$B$7:$B$1506,0)),"? hors registre"))</f>
        <v/>
      </c>
      <c r="O524" s="80"/>
      <c r="P524" s="80"/>
      <c r="Q524" s="80"/>
      <c r="R524" s="82"/>
      <c r="S524" s="82"/>
      <c r="T524" s="80"/>
      <c r="U524" s="80"/>
      <c r="V524" s="82"/>
      <c r="W524" s="80"/>
      <c r="X524" s="80"/>
      <c r="Y524" s="80"/>
      <c r="Z524" s="80"/>
      <c r="AA524" s="82"/>
      <c r="AB524" s="80"/>
      <c r="AC524" s="80"/>
      <c r="AD524" s="80"/>
      <c r="AE524" s="80"/>
      <c r="AF524" s="82"/>
      <c r="AG524" s="80"/>
      <c r="AH524" s="80"/>
      <c r="AI524" s="82"/>
      <c r="AJ524" s="79"/>
      <c r="AK524" s="78" t="n">
        <f aca="false">IF(E524="","",(X524&lt;&gt;"")+(AC524&lt;&gt;"")+(AH524&lt;&gt;""))</f>
        <v>0</v>
      </c>
      <c r="AL524" s="81" t="str">
        <f aca="false">IF(AH524&lt;&gt;"",AH524,IF(AC524&lt;&gt;"",AC524,IF(X524&lt;&gt;"",X524,"")))</f>
        <v/>
      </c>
      <c r="AM524" s="83" t="str">
        <f aca="false">IF(E524="","",IF(R524="","À SOUDER",IF(U524="","VT EN ATTENTE",IF(U524="R","VT REJETÉ – À REPRENDRE",IF(AL524="","À RADIOGRAPHIER",IF(AL524="A","ACCEPTÉ",IF(AL524="NX","NX – RT À REFAIRE",IF(IF(AK524=1,Z524,IF(AK524=2,AE524,""))="A","RÉPARÉ – À RADIOGRAPHIER",IF(IF(AK524=1,Z524,IF(AK524=2,AE524,""))="R","VT REJETÉ – À REPRENDRE",IF(OR(AL524="CO",AL524="NT"),"COUPE – À RESOUDER","À RÉPARER"))))))))))</f>
        <v>À SOUDER</v>
      </c>
      <c r="AN524" s="81" t="str">
        <f aca="false">IF(AND(ISNUMBER(R524),OR(AM524="À RADIOGRAPHIER",AM524="RÉPARÉ – À RADIOGRAPHIER",AM524="NX – RT À REFAIRE",AM524="À RÉPARER",AM524="COUPE – À RESOUDER",AM524="VT REJETÉ – À REPRENDRE")),MAX(0,'PROGRAMME RT'!$C$4-R524),"")</f>
        <v/>
      </c>
      <c r="AO524" s="78" t="n">
        <f aca="false">IF(AND(OR(AM524="À RADIOGRAPHIER",AM524="RÉPARÉ – À RADIOGRAPHIER",AM524="NX – RT À REFAIRE"),OR('PROGRAMME RT'!$D$5="TOUTES",B524='PROGRAMME RT'!$D$5)),1,0)</f>
        <v>0</v>
      </c>
      <c r="AP524" s="78" t="str">
        <f aca="false">IF(AO524=1,SUM(AO$7:AO524),"")</f>
        <v/>
      </c>
      <c r="AQ524" s="78" t="n">
        <f aca="false">IF(AND(OR(X524="R",X524="NX",X524="NT",X524="CO"),OR('JOINTS DE RÉPARATION'!$D$5="TOUTES",B524='JOINTS DE RÉPARATION'!$D$5),OR('JOINTS DE RÉPARATION'!$L$4="TOUS",AM524&lt;&gt;"ACCEPTÉ")),1,0)</f>
        <v>0</v>
      </c>
      <c r="AR524" s="78" t="str">
        <f aca="false">IF(AQ524=1,SUM(AQ$7:AQ524),"")</f>
        <v/>
      </c>
    </row>
    <row r="525" customFormat="false" ht="15" hidden="false" customHeight="false" outlineLevel="0" collapsed="false">
      <c r="A525" s="78" t="n">
        <f aca="false">IF(E525="","",ROW()-6)</f>
        <v>519</v>
      </c>
      <c r="B525" s="79" t="s">
        <v>585</v>
      </c>
      <c r="C525" s="80"/>
      <c r="D525" s="80"/>
      <c r="E525" s="80" t="s">
        <v>376</v>
      </c>
      <c r="F525" s="80"/>
      <c r="G525" s="80" t="s">
        <v>106</v>
      </c>
      <c r="H525" s="80"/>
      <c r="I525" s="80"/>
      <c r="J525" s="80"/>
      <c r="K525" s="80"/>
      <c r="L525" s="81" t="str">
        <f aca="false">IF(K525="","",IFERROR(INDEX(BARDAGE!$C$7:$C$1506,MATCH(K525,BARDAGE!$B$7:$B$1506,0)),"? hors registre"))</f>
        <v/>
      </c>
      <c r="M525" s="80"/>
      <c r="N525" s="81" t="str">
        <f aca="false">IF(M525="","",IFERROR(INDEX(BARDAGE!$C$7:$C$1506,MATCH(M525,BARDAGE!$B$7:$B$1506,0)),"? hors registre"))</f>
        <v/>
      </c>
      <c r="O525" s="80"/>
      <c r="P525" s="80"/>
      <c r="Q525" s="80"/>
      <c r="R525" s="82"/>
      <c r="S525" s="82"/>
      <c r="T525" s="80"/>
      <c r="U525" s="80"/>
      <c r="V525" s="82"/>
      <c r="W525" s="80"/>
      <c r="X525" s="80"/>
      <c r="Y525" s="80"/>
      <c r="Z525" s="80"/>
      <c r="AA525" s="82"/>
      <c r="AB525" s="80"/>
      <c r="AC525" s="80"/>
      <c r="AD525" s="80"/>
      <c r="AE525" s="80"/>
      <c r="AF525" s="82"/>
      <c r="AG525" s="80"/>
      <c r="AH525" s="80"/>
      <c r="AI525" s="82"/>
      <c r="AJ525" s="79"/>
      <c r="AK525" s="78" t="n">
        <f aca="false">IF(E525="","",(X525&lt;&gt;"")+(AC525&lt;&gt;"")+(AH525&lt;&gt;""))</f>
        <v>0</v>
      </c>
      <c r="AL525" s="81" t="str">
        <f aca="false">IF(AH525&lt;&gt;"",AH525,IF(AC525&lt;&gt;"",AC525,IF(X525&lt;&gt;"",X525,"")))</f>
        <v/>
      </c>
      <c r="AM525" s="83" t="str">
        <f aca="false">IF(E525="","",IF(R525="","À SOUDER",IF(U525="","VT EN ATTENTE",IF(U525="R","VT REJETÉ – À REPRENDRE",IF(AL525="","À RADIOGRAPHIER",IF(AL525="A","ACCEPTÉ",IF(AL525="NX","NX – RT À REFAIRE",IF(IF(AK525=1,Z525,IF(AK525=2,AE525,""))="A","RÉPARÉ – À RADIOGRAPHIER",IF(IF(AK525=1,Z525,IF(AK525=2,AE525,""))="R","VT REJETÉ – À REPRENDRE",IF(OR(AL525="CO",AL525="NT"),"COUPE – À RESOUDER","À RÉPARER"))))))))))</f>
        <v>À SOUDER</v>
      </c>
      <c r="AN525" s="81" t="str">
        <f aca="false">IF(AND(ISNUMBER(R525),OR(AM525="À RADIOGRAPHIER",AM525="RÉPARÉ – À RADIOGRAPHIER",AM525="NX – RT À REFAIRE",AM525="À RÉPARER",AM525="COUPE – À RESOUDER",AM525="VT REJETÉ – À REPRENDRE")),MAX(0,'PROGRAMME RT'!$C$4-R525),"")</f>
        <v/>
      </c>
      <c r="AO525" s="78" t="n">
        <f aca="false">IF(AND(OR(AM525="À RADIOGRAPHIER",AM525="RÉPARÉ – À RADIOGRAPHIER",AM525="NX – RT À REFAIRE"),OR('PROGRAMME RT'!$D$5="TOUTES",B525='PROGRAMME RT'!$D$5)),1,0)</f>
        <v>0</v>
      </c>
      <c r="AP525" s="78" t="str">
        <f aca="false">IF(AO525=1,SUM(AO$7:AO525),"")</f>
        <v/>
      </c>
      <c r="AQ525" s="78" t="n">
        <f aca="false">IF(AND(OR(X525="R",X525="NX",X525="NT",X525="CO"),OR('JOINTS DE RÉPARATION'!$D$5="TOUTES",B525='JOINTS DE RÉPARATION'!$D$5),OR('JOINTS DE RÉPARATION'!$L$4="TOUS",AM525&lt;&gt;"ACCEPTÉ")),1,0)</f>
        <v>0</v>
      </c>
      <c r="AR525" s="78" t="str">
        <f aca="false">IF(AQ525=1,SUM(AQ$7:AQ525),"")</f>
        <v/>
      </c>
    </row>
    <row r="526" customFormat="false" ht="15" hidden="false" customHeight="false" outlineLevel="0" collapsed="false">
      <c r="A526" s="78" t="n">
        <f aca="false">IF(E526="","",ROW()-6)</f>
        <v>520</v>
      </c>
      <c r="B526" s="79" t="s">
        <v>585</v>
      </c>
      <c r="C526" s="80"/>
      <c r="D526" s="80"/>
      <c r="E526" s="80" t="s">
        <v>379</v>
      </c>
      <c r="F526" s="80"/>
      <c r="G526" s="80" t="s">
        <v>106</v>
      </c>
      <c r="H526" s="80"/>
      <c r="I526" s="80"/>
      <c r="J526" s="80"/>
      <c r="K526" s="80"/>
      <c r="L526" s="81" t="str">
        <f aca="false">IF(K526="","",IFERROR(INDEX(BARDAGE!$C$7:$C$1506,MATCH(K526,BARDAGE!$B$7:$B$1506,0)),"? hors registre"))</f>
        <v/>
      </c>
      <c r="M526" s="80"/>
      <c r="N526" s="81" t="str">
        <f aca="false">IF(M526="","",IFERROR(INDEX(BARDAGE!$C$7:$C$1506,MATCH(M526,BARDAGE!$B$7:$B$1506,0)),"? hors registre"))</f>
        <v/>
      </c>
      <c r="O526" s="80"/>
      <c r="P526" s="80"/>
      <c r="Q526" s="80"/>
      <c r="R526" s="82"/>
      <c r="S526" s="82"/>
      <c r="T526" s="80"/>
      <c r="U526" s="80"/>
      <c r="V526" s="82"/>
      <c r="W526" s="80"/>
      <c r="X526" s="80"/>
      <c r="Y526" s="80"/>
      <c r="Z526" s="80"/>
      <c r="AA526" s="82"/>
      <c r="AB526" s="80"/>
      <c r="AC526" s="80"/>
      <c r="AD526" s="80"/>
      <c r="AE526" s="80"/>
      <c r="AF526" s="82"/>
      <c r="AG526" s="80"/>
      <c r="AH526" s="80"/>
      <c r="AI526" s="82"/>
      <c r="AJ526" s="79"/>
      <c r="AK526" s="78" t="n">
        <f aca="false">IF(E526="","",(X526&lt;&gt;"")+(AC526&lt;&gt;"")+(AH526&lt;&gt;""))</f>
        <v>0</v>
      </c>
      <c r="AL526" s="81" t="str">
        <f aca="false">IF(AH526&lt;&gt;"",AH526,IF(AC526&lt;&gt;"",AC526,IF(X526&lt;&gt;"",X526,"")))</f>
        <v/>
      </c>
      <c r="AM526" s="83" t="str">
        <f aca="false">IF(E526="","",IF(R526="","À SOUDER",IF(U526="","VT EN ATTENTE",IF(U526="R","VT REJETÉ – À REPRENDRE",IF(AL526="","À RADIOGRAPHIER",IF(AL526="A","ACCEPTÉ",IF(AL526="NX","NX – RT À REFAIRE",IF(IF(AK526=1,Z526,IF(AK526=2,AE526,""))="A","RÉPARÉ – À RADIOGRAPHIER",IF(IF(AK526=1,Z526,IF(AK526=2,AE526,""))="R","VT REJETÉ – À REPRENDRE",IF(OR(AL526="CO",AL526="NT"),"COUPE – À RESOUDER","À RÉPARER"))))))))))</f>
        <v>À SOUDER</v>
      </c>
      <c r="AN526" s="81" t="str">
        <f aca="false">IF(AND(ISNUMBER(R526),OR(AM526="À RADIOGRAPHIER",AM526="RÉPARÉ – À RADIOGRAPHIER",AM526="NX – RT À REFAIRE",AM526="À RÉPARER",AM526="COUPE – À RESOUDER",AM526="VT REJETÉ – À REPRENDRE")),MAX(0,'PROGRAMME RT'!$C$4-R526),"")</f>
        <v/>
      </c>
      <c r="AO526" s="78" t="n">
        <f aca="false">IF(AND(OR(AM526="À RADIOGRAPHIER",AM526="RÉPARÉ – À RADIOGRAPHIER",AM526="NX – RT À REFAIRE"),OR('PROGRAMME RT'!$D$5="TOUTES",B526='PROGRAMME RT'!$D$5)),1,0)</f>
        <v>0</v>
      </c>
      <c r="AP526" s="78" t="str">
        <f aca="false">IF(AO526=1,SUM(AO$7:AO526),"")</f>
        <v/>
      </c>
      <c r="AQ526" s="78" t="n">
        <f aca="false">IF(AND(OR(X526="R",X526="NX",X526="NT",X526="CO"),OR('JOINTS DE RÉPARATION'!$D$5="TOUTES",B526='JOINTS DE RÉPARATION'!$D$5),OR('JOINTS DE RÉPARATION'!$L$4="TOUS",AM526&lt;&gt;"ACCEPTÉ")),1,0)</f>
        <v>0</v>
      </c>
      <c r="AR526" s="78" t="str">
        <f aca="false">IF(AQ526=1,SUM(AQ$7:AQ526),"")</f>
        <v/>
      </c>
    </row>
    <row r="527" customFormat="false" ht="15" hidden="false" customHeight="false" outlineLevel="0" collapsed="false">
      <c r="A527" s="78" t="n">
        <f aca="false">IF(E527="","",ROW()-6)</f>
        <v>521</v>
      </c>
      <c r="B527" s="79" t="s">
        <v>585</v>
      </c>
      <c r="C527" s="80"/>
      <c r="D527" s="80"/>
      <c r="E527" s="80" t="s">
        <v>381</v>
      </c>
      <c r="F527" s="80"/>
      <c r="G527" s="80" t="s">
        <v>106</v>
      </c>
      <c r="H527" s="80"/>
      <c r="I527" s="80"/>
      <c r="J527" s="80"/>
      <c r="K527" s="80"/>
      <c r="L527" s="81" t="str">
        <f aca="false">IF(K527="","",IFERROR(INDEX(BARDAGE!$C$7:$C$1506,MATCH(K527,BARDAGE!$B$7:$B$1506,0)),"? hors registre"))</f>
        <v/>
      </c>
      <c r="M527" s="80"/>
      <c r="N527" s="81" t="str">
        <f aca="false">IF(M527="","",IFERROR(INDEX(BARDAGE!$C$7:$C$1506,MATCH(M527,BARDAGE!$B$7:$B$1506,0)),"? hors registre"))</f>
        <v/>
      </c>
      <c r="O527" s="80"/>
      <c r="P527" s="80"/>
      <c r="Q527" s="80"/>
      <c r="R527" s="82"/>
      <c r="S527" s="82"/>
      <c r="T527" s="80"/>
      <c r="U527" s="80"/>
      <c r="V527" s="82"/>
      <c r="W527" s="80"/>
      <c r="X527" s="80"/>
      <c r="Y527" s="80"/>
      <c r="Z527" s="80"/>
      <c r="AA527" s="82"/>
      <c r="AB527" s="80"/>
      <c r="AC527" s="80"/>
      <c r="AD527" s="80"/>
      <c r="AE527" s="80"/>
      <c r="AF527" s="82"/>
      <c r="AG527" s="80"/>
      <c r="AH527" s="80"/>
      <c r="AI527" s="82"/>
      <c r="AJ527" s="79"/>
      <c r="AK527" s="78" t="n">
        <f aca="false">IF(E527="","",(X527&lt;&gt;"")+(AC527&lt;&gt;"")+(AH527&lt;&gt;""))</f>
        <v>0</v>
      </c>
      <c r="AL527" s="81" t="str">
        <f aca="false">IF(AH527&lt;&gt;"",AH527,IF(AC527&lt;&gt;"",AC527,IF(X527&lt;&gt;"",X527,"")))</f>
        <v/>
      </c>
      <c r="AM527" s="83" t="str">
        <f aca="false">IF(E527="","",IF(R527="","À SOUDER",IF(U527="","VT EN ATTENTE",IF(U527="R","VT REJETÉ – À REPRENDRE",IF(AL527="","À RADIOGRAPHIER",IF(AL527="A","ACCEPTÉ",IF(AL527="NX","NX – RT À REFAIRE",IF(IF(AK527=1,Z527,IF(AK527=2,AE527,""))="A","RÉPARÉ – À RADIOGRAPHIER",IF(IF(AK527=1,Z527,IF(AK527=2,AE527,""))="R","VT REJETÉ – À REPRENDRE",IF(OR(AL527="CO",AL527="NT"),"COUPE – À RESOUDER","À RÉPARER"))))))))))</f>
        <v>À SOUDER</v>
      </c>
      <c r="AN527" s="81" t="str">
        <f aca="false">IF(AND(ISNUMBER(R527),OR(AM527="À RADIOGRAPHIER",AM527="RÉPARÉ – À RADIOGRAPHIER",AM527="NX – RT À REFAIRE",AM527="À RÉPARER",AM527="COUPE – À RESOUDER",AM527="VT REJETÉ – À REPRENDRE")),MAX(0,'PROGRAMME RT'!$C$4-R527),"")</f>
        <v/>
      </c>
      <c r="AO527" s="78" t="n">
        <f aca="false">IF(AND(OR(AM527="À RADIOGRAPHIER",AM527="RÉPARÉ – À RADIOGRAPHIER",AM527="NX – RT À REFAIRE"),OR('PROGRAMME RT'!$D$5="TOUTES",B527='PROGRAMME RT'!$D$5)),1,0)</f>
        <v>0</v>
      </c>
      <c r="AP527" s="78" t="str">
        <f aca="false">IF(AO527=1,SUM(AO$7:AO527),"")</f>
        <v/>
      </c>
      <c r="AQ527" s="78" t="n">
        <f aca="false">IF(AND(OR(X527="R",X527="NX",X527="NT",X527="CO"),OR('JOINTS DE RÉPARATION'!$D$5="TOUTES",B527='JOINTS DE RÉPARATION'!$D$5),OR('JOINTS DE RÉPARATION'!$L$4="TOUS",AM527&lt;&gt;"ACCEPTÉ")),1,0)</f>
        <v>0</v>
      </c>
      <c r="AR527" s="78" t="str">
        <f aca="false">IF(AQ527=1,SUM(AQ$7:AQ527),"")</f>
        <v/>
      </c>
    </row>
    <row r="528" customFormat="false" ht="15" hidden="false" customHeight="false" outlineLevel="0" collapsed="false">
      <c r="A528" s="78" t="n">
        <f aca="false">IF(E528="","",ROW()-6)</f>
        <v>522</v>
      </c>
      <c r="B528" s="79" t="s">
        <v>585</v>
      </c>
      <c r="C528" s="80"/>
      <c r="D528" s="80"/>
      <c r="E528" s="80" t="s">
        <v>383</v>
      </c>
      <c r="F528" s="80"/>
      <c r="G528" s="80" t="s">
        <v>106</v>
      </c>
      <c r="H528" s="80"/>
      <c r="I528" s="80"/>
      <c r="J528" s="80"/>
      <c r="K528" s="80"/>
      <c r="L528" s="81" t="str">
        <f aca="false">IF(K528="","",IFERROR(INDEX(BARDAGE!$C$7:$C$1506,MATCH(K528,BARDAGE!$B$7:$B$1506,0)),"? hors registre"))</f>
        <v/>
      </c>
      <c r="M528" s="80"/>
      <c r="N528" s="81" t="str">
        <f aca="false">IF(M528="","",IFERROR(INDEX(BARDAGE!$C$7:$C$1506,MATCH(M528,BARDAGE!$B$7:$B$1506,0)),"? hors registre"))</f>
        <v/>
      </c>
      <c r="O528" s="80"/>
      <c r="P528" s="80"/>
      <c r="Q528" s="80"/>
      <c r="R528" s="82"/>
      <c r="S528" s="82"/>
      <c r="T528" s="80"/>
      <c r="U528" s="80"/>
      <c r="V528" s="82"/>
      <c r="W528" s="80"/>
      <c r="X528" s="80"/>
      <c r="Y528" s="80"/>
      <c r="Z528" s="80"/>
      <c r="AA528" s="82"/>
      <c r="AB528" s="80"/>
      <c r="AC528" s="80"/>
      <c r="AD528" s="80"/>
      <c r="AE528" s="80"/>
      <c r="AF528" s="82"/>
      <c r="AG528" s="80"/>
      <c r="AH528" s="80"/>
      <c r="AI528" s="82"/>
      <c r="AJ528" s="79"/>
      <c r="AK528" s="78" t="n">
        <f aca="false">IF(E528="","",(X528&lt;&gt;"")+(AC528&lt;&gt;"")+(AH528&lt;&gt;""))</f>
        <v>0</v>
      </c>
      <c r="AL528" s="81" t="str">
        <f aca="false">IF(AH528&lt;&gt;"",AH528,IF(AC528&lt;&gt;"",AC528,IF(X528&lt;&gt;"",X528,"")))</f>
        <v/>
      </c>
      <c r="AM528" s="83" t="str">
        <f aca="false">IF(E528="","",IF(R528="","À SOUDER",IF(U528="","VT EN ATTENTE",IF(U528="R","VT REJETÉ – À REPRENDRE",IF(AL528="","À RADIOGRAPHIER",IF(AL528="A","ACCEPTÉ",IF(AL528="NX","NX – RT À REFAIRE",IF(IF(AK528=1,Z528,IF(AK528=2,AE528,""))="A","RÉPARÉ – À RADIOGRAPHIER",IF(IF(AK528=1,Z528,IF(AK528=2,AE528,""))="R","VT REJETÉ – À REPRENDRE",IF(OR(AL528="CO",AL528="NT"),"COUPE – À RESOUDER","À RÉPARER"))))))))))</f>
        <v>À SOUDER</v>
      </c>
      <c r="AN528" s="81" t="str">
        <f aca="false">IF(AND(ISNUMBER(R528),OR(AM528="À RADIOGRAPHIER",AM528="RÉPARÉ – À RADIOGRAPHIER",AM528="NX – RT À REFAIRE",AM528="À RÉPARER",AM528="COUPE – À RESOUDER",AM528="VT REJETÉ – À REPRENDRE")),MAX(0,'PROGRAMME RT'!$C$4-R528),"")</f>
        <v/>
      </c>
      <c r="AO528" s="78" t="n">
        <f aca="false">IF(AND(OR(AM528="À RADIOGRAPHIER",AM528="RÉPARÉ – À RADIOGRAPHIER",AM528="NX – RT À REFAIRE"),OR('PROGRAMME RT'!$D$5="TOUTES",B528='PROGRAMME RT'!$D$5)),1,0)</f>
        <v>0</v>
      </c>
      <c r="AP528" s="78" t="str">
        <f aca="false">IF(AO528=1,SUM(AO$7:AO528),"")</f>
        <v/>
      </c>
      <c r="AQ528" s="78" t="n">
        <f aca="false">IF(AND(OR(X528="R",X528="NX",X528="NT",X528="CO"),OR('JOINTS DE RÉPARATION'!$D$5="TOUTES",B528='JOINTS DE RÉPARATION'!$D$5),OR('JOINTS DE RÉPARATION'!$L$4="TOUS",AM528&lt;&gt;"ACCEPTÉ")),1,0)</f>
        <v>0</v>
      </c>
      <c r="AR528" s="78" t="str">
        <f aca="false">IF(AQ528=1,SUM(AQ$7:AQ528),"")</f>
        <v/>
      </c>
    </row>
    <row r="529" customFormat="false" ht="15" hidden="false" customHeight="false" outlineLevel="0" collapsed="false">
      <c r="A529" s="78" t="n">
        <f aca="false">IF(E529="","",ROW()-6)</f>
        <v>523</v>
      </c>
      <c r="B529" s="79" t="s">
        <v>585</v>
      </c>
      <c r="C529" s="80"/>
      <c r="D529" s="80"/>
      <c r="E529" s="80" t="s">
        <v>385</v>
      </c>
      <c r="F529" s="80"/>
      <c r="G529" s="80" t="s">
        <v>106</v>
      </c>
      <c r="H529" s="80"/>
      <c r="I529" s="80"/>
      <c r="J529" s="80"/>
      <c r="K529" s="80"/>
      <c r="L529" s="81" t="str">
        <f aca="false">IF(K529="","",IFERROR(INDEX(BARDAGE!$C$7:$C$1506,MATCH(K529,BARDAGE!$B$7:$B$1506,0)),"? hors registre"))</f>
        <v/>
      </c>
      <c r="M529" s="80"/>
      <c r="N529" s="81" t="str">
        <f aca="false">IF(M529="","",IFERROR(INDEX(BARDAGE!$C$7:$C$1506,MATCH(M529,BARDAGE!$B$7:$B$1506,0)),"? hors registre"))</f>
        <v/>
      </c>
      <c r="O529" s="80"/>
      <c r="P529" s="80"/>
      <c r="Q529" s="80"/>
      <c r="R529" s="82"/>
      <c r="S529" s="82"/>
      <c r="T529" s="80"/>
      <c r="U529" s="80"/>
      <c r="V529" s="82"/>
      <c r="W529" s="80"/>
      <c r="X529" s="80"/>
      <c r="Y529" s="80"/>
      <c r="Z529" s="80"/>
      <c r="AA529" s="82"/>
      <c r="AB529" s="80"/>
      <c r="AC529" s="80"/>
      <c r="AD529" s="80"/>
      <c r="AE529" s="80"/>
      <c r="AF529" s="82"/>
      <c r="AG529" s="80"/>
      <c r="AH529" s="80"/>
      <c r="AI529" s="82"/>
      <c r="AJ529" s="79"/>
      <c r="AK529" s="78" t="n">
        <f aca="false">IF(E529="","",(X529&lt;&gt;"")+(AC529&lt;&gt;"")+(AH529&lt;&gt;""))</f>
        <v>0</v>
      </c>
      <c r="AL529" s="81" t="str">
        <f aca="false">IF(AH529&lt;&gt;"",AH529,IF(AC529&lt;&gt;"",AC529,IF(X529&lt;&gt;"",X529,"")))</f>
        <v/>
      </c>
      <c r="AM529" s="83" t="str">
        <f aca="false">IF(E529="","",IF(R529="","À SOUDER",IF(U529="","VT EN ATTENTE",IF(U529="R","VT REJETÉ – À REPRENDRE",IF(AL529="","À RADIOGRAPHIER",IF(AL529="A","ACCEPTÉ",IF(AL529="NX","NX – RT À REFAIRE",IF(IF(AK529=1,Z529,IF(AK529=2,AE529,""))="A","RÉPARÉ – À RADIOGRAPHIER",IF(IF(AK529=1,Z529,IF(AK529=2,AE529,""))="R","VT REJETÉ – À REPRENDRE",IF(OR(AL529="CO",AL529="NT"),"COUPE – À RESOUDER","À RÉPARER"))))))))))</f>
        <v>À SOUDER</v>
      </c>
      <c r="AN529" s="81" t="str">
        <f aca="false">IF(AND(ISNUMBER(R529),OR(AM529="À RADIOGRAPHIER",AM529="RÉPARÉ – À RADIOGRAPHIER",AM529="NX – RT À REFAIRE",AM529="À RÉPARER",AM529="COUPE – À RESOUDER",AM529="VT REJETÉ – À REPRENDRE")),MAX(0,'PROGRAMME RT'!$C$4-R529),"")</f>
        <v/>
      </c>
      <c r="AO529" s="78" t="n">
        <f aca="false">IF(AND(OR(AM529="À RADIOGRAPHIER",AM529="RÉPARÉ – À RADIOGRAPHIER",AM529="NX – RT À REFAIRE"),OR('PROGRAMME RT'!$D$5="TOUTES",B529='PROGRAMME RT'!$D$5)),1,0)</f>
        <v>0</v>
      </c>
      <c r="AP529" s="78" t="str">
        <f aca="false">IF(AO529=1,SUM(AO$7:AO529),"")</f>
        <v/>
      </c>
      <c r="AQ529" s="78" t="n">
        <f aca="false">IF(AND(OR(X529="R",X529="NX",X529="NT",X529="CO"),OR('JOINTS DE RÉPARATION'!$D$5="TOUTES",B529='JOINTS DE RÉPARATION'!$D$5),OR('JOINTS DE RÉPARATION'!$L$4="TOUS",AM529&lt;&gt;"ACCEPTÉ")),1,0)</f>
        <v>0</v>
      </c>
      <c r="AR529" s="78" t="str">
        <f aca="false">IF(AQ529=1,SUM(AQ$7:AQ529),"")</f>
        <v/>
      </c>
    </row>
    <row r="530" customFormat="false" ht="15" hidden="false" customHeight="false" outlineLevel="0" collapsed="false">
      <c r="A530" s="78" t="n">
        <f aca="false">IF(E530="","",ROW()-6)</f>
        <v>524</v>
      </c>
      <c r="B530" s="79" t="s">
        <v>585</v>
      </c>
      <c r="C530" s="80"/>
      <c r="D530" s="80"/>
      <c r="E530" s="80" t="s">
        <v>387</v>
      </c>
      <c r="F530" s="80"/>
      <c r="G530" s="80" t="s">
        <v>106</v>
      </c>
      <c r="H530" s="80"/>
      <c r="I530" s="80"/>
      <c r="J530" s="80"/>
      <c r="K530" s="80"/>
      <c r="L530" s="81" t="str">
        <f aca="false">IF(K530="","",IFERROR(INDEX(BARDAGE!$C$7:$C$1506,MATCH(K530,BARDAGE!$B$7:$B$1506,0)),"? hors registre"))</f>
        <v/>
      </c>
      <c r="M530" s="80"/>
      <c r="N530" s="81" t="str">
        <f aca="false">IF(M530="","",IFERROR(INDEX(BARDAGE!$C$7:$C$1506,MATCH(M530,BARDAGE!$B$7:$B$1506,0)),"? hors registre"))</f>
        <v/>
      </c>
      <c r="O530" s="80"/>
      <c r="P530" s="80"/>
      <c r="Q530" s="80"/>
      <c r="R530" s="82"/>
      <c r="S530" s="82"/>
      <c r="T530" s="80"/>
      <c r="U530" s="80"/>
      <c r="V530" s="82"/>
      <c r="W530" s="80"/>
      <c r="X530" s="80"/>
      <c r="Y530" s="80"/>
      <c r="Z530" s="80"/>
      <c r="AA530" s="82"/>
      <c r="AB530" s="80"/>
      <c r="AC530" s="80"/>
      <c r="AD530" s="80"/>
      <c r="AE530" s="80"/>
      <c r="AF530" s="82"/>
      <c r="AG530" s="80"/>
      <c r="AH530" s="80"/>
      <c r="AI530" s="82"/>
      <c r="AJ530" s="79"/>
      <c r="AK530" s="78" t="n">
        <f aca="false">IF(E530="","",(X530&lt;&gt;"")+(AC530&lt;&gt;"")+(AH530&lt;&gt;""))</f>
        <v>0</v>
      </c>
      <c r="AL530" s="81" t="str">
        <f aca="false">IF(AH530&lt;&gt;"",AH530,IF(AC530&lt;&gt;"",AC530,IF(X530&lt;&gt;"",X530,"")))</f>
        <v/>
      </c>
      <c r="AM530" s="83" t="str">
        <f aca="false">IF(E530="","",IF(R530="","À SOUDER",IF(U530="","VT EN ATTENTE",IF(U530="R","VT REJETÉ – À REPRENDRE",IF(AL530="","À RADIOGRAPHIER",IF(AL530="A","ACCEPTÉ",IF(AL530="NX","NX – RT À REFAIRE",IF(IF(AK530=1,Z530,IF(AK530=2,AE530,""))="A","RÉPARÉ – À RADIOGRAPHIER",IF(IF(AK530=1,Z530,IF(AK530=2,AE530,""))="R","VT REJETÉ – À REPRENDRE",IF(OR(AL530="CO",AL530="NT"),"COUPE – À RESOUDER","À RÉPARER"))))))))))</f>
        <v>À SOUDER</v>
      </c>
      <c r="AN530" s="81" t="str">
        <f aca="false">IF(AND(ISNUMBER(R530),OR(AM530="À RADIOGRAPHIER",AM530="RÉPARÉ – À RADIOGRAPHIER",AM530="NX – RT À REFAIRE",AM530="À RÉPARER",AM530="COUPE – À RESOUDER",AM530="VT REJETÉ – À REPRENDRE")),MAX(0,'PROGRAMME RT'!$C$4-R530),"")</f>
        <v/>
      </c>
      <c r="AO530" s="78" t="n">
        <f aca="false">IF(AND(OR(AM530="À RADIOGRAPHIER",AM530="RÉPARÉ – À RADIOGRAPHIER",AM530="NX – RT À REFAIRE"),OR('PROGRAMME RT'!$D$5="TOUTES",B530='PROGRAMME RT'!$D$5)),1,0)</f>
        <v>0</v>
      </c>
      <c r="AP530" s="78" t="str">
        <f aca="false">IF(AO530=1,SUM(AO$7:AO530),"")</f>
        <v/>
      </c>
      <c r="AQ530" s="78" t="n">
        <f aca="false">IF(AND(OR(X530="R",X530="NX",X530="NT",X530="CO"),OR('JOINTS DE RÉPARATION'!$D$5="TOUTES",B530='JOINTS DE RÉPARATION'!$D$5),OR('JOINTS DE RÉPARATION'!$L$4="TOUS",AM530&lt;&gt;"ACCEPTÉ")),1,0)</f>
        <v>0</v>
      </c>
      <c r="AR530" s="78" t="str">
        <f aca="false">IF(AQ530=1,SUM(AQ$7:AQ530),"")</f>
        <v/>
      </c>
    </row>
    <row r="531" customFormat="false" ht="15" hidden="false" customHeight="false" outlineLevel="0" collapsed="false">
      <c r="A531" s="78" t="n">
        <f aca="false">IF(E531="","",ROW()-6)</f>
        <v>525</v>
      </c>
      <c r="B531" s="79" t="s">
        <v>585</v>
      </c>
      <c r="C531" s="80"/>
      <c r="D531" s="80"/>
      <c r="E531" s="80" t="s">
        <v>390</v>
      </c>
      <c r="F531" s="80"/>
      <c r="G531" s="80" t="s">
        <v>106</v>
      </c>
      <c r="H531" s="80"/>
      <c r="I531" s="80"/>
      <c r="J531" s="80"/>
      <c r="K531" s="80"/>
      <c r="L531" s="81" t="str">
        <f aca="false">IF(K531="","",IFERROR(INDEX(BARDAGE!$C$7:$C$1506,MATCH(K531,BARDAGE!$B$7:$B$1506,0)),"? hors registre"))</f>
        <v/>
      </c>
      <c r="M531" s="80"/>
      <c r="N531" s="81" t="str">
        <f aca="false">IF(M531="","",IFERROR(INDEX(BARDAGE!$C$7:$C$1506,MATCH(M531,BARDAGE!$B$7:$B$1506,0)),"? hors registre"))</f>
        <v/>
      </c>
      <c r="O531" s="80"/>
      <c r="P531" s="80"/>
      <c r="Q531" s="80"/>
      <c r="R531" s="82"/>
      <c r="S531" s="82"/>
      <c r="T531" s="80"/>
      <c r="U531" s="80"/>
      <c r="V531" s="82"/>
      <c r="W531" s="80"/>
      <c r="X531" s="80"/>
      <c r="Y531" s="80"/>
      <c r="Z531" s="80"/>
      <c r="AA531" s="82"/>
      <c r="AB531" s="80"/>
      <c r="AC531" s="80"/>
      <c r="AD531" s="80"/>
      <c r="AE531" s="80"/>
      <c r="AF531" s="82"/>
      <c r="AG531" s="80"/>
      <c r="AH531" s="80"/>
      <c r="AI531" s="82"/>
      <c r="AJ531" s="79"/>
      <c r="AK531" s="78" t="n">
        <f aca="false">IF(E531="","",(X531&lt;&gt;"")+(AC531&lt;&gt;"")+(AH531&lt;&gt;""))</f>
        <v>0</v>
      </c>
      <c r="AL531" s="81" t="str">
        <f aca="false">IF(AH531&lt;&gt;"",AH531,IF(AC531&lt;&gt;"",AC531,IF(X531&lt;&gt;"",X531,"")))</f>
        <v/>
      </c>
      <c r="AM531" s="83" t="str">
        <f aca="false">IF(E531="","",IF(R531="","À SOUDER",IF(U531="","VT EN ATTENTE",IF(U531="R","VT REJETÉ – À REPRENDRE",IF(AL531="","À RADIOGRAPHIER",IF(AL531="A","ACCEPTÉ",IF(AL531="NX","NX – RT À REFAIRE",IF(IF(AK531=1,Z531,IF(AK531=2,AE531,""))="A","RÉPARÉ – À RADIOGRAPHIER",IF(IF(AK531=1,Z531,IF(AK531=2,AE531,""))="R","VT REJETÉ – À REPRENDRE",IF(OR(AL531="CO",AL531="NT"),"COUPE – À RESOUDER","À RÉPARER"))))))))))</f>
        <v>À SOUDER</v>
      </c>
      <c r="AN531" s="81" t="str">
        <f aca="false">IF(AND(ISNUMBER(R531),OR(AM531="À RADIOGRAPHIER",AM531="RÉPARÉ – À RADIOGRAPHIER",AM531="NX – RT À REFAIRE",AM531="À RÉPARER",AM531="COUPE – À RESOUDER",AM531="VT REJETÉ – À REPRENDRE")),MAX(0,'PROGRAMME RT'!$C$4-R531),"")</f>
        <v/>
      </c>
      <c r="AO531" s="78" t="n">
        <f aca="false">IF(AND(OR(AM531="À RADIOGRAPHIER",AM531="RÉPARÉ – À RADIOGRAPHIER",AM531="NX – RT À REFAIRE"),OR('PROGRAMME RT'!$D$5="TOUTES",B531='PROGRAMME RT'!$D$5)),1,0)</f>
        <v>0</v>
      </c>
      <c r="AP531" s="78" t="str">
        <f aca="false">IF(AO531=1,SUM(AO$7:AO531),"")</f>
        <v/>
      </c>
      <c r="AQ531" s="78" t="n">
        <f aca="false">IF(AND(OR(X531="R",X531="NX",X531="NT",X531="CO"),OR('JOINTS DE RÉPARATION'!$D$5="TOUTES",B531='JOINTS DE RÉPARATION'!$D$5),OR('JOINTS DE RÉPARATION'!$L$4="TOUS",AM531&lt;&gt;"ACCEPTÉ")),1,0)</f>
        <v>0</v>
      </c>
      <c r="AR531" s="78" t="str">
        <f aca="false">IF(AQ531=1,SUM(AQ$7:AQ531),"")</f>
        <v/>
      </c>
    </row>
    <row r="532" customFormat="false" ht="15" hidden="false" customHeight="false" outlineLevel="0" collapsed="false">
      <c r="A532" s="78" t="n">
        <f aca="false">IF(E532="","",ROW()-6)</f>
        <v>526</v>
      </c>
      <c r="B532" s="79" t="s">
        <v>585</v>
      </c>
      <c r="C532" s="80"/>
      <c r="D532" s="80"/>
      <c r="E532" s="80" t="s">
        <v>392</v>
      </c>
      <c r="F532" s="80"/>
      <c r="G532" s="80" t="s">
        <v>106</v>
      </c>
      <c r="H532" s="80"/>
      <c r="I532" s="80"/>
      <c r="J532" s="80"/>
      <c r="K532" s="80"/>
      <c r="L532" s="81" t="str">
        <f aca="false">IF(K532="","",IFERROR(INDEX(BARDAGE!$C$7:$C$1506,MATCH(K532,BARDAGE!$B$7:$B$1506,0)),"? hors registre"))</f>
        <v/>
      </c>
      <c r="M532" s="80"/>
      <c r="N532" s="81" t="str">
        <f aca="false">IF(M532="","",IFERROR(INDEX(BARDAGE!$C$7:$C$1506,MATCH(M532,BARDAGE!$B$7:$B$1506,0)),"? hors registre"))</f>
        <v/>
      </c>
      <c r="O532" s="80"/>
      <c r="P532" s="80"/>
      <c r="Q532" s="80"/>
      <c r="R532" s="82"/>
      <c r="S532" s="82"/>
      <c r="T532" s="80"/>
      <c r="U532" s="80"/>
      <c r="V532" s="82"/>
      <c r="W532" s="80"/>
      <c r="X532" s="80"/>
      <c r="Y532" s="80"/>
      <c r="Z532" s="80"/>
      <c r="AA532" s="82"/>
      <c r="AB532" s="80"/>
      <c r="AC532" s="80"/>
      <c r="AD532" s="80"/>
      <c r="AE532" s="80"/>
      <c r="AF532" s="82"/>
      <c r="AG532" s="80"/>
      <c r="AH532" s="80"/>
      <c r="AI532" s="82"/>
      <c r="AJ532" s="79"/>
      <c r="AK532" s="78" t="n">
        <f aca="false">IF(E532="","",(X532&lt;&gt;"")+(AC532&lt;&gt;"")+(AH532&lt;&gt;""))</f>
        <v>0</v>
      </c>
      <c r="AL532" s="81" t="str">
        <f aca="false">IF(AH532&lt;&gt;"",AH532,IF(AC532&lt;&gt;"",AC532,IF(X532&lt;&gt;"",X532,"")))</f>
        <v/>
      </c>
      <c r="AM532" s="83" t="str">
        <f aca="false">IF(E532="","",IF(R532="","À SOUDER",IF(U532="","VT EN ATTENTE",IF(U532="R","VT REJETÉ – À REPRENDRE",IF(AL532="","À RADIOGRAPHIER",IF(AL532="A","ACCEPTÉ",IF(AL532="NX","NX – RT À REFAIRE",IF(IF(AK532=1,Z532,IF(AK532=2,AE532,""))="A","RÉPARÉ – À RADIOGRAPHIER",IF(IF(AK532=1,Z532,IF(AK532=2,AE532,""))="R","VT REJETÉ – À REPRENDRE",IF(OR(AL532="CO",AL532="NT"),"COUPE – À RESOUDER","À RÉPARER"))))))))))</f>
        <v>À SOUDER</v>
      </c>
      <c r="AN532" s="81" t="str">
        <f aca="false">IF(AND(ISNUMBER(R532),OR(AM532="À RADIOGRAPHIER",AM532="RÉPARÉ – À RADIOGRAPHIER",AM532="NX – RT À REFAIRE",AM532="À RÉPARER",AM532="COUPE – À RESOUDER",AM532="VT REJETÉ – À REPRENDRE")),MAX(0,'PROGRAMME RT'!$C$4-R532),"")</f>
        <v/>
      </c>
      <c r="AO532" s="78" t="n">
        <f aca="false">IF(AND(OR(AM532="À RADIOGRAPHIER",AM532="RÉPARÉ – À RADIOGRAPHIER",AM532="NX – RT À REFAIRE"),OR('PROGRAMME RT'!$D$5="TOUTES",B532='PROGRAMME RT'!$D$5)),1,0)</f>
        <v>0</v>
      </c>
      <c r="AP532" s="78" t="str">
        <f aca="false">IF(AO532=1,SUM(AO$7:AO532),"")</f>
        <v/>
      </c>
      <c r="AQ532" s="78" t="n">
        <f aca="false">IF(AND(OR(X532="R",X532="NX",X532="NT",X532="CO"),OR('JOINTS DE RÉPARATION'!$D$5="TOUTES",B532='JOINTS DE RÉPARATION'!$D$5),OR('JOINTS DE RÉPARATION'!$L$4="TOUS",AM532&lt;&gt;"ACCEPTÉ")),1,0)</f>
        <v>0</v>
      </c>
      <c r="AR532" s="78" t="str">
        <f aca="false">IF(AQ532=1,SUM(AQ$7:AQ532),"")</f>
        <v/>
      </c>
    </row>
    <row r="533" customFormat="false" ht="15" hidden="false" customHeight="false" outlineLevel="0" collapsed="false">
      <c r="A533" s="78" t="n">
        <f aca="false">IF(E533="","",ROW()-6)</f>
        <v>527</v>
      </c>
      <c r="B533" s="79" t="s">
        <v>585</v>
      </c>
      <c r="C533" s="80"/>
      <c r="D533" s="80"/>
      <c r="E533" s="80" t="s">
        <v>581</v>
      </c>
      <c r="F533" s="80"/>
      <c r="G533" s="80" t="s">
        <v>106</v>
      </c>
      <c r="H533" s="80"/>
      <c r="I533" s="80"/>
      <c r="J533" s="80"/>
      <c r="K533" s="80"/>
      <c r="L533" s="81" t="str">
        <f aca="false">IF(K533="","",IFERROR(INDEX(BARDAGE!$C$7:$C$1506,MATCH(K533,BARDAGE!$B$7:$B$1506,0)),"? hors registre"))</f>
        <v/>
      </c>
      <c r="M533" s="80"/>
      <c r="N533" s="81" t="str">
        <f aca="false">IF(M533="","",IFERROR(INDEX(BARDAGE!$C$7:$C$1506,MATCH(M533,BARDAGE!$B$7:$B$1506,0)),"? hors registre"))</f>
        <v/>
      </c>
      <c r="O533" s="80"/>
      <c r="P533" s="80"/>
      <c r="Q533" s="80"/>
      <c r="R533" s="82"/>
      <c r="S533" s="82"/>
      <c r="T533" s="80"/>
      <c r="U533" s="80"/>
      <c r="V533" s="82"/>
      <c r="W533" s="80"/>
      <c r="X533" s="80"/>
      <c r="Y533" s="80"/>
      <c r="Z533" s="80"/>
      <c r="AA533" s="82"/>
      <c r="AB533" s="80"/>
      <c r="AC533" s="80"/>
      <c r="AD533" s="80"/>
      <c r="AE533" s="80"/>
      <c r="AF533" s="82"/>
      <c r="AG533" s="80"/>
      <c r="AH533" s="80"/>
      <c r="AI533" s="82"/>
      <c r="AJ533" s="79"/>
      <c r="AK533" s="78" t="n">
        <f aca="false">IF(E533="","",(X533&lt;&gt;"")+(AC533&lt;&gt;"")+(AH533&lt;&gt;""))</f>
        <v>0</v>
      </c>
      <c r="AL533" s="81" t="str">
        <f aca="false">IF(AH533&lt;&gt;"",AH533,IF(AC533&lt;&gt;"",AC533,IF(X533&lt;&gt;"",X533,"")))</f>
        <v/>
      </c>
      <c r="AM533" s="83" t="str">
        <f aca="false">IF(E533="","",IF(R533="","À SOUDER",IF(U533="","VT EN ATTENTE",IF(U533="R","VT REJETÉ – À REPRENDRE",IF(AL533="","À RADIOGRAPHIER",IF(AL533="A","ACCEPTÉ",IF(AL533="NX","NX – RT À REFAIRE",IF(IF(AK533=1,Z533,IF(AK533=2,AE533,""))="A","RÉPARÉ – À RADIOGRAPHIER",IF(IF(AK533=1,Z533,IF(AK533=2,AE533,""))="R","VT REJETÉ – À REPRENDRE",IF(OR(AL533="CO",AL533="NT"),"COUPE – À RESOUDER","À RÉPARER"))))))))))</f>
        <v>À SOUDER</v>
      </c>
      <c r="AN533" s="81" t="str">
        <f aca="false">IF(AND(ISNUMBER(R533),OR(AM533="À RADIOGRAPHIER",AM533="RÉPARÉ – À RADIOGRAPHIER",AM533="NX – RT À REFAIRE",AM533="À RÉPARER",AM533="COUPE – À RESOUDER",AM533="VT REJETÉ – À REPRENDRE")),MAX(0,'PROGRAMME RT'!$C$4-R533),"")</f>
        <v/>
      </c>
      <c r="AO533" s="78" t="n">
        <f aca="false">IF(AND(OR(AM533="À RADIOGRAPHIER",AM533="RÉPARÉ – À RADIOGRAPHIER",AM533="NX – RT À REFAIRE"),OR('PROGRAMME RT'!$D$5="TOUTES",B533='PROGRAMME RT'!$D$5)),1,0)</f>
        <v>0</v>
      </c>
      <c r="AP533" s="78" t="str">
        <f aca="false">IF(AO533=1,SUM(AO$7:AO533),"")</f>
        <v/>
      </c>
      <c r="AQ533" s="78" t="n">
        <f aca="false">IF(AND(OR(X533="R",X533="NX",X533="NT",X533="CO"),OR('JOINTS DE RÉPARATION'!$D$5="TOUTES",B533='JOINTS DE RÉPARATION'!$D$5),OR('JOINTS DE RÉPARATION'!$L$4="TOUS",AM533&lt;&gt;"ACCEPTÉ")),1,0)</f>
        <v>0</v>
      </c>
      <c r="AR533" s="78" t="str">
        <f aca="false">IF(AQ533=1,SUM(AQ$7:AQ533),"")</f>
        <v/>
      </c>
    </row>
    <row r="534" customFormat="false" ht="15" hidden="false" customHeight="false" outlineLevel="0" collapsed="false">
      <c r="A534" s="78" t="n">
        <f aca="false">IF(E534="","",ROW()-6)</f>
        <v>528</v>
      </c>
      <c r="B534" s="79" t="s">
        <v>585</v>
      </c>
      <c r="C534" s="80"/>
      <c r="D534" s="80"/>
      <c r="E534" s="80" t="s">
        <v>397</v>
      </c>
      <c r="F534" s="80"/>
      <c r="G534" s="80" t="s">
        <v>106</v>
      </c>
      <c r="H534" s="80"/>
      <c r="I534" s="80"/>
      <c r="J534" s="80"/>
      <c r="K534" s="80"/>
      <c r="L534" s="81" t="str">
        <f aca="false">IF(K534="","",IFERROR(INDEX(BARDAGE!$C$7:$C$1506,MATCH(K534,BARDAGE!$B$7:$B$1506,0)),"? hors registre"))</f>
        <v/>
      </c>
      <c r="M534" s="80"/>
      <c r="N534" s="81" t="str">
        <f aca="false">IF(M534="","",IFERROR(INDEX(BARDAGE!$C$7:$C$1506,MATCH(M534,BARDAGE!$B$7:$B$1506,0)),"? hors registre"))</f>
        <v/>
      </c>
      <c r="O534" s="80"/>
      <c r="P534" s="80"/>
      <c r="Q534" s="80"/>
      <c r="R534" s="82"/>
      <c r="S534" s="82"/>
      <c r="T534" s="80"/>
      <c r="U534" s="80"/>
      <c r="V534" s="82"/>
      <c r="W534" s="80"/>
      <c r="X534" s="80"/>
      <c r="Y534" s="80"/>
      <c r="Z534" s="80"/>
      <c r="AA534" s="82"/>
      <c r="AB534" s="80"/>
      <c r="AC534" s="80"/>
      <c r="AD534" s="80"/>
      <c r="AE534" s="80"/>
      <c r="AF534" s="82"/>
      <c r="AG534" s="80"/>
      <c r="AH534" s="80"/>
      <c r="AI534" s="82"/>
      <c r="AJ534" s="79"/>
      <c r="AK534" s="78" t="n">
        <f aca="false">IF(E534="","",(X534&lt;&gt;"")+(AC534&lt;&gt;"")+(AH534&lt;&gt;""))</f>
        <v>0</v>
      </c>
      <c r="AL534" s="81" t="str">
        <f aca="false">IF(AH534&lt;&gt;"",AH534,IF(AC534&lt;&gt;"",AC534,IF(X534&lt;&gt;"",X534,"")))</f>
        <v/>
      </c>
      <c r="AM534" s="83" t="str">
        <f aca="false">IF(E534="","",IF(R534="","À SOUDER",IF(U534="","VT EN ATTENTE",IF(U534="R","VT REJETÉ – À REPRENDRE",IF(AL534="","À RADIOGRAPHIER",IF(AL534="A","ACCEPTÉ",IF(AL534="NX","NX – RT À REFAIRE",IF(IF(AK534=1,Z534,IF(AK534=2,AE534,""))="A","RÉPARÉ – À RADIOGRAPHIER",IF(IF(AK534=1,Z534,IF(AK534=2,AE534,""))="R","VT REJETÉ – À REPRENDRE",IF(OR(AL534="CO",AL534="NT"),"COUPE – À RESOUDER","À RÉPARER"))))))))))</f>
        <v>À SOUDER</v>
      </c>
      <c r="AN534" s="81" t="str">
        <f aca="false">IF(AND(ISNUMBER(R534),OR(AM534="À RADIOGRAPHIER",AM534="RÉPARÉ – À RADIOGRAPHIER",AM534="NX – RT À REFAIRE",AM534="À RÉPARER",AM534="COUPE – À RESOUDER",AM534="VT REJETÉ – À REPRENDRE")),MAX(0,'PROGRAMME RT'!$C$4-R534),"")</f>
        <v/>
      </c>
      <c r="AO534" s="78" t="n">
        <f aca="false">IF(AND(OR(AM534="À RADIOGRAPHIER",AM534="RÉPARÉ – À RADIOGRAPHIER",AM534="NX – RT À REFAIRE"),OR('PROGRAMME RT'!$D$5="TOUTES",B534='PROGRAMME RT'!$D$5)),1,0)</f>
        <v>0</v>
      </c>
      <c r="AP534" s="78" t="str">
        <f aca="false">IF(AO534=1,SUM(AO$7:AO534),"")</f>
        <v/>
      </c>
      <c r="AQ534" s="78" t="n">
        <f aca="false">IF(AND(OR(X534="R",X534="NX",X534="NT",X534="CO"),OR('JOINTS DE RÉPARATION'!$D$5="TOUTES",B534='JOINTS DE RÉPARATION'!$D$5),OR('JOINTS DE RÉPARATION'!$L$4="TOUS",AM534&lt;&gt;"ACCEPTÉ")),1,0)</f>
        <v>0</v>
      </c>
      <c r="AR534" s="78" t="str">
        <f aca="false">IF(AQ534=1,SUM(AQ$7:AQ534),"")</f>
        <v/>
      </c>
    </row>
    <row r="535" customFormat="false" ht="15" hidden="false" customHeight="false" outlineLevel="0" collapsed="false">
      <c r="A535" s="78" t="n">
        <f aca="false">IF(E535="","",ROW()-6)</f>
        <v>529</v>
      </c>
      <c r="B535" s="79" t="s">
        <v>585</v>
      </c>
      <c r="C535" s="80"/>
      <c r="D535" s="80"/>
      <c r="E535" s="80" t="s">
        <v>400</v>
      </c>
      <c r="F535" s="80"/>
      <c r="G535" s="80" t="s">
        <v>106</v>
      </c>
      <c r="H535" s="80"/>
      <c r="I535" s="80"/>
      <c r="J535" s="80"/>
      <c r="K535" s="80"/>
      <c r="L535" s="81" t="str">
        <f aca="false">IF(K535="","",IFERROR(INDEX(BARDAGE!$C$7:$C$1506,MATCH(K535,BARDAGE!$B$7:$B$1506,0)),"? hors registre"))</f>
        <v/>
      </c>
      <c r="M535" s="80"/>
      <c r="N535" s="81" t="str">
        <f aca="false">IF(M535="","",IFERROR(INDEX(BARDAGE!$C$7:$C$1506,MATCH(M535,BARDAGE!$B$7:$B$1506,0)),"? hors registre"))</f>
        <v/>
      </c>
      <c r="O535" s="80"/>
      <c r="P535" s="80"/>
      <c r="Q535" s="80"/>
      <c r="R535" s="82"/>
      <c r="S535" s="82"/>
      <c r="T535" s="80"/>
      <c r="U535" s="80"/>
      <c r="V535" s="82"/>
      <c r="W535" s="80"/>
      <c r="X535" s="80"/>
      <c r="Y535" s="80"/>
      <c r="Z535" s="80"/>
      <c r="AA535" s="82"/>
      <c r="AB535" s="80"/>
      <c r="AC535" s="80"/>
      <c r="AD535" s="80"/>
      <c r="AE535" s="80"/>
      <c r="AF535" s="82"/>
      <c r="AG535" s="80"/>
      <c r="AH535" s="80"/>
      <c r="AI535" s="82"/>
      <c r="AJ535" s="79"/>
      <c r="AK535" s="78" t="n">
        <f aca="false">IF(E535="","",(X535&lt;&gt;"")+(AC535&lt;&gt;"")+(AH535&lt;&gt;""))</f>
        <v>0</v>
      </c>
      <c r="AL535" s="81" t="str">
        <f aca="false">IF(AH535&lt;&gt;"",AH535,IF(AC535&lt;&gt;"",AC535,IF(X535&lt;&gt;"",X535,"")))</f>
        <v/>
      </c>
      <c r="AM535" s="83" t="str">
        <f aca="false">IF(E535="","",IF(R535="","À SOUDER",IF(U535="","VT EN ATTENTE",IF(U535="R","VT REJETÉ – À REPRENDRE",IF(AL535="","À RADIOGRAPHIER",IF(AL535="A","ACCEPTÉ",IF(AL535="NX","NX – RT À REFAIRE",IF(IF(AK535=1,Z535,IF(AK535=2,AE535,""))="A","RÉPARÉ – À RADIOGRAPHIER",IF(IF(AK535=1,Z535,IF(AK535=2,AE535,""))="R","VT REJETÉ – À REPRENDRE",IF(OR(AL535="CO",AL535="NT"),"COUPE – À RESOUDER","À RÉPARER"))))))))))</f>
        <v>À SOUDER</v>
      </c>
      <c r="AN535" s="81" t="str">
        <f aca="false">IF(AND(ISNUMBER(R535),OR(AM535="À RADIOGRAPHIER",AM535="RÉPARÉ – À RADIOGRAPHIER",AM535="NX – RT À REFAIRE",AM535="À RÉPARER",AM535="COUPE – À RESOUDER",AM535="VT REJETÉ – À REPRENDRE")),MAX(0,'PROGRAMME RT'!$C$4-R535),"")</f>
        <v/>
      </c>
      <c r="AO535" s="78" t="n">
        <f aca="false">IF(AND(OR(AM535="À RADIOGRAPHIER",AM535="RÉPARÉ – À RADIOGRAPHIER",AM535="NX – RT À REFAIRE"),OR('PROGRAMME RT'!$D$5="TOUTES",B535='PROGRAMME RT'!$D$5)),1,0)</f>
        <v>0</v>
      </c>
      <c r="AP535" s="78" t="str">
        <f aca="false">IF(AO535=1,SUM(AO$7:AO535),"")</f>
        <v/>
      </c>
      <c r="AQ535" s="78" t="n">
        <f aca="false">IF(AND(OR(X535="R",X535="NX",X535="NT",X535="CO"),OR('JOINTS DE RÉPARATION'!$D$5="TOUTES",B535='JOINTS DE RÉPARATION'!$D$5),OR('JOINTS DE RÉPARATION'!$L$4="TOUS",AM535&lt;&gt;"ACCEPTÉ")),1,0)</f>
        <v>0</v>
      </c>
      <c r="AR535" s="78" t="str">
        <f aca="false">IF(AQ535=1,SUM(AQ$7:AQ535),"")</f>
        <v/>
      </c>
    </row>
    <row r="536" customFormat="false" ht="15" hidden="false" customHeight="false" outlineLevel="0" collapsed="false">
      <c r="A536" s="78" t="n">
        <f aca="false">IF(E536="","",ROW()-6)</f>
        <v>530</v>
      </c>
      <c r="B536" s="79" t="s">
        <v>585</v>
      </c>
      <c r="C536" s="80"/>
      <c r="D536" s="80"/>
      <c r="E536" s="80" t="s">
        <v>402</v>
      </c>
      <c r="F536" s="80"/>
      <c r="G536" s="80" t="s">
        <v>106</v>
      </c>
      <c r="H536" s="80"/>
      <c r="I536" s="80"/>
      <c r="J536" s="80"/>
      <c r="K536" s="80"/>
      <c r="L536" s="81" t="str">
        <f aca="false">IF(K536="","",IFERROR(INDEX(BARDAGE!$C$7:$C$1506,MATCH(K536,BARDAGE!$B$7:$B$1506,0)),"? hors registre"))</f>
        <v/>
      </c>
      <c r="M536" s="80"/>
      <c r="N536" s="81" t="str">
        <f aca="false">IF(M536="","",IFERROR(INDEX(BARDAGE!$C$7:$C$1506,MATCH(M536,BARDAGE!$B$7:$B$1506,0)),"? hors registre"))</f>
        <v/>
      </c>
      <c r="O536" s="80"/>
      <c r="P536" s="80"/>
      <c r="Q536" s="80"/>
      <c r="R536" s="82"/>
      <c r="S536" s="82"/>
      <c r="T536" s="80"/>
      <c r="U536" s="80"/>
      <c r="V536" s="82"/>
      <c r="W536" s="80"/>
      <c r="X536" s="80"/>
      <c r="Y536" s="80"/>
      <c r="Z536" s="80"/>
      <c r="AA536" s="82"/>
      <c r="AB536" s="80"/>
      <c r="AC536" s="80"/>
      <c r="AD536" s="80"/>
      <c r="AE536" s="80"/>
      <c r="AF536" s="82"/>
      <c r="AG536" s="80"/>
      <c r="AH536" s="80"/>
      <c r="AI536" s="82"/>
      <c r="AJ536" s="79"/>
      <c r="AK536" s="78" t="n">
        <f aca="false">IF(E536="","",(X536&lt;&gt;"")+(AC536&lt;&gt;"")+(AH536&lt;&gt;""))</f>
        <v>0</v>
      </c>
      <c r="AL536" s="81" t="str">
        <f aca="false">IF(AH536&lt;&gt;"",AH536,IF(AC536&lt;&gt;"",AC536,IF(X536&lt;&gt;"",X536,"")))</f>
        <v/>
      </c>
      <c r="AM536" s="83" t="str">
        <f aca="false">IF(E536="","",IF(R536="","À SOUDER",IF(U536="","VT EN ATTENTE",IF(U536="R","VT REJETÉ – À REPRENDRE",IF(AL536="","À RADIOGRAPHIER",IF(AL536="A","ACCEPTÉ",IF(AL536="NX","NX – RT À REFAIRE",IF(IF(AK536=1,Z536,IF(AK536=2,AE536,""))="A","RÉPARÉ – À RADIOGRAPHIER",IF(IF(AK536=1,Z536,IF(AK536=2,AE536,""))="R","VT REJETÉ – À REPRENDRE",IF(OR(AL536="CO",AL536="NT"),"COUPE – À RESOUDER","À RÉPARER"))))))))))</f>
        <v>À SOUDER</v>
      </c>
      <c r="AN536" s="81" t="str">
        <f aca="false">IF(AND(ISNUMBER(R536),OR(AM536="À RADIOGRAPHIER",AM536="RÉPARÉ – À RADIOGRAPHIER",AM536="NX – RT À REFAIRE",AM536="À RÉPARER",AM536="COUPE – À RESOUDER",AM536="VT REJETÉ – À REPRENDRE")),MAX(0,'PROGRAMME RT'!$C$4-R536),"")</f>
        <v/>
      </c>
      <c r="AO536" s="78" t="n">
        <f aca="false">IF(AND(OR(AM536="À RADIOGRAPHIER",AM536="RÉPARÉ – À RADIOGRAPHIER",AM536="NX – RT À REFAIRE"),OR('PROGRAMME RT'!$D$5="TOUTES",B536='PROGRAMME RT'!$D$5)),1,0)</f>
        <v>0</v>
      </c>
      <c r="AP536" s="78" t="str">
        <f aca="false">IF(AO536=1,SUM(AO$7:AO536),"")</f>
        <v/>
      </c>
      <c r="AQ536" s="78" t="n">
        <f aca="false">IF(AND(OR(X536="R",X536="NX",X536="NT",X536="CO"),OR('JOINTS DE RÉPARATION'!$D$5="TOUTES",B536='JOINTS DE RÉPARATION'!$D$5),OR('JOINTS DE RÉPARATION'!$L$4="TOUS",AM536&lt;&gt;"ACCEPTÉ")),1,0)</f>
        <v>0</v>
      </c>
      <c r="AR536" s="78" t="str">
        <f aca="false">IF(AQ536=1,SUM(AQ$7:AQ536),"")</f>
        <v/>
      </c>
    </row>
    <row r="537" customFormat="false" ht="15" hidden="false" customHeight="false" outlineLevel="0" collapsed="false">
      <c r="A537" s="78" t="n">
        <f aca="false">IF(E537="","",ROW()-6)</f>
        <v>531</v>
      </c>
      <c r="B537" s="79" t="s">
        <v>585</v>
      </c>
      <c r="C537" s="80"/>
      <c r="D537" s="80"/>
      <c r="E537" s="80" t="s">
        <v>404</v>
      </c>
      <c r="F537" s="80"/>
      <c r="G537" s="80" t="s">
        <v>106</v>
      </c>
      <c r="H537" s="80"/>
      <c r="I537" s="80"/>
      <c r="J537" s="80"/>
      <c r="K537" s="80"/>
      <c r="L537" s="81" t="str">
        <f aca="false">IF(K537="","",IFERROR(INDEX(BARDAGE!$C$7:$C$1506,MATCH(K537,BARDAGE!$B$7:$B$1506,0)),"? hors registre"))</f>
        <v/>
      </c>
      <c r="M537" s="80"/>
      <c r="N537" s="81" t="str">
        <f aca="false">IF(M537="","",IFERROR(INDEX(BARDAGE!$C$7:$C$1506,MATCH(M537,BARDAGE!$B$7:$B$1506,0)),"? hors registre"))</f>
        <v/>
      </c>
      <c r="O537" s="80"/>
      <c r="P537" s="80"/>
      <c r="Q537" s="80"/>
      <c r="R537" s="82"/>
      <c r="S537" s="82"/>
      <c r="T537" s="80"/>
      <c r="U537" s="80"/>
      <c r="V537" s="82"/>
      <c r="W537" s="80"/>
      <c r="X537" s="80"/>
      <c r="Y537" s="80"/>
      <c r="Z537" s="80"/>
      <c r="AA537" s="82"/>
      <c r="AB537" s="80"/>
      <c r="AC537" s="80"/>
      <c r="AD537" s="80"/>
      <c r="AE537" s="80"/>
      <c r="AF537" s="82"/>
      <c r="AG537" s="80"/>
      <c r="AH537" s="80"/>
      <c r="AI537" s="82"/>
      <c r="AJ537" s="79"/>
      <c r="AK537" s="78" t="n">
        <f aca="false">IF(E537="","",(X537&lt;&gt;"")+(AC537&lt;&gt;"")+(AH537&lt;&gt;""))</f>
        <v>0</v>
      </c>
      <c r="AL537" s="81" t="str">
        <f aca="false">IF(AH537&lt;&gt;"",AH537,IF(AC537&lt;&gt;"",AC537,IF(X537&lt;&gt;"",X537,"")))</f>
        <v/>
      </c>
      <c r="AM537" s="83" t="str">
        <f aca="false">IF(E537="","",IF(R537="","À SOUDER",IF(U537="","VT EN ATTENTE",IF(U537="R","VT REJETÉ – À REPRENDRE",IF(AL537="","À RADIOGRAPHIER",IF(AL537="A","ACCEPTÉ",IF(AL537="NX","NX – RT À REFAIRE",IF(IF(AK537=1,Z537,IF(AK537=2,AE537,""))="A","RÉPARÉ – À RADIOGRAPHIER",IF(IF(AK537=1,Z537,IF(AK537=2,AE537,""))="R","VT REJETÉ – À REPRENDRE",IF(OR(AL537="CO",AL537="NT"),"COUPE – À RESOUDER","À RÉPARER"))))))))))</f>
        <v>À SOUDER</v>
      </c>
      <c r="AN537" s="81" t="str">
        <f aca="false">IF(AND(ISNUMBER(R537),OR(AM537="À RADIOGRAPHIER",AM537="RÉPARÉ – À RADIOGRAPHIER",AM537="NX – RT À REFAIRE",AM537="À RÉPARER",AM537="COUPE – À RESOUDER",AM537="VT REJETÉ – À REPRENDRE")),MAX(0,'PROGRAMME RT'!$C$4-R537),"")</f>
        <v/>
      </c>
      <c r="AO537" s="78" t="n">
        <f aca="false">IF(AND(OR(AM537="À RADIOGRAPHIER",AM537="RÉPARÉ – À RADIOGRAPHIER",AM537="NX – RT À REFAIRE"),OR('PROGRAMME RT'!$D$5="TOUTES",B537='PROGRAMME RT'!$D$5)),1,0)</f>
        <v>0</v>
      </c>
      <c r="AP537" s="78" t="str">
        <f aca="false">IF(AO537=1,SUM(AO$7:AO537),"")</f>
        <v/>
      </c>
      <c r="AQ537" s="78" t="n">
        <f aca="false">IF(AND(OR(X537="R",X537="NX",X537="NT",X537="CO"),OR('JOINTS DE RÉPARATION'!$D$5="TOUTES",B537='JOINTS DE RÉPARATION'!$D$5),OR('JOINTS DE RÉPARATION'!$L$4="TOUS",AM537&lt;&gt;"ACCEPTÉ")),1,0)</f>
        <v>0</v>
      </c>
      <c r="AR537" s="78" t="str">
        <f aca="false">IF(AQ537=1,SUM(AQ$7:AQ537),"")</f>
        <v/>
      </c>
    </row>
    <row r="538" customFormat="false" ht="15" hidden="false" customHeight="false" outlineLevel="0" collapsed="false">
      <c r="A538" s="78" t="n">
        <f aca="false">IF(E538="","",ROW()-6)</f>
        <v>532</v>
      </c>
      <c r="B538" s="79" t="s">
        <v>585</v>
      </c>
      <c r="C538" s="80"/>
      <c r="D538" s="80"/>
      <c r="E538" s="80" t="s">
        <v>406</v>
      </c>
      <c r="F538" s="80"/>
      <c r="G538" s="80" t="s">
        <v>106</v>
      </c>
      <c r="H538" s="80"/>
      <c r="I538" s="80"/>
      <c r="J538" s="80"/>
      <c r="K538" s="80"/>
      <c r="L538" s="81" t="str">
        <f aca="false">IF(K538="","",IFERROR(INDEX(BARDAGE!$C$7:$C$1506,MATCH(K538,BARDAGE!$B$7:$B$1506,0)),"? hors registre"))</f>
        <v/>
      </c>
      <c r="M538" s="80"/>
      <c r="N538" s="81" t="str">
        <f aca="false">IF(M538="","",IFERROR(INDEX(BARDAGE!$C$7:$C$1506,MATCH(M538,BARDAGE!$B$7:$B$1506,0)),"? hors registre"))</f>
        <v/>
      </c>
      <c r="O538" s="80"/>
      <c r="P538" s="80"/>
      <c r="Q538" s="80"/>
      <c r="R538" s="82"/>
      <c r="S538" s="82"/>
      <c r="T538" s="80"/>
      <c r="U538" s="80"/>
      <c r="V538" s="82"/>
      <c r="W538" s="80"/>
      <c r="X538" s="80"/>
      <c r="Y538" s="80"/>
      <c r="Z538" s="80"/>
      <c r="AA538" s="82"/>
      <c r="AB538" s="80"/>
      <c r="AC538" s="80"/>
      <c r="AD538" s="80"/>
      <c r="AE538" s="80"/>
      <c r="AF538" s="82"/>
      <c r="AG538" s="80"/>
      <c r="AH538" s="80"/>
      <c r="AI538" s="82"/>
      <c r="AJ538" s="79"/>
      <c r="AK538" s="78" t="n">
        <f aca="false">IF(E538="","",(X538&lt;&gt;"")+(AC538&lt;&gt;"")+(AH538&lt;&gt;""))</f>
        <v>0</v>
      </c>
      <c r="AL538" s="81" t="str">
        <f aca="false">IF(AH538&lt;&gt;"",AH538,IF(AC538&lt;&gt;"",AC538,IF(X538&lt;&gt;"",X538,"")))</f>
        <v/>
      </c>
      <c r="AM538" s="83" t="str">
        <f aca="false">IF(E538="","",IF(R538="","À SOUDER",IF(U538="","VT EN ATTENTE",IF(U538="R","VT REJETÉ – À REPRENDRE",IF(AL538="","À RADIOGRAPHIER",IF(AL538="A","ACCEPTÉ",IF(AL538="NX","NX – RT À REFAIRE",IF(IF(AK538=1,Z538,IF(AK538=2,AE538,""))="A","RÉPARÉ – À RADIOGRAPHIER",IF(IF(AK538=1,Z538,IF(AK538=2,AE538,""))="R","VT REJETÉ – À REPRENDRE",IF(OR(AL538="CO",AL538="NT"),"COUPE – À RESOUDER","À RÉPARER"))))))))))</f>
        <v>À SOUDER</v>
      </c>
      <c r="AN538" s="81" t="str">
        <f aca="false">IF(AND(ISNUMBER(R538),OR(AM538="À RADIOGRAPHIER",AM538="RÉPARÉ – À RADIOGRAPHIER",AM538="NX – RT À REFAIRE",AM538="À RÉPARER",AM538="COUPE – À RESOUDER",AM538="VT REJETÉ – À REPRENDRE")),MAX(0,'PROGRAMME RT'!$C$4-R538),"")</f>
        <v/>
      </c>
      <c r="AO538" s="78" t="n">
        <f aca="false">IF(AND(OR(AM538="À RADIOGRAPHIER",AM538="RÉPARÉ – À RADIOGRAPHIER",AM538="NX – RT À REFAIRE"),OR('PROGRAMME RT'!$D$5="TOUTES",B538='PROGRAMME RT'!$D$5)),1,0)</f>
        <v>0</v>
      </c>
      <c r="AP538" s="78" t="str">
        <f aca="false">IF(AO538=1,SUM(AO$7:AO538),"")</f>
        <v/>
      </c>
      <c r="AQ538" s="78" t="n">
        <f aca="false">IF(AND(OR(X538="R",X538="NX",X538="NT",X538="CO"),OR('JOINTS DE RÉPARATION'!$D$5="TOUTES",B538='JOINTS DE RÉPARATION'!$D$5),OR('JOINTS DE RÉPARATION'!$L$4="TOUS",AM538&lt;&gt;"ACCEPTÉ")),1,0)</f>
        <v>0</v>
      </c>
      <c r="AR538" s="78" t="str">
        <f aca="false">IF(AQ538=1,SUM(AQ$7:AQ538),"")</f>
        <v/>
      </c>
    </row>
    <row r="539" customFormat="false" ht="15" hidden="false" customHeight="false" outlineLevel="0" collapsed="false">
      <c r="A539" s="78" t="n">
        <f aca="false">IF(E539="","",ROW()-6)</f>
        <v>533</v>
      </c>
      <c r="B539" s="79" t="s">
        <v>585</v>
      </c>
      <c r="C539" s="80"/>
      <c r="D539" s="80"/>
      <c r="E539" s="80" t="s">
        <v>408</v>
      </c>
      <c r="F539" s="80"/>
      <c r="G539" s="80" t="s">
        <v>106</v>
      </c>
      <c r="H539" s="80"/>
      <c r="I539" s="80"/>
      <c r="J539" s="80"/>
      <c r="K539" s="80"/>
      <c r="L539" s="81" t="str">
        <f aca="false">IF(K539="","",IFERROR(INDEX(BARDAGE!$C$7:$C$1506,MATCH(K539,BARDAGE!$B$7:$B$1506,0)),"? hors registre"))</f>
        <v/>
      </c>
      <c r="M539" s="80"/>
      <c r="N539" s="81" t="str">
        <f aca="false">IF(M539="","",IFERROR(INDEX(BARDAGE!$C$7:$C$1506,MATCH(M539,BARDAGE!$B$7:$B$1506,0)),"? hors registre"))</f>
        <v/>
      </c>
      <c r="O539" s="80"/>
      <c r="P539" s="80"/>
      <c r="Q539" s="80"/>
      <c r="R539" s="82"/>
      <c r="S539" s="82"/>
      <c r="T539" s="80"/>
      <c r="U539" s="80"/>
      <c r="V539" s="82"/>
      <c r="W539" s="80"/>
      <c r="X539" s="80"/>
      <c r="Y539" s="80"/>
      <c r="Z539" s="80"/>
      <c r="AA539" s="82"/>
      <c r="AB539" s="80"/>
      <c r="AC539" s="80"/>
      <c r="AD539" s="80"/>
      <c r="AE539" s="80"/>
      <c r="AF539" s="82"/>
      <c r="AG539" s="80"/>
      <c r="AH539" s="80"/>
      <c r="AI539" s="82"/>
      <c r="AJ539" s="79"/>
      <c r="AK539" s="78" t="n">
        <f aca="false">IF(E539="","",(X539&lt;&gt;"")+(AC539&lt;&gt;"")+(AH539&lt;&gt;""))</f>
        <v>0</v>
      </c>
      <c r="AL539" s="81" t="str">
        <f aca="false">IF(AH539&lt;&gt;"",AH539,IF(AC539&lt;&gt;"",AC539,IF(X539&lt;&gt;"",X539,"")))</f>
        <v/>
      </c>
      <c r="AM539" s="83" t="str">
        <f aca="false">IF(E539="","",IF(R539="","À SOUDER",IF(U539="","VT EN ATTENTE",IF(U539="R","VT REJETÉ – À REPRENDRE",IF(AL539="","À RADIOGRAPHIER",IF(AL539="A","ACCEPTÉ",IF(AL539="NX","NX – RT À REFAIRE",IF(IF(AK539=1,Z539,IF(AK539=2,AE539,""))="A","RÉPARÉ – À RADIOGRAPHIER",IF(IF(AK539=1,Z539,IF(AK539=2,AE539,""))="R","VT REJETÉ – À REPRENDRE",IF(OR(AL539="CO",AL539="NT"),"COUPE – À RESOUDER","À RÉPARER"))))))))))</f>
        <v>À SOUDER</v>
      </c>
      <c r="AN539" s="81" t="str">
        <f aca="false">IF(AND(ISNUMBER(R539),OR(AM539="À RADIOGRAPHIER",AM539="RÉPARÉ – À RADIOGRAPHIER",AM539="NX – RT À REFAIRE",AM539="À RÉPARER",AM539="COUPE – À RESOUDER",AM539="VT REJETÉ – À REPRENDRE")),MAX(0,'PROGRAMME RT'!$C$4-R539),"")</f>
        <v/>
      </c>
      <c r="AO539" s="78" t="n">
        <f aca="false">IF(AND(OR(AM539="À RADIOGRAPHIER",AM539="RÉPARÉ – À RADIOGRAPHIER",AM539="NX – RT À REFAIRE"),OR('PROGRAMME RT'!$D$5="TOUTES",B539='PROGRAMME RT'!$D$5)),1,0)</f>
        <v>0</v>
      </c>
      <c r="AP539" s="78" t="str">
        <f aca="false">IF(AO539=1,SUM(AO$7:AO539),"")</f>
        <v/>
      </c>
      <c r="AQ539" s="78" t="n">
        <f aca="false">IF(AND(OR(X539="R",X539="NX",X539="NT",X539="CO"),OR('JOINTS DE RÉPARATION'!$D$5="TOUTES",B539='JOINTS DE RÉPARATION'!$D$5),OR('JOINTS DE RÉPARATION'!$L$4="TOUS",AM539&lt;&gt;"ACCEPTÉ")),1,0)</f>
        <v>0</v>
      </c>
      <c r="AR539" s="78" t="str">
        <f aca="false">IF(AQ539=1,SUM(AQ$7:AQ539),"")</f>
        <v/>
      </c>
    </row>
    <row r="540" customFormat="false" ht="15" hidden="false" customHeight="false" outlineLevel="0" collapsed="false">
      <c r="A540" s="78" t="n">
        <f aca="false">IF(E540="","",ROW()-6)</f>
        <v>534</v>
      </c>
      <c r="B540" s="79" t="s">
        <v>585</v>
      </c>
      <c r="C540" s="80"/>
      <c r="D540" s="80"/>
      <c r="E540" s="80" t="s">
        <v>410</v>
      </c>
      <c r="F540" s="80"/>
      <c r="G540" s="80" t="s">
        <v>106</v>
      </c>
      <c r="H540" s="80"/>
      <c r="I540" s="80"/>
      <c r="J540" s="80"/>
      <c r="K540" s="80"/>
      <c r="L540" s="81" t="str">
        <f aca="false">IF(K540="","",IFERROR(INDEX(BARDAGE!$C$7:$C$1506,MATCH(K540,BARDAGE!$B$7:$B$1506,0)),"? hors registre"))</f>
        <v/>
      </c>
      <c r="M540" s="80"/>
      <c r="N540" s="81" t="str">
        <f aca="false">IF(M540="","",IFERROR(INDEX(BARDAGE!$C$7:$C$1506,MATCH(M540,BARDAGE!$B$7:$B$1506,0)),"? hors registre"))</f>
        <v/>
      </c>
      <c r="O540" s="80"/>
      <c r="P540" s="80"/>
      <c r="Q540" s="80"/>
      <c r="R540" s="82"/>
      <c r="S540" s="82"/>
      <c r="T540" s="80"/>
      <c r="U540" s="80"/>
      <c r="V540" s="82"/>
      <c r="W540" s="80"/>
      <c r="X540" s="80"/>
      <c r="Y540" s="80"/>
      <c r="Z540" s="80"/>
      <c r="AA540" s="82"/>
      <c r="AB540" s="80"/>
      <c r="AC540" s="80"/>
      <c r="AD540" s="80"/>
      <c r="AE540" s="80"/>
      <c r="AF540" s="82"/>
      <c r="AG540" s="80"/>
      <c r="AH540" s="80"/>
      <c r="AI540" s="82"/>
      <c r="AJ540" s="79"/>
      <c r="AK540" s="78" t="n">
        <f aca="false">IF(E540="","",(X540&lt;&gt;"")+(AC540&lt;&gt;"")+(AH540&lt;&gt;""))</f>
        <v>0</v>
      </c>
      <c r="AL540" s="81" t="str">
        <f aca="false">IF(AH540&lt;&gt;"",AH540,IF(AC540&lt;&gt;"",AC540,IF(X540&lt;&gt;"",X540,"")))</f>
        <v/>
      </c>
      <c r="AM540" s="83" t="str">
        <f aca="false">IF(E540="","",IF(R540="","À SOUDER",IF(U540="","VT EN ATTENTE",IF(U540="R","VT REJETÉ – À REPRENDRE",IF(AL540="","À RADIOGRAPHIER",IF(AL540="A","ACCEPTÉ",IF(AL540="NX","NX – RT À REFAIRE",IF(IF(AK540=1,Z540,IF(AK540=2,AE540,""))="A","RÉPARÉ – À RADIOGRAPHIER",IF(IF(AK540=1,Z540,IF(AK540=2,AE540,""))="R","VT REJETÉ – À REPRENDRE",IF(OR(AL540="CO",AL540="NT"),"COUPE – À RESOUDER","À RÉPARER"))))))))))</f>
        <v>À SOUDER</v>
      </c>
      <c r="AN540" s="81" t="str">
        <f aca="false">IF(AND(ISNUMBER(R540),OR(AM540="À RADIOGRAPHIER",AM540="RÉPARÉ – À RADIOGRAPHIER",AM540="NX – RT À REFAIRE",AM540="À RÉPARER",AM540="COUPE – À RESOUDER",AM540="VT REJETÉ – À REPRENDRE")),MAX(0,'PROGRAMME RT'!$C$4-R540),"")</f>
        <v/>
      </c>
      <c r="AO540" s="78" t="n">
        <f aca="false">IF(AND(OR(AM540="À RADIOGRAPHIER",AM540="RÉPARÉ – À RADIOGRAPHIER",AM540="NX – RT À REFAIRE"),OR('PROGRAMME RT'!$D$5="TOUTES",B540='PROGRAMME RT'!$D$5)),1,0)</f>
        <v>0</v>
      </c>
      <c r="AP540" s="78" t="str">
        <f aca="false">IF(AO540=1,SUM(AO$7:AO540),"")</f>
        <v/>
      </c>
      <c r="AQ540" s="78" t="n">
        <f aca="false">IF(AND(OR(X540="R",X540="NX",X540="NT",X540="CO"),OR('JOINTS DE RÉPARATION'!$D$5="TOUTES",B540='JOINTS DE RÉPARATION'!$D$5),OR('JOINTS DE RÉPARATION'!$L$4="TOUS",AM540&lt;&gt;"ACCEPTÉ")),1,0)</f>
        <v>0</v>
      </c>
      <c r="AR540" s="78" t="str">
        <f aca="false">IF(AQ540=1,SUM(AQ$7:AQ540),"")</f>
        <v/>
      </c>
    </row>
    <row r="541" customFormat="false" ht="15" hidden="false" customHeight="false" outlineLevel="0" collapsed="false">
      <c r="A541" s="78" t="n">
        <f aca="false">IF(E541="","",ROW()-6)</f>
        <v>535</v>
      </c>
      <c r="B541" s="79" t="s">
        <v>585</v>
      </c>
      <c r="C541" s="80"/>
      <c r="D541" s="80"/>
      <c r="E541" s="80" t="s">
        <v>412</v>
      </c>
      <c r="F541" s="80"/>
      <c r="G541" s="80" t="s">
        <v>106</v>
      </c>
      <c r="H541" s="80"/>
      <c r="I541" s="80"/>
      <c r="J541" s="80"/>
      <c r="K541" s="80"/>
      <c r="L541" s="81" t="str">
        <f aca="false">IF(K541="","",IFERROR(INDEX(BARDAGE!$C$7:$C$1506,MATCH(K541,BARDAGE!$B$7:$B$1506,0)),"? hors registre"))</f>
        <v/>
      </c>
      <c r="M541" s="80"/>
      <c r="N541" s="81" t="str">
        <f aca="false">IF(M541="","",IFERROR(INDEX(BARDAGE!$C$7:$C$1506,MATCH(M541,BARDAGE!$B$7:$B$1506,0)),"? hors registre"))</f>
        <v/>
      </c>
      <c r="O541" s="80"/>
      <c r="P541" s="80"/>
      <c r="Q541" s="80"/>
      <c r="R541" s="82"/>
      <c r="S541" s="82"/>
      <c r="T541" s="80"/>
      <c r="U541" s="80"/>
      <c r="V541" s="82"/>
      <c r="W541" s="80"/>
      <c r="X541" s="80"/>
      <c r="Y541" s="80"/>
      <c r="Z541" s="80"/>
      <c r="AA541" s="82"/>
      <c r="AB541" s="80"/>
      <c r="AC541" s="80"/>
      <c r="AD541" s="80"/>
      <c r="AE541" s="80"/>
      <c r="AF541" s="82"/>
      <c r="AG541" s="80"/>
      <c r="AH541" s="80"/>
      <c r="AI541" s="82"/>
      <c r="AJ541" s="79"/>
      <c r="AK541" s="78" t="n">
        <f aca="false">IF(E541="","",(X541&lt;&gt;"")+(AC541&lt;&gt;"")+(AH541&lt;&gt;""))</f>
        <v>0</v>
      </c>
      <c r="AL541" s="81" t="str">
        <f aca="false">IF(AH541&lt;&gt;"",AH541,IF(AC541&lt;&gt;"",AC541,IF(X541&lt;&gt;"",X541,"")))</f>
        <v/>
      </c>
      <c r="AM541" s="83" t="str">
        <f aca="false">IF(E541="","",IF(R541="","À SOUDER",IF(U541="","VT EN ATTENTE",IF(U541="R","VT REJETÉ – À REPRENDRE",IF(AL541="","À RADIOGRAPHIER",IF(AL541="A","ACCEPTÉ",IF(AL541="NX","NX – RT À REFAIRE",IF(IF(AK541=1,Z541,IF(AK541=2,AE541,""))="A","RÉPARÉ – À RADIOGRAPHIER",IF(IF(AK541=1,Z541,IF(AK541=2,AE541,""))="R","VT REJETÉ – À REPRENDRE",IF(OR(AL541="CO",AL541="NT"),"COUPE – À RESOUDER","À RÉPARER"))))))))))</f>
        <v>À SOUDER</v>
      </c>
      <c r="AN541" s="81" t="str">
        <f aca="false">IF(AND(ISNUMBER(R541),OR(AM541="À RADIOGRAPHIER",AM541="RÉPARÉ – À RADIOGRAPHIER",AM541="NX – RT À REFAIRE",AM541="À RÉPARER",AM541="COUPE – À RESOUDER",AM541="VT REJETÉ – À REPRENDRE")),MAX(0,'PROGRAMME RT'!$C$4-R541),"")</f>
        <v/>
      </c>
      <c r="AO541" s="78" t="n">
        <f aca="false">IF(AND(OR(AM541="À RADIOGRAPHIER",AM541="RÉPARÉ – À RADIOGRAPHIER",AM541="NX – RT À REFAIRE"),OR('PROGRAMME RT'!$D$5="TOUTES",B541='PROGRAMME RT'!$D$5)),1,0)</f>
        <v>0</v>
      </c>
      <c r="AP541" s="78" t="str">
        <f aca="false">IF(AO541=1,SUM(AO$7:AO541),"")</f>
        <v/>
      </c>
      <c r="AQ541" s="78" t="n">
        <f aca="false">IF(AND(OR(X541="R",X541="NX",X541="NT",X541="CO"),OR('JOINTS DE RÉPARATION'!$D$5="TOUTES",B541='JOINTS DE RÉPARATION'!$D$5),OR('JOINTS DE RÉPARATION'!$L$4="TOUS",AM541&lt;&gt;"ACCEPTÉ")),1,0)</f>
        <v>0</v>
      </c>
      <c r="AR541" s="78" t="str">
        <f aca="false">IF(AQ541=1,SUM(AQ$7:AQ541),"")</f>
        <v/>
      </c>
    </row>
    <row r="542" customFormat="false" ht="15" hidden="false" customHeight="false" outlineLevel="0" collapsed="false">
      <c r="A542" s="78" t="n">
        <f aca="false">IF(E542="","",ROW()-6)</f>
        <v>536</v>
      </c>
      <c r="B542" s="79" t="s">
        <v>585</v>
      </c>
      <c r="C542" s="80"/>
      <c r="D542" s="80"/>
      <c r="E542" s="80" t="s">
        <v>414</v>
      </c>
      <c r="F542" s="80"/>
      <c r="G542" s="80" t="s">
        <v>106</v>
      </c>
      <c r="H542" s="80"/>
      <c r="I542" s="80"/>
      <c r="J542" s="80"/>
      <c r="K542" s="80"/>
      <c r="L542" s="81" t="str">
        <f aca="false">IF(K542="","",IFERROR(INDEX(BARDAGE!$C$7:$C$1506,MATCH(K542,BARDAGE!$B$7:$B$1506,0)),"? hors registre"))</f>
        <v/>
      </c>
      <c r="M542" s="80"/>
      <c r="N542" s="81" t="str">
        <f aca="false">IF(M542="","",IFERROR(INDEX(BARDAGE!$C$7:$C$1506,MATCH(M542,BARDAGE!$B$7:$B$1506,0)),"? hors registre"))</f>
        <v/>
      </c>
      <c r="O542" s="80"/>
      <c r="P542" s="80"/>
      <c r="Q542" s="80"/>
      <c r="R542" s="82"/>
      <c r="S542" s="82"/>
      <c r="T542" s="80"/>
      <c r="U542" s="80"/>
      <c r="V542" s="82"/>
      <c r="W542" s="80"/>
      <c r="X542" s="80"/>
      <c r="Y542" s="80"/>
      <c r="Z542" s="80"/>
      <c r="AA542" s="82"/>
      <c r="AB542" s="80"/>
      <c r="AC542" s="80"/>
      <c r="AD542" s="80"/>
      <c r="AE542" s="80"/>
      <c r="AF542" s="82"/>
      <c r="AG542" s="80"/>
      <c r="AH542" s="80"/>
      <c r="AI542" s="82"/>
      <c r="AJ542" s="79"/>
      <c r="AK542" s="78" t="n">
        <f aca="false">IF(E542="","",(X542&lt;&gt;"")+(AC542&lt;&gt;"")+(AH542&lt;&gt;""))</f>
        <v>0</v>
      </c>
      <c r="AL542" s="81" t="str">
        <f aca="false">IF(AH542&lt;&gt;"",AH542,IF(AC542&lt;&gt;"",AC542,IF(X542&lt;&gt;"",X542,"")))</f>
        <v/>
      </c>
      <c r="AM542" s="83" t="str">
        <f aca="false">IF(E542="","",IF(R542="","À SOUDER",IF(U542="","VT EN ATTENTE",IF(U542="R","VT REJETÉ – À REPRENDRE",IF(AL542="","À RADIOGRAPHIER",IF(AL542="A","ACCEPTÉ",IF(AL542="NX","NX – RT À REFAIRE",IF(IF(AK542=1,Z542,IF(AK542=2,AE542,""))="A","RÉPARÉ – À RADIOGRAPHIER",IF(IF(AK542=1,Z542,IF(AK542=2,AE542,""))="R","VT REJETÉ – À REPRENDRE",IF(OR(AL542="CO",AL542="NT"),"COUPE – À RESOUDER","À RÉPARER"))))))))))</f>
        <v>À SOUDER</v>
      </c>
      <c r="AN542" s="81" t="str">
        <f aca="false">IF(AND(ISNUMBER(R542),OR(AM542="À RADIOGRAPHIER",AM542="RÉPARÉ – À RADIOGRAPHIER",AM542="NX – RT À REFAIRE",AM542="À RÉPARER",AM542="COUPE – À RESOUDER",AM542="VT REJETÉ – À REPRENDRE")),MAX(0,'PROGRAMME RT'!$C$4-R542),"")</f>
        <v/>
      </c>
      <c r="AO542" s="78" t="n">
        <f aca="false">IF(AND(OR(AM542="À RADIOGRAPHIER",AM542="RÉPARÉ – À RADIOGRAPHIER",AM542="NX – RT À REFAIRE"),OR('PROGRAMME RT'!$D$5="TOUTES",B542='PROGRAMME RT'!$D$5)),1,0)</f>
        <v>0</v>
      </c>
      <c r="AP542" s="78" t="str">
        <f aca="false">IF(AO542=1,SUM(AO$7:AO542),"")</f>
        <v/>
      </c>
      <c r="AQ542" s="78" t="n">
        <f aca="false">IF(AND(OR(X542="R",X542="NX",X542="NT",X542="CO"),OR('JOINTS DE RÉPARATION'!$D$5="TOUTES",B542='JOINTS DE RÉPARATION'!$D$5),OR('JOINTS DE RÉPARATION'!$L$4="TOUS",AM542&lt;&gt;"ACCEPTÉ")),1,0)</f>
        <v>0</v>
      </c>
      <c r="AR542" s="78" t="str">
        <f aca="false">IF(AQ542=1,SUM(AQ$7:AQ542),"")</f>
        <v/>
      </c>
    </row>
    <row r="543" customFormat="false" ht="15" hidden="false" customHeight="false" outlineLevel="0" collapsed="false">
      <c r="A543" s="78" t="n">
        <f aca="false">IF(E543="","",ROW()-6)</f>
        <v>537</v>
      </c>
      <c r="B543" s="79" t="s">
        <v>585</v>
      </c>
      <c r="C543" s="80"/>
      <c r="D543" s="80"/>
      <c r="E543" s="80" t="s">
        <v>416</v>
      </c>
      <c r="F543" s="80"/>
      <c r="G543" s="80" t="s">
        <v>106</v>
      </c>
      <c r="H543" s="80"/>
      <c r="I543" s="80"/>
      <c r="J543" s="80"/>
      <c r="K543" s="80"/>
      <c r="L543" s="81" t="str">
        <f aca="false">IF(K543="","",IFERROR(INDEX(BARDAGE!$C$7:$C$1506,MATCH(K543,BARDAGE!$B$7:$B$1506,0)),"? hors registre"))</f>
        <v/>
      </c>
      <c r="M543" s="80"/>
      <c r="N543" s="81" t="str">
        <f aca="false">IF(M543="","",IFERROR(INDEX(BARDAGE!$C$7:$C$1506,MATCH(M543,BARDAGE!$B$7:$B$1506,0)),"? hors registre"))</f>
        <v/>
      </c>
      <c r="O543" s="80"/>
      <c r="P543" s="80"/>
      <c r="Q543" s="80"/>
      <c r="R543" s="82"/>
      <c r="S543" s="82"/>
      <c r="T543" s="80"/>
      <c r="U543" s="80"/>
      <c r="V543" s="82"/>
      <c r="W543" s="80"/>
      <c r="X543" s="80"/>
      <c r="Y543" s="80"/>
      <c r="Z543" s="80"/>
      <c r="AA543" s="82"/>
      <c r="AB543" s="80"/>
      <c r="AC543" s="80"/>
      <c r="AD543" s="80"/>
      <c r="AE543" s="80"/>
      <c r="AF543" s="82"/>
      <c r="AG543" s="80"/>
      <c r="AH543" s="80"/>
      <c r="AI543" s="82"/>
      <c r="AJ543" s="79"/>
      <c r="AK543" s="78" t="n">
        <f aca="false">IF(E543="","",(X543&lt;&gt;"")+(AC543&lt;&gt;"")+(AH543&lt;&gt;""))</f>
        <v>0</v>
      </c>
      <c r="AL543" s="81" t="str">
        <f aca="false">IF(AH543&lt;&gt;"",AH543,IF(AC543&lt;&gt;"",AC543,IF(X543&lt;&gt;"",X543,"")))</f>
        <v/>
      </c>
      <c r="AM543" s="83" t="str">
        <f aca="false">IF(E543="","",IF(R543="","À SOUDER",IF(U543="","VT EN ATTENTE",IF(U543="R","VT REJETÉ – À REPRENDRE",IF(AL543="","À RADIOGRAPHIER",IF(AL543="A","ACCEPTÉ",IF(AL543="NX","NX – RT À REFAIRE",IF(IF(AK543=1,Z543,IF(AK543=2,AE543,""))="A","RÉPARÉ – À RADIOGRAPHIER",IF(IF(AK543=1,Z543,IF(AK543=2,AE543,""))="R","VT REJETÉ – À REPRENDRE",IF(OR(AL543="CO",AL543="NT"),"COUPE – À RESOUDER","À RÉPARER"))))))))))</f>
        <v>À SOUDER</v>
      </c>
      <c r="AN543" s="81" t="str">
        <f aca="false">IF(AND(ISNUMBER(R543),OR(AM543="À RADIOGRAPHIER",AM543="RÉPARÉ – À RADIOGRAPHIER",AM543="NX – RT À REFAIRE",AM543="À RÉPARER",AM543="COUPE – À RESOUDER",AM543="VT REJETÉ – À REPRENDRE")),MAX(0,'PROGRAMME RT'!$C$4-R543),"")</f>
        <v/>
      </c>
      <c r="AO543" s="78" t="n">
        <f aca="false">IF(AND(OR(AM543="À RADIOGRAPHIER",AM543="RÉPARÉ – À RADIOGRAPHIER",AM543="NX – RT À REFAIRE"),OR('PROGRAMME RT'!$D$5="TOUTES",B543='PROGRAMME RT'!$D$5)),1,0)</f>
        <v>0</v>
      </c>
      <c r="AP543" s="78" t="str">
        <f aca="false">IF(AO543=1,SUM(AO$7:AO543),"")</f>
        <v/>
      </c>
      <c r="AQ543" s="78" t="n">
        <f aca="false">IF(AND(OR(X543="R",X543="NX",X543="NT",X543="CO"),OR('JOINTS DE RÉPARATION'!$D$5="TOUTES",B543='JOINTS DE RÉPARATION'!$D$5),OR('JOINTS DE RÉPARATION'!$L$4="TOUS",AM543&lt;&gt;"ACCEPTÉ")),1,0)</f>
        <v>0</v>
      </c>
      <c r="AR543" s="78" t="str">
        <f aca="false">IF(AQ543=1,SUM(AQ$7:AQ543),"")</f>
        <v/>
      </c>
    </row>
    <row r="544" customFormat="false" ht="15" hidden="false" customHeight="false" outlineLevel="0" collapsed="false">
      <c r="A544" s="78" t="n">
        <f aca="false">IF(E544="","",ROW()-6)</f>
        <v>538</v>
      </c>
      <c r="B544" s="79" t="s">
        <v>585</v>
      </c>
      <c r="C544" s="80"/>
      <c r="D544" s="80"/>
      <c r="E544" s="80" t="s">
        <v>418</v>
      </c>
      <c r="F544" s="80"/>
      <c r="G544" s="80" t="s">
        <v>106</v>
      </c>
      <c r="H544" s="80"/>
      <c r="I544" s="80"/>
      <c r="J544" s="80"/>
      <c r="K544" s="80"/>
      <c r="L544" s="81" t="str">
        <f aca="false">IF(K544="","",IFERROR(INDEX(BARDAGE!$C$7:$C$1506,MATCH(K544,BARDAGE!$B$7:$B$1506,0)),"? hors registre"))</f>
        <v/>
      </c>
      <c r="M544" s="80"/>
      <c r="N544" s="81" t="str">
        <f aca="false">IF(M544="","",IFERROR(INDEX(BARDAGE!$C$7:$C$1506,MATCH(M544,BARDAGE!$B$7:$B$1506,0)),"? hors registre"))</f>
        <v/>
      </c>
      <c r="O544" s="80"/>
      <c r="P544" s="80"/>
      <c r="Q544" s="80"/>
      <c r="R544" s="82"/>
      <c r="S544" s="82"/>
      <c r="T544" s="80"/>
      <c r="U544" s="80"/>
      <c r="V544" s="82"/>
      <c r="W544" s="80"/>
      <c r="X544" s="80"/>
      <c r="Y544" s="80"/>
      <c r="Z544" s="80"/>
      <c r="AA544" s="82"/>
      <c r="AB544" s="80"/>
      <c r="AC544" s="80"/>
      <c r="AD544" s="80"/>
      <c r="AE544" s="80"/>
      <c r="AF544" s="82"/>
      <c r="AG544" s="80"/>
      <c r="AH544" s="80"/>
      <c r="AI544" s="82"/>
      <c r="AJ544" s="79"/>
      <c r="AK544" s="78" t="n">
        <f aca="false">IF(E544="","",(X544&lt;&gt;"")+(AC544&lt;&gt;"")+(AH544&lt;&gt;""))</f>
        <v>0</v>
      </c>
      <c r="AL544" s="81" t="str">
        <f aca="false">IF(AH544&lt;&gt;"",AH544,IF(AC544&lt;&gt;"",AC544,IF(X544&lt;&gt;"",X544,"")))</f>
        <v/>
      </c>
      <c r="AM544" s="83" t="str">
        <f aca="false">IF(E544="","",IF(R544="","À SOUDER",IF(U544="","VT EN ATTENTE",IF(U544="R","VT REJETÉ – À REPRENDRE",IF(AL544="","À RADIOGRAPHIER",IF(AL544="A","ACCEPTÉ",IF(AL544="NX","NX – RT À REFAIRE",IF(IF(AK544=1,Z544,IF(AK544=2,AE544,""))="A","RÉPARÉ – À RADIOGRAPHIER",IF(IF(AK544=1,Z544,IF(AK544=2,AE544,""))="R","VT REJETÉ – À REPRENDRE",IF(OR(AL544="CO",AL544="NT"),"COUPE – À RESOUDER","À RÉPARER"))))))))))</f>
        <v>À SOUDER</v>
      </c>
      <c r="AN544" s="81" t="str">
        <f aca="false">IF(AND(ISNUMBER(R544),OR(AM544="À RADIOGRAPHIER",AM544="RÉPARÉ – À RADIOGRAPHIER",AM544="NX – RT À REFAIRE",AM544="À RÉPARER",AM544="COUPE – À RESOUDER",AM544="VT REJETÉ – À REPRENDRE")),MAX(0,'PROGRAMME RT'!$C$4-R544),"")</f>
        <v/>
      </c>
      <c r="AO544" s="78" t="n">
        <f aca="false">IF(AND(OR(AM544="À RADIOGRAPHIER",AM544="RÉPARÉ – À RADIOGRAPHIER",AM544="NX – RT À REFAIRE"),OR('PROGRAMME RT'!$D$5="TOUTES",B544='PROGRAMME RT'!$D$5)),1,0)</f>
        <v>0</v>
      </c>
      <c r="AP544" s="78" t="str">
        <f aca="false">IF(AO544=1,SUM(AO$7:AO544),"")</f>
        <v/>
      </c>
      <c r="AQ544" s="78" t="n">
        <f aca="false">IF(AND(OR(X544="R",X544="NX",X544="NT",X544="CO"),OR('JOINTS DE RÉPARATION'!$D$5="TOUTES",B544='JOINTS DE RÉPARATION'!$D$5),OR('JOINTS DE RÉPARATION'!$L$4="TOUS",AM544&lt;&gt;"ACCEPTÉ")),1,0)</f>
        <v>0</v>
      </c>
      <c r="AR544" s="78" t="str">
        <f aca="false">IF(AQ544=1,SUM(AQ$7:AQ544),"")</f>
        <v/>
      </c>
    </row>
    <row r="545" customFormat="false" ht="15" hidden="false" customHeight="false" outlineLevel="0" collapsed="false">
      <c r="A545" s="78" t="n">
        <f aca="false">IF(E545="","",ROW()-6)</f>
        <v>539</v>
      </c>
      <c r="B545" s="79" t="s">
        <v>585</v>
      </c>
      <c r="C545" s="80"/>
      <c r="D545" s="80"/>
      <c r="E545" s="80" t="s">
        <v>421</v>
      </c>
      <c r="F545" s="80"/>
      <c r="G545" s="80" t="s">
        <v>106</v>
      </c>
      <c r="H545" s="80"/>
      <c r="I545" s="80"/>
      <c r="J545" s="80"/>
      <c r="K545" s="80"/>
      <c r="L545" s="81" t="str">
        <f aca="false">IF(K545="","",IFERROR(INDEX(BARDAGE!$C$7:$C$1506,MATCH(K545,BARDAGE!$B$7:$B$1506,0)),"? hors registre"))</f>
        <v/>
      </c>
      <c r="M545" s="80"/>
      <c r="N545" s="81" t="str">
        <f aca="false">IF(M545="","",IFERROR(INDEX(BARDAGE!$C$7:$C$1506,MATCH(M545,BARDAGE!$B$7:$B$1506,0)),"? hors registre"))</f>
        <v/>
      </c>
      <c r="O545" s="80"/>
      <c r="P545" s="80"/>
      <c r="Q545" s="80"/>
      <c r="R545" s="82"/>
      <c r="S545" s="82"/>
      <c r="T545" s="80"/>
      <c r="U545" s="80"/>
      <c r="V545" s="82"/>
      <c r="W545" s="80"/>
      <c r="X545" s="80"/>
      <c r="Y545" s="80"/>
      <c r="Z545" s="80"/>
      <c r="AA545" s="82"/>
      <c r="AB545" s="80"/>
      <c r="AC545" s="80"/>
      <c r="AD545" s="80"/>
      <c r="AE545" s="80"/>
      <c r="AF545" s="82"/>
      <c r="AG545" s="80"/>
      <c r="AH545" s="80"/>
      <c r="AI545" s="82"/>
      <c r="AJ545" s="79"/>
      <c r="AK545" s="78" t="n">
        <f aca="false">IF(E545="","",(X545&lt;&gt;"")+(AC545&lt;&gt;"")+(AH545&lt;&gt;""))</f>
        <v>0</v>
      </c>
      <c r="AL545" s="81" t="str">
        <f aca="false">IF(AH545&lt;&gt;"",AH545,IF(AC545&lt;&gt;"",AC545,IF(X545&lt;&gt;"",X545,"")))</f>
        <v/>
      </c>
      <c r="AM545" s="83" t="str">
        <f aca="false">IF(E545="","",IF(R545="","À SOUDER",IF(U545="","VT EN ATTENTE",IF(U545="R","VT REJETÉ – À REPRENDRE",IF(AL545="","À RADIOGRAPHIER",IF(AL545="A","ACCEPTÉ",IF(AL545="NX","NX – RT À REFAIRE",IF(IF(AK545=1,Z545,IF(AK545=2,AE545,""))="A","RÉPARÉ – À RADIOGRAPHIER",IF(IF(AK545=1,Z545,IF(AK545=2,AE545,""))="R","VT REJETÉ – À REPRENDRE",IF(OR(AL545="CO",AL545="NT"),"COUPE – À RESOUDER","À RÉPARER"))))))))))</f>
        <v>À SOUDER</v>
      </c>
      <c r="AN545" s="81" t="str">
        <f aca="false">IF(AND(ISNUMBER(R545),OR(AM545="À RADIOGRAPHIER",AM545="RÉPARÉ – À RADIOGRAPHIER",AM545="NX – RT À REFAIRE",AM545="À RÉPARER",AM545="COUPE – À RESOUDER",AM545="VT REJETÉ – À REPRENDRE")),MAX(0,'PROGRAMME RT'!$C$4-R545),"")</f>
        <v/>
      </c>
      <c r="AO545" s="78" t="n">
        <f aca="false">IF(AND(OR(AM545="À RADIOGRAPHIER",AM545="RÉPARÉ – À RADIOGRAPHIER",AM545="NX – RT À REFAIRE"),OR('PROGRAMME RT'!$D$5="TOUTES",B545='PROGRAMME RT'!$D$5)),1,0)</f>
        <v>0</v>
      </c>
      <c r="AP545" s="78" t="str">
        <f aca="false">IF(AO545=1,SUM(AO$7:AO545),"")</f>
        <v/>
      </c>
      <c r="AQ545" s="78" t="n">
        <f aca="false">IF(AND(OR(X545="R",X545="NX",X545="NT",X545="CO"),OR('JOINTS DE RÉPARATION'!$D$5="TOUTES",B545='JOINTS DE RÉPARATION'!$D$5),OR('JOINTS DE RÉPARATION'!$L$4="TOUS",AM545&lt;&gt;"ACCEPTÉ")),1,0)</f>
        <v>0</v>
      </c>
      <c r="AR545" s="78" t="str">
        <f aca="false">IF(AQ545=1,SUM(AQ$7:AQ545),"")</f>
        <v/>
      </c>
    </row>
    <row r="546" customFormat="false" ht="15" hidden="false" customHeight="false" outlineLevel="0" collapsed="false">
      <c r="A546" s="78" t="n">
        <f aca="false">IF(E546="","",ROW()-6)</f>
        <v>540</v>
      </c>
      <c r="B546" s="79" t="s">
        <v>585</v>
      </c>
      <c r="C546" s="80"/>
      <c r="D546" s="80"/>
      <c r="E546" s="80" t="s">
        <v>423</v>
      </c>
      <c r="F546" s="80"/>
      <c r="G546" s="80" t="s">
        <v>106</v>
      </c>
      <c r="H546" s="80"/>
      <c r="I546" s="80"/>
      <c r="J546" s="80"/>
      <c r="K546" s="80"/>
      <c r="L546" s="81" t="str">
        <f aca="false">IF(K546="","",IFERROR(INDEX(BARDAGE!$C$7:$C$1506,MATCH(K546,BARDAGE!$B$7:$B$1506,0)),"? hors registre"))</f>
        <v/>
      </c>
      <c r="M546" s="80"/>
      <c r="N546" s="81" t="str">
        <f aca="false">IF(M546="","",IFERROR(INDEX(BARDAGE!$C$7:$C$1506,MATCH(M546,BARDAGE!$B$7:$B$1506,0)),"? hors registre"))</f>
        <v/>
      </c>
      <c r="O546" s="80"/>
      <c r="P546" s="80"/>
      <c r="Q546" s="80"/>
      <c r="R546" s="82"/>
      <c r="S546" s="82"/>
      <c r="T546" s="80"/>
      <c r="U546" s="80"/>
      <c r="V546" s="82"/>
      <c r="W546" s="80"/>
      <c r="X546" s="80"/>
      <c r="Y546" s="80"/>
      <c r="Z546" s="80"/>
      <c r="AA546" s="82"/>
      <c r="AB546" s="80"/>
      <c r="AC546" s="80"/>
      <c r="AD546" s="80"/>
      <c r="AE546" s="80"/>
      <c r="AF546" s="82"/>
      <c r="AG546" s="80"/>
      <c r="AH546" s="80"/>
      <c r="AI546" s="82"/>
      <c r="AJ546" s="79"/>
      <c r="AK546" s="78" t="n">
        <f aca="false">IF(E546="","",(X546&lt;&gt;"")+(AC546&lt;&gt;"")+(AH546&lt;&gt;""))</f>
        <v>0</v>
      </c>
      <c r="AL546" s="81" t="str">
        <f aca="false">IF(AH546&lt;&gt;"",AH546,IF(AC546&lt;&gt;"",AC546,IF(X546&lt;&gt;"",X546,"")))</f>
        <v/>
      </c>
      <c r="AM546" s="83" t="str">
        <f aca="false">IF(E546="","",IF(R546="","À SOUDER",IF(U546="","VT EN ATTENTE",IF(U546="R","VT REJETÉ – À REPRENDRE",IF(AL546="","À RADIOGRAPHIER",IF(AL546="A","ACCEPTÉ",IF(AL546="NX","NX – RT À REFAIRE",IF(IF(AK546=1,Z546,IF(AK546=2,AE546,""))="A","RÉPARÉ – À RADIOGRAPHIER",IF(IF(AK546=1,Z546,IF(AK546=2,AE546,""))="R","VT REJETÉ – À REPRENDRE",IF(OR(AL546="CO",AL546="NT"),"COUPE – À RESOUDER","À RÉPARER"))))))))))</f>
        <v>À SOUDER</v>
      </c>
      <c r="AN546" s="81" t="str">
        <f aca="false">IF(AND(ISNUMBER(R546),OR(AM546="À RADIOGRAPHIER",AM546="RÉPARÉ – À RADIOGRAPHIER",AM546="NX – RT À REFAIRE",AM546="À RÉPARER",AM546="COUPE – À RESOUDER",AM546="VT REJETÉ – À REPRENDRE")),MAX(0,'PROGRAMME RT'!$C$4-R546),"")</f>
        <v/>
      </c>
      <c r="AO546" s="78" t="n">
        <f aca="false">IF(AND(OR(AM546="À RADIOGRAPHIER",AM546="RÉPARÉ – À RADIOGRAPHIER",AM546="NX – RT À REFAIRE"),OR('PROGRAMME RT'!$D$5="TOUTES",B546='PROGRAMME RT'!$D$5)),1,0)</f>
        <v>0</v>
      </c>
      <c r="AP546" s="78" t="str">
        <f aca="false">IF(AO546=1,SUM(AO$7:AO546),"")</f>
        <v/>
      </c>
      <c r="AQ546" s="78" t="n">
        <f aca="false">IF(AND(OR(X546="R",X546="NX",X546="NT",X546="CO"),OR('JOINTS DE RÉPARATION'!$D$5="TOUTES",B546='JOINTS DE RÉPARATION'!$D$5),OR('JOINTS DE RÉPARATION'!$L$4="TOUS",AM546&lt;&gt;"ACCEPTÉ")),1,0)</f>
        <v>0</v>
      </c>
      <c r="AR546" s="78" t="str">
        <f aca="false">IF(AQ546=1,SUM(AQ$7:AQ546),"")</f>
        <v/>
      </c>
    </row>
    <row r="547" customFormat="false" ht="15" hidden="false" customHeight="false" outlineLevel="0" collapsed="false">
      <c r="A547" s="78" t="n">
        <f aca="false">IF(E547="","",ROW()-6)</f>
        <v>541</v>
      </c>
      <c r="B547" s="79" t="s">
        <v>585</v>
      </c>
      <c r="C547" s="80"/>
      <c r="D547" s="80"/>
      <c r="E547" s="80" t="s">
        <v>582</v>
      </c>
      <c r="F547" s="80"/>
      <c r="G547" s="80" t="s">
        <v>106</v>
      </c>
      <c r="H547" s="80"/>
      <c r="I547" s="80"/>
      <c r="J547" s="80"/>
      <c r="K547" s="80"/>
      <c r="L547" s="81" t="str">
        <f aca="false">IF(K547="","",IFERROR(INDEX(BARDAGE!$C$7:$C$1506,MATCH(K547,BARDAGE!$B$7:$B$1506,0)),"? hors registre"))</f>
        <v/>
      </c>
      <c r="M547" s="80"/>
      <c r="N547" s="81" t="str">
        <f aca="false">IF(M547="","",IFERROR(INDEX(BARDAGE!$C$7:$C$1506,MATCH(M547,BARDAGE!$B$7:$B$1506,0)),"? hors registre"))</f>
        <v/>
      </c>
      <c r="O547" s="80"/>
      <c r="P547" s="80"/>
      <c r="Q547" s="80"/>
      <c r="R547" s="82"/>
      <c r="S547" s="82"/>
      <c r="T547" s="80"/>
      <c r="U547" s="80"/>
      <c r="V547" s="82"/>
      <c r="W547" s="80"/>
      <c r="X547" s="80"/>
      <c r="Y547" s="80"/>
      <c r="Z547" s="80"/>
      <c r="AA547" s="82"/>
      <c r="AB547" s="80"/>
      <c r="AC547" s="80"/>
      <c r="AD547" s="80"/>
      <c r="AE547" s="80"/>
      <c r="AF547" s="82"/>
      <c r="AG547" s="80"/>
      <c r="AH547" s="80"/>
      <c r="AI547" s="82"/>
      <c r="AJ547" s="79"/>
      <c r="AK547" s="78" t="n">
        <f aca="false">IF(E547="","",(X547&lt;&gt;"")+(AC547&lt;&gt;"")+(AH547&lt;&gt;""))</f>
        <v>0</v>
      </c>
      <c r="AL547" s="81" t="str">
        <f aca="false">IF(AH547&lt;&gt;"",AH547,IF(AC547&lt;&gt;"",AC547,IF(X547&lt;&gt;"",X547,"")))</f>
        <v/>
      </c>
      <c r="AM547" s="83" t="str">
        <f aca="false">IF(E547="","",IF(R547="","À SOUDER",IF(U547="","VT EN ATTENTE",IF(U547="R","VT REJETÉ – À REPRENDRE",IF(AL547="","À RADIOGRAPHIER",IF(AL547="A","ACCEPTÉ",IF(AL547="NX","NX – RT À REFAIRE",IF(IF(AK547=1,Z547,IF(AK547=2,AE547,""))="A","RÉPARÉ – À RADIOGRAPHIER",IF(IF(AK547=1,Z547,IF(AK547=2,AE547,""))="R","VT REJETÉ – À REPRENDRE",IF(OR(AL547="CO",AL547="NT"),"COUPE – À RESOUDER","À RÉPARER"))))))))))</f>
        <v>À SOUDER</v>
      </c>
      <c r="AN547" s="81" t="str">
        <f aca="false">IF(AND(ISNUMBER(R547),OR(AM547="À RADIOGRAPHIER",AM547="RÉPARÉ – À RADIOGRAPHIER",AM547="NX – RT À REFAIRE",AM547="À RÉPARER",AM547="COUPE – À RESOUDER",AM547="VT REJETÉ – À REPRENDRE")),MAX(0,'PROGRAMME RT'!$C$4-R547),"")</f>
        <v/>
      </c>
      <c r="AO547" s="78" t="n">
        <f aca="false">IF(AND(OR(AM547="À RADIOGRAPHIER",AM547="RÉPARÉ – À RADIOGRAPHIER",AM547="NX – RT À REFAIRE"),OR('PROGRAMME RT'!$D$5="TOUTES",B547='PROGRAMME RT'!$D$5)),1,0)</f>
        <v>0</v>
      </c>
      <c r="AP547" s="78" t="str">
        <f aca="false">IF(AO547=1,SUM(AO$7:AO547),"")</f>
        <v/>
      </c>
      <c r="AQ547" s="78" t="n">
        <f aca="false">IF(AND(OR(X547="R",X547="NX",X547="NT",X547="CO"),OR('JOINTS DE RÉPARATION'!$D$5="TOUTES",B547='JOINTS DE RÉPARATION'!$D$5),OR('JOINTS DE RÉPARATION'!$L$4="TOUS",AM547&lt;&gt;"ACCEPTÉ")),1,0)</f>
        <v>0</v>
      </c>
      <c r="AR547" s="78" t="str">
        <f aca="false">IF(AQ547=1,SUM(AQ$7:AQ547),"")</f>
        <v/>
      </c>
    </row>
    <row r="548" customFormat="false" ht="15" hidden="false" customHeight="false" outlineLevel="0" collapsed="false">
      <c r="A548" s="78" t="n">
        <f aca="false">IF(E548="","",ROW()-6)</f>
        <v>542</v>
      </c>
      <c r="B548" s="79" t="s">
        <v>585</v>
      </c>
      <c r="C548" s="80"/>
      <c r="D548" s="80"/>
      <c r="E548" s="80" t="s">
        <v>429</v>
      </c>
      <c r="F548" s="80"/>
      <c r="G548" s="80" t="s">
        <v>106</v>
      </c>
      <c r="H548" s="80"/>
      <c r="I548" s="80"/>
      <c r="J548" s="80"/>
      <c r="K548" s="80"/>
      <c r="L548" s="81" t="str">
        <f aca="false">IF(K548="","",IFERROR(INDEX(BARDAGE!$C$7:$C$1506,MATCH(K548,BARDAGE!$B$7:$B$1506,0)),"? hors registre"))</f>
        <v/>
      </c>
      <c r="M548" s="80"/>
      <c r="N548" s="81" t="str">
        <f aca="false">IF(M548="","",IFERROR(INDEX(BARDAGE!$C$7:$C$1506,MATCH(M548,BARDAGE!$B$7:$B$1506,0)),"? hors registre"))</f>
        <v/>
      </c>
      <c r="O548" s="80"/>
      <c r="P548" s="80"/>
      <c r="Q548" s="80"/>
      <c r="R548" s="82"/>
      <c r="S548" s="82"/>
      <c r="T548" s="80"/>
      <c r="U548" s="80"/>
      <c r="V548" s="82"/>
      <c r="W548" s="80"/>
      <c r="X548" s="80"/>
      <c r="Y548" s="80"/>
      <c r="Z548" s="80"/>
      <c r="AA548" s="82"/>
      <c r="AB548" s="80"/>
      <c r="AC548" s="80"/>
      <c r="AD548" s="80"/>
      <c r="AE548" s="80"/>
      <c r="AF548" s="82"/>
      <c r="AG548" s="80"/>
      <c r="AH548" s="80"/>
      <c r="AI548" s="82"/>
      <c r="AJ548" s="79"/>
      <c r="AK548" s="78" t="n">
        <f aca="false">IF(E548="","",(X548&lt;&gt;"")+(AC548&lt;&gt;"")+(AH548&lt;&gt;""))</f>
        <v>0</v>
      </c>
      <c r="AL548" s="81" t="str">
        <f aca="false">IF(AH548&lt;&gt;"",AH548,IF(AC548&lt;&gt;"",AC548,IF(X548&lt;&gt;"",X548,"")))</f>
        <v/>
      </c>
      <c r="AM548" s="83" t="str">
        <f aca="false">IF(E548="","",IF(R548="","À SOUDER",IF(U548="","VT EN ATTENTE",IF(U548="R","VT REJETÉ – À REPRENDRE",IF(AL548="","À RADIOGRAPHIER",IF(AL548="A","ACCEPTÉ",IF(AL548="NX","NX – RT À REFAIRE",IF(IF(AK548=1,Z548,IF(AK548=2,AE548,""))="A","RÉPARÉ – À RADIOGRAPHIER",IF(IF(AK548=1,Z548,IF(AK548=2,AE548,""))="R","VT REJETÉ – À REPRENDRE",IF(OR(AL548="CO",AL548="NT"),"COUPE – À RESOUDER","À RÉPARER"))))))))))</f>
        <v>À SOUDER</v>
      </c>
      <c r="AN548" s="81" t="str">
        <f aca="false">IF(AND(ISNUMBER(R548),OR(AM548="À RADIOGRAPHIER",AM548="RÉPARÉ – À RADIOGRAPHIER",AM548="NX – RT À REFAIRE",AM548="À RÉPARER",AM548="COUPE – À RESOUDER",AM548="VT REJETÉ – À REPRENDRE")),MAX(0,'PROGRAMME RT'!$C$4-R548),"")</f>
        <v/>
      </c>
      <c r="AO548" s="78" t="n">
        <f aca="false">IF(AND(OR(AM548="À RADIOGRAPHIER",AM548="RÉPARÉ – À RADIOGRAPHIER",AM548="NX – RT À REFAIRE"),OR('PROGRAMME RT'!$D$5="TOUTES",B548='PROGRAMME RT'!$D$5)),1,0)</f>
        <v>0</v>
      </c>
      <c r="AP548" s="78" t="str">
        <f aca="false">IF(AO548=1,SUM(AO$7:AO548),"")</f>
        <v/>
      </c>
      <c r="AQ548" s="78" t="n">
        <f aca="false">IF(AND(OR(X548="R",X548="NX",X548="NT",X548="CO"),OR('JOINTS DE RÉPARATION'!$D$5="TOUTES",B548='JOINTS DE RÉPARATION'!$D$5),OR('JOINTS DE RÉPARATION'!$L$4="TOUS",AM548&lt;&gt;"ACCEPTÉ")),1,0)</f>
        <v>0</v>
      </c>
      <c r="AR548" s="78" t="str">
        <f aca="false">IF(AQ548=1,SUM(AQ$7:AQ548),"")</f>
        <v/>
      </c>
    </row>
    <row r="549" customFormat="false" ht="15" hidden="false" customHeight="false" outlineLevel="0" collapsed="false">
      <c r="A549" s="78" t="n">
        <f aca="false">IF(E549="","",ROW()-6)</f>
        <v>543</v>
      </c>
      <c r="B549" s="79" t="s">
        <v>585</v>
      </c>
      <c r="C549" s="80"/>
      <c r="D549" s="80"/>
      <c r="E549" s="80" t="s">
        <v>433</v>
      </c>
      <c r="F549" s="80"/>
      <c r="G549" s="80" t="s">
        <v>106</v>
      </c>
      <c r="H549" s="80"/>
      <c r="I549" s="80"/>
      <c r="J549" s="80"/>
      <c r="K549" s="80"/>
      <c r="L549" s="81" t="str">
        <f aca="false">IF(K549="","",IFERROR(INDEX(BARDAGE!$C$7:$C$1506,MATCH(K549,BARDAGE!$B$7:$B$1506,0)),"? hors registre"))</f>
        <v/>
      </c>
      <c r="M549" s="80"/>
      <c r="N549" s="81" t="str">
        <f aca="false">IF(M549="","",IFERROR(INDEX(BARDAGE!$C$7:$C$1506,MATCH(M549,BARDAGE!$B$7:$B$1506,0)),"? hors registre"))</f>
        <v/>
      </c>
      <c r="O549" s="80"/>
      <c r="P549" s="80"/>
      <c r="Q549" s="80"/>
      <c r="R549" s="82"/>
      <c r="S549" s="82"/>
      <c r="T549" s="80"/>
      <c r="U549" s="80"/>
      <c r="V549" s="82"/>
      <c r="W549" s="80"/>
      <c r="X549" s="80"/>
      <c r="Y549" s="80"/>
      <c r="Z549" s="80"/>
      <c r="AA549" s="82"/>
      <c r="AB549" s="80"/>
      <c r="AC549" s="80"/>
      <c r="AD549" s="80"/>
      <c r="AE549" s="80"/>
      <c r="AF549" s="82"/>
      <c r="AG549" s="80"/>
      <c r="AH549" s="80"/>
      <c r="AI549" s="82"/>
      <c r="AJ549" s="79"/>
      <c r="AK549" s="78" t="n">
        <f aca="false">IF(E549="","",(X549&lt;&gt;"")+(AC549&lt;&gt;"")+(AH549&lt;&gt;""))</f>
        <v>0</v>
      </c>
      <c r="AL549" s="81" t="str">
        <f aca="false">IF(AH549&lt;&gt;"",AH549,IF(AC549&lt;&gt;"",AC549,IF(X549&lt;&gt;"",X549,"")))</f>
        <v/>
      </c>
      <c r="AM549" s="83" t="str">
        <f aca="false">IF(E549="","",IF(R549="","À SOUDER",IF(U549="","VT EN ATTENTE",IF(U549="R","VT REJETÉ – À REPRENDRE",IF(AL549="","À RADIOGRAPHIER",IF(AL549="A","ACCEPTÉ",IF(AL549="NX","NX – RT À REFAIRE",IF(IF(AK549=1,Z549,IF(AK549=2,AE549,""))="A","RÉPARÉ – À RADIOGRAPHIER",IF(IF(AK549=1,Z549,IF(AK549=2,AE549,""))="R","VT REJETÉ – À REPRENDRE",IF(OR(AL549="CO",AL549="NT"),"COUPE – À RESOUDER","À RÉPARER"))))))))))</f>
        <v>À SOUDER</v>
      </c>
      <c r="AN549" s="81" t="str">
        <f aca="false">IF(AND(ISNUMBER(R549),OR(AM549="À RADIOGRAPHIER",AM549="RÉPARÉ – À RADIOGRAPHIER",AM549="NX – RT À REFAIRE",AM549="À RÉPARER",AM549="COUPE – À RESOUDER",AM549="VT REJETÉ – À REPRENDRE")),MAX(0,'PROGRAMME RT'!$C$4-R549),"")</f>
        <v/>
      </c>
      <c r="AO549" s="78" t="n">
        <f aca="false">IF(AND(OR(AM549="À RADIOGRAPHIER",AM549="RÉPARÉ – À RADIOGRAPHIER",AM549="NX – RT À REFAIRE"),OR('PROGRAMME RT'!$D$5="TOUTES",B549='PROGRAMME RT'!$D$5)),1,0)</f>
        <v>0</v>
      </c>
      <c r="AP549" s="78" t="str">
        <f aca="false">IF(AO549=1,SUM(AO$7:AO549),"")</f>
        <v/>
      </c>
      <c r="AQ549" s="78" t="n">
        <f aca="false">IF(AND(OR(X549="R",X549="NX",X549="NT",X549="CO"),OR('JOINTS DE RÉPARATION'!$D$5="TOUTES",B549='JOINTS DE RÉPARATION'!$D$5),OR('JOINTS DE RÉPARATION'!$L$4="TOUS",AM549&lt;&gt;"ACCEPTÉ")),1,0)</f>
        <v>0</v>
      </c>
      <c r="AR549" s="78" t="str">
        <f aca="false">IF(AQ549=1,SUM(AQ$7:AQ549),"")</f>
        <v/>
      </c>
    </row>
    <row r="550" customFormat="false" ht="15" hidden="false" customHeight="false" outlineLevel="0" collapsed="false">
      <c r="A550" s="78" t="n">
        <f aca="false">IF(E550="","",ROW()-6)</f>
        <v>544</v>
      </c>
      <c r="B550" s="79" t="s">
        <v>585</v>
      </c>
      <c r="C550" s="80"/>
      <c r="D550" s="80"/>
      <c r="E550" s="80" t="s">
        <v>435</v>
      </c>
      <c r="F550" s="80"/>
      <c r="G550" s="80" t="s">
        <v>106</v>
      </c>
      <c r="H550" s="80"/>
      <c r="I550" s="80"/>
      <c r="J550" s="80"/>
      <c r="K550" s="80"/>
      <c r="L550" s="81" t="str">
        <f aca="false">IF(K550="","",IFERROR(INDEX(BARDAGE!$C$7:$C$1506,MATCH(K550,BARDAGE!$B$7:$B$1506,0)),"? hors registre"))</f>
        <v/>
      </c>
      <c r="M550" s="80"/>
      <c r="N550" s="81" t="str">
        <f aca="false">IF(M550="","",IFERROR(INDEX(BARDAGE!$C$7:$C$1506,MATCH(M550,BARDAGE!$B$7:$B$1506,0)),"? hors registre"))</f>
        <v/>
      </c>
      <c r="O550" s="80"/>
      <c r="P550" s="80"/>
      <c r="Q550" s="80"/>
      <c r="R550" s="82"/>
      <c r="S550" s="82"/>
      <c r="T550" s="80"/>
      <c r="U550" s="80"/>
      <c r="V550" s="82"/>
      <c r="W550" s="80"/>
      <c r="X550" s="80"/>
      <c r="Y550" s="80"/>
      <c r="Z550" s="80"/>
      <c r="AA550" s="82"/>
      <c r="AB550" s="80"/>
      <c r="AC550" s="80"/>
      <c r="AD550" s="80"/>
      <c r="AE550" s="80"/>
      <c r="AF550" s="82"/>
      <c r="AG550" s="80"/>
      <c r="AH550" s="80"/>
      <c r="AI550" s="82"/>
      <c r="AJ550" s="79"/>
      <c r="AK550" s="78" t="n">
        <f aca="false">IF(E550="","",(X550&lt;&gt;"")+(AC550&lt;&gt;"")+(AH550&lt;&gt;""))</f>
        <v>0</v>
      </c>
      <c r="AL550" s="81" t="str">
        <f aca="false">IF(AH550&lt;&gt;"",AH550,IF(AC550&lt;&gt;"",AC550,IF(X550&lt;&gt;"",X550,"")))</f>
        <v/>
      </c>
      <c r="AM550" s="83" t="str">
        <f aca="false">IF(E550="","",IF(R550="","À SOUDER",IF(U550="","VT EN ATTENTE",IF(U550="R","VT REJETÉ – À REPRENDRE",IF(AL550="","À RADIOGRAPHIER",IF(AL550="A","ACCEPTÉ",IF(AL550="NX","NX – RT À REFAIRE",IF(IF(AK550=1,Z550,IF(AK550=2,AE550,""))="A","RÉPARÉ – À RADIOGRAPHIER",IF(IF(AK550=1,Z550,IF(AK550=2,AE550,""))="R","VT REJETÉ – À REPRENDRE",IF(OR(AL550="CO",AL550="NT"),"COUPE – À RESOUDER","À RÉPARER"))))))))))</f>
        <v>À SOUDER</v>
      </c>
      <c r="AN550" s="81" t="str">
        <f aca="false">IF(AND(ISNUMBER(R550),OR(AM550="À RADIOGRAPHIER",AM550="RÉPARÉ – À RADIOGRAPHIER",AM550="NX – RT À REFAIRE",AM550="À RÉPARER",AM550="COUPE – À RESOUDER",AM550="VT REJETÉ – À REPRENDRE")),MAX(0,'PROGRAMME RT'!$C$4-R550),"")</f>
        <v/>
      </c>
      <c r="AO550" s="78" t="n">
        <f aca="false">IF(AND(OR(AM550="À RADIOGRAPHIER",AM550="RÉPARÉ – À RADIOGRAPHIER",AM550="NX – RT À REFAIRE"),OR('PROGRAMME RT'!$D$5="TOUTES",B550='PROGRAMME RT'!$D$5)),1,0)</f>
        <v>0</v>
      </c>
      <c r="AP550" s="78" t="str">
        <f aca="false">IF(AO550=1,SUM(AO$7:AO550),"")</f>
        <v/>
      </c>
      <c r="AQ550" s="78" t="n">
        <f aca="false">IF(AND(OR(X550="R",X550="NX",X550="NT",X550="CO"),OR('JOINTS DE RÉPARATION'!$D$5="TOUTES",B550='JOINTS DE RÉPARATION'!$D$5),OR('JOINTS DE RÉPARATION'!$L$4="TOUS",AM550&lt;&gt;"ACCEPTÉ")),1,0)</f>
        <v>0</v>
      </c>
      <c r="AR550" s="78" t="str">
        <f aca="false">IF(AQ550=1,SUM(AQ$7:AQ550),"")</f>
        <v/>
      </c>
    </row>
    <row r="551" customFormat="false" ht="15" hidden="false" customHeight="false" outlineLevel="0" collapsed="false">
      <c r="A551" s="78" t="n">
        <f aca="false">IF(E551="","",ROW()-6)</f>
        <v>545</v>
      </c>
      <c r="B551" s="79" t="s">
        <v>585</v>
      </c>
      <c r="C551" s="80"/>
      <c r="D551" s="80"/>
      <c r="E551" s="80" t="s">
        <v>583</v>
      </c>
      <c r="F551" s="80"/>
      <c r="G551" s="80" t="s">
        <v>106</v>
      </c>
      <c r="H551" s="80"/>
      <c r="I551" s="80"/>
      <c r="J551" s="80"/>
      <c r="K551" s="80"/>
      <c r="L551" s="81" t="str">
        <f aca="false">IF(K551="","",IFERROR(INDEX(BARDAGE!$C$7:$C$1506,MATCH(K551,BARDAGE!$B$7:$B$1506,0)),"? hors registre"))</f>
        <v/>
      </c>
      <c r="M551" s="80"/>
      <c r="N551" s="81" t="str">
        <f aca="false">IF(M551="","",IFERROR(INDEX(BARDAGE!$C$7:$C$1506,MATCH(M551,BARDAGE!$B$7:$B$1506,0)),"? hors registre"))</f>
        <v/>
      </c>
      <c r="O551" s="80"/>
      <c r="P551" s="80"/>
      <c r="Q551" s="80"/>
      <c r="R551" s="82"/>
      <c r="S551" s="82"/>
      <c r="T551" s="80"/>
      <c r="U551" s="80"/>
      <c r="V551" s="82"/>
      <c r="W551" s="80"/>
      <c r="X551" s="80"/>
      <c r="Y551" s="80"/>
      <c r="Z551" s="80"/>
      <c r="AA551" s="82"/>
      <c r="AB551" s="80"/>
      <c r="AC551" s="80"/>
      <c r="AD551" s="80"/>
      <c r="AE551" s="80"/>
      <c r="AF551" s="82"/>
      <c r="AG551" s="80"/>
      <c r="AH551" s="80"/>
      <c r="AI551" s="82"/>
      <c r="AJ551" s="79"/>
      <c r="AK551" s="78" t="n">
        <f aca="false">IF(E551="","",(X551&lt;&gt;"")+(AC551&lt;&gt;"")+(AH551&lt;&gt;""))</f>
        <v>0</v>
      </c>
      <c r="AL551" s="81" t="str">
        <f aca="false">IF(AH551&lt;&gt;"",AH551,IF(AC551&lt;&gt;"",AC551,IF(X551&lt;&gt;"",X551,"")))</f>
        <v/>
      </c>
      <c r="AM551" s="83" t="str">
        <f aca="false">IF(E551="","",IF(R551="","À SOUDER",IF(U551="","VT EN ATTENTE",IF(U551="R","VT REJETÉ – À REPRENDRE",IF(AL551="","À RADIOGRAPHIER",IF(AL551="A","ACCEPTÉ",IF(AL551="NX","NX – RT À REFAIRE",IF(IF(AK551=1,Z551,IF(AK551=2,AE551,""))="A","RÉPARÉ – À RADIOGRAPHIER",IF(IF(AK551=1,Z551,IF(AK551=2,AE551,""))="R","VT REJETÉ – À REPRENDRE",IF(OR(AL551="CO",AL551="NT"),"COUPE – À RESOUDER","À RÉPARER"))))))))))</f>
        <v>À SOUDER</v>
      </c>
      <c r="AN551" s="81" t="str">
        <f aca="false">IF(AND(ISNUMBER(R551),OR(AM551="À RADIOGRAPHIER",AM551="RÉPARÉ – À RADIOGRAPHIER",AM551="NX – RT À REFAIRE",AM551="À RÉPARER",AM551="COUPE – À RESOUDER",AM551="VT REJETÉ – À REPRENDRE")),MAX(0,'PROGRAMME RT'!$C$4-R551),"")</f>
        <v/>
      </c>
      <c r="AO551" s="78" t="n">
        <f aca="false">IF(AND(OR(AM551="À RADIOGRAPHIER",AM551="RÉPARÉ – À RADIOGRAPHIER",AM551="NX – RT À REFAIRE"),OR('PROGRAMME RT'!$D$5="TOUTES",B551='PROGRAMME RT'!$D$5)),1,0)</f>
        <v>0</v>
      </c>
      <c r="AP551" s="78" t="str">
        <f aca="false">IF(AO551=1,SUM(AO$7:AO551),"")</f>
        <v/>
      </c>
      <c r="AQ551" s="78" t="n">
        <f aca="false">IF(AND(OR(X551="R",X551="NX",X551="NT",X551="CO"),OR('JOINTS DE RÉPARATION'!$D$5="TOUTES",B551='JOINTS DE RÉPARATION'!$D$5),OR('JOINTS DE RÉPARATION'!$L$4="TOUS",AM551&lt;&gt;"ACCEPTÉ")),1,0)</f>
        <v>0</v>
      </c>
      <c r="AR551" s="78" t="str">
        <f aca="false">IF(AQ551=1,SUM(AQ$7:AQ551),"")</f>
        <v/>
      </c>
    </row>
    <row r="552" customFormat="false" ht="15" hidden="false" customHeight="false" outlineLevel="0" collapsed="false">
      <c r="A552" s="78" t="n">
        <f aca="false">IF(E552="","",ROW()-6)</f>
        <v>546</v>
      </c>
      <c r="B552" s="79" t="s">
        <v>585</v>
      </c>
      <c r="C552" s="80"/>
      <c r="D552" s="80"/>
      <c r="E552" s="80" t="s">
        <v>441</v>
      </c>
      <c r="F552" s="80"/>
      <c r="G552" s="80" t="s">
        <v>106</v>
      </c>
      <c r="H552" s="80"/>
      <c r="I552" s="80"/>
      <c r="J552" s="80"/>
      <c r="K552" s="80"/>
      <c r="L552" s="81" t="str">
        <f aca="false">IF(K552="","",IFERROR(INDEX(BARDAGE!$C$7:$C$1506,MATCH(K552,BARDAGE!$B$7:$B$1506,0)),"? hors registre"))</f>
        <v/>
      </c>
      <c r="M552" s="80"/>
      <c r="N552" s="81" t="str">
        <f aca="false">IF(M552="","",IFERROR(INDEX(BARDAGE!$C$7:$C$1506,MATCH(M552,BARDAGE!$B$7:$B$1506,0)),"? hors registre"))</f>
        <v/>
      </c>
      <c r="O552" s="80"/>
      <c r="P552" s="80"/>
      <c r="Q552" s="80"/>
      <c r="R552" s="82"/>
      <c r="S552" s="82"/>
      <c r="T552" s="80"/>
      <c r="U552" s="80"/>
      <c r="V552" s="82"/>
      <c r="W552" s="80"/>
      <c r="X552" s="80"/>
      <c r="Y552" s="80"/>
      <c r="Z552" s="80"/>
      <c r="AA552" s="82"/>
      <c r="AB552" s="80"/>
      <c r="AC552" s="80"/>
      <c r="AD552" s="80"/>
      <c r="AE552" s="80"/>
      <c r="AF552" s="82"/>
      <c r="AG552" s="80"/>
      <c r="AH552" s="80"/>
      <c r="AI552" s="82"/>
      <c r="AJ552" s="79"/>
      <c r="AK552" s="78" t="n">
        <f aca="false">IF(E552="","",(X552&lt;&gt;"")+(AC552&lt;&gt;"")+(AH552&lt;&gt;""))</f>
        <v>0</v>
      </c>
      <c r="AL552" s="81" t="str">
        <f aca="false">IF(AH552&lt;&gt;"",AH552,IF(AC552&lt;&gt;"",AC552,IF(X552&lt;&gt;"",X552,"")))</f>
        <v/>
      </c>
      <c r="AM552" s="83" t="str">
        <f aca="false">IF(E552="","",IF(R552="","À SOUDER",IF(U552="","VT EN ATTENTE",IF(U552="R","VT REJETÉ – À REPRENDRE",IF(AL552="","À RADIOGRAPHIER",IF(AL552="A","ACCEPTÉ",IF(AL552="NX","NX – RT À REFAIRE",IF(IF(AK552=1,Z552,IF(AK552=2,AE552,""))="A","RÉPARÉ – À RADIOGRAPHIER",IF(IF(AK552=1,Z552,IF(AK552=2,AE552,""))="R","VT REJETÉ – À REPRENDRE",IF(OR(AL552="CO",AL552="NT"),"COUPE – À RESOUDER","À RÉPARER"))))))))))</f>
        <v>À SOUDER</v>
      </c>
      <c r="AN552" s="81" t="str">
        <f aca="false">IF(AND(ISNUMBER(R552),OR(AM552="À RADIOGRAPHIER",AM552="RÉPARÉ – À RADIOGRAPHIER",AM552="NX – RT À REFAIRE",AM552="À RÉPARER",AM552="COUPE – À RESOUDER",AM552="VT REJETÉ – À REPRENDRE")),MAX(0,'PROGRAMME RT'!$C$4-R552),"")</f>
        <v/>
      </c>
      <c r="AO552" s="78" t="n">
        <f aca="false">IF(AND(OR(AM552="À RADIOGRAPHIER",AM552="RÉPARÉ – À RADIOGRAPHIER",AM552="NX – RT À REFAIRE"),OR('PROGRAMME RT'!$D$5="TOUTES",B552='PROGRAMME RT'!$D$5)),1,0)</f>
        <v>0</v>
      </c>
      <c r="AP552" s="78" t="str">
        <f aca="false">IF(AO552=1,SUM(AO$7:AO552),"")</f>
        <v/>
      </c>
      <c r="AQ552" s="78" t="n">
        <f aca="false">IF(AND(OR(X552="R",X552="NX",X552="NT",X552="CO"),OR('JOINTS DE RÉPARATION'!$D$5="TOUTES",B552='JOINTS DE RÉPARATION'!$D$5),OR('JOINTS DE RÉPARATION'!$L$4="TOUS",AM552&lt;&gt;"ACCEPTÉ")),1,0)</f>
        <v>0</v>
      </c>
      <c r="AR552" s="78" t="str">
        <f aca="false">IF(AQ552=1,SUM(AQ$7:AQ552),"")</f>
        <v/>
      </c>
    </row>
    <row r="553" customFormat="false" ht="15" hidden="false" customHeight="false" outlineLevel="0" collapsed="false">
      <c r="A553" s="78" t="n">
        <f aca="false">IF(E553="","",ROW()-6)</f>
        <v>547</v>
      </c>
      <c r="B553" s="79" t="s">
        <v>585</v>
      </c>
      <c r="C553" s="80"/>
      <c r="D553" s="80"/>
      <c r="E553" s="80" t="s">
        <v>443</v>
      </c>
      <c r="F553" s="80"/>
      <c r="G553" s="80" t="s">
        <v>106</v>
      </c>
      <c r="H553" s="80"/>
      <c r="I553" s="80"/>
      <c r="J553" s="80"/>
      <c r="K553" s="80"/>
      <c r="L553" s="81" t="str">
        <f aca="false">IF(K553="","",IFERROR(INDEX(BARDAGE!$C$7:$C$1506,MATCH(K553,BARDAGE!$B$7:$B$1506,0)),"? hors registre"))</f>
        <v/>
      </c>
      <c r="M553" s="80"/>
      <c r="N553" s="81" t="str">
        <f aca="false">IF(M553="","",IFERROR(INDEX(BARDAGE!$C$7:$C$1506,MATCH(M553,BARDAGE!$B$7:$B$1506,0)),"? hors registre"))</f>
        <v/>
      </c>
      <c r="O553" s="80"/>
      <c r="P553" s="80"/>
      <c r="Q553" s="80"/>
      <c r="R553" s="82"/>
      <c r="S553" s="82"/>
      <c r="T553" s="80"/>
      <c r="U553" s="80"/>
      <c r="V553" s="82"/>
      <c r="W553" s="80"/>
      <c r="X553" s="80"/>
      <c r="Y553" s="80"/>
      <c r="Z553" s="80"/>
      <c r="AA553" s="82"/>
      <c r="AB553" s="80"/>
      <c r="AC553" s="80"/>
      <c r="AD553" s="80"/>
      <c r="AE553" s="80"/>
      <c r="AF553" s="82"/>
      <c r="AG553" s="80"/>
      <c r="AH553" s="80"/>
      <c r="AI553" s="82"/>
      <c r="AJ553" s="79"/>
      <c r="AK553" s="78" t="n">
        <f aca="false">IF(E553="","",(X553&lt;&gt;"")+(AC553&lt;&gt;"")+(AH553&lt;&gt;""))</f>
        <v>0</v>
      </c>
      <c r="AL553" s="81" t="str">
        <f aca="false">IF(AH553&lt;&gt;"",AH553,IF(AC553&lt;&gt;"",AC553,IF(X553&lt;&gt;"",X553,"")))</f>
        <v/>
      </c>
      <c r="AM553" s="83" t="str">
        <f aca="false">IF(E553="","",IF(R553="","À SOUDER",IF(U553="","VT EN ATTENTE",IF(U553="R","VT REJETÉ – À REPRENDRE",IF(AL553="","À RADIOGRAPHIER",IF(AL553="A","ACCEPTÉ",IF(AL553="NX","NX – RT À REFAIRE",IF(IF(AK553=1,Z553,IF(AK553=2,AE553,""))="A","RÉPARÉ – À RADIOGRAPHIER",IF(IF(AK553=1,Z553,IF(AK553=2,AE553,""))="R","VT REJETÉ – À REPRENDRE",IF(OR(AL553="CO",AL553="NT"),"COUPE – À RESOUDER","À RÉPARER"))))))))))</f>
        <v>À SOUDER</v>
      </c>
      <c r="AN553" s="81" t="str">
        <f aca="false">IF(AND(ISNUMBER(R553),OR(AM553="À RADIOGRAPHIER",AM553="RÉPARÉ – À RADIOGRAPHIER",AM553="NX – RT À REFAIRE",AM553="À RÉPARER",AM553="COUPE – À RESOUDER",AM553="VT REJETÉ – À REPRENDRE")),MAX(0,'PROGRAMME RT'!$C$4-R553),"")</f>
        <v/>
      </c>
      <c r="AO553" s="78" t="n">
        <f aca="false">IF(AND(OR(AM553="À RADIOGRAPHIER",AM553="RÉPARÉ – À RADIOGRAPHIER",AM553="NX – RT À REFAIRE"),OR('PROGRAMME RT'!$D$5="TOUTES",B553='PROGRAMME RT'!$D$5)),1,0)</f>
        <v>0</v>
      </c>
      <c r="AP553" s="78" t="str">
        <f aca="false">IF(AO553=1,SUM(AO$7:AO553),"")</f>
        <v/>
      </c>
      <c r="AQ553" s="78" t="n">
        <f aca="false">IF(AND(OR(X553="R",X553="NX",X553="NT",X553="CO"),OR('JOINTS DE RÉPARATION'!$D$5="TOUTES",B553='JOINTS DE RÉPARATION'!$D$5),OR('JOINTS DE RÉPARATION'!$L$4="TOUS",AM553&lt;&gt;"ACCEPTÉ")),1,0)</f>
        <v>0</v>
      </c>
      <c r="AR553" s="78" t="str">
        <f aca="false">IF(AQ553=1,SUM(AQ$7:AQ553),"")</f>
        <v/>
      </c>
    </row>
    <row r="554" customFormat="false" ht="15" hidden="false" customHeight="false" outlineLevel="0" collapsed="false">
      <c r="A554" s="78" t="n">
        <f aca="false">IF(E554="","",ROW()-6)</f>
        <v>548</v>
      </c>
      <c r="B554" s="79" t="s">
        <v>585</v>
      </c>
      <c r="C554" s="80"/>
      <c r="D554" s="80"/>
      <c r="E554" s="80" t="s">
        <v>584</v>
      </c>
      <c r="F554" s="80"/>
      <c r="G554" s="80" t="s">
        <v>106</v>
      </c>
      <c r="H554" s="80"/>
      <c r="I554" s="80"/>
      <c r="J554" s="80"/>
      <c r="K554" s="80"/>
      <c r="L554" s="81" t="str">
        <f aca="false">IF(K554="","",IFERROR(INDEX(BARDAGE!$C$7:$C$1506,MATCH(K554,BARDAGE!$B$7:$B$1506,0)),"? hors registre"))</f>
        <v/>
      </c>
      <c r="M554" s="80"/>
      <c r="N554" s="81" t="str">
        <f aca="false">IF(M554="","",IFERROR(INDEX(BARDAGE!$C$7:$C$1506,MATCH(M554,BARDAGE!$B$7:$B$1506,0)),"? hors registre"))</f>
        <v/>
      </c>
      <c r="O554" s="80"/>
      <c r="P554" s="80"/>
      <c r="Q554" s="80"/>
      <c r="R554" s="82"/>
      <c r="S554" s="82"/>
      <c r="T554" s="80"/>
      <c r="U554" s="80"/>
      <c r="V554" s="82"/>
      <c r="W554" s="80"/>
      <c r="X554" s="80"/>
      <c r="Y554" s="80"/>
      <c r="Z554" s="80"/>
      <c r="AA554" s="82"/>
      <c r="AB554" s="80"/>
      <c r="AC554" s="80"/>
      <c r="AD554" s="80"/>
      <c r="AE554" s="80"/>
      <c r="AF554" s="82"/>
      <c r="AG554" s="80"/>
      <c r="AH554" s="80"/>
      <c r="AI554" s="82"/>
      <c r="AJ554" s="79"/>
      <c r="AK554" s="78" t="n">
        <f aca="false">IF(E554="","",(X554&lt;&gt;"")+(AC554&lt;&gt;"")+(AH554&lt;&gt;""))</f>
        <v>0</v>
      </c>
      <c r="AL554" s="81" t="str">
        <f aca="false">IF(AH554&lt;&gt;"",AH554,IF(AC554&lt;&gt;"",AC554,IF(X554&lt;&gt;"",X554,"")))</f>
        <v/>
      </c>
      <c r="AM554" s="83" t="str">
        <f aca="false">IF(E554="","",IF(R554="","À SOUDER",IF(U554="","VT EN ATTENTE",IF(U554="R","VT REJETÉ – À REPRENDRE",IF(AL554="","À RADIOGRAPHIER",IF(AL554="A","ACCEPTÉ",IF(AL554="NX","NX – RT À REFAIRE",IF(IF(AK554=1,Z554,IF(AK554=2,AE554,""))="A","RÉPARÉ – À RADIOGRAPHIER",IF(IF(AK554=1,Z554,IF(AK554=2,AE554,""))="R","VT REJETÉ – À REPRENDRE",IF(OR(AL554="CO",AL554="NT"),"COUPE – À RESOUDER","À RÉPARER"))))))))))</f>
        <v>À SOUDER</v>
      </c>
      <c r="AN554" s="81" t="str">
        <f aca="false">IF(AND(ISNUMBER(R554),OR(AM554="À RADIOGRAPHIER",AM554="RÉPARÉ – À RADIOGRAPHIER",AM554="NX – RT À REFAIRE",AM554="À RÉPARER",AM554="COUPE – À RESOUDER",AM554="VT REJETÉ – À REPRENDRE")),MAX(0,'PROGRAMME RT'!$C$4-R554),"")</f>
        <v/>
      </c>
      <c r="AO554" s="78" t="n">
        <f aca="false">IF(AND(OR(AM554="À RADIOGRAPHIER",AM554="RÉPARÉ – À RADIOGRAPHIER",AM554="NX – RT À REFAIRE"),OR('PROGRAMME RT'!$D$5="TOUTES",B554='PROGRAMME RT'!$D$5)),1,0)</f>
        <v>0</v>
      </c>
      <c r="AP554" s="78" t="str">
        <f aca="false">IF(AO554=1,SUM(AO$7:AO554),"")</f>
        <v/>
      </c>
      <c r="AQ554" s="78" t="n">
        <f aca="false">IF(AND(OR(X554="R",X554="NX",X554="NT",X554="CO"),OR('JOINTS DE RÉPARATION'!$D$5="TOUTES",B554='JOINTS DE RÉPARATION'!$D$5),OR('JOINTS DE RÉPARATION'!$L$4="TOUS",AM554&lt;&gt;"ACCEPTÉ")),1,0)</f>
        <v>0</v>
      </c>
      <c r="AR554" s="78" t="str">
        <f aca="false">IF(AQ554=1,SUM(AQ$7:AQ554),"")</f>
        <v/>
      </c>
    </row>
    <row r="555" customFormat="false" ht="15" hidden="false" customHeight="false" outlineLevel="0" collapsed="false">
      <c r="A555" s="78" t="n">
        <f aca="false">IF(E555="","",ROW()-6)</f>
        <v>549</v>
      </c>
      <c r="B555" s="79" t="s">
        <v>585</v>
      </c>
      <c r="C555" s="80"/>
      <c r="D555" s="80"/>
      <c r="E555" s="80" t="s">
        <v>452</v>
      </c>
      <c r="F555" s="80"/>
      <c r="G555" s="80" t="s">
        <v>106</v>
      </c>
      <c r="H555" s="80"/>
      <c r="I555" s="80"/>
      <c r="J555" s="80"/>
      <c r="K555" s="80"/>
      <c r="L555" s="81" t="str">
        <f aca="false">IF(K555="","",IFERROR(INDEX(BARDAGE!$C$7:$C$1506,MATCH(K555,BARDAGE!$B$7:$B$1506,0)),"? hors registre"))</f>
        <v/>
      </c>
      <c r="M555" s="80"/>
      <c r="N555" s="81" t="str">
        <f aca="false">IF(M555="","",IFERROR(INDEX(BARDAGE!$C$7:$C$1506,MATCH(M555,BARDAGE!$B$7:$B$1506,0)),"? hors registre"))</f>
        <v/>
      </c>
      <c r="O555" s="80"/>
      <c r="P555" s="80"/>
      <c r="Q555" s="80"/>
      <c r="R555" s="82"/>
      <c r="S555" s="82"/>
      <c r="T555" s="80"/>
      <c r="U555" s="80"/>
      <c r="V555" s="82"/>
      <c r="W555" s="80"/>
      <c r="X555" s="80"/>
      <c r="Y555" s="80"/>
      <c r="Z555" s="80"/>
      <c r="AA555" s="82"/>
      <c r="AB555" s="80"/>
      <c r="AC555" s="80"/>
      <c r="AD555" s="80"/>
      <c r="AE555" s="80"/>
      <c r="AF555" s="82"/>
      <c r="AG555" s="80"/>
      <c r="AH555" s="80"/>
      <c r="AI555" s="82"/>
      <c r="AJ555" s="79"/>
      <c r="AK555" s="78" t="n">
        <f aca="false">IF(E555="","",(X555&lt;&gt;"")+(AC555&lt;&gt;"")+(AH555&lt;&gt;""))</f>
        <v>0</v>
      </c>
      <c r="AL555" s="81" t="str">
        <f aca="false">IF(AH555&lt;&gt;"",AH555,IF(AC555&lt;&gt;"",AC555,IF(X555&lt;&gt;"",X555,"")))</f>
        <v/>
      </c>
      <c r="AM555" s="83" t="str">
        <f aca="false">IF(E555="","",IF(R555="","À SOUDER",IF(U555="","VT EN ATTENTE",IF(U555="R","VT REJETÉ – À REPRENDRE",IF(AL555="","À RADIOGRAPHIER",IF(AL555="A","ACCEPTÉ",IF(AL555="NX","NX – RT À REFAIRE",IF(IF(AK555=1,Z555,IF(AK555=2,AE555,""))="A","RÉPARÉ – À RADIOGRAPHIER",IF(IF(AK555=1,Z555,IF(AK555=2,AE555,""))="R","VT REJETÉ – À REPRENDRE",IF(OR(AL555="CO",AL555="NT"),"COUPE – À RESOUDER","À RÉPARER"))))))))))</f>
        <v>À SOUDER</v>
      </c>
      <c r="AN555" s="81" t="str">
        <f aca="false">IF(AND(ISNUMBER(R555),OR(AM555="À RADIOGRAPHIER",AM555="RÉPARÉ – À RADIOGRAPHIER",AM555="NX – RT À REFAIRE",AM555="À RÉPARER",AM555="COUPE – À RESOUDER",AM555="VT REJETÉ – À REPRENDRE")),MAX(0,'PROGRAMME RT'!$C$4-R555),"")</f>
        <v/>
      </c>
      <c r="AO555" s="78" t="n">
        <f aca="false">IF(AND(OR(AM555="À RADIOGRAPHIER",AM555="RÉPARÉ – À RADIOGRAPHIER",AM555="NX – RT À REFAIRE"),OR('PROGRAMME RT'!$D$5="TOUTES",B555='PROGRAMME RT'!$D$5)),1,0)</f>
        <v>0</v>
      </c>
      <c r="AP555" s="78" t="str">
        <f aca="false">IF(AO555=1,SUM(AO$7:AO555),"")</f>
        <v/>
      </c>
      <c r="AQ555" s="78" t="n">
        <f aca="false">IF(AND(OR(X555="R",X555="NX",X555="NT",X555="CO"),OR('JOINTS DE RÉPARATION'!$D$5="TOUTES",B555='JOINTS DE RÉPARATION'!$D$5),OR('JOINTS DE RÉPARATION'!$L$4="TOUS",AM555&lt;&gt;"ACCEPTÉ")),1,0)</f>
        <v>0</v>
      </c>
      <c r="AR555" s="78" t="str">
        <f aca="false">IF(AQ555=1,SUM(AQ$7:AQ555),"")</f>
        <v/>
      </c>
    </row>
    <row r="556" customFormat="false" ht="15" hidden="false" customHeight="false" outlineLevel="0" collapsed="false">
      <c r="A556" s="78" t="n">
        <f aca="false">IF(E556="","",ROW()-6)</f>
        <v>550</v>
      </c>
      <c r="B556" s="79" t="s">
        <v>585</v>
      </c>
      <c r="C556" s="80"/>
      <c r="D556" s="80"/>
      <c r="E556" s="80" t="s">
        <v>454</v>
      </c>
      <c r="F556" s="80"/>
      <c r="G556" s="80" t="s">
        <v>106</v>
      </c>
      <c r="H556" s="80"/>
      <c r="I556" s="80"/>
      <c r="J556" s="80"/>
      <c r="K556" s="80"/>
      <c r="L556" s="81" t="str">
        <f aca="false">IF(K556="","",IFERROR(INDEX(BARDAGE!$C$7:$C$1506,MATCH(K556,BARDAGE!$B$7:$B$1506,0)),"? hors registre"))</f>
        <v/>
      </c>
      <c r="M556" s="80"/>
      <c r="N556" s="81" t="str">
        <f aca="false">IF(M556="","",IFERROR(INDEX(BARDAGE!$C$7:$C$1506,MATCH(M556,BARDAGE!$B$7:$B$1506,0)),"? hors registre"))</f>
        <v/>
      </c>
      <c r="O556" s="80"/>
      <c r="P556" s="80"/>
      <c r="Q556" s="80"/>
      <c r="R556" s="82"/>
      <c r="S556" s="82"/>
      <c r="T556" s="80"/>
      <c r="U556" s="80"/>
      <c r="V556" s="82"/>
      <c r="W556" s="80"/>
      <c r="X556" s="80"/>
      <c r="Y556" s="80"/>
      <c r="Z556" s="80"/>
      <c r="AA556" s="82"/>
      <c r="AB556" s="80"/>
      <c r="AC556" s="80"/>
      <c r="AD556" s="80"/>
      <c r="AE556" s="80"/>
      <c r="AF556" s="82"/>
      <c r="AG556" s="80"/>
      <c r="AH556" s="80"/>
      <c r="AI556" s="82"/>
      <c r="AJ556" s="79"/>
      <c r="AK556" s="78" t="n">
        <f aca="false">IF(E556="","",(X556&lt;&gt;"")+(AC556&lt;&gt;"")+(AH556&lt;&gt;""))</f>
        <v>0</v>
      </c>
      <c r="AL556" s="81" t="str">
        <f aca="false">IF(AH556&lt;&gt;"",AH556,IF(AC556&lt;&gt;"",AC556,IF(X556&lt;&gt;"",X556,"")))</f>
        <v/>
      </c>
      <c r="AM556" s="83" t="str">
        <f aca="false">IF(E556="","",IF(R556="","À SOUDER",IF(U556="","VT EN ATTENTE",IF(U556="R","VT REJETÉ – À REPRENDRE",IF(AL556="","À RADIOGRAPHIER",IF(AL556="A","ACCEPTÉ",IF(AL556="NX","NX – RT À REFAIRE",IF(IF(AK556=1,Z556,IF(AK556=2,AE556,""))="A","RÉPARÉ – À RADIOGRAPHIER",IF(IF(AK556=1,Z556,IF(AK556=2,AE556,""))="R","VT REJETÉ – À REPRENDRE",IF(OR(AL556="CO",AL556="NT"),"COUPE – À RESOUDER","À RÉPARER"))))))))))</f>
        <v>À SOUDER</v>
      </c>
      <c r="AN556" s="81" t="str">
        <f aca="false">IF(AND(ISNUMBER(R556),OR(AM556="À RADIOGRAPHIER",AM556="RÉPARÉ – À RADIOGRAPHIER",AM556="NX – RT À REFAIRE",AM556="À RÉPARER",AM556="COUPE – À RESOUDER",AM556="VT REJETÉ – À REPRENDRE")),MAX(0,'PROGRAMME RT'!$C$4-R556),"")</f>
        <v/>
      </c>
      <c r="AO556" s="78" t="n">
        <f aca="false">IF(AND(OR(AM556="À RADIOGRAPHIER",AM556="RÉPARÉ – À RADIOGRAPHIER",AM556="NX – RT À REFAIRE"),OR('PROGRAMME RT'!$D$5="TOUTES",B556='PROGRAMME RT'!$D$5)),1,0)</f>
        <v>0</v>
      </c>
      <c r="AP556" s="78" t="str">
        <f aca="false">IF(AO556=1,SUM(AO$7:AO556),"")</f>
        <v/>
      </c>
      <c r="AQ556" s="78" t="n">
        <f aca="false">IF(AND(OR(X556="R",X556="NX",X556="NT",X556="CO"),OR('JOINTS DE RÉPARATION'!$D$5="TOUTES",B556='JOINTS DE RÉPARATION'!$D$5),OR('JOINTS DE RÉPARATION'!$L$4="TOUS",AM556&lt;&gt;"ACCEPTÉ")),1,0)</f>
        <v>0</v>
      </c>
      <c r="AR556" s="78" t="str">
        <f aca="false">IF(AQ556=1,SUM(AQ$7:AQ556),"")</f>
        <v/>
      </c>
    </row>
    <row r="557" customFormat="false" ht="15" hidden="false" customHeight="false" outlineLevel="0" collapsed="false">
      <c r="A557" s="78" t="n">
        <f aca="false">IF(E557="","",ROW()-6)</f>
        <v>551</v>
      </c>
      <c r="B557" s="79" t="s">
        <v>585</v>
      </c>
      <c r="C557" s="80"/>
      <c r="D557" s="80"/>
      <c r="E557" s="80" t="s">
        <v>456</v>
      </c>
      <c r="F557" s="80"/>
      <c r="G557" s="80" t="s">
        <v>106</v>
      </c>
      <c r="H557" s="80"/>
      <c r="I557" s="80"/>
      <c r="J557" s="80"/>
      <c r="K557" s="80"/>
      <c r="L557" s="81" t="str">
        <f aca="false">IF(K557="","",IFERROR(INDEX(BARDAGE!$C$7:$C$1506,MATCH(K557,BARDAGE!$B$7:$B$1506,0)),"? hors registre"))</f>
        <v/>
      </c>
      <c r="M557" s="80"/>
      <c r="N557" s="81" t="str">
        <f aca="false">IF(M557="","",IFERROR(INDEX(BARDAGE!$C$7:$C$1506,MATCH(M557,BARDAGE!$B$7:$B$1506,0)),"? hors registre"))</f>
        <v/>
      </c>
      <c r="O557" s="80"/>
      <c r="P557" s="80"/>
      <c r="Q557" s="80"/>
      <c r="R557" s="82"/>
      <c r="S557" s="82"/>
      <c r="T557" s="80"/>
      <c r="U557" s="80"/>
      <c r="V557" s="82"/>
      <c r="W557" s="80"/>
      <c r="X557" s="80"/>
      <c r="Y557" s="80"/>
      <c r="Z557" s="80"/>
      <c r="AA557" s="82"/>
      <c r="AB557" s="80"/>
      <c r="AC557" s="80"/>
      <c r="AD557" s="80"/>
      <c r="AE557" s="80"/>
      <c r="AF557" s="82"/>
      <c r="AG557" s="80"/>
      <c r="AH557" s="80"/>
      <c r="AI557" s="82"/>
      <c r="AJ557" s="79"/>
      <c r="AK557" s="78" t="n">
        <f aca="false">IF(E557="","",(X557&lt;&gt;"")+(AC557&lt;&gt;"")+(AH557&lt;&gt;""))</f>
        <v>0</v>
      </c>
      <c r="AL557" s="81" t="str">
        <f aca="false">IF(AH557&lt;&gt;"",AH557,IF(AC557&lt;&gt;"",AC557,IF(X557&lt;&gt;"",X557,"")))</f>
        <v/>
      </c>
      <c r="AM557" s="83" t="str">
        <f aca="false">IF(E557="","",IF(R557="","À SOUDER",IF(U557="","VT EN ATTENTE",IF(U557="R","VT REJETÉ – À REPRENDRE",IF(AL557="","À RADIOGRAPHIER",IF(AL557="A","ACCEPTÉ",IF(AL557="NX","NX – RT À REFAIRE",IF(IF(AK557=1,Z557,IF(AK557=2,AE557,""))="A","RÉPARÉ – À RADIOGRAPHIER",IF(IF(AK557=1,Z557,IF(AK557=2,AE557,""))="R","VT REJETÉ – À REPRENDRE",IF(OR(AL557="CO",AL557="NT"),"COUPE – À RESOUDER","À RÉPARER"))))))))))</f>
        <v>À SOUDER</v>
      </c>
      <c r="AN557" s="81" t="str">
        <f aca="false">IF(AND(ISNUMBER(R557),OR(AM557="À RADIOGRAPHIER",AM557="RÉPARÉ – À RADIOGRAPHIER",AM557="NX – RT À REFAIRE",AM557="À RÉPARER",AM557="COUPE – À RESOUDER",AM557="VT REJETÉ – À REPRENDRE")),MAX(0,'PROGRAMME RT'!$C$4-R557),"")</f>
        <v/>
      </c>
      <c r="AO557" s="78" t="n">
        <f aca="false">IF(AND(OR(AM557="À RADIOGRAPHIER",AM557="RÉPARÉ – À RADIOGRAPHIER",AM557="NX – RT À REFAIRE"),OR('PROGRAMME RT'!$D$5="TOUTES",B557='PROGRAMME RT'!$D$5)),1,0)</f>
        <v>0</v>
      </c>
      <c r="AP557" s="78" t="str">
        <f aca="false">IF(AO557=1,SUM(AO$7:AO557),"")</f>
        <v/>
      </c>
      <c r="AQ557" s="78" t="n">
        <f aca="false">IF(AND(OR(X557="R",X557="NX",X557="NT",X557="CO"),OR('JOINTS DE RÉPARATION'!$D$5="TOUTES",B557='JOINTS DE RÉPARATION'!$D$5),OR('JOINTS DE RÉPARATION'!$L$4="TOUS",AM557&lt;&gt;"ACCEPTÉ")),1,0)</f>
        <v>0</v>
      </c>
      <c r="AR557" s="78" t="str">
        <f aca="false">IF(AQ557=1,SUM(AQ$7:AQ557),"")</f>
        <v/>
      </c>
    </row>
    <row r="558" customFormat="false" ht="15" hidden="false" customHeight="false" outlineLevel="0" collapsed="false">
      <c r="A558" s="78" t="n">
        <f aca="false">IF(E558="","",ROW()-6)</f>
        <v>552</v>
      </c>
      <c r="B558" s="79" t="s">
        <v>585</v>
      </c>
      <c r="C558" s="80"/>
      <c r="D558" s="80"/>
      <c r="E558" s="80" t="s">
        <v>457</v>
      </c>
      <c r="F558" s="80"/>
      <c r="G558" s="80" t="s">
        <v>106</v>
      </c>
      <c r="H558" s="80"/>
      <c r="I558" s="80"/>
      <c r="J558" s="80"/>
      <c r="K558" s="80"/>
      <c r="L558" s="81" t="str">
        <f aca="false">IF(K558="","",IFERROR(INDEX(BARDAGE!$C$7:$C$1506,MATCH(K558,BARDAGE!$B$7:$B$1506,0)),"? hors registre"))</f>
        <v/>
      </c>
      <c r="M558" s="80"/>
      <c r="N558" s="81" t="str">
        <f aca="false">IF(M558="","",IFERROR(INDEX(BARDAGE!$C$7:$C$1506,MATCH(M558,BARDAGE!$B$7:$B$1506,0)),"? hors registre"))</f>
        <v/>
      </c>
      <c r="O558" s="80"/>
      <c r="P558" s="80"/>
      <c r="Q558" s="80"/>
      <c r="R558" s="82"/>
      <c r="S558" s="82"/>
      <c r="T558" s="80"/>
      <c r="U558" s="80"/>
      <c r="V558" s="82"/>
      <c r="W558" s="80"/>
      <c r="X558" s="80"/>
      <c r="Y558" s="80"/>
      <c r="Z558" s="80"/>
      <c r="AA558" s="82"/>
      <c r="AB558" s="80"/>
      <c r="AC558" s="80"/>
      <c r="AD558" s="80"/>
      <c r="AE558" s="80"/>
      <c r="AF558" s="82"/>
      <c r="AG558" s="80"/>
      <c r="AH558" s="80"/>
      <c r="AI558" s="82"/>
      <c r="AJ558" s="79"/>
      <c r="AK558" s="78" t="n">
        <f aca="false">IF(E558="","",(X558&lt;&gt;"")+(AC558&lt;&gt;"")+(AH558&lt;&gt;""))</f>
        <v>0</v>
      </c>
      <c r="AL558" s="81" t="str">
        <f aca="false">IF(AH558&lt;&gt;"",AH558,IF(AC558&lt;&gt;"",AC558,IF(X558&lt;&gt;"",X558,"")))</f>
        <v/>
      </c>
      <c r="AM558" s="83" t="str">
        <f aca="false">IF(E558="","",IF(R558="","À SOUDER",IF(U558="","VT EN ATTENTE",IF(U558="R","VT REJETÉ – À REPRENDRE",IF(AL558="","À RADIOGRAPHIER",IF(AL558="A","ACCEPTÉ",IF(AL558="NX","NX – RT À REFAIRE",IF(IF(AK558=1,Z558,IF(AK558=2,AE558,""))="A","RÉPARÉ – À RADIOGRAPHIER",IF(IF(AK558=1,Z558,IF(AK558=2,AE558,""))="R","VT REJETÉ – À REPRENDRE",IF(OR(AL558="CO",AL558="NT"),"COUPE – À RESOUDER","À RÉPARER"))))))))))</f>
        <v>À SOUDER</v>
      </c>
      <c r="AN558" s="81" t="str">
        <f aca="false">IF(AND(ISNUMBER(R558),OR(AM558="À RADIOGRAPHIER",AM558="RÉPARÉ – À RADIOGRAPHIER",AM558="NX – RT À REFAIRE",AM558="À RÉPARER",AM558="COUPE – À RESOUDER",AM558="VT REJETÉ – À REPRENDRE")),MAX(0,'PROGRAMME RT'!$C$4-R558),"")</f>
        <v/>
      </c>
      <c r="AO558" s="78" t="n">
        <f aca="false">IF(AND(OR(AM558="À RADIOGRAPHIER",AM558="RÉPARÉ – À RADIOGRAPHIER",AM558="NX – RT À REFAIRE"),OR('PROGRAMME RT'!$D$5="TOUTES",B558='PROGRAMME RT'!$D$5)),1,0)</f>
        <v>0</v>
      </c>
      <c r="AP558" s="78" t="str">
        <f aca="false">IF(AO558=1,SUM(AO$7:AO558),"")</f>
        <v/>
      </c>
      <c r="AQ558" s="78" t="n">
        <f aca="false">IF(AND(OR(X558="R",X558="NX",X558="NT",X558="CO"),OR('JOINTS DE RÉPARATION'!$D$5="TOUTES",B558='JOINTS DE RÉPARATION'!$D$5),OR('JOINTS DE RÉPARATION'!$L$4="TOUS",AM558&lt;&gt;"ACCEPTÉ")),1,0)</f>
        <v>0</v>
      </c>
      <c r="AR558" s="78" t="str">
        <f aca="false">IF(AQ558=1,SUM(AQ$7:AQ558),"")</f>
        <v/>
      </c>
    </row>
    <row r="559" customFormat="false" ht="15" hidden="false" customHeight="false" outlineLevel="0" collapsed="false">
      <c r="A559" s="78" t="n">
        <f aca="false">IF(E559="","",ROW()-6)</f>
        <v>553</v>
      </c>
      <c r="B559" s="79" t="s">
        <v>585</v>
      </c>
      <c r="C559" s="80"/>
      <c r="D559" s="80"/>
      <c r="E559" s="80" t="s">
        <v>459</v>
      </c>
      <c r="F559" s="80"/>
      <c r="G559" s="80" t="s">
        <v>106</v>
      </c>
      <c r="H559" s="80"/>
      <c r="I559" s="80"/>
      <c r="J559" s="80"/>
      <c r="K559" s="80"/>
      <c r="L559" s="81" t="str">
        <f aca="false">IF(K559="","",IFERROR(INDEX(BARDAGE!$C$7:$C$1506,MATCH(K559,BARDAGE!$B$7:$B$1506,0)),"? hors registre"))</f>
        <v/>
      </c>
      <c r="M559" s="80"/>
      <c r="N559" s="81" t="str">
        <f aca="false">IF(M559="","",IFERROR(INDEX(BARDAGE!$C$7:$C$1506,MATCH(M559,BARDAGE!$B$7:$B$1506,0)),"? hors registre"))</f>
        <v/>
      </c>
      <c r="O559" s="80"/>
      <c r="P559" s="80"/>
      <c r="Q559" s="80"/>
      <c r="R559" s="82"/>
      <c r="S559" s="82"/>
      <c r="T559" s="80"/>
      <c r="U559" s="80"/>
      <c r="V559" s="82"/>
      <c r="W559" s="80"/>
      <c r="X559" s="80"/>
      <c r="Y559" s="80"/>
      <c r="Z559" s="80"/>
      <c r="AA559" s="82"/>
      <c r="AB559" s="80"/>
      <c r="AC559" s="80"/>
      <c r="AD559" s="80"/>
      <c r="AE559" s="80"/>
      <c r="AF559" s="82"/>
      <c r="AG559" s="80"/>
      <c r="AH559" s="80"/>
      <c r="AI559" s="82"/>
      <c r="AJ559" s="79"/>
      <c r="AK559" s="78" t="n">
        <f aca="false">IF(E559="","",(X559&lt;&gt;"")+(AC559&lt;&gt;"")+(AH559&lt;&gt;""))</f>
        <v>0</v>
      </c>
      <c r="AL559" s="81" t="str">
        <f aca="false">IF(AH559&lt;&gt;"",AH559,IF(AC559&lt;&gt;"",AC559,IF(X559&lt;&gt;"",X559,"")))</f>
        <v/>
      </c>
      <c r="AM559" s="83" t="str">
        <f aca="false">IF(E559="","",IF(R559="","À SOUDER",IF(U559="","VT EN ATTENTE",IF(U559="R","VT REJETÉ – À REPRENDRE",IF(AL559="","À RADIOGRAPHIER",IF(AL559="A","ACCEPTÉ",IF(AL559="NX","NX – RT À REFAIRE",IF(IF(AK559=1,Z559,IF(AK559=2,AE559,""))="A","RÉPARÉ – À RADIOGRAPHIER",IF(IF(AK559=1,Z559,IF(AK559=2,AE559,""))="R","VT REJETÉ – À REPRENDRE",IF(OR(AL559="CO",AL559="NT"),"COUPE – À RESOUDER","À RÉPARER"))))))))))</f>
        <v>À SOUDER</v>
      </c>
      <c r="AN559" s="81" t="str">
        <f aca="false">IF(AND(ISNUMBER(R559),OR(AM559="À RADIOGRAPHIER",AM559="RÉPARÉ – À RADIOGRAPHIER",AM559="NX – RT À REFAIRE",AM559="À RÉPARER",AM559="COUPE – À RESOUDER",AM559="VT REJETÉ – À REPRENDRE")),MAX(0,'PROGRAMME RT'!$C$4-R559),"")</f>
        <v/>
      </c>
      <c r="AO559" s="78" t="n">
        <f aca="false">IF(AND(OR(AM559="À RADIOGRAPHIER",AM559="RÉPARÉ – À RADIOGRAPHIER",AM559="NX – RT À REFAIRE"),OR('PROGRAMME RT'!$D$5="TOUTES",B559='PROGRAMME RT'!$D$5)),1,0)</f>
        <v>0</v>
      </c>
      <c r="AP559" s="78" t="str">
        <f aca="false">IF(AO559=1,SUM(AO$7:AO559),"")</f>
        <v/>
      </c>
      <c r="AQ559" s="78" t="n">
        <f aca="false">IF(AND(OR(X559="R",X559="NX",X559="NT",X559="CO"),OR('JOINTS DE RÉPARATION'!$D$5="TOUTES",B559='JOINTS DE RÉPARATION'!$D$5),OR('JOINTS DE RÉPARATION'!$L$4="TOUS",AM559&lt;&gt;"ACCEPTÉ")),1,0)</f>
        <v>0</v>
      </c>
      <c r="AR559" s="78" t="str">
        <f aca="false">IF(AQ559=1,SUM(AQ$7:AQ559),"")</f>
        <v/>
      </c>
    </row>
    <row r="560" customFormat="false" ht="15" hidden="false" customHeight="false" outlineLevel="0" collapsed="false">
      <c r="A560" s="78" t="n">
        <f aca="false">IF(E560="","",ROW()-6)</f>
        <v>554</v>
      </c>
      <c r="B560" s="79" t="s">
        <v>585</v>
      </c>
      <c r="C560" s="80"/>
      <c r="D560" s="80"/>
      <c r="E560" s="80" t="s">
        <v>461</v>
      </c>
      <c r="F560" s="80"/>
      <c r="G560" s="80" t="s">
        <v>106</v>
      </c>
      <c r="H560" s="80"/>
      <c r="I560" s="80"/>
      <c r="J560" s="80"/>
      <c r="K560" s="80"/>
      <c r="L560" s="81" t="str">
        <f aca="false">IF(K560="","",IFERROR(INDEX(BARDAGE!$C$7:$C$1506,MATCH(K560,BARDAGE!$B$7:$B$1506,0)),"? hors registre"))</f>
        <v/>
      </c>
      <c r="M560" s="80"/>
      <c r="N560" s="81" t="str">
        <f aca="false">IF(M560="","",IFERROR(INDEX(BARDAGE!$C$7:$C$1506,MATCH(M560,BARDAGE!$B$7:$B$1506,0)),"? hors registre"))</f>
        <v/>
      </c>
      <c r="O560" s="80"/>
      <c r="P560" s="80"/>
      <c r="Q560" s="80"/>
      <c r="R560" s="82"/>
      <c r="S560" s="82"/>
      <c r="T560" s="80"/>
      <c r="U560" s="80"/>
      <c r="V560" s="82"/>
      <c r="W560" s="80"/>
      <c r="X560" s="80"/>
      <c r="Y560" s="80"/>
      <c r="Z560" s="80"/>
      <c r="AA560" s="82"/>
      <c r="AB560" s="80"/>
      <c r="AC560" s="80"/>
      <c r="AD560" s="80"/>
      <c r="AE560" s="80"/>
      <c r="AF560" s="82"/>
      <c r="AG560" s="80"/>
      <c r="AH560" s="80"/>
      <c r="AI560" s="82"/>
      <c r="AJ560" s="79"/>
      <c r="AK560" s="78" t="n">
        <f aca="false">IF(E560="","",(X560&lt;&gt;"")+(AC560&lt;&gt;"")+(AH560&lt;&gt;""))</f>
        <v>0</v>
      </c>
      <c r="AL560" s="81" t="str">
        <f aca="false">IF(AH560&lt;&gt;"",AH560,IF(AC560&lt;&gt;"",AC560,IF(X560&lt;&gt;"",X560,"")))</f>
        <v/>
      </c>
      <c r="AM560" s="83" t="str">
        <f aca="false">IF(E560="","",IF(R560="","À SOUDER",IF(U560="","VT EN ATTENTE",IF(U560="R","VT REJETÉ – À REPRENDRE",IF(AL560="","À RADIOGRAPHIER",IF(AL560="A","ACCEPTÉ",IF(AL560="NX","NX – RT À REFAIRE",IF(IF(AK560=1,Z560,IF(AK560=2,AE560,""))="A","RÉPARÉ – À RADIOGRAPHIER",IF(IF(AK560=1,Z560,IF(AK560=2,AE560,""))="R","VT REJETÉ – À REPRENDRE",IF(OR(AL560="CO",AL560="NT"),"COUPE – À RESOUDER","À RÉPARER"))))))))))</f>
        <v>À SOUDER</v>
      </c>
      <c r="AN560" s="81" t="str">
        <f aca="false">IF(AND(ISNUMBER(R560),OR(AM560="À RADIOGRAPHIER",AM560="RÉPARÉ – À RADIOGRAPHIER",AM560="NX – RT À REFAIRE",AM560="À RÉPARER",AM560="COUPE – À RESOUDER",AM560="VT REJETÉ – À REPRENDRE")),MAX(0,'PROGRAMME RT'!$C$4-R560),"")</f>
        <v/>
      </c>
      <c r="AO560" s="78" t="n">
        <f aca="false">IF(AND(OR(AM560="À RADIOGRAPHIER",AM560="RÉPARÉ – À RADIOGRAPHIER",AM560="NX – RT À REFAIRE"),OR('PROGRAMME RT'!$D$5="TOUTES",B560='PROGRAMME RT'!$D$5)),1,0)</f>
        <v>0</v>
      </c>
      <c r="AP560" s="78" t="str">
        <f aca="false">IF(AO560=1,SUM(AO$7:AO560),"")</f>
        <v/>
      </c>
      <c r="AQ560" s="78" t="n">
        <f aca="false">IF(AND(OR(X560="R",X560="NX",X560="NT",X560="CO"),OR('JOINTS DE RÉPARATION'!$D$5="TOUTES",B560='JOINTS DE RÉPARATION'!$D$5),OR('JOINTS DE RÉPARATION'!$L$4="TOUS",AM560&lt;&gt;"ACCEPTÉ")),1,0)</f>
        <v>0</v>
      </c>
      <c r="AR560" s="78" t="str">
        <f aca="false">IF(AQ560=1,SUM(AQ$7:AQ560),"")</f>
        <v/>
      </c>
    </row>
    <row r="561" customFormat="false" ht="15" hidden="false" customHeight="false" outlineLevel="0" collapsed="false">
      <c r="A561" s="78" t="n">
        <f aca="false">IF(E561="","",ROW()-6)</f>
        <v>555</v>
      </c>
      <c r="B561" s="79" t="s">
        <v>585</v>
      </c>
      <c r="C561" s="80"/>
      <c r="D561" s="80"/>
      <c r="E561" s="80" t="s">
        <v>463</v>
      </c>
      <c r="F561" s="80"/>
      <c r="G561" s="80" t="s">
        <v>106</v>
      </c>
      <c r="H561" s="80"/>
      <c r="I561" s="80"/>
      <c r="J561" s="80"/>
      <c r="K561" s="80"/>
      <c r="L561" s="81" t="str">
        <f aca="false">IF(K561="","",IFERROR(INDEX(BARDAGE!$C$7:$C$1506,MATCH(K561,BARDAGE!$B$7:$B$1506,0)),"? hors registre"))</f>
        <v/>
      </c>
      <c r="M561" s="80"/>
      <c r="N561" s="81" t="str">
        <f aca="false">IF(M561="","",IFERROR(INDEX(BARDAGE!$C$7:$C$1506,MATCH(M561,BARDAGE!$B$7:$B$1506,0)),"? hors registre"))</f>
        <v/>
      </c>
      <c r="O561" s="80"/>
      <c r="P561" s="80"/>
      <c r="Q561" s="80"/>
      <c r="R561" s="82"/>
      <c r="S561" s="82"/>
      <c r="T561" s="80"/>
      <c r="U561" s="80"/>
      <c r="V561" s="82"/>
      <c r="W561" s="80"/>
      <c r="X561" s="80"/>
      <c r="Y561" s="80"/>
      <c r="Z561" s="80"/>
      <c r="AA561" s="82"/>
      <c r="AB561" s="80"/>
      <c r="AC561" s="80"/>
      <c r="AD561" s="80"/>
      <c r="AE561" s="80"/>
      <c r="AF561" s="82"/>
      <c r="AG561" s="80"/>
      <c r="AH561" s="80"/>
      <c r="AI561" s="82"/>
      <c r="AJ561" s="79"/>
      <c r="AK561" s="78" t="n">
        <f aca="false">IF(E561="","",(X561&lt;&gt;"")+(AC561&lt;&gt;"")+(AH561&lt;&gt;""))</f>
        <v>0</v>
      </c>
      <c r="AL561" s="81" t="str">
        <f aca="false">IF(AH561&lt;&gt;"",AH561,IF(AC561&lt;&gt;"",AC561,IF(X561&lt;&gt;"",X561,"")))</f>
        <v/>
      </c>
      <c r="AM561" s="83" t="str">
        <f aca="false">IF(E561="","",IF(R561="","À SOUDER",IF(U561="","VT EN ATTENTE",IF(U561="R","VT REJETÉ – À REPRENDRE",IF(AL561="","À RADIOGRAPHIER",IF(AL561="A","ACCEPTÉ",IF(AL561="NX","NX – RT À REFAIRE",IF(IF(AK561=1,Z561,IF(AK561=2,AE561,""))="A","RÉPARÉ – À RADIOGRAPHIER",IF(IF(AK561=1,Z561,IF(AK561=2,AE561,""))="R","VT REJETÉ – À REPRENDRE",IF(OR(AL561="CO",AL561="NT"),"COUPE – À RESOUDER","À RÉPARER"))))))))))</f>
        <v>À SOUDER</v>
      </c>
      <c r="AN561" s="81" t="str">
        <f aca="false">IF(AND(ISNUMBER(R561),OR(AM561="À RADIOGRAPHIER",AM561="RÉPARÉ – À RADIOGRAPHIER",AM561="NX – RT À REFAIRE",AM561="À RÉPARER",AM561="COUPE – À RESOUDER",AM561="VT REJETÉ – À REPRENDRE")),MAX(0,'PROGRAMME RT'!$C$4-R561),"")</f>
        <v/>
      </c>
      <c r="AO561" s="78" t="n">
        <f aca="false">IF(AND(OR(AM561="À RADIOGRAPHIER",AM561="RÉPARÉ – À RADIOGRAPHIER",AM561="NX – RT À REFAIRE"),OR('PROGRAMME RT'!$D$5="TOUTES",B561='PROGRAMME RT'!$D$5)),1,0)</f>
        <v>0</v>
      </c>
      <c r="AP561" s="78" t="str">
        <f aca="false">IF(AO561=1,SUM(AO$7:AO561),"")</f>
        <v/>
      </c>
      <c r="AQ561" s="78" t="n">
        <f aca="false">IF(AND(OR(X561="R",X561="NX",X561="NT",X561="CO"),OR('JOINTS DE RÉPARATION'!$D$5="TOUTES",B561='JOINTS DE RÉPARATION'!$D$5),OR('JOINTS DE RÉPARATION'!$L$4="TOUS",AM561&lt;&gt;"ACCEPTÉ")),1,0)</f>
        <v>0</v>
      </c>
      <c r="AR561" s="78" t="str">
        <f aca="false">IF(AQ561=1,SUM(AQ$7:AQ561),"")</f>
        <v/>
      </c>
    </row>
    <row r="562" customFormat="false" ht="15" hidden="false" customHeight="false" outlineLevel="0" collapsed="false">
      <c r="A562" s="78" t="n">
        <f aca="false">IF(E562="","",ROW()-6)</f>
        <v>556</v>
      </c>
      <c r="B562" s="79" t="s">
        <v>585</v>
      </c>
      <c r="C562" s="80"/>
      <c r="D562" s="80"/>
      <c r="E562" s="80" t="s">
        <v>465</v>
      </c>
      <c r="F562" s="80"/>
      <c r="G562" s="80" t="s">
        <v>106</v>
      </c>
      <c r="H562" s="80"/>
      <c r="I562" s="80"/>
      <c r="J562" s="80"/>
      <c r="K562" s="80"/>
      <c r="L562" s="81" t="str">
        <f aca="false">IF(K562="","",IFERROR(INDEX(BARDAGE!$C$7:$C$1506,MATCH(K562,BARDAGE!$B$7:$B$1506,0)),"? hors registre"))</f>
        <v/>
      </c>
      <c r="M562" s="80"/>
      <c r="N562" s="81" t="str">
        <f aca="false">IF(M562="","",IFERROR(INDEX(BARDAGE!$C$7:$C$1506,MATCH(M562,BARDAGE!$B$7:$B$1506,0)),"? hors registre"))</f>
        <v/>
      </c>
      <c r="O562" s="80"/>
      <c r="P562" s="80"/>
      <c r="Q562" s="80"/>
      <c r="R562" s="82"/>
      <c r="S562" s="82"/>
      <c r="T562" s="80"/>
      <c r="U562" s="80"/>
      <c r="V562" s="82"/>
      <c r="W562" s="80"/>
      <c r="X562" s="80"/>
      <c r="Y562" s="80"/>
      <c r="Z562" s="80"/>
      <c r="AA562" s="82"/>
      <c r="AB562" s="80"/>
      <c r="AC562" s="80"/>
      <c r="AD562" s="80"/>
      <c r="AE562" s="80"/>
      <c r="AF562" s="82"/>
      <c r="AG562" s="80"/>
      <c r="AH562" s="80"/>
      <c r="AI562" s="82"/>
      <c r="AJ562" s="79"/>
      <c r="AK562" s="78" t="n">
        <f aca="false">IF(E562="","",(X562&lt;&gt;"")+(AC562&lt;&gt;"")+(AH562&lt;&gt;""))</f>
        <v>0</v>
      </c>
      <c r="AL562" s="81" t="str">
        <f aca="false">IF(AH562&lt;&gt;"",AH562,IF(AC562&lt;&gt;"",AC562,IF(X562&lt;&gt;"",X562,"")))</f>
        <v/>
      </c>
      <c r="AM562" s="83" t="str">
        <f aca="false">IF(E562="","",IF(R562="","À SOUDER",IF(U562="","VT EN ATTENTE",IF(U562="R","VT REJETÉ – À REPRENDRE",IF(AL562="","À RADIOGRAPHIER",IF(AL562="A","ACCEPTÉ",IF(AL562="NX","NX – RT À REFAIRE",IF(IF(AK562=1,Z562,IF(AK562=2,AE562,""))="A","RÉPARÉ – À RADIOGRAPHIER",IF(IF(AK562=1,Z562,IF(AK562=2,AE562,""))="R","VT REJETÉ – À REPRENDRE",IF(OR(AL562="CO",AL562="NT"),"COUPE – À RESOUDER","À RÉPARER"))))))))))</f>
        <v>À SOUDER</v>
      </c>
      <c r="AN562" s="81" t="str">
        <f aca="false">IF(AND(ISNUMBER(R562),OR(AM562="À RADIOGRAPHIER",AM562="RÉPARÉ – À RADIOGRAPHIER",AM562="NX – RT À REFAIRE",AM562="À RÉPARER",AM562="COUPE – À RESOUDER",AM562="VT REJETÉ – À REPRENDRE")),MAX(0,'PROGRAMME RT'!$C$4-R562),"")</f>
        <v/>
      </c>
      <c r="AO562" s="78" t="n">
        <f aca="false">IF(AND(OR(AM562="À RADIOGRAPHIER",AM562="RÉPARÉ – À RADIOGRAPHIER",AM562="NX – RT À REFAIRE"),OR('PROGRAMME RT'!$D$5="TOUTES",B562='PROGRAMME RT'!$D$5)),1,0)</f>
        <v>0</v>
      </c>
      <c r="AP562" s="78" t="str">
        <f aca="false">IF(AO562=1,SUM(AO$7:AO562),"")</f>
        <v/>
      </c>
      <c r="AQ562" s="78" t="n">
        <f aca="false">IF(AND(OR(X562="R",X562="NX",X562="NT",X562="CO"),OR('JOINTS DE RÉPARATION'!$D$5="TOUTES",B562='JOINTS DE RÉPARATION'!$D$5),OR('JOINTS DE RÉPARATION'!$L$4="TOUS",AM562&lt;&gt;"ACCEPTÉ")),1,0)</f>
        <v>0</v>
      </c>
      <c r="AR562" s="78" t="str">
        <f aca="false">IF(AQ562=1,SUM(AQ$7:AQ562),"")</f>
        <v/>
      </c>
    </row>
    <row r="563" customFormat="false" ht="15" hidden="false" customHeight="false" outlineLevel="0" collapsed="false">
      <c r="A563" s="78" t="n">
        <f aca="false">IF(E563="","",ROW()-6)</f>
        <v>557</v>
      </c>
      <c r="B563" s="79" t="s">
        <v>585</v>
      </c>
      <c r="C563" s="80"/>
      <c r="D563" s="80"/>
      <c r="E563" s="80" t="s">
        <v>467</v>
      </c>
      <c r="F563" s="80"/>
      <c r="G563" s="80" t="s">
        <v>106</v>
      </c>
      <c r="H563" s="80"/>
      <c r="I563" s="80"/>
      <c r="J563" s="80"/>
      <c r="K563" s="80"/>
      <c r="L563" s="81" t="str">
        <f aca="false">IF(K563="","",IFERROR(INDEX(BARDAGE!$C$7:$C$1506,MATCH(K563,BARDAGE!$B$7:$B$1506,0)),"? hors registre"))</f>
        <v/>
      </c>
      <c r="M563" s="80"/>
      <c r="N563" s="81" t="str">
        <f aca="false">IF(M563="","",IFERROR(INDEX(BARDAGE!$C$7:$C$1506,MATCH(M563,BARDAGE!$B$7:$B$1506,0)),"? hors registre"))</f>
        <v/>
      </c>
      <c r="O563" s="80"/>
      <c r="P563" s="80"/>
      <c r="Q563" s="80"/>
      <c r="R563" s="82"/>
      <c r="S563" s="82"/>
      <c r="T563" s="80"/>
      <c r="U563" s="80"/>
      <c r="V563" s="82"/>
      <c r="W563" s="80"/>
      <c r="X563" s="80"/>
      <c r="Y563" s="80"/>
      <c r="Z563" s="80"/>
      <c r="AA563" s="82"/>
      <c r="AB563" s="80"/>
      <c r="AC563" s="80"/>
      <c r="AD563" s="80"/>
      <c r="AE563" s="80"/>
      <c r="AF563" s="82"/>
      <c r="AG563" s="80"/>
      <c r="AH563" s="80"/>
      <c r="AI563" s="82"/>
      <c r="AJ563" s="79"/>
      <c r="AK563" s="78" t="n">
        <f aca="false">IF(E563="","",(X563&lt;&gt;"")+(AC563&lt;&gt;"")+(AH563&lt;&gt;""))</f>
        <v>0</v>
      </c>
      <c r="AL563" s="81" t="str">
        <f aca="false">IF(AH563&lt;&gt;"",AH563,IF(AC563&lt;&gt;"",AC563,IF(X563&lt;&gt;"",X563,"")))</f>
        <v/>
      </c>
      <c r="AM563" s="83" t="str">
        <f aca="false">IF(E563="","",IF(R563="","À SOUDER",IF(U563="","VT EN ATTENTE",IF(U563="R","VT REJETÉ – À REPRENDRE",IF(AL563="","À RADIOGRAPHIER",IF(AL563="A","ACCEPTÉ",IF(AL563="NX","NX – RT À REFAIRE",IF(IF(AK563=1,Z563,IF(AK563=2,AE563,""))="A","RÉPARÉ – À RADIOGRAPHIER",IF(IF(AK563=1,Z563,IF(AK563=2,AE563,""))="R","VT REJETÉ – À REPRENDRE",IF(OR(AL563="CO",AL563="NT"),"COUPE – À RESOUDER","À RÉPARER"))))))))))</f>
        <v>À SOUDER</v>
      </c>
      <c r="AN563" s="81" t="str">
        <f aca="false">IF(AND(ISNUMBER(R563),OR(AM563="À RADIOGRAPHIER",AM563="RÉPARÉ – À RADIOGRAPHIER",AM563="NX – RT À REFAIRE",AM563="À RÉPARER",AM563="COUPE – À RESOUDER",AM563="VT REJETÉ – À REPRENDRE")),MAX(0,'PROGRAMME RT'!$C$4-R563),"")</f>
        <v/>
      </c>
      <c r="AO563" s="78" t="n">
        <f aca="false">IF(AND(OR(AM563="À RADIOGRAPHIER",AM563="RÉPARÉ – À RADIOGRAPHIER",AM563="NX – RT À REFAIRE"),OR('PROGRAMME RT'!$D$5="TOUTES",B563='PROGRAMME RT'!$D$5)),1,0)</f>
        <v>0</v>
      </c>
      <c r="AP563" s="78" t="str">
        <f aca="false">IF(AO563=1,SUM(AO$7:AO563),"")</f>
        <v/>
      </c>
      <c r="AQ563" s="78" t="n">
        <f aca="false">IF(AND(OR(X563="R",X563="NX",X563="NT",X563="CO"),OR('JOINTS DE RÉPARATION'!$D$5="TOUTES",B563='JOINTS DE RÉPARATION'!$D$5),OR('JOINTS DE RÉPARATION'!$L$4="TOUS",AM563&lt;&gt;"ACCEPTÉ")),1,0)</f>
        <v>0</v>
      </c>
      <c r="AR563" s="78" t="str">
        <f aca="false">IF(AQ563=1,SUM(AQ$7:AQ563),"")</f>
        <v/>
      </c>
    </row>
    <row r="564" customFormat="false" ht="15" hidden="false" customHeight="false" outlineLevel="0" collapsed="false">
      <c r="A564" s="78" t="n">
        <f aca="false">IF(E564="","",ROW()-6)</f>
        <v>558</v>
      </c>
      <c r="B564" s="79" t="s">
        <v>585</v>
      </c>
      <c r="C564" s="80"/>
      <c r="D564" s="80"/>
      <c r="E564" s="80" t="s">
        <v>470</v>
      </c>
      <c r="F564" s="80"/>
      <c r="G564" s="80" t="s">
        <v>106</v>
      </c>
      <c r="H564" s="80"/>
      <c r="I564" s="80"/>
      <c r="J564" s="80"/>
      <c r="K564" s="80"/>
      <c r="L564" s="81" t="str">
        <f aca="false">IF(K564="","",IFERROR(INDEX(BARDAGE!$C$7:$C$1506,MATCH(K564,BARDAGE!$B$7:$B$1506,0)),"? hors registre"))</f>
        <v/>
      </c>
      <c r="M564" s="80"/>
      <c r="N564" s="81" t="str">
        <f aca="false">IF(M564="","",IFERROR(INDEX(BARDAGE!$C$7:$C$1506,MATCH(M564,BARDAGE!$B$7:$B$1506,0)),"? hors registre"))</f>
        <v/>
      </c>
      <c r="O564" s="80"/>
      <c r="P564" s="80"/>
      <c r="Q564" s="80"/>
      <c r="R564" s="82"/>
      <c r="S564" s="82"/>
      <c r="T564" s="80"/>
      <c r="U564" s="80"/>
      <c r="V564" s="82"/>
      <c r="W564" s="80"/>
      <c r="X564" s="80"/>
      <c r="Y564" s="80"/>
      <c r="Z564" s="80"/>
      <c r="AA564" s="82"/>
      <c r="AB564" s="80"/>
      <c r="AC564" s="80"/>
      <c r="AD564" s="80"/>
      <c r="AE564" s="80"/>
      <c r="AF564" s="82"/>
      <c r="AG564" s="80"/>
      <c r="AH564" s="80"/>
      <c r="AI564" s="82"/>
      <c r="AJ564" s="79"/>
      <c r="AK564" s="78" t="n">
        <f aca="false">IF(E564="","",(X564&lt;&gt;"")+(AC564&lt;&gt;"")+(AH564&lt;&gt;""))</f>
        <v>0</v>
      </c>
      <c r="AL564" s="81" t="str">
        <f aca="false">IF(AH564&lt;&gt;"",AH564,IF(AC564&lt;&gt;"",AC564,IF(X564&lt;&gt;"",X564,"")))</f>
        <v/>
      </c>
      <c r="AM564" s="83" t="str">
        <f aca="false">IF(E564="","",IF(R564="","À SOUDER",IF(U564="","VT EN ATTENTE",IF(U564="R","VT REJETÉ – À REPRENDRE",IF(AL564="","À RADIOGRAPHIER",IF(AL564="A","ACCEPTÉ",IF(AL564="NX","NX – RT À REFAIRE",IF(IF(AK564=1,Z564,IF(AK564=2,AE564,""))="A","RÉPARÉ – À RADIOGRAPHIER",IF(IF(AK564=1,Z564,IF(AK564=2,AE564,""))="R","VT REJETÉ – À REPRENDRE",IF(OR(AL564="CO",AL564="NT"),"COUPE – À RESOUDER","À RÉPARER"))))))))))</f>
        <v>À SOUDER</v>
      </c>
      <c r="AN564" s="81" t="str">
        <f aca="false">IF(AND(ISNUMBER(R564),OR(AM564="À RADIOGRAPHIER",AM564="RÉPARÉ – À RADIOGRAPHIER",AM564="NX – RT À REFAIRE",AM564="À RÉPARER",AM564="COUPE – À RESOUDER",AM564="VT REJETÉ – À REPRENDRE")),MAX(0,'PROGRAMME RT'!$C$4-R564),"")</f>
        <v/>
      </c>
      <c r="AO564" s="78" t="n">
        <f aca="false">IF(AND(OR(AM564="À RADIOGRAPHIER",AM564="RÉPARÉ – À RADIOGRAPHIER",AM564="NX – RT À REFAIRE"),OR('PROGRAMME RT'!$D$5="TOUTES",B564='PROGRAMME RT'!$D$5)),1,0)</f>
        <v>0</v>
      </c>
      <c r="AP564" s="78" t="str">
        <f aca="false">IF(AO564=1,SUM(AO$7:AO564),"")</f>
        <v/>
      </c>
      <c r="AQ564" s="78" t="n">
        <f aca="false">IF(AND(OR(X564="R",X564="NX",X564="NT",X564="CO"),OR('JOINTS DE RÉPARATION'!$D$5="TOUTES",B564='JOINTS DE RÉPARATION'!$D$5),OR('JOINTS DE RÉPARATION'!$L$4="TOUS",AM564&lt;&gt;"ACCEPTÉ")),1,0)</f>
        <v>0</v>
      </c>
      <c r="AR564" s="78" t="str">
        <f aca="false">IF(AQ564=1,SUM(AQ$7:AQ564),"")</f>
        <v/>
      </c>
    </row>
    <row r="565" customFormat="false" ht="15" hidden="false" customHeight="false" outlineLevel="0" collapsed="false">
      <c r="A565" s="78" t="n">
        <f aca="false">IF(E565="","",ROW()-6)</f>
        <v>559</v>
      </c>
      <c r="B565" s="79" t="s">
        <v>585</v>
      </c>
      <c r="C565" s="80"/>
      <c r="D565" s="80"/>
      <c r="E565" s="80" t="s">
        <v>472</v>
      </c>
      <c r="F565" s="80"/>
      <c r="G565" s="80" t="s">
        <v>106</v>
      </c>
      <c r="H565" s="80"/>
      <c r="I565" s="80"/>
      <c r="J565" s="80"/>
      <c r="K565" s="80"/>
      <c r="L565" s="81" t="str">
        <f aca="false">IF(K565="","",IFERROR(INDEX(BARDAGE!$C$7:$C$1506,MATCH(K565,BARDAGE!$B$7:$B$1506,0)),"? hors registre"))</f>
        <v/>
      </c>
      <c r="M565" s="80"/>
      <c r="N565" s="81" t="str">
        <f aca="false">IF(M565="","",IFERROR(INDEX(BARDAGE!$C$7:$C$1506,MATCH(M565,BARDAGE!$B$7:$B$1506,0)),"? hors registre"))</f>
        <v/>
      </c>
      <c r="O565" s="80"/>
      <c r="P565" s="80"/>
      <c r="Q565" s="80"/>
      <c r="R565" s="82"/>
      <c r="S565" s="82"/>
      <c r="T565" s="80"/>
      <c r="U565" s="80"/>
      <c r="V565" s="82"/>
      <c r="W565" s="80"/>
      <c r="X565" s="80"/>
      <c r="Y565" s="80"/>
      <c r="Z565" s="80"/>
      <c r="AA565" s="82"/>
      <c r="AB565" s="80"/>
      <c r="AC565" s="80"/>
      <c r="AD565" s="80"/>
      <c r="AE565" s="80"/>
      <c r="AF565" s="82"/>
      <c r="AG565" s="80"/>
      <c r="AH565" s="80"/>
      <c r="AI565" s="82"/>
      <c r="AJ565" s="79"/>
      <c r="AK565" s="78" t="n">
        <f aca="false">IF(E565="","",(X565&lt;&gt;"")+(AC565&lt;&gt;"")+(AH565&lt;&gt;""))</f>
        <v>0</v>
      </c>
      <c r="AL565" s="81" t="str">
        <f aca="false">IF(AH565&lt;&gt;"",AH565,IF(AC565&lt;&gt;"",AC565,IF(X565&lt;&gt;"",X565,"")))</f>
        <v/>
      </c>
      <c r="AM565" s="83" t="str">
        <f aca="false">IF(E565="","",IF(R565="","À SOUDER",IF(U565="","VT EN ATTENTE",IF(U565="R","VT REJETÉ – À REPRENDRE",IF(AL565="","À RADIOGRAPHIER",IF(AL565="A","ACCEPTÉ",IF(AL565="NX","NX – RT À REFAIRE",IF(IF(AK565=1,Z565,IF(AK565=2,AE565,""))="A","RÉPARÉ – À RADIOGRAPHIER",IF(IF(AK565=1,Z565,IF(AK565=2,AE565,""))="R","VT REJETÉ – À REPRENDRE",IF(OR(AL565="CO",AL565="NT"),"COUPE – À RESOUDER","À RÉPARER"))))))))))</f>
        <v>À SOUDER</v>
      </c>
      <c r="AN565" s="81" t="str">
        <f aca="false">IF(AND(ISNUMBER(R565),OR(AM565="À RADIOGRAPHIER",AM565="RÉPARÉ – À RADIOGRAPHIER",AM565="NX – RT À REFAIRE",AM565="À RÉPARER",AM565="COUPE – À RESOUDER",AM565="VT REJETÉ – À REPRENDRE")),MAX(0,'PROGRAMME RT'!$C$4-R565),"")</f>
        <v/>
      </c>
      <c r="AO565" s="78" t="n">
        <f aca="false">IF(AND(OR(AM565="À RADIOGRAPHIER",AM565="RÉPARÉ – À RADIOGRAPHIER",AM565="NX – RT À REFAIRE"),OR('PROGRAMME RT'!$D$5="TOUTES",B565='PROGRAMME RT'!$D$5)),1,0)</f>
        <v>0</v>
      </c>
      <c r="AP565" s="78" t="str">
        <f aca="false">IF(AO565=1,SUM(AO$7:AO565),"")</f>
        <v/>
      </c>
      <c r="AQ565" s="78" t="n">
        <f aca="false">IF(AND(OR(X565="R",X565="NX",X565="NT",X565="CO"),OR('JOINTS DE RÉPARATION'!$D$5="TOUTES",B565='JOINTS DE RÉPARATION'!$D$5),OR('JOINTS DE RÉPARATION'!$L$4="TOUS",AM565&lt;&gt;"ACCEPTÉ")),1,0)</f>
        <v>0</v>
      </c>
      <c r="AR565" s="78" t="str">
        <f aca="false">IF(AQ565=1,SUM(AQ$7:AQ565),"")</f>
        <v/>
      </c>
    </row>
    <row r="566" customFormat="false" ht="15" hidden="false" customHeight="false" outlineLevel="0" collapsed="false">
      <c r="A566" s="78" t="n">
        <f aca="false">IF(E566="","",ROW()-6)</f>
        <v>560</v>
      </c>
      <c r="B566" s="79" t="s">
        <v>585</v>
      </c>
      <c r="C566" s="80"/>
      <c r="D566" s="80"/>
      <c r="E566" s="80" t="s">
        <v>475</v>
      </c>
      <c r="F566" s="80"/>
      <c r="G566" s="80" t="s">
        <v>106</v>
      </c>
      <c r="H566" s="80"/>
      <c r="I566" s="80"/>
      <c r="J566" s="80"/>
      <c r="K566" s="80"/>
      <c r="L566" s="81" t="str">
        <f aca="false">IF(K566="","",IFERROR(INDEX(BARDAGE!$C$7:$C$1506,MATCH(K566,BARDAGE!$B$7:$B$1506,0)),"? hors registre"))</f>
        <v/>
      </c>
      <c r="M566" s="80"/>
      <c r="N566" s="81" t="str">
        <f aca="false">IF(M566="","",IFERROR(INDEX(BARDAGE!$C$7:$C$1506,MATCH(M566,BARDAGE!$B$7:$B$1506,0)),"? hors registre"))</f>
        <v/>
      </c>
      <c r="O566" s="80"/>
      <c r="P566" s="80"/>
      <c r="Q566" s="80"/>
      <c r="R566" s="82"/>
      <c r="S566" s="82"/>
      <c r="T566" s="80"/>
      <c r="U566" s="80"/>
      <c r="V566" s="82"/>
      <c r="W566" s="80"/>
      <c r="X566" s="80"/>
      <c r="Y566" s="80"/>
      <c r="Z566" s="80"/>
      <c r="AA566" s="82"/>
      <c r="AB566" s="80"/>
      <c r="AC566" s="80"/>
      <c r="AD566" s="80"/>
      <c r="AE566" s="80"/>
      <c r="AF566" s="82"/>
      <c r="AG566" s="80"/>
      <c r="AH566" s="80"/>
      <c r="AI566" s="82"/>
      <c r="AJ566" s="79"/>
      <c r="AK566" s="78" t="n">
        <f aca="false">IF(E566="","",(X566&lt;&gt;"")+(AC566&lt;&gt;"")+(AH566&lt;&gt;""))</f>
        <v>0</v>
      </c>
      <c r="AL566" s="81" t="str">
        <f aca="false">IF(AH566&lt;&gt;"",AH566,IF(AC566&lt;&gt;"",AC566,IF(X566&lt;&gt;"",X566,"")))</f>
        <v/>
      </c>
      <c r="AM566" s="83" t="str">
        <f aca="false">IF(E566="","",IF(R566="","À SOUDER",IF(U566="","VT EN ATTENTE",IF(U566="R","VT REJETÉ – À REPRENDRE",IF(AL566="","À RADIOGRAPHIER",IF(AL566="A","ACCEPTÉ",IF(AL566="NX","NX – RT À REFAIRE",IF(IF(AK566=1,Z566,IF(AK566=2,AE566,""))="A","RÉPARÉ – À RADIOGRAPHIER",IF(IF(AK566=1,Z566,IF(AK566=2,AE566,""))="R","VT REJETÉ – À REPRENDRE",IF(OR(AL566="CO",AL566="NT"),"COUPE – À RESOUDER","À RÉPARER"))))))))))</f>
        <v>À SOUDER</v>
      </c>
      <c r="AN566" s="81" t="str">
        <f aca="false">IF(AND(ISNUMBER(R566),OR(AM566="À RADIOGRAPHIER",AM566="RÉPARÉ – À RADIOGRAPHIER",AM566="NX – RT À REFAIRE",AM566="À RÉPARER",AM566="COUPE – À RESOUDER",AM566="VT REJETÉ – À REPRENDRE")),MAX(0,'PROGRAMME RT'!$C$4-R566),"")</f>
        <v/>
      </c>
      <c r="AO566" s="78" t="n">
        <f aca="false">IF(AND(OR(AM566="À RADIOGRAPHIER",AM566="RÉPARÉ – À RADIOGRAPHIER",AM566="NX – RT À REFAIRE"),OR('PROGRAMME RT'!$D$5="TOUTES",B566='PROGRAMME RT'!$D$5)),1,0)</f>
        <v>0</v>
      </c>
      <c r="AP566" s="78" t="str">
        <f aca="false">IF(AO566=1,SUM(AO$7:AO566),"")</f>
        <v/>
      </c>
      <c r="AQ566" s="78" t="n">
        <f aca="false">IF(AND(OR(X566="R",X566="NX",X566="NT",X566="CO"),OR('JOINTS DE RÉPARATION'!$D$5="TOUTES",B566='JOINTS DE RÉPARATION'!$D$5),OR('JOINTS DE RÉPARATION'!$L$4="TOUS",AM566&lt;&gt;"ACCEPTÉ")),1,0)</f>
        <v>0</v>
      </c>
      <c r="AR566" s="78" t="str">
        <f aca="false">IF(AQ566=1,SUM(AQ$7:AQ566),"")</f>
        <v/>
      </c>
    </row>
    <row r="567" customFormat="false" ht="15" hidden="false" customHeight="false" outlineLevel="0" collapsed="false">
      <c r="A567" s="78" t="n">
        <f aca="false">IF(E567="","",ROW()-6)</f>
        <v>561</v>
      </c>
      <c r="B567" s="79" t="s">
        <v>585</v>
      </c>
      <c r="C567" s="80"/>
      <c r="D567" s="80"/>
      <c r="E567" s="80" t="s">
        <v>477</v>
      </c>
      <c r="F567" s="80"/>
      <c r="G567" s="80" t="s">
        <v>106</v>
      </c>
      <c r="H567" s="80"/>
      <c r="I567" s="80"/>
      <c r="J567" s="80"/>
      <c r="K567" s="80"/>
      <c r="L567" s="81" t="str">
        <f aca="false">IF(K567="","",IFERROR(INDEX(BARDAGE!$C$7:$C$1506,MATCH(K567,BARDAGE!$B$7:$B$1506,0)),"? hors registre"))</f>
        <v/>
      </c>
      <c r="M567" s="80"/>
      <c r="N567" s="81" t="str">
        <f aca="false">IF(M567="","",IFERROR(INDEX(BARDAGE!$C$7:$C$1506,MATCH(M567,BARDAGE!$B$7:$B$1506,0)),"? hors registre"))</f>
        <v/>
      </c>
      <c r="O567" s="80"/>
      <c r="P567" s="80"/>
      <c r="Q567" s="80"/>
      <c r="R567" s="82"/>
      <c r="S567" s="82"/>
      <c r="T567" s="80"/>
      <c r="U567" s="80"/>
      <c r="V567" s="82"/>
      <c r="W567" s="80"/>
      <c r="X567" s="80"/>
      <c r="Y567" s="80"/>
      <c r="Z567" s="80"/>
      <c r="AA567" s="82"/>
      <c r="AB567" s="80"/>
      <c r="AC567" s="80"/>
      <c r="AD567" s="80"/>
      <c r="AE567" s="80"/>
      <c r="AF567" s="82"/>
      <c r="AG567" s="80"/>
      <c r="AH567" s="80"/>
      <c r="AI567" s="82"/>
      <c r="AJ567" s="79"/>
      <c r="AK567" s="78" t="n">
        <f aca="false">IF(E567="","",(X567&lt;&gt;"")+(AC567&lt;&gt;"")+(AH567&lt;&gt;""))</f>
        <v>0</v>
      </c>
      <c r="AL567" s="81" t="str">
        <f aca="false">IF(AH567&lt;&gt;"",AH567,IF(AC567&lt;&gt;"",AC567,IF(X567&lt;&gt;"",X567,"")))</f>
        <v/>
      </c>
      <c r="AM567" s="83" t="str">
        <f aca="false">IF(E567="","",IF(R567="","À SOUDER",IF(U567="","VT EN ATTENTE",IF(U567="R","VT REJETÉ – À REPRENDRE",IF(AL567="","À RADIOGRAPHIER",IF(AL567="A","ACCEPTÉ",IF(AL567="NX","NX – RT À REFAIRE",IF(IF(AK567=1,Z567,IF(AK567=2,AE567,""))="A","RÉPARÉ – À RADIOGRAPHIER",IF(IF(AK567=1,Z567,IF(AK567=2,AE567,""))="R","VT REJETÉ – À REPRENDRE",IF(OR(AL567="CO",AL567="NT"),"COUPE – À RESOUDER","À RÉPARER"))))))))))</f>
        <v>À SOUDER</v>
      </c>
      <c r="AN567" s="81" t="str">
        <f aca="false">IF(AND(ISNUMBER(R567),OR(AM567="À RADIOGRAPHIER",AM567="RÉPARÉ – À RADIOGRAPHIER",AM567="NX – RT À REFAIRE",AM567="À RÉPARER",AM567="COUPE – À RESOUDER",AM567="VT REJETÉ – À REPRENDRE")),MAX(0,'PROGRAMME RT'!$C$4-R567),"")</f>
        <v/>
      </c>
      <c r="AO567" s="78" t="n">
        <f aca="false">IF(AND(OR(AM567="À RADIOGRAPHIER",AM567="RÉPARÉ – À RADIOGRAPHIER",AM567="NX – RT À REFAIRE"),OR('PROGRAMME RT'!$D$5="TOUTES",B567='PROGRAMME RT'!$D$5)),1,0)</f>
        <v>0</v>
      </c>
      <c r="AP567" s="78" t="str">
        <f aca="false">IF(AO567=1,SUM(AO$7:AO567),"")</f>
        <v/>
      </c>
      <c r="AQ567" s="78" t="n">
        <f aca="false">IF(AND(OR(X567="R",X567="NX",X567="NT",X567="CO"),OR('JOINTS DE RÉPARATION'!$D$5="TOUTES",B567='JOINTS DE RÉPARATION'!$D$5),OR('JOINTS DE RÉPARATION'!$L$4="TOUS",AM567&lt;&gt;"ACCEPTÉ")),1,0)</f>
        <v>0</v>
      </c>
      <c r="AR567" s="78" t="str">
        <f aca="false">IF(AQ567=1,SUM(AQ$7:AQ567),"")</f>
        <v/>
      </c>
    </row>
    <row r="568" customFormat="false" ht="15" hidden="false" customHeight="false" outlineLevel="0" collapsed="false">
      <c r="A568" s="78" t="n">
        <f aca="false">IF(E568="","",ROW()-6)</f>
        <v>562</v>
      </c>
      <c r="B568" s="79" t="s">
        <v>585</v>
      </c>
      <c r="C568" s="80"/>
      <c r="D568" s="80"/>
      <c r="E568" s="80" t="s">
        <v>479</v>
      </c>
      <c r="F568" s="80"/>
      <c r="G568" s="80" t="s">
        <v>106</v>
      </c>
      <c r="H568" s="80"/>
      <c r="I568" s="80"/>
      <c r="J568" s="80"/>
      <c r="K568" s="80"/>
      <c r="L568" s="81" t="str">
        <f aca="false">IF(K568="","",IFERROR(INDEX(BARDAGE!$C$7:$C$1506,MATCH(K568,BARDAGE!$B$7:$B$1506,0)),"? hors registre"))</f>
        <v/>
      </c>
      <c r="M568" s="80"/>
      <c r="N568" s="81" t="str">
        <f aca="false">IF(M568="","",IFERROR(INDEX(BARDAGE!$C$7:$C$1506,MATCH(M568,BARDAGE!$B$7:$B$1506,0)),"? hors registre"))</f>
        <v/>
      </c>
      <c r="O568" s="80"/>
      <c r="P568" s="80"/>
      <c r="Q568" s="80"/>
      <c r="R568" s="82"/>
      <c r="S568" s="82"/>
      <c r="T568" s="80"/>
      <c r="U568" s="80"/>
      <c r="V568" s="82"/>
      <c r="W568" s="80"/>
      <c r="X568" s="80"/>
      <c r="Y568" s="80"/>
      <c r="Z568" s="80"/>
      <c r="AA568" s="82"/>
      <c r="AB568" s="80"/>
      <c r="AC568" s="80"/>
      <c r="AD568" s="80"/>
      <c r="AE568" s="80"/>
      <c r="AF568" s="82"/>
      <c r="AG568" s="80"/>
      <c r="AH568" s="80"/>
      <c r="AI568" s="82"/>
      <c r="AJ568" s="79"/>
      <c r="AK568" s="78" t="n">
        <f aca="false">IF(E568="","",(X568&lt;&gt;"")+(AC568&lt;&gt;"")+(AH568&lt;&gt;""))</f>
        <v>0</v>
      </c>
      <c r="AL568" s="81" t="str">
        <f aca="false">IF(AH568&lt;&gt;"",AH568,IF(AC568&lt;&gt;"",AC568,IF(X568&lt;&gt;"",X568,"")))</f>
        <v/>
      </c>
      <c r="AM568" s="83" t="str">
        <f aca="false">IF(E568="","",IF(R568="","À SOUDER",IF(U568="","VT EN ATTENTE",IF(U568="R","VT REJETÉ – À REPRENDRE",IF(AL568="","À RADIOGRAPHIER",IF(AL568="A","ACCEPTÉ",IF(AL568="NX","NX – RT À REFAIRE",IF(IF(AK568=1,Z568,IF(AK568=2,AE568,""))="A","RÉPARÉ – À RADIOGRAPHIER",IF(IF(AK568=1,Z568,IF(AK568=2,AE568,""))="R","VT REJETÉ – À REPRENDRE",IF(OR(AL568="CO",AL568="NT"),"COUPE – À RESOUDER","À RÉPARER"))))))))))</f>
        <v>À SOUDER</v>
      </c>
      <c r="AN568" s="81" t="str">
        <f aca="false">IF(AND(ISNUMBER(R568),OR(AM568="À RADIOGRAPHIER",AM568="RÉPARÉ – À RADIOGRAPHIER",AM568="NX – RT À REFAIRE",AM568="À RÉPARER",AM568="COUPE – À RESOUDER",AM568="VT REJETÉ – À REPRENDRE")),MAX(0,'PROGRAMME RT'!$C$4-R568),"")</f>
        <v/>
      </c>
      <c r="AO568" s="78" t="n">
        <f aca="false">IF(AND(OR(AM568="À RADIOGRAPHIER",AM568="RÉPARÉ – À RADIOGRAPHIER",AM568="NX – RT À REFAIRE"),OR('PROGRAMME RT'!$D$5="TOUTES",B568='PROGRAMME RT'!$D$5)),1,0)</f>
        <v>0</v>
      </c>
      <c r="AP568" s="78" t="str">
        <f aca="false">IF(AO568=1,SUM(AO$7:AO568),"")</f>
        <v/>
      </c>
      <c r="AQ568" s="78" t="n">
        <f aca="false">IF(AND(OR(X568="R",X568="NX",X568="NT",X568="CO"),OR('JOINTS DE RÉPARATION'!$D$5="TOUTES",B568='JOINTS DE RÉPARATION'!$D$5),OR('JOINTS DE RÉPARATION'!$L$4="TOUS",AM568&lt;&gt;"ACCEPTÉ")),1,0)</f>
        <v>0</v>
      </c>
      <c r="AR568" s="78" t="str">
        <f aca="false">IF(AQ568=1,SUM(AQ$7:AQ568),"")</f>
        <v/>
      </c>
    </row>
    <row r="569" customFormat="false" ht="15" hidden="false" customHeight="false" outlineLevel="0" collapsed="false">
      <c r="A569" s="78" t="n">
        <f aca="false">IF(E569="","",ROW()-6)</f>
        <v>563</v>
      </c>
      <c r="B569" s="79" t="s">
        <v>585</v>
      </c>
      <c r="C569" s="80"/>
      <c r="D569" s="80"/>
      <c r="E569" s="80" t="s">
        <v>481</v>
      </c>
      <c r="F569" s="80"/>
      <c r="G569" s="80" t="s">
        <v>106</v>
      </c>
      <c r="H569" s="80"/>
      <c r="I569" s="80"/>
      <c r="J569" s="80"/>
      <c r="K569" s="80"/>
      <c r="L569" s="81" t="str">
        <f aca="false">IF(K569="","",IFERROR(INDEX(BARDAGE!$C$7:$C$1506,MATCH(K569,BARDAGE!$B$7:$B$1506,0)),"? hors registre"))</f>
        <v/>
      </c>
      <c r="M569" s="80"/>
      <c r="N569" s="81" t="str">
        <f aca="false">IF(M569="","",IFERROR(INDEX(BARDAGE!$C$7:$C$1506,MATCH(M569,BARDAGE!$B$7:$B$1506,0)),"? hors registre"))</f>
        <v/>
      </c>
      <c r="O569" s="80"/>
      <c r="P569" s="80"/>
      <c r="Q569" s="80"/>
      <c r="R569" s="82"/>
      <c r="S569" s="82"/>
      <c r="T569" s="80"/>
      <c r="U569" s="80"/>
      <c r="V569" s="82"/>
      <c r="W569" s="80"/>
      <c r="X569" s="80"/>
      <c r="Y569" s="80"/>
      <c r="Z569" s="80"/>
      <c r="AA569" s="82"/>
      <c r="AB569" s="80"/>
      <c r="AC569" s="80"/>
      <c r="AD569" s="80"/>
      <c r="AE569" s="80"/>
      <c r="AF569" s="82"/>
      <c r="AG569" s="80"/>
      <c r="AH569" s="80"/>
      <c r="AI569" s="82"/>
      <c r="AJ569" s="79"/>
      <c r="AK569" s="78" t="n">
        <f aca="false">IF(E569="","",(X569&lt;&gt;"")+(AC569&lt;&gt;"")+(AH569&lt;&gt;""))</f>
        <v>0</v>
      </c>
      <c r="AL569" s="81" t="str">
        <f aca="false">IF(AH569&lt;&gt;"",AH569,IF(AC569&lt;&gt;"",AC569,IF(X569&lt;&gt;"",X569,"")))</f>
        <v/>
      </c>
      <c r="AM569" s="83" t="str">
        <f aca="false">IF(E569="","",IF(R569="","À SOUDER",IF(U569="","VT EN ATTENTE",IF(U569="R","VT REJETÉ – À REPRENDRE",IF(AL569="","À RADIOGRAPHIER",IF(AL569="A","ACCEPTÉ",IF(AL569="NX","NX – RT À REFAIRE",IF(IF(AK569=1,Z569,IF(AK569=2,AE569,""))="A","RÉPARÉ – À RADIOGRAPHIER",IF(IF(AK569=1,Z569,IF(AK569=2,AE569,""))="R","VT REJETÉ – À REPRENDRE",IF(OR(AL569="CO",AL569="NT"),"COUPE – À RESOUDER","À RÉPARER"))))))))))</f>
        <v>À SOUDER</v>
      </c>
      <c r="AN569" s="81" t="str">
        <f aca="false">IF(AND(ISNUMBER(R569),OR(AM569="À RADIOGRAPHIER",AM569="RÉPARÉ – À RADIOGRAPHIER",AM569="NX – RT À REFAIRE",AM569="À RÉPARER",AM569="COUPE – À RESOUDER",AM569="VT REJETÉ – À REPRENDRE")),MAX(0,'PROGRAMME RT'!$C$4-R569),"")</f>
        <v/>
      </c>
      <c r="AO569" s="78" t="n">
        <f aca="false">IF(AND(OR(AM569="À RADIOGRAPHIER",AM569="RÉPARÉ – À RADIOGRAPHIER",AM569="NX – RT À REFAIRE"),OR('PROGRAMME RT'!$D$5="TOUTES",B569='PROGRAMME RT'!$D$5)),1,0)</f>
        <v>0</v>
      </c>
      <c r="AP569" s="78" t="str">
        <f aca="false">IF(AO569=1,SUM(AO$7:AO569),"")</f>
        <v/>
      </c>
      <c r="AQ569" s="78" t="n">
        <f aca="false">IF(AND(OR(X569="R",X569="NX",X569="NT",X569="CO"),OR('JOINTS DE RÉPARATION'!$D$5="TOUTES",B569='JOINTS DE RÉPARATION'!$D$5),OR('JOINTS DE RÉPARATION'!$L$4="TOUS",AM569&lt;&gt;"ACCEPTÉ")),1,0)</f>
        <v>0</v>
      </c>
      <c r="AR569" s="78" t="str">
        <f aca="false">IF(AQ569=1,SUM(AQ$7:AQ569),"")</f>
        <v/>
      </c>
    </row>
    <row r="570" customFormat="false" ht="15" hidden="false" customHeight="false" outlineLevel="0" collapsed="false">
      <c r="A570" s="78" t="n">
        <f aca="false">IF(E570="","",ROW()-6)</f>
        <v>564</v>
      </c>
      <c r="B570" s="79" t="s">
        <v>585</v>
      </c>
      <c r="C570" s="80"/>
      <c r="D570" s="80"/>
      <c r="E570" s="80" t="s">
        <v>483</v>
      </c>
      <c r="F570" s="80"/>
      <c r="G570" s="80" t="s">
        <v>106</v>
      </c>
      <c r="H570" s="80"/>
      <c r="I570" s="80"/>
      <c r="J570" s="80"/>
      <c r="K570" s="80"/>
      <c r="L570" s="81" t="str">
        <f aca="false">IF(K570="","",IFERROR(INDEX(BARDAGE!$C$7:$C$1506,MATCH(K570,BARDAGE!$B$7:$B$1506,0)),"? hors registre"))</f>
        <v/>
      </c>
      <c r="M570" s="80"/>
      <c r="N570" s="81" t="str">
        <f aca="false">IF(M570="","",IFERROR(INDEX(BARDAGE!$C$7:$C$1506,MATCH(M570,BARDAGE!$B$7:$B$1506,0)),"? hors registre"))</f>
        <v/>
      </c>
      <c r="O570" s="80"/>
      <c r="P570" s="80"/>
      <c r="Q570" s="80"/>
      <c r="R570" s="82"/>
      <c r="S570" s="82"/>
      <c r="T570" s="80"/>
      <c r="U570" s="80"/>
      <c r="V570" s="82"/>
      <c r="W570" s="80"/>
      <c r="X570" s="80"/>
      <c r="Y570" s="80"/>
      <c r="Z570" s="80"/>
      <c r="AA570" s="82"/>
      <c r="AB570" s="80"/>
      <c r="AC570" s="80"/>
      <c r="AD570" s="80"/>
      <c r="AE570" s="80"/>
      <c r="AF570" s="82"/>
      <c r="AG570" s="80"/>
      <c r="AH570" s="80"/>
      <c r="AI570" s="82"/>
      <c r="AJ570" s="79"/>
      <c r="AK570" s="78" t="n">
        <f aca="false">IF(E570="","",(X570&lt;&gt;"")+(AC570&lt;&gt;"")+(AH570&lt;&gt;""))</f>
        <v>0</v>
      </c>
      <c r="AL570" s="81" t="str">
        <f aca="false">IF(AH570&lt;&gt;"",AH570,IF(AC570&lt;&gt;"",AC570,IF(X570&lt;&gt;"",X570,"")))</f>
        <v/>
      </c>
      <c r="AM570" s="83" t="str">
        <f aca="false">IF(E570="","",IF(R570="","À SOUDER",IF(U570="","VT EN ATTENTE",IF(U570="R","VT REJETÉ – À REPRENDRE",IF(AL570="","À RADIOGRAPHIER",IF(AL570="A","ACCEPTÉ",IF(AL570="NX","NX – RT À REFAIRE",IF(IF(AK570=1,Z570,IF(AK570=2,AE570,""))="A","RÉPARÉ – À RADIOGRAPHIER",IF(IF(AK570=1,Z570,IF(AK570=2,AE570,""))="R","VT REJETÉ – À REPRENDRE",IF(OR(AL570="CO",AL570="NT"),"COUPE – À RESOUDER","À RÉPARER"))))))))))</f>
        <v>À SOUDER</v>
      </c>
      <c r="AN570" s="81" t="str">
        <f aca="false">IF(AND(ISNUMBER(R570),OR(AM570="À RADIOGRAPHIER",AM570="RÉPARÉ – À RADIOGRAPHIER",AM570="NX – RT À REFAIRE",AM570="À RÉPARER",AM570="COUPE – À RESOUDER",AM570="VT REJETÉ – À REPRENDRE")),MAX(0,'PROGRAMME RT'!$C$4-R570),"")</f>
        <v/>
      </c>
      <c r="AO570" s="78" t="n">
        <f aca="false">IF(AND(OR(AM570="À RADIOGRAPHIER",AM570="RÉPARÉ – À RADIOGRAPHIER",AM570="NX – RT À REFAIRE"),OR('PROGRAMME RT'!$D$5="TOUTES",B570='PROGRAMME RT'!$D$5)),1,0)</f>
        <v>0</v>
      </c>
      <c r="AP570" s="78" t="str">
        <f aca="false">IF(AO570=1,SUM(AO$7:AO570),"")</f>
        <v/>
      </c>
      <c r="AQ570" s="78" t="n">
        <f aca="false">IF(AND(OR(X570="R",X570="NX",X570="NT",X570="CO"),OR('JOINTS DE RÉPARATION'!$D$5="TOUTES",B570='JOINTS DE RÉPARATION'!$D$5),OR('JOINTS DE RÉPARATION'!$L$4="TOUS",AM570&lt;&gt;"ACCEPTÉ")),1,0)</f>
        <v>0</v>
      </c>
      <c r="AR570" s="78" t="str">
        <f aca="false">IF(AQ570=1,SUM(AQ$7:AQ570),"")</f>
        <v/>
      </c>
    </row>
    <row r="571" customFormat="false" ht="15" hidden="false" customHeight="false" outlineLevel="0" collapsed="false">
      <c r="A571" s="78" t="n">
        <f aca="false">IF(E571="","",ROW()-6)</f>
        <v>565</v>
      </c>
      <c r="B571" s="79" t="s">
        <v>585</v>
      </c>
      <c r="C571" s="80"/>
      <c r="D571" s="80"/>
      <c r="E571" s="80" t="s">
        <v>485</v>
      </c>
      <c r="F571" s="80"/>
      <c r="G571" s="80" t="s">
        <v>106</v>
      </c>
      <c r="H571" s="80"/>
      <c r="I571" s="80"/>
      <c r="J571" s="80"/>
      <c r="K571" s="80"/>
      <c r="L571" s="81" t="str">
        <f aca="false">IF(K571="","",IFERROR(INDEX(BARDAGE!$C$7:$C$1506,MATCH(K571,BARDAGE!$B$7:$B$1506,0)),"? hors registre"))</f>
        <v/>
      </c>
      <c r="M571" s="80"/>
      <c r="N571" s="81" t="str">
        <f aca="false">IF(M571="","",IFERROR(INDEX(BARDAGE!$C$7:$C$1506,MATCH(M571,BARDAGE!$B$7:$B$1506,0)),"? hors registre"))</f>
        <v/>
      </c>
      <c r="O571" s="80"/>
      <c r="P571" s="80"/>
      <c r="Q571" s="80"/>
      <c r="R571" s="82"/>
      <c r="S571" s="82"/>
      <c r="T571" s="80"/>
      <c r="U571" s="80"/>
      <c r="V571" s="82"/>
      <c r="W571" s="80"/>
      <c r="X571" s="80"/>
      <c r="Y571" s="80"/>
      <c r="Z571" s="80"/>
      <c r="AA571" s="82"/>
      <c r="AB571" s="80"/>
      <c r="AC571" s="80"/>
      <c r="AD571" s="80"/>
      <c r="AE571" s="80"/>
      <c r="AF571" s="82"/>
      <c r="AG571" s="80"/>
      <c r="AH571" s="80"/>
      <c r="AI571" s="82"/>
      <c r="AJ571" s="79"/>
      <c r="AK571" s="78" t="n">
        <f aca="false">IF(E571="","",(X571&lt;&gt;"")+(AC571&lt;&gt;"")+(AH571&lt;&gt;""))</f>
        <v>0</v>
      </c>
      <c r="AL571" s="81" t="str">
        <f aca="false">IF(AH571&lt;&gt;"",AH571,IF(AC571&lt;&gt;"",AC571,IF(X571&lt;&gt;"",X571,"")))</f>
        <v/>
      </c>
      <c r="AM571" s="83" t="str">
        <f aca="false">IF(E571="","",IF(R571="","À SOUDER",IF(U571="","VT EN ATTENTE",IF(U571="R","VT REJETÉ – À REPRENDRE",IF(AL571="","À RADIOGRAPHIER",IF(AL571="A","ACCEPTÉ",IF(AL571="NX","NX – RT À REFAIRE",IF(IF(AK571=1,Z571,IF(AK571=2,AE571,""))="A","RÉPARÉ – À RADIOGRAPHIER",IF(IF(AK571=1,Z571,IF(AK571=2,AE571,""))="R","VT REJETÉ – À REPRENDRE",IF(OR(AL571="CO",AL571="NT"),"COUPE – À RESOUDER","À RÉPARER"))))))))))</f>
        <v>À SOUDER</v>
      </c>
      <c r="AN571" s="81" t="str">
        <f aca="false">IF(AND(ISNUMBER(R571),OR(AM571="À RADIOGRAPHIER",AM571="RÉPARÉ – À RADIOGRAPHIER",AM571="NX – RT À REFAIRE",AM571="À RÉPARER",AM571="COUPE – À RESOUDER",AM571="VT REJETÉ – À REPRENDRE")),MAX(0,'PROGRAMME RT'!$C$4-R571),"")</f>
        <v/>
      </c>
      <c r="AO571" s="78" t="n">
        <f aca="false">IF(AND(OR(AM571="À RADIOGRAPHIER",AM571="RÉPARÉ – À RADIOGRAPHIER",AM571="NX – RT À REFAIRE"),OR('PROGRAMME RT'!$D$5="TOUTES",B571='PROGRAMME RT'!$D$5)),1,0)</f>
        <v>0</v>
      </c>
      <c r="AP571" s="78" t="str">
        <f aca="false">IF(AO571=1,SUM(AO$7:AO571),"")</f>
        <v/>
      </c>
      <c r="AQ571" s="78" t="n">
        <f aca="false">IF(AND(OR(X571="R",X571="NX",X571="NT",X571="CO"),OR('JOINTS DE RÉPARATION'!$D$5="TOUTES",B571='JOINTS DE RÉPARATION'!$D$5),OR('JOINTS DE RÉPARATION'!$L$4="TOUS",AM571&lt;&gt;"ACCEPTÉ")),1,0)</f>
        <v>0</v>
      </c>
      <c r="AR571" s="78" t="str">
        <f aca="false">IF(AQ571=1,SUM(AQ$7:AQ571),"")</f>
        <v/>
      </c>
    </row>
    <row r="572" customFormat="false" ht="15" hidden="false" customHeight="false" outlineLevel="0" collapsed="false">
      <c r="A572" s="78" t="n">
        <f aca="false">IF(E572="","",ROW()-6)</f>
        <v>566</v>
      </c>
      <c r="B572" s="79" t="s">
        <v>585</v>
      </c>
      <c r="C572" s="80"/>
      <c r="D572" s="80"/>
      <c r="E572" s="80" t="s">
        <v>487</v>
      </c>
      <c r="F572" s="80"/>
      <c r="G572" s="80" t="s">
        <v>106</v>
      </c>
      <c r="H572" s="80"/>
      <c r="I572" s="80"/>
      <c r="J572" s="80"/>
      <c r="K572" s="80"/>
      <c r="L572" s="81" t="str">
        <f aca="false">IF(K572="","",IFERROR(INDEX(BARDAGE!$C$7:$C$1506,MATCH(K572,BARDAGE!$B$7:$B$1506,0)),"? hors registre"))</f>
        <v/>
      </c>
      <c r="M572" s="80"/>
      <c r="N572" s="81" t="str">
        <f aca="false">IF(M572="","",IFERROR(INDEX(BARDAGE!$C$7:$C$1506,MATCH(M572,BARDAGE!$B$7:$B$1506,0)),"? hors registre"))</f>
        <v/>
      </c>
      <c r="O572" s="80"/>
      <c r="P572" s="80"/>
      <c r="Q572" s="80"/>
      <c r="R572" s="82"/>
      <c r="S572" s="82"/>
      <c r="T572" s="80"/>
      <c r="U572" s="80"/>
      <c r="V572" s="82"/>
      <c r="W572" s="80"/>
      <c r="X572" s="80"/>
      <c r="Y572" s="80"/>
      <c r="Z572" s="80"/>
      <c r="AA572" s="82"/>
      <c r="AB572" s="80"/>
      <c r="AC572" s="80"/>
      <c r="AD572" s="80"/>
      <c r="AE572" s="80"/>
      <c r="AF572" s="82"/>
      <c r="AG572" s="80"/>
      <c r="AH572" s="80"/>
      <c r="AI572" s="82"/>
      <c r="AJ572" s="79"/>
      <c r="AK572" s="78" t="n">
        <f aca="false">IF(E572="","",(X572&lt;&gt;"")+(AC572&lt;&gt;"")+(AH572&lt;&gt;""))</f>
        <v>0</v>
      </c>
      <c r="AL572" s="81" t="str">
        <f aca="false">IF(AH572&lt;&gt;"",AH572,IF(AC572&lt;&gt;"",AC572,IF(X572&lt;&gt;"",X572,"")))</f>
        <v/>
      </c>
      <c r="AM572" s="83" t="str">
        <f aca="false">IF(E572="","",IF(R572="","À SOUDER",IF(U572="","VT EN ATTENTE",IF(U572="R","VT REJETÉ – À REPRENDRE",IF(AL572="","À RADIOGRAPHIER",IF(AL572="A","ACCEPTÉ",IF(AL572="NX","NX – RT À REFAIRE",IF(IF(AK572=1,Z572,IF(AK572=2,AE572,""))="A","RÉPARÉ – À RADIOGRAPHIER",IF(IF(AK572=1,Z572,IF(AK572=2,AE572,""))="R","VT REJETÉ – À REPRENDRE",IF(OR(AL572="CO",AL572="NT"),"COUPE – À RESOUDER","À RÉPARER"))))))))))</f>
        <v>À SOUDER</v>
      </c>
      <c r="AN572" s="81" t="str">
        <f aca="false">IF(AND(ISNUMBER(R572),OR(AM572="À RADIOGRAPHIER",AM572="RÉPARÉ – À RADIOGRAPHIER",AM572="NX – RT À REFAIRE",AM572="À RÉPARER",AM572="COUPE – À RESOUDER",AM572="VT REJETÉ – À REPRENDRE")),MAX(0,'PROGRAMME RT'!$C$4-R572),"")</f>
        <v/>
      </c>
      <c r="AO572" s="78" t="n">
        <f aca="false">IF(AND(OR(AM572="À RADIOGRAPHIER",AM572="RÉPARÉ – À RADIOGRAPHIER",AM572="NX – RT À REFAIRE"),OR('PROGRAMME RT'!$D$5="TOUTES",B572='PROGRAMME RT'!$D$5)),1,0)</f>
        <v>0</v>
      </c>
      <c r="AP572" s="78" t="str">
        <f aca="false">IF(AO572=1,SUM(AO$7:AO572),"")</f>
        <v/>
      </c>
      <c r="AQ572" s="78" t="n">
        <f aca="false">IF(AND(OR(X572="R",X572="NX",X572="NT",X572="CO"),OR('JOINTS DE RÉPARATION'!$D$5="TOUTES",B572='JOINTS DE RÉPARATION'!$D$5),OR('JOINTS DE RÉPARATION'!$L$4="TOUS",AM572&lt;&gt;"ACCEPTÉ")),1,0)</f>
        <v>0</v>
      </c>
      <c r="AR572" s="78" t="str">
        <f aca="false">IF(AQ572=1,SUM(AQ$7:AQ572),"")</f>
        <v/>
      </c>
    </row>
    <row r="573" customFormat="false" ht="15" hidden="false" customHeight="false" outlineLevel="0" collapsed="false">
      <c r="A573" s="78" t="n">
        <f aca="false">IF(E573="","",ROW()-6)</f>
        <v>567</v>
      </c>
      <c r="B573" s="79" t="s">
        <v>585</v>
      </c>
      <c r="C573" s="80"/>
      <c r="D573" s="80"/>
      <c r="E573" s="80" t="s">
        <v>489</v>
      </c>
      <c r="F573" s="80"/>
      <c r="G573" s="80" t="s">
        <v>106</v>
      </c>
      <c r="H573" s="80"/>
      <c r="I573" s="80"/>
      <c r="J573" s="80"/>
      <c r="K573" s="80"/>
      <c r="L573" s="81" t="str">
        <f aca="false">IF(K573="","",IFERROR(INDEX(BARDAGE!$C$7:$C$1506,MATCH(K573,BARDAGE!$B$7:$B$1506,0)),"? hors registre"))</f>
        <v/>
      </c>
      <c r="M573" s="80"/>
      <c r="N573" s="81" t="str">
        <f aca="false">IF(M573="","",IFERROR(INDEX(BARDAGE!$C$7:$C$1506,MATCH(M573,BARDAGE!$B$7:$B$1506,0)),"? hors registre"))</f>
        <v/>
      </c>
      <c r="O573" s="80"/>
      <c r="P573" s="80"/>
      <c r="Q573" s="80"/>
      <c r="R573" s="82"/>
      <c r="S573" s="82"/>
      <c r="T573" s="80"/>
      <c r="U573" s="80"/>
      <c r="V573" s="82"/>
      <c r="W573" s="80"/>
      <c r="X573" s="80"/>
      <c r="Y573" s="80"/>
      <c r="Z573" s="80"/>
      <c r="AA573" s="82"/>
      <c r="AB573" s="80"/>
      <c r="AC573" s="80"/>
      <c r="AD573" s="80"/>
      <c r="AE573" s="80"/>
      <c r="AF573" s="82"/>
      <c r="AG573" s="80"/>
      <c r="AH573" s="80"/>
      <c r="AI573" s="82"/>
      <c r="AJ573" s="79"/>
      <c r="AK573" s="78" t="n">
        <f aca="false">IF(E573="","",(X573&lt;&gt;"")+(AC573&lt;&gt;"")+(AH573&lt;&gt;""))</f>
        <v>0</v>
      </c>
      <c r="AL573" s="81" t="str">
        <f aca="false">IF(AH573&lt;&gt;"",AH573,IF(AC573&lt;&gt;"",AC573,IF(X573&lt;&gt;"",X573,"")))</f>
        <v/>
      </c>
      <c r="AM573" s="83" t="str">
        <f aca="false">IF(E573="","",IF(R573="","À SOUDER",IF(U573="","VT EN ATTENTE",IF(U573="R","VT REJETÉ – À REPRENDRE",IF(AL573="","À RADIOGRAPHIER",IF(AL573="A","ACCEPTÉ",IF(AL573="NX","NX – RT À REFAIRE",IF(IF(AK573=1,Z573,IF(AK573=2,AE573,""))="A","RÉPARÉ – À RADIOGRAPHIER",IF(IF(AK573=1,Z573,IF(AK573=2,AE573,""))="R","VT REJETÉ – À REPRENDRE",IF(OR(AL573="CO",AL573="NT"),"COUPE – À RESOUDER","À RÉPARER"))))))))))</f>
        <v>À SOUDER</v>
      </c>
      <c r="AN573" s="81" t="str">
        <f aca="false">IF(AND(ISNUMBER(R573),OR(AM573="À RADIOGRAPHIER",AM573="RÉPARÉ – À RADIOGRAPHIER",AM573="NX – RT À REFAIRE",AM573="À RÉPARER",AM573="COUPE – À RESOUDER",AM573="VT REJETÉ – À REPRENDRE")),MAX(0,'PROGRAMME RT'!$C$4-R573),"")</f>
        <v/>
      </c>
      <c r="AO573" s="78" t="n">
        <f aca="false">IF(AND(OR(AM573="À RADIOGRAPHIER",AM573="RÉPARÉ – À RADIOGRAPHIER",AM573="NX – RT À REFAIRE"),OR('PROGRAMME RT'!$D$5="TOUTES",B573='PROGRAMME RT'!$D$5)),1,0)</f>
        <v>0</v>
      </c>
      <c r="AP573" s="78" t="str">
        <f aca="false">IF(AO573=1,SUM(AO$7:AO573),"")</f>
        <v/>
      </c>
      <c r="AQ573" s="78" t="n">
        <f aca="false">IF(AND(OR(X573="R",X573="NX",X573="NT",X573="CO"),OR('JOINTS DE RÉPARATION'!$D$5="TOUTES",B573='JOINTS DE RÉPARATION'!$D$5),OR('JOINTS DE RÉPARATION'!$L$4="TOUS",AM573&lt;&gt;"ACCEPTÉ")),1,0)</f>
        <v>0</v>
      </c>
      <c r="AR573" s="78" t="str">
        <f aca="false">IF(AQ573=1,SUM(AQ$7:AQ573),"")</f>
        <v/>
      </c>
    </row>
    <row r="574" customFormat="false" ht="15" hidden="false" customHeight="false" outlineLevel="0" collapsed="false">
      <c r="A574" s="78" t="n">
        <f aca="false">IF(E574="","",ROW()-6)</f>
        <v>568</v>
      </c>
      <c r="B574" s="79" t="s">
        <v>585</v>
      </c>
      <c r="C574" s="80"/>
      <c r="D574" s="80"/>
      <c r="E574" s="80" t="s">
        <v>490</v>
      </c>
      <c r="F574" s="80"/>
      <c r="G574" s="80" t="s">
        <v>106</v>
      </c>
      <c r="H574" s="80"/>
      <c r="I574" s="80"/>
      <c r="J574" s="80"/>
      <c r="K574" s="80"/>
      <c r="L574" s="81" t="str">
        <f aca="false">IF(K574="","",IFERROR(INDEX(BARDAGE!$C$7:$C$1506,MATCH(K574,BARDAGE!$B$7:$B$1506,0)),"? hors registre"))</f>
        <v/>
      </c>
      <c r="M574" s="80"/>
      <c r="N574" s="81" t="str">
        <f aca="false">IF(M574="","",IFERROR(INDEX(BARDAGE!$C$7:$C$1506,MATCH(M574,BARDAGE!$B$7:$B$1506,0)),"? hors registre"))</f>
        <v/>
      </c>
      <c r="O574" s="80"/>
      <c r="P574" s="80"/>
      <c r="Q574" s="80"/>
      <c r="R574" s="82"/>
      <c r="S574" s="82"/>
      <c r="T574" s="80"/>
      <c r="U574" s="80"/>
      <c r="V574" s="82"/>
      <c r="W574" s="80"/>
      <c r="X574" s="80"/>
      <c r="Y574" s="80"/>
      <c r="Z574" s="80"/>
      <c r="AA574" s="82"/>
      <c r="AB574" s="80"/>
      <c r="AC574" s="80"/>
      <c r="AD574" s="80"/>
      <c r="AE574" s="80"/>
      <c r="AF574" s="82"/>
      <c r="AG574" s="80"/>
      <c r="AH574" s="80"/>
      <c r="AI574" s="82"/>
      <c r="AJ574" s="79"/>
      <c r="AK574" s="78" t="n">
        <f aca="false">IF(E574="","",(X574&lt;&gt;"")+(AC574&lt;&gt;"")+(AH574&lt;&gt;""))</f>
        <v>0</v>
      </c>
      <c r="AL574" s="81" t="str">
        <f aca="false">IF(AH574&lt;&gt;"",AH574,IF(AC574&lt;&gt;"",AC574,IF(X574&lt;&gt;"",X574,"")))</f>
        <v/>
      </c>
      <c r="AM574" s="83" t="str">
        <f aca="false">IF(E574="","",IF(R574="","À SOUDER",IF(U574="","VT EN ATTENTE",IF(U574="R","VT REJETÉ – À REPRENDRE",IF(AL574="","À RADIOGRAPHIER",IF(AL574="A","ACCEPTÉ",IF(AL574="NX","NX – RT À REFAIRE",IF(IF(AK574=1,Z574,IF(AK574=2,AE574,""))="A","RÉPARÉ – À RADIOGRAPHIER",IF(IF(AK574=1,Z574,IF(AK574=2,AE574,""))="R","VT REJETÉ – À REPRENDRE",IF(OR(AL574="CO",AL574="NT"),"COUPE – À RESOUDER","À RÉPARER"))))))))))</f>
        <v>À SOUDER</v>
      </c>
      <c r="AN574" s="81" t="str">
        <f aca="false">IF(AND(ISNUMBER(R574),OR(AM574="À RADIOGRAPHIER",AM574="RÉPARÉ – À RADIOGRAPHIER",AM574="NX – RT À REFAIRE",AM574="À RÉPARER",AM574="COUPE – À RESOUDER",AM574="VT REJETÉ – À REPRENDRE")),MAX(0,'PROGRAMME RT'!$C$4-R574),"")</f>
        <v/>
      </c>
      <c r="AO574" s="78" t="n">
        <f aca="false">IF(AND(OR(AM574="À RADIOGRAPHIER",AM574="RÉPARÉ – À RADIOGRAPHIER",AM574="NX – RT À REFAIRE"),OR('PROGRAMME RT'!$D$5="TOUTES",B574='PROGRAMME RT'!$D$5)),1,0)</f>
        <v>0</v>
      </c>
      <c r="AP574" s="78" t="str">
        <f aca="false">IF(AO574=1,SUM(AO$7:AO574),"")</f>
        <v/>
      </c>
      <c r="AQ574" s="78" t="n">
        <f aca="false">IF(AND(OR(X574="R",X574="NX",X574="NT",X574="CO"),OR('JOINTS DE RÉPARATION'!$D$5="TOUTES",B574='JOINTS DE RÉPARATION'!$D$5),OR('JOINTS DE RÉPARATION'!$L$4="TOUS",AM574&lt;&gt;"ACCEPTÉ")),1,0)</f>
        <v>0</v>
      </c>
      <c r="AR574" s="78" t="str">
        <f aca="false">IF(AQ574=1,SUM(AQ$7:AQ574),"")</f>
        <v/>
      </c>
    </row>
    <row r="575" customFormat="false" ht="15" hidden="false" customHeight="false" outlineLevel="0" collapsed="false">
      <c r="A575" s="78" t="n">
        <f aca="false">IF(E575="","",ROW()-6)</f>
        <v>569</v>
      </c>
      <c r="B575" s="79" t="s">
        <v>585</v>
      </c>
      <c r="C575" s="80"/>
      <c r="D575" s="80"/>
      <c r="E575" s="80" t="s">
        <v>492</v>
      </c>
      <c r="F575" s="80"/>
      <c r="G575" s="80" t="s">
        <v>106</v>
      </c>
      <c r="H575" s="80"/>
      <c r="I575" s="80"/>
      <c r="J575" s="80"/>
      <c r="K575" s="80"/>
      <c r="L575" s="81" t="str">
        <f aca="false">IF(K575="","",IFERROR(INDEX(BARDAGE!$C$7:$C$1506,MATCH(K575,BARDAGE!$B$7:$B$1506,0)),"? hors registre"))</f>
        <v/>
      </c>
      <c r="M575" s="80"/>
      <c r="N575" s="81" t="str">
        <f aca="false">IF(M575="","",IFERROR(INDEX(BARDAGE!$C$7:$C$1506,MATCH(M575,BARDAGE!$B$7:$B$1506,0)),"? hors registre"))</f>
        <v/>
      </c>
      <c r="O575" s="80"/>
      <c r="P575" s="80"/>
      <c r="Q575" s="80"/>
      <c r="R575" s="82"/>
      <c r="S575" s="82"/>
      <c r="T575" s="80"/>
      <c r="U575" s="80"/>
      <c r="V575" s="82"/>
      <c r="W575" s="80"/>
      <c r="X575" s="80"/>
      <c r="Y575" s="80"/>
      <c r="Z575" s="80"/>
      <c r="AA575" s="82"/>
      <c r="AB575" s="80"/>
      <c r="AC575" s="80"/>
      <c r="AD575" s="80"/>
      <c r="AE575" s="80"/>
      <c r="AF575" s="82"/>
      <c r="AG575" s="80"/>
      <c r="AH575" s="80"/>
      <c r="AI575" s="82"/>
      <c r="AJ575" s="79"/>
      <c r="AK575" s="78" t="n">
        <f aca="false">IF(E575="","",(X575&lt;&gt;"")+(AC575&lt;&gt;"")+(AH575&lt;&gt;""))</f>
        <v>0</v>
      </c>
      <c r="AL575" s="81" t="str">
        <f aca="false">IF(AH575&lt;&gt;"",AH575,IF(AC575&lt;&gt;"",AC575,IF(X575&lt;&gt;"",X575,"")))</f>
        <v/>
      </c>
      <c r="AM575" s="83" t="str">
        <f aca="false">IF(E575="","",IF(R575="","À SOUDER",IF(U575="","VT EN ATTENTE",IF(U575="R","VT REJETÉ – À REPRENDRE",IF(AL575="","À RADIOGRAPHIER",IF(AL575="A","ACCEPTÉ",IF(AL575="NX","NX – RT À REFAIRE",IF(IF(AK575=1,Z575,IF(AK575=2,AE575,""))="A","RÉPARÉ – À RADIOGRAPHIER",IF(IF(AK575=1,Z575,IF(AK575=2,AE575,""))="R","VT REJETÉ – À REPRENDRE",IF(OR(AL575="CO",AL575="NT"),"COUPE – À RESOUDER","À RÉPARER"))))))))))</f>
        <v>À SOUDER</v>
      </c>
      <c r="AN575" s="81" t="str">
        <f aca="false">IF(AND(ISNUMBER(R575),OR(AM575="À RADIOGRAPHIER",AM575="RÉPARÉ – À RADIOGRAPHIER",AM575="NX – RT À REFAIRE",AM575="À RÉPARER",AM575="COUPE – À RESOUDER",AM575="VT REJETÉ – À REPRENDRE")),MAX(0,'PROGRAMME RT'!$C$4-R575),"")</f>
        <v/>
      </c>
      <c r="AO575" s="78" t="n">
        <f aca="false">IF(AND(OR(AM575="À RADIOGRAPHIER",AM575="RÉPARÉ – À RADIOGRAPHIER",AM575="NX – RT À REFAIRE"),OR('PROGRAMME RT'!$D$5="TOUTES",B575='PROGRAMME RT'!$D$5)),1,0)</f>
        <v>0</v>
      </c>
      <c r="AP575" s="78" t="str">
        <f aca="false">IF(AO575=1,SUM(AO$7:AO575),"")</f>
        <v/>
      </c>
      <c r="AQ575" s="78" t="n">
        <f aca="false">IF(AND(OR(X575="R",X575="NX",X575="NT",X575="CO"),OR('JOINTS DE RÉPARATION'!$D$5="TOUTES",B575='JOINTS DE RÉPARATION'!$D$5),OR('JOINTS DE RÉPARATION'!$L$4="TOUS",AM575&lt;&gt;"ACCEPTÉ")),1,0)</f>
        <v>0</v>
      </c>
      <c r="AR575" s="78" t="str">
        <f aca="false">IF(AQ575=1,SUM(AQ$7:AQ575),"")</f>
        <v/>
      </c>
    </row>
    <row r="576" customFormat="false" ht="15" hidden="false" customHeight="false" outlineLevel="0" collapsed="false">
      <c r="A576" s="78" t="n">
        <f aca="false">IF(E576="","",ROW()-6)</f>
        <v>570</v>
      </c>
      <c r="B576" s="79" t="s">
        <v>585</v>
      </c>
      <c r="C576" s="80"/>
      <c r="D576" s="80"/>
      <c r="E576" s="80" t="s">
        <v>494</v>
      </c>
      <c r="F576" s="80"/>
      <c r="G576" s="80" t="s">
        <v>106</v>
      </c>
      <c r="H576" s="80"/>
      <c r="I576" s="80"/>
      <c r="J576" s="80"/>
      <c r="K576" s="80"/>
      <c r="L576" s="81" t="str">
        <f aca="false">IF(K576="","",IFERROR(INDEX(BARDAGE!$C$7:$C$1506,MATCH(K576,BARDAGE!$B$7:$B$1506,0)),"? hors registre"))</f>
        <v/>
      </c>
      <c r="M576" s="80"/>
      <c r="N576" s="81" t="str">
        <f aca="false">IF(M576="","",IFERROR(INDEX(BARDAGE!$C$7:$C$1506,MATCH(M576,BARDAGE!$B$7:$B$1506,0)),"? hors registre"))</f>
        <v/>
      </c>
      <c r="O576" s="80"/>
      <c r="P576" s="80"/>
      <c r="Q576" s="80"/>
      <c r="R576" s="82"/>
      <c r="S576" s="82"/>
      <c r="T576" s="80"/>
      <c r="U576" s="80"/>
      <c r="V576" s="82"/>
      <c r="W576" s="80"/>
      <c r="X576" s="80"/>
      <c r="Y576" s="80"/>
      <c r="Z576" s="80"/>
      <c r="AA576" s="82"/>
      <c r="AB576" s="80"/>
      <c r="AC576" s="80"/>
      <c r="AD576" s="80"/>
      <c r="AE576" s="80"/>
      <c r="AF576" s="82"/>
      <c r="AG576" s="80"/>
      <c r="AH576" s="80"/>
      <c r="AI576" s="82"/>
      <c r="AJ576" s="79"/>
      <c r="AK576" s="78" t="n">
        <f aca="false">IF(E576="","",(X576&lt;&gt;"")+(AC576&lt;&gt;"")+(AH576&lt;&gt;""))</f>
        <v>0</v>
      </c>
      <c r="AL576" s="81" t="str">
        <f aca="false">IF(AH576&lt;&gt;"",AH576,IF(AC576&lt;&gt;"",AC576,IF(X576&lt;&gt;"",X576,"")))</f>
        <v/>
      </c>
      <c r="AM576" s="83" t="str">
        <f aca="false">IF(E576="","",IF(R576="","À SOUDER",IF(U576="","VT EN ATTENTE",IF(U576="R","VT REJETÉ – À REPRENDRE",IF(AL576="","À RADIOGRAPHIER",IF(AL576="A","ACCEPTÉ",IF(AL576="NX","NX – RT À REFAIRE",IF(IF(AK576=1,Z576,IF(AK576=2,AE576,""))="A","RÉPARÉ – À RADIOGRAPHIER",IF(IF(AK576=1,Z576,IF(AK576=2,AE576,""))="R","VT REJETÉ – À REPRENDRE",IF(OR(AL576="CO",AL576="NT"),"COUPE – À RESOUDER","À RÉPARER"))))))))))</f>
        <v>À SOUDER</v>
      </c>
      <c r="AN576" s="81" t="str">
        <f aca="false">IF(AND(ISNUMBER(R576),OR(AM576="À RADIOGRAPHIER",AM576="RÉPARÉ – À RADIOGRAPHIER",AM576="NX – RT À REFAIRE",AM576="À RÉPARER",AM576="COUPE – À RESOUDER",AM576="VT REJETÉ – À REPRENDRE")),MAX(0,'PROGRAMME RT'!$C$4-R576),"")</f>
        <v/>
      </c>
      <c r="AO576" s="78" t="n">
        <f aca="false">IF(AND(OR(AM576="À RADIOGRAPHIER",AM576="RÉPARÉ – À RADIOGRAPHIER",AM576="NX – RT À REFAIRE"),OR('PROGRAMME RT'!$D$5="TOUTES",B576='PROGRAMME RT'!$D$5)),1,0)</f>
        <v>0</v>
      </c>
      <c r="AP576" s="78" t="str">
        <f aca="false">IF(AO576=1,SUM(AO$7:AO576),"")</f>
        <v/>
      </c>
      <c r="AQ576" s="78" t="n">
        <f aca="false">IF(AND(OR(X576="R",X576="NX",X576="NT",X576="CO"),OR('JOINTS DE RÉPARATION'!$D$5="TOUTES",B576='JOINTS DE RÉPARATION'!$D$5),OR('JOINTS DE RÉPARATION'!$L$4="TOUS",AM576&lt;&gt;"ACCEPTÉ")),1,0)</f>
        <v>0</v>
      </c>
      <c r="AR576" s="78" t="str">
        <f aca="false">IF(AQ576=1,SUM(AQ$7:AQ576),"")</f>
        <v/>
      </c>
    </row>
    <row r="577" customFormat="false" ht="15" hidden="false" customHeight="false" outlineLevel="0" collapsed="false">
      <c r="A577" s="78" t="n">
        <f aca="false">IF(E577="","",ROW()-6)</f>
        <v>571</v>
      </c>
      <c r="B577" s="79" t="s">
        <v>585</v>
      </c>
      <c r="C577" s="80"/>
      <c r="D577" s="80"/>
      <c r="E577" s="80" t="s">
        <v>496</v>
      </c>
      <c r="F577" s="80"/>
      <c r="G577" s="80" t="s">
        <v>106</v>
      </c>
      <c r="H577" s="80"/>
      <c r="I577" s="80"/>
      <c r="J577" s="80"/>
      <c r="K577" s="80"/>
      <c r="L577" s="81" t="str">
        <f aca="false">IF(K577="","",IFERROR(INDEX(BARDAGE!$C$7:$C$1506,MATCH(K577,BARDAGE!$B$7:$B$1506,0)),"? hors registre"))</f>
        <v/>
      </c>
      <c r="M577" s="80"/>
      <c r="N577" s="81" t="str">
        <f aca="false">IF(M577="","",IFERROR(INDEX(BARDAGE!$C$7:$C$1506,MATCH(M577,BARDAGE!$B$7:$B$1506,0)),"? hors registre"))</f>
        <v/>
      </c>
      <c r="O577" s="80"/>
      <c r="P577" s="80"/>
      <c r="Q577" s="80"/>
      <c r="R577" s="82"/>
      <c r="S577" s="82"/>
      <c r="T577" s="80"/>
      <c r="U577" s="80"/>
      <c r="V577" s="82"/>
      <c r="W577" s="80"/>
      <c r="X577" s="80"/>
      <c r="Y577" s="80"/>
      <c r="Z577" s="80"/>
      <c r="AA577" s="82"/>
      <c r="AB577" s="80"/>
      <c r="AC577" s="80"/>
      <c r="AD577" s="80"/>
      <c r="AE577" s="80"/>
      <c r="AF577" s="82"/>
      <c r="AG577" s="80"/>
      <c r="AH577" s="80"/>
      <c r="AI577" s="82"/>
      <c r="AJ577" s="79"/>
      <c r="AK577" s="78" t="n">
        <f aca="false">IF(E577="","",(X577&lt;&gt;"")+(AC577&lt;&gt;"")+(AH577&lt;&gt;""))</f>
        <v>0</v>
      </c>
      <c r="AL577" s="81" t="str">
        <f aca="false">IF(AH577&lt;&gt;"",AH577,IF(AC577&lt;&gt;"",AC577,IF(X577&lt;&gt;"",X577,"")))</f>
        <v/>
      </c>
      <c r="AM577" s="83" t="str">
        <f aca="false">IF(E577="","",IF(R577="","À SOUDER",IF(U577="","VT EN ATTENTE",IF(U577="R","VT REJETÉ – À REPRENDRE",IF(AL577="","À RADIOGRAPHIER",IF(AL577="A","ACCEPTÉ",IF(AL577="NX","NX – RT À REFAIRE",IF(IF(AK577=1,Z577,IF(AK577=2,AE577,""))="A","RÉPARÉ – À RADIOGRAPHIER",IF(IF(AK577=1,Z577,IF(AK577=2,AE577,""))="R","VT REJETÉ – À REPRENDRE",IF(OR(AL577="CO",AL577="NT"),"COUPE – À RESOUDER","À RÉPARER"))))))))))</f>
        <v>À SOUDER</v>
      </c>
      <c r="AN577" s="81" t="str">
        <f aca="false">IF(AND(ISNUMBER(R577),OR(AM577="À RADIOGRAPHIER",AM577="RÉPARÉ – À RADIOGRAPHIER",AM577="NX – RT À REFAIRE",AM577="À RÉPARER",AM577="COUPE – À RESOUDER",AM577="VT REJETÉ – À REPRENDRE")),MAX(0,'PROGRAMME RT'!$C$4-R577),"")</f>
        <v/>
      </c>
      <c r="AO577" s="78" t="n">
        <f aca="false">IF(AND(OR(AM577="À RADIOGRAPHIER",AM577="RÉPARÉ – À RADIOGRAPHIER",AM577="NX – RT À REFAIRE"),OR('PROGRAMME RT'!$D$5="TOUTES",B577='PROGRAMME RT'!$D$5)),1,0)</f>
        <v>0</v>
      </c>
      <c r="AP577" s="78" t="str">
        <f aca="false">IF(AO577=1,SUM(AO$7:AO577),"")</f>
        <v/>
      </c>
      <c r="AQ577" s="78" t="n">
        <f aca="false">IF(AND(OR(X577="R",X577="NX",X577="NT",X577="CO"),OR('JOINTS DE RÉPARATION'!$D$5="TOUTES",B577='JOINTS DE RÉPARATION'!$D$5),OR('JOINTS DE RÉPARATION'!$L$4="TOUS",AM577&lt;&gt;"ACCEPTÉ")),1,0)</f>
        <v>0</v>
      </c>
      <c r="AR577" s="78" t="str">
        <f aca="false">IF(AQ577=1,SUM(AQ$7:AQ577),"")</f>
        <v/>
      </c>
    </row>
    <row r="578" customFormat="false" ht="15" hidden="false" customHeight="false" outlineLevel="0" collapsed="false">
      <c r="A578" s="78" t="n">
        <f aca="false">IF(E578="","",ROW()-6)</f>
        <v>572</v>
      </c>
      <c r="B578" s="79" t="s">
        <v>585</v>
      </c>
      <c r="C578" s="80"/>
      <c r="D578" s="80"/>
      <c r="E578" s="80" t="s">
        <v>498</v>
      </c>
      <c r="F578" s="80"/>
      <c r="G578" s="80" t="s">
        <v>106</v>
      </c>
      <c r="H578" s="80"/>
      <c r="I578" s="80"/>
      <c r="J578" s="80"/>
      <c r="K578" s="80"/>
      <c r="L578" s="81" t="str">
        <f aca="false">IF(K578="","",IFERROR(INDEX(BARDAGE!$C$7:$C$1506,MATCH(K578,BARDAGE!$B$7:$B$1506,0)),"? hors registre"))</f>
        <v/>
      </c>
      <c r="M578" s="80"/>
      <c r="N578" s="81" t="str">
        <f aca="false">IF(M578="","",IFERROR(INDEX(BARDAGE!$C$7:$C$1506,MATCH(M578,BARDAGE!$B$7:$B$1506,0)),"? hors registre"))</f>
        <v/>
      </c>
      <c r="O578" s="80"/>
      <c r="P578" s="80"/>
      <c r="Q578" s="80"/>
      <c r="R578" s="82"/>
      <c r="S578" s="82"/>
      <c r="T578" s="80"/>
      <c r="U578" s="80"/>
      <c r="V578" s="82"/>
      <c r="W578" s="80"/>
      <c r="X578" s="80"/>
      <c r="Y578" s="80"/>
      <c r="Z578" s="80"/>
      <c r="AA578" s="82"/>
      <c r="AB578" s="80"/>
      <c r="AC578" s="80"/>
      <c r="AD578" s="80"/>
      <c r="AE578" s="80"/>
      <c r="AF578" s="82"/>
      <c r="AG578" s="80"/>
      <c r="AH578" s="80"/>
      <c r="AI578" s="82"/>
      <c r="AJ578" s="79"/>
      <c r="AK578" s="78" t="n">
        <f aca="false">IF(E578="","",(X578&lt;&gt;"")+(AC578&lt;&gt;"")+(AH578&lt;&gt;""))</f>
        <v>0</v>
      </c>
      <c r="AL578" s="81" t="str">
        <f aca="false">IF(AH578&lt;&gt;"",AH578,IF(AC578&lt;&gt;"",AC578,IF(X578&lt;&gt;"",X578,"")))</f>
        <v/>
      </c>
      <c r="AM578" s="83" t="str">
        <f aca="false">IF(E578="","",IF(R578="","À SOUDER",IF(U578="","VT EN ATTENTE",IF(U578="R","VT REJETÉ – À REPRENDRE",IF(AL578="","À RADIOGRAPHIER",IF(AL578="A","ACCEPTÉ",IF(AL578="NX","NX – RT À REFAIRE",IF(IF(AK578=1,Z578,IF(AK578=2,AE578,""))="A","RÉPARÉ – À RADIOGRAPHIER",IF(IF(AK578=1,Z578,IF(AK578=2,AE578,""))="R","VT REJETÉ – À REPRENDRE",IF(OR(AL578="CO",AL578="NT"),"COUPE – À RESOUDER","À RÉPARER"))))))))))</f>
        <v>À SOUDER</v>
      </c>
      <c r="AN578" s="81" t="str">
        <f aca="false">IF(AND(ISNUMBER(R578),OR(AM578="À RADIOGRAPHIER",AM578="RÉPARÉ – À RADIOGRAPHIER",AM578="NX – RT À REFAIRE",AM578="À RÉPARER",AM578="COUPE – À RESOUDER",AM578="VT REJETÉ – À REPRENDRE")),MAX(0,'PROGRAMME RT'!$C$4-R578),"")</f>
        <v/>
      </c>
      <c r="AO578" s="78" t="n">
        <f aca="false">IF(AND(OR(AM578="À RADIOGRAPHIER",AM578="RÉPARÉ – À RADIOGRAPHIER",AM578="NX – RT À REFAIRE"),OR('PROGRAMME RT'!$D$5="TOUTES",B578='PROGRAMME RT'!$D$5)),1,0)</f>
        <v>0</v>
      </c>
      <c r="AP578" s="78" t="str">
        <f aca="false">IF(AO578=1,SUM(AO$7:AO578),"")</f>
        <v/>
      </c>
      <c r="AQ578" s="78" t="n">
        <f aca="false">IF(AND(OR(X578="R",X578="NX",X578="NT",X578="CO"),OR('JOINTS DE RÉPARATION'!$D$5="TOUTES",B578='JOINTS DE RÉPARATION'!$D$5),OR('JOINTS DE RÉPARATION'!$L$4="TOUS",AM578&lt;&gt;"ACCEPTÉ")),1,0)</f>
        <v>0</v>
      </c>
      <c r="AR578" s="78" t="str">
        <f aca="false">IF(AQ578=1,SUM(AQ$7:AQ578),"")</f>
        <v/>
      </c>
    </row>
    <row r="579" customFormat="false" ht="15" hidden="false" customHeight="false" outlineLevel="0" collapsed="false">
      <c r="A579" s="78" t="n">
        <f aca="false">IF(E579="","",ROW()-6)</f>
        <v>573</v>
      </c>
      <c r="B579" s="79" t="s">
        <v>585</v>
      </c>
      <c r="C579" s="80"/>
      <c r="D579" s="80"/>
      <c r="E579" s="80" t="s">
        <v>502</v>
      </c>
      <c r="F579" s="80"/>
      <c r="G579" s="80" t="s">
        <v>106</v>
      </c>
      <c r="H579" s="80"/>
      <c r="I579" s="80"/>
      <c r="J579" s="80"/>
      <c r="K579" s="80"/>
      <c r="L579" s="81" t="str">
        <f aca="false">IF(K579="","",IFERROR(INDEX(BARDAGE!$C$7:$C$1506,MATCH(K579,BARDAGE!$B$7:$B$1506,0)),"? hors registre"))</f>
        <v/>
      </c>
      <c r="M579" s="80"/>
      <c r="N579" s="81" t="str">
        <f aca="false">IF(M579="","",IFERROR(INDEX(BARDAGE!$C$7:$C$1506,MATCH(M579,BARDAGE!$B$7:$B$1506,0)),"? hors registre"))</f>
        <v/>
      </c>
      <c r="O579" s="80"/>
      <c r="P579" s="80"/>
      <c r="Q579" s="80"/>
      <c r="R579" s="82"/>
      <c r="S579" s="82"/>
      <c r="T579" s="80"/>
      <c r="U579" s="80"/>
      <c r="V579" s="82"/>
      <c r="W579" s="80"/>
      <c r="X579" s="80"/>
      <c r="Y579" s="80"/>
      <c r="Z579" s="80"/>
      <c r="AA579" s="82"/>
      <c r="AB579" s="80"/>
      <c r="AC579" s="80"/>
      <c r="AD579" s="80"/>
      <c r="AE579" s="80"/>
      <c r="AF579" s="82"/>
      <c r="AG579" s="80"/>
      <c r="AH579" s="80"/>
      <c r="AI579" s="82"/>
      <c r="AJ579" s="79"/>
      <c r="AK579" s="78" t="n">
        <f aca="false">IF(E579="","",(X579&lt;&gt;"")+(AC579&lt;&gt;"")+(AH579&lt;&gt;""))</f>
        <v>0</v>
      </c>
      <c r="AL579" s="81" t="str">
        <f aca="false">IF(AH579&lt;&gt;"",AH579,IF(AC579&lt;&gt;"",AC579,IF(X579&lt;&gt;"",X579,"")))</f>
        <v/>
      </c>
      <c r="AM579" s="83" t="str">
        <f aca="false">IF(E579="","",IF(R579="","À SOUDER",IF(U579="","VT EN ATTENTE",IF(U579="R","VT REJETÉ – À REPRENDRE",IF(AL579="","À RADIOGRAPHIER",IF(AL579="A","ACCEPTÉ",IF(AL579="NX","NX – RT À REFAIRE",IF(IF(AK579=1,Z579,IF(AK579=2,AE579,""))="A","RÉPARÉ – À RADIOGRAPHIER",IF(IF(AK579=1,Z579,IF(AK579=2,AE579,""))="R","VT REJETÉ – À REPRENDRE",IF(OR(AL579="CO",AL579="NT"),"COUPE – À RESOUDER","À RÉPARER"))))))))))</f>
        <v>À SOUDER</v>
      </c>
      <c r="AN579" s="81" t="str">
        <f aca="false">IF(AND(ISNUMBER(R579),OR(AM579="À RADIOGRAPHIER",AM579="RÉPARÉ – À RADIOGRAPHIER",AM579="NX – RT À REFAIRE",AM579="À RÉPARER",AM579="COUPE – À RESOUDER",AM579="VT REJETÉ – À REPRENDRE")),MAX(0,'PROGRAMME RT'!$C$4-R579),"")</f>
        <v/>
      </c>
      <c r="AO579" s="78" t="n">
        <f aca="false">IF(AND(OR(AM579="À RADIOGRAPHIER",AM579="RÉPARÉ – À RADIOGRAPHIER",AM579="NX – RT À REFAIRE"),OR('PROGRAMME RT'!$D$5="TOUTES",B579='PROGRAMME RT'!$D$5)),1,0)</f>
        <v>0</v>
      </c>
      <c r="AP579" s="78" t="str">
        <f aca="false">IF(AO579=1,SUM(AO$7:AO579),"")</f>
        <v/>
      </c>
      <c r="AQ579" s="78" t="n">
        <f aca="false">IF(AND(OR(X579="R",X579="NX",X579="NT",X579="CO"),OR('JOINTS DE RÉPARATION'!$D$5="TOUTES",B579='JOINTS DE RÉPARATION'!$D$5),OR('JOINTS DE RÉPARATION'!$L$4="TOUS",AM579&lt;&gt;"ACCEPTÉ")),1,0)</f>
        <v>0</v>
      </c>
      <c r="AR579" s="78" t="str">
        <f aca="false">IF(AQ579=1,SUM(AQ$7:AQ579),"")</f>
        <v/>
      </c>
    </row>
    <row r="580" customFormat="false" ht="15" hidden="false" customHeight="false" outlineLevel="0" collapsed="false">
      <c r="A580" s="78" t="n">
        <f aca="false">IF(E580="","",ROW()-6)</f>
        <v>574</v>
      </c>
      <c r="B580" s="79" t="s">
        <v>585</v>
      </c>
      <c r="C580" s="80"/>
      <c r="D580" s="80"/>
      <c r="E580" s="80" t="s">
        <v>505</v>
      </c>
      <c r="F580" s="80"/>
      <c r="G580" s="80" t="s">
        <v>106</v>
      </c>
      <c r="H580" s="80"/>
      <c r="I580" s="80"/>
      <c r="J580" s="80"/>
      <c r="K580" s="80"/>
      <c r="L580" s="81" t="str">
        <f aca="false">IF(K580="","",IFERROR(INDEX(BARDAGE!$C$7:$C$1506,MATCH(K580,BARDAGE!$B$7:$B$1506,0)),"? hors registre"))</f>
        <v/>
      </c>
      <c r="M580" s="80"/>
      <c r="N580" s="81" t="str">
        <f aca="false">IF(M580="","",IFERROR(INDEX(BARDAGE!$C$7:$C$1506,MATCH(M580,BARDAGE!$B$7:$B$1506,0)),"? hors registre"))</f>
        <v/>
      </c>
      <c r="O580" s="80"/>
      <c r="P580" s="80"/>
      <c r="Q580" s="80"/>
      <c r="R580" s="82"/>
      <c r="S580" s="82"/>
      <c r="T580" s="80"/>
      <c r="U580" s="80"/>
      <c r="V580" s="82"/>
      <c r="W580" s="80"/>
      <c r="X580" s="80"/>
      <c r="Y580" s="80"/>
      <c r="Z580" s="80"/>
      <c r="AA580" s="82"/>
      <c r="AB580" s="80"/>
      <c r="AC580" s="80"/>
      <c r="AD580" s="80"/>
      <c r="AE580" s="80"/>
      <c r="AF580" s="82"/>
      <c r="AG580" s="80"/>
      <c r="AH580" s="80"/>
      <c r="AI580" s="82"/>
      <c r="AJ580" s="79"/>
      <c r="AK580" s="78" t="n">
        <f aca="false">IF(E580="","",(X580&lt;&gt;"")+(AC580&lt;&gt;"")+(AH580&lt;&gt;""))</f>
        <v>0</v>
      </c>
      <c r="AL580" s="81" t="str">
        <f aca="false">IF(AH580&lt;&gt;"",AH580,IF(AC580&lt;&gt;"",AC580,IF(X580&lt;&gt;"",X580,"")))</f>
        <v/>
      </c>
      <c r="AM580" s="83" t="str">
        <f aca="false">IF(E580="","",IF(R580="","À SOUDER",IF(U580="","VT EN ATTENTE",IF(U580="R","VT REJETÉ – À REPRENDRE",IF(AL580="","À RADIOGRAPHIER",IF(AL580="A","ACCEPTÉ",IF(AL580="NX","NX – RT À REFAIRE",IF(IF(AK580=1,Z580,IF(AK580=2,AE580,""))="A","RÉPARÉ – À RADIOGRAPHIER",IF(IF(AK580=1,Z580,IF(AK580=2,AE580,""))="R","VT REJETÉ – À REPRENDRE",IF(OR(AL580="CO",AL580="NT"),"COUPE – À RESOUDER","À RÉPARER"))))))))))</f>
        <v>À SOUDER</v>
      </c>
      <c r="AN580" s="81" t="str">
        <f aca="false">IF(AND(ISNUMBER(R580),OR(AM580="À RADIOGRAPHIER",AM580="RÉPARÉ – À RADIOGRAPHIER",AM580="NX – RT À REFAIRE",AM580="À RÉPARER",AM580="COUPE – À RESOUDER",AM580="VT REJETÉ – À REPRENDRE")),MAX(0,'PROGRAMME RT'!$C$4-R580),"")</f>
        <v/>
      </c>
      <c r="AO580" s="78" t="n">
        <f aca="false">IF(AND(OR(AM580="À RADIOGRAPHIER",AM580="RÉPARÉ – À RADIOGRAPHIER",AM580="NX – RT À REFAIRE"),OR('PROGRAMME RT'!$D$5="TOUTES",B580='PROGRAMME RT'!$D$5)),1,0)</f>
        <v>0</v>
      </c>
      <c r="AP580" s="78" t="str">
        <f aca="false">IF(AO580=1,SUM(AO$7:AO580),"")</f>
        <v/>
      </c>
      <c r="AQ580" s="78" t="n">
        <f aca="false">IF(AND(OR(X580="R",X580="NX",X580="NT",X580="CO"),OR('JOINTS DE RÉPARATION'!$D$5="TOUTES",B580='JOINTS DE RÉPARATION'!$D$5),OR('JOINTS DE RÉPARATION'!$L$4="TOUS",AM580&lt;&gt;"ACCEPTÉ")),1,0)</f>
        <v>0</v>
      </c>
      <c r="AR580" s="78" t="str">
        <f aca="false">IF(AQ580=1,SUM(AQ$7:AQ580),"")</f>
        <v/>
      </c>
    </row>
    <row r="581" customFormat="false" ht="15" hidden="false" customHeight="false" outlineLevel="0" collapsed="false">
      <c r="A581" s="78" t="n">
        <f aca="false">IF(E581="","",ROW()-6)</f>
        <v>575</v>
      </c>
      <c r="B581" s="79" t="s">
        <v>585</v>
      </c>
      <c r="C581" s="80"/>
      <c r="D581" s="80"/>
      <c r="E581" s="80" t="s">
        <v>507</v>
      </c>
      <c r="F581" s="80"/>
      <c r="G581" s="80" t="s">
        <v>106</v>
      </c>
      <c r="H581" s="80"/>
      <c r="I581" s="80"/>
      <c r="J581" s="80"/>
      <c r="K581" s="80"/>
      <c r="L581" s="81" t="str">
        <f aca="false">IF(K581="","",IFERROR(INDEX(BARDAGE!$C$7:$C$1506,MATCH(K581,BARDAGE!$B$7:$B$1506,0)),"? hors registre"))</f>
        <v/>
      </c>
      <c r="M581" s="80"/>
      <c r="N581" s="81" t="str">
        <f aca="false">IF(M581="","",IFERROR(INDEX(BARDAGE!$C$7:$C$1506,MATCH(M581,BARDAGE!$B$7:$B$1506,0)),"? hors registre"))</f>
        <v/>
      </c>
      <c r="O581" s="80"/>
      <c r="P581" s="80"/>
      <c r="Q581" s="80"/>
      <c r="R581" s="82"/>
      <c r="S581" s="82"/>
      <c r="T581" s="80"/>
      <c r="U581" s="80"/>
      <c r="V581" s="82"/>
      <c r="W581" s="80"/>
      <c r="X581" s="80"/>
      <c r="Y581" s="80"/>
      <c r="Z581" s="80"/>
      <c r="AA581" s="82"/>
      <c r="AB581" s="80"/>
      <c r="AC581" s="80"/>
      <c r="AD581" s="80"/>
      <c r="AE581" s="80"/>
      <c r="AF581" s="82"/>
      <c r="AG581" s="80"/>
      <c r="AH581" s="80"/>
      <c r="AI581" s="82"/>
      <c r="AJ581" s="79"/>
      <c r="AK581" s="78" t="n">
        <f aca="false">IF(E581="","",(X581&lt;&gt;"")+(AC581&lt;&gt;"")+(AH581&lt;&gt;""))</f>
        <v>0</v>
      </c>
      <c r="AL581" s="81" t="str">
        <f aca="false">IF(AH581&lt;&gt;"",AH581,IF(AC581&lt;&gt;"",AC581,IF(X581&lt;&gt;"",X581,"")))</f>
        <v/>
      </c>
      <c r="AM581" s="83" t="str">
        <f aca="false">IF(E581="","",IF(R581="","À SOUDER",IF(U581="","VT EN ATTENTE",IF(U581="R","VT REJETÉ – À REPRENDRE",IF(AL581="","À RADIOGRAPHIER",IF(AL581="A","ACCEPTÉ",IF(AL581="NX","NX – RT À REFAIRE",IF(IF(AK581=1,Z581,IF(AK581=2,AE581,""))="A","RÉPARÉ – À RADIOGRAPHIER",IF(IF(AK581=1,Z581,IF(AK581=2,AE581,""))="R","VT REJETÉ – À REPRENDRE",IF(OR(AL581="CO",AL581="NT"),"COUPE – À RESOUDER","À RÉPARER"))))))))))</f>
        <v>À SOUDER</v>
      </c>
      <c r="AN581" s="81" t="str">
        <f aca="false">IF(AND(ISNUMBER(R581),OR(AM581="À RADIOGRAPHIER",AM581="RÉPARÉ – À RADIOGRAPHIER",AM581="NX – RT À REFAIRE",AM581="À RÉPARER",AM581="COUPE – À RESOUDER",AM581="VT REJETÉ – À REPRENDRE")),MAX(0,'PROGRAMME RT'!$C$4-R581),"")</f>
        <v/>
      </c>
      <c r="AO581" s="78" t="n">
        <f aca="false">IF(AND(OR(AM581="À RADIOGRAPHIER",AM581="RÉPARÉ – À RADIOGRAPHIER",AM581="NX – RT À REFAIRE"),OR('PROGRAMME RT'!$D$5="TOUTES",B581='PROGRAMME RT'!$D$5)),1,0)</f>
        <v>0</v>
      </c>
      <c r="AP581" s="78" t="str">
        <f aca="false">IF(AO581=1,SUM(AO$7:AO581),"")</f>
        <v/>
      </c>
      <c r="AQ581" s="78" t="n">
        <f aca="false">IF(AND(OR(X581="R",X581="NX",X581="NT",X581="CO"),OR('JOINTS DE RÉPARATION'!$D$5="TOUTES",B581='JOINTS DE RÉPARATION'!$D$5),OR('JOINTS DE RÉPARATION'!$L$4="TOUS",AM581&lt;&gt;"ACCEPTÉ")),1,0)</f>
        <v>0</v>
      </c>
      <c r="AR581" s="78" t="str">
        <f aca="false">IF(AQ581=1,SUM(AQ$7:AQ581),"")</f>
        <v/>
      </c>
    </row>
    <row r="582" customFormat="false" ht="15" hidden="false" customHeight="false" outlineLevel="0" collapsed="false">
      <c r="A582" s="78" t="n">
        <f aca="false">IF(E582="","",ROW()-6)</f>
        <v>576</v>
      </c>
      <c r="B582" s="79" t="s">
        <v>585</v>
      </c>
      <c r="C582" s="80"/>
      <c r="D582" s="80"/>
      <c r="E582" s="80" t="s">
        <v>509</v>
      </c>
      <c r="F582" s="80"/>
      <c r="G582" s="80" t="s">
        <v>106</v>
      </c>
      <c r="H582" s="80"/>
      <c r="I582" s="80"/>
      <c r="J582" s="80"/>
      <c r="K582" s="80"/>
      <c r="L582" s="81" t="str">
        <f aca="false">IF(K582="","",IFERROR(INDEX(BARDAGE!$C$7:$C$1506,MATCH(K582,BARDAGE!$B$7:$B$1506,0)),"? hors registre"))</f>
        <v/>
      </c>
      <c r="M582" s="80"/>
      <c r="N582" s="81" t="str">
        <f aca="false">IF(M582="","",IFERROR(INDEX(BARDAGE!$C$7:$C$1506,MATCH(M582,BARDAGE!$B$7:$B$1506,0)),"? hors registre"))</f>
        <v/>
      </c>
      <c r="O582" s="80"/>
      <c r="P582" s="80"/>
      <c r="Q582" s="80"/>
      <c r="R582" s="82"/>
      <c r="S582" s="82"/>
      <c r="T582" s="80"/>
      <c r="U582" s="80"/>
      <c r="V582" s="82"/>
      <c r="W582" s="80"/>
      <c r="X582" s="80"/>
      <c r="Y582" s="80"/>
      <c r="Z582" s="80"/>
      <c r="AA582" s="82"/>
      <c r="AB582" s="80"/>
      <c r="AC582" s="80"/>
      <c r="AD582" s="80"/>
      <c r="AE582" s="80"/>
      <c r="AF582" s="82"/>
      <c r="AG582" s="80"/>
      <c r="AH582" s="80"/>
      <c r="AI582" s="82"/>
      <c r="AJ582" s="79"/>
      <c r="AK582" s="78" t="n">
        <f aca="false">IF(E582="","",(X582&lt;&gt;"")+(AC582&lt;&gt;"")+(AH582&lt;&gt;""))</f>
        <v>0</v>
      </c>
      <c r="AL582" s="81" t="str">
        <f aca="false">IF(AH582&lt;&gt;"",AH582,IF(AC582&lt;&gt;"",AC582,IF(X582&lt;&gt;"",X582,"")))</f>
        <v/>
      </c>
      <c r="AM582" s="83" t="str">
        <f aca="false">IF(E582="","",IF(R582="","À SOUDER",IF(U582="","VT EN ATTENTE",IF(U582="R","VT REJETÉ – À REPRENDRE",IF(AL582="","À RADIOGRAPHIER",IF(AL582="A","ACCEPTÉ",IF(AL582="NX","NX – RT À REFAIRE",IF(IF(AK582=1,Z582,IF(AK582=2,AE582,""))="A","RÉPARÉ – À RADIOGRAPHIER",IF(IF(AK582=1,Z582,IF(AK582=2,AE582,""))="R","VT REJETÉ – À REPRENDRE",IF(OR(AL582="CO",AL582="NT"),"COUPE – À RESOUDER","À RÉPARER"))))))))))</f>
        <v>À SOUDER</v>
      </c>
      <c r="AN582" s="81" t="str">
        <f aca="false">IF(AND(ISNUMBER(R582),OR(AM582="À RADIOGRAPHIER",AM582="RÉPARÉ – À RADIOGRAPHIER",AM582="NX – RT À REFAIRE",AM582="À RÉPARER",AM582="COUPE – À RESOUDER",AM582="VT REJETÉ – À REPRENDRE")),MAX(0,'PROGRAMME RT'!$C$4-R582),"")</f>
        <v/>
      </c>
      <c r="AO582" s="78" t="n">
        <f aca="false">IF(AND(OR(AM582="À RADIOGRAPHIER",AM582="RÉPARÉ – À RADIOGRAPHIER",AM582="NX – RT À REFAIRE"),OR('PROGRAMME RT'!$D$5="TOUTES",B582='PROGRAMME RT'!$D$5)),1,0)</f>
        <v>0</v>
      </c>
      <c r="AP582" s="78" t="str">
        <f aca="false">IF(AO582=1,SUM(AO$7:AO582),"")</f>
        <v/>
      </c>
      <c r="AQ582" s="78" t="n">
        <f aca="false">IF(AND(OR(X582="R",X582="NX",X582="NT",X582="CO"),OR('JOINTS DE RÉPARATION'!$D$5="TOUTES",B582='JOINTS DE RÉPARATION'!$D$5),OR('JOINTS DE RÉPARATION'!$L$4="TOUS",AM582&lt;&gt;"ACCEPTÉ")),1,0)</f>
        <v>0</v>
      </c>
      <c r="AR582" s="78" t="str">
        <f aca="false">IF(AQ582=1,SUM(AQ$7:AQ582),"")</f>
        <v/>
      </c>
    </row>
    <row r="583" customFormat="false" ht="15" hidden="false" customHeight="false" outlineLevel="0" collapsed="false">
      <c r="A583" s="78" t="n">
        <f aca="false">IF(E583="","",ROW()-6)</f>
        <v>577</v>
      </c>
      <c r="B583" s="79" t="s">
        <v>585</v>
      </c>
      <c r="C583" s="80"/>
      <c r="D583" s="80"/>
      <c r="E583" s="80" t="s">
        <v>511</v>
      </c>
      <c r="F583" s="80"/>
      <c r="G583" s="80" t="s">
        <v>106</v>
      </c>
      <c r="H583" s="80"/>
      <c r="I583" s="80"/>
      <c r="J583" s="80"/>
      <c r="K583" s="80"/>
      <c r="L583" s="81" t="str">
        <f aca="false">IF(K583="","",IFERROR(INDEX(BARDAGE!$C$7:$C$1506,MATCH(K583,BARDAGE!$B$7:$B$1506,0)),"? hors registre"))</f>
        <v/>
      </c>
      <c r="M583" s="80"/>
      <c r="N583" s="81" t="str">
        <f aca="false">IF(M583="","",IFERROR(INDEX(BARDAGE!$C$7:$C$1506,MATCH(M583,BARDAGE!$B$7:$B$1506,0)),"? hors registre"))</f>
        <v/>
      </c>
      <c r="O583" s="80"/>
      <c r="P583" s="80"/>
      <c r="Q583" s="80"/>
      <c r="R583" s="82"/>
      <c r="S583" s="82"/>
      <c r="T583" s="80"/>
      <c r="U583" s="80"/>
      <c r="V583" s="82"/>
      <c r="W583" s="80"/>
      <c r="X583" s="80"/>
      <c r="Y583" s="80"/>
      <c r="Z583" s="80"/>
      <c r="AA583" s="82"/>
      <c r="AB583" s="80"/>
      <c r="AC583" s="80"/>
      <c r="AD583" s="80"/>
      <c r="AE583" s="80"/>
      <c r="AF583" s="82"/>
      <c r="AG583" s="80"/>
      <c r="AH583" s="80"/>
      <c r="AI583" s="82"/>
      <c r="AJ583" s="79"/>
      <c r="AK583" s="78" t="n">
        <f aca="false">IF(E583="","",(X583&lt;&gt;"")+(AC583&lt;&gt;"")+(AH583&lt;&gt;""))</f>
        <v>0</v>
      </c>
      <c r="AL583" s="81" t="str">
        <f aca="false">IF(AH583&lt;&gt;"",AH583,IF(AC583&lt;&gt;"",AC583,IF(X583&lt;&gt;"",X583,"")))</f>
        <v/>
      </c>
      <c r="AM583" s="83" t="str">
        <f aca="false">IF(E583="","",IF(R583="","À SOUDER",IF(U583="","VT EN ATTENTE",IF(U583="R","VT REJETÉ – À REPRENDRE",IF(AL583="","À RADIOGRAPHIER",IF(AL583="A","ACCEPTÉ",IF(AL583="NX","NX – RT À REFAIRE",IF(IF(AK583=1,Z583,IF(AK583=2,AE583,""))="A","RÉPARÉ – À RADIOGRAPHIER",IF(IF(AK583=1,Z583,IF(AK583=2,AE583,""))="R","VT REJETÉ – À REPRENDRE",IF(OR(AL583="CO",AL583="NT"),"COUPE – À RESOUDER","À RÉPARER"))))))))))</f>
        <v>À SOUDER</v>
      </c>
      <c r="AN583" s="81" t="str">
        <f aca="false">IF(AND(ISNUMBER(R583),OR(AM583="À RADIOGRAPHIER",AM583="RÉPARÉ – À RADIOGRAPHIER",AM583="NX – RT À REFAIRE",AM583="À RÉPARER",AM583="COUPE – À RESOUDER",AM583="VT REJETÉ – À REPRENDRE")),MAX(0,'PROGRAMME RT'!$C$4-R583),"")</f>
        <v/>
      </c>
      <c r="AO583" s="78" t="n">
        <f aca="false">IF(AND(OR(AM583="À RADIOGRAPHIER",AM583="RÉPARÉ – À RADIOGRAPHIER",AM583="NX – RT À REFAIRE"),OR('PROGRAMME RT'!$D$5="TOUTES",B583='PROGRAMME RT'!$D$5)),1,0)</f>
        <v>0</v>
      </c>
      <c r="AP583" s="78" t="str">
        <f aca="false">IF(AO583=1,SUM(AO$7:AO583),"")</f>
        <v/>
      </c>
      <c r="AQ583" s="78" t="n">
        <f aca="false">IF(AND(OR(X583="R",X583="NX",X583="NT",X583="CO"),OR('JOINTS DE RÉPARATION'!$D$5="TOUTES",B583='JOINTS DE RÉPARATION'!$D$5),OR('JOINTS DE RÉPARATION'!$L$4="TOUS",AM583&lt;&gt;"ACCEPTÉ")),1,0)</f>
        <v>0</v>
      </c>
      <c r="AR583" s="78" t="str">
        <f aca="false">IF(AQ583=1,SUM(AQ$7:AQ583),"")</f>
        <v/>
      </c>
    </row>
    <row r="584" customFormat="false" ht="15" hidden="false" customHeight="false" outlineLevel="0" collapsed="false">
      <c r="A584" s="78" t="n">
        <f aca="false">IF(E584="","",ROW()-6)</f>
        <v>578</v>
      </c>
      <c r="B584" s="79" t="s">
        <v>585</v>
      </c>
      <c r="C584" s="80"/>
      <c r="D584" s="80"/>
      <c r="E584" s="80" t="s">
        <v>513</v>
      </c>
      <c r="F584" s="80"/>
      <c r="G584" s="80" t="s">
        <v>106</v>
      </c>
      <c r="H584" s="80"/>
      <c r="I584" s="80"/>
      <c r="J584" s="80"/>
      <c r="K584" s="80"/>
      <c r="L584" s="81" t="str">
        <f aca="false">IF(K584="","",IFERROR(INDEX(BARDAGE!$C$7:$C$1506,MATCH(K584,BARDAGE!$B$7:$B$1506,0)),"? hors registre"))</f>
        <v/>
      </c>
      <c r="M584" s="80"/>
      <c r="N584" s="81" t="str">
        <f aca="false">IF(M584="","",IFERROR(INDEX(BARDAGE!$C$7:$C$1506,MATCH(M584,BARDAGE!$B$7:$B$1506,0)),"? hors registre"))</f>
        <v/>
      </c>
      <c r="O584" s="80"/>
      <c r="P584" s="80"/>
      <c r="Q584" s="80"/>
      <c r="R584" s="82"/>
      <c r="S584" s="82"/>
      <c r="T584" s="80"/>
      <c r="U584" s="80"/>
      <c r="V584" s="82"/>
      <c r="W584" s="80"/>
      <c r="X584" s="80"/>
      <c r="Y584" s="80"/>
      <c r="Z584" s="80"/>
      <c r="AA584" s="82"/>
      <c r="AB584" s="80"/>
      <c r="AC584" s="80"/>
      <c r="AD584" s="80"/>
      <c r="AE584" s="80"/>
      <c r="AF584" s="82"/>
      <c r="AG584" s="80"/>
      <c r="AH584" s="80"/>
      <c r="AI584" s="82"/>
      <c r="AJ584" s="79"/>
      <c r="AK584" s="78" t="n">
        <f aca="false">IF(E584="","",(X584&lt;&gt;"")+(AC584&lt;&gt;"")+(AH584&lt;&gt;""))</f>
        <v>0</v>
      </c>
      <c r="AL584" s="81" t="str">
        <f aca="false">IF(AH584&lt;&gt;"",AH584,IF(AC584&lt;&gt;"",AC584,IF(X584&lt;&gt;"",X584,"")))</f>
        <v/>
      </c>
      <c r="AM584" s="83" t="str">
        <f aca="false">IF(E584="","",IF(R584="","À SOUDER",IF(U584="","VT EN ATTENTE",IF(U584="R","VT REJETÉ – À REPRENDRE",IF(AL584="","À RADIOGRAPHIER",IF(AL584="A","ACCEPTÉ",IF(AL584="NX","NX – RT À REFAIRE",IF(IF(AK584=1,Z584,IF(AK584=2,AE584,""))="A","RÉPARÉ – À RADIOGRAPHIER",IF(IF(AK584=1,Z584,IF(AK584=2,AE584,""))="R","VT REJETÉ – À REPRENDRE",IF(OR(AL584="CO",AL584="NT"),"COUPE – À RESOUDER","À RÉPARER"))))))))))</f>
        <v>À SOUDER</v>
      </c>
      <c r="AN584" s="81" t="str">
        <f aca="false">IF(AND(ISNUMBER(R584),OR(AM584="À RADIOGRAPHIER",AM584="RÉPARÉ – À RADIOGRAPHIER",AM584="NX – RT À REFAIRE",AM584="À RÉPARER",AM584="COUPE – À RESOUDER",AM584="VT REJETÉ – À REPRENDRE")),MAX(0,'PROGRAMME RT'!$C$4-R584),"")</f>
        <v/>
      </c>
      <c r="AO584" s="78" t="n">
        <f aca="false">IF(AND(OR(AM584="À RADIOGRAPHIER",AM584="RÉPARÉ – À RADIOGRAPHIER",AM584="NX – RT À REFAIRE"),OR('PROGRAMME RT'!$D$5="TOUTES",B584='PROGRAMME RT'!$D$5)),1,0)</f>
        <v>0</v>
      </c>
      <c r="AP584" s="78" t="str">
        <f aca="false">IF(AO584=1,SUM(AO$7:AO584),"")</f>
        <v/>
      </c>
      <c r="AQ584" s="78" t="n">
        <f aca="false">IF(AND(OR(X584="R",X584="NX",X584="NT",X584="CO"),OR('JOINTS DE RÉPARATION'!$D$5="TOUTES",B584='JOINTS DE RÉPARATION'!$D$5),OR('JOINTS DE RÉPARATION'!$L$4="TOUS",AM584&lt;&gt;"ACCEPTÉ")),1,0)</f>
        <v>0</v>
      </c>
      <c r="AR584" s="78" t="str">
        <f aca="false">IF(AQ584=1,SUM(AQ$7:AQ584),"")</f>
        <v/>
      </c>
    </row>
    <row r="585" customFormat="false" ht="15" hidden="false" customHeight="false" outlineLevel="0" collapsed="false">
      <c r="A585" s="78" t="n">
        <f aca="false">IF(E585="","",ROW()-6)</f>
        <v>579</v>
      </c>
      <c r="B585" s="79" t="s">
        <v>585</v>
      </c>
      <c r="C585" s="80"/>
      <c r="D585" s="80"/>
      <c r="E585" s="80" t="s">
        <v>515</v>
      </c>
      <c r="F585" s="80"/>
      <c r="G585" s="80" t="s">
        <v>106</v>
      </c>
      <c r="H585" s="80"/>
      <c r="I585" s="80"/>
      <c r="J585" s="80"/>
      <c r="K585" s="80"/>
      <c r="L585" s="81" t="str">
        <f aca="false">IF(K585="","",IFERROR(INDEX(BARDAGE!$C$7:$C$1506,MATCH(K585,BARDAGE!$B$7:$B$1506,0)),"? hors registre"))</f>
        <v/>
      </c>
      <c r="M585" s="80"/>
      <c r="N585" s="81" t="str">
        <f aca="false">IF(M585="","",IFERROR(INDEX(BARDAGE!$C$7:$C$1506,MATCH(M585,BARDAGE!$B$7:$B$1506,0)),"? hors registre"))</f>
        <v/>
      </c>
      <c r="O585" s="80"/>
      <c r="P585" s="80"/>
      <c r="Q585" s="80"/>
      <c r="R585" s="82"/>
      <c r="S585" s="82"/>
      <c r="T585" s="80"/>
      <c r="U585" s="80"/>
      <c r="V585" s="82"/>
      <c r="W585" s="80"/>
      <c r="X585" s="80"/>
      <c r="Y585" s="80"/>
      <c r="Z585" s="80"/>
      <c r="AA585" s="82"/>
      <c r="AB585" s="80"/>
      <c r="AC585" s="80"/>
      <c r="AD585" s="80"/>
      <c r="AE585" s="80"/>
      <c r="AF585" s="82"/>
      <c r="AG585" s="80"/>
      <c r="AH585" s="80"/>
      <c r="AI585" s="82"/>
      <c r="AJ585" s="79"/>
      <c r="AK585" s="78" t="n">
        <f aca="false">IF(E585="","",(X585&lt;&gt;"")+(AC585&lt;&gt;"")+(AH585&lt;&gt;""))</f>
        <v>0</v>
      </c>
      <c r="AL585" s="81" t="str">
        <f aca="false">IF(AH585&lt;&gt;"",AH585,IF(AC585&lt;&gt;"",AC585,IF(X585&lt;&gt;"",X585,"")))</f>
        <v/>
      </c>
      <c r="AM585" s="83" t="str">
        <f aca="false">IF(E585="","",IF(R585="","À SOUDER",IF(U585="","VT EN ATTENTE",IF(U585="R","VT REJETÉ – À REPRENDRE",IF(AL585="","À RADIOGRAPHIER",IF(AL585="A","ACCEPTÉ",IF(AL585="NX","NX – RT À REFAIRE",IF(IF(AK585=1,Z585,IF(AK585=2,AE585,""))="A","RÉPARÉ – À RADIOGRAPHIER",IF(IF(AK585=1,Z585,IF(AK585=2,AE585,""))="R","VT REJETÉ – À REPRENDRE",IF(OR(AL585="CO",AL585="NT"),"COUPE – À RESOUDER","À RÉPARER"))))))))))</f>
        <v>À SOUDER</v>
      </c>
      <c r="AN585" s="81" t="str">
        <f aca="false">IF(AND(ISNUMBER(R585),OR(AM585="À RADIOGRAPHIER",AM585="RÉPARÉ – À RADIOGRAPHIER",AM585="NX – RT À REFAIRE",AM585="À RÉPARER",AM585="COUPE – À RESOUDER",AM585="VT REJETÉ – À REPRENDRE")),MAX(0,'PROGRAMME RT'!$C$4-R585),"")</f>
        <v/>
      </c>
      <c r="AO585" s="78" t="n">
        <f aca="false">IF(AND(OR(AM585="À RADIOGRAPHIER",AM585="RÉPARÉ – À RADIOGRAPHIER",AM585="NX – RT À REFAIRE"),OR('PROGRAMME RT'!$D$5="TOUTES",B585='PROGRAMME RT'!$D$5)),1,0)</f>
        <v>0</v>
      </c>
      <c r="AP585" s="78" t="str">
        <f aca="false">IF(AO585=1,SUM(AO$7:AO585),"")</f>
        <v/>
      </c>
      <c r="AQ585" s="78" t="n">
        <f aca="false">IF(AND(OR(X585="R",X585="NX",X585="NT",X585="CO"),OR('JOINTS DE RÉPARATION'!$D$5="TOUTES",B585='JOINTS DE RÉPARATION'!$D$5),OR('JOINTS DE RÉPARATION'!$L$4="TOUS",AM585&lt;&gt;"ACCEPTÉ")),1,0)</f>
        <v>0</v>
      </c>
      <c r="AR585" s="78" t="str">
        <f aca="false">IF(AQ585=1,SUM(AQ$7:AQ585),"")</f>
        <v/>
      </c>
    </row>
    <row r="586" customFormat="false" ht="15" hidden="false" customHeight="false" outlineLevel="0" collapsed="false">
      <c r="A586" s="78" t="n">
        <f aca="false">IF(E586="","",ROW()-6)</f>
        <v>580</v>
      </c>
      <c r="B586" s="79" t="s">
        <v>585</v>
      </c>
      <c r="C586" s="80"/>
      <c r="D586" s="80"/>
      <c r="E586" s="80" t="s">
        <v>517</v>
      </c>
      <c r="F586" s="80"/>
      <c r="G586" s="80" t="s">
        <v>106</v>
      </c>
      <c r="H586" s="80"/>
      <c r="I586" s="80"/>
      <c r="J586" s="80"/>
      <c r="K586" s="80"/>
      <c r="L586" s="81" t="str">
        <f aca="false">IF(K586="","",IFERROR(INDEX(BARDAGE!$C$7:$C$1506,MATCH(K586,BARDAGE!$B$7:$B$1506,0)),"? hors registre"))</f>
        <v/>
      </c>
      <c r="M586" s="80"/>
      <c r="N586" s="81" t="str">
        <f aca="false">IF(M586="","",IFERROR(INDEX(BARDAGE!$C$7:$C$1506,MATCH(M586,BARDAGE!$B$7:$B$1506,0)),"? hors registre"))</f>
        <v/>
      </c>
      <c r="O586" s="80"/>
      <c r="P586" s="80"/>
      <c r="Q586" s="80"/>
      <c r="R586" s="82"/>
      <c r="S586" s="82"/>
      <c r="T586" s="80"/>
      <c r="U586" s="80"/>
      <c r="V586" s="82"/>
      <c r="W586" s="80"/>
      <c r="X586" s="80"/>
      <c r="Y586" s="80"/>
      <c r="Z586" s="80"/>
      <c r="AA586" s="82"/>
      <c r="AB586" s="80"/>
      <c r="AC586" s="80"/>
      <c r="AD586" s="80"/>
      <c r="AE586" s="80"/>
      <c r="AF586" s="82"/>
      <c r="AG586" s="80"/>
      <c r="AH586" s="80"/>
      <c r="AI586" s="82"/>
      <c r="AJ586" s="79"/>
      <c r="AK586" s="78" t="n">
        <f aca="false">IF(E586="","",(X586&lt;&gt;"")+(AC586&lt;&gt;"")+(AH586&lt;&gt;""))</f>
        <v>0</v>
      </c>
      <c r="AL586" s="81" t="str">
        <f aca="false">IF(AH586&lt;&gt;"",AH586,IF(AC586&lt;&gt;"",AC586,IF(X586&lt;&gt;"",X586,"")))</f>
        <v/>
      </c>
      <c r="AM586" s="83" t="str">
        <f aca="false">IF(E586="","",IF(R586="","À SOUDER",IF(U586="","VT EN ATTENTE",IF(U586="R","VT REJETÉ – À REPRENDRE",IF(AL586="","À RADIOGRAPHIER",IF(AL586="A","ACCEPTÉ",IF(AL586="NX","NX – RT À REFAIRE",IF(IF(AK586=1,Z586,IF(AK586=2,AE586,""))="A","RÉPARÉ – À RADIOGRAPHIER",IF(IF(AK586=1,Z586,IF(AK586=2,AE586,""))="R","VT REJETÉ – À REPRENDRE",IF(OR(AL586="CO",AL586="NT"),"COUPE – À RESOUDER","À RÉPARER"))))))))))</f>
        <v>À SOUDER</v>
      </c>
      <c r="AN586" s="81" t="str">
        <f aca="false">IF(AND(ISNUMBER(R586),OR(AM586="À RADIOGRAPHIER",AM586="RÉPARÉ – À RADIOGRAPHIER",AM586="NX – RT À REFAIRE",AM586="À RÉPARER",AM586="COUPE – À RESOUDER",AM586="VT REJETÉ – À REPRENDRE")),MAX(0,'PROGRAMME RT'!$C$4-R586),"")</f>
        <v/>
      </c>
      <c r="AO586" s="78" t="n">
        <f aca="false">IF(AND(OR(AM586="À RADIOGRAPHIER",AM586="RÉPARÉ – À RADIOGRAPHIER",AM586="NX – RT À REFAIRE"),OR('PROGRAMME RT'!$D$5="TOUTES",B586='PROGRAMME RT'!$D$5)),1,0)</f>
        <v>0</v>
      </c>
      <c r="AP586" s="78" t="str">
        <f aca="false">IF(AO586=1,SUM(AO$7:AO586),"")</f>
        <v/>
      </c>
      <c r="AQ586" s="78" t="n">
        <f aca="false">IF(AND(OR(X586="R",X586="NX",X586="NT",X586="CO"),OR('JOINTS DE RÉPARATION'!$D$5="TOUTES",B586='JOINTS DE RÉPARATION'!$D$5),OR('JOINTS DE RÉPARATION'!$L$4="TOUS",AM586&lt;&gt;"ACCEPTÉ")),1,0)</f>
        <v>0</v>
      </c>
      <c r="AR586" s="78" t="str">
        <f aca="false">IF(AQ586=1,SUM(AQ$7:AQ586),"")</f>
        <v/>
      </c>
    </row>
    <row r="587" customFormat="false" ht="15" hidden="false" customHeight="false" outlineLevel="0" collapsed="false">
      <c r="A587" s="78" t="n">
        <f aca="false">IF(E587="","",ROW()-6)</f>
        <v>581</v>
      </c>
      <c r="B587" s="79" t="s">
        <v>585</v>
      </c>
      <c r="C587" s="80"/>
      <c r="D587" s="80"/>
      <c r="E587" s="80" t="s">
        <v>519</v>
      </c>
      <c r="F587" s="80"/>
      <c r="G587" s="80" t="s">
        <v>106</v>
      </c>
      <c r="H587" s="80"/>
      <c r="I587" s="80"/>
      <c r="J587" s="80"/>
      <c r="K587" s="80"/>
      <c r="L587" s="81" t="str">
        <f aca="false">IF(K587="","",IFERROR(INDEX(BARDAGE!$C$7:$C$1506,MATCH(K587,BARDAGE!$B$7:$B$1506,0)),"? hors registre"))</f>
        <v/>
      </c>
      <c r="M587" s="80"/>
      <c r="N587" s="81" t="str">
        <f aca="false">IF(M587="","",IFERROR(INDEX(BARDAGE!$C$7:$C$1506,MATCH(M587,BARDAGE!$B$7:$B$1506,0)),"? hors registre"))</f>
        <v/>
      </c>
      <c r="O587" s="80"/>
      <c r="P587" s="80"/>
      <c r="Q587" s="80"/>
      <c r="R587" s="82"/>
      <c r="S587" s="82"/>
      <c r="T587" s="80"/>
      <c r="U587" s="80"/>
      <c r="V587" s="82"/>
      <c r="W587" s="80"/>
      <c r="X587" s="80"/>
      <c r="Y587" s="80"/>
      <c r="Z587" s="80"/>
      <c r="AA587" s="82"/>
      <c r="AB587" s="80"/>
      <c r="AC587" s="80"/>
      <c r="AD587" s="80"/>
      <c r="AE587" s="80"/>
      <c r="AF587" s="82"/>
      <c r="AG587" s="80"/>
      <c r="AH587" s="80"/>
      <c r="AI587" s="82"/>
      <c r="AJ587" s="79"/>
      <c r="AK587" s="78" t="n">
        <f aca="false">IF(E587="","",(X587&lt;&gt;"")+(AC587&lt;&gt;"")+(AH587&lt;&gt;""))</f>
        <v>0</v>
      </c>
      <c r="AL587" s="81" t="str">
        <f aca="false">IF(AH587&lt;&gt;"",AH587,IF(AC587&lt;&gt;"",AC587,IF(X587&lt;&gt;"",X587,"")))</f>
        <v/>
      </c>
      <c r="AM587" s="83" t="str">
        <f aca="false">IF(E587="","",IF(R587="","À SOUDER",IF(U587="","VT EN ATTENTE",IF(U587="R","VT REJETÉ – À REPRENDRE",IF(AL587="","À RADIOGRAPHIER",IF(AL587="A","ACCEPTÉ",IF(AL587="NX","NX – RT À REFAIRE",IF(IF(AK587=1,Z587,IF(AK587=2,AE587,""))="A","RÉPARÉ – À RADIOGRAPHIER",IF(IF(AK587=1,Z587,IF(AK587=2,AE587,""))="R","VT REJETÉ – À REPRENDRE",IF(OR(AL587="CO",AL587="NT"),"COUPE – À RESOUDER","À RÉPARER"))))))))))</f>
        <v>À SOUDER</v>
      </c>
      <c r="AN587" s="81" t="str">
        <f aca="false">IF(AND(ISNUMBER(R587),OR(AM587="À RADIOGRAPHIER",AM587="RÉPARÉ – À RADIOGRAPHIER",AM587="NX – RT À REFAIRE",AM587="À RÉPARER",AM587="COUPE – À RESOUDER",AM587="VT REJETÉ – À REPRENDRE")),MAX(0,'PROGRAMME RT'!$C$4-R587),"")</f>
        <v/>
      </c>
      <c r="AO587" s="78" t="n">
        <f aca="false">IF(AND(OR(AM587="À RADIOGRAPHIER",AM587="RÉPARÉ – À RADIOGRAPHIER",AM587="NX – RT À REFAIRE"),OR('PROGRAMME RT'!$D$5="TOUTES",B587='PROGRAMME RT'!$D$5)),1,0)</f>
        <v>0</v>
      </c>
      <c r="AP587" s="78" t="str">
        <f aca="false">IF(AO587=1,SUM(AO$7:AO587),"")</f>
        <v/>
      </c>
      <c r="AQ587" s="78" t="n">
        <f aca="false">IF(AND(OR(X587="R",X587="NX",X587="NT",X587="CO"),OR('JOINTS DE RÉPARATION'!$D$5="TOUTES",B587='JOINTS DE RÉPARATION'!$D$5),OR('JOINTS DE RÉPARATION'!$L$4="TOUS",AM587&lt;&gt;"ACCEPTÉ")),1,0)</f>
        <v>0</v>
      </c>
      <c r="AR587" s="78" t="str">
        <f aca="false">IF(AQ587=1,SUM(AQ$7:AQ587),"")</f>
        <v/>
      </c>
    </row>
    <row r="588" customFormat="false" ht="15" hidden="false" customHeight="false" outlineLevel="0" collapsed="false">
      <c r="A588" s="78" t="n">
        <f aca="false">IF(E588="","",ROW()-6)</f>
        <v>582</v>
      </c>
      <c r="B588" s="79" t="s">
        <v>585</v>
      </c>
      <c r="C588" s="80"/>
      <c r="D588" s="80"/>
      <c r="E588" s="80" t="s">
        <v>521</v>
      </c>
      <c r="F588" s="80"/>
      <c r="G588" s="80" t="s">
        <v>106</v>
      </c>
      <c r="H588" s="80"/>
      <c r="I588" s="80"/>
      <c r="J588" s="80"/>
      <c r="K588" s="80"/>
      <c r="L588" s="81" t="str">
        <f aca="false">IF(K588="","",IFERROR(INDEX(BARDAGE!$C$7:$C$1506,MATCH(K588,BARDAGE!$B$7:$B$1506,0)),"? hors registre"))</f>
        <v/>
      </c>
      <c r="M588" s="80"/>
      <c r="N588" s="81" t="str">
        <f aca="false">IF(M588="","",IFERROR(INDEX(BARDAGE!$C$7:$C$1506,MATCH(M588,BARDAGE!$B$7:$B$1506,0)),"? hors registre"))</f>
        <v/>
      </c>
      <c r="O588" s="80"/>
      <c r="P588" s="80"/>
      <c r="Q588" s="80"/>
      <c r="R588" s="82"/>
      <c r="S588" s="82"/>
      <c r="T588" s="80"/>
      <c r="U588" s="80"/>
      <c r="V588" s="82"/>
      <c r="W588" s="80"/>
      <c r="X588" s="80"/>
      <c r="Y588" s="80"/>
      <c r="Z588" s="80"/>
      <c r="AA588" s="82"/>
      <c r="AB588" s="80"/>
      <c r="AC588" s="80"/>
      <c r="AD588" s="80"/>
      <c r="AE588" s="80"/>
      <c r="AF588" s="82"/>
      <c r="AG588" s="80"/>
      <c r="AH588" s="80"/>
      <c r="AI588" s="82"/>
      <c r="AJ588" s="79"/>
      <c r="AK588" s="78" t="n">
        <f aca="false">IF(E588="","",(X588&lt;&gt;"")+(AC588&lt;&gt;"")+(AH588&lt;&gt;""))</f>
        <v>0</v>
      </c>
      <c r="AL588" s="81" t="str">
        <f aca="false">IF(AH588&lt;&gt;"",AH588,IF(AC588&lt;&gt;"",AC588,IF(X588&lt;&gt;"",X588,"")))</f>
        <v/>
      </c>
      <c r="AM588" s="83" t="str">
        <f aca="false">IF(E588="","",IF(R588="","À SOUDER",IF(U588="","VT EN ATTENTE",IF(U588="R","VT REJETÉ – À REPRENDRE",IF(AL588="","À RADIOGRAPHIER",IF(AL588="A","ACCEPTÉ",IF(AL588="NX","NX – RT À REFAIRE",IF(IF(AK588=1,Z588,IF(AK588=2,AE588,""))="A","RÉPARÉ – À RADIOGRAPHIER",IF(IF(AK588=1,Z588,IF(AK588=2,AE588,""))="R","VT REJETÉ – À REPRENDRE",IF(OR(AL588="CO",AL588="NT"),"COUPE – À RESOUDER","À RÉPARER"))))))))))</f>
        <v>À SOUDER</v>
      </c>
      <c r="AN588" s="81" t="str">
        <f aca="false">IF(AND(ISNUMBER(R588),OR(AM588="À RADIOGRAPHIER",AM588="RÉPARÉ – À RADIOGRAPHIER",AM588="NX – RT À REFAIRE",AM588="À RÉPARER",AM588="COUPE – À RESOUDER",AM588="VT REJETÉ – À REPRENDRE")),MAX(0,'PROGRAMME RT'!$C$4-R588),"")</f>
        <v/>
      </c>
      <c r="AO588" s="78" t="n">
        <f aca="false">IF(AND(OR(AM588="À RADIOGRAPHIER",AM588="RÉPARÉ – À RADIOGRAPHIER",AM588="NX – RT À REFAIRE"),OR('PROGRAMME RT'!$D$5="TOUTES",B588='PROGRAMME RT'!$D$5)),1,0)</f>
        <v>0</v>
      </c>
      <c r="AP588" s="78" t="str">
        <f aca="false">IF(AO588=1,SUM(AO$7:AO588),"")</f>
        <v/>
      </c>
      <c r="AQ588" s="78" t="n">
        <f aca="false">IF(AND(OR(X588="R",X588="NX",X588="NT",X588="CO"),OR('JOINTS DE RÉPARATION'!$D$5="TOUTES",B588='JOINTS DE RÉPARATION'!$D$5),OR('JOINTS DE RÉPARATION'!$L$4="TOUS",AM588&lt;&gt;"ACCEPTÉ")),1,0)</f>
        <v>0</v>
      </c>
      <c r="AR588" s="78" t="str">
        <f aca="false">IF(AQ588=1,SUM(AQ$7:AQ588),"")</f>
        <v/>
      </c>
    </row>
    <row r="589" customFormat="false" ht="15" hidden="false" customHeight="false" outlineLevel="0" collapsed="false">
      <c r="A589" s="78" t="n">
        <f aca="false">IF(E589="","",ROW()-6)</f>
        <v>583</v>
      </c>
      <c r="B589" s="79" t="s">
        <v>585</v>
      </c>
      <c r="C589" s="80"/>
      <c r="D589" s="80"/>
      <c r="E589" s="80" t="s">
        <v>523</v>
      </c>
      <c r="F589" s="80"/>
      <c r="G589" s="80" t="s">
        <v>106</v>
      </c>
      <c r="H589" s="80"/>
      <c r="I589" s="80"/>
      <c r="J589" s="80"/>
      <c r="K589" s="80"/>
      <c r="L589" s="81" t="str">
        <f aca="false">IF(K589="","",IFERROR(INDEX(BARDAGE!$C$7:$C$1506,MATCH(K589,BARDAGE!$B$7:$B$1506,0)),"? hors registre"))</f>
        <v/>
      </c>
      <c r="M589" s="80"/>
      <c r="N589" s="81" t="str">
        <f aca="false">IF(M589="","",IFERROR(INDEX(BARDAGE!$C$7:$C$1506,MATCH(M589,BARDAGE!$B$7:$B$1506,0)),"? hors registre"))</f>
        <v/>
      </c>
      <c r="O589" s="80"/>
      <c r="P589" s="80"/>
      <c r="Q589" s="80"/>
      <c r="R589" s="82"/>
      <c r="S589" s="82"/>
      <c r="T589" s="80"/>
      <c r="U589" s="80"/>
      <c r="V589" s="82"/>
      <c r="W589" s="80"/>
      <c r="X589" s="80"/>
      <c r="Y589" s="80"/>
      <c r="Z589" s="80"/>
      <c r="AA589" s="82"/>
      <c r="AB589" s="80"/>
      <c r="AC589" s="80"/>
      <c r="AD589" s="80"/>
      <c r="AE589" s="80"/>
      <c r="AF589" s="82"/>
      <c r="AG589" s="80"/>
      <c r="AH589" s="80"/>
      <c r="AI589" s="82"/>
      <c r="AJ589" s="79"/>
      <c r="AK589" s="78" t="n">
        <f aca="false">IF(E589="","",(X589&lt;&gt;"")+(AC589&lt;&gt;"")+(AH589&lt;&gt;""))</f>
        <v>0</v>
      </c>
      <c r="AL589" s="81" t="str">
        <f aca="false">IF(AH589&lt;&gt;"",AH589,IF(AC589&lt;&gt;"",AC589,IF(X589&lt;&gt;"",X589,"")))</f>
        <v/>
      </c>
      <c r="AM589" s="83" t="str">
        <f aca="false">IF(E589="","",IF(R589="","À SOUDER",IF(U589="","VT EN ATTENTE",IF(U589="R","VT REJETÉ – À REPRENDRE",IF(AL589="","À RADIOGRAPHIER",IF(AL589="A","ACCEPTÉ",IF(AL589="NX","NX – RT À REFAIRE",IF(IF(AK589=1,Z589,IF(AK589=2,AE589,""))="A","RÉPARÉ – À RADIOGRAPHIER",IF(IF(AK589=1,Z589,IF(AK589=2,AE589,""))="R","VT REJETÉ – À REPRENDRE",IF(OR(AL589="CO",AL589="NT"),"COUPE – À RESOUDER","À RÉPARER"))))))))))</f>
        <v>À SOUDER</v>
      </c>
      <c r="AN589" s="81" t="str">
        <f aca="false">IF(AND(ISNUMBER(R589),OR(AM589="À RADIOGRAPHIER",AM589="RÉPARÉ – À RADIOGRAPHIER",AM589="NX – RT À REFAIRE",AM589="À RÉPARER",AM589="COUPE – À RESOUDER",AM589="VT REJETÉ – À REPRENDRE")),MAX(0,'PROGRAMME RT'!$C$4-R589),"")</f>
        <v/>
      </c>
      <c r="AO589" s="78" t="n">
        <f aca="false">IF(AND(OR(AM589="À RADIOGRAPHIER",AM589="RÉPARÉ – À RADIOGRAPHIER",AM589="NX – RT À REFAIRE"),OR('PROGRAMME RT'!$D$5="TOUTES",B589='PROGRAMME RT'!$D$5)),1,0)</f>
        <v>0</v>
      </c>
      <c r="AP589" s="78" t="str">
        <f aca="false">IF(AO589=1,SUM(AO$7:AO589),"")</f>
        <v/>
      </c>
      <c r="AQ589" s="78" t="n">
        <f aca="false">IF(AND(OR(X589="R",X589="NX",X589="NT",X589="CO"),OR('JOINTS DE RÉPARATION'!$D$5="TOUTES",B589='JOINTS DE RÉPARATION'!$D$5),OR('JOINTS DE RÉPARATION'!$L$4="TOUS",AM589&lt;&gt;"ACCEPTÉ")),1,0)</f>
        <v>0</v>
      </c>
      <c r="AR589" s="78" t="str">
        <f aca="false">IF(AQ589=1,SUM(AQ$7:AQ589),"")</f>
        <v/>
      </c>
    </row>
    <row r="590" customFormat="false" ht="15" hidden="false" customHeight="false" outlineLevel="0" collapsed="false">
      <c r="A590" s="78" t="n">
        <f aca="false">IF(E590="","",ROW()-6)</f>
        <v>584</v>
      </c>
      <c r="B590" s="79" t="s">
        <v>585</v>
      </c>
      <c r="C590" s="80"/>
      <c r="D590" s="80"/>
      <c r="E590" s="80" t="s">
        <v>525</v>
      </c>
      <c r="F590" s="80"/>
      <c r="G590" s="80" t="s">
        <v>106</v>
      </c>
      <c r="H590" s="80"/>
      <c r="I590" s="80"/>
      <c r="J590" s="80"/>
      <c r="K590" s="80"/>
      <c r="L590" s="81" t="str">
        <f aca="false">IF(K590="","",IFERROR(INDEX(BARDAGE!$C$7:$C$1506,MATCH(K590,BARDAGE!$B$7:$B$1506,0)),"? hors registre"))</f>
        <v/>
      </c>
      <c r="M590" s="80"/>
      <c r="N590" s="81" t="str">
        <f aca="false">IF(M590="","",IFERROR(INDEX(BARDAGE!$C$7:$C$1506,MATCH(M590,BARDAGE!$B$7:$B$1506,0)),"? hors registre"))</f>
        <v/>
      </c>
      <c r="O590" s="80"/>
      <c r="P590" s="80"/>
      <c r="Q590" s="80"/>
      <c r="R590" s="82"/>
      <c r="S590" s="82"/>
      <c r="T590" s="80"/>
      <c r="U590" s="80"/>
      <c r="V590" s="82"/>
      <c r="W590" s="80"/>
      <c r="X590" s="80"/>
      <c r="Y590" s="80"/>
      <c r="Z590" s="80"/>
      <c r="AA590" s="82"/>
      <c r="AB590" s="80"/>
      <c r="AC590" s="80"/>
      <c r="AD590" s="80"/>
      <c r="AE590" s="80"/>
      <c r="AF590" s="82"/>
      <c r="AG590" s="80"/>
      <c r="AH590" s="80"/>
      <c r="AI590" s="82"/>
      <c r="AJ590" s="79"/>
      <c r="AK590" s="78" t="n">
        <f aca="false">IF(E590="","",(X590&lt;&gt;"")+(AC590&lt;&gt;"")+(AH590&lt;&gt;""))</f>
        <v>0</v>
      </c>
      <c r="AL590" s="81" t="str">
        <f aca="false">IF(AH590&lt;&gt;"",AH590,IF(AC590&lt;&gt;"",AC590,IF(X590&lt;&gt;"",X590,"")))</f>
        <v/>
      </c>
      <c r="AM590" s="83" t="str">
        <f aca="false">IF(E590="","",IF(R590="","À SOUDER",IF(U590="","VT EN ATTENTE",IF(U590="R","VT REJETÉ – À REPRENDRE",IF(AL590="","À RADIOGRAPHIER",IF(AL590="A","ACCEPTÉ",IF(AL590="NX","NX – RT À REFAIRE",IF(IF(AK590=1,Z590,IF(AK590=2,AE590,""))="A","RÉPARÉ – À RADIOGRAPHIER",IF(IF(AK590=1,Z590,IF(AK590=2,AE590,""))="R","VT REJETÉ – À REPRENDRE",IF(OR(AL590="CO",AL590="NT"),"COUPE – À RESOUDER","À RÉPARER"))))))))))</f>
        <v>À SOUDER</v>
      </c>
      <c r="AN590" s="81" t="str">
        <f aca="false">IF(AND(ISNUMBER(R590),OR(AM590="À RADIOGRAPHIER",AM590="RÉPARÉ – À RADIOGRAPHIER",AM590="NX – RT À REFAIRE",AM590="À RÉPARER",AM590="COUPE – À RESOUDER",AM590="VT REJETÉ – À REPRENDRE")),MAX(0,'PROGRAMME RT'!$C$4-R590),"")</f>
        <v/>
      </c>
      <c r="AO590" s="78" t="n">
        <f aca="false">IF(AND(OR(AM590="À RADIOGRAPHIER",AM590="RÉPARÉ – À RADIOGRAPHIER",AM590="NX – RT À REFAIRE"),OR('PROGRAMME RT'!$D$5="TOUTES",B590='PROGRAMME RT'!$D$5)),1,0)</f>
        <v>0</v>
      </c>
      <c r="AP590" s="78" t="str">
        <f aca="false">IF(AO590=1,SUM(AO$7:AO590),"")</f>
        <v/>
      </c>
      <c r="AQ590" s="78" t="n">
        <f aca="false">IF(AND(OR(X590="R",X590="NX",X590="NT",X590="CO"),OR('JOINTS DE RÉPARATION'!$D$5="TOUTES",B590='JOINTS DE RÉPARATION'!$D$5),OR('JOINTS DE RÉPARATION'!$L$4="TOUS",AM590&lt;&gt;"ACCEPTÉ")),1,0)</f>
        <v>0</v>
      </c>
      <c r="AR590" s="78" t="str">
        <f aca="false">IF(AQ590=1,SUM(AQ$7:AQ590),"")</f>
        <v/>
      </c>
    </row>
    <row r="591" customFormat="false" ht="15" hidden="false" customHeight="false" outlineLevel="0" collapsed="false">
      <c r="A591" s="78" t="n">
        <f aca="false">IF(E591="","",ROW()-6)</f>
        <v>585</v>
      </c>
      <c r="B591" s="79" t="s">
        <v>585</v>
      </c>
      <c r="C591" s="80"/>
      <c r="D591" s="80"/>
      <c r="E591" s="80" t="s">
        <v>527</v>
      </c>
      <c r="F591" s="80"/>
      <c r="G591" s="80" t="s">
        <v>106</v>
      </c>
      <c r="H591" s="80"/>
      <c r="I591" s="80"/>
      <c r="J591" s="80"/>
      <c r="K591" s="80"/>
      <c r="L591" s="81" t="str">
        <f aca="false">IF(K591="","",IFERROR(INDEX(BARDAGE!$C$7:$C$1506,MATCH(K591,BARDAGE!$B$7:$B$1506,0)),"? hors registre"))</f>
        <v/>
      </c>
      <c r="M591" s="80"/>
      <c r="N591" s="81" t="str">
        <f aca="false">IF(M591="","",IFERROR(INDEX(BARDAGE!$C$7:$C$1506,MATCH(M591,BARDAGE!$B$7:$B$1506,0)),"? hors registre"))</f>
        <v/>
      </c>
      <c r="O591" s="80"/>
      <c r="P591" s="80"/>
      <c r="Q591" s="80"/>
      <c r="R591" s="82"/>
      <c r="S591" s="82"/>
      <c r="T591" s="80"/>
      <c r="U591" s="80"/>
      <c r="V591" s="82"/>
      <c r="W591" s="80"/>
      <c r="X591" s="80"/>
      <c r="Y591" s="80"/>
      <c r="Z591" s="80"/>
      <c r="AA591" s="82"/>
      <c r="AB591" s="80"/>
      <c r="AC591" s="80"/>
      <c r="AD591" s="80"/>
      <c r="AE591" s="80"/>
      <c r="AF591" s="82"/>
      <c r="AG591" s="80"/>
      <c r="AH591" s="80"/>
      <c r="AI591" s="82"/>
      <c r="AJ591" s="79"/>
      <c r="AK591" s="78" t="n">
        <f aca="false">IF(E591="","",(X591&lt;&gt;"")+(AC591&lt;&gt;"")+(AH591&lt;&gt;""))</f>
        <v>0</v>
      </c>
      <c r="AL591" s="81" t="str">
        <f aca="false">IF(AH591&lt;&gt;"",AH591,IF(AC591&lt;&gt;"",AC591,IF(X591&lt;&gt;"",X591,"")))</f>
        <v/>
      </c>
      <c r="AM591" s="83" t="str">
        <f aca="false">IF(E591="","",IF(R591="","À SOUDER",IF(U591="","VT EN ATTENTE",IF(U591="R","VT REJETÉ – À REPRENDRE",IF(AL591="","À RADIOGRAPHIER",IF(AL591="A","ACCEPTÉ",IF(AL591="NX","NX – RT À REFAIRE",IF(IF(AK591=1,Z591,IF(AK591=2,AE591,""))="A","RÉPARÉ – À RADIOGRAPHIER",IF(IF(AK591=1,Z591,IF(AK591=2,AE591,""))="R","VT REJETÉ – À REPRENDRE",IF(OR(AL591="CO",AL591="NT"),"COUPE – À RESOUDER","À RÉPARER"))))))))))</f>
        <v>À SOUDER</v>
      </c>
      <c r="AN591" s="81" t="str">
        <f aca="false">IF(AND(ISNUMBER(R591),OR(AM591="À RADIOGRAPHIER",AM591="RÉPARÉ – À RADIOGRAPHIER",AM591="NX – RT À REFAIRE",AM591="À RÉPARER",AM591="COUPE – À RESOUDER",AM591="VT REJETÉ – À REPRENDRE")),MAX(0,'PROGRAMME RT'!$C$4-R591),"")</f>
        <v/>
      </c>
      <c r="AO591" s="78" t="n">
        <f aca="false">IF(AND(OR(AM591="À RADIOGRAPHIER",AM591="RÉPARÉ – À RADIOGRAPHIER",AM591="NX – RT À REFAIRE"),OR('PROGRAMME RT'!$D$5="TOUTES",B591='PROGRAMME RT'!$D$5)),1,0)</f>
        <v>0</v>
      </c>
      <c r="AP591" s="78" t="str">
        <f aca="false">IF(AO591=1,SUM(AO$7:AO591),"")</f>
        <v/>
      </c>
      <c r="AQ591" s="78" t="n">
        <f aca="false">IF(AND(OR(X591="R",X591="NX",X591="NT",X591="CO"),OR('JOINTS DE RÉPARATION'!$D$5="TOUTES",B591='JOINTS DE RÉPARATION'!$D$5),OR('JOINTS DE RÉPARATION'!$L$4="TOUS",AM591&lt;&gt;"ACCEPTÉ")),1,0)</f>
        <v>0</v>
      </c>
      <c r="AR591" s="78" t="str">
        <f aca="false">IF(AQ591=1,SUM(AQ$7:AQ591),"")</f>
        <v/>
      </c>
    </row>
    <row r="592" customFormat="false" ht="15" hidden="false" customHeight="false" outlineLevel="0" collapsed="false">
      <c r="A592" s="78" t="n">
        <f aca="false">IF(E592="","",ROW()-6)</f>
        <v>586</v>
      </c>
      <c r="B592" s="79" t="s">
        <v>585</v>
      </c>
      <c r="C592" s="80"/>
      <c r="D592" s="80"/>
      <c r="E592" s="80" t="s">
        <v>529</v>
      </c>
      <c r="F592" s="80"/>
      <c r="G592" s="80" t="s">
        <v>106</v>
      </c>
      <c r="H592" s="80"/>
      <c r="I592" s="80"/>
      <c r="J592" s="80"/>
      <c r="K592" s="80"/>
      <c r="L592" s="81" t="str">
        <f aca="false">IF(K592="","",IFERROR(INDEX(BARDAGE!$C$7:$C$1506,MATCH(K592,BARDAGE!$B$7:$B$1506,0)),"? hors registre"))</f>
        <v/>
      </c>
      <c r="M592" s="80"/>
      <c r="N592" s="81" t="str">
        <f aca="false">IF(M592="","",IFERROR(INDEX(BARDAGE!$C$7:$C$1506,MATCH(M592,BARDAGE!$B$7:$B$1506,0)),"? hors registre"))</f>
        <v/>
      </c>
      <c r="O592" s="80"/>
      <c r="P592" s="80"/>
      <c r="Q592" s="80"/>
      <c r="R592" s="82"/>
      <c r="S592" s="82"/>
      <c r="T592" s="80"/>
      <c r="U592" s="80"/>
      <c r="V592" s="82"/>
      <c r="W592" s="80"/>
      <c r="X592" s="80"/>
      <c r="Y592" s="80"/>
      <c r="Z592" s="80"/>
      <c r="AA592" s="82"/>
      <c r="AB592" s="80"/>
      <c r="AC592" s="80"/>
      <c r="AD592" s="80"/>
      <c r="AE592" s="80"/>
      <c r="AF592" s="82"/>
      <c r="AG592" s="80"/>
      <c r="AH592" s="80"/>
      <c r="AI592" s="82"/>
      <c r="AJ592" s="79"/>
      <c r="AK592" s="78" t="n">
        <f aca="false">IF(E592="","",(X592&lt;&gt;"")+(AC592&lt;&gt;"")+(AH592&lt;&gt;""))</f>
        <v>0</v>
      </c>
      <c r="AL592" s="81" t="str">
        <f aca="false">IF(AH592&lt;&gt;"",AH592,IF(AC592&lt;&gt;"",AC592,IF(X592&lt;&gt;"",X592,"")))</f>
        <v/>
      </c>
      <c r="AM592" s="83" t="str">
        <f aca="false">IF(E592="","",IF(R592="","À SOUDER",IF(U592="","VT EN ATTENTE",IF(U592="R","VT REJETÉ – À REPRENDRE",IF(AL592="","À RADIOGRAPHIER",IF(AL592="A","ACCEPTÉ",IF(AL592="NX","NX – RT À REFAIRE",IF(IF(AK592=1,Z592,IF(AK592=2,AE592,""))="A","RÉPARÉ – À RADIOGRAPHIER",IF(IF(AK592=1,Z592,IF(AK592=2,AE592,""))="R","VT REJETÉ – À REPRENDRE",IF(OR(AL592="CO",AL592="NT"),"COUPE – À RESOUDER","À RÉPARER"))))))))))</f>
        <v>À SOUDER</v>
      </c>
      <c r="AN592" s="81" t="str">
        <f aca="false">IF(AND(ISNUMBER(R592),OR(AM592="À RADIOGRAPHIER",AM592="RÉPARÉ – À RADIOGRAPHIER",AM592="NX – RT À REFAIRE",AM592="À RÉPARER",AM592="COUPE – À RESOUDER",AM592="VT REJETÉ – À REPRENDRE")),MAX(0,'PROGRAMME RT'!$C$4-R592),"")</f>
        <v/>
      </c>
      <c r="AO592" s="78" t="n">
        <f aca="false">IF(AND(OR(AM592="À RADIOGRAPHIER",AM592="RÉPARÉ – À RADIOGRAPHIER",AM592="NX – RT À REFAIRE"),OR('PROGRAMME RT'!$D$5="TOUTES",B592='PROGRAMME RT'!$D$5)),1,0)</f>
        <v>0</v>
      </c>
      <c r="AP592" s="78" t="str">
        <f aca="false">IF(AO592=1,SUM(AO$7:AO592),"")</f>
        <v/>
      </c>
      <c r="AQ592" s="78" t="n">
        <f aca="false">IF(AND(OR(X592="R",X592="NX",X592="NT",X592="CO"),OR('JOINTS DE RÉPARATION'!$D$5="TOUTES",B592='JOINTS DE RÉPARATION'!$D$5),OR('JOINTS DE RÉPARATION'!$L$4="TOUS",AM592&lt;&gt;"ACCEPTÉ")),1,0)</f>
        <v>0</v>
      </c>
      <c r="AR592" s="78" t="str">
        <f aca="false">IF(AQ592=1,SUM(AQ$7:AQ592),"")</f>
        <v/>
      </c>
    </row>
    <row r="593" customFormat="false" ht="15" hidden="false" customHeight="false" outlineLevel="0" collapsed="false">
      <c r="A593" s="78" t="n">
        <f aca="false">IF(E593="","",ROW()-6)</f>
        <v>587</v>
      </c>
      <c r="B593" s="79" t="s">
        <v>585</v>
      </c>
      <c r="C593" s="80"/>
      <c r="D593" s="80"/>
      <c r="E593" s="80" t="s">
        <v>531</v>
      </c>
      <c r="F593" s="80"/>
      <c r="G593" s="80" t="s">
        <v>106</v>
      </c>
      <c r="H593" s="80"/>
      <c r="I593" s="80"/>
      <c r="J593" s="80"/>
      <c r="K593" s="80"/>
      <c r="L593" s="81" t="str">
        <f aca="false">IF(K593="","",IFERROR(INDEX(BARDAGE!$C$7:$C$1506,MATCH(K593,BARDAGE!$B$7:$B$1506,0)),"? hors registre"))</f>
        <v/>
      </c>
      <c r="M593" s="80"/>
      <c r="N593" s="81" t="str">
        <f aca="false">IF(M593="","",IFERROR(INDEX(BARDAGE!$C$7:$C$1506,MATCH(M593,BARDAGE!$B$7:$B$1506,0)),"? hors registre"))</f>
        <v/>
      </c>
      <c r="O593" s="80"/>
      <c r="P593" s="80"/>
      <c r="Q593" s="80"/>
      <c r="R593" s="82"/>
      <c r="S593" s="82"/>
      <c r="T593" s="80"/>
      <c r="U593" s="80"/>
      <c r="V593" s="82"/>
      <c r="W593" s="80"/>
      <c r="X593" s="80"/>
      <c r="Y593" s="80"/>
      <c r="Z593" s="80"/>
      <c r="AA593" s="82"/>
      <c r="AB593" s="80"/>
      <c r="AC593" s="80"/>
      <c r="AD593" s="80"/>
      <c r="AE593" s="80"/>
      <c r="AF593" s="82"/>
      <c r="AG593" s="80"/>
      <c r="AH593" s="80"/>
      <c r="AI593" s="82"/>
      <c r="AJ593" s="79"/>
      <c r="AK593" s="78" t="n">
        <f aca="false">IF(E593="","",(X593&lt;&gt;"")+(AC593&lt;&gt;"")+(AH593&lt;&gt;""))</f>
        <v>0</v>
      </c>
      <c r="AL593" s="81" t="str">
        <f aca="false">IF(AH593&lt;&gt;"",AH593,IF(AC593&lt;&gt;"",AC593,IF(X593&lt;&gt;"",X593,"")))</f>
        <v/>
      </c>
      <c r="AM593" s="83" t="str">
        <f aca="false">IF(E593="","",IF(R593="","À SOUDER",IF(U593="","VT EN ATTENTE",IF(U593="R","VT REJETÉ – À REPRENDRE",IF(AL593="","À RADIOGRAPHIER",IF(AL593="A","ACCEPTÉ",IF(AL593="NX","NX – RT À REFAIRE",IF(IF(AK593=1,Z593,IF(AK593=2,AE593,""))="A","RÉPARÉ – À RADIOGRAPHIER",IF(IF(AK593=1,Z593,IF(AK593=2,AE593,""))="R","VT REJETÉ – À REPRENDRE",IF(OR(AL593="CO",AL593="NT"),"COUPE – À RESOUDER","À RÉPARER"))))))))))</f>
        <v>À SOUDER</v>
      </c>
      <c r="AN593" s="81" t="str">
        <f aca="false">IF(AND(ISNUMBER(R593),OR(AM593="À RADIOGRAPHIER",AM593="RÉPARÉ – À RADIOGRAPHIER",AM593="NX – RT À REFAIRE",AM593="À RÉPARER",AM593="COUPE – À RESOUDER",AM593="VT REJETÉ – À REPRENDRE")),MAX(0,'PROGRAMME RT'!$C$4-R593),"")</f>
        <v/>
      </c>
      <c r="AO593" s="78" t="n">
        <f aca="false">IF(AND(OR(AM593="À RADIOGRAPHIER",AM593="RÉPARÉ – À RADIOGRAPHIER",AM593="NX – RT À REFAIRE"),OR('PROGRAMME RT'!$D$5="TOUTES",B593='PROGRAMME RT'!$D$5)),1,0)</f>
        <v>0</v>
      </c>
      <c r="AP593" s="78" t="str">
        <f aca="false">IF(AO593=1,SUM(AO$7:AO593),"")</f>
        <v/>
      </c>
      <c r="AQ593" s="78" t="n">
        <f aca="false">IF(AND(OR(X593="R",X593="NX",X593="NT",X593="CO"),OR('JOINTS DE RÉPARATION'!$D$5="TOUTES",B593='JOINTS DE RÉPARATION'!$D$5),OR('JOINTS DE RÉPARATION'!$L$4="TOUS",AM593&lt;&gt;"ACCEPTÉ")),1,0)</f>
        <v>0</v>
      </c>
      <c r="AR593" s="78" t="str">
        <f aca="false">IF(AQ593=1,SUM(AQ$7:AQ593),"")</f>
        <v/>
      </c>
    </row>
    <row r="594" customFormat="false" ht="15" hidden="false" customHeight="false" outlineLevel="0" collapsed="false">
      <c r="A594" s="78" t="n">
        <f aca="false">IF(E594="","",ROW()-6)</f>
        <v>588</v>
      </c>
      <c r="B594" s="79" t="s">
        <v>585</v>
      </c>
      <c r="C594" s="80"/>
      <c r="D594" s="80"/>
      <c r="E594" s="80" t="s">
        <v>534</v>
      </c>
      <c r="F594" s="80"/>
      <c r="G594" s="80" t="s">
        <v>106</v>
      </c>
      <c r="H594" s="80"/>
      <c r="I594" s="80"/>
      <c r="J594" s="80"/>
      <c r="K594" s="80"/>
      <c r="L594" s="81" t="str">
        <f aca="false">IF(K594="","",IFERROR(INDEX(BARDAGE!$C$7:$C$1506,MATCH(K594,BARDAGE!$B$7:$B$1506,0)),"? hors registre"))</f>
        <v/>
      </c>
      <c r="M594" s="80"/>
      <c r="N594" s="81" t="str">
        <f aca="false">IF(M594="","",IFERROR(INDEX(BARDAGE!$C$7:$C$1506,MATCH(M594,BARDAGE!$B$7:$B$1506,0)),"? hors registre"))</f>
        <v/>
      </c>
      <c r="O594" s="80"/>
      <c r="P594" s="80"/>
      <c r="Q594" s="80"/>
      <c r="R594" s="82"/>
      <c r="S594" s="82"/>
      <c r="T594" s="80"/>
      <c r="U594" s="80"/>
      <c r="V594" s="82"/>
      <c r="W594" s="80"/>
      <c r="X594" s="80"/>
      <c r="Y594" s="80"/>
      <c r="Z594" s="80"/>
      <c r="AA594" s="82"/>
      <c r="AB594" s="80"/>
      <c r="AC594" s="80"/>
      <c r="AD594" s="80"/>
      <c r="AE594" s="80"/>
      <c r="AF594" s="82"/>
      <c r="AG594" s="80"/>
      <c r="AH594" s="80"/>
      <c r="AI594" s="82"/>
      <c r="AJ594" s="79"/>
      <c r="AK594" s="78" t="n">
        <f aca="false">IF(E594="","",(X594&lt;&gt;"")+(AC594&lt;&gt;"")+(AH594&lt;&gt;""))</f>
        <v>0</v>
      </c>
      <c r="AL594" s="81" t="str">
        <f aca="false">IF(AH594&lt;&gt;"",AH594,IF(AC594&lt;&gt;"",AC594,IF(X594&lt;&gt;"",X594,"")))</f>
        <v/>
      </c>
      <c r="AM594" s="83" t="str">
        <f aca="false">IF(E594="","",IF(R594="","À SOUDER",IF(U594="","VT EN ATTENTE",IF(U594="R","VT REJETÉ – À REPRENDRE",IF(AL594="","À RADIOGRAPHIER",IF(AL594="A","ACCEPTÉ",IF(AL594="NX","NX – RT À REFAIRE",IF(IF(AK594=1,Z594,IF(AK594=2,AE594,""))="A","RÉPARÉ – À RADIOGRAPHIER",IF(IF(AK594=1,Z594,IF(AK594=2,AE594,""))="R","VT REJETÉ – À REPRENDRE",IF(OR(AL594="CO",AL594="NT"),"COUPE – À RESOUDER","À RÉPARER"))))))))))</f>
        <v>À SOUDER</v>
      </c>
      <c r="AN594" s="81" t="str">
        <f aca="false">IF(AND(ISNUMBER(R594),OR(AM594="À RADIOGRAPHIER",AM594="RÉPARÉ – À RADIOGRAPHIER",AM594="NX – RT À REFAIRE",AM594="À RÉPARER",AM594="COUPE – À RESOUDER",AM594="VT REJETÉ – À REPRENDRE")),MAX(0,'PROGRAMME RT'!$C$4-R594),"")</f>
        <v/>
      </c>
      <c r="AO594" s="78" t="n">
        <f aca="false">IF(AND(OR(AM594="À RADIOGRAPHIER",AM594="RÉPARÉ – À RADIOGRAPHIER",AM594="NX – RT À REFAIRE"),OR('PROGRAMME RT'!$D$5="TOUTES",B594='PROGRAMME RT'!$D$5)),1,0)</f>
        <v>0</v>
      </c>
      <c r="AP594" s="78" t="str">
        <f aca="false">IF(AO594=1,SUM(AO$7:AO594),"")</f>
        <v/>
      </c>
      <c r="AQ594" s="78" t="n">
        <f aca="false">IF(AND(OR(X594="R",X594="NX",X594="NT",X594="CO"),OR('JOINTS DE RÉPARATION'!$D$5="TOUTES",B594='JOINTS DE RÉPARATION'!$D$5),OR('JOINTS DE RÉPARATION'!$L$4="TOUS",AM594&lt;&gt;"ACCEPTÉ")),1,0)</f>
        <v>0</v>
      </c>
      <c r="AR594" s="78" t="str">
        <f aca="false">IF(AQ594=1,SUM(AQ$7:AQ594),"")</f>
        <v/>
      </c>
    </row>
    <row r="595" customFormat="false" ht="15" hidden="false" customHeight="false" outlineLevel="0" collapsed="false">
      <c r="A595" s="78" t="n">
        <f aca="false">IF(E595="","",ROW()-6)</f>
        <v>589</v>
      </c>
      <c r="B595" s="79" t="s">
        <v>585</v>
      </c>
      <c r="C595" s="80"/>
      <c r="D595" s="80"/>
      <c r="E595" s="80" t="s">
        <v>536</v>
      </c>
      <c r="F595" s="80"/>
      <c r="G595" s="80" t="s">
        <v>106</v>
      </c>
      <c r="H595" s="80"/>
      <c r="I595" s="80"/>
      <c r="J595" s="80"/>
      <c r="K595" s="80"/>
      <c r="L595" s="81" t="str">
        <f aca="false">IF(K595="","",IFERROR(INDEX(BARDAGE!$C$7:$C$1506,MATCH(K595,BARDAGE!$B$7:$B$1506,0)),"? hors registre"))</f>
        <v/>
      </c>
      <c r="M595" s="80"/>
      <c r="N595" s="81" t="str">
        <f aca="false">IF(M595="","",IFERROR(INDEX(BARDAGE!$C$7:$C$1506,MATCH(M595,BARDAGE!$B$7:$B$1506,0)),"? hors registre"))</f>
        <v/>
      </c>
      <c r="O595" s="80"/>
      <c r="P595" s="80"/>
      <c r="Q595" s="80"/>
      <c r="R595" s="82"/>
      <c r="S595" s="82"/>
      <c r="T595" s="80"/>
      <c r="U595" s="80"/>
      <c r="V595" s="82"/>
      <c r="W595" s="80"/>
      <c r="X595" s="80"/>
      <c r="Y595" s="80"/>
      <c r="Z595" s="80"/>
      <c r="AA595" s="82"/>
      <c r="AB595" s="80"/>
      <c r="AC595" s="80"/>
      <c r="AD595" s="80"/>
      <c r="AE595" s="80"/>
      <c r="AF595" s="82"/>
      <c r="AG595" s="80"/>
      <c r="AH595" s="80"/>
      <c r="AI595" s="82"/>
      <c r="AJ595" s="79"/>
      <c r="AK595" s="78" t="n">
        <f aca="false">IF(E595="","",(X595&lt;&gt;"")+(AC595&lt;&gt;"")+(AH595&lt;&gt;""))</f>
        <v>0</v>
      </c>
      <c r="AL595" s="81" t="str">
        <f aca="false">IF(AH595&lt;&gt;"",AH595,IF(AC595&lt;&gt;"",AC595,IF(X595&lt;&gt;"",X595,"")))</f>
        <v/>
      </c>
      <c r="AM595" s="83" t="str">
        <f aca="false">IF(E595="","",IF(R595="","À SOUDER",IF(U595="","VT EN ATTENTE",IF(U595="R","VT REJETÉ – À REPRENDRE",IF(AL595="","À RADIOGRAPHIER",IF(AL595="A","ACCEPTÉ",IF(AL595="NX","NX – RT À REFAIRE",IF(IF(AK595=1,Z595,IF(AK595=2,AE595,""))="A","RÉPARÉ – À RADIOGRAPHIER",IF(IF(AK595=1,Z595,IF(AK595=2,AE595,""))="R","VT REJETÉ – À REPRENDRE",IF(OR(AL595="CO",AL595="NT"),"COUPE – À RESOUDER","À RÉPARER"))))))))))</f>
        <v>À SOUDER</v>
      </c>
      <c r="AN595" s="81" t="str">
        <f aca="false">IF(AND(ISNUMBER(R595),OR(AM595="À RADIOGRAPHIER",AM595="RÉPARÉ – À RADIOGRAPHIER",AM595="NX – RT À REFAIRE",AM595="À RÉPARER",AM595="COUPE – À RESOUDER",AM595="VT REJETÉ – À REPRENDRE")),MAX(0,'PROGRAMME RT'!$C$4-R595),"")</f>
        <v/>
      </c>
      <c r="AO595" s="78" t="n">
        <f aca="false">IF(AND(OR(AM595="À RADIOGRAPHIER",AM595="RÉPARÉ – À RADIOGRAPHIER",AM595="NX – RT À REFAIRE"),OR('PROGRAMME RT'!$D$5="TOUTES",B595='PROGRAMME RT'!$D$5)),1,0)</f>
        <v>0</v>
      </c>
      <c r="AP595" s="78" t="str">
        <f aca="false">IF(AO595=1,SUM(AO$7:AO595),"")</f>
        <v/>
      </c>
      <c r="AQ595" s="78" t="n">
        <f aca="false">IF(AND(OR(X595="R",X595="NX",X595="NT",X595="CO"),OR('JOINTS DE RÉPARATION'!$D$5="TOUTES",B595='JOINTS DE RÉPARATION'!$D$5),OR('JOINTS DE RÉPARATION'!$L$4="TOUS",AM595&lt;&gt;"ACCEPTÉ")),1,0)</f>
        <v>0</v>
      </c>
      <c r="AR595" s="78" t="str">
        <f aca="false">IF(AQ595=1,SUM(AQ$7:AQ595),"")</f>
        <v/>
      </c>
    </row>
    <row r="596" customFormat="false" ht="15" hidden="false" customHeight="false" outlineLevel="0" collapsed="false">
      <c r="A596" s="78" t="n">
        <f aca="false">IF(E596="","",ROW()-6)</f>
        <v>590</v>
      </c>
      <c r="B596" s="79" t="s">
        <v>585</v>
      </c>
      <c r="C596" s="80"/>
      <c r="D596" s="80"/>
      <c r="E596" s="80" t="s">
        <v>538</v>
      </c>
      <c r="F596" s="80"/>
      <c r="G596" s="80" t="s">
        <v>106</v>
      </c>
      <c r="H596" s="80"/>
      <c r="I596" s="80"/>
      <c r="J596" s="80"/>
      <c r="K596" s="80"/>
      <c r="L596" s="81" t="str">
        <f aca="false">IF(K596="","",IFERROR(INDEX(BARDAGE!$C$7:$C$1506,MATCH(K596,BARDAGE!$B$7:$B$1506,0)),"? hors registre"))</f>
        <v/>
      </c>
      <c r="M596" s="80"/>
      <c r="N596" s="81" t="str">
        <f aca="false">IF(M596="","",IFERROR(INDEX(BARDAGE!$C$7:$C$1506,MATCH(M596,BARDAGE!$B$7:$B$1506,0)),"? hors registre"))</f>
        <v/>
      </c>
      <c r="O596" s="80"/>
      <c r="P596" s="80"/>
      <c r="Q596" s="80"/>
      <c r="R596" s="82"/>
      <c r="S596" s="82"/>
      <c r="T596" s="80"/>
      <c r="U596" s="80"/>
      <c r="V596" s="82"/>
      <c r="W596" s="80"/>
      <c r="X596" s="80"/>
      <c r="Y596" s="80"/>
      <c r="Z596" s="80"/>
      <c r="AA596" s="82"/>
      <c r="AB596" s="80"/>
      <c r="AC596" s="80"/>
      <c r="AD596" s="80"/>
      <c r="AE596" s="80"/>
      <c r="AF596" s="82"/>
      <c r="AG596" s="80"/>
      <c r="AH596" s="80"/>
      <c r="AI596" s="82"/>
      <c r="AJ596" s="79"/>
      <c r="AK596" s="78" t="n">
        <f aca="false">IF(E596="","",(X596&lt;&gt;"")+(AC596&lt;&gt;"")+(AH596&lt;&gt;""))</f>
        <v>0</v>
      </c>
      <c r="AL596" s="81" t="str">
        <f aca="false">IF(AH596&lt;&gt;"",AH596,IF(AC596&lt;&gt;"",AC596,IF(X596&lt;&gt;"",X596,"")))</f>
        <v/>
      </c>
      <c r="AM596" s="83" t="str">
        <f aca="false">IF(E596="","",IF(R596="","À SOUDER",IF(U596="","VT EN ATTENTE",IF(U596="R","VT REJETÉ – À REPRENDRE",IF(AL596="","À RADIOGRAPHIER",IF(AL596="A","ACCEPTÉ",IF(AL596="NX","NX – RT À REFAIRE",IF(IF(AK596=1,Z596,IF(AK596=2,AE596,""))="A","RÉPARÉ – À RADIOGRAPHIER",IF(IF(AK596=1,Z596,IF(AK596=2,AE596,""))="R","VT REJETÉ – À REPRENDRE",IF(OR(AL596="CO",AL596="NT"),"COUPE – À RESOUDER","À RÉPARER"))))))))))</f>
        <v>À SOUDER</v>
      </c>
      <c r="AN596" s="81" t="str">
        <f aca="false">IF(AND(ISNUMBER(R596),OR(AM596="À RADIOGRAPHIER",AM596="RÉPARÉ – À RADIOGRAPHIER",AM596="NX – RT À REFAIRE",AM596="À RÉPARER",AM596="COUPE – À RESOUDER",AM596="VT REJETÉ – À REPRENDRE")),MAX(0,'PROGRAMME RT'!$C$4-R596),"")</f>
        <v/>
      </c>
      <c r="AO596" s="78" t="n">
        <f aca="false">IF(AND(OR(AM596="À RADIOGRAPHIER",AM596="RÉPARÉ – À RADIOGRAPHIER",AM596="NX – RT À REFAIRE"),OR('PROGRAMME RT'!$D$5="TOUTES",B596='PROGRAMME RT'!$D$5)),1,0)</f>
        <v>0</v>
      </c>
      <c r="AP596" s="78" t="str">
        <f aca="false">IF(AO596=1,SUM(AO$7:AO596),"")</f>
        <v/>
      </c>
      <c r="AQ596" s="78" t="n">
        <f aca="false">IF(AND(OR(X596="R",X596="NX",X596="NT",X596="CO"),OR('JOINTS DE RÉPARATION'!$D$5="TOUTES",B596='JOINTS DE RÉPARATION'!$D$5),OR('JOINTS DE RÉPARATION'!$L$4="TOUS",AM596&lt;&gt;"ACCEPTÉ")),1,0)</f>
        <v>0</v>
      </c>
      <c r="AR596" s="78" t="str">
        <f aca="false">IF(AQ596=1,SUM(AQ$7:AQ596),"")</f>
        <v/>
      </c>
    </row>
    <row r="597" customFormat="false" ht="15" hidden="false" customHeight="false" outlineLevel="0" collapsed="false">
      <c r="A597" s="78" t="n">
        <f aca="false">IF(E597="","",ROW()-6)</f>
        <v>591</v>
      </c>
      <c r="B597" s="79" t="s">
        <v>585</v>
      </c>
      <c r="C597" s="80"/>
      <c r="D597" s="80"/>
      <c r="E597" s="80" t="s">
        <v>540</v>
      </c>
      <c r="F597" s="80"/>
      <c r="G597" s="80" t="s">
        <v>106</v>
      </c>
      <c r="H597" s="80"/>
      <c r="I597" s="80"/>
      <c r="J597" s="80"/>
      <c r="K597" s="80"/>
      <c r="L597" s="81" t="str">
        <f aca="false">IF(K597="","",IFERROR(INDEX(BARDAGE!$C$7:$C$1506,MATCH(K597,BARDAGE!$B$7:$B$1506,0)),"? hors registre"))</f>
        <v/>
      </c>
      <c r="M597" s="80"/>
      <c r="N597" s="81" t="str">
        <f aca="false">IF(M597="","",IFERROR(INDEX(BARDAGE!$C$7:$C$1506,MATCH(M597,BARDAGE!$B$7:$B$1506,0)),"? hors registre"))</f>
        <v/>
      </c>
      <c r="O597" s="80"/>
      <c r="P597" s="80"/>
      <c r="Q597" s="80"/>
      <c r="R597" s="82"/>
      <c r="S597" s="82"/>
      <c r="T597" s="80"/>
      <c r="U597" s="80"/>
      <c r="V597" s="82"/>
      <c r="W597" s="80"/>
      <c r="X597" s="80"/>
      <c r="Y597" s="80"/>
      <c r="Z597" s="80"/>
      <c r="AA597" s="82"/>
      <c r="AB597" s="80"/>
      <c r="AC597" s="80"/>
      <c r="AD597" s="80"/>
      <c r="AE597" s="80"/>
      <c r="AF597" s="82"/>
      <c r="AG597" s="80"/>
      <c r="AH597" s="80"/>
      <c r="AI597" s="82"/>
      <c r="AJ597" s="79"/>
      <c r="AK597" s="78" t="n">
        <f aca="false">IF(E597="","",(X597&lt;&gt;"")+(AC597&lt;&gt;"")+(AH597&lt;&gt;""))</f>
        <v>0</v>
      </c>
      <c r="AL597" s="81" t="str">
        <f aca="false">IF(AH597&lt;&gt;"",AH597,IF(AC597&lt;&gt;"",AC597,IF(X597&lt;&gt;"",X597,"")))</f>
        <v/>
      </c>
      <c r="AM597" s="83" t="str">
        <f aca="false">IF(E597="","",IF(R597="","À SOUDER",IF(U597="","VT EN ATTENTE",IF(U597="R","VT REJETÉ – À REPRENDRE",IF(AL597="","À RADIOGRAPHIER",IF(AL597="A","ACCEPTÉ",IF(AL597="NX","NX – RT À REFAIRE",IF(IF(AK597=1,Z597,IF(AK597=2,AE597,""))="A","RÉPARÉ – À RADIOGRAPHIER",IF(IF(AK597=1,Z597,IF(AK597=2,AE597,""))="R","VT REJETÉ – À REPRENDRE",IF(OR(AL597="CO",AL597="NT"),"COUPE – À RESOUDER","À RÉPARER"))))))))))</f>
        <v>À SOUDER</v>
      </c>
      <c r="AN597" s="81" t="str">
        <f aca="false">IF(AND(ISNUMBER(R597),OR(AM597="À RADIOGRAPHIER",AM597="RÉPARÉ – À RADIOGRAPHIER",AM597="NX – RT À REFAIRE",AM597="À RÉPARER",AM597="COUPE – À RESOUDER",AM597="VT REJETÉ – À REPRENDRE")),MAX(0,'PROGRAMME RT'!$C$4-R597),"")</f>
        <v/>
      </c>
      <c r="AO597" s="78" t="n">
        <f aca="false">IF(AND(OR(AM597="À RADIOGRAPHIER",AM597="RÉPARÉ – À RADIOGRAPHIER",AM597="NX – RT À REFAIRE"),OR('PROGRAMME RT'!$D$5="TOUTES",B597='PROGRAMME RT'!$D$5)),1,0)</f>
        <v>0</v>
      </c>
      <c r="AP597" s="78" t="str">
        <f aca="false">IF(AO597=1,SUM(AO$7:AO597),"")</f>
        <v/>
      </c>
      <c r="AQ597" s="78" t="n">
        <f aca="false">IF(AND(OR(X597="R",X597="NX",X597="NT",X597="CO"),OR('JOINTS DE RÉPARATION'!$D$5="TOUTES",B597='JOINTS DE RÉPARATION'!$D$5),OR('JOINTS DE RÉPARATION'!$L$4="TOUS",AM597&lt;&gt;"ACCEPTÉ")),1,0)</f>
        <v>0</v>
      </c>
      <c r="AR597" s="78" t="str">
        <f aca="false">IF(AQ597=1,SUM(AQ$7:AQ597),"")</f>
        <v/>
      </c>
    </row>
    <row r="598" customFormat="false" ht="15" hidden="false" customHeight="false" outlineLevel="0" collapsed="false">
      <c r="A598" s="78" t="n">
        <f aca="false">IF(E598="","",ROW()-6)</f>
        <v>592</v>
      </c>
      <c r="B598" s="79" t="s">
        <v>585</v>
      </c>
      <c r="C598" s="80"/>
      <c r="D598" s="80"/>
      <c r="E598" s="80" t="s">
        <v>542</v>
      </c>
      <c r="F598" s="80"/>
      <c r="G598" s="80" t="s">
        <v>106</v>
      </c>
      <c r="H598" s="80"/>
      <c r="I598" s="80"/>
      <c r="J598" s="80"/>
      <c r="K598" s="80"/>
      <c r="L598" s="81" t="str">
        <f aca="false">IF(K598="","",IFERROR(INDEX(BARDAGE!$C$7:$C$1506,MATCH(K598,BARDAGE!$B$7:$B$1506,0)),"? hors registre"))</f>
        <v/>
      </c>
      <c r="M598" s="80"/>
      <c r="N598" s="81" t="str">
        <f aca="false">IF(M598="","",IFERROR(INDEX(BARDAGE!$C$7:$C$1506,MATCH(M598,BARDAGE!$B$7:$B$1506,0)),"? hors registre"))</f>
        <v/>
      </c>
      <c r="O598" s="80"/>
      <c r="P598" s="80"/>
      <c r="Q598" s="80"/>
      <c r="R598" s="82"/>
      <c r="S598" s="82"/>
      <c r="T598" s="80"/>
      <c r="U598" s="80"/>
      <c r="V598" s="82"/>
      <c r="W598" s="80"/>
      <c r="X598" s="80"/>
      <c r="Y598" s="80"/>
      <c r="Z598" s="80"/>
      <c r="AA598" s="82"/>
      <c r="AB598" s="80"/>
      <c r="AC598" s="80"/>
      <c r="AD598" s="80"/>
      <c r="AE598" s="80"/>
      <c r="AF598" s="82"/>
      <c r="AG598" s="80"/>
      <c r="AH598" s="80"/>
      <c r="AI598" s="82"/>
      <c r="AJ598" s="79"/>
      <c r="AK598" s="78" t="n">
        <f aca="false">IF(E598="","",(X598&lt;&gt;"")+(AC598&lt;&gt;"")+(AH598&lt;&gt;""))</f>
        <v>0</v>
      </c>
      <c r="AL598" s="81" t="str">
        <f aca="false">IF(AH598&lt;&gt;"",AH598,IF(AC598&lt;&gt;"",AC598,IF(X598&lt;&gt;"",X598,"")))</f>
        <v/>
      </c>
      <c r="AM598" s="83" t="str">
        <f aca="false">IF(E598="","",IF(R598="","À SOUDER",IF(U598="","VT EN ATTENTE",IF(U598="R","VT REJETÉ – À REPRENDRE",IF(AL598="","À RADIOGRAPHIER",IF(AL598="A","ACCEPTÉ",IF(AL598="NX","NX – RT À REFAIRE",IF(IF(AK598=1,Z598,IF(AK598=2,AE598,""))="A","RÉPARÉ – À RADIOGRAPHIER",IF(IF(AK598=1,Z598,IF(AK598=2,AE598,""))="R","VT REJETÉ – À REPRENDRE",IF(OR(AL598="CO",AL598="NT"),"COUPE – À RESOUDER","À RÉPARER"))))))))))</f>
        <v>À SOUDER</v>
      </c>
      <c r="AN598" s="81" t="str">
        <f aca="false">IF(AND(ISNUMBER(R598),OR(AM598="À RADIOGRAPHIER",AM598="RÉPARÉ – À RADIOGRAPHIER",AM598="NX – RT À REFAIRE",AM598="À RÉPARER",AM598="COUPE – À RESOUDER",AM598="VT REJETÉ – À REPRENDRE")),MAX(0,'PROGRAMME RT'!$C$4-R598),"")</f>
        <v/>
      </c>
      <c r="AO598" s="78" t="n">
        <f aca="false">IF(AND(OR(AM598="À RADIOGRAPHIER",AM598="RÉPARÉ – À RADIOGRAPHIER",AM598="NX – RT À REFAIRE"),OR('PROGRAMME RT'!$D$5="TOUTES",B598='PROGRAMME RT'!$D$5)),1,0)</f>
        <v>0</v>
      </c>
      <c r="AP598" s="78" t="str">
        <f aca="false">IF(AO598=1,SUM(AO$7:AO598),"")</f>
        <v/>
      </c>
      <c r="AQ598" s="78" t="n">
        <f aca="false">IF(AND(OR(X598="R",X598="NX",X598="NT",X598="CO"),OR('JOINTS DE RÉPARATION'!$D$5="TOUTES",B598='JOINTS DE RÉPARATION'!$D$5),OR('JOINTS DE RÉPARATION'!$L$4="TOUS",AM598&lt;&gt;"ACCEPTÉ")),1,0)</f>
        <v>0</v>
      </c>
      <c r="AR598" s="78" t="str">
        <f aca="false">IF(AQ598=1,SUM(AQ$7:AQ598),"")</f>
        <v/>
      </c>
    </row>
    <row r="599" customFormat="false" ht="15" hidden="false" customHeight="false" outlineLevel="0" collapsed="false">
      <c r="A599" s="78" t="n">
        <f aca="false">IF(E599="","",ROW()-6)</f>
        <v>593</v>
      </c>
      <c r="B599" s="79" t="s">
        <v>585</v>
      </c>
      <c r="C599" s="80"/>
      <c r="D599" s="80"/>
      <c r="E599" s="80" t="s">
        <v>544</v>
      </c>
      <c r="F599" s="80"/>
      <c r="G599" s="80" t="s">
        <v>106</v>
      </c>
      <c r="H599" s="80"/>
      <c r="I599" s="80"/>
      <c r="J599" s="80"/>
      <c r="K599" s="80"/>
      <c r="L599" s="81" t="str">
        <f aca="false">IF(K599="","",IFERROR(INDEX(BARDAGE!$C$7:$C$1506,MATCH(K599,BARDAGE!$B$7:$B$1506,0)),"? hors registre"))</f>
        <v/>
      </c>
      <c r="M599" s="80"/>
      <c r="N599" s="81" t="str">
        <f aca="false">IF(M599="","",IFERROR(INDEX(BARDAGE!$C$7:$C$1506,MATCH(M599,BARDAGE!$B$7:$B$1506,0)),"? hors registre"))</f>
        <v/>
      </c>
      <c r="O599" s="80"/>
      <c r="P599" s="80"/>
      <c r="Q599" s="80"/>
      <c r="R599" s="82"/>
      <c r="S599" s="82"/>
      <c r="T599" s="80"/>
      <c r="U599" s="80"/>
      <c r="V599" s="82"/>
      <c r="W599" s="80"/>
      <c r="X599" s="80"/>
      <c r="Y599" s="80"/>
      <c r="Z599" s="80"/>
      <c r="AA599" s="82"/>
      <c r="AB599" s="80"/>
      <c r="AC599" s="80"/>
      <c r="AD599" s="80"/>
      <c r="AE599" s="80"/>
      <c r="AF599" s="82"/>
      <c r="AG599" s="80"/>
      <c r="AH599" s="80"/>
      <c r="AI599" s="82"/>
      <c r="AJ599" s="79"/>
      <c r="AK599" s="78" t="n">
        <f aca="false">IF(E599="","",(X599&lt;&gt;"")+(AC599&lt;&gt;"")+(AH599&lt;&gt;""))</f>
        <v>0</v>
      </c>
      <c r="AL599" s="81" t="str">
        <f aca="false">IF(AH599&lt;&gt;"",AH599,IF(AC599&lt;&gt;"",AC599,IF(X599&lt;&gt;"",X599,"")))</f>
        <v/>
      </c>
      <c r="AM599" s="83" t="str">
        <f aca="false">IF(E599="","",IF(R599="","À SOUDER",IF(U599="","VT EN ATTENTE",IF(U599="R","VT REJETÉ – À REPRENDRE",IF(AL599="","À RADIOGRAPHIER",IF(AL599="A","ACCEPTÉ",IF(AL599="NX","NX – RT À REFAIRE",IF(IF(AK599=1,Z599,IF(AK599=2,AE599,""))="A","RÉPARÉ – À RADIOGRAPHIER",IF(IF(AK599=1,Z599,IF(AK599=2,AE599,""))="R","VT REJETÉ – À REPRENDRE",IF(OR(AL599="CO",AL599="NT"),"COUPE – À RESOUDER","À RÉPARER"))))))))))</f>
        <v>À SOUDER</v>
      </c>
      <c r="AN599" s="81" t="str">
        <f aca="false">IF(AND(ISNUMBER(R599),OR(AM599="À RADIOGRAPHIER",AM599="RÉPARÉ – À RADIOGRAPHIER",AM599="NX – RT À REFAIRE",AM599="À RÉPARER",AM599="COUPE – À RESOUDER",AM599="VT REJETÉ – À REPRENDRE")),MAX(0,'PROGRAMME RT'!$C$4-R599),"")</f>
        <v/>
      </c>
      <c r="AO599" s="78" t="n">
        <f aca="false">IF(AND(OR(AM599="À RADIOGRAPHIER",AM599="RÉPARÉ – À RADIOGRAPHIER",AM599="NX – RT À REFAIRE"),OR('PROGRAMME RT'!$D$5="TOUTES",B599='PROGRAMME RT'!$D$5)),1,0)</f>
        <v>0</v>
      </c>
      <c r="AP599" s="78" t="str">
        <f aca="false">IF(AO599=1,SUM(AO$7:AO599),"")</f>
        <v/>
      </c>
      <c r="AQ599" s="78" t="n">
        <f aca="false">IF(AND(OR(X599="R",X599="NX",X599="NT",X599="CO"),OR('JOINTS DE RÉPARATION'!$D$5="TOUTES",B599='JOINTS DE RÉPARATION'!$D$5),OR('JOINTS DE RÉPARATION'!$L$4="TOUS",AM599&lt;&gt;"ACCEPTÉ")),1,0)</f>
        <v>0</v>
      </c>
      <c r="AR599" s="78" t="str">
        <f aca="false">IF(AQ599=1,SUM(AQ$7:AQ599),"")</f>
        <v/>
      </c>
    </row>
    <row r="600" customFormat="false" ht="15" hidden="false" customHeight="false" outlineLevel="0" collapsed="false">
      <c r="A600" s="78" t="n">
        <f aca="false">IF(E600="","",ROW()-6)</f>
        <v>594</v>
      </c>
      <c r="B600" s="79" t="s">
        <v>585</v>
      </c>
      <c r="C600" s="80"/>
      <c r="D600" s="80"/>
      <c r="E600" s="80" t="s">
        <v>546</v>
      </c>
      <c r="F600" s="80"/>
      <c r="G600" s="80" t="s">
        <v>106</v>
      </c>
      <c r="H600" s="80"/>
      <c r="I600" s="80"/>
      <c r="J600" s="80"/>
      <c r="K600" s="80"/>
      <c r="L600" s="81" t="str">
        <f aca="false">IF(K600="","",IFERROR(INDEX(BARDAGE!$C$7:$C$1506,MATCH(K600,BARDAGE!$B$7:$B$1506,0)),"? hors registre"))</f>
        <v/>
      </c>
      <c r="M600" s="80"/>
      <c r="N600" s="81" t="str">
        <f aca="false">IF(M600="","",IFERROR(INDEX(BARDAGE!$C$7:$C$1506,MATCH(M600,BARDAGE!$B$7:$B$1506,0)),"? hors registre"))</f>
        <v/>
      </c>
      <c r="O600" s="80"/>
      <c r="P600" s="80"/>
      <c r="Q600" s="80"/>
      <c r="R600" s="82"/>
      <c r="S600" s="82"/>
      <c r="T600" s="80"/>
      <c r="U600" s="80"/>
      <c r="V600" s="82"/>
      <c r="W600" s="80"/>
      <c r="X600" s="80"/>
      <c r="Y600" s="80"/>
      <c r="Z600" s="80"/>
      <c r="AA600" s="82"/>
      <c r="AB600" s="80"/>
      <c r="AC600" s="80"/>
      <c r="AD600" s="80"/>
      <c r="AE600" s="80"/>
      <c r="AF600" s="82"/>
      <c r="AG600" s="80"/>
      <c r="AH600" s="80"/>
      <c r="AI600" s="82"/>
      <c r="AJ600" s="79"/>
      <c r="AK600" s="78" t="n">
        <f aca="false">IF(E600="","",(X600&lt;&gt;"")+(AC600&lt;&gt;"")+(AH600&lt;&gt;""))</f>
        <v>0</v>
      </c>
      <c r="AL600" s="81" t="str">
        <f aca="false">IF(AH600&lt;&gt;"",AH600,IF(AC600&lt;&gt;"",AC600,IF(X600&lt;&gt;"",X600,"")))</f>
        <v/>
      </c>
      <c r="AM600" s="83" t="str">
        <f aca="false">IF(E600="","",IF(R600="","À SOUDER",IF(U600="","VT EN ATTENTE",IF(U600="R","VT REJETÉ – À REPRENDRE",IF(AL600="","À RADIOGRAPHIER",IF(AL600="A","ACCEPTÉ",IF(AL600="NX","NX – RT À REFAIRE",IF(IF(AK600=1,Z600,IF(AK600=2,AE600,""))="A","RÉPARÉ – À RADIOGRAPHIER",IF(IF(AK600=1,Z600,IF(AK600=2,AE600,""))="R","VT REJETÉ – À REPRENDRE",IF(OR(AL600="CO",AL600="NT"),"COUPE – À RESOUDER","À RÉPARER"))))))))))</f>
        <v>À SOUDER</v>
      </c>
      <c r="AN600" s="81" t="str">
        <f aca="false">IF(AND(ISNUMBER(R600),OR(AM600="À RADIOGRAPHIER",AM600="RÉPARÉ – À RADIOGRAPHIER",AM600="NX – RT À REFAIRE",AM600="À RÉPARER",AM600="COUPE – À RESOUDER",AM600="VT REJETÉ – À REPRENDRE")),MAX(0,'PROGRAMME RT'!$C$4-R600),"")</f>
        <v/>
      </c>
      <c r="AO600" s="78" t="n">
        <f aca="false">IF(AND(OR(AM600="À RADIOGRAPHIER",AM600="RÉPARÉ – À RADIOGRAPHIER",AM600="NX – RT À REFAIRE"),OR('PROGRAMME RT'!$D$5="TOUTES",B600='PROGRAMME RT'!$D$5)),1,0)</f>
        <v>0</v>
      </c>
      <c r="AP600" s="78" t="str">
        <f aca="false">IF(AO600=1,SUM(AO$7:AO600),"")</f>
        <v/>
      </c>
      <c r="AQ600" s="78" t="n">
        <f aca="false">IF(AND(OR(X600="R",X600="NX",X600="NT",X600="CO"),OR('JOINTS DE RÉPARATION'!$D$5="TOUTES",B600='JOINTS DE RÉPARATION'!$D$5),OR('JOINTS DE RÉPARATION'!$L$4="TOUS",AM600&lt;&gt;"ACCEPTÉ")),1,0)</f>
        <v>0</v>
      </c>
      <c r="AR600" s="78" t="str">
        <f aca="false">IF(AQ600=1,SUM(AQ$7:AQ600),"")</f>
        <v/>
      </c>
    </row>
    <row r="601" customFormat="false" ht="15" hidden="false" customHeight="false" outlineLevel="0" collapsed="false">
      <c r="A601" s="78" t="n">
        <f aca="false">IF(E601="","",ROW()-6)</f>
        <v>595</v>
      </c>
      <c r="B601" s="79" t="s">
        <v>585</v>
      </c>
      <c r="C601" s="80"/>
      <c r="D601" s="80"/>
      <c r="E601" s="80" t="s">
        <v>549</v>
      </c>
      <c r="F601" s="80"/>
      <c r="G601" s="80" t="s">
        <v>106</v>
      </c>
      <c r="H601" s="80"/>
      <c r="I601" s="80"/>
      <c r="J601" s="80"/>
      <c r="K601" s="80"/>
      <c r="L601" s="81" t="str">
        <f aca="false">IF(K601="","",IFERROR(INDEX(BARDAGE!$C$7:$C$1506,MATCH(K601,BARDAGE!$B$7:$B$1506,0)),"? hors registre"))</f>
        <v/>
      </c>
      <c r="M601" s="80"/>
      <c r="N601" s="81" t="str">
        <f aca="false">IF(M601="","",IFERROR(INDEX(BARDAGE!$C$7:$C$1506,MATCH(M601,BARDAGE!$B$7:$B$1506,0)),"? hors registre"))</f>
        <v/>
      </c>
      <c r="O601" s="80"/>
      <c r="P601" s="80"/>
      <c r="Q601" s="80"/>
      <c r="R601" s="82"/>
      <c r="S601" s="82"/>
      <c r="T601" s="80"/>
      <c r="U601" s="80"/>
      <c r="V601" s="82"/>
      <c r="W601" s="80"/>
      <c r="X601" s="80"/>
      <c r="Y601" s="80"/>
      <c r="Z601" s="80"/>
      <c r="AA601" s="82"/>
      <c r="AB601" s="80"/>
      <c r="AC601" s="80"/>
      <c r="AD601" s="80"/>
      <c r="AE601" s="80"/>
      <c r="AF601" s="82"/>
      <c r="AG601" s="80"/>
      <c r="AH601" s="80"/>
      <c r="AI601" s="82"/>
      <c r="AJ601" s="79"/>
      <c r="AK601" s="78" t="n">
        <f aca="false">IF(E601="","",(X601&lt;&gt;"")+(AC601&lt;&gt;"")+(AH601&lt;&gt;""))</f>
        <v>0</v>
      </c>
      <c r="AL601" s="81" t="str">
        <f aca="false">IF(AH601&lt;&gt;"",AH601,IF(AC601&lt;&gt;"",AC601,IF(X601&lt;&gt;"",X601,"")))</f>
        <v/>
      </c>
      <c r="AM601" s="83" t="str">
        <f aca="false">IF(E601="","",IF(R601="","À SOUDER",IF(U601="","VT EN ATTENTE",IF(U601="R","VT REJETÉ – À REPRENDRE",IF(AL601="","À RADIOGRAPHIER",IF(AL601="A","ACCEPTÉ",IF(AL601="NX","NX – RT À REFAIRE",IF(IF(AK601=1,Z601,IF(AK601=2,AE601,""))="A","RÉPARÉ – À RADIOGRAPHIER",IF(IF(AK601=1,Z601,IF(AK601=2,AE601,""))="R","VT REJETÉ – À REPRENDRE",IF(OR(AL601="CO",AL601="NT"),"COUPE – À RESOUDER","À RÉPARER"))))))))))</f>
        <v>À SOUDER</v>
      </c>
      <c r="AN601" s="81" t="str">
        <f aca="false">IF(AND(ISNUMBER(R601),OR(AM601="À RADIOGRAPHIER",AM601="RÉPARÉ – À RADIOGRAPHIER",AM601="NX – RT À REFAIRE",AM601="À RÉPARER",AM601="COUPE – À RESOUDER",AM601="VT REJETÉ – À REPRENDRE")),MAX(0,'PROGRAMME RT'!$C$4-R601),"")</f>
        <v/>
      </c>
      <c r="AO601" s="78" t="n">
        <f aca="false">IF(AND(OR(AM601="À RADIOGRAPHIER",AM601="RÉPARÉ – À RADIOGRAPHIER",AM601="NX – RT À REFAIRE"),OR('PROGRAMME RT'!$D$5="TOUTES",B601='PROGRAMME RT'!$D$5)),1,0)</f>
        <v>0</v>
      </c>
      <c r="AP601" s="78" t="str">
        <f aca="false">IF(AO601=1,SUM(AO$7:AO601),"")</f>
        <v/>
      </c>
      <c r="AQ601" s="78" t="n">
        <f aca="false">IF(AND(OR(X601="R",X601="NX",X601="NT",X601="CO"),OR('JOINTS DE RÉPARATION'!$D$5="TOUTES",B601='JOINTS DE RÉPARATION'!$D$5),OR('JOINTS DE RÉPARATION'!$L$4="TOUS",AM601&lt;&gt;"ACCEPTÉ")),1,0)</f>
        <v>0</v>
      </c>
      <c r="AR601" s="78" t="str">
        <f aca="false">IF(AQ601=1,SUM(AQ$7:AQ601),"")</f>
        <v/>
      </c>
    </row>
    <row r="602" customFormat="false" ht="15" hidden="false" customHeight="false" outlineLevel="0" collapsed="false">
      <c r="A602" s="78" t="n">
        <f aca="false">IF(E602="","",ROW()-6)</f>
        <v>596</v>
      </c>
      <c r="B602" s="79" t="s">
        <v>585</v>
      </c>
      <c r="C602" s="80"/>
      <c r="D602" s="80"/>
      <c r="E602" s="80" t="s">
        <v>551</v>
      </c>
      <c r="F602" s="80"/>
      <c r="G602" s="80" t="s">
        <v>106</v>
      </c>
      <c r="H602" s="80"/>
      <c r="I602" s="80"/>
      <c r="J602" s="80"/>
      <c r="K602" s="80"/>
      <c r="L602" s="81" t="str">
        <f aca="false">IF(K602="","",IFERROR(INDEX(BARDAGE!$C$7:$C$1506,MATCH(K602,BARDAGE!$B$7:$B$1506,0)),"? hors registre"))</f>
        <v/>
      </c>
      <c r="M602" s="80"/>
      <c r="N602" s="81" t="str">
        <f aca="false">IF(M602="","",IFERROR(INDEX(BARDAGE!$C$7:$C$1506,MATCH(M602,BARDAGE!$B$7:$B$1506,0)),"? hors registre"))</f>
        <v/>
      </c>
      <c r="O602" s="80"/>
      <c r="P602" s="80"/>
      <c r="Q602" s="80"/>
      <c r="R602" s="82"/>
      <c r="S602" s="82"/>
      <c r="T602" s="80"/>
      <c r="U602" s="80"/>
      <c r="V602" s="82"/>
      <c r="W602" s="80"/>
      <c r="X602" s="80"/>
      <c r="Y602" s="80"/>
      <c r="Z602" s="80"/>
      <c r="AA602" s="82"/>
      <c r="AB602" s="80"/>
      <c r="AC602" s="80"/>
      <c r="AD602" s="80"/>
      <c r="AE602" s="80"/>
      <c r="AF602" s="82"/>
      <c r="AG602" s="80"/>
      <c r="AH602" s="80"/>
      <c r="AI602" s="82"/>
      <c r="AJ602" s="79"/>
      <c r="AK602" s="78" t="n">
        <f aca="false">IF(E602="","",(X602&lt;&gt;"")+(AC602&lt;&gt;"")+(AH602&lt;&gt;""))</f>
        <v>0</v>
      </c>
      <c r="AL602" s="81" t="str">
        <f aca="false">IF(AH602&lt;&gt;"",AH602,IF(AC602&lt;&gt;"",AC602,IF(X602&lt;&gt;"",X602,"")))</f>
        <v/>
      </c>
      <c r="AM602" s="83" t="str">
        <f aca="false">IF(E602="","",IF(R602="","À SOUDER",IF(U602="","VT EN ATTENTE",IF(U602="R","VT REJETÉ – À REPRENDRE",IF(AL602="","À RADIOGRAPHIER",IF(AL602="A","ACCEPTÉ",IF(AL602="NX","NX – RT À REFAIRE",IF(IF(AK602=1,Z602,IF(AK602=2,AE602,""))="A","RÉPARÉ – À RADIOGRAPHIER",IF(IF(AK602=1,Z602,IF(AK602=2,AE602,""))="R","VT REJETÉ – À REPRENDRE",IF(OR(AL602="CO",AL602="NT"),"COUPE – À RESOUDER","À RÉPARER"))))))))))</f>
        <v>À SOUDER</v>
      </c>
      <c r="AN602" s="81" t="str">
        <f aca="false">IF(AND(ISNUMBER(R602),OR(AM602="À RADIOGRAPHIER",AM602="RÉPARÉ – À RADIOGRAPHIER",AM602="NX – RT À REFAIRE",AM602="À RÉPARER",AM602="COUPE – À RESOUDER",AM602="VT REJETÉ – À REPRENDRE")),MAX(0,'PROGRAMME RT'!$C$4-R602),"")</f>
        <v/>
      </c>
      <c r="AO602" s="78" t="n">
        <f aca="false">IF(AND(OR(AM602="À RADIOGRAPHIER",AM602="RÉPARÉ – À RADIOGRAPHIER",AM602="NX – RT À REFAIRE"),OR('PROGRAMME RT'!$D$5="TOUTES",B602='PROGRAMME RT'!$D$5)),1,0)</f>
        <v>0</v>
      </c>
      <c r="AP602" s="78" t="str">
        <f aca="false">IF(AO602=1,SUM(AO$7:AO602),"")</f>
        <v/>
      </c>
      <c r="AQ602" s="78" t="n">
        <f aca="false">IF(AND(OR(X602="R",X602="NX",X602="NT",X602="CO"),OR('JOINTS DE RÉPARATION'!$D$5="TOUTES",B602='JOINTS DE RÉPARATION'!$D$5),OR('JOINTS DE RÉPARATION'!$L$4="TOUS",AM602&lt;&gt;"ACCEPTÉ")),1,0)</f>
        <v>0</v>
      </c>
      <c r="AR602" s="78" t="str">
        <f aca="false">IF(AQ602=1,SUM(AQ$7:AQ602),"")</f>
        <v/>
      </c>
    </row>
    <row r="603" customFormat="false" ht="15" hidden="false" customHeight="false" outlineLevel="0" collapsed="false">
      <c r="A603" s="78" t="n">
        <f aca="false">IF(E603="","",ROW()-6)</f>
        <v>597</v>
      </c>
      <c r="B603" s="79" t="s">
        <v>585</v>
      </c>
      <c r="C603" s="80"/>
      <c r="D603" s="80"/>
      <c r="E603" s="80" t="s">
        <v>553</v>
      </c>
      <c r="F603" s="80"/>
      <c r="G603" s="80" t="s">
        <v>106</v>
      </c>
      <c r="H603" s="80"/>
      <c r="I603" s="80"/>
      <c r="J603" s="80"/>
      <c r="K603" s="80"/>
      <c r="L603" s="81" t="str">
        <f aca="false">IF(K603="","",IFERROR(INDEX(BARDAGE!$C$7:$C$1506,MATCH(K603,BARDAGE!$B$7:$B$1506,0)),"? hors registre"))</f>
        <v/>
      </c>
      <c r="M603" s="80"/>
      <c r="N603" s="81" t="str">
        <f aca="false">IF(M603="","",IFERROR(INDEX(BARDAGE!$C$7:$C$1506,MATCH(M603,BARDAGE!$B$7:$B$1506,0)),"? hors registre"))</f>
        <v/>
      </c>
      <c r="O603" s="80"/>
      <c r="P603" s="80"/>
      <c r="Q603" s="80"/>
      <c r="R603" s="82"/>
      <c r="S603" s="82"/>
      <c r="T603" s="80"/>
      <c r="U603" s="80"/>
      <c r="V603" s="82"/>
      <c r="W603" s="80"/>
      <c r="X603" s="80"/>
      <c r="Y603" s="80"/>
      <c r="Z603" s="80"/>
      <c r="AA603" s="82"/>
      <c r="AB603" s="80"/>
      <c r="AC603" s="80"/>
      <c r="AD603" s="80"/>
      <c r="AE603" s="80"/>
      <c r="AF603" s="82"/>
      <c r="AG603" s="80"/>
      <c r="AH603" s="80"/>
      <c r="AI603" s="82"/>
      <c r="AJ603" s="79"/>
      <c r="AK603" s="78" t="n">
        <f aca="false">IF(E603="","",(X603&lt;&gt;"")+(AC603&lt;&gt;"")+(AH603&lt;&gt;""))</f>
        <v>0</v>
      </c>
      <c r="AL603" s="81" t="str">
        <f aca="false">IF(AH603&lt;&gt;"",AH603,IF(AC603&lt;&gt;"",AC603,IF(X603&lt;&gt;"",X603,"")))</f>
        <v/>
      </c>
      <c r="AM603" s="83" t="str">
        <f aca="false">IF(E603="","",IF(R603="","À SOUDER",IF(U603="","VT EN ATTENTE",IF(U603="R","VT REJETÉ – À REPRENDRE",IF(AL603="","À RADIOGRAPHIER",IF(AL603="A","ACCEPTÉ",IF(AL603="NX","NX – RT À REFAIRE",IF(IF(AK603=1,Z603,IF(AK603=2,AE603,""))="A","RÉPARÉ – À RADIOGRAPHIER",IF(IF(AK603=1,Z603,IF(AK603=2,AE603,""))="R","VT REJETÉ – À REPRENDRE",IF(OR(AL603="CO",AL603="NT"),"COUPE – À RESOUDER","À RÉPARER"))))))))))</f>
        <v>À SOUDER</v>
      </c>
      <c r="AN603" s="81" t="str">
        <f aca="false">IF(AND(ISNUMBER(R603),OR(AM603="À RADIOGRAPHIER",AM603="RÉPARÉ – À RADIOGRAPHIER",AM603="NX – RT À REFAIRE",AM603="À RÉPARER",AM603="COUPE – À RESOUDER",AM603="VT REJETÉ – À REPRENDRE")),MAX(0,'PROGRAMME RT'!$C$4-R603),"")</f>
        <v/>
      </c>
      <c r="AO603" s="78" t="n">
        <f aca="false">IF(AND(OR(AM603="À RADIOGRAPHIER",AM603="RÉPARÉ – À RADIOGRAPHIER",AM603="NX – RT À REFAIRE"),OR('PROGRAMME RT'!$D$5="TOUTES",B603='PROGRAMME RT'!$D$5)),1,0)</f>
        <v>0</v>
      </c>
      <c r="AP603" s="78" t="str">
        <f aca="false">IF(AO603=1,SUM(AO$7:AO603),"")</f>
        <v/>
      </c>
      <c r="AQ603" s="78" t="n">
        <f aca="false">IF(AND(OR(X603="R",X603="NX",X603="NT",X603="CO"),OR('JOINTS DE RÉPARATION'!$D$5="TOUTES",B603='JOINTS DE RÉPARATION'!$D$5),OR('JOINTS DE RÉPARATION'!$L$4="TOUS",AM603&lt;&gt;"ACCEPTÉ")),1,0)</f>
        <v>0</v>
      </c>
      <c r="AR603" s="78" t="str">
        <f aca="false">IF(AQ603=1,SUM(AQ$7:AQ603),"")</f>
        <v/>
      </c>
    </row>
    <row r="604" customFormat="false" ht="15" hidden="false" customHeight="false" outlineLevel="0" collapsed="false">
      <c r="A604" s="78" t="n">
        <f aca="false">IF(E604="","",ROW()-6)</f>
        <v>598</v>
      </c>
      <c r="B604" s="79" t="s">
        <v>585</v>
      </c>
      <c r="C604" s="80"/>
      <c r="D604" s="80"/>
      <c r="E604" s="80" t="s">
        <v>555</v>
      </c>
      <c r="F604" s="80"/>
      <c r="G604" s="80" t="s">
        <v>106</v>
      </c>
      <c r="H604" s="80"/>
      <c r="I604" s="80"/>
      <c r="J604" s="80"/>
      <c r="K604" s="80"/>
      <c r="L604" s="81" t="str">
        <f aca="false">IF(K604="","",IFERROR(INDEX(BARDAGE!$C$7:$C$1506,MATCH(K604,BARDAGE!$B$7:$B$1506,0)),"? hors registre"))</f>
        <v/>
      </c>
      <c r="M604" s="80"/>
      <c r="N604" s="81" t="str">
        <f aca="false">IF(M604="","",IFERROR(INDEX(BARDAGE!$C$7:$C$1506,MATCH(M604,BARDAGE!$B$7:$B$1506,0)),"? hors registre"))</f>
        <v/>
      </c>
      <c r="O604" s="80"/>
      <c r="P604" s="80"/>
      <c r="Q604" s="80"/>
      <c r="R604" s="82"/>
      <c r="S604" s="82"/>
      <c r="T604" s="80"/>
      <c r="U604" s="80"/>
      <c r="V604" s="82"/>
      <c r="W604" s="80"/>
      <c r="X604" s="80"/>
      <c r="Y604" s="80"/>
      <c r="Z604" s="80"/>
      <c r="AA604" s="82"/>
      <c r="AB604" s="80"/>
      <c r="AC604" s="80"/>
      <c r="AD604" s="80"/>
      <c r="AE604" s="80"/>
      <c r="AF604" s="82"/>
      <c r="AG604" s="80"/>
      <c r="AH604" s="80"/>
      <c r="AI604" s="82"/>
      <c r="AJ604" s="79"/>
      <c r="AK604" s="78" t="n">
        <f aca="false">IF(E604="","",(X604&lt;&gt;"")+(AC604&lt;&gt;"")+(AH604&lt;&gt;""))</f>
        <v>0</v>
      </c>
      <c r="AL604" s="81" t="str">
        <f aca="false">IF(AH604&lt;&gt;"",AH604,IF(AC604&lt;&gt;"",AC604,IF(X604&lt;&gt;"",X604,"")))</f>
        <v/>
      </c>
      <c r="AM604" s="83" t="str">
        <f aca="false">IF(E604="","",IF(R604="","À SOUDER",IF(U604="","VT EN ATTENTE",IF(U604="R","VT REJETÉ – À REPRENDRE",IF(AL604="","À RADIOGRAPHIER",IF(AL604="A","ACCEPTÉ",IF(AL604="NX","NX – RT À REFAIRE",IF(IF(AK604=1,Z604,IF(AK604=2,AE604,""))="A","RÉPARÉ – À RADIOGRAPHIER",IF(IF(AK604=1,Z604,IF(AK604=2,AE604,""))="R","VT REJETÉ – À REPRENDRE",IF(OR(AL604="CO",AL604="NT"),"COUPE – À RESOUDER","À RÉPARER"))))))))))</f>
        <v>À SOUDER</v>
      </c>
      <c r="AN604" s="81" t="str">
        <f aca="false">IF(AND(ISNUMBER(R604),OR(AM604="À RADIOGRAPHIER",AM604="RÉPARÉ – À RADIOGRAPHIER",AM604="NX – RT À REFAIRE",AM604="À RÉPARER",AM604="COUPE – À RESOUDER",AM604="VT REJETÉ – À REPRENDRE")),MAX(0,'PROGRAMME RT'!$C$4-R604),"")</f>
        <v/>
      </c>
      <c r="AO604" s="78" t="n">
        <f aca="false">IF(AND(OR(AM604="À RADIOGRAPHIER",AM604="RÉPARÉ – À RADIOGRAPHIER",AM604="NX – RT À REFAIRE"),OR('PROGRAMME RT'!$D$5="TOUTES",B604='PROGRAMME RT'!$D$5)),1,0)</f>
        <v>0</v>
      </c>
      <c r="AP604" s="78" t="str">
        <f aca="false">IF(AO604=1,SUM(AO$7:AO604),"")</f>
        <v/>
      </c>
      <c r="AQ604" s="78" t="n">
        <f aca="false">IF(AND(OR(X604="R",X604="NX",X604="NT",X604="CO"),OR('JOINTS DE RÉPARATION'!$D$5="TOUTES",B604='JOINTS DE RÉPARATION'!$D$5),OR('JOINTS DE RÉPARATION'!$L$4="TOUS",AM604&lt;&gt;"ACCEPTÉ")),1,0)</f>
        <v>0</v>
      </c>
      <c r="AR604" s="78" t="str">
        <f aca="false">IF(AQ604=1,SUM(AQ$7:AQ604),"")</f>
        <v/>
      </c>
    </row>
    <row r="605" customFormat="false" ht="15" hidden="false" customHeight="false" outlineLevel="0" collapsed="false">
      <c r="A605" s="78" t="n">
        <f aca="false">IF(E605="","",ROW()-6)</f>
        <v>599</v>
      </c>
      <c r="B605" s="79" t="s">
        <v>585</v>
      </c>
      <c r="C605" s="80"/>
      <c r="D605" s="80"/>
      <c r="E605" s="80" t="s">
        <v>557</v>
      </c>
      <c r="F605" s="80"/>
      <c r="G605" s="80" t="s">
        <v>106</v>
      </c>
      <c r="H605" s="80"/>
      <c r="I605" s="80"/>
      <c r="J605" s="80"/>
      <c r="K605" s="80"/>
      <c r="L605" s="81" t="str">
        <f aca="false">IF(K605="","",IFERROR(INDEX(BARDAGE!$C$7:$C$1506,MATCH(K605,BARDAGE!$B$7:$B$1506,0)),"? hors registre"))</f>
        <v/>
      </c>
      <c r="M605" s="80"/>
      <c r="N605" s="81" t="str">
        <f aca="false">IF(M605="","",IFERROR(INDEX(BARDAGE!$C$7:$C$1506,MATCH(M605,BARDAGE!$B$7:$B$1506,0)),"? hors registre"))</f>
        <v/>
      </c>
      <c r="O605" s="80"/>
      <c r="P605" s="80"/>
      <c r="Q605" s="80"/>
      <c r="R605" s="82"/>
      <c r="S605" s="82"/>
      <c r="T605" s="80"/>
      <c r="U605" s="80"/>
      <c r="V605" s="82"/>
      <c r="W605" s="80"/>
      <c r="X605" s="80"/>
      <c r="Y605" s="80"/>
      <c r="Z605" s="80"/>
      <c r="AA605" s="82"/>
      <c r="AB605" s="80"/>
      <c r="AC605" s="80"/>
      <c r="AD605" s="80"/>
      <c r="AE605" s="80"/>
      <c r="AF605" s="82"/>
      <c r="AG605" s="80"/>
      <c r="AH605" s="80"/>
      <c r="AI605" s="82"/>
      <c r="AJ605" s="79"/>
      <c r="AK605" s="78" t="n">
        <f aca="false">IF(E605="","",(X605&lt;&gt;"")+(AC605&lt;&gt;"")+(AH605&lt;&gt;""))</f>
        <v>0</v>
      </c>
      <c r="AL605" s="81" t="str">
        <f aca="false">IF(AH605&lt;&gt;"",AH605,IF(AC605&lt;&gt;"",AC605,IF(X605&lt;&gt;"",X605,"")))</f>
        <v/>
      </c>
      <c r="AM605" s="83" t="str">
        <f aca="false">IF(E605="","",IF(R605="","À SOUDER",IF(U605="","VT EN ATTENTE",IF(U605="R","VT REJETÉ – À REPRENDRE",IF(AL605="","À RADIOGRAPHIER",IF(AL605="A","ACCEPTÉ",IF(AL605="NX","NX – RT À REFAIRE",IF(IF(AK605=1,Z605,IF(AK605=2,AE605,""))="A","RÉPARÉ – À RADIOGRAPHIER",IF(IF(AK605=1,Z605,IF(AK605=2,AE605,""))="R","VT REJETÉ – À REPRENDRE",IF(OR(AL605="CO",AL605="NT"),"COUPE – À RESOUDER","À RÉPARER"))))))))))</f>
        <v>À SOUDER</v>
      </c>
      <c r="AN605" s="81" t="str">
        <f aca="false">IF(AND(ISNUMBER(R605),OR(AM605="À RADIOGRAPHIER",AM605="RÉPARÉ – À RADIOGRAPHIER",AM605="NX – RT À REFAIRE",AM605="À RÉPARER",AM605="COUPE – À RESOUDER",AM605="VT REJETÉ – À REPRENDRE")),MAX(0,'PROGRAMME RT'!$C$4-R605),"")</f>
        <v/>
      </c>
      <c r="AO605" s="78" t="n">
        <f aca="false">IF(AND(OR(AM605="À RADIOGRAPHIER",AM605="RÉPARÉ – À RADIOGRAPHIER",AM605="NX – RT À REFAIRE"),OR('PROGRAMME RT'!$D$5="TOUTES",B605='PROGRAMME RT'!$D$5)),1,0)</f>
        <v>0</v>
      </c>
      <c r="AP605" s="78" t="str">
        <f aca="false">IF(AO605=1,SUM(AO$7:AO605),"")</f>
        <v/>
      </c>
      <c r="AQ605" s="78" t="n">
        <f aca="false">IF(AND(OR(X605="R",X605="NX",X605="NT",X605="CO"),OR('JOINTS DE RÉPARATION'!$D$5="TOUTES",B605='JOINTS DE RÉPARATION'!$D$5),OR('JOINTS DE RÉPARATION'!$L$4="TOUS",AM605&lt;&gt;"ACCEPTÉ")),1,0)</f>
        <v>0</v>
      </c>
      <c r="AR605" s="78" t="str">
        <f aca="false">IF(AQ605=1,SUM(AQ$7:AQ605),"")</f>
        <v/>
      </c>
    </row>
    <row r="606" customFormat="false" ht="15" hidden="false" customHeight="false" outlineLevel="0" collapsed="false">
      <c r="A606" s="78" t="n">
        <f aca="false">IF(E606="","",ROW()-6)</f>
        <v>600</v>
      </c>
      <c r="B606" s="79" t="s">
        <v>585</v>
      </c>
      <c r="C606" s="80"/>
      <c r="D606" s="80"/>
      <c r="E606" s="80" t="s">
        <v>559</v>
      </c>
      <c r="F606" s="80"/>
      <c r="G606" s="80" t="s">
        <v>106</v>
      </c>
      <c r="H606" s="80"/>
      <c r="I606" s="80"/>
      <c r="J606" s="80"/>
      <c r="K606" s="80"/>
      <c r="L606" s="81" t="str">
        <f aca="false">IF(K606="","",IFERROR(INDEX(BARDAGE!$C$7:$C$1506,MATCH(K606,BARDAGE!$B$7:$B$1506,0)),"? hors registre"))</f>
        <v/>
      </c>
      <c r="M606" s="80"/>
      <c r="N606" s="81" t="str">
        <f aca="false">IF(M606="","",IFERROR(INDEX(BARDAGE!$C$7:$C$1506,MATCH(M606,BARDAGE!$B$7:$B$1506,0)),"? hors registre"))</f>
        <v/>
      </c>
      <c r="O606" s="80"/>
      <c r="P606" s="80"/>
      <c r="Q606" s="80"/>
      <c r="R606" s="82"/>
      <c r="S606" s="82"/>
      <c r="T606" s="80"/>
      <c r="U606" s="80"/>
      <c r="V606" s="82"/>
      <c r="W606" s="80"/>
      <c r="X606" s="80"/>
      <c r="Y606" s="80"/>
      <c r="Z606" s="80"/>
      <c r="AA606" s="82"/>
      <c r="AB606" s="80"/>
      <c r="AC606" s="80"/>
      <c r="AD606" s="80"/>
      <c r="AE606" s="80"/>
      <c r="AF606" s="82"/>
      <c r="AG606" s="80"/>
      <c r="AH606" s="80"/>
      <c r="AI606" s="82"/>
      <c r="AJ606" s="79"/>
      <c r="AK606" s="78" t="n">
        <f aca="false">IF(E606="","",(X606&lt;&gt;"")+(AC606&lt;&gt;"")+(AH606&lt;&gt;""))</f>
        <v>0</v>
      </c>
      <c r="AL606" s="81" t="str">
        <f aca="false">IF(AH606&lt;&gt;"",AH606,IF(AC606&lt;&gt;"",AC606,IF(X606&lt;&gt;"",X606,"")))</f>
        <v/>
      </c>
      <c r="AM606" s="83" t="str">
        <f aca="false">IF(E606="","",IF(R606="","À SOUDER",IF(U606="","VT EN ATTENTE",IF(U606="R","VT REJETÉ – À REPRENDRE",IF(AL606="","À RADIOGRAPHIER",IF(AL606="A","ACCEPTÉ",IF(AL606="NX","NX – RT À REFAIRE",IF(IF(AK606=1,Z606,IF(AK606=2,AE606,""))="A","RÉPARÉ – À RADIOGRAPHIER",IF(IF(AK606=1,Z606,IF(AK606=2,AE606,""))="R","VT REJETÉ – À REPRENDRE",IF(OR(AL606="CO",AL606="NT"),"COUPE – À RESOUDER","À RÉPARER"))))))))))</f>
        <v>À SOUDER</v>
      </c>
      <c r="AN606" s="81" t="str">
        <f aca="false">IF(AND(ISNUMBER(R606),OR(AM606="À RADIOGRAPHIER",AM606="RÉPARÉ – À RADIOGRAPHIER",AM606="NX – RT À REFAIRE",AM606="À RÉPARER",AM606="COUPE – À RESOUDER",AM606="VT REJETÉ – À REPRENDRE")),MAX(0,'PROGRAMME RT'!$C$4-R606),"")</f>
        <v/>
      </c>
      <c r="AO606" s="78" t="n">
        <f aca="false">IF(AND(OR(AM606="À RADIOGRAPHIER",AM606="RÉPARÉ – À RADIOGRAPHIER",AM606="NX – RT À REFAIRE"),OR('PROGRAMME RT'!$D$5="TOUTES",B606='PROGRAMME RT'!$D$5)),1,0)</f>
        <v>0</v>
      </c>
      <c r="AP606" s="78" t="str">
        <f aca="false">IF(AO606=1,SUM(AO$7:AO606),"")</f>
        <v/>
      </c>
      <c r="AQ606" s="78" t="n">
        <f aca="false">IF(AND(OR(X606="R",X606="NX",X606="NT",X606="CO"),OR('JOINTS DE RÉPARATION'!$D$5="TOUTES",B606='JOINTS DE RÉPARATION'!$D$5),OR('JOINTS DE RÉPARATION'!$L$4="TOUS",AM606&lt;&gt;"ACCEPTÉ")),1,0)</f>
        <v>0</v>
      </c>
      <c r="AR606" s="78" t="str">
        <f aca="false">IF(AQ606=1,SUM(AQ$7:AQ606),"")</f>
        <v/>
      </c>
    </row>
    <row r="607" customFormat="false" ht="15" hidden="false" customHeight="false" outlineLevel="0" collapsed="false">
      <c r="A607" s="78" t="n">
        <f aca="false">IF(E607="","",ROW()-6)</f>
        <v>601</v>
      </c>
      <c r="B607" s="79" t="s">
        <v>585</v>
      </c>
      <c r="C607" s="80"/>
      <c r="D607" s="80"/>
      <c r="E607" s="80" t="s">
        <v>561</v>
      </c>
      <c r="F607" s="80"/>
      <c r="G607" s="80" t="s">
        <v>106</v>
      </c>
      <c r="H607" s="80"/>
      <c r="I607" s="80"/>
      <c r="J607" s="80"/>
      <c r="K607" s="80"/>
      <c r="L607" s="81" t="str">
        <f aca="false">IF(K607="","",IFERROR(INDEX(BARDAGE!$C$7:$C$1506,MATCH(K607,BARDAGE!$B$7:$B$1506,0)),"? hors registre"))</f>
        <v/>
      </c>
      <c r="M607" s="80"/>
      <c r="N607" s="81" t="str">
        <f aca="false">IF(M607="","",IFERROR(INDEX(BARDAGE!$C$7:$C$1506,MATCH(M607,BARDAGE!$B$7:$B$1506,0)),"? hors registre"))</f>
        <v/>
      </c>
      <c r="O607" s="80"/>
      <c r="P607" s="80"/>
      <c r="Q607" s="80"/>
      <c r="R607" s="82"/>
      <c r="S607" s="82"/>
      <c r="T607" s="80"/>
      <c r="U607" s="80"/>
      <c r="V607" s="82"/>
      <c r="W607" s="80"/>
      <c r="X607" s="80"/>
      <c r="Y607" s="80"/>
      <c r="Z607" s="80"/>
      <c r="AA607" s="82"/>
      <c r="AB607" s="80"/>
      <c r="AC607" s="80"/>
      <c r="AD607" s="80"/>
      <c r="AE607" s="80"/>
      <c r="AF607" s="82"/>
      <c r="AG607" s="80"/>
      <c r="AH607" s="80"/>
      <c r="AI607" s="82"/>
      <c r="AJ607" s="79"/>
      <c r="AK607" s="78" t="n">
        <f aca="false">IF(E607="","",(X607&lt;&gt;"")+(AC607&lt;&gt;"")+(AH607&lt;&gt;""))</f>
        <v>0</v>
      </c>
      <c r="AL607" s="81" t="str">
        <f aca="false">IF(AH607&lt;&gt;"",AH607,IF(AC607&lt;&gt;"",AC607,IF(X607&lt;&gt;"",X607,"")))</f>
        <v/>
      </c>
      <c r="AM607" s="83" t="str">
        <f aca="false">IF(E607="","",IF(R607="","À SOUDER",IF(U607="","VT EN ATTENTE",IF(U607="R","VT REJETÉ – À REPRENDRE",IF(AL607="","À RADIOGRAPHIER",IF(AL607="A","ACCEPTÉ",IF(AL607="NX","NX – RT À REFAIRE",IF(IF(AK607=1,Z607,IF(AK607=2,AE607,""))="A","RÉPARÉ – À RADIOGRAPHIER",IF(IF(AK607=1,Z607,IF(AK607=2,AE607,""))="R","VT REJETÉ – À REPRENDRE",IF(OR(AL607="CO",AL607="NT"),"COUPE – À RESOUDER","À RÉPARER"))))))))))</f>
        <v>À SOUDER</v>
      </c>
      <c r="AN607" s="81" t="str">
        <f aca="false">IF(AND(ISNUMBER(R607),OR(AM607="À RADIOGRAPHIER",AM607="RÉPARÉ – À RADIOGRAPHIER",AM607="NX – RT À REFAIRE",AM607="À RÉPARER",AM607="COUPE – À RESOUDER",AM607="VT REJETÉ – À REPRENDRE")),MAX(0,'PROGRAMME RT'!$C$4-R607),"")</f>
        <v/>
      </c>
      <c r="AO607" s="78" t="n">
        <f aca="false">IF(AND(OR(AM607="À RADIOGRAPHIER",AM607="RÉPARÉ – À RADIOGRAPHIER",AM607="NX – RT À REFAIRE"),OR('PROGRAMME RT'!$D$5="TOUTES",B607='PROGRAMME RT'!$D$5)),1,0)</f>
        <v>0</v>
      </c>
      <c r="AP607" s="78" t="str">
        <f aca="false">IF(AO607=1,SUM(AO$7:AO607),"")</f>
        <v/>
      </c>
      <c r="AQ607" s="78" t="n">
        <f aca="false">IF(AND(OR(X607="R",X607="NX",X607="NT",X607="CO"),OR('JOINTS DE RÉPARATION'!$D$5="TOUTES",B607='JOINTS DE RÉPARATION'!$D$5),OR('JOINTS DE RÉPARATION'!$L$4="TOUS",AM607&lt;&gt;"ACCEPTÉ")),1,0)</f>
        <v>0</v>
      </c>
      <c r="AR607" s="78" t="str">
        <f aca="false">IF(AQ607=1,SUM(AQ$7:AQ607),"")</f>
        <v/>
      </c>
    </row>
    <row r="608" customFormat="false" ht="15" hidden="false" customHeight="false" outlineLevel="0" collapsed="false">
      <c r="A608" s="78" t="n">
        <f aca="false">IF(E608="","",ROW()-6)</f>
        <v>602</v>
      </c>
      <c r="B608" s="79" t="s">
        <v>585</v>
      </c>
      <c r="C608" s="80"/>
      <c r="D608" s="80"/>
      <c r="E608" s="80" t="s">
        <v>563</v>
      </c>
      <c r="F608" s="80"/>
      <c r="G608" s="80" t="s">
        <v>106</v>
      </c>
      <c r="H608" s="80"/>
      <c r="I608" s="80"/>
      <c r="J608" s="80"/>
      <c r="K608" s="80"/>
      <c r="L608" s="81" t="str">
        <f aca="false">IF(K608="","",IFERROR(INDEX(BARDAGE!$C$7:$C$1506,MATCH(K608,BARDAGE!$B$7:$B$1506,0)),"? hors registre"))</f>
        <v/>
      </c>
      <c r="M608" s="80"/>
      <c r="N608" s="81" t="str">
        <f aca="false">IF(M608="","",IFERROR(INDEX(BARDAGE!$C$7:$C$1506,MATCH(M608,BARDAGE!$B$7:$B$1506,0)),"? hors registre"))</f>
        <v/>
      </c>
      <c r="O608" s="80"/>
      <c r="P608" s="80"/>
      <c r="Q608" s="80"/>
      <c r="R608" s="82"/>
      <c r="S608" s="82"/>
      <c r="T608" s="80"/>
      <c r="U608" s="80"/>
      <c r="V608" s="82"/>
      <c r="W608" s="80"/>
      <c r="X608" s="80"/>
      <c r="Y608" s="80"/>
      <c r="Z608" s="80"/>
      <c r="AA608" s="82"/>
      <c r="AB608" s="80"/>
      <c r="AC608" s="80"/>
      <c r="AD608" s="80"/>
      <c r="AE608" s="80"/>
      <c r="AF608" s="82"/>
      <c r="AG608" s="80"/>
      <c r="AH608" s="80"/>
      <c r="AI608" s="82"/>
      <c r="AJ608" s="79"/>
      <c r="AK608" s="78" t="n">
        <f aca="false">IF(E608="","",(X608&lt;&gt;"")+(AC608&lt;&gt;"")+(AH608&lt;&gt;""))</f>
        <v>0</v>
      </c>
      <c r="AL608" s="81" t="str">
        <f aca="false">IF(AH608&lt;&gt;"",AH608,IF(AC608&lt;&gt;"",AC608,IF(X608&lt;&gt;"",X608,"")))</f>
        <v/>
      </c>
      <c r="AM608" s="83" t="str">
        <f aca="false">IF(E608="","",IF(R608="","À SOUDER",IF(U608="","VT EN ATTENTE",IF(U608="R","VT REJETÉ – À REPRENDRE",IF(AL608="","À RADIOGRAPHIER",IF(AL608="A","ACCEPTÉ",IF(AL608="NX","NX – RT À REFAIRE",IF(IF(AK608=1,Z608,IF(AK608=2,AE608,""))="A","RÉPARÉ – À RADIOGRAPHIER",IF(IF(AK608=1,Z608,IF(AK608=2,AE608,""))="R","VT REJETÉ – À REPRENDRE",IF(OR(AL608="CO",AL608="NT"),"COUPE – À RESOUDER","À RÉPARER"))))))))))</f>
        <v>À SOUDER</v>
      </c>
      <c r="AN608" s="81" t="str">
        <f aca="false">IF(AND(ISNUMBER(R608),OR(AM608="À RADIOGRAPHIER",AM608="RÉPARÉ – À RADIOGRAPHIER",AM608="NX – RT À REFAIRE",AM608="À RÉPARER",AM608="COUPE – À RESOUDER",AM608="VT REJETÉ – À REPRENDRE")),MAX(0,'PROGRAMME RT'!$C$4-R608),"")</f>
        <v/>
      </c>
      <c r="AO608" s="78" t="n">
        <f aca="false">IF(AND(OR(AM608="À RADIOGRAPHIER",AM608="RÉPARÉ – À RADIOGRAPHIER",AM608="NX – RT À REFAIRE"),OR('PROGRAMME RT'!$D$5="TOUTES",B608='PROGRAMME RT'!$D$5)),1,0)</f>
        <v>0</v>
      </c>
      <c r="AP608" s="78" t="str">
        <f aca="false">IF(AO608=1,SUM(AO$7:AO608),"")</f>
        <v/>
      </c>
      <c r="AQ608" s="78" t="n">
        <f aca="false">IF(AND(OR(X608="R",X608="NX",X608="NT",X608="CO"),OR('JOINTS DE RÉPARATION'!$D$5="TOUTES",B608='JOINTS DE RÉPARATION'!$D$5),OR('JOINTS DE RÉPARATION'!$L$4="TOUS",AM608&lt;&gt;"ACCEPTÉ")),1,0)</f>
        <v>0</v>
      </c>
      <c r="AR608" s="78" t="str">
        <f aca="false">IF(AQ608=1,SUM(AQ$7:AQ608),"")</f>
        <v/>
      </c>
    </row>
    <row r="609" customFormat="false" ht="15" hidden="false" customHeight="false" outlineLevel="0" collapsed="false">
      <c r="A609" s="78" t="n">
        <f aca="false">IF(E609="","",ROW()-6)</f>
        <v>603</v>
      </c>
      <c r="B609" s="79" t="s">
        <v>585</v>
      </c>
      <c r="C609" s="80"/>
      <c r="D609" s="80"/>
      <c r="E609" s="80" t="s">
        <v>565</v>
      </c>
      <c r="F609" s="80"/>
      <c r="G609" s="80" t="s">
        <v>106</v>
      </c>
      <c r="H609" s="80"/>
      <c r="I609" s="80"/>
      <c r="J609" s="80"/>
      <c r="K609" s="80"/>
      <c r="L609" s="81" t="str">
        <f aca="false">IF(K609="","",IFERROR(INDEX(BARDAGE!$C$7:$C$1506,MATCH(K609,BARDAGE!$B$7:$B$1506,0)),"? hors registre"))</f>
        <v/>
      </c>
      <c r="M609" s="80"/>
      <c r="N609" s="81" t="str">
        <f aca="false">IF(M609="","",IFERROR(INDEX(BARDAGE!$C$7:$C$1506,MATCH(M609,BARDAGE!$B$7:$B$1506,0)),"? hors registre"))</f>
        <v/>
      </c>
      <c r="O609" s="80"/>
      <c r="P609" s="80"/>
      <c r="Q609" s="80"/>
      <c r="R609" s="82"/>
      <c r="S609" s="82"/>
      <c r="T609" s="80"/>
      <c r="U609" s="80"/>
      <c r="V609" s="82"/>
      <c r="W609" s="80"/>
      <c r="X609" s="80"/>
      <c r="Y609" s="80"/>
      <c r="Z609" s="80"/>
      <c r="AA609" s="82"/>
      <c r="AB609" s="80"/>
      <c r="AC609" s="80"/>
      <c r="AD609" s="80"/>
      <c r="AE609" s="80"/>
      <c r="AF609" s="82"/>
      <c r="AG609" s="80"/>
      <c r="AH609" s="80"/>
      <c r="AI609" s="82"/>
      <c r="AJ609" s="79"/>
      <c r="AK609" s="78" t="n">
        <f aca="false">IF(E609="","",(X609&lt;&gt;"")+(AC609&lt;&gt;"")+(AH609&lt;&gt;""))</f>
        <v>0</v>
      </c>
      <c r="AL609" s="81" t="str">
        <f aca="false">IF(AH609&lt;&gt;"",AH609,IF(AC609&lt;&gt;"",AC609,IF(X609&lt;&gt;"",X609,"")))</f>
        <v/>
      </c>
      <c r="AM609" s="83" t="str">
        <f aca="false">IF(E609="","",IF(R609="","À SOUDER",IF(U609="","VT EN ATTENTE",IF(U609="R","VT REJETÉ – À REPRENDRE",IF(AL609="","À RADIOGRAPHIER",IF(AL609="A","ACCEPTÉ",IF(AL609="NX","NX – RT À REFAIRE",IF(IF(AK609=1,Z609,IF(AK609=2,AE609,""))="A","RÉPARÉ – À RADIOGRAPHIER",IF(IF(AK609=1,Z609,IF(AK609=2,AE609,""))="R","VT REJETÉ – À REPRENDRE",IF(OR(AL609="CO",AL609="NT"),"COUPE – À RESOUDER","À RÉPARER"))))))))))</f>
        <v>À SOUDER</v>
      </c>
      <c r="AN609" s="81" t="str">
        <f aca="false">IF(AND(ISNUMBER(R609),OR(AM609="À RADIOGRAPHIER",AM609="RÉPARÉ – À RADIOGRAPHIER",AM609="NX – RT À REFAIRE",AM609="À RÉPARER",AM609="COUPE – À RESOUDER",AM609="VT REJETÉ – À REPRENDRE")),MAX(0,'PROGRAMME RT'!$C$4-R609),"")</f>
        <v/>
      </c>
      <c r="AO609" s="78" t="n">
        <f aca="false">IF(AND(OR(AM609="À RADIOGRAPHIER",AM609="RÉPARÉ – À RADIOGRAPHIER",AM609="NX – RT À REFAIRE"),OR('PROGRAMME RT'!$D$5="TOUTES",B609='PROGRAMME RT'!$D$5)),1,0)</f>
        <v>0</v>
      </c>
      <c r="AP609" s="78" t="str">
        <f aca="false">IF(AO609=1,SUM(AO$7:AO609),"")</f>
        <v/>
      </c>
      <c r="AQ609" s="78" t="n">
        <f aca="false">IF(AND(OR(X609="R",X609="NX",X609="NT",X609="CO"),OR('JOINTS DE RÉPARATION'!$D$5="TOUTES",B609='JOINTS DE RÉPARATION'!$D$5),OR('JOINTS DE RÉPARATION'!$L$4="TOUS",AM609&lt;&gt;"ACCEPTÉ")),1,0)</f>
        <v>0</v>
      </c>
      <c r="AR609" s="78" t="str">
        <f aca="false">IF(AQ609=1,SUM(AQ$7:AQ609),"")</f>
        <v/>
      </c>
    </row>
    <row r="610" customFormat="false" ht="15" hidden="false" customHeight="false" outlineLevel="0" collapsed="false">
      <c r="A610" s="78" t="n">
        <f aca="false">IF(E610="","",ROW()-6)</f>
        <v>604</v>
      </c>
      <c r="B610" s="79" t="s">
        <v>585</v>
      </c>
      <c r="C610" s="80"/>
      <c r="D610" s="80"/>
      <c r="E610" s="80" t="s">
        <v>567</v>
      </c>
      <c r="F610" s="80"/>
      <c r="G610" s="80" t="s">
        <v>106</v>
      </c>
      <c r="H610" s="80"/>
      <c r="I610" s="80"/>
      <c r="J610" s="80"/>
      <c r="K610" s="80"/>
      <c r="L610" s="81" t="str">
        <f aca="false">IF(K610="","",IFERROR(INDEX(BARDAGE!$C$7:$C$1506,MATCH(K610,BARDAGE!$B$7:$B$1506,0)),"? hors registre"))</f>
        <v/>
      </c>
      <c r="M610" s="80"/>
      <c r="N610" s="81" t="str">
        <f aca="false">IF(M610="","",IFERROR(INDEX(BARDAGE!$C$7:$C$1506,MATCH(M610,BARDAGE!$B$7:$B$1506,0)),"? hors registre"))</f>
        <v/>
      </c>
      <c r="O610" s="80"/>
      <c r="P610" s="80"/>
      <c r="Q610" s="80"/>
      <c r="R610" s="82"/>
      <c r="S610" s="82"/>
      <c r="T610" s="80"/>
      <c r="U610" s="80"/>
      <c r="V610" s="82"/>
      <c r="W610" s="80"/>
      <c r="X610" s="80"/>
      <c r="Y610" s="80"/>
      <c r="Z610" s="80"/>
      <c r="AA610" s="82"/>
      <c r="AB610" s="80"/>
      <c r="AC610" s="80"/>
      <c r="AD610" s="80"/>
      <c r="AE610" s="80"/>
      <c r="AF610" s="82"/>
      <c r="AG610" s="80"/>
      <c r="AH610" s="80"/>
      <c r="AI610" s="82"/>
      <c r="AJ610" s="79"/>
      <c r="AK610" s="78" t="n">
        <f aca="false">IF(E610="","",(X610&lt;&gt;"")+(AC610&lt;&gt;"")+(AH610&lt;&gt;""))</f>
        <v>0</v>
      </c>
      <c r="AL610" s="81" t="str">
        <f aca="false">IF(AH610&lt;&gt;"",AH610,IF(AC610&lt;&gt;"",AC610,IF(X610&lt;&gt;"",X610,"")))</f>
        <v/>
      </c>
      <c r="AM610" s="83" t="str">
        <f aca="false">IF(E610="","",IF(R610="","À SOUDER",IF(U610="","VT EN ATTENTE",IF(U610="R","VT REJETÉ – À REPRENDRE",IF(AL610="","À RADIOGRAPHIER",IF(AL610="A","ACCEPTÉ",IF(AL610="NX","NX – RT À REFAIRE",IF(IF(AK610=1,Z610,IF(AK610=2,AE610,""))="A","RÉPARÉ – À RADIOGRAPHIER",IF(IF(AK610=1,Z610,IF(AK610=2,AE610,""))="R","VT REJETÉ – À REPRENDRE",IF(OR(AL610="CO",AL610="NT"),"COUPE – À RESOUDER","À RÉPARER"))))))))))</f>
        <v>À SOUDER</v>
      </c>
      <c r="AN610" s="81" t="str">
        <f aca="false">IF(AND(ISNUMBER(R610),OR(AM610="À RADIOGRAPHIER",AM610="RÉPARÉ – À RADIOGRAPHIER",AM610="NX – RT À REFAIRE",AM610="À RÉPARER",AM610="COUPE – À RESOUDER",AM610="VT REJETÉ – À REPRENDRE")),MAX(0,'PROGRAMME RT'!$C$4-R610),"")</f>
        <v/>
      </c>
      <c r="AO610" s="78" t="n">
        <f aca="false">IF(AND(OR(AM610="À RADIOGRAPHIER",AM610="RÉPARÉ – À RADIOGRAPHIER",AM610="NX – RT À REFAIRE"),OR('PROGRAMME RT'!$D$5="TOUTES",B610='PROGRAMME RT'!$D$5)),1,0)</f>
        <v>0</v>
      </c>
      <c r="AP610" s="78" t="str">
        <f aca="false">IF(AO610=1,SUM(AO$7:AO610),"")</f>
        <v/>
      </c>
      <c r="AQ610" s="78" t="n">
        <f aca="false">IF(AND(OR(X610="R",X610="NX",X610="NT",X610="CO"),OR('JOINTS DE RÉPARATION'!$D$5="TOUTES",B610='JOINTS DE RÉPARATION'!$D$5),OR('JOINTS DE RÉPARATION'!$L$4="TOUS",AM610&lt;&gt;"ACCEPTÉ")),1,0)</f>
        <v>0</v>
      </c>
      <c r="AR610" s="78" t="str">
        <f aca="false">IF(AQ610=1,SUM(AQ$7:AQ610),"")</f>
        <v/>
      </c>
    </row>
    <row r="611" customFormat="false" ht="15" hidden="false" customHeight="false" outlineLevel="0" collapsed="false">
      <c r="A611" s="78" t="n">
        <f aca="false">IF(E611="","",ROW()-6)</f>
        <v>605</v>
      </c>
      <c r="B611" s="79" t="s">
        <v>585</v>
      </c>
      <c r="C611" s="80"/>
      <c r="D611" s="80"/>
      <c r="E611" s="80" t="s">
        <v>570</v>
      </c>
      <c r="F611" s="80"/>
      <c r="G611" s="80" t="s">
        <v>106</v>
      </c>
      <c r="H611" s="80"/>
      <c r="I611" s="80"/>
      <c r="J611" s="80"/>
      <c r="K611" s="80"/>
      <c r="L611" s="81" t="str">
        <f aca="false">IF(K611="","",IFERROR(INDEX(BARDAGE!$C$7:$C$1506,MATCH(K611,BARDAGE!$B$7:$B$1506,0)),"? hors registre"))</f>
        <v/>
      </c>
      <c r="M611" s="80"/>
      <c r="N611" s="81" t="str">
        <f aca="false">IF(M611="","",IFERROR(INDEX(BARDAGE!$C$7:$C$1506,MATCH(M611,BARDAGE!$B$7:$B$1506,0)),"? hors registre"))</f>
        <v/>
      </c>
      <c r="O611" s="80"/>
      <c r="P611" s="80"/>
      <c r="Q611" s="80"/>
      <c r="R611" s="82"/>
      <c r="S611" s="82"/>
      <c r="T611" s="80"/>
      <c r="U611" s="80"/>
      <c r="V611" s="82"/>
      <c r="W611" s="80"/>
      <c r="X611" s="80"/>
      <c r="Y611" s="80"/>
      <c r="Z611" s="80"/>
      <c r="AA611" s="82"/>
      <c r="AB611" s="80"/>
      <c r="AC611" s="80"/>
      <c r="AD611" s="80"/>
      <c r="AE611" s="80"/>
      <c r="AF611" s="82"/>
      <c r="AG611" s="80"/>
      <c r="AH611" s="80"/>
      <c r="AI611" s="82"/>
      <c r="AJ611" s="79"/>
      <c r="AK611" s="78" t="n">
        <f aca="false">IF(E611="","",(X611&lt;&gt;"")+(AC611&lt;&gt;"")+(AH611&lt;&gt;""))</f>
        <v>0</v>
      </c>
      <c r="AL611" s="81" t="str">
        <f aca="false">IF(AH611&lt;&gt;"",AH611,IF(AC611&lt;&gt;"",AC611,IF(X611&lt;&gt;"",X611,"")))</f>
        <v/>
      </c>
      <c r="AM611" s="83" t="str">
        <f aca="false">IF(E611="","",IF(R611="","À SOUDER",IF(U611="","VT EN ATTENTE",IF(U611="R","VT REJETÉ – À REPRENDRE",IF(AL611="","À RADIOGRAPHIER",IF(AL611="A","ACCEPTÉ",IF(AL611="NX","NX – RT À REFAIRE",IF(IF(AK611=1,Z611,IF(AK611=2,AE611,""))="A","RÉPARÉ – À RADIOGRAPHIER",IF(IF(AK611=1,Z611,IF(AK611=2,AE611,""))="R","VT REJETÉ – À REPRENDRE",IF(OR(AL611="CO",AL611="NT"),"COUPE – À RESOUDER","À RÉPARER"))))))))))</f>
        <v>À SOUDER</v>
      </c>
      <c r="AN611" s="81" t="str">
        <f aca="false">IF(AND(ISNUMBER(R611),OR(AM611="À RADIOGRAPHIER",AM611="RÉPARÉ – À RADIOGRAPHIER",AM611="NX – RT À REFAIRE",AM611="À RÉPARER",AM611="COUPE – À RESOUDER",AM611="VT REJETÉ – À REPRENDRE")),MAX(0,'PROGRAMME RT'!$C$4-R611),"")</f>
        <v/>
      </c>
      <c r="AO611" s="78" t="n">
        <f aca="false">IF(AND(OR(AM611="À RADIOGRAPHIER",AM611="RÉPARÉ – À RADIOGRAPHIER",AM611="NX – RT À REFAIRE"),OR('PROGRAMME RT'!$D$5="TOUTES",B611='PROGRAMME RT'!$D$5)),1,0)</f>
        <v>0</v>
      </c>
      <c r="AP611" s="78" t="str">
        <f aca="false">IF(AO611=1,SUM(AO$7:AO611),"")</f>
        <v/>
      </c>
      <c r="AQ611" s="78" t="n">
        <f aca="false">IF(AND(OR(X611="R",X611="NX",X611="NT",X611="CO"),OR('JOINTS DE RÉPARATION'!$D$5="TOUTES",B611='JOINTS DE RÉPARATION'!$D$5),OR('JOINTS DE RÉPARATION'!$L$4="TOUS",AM611&lt;&gt;"ACCEPTÉ")),1,0)</f>
        <v>0</v>
      </c>
      <c r="AR611" s="78" t="str">
        <f aca="false">IF(AQ611=1,SUM(AQ$7:AQ611),"")</f>
        <v/>
      </c>
    </row>
    <row r="612" customFormat="false" ht="15" hidden="false" customHeight="false" outlineLevel="0" collapsed="false">
      <c r="A612" s="78" t="n">
        <f aca="false">IF(E612="","",ROW()-6)</f>
        <v>606</v>
      </c>
      <c r="B612" s="79" t="s">
        <v>586</v>
      </c>
      <c r="C612" s="80"/>
      <c r="D612" s="80"/>
      <c r="E612" s="80" t="s">
        <v>104</v>
      </c>
      <c r="F612" s="80"/>
      <c r="G612" s="80" t="s">
        <v>106</v>
      </c>
      <c r="H612" s="80"/>
      <c r="I612" s="80"/>
      <c r="J612" s="80"/>
      <c r="K612" s="80"/>
      <c r="L612" s="81" t="str">
        <f aca="false">IF(K612="","",IFERROR(INDEX(BARDAGE!$C$7:$C$1506,MATCH(K612,BARDAGE!$B$7:$B$1506,0)),"? hors registre"))</f>
        <v/>
      </c>
      <c r="M612" s="80"/>
      <c r="N612" s="81" t="str">
        <f aca="false">IF(M612="","",IFERROR(INDEX(BARDAGE!$C$7:$C$1506,MATCH(M612,BARDAGE!$B$7:$B$1506,0)),"? hors registre"))</f>
        <v/>
      </c>
      <c r="O612" s="80"/>
      <c r="P612" s="80"/>
      <c r="Q612" s="80"/>
      <c r="R612" s="82"/>
      <c r="S612" s="82"/>
      <c r="T612" s="80"/>
      <c r="U612" s="80"/>
      <c r="V612" s="82"/>
      <c r="W612" s="80"/>
      <c r="X612" s="80"/>
      <c r="Y612" s="80"/>
      <c r="Z612" s="80"/>
      <c r="AA612" s="82"/>
      <c r="AB612" s="80"/>
      <c r="AC612" s="80"/>
      <c r="AD612" s="80"/>
      <c r="AE612" s="80"/>
      <c r="AF612" s="82"/>
      <c r="AG612" s="80"/>
      <c r="AH612" s="80"/>
      <c r="AI612" s="82"/>
      <c r="AJ612" s="79"/>
      <c r="AK612" s="78" t="n">
        <f aca="false">IF(E612="","",(X612&lt;&gt;"")+(AC612&lt;&gt;"")+(AH612&lt;&gt;""))</f>
        <v>0</v>
      </c>
      <c r="AL612" s="81" t="str">
        <f aca="false">IF(AH612&lt;&gt;"",AH612,IF(AC612&lt;&gt;"",AC612,IF(X612&lt;&gt;"",X612,"")))</f>
        <v/>
      </c>
      <c r="AM612" s="83" t="str">
        <f aca="false">IF(E612="","",IF(R612="","À SOUDER",IF(U612="","VT EN ATTENTE",IF(U612="R","VT REJETÉ – À REPRENDRE",IF(AL612="","À RADIOGRAPHIER",IF(AL612="A","ACCEPTÉ",IF(AL612="NX","NX – RT À REFAIRE",IF(IF(AK612=1,Z612,IF(AK612=2,AE612,""))="A","RÉPARÉ – À RADIOGRAPHIER",IF(IF(AK612=1,Z612,IF(AK612=2,AE612,""))="R","VT REJETÉ – À REPRENDRE",IF(OR(AL612="CO",AL612="NT"),"COUPE – À RESOUDER","À RÉPARER"))))))))))</f>
        <v>À SOUDER</v>
      </c>
      <c r="AN612" s="81" t="str">
        <f aca="false">IF(AND(ISNUMBER(R612),OR(AM612="À RADIOGRAPHIER",AM612="RÉPARÉ – À RADIOGRAPHIER",AM612="NX – RT À REFAIRE",AM612="À RÉPARER",AM612="COUPE – À RESOUDER",AM612="VT REJETÉ – À REPRENDRE")),MAX(0,'PROGRAMME RT'!$C$4-R612),"")</f>
        <v/>
      </c>
      <c r="AO612" s="78" t="n">
        <f aca="false">IF(AND(OR(AM612="À RADIOGRAPHIER",AM612="RÉPARÉ – À RADIOGRAPHIER",AM612="NX – RT À REFAIRE"),OR('PROGRAMME RT'!$D$5="TOUTES",B612='PROGRAMME RT'!$D$5)),1,0)</f>
        <v>0</v>
      </c>
      <c r="AP612" s="78" t="str">
        <f aca="false">IF(AO612=1,SUM(AO$7:AO612),"")</f>
        <v/>
      </c>
      <c r="AQ612" s="78" t="n">
        <f aca="false">IF(AND(OR(X612="R",X612="NX",X612="NT",X612="CO"),OR('JOINTS DE RÉPARATION'!$D$5="TOUTES",B612='JOINTS DE RÉPARATION'!$D$5),OR('JOINTS DE RÉPARATION'!$L$4="TOUS",AM612&lt;&gt;"ACCEPTÉ")),1,0)</f>
        <v>0</v>
      </c>
      <c r="AR612" s="78" t="str">
        <f aca="false">IF(AQ612=1,SUM(AQ$7:AQ612),"")</f>
        <v/>
      </c>
    </row>
    <row r="613" customFormat="false" ht="15" hidden="false" customHeight="false" outlineLevel="0" collapsed="false">
      <c r="A613" s="78" t="n">
        <f aca="false">IF(E613="","",ROW()-6)</f>
        <v>607</v>
      </c>
      <c r="B613" s="79" t="s">
        <v>586</v>
      </c>
      <c r="C613" s="80"/>
      <c r="D613" s="80"/>
      <c r="E613" s="80" t="s">
        <v>107</v>
      </c>
      <c r="F613" s="80"/>
      <c r="G613" s="80" t="s">
        <v>106</v>
      </c>
      <c r="H613" s="80"/>
      <c r="I613" s="80"/>
      <c r="J613" s="80"/>
      <c r="K613" s="80"/>
      <c r="L613" s="81" t="str">
        <f aca="false">IF(K613="","",IFERROR(INDEX(BARDAGE!$C$7:$C$1506,MATCH(K613,BARDAGE!$B$7:$B$1506,0)),"? hors registre"))</f>
        <v/>
      </c>
      <c r="M613" s="80"/>
      <c r="N613" s="81" t="str">
        <f aca="false">IF(M613="","",IFERROR(INDEX(BARDAGE!$C$7:$C$1506,MATCH(M613,BARDAGE!$B$7:$B$1506,0)),"? hors registre"))</f>
        <v/>
      </c>
      <c r="O613" s="80"/>
      <c r="P613" s="80"/>
      <c r="Q613" s="80"/>
      <c r="R613" s="82"/>
      <c r="S613" s="82"/>
      <c r="T613" s="80"/>
      <c r="U613" s="80"/>
      <c r="V613" s="82"/>
      <c r="W613" s="80"/>
      <c r="X613" s="80"/>
      <c r="Y613" s="80"/>
      <c r="Z613" s="80"/>
      <c r="AA613" s="82"/>
      <c r="AB613" s="80"/>
      <c r="AC613" s="80"/>
      <c r="AD613" s="80"/>
      <c r="AE613" s="80"/>
      <c r="AF613" s="82"/>
      <c r="AG613" s="80"/>
      <c r="AH613" s="80"/>
      <c r="AI613" s="82"/>
      <c r="AJ613" s="79"/>
      <c r="AK613" s="78" t="n">
        <f aca="false">IF(E613="","",(X613&lt;&gt;"")+(AC613&lt;&gt;"")+(AH613&lt;&gt;""))</f>
        <v>0</v>
      </c>
      <c r="AL613" s="81" t="str">
        <f aca="false">IF(AH613&lt;&gt;"",AH613,IF(AC613&lt;&gt;"",AC613,IF(X613&lt;&gt;"",X613,"")))</f>
        <v/>
      </c>
      <c r="AM613" s="83" t="str">
        <f aca="false">IF(E613="","",IF(R613="","À SOUDER",IF(U613="","VT EN ATTENTE",IF(U613="R","VT REJETÉ – À REPRENDRE",IF(AL613="","À RADIOGRAPHIER",IF(AL613="A","ACCEPTÉ",IF(AL613="NX","NX – RT À REFAIRE",IF(IF(AK613=1,Z613,IF(AK613=2,AE613,""))="A","RÉPARÉ – À RADIOGRAPHIER",IF(IF(AK613=1,Z613,IF(AK613=2,AE613,""))="R","VT REJETÉ – À REPRENDRE",IF(OR(AL613="CO",AL613="NT"),"COUPE – À RESOUDER","À RÉPARER"))))))))))</f>
        <v>À SOUDER</v>
      </c>
      <c r="AN613" s="81" t="str">
        <f aca="false">IF(AND(ISNUMBER(R613),OR(AM613="À RADIOGRAPHIER",AM613="RÉPARÉ – À RADIOGRAPHIER",AM613="NX – RT À REFAIRE",AM613="À RÉPARER",AM613="COUPE – À RESOUDER",AM613="VT REJETÉ – À REPRENDRE")),MAX(0,'PROGRAMME RT'!$C$4-R613),"")</f>
        <v/>
      </c>
      <c r="AO613" s="78" t="n">
        <f aca="false">IF(AND(OR(AM613="À RADIOGRAPHIER",AM613="RÉPARÉ – À RADIOGRAPHIER",AM613="NX – RT À REFAIRE"),OR('PROGRAMME RT'!$D$5="TOUTES",B613='PROGRAMME RT'!$D$5)),1,0)</f>
        <v>0</v>
      </c>
      <c r="AP613" s="78" t="str">
        <f aca="false">IF(AO613=1,SUM(AO$7:AO613),"")</f>
        <v/>
      </c>
      <c r="AQ613" s="78" t="n">
        <f aca="false">IF(AND(OR(X613="R",X613="NX",X613="NT",X613="CO"),OR('JOINTS DE RÉPARATION'!$D$5="TOUTES",B613='JOINTS DE RÉPARATION'!$D$5),OR('JOINTS DE RÉPARATION'!$L$4="TOUS",AM613&lt;&gt;"ACCEPTÉ")),1,0)</f>
        <v>0</v>
      </c>
      <c r="AR613" s="78" t="str">
        <f aca="false">IF(AQ613=1,SUM(AQ$7:AQ613),"")</f>
        <v/>
      </c>
    </row>
    <row r="614" customFormat="false" ht="15" hidden="false" customHeight="false" outlineLevel="0" collapsed="false">
      <c r="A614" s="78" t="n">
        <f aca="false">IF(E614="","",ROW()-6)</f>
        <v>608</v>
      </c>
      <c r="B614" s="79" t="s">
        <v>586</v>
      </c>
      <c r="C614" s="80"/>
      <c r="D614" s="80"/>
      <c r="E614" s="80" t="s">
        <v>108</v>
      </c>
      <c r="F614" s="80"/>
      <c r="G614" s="80" t="s">
        <v>106</v>
      </c>
      <c r="H614" s="80"/>
      <c r="I614" s="80"/>
      <c r="J614" s="80"/>
      <c r="K614" s="80"/>
      <c r="L614" s="81" t="str">
        <f aca="false">IF(K614="","",IFERROR(INDEX(BARDAGE!$C$7:$C$1506,MATCH(K614,BARDAGE!$B$7:$B$1506,0)),"? hors registre"))</f>
        <v/>
      </c>
      <c r="M614" s="80"/>
      <c r="N614" s="81" t="str">
        <f aca="false">IF(M614="","",IFERROR(INDEX(BARDAGE!$C$7:$C$1506,MATCH(M614,BARDAGE!$B$7:$B$1506,0)),"? hors registre"))</f>
        <v/>
      </c>
      <c r="O614" s="80"/>
      <c r="P614" s="80"/>
      <c r="Q614" s="80"/>
      <c r="R614" s="82"/>
      <c r="S614" s="82"/>
      <c r="T614" s="80"/>
      <c r="U614" s="80"/>
      <c r="V614" s="82"/>
      <c r="W614" s="80"/>
      <c r="X614" s="80"/>
      <c r="Y614" s="80"/>
      <c r="Z614" s="80"/>
      <c r="AA614" s="82"/>
      <c r="AB614" s="80"/>
      <c r="AC614" s="80"/>
      <c r="AD614" s="80"/>
      <c r="AE614" s="80"/>
      <c r="AF614" s="82"/>
      <c r="AG614" s="80"/>
      <c r="AH614" s="80"/>
      <c r="AI614" s="82"/>
      <c r="AJ614" s="79"/>
      <c r="AK614" s="78" t="n">
        <f aca="false">IF(E614="","",(X614&lt;&gt;"")+(AC614&lt;&gt;"")+(AH614&lt;&gt;""))</f>
        <v>0</v>
      </c>
      <c r="AL614" s="81" t="str">
        <f aca="false">IF(AH614&lt;&gt;"",AH614,IF(AC614&lt;&gt;"",AC614,IF(X614&lt;&gt;"",X614,"")))</f>
        <v/>
      </c>
      <c r="AM614" s="83" t="str">
        <f aca="false">IF(E614="","",IF(R614="","À SOUDER",IF(U614="","VT EN ATTENTE",IF(U614="R","VT REJETÉ – À REPRENDRE",IF(AL614="","À RADIOGRAPHIER",IF(AL614="A","ACCEPTÉ",IF(AL614="NX","NX – RT À REFAIRE",IF(IF(AK614=1,Z614,IF(AK614=2,AE614,""))="A","RÉPARÉ – À RADIOGRAPHIER",IF(IF(AK614=1,Z614,IF(AK614=2,AE614,""))="R","VT REJETÉ – À REPRENDRE",IF(OR(AL614="CO",AL614="NT"),"COUPE – À RESOUDER","À RÉPARER"))))))))))</f>
        <v>À SOUDER</v>
      </c>
      <c r="AN614" s="81" t="str">
        <f aca="false">IF(AND(ISNUMBER(R614),OR(AM614="À RADIOGRAPHIER",AM614="RÉPARÉ – À RADIOGRAPHIER",AM614="NX – RT À REFAIRE",AM614="À RÉPARER",AM614="COUPE – À RESOUDER",AM614="VT REJETÉ – À REPRENDRE")),MAX(0,'PROGRAMME RT'!$C$4-R614),"")</f>
        <v/>
      </c>
      <c r="AO614" s="78" t="n">
        <f aca="false">IF(AND(OR(AM614="À RADIOGRAPHIER",AM614="RÉPARÉ – À RADIOGRAPHIER",AM614="NX – RT À REFAIRE"),OR('PROGRAMME RT'!$D$5="TOUTES",B614='PROGRAMME RT'!$D$5)),1,0)</f>
        <v>0</v>
      </c>
      <c r="AP614" s="78" t="str">
        <f aca="false">IF(AO614=1,SUM(AO$7:AO614),"")</f>
        <v/>
      </c>
      <c r="AQ614" s="78" t="n">
        <f aca="false">IF(AND(OR(X614="R",X614="NX",X614="NT",X614="CO"),OR('JOINTS DE RÉPARATION'!$D$5="TOUTES",B614='JOINTS DE RÉPARATION'!$D$5),OR('JOINTS DE RÉPARATION'!$L$4="TOUS",AM614&lt;&gt;"ACCEPTÉ")),1,0)</f>
        <v>0</v>
      </c>
      <c r="AR614" s="78" t="str">
        <f aca="false">IF(AQ614=1,SUM(AQ$7:AQ614),"")</f>
        <v/>
      </c>
    </row>
    <row r="615" customFormat="false" ht="15" hidden="false" customHeight="false" outlineLevel="0" collapsed="false">
      <c r="A615" s="78" t="n">
        <f aca="false">IF(E615="","",ROW()-6)</f>
        <v>609</v>
      </c>
      <c r="B615" s="79" t="s">
        <v>586</v>
      </c>
      <c r="C615" s="80"/>
      <c r="D615" s="80"/>
      <c r="E615" s="80" t="s">
        <v>109</v>
      </c>
      <c r="F615" s="80"/>
      <c r="G615" s="80" t="s">
        <v>106</v>
      </c>
      <c r="H615" s="80"/>
      <c r="I615" s="80"/>
      <c r="J615" s="80"/>
      <c r="K615" s="80"/>
      <c r="L615" s="81" t="str">
        <f aca="false">IF(K615="","",IFERROR(INDEX(BARDAGE!$C$7:$C$1506,MATCH(K615,BARDAGE!$B$7:$B$1506,0)),"? hors registre"))</f>
        <v/>
      </c>
      <c r="M615" s="80"/>
      <c r="N615" s="81" t="str">
        <f aca="false">IF(M615="","",IFERROR(INDEX(BARDAGE!$C$7:$C$1506,MATCH(M615,BARDAGE!$B$7:$B$1506,0)),"? hors registre"))</f>
        <v/>
      </c>
      <c r="O615" s="80"/>
      <c r="P615" s="80"/>
      <c r="Q615" s="80"/>
      <c r="R615" s="82"/>
      <c r="S615" s="82"/>
      <c r="T615" s="80"/>
      <c r="U615" s="80"/>
      <c r="V615" s="82"/>
      <c r="W615" s="80"/>
      <c r="X615" s="80"/>
      <c r="Y615" s="80"/>
      <c r="Z615" s="80"/>
      <c r="AA615" s="82"/>
      <c r="AB615" s="80"/>
      <c r="AC615" s="80"/>
      <c r="AD615" s="80"/>
      <c r="AE615" s="80"/>
      <c r="AF615" s="82"/>
      <c r="AG615" s="80"/>
      <c r="AH615" s="80"/>
      <c r="AI615" s="82"/>
      <c r="AJ615" s="79"/>
      <c r="AK615" s="78" t="n">
        <f aca="false">IF(E615="","",(X615&lt;&gt;"")+(AC615&lt;&gt;"")+(AH615&lt;&gt;""))</f>
        <v>0</v>
      </c>
      <c r="AL615" s="81" t="str">
        <f aca="false">IF(AH615&lt;&gt;"",AH615,IF(AC615&lt;&gt;"",AC615,IF(X615&lt;&gt;"",X615,"")))</f>
        <v/>
      </c>
      <c r="AM615" s="83" t="str">
        <f aca="false">IF(E615="","",IF(R615="","À SOUDER",IF(U615="","VT EN ATTENTE",IF(U615="R","VT REJETÉ – À REPRENDRE",IF(AL615="","À RADIOGRAPHIER",IF(AL615="A","ACCEPTÉ",IF(AL615="NX","NX – RT À REFAIRE",IF(IF(AK615=1,Z615,IF(AK615=2,AE615,""))="A","RÉPARÉ – À RADIOGRAPHIER",IF(IF(AK615=1,Z615,IF(AK615=2,AE615,""))="R","VT REJETÉ – À REPRENDRE",IF(OR(AL615="CO",AL615="NT"),"COUPE – À RESOUDER","À RÉPARER"))))))))))</f>
        <v>À SOUDER</v>
      </c>
      <c r="AN615" s="81" t="str">
        <f aca="false">IF(AND(ISNUMBER(R615),OR(AM615="À RADIOGRAPHIER",AM615="RÉPARÉ – À RADIOGRAPHIER",AM615="NX – RT À REFAIRE",AM615="À RÉPARER",AM615="COUPE – À RESOUDER",AM615="VT REJETÉ – À REPRENDRE")),MAX(0,'PROGRAMME RT'!$C$4-R615),"")</f>
        <v/>
      </c>
      <c r="AO615" s="78" t="n">
        <f aca="false">IF(AND(OR(AM615="À RADIOGRAPHIER",AM615="RÉPARÉ – À RADIOGRAPHIER",AM615="NX – RT À REFAIRE"),OR('PROGRAMME RT'!$D$5="TOUTES",B615='PROGRAMME RT'!$D$5)),1,0)</f>
        <v>0</v>
      </c>
      <c r="AP615" s="78" t="str">
        <f aca="false">IF(AO615=1,SUM(AO$7:AO615),"")</f>
        <v/>
      </c>
      <c r="AQ615" s="78" t="n">
        <f aca="false">IF(AND(OR(X615="R",X615="NX",X615="NT",X615="CO"),OR('JOINTS DE RÉPARATION'!$D$5="TOUTES",B615='JOINTS DE RÉPARATION'!$D$5),OR('JOINTS DE RÉPARATION'!$L$4="TOUS",AM615&lt;&gt;"ACCEPTÉ")),1,0)</f>
        <v>0</v>
      </c>
      <c r="AR615" s="78" t="str">
        <f aca="false">IF(AQ615=1,SUM(AQ$7:AQ615),"")</f>
        <v/>
      </c>
    </row>
    <row r="616" customFormat="false" ht="15" hidden="false" customHeight="false" outlineLevel="0" collapsed="false">
      <c r="A616" s="78" t="n">
        <f aca="false">IF(E616="","",ROW()-6)</f>
        <v>610</v>
      </c>
      <c r="B616" s="79" t="s">
        <v>586</v>
      </c>
      <c r="C616" s="80"/>
      <c r="D616" s="80"/>
      <c r="E616" s="80" t="s">
        <v>110</v>
      </c>
      <c r="F616" s="80"/>
      <c r="G616" s="80" t="s">
        <v>106</v>
      </c>
      <c r="H616" s="80"/>
      <c r="I616" s="80"/>
      <c r="J616" s="80"/>
      <c r="K616" s="80"/>
      <c r="L616" s="81" t="str">
        <f aca="false">IF(K616="","",IFERROR(INDEX(BARDAGE!$C$7:$C$1506,MATCH(K616,BARDAGE!$B$7:$B$1506,0)),"? hors registre"))</f>
        <v/>
      </c>
      <c r="M616" s="80"/>
      <c r="N616" s="81" t="str">
        <f aca="false">IF(M616="","",IFERROR(INDEX(BARDAGE!$C$7:$C$1506,MATCH(M616,BARDAGE!$B$7:$B$1506,0)),"? hors registre"))</f>
        <v/>
      </c>
      <c r="O616" s="80"/>
      <c r="P616" s="80"/>
      <c r="Q616" s="80"/>
      <c r="R616" s="82"/>
      <c r="S616" s="82"/>
      <c r="T616" s="80"/>
      <c r="U616" s="80"/>
      <c r="V616" s="82"/>
      <c r="W616" s="80"/>
      <c r="X616" s="80"/>
      <c r="Y616" s="80"/>
      <c r="Z616" s="80"/>
      <c r="AA616" s="82"/>
      <c r="AB616" s="80"/>
      <c r="AC616" s="80"/>
      <c r="AD616" s="80"/>
      <c r="AE616" s="80"/>
      <c r="AF616" s="82"/>
      <c r="AG616" s="80"/>
      <c r="AH616" s="80"/>
      <c r="AI616" s="82"/>
      <c r="AJ616" s="79"/>
      <c r="AK616" s="78" t="n">
        <f aca="false">IF(E616="","",(X616&lt;&gt;"")+(AC616&lt;&gt;"")+(AH616&lt;&gt;""))</f>
        <v>0</v>
      </c>
      <c r="AL616" s="81" t="str">
        <f aca="false">IF(AH616&lt;&gt;"",AH616,IF(AC616&lt;&gt;"",AC616,IF(X616&lt;&gt;"",X616,"")))</f>
        <v/>
      </c>
      <c r="AM616" s="83" t="str">
        <f aca="false">IF(E616="","",IF(R616="","À SOUDER",IF(U616="","VT EN ATTENTE",IF(U616="R","VT REJETÉ – À REPRENDRE",IF(AL616="","À RADIOGRAPHIER",IF(AL616="A","ACCEPTÉ",IF(AL616="NX","NX – RT À REFAIRE",IF(IF(AK616=1,Z616,IF(AK616=2,AE616,""))="A","RÉPARÉ – À RADIOGRAPHIER",IF(IF(AK616=1,Z616,IF(AK616=2,AE616,""))="R","VT REJETÉ – À REPRENDRE",IF(OR(AL616="CO",AL616="NT"),"COUPE – À RESOUDER","À RÉPARER"))))))))))</f>
        <v>À SOUDER</v>
      </c>
      <c r="AN616" s="81" t="str">
        <f aca="false">IF(AND(ISNUMBER(R616),OR(AM616="À RADIOGRAPHIER",AM616="RÉPARÉ – À RADIOGRAPHIER",AM616="NX – RT À REFAIRE",AM616="À RÉPARER",AM616="COUPE – À RESOUDER",AM616="VT REJETÉ – À REPRENDRE")),MAX(0,'PROGRAMME RT'!$C$4-R616),"")</f>
        <v/>
      </c>
      <c r="AO616" s="78" t="n">
        <f aca="false">IF(AND(OR(AM616="À RADIOGRAPHIER",AM616="RÉPARÉ – À RADIOGRAPHIER",AM616="NX – RT À REFAIRE"),OR('PROGRAMME RT'!$D$5="TOUTES",B616='PROGRAMME RT'!$D$5)),1,0)</f>
        <v>0</v>
      </c>
      <c r="AP616" s="78" t="str">
        <f aca="false">IF(AO616=1,SUM(AO$7:AO616),"")</f>
        <v/>
      </c>
      <c r="AQ616" s="78" t="n">
        <f aca="false">IF(AND(OR(X616="R",X616="NX",X616="NT",X616="CO"),OR('JOINTS DE RÉPARATION'!$D$5="TOUTES",B616='JOINTS DE RÉPARATION'!$D$5),OR('JOINTS DE RÉPARATION'!$L$4="TOUS",AM616&lt;&gt;"ACCEPTÉ")),1,0)</f>
        <v>0</v>
      </c>
      <c r="AR616" s="78" t="str">
        <f aca="false">IF(AQ616=1,SUM(AQ$7:AQ616),"")</f>
        <v/>
      </c>
    </row>
    <row r="617" customFormat="false" ht="15" hidden="false" customHeight="false" outlineLevel="0" collapsed="false">
      <c r="A617" s="78" t="n">
        <f aca="false">IF(E617="","",ROW()-6)</f>
        <v>611</v>
      </c>
      <c r="B617" s="79" t="s">
        <v>586</v>
      </c>
      <c r="C617" s="80"/>
      <c r="D617" s="80"/>
      <c r="E617" s="80" t="s">
        <v>113</v>
      </c>
      <c r="F617" s="80"/>
      <c r="G617" s="80" t="s">
        <v>106</v>
      </c>
      <c r="H617" s="80"/>
      <c r="I617" s="80"/>
      <c r="J617" s="80"/>
      <c r="K617" s="80"/>
      <c r="L617" s="81" t="str">
        <f aca="false">IF(K617="","",IFERROR(INDEX(BARDAGE!$C$7:$C$1506,MATCH(K617,BARDAGE!$B$7:$B$1506,0)),"? hors registre"))</f>
        <v/>
      </c>
      <c r="M617" s="80"/>
      <c r="N617" s="81" t="str">
        <f aca="false">IF(M617="","",IFERROR(INDEX(BARDAGE!$C$7:$C$1506,MATCH(M617,BARDAGE!$B$7:$B$1506,0)),"? hors registre"))</f>
        <v/>
      </c>
      <c r="O617" s="80"/>
      <c r="P617" s="80"/>
      <c r="Q617" s="80"/>
      <c r="R617" s="82"/>
      <c r="S617" s="82"/>
      <c r="T617" s="80"/>
      <c r="U617" s="80"/>
      <c r="V617" s="82"/>
      <c r="W617" s="80"/>
      <c r="X617" s="80"/>
      <c r="Y617" s="80"/>
      <c r="Z617" s="80"/>
      <c r="AA617" s="82"/>
      <c r="AB617" s="80"/>
      <c r="AC617" s="80"/>
      <c r="AD617" s="80"/>
      <c r="AE617" s="80"/>
      <c r="AF617" s="82"/>
      <c r="AG617" s="80"/>
      <c r="AH617" s="80"/>
      <c r="AI617" s="82"/>
      <c r="AJ617" s="79"/>
      <c r="AK617" s="78" t="n">
        <f aca="false">IF(E617="","",(X617&lt;&gt;"")+(AC617&lt;&gt;"")+(AH617&lt;&gt;""))</f>
        <v>0</v>
      </c>
      <c r="AL617" s="81" t="str">
        <f aca="false">IF(AH617&lt;&gt;"",AH617,IF(AC617&lt;&gt;"",AC617,IF(X617&lt;&gt;"",X617,"")))</f>
        <v/>
      </c>
      <c r="AM617" s="83" t="str">
        <f aca="false">IF(E617="","",IF(R617="","À SOUDER",IF(U617="","VT EN ATTENTE",IF(U617="R","VT REJETÉ – À REPRENDRE",IF(AL617="","À RADIOGRAPHIER",IF(AL617="A","ACCEPTÉ",IF(AL617="NX","NX – RT À REFAIRE",IF(IF(AK617=1,Z617,IF(AK617=2,AE617,""))="A","RÉPARÉ – À RADIOGRAPHIER",IF(IF(AK617=1,Z617,IF(AK617=2,AE617,""))="R","VT REJETÉ – À REPRENDRE",IF(OR(AL617="CO",AL617="NT"),"COUPE – À RESOUDER","À RÉPARER"))))))))))</f>
        <v>À SOUDER</v>
      </c>
      <c r="AN617" s="81" t="str">
        <f aca="false">IF(AND(ISNUMBER(R617),OR(AM617="À RADIOGRAPHIER",AM617="RÉPARÉ – À RADIOGRAPHIER",AM617="NX – RT À REFAIRE",AM617="À RÉPARER",AM617="COUPE – À RESOUDER",AM617="VT REJETÉ – À REPRENDRE")),MAX(0,'PROGRAMME RT'!$C$4-R617),"")</f>
        <v/>
      </c>
      <c r="AO617" s="78" t="n">
        <f aca="false">IF(AND(OR(AM617="À RADIOGRAPHIER",AM617="RÉPARÉ – À RADIOGRAPHIER",AM617="NX – RT À REFAIRE"),OR('PROGRAMME RT'!$D$5="TOUTES",B617='PROGRAMME RT'!$D$5)),1,0)</f>
        <v>0</v>
      </c>
      <c r="AP617" s="78" t="str">
        <f aca="false">IF(AO617=1,SUM(AO$7:AO617),"")</f>
        <v/>
      </c>
      <c r="AQ617" s="78" t="n">
        <f aca="false">IF(AND(OR(X617="R",X617="NX",X617="NT",X617="CO"),OR('JOINTS DE RÉPARATION'!$D$5="TOUTES",B617='JOINTS DE RÉPARATION'!$D$5),OR('JOINTS DE RÉPARATION'!$L$4="TOUS",AM617&lt;&gt;"ACCEPTÉ")),1,0)</f>
        <v>0</v>
      </c>
      <c r="AR617" s="78" t="str">
        <f aca="false">IF(AQ617=1,SUM(AQ$7:AQ617),"")</f>
        <v/>
      </c>
    </row>
    <row r="618" customFormat="false" ht="15" hidden="false" customHeight="false" outlineLevel="0" collapsed="false">
      <c r="A618" s="78" t="n">
        <f aca="false">IF(E618="","",ROW()-6)</f>
        <v>612</v>
      </c>
      <c r="B618" s="79" t="s">
        <v>586</v>
      </c>
      <c r="C618" s="80"/>
      <c r="D618" s="80"/>
      <c r="E618" s="80" t="s">
        <v>120</v>
      </c>
      <c r="F618" s="80"/>
      <c r="G618" s="80" t="s">
        <v>106</v>
      </c>
      <c r="H618" s="80"/>
      <c r="I618" s="80"/>
      <c r="J618" s="80"/>
      <c r="K618" s="80"/>
      <c r="L618" s="81" t="str">
        <f aca="false">IF(K618="","",IFERROR(INDEX(BARDAGE!$C$7:$C$1506,MATCH(K618,BARDAGE!$B$7:$B$1506,0)),"? hors registre"))</f>
        <v/>
      </c>
      <c r="M618" s="80"/>
      <c r="N618" s="81" t="str">
        <f aca="false">IF(M618="","",IFERROR(INDEX(BARDAGE!$C$7:$C$1506,MATCH(M618,BARDAGE!$B$7:$B$1506,0)),"? hors registre"))</f>
        <v/>
      </c>
      <c r="O618" s="80"/>
      <c r="P618" s="80"/>
      <c r="Q618" s="80"/>
      <c r="R618" s="82"/>
      <c r="S618" s="82"/>
      <c r="T618" s="80"/>
      <c r="U618" s="80"/>
      <c r="V618" s="82"/>
      <c r="W618" s="80"/>
      <c r="X618" s="80"/>
      <c r="Y618" s="80"/>
      <c r="Z618" s="80"/>
      <c r="AA618" s="82"/>
      <c r="AB618" s="80"/>
      <c r="AC618" s="80"/>
      <c r="AD618" s="80"/>
      <c r="AE618" s="80"/>
      <c r="AF618" s="82"/>
      <c r="AG618" s="80"/>
      <c r="AH618" s="80"/>
      <c r="AI618" s="82"/>
      <c r="AJ618" s="79"/>
      <c r="AK618" s="78" t="n">
        <f aca="false">IF(E618="","",(X618&lt;&gt;"")+(AC618&lt;&gt;"")+(AH618&lt;&gt;""))</f>
        <v>0</v>
      </c>
      <c r="AL618" s="81" t="str">
        <f aca="false">IF(AH618&lt;&gt;"",AH618,IF(AC618&lt;&gt;"",AC618,IF(X618&lt;&gt;"",X618,"")))</f>
        <v/>
      </c>
      <c r="AM618" s="83" t="str">
        <f aca="false">IF(E618="","",IF(R618="","À SOUDER",IF(U618="","VT EN ATTENTE",IF(U618="R","VT REJETÉ – À REPRENDRE",IF(AL618="","À RADIOGRAPHIER",IF(AL618="A","ACCEPTÉ",IF(AL618="NX","NX – RT À REFAIRE",IF(IF(AK618=1,Z618,IF(AK618=2,AE618,""))="A","RÉPARÉ – À RADIOGRAPHIER",IF(IF(AK618=1,Z618,IF(AK618=2,AE618,""))="R","VT REJETÉ – À REPRENDRE",IF(OR(AL618="CO",AL618="NT"),"COUPE – À RESOUDER","À RÉPARER"))))))))))</f>
        <v>À SOUDER</v>
      </c>
      <c r="AN618" s="81" t="str">
        <f aca="false">IF(AND(ISNUMBER(R618),OR(AM618="À RADIOGRAPHIER",AM618="RÉPARÉ – À RADIOGRAPHIER",AM618="NX – RT À REFAIRE",AM618="À RÉPARER",AM618="COUPE – À RESOUDER",AM618="VT REJETÉ – À REPRENDRE")),MAX(0,'PROGRAMME RT'!$C$4-R618),"")</f>
        <v/>
      </c>
      <c r="AO618" s="78" t="n">
        <f aca="false">IF(AND(OR(AM618="À RADIOGRAPHIER",AM618="RÉPARÉ – À RADIOGRAPHIER",AM618="NX – RT À REFAIRE"),OR('PROGRAMME RT'!$D$5="TOUTES",B618='PROGRAMME RT'!$D$5)),1,0)</f>
        <v>0</v>
      </c>
      <c r="AP618" s="78" t="str">
        <f aca="false">IF(AO618=1,SUM(AO$7:AO618),"")</f>
        <v/>
      </c>
      <c r="AQ618" s="78" t="n">
        <f aca="false">IF(AND(OR(X618="R",X618="NX",X618="NT",X618="CO"),OR('JOINTS DE RÉPARATION'!$D$5="TOUTES",B618='JOINTS DE RÉPARATION'!$D$5),OR('JOINTS DE RÉPARATION'!$L$4="TOUS",AM618&lt;&gt;"ACCEPTÉ")),1,0)</f>
        <v>0</v>
      </c>
      <c r="AR618" s="78" t="str">
        <f aca="false">IF(AQ618=1,SUM(AQ$7:AQ618),"")</f>
        <v/>
      </c>
    </row>
    <row r="619" customFormat="false" ht="15" hidden="false" customHeight="false" outlineLevel="0" collapsed="false">
      <c r="A619" s="78" t="n">
        <f aca="false">IF(E619="","",ROW()-6)</f>
        <v>613</v>
      </c>
      <c r="B619" s="79" t="s">
        <v>586</v>
      </c>
      <c r="C619" s="80"/>
      <c r="D619" s="80"/>
      <c r="E619" s="80" t="s">
        <v>123</v>
      </c>
      <c r="F619" s="80"/>
      <c r="G619" s="80" t="s">
        <v>106</v>
      </c>
      <c r="H619" s="80"/>
      <c r="I619" s="80"/>
      <c r="J619" s="80"/>
      <c r="K619" s="80"/>
      <c r="L619" s="81" t="str">
        <f aca="false">IF(K619="","",IFERROR(INDEX(BARDAGE!$C$7:$C$1506,MATCH(K619,BARDAGE!$B$7:$B$1506,0)),"? hors registre"))</f>
        <v/>
      </c>
      <c r="M619" s="80"/>
      <c r="N619" s="81" t="str">
        <f aca="false">IF(M619="","",IFERROR(INDEX(BARDAGE!$C$7:$C$1506,MATCH(M619,BARDAGE!$B$7:$B$1506,0)),"? hors registre"))</f>
        <v/>
      </c>
      <c r="O619" s="80"/>
      <c r="P619" s="80"/>
      <c r="Q619" s="80"/>
      <c r="R619" s="82"/>
      <c r="S619" s="82"/>
      <c r="T619" s="80"/>
      <c r="U619" s="80"/>
      <c r="V619" s="82"/>
      <c r="W619" s="80"/>
      <c r="X619" s="80"/>
      <c r="Y619" s="80"/>
      <c r="Z619" s="80"/>
      <c r="AA619" s="82"/>
      <c r="AB619" s="80"/>
      <c r="AC619" s="80"/>
      <c r="AD619" s="80"/>
      <c r="AE619" s="80"/>
      <c r="AF619" s="82"/>
      <c r="AG619" s="80"/>
      <c r="AH619" s="80"/>
      <c r="AI619" s="82"/>
      <c r="AJ619" s="79"/>
      <c r="AK619" s="78" t="n">
        <f aca="false">IF(E619="","",(X619&lt;&gt;"")+(AC619&lt;&gt;"")+(AH619&lt;&gt;""))</f>
        <v>0</v>
      </c>
      <c r="AL619" s="81" t="str">
        <f aca="false">IF(AH619&lt;&gt;"",AH619,IF(AC619&lt;&gt;"",AC619,IF(X619&lt;&gt;"",X619,"")))</f>
        <v/>
      </c>
      <c r="AM619" s="83" t="str">
        <f aca="false">IF(E619="","",IF(R619="","À SOUDER",IF(U619="","VT EN ATTENTE",IF(U619="R","VT REJETÉ – À REPRENDRE",IF(AL619="","À RADIOGRAPHIER",IF(AL619="A","ACCEPTÉ",IF(AL619="NX","NX – RT À REFAIRE",IF(IF(AK619=1,Z619,IF(AK619=2,AE619,""))="A","RÉPARÉ – À RADIOGRAPHIER",IF(IF(AK619=1,Z619,IF(AK619=2,AE619,""))="R","VT REJETÉ – À REPRENDRE",IF(OR(AL619="CO",AL619="NT"),"COUPE – À RESOUDER","À RÉPARER"))))))))))</f>
        <v>À SOUDER</v>
      </c>
      <c r="AN619" s="81" t="str">
        <f aca="false">IF(AND(ISNUMBER(R619),OR(AM619="À RADIOGRAPHIER",AM619="RÉPARÉ – À RADIOGRAPHIER",AM619="NX – RT À REFAIRE",AM619="À RÉPARER",AM619="COUPE – À RESOUDER",AM619="VT REJETÉ – À REPRENDRE")),MAX(0,'PROGRAMME RT'!$C$4-R619),"")</f>
        <v/>
      </c>
      <c r="AO619" s="78" t="n">
        <f aca="false">IF(AND(OR(AM619="À RADIOGRAPHIER",AM619="RÉPARÉ – À RADIOGRAPHIER",AM619="NX – RT À REFAIRE"),OR('PROGRAMME RT'!$D$5="TOUTES",B619='PROGRAMME RT'!$D$5)),1,0)</f>
        <v>0</v>
      </c>
      <c r="AP619" s="78" t="str">
        <f aca="false">IF(AO619=1,SUM(AO$7:AO619),"")</f>
        <v/>
      </c>
      <c r="AQ619" s="78" t="n">
        <f aca="false">IF(AND(OR(X619="R",X619="NX",X619="NT",X619="CO"),OR('JOINTS DE RÉPARATION'!$D$5="TOUTES",B619='JOINTS DE RÉPARATION'!$D$5),OR('JOINTS DE RÉPARATION'!$L$4="TOUS",AM619&lt;&gt;"ACCEPTÉ")),1,0)</f>
        <v>0</v>
      </c>
      <c r="AR619" s="78" t="str">
        <f aca="false">IF(AQ619=1,SUM(AQ$7:AQ619),"")</f>
        <v/>
      </c>
    </row>
    <row r="620" customFormat="false" ht="15" hidden="false" customHeight="false" outlineLevel="0" collapsed="false">
      <c r="A620" s="78" t="n">
        <f aca="false">IF(E620="","",ROW()-6)</f>
        <v>614</v>
      </c>
      <c r="B620" s="79" t="s">
        <v>586</v>
      </c>
      <c r="C620" s="80"/>
      <c r="D620" s="80"/>
      <c r="E620" s="80" t="s">
        <v>126</v>
      </c>
      <c r="F620" s="80"/>
      <c r="G620" s="80" t="s">
        <v>106</v>
      </c>
      <c r="H620" s="80"/>
      <c r="I620" s="80"/>
      <c r="J620" s="80"/>
      <c r="K620" s="80"/>
      <c r="L620" s="81" t="str">
        <f aca="false">IF(K620="","",IFERROR(INDEX(BARDAGE!$C$7:$C$1506,MATCH(K620,BARDAGE!$B$7:$B$1506,0)),"? hors registre"))</f>
        <v/>
      </c>
      <c r="M620" s="80"/>
      <c r="N620" s="81" t="str">
        <f aca="false">IF(M620="","",IFERROR(INDEX(BARDAGE!$C$7:$C$1506,MATCH(M620,BARDAGE!$B$7:$B$1506,0)),"? hors registre"))</f>
        <v/>
      </c>
      <c r="O620" s="80"/>
      <c r="P620" s="80"/>
      <c r="Q620" s="80"/>
      <c r="R620" s="82"/>
      <c r="S620" s="82"/>
      <c r="T620" s="80"/>
      <c r="U620" s="80"/>
      <c r="V620" s="82"/>
      <c r="W620" s="80"/>
      <c r="X620" s="80"/>
      <c r="Y620" s="80"/>
      <c r="Z620" s="80"/>
      <c r="AA620" s="82"/>
      <c r="AB620" s="80"/>
      <c r="AC620" s="80"/>
      <c r="AD620" s="80"/>
      <c r="AE620" s="80"/>
      <c r="AF620" s="82"/>
      <c r="AG620" s="80"/>
      <c r="AH620" s="80"/>
      <c r="AI620" s="82"/>
      <c r="AJ620" s="79"/>
      <c r="AK620" s="78" t="n">
        <f aca="false">IF(E620="","",(X620&lt;&gt;"")+(AC620&lt;&gt;"")+(AH620&lt;&gt;""))</f>
        <v>0</v>
      </c>
      <c r="AL620" s="81" t="str">
        <f aca="false">IF(AH620&lt;&gt;"",AH620,IF(AC620&lt;&gt;"",AC620,IF(X620&lt;&gt;"",X620,"")))</f>
        <v/>
      </c>
      <c r="AM620" s="83" t="str">
        <f aca="false">IF(E620="","",IF(R620="","À SOUDER",IF(U620="","VT EN ATTENTE",IF(U620="R","VT REJETÉ – À REPRENDRE",IF(AL620="","À RADIOGRAPHIER",IF(AL620="A","ACCEPTÉ",IF(AL620="NX","NX – RT À REFAIRE",IF(IF(AK620=1,Z620,IF(AK620=2,AE620,""))="A","RÉPARÉ – À RADIOGRAPHIER",IF(IF(AK620=1,Z620,IF(AK620=2,AE620,""))="R","VT REJETÉ – À REPRENDRE",IF(OR(AL620="CO",AL620="NT"),"COUPE – À RESOUDER","À RÉPARER"))))))))))</f>
        <v>À SOUDER</v>
      </c>
      <c r="AN620" s="81" t="str">
        <f aca="false">IF(AND(ISNUMBER(R620),OR(AM620="À RADIOGRAPHIER",AM620="RÉPARÉ – À RADIOGRAPHIER",AM620="NX – RT À REFAIRE",AM620="À RÉPARER",AM620="COUPE – À RESOUDER",AM620="VT REJETÉ – À REPRENDRE")),MAX(0,'PROGRAMME RT'!$C$4-R620),"")</f>
        <v/>
      </c>
      <c r="AO620" s="78" t="n">
        <f aca="false">IF(AND(OR(AM620="À RADIOGRAPHIER",AM620="RÉPARÉ – À RADIOGRAPHIER",AM620="NX – RT À REFAIRE"),OR('PROGRAMME RT'!$D$5="TOUTES",B620='PROGRAMME RT'!$D$5)),1,0)</f>
        <v>0</v>
      </c>
      <c r="AP620" s="78" t="str">
        <f aca="false">IF(AO620=1,SUM(AO$7:AO620),"")</f>
        <v/>
      </c>
      <c r="AQ620" s="78" t="n">
        <f aca="false">IF(AND(OR(X620="R",X620="NX",X620="NT",X620="CO"),OR('JOINTS DE RÉPARATION'!$D$5="TOUTES",B620='JOINTS DE RÉPARATION'!$D$5),OR('JOINTS DE RÉPARATION'!$L$4="TOUS",AM620&lt;&gt;"ACCEPTÉ")),1,0)</f>
        <v>0</v>
      </c>
      <c r="AR620" s="78" t="str">
        <f aca="false">IF(AQ620=1,SUM(AQ$7:AQ620),"")</f>
        <v/>
      </c>
    </row>
    <row r="621" customFormat="false" ht="15" hidden="false" customHeight="false" outlineLevel="0" collapsed="false">
      <c r="A621" s="78" t="n">
        <f aca="false">IF(E621="","",ROW()-6)</f>
        <v>615</v>
      </c>
      <c r="B621" s="79" t="s">
        <v>586</v>
      </c>
      <c r="C621" s="80"/>
      <c r="D621" s="80"/>
      <c r="E621" s="80" t="s">
        <v>131</v>
      </c>
      <c r="F621" s="80"/>
      <c r="G621" s="80" t="s">
        <v>106</v>
      </c>
      <c r="H621" s="80"/>
      <c r="I621" s="80"/>
      <c r="J621" s="80"/>
      <c r="K621" s="80"/>
      <c r="L621" s="81" t="str">
        <f aca="false">IF(K621="","",IFERROR(INDEX(BARDAGE!$C$7:$C$1506,MATCH(K621,BARDAGE!$B$7:$B$1506,0)),"? hors registre"))</f>
        <v/>
      </c>
      <c r="M621" s="80"/>
      <c r="N621" s="81" t="str">
        <f aca="false">IF(M621="","",IFERROR(INDEX(BARDAGE!$C$7:$C$1506,MATCH(M621,BARDAGE!$B$7:$B$1506,0)),"? hors registre"))</f>
        <v/>
      </c>
      <c r="O621" s="80"/>
      <c r="P621" s="80"/>
      <c r="Q621" s="80"/>
      <c r="R621" s="82"/>
      <c r="S621" s="82"/>
      <c r="T621" s="80"/>
      <c r="U621" s="80"/>
      <c r="V621" s="82"/>
      <c r="W621" s="80"/>
      <c r="X621" s="80"/>
      <c r="Y621" s="80"/>
      <c r="Z621" s="80"/>
      <c r="AA621" s="82"/>
      <c r="AB621" s="80"/>
      <c r="AC621" s="80"/>
      <c r="AD621" s="80"/>
      <c r="AE621" s="80"/>
      <c r="AF621" s="82"/>
      <c r="AG621" s="80"/>
      <c r="AH621" s="80"/>
      <c r="AI621" s="82"/>
      <c r="AJ621" s="79"/>
      <c r="AK621" s="78" t="n">
        <f aca="false">IF(E621="","",(X621&lt;&gt;"")+(AC621&lt;&gt;"")+(AH621&lt;&gt;""))</f>
        <v>0</v>
      </c>
      <c r="AL621" s="81" t="str">
        <f aca="false">IF(AH621&lt;&gt;"",AH621,IF(AC621&lt;&gt;"",AC621,IF(X621&lt;&gt;"",X621,"")))</f>
        <v/>
      </c>
      <c r="AM621" s="83" t="str">
        <f aca="false">IF(E621="","",IF(R621="","À SOUDER",IF(U621="","VT EN ATTENTE",IF(U621="R","VT REJETÉ – À REPRENDRE",IF(AL621="","À RADIOGRAPHIER",IF(AL621="A","ACCEPTÉ",IF(AL621="NX","NX – RT À REFAIRE",IF(IF(AK621=1,Z621,IF(AK621=2,AE621,""))="A","RÉPARÉ – À RADIOGRAPHIER",IF(IF(AK621=1,Z621,IF(AK621=2,AE621,""))="R","VT REJETÉ – À REPRENDRE",IF(OR(AL621="CO",AL621="NT"),"COUPE – À RESOUDER","À RÉPARER"))))))))))</f>
        <v>À SOUDER</v>
      </c>
      <c r="AN621" s="81" t="str">
        <f aca="false">IF(AND(ISNUMBER(R621),OR(AM621="À RADIOGRAPHIER",AM621="RÉPARÉ – À RADIOGRAPHIER",AM621="NX – RT À REFAIRE",AM621="À RÉPARER",AM621="COUPE – À RESOUDER",AM621="VT REJETÉ – À REPRENDRE")),MAX(0,'PROGRAMME RT'!$C$4-R621),"")</f>
        <v/>
      </c>
      <c r="AO621" s="78" t="n">
        <f aca="false">IF(AND(OR(AM621="À RADIOGRAPHIER",AM621="RÉPARÉ – À RADIOGRAPHIER",AM621="NX – RT À REFAIRE"),OR('PROGRAMME RT'!$D$5="TOUTES",B621='PROGRAMME RT'!$D$5)),1,0)</f>
        <v>0</v>
      </c>
      <c r="AP621" s="78" t="str">
        <f aca="false">IF(AO621=1,SUM(AO$7:AO621),"")</f>
        <v/>
      </c>
      <c r="AQ621" s="78" t="n">
        <f aca="false">IF(AND(OR(X621="R",X621="NX",X621="NT",X621="CO"),OR('JOINTS DE RÉPARATION'!$D$5="TOUTES",B621='JOINTS DE RÉPARATION'!$D$5),OR('JOINTS DE RÉPARATION'!$L$4="TOUS",AM621&lt;&gt;"ACCEPTÉ")),1,0)</f>
        <v>0</v>
      </c>
      <c r="AR621" s="78" t="str">
        <f aca="false">IF(AQ621=1,SUM(AQ$7:AQ621),"")</f>
        <v/>
      </c>
    </row>
    <row r="622" customFormat="false" ht="15" hidden="false" customHeight="false" outlineLevel="0" collapsed="false">
      <c r="A622" s="78" t="n">
        <f aca="false">IF(E622="","",ROW()-6)</f>
        <v>616</v>
      </c>
      <c r="B622" s="79" t="s">
        <v>586</v>
      </c>
      <c r="C622" s="80"/>
      <c r="D622" s="80"/>
      <c r="E622" s="80" t="s">
        <v>137</v>
      </c>
      <c r="F622" s="80"/>
      <c r="G622" s="80" t="s">
        <v>106</v>
      </c>
      <c r="H622" s="80"/>
      <c r="I622" s="80"/>
      <c r="J622" s="80"/>
      <c r="K622" s="80"/>
      <c r="L622" s="81" t="str">
        <f aca="false">IF(K622="","",IFERROR(INDEX(BARDAGE!$C$7:$C$1506,MATCH(K622,BARDAGE!$B$7:$B$1506,0)),"? hors registre"))</f>
        <v/>
      </c>
      <c r="M622" s="80"/>
      <c r="N622" s="81" t="str">
        <f aca="false">IF(M622="","",IFERROR(INDEX(BARDAGE!$C$7:$C$1506,MATCH(M622,BARDAGE!$B$7:$B$1506,0)),"? hors registre"))</f>
        <v/>
      </c>
      <c r="O622" s="80"/>
      <c r="P622" s="80"/>
      <c r="Q622" s="80"/>
      <c r="R622" s="82"/>
      <c r="S622" s="82"/>
      <c r="T622" s="80"/>
      <c r="U622" s="80"/>
      <c r="V622" s="82"/>
      <c r="W622" s="80"/>
      <c r="X622" s="80"/>
      <c r="Y622" s="80"/>
      <c r="Z622" s="80"/>
      <c r="AA622" s="82"/>
      <c r="AB622" s="80"/>
      <c r="AC622" s="80"/>
      <c r="AD622" s="80"/>
      <c r="AE622" s="80"/>
      <c r="AF622" s="82"/>
      <c r="AG622" s="80"/>
      <c r="AH622" s="80"/>
      <c r="AI622" s="82"/>
      <c r="AJ622" s="79"/>
      <c r="AK622" s="78" t="n">
        <f aca="false">IF(E622="","",(X622&lt;&gt;"")+(AC622&lt;&gt;"")+(AH622&lt;&gt;""))</f>
        <v>0</v>
      </c>
      <c r="AL622" s="81" t="str">
        <f aca="false">IF(AH622&lt;&gt;"",AH622,IF(AC622&lt;&gt;"",AC622,IF(X622&lt;&gt;"",X622,"")))</f>
        <v/>
      </c>
      <c r="AM622" s="83" t="str">
        <f aca="false">IF(E622="","",IF(R622="","À SOUDER",IF(U622="","VT EN ATTENTE",IF(U622="R","VT REJETÉ – À REPRENDRE",IF(AL622="","À RADIOGRAPHIER",IF(AL622="A","ACCEPTÉ",IF(AL622="NX","NX – RT À REFAIRE",IF(IF(AK622=1,Z622,IF(AK622=2,AE622,""))="A","RÉPARÉ – À RADIOGRAPHIER",IF(IF(AK622=1,Z622,IF(AK622=2,AE622,""))="R","VT REJETÉ – À REPRENDRE",IF(OR(AL622="CO",AL622="NT"),"COUPE – À RESOUDER","À RÉPARER"))))))))))</f>
        <v>À SOUDER</v>
      </c>
      <c r="AN622" s="81" t="str">
        <f aca="false">IF(AND(ISNUMBER(R622),OR(AM622="À RADIOGRAPHIER",AM622="RÉPARÉ – À RADIOGRAPHIER",AM622="NX – RT À REFAIRE",AM622="À RÉPARER",AM622="COUPE – À RESOUDER",AM622="VT REJETÉ – À REPRENDRE")),MAX(0,'PROGRAMME RT'!$C$4-R622),"")</f>
        <v/>
      </c>
      <c r="AO622" s="78" t="n">
        <f aca="false">IF(AND(OR(AM622="À RADIOGRAPHIER",AM622="RÉPARÉ – À RADIOGRAPHIER",AM622="NX – RT À REFAIRE"),OR('PROGRAMME RT'!$D$5="TOUTES",B622='PROGRAMME RT'!$D$5)),1,0)</f>
        <v>0</v>
      </c>
      <c r="AP622" s="78" t="str">
        <f aca="false">IF(AO622=1,SUM(AO$7:AO622),"")</f>
        <v/>
      </c>
      <c r="AQ622" s="78" t="n">
        <f aca="false">IF(AND(OR(X622="R",X622="NX",X622="NT",X622="CO"),OR('JOINTS DE RÉPARATION'!$D$5="TOUTES",B622='JOINTS DE RÉPARATION'!$D$5),OR('JOINTS DE RÉPARATION'!$L$4="TOUS",AM622&lt;&gt;"ACCEPTÉ")),1,0)</f>
        <v>0</v>
      </c>
      <c r="AR622" s="78" t="str">
        <f aca="false">IF(AQ622=1,SUM(AQ$7:AQ622),"")</f>
        <v/>
      </c>
    </row>
    <row r="623" customFormat="false" ht="15" hidden="false" customHeight="false" outlineLevel="0" collapsed="false">
      <c r="A623" s="78" t="n">
        <f aca="false">IF(E623="","",ROW()-6)</f>
        <v>617</v>
      </c>
      <c r="B623" s="79" t="s">
        <v>586</v>
      </c>
      <c r="C623" s="80"/>
      <c r="D623" s="80"/>
      <c r="E623" s="80" t="s">
        <v>139</v>
      </c>
      <c r="F623" s="80"/>
      <c r="G623" s="80" t="s">
        <v>106</v>
      </c>
      <c r="H623" s="80"/>
      <c r="I623" s="80"/>
      <c r="J623" s="80"/>
      <c r="K623" s="80"/>
      <c r="L623" s="81" t="str">
        <f aca="false">IF(K623="","",IFERROR(INDEX(BARDAGE!$C$7:$C$1506,MATCH(K623,BARDAGE!$B$7:$B$1506,0)),"? hors registre"))</f>
        <v/>
      </c>
      <c r="M623" s="80"/>
      <c r="N623" s="81" t="str">
        <f aca="false">IF(M623="","",IFERROR(INDEX(BARDAGE!$C$7:$C$1506,MATCH(M623,BARDAGE!$B$7:$B$1506,0)),"? hors registre"))</f>
        <v/>
      </c>
      <c r="O623" s="80"/>
      <c r="P623" s="80"/>
      <c r="Q623" s="80"/>
      <c r="R623" s="82"/>
      <c r="S623" s="82"/>
      <c r="T623" s="80"/>
      <c r="U623" s="80"/>
      <c r="V623" s="82"/>
      <c r="W623" s="80"/>
      <c r="X623" s="80"/>
      <c r="Y623" s="80"/>
      <c r="Z623" s="80"/>
      <c r="AA623" s="82"/>
      <c r="AB623" s="80"/>
      <c r="AC623" s="80"/>
      <c r="AD623" s="80"/>
      <c r="AE623" s="80"/>
      <c r="AF623" s="82"/>
      <c r="AG623" s="80"/>
      <c r="AH623" s="80"/>
      <c r="AI623" s="82"/>
      <c r="AJ623" s="79"/>
      <c r="AK623" s="78" t="n">
        <f aca="false">IF(E623="","",(X623&lt;&gt;"")+(AC623&lt;&gt;"")+(AH623&lt;&gt;""))</f>
        <v>0</v>
      </c>
      <c r="AL623" s="81" t="str">
        <f aca="false">IF(AH623&lt;&gt;"",AH623,IF(AC623&lt;&gt;"",AC623,IF(X623&lt;&gt;"",X623,"")))</f>
        <v/>
      </c>
      <c r="AM623" s="83" t="str">
        <f aca="false">IF(E623="","",IF(R623="","À SOUDER",IF(U623="","VT EN ATTENTE",IF(U623="R","VT REJETÉ – À REPRENDRE",IF(AL623="","À RADIOGRAPHIER",IF(AL623="A","ACCEPTÉ",IF(AL623="NX","NX – RT À REFAIRE",IF(IF(AK623=1,Z623,IF(AK623=2,AE623,""))="A","RÉPARÉ – À RADIOGRAPHIER",IF(IF(AK623=1,Z623,IF(AK623=2,AE623,""))="R","VT REJETÉ – À REPRENDRE",IF(OR(AL623="CO",AL623="NT"),"COUPE – À RESOUDER","À RÉPARER"))))))))))</f>
        <v>À SOUDER</v>
      </c>
      <c r="AN623" s="81" t="str">
        <f aca="false">IF(AND(ISNUMBER(R623),OR(AM623="À RADIOGRAPHIER",AM623="RÉPARÉ – À RADIOGRAPHIER",AM623="NX – RT À REFAIRE",AM623="À RÉPARER",AM623="COUPE – À RESOUDER",AM623="VT REJETÉ – À REPRENDRE")),MAX(0,'PROGRAMME RT'!$C$4-R623),"")</f>
        <v/>
      </c>
      <c r="AO623" s="78" t="n">
        <f aca="false">IF(AND(OR(AM623="À RADIOGRAPHIER",AM623="RÉPARÉ – À RADIOGRAPHIER",AM623="NX – RT À REFAIRE"),OR('PROGRAMME RT'!$D$5="TOUTES",B623='PROGRAMME RT'!$D$5)),1,0)</f>
        <v>0</v>
      </c>
      <c r="AP623" s="78" t="str">
        <f aca="false">IF(AO623=1,SUM(AO$7:AO623),"")</f>
        <v/>
      </c>
      <c r="AQ623" s="78" t="n">
        <f aca="false">IF(AND(OR(X623="R",X623="NX",X623="NT",X623="CO"),OR('JOINTS DE RÉPARATION'!$D$5="TOUTES",B623='JOINTS DE RÉPARATION'!$D$5),OR('JOINTS DE RÉPARATION'!$L$4="TOUS",AM623&lt;&gt;"ACCEPTÉ")),1,0)</f>
        <v>0</v>
      </c>
      <c r="AR623" s="78" t="str">
        <f aca="false">IF(AQ623=1,SUM(AQ$7:AQ623),"")</f>
        <v/>
      </c>
    </row>
    <row r="624" customFormat="false" ht="15" hidden="false" customHeight="false" outlineLevel="0" collapsed="false">
      <c r="A624" s="78" t="n">
        <f aca="false">IF(E624="","",ROW()-6)</f>
        <v>618</v>
      </c>
      <c r="B624" s="79" t="s">
        <v>586</v>
      </c>
      <c r="C624" s="80"/>
      <c r="D624" s="80"/>
      <c r="E624" s="80" t="s">
        <v>142</v>
      </c>
      <c r="F624" s="80"/>
      <c r="G624" s="80" t="s">
        <v>106</v>
      </c>
      <c r="H624" s="80"/>
      <c r="I624" s="80"/>
      <c r="J624" s="80"/>
      <c r="K624" s="80"/>
      <c r="L624" s="81" t="str">
        <f aca="false">IF(K624="","",IFERROR(INDEX(BARDAGE!$C$7:$C$1506,MATCH(K624,BARDAGE!$B$7:$B$1506,0)),"? hors registre"))</f>
        <v/>
      </c>
      <c r="M624" s="80"/>
      <c r="N624" s="81" t="str">
        <f aca="false">IF(M624="","",IFERROR(INDEX(BARDAGE!$C$7:$C$1506,MATCH(M624,BARDAGE!$B$7:$B$1506,0)),"? hors registre"))</f>
        <v/>
      </c>
      <c r="O624" s="80"/>
      <c r="P624" s="80"/>
      <c r="Q624" s="80"/>
      <c r="R624" s="82"/>
      <c r="S624" s="82"/>
      <c r="T624" s="80"/>
      <c r="U624" s="80"/>
      <c r="V624" s="82"/>
      <c r="W624" s="80"/>
      <c r="X624" s="80"/>
      <c r="Y624" s="80"/>
      <c r="Z624" s="80"/>
      <c r="AA624" s="82"/>
      <c r="AB624" s="80"/>
      <c r="AC624" s="80"/>
      <c r="AD624" s="80"/>
      <c r="AE624" s="80"/>
      <c r="AF624" s="82"/>
      <c r="AG624" s="80"/>
      <c r="AH624" s="80"/>
      <c r="AI624" s="82"/>
      <c r="AJ624" s="79"/>
      <c r="AK624" s="78" t="n">
        <f aca="false">IF(E624="","",(X624&lt;&gt;"")+(AC624&lt;&gt;"")+(AH624&lt;&gt;""))</f>
        <v>0</v>
      </c>
      <c r="AL624" s="81" t="str">
        <f aca="false">IF(AH624&lt;&gt;"",AH624,IF(AC624&lt;&gt;"",AC624,IF(X624&lt;&gt;"",X624,"")))</f>
        <v/>
      </c>
      <c r="AM624" s="83" t="str">
        <f aca="false">IF(E624="","",IF(R624="","À SOUDER",IF(U624="","VT EN ATTENTE",IF(U624="R","VT REJETÉ – À REPRENDRE",IF(AL624="","À RADIOGRAPHIER",IF(AL624="A","ACCEPTÉ",IF(AL624="NX","NX – RT À REFAIRE",IF(IF(AK624=1,Z624,IF(AK624=2,AE624,""))="A","RÉPARÉ – À RADIOGRAPHIER",IF(IF(AK624=1,Z624,IF(AK624=2,AE624,""))="R","VT REJETÉ – À REPRENDRE",IF(OR(AL624="CO",AL624="NT"),"COUPE – À RESOUDER","À RÉPARER"))))))))))</f>
        <v>À SOUDER</v>
      </c>
      <c r="AN624" s="81" t="str">
        <f aca="false">IF(AND(ISNUMBER(R624),OR(AM624="À RADIOGRAPHIER",AM624="RÉPARÉ – À RADIOGRAPHIER",AM624="NX – RT À REFAIRE",AM624="À RÉPARER",AM624="COUPE – À RESOUDER",AM624="VT REJETÉ – À REPRENDRE")),MAX(0,'PROGRAMME RT'!$C$4-R624),"")</f>
        <v/>
      </c>
      <c r="AO624" s="78" t="n">
        <f aca="false">IF(AND(OR(AM624="À RADIOGRAPHIER",AM624="RÉPARÉ – À RADIOGRAPHIER",AM624="NX – RT À REFAIRE"),OR('PROGRAMME RT'!$D$5="TOUTES",B624='PROGRAMME RT'!$D$5)),1,0)</f>
        <v>0</v>
      </c>
      <c r="AP624" s="78" t="str">
        <f aca="false">IF(AO624=1,SUM(AO$7:AO624),"")</f>
        <v/>
      </c>
      <c r="AQ624" s="78" t="n">
        <f aca="false">IF(AND(OR(X624="R",X624="NX",X624="NT",X624="CO"),OR('JOINTS DE RÉPARATION'!$D$5="TOUTES",B624='JOINTS DE RÉPARATION'!$D$5),OR('JOINTS DE RÉPARATION'!$L$4="TOUS",AM624&lt;&gt;"ACCEPTÉ")),1,0)</f>
        <v>0</v>
      </c>
      <c r="AR624" s="78" t="str">
        <f aca="false">IF(AQ624=1,SUM(AQ$7:AQ624),"")</f>
        <v/>
      </c>
    </row>
    <row r="625" customFormat="false" ht="15" hidden="false" customHeight="false" outlineLevel="0" collapsed="false">
      <c r="A625" s="78" t="n">
        <f aca="false">IF(E625="","",ROW()-6)</f>
        <v>619</v>
      </c>
      <c r="B625" s="79" t="s">
        <v>586</v>
      </c>
      <c r="C625" s="80"/>
      <c r="D625" s="80"/>
      <c r="E625" s="80" t="s">
        <v>144</v>
      </c>
      <c r="F625" s="80"/>
      <c r="G625" s="80" t="s">
        <v>106</v>
      </c>
      <c r="H625" s="80"/>
      <c r="I625" s="80"/>
      <c r="J625" s="80"/>
      <c r="K625" s="80"/>
      <c r="L625" s="81" t="str">
        <f aca="false">IF(K625="","",IFERROR(INDEX(BARDAGE!$C$7:$C$1506,MATCH(K625,BARDAGE!$B$7:$B$1506,0)),"? hors registre"))</f>
        <v/>
      </c>
      <c r="M625" s="80"/>
      <c r="N625" s="81" t="str">
        <f aca="false">IF(M625="","",IFERROR(INDEX(BARDAGE!$C$7:$C$1506,MATCH(M625,BARDAGE!$B$7:$B$1506,0)),"? hors registre"))</f>
        <v/>
      </c>
      <c r="O625" s="80"/>
      <c r="P625" s="80"/>
      <c r="Q625" s="80"/>
      <c r="R625" s="82"/>
      <c r="S625" s="82"/>
      <c r="T625" s="80"/>
      <c r="U625" s="80"/>
      <c r="V625" s="82"/>
      <c r="W625" s="80"/>
      <c r="X625" s="80"/>
      <c r="Y625" s="80"/>
      <c r="Z625" s="80"/>
      <c r="AA625" s="82"/>
      <c r="AB625" s="80"/>
      <c r="AC625" s="80"/>
      <c r="AD625" s="80"/>
      <c r="AE625" s="80"/>
      <c r="AF625" s="82"/>
      <c r="AG625" s="80"/>
      <c r="AH625" s="80"/>
      <c r="AI625" s="82"/>
      <c r="AJ625" s="79"/>
      <c r="AK625" s="78" t="n">
        <f aca="false">IF(E625="","",(X625&lt;&gt;"")+(AC625&lt;&gt;"")+(AH625&lt;&gt;""))</f>
        <v>0</v>
      </c>
      <c r="AL625" s="81" t="str">
        <f aca="false">IF(AH625&lt;&gt;"",AH625,IF(AC625&lt;&gt;"",AC625,IF(X625&lt;&gt;"",X625,"")))</f>
        <v/>
      </c>
      <c r="AM625" s="83" t="str">
        <f aca="false">IF(E625="","",IF(R625="","À SOUDER",IF(U625="","VT EN ATTENTE",IF(U625="R","VT REJETÉ – À REPRENDRE",IF(AL625="","À RADIOGRAPHIER",IF(AL625="A","ACCEPTÉ",IF(AL625="NX","NX – RT À REFAIRE",IF(IF(AK625=1,Z625,IF(AK625=2,AE625,""))="A","RÉPARÉ – À RADIOGRAPHIER",IF(IF(AK625=1,Z625,IF(AK625=2,AE625,""))="R","VT REJETÉ – À REPRENDRE",IF(OR(AL625="CO",AL625="NT"),"COUPE – À RESOUDER","À RÉPARER"))))))))))</f>
        <v>À SOUDER</v>
      </c>
      <c r="AN625" s="81" t="str">
        <f aca="false">IF(AND(ISNUMBER(R625),OR(AM625="À RADIOGRAPHIER",AM625="RÉPARÉ – À RADIOGRAPHIER",AM625="NX – RT À REFAIRE",AM625="À RÉPARER",AM625="COUPE – À RESOUDER",AM625="VT REJETÉ – À REPRENDRE")),MAX(0,'PROGRAMME RT'!$C$4-R625),"")</f>
        <v/>
      </c>
      <c r="AO625" s="78" t="n">
        <f aca="false">IF(AND(OR(AM625="À RADIOGRAPHIER",AM625="RÉPARÉ – À RADIOGRAPHIER",AM625="NX – RT À REFAIRE"),OR('PROGRAMME RT'!$D$5="TOUTES",B625='PROGRAMME RT'!$D$5)),1,0)</f>
        <v>0</v>
      </c>
      <c r="AP625" s="78" t="str">
        <f aca="false">IF(AO625=1,SUM(AO$7:AO625),"")</f>
        <v/>
      </c>
      <c r="AQ625" s="78" t="n">
        <f aca="false">IF(AND(OR(X625="R",X625="NX",X625="NT",X625="CO"),OR('JOINTS DE RÉPARATION'!$D$5="TOUTES",B625='JOINTS DE RÉPARATION'!$D$5),OR('JOINTS DE RÉPARATION'!$L$4="TOUS",AM625&lt;&gt;"ACCEPTÉ")),1,0)</f>
        <v>0</v>
      </c>
      <c r="AR625" s="78" t="str">
        <f aca="false">IF(AQ625=1,SUM(AQ$7:AQ625),"")</f>
        <v/>
      </c>
    </row>
    <row r="626" customFormat="false" ht="15" hidden="false" customHeight="false" outlineLevel="0" collapsed="false">
      <c r="A626" s="78" t="n">
        <f aca="false">IF(E626="","",ROW()-6)</f>
        <v>620</v>
      </c>
      <c r="B626" s="79" t="s">
        <v>586</v>
      </c>
      <c r="C626" s="80"/>
      <c r="D626" s="80"/>
      <c r="E626" s="80" t="s">
        <v>148</v>
      </c>
      <c r="F626" s="80"/>
      <c r="G626" s="80" t="s">
        <v>106</v>
      </c>
      <c r="H626" s="80"/>
      <c r="I626" s="80"/>
      <c r="J626" s="80"/>
      <c r="K626" s="80"/>
      <c r="L626" s="81" t="str">
        <f aca="false">IF(K626="","",IFERROR(INDEX(BARDAGE!$C$7:$C$1506,MATCH(K626,BARDAGE!$B$7:$B$1506,0)),"? hors registre"))</f>
        <v/>
      </c>
      <c r="M626" s="80"/>
      <c r="N626" s="81" t="str">
        <f aca="false">IF(M626="","",IFERROR(INDEX(BARDAGE!$C$7:$C$1506,MATCH(M626,BARDAGE!$B$7:$B$1506,0)),"? hors registre"))</f>
        <v/>
      </c>
      <c r="O626" s="80"/>
      <c r="P626" s="80"/>
      <c r="Q626" s="80"/>
      <c r="R626" s="82"/>
      <c r="S626" s="82"/>
      <c r="T626" s="80"/>
      <c r="U626" s="80"/>
      <c r="V626" s="82"/>
      <c r="W626" s="80"/>
      <c r="X626" s="80"/>
      <c r="Y626" s="80"/>
      <c r="Z626" s="80"/>
      <c r="AA626" s="82"/>
      <c r="AB626" s="80"/>
      <c r="AC626" s="80"/>
      <c r="AD626" s="80"/>
      <c r="AE626" s="80"/>
      <c r="AF626" s="82"/>
      <c r="AG626" s="80"/>
      <c r="AH626" s="80"/>
      <c r="AI626" s="82"/>
      <c r="AJ626" s="79"/>
      <c r="AK626" s="78" t="n">
        <f aca="false">IF(E626="","",(X626&lt;&gt;"")+(AC626&lt;&gt;"")+(AH626&lt;&gt;""))</f>
        <v>0</v>
      </c>
      <c r="AL626" s="81" t="str">
        <f aca="false">IF(AH626&lt;&gt;"",AH626,IF(AC626&lt;&gt;"",AC626,IF(X626&lt;&gt;"",X626,"")))</f>
        <v/>
      </c>
      <c r="AM626" s="83" t="str">
        <f aca="false">IF(E626="","",IF(R626="","À SOUDER",IF(U626="","VT EN ATTENTE",IF(U626="R","VT REJETÉ – À REPRENDRE",IF(AL626="","À RADIOGRAPHIER",IF(AL626="A","ACCEPTÉ",IF(AL626="NX","NX – RT À REFAIRE",IF(IF(AK626=1,Z626,IF(AK626=2,AE626,""))="A","RÉPARÉ – À RADIOGRAPHIER",IF(IF(AK626=1,Z626,IF(AK626=2,AE626,""))="R","VT REJETÉ – À REPRENDRE",IF(OR(AL626="CO",AL626="NT"),"COUPE – À RESOUDER","À RÉPARER"))))))))))</f>
        <v>À SOUDER</v>
      </c>
      <c r="AN626" s="81" t="str">
        <f aca="false">IF(AND(ISNUMBER(R626),OR(AM626="À RADIOGRAPHIER",AM626="RÉPARÉ – À RADIOGRAPHIER",AM626="NX – RT À REFAIRE",AM626="À RÉPARER",AM626="COUPE – À RESOUDER",AM626="VT REJETÉ – À REPRENDRE")),MAX(0,'PROGRAMME RT'!$C$4-R626),"")</f>
        <v/>
      </c>
      <c r="AO626" s="78" t="n">
        <f aca="false">IF(AND(OR(AM626="À RADIOGRAPHIER",AM626="RÉPARÉ – À RADIOGRAPHIER",AM626="NX – RT À REFAIRE"),OR('PROGRAMME RT'!$D$5="TOUTES",B626='PROGRAMME RT'!$D$5)),1,0)</f>
        <v>0</v>
      </c>
      <c r="AP626" s="78" t="str">
        <f aca="false">IF(AO626=1,SUM(AO$7:AO626),"")</f>
        <v/>
      </c>
      <c r="AQ626" s="78" t="n">
        <f aca="false">IF(AND(OR(X626="R",X626="NX",X626="NT",X626="CO"),OR('JOINTS DE RÉPARATION'!$D$5="TOUTES",B626='JOINTS DE RÉPARATION'!$D$5),OR('JOINTS DE RÉPARATION'!$L$4="TOUS",AM626&lt;&gt;"ACCEPTÉ")),1,0)</f>
        <v>0</v>
      </c>
      <c r="AR626" s="78" t="str">
        <f aca="false">IF(AQ626=1,SUM(AQ$7:AQ626),"")</f>
        <v/>
      </c>
    </row>
    <row r="627" customFormat="false" ht="15" hidden="false" customHeight="false" outlineLevel="0" collapsed="false">
      <c r="A627" s="78" t="n">
        <f aca="false">IF(E627="","",ROW()-6)</f>
        <v>621</v>
      </c>
      <c r="B627" s="79" t="s">
        <v>586</v>
      </c>
      <c r="C627" s="80"/>
      <c r="D627" s="80"/>
      <c r="E627" s="80" t="s">
        <v>150</v>
      </c>
      <c r="F627" s="80"/>
      <c r="G627" s="80" t="s">
        <v>106</v>
      </c>
      <c r="H627" s="80"/>
      <c r="I627" s="80"/>
      <c r="J627" s="80"/>
      <c r="K627" s="80"/>
      <c r="L627" s="81" t="str">
        <f aca="false">IF(K627="","",IFERROR(INDEX(BARDAGE!$C$7:$C$1506,MATCH(K627,BARDAGE!$B$7:$B$1506,0)),"? hors registre"))</f>
        <v/>
      </c>
      <c r="M627" s="80"/>
      <c r="N627" s="81" t="str">
        <f aca="false">IF(M627="","",IFERROR(INDEX(BARDAGE!$C$7:$C$1506,MATCH(M627,BARDAGE!$B$7:$B$1506,0)),"? hors registre"))</f>
        <v/>
      </c>
      <c r="O627" s="80"/>
      <c r="P627" s="80"/>
      <c r="Q627" s="80"/>
      <c r="R627" s="82"/>
      <c r="S627" s="82"/>
      <c r="T627" s="80"/>
      <c r="U627" s="80"/>
      <c r="V627" s="82"/>
      <c r="W627" s="80"/>
      <c r="X627" s="80"/>
      <c r="Y627" s="80"/>
      <c r="Z627" s="80"/>
      <c r="AA627" s="82"/>
      <c r="AB627" s="80"/>
      <c r="AC627" s="80"/>
      <c r="AD627" s="80"/>
      <c r="AE627" s="80"/>
      <c r="AF627" s="82"/>
      <c r="AG627" s="80"/>
      <c r="AH627" s="80"/>
      <c r="AI627" s="82"/>
      <c r="AJ627" s="79"/>
      <c r="AK627" s="78" t="n">
        <f aca="false">IF(E627="","",(X627&lt;&gt;"")+(AC627&lt;&gt;"")+(AH627&lt;&gt;""))</f>
        <v>0</v>
      </c>
      <c r="AL627" s="81" t="str">
        <f aca="false">IF(AH627&lt;&gt;"",AH627,IF(AC627&lt;&gt;"",AC627,IF(X627&lt;&gt;"",X627,"")))</f>
        <v/>
      </c>
      <c r="AM627" s="83" t="str">
        <f aca="false">IF(E627="","",IF(R627="","À SOUDER",IF(U627="","VT EN ATTENTE",IF(U627="R","VT REJETÉ – À REPRENDRE",IF(AL627="","À RADIOGRAPHIER",IF(AL627="A","ACCEPTÉ",IF(AL627="NX","NX – RT À REFAIRE",IF(IF(AK627=1,Z627,IF(AK627=2,AE627,""))="A","RÉPARÉ – À RADIOGRAPHIER",IF(IF(AK627=1,Z627,IF(AK627=2,AE627,""))="R","VT REJETÉ – À REPRENDRE",IF(OR(AL627="CO",AL627="NT"),"COUPE – À RESOUDER","À RÉPARER"))))))))))</f>
        <v>À SOUDER</v>
      </c>
      <c r="AN627" s="81" t="str">
        <f aca="false">IF(AND(ISNUMBER(R627),OR(AM627="À RADIOGRAPHIER",AM627="RÉPARÉ – À RADIOGRAPHIER",AM627="NX – RT À REFAIRE",AM627="À RÉPARER",AM627="COUPE – À RESOUDER",AM627="VT REJETÉ – À REPRENDRE")),MAX(0,'PROGRAMME RT'!$C$4-R627),"")</f>
        <v/>
      </c>
      <c r="AO627" s="78" t="n">
        <f aca="false">IF(AND(OR(AM627="À RADIOGRAPHIER",AM627="RÉPARÉ – À RADIOGRAPHIER",AM627="NX – RT À REFAIRE"),OR('PROGRAMME RT'!$D$5="TOUTES",B627='PROGRAMME RT'!$D$5)),1,0)</f>
        <v>0</v>
      </c>
      <c r="AP627" s="78" t="str">
        <f aca="false">IF(AO627=1,SUM(AO$7:AO627),"")</f>
        <v/>
      </c>
      <c r="AQ627" s="78" t="n">
        <f aca="false">IF(AND(OR(X627="R",X627="NX",X627="NT",X627="CO"),OR('JOINTS DE RÉPARATION'!$D$5="TOUTES",B627='JOINTS DE RÉPARATION'!$D$5),OR('JOINTS DE RÉPARATION'!$L$4="TOUS",AM627&lt;&gt;"ACCEPTÉ")),1,0)</f>
        <v>0</v>
      </c>
      <c r="AR627" s="78" t="str">
        <f aca="false">IF(AQ627=1,SUM(AQ$7:AQ627),"")</f>
        <v/>
      </c>
    </row>
    <row r="628" customFormat="false" ht="15" hidden="false" customHeight="false" outlineLevel="0" collapsed="false">
      <c r="A628" s="78" t="n">
        <f aca="false">IF(E628="","",ROW()-6)</f>
        <v>622</v>
      </c>
      <c r="B628" s="79" t="s">
        <v>586</v>
      </c>
      <c r="C628" s="80"/>
      <c r="D628" s="80"/>
      <c r="E628" s="80" t="s">
        <v>153</v>
      </c>
      <c r="F628" s="80"/>
      <c r="G628" s="80" t="s">
        <v>106</v>
      </c>
      <c r="H628" s="80"/>
      <c r="I628" s="80"/>
      <c r="J628" s="80"/>
      <c r="K628" s="80"/>
      <c r="L628" s="81" t="str">
        <f aca="false">IF(K628="","",IFERROR(INDEX(BARDAGE!$C$7:$C$1506,MATCH(K628,BARDAGE!$B$7:$B$1506,0)),"? hors registre"))</f>
        <v/>
      </c>
      <c r="M628" s="80"/>
      <c r="N628" s="81" t="str">
        <f aca="false">IF(M628="","",IFERROR(INDEX(BARDAGE!$C$7:$C$1506,MATCH(M628,BARDAGE!$B$7:$B$1506,0)),"? hors registre"))</f>
        <v/>
      </c>
      <c r="O628" s="80"/>
      <c r="P628" s="80"/>
      <c r="Q628" s="80"/>
      <c r="R628" s="82"/>
      <c r="S628" s="82"/>
      <c r="T628" s="80"/>
      <c r="U628" s="80"/>
      <c r="V628" s="82"/>
      <c r="W628" s="80"/>
      <c r="X628" s="80"/>
      <c r="Y628" s="80"/>
      <c r="Z628" s="80"/>
      <c r="AA628" s="82"/>
      <c r="AB628" s="80"/>
      <c r="AC628" s="80"/>
      <c r="AD628" s="80"/>
      <c r="AE628" s="80"/>
      <c r="AF628" s="82"/>
      <c r="AG628" s="80"/>
      <c r="AH628" s="80"/>
      <c r="AI628" s="82"/>
      <c r="AJ628" s="79"/>
      <c r="AK628" s="78" t="n">
        <f aca="false">IF(E628="","",(X628&lt;&gt;"")+(AC628&lt;&gt;"")+(AH628&lt;&gt;""))</f>
        <v>0</v>
      </c>
      <c r="AL628" s="81" t="str">
        <f aca="false">IF(AH628&lt;&gt;"",AH628,IF(AC628&lt;&gt;"",AC628,IF(X628&lt;&gt;"",X628,"")))</f>
        <v/>
      </c>
      <c r="AM628" s="83" t="str">
        <f aca="false">IF(E628="","",IF(R628="","À SOUDER",IF(U628="","VT EN ATTENTE",IF(U628="R","VT REJETÉ – À REPRENDRE",IF(AL628="","À RADIOGRAPHIER",IF(AL628="A","ACCEPTÉ",IF(AL628="NX","NX – RT À REFAIRE",IF(IF(AK628=1,Z628,IF(AK628=2,AE628,""))="A","RÉPARÉ – À RADIOGRAPHIER",IF(IF(AK628=1,Z628,IF(AK628=2,AE628,""))="R","VT REJETÉ – À REPRENDRE",IF(OR(AL628="CO",AL628="NT"),"COUPE – À RESOUDER","À RÉPARER"))))))))))</f>
        <v>À SOUDER</v>
      </c>
      <c r="AN628" s="81" t="str">
        <f aca="false">IF(AND(ISNUMBER(R628),OR(AM628="À RADIOGRAPHIER",AM628="RÉPARÉ – À RADIOGRAPHIER",AM628="NX – RT À REFAIRE",AM628="À RÉPARER",AM628="COUPE – À RESOUDER",AM628="VT REJETÉ – À REPRENDRE")),MAX(0,'PROGRAMME RT'!$C$4-R628),"")</f>
        <v/>
      </c>
      <c r="AO628" s="78" t="n">
        <f aca="false">IF(AND(OR(AM628="À RADIOGRAPHIER",AM628="RÉPARÉ – À RADIOGRAPHIER",AM628="NX – RT À REFAIRE"),OR('PROGRAMME RT'!$D$5="TOUTES",B628='PROGRAMME RT'!$D$5)),1,0)</f>
        <v>0</v>
      </c>
      <c r="AP628" s="78" t="str">
        <f aca="false">IF(AO628=1,SUM(AO$7:AO628),"")</f>
        <v/>
      </c>
      <c r="AQ628" s="78" t="n">
        <f aca="false">IF(AND(OR(X628="R",X628="NX",X628="NT",X628="CO"),OR('JOINTS DE RÉPARATION'!$D$5="TOUTES",B628='JOINTS DE RÉPARATION'!$D$5),OR('JOINTS DE RÉPARATION'!$L$4="TOUS",AM628&lt;&gt;"ACCEPTÉ")),1,0)</f>
        <v>0</v>
      </c>
      <c r="AR628" s="78" t="str">
        <f aca="false">IF(AQ628=1,SUM(AQ$7:AQ628),"")</f>
        <v/>
      </c>
    </row>
    <row r="629" customFormat="false" ht="15" hidden="false" customHeight="false" outlineLevel="0" collapsed="false">
      <c r="A629" s="78" t="n">
        <f aca="false">IF(E629="","",ROW()-6)</f>
        <v>623</v>
      </c>
      <c r="B629" s="79" t="s">
        <v>586</v>
      </c>
      <c r="C629" s="80"/>
      <c r="D629" s="80"/>
      <c r="E629" s="80" t="s">
        <v>576</v>
      </c>
      <c r="F629" s="80"/>
      <c r="G629" s="80" t="s">
        <v>106</v>
      </c>
      <c r="H629" s="80"/>
      <c r="I629" s="80"/>
      <c r="J629" s="80"/>
      <c r="K629" s="80"/>
      <c r="L629" s="81" t="str">
        <f aca="false">IF(K629="","",IFERROR(INDEX(BARDAGE!$C$7:$C$1506,MATCH(K629,BARDAGE!$B$7:$B$1506,0)),"? hors registre"))</f>
        <v/>
      </c>
      <c r="M629" s="80"/>
      <c r="N629" s="81" t="str">
        <f aca="false">IF(M629="","",IFERROR(INDEX(BARDAGE!$C$7:$C$1506,MATCH(M629,BARDAGE!$B$7:$B$1506,0)),"? hors registre"))</f>
        <v/>
      </c>
      <c r="O629" s="80"/>
      <c r="P629" s="80"/>
      <c r="Q629" s="80"/>
      <c r="R629" s="82"/>
      <c r="S629" s="82"/>
      <c r="T629" s="80"/>
      <c r="U629" s="80"/>
      <c r="V629" s="82"/>
      <c r="W629" s="80"/>
      <c r="X629" s="80"/>
      <c r="Y629" s="80"/>
      <c r="Z629" s="80"/>
      <c r="AA629" s="82"/>
      <c r="AB629" s="80"/>
      <c r="AC629" s="80"/>
      <c r="AD629" s="80"/>
      <c r="AE629" s="80"/>
      <c r="AF629" s="82"/>
      <c r="AG629" s="80"/>
      <c r="AH629" s="80"/>
      <c r="AI629" s="82"/>
      <c r="AJ629" s="79"/>
      <c r="AK629" s="78" t="n">
        <f aca="false">IF(E629="","",(X629&lt;&gt;"")+(AC629&lt;&gt;"")+(AH629&lt;&gt;""))</f>
        <v>0</v>
      </c>
      <c r="AL629" s="81" t="str">
        <f aca="false">IF(AH629&lt;&gt;"",AH629,IF(AC629&lt;&gt;"",AC629,IF(X629&lt;&gt;"",X629,"")))</f>
        <v/>
      </c>
      <c r="AM629" s="83" t="str">
        <f aca="false">IF(E629="","",IF(R629="","À SOUDER",IF(U629="","VT EN ATTENTE",IF(U629="R","VT REJETÉ – À REPRENDRE",IF(AL629="","À RADIOGRAPHIER",IF(AL629="A","ACCEPTÉ",IF(AL629="NX","NX – RT À REFAIRE",IF(IF(AK629=1,Z629,IF(AK629=2,AE629,""))="A","RÉPARÉ – À RADIOGRAPHIER",IF(IF(AK629=1,Z629,IF(AK629=2,AE629,""))="R","VT REJETÉ – À REPRENDRE",IF(OR(AL629="CO",AL629="NT"),"COUPE – À RESOUDER","À RÉPARER"))))))))))</f>
        <v>À SOUDER</v>
      </c>
      <c r="AN629" s="81" t="str">
        <f aca="false">IF(AND(ISNUMBER(R629),OR(AM629="À RADIOGRAPHIER",AM629="RÉPARÉ – À RADIOGRAPHIER",AM629="NX – RT À REFAIRE",AM629="À RÉPARER",AM629="COUPE – À RESOUDER",AM629="VT REJETÉ – À REPRENDRE")),MAX(0,'PROGRAMME RT'!$C$4-R629),"")</f>
        <v/>
      </c>
      <c r="AO629" s="78" t="n">
        <f aca="false">IF(AND(OR(AM629="À RADIOGRAPHIER",AM629="RÉPARÉ – À RADIOGRAPHIER",AM629="NX – RT À REFAIRE"),OR('PROGRAMME RT'!$D$5="TOUTES",B629='PROGRAMME RT'!$D$5)),1,0)</f>
        <v>0</v>
      </c>
      <c r="AP629" s="78" t="str">
        <f aca="false">IF(AO629=1,SUM(AO$7:AO629),"")</f>
        <v/>
      </c>
      <c r="AQ629" s="78" t="n">
        <f aca="false">IF(AND(OR(X629="R",X629="NX",X629="NT",X629="CO"),OR('JOINTS DE RÉPARATION'!$D$5="TOUTES",B629='JOINTS DE RÉPARATION'!$D$5),OR('JOINTS DE RÉPARATION'!$L$4="TOUS",AM629&lt;&gt;"ACCEPTÉ")),1,0)</f>
        <v>0</v>
      </c>
      <c r="AR629" s="78" t="str">
        <f aca="false">IF(AQ629=1,SUM(AQ$7:AQ629),"")</f>
        <v/>
      </c>
    </row>
    <row r="630" customFormat="false" ht="15" hidden="false" customHeight="false" outlineLevel="0" collapsed="false">
      <c r="A630" s="78" t="n">
        <f aca="false">IF(E630="","",ROW()-6)</f>
        <v>624</v>
      </c>
      <c r="B630" s="79" t="s">
        <v>586</v>
      </c>
      <c r="C630" s="80"/>
      <c r="D630" s="80"/>
      <c r="E630" s="80" t="s">
        <v>157</v>
      </c>
      <c r="F630" s="80"/>
      <c r="G630" s="80" t="s">
        <v>106</v>
      </c>
      <c r="H630" s="80"/>
      <c r="I630" s="80"/>
      <c r="J630" s="80"/>
      <c r="K630" s="80"/>
      <c r="L630" s="81" t="str">
        <f aca="false">IF(K630="","",IFERROR(INDEX(BARDAGE!$C$7:$C$1506,MATCH(K630,BARDAGE!$B$7:$B$1506,0)),"? hors registre"))</f>
        <v/>
      </c>
      <c r="M630" s="80"/>
      <c r="N630" s="81" t="str">
        <f aca="false">IF(M630="","",IFERROR(INDEX(BARDAGE!$C$7:$C$1506,MATCH(M630,BARDAGE!$B$7:$B$1506,0)),"? hors registre"))</f>
        <v/>
      </c>
      <c r="O630" s="80"/>
      <c r="P630" s="80"/>
      <c r="Q630" s="80"/>
      <c r="R630" s="82"/>
      <c r="S630" s="82"/>
      <c r="T630" s="80"/>
      <c r="U630" s="80"/>
      <c r="V630" s="82"/>
      <c r="W630" s="80"/>
      <c r="X630" s="80"/>
      <c r="Y630" s="80"/>
      <c r="Z630" s="80"/>
      <c r="AA630" s="82"/>
      <c r="AB630" s="80"/>
      <c r="AC630" s="80"/>
      <c r="AD630" s="80"/>
      <c r="AE630" s="80"/>
      <c r="AF630" s="82"/>
      <c r="AG630" s="80"/>
      <c r="AH630" s="80"/>
      <c r="AI630" s="82"/>
      <c r="AJ630" s="79"/>
      <c r="AK630" s="78" t="n">
        <f aca="false">IF(E630="","",(X630&lt;&gt;"")+(AC630&lt;&gt;"")+(AH630&lt;&gt;""))</f>
        <v>0</v>
      </c>
      <c r="AL630" s="81" t="str">
        <f aca="false">IF(AH630&lt;&gt;"",AH630,IF(AC630&lt;&gt;"",AC630,IF(X630&lt;&gt;"",X630,"")))</f>
        <v/>
      </c>
      <c r="AM630" s="83" t="str">
        <f aca="false">IF(E630="","",IF(R630="","À SOUDER",IF(U630="","VT EN ATTENTE",IF(U630="R","VT REJETÉ – À REPRENDRE",IF(AL630="","À RADIOGRAPHIER",IF(AL630="A","ACCEPTÉ",IF(AL630="NX","NX – RT À REFAIRE",IF(IF(AK630=1,Z630,IF(AK630=2,AE630,""))="A","RÉPARÉ – À RADIOGRAPHIER",IF(IF(AK630=1,Z630,IF(AK630=2,AE630,""))="R","VT REJETÉ – À REPRENDRE",IF(OR(AL630="CO",AL630="NT"),"COUPE – À RESOUDER","À RÉPARER"))))))))))</f>
        <v>À SOUDER</v>
      </c>
      <c r="AN630" s="81" t="str">
        <f aca="false">IF(AND(ISNUMBER(R630),OR(AM630="À RADIOGRAPHIER",AM630="RÉPARÉ – À RADIOGRAPHIER",AM630="NX – RT À REFAIRE",AM630="À RÉPARER",AM630="COUPE – À RESOUDER",AM630="VT REJETÉ – À REPRENDRE")),MAX(0,'PROGRAMME RT'!$C$4-R630),"")</f>
        <v/>
      </c>
      <c r="AO630" s="78" t="n">
        <f aca="false">IF(AND(OR(AM630="À RADIOGRAPHIER",AM630="RÉPARÉ – À RADIOGRAPHIER",AM630="NX – RT À REFAIRE"),OR('PROGRAMME RT'!$D$5="TOUTES",B630='PROGRAMME RT'!$D$5)),1,0)</f>
        <v>0</v>
      </c>
      <c r="AP630" s="78" t="str">
        <f aca="false">IF(AO630=1,SUM(AO$7:AO630),"")</f>
        <v/>
      </c>
      <c r="AQ630" s="78" t="n">
        <f aca="false">IF(AND(OR(X630="R",X630="NX",X630="NT",X630="CO"),OR('JOINTS DE RÉPARATION'!$D$5="TOUTES",B630='JOINTS DE RÉPARATION'!$D$5),OR('JOINTS DE RÉPARATION'!$L$4="TOUS",AM630&lt;&gt;"ACCEPTÉ")),1,0)</f>
        <v>0</v>
      </c>
      <c r="AR630" s="78" t="str">
        <f aca="false">IF(AQ630=1,SUM(AQ$7:AQ630),"")</f>
        <v/>
      </c>
    </row>
    <row r="631" customFormat="false" ht="15" hidden="false" customHeight="false" outlineLevel="0" collapsed="false">
      <c r="A631" s="78" t="n">
        <f aca="false">IF(E631="","",ROW()-6)</f>
        <v>625</v>
      </c>
      <c r="B631" s="79" t="s">
        <v>586</v>
      </c>
      <c r="C631" s="80"/>
      <c r="D631" s="80"/>
      <c r="E631" s="80" t="s">
        <v>163</v>
      </c>
      <c r="F631" s="80"/>
      <c r="G631" s="80" t="s">
        <v>106</v>
      </c>
      <c r="H631" s="80"/>
      <c r="I631" s="80"/>
      <c r="J631" s="80"/>
      <c r="K631" s="80"/>
      <c r="L631" s="81" t="str">
        <f aca="false">IF(K631="","",IFERROR(INDEX(BARDAGE!$C$7:$C$1506,MATCH(K631,BARDAGE!$B$7:$B$1506,0)),"? hors registre"))</f>
        <v/>
      </c>
      <c r="M631" s="80"/>
      <c r="N631" s="81" t="str">
        <f aca="false">IF(M631="","",IFERROR(INDEX(BARDAGE!$C$7:$C$1506,MATCH(M631,BARDAGE!$B$7:$B$1506,0)),"? hors registre"))</f>
        <v/>
      </c>
      <c r="O631" s="80"/>
      <c r="P631" s="80"/>
      <c r="Q631" s="80"/>
      <c r="R631" s="82"/>
      <c r="S631" s="82"/>
      <c r="T631" s="80"/>
      <c r="U631" s="80"/>
      <c r="V631" s="82"/>
      <c r="W631" s="80"/>
      <c r="X631" s="80"/>
      <c r="Y631" s="80"/>
      <c r="Z631" s="80"/>
      <c r="AA631" s="82"/>
      <c r="AB631" s="80"/>
      <c r="AC631" s="80"/>
      <c r="AD631" s="80"/>
      <c r="AE631" s="80"/>
      <c r="AF631" s="82"/>
      <c r="AG631" s="80"/>
      <c r="AH631" s="80"/>
      <c r="AI631" s="82"/>
      <c r="AJ631" s="79"/>
      <c r="AK631" s="78" t="n">
        <f aca="false">IF(E631="","",(X631&lt;&gt;"")+(AC631&lt;&gt;"")+(AH631&lt;&gt;""))</f>
        <v>0</v>
      </c>
      <c r="AL631" s="81" t="str">
        <f aca="false">IF(AH631&lt;&gt;"",AH631,IF(AC631&lt;&gt;"",AC631,IF(X631&lt;&gt;"",X631,"")))</f>
        <v/>
      </c>
      <c r="AM631" s="83" t="str">
        <f aca="false">IF(E631="","",IF(R631="","À SOUDER",IF(U631="","VT EN ATTENTE",IF(U631="R","VT REJETÉ – À REPRENDRE",IF(AL631="","À RADIOGRAPHIER",IF(AL631="A","ACCEPTÉ",IF(AL631="NX","NX – RT À REFAIRE",IF(IF(AK631=1,Z631,IF(AK631=2,AE631,""))="A","RÉPARÉ – À RADIOGRAPHIER",IF(IF(AK631=1,Z631,IF(AK631=2,AE631,""))="R","VT REJETÉ – À REPRENDRE",IF(OR(AL631="CO",AL631="NT"),"COUPE – À RESOUDER","À RÉPARER"))))))))))</f>
        <v>À SOUDER</v>
      </c>
      <c r="AN631" s="81" t="str">
        <f aca="false">IF(AND(ISNUMBER(R631),OR(AM631="À RADIOGRAPHIER",AM631="RÉPARÉ – À RADIOGRAPHIER",AM631="NX – RT À REFAIRE",AM631="À RÉPARER",AM631="COUPE – À RESOUDER",AM631="VT REJETÉ – À REPRENDRE")),MAX(0,'PROGRAMME RT'!$C$4-R631),"")</f>
        <v/>
      </c>
      <c r="AO631" s="78" t="n">
        <f aca="false">IF(AND(OR(AM631="À RADIOGRAPHIER",AM631="RÉPARÉ – À RADIOGRAPHIER",AM631="NX – RT À REFAIRE"),OR('PROGRAMME RT'!$D$5="TOUTES",B631='PROGRAMME RT'!$D$5)),1,0)</f>
        <v>0</v>
      </c>
      <c r="AP631" s="78" t="str">
        <f aca="false">IF(AO631=1,SUM(AO$7:AO631),"")</f>
        <v/>
      </c>
      <c r="AQ631" s="78" t="n">
        <f aca="false">IF(AND(OR(X631="R",X631="NX",X631="NT",X631="CO"),OR('JOINTS DE RÉPARATION'!$D$5="TOUTES",B631='JOINTS DE RÉPARATION'!$D$5),OR('JOINTS DE RÉPARATION'!$L$4="TOUS",AM631&lt;&gt;"ACCEPTÉ")),1,0)</f>
        <v>0</v>
      </c>
      <c r="AR631" s="78" t="str">
        <f aca="false">IF(AQ631=1,SUM(AQ$7:AQ631),"")</f>
        <v/>
      </c>
    </row>
    <row r="632" customFormat="false" ht="15" hidden="false" customHeight="false" outlineLevel="0" collapsed="false">
      <c r="A632" s="78" t="n">
        <f aca="false">IF(E632="","",ROW()-6)</f>
        <v>626</v>
      </c>
      <c r="B632" s="79" t="s">
        <v>586</v>
      </c>
      <c r="C632" s="80"/>
      <c r="D632" s="80"/>
      <c r="E632" s="80" t="s">
        <v>577</v>
      </c>
      <c r="F632" s="80"/>
      <c r="G632" s="80" t="s">
        <v>106</v>
      </c>
      <c r="H632" s="80"/>
      <c r="I632" s="80"/>
      <c r="J632" s="80"/>
      <c r="K632" s="80"/>
      <c r="L632" s="81" t="str">
        <f aca="false">IF(K632="","",IFERROR(INDEX(BARDAGE!$C$7:$C$1506,MATCH(K632,BARDAGE!$B$7:$B$1506,0)),"? hors registre"))</f>
        <v/>
      </c>
      <c r="M632" s="80"/>
      <c r="N632" s="81" t="str">
        <f aca="false">IF(M632="","",IFERROR(INDEX(BARDAGE!$C$7:$C$1506,MATCH(M632,BARDAGE!$B$7:$B$1506,0)),"? hors registre"))</f>
        <v/>
      </c>
      <c r="O632" s="80"/>
      <c r="P632" s="80"/>
      <c r="Q632" s="80"/>
      <c r="R632" s="82"/>
      <c r="S632" s="82"/>
      <c r="T632" s="80"/>
      <c r="U632" s="80"/>
      <c r="V632" s="82"/>
      <c r="W632" s="80"/>
      <c r="X632" s="80"/>
      <c r="Y632" s="80"/>
      <c r="Z632" s="80"/>
      <c r="AA632" s="82"/>
      <c r="AB632" s="80"/>
      <c r="AC632" s="80"/>
      <c r="AD632" s="80"/>
      <c r="AE632" s="80"/>
      <c r="AF632" s="82"/>
      <c r="AG632" s="80"/>
      <c r="AH632" s="80"/>
      <c r="AI632" s="82"/>
      <c r="AJ632" s="79"/>
      <c r="AK632" s="78" t="n">
        <f aca="false">IF(E632="","",(X632&lt;&gt;"")+(AC632&lt;&gt;"")+(AH632&lt;&gt;""))</f>
        <v>0</v>
      </c>
      <c r="AL632" s="81" t="str">
        <f aca="false">IF(AH632&lt;&gt;"",AH632,IF(AC632&lt;&gt;"",AC632,IF(X632&lt;&gt;"",X632,"")))</f>
        <v/>
      </c>
      <c r="AM632" s="83" t="str">
        <f aca="false">IF(E632="","",IF(R632="","À SOUDER",IF(U632="","VT EN ATTENTE",IF(U632="R","VT REJETÉ – À REPRENDRE",IF(AL632="","À RADIOGRAPHIER",IF(AL632="A","ACCEPTÉ",IF(AL632="NX","NX – RT À REFAIRE",IF(IF(AK632=1,Z632,IF(AK632=2,AE632,""))="A","RÉPARÉ – À RADIOGRAPHIER",IF(IF(AK632=1,Z632,IF(AK632=2,AE632,""))="R","VT REJETÉ – À REPRENDRE",IF(OR(AL632="CO",AL632="NT"),"COUPE – À RESOUDER","À RÉPARER"))))))))))</f>
        <v>À SOUDER</v>
      </c>
      <c r="AN632" s="81" t="str">
        <f aca="false">IF(AND(ISNUMBER(R632),OR(AM632="À RADIOGRAPHIER",AM632="RÉPARÉ – À RADIOGRAPHIER",AM632="NX – RT À REFAIRE",AM632="À RÉPARER",AM632="COUPE – À RESOUDER",AM632="VT REJETÉ – À REPRENDRE")),MAX(0,'PROGRAMME RT'!$C$4-R632),"")</f>
        <v/>
      </c>
      <c r="AO632" s="78" t="n">
        <f aca="false">IF(AND(OR(AM632="À RADIOGRAPHIER",AM632="RÉPARÉ – À RADIOGRAPHIER",AM632="NX – RT À REFAIRE"),OR('PROGRAMME RT'!$D$5="TOUTES",B632='PROGRAMME RT'!$D$5)),1,0)</f>
        <v>0</v>
      </c>
      <c r="AP632" s="78" t="str">
        <f aca="false">IF(AO632=1,SUM(AO$7:AO632),"")</f>
        <v/>
      </c>
      <c r="AQ632" s="78" t="n">
        <f aca="false">IF(AND(OR(X632="R",X632="NX",X632="NT",X632="CO"),OR('JOINTS DE RÉPARATION'!$D$5="TOUTES",B632='JOINTS DE RÉPARATION'!$D$5),OR('JOINTS DE RÉPARATION'!$L$4="TOUS",AM632&lt;&gt;"ACCEPTÉ")),1,0)</f>
        <v>0</v>
      </c>
      <c r="AR632" s="78" t="str">
        <f aca="false">IF(AQ632=1,SUM(AQ$7:AQ632),"")</f>
        <v/>
      </c>
    </row>
    <row r="633" customFormat="false" ht="15" hidden="false" customHeight="false" outlineLevel="0" collapsed="false">
      <c r="A633" s="78" t="n">
        <f aca="false">IF(E633="","",ROW()-6)</f>
        <v>627</v>
      </c>
      <c r="B633" s="79" t="s">
        <v>586</v>
      </c>
      <c r="C633" s="80"/>
      <c r="D633" s="80"/>
      <c r="E633" s="80" t="s">
        <v>169</v>
      </c>
      <c r="F633" s="80"/>
      <c r="G633" s="80" t="s">
        <v>106</v>
      </c>
      <c r="H633" s="80"/>
      <c r="I633" s="80"/>
      <c r="J633" s="80"/>
      <c r="K633" s="80"/>
      <c r="L633" s="81" t="str">
        <f aca="false">IF(K633="","",IFERROR(INDEX(BARDAGE!$C$7:$C$1506,MATCH(K633,BARDAGE!$B$7:$B$1506,0)),"? hors registre"))</f>
        <v/>
      </c>
      <c r="M633" s="80"/>
      <c r="N633" s="81" t="str">
        <f aca="false">IF(M633="","",IFERROR(INDEX(BARDAGE!$C$7:$C$1506,MATCH(M633,BARDAGE!$B$7:$B$1506,0)),"? hors registre"))</f>
        <v/>
      </c>
      <c r="O633" s="80"/>
      <c r="P633" s="80"/>
      <c r="Q633" s="80"/>
      <c r="R633" s="82"/>
      <c r="S633" s="82"/>
      <c r="T633" s="80"/>
      <c r="U633" s="80"/>
      <c r="V633" s="82"/>
      <c r="W633" s="80"/>
      <c r="X633" s="80"/>
      <c r="Y633" s="80"/>
      <c r="Z633" s="80"/>
      <c r="AA633" s="82"/>
      <c r="AB633" s="80"/>
      <c r="AC633" s="80"/>
      <c r="AD633" s="80"/>
      <c r="AE633" s="80"/>
      <c r="AF633" s="82"/>
      <c r="AG633" s="80"/>
      <c r="AH633" s="80"/>
      <c r="AI633" s="82"/>
      <c r="AJ633" s="79"/>
      <c r="AK633" s="78" t="n">
        <f aca="false">IF(E633="","",(X633&lt;&gt;"")+(AC633&lt;&gt;"")+(AH633&lt;&gt;""))</f>
        <v>0</v>
      </c>
      <c r="AL633" s="81" t="str">
        <f aca="false">IF(AH633&lt;&gt;"",AH633,IF(AC633&lt;&gt;"",AC633,IF(X633&lt;&gt;"",X633,"")))</f>
        <v/>
      </c>
      <c r="AM633" s="83" t="str">
        <f aca="false">IF(E633="","",IF(R633="","À SOUDER",IF(U633="","VT EN ATTENTE",IF(U633="R","VT REJETÉ – À REPRENDRE",IF(AL633="","À RADIOGRAPHIER",IF(AL633="A","ACCEPTÉ",IF(AL633="NX","NX – RT À REFAIRE",IF(IF(AK633=1,Z633,IF(AK633=2,AE633,""))="A","RÉPARÉ – À RADIOGRAPHIER",IF(IF(AK633=1,Z633,IF(AK633=2,AE633,""))="R","VT REJETÉ – À REPRENDRE",IF(OR(AL633="CO",AL633="NT"),"COUPE – À RESOUDER","À RÉPARER"))))))))))</f>
        <v>À SOUDER</v>
      </c>
      <c r="AN633" s="81" t="str">
        <f aca="false">IF(AND(ISNUMBER(R633),OR(AM633="À RADIOGRAPHIER",AM633="RÉPARÉ – À RADIOGRAPHIER",AM633="NX – RT À REFAIRE",AM633="À RÉPARER",AM633="COUPE – À RESOUDER",AM633="VT REJETÉ – À REPRENDRE")),MAX(0,'PROGRAMME RT'!$C$4-R633),"")</f>
        <v/>
      </c>
      <c r="AO633" s="78" t="n">
        <f aca="false">IF(AND(OR(AM633="À RADIOGRAPHIER",AM633="RÉPARÉ – À RADIOGRAPHIER",AM633="NX – RT À REFAIRE"),OR('PROGRAMME RT'!$D$5="TOUTES",B633='PROGRAMME RT'!$D$5)),1,0)</f>
        <v>0</v>
      </c>
      <c r="AP633" s="78" t="str">
        <f aca="false">IF(AO633=1,SUM(AO$7:AO633),"")</f>
        <v/>
      </c>
      <c r="AQ633" s="78" t="n">
        <f aca="false">IF(AND(OR(X633="R",X633="NX",X633="NT",X633="CO"),OR('JOINTS DE RÉPARATION'!$D$5="TOUTES",B633='JOINTS DE RÉPARATION'!$D$5),OR('JOINTS DE RÉPARATION'!$L$4="TOUS",AM633&lt;&gt;"ACCEPTÉ")),1,0)</f>
        <v>0</v>
      </c>
      <c r="AR633" s="78" t="str">
        <f aca="false">IF(AQ633=1,SUM(AQ$7:AQ633),"")</f>
        <v/>
      </c>
    </row>
    <row r="634" customFormat="false" ht="15" hidden="false" customHeight="false" outlineLevel="0" collapsed="false">
      <c r="A634" s="78" t="n">
        <f aca="false">IF(E634="","",ROW()-6)</f>
        <v>628</v>
      </c>
      <c r="B634" s="79" t="s">
        <v>586</v>
      </c>
      <c r="C634" s="80"/>
      <c r="D634" s="80"/>
      <c r="E634" s="80" t="s">
        <v>172</v>
      </c>
      <c r="F634" s="80"/>
      <c r="G634" s="80" t="s">
        <v>106</v>
      </c>
      <c r="H634" s="80"/>
      <c r="I634" s="80"/>
      <c r="J634" s="80"/>
      <c r="K634" s="80"/>
      <c r="L634" s="81" t="str">
        <f aca="false">IF(K634="","",IFERROR(INDEX(BARDAGE!$C$7:$C$1506,MATCH(K634,BARDAGE!$B$7:$B$1506,0)),"? hors registre"))</f>
        <v/>
      </c>
      <c r="M634" s="80"/>
      <c r="N634" s="81" t="str">
        <f aca="false">IF(M634="","",IFERROR(INDEX(BARDAGE!$C$7:$C$1506,MATCH(M634,BARDAGE!$B$7:$B$1506,0)),"? hors registre"))</f>
        <v/>
      </c>
      <c r="O634" s="80"/>
      <c r="P634" s="80"/>
      <c r="Q634" s="80"/>
      <c r="R634" s="82"/>
      <c r="S634" s="82"/>
      <c r="T634" s="80"/>
      <c r="U634" s="80"/>
      <c r="V634" s="82"/>
      <c r="W634" s="80"/>
      <c r="X634" s="80"/>
      <c r="Y634" s="80"/>
      <c r="Z634" s="80"/>
      <c r="AA634" s="82"/>
      <c r="AB634" s="80"/>
      <c r="AC634" s="80"/>
      <c r="AD634" s="80"/>
      <c r="AE634" s="80"/>
      <c r="AF634" s="82"/>
      <c r="AG634" s="80"/>
      <c r="AH634" s="80"/>
      <c r="AI634" s="82"/>
      <c r="AJ634" s="79"/>
      <c r="AK634" s="78" t="n">
        <f aca="false">IF(E634="","",(X634&lt;&gt;"")+(AC634&lt;&gt;"")+(AH634&lt;&gt;""))</f>
        <v>0</v>
      </c>
      <c r="AL634" s="81" t="str">
        <f aca="false">IF(AH634&lt;&gt;"",AH634,IF(AC634&lt;&gt;"",AC634,IF(X634&lt;&gt;"",X634,"")))</f>
        <v/>
      </c>
      <c r="AM634" s="83" t="str">
        <f aca="false">IF(E634="","",IF(R634="","À SOUDER",IF(U634="","VT EN ATTENTE",IF(U634="R","VT REJETÉ – À REPRENDRE",IF(AL634="","À RADIOGRAPHIER",IF(AL634="A","ACCEPTÉ",IF(AL634="NX","NX – RT À REFAIRE",IF(IF(AK634=1,Z634,IF(AK634=2,AE634,""))="A","RÉPARÉ – À RADIOGRAPHIER",IF(IF(AK634=1,Z634,IF(AK634=2,AE634,""))="R","VT REJETÉ – À REPRENDRE",IF(OR(AL634="CO",AL634="NT"),"COUPE – À RESOUDER","À RÉPARER"))))))))))</f>
        <v>À SOUDER</v>
      </c>
      <c r="AN634" s="81" t="str">
        <f aca="false">IF(AND(ISNUMBER(R634),OR(AM634="À RADIOGRAPHIER",AM634="RÉPARÉ – À RADIOGRAPHIER",AM634="NX – RT À REFAIRE",AM634="À RÉPARER",AM634="COUPE – À RESOUDER",AM634="VT REJETÉ – À REPRENDRE")),MAX(0,'PROGRAMME RT'!$C$4-R634),"")</f>
        <v/>
      </c>
      <c r="AO634" s="78" t="n">
        <f aca="false">IF(AND(OR(AM634="À RADIOGRAPHIER",AM634="RÉPARÉ – À RADIOGRAPHIER",AM634="NX – RT À REFAIRE"),OR('PROGRAMME RT'!$D$5="TOUTES",B634='PROGRAMME RT'!$D$5)),1,0)</f>
        <v>0</v>
      </c>
      <c r="AP634" s="78" t="str">
        <f aca="false">IF(AO634=1,SUM(AO$7:AO634),"")</f>
        <v/>
      </c>
      <c r="AQ634" s="78" t="n">
        <f aca="false">IF(AND(OR(X634="R",X634="NX",X634="NT",X634="CO"),OR('JOINTS DE RÉPARATION'!$D$5="TOUTES",B634='JOINTS DE RÉPARATION'!$D$5),OR('JOINTS DE RÉPARATION'!$L$4="TOUS",AM634&lt;&gt;"ACCEPTÉ")),1,0)</f>
        <v>0</v>
      </c>
      <c r="AR634" s="78" t="str">
        <f aca="false">IF(AQ634=1,SUM(AQ$7:AQ634),"")</f>
        <v/>
      </c>
    </row>
    <row r="635" customFormat="false" ht="15" hidden="false" customHeight="false" outlineLevel="0" collapsed="false">
      <c r="A635" s="78" t="n">
        <f aca="false">IF(E635="","",ROW()-6)</f>
        <v>629</v>
      </c>
      <c r="B635" s="79" t="s">
        <v>586</v>
      </c>
      <c r="C635" s="80"/>
      <c r="D635" s="80"/>
      <c r="E635" s="80" t="s">
        <v>174</v>
      </c>
      <c r="F635" s="80"/>
      <c r="G635" s="80" t="s">
        <v>106</v>
      </c>
      <c r="H635" s="80"/>
      <c r="I635" s="80"/>
      <c r="J635" s="80"/>
      <c r="K635" s="80"/>
      <c r="L635" s="81" t="str">
        <f aca="false">IF(K635="","",IFERROR(INDEX(BARDAGE!$C$7:$C$1506,MATCH(K635,BARDAGE!$B$7:$B$1506,0)),"? hors registre"))</f>
        <v/>
      </c>
      <c r="M635" s="80"/>
      <c r="N635" s="81" t="str">
        <f aca="false">IF(M635="","",IFERROR(INDEX(BARDAGE!$C$7:$C$1506,MATCH(M635,BARDAGE!$B$7:$B$1506,0)),"? hors registre"))</f>
        <v/>
      </c>
      <c r="O635" s="80"/>
      <c r="P635" s="80"/>
      <c r="Q635" s="80"/>
      <c r="R635" s="82"/>
      <c r="S635" s="82"/>
      <c r="T635" s="80"/>
      <c r="U635" s="80"/>
      <c r="V635" s="82"/>
      <c r="W635" s="80"/>
      <c r="X635" s="80"/>
      <c r="Y635" s="80"/>
      <c r="Z635" s="80"/>
      <c r="AA635" s="82"/>
      <c r="AB635" s="80"/>
      <c r="AC635" s="80"/>
      <c r="AD635" s="80"/>
      <c r="AE635" s="80"/>
      <c r="AF635" s="82"/>
      <c r="AG635" s="80"/>
      <c r="AH635" s="80"/>
      <c r="AI635" s="82"/>
      <c r="AJ635" s="79"/>
      <c r="AK635" s="78" t="n">
        <f aca="false">IF(E635="","",(X635&lt;&gt;"")+(AC635&lt;&gt;"")+(AH635&lt;&gt;""))</f>
        <v>0</v>
      </c>
      <c r="AL635" s="81" t="str">
        <f aca="false">IF(AH635&lt;&gt;"",AH635,IF(AC635&lt;&gt;"",AC635,IF(X635&lt;&gt;"",X635,"")))</f>
        <v/>
      </c>
      <c r="AM635" s="83" t="str">
        <f aca="false">IF(E635="","",IF(R635="","À SOUDER",IF(U635="","VT EN ATTENTE",IF(U635="R","VT REJETÉ – À REPRENDRE",IF(AL635="","À RADIOGRAPHIER",IF(AL635="A","ACCEPTÉ",IF(AL635="NX","NX – RT À REFAIRE",IF(IF(AK635=1,Z635,IF(AK635=2,AE635,""))="A","RÉPARÉ – À RADIOGRAPHIER",IF(IF(AK635=1,Z635,IF(AK635=2,AE635,""))="R","VT REJETÉ – À REPRENDRE",IF(OR(AL635="CO",AL635="NT"),"COUPE – À RESOUDER","À RÉPARER"))))))))))</f>
        <v>À SOUDER</v>
      </c>
      <c r="AN635" s="81" t="str">
        <f aca="false">IF(AND(ISNUMBER(R635),OR(AM635="À RADIOGRAPHIER",AM635="RÉPARÉ – À RADIOGRAPHIER",AM635="NX – RT À REFAIRE",AM635="À RÉPARER",AM635="COUPE – À RESOUDER",AM635="VT REJETÉ – À REPRENDRE")),MAX(0,'PROGRAMME RT'!$C$4-R635),"")</f>
        <v/>
      </c>
      <c r="AO635" s="78" t="n">
        <f aca="false">IF(AND(OR(AM635="À RADIOGRAPHIER",AM635="RÉPARÉ – À RADIOGRAPHIER",AM635="NX – RT À REFAIRE"),OR('PROGRAMME RT'!$D$5="TOUTES",B635='PROGRAMME RT'!$D$5)),1,0)</f>
        <v>0</v>
      </c>
      <c r="AP635" s="78" t="str">
        <f aca="false">IF(AO635=1,SUM(AO$7:AO635),"")</f>
        <v/>
      </c>
      <c r="AQ635" s="78" t="n">
        <f aca="false">IF(AND(OR(X635="R",X635="NX",X635="NT",X635="CO"),OR('JOINTS DE RÉPARATION'!$D$5="TOUTES",B635='JOINTS DE RÉPARATION'!$D$5),OR('JOINTS DE RÉPARATION'!$L$4="TOUS",AM635&lt;&gt;"ACCEPTÉ")),1,0)</f>
        <v>0</v>
      </c>
      <c r="AR635" s="78" t="str">
        <f aca="false">IF(AQ635=1,SUM(AQ$7:AQ635),"")</f>
        <v/>
      </c>
    </row>
    <row r="636" customFormat="false" ht="15" hidden="false" customHeight="false" outlineLevel="0" collapsed="false">
      <c r="A636" s="78" t="n">
        <f aca="false">IF(E636="","",ROW()-6)</f>
        <v>630</v>
      </c>
      <c r="B636" s="79" t="s">
        <v>586</v>
      </c>
      <c r="C636" s="80"/>
      <c r="D636" s="80"/>
      <c r="E636" s="80" t="s">
        <v>176</v>
      </c>
      <c r="F636" s="80"/>
      <c r="G636" s="80" t="s">
        <v>106</v>
      </c>
      <c r="H636" s="80"/>
      <c r="I636" s="80"/>
      <c r="J636" s="80"/>
      <c r="K636" s="80"/>
      <c r="L636" s="81" t="str">
        <f aca="false">IF(K636="","",IFERROR(INDEX(BARDAGE!$C$7:$C$1506,MATCH(K636,BARDAGE!$B$7:$B$1506,0)),"? hors registre"))</f>
        <v/>
      </c>
      <c r="M636" s="80"/>
      <c r="N636" s="81" t="str">
        <f aca="false">IF(M636="","",IFERROR(INDEX(BARDAGE!$C$7:$C$1506,MATCH(M636,BARDAGE!$B$7:$B$1506,0)),"? hors registre"))</f>
        <v/>
      </c>
      <c r="O636" s="80"/>
      <c r="P636" s="80"/>
      <c r="Q636" s="80"/>
      <c r="R636" s="82"/>
      <c r="S636" s="82"/>
      <c r="T636" s="80"/>
      <c r="U636" s="80"/>
      <c r="V636" s="82"/>
      <c r="W636" s="80"/>
      <c r="X636" s="80"/>
      <c r="Y636" s="80"/>
      <c r="Z636" s="80"/>
      <c r="AA636" s="82"/>
      <c r="AB636" s="80"/>
      <c r="AC636" s="80"/>
      <c r="AD636" s="80"/>
      <c r="AE636" s="80"/>
      <c r="AF636" s="82"/>
      <c r="AG636" s="80"/>
      <c r="AH636" s="80"/>
      <c r="AI636" s="82"/>
      <c r="AJ636" s="79"/>
      <c r="AK636" s="78" t="n">
        <f aca="false">IF(E636="","",(X636&lt;&gt;"")+(AC636&lt;&gt;"")+(AH636&lt;&gt;""))</f>
        <v>0</v>
      </c>
      <c r="AL636" s="81" t="str">
        <f aca="false">IF(AH636&lt;&gt;"",AH636,IF(AC636&lt;&gt;"",AC636,IF(X636&lt;&gt;"",X636,"")))</f>
        <v/>
      </c>
      <c r="AM636" s="83" t="str">
        <f aca="false">IF(E636="","",IF(R636="","À SOUDER",IF(U636="","VT EN ATTENTE",IF(U636="R","VT REJETÉ – À REPRENDRE",IF(AL636="","À RADIOGRAPHIER",IF(AL636="A","ACCEPTÉ",IF(AL636="NX","NX – RT À REFAIRE",IF(IF(AK636=1,Z636,IF(AK636=2,AE636,""))="A","RÉPARÉ – À RADIOGRAPHIER",IF(IF(AK636=1,Z636,IF(AK636=2,AE636,""))="R","VT REJETÉ – À REPRENDRE",IF(OR(AL636="CO",AL636="NT"),"COUPE – À RESOUDER","À RÉPARER"))))))))))</f>
        <v>À SOUDER</v>
      </c>
      <c r="AN636" s="81" t="str">
        <f aca="false">IF(AND(ISNUMBER(R636),OR(AM636="À RADIOGRAPHIER",AM636="RÉPARÉ – À RADIOGRAPHIER",AM636="NX – RT À REFAIRE",AM636="À RÉPARER",AM636="COUPE – À RESOUDER",AM636="VT REJETÉ – À REPRENDRE")),MAX(0,'PROGRAMME RT'!$C$4-R636),"")</f>
        <v/>
      </c>
      <c r="AO636" s="78" t="n">
        <f aca="false">IF(AND(OR(AM636="À RADIOGRAPHIER",AM636="RÉPARÉ – À RADIOGRAPHIER",AM636="NX – RT À REFAIRE"),OR('PROGRAMME RT'!$D$5="TOUTES",B636='PROGRAMME RT'!$D$5)),1,0)</f>
        <v>0</v>
      </c>
      <c r="AP636" s="78" t="str">
        <f aca="false">IF(AO636=1,SUM(AO$7:AO636),"")</f>
        <v/>
      </c>
      <c r="AQ636" s="78" t="n">
        <f aca="false">IF(AND(OR(X636="R",X636="NX",X636="NT",X636="CO"),OR('JOINTS DE RÉPARATION'!$D$5="TOUTES",B636='JOINTS DE RÉPARATION'!$D$5),OR('JOINTS DE RÉPARATION'!$L$4="TOUS",AM636&lt;&gt;"ACCEPTÉ")),1,0)</f>
        <v>0</v>
      </c>
      <c r="AR636" s="78" t="str">
        <f aca="false">IF(AQ636=1,SUM(AQ$7:AQ636),"")</f>
        <v/>
      </c>
    </row>
    <row r="637" customFormat="false" ht="15" hidden="false" customHeight="false" outlineLevel="0" collapsed="false">
      <c r="A637" s="78" t="n">
        <f aca="false">IF(E637="","",ROW()-6)</f>
        <v>631</v>
      </c>
      <c r="B637" s="79" t="s">
        <v>586</v>
      </c>
      <c r="C637" s="80"/>
      <c r="D637" s="80"/>
      <c r="E637" s="80" t="s">
        <v>178</v>
      </c>
      <c r="F637" s="80"/>
      <c r="G637" s="80" t="s">
        <v>106</v>
      </c>
      <c r="H637" s="80"/>
      <c r="I637" s="80"/>
      <c r="J637" s="80"/>
      <c r="K637" s="80"/>
      <c r="L637" s="81" t="str">
        <f aca="false">IF(K637="","",IFERROR(INDEX(BARDAGE!$C$7:$C$1506,MATCH(K637,BARDAGE!$B$7:$B$1506,0)),"? hors registre"))</f>
        <v/>
      </c>
      <c r="M637" s="80"/>
      <c r="N637" s="81" t="str">
        <f aca="false">IF(M637="","",IFERROR(INDEX(BARDAGE!$C$7:$C$1506,MATCH(M637,BARDAGE!$B$7:$B$1506,0)),"? hors registre"))</f>
        <v/>
      </c>
      <c r="O637" s="80"/>
      <c r="P637" s="80"/>
      <c r="Q637" s="80"/>
      <c r="R637" s="82"/>
      <c r="S637" s="82"/>
      <c r="T637" s="80"/>
      <c r="U637" s="80"/>
      <c r="V637" s="82"/>
      <c r="W637" s="80"/>
      <c r="X637" s="80"/>
      <c r="Y637" s="80"/>
      <c r="Z637" s="80"/>
      <c r="AA637" s="82"/>
      <c r="AB637" s="80"/>
      <c r="AC637" s="80"/>
      <c r="AD637" s="80"/>
      <c r="AE637" s="80"/>
      <c r="AF637" s="82"/>
      <c r="AG637" s="80"/>
      <c r="AH637" s="80"/>
      <c r="AI637" s="82"/>
      <c r="AJ637" s="79"/>
      <c r="AK637" s="78" t="n">
        <f aca="false">IF(E637="","",(X637&lt;&gt;"")+(AC637&lt;&gt;"")+(AH637&lt;&gt;""))</f>
        <v>0</v>
      </c>
      <c r="AL637" s="81" t="str">
        <f aca="false">IF(AH637&lt;&gt;"",AH637,IF(AC637&lt;&gt;"",AC637,IF(X637&lt;&gt;"",X637,"")))</f>
        <v/>
      </c>
      <c r="AM637" s="83" t="str">
        <f aca="false">IF(E637="","",IF(R637="","À SOUDER",IF(U637="","VT EN ATTENTE",IF(U637="R","VT REJETÉ – À REPRENDRE",IF(AL637="","À RADIOGRAPHIER",IF(AL637="A","ACCEPTÉ",IF(AL637="NX","NX – RT À REFAIRE",IF(IF(AK637=1,Z637,IF(AK637=2,AE637,""))="A","RÉPARÉ – À RADIOGRAPHIER",IF(IF(AK637=1,Z637,IF(AK637=2,AE637,""))="R","VT REJETÉ – À REPRENDRE",IF(OR(AL637="CO",AL637="NT"),"COUPE – À RESOUDER","À RÉPARER"))))))))))</f>
        <v>À SOUDER</v>
      </c>
      <c r="AN637" s="81" t="str">
        <f aca="false">IF(AND(ISNUMBER(R637),OR(AM637="À RADIOGRAPHIER",AM637="RÉPARÉ – À RADIOGRAPHIER",AM637="NX – RT À REFAIRE",AM637="À RÉPARER",AM637="COUPE – À RESOUDER",AM637="VT REJETÉ – À REPRENDRE")),MAX(0,'PROGRAMME RT'!$C$4-R637),"")</f>
        <v/>
      </c>
      <c r="AO637" s="78" t="n">
        <f aca="false">IF(AND(OR(AM637="À RADIOGRAPHIER",AM637="RÉPARÉ – À RADIOGRAPHIER",AM637="NX – RT À REFAIRE"),OR('PROGRAMME RT'!$D$5="TOUTES",B637='PROGRAMME RT'!$D$5)),1,0)</f>
        <v>0</v>
      </c>
      <c r="AP637" s="78" t="str">
        <f aca="false">IF(AO637=1,SUM(AO$7:AO637),"")</f>
        <v/>
      </c>
      <c r="AQ637" s="78" t="n">
        <f aca="false">IF(AND(OR(X637="R",X637="NX",X637="NT",X637="CO"),OR('JOINTS DE RÉPARATION'!$D$5="TOUTES",B637='JOINTS DE RÉPARATION'!$D$5),OR('JOINTS DE RÉPARATION'!$L$4="TOUS",AM637&lt;&gt;"ACCEPTÉ")),1,0)</f>
        <v>0</v>
      </c>
      <c r="AR637" s="78" t="str">
        <f aca="false">IF(AQ637=1,SUM(AQ$7:AQ637),"")</f>
        <v/>
      </c>
    </row>
    <row r="638" customFormat="false" ht="15" hidden="false" customHeight="false" outlineLevel="0" collapsed="false">
      <c r="A638" s="78" t="n">
        <f aca="false">IF(E638="","",ROW()-6)</f>
        <v>632</v>
      </c>
      <c r="B638" s="79" t="s">
        <v>586</v>
      </c>
      <c r="C638" s="80"/>
      <c r="D638" s="80"/>
      <c r="E638" s="80" t="s">
        <v>180</v>
      </c>
      <c r="F638" s="80"/>
      <c r="G638" s="80" t="s">
        <v>106</v>
      </c>
      <c r="H638" s="80"/>
      <c r="I638" s="80"/>
      <c r="J638" s="80"/>
      <c r="K638" s="80"/>
      <c r="L638" s="81" t="str">
        <f aca="false">IF(K638="","",IFERROR(INDEX(BARDAGE!$C$7:$C$1506,MATCH(K638,BARDAGE!$B$7:$B$1506,0)),"? hors registre"))</f>
        <v/>
      </c>
      <c r="M638" s="80"/>
      <c r="N638" s="81" t="str">
        <f aca="false">IF(M638="","",IFERROR(INDEX(BARDAGE!$C$7:$C$1506,MATCH(M638,BARDAGE!$B$7:$B$1506,0)),"? hors registre"))</f>
        <v/>
      </c>
      <c r="O638" s="80"/>
      <c r="P638" s="80"/>
      <c r="Q638" s="80"/>
      <c r="R638" s="82"/>
      <c r="S638" s="82"/>
      <c r="T638" s="80"/>
      <c r="U638" s="80"/>
      <c r="V638" s="82"/>
      <c r="W638" s="80"/>
      <c r="X638" s="80"/>
      <c r="Y638" s="80"/>
      <c r="Z638" s="80"/>
      <c r="AA638" s="82"/>
      <c r="AB638" s="80"/>
      <c r="AC638" s="80"/>
      <c r="AD638" s="80"/>
      <c r="AE638" s="80"/>
      <c r="AF638" s="82"/>
      <c r="AG638" s="80"/>
      <c r="AH638" s="80"/>
      <c r="AI638" s="82"/>
      <c r="AJ638" s="79"/>
      <c r="AK638" s="78" t="n">
        <f aca="false">IF(E638="","",(X638&lt;&gt;"")+(AC638&lt;&gt;"")+(AH638&lt;&gt;""))</f>
        <v>0</v>
      </c>
      <c r="AL638" s="81" t="str">
        <f aca="false">IF(AH638&lt;&gt;"",AH638,IF(AC638&lt;&gt;"",AC638,IF(X638&lt;&gt;"",X638,"")))</f>
        <v/>
      </c>
      <c r="AM638" s="83" t="str">
        <f aca="false">IF(E638="","",IF(R638="","À SOUDER",IF(U638="","VT EN ATTENTE",IF(U638="R","VT REJETÉ – À REPRENDRE",IF(AL638="","À RADIOGRAPHIER",IF(AL638="A","ACCEPTÉ",IF(AL638="NX","NX – RT À REFAIRE",IF(IF(AK638=1,Z638,IF(AK638=2,AE638,""))="A","RÉPARÉ – À RADIOGRAPHIER",IF(IF(AK638=1,Z638,IF(AK638=2,AE638,""))="R","VT REJETÉ – À REPRENDRE",IF(OR(AL638="CO",AL638="NT"),"COUPE – À RESOUDER","À RÉPARER"))))))))))</f>
        <v>À SOUDER</v>
      </c>
      <c r="AN638" s="81" t="str">
        <f aca="false">IF(AND(ISNUMBER(R638),OR(AM638="À RADIOGRAPHIER",AM638="RÉPARÉ – À RADIOGRAPHIER",AM638="NX – RT À REFAIRE",AM638="À RÉPARER",AM638="COUPE – À RESOUDER",AM638="VT REJETÉ – À REPRENDRE")),MAX(0,'PROGRAMME RT'!$C$4-R638),"")</f>
        <v/>
      </c>
      <c r="AO638" s="78" t="n">
        <f aca="false">IF(AND(OR(AM638="À RADIOGRAPHIER",AM638="RÉPARÉ – À RADIOGRAPHIER",AM638="NX – RT À REFAIRE"),OR('PROGRAMME RT'!$D$5="TOUTES",B638='PROGRAMME RT'!$D$5)),1,0)</f>
        <v>0</v>
      </c>
      <c r="AP638" s="78" t="str">
        <f aca="false">IF(AO638=1,SUM(AO$7:AO638),"")</f>
        <v/>
      </c>
      <c r="AQ638" s="78" t="n">
        <f aca="false">IF(AND(OR(X638="R",X638="NX",X638="NT",X638="CO"),OR('JOINTS DE RÉPARATION'!$D$5="TOUTES",B638='JOINTS DE RÉPARATION'!$D$5),OR('JOINTS DE RÉPARATION'!$L$4="TOUS",AM638&lt;&gt;"ACCEPTÉ")),1,0)</f>
        <v>0</v>
      </c>
      <c r="AR638" s="78" t="str">
        <f aca="false">IF(AQ638=1,SUM(AQ$7:AQ638),"")</f>
        <v/>
      </c>
    </row>
    <row r="639" customFormat="false" ht="15" hidden="false" customHeight="false" outlineLevel="0" collapsed="false">
      <c r="A639" s="78" t="n">
        <f aca="false">IF(E639="","",ROW()-6)</f>
        <v>633</v>
      </c>
      <c r="B639" s="79" t="s">
        <v>586</v>
      </c>
      <c r="C639" s="80"/>
      <c r="D639" s="80"/>
      <c r="E639" s="80" t="s">
        <v>182</v>
      </c>
      <c r="F639" s="80"/>
      <c r="G639" s="80" t="s">
        <v>106</v>
      </c>
      <c r="H639" s="80"/>
      <c r="I639" s="80"/>
      <c r="J639" s="80"/>
      <c r="K639" s="80"/>
      <c r="L639" s="81" t="str">
        <f aca="false">IF(K639="","",IFERROR(INDEX(BARDAGE!$C$7:$C$1506,MATCH(K639,BARDAGE!$B$7:$B$1506,0)),"? hors registre"))</f>
        <v/>
      </c>
      <c r="M639" s="80"/>
      <c r="N639" s="81" t="str">
        <f aca="false">IF(M639="","",IFERROR(INDEX(BARDAGE!$C$7:$C$1506,MATCH(M639,BARDAGE!$B$7:$B$1506,0)),"? hors registre"))</f>
        <v/>
      </c>
      <c r="O639" s="80"/>
      <c r="P639" s="80"/>
      <c r="Q639" s="80"/>
      <c r="R639" s="82"/>
      <c r="S639" s="82"/>
      <c r="T639" s="80"/>
      <c r="U639" s="80"/>
      <c r="V639" s="82"/>
      <c r="W639" s="80"/>
      <c r="X639" s="80"/>
      <c r="Y639" s="80"/>
      <c r="Z639" s="80"/>
      <c r="AA639" s="82"/>
      <c r="AB639" s="80"/>
      <c r="AC639" s="80"/>
      <c r="AD639" s="80"/>
      <c r="AE639" s="80"/>
      <c r="AF639" s="82"/>
      <c r="AG639" s="80"/>
      <c r="AH639" s="80"/>
      <c r="AI639" s="82"/>
      <c r="AJ639" s="79"/>
      <c r="AK639" s="78" t="n">
        <f aca="false">IF(E639="","",(X639&lt;&gt;"")+(AC639&lt;&gt;"")+(AH639&lt;&gt;""))</f>
        <v>0</v>
      </c>
      <c r="AL639" s="81" t="str">
        <f aca="false">IF(AH639&lt;&gt;"",AH639,IF(AC639&lt;&gt;"",AC639,IF(X639&lt;&gt;"",X639,"")))</f>
        <v/>
      </c>
      <c r="AM639" s="83" t="str">
        <f aca="false">IF(E639="","",IF(R639="","À SOUDER",IF(U639="","VT EN ATTENTE",IF(U639="R","VT REJETÉ – À REPRENDRE",IF(AL639="","À RADIOGRAPHIER",IF(AL639="A","ACCEPTÉ",IF(AL639="NX","NX – RT À REFAIRE",IF(IF(AK639=1,Z639,IF(AK639=2,AE639,""))="A","RÉPARÉ – À RADIOGRAPHIER",IF(IF(AK639=1,Z639,IF(AK639=2,AE639,""))="R","VT REJETÉ – À REPRENDRE",IF(OR(AL639="CO",AL639="NT"),"COUPE – À RESOUDER","À RÉPARER"))))))))))</f>
        <v>À SOUDER</v>
      </c>
      <c r="AN639" s="81" t="str">
        <f aca="false">IF(AND(ISNUMBER(R639),OR(AM639="À RADIOGRAPHIER",AM639="RÉPARÉ – À RADIOGRAPHIER",AM639="NX – RT À REFAIRE",AM639="À RÉPARER",AM639="COUPE – À RESOUDER",AM639="VT REJETÉ – À REPRENDRE")),MAX(0,'PROGRAMME RT'!$C$4-R639),"")</f>
        <v/>
      </c>
      <c r="AO639" s="78" t="n">
        <f aca="false">IF(AND(OR(AM639="À RADIOGRAPHIER",AM639="RÉPARÉ – À RADIOGRAPHIER",AM639="NX – RT À REFAIRE"),OR('PROGRAMME RT'!$D$5="TOUTES",B639='PROGRAMME RT'!$D$5)),1,0)</f>
        <v>0</v>
      </c>
      <c r="AP639" s="78" t="str">
        <f aca="false">IF(AO639=1,SUM(AO$7:AO639),"")</f>
        <v/>
      </c>
      <c r="AQ639" s="78" t="n">
        <f aca="false">IF(AND(OR(X639="R",X639="NX",X639="NT",X639="CO"),OR('JOINTS DE RÉPARATION'!$D$5="TOUTES",B639='JOINTS DE RÉPARATION'!$D$5),OR('JOINTS DE RÉPARATION'!$L$4="TOUS",AM639&lt;&gt;"ACCEPTÉ")),1,0)</f>
        <v>0</v>
      </c>
      <c r="AR639" s="78" t="str">
        <f aca="false">IF(AQ639=1,SUM(AQ$7:AQ639),"")</f>
        <v/>
      </c>
    </row>
    <row r="640" customFormat="false" ht="15" hidden="false" customHeight="false" outlineLevel="0" collapsed="false">
      <c r="A640" s="78" t="n">
        <f aca="false">IF(E640="","",ROW()-6)</f>
        <v>634</v>
      </c>
      <c r="B640" s="79" t="s">
        <v>586</v>
      </c>
      <c r="C640" s="80"/>
      <c r="D640" s="80"/>
      <c r="E640" s="80" t="s">
        <v>186</v>
      </c>
      <c r="F640" s="80"/>
      <c r="G640" s="80" t="s">
        <v>106</v>
      </c>
      <c r="H640" s="80"/>
      <c r="I640" s="80"/>
      <c r="J640" s="80"/>
      <c r="K640" s="80"/>
      <c r="L640" s="81" t="str">
        <f aca="false">IF(K640="","",IFERROR(INDEX(BARDAGE!$C$7:$C$1506,MATCH(K640,BARDAGE!$B$7:$B$1506,0)),"? hors registre"))</f>
        <v/>
      </c>
      <c r="M640" s="80"/>
      <c r="N640" s="81" t="str">
        <f aca="false">IF(M640="","",IFERROR(INDEX(BARDAGE!$C$7:$C$1506,MATCH(M640,BARDAGE!$B$7:$B$1506,0)),"? hors registre"))</f>
        <v/>
      </c>
      <c r="O640" s="80"/>
      <c r="P640" s="80"/>
      <c r="Q640" s="80"/>
      <c r="R640" s="82"/>
      <c r="S640" s="82"/>
      <c r="T640" s="80"/>
      <c r="U640" s="80"/>
      <c r="V640" s="82"/>
      <c r="W640" s="80"/>
      <c r="X640" s="80"/>
      <c r="Y640" s="80"/>
      <c r="Z640" s="80"/>
      <c r="AA640" s="82"/>
      <c r="AB640" s="80"/>
      <c r="AC640" s="80"/>
      <c r="AD640" s="80"/>
      <c r="AE640" s="80"/>
      <c r="AF640" s="82"/>
      <c r="AG640" s="80"/>
      <c r="AH640" s="80"/>
      <c r="AI640" s="82"/>
      <c r="AJ640" s="79"/>
      <c r="AK640" s="78" t="n">
        <f aca="false">IF(E640="","",(X640&lt;&gt;"")+(AC640&lt;&gt;"")+(AH640&lt;&gt;""))</f>
        <v>0</v>
      </c>
      <c r="AL640" s="81" t="str">
        <f aca="false">IF(AH640&lt;&gt;"",AH640,IF(AC640&lt;&gt;"",AC640,IF(X640&lt;&gt;"",X640,"")))</f>
        <v/>
      </c>
      <c r="AM640" s="83" t="str">
        <f aca="false">IF(E640="","",IF(R640="","À SOUDER",IF(U640="","VT EN ATTENTE",IF(U640="R","VT REJETÉ – À REPRENDRE",IF(AL640="","À RADIOGRAPHIER",IF(AL640="A","ACCEPTÉ",IF(AL640="NX","NX – RT À REFAIRE",IF(IF(AK640=1,Z640,IF(AK640=2,AE640,""))="A","RÉPARÉ – À RADIOGRAPHIER",IF(IF(AK640=1,Z640,IF(AK640=2,AE640,""))="R","VT REJETÉ – À REPRENDRE",IF(OR(AL640="CO",AL640="NT"),"COUPE – À RESOUDER","À RÉPARER"))))))))))</f>
        <v>À SOUDER</v>
      </c>
      <c r="AN640" s="81" t="str">
        <f aca="false">IF(AND(ISNUMBER(R640),OR(AM640="À RADIOGRAPHIER",AM640="RÉPARÉ – À RADIOGRAPHIER",AM640="NX – RT À REFAIRE",AM640="À RÉPARER",AM640="COUPE – À RESOUDER",AM640="VT REJETÉ – À REPRENDRE")),MAX(0,'PROGRAMME RT'!$C$4-R640),"")</f>
        <v/>
      </c>
      <c r="AO640" s="78" t="n">
        <f aca="false">IF(AND(OR(AM640="À RADIOGRAPHIER",AM640="RÉPARÉ – À RADIOGRAPHIER",AM640="NX – RT À REFAIRE"),OR('PROGRAMME RT'!$D$5="TOUTES",B640='PROGRAMME RT'!$D$5)),1,0)</f>
        <v>0</v>
      </c>
      <c r="AP640" s="78" t="str">
        <f aca="false">IF(AO640=1,SUM(AO$7:AO640),"")</f>
        <v/>
      </c>
      <c r="AQ640" s="78" t="n">
        <f aca="false">IF(AND(OR(X640="R",X640="NX",X640="NT",X640="CO"),OR('JOINTS DE RÉPARATION'!$D$5="TOUTES",B640='JOINTS DE RÉPARATION'!$D$5),OR('JOINTS DE RÉPARATION'!$L$4="TOUS",AM640&lt;&gt;"ACCEPTÉ")),1,0)</f>
        <v>0</v>
      </c>
      <c r="AR640" s="78" t="str">
        <f aca="false">IF(AQ640=1,SUM(AQ$7:AQ640),"")</f>
        <v/>
      </c>
    </row>
    <row r="641" customFormat="false" ht="15" hidden="false" customHeight="false" outlineLevel="0" collapsed="false">
      <c r="A641" s="78" t="n">
        <f aca="false">IF(E641="","",ROW()-6)</f>
        <v>635</v>
      </c>
      <c r="B641" s="79" t="s">
        <v>586</v>
      </c>
      <c r="C641" s="80"/>
      <c r="D641" s="80"/>
      <c r="E641" s="80" t="s">
        <v>188</v>
      </c>
      <c r="F641" s="80"/>
      <c r="G641" s="80" t="s">
        <v>106</v>
      </c>
      <c r="H641" s="80"/>
      <c r="I641" s="80"/>
      <c r="J641" s="80"/>
      <c r="K641" s="80"/>
      <c r="L641" s="81" t="str">
        <f aca="false">IF(K641="","",IFERROR(INDEX(BARDAGE!$C$7:$C$1506,MATCH(K641,BARDAGE!$B$7:$B$1506,0)),"? hors registre"))</f>
        <v/>
      </c>
      <c r="M641" s="80"/>
      <c r="N641" s="81" t="str">
        <f aca="false">IF(M641="","",IFERROR(INDEX(BARDAGE!$C$7:$C$1506,MATCH(M641,BARDAGE!$B$7:$B$1506,0)),"? hors registre"))</f>
        <v/>
      </c>
      <c r="O641" s="80"/>
      <c r="P641" s="80"/>
      <c r="Q641" s="80"/>
      <c r="R641" s="82"/>
      <c r="S641" s="82"/>
      <c r="T641" s="80"/>
      <c r="U641" s="80"/>
      <c r="V641" s="82"/>
      <c r="W641" s="80"/>
      <c r="X641" s="80"/>
      <c r="Y641" s="80"/>
      <c r="Z641" s="80"/>
      <c r="AA641" s="82"/>
      <c r="AB641" s="80"/>
      <c r="AC641" s="80"/>
      <c r="AD641" s="80"/>
      <c r="AE641" s="80"/>
      <c r="AF641" s="82"/>
      <c r="AG641" s="80"/>
      <c r="AH641" s="80"/>
      <c r="AI641" s="82"/>
      <c r="AJ641" s="79"/>
      <c r="AK641" s="78" t="n">
        <f aca="false">IF(E641="","",(X641&lt;&gt;"")+(AC641&lt;&gt;"")+(AH641&lt;&gt;""))</f>
        <v>0</v>
      </c>
      <c r="AL641" s="81" t="str">
        <f aca="false">IF(AH641&lt;&gt;"",AH641,IF(AC641&lt;&gt;"",AC641,IF(X641&lt;&gt;"",X641,"")))</f>
        <v/>
      </c>
      <c r="AM641" s="83" t="str">
        <f aca="false">IF(E641="","",IF(R641="","À SOUDER",IF(U641="","VT EN ATTENTE",IF(U641="R","VT REJETÉ – À REPRENDRE",IF(AL641="","À RADIOGRAPHIER",IF(AL641="A","ACCEPTÉ",IF(AL641="NX","NX – RT À REFAIRE",IF(IF(AK641=1,Z641,IF(AK641=2,AE641,""))="A","RÉPARÉ – À RADIOGRAPHIER",IF(IF(AK641=1,Z641,IF(AK641=2,AE641,""))="R","VT REJETÉ – À REPRENDRE",IF(OR(AL641="CO",AL641="NT"),"COUPE – À RESOUDER","À RÉPARER"))))))))))</f>
        <v>À SOUDER</v>
      </c>
      <c r="AN641" s="81" t="str">
        <f aca="false">IF(AND(ISNUMBER(R641),OR(AM641="À RADIOGRAPHIER",AM641="RÉPARÉ – À RADIOGRAPHIER",AM641="NX – RT À REFAIRE",AM641="À RÉPARER",AM641="COUPE – À RESOUDER",AM641="VT REJETÉ – À REPRENDRE")),MAX(0,'PROGRAMME RT'!$C$4-R641),"")</f>
        <v/>
      </c>
      <c r="AO641" s="78" t="n">
        <f aca="false">IF(AND(OR(AM641="À RADIOGRAPHIER",AM641="RÉPARÉ – À RADIOGRAPHIER",AM641="NX – RT À REFAIRE"),OR('PROGRAMME RT'!$D$5="TOUTES",B641='PROGRAMME RT'!$D$5)),1,0)</f>
        <v>0</v>
      </c>
      <c r="AP641" s="78" t="str">
        <f aca="false">IF(AO641=1,SUM(AO$7:AO641),"")</f>
        <v/>
      </c>
      <c r="AQ641" s="78" t="n">
        <f aca="false">IF(AND(OR(X641="R",X641="NX",X641="NT",X641="CO"),OR('JOINTS DE RÉPARATION'!$D$5="TOUTES",B641='JOINTS DE RÉPARATION'!$D$5),OR('JOINTS DE RÉPARATION'!$L$4="TOUS",AM641&lt;&gt;"ACCEPTÉ")),1,0)</f>
        <v>0</v>
      </c>
      <c r="AR641" s="78" t="str">
        <f aca="false">IF(AQ641=1,SUM(AQ$7:AQ641),"")</f>
        <v/>
      </c>
    </row>
    <row r="642" customFormat="false" ht="15" hidden="false" customHeight="false" outlineLevel="0" collapsed="false">
      <c r="A642" s="78" t="n">
        <f aca="false">IF(E642="","",ROW()-6)</f>
        <v>636</v>
      </c>
      <c r="B642" s="79" t="s">
        <v>586</v>
      </c>
      <c r="C642" s="80"/>
      <c r="D642" s="80"/>
      <c r="E642" s="80" t="s">
        <v>190</v>
      </c>
      <c r="F642" s="80"/>
      <c r="G642" s="80" t="s">
        <v>106</v>
      </c>
      <c r="H642" s="80"/>
      <c r="I642" s="80"/>
      <c r="J642" s="80"/>
      <c r="K642" s="80"/>
      <c r="L642" s="81" t="str">
        <f aca="false">IF(K642="","",IFERROR(INDEX(BARDAGE!$C$7:$C$1506,MATCH(K642,BARDAGE!$B$7:$B$1506,0)),"? hors registre"))</f>
        <v/>
      </c>
      <c r="M642" s="80"/>
      <c r="N642" s="81" t="str">
        <f aca="false">IF(M642="","",IFERROR(INDEX(BARDAGE!$C$7:$C$1506,MATCH(M642,BARDAGE!$B$7:$B$1506,0)),"? hors registre"))</f>
        <v/>
      </c>
      <c r="O642" s="80"/>
      <c r="P642" s="80"/>
      <c r="Q642" s="80"/>
      <c r="R642" s="82"/>
      <c r="S642" s="82"/>
      <c r="T642" s="80"/>
      <c r="U642" s="80"/>
      <c r="V642" s="82"/>
      <c r="W642" s="80"/>
      <c r="X642" s="80"/>
      <c r="Y642" s="80"/>
      <c r="Z642" s="80"/>
      <c r="AA642" s="82"/>
      <c r="AB642" s="80"/>
      <c r="AC642" s="80"/>
      <c r="AD642" s="80"/>
      <c r="AE642" s="80"/>
      <c r="AF642" s="82"/>
      <c r="AG642" s="80"/>
      <c r="AH642" s="80"/>
      <c r="AI642" s="82"/>
      <c r="AJ642" s="79"/>
      <c r="AK642" s="78" t="n">
        <f aca="false">IF(E642="","",(X642&lt;&gt;"")+(AC642&lt;&gt;"")+(AH642&lt;&gt;""))</f>
        <v>0</v>
      </c>
      <c r="AL642" s="81" t="str">
        <f aca="false">IF(AH642&lt;&gt;"",AH642,IF(AC642&lt;&gt;"",AC642,IF(X642&lt;&gt;"",X642,"")))</f>
        <v/>
      </c>
      <c r="AM642" s="83" t="str">
        <f aca="false">IF(E642="","",IF(R642="","À SOUDER",IF(U642="","VT EN ATTENTE",IF(U642="R","VT REJETÉ – À REPRENDRE",IF(AL642="","À RADIOGRAPHIER",IF(AL642="A","ACCEPTÉ",IF(AL642="NX","NX – RT À REFAIRE",IF(IF(AK642=1,Z642,IF(AK642=2,AE642,""))="A","RÉPARÉ – À RADIOGRAPHIER",IF(IF(AK642=1,Z642,IF(AK642=2,AE642,""))="R","VT REJETÉ – À REPRENDRE",IF(OR(AL642="CO",AL642="NT"),"COUPE – À RESOUDER","À RÉPARER"))))))))))</f>
        <v>À SOUDER</v>
      </c>
      <c r="AN642" s="81" t="str">
        <f aca="false">IF(AND(ISNUMBER(R642),OR(AM642="À RADIOGRAPHIER",AM642="RÉPARÉ – À RADIOGRAPHIER",AM642="NX – RT À REFAIRE",AM642="À RÉPARER",AM642="COUPE – À RESOUDER",AM642="VT REJETÉ – À REPRENDRE")),MAX(0,'PROGRAMME RT'!$C$4-R642),"")</f>
        <v/>
      </c>
      <c r="AO642" s="78" t="n">
        <f aca="false">IF(AND(OR(AM642="À RADIOGRAPHIER",AM642="RÉPARÉ – À RADIOGRAPHIER",AM642="NX – RT À REFAIRE"),OR('PROGRAMME RT'!$D$5="TOUTES",B642='PROGRAMME RT'!$D$5)),1,0)</f>
        <v>0</v>
      </c>
      <c r="AP642" s="78" t="str">
        <f aca="false">IF(AO642=1,SUM(AO$7:AO642),"")</f>
        <v/>
      </c>
      <c r="AQ642" s="78" t="n">
        <f aca="false">IF(AND(OR(X642="R",X642="NX",X642="NT",X642="CO"),OR('JOINTS DE RÉPARATION'!$D$5="TOUTES",B642='JOINTS DE RÉPARATION'!$D$5),OR('JOINTS DE RÉPARATION'!$L$4="TOUS",AM642&lt;&gt;"ACCEPTÉ")),1,0)</f>
        <v>0</v>
      </c>
      <c r="AR642" s="78" t="str">
        <f aca="false">IF(AQ642=1,SUM(AQ$7:AQ642),"")</f>
        <v/>
      </c>
    </row>
    <row r="643" customFormat="false" ht="15" hidden="false" customHeight="false" outlineLevel="0" collapsed="false">
      <c r="A643" s="78" t="n">
        <f aca="false">IF(E643="","",ROW()-6)</f>
        <v>637</v>
      </c>
      <c r="B643" s="79" t="s">
        <v>586</v>
      </c>
      <c r="C643" s="80"/>
      <c r="D643" s="80"/>
      <c r="E643" s="80" t="s">
        <v>192</v>
      </c>
      <c r="F643" s="80"/>
      <c r="G643" s="80" t="s">
        <v>106</v>
      </c>
      <c r="H643" s="80"/>
      <c r="I643" s="80"/>
      <c r="J643" s="80"/>
      <c r="K643" s="80"/>
      <c r="L643" s="81" t="str">
        <f aca="false">IF(K643="","",IFERROR(INDEX(BARDAGE!$C$7:$C$1506,MATCH(K643,BARDAGE!$B$7:$B$1506,0)),"? hors registre"))</f>
        <v/>
      </c>
      <c r="M643" s="80"/>
      <c r="N643" s="81" t="str">
        <f aca="false">IF(M643="","",IFERROR(INDEX(BARDAGE!$C$7:$C$1506,MATCH(M643,BARDAGE!$B$7:$B$1506,0)),"? hors registre"))</f>
        <v/>
      </c>
      <c r="O643" s="80"/>
      <c r="P643" s="80"/>
      <c r="Q643" s="80"/>
      <c r="R643" s="82"/>
      <c r="S643" s="82"/>
      <c r="T643" s="80"/>
      <c r="U643" s="80"/>
      <c r="V643" s="82"/>
      <c r="W643" s="80"/>
      <c r="X643" s="80"/>
      <c r="Y643" s="80"/>
      <c r="Z643" s="80"/>
      <c r="AA643" s="82"/>
      <c r="AB643" s="80"/>
      <c r="AC643" s="80"/>
      <c r="AD643" s="80"/>
      <c r="AE643" s="80"/>
      <c r="AF643" s="82"/>
      <c r="AG643" s="80"/>
      <c r="AH643" s="80"/>
      <c r="AI643" s="82"/>
      <c r="AJ643" s="79"/>
      <c r="AK643" s="78" t="n">
        <f aca="false">IF(E643="","",(X643&lt;&gt;"")+(AC643&lt;&gt;"")+(AH643&lt;&gt;""))</f>
        <v>0</v>
      </c>
      <c r="AL643" s="81" t="str">
        <f aca="false">IF(AH643&lt;&gt;"",AH643,IF(AC643&lt;&gt;"",AC643,IF(X643&lt;&gt;"",X643,"")))</f>
        <v/>
      </c>
      <c r="AM643" s="83" t="str">
        <f aca="false">IF(E643="","",IF(R643="","À SOUDER",IF(U643="","VT EN ATTENTE",IF(U643="R","VT REJETÉ – À REPRENDRE",IF(AL643="","À RADIOGRAPHIER",IF(AL643="A","ACCEPTÉ",IF(AL643="NX","NX – RT À REFAIRE",IF(IF(AK643=1,Z643,IF(AK643=2,AE643,""))="A","RÉPARÉ – À RADIOGRAPHIER",IF(IF(AK643=1,Z643,IF(AK643=2,AE643,""))="R","VT REJETÉ – À REPRENDRE",IF(OR(AL643="CO",AL643="NT"),"COUPE – À RESOUDER","À RÉPARER"))))))))))</f>
        <v>À SOUDER</v>
      </c>
      <c r="AN643" s="81" t="str">
        <f aca="false">IF(AND(ISNUMBER(R643),OR(AM643="À RADIOGRAPHIER",AM643="RÉPARÉ – À RADIOGRAPHIER",AM643="NX – RT À REFAIRE",AM643="À RÉPARER",AM643="COUPE – À RESOUDER",AM643="VT REJETÉ – À REPRENDRE")),MAX(0,'PROGRAMME RT'!$C$4-R643),"")</f>
        <v/>
      </c>
      <c r="AO643" s="78" t="n">
        <f aca="false">IF(AND(OR(AM643="À RADIOGRAPHIER",AM643="RÉPARÉ – À RADIOGRAPHIER",AM643="NX – RT À REFAIRE"),OR('PROGRAMME RT'!$D$5="TOUTES",B643='PROGRAMME RT'!$D$5)),1,0)</f>
        <v>0</v>
      </c>
      <c r="AP643" s="78" t="str">
        <f aca="false">IF(AO643=1,SUM(AO$7:AO643),"")</f>
        <v/>
      </c>
      <c r="AQ643" s="78" t="n">
        <f aca="false">IF(AND(OR(X643="R",X643="NX",X643="NT",X643="CO"),OR('JOINTS DE RÉPARATION'!$D$5="TOUTES",B643='JOINTS DE RÉPARATION'!$D$5),OR('JOINTS DE RÉPARATION'!$L$4="TOUS",AM643&lt;&gt;"ACCEPTÉ")),1,0)</f>
        <v>0</v>
      </c>
      <c r="AR643" s="78" t="str">
        <f aca="false">IF(AQ643=1,SUM(AQ$7:AQ643),"")</f>
        <v/>
      </c>
    </row>
    <row r="644" customFormat="false" ht="15" hidden="false" customHeight="false" outlineLevel="0" collapsed="false">
      <c r="A644" s="78" t="n">
        <f aca="false">IF(E644="","",ROW()-6)</f>
        <v>638</v>
      </c>
      <c r="B644" s="79" t="s">
        <v>586</v>
      </c>
      <c r="C644" s="80"/>
      <c r="D644" s="80"/>
      <c r="E644" s="80" t="s">
        <v>195</v>
      </c>
      <c r="F644" s="80"/>
      <c r="G644" s="80" t="s">
        <v>106</v>
      </c>
      <c r="H644" s="80"/>
      <c r="I644" s="80"/>
      <c r="J644" s="80"/>
      <c r="K644" s="80"/>
      <c r="L644" s="81" t="str">
        <f aca="false">IF(K644="","",IFERROR(INDEX(BARDAGE!$C$7:$C$1506,MATCH(K644,BARDAGE!$B$7:$B$1506,0)),"? hors registre"))</f>
        <v/>
      </c>
      <c r="M644" s="80"/>
      <c r="N644" s="81" t="str">
        <f aca="false">IF(M644="","",IFERROR(INDEX(BARDAGE!$C$7:$C$1506,MATCH(M644,BARDAGE!$B$7:$B$1506,0)),"? hors registre"))</f>
        <v/>
      </c>
      <c r="O644" s="80"/>
      <c r="P644" s="80"/>
      <c r="Q644" s="80"/>
      <c r="R644" s="82"/>
      <c r="S644" s="82"/>
      <c r="T644" s="80"/>
      <c r="U644" s="80"/>
      <c r="V644" s="82"/>
      <c r="W644" s="80"/>
      <c r="X644" s="80"/>
      <c r="Y644" s="80"/>
      <c r="Z644" s="80"/>
      <c r="AA644" s="82"/>
      <c r="AB644" s="80"/>
      <c r="AC644" s="80"/>
      <c r="AD644" s="80"/>
      <c r="AE644" s="80"/>
      <c r="AF644" s="82"/>
      <c r="AG644" s="80"/>
      <c r="AH644" s="80"/>
      <c r="AI644" s="82"/>
      <c r="AJ644" s="79"/>
      <c r="AK644" s="78" t="n">
        <f aca="false">IF(E644="","",(X644&lt;&gt;"")+(AC644&lt;&gt;"")+(AH644&lt;&gt;""))</f>
        <v>0</v>
      </c>
      <c r="AL644" s="81" t="str">
        <f aca="false">IF(AH644&lt;&gt;"",AH644,IF(AC644&lt;&gt;"",AC644,IF(X644&lt;&gt;"",X644,"")))</f>
        <v/>
      </c>
      <c r="AM644" s="83" t="str">
        <f aca="false">IF(E644="","",IF(R644="","À SOUDER",IF(U644="","VT EN ATTENTE",IF(U644="R","VT REJETÉ – À REPRENDRE",IF(AL644="","À RADIOGRAPHIER",IF(AL644="A","ACCEPTÉ",IF(AL644="NX","NX – RT À REFAIRE",IF(IF(AK644=1,Z644,IF(AK644=2,AE644,""))="A","RÉPARÉ – À RADIOGRAPHIER",IF(IF(AK644=1,Z644,IF(AK644=2,AE644,""))="R","VT REJETÉ – À REPRENDRE",IF(OR(AL644="CO",AL644="NT"),"COUPE – À RESOUDER","À RÉPARER"))))))))))</f>
        <v>À SOUDER</v>
      </c>
      <c r="AN644" s="81" t="str">
        <f aca="false">IF(AND(ISNUMBER(R644),OR(AM644="À RADIOGRAPHIER",AM644="RÉPARÉ – À RADIOGRAPHIER",AM644="NX – RT À REFAIRE",AM644="À RÉPARER",AM644="COUPE – À RESOUDER",AM644="VT REJETÉ – À REPRENDRE")),MAX(0,'PROGRAMME RT'!$C$4-R644),"")</f>
        <v/>
      </c>
      <c r="AO644" s="78" t="n">
        <f aca="false">IF(AND(OR(AM644="À RADIOGRAPHIER",AM644="RÉPARÉ – À RADIOGRAPHIER",AM644="NX – RT À REFAIRE"),OR('PROGRAMME RT'!$D$5="TOUTES",B644='PROGRAMME RT'!$D$5)),1,0)</f>
        <v>0</v>
      </c>
      <c r="AP644" s="78" t="str">
        <f aca="false">IF(AO644=1,SUM(AO$7:AO644),"")</f>
        <v/>
      </c>
      <c r="AQ644" s="78" t="n">
        <f aca="false">IF(AND(OR(X644="R",X644="NX",X644="NT",X644="CO"),OR('JOINTS DE RÉPARATION'!$D$5="TOUTES",B644='JOINTS DE RÉPARATION'!$D$5),OR('JOINTS DE RÉPARATION'!$L$4="TOUS",AM644&lt;&gt;"ACCEPTÉ")),1,0)</f>
        <v>0</v>
      </c>
      <c r="AR644" s="78" t="str">
        <f aca="false">IF(AQ644=1,SUM(AQ$7:AQ644),"")</f>
        <v/>
      </c>
    </row>
    <row r="645" customFormat="false" ht="15" hidden="false" customHeight="false" outlineLevel="0" collapsed="false">
      <c r="A645" s="78" t="n">
        <f aca="false">IF(E645="","",ROW()-6)</f>
        <v>639</v>
      </c>
      <c r="B645" s="79" t="s">
        <v>586</v>
      </c>
      <c r="C645" s="80"/>
      <c r="D645" s="80"/>
      <c r="E645" s="80" t="s">
        <v>197</v>
      </c>
      <c r="F645" s="80"/>
      <c r="G645" s="80" t="s">
        <v>106</v>
      </c>
      <c r="H645" s="80"/>
      <c r="I645" s="80"/>
      <c r="J645" s="80"/>
      <c r="K645" s="80"/>
      <c r="L645" s="81" t="str">
        <f aca="false">IF(K645="","",IFERROR(INDEX(BARDAGE!$C$7:$C$1506,MATCH(K645,BARDAGE!$B$7:$B$1506,0)),"? hors registre"))</f>
        <v/>
      </c>
      <c r="M645" s="80"/>
      <c r="N645" s="81" t="str">
        <f aca="false">IF(M645="","",IFERROR(INDEX(BARDAGE!$C$7:$C$1506,MATCH(M645,BARDAGE!$B$7:$B$1506,0)),"? hors registre"))</f>
        <v/>
      </c>
      <c r="O645" s="80"/>
      <c r="P645" s="80"/>
      <c r="Q645" s="80"/>
      <c r="R645" s="82"/>
      <c r="S645" s="82"/>
      <c r="T645" s="80"/>
      <c r="U645" s="80"/>
      <c r="V645" s="82"/>
      <c r="W645" s="80"/>
      <c r="X645" s="80"/>
      <c r="Y645" s="80"/>
      <c r="Z645" s="80"/>
      <c r="AA645" s="82"/>
      <c r="AB645" s="80"/>
      <c r="AC645" s="80"/>
      <c r="AD645" s="80"/>
      <c r="AE645" s="80"/>
      <c r="AF645" s="82"/>
      <c r="AG645" s="80"/>
      <c r="AH645" s="80"/>
      <c r="AI645" s="82"/>
      <c r="AJ645" s="79"/>
      <c r="AK645" s="78" t="n">
        <f aca="false">IF(E645="","",(X645&lt;&gt;"")+(AC645&lt;&gt;"")+(AH645&lt;&gt;""))</f>
        <v>0</v>
      </c>
      <c r="AL645" s="81" t="str">
        <f aca="false">IF(AH645&lt;&gt;"",AH645,IF(AC645&lt;&gt;"",AC645,IF(X645&lt;&gt;"",X645,"")))</f>
        <v/>
      </c>
      <c r="AM645" s="83" t="str">
        <f aca="false">IF(E645="","",IF(R645="","À SOUDER",IF(U645="","VT EN ATTENTE",IF(U645="R","VT REJETÉ – À REPRENDRE",IF(AL645="","À RADIOGRAPHIER",IF(AL645="A","ACCEPTÉ",IF(AL645="NX","NX – RT À REFAIRE",IF(IF(AK645=1,Z645,IF(AK645=2,AE645,""))="A","RÉPARÉ – À RADIOGRAPHIER",IF(IF(AK645=1,Z645,IF(AK645=2,AE645,""))="R","VT REJETÉ – À REPRENDRE",IF(OR(AL645="CO",AL645="NT"),"COUPE – À RESOUDER","À RÉPARER"))))))))))</f>
        <v>À SOUDER</v>
      </c>
      <c r="AN645" s="81" t="str">
        <f aca="false">IF(AND(ISNUMBER(R645),OR(AM645="À RADIOGRAPHIER",AM645="RÉPARÉ – À RADIOGRAPHIER",AM645="NX – RT À REFAIRE",AM645="À RÉPARER",AM645="COUPE – À RESOUDER",AM645="VT REJETÉ – À REPRENDRE")),MAX(0,'PROGRAMME RT'!$C$4-R645),"")</f>
        <v/>
      </c>
      <c r="AO645" s="78" t="n">
        <f aca="false">IF(AND(OR(AM645="À RADIOGRAPHIER",AM645="RÉPARÉ – À RADIOGRAPHIER",AM645="NX – RT À REFAIRE"),OR('PROGRAMME RT'!$D$5="TOUTES",B645='PROGRAMME RT'!$D$5)),1,0)</f>
        <v>0</v>
      </c>
      <c r="AP645" s="78" t="str">
        <f aca="false">IF(AO645=1,SUM(AO$7:AO645),"")</f>
        <v/>
      </c>
      <c r="AQ645" s="78" t="n">
        <f aca="false">IF(AND(OR(X645="R",X645="NX",X645="NT",X645="CO"),OR('JOINTS DE RÉPARATION'!$D$5="TOUTES",B645='JOINTS DE RÉPARATION'!$D$5),OR('JOINTS DE RÉPARATION'!$L$4="TOUS",AM645&lt;&gt;"ACCEPTÉ")),1,0)</f>
        <v>0</v>
      </c>
      <c r="AR645" s="78" t="str">
        <f aca="false">IF(AQ645=1,SUM(AQ$7:AQ645),"")</f>
        <v/>
      </c>
    </row>
    <row r="646" customFormat="false" ht="15" hidden="false" customHeight="false" outlineLevel="0" collapsed="false">
      <c r="A646" s="78" t="n">
        <f aca="false">IF(E646="","",ROW()-6)</f>
        <v>640</v>
      </c>
      <c r="B646" s="79" t="s">
        <v>586</v>
      </c>
      <c r="C646" s="80"/>
      <c r="D646" s="80"/>
      <c r="E646" s="80" t="s">
        <v>199</v>
      </c>
      <c r="F646" s="80"/>
      <c r="G646" s="80" t="s">
        <v>106</v>
      </c>
      <c r="H646" s="80"/>
      <c r="I646" s="80"/>
      <c r="J646" s="80"/>
      <c r="K646" s="80"/>
      <c r="L646" s="81" t="str">
        <f aca="false">IF(K646="","",IFERROR(INDEX(BARDAGE!$C$7:$C$1506,MATCH(K646,BARDAGE!$B$7:$B$1506,0)),"? hors registre"))</f>
        <v/>
      </c>
      <c r="M646" s="80"/>
      <c r="N646" s="81" t="str">
        <f aca="false">IF(M646="","",IFERROR(INDEX(BARDAGE!$C$7:$C$1506,MATCH(M646,BARDAGE!$B$7:$B$1506,0)),"? hors registre"))</f>
        <v/>
      </c>
      <c r="O646" s="80"/>
      <c r="P646" s="80"/>
      <c r="Q646" s="80"/>
      <c r="R646" s="82"/>
      <c r="S646" s="82"/>
      <c r="T646" s="80"/>
      <c r="U646" s="80"/>
      <c r="V646" s="82"/>
      <c r="W646" s="80"/>
      <c r="X646" s="80"/>
      <c r="Y646" s="80"/>
      <c r="Z646" s="80"/>
      <c r="AA646" s="82"/>
      <c r="AB646" s="80"/>
      <c r="AC646" s="80"/>
      <c r="AD646" s="80"/>
      <c r="AE646" s="80"/>
      <c r="AF646" s="82"/>
      <c r="AG646" s="80"/>
      <c r="AH646" s="80"/>
      <c r="AI646" s="82"/>
      <c r="AJ646" s="79"/>
      <c r="AK646" s="78" t="n">
        <f aca="false">IF(E646="","",(X646&lt;&gt;"")+(AC646&lt;&gt;"")+(AH646&lt;&gt;""))</f>
        <v>0</v>
      </c>
      <c r="AL646" s="81" t="str">
        <f aca="false">IF(AH646&lt;&gt;"",AH646,IF(AC646&lt;&gt;"",AC646,IF(X646&lt;&gt;"",X646,"")))</f>
        <v/>
      </c>
      <c r="AM646" s="83" t="str">
        <f aca="false">IF(E646="","",IF(R646="","À SOUDER",IF(U646="","VT EN ATTENTE",IF(U646="R","VT REJETÉ – À REPRENDRE",IF(AL646="","À RADIOGRAPHIER",IF(AL646="A","ACCEPTÉ",IF(AL646="NX","NX – RT À REFAIRE",IF(IF(AK646=1,Z646,IF(AK646=2,AE646,""))="A","RÉPARÉ – À RADIOGRAPHIER",IF(IF(AK646=1,Z646,IF(AK646=2,AE646,""))="R","VT REJETÉ – À REPRENDRE",IF(OR(AL646="CO",AL646="NT"),"COUPE – À RESOUDER","À RÉPARER"))))))))))</f>
        <v>À SOUDER</v>
      </c>
      <c r="AN646" s="81" t="str">
        <f aca="false">IF(AND(ISNUMBER(R646),OR(AM646="À RADIOGRAPHIER",AM646="RÉPARÉ – À RADIOGRAPHIER",AM646="NX – RT À REFAIRE",AM646="À RÉPARER",AM646="COUPE – À RESOUDER",AM646="VT REJETÉ – À REPRENDRE")),MAX(0,'PROGRAMME RT'!$C$4-R646),"")</f>
        <v/>
      </c>
      <c r="AO646" s="78" t="n">
        <f aca="false">IF(AND(OR(AM646="À RADIOGRAPHIER",AM646="RÉPARÉ – À RADIOGRAPHIER",AM646="NX – RT À REFAIRE"),OR('PROGRAMME RT'!$D$5="TOUTES",B646='PROGRAMME RT'!$D$5)),1,0)</f>
        <v>0</v>
      </c>
      <c r="AP646" s="78" t="str">
        <f aca="false">IF(AO646=1,SUM(AO$7:AO646),"")</f>
        <v/>
      </c>
      <c r="AQ646" s="78" t="n">
        <f aca="false">IF(AND(OR(X646="R",X646="NX",X646="NT",X646="CO"),OR('JOINTS DE RÉPARATION'!$D$5="TOUTES",B646='JOINTS DE RÉPARATION'!$D$5),OR('JOINTS DE RÉPARATION'!$L$4="TOUS",AM646&lt;&gt;"ACCEPTÉ")),1,0)</f>
        <v>0</v>
      </c>
      <c r="AR646" s="78" t="str">
        <f aca="false">IF(AQ646=1,SUM(AQ$7:AQ646),"")</f>
        <v/>
      </c>
    </row>
    <row r="647" customFormat="false" ht="15" hidden="false" customHeight="false" outlineLevel="0" collapsed="false">
      <c r="A647" s="78" t="n">
        <f aca="false">IF(E647="","",ROW()-6)</f>
        <v>641</v>
      </c>
      <c r="B647" s="79" t="s">
        <v>586</v>
      </c>
      <c r="C647" s="80"/>
      <c r="D647" s="80"/>
      <c r="E647" s="80" t="s">
        <v>202</v>
      </c>
      <c r="F647" s="80"/>
      <c r="G647" s="80" t="s">
        <v>106</v>
      </c>
      <c r="H647" s="80"/>
      <c r="I647" s="80"/>
      <c r="J647" s="80"/>
      <c r="K647" s="80"/>
      <c r="L647" s="81" t="str">
        <f aca="false">IF(K647="","",IFERROR(INDEX(BARDAGE!$C$7:$C$1506,MATCH(K647,BARDAGE!$B$7:$B$1506,0)),"? hors registre"))</f>
        <v/>
      </c>
      <c r="M647" s="80"/>
      <c r="N647" s="81" t="str">
        <f aca="false">IF(M647="","",IFERROR(INDEX(BARDAGE!$C$7:$C$1506,MATCH(M647,BARDAGE!$B$7:$B$1506,0)),"? hors registre"))</f>
        <v/>
      </c>
      <c r="O647" s="80"/>
      <c r="P647" s="80"/>
      <c r="Q647" s="80"/>
      <c r="R647" s="82"/>
      <c r="S647" s="82"/>
      <c r="T647" s="80"/>
      <c r="U647" s="80"/>
      <c r="V647" s="82"/>
      <c r="W647" s="80"/>
      <c r="X647" s="80"/>
      <c r="Y647" s="80"/>
      <c r="Z647" s="80"/>
      <c r="AA647" s="82"/>
      <c r="AB647" s="80"/>
      <c r="AC647" s="80"/>
      <c r="AD647" s="80"/>
      <c r="AE647" s="80"/>
      <c r="AF647" s="82"/>
      <c r="AG647" s="80"/>
      <c r="AH647" s="80"/>
      <c r="AI647" s="82"/>
      <c r="AJ647" s="79"/>
      <c r="AK647" s="78" t="n">
        <f aca="false">IF(E647="","",(X647&lt;&gt;"")+(AC647&lt;&gt;"")+(AH647&lt;&gt;""))</f>
        <v>0</v>
      </c>
      <c r="AL647" s="81" t="str">
        <f aca="false">IF(AH647&lt;&gt;"",AH647,IF(AC647&lt;&gt;"",AC647,IF(X647&lt;&gt;"",X647,"")))</f>
        <v/>
      </c>
      <c r="AM647" s="83" t="str">
        <f aca="false">IF(E647="","",IF(R647="","À SOUDER",IF(U647="","VT EN ATTENTE",IF(U647="R","VT REJETÉ – À REPRENDRE",IF(AL647="","À RADIOGRAPHIER",IF(AL647="A","ACCEPTÉ",IF(AL647="NX","NX – RT À REFAIRE",IF(IF(AK647=1,Z647,IF(AK647=2,AE647,""))="A","RÉPARÉ – À RADIOGRAPHIER",IF(IF(AK647=1,Z647,IF(AK647=2,AE647,""))="R","VT REJETÉ – À REPRENDRE",IF(OR(AL647="CO",AL647="NT"),"COUPE – À RESOUDER","À RÉPARER"))))))))))</f>
        <v>À SOUDER</v>
      </c>
      <c r="AN647" s="81" t="str">
        <f aca="false">IF(AND(ISNUMBER(R647),OR(AM647="À RADIOGRAPHIER",AM647="RÉPARÉ – À RADIOGRAPHIER",AM647="NX – RT À REFAIRE",AM647="À RÉPARER",AM647="COUPE – À RESOUDER",AM647="VT REJETÉ – À REPRENDRE")),MAX(0,'PROGRAMME RT'!$C$4-R647),"")</f>
        <v/>
      </c>
      <c r="AO647" s="78" t="n">
        <f aca="false">IF(AND(OR(AM647="À RADIOGRAPHIER",AM647="RÉPARÉ – À RADIOGRAPHIER",AM647="NX – RT À REFAIRE"),OR('PROGRAMME RT'!$D$5="TOUTES",B647='PROGRAMME RT'!$D$5)),1,0)</f>
        <v>0</v>
      </c>
      <c r="AP647" s="78" t="str">
        <f aca="false">IF(AO647=1,SUM(AO$7:AO647),"")</f>
        <v/>
      </c>
      <c r="AQ647" s="78" t="n">
        <f aca="false">IF(AND(OR(X647="R",X647="NX",X647="NT",X647="CO"),OR('JOINTS DE RÉPARATION'!$D$5="TOUTES",B647='JOINTS DE RÉPARATION'!$D$5),OR('JOINTS DE RÉPARATION'!$L$4="TOUS",AM647&lt;&gt;"ACCEPTÉ")),1,0)</f>
        <v>0</v>
      </c>
      <c r="AR647" s="78" t="str">
        <f aca="false">IF(AQ647=1,SUM(AQ$7:AQ647),"")</f>
        <v/>
      </c>
    </row>
    <row r="648" customFormat="false" ht="15" hidden="false" customHeight="false" outlineLevel="0" collapsed="false">
      <c r="A648" s="78" t="n">
        <f aca="false">IF(E648="","",ROW()-6)</f>
        <v>642</v>
      </c>
      <c r="B648" s="79" t="s">
        <v>586</v>
      </c>
      <c r="C648" s="80"/>
      <c r="D648" s="80"/>
      <c r="E648" s="80" t="s">
        <v>205</v>
      </c>
      <c r="F648" s="80"/>
      <c r="G648" s="80" t="s">
        <v>106</v>
      </c>
      <c r="H648" s="80"/>
      <c r="I648" s="80"/>
      <c r="J648" s="80"/>
      <c r="K648" s="80"/>
      <c r="L648" s="81" t="str">
        <f aca="false">IF(K648="","",IFERROR(INDEX(BARDAGE!$C$7:$C$1506,MATCH(K648,BARDAGE!$B$7:$B$1506,0)),"? hors registre"))</f>
        <v/>
      </c>
      <c r="M648" s="80"/>
      <c r="N648" s="81" t="str">
        <f aca="false">IF(M648="","",IFERROR(INDEX(BARDAGE!$C$7:$C$1506,MATCH(M648,BARDAGE!$B$7:$B$1506,0)),"? hors registre"))</f>
        <v/>
      </c>
      <c r="O648" s="80"/>
      <c r="P648" s="80"/>
      <c r="Q648" s="80"/>
      <c r="R648" s="82"/>
      <c r="S648" s="82"/>
      <c r="T648" s="80"/>
      <c r="U648" s="80"/>
      <c r="V648" s="82"/>
      <c r="W648" s="80"/>
      <c r="X648" s="80"/>
      <c r="Y648" s="80"/>
      <c r="Z648" s="80"/>
      <c r="AA648" s="82"/>
      <c r="AB648" s="80"/>
      <c r="AC648" s="80"/>
      <c r="AD648" s="80"/>
      <c r="AE648" s="80"/>
      <c r="AF648" s="82"/>
      <c r="AG648" s="80"/>
      <c r="AH648" s="80"/>
      <c r="AI648" s="82"/>
      <c r="AJ648" s="79"/>
      <c r="AK648" s="78" t="n">
        <f aca="false">IF(E648="","",(X648&lt;&gt;"")+(AC648&lt;&gt;"")+(AH648&lt;&gt;""))</f>
        <v>0</v>
      </c>
      <c r="AL648" s="81" t="str">
        <f aca="false">IF(AH648&lt;&gt;"",AH648,IF(AC648&lt;&gt;"",AC648,IF(X648&lt;&gt;"",X648,"")))</f>
        <v/>
      </c>
      <c r="AM648" s="83" t="str">
        <f aca="false">IF(E648="","",IF(R648="","À SOUDER",IF(U648="","VT EN ATTENTE",IF(U648="R","VT REJETÉ – À REPRENDRE",IF(AL648="","À RADIOGRAPHIER",IF(AL648="A","ACCEPTÉ",IF(AL648="NX","NX – RT À REFAIRE",IF(IF(AK648=1,Z648,IF(AK648=2,AE648,""))="A","RÉPARÉ – À RADIOGRAPHIER",IF(IF(AK648=1,Z648,IF(AK648=2,AE648,""))="R","VT REJETÉ – À REPRENDRE",IF(OR(AL648="CO",AL648="NT"),"COUPE – À RESOUDER","À RÉPARER"))))))))))</f>
        <v>À SOUDER</v>
      </c>
      <c r="AN648" s="81" t="str">
        <f aca="false">IF(AND(ISNUMBER(R648),OR(AM648="À RADIOGRAPHIER",AM648="RÉPARÉ – À RADIOGRAPHIER",AM648="NX – RT À REFAIRE",AM648="À RÉPARER",AM648="COUPE – À RESOUDER",AM648="VT REJETÉ – À REPRENDRE")),MAX(0,'PROGRAMME RT'!$C$4-R648),"")</f>
        <v/>
      </c>
      <c r="AO648" s="78" t="n">
        <f aca="false">IF(AND(OR(AM648="À RADIOGRAPHIER",AM648="RÉPARÉ – À RADIOGRAPHIER",AM648="NX – RT À REFAIRE"),OR('PROGRAMME RT'!$D$5="TOUTES",B648='PROGRAMME RT'!$D$5)),1,0)</f>
        <v>0</v>
      </c>
      <c r="AP648" s="78" t="str">
        <f aca="false">IF(AO648=1,SUM(AO$7:AO648),"")</f>
        <v/>
      </c>
      <c r="AQ648" s="78" t="n">
        <f aca="false">IF(AND(OR(X648="R",X648="NX",X648="NT",X648="CO"),OR('JOINTS DE RÉPARATION'!$D$5="TOUTES",B648='JOINTS DE RÉPARATION'!$D$5),OR('JOINTS DE RÉPARATION'!$L$4="TOUS",AM648&lt;&gt;"ACCEPTÉ")),1,0)</f>
        <v>0</v>
      </c>
      <c r="AR648" s="78" t="str">
        <f aca="false">IF(AQ648=1,SUM(AQ$7:AQ648),"")</f>
        <v/>
      </c>
    </row>
    <row r="649" customFormat="false" ht="15" hidden="false" customHeight="false" outlineLevel="0" collapsed="false">
      <c r="A649" s="78" t="n">
        <f aca="false">IF(E649="","",ROW()-6)</f>
        <v>643</v>
      </c>
      <c r="B649" s="79" t="s">
        <v>586</v>
      </c>
      <c r="C649" s="80"/>
      <c r="D649" s="80"/>
      <c r="E649" s="80" t="s">
        <v>208</v>
      </c>
      <c r="F649" s="80"/>
      <c r="G649" s="80" t="s">
        <v>106</v>
      </c>
      <c r="H649" s="80"/>
      <c r="I649" s="80"/>
      <c r="J649" s="80"/>
      <c r="K649" s="80"/>
      <c r="L649" s="81" t="str">
        <f aca="false">IF(K649="","",IFERROR(INDEX(BARDAGE!$C$7:$C$1506,MATCH(K649,BARDAGE!$B$7:$B$1506,0)),"? hors registre"))</f>
        <v/>
      </c>
      <c r="M649" s="80"/>
      <c r="N649" s="81" t="str">
        <f aca="false">IF(M649="","",IFERROR(INDEX(BARDAGE!$C$7:$C$1506,MATCH(M649,BARDAGE!$B$7:$B$1506,0)),"? hors registre"))</f>
        <v/>
      </c>
      <c r="O649" s="80"/>
      <c r="P649" s="80"/>
      <c r="Q649" s="80"/>
      <c r="R649" s="82"/>
      <c r="S649" s="82"/>
      <c r="T649" s="80"/>
      <c r="U649" s="80"/>
      <c r="V649" s="82"/>
      <c r="W649" s="80"/>
      <c r="X649" s="80"/>
      <c r="Y649" s="80"/>
      <c r="Z649" s="80"/>
      <c r="AA649" s="82"/>
      <c r="AB649" s="80"/>
      <c r="AC649" s="80"/>
      <c r="AD649" s="80"/>
      <c r="AE649" s="80"/>
      <c r="AF649" s="82"/>
      <c r="AG649" s="80"/>
      <c r="AH649" s="80"/>
      <c r="AI649" s="82"/>
      <c r="AJ649" s="79"/>
      <c r="AK649" s="78" t="n">
        <f aca="false">IF(E649="","",(X649&lt;&gt;"")+(AC649&lt;&gt;"")+(AH649&lt;&gt;""))</f>
        <v>0</v>
      </c>
      <c r="AL649" s="81" t="str">
        <f aca="false">IF(AH649&lt;&gt;"",AH649,IF(AC649&lt;&gt;"",AC649,IF(X649&lt;&gt;"",X649,"")))</f>
        <v/>
      </c>
      <c r="AM649" s="83" t="str">
        <f aca="false">IF(E649="","",IF(R649="","À SOUDER",IF(U649="","VT EN ATTENTE",IF(U649="R","VT REJETÉ – À REPRENDRE",IF(AL649="","À RADIOGRAPHIER",IF(AL649="A","ACCEPTÉ",IF(AL649="NX","NX – RT À REFAIRE",IF(IF(AK649=1,Z649,IF(AK649=2,AE649,""))="A","RÉPARÉ – À RADIOGRAPHIER",IF(IF(AK649=1,Z649,IF(AK649=2,AE649,""))="R","VT REJETÉ – À REPRENDRE",IF(OR(AL649="CO",AL649="NT"),"COUPE – À RESOUDER","À RÉPARER"))))))))))</f>
        <v>À SOUDER</v>
      </c>
      <c r="AN649" s="81" t="str">
        <f aca="false">IF(AND(ISNUMBER(R649),OR(AM649="À RADIOGRAPHIER",AM649="RÉPARÉ – À RADIOGRAPHIER",AM649="NX – RT À REFAIRE",AM649="À RÉPARER",AM649="COUPE – À RESOUDER",AM649="VT REJETÉ – À REPRENDRE")),MAX(0,'PROGRAMME RT'!$C$4-R649),"")</f>
        <v/>
      </c>
      <c r="AO649" s="78" t="n">
        <f aca="false">IF(AND(OR(AM649="À RADIOGRAPHIER",AM649="RÉPARÉ – À RADIOGRAPHIER",AM649="NX – RT À REFAIRE"),OR('PROGRAMME RT'!$D$5="TOUTES",B649='PROGRAMME RT'!$D$5)),1,0)</f>
        <v>0</v>
      </c>
      <c r="AP649" s="78" t="str">
        <f aca="false">IF(AO649=1,SUM(AO$7:AO649),"")</f>
        <v/>
      </c>
      <c r="AQ649" s="78" t="n">
        <f aca="false">IF(AND(OR(X649="R",X649="NX",X649="NT",X649="CO"),OR('JOINTS DE RÉPARATION'!$D$5="TOUTES",B649='JOINTS DE RÉPARATION'!$D$5),OR('JOINTS DE RÉPARATION'!$L$4="TOUS",AM649&lt;&gt;"ACCEPTÉ")),1,0)</f>
        <v>0</v>
      </c>
      <c r="AR649" s="78" t="str">
        <f aca="false">IF(AQ649=1,SUM(AQ$7:AQ649),"")</f>
        <v/>
      </c>
    </row>
    <row r="650" customFormat="false" ht="15" hidden="false" customHeight="false" outlineLevel="0" collapsed="false">
      <c r="A650" s="78" t="n">
        <f aca="false">IF(E650="","",ROW()-6)</f>
        <v>644</v>
      </c>
      <c r="B650" s="79" t="s">
        <v>586</v>
      </c>
      <c r="C650" s="80"/>
      <c r="D650" s="80"/>
      <c r="E650" s="80" t="s">
        <v>210</v>
      </c>
      <c r="F650" s="80"/>
      <c r="G650" s="80" t="s">
        <v>106</v>
      </c>
      <c r="H650" s="80"/>
      <c r="I650" s="80"/>
      <c r="J650" s="80"/>
      <c r="K650" s="80"/>
      <c r="L650" s="81" t="str">
        <f aca="false">IF(K650="","",IFERROR(INDEX(BARDAGE!$C$7:$C$1506,MATCH(K650,BARDAGE!$B$7:$B$1506,0)),"? hors registre"))</f>
        <v/>
      </c>
      <c r="M650" s="80"/>
      <c r="N650" s="81" t="str">
        <f aca="false">IF(M650="","",IFERROR(INDEX(BARDAGE!$C$7:$C$1506,MATCH(M650,BARDAGE!$B$7:$B$1506,0)),"? hors registre"))</f>
        <v/>
      </c>
      <c r="O650" s="80"/>
      <c r="P650" s="80"/>
      <c r="Q650" s="80"/>
      <c r="R650" s="82"/>
      <c r="S650" s="82"/>
      <c r="T650" s="80"/>
      <c r="U650" s="80"/>
      <c r="V650" s="82"/>
      <c r="W650" s="80"/>
      <c r="X650" s="80"/>
      <c r="Y650" s="80"/>
      <c r="Z650" s="80"/>
      <c r="AA650" s="82"/>
      <c r="AB650" s="80"/>
      <c r="AC650" s="80"/>
      <c r="AD650" s="80"/>
      <c r="AE650" s="80"/>
      <c r="AF650" s="82"/>
      <c r="AG650" s="80"/>
      <c r="AH650" s="80"/>
      <c r="AI650" s="82"/>
      <c r="AJ650" s="79"/>
      <c r="AK650" s="78" t="n">
        <f aca="false">IF(E650="","",(X650&lt;&gt;"")+(AC650&lt;&gt;"")+(AH650&lt;&gt;""))</f>
        <v>0</v>
      </c>
      <c r="AL650" s="81" t="str">
        <f aca="false">IF(AH650&lt;&gt;"",AH650,IF(AC650&lt;&gt;"",AC650,IF(X650&lt;&gt;"",X650,"")))</f>
        <v/>
      </c>
      <c r="AM650" s="83" t="str">
        <f aca="false">IF(E650="","",IF(R650="","À SOUDER",IF(U650="","VT EN ATTENTE",IF(U650="R","VT REJETÉ – À REPRENDRE",IF(AL650="","À RADIOGRAPHIER",IF(AL650="A","ACCEPTÉ",IF(AL650="NX","NX – RT À REFAIRE",IF(IF(AK650=1,Z650,IF(AK650=2,AE650,""))="A","RÉPARÉ – À RADIOGRAPHIER",IF(IF(AK650=1,Z650,IF(AK650=2,AE650,""))="R","VT REJETÉ – À REPRENDRE",IF(OR(AL650="CO",AL650="NT"),"COUPE – À RESOUDER","À RÉPARER"))))))))))</f>
        <v>À SOUDER</v>
      </c>
      <c r="AN650" s="81" t="str">
        <f aca="false">IF(AND(ISNUMBER(R650),OR(AM650="À RADIOGRAPHIER",AM650="RÉPARÉ – À RADIOGRAPHIER",AM650="NX – RT À REFAIRE",AM650="À RÉPARER",AM650="COUPE – À RESOUDER",AM650="VT REJETÉ – À REPRENDRE")),MAX(0,'PROGRAMME RT'!$C$4-R650),"")</f>
        <v/>
      </c>
      <c r="AO650" s="78" t="n">
        <f aca="false">IF(AND(OR(AM650="À RADIOGRAPHIER",AM650="RÉPARÉ – À RADIOGRAPHIER",AM650="NX – RT À REFAIRE"),OR('PROGRAMME RT'!$D$5="TOUTES",B650='PROGRAMME RT'!$D$5)),1,0)</f>
        <v>0</v>
      </c>
      <c r="AP650" s="78" t="str">
        <f aca="false">IF(AO650=1,SUM(AO$7:AO650),"")</f>
        <v/>
      </c>
      <c r="AQ650" s="78" t="n">
        <f aca="false">IF(AND(OR(X650="R",X650="NX",X650="NT",X650="CO"),OR('JOINTS DE RÉPARATION'!$D$5="TOUTES",B650='JOINTS DE RÉPARATION'!$D$5),OR('JOINTS DE RÉPARATION'!$L$4="TOUS",AM650&lt;&gt;"ACCEPTÉ")),1,0)</f>
        <v>0</v>
      </c>
      <c r="AR650" s="78" t="str">
        <f aca="false">IF(AQ650=1,SUM(AQ$7:AQ650),"")</f>
        <v/>
      </c>
    </row>
    <row r="651" customFormat="false" ht="15" hidden="false" customHeight="false" outlineLevel="0" collapsed="false">
      <c r="A651" s="78" t="n">
        <f aca="false">IF(E651="","",ROW()-6)</f>
        <v>645</v>
      </c>
      <c r="B651" s="79" t="s">
        <v>586</v>
      </c>
      <c r="C651" s="80"/>
      <c r="D651" s="80"/>
      <c r="E651" s="80" t="s">
        <v>212</v>
      </c>
      <c r="F651" s="80"/>
      <c r="G651" s="80" t="s">
        <v>106</v>
      </c>
      <c r="H651" s="80"/>
      <c r="I651" s="80"/>
      <c r="J651" s="80"/>
      <c r="K651" s="80"/>
      <c r="L651" s="81" t="str">
        <f aca="false">IF(K651="","",IFERROR(INDEX(BARDAGE!$C$7:$C$1506,MATCH(K651,BARDAGE!$B$7:$B$1506,0)),"? hors registre"))</f>
        <v/>
      </c>
      <c r="M651" s="80"/>
      <c r="N651" s="81" t="str">
        <f aca="false">IF(M651="","",IFERROR(INDEX(BARDAGE!$C$7:$C$1506,MATCH(M651,BARDAGE!$B$7:$B$1506,0)),"? hors registre"))</f>
        <v/>
      </c>
      <c r="O651" s="80"/>
      <c r="P651" s="80"/>
      <c r="Q651" s="80"/>
      <c r="R651" s="82"/>
      <c r="S651" s="82"/>
      <c r="T651" s="80"/>
      <c r="U651" s="80"/>
      <c r="V651" s="82"/>
      <c r="W651" s="80"/>
      <c r="X651" s="80"/>
      <c r="Y651" s="80"/>
      <c r="Z651" s="80"/>
      <c r="AA651" s="82"/>
      <c r="AB651" s="80"/>
      <c r="AC651" s="80"/>
      <c r="AD651" s="80"/>
      <c r="AE651" s="80"/>
      <c r="AF651" s="82"/>
      <c r="AG651" s="80"/>
      <c r="AH651" s="80"/>
      <c r="AI651" s="82"/>
      <c r="AJ651" s="79"/>
      <c r="AK651" s="78" t="n">
        <f aca="false">IF(E651="","",(X651&lt;&gt;"")+(AC651&lt;&gt;"")+(AH651&lt;&gt;""))</f>
        <v>0</v>
      </c>
      <c r="AL651" s="81" t="str">
        <f aca="false">IF(AH651&lt;&gt;"",AH651,IF(AC651&lt;&gt;"",AC651,IF(X651&lt;&gt;"",X651,"")))</f>
        <v/>
      </c>
      <c r="AM651" s="83" t="str">
        <f aca="false">IF(E651="","",IF(R651="","À SOUDER",IF(U651="","VT EN ATTENTE",IF(U651="R","VT REJETÉ – À REPRENDRE",IF(AL651="","À RADIOGRAPHIER",IF(AL651="A","ACCEPTÉ",IF(AL651="NX","NX – RT À REFAIRE",IF(IF(AK651=1,Z651,IF(AK651=2,AE651,""))="A","RÉPARÉ – À RADIOGRAPHIER",IF(IF(AK651=1,Z651,IF(AK651=2,AE651,""))="R","VT REJETÉ – À REPRENDRE",IF(OR(AL651="CO",AL651="NT"),"COUPE – À RESOUDER","À RÉPARER"))))))))))</f>
        <v>À SOUDER</v>
      </c>
      <c r="AN651" s="81" t="str">
        <f aca="false">IF(AND(ISNUMBER(R651),OR(AM651="À RADIOGRAPHIER",AM651="RÉPARÉ – À RADIOGRAPHIER",AM651="NX – RT À REFAIRE",AM651="À RÉPARER",AM651="COUPE – À RESOUDER",AM651="VT REJETÉ – À REPRENDRE")),MAX(0,'PROGRAMME RT'!$C$4-R651),"")</f>
        <v/>
      </c>
      <c r="AO651" s="78" t="n">
        <f aca="false">IF(AND(OR(AM651="À RADIOGRAPHIER",AM651="RÉPARÉ – À RADIOGRAPHIER",AM651="NX – RT À REFAIRE"),OR('PROGRAMME RT'!$D$5="TOUTES",B651='PROGRAMME RT'!$D$5)),1,0)</f>
        <v>0</v>
      </c>
      <c r="AP651" s="78" t="str">
        <f aca="false">IF(AO651=1,SUM(AO$7:AO651),"")</f>
        <v/>
      </c>
      <c r="AQ651" s="78" t="n">
        <f aca="false">IF(AND(OR(X651="R",X651="NX",X651="NT",X651="CO"),OR('JOINTS DE RÉPARATION'!$D$5="TOUTES",B651='JOINTS DE RÉPARATION'!$D$5),OR('JOINTS DE RÉPARATION'!$L$4="TOUS",AM651&lt;&gt;"ACCEPTÉ")),1,0)</f>
        <v>0</v>
      </c>
      <c r="AR651" s="78" t="str">
        <f aca="false">IF(AQ651=1,SUM(AQ$7:AQ651),"")</f>
        <v/>
      </c>
    </row>
    <row r="652" customFormat="false" ht="15" hidden="false" customHeight="false" outlineLevel="0" collapsed="false">
      <c r="A652" s="78" t="n">
        <f aca="false">IF(E652="","",ROW()-6)</f>
        <v>646</v>
      </c>
      <c r="B652" s="79" t="s">
        <v>586</v>
      </c>
      <c r="C652" s="80"/>
      <c r="D652" s="80"/>
      <c r="E652" s="80" t="s">
        <v>213</v>
      </c>
      <c r="F652" s="80"/>
      <c r="G652" s="80" t="s">
        <v>106</v>
      </c>
      <c r="H652" s="80"/>
      <c r="I652" s="80"/>
      <c r="J652" s="80"/>
      <c r="K652" s="80"/>
      <c r="L652" s="81" t="str">
        <f aca="false">IF(K652="","",IFERROR(INDEX(BARDAGE!$C$7:$C$1506,MATCH(K652,BARDAGE!$B$7:$B$1506,0)),"? hors registre"))</f>
        <v/>
      </c>
      <c r="M652" s="80"/>
      <c r="N652" s="81" t="str">
        <f aca="false">IF(M652="","",IFERROR(INDEX(BARDAGE!$C$7:$C$1506,MATCH(M652,BARDAGE!$B$7:$B$1506,0)),"? hors registre"))</f>
        <v/>
      </c>
      <c r="O652" s="80"/>
      <c r="P652" s="80"/>
      <c r="Q652" s="80"/>
      <c r="R652" s="82"/>
      <c r="S652" s="82"/>
      <c r="T652" s="80"/>
      <c r="U652" s="80"/>
      <c r="V652" s="82"/>
      <c r="W652" s="80"/>
      <c r="X652" s="80"/>
      <c r="Y652" s="80"/>
      <c r="Z652" s="80"/>
      <c r="AA652" s="82"/>
      <c r="AB652" s="80"/>
      <c r="AC652" s="80"/>
      <c r="AD652" s="80"/>
      <c r="AE652" s="80"/>
      <c r="AF652" s="82"/>
      <c r="AG652" s="80"/>
      <c r="AH652" s="80"/>
      <c r="AI652" s="82"/>
      <c r="AJ652" s="79"/>
      <c r="AK652" s="78" t="n">
        <f aca="false">IF(E652="","",(X652&lt;&gt;"")+(AC652&lt;&gt;"")+(AH652&lt;&gt;""))</f>
        <v>0</v>
      </c>
      <c r="AL652" s="81" t="str">
        <f aca="false">IF(AH652&lt;&gt;"",AH652,IF(AC652&lt;&gt;"",AC652,IF(X652&lt;&gt;"",X652,"")))</f>
        <v/>
      </c>
      <c r="AM652" s="83" t="str">
        <f aca="false">IF(E652="","",IF(R652="","À SOUDER",IF(U652="","VT EN ATTENTE",IF(U652="R","VT REJETÉ – À REPRENDRE",IF(AL652="","À RADIOGRAPHIER",IF(AL652="A","ACCEPTÉ",IF(AL652="NX","NX – RT À REFAIRE",IF(IF(AK652=1,Z652,IF(AK652=2,AE652,""))="A","RÉPARÉ – À RADIOGRAPHIER",IF(IF(AK652=1,Z652,IF(AK652=2,AE652,""))="R","VT REJETÉ – À REPRENDRE",IF(OR(AL652="CO",AL652="NT"),"COUPE – À RESOUDER","À RÉPARER"))))))))))</f>
        <v>À SOUDER</v>
      </c>
      <c r="AN652" s="81" t="str">
        <f aca="false">IF(AND(ISNUMBER(R652),OR(AM652="À RADIOGRAPHIER",AM652="RÉPARÉ – À RADIOGRAPHIER",AM652="NX – RT À REFAIRE",AM652="À RÉPARER",AM652="COUPE – À RESOUDER",AM652="VT REJETÉ – À REPRENDRE")),MAX(0,'PROGRAMME RT'!$C$4-R652),"")</f>
        <v/>
      </c>
      <c r="AO652" s="78" t="n">
        <f aca="false">IF(AND(OR(AM652="À RADIOGRAPHIER",AM652="RÉPARÉ – À RADIOGRAPHIER",AM652="NX – RT À REFAIRE"),OR('PROGRAMME RT'!$D$5="TOUTES",B652='PROGRAMME RT'!$D$5)),1,0)</f>
        <v>0</v>
      </c>
      <c r="AP652" s="78" t="str">
        <f aca="false">IF(AO652=1,SUM(AO$7:AO652),"")</f>
        <v/>
      </c>
      <c r="AQ652" s="78" t="n">
        <f aca="false">IF(AND(OR(X652="R",X652="NX",X652="NT",X652="CO"),OR('JOINTS DE RÉPARATION'!$D$5="TOUTES",B652='JOINTS DE RÉPARATION'!$D$5),OR('JOINTS DE RÉPARATION'!$L$4="TOUS",AM652&lt;&gt;"ACCEPTÉ")),1,0)</f>
        <v>0</v>
      </c>
      <c r="AR652" s="78" t="str">
        <f aca="false">IF(AQ652=1,SUM(AQ$7:AQ652),"")</f>
        <v/>
      </c>
    </row>
    <row r="653" customFormat="false" ht="15" hidden="false" customHeight="false" outlineLevel="0" collapsed="false">
      <c r="A653" s="78" t="n">
        <f aca="false">IF(E653="","",ROW()-6)</f>
        <v>647</v>
      </c>
      <c r="B653" s="79" t="s">
        <v>586</v>
      </c>
      <c r="C653" s="80"/>
      <c r="D653" s="80"/>
      <c r="E653" s="80" t="s">
        <v>215</v>
      </c>
      <c r="F653" s="80"/>
      <c r="G653" s="80" t="s">
        <v>106</v>
      </c>
      <c r="H653" s="80"/>
      <c r="I653" s="80"/>
      <c r="J653" s="80"/>
      <c r="K653" s="80"/>
      <c r="L653" s="81" t="str">
        <f aca="false">IF(K653="","",IFERROR(INDEX(BARDAGE!$C$7:$C$1506,MATCH(K653,BARDAGE!$B$7:$B$1506,0)),"? hors registre"))</f>
        <v/>
      </c>
      <c r="M653" s="80"/>
      <c r="N653" s="81" t="str">
        <f aca="false">IF(M653="","",IFERROR(INDEX(BARDAGE!$C$7:$C$1506,MATCH(M653,BARDAGE!$B$7:$B$1506,0)),"? hors registre"))</f>
        <v/>
      </c>
      <c r="O653" s="80"/>
      <c r="P653" s="80"/>
      <c r="Q653" s="80"/>
      <c r="R653" s="82"/>
      <c r="S653" s="82"/>
      <c r="T653" s="80"/>
      <c r="U653" s="80"/>
      <c r="V653" s="82"/>
      <c r="W653" s="80"/>
      <c r="X653" s="80"/>
      <c r="Y653" s="80"/>
      <c r="Z653" s="80"/>
      <c r="AA653" s="82"/>
      <c r="AB653" s="80"/>
      <c r="AC653" s="80"/>
      <c r="AD653" s="80"/>
      <c r="AE653" s="80"/>
      <c r="AF653" s="82"/>
      <c r="AG653" s="80"/>
      <c r="AH653" s="80"/>
      <c r="AI653" s="82"/>
      <c r="AJ653" s="79"/>
      <c r="AK653" s="78" t="n">
        <f aca="false">IF(E653="","",(X653&lt;&gt;"")+(AC653&lt;&gt;"")+(AH653&lt;&gt;""))</f>
        <v>0</v>
      </c>
      <c r="AL653" s="81" t="str">
        <f aca="false">IF(AH653&lt;&gt;"",AH653,IF(AC653&lt;&gt;"",AC653,IF(X653&lt;&gt;"",X653,"")))</f>
        <v/>
      </c>
      <c r="AM653" s="83" t="str">
        <f aca="false">IF(E653="","",IF(R653="","À SOUDER",IF(U653="","VT EN ATTENTE",IF(U653="R","VT REJETÉ – À REPRENDRE",IF(AL653="","À RADIOGRAPHIER",IF(AL653="A","ACCEPTÉ",IF(AL653="NX","NX – RT À REFAIRE",IF(IF(AK653=1,Z653,IF(AK653=2,AE653,""))="A","RÉPARÉ – À RADIOGRAPHIER",IF(IF(AK653=1,Z653,IF(AK653=2,AE653,""))="R","VT REJETÉ – À REPRENDRE",IF(OR(AL653="CO",AL653="NT"),"COUPE – À RESOUDER","À RÉPARER"))))))))))</f>
        <v>À SOUDER</v>
      </c>
      <c r="AN653" s="81" t="str">
        <f aca="false">IF(AND(ISNUMBER(R653),OR(AM653="À RADIOGRAPHIER",AM653="RÉPARÉ – À RADIOGRAPHIER",AM653="NX – RT À REFAIRE",AM653="À RÉPARER",AM653="COUPE – À RESOUDER",AM653="VT REJETÉ – À REPRENDRE")),MAX(0,'PROGRAMME RT'!$C$4-R653),"")</f>
        <v/>
      </c>
      <c r="AO653" s="78" t="n">
        <f aca="false">IF(AND(OR(AM653="À RADIOGRAPHIER",AM653="RÉPARÉ – À RADIOGRAPHIER",AM653="NX – RT À REFAIRE"),OR('PROGRAMME RT'!$D$5="TOUTES",B653='PROGRAMME RT'!$D$5)),1,0)</f>
        <v>0</v>
      </c>
      <c r="AP653" s="78" t="str">
        <f aca="false">IF(AO653=1,SUM(AO$7:AO653),"")</f>
        <v/>
      </c>
      <c r="AQ653" s="78" t="n">
        <f aca="false">IF(AND(OR(X653="R",X653="NX",X653="NT",X653="CO"),OR('JOINTS DE RÉPARATION'!$D$5="TOUTES",B653='JOINTS DE RÉPARATION'!$D$5),OR('JOINTS DE RÉPARATION'!$L$4="TOUS",AM653&lt;&gt;"ACCEPTÉ")),1,0)</f>
        <v>0</v>
      </c>
      <c r="AR653" s="78" t="str">
        <f aca="false">IF(AQ653=1,SUM(AQ$7:AQ653),"")</f>
        <v/>
      </c>
    </row>
    <row r="654" customFormat="false" ht="15" hidden="false" customHeight="false" outlineLevel="0" collapsed="false">
      <c r="A654" s="78" t="n">
        <f aca="false">IF(E654="","",ROW()-6)</f>
        <v>648</v>
      </c>
      <c r="B654" s="79" t="s">
        <v>586</v>
      </c>
      <c r="C654" s="80"/>
      <c r="D654" s="80"/>
      <c r="E654" s="80" t="s">
        <v>217</v>
      </c>
      <c r="F654" s="80"/>
      <c r="G654" s="80" t="s">
        <v>106</v>
      </c>
      <c r="H654" s="80"/>
      <c r="I654" s="80"/>
      <c r="J654" s="80"/>
      <c r="K654" s="80"/>
      <c r="L654" s="81" t="str">
        <f aca="false">IF(K654="","",IFERROR(INDEX(BARDAGE!$C$7:$C$1506,MATCH(K654,BARDAGE!$B$7:$B$1506,0)),"? hors registre"))</f>
        <v/>
      </c>
      <c r="M654" s="80"/>
      <c r="N654" s="81" t="str">
        <f aca="false">IF(M654="","",IFERROR(INDEX(BARDAGE!$C$7:$C$1506,MATCH(M654,BARDAGE!$B$7:$B$1506,0)),"? hors registre"))</f>
        <v/>
      </c>
      <c r="O654" s="80"/>
      <c r="P654" s="80"/>
      <c r="Q654" s="80"/>
      <c r="R654" s="82"/>
      <c r="S654" s="82"/>
      <c r="T654" s="80"/>
      <c r="U654" s="80"/>
      <c r="V654" s="82"/>
      <c r="W654" s="80"/>
      <c r="X654" s="80"/>
      <c r="Y654" s="80"/>
      <c r="Z654" s="80"/>
      <c r="AA654" s="82"/>
      <c r="AB654" s="80"/>
      <c r="AC654" s="80"/>
      <c r="AD654" s="80"/>
      <c r="AE654" s="80"/>
      <c r="AF654" s="82"/>
      <c r="AG654" s="80"/>
      <c r="AH654" s="80"/>
      <c r="AI654" s="82"/>
      <c r="AJ654" s="79"/>
      <c r="AK654" s="78" t="n">
        <f aca="false">IF(E654="","",(X654&lt;&gt;"")+(AC654&lt;&gt;"")+(AH654&lt;&gt;""))</f>
        <v>0</v>
      </c>
      <c r="AL654" s="81" t="str">
        <f aca="false">IF(AH654&lt;&gt;"",AH654,IF(AC654&lt;&gt;"",AC654,IF(X654&lt;&gt;"",X654,"")))</f>
        <v/>
      </c>
      <c r="AM654" s="83" t="str">
        <f aca="false">IF(E654="","",IF(R654="","À SOUDER",IF(U654="","VT EN ATTENTE",IF(U654="R","VT REJETÉ – À REPRENDRE",IF(AL654="","À RADIOGRAPHIER",IF(AL654="A","ACCEPTÉ",IF(AL654="NX","NX – RT À REFAIRE",IF(IF(AK654=1,Z654,IF(AK654=2,AE654,""))="A","RÉPARÉ – À RADIOGRAPHIER",IF(IF(AK654=1,Z654,IF(AK654=2,AE654,""))="R","VT REJETÉ – À REPRENDRE",IF(OR(AL654="CO",AL654="NT"),"COUPE – À RESOUDER","À RÉPARER"))))))))))</f>
        <v>À SOUDER</v>
      </c>
      <c r="AN654" s="81" t="str">
        <f aca="false">IF(AND(ISNUMBER(R654),OR(AM654="À RADIOGRAPHIER",AM654="RÉPARÉ – À RADIOGRAPHIER",AM654="NX – RT À REFAIRE",AM654="À RÉPARER",AM654="COUPE – À RESOUDER",AM654="VT REJETÉ – À REPRENDRE")),MAX(0,'PROGRAMME RT'!$C$4-R654),"")</f>
        <v/>
      </c>
      <c r="AO654" s="78" t="n">
        <f aca="false">IF(AND(OR(AM654="À RADIOGRAPHIER",AM654="RÉPARÉ – À RADIOGRAPHIER",AM654="NX – RT À REFAIRE"),OR('PROGRAMME RT'!$D$5="TOUTES",B654='PROGRAMME RT'!$D$5)),1,0)</f>
        <v>0</v>
      </c>
      <c r="AP654" s="78" t="str">
        <f aca="false">IF(AO654=1,SUM(AO$7:AO654),"")</f>
        <v/>
      </c>
      <c r="AQ654" s="78" t="n">
        <f aca="false">IF(AND(OR(X654="R",X654="NX",X654="NT",X654="CO"),OR('JOINTS DE RÉPARATION'!$D$5="TOUTES",B654='JOINTS DE RÉPARATION'!$D$5),OR('JOINTS DE RÉPARATION'!$L$4="TOUS",AM654&lt;&gt;"ACCEPTÉ")),1,0)</f>
        <v>0</v>
      </c>
      <c r="AR654" s="78" t="str">
        <f aca="false">IF(AQ654=1,SUM(AQ$7:AQ654),"")</f>
        <v/>
      </c>
    </row>
    <row r="655" customFormat="false" ht="15" hidden="false" customHeight="false" outlineLevel="0" collapsed="false">
      <c r="A655" s="78" t="n">
        <f aca="false">IF(E655="","",ROW()-6)</f>
        <v>649</v>
      </c>
      <c r="B655" s="79" t="s">
        <v>586</v>
      </c>
      <c r="C655" s="80"/>
      <c r="D655" s="80"/>
      <c r="E655" s="80" t="s">
        <v>219</v>
      </c>
      <c r="F655" s="80"/>
      <c r="G655" s="80" t="s">
        <v>106</v>
      </c>
      <c r="H655" s="80"/>
      <c r="I655" s="80"/>
      <c r="J655" s="80"/>
      <c r="K655" s="80"/>
      <c r="L655" s="81" t="str">
        <f aca="false">IF(K655="","",IFERROR(INDEX(BARDAGE!$C$7:$C$1506,MATCH(K655,BARDAGE!$B$7:$B$1506,0)),"? hors registre"))</f>
        <v/>
      </c>
      <c r="M655" s="80"/>
      <c r="N655" s="81" t="str">
        <f aca="false">IF(M655="","",IFERROR(INDEX(BARDAGE!$C$7:$C$1506,MATCH(M655,BARDAGE!$B$7:$B$1506,0)),"? hors registre"))</f>
        <v/>
      </c>
      <c r="O655" s="80"/>
      <c r="P655" s="80"/>
      <c r="Q655" s="80"/>
      <c r="R655" s="82"/>
      <c r="S655" s="82"/>
      <c r="T655" s="80"/>
      <c r="U655" s="80"/>
      <c r="V655" s="82"/>
      <c r="W655" s="80"/>
      <c r="X655" s="80"/>
      <c r="Y655" s="80"/>
      <c r="Z655" s="80"/>
      <c r="AA655" s="82"/>
      <c r="AB655" s="80"/>
      <c r="AC655" s="80"/>
      <c r="AD655" s="80"/>
      <c r="AE655" s="80"/>
      <c r="AF655" s="82"/>
      <c r="AG655" s="80"/>
      <c r="AH655" s="80"/>
      <c r="AI655" s="82"/>
      <c r="AJ655" s="79"/>
      <c r="AK655" s="78" t="n">
        <f aca="false">IF(E655="","",(X655&lt;&gt;"")+(AC655&lt;&gt;"")+(AH655&lt;&gt;""))</f>
        <v>0</v>
      </c>
      <c r="AL655" s="81" t="str">
        <f aca="false">IF(AH655&lt;&gt;"",AH655,IF(AC655&lt;&gt;"",AC655,IF(X655&lt;&gt;"",X655,"")))</f>
        <v/>
      </c>
      <c r="AM655" s="83" t="str">
        <f aca="false">IF(E655="","",IF(R655="","À SOUDER",IF(U655="","VT EN ATTENTE",IF(U655="R","VT REJETÉ – À REPRENDRE",IF(AL655="","À RADIOGRAPHIER",IF(AL655="A","ACCEPTÉ",IF(AL655="NX","NX – RT À REFAIRE",IF(IF(AK655=1,Z655,IF(AK655=2,AE655,""))="A","RÉPARÉ – À RADIOGRAPHIER",IF(IF(AK655=1,Z655,IF(AK655=2,AE655,""))="R","VT REJETÉ – À REPRENDRE",IF(OR(AL655="CO",AL655="NT"),"COUPE – À RESOUDER","À RÉPARER"))))))))))</f>
        <v>À SOUDER</v>
      </c>
      <c r="AN655" s="81" t="str">
        <f aca="false">IF(AND(ISNUMBER(R655),OR(AM655="À RADIOGRAPHIER",AM655="RÉPARÉ – À RADIOGRAPHIER",AM655="NX – RT À REFAIRE",AM655="À RÉPARER",AM655="COUPE – À RESOUDER",AM655="VT REJETÉ – À REPRENDRE")),MAX(0,'PROGRAMME RT'!$C$4-R655),"")</f>
        <v/>
      </c>
      <c r="AO655" s="78" t="n">
        <f aca="false">IF(AND(OR(AM655="À RADIOGRAPHIER",AM655="RÉPARÉ – À RADIOGRAPHIER",AM655="NX – RT À REFAIRE"),OR('PROGRAMME RT'!$D$5="TOUTES",B655='PROGRAMME RT'!$D$5)),1,0)</f>
        <v>0</v>
      </c>
      <c r="AP655" s="78" t="str">
        <f aca="false">IF(AO655=1,SUM(AO$7:AO655),"")</f>
        <v/>
      </c>
      <c r="AQ655" s="78" t="n">
        <f aca="false">IF(AND(OR(X655="R",X655="NX",X655="NT",X655="CO"),OR('JOINTS DE RÉPARATION'!$D$5="TOUTES",B655='JOINTS DE RÉPARATION'!$D$5),OR('JOINTS DE RÉPARATION'!$L$4="TOUS",AM655&lt;&gt;"ACCEPTÉ")),1,0)</f>
        <v>0</v>
      </c>
      <c r="AR655" s="78" t="str">
        <f aca="false">IF(AQ655=1,SUM(AQ$7:AQ655),"")</f>
        <v/>
      </c>
    </row>
    <row r="656" customFormat="false" ht="15" hidden="false" customHeight="false" outlineLevel="0" collapsed="false">
      <c r="A656" s="78" t="n">
        <f aca="false">IF(E656="","",ROW()-6)</f>
        <v>650</v>
      </c>
      <c r="B656" s="79" t="s">
        <v>586</v>
      </c>
      <c r="C656" s="80"/>
      <c r="D656" s="80"/>
      <c r="E656" s="80" t="s">
        <v>578</v>
      </c>
      <c r="F656" s="80"/>
      <c r="G656" s="80" t="s">
        <v>106</v>
      </c>
      <c r="H656" s="80"/>
      <c r="I656" s="80"/>
      <c r="J656" s="80"/>
      <c r="K656" s="80"/>
      <c r="L656" s="81" t="str">
        <f aca="false">IF(K656="","",IFERROR(INDEX(BARDAGE!$C$7:$C$1506,MATCH(K656,BARDAGE!$B$7:$B$1506,0)),"? hors registre"))</f>
        <v/>
      </c>
      <c r="M656" s="80"/>
      <c r="N656" s="81" t="str">
        <f aca="false">IF(M656="","",IFERROR(INDEX(BARDAGE!$C$7:$C$1506,MATCH(M656,BARDAGE!$B$7:$B$1506,0)),"? hors registre"))</f>
        <v/>
      </c>
      <c r="O656" s="80"/>
      <c r="P656" s="80"/>
      <c r="Q656" s="80"/>
      <c r="R656" s="82"/>
      <c r="S656" s="82"/>
      <c r="T656" s="80"/>
      <c r="U656" s="80"/>
      <c r="V656" s="82"/>
      <c r="W656" s="80"/>
      <c r="X656" s="80"/>
      <c r="Y656" s="80"/>
      <c r="Z656" s="80"/>
      <c r="AA656" s="82"/>
      <c r="AB656" s="80"/>
      <c r="AC656" s="80"/>
      <c r="AD656" s="80"/>
      <c r="AE656" s="80"/>
      <c r="AF656" s="82"/>
      <c r="AG656" s="80"/>
      <c r="AH656" s="80"/>
      <c r="AI656" s="82"/>
      <c r="AJ656" s="79"/>
      <c r="AK656" s="78" t="n">
        <f aca="false">IF(E656="","",(X656&lt;&gt;"")+(AC656&lt;&gt;"")+(AH656&lt;&gt;""))</f>
        <v>0</v>
      </c>
      <c r="AL656" s="81" t="str">
        <f aca="false">IF(AH656&lt;&gt;"",AH656,IF(AC656&lt;&gt;"",AC656,IF(X656&lt;&gt;"",X656,"")))</f>
        <v/>
      </c>
      <c r="AM656" s="83" t="str">
        <f aca="false">IF(E656="","",IF(R656="","À SOUDER",IF(U656="","VT EN ATTENTE",IF(U656="R","VT REJETÉ – À REPRENDRE",IF(AL656="","À RADIOGRAPHIER",IF(AL656="A","ACCEPTÉ",IF(AL656="NX","NX – RT À REFAIRE",IF(IF(AK656=1,Z656,IF(AK656=2,AE656,""))="A","RÉPARÉ – À RADIOGRAPHIER",IF(IF(AK656=1,Z656,IF(AK656=2,AE656,""))="R","VT REJETÉ – À REPRENDRE",IF(OR(AL656="CO",AL656="NT"),"COUPE – À RESOUDER","À RÉPARER"))))))))))</f>
        <v>À SOUDER</v>
      </c>
      <c r="AN656" s="81" t="str">
        <f aca="false">IF(AND(ISNUMBER(R656),OR(AM656="À RADIOGRAPHIER",AM656="RÉPARÉ – À RADIOGRAPHIER",AM656="NX – RT À REFAIRE",AM656="À RÉPARER",AM656="COUPE – À RESOUDER",AM656="VT REJETÉ – À REPRENDRE")),MAX(0,'PROGRAMME RT'!$C$4-R656),"")</f>
        <v/>
      </c>
      <c r="AO656" s="78" t="n">
        <f aca="false">IF(AND(OR(AM656="À RADIOGRAPHIER",AM656="RÉPARÉ – À RADIOGRAPHIER",AM656="NX – RT À REFAIRE"),OR('PROGRAMME RT'!$D$5="TOUTES",B656='PROGRAMME RT'!$D$5)),1,0)</f>
        <v>0</v>
      </c>
      <c r="AP656" s="78" t="str">
        <f aca="false">IF(AO656=1,SUM(AO$7:AO656),"")</f>
        <v/>
      </c>
      <c r="AQ656" s="78" t="n">
        <f aca="false">IF(AND(OR(X656="R",X656="NX",X656="NT",X656="CO"),OR('JOINTS DE RÉPARATION'!$D$5="TOUTES",B656='JOINTS DE RÉPARATION'!$D$5),OR('JOINTS DE RÉPARATION'!$L$4="TOUS",AM656&lt;&gt;"ACCEPTÉ")),1,0)</f>
        <v>0</v>
      </c>
      <c r="AR656" s="78" t="str">
        <f aca="false">IF(AQ656=1,SUM(AQ$7:AQ656),"")</f>
        <v/>
      </c>
    </row>
    <row r="657" customFormat="false" ht="15" hidden="false" customHeight="false" outlineLevel="0" collapsed="false">
      <c r="A657" s="78" t="n">
        <f aca="false">IF(E657="","",ROW()-6)</f>
        <v>651</v>
      </c>
      <c r="B657" s="79" t="s">
        <v>586</v>
      </c>
      <c r="C657" s="80"/>
      <c r="D657" s="80"/>
      <c r="E657" s="80" t="s">
        <v>224</v>
      </c>
      <c r="F657" s="80"/>
      <c r="G657" s="80" t="s">
        <v>106</v>
      </c>
      <c r="H657" s="80"/>
      <c r="I657" s="80"/>
      <c r="J657" s="80"/>
      <c r="K657" s="80"/>
      <c r="L657" s="81" t="str">
        <f aca="false">IF(K657="","",IFERROR(INDEX(BARDAGE!$C$7:$C$1506,MATCH(K657,BARDAGE!$B$7:$B$1506,0)),"? hors registre"))</f>
        <v/>
      </c>
      <c r="M657" s="80"/>
      <c r="N657" s="81" t="str">
        <f aca="false">IF(M657="","",IFERROR(INDEX(BARDAGE!$C$7:$C$1506,MATCH(M657,BARDAGE!$B$7:$B$1506,0)),"? hors registre"))</f>
        <v/>
      </c>
      <c r="O657" s="80"/>
      <c r="P657" s="80"/>
      <c r="Q657" s="80"/>
      <c r="R657" s="82"/>
      <c r="S657" s="82"/>
      <c r="T657" s="80"/>
      <c r="U657" s="80"/>
      <c r="V657" s="82"/>
      <c r="W657" s="80"/>
      <c r="X657" s="80"/>
      <c r="Y657" s="80"/>
      <c r="Z657" s="80"/>
      <c r="AA657" s="82"/>
      <c r="AB657" s="80"/>
      <c r="AC657" s="80"/>
      <c r="AD657" s="80"/>
      <c r="AE657" s="80"/>
      <c r="AF657" s="82"/>
      <c r="AG657" s="80"/>
      <c r="AH657" s="80"/>
      <c r="AI657" s="82"/>
      <c r="AJ657" s="79"/>
      <c r="AK657" s="78" t="n">
        <f aca="false">IF(E657="","",(X657&lt;&gt;"")+(AC657&lt;&gt;"")+(AH657&lt;&gt;""))</f>
        <v>0</v>
      </c>
      <c r="AL657" s="81" t="str">
        <f aca="false">IF(AH657&lt;&gt;"",AH657,IF(AC657&lt;&gt;"",AC657,IF(X657&lt;&gt;"",X657,"")))</f>
        <v/>
      </c>
      <c r="AM657" s="83" t="str">
        <f aca="false">IF(E657="","",IF(R657="","À SOUDER",IF(U657="","VT EN ATTENTE",IF(U657="R","VT REJETÉ – À REPRENDRE",IF(AL657="","À RADIOGRAPHIER",IF(AL657="A","ACCEPTÉ",IF(AL657="NX","NX – RT À REFAIRE",IF(IF(AK657=1,Z657,IF(AK657=2,AE657,""))="A","RÉPARÉ – À RADIOGRAPHIER",IF(IF(AK657=1,Z657,IF(AK657=2,AE657,""))="R","VT REJETÉ – À REPRENDRE",IF(OR(AL657="CO",AL657="NT"),"COUPE – À RESOUDER","À RÉPARER"))))))))))</f>
        <v>À SOUDER</v>
      </c>
      <c r="AN657" s="81" t="str">
        <f aca="false">IF(AND(ISNUMBER(R657),OR(AM657="À RADIOGRAPHIER",AM657="RÉPARÉ – À RADIOGRAPHIER",AM657="NX – RT À REFAIRE",AM657="À RÉPARER",AM657="COUPE – À RESOUDER",AM657="VT REJETÉ – À REPRENDRE")),MAX(0,'PROGRAMME RT'!$C$4-R657),"")</f>
        <v/>
      </c>
      <c r="AO657" s="78" t="n">
        <f aca="false">IF(AND(OR(AM657="À RADIOGRAPHIER",AM657="RÉPARÉ – À RADIOGRAPHIER",AM657="NX – RT À REFAIRE"),OR('PROGRAMME RT'!$D$5="TOUTES",B657='PROGRAMME RT'!$D$5)),1,0)</f>
        <v>0</v>
      </c>
      <c r="AP657" s="78" t="str">
        <f aca="false">IF(AO657=1,SUM(AO$7:AO657),"")</f>
        <v/>
      </c>
      <c r="AQ657" s="78" t="n">
        <f aca="false">IF(AND(OR(X657="R",X657="NX",X657="NT",X657="CO"),OR('JOINTS DE RÉPARATION'!$D$5="TOUTES",B657='JOINTS DE RÉPARATION'!$D$5),OR('JOINTS DE RÉPARATION'!$L$4="TOUS",AM657&lt;&gt;"ACCEPTÉ")),1,0)</f>
        <v>0</v>
      </c>
      <c r="AR657" s="78" t="str">
        <f aca="false">IF(AQ657=1,SUM(AQ$7:AQ657),"")</f>
        <v/>
      </c>
    </row>
    <row r="658" customFormat="false" ht="15" hidden="false" customHeight="false" outlineLevel="0" collapsed="false">
      <c r="A658" s="78" t="n">
        <f aca="false">IF(E658="","",ROW()-6)</f>
        <v>652</v>
      </c>
      <c r="B658" s="79" t="s">
        <v>586</v>
      </c>
      <c r="C658" s="80"/>
      <c r="D658" s="80"/>
      <c r="E658" s="80" t="s">
        <v>226</v>
      </c>
      <c r="F658" s="80"/>
      <c r="G658" s="80" t="s">
        <v>106</v>
      </c>
      <c r="H658" s="80"/>
      <c r="I658" s="80"/>
      <c r="J658" s="80"/>
      <c r="K658" s="80"/>
      <c r="L658" s="81" t="str">
        <f aca="false">IF(K658="","",IFERROR(INDEX(BARDAGE!$C$7:$C$1506,MATCH(K658,BARDAGE!$B$7:$B$1506,0)),"? hors registre"))</f>
        <v/>
      </c>
      <c r="M658" s="80"/>
      <c r="N658" s="81" t="str">
        <f aca="false">IF(M658="","",IFERROR(INDEX(BARDAGE!$C$7:$C$1506,MATCH(M658,BARDAGE!$B$7:$B$1506,0)),"? hors registre"))</f>
        <v/>
      </c>
      <c r="O658" s="80"/>
      <c r="P658" s="80"/>
      <c r="Q658" s="80"/>
      <c r="R658" s="82"/>
      <c r="S658" s="82"/>
      <c r="T658" s="80"/>
      <c r="U658" s="80"/>
      <c r="V658" s="82"/>
      <c r="W658" s="80"/>
      <c r="X658" s="80"/>
      <c r="Y658" s="80"/>
      <c r="Z658" s="80"/>
      <c r="AA658" s="82"/>
      <c r="AB658" s="80"/>
      <c r="AC658" s="80"/>
      <c r="AD658" s="80"/>
      <c r="AE658" s="80"/>
      <c r="AF658" s="82"/>
      <c r="AG658" s="80"/>
      <c r="AH658" s="80"/>
      <c r="AI658" s="82"/>
      <c r="AJ658" s="79"/>
      <c r="AK658" s="78" t="n">
        <f aca="false">IF(E658="","",(X658&lt;&gt;"")+(AC658&lt;&gt;"")+(AH658&lt;&gt;""))</f>
        <v>0</v>
      </c>
      <c r="AL658" s="81" t="str">
        <f aca="false">IF(AH658&lt;&gt;"",AH658,IF(AC658&lt;&gt;"",AC658,IF(X658&lt;&gt;"",X658,"")))</f>
        <v/>
      </c>
      <c r="AM658" s="83" t="str">
        <f aca="false">IF(E658="","",IF(R658="","À SOUDER",IF(U658="","VT EN ATTENTE",IF(U658="R","VT REJETÉ – À REPRENDRE",IF(AL658="","À RADIOGRAPHIER",IF(AL658="A","ACCEPTÉ",IF(AL658="NX","NX – RT À REFAIRE",IF(IF(AK658=1,Z658,IF(AK658=2,AE658,""))="A","RÉPARÉ – À RADIOGRAPHIER",IF(IF(AK658=1,Z658,IF(AK658=2,AE658,""))="R","VT REJETÉ – À REPRENDRE",IF(OR(AL658="CO",AL658="NT"),"COUPE – À RESOUDER","À RÉPARER"))))))))))</f>
        <v>À SOUDER</v>
      </c>
      <c r="AN658" s="81" t="str">
        <f aca="false">IF(AND(ISNUMBER(R658),OR(AM658="À RADIOGRAPHIER",AM658="RÉPARÉ – À RADIOGRAPHIER",AM658="NX – RT À REFAIRE",AM658="À RÉPARER",AM658="COUPE – À RESOUDER",AM658="VT REJETÉ – À REPRENDRE")),MAX(0,'PROGRAMME RT'!$C$4-R658),"")</f>
        <v/>
      </c>
      <c r="AO658" s="78" t="n">
        <f aca="false">IF(AND(OR(AM658="À RADIOGRAPHIER",AM658="RÉPARÉ – À RADIOGRAPHIER",AM658="NX – RT À REFAIRE"),OR('PROGRAMME RT'!$D$5="TOUTES",B658='PROGRAMME RT'!$D$5)),1,0)</f>
        <v>0</v>
      </c>
      <c r="AP658" s="78" t="str">
        <f aca="false">IF(AO658=1,SUM(AO$7:AO658),"")</f>
        <v/>
      </c>
      <c r="AQ658" s="78" t="n">
        <f aca="false">IF(AND(OR(X658="R",X658="NX",X658="NT",X658="CO"),OR('JOINTS DE RÉPARATION'!$D$5="TOUTES",B658='JOINTS DE RÉPARATION'!$D$5),OR('JOINTS DE RÉPARATION'!$L$4="TOUS",AM658&lt;&gt;"ACCEPTÉ")),1,0)</f>
        <v>0</v>
      </c>
      <c r="AR658" s="78" t="str">
        <f aca="false">IF(AQ658=1,SUM(AQ$7:AQ658),"")</f>
        <v/>
      </c>
    </row>
    <row r="659" customFormat="false" ht="15" hidden="false" customHeight="false" outlineLevel="0" collapsed="false">
      <c r="A659" s="78" t="n">
        <f aca="false">IF(E659="","",ROW()-6)</f>
        <v>653</v>
      </c>
      <c r="B659" s="79" t="s">
        <v>586</v>
      </c>
      <c r="C659" s="80"/>
      <c r="D659" s="80"/>
      <c r="E659" s="80" t="s">
        <v>229</v>
      </c>
      <c r="F659" s="80"/>
      <c r="G659" s="80" t="s">
        <v>106</v>
      </c>
      <c r="H659" s="80"/>
      <c r="I659" s="80"/>
      <c r="J659" s="80"/>
      <c r="K659" s="80"/>
      <c r="L659" s="81" t="str">
        <f aca="false">IF(K659="","",IFERROR(INDEX(BARDAGE!$C$7:$C$1506,MATCH(K659,BARDAGE!$B$7:$B$1506,0)),"? hors registre"))</f>
        <v/>
      </c>
      <c r="M659" s="80"/>
      <c r="N659" s="81" t="str">
        <f aca="false">IF(M659="","",IFERROR(INDEX(BARDAGE!$C$7:$C$1506,MATCH(M659,BARDAGE!$B$7:$B$1506,0)),"? hors registre"))</f>
        <v/>
      </c>
      <c r="O659" s="80"/>
      <c r="P659" s="80"/>
      <c r="Q659" s="80"/>
      <c r="R659" s="82"/>
      <c r="S659" s="82"/>
      <c r="T659" s="80"/>
      <c r="U659" s="80"/>
      <c r="V659" s="82"/>
      <c r="W659" s="80"/>
      <c r="X659" s="80"/>
      <c r="Y659" s="80"/>
      <c r="Z659" s="80"/>
      <c r="AA659" s="82"/>
      <c r="AB659" s="80"/>
      <c r="AC659" s="80"/>
      <c r="AD659" s="80"/>
      <c r="AE659" s="80"/>
      <c r="AF659" s="82"/>
      <c r="AG659" s="80"/>
      <c r="AH659" s="80"/>
      <c r="AI659" s="82"/>
      <c r="AJ659" s="79"/>
      <c r="AK659" s="78" t="n">
        <f aca="false">IF(E659="","",(X659&lt;&gt;"")+(AC659&lt;&gt;"")+(AH659&lt;&gt;""))</f>
        <v>0</v>
      </c>
      <c r="AL659" s="81" t="str">
        <f aca="false">IF(AH659&lt;&gt;"",AH659,IF(AC659&lt;&gt;"",AC659,IF(X659&lt;&gt;"",X659,"")))</f>
        <v/>
      </c>
      <c r="AM659" s="83" t="str">
        <f aca="false">IF(E659="","",IF(R659="","À SOUDER",IF(U659="","VT EN ATTENTE",IF(U659="R","VT REJETÉ – À REPRENDRE",IF(AL659="","À RADIOGRAPHIER",IF(AL659="A","ACCEPTÉ",IF(AL659="NX","NX – RT À REFAIRE",IF(IF(AK659=1,Z659,IF(AK659=2,AE659,""))="A","RÉPARÉ – À RADIOGRAPHIER",IF(IF(AK659=1,Z659,IF(AK659=2,AE659,""))="R","VT REJETÉ – À REPRENDRE",IF(OR(AL659="CO",AL659="NT"),"COUPE – À RESOUDER","À RÉPARER"))))))))))</f>
        <v>À SOUDER</v>
      </c>
      <c r="AN659" s="81" t="str">
        <f aca="false">IF(AND(ISNUMBER(R659),OR(AM659="À RADIOGRAPHIER",AM659="RÉPARÉ – À RADIOGRAPHIER",AM659="NX – RT À REFAIRE",AM659="À RÉPARER",AM659="COUPE – À RESOUDER",AM659="VT REJETÉ – À REPRENDRE")),MAX(0,'PROGRAMME RT'!$C$4-R659),"")</f>
        <v/>
      </c>
      <c r="AO659" s="78" t="n">
        <f aca="false">IF(AND(OR(AM659="À RADIOGRAPHIER",AM659="RÉPARÉ – À RADIOGRAPHIER",AM659="NX – RT À REFAIRE"),OR('PROGRAMME RT'!$D$5="TOUTES",B659='PROGRAMME RT'!$D$5)),1,0)</f>
        <v>0</v>
      </c>
      <c r="AP659" s="78" t="str">
        <f aca="false">IF(AO659=1,SUM(AO$7:AO659),"")</f>
        <v/>
      </c>
      <c r="AQ659" s="78" t="n">
        <f aca="false">IF(AND(OR(X659="R",X659="NX",X659="NT",X659="CO"),OR('JOINTS DE RÉPARATION'!$D$5="TOUTES",B659='JOINTS DE RÉPARATION'!$D$5),OR('JOINTS DE RÉPARATION'!$L$4="TOUS",AM659&lt;&gt;"ACCEPTÉ")),1,0)</f>
        <v>0</v>
      </c>
      <c r="AR659" s="78" t="str">
        <f aca="false">IF(AQ659=1,SUM(AQ$7:AQ659),"")</f>
        <v/>
      </c>
    </row>
    <row r="660" customFormat="false" ht="15" hidden="false" customHeight="false" outlineLevel="0" collapsed="false">
      <c r="A660" s="78" t="n">
        <f aca="false">IF(E660="","",ROW()-6)</f>
        <v>654</v>
      </c>
      <c r="B660" s="79" t="s">
        <v>586</v>
      </c>
      <c r="C660" s="80"/>
      <c r="D660" s="80"/>
      <c r="E660" s="80" t="s">
        <v>232</v>
      </c>
      <c r="F660" s="80"/>
      <c r="G660" s="80" t="s">
        <v>106</v>
      </c>
      <c r="H660" s="80"/>
      <c r="I660" s="80"/>
      <c r="J660" s="80"/>
      <c r="K660" s="80"/>
      <c r="L660" s="81" t="str">
        <f aca="false">IF(K660="","",IFERROR(INDEX(BARDAGE!$C$7:$C$1506,MATCH(K660,BARDAGE!$B$7:$B$1506,0)),"? hors registre"))</f>
        <v/>
      </c>
      <c r="M660" s="80"/>
      <c r="N660" s="81" t="str">
        <f aca="false">IF(M660="","",IFERROR(INDEX(BARDAGE!$C$7:$C$1506,MATCH(M660,BARDAGE!$B$7:$B$1506,0)),"? hors registre"))</f>
        <v/>
      </c>
      <c r="O660" s="80"/>
      <c r="P660" s="80"/>
      <c r="Q660" s="80"/>
      <c r="R660" s="82"/>
      <c r="S660" s="82"/>
      <c r="T660" s="80"/>
      <c r="U660" s="80"/>
      <c r="V660" s="82"/>
      <c r="W660" s="80"/>
      <c r="X660" s="80"/>
      <c r="Y660" s="80"/>
      <c r="Z660" s="80"/>
      <c r="AA660" s="82"/>
      <c r="AB660" s="80"/>
      <c r="AC660" s="80"/>
      <c r="AD660" s="80"/>
      <c r="AE660" s="80"/>
      <c r="AF660" s="82"/>
      <c r="AG660" s="80"/>
      <c r="AH660" s="80"/>
      <c r="AI660" s="82"/>
      <c r="AJ660" s="79"/>
      <c r="AK660" s="78" t="n">
        <f aca="false">IF(E660="","",(X660&lt;&gt;"")+(AC660&lt;&gt;"")+(AH660&lt;&gt;""))</f>
        <v>0</v>
      </c>
      <c r="AL660" s="81" t="str">
        <f aca="false">IF(AH660&lt;&gt;"",AH660,IF(AC660&lt;&gt;"",AC660,IF(X660&lt;&gt;"",X660,"")))</f>
        <v/>
      </c>
      <c r="AM660" s="83" t="str">
        <f aca="false">IF(E660="","",IF(R660="","À SOUDER",IF(U660="","VT EN ATTENTE",IF(U660="R","VT REJETÉ – À REPRENDRE",IF(AL660="","À RADIOGRAPHIER",IF(AL660="A","ACCEPTÉ",IF(AL660="NX","NX – RT À REFAIRE",IF(IF(AK660=1,Z660,IF(AK660=2,AE660,""))="A","RÉPARÉ – À RADIOGRAPHIER",IF(IF(AK660=1,Z660,IF(AK660=2,AE660,""))="R","VT REJETÉ – À REPRENDRE",IF(OR(AL660="CO",AL660="NT"),"COUPE – À RESOUDER","À RÉPARER"))))))))))</f>
        <v>À SOUDER</v>
      </c>
      <c r="AN660" s="81" t="str">
        <f aca="false">IF(AND(ISNUMBER(R660),OR(AM660="À RADIOGRAPHIER",AM660="RÉPARÉ – À RADIOGRAPHIER",AM660="NX – RT À REFAIRE",AM660="À RÉPARER",AM660="COUPE – À RESOUDER",AM660="VT REJETÉ – À REPRENDRE")),MAX(0,'PROGRAMME RT'!$C$4-R660),"")</f>
        <v/>
      </c>
      <c r="AO660" s="78" t="n">
        <f aca="false">IF(AND(OR(AM660="À RADIOGRAPHIER",AM660="RÉPARÉ – À RADIOGRAPHIER",AM660="NX – RT À REFAIRE"),OR('PROGRAMME RT'!$D$5="TOUTES",B660='PROGRAMME RT'!$D$5)),1,0)</f>
        <v>0</v>
      </c>
      <c r="AP660" s="78" t="str">
        <f aca="false">IF(AO660=1,SUM(AO$7:AO660),"")</f>
        <v/>
      </c>
      <c r="AQ660" s="78" t="n">
        <f aca="false">IF(AND(OR(X660="R",X660="NX",X660="NT",X660="CO"),OR('JOINTS DE RÉPARATION'!$D$5="TOUTES",B660='JOINTS DE RÉPARATION'!$D$5),OR('JOINTS DE RÉPARATION'!$L$4="TOUS",AM660&lt;&gt;"ACCEPTÉ")),1,0)</f>
        <v>0</v>
      </c>
      <c r="AR660" s="78" t="str">
        <f aca="false">IF(AQ660=1,SUM(AQ$7:AQ660),"")</f>
        <v/>
      </c>
    </row>
    <row r="661" customFormat="false" ht="15" hidden="false" customHeight="false" outlineLevel="0" collapsed="false">
      <c r="A661" s="78" t="n">
        <f aca="false">IF(E661="","",ROW()-6)</f>
        <v>655</v>
      </c>
      <c r="B661" s="79" t="s">
        <v>586</v>
      </c>
      <c r="C661" s="80"/>
      <c r="D661" s="80"/>
      <c r="E661" s="80" t="s">
        <v>234</v>
      </c>
      <c r="F661" s="80"/>
      <c r="G661" s="80" t="s">
        <v>106</v>
      </c>
      <c r="H661" s="80"/>
      <c r="I661" s="80"/>
      <c r="J661" s="80"/>
      <c r="K661" s="80"/>
      <c r="L661" s="81" t="str">
        <f aca="false">IF(K661="","",IFERROR(INDEX(BARDAGE!$C$7:$C$1506,MATCH(K661,BARDAGE!$B$7:$B$1506,0)),"? hors registre"))</f>
        <v/>
      </c>
      <c r="M661" s="80"/>
      <c r="N661" s="81" t="str">
        <f aca="false">IF(M661="","",IFERROR(INDEX(BARDAGE!$C$7:$C$1506,MATCH(M661,BARDAGE!$B$7:$B$1506,0)),"? hors registre"))</f>
        <v/>
      </c>
      <c r="O661" s="80"/>
      <c r="P661" s="80"/>
      <c r="Q661" s="80"/>
      <c r="R661" s="82"/>
      <c r="S661" s="82"/>
      <c r="T661" s="80"/>
      <c r="U661" s="80"/>
      <c r="V661" s="82"/>
      <c r="W661" s="80"/>
      <c r="X661" s="80"/>
      <c r="Y661" s="80"/>
      <c r="Z661" s="80"/>
      <c r="AA661" s="82"/>
      <c r="AB661" s="80"/>
      <c r="AC661" s="80"/>
      <c r="AD661" s="80"/>
      <c r="AE661" s="80"/>
      <c r="AF661" s="82"/>
      <c r="AG661" s="80"/>
      <c r="AH661" s="80"/>
      <c r="AI661" s="82"/>
      <c r="AJ661" s="79"/>
      <c r="AK661" s="78" t="n">
        <f aca="false">IF(E661="","",(X661&lt;&gt;"")+(AC661&lt;&gt;"")+(AH661&lt;&gt;""))</f>
        <v>0</v>
      </c>
      <c r="AL661" s="81" t="str">
        <f aca="false">IF(AH661&lt;&gt;"",AH661,IF(AC661&lt;&gt;"",AC661,IF(X661&lt;&gt;"",X661,"")))</f>
        <v/>
      </c>
      <c r="AM661" s="83" t="str">
        <f aca="false">IF(E661="","",IF(R661="","À SOUDER",IF(U661="","VT EN ATTENTE",IF(U661="R","VT REJETÉ – À REPRENDRE",IF(AL661="","À RADIOGRAPHIER",IF(AL661="A","ACCEPTÉ",IF(AL661="NX","NX – RT À REFAIRE",IF(IF(AK661=1,Z661,IF(AK661=2,AE661,""))="A","RÉPARÉ – À RADIOGRAPHIER",IF(IF(AK661=1,Z661,IF(AK661=2,AE661,""))="R","VT REJETÉ – À REPRENDRE",IF(OR(AL661="CO",AL661="NT"),"COUPE – À RESOUDER","À RÉPARER"))))))))))</f>
        <v>À SOUDER</v>
      </c>
      <c r="AN661" s="81" t="str">
        <f aca="false">IF(AND(ISNUMBER(R661),OR(AM661="À RADIOGRAPHIER",AM661="RÉPARÉ – À RADIOGRAPHIER",AM661="NX – RT À REFAIRE",AM661="À RÉPARER",AM661="COUPE – À RESOUDER",AM661="VT REJETÉ – À REPRENDRE")),MAX(0,'PROGRAMME RT'!$C$4-R661),"")</f>
        <v/>
      </c>
      <c r="AO661" s="78" t="n">
        <f aca="false">IF(AND(OR(AM661="À RADIOGRAPHIER",AM661="RÉPARÉ – À RADIOGRAPHIER",AM661="NX – RT À REFAIRE"),OR('PROGRAMME RT'!$D$5="TOUTES",B661='PROGRAMME RT'!$D$5)),1,0)</f>
        <v>0</v>
      </c>
      <c r="AP661" s="78" t="str">
        <f aca="false">IF(AO661=1,SUM(AO$7:AO661),"")</f>
        <v/>
      </c>
      <c r="AQ661" s="78" t="n">
        <f aca="false">IF(AND(OR(X661="R",X661="NX",X661="NT",X661="CO"),OR('JOINTS DE RÉPARATION'!$D$5="TOUTES",B661='JOINTS DE RÉPARATION'!$D$5),OR('JOINTS DE RÉPARATION'!$L$4="TOUS",AM661&lt;&gt;"ACCEPTÉ")),1,0)</f>
        <v>0</v>
      </c>
      <c r="AR661" s="78" t="str">
        <f aca="false">IF(AQ661=1,SUM(AQ$7:AQ661),"")</f>
        <v/>
      </c>
    </row>
    <row r="662" customFormat="false" ht="15" hidden="false" customHeight="false" outlineLevel="0" collapsed="false">
      <c r="A662" s="78" t="n">
        <f aca="false">IF(E662="","",ROW()-6)</f>
        <v>656</v>
      </c>
      <c r="B662" s="79" t="s">
        <v>586</v>
      </c>
      <c r="C662" s="80"/>
      <c r="D662" s="80"/>
      <c r="E662" s="80" t="s">
        <v>236</v>
      </c>
      <c r="F662" s="80"/>
      <c r="G662" s="80" t="s">
        <v>106</v>
      </c>
      <c r="H662" s="80"/>
      <c r="I662" s="80"/>
      <c r="J662" s="80"/>
      <c r="K662" s="80"/>
      <c r="L662" s="81" t="str">
        <f aca="false">IF(K662="","",IFERROR(INDEX(BARDAGE!$C$7:$C$1506,MATCH(K662,BARDAGE!$B$7:$B$1506,0)),"? hors registre"))</f>
        <v/>
      </c>
      <c r="M662" s="80"/>
      <c r="N662" s="81" t="str">
        <f aca="false">IF(M662="","",IFERROR(INDEX(BARDAGE!$C$7:$C$1506,MATCH(M662,BARDAGE!$B$7:$B$1506,0)),"? hors registre"))</f>
        <v/>
      </c>
      <c r="O662" s="80"/>
      <c r="P662" s="80"/>
      <c r="Q662" s="80"/>
      <c r="R662" s="82"/>
      <c r="S662" s="82"/>
      <c r="T662" s="80"/>
      <c r="U662" s="80"/>
      <c r="V662" s="82"/>
      <c r="W662" s="80"/>
      <c r="X662" s="80"/>
      <c r="Y662" s="80"/>
      <c r="Z662" s="80"/>
      <c r="AA662" s="82"/>
      <c r="AB662" s="80"/>
      <c r="AC662" s="80"/>
      <c r="AD662" s="80"/>
      <c r="AE662" s="80"/>
      <c r="AF662" s="82"/>
      <c r="AG662" s="80"/>
      <c r="AH662" s="80"/>
      <c r="AI662" s="82"/>
      <c r="AJ662" s="79"/>
      <c r="AK662" s="78" t="n">
        <f aca="false">IF(E662="","",(X662&lt;&gt;"")+(AC662&lt;&gt;"")+(AH662&lt;&gt;""))</f>
        <v>0</v>
      </c>
      <c r="AL662" s="81" t="str">
        <f aca="false">IF(AH662&lt;&gt;"",AH662,IF(AC662&lt;&gt;"",AC662,IF(X662&lt;&gt;"",X662,"")))</f>
        <v/>
      </c>
      <c r="AM662" s="83" t="str">
        <f aca="false">IF(E662="","",IF(R662="","À SOUDER",IF(U662="","VT EN ATTENTE",IF(U662="R","VT REJETÉ – À REPRENDRE",IF(AL662="","À RADIOGRAPHIER",IF(AL662="A","ACCEPTÉ",IF(AL662="NX","NX – RT À REFAIRE",IF(IF(AK662=1,Z662,IF(AK662=2,AE662,""))="A","RÉPARÉ – À RADIOGRAPHIER",IF(IF(AK662=1,Z662,IF(AK662=2,AE662,""))="R","VT REJETÉ – À REPRENDRE",IF(OR(AL662="CO",AL662="NT"),"COUPE – À RESOUDER","À RÉPARER"))))))))))</f>
        <v>À SOUDER</v>
      </c>
      <c r="AN662" s="81" t="str">
        <f aca="false">IF(AND(ISNUMBER(R662),OR(AM662="À RADIOGRAPHIER",AM662="RÉPARÉ – À RADIOGRAPHIER",AM662="NX – RT À REFAIRE",AM662="À RÉPARER",AM662="COUPE – À RESOUDER",AM662="VT REJETÉ – À REPRENDRE")),MAX(0,'PROGRAMME RT'!$C$4-R662),"")</f>
        <v/>
      </c>
      <c r="AO662" s="78" t="n">
        <f aca="false">IF(AND(OR(AM662="À RADIOGRAPHIER",AM662="RÉPARÉ – À RADIOGRAPHIER",AM662="NX – RT À REFAIRE"),OR('PROGRAMME RT'!$D$5="TOUTES",B662='PROGRAMME RT'!$D$5)),1,0)</f>
        <v>0</v>
      </c>
      <c r="AP662" s="78" t="str">
        <f aca="false">IF(AO662=1,SUM(AO$7:AO662),"")</f>
        <v/>
      </c>
      <c r="AQ662" s="78" t="n">
        <f aca="false">IF(AND(OR(X662="R",X662="NX",X662="NT",X662="CO"),OR('JOINTS DE RÉPARATION'!$D$5="TOUTES",B662='JOINTS DE RÉPARATION'!$D$5),OR('JOINTS DE RÉPARATION'!$L$4="TOUS",AM662&lt;&gt;"ACCEPTÉ")),1,0)</f>
        <v>0</v>
      </c>
      <c r="AR662" s="78" t="str">
        <f aca="false">IF(AQ662=1,SUM(AQ$7:AQ662),"")</f>
        <v/>
      </c>
    </row>
    <row r="663" customFormat="false" ht="15" hidden="false" customHeight="false" outlineLevel="0" collapsed="false">
      <c r="A663" s="78" t="n">
        <f aca="false">IF(E663="","",ROW()-6)</f>
        <v>657</v>
      </c>
      <c r="B663" s="79" t="s">
        <v>586</v>
      </c>
      <c r="C663" s="80"/>
      <c r="D663" s="80"/>
      <c r="E663" s="80" t="s">
        <v>238</v>
      </c>
      <c r="F663" s="80"/>
      <c r="G663" s="80" t="s">
        <v>106</v>
      </c>
      <c r="H663" s="80"/>
      <c r="I663" s="80"/>
      <c r="J663" s="80"/>
      <c r="K663" s="80"/>
      <c r="L663" s="81" t="str">
        <f aca="false">IF(K663="","",IFERROR(INDEX(BARDAGE!$C$7:$C$1506,MATCH(K663,BARDAGE!$B$7:$B$1506,0)),"? hors registre"))</f>
        <v/>
      </c>
      <c r="M663" s="80"/>
      <c r="N663" s="81" t="str">
        <f aca="false">IF(M663="","",IFERROR(INDEX(BARDAGE!$C$7:$C$1506,MATCH(M663,BARDAGE!$B$7:$B$1506,0)),"? hors registre"))</f>
        <v/>
      </c>
      <c r="O663" s="80"/>
      <c r="P663" s="80"/>
      <c r="Q663" s="80"/>
      <c r="R663" s="82"/>
      <c r="S663" s="82"/>
      <c r="T663" s="80"/>
      <c r="U663" s="80"/>
      <c r="V663" s="82"/>
      <c r="W663" s="80"/>
      <c r="X663" s="80"/>
      <c r="Y663" s="80"/>
      <c r="Z663" s="80"/>
      <c r="AA663" s="82"/>
      <c r="AB663" s="80"/>
      <c r="AC663" s="80"/>
      <c r="AD663" s="80"/>
      <c r="AE663" s="80"/>
      <c r="AF663" s="82"/>
      <c r="AG663" s="80"/>
      <c r="AH663" s="80"/>
      <c r="AI663" s="82"/>
      <c r="AJ663" s="79"/>
      <c r="AK663" s="78" t="n">
        <f aca="false">IF(E663="","",(X663&lt;&gt;"")+(AC663&lt;&gt;"")+(AH663&lt;&gt;""))</f>
        <v>0</v>
      </c>
      <c r="AL663" s="81" t="str">
        <f aca="false">IF(AH663&lt;&gt;"",AH663,IF(AC663&lt;&gt;"",AC663,IF(X663&lt;&gt;"",X663,"")))</f>
        <v/>
      </c>
      <c r="AM663" s="83" t="str">
        <f aca="false">IF(E663="","",IF(R663="","À SOUDER",IF(U663="","VT EN ATTENTE",IF(U663="R","VT REJETÉ – À REPRENDRE",IF(AL663="","À RADIOGRAPHIER",IF(AL663="A","ACCEPTÉ",IF(AL663="NX","NX – RT À REFAIRE",IF(IF(AK663=1,Z663,IF(AK663=2,AE663,""))="A","RÉPARÉ – À RADIOGRAPHIER",IF(IF(AK663=1,Z663,IF(AK663=2,AE663,""))="R","VT REJETÉ – À REPRENDRE",IF(OR(AL663="CO",AL663="NT"),"COUPE – À RESOUDER","À RÉPARER"))))))))))</f>
        <v>À SOUDER</v>
      </c>
      <c r="AN663" s="81" t="str">
        <f aca="false">IF(AND(ISNUMBER(R663),OR(AM663="À RADIOGRAPHIER",AM663="RÉPARÉ – À RADIOGRAPHIER",AM663="NX – RT À REFAIRE",AM663="À RÉPARER",AM663="COUPE – À RESOUDER",AM663="VT REJETÉ – À REPRENDRE")),MAX(0,'PROGRAMME RT'!$C$4-R663),"")</f>
        <v/>
      </c>
      <c r="AO663" s="78" t="n">
        <f aca="false">IF(AND(OR(AM663="À RADIOGRAPHIER",AM663="RÉPARÉ – À RADIOGRAPHIER",AM663="NX – RT À REFAIRE"),OR('PROGRAMME RT'!$D$5="TOUTES",B663='PROGRAMME RT'!$D$5)),1,0)</f>
        <v>0</v>
      </c>
      <c r="AP663" s="78" t="str">
        <f aca="false">IF(AO663=1,SUM(AO$7:AO663),"")</f>
        <v/>
      </c>
      <c r="AQ663" s="78" t="n">
        <f aca="false">IF(AND(OR(X663="R",X663="NX",X663="NT",X663="CO"),OR('JOINTS DE RÉPARATION'!$D$5="TOUTES",B663='JOINTS DE RÉPARATION'!$D$5),OR('JOINTS DE RÉPARATION'!$L$4="TOUS",AM663&lt;&gt;"ACCEPTÉ")),1,0)</f>
        <v>0</v>
      </c>
      <c r="AR663" s="78" t="str">
        <f aca="false">IF(AQ663=1,SUM(AQ$7:AQ663),"")</f>
        <v/>
      </c>
    </row>
    <row r="664" customFormat="false" ht="15" hidden="false" customHeight="false" outlineLevel="0" collapsed="false">
      <c r="A664" s="78" t="n">
        <f aca="false">IF(E664="","",ROW()-6)</f>
        <v>658</v>
      </c>
      <c r="B664" s="79" t="s">
        <v>586</v>
      </c>
      <c r="C664" s="80"/>
      <c r="D664" s="80"/>
      <c r="E664" s="80" t="s">
        <v>240</v>
      </c>
      <c r="F664" s="80"/>
      <c r="G664" s="80" t="s">
        <v>106</v>
      </c>
      <c r="H664" s="80"/>
      <c r="I664" s="80"/>
      <c r="J664" s="80"/>
      <c r="K664" s="80"/>
      <c r="L664" s="81" t="str">
        <f aca="false">IF(K664="","",IFERROR(INDEX(BARDAGE!$C$7:$C$1506,MATCH(K664,BARDAGE!$B$7:$B$1506,0)),"? hors registre"))</f>
        <v/>
      </c>
      <c r="M664" s="80"/>
      <c r="N664" s="81" t="str">
        <f aca="false">IF(M664="","",IFERROR(INDEX(BARDAGE!$C$7:$C$1506,MATCH(M664,BARDAGE!$B$7:$B$1506,0)),"? hors registre"))</f>
        <v/>
      </c>
      <c r="O664" s="80"/>
      <c r="P664" s="80"/>
      <c r="Q664" s="80"/>
      <c r="R664" s="82"/>
      <c r="S664" s="82"/>
      <c r="T664" s="80"/>
      <c r="U664" s="80"/>
      <c r="V664" s="82"/>
      <c r="W664" s="80"/>
      <c r="X664" s="80"/>
      <c r="Y664" s="80"/>
      <c r="Z664" s="80"/>
      <c r="AA664" s="82"/>
      <c r="AB664" s="80"/>
      <c r="AC664" s="80"/>
      <c r="AD664" s="80"/>
      <c r="AE664" s="80"/>
      <c r="AF664" s="82"/>
      <c r="AG664" s="80"/>
      <c r="AH664" s="80"/>
      <c r="AI664" s="82"/>
      <c r="AJ664" s="79"/>
      <c r="AK664" s="78" t="n">
        <f aca="false">IF(E664="","",(X664&lt;&gt;"")+(AC664&lt;&gt;"")+(AH664&lt;&gt;""))</f>
        <v>0</v>
      </c>
      <c r="AL664" s="81" t="str">
        <f aca="false">IF(AH664&lt;&gt;"",AH664,IF(AC664&lt;&gt;"",AC664,IF(X664&lt;&gt;"",X664,"")))</f>
        <v/>
      </c>
      <c r="AM664" s="83" t="str">
        <f aca="false">IF(E664="","",IF(R664="","À SOUDER",IF(U664="","VT EN ATTENTE",IF(U664="R","VT REJETÉ – À REPRENDRE",IF(AL664="","À RADIOGRAPHIER",IF(AL664="A","ACCEPTÉ",IF(AL664="NX","NX – RT À REFAIRE",IF(IF(AK664=1,Z664,IF(AK664=2,AE664,""))="A","RÉPARÉ – À RADIOGRAPHIER",IF(IF(AK664=1,Z664,IF(AK664=2,AE664,""))="R","VT REJETÉ – À REPRENDRE",IF(OR(AL664="CO",AL664="NT"),"COUPE – À RESOUDER","À RÉPARER"))))))))))</f>
        <v>À SOUDER</v>
      </c>
      <c r="AN664" s="81" t="str">
        <f aca="false">IF(AND(ISNUMBER(R664),OR(AM664="À RADIOGRAPHIER",AM664="RÉPARÉ – À RADIOGRAPHIER",AM664="NX – RT À REFAIRE",AM664="À RÉPARER",AM664="COUPE – À RESOUDER",AM664="VT REJETÉ – À REPRENDRE")),MAX(0,'PROGRAMME RT'!$C$4-R664),"")</f>
        <v/>
      </c>
      <c r="AO664" s="78" t="n">
        <f aca="false">IF(AND(OR(AM664="À RADIOGRAPHIER",AM664="RÉPARÉ – À RADIOGRAPHIER",AM664="NX – RT À REFAIRE"),OR('PROGRAMME RT'!$D$5="TOUTES",B664='PROGRAMME RT'!$D$5)),1,0)</f>
        <v>0</v>
      </c>
      <c r="AP664" s="78" t="str">
        <f aca="false">IF(AO664=1,SUM(AO$7:AO664),"")</f>
        <v/>
      </c>
      <c r="AQ664" s="78" t="n">
        <f aca="false">IF(AND(OR(X664="R",X664="NX",X664="NT",X664="CO"),OR('JOINTS DE RÉPARATION'!$D$5="TOUTES",B664='JOINTS DE RÉPARATION'!$D$5),OR('JOINTS DE RÉPARATION'!$L$4="TOUS",AM664&lt;&gt;"ACCEPTÉ")),1,0)</f>
        <v>0</v>
      </c>
      <c r="AR664" s="78" t="str">
        <f aca="false">IF(AQ664=1,SUM(AQ$7:AQ664),"")</f>
        <v/>
      </c>
    </row>
    <row r="665" customFormat="false" ht="15" hidden="false" customHeight="false" outlineLevel="0" collapsed="false">
      <c r="A665" s="78" t="n">
        <f aca="false">IF(E665="","",ROW()-6)</f>
        <v>659</v>
      </c>
      <c r="B665" s="79" t="s">
        <v>586</v>
      </c>
      <c r="C665" s="80"/>
      <c r="D665" s="80"/>
      <c r="E665" s="80" t="s">
        <v>243</v>
      </c>
      <c r="F665" s="80"/>
      <c r="G665" s="80" t="s">
        <v>106</v>
      </c>
      <c r="H665" s="80"/>
      <c r="I665" s="80"/>
      <c r="J665" s="80"/>
      <c r="K665" s="80"/>
      <c r="L665" s="81" t="str">
        <f aca="false">IF(K665="","",IFERROR(INDEX(BARDAGE!$C$7:$C$1506,MATCH(K665,BARDAGE!$B$7:$B$1506,0)),"? hors registre"))</f>
        <v/>
      </c>
      <c r="M665" s="80"/>
      <c r="N665" s="81" t="str">
        <f aca="false">IF(M665="","",IFERROR(INDEX(BARDAGE!$C$7:$C$1506,MATCH(M665,BARDAGE!$B$7:$B$1506,0)),"? hors registre"))</f>
        <v/>
      </c>
      <c r="O665" s="80"/>
      <c r="P665" s="80"/>
      <c r="Q665" s="80"/>
      <c r="R665" s="82"/>
      <c r="S665" s="82"/>
      <c r="T665" s="80"/>
      <c r="U665" s="80"/>
      <c r="V665" s="82"/>
      <c r="W665" s="80"/>
      <c r="X665" s="80"/>
      <c r="Y665" s="80"/>
      <c r="Z665" s="80"/>
      <c r="AA665" s="82"/>
      <c r="AB665" s="80"/>
      <c r="AC665" s="80"/>
      <c r="AD665" s="80"/>
      <c r="AE665" s="80"/>
      <c r="AF665" s="82"/>
      <c r="AG665" s="80"/>
      <c r="AH665" s="80"/>
      <c r="AI665" s="82"/>
      <c r="AJ665" s="79"/>
      <c r="AK665" s="78" t="n">
        <f aca="false">IF(E665="","",(X665&lt;&gt;"")+(AC665&lt;&gt;"")+(AH665&lt;&gt;""))</f>
        <v>0</v>
      </c>
      <c r="AL665" s="81" t="str">
        <f aca="false">IF(AH665&lt;&gt;"",AH665,IF(AC665&lt;&gt;"",AC665,IF(X665&lt;&gt;"",X665,"")))</f>
        <v/>
      </c>
      <c r="AM665" s="83" t="str">
        <f aca="false">IF(E665="","",IF(R665="","À SOUDER",IF(U665="","VT EN ATTENTE",IF(U665="R","VT REJETÉ – À REPRENDRE",IF(AL665="","À RADIOGRAPHIER",IF(AL665="A","ACCEPTÉ",IF(AL665="NX","NX – RT À REFAIRE",IF(IF(AK665=1,Z665,IF(AK665=2,AE665,""))="A","RÉPARÉ – À RADIOGRAPHIER",IF(IF(AK665=1,Z665,IF(AK665=2,AE665,""))="R","VT REJETÉ – À REPRENDRE",IF(OR(AL665="CO",AL665="NT"),"COUPE – À RESOUDER","À RÉPARER"))))))))))</f>
        <v>À SOUDER</v>
      </c>
      <c r="AN665" s="81" t="str">
        <f aca="false">IF(AND(ISNUMBER(R665),OR(AM665="À RADIOGRAPHIER",AM665="RÉPARÉ – À RADIOGRAPHIER",AM665="NX – RT À REFAIRE",AM665="À RÉPARER",AM665="COUPE – À RESOUDER",AM665="VT REJETÉ – À REPRENDRE")),MAX(0,'PROGRAMME RT'!$C$4-R665),"")</f>
        <v/>
      </c>
      <c r="AO665" s="78" t="n">
        <f aca="false">IF(AND(OR(AM665="À RADIOGRAPHIER",AM665="RÉPARÉ – À RADIOGRAPHIER",AM665="NX – RT À REFAIRE"),OR('PROGRAMME RT'!$D$5="TOUTES",B665='PROGRAMME RT'!$D$5)),1,0)</f>
        <v>0</v>
      </c>
      <c r="AP665" s="78" t="str">
        <f aca="false">IF(AO665=1,SUM(AO$7:AO665),"")</f>
        <v/>
      </c>
      <c r="AQ665" s="78" t="n">
        <f aca="false">IF(AND(OR(X665="R",X665="NX",X665="NT",X665="CO"),OR('JOINTS DE RÉPARATION'!$D$5="TOUTES",B665='JOINTS DE RÉPARATION'!$D$5),OR('JOINTS DE RÉPARATION'!$L$4="TOUS",AM665&lt;&gt;"ACCEPTÉ")),1,0)</f>
        <v>0</v>
      </c>
      <c r="AR665" s="78" t="str">
        <f aca="false">IF(AQ665=1,SUM(AQ$7:AQ665),"")</f>
        <v/>
      </c>
    </row>
    <row r="666" customFormat="false" ht="15" hidden="false" customHeight="false" outlineLevel="0" collapsed="false">
      <c r="A666" s="78" t="n">
        <f aca="false">IF(E666="","",ROW()-6)</f>
        <v>660</v>
      </c>
      <c r="B666" s="79" t="s">
        <v>586</v>
      </c>
      <c r="C666" s="80"/>
      <c r="D666" s="80"/>
      <c r="E666" s="80" t="s">
        <v>245</v>
      </c>
      <c r="F666" s="80"/>
      <c r="G666" s="80" t="s">
        <v>106</v>
      </c>
      <c r="H666" s="80"/>
      <c r="I666" s="80"/>
      <c r="J666" s="80"/>
      <c r="K666" s="80"/>
      <c r="L666" s="81" t="str">
        <f aca="false">IF(K666="","",IFERROR(INDEX(BARDAGE!$C$7:$C$1506,MATCH(K666,BARDAGE!$B$7:$B$1506,0)),"? hors registre"))</f>
        <v/>
      </c>
      <c r="M666" s="80"/>
      <c r="N666" s="81" t="str">
        <f aca="false">IF(M666="","",IFERROR(INDEX(BARDAGE!$C$7:$C$1506,MATCH(M666,BARDAGE!$B$7:$B$1506,0)),"? hors registre"))</f>
        <v/>
      </c>
      <c r="O666" s="80"/>
      <c r="P666" s="80"/>
      <c r="Q666" s="80"/>
      <c r="R666" s="82"/>
      <c r="S666" s="82"/>
      <c r="T666" s="80"/>
      <c r="U666" s="80"/>
      <c r="V666" s="82"/>
      <c r="W666" s="80"/>
      <c r="X666" s="80"/>
      <c r="Y666" s="80"/>
      <c r="Z666" s="80"/>
      <c r="AA666" s="82"/>
      <c r="AB666" s="80"/>
      <c r="AC666" s="80"/>
      <c r="AD666" s="80"/>
      <c r="AE666" s="80"/>
      <c r="AF666" s="82"/>
      <c r="AG666" s="80"/>
      <c r="AH666" s="80"/>
      <c r="AI666" s="82"/>
      <c r="AJ666" s="79"/>
      <c r="AK666" s="78" t="n">
        <f aca="false">IF(E666="","",(X666&lt;&gt;"")+(AC666&lt;&gt;"")+(AH666&lt;&gt;""))</f>
        <v>0</v>
      </c>
      <c r="AL666" s="81" t="str">
        <f aca="false">IF(AH666&lt;&gt;"",AH666,IF(AC666&lt;&gt;"",AC666,IF(X666&lt;&gt;"",X666,"")))</f>
        <v/>
      </c>
      <c r="AM666" s="83" t="str">
        <f aca="false">IF(E666="","",IF(R666="","À SOUDER",IF(U666="","VT EN ATTENTE",IF(U666="R","VT REJETÉ – À REPRENDRE",IF(AL666="","À RADIOGRAPHIER",IF(AL666="A","ACCEPTÉ",IF(AL666="NX","NX – RT À REFAIRE",IF(IF(AK666=1,Z666,IF(AK666=2,AE666,""))="A","RÉPARÉ – À RADIOGRAPHIER",IF(IF(AK666=1,Z666,IF(AK666=2,AE666,""))="R","VT REJETÉ – À REPRENDRE",IF(OR(AL666="CO",AL666="NT"),"COUPE – À RESOUDER","À RÉPARER"))))))))))</f>
        <v>À SOUDER</v>
      </c>
      <c r="AN666" s="81" t="str">
        <f aca="false">IF(AND(ISNUMBER(R666),OR(AM666="À RADIOGRAPHIER",AM666="RÉPARÉ – À RADIOGRAPHIER",AM666="NX – RT À REFAIRE",AM666="À RÉPARER",AM666="COUPE – À RESOUDER",AM666="VT REJETÉ – À REPRENDRE")),MAX(0,'PROGRAMME RT'!$C$4-R666),"")</f>
        <v/>
      </c>
      <c r="AO666" s="78" t="n">
        <f aca="false">IF(AND(OR(AM666="À RADIOGRAPHIER",AM666="RÉPARÉ – À RADIOGRAPHIER",AM666="NX – RT À REFAIRE"),OR('PROGRAMME RT'!$D$5="TOUTES",B666='PROGRAMME RT'!$D$5)),1,0)</f>
        <v>0</v>
      </c>
      <c r="AP666" s="78" t="str">
        <f aca="false">IF(AO666=1,SUM(AO$7:AO666),"")</f>
        <v/>
      </c>
      <c r="AQ666" s="78" t="n">
        <f aca="false">IF(AND(OR(X666="R",X666="NX",X666="NT",X666="CO"),OR('JOINTS DE RÉPARATION'!$D$5="TOUTES",B666='JOINTS DE RÉPARATION'!$D$5),OR('JOINTS DE RÉPARATION'!$L$4="TOUS",AM666&lt;&gt;"ACCEPTÉ")),1,0)</f>
        <v>0</v>
      </c>
      <c r="AR666" s="78" t="str">
        <f aca="false">IF(AQ666=1,SUM(AQ$7:AQ666),"")</f>
        <v/>
      </c>
    </row>
    <row r="667" customFormat="false" ht="15" hidden="false" customHeight="false" outlineLevel="0" collapsed="false">
      <c r="A667" s="78" t="n">
        <f aca="false">IF(E667="","",ROW()-6)</f>
        <v>661</v>
      </c>
      <c r="B667" s="79" t="s">
        <v>586</v>
      </c>
      <c r="C667" s="80"/>
      <c r="D667" s="80"/>
      <c r="E667" s="80" t="s">
        <v>247</v>
      </c>
      <c r="F667" s="80"/>
      <c r="G667" s="80" t="s">
        <v>106</v>
      </c>
      <c r="H667" s="80"/>
      <c r="I667" s="80"/>
      <c r="J667" s="80"/>
      <c r="K667" s="80"/>
      <c r="L667" s="81" t="str">
        <f aca="false">IF(K667="","",IFERROR(INDEX(BARDAGE!$C$7:$C$1506,MATCH(K667,BARDAGE!$B$7:$B$1506,0)),"? hors registre"))</f>
        <v/>
      </c>
      <c r="M667" s="80"/>
      <c r="N667" s="81" t="str">
        <f aca="false">IF(M667="","",IFERROR(INDEX(BARDAGE!$C$7:$C$1506,MATCH(M667,BARDAGE!$B$7:$B$1506,0)),"? hors registre"))</f>
        <v/>
      </c>
      <c r="O667" s="80"/>
      <c r="P667" s="80"/>
      <c r="Q667" s="80"/>
      <c r="R667" s="82"/>
      <c r="S667" s="82"/>
      <c r="T667" s="80"/>
      <c r="U667" s="80"/>
      <c r="V667" s="82"/>
      <c r="W667" s="80"/>
      <c r="X667" s="80"/>
      <c r="Y667" s="80"/>
      <c r="Z667" s="80"/>
      <c r="AA667" s="82"/>
      <c r="AB667" s="80"/>
      <c r="AC667" s="80"/>
      <c r="AD667" s="80"/>
      <c r="AE667" s="80"/>
      <c r="AF667" s="82"/>
      <c r="AG667" s="80"/>
      <c r="AH667" s="80"/>
      <c r="AI667" s="82"/>
      <c r="AJ667" s="79"/>
      <c r="AK667" s="78" t="n">
        <f aca="false">IF(E667="","",(X667&lt;&gt;"")+(AC667&lt;&gt;"")+(AH667&lt;&gt;""))</f>
        <v>0</v>
      </c>
      <c r="AL667" s="81" t="str">
        <f aca="false">IF(AH667&lt;&gt;"",AH667,IF(AC667&lt;&gt;"",AC667,IF(X667&lt;&gt;"",X667,"")))</f>
        <v/>
      </c>
      <c r="AM667" s="83" t="str">
        <f aca="false">IF(E667="","",IF(R667="","À SOUDER",IF(U667="","VT EN ATTENTE",IF(U667="R","VT REJETÉ – À REPRENDRE",IF(AL667="","À RADIOGRAPHIER",IF(AL667="A","ACCEPTÉ",IF(AL667="NX","NX – RT À REFAIRE",IF(IF(AK667=1,Z667,IF(AK667=2,AE667,""))="A","RÉPARÉ – À RADIOGRAPHIER",IF(IF(AK667=1,Z667,IF(AK667=2,AE667,""))="R","VT REJETÉ – À REPRENDRE",IF(OR(AL667="CO",AL667="NT"),"COUPE – À RESOUDER","À RÉPARER"))))))))))</f>
        <v>À SOUDER</v>
      </c>
      <c r="AN667" s="81" t="str">
        <f aca="false">IF(AND(ISNUMBER(R667),OR(AM667="À RADIOGRAPHIER",AM667="RÉPARÉ – À RADIOGRAPHIER",AM667="NX – RT À REFAIRE",AM667="À RÉPARER",AM667="COUPE – À RESOUDER",AM667="VT REJETÉ – À REPRENDRE")),MAX(0,'PROGRAMME RT'!$C$4-R667),"")</f>
        <v/>
      </c>
      <c r="AO667" s="78" t="n">
        <f aca="false">IF(AND(OR(AM667="À RADIOGRAPHIER",AM667="RÉPARÉ – À RADIOGRAPHIER",AM667="NX – RT À REFAIRE"),OR('PROGRAMME RT'!$D$5="TOUTES",B667='PROGRAMME RT'!$D$5)),1,0)</f>
        <v>0</v>
      </c>
      <c r="AP667" s="78" t="str">
        <f aca="false">IF(AO667=1,SUM(AO$7:AO667),"")</f>
        <v/>
      </c>
      <c r="AQ667" s="78" t="n">
        <f aca="false">IF(AND(OR(X667="R",X667="NX",X667="NT",X667="CO"),OR('JOINTS DE RÉPARATION'!$D$5="TOUTES",B667='JOINTS DE RÉPARATION'!$D$5),OR('JOINTS DE RÉPARATION'!$L$4="TOUS",AM667&lt;&gt;"ACCEPTÉ")),1,0)</f>
        <v>0</v>
      </c>
      <c r="AR667" s="78" t="str">
        <f aca="false">IF(AQ667=1,SUM(AQ$7:AQ667),"")</f>
        <v/>
      </c>
    </row>
    <row r="668" customFormat="false" ht="15" hidden="false" customHeight="false" outlineLevel="0" collapsed="false">
      <c r="A668" s="78" t="n">
        <f aca="false">IF(E668="","",ROW()-6)</f>
        <v>662</v>
      </c>
      <c r="B668" s="79" t="s">
        <v>586</v>
      </c>
      <c r="C668" s="80"/>
      <c r="D668" s="80"/>
      <c r="E668" s="80" t="s">
        <v>250</v>
      </c>
      <c r="F668" s="80"/>
      <c r="G668" s="80" t="s">
        <v>106</v>
      </c>
      <c r="H668" s="80"/>
      <c r="I668" s="80"/>
      <c r="J668" s="80"/>
      <c r="K668" s="80"/>
      <c r="L668" s="81" t="str">
        <f aca="false">IF(K668="","",IFERROR(INDEX(BARDAGE!$C$7:$C$1506,MATCH(K668,BARDAGE!$B$7:$B$1506,0)),"? hors registre"))</f>
        <v/>
      </c>
      <c r="M668" s="80"/>
      <c r="N668" s="81" t="str">
        <f aca="false">IF(M668="","",IFERROR(INDEX(BARDAGE!$C$7:$C$1506,MATCH(M668,BARDAGE!$B$7:$B$1506,0)),"? hors registre"))</f>
        <v/>
      </c>
      <c r="O668" s="80"/>
      <c r="P668" s="80"/>
      <c r="Q668" s="80"/>
      <c r="R668" s="82"/>
      <c r="S668" s="82"/>
      <c r="T668" s="80"/>
      <c r="U668" s="80"/>
      <c r="V668" s="82"/>
      <c r="W668" s="80"/>
      <c r="X668" s="80"/>
      <c r="Y668" s="80"/>
      <c r="Z668" s="80"/>
      <c r="AA668" s="82"/>
      <c r="AB668" s="80"/>
      <c r="AC668" s="80"/>
      <c r="AD668" s="80"/>
      <c r="AE668" s="80"/>
      <c r="AF668" s="82"/>
      <c r="AG668" s="80"/>
      <c r="AH668" s="80"/>
      <c r="AI668" s="82"/>
      <c r="AJ668" s="79"/>
      <c r="AK668" s="78" t="n">
        <f aca="false">IF(E668="","",(X668&lt;&gt;"")+(AC668&lt;&gt;"")+(AH668&lt;&gt;""))</f>
        <v>0</v>
      </c>
      <c r="AL668" s="81" t="str">
        <f aca="false">IF(AH668&lt;&gt;"",AH668,IF(AC668&lt;&gt;"",AC668,IF(X668&lt;&gt;"",X668,"")))</f>
        <v/>
      </c>
      <c r="AM668" s="83" t="str">
        <f aca="false">IF(E668="","",IF(R668="","À SOUDER",IF(U668="","VT EN ATTENTE",IF(U668="R","VT REJETÉ – À REPRENDRE",IF(AL668="","À RADIOGRAPHIER",IF(AL668="A","ACCEPTÉ",IF(AL668="NX","NX – RT À REFAIRE",IF(IF(AK668=1,Z668,IF(AK668=2,AE668,""))="A","RÉPARÉ – À RADIOGRAPHIER",IF(IF(AK668=1,Z668,IF(AK668=2,AE668,""))="R","VT REJETÉ – À REPRENDRE",IF(OR(AL668="CO",AL668="NT"),"COUPE – À RESOUDER","À RÉPARER"))))))))))</f>
        <v>À SOUDER</v>
      </c>
      <c r="AN668" s="81" t="str">
        <f aca="false">IF(AND(ISNUMBER(R668),OR(AM668="À RADIOGRAPHIER",AM668="RÉPARÉ – À RADIOGRAPHIER",AM668="NX – RT À REFAIRE",AM668="À RÉPARER",AM668="COUPE – À RESOUDER",AM668="VT REJETÉ – À REPRENDRE")),MAX(0,'PROGRAMME RT'!$C$4-R668),"")</f>
        <v/>
      </c>
      <c r="AO668" s="78" t="n">
        <f aca="false">IF(AND(OR(AM668="À RADIOGRAPHIER",AM668="RÉPARÉ – À RADIOGRAPHIER",AM668="NX – RT À REFAIRE"),OR('PROGRAMME RT'!$D$5="TOUTES",B668='PROGRAMME RT'!$D$5)),1,0)</f>
        <v>0</v>
      </c>
      <c r="AP668" s="78" t="str">
        <f aca="false">IF(AO668=1,SUM(AO$7:AO668),"")</f>
        <v/>
      </c>
      <c r="AQ668" s="78" t="n">
        <f aca="false">IF(AND(OR(X668="R",X668="NX",X668="NT",X668="CO"),OR('JOINTS DE RÉPARATION'!$D$5="TOUTES",B668='JOINTS DE RÉPARATION'!$D$5),OR('JOINTS DE RÉPARATION'!$L$4="TOUS",AM668&lt;&gt;"ACCEPTÉ")),1,0)</f>
        <v>0</v>
      </c>
      <c r="AR668" s="78" t="str">
        <f aca="false">IF(AQ668=1,SUM(AQ$7:AQ668),"")</f>
        <v/>
      </c>
    </row>
    <row r="669" customFormat="false" ht="15" hidden="false" customHeight="false" outlineLevel="0" collapsed="false">
      <c r="A669" s="78" t="n">
        <f aca="false">IF(E669="","",ROW()-6)</f>
        <v>663</v>
      </c>
      <c r="B669" s="79" t="s">
        <v>586</v>
      </c>
      <c r="C669" s="80"/>
      <c r="D669" s="80"/>
      <c r="E669" s="80" t="s">
        <v>252</v>
      </c>
      <c r="F669" s="80"/>
      <c r="G669" s="80" t="s">
        <v>106</v>
      </c>
      <c r="H669" s="80"/>
      <c r="I669" s="80"/>
      <c r="J669" s="80"/>
      <c r="K669" s="80"/>
      <c r="L669" s="81" t="str">
        <f aca="false">IF(K669="","",IFERROR(INDEX(BARDAGE!$C$7:$C$1506,MATCH(K669,BARDAGE!$B$7:$B$1506,0)),"? hors registre"))</f>
        <v/>
      </c>
      <c r="M669" s="80"/>
      <c r="N669" s="81" t="str">
        <f aca="false">IF(M669="","",IFERROR(INDEX(BARDAGE!$C$7:$C$1506,MATCH(M669,BARDAGE!$B$7:$B$1506,0)),"? hors registre"))</f>
        <v/>
      </c>
      <c r="O669" s="80"/>
      <c r="P669" s="80"/>
      <c r="Q669" s="80"/>
      <c r="R669" s="82"/>
      <c r="S669" s="82"/>
      <c r="T669" s="80"/>
      <c r="U669" s="80"/>
      <c r="V669" s="82"/>
      <c r="W669" s="80"/>
      <c r="X669" s="80"/>
      <c r="Y669" s="80"/>
      <c r="Z669" s="80"/>
      <c r="AA669" s="82"/>
      <c r="AB669" s="80"/>
      <c r="AC669" s="80"/>
      <c r="AD669" s="80"/>
      <c r="AE669" s="80"/>
      <c r="AF669" s="82"/>
      <c r="AG669" s="80"/>
      <c r="AH669" s="80"/>
      <c r="AI669" s="82"/>
      <c r="AJ669" s="79"/>
      <c r="AK669" s="78" t="n">
        <f aca="false">IF(E669="","",(X669&lt;&gt;"")+(AC669&lt;&gt;"")+(AH669&lt;&gt;""))</f>
        <v>0</v>
      </c>
      <c r="AL669" s="81" t="str">
        <f aca="false">IF(AH669&lt;&gt;"",AH669,IF(AC669&lt;&gt;"",AC669,IF(X669&lt;&gt;"",X669,"")))</f>
        <v/>
      </c>
      <c r="AM669" s="83" t="str">
        <f aca="false">IF(E669="","",IF(R669="","À SOUDER",IF(U669="","VT EN ATTENTE",IF(U669="R","VT REJETÉ – À REPRENDRE",IF(AL669="","À RADIOGRAPHIER",IF(AL669="A","ACCEPTÉ",IF(AL669="NX","NX – RT À REFAIRE",IF(IF(AK669=1,Z669,IF(AK669=2,AE669,""))="A","RÉPARÉ – À RADIOGRAPHIER",IF(IF(AK669=1,Z669,IF(AK669=2,AE669,""))="R","VT REJETÉ – À REPRENDRE",IF(OR(AL669="CO",AL669="NT"),"COUPE – À RESOUDER","À RÉPARER"))))))))))</f>
        <v>À SOUDER</v>
      </c>
      <c r="AN669" s="81" t="str">
        <f aca="false">IF(AND(ISNUMBER(R669),OR(AM669="À RADIOGRAPHIER",AM669="RÉPARÉ – À RADIOGRAPHIER",AM669="NX – RT À REFAIRE",AM669="À RÉPARER",AM669="COUPE – À RESOUDER",AM669="VT REJETÉ – À REPRENDRE")),MAX(0,'PROGRAMME RT'!$C$4-R669),"")</f>
        <v/>
      </c>
      <c r="AO669" s="78" t="n">
        <f aca="false">IF(AND(OR(AM669="À RADIOGRAPHIER",AM669="RÉPARÉ – À RADIOGRAPHIER",AM669="NX – RT À REFAIRE"),OR('PROGRAMME RT'!$D$5="TOUTES",B669='PROGRAMME RT'!$D$5)),1,0)</f>
        <v>0</v>
      </c>
      <c r="AP669" s="78" t="str">
        <f aca="false">IF(AO669=1,SUM(AO$7:AO669),"")</f>
        <v/>
      </c>
      <c r="AQ669" s="78" t="n">
        <f aca="false">IF(AND(OR(X669="R",X669="NX",X669="NT",X669="CO"),OR('JOINTS DE RÉPARATION'!$D$5="TOUTES",B669='JOINTS DE RÉPARATION'!$D$5),OR('JOINTS DE RÉPARATION'!$L$4="TOUS",AM669&lt;&gt;"ACCEPTÉ")),1,0)</f>
        <v>0</v>
      </c>
      <c r="AR669" s="78" t="str">
        <f aca="false">IF(AQ669=1,SUM(AQ$7:AQ669),"")</f>
        <v/>
      </c>
    </row>
    <row r="670" customFormat="false" ht="15" hidden="false" customHeight="false" outlineLevel="0" collapsed="false">
      <c r="A670" s="78" t="n">
        <f aca="false">IF(E670="","",ROW()-6)</f>
        <v>664</v>
      </c>
      <c r="B670" s="79" t="s">
        <v>586</v>
      </c>
      <c r="C670" s="80"/>
      <c r="D670" s="80"/>
      <c r="E670" s="80" t="s">
        <v>254</v>
      </c>
      <c r="F670" s="80"/>
      <c r="G670" s="80" t="s">
        <v>106</v>
      </c>
      <c r="H670" s="80"/>
      <c r="I670" s="80"/>
      <c r="J670" s="80"/>
      <c r="K670" s="80"/>
      <c r="L670" s="81" t="str">
        <f aca="false">IF(K670="","",IFERROR(INDEX(BARDAGE!$C$7:$C$1506,MATCH(K670,BARDAGE!$B$7:$B$1506,0)),"? hors registre"))</f>
        <v/>
      </c>
      <c r="M670" s="80"/>
      <c r="N670" s="81" t="str">
        <f aca="false">IF(M670="","",IFERROR(INDEX(BARDAGE!$C$7:$C$1506,MATCH(M670,BARDAGE!$B$7:$B$1506,0)),"? hors registre"))</f>
        <v/>
      </c>
      <c r="O670" s="80"/>
      <c r="P670" s="80"/>
      <c r="Q670" s="80"/>
      <c r="R670" s="82"/>
      <c r="S670" s="82"/>
      <c r="T670" s="80"/>
      <c r="U670" s="80"/>
      <c r="V670" s="82"/>
      <c r="W670" s="80"/>
      <c r="X670" s="80"/>
      <c r="Y670" s="80"/>
      <c r="Z670" s="80"/>
      <c r="AA670" s="82"/>
      <c r="AB670" s="80"/>
      <c r="AC670" s="80"/>
      <c r="AD670" s="80"/>
      <c r="AE670" s="80"/>
      <c r="AF670" s="82"/>
      <c r="AG670" s="80"/>
      <c r="AH670" s="80"/>
      <c r="AI670" s="82"/>
      <c r="AJ670" s="79"/>
      <c r="AK670" s="78" t="n">
        <f aca="false">IF(E670="","",(X670&lt;&gt;"")+(AC670&lt;&gt;"")+(AH670&lt;&gt;""))</f>
        <v>0</v>
      </c>
      <c r="AL670" s="81" t="str">
        <f aca="false">IF(AH670&lt;&gt;"",AH670,IF(AC670&lt;&gt;"",AC670,IF(X670&lt;&gt;"",X670,"")))</f>
        <v/>
      </c>
      <c r="AM670" s="83" t="str">
        <f aca="false">IF(E670="","",IF(R670="","À SOUDER",IF(U670="","VT EN ATTENTE",IF(U670="R","VT REJETÉ – À REPRENDRE",IF(AL670="","À RADIOGRAPHIER",IF(AL670="A","ACCEPTÉ",IF(AL670="NX","NX – RT À REFAIRE",IF(IF(AK670=1,Z670,IF(AK670=2,AE670,""))="A","RÉPARÉ – À RADIOGRAPHIER",IF(IF(AK670=1,Z670,IF(AK670=2,AE670,""))="R","VT REJETÉ – À REPRENDRE",IF(OR(AL670="CO",AL670="NT"),"COUPE – À RESOUDER","À RÉPARER"))))))))))</f>
        <v>À SOUDER</v>
      </c>
      <c r="AN670" s="81" t="str">
        <f aca="false">IF(AND(ISNUMBER(R670),OR(AM670="À RADIOGRAPHIER",AM670="RÉPARÉ – À RADIOGRAPHIER",AM670="NX – RT À REFAIRE",AM670="À RÉPARER",AM670="COUPE – À RESOUDER",AM670="VT REJETÉ – À REPRENDRE")),MAX(0,'PROGRAMME RT'!$C$4-R670),"")</f>
        <v/>
      </c>
      <c r="AO670" s="78" t="n">
        <f aca="false">IF(AND(OR(AM670="À RADIOGRAPHIER",AM670="RÉPARÉ – À RADIOGRAPHIER",AM670="NX – RT À REFAIRE"),OR('PROGRAMME RT'!$D$5="TOUTES",B670='PROGRAMME RT'!$D$5)),1,0)</f>
        <v>0</v>
      </c>
      <c r="AP670" s="78" t="str">
        <f aca="false">IF(AO670=1,SUM(AO$7:AO670),"")</f>
        <v/>
      </c>
      <c r="AQ670" s="78" t="n">
        <f aca="false">IF(AND(OR(X670="R",X670="NX",X670="NT",X670="CO"),OR('JOINTS DE RÉPARATION'!$D$5="TOUTES",B670='JOINTS DE RÉPARATION'!$D$5),OR('JOINTS DE RÉPARATION'!$L$4="TOUS",AM670&lt;&gt;"ACCEPTÉ")),1,0)</f>
        <v>0</v>
      </c>
      <c r="AR670" s="78" t="str">
        <f aca="false">IF(AQ670=1,SUM(AQ$7:AQ670),"")</f>
        <v/>
      </c>
    </row>
    <row r="671" customFormat="false" ht="15" hidden="false" customHeight="false" outlineLevel="0" collapsed="false">
      <c r="A671" s="78" t="n">
        <f aca="false">IF(E671="","",ROW()-6)</f>
        <v>665</v>
      </c>
      <c r="B671" s="79" t="s">
        <v>586</v>
      </c>
      <c r="C671" s="80"/>
      <c r="D671" s="80"/>
      <c r="E671" s="80" t="s">
        <v>256</v>
      </c>
      <c r="F671" s="80"/>
      <c r="G671" s="80" t="s">
        <v>106</v>
      </c>
      <c r="H671" s="80"/>
      <c r="I671" s="80"/>
      <c r="J671" s="80"/>
      <c r="K671" s="80"/>
      <c r="L671" s="81" t="str">
        <f aca="false">IF(K671="","",IFERROR(INDEX(BARDAGE!$C$7:$C$1506,MATCH(K671,BARDAGE!$B$7:$B$1506,0)),"? hors registre"))</f>
        <v/>
      </c>
      <c r="M671" s="80"/>
      <c r="N671" s="81" t="str">
        <f aca="false">IF(M671="","",IFERROR(INDEX(BARDAGE!$C$7:$C$1506,MATCH(M671,BARDAGE!$B$7:$B$1506,0)),"? hors registre"))</f>
        <v/>
      </c>
      <c r="O671" s="80"/>
      <c r="P671" s="80"/>
      <c r="Q671" s="80"/>
      <c r="R671" s="82"/>
      <c r="S671" s="82"/>
      <c r="T671" s="80"/>
      <c r="U671" s="80"/>
      <c r="V671" s="82"/>
      <c r="W671" s="80"/>
      <c r="X671" s="80"/>
      <c r="Y671" s="80"/>
      <c r="Z671" s="80"/>
      <c r="AA671" s="82"/>
      <c r="AB671" s="80"/>
      <c r="AC671" s="80"/>
      <c r="AD671" s="80"/>
      <c r="AE671" s="80"/>
      <c r="AF671" s="82"/>
      <c r="AG671" s="80"/>
      <c r="AH671" s="80"/>
      <c r="AI671" s="82"/>
      <c r="AJ671" s="79"/>
      <c r="AK671" s="78" t="n">
        <f aca="false">IF(E671="","",(X671&lt;&gt;"")+(AC671&lt;&gt;"")+(AH671&lt;&gt;""))</f>
        <v>0</v>
      </c>
      <c r="AL671" s="81" t="str">
        <f aca="false">IF(AH671&lt;&gt;"",AH671,IF(AC671&lt;&gt;"",AC671,IF(X671&lt;&gt;"",X671,"")))</f>
        <v/>
      </c>
      <c r="AM671" s="83" t="str">
        <f aca="false">IF(E671="","",IF(R671="","À SOUDER",IF(U671="","VT EN ATTENTE",IF(U671="R","VT REJETÉ – À REPRENDRE",IF(AL671="","À RADIOGRAPHIER",IF(AL671="A","ACCEPTÉ",IF(AL671="NX","NX – RT À REFAIRE",IF(IF(AK671=1,Z671,IF(AK671=2,AE671,""))="A","RÉPARÉ – À RADIOGRAPHIER",IF(IF(AK671=1,Z671,IF(AK671=2,AE671,""))="R","VT REJETÉ – À REPRENDRE",IF(OR(AL671="CO",AL671="NT"),"COUPE – À RESOUDER","À RÉPARER"))))))))))</f>
        <v>À SOUDER</v>
      </c>
      <c r="AN671" s="81" t="str">
        <f aca="false">IF(AND(ISNUMBER(R671),OR(AM671="À RADIOGRAPHIER",AM671="RÉPARÉ – À RADIOGRAPHIER",AM671="NX – RT À REFAIRE",AM671="À RÉPARER",AM671="COUPE – À RESOUDER",AM671="VT REJETÉ – À REPRENDRE")),MAX(0,'PROGRAMME RT'!$C$4-R671),"")</f>
        <v/>
      </c>
      <c r="AO671" s="78" t="n">
        <f aca="false">IF(AND(OR(AM671="À RADIOGRAPHIER",AM671="RÉPARÉ – À RADIOGRAPHIER",AM671="NX – RT À REFAIRE"),OR('PROGRAMME RT'!$D$5="TOUTES",B671='PROGRAMME RT'!$D$5)),1,0)</f>
        <v>0</v>
      </c>
      <c r="AP671" s="78" t="str">
        <f aca="false">IF(AO671=1,SUM(AO$7:AO671),"")</f>
        <v/>
      </c>
      <c r="AQ671" s="78" t="n">
        <f aca="false">IF(AND(OR(X671="R",X671="NX",X671="NT",X671="CO"),OR('JOINTS DE RÉPARATION'!$D$5="TOUTES",B671='JOINTS DE RÉPARATION'!$D$5),OR('JOINTS DE RÉPARATION'!$L$4="TOUS",AM671&lt;&gt;"ACCEPTÉ")),1,0)</f>
        <v>0</v>
      </c>
      <c r="AR671" s="78" t="str">
        <f aca="false">IF(AQ671=1,SUM(AQ$7:AQ671),"")</f>
        <v/>
      </c>
    </row>
    <row r="672" customFormat="false" ht="15" hidden="false" customHeight="false" outlineLevel="0" collapsed="false">
      <c r="A672" s="78" t="n">
        <f aca="false">IF(E672="","",ROW()-6)</f>
        <v>666</v>
      </c>
      <c r="B672" s="79" t="s">
        <v>586</v>
      </c>
      <c r="C672" s="80"/>
      <c r="D672" s="80"/>
      <c r="E672" s="80" t="s">
        <v>259</v>
      </c>
      <c r="F672" s="80"/>
      <c r="G672" s="80" t="s">
        <v>106</v>
      </c>
      <c r="H672" s="80"/>
      <c r="I672" s="80"/>
      <c r="J672" s="80"/>
      <c r="K672" s="80"/>
      <c r="L672" s="81" t="str">
        <f aca="false">IF(K672="","",IFERROR(INDEX(BARDAGE!$C$7:$C$1506,MATCH(K672,BARDAGE!$B$7:$B$1506,0)),"? hors registre"))</f>
        <v/>
      </c>
      <c r="M672" s="80"/>
      <c r="N672" s="81" t="str">
        <f aca="false">IF(M672="","",IFERROR(INDEX(BARDAGE!$C$7:$C$1506,MATCH(M672,BARDAGE!$B$7:$B$1506,0)),"? hors registre"))</f>
        <v/>
      </c>
      <c r="O672" s="80"/>
      <c r="P672" s="80"/>
      <c r="Q672" s="80"/>
      <c r="R672" s="82"/>
      <c r="S672" s="82"/>
      <c r="T672" s="80"/>
      <c r="U672" s="80"/>
      <c r="V672" s="82"/>
      <c r="W672" s="80"/>
      <c r="X672" s="80"/>
      <c r="Y672" s="80"/>
      <c r="Z672" s="80"/>
      <c r="AA672" s="82"/>
      <c r="AB672" s="80"/>
      <c r="AC672" s="80"/>
      <c r="AD672" s="80"/>
      <c r="AE672" s="80"/>
      <c r="AF672" s="82"/>
      <c r="AG672" s="80"/>
      <c r="AH672" s="80"/>
      <c r="AI672" s="82"/>
      <c r="AJ672" s="79"/>
      <c r="AK672" s="78" t="n">
        <f aca="false">IF(E672="","",(X672&lt;&gt;"")+(AC672&lt;&gt;"")+(AH672&lt;&gt;""))</f>
        <v>0</v>
      </c>
      <c r="AL672" s="81" t="str">
        <f aca="false">IF(AH672&lt;&gt;"",AH672,IF(AC672&lt;&gt;"",AC672,IF(X672&lt;&gt;"",X672,"")))</f>
        <v/>
      </c>
      <c r="AM672" s="83" t="str">
        <f aca="false">IF(E672="","",IF(R672="","À SOUDER",IF(U672="","VT EN ATTENTE",IF(U672="R","VT REJETÉ – À REPRENDRE",IF(AL672="","À RADIOGRAPHIER",IF(AL672="A","ACCEPTÉ",IF(AL672="NX","NX – RT À REFAIRE",IF(IF(AK672=1,Z672,IF(AK672=2,AE672,""))="A","RÉPARÉ – À RADIOGRAPHIER",IF(IF(AK672=1,Z672,IF(AK672=2,AE672,""))="R","VT REJETÉ – À REPRENDRE",IF(OR(AL672="CO",AL672="NT"),"COUPE – À RESOUDER","À RÉPARER"))))))))))</f>
        <v>À SOUDER</v>
      </c>
      <c r="AN672" s="81" t="str">
        <f aca="false">IF(AND(ISNUMBER(R672),OR(AM672="À RADIOGRAPHIER",AM672="RÉPARÉ – À RADIOGRAPHIER",AM672="NX – RT À REFAIRE",AM672="À RÉPARER",AM672="COUPE – À RESOUDER",AM672="VT REJETÉ – À REPRENDRE")),MAX(0,'PROGRAMME RT'!$C$4-R672),"")</f>
        <v/>
      </c>
      <c r="AO672" s="78" t="n">
        <f aca="false">IF(AND(OR(AM672="À RADIOGRAPHIER",AM672="RÉPARÉ – À RADIOGRAPHIER",AM672="NX – RT À REFAIRE"),OR('PROGRAMME RT'!$D$5="TOUTES",B672='PROGRAMME RT'!$D$5)),1,0)</f>
        <v>0</v>
      </c>
      <c r="AP672" s="78" t="str">
        <f aca="false">IF(AO672=1,SUM(AO$7:AO672),"")</f>
        <v/>
      </c>
      <c r="AQ672" s="78" t="n">
        <f aca="false">IF(AND(OR(X672="R",X672="NX",X672="NT",X672="CO"),OR('JOINTS DE RÉPARATION'!$D$5="TOUTES",B672='JOINTS DE RÉPARATION'!$D$5),OR('JOINTS DE RÉPARATION'!$L$4="TOUS",AM672&lt;&gt;"ACCEPTÉ")),1,0)</f>
        <v>0</v>
      </c>
      <c r="AR672" s="78" t="str">
        <f aca="false">IF(AQ672=1,SUM(AQ$7:AQ672),"")</f>
        <v/>
      </c>
    </row>
    <row r="673" customFormat="false" ht="15" hidden="false" customHeight="false" outlineLevel="0" collapsed="false">
      <c r="A673" s="78" t="n">
        <f aca="false">IF(E673="","",ROW()-6)</f>
        <v>667</v>
      </c>
      <c r="B673" s="79" t="s">
        <v>586</v>
      </c>
      <c r="C673" s="80"/>
      <c r="D673" s="80"/>
      <c r="E673" s="80" t="s">
        <v>261</v>
      </c>
      <c r="F673" s="80"/>
      <c r="G673" s="80" t="s">
        <v>106</v>
      </c>
      <c r="H673" s="80"/>
      <c r="I673" s="80"/>
      <c r="J673" s="80"/>
      <c r="K673" s="80"/>
      <c r="L673" s="81" t="str">
        <f aca="false">IF(K673="","",IFERROR(INDEX(BARDAGE!$C$7:$C$1506,MATCH(K673,BARDAGE!$B$7:$B$1506,0)),"? hors registre"))</f>
        <v/>
      </c>
      <c r="M673" s="80"/>
      <c r="N673" s="81" t="str">
        <f aca="false">IF(M673="","",IFERROR(INDEX(BARDAGE!$C$7:$C$1506,MATCH(M673,BARDAGE!$B$7:$B$1506,0)),"? hors registre"))</f>
        <v/>
      </c>
      <c r="O673" s="80"/>
      <c r="P673" s="80"/>
      <c r="Q673" s="80"/>
      <c r="R673" s="82"/>
      <c r="S673" s="82"/>
      <c r="T673" s="80"/>
      <c r="U673" s="80"/>
      <c r="V673" s="82"/>
      <c r="W673" s="80"/>
      <c r="X673" s="80"/>
      <c r="Y673" s="80"/>
      <c r="Z673" s="80"/>
      <c r="AA673" s="82"/>
      <c r="AB673" s="80"/>
      <c r="AC673" s="80"/>
      <c r="AD673" s="80"/>
      <c r="AE673" s="80"/>
      <c r="AF673" s="82"/>
      <c r="AG673" s="80"/>
      <c r="AH673" s="80"/>
      <c r="AI673" s="82"/>
      <c r="AJ673" s="79"/>
      <c r="AK673" s="78" t="n">
        <f aca="false">IF(E673="","",(X673&lt;&gt;"")+(AC673&lt;&gt;"")+(AH673&lt;&gt;""))</f>
        <v>0</v>
      </c>
      <c r="AL673" s="81" t="str">
        <f aca="false">IF(AH673&lt;&gt;"",AH673,IF(AC673&lt;&gt;"",AC673,IF(X673&lt;&gt;"",X673,"")))</f>
        <v/>
      </c>
      <c r="AM673" s="83" t="str">
        <f aca="false">IF(E673="","",IF(R673="","À SOUDER",IF(U673="","VT EN ATTENTE",IF(U673="R","VT REJETÉ – À REPRENDRE",IF(AL673="","À RADIOGRAPHIER",IF(AL673="A","ACCEPTÉ",IF(AL673="NX","NX – RT À REFAIRE",IF(IF(AK673=1,Z673,IF(AK673=2,AE673,""))="A","RÉPARÉ – À RADIOGRAPHIER",IF(IF(AK673=1,Z673,IF(AK673=2,AE673,""))="R","VT REJETÉ – À REPRENDRE",IF(OR(AL673="CO",AL673="NT"),"COUPE – À RESOUDER","À RÉPARER"))))))))))</f>
        <v>À SOUDER</v>
      </c>
      <c r="AN673" s="81" t="str">
        <f aca="false">IF(AND(ISNUMBER(R673),OR(AM673="À RADIOGRAPHIER",AM673="RÉPARÉ – À RADIOGRAPHIER",AM673="NX – RT À REFAIRE",AM673="À RÉPARER",AM673="COUPE – À RESOUDER",AM673="VT REJETÉ – À REPRENDRE")),MAX(0,'PROGRAMME RT'!$C$4-R673),"")</f>
        <v/>
      </c>
      <c r="AO673" s="78" t="n">
        <f aca="false">IF(AND(OR(AM673="À RADIOGRAPHIER",AM673="RÉPARÉ – À RADIOGRAPHIER",AM673="NX – RT À REFAIRE"),OR('PROGRAMME RT'!$D$5="TOUTES",B673='PROGRAMME RT'!$D$5)),1,0)</f>
        <v>0</v>
      </c>
      <c r="AP673" s="78" t="str">
        <f aca="false">IF(AO673=1,SUM(AO$7:AO673),"")</f>
        <v/>
      </c>
      <c r="AQ673" s="78" t="n">
        <f aca="false">IF(AND(OR(X673="R",X673="NX",X673="NT",X673="CO"),OR('JOINTS DE RÉPARATION'!$D$5="TOUTES",B673='JOINTS DE RÉPARATION'!$D$5),OR('JOINTS DE RÉPARATION'!$L$4="TOUS",AM673&lt;&gt;"ACCEPTÉ")),1,0)</f>
        <v>0</v>
      </c>
      <c r="AR673" s="78" t="str">
        <f aca="false">IF(AQ673=1,SUM(AQ$7:AQ673),"")</f>
        <v/>
      </c>
    </row>
    <row r="674" customFormat="false" ht="15" hidden="false" customHeight="false" outlineLevel="0" collapsed="false">
      <c r="A674" s="78" t="n">
        <f aca="false">IF(E674="","",ROW()-6)</f>
        <v>668</v>
      </c>
      <c r="B674" s="79" t="s">
        <v>586</v>
      </c>
      <c r="C674" s="80"/>
      <c r="D674" s="80"/>
      <c r="E674" s="80" t="s">
        <v>579</v>
      </c>
      <c r="F674" s="80"/>
      <c r="G674" s="80" t="s">
        <v>106</v>
      </c>
      <c r="H674" s="80"/>
      <c r="I674" s="80"/>
      <c r="J674" s="80"/>
      <c r="K674" s="80"/>
      <c r="L674" s="81" t="str">
        <f aca="false">IF(K674="","",IFERROR(INDEX(BARDAGE!$C$7:$C$1506,MATCH(K674,BARDAGE!$B$7:$B$1506,0)),"? hors registre"))</f>
        <v/>
      </c>
      <c r="M674" s="80"/>
      <c r="N674" s="81" t="str">
        <f aca="false">IF(M674="","",IFERROR(INDEX(BARDAGE!$C$7:$C$1506,MATCH(M674,BARDAGE!$B$7:$B$1506,0)),"? hors registre"))</f>
        <v/>
      </c>
      <c r="O674" s="80"/>
      <c r="P674" s="80"/>
      <c r="Q674" s="80"/>
      <c r="R674" s="82"/>
      <c r="S674" s="82"/>
      <c r="T674" s="80"/>
      <c r="U674" s="80"/>
      <c r="V674" s="82"/>
      <c r="W674" s="80"/>
      <c r="X674" s="80"/>
      <c r="Y674" s="80"/>
      <c r="Z674" s="80"/>
      <c r="AA674" s="82"/>
      <c r="AB674" s="80"/>
      <c r="AC674" s="80"/>
      <c r="AD674" s="80"/>
      <c r="AE674" s="80"/>
      <c r="AF674" s="82"/>
      <c r="AG674" s="80"/>
      <c r="AH674" s="80"/>
      <c r="AI674" s="82"/>
      <c r="AJ674" s="79"/>
      <c r="AK674" s="78" t="n">
        <f aca="false">IF(E674="","",(X674&lt;&gt;"")+(AC674&lt;&gt;"")+(AH674&lt;&gt;""))</f>
        <v>0</v>
      </c>
      <c r="AL674" s="81" t="str">
        <f aca="false">IF(AH674&lt;&gt;"",AH674,IF(AC674&lt;&gt;"",AC674,IF(X674&lt;&gt;"",X674,"")))</f>
        <v/>
      </c>
      <c r="AM674" s="83" t="str">
        <f aca="false">IF(E674="","",IF(R674="","À SOUDER",IF(U674="","VT EN ATTENTE",IF(U674="R","VT REJETÉ – À REPRENDRE",IF(AL674="","À RADIOGRAPHIER",IF(AL674="A","ACCEPTÉ",IF(AL674="NX","NX – RT À REFAIRE",IF(IF(AK674=1,Z674,IF(AK674=2,AE674,""))="A","RÉPARÉ – À RADIOGRAPHIER",IF(IF(AK674=1,Z674,IF(AK674=2,AE674,""))="R","VT REJETÉ – À REPRENDRE",IF(OR(AL674="CO",AL674="NT"),"COUPE – À RESOUDER","À RÉPARER"))))))))))</f>
        <v>À SOUDER</v>
      </c>
      <c r="AN674" s="81" t="str">
        <f aca="false">IF(AND(ISNUMBER(R674),OR(AM674="À RADIOGRAPHIER",AM674="RÉPARÉ – À RADIOGRAPHIER",AM674="NX – RT À REFAIRE",AM674="À RÉPARER",AM674="COUPE – À RESOUDER",AM674="VT REJETÉ – À REPRENDRE")),MAX(0,'PROGRAMME RT'!$C$4-R674),"")</f>
        <v/>
      </c>
      <c r="AO674" s="78" t="n">
        <f aca="false">IF(AND(OR(AM674="À RADIOGRAPHIER",AM674="RÉPARÉ – À RADIOGRAPHIER",AM674="NX – RT À REFAIRE"),OR('PROGRAMME RT'!$D$5="TOUTES",B674='PROGRAMME RT'!$D$5)),1,0)</f>
        <v>0</v>
      </c>
      <c r="AP674" s="78" t="str">
        <f aca="false">IF(AO674=1,SUM(AO$7:AO674),"")</f>
        <v/>
      </c>
      <c r="AQ674" s="78" t="n">
        <f aca="false">IF(AND(OR(X674="R",X674="NX",X674="NT",X674="CO"),OR('JOINTS DE RÉPARATION'!$D$5="TOUTES",B674='JOINTS DE RÉPARATION'!$D$5),OR('JOINTS DE RÉPARATION'!$L$4="TOUS",AM674&lt;&gt;"ACCEPTÉ")),1,0)</f>
        <v>0</v>
      </c>
      <c r="AR674" s="78" t="str">
        <f aca="false">IF(AQ674=1,SUM(AQ$7:AQ674),"")</f>
        <v/>
      </c>
    </row>
    <row r="675" customFormat="false" ht="15" hidden="false" customHeight="false" outlineLevel="0" collapsed="false">
      <c r="A675" s="78" t="n">
        <f aca="false">IF(E675="","",ROW()-6)</f>
        <v>669</v>
      </c>
      <c r="B675" s="79" t="s">
        <v>586</v>
      </c>
      <c r="C675" s="80"/>
      <c r="D675" s="80"/>
      <c r="E675" s="80" t="s">
        <v>266</v>
      </c>
      <c r="F675" s="80"/>
      <c r="G675" s="80" t="s">
        <v>106</v>
      </c>
      <c r="H675" s="80"/>
      <c r="I675" s="80"/>
      <c r="J675" s="80"/>
      <c r="K675" s="80"/>
      <c r="L675" s="81" t="str">
        <f aca="false">IF(K675="","",IFERROR(INDEX(BARDAGE!$C$7:$C$1506,MATCH(K675,BARDAGE!$B$7:$B$1506,0)),"? hors registre"))</f>
        <v/>
      </c>
      <c r="M675" s="80"/>
      <c r="N675" s="81" t="str">
        <f aca="false">IF(M675="","",IFERROR(INDEX(BARDAGE!$C$7:$C$1506,MATCH(M675,BARDAGE!$B$7:$B$1506,0)),"? hors registre"))</f>
        <v/>
      </c>
      <c r="O675" s="80"/>
      <c r="P675" s="80"/>
      <c r="Q675" s="80"/>
      <c r="R675" s="82"/>
      <c r="S675" s="82"/>
      <c r="T675" s="80"/>
      <c r="U675" s="80"/>
      <c r="V675" s="82"/>
      <c r="W675" s="80"/>
      <c r="X675" s="80"/>
      <c r="Y675" s="80"/>
      <c r="Z675" s="80"/>
      <c r="AA675" s="82"/>
      <c r="AB675" s="80"/>
      <c r="AC675" s="80"/>
      <c r="AD675" s="80"/>
      <c r="AE675" s="80"/>
      <c r="AF675" s="82"/>
      <c r="AG675" s="80"/>
      <c r="AH675" s="80"/>
      <c r="AI675" s="82"/>
      <c r="AJ675" s="79"/>
      <c r="AK675" s="78" t="n">
        <f aca="false">IF(E675="","",(X675&lt;&gt;"")+(AC675&lt;&gt;"")+(AH675&lt;&gt;""))</f>
        <v>0</v>
      </c>
      <c r="AL675" s="81" t="str">
        <f aca="false">IF(AH675&lt;&gt;"",AH675,IF(AC675&lt;&gt;"",AC675,IF(X675&lt;&gt;"",X675,"")))</f>
        <v/>
      </c>
      <c r="AM675" s="83" t="str">
        <f aca="false">IF(E675="","",IF(R675="","À SOUDER",IF(U675="","VT EN ATTENTE",IF(U675="R","VT REJETÉ – À REPRENDRE",IF(AL675="","À RADIOGRAPHIER",IF(AL675="A","ACCEPTÉ",IF(AL675="NX","NX – RT À REFAIRE",IF(IF(AK675=1,Z675,IF(AK675=2,AE675,""))="A","RÉPARÉ – À RADIOGRAPHIER",IF(IF(AK675=1,Z675,IF(AK675=2,AE675,""))="R","VT REJETÉ – À REPRENDRE",IF(OR(AL675="CO",AL675="NT"),"COUPE – À RESOUDER","À RÉPARER"))))))))))</f>
        <v>À SOUDER</v>
      </c>
      <c r="AN675" s="81" t="str">
        <f aca="false">IF(AND(ISNUMBER(R675),OR(AM675="À RADIOGRAPHIER",AM675="RÉPARÉ – À RADIOGRAPHIER",AM675="NX – RT À REFAIRE",AM675="À RÉPARER",AM675="COUPE – À RESOUDER",AM675="VT REJETÉ – À REPRENDRE")),MAX(0,'PROGRAMME RT'!$C$4-R675),"")</f>
        <v/>
      </c>
      <c r="AO675" s="78" t="n">
        <f aca="false">IF(AND(OR(AM675="À RADIOGRAPHIER",AM675="RÉPARÉ – À RADIOGRAPHIER",AM675="NX – RT À REFAIRE"),OR('PROGRAMME RT'!$D$5="TOUTES",B675='PROGRAMME RT'!$D$5)),1,0)</f>
        <v>0</v>
      </c>
      <c r="AP675" s="78" t="str">
        <f aca="false">IF(AO675=1,SUM(AO$7:AO675),"")</f>
        <v/>
      </c>
      <c r="AQ675" s="78" t="n">
        <f aca="false">IF(AND(OR(X675="R",X675="NX",X675="NT",X675="CO"),OR('JOINTS DE RÉPARATION'!$D$5="TOUTES",B675='JOINTS DE RÉPARATION'!$D$5),OR('JOINTS DE RÉPARATION'!$L$4="TOUS",AM675&lt;&gt;"ACCEPTÉ")),1,0)</f>
        <v>0</v>
      </c>
      <c r="AR675" s="78" t="str">
        <f aca="false">IF(AQ675=1,SUM(AQ$7:AQ675),"")</f>
        <v/>
      </c>
    </row>
    <row r="676" customFormat="false" ht="15" hidden="false" customHeight="false" outlineLevel="0" collapsed="false">
      <c r="A676" s="78" t="n">
        <f aca="false">IF(E676="","",ROW()-6)</f>
        <v>670</v>
      </c>
      <c r="B676" s="79" t="s">
        <v>586</v>
      </c>
      <c r="C676" s="80"/>
      <c r="D676" s="80"/>
      <c r="E676" s="80" t="s">
        <v>269</v>
      </c>
      <c r="F676" s="80"/>
      <c r="G676" s="80" t="s">
        <v>106</v>
      </c>
      <c r="H676" s="80"/>
      <c r="I676" s="80"/>
      <c r="J676" s="80"/>
      <c r="K676" s="80"/>
      <c r="L676" s="81" t="str">
        <f aca="false">IF(K676="","",IFERROR(INDEX(BARDAGE!$C$7:$C$1506,MATCH(K676,BARDAGE!$B$7:$B$1506,0)),"? hors registre"))</f>
        <v/>
      </c>
      <c r="M676" s="80"/>
      <c r="N676" s="81" t="str">
        <f aca="false">IF(M676="","",IFERROR(INDEX(BARDAGE!$C$7:$C$1506,MATCH(M676,BARDAGE!$B$7:$B$1506,0)),"? hors registre"))</f>
        <v/>
      </c>
      <c r="O676" s="80"/>
      <c r="P676" s="80"/>
      <c r="Q676" s="80"/>
      <c r="R676" s="82"/>
      <c r="S676" s="82"/>
      <c r="T676" s="80"/>
      <c r="U676" s="80"/>
      <c r="V676" s="82"/>
      <c r="W676" s="80"/>
      <c r="X676" s="80"/>
      <c r="Y676" s="80"/>
      <c r="Z676" s="80"/>
      <c r="AA676" s="82"/>
      <c r="AB676" s="80"/>
      <c r="AC676" s="80"/>
      <c r="AD676" s="80"/>
      <c r="AE676" s="80"/>
      <c r="AF676" s="82"/>
      <c r="AG676" s="80"/>
      <c r="AH676" s="80"/>
      <c r="AI676" s="82"/>
      <c r="AJ676" s="79"/>
      <c r="AK676" s="78" t="n">
        <f aca="false">IF(E676="","",(X676&lt;&gt;"")+(AC676&lt;&gt;"")+(AH676&lt;&gt;""))</f>
        <v>0</v>
      </c>
      <c r="AL676" s="81" t="str">
        <f aca="false">IF(AH676&lt;&gt;"",AH676,IF(AC676&lt;&gt;"",AC676,IF(X676&lt;&gt;"",X676,"")))</f>
        <v/>
      </c>
      <c r="AM676" s="83" t="str">
        <f aca="false">IF(E676="","",IF(R676="","À SOUDER",IF(U676="","VT EN ATTENTE",IF(U676="R","VT REJETÉ – À REPRENDRE",IF(AL676="","À RADIOGRAPHIER",IF(AL676="A","ACCEPTÉ",IF(AL676="NX","NX – RT À REFAIRE",IF(IF(AK676=1,Z676,IF(AK676=2,AE676,""))="A","RÉPARÉ – À RADIOGRAPHIER",IF(IF(AK676=1,Z676,IF(AK676=2,AE676,""))="R","VT REJETÉ – À REPRENDRE",IF(OR(AL676="CO",AL676="NT"),"COUPE – À RESOUDER","À RÉPARER"))))))))))</f>
        <v>À SOUDER</v>
      </c>
      <c r="AN676" s="81" t="str">
        <f aca="false">IF(AND(ISNUMBER(R676),OR(AM676="À RADIOGRAPHIER",AM676="RÉPARÉ – À RADIOGRAPHIER",AM676="NX – RT À REFAIRE",AM676="À RÉPARER",AM676="COUPE – À RESOUDER",AM676="VT REJETÉ – À REPRENDRE")),MAX(0,'PROGRAMME RT'!$C$4-R676),"")</f>
        <v/>
      </c>
      <c r="AO676" s="78" t="n">
        <f aca="false">IF(AND(OR(AM676="À RADIOGRAPHIER",AM676="RÉPARÉ – À RADIOGRAPHIER",AM676="NX – RT À REFAIRE"),OR('PROGRAMME RT'!$D$5="TOUTES",B676='PROGRAMME RT'!$D$5)),1,0)</f>
        <v>0</v>
      </c>
      <c r="AP676" s="78" t="str">
        <f aca="false">IF(AO676=1,SUM(AO$7:AO676),"")</f>
        <v/>
      </c>
      <c r="AQ676" s="78" t="n">
        <f aca="false">IF(AND(OR(X676="R",X676="NX",X676="NT",X676="CO"),OR('JOINTS DE RÉPARATION'!$D$5="TOUTES",B676='JOINTS DE RÉPARATION'!$D$5),OR('JOINTS DE RÉPARATION'!$L$4="TOUS",AM676&lt;&gt;"ACCEPTÉ")),1,0)</f>
        <v>0</v>
      </c>
      <c r="AR676" s="78" t="str">
        <f aca="false">IF(AQ676=1,SUM(AQ$7:AQ676),"")</f>
        <v/>
      </c>
    </row>
    <row r="677" customFormat="false" ht="15" hidden="false" customHeight="false" outlineLevel="0" collapsed="false">
      <c r="A677" s="78" t="n">
        <f aca="false">IF(E677="","",ROW()-6)</f>
        <v>671</v>
      </c>
      <c r="B677" s="79" t="s">
        <v>586</v>
      </c>
      <c r="C677" s="80"/>
      <c r="D677" s="80"/>
      <c r="E677" s="80" t="s">
        <v>271</v>
      </c>
      <c r="F677" s="80"/>
      <c r="G677" s="80" t="s">
        <v>106</v>
      </c>
      <c r="H677" s="80"/>
      <c r="I677" s="80"/>
      <c r="J677" s="80"/>
      <c r="K677" s="80"/>
      <c r="L677" s="81" t="str">
        <f aca="false">IF(K677="","",IFERROR(INDEX(BARDAGE!$C$7:$C$1506,MATCH(K677,BARDAGE!$B$7:$B$1506,0)),"? hors registre"))</f>
        <v/>
      </c>
      <c r="M677" s="80"/>
      <c r="N677" s="81" t="str">
        <f aca="false">IF(M677="","",IFERROR(INDEX(BARDAGE!$C$7:$C$1506,MATCH(M677,BARDAGE!$B$7:$B$1506,0)),"? hors registre"))</f>
        <v/>
      </c>
      <c r="O677" s="80"/>
      <c r="P677" s="80"/>
      <c r="Q677" s="80"/>
      <c r="R677" s="82"/>
      <c r="S677" s="82"/>
      <c r="T677" s="80"/>
      <c r="U677" s="80"/>
      <c r="V677" s="82"/>
      <c r="W677" s="80"/>
      <c r="X677" s="80"/>
      <c r="Y677" s="80"/>
      <c r="Z677" s="80"/>
      <c r="AA677" s="82"/>
      <c r="AB677" s="80"/>
      <c r="AC677" s="80"/>
      <c r="AD677" s="80"/>
      <c r="AE677" s="80"/>
      <c r="AF677" s="82"/>
      <c r="AG677" s="80"/>
      <c r="AH677" s="80"/>
      <c r="AI677" s="82"/>
      <c r="AJ677" s="79"/>
      <c r="AK677" s="78" t="n">
        <f aca="false">IF(E677="","",(X677&lt;&gt;"")+(AC677&lt;&gt;"")+(AH677&lt;&gt;""))</f>
        <v>0</v>
      </c>
      <c r="AL677" s="81" t="str">
        <f aca="false">IF(AH677&lt;&gt;"",AH677,IF(AC677&lt;&gt;"",AC677,IF(X677&lt;&gt;"",X677,"")))</f>
        <v/>
      </c>
      <c r="AM677" s="83" t="str">
        <f aca="false">IF(E677="","",IF(R677="","À SOUDER",IF(U677="","VT EN ATTENTE",IF(U677="R","VT REJETÉ – À REPRENDRE",IF(AL677="","À RADIOGRAPHIER",IF(AL677="A","ACCEPTÉ",IF(AL677="NX","NX – RT À REFAIRE",IF(IF(AK677=1,Z677,IF(AK677=2,AE677,""))="A","RÉPARÉ – À RADIOGRAPHIER",IF(IF(AK677=1,Z677,IF(AK677=2,AE677,""))="R","VT REJETÉ – À REPRENDRE",IF(OR(AL677="CO",AL677="NT"),"COUPE – À RESOUDER","À RÉPARER"))))))))))</f>
        <v>À SOUDER</v>
      </c>
      <c r="AN677" s="81" t="str">
        <f aca="false">IF(AND(ISNUMBER(R677),OR(AM677="À RADIOGRAPHIER",AM677="RÉPARÉ – À RADIOGRAPHIER",AM677="NX – RT À REFAIRE",AM677="À RÉPARER",AM677="COUPE – À RESOUDER",AM677="VT REJETÉ – À REPRENDRE")),MAX(0,'PROGRAMME RT'!$C$4-R677),"")</f>
        <v/>
      </c>
      <c r="AO677" s="78" t="n">
        <f aca="false">IF(AND(OR(AM677="À RADIOGRAPHIER",AM677="RÉPARÉ – À RADIOGRAPHIER",AM677="NX – RT À REFAIRE"),OR('PROGRAMME RT'!$D$5="TOUTES",B677='PROGRAMME RT'!$D$5)),1,0)</f>
        <v>0</v>
      </c>
      <c r="AP677" s="78" t="str">
        <f aca="false">IF(AO677=1,SUM(AO$7:AO677),"")</f>
        <v/>
      </c>
      <c r="AQ677" s="78" t="n">
        <f aca="false">IF(AND(OR(X677="R",X677="NX",X677="NT",X677="CO"),OR('JOINTS DE RÉPARATION'!$D$5="TOUTES",B677='JOINTS DE RÉPARATION'!$D$5),OR('JOINTS DE RÉPARATION'!$L$4="TOUS",AM677&lt;&gt;"ACCEPTÉ")),1,0)</f>
        <v>0</v>
      </c>
      <c r="AR677" s="78" t="str">
        <f aca="false">IF(AQ677=1,SUM(AQ$7:AQ677),"")</f>
        <v/>
      </c>
    </row>
    <row r="678" customFormat="false" ht="15" hidden="false" customHeight="false" outlineLevel="0" collapsed="false">
      <c r="A678" s="78" t="n">
        <f aca="false">IF(E678="","",ROW()-6)</f>
        <v>672</v>
      </c>
      <c r="B678" s="79" t="s">
        <v>586</v>
      </c>
      <c r="C678" s="80"/>
      <c r="D678" s="80"/>
      <c r="E678" s="80" t="s">
        <v>273</v>
      </c>
      <c r="F678" s="80"/>
      <c r="G678" s="80" t="s">
        <v>106</v>
      </c>
      <c r="H678" s="80"/>
      <c r="I678" s="80"/>
      <c r="J678" s="80"/>
      <c r="K678" s="80"/>
      <c r="L678" s="81" t="str">
        <f aca="false">IF(K678="","",IFERROR(INDEX(BARDAGE!$C$7:$C$1506,MATCH(K678,BARDAGE!$B$7:$B$1506,0)),"? hors registre"))</f>
        <v/>
      </c>
      <c r="M678" s="80"/>
      <c r="N678" s="81" t="str">
        <f aca="false">IF(M678="","",IFERROR(INDEX(BARDAGE!$C$7:$C$1506,MATCH(M678,BARDAGE!$B$7:$B$1506,0)),"? hors registre"))</f>
        <v/>
      </c>
      <c r="O678" s="80"/>
      <c r="P678" s="80"/>
      <c r="Q678" s="80"/>
      <c r="R678" s="82"/>
      <c r="S678" s="82"/>
      <c r="T678" s="80"/>
      <c r="U678" s="80"/>
      <c r="V678" s="82"/>
      <c r="W678" s="80"/>
      <c r="X678" s="80"/>
      <c r="Y678" s="80"/>
      <c r="Z678" s="80"/>
      <c r="AA678" s="82"/>
      <c r="AB678" s="80"/>
      <c r="AC678" s="80"/>
      <c r="AD678" s="80"/>
      <c r="AE678" s="80"/>
      <c r="AF678" s="82"/>
      <c r="AG678" s="80"/>
      <c r="AH678" s="80"/>
      <c r="AI678" s="82"/>
      <c r="AJ678" s="79"/>
      <c r="AK678" s="78" t="n">
        <f aca="false">IF(E678="","",(X678&lt;&gt;"")+(AC678&lt;&gt;"")+(AH678&lt;&gt;""))</f>
        <v>0</v>
      </c>
      <c r="AL678" s="81" t="str">
        <f aca="false">IF(AH678&lt;&gt;"",AH678,IF(AC678&lt;&gt;"",AC678,IF(X678&lt;&gt;"",X678,"")))</f>
        <v/>
      </c>
      <c r="AM678" s="83" t="str">
        <f aca="false">IF(E678="","",IF(R678="","À SOUDER",IF(U678="","VT EN ATTENTE",IF(U678="R","VT REJETÉ – À REPRENDRE",IF(AL678="","À RADIOGRAPHIER",IF(AL678="A","ACCEPTÉ",IF(AL678="NX","NX – RT À REFAIRE",IF(IF(AK678=1,Z678,IF(AK678=2,AE678,""))="A","RÉPARÉ – À RADIOGRAPHIER",IF(IF(AK678=1,Z678,IF(AK678=2,AE678,""))="R","VT REJETÉ – À REPRENDRE",IF(OR(AL678="CO",AL678="NT"),"COUPE – À RESOUDER","À RÉPARER"))))))))))</f>
        <v>À SOUDER</v>
      </c>
      <c r="AN678" s="81" t="str">
        <f aca="false">IF(AND(ISNUMBER(R678),OR(AM678="À RADIOGRAPHIER",AM678="RÉPARÉ – À RADIOGRAPHIER",AM678="NX – RT À REFAIRE",AM678="À RÉPARER",AM678="COUPE – À RESOUDER",AM678="VT REJETÉ – À REPRENDRE")),MAX(0,'PROGRAMME RT'!$C$4-R678),"")</f>
        <v/>
      </c>
      <c r="AO678" s="78" t="n">
        <f aca="false">IF(AND(OR(AM678="À RADIOGRAPHIER",AM678="RÉPARÉ – À RADIOGRAPHIER",AM678="NX – RT À REFAIRE"),OR('PROGRAMME RT'!$D$5="TOUTES",B678='PROGRAMME RT'!$D$5)),1,0)</f>
        <v>0</v>
      </c>
      <c r="AP678" s="78" t="str">
        <f aca="false">IF(AO678=1,SUM(AO$7:AO678),"")</f>
        <v/>
      </c>
      <c r="AQ678" s="78" t="n">
        <f aca="false">IF(AND(OR(X678="R",X678="NX",X678="NT",X678="CO"),OR('JOINTS DE RÉPARATION'!$D$5="TOUTES",B678='JOINTS DE RÉPARATION'!$D$5),OR('JOINTS DE RÉPARATION'!$L$4="TOUS",AM678&lt;&gt;"ACCEPTÉ")),1,0)</f>
        <v>0</v>
      </c>
      <c r="AR678" s="78" t="str">
        <f aca="false">IF(AQ678=1,SUM(AQ$7:AQ678),"")</f>
        <v/>
      </c>
    </row>
    <row r="679" customFormat="false" ht="15" hidden="false" customHeight="false" outlineLevel="0" collapsed="false">
      <c r="A679" s="78" t="n">
        <f aca="false">IF(E679="","",ROW()-6)</f>
        <v>673</v>
      </c>
      <c r="B679" s="79" t="s">
        <v>586</v>
      </c>
      <c r="C679" s="80"/>
      <c r="D679" s="80"/>
      <c r="E679" s="80" t="s">
        <v>275</v>
      </c>
      <c r="F679" s="80"/>
      <c r="G679" s="80" t="s">
        <v>106</v>
      </c>
      <c r="H679" s="80"/>
      <c r="I679" s="80"/>
      <c r="J679" s="80"/>
      <c r="K679" s="80"/>
      <c r="L679" s="81" t="str">
        <f aca="false">IF(K679="","",IFERROR(INDEX(BARDAGE!$C$7:$C$1506,MATCH(K679,BARDAGE!$B$7:$B$1506,0)),"? hors registre"))</f>
        <v/>
      </c>
      <c r="M679" s="80"/>
      <c r="N679" s="81" t="str">
        <f aca="false">IF(M679="","",IFERROR(INDEX(BARDAGE!$C$7:$C$1506,MATCH(M679,BARDAGE!$B$7:$B$1506,0)),"? hors registre"))</f>
        <v/>
      </c>
      <c r="O679" s="80"/>
      <c r="P679" s="80"/>
      <c r="Q679" s="80"/>
      <c r="R679" s="82"/>
      <c r="S679" s="82"/>
      <c r="T679" s="80"/>
      <c r="U679" s="80"/>
      <c r="V679" s="82"/>
      <c r="W679" s="80"/>
      <c r="X679" s="80"/>
      <c r="Y679" s="80"/>
      <c r="Z679" s="80"/>
      <c r="AA679" s="82"/>
      <c r="AB679" s="80"/>
      <c r="AC679" s="80"/>
      <c r="AD679" s="80"/>
      <c r="AE679" s="80"/>
      <c r="AF679" s="82"/>
      <c r="AG679" s="80"/>
      <c r="AH679" s="80"/>
      <c r="AI679" s="82"/>
      <c r="AJ679" s="79"/>
      <c r="AK679" s="78" t="n">
        <f aca="false">IF(E679="","",(X679&lt;&gt;"")+(AC679&lt;&gt;"")+(AH679&lt;&gt;""))</f>
        <v>0</v>
      </c>
      <c r="AL679" s="81" t="str">
        <f aca="false">IF(AH679&lt;&gt;"",AH679,IF(AC679&lt;&gt;"",AC679,IF(X679&lt;&gt;"",X679,"")))</f>
        <v/>
      </c>
      <c r="AM679" s="83" t="str">
        <f aca="false">IF(E679="","",IF(R679="","À SOUDER",IF(U679="","VT EN ATTENTE",IF(U679="R","VT REJETÉ – À REPRENDRE",IF(AL679="","À RADIOGRAPHIER",IF(AL679="A","ACCEPTÉ",IF(AL679="NX","NX – RT À REFAIRE",IF(IF(AK679=1,Z679,IF(AK679=2,AE679,""))="A","RÉPARÉ – À RADIOGRAPHIER",IF(IF(AK679=1,Z679,IF(AK679=2,AE679,""))="R","VT REJETÉ – À REPRENDRE",IF(OR(AL679="CO",AL679="NT"),"COUPE – À RESOUDER","À RÉPARER"))))))))))</f>
        <v>À SOUDER</v>
      </c>
      <c r="AN679" s="81" t="str">
        <f aca="false">IF(AND(ISNUMBER(R679),OR(AM679="À RADIOGRAPHIER",AM679="RÉPARÉ – À RADIOGRAPHIER",AM679="NX – RT À REFAIRE",AM679="À RÉPARER",AM679="COUPE – À RESOUDER",AM679="VT REJETÉ – À REPRENDRE")),MAX(0,'PROGRAMME RT'!$C$4-R679),"")</f>
        <v/>
      </c>
      <c r="AO679" s="78" t="n">
        <f aca="false">IF(AND(OR(AM679="À RADIOGRAPHIER",AM679="RÉPARÉ – À RADIOGRAPHIER",AM679="NX – RT À REFAIRE"),OR('PROGRAMME RT'!$D$5="TOUTES",B679='PROGRAMME RT'!$D$5)),1,0)</f>
        <v>0</v>
      </c>
      <c r="AP679" s="78" t="str">
        <f aca="false">IF(AO679=1,SUM(AO$7:AO679),"")</f>
        <v/>
      </c>
      <c r="AQ679" s="78" t="n">
        <f aca="false">IF(AND(OR(X679="R",X679="NX",X679="NT",X679="CO"),OR('JOINTS DE RÉPARATION'!$D$5="TOUTES",B679='JOINTS DE RÉPARATION'!$D$5),OR('JOINTS DE RÉPARATION'!$L$4="TOUS",AM679&lt;&gt;"ACCEPTÉ")),1,0)</f>
        <v>0</v>
      </c>
      <c r="AR679" s="78" t="str">
        <f aca="false">IF(AQ679=1,SUM(AQ$7:AQ679),"")</f>
        <v/>
      </c>
    </row>
    <row r="680" customFormat="false" ht="15" hidden="false" customHeight="false" outlineLevel="0" collapsed="false">
      <c r="A680" s="78" t="n">
        <f aca="false">IF(E680="","",ROW()-6)</f>
        <v>674</v>
      </c>
      <c r="B680" s="79" t="s">
        <v>586</v>
      </c>
      <c r="C680" s="80"/>
      <c r="D680" s="80"/>
      <c r="E680" s="80" t="s">
        <v>277</v>
      </c>
      <c r="F680" s="80"/>
      <c r="G680" s="80" t="s">
        <v>106</v>
      </c>
      <c r="H680" s="80"/>
      <c r="I680" s="80"/>
      <c r="J680" s="80"/>
      <c r="K680" s="80"/>
      <c r="L680" s="81" t="str">
        <f aca="false">IF(K680="","",IFERROR(INDEX(BARDAGE!$C$7:$C$1506,MATCH(K680,BARDAGE!$B$7:$B$1506,0)),"? hors registre"))</f>
        <v/>
      </c>
      <c r="M680" s="80"/>
      <c r="N680" s="81" t="str">
        <f aca="false">IF(M680="","",IFERROR(INDEX(BARDAGE!$C$7:$C$1506,MATCH(M680,BARDAGE!$B$7:$B$1506,0)),"? hors registre"))</f>
        <v/>
      </c>
      <c r="O680" s="80"/>
      <c r="P680" s="80"/>
      <c r="Q680" s="80"/>
      <c r="R680" s="82"/>
      <c r="S680" s="82"/>
      <c r="T680" s="80"/>
      <c r="U680" s="80"/>
      <c r="V680" s="82"/>
      <c r="W680" s="80"/>
      <c r="X680" s="80"/>
      <c r="Y680" s="80"/>
      <c r="Z680" s="80"/>
      <c r="AA680" s="82"/>
      <c r="AB680" s="80"/>
      <c r="AC680" s="80"/>
      <c r="AD680" s="80"/>
      <c r="AE680" s="80"/>
      <c r="AF680" s="82"/>
      <c r="AG680" s="80"/>
      <c r="AH680" s="80"/>
      <c r="AI680" s="82"/>
      <c r="AJ680" s="79"/>
      <c r="AK680" s="78" t="n">
        <f aca="false">IF(E680="","",(X680&lt;&gt;"")+(AC680&lt;&gt;"")+(AH680&lt;&gt;""))</f>
        <v>0</v>
      </c>
      <c r="AL680" s="81" t="str">
        <f aca="false">IF(AH680&lt;&gt;"",AH680,IF(AC680&lt;&gt;"",AC680,IF(X680&lt;&gt;"",X680,"")))</f>
        <v/>
      </c>
      <c r="AM680" s="83" t="str">
        <f aca="false">IF(E680="","",IF(R680="","À SOUDER",IF(U680="","VT EN ATTENTE",IF(U680="R","VT REJETÉ – À REPRENDRE",IF(AL680="","À RADIOGRAPHIER",IF(AL680="A","ACCEPTÉ",IF(AL680="NX","NX – RT À REFAIRE",IF(IF(AK680=1,Z680,IF(AK680=2,AE680,""))="A","RÉPARÉ – À RADIOGRAPHIER",IF(IF(AK680=1,Z680,IF(AK680=2,AE680,""))="R","VT REJETÉ – À REPRENDRE",IF(OR(AL680="CO",AL680="NT"),"COUPE – À RESOUDER","À RÉPARER"))))))))))</f>
        <v>À SOUDER</v>
      </c>
      <c r="AN680" s="81" t="str">
        <f aca="false">IF(AND(ISNUMBER(R680),OR(AM680="À RADIOGRAPHIER",AM680="RÉPARÉ – À RADIOGRAPHIER",AM680="NX – RT À REFAIRE",AM680="À RÉPARER",AM680="COUPE – À RESOUDER",AM680="VT REJETÉ – À REPRENDRE")),MAX(0,'PROGRAMME RT'!$C$4-R680),"")</f>
        <v/>
      </c>
      <c r="AO680" s="78" t="n">
        <f aca="false">IF(AND(OR(AM680="À RADIOGRAPHIER",AM680="RÉPARÉ – À RADIOGRAPHIER",AM680="NX – RT À REFAIRE"),OR('PROGRAMME RT'!$D$5="TOUTES",B680='PROGRAMME RT'!$D$5)),1,0)</f>
        <v>0</v>
      </c>
      <c r="AP680" s="78" t="str">
        <f aca="false">IF(AO680=1,SUM(AO$7:AO680),"")</f>
        <v/>
      </c>
      <c r="AQ680" s="78" t="n">
        <f aca="false">IF(AND(OR(X680="R",X680="NX",X680="NT",X680="CO"),OR('JOINTS DE RÉPARATION'!$D$5="TOUTES",B680='JOINTS DE RÉPARATION'!$D$5),OR('JOINTS DE RÉPARATION'!$L$4="TOUS",AM680&lt;&gt;"ACCEPTÉ")),1,0)</f>
        <v>0</v>
      </c>
      <c r="AR680" s="78" t="str">
        <f aca="false">IF(AQ680=1,SUM(AQ$7:AQ680),"")</f>
        <v/>
      </c>
    </row>
    <row r="681" customFormat="false" ht="15" hidden="false" customHeight="false" outlineLevel="0" collapsed="false">
      <c r="A681" s="78" t="n">
        <f aca="false">IF(E681="","",ROW()-6)</f>
        <v>675</v>
      </c>
      <c r="B681" s="79" t="s">
        <v>586</v>
      </c>
      <c r="C681" s="80"/>
      <c r="D681" s="80"/>
      <c r="E681" s="80" t="s">
        <v>279</v>
      </c>
      <c r="F681" s="80"/>
      <c r="G681" s="80" t="s">
        <v>106</v>
      </c>
      <c r="H681" s="80"/>
      <c r="I681" s="80"/>
      <c r="J681" s="80"/>
      <c r="K681" s="80"/>
      <c r="L681" s="81" t="str">
        <f aca="false">IF(K681="","",IFERROR(INDEX(BARDAGE!$C$7:$C$1506,MATCH(K681,BARDAGE!$B$7:$B$1506,0)),"? hors registre"))</f>
        <v/>
      </c>
      <c r="M681" s="80"/>
      <c r="N681" s="81" t="str">
        <f aca="false">IF(M681="","",IFERROR(INDEX(BARDAGE!$C$7:$C$1506,MATCH(M681,BARDAGE!$B$7:$B$1506,0)),"? hors registre"))</f>
        <v/>
      </c>
      <c r="O681" s="80"/>
      <c r="P681" s="80"/>
      <c r="Q681" s="80"/>
      <c r="R681" s="82"/>
      <c r="S681" s="82"/>
      <c r="T681" s="80"/>
      <c r="U681" s="80"/>
      <c r="V681" s="82"/>
      <c r="W681" s="80"/>
      <c r="X681" s="80"/>
      <c r="Y681" s="80"/>
      <c r="Z681" s="80"/>
      <c r="AA681" s="82"/>
      <c r="AB681" s="80"/>
      <c r="AC681" s="80"/>
      <c r="AD681" s="80"/>
      <c r="AE681" s="80"/>
      <c r="AF681" s="82"/>
      <c r="AG681" s="80"/>
      <c r="AH681" s="80"/>
      <c r="AI681" s="82"/>
      <c r="AJ681" s="79"/>
      <c r="AK681" s="78" t="n">
        <f aca="false">IF(E681="","",(X681&lt;&gt;"")+(AC681&lt;&gt;"")+(AH681&lt;&gt;""))</f>
        <v>0</v>
      </c>
      <c r="AL681" s="81" t="str">
        <f aca="false">IF(AH681&lt;&gt;"",AH681,IF(AC681&lt;&gt;"",AC681,IF(X681&lt;&gt;"",X681,"")))</f>
        <v/>
      </c>
      <c r="AM681" s="83" t="str">
        <f aca="false">IF(E681="","",IF(R681="","À SOUDER",IF(U681="","VT EN ATTENTE",IF(U681="R","VT REJETÉ – À REPRENDRE",IF(AL681="","À RADIOGRAPHIER",IF(AL681="A","ACCEPTÉ",IF(AL681="NX","NX – RT À REFAIRE",IF(IF(AK681=1,Z681,IF(AK681=2,AE681,""))="A","RÉPARÉ – À RADIOGRAPHIER",IF(IF(AK681=1,Z681,IF(AK681=2,AE681,""))="R","VT REJETÉ – À REPRENDRE",IF(OR(AL681="CO",AL681="NT"),"COUPE – À RESOUDER","À RÉPARER"))))))))))</f>
        <v>À SOUDER</v>
      </c>
      <c r="AN681" s="81" t="str">
        <f aca="false">IF(AND(ISNUMBER(R681),OR(AM681="À RADIOGRAPHIER",AM681="RÉPARÉ – À RADIOGRAPHIER",AM681="NX – RT À REFAIRE",AM681="À RÉPARER",AM681="COUPE – À RESOUDER",AM681="VT REJETÉ – À REPRENDRE")),MAX(0,'PROGRAMME RT'!$C$4-R681),"")</f>
        <v/>
      </c>
      <c r="AO681" s="78" t="n">
        <f aca="false">IF(AND(OR(AM681="À RADIOGRAPHIER",AM681="RÉPARÉ – À RADIOGRAPHIER",AM681="NX – RT À REFAIRE"),OR('PROGRAMME RT'!$D$5="TOUTES",B681='PROGRAMME RT'!$D$5)),1,0)</f>
        <v>0</v>
      </c>
      <c r="AP681" s="78" t="str">
        <f aca="false">IF(AO681=1,SUM(AO$7:AO681),"")</f>
        <v/>
      </c>
      <c r="AQ681" s="78" t="n">
        <f aca="false">IF(AND(OR(X681="R",X681="NX",X681="NT",X681="CO"),OR('JOINTS DE RÉPARATION'!$D$5="TOUTES",B681='JOINTS DE RÉPARATION'!$D$5),OR('JOINTS DE RÉPARATION'!$L$4="TOUS",AM681&lt;&gt;"ACCEPTÉ")),1,0)</f>
        <v>0</v>
      </c>
      <c r="AR681" s="78" t="str">
        <f aca="false">IF(AQ681=1,SUM(AQ$7:AQ681),"")</f>
        <v/>
      </c>
    </row>
    <row r="682" customFormat="false" ht="15" hidden="false" customHeight="false" outlineLevel="0" collapsed="false">
      <c r="A682" s="78" t="n">
        <f aca="false">IF(E682="","",ROW()-6)</f>
        <v>676</v>
      </c>
      <c r="B682" s="79" t="s">
        <v>586</v>
      </c>
      <c r="C682" s="80"/>
      <c r="D682" s="80"/>
      <c r="E682" s="80" t="s">
        <v>281</v>
      </c>
      <c r="F682" s="80"/>
      <c r="G682" s="80" t="s">
        <v>106</v>
      </c>
      <c r="H682" s="80"/>
      <c r="I682" s="80"/>
      <c r="J682" s="80"/>
      <c r="K682" s="80"/>
      <c r="L682" s="81" t="str">
        <f aca="false">IF(K682="","",IFERROR(INDEX(BARDAGE!$C$7:$C$1506,MATCH(K682,BARDAGE!$B$7:$B$1506,0)),"? hors registre"))</f>
        <v/>
      </c>
      <c r="M682" s="80"/>
      <c r="N682" s="81" t="str">
        <f aca="false">IF(M682="","",IFERROR(INDEX(BARDAGE!$C$7:$C$1506,MATCH(M682,BARDAGE!$B$7:$B$1506,0)),"? hors registre"))</f>
        <v/>
      </c>
      <c r="O682" s="80"/>
      <c r="P682" s="80"/>
      <c r="Q682" s="80"/>
      <c r="R682" s="82"/>
      <c r="S682" s="82"/>
      <c r="T682" s="80"/>
      <c r="U682" s="80"/>
      <c r="V682" s="82"/>
      <c r="W682" s="80"/>
      <c r="X682" s="80"/>
      <c r="Y682" s="80"/>
      <c r="Z682" s="80"/>
      <c r="AA682" s="82"/>
      <c r="AB682" s="80"/>
      <c r="AC682" s="80"/>
      <c r="AD682" s="80"/>
      <c r="AE682" s="80"/>
      <c r="AF682" s="82"/>
      <c r="AG682" s="80"/>
      <c r="AH682" s="80"/>
      <c r="AI682" s="82"/>
      <c r="AJ682" s="79"/>
      <c r="AK682" s="78" t="n">
        <f aca="false">IF(E682="","",(X682&lt;&gt;"")+(AC682&lt;&gt;"")+(AH682&lt;&gt;""))</f>
        <v>0</v>
      </c>
      <c r="AL682" s="81" t="str">
        <f aca="false">IF(AH682&lt;&gt;"",AH682,IF(AC682&lt;&gt;"",AC682,IF(X682&lt;&gt;"",X682,"")))</f>
        <v/>
      </c>
      <c r="AM682" s="83" t="str">
        <f aca="false">IF(E682="","",IF(R682="","À SOUDER",IF(U682="","VT EN ATTENTE",IF(U682="R","VT REJETÉ – À REPRENDRE",IF(AL682="","À RADIOGRAPHIER",IF(AL682="A","ACCEPTÉ",IF(AL682="NX","NX – RT À REFAIRE",IF(IF(AK682=1,Z682,IF(AK682=2,AE682,""))="A","RÉPARÉ – À RADIOGRAPHIER",IF(IF(AK682=1,Z682,IF(AK682=2,AE682,""))="R","VT REJETÉ – À REPRENDRE",IF(OR(AL682="CO",AL682="NT"),"COUPE – À RESOUDER","À RÉPARER"))))))))))</f>
        <v>À SOUDER</v>
      </c>
      <c r="AN682" s="81" t="str">
        <f aca="false">IF(AND(ISNUMBER(R682),OR(AM682="À RADIOGRAPHIER",AM682="RÉPARÉ – À RADIOGRAPHIER",AM682="NX – RT À REFAIRE",AM682="À RÉPARER",AM682="COUPE – À RESOUDER",AM682="VT REJETÉ – À REPRENDRE")),MAX(0,'PROGRAMME RT'!$C$4-R682),"")</f>
        <v/>
      </c>
      <c r="AO682" s="78" t="n">
        <f aca="false">IF(AND(OR(AM682="À RADIOGRAPHIER",AM682="RÉPARÉ – À RADIOGRAPHIER",AM682="NX – RT À REFAIRE"),OR('PROGRAMME RT'!$D$5="TOUTES",B682='PROGRAMME RT'!$D$5)),1,0)</f>
        <v>0</v>
      </c>
      <c r="AP682" s="78" t="str">
        <f aca="false">IF(AO682=1,SUM(AO$7:AO682),"")</f>
        <v/>
      </c>
      <c r="AQ682" s="78" t="n">
        <f aca="false">IF(AND(OR(X682="R",X682="NX",X682="NT",X682="CO"),OR('JOINTS DE RÉPARATION'!$D$5="TOUTES",B682='JOINTS DE RÉPARATION'!$D$5),OR('JOINTS DE RÉPARATION'!$L$4="TOUS",AM682&lt;&gt;"ACCEPTÉ")),1,0)</f>
        <v>0</v>
      </c>
      <c r="AR682" s="78" t="str">
        <f aca="false">IF(AQ682=1,SUM(AQ$7:AQ682),"")</f>
        <v/>
      </c>
    </row>
    <row r="683" customFormat="false" ht="15" hidden="false" customHeight="false" outlineLevel="0" collapsed="false">
      <c r="A683" s="78" t="n">
        <f aca="false">IF(E683="","",ROW()-6)</f>
        <v>677</v>
      </c>
      <c r="B683" s="79" t="s">
        <v>586</v>
      </c>
      <c r="C683" s="80"/>
      <c r="D683" s="80"/>
      <c r="E683" s="80" t="s">
        <v>283</v>
      </c>
      <c r="F683" s="80"/>
      <c r="G683" s="80" t="s">
        <v>106</v>
      </c>
      <c r="H683" s="80"/>
      <c r="I683" s="80"/>
      <c r="J683" s="80"/>
      <c r="K683" s="80"/>
      <c r="L683" s="81" t="str">
        <f aca="false">IF(K683="","",IFERROR(INDEX(BARDAGE!$C$7:$C$1506,MATCH(K683,BARDAGE!$B$7:$B$1506,0)),"? hors registre"))</f>
        <v/>
      </c>
      <c r="M683" s="80"/>
      <c r="N683" s="81" t="str">
        <f aca="false">IF(M683="","",IFERROR(INDEX(BARDAGE!$C$7:$C$1506,MATCH(M683,BARDAGE!$B$7:$B$1506,0)),"? hors registre"))</f>
        <v/>
      </c>
      <c r="O683" s="80"/>
      <c r="P683" s="80"/>
      <c r="Q683" s="80"/>
      <c r="R683" s="82"/>
      <c r="S683" s="82"/>
      <c r="T683" s="80"/>
      <c r="U683" s="80"/>
      <c r="V683" s="82"/>
      <c r="W683" s="80"/>
      <c r="X683" s="80"/>
      <c r="Y683" s="80"/>
      <c r="Z683" s="80"/>
      <c r="AA683" s="82"/>
      <c r="AB683" s="80"/>
      <c r="AC683" s="80"/>
      <c r="AD683" s="80"/>
      <c r="AE683" s="80"/>
      <c r="AF683" s="82"/>
      <c r="AG683" s="80"/>
      <c r="AH683" s="80"/>
      <c r="AI683" s="82"/>
      <c r="AJ683" s="79"/>
      <c r="AK683" s="78" t="n">
        <f aca="false">IF(E683="","",(X683&lt;&gt;"")+(AC683&lt;&gt;"")+(AH683&lt;&gt;""))</f>
        <v>0</v>
      </c>
      <c r="AL683" s="81" t="str">
        <f aca="false">IF(AH683&lt;&gt;"",AH683,IF(AC683&lt;&gt;"",AC683,IF(X683&lt;&gt;"",X683,"")))</f>
        <v/>
      </c>
      <c r="AM683" s="83" t="str">
        <f aca="false">IF(E683="","",IF(R683="","À SOUDER",IF(U683="","VT EN ATTENTE",IF(U683="R","VT REJETÉ – À REPRENDRE",IF(AL683="","À RADIOGRAPHIER",IF(AL683="A","ACCEPTÉ",IF(AL683="NX","NX – RT À REFAIRE",IF(IF(AK683=1,Z683,IF(AK683=2,AE683,""))="A","RÉPARÉ – À RADIOGRAPHIER",IF(IF(AK683=1,Z683,IF(AK683=2,AE683,""))="R","VT REJETÉ – À REPRENDRE",IF(OR(AL683="CO",AL683="NT"),"COUPE – À RESOUDER","À RÉPARER"))))))))))</f>
        <v>À SOUDER</v>
      </c>
      <c r="AN683" s="81" t="str">
        <f aca="false">IF(AND(ISNUMBER(R683),OR(AM683="À RADIOGRAPHIER",AM683="RÉPARÉ – À RADIOGRAPHIER",AM683="NX – RT À REFAIRE",AM683="À RÉPARER",AM683="COUPE – À RESOUDER",AM683="VT REJETÉ – À REPRENDRE")),MAX(0,'PROGRAMME RT'!$C$4-R683),"")</f>
        <v/>
      </c>
      <c r="AO683" s="78" t="n">
        <f aca="false">IF(AND(OR(AM683="À RADIOGRAPHIER",AM683="RÉPARÉ – À RADIOGRAPHIER",AM683="NX – RT À REFAIRE"),OR('PROGRAMME RT'!$D$5="TOUTES",B683='PROGRAMME RT'!$D$5)),1,0)</f>
        <v>0</v>
      </c>
      <c r="AP683" s="78" t="str">
        <f aca="false">IF(AO683=1,SUM(AO$7:AO683),"")</f>
        <v/>
      </c>
      <c r="AQ683" s="78" t="n">
        <f aca="false">IF(AND(OR(X683="R",X683="NX",X683="NT",X683="CO"),OR('JOINTS DE RÉPARATION'!$D$5="TOUTES",B683='JOINTS DE RÉPARATION'!$D$5),OR('JOINTS DE RÉPARATION'!$L$4="TOUS",AM683&lt;&gt;"ACCEPTÉ")),1,0)</f>
        <v>0</v>
      </c>
      <c r="AR683" s="78" t="str">
        <f aca="false">IF(AQ683=1,SUM(AQ$7:AQ683),"")</f>
        <v/>
      </c>
    </row>
    <row r="684" customFormat="false" ht="15" hidden="false" customHeight="false" outlineLevel="0" collapsed="false">
      <c r="A684" s="78" t="n">
        <f aca="false">IF(E684="","",ROW()-6)</f>
        <v>678</v>
      </c>
      <c r="B684" s="79" t="s">
        <v>586</v>
      </c>
      <c r="C684" s="80"/>
      <c r="D684" s="80"/>
      <c r="E684" s="80" t="s">
        <v>285</v>
      </c>
      <c r="F684" s="80"/>
      <c r="G684" s="80" t="s">
        <v>106</v>
      </c>
      <c r="H684" s="80"/>
      <c r="I684" s="80"/>
      <c r="J684" s="80"/>
      <c r="K684" s="80"/>
      <c r="L684" s="81" t="str">
        <f aca="false">IF(K684="","",IFERROR(INDEX(BARDAGE!$C$7:$C$1506,MATCH(K684,BARDAGE!$B$7:$B$1506,0)),"? hors registre"))</f>
        <v/>
      </c>
      <c r="M684" s="80"/>
      <c r="N684" s="81" t="str">
        <f aca="false">IF(M684="","",IFERROR(INDEX(BARDAGE!$C$7:$C$1506,MATCH(M684,BARDAGE!$B$7:$B$1506,0)),"? hors registre"))</f>
        <v/>
      </c>
      <c r="O684" s="80"/>
      <c r="P684" s="80"/>
      <c r="Q684" s="80"/>
      <c r="R684" s="82"/>
      <c r="S684" s="82"/>
      <c r="T684" s="80"/>
      <c r="U684" s="80"/>
      <c r="V684" s="82"/>
      <c r="W684" s="80"/>
      <c r="X684" s="80"/>
      <c r="Y684" s="80"/>
      <c r="Z684" s="80"/>
      <c r="AA684" s="82"/>
      <c r="AB684" s="80"/>
      <c r="AC684" s="80"/>
      <c r="AD684" s="80"/>
      <c r="AE684" s="80"/>
      <c r="AF684" s="82"/>
      <c r="AG684" s="80"/>
      <c r="AH684" s="80"/>
      <c r="AI684" s="82"/>
      <c r="AJ684" s="79"/>
      <c r="AK684" s="78" t="n">
        <f aca="false">IF(E684="","",(X684&lt;&gt;"")+(AC684&lt;&gt;"")+(AH684&lt;&gt;""))</f>
        <v>0</v>
      </c>
      <c r="AL684" s="81" t="str">
        <f aca="false">IF(AH684&lt;&gt;"",AH684,IF(AC684&lt;&gt;"",AC684,IF(X684&lt;&gt;"",X684,"")))</f>
        <v/>
      </c>
      <c r="AM684" s="83" t="str">
        <f aca="false">IF(E684="","",IF(R684="","À SOUDER",IF(U684="","VT EN ATTENTE",IF(U684="R","VT REJETÉ – À REPRENDRE",IF(AL684="","À RADIOGRAPHIER",IF(AL684="A","ACCEPTÉ",IF(AL684="NX","NX – RT À REFAIRE",IF(IF(AK684=1,Z684,IF(AK684=2,AE684,""))="A","RÉPARÉ – À RADIOGRAPHIER",IF(IF(AK684=1,Z684,IF(AK684=2,AE684,""))="R","VT REJETÉ – À REPRENDRE",IF(OR(AL684="CO",AL684="NT"),"COUPE – À RESOUDER","À RÉPARER"))))))))))</f>
        <v>À SOUDER</v>
      </c>
      <c r="AN684" s="81" t="str">
        <f aca="false">IF(AND(ISNUMBER(R684),OR(AM684="À RADIOGRAPHIER",AM684="RÉPARÉ – À RADIOGRAPHIER",AM684="NX – RT À REFAIRE",AM684="À RÉPARER",AM684="COUPE – À RESOUDER",AM684="VT REJETÉ – À REPRENDRE")),MAX(0,'PROGRAMME RT'!$C$4-R684),"")</f>
        <v/>
      </c>
      <c r="AO684" s="78" t="n">
        <f aca="false">IF(AND(OR(AM684="À RADIOGRAPHIER",AM684="RÉPARÉ – À RADIOGRAPHIER",AM684="NX – RT À REFAIRE"),OR('PROGRAMME RT'!$D$5="TOUTES",B684='PROGRAMME RT'!$D$5)),1,0)</f>
        <v>0</v>
      </c>
      <c r="AP684" s="78" t="str">
        <f aca="false">IF(AO684=1,SUM(AO$7:AO684),"")</f>
        <v/>
      </c>
      <c r="AQ684" s="78" t="n">
        <f aca="false">IF(AND(OR(X684="R",X684="NX",X684="NT",X684="CO"),OR('JOINTS DE RÉPARATION'!$D$5="TOUTES",B684='JOINTS DE RÉPARATION'!$D$5),OR('JOINTS DE RÉPARATION'!$L$4="TOUS",AM684&lt;&gt;"ACCEPTÉ")),1,0)</f>
        <v>0</v>
      </c>
      <c r="AR684" s="78" t="str">
        <f aca="false">IF(AQ684=1,SUM(AQ$7:AQ684),"")</f>
        <v/>
      </c>
    </row>
    <row r="685" customFormat="false" ht="15" hidden="false" customHeight="false" outlineLevel="0" collapsed="false">
      <c r="A685" s="78" t="n">
        <f aca="false">IF(E685="","",ROW()-6)</f>
        <v>679</v>
      </c>
      <c r="B685" s="79" t="s">
        <v>586</v>
      </c>
      <c r="C685" s="80"/>
      <c r="D685" s="80"/>
      <c r="E685" s="80" t="s">
        <v>287</v>
      </c>
      <c r="F685" s="80"/>
      <c r="G685" s="80" t="s">
        <v>106</v>
      </c>
      <c r="H685" s="80"/>
      <c r="I685" s="80"/>
      <c r="J685" s="80"/>
      <c r="K685" s="80"/>
      <c r="L685" s="81" t="str">
        <f aca="false">IF(K685="","",IFERROR(INDEX(BARDAGE!$C$7:$C$1506,MATCH(K685,BARDAGE!$B$7:$B$1506,0)),"? hors registre"))</f>
        <v/>
      </c>
      <c r="M685" s="80"/>
      <c r="N685" s="81" t="str">
        <f aca="false">IF(M685="","",IFERROR(INDEX(BARDAGE!$C$7:$C$1506,MATCH(M685,BARDAGE!$B$7:$B$1506,0)),"? hors registre"))</f>
        <v/>
      </c>
      <c r="O685" s="80"/>
      <c r="P685" s="80"/>
      <c r="Q685" s="80"/>
      <c r="R685" s="82"/>
      <c r="S685" s="82"/>
      <c r="T685" s="80"/>
      <c r="U685" s="80"/>
      <c r="V685" s="82"/>
      <c r="W685" s="80"/>
      <c r="X685" s="80"/>
      <c r="Y685" s="80"/>
      <c r="Z685" s="80"/>
      <c r="AA685" s="82"/>
      <c r="AB685" s="80"/>
      <c r="AC685" s="80"/>
      <c r="AD685" s="80"/>
      <c r="AE685" s="80"/>
      <c r="AF685" s="82"/>
      <c r="AG685" s="80"/>
      <c r="AH685" s="80"/>
      <c r="AI685" s="82"/>
      <c r="AJ685" s="79"/>
      <c r="AK685" s="78" t="n">
        <f aca="false">IF(E685="","",(X685&lt;&gt;"")+(AC685&lt;&gt;"")+(AH685&lt;&gt;""))</f>
        <v>0</v>
      </c>
      <c r="AL685" s="81" t="str">
        <f aca="false">IF(AH685&lt;&gt;"",AH685,IF(AC685&lt;&gt;"",AC685,IF(X685&lt;&gt;"",X685,"")))</f>
        <v/>
      </c>
      <c r="AM685" s="83" t="str">
        <f aca="false">IF(E685="","",IF(R685="","À SOUDER",IF(U685="","VT EN ATTENTE",IF(U685="R","VT REJETÉ – À REPRENDRE",IF(AL685="","À RADIOGRAPHIER",IF(AL685="A","ACCEPTÉ",IF(AL685="NX","NX – RT À REFAIRE",IF(IF(AK685=1,Z685,IF(AK685=2,AE685,""))="A","RÉPARÉ – À RADIOGRAPHIER",IF(IF(AK685=1,Z685,IF(AK685=2,AE685,""))="R","VT REJETÉ – À REPRENDRE",IF(OR(AL685="CO",AL685="NT"),"COUPE – À RESOUDER","À RÉPARER"))))))))))</f>
        <v>À SOUDER</v>
      </c>
      <c r="AN685" s="81" t="str">
        <f aca="false">IF(AND(ISNUMBER(R685),OR(AM685="À RADIOGRAPHIER",AM685="RÉPARÉ – À RADIOGRAPHIER",AM685="NX – RT À REFAIRE",AM685="À RÉPARER",AM685="COUPE – À RESOUDER",AM685="VT REJETÉ – À REPRENDRE")),MAX(0,'PROGRAMME RT'!$C$4-R685),"")</f>
        <v/>
      </c>
      <c r="AO685" s="78" t="n">
        <f aca="false">IF(AND(OR(AM685="À RADIOGRAPHIER",AM685="RÉPARÉ – À RADIOGRAPHIER",AM685="NX – RT À REFAIRE"),OR('PROGRAMME RT'!$D$5="TOUTES",B685='PROGRAMME RT'!$D$5)),1,0)</f>
        <v>0</v>
      </c>
      <c r="AP685" s="78" t="str">
        <f aca="false">IF(AO685=1,SUM(AO$7:AO685),"")</f>
        <v/>
      </c>
      <c r="AQ685" s="78" t="n">
        <f aca="false">IF(AND(OR(X685="R",X685="NX",X685="NT",X685="CO"),OR('JOINTS DE RÉPARATION'!$D$5="TOUTES",B685='JOINTS DE RÉPARATION'!$D$5),OR('JOINTS DE RÉPARATION'!$L$4="TOUS",AM685&lt;&gt;"ACCEPTÉ")),1,0)</f>
        <v>0</v>
      </c>
      <c r="AR685" s="78" t="str">
        <f aca="false">IF(AQ685=1,SUM(AQ$7:AQ685),"")</f>
        <v/>
      </c>
    </row>
    <row r="686" customFormat="false" ht="15" hidden="false" customHeight="false" outlineLevel="0" collapsed="false">
      <c r="A686" s="78" t="n">
        <f aca="false">IF(E686="","",ROW()-6)</f>
        <v>680</v>
      </c>
      <c r="B686" s="79" t="s">
        <v>586</v>
      </c>
      <c r="C686" s="80"/>
      <c r="D686" s="80"/>
      <c r="E686" s="80" t="s">
        <v>290</v>
      </c>
      <c r="F686" s="80"/>
      <c r="G686" s="80" t="s">
        <v>106</v>
      </c>
      <c r="H686" s="80"/>
      <c r="I686" s="80"/>
      <c r="J686" s="80"/>
      <c r="K686" s="80"/>
      <c r="L686" s="81" t="str">
        <f aca="false">IF(K686="","",IFERROR(INDEX(BARDAGE!$C$7:$C$1506,MATCH(K686,BARDAGE!$B$7:$B$1506,0)),"? hors registre"))</f>
        <v/>
      </c>
      <c r="M686" s="80"/>
      <c r="N686" s="81" t="str">
        <f aca="false">IF(M686="","",IFERROR(INDEX(BARDAGE!$C$7:$C$1506,MATCH(M686,BARDAGE!$B$7:$B$1506,0)),"? hors registre"))</f>
        <v/>
      </c>
      <c r="O686" s="80"/>
      <c r="P686" s="80"/>
      <c r="Q686" s="80"/>
      <c r="R686" s="82"/>
      <c r="S686" s="82"/>
      <c r="T686" s="80"/>
      <c r="U686" s="80"/>
      <c r="V686" s="82"/>
      <c r="W686" s="80"/>
      <c r="X686" s="80"/>
      <c r="Y686" s="80"/>
      <c r="Z686" s="80"/>
      <c r="AA686" s="82"/>
      <c r="AB686" s="80"/>
      <c r="AC686" s="80"/>
      <c r="AD686" s="80"/>
      <c r="AE686" s="80"/>
      <c r="AF686" s="82"/>
      <c r="AG686" s="80"/>
      <c r="AH686" s="80"/>
      <c r="AI686" s="82"/>
      <c r="AJ686" s="79"/>
      <c r="AK686" s="78" t="n">
        <f aca="false">IF(E686="","",(X686&lt;&gt;"")+(AC686&lt;&gt;"")+(AH686&lt;&gt;""))</f>
        <v>0</v>
      </c>
      <c r="AL686" s="81" t="str">
        <f aca="false">IF(AH686&lt;&gt;"",AH686,IF(AC686&lt;&gt;"",AC686,IF(X686&lt;&gt;"",X686,"")))</f>
        <v/>
      </c>
      <c r="AM686" s="83" t="str">
        <f aca="false">IF(E686="","",IF(R686="","À SOUDER",IF(U686="","VT EN ATTENTE",IF(U686="R","VT REJETÉ – À REPRENDRE",IF(AL686="","À RADIOGRAPHIER",IF(AL686="A","ACCEPTÉ",IF(AL686="NX","NX – RT À REFAIRE",IF(IF(AK686=1,Z686,IF(AK686=2,AE686,""))="A","RÉPARÉ – À RADIOGRAPHIER",IF(IF(AK686=1,Z686,IF(AK686=2,AE686,""))="R","VT REJETÉ – À REPRENDRE",IF(OR(AL686="CO",AL686="NT"),"COUPE – À RESOUDER","À RÉPARER"))))))))))</f>
        <v>À SOUDER</v>
      </c>
      <c r="AN686" s="81" t="str">
        <f aca="false">IF(AND(ISNUMBER(R686),OR(AM686="À RADIOGRAPHIER",AM686="RÉPARÉ – À RADIOGRAPHIER",AM686="NX – RT À REFAIRE",AM686="À RÉPARER",AM686="COUPE – À RESOUDER",AM686="VT REJETÉ – À REPRENDRE")),MAX(0,'PROGRAMME RT'!$C$4-R686),"")</f>
        <v/>
      </c>
      <c r="AO686" s="78" t="n">
        <f aca="false">IF(AND(OR(AM686="À RADIOGRAPHIER",AM686="RÉPARÉ – À RADIOGRAPHIER",AM686="NX – RT À REFAIRE"),OR('PROGRAMME RT'!$D$5="TOUTES",B686='PROGRAMME RT'!$D$5)),1,0)</f>
        <v>0</v>
      </c>
      <c r="AP686" s="78" t="str">
        <f aca="false">IF(AO686=1,SUM(AO$7:AO686),"")</f>
        <v/>
      </c>
      <c r="AQ686" s="78" t="n">
        <f aca="false">IF(AND(OR(X686="R",X686="NX",X686="NT",X686="CO"),OR('JOINTS DE RÉPARATION'!$D$5="TOUTES",B686='JOINTS DE RÉPARATION'!$D$5),OR('JOINTS DE RÉPARATION'!$L$4="TOUS",AM686&lt;&gt;"ACCEPTÉ")),1,0)</f>
        <v>0</v>
      </c>
      <c r="AR686" s="78" t="str">
        <f aca="false">IF(AQ686=1,SUM(AQ$7:AQ686),"")</f>
        <v/>
      </c>
    </row>
    <row r="687" customFormat="false" ht="15" hidden="false" customHeight="false" outlineLevel="0" collapsed="false">
      <c r="A687" s="78" t="n">
        <f aca="false">IF(E687="","",ROW()-6)</f>
        <v>681</v>
      </c>
      <c r="B687" s="79" t="s">
        <v>586</v>
      </c>
      <c r="C687" s="80"/>
      <c r="D687" s="80"/>
      <c r="E687" s="80" t="s">
        <v>293</v>
      </c>
      <c r="F687" s="80"/>
      <c r="G687" s="80" t="s">
        <v>106</v>
      </c>
      <c r="H687" s="80"/>
      <c r="I687" s="80"/>
      <c r="J687" s="80"/>
      <c r="K687" s="80"/>
      <c r="L687" s="81" t="str">
        <f aca="false">IF(K687="","",IFERROR(INDEX(BARDAGE!$C$7:$C$1506,MATCH(K687,BARDAGE!$B$7:$B$1506,0)),"? hors registre"))</f>
        <v/>
      </c>
      <c r="M687" s="80"/>
      <c r="N687" s="81" t="str">
        <f aca="false">IF(M687="","",IFERROR(INDEX(BARDAGE!$C$7:$C$1506,MATCH(M687,BARDAGE!$B$7:$B$1506,0)),"? hors registre"))</f>
        <v/>
      </c>
      <c r="O687" s="80"/>
      <c r="P687" s="80"/>
      <c r="Q687" s="80"/>
      <c r="R687" s="82"/>
      <c r="S687" s="82"/>
      <c r="T687" s="80"/>
      <c r="U687" s="80"/>
      <c r="V687" s="82"/>
      <c r="W687" s="80"/>
      <c r="X687" s="80"/>
      <c r="Y687" s="80"/>
      <c r="Z687" s="80"/>
      <c r="AA687" s="82"/>
      <c r="AB687" s="80"/>
      <c r="AC687" s="80"/>
      <c r="AD687" s="80"/>
      <c r="AE687" s="80"/>
      <c r="AF687" s="82"/>
      <c r="AG687" s="80"/>
      <c r="AH687" s="80"/>
      <c r="AI687" s="82"/>
      <c r="AJ687" s="79"/>
      <c r="AK687" s="78" t="n">
        <f aca="false">IF(E687="","",(X687&lt;&gt;"")+(AC687&lt;&gt;"")+(AH687&lt;&gt;""))</f>
        <v>0</v>
      </c>
      <c r="AL687" s="81" t="str">
        <f aca="false">IF(AH687&lt;&gt;"",AH687,IF(AC687&lt;&gt;"",AC687,IF(X687&lt;&gt;"",X687,"")))</f>
        <v/>
      </c>
      <c r="AM687" s="83" t="str">
        <f aca="false">IF(E687="","",IF(R687="","À SOUDER",IF(U687="","VT EN ATTENTE",IF(U687="R","VT REJETÉ – À REPRENDRE",IF(AL687="","À RADIOGRAPHIER",IF(AL687="A","ACCEPTÉ",IF(AL687="NX","NX – RT À REFAIRE",IF(IF(AK687=1,Z687,IF(AK687=2,AE687,""))="A","RÉPARÉ – À RADIOGRAPHIER",IF(IF(AK687=1,Z687,IF(AK687=2,AE687,""))="R","VT REJETÉ – À REPRENDRE",IF(OR(AL687="CO",AL687="NT"),"COUPE – À RESOUDER","À RÉPARER"))))))))))</f>
        <v>À SOUDER</v>
      </c>
      <c r="AN687" s="81" t="str">
        <f aca="false">IF(AND(ISNUMBER(R687),OR(AM687="À RADIOGRAPHIER",AM687="RÉPARÉ – À RADIOGRAPHIER",AM687="NX – RT À REFAIRE",AM687="À RÉPARER",AM687="COUPE – À RESOUDER",AM687="VT REJETÉ – À REPRENDRE")),MAX(0,'PROGRAMME RT'!$C$4-R687),"")</f>
        <v/>
      </c>
      <c r="AO687" s="78" t="n">
        <f aca="false">IF(AND(OR(AM687="À RADIOGRAPHIER",AM687="RÉPARÉ – À RADIOGRAPHIER",AM687="NX – RT À REFAIRE"),OR('PROGRAMME RT'!$D$5="TOUTES",B687='PROGRAMME RT'!$D$5)),1,0)</f>
        <v>0</v>
      </c>
      <c r="AP687" s="78" t="str">
        <f aca="false">IF(AO687=1,SUM(AO$7:AO687),"")</f>
        <v/>
      </c>
      <c r="AQ687" s="78" t="n">
        <f aca="false">IF(AND(OR(X687="R",X687="NX",X687="NT",X687="CO"),OR('JOINTS DE RÉPARATION'!$D$5="TOUTES",B687='JOINTS DE RÉPARATION'!$D$5),OR('JOINTS DE RÉPARATION'!$L$4="TOUS",AM687&lt;&gt;"ACCEPTÉ")),1,0)</f>
        <v>0</v>
      </c>
      <c r="AR687" s="78" t="str">
        <f aca="false">IF(AQ687=1,SUM(AQ$7:AQ687),"")</f>
        <v/>
      </c>
    </row>
    <row r="688" customFormat="false" ht="15" hidden="false" customHeight="false" outlineLevel="0" collapsed="false">
      <c r="A688" s="78" t="n">
        <f aca="false">IF(E688="","",ROW()-6)</f>
        <v>682</v>
      </c>
      <c r="B688" s="79" t="s">
        <v>586</v>
      </c>
      <c r="C688" s="80"/>
      <c r="D688" s="80"/>
      <c r="E688" s="80" t="s">
        <v>295</v>
      </c>
      <c r="F688" s="80"/>
      <c r="G688" s="80" t="s">
        <v>106</v>
      </c>
      <c r="H688" s="80"/>
      <c r="I688" s="80"/>
      <c r="J688" s="80"/>
      <c r="K688" s="80"/>
      <c r="L688" s="81" t="str">
        <f aca="false">IF(K688="","",IFERROR(INDEX(BARDAGE!$C$7:$C$1506,MATCH(K688,BARDAGE!$B$7:$B$1506,0)),"? hors registre"))</f>
        <v/>
      </c>
      <c r="M688" s="80"/>
      <c r="N688" s="81" t="str">
        <f aca="false">IF(M688="","",IFERROR(INDEX(BARDAGE!$C$7:$C$1506,MATCH(M688,BARDAGE!$B$7:$B$1506,0)),"? hors registre"))</f>
        <v/>
      </c>
      <c r="O688" s="80"/>
      <c r="P688" s="80"/>
      <c r="Q688" s="80"/>
      <c r="R688" s="82"/>
      <c r="S688" s="82"/>
      <c r="T688" s="80"/>
      <c r="U688" s="80"/>
      <c r="V688" s="82"/>
      <c r="W688" s="80"/>
      <c r="X688" s="80"/>
      <c r="Y688" s="80"/>
      <c r="Z688" s="80"/>
      <c r="AA688" s="82"/>
      <c r="AB688" s="80"/>
      <c r="AC688" s="80"/>
      <c r="AD688" s="80"/>
      <c r="AE688" s="80"/>
      <c r="AF688" s="82"/>
      <c r="AG688" s="80"/>
      <c r="AH688" s="80"/>
      <c r="AI688" s="82"/>
      <c r="AJ688" s="79"/>
      <c r="AK688" s="78" t="n">
        <f aca="false">IF(E688="","",(X688&lt;&gt;"")+(AC688&lt;&gt;"")+(AH688&lt;&gt;""))</f>
        <v>0</v>
      </c>
      <c r="AL688" s="81" t="str">
        <f aca="false">IF(AH688&lt;&gt;"",AH688,IF(AC688&lt;&gt;"",AC688,IF(X688&lt;&gt;"",X688,"")))</f>
        <v/>
      </c>
      <c r="AM688" s="83" t="str">
        <f aca="false">IF(E688="","",IF(R688="","À SOUDER",IF(U688="","VT EN ATTENTE",IF(U688="R","VT REJETÉ – À REPRENDRE",IF(AL688="","À RADIOGRAPHIER",IF(AL688="A","ACCEPTÉ",IF(AL688="NX","NX – RT À REFAIRE",IF(IF(AK688=1,Z688,IF(AK688=2,AE688,""))="A","RÉPARÉ – À RADIOGRAPHIER",IF(IF(AK688=1,Z688,IF(AK688=2,AE688,""))="R","VT REJETÉ – À REPRENDRE",IF(OR(AL688="CO",AL688="NT"),"COUPE – À RESOUDER","À RÉPARER"))))))))))</f>
        <v>À SOUDER</v>
      </c>
      <c r="AN688" s="81" t="str">
        <f aca="false">IF(AND(ISNUMBER(R688),OR(AM688="À RADIOGRAPHIER",AM688="RÉPARÉ – À RADIOGRAPHIER",AM688="NX – RT À REFAIRE",AM688="À RÉPARER",AM688="COUPE – À RESOUDER",AM688="VT REJETÉ – À REPRENDRE")),MAX(0,'PROGRAMME RT'!$C$4-R688),"")</f>
        <v/>
      </c>
      <c r="AO688" s="78" t="n">
        <f aca="false">IF(AND(OR(AM688="À RADIOGRAPHIER",AM688="RÉPARÉ – À RADIOGRAPHIER",AM688="NX – RT À REFAIRE"),OR('PROGRAMME RT'!$D$5="TOUTES",B688='PROGRAMME RT'!$D$5)),1,0)</f>
        <v>0</v>
      </c>
      <c r="AP688" s="78" t="str">
        <f aca="false">IF(AO688=1,SUM(AO$7:AO688),"")</f>
        <v/>
      </c>
      <c r="AQ688" s="78" t="n">
        <f aca="false">IF(AND(OR(X688="R",X688="NX",X688="NT",X688="CO"),OR('JOINTS DE RÉPARATION'!$D$5="TOUTES",B688='JOINTS DE RÉPARATION'!$D$5),OR('JOINTS DE RÉPARATION'!$L$4="TOUS",AM688&lt;&gt;"ACCEPTÉ")),1,0)</f>
        <v>0</v>
      </c>
      <c r="AR688" s="78" t="str">
        <f aca="false">IF(AQ688=1,SUM(AQ$7:AQ688),"")</f>
        <v/>
      </c>
    </row>
    <row r="689" customFormat="false" ht="15" hidden="false" customHeight="false" outlineLevel="0" collapsed="false">
      <c r="A689" s="78" t="n">
        <f aca="false">IF(E689="","",ROW()-6)</f>
        <v>683</v>
      </c>
      <c r="B689" s="79" t="s">
        <v>586</v>
      </c>
      <c r="C689" s="80"/>
      <c r="D689" s="80"/>
      <c r="E689" s="80" t="s">
        <v>297</v>
      </c>
      <c r="F689" s="80"/>
      <c r="G689" s="80" t="s">
        <v>106</v>
      </c>
      <c r="H689" s="80"/>
      <c r="I689" s="80"/>
      <c r="J689" s="80"/>
      <c r="K689" s="80"/>
      <c r="L689" s="81" t="str">
        <f aca="false">IF(K689="","",IFERROR(INDEX(BARDAGE!$C$7:$C$1506,MATCH(K689,BARDAGE!$B$7:$B$1506,0)),"? hors registre"))</f>
        <v/>
      </c>
      <c r="M689" s="80"/>
      <c r="N689" s="81" t="str">
        <f aca="false">IF(M689="","",IFERROR(INDEX(BARDAGE!$C$7:$C$1506,MATCH(M689,BARDAGE!$B$7:$B$1506,0)),"? hors registre"))</f>
        <v/>
      </c>
      <c r="O689" s="80"/>
      <c r="P689" s="80"/>
      <c r="Q689" s="80"/>
      <c r="R689" s="82"/>
      <c r="S689" s="82"/>
      <c r="T689" s="80"/>
      <c r="U689" s="80"/>
      <c r="V689" s="82"/>
      <c r="W689" s="80"/>
      <c r="X689" s="80"/>
      <c r="Y689" s="80"/>
      <c r="Z689" s="80"/>
      <c r="AA689" s="82"/>
      <c r="AB689" s="80"/>
      <c r="AC689" s="80"/>
      <c r="AD689" s="80"/>
      <c r="AE689" s="80"/>
      <c r="AF689" s="82"/>
      <c r="AG689" s="80"/>
      <c r="AH689" s="80"/>
      <c r="AI689" s="82"/>
      <c r="AJ689" s="79"/>
      <c r="AK689" s="78" t="n">
        <f aca="false">IF(E689="","",(X689&lt;&gt;"")+(AC689&lt;&gt;"")+(AH689&lt;&gt;""))</f>
        <v>0</v>
      </c>
      <c r="AL689" s="81" t="str">
        <f aca="false">IF(AH689&lt;&gt;"",AH689,IF(AC689&lt;&gt;"",AC689,IF(X689&lt;&gt;"",X689,"")))</f>
        <v/>
      </c>
      <c r="AM689" s="83" t="str">
        <f aca="false">IF(E689="","",IF(R689="","À SOUDER",IF(U689="","VT EN ATTENTE",IF(U689="R","VT REJETÉ – À REPRENDRE",IF(AL689="","À RADIOGRAPHIER",IF(AL689="A","ACCEPTÉ",IF(AL689="NX","NX – RT À REFAIRE",IF(IF(AK689=1,Z689,IF(AK689=2,AE689,""))="A","RÉPARÉ – À RADIOGRAPHIER",IF(IF(AK689=1,Z689,IF(AK689=2,AE689,""))="R","VT REJETÉ – À REPRENDRE",IF(OR(AL689="CO",AL689="NT"),"COUPE – À RESOUDER","À RÉPARER"))))))))))</f>
        <v>À SOUDER</v>
      </c>
      <c r="AN689" s="81" t="str">
        <f aca="false">IF(AND(ISNUMBER(R689),OR(AM689="À RADIOGRAPHIER",AM689="RÉPARÉ – À RADIOGRAPHIER",AM689="NX – RT À REFAIRE",AM689="À RÉPARER",AM689="COUPE – À RESOUDER",AM689="VT REJETÉ – À REPRENDRE")),MAX(0,'PROGRAMME RT'!$C$4-R689),"")</f>
        <v/>
      </c>
      <c r="AO689" s="78" t="n">
        <f aca="false">IF(AND(OR(AM689="À RADIOGRAPHIER",AM689="RÉPARÉ – À RADIOGRAPHIER",AM689="NX – RT À REFAIRE"),OR('PROGRAMME RT'!$D$5="TOUTES",B689='PROGRAMME RT'!$D$5)),1,0)</f>
        <v>0</v>
      </c>
      <c r="AP689" s="78" t="str">
        <f aca="false">IF(AO689=1,SUM(AO$7:AO689),"")</f>
        <v/>
      </c>
      <c r="AQ689" s="78" t="n">
        <f aca="false">IF(AND(OR(X689="R",X689="NX",X689="NT",X689="CO"),OR('JOINTS DE RÉPARATION'!$D$5="TOUTES",B689='JOINTS DE RÉPARATION'!$D$5),OR('JOINTS DE RÉPARATION'!$L$4="TOUS",AM689&lt;&gt;"ACCEPTÉ")),1,0)</f>
        <v>0</v>
      </c>
      <c r="AR689" s="78" t="str">
        <f aca="false">IF(AQ689=1,SUM(AQ$7:AQ689),"")</f>
        <v/>
      </c>
    </row>
    <row r="690" customFormat="false" ht="15" hidden="false" customHeight="false" outlineLevel="0" collapsed="false">
      <c r="A690" s="78" t="n">
        <f aca="false">IF(E690="","",ROW()-6)</f>
        <v>684</v>
      </c>
      <c r="B690" s="79" t="s">
        <v>586</v>
      </c>
      <c r="C690" s="80"/>
      <c r="D690" s="80"/>
      <c r="E690" s="80" t="s">
        <v>299</v>
      </c>
      <c r="F690" s="80"/>
      <c r="G690" s="80" t="s">
        <v>106</v>
      </c>
      <c r="H690" s="80"/>
      <c r="I690" s="80"/>
      <c r="J690" s="80"/>
      <c r="K690" s="80"/>
      <c r="L690" s="81" t="str">
        <f aca="false">IF(K690="","",IFERROR(INDEX(BARDAGE!$C$7:$C$1506,MATCH(K690,BARDAGE!$B$7:$B$1506,0)),"? hors registre"))</f>
        <v/>
      </c>
      <c r="M690" s="80"/>
      <c r="N690" s="81" t="str">
        <f aca="false">IF(M690="","",IFERROR(INDEX(BARDAGE!$C$7:$C$1506,MATCH(M690,BARDAGE!$B$7:$B$1506,0)),"? hors registre"))</f>
        <v/>
      </c>
      <c r="O690" s="80"/>
      <c r="P690" s="80"/>
      <c r="Q690" s="80"/>
      <c r="R690" s="82"/>
      <c r="S690" s="82"/>
      <c r="T690" s="80"/>
      <c r="U690" s="80"/>
      <c r="V690" s="82"/>
      <c r="W690" s="80"/>
      <c r="X690" s="80"/>
      <c r="Y690" s="80"/>
      <c r="Z690" s="80"/>
      <c r="AA690" s="82"/>
      <c r="AB690" s="80"/>
      <c r="AC690" s="80"/>
      <c r="AD690" s="80"/>
      <c r="AE690" s="80"/>
      <c r="AF690" s="82"/>
      <c r="AG690" s="80"/>
      <c r="AH690" s="80"/>
      <c r="AI690" s="82"/>
      <c r="AJ690" s="79"/>
      <c r="AK690" s="78" t="n">
        <f aca="false">IF(E690="","",(X690&lt;&gt;"")+(AC690&lt;&gt;"")+(AH690&lt;&gt;""))</f>
        <v>0</v>
      </c>
      <c r="AL690" s="81" t="str">
        <f aca="false">IF(AH690&lt;&gt;"",AH690,IF(AC690&lt;&gt;"",AC690,IF(X690&lt;&gt;"",X690,"")))</f>
        <v/>
      </c>
      <c r="AM690" s="83" t="str">
        <f aca="false">IF(E690="","",IF(R690="","À SOUDER",IF(U690="","VT EN ATTENTE",IF(U690="R","VT REJETÉ – À REPRENDRE",IF(AL690="","À RADIOGRAPHIER",IF(AL690="A","ACCEPTÉ",IF(AL690="NX","NX – RT À REFAIRE",IF(IF(AK690=1,Z690,IF(AK690=2,AE690,""))="A","RÉPARÉ – À RADIOGRAPHIER",IF(IF(AK690=1,Z690,IF(AK690=2,AE690,""))="R","VT REJETÉ – À REPRENDRE",IF(OR(AL690="CO",AL690="NT"),"COUPE – À RESOUDER","À RÉPARER"))))))))))</f>
        <v>À SOUDER</v>
      </c>
      <c r="AN690" s="81" t="str">
        <f aca="false">IF(AND(ISNUMBER(R690),OR(AM690="À RADIOGRAPHIER",AM690="RÉPARÉ – À RADIOGRAPHIER",AM690="NX – RT À REFAIRE",AM690="À RÉPARER",AM690="COUPE – À RESOUDER",AM690="VT REJETÉ – À REPRENDRE")),MAX(0,'PROGRAMME RT'!$C$4-R690),"")</f>
        <v/>
      </c>
      <c r="AO690" s="78" t="n">
        <f aca="false">IF(AND(OR(AM690="À RADIOGRAPHIER",AM690="RÉPARÉ – À RADIOGRAPHIER",AM690="NX – RT À REFAIRE"),OR('PROGRAMME RT'!$D$5="TOUTES",B690='PROGRAMME RT'!$D$5)),1,0)</f>
        <v>0</v>
      </c>
      <c r="AP690" s="78" t="str">
        <f aca="false">IF(AO690=1,SUM(AO$7:AO690),"")</f>
        <v/>
      </c>
      <c r="AQ690" s="78" t="n">
        <f aca="false">IF(AND(OR(X690="R",X690="NX",X690="NT",X690="CO"),OR('JOINTS DE RÉPARATION'!$D$5="TOUTES",B690='JOINTS DE RÉPARATION'!$D$5),OR('JOINTS DE RÉPARATION'!$L$4="TOUS",AM690&lt;&gt;"ACCEPTÉ")),1,0)</f>
        <v>0</v>
      </c>
      <c r="AR690" s="78" t="str">
        <f aca="false">IF(AQ690=1,SUM(AQ$7:AQ690),"")</f>
        <v/>
      </c>
    </row>
    <row r="691" customFormat="false" ht="15" hidden="false" customHeight="false" outlineLevel="0" collapsed="false">
      <c r="A691" s="78" t="n">
        <f aca="false">IF(E691="","",ROW()-6)</f>
        <v>685</v>
      </c>
      <c r="B691" s="79" t="s">
        <v>586</v>
      </c>
      <c r="C691" s="80"/>
      <c r="D691" s="80"/>
      <c r="E691" s="80" t="s">
        <v>301</v>
      </c>
      <c r="F691" s="80"/>
      <c r="G691" s="80" t="s">
        <v>106</v>
      </c>
      <c r="H691" s="80"/>
      <c r="I691" s="80"/>
      <c r="J691" s="80"/>
      <c r="K691" s="80"/>
      <c r="L691" s="81" t="str">
        <f aca="false">IF(K691="","",IFERROR(INDEX(BARDAGE!$C$7:$C$1506,MATCH(K691,BARDAGE!$B$7:$B$1506,0)),"? hors registre"))</f>
        <v/>
      </c>
      <c r="M691" s="80"/>
      <c r="N691" s="81" t="str">
        <f aca="false">IF(M691="","",IFERROR(INDEX(BARDAGE!$C$7:$C$1506,MATCH(M691,BARDAGE!$B$7:$B$1506,0)),"? hors registre"))</f>
        <v/>
      </c>
      <c r="O691" s="80"/>
      <c r="P691" s="80"/>
      <c r="Q691" s="80"/>
      <c r="R691" s="82"/>
      <c r="S691" s="82"/>
      <c r="T691" s="80"/>
      <c r="U691" s="80"/>
      <c r="V691" s="82"/>
      <c r="W691" s="80"/>
      <c r="X691" s="80"/>
      <c r="Y691" s="80"/>
      <c r="Z691" s="80"/>
      <c r="AA691" s="82"/>
      <c r="AB691" s="80"/>
      <c r="AC691" s="80"/>
      <c r="AD691" s="80"/>
      <c r="AE691" s="80"/>
      <c r="AF691" s="82"/>
      <c r="AG691" s="80"/>
      <c r="AH691" s="80"/>
      <c r="AI691" s="82"/>
      <c r="AJ691" s="79"/>
      <c r="AK691" s="78" t="n">
        <f aca="false">IF(E691="","",(X691&lt;&gt;"")+(AC691&lt;&gt;"")+(AH691&lt;&gt;""))</f>
        <v>0</v>
      </c>
      <c r="AL691" s="81" t="str">
        <f aca="false">IF(AH691&lt;&gt;"",AH691,IF(AC691&lt;&gt;"",AC691,IF(X691&lt;&gt;"",X691,"")))</f>
        <v/>
      </c>
      <c r="AM691" s="83" t="str">
        <f aca="false">IF(E691="","",IF(R691="","À SOUDER",IF(U691="","VT EN ATTENTE",IF(U691="R","VT REJETÉ – À REPRENDRE",IF(AL691="","À RADIOGRAPHIER",IF(AL691="A","ACCEPTÉ",IF(AL691="NX","NX – RT À REFAIRE",IF(IF(AK691=1,Z691,IF(AK691=2,AE691,""))="A","RÉPARÉ – À RADIOGRAPHIER",IF(IF(AK691=1,Z691,IF(AK691=2,AE691,""))="R","VT REJETÉ – À REPRENDRE",IF(OR(AL691="CO",AL691="NT"),"COUPE – À RESOUDER","À RÉPARER"))))))))))</f>
        <v>À SOUDER</v>
      </c>
      <c r="AN691" s="81" t="str">
        <f aca="false">IF(AND(ISNUMBER(R691),OR(AM691="À RADIOGRAPHIER",AM691="RÉPARÉ – À RADIOGRAPHIER",AM691="NX – RT À REFAIRE",AM691="À RÉPARER",AM691="COUPE – À RESOUDER",AM691="VT REJETÉ – À REPRENDRE")),MAX(0,'PROGRAMME RT'!$C$4-R691),"")</f>
        <v/>
      </c>
      <c r="AO691" s="78" t="n">
        <f aca="false">IF(AND(OR(AM691="À RADIOGRAPHIER",AM691="RÉPARÉ – À RADIOGRAPHIER",AM691="NX – RT À REFAIRE"),OR('PROGRAMME RT'!$D$5="TOUTES",B691='PROGRAMME RT'!$D$5)),1,0)</f>
        <v>0</v>
      </c>
      <c r="AP691" s="78" t="str">
        <f aca="false">IF(AO691=1,SUM(AO$7:AO691),"")</f>
        <v/>
      </c>
      <c r="AQ691" s="78" t="n">
        <f aca="false">IF(AND(OR(X691="R",X691="NX",X691="NT",X691="CO"),OR('JOINTS DE RÉPARATION'!$D$5="TOUTES",B691='JOINTS DE RÉPARATION'!$D$5),OR('JOINTS DE RÉPARATION'!$L$4="TOUS",AM691&lt;&gt;"ACCEPTÉ")),1,0)</f>
        <v>0</v>
      </c>
      <c r="AR691" s="78" t="str">
        <f aca="false">IF(AQ691=1,SUM(AQ$7:AQ691),"")</f>
        <v/>
      </c>
    </row>
    <row r="692" customFormat="false" ht="15" hidden="false" customHeight="false" outlineLevel="0" collapsed="false">
      <c r="A692" s="78" t="n">
        <f aca="false">IF(E692="","",ROW()-6)</f>
        <v>686</v>
      </c>
      <c r="B692" s="79" t="s">
        <v>586</v>
      </c>
      <c r="C692" s="80"/>
      <c r="D692" s="80"/>
      <c r="E692" s="80" t="s">
        <v>303</v>
      </c>
      <c r="F692" s="80"/>
      <c r="G692" s="80" t="s">
        <v>106</v>
      </c>
      <c r="H692" s="80"/>
      <c r="I692" s="80"/>
      <c r="J692" s="80"/>
      <c r="K692" s="80"/>
      <c r="L692" s="81" t="str">
        <f aca="false">IF(K692="","",IFERROR(INDEX(BARDAGE!$C$7:$C$1506,MATCH(K692,BARDAGE!$B$7:$B$1506,0)),"? hors registre"))</f>
        <v/>
      </c>
      <c r="M692" s="80"/>
      <c r="N692" s="81" t="str">
        <f aca="false">IF(M692="","",IFERROR(INDEX(BARDAGE!$C$7:$C$1506,MATCH(M692,BARDAGE!$B$7:$B$1506,0)),"? hors registre"))</f>
        <v/>
      </c>
      <c r="O692" s="80"/>
      <c r="P692" s="80"/>
      <c r="Q692" s="80"/>
      <c r="R692" s="82"/>
      <c r="S692" s="82"/>
      <c r="T692" s="80"/>
      <c r="U692" s="80"/>
      <c r="V692" s="82"/>
      <c r="W692" s="80"/>
      <c r="X692" s="80"/>
      <c r="Y692" s="80"/>
      <c r="Z692" s="80"/>
      <c r="AA692" s="82"/>
      <c r="AB692" s="80"/>
      <c r="AC692" s="80"/>
      <c r="AD692" s="80"/>
      <c r="AE692" s="80"/>
      <c r="AF692" s="82"/>
      <c r="AG692" s="80"/>
      <c r="AH692" s="80"/>
      <c r="AI692" s="82"/>
      <c r="AJ692" s="79"/>
      <c r="AK692" s="78" t="n">
        <f aca="false">IF(E692="","",(X692&lt;&gt;"")+(AC692&lt;&gt;"")+(AH692&lt;&gt;""))</f>
        <v>0</v>
      </c>
      <c r="AL692" s="81" t="str">
        <f aca="false">IF(AH692&lt;&gt;"",AH692,IF(AC692&lt;&gt;"",AC692,IF(X692&lt;&gt;"",X692,"")))</f>
        <v/>
      </c>
      <c r="AM692" s="83" t="str">
        <f aca="false">IF(E692="","",IF(R692="","À SOUDER",IF(U692="","VT EN ATTENTE",IF(U692="R","VT REJETÉ – À REPRENDRE",IF(AL692="","À RADIOGRAPHIER",IF(AL692="A","ACCEPTÉ",IF(AL692="NX","NX – RT À REFAIRE",IF(IF(AK692=1,Z692,IF(AK692=2,AE692,""))="A","RÉPARÉ – À RADIOGRAPHIER",IF(IF(AK692=1,Z692,IF(AK692=2,AE692,""))="R","VT REJETÉ – À REPRENDRE",IF(OR(AL692="CO",AL692="NT"),"COUPE – À RESOUDER","À RÉPARER"))))))))))</f>
        <v>À SOUDER</v>
      </c>
      <c r="AN692" s="81" t="str">
        <f aca="false">IF(AND(ISNUMBER(R692),OR(AM692="À RADIOGRAPHIER",AM692="RÉPARÉ – À RADIOGRAPHIER",AM692="NX – RT À REFAIRE",AM692="À RÉPARER",AM692="COUPE – À RESOUDER",AM692="VT REJETÉ – À REPRENDRE")),MAX(0,'PROGRAMME RT'!$C$4-R692),"")</f>
        <v/>
      </c>
      <c r="AO692" s="78" t="n">
        <f aca="false">IF(AND(OR(AM692="À RADIOGRAPHIER",AM692="RÉPARÉ – À RADIOGRAPHIER",AM692="NX – RT À REFAIRE"),OR('PROGRAMME RT'!$D$5="TOUTES",B692='PROGRAMME RT'!$D$5)),1,0)</f>
        <v>0</v>
      </c>
      <c r="AP692" s="78" t="str">
        <f aca="false">IF(AO692=1,SUM(AO$7:AO692),"")</f>
        <v/>
      </c>
      <c r="AQ692" s="78" t="n">
        <f aca="false">IF(AND(OR(X692="R",X692="NX",X692="NT",X692="CO"),OR('JOINTS DE RÉPARATION'!$D$5="TOUTES",B692='JOINTS DE RÉPARATION'!$D$5),OR('JOINTS DE RÉPARATION'!$L$4="TOUS",AM692&lt;&gt;"ACCEPTÉ")),1,0)</f>
        <v>0</v>
      </c>
      <c r="AR692" s="78" t="str">
        <f aca="false">IF(AQ692=1,SUM(AQ$7:AQ692),"")</f>
        <v/>
      </c>
    </row>
    <row r="693" customFormat="false" ht="15" hidden="false" customHeight="false" outlineLevel="0" collapsed="false">
      <c r="A693" s="78" t="n">
        <f aca="false">IF(E693="","",ROW()-6)</f>
        <v>687</v>
      </c>
      <c r="B693" s="79" t="s">
        <v>586</v>
      </c>
      <c r="C693" s="80"/>
      <c r="D693" s="80"/>
      <c r="E693" s="80" t="s">
        <v>305</v>
      </c>
      <c r="F693" s="80"/>
      <c r="G693" s="80" t="s">
        <v>106</v>
      </c>
      <c r="H693" s="80"/>
      <c r="I693" s="80"/>
      <c r="J693" s="80"/>
      <c r="K693" s="80"/>
      <c r="L693" s="81" t="str">
        <f aca="false">IF(K693="","",IFERROR(INDEX(BARDAGE!$C$7:$C$1506,MATCH(K693,BARDAGE!$B$7:$B$1506,0)),"? hors registre"))</f>
        <v/>
      </c>
      <c r="M693" s="80"/>
      <c r="N693" s="81" t="str">
        <f aca="false">IF(M693="","",IFERROR(INDEX(BARDAGE!$C$7:$C$1506,MATCH(M693,BARDAGE!$B$7:$B$1506,0)),"? hors registre"))</f>
        <v/>
      </c>
      <c r="O693" s="80"/>
      <c r="P693" s="80"/>
      <c r="Q693" s="80"/>
      <c r="R693" s="82"/>
      <c r="S693" s="82"/>
      <c r="T693" s="80"/>
      <c r="U693" s="80"/>
      <c r="V693" s="82"/>
      <c r="W693" s="80"/>
      <c r="X693" s="80"/>
      <c r="Y693" s="80"/>
      <c r="Z693" s="80"/>
      <c r="AA693" s="82"/>
      <c r="AB693" s="80"/>
      <c r="AC693" s="80"/>
      <c r="AD693" s="80"/>
      <c r="AE693" s="80"/>
      <c r="AF693" s="82"/>
      <c r="AG693" s="80"/>
      <c r="AH693" s="80"/>
      <c r="AI693" s="82"/>
      <c r="AJ693" s="79"/>
      <c r="AK693" s="78" t="n">
        <f aca="false">IF(E693="","",(X693&lt;&gt;"")+(AC693&lt;&gt;"")+(AH693&lt;&gt;""))</f>
        <v>0</v>
      </c>
      <c r="AL693" s="81" t="str">
        <f aca="false">IF(AH693&lt;&gt;"",AH693,IF(AC693&lt;&gt;"",AC693,IF(X693&lt;&gt;"",X693,"")))</f>
        <v/>
      </c>
      <c r="AM693" s="83" t="str">
        <f aca="false">IF(E693="","",IF(R693="","À SOUDER",IF(U693="","VT EN ATTENTE",IF(U693="R","VT REJETÉ – À REPRENDRE",IF(AL693="","À RADIOGRAPHIER",IF(AL693="A","ACCEPTÉ",IF(AL693="NX","NX – RT À REFAIRE",IF(IF(AK693=1,Z693,IF(AK693=2,AE693,""))="A","RÉPARÉ – À RADIOGRAPHIER",IF(IF(AK693=1,Z693,IF(AK693=2,AE693,""))="R","VT REJETÉ – À REPRENDRE",IF(OR(AL693="CO",AL693="NT"),"COUPE – À RESOUDER","À RÉPARER"))))))))))</f>
        <v>À SOUDER</v>
      </c>
      <c r="AN693" s="81" t="str">
        <f aca="false">IF(AND(ISNUMBER(R693),OR(AM693="À RADIOGRAPHIER",AM693="RÉPARÉ – À RADIOGRAPHIER",AM693="NX – RT À REFAIRE",AM693="À RÉPARER",AM693="COUPE – À RESOUDER",AM693="VT REJETÉ – À REPRENDRE")),MAX(0,'PROGRAMME RT'!$C$4-R693),"")</f>
        <v/>
      </c>
      <c r="AO693" s="78" t="n">
        <f aca="false">IF(AND(OR(AM693="À RADIOGRAPHIER",AM693="RÉPARÉ – À RADIOGRAPHIER",AM693="NX – RT À REFAIRE"),OR('PROGRAMME RT'!$D$5="TOUTES",B693='PROGRAMME RT'!$D$5)),1,0)</f>
        <v>0</v>
      </c>
      <c r="AP693" s="78" t="str">
        <f aca="false">IF(AO693=1,SUM(AO$7:AO693),"")</f>
        <v/>
      </c>
      <c r="AQ693" s="78" t="n">
        <f aca="false">IF(AND(OR(X693="R",X693="NX",X693="NT",X693="CO"),OR('JOINTS DE RÉPARATION'!$D$5="TOUTES",B693='JOINTS DE RÉPARATION'!$D$5),OR('JOINTS DE RÉPARATION'!$L$4="TOUS",AM693&lt;&gt;"ACCEPTÉ")),1,0)</f>
        <v>0</v>
      </c>
      <c r="AR693" s="78" t="str">
        <f aca="false">IF(AQ693=1,SUM(AQ$7:AQ693),"")</f>
        <v/>
      </c>
    </row>
    <row r="694" customFormat="false" ht="15" hidden="false" customHeight="false" outlineLevel="0" collapsed="false">
      <c r="A694" s="78" t="n">
        <f aca="false">IF(E694="","",ROW()-6)</f>
        <v>688</v>
      </c>
      <c r="B694" s="79" t="s">
        <v>586</v>
      </c>
      <c r="C694" s="80"/>
      <c r="D694" s="80"/>
      <c r="E694" s="80" t="s">
        <v>307</v>
      </c>
      <c r="F694" s="80"/>
      <c r="G694" s="80" t="s">
        <v>106</v>
      </c>
      <c r="H694" s="80"/>
      <c r="I694" s="80"/>
      <c r="J694" s="80"/>
      <c r="K694" s="80"/>
      <c r="L694" s="81" t="str">
        <f aca="false">IF(K694="","",IFERROR(INDEX(BARDAGE!$C$7:$C$1506,MATCH(K694,BARDAGE!$B$7:$B$1506,0)),"? hors registre"))</f>
        <v/>
      </c>
      <c r="M694" s="80"/>
      <c r="N694" s="81" t="str">
        <f aca="false">IF(M694="","",IFERROR(INDEX(BARDAGE!$C$7:$C$1506,MATCH(M694,BARDAGE!$B$7:$B$1506,0)),"? hors registre"))</f>
        <v/>
      </c>
      <c r="O694" s="80"/>
      <c r="P694" s="80"/>
      <c r="Q694" s="80"/>
      <c r="R694" s="82"/>
      <c r="S694" s="82"/>
      <c r="T694" s="80"/>
      <c r="U694" s="80"/>
      <c r="V694" s="82"/>
      <c r="W694" s="80"/>
      <c r="X694" s="80"/>
      <c r="Y694" s="80"/>
      <c r="Z694" s="80"/>
      <c r="AA694" s="82"/>
      <c r="AB694" s="80"/>
      <c r="AC694" s="80"/>
      <c r="AD694" s="80"/>
      <c r="AE694" s="80"/>
      <c r="AF694" s="82"/>
      <c r="AG694" s="80"/>
      <c r="AH694" s="80"/>
      <c r="AI694" s="82"/>
      <c r="AJ694" s="79"/>
      <c r="AK694" s="78" t="n">
        <f aca="false">IF(E694="","",(X694&lt;&gt;"")+(AC694&lt;&gt;"")+(AH694&lt;&gt;""))</f>
        <v>0</v>
      </c>
      <c r="AL694" s="81" t="str">
        <f aca="false">IF(AH694&lt;&gt;"",AH694,IF(AC694&lt;&gt;"",AC694,IF(X694&lt;&gt;"",X694,"")))</f>
        <v/>
      </c>
      <c r="AM694" s="83" t="str">
        <f aca="false">IF(E694="","",IF(R694="","À SOUDER",IF(U694="","VT EN ATTENTE",IF(U694="R","VT REJETÉ – À REPRENDRE",IF(AL694="","À RADIOGRAPHIER",IF(AL694="A","ACCEPTÉ",IF(AL694="NX","NX – RT À REFAIRE",IF(IF(AK694=1,Z694,IF(AK694=2,AE694,""))="A","RÉPARÉ – À RADIOGRAPHIER",IF(IF(AK694=1,Z694,IF(AK694=2,AE694,""))="R","VT REJETÉ – À REPRENDRE",IF(OR(AL694="CO",AL694="NT"),"COUPE – À RESOUDER","À RÉPARER"))))))))))</f>
        <v>À SOUDER</v>
      </c>
      <c r="AN694" s="81" t="str">
        <f aca="false">IF(AND(ISNUMBER(R694),OR(AM694="À RADIOGRAPHIER",AM694="RÉPARÉ – À RADIOGRAPHIER",AM694="NX – RT À REFAIRE",AM694="À RÉPARER",AM694="COUPE – À RESOUDER",AM694="VT REJETÉ – À REPRENDRE")),MAX(0,'PROGRAMME RT'!$C$4-R694),"")</f>
        <v/>
      </c>
      <c r="AO694" s="78" t="n">
        <f aca="false">IF(AND(OR(AM694="À RADIOGRAPHIER",AM694="RÉPARÉ – À RADIOGRAPHIER",AM694="NX – RT À REFAIRE"),OR('PROGRAMME RT'!$D$5="TOUTES",B694='PROGRAMME RT'!$D$5)),1,0)</f>
        <v>0</v>
      </c>
      <c r="AP694" s="78" t="str">
        <f aca="false">IF(AO694=1,SUM(AO$7:AO694),"")</f>
        <v/>
      </c>
      <c r="AQ694" s="78" t="n">
        <f aca="false">IF(AND(OR(X694="R",X694="NX",X694="NT",X694="CO"),OR('JOINTS DE RÉPARATION'!$D$5="TOUTES",B694='JOINTS DE RÉPARATION'!$D$5),OR('JOINTS DE RÉPARATION'!$L$4="TOUS",AM694&lt;&gt;"ACCEPTÉ")),1,0)</f>
        <v>0</v>
      </c>
      <c r="AR694" s="78" t="str">
        <f aca="false">IF(AQ694=1,SUM(AQ$7:AQ694),"")</f>
        <v/>
      </c>
    </row>
    <row r="695" customFormat="false" ht="15" hidden="false" customHeight="false" outlineLevel="0" collapsed="false">
      <c r="A695" s="78" t="n">
        <f aca="false">IF(E695="","",ROW()-6)</f>
        <v>689</v>
      </c>
      <c r="B695" s="79" t="s">
        <v>586</v>
      </c>
      <c r="C695" s="80"/>
      <c r="D695" s="80"/>
      <c r="E695" s="80" t="s">
        <v>309</v>
      </c>
      <c r="F695" s="80"/>
      <c r="G695" s="80" t="s">
        <v>106</v>
      </c>
      <c r="H695" s="80"/>
      <c r="I695" s="80"/>
      <c r="J695" s="80"/>
      <c r="K695" s="80"/>
      <c r="L695" s="81" t="str">
        <f aca="false">IF(K695="","",IFERROR(INDEX(BARDAGE!$C$7:$C$1506,MATCH(K695,BARDAGE!$B$7:$B$1506,0)),"? hors registre"))</f>
        <v/>
      </c>
      <c r="M695" s="80"/>
      <c r="N695" s="81" t="str">
        <f aca="false">IF(M695="","",IFERROR(INDEX(BARDAGE!$C$7:$C$1506,MATCH(M695,BARDAGE!$B$7:$B$1506,0)),"? hors registre"))</f>
        <v/>
      </c>
      <c r="O695" s="80"/>
      <c r="P695" s="80"/>
      <c r="Q695" s="80"/>
      <c r="R695" s="82"/>
      <c r="S695" s="82"/>
      <c r="T695" s="80"/>
      <c r="U695" s="80"/>
      <c r="V695" s="82"/>
      <c r="W695" s="80"/>
      <c r="X695" s="80"/>
      <c r="Y695" s="80"/>
      <c r="Z695" s="80"/>
      <c r="AA695" s="82"/>
      <c r="AB695" s="80"/>
      <c r="AC695" s="80"/>
      <c r="AD695" s="80"/>
      <c r="AE695" s="80"/>
      <c r="AF695" s="82"/>
      <c r="AG695" s="80"/>
      <c r="AH695" s="80"/>
      <c r="AI695" s="82"/>
      <c r="AJ695" s="79"/>
      <c r="AK695" s="78" t="n">
        <f aca="false">IF(E695="","",(X695&lt;&gt;"")+(AC695&lt;&gt;"")+(AH695&lt;&gt;""))</f>
        <v>0</v>
      </c>
      <c r="AL695" s="81" t="str">
        <f aca="false">IF(AH695&lt;&gt;"",AH695,IF(AC695&lt;&gt;"",AC695,IF(X695&lt;&gt;"",X695,"")))</f>
        <v/>
      </c>
      <c r="AM695" s="83" t="str">
        <f aca="false">IF(E695="","",IF(R695="","À SOUDER",IF(U695="","VT EN ATTENTE",IF(U695="R","VT REJETÉ – À REPRENDRE",IF(AL695="","À RADIOGRAPHIER",IF(AL695="A","ACCEPTÉ",IF(AL695="NX","NX – RT À REFAIRE",IF(IF(AK695=1,Z695,IF(AK695=2,AE695,""))="A","RÉPARÉ – À RADIOGRAPHIER",IF(IF(AK695=1,Z695,IF(AK695=2,AE695,""))="R","VT REJETÉ – À REPRENDRE",IF(OR(AL695="CO",AL695="NT"),"COUPE – À RESOUDER","À RÉPARER"))))))))))</f>
        <v>À SOUDER</v>
      </c>
      <c r="AN695" s="81" t="str">
        <f aca="false">IF(AND(ISNUMBER(R695),OR(AM695="À RADIOGRAPHIER",AM695="RÉPARÉ – À RADIOGRAPHIER",AM695="NX – RT À REFAIRE",AM695="À RÉPARER",AM695="COUPE – À RESOUDER",AM695="VT REJETÉ – À REPRENDRE")),MAX(0,'PROGRAMME RT'!$C$4-R695),"")</f>
        <v/>
      </c>
      <c r="AO695" s="78" t="n">
        <f aca="false">IF(AND(OR(AM695="À RADIOGRAPHIER",AM695="RÉPARÉ – À RADIOGRAPHIER",AM695="NX – RT À REFAIRE"),OR('PROGRAMME RT'!$D$5="TOUTES",B695='PROGRAMME RT'!$D$5)),1,0)</f>
        <v>0</v>
      </c>
      <c r="AP695" s="78" t="str">
        <f aca="false">IF(AO695=1,SUM(AO$7:AO695),"")</f>
        <v/>
      </c>
      <c r="AQ695" s="78" t="n">
        <f aca="false">IF(AND(OR(X695="R",X695="NX",X695="NT",X695="CO"),OR('JOINTS DE RÉPARATION'!$D$5="TOUTES",B695='JOINTS DE RÉPARATION'!$D$5),OR('JOINTS DE RÉPARATION'!$L$4="TOUS",AM695&lt;&gt;"ACCEPTÉ")),1,0)</f>
        <v>0</v>
      </c>
      <c r="AR695" s="78" t="str">
        <f aca="false">IF(AQ695=1,SUM(AQ$7:AQ695),"")</f>
        <v/>
      </c>
    </row>
    <row r="696" customFormat="false" ht="15" hidden="false" customHeight="false" outlineLevel="0" collapsed="false">
      <c r="A696" s="78" t="n">
        <f aca="false">IF(E696="","",ROW()-6)</f>
        <v>690</v>
      </c>
      <c r="B696" s="79" t="s">
        <v>586</v>
      </c>
      <c r="C696" s="80"/>
      <c r="D696" s="80"/>
      <c r="E696" s="80" t="s">
        <v>311</v>
      </c>
      <c r="F696" s="80"/>
      <c r="G696" s="80" t="s">
        <v>106</v>
      </c>
      <c r="H696" s="80"/>
      <c r="I696" s="80"/>
      <c r="J696" s="80"/>
      <c r="K696" s="80"/>
      <c r="L696" s="81" t="str">
        <f aca="false">IF(K696="","",IFERROR(INDEX(BARDAGE!$C$7:$C$1506,MATCH(K696,BARDAGE!$B$7:$B$1506,0)),"? hors registre"))</f>
        <v/>
      </c>
      <c r="M696" s="80"/>
      <c r="N696" s="81" t="str">
        <f aca="false">IF(M696="","",IFERROR(INDEX(BARDAGE!$C$7:$C$1506,MATCH(M696,BARDAGE!$B$7:$B$1506,0)),"? hors registre"))</f>
        <v/>
      </c>
      <c r="O696" s="80"/>
      <c r="P696" s="80"/>
      <c r="Q696" s="80"/>
      <c r="R696" s="82"/>
      <c r="S696" s="82"/>
      <c r="T696" s="80"/>
      <c r="U696" s="80"/>
      <c r="V696" s="82"/>
      <c r="W696" s="80"/>
      <c r="X696" s="80"/>
      <c r="Y696" s="80"/>
      <c r="Z696" s="80"/>
      <c r="AA696" s="82"/>
      <c r="AB696" s="80"/>
      <c r="AC696" s="80"/>
      <c r="AD696" s="80"/>
      <c r="AE696" s="80"/>
      <c r="AF696" s="82"/>
      <c r="AG696" s="80"/>
      <c r="AH696" s="80"/>
      <c r="AI696" s="82"/>
      <c r="AJ696" s="79"/>
      <c r="AK696" s="78" t="n">
        <f aca="false">IF(E696="","",(X696&lt;&gt;"")+(AC696&lt;&gt;"")+(AH696&lt;&gt;""))</f>
        <v>0</v>
      </c>
      <c r="AL696" s="81" t="str">
        <f aca="false">IF(AH696&lt;&gt;"",AH696,IF(AC696&lt;&gt;"",AC696,IF(X696&lt;&gt;"",X696,"")))</f>
        <v/>
      </c>
      <c r="AM696" s="83" t="str">
        <f aca="false">IF(E696="","",IF(R696="","À SOUDER",IF(U696="","VT EN ATTENTE",IF(U696="R","VT REJETÉ – À REPRENDRE",IF(AL696="","À RADIOGRAPHIER",IF(AL696="A","ACCEPTÉ",IF(AL696="NX","NX – RT À REFAIRE",IF(IF(AK696=1,Z696,IF(AK696=2,AE696,""))="A","RÉPARÉ – À RADIOGRAPHIER",IF(IF(AK696=1,Z696,IF(AK696=2,AE696,""))="R","VT REJETÉ – À REPRENDRE",IF(OR(AL696="CO",AL696="NT"),"COUPE – À RESOUDER","À RÉPARER"))))))))))</f>
        <v>À SOUDER</v>
      </c>
      <c r="AN696" s="81" t="str">
        <f aca="false">IF(AND(ISNUMBER(R696),OR(AM696="À RADIOGRAPHIER",AM696="RÉPARÉ – À RADIOGRAPHIER",AM696="NX – RT À REFAIRE",AM696="À RÉPARER",AM696="COUPE – À RESOUDER",AM696="VT REJETÉ – À REPRENDRE")),MAX(0,'PROGRAMME RT'!$C$4-R696),"")</f>
        <v/>
      </c>
      <c r="AO696" s="78" t="n">
        <f aca="false">IF(AND(OR(AM696="À RADIOGRAPHIER",AM696="RÉPARÉ – À RADIOGRAPHIER",AM696="NX – RT À REFAIRE"),OR('PROGRAMME RT'!$D$5="TOUTES",B696='PROGRAMME RT'!$D$5)),1,0)</f>
        <v>0</v>
      </c>
      <c r="AP696" s="78" t="str">
        <f aca="false">IF(AO696=1,SUM(AO$7:AO696),"")</f>
        <v/>
      </c>
      <c r="AQ696" s="78" t="n">
        <f aca="false">IF(AND(OR(X696="R",X696="NX",X696="NT",X696="CO"),OR('JOINTS DE RÉPARATION'!$D$5="TOUTES",B696='JOINTS DE RÉPARATION'!$D$5),OR('JOINTS DE RÉPARATION'!$L$4="TOUS",AM696&lt;&gt;"ACCEPTÉ")),1,0)</f>
        <v>0</v>
      </c>
      <c r="AR696" s="78" t="str">
        <f aca="false">IF(AQ696=1,SUM(AQ$7:AQ696),"")</f>
        <v/>
      </c>
    </row>
    <row r="697" customFormat="false" ht="15" hidden="false" customHeight="false" outlineLevel="0" collapsed="false">
      <c r="A697" s="78" t="n">
        <f aca="false">IF(E697="","",ROW()-6)</f>
        <v>691</v>
      </c>
      <c r="B697" s="79" t="s">
        <v>586</v>
      </c>
      <c r="C697" s="80"/>
      <c r="D697" s="80"/>
      <c r="E697" s="80" t="s">
        <v>313</v>
      </c>
      <c r="F697" s="80"/>
      <c r="G697" s="80" t="s">
        <v>106</v>
      </c>
      <c r="H697" s="80"/>
      <c r="I697" s="80"/>
      <c r="J697" s="80"/>
      <c r="K697" s="80"/>
      <c r="L697" s="81" t="str">
        <f aca="false">IF(K697="","",IFERROR(INDEX(BARDAGE!$C$7:$C$1506,MATCH(K697,BARDAGE!$B$7:$B$1506,0)),"? hors registre"))</f>
        <v/>
      </c>
      <c r="M697" s="80"/>
      <c r="N697" s="81" t="str">
        <f aca="false">IF(M697="","",IFERROR(INDEX(BARDAGE!$C$7:$C$1506,MATCH(M697,BARDAGE!$B$7:$B$1506,0)),"? hors registre"))</f>
        <v/>
      </c>
      <c r="O697" s="80"/>
      <c r="P697" s="80"/>
      <c r="Q697" s="80"/>
      <c r="R697" s="82"/>
      <c r="S697" s="82"/>
      <c r="T697" s="80"/>
      <c r="U697" s="80"/>
      <c r="V697" s="82"/>
      <c r="W697" s="80"/>
      <c r="X697" s="80"/>
      <c r="Y697" s="80"/>
      <c r="Z697" s="80"/>
      <c r="AA697" s="82"/>
      <c r="AB697" s="80"/>
      <c r="AC697" s="80"/>
      <c r="AD697" s="80"/>
      <c r="AE697" s="80"/>
      <c r="AF697" s="82"/>
      <c r="AG697" s="80"/>
      <c r="AH697" s="80"/>
      <c r="AI697" s="82"/>
      <c r="AJ697" s="79"/>
      <c r="AK697" s="78" t="n">
        <f aca="false">IF(E697="","",(X697&lt;&gt;"")+(AC697&lt;&gt;"")+(AH697&lt;&gt;""))</f>
        <v>0</v>
      </c>
      <c r="AL697" s="81" t="str">
        <f aca="false">IF(AH697&lt;&gt;"",AH697,IF(AC697&lt;&gt;"",AC697,IF(X697&lt;&gt;"",X697,"")))</f>
        <v/>
      </c>
      <c r="AM697" s="83" t="str">
        <f aca="false">IF(E697="","",IF(R697="","À SOUDER",IF(U697="","VT EN ATTENTE",IF(U697="R","VT REJETÉ – À REPRENDRE",IF(AL697="","À RADIOGRAPHIER",IF(AL697="A","ACCEPTÉ",IF(AL697="NX","NX – RT À REFAIRE",IF(IF(AK697=1,Z697,IF(AK697=2,AE697,""))="A","RÉPARÉ – À RADIOGRAPHIER",IF(IF(AK697=1,Z697,IF(AK697=2,AE697,""))="R","VT REJETÉ – À REPRENDRE",IF(OR(AL697="CO",AL697="NT"),"COUPE – À RESOUDER","À RÉPARER"))))))))))</f>
        <v>À SOUDER</v>
      </c>
      <c r="AN697" s="81" t="str">
        <f aca="false">IF(AND(ISNUMBER(R697),OR(AM697="À RADIOGRAPHIER",AM697="RÉPARÉ – À RADIOGRAPHIER",AM697="NX – RT À REFAIRE",AM697="À RÉPARER",AM697="COUPE – À RESOUDER",AM697="VT REJETÉ – À REPRENDRE")),MAX(0,'PROGRAMME RT'!$C$4-R697),"")</f>
        <v/>
      </c>
      <c r="AO697" s="78" t="n">
        <f aca="false">IF(AND(OR(AM697="À RADIOGRAPHIER",AM697="RÉPARÉ – À RADIOGRAPHIER",AM697="NX – RT À REFAIRE"),OR('PROGRAMME RT'!$D$5="TOUTES",B697='PROGRAMME RT'!$D$5)),1,0)</f>
        <v>0</v>
      </c>
      <c r="AP697" s="78" t="str">
        <f aca="false">IF(AO697=1,SUM(AO$7:AO697),"")</f>
        <v/>
      </c>
      <c r="AQ697" s="78" t="n">
        <f aca="false">IF(AND(OR(X697="R",X697="NX",X697="NT",X697="CO"),OR('JOINTS DE RÉPARATION'!$D$5="TOUTES",B697='JOINTS DE RÉPARATION'!$D$5),OR('JOINTS DE RÉPARATION'!$L$4="TOUS",AM697&lt;&gt;"ACCEPTÉ")),1,0)</f>
        <v>0</v>
      </c>
      <c r="AR697" s="78" t="str">
        <f aca="false">IF(AQ697=1,SUM(AQ$7:AQ697),"")</f>
        <v/>
      </c>
    </row>
    <row r="698" customFormat="false" ht="15" hidden="false" customHeight="false" outlineLevel="0" collapsed="false">
      <c r="A698" s="78" t="n">
        <f aca="false">IF(E698="","",ROW()-6)</f>
        <v>692</v>
      </c>
      <c r="B698" s="79" t="s">
        <v>586</v>
      </c>
      <c r="C698" s="80"/>
      <c r="D698" s="80"/>
      <c r="E698" s="80" t="s">
        <v>316</v>
      </c>
      <c r="F698" s="80"/>
      <c r="G698" s="80" t="s">
        <v>106</v>
      </c>
      <c r="H698" s="80"/>
      <c r="I698" s="80"/>
      <c r="J698" s="80"/>
      <c r="K698" s="80"/>
      <c r="L698" s="81" t="str">
        <f aca="false">IF(K698="","",IFERROR(INDEX(BARDAGE!$C$7:$C$1506,MATCH(K698,BARDAGE!$B$7:$B$1506,0)),"? hors registre"))</f>
        <v/>
      </c>
      <c r="M698" s="80"/>
      <c r="N698" s="81" t="str">
        <f aca="false">IF(M698="","",IFERROR(INDEX(BARDAGE!$C$7:$C$1506,MATCH(M698,BARDAGE!$B$7:$B$1506,0)),"? hors registre"))</f>
        <v/>
      </c>
      <c r="O698" s="80"/>
      <c r="P698" s="80"/>
      <c r="Q698" s="80"/>
      <c r="R698" s="82"/>
      <c r="S698" s="82"/>
      <c r="T698" s="80"/>
      <c r="U698" s="80"/>
      <c r="V698" s="82"/>
      <c r="W698" s="80"/>
      <c r="X698" s="80"/>
      <c r="Y698" s="80"/>
      <c r="Z698" s="80"/>
      <c r="AA698" s="82"/>
      <c r="AB698" s="80"/>
      <c r="AC698" s="80"/>
      <c r="AD698" s="80"/>
      <c r="AE698" s="80"/>
      <c r="AF698" s="82"/>
      <c r="AG698" s="80"/>
      <c r="AH698" s="80"/>
      <c r="AI698" s="82"/>
      <c r="AJ698" s="79"/>
      <c r="AK698" s="78" t="n">
        <f aca="false">IF(E698="","",(X698&lt;&gt;"")+(AC698&lt;&gt;"")+(AH698&lt;&gt;""))</f>
        <v>0</v>
      </c>
      <c r="AL698" s="81" t="str">
        <f aca="false">IF(AH698&lt;&gt;"",AH698,IF(AC698&lt;&gt;"",AC698,IF(X698&lt;&gt;"",X698,"")))</f>
        <v/>
      </c>
      <c r="AM698" s="83" t="str">
        <f aca="false">IF(E698="","",IF(R698="","À SOUDER",IF(U698="","VT EN ATTENTE",IF(U698="R","VT REJETÉ – À REPRENDRE",IF(AL698="","À RADIOGRAPHIER",IF(AL698="A","ACCEPTÉ",IF(AL698="NX","NX – RT À REFAIRE",IF(IF(AK698=1,Z698,IF(AK698=2,AE698,""))="A","RÉPARÉ – À RADIOGRAPHIER",IF(IF(AK698=1,Z698,IF(AK698=2,AE698,""))="R","VT REJETÉ – À REPRENDRE",IF(OR(AL698="CO",AL698="NT"),"COUPE – À RESOUDER","À RÉPARER"))))))))))</f>
        <v>À SOUDER</v>
      </c>
      <c r="AN698" s="81" t="str">
        <f aca="false">IF(AND(ISNUMBER(R698),OR(AM698="À RADIOGRAPHIER",AM698="RÉPARÉ – À RADIOGRAPHIER",AM698="NX – RT À REFAIRE",AM698="À RÉPARER",AM698="COUPE – À RESOUDER",AM698="VT REJETÉ – À REPRENDRE")),MAX(0,'PROGRAMME RT'!$C$4-R698),"")</f>
        <v/>
      </c>
      <c r="AO698" s="78" t="n">
        <f aca="false">IF(AND(OR(AM698="À RADIOGRAPHIER",AM698="RÉPARÉ – À RADIOGRAPHIER",AM698="NX – RT À REFAIRE"),OR('PROGRAMME RT'!$D$5="TOUTES",B698='PROGRAMME RT'!$D$5)),1,0)</f>
        <v>0</v>
      </c>
      <c r="AP698" s="78" t="str">
        <f aca="false">IF(AO698=1,SUM(AO$7:AO698),"")</f>
        <v/>
      </c>
      <c r="AQ698" s="78" t="n">
        <f aca="false">IF(AND(OR(X698="R",X698="NX",X698="NT",X698="CO"),OR('JOINTS DE RÉPARATION'!$D$5="TOUTES",B698='JOINTS DE RÉPARATION'!$D$5),OR('JOINTS DE RÉPARATION'!$L$4="TOUS",AM698&lt;&gt;"ACCEPTÉ")),1,0)</f>
        <v>0</v>
      </c>
      <c r="AR698" s="78" t="str">
        <f aca="false">IF(AQ698=1,SUM(AQ$7:AQ698),"")</f>
        <v/>
      </c>
    </row>
    <row r="699" customFormat="false" ht="15" hidden="false" customHeight="false" outlineLevel="0" collapsed="false">
      <c r="A699" s="78" t="n">
        <f aca="false">IF(E699="","",ROW()-6)</f>
        <v>693</v>
      </c>
      <c r="B699" s="79" t="s">
        <v>586</v>
      </c>
      <c r="C699" s="80"/>
      <c r="D699" s="80"/>
      <c r="E699" s="80" t="s">
        <v>319</v>
      </c>
      <c r="F699" s="80"/>
      <c r="G699" s="80" t="s">
        <v>106</v>
      </c>
      <c r="H699" s="80"/>
      <c r="I699" s="80"/>
      <c r="J699" s="80"/>
      <c r="K699" s="80"/>
      <c r="L699" s="81" t="str">
        <f aca="false">IF(K699="","",IFERROR(INDEX(BARDAGE!$C$7:$C$1506,MATCH(K699,BARDAGE!$B$7:$B$1506,0)),"? hors registre"))</f>
        <v/>
      </c>
      <c r="M699" s="80"/>
      <c r="N699" s="81" t="str">
        <f aca="false">IF(M699="","",IFERROR(INDEX(BARDAGE!$C$7:$C$1506,MATCH(M699,BARDAGE!$B$7:$B$1506,0)),"? hors registre"))</f>
        <v/>
      </c>
      <c r="O699" s="80"/>
      <c r="P699" s="80"/>
      <c r="Q699" s="80"/>
      <c r="R699" s="82"/>
      <c r="S699" s="82"/>
      <c r="T699" s="80"/>
      <c r="U699" s="80"/>
      <c r="V699" s="82"/>
      <c r="W699" s="80"/>
      <c r="X699" s="80"/>
      <c r="Y699" s="80"/>
      <c r="Z699" s="80"/>
      <c r="AA699" s="82"/>
      <c r="AB699" s="80"/>
      <c r="AC699" s="80"/>
      <c r="AD699" s="80"/>
      <c r="AE699" s="80"/>
      <c r="AF699" s="82"/>
      <c r="AG699" s="80"/>
      <c r="AH699" s="80"/>
      <c r="AI699" s="82"/>
      <c r="AJ699" s="79"/>
      <c r="AK699" s="78" t="n">
        <f aca="false">IF(E699="","",(X699&lt;&gt;"")+(AC699&lt;&gt;"")+(AH699&lt;&gt;""))</f>
        <v>0</v>
      </c>
      <c r="AL699" s="81" t="str">
        <f aca="false">IF(AH699&lt;&gt;"",AH699,IF(AC699&lt;&gt;"",AC699,IF(X699&lt;&gt;"",X699,"")))</f>
        <v/>
      </c>
      <c r="AM699" s="83" t="str">
        <f aca="false">IF(E699="","",IF(R699="","À SOUDER",IF(U699="","VT EN ATTENTE",IF(U699="R","VT REJETÉ – À REPRENDRE",IF(AL699="","À RADIOGRAPHIER",IF(AL699="A","ACCEPTÉ",IF(AL699="NX","NX – RT À REFAIRE",IF(IF(AK699=1,Z699,IF(AK699=2,AE699,""))="A","RÉPARÉ – À RADIOGRAPHIER",IF(IF(AK699=1,Z699,IF(AK699=2,AE699,""))="R","VT REJETÉ – À REPRENDRE",IF(OR(AL699="CO",AL699="NT"),"COUPE – À RESOUDER","À RÉPARER"))))))))))</f>
        <v>À SOUDER</v>
      </c>
      <c r="AN699" s="81" t="str">
        <f aca="false">IF(AND(ISNUMBER(R699),OR(AM699="À RADIOGRAPHIER",AM699="RÉPARÉ – À RADIOGRAPHIER",AM699="NX – RT À REFAIRE",AM699="À RÉPARER",AM699="COUPE – À RESOUDER",AM699="VT REJETÉ – À REPRENDRE")),MAX(0,'PROGRAMME RT'!$C$4-R699),"")</f>
        <v/>
      </c>
      <c r="AO699" s="78" t="n">
        <f aca="false">IF(AND(OR(AM699="À RADIOGRAPHIER",AM699="RÉPARÉ – À RADIOGRAPHIER",AM699="NX – RT À REFAIRE"),OR('PROGRAMME RT'!$D$5="TOUTES",B699='PROGRAMME RT'!$D$5)),1,0)</f>
        <v>0</v>
      </c>
      <c r="AP699" s="78" t="str">
        <f aca="false">IF(AO699=1,SUM(AO$7:AO699),"")</f>
        <v/>
      </c>
      <c r="AQ699" s="78" t="n">
        <f aca="false">IF(AND(OR(X699="R",X699="NX",X699="NT",X699="CO"),OR('JOINTS DE RÉPARATION'!$D$5="TOUTES",B699='JOINTS DE RÉPARATION'!$D$5),OR('JOINTS DE RÉPARATION'!$L$4="TOUS",AM699&lt;&gt;"ACCEPTÉ")),1,0)</f>
        <v>0</v>
      </c>
      <c r="AR699" s="78" t="str">
        <f aca="false">IF(AQ699=1,SUM(AQ$7:AQ699),"")</f>
        <v/>
      </c>
    </row>
    <row r="700" customFormat="false" ht="15" hidden="false" customHeight="false" outlineLevel="0" collapsed="false">
      <c r="A700" s="78" t="n">
        <f aca="false">IF(E700="","",ROW()-6)</f>
        <v>694</v>
      </c>
      <c r="B700" s="79" t="s">
        <v>586</v>
      </c>
      <c r="C700" s="80"/>
      <c r="D700" s="80"/>
      <c r="E700" s="80" t="s">
        <v>322</v>
      </c>
      <c r="F700" s="80"/>
      <c r="G700" s="80" t="s">
        <v>106</v>
      </c>
      <c r="H700" s="80"/>
      <c r="I700" s="80"/>
      <c r="J700" s="80"/>
      <c r="K700" s="80"/>
      <c r="L700" s="81" t="str">
        <f aca="false">IF(K700="","",IFERROR(INDEX(BARDAGE!$C$7:$C$1506,MATCH(K700,BARDAGE!$B$7:$B$1506,0)),"? hors registre"))</f>
        <v/>
      </c>
      <c r="M700" s="80"/>
      <c r="N700" s="81" t="str">
        <f aca="false">IF(M700="","",IFERROR(INDEX(BARDAGE!$C$7:$C$1506,MATCH(M700,BARDAGE!$B$7:$B$1506,0)),"? hors registre"))</f>
        <v/>
      </c>
      <c r="O700" s="80"/>
      <c r="P700" s="80"/>
      <c r="Q700" s="80"/>
      <c r="R700" s="82"/>
      <c r="S700" s="82"/>
      <c r="T700" s="80"/>
      <c r="U700" s="80"/>
      <c r="V700" s="82"/>
      <c r="W700" s="80"/>
      <c r="X700" s="80"/>
      <c r="Y700" s="80"/>
      <c r="Z700" s="80"/>
      <c r="AA700" s="82"/>
      <c r="AB700" s="80"/>
      <c r="AC700" s="80"/>
      <c r="AD700" s="80"/>
      <c r="AE700" s="80"/>
      <c r="AF700" s="82"/>
      <c r="AG700" s="80"/>
      <c r="AH700" s="80"/>
      <c r="AI700" s="82"/>
      <c r="AJ700" s="79"/>
      <c r="AK700" s="78" t="n">
        <f aca="false">IF(E700="","",(X700&lt;&gt;"")+(AC700&lt;&gt;"")+(AH700&lt;&gt;""))</f>
        <v>0</v>
      </c>
      <c r="AL700" s="81" t="str">
        <f aca="false">IF(AH700&lt;&gt;"",AH700,IF(AC700&lt;&gt;"",AC700,IF(X700&lt;&gt;"",X700,"")))</f>
        <v/>
      </c>
      <c r="AM700" s="83" t="str">
        <f aca="false">IF(E700="","",IF(R700="","À SOUDER",IF(U700="","VT EN ATTENTE",IF(U700="R","VT REJETÉ – À REPRENDRE",IF(AL700="","À RADIOGRAPHIER",IF(AL700="A","ACCEPTÉ",IF(AL700="NX","NX – RT À REFAIRE",IF(IF(AK700=1,Z700,IF(AK700=2,AE700,""))="A","RÉPARÉ – À RADIOGRAPHIER",IF(IF(AK700=1,Z700,IF(AK700=2,AE700,""))="R","VT REJETÉ – À REPRENDRE",IF(OR(AL700="CO",AL700="NT"),"COUPE – À RESOUDER","À RÉPARER"))))))))))</f>
        <v>À SOUDER</v>
      </c>
      <c r="AN700" s="81" t="str">
        <f aca="false">IF(AND(ISNUMBER(R700),OR(AM700="À RADIOGRAPHIER",AM700="RÉPARÉ – À RADIOGRAPHIER",AM700="NX – RT À REFAIRE",AM700="À RÉPARER",AM700="COUPE – À RESOUDER",AM700="VT REJETÉ – À REPRENDRE")),MAX(0,'PROGRAMME RT'!$C$4-R700),"")</f>
        <v/>
      </c>
      <c r="AO700" s="78" t="n">
        <f aca="false">IF(AND(OR(AM700="À RADIOGRAPHIER",AM700="RÉPARÉ – À RADIOGRAPHIER",AM700="NX – RT À REFAIRE"),OR('PROGRAMME RT'!$D$5="TOUTES",B700='PROGRAMME RT'!$D$5)),1,0)</f>
        <v>0</v>
      </c>
      <c r="AP700" s="78" t="str">
        <f aca="false">IF(AO700=1,SUM(AO$7:AO700),"")</f>
        <v/>
      </c>
      <c r="AQ700" s="78" t="n">
        <f aca="false">IF(AND(OR(X700="R",X700="NX",X700="NT",X700="CO"),OR('JOINTS DE RÉPARATION'!$D$5="TOUTES",B700='JOINTS DE RÉPARATION'!$D$5),OR('JOINTS DE RÉPARATION'!$L$4="TOUS",AM700&lt;&gt;"ACCEPTÉ")),1,0)</f>
        <v>0</v>
      </c>
      <c r="AR700" s="78" t="str">
        <f aca="false">IF(AQ700=1,SUM(AQ$7:AQ700),"")</f>
        <v/>
      </c>
    </row>
    <row r="701" customFormat="false" ht="15" hidden="false" customHeight="false" outlineLevel="0" collapsed="false">
      <c r="A701" s="78" t="n">
        <f aca="false">IF(E701="","",ROW()-6)</f>
        <v>695</v>
      </c>
      <c r="B701" s="79" t="s">
        <v>586</v>
      </c>
      <c r="C701" s="80"/>
      <c r="D701" s="80"/>
      <c r="E701" s="80" t="s">
        <v>324</v>
      </c>
      <c r="F701" s="80"/>
      <c r="G701" s="80" t="s">
        <v>106</v>
      </c>
      <c r="H701" s="80"/>
      <c r="I701" s="80"/>
      <c r="J701" s="80"/>
      <c r="K701" s="80"/>
      <c r="L701" s="81" t="str">
        <f aca="false">IF(K701="","",IFERROR(INDEX(BARDAGE!$C$7:$C$1506,MATCH(K701,BARDAGE!$B$7:$B$1506,0)),"? hors registre"))</f>
        <v/>
      </c>
      <c r="M701" s="80"/>
      <c r="N701" s="81" t="str">
        <f aca="false">IF(M701="","",IFERROR(INDEX(BARDAGE!$C$7:$C$1506,MATCH(M701,BARDAGE!$B$7:$B$1506,0)),"? hors registre"))</f>
        <v/>
      </c>
      <c r="O701" s="80"/>
      <c r="P701" s="80"/>
      <c r="Q701" s="80"/>
      <c r="R701" s="82"/>
      <c r="S701" s="82"/>
      <c r="T701" s="80"/>
      <c r="U701" s="80"/>
      <c r="V701" s="82"/>
      <c r="W701" s="80"/>
      <c r="X701" s="80"/>
      <c r="Y701" s="80"/>
      <c r="Z701" s="80"/>
      <c r="AA701" s="82"/>
      <c r="AB701" s="80"/>
      <c r="AC701" s="80"/>
      <c r="AD701" s="80"/>
      <c r="AE701" s="80"/>
      <c r="AF701" s="82"/>
      <c r="AG701" s="80"/>
      <c r="AH701" s="80"/>
      <c r="AI701" s="82"/>
      <c r="AJ701" s="79"/>
      <c r="AK701" s="78" t="n">
        <f aca="false">IF(E701="","",(X701&lt;&gt;"")+(AC701&lt;&gt;"")+(AH701&lt;&gt;""))</f>
        <v>0</v>
      </c>
      <c r="AL701" s="81" t="str">
        <f aca="false">IF(AH701&lt;&gt;"",AH701,IF(AC701&lt;&gt;"",AC701,IF(X701&lt;&gt;"",X701,"")))</f>
        <v/>
      </c>
      <c r="AM701" s="83" t="str">
        <f aca="false">IF(E701="","",IF(R701="","À SOUDER",IF(U701="","VT EN ATTENTE",IF(U701="R","VT REJETÉ – À REPRENDRE",IF(AL701="","À RADIOGRAPHIER",IF(AL701="A","ACCEPTÉ",IF(AL701="NX","NX – RT À REFAIRE",IF(IF(AK701=1,Z701,IF(AK701=2,AE701,""))="A","RÉPARÉ – À RADIOGRAPHIER",IF(IF(AK701=1,Z701,IF(AK701=2,AE701,""))="R","VT REJETÉ – À REPRENDRE",IF(OR(AL701="CO",AL701="NT"),"COUPE – À RESOUDER","À RÉPARER"))))))))))</f>
        <v>À SOUDER</v>
      </c>
      <c r="AN701" s="81" t="str">
        <f aca="false">IF(AND(ISNUMBER(R701),OR(AM701="À RADIOGRAPHIER",AM701="RÉPARÉ – À RADIOGRAPHIER",AM701="NX – RT À REFAIRE",AM701="À RÉPARER",AM701="COUPE – À RESOUDER",AM701="VT REJETÉ – À REPRENDRE")),MAX(0,'PROGRAMME RT'!$C$4-R701),"")</f>
        <v/>
      </c>
      <c r="AO701" s="78" t="n">
        <f aca="false">IF(AND(OR(AM701="À RADIOGRAPHIER",AM701="RÉPARÉ – À RADIOGRAPHIER",AM701="NX – RT À REFAIRE"),OR('PROGRAMME RT'!$D$5="TOUTES",B701='PROGRAMME RT'!$D$5)),1,0)</f>
        <v>0</v>
      </c>
      <c r="AP701" s="78" t="str">
        <f aca="false">IF(AO701=1,SUM(AO$7:AO701),"")</f>
        <v/>
      </c>
      <c r="AQ701" s="78" t="n">
        <f aca="false">IF(AND(OR(X701="R",X701="NX",X701="NT",X701="CO"),OR('JOINTS DE RÉPARATION'!$D$5="TOUTES",B701='JOINTS DE RÉPARATION'!$D$5),OR('JOINTS DE RÉPARATION'!$L$4="TOUS",AM701&lt;&gt;"ACCEPTÉ")),1,0)</f>
        <v>0</v>
      </c>
      <c r="AR701" s="78" t="str">
        <f aca="false">IF(AQ701=1,SUM(AQ$7:AQ701),"")</f>
        <v/>
      </c>
    </row>
    <row r="702" customFormat="false" ht="15" hidden="false" customHeight="false" outlineLevel="0" collapsed="false">
      <c r="A702" s="78" t="n">
        <f aca="false">IF(E702="","",ROW()-6)</f>
        <v>696</v>
      </c>
      <c r="B702" s="79" t="s">
        <v>586</v>
      </c>
      <c r="C702" s="80"/>
      <c r="D702" s="80"/>
      <c r="E702" s="80" t="s">
        <v>326</v>
      </c>
      <c r="F702" s="80"/>
      <c r="G702" s="80" t="s">
        <v>106</v>
      </c>
      <c r="H702" s="80"/>
      <c r="I702" s="80"/>
      <c r="J702" s="80"/>
      <c r="K702" s="80"/>
      <c r="L702" s="81" t="str">
        <f aca="false">IF(K702="","",IFERROR(INDEX(BARDAGE!$C$7:$C$1506,MATCH(K702,BARDAGE!$B$7:$B$1506,0)),"? hors registre"))</f>
        <v/>
      </c>
      <c r="M702" s="80"/>
      <c r="N702" s="81" t="str">
        <f aca="false">IF(M702="","",IFERROR(INDEX(BARDAGE!$C$7:$C$1506,MATCH(M702,BARDAGE!$B$7:$B$1506,0)),"? hors registre"))</f>
        <v/>
      </c>
      <c r="O702" s="80"/>
      <c r="P702" s="80"/>
      <c r="Q702" s="80"/>
      <c r="R702" s="82"/>
      <c r="S702" s="82"/>
      <c r="T702" s="80"/>
      <c r="U702" s="80"/>
      <c r="V702" s="82"/>
      <c r="W702" s="80"/>
      <c r="X702" s="80"/>
      <c r="Y702" s="80"/>
      <c r="Z702" s="80"/>
      <c r="AA702" s="82"/>
      <c r="AB702" s="80"/>
      <c r="AC702" s="80"/>
      <c r="AD702" s="80"/>
      <c r="AE702" s="80"/>
      <c r="AF702" s="82"/>
      <c r="AG702" s="80"/>
      <c r="AH702" s="80"/>
      <c r="AI702" s="82"/>
      <c r="AJ702" s="79"/>
      <c r="AK702" s="78" t="n">
        <f aca="false">IF(E702="","",(X702&lt;&gt;"")+(AC702&lt;&gt;"")+(AH702&lt;&gt;""))</f>
        <v>0</v>
      </c>
      <c r="AL702" s="81" t="str">
        <f aca="false">IF(AH702&lt;&gt;"",AH702,IF(AC702&lt;&gt;"",AC702,IF(X702&lt;&gt;"",X702,"")))</f>
        <v/>
      </c>
      <c r="AM702" s="83" t="str">
        <f aca="false">IF(E702="","",IF(R702="","À SOUDER",IF(U702="","VT EN ATTENTE",IF(U702="R","VT REJETÉ – À REPRENDRE",IF(AL702="","À RADIOGRAPHIER",IF(AL702="A","ACCEPTÉ",IF(AL702="NX","NX – RT À REFAIRE",IF(IF(AK702=1,Z702,IF(AK702=2,AE702,""))="A","RÉPARÉ – À RADIOGRAPHIER",IF(IF(AK702=1,Z702,IF(AK702=2,AE702,""))="R","VT REJETÉ – À REPRENDRE",IF(OR(AL702="CO",AL702="NT"),"COUPE – À RESOUDER","À RÉPARER"))))))))))</f>
        <v>À SOUDER</v>
      </c>
      <c r="AN702" s="81" t="str">
        <f aca="false">IF(AND(ISNUMBER(R702),OR(AM702="À RADIOGRAPHIER",AM702="RÉPARÉ – À RADIOGRAPHIER",AM702="NX – RT À REFAIRE",AM702="À RÉPARER",AM702="COUPE – À RESOUDER",AM702="VT REJETÉ – À REPRENDRE")),MAX(0,'PROGRAMME RT'!$C$4-R702),"")</f>
        <v/>
      </c>
      <c r="AO702" s="78" t="n">
        <f aca="false">IF(AND(OR(AM702="À RADIOGRAPHIER",AM702="RÉPARÉ – À RADIOGRAPHIER",AM702="NX – RT À REFAIRE"),OR('PROGRAMME RT'!$D$5="TOUTES",B702='PROGRAMME RT'!$D$5)),1,0)</f>
        <v>0</v>
      </c>
      <c r="AP702" s="78" t="str">
        <f aca="false">IF(AO702=1,SUM(AO$7:AO702),"")</f>
        <v/>
      </c>
      <c r="AQ702" s="78" t="n">
        <f aca="false">IF(AND(OR(X702="R",X702="NX",X702="NT",X702="CO"),OR('JOINTS DE RÉPARATION'!$D$5="TOUTES",B702='JOINTS DE RÉPARATION'!$D$5),OR('JOINTS DE RÉPARATION'!$L$4="TOUS",AM702&lt;&gt;"ACCEPTÉ")),1,0)</f>
        <v>0</v>
      </c>
      <c r="AR702" s="78" t="str">
        <f aca="false">IF(AQ702=1,SUM(AQ$7:AQ702),"")</f>
        <v/>
      </c>
    </row>
    <row r="703" customFormat="false" ht="15" hidden="false" customHeight="false" outlineLevel="0" collapsed="false">
      <c r="A703" s="78" t="n">
        <f aca="false">IF(E703="","",ROW()-6)</f>
        <v>697</v>
      </c>
      <c r="B703" s="79" t="s">
        <v>586</v>
      </c>
      <c r="C703" s="80"/>
      <c r="D703" s="80"/>
      <c r="E703" s="80" t="s">
        <v>328</v>
      </c>
      <c r="F703" s="80"/>
      <c r="G703" s="80" t="s">
        <v>106</v>
      </c>
      <c r="H703" s="80"/>
      <c r="I703" s="80"/>
      <c r="J703" s="80"/>
      <c r="K703" s="80"/>
      <c r="L703" s="81" t="str">
        <f aca="false">IF(K703="","",IFERROR(INDEX(BARDAGE!$C$7:$C$1506,MATCH(K703,BARDAGE!$B$7:$B$1506,0)),"? hors registre"))</f>
        <v/>
      </c>
      <c r="M703" s="80"/>
      <c r="N703" s="81" t="str">
        <f aca="false">IF(M703="","",IFERROR(INDEX(BARDAGE!$C$7:$C$1506,MATCH(M703,BARDAGE!$B$7:$B$1506,0)),"? hors registre"))</f>
        <v/>
      </c>
      <c r="O703" s="80"/>
      <c r="P703" s="80"/>
      <c r="Q703" s="80"/>
      <c r="R703" s="82"/>
      <c r="S703" s="82"/>
      <c r="T703" s="80"/>
      <c r="U703" s="80"/>
      <c r="V703" s="82"/>
      <c r="W703" s="80"/>
      <c r="X703" s="80"/>
      <c r="Y703" s="80"/>
      <c r="Z703" s="80"/>
      <c r="AA703" s="82"/>
      <c r="AB703" s="80"/>
      <c r="AC703" s="80"/>
      <c r="AD703" s="80"/>
      <c r="AE703" s="80"/>
      <c r="AF703" s="82"/>
      <c r="AG703" s="80"/>
      <c r="AH703" s="80"/>
      <c r="AI703" s="82"/>
      <c r="AJ703" s="79"/>
      <c r="AK703" s="78" t="n">
        <f aca="false">IF(E703="","",(X703&lt;&gt;"")+(AC703&lt;&gt;"")+(AH703&lt;&gt;""))</f>
        <v>0</v>
      </c>
      <c r="AL703" s="81" t="str">
        <f aca="false">IF(AH703&lt;&gt;"",AH703,IF(AC703&lt;&gt;"",AC703,IF(X703&lt;&gt;"",X703,"")))</f>
        <v/>
      </c>
      <c r="AM703" s="83" t="str">
        <f aca="false">IF(E703="","",IF(R703="","À SOUDER",IF(U703="","VT EN ATTENTE",IF(U703="R","VT REJETÉ – À REPRENDRE",IF(AL703="","À RADIOGRAPHIER",IF(AL703="A","ACCEPTÉ",IF(AL703="NX","NX – RT À REFAIRE",IF(IF(AK703=1,Z703,IF(AK703=2,AE703,""))="A","RÉPARÉ – À RADIOGRAPHIER",IF(IF(AK703=1,Z703,IF(AK703=2,AE703,""))="R","VT REJETÉ – À REPRENDRE",IF(OR(AL703="CO",AL703="NT"),"COUPE – À RESOUDER","À RÉPARER"))))))))))</f>
        <v>À SOUDER</v>
      </c>
      <c r="AN703" s="81" t="str">
        <f aca="false">IF(AND(ISNUMBER(R703),OR(AM703="À RADIOGRAPHIER",AM703="RÉPARÉ – À RADIOGRAPHIER",AM703="NX – RT À REFAIRE",AM703="À RÉPARER",AM703="COUPE – À RESOUDER",AM703="VT REJETÉ – À REPRENDRE")),MAX(0,'PROGRAMME RT'!$C$4-R703),"")</f>
        <v/>
      </c>
      <c r="AO703" s="78" t="n">
        <f aca="false">IF(AND(OR(AM703="À RADIOGRAPHIER",AM703="RÉPARÉ – À RADIOGRAPHIER",AM703="NX – RT À REFAIRE"),OR('PROGRAMME RT'!$D$5="TOUTES",B703='PROGRAMME RT'!$D$5)),1,0)</f>
        <v>0</v>
      </c>
      <c r="AP703" s="78" t="str">
        <f aca="false">IF(AO703=1,SUM(AO$7:AO703),"")</f>
        <v/>
      </c>
      <c r="AQ703" s="78" t="n">
        <f aca="false">IF(AND(OR(X703="R",X703="NX",X703="NT",X703="CO"),OR('JOINTS DE RÉPARATION'!$D$5="TOUTES",B703='JOINTS DE RÉPARATION'!$D$5),OR('JOINTS DE RÉPARATION'!$L$4="TOUS",AM703&lt;&gt;"ACCEPTÉ")),1,0)</f>
        <v>0</v>
      </c>
      <c r="AR703" s="78" t="str">
        <f aca="false">IF(AQ703=1,SUM(AQ$7:AQ703),"")</f>
        <v/>
      </c>
    </row>
    <row r="704" customFormat="false" ht="15" hidden="false" customHeight="false" outlineLevel="0" collapsed="false">
      <c r="A704" s="78" t="n">
        <f aca="false">IF(E704="","",ROW()-6)</f>
        <v>698</v>
      </c>
      <c r="B704" s="79" t="s">
        <v>586</v>
      </c>
      <c r="C704" s="80"/>
      <c r="D704" s="80"/>
      <c r="E704" s="80" t="s">
        <v>330</v>
      </c>
      <c r="F704" s="80"/>
      <c r="G704" s="80" t="s">
        <v>106</v>
      </c>
      <c r="H704" s="80"/>
      <c r="I704" s="80"/>
      <c r="J704" s="80"/>
      <c r="K704" s="80"/>
      <c r="L704" s="81" t="str">
        <f aca="false">IF(K704="","",IFERROR(INDEX(BARDAGE!$C$7:$C$1506,MATCH(K704,BARDAGE!$B$7:$B$1506,0)),"? hors registre"))</f>
        <v/>
      </c>
      <c r="M704" s="80"/>
      <c r="N704" s="81" t="str">
        <f aca="false">IF(M704="","",IFERROR(INDEX(BARDAGE!$C$7:$C$1506,MATCH(M704,BARDAGE!$B$7:$B$1506,0)),"? hors registre"))</f>
        <v/>
      </c>
      <c r="O704" s="80"/>
      <c r="P704" s="80"/>
      <c r="Q704" s="80"/>
      <c r="R704" s="82"/>
      <c r="S704" s="82"/>
      <c r="T704" s="80"/>
      <c r="U704" s="80"/>
      <c r="V704" s="82"/>
      <c r="W704" s="80"/>
      <c r="X704" s="80"/>
      <c r="Y704" s="80"/>
      <c r="Z704" s="80"/>
      <c r="AA704" s="82"/>
      <c r="AB704" s="80"/>
      <c r="AC704" s="80"/>
      <c r="AD704" s="80"/>
      <c r="AE704" s="80"/>
      <c r="AF704" s="82"/>
      <c r="AG704" s="80"/>
      <c r="AH704" s="80"/>
      <c r="AI704" s="82"/>
      <c r="AJ704" s="79"/>
      <c r="AK704" s="78" t="n">
        <f aca="false">IF(E704="","",(X704&lt;&gt;"")+(AC704&lt;&gt;"")+(AH704&lt;&gt;""))</f>
        <v>0</v>
      </c>
      <c r="AL704" s="81" t="str">
        <f aca="false">IF(AH704&lt;&gt;"",AH704,IF(AC704&lt;&gt;"",AC704,IF(X704&lt;&gt;"",X704,"")))</f>
        <v/>
      </c>
      <c r="AM704" s="83" t="str">
        <f aca="false">IF(E704="","",IF(R704="","À SOUDER",IF(U704="","VT EN ATTENTE",IF(U704="R","VT REJETÉ – À REPRENDRE",IF(AL704="","À RADIOGRAPHIER",IF(AL704="A","ACCEPTÉ",IF(AL704="NX","NX – RT À REFAIRE",IF(IF(AK704=1,Z704,IF(AK704=2,AE704,""))="A","RÉPARÉ – À RADIOGRAPHIER",IF(IF(AK704=1,Z704,IF(AK704=2,AE704,""))="R","VT REJETÉ – À REPRENDRE",IF(OR(AL704="CO",AL704="NT"),"COUPE – À RESOUDER","À RÉPARER"))))))))))</f>
        <v>À SOUDER</v>
      </c>
      <c r="AN704" s="81" t="str">
        <f aca="false">IF(AND(ISNUMBER(R704),OR(AM704="À RADIOGRAPHIER",AM704="RÉPARÉ – À RADIOGRAPHIER",AM704="NX – RT À REFAIRE",AM704="À RÉPARER",AM704="COUPE – À RESOUDER",AM704="VT REJETÉ – À REPRENDRE")),MAX(0,'PROGRAMME RT'!$C$4-R704),"")</f>
        <v/>
      </c>
      <c r="AO704" s="78" t="n">
        <f aca="false">IF(AND(OR(AM704="À RADIOGRAPHIER",AM704="RÉPARÉ – À RADIOGRAPHIER",AM704="NX – RT À REFAIRE"),OR('PROGRAMME RT'!$D$5="TOUTES",B704='PROGRAMME RT'!$D$5)),1,0)</f>
        <v>0</v>
      </c>
      <c r="AP704" s="78" t="str">
        <f aca="false">IF(AO704=1,SUM(AO$7:AO704),"")</f>
        <v/>
      </c>
      <c r="AQ704" s="78" t="n">
        <f aca="false">IF(AND(OR(X704="R",X704="NX",X704="NT",X704="CO"),OR('JOINTS DE RÉPARATION'!$D$5="TOUTES",B704='JOINTS DE RÉPARATION'!$D$5),OR('JOINTS DE RÉPARATION'!$L$4="TOUS",AM704&lt;&gt;"ACCEPTÉ")),1,0)</f>
        <v>0</v>
      </c>
      <c r="AR704" s="78" t="str">
        <f aca="false">IF(AQ704=1,SUM(AQ$7:AQ704),"")</f>
        <v/>
      </c>
    </row>
    <row r="705" customFormat="false" ht="15" hidden="false" customHeight="false" outlineLevel="0" collapsed="false">
      <c r="A705" s="78" t="n">
        <f aca="false">IF(E705="","",ROW()-6)</f>
        <v>699</v>
      </c>
      <c r="B705" s="79" t="s">
        <v>586</v>
      </c>
      <c r="C705" s="80"/>
      <c r="D705" s="80"/>
      <c r="E705" s="80" t="s">
        <v>332</v>
      </c>
      <c r="F705" s="80"/>
      <c r="G705" s="80" t="s">
        <v>106</v>
      </c>
      <c r="H705" s="80"/>
      <c r="I705" s="80"/>
      <c r="J705" s="80"/>
      <c r="K705" s="80"/>
      <c r="L705" s="81" t="str">
        <f aca="false">IF(K705="","",IFERROR(INDEX(BARDAGE!$C$7:$C$1506,MATCH(K705,BARDAGE!$B$7:$B$1506,0)),"? hors registre"))</f>
        <v/>
      </c>
      <c r="M705" s="80"/>
      <c r="N705" s="81" t="str">
        <f aca="false">IF(M705="","",IFERROR(INDEX(BARDAGE!$C$7:$C$1506,MATCH(M705,BARDAGE!$B$7:$B$1506,0)),"? hors registre"))</f>
        <v/>
      </c>
      <c r="O705" s="80"/>
      <c r="P705" s="80"/>
      <c r="Q705" s="80"/>
      <c r="R705" s="82"/>
      <c r="S705" s="82"/>
      <c r="T705" s="80"/>
      <c r="U705" s="80"/>
      <c r="V705" s="82"/>
      <c r="W705" s="80"/>
      <c r="X705" s="80"/>
      <c r="Y705" s="80"/>
      <c r="Z705" s="80"/>
      <c r="AA705" s="82"/>
      <c r="AB705" s="80"/>
      <c r="AC705" s="80"/>
      <c r="AD705" s="80"/>
      <c r="AE705" s="80"/>
      <c r="AF705" s="82"/>
      <c r="AG705" s="80"/>
      <c r="AH705" s="80"/>
      <c r="AI705" s="82"/>
      <c r="AJ705" s="79"/>
      <c r="AK705" s="78" t="n">
        <f aca="false">IF(E705="","",(X705&lt;&gt;"")+(AC705&lt;&gt;"")+(AH705&lt;&gt;""))</f>
        <v>0</v>
      </c>
      <c r="AL705" s="81" t="str">
        <f aca="false">IF(AH705&lt;&gt;"",AH705,IF(AC705&lt;&gt;"",AC705,IF(X705&lt;&gt;"",X705,"")))</f>
        <v/>
      </c>
      <c r="AM705" s="83" t="str">
        <f aca="false">IF(E705="","",IF(R705="","À SOUDER",IF(U705="","VT EN ATTENTE",IF(U705="R","VT REJETÉ – À REPRENDRE",IF(AL705="","À RADIOGRAPHIER",IF(AL705="A","ACCEPTÉ",IF(AL705="NX","NX – RT À REFAIRE",IF(IF(AK705=1,Z705,IF(AK705=2,AE705,""))="A","RÉPARÉ – À RADIOGRAPHIER",IF(IF(AK705=1,Z705,IF(AK705=2,AE705,""))="R","VT REJETÉ – À REPRENDRE",IF(OR(AL705="CO",AL705="NT"),"COUPE – À RESOUDER","À RÉPARER"))))))))))</f>
        <v>À SOUDER</v>
      </c>
      <c r="AN705" s="81" t="str">
        <f aca="false">IF(AND(ISNUMBER(R705),OR(AM705="À RADIOGRAPHIER",AM705="RÉPARÉ – À RADIOGRAPHIER",AM705="NX – RT À REFAIRE",AM705="À RÉPARER",AM705="COUPE – À RESOUDER",AM705="VT REJETÉ – À REPRENDRE")),MAX(0,'PROGRAMME RT'!$C$4-R705),"")</f>
        <v/>
      </c>
      <c r="AO705" s="78" t="n">
        <f aca="false">IF(AND(OR(AM705="À RADIOGRAPHIER",AM705="RÉPARÉ – À RADIOGRAPHIER",AM705="NX – RT À REFAIRE"),OR('PROGRAMME RT'!$D$5="TOUTES",B705='PROGRAMME RT'!$D$5)),1,0)</f>
        <v>0</v>
      </c>
      <c r="AP705" s="78" t="str">
        <f aca="false">IF(AO705=1,SUM(AO$7:AO705),"")</f>
        <v/>
      </c>
      <c r="AQ705" s="78" t="n">
        <f aca="false">IF(AND(OR(X705="R",X705="NX",X705="NT",X705="CO"),OR('JOINTS DE RÉPARATION'!$D$5="TOUTES",B705='JOINTS DE RÉPARATION'!$D$5),OR('JOINTS DE RÉPARATION'!$L$4="TOUS",AM705&lt;&gt;"ACCEPTÉ")),1,0)</f>
        <v>0</v>
      </c>
      <c r="AR705" s="78" t="str">
        <f aca="false">IF(AQ705=1,SUM(AQ$7:AQ705),"")</f>
        <v/>
      </c>
    </row>
    <row r="706" customFormat="false" ht="15" hidden="false" customHeight="false" outlineLevel="0" collapsed="false">
      <c r="A706" s="78" t="n">
        <f aca="false">IF(E706="","",ROW()-6)</f>
        <v>700</v>
      </c>
      <c r="B706" s="79" t="s">
        <v>586</v>
      </c>
      <c r="C706" s="80"/>
      <c r="D706" s="80"/>
      <c r="E706" s="80" t="s">
        <v>334</v>
      </c>
      <c r="F706" s="80"/>
      <c r="G706" s="80" t="s">
        <v>106</v>
      </c>
      <c r="H706" s="80"/>
      <c r="I706" s="80"/>
      <c r="J706" s="80"/>
      <c r="K706" s="80"/>
      <c r="L706" s="81" t="str">
        <f aca="false">IF(K706="","",IFERROR(INDEX(BARDAGE!$C$7:$C$1506,MATCH(K706,BARDAGE!$B$7:$B$1506,0)),"? hors registre"))</f>
        <v/>
      </c>
      <c r="M706" s="80"/>
      <c r="N706" s="81" t="str">
        <f aca="false">IF(M706="","",IFERROR(INDEX(BARDAGE!$C$7:$C$1506,MATCH(M706,BARDAGE!$B$7:$B$1506,0)),"? hors registre"))</f>
        <v/>
      </c>
      <c r="O706" s="80"/>
      <c r="P706" s="80"/>
      <c r="Q706" s="80"/>
      <c r="R706" s="82"/>
      <c r="S706" s="82"/>
      <c r="T706" s="80"/>
      <c r="U706" s="80"/>
      <c r="V706" s="82"/>
      <c r="W706" s="80"/>
      <c r="X706" s="80"/>
      <c r="Y706" s="80"/>
      <c r="Z706" s="80"/>
      <c r="AA706" s="82"/>
      <c r="AB706" s="80"/>
      <c r="AC706" s="80"/>
      <c r="AD706" s="80"/>
      <c r="AE706" s="80"/>
      <c r="AF706" s="82"/>
      <c r="AG706" s="80"/>
      <c r="AH706" s="80"/>
      <c r="AI706" s="82"/>
      <c r="AJ706" s="79"/>
      <c r="AK706" s="78" t="n">
        <f aca="false">IF(E706="","",(X706&lt;&gt;"")+(AC706&lt;&gt;"")+(AH706&lt;&gt;""))</f>
        <v>0</v>
      </c>
      <c r="AL706" s="81" t="str">
        <f aca="false">IF(AH706&lt;&gt;"",AH706,IF(AC706&lt;&gt;"",AC706,IF(X706&lt;&gt;"",X706,"")))</f>
        <v/>
      </c>
      <c r="AM706" s="83" t="str">
        <f aca="false">IF(E706="","",IF(R706="","À SOUDER",IF(U706="","VT EN ATTENTE",IF(U706="R","VT REJETÉ – À REPRENDRE",IF(AL706="","À RADIOGRAPHIER",IF(AL706="A","ACCEPTÉ",IF(AL706="NX","NX – RT À REFAIRE",IF(IF(AK706=1,Z706,IF(AK706=2,AE706,""))="A","RÉPARÉ – À RADIOGRAPHIER",IF(IF(AK706=1,Z706,IF(AK706=2,AE706,""))="R","VT REJETÉ – À REPRENDRE",IF(OR(AL706="CO",AL706="NT"),"COUPE – À RESOUDER","À RÉPARER"))))))))))</f>
        <v>À SOUDER</v>
      </c>
      <c r="AN706" s="81" t="str">
        <f aca="false">IF(AND(ISNUMBER(R706),OR(AM706="À RADIOGRAPHIER",AM706="RÉPARÉ – À RADIOGRAPHIER",AM706="NX – RT À REFAIRE",AM706="À RÉPARER",AM706="COUPE – À RESOUDER",AM706="VT REJETÉ – À REPRENDRE")),MAX(0,'PROGRAMME RT'!$C$4-R706),"")</f>
        <v/>
      </c>
      <c r="AO706" s="78" t="n">
        <f aca="false">IF(AND(OR(AM706="À RADIOGRAPHIER",AM706="RÉPARÉ – À RADIOGRAPHIER",AM706="NX – RT À REFAIRE"),OR('PROGRAMME RT'!$D$5="TOUTES",B706='PROGRAMME RT'!$D$5)),1,0)</f>
        <v>0</v>
      </c>
      <c r="AP706" s="78" t="str">
        <f aca="false">IF(AO706=1,SUM(AO$7:AO706),"")</f>
        <v/>
      </c>
      <c r="AQ706" s="78" t="n">
        <f aca="false">IF(AND(OR(X706="R",X706="NX",X706="NT",X706="CO"),OR('JOINTS DE RÉPARATION'!$D$5="TOUTES",B706='JOINTS DE RÉPARATION'!$D$5),OR('JOINTS DE RÉPARATION'!$L$4="TOUS",AM706&lt;&gt;"ACCEPTÉ")),1,0)</f>
        <v>0</v>
      </c>
      <c r="AR706" s="78" t="str">
        <f aca="false">IF(AQ706=1,SUM(AQ$7:AQ706),"")</f>
        <v/>
      </c>
    </row>
    <row r="707" customFormat="false" ht="15" hidden="false" customHeight="false" outlineLevel="0" collapsed="false">
      <c r="A707" s="78" t="n">
        <f aca="false">IF(E707="","",ROW()-6)</f>
        <v>701</v>
      </c>
      <c r="B707" s="79" t="s">
        <v>586</v>
      </c>
      <c r="C707" s="80"/>
      <c r="D707" s="80"/>
      <c r="E707" s="80" t="s">
        <v>336</v>
      </c>
      <c r="F707" s="80"/>
      <c r="G707" s="80" t="s">
        <v>106</v>
      </c>
      <c r="H707" s="80"/>
      <c r="I707" s="80"/>
      <c r="J707" s="80"/>
      <c r="K707" s="80"/>
      <c r="L707" s="81" t="str">
        <f aca="false">IF(K707="","",IFERROR(INDEX(BARDAGE!$C$7:$C$1506,MATCH(K707,BARDAGE!$B$7:$B$1506,0)),"? hors registre"))</f>
        <v/>
      </c>
      <c r="M707" s="80"/>
      <c r="N707" s="81" t="str">
        <f aca="false">IF(M707="","",IFERROR(INDEX(BARDAGE!$C$7:$C$1506,MATCH(M707,BARDAGE!$B$7:$B$1506,0)),"? hors registre"))</f>
        <v/>
      </c>
      <c r="O707" s="80"/>
      <c r="P707" s="80"/>
      <c r="Q707" s="80"/>
      <c r="R707" s="82"/>
      <c r="S707" s="82"/>
      <c r="T707" s="80"/>
      <c r="U707" s="80"/>
      <c r="V707" s="82"/>
      <c r="W707" s="80"/>
      <c r="X707" s="80"/>
      <c r="Y707" s="80"/>
      <c r="Z707" s="80"/>
      <c r="AA707" s="82"/>
      <c r="AB707" s="80"/>
      <c r="AC707" s="80"/>
      <c r="AD707" s="80"/>
      <c r="AE707" s="80"/>
      <c r="AF707" s="82"/>
      <c r="AG707" s="80"/>
      <c r="AH707" s="80"/>
      <c r="AI707" s="82"/>
      <c r="AJ707" s="79"/>
      <c r="AK707" s="78" t="n">
        <f aca="false">IF(E707="","",(X707&lt;&gt;"")+(AC707&lt;&gt;"")+(AH707&lt;&gt;""))</f>
        <v>0</v>
      </c>
      <c r="AL707" s="81" t="str">
        <f aca="false">IF(AH707&lt;&gt;"",AH707,IF(AC707&lt;&gt;"",AC707,IF(X707&lt;&gt;"",X707,"")))</f>
        <v/>
      </c>
      <c r="AM707" s="83" t="str">
        <f aca="false">IF(E707="","",IF(R707="","À SOUDER",IF(U707="","VT EN ATTENTE",IF(U707="R","VT REJETÉ – À REPRENDRE",IF(AL707="","À RADIOGRAPHIER",IF(AL707="A","ACCEPTÉ",IF(AL707="NX","NX – RT À REFAIRE",IF(IF(AK707=1,Z707,IF(AK707=2,AE707,""))="A","RÉPARÉ – À RADIOGRAPHIER",IF(IF(AK707=1,Z707,IF(AK707=2,AE707,""))="R","VT REJETÉ – À REPRENDRE",IF(OR(AL707="CO",AL707="NT"),"COUPE – À RESOUDER","À RÉPARER"))))))))))</f>
        <v>À SOUDER</v>
      </c>
      <c r="AN707" s="81" t="str">
        <f aca="false">IF(AND(ISNUMBER(R707),OR(AM707="À RADIOGRAPHIER",AM707="RÉPARÉ – À RADIOGRAPHIER",AM707="NX – RT À REFAIRE",AM707="À RÉPARER",AM707="COUPE – À RESOUDER",AM707="VT REJETÉ – À REPRENDRE")),MAX(0,'PROGRAMME RT'!$C$4-R707),"")</f>
        <v/>
      </c>
      <c r="AO707" s="78" t="n">
        <f aca="false">IF(AND(OR(AM707="À RADIOGRAPHIER",AM707="RÉPARÉ – À RADIOGRAPHIER",AM707="NX – RT À REFAIRE"),OR('PROGRAMME RT'!$D$5="TOUTES",B707='PROGRAMME RT'!$D$5)),1,0)</f>
        <v>0</v>
      </c>
      <c r="AP707" s="78" t="str">
        <f aca="false">IF(AO707=1,SUM(AO$7:AO707),"")</f>
        <v/>
      </c>
      <c r="AQ707" s="78" t="n">
        <f aca="false">IF(AND(OR(X707="R",X707="NX",X707="NT",X707="CO"),OR('JOINTS DE RÉPARATION'!$D$5="TOUTES",B707='JOINTS DE RÉPARATION'!$D$5),OR('JOINTS DE RÉPARATION'!$L$4="TOUS",AM707&lt;&gt;"ACCEPTÉ")),1,0)</f>
        <v>0</v>
      </c>
      <c r="AR707" s="78" t="str">
        <f aca="false">IF(AQ707=1,SUM(AQ$7:AQ707),"")</f>
        <v/>
      </c>
    </row>
    <row r="708" customFormat="false" ht="15" hidden="false" customHeight="false" outlineLevel="0" collapsed="false">
      <c r="A708" s="78" t="n">
        <f aca="false">IF(E708="","",ROW()-6)</f>
        <v>702</v>
      </c>
      <c r="B708" s="79" t="s">
        <v>586</v>
      </c>
      <c r="C708" s="80"/>
      <c r="D708" s="80"/>
      <c r="E708" s="80" t="s">
        <v>338</v>
      </c>
      <c r="F708" s="80"/>
      <c r="G708" s="80" t="s">
        <v>106</v>
      </c>
      <c r="H708" s="80"/>
      <c r="I708" s="80"/>
      <c r="J708" s="80"/>
      <c r="K708" s="80"/>
      <c r="L708" s="81" t="str">
        <f aca="false">IF(K708="","",IFERROR(INDEX(BARDAGE!$C$7:$C$1506,MATCH(K708,BARDAGE!$B$7:$B$1506,0)),"? hors registre"))</f>
        <v/>
      </c>
      <c r="M708" s="80"/>
      <c r="N708" s="81" t="str">
        <f aca="false">IF(M708="","",IFERROR(INDEX(BARDAGE!$C$7:$C$1506,MATCH(M708,BARDAGE!$B$7:$B$1506,0)),"? hors registre"))</f>
        <v/>
      </c>
      <c r="O708" s="80"/>
      <c r="P708" s="80"/>
      <c r="Q708" s="80"/>
      <c r="R708" s="82"/>
      <c r="S708" s="82"/>
      <c r="T708" s="80"/>
      <c r="U708" s="80"/>
      <c r="V708" s="82"/>
      <c r="W708" s="80"/>
      <c r="X708" s="80"/>
      <c r="Y708" s="80"/>
      <c r="Z708" s="80"/>
      <c r="AA708" s="82"/>
      <c r="AB708" s="80"/>
      <c r="AC708" s="80"/>
      <c r="AD708" s="80"/>
      <c r="AE708" s="80"/>
      <c r="AF708" s="82"/>
      <c r="AG708" s="80"/>
      <c r="AH708" s="80"/>
      <c r="AI708" s="82"/>
      <c r="AJ708" s="79"/>
      <c r="AK708" s="78" t="n">
        <f aca="false">IF(E708="","",(X708&lt;&gt;"")+(AC708&lt;&gt;"")+(AH708&lt;&gt;""))</f>
        <v>0</v>
      </c>
      <c r="AL708" s="81" t="str">
        <f aca="false">IF(AH708&lt;&gt;"",AH708,IF(AC708&lt;&gt;"",AC708,IF(X708&lt;&gt;"",X708,"")))</f>
        <v/>
      </c>
      <c r="AM708" s="83" t="str">
        <f aca="false">IF(E708="","",IF(R708="","À SOUDER",IF(U708="","VT EN ATTENTE",IF(U708="R","VT REJETÉ – À REPRENDRE",IF(AL708="","À RADIOGRAPHIER",IF(AL708="A","ACCEPTÉ",IF(AL708="NX","NX – RT À REFAIRE",IF(IF(AK708=1,Z708,IF(AK708=2,AE708,""))="A","RÉPARÉ – À RADIOGRAPHIER",IF(IF(AK708=1,Z708,IF(AK708=2,AE708,""))="R","VT REJETÉ – À REPRENDRE",IF(OR(AL708="CO",AL708="NT"),"COUPE – À RESOUDER","À RÉPARER"))))))))))</f>
        <v>À SOUDER</v>
      </c>
      <c r="AN708" s="81" t="str">
        <f aca="false">IF(AND(ISNUMBER(R708),OR(AM708="À RADIOGRAPHIER",AM708="RÉPARÉ – À RADIOGRAPHIER",AM708="NX – RT À REFAIRE",AM708="À RÉPARER",AM708="COUPE – À RESOUDER",AM708="VT REJETÉ – À REPRENDRE")),MAX(0,'PROGRAMME RT'!$C$4-R708),"")</f>
        <v/>
      </c>
      <c r="AO708" s="78" t="n">
        <f aca="false">IF(AND(OR(AM708="À RADIOGRAPHIER",AM708="RÉPARÉ – À RADIOGRAPHIER",AM708="NX – RT À REFAIRE"),OR('PROGRAMME RT'!$D$5="TOUTES",B708='PROGRAMME RT'!$D$5)),1,0)</f>
        <v>0</v>
      </c>
      <c r="AP708" s="78" t="str">
        <f aca="false">IF(AO708=1,SUM(AO$7:AO708),"")</f>
        <v/>
      </c>
      <c r="AQ708" s="78" t="n">
        <f aca="false">IF(AND(OR(X708="R",X708="NX",X708="NT",X708="CO"),OR('JOINTS DE RÉPARATION'!$D$5="TOUTES",B708='JOINTS DE RÉPARATION'!$D$5),OR('JOINTS DE RÉPARATION'!$L$4="TOUS",AM708&lt;&gt;"ACCEPTÉ")),1,0)</f>
        <v>0</v>
      </c>
      <c r="AR708" s="78" t="str">
        <f aca="false">IF(AQ708=1,SUM(AQ$7:AQ708),"")</f>
        <v/>
      </c>
    </row>
    <row r="709" customFormat="false" ht="15" hidden="false" customHeight="false" outlineLevel="0" collapsed="false">
      <c r="A709" s="78" t="n">
        <f aca="false">IF(E709="","",ROW()-6)</f>
        <v>703</v>
      </c>
      <c r="B709" s="79" t="s">
        <v>586</v>
      </c>
      <c r="C709" s="80"/>
      <c r="D709" s="80"/>
      <c r="E709" s="80" t="s">
        <v>341</v>
      </c>
      <c r="F709" s="80"/>
      <c r="G709" s="80" t="s">
        <v>106</v>
      </c>
      <c r="H709" s="80"/>
      <c r="I709" s="80"/>
      <c r="J709" s="80"/>
      <c r="K709" s="80"/>
      <c r="L709" s="81" t="str">
        <f aca="false">IF(K709="","",IFERROR(INDEX(BARDAGE!$C$7:$C$1506,MATCH(K709,BARDAGE!$B$7:$B$1506,0)),"? hors registre"))</f>
        <v/>
      </c>
      <c r="M709" s="80"/>
      <c r="N709" s="81" t="str">
        <f aca="false">IF(M709="","",IFERROR(INDEX(BARDAGE!$C$7:$C$1506,MATCH(M709,BARDAGE!$B$7:$B$1506,0)),"? hors registre"))</f>
        <v/>
      </c>
      <c r="O709" s="80"/>
      <c r="P709" s="80"/>
      <c r="Q709" s="80"/>
      <c r="R709" s="82"/>
      <c r="S709" s="82"/>
      <c r="T709" s="80"/>
      <c r="U709" s="80"/>
      <c r="V709" s="82"/>
      <c r="W709" s="80"/>
      <c r="X709" s="80"/>
      <c r="Y709" s="80"/>
      <c r="Z709" s="80"/>
      <c r="AA709" s="82"/>
      <c r="AB709" s="80"/>
      <c r="AC709" s="80"/>
      <c r="AD709" s="80"/>
      <c r="AE709" s="80"/>
      <c r="AF709" s="82"/>
      <c r="AG709" s="80"/>
      <c r="AH709" s="80"/>
      <c r="AI709" s="82"/>
      <c r="AJ709" s="79"/>
      <c r="AK709" s="78" t="n">
        <f aca="false">IF(E709="","",(X709&lt;&gt;"")+(AC709&lt;&gt;"")+(AH709&lt;&gt;""))</f>
        <v>0</v>
      </c>
      <c r="AL709" s="81" t="str">
        <f aca="false">IF(AH709&lt;&gt;"",AH709,IF(AC709&lt;&gt;"",AC709,IF(X709&lt;&gt;"",X709,"")))</f>
        <v/>
      </c>
      <c r="AM709" s="83" t="str">
        <f aca="false">IF(E709="","",IF(R709="","À SOUDER",IF(U709="","VT EN ATTENTE",IF(U709="R","VT REJETÉ – À REPRENDRE",IF(AL709="","À RADIOGRAPHIER",IF(AL709="A","ACCEPTÉ",IF(AL709="NX","NX – RT À REFAIRE",IF(IF(AK709=1,Z709,IF(AK709=2,AE709,""))="A","RÉPARÉ – À RADIOGRAPHIER",IF(IF(AK709=1,Z709,IF(AK709=2,AE709,""))="R","VT REJETÉ – À REPRENDRE",IF(OR(AL709="CO",AL709="NT"),"COUPE – À RESOUDER","À RÉPARER"))))))))))</f>
        <v>À SOUDER</v>
      </c>
      <c r="AN709" s="81" t="str">
        <f aca="false">IF(AND(ISNUMBER(R709),OR(AM709="À RADIOGRAPHIER",AM709="RÉPARÉ – À RADIOGRAPHIER",AM709="NX – RT À REFAIRE",AM709="À RÉPARER",AM709="COUPE – À RESOUDER",AM709="VT REJETÉ – À REPRENDRE")),MAX(0,'PROGRAMME RT'!$C$4-R709),"")</f>
        <v/>
      </c>
      <c r="AO709" s="78" t="n">
        <f aca="false">IF(AND(OR(AM709="À RADIOGRAPHIER",AM709="RÉPARÉ – À RADIOGRAPHIER",AM709="NX – RT À REFAIRE"),OR('PROGRAMME RT'!$D$5="TOUTES",B709='PROGRAMME RT'!$D$5)),1,0)</f>
        <v>0</v>
      </c>
      <c r="AP709" s="78" t="str">
        <f aca="false">IF(AO709=1,SUM(AO$7:AO709),"")</f>
        <v/>
      </c>
      <c r="AQ709" s="78" t="n">
        <f aca="false">IF(AND(OR(X709="R",X709="NX",X709="NT",X709="CO"),OR('JOINTS DE RÉPARATION'!$D$5="TOUTES",B709='JOINTS DE RÉPARATION'!$D$5),OR('JOINTS DE RÉPARATION'!$L$4="TOUS",AM709&lt;&gt;"ACCEPTÉ")),1,0)</f>
        <v>0</v>
      </c>
      <c r="AR709" s="78" t="str">
        <f aca="false">IF(AQ709=1,SUM(AQ$7:AQ709),"")</f>
        <v/>
      </c>
    </row>
    <row r="710" customFormat="false" ht="15" hidden="false" customHeight="false" outlineLevel="0" collapsed="false">
      <c r="A710" s="78" t="n">
        <f aca="false">IF(E710="","",ROW()-6)</f>
        <v>704</v>
      </c>
      <c r="B710" s="79" t="s">
        <v>586</v>
      </c>
      <c r="C710" s="80"/>
      <c r="D710" s="80"/>
      <c r="E710" s="80" t="s">
        <v>343</v>
      </c>
      <c r="F710" s="80"/>
      <c r="G710" s="80" t="s">
        <v>106</v>
      </c>
      <c r="H710" s="80"/>
      <c r="I710" s="80"/>
      <c r="J710" s="80"/>
      <c r="K710" s="80"/>
      <c r="L710" s="81" t="str">
        <f aca="false">IF(K710="","",IFERROR(INDEX(BARDAGE!$C$7:$C$1506,MATCH(K710,BARDAGE!$B$7:$B$1506,0)),"? hors registre"))</f>
        <v/>
      </c>
      <c r="M710" s="80"/>
      <c r="N710" s="81" t="str">
        <f aca="false">IF(M710="","",IFERROR(INDEX(BARDAGE!$C$7:$C$1506,MATCH(M710,BARDAGE!$B$7:$B$1506,0)),"? hors registre"))</f>
        <v/>
      </c>
      <c r="O710" s="80"/>
      <c r="P710" s="80"/>
      <c r="Q710" s="80"/>
      <c r="R710" s="82"/>
      <c r="S710" s="82"/>
      <c r="T710" s="80"/>
      <c r="U710" s="80"/>
      <c r="V710" s="82"/>
      <c r="W710" s="80"/>
      <c r="X710" s="80"/>
      <c r="Y710" s="80"/>
      <c r="Z710" s="80"/>
      <c r="AA710" s="82"/>
      <c r="AB710" s="80"/>
      <c r="AC710" s="80"/>
      <c r="AD710" s="80"/>
      <c r="AE710" s="80"/>
      <c r="AF710" s="82"/>
      <c r="AG710" s="80"/>
      <c r="AH710" s="80"/>
      <c r="AI710" s="82"/>
      <c r="AJ710" s="79"/>
      <c r="AK710" s="78" t="n">
        <f aca="false">IF(E710="","",(X710&lt;&gt;"")+(AC710&lt;&gt;"")+(AH710&lt;&gt;""))</f>
        <v>0</v>
      </c>
      <c r="AL710" s="81" t="str">
        <f aca="false">IF(AH710&lt;&gt;"",AH710,IF(AC710&lt;&gt;"",AC710,IF(X710&lt;&gt;"",X710,"")))</f>
        <v/>
      </c>
      <c r="AM710" s="83" t="str">
        <f aca="false">IF(E710="","",IF(R710="","À SOUDER",IF(U710="","VT EN ATTENTE",IF(U710="R","VT REJETÉ – À REPRENDRE",IF(AL710="","À RADIOGRAPHIER",IF(AL710="A","ACCEPTÉ",IF(AL710="NX","NX – RT À REFAIRE",IF(IF(AK710=1,Z710,IF(AK710=2,AE710,""))="A","RÉPARÉ – À RADIOGRAPHIER",IF(IF(AK710=1,Z710,IF(AK710=2,AE710,""))="R","VT REJETÉ – À REPRENDRE",IF(OR(AL710="CO",AL710="NT"),"COUPE – À RESOUDER","À RÉPARER"))))))))))</f>
        <v>À SOUDER</v>
      </c>
      <c r="AN710" s="81" t="str">
        <f aca="false">IF(AND(ISNUMBER(R710),OR(AM710="À RADIOGRAPHIER",AM710="RÉPARÉ – À RADIOGRAPHIER",AM710="NX – RT À REFAIRE",AM710="À RÉPARER",AM710="COUPE – À RESOUDER",AM710="VT REJETÉ – À REPRENDRE")),MAX(0,'PROGRAMME RT'!$C$4-R710),"")</f>
        <v/>
      </c>
      <c r="AO710" s="78" t="n">
        <f aca="false">IF(AND(OR(AM710="À RADIOGRAPHIER",AM710="RÉPARÉ – À RADIOGRAPHIER",AM710="NX – RT À REFAIRE"),OR('PROGRAMME RT'!$D$5="TOUTES",B710='PROGRAMME RT'!$D$5)),1,0)</f>
        <v>0</v>
      </c>
      <c r="AP710" s="78" t="str">
        <f aca="false">IF(AO710=1,SUM(AO$7:AO710),"")</f>
        <v/>
      </c>
      <c r="AQ710" s="78" t="n">
        <f aca="false">IF(AND(OR(X710="R",X710="NX",X710="NT",X710="CO"),OR('JOINTS DE RÉPARATION'!$D$5="TOUTES",B710='JOINTS DE RÉPARATION'!$D$5),OR('JOINTS DE RÉPARATION'!$L$4="TOUS",AM710&lt;&gt;"ACCEPTÉ")),1,0)</f>
        <v>0</v>
      </c>
      <c r="AR710" s="78" t="str">
        <f aca="false">IF(AQ710=1,SUM(AQ$7:AQ710),"")</f>
        <v/>
      </c>
    </row>
    <row r="711" customFormat="false" ht="15" hidden="false" customHeight="false" outlineLevel="0" collapsed="false">
      <c r="A711" s="78" t="n">
        <f aca="false">IF(E711="","",ROW()-6)</f>
        <v>705</v>
      </c>
      <c r="B711" s="79" t="s">
        <v>586</v>
      </c>
      <c r="C711" s="80"/>
      <c r="D711" s="80"/>
      <c r="E711" s="80" t="s">
        <v>345</v>
      </c>
      <c r="F711" s="80"/>
      <c r="G711" s="80" t="s">
        <v>106</v>
      </c>
      <c r="H711" s="80"/>
      <c r="I711" s="80"/>
      <c r="J711" s="80"/>
      <c r="K711" s="80"/>
      <c r="L711" s="81" t="str">
        <f aca="false">IF(K711="","",IFERROR(INDEX(BARDAGE!$C$7:$C$1506,MATCH(K711,BARDAGE!$B$7:$B$1506,0)),"? hors registre"))</f>
        <v/>
      </c>
      <c r="M711" s="80"/>
      <c r="N711" s="81" t="str">
        <f aca="false">IF(M711="","",IFERROR(INDEX(BARDAGE!$C$7:$C$1506,MATCH(M711,BARDAGE!$B$7:$B$1506,0)),"? hors registre"))</f>
        <v/>
      </c>
      <c r="O711" s="80"/>
      <c r="P711" s="80"/>
      <c r="Q711" s="80"/>
      <c r="R711" s="82"/>
      <c r="S711" s="82"/>
      <c r="T711" s="80"/>
      <c r="U711" s="80"/>
      <c r="V711" s="82"/>
      <c r="W711" s="80"/>
      <c r="X711" s="80"/>
      <c r="Y711" s="80"/>
      <c r="Z711" s="80"/>
      <c r="AA711" s="82"/>
      <c r="AB711" s="80"/>
      <c r="AC711" s="80"/>
      <c r="AD711" s="80"/>
      <c r="AE711" s="80"/>
      <c r="AF711" s="82"/>
      <c r="AG711" s="80"/>
      <c r="AH711" s="80"/>
      <c r="AI711" s="82"/>
      <c r="AJ711" s="79"/>
      <c r="AK711" s="78" t="n">
        <f aca="false">IF(E711="","",(X711&lt;&gt;"")+(AC711&lt;&gt;"")+(AH711&lt;&gt;""))</f>
        <v>0</v>
      </c>
      <c r="AL711" s="81" t="str">
        <f aca="false">IF(AH711&lt;&gt;"",AH711,IF(AC711&lt;&gt;"",AC711,IF(X711&lt;&gt;"",X711,"")))</f>
        <v/>
      </c>
      <c r="AM711" s="83" t="str">
        <f aca="false">IF(E711="","",IF(R711="","À SOUDER",IF(U711="","VT EN ATTENTE",IF(U711="R","VT REJETÉ – À REPRENDRE",IF(AL711="","À RADIOGRAPHIER",IF(AL711="A","ACCEPTÉ",IF(AL711="NX","NX – RT À REFAIRE",IF(IF(AK711=1,Z711,IF(AK711=2,AE711,""))="A","RÉPARÉ – À RADIOGRAPHIER",IF(IF(AK711=1,Z711,IF(AK711=2,AE711,""))="R","VT REJETÉ – À REPRENDRE",IF(OR(AL711="CO",AL711="NT"),"COUPE – À RESOUDER","À RÉPARER"))))))))))</f>
        <v>À SOUDER</v>
      </c>
      <c r="AN711" s="81" t="str">
        <f aca="false">IF(AND(ISNUMBER(R711),OR(AM711="À RADIOGRAPHIER",AM711="RÉPARÉ – À RADIOGRAPHIER",AM711="NX – RT À REFAIRE",AM711="À RÉPARER",AM711="COUPE – À RESOUDER",AM711="VT REJETÉ – À REPRENDRE")),MAX(0,'PROGRAMME RT'!$C$4-R711),"")</f>
        <v/>
      </c>
      <c r="AO711" s="78" t="n">
        <f aca="false">IF(AND(OR(AM711="À RADIOGRAPHIER",AM711="RÉPARÉ – À RADIOGRAPHIER",AM711="NX – RT À REFAIRE"),OR('PROGRAMME RT'!$D$5="TOUTES",B711='PROGRAMME RT'!$D$5)),1,0)</f>
        <v>0</v>
      </c>
      <c r="AP711" s="78" t="str">
        <f aca="false">IF(AO711=1,SUM(AO$7:AO711),"")</f>
        <v/>
      </c>
      <c r="AQ711" s="78" t="n">
        <f aca="false">IF(AND(OR(X711="R",X711="NX",X711="NT",X711="CO"),OR('JOINTS DE RÉPARATION'!$D$5="TOUTES",B711='JOINTS DE RÉPARATION'!$D$5),OR('JOINTS DE RÉPARATION'!$L$4="TOUS",AM711&lt;&gt;"ACCEPTÉ")),1,0)</f>
        <v>0</v>
      </c>
      <c r="AR711" s="78" t="str">
        <f aca="false">IF(AQ711=1,SUM(AQ$7:AQ711),"")</f>
        <v/>
      </c>
    </row>
    <row r="712" customFormat="false" ht="15" hidden="false" customHeight="false" outlineLevel="0" collapsed="false">
      <c r="A712" s="78" t="n">
        <f aca="false">IF(E712="","",ROW()-6)</f>
        <v>706</v>
      </c>
      <c r="B712" s="79" t="s">
        <v>586</v>
      </c>
      <c r="C712" s="80"/>
      <c r="D712" s="80"/>
      <c r="E712" s="80" t="s">
        <v>348</v>
      </c>
      <c r="F712" s="80"/>
      <c r="G712" s="80" t="s">
        <v>106</v>
      </c>
      <c r="H712" s="80"/>
      <c r="I712" s="80"/>
      <c r="J712" s="80"/>
      <c r="K712" s="80"/>
      <c r="L712" s="81" t="str">
        <f aca="false">IF(K712="","",IFERROR(INDEX(BARDAGE!$C$7:$C$1506,MATCH(K712,BARDAGE!$B$7:$B$1506,0)),"? hors registre"))</f>
        <v/>
      </c>
      <c r="M712" s="80"/>
      <c r="N712" s="81" t="str">
        <f aca="false">IF(M712="","",IFERROR(INDEX(BARDAGE!$C$7:$C$1506,MATCH(M712,BARDAGE!$B$7:$B$1506,0)),"? hors registre"))</f>
        <v/>
      </c>
      <c r="O712" s="80"/>
      <c r="P712" s="80"/>
      <c r="Q712" s="80"/>
      <c r="R712" s="82"/>
      <c r="S712" s="82"/>
      <c r="T712" s="80"/>
      <c r="U712" s="80"/>
      <c r="V712" s="82"/>
      <c r="W712" s="80"/>
      <c r="X712" s="80"/>
      <c r="Y712" s="80"/>
      <c r="Z712" s="80"/>
      <c r="AA712" s="82"/>
      <c r="AB712" s="80"/>
      <c r="AC712" s="80"/>
      <c r="AD712" s="80"/>
      <c r="AE712" s="80"/>
      <c r="AF712" s="82"/>
      <c r="AG712" s="80"/>
      <c r="AH712" s="80"/>
      <c r="AI712" s="82"/>
      <c r="AJ712" s="79"/>
      <c r="AK712" s="78" t="n">
        <f aca="false">IF(E712="","",(X712&lt;&gt;"")+(AC712&lt;&gt;"")+(AH712&lt;&gt;""))</f>
        <v>0</v>
      </c>
      <c r="AL712" s="81" t="str">
        <f aca="false">IF(AH712&lt;&gt;"",AH712,IF(AC712&lt;&gt;"",AC712,IF(X712&lt;&gt;"",X712,"")))</f>
        <v/>
      </c>
      <c r="AM712" s="83" t="str">
        <f aca="false">IF(E712="","",IF(R712="","À SOUDER",IF(U712="","VT EN ATTENTE",IF(U712="R","VT REJETÉ – À REPRENDRE",IF(AL712="","À RADIOGRAPHIER",IF(AL712="A","ACCEPTÉ",IF(AL712="NX","NX – RT À REFAIRE",IF(IF(AK712=1,Z712,IF(AK712=2,AE712,""))="A","RÉPARÉ – À RADIOGRAPHIER",IF(IF(AK712=1,Z712,IF(AK712=2,AE712,""))="R","VT REJETÉ – À REPRENDRE",IF(OR(AL712="CO",AL712="NT"),"COUPE – À RESOUDER","À RÉPARER"))))))))))</f>
        <v>À SOUDER</v>
      </c>
      <c r="AN712" s="81" t="str">
        <f aca="false">IF(AND(ISNUMBER(R712),OR(AM712="À RADIOGRAPHIER",AM712="RÉPARÉ – À RADIOGRAPHIER",AM712="NX – RT À REFAIRE",AM712="À RÉPARER",AM712="COUPE – À RESOUDER",AM712="VT REJETÉ – À REPRENDRE")),MAX(0,'PROGRAMME RT'!$C$4-R712),"")</f>
        <v/>
      </c>
      <c r="AO712" s="78" t="n">
        <f aca="false">IF(AND(OR(AM712="À RADIOGRAPHIER",AM712="RÉPARÉ – À RADIOGRAPHIER",AM712="NX – RT À REFAIRE"),OR('PROGRAMME RT'!$D$5="TOUTES",B712='PROGRAMME RT'!$D$5)),1,0)</f>
        <v>0</v>
      </c>
      <c r="AP712" s="78" t="str">
        <f aca="false">IF(AO712=1,SUM(AO$7:AO712),"")</f>
        <v/>
      </c>
      <c r="AQ712" s="78" t="n">
        <f aca="false">IF(AND(OR(X712="R",X712="NX",X712="NT",X712="CO"),OR('JOINTS DE RÉPARATION'!$D$5="TOUTES",B712='JOINTS DE RÉPARATION'!$D$5),OR('JOINTS DE RÉPARATION'!$L$4="TOUS",AM712&lt;&gt;"ACCEPTÉ")),1,0)</f>
        <v>0</v>
      </c>
      <c r="AR712" s="78" t="str">
        <f aca="false">IF(AQ712=1,SUM(AQ$7:AQ712),"")</f>
        <v/>
      </c>
    </row>
    <row r="713" customFormat="false" ht="15" hidden="false" customHeight="false" outlineLevel="0" collapsed="false">
      <c r="A713" s="78" t="n">
        <f aca="false">IF(E713="","",ROW()-6)</f>
        <v>707</v>
      </c>
      <c r="B713" s="79" t="s">
        <v>586</v>
      </c>
      <c r="C713" s="80"/>
      <c r="D713" s="80"/>
      <c r="E713" s="80" t="s">
        <v>350</v>
      </c>
      <c r="F713" s="80"/>
      <c r="G713" s="80" t="s">
        <v>106</v>
      </c>
      <c r="H713" s="80"/>
      <c r="I713" s="80"/>
      <c r="J713" s="80"/>
      <c r="K713" s="80"/>
      <c r="L713" s="81" t="str">
        <f aca="false">IF(K713="","",IFERROR(INDEX(BARDAGE!$C$7:$C$1506,MATCH(K713,BARDAGE!$B$7:$B$1506,0)),"? hors registre"))</f>
        <v/>
      </c>
      <c r="M713" s="80"/>
      <c r="N713" s="81" t="str">
        <f aca="false">IF(M713="","",IFERROR(INDEX(BARDAGE!$C$7:$C$1506,MATCH(M713,BARDAGE!$B$7:$B$1506,0)),"? hors registre"))</f>
        <v/>
      </c>
      <c r="O713" s="80"/>
      <c r="P713" s="80"/>
      <c r="Q713" s="80"/>
      <c r="R713" s="82"/>
      <c r="S713" s="82"/>
      <c r="T713" s="80"/>
      <c r="U713" s="80"/>
      <c r="V713" s="82"/>
      <c r="W713" s="80"/>
      <c r="X713" s="80"/>
      <c r="Y713" s="80"/>
      <c r="Z713" s="80"/>
      <c r="AA713" s="82"/>
      <c r="AB713" s="80"/>
      <c r="AC713" s="80"/>
      <c r="AD713" s="80"/>
      <c r="AE713" s="80"/>
      <c r="AF713" s="82"/>
      <c r="AG713" s="80"/>
      <c r="AH713" s="80"/>
      <c r="AI713" s="82"/>
      <c r="AJ713" s="79"/>
      <c r="AK713" s="78" t="n">
        <f aca="false">IF(E713="","",(X713&lt;&gt;"")+(AC713&lt;&gt;"")+(AH713&lt;&gt;""))</f>
        <v>0</v>
      </c>
      <c r="AL713" s="81" t="str">
        <f aca="false">IF(AH713&lt;&gt;"",AH713,IF(AC713&lt;&gt;"",AC713,IF(X713&lt;&gt;"",X713,"")))</f>
        <v/>
      </c>
      <c r="AM713" s="83" t="str">
        <f aca="false">IF(E713="","",IF(R713="","À SOUDER",IF(U713="","VT EN ATTENTE",IF(U713="R","VT REJETÉ – À REPRENDRE",IF(AL713="","À RADIOGRAPHIER",IF(AL713="A","ACCEPTÉ",IF(AL713="NX","NX – RT À REFAIRE",IF(IF(AK713=1,Z713,IF(AK713=2,AE713,""))="A","RÉPARÉ – À RADIOGRAPHIER",IF(IF(AK713=1,Z713,IF(AK713=2,AE713,""))="R","VT REJETÉ – À REPRENDRE",IF(OR(AL713="CO",AL713="NT"),"COUPE – À RESOUDER","À RÉPARER"))))))))))</f>
        <v>À SOUDER</v>
      </c>
      <c r="AN713" s="81" t="str">
        <f aca="false">IF(AND(ISNUMBER(R713),OR(AM713="À RADIOGRAPHIER",AM713="RÉPARÉ – À RADIOGRAPHIER",AM713="NX – RT À REFAIRE",AM713="À RÉPARER",AM713="COUPE – À RESOUDER",AM713="VT REJETÉ – À REPRENDRE")),MAX(0,'PROGRAMME RT'!$C$4-R713),"")</f>
        <v/>
      </c>
      <c r="AO713" s="78" t="n">
        <f aca="false">IF(AND(OR(AM713="À RADIOGRAPHIER",AM713="RÉPARÉ – À RADIOGRAPHIER",AM713="NX – RT À REFAIRE"),OR('PROGRAMME RT'!$D$5="TOUTES",B713='PROGRAMME RT'!$D$5)),1,0)</f>
        <v>0</v>
      </c>
      <c r="AP713" s="78" t="str">
        <f aca="false">IF(AO713=1,SUM(AO$7:AO713),"")</f>
        <v/>
      </c>
      <c r="AQ713" s="78" t="n">
        <f aca="false">IF(AND(OR(X713="R",X713="NX",X713="NT",X713="CO"),OR('JOINTS DE RÉPARATION'!$D$5="TOUTES",B713='JOINTS DE RÉPARATION'!$D$5),OR('JOINTS DE RÉPARATION'!$L$4="TOUS",AM713&lt;&gt;"ACCEPTÉ")),1,0)</f>
        <v>0</v>
      </c>
      <c r="AR713" s="78" t="str">
        <f aca="false">IF(AQ713=1,SUM(AQ$7:AQ713),"")</f>
        <v/>
      </c>
    </row>
    <row r="714" customFormat="false" ht="15" hidden="false" customHeight="false" outlineLevel="0" collapsed="false">
      <c r="A714" s="78" t="n">
        <f aca="false">IF(E714="","",ROW()-6)</f>
        <v>708</v>
      </c>
      <c r="B714" s="79" t="s">
        <v>586</v>
      </c>
      <c r="C714" s="80"/>
      <c r="D714" s="80"/>
      <c r="E714" s="80" t="s">
        <v>352</v>
      </c>
      <c r="F714" s="80"/>
      <c r="G714" s="80" t="s">
        <v>106</v>
      </c>
      <c r="H714" s="80"/>
      <c r="I714" s="80"/>
      <c r="J714" s="80"/>
      <c r="K714" s="80"/>
      <c r="L714" s="81" t="str">
        <f aca="false">IF(K714="","",IFERROR(INDEX(BARDAGE!$C$7:$C$1506,MATCH(K714,BARDAGE!$B$7:$B$1506,0)),"? hors registre"))</f>
        <v/>
      </c>
      <c r="M714" s="80"/>
      <c r="N714" s="81" t="str">
        <f aca="false">IF(M714="","",IFERROR(INDEX(BARDAGE!$C$7:$C$1506,MATCH(M714,BARDAGE!$B$7:$B$1506,0)),"? hors registre"))</f>
        <v/>
      </c>
      <c r="O714" s="80"/>
      <c r="P714" s="80"/>
      <c r="Q714" s="80"/>
      <c r="R714" s="82"/>
      <c r="S714" s="82"/>
      <c r="T714" s="80"/>
      <c r="U714" s="80"/>
      <c r="V714" s="82"/>
      <c r="W714" s="80"/>
      <c r="X714" s="80"/>
      <c r="Y714" s="80"/>
      <c r="Z714" s="80"/>
      <c r="AA714" s="82"/>
      <c r="AB714" s="80"/>
      <c r="AC714" s="80"/>
      <c r="AD714" s="80"/>
      <c r="AE714" s="80"/>
      <c r="AF714" s="82"/>
      <c r="AG714" s="80"/>
      <c r="AH714" s="80"/>
      <c r="AI714" s="82"/>
      <c r="AJ714" s="79"/>
      <c r="AK714" s="78" t="n">
        <f aca="false">IF(E714="","",(X714&lt;&gt;"")+(AC714&lt;&gt;"")+(AH714&lt;&gt;""))</f>
        <v>0</v>
      </c>
      <c r="AL714" s="81" t="str">
        <f aca="false">IF(AH714&lt;&gt;"",AH714,IF(AC714&lt;&gt;"",AC714,IF(X714&lt;&gt;"",X714,"")))</f>
        <v/>
      </c>
      <c r="AM714" s="83" t="str">
        <f aca="false">IF(E714="","",IF(R714="","À SOUDER",IF(U714="","VT EN ATTENTE",IF(U714="R","VT REJETÉ – À REPRENDRE",IF(AL714="","À RADIOGRAPHIER",IF(AL714="A","ACCEPTÉ",IF(AL714="NX","NX – RT À REFAIRE",IF(IF(AK714=1,Z714,IF(AK714=2,AE714,""))="A","RÉPARÉ – À RADIOGRAPHIER",IF(IF(AK714=1,Z714,IF(AK714=2,AE714,""))="R","VT REJETÉ – À REPRENDRE",IF(OR(AL714="CO",AL714="NT"),"COUPE – À RESOUDER","À RÉPARER"))))))))))</f>
        <v>À SOUDER</v>
      </c>
      <c r="AN714" s="81" t="str">
        <f aca="false">IF(AND(ISNUMBER(R714),OR(AM714="À RADIOGRAPHIER",AM714="RÉPARÉ – À RADIOGRAPHIER",AM714="NX – RT À REFAIRE",AM714="À RÉPARER",AM714="COUPE – À RESOUDER",AM714="VT REJETÉ – À REPRENDRE")),MAX(0,'PROGRAMME RT'!$C$4-R714),"")</f>
        <v/>
      </c>
      <c r="AO714" s="78" t="n">
        <f aca="false">IF(AND(OR(AM714="À RADIOGRAPHIER",AM714="RÉPARÉ – À RADIOGRAPHIER",AM714="NX – RT À REFAIRE"),OR('PROGRAMME RT'!$D$5="TOUTES",B714='PROGRAMME RT'!$D$5)),1,0)</f>
        <v>0</v>
      </c>
      <c r="AP714" s="78" t="str">
        <f aca="false">IF(AO714=1,SUM(AO$7:AO714),"")</f>
        <v/>
      </c>
      <c r="AQ714" s="78" t="n">
        <f aca="false">IF(AND(OR(X714="R",X714="NX",X714="NT",X714="CO"),OR('JOINTS DE RÉPARATION'!$D$5="TOUTES",B714='JOINTS DE RÉPARATION'!$D$5),OR('JOINTS DE RÉPARATION'!$L$4="TOUS",AM714&lt;&gt;"ACCEPTÉ")),1,0)</f>
        <v>0</v>
      </c>
      <c r="AR714" s="78" t="str">
        <f aca="false">IF(AQ714=1,SUM(AQ$7:AQ714),"")</f>
        <v/>
      </c>
    </row>
    <row r="715" customFormat="false" ht="15" hidden="false" customHeight="false" outlineLevel="0" collapsed="false">
      <c r="A715" s="78" t="n">
        <f aca="false">IF(E715="","",ROW()-6)</f>
        <v>709</v>
      </c>
      <c r="B715" s="79" t="s">
        <v>586</v>
      </c>
      <c r="C715" s="80"/>
      <c r="D715" s="80"/>
      <c r="E715" s="80" t="s">
        <v>580</v>
      </c>
      <c r="F715" s="80"/>
      <c r="G715" s="80" t="s">
        <v>106</v>
      </c>
      <c r="H715" s="80"/>
      <c r="I715" s="80"/>
      <c r="J715" s="80"/>
      <c r="K715" s="80"/>
      <c r="L715" s="81" t="str">
        <f aca="false">IF(K715="","",IFERROR(INDEX(BARDAGE!$C$7:$C$1506,MATCH(K715,BARDAGE!$B$7:$B$1506,0)),"? hors registre"))</f>
        <v/>
      </c>
      <c r="M715" s="80"/>
      <c r="N715" s="81" t="str">
        <f aca="false">IF(M715="","",IFERROR(INDEX(BARDAGE!$C$7:$C$1506,MATCH(M715,BARDAGE!$B$7:$B$1506,0)),"? hors registre"))</f>
        <v/>
      </c>
      <c r="O715" s="80"/>
      <c r="P715" s="80"/>
      <c r="Q715" s="80"/>
      <c r="R715" s="82"/>
      <c r="S715" s="82"/>
      <c r="T715" s="80"/>
      <c r="U715" s="80"/>
      <c r="V715" s="82"/>
      <c r="W715" s="80"/>
      <c r="X715" s="80"/>
      <c r="Y715" s="80"/>
      <c r="Z715" s="80"/>
      <c r="AA715" s="82"/>
      <c r="AB715" s="80"/>
      <c r="AC715" s="80"/>
      <c r="AD715" s="80"/>
      <c r="AE715" s="80"/>
      <c r="AF715" s="82"/>
      <c r="AG715" s="80"/>
      <c r="AH715" s="80"/>
      <c r="AI715" s="82"/>
      <c r="AJ715" s="79"/>
      <c r="AK715" s="78" t="n">
        <f aca="false">IF(E715="","",(X715&lt;&gt;"")+(AC715&lt;&gt;"")+(AH715&lt;&gt;""))</f>
        <v>0</v>
      </c>
      <c r="AL715" s="81" t="str">
        <f aca="false">IF(AH715&lt;&gt;"",AH715,IF(AC715&lt;&gt;"",AC715,IF(X715&lt;&gt;"",X715,"")))</f>
        <v/>
      </c>
      <c r="AM715" s="83" t="str">
        <f aca="false">IF(E715="","",IF(R715="","À SOUDER",IF(U715="","VT EN ATTENTE",IF(U715="R","VT REJETÉ – À REPRENDRE",IF(AL715="","À RADIOGRAPHIER",IF(AL715="A","ACCEPTÉ",IF(AL715="NX","NX – RT À REFAIRE",IF(IF(AK715=1,Z715,IF(AK715=2,AE715,""))="A","RÉPARÉ – À RADIOGRAPHIER",IF(IF(AK715=1,Z715,IF(AK715=2,AE715,""))="R","VT REJETÉ – À REPRENDRE",IF(OR(AL715="CO",AL715="NT"),"COUPE – À RESOUDER","À RÉPARER"))))))))))</f>
        <v>À SOUDER</v>
      </c>
      <c r="AN715" s="81" t="str">
        <f aca="false">IF(AND(ISNUMBER(R715),OR(AM715="À RADIOGRAPHIER",AM715="RÉPARÉ – À RADIOGRAPHIER",AM715="NX – RT À REFAIRE",AM715="À RÉPARER",AM715="COUPE – À RESOUDER",AM715="VT REJETÉ – À REPRENDRE")),MAX(0,'PROGRAMME RT'!$C$4-R715),"")</f>
        <v/>
      </c>
      <c r="AO715" s="78" t="n">
        <f aca="false">IF(AND(OR(AM715="À RADIOGRAPHIER",AM715="RÉPARÉ – À RADIOGRAPHIER",AM715="NX – RT À REFAIRE"),OR('PROGRAMME RT'!$D$5="TOUTES",B715='PROGRAMME RT'!$D$5)),1,0)</f>
        <v>0</v>
      </c>
      <c r="AP715" s="78" t="str">
        <f aca="false">IF(AO715=1,SUM(AO$7:AO715),"")</f>
        <v/>
      </c>
      <c r="AQ715" s="78" t="n">
        <f aca="false">IF(AND(OR(X715="R",X715="NX",X715="NT",X715="CO"),OR('JOINTS DE RÉPARATION'!$D$5="TOUTES",B715='JOINTS DE RÉPARATION'!$D$5),OR('JOINTS DE RÉPARATION'!$L$4="TOUS",AM715&lt;&gt;"ACCEPTÉ")),1,0)</f>
        <v>0</v>
      </c>
      <c r="AR715" s="78" t="str">
        <f aca="false">IF(AQ715=1,SUM(AQ$7:AQ715),"")</f>
        <v/>
      </c>
    </row>
    <row r="716" customFormat="false" ht="15" hidden="false" customHeight="false" outlineLevel="0" collapsed="false">
      <c r="A716" s="78" t="n">
        <f aca="false">IF(E716="","",ROW()-6)</f>
        <v>710</v>
      </c>
      <c r="B716" s="79" t="s">
        <v>586</v>
      </c>
      <c r="C716" s="80"/>
      <c r="D716" s="80"/>
      <c r="E716" s="80" t="s">
        <v>357</v>
      </c>
      <c r="F716" s="80"/>
      <c r="G716" s="80" t="s">
        <v>106</v>
      </c>
      <c r="H716" s="80"/>
      <c r="I716" s="80"/>
      <c r="J716" s="80"/>
      <c r="K716" s="80"/>
      <c r="L716" s="81" t="str">
        <f aca="false">IF(K716="","",IFERROR(INDEX(BARDAGE!$C$7:$C$1506,MATCH(K716,BARDAGE!$B$7:$B$1506,0)),"? hors registre"))</f>
        <v/>
      </c>
      <c r="M716" s="80"/>
      <c r="N716" s="81" t="str">
        <f aca="false">IF(M716="","",IFERROR(INDEX(BARDAGE!$C$7:$C$1506,MATCH(M716,BARDAGE!$B$7:$B$1506,0)),"? hors registre"))</f>
        <v/>
      </c>
      <c r="O716" s="80"/>
      <c r="P716" s="80"/>
      <c r="Q716" s="80"/>
      <c r="R716" s="82"/>
      <c r="S716" s="82"/>
      <c r="T716" s="80"/>
      <c r="U716" s="80"/>
      <c r="V716" s="82"/>
      <c r="W716" s="80"/>
      <c r="X716" s="80"/>
      <c r="Y716" s="80"/>
      <c r="Z716" s="80"/>
      <c r="AA716" s="82"/>
      <c r="AB716" s="80"/>
      <c r="AC716" s="80"/>
      <c r="AD716" s="80"/>
      <c r="AE716" s="80"/>
      <c r="AF716" s="82"/>
      <c r="AG716" s="80"/>
      <c r="AH716" s="80"/>
      <c r="AI716" s="82"/>
      <c r="AJ716" s="79"/>
      <c r="AK716" s="78" t="n">
        <f aca="false">IF(E716="","",(X716&lt;&gt;"")+(AC716&lt;&gt;"")+(AH716&lt;&gt;""))</f>
        <v>0</v>
      </c>
      <c r="AL716" s="81" t="str">
        <f aca="false">IF(AH716&lt;&gt;"",AH716,IF(AC716&lt;&gt;"",AC716,IF(X716&lt;&gt;"",X716,"")))</f>
        <v/>
      </c>
      <c r="AM716" s="83" t="str">
        <f aca="false">IF(E716="","",IF(R716="","À SOUDER",IF(U716="","VT EN ATTENTE",IF(U716="R","VT REJETÉ – À REPRENDRE",IF(AL716="","À RADIOGRAPHIER",IF(AL716="A","ACCEPTÉ",IF(AL716="NX","NX – RT À REFAIRE",IF(IF(AK716=1,Z716,IF(AK716=2,AE716,""))="A","RÉPARÉ – À RADIOGRAPHIER",IF(IF(AK716=1,Z716,IF(AK716=2,AE716,""))="R","VT REJETÉ – À REPRENDRE",IF(OR(AL716="CO",AL716="NT"),"COUPE – À RESOUDER","À RÉPARER"))))))))))</f>
        <v>À SOUDER</v>
      </c>
      <c r="AN716" s="81" t="str">
        <f aca="false">IF(AND(ISNUMBER(R716),OR(AM716="À RADIOGRAPHIER",AM716="RÉPARÉ – À RADIOGRAPHIER",AM716="NX – RT À REFAIRE",AM716="À RÉPARER",AM716="COUPE – À RESOUDER",AM716="VT REJETÉ – À REPRENDRE")),MAX(0,'PROGRAMME RT'!$C$4-R716),"")</f>
        <v/>
      </c>
      <c r="AO716" s="78" t="n">
        <f aca="false">IF(AND(OR(AM716="À RADIOGRAPHIER",AM716="RÉPARÉ – À RADIOGRAPHIER",AM716="NX – RT À REFAIRE"),OR('PROGRAMME RT'!$D$5="TOUTES",B716='PROGRAMME RT'!$D$5)),1,0)</f>
        <v>0</v>
      </c>
      <c r="AP716" s="78" t="str">
        <f aca="false">IF(AO716=1,SUM(AO$7:AO716),"")</f>
        <v/>
      </c>
      <c r="AQ716" s="78" t="n">
        <f aca="false">IF(AND(OR(X716="R",X716="NX",X716="NT",X716="CO"),OR('JOINTS DE RÉPARATION'!$D$5="TOUTES",B716='JOINTS DE RÉPARATION'!$D$5),OR('JOINTS DE RÉPARATION'!$L$4="TOUS",AM716&lt;&gt;"ACCEPTÉ")),1,0)</f>
        <v>0</v>
      </c>
      <c r="AR716" s="78" t="str">
        <f aca="false">IF(AQ716=1,SUM(AQ$7:AQ716),"")</f>
        <v/>
      </c>
    </row>
    <row r="717" customFormat="false" ht="15" hidden="false" customHeight="false" outlineLevel="0" collapsed="false">
      <c r="A717" s="78" t="n">
        <f aca="false">IF(E717="","",ROW()-6)</f>
        <v>711</v>
      </c>
      <c r="B717" s="79" t="s">
        <v>586</v>
      </c>
      <c r="C717" s="80"/>
      <c r="D717" s="80"/>
      <c r="E717" s="80" t="s">
        <v>359</v>
      </c>
      <c r="F717" s="80"/>
      <c r="G717" s="80" t="s">
        <v>106</v>
      </c>
      <c r="H717" s="80"/>
      <c r="I717" s="80"/>
      <c r="J717" s="80"/>
      <c r="K717" s="80"/>
      <c r="L717" s="81" t="str">
        <f aca="false">IF(K717="","",IFERROR(INDEX(BARDAGE!$C$7:$C$1506,MATCH(K717,BARDAGE!$B$7:$B$1506,0)),"? hors registre"))</f>
        <v/>
      </c>
      <c r="M717" s="80"/>
      <c r="N717" s="81" t="str">
        <f aca="false">IF(M717="","",IFERROR(INDEX(BARDAGE!$C$7:$C$1506,MATCH(M717,BARDAGE!$B$7:$B$1506,0)),"? hors registre"))</f>
        <v/>
      </c>
      <c r="O717" s="80"/>
      <c r="P717" s="80"/>
      <c r="Q717" s="80"/>
      <c r="R717" s="82"/>
      <c r="S717" s="82"/>
      <c r="T717" s="80"/>
      <c r="U717" s="80"/>
      <c r="V717" s="82"/>
      <c r="W717" s="80"/>
      <c r="X717" s="80"/>
      <c r="Y717" s="80"/>
      <c r="Z717" s="80"/>
      <c r="AA717" s="82"/>
      <c r="AB717" s="80"/>
      <c r="AC717" s="80"/>
      <c r="AD717" s="80"/>
      <c r="AE717" s="80"/>
      <c r="AF717" s="82"/>
      <c r="AG717" s="80"/>
      <c r="AH717" s="80"/>
      <c r="AI717" s="82"/>
      <c r="AJ717" s="79"/>
      <c r="AK717" s="78" t="n">
        <f aca="false">IF(E717="","",(X717&lt;&gt;"")+(AC717&lt;&gt;"")+(AH717&lt;&gt;""))</f>
        <v>0</v>
      </c>
      <c r="AL717" s="81" t="str">
        <f aca="false">IF(AH717&lt;&gt;"",AH717,IF(AC717&lt;&gt;"",AC717,IF(X717&lt;&gt;"",X717,"")))</f>
        <v/>
      </c>
      <c r="AM717" s="83" t="str">
        <f aca="false">IF(E717="","",IF(R717="","À SOUDER",IF(U717="","VT EN ATTENTE",IF(U717="R","VT REJETÉ – À REPRENDRE",IF(AL717="","À RADIOGRAPHIER",IF(AL717="A","ACCEPTÉ",IF(AL717="NX","NX – RT À REFAIRE",IF(IF(AK717=1,Z717,IF(AK717=2,AE717,""))="A","RÉPARÉ – À RADIOGRAPHIER",IF(IF(AK717=1,Z717,IF(AK717=2,AE717,""))="R","VT REJETÉ – À REPRENDRE",IF(OR(AL717="CO",AL717="NT"),"COUPE – À RESOUDER","À RÉPARER"))))))))))</f>
        <v>À SOUDER</v>
      </c>
      <c r="AN717" s="81" t="str">
        <f aca="false">IF(AND(ISNUMBER(R717),OR(AM717="À RADIOGRAPHIER",AM717="RÉPARÉ – À RADIOGRAPHIER",AM717="NX – RT À REFAIRE",AM717="À RÉPARER",AM717="COUPE – À RESOUDER",AM717="VT REJETÉ – À REPRENDRE")),MAX(0,'PROGRAMME RT'!$C$4-R717),"")</f>
        <v/>
      </c>
      <c r="AO717" s="78" t="n">
        <f aca="false">IF(AND(OR(AM717="À RADIOGRAPHIER",AM717="RÉPARÉ – À RADIOGRAPHIER",AM717="NX – RT À REFAIRE"),OR('PROGRAMME RT'!$D$5="TOUTES",B717='PROGRAMME RT'!$D$5)),1,0)</f>
        <v>0</v>
      </c>
      <c r="AP717" s="78" t="str">
        <f aca="false">IF(AO717=1,SUM(AO$7:AO717),"")</f>
        <v/>
      </c>
      <c r="AQ717" s="78" t="n">
        <f aca="false">IF(AND(OR(X717="R",X717="NX",X717="NT",X717="CO"),OR('JOINTS DE RÉPARATION'!$D$5="TOUTES",B717='JOINTS DE RÉPARATION'!$D$5),OR('JOINTS DE RÉPARATION'!$L$4="TOUS",AM717&lt;&gt;"ACCEPTÉ")),1,0)</f>
        <v>0</v>
      </c>
      <c r="AR717" s="78" t="str">
        <f aca="false">IF(AQ717=1,SUM(AQ$7:AQ717),"")</f>
        <v/>
      </c>
    </row>
    <row r="718" customFormat="false" ht="15" hidden="false" customHeight="false" outlineLevel="0" collapsed="false">
      <c r="A718" s="78" t="n">
        <f aca="false">IF(E718="","",ROW()-6)</f>
        <v>712</v>
      </c>
      <c r="B718" s="79" t="s">
        <v>586</v>
      </c>
      <c r="C718" s="80"/>
      <c r="D718" s="80"/>
      <c r="E718" s="80" t="s">
        <v>361</v>
      </c>
      <c r="F718" s="80"/>
      <c r="G718" s="80" t="s">
        <v>106</v>
      </c>
      <c r="H718" s="80"/>
      <c r="I718" s="80"/>
      <c r="J718" s="80"/>
      <c r="K718" s="80"/>
      <c r="L718" s="81" t="str">
        <f aca="false">IF(K718="","",IFERROR(INDEX(BARDAGE!$C$7:$C$1506,MATCH(K718,BARDAGE!$B$7:$B$1506,0)),"? hors registre"))</f>
        <v/>
      </c>
      <c r="M718" s="80"/>
      <c r="N718" s="81" t="str">
        <f aca="false">IF(M718="","",IFERROR(INDEX(BARDAGE!$C$7:$C$1506,MATCH(M718,BARDAGE!$B$7:$B$1506,0)),"? hors registre"))</f>
        <v/>
      </c>
      <c r="O718" s="80"/>
      <c r="P718" s="80"/>
      <c r="Q718" s="80"/>
      <c r="R718" s="82"/>
      <c r="S718" s="82"/>
      <c r="T718" s="80"/>
      <c r="U718" s="80"/>
      <c r="V718" s="82"/>
      <c r="W718" s="80"/>
      <c r="X718" s="80"/>
      <c r="Y718" s="80"/>
      <c r="Z718" s="80"/>
      <c r="AA718" s="82"/>
      <c r="AB718" s="80"/>
      <c r="AC718" s="80"/>
      <c r="AD718" s="80"/>
      <c r="AE718" s="80"/>
      <c r="AF718" s="82"/>
      <c r="AG718" s="80"/>
      <c r="AH718" s="80"/>
      <c r="AI718" s="82"/>
      <c r="AJ718" s="79"/>
      <c r="AK718" s="78" t="n">
        <f aca="false">IF(E718="","",(X718&lt;&gt;"")+(AC718&lt;&gt;"")+(AH718&lt;&gt;""))</f>
        <v>0</v>
      </c>
      <c r="AL718" s="81" t="str">
        <f aca="false">IF(AH718&lt;&gt;"",AH718,IF(AC718&lt;&gt;"",AC718,IF(X718&lt;&gt;"",X718,"")))</f>
        <v/>
      </c>
      <c r="AM718" s="83" t="str">
        <f aca="false">IF(E718="","",IF(R718="","À SOUDER",IF(U718="","VT EN ATTENTE",IF(U718="R","VT REJETÉ – À REPRENDRE",IF(AL718="","À RADIOGRAPHIER",IF(AL718="A","ACCEPTÉ",IF(AL718="NX","NX – RT À REFAIRE",IF(IF(AK718=1,Z718,IF(AK718=2,AE718,""))="A","RÉPARÉ – À RADIOGRAPHIER",IF(IF(AK718=1,Z718,IF(AK718=2,AE718,""))="R","VT REJETÉ – À REPRENDRE",IF(OR(AL718="CO",AL718="NT"),"COUPE – À RESOUDER","À RÉPARER"))))))))))</f>
        <v>À SOUDER</v>
      </c>
      <c r="AN718" s="81" t="str">
        <f aca="false">IF(AND(ISNUMBER(R718),OR(AM718="À RADIOGRAPHIER",AM718="RÉPARÉ – À RADIOGRAPHIER",AM718="NX – RT À REFAIRE",AM718="À RÉPARER",AM718="COUPE – À RESOUDER",AM718="VT REJETÉ – À REPRENDRE")),MAX(0,'PROGRAMME RT'!$C$4-R718),"")</f>
        <v/>
      </c>
      <c r="AO718" s="78" t="n">
        <f aca="false">IF(AND(OR(AM718="À RADIOGRAPHIER",AM718="RÉPARÉ – À RADIOGRAPHIER",AM718="NX – RT À REFAIRE"),OR('PROGRAMME RT'!$D$5="TOUTES",B718='PROGRAMME RT'!$D$5)),1,0)</f>
        <v>0</v>
      </c>
      <c r="AP718" s="78" t="str">
        <f aca="false">IF(AO718=1,SUM(AO$7:AO718),"")</f>
        <v/>
      </c>
      <c r="AQ718" s="78" t="n">
        <f aca="false">IF(AND(OR(X718="R",X718="NX",X718="NT",X718="CO"),OR('JOINTS DE RÉPARATION'!$D$5="TOUTES",B718='JOINTS DE RÉPARATION'!$D$5),OR('JOINTS DE RÉPARATION'!$L$4="TOUS",AM718&lt;&gt;"ACCEPTÉ")),1,0)</f>
        <v>0</v>
      </c>
      <c r="AR718" s="78" t="str">
        <f aca="false">IF(AQ718=1,SUM(AQ$7:AQ718),"")</f>
        <v/>
      </c>
    </row>
    <row r="719" customFormat="false" ht="15" hidden="false" customHeight="false" outlineLevel="0" collapsed="false">
      <c r="A719" s="78" t="n">
        <f aca="false">IF(E719="","",ROW()-6)</f>
        <v>713</v>
      </c>
      <c r="B719" s="79" t="s">
        <v>586</v>
      </c>
      <c r="C719" s="80"/>
      <c r="D719" s="80"/>
      <c r="E719" s="80" t="s">
        <v>363</v>
      </c>
      <c r="F719" s="80"/>
      <c r="G719" s="80" t="s">
        <v>106</v>
      </c>
      <c r="H719" s="80"/>
      <c r="I719" s="80"/>
      <c r="J719" s="80"/>
      <c r="K719" s="80"/>
      <c r="L719" s="81" t="str">
        <f aca="false">IF(K719="","",IFERROR(INDEX(BARDAGE!$C$7:$C$1506,MATCH(K719,BARDAGE!$B$7:$B$1506,0)),"? hors registre"))</f>
        <v/>
      </c>
      <c r="M719" s="80"/>
      <c r="N719" s="81" t="str">
        <f aca="false">IF(M719="","",IFERROR(INDEX(BARDAGE!$C$7:$C$1506,MATCH(M719,BARDAGE!$B$7:$B$1506,0)),"? hors registre"))</f>
        <v/>
      </c>
      <c r="O719" s="80"/>
      <c r="P719" s="80"/>
      <c r="Q719" s="80"/>
      <c r="R719" s="82"/>
      <c r="S719" s="82"/>
      <c r="T719" s="80"/>
      <c r="U719" s="80"/>
      <c r="V719" s="82"/>
      <c r="W719" s="80"/>
      <c r="X719" s="80"/>
      <c r="Y719" s="80"/>
      <c r="Z719" s="80"/>
      <c r="AA719" s="82"/>
      <c r="AB719" s="80"/>
      <c r="AC719" s="80"/>
      <c r="AD719" s="80"/>
      <c r="AE719" s="80"/>
      <c r="AF719" s="82"/>
      <c r="AG719" s="80"/>
      <c r="AH719" s="80"/>
      <c r="AI719" s="82"/>
      <c r="AJ719" s="79"/>
      <c r="AK719" s="78" t="n">
        <f aca="false">IF(E719="","",(X719&lt;&gt;"")+(AC719&lt;&gt;"")+(AH719&lt;&gt;""))</f>
        <v>0</v>
      </c>
      <c r="AL719" s="81" t="str">
        <f aca="false">IF(AH719&lt;&gt;"",AH719,IF(AC719&lt;&gt;"",AC719,IF(X719&lt;&gt;"",X719,"")))</f>
        <v/>
      </c>
      <c r="AM719" s="83" t="str">
        <f aca="false">IF(E719="","",IF(R719="","À SOUDER",IF(U719="","VT EN ATTENTE",IF(U719="R","VT REJETÉ – À REPRENDRE",IF(AL719="","À RADIOGRAPHIER",IF(AL719="A","ACCEPTÉ",IF(AL719="NX","NX – RT À REFAIRE",IF(IF(AK719=1,Z719,IF(AK719=2,AE719,""))="A","RÉPARÉ – À RADIOGRAPHIER",IF(IF(AK719=1,Z719,IF(AK719=2,AE719,""))="R","VT REJETÉ – À REPRENDRE",IF(OR(AL719="CO",AL719="NT"),"COUPE – À RESOUDER","À RÉPARER"))))))))))</f>
        <v>À SOUDER</v>
      </c>
      <c r="AN719" s="81" t="str">
        <f aca="false">IF(AND(ISNUMBER(R719),OR(AM719="À RADIOGRAPHIER",AM719="RÉPARÉ – À RADIOGRAPHIER",AM719="NX – RT À REFAIRE",AM719="À RÉPARER",AM719="COUPE – À RESOUDER",AM719="VT REJETÉ – À REPRENDRE")),MAX(0,'PROGRAMME RT'!$C$4-R719),"")</f>
        <v/>
      </c>
      <c r="AO719" s="78" t="n">
        <f aca="false">IF(AND(OR(AM719="À RADIOGRAPHIER",AM719="RÉPARÉ – À RADIOGRAPHIER",AM719="NX – RT À REFAIRE"),OR('PROGRAMME RT'!$D$5="TOUTES",B719='PROGRAMME RT'!$D$5)),1,0)</f>
        <v>0</v>
      </c>
      <c r="AP719" s="78" t="str">
        <f aca="false">IF(AO719=1,SUM(AO$7:AO719),"")</f>
        <v/>
      </c>
      <c r="AQ719" s="78" t="n">
        <f aca="false">IF(AND(OR(X719="R",X719="NX",X719="NT",X719="CO"),OR('JOINTS DE RÉPARATION'!$D$5="TOUTES",B719='JOINTS DE RÉPARATION'!$D$5),OR('JOINTS DE RÉPARATION'!$L$4="TOUS",AM719&lt;&gt;"ACCEPTÉ")),1,0)</f>
        <v>0</v>
      </c>
      <c r="AR719" s="78" t="str">
        <f aca="false">IF(AQ719=1,SUM(AQ$7:AQ719),"")</f>
        <v/>
      </c>
    </row>
    <row r="720" customFormat="false" ht="15" hidden="false" customHeight="false" outlineLevel="0" collapsed="false">
      <c r="A720" s="78" t="n">
        <f aca="false">IF(E720="","",ROW()-6)</f>
        <v>714</v>
      </c>
      <c r="B720" s="79" t="s">
        <v>586</v>
      </c>
      <c r="C720" s="80"/>
      <c r="D720" s="80"/>
      <c r="E720" s="80" t="s">
        <v>365</v>
      </c>
      <c r="F720" s="80"/>
      <c r="G720" s="80" t="s">
        <v>106</v>
      </c>
      <c r="H720" s="80"/>
      <c r="I720" s="80"/>
      <c r="J720" s="80"/>
      <c r="K720" s="80"/>
      <c r="L720" s="81" t="str">
        <f aca="false">IF(K720="","",IFERROR(INDEX(BARDAGE!$C$7:$C$1506,MATCH(K720,BARDAGE!$B$7:$B$1506,0)),"? hors registre"))</f>
        <v/>
      </c>
      <c r="M720" s="80"/>
      <c r="N720" s="81" t="str">
        <f aca="false">IF(M720="","",IFERROR(INDEX(BARDAGE!$C$7:$C$1506,MATCH(M720,BARDAGE!$B$7:$B$1506,0)),"? hors registre"))</f>
        <v/>
      </c>
      <c r="O720" s="80"/>
      <c r="P720" s="80"/>
      <c r="Q720" s="80"/>
      <c r="R720" s="82"/>
      <c r="S720" s="82"/>
      <c r="T720" s="80"/>
      <c r="U720" s="80"/>
      <c r="V720" s="82"/>
      <c r="W720" s="80"/>
      <c r="X720" s="80"/>
      <c r="Y720" s="80"/>
      <c r="Z720" s="80"/>
      <c r="AA720" s="82"/>
      <c r="AB720" s="80"/>
      <c r="AC720" s="80"/>
      <c r="AD720" s="80"/>
      <c r="AE720" s="80"/>
      <c r="AF720" s="82"/>
      <c r="AG720" s="80"/>
      <c r="AH720" s="80"/>
      <c r="AI720" s="82"/>
      <c r="AJ720" s="79"/>
      <c r="AK720" s="78" t="n">
        <f aca="false">IF(E720="","",(X720&lt;&gt;"")+(AC720&lt;&gt;"")+(AH720&lt;&gt;""))</f>
        <v>0</v>
      </c>
      <c r="AL720" s="81" t="str">
        <f aca="false">IF(AH720&lt;&gt;"",AH720,IF(AC720&lt;&gt;"",AC720,IF(X720&lt;&gt;"",X720,"")))</f>
        <v/>
      </c>
      <c r="AM720" s="83" t="str">
        <f aca="false">IF(E720="","",IF(R720="","À SOUDER",IF(U720="","VT EN ATTENTE",IF(U720="R","VT REJETÉ – À REPRENDRE",IF(AL720="","À RADIOGRAPHIER",IF(AL720="A","ACCEPTÉ",IF(AL720="NX","NX – RT À REFAIRE",IF(IF(AK720=1,Z720,IF(AK720=2,AE720,""))="A","RÉPARÉ – À RADIOGRAPHIER",IF(IF(AK720=1,Z720,IF(AK720=2,AE720,""))="R","VT REJETÉ – À REPRENDRE",IF(OR(AL720="CO",AL720="NT"),"COUPE – À RESOUDER","À RÉPARER"))))))))))</f>
        <v>À SOUDER</v>
      </c>
      <c r="AN720" s="81" t="str">
        <f aca="false">IF(AND(ISNUMBER(R720),OR(AM720="À RADIOGRAPHIER",AM720="RÉPARÉ – À RADIOGRAPHIER",AM720="NX – RT À REFAIRE",AM720="À RÉPARER",AM720="COUPE – À RESOUDER",AM720="VT REJETÉ – À REPRENDRE")),MAX(0,'PROGRAMME RT'!$C$4-R720),"")</f>
        <v/>
      </c>
      <c r="AO720" s="78" t="n">
        <f aca="false">IF(AND(OR(AM720="À RADIOGRAPHIER",AM720="RÉPARÉ – À RADIOGRAPHIER",AM720="NX – RT À REFAIRE"),OR('PROGRAMME RT'!$D$5="TOUTES",B720='PROGRAMME RT'!$D$5)),1,0)</f>
        <v>0</v>
      </c>
      <c r="AP720" s="78" t="str">
        <f aca="false">IF(AO720=1,SUM(AO$7:AO720),"")</f>
        <v/>
      </c>
      <c r="AQ720" s="78" t="n">
        <f aca="false">IF(AND(OR(X720="R",X720="NX",X720="NT",X720="CO"),OR('JOINTS DE RÉPARATION'!$D$5="TOUTES",B720='JOINTS DE RÉPARATION'!$D$5),OR('JOINTS DE RÉPARATION'!$L$4="TOUS",AM720&lt;&gt;"ACCEPTÉ")),1,0)</f>
        <v>0</v>
      </c>
      <c r="AR720" s="78" t="str">
        <f aca="false">IF(AQ720=1,SUM(AQ$7:AQ720),"")</f>
        <v/>
      </c>
    </row>
    <row r="721" customFormat="false" ht="15" hidden="false" customHeight="false" outlineLevel="0" collapsed="false">
      <c r="A721" s="78" t="n">
        <f aca="false">IF(E721="","",ROW()-6)</f>
        <v>715</v>
      </c>
      <c r="B721" s="79" t="s">
        <v>586</v>
      </c>
      <c r="C721" s="80"/>
      <c r="D721" s="80"/>
      <c r="E721" s="80" t="s">
        <v>367</v>
      </c>
      <c r="F721" s="80"/>
      <c r="G721" s="80" t="s">
        <v>106</v>
      </c>
      <c r="H721" s="80"/>
      <c r="I721" s="80"/>
      <c r="J721" s="80"/>
      <c r="K721" s="80"/>
      <c r="L721" s="81" t="str">
        <f aca="false">IF(K721="","",IFERROR(INDEX(BARDAGE!$C$7:$C$1506,MATCH(K721,BARDAGE!$B$7:$B$1506,0)),"? hors registre"))</f>
        <v/>
      </c>
      <c r="M721" s="80"/>
      <c r="N721" s="81" t="str">
        <f aca="false">IF(M721="","",IFERROR(INDEX(BARDAGE!$C$7:$C$1506,MATCH(M721,BARDAGE!$B$7:$B$1506,0)),"? hors registre"))</f>
        <v/>
      </c>
      <c r="O721" s="80"/>
      <c r="P721" s="80"/>
      <c r="Q721" s="80"/>
      <c r="R721" s="82"/>
      <c r="S721" s="82"/>
      <c r="T721" s="80"/>
      <c r="U721" s="80"/>
      <c r="V721" s="82"/>
      <c r="W721" s="80"/>
      <c r="X721" s="80"/>
      <c r="Y721" s="80"/>
      <c r="Z721" s="80"/>
      <c r="AA721" s="82"/>
      <c r="AB721" s="80"/>
      <c r="AC721" s="80"/>
      <c r="AD721" s="80"/>
      <c r="AE721" s="80"/>
      <c r="AF721" s="82"/>
      <c r="AG721" s="80"/>
      <c r="AH721" s="80"/>
      <c r="AI721" s="82"/>
      <c r="AJ721" s="79"/>
      <c r="AK721" s="78" t="n">
        <f aca="false">IF(E721="","",(X721&lt;&gt;"")+(AC721&lt;&gt;"")+(AH721&lt;&gt;""))</f>
        <v>0</v>
      </c>
      <c r="AL721" s="81" t="str">
        <f aca="false">IF(AH721&lt;&gt;"",AH721,IF(AC721&lt;&gt;"",AC721,IF(X721&lt;&gt;"",X721,"")))</f>
        <v/>
      </c>
      <c r="AM721" s="83" t="str">
        <f aca="false">IF(E721="","",IF(R721="","À SOUDER",IF(U721="","VT EN ATTENTE",IF(U721="R","VT REJETÉ – À REPRENDRE",IF(AL721="","À RADIOGRAPHIER",IF(AL721="A","ACCEPTÉ",IF(AL721="NX","NX – RT À REFAIRE",IF(IF(AK721=1,Z721,IF(AK721=2,AE721,""))="A","RÉPARÉ – À RADIOGRAPHIER",IF(IF(AK721=1,Z721,IF(AK721=2,AE721,""))="R","VT REJETÉ – À REPRENDRE",IF(OR(AL721="CO",AL721="NT"),"COUPE – À RESOUDER","À RÉPARER"))))))))))</f>
        <v>À SOUDER</v>
      </c>
      <c r="AN721" s="81" t="str">
        <f aca="false">IF(AND(ISNUMBER(R721),OR(AM721="À RADIOGRAPHIER",AM721="RÉPARÉ – À RADIOGRAPHIER",AM721="NX – RT À REFAIRE",AM721="À RÉPARER",AM721="COUPE – À RESOUDER",AM721="VT REJETÉ – À REPRENDRE")),MAX(0,'PROGRAMME RT'!$C$4-R721),"")</f>
        <v/>
      </c>
      <c r="AO721" s="78" t="n">
        <f aca="false">IF(AND(OR(AM721="À RADIOGRAPHIER",AM721="RÉPARÉ – À RADIOGRAPHIER",AM721="NX – RT À REFAIRE"),OR('PROGRAMME RT'!$D$5="TOUTES",B721='PROGRAMME RT'!$D$5)),1,0)</f>
        <v>0</v>
      </c>
      <c r="AP721" s="78" t="str">
        <f aca="false">IF(AO721=1,SUM(AO$7:AO721),"")</f>
        <v/>
      </c>
      <c r="AQ721" s="78" t="n">
        <f aca="false">IF(AND(OR(X721="R",X721="NX",X721="NT",X721="CO"),OR('JOINTS DE RÉPARATION'!$D$5="TOUTES",B721='JOINTS DE RÉPARATION'!$D$5),OR('JOINTS DE RÉPARATION'!$L$4="TOUS",AM721&lt;&gt;"ACCEPTÉ")),1,0)</f>
        <v>0</v>
      </c>
      <c r="AR721" s="78" t="str">
        <f aca="false">IF(AQ721=1,SUM(AQ$7:AQ721),"")</f>
        <v/>
      </c>
    </row>
    <row r="722" customFormat="false" ht="15" hidden="false" customHeight="false" outlineLevel="0" collapsed="false">
      <c r="A722" s="78" t="n">
        <f aca="false">IF(E722="","",ROW()-6)</f>
        <v>716</v>
      </c>
      <c r="B722" s="79" t="s">
        <v>586</v>
      </c>
      <c r="C722" s="80"/>
      <c r="D722" s="80"/>
      <c r="E722" s="80" t="s">
        <v>369</v>
      </c>
      <c r="F722" s="80"/>
      <c r="G722" s="80" t="s">
        <v>106</v>
      </c>
      <c r="H722" s="80"/>
      <c r="I722" s="80"/>
      <c r="J722" s="80"/>
      <c r="K722" s="80"/>
      <c r="L722" s="81" t="str">
        <f aca="false">IF(K722="","",IFERROR(INDEX(BARDAGE!$C$7:$C$1506,MATCH(K722,BARDAGE!$B$7:$B$1506,0)),"? hors registre"))</f>
        <v/>
      </c>
      <c r="M722" s="80"/>
      <c r="N722" s="81" t="str">
        <f aca="false">IF(M722="","",IFERROR(INDEX(BARDAGE!$C$7:$C$1506,MATCH(M722,BARDAGE!$B$7:$B$1506,0)),"? hors registre"))</f>
        <v/>
      </c>
      <c r="O722" s="80"/>
      <c r="P722" s="80"/>
      <c r="Q722" s="80"/>
      <c r="R722" s="82"/>
      <c r="S722" s="82"/>
      <c r="T722" s="80"/>
      <c r="U722" s="80"/>
      <c r="V722" s="82"/>
      <c r="W722" s="80"/>
      <c r="X722" s="80"/>
      <c r="Y722" s="80"/>
      <c r="Z722" s="80"/>
      <c r="AA722" s="82"/>
      <c r="AB722" s="80"/>
      <c r="AC722" s="80"/>
      <c r="AD722" s="80"/>
      <c r="AE722" s="80"/>
      <c r="AF722" s="82"/>
      <c r="AG722" s="80"/>
      <c r="AH722" s="80"/>
      <c r="AI722" s="82"/>
      <c r="AJ722" s="79"/>
      <c r="AK722" s="78" t="n">
        <f aca="false">IF(E722="","",(X722&lt;&gt;"")+(AC722&lt;&gt;"")+(AH722&lt;&gt;""))</f>
        <v>0</v>
      </c>
      <c r="AL722" s="81" t="str">
        <f aca="false">IF(AH722&lt;&gt;"",AH722,IF(AC722&lt;&gt;"",AC722,IF(X722&lt;&gt;"",X722,"")))</f>
        <v/>
      </c>
      <c r="AM722" s="83" t="str">
        <f aca="false">IF(E722="","",IF(R722="","À SOUDER",IF(U722="","VT EN ATTENTE",IF(U722="R","VT REJETÉ – À REPRENDRE",IF(AL722="","À RADIOGRAPHIER",IF(AL722="A","ACCEPTÉ",IF(AL722="NX","NX – RT À REFAIRE",IF(IF(AK722=1,Z722,IF(AK722=2,AE722,""))="A","RÉPARÉ – À RADIOGRAPHIER",IF(IF(AK722=1,Z722,IF(AK722=2,AE722,""))="R","VT REJETÉ – À REPRENDRE",IF(OR(AL722="CO",AL722="NT"),"COUPE – À RESOUDER","À RÉPARER"))))))))))</f>
        <v>À SOUDER</v>
      </c>
      <c r="AN722" s="81" t="str">
        <f aca="false">IF(AND(ISNUMBER(R722),OR(AM722="À RADIOGRAPHIER",AM722="RÉPARÉ – À RADIOGRAPHIER",AM722="NX – RT À REFAIRE",AM722="À RÉPARER",AM722="COUPE – À RESOUDER",AM722="VT REJETÉ – À REPRENDRE")),MAX(0,'PROGRAMME RT'!$C$4-R722),"")</f>
        <v/>
      </c>
      <c r="AO722" s="78" t="n">
        <f aca="false">IF(AND(OR(AM722="À RADIOGRAPHIER",AM722="RÉPARÉ – À RADIOGRAPHIER",AM722="NX – RT À REFAIRE"),OR('PROGRAMME RT'!$D$5="TOUTES",B722='PROGRAMME RT'!$D$5)),1,0)</f>
        <v>0</v>
      </c>
      <c r="AP722" s="78" t="str">
        <f aca="false">IF(AO722=1,SUM(AO$7:AO722),"")</f>
        <v/>
      </c>
      <c r="AQ722" s="78" t="n">
        <f aca="false">IF(AND(OR(X722="R",X722="NX",X722="NT",X722="CO"),OR('JOINTS DE RÉPARATION'!$D$5="TOUTES",B722='JOINTS DE RÉPARATION'!$D$5),OR('JOINTS DE RÉPARATION'!$L$4="TOUS",AM722&lt;&gt;"ACCEPTÉ")),1,0)</f>
        <v>0</v>
      </c>
      <c r="AR722" s="78" t="str">
        <f aca="false">IF(AQ722=1,SUM(AQ$7:AQ722),"")</f>
        <v/>
      </c>
    </row>
    <row r="723" customFormat="false" ht="15" hidden="false" customHeight="false" outlineLevel="0" collapsed="false">
      <c r="A723" s="78" t="n">
        <f aca="false">IF(E723="","",ROW()-6)</f>
        <v>717</v>
      </c>
      <c r="B723" s="79" t="s">
        <v>586</v>
      </c>
      <c r="C723" s="80"/>
      <c r="D723" s="80"/>
      <c r="E723" s="80" t="s">
        <v>372</v>
      </c>
      <c r="F723" s="80"/>
      <c r="G723" s="80" t="s">
        <v>106</v>
      </c>
      <c r="H723" s="80"/>
      <c r="I723" s="80"/>
      <c r="J723" s="80"/>
      <c r="K723" s="80"/>
      <c r="L723" s="81" t="str">
        <f aca="false">IF(K723="","",IFERROR(INDEX(BARDAGE!$C$7:$C$1506,MATCH(K723,BARDAGE!$B$7:$B$1506,0)),"? hors registre"))</f>
        <v/>
      </c>
      <c r="M723" s="80"/>
      <c r="N723" s="81" t="str">
        <f aca="false">IF(M723="","",IFERROR(INDEX(BARDAGE!$C$7:$C$1506,MATCH(M723,BARDAGE!$B$7:$B$1506,0)),"? hors registre"))</f>
        <v/>
      </c>
      <c r="O723" s="80"/>
      <c r="P723" s="80"/>
      <c r="Q723" s="80"/>
      <c r="R723" s="82"/>
      <c r="S723" s="82"/>
      <c r="T723" s="80"/>
      <c r="U723" s="80"/>
      <c r="V723" s="82"/>
      <c r="W723" s="80"/>
      <c r="X723" s="80"/>
      <c r="Y723" s="80"/>
      <c r="Z723" s="80"/>
      <c r="AA723" s="82"/>
      <c r="AB723" s="80"/>
      <c r="AC723" s="80"/>
      <c r="AD723" s="80"/>
      <c r="AE723" s="80"/>
      <c r="AF723" s="82"/>
      <c r="AG723" s="80"/>
      <c r="AH723" s="80"/>
      <c r="AI723" s="82"/>
      <c r="AJ723" s="79"/>
      <c r="AK723" s="78" t="n">
        <f aca="false">IF(E723="","",(X723&lt;&gt;"")+(AC723&lt;&gt;"")+(AH723&lt;&gt;""))</f>
        <v>0</v>
      </c>
      <c r="AL723" s="81" t="str">
        <f aca="false">IF(AH723&lt;&gt;"",AH723,IF(AC723&lt;&gt;"",AC723,IF(X723&lt;&gt;"",X723,"")))</f>
        <v/>
      </c>
      <c r="AM723" s="83" t="str">
        <f aca="false">IF(E723="","",IF(R723="","À SOUDER",IF(U723="","VT EN ATTENTE",IF(U723="R","VT REJETÉ – À REPRENDRE",IF(AL723="","À RADIOGRAPHIER",IF(AL723="A","ACCEPTÉ",IF(AL723="NX","NX – RT À REFAIRE",IF(IF(AK723=1,Z723,IF(AK723=2,AE723,""))="A","RÉPARÉ – À RADIOGRAPHIER",IF(IF(AK723=1,Z723,IF(AK723=2,AE723,""))="R","VT REJETÉ – À REPRENDRE",IF(OR(AL723="CO",AL723="NT"),"COUPE – À RESOUDER","À RÉPARER"))))))))))</f>
        <v>À SOUDER</v>
      </c>
      <c r="AN723" s="81" t="str">
        <f aca="false">IF(AND(ISNUMBER(R723),OR(AM723="À RADIOGRAPHIER",AM723="RÉPARÉ – À RADIOGRAPHIER",AM723="NX – RT À REFAIRE",AM723="À RÉPARER",AM723="COUPE – À RESOUDER",AM723="VT REJETÉ – À REPRENDRE")),MAX(0,'PROGRAMME RT'!$C$4-R723),"")</f>
        <v/>
      </c>
      <c r="AO723" s="78" t="n">
        <f aca="false">IF(AND(OR(AM723="À RADIOGRAPHIER",AM723="RÉPARÉ – À RADIOGRAPHIER",AM723="NX – RT À REFAIRE"),OR('PROGRAMME RT'!$D$5="TOUTES",B723='PROGRAMME RT'!$D$5)),1,0)</f>
        <v>0</v>
      </c>
      <c r="AP723" s="78" t="str">
        <f aca="false">IF(AO723=1,SUM(AO$7:AO723),"")</f>
        <v/>
      </c>
      <c r="AQ723" s="78" t="n">
        <f aca="false">IF(AND(OR(X723="R",X723="NX",X723="NT",X723="CO"),OR('JOINTS DE RÉPARATION'!$D$5="TOUTES",B723='JOINTS DE RÉPARATION'!$D$5),OR('JOINTS DE RÉPARATION'!$L$4="TOUS",AM723&lt;&gt;"ACCEPTÉ")),1,0)</f>
        <v>0</v>
      </c>
      <c r="AR723" s="78" t="str">
        <f aca="false">IF(AQ723=1,SUM(AQ$7:AQ723),"")</f>
        <v/>
      </c>
    </row>
    <row r="724" customFormat="false" ht="15" hidden="false" customHeight="false" outlineLevel="0" collapsed="false">
      <c r="A724" s="78" t="n">
        <f aca="false">IF(E724="","",ROW()-6)</f>
        <v>718</v>
      </c>
      <c r="B724" s="79" t="s">
        <v>586</v>
      </c>
      <c r="C724" s="80"/>
      <c r="D724" s="80"/>
      <c r="E724" s="80" t="s">
        <v>374</v>
      </c>
      <c r="F724" s="80"/>
      <c r="G724" s="80" t="s">
        <v>106</v>
      </c>
      <c r="H724" s="80"/>
      <c r="I724" s="80"/>
      <c r="J724" s="80"/>
      <c r="K724" s="80"/>
      <c r="L724" s="81" t="str">
        <f aca="false">IF(K724="","",IFERROR(INDEX(BARDAGE!$C$7:$C$1506,MATCH(K724,BARDAGE!$B$7:$B$1506,0)),"? hors registre"))</f>
        <v/>
      </c>
      <c r="M724" s="80"/>
      <c r="N724" s="81" t="str">
        <f aca="false">IF(M724="","",IFERROR(INDEX(BARDAGE!$C$7:$C$1506,MATCH(M724,BARDAGE!$B$7:$B$1506,0)),"? hors registre"))</f>
        <v/>
      </c>
      <c r="O724" s="80"/>
      <c r="P724" s="80"/>
      <c r="Q724" s="80"/>
      <c r="R724" s="82"/>
      <c r="S724" s="82"/>
      <c r="T724" s="80"/>
      <c r="U724" s="80"/>
      <c r="V724" s="82"/>
      <c r="W724" s="80"/>
      <c r="X724" s="80"/>
      <c r="Y724" s="80"/>
      <c r="Z724" s="80"/>
      <c r="AA724" s="82"/>
      <c r="AB724" s="80"/>
      <c r="AC724" s="80"/>
      <c r="AD724" s="80"/>
      <c r="AE724" s="80"/>
      <c r="AF724" s="82"/>
      <c r="AG724" s="80"/>
      <c r="AH724" s="80"/>
      <c r="AI724" s="82"/>
      <c r="AJ724" s="79"/>
      <c r="AK724" s="78" t="n">
        <f aca="false">IF(E724="","",(X724&lt;&gt;"")+(AC724&lt;&gt;"")+(AH724&lt;&gt;""))</f>
        <v>0</v>
      </c>
      <c r="AL724" s="81" t="str">
        <f aca="false">IF(AH724&lt;&gt;"",AH724,IF(AC724&lt;&gt;"",AC724,IF(X724&lt;&gt;"",X724,"")))</f>
        <v/>
      </c>
      <c r="AM724" s="83" t="str">
        <f aca="false">IF(E724="","",IF(R724="","À SOUDER",IF(U724="","VT EN ATTENTE",IF(U724="R","VT REJETÉ – À REPRENDRE",IF(AL724="","À RADIOGRAPHIER",IF(AL724="A","ACCEPTÉ",IF(AL724="NX","NX – RT À REFAIRE",IF(IF(AK724=1,Z724,IF(AK724=2,AE724,""))="A","RÉPARÉ – À RADIOGRAPHIER",IF(IF(AK724=1,Z724,IF(AK724=2,AE724,""))="R","VT REJETÉ – À REPRENDRE",IF(OR(AL724="CO",AL724="NT"),"COUPE – À RESOUDER","À RÉPARER"))))))))))</f>
        <v>À SOUDER</v>
      </c>
      <c r="AN724" s="81" t="str">
        <f aca="false">IF(AND(ISNUMBER(R724),OR(AM724="À RADIOGRAPHIER",AM724="RÉPARÉ – À RADIOGRAPHIER",AM724="NX – RT À REFAIRE",AM724="À RÉPARER",AM724="COUPE – À RESOUDER",AM724="VT REJETÉ – À REPRENDRE")),MAX(0,'PROGRAMME RT'!$C$4-R724),"")</f>
        <v/>
      </c>
      <c r="AO724" s="78" t="n">
        <f aca="false">IF(AND(OR(AM724="À RADIOGRAPHIER",AM724="RÉPARÉ – À RADIOGRAPHIER",AM724="NX – RT À REFAIRE"),OR('PROGRAMME RT'!$D$5="TOUTES",B724='PROGRAMME RT'!$D$5)),1,0)</f>
        <v>0</v>
      </c>
      <c r="AP724" s="78" t="str">
        <f aca="false">IF(AO724=1,SUM(AO$7:AO724),"")</f>
        <v/>
      </c>
      <c r="AQ724" s="78" t="n">
        <f aca="false">IF(AND(OR(X724="R",X724="NX",X724="NT",X724="CO"),OR('JOINTS DE RÉPARATION'!$D$5="TOUTES",B724='JOINTS DE RÉPARATION'!$D$5),OR('JOINTS DE RÉPARATION'!$L$4="TOUS",AM724&lt;&gt;"ACCEPTÉ")),1,0)</f>
        <v>0</v>
      </c>
      <c r="AR724" s="78" t="str">
        <f aca="false">IF(AQ724=1,SUM(AQ$7:AQ724),"")</f>
        <v/>
      </c>
    </row>
    <row r="725" customFormat="false" ht="15" hidden="false" customHeight="false" outlineLevel="0" collapsed="false">
      <c r="A725" s="78" t="n">
        <f aca="false">IF(E725="","",ROW()-6)</f>
        <v>719</v>
      </c>
      <c r="B725" s="79" t="s">
        <v>586</v>
      </c>
      <c r="C725" s="80"/>
      <c r="D725" s="80"/>
      <c r="E725" s="80" t="s">
        <v>376</v>
      </c>
      <c r="F725" s="80"/>
      <c r="G725" s="80" t="s">
        <v>106</v>
      </c>
      <c r="H725" s="80"/>
      <c r="I725" s="80"/>
      <c r="J725" s="80"/>
      <c r="K725" s="80"/>
      <c r="L725" s="81" t="str">
        <f aca="false">IF(K725="","",IFERROR(INDEX(BARDAGE!$C$7:$C$1506,MATCH(K725,BARDAGE!$B$7:$B$1506,0)),"? hors registre"))</f>
        <v/>
      </c>
      <c r="M725" s="80"/>
      <c r="N725" s="81" t="str">
        <f aca="false">IF(M725="","",IFERROR(INDEX(BARDAGE!$C$7:$C$1506,MATCH(M725,BARDAGE!$B$7:$B$1506,0)),"? hors registre"))</f>
        <v/>
      </c>
      <c r="O725" s="80"/>
      <c r="P725" s="80"/>
      <c r="Q725" s="80"/>
      <c r="R725" s="82"/>
      <c r="S725" s="82"/>
      <c r="T725" s="80"/>
      <c r="U725" s="80"/>
      <c r="V725" s="82"/>
      <c r="W725" s="80"/>
      <c r="X725" s="80"/>
      <c r="Y725" s="80"/>
      <c r="Z725" s="80"/>
      <c r="AA725" s="82"/>
      <c r="AB725" s="80"/>
      <c r="AC725" s="80"/>
      <c r="AD725" s="80"/>
      <c r="AE725" s="80"/>
      <c r="AF725" s="82"/>
      <c r="AG725" s="80"/>
      <c r="AH725" s="80"/>
      <c r="AI725" s="82"/>
      <c r="AJ725" s="79"/>
      <c r="AK725" s="78" t="n">
        <f aca="false">IF(E725="","",(X725&lt;&gt;"")+(AC725&lt;&gt;"")+(AH725&lt;&gt;""))</f>
        <v>0</v>
      </c>
      <c r="AL725" s="81" t="str">
        <f aca="false">IF(AH725&lt;&gt;"",AH725,IF(AC725&lt;&gt;"",AC725,IF(X725&lt;&gt;"",X725,"")))</f>
        <v/>
      </c>
      <c r="AM725" s="83" t="str">
        <f aca="false">IF(E725="","",IF(R725="","À SOUDER",IF(U725="","VT EN ATTENTE",IF(U725="R","VT REJETÉ – À REPRENDRE",IF(AL725="","À RADIOGRAPHIER",IF(AL725="A","ACCEPTÉ",IF(AL725="NX","NX – RT À REFAIRE",IF(IF(AK725=1,Z725,IF(AK725=2,AE725,""))="A","RÉPARÉ – À RADIOGRAPHIER",IF(IF(AK725=1,Z725,IF(AK725=2,AE725,""))="R","VT REJETÉ – À REPRENDRE",IF(OR(AL725="CO",AL725="NT"),"COUPE – À RESOUDER","À RÉPARER"))))))))))</f>
        <v>À SOUDER</v>
      </c>
      <c r="AN725" s="81" t="str">
        <f aca="false">IF(AND(ISNUMBER(R725),OR(AM725="À RADIOGRAPHIER",AM725="RÉPARÉ – À RADIOGRAPHIER",AM725="NX – RT À REFAIRE",AM725="À RÉPARER",AM725="COUPE – À RESOUDER",AM725="VT REJETÉ – À REPRENDRE")),MAX(0,'PROGRAMME RT'!$C$4-R725),"")</f>
        <v/>
      </c>
      <c r="AO725" s="78" t="n">
        <f aca="false">IF(AND(OR(AM725="À RADIOGRAPHIER",AM725="RÉPARÉ – À RADIOGRAPHIER",AM725="NX – RT À REFAIRE"),OR('PROGRAMME RT'!$D$5="TOUTES",B725='PROGRAMME RT'!$D$5)),1,0)</f>
        <v>0</v>
      </c>
      <c r="AP725" s="78" t="str">
        <f aca="false">IF(AO725=1,SUM(AO$7:AO725),"")</f>
        <v/>
      </c>
      <c r="AQ725" s="78" t="n">
        <f aca="false">IF(AND(OR(X725="R",X725="NX",X725="NT",X725="CO"),OR('JOINTS DE RÉPARATION'!$D$5="TOUTES",B725='JOINTS DE RÉPARATION'!$D$5),OR('JOINTS DE RÉPARATION'!$L$4="TOUS",AM725&lt;&gt;"ACCEPTÉ")),1,0)</f>
        <v>0</v>
      </c>
      <c r="AR725" s="78" t="str">
        <f aca="false">IF(AQ725=1,SUM(AQ$7:AQ725),"")</f>
        <v/>
      </c>
    </row>
    <row r="726" customFormat="false" ht="15" hidden="false" customHeight="false" outlineLevel="0" collapsed="false">
      <c r="A726" s="78" t="n">
        <f aca="false">IF(E726="","",ROW()-6)</f>
        <v>720</v>
      </c>
      <c r="B726" s="79" t="s">
        <v>586</v>
      </c>
      <c r="C726" s="80"/>
      <c r="D726" s="80"/>
      <c r="E726" s="80" t="s">
        <v>379</v>
      </c>
      <c r="F726" s="80"/>
      <c r="G726" s="80" t="s">
        <v>106</v>
      </c>
      <c r="H726" s="80"/>
      <c r="I726" s="80"/>
      <c r="J726" s="80"/>
      <c r="K726" s="80"/>
      <c r="L726" s="81" t="str">
        <f aca="false">IF(K726="","",IFERROR(INDEX(BARDAGE!$C$7:$C$1506,MATCH(K726,BARDAGE!$B$7:$B$1506,0)),"? hors registre"))</f>
        <v/>
      </c>
      <c r="M726" s="80"/>
      <c r="N726" s="81" t="str">
        <f aca="false">IF(M726="","",IFERROR(INDEX(BARDAGE!$C$7:$C$1506,MATCH(M726,BARDAGE!$B$7:$B$1506,0)),"? hors registre"))</f>
        <v/>
      </c>
      <c r="O726" s="80"/>
      <c r="P726" s="80"/>
      <c r="Q726" s="80"/>
      <c r="R726" s="82"/>
      <c r="S726" s="82"/>
      <c r="T726" s="80"/>
      <c r="U726" s="80"/>
      <c r="V726" s="82"/>
      <c r="W726" s="80"/>
      <c r="X726" s="80"/>
      <c r="Y726" s="80"/>
      <c r="Z726" s="80"/>
      <c r="AA726" s="82"/>
      <c r="AB726" s="80"/>
      <c r="AC726" s="80"/>
      <c r="AD726" s="80"/>
      <c r="AE726" s="80"/>
      <c r="AF726" s="82"/>
      <c r="AG726" s="80"/>
      <c r="AH726" s="80"/>
      <c r="AI726" s="82"/>
      <c r="AJ726" s="79"/>
      <c r="AK726" s="78" t="n">
        <f aca="false">IF(E726="","",(X726&lt;&gt;"")+(AC726&lt;&gt;"")+(AH726&lt;&gt;""))</f>
        <v>0</v>
      </c>
      <c r="AL726" s="81" t="str">
        <f aca="false">IF(AH726&lt;&gt;"",AH726,IF(AC726&lt;&gt;"",AC726,IF(X726&lt;&gt;"",X726,"")))</f>
        <v/>
      </c>
      <c r="AM726" s="83" t="str">
        <f aca="false">IF(E726="","",IF(R726="","À SOUDER",IF(U726="","VT EN ATTENTE",IF(U726="R","VT REJETÉ – À REPRENDRE",IF(AL726="","À RADIOGRAPHIER",IF(AL726="A","ACCEPTÉ",IF(AL726="NX","NX – RT À REFAIRE",IF(IF(AK726=1,Z726,IF(AK726=2,AE726,""))="A","RÉPARÉ – À RADIOGRAPHIER",IF(IF(AK726=1,Z726,IF(AK726=2,AE726,""))="R","VT REJETÉ – À REPRENDRE",IF(OR(AL726="CO",AL726="NT"),"COUPE – À RESOUDER","À RÉPARER"))))))))))</f>
        <v>À SOUDER</v>
      </c>
      <c r="AN726" s="81" t="str">
        <f aca="false">IF(AND(ISNUMBER(R726),OR(AM726="À RADIOGRAPHIER",AM726="RÉPARÉ – À RADIOGRAPHIER",AM726="NX – RT À REFAIRE",AM726="À RÉPARER",AM726="COUPE – À RESOUDER",AM726="VT REJETÉ – À REPRENDRE")),MAX(0,'PROGRAMME RT'!$C$4-R726),"")</f>
        <v/>
      </c>
      <c r="AO726" s="78" t="n">
        <f aca="false">IF(AND(OR(AM726="À RADIOGRAPHIER",AM726="RÉPARÉ – À RADIOGRAPHIER",AM726="NX – RT À REFAIRE"),OR('PROGRAMME RT'!$D$5="TOUTES",B726='PROGRAMME RT'!$D$5)),1,0)</f>
        <v>0</v>
      </c>
      <c r="AP726" s="78" t="str">
        <f aca="false">IF(AO726=1,SUM(AO$7:AO726),"")</f>
        <v/>
      </c>
      <c r="AQ726" s="78" t="n">
        <f aca="false">IF(AND(OR(X726="R",X726="NX",X726="NT",X726="CO"),OR('JOINTS DE RÉPARATION'!$D$5="TOUTES",B726='JOINTS DE RÉPARATION'!$D$5),OR('JOINTS DE RÉPARATION'!$L$4="TOUS",AM726&lt;&gt;"ACCEPTÉ")),1,0)</f>
        <v>0</v>
      </c>
      <c r="AR726" s="78" t="str">
        <f aca="false">IF(AQ726=1,SUM(AQ$7:AQ726),"")</f>
        <v/>
      </c>
    </row>
    <row r="727" customFormat="false" ht="15" hidden="false" customHeight="false" outlineLevel="0" collapsed="false">
      <c r="A727" s="78" t="n">
        <f aca="false">IF(E727="","",ROW()-6)</f>
        <v>721</v>
      </c>
      <c r="B727" s="79" t="s">
        <v>586</v>
      </c>
      <c r="C727" s="80"/>
      <c r="D727" s="80"/>
      <c r="E727" s="80" t="s">
        <v>381</v>
      </c>
      <c r="F727" s="80"/>
      <c r="G727" s="80" t="s">
        <v>106</v>
      </c>
      <c r="H727" s="80"/>
      <c r="I727" s="80"/>
      <c r="J727" s="80"/>
      <c r="K727" s="80"/>
      <c r="L727" s="81" t="str">
        <f aca="false">IF(K727="","",IFERROR(INDEX(BARDAGE!$C$7:$C$1506,MATCH(K727,BARDAGE!$B$7:$B$1506,0)),"? hors registre"))</f>
        <v/>
      </c>
      <c r="M727" s="80"/>
      <c r="N727" s="81" t="str">
        <f aca="false">IF(M727="","",IFERROR(INDEX(BARDAGE!$C$7:$C$1506,MATCH(M727,BARDAGE!$B$7:$B$1506,0)),"? hors registre"))</f>
        <v/>
      </c>
      <c r="O727" s="80"/>
      <c r="P727" s="80"/>
      <c r="Q727" s="80"/>
      <c r="R727" s="82"/>
      <c r="S727" s="82"/>
      <c r="T727" s="80"/>
      <c r="U727" s="80"/>
      <c r="V727" s="82"/>
      <c r="W727" s="80"/>
      <c r="X727" s="80"/>
      <c r="Y727" s="80"/>
      <c r="Z727" s="80"/>
      <c r="AA727" s="82"/>
      <c r="AB727" s="80"/>
      <c r="AC727" s="80"/>
      <c r="AD727" s="80"/>
      <c r="AE727" s="80"/>
      <c r="AF727" s="82"/>
      <c r="AG727" s="80"/>
      <c r="AH727" s="80"/>
      <c r="AI727" s="82"/>
      <c r="AJ727" s="79"/>
      <c r="AK727" s="78" t="n">
        <f aca="false">IF(E727="","",(X727&lt;&gt;"")+(AC727&lt;&gt;"")+(AH727&lt;&gt;""))</f>
        <v>0</v>
      </c>
      <c r="AL727" s="81" t="str">
        <f aca="false">IF(AH727&lt;&gt;"",AH727,IF(AC727&lt;&gt;"",AC727,IF(X727&lt;&gt;"",X727,"")))</f>
        <v/>
      </c>
      <c r="AM727" s="83" t="str">
        <f aca="false">IF(E727="","",IF(R727="","À SOUDER",IF(U727="","VT EN ATTENTE",IF(U727="R","VT REJETÉ – À REPRENDRE",IF(AL727="","À RADIOGRAPHIER",IF(AL727="A","ACCEPTÉ",IF(AL727="NX","NX – RT À REFAIRE",IF(IF(AK727=1,Z727,IF(AK727=2,AE727,""))="A","RÉPARÉ – À RADIOGRAPHIER",IF(IF(AK727=1,Z727,IF(AK727=2,AE727,""))="R","VT REJETÉ – À REPRENDRE",IF(OR(AL727="CO",AL727="NT"),"COUPE – À RESOUDER","À RÉPARER"))))))))))</f>
        <v>À SOUDER</v>
      </c>
      <c r="AN727" s="81" t="str">
        <f aca="false">IF(AND(ISNUMBER(R727),OR(AM727="À RADIOGRAPHIER",AM727="RÉPARÉ – À RADIOGRAPHIER",AM727="NX – RT À REFAIRE",AM727="À RÉPARER",AM727="COUPE – À RESOUDER",AM727="VT REJETÉ – À REPRENDRE")),MAX(0,'PROGRAMME RT'!$C$4-R727),"")</f>
        <v/>
      </c>
      <c r="AO727" s="78" t="n">
        <f aca="false">IF(AND(OR(AM727="À RADIOGRAPHIER",AM727="RÉPARÉ – À RADIOGRAPHIER",AM727="NX – RT À REFAIRE"),OR('PROGRAMME RT'!$D$5="TOUTES",B727='PROGRAMME RT'!$D$5)),1,0)</f>
        <v>0</v>
      </c>
      <c r="AP727" s="78" t="str">
        <f aca="false">IF(AO727=1,SUM(AO$7:AO727),"")</f>
        <v/>
      </c>
      <c r="AQ727" s="78" t="n">
        <f aca="false">IF(AND(OR(X727="R",X727="NX",X727="NT",X727="CO"),OR('JOINTS DE RÉPARATION'!$D$5="TOUTES",B727='JOINTS DE RÉPARATION'!$D$5),OR('JOINTS DE RÉPARATION'!$L$4="TOUS",AM727&lt;&gt;"ACCEPTÉ")),1,0)</f>
        <v>0</v>
      </c>
      <c r="AR727" s="78" t="str">
        <f aca="false">IF(AQ727=1,SUM(AQ$7:AQ727),"")</f>
        <v/>
      </c>
    </row>
    <row r="728" customFormat="false" ht="15" hidden="false" customHeight="false" outlineLevel="0" collapsed="false">
      <c r="A728" s="78" t="n">
        <f aca="false">IF(E728="","",ROW()-6)</f>
        <v>722</v>
      </c>
      <c r="B728" s="79" t="s">
        <v>586</v>
      </c>
      <c r="C728" s="80"/>
      <c r="D728" s="80"/>
      <c r="E728" s="80" t="s">
        <v>383</v>
      </c>
      <c r="F728" s="80"/>
      <c r="G728" s="80" t="s">
        <v>106</v>
      </c>
      <c r="H728" s="80"/>
      <c r="I728" s="80"/>
      <c r="J728" s="80"/>
      <c r="K728" s="80"/>
      <c r="L728" s="81" t="str">
        <f aca="false">IF(K728="","",IFERROR(INDEX(BARDAGE!$C$7:$C$1506,MATCH(K728,BARDAGE!$B$7:$B$1506,0)),"? hors registre"))</f>
        <v/>
      </c>
      <c r="M728" s="80"/>
      <c r="N728" s="81" t="str">
        <f aca="false">IF(M728="","",IFERROR(INDEX(BARDAGE!$C$7:$C$1506,MATCH(M728,BARDAGE!$B$7:$B$1506,0)),"? hors registre"))</f>
        <v/>
      </c>
      <c r="O728" s="80"/>
      <c r="P728" s="80"/>
      <c r="Q728" s="80"/>
      <c r="R728" s="82"/>
      <c r="S728" s="82"/>
      <c r="T728" s="80"/>
      <c r="U728" s="80"/>
      <c r="V728" s="82"/>
      <c r="W728" s="80"/>
      <c r="X728" s="80"/>
      <c r="Y728" s="80"/>
      <c r="Z728" s="80"/>
      <c r="AA728" s="82"/>
      <c r="AB728" s="80"/>
      <c r="AC728" s="80"/>
      <c r="AD728" s="80"/>
      <c r="AE728" s="80"/>
      <c r="AF728" s="82"/>
      <c r="AG728" s="80"/>
      <c r="AH728" s="80"/>
      <c r="AI728" s="82"/>
      <c r="AJ728" s="79"/>
      <c r="AK728" s="78" t="n">
        <f aca="false">IF(E728="","",(X728&lt;&gt;"")+(AC728&lt;&gt;"")+(AH728&lt;&gt;""))</f>
        <v>0</v>
      </c>
      <c r="AL728" s="81" t="str">
        <f aca="false">IF(AH728&lt;&gt;"",AH728,IF(AC728&lt;&gt;"",AC728,IF(X728&lt;&gt;"",X728,"")))</f>
        <v/>
      </c>
      <c r="AM728" s="83" t="str">
        <f aca="false">IF(E728="","",IF(R728="","À SOUDER",IF(U728="","VT EN ATTENTE",IF(U728="R","VT REJETÉ – À REPRENDRE",IF(AL728="","À RADIOGRAPHIER",IF(AL728="A","ACCEPTÉ",IF(AL728="NX","NX – RT À REFAIRE",IF(IF(AK728=1,Z728,IF(AK728=2,AE728,""))="A","RÉPARÉ – À RADIOGRAPHIER",IF(IF(AK728=1,Z728,IF(AK728=2,AE728,""))="R","VT REJETÉ – À REPRENDRE",IF(OR(AL728="CO",AL728="NT"),"COUPE – À RESOUDER","À RÉPARER"))))))))))</f>
        <v>À SOUDER</v>
      </c>
      <c r="AN728" s="81" t="str">
        <f aca="false">IF(AND(ISNUMBER(R728),OR(AM728="À RADIOGRAPHIER",AM728="RÉPARÉ – À RADIOGRAPHIER",AM728="NX – RT À REFAIRE",AM728="À RÉPARER",AM728="COUPE – À RESOUDER",AM728="VT REJETÉ – À REPRENDRE")),MAX(0,'PROGRAMME RT'!$C$4-R728),"")</f>
        <v/>
      </c>
      <c r="AO728" s="78" t="n">
        <f aca="false">IF(AND(OR(AM728="À RADIOGRAPHIER",AM728="RÉPARÉ – À RADIOGRAPHIER",AM728="NX – RT À REFAIRE"),OR('PROGRAMME RT'!$D$5="TOUTES",B728='PROGRAMME RT'!$D$5)),1,0)</f>
        <v>0</v>
      </c>
      <c r="AP728" s="78" t="str">
        <f aca="false">IF(AO728=1,SUM(AO$7:AO728),"")</f>
        <v/>
      </c>
      <c r="AQ728" s="78" t="n">
        <f aca="false">IF(AND(OR(X728="R",X728="NX",X728="NT",X728="CO"),OR('JOINTS DE RÉPARATION'!$D$5="TOUTES",B728='JOINTS DE RÉPARATION'!$D$5),OR('JOINTS DE RÉPARATION'!$L$4="TOUS",AM728&lt;&gt;"ACCEPTÉ")),1,0)</f>
        <v>0</v>
      </c>
      <c r="AR728" s="78" t="str">
        <f aca="false">IF(AQ728=1,SUM(AQ$7:AQ728),"")</f>
        <v/>
      </c>
    </row>
    <row r="729" customFormat="false" ht="15" hidden="false" customHeight="false" outlineLevel="0" collapsed="false">
      <c r="A729" s="78" t="n">
        <f aca="false">IF(E729="","",ROW()-6)</f>
        <v>723</v>
      </c>
      <c r="B729" s="79" t="s">
        <v>586</v>
      </c>
      <c r="C729" s="80"/>
      <c r="D729" s="80"/>
      <c r="E729" s="80" t="s">
        <v>385</v>
      </c>
      <c r="F729" s="80"/>
      <c r="G729" s="80" t="s">
        <v>106</v>
      </c>
      <c r="H729" s="80"/>
      <c r="I729" s="80"/>
      <c r="J729" s="80"/>
      <c r="K729" s="80"/>
      <c r="L729" s="81" t="str">
        <f aca="false">IF(K729="","",IFERROR(INDEX(BARDAGE!$C$7:$C$1506,MATCH(K729,BARDAGE!$B$7:$B$1506,0)),"? hors registre"))</f>
        <v/>
      </c>
      <c r="M729" s="80"/>
      <c r="N729" s="81" t="str">
        <f aca="false">IF(M729="","",IFERROR(INDEX(BARDAGE!$C$7:$C$1506,MATCH(M729,BARDAGE!$B$7:$B$1506,0)),"? hors registre"))</f>
        <v/>
      </c>
      <c r="O729" s="80"/>
      <c r="P729" s="80"/>
      <c r="Q729" s="80"/>
      <c r="R729" s="82"/>
      <c r="S729" s="82"/>
      <c r="T729" s="80"/>
      <c r="U729" s="80"/>
      <c r="V729" s="82"/>
      <c r="W729" s="80"/>
      <c r="X729" s="80"/>
      <c r="Y729" s="80"/>
      <c r="Z729" s="80"/>
      <c r="AA729" s="82"/>
      <c r="AB729" s="80"/>
      <c r="AC729" s="80"/>
      <c r="AD729" s="80"/>
      <c r="AE729" s="80"/>
      <c r="AF729" s="82"/>
      <c r="AG729" s="80"/>
      <c r="AH729" s="80"/>
      <c r="AI729" s="82"/>
      <c r="AJ729" s="79"/>
      <c r="AK729" s="78" t="n">
        <f aca="false">IF(E729="","",(X729&lt;&gt;"")+(AC729&lt;&gt;"")+(AH729&lt;&gt;""))</f>
        <v>0</v>
      </c>
      <c r="AL729" s="81" t="str">
        <f aca="false">IF(AH729&lt;&gt;"",AH729,IF(AC729&lt;&gt;"",AC729,IF(X729&lt;&gt;"",X729,"")))</f>
        <v/>
      </c>
      <c r="AM729" s="83" t="str">
        <f aca="false">IF(E729="","",IF(R729="","À SOUDER",IF(U729="","VT EN ATTENTE",IF(U729="R","VT REJETÉ – À REPRENDRE",IF(AL729="","À RADIOGRAPHIER",IF(AL729="A","ACCEPTÉ",IF(AL729="NX","NX – RT À REFAIRE",IF(IF(AK729=1,Z729,IF(AK729=2,AE729,""))="A","RÉPARÉ – À RADIOGRAPHIER",IF(IF(AK729=1,Z729,IF(AK729=2,AE729,""))="R","VT REJETÉ – À REPRENDRE",IF(OR(AL729="CO",AL729="NT"),"COUPE – À RESOUDER","À RÉPARER"))))))))))</f>
        <v>À SOUDER</v>
      </c>
      <c r="AN729" s="81" t="str">
        <f aca="false">IF(AND(ISNUMBER(R729),OR(AM729="À RADIOGRAPHIER",AM729="RÉPARÉ – À RADIOGRAPHIER",AM729="NX – RT À REFAIRE",AM729="À RÉPARER",AM729="COUPE – À RESOUDER",AM729="VT REJETÉ – À REPRENDRE")),MAX(0,'PROGRAMME RT'!$C$4-R729),"")</f>
        <v/>
      </c>
      <c r="AO729" s="78" t="n">
        <f aca="false">IF(AND(OR(AM729="À RADIOGRAPHIER",AM729="RÉPARÉ – À RADIOGRAPHIER",AM729="NX – RT À REFAIRE"),OR('PROGRAMME RT'!$D$5="TOUTES",B729='PROGRAMME RT'!$D$5)),1,0)</f>
        <v>0</v>
      </c>
      <c r="AP729" s="78" t="str">
        <f aca="false">IF(AO729=1,SUM(AO$7:AO729),"")</f>
        <v/>
      </c>
      <c r="AQ729" s="78" t="n">
        <f aca="false">IF(AND(OR(X729="R",X729="NX",X729="NT",X729="CO"),OR('JOINTS DE RÉPARATION'!$D$5="TOUTES",B729='JOINTS DE RÉPARATION'!$D$5),OR('JOINTS DE RÉPARATION'!$L$4="TOUS",AM729&lt;&gt;"ACCEPTÉ")),1,0)</f>
        <v>0</v>
      </c>
      <c r="AR729" s="78" t="str">
        <f aca="false">IF(AQ729=1,SUM(AQ$7:AQ729),"")</f>
        <v/>
      </c>
    </row>
    <row r="730" customFormat="false" ht="15" hidden="false" customHeight="false" outlineLevel="0" collapsed="false">
      <c r="A730" s="78" t="n">
        <f aca="false">IF(E730="","",ROW()-6)</f>
        <v>724</v>
      </c>
      <c r="B730" s="79" t="s">
        <v>586</v>
      </c>
      <c r="C730" s="80"/>
      <c r="D730" s="80"/>
      <c r="E730" s="80" t="s">
        <v>387</v>
      </c>
      <c r="F730" s="80"/>
      <c r="G730" s="80" t="s">
        <v>106</v>
      </c>
      <c r="H730" s="80"/>
      <c r="I730" s="80"/>
      <c r="J730" s="80"/>
      <c r="K730" s="80"/>
      <c r="L730" s="81" t="str">
        <f aca="false">IF(K730="","",IFERROR(INDEX(BARDAGE!$C$7:$C$1506,MATCH(K730,BARDAGE!$B$7:$B$1506,0)),"? hors registre"))</f>
        <v/>
      </c>
      <c r="M730" s="80"/>
      <c r="N730" s="81" t="str">
        <f aca="false">IF(M730="","",IFERROR(INDEX(BARDAGE!$C$7:$C$1506,MATCH(M730,BARDAGE!$B$7:$B$1506,0)),"? hors registre"))</f>
        <v/>
      </c>
      <c r="O730" s="80"/>
      <c r="P730" s="80"/>
      <c r="Q730" s="80"/>
      <c r="R730" s="82"/>
      <c r="S730" s="82"/>
      <c r="T730" s="80"/>
      <c r="U730" s="80"/>
      <c r="V730" s="82"/>
      <c r="W730" s="80"/>
      <c r="X730" s="80"/>
      <c r="Y730" s="80"/>
      <c r="Z730" s="80"/>
      <c r="AA730" s="82"/>
      <c r="AB730" s="80"/>
      <c r="AC730" s="80"/>
      <c r="AD730" s="80"/>
      <c r="AE730" s="80"/>
      <c r="AF730" s="82"/>
      <c r="AG730" s="80"/>
      <c r="AH730" s="80"/>
      <c r="AI730" s="82"/>
      <c r="AJ730" s="79"/>
      <c r="AK730" s="78" t="n">
        <f aca="false">IF(E730="","",(X730&lt;&gt;"")+(AC730&lt;&gt;"")+(AH730&lt;&gt;""))</f>
        <v>0</v>
      </c>
      <c r="AL730" s="81" t="str">
        <f aca="false">IF(AH730&lt;&gt;"",AH730,IF(AC730&lt;&gt;"",AC730,IF(X730&lt;&gt;"",X730,"")))</f>
        <v/>
      </c>
      <c r="AM730" s="83" t="str">
        <f aca="false">IF(E730="","",IF(R730="","À SOUDER",IF(U730="","VT EN ATTENTE",IF(U730="R","VT REJETÉ – À REPRENDRE",IF(AL730="","À RADIOGRAPHIER",IF(AL730="A","ACCEPTÉ",IF(AL730="NX","NX – RT À REFAIRE",IF(IF(AK730=1,Z730,IF(AK730=2,AE730,""))="A","RÉPARÉ – À RADIOGRAPHIER",IF(IF(AK730=1,Z730,IF(AK730=2,AE730,""))="R","VT REJETÉ – À REPRENDRE",IF(OR(AL730="CO",AL730="NT"),"COUPE – À RESOUDER","À RÉPARER"))))))))))</f>
        <v>À SOUDER</v>
      </c>
      <c r="AN730" s="81" t="str">
        <f aca="false">IF(AND(ISNUMBER(R730),OR(AM730="À RADIOGRAPHIER",AM730="RÉPARÉ – À RADIOGRAPHIER",AM730="NX – RT À REFAIRE",AM730="À RÉPARER",AM730="COUPE – À RESOUDER",AM730="VT REJETÉ – À REPRENDRE")),MAX(0,'PROGRAMME RT'!$C$4-R730),"")</f>
        <v/>
      </c>
      <c r="AO730" s="78" t="n">
        <f aca="false">IF(AND(OR(AM730="À RADIOGRAPHIER",AM730="RÉPARÉ – À RADIOGRAPHIER",AM730="NX – RT À REFAIRE"),OR('PROGRAMME RT'!$D$5="TOUTES",B730='PROGRAMME RT'!$D$5)),1,0)</f>
        <v>0</v>
      </c>
      <c r="AP730" s="78" t="str">
        <f aca="false">IF(AO730=1,SUM(AO$7:AO730),"")</f>
        <v/>
      </c>
      <c r="AQ730" s="78" t="n">
        <f aca="false">IF(AND(OR(X730="R",X730="NX",X730="NT",X730="CO"),OR('JOINTS DE RÉPARATION'!$D$5="TOUTES",B730='JOINTS DE RÉPARATION'!$D$5),OR('JOINTS DE RÉPARATION'!$L$4="TOUS",AM730&lt;&gt;"ACCEPTÉ")),1,0)</f>
        <v>0</v>
      </c>
      <c r="AR730" s="78" t="str">
        <f aca="false">IF(AQ730=1,SUM(AQ$7:AQ730),"")</f>
        <v/>
      </c>
    </row>
    <row r="731" customFormat="false" ht="15" hidden="false" customHeight="false" outlineLevel="0" collapsed="false">
      <c r="A731" s="78" t="n">
        <f aca="false">IF(E731="","",ROW()-6)</f>
        <v>725</v>
      </c>
      <c r="B731" s="79" t="s">
        <v>586</v>
      </c>
      <c r="C731" s="80"/>
      <c r="D731" s="80"/>
      <c r="E731" s="80" t="s">
        <v>390</v>
      </c>
      <c r="F731" s="80"/>
      <c r="G731" s="80" t="s">
        <v>106</v>
      </c>
      <c r="H731" s="80"/>
      <c r="I731" s="80"/>
      <c r="J731" s="80"/>
      <c r="K731" s="80"/>
      <c r="L731" s="81" t="str">
        <f aca="false">IF(K731="","",IFERROR(INDEX(BARDAGE!$C$7:$C$1506,MATCH(K731,BARDAGE!$B$7:$B$1506,0)),"? hors registre"))</f>
        <v/>
      </c>
      <c r="M731" s="80"/>
      <c r="N731" s="81" t="str">
        <f aca="false">IF(M731="","",IFERROR(INDEX(BARDAGE!$C$7:$C$1506,MATCH(M731,BARDAGE!$B$7:$B$1506,0)),"? hors registre"))</f>
        <v/>
      </c>
      <c r="O731" s="80"/>
      <c r="P731" s="80"/>
      <c r="Q731" s="80"/>
      <c r="R731" s="82"/>
      <c r="S731" s="82"/>
      <c r="T731" s="80"/>
      <c r="U731" s="80"/>
      <c r="V731" s="82"/>
      <c r="W731" s="80"/>
      <c r="X731" s="80"/>
      <c r="Y731" s="80"/>
      <c r="Z731" s="80"/>
      <c r="AA731" s="82"/>
      <c r="AB731" s="80"/>
      <c r="AC731" s="80"/>
      <c r="AD731" s="80"/>
      <c r="AE731" s="80"/>
      <c r="AF731" s="82"/>
      <c r="AG731" s="80"/>
      <c r="AH731" s="80"/>
      <c r="AI731" s="82"/>
      <c r="AJ731" s="79"/>
      <c r="AK731" s="78" t="n">
        <f aca="false">IF(E731="","",(X731&lt;&gt;"")+(AC731&lt;&gt;"")+(AH731&lt;&gt;""))</f>
        <v>0</v>
      </c>
      <c r="AL731" s="81" t="str">
        <f aca="false">IF(AH731&lt;&gt;"",AH731,IF(AC731&lt;&gt;"",AC731,IF(X731&lt;&gt;"",X731,"")))</f>
        <v/>
      </c>
      <c r="AM731" s="83" t="str">
        <f aca="false">IF(E731="","",IF(R731="","À SOUDER",IF(U731="","VT EN ATTENTE",IF(U731="R","VT REJETÉ – À REPRENDRE",IF(AL731="","À RADIOGRAPHIER",IF(AL731="A","ACCEPTÉ",IF(AL731="NX","NX – RT À REFAIRE",IF(IF(AK731=1,Z731,IF(AK731=2,AE731,""))="A","RÉPARÉ – À RADIOGRAPHIER",IF(IF(AK731=1,Z731,IF(AK731=2,AE731,""))="R","VT REJETÉ – À REPRENDRE",IF(OR(AL731="CO",AL731="NT"),"COUPE – À RESOUDER","À RÉPARER"))))))))))</f>
        <v>À SOUDER</v>
      </c>
      <c r="AN731" s="81" t="str">
        <f aca="false">IF(AND(ISNUMBER(R731),OR(AM731="À RADIOGRAPHIER",AM731="RÉPARÉ – À RADIOGRAPHIER",AM731="NX – RT À REFAIRE",AM731="À RÉPARER",AM731="COUPE – À RESOUDER",AM731="VT REJETÉ – À REPRENDRE")),MAX(0,'PROGRAMME RT'!$C$4-R731),"")</f>
        <v/>
      </c>
      <c r="AO731" s="78" t="n">
        <f aca="false">IF(AND(OR(AM731="À RADIOGRAPHIER",AM731="RÉPARÉ – À RADIOGRAPHIER",AM731="NX – RT À REFAIRE"),OR('PROGRAMME RT'!$D$5="TOUTES",B731='PROGRAMME RT'!$D$5)),1,0)</f>
        <v>0</v>
      </c>
      <c r="AP731" s="78" t="str">
        <f aca="false">IF(AO731=1,SUM(AO$7:AO731),"")</f>
        <v/>
      </c>
      <c r="AQ731" s="78" t="n">
        <f aca="false">IF(AND(OR(X731="R",X731="NX",X731="NT",X731="CO"),OR('JOINTS DE RÉPARATION'!$D$5="TOUTES",B731='JOINTS DE RÉPARATION'!$D$5),OR('JOINTS DE RÉPARATION'!$L$4="TOUS",AM731&lt;&gt;"ACCEPTÉ")),1,0)</f>
        <v>0</v>
      </c>
      <c r="AR731" s="78" t="str">
        <f aca="false">IF(AQ731=1,SUM(AQ$7:AQ731),"")</f>
        <v/>
      </c>
    </row>
    <row r="732" customFormat="false" ht="15" hidden="false" customHeight="false" outlineLevel="0" collapsed="false">
      <c r="A732" s="78" t="n">
        <f aca="false">IF(E732="","",ROW()-6)</f>
        <v>726</v>
      </c>
      <c r="B732" s="79" t="s">
        <v>586</v>
      </c>
      <c r="C732" s="80"/>
      <c r="D732" s="80"/>
      <c r="E732" s="80" t="s">
        <v>392</v>
      </c>
      <c r="F732" s="80"/>
      <c r="G732" s="80" t="s">
        <v>106</v>
      </c>
      <c r="H732" s="80"/>
      <c r="I732" s="80"/>
      <c r="J732" s="80"/>
      <c r="K732" s="80"/>
      <c r="L732" s="81" t="str">
        <f aca="false">IF(K732="","",IFERROR(INDEX(BARDAGE!$C$7:$C$1506,MATCH(K732,BARDAGE!$B$7:$B$1506,0)),"? hors registre"))</f>
        <v/>
      </c>
      <c r="M732" s="80"/>
      <c r="N732" s="81" t="str">
        <f aca="false">IF(M732="","",IFERROR(INDEX(BARDAGE!$C$7:$C$1506,MATCH(M732,BARDAGE!$B$7:$B$1506,0)),"? hors registre"))</f>
        <v/>
      </c>
      <c r="O732" s="80"/>
      <c r="P732" s="80"/>
      <c r="Q732" s="80"/>
      <c r="R732" s="82"/>
      <c r="S732" s="82"/>
      <c r="T732" s="80"/>
      <c r="U732" s="80"/>
      <c r="V732" s="82"/>
      <c r="W732" s="80"/>
      <c r="X732" s="80"/>
      <c r="Y732" s="80"/>
      <c r="Z732" s="80"/>
      <c r="AA732" s="82"/>
      <c r="AB732" s="80"/>
      <c r="AC732" s="80"/>
      <c r="AD732" s="80"/>
      <c r="AE732" s="80"/>
      <c r="AF732" s="82"/>
      <c r="AG732" s="80"/>
      <c r="AH732" s="80"/>
      <c r="AI732" s="82"/>
      <c r="AJ732" s="79"/>
      <c r="AK732" s="78" t="n">
        <f aca="false">IF(E732="","",(X732&lt;&gt;"")+(AC732&lt;&gt;"")+(AH732&lt;&gt;""))</f>
        <v>0</v>
      </c>
      <c r="AL732" s="81" t="str">
        <f aca="false">IF(AH732&lt;&gt;"",AH732,IF(AC732&lt;&gt;"",AC732,IF(X732&lt;&gt;"",X732,"")))</f>
        <v/>
      </c>
      <c r="AM732" s="83" t="str">
        <f aca="false">IF(E732="","",IF(R732="","À SOUDER",IF(U732="","VT EN ATTENTE",IF(U732="R","VT REJETÉ – À REPRENDRE",IF(AL732="","À RADIOGRAPHIER",IF(AL732="A","ACCEPTÉ",IF(AL732="NX","NX – RT À REFAIRE",IF(IF(AK732=1,Z732,IF(AK732=2,AE732,""))="A","RÉPARÉ – À RADIOGRAPHIER",IF(IF(AK732=1,Z732,IF(AK732=2,AE732,""))="R","VT REJETÉ – À REPRENDRE",IF(OR(AL732="CO",AL732="NT"),"COUPE – À RESOUDER","À RÉPARER"))))))))))</f>
        <v>À SOUDER</v>
      </c>
      <c r="AN732" s="81" t="str">
        <f aca="false">IF(AND(ISNUMBER(R732),OR(AM732="À RADIOGRAPHIER",AM732="RÉPARÉ – À RADIOGRAPHIER",AM732="NX – RT À REFAIRE",AM732="À RÉPARER",AM732="COUPE – À RESOUDER",AM732="VT REJETÉ – À REPRENDRE")),MAX(0,'PROGRAMME RT'!$C$4-R732),"")</f>
        <v/>
      </c>
      <c r="AO732" s="78" t="n">
        <f aca="false">IF(AND(OR(AM732="À RADIOGRAPHIER",AM732="RÉPARÉ – À RADIOGRAPHIER",AM732="NX – RT À REFAIRE"),OR('PROGRAMME RT'!$D$5="TOUTES",B732='PROGRAMME RT'!$D$5)),1,0)</f>
        <v>0</v>
      </c>
      <c r="AP732" s="78" t="str">
        <f aca="false">IF(AO732=1,SUM(AO$7:AO732),"")</f>
        <v/>
      </c>
      <c r="AQ732" s="78" t="n">
        <f aca="false">IF(AND(OR(X732="R",X732="NX",X732="NT",X732="CO"),OR('JOINTS DE RÉPARATION'!$D$5="TOUTES",B732='JOINTS DE RÉPARATION'!$D$5),OR('JOINTS DE RÉPARATION'!$L$4="TOUS",AM732&lt;&gt;"ACCEPTÉ")),1,0)</f>
        <v>0</v>
      </c>
      <c r="AR732" s="78" t="str">
        <f aca="false">IF(AQ732=1,SUM(AQ$7:AQ732),"")</f>
        <v/>
      </c>
    </row>
    <row r="733" customFormat="false" ht="15" hidden="false" customHeight="false" outlineLevel="0" collapsed="false">
      <c r="A733" s="78" t="n">
        <f aca="false">IF(E733="","",ROW()-6)</f>
        <v>727</v>
      </c>
      <c r="B733" s="79" t="s">
        <v>586</v>
      </c>
      <c r="C733" s="80"/>
      <c r="D733" s="80"/>
      <c r="E733" s="80" t="s">
        <v>581</v>
      </c>
      <c r="F733" s="80"/>
      <c r="G733" s="80" t="s">
        <v>106</v>
      </c>
      <c r="H733" s="80"/>
      <c r="I733" s="80"/>
      <c r="J733" s="80"/>
      <c r="K733" s="80"/>
      <c r="L733" s="81" t="str">
        <f aca="false">IF(K733="","",IFERROR(INDEX(BARDAGE!$C$7:$C$1506,MATCH(K733,BARDAGE!$B$7:$B$1506,0)),"? hors registre"))</f>
        <v/>
      </c>
      <c r="M733" s="80"/>
      <c r="N733" s="81" t="str">
        <f aca="false">IF(M733="","",IFERROR(INDEX(BARDAGE!$C$7:$C$1506,MATCH(M733,BARDAGE!$B$7:$B$1506,0)),"? hors registre"))</f>
        <v/>
      </c>
      <c r="O733" s="80"/>
      <c r="P733" s="80"/>
      <c r="Q733" s="80"/>
      <c r="R733" s="82"/>
      <c r="S733" s="82"/>
      <c r="T733" s="80"/>
      <c r="U733" s="80"/>
      <c r="V733" s="82"/>
      <c r="W733" s="80"/>
      <c r="X733" s="80"/>
      <c r="Y733" s="80"/>
      <c r="Z733" s="80"/>
      <c r="AA733" s="82"/>
      <c r="AB733" s="80"/>
      <c r="AC733" s="80"/>
      <c r="AD733" s="80"/>
      <c r="AE733" s="80"/>
      <c r="AF733" s="82"/>
      <c r="AG733" s="80"/>
      <c r="AH733" s="80"/>
      <c r="AI733" s="82"/>
      <c r="AJ733" s="79"/>
      <c r="AK733" s="78" t="n">
        <f aca="false">IF(E733="","",(X733&lt;&gt;"")+(AC733&lt;&gt;"")+(AH733&lt;&gt;""))</f>
        <v>0</v>
      </c>
      <c r="AL733" s="81" t="str">
        <f aca="false">IF(AH733&lt;&gt;"",AH733,IF(AC733&lt;&gt;"",AC733,IF(X733&lt;&gt;"",X733,"")))</f>
        <v/>
      </c>
      <c r="AM733" s="83" t="str">
        <f aca="false">IF(E733="","",IF(R733="","À SOUDER",IF(U733="","VT EN ATTENTE",IF(U733="R","VT REJETÉ – À REPRENDRE",IF(AL733="","À RADIOGRAPHIER",IF(AL733="A","ACCEPTÉ",IF(AL733="NX","NX – RT À REFAIRE",IF(IF(AK733=1,Z733,IF(AK733=2,AE733,""))="A","RÉPARÉ – À RADIOGRAPHIER",IF(IF(AK733=1,Z733,IF(AK733=2,AE733,""))="R","VT REJETÉ – À REPRENDRE",IF(OR(AL733="CO",AL733="NT"),"COUPE – À RESOUDER","À RÉPARER"))))))))))</f>
        <v>À SOUDER</v>
      </c>
      <c r="AN733" s="81" t="str">
        <f aca="false">IF(AND(ISNUMBER(R733),OR(AM733="À RADIOGRAPHIER",AM733="RÉPARÉ – À RADIOGRAPHIER",AM733="NX – RT À REFAIRE",AM733="À RÉPARER",AM733="COUPE – À RESOUDER",AM733="VT REJETÉ – À REPRENDRE")),MAX(0,'PROGRAMME RT'!$C$4-R733),"")</f>
        <v/>
      </c>
      <c r="AO733" s="78" t="n">
        <f aca="false">IF(AND(OR(AM733="À RADIOGRAPHIER",AM733="RÉPARÉ – À RADIOGRAPHIER",AM733="NX – RT À REFAIRE"),OR('PROGRAMME RT'!$D$5="TOUTES",B733='PROGRAMME RT'!$D$5)),1,0)</f>
        <v>0</v>
      </c>
      <c r="AP733" s="78" t="str">
        <f aca="false">IF(AO733=1,SUM(AO$7:AO733),"")</f>
        <v/>
      </c>
      <c r="AQ733" s="78" t="n">
        <f aca="false">IF(AND(OR(X733="R",X733="NX",X733="NT",X733="CO"),OR('JOINTS DE RÉPARATION'!$D$5="TOUTES",B733='JOINTS DE RÉPARATION'!$D$5),OR('JOINTS DE RÉPARATION'!$L$4="TOUS",AM733&lt;&gt;"ACCEPTÉ")),1,0)</f>
        <v>0</v>
      </c>
      <c r="AR733" s="78" t="str">
        <f aca="false">IF(AQ733=1,SUM(AQ$7:AQ733),"")</f>
        <v/>
      </c>
    </row>
    <row r="734" customFormat="false" ht="15" hidden="false" customHeight="false" outlineLevel="0" collapsed="false">
      <c r="A734" s="78" t="n">
        <f aca="false">IF(E734="","",ROW()-6)</f>
        <v>728</v>
      </c>
      <c r="B734" s="79" t="s">
        <v>586</v>
      </c>
      <c r="C734" s="80"/>
      <c r="D734" s="80"/>
      <c r="E734" s="80" t="s">
        <v>397</v>
      </c>
      <c r="F734" s="80"/>
      <c r="G734" s="80" t="s">
        <v>106</v>
      </c>
      <c r="H734" s="80"/>
      <c r="I734" s="80"/>
      <c r="J734" s="80"/>
      <c r="K734" s="80"/>
      <c r="L734" s="81" t="str">
        <f aca="false">IF(K734="","",IFERROR(INDEX(BARDAGE!$C$7:$C$1506,MATCH(K734,BARDAGE!$B$7:$B$1506,0)),"? hors registre"))</f>
        <v/>
      </c>
      <c r="M734" s="80"/>
      <c r="N734" s="81" t="str">
        <f aca="false">IF(M734="","",IFERROR(INDEX(BARDAGE!$C$7:$C$1506,MATCH(M734,BARDAGE!$B$7:$B$1506,0)),"? hors registre"))</f>
        <v/>
      </c>
      <c r="O734" s="80"/>
      <c r="P734" s="80"/>
      <c r="Q734" s="80"/>
      <c r="R734" s="82"/>
      <c r="S734" s="82"/>
      <c r="T734" s="80"/>
      <c r="U734" s="80"/>
      <c r="V734" s="82"/>
      <c r="W734" s="80"/>
      <c r="X734" s="80"/>
      <c r="Y734" s="80"/>
      <c r="Z734" s="80"/>
      <c r="AA734" s="82"/>
      <c r="AB734" s="80"/>
      <c r="AC734" s="80"/>
      <c r="AD734" s="80"/>
      <c r="AE734" s="80"/>
      <c r="AF734" s="82"/>
      <c r="AG734" s="80"/>
      <c r="AH734" s="80"/>
      <c r="AI734" s="82"/>
      <c r="AJ734" s="79"/>
      <c r="AK734" s="78" t="n">
        <f aca="false">IF(E734="","",(X734&lt;&gt;"")+(AC734&lt;&gt;"")+(AH734&lt;&gt;""))</f>
        <v>0</v>
      </c>
      <c r="AL734" s="81" t="str">
        <f aca="false">IF(AH734&lt;&gt;"",AH734,IF(AC734&lt;&gt;"",AC734,IF(X734&lt;&gt;"",X734,"")))</f>
        <v/>
      </c>
      <c r="AM734" s="83" t="str">
        <f aca="false">IF(E734="","",IF(R734="","À SOUDER",IF(U734="","VT EN ATTENTE",IF(U734="R","VT REJETÉ – À REPRENDRE",IF(AL734="","À RADIOGRAPHIER",IF(AL734="A","ACCEPTÉ",IF(AL734="NX","NX – RT À REFAIRE",IF(IF(AK734=1,Z734,IF(AK734=2,AE734,""))="A","RÉPARÉ – À RADIOGRAPHIER",IF(IF(AK734=1,Z734,IF(AK734=2,AE734,""))="R","VT REJETÉ – À REPRENDRE",IF(OR(AL734="CO",AL734="NT"),"COUPE – À RESOUDER","À RÉPARER"))))))))))</f>
        <v>À SOUDER</v>
      </c>
      <c r="AN734" s="81" t="str">
        <f aca="false">IF(AND(ISNUMBER(R734),OR(AM734="À RADIOGRAPHIER",AM734="RÉPARÉ – À RADIOGRAPHIER",AM734="NX – RT À REFAIRE",AM734="À RÉPARER",AM734="COUPE – À RESOUDER",AM734="VT REJETÉ – À REPRENDRE")),MAX(0,'PROGRAMME RT'!$C$4-R734),"")</f>
        <v/>
      </c>
      <c r="AO734" s="78" t="n">
        <f aca="false">IF(AND(OR(AM734="À RADIOGRAPHIER",AM734="RÉPARÉ – À RADIOGRAPHIER",AM734="NX – RT À REFAIRE"),OR('PROGRAMME RT'!$D$5="TOUTES",B734='PROGRAMME RT'!$D$5)),1,0)</f>
        <v>0</v>
      </c>
      <c r="AP734" s="78" t="str">
        <f aca="false">IF(AO734=1,SUM(AO$7:AO734),"")</f>
        <v/>
      </c>
      <c r="AQ734" s="78" t="n">
        <f aca="false">IF(AND(OR(X734="R",X734="NX",X734="NT",X734="CO"),OR('JOINTS DE RÉPARATION'!$D$5="TOUTES",B734='JOINTS DE RÉPARATION'!$D$5),OR('JOINTS DE RÉPARATION'!$L$4="TOUS",AM734&lt;&gt;"ACCEPTÉ")),1,0)</f>
        <v>0</v>
      </c>
      <c r="AR734" s="78" t="str">
        <f aca="false">IF(AQ734=1,SUM(AQ$7:AQ734),"")</f>
        <v/>
      </c>
    </row>
    <row r="735" customFormat="false" ht="15" hidden="false" customHeight="false" outlineLevel="0" collapsed="false">
      <c r="A735" s="78" t="n">
        <f aca="false">IF(E735="","",ROW()-6)</f>
        <v>729</v>
      </c>
      <c r="B735" s="79" t="s">
        <v>586</v>
      </c>
      <c r="C735" s="80"/>
      <c r="D735" s="80"/>
      <c r="E735" s="80" t="s">
        <v>400</v>
      </c>
      <c r="F735" s="80"/>
      <c r="G735" s="80" t="s">
        <v>106</v>
      </c>
      <c r="H735" s="80"/>
      <c r="I735" s="80"/>
      <c r="J735" s="80"/>
      <c r="K735" s="80"/>
      <c r="L735" s="81" t="str">
        <f aca="false">IF(K735="","",IFERROR(INDEX(BARDAGE!$C$7:$C$1506,MATCH(K735,BARDAGE!$B$7:$B$1506,0)),"? hors registre"))</f>
        <v/>
      </c>
      <c r="M735" s="80"/>
      <c r="N735" s="81" t="str">
        <f aca="false">IF(M735="","",IFERROR(INDEX(BARDAGE!$C$7:$C$1506,MATCH(M735,BARDAGE!$B$7:$B$1506,0)),"? hors registre"))</f>
        <v/>
      </c>
      <c r="O735" s="80"/>
      <c r="P735" s="80"/>
      <c r="Q735" s="80"/>
      <c r="R735" s="82"/>
      <c r="S735" s="82"/>
      <c r="T735" s="80"/>
      <c r="U735" s="80"/>
      <c r="V735" s="82"/>
      <c r="W735" s="80"/>
      <c r="X735" s="80"/>
      <c r="Y735" s="80"/>
      <c r="Z735" s="80"/>
      <c r="AA735" s="82"/>
      <c r="AB735" s="80"/>
      <c r="AC735" s="80"/>
      <c r="AD735" s="80"/>
      <c r="AE735" s="80"/>
      <c r="AF735" s="82"/>
      <c r="AG735" s="80"/>
      <c r="AH735" s="80"/>
      <c r="AI735" s="82"/>
      <c r="AJ735" s="79"/>
      <c r="AK735" s="78" t="n">
        <f aca="false">IF(E735="","",(X735&lt;&gt;"")+(AC735&lt;&gt;"")+(AH735&lt;&gt;""))</f>
        <v>0</v>
      </c>
      <c r="AL735" s="81" t="str">
        <f aca="false">IF(AH735&lt;&gt;"",AH735,IF(AC735&lt;&gt;"",AC735,IF(X735&lt;&gt;"",X735,"")))</f>
        <v/>
      </c>
      <c r="AM735" s="83" t="str">
        <f aca="false">IF(E735="","",IF(R735="","À SOUDER",IF(U735="","VT EN ATTENTE",IF(U735="R","VT REJETÉ – À REPRENDRE",IF(AL735="","À RADIOGRAPHIER",IF(AL735="A","ACCEPTÉ",IF(AL735="NX","NX – RT À REFAIRE",IF(IF(AK735=1,Z735,IF(AK735=2,AE735,""))="A","RÉPARÉ – À RADIOGRAPHIER",IF(IF(AK735=1,Z735,IF(AK735=2,AE735,""))="R","VT REJETÉ – À REPRENDRE",IF(OR(AL735="CO",AL735="NT"),"COUPE – À RESOUDER","À RÉPARER"))))))))))</f>
        <v>À SOUDER</v>
      </c>
      <c r="AN735" s="81" t="str">
        <f aca="false">IF(AND(ISNUMBER(R735),OR(AM735="À RADIOGRAPHIER",AM735="RÉPARÉ – À RADIOGRAPHIER",AM735="NX – RT À REFAIRE",AM735="À RÉPARER",AM735="COUPE – À RESOUDER",AM735="VT REJETÉ – À REPRENDRE")),MAX(0,'PROGRAMME RT'!$C$4-R735),"")</f>
        <v/>
      </c>
      <c r="AO735" s="78" t="n">
        <f aca="false">IF(AND(OR(AM735="À RADIOGRAPHIER",AM735="RÉPARÉ – À RADIOGRAPHIER",AM735="NX – RT À REFAIRE"),OR('PROGRAMME RT'!$D$5="TOUTES",B735='PROGRAMME RT'!$D$5)),1,0)</f>
        <v>0</v>
      </c>
      <c r="AP735" s="78" t="str">
        <f aca="false">IF(AO735=1,SUM(AO$7:AO735),"")</f>
        <v/>
      </c>
      <c r="AQ735" s="78" t="n">
        <f aca="false">IF(AND(OR(X735="R",X735="NX",X735="NT",X735="CO"),OR('JOINTS DE RÉPARATION'!$D$5="TOUTES",B735='JOINTS DE RÉPARATION'!$D$5),OR('JOINTS DE RÉPARATION'!$L$4="TOUS",AM735&lt;&gt;"ACCEPTÉ")),1,0)</f>
        <v>0</v>
      </c>
      <c r="AR735" s="78" t="str">
        <f aca="false">IF(AQ735=1,SUM(AQ$7:AQ735),"")</f>
        <v/>
      </c>
    </row>
    <row r="736" customFormat="false" ht="15" hidden="false" customHeight="false" outlineLevel="0" collapsed="false">
      <c r="A736" s="78" t="n">
        <f aca="false">IF(E736="","",ROW()-6)</f>
        <v>730</v>
      </c>
      <c r="B736" s="79" t="s">
        <v>586</v>
      </c>
      <c r="C736" s="80"/>
      <c r="D736" s="80"/>
      <c r="E736" s="80" t="s">
        <v>402</v>
      </c>
      <c r="F736" s="80"/>
      <c r="G736" s="80" t="s">
        <v>106</v>
      </c>
      <c r="H736" s="80"/>
      <c r="I736" s="80"/>
      <c r="J736" s="80"/>
      <c r="K736" s="80"/>
      <c r="L736" s="81" t="str">
        <f aca="false">IF(K736="","",IFERROR(INDEX(BARDAGE!$C$7:$C$1506,MATCH(K736,BARDAGE!$B$7:$B$1506,0)),"? hors registre"))</f>
        <v/>
      </c>
      <c r="M736" s="80"/>
      <c r="N736" s="81" t="str">
        <f aca="false">IF(M736="","",IFERROR(INDEX(BARDAGE!$C$7:$C$1506,MATCH(M736,BARDAGE!$B$7:$B$1506,0)),"? hors registre"))</f>
        <v/>
      </c>
      <c r="O736" s="80"/>
      <c r="P736" s="80"/>
      <c r="Q736" s="80"/>
      <c r="R736" s="82"/>
      <c r="S736" s="82"/>
      <c r="T736" s="80"/>
      <c r="U736" s="80"/>
      <c r="V736" s="82"/>
      <c r="W736" s="80"/>
      <c r="X736" s="80"/>
      <c r="Y736" s="80"/>
      <c r="Z736" s="80"/>
      <c r="AA736" s="82"/>
      <c r="AB736" s="80"/>
      <c r="AC736" s="80"/>
      <c r="AD736" s="80"/>
      <c r="AE736" s="80"/>
      <c r="AF736" s="82"/>
      <c r="AG736" s="80"/>
      <c r="AH736" s="80"/>
      <c r="AI736" s="82"/>
      <c r="AJ736" s="79"/>
      <c r="AK736" s="78" t="n">
        <f aca="false">IF(E736="","",(X736&lt;&gt;"")+(AC736&lt;&gt;"")+(AH736&lt;&gt;""))</f>
        <v>0</v>
      </c>
      <c r="AL736" s="81" t="str">
        <f aca="false">IF(AH736&lt;&gt;"",AH736,IF(AC736&lt;&gt;"",AC736,IF(X736&lt;&gt;"",X736,"")))</f>
        <v/>
      </c>
      <c r="AM736" s="83" t="str">
        <f aca="false">IF(E736="","",IF(R736="","À SOUDER",IF(U736="","VT EN ATTENTE",IF(U736="R","VT REJETÉ – À REPRENDRE",IF(AL736="","À RADIOGRAPHIER",IF(AL736="A","ACCEPTÉ",IF(AL736="NX","NX – RT À REFAIRE",IF(IF(AK736=1,Z736,IF(AK736=2,AE736,""))="A","RÉPARÉ – À RADIOGRAPHIER",IF(IF(AK736=1,Z736,IF(AK736=2,AE736,""))="R","VT REJETÉ – À REPRENDRE",IF(OR(AL736="CO",AL736="NT"),"COUPE – À RESOUDER","À RÉPARER"))))))))))</f>
        <v>À SOUDER</v>
      </c>
      <c r="AN736" s="81" t="str">
        <f aca="false">IF(AND(ISNUMBER(R736),OR(AM736="À RADIOGRAPHIER",AM736="RÉPARÉ – À RADIOGRAPHIER",AM736="NX – RT À REFAIRE",AM736="À RÉPARER",AM736="COUPE – À RESOUDER",AM736="VT REJETÉ – À REPRENDRE")),MAX(0,'PROGRAMME RT'!$C$4-R736),"")</f>
        <v/>
      </c>
      <c r="AO736" s="78" t="n">
        <f aca="false">IF(AND(OR(AM736="À RADIOGRAPHIER",AM736="RÉPARÉ – À RADIOGRAPHIER",AM736="NX – RT À REFAIRE"),OR('PROGRAMME RT'!$D$5="TOUTES",B736='PROGRAMME RT'!$D$5)),1,0)</f>
        <v>0</v>
      </c>
      <c r="AP736" s="78" t="str">
        <f aca="false">IF(AO736=1,SUM(AO$7:AO736),"")</f>
        <v/>
      </c>
      <c r="AQ736" s="78" t="n">
        <f aca="false">IF(AND(OR(X736="R",X736="NX",X736="NT",X736="CO"),OR('JOINTS DE RÉPARATION'!$D$5="TOUTES",B736='JOINTS DE RÉPARATION'!$D$5),OR('JOINTS DE RÉPARATION'!$L$4="TOUS",AM736&lt;&gt;"ACCEPTÉ")),1,0)</f>
        <v>0</v>
      </c>
      <c r="AR736" s="78" t="str">
        <f aca="false">IF(AQ736=1,SUM(AQ$7:AQ736),"")</f>
        <v/>
      </c>
    </row>
    <row r="737" customFormat="false" ht="15" hidden="false" customHeight="false" outlineLevel="0" collapsed="false">
      <c r="A737" s="78" t="n">
        <f aca="false">IF(E737="","",ROW()-6)</f>
        <v>731</v>
      </c>
      <c r="B737" s="79" t="s">
        <v>586</v>
      </c>
      <c r="C737" s="80"/>
      <c r="D737" s="80"/>
      <c r="E737" s="80" t="s">
        <v>404</v>
      </c>
      <c r="F737" s="80"/>
      <c r="G737" s="80" t="s">
        <v>106</v>
      </c>
      <c r="H737" s="80"/>
      <c r="I737" s="80"/>
      <c r="J737" s="80"/>
      <c r="K737" s="80"/>
      <c r="L737" s="81" t="str">
        <f aca="false">IF(K737="","",IFERROR(INDEX(BARDAGE!$C$7:$C$1506,MATCH(K737,BARDAGE!$B$7:$B$1506,0)),"? hors registre"))</f>
        <v/>
      </c>
      <c r="M737" s="80"/>
      <c r="N737" s="81" t="str">
        <f aca="false">IF(M737="","",IFERROR(INDEX(BARDAGE!$C$7:$C$1506,MATCH(M737,BARDAGE!$B$7:$B$1506,0)),"? hors registre"))</f>
        <v/>
      </c>
      <c r="O737" s="80"/>
      <c r="P737" s="80"/>
      <c r="Q737" s="80"/>
      <c r="R737" s="82"/>
      <c r="S737" s="82"/>
      <c r="T737" s="80"/>
      <c r="U737" s="80"/>
      <c r="V737" s="82"/>
      <c r="W737" s="80"/>
      <c r="X737" s="80"/>
      <c r="Y737" s="80"/>
      <c r="Z737" s="80"/>
      <c r="AA737" s="82"/>
      <c r="AB737" s="80"/>
      <c r="AC737" s="80"/>
      <c r="AD737" s="80"/>
      <c r="AE737" s="80"/>
      <c r="AF737" s="82"/>
      <c r="AG737" s="80"/>
      <c r="AH737" s="80"/>
      <c r="AI737" s="82"/>
      <c r="AJ737" s="79"/>
      <c r="AK737" s="78" t="n">
        <f aca="false">IF(E737="","",(X737&lt;&gt;"")+(AC737&lt;&gt;"")+(AH737&lt;&gt;""))</f>
        <v>0</v>
      </c>
      <c r="AL737" s="81" t="str">
        <f aca="false">IF(AH737&lt;&gt;"",AH737,IF(AC737&lt;&gt;"",AC737,IF(X737&lt;&gt;"",X737,"")))</f>
        <v/>
      </c>
      <c r="AM737" s="83" t="str">
        <f aca="false">IF(E737="","",IF(R737="","À SOUDER",IF(U737="","VT EN ATTENTE",IF(U737="R","VT REJETÉ – À REPRENDRE",IF(AL737="","À RADIOGRAPHIER",IF(AL737="A","ACCEPTÉ",IF(AL737="NX","NX – RT À REFAIRE",IF(IF(AK737=1,Z737,IF(AK737=2,AE737,""))="A","RÉPARÉ – À RADIOGRAPHIER",IF(IF(AK737=1,Z737,IF(AK737=2,AE737,""))="R","VT REJETÉ – À REPRENDRE",IF(OR(AL737="CO",AL737="NT"),"COUPE – À RESOUDER","À RÉPARER"))))))))))</f>
        <v>À SOUDER</v>
      </c>
      <c r="AN737" s="81" t="str">
        <f aca="false">IF(AND(ISNUMBER(R737),OR(AM737="À RADIOGRAPHIER",AM737="RÉPARÉ – À RADIOGRAPHIER",AM737="NX – RT À REFAIRE",AM737="À RÉPARER",AM737="COUPE – À RESOUDER",AM737="VT REJETÉ – À REPRENDRE")),MAX(0,'PROGRAMME RT'!$C$4-R737),"")</f>
        <v/>
      </c>
      <c r="AO737" s="78" t="n">
        <f aca="false">IF(AND(OR(AM737="À RADIOGRAPHIER",AM737="RÉPARÉ – À RADIOGRAPHIER",AM737="NX – RT À REFAIRE"),OR('PROGRAMME RT'!$D$5="TOUTES",B737='PROGRAMME RT'!$D$5)),1,0)</f>
        <v>0</v>
      </c>
      <c r="AP737" s="78" t="str">
        <f aca="false">IF(AO737=1,SUM(AO$7:AO737),"")</f>
        <v/>
      </c>
      <c r="AQ737" s="78" t="n">
        <f aca="false">IF(AND(OR(X737="R",X737="NX",X737="NT",X737="CO"),OR('JOINTS DE RÉPARATION'!$D$5="TOUTES",B737='JOINTS DE RÉPARATION'!$D$5),OR('JOINTS DE RÉPARATION'!$L$4="TOUS",AM737&lt;&gt;"ACCEPTÉ")),1,0)</f>
        <v>0</v>
      </c>
      <c r="AR737" s="78" t="str">
        <f aca="false">IF(AQ737=1,SUM(AQ$7:AQ737),"")</f>
        <v/>
      </c>
    </row>
    <row r="738" customFormat="false" ht="15" hidden="false" customHeight="false" outlineLevel="0" collapsed="false">
      <c r="A738" s="78" t="n">
        <f aca="false">IF(E738="","",ROW()-6)</f>
        <v>732</v>
      </c>
      <c r="B738" s="79" t="s">
        <v>586</v>
      </c>
      <c r="C738" s="80"/>
      <c r="D738" s="80"/>
      <c r="E738" s="80" t="s">
        <v>406</v>
      </c>
      <c r="F738" s="80"/>
      <c r="G738" s="80" t="s">
        <v>106</v>
      </c>
      <c r="H738" s="80"/>
      <c r="I738" s="80"/>
      <c r="J738" s="80"/>
      <c r="K738" s="80"/>
      <c r="L738" s="81" t="str">
        <f aca="false">IF(K738="","",IFERROR(INDEX(BARDAGE!$C$7:$C$1506,MATCH(K738,BARDAGE!$B$7:$B$1506,0)),"? hors registre"))</f>
        <v/>
      </c>
      <c r="M738" s="80"/>
      <c r="N738" s="81" t="str">
        <f aca="false">IF(M738="","",IFERROR(INDEX(BARDAGE!$C$7:$C$1506,MATCH(M738,BARDAGE!$B$7:$B$1506,0)),"? hors registre"))</f>
        <v/>
      </c>
      <c r="O738" s="80"/>
      <c r="P738" s="80"/>
      <c r="Q738" s="80"/>
      <c r="R738" s="82"/>
      <c r="S738" s="82"/>
      <c r="T738" s="80"/>
      <c r="U738" s="80"/>
      <c r="V738" s="82"/>
      <c r="W738" s="80"/>
      <c r="X738" s="80"/>
      <c r="Y738" s="80"/>
      <c r="Z738" s="80"/>
      <c r="AA738" s="82"/>
      <c r="AB738" s="80"/>
      <c r="AC738" s="80"/>
      <c r="AD738" s="80"/>
      <c r="AE738" s="80"/>
      <c r="AF738" s="82"/>
      <c r="AG738" s="80"/>
      <c r="AH738" s="80"/>
      <c r="AI738" s="82"/>
      <c r="AJ738" s="79"/>
      <c r="AK738" s="78" t="n">
        <f aca="false">IF(E738="","",(X738&lt;&gt;"")+(AC738&lt;&gt;"")+(AH738&lt;&gt;""))</f>
        <v>0</v>
      </c>
      <c r="AL738" s="81" t="str">
        <f aca="false">IF(AH738&lt;&gt;"",AH738,IF(AC738&lt;&gt;"",AC738,IF(X738&lt;&gt;"",X738,"")))</f>
        <v/>
      </c>
      <c r="AM738" s="83" t="str">
        <f aca="false">IF(E738="","",IF(R738="","À SOUDER",IF(U738="","VT EN ATTENTE",IF(U738="R","VT REJETÉ – À REPRENDRE",IF(AL738="","À RADIOGRAPHIER",IF(AL738="A","ACCEPTÉ",IF(AL738="NX","NX – RT À REFAIRE",IF(IF(AK738=1,Z738,IF(AK738=2,AE738,""))="A","RÉPARÉ – À RADIOGRAPHIER",IF(IF(AK738=1,Z738,IF(AK738=2,AE738,""))="R","VT REJETÉ – À REPRENDRE",IF(OR(AL738="CO",AL738="NT"),"COUPE – À RESOUDER","À RÉPARER"))))))))))</f>
        <v>À SOUDER</v>
      </c>
      <c r="AN738" s="81" t="str">
        <f aca="false">IF(AND(ISNUMBER(R738),OR(AM738="À RADIOGRAPHIER",AM738="RÉPARÉ – À RADIOGRAPHIER",AM738="NX – RT À REFAIRE",AM738="À RÉPARER",AM738="COUPE – À RESOUDER",AM738="VT REJETÉ – À REPRENDRE")),MAX(0,'PROGRAMME RT'!$C$4-R738),"")</f>
        <v/>
      </c>
      <c r="AO738" s="78" t="n">
        <f aca="false">IF(AND(OR(AM738="À RADIOGRAPHIER",AM738="RÉPARÉ – À RADIOGRAPHIER",AM738="NX – RT À REFAIRE"),OR('PROGRAMME RT'!$D$5="TOUTES",B738='PROGRAMME RT'!$D$5)),1,0)</f>
        <v>0</v>
      </c>
      <c r="AP738" s="78" t="str">
        <f aca="false">IF(AO738=1,SUM(AO$7:AO738),"")</f>
        <v/>
      </c>
      <c r="AQ738" s="78" t="n">
        <f aca="false">IF(AND(OR(X738="R",X738="NX",X738="NT",X738="CO"),OR('JOINTS DE RÉPARATION'!$D$5="TOUTES",B738='JOINTS DE RÉPARATION'!$D$5),OR('JOINTS DE RÉPARATION'!$L$4="TOUS",AM738&lt;&gt;"ACCEPTÉ")),1,0)</f>
        <v>0</v>
      </c>
      <c r="AR738" s="78" t="str">
        <f aca="false">IF(AQ738=1,SUM(AQ$7:AQ738),"")</f>
        <v/>
      </c>
    </row>
    <row r="739" customFormat="false" ht="15" hidden="false" customHeight="false" outlineLevel="0" collapsed="false">
      <c r="A739" s="78" t="n">
        <f aca="false">IF(E739="","",ROW()-6)</f>
        <v>733</v>
      </c>
      <c r="B739" s="79" t="s">
        <v>586</v>
      </c>
      <c r="C739" s="80"/>
      <c r="D739" s="80"/>
      <c r="E739" s="80" t="s">
        <v>408</v>
      </c>
      <c r="F739" s="80"/>
      <c r="G739" s="80" t="s">
        <v>106</v>
      </c>
      <c r="H739" s="80"/>
      <c r="I739" s="80"/>
      <c r="J739" s="80"/>
      <c r="K739" s="80"/>
      <c r="L739" s="81" t="str">
        <f aca="false">IF(K739="","",IFERROR(INDEX(BARDAGE!$C$7:$C$1506,MATCH(K739,BARDAGE!$B$7:$B$1506,0)),"? hors registre"))</f>
        <v/>
      </c>
      <c r="M739" s="80"/>
      <c r="N739" s="81" t="str">
        <f aca="false">IF(M739="","",IFERROR(INDEX(BARDAGE!$C$7:$C$1506,MATCH(M739,BARDAGE!$B$7:$B$1506,0)),"? hors registre"))</f>
        <v/>
      </c>
      <c r="O739" s="80"/>
      <c r="P739" s="80"/>
      <c r="Q739" s="80"/>
      <c r="R739" s="82"/>
      <c r="S739" s="82"/>
      <c r="T739" s="80"/>
      <c r="U739" s="80"/>
      <c r="V739" s="82"/>
      <c r="W739" s="80"/>
      <c r="X739" s="80"/>
      <c r="Y739" s="80"/>
      <c r="Z739" s="80"/>
      <c r="AA739" s="82"/>
      <c r="AB739" s="80"/>
      <c r="AC739" s="80"/>
      <c r="AD739" s="80"/>
      <c r="AE739" s="80"/>
      <c r="AF739" s="82"/>
      <c r="AG739" s="80"/>
      <c r="AH739" s="80"/>
      <c r="AI739" s="82"/>
      <c r="AJ739" s="79"/>
      <c r="AK739" s="78" t="n">
        <f aca="false">IF(E739="","",(X739&lt;&gt;"")+(AC739&lt;&gt;"")+(AH739&lt;&gt;""))</f>
        <v>0</v>
      </c>
      <c r="AL739" s="81" t="str">
        <f aca="false">IF(AH739&lt;&gt;"",AH739,IF(AC739&lt;&gt;"",AC739,IF(X739&lt;&gt;"",X739,"")))</f>
        <v/>
      </c>
      <c r="AM739" s="83" t="str">
        <f aca="false">IF(E739="","",IF(R739="","À SOUDER",IF(U739="","VT EN ATTENTE",IF(U739="R","VT REJETÉ – À REPRENDRE",IF(AL739="","À RADIOGRAPHIER",IF(AL739="A","ACCEPTÉ",IF(AL739="NX","NX – RT À REFAIRE",IF(IF(AK739=1,Z739,IF(AK739=2,AE739,""))="A","RÉPARÉ – À RADIOGRAPHIER",IF(IF(AK739=1,Z739,IF(AK739=2,AE739,""))="R","VT REJETÉ – À REPRENDRE",IF(OR(AL739="CO",AL739="NT"),"COUPE – À RESOUDER","À RÉPARER"))))))))))</f>
        <v>À SOUDER</v>
      </c>
      <c r="AN739" s="81" t="str">
        <f aca="false">IF(AND(ISNUMBER(R739),OR(AM739="À RADIOGRAPHIER",AM739="RÉPARÉ – À RADIOGRAPHIER",AM739="NX – RT À REFAIRE",AM739="À RÉPARER",AM739="COUPE – À RESOUDER",AM739="VT REJETÉ – À REPRENDRE")),MAX(0,'PROGRAMME RT'!$C$4-R739),"")</f>
        <v/>
      </c>
      <c r="AO739" s="78" t="n">
        <f aca="false">IF(AND(OR(AM739="À RADIOGRAPHIER",AM739="RÉPARÉ – À RADIOGRAPHIER",AM739="NX – RT À REFAIRE"),OR('PROGRAMME RT'!$D$5="TOUTES",B739='PROGRAMME RT'!$D$5)),1,0)</f>
        <v>0</v>
      </c>
      <c r="AP739" s="78" t="str">
        <f aca="false">IF(AO739=1,SUM(AO$7:AO739),"")</f>
        <v/>
      </c>
      <c r="AQ739" s="78" t="n">
        <f aca="false">IF(AND(OR(X739="R",X739="NX",X739="NT",X739="CO"),OR('JOINTS DE RÉPARATION'!$D$5="TOUTES",B739='JOINTS DE RÉPARATION'!$D$5),OR('JOINTS DE RÉPARATION'!$L$4="TOUS",AM739&lt;&gt;"ACCEPTÉ")),1,0)</f>
        <v>0</v>
      </c>
      <c r="AR739" s="78" t="str">
        <f aca="false">IF(AQ739=1,SUM(AQ$7:AQ739),"")</f>
        <v/>
      </c>
    </row>
    <row r="740" customFormat="false" ht="15" hidden="false" customHeight="false" outlineLevel="0" collapsed="false">
      <c r="A740" s="78" t="n">
        <f aca="false">IF(E740="","",ROW()-6)</f>
        <v>734</v>
      </c>
      <c r="B740" s="79" t="s">
        <v>586</v>
      </c>
      <c r="C740" s="80"/>
      <c r="D740" s="80"/>
      <c r="E740" s="80" t="s">
        <v>410</v>
      </c>
      <c r="F740" s="80"/>
      <c r="G740" s="80" t="s">
        <v>106</v>
      </c>
      <c r="H740" s="80"/>
      <c r="I740" s="80"/>
      <c r="J740" s="80"/>
      <c r="K740" s="80"/>
      <c r="L740" s="81" t="str">
        <f aca="false">IF(K740="","",IFERROR(INDEX(BARDAGE!$C$7:$C$1506,MATCH(K740,BARDAGE!$B$7:$B$1506,0)),"? hors registre"))</f>
        <v/>
      </c>
      <c r="M740" s="80"/>
      <c r="N740" s="81" t="str">
        <f aca="false">IF(M740="","",IFERROR(INDEX(BARDAGE!$C$7:$C$1506,MATCH(M740,BARDAGE!$B$7:$B$1506,0)),"? hors registre"))</f>
        <v/>
      </c>
      <c r="O740" s="80"/>
      <c r="P740" s="80"/>
      <c r="Q740" s="80"/>
      <c r="R740" s="82"/>
      <c r="S740" s="82"/>
      <c r="T740" s="80"/>
      <c r="U740" s="80"/>
      <c r="V740" s="82"/>
      <c r="W740" s="80"/>
      <c r="X740" s="80"/>
      <c r="Y740" s="80"/>
      <c r="Z740" s="80"/>
      <c r="AA740" s="82"/>
      <c r="AB740" s="80"/>
      <c r="AC740" s="80"/>
      <c r="AD740" s="80"/>
      <c r="AE740" s="80"/>
      <c r="AF740" s="82"/>
      <c r="AG740" s="80"/>
      <c r="AH740" s="80"/>
      <c r="AI740" s="82"/>
      <c r="AJ740" s="79"/>
      <c r="AK740" s="78" t="n">
        <f aca="false">IF(E740="","",(X740&lt;&gt;"")+(AC740&lt;&gt;"")+(AH740&lt;&gt;""))</f>
        <v>0</v>
      </c>
      <c r="AL740" s="81" t="str">
        <f aca="false">IF(AH740&lt;&gt;"",AH740,IF(AC740&lt;&gt;"",AC740,IF(X740&lt;&gt;"",X740,"")))</f>
        <v/>
      </c>
      <c r="AM740" s="83" t="str">
        <f aca="false">IF(E740="","",IF(R740="","À SOUDER",IF(U740="","VT EN ATTENTE",IF(U740="R","VT REJETÉ – À REPRENDRE",IF(AL740="","À RADIOGRAPHIER",IF(AL740="A","ACCEPTÉ",IF(AL740="NX","NX – RT À REFAIRE",IF(IF(AK740=1,Z740,IF(AK740=2,AE740,""))="A","RÉPARÉ – À RADIOGRAPHIER",IF(IF(AK740=1,Z740,IF(AK740=2,AE740,""))="R","VT REJETÉ – À REPRENDRE",IF(OR(AL740="CO",AL740="NT"),"COUPE – À RESOUDER","À RÉPARER"))))))))))</f>
        <v>À SOUDER</v>
      </c>
      <c r="AN740" s="81" t="str">
        <f aca="false">IF(AND(ISNUMBER(R740),OR(AM740="À RADIOGRAPHIER",AM740="RÉPARÉ – À RADIOGRAPHIER",AM740="NX – RT À REFAIRE",AM740="À RÉPARER",AM740="COUPE – À RESOUDER",AM740="VT REJETÉ – À REPRENDRE")),MAX(0,'PROGRAMME RT'!$C$4-R740),"")</f>
        <v/>
      </c>
      <c r="AO740" s="78" t="n">
        <f aca="false">IF(AND(OR(AM740="À RADIOGRAPHIER",AM740="RÉPARÉ – À RADIOGRAPHIER",AM740="NX – RT À REFAIRE"),OR('PROGRAMME RT'!$D$5="TOUTES",B740='PROGRAMME RT'!$D$5)),1,0)</f>
        <v>0</v>
      </c>
      <c r="AP740" s="78" t="str">
        <f aca="false">IF(AO740=1,SUM(AO$7:AO740),"")</f>
        <v/>
      </c>
      <c r="AQ740" s="78" t="n">
        <f aca="false">IF(AND(OR(X740="R",X740="NX",X740="NT",X740="CO"),OR('JOINTS DE RÉPARATION'!$D$5="TOUTES",B740='JOINTS DE RÉPARATION'!$D$5),OR('JOINTS DE RÉPARATION'!$L$4="TOUS",AM740&lt;&gt;"ACCEPTÉ")),1,0)</f>
        <v>0</v>
      </c>
      <c r="AR740" s="78" t="str">
        <f aca="false">IF(AQ740=1,SUM(AQ$7:AQ740),"")</f>
        <v/>
      </c>
    </row>
    <row r="741" customFormat="false" ht="15" hidden="false" customHeight="false" outlineLevel="0" collapsed="false">
      <c r="A741" s="78" t="n">
        <f aca="false">IF(E741="","",ROW()-6)</f>
        <v>735</v>
      </c>
      <c r="B741" s="79" t="s">
        <v>586</v>
      </c>
      <c r="C741" s="80"/>
      <c r="D741" s="80"/>
      <c r="E741" s="80" t="s">
        <v>412</v>
      </c>
      <c r="F741" s="80"/>
      <c r="G741" s="80" t="s">
        <v>106</v>
      </c>
      <c r="H741" s="80"/>
      <c r="I741" s="80"/>
      <c r="J741" s="80"/>
      <c r="K741" s="80"/>
      <c r="L741" s="81" t="str">
        <f aca="false">IF(K741="","",IFERROR(INDEX(BARDAGE!$C$7:$C$1506,MATCH(K741,BARDAGE!$B$7:$B$1506,0)),"? hors registre"))</f>
        <v/>
      </c>
      <c r="M741" s="80"/>
      <c r="N741" s="81" t="str">
        <f aca="false">IF(M741="","",IFERROR(INDEX(BARDAGE!$C$7:$C$1506,MATCH(M741,BARDAGE!$B$7:$B$1506,0)),"? hors registre"))</f>
        <v/>
      </c>
      <c r="O741" s="80"/>
      <c r="P741" s="80"/>
      <c r="Q741" s="80"/>
      <c r="R741" s="82"/>
      <c r="S741" s="82"/>
      <c r="T741" s="80"/>
      <c r="U741" s="80"/>
      <c r="V741" s="82"/>
      <c r="W741" s="80"/>
      <c r="X741" s="80"/>
      <c r="Y741" s="80"/>
      <c r="Z741" s="80"/>
      <c r="AA741" s="82"/>
      <c r="AB741" s="80"/>
      <c r="AC741" s="80"/>
      <c r="AD741" s="80"/>
      <c r="AE741" s="80"/>
      <c r="AF741" s="82"/>
      <c r="AG741" s="80"/>
      <c r="AH741" s="80"/>
      <c r="AI741" s="82"/>
      <c r="AJ741" s="79"/>
      <c r="AK741" s="78" t="n">
        <f aca="false">IF(E741="","",(X741&lt;&gt;"")+(AC741&lt;&gt;"")+(AH741&lt;&gt;""))</f>
        <v>0</v>
      </c>
      <c r="AL741" s="81" t="str">
        <f aca="false">IF(AH741&lt;&gt;"",AH741,IF(AC741&lt;&gt;"",AC741,IF(X741&lt;&gt;"",X741,"")))</f>
        <v/>
      </c>
      <c r="AM741" s="83" t="str">
        <f aca="false">IF(E741="","",IF(R741="","À SOUDER",IF(U741="","VT EN ATTENTE",IF(U741="R","VT REJETÉ – À REPRENDRE",IF(AL741="","À RADIOGRAPHIER",IF(AL741="A","ACCEPTÉ",IF(AL741="NX","NX – RT À REFAIRE",IF(IF(AK741=1,Z741,IF(AK741=2,AE741,""))="A","RÉPARÉ – À RADIOGRAPHIER",IF(IF(AK741=1,Z741,IF(AK741=2,AE741,""))="R","VT REJETÉ – À REPRENDRE",IF(OR(AL741="CO",AL741="NT"),"COUPE – À RESOUDER","À RÉPARER"))))))))))</f>
        <v>À SOUDER</v>
      </c>
      <c r="AN741" s="81" t="str">
        <f aca="false">IF(AND(ISNUMBER(R741),OR(AM741="À RADIOGRAPHIER",AM741="RÉPARÉ – À RADIOGRAPHIER",AM741="NX – RT À REFAIRE",AM741="À RÉPARER",AM741="COUPE – À RESOUDER",AM741="VT REJETÉ – À REPRENDRE")),MAX(0,'PROGRAMME RT'!$C$4-R741),"")</f>
        <v/>
      </c>
      <c r="AO741" s="78" t="n">
        <f aca="false">IF(AND(OR(AM741="À RADIOGRAPHIER",AM741="RÉPARÉ – À RADIOGRAPHIER",AM741="NX – RT À REFAIRE"),OR('PROGRAMME RT'!$D$5="TOUTES",B741='PROGRAMME RT'!$D$5)),1,0)</f>
        <v>0</v>
      </c>
      <c r="AP741" s="78" t="str">
        <f aca="false">IF(AO741=1,SUM(AO$7:AO741),"")</f>
        <v/>
      </c>
      <c r="AQ741" s="78" t="n">
        <f aca="false">IF(AND(OR(X741="R",X741="NX",X741="NT",X741="CO"),OR('JOINTS DE RÉPARATION'!$D$5="TOUTES",B741='JOINTS DE RÉPARATION'!$D$5),OR('JOINTS DE RÉPARATION'!$L$4="TOUS",AM741&lt;&gt;"ACCEPTÉ")),1,0)</f>
        <v>0</v>
      </c>
      <c r="AR741" s="78" t="str">
        <f aca="false">IF(AQ741=1,SUM(AQ$7:AQ741),"")</f>
        <v/>
      </c>
    </row>
    <row r="742" customFormat="false" ht="15" hidden="false" customHeight="false" outlineLevel="0" collapsed="false">
      <c r="A742" s="78" t="n">
        <f aca="false">IF(E742="","",ROW()-6)</f>
        <v>736</v>
      </c>
      <c r="B742" s="79" t="s">
        <v>586</v>
      </c>
      <c r="C742" s="80"/>
      <c r="D742" s="80"/>
      <c r="E742" s="80" t="s">
        <v>414</v>
      </c>
      <c r="F742" s="80"/>
      <c r="G742" s="80" t="s">
        <v>106</v>
      </c>
      <c r="H742" s="80"/>
      <c r="I742" s="80"/>
      <c r="J742" s="80"/>
      <c r="K742" s="80"/>
      <c r="L742" s="81" t="str">
        <f aca="false">IF(K742="","",IFERROR(INDEX(BARDAGE!$C$7:$C$1506,MATCH(K742,BARDAGE!$B$7:$B$1506,0)),"? hors registre"))</f>
        <v/>
      </c>
      <c r="M742" s="80"/>
      <c r="N742" s="81" t="str">
        <f aca="false">IF(M742="","",IFERROR(INDEX(BARDAGE!$C$7:$C$1506,MATCH(M742,BARDAGE!$B$7:$B$1506,0)),"? hors registre"))</f>
        <v/>
      </c>
      <c r="O742" s="80"/>
      <c r="P742" s="80"/>
      <c r="Q742" s="80"/>
      <c r="R742" s="82"/>
      <c r="S742" s="82"/>
      <c r="T742" s="80"/>
      <c r="U742" s="80"/>
      <c r="V742" s="82"/>
      <c r="W742" s="80"/>
      <c r="X742" s="80"/>
      <c r="Y742" s="80"/>
      <c r="Z742" s="80"/>
      <c r="AA742" s="82"/>
      <c r="AB742" s="80"/>
      <c r="AC742" s="80"/>
      <c r="AD742" s="80"/>
      <c r="AE742" s="80"/>
      <c r="AF742" s="82"/>
      <c r="AG742" s="80"/>
      <c r="AH742" s="80"/>
      <c r="AI742" s="82"/>
      <c r="AJ742" s="79"/>
      <c r="AK742" s="78" t="n">
        <f aca="false">IF(E742="","",(X742&lt;&gt;"")+(AC742&lt;&gt;"")+(AH742&lt;&gt;""))</f>
        <v>0</v>
      </c>
      <c r="AL742" s="81" t="str">
        <f aca="false">IF(AH742&lt;&gt;"",AH742,IF(AC742&lt;&gt;"",AC742,IF(X742&lt;&gt;"",X742,"")))</f>
        <v/>
      </c>
      <c r="AM742" s="83" t="str">
        <f aca="false">IF(E742="","",IF(R742="","À SOUDER",IF(U742="","VT EN ATTENTE",IF(U742="R","VT REJETÉ – À REPRENDRE",IF(AL742="","À RADIOGRAPHIER",IF(AL742="A","ACCEPTÉ",IF(AL742="NX","NX – RT À REFAIRE",IF(IF(AK742=1,Z742,IF(AK742=2,AE742,""))="A","RÉPARÉ – À RADIOGRAPHIER",IF(IF(AK742=1,Z742,IF(AK742=2,AE742,""))="R","VT REJETÉ – À REPRENDRE",IF(OR(AL742="CO",AL742="NT"),"COUPE – À RESOUDER","À RÉPARER"))))))))))</f>
        <v>À SOUDER</v>
      </c>
      <c r="AN742" s="81" t="str">
        <f aca="false">IF(AND(ISNUMBER(R742),OR(AM742="À RADIOGRAPHIER",AM742="RÉPARÉ – À RADIOGRAPHIER",AM742="NX – RT À REFAIRE",AM742="À RÉPARER",AM742="COUPE – À RESOUDER",AM742="VT REJETÉ – À REPRENDRE")),MAX(0,'PROGRAMME RT'!$C$4-R742),"")</f>
        <v/>
      </c>
      <c r="AO742" s="78" t="n">
        <f aca="false">IF(AND(OR(AM742="À RADIOGRAPHIER",AM742="RÉPARÉ – À RADIOGRAPHIER",AM742="NX – RT À REFAIRE"),OR('PROGRAMME RT'!$D$5="TOUTES",B742='PROGRAMME RT'!$D$5)),1,0)</f>
        <v>0</v>
      </c>
      <c r="AP742" s="78" t="str">
        <f aca="false">IF(AO742=1,SUM(AO$7:AO742),"")</f>
        <v/>
      </c>
      <c r="AQ742" s="78" t="n">
        <f aca="false">IF(AND(OR(X742="R",X742="NX",X742="NT",X742="CO"),OR('JOINTS DE RÉPARATION'!$D$5="TOUTES",B742='JOINTS DE RÉPARATION'!$D$5),OR('JOINTS DE RÉPARATION'!$L$4="TOUS",AM742&lt;&gt;"ACCEPTÉ")),1,0)</f>
        <v>0</v>
      </c>
      <c r="AR742" s="78" t="str">
        <f aca="false">IF(AQ742=1,SUM(AQ$7:AQ742),"")</f>
        <v/>
      </c>
    </row>
    <row r="743" customFormat="false" ht="15" hidden="false" customHeight="false" outlineLevel="0" collapsed="false">
      <c r="A743" s="78" t="n">
        <f aca="false">IF(E743="","",ROW()-6)</f>
        <v>737</v>
      </c>
      <c r="B743" s="79" t="s">
        <v>586</v>
      </c>
      <c r="C743" s="80"/>
      <c r="D743" s="80"/>
      <c r="E743" s="80" t="s">
        <v>416</v>
      </c>
      <c r="F743" s="80"/>
      <c r="G743" s="80" t="s">
        <v>106</v>
      </c>
      <c r="H743" s="80"/>
      <c r="I743" s="80"/>
      <c r="J743" s="80"/>
      <c r="K743" s="80"/>
      <c r="L743" s="81" t="str">
        <f aca="false">IF(K743="","",IFERROR(INDEX(BARDAGE!$C$7:$C$1506,MATCH(K743,BARDAGE!$B$7:$B$1506,0)),"? hors registre"))</f>
        <v/>
      </c>
      <c r="M743" s="80"/>
      <c r="N743" s="81" t="str">
        <f aca="false">IF(M743="","",IFERROR(INDEX(BARDAGE!$C$7:$C$1506,MATCH(M743,BARDAGE!$B$7:$B$1506,0)),"? hors registre"))</f>
        <v/>
      </c>
      <c r="O743" s="80"/>
      <c r="P743" s="80"/>
      <c r="Q743" s="80"/>
      <c r="R743" s="82"/>
      <c r="S743" s="82"/>
      <c r="T743" s="80"/>
      <c r="U743" s="80"/>
      <c r="V743" s="82"/>
      <c r="W743" s="80"/>
      <c r="X743" s="80"/>
      <c r="Y743" s="80"/>
      <c r="Z743" s="80"/>
      <c r="AA743" s="82"/>
      <c r="AB743" s="80"/>
      <c r="AC743" s="80"/>
      <c r="AD743" s="80"/>
      <c r="AE743" s="80"/>
      <c r="AF743" s="82"/>
      <c r="AG743" s="80"/>
      <c r="AH743" s="80"/>
      <c r="AI743" s="82"/>
      <c r="AJ743" s="79"/>
      <c r="AK743" s="78" t="n">
        <f aca="false">IF(E743="","",(X743&lt;&gt;"")+(AC743&lt;&gt;"")+(AH743&lt;&gt;""))</f>
        <v>0</v>
      </c>
      <c r="AL743" s="81" t="str">
        <f aca="false">IF(AH743&lt;&gt;"",AH743,IF(AC743&lt;&gt;"",AC743,IF(X743&lt;&gt;"",X743,"")))</f>
        <v/>
      </c>
      <c r="AM743" s="83" t="str">
        <f aca="false">IF(E743="","",IF(R743="","À SOUDER",IF(U743="","VT EN ATTENTE",IF(U743="R","VT REJETÉ – À REPRENDRE",IF(AL743="","À RADIOGRAPHIER",IF(AL743="A","ACCEPTÉ",IF(AL743="NX","NX – RT À REFAIRE",IF(IF(AK743=1,Z743,IF(AK743=2,AE743,""))="A","RÉPARÉ – À RADIOGRAPHIER",IF(IF(AK743=1,Z743,IF(AK743=2,AE743,""))="R","VT REJETÉ – À REPRENDRE",IF(OR(AL743="CO",AL743="NT"),"COUPE – À RESOUDER","À RÉPARER"))))))))))</f>
        <v>À SOUDER</v>
      </c>
      <c r="AN743" s="81" t="str">
        <f aca="false">IF(AND(ISNUMBER(R743),OR(AM743="À RADIOGRAPHIER",AM743="RÉPARÉ – À RADIOGRAPHIER",AM743="NX – RT À REFAIRE",AM743="À RÉPARER",AM743="COUPE – À RESOUDER",AM743="VT REJETÉ – À REPRENDRE")),MAX(0,'PROGRAMME RT'!$C$4-R743),"")</f>
        <v/>
      </c>
      <c r="AO743" s="78" t="n">
        <f aca="false">IF(AND(OR(AM743="À RADIOGRAPHIER",AM743="RÉPARÉ – À RADIOGRAPHIER",AM743="NX – RT À REFAIRE"),OR('PROGRAMME RT'!$D$5="TOUTES",B743='PROGRAMME RT'!$D$5)),1,0)</f>
        <v>0</v>
      </c>
      <c r="AP743" s="78" t="str">
        <f aca="false">IF(AO743=1,SUM(AO$7:AO743),"")</f>
        <v/>
      </c>
      <c r="AQ743" s="78" t="n">
        <f aca="false">IF(AND(OR(X743="R",X743="NX",X743="NT",X743="CO"),OR('JOINTS DE RÉPARATION'!$D$5="TOUTES",B743='JOINTS DE RÉPARATION'!$D$5),OR('JOINTS DE RÉPARATION'!$L$4="TOUS",AM743&lt;&gt;"ACCEPTÉ")),1,0)</f>
        <v>0</v>
      </c>
      <c r="AR743" s="78" t="str">
        <f aca="false">IF(AQ743=1,SUM(AQ$7:AQ743),"")</f>
        <v/>
      </c>
    </row>
    <row r="744" customFormat="false" ht="15" hidden="false" customHeight="false" outlineLevel="0" collapsed="false">
      <c r="A744" s="78" t="n">
        <f aca="false">IF(E744="","",ROW()-6)</f>
        <v>738</v>
      </c>
      <c r="B744" s="79" t="s">
        <v>586</v>
      </c>
      <c r="C744" s="80"/>
      <c r="D744" s="80"/>
      <c r="E744" s="80" t="s">
        <v>418</v>
      </c>
      <c r="F744" s="80"/>
      <c r="G744" s="80" t="s">
        <v>106</v>
      </c>
      <c r="H744" s="80"/>
      <c r="I744" s="80"/>
      <c r="J744" s="80"/>
      <c r="K744" s="80"/>
      <c r="L744" s="81" t="str">
        <f aca="false">IF(K744="","",IFERROR(INDEX(BARDAGE!$C$7:$C$1506,MATCH(K744,BARDAGE!$B$7:$B$1506,0)),"? hors registre"))</f>
        <v/>
      </c>
      <c r="M744" s="80"/>
      <c r="N744" s="81" t="str">
        <f aca="false">IF(M744="","",IFERROR(INDEX(BARDAGE!$C$7:$C$1506,MATCH(M744,BARDAGE!$B$7:$B$1506,0)),"? hors registre"))</f>
        <v/>
      </c>
      <c r="O744" s="80"/>
      <c r="P744" s="80"/>
      <c r="Q744" s="80"/>
      <c r="R744" s="82"/>
      <c r="S744" s="82"/>
      <c r="T744" s="80"/>
      <c r="U744" s="80"/>
      <c r="V744" s="82"/>
      <c r="W744" s="80"/>
      <c r="X744" s="80"/>
      <c r="Y744" s="80"/>
      <c r="Z744" s="80"/>
      <c r="AA744" s="82"/>
      <c r="AB744" s="80"/>
      <c r="AC744" s="80"/>
      <c r="AD744" s="80"/>
      <c r="AE744" s="80"/>
      <c r="AF744" s="82"/>
      <c r="AG744" s="80"/>
      <c r="AH744" s="80"/>
      <c r="AI744" s="82"/>
      <c r="AJ744" s="79"/>
      <c r="AK744" s="78" t="n">
        <f aca="false">IF(E744="","",(X744&lt;&gt;"")+(AC744&lt;&gt;"")+(AH744&lt;&gt;""))</f>
        <v>0</v>
      </c>
      <c r="AL744" s="81" t="str">
        <f aca="false">IF(AH744&lt;&gt;"",AH744,IF(AC744&lt;&gt;"",AC744,IF(X744&lt;&gt;"",X744,"")))</f>
        <v/>
      </c>
      <c r="AM744" s="83" t="str">
        <f aca="false">IF(E744="","",IF(R744="","À SOUDER",IF(U744="","VT EN ATTENTE",IF(U744="R","VT REJETÉ – À REPRENDRE",IF(AL744="","À RADIOGRAPHIER",IF(AL744="A","ACCEPTÉ",IF(AL744="NX","NX – RT À REFAIRE",IF(IF(AK744=1,Z744,IF(AK744=2,AE744,""))="A","RÉPARÉ – À RADIOGRAPHIER",IF(IF(AK744=1,Z744,IF(AK744=2,AE744,""))="R","VT REJETÉ – À REPRENDRE",IF(OR(AL744="CO",AL744="NT"),"COUPE – À RESOUDER","À RÉPARER"))))))))))</f>
        <v>À SOUDER</v>
      </c>
      <c r="AN744" s="81" t="str">
        <f aca="false">IF(AND(ISNUMBER(R744),OR(AM744="À RADIOGRAPHIER",AM744="RÉPARÉ – À RADIOGRAPHIER",AM744="NX – RT À REFAIRE",AM744="À RÉPARER",AM744="COUPE – À RESOUDER",AM744="VT REJETÉ – À REPRENDRE")),MAX(0,'PROGRAMME RT'!$C$4-R744),"")</f>
        <v/>
      </c>
      <c r="AO744" s="78" t="n">
        <f aca="false">IF(AND(OR(AM744="À RADIOGRAPHIER",AM744="RÉPARÉ – À RADIOGRAPHIER",AM744="NX – RT À REFAIRE"),OR('PROGRAMME RT'!$D$5="TOUTES",B744='PROGRAMME RT'!$D$5)),1,0)</f>
        <v>0</v>
      </c>
      <c r="AP744" s="78" t="str">
        <f aca="false">IF(AO744=1,SUM(AO$7:AO744),"")</f>
        <v/>
      </c>
      <c r="AQ744" s="78" t="n">
        <f aca="false">IF(AND(OR(X744="R",X744="NX",X744="NT",X744="CO"),OR('JOINTS DE RÉPARATION'!$D$5="TOUTES",B744='JOINTS DE RÉPARATION'!$D$5),OR('JOINTS DE RÉPARATION'!$L$4="TOUS",AM744&lt;&gt;"ACCEPTÉ")),1,0)</f>
        <v>0</v>
      </c>
      <c r="AR744" s="78" t="str">
        <f aca="false">IF(AQ744=1,SUM(AQ$7:AQ744),"")</f>
        <v/>
      </c>
    </row>
    <row r="745" customFormat="false" ht="15" hidden="false" customHeight="false" outlineLevel="0" collapsed="false">
      <c r="A745" s="78" t="n">
        <f aca="false">IF(E745="","",ROW()-6)</f>
        <v>739</v>
      </c>
      <c r="B745" s="79" t="s">
        <v>586</v>
      </c>
      <c r="C745" s="80"/>
      <c r="D745" s="80"/>
      <c r="E745" s="80" t="s">
        <v>421</v>
      </c>
      <c r="F745" s="80"/>
      <c r="G745" s="80" t="s">
        <v>106</v>
      </c>
      <c r="H745" s="80"/>
      <c r="I745" s="80"/>
      <c r="J745" s="80"/>
      <c r="K745" s="80"/>
      <c r="L745" s="81" t="str">
        <f aca="false">IF(K745="","",IFERROR(INDEX(BARDAGE!$C$7:$C$1506,MATCH(K745,BARDAGE!$B$7:$B$1506,0)),"? hors registre"))</f>
        <v/>
      </c>
      <c r="M745" s="80"/>
      <c r="N745" s="81" t="str">
        <f aca="false">IF(M745="","",IFERROR(INDEX(BARDAGE!$C$7:$C$1506,MATCH(M745,BARDAGE!$B$7:$B$1506,0)),"? hors registre"))</f>
        <v/>
      </c>
      <c r="O745" s="80"/>
      <c r="P745" s="80"/>
      <c r="Q745" s="80"/>
      <c r="R745" s="82"/>
      <c r="S745" s="82"/>
      <c r="T745" s="80"/>
      <c r="U745" s="80"/>
      <c r="V745" s="82"/>
      <c r="W745" s="80"/>
      <c r="X745" s="80"/>
      <c r="Y745" s="80"/>
      <c r="Z745" s="80"/>
      <c r="AA745" s="82"/>
      <c r="AB745" s="80"/>
      <c r="AC745" s="80"/>
      <c r="AD745" s="80"/>
      <c r="AE745" s="80"/>
      <c r="AF745" s="82"/>
      <c r="AG745" s="80"/>
      <c r="AH745" s="80"/>
      <c r="AI745" s="82"/>
      <c r="AJ745" s="79"/>
      <c r="AK745" s="78" t="n">
        <f aca="false">IF(E745="","",(X745&lt;&gt;"")+(AC745&lt;&gt;"")+(AH745&lt;&gt;""))</f>
        <v>0</v>
      </c>
      <c r="AL745" s="81" t="str">
        <f aca="false">IF(AH745&lt;&gt;"",AH745,IF(AC745&lt;&gt;"",AC745,IF(X745&lt;&gt;"",X745,"")))</f>
        <v/>
      </c>
      <c r="AM745" s="83" t="str">
        <f aca="false">IF(E745="","",IF(R745="","À SOUDER",IF(U745="","VT EN ATTENTE",IF(U745="R","VT REJETÉ – À REPRENDRE",IF(AL745="","À RADIOGRAPHIER",IF(AL745="A","ACCEPTÉ",IF(AL745="NX","NX – RT À REFAIRE",IF(IF(AK745=1,Z745,IF(AK745=2,AE745,""))="A","RÉPARÉ – À RADIOGRAPHIER",IF(IF(AK745=1,Z745,IF(AK745=2,AE745,""))="R","VT REJETÉ – À REPRENDRE",IF(OR(AL745="CO",AL745="NT"),"COUPE – À RESOUDER","À RÉPARER"))))))))))</f>
        <v>À SOUDER</v>
      </c>
      <c r="AN745" s="81" t="str">
        <f aca="false">IF(AND(ISNUMBER(R745),OR(AM745="À RADIOGRAPHIER",AM745="RÉPARÉ – À RADIOGRAPHIER",AM745="NX – RT À REFAIRE",AM745="À RÉPARER",AM745="COUPE – À RESOUDER",AM745="VT REJETÉ – À REPRENDRE")),MAX(0,'PROGRAMME RT'!$C$4-R745),"")</f>
        <v/>
      </c>
      <c r="AO745" s="78" t="n">
        <f aca="false">IF(AND(OR(AM745="À RADIOGRAPHIER",AM745="RÉPARÉ – À RADIOGRAPHIER",AM745="NX – RT À REFAIRE"),OR('PROGRAMME RT'!$D$5="TOUTES",B745='PROGRAMME RT'!$D$5)),1,0)</f>
        <v>0</v>
      </c>
      <c r="AP745" s="78" t="str">
        <f aca="false">IF(AO745=1,SUM(AO$7:AO745),"")</f>
        <v/>
      </c>
      <c r="AQ745" s="78" t="n">
        <f aca="false">IF(AND(OR(X745="R",X745="NX",X745="NT",X745="CO"),OR('JOINTS DE RÉPARATION'!$D$5="TOUTES",B745='JOINTS DE RÉPARATION'!$D$5),OR('JOINTS DE RÉPARATION'!$L$4="TOUS",AM745&lt;&gt;"ACCEPTÉ")),1,0)</f>
        <v>0</v>
      </c>
      <c r="AR745" s="78" t="str">
        <f aca="false">IF(AQ745=1,SUM(AQ$7:AQ745),"")</f>
        <v/>
      </c>
    </row>
    <row r="746" customFormat="false" ht="15" hidden="false" customHeight="false" outlineLevel="0" collapsed="false">
      <c r="A746" s="78" t="n">
        <f aca="false">IF(E746="","",ROW()-6)</f>
        <v>740</v>
      </c>
      <c r="B746" s="79" t="s">
        <v>586</v>
      </c>
      <c r="C746" s="80"/>
      <c r="D746" s="80"/>
      <c r="E746" s="80" t="s">
        <v>423</v>
      </c>
      <c r="F746" s="80"/>
      <c r="G746" s="80" t="s">
        <v>106</v>
      </c>
      <c r="H746" s="80"/>
      <c r="I746" s="80"/>
      <c r="J746" s="80"/>
      <c r="K746" s="80"/>
      <c r="L746" s="81" t="str">
        <f aca="false">IF(K746="","",IFERROR(INDEX(BARDAGE!$C$7:$C$1506,MATCH(K746,BARDAGE!$B$7:$B$1506,0)),"? hors registre"))</f>
        <v/>
      </c>
      <c r="M746" s="80"/>
      <c r="N746" s="81" t="str">
        <f aca="false">IF(M746="","",IFERROR(INDEX(BARDAGE!$C$7:$C$1506,MATCH(M746,BARDAGE!$B$7:$B$1506,0)),"? hors registre"))</f>
        <v/>
      </c>
      <c r="O746" s="80"/>
      <c r="P746" s="80"/>
      <c r="Q746" s="80"/>
      <c r="R746" s="82"/>
      <c r="S746" s="82"/>
      <c r="T746" s="80"/>
      <c r="U746" s="80"/>
      <c r="V746" s="82"/>
      <c r="W746" s="80"/>
      <c r="X746" s="80"/>
      <c r="Y746" s="80"/>
      <c r="Z746" s="80"/>
      <c r="AA746" s="82"/>
      <c r="AB746" s="80"/>
      <c r="AC746" s="80"/>
      <c r="AD746" s="80"/>
      <c r="AE746" s="80"/>
      <c r="AF746" s="82"/>
      <c r="AG746" s="80"/>
      <c r="AH746" s="80"/>
      <c r="AI746" s="82"/>
      <c r="AJ746" s="79"/>
      <c r="AK746" s="78" t="n">
        <f aca="false">IF(E746="","",(X746&lt;&gt;"")+(AC746&lt;&gt;"")+(AH746&lt;&gt;""))</f>
        <v>0</v>
      </c>
      <c r="AL746" s="81" t="str">
        <f aca="false">IF(AH746&lt;&gt;"",AH746,IF(AC746&lt;&gt;"",AC746,IF(X746&lt;&gt;"",X746,"")))</f>
        <v/>
      </c>
      <c r="AM746" s="83" t="str">
        <f aca="false">IF(E746="","",IF(R746="","À SOUDER",IF(U746="","VT EN ATTENTE",IF(U746="R","VT REJETÉ – À REPRENDRE",IF(AL746="","À RADIOGRAPHIER",IF(AL746="A","ACCEPTÉ",IF(AL746="NX","NX – RT À REFAIRE",IF(IF(AK746=1,Z746,IF(AK746=2,AE746,""))="A","RÉPARÉ – À RADIOGRAPHIER",IF(IF(AK746=1,Z746,IF(AK746=2,AE746,""))="R","VT REJETÉ – À REPRENDRE",IF(OR(AL746="CO",AL746="NT"),"COUPE – À RESOUDER","À RÉPARER"))))))))))</f>
        <v>À SOUDER</v>
      </c>
      <c r="AN746" s="81" t="str">
        <f aca="false">IF(AND(ISNUMBER(R746),OR(AM746="À RADIOGRAPHIER",AM746="RÉPARÉ – À RADIOGRAPHIER",AM746="NX – RT À REFAIRE",AM746="À RÉPARER",AM746="COUPE – À RESOUDER",AM746="VT REJETÉ – À REPRENDRE")),MAX(0,'PROGRAMME RT'!$C$4-R746),"")</f>
        <v/>
      </c>
      <c r="AO746" s="78" t="n">
        <f aca="false">IF(AND(OR(AM746="À RADIOGRAPHIER",AM746="RÉPARÉ – À RADIOGRAPHIER",AM746="NX – RT À REFAIRE"),OR('PROGRAMME RT'!$D$5="TOUTES",B746='PROGRAMME RT'!$D$5)),1,0)</f>
        <v>0</v>
      </c>
      <c r="AP746" s="78" t="str">
        <f aca="false">IF(AO746=1,SUM(AO$7:AO746),"")</f>
        <v/>
      </c>
      <c r="AQ746" s="78" t="n">
        <f aca="false">IF(AND(OR(X746="R",X746="NX",X746="NT",X746="CO"),OR('JOINTS DE RÉPARATION'!$D$5="TOUTES",B746='JOINTS DE RÉPARATION'!$D$5),OR('JOINTS DE RÉPARATION'!$L$4="TOUS",AM746&lt;&gt;"ACCEPTÉ")),1,0)</f>
        <v>0</v>
      </c>
      <c r="AR746" s="78" t="str">
        <f aca="false">IF(AQ746=1,SUM(AQ$7:AQ746),"")</f>
        <v/>
      </c>
    </row>
    <row r="747" customFormat="false" ht="15" hidden="false" customHeight="false" outlineLevel="0" collapsed="false">
      <c r="A747" s="78" t="n">
        <f aca="false">IF(E747="","",ROW()-6)</f>
        <v>741</v>
      </c>
      <c r="B747" s="79" t="s">
        <v>586</v>
      </c>
      <c r="C747" s="80"/>
      <c r="D747" s="80"/>
      <c r="E747" s="80" t="s">
        <v>582</v>
      </c>
      <c r="F747" s="80"/>
      <c r="G747" s="80" t="s">
        <v>106</v>
      </c>
      <c r="H747" s="80"/>
      <c r="I747" s="80"/>
      <c r="J747" s="80"/>
      <c r="K747" s="80"/>
      <c r="L747" s="81" t="str">
        <f aca="false">IF(K747="","",IFERROR(INDEX(BARDAGE!$C$7:$C$1506,MATCH(K747,BARDAGE!$B$7:$B$1506,0)),"? hors registre"))</f>
        <v/>
      </c>
      <c r="M747" s="80"/>
      <c r="N747" s="81" t="str">
        <f aca="false">IF(M747="","",IFERROR(INDEX(BARDAGE!$C$7:$C$1506,MATCH(M747,BARDAGE!$B$7:$B$1506,0)),"? hors registre"))</f>
        <v/>
      </c>
      <c r="O747" s="80"/>
      <c r="P747" s="80"/>
      <c r="Q747" s="80"/>
      <c r="R747" s="82"/>
      <c r="S747" s="82"/>
      <c r="T747" s="80"/>
      <c r="U747" s="80"/>
      <c r="V747" s="82"/>
      <c r="W747" s="80"/>
      <c r="X747" s="80"/>
      <c r="Y747" s="80"/>
      <c r="Z747" s="80"/>
      <c r="AA747" s="82"/>
      <c r="AB747" s="80"/>
      <c r="AC747" s="80"/>
      <c r="AD747" s="80"/>
      <c r="AE747" s="80"/>
      <c r="AF747" s="82"/>
      <c r="AG747" s="80"/>
      <c r="AH747" s="80"/>
      <c r="AI747" s="82"/>
      <c r="AJ747" s="79"/>
      <c r="AK747" s="78" t="n">
        <f aca="false">IF(E747="","",(X747&lt;&gt;"")+(AC747&lt;&gt;"")+(AH747&lt;&gt;""))</f>
        <v>0</v>
      </c>
      <c r="AL747" s="81" t="str">
        <f aca="false">IF(AH747&lt;&gt;"",AH747,IF(AC747&lt;&gt;"",AC747,IF(X747&lt;&gt;"",X747,"")))</f>
        <v/>
      </c>
      <c r="AM747" s="83" t="str">
        <f aca="false">IF(E747="","",IF(R747="","À SOUDER",IF(U747="","VT EN ATTENTE",IF(U747="R","VT REJETÉ – À REPRENDRE",IF(AL747="","À RADIOGRAPHIER",IF(AL747="A","ACCEPTÉ",IF(AL747="NX","NX – RT À REFAIRE",IF(IF(AK747=1,Z747,IF(AK747=2,AE747,""))="A","RÉPARÉ – À RADIOGRAPHIER",IF(IF(AK747=1,Z747,IF(AK747=2,AE747,""))="R","VT REJETÉ – À REPRENDRE",IF(OR(AL747="CO",AL747="NT"),"COUPE – À RESOUDER","À RÉPARER"))))))))))</f>
        <v>À SOUDER</v>
      </c>
      <c r="AN747" s="81" t="str">
        <f aca="false">IF(AND(ISNUMBER(R747),OR(AM747="À RADIOGRAPHIER",AM747="RÉPARÉ – À RADIOGRAPHIER",AM747="NX – RT À REFAIRE",AM747="À RÉPARER",AM747="COUPE – À RESOUDER",AM747="VT REJETÉ – À REPRENDRE")),MAX(0,'PROGRAMME RT'!$C$4-R747),"")</f>
        <v/>
      </c>
      <c r="AO747" s="78" t="n">
        <f aca="false">IF(AND(OR(AM747="À RADIOGRAPHIER",AM747="RÉPARÉ – À RADIOGRAPHIER",AM747="NX – RT À REFAIRE"),OR('PROGRAMME RT'!$D$5="TOUTES",B747='PROGRAMME RT'!$D$5)),1,0)</f>
        <v>0</v>
      </c>
      <c r="AP747" s="78" t="str">
        <f aca="false">IF(AO747=1,SUM(AO$7:AO747),"")</f>
        <v/>
      </c>
      <c r="AQ747" s="78" t="n">
        <f aca="false">IF(AND(OR(X747="R",X747="NX",X747="NT",X747="CO"),OR('JOINTS DE RÉPARATION'!$D$5="TOUTES",B747='JOINTS DE RÉPARATION'!$D$5),OR('JOINTS DE RÉPARATION'!$L$4="TOUS",AM747&lt;&gt;"ACCEPTÉ")),1,0)</f>
        <v>0</v>
      </c>
      <c r="AR747" s="78" t="str">
        <f aca="false">IF(AQ747=1,SUM(AQ$7:AQ747),"")</f>
        <v/>
      </c>
    </row>
    <row r="748" customFormat="false" ht="15" hidden="false" customHeight="false" outlineLevel="0" collapsed="false">
      <c r="A748" s="78" t="n">
        <f aca="false">IF(E748="","",ROW()-6)</f>
        <v>742</v>
      </c>
      <c r="B748" s="79" t="s">
        <v>586</v>
      </c>
      <c r="C748" s="80"/>
      <c r="D748" s="80"/>
      <c r="E748" s="80" t="s">
        <v>429</v>
      </c>
      <c r="F748" s="80"/>
      <c r="G748" s="80" t="s">
        <v>106</v>
      </c>
      <c r="H748" s="80"/>
      <c r="I748" s="80"/>
      <c r="J748" s="80"/>
      <c r="K748" s="80"/>
      <c r="L748" s="81" t="str">
        <f aca="false">IF(K748="","",IFERROR(INDEX(BARDAGE!$C$7:$C$1506,MATCH(K748,BARDAGE!$B$7:$B$1506,0)),"? hors registre"))</f>
        <v/>
      </c>
      <c r="M748" s="80"/>
      <c r="N748" s="81" t="str">
        <f aca="false">IF(M748="","",IFERROR(INDEX(BARDAGE!$C$7:$C$1506,MATCH(M748,BARDAGE!$B$7:$B$1506,0)),"? hors registre"))</f>
        <v/>
      </c>
      <c r="O748" s="80"/>
      <c r="P748" s="80"/>
      <c r="Q748" s="80"/>
      <c r="R748" s="82"/>
      <c r="S748" s="82"/>
      <c r="T748" s="80"/>
      <c r="U748" s="80"/>
      <c r="V748" s="82"/>
      <c r="W748" s="80"/>
      <c r="X748" s="80"/>
      <c r="Y748" s="80"/>
      <c r="Z748" s="80"/>
      <c r="AA748" s="82"/>
      <c r="AB748" s="80"/>
      <c r="AC748" s="80"/>
      <c r="AD748" s="80"/>
      <c r="AE748" s="80"/>
      <c r="AF748" s="82"/>
      <c r="AG748" s="80"/>
      <c r="AH748" s="80"/>
      <c r="AI748" s="82"/>
      <c r="AJ748" s="79"/>
      <c r="AK748" s="78" t="n">
        <f aca="false">IF(E748="","",(X748&lt;&gt;"")+(AC748&lt;&gt;"")+(AH748&lt;&gt;""))</f>
        <v>0</v>
      </c>
      <c r="AL748" s="81" t="str">
        <f aca="false">IF(AH748&lt;&gt;"",AH748,IF(AC748&lt;&gt;"",AC748,IF(X748&lt;&gt;"",X748,"")))</f>
        <v/>
      </c>
      <c r="AM748" s="83" t="str">
        <f aca="false">IF(E748="","",IF(R748="","À SOUDER",IF(U748="","VT EN ATTENTE",IF(U748="R","VT REJETÉ – À REPRENDRE",IF(AL748="","À RADIOGRAPHIER",IF(AL748="A","ACCEPTÉ",IF(AL748="NX","NX – RT À REFAIRE",IF(IF(AK748=1,Z748,IF(AK748=2,AE748,""))="A","RÉPARÉ – À RADIOGRAPHIER",IF(IF(AK748=1,Z748,IF(AK748=2,AE748,""))="R","VT REJETÉ – À REPRENDRE",IF(OR(AL748="CO",AL748="NT"),"COUPE – À RESOUDER","À RÉPARER"))))))))))</f>
        <v>À SOUDER</v>
      </c>
      <c r="AN748" s="81" t="str">
        <f aca="false">IF(AND(ISNUMBER(R748),OR(AM748="À RADIOGRAPHIER",AM748="RÉPARÉ – À RADIOGRAPHIER",AM748="NX – RT À REFAIRE",AM748="À RÉPARER",AM748="COUPE – À RESOUDER",AM748="VT REJETÉ – À REPRENDRE")),MAX(0,'PROGRAMME RT'!$C$4-R748),"")</f>
        <v/>
      </c>
      <c r="AO748" s="78" t="n">
        <f aca="false">IF(AND(OR(AM748="À RADIOGRAPHIER",AM748="RÉPARÉ – À RADIOGRAPHIER",AM748="NX – RT À REFAIRE"),OR('PROGRAMME RT'!$D$5="TOUTES",B748='PROGRAMME RT'!$D$5)),1,0)</f>
        <v>0</v>
      </c>
      <c r="AP748" s="78" t="str">
        <f aca="false">IF(AO748=1,SUM(AO$7:AO748),"")</f>
        <v/>
      </c>
      <c r="AQ748" s="78" t="n">
        <f aca="false">IF(AND(OR(X748="R",X748="NX",X748="NT",X748="CO"),OR('JOINTS DE RÉPARATION'!$D$5="TOUTES",B748='JOINTS DE RÉPARATION'!$D$5),OR('JOINTS DE RÉPARATION'!$L$4="TOUS",AM748&lt;&gt;"ACCEPTÉ")),1,0)</f>
        <v>0</v>
      </c>
      <c r="AR748" s="78" t="str">
        <f aca="false">IF(AQ748=1,SUM(AQ$7:AQ748),"")</f>
        <v/>
      </c>
    </row>
    <row r="749" customFormat="false" ht="15" hidden="false" customHeight="false" outlineLevel="0" collapsed="false">
      <c r="A749" s="78" t="n">
        <f aca="false">IF(E749="","",ROW()-6)</f>
        <v>743</v>
      </c>
      <c r="B749" s="79" t="s">
        <v>586</v>
      </c>
      <c r="C749" s="80"/>
      <c r="D749" s="80"/>
      <c r="E749" s="80" t="s">
        <v>433</v>
      </c>
      <c r="F749" s="80"/>
      <c r="G749" s="80" t="s">
        <v>106</v>
      </c>
      <c r="H749" s="80"/>
      <c r="I749" s="80"/>
      <c r="J749" s="80"/>
      <c r="K749" s="80"/>
      <c r="L749" s="81" t="str">
        <f aca="false">IF(K749="","",IFERROR(INDEX(BARDAGE!$C$7:$C$1506,MATCH(K749,BARDAGE!$B$7:$B$1506,0)),"? hors registre"))</f>
        <v/>
      </c>
      <c r="M749" s="80"/>
      <c r="N749" s="81" t="str">
        <f aca="false">IF(M749="","",IFERROR(INDEX(BARDAGE!$C$7:$C$1506,MATCH(M749,BARDAGE!$B$7:$B$1506,0)),"? hors registre"))</f>
        <v/>
      </c>
      <c r="O749" s="80"/>
      <c r="P749" s="80"/>
      <c r="Q749" s="80"/>
      <c r="R749" s="82"/>
      <c r="S749" s="82"/>
      <c r="T749" s="80"/>
      <c r="U749" s="80"/>
      <c r="V749" s="82"/>
      <c r="W749" s="80"/>
      <c r="X749" s="80"/>
      <c r="Y749" s="80"/>
      <c r="Z749" s="80"/>
      <c r="AA749" s="82"/>
      <c r="AB749" s="80"/>
      <c r="AC749" s="80"/>
      <c r="AD749" s="80"/>
      <c r="AE749" s="80"/>
      <c r="AF749" s="82"/>
      <c r="AG749" s="80"/>
      <c r="AH749" s="80"/>
      <c r="AI749" s="82"/>
      <c r="AJ749" s="79"/>
      <c r="AK749" s="78" t="n">
        <f aca="false">IF(E749="","",(X749&lt;&gt;"")+(AC749&lt;&gt;"")+(AH749&lt;&gt;""))</f>
        <v>0</v>
      </c>
      <c r="AL749" s="81" t="str">
        <f aca="false">IF(AH749&lt;&gt;"",AH749,IF(AC749&lt;&gt;"",AC749,IF(X749&lt;&gt;"",X749,"")))</f>
        <v/>
      </c>
      <c r="AM749" s="83" t="str">
        <f aca="false">IF(E749="","",IF(R749="","À SOUDER",IF(U749="","VT EN ATTENTE",IF(U749="R","VT REJETÉ – À REPRENDRE",IF(AL749="","À RADIOGRAPHIER",IF(AL749="A","ACCEPTÉ",IF(AL749="NX","NX – RT À REFAIRE",IF(IF(AK749=1,Z749,IF(AK749=2,AE749,""))="A","RÉPARÉ – À RADIOGRAPHIER",IF(IF(AK749=1,Z749,IF(AK749=2,AE749,""))="R","VT REJETÉ – À REPRENDRE",IF(OR(AL749="CO",AL749="NT"),"COUPE – À RESOUDER","À RÉPARER"))))))))))</f>
        <v>À SOUDER</v>
      </c>
      <c r="AN749" s="81" t="str">
        <f aca="false">IF(AND(ISNUMBER(R749),OR(AM749="À RADIOGRAPHIER",AM749="RÉPARÉ – À RADIOGRAPHIER",AM749="NX – RT À REFAIRE",AM749="À RÉPARER",AM749="COUPE – À RESOUDER",AM749="VT REJETÉ – À REPRENDRE")),MAX(0,'PROGRAMME RT'!$C$4-R749),"")</f>
        <v/>
      </c>
      <c r="AO749" s="78" t="n">
        <f aca="false">IF(AND(OR(AM749="À RADIOGRAPHIER",AM749="RÉPARÉ – À RADIOGRAPHIER",AM749="NX – RT À REFAIRE"),OR('PROGRAMME RT'!$D$5="TOUTES",B749='PROGRAMME RT'!$D$5)),1,0)</f>
        <v>0</v>
      </c>
      <c r="AP749" s="78" t="str">
        <f aca="false">IF(AO749=1,SUM(AO$7:AO749),"")</f>
        <v/>
      </c>
      <c r="AQ749" s="78" t="n">
        <f aca="false">IF(AND(OR(X749="R",X749="NX",X749="NT",X749="CO"),OR('JOINTS DE RÉPARATION'!$D$5="TOUTES",B749='JOINTS DE RÉPARATION'!$D$5),OR('JOINTS DE RÉPARATION'!$L$4="TOUS",AM749&lt;&gt;"ACCEPTÉ")),1,0)</f>
        <v>0</v>
      </c>
      <c r="AR749" s="78" t="str">
        <f aca="false">IF(AQ749=1,SUM(AQ$7:AQ749),"")</f>
        <v/>
      </c>
    </row>
    <row r="750" customFormat="false" ht="15" hidden="false" customHeight="false" outlineLevel="0" collapsed="false">
      <c r="A750" s="78" t="n">
        <f aca="false">IF(E750="","",ROW()-6)</f>
        <v>744</v>
      </c>
      <c r="B750" s="79" t="s">
        <v>586</v>
      </c>
      <c r="C750" s="80"/>
      <c r="D750" s="80"/>
      <c r="E750" s="80" t="s">
        <v>435</v>
      </c>
      <c r="F750" s="80"/>
      <c r="G750" s="80" t="s">
        <v>106</v>
      </c>
      <c r="H750" s="80"/>
      <c r="I750" s="80"/>
      <c r="J750" s="80"/>
      <c r="K750" s="80"/>
      <c r="L750" s="81" t="str">
        <f aca="false">IF(K750="","",IFERROR(INDEX(BARDAGE!$C$7:$C$1506,MATCH(K750,BARDAGE!$B$7:$B$1506,0)),"? hors registre"))</f>
        <v/>
      </c>
      <c r="M750" s="80"/>
      <c r="N750" s="81" t="str">
        <f aca="false">IF(M750="","",IFERROR(INDEX(BARDAGE!$C$7:$C$1506,MATCH(M750,BARDAGE!$B$7:$B$1506,0)),"? hors registre"))</f>
        <v/>
      </c>
      <c r="O750" s="80"/>
      <c r="P750" s="80"/>
      <c r="Q750" s="80"/>
      <c r="R750" s="82"/>
      <c r="S750" s="82"/>
      <c r="T750" s="80"/>
      <c r="U750" s="80"/>
      <c r="V750" s="82"/>
      <c r="W750" s="80"/>
      <c r="X750" s="80"/>
      <c r="Y750" s="80"/>
      <c r="Z750" s="80"/>
      <c r="AA750" s="82"/>
      <c r="AB750" s="80"/>
      <c r="AC750" s="80"/>
      <c r="AD750" s="80"/>
      <c r="AE750" s="80"/>
      <c r="AF750" s="82"/>
      <c r="AG750" s="80"/>
      <c r="AH750" s="80"/>
      <c r="AI750" s="82"/>
      <c r="AJ750" s="79"/>
      <c r="AK750" s="78" t="n">
        <f aca="false">IF(E750="","",(X750&lt;&gt;"")+(AC750&lt;&gt;"")+(AH750&lt;&gt;""))</f>
        <v>0</v>
      </c>
      <c r="AL750" s="81" t="str">
        <f aca="false">IF(AH750&lt;&gt;"",AH750,IF(AC750&lt;&gt;"",AC750,IF(X750&lt;&gt;"",X750,"")))</f>
        <v/>
      </c>
      <c r="AM750" s="83" t="str">
        <f aca="false">IF(E750="","",IF(R750="","À SOUDER",IF(U750="","VT EN ATTENTE",IF(U750="R","VT REJETÉ – À REPRENDRE",IF(AL750="","À RADIOGRAPHIER",IF(AL750="A","ACCEPTÉ",IF(AL750="NX","NX – RT À REFAIRE",IF(IF(AK750=1,Z750,IF(AK750=2,AE750,""))="A","RÉPARÉ – À RADIOGRAPHIER",IF(IF(AK750=1,Z750,IF(AK750=2,AE750,""))="R","VT REJETÉ – À REPRENDRE",IF(OR(AL750="CO",AL750="NT"),"COUPE – À RESOUDER","À RÉPARER"))))))))))</f>
        <v>À SOUDER</v>
      </c>
      <c r="AN750" s="81" t="str">
        <f aca="false">IF(AND(ISNUMBER(R750),OR(AM750="À RADIOGRAPHIER",AM750="RÉPARÉ – À RADIOGRAPHIER",AM750="NX – RT À REFAIRE",AM750="À RÉPARER",AM750="COUPE – À RESOUDER",AM750="VT REJETÉ – À REPRENDRE")),MAX(0,'PROGRAMME RT'!$C$4-R750),"")</f>
        <v/>
      </c>
      <c r="AO750" s="78" t="n">
        <f aca="false">IF(AND(OR(AM750="À RADIOGRAPHIER",AM750="RÉPARÉ – À RADIOGRAPHIER",AM750="NX – RT À REFAIRE"),OR('PROGRAMME RT'!$D$5="TOUTES",B750='PROGRAMME RT'!$D$5)),1,0)</f>
        <v>0</v>
      </c>
      <c r="AP750" s="78" t="str">
        <f aca="false">IF(AO750=1,SUM(AO$7:AO750),"")</f>
        <v/>
      </c>
      <c r="AQ750" s="78" t="n">
        <f aca="false">IF(AND(OR(X750="R",X750="NX",X750="NT",X750="CO"),OR('JOINTS DE RÉPARATION'!$D$5="TOUTES",B750='JOINTS DE RÉPARATION'!$D$5),OR('JOINTS DE RÉPARATION'!$L$4="TOUS",AM750&lt;&gt;"ACCEPTÉ")),1,0)</f>
        <v>0</v>
      </c>
      <c r="AR750" s="78" t="str">
        <f aca="false">IF(AQ750=1,SUM(AQ$7:AQ750),"")</f>
        <v/>
      </c>
    </row>
    <row r="751" customFormat="false" ht="15" hidden="false" customHeight="false" outlineLevel="0" collapsed="false">
      <c r="A751" s="78" t="n">
        <f aca="false">IF(E751="","",ROW()-6)</f>
        <v>745</v>
      </c>
      <c r="B751" s="79" t="s">
        <v>586</v>
      </c>
      <c r="C751" s="80"/>
      <c r="D751" s="80"/>
      <c r="E751" s="80" t="s">
        <v>583</v>
      </c>
      <c r="F751" s="80"/>
      <c r="G751" s="80" t="s">
        <v>106</v>
      </c>
      <c r="H751" s="80"/>
      <c r="I751" s="80"/>
      <c r="J751" s="80"/>
      <c r="K751" s="80"/>
      <c r="L751" s="81" t="str">
        <f aca="false">IF(K751="","",IFERROR(INDEX(BARDAGE!$C$7:$C$1506,MATCH(K751,BARDAGE!$B$7:$B$1506,0)),"? hors registre"))</f>
        <v/>
      </c>
      <c r="M751" s="80"/>
      <c r="N751" s="81" t="str">
        <f aca="false">IF(M751="","",IFERROR(INDEX(BARDAGE!$C$7:$C$1506,MATCH(M751,BARDAGE!$B$7:$B$1506,0)),"? hors registre"))</f>
        <v/>
      </c>
      <c r="O751" s="80"/>
      <c r="P751" s="80"/>
      <c r="Q751" s="80"/>
      <c r="R751" s="82"/>
      <c r="S751" s="82"/>
      <c r="T751" s="80"/>
      <c r="U751" s="80"/>
      <c r="V751" s="82"/>
      <c r="W751" s="80"/>
      <c r="X751" s="80"/>
      <c r="Y751" s="80"/>
      <c r="Z751" s="80"/>
      <c r="AA751" s="82"/>
      <c r="AB751" s="80"/>
      <c r="AC751" s="80"/>
      <c r="AD751" s="80"/>
      <c r="AE751" s="80"/>
      <c r="AF751" s="82"/>
      <c r="AG751" s="80"/>
      <c r="AH751" s="80"/>
      <c r="AI751" s="82"/>
      <c r="AJ751" s="79"/>
      <c r="AK751" s="78" t="n">
        <f aca="false">IF(E751="","",(X751&lt;&gt;"")+(AC751&lt;&gt;"")+(AH751&lt;&gt;""))</f>
        <v>0</v>
      </c>
      <c r="AL751" s="81" t="str">
        <f aca="false">IF(AH751&lt;&gt;"",AH751,IF(AC751&lt;&gt;"",AC751,IF(X751&lt;&gt;"",X751,"")))</f>
        <v/>
      </c>
      <c r="AM751" s="83" t="str">
        <f aca="false">IF(E751="","",IF(R751="","À SOUDER",IF(U751="","VT EN ATTENTE",IF(U751="R","VT REJETÉ – À REPRENDRE",IF(AL751="","À RADIOGRAPHIER",IF(AL751="A","ACCEPTÉ",IF(AL751="NX","NX – RT À REFAIRE",IF(IF(AK751=1,Z751,IF(AK751=2,AE751,""))="A","RÉPARÉ – À RADIOGRAPHIER",IF(IF(AK751=1,Z751,IF(AK751=2,AE751,""))="R","VT REJETÉ – À REPRENDRE",IF(OR(AL751="CO",AL751="NT"),"COUPE – À RESOUDER","À RÉPARER"))))))))))</f>
        <v>À SOUDER</v>
      </c>
      <c r="AN751" s="81" t="str">
        <f aca="false">IF(AND(ISNUMBER(R751),OR(AM751="À RADIOGRAPHIER",AM751="RÉPARÉ – À RADIOGRAPHIER",AM751="NX – RT À REFAIRE",AM751="À RÉPARER",AM751="COUPE – À RESOUDER",AM751="VT REJETÉ – À REPRENDRE")),MAX(0,'PROGRAMME RT'!$C$4-R751),"")</f>
        <v/>
      </c>
      <c r="AO751" s="78" t="n">
        <f aca="false">IF(AND(OR(AM751="À RADIOGRAPHIER",AM751="RÉPARÉ – À RADIOGRAPHIER",AM751="NX – RT À REFAIRE"),OR('PROGRAMME RT'!$D$5="TOUTES",B751='PROGRAMME RT'!$D$5)),1,0)</f>
        <v>0</v>
      </c>
      <c r="AP751" s="78" t="str">
        <f aca="false">IF(AO751=1,SUM(AO$7:AO751),"")</f>
        <v/>
      </c>
      <c r="AQ751" s="78" t="n">
        <f aca="false">IF(AND(OR(X751="R",X751="NX",X751="NT",X751="CO"),OR('JOINTS DE RÉPARATION'!$D$5="TOUTES",B751='JOINTS DE RÉPARATION'!$D$5),OR('JOINTS DE RÉPARATION'!$L$4="TOUS",AM751&lt;&gt;"ACCEPTÉ")),1,0)</f>
        <v>0</v>
      </c>
      <c r="AR751" s="78" t="str">
        <f aca="false">IF(AQ751=1,SUM(AQ$7:AQ751),"")</f>
        <v/>
      </c>
    </row>
    <row r="752" customFormat="false" ht="15" hidden="false" customHeight="false" outlineLevel="0" collapsed="false">
      <c r="A752" s="78" t="n">
        <f aca="false">IF(E752="","",ROW()-6)</f>
        <v>746</v>
      </c>
      <c r="B752" s="79" t="s">
        <v>586</v>
      </c>
      <c r="C752" s="80"/>
      <c r="D752" s="80"/>
      <c r="E752" s="80" t="s">
        <v>441</v>
      </c>
      <c r="F752" s="80"/>
      <c r="G752" s="80" t="s">
        <v>106</v>
      </c>
      <c r="H752" s="80"/>
      <c r="I752" s="80"/>
      <c r="J752" s="80"/>
      <c r="K752" s="80"/>
      <c r="L752" s="81" t="str">
        <f aca="false">IF(K752="","",IFERROR(INDEX(BARDAGE!$C$7:$C$1506,MATCH(K752,BARDAGE!$B$7:$B$1506,0)),"? hors registre"))</f>
        <v/>
      </c>
      <c r="M752" s="80"/>
      <c r="N752" s="81" t="str">
        <f aca="false">IF(M752="","",IFERROR(INDEX(BARDAGE!$C$7:$C$1506,MATCH(M752,BARDAGE!$B$7:$B$1506,0)),"? hors registre"))</f>
        <v/>
      </c>
      <c r="O752" s="80"/>
      <c r="P752" s="80"/>
      <c r="Q752" s="80"/>
      <c r="R752" s="82"/>
      <c r="S752" s="82"/>
      <c r="T752" s="80"/>
      <c r="U752" s="80"/>
      <c r="V752" s="82"/>
      <c r="W752" s="80"/>
      <c r="X752" s="80"/>
      <c r="Y752" s="80"/>
      <c r="Z752" s="80"/>
      <c r="AA752" s="82"/>
      <c r="AB752" s="80"/>
      <c r="AC752" s="80"/>
      <c r="AD752" s="80"/>
      <c r="AE752" s="80"/>
      <c r="AF752" s="82"/>
      <c r="AG752" s="80"/>
      <c r="AH752" s="80"/>
      <c r="AI752" s="82"/>
      <c r="AJ752" s="79"/>
      <c r="AK752" s="78" t="n">
        <f aca="false">IF(E752="","",(X752&lt;&gt;"")+(AC752&lt;&gt;"")+(AH752&lt;&gt;""))</f>
        <v>0</v>
      </c>
      <c r="AL752" s="81" t="str">
        <f aca="false">IF(AH752&lt;&gt;"",AH752,IF(AC752&lt;&gt;"",AC752,IF(X752&lt;&gt;"",X752,"")))</f>
        <v/>
      </c>
      <c r="AM752" s="83" t="str">
        <f aca="false">IF(E752="","",IF(R752="","À SOUDER",IF(U752="","VT EN ATTENTE",IF(U752="R","VT REJETÉ – À REPRENDRE",IF(AL752="","À RADIOGRAPHIER",IF(AL752="A","ACCEPTÉ",IF(AL752="NX","NX – RT À REFAIRE",IF(IF(AK752=1,Z752,IF(AK752=2,AE752,""))="A","RÉPARÉ – À RADIOGRAPHIER",IF(IF(AK752=1,Z752,IF(AK752=2,AE752,""))="R","VT REJETÉ – À REPRENDRE",IF(OR(AL752="CO",AL752="NT"),"COUPE – À RESOUDER","À RÉPARER"))))))))))</f>
        <v>À SOUDER</v>
      </c>
      <c r="AN752" s="81" t="str">
        <f aca="false">IF(AND(ISNUMBER(R752),OR(AM752="À RADIOGRAPHIER",AM752="RÉPARÉ – À RADIOGRAPHIER",AM752="NX – RT À REFAIRE",AM752="À RÉPARER",AM752="COUPE – À RESOUDER",AM752="VT REJETÉ – À REPRENDRE")),MAX(0,'PROGRAMME RT'!$C$4-R752),"")</f>
        <v/>
      </c>
      <c r="AO752" s="78" t="n">
        <f aca="false">IF(AND(OR(AM752="À RADIOGRAPHIER",AM752="RÉPARÉ – À RADIOGRAPHIER",AM752="NX – RT À REFAIRE"),OR('PROGRAMME RT'!$D$5="TOUTES",B752='PROGRAMME RT'!$D$5)),1,0)</f>
        <v>0</v>
      </c>
      <c r="AP752" s="78" t="str">
        <f aca="false">IF(AO752=1,SUM(AO$7:AO752),"")</f>
        <v/>
      </c>
      <c r="AQ752" s="78" t="n">
        <f aca="false">IF(AND(OR(X752="R",X752="NX",X752="NT",X752="CO"),OR('JOINTS DE RÉPARATION'!$D$5="TOUTES",B752='JOINTS DE RÉPARATION'!$D$5),OR('JOINTS DE RÉPARATION'!$L$4="TOUS",AM752&lt;&gt;"ACCEPTÉ")),1,0)</f>
        <v>0</v>
      </c>
      <c r="AR752" s="78" t="str">
        <f aca="false">IF(AQ752=1,SUM(AQ$7:AQ752),"")</f>
        <v/>
      </c>
    </row>
    <row r="753" customFormat="false" ht="15" hidden="false" customHeight="false" outlineLevel="0" collapsed="false">
      <c r="A753" s="78" t="n">
        <f aca="false">IF(E753="","",ROW()-6)</f>
        <v>747</v>
      </c>
      <c r="B753" s="79" t="s">
        <v>586</v>
      </c>
      <c r="C753" s="80"/>
      <c r="D753" s="80"/>
      <c r="E753" s="80" t="s">
        <v>443</v>
      </c>
      <c r="F753" s="80"/>
      <c r="G753" s="80" t="s">
        <v>106</v>
      </c>
      <c r="H753" s="80"/>
      <c r="I753" s="80"/>
      <c r="J753" s="80"/>
      <c r="K753" s="80"/>
      <c r="L753" s="81" t="str">
        <f aca="false">IF(K753="","",IFERROR(INDEX(BARDAGE!$C$7:$C$1506,MATCH(K753,BARDAGE!$B$7:$B$1506,0)),"? hors registre"))</f>
        <v/>
      </c>
      <c r="M753" s="80"/>
      <c r="N753" s="81" t="str">
        <f aca="false">IF(M753="","",IFERROR(INDEX(BARDAGE!$C$7:$C$1506,MATCH(M753,BARDAGE!$B$7:$B$1506,0)),"? hors registre"))</f>
        <v/>
      </c>
      <c r="O753" s="80"/>
      <c r="P753" s="80"/>
      <c r="Q753" s="80"/>
      <c r="R753" s="82"/>
      <c r="S753" s="82"/>
      <c r="T753" s="80"/>
      <c r="U753" s="80"/>
      <c r="V753" s="82"/>
      <c r="W753" s="80"/>
      <c r="X753" s="80"/>
      <c r="Y753" s="80"/>
      <c r="Z753" s="80"/>
      <c r="AA753" s="82"/>
      <c r="AB753" s="80"/>
      <c r="AC753" s="80"/>
      <c r="AD753" s="80"/>
      <c r="AE753" s="80"/>
      <c r="AF753" s="82"/>
      <c r="AG753" s="80"/>
      <c r="AH753" s="80"/>
      <c r="AI753" s="82"/>
      <c r="AJ753" s="79"/>
      <c r="AK753" s="78" t="n">
        <f aca="false">IF(E753="","",(X753&lt;&gt;"")+(AC753&lt;&gt;"")+(AH753&lt;&gt;""))</f>
        <v>0</v>
      </c>
      <c r="AL753" s="81" t="str">
        <f aca="false">IF(AH753&lt;&gt;"",AH753,IF(AC753&lt;&gt;"",AC753,IF(X753&lt;&gt;"",X753,"")))</f>
        <v/>
      </c>
      <c r="AM753" s="83" t="str">
        <f aca="false">IF(E753="","",IF(R753="","À SOUDER",IF(U753="","VT EN ATTENTE",IF(U753="R","VT REJETÉ – À REPRENDRE",IF(AL753="","À RADIOGRAPHIER",IF(AL753="A","ACCEPTÉ",IF(AL753="NX","NX – RT À REFAIRE",IF(IF(AK753=1,Z753,IF(AK753=2,AE753,""))="A","RÉPARÉ – À RADIOGRAPHIER",IF(IF(AK753=1,Z753,IF(AK753=2,AE753,""))="R","VT REJETÉ – À REPRENDRE",IF(OR(AL753="CO",AL753="NT"),"COUPE – À RESOUDER","À RÉPARER"))))))))))</f>
        <v>À SOUDER</v>
      </c>
      <c r="AN753" s="81" t="str">
        <f aca="false">IF(AND(ISNUMBER(R753),OR(AM753="À RADIOGRAPHIER",AM753="RÉPARÉ – À RADIOGRAPHIER",AM753="NX – RT À REFAIRE",AM753="À RÉPARER",AM753="COUPE – À RESOUDER",AM753="VT REJETÉ – À REPRENDRE")),MAX(0,'PROGRAMME RT'!$C$4-R753),"")</f>
        <v/>
      </c>
      <c r="AO753" s="78" t="n">
        <f aca="false">IF(AND(OR(AM753="À RADIOGRAPHIER",AM753="RÉPARÉ – À RADIOGRAPHIER",AM753="NX – RT À REFAIRE"),OR('PROGRAMME RT'!$D$5="TOUTES",B753='PROGRAMME RT'!$D$5)),1,0)</f>
        <v>0</v>
      </c>
      <c r="AP753" s="78" t="str">
        <f aca="false">IF(AO753=1,SUM(AO$7:AO753),"")</f>
        <v/>
      </c>
      <c r="AQ753" s="78" t="n">
        <f aca="false">IF(AND(OR(X753="R",X753="NX",X753="NT",X753="CO"),OR('JOINTS DE RÉPARATION'!$D$5="TOUTES",B753='JOINTS DE RÉPARATION'!$D$5),OR('JOINTS DE RÉPARATION'!$L$4="TOUS",AM753&lt;&gt;"ACCEPTÉ")),1,0)</f>
        <v>0</v>
      </c>
      <c r="AR753" s="78" t="str">
        <f aca="false">IF(AQ753=1,SUM(AQ$7:AQ753),"")</f>
        <v/>
      </c>
    </row>
    <row r="754" customFormat="false" ht="15" hidden="false" customHeight="false" outlineLevel="0" collapsed="false">
      <c r="A754" s="78" t="n">
        <f aca="false">IF(E754="","",ROW()-6)</f>
        <v>748</v>
      </c>
      <c r="B754" s="79" t="s">
        <v>586</v>
      </c>
      <c r="C754" s="80"/>
      <c r="D754" s="80"/>
      <c r="E754" s="80" t="s">
        <v>584</v>
      </c>
      <c r="F754" s="80"/>
      <c r="G754" s="80" t="s">
        <v>106</v>
      </c>
      <c r="H754" s="80"/>
      <c r="I754" s="80"/>
      <c r="J754" s="80"/>
      <c r="K754" s="80"/>
      <c r="L754" s="81" t="str">
        <f aca="false">IF(K754="","",IFERROR(INDEX(BARDAGE!$C$7:$C$1506,MATCH(K754,BARDAGE!$B$7:$B$1506,0)),"? hors registre"))</f>
        <v/>
      </c>
      <c r="M754" s="80"/>
      <c r="N754" s="81" t="str">
        <f aca="false">IF(M754="","",IFERROR(INDEX(BARDAGE!$C$7:$C$1506,MATCH(M754,BARDAGE!$B$7:$B$1506,0)),"? hors registre"))</f>
        <v/>
      </c>
      <c r="O754" s="80"/>
      <c r="P754" s="80"/>
      <c r="Q754" s="80"/>
      <c r="R754" s="82"/>
      <c r="S754" s="82"/>
      <c r="T754" s="80"/>
      <c r="U754" s="80"/>
      <c r="V754" s="82"/>
      <c r="W754" s="80"/>
      <c r="X754" s="80"/>
      <c r="Y754" s="80"/>
      <c r="Z754" s="80"/>
      <c r="AA754" s="82"/>
      <c r="AB754" s="80"/>
      <c r="AC754" s="80"/>
      <c r="AD754" s="80"/>
      <c r="AE754" s="80"/>
      <c r="AF754" s="82"/>
      <c r="AG754" s="80"/>
      <c r="AH754" s="80"/>
      <c r="AI754" s="82"/>
      <c r="AJ754" s="79"/>
      <c r="AK754" s="78" t="n">
        <f aca="false">IF(E754="","",(X754&lt;&gt;"")+(AC754&lt;&gt;"")+(AH754&lt;&gt;""))</f>
        <v>0</v>
      </c>
      <c r="AL754" s="81" t="str">
        <f aca="false">IF(AH754&lt;&gt;"",AH754,IF(AC754&lt;&gt;"",AC754,IF(X754&lt;&gt;"",X754,"")))</f>
        <v/>
      </c>
      <c r="AM754" s="83" t="str">
        <f aca="false">IF(E754="","",IF(R754="","À SOUDER",IF(U754="","VT EN ATTENTE",IF(U754="R","VT REJETÉ – À REPRENDRE",IF(AL754="","À RADIOGRAPHIER",IF(AL754="A","ACCEPTÉ",IF(AL754="NX","NX – RT À REFAIRE",IF(IF(AK754=1,Z754,IF(AK754=2,AE754,""))="A","RÉPARÉ – À RADIOGRAPHIER",IF(IF(AK754=1,Z754,IF(AK754=2,AE754,""))="R","VT REJETÉ – À REPRENDRE",IF(OR(AL754="CO",AL754="NT"),"COUPE – À RESOUDER","À RÉPARER"))))))))))</f>
        <v>À SOUDER</v>
      </c>
      <c r="AN754" s="81" t="str">
        <f aca="false">IF(AND(ISNUMBER(R754),OR(AM754="À RADIOGRAPHIER",AM754="RÉPARÉ – À RADIOGRAPHIER",AM754="NX – RT À REFAIRE",AM754="À RÉPARER",AM754="COUPE – À RESOUDER",AM754="VT REJETÉ – À REPRENDRE")),MAX(0,'PROGRAMME RT'!$C$4-R754),"")</f>
        <v/>
      </c>
      <c r="AO754" s="78" t="n">
        <f aca="false">IF(AND(OR(AM754="À RADIOGRAPHIER",AM754="RÉPARÉ – À RADIOGRAPHIER",AM754="NX – RT À REFAIRE"),OR('PROGRAMME RT'!$D$5="TOUTES",B754='PROGRAMME RT'!$D$5)),1,0)</f>
        <v>0</v>
      </c>
      <c r="AP754" s="78" t="str">
        <f aca="false">IF(AO754=1,SUM(AO$7:AO754),"")</f>
        <v/>
      </c>
      <c r="AQ754" s="78" t="n">
        <f aca="false">IF(AND(OR(X754="R",X754="NX",X754="NT",X754="CO"),OR('JOINTS DE RÉPARATION'!$D$5="TOUTES",B754='JOINTS DE RÉPARATION'!$D$5),OR('JOINTS DE RÉPARATION'!$L$4="TOUS",AM754&lt;&gt;"ACCEPTÉ")),1,0)</f>
        <v>0</v>
      </c>
      <c r="AR754" s="78" t="str">
        <f aca="false">IF(AQ754=1,SUM(AQ$7:AQ754),"")</f>
        <v/>
      </c>
    </row>
    <row r="755" customFormat="false" ht="15" hidden="false" customHeight="false" outlineLevel="0" collapsed="false">
      <c r="A755" s="78" t="n">
        <f aca="false">IF(E755="","",ROW()-6)</f>
        <v>749</v>
      </c>
      <c r="B755" s="79" t="s">
        <v>586</v>
      </c>
      <c r="C755" s="80"/>
      <c r="D755" s="80"/>
      <c r="E755" s="80" t="s">
        <v>452</v>
      </c>
      <c r="F755" s="80"/>
      <c r="G755" s="80" t="s">
        <v>106</v>
      </c>
      <c r="H755" s="80"/>
      <c r="I755" s="80"/>
      <c r="J755" s="80"/>
      <c r="K755" s="80"/>
      <c r="L755" s="81" t="str">
        <f aca="false">IF(K755="","",IFERROR(INDEX(BARDAGE!$C$7:$C$1506,MATCH(K755,BARDAGE!$B$7:$B$1506,0)),"? hors registre"))</f>
        <v/>
      </c>
      <c r="M755" s="80"/>
      <c r="N755" s="81" t="str">
        <f aca="false">IF(M755="","",IFERROR(INDEX(BARDAGE!$C$7:$C$1506,MATCH(M755,BARDAGE!$B$7:$B$1506,0)),"? hors registre"))</f>
        <v/>
      </c>
      <c r="O755" s="80"/>
      <c r="P755" s="80"/>
      <c r="Q755" s="80"/>
      <c r="R755" s="82"/>
      <c r="S755" s="82"/>
      <c r="T755" s="80"/>
      <c r="U755" s="80"/>
      <c r="V755" s="82"/>
      <c r="W755" s="80"/>
      <c r="X755" s="80"/>
      <c r="Y755" s="80"/>
      <c r="Z755" s="80"/>
      <c r="AA755" s="82"/>
      <c r="AB755" s="80"/>
      <c r="AC755" s="80"/>
      <c r="AD755" s="80"/>
      <c r="AE755" s="80"/>
      <c r="AF755" s="82"/>
      <c r="AG755" s="80"/>
      <c r="AH755" s="80"/>
      <c r="AI755" s="82"/>
      <c r="AJ755" s="79"/>
      <c r="AK755" s="78" t="n">
        <f aca="false">IF(E755="","",(X755&lt;&gt;"")+(AC755&lt;&gt;"")+(AH755&lt;&gt;""))</f>
        <v>0</v>
      </c>
      <c r="AL755" s="81" t="str">
        <f aca="false">IF(AH755&lt;&gt;"",AH755,IF(AC755&lt;&gt;"",AC755,IF(X755&lt;&gt;"",X755,"")))</f>
        <v/>
      </c>
      <c r="AM755" s="83" t="str">
        <f aca="false">IF(E755="","",IF(R755="","À SOUDER",IF(U755="","VT EN ATTENTE",IF(U755="R","VT REJETÉ – À REPRENDRE",IF(AL755="","À RADIOGRAPHIER",IF(AL755="A","ACCEPTÉ",IF(AL755="NX","NX – RT À REFAIRE",IF(IF(AK755=1,Z755,IF(AK755=2,AE755,""))="A","RÉPARÉ – À RADIOGRAPHIER",IF(IF(AK755=1,Z755,IF(AK755=2,AE755,""))="R","VT REJETÉ – À REPRENDRE",IF(OR(AL755="CO",AL755="NT"),"COUPE – À RESOUDER","À RÉPARER"))))))))))</f>
        <v>À SOUDER</v>
      </c>
      <c r="AN755" s="81" t="str">
        <f aca="false">IF(AND(ISNUMBER(R755),OR(AM755="À RADIOGRAPHIER",AM755="RÉPARÉ – À RADIOGRAPHIER",AM755="NX – RT À REFAIRE",AM755="À RÉPARER",AM755="COUPE – À RESOUDER",AM755="VT REJETÉ – À REPRENDRE")),MAX(0,'PROGRAMME RT'!$C$4-R755),"")</f>
        <v/>
      </c>
      <c r="AO755" s="78" t="n">
        <f aca="false">IF(AND(OR(AM755="À RADIOGRAPHIER",AM755="RÉPARÉ – À RADIOGRAPHIER",AM755="NX – RT À REFAIRE"),OR('PROGRAMME RT'!$D$5="TOUTES",B755='PROGRAMME RT'!$D$5)),1,0)</f>
        <v>0</v>
      </c>
      <c r="AP755" s="78" t="str">
        <f aca="false">IF(AO755=1,SUM(AO$7:AO755),"")</f>
        <v/>
      </c>
      <c r="AQ755" s="78" t="n">
        <f aca="false">IF(AND(OR(X755="R",X755="NX",X755="NT",X755="CO"),OR('JOINTS DE RÉPARATION'!$D$5="TOUTES",B755='JOINTS DE RÉPARATION'!$D$5),OR('JOINTS DE RÉPARATION'!$L$4="TOUS",AM755&lt;&gt;"ACCEPTÉ")),1,0)</f>
        <v>0</v>
      </c>
      <c r="AR755" s="78" t="str">
        <f aca="false">IF(AQ755=1,SUM(AQ$7:AQ755),"")</f>
        <v/>
      </c>
    </row>
    <row r="756" customFormat="false" ht="15" hidden="false" customHeight="false" outlineLevel="0" collapsed="false">
      <c r="A756" s="78" t="n">
        <f aca="false">IF(E756="","",ROW()-6)</f>
        <v>750</v>
      </c>
      <c r="B756" s="79" t="s">
        <v>586</v>
      </c>
      <c r="C756" s="80"/>
      <c r="D756" s="80"/>
      <c r="E756" s="80" t="s">
        <v>454</v>
      </c>
      <c r="F756" s="80"/>
      <c r="G756" s="80" t="s">
        <v>106</v>
      </c>
      <c r="H756" s="80"/>
      <c r="I756" s="80"/>
      <c r="J756" s="80"/>
      <c r="K756" s="80"/>
      <c r="L756" s="81" t="str">
        <f aca="false">IF(K756="","",IFERROR(INDEX(BARDAGE!$C$7:$C$1506,MATCH(K756,BARDAGE!$B$7:$B$1506,0)),"? hors registre"))</f>
        <v/>
      </c>
      <c r="M756" s="80"/>
      <c r="N756" s="81" t="str">
        <f aca="false">IF(M756="","",IFERROR(INDEX(BARDAGE!$C$7:$C$1506,MATCH(M756,BARDAGE!$B$7:$B$1506,0)),"? hors registre"))</f>
        <v/>
      </c>
      <c r="O756" s="80"/>
      <c r="P756" s="80"/>
      <c r="Q756" s="80"/>
      <c r="R756" s="82"/>
      <c r="S756" s="82"/>
      <c r="T756" s="80"/>
      <c r="U756" s="80"/>
      <c r="V756" s="82"/>
      <c r="W756" s="80"/>
      <c r="X756" s="80"/>
      <c r="Y756" s="80"/>
      <c r="Z756" s="80"/>
      <c r="AA756" s="82"/>
      <c r="AB756" s="80"/>
      <c r="AC756" s="80"/>
      <c r="AD756" s="80"/>
      <c r="AE756" s="80"/>
      <c r="AF756" s="82"/>
      <c r="AG756" s="80"/>
      <c r="AH756" s="80"/>
      <c r="AI756" s="82"/>
      <c r="AJ756" s="79"/>
      <c r="AK756" s="78" t="n">
        <f aca="false">IF(E756="","",(X756&lt;&gt;"")+(AC756&lt;&gt;"")+(AH756&lt;&gt;""))</f>
        <v>0</v>
      </c>
      <c r="AL756" s="81" t="str">
        <f aca="false">IF(AH756&lt;&gt;"",AH756,IF(AC756&lt;&gt;"",AC756,IF(X756&lt;&gt;"",X756,"")))</f>
        <v/>
      </c>
      <c r="AM756" s="83" t="str">
        <f aca="false">IF(E756="","",IF(R756="","À SOUDER",IF(U756="","VT EN ATTENTE",IF(U756="R","VT REJETÉ – À REPRENDRE",IF(AL756="","À RADIOGRAPHIER",IF(AL756="A","ACCEPTÉ",IF(AL756="NX","NX – RT À REFAIRE",IF(IF(AK756=1,Z756,IF(AK756=2,AE756,""))="A","RÉPARÉ – À RADIOGRAPHIER",IF(IF(AK756=1,Z756,IF(AK756=2,AE756,""))="R","VT REJETÉ – À REPRENDRE",IF(OR(AL756="CO",AL756="NT"),"COUPE – À RESOUDER","À RÉPARER"))))))))))</f>
        <v>À SOUDER</v>
      </c>
      <c r="AN756" s="81" t="str">
        <f aca="false">IF(AND(ISNUMBER(R756),OR(AM756="À RADIOGRAPHIER",AM756="RÉPARÉ – À RADIOGRAPHIER",AM756="NX – RT À REFAIRE",AM756="À RÉPARER",AM756="COUPE – À RESOUDER",AM756="VT REJETÉ – À REPRENDRE")),MAX(0,'PROGRAMME RT'!$C$4-R756),"")</f>
        <v/>
      </c>
      <c r="AO756" s="78" t="n">
        <f aca="false">IF(AND(OR(AM756="À RADIOGRAPHIER",AM756="RÉPARÉ – À RADIOGRAPHIER",AM756="NX – RT À REFAIRE"),OR('PROGRAMME RT'!$D$5="TOUTES",B756='PROGRAMME RT'!$D$5)),1,0)</f>
        <v>0</v>
      </c>
      <c r="AP756" s="78" t="str">
        <f aca="false">IF(AO756=1,SUM(AO$7:AO756),"")</f>
        <v/>
      </c>
      <c r="AQ756" s="78" t="n">
        <f aca="false">IF(AND(OR(X756="R",X756="NX",X756="NT",X756="CO"),OR('JOINTS DE RÉPARATION'!$D$5="TOUTES",B756='JOINTS DE RÉPARATION'!$D$5),OR('JOINTS DE RÉPARATION'!$L$4="TOUS",AM756&lt;&gt;"ACCEPTÉ")),1,0)</f>
        <v>0</v>
      </c>
      <c r="AR756" s="78" t="str">
        <f aca="false">IF(AQ756=1,SUM(AQ$7:AQ756),"")</f>
        <v/>
      </c>
    </row>
    <row r="757" customFormat="false" ht="15" hidden="false" customHeight="false" outlineLevel="0" collapsed="false">
      <c r="A757" s="78" t="n">
        <f aca="false">IF(E757="","",ROW()-6)</f>
        <v>751</v>
      </c>
      <c r="B757" s="79" t="s">
        <v>586</v>
      </c>
      <c r="C757" s="80"/>
      <c r="D757" s="80"/>
      <c r="E757" s="80" t="s">
        <v>456</v>
      </c>
      <c r="F757" s="80"/>
      <c r="G757" s="80" t="s">
        <v>106</v>
      </c>
      <c r="H757" s="80"/>
      <c r="I757" s="80"/>
      <c r="J757" s="80"/>
      <c r="K757" s="80"/>
      <c r="L757" s="81" t="str">
        <f aca="false">IF(K757="","",IFERROR(INDEX(BARDAGE!$C$7:$C$1506,MATCH(K757,BARDAGE!$B$7:$B$1506,0)),"? hors registre"))</f>
        <v/>
      </c>
      <c r="M757" s="80"/>
      <c r="N757" s="81" t="str">
        <f aca="false">IF(M757="","",IFERROR(INDEX(BARDAGE!$C$7:$C$1506,MATCH(M757,BARDAGE!$B$7:$B$1506,0)),"? hors registre"))</f>
        <v/>
      </c>
      <c r="O757" s="80"/>
      <c r="P757" s="80"/>
      <c r="Q757" s="80"/>
      <c r="R757" s="82"/>
      <c r="S757" s="82"/>
      <c r="T757" s="80"/>
      <c r="U757" s="80"/>
      <c r="V757" s="82"/>
      <c r="W757" s="80"/>
      <c r="X757" s="80"/>
      <c r="Y757" s="80"/>
      <c r="Z757" s="80"/>
      <c r="AA757" s="82"/>
      <c r="AB757" s="80"/>
      <c r="AC757" s="80"/>
      <c r="AD757" s="80"/>
      <c r="AE757" s="80"/>
      <c r="AF757" s="82"/>
      <c r="AG757" s="80"/>
      <c r="AH757" s="80"/>
      <c r="AI757" s="82"/>
      <c r="AJ757" s="79"/>
      <c r="AK757" s="78" t="n">
        <f aca="false">IF(E757="","",(X757&lt;&gt;"")+(AC757&lt;&gt;"")+(AH757&lt;&gt;""))</f>
        <v>0</v>
      </c>
      <c r="AL757" s="81" t="str">
        <f aca="false">IF(AH757&lt;&gt;"",AH757,IF(AC757&lt;&gt;"",AC757,IF(X757&lt;&gt;"",X757,"")))</f>
        <v/>
      </c>
      <c r="AM757" s="83" t="str">
        <f aca="false">IF(E757="","",IF(R757="","À SOUDER",IF(U757="","VT EN ATTENTE",IF(U757="R","VT REJETÉ – À REPRENDRE",IF(AL757="","À RADIOGRAPHIER",IF(AL757="A","ACCEPTÉ",IF(AL757="NX","NX – RT À REFAIRE",IF(IF(AK757=1,Z757,IF(AK757=2,AE757,""))="A","RÉPARÉ – À RADIOGRAPHIER",IF(IF(AK757=1,Z757,IF(AK757=2,AE757,""))="R","VT REJETÉ – À REPRENDRE",IF(OR(AL757="CO",AL757="NT"),"COUPE – À RESOUDER","À RÉPARER"))))))))))</f>
        <v>À SOUDER</v>
      </c>
      <c r="AN757" s="81" t="str">
        <f aca="false">IF(AND(ISNUMBER(R757),OR(AM757="À RADIOGRAPHIER",AM757="RÉPARÉ – À RADIOGRAPHIER",AM757="NX – RT À REFAIRE",AM757="À RÉPARER",AM757="COUPE – À RESOUDER",AM757="VT REJETÉ – À REPRENDRE")),MAX(0,'PROGRAMME RT'!$C$4-R757),"")</f>
        <v/>
      </c>
      <c r="AO757" s="78" t="n">
        <f aca="false">IF(AND(OR(AM757="À RADIOGRAPHIER",AM757="RÉPARÉ – À RADIOGRAPHIER",AM757="NX – RT À REFAIRE"),OR('PROGRAMME RT'!$D$5="TOUTES",B757='PROGRAMME RT'!$D$5)),1,0)</f>
        <v>0</v>
      </c>
      <c r="AP757" s="78" t="str">
        <f aca="false">IF(AO757=1,SUM(AO$7:AO757),"")</f>
        <v/>
      </c>
      <c r="AQ757" s="78" t="n">
        <f aca="false">IF(AND(OR(X757="R",X757="NX",X757="NT",X757="CO"),OR('JOINTS DE RÉPARATION'!$D$5="TOUTES",B757='JOINTS DE RÉPARATION'!$D$5),OR('JOINTS DE RÉPARATION'!$L$4="TOUS",AM757&lt;&gt;"ACCEPTÉ")),1,0)</f>
        <v>0</v>
      </c>
      <c r="AR757" s="78" t="str">
        <f aca="false">IF(AQ757=1,SUM(AQ$7:AQ757),"")</f>
        <v/>
      </c>
    </row>
    <row r="758" customFormat="false" ht="15" hidden="false" customHeight="false" outlineLevel="0" collapsed="false">
      <c r="A758" s="78" t="n">
        <f aca="false">IF(E758="","",ROW()-6)</f>
        <v>752</v>
      </c>
      <c r="B758" s="79" t="s">
        <v>586</v>
      </c>
      <c r="C758" s="80"/>
      <c r="D758" s="80"/>
      <c r="E758" s="80" t="s">
        <v>457</v>
      </c>
      <c r="F758" s="80"/>
      <c r="G758" s="80" t="s">
        <v>106</v>
      </c>
      <c r="H758" s="80"/>
      <c r="I758" s="80"/>
      <c r="J758" s="80"/>
      <c r="K758" s="80"/>
      <c r="L758" s="81" t="str">
        <f aca="false">IF(K758="","",IFERROR(INDEX(BARDAGE!$C$7:$C$1506,MATCH(K758,BARDAGE!$B$7:$B$1506,0)),"? hors registre"))</f>
        <v/>
      </c>
      <c r="M758" s="80"/>
      <c r="N758" s="81" t="str">
        <f aca="false">IF(M758="","",IFERROR(INDEX(BARDAGE!$C$7:$C$1506,MATCH(M758,BARDAGE!$B$7:$B$1506,0)),"? hors registre"))</f>
        <v/>
      </c>
      <c r="O758" s="80"/>
      <c r="P758" s="80"/>
      <c r="Q758" s="80"/>
      <c r="R758" s="82"/>
      <c r="S758" s="82"/>
      <c r="T758" s="80"/>
      <c r="U758" s="80"/>
      <c r="V758" s="82"/>
      <c r="W758" s="80"/>
      <c r="X758" s="80"/>
      <c r="Y758" s="80"/>
      <c r="Z758" s="80"/>
      <c r="AA758" s="82"/>
      <c r="AB758" s="80"/>
      <c r="AC758" s="80"/>
      <c r="AD758" s="80"/>
      <c r="AE758" s="80"/>
      <c r="AF758" s="82"/>
      <c r="AG758" s="80"/>
      <c r="AH758" s="80"/>
      <c r="AI758" s="82"/>
      <c r="AJ758" s="79"/>
      <c r="AK758" s="78" t="n">
        <f aca="false">IF(E758="","",(X758&lt;&gt;"")+(AC758&lt;&gt;"")+(AH758&lt;&gt;""))</f>
        <v>0</v>
      </c>
      <c r="AL758" s="81" t="str">
        <f aca="false">IF(AH758&lt;&gt;"",AH758,IF(AC758&lt;&gt;"",AC758,IF(X758&lt;&gt;"",X758,"")))</f>
        <v/>
      </c>
      <c r="AM758" s="83" t="str">
        <f aca="false">IF(E758="","",IF(R758="","À SOUDER",IF(U758="","VT EN ATTENTE",IF(U758="R","VT REJETÉ – À REPRENDRE",IF(AL758="","À RADIOGRAPHIER",IF(AL758="A","ACCEPTÉ",IF(AL758="NX","NX – RT À REFAIRE",IF(IF(AK758=1,Z758,IF(AK758=2,AE758,""))="A","RÉPARÉ – À RADIOGRAPHIER",IF(IF(AK758=1,Z758,IF(AK758=2,AE758,""))="R","VT REJETÉ – À REPRENDRE",IF(OR(AL758="CO",AL758="NT"),"COUPE – À RESOUDER","À RÉPARER"))))))))))</f>
        <v>À SOUDER</v>
      </c>
      <c r="AN758" s="81" t="str">
        <f aca="false">IF(AND(ISNUMBER(R758),OR(AM758="À RADIOGRAPHIER",AM758="RÉPARÉ – À RADIOGRAPHIER",AM758="NX – RT À REFAIRE",AM758="À RÉPARER",AM758="COUPE – À RESOUDER",AM758="VT REJETÉ – À REPRENDRE")),MAX(0,'PROGRAMME RT'!$C$4-R758),"")</f>
        <v/>
      </c>
      <c r="AO758" s="78" t="n">
        <f aca="false">IF(AND(OR(AM758="À RADIOGRAPHIER",AM758="RÉPARÉ – À RADIOGRAPHIER",AM758="NX – RT À REFAIRE"),OR('PROGRAMME RT'!$D$5="TOUTES",B758='PROGRAMME RT'!$D$5)),1,0)</f>
        <v>0</v>
      </c>
      <c r="AP758" s="78" t="str">
        <f aca="false">IF(AO758=1,SUM(AO$7:AO758),"")</f>
        <v/>
      </c>
      <c r="AQ758" s="78" t="n">
        <f aca="false">IF(AND(OR(X758="R",X758="NX",X758="NT",X758="CO"),OR('JOINTS DE RÉPARATION'!$D$5="TOUTES",B758='JOINTS DE RÉPARATION'!$D$5),OR('JOINTS DE RÉPARATION'!$L$4="TOUS",AM758&lt;&gt;"ACCEPTÉ")),1,0)</f>
        <v>0</v>
      </c>
      <c r="AR758" s="78" t="str">
        <f aca="false">IF(AQ758=1,SUM(AQ$7:AQ758),"")</f>
        <v/>
      </c>
    </row>
    <row r="759" customFormat="false" ht="15" hidden="false" customHeight="false" outlineLevel="0" collapsed="false">
      <c r="A759" s="78" t="n">
        <f aca="false">IF(E759="","",ROW()-6)</f>
        <v>753</v>
      </c>
      <c r="B759" s="79" t="s">
        <v>586</v>
      </c>
      <c r="C759" s="80"/>
      <c r="D759" s="80"/>
      <c r="E759" s="80" t="s">
        <v>459</v>
      </c>
      <c r="F759" s="80"/>
      <c r="G759" s="80" t="s">
        <v>106</v>
      </c>
      <c r="H759" s="80"/>
      <c r="I759" s="80"/>
      <c r="J759" s="80"/>
      <c r="K759" s="80"/>
      <c r="L759" s="81" t="str">
        <f aca="false">IF(K759="","",IFERROR(INDEX(BARDAGE!$C$7:$C$1506,MATCH(K759,BARDAGE!$B$7:$B$1506,0)),"? hors registre"))</f>
        <v/>
      </c>
      <c r="M759" s="80"/>
      <c r="N759" s="81" t="str">
        <f aca="false">IF(M759="","",IFERROR(INDEX(BARDAGE!$C$7:$C$1506,MATCH(M759,BARDAGE!$B$7:$B$1506,0)),"? hors registre"))</f>
        <v/>
      </c>
      <c r="O759" s="80"/>
      <c r="P759" s="80"/>
      <c r="Q759" s="80"/>
      <c r="R759" s="82"/>
      <c r="S759" s="82"/>
      <c r="T759" s="80"/>
      <c r="U759" s="80"/>
      <c r="V759" s="82"/>
      <c r="W759" s="80"/>
      <c r="X759" s="80"/>
      <c r="Y759" s="80"/>
      <c r="Z759" s="80"/>
      <c r="AA759" s="82"/>
      <c r="AB759" s="80"/>
      <c r="AC759" s="80"/>
      <c r="AD759" s="80"/>
      <c r="AE759" s="80"/>
      <c r="AF759" s="82"/>
      <c r="AG759" s="80"/>
      <c r="AH759" s="80"/>
      <c r="AI759" s="82"/>
      <c r="AJ759" s="79"/>
      <c r="AK759" s="78" t="n">
        <f aca="false">IF(E759="","",(X759&lt;&gt;"")+(AC759&lt;&gt;"")+(AH759&lt;&gt;""))</f>
        <v>0</v>
      </c>
      <c r="AL759" s="81" t="str">
        <f aca="false">IF(AH759&lt;&gt;"",AH759,IF(AC759&lt;&gt;"",AC759,IF(X759&lt;&gt;"",X759,"")))</f>
        <v/>
      </c>
      <c r="AM759" s="83" t="str">
        <f aca="false">IF(E759="","",IF(R759="","À SOUDER",IF(U759="","VT EN ATTENTE",IF(U759="R","VT REJETÉ – À REPRENDRE",IF(AL759="","À RADIOGRAPHIER",IF(AL759="A","ACCEPTÉ",IF(AL759="NX","NX – RT À REFAIRE",IF(IF(AK759=1,Z759,IF(AK759=2,AE759,""))="A","RÉPARÉ – À RADIOGRAPHIER",IF(IF(AK759=1,Z759,IF(AK759=2,AE759,""))="R","VT REJETÉ – À REPRENDRE",IF(OR(AL759="CO",AL759="NT"),"COUPE – À RESOUDER","À RÉPARER"))))))))))</f>
        <v>À SOUDER</v>
      </c>
      <c r="AN759" s="81" t="str">
        <f aca="false">IF(AND(ISNUMBER(R759),OR(AM759="À RADIOGRAPHIER",AM759="RÉPARÉ – À RADIOGRAPHIER",AM759="NX – RT À REFAIRE",AM759="À RÉPARER",AM759="COUPE – À RESOUDER",AM759="VT REJETÉ – À REPRENDRE")),MAX(0,'PROGRAMME RT'!$C$4-R759),"")</f>
        <v/>
      </c>
      <c r="AO759" s="78" t="n">
        <f aca="false">IF(AND(OR(AM759="À RADIOGRAPHIER",AM759="RÉPARÉ – À RADIOGRAPHIER",AM759="NX – RT À REFAIRE"),OR('PROGRAMME RT'!$D$5="TOUTES",B759='PROGRAMME RT'!$D$5)),1,0)</f>
        <v>0</v>
      </c>
      <c r="AP759" s="78" t="str">
        <f aca="false">IF(AO759=1,SUM(AO$7:AO759),"")</f>
        <v/>
      </c>
      <c r="AQ759" s="78" t="n">
        <f aca="false">IF(AND(OR(X759="R",X759="NX",X759="NT",X759="CO"),OR('JOINTS DE RÉPARATION'!$D$5="TOUTES",B759='JOINTS DE RÉPARATION'!$D$5),OR('JOINTS DE RÉPARATION'!$L$4="TOUS",AM759&lt;&gt;"ACCEPTÉ")),1,0)</f>
        <v>0</v>
      </c>
      <c r="AR759" s="78" t="str">
        <f aca="false">IF(AQ759=1,SUM(AQ$7:AQ759),"")</f>
        <v/>
      </c>
    </row>
    <row r="760" customFormat="false" ht="15" hidden="false" customHeight="false" outlineLevel="0" collapsed="false">
      <c r="A760" s="78" t="n">
        <f aca="false">IF(E760="","",ROW()-6)</f>
        <v>754</v>
      </c>
      <c r="B760" s="79" t="s">
        <v>586</v>
      </c>
      <c r="C760" s="80"/>
      <c r="D760" s="80"/>
      <c r="E760" s="80" t="s">
        <v>461</v>
      </c>
      <c r="F760" s="80"/>
      <c r="G760" s="80" t="s">
        <v>106</v>
      </c>
      <c r="H760" s="80"/>
      <c r="I760" s="80"/>
      <c r="J760" s="80"/>
      <c r="K760" s="80"/>
      <c r="L760" s="81" t="str">
        <f aca="false">IF(K760="","",IFERROR(INDEX(BARDAGE!$C$7:$C$1506,MATCH(K760,BARDAGE!$B$7:$B$1506,0)),"? hors registre"))</f>
        <v/>
      </c>
      <c r="M760" s="80"/>
      <c r="N760" s="81" t="str">
        <f aca="false">IF(M760="","",IFERROR(INDEX(BARDAGE!$C$7:$C$1506,MATCH(M760,BARDAGE!$B$7:$B$1506,0)),"? hors registre"))</f>
        <v/>
      </c>
      <c r="O760" s="80"/>
      <c r="P760" s="80"/>
      <c r="Q760" s="80"/>
      <c r="R760" s="82"/>
      <c r="S760" s="82"/>
      <c r="T760" s="80"/>
      <c r="U760" s="80"/>
      <c r="V760" s="82"/>
      <c r="W760" s="80"/>
      <c r="X760" s="80"/>
      <c r="Y760" s="80"/>
      <c r="Z760" s="80"/>
      <c r="AA760" s="82"/>
      <c r="AB760" s="80"/>
      <c r="AC760" s="80"/>
      <c r="AD760" s="80"/>
      <c r="AE760" s="80"/>
      <c r="AF760" s="82"/>
      <c r="AG760" s="80"/>
      <c r="AH760" s="80"/>
      <c r="AI760" s="82"/>
      <c r="AJ760" s="79"/>
      <c r="AK760" s="78" t="n">
        <f aca="false">IF(E760="","",(X760&lt;&gt;"")+(AC760&lt;&gt;"")+(AH760&lt;&gt;""))</f>
        <v>0</v>
      </c>
      <c r="AL760" s="81" t="str">
        <f aca="false">IF(AH760&lt;&gt;"",AH760,IF(AC760&lt;&gt;"",AC760,IF(X760&lt;&gt;"",X760,"")))</f>
        <v/>
      </c>
      <c r="AM760" s="83" t="str">
        <f aca="false">IF(E760="","",IF(R760="","À SOUDER",IF(U760="","VT EN ATTENTE",IF(U760="R","VT REJETÉ – À REPRENDRE",IF(AL760="","À RADIOGRAPHIER",IF(AL760="A","ACCEPTÉ",IF(AL760="NX","NX – RT À REFAIRE",IF(IF(AK760=1,Z760,IF(AK760=2,AE760,""))="A","RÉPARÉ – À RADIOGRAPHIER",IF(IF(AK760=1,Z760,IF(AK760=2,AE760,""))="R","VT REJETÉ – À REPRENDRE",IF(OR(AL760="CO",AL760="NT"),"COUPE – À RESOUDER","À RÉPARER"))))))))))</f>
        <v>À SOUDER</v>
      </c>
      <c r="AN760" s="81" t="str">
        <f aca="false">IF(AND(ISNUMBER(R760),OR(AM760="À RADIOGRAPHIER",AM760="RÉPARÉ – À RADIOGRAPHIER",AM760="NX – RT À REFAIRE",AM760="À RÉPARER",AM760="COUPE – À RESOUDER",AM760="VT REJETÉ – À REPRENDRE")),MAX(0,'PROGRAMME RT'!$C$4-R760),"")</f>
        <v/>
      </c>
      <c r="AO760" s="78" t="n">
        <f aca="false">IF(AND(OR(AM760="À RADIOGRAPHIER",AM760="RÉPARÉ – À RADIOGRAPHIER",AM760="NX – RT À REFAIRE"),OR('PROGRAMME RT'!$D$5="TOUTES",B760='PROGRAMME RT'!$D$5)),1,0)</f>
        <v>0</v>
      </c>
      <c r="AP760" s="78" t="str">
        <f aca="false">IF(AO760=1,SUM(AO$7:AO760),"")</f>
        <v/>
      </c>
      <c r="AQ760" s="78" t="n">
        <f aca="false">IF(AND(OR(X760="R",X760="NX",X760="NT",X760="CO"),OR('JOINTS DE RÉPARATION'!$D$5="TOUTES",B760='JOINTS DE RÉPARATION'!$D$5),OR('JOINTS DE RÉPARATION'!$L$4="TOUS",AM760&lt;&gt;"ACCEPTÉ")),1,0)</f>
        <v>0</v>
      </c>
      <c r="AR760" s="78" t="str">
        <f aca="false">IF(AQ760=1,SUM(AQ$7:AQ760),"")</f>
        <v/>
      </c>
    </row>
    <row r="761" customFormat="false" ht="15" hidden="false" customHeight="false" outlineLevel="0" collapsed="false">
      <c r="A761" s="78" t="n">
        <f aca="false">IF(E761="","",ROW()-6)</f>
        <v>755</v>
      </c>
      <c r="B761" s="79" t="s">
        <v>586</v>
      </c>
      <c r="C761" s="80"/>
      <c r="D761" s="80"/>
      <c r="E761" s="80" t="s">
        <v>463</v>
      </c>
      <c r="F761" s="80"/>
      <c r="G761" s="80" t="s">
        <v>106</v>
      </c>
      <c r="H761" s="80"/>
      <c r="I761" s="80"/>
      <c r="J761" s="80"/>
      <c r="K761" s="80"/>
      <c r="L761" s="81" t="str">
        <f aca="false">IF(K761="","",IFERROR(INDEX(BARDAGE!$C$7:$C$1506,MATCH(K761,BARDAGE!$B$7:$B$1506,0)),"? hors registre"))</f>
        <v/>
      </c>
      <c r="M761" s="80"/>
      <c r="N761" s="81" t="str">
        <f aca="false">IF(M761="","",IFERROR(INDEX(BARDAGE!$C$7:$C$1506,MATCH(M761,BARDAGE!$B$7:$B$1506,0)),"? hors registre"))</f>
        <v/>
      </c>
      <c r="O761" s="80"/>
      <c r="P761" s="80"/>
      <c r="Q761" s="80"/>
      <c r="R761" s="82"/>
      <c r="S761" s="82"/>
      <c r="T761" s="80"/>
      <c r="U761" s="80"/>
      <c r="V761" s="82"/>
      <c r="W761" s="80"/>
      <c r="X761" s="80"/>
      <c r="Y761" s="80"/>
      <c r="Z761" s="80"/>
      <c r="AA761" s="82"/>
      <c r="AB761" s="80"/>
      <c r="AC761" s="80"/>
      <c r="AD761" s="80"/>
      <c r="AE761" s="80"/>
      <c r="AF761" s="82"/>
      <c r="AG761" s="80"/>
      <c r="AH761" s="80"/>
      <c r="AI761" s="82"/>
      <c r="AJ761" s="79"/>
      <c r="AK761" s="78" t="n">
        <f aca="false">IF(E761="","",(X761&lt;&gt;"")+(AC761&lt;&gt;"")+(AH761&lt;&gt;""))</f>
        <v>0</v>
      </c>
      <c r="AL761" s="81" t="str">
        <f aca="false">IF(AH761&lt;&gt;"",AH761,IF(AC761&lt;&gt;"",AC761,IF(X761&lt;&gt;"",X761,"")))</f>
        <v/>
      </c>
      <c r="AM761" s="83" t="str">
        <f aca="false">IF(E761="","",IF(R761="","À SOUDER",IF(U761="","VT EN ATTENTE",IF(U761="R","VT REJETÉ – À REPRENDRE",IF(AL761="","À RADIOGRAPHIER",IF(AL761="A","ACCEPTÉ",IF(AL761="NX","NX – RT À REFAIRE",IF(IF(AK761=1,Z761,IF(AK761=2,AE761,""))="A","RÉPARÉ – À RADIOGRAPHIER",IF(IF(AK761=1,Z761,IF(AK761=2,AE761,""))="R","VT REJETÉ – À REPRENDRE",IF(OR(AL761="CO",AL761="NT"),"COUPE – À RESOUDER","À RÉPARER"))))))))))</f>
        <v>À SOUDER</v>
      </c>
      <c r="AN761" s="81" t="str">
        <f aca="false">IF(AND(ISNUMBER(R761),OR(AM761="À RADIOGRAPHIER",AM761="RÉPARÉ – À RADIOGRAPHIER",AM761="NX – RT À REFAIRE",AM761="À RÉPARER",AM761="COUPE – À RESOUDER",AM761="VT REJETÉ – À REPRENDRE")),MAX(0,'PROGRAMME RT'!$C$4-R761),"")</f>
        <v/>
      </c>
      <c r="AO761" s="78" t="n">
        <f aca="false">IF(AND(OR(AM761="À RADIOGRAPHIER",AM761="RÉPARÉ – À RADIOGRAPHIER",AM761="NX – RT À REFAIRE"),OR('PROGRAMME RT'!$D$5="TOUTES",B761='PROGRAMME RT'!$D$5)),1,0)</f>
        <v>0</v>
      </c>
      <c r="AP761" s="78" t="str">
        <f aca="false">IF(AO761=1,SUM(AO$7:AO761),"")</f>
        <v/>
      </c>
      <c r="AQ761" s="78" t="n">
        <f aca="false">IF(AND(OR(X761="R",X761="NX",X761="NT",X761="CO"),OR('JOINTS DE RÉPARATION'!$D$5="TOUTES",B761='JOINTS DE RÉPARATION'!$D$5),OR('JOINTS DE RÉPARATION'!$L$4="TOUS",AM761&lt;&gt;"ACCEPTÉ")),1,0)</f>
        <v>0</v>
      </c>
      <c r="AR761" s="78" t="str">
        <f aca="false">IF(AQ761=1,SUM(AQ$7:AQ761),"")</f>
        <v/>
      </c>
    </row>
    <row r="762" customFormat="false" ht="15" hidden="false" customHeight="false" outlineLevel="0" collapsed="false">
      <c r="A762" s="78" t="n">
        <f aca="false">IF(E762="","",ROW()-6)</f>
        <v>756</v>
      </c>
      <c r="B762" s="79" t="s">
        <v>586</v>
      </c>
      <c r="C762" s="80"/>
      <c r="D762" s="80"/>
      <c r="E762" s="80" t="s">
        <v>465</v>
      </c>
      <c r="F762" s="80"/>
      <c r="G762" s="80" t="s">
        <v>106</v>
      </c>
      <c r="H762" s="80"/>
      <c r="I762" s="80"/>
      <c r="J762" s="80"/>
      <c r="K762" s="80"/>
      <c r="L762" s="81" t="str">
        <f aca="false">IF(K762="","",IFERROR(INDEX(BARDAGE!$C$7:$C$1506,MATCH(K762,BARDAGE!$B$7:$B$1506,0)),"? hors registre"))</f>
        <v/>
      </c>
      <c r="M762" s="80"/>
      <c r="N762" s="81" t="str">
        <f aca="false">IF(M762="","",IFERROR(INDEX(BARDAGE!$C$7:$C$1506,MATCH(M762,BARDAGE!$B$7:$B$1506,0)),"? hors registre"))</f>
        <v/>
      </c>
      <c r="O762" s="80"/>
      <c r="P762" s="80"/>
      <c r="Q762" s="80"/>
      <c r="R762" s="82"/>
      <c r="S762" s="82"/>
      <c r="T762" s="80"/>
      <c r="U762" s="80"/>
      <c r="V762" s="82"/>
      <c r="W762" s="80"/>
      <c r="X762" s="80"/>
      <c r="Y762" s="80"/>
      <c r="Z762" s="80"/>
      <c r="AA762" s="82"/>
      <c r="AB762" s="80"/>
      <c r="AC762" s="80"/>
      <c r="AD762" s="80"/>
      <c r="AE762" s="80"/>
      <c r="AF762" s="82"/>
      <c r="AG762" s="80"/>
      <c r="AH762" s="80"/>
      <c r="AI762" s="82"/>
      <c r="AJ762" s="79"/>
      <c r="AK762" s="78" t="n">
        <f aca="false">IF(E762="","",(X762&lt;&gt;"")+(AC762&lt;&gt;"")+(AH762&lt;&gt;""))</f>
        <v>0</v>
      </c>
      <c r="AL762" s="81" t="str">
        <f aca="false">IF(AH762&lt;&gt;"",AH762,IF(AC762&lt;&gt;"",AC762,IF(X762&lt;&gt;"",X762,"")))</f>
        <v/>
      </c>
      <c r="AM762" s="83" t="str">
        <f aca="false">IF(E762="","",IF(R762="","À SOUDER",IF(U762="","VT EN ATTENTE",IF(U762="R","VT REJETÉ – À REPRENDRE",IF(AL762="","À RADIOGRAPHIER",IF(AL762="A","ACCEPTÉ",IF(AL762="NX","NX – RT À REFAIRE",IF(IF(AK762=1,Z762,IF(AK762=2,AE762,""))="A","RÉPARÉ – À RADIOGRAPHIER",IF(IF(AK762=1,Z762,IF(AK762=2,AE762,""))="R","VT REJETÉ – À REPRENDRE",IF(OR(AL762="CO",AL762="NT"),"COUPE – À RESOUDER","À RÉPARER"))))))))))</f>
        <v>À SOUDER</v>
      </c>
      <c r="AN762" s="81" t="str">
        <f aca="false">IF(AND(ISNUMBER(R762),OR(AM762="À RADIOGRAPHIER",AM762="RÉPARÉ – À RADIOGRAPHIER",AM762="NX – RT À REFAIRE",AM762="À RÉPARER",AM762="COUPE – À RESOUDER",AM762="VT REJETÉ – À REPRENDRE")),MAX(0,'PROGRAMME RT'!$C$4-R762),"")</f>
        <v/>
      </c>
      <c r="AO762" s="78" t="n">
        <f aca="false">IF(AND(OR(AM762="À RADIOGRAPHIER",AM762="RÉPARÉ – À RADIOGRAPHIER",AM762="NX – RT À REFAIRE"),OR('PROGRAMME RT'!$D$5="TOUTES",B762='PROGRAMME RT'!$D$5)),1,0)</f>
        <v>0</v>
      </c>
      <c r="AP762" s="78" t="str">
        <f aca="false">IF(AO762=1,SUM(AO$7:AO762),"")</f>
        <v/>
      </c>
      <c r="AQ762" s="78" t="n">
        <f aca="false">IF(AND(OR(X762="R",X762="NX",X762="NT",X762="CO"),OR('JOINTS DE RÉPARATION'!$D$5="TOUTES",B762='JOINTS DE RÉPARATION'!$D$5),OR('JOINTS DE RÉPARATION'!$L$4="TOUS",AM762&lt;&gt;"ACCEPTÉ")),1,0)</f>
        <v>0</v>
      </c>
      <c r="AR762" s="78" t="str">
        <f aca="false">IF(AQ762=1,SUM(AQ$7:AQ762),"")</f>
        <v/>
      </c>
    </row>
    <row r="763" customFormat="false" ht="15" hidden="false" customHeight="false" outlineLevel="0" collapsed="false">
      <c r="A763" s="78" t="n">
        <f aca="false">IF(E763="","",ROW()-6)</f>
        <v>757</v>
      </c>
      <c r="B763" s="79" t="s">
        <v>586</v>
      </c>
      <c r="C763" s="80"/>
      <c r="D763" s="80"/>
      <c r="E763" s="80" t="s">
        <v>467</v>
      </c>
      <c r="F763" s="80"/>
      <c r="G763" s="80" t="s">
        <v>106</v>
      </c>
      <c r="H763" s="80"/>
      <c r="I763" s="80"/>
      <c r="J763" s="80"/>
      <c r="K763" s="80"/>
      <c r="L763" s="81" t="str">
        <f aca="false">IF(K763="","",IFERROR(INDEX(BARDAGE!$C$7:$C$1506,MATCH(K763,BARDAGE!$B$7:$B$1506,0)),"? hors registre"))</f>
        <v/>
      </c>
      <c r="M763" s="80"/>
      <c r="N763" s="81" t="str">
        <f aca="false">IF(M763="","",IFERROR(INDEX(BARDAGE!$C$7:$C$1506,MATCH(M763,BARDAGE!$B$7:$B$1506,0)),"? hors registre"))</f>
        <v/>
      </c>
      <c r="O763" s="80"/>
      <c r="P763" s="80"/>
      <c r="Q763" s="80"/>
      <c r="R763" s="82"/>
      <c r="S763" s="82"/>
      <c r="T763" s="80"/>
      <c r="U763" s="80"/>
      <c r="V763" s="82"/>
      <c r="W763" s="80"/>
      <c r="X763" s="80"/>
      <c r="Y763" s="80"/>
      <c r="Z763" s="80"/>
      <c r="AA763" s="82"/>
      <c r="AB763" s="80"/>
      <c r="AC763" s="80"/>
      <c r="AD763" s="80"/>
      <c r="AE763" s="80"/>
      <c r="AF763" s="82"/>
      <c r="AG763" s="80"/>
      <c r="AH763" s="80"/>
      <c r="AI763" s="82"/>
      <c r="AJ763" s="79"/>
      <c r="AK763" s="78" t="n">
        <f aca="false">IF(E763="","",(X763&lt;&gt;"")+(AC763&lt;&gt;"")+(AH763&lt;&gt;""))</f>
        <v>0</v>
      </c>
      <c r="AL763" s="81" t="str">
        <f aca="false">IF(AH763&lt;&gt;"",AH763,IF(AC763&lt;&gt;"",AC763,IF(X763&lt;&gt;"",X763,"")))</f>
        <v/>
      </c>
      <c r="AM763" s="83" t="str">
        <f aca="false">IF(E763="","",IF(R763="","À SOUDER",IF(U763="","VT EN ATTENTE",IF(U763="R","VT REJETÉ – À REPRENDRE",IF(AL763="","À RADIOGRAPHIER",IF(AL763="A","ACCEPTÉ",IF(AL763="NX","NX – RT À REFAIRE",IF(IF(AK763=1,Z763,IF(AK763=2,AE763,""))="A","RÉPARÉ – À RADIOGRAPHIER",IF(IF(AK763=1,Z763,IF(AK763=2,AE763,""))="R","VT REJETÉ – À REPRENDRE",IF(OR(AL763="CO",AL763="NT"),"COUPE – À RESOUDER","À RÉPARER"))))))))))</f>
        <v>À SOUDER</v>
      </c>
      <c r="AN763" s="81" t="str">
        <f aca="false">IF(AND(ISNUMBER(R763),OR(AM763="À RADIOGRAPHIER",AM763="RÉPARÉ – À RADIOGRAPHIER",AM763="NX – RT À REFAIRE",AM763="À RÉPARER",AM763="COUPE – À RESOUDER",AM763="VT REJETÉ – À REPRENDRE")),MAX(0,'PROGRAMME RT'!$C$4-R763),"")</f>
        <v/>
      </c>
      <c r="AO763" s="78" t="n">
        <f aca="false">IF(AND(OR(AM763="À RADIOGRAPHIER",AM763="RÉPARÉ – À RADIOGRAPHIER",AM763="NX – RT À REFAIRE"),OR('PROGRAMME RT'!$D$5="TOUTES",B763='PROGRAMME RT'!$D$5)),1,0)</f>
        <v>0</v>
      </c>
      <c r="AP763" s="78" t="str">
        <f aca="false">IF(AO763=1,SUM(AO$7:AO763),"")</f>
        <v/>
      </c>
      <c r="AQ763" s="78" t="n">
        <f aca="false">IF(AND(OR(X763="R",X763="NX",X763="NT",X763="CO"),OR('JOINTS DE RÉPARATION'!$D$5="TOUTES",B763='JOINTS DE RÉPARATION'!$D$5),OR('JOINTS DE RÉPARATION'!$L$4="TOUS",AM763&lt;&gt;"ACCEPTÉ")),1,0)</f>
        <v>0</v>
      </c>
      <c r="AR763" s="78" t="str">
        <f aca="false">IF(AQ763=1,SUM(AQ$7:AQ763),"")</f>
        <v/>
      </c>
    </row>
    <row r="764" customFormat="false" ht="15" hidden="false" customHeight="false" outlineLevel="0" collapsed="false">
      <c r="A764" s="78" t="n">
        <f aca="false">IF(E764="","",ROW()-6)</f>
        <v>758</v>
      </c>
      <c r="B764" s="79" t="s">
        <v>586</v>
      </c>
      <c r="C764" s="80"/>
      <c r="D764" s="80"/>
      <c r="E764" s="80" t="s">
        <v>470</v>
      </c>
      <c r="F764" s="80"/>
      <c r="G764" s="80" t="s">
        <v>106</v>
      </c>
      <c r="H764" s="80"/>
      <c r="I764" s="80"/>
      <c r="J764" s="80"/>
      <c r="K764" s="80"/>
      <c r="L764" s="81" t="str">
        <f aca="false">IF(K764="","",IFERROR(INDEX(BARDAGE!$C$7:$C$1506,MATCH(K764,BARDAGE!$B$7:$B$1506,0)),"? hors registre"))</f>
        <v/>
      </c>
      <c r="M764" s="80"/>
      <c r="N764" s="81" t="str">
        <f aca="false">IF(M764="","",IFERROR(INDEX(BARDAGE!$C$7:$C$1506,MATCH(M764,BARDAGE!$B$7:$B$1506,0)),"? hors registre"))</f>
        <v/>
      </c>
      <c r="O764" s="80"/>
      <c r="P764" s="80"/>
      <c r="Q764" s="80"/>
      <c r="R764" s="82"/>
      <c r="S764" s="82"/>
      <c r="T764" s="80"/>
      <c r="U764" s="80"/>
      <c r="V764" s="82"/>
      <c r="W764" s="80"/>
      <c r="X764" s="80"/>
      <c r="Y764" s="80"/>
      <c r="Z764" s="80"/>
      <c r="AA764" s="82"/>
      <c r="AB764" s="80"/>
      <c r="AC764" s="80"/>
      <c r="AD764" s="80"/>
      <c r="AE764" s="80"/>
      <c r="AF764" s="82"/>
      <c r="AG764" s="80"/>
      <c r="AH764" s="80"/>
      <c r="AI764" s="82"/>
      <c r="AJ764" s="79"/>
      <c r="AK764" s="78" t="n">
        <f aca="false">IF(E764="","",(X764&lt;&gt;"")+(AC764&lt;&gt;"")+(AH764&lt;&gt;""))</f>
        <v>0</v>
      </c>
      <c r="AL764" s="81" t="str">
        <f aca="false">IF(AH764&lt;&gt;"",AH764,IF(AC764&lt;&gt;"",AC764,IF(X764&lt;&gt;"",X764,"")))</f>
        <v/>
      </c>
      <c r="AM764" s="83" t="str">
        <f aca="false">IF(E764="","",IF(R764="","À SOUDER",IF(U764="","VT EN ATTENTE",IF(U764="R","VT REJETÉ – À REPRENDRE",IF(AL764="","À RADIOGRAPHIER",IF(AL764="A","ACCEPTÉ",IF(AL764="NX","NX – RT À REFAIRE",IF(IF(AK764=1,Z764,IF(AK764=2,AE764,""))="A","RÉPARÉ – À RADIOGRAPHIER",IF(IF(AK764=1,Z764,IF(AK764=2,AE764,""))="R","VT REJETÉ – À REPRENDRE",IF(OR(AL764="CO",AL764="NT"),"COUPE – À RESOUDER","À RÉPARER"))))))))))</f>
        <v>À SOUDER</v>
      </c>
      <c r="AN764" s="81" t="str">
        <f aca="false">IF(AND(ISNUMBER(R764),OR(AM764="À RADIOGRAPHIER",AM764="RÉPARÉ – À RADIOGRAPHIER",AM764="NX – RT À REFAIRE",AM764="À RÉPARER",AM764="COUPE – À RESOUDER",AM764="VT REJETÉ – À REPRENDRE")),MAX(0,'PROGRAMME RT'!$C$4-R764),"")</f>
        <v/>
      </c>
      <c r="AO764" s="78" t="n">
        <f aca="false">IF(AND(OR(AM764="À RADIOGRAPHIER",AM764="RÉPARÉ – À RADIOGRAPHIER",AM764="NX – RT À REFAIRE"),OR('PROGRAMME RT'!$D$5="TOUTES",B764='PROGRAMME RT'!$D$5)),1,0)</f>
        <v>0</v>
      </c>
      <c r="AP764" s="78" t="str">
        <f aca="false">IF(AO764=1,SUM(AO$7:AO764),"")</f>
        <v/>
      </c>
      <c r="AQ764" s="78" t="n">
        <f aca="false">IF(AND(OR(X764="R",X764="NX",X764="NT",X764="CO"),OR('JOINTS DE RÉPARATION'!$D$5="TOUTES",B764='JOINTS DE RÉPARATION'!$D$5),OR('JOINTS DE RÉPARATION'!$L$4="TOUS",AM764&lt;&gt;"ACCEPTÉ")),1,0)</f>
        <v>0</v>
      </c>
      <c r="AR764" s="78" t="str">
        <f aca="false">IF(AQ764=1,SUM(AQ$7:AQ764),"")</f>
        <v/>
      </c>
    </row>
    <row r="765" customFormat="false" ht="15" hidden="false" customHeight="false" outlineLevel="0" collapsed="false">
      <c r="A765" s="78" t="n">
        <f aca="false">IF(E765="","",ROW()-6)</f>
        <v>759</v>
      </c>
      <c r="B765" s="79" t="s">
        <v>586</v>
      </c>
      <c r="C765" s="80"/>
      <c r="D765" s="80"/>
      <c r="E765" s="80" t="s">
        <v>472</v>
      </c>
      <c r="F765" s="80"/>
      <c r="G765" s="80" t="s">
        <v>106</v>
      </c>
      <c r="H765" s="80"/>
      <c r="I765" s="80"/>
      <c r="J765" s="80"/>
      <c r="K765" s="80"/>
      <c r="L765" s="81" t="str">
        <f aca="false">IF(K765="","",IFERROR(INDEX(BARDAGE!$C$7:$C$1506,MATCH(K765,BARDAGE!$B$7:$B$1506,0)),"? hors registre"))</f>
        <v/>
      </c>
      <c r="M765" s="80"/>
      <c r="N765" s="81" t="str">
        <f aca="false">IF(M765="","",IFERROR(INDEX(BARDAGE!$C$7:$C$1506,MATCH(M765,BARDAGE!$B$7:$B$1506,0)),"? hors registre"))</f>
        <v/>
      </c>
      <c r="O765" s="80"/>
      <c r="P765" s="80"/>
      <c r="Q765" s="80"/>
      <c r="R765" s="82"/>
      <c r="S765" s="82"/>
      <c r="T765" s="80"/>
      <c r="U765" s="80"/>
      <c r="V765" s="82"/>
      <c r="W765" s="80"/>
      <c r="X765" s="80"/>
      <c r="Y765" s="80"/>
      <c r="Z765" s="80"/>
      <c r="AA765" s="82"/>
      <c r="AB765" s="80"/>
      <c r="AC765" s="80"/>
      <c r="AD765" s="80"/>
      <c r="AE765" s="80"/>
      <c r="AF765" s="82"/>
      <c r="AG765" s="80"/>
      <c r="AH765" s="80"/>
      <c r="AI765" s="82"/>
      <c r="AJ765" s="79"/>
      <c r="AK765" s="78" t="n">
        <f aca="false">IF(E765="","",(X765&lt;&gt;"")+(AC765&lt;&gt;"")+(AH765&lt;&gt;""))</f>
        <v>0</v>
      </c>
      <c r="AL765" s="81" t="str">
        <f aca="false">IF(AH765&lt;&gt;"",AH765,IF(AC765&lt;&gt;"",AC765,IF(X765&lt;&gt;"",X765,"")))</f>
        <v/>
      </c>
      <c r="AM765" s="83" t="str">
        <f aca="false">IF(E765="","",IF(R765="","À SOUDER",IF(U765="","VT EN ATTENTE",IF(U765="R","VT REJETÉ – À REPRENDRE",IF(AL765="","À RADIOGRAPHIER",IF(AL765="A","ACCEPTÉ",IF(AL765="NX","NX – RT À REFAIRE",IF(IF(AK765=1,Z765,IF(AK765=2,AE765,""))="A","RÉPARÉ – À RADIOGRAPHIER",IF(IF(AK765=1,Z765,IF(AK765=2,AE765,""))="R","VT REJETÉ – À REPRENDRE",IF(OR(AL765="CO",AL765="NT"),"COUPE – À RESOUDER","À RÉPARER"))))))))))</f>
        <v>À SOUDER</v>
      </c>
      <c r="AN765" s="81" t="str">
        <f aca="false">IF(AND(ISNUMBER(R765),OR(AM765="À RADIOGRAPHIER",AM765="RÉPARÉ – À RADIOGRAPHIER",AM765="NX – RT À REFAIRE",AM765="À RÉPARER",AM765="COUPE – À RESOUDER",AM765="VT REJETÉ – À REPRENDRE")),MAX(0,'PROGRAMME RT'!$C$4-R765),"")</f>
        <v/>
      </c>
      <c r="AO765" s="78" t="n">
        <f aca="false">IF(AND(OR(AM765="À RADIOGRAPHIER",AM765="RÉPARÉ – À RADIOGRAPHIER",AM765="NX – RT À REFAIRE"),OR('PROGRAMME RT'!$D$5="TOUTES",B765='PROGRAMME RT'!$D$5)),1,0)</f>
        <v>0</v>
      </c>
      <c r="AP765" s="78" t="str">
        <f aca="false">IF(AO765=1,SUM(AO$7:AO765),"")</f>
        <v/>
      </c>
      <c r="AQ765" s="78" t="n">
        <f aca="false">IF(AND(OR(X765="R",X765="NX",X765="NT",X765="CO"),OR('JOINTS DE RÉPARATION'!$D$5="TOUTES",B765='JOINTS DE RÉPARATION'!$D$5),OR('JOINTS DE RÉPARATION'!$L$4="TOUS",AM765&lt;&gt;"ACCEPTÉ")),1,0)</f>
        <v>0</v>
      </c>
      <c r="AR765" s="78" t="str">
        <f aca="false">IF(AQ765=1,SUM(AQ$7:AQ765),"")</f>
        <v/>
      </c>
    </row>
    <row r="766" customFormat="false" ht="15" hidden="false" customHeight="false" outlineLevel="0" collapsed="false">
      <c r="A766" s="78" t="n">
        <f aca="false">IF(E766="","",ROW()-6)</f>
        <v>760</v>
      </c>
      <c r="B766" s="79" t="s">
        <v>586</v>
      </c>
      <c r="C766" s="80"/>
      <c r="D766" s="80"/>
      <c r="E766" s="80" t="s">
        <v>475</v>
      </c>
      <c r="F766" s="80"/>
      <c r="G766" s="80" t="s">
        <v>106</v>
      </c>
      <c r="H766" s="80"/>
      <c r="I766" s="80"/>
      <c r="J766" s="80"/>
      <c r="K766" s="80"/>
      <c r="L766" s="81" t="str">
        <f aca="false">IF(K766="","",IFERROR(INDEX(BARDAGE!$C$7:$C$1506,MATCH(K766,BARDAGE!$B$7:$B$1506,0)),"? hors registre"))</f>
        <v/>
      </c>
      <c r="M766" s="80"/>
      <c r="N766" s="81" t="str">
        <f aca="false">IF(M766="","",IFERROR(INDEX(BARDAGE!$C$7:$C$1506,MATCH(M766,BARDAGE!$B$7:$B$1506,0)),"? hors registre"))</f>
        <v/>
      </c>
      <c r="O766" s="80"/>
      <c r="P766" s="80"/>
      <c r="Q766" s="80"/>
      <c r="R766" s="82"/>
      <c r="S766" s="82"/>
      <c r="T766" s="80"/>
      <c r="U766" s="80"/>
      <c r="V766" s="82"/>
      <c r="W766" s="80"/>
      <c r="X766" s="80"/>
      <c r="Y766" s="80"/>
      <c r="Z766" s="80"/>
      <c r="AA766" s="82"/>
      <c r="AB766" s="80"/>
      <c r="AC766" s="80"/>
      <c r="AD766" s="80"/>
      <c r="AE766" s="80"/>
      <c r="AF766" s="82"/>
      <c r="AG766" s="80"/>
      <c r="AH766" s="80"/>
      <c r="AI766" s="82"/>
      <c r="AJ766" s="79"/>
      <c r="AK766" s="78" t="n">
        <f aca="false">IF(E766="","",(X766&lt;&gt;"")+(AC766&lt;&gt;"")+(AH766&lt;&gt;""))</f>
        <v>0</v>
      </c>
      <c r="AL766" s="81" t="str">
        <f aca="false">IF(AH766&lt;&gt;"",AH766,IF(AC766&lt;&gt;"",AC766,IF(X766&lt;&gt;"",X766,"")))</f>
        <v/>
      </c>
      <c r="AM766" s="83" t="str">
        <f aca="false">IF(E766="","",IF(R766="","À SOUDER",IF(U766="","VT EN ATTENTE",IF(U766="R","VT REJETÉ – À REPRENDRE",IF(AL766="","À RADIOGRAPHIER",IF(AL766="A","ACCEPTÉ",IF(AL766="NX","NX – RT À REFAIRE",IF(IF(AK766=1,Z766,IF(AK766=2,AE766,""))="A","RÉPARÉ – À RADIOGRAPHIER",IF(IF(AK766=1,Z766,IF(AK766=2,AE766,""))="R","VT REJETÉ – À REPRENDRE",IF(OR(AL766="CO",AL766="NT"),"COUPE – À RESOUDER","À RÉPARER"))))))))))</f>
        <v>À SOUDER</v>
      </c>
      <c r="AN766" s="81" t="str">
        <f aca="false">IF(AND(ISNUMBER(R766),OR(AM766="À RADIOGRAPHIER",AM766="RÉPARÉ – À RADIOGRAPHIER",AM766="NX – RT À REFAIRE",AM766="À RÉPARER",AM766="COUPE – À RESOUDER",AM766="VT REJETÉ – À REPRENDRE")),MAX(0,'PROGRAMME RT'!$C$4-R766),"")</f>
        <v/>
      </c>
      <c r="AO766" s="78" t="n">
        <f aca="false">IF(AND(OR(AM766="À RADIOGRAPHIER",AM766="RÉPARÉ – À RADIOGRAPHIER",AM766="NX – RT À REFAIRE"),OR('PROGRAMME RT'!$D$5="TOUTES",B766='PROGRAMME RT'!$D$5)),1,0)</f>
        <v>0</v>
      </c>
      <c r="AP766" s="78" t="str">
        <f aca="false">IF(AO766=1,SUM(AO$7:AO766),"")</f>
        <v/>
      </c>
      <c r="AQ766" s="78" t="n">
        <f aca="false">IF(AND(OR(X766="R",X766="NX",X766="NT",X766="CO"),OR('JOINTS DE RÉPARATION'!$D$5="TOUTES",B766='JOINTS DE RÉPARATION'!$D$5),OR('JOINTS DE RÉPARATION'!$L$4="TOUS",AM766&lt;&gt;"ACCEPTÉ")),1,0)</f>
        <v>0</v>
      </c>
      <c r="AR766" s="78" t="str">
        <f aca="false">IF(AQ766=1,SUM(AQ$7:AQ766),"")</f>
        <v/>
      </c>
    </row>
    <row r="767" customFormat="false" ht="15" hidden="false" customHeight="false" outlineLevel="0" collapsed="false">
      <c r="A767" s="78" t="n">
        <f aca="false">IF(E767="","",ROW()-6)</f>
        <v>761</v>
      </c>
      <c r="B767" s="79" t="s">
        <v>586</v>
      </c>
      <c r="C767" s="80"/>
      <c r="D767" s="80"/>
      <c r="E767" s="80" t="s">
        <v>477</v>
      </c>
      <c r="F767" s="80"/>
      <c r="G767" s="80" t="s">
        <v>106</v>
      </c>
      <c r="H767" s="80"/>
      <c r="I767" s="80"/>
      <c r="J767" s="80"/>
      <c r="K767" s="80"/>
      <c r="L767" s="81" t="str">
        <f aca="false">IF(K767="","",IFERROR(INDEX(BARDAGE!$C$7:$C$1506,MATCH(K767,BARDAGE!$B$7:$B$1506,0)),"? hors registre"))</f>
        <v/>
      </c>
      <c r="M767" s="80"/>
      <c r="N767" s="81" t="str">
        <f aca="false">IF(M767="","",IFERROR(INDEX(BARDAGE!$C$7:$C$1506,MATCH(M767,BARDAGE!$B$7:$B$1506,0)),"? hors registre"))</f>
        <v/>
      </c>
      <c r="O767" s="80"/>
      <c r="P767" s="80"/>
      <c r="Q767" s="80"/>
      <c r="R767" s="82"/>
      <c r="S767" s="82"/>
      <c r="T767" s="80"/>
      <c r="U767" s="80"/>
      <c r="V767" s="82"/>
      <c r="W767" s="80"/>
      <c r="X767" s="80"/>
      <c r="Y767" s="80"/>
      <c r="Z767" s="80"/>
      <c r="AA767" s="82"/>
      <c r="AB767" s="80"/>
      <c r="AC767" s="80"/>
      <c r="AD767" s="80"/>
      <c r="AE767" s="80"/>
      <c r="AF767" s="82"/>
      <c r="AG767" s="80"/>
      <c r="AH767" s="80"/>
      <c r="AI767" s="82"/>
      <c r="AJ767" s="79"/>
      <c r="AK767" s="78" t="n">
        <f aca="false">IF(E767="","",(X767&lt;&gt;"")+(AC767&lt;&gt;"")+(AH767&lt;&gt;""))</f>
        <v>0</v>
      </c>
      <c r="AL767" s="81" t="str">
        <f aca="false">IF(AH767&lt;&gt;"",AH767,IF(AC767&lt;&gt;"",AC767,IF(X767&lt;&gt;"",X767,"")))</f>
        <v/>
      </c>
      <c r="AM767" s="83" t="str">
        <f aca="false">IF(E767="","",IF(R767="","À SOUDER",IF(U767="","VT EN ATTENTE",IF(U767="R","VT REJETÉ – À REPRENDRE",IF(AL767="","À RADIOGRAPHIER",IF(AL767="A","ACCEPTÉ",IF(AL767="NX","NX – RT À REFAIRE",IF(IF(AK767=1,Z767,IF(AK767=2,AE767,""))="A","RÉPARÉ – À RADIOGRAPHIER",IF(IF(AK767=1,Z767,IF(AK767=2,AE767,""))="R","VT REJETÉ – À REPRENDRE",IF(OR(AL767="CO",AL767="NT"),"COUPE – À RESOUDER","À RÉPARER"))))))))))</f>
        <v>À SOUDER</v>
      </c>
      <c r="AN767" s="81" t="str">
        <f aca="false">IF(AND(ISNUMBER(R767),OR(AM767="À RADIOGRAPHIER",AM767="RÉPARÉ – À RADIOGRAPHIER",AM767="NX – RT À REFAIRE",AM767="À RÉPARER",AM767="COUPE – À RESOUDER",AM767="VT REJETÉ – À REPRENDRE")),MAX(0,'PROGRAMME RT'!$C$4-R767),"")</f>
        <v/>
      </c>
      <c r="AO767" s="78" t="n">
        <f aca="false">IF(AND(OR(AM767="À RADIOGRAPHIER",AM767="RÉPARÉ – À RADIOGRAPHIER",AM767="NX – RT À REFAIRE"),OR('PROGRAMME RT'!$D$5="TOUTES",B767='PROGRAMME RT'!$D$5)),1,0)</f>
        <v>0</v>
      </c>
      <c r="AP767" s="78" t="str">
        <f aca="false">IF(AO767=1,SUM(AO$7:AO767),"")</f>
        <v/>
      </c>
      <c r="AQ767" s="78" t="n">
        <f aca="false">IF(AND(OR(X767="R",X767="NX",X767="NT",X767="CO"),OR('JOINTS DE RÉPARATION'!$D$5="TOUTES",B767='JOINTS DE RÉPARATION'!$D$5),OR('JOINTS DE RÉPARATION'!$L$4="TOUS",AM767&lt;&gt;"ACCEPTÉ")),1,0)</f>
        <v>0</v>
      </c>
      <c r="AR767" s="78" t="str">
        <f aca="false">IF(AQ767=1,SUM(AQ$7:AQ767),"")</f>
        <v/>
      </c>
    </row>
    <row r="768" customFormat="false" ht="15" hidden="false" customHeight="false" outlineLevel="0" collapsed="false">
      <c r="A768" s="78" t="n">
        <f aca="false">IF(E768="","",ROW()-6)</f>
        <v>762</v>
      </c>
      <c r="B768" s="79" t="s">
        <v>586</v>
      </c>
      <c r="C768" s="80"/>
      <c r="D768" s="80"/>
      <c r="E768" s="80" t="s">
        <v>479</v>
      </c>
      <c r="F768" s="80"/>
      <c r="G768" s="80" t="s">
        <v>106</v>
      </c>
      <c r="H768" s="80"/>
      <c r="I768" s="80"/>
      <c r="J768" s="80"/>
      <c r="K768" s="80"/>
      <c r="L768" s="81" t="str">
        <f aca="false">IF(K768="","",IFERROR(INDEX(BARDAGE!$C$7:$C$1506,MATCH(K768,BARDAGE!$B$7:$B$1506,0)),"? hors registre"))</f>
        <v/>
      </c>
      <c r="M768" s="80"/>
      <c r="N768" s="81" t="str">
        <f aca="false">IF(M768="","",IFERROR(INDEX(BARDAGE!$C$7:$C$1506,MATCH(M768,BARDAGE!$B$7:$B$1506,0)),"? hors registre"))</f>
        <v/>
      </c>
      <c r="O768" s="80"/>
      <c r="P768" s="80"/>
      <c r="Q768" s="80"/>
      <c r="R768" s="82"/>
      <c r="S768" s="82"/>
      <c r="T768" s="80"/>
      <c r="U768" s="80"/>
      <c r="V768" s="82"/>
      <c r="W768" s="80"/>
      <c r="X768" s="80"/>
      <c r="Y768" s="80"/>
      <c r="Z768" s="80"/>
      <c r="AA768" s="82"/>
      <c r="AB768" s="80"/>
      <c r="AC768" s="80"/>
      <c r="AD768" s="80"/>
      <c r="AE768" s="80"/>
      <c r="AF768" s="82"/>
      <c r="AG768" s="80"/>
      <c r="AH768" s="80"/>
      <c r="AI768" s="82"/>
      <c r="AJ768" s="79"/>
      <c r="AK768" s="78" t="n">
        <f aca="false">IF(E768="","",(X768&lt;&gt;"")+(AC768&lt;&gt;"")+(AH768&lt;&gt;""))</f>
        <v>0</v>
      </c>
      <c r="AL768" s="81" t="str">
        <f aca="false">IF(AH768&lt;&gt;"",AH768,IF(AC768&lt;&gt;"",AC768,IF(X768&lt;&gt;"",X768,"")))</f>
        <v/>
      </c>
      <c r="AM768" s="83" t="str">
        <f aca="false">IF(E768="","",IF(R768="","À SOUDER",IF(U768="","VT EN ATTENTE",IF(U768="R","VT REJETÉ – À REPRENDRE",IF(AL768="","À RADIOGRAPHIER",IF(AL768="A","ACCEPTÉ",IF(AL768="NX","NX – RT À REFAIRE",IF(IF(AK768=1,Z768,IF(AK768=2,AE768,""))="A","RÉPARÉ – À RADIOGRAPHIER",IF(IF(AK768=1,Z768,IF(AK768=2,AE768,""))="R","VT REJETÉ – À REPRENDRE",IF(OR(AL768="CO",AL768="NT"),"COUPE – À RESOUDER","À RÉPARER"))))))))))</f>
        <v>À SOUDER</v>
      </c>
      <c r="AN768" s="81" t="str">
        <f aca="false">IF(AND(ISNUMBER(R768),OR(AM768="À RADIOGRAPHIER",AM768="RÉPARÉ – À RADIOGRAPHIER",AM768="NX – RT À REFAIRE",AM768="À RÉPARER",AM768="COUPE – À RESOUDER",AM768="VT REJETÉ – À REPRENDRE")),MAX(0,'PROGRAMME RT'!$C$4-R768),"")</f>
        <v/>
      </c>
      <c r="AO768" s="78" t="n">
        <f aca="false">IF(AND(OR(AM768="À RADIOGRAPHIER",AM768="RÉPARÉ – À RADIOGRAPHIER",AM768="NX – RT À REFAIRE"),OR('PROGRAMME RT'!$D$5="TOUTES",B768='PROGRAMME RT'!$D$5)),1,0)</f>
        <v>0</v>
      </c>
      <c r="AP768" s="78" t="str">
        <f aca="false">IF(AO768=1,SUM(AO$7:AO768),"")</f>
        <v/>
      </c>
      <c r="AQ768" s="78" t="n">
        <f aca="false">IF(AND(OR(X768="R",X768="NX",X768="NT",X768="CO"),OR('JOINTS DE RÉPARATION'!$D$5="TOUTES",B768='JOINTS DE RÉPARATION'!$D$5),OR('JOINTS DE RÉPARATION'!$L$4="TOUS",AM768&lt;&gt;"ACCEPTÉ")),1,0)</f>
        <v>0</v>
      </c>
      <c r="AR768" s="78" t="str">
        <f aca="false">IF(AQ768=1,SUM(AQ$7:AQ768),"")</f>
        <v/>
      </c>
    </row>
    <row r="769" customFormat="false" ht="15" hidden="false" customHeight="false" outlineLevel="0" collapsed="false">
      <c r="A769" s="78" t="n">
        <f aca="false">IF(E769="","",ROW()-6)</f>
        <v>763</v>
      </c>
      <c r="B769" s="79" t="s">
        <v>586</v>
      </c>
      <c r="C769" s="80"/>
      <c r="D769" s="80"/>
      <c r="E769" s="80" t="s">
        <v>481</v>
      </c>
      <c r="F769" s="80"/>
      <c r="G769" s="80" t="s">
        <v>106</v>
      </c>
      <c r="H769" s="80"/>
      <c r="I769" s="80"/>
      <c r="J769" s="80"/>
      <c r="K769" s="80"/>
      <c r="L769" s="81" t="str">
        <f aca="false">IF(K769="","",IFERROR(INDEX(BARDAGE!$C$7:$C$1506,MATCH(K769,BARDAGE!$B$7:$B$1506,0)),"? hors registre"))</f>
        <v/>
      </c>
      <c r="M769" s="80"/>
      <c r="N769" s="81" t="str">
        <f aca="false">IF(M769="","",IFERROR(INDEX(BARDAGE!$C$7:$C$1506,MATCH(M769,BARDAGE!$B$7:$B$1506,0)),"? hors registre"))</f>
        <v/>
      </c>
      <c r="O769" s="80"/>
      <c r="P769" s="80"/>
      <c r="Q769" s="80"/>
      <c r="R769" s="82"/>
      <c r="S769" s="82"/>
      <c r="T769" s="80"/>
      <c r="U769" s="80"/>
      <c r="V769" s="82"/>
      <c r="W769" s="80"/>
      <c r="X769" s="80"/>
      <c r="Y769" s="80"/>
      <c r="Z769" s="80"/>
      <c r="AA769" s="82"/>
      <c r="AB769" s="80"/>
      <c r="AC769" s="80"/>
      <c r="AD769" s="80"/>
      <c r="AE769" s="80"/>
      <c r="AF769" s="82"/>
      <c r="AG769" s="80"/>
      <c r="AH769" s="80"/>
      <c r="AI769" s="82"/>
      <c r="AJ769" s="79"/>
      <c r="AK769" s="78" t="n">
        <f aca="false">IF(E769="","",(X769&lt;&gt;"")+(AC769&lt;&gt;"")+(AH769&lt;&gt;""))</f>
        <v>0</v>
      </c>
      <c r="AL769" s="81" t="str">
        <f aca="false">IF(AH769&lt;&gt;"",AH769,IF(AC769&lt;&gt;"",AC769,IF(X769&lt;&gt;"",X769,"")))</f>
        <v/>
      </c>
      <c r="AM769" s="83" t="str">
        <f aca="false">IF(E769="","",IF(R769="","À SOUDER",IF(U769="","VT EN ATTENTE",IF(U769="R","VT REJETÉ – À REPRENDRE",IF(AL769="","À RADIOGRAPHIER",IF(AL769="A","ACCEPTÉ",IF(AL769="NX","NX – RT À REFAIRE",IF(IF(AK769=1,Z769,IF(AK769=2,AE769,""))="A","RÉPARÉ – À RADIOGRAPHIER",IF(IF(AK769=1,Z769,IF(AK769=2,AE769,""))="R","VT REJETÉ – À REPRENDRE",IF(OR(AL769="CO",AL769="NT"),"COUPE – À RESOUDER","À RÉPARER"))))))))))</f>
        <v>À SOUDER</v>
      </c>
      <c r="AN769" s="81" t="str">
        <f aca="false">IF(AND(ISNUMBER(R769),OR(AM769="À RADIOGRAPHIER",AM769="RÉPARÉ – À RADIOGRAPHIER",AM769="NX – RT À REFAIRE",AM769="À RÉPARER",AM769="COUPE – À RESOUDER",AM769="VT REJETÉ – À REPRENDRE")),MAX(0,'PROGRAMME RT'!$C$4-R769),"")</f>
        <v/>
      </c>
      <c r="AO769" s="78" t="n">
        <f aca="false">IF(AND(OR(AM769="À RADIOGRAPHIER",AM769="RÉPARÉ – À RADIOGRAPHIER",AM769="NX – RT À REFAIRE"),OR('PROGRAMME RT'!$D$5="TOUTES",B769='PROGRAMME RT'!$D$5)),1,0)</f>
        <v>0</v>
      </c>
      <c r="AP769" s="78" t="str">
        <f aca="false">IF(AO769=1,SUM(AO$7:AO769),"")</f>
        <v/>
      </c>
      <c r="AQ769" s="78" t="n">
        <f aca="false">IF(AND(OR(X769="R",X769="NX",X769="NT",X769="CO"),OR('JOINTS DE RÉPARATION'!$D$5="TOUTES",B769='JOINTS DE RÉPARATION'!$D$5),OR('JOINTS DE RÉPARATION'!$L$4="TOUS",AM769&lt;&gt;"ACCEPTÉ")),1,0)</f>
        <v>0</v>
      </c>
      <c r="AR769" s="78" t="str">
        <f aca="false">IF(AQ769=1,SUM(AQ$7:AQ769),"")</f>
        <v/>
      </c>
    </row>
    <row r="770" customFormat="false" ht="15" hidden="false" customHeight="false" outlineLevel="0" collapsed="false">
      <c r="A770" s="78" t="n">
        <f aca="false">IF(E770="","",ROW()-6)</f>
        <v>764</v>
      </c>
      <c r="B770" s="79" t="s">
        <v>586</v>
      </c>
      <c r="C770" s="80"/>
      <c r="D770" s="80"/>
      <c r="E770" s="80" t="s">
        <v>483</v>
      </c>
      <c r="F770" s="80"/>
      <c r="G770" s="80" t="s">
        <v>106</v>
      </c>
      <c r="H770" s="80"/>
      <c r="I770" s="80"/>
      <c r="J770" s="80"/>
      <c r="K770" s="80"/>
      <c r="L770" s="81" t="str">
        <f aca="false">IF(K770="","",IFERROR(INDEX(BARDAGE!$C$7:$C$1506,MATCH(K770,BARDAGE!$B$7:$B$1506,0)),"? hors registre"))</f>
        <v/>
      </c>
      <c r="M770" s="80"/>
      <c r="N770" s="81" t="str">
        <f aca="false">IF(M770="","",IFERROR(INDEX(BARDAGE!$C$7:$C$1506,MATCH(M770,BARDAGE!$B$7:$B$1506,0)),"? hors registre"))</f>
        <v/>
      </c>
      <c r="O770" s="80"/>
      <c r="P770" s="80"/>
      <c r="Q770" s="80"/>
      <c r="R770" s="82"/>
      <c r="S770" s="82"/>
      <c r="T770" s="80"/>
      <c r="U770" s="80"/>
      <c r="V770" s="82"/>
      <c r="W770" s="80"/>
      <c r="X770" s="80"/>
      <c r="Y770" s="80"/>
      <c r="Z770" s="80"/>
      <c r="AA770" s="82"/>
      <c r="AB770" s="80"/>
      <c r="AC770" s="80"/>
      <c r="AD770" s="80"/>
      <c r="AE770" s="80"/>
      <c r="AF770" s="82"/>
      <c r="AG770" s="80"/>
      <c r="AH770" s="80"/>
      <c r="AI770" s="82"/>
      <c r="AJ770" s="79"/>
      <c r="AK770" s="78" t="n">
        <f aca="false">IF(E770="","",(X770&lt;&gt;"")+(AC770&lt;&gt;"")+(AH770&lt;&gt;""))</f>
        <v>0</v>
      </c>
      <c r="AL770" s="81" t="str">
        <f aca="false">IF(AH770&lt;&gt;"",AH770,IF(AC770&lt;&gt;"",AC770,IF(X770&lt;&gt;"",X770,"")))</f>
        <v/>
      </c>
      <c r="AM770" s="83" t="str">
        <f aca="false">IF(E770="","",IF(R770="","À SOUDER",IF(U770="","VT EN ATTENTE",IF(U770="R","VT REJETÉ – À REPRENDRE",IF(AL770="","À RADIOGRAPHIER",IF(AL770="A","ACCEPTÉ",IF(AL770="NX","NX – RT À REFAIRE",IF(IF(AK770=1,Z770,IF(AK770=2,AE770,""))="A","RÉPARÉ – À RADIOGRAPHIER",IF(IF(AK770=1,Z770,IF(AK770=2,AE770,""))="R","VT REJETÉ – À REPRENDRE",IF(OR(AL770="CO",AL770="NT"),"COUPE – À RESOUDER","À RÉPARER"))))))))))</f>
        <v>À SOUDER</v>
      </c>
      <c r="AN770" s="81" t="str">
        <f aca="false">IF(AND(ISNUMBER(R770),OR(AM770="À RADIOGRAPHIER",AM770="RÉPARÉ – À RADIOGRAPHIER",AM770="NX – RT À REFAIRE",AM770="À RÉPARER",AM770="COUPE – À RESOUDER",AM770="VT REJETÉ – À REPRENDRE")),MAX(0,'PROGRAMME RT'!$C$4-R770),"")</f>
        <v/>
      </c>
      <c r="AO770" s="78" t="n">
        <f aca="false">IF(AND(OR(AM770="À RADIOGRAPHIER",AM770="RÉPARÉ – À RADIOGRAPHIER",AM770="NX – RT À REFAIRE"),OR('PROGRAMME RT'!$D$5="TOUTES",B770='PROGRAMME RT'!$D$5)),1,0)</f>
        <v>0</v>
      </c>
      <c r="AP770" s="78" t="str">
        <f aca="false">IF(AO770=1,SUM(AO$7:AO770),"")</f>
        <v/>
      </c>
      <c r="AQ770" s="78" t="n">
        <f aca="false">IF(AND(OR(X770="R",X770="NX",X770="NT",X770="CO"),OR('JOINTS DE RÉPARATION'!$D$5="TOUTES",B770='JOINTS DE RÉPARATION'!$D$5),OR('JOINTS DE RÉPARATION'!$L$4="TOUS",AM770&lt;&gt;"ACCEPTÉ")),1,0)</f>
        <v>0</v>
      </c>
      <c r="AR770" s="78" t="str">
        <f aca="false">IF(AQ770=1,SUM(AQ$7:AQ770),"")</f>
        <v/>
      </c>
    </row>
    <row r="771" customFormat="false" ht="15" hidden="false" customHeight="false" outlineLevel="0" collapsed="false">
      <c r="A771" s="78" t="n">
        <f aca="false">IF(E771="","",ROW()-6)</f>
        <v>765</v>
      </c>
      <c r="B771" s="79" t="s">
        <v>586</v>
      </c>
      <c r="C771" s="80"/>
      <c r="D771" s="80"/>
      <c r="E771" s="80" t="s">
        <v>485</v>
      </c>
      <c r="F771" s="80"/>
      <c r="G771" s="80" t="s">
        <v>106</v>
      </c>
      <c r="H771" s="80"/>
      <c r="I771" s="80"/>
      <c r="J771" s="80"/>
      <c r="K771" s="80"/>
      <c r="L771" s="81" t="str">
        <f aca="false">IF(K771="","",IFERROR(INDEX(BARDAGE!$C$7:$C$1506,MATCH(K771,BARDAGE!$B$7:$B$1506,0)),"? hors registre"))</f>
        <v/>
      </c>
      <c r="M771" s="80"/>
      <c r="N771" s="81" t="str">
        <f aca="false">IF(M771="","",IFERROR(INDEX(BARDAGE!$C$7:$C$1506,MATCH(M771,BARDAGE!$B$7:$B$1506,0)),"? hors registre"))</f>
        <v/>
      </c>
      <c r="O771" s="80"/>
      <c r="P771" s="80"/>
      <c r="Q771" s="80"/>
      <c r="R771" s="82"/>
      <c r="S771" s="82"/>
      <c r="T771" s="80"/>
      <c r="U771" s="80"/>
      <c r="V771" s="82"/>
      <c r="W771" s="80"/>
      <c r="X771" s="80"/>
      <c r="Y771" s="80"/>
      <c r="Z771" s="80"/>
      <c r="AA771" s="82"/>
      <c r="AB771" s="80"/>
      <c r="AC771" s="80"/>
      <c r="AD771" s="80"/>
      <c r="AE771" s="80"/>
      <c r="AF771" s="82"/>
      <c r="AG771" s="80"/>
      <c r="AH771" s="80"/>
      <c r="AI771" s="82"/>
      <c r="AJ771" s="79"/>
      <c r="AK771" s="78" t="n">
        <f aca="false">IF(E771="","",(X771&lt;&gt;"")+(AC771&lt;&gt;"")+(AH771&lt;&gt;""))</f>
        <v>0</v>
      </c>
      <c r="AL771" s="81" t="str">
        <f aca="false">IF(AH771&lt;&gt;"",AH771,IF(AC771&lt;&gt;"",AC771,IF(X771&lt;&gt;"",X771,"")))</f>
        <v/>
      </c>
      <c r="AM771" s="83" t="str">
        <f aca="false">IF(E771="","",IF(R771="","À SOUDER",IF(U771="","VT EN ATTENTE",IF(U771="R","VT REJETÉ – À REPRENDRE",IF(AL771="","À RADIOGRAPHIER",IF(AL771="A","ACCEPTÉ",IF(AL771="NX","NX – RT À REFAIRE",IF(IF(AK771=1,Z771,IF(AK771=2,AE771,""))="A","RÉPARÉ – À RADIOGRAPHIER",IF(IF(AK771=1,Z771,IF(AK771=2,AE771,""))="R","VT REJETÉ – À REPRENDRE",IF(OR(AL771="CO",AL771="NT"),"COUPE – À RESOUDER","À RÉPARER"))))))))))</f>
        <v>À SOUDER</v>
      </c>
      <c r="AN771" s="81" t="str">
        <f aca="false">IF(AND(ISNUMBER(R771),OR(AM771="À RADIOGRAPHIER",AM771="RÉPARÉ – À RADIOGRAPHIER",AM771="NX – RT À REFAIRE",AM771="À RÉPARER",AM771="COUPE – À RESOUDER",AM771="VT REJETÉ – À REPRENDRE")),MAX(0,'PROGRAMME RT'!$C$4-R771),"")</f>
        <v/>
      </c>
      <c r="AO771" s="78" t="n">
        <f aca="false">IF(AND(OR(AM771="À RADIOGRAPHIER",AM771="RÉPARÉ – À RADIOGRAPHIER",AM771="NX – RT À REFAIRE"),OR('PROGRAMME RT'!$D$5="TOUTES",B771='PROGRAMME RT'!$D$5)),1,0)</f>
        <v>0</v>
      </c>
      <c r="AP771" s="78" t="str">
        <f aca="false">IF(AO771=1,SUM(AO$7:AO771),"")</f>
        <v/>
      </c>
      <c r="AQ771" s="78" t="n">
        <f aca="false">IF(AND(OR(X771="R",X771="NX",X771="NT",X771="CO"),OR('JOINTS DE RÉPARATION'!$D$5="TOUTES",B771='JOINTS DE RÉPARATION'!$D$5),OR('JOINTS DE RÉPARATION'!$L$4="TOUS",AM771&lt;&gt;"ACCEPTÉ")),1,0)</f>
        <v>0</v>
      </c>
      <c r="AR771" s="78" t="str">
        <f aca="false">IF(AQ771=1,SUM(AQ$7:AQ771),"")</f>
        <v/>
      </c>
    </row>
    <row r="772" customFormat="false" ht="15" hidden="false" customHeight="false" outlineLevel="0" collapsed="false">
      <c r="A772" s="78" t="n">
        <f aca="false">IF(E772="","",ROW()-6)</f>
        <v>766</v>
      </c>
      <c r="B772" s="79" t="s">
        <v>586</v>
      </c>
      <c r="C772" s="80"/>
      <c r="D772" s="80"/>
      <c r="E772" s="80" t="s">
        <v>487</v>
      </c>
      <c r="F772" s="80"/>
      <c r="G772" s="80" t="s">
        <v>106</v>
      </c>
      <c r="H772" s="80"/>
      <c r="I772" s="80"/>
      <c r="J772" s="80"/>
      <c r="K772" s="80"/>
      <c r="L772" s="81" t="str">
        <f aca="false">IF(K772="","",IFERROR(INDEX(BARDAGE!$C$7:$C$1506,MATCH(K772,BARDAGE!$B$7:$B$1506,0)),"? hors registre"))</f>
        <v/>
      </c>
      <c r="M772" s="80"/>
      <c r="N772" s="81" t="str">
        <f aca="false">IF(M772="","",IFERROR(INDEX(BARDAGE!$C$7:$C$1506,MATCH(M772,BARDAGE!$B$7:$B$1506,0)),"? hors registre"))</f>
        <v/>
      </c>
      <c r="O772" s="80"/>
      <c r="P772" s="80"/>
      <c r="Q772" s="80"/>
      <c r="R772" s="82"/>
      <c r="S772" s="82"/>
      <c r="T772" s="80"/>
      <c r="U772" s="80"/>
      <c r="V772" s="82"/>
      <c r="W772" s="80"/>
      <c r="X772" s="80"/>
      <c r="Y772" s="80"/>
      <c r="Z772" s="80"/>
      <c r="AA772" s="82"/>
      <c r="AB772" s="80"/>
      <c r="AC772" s="80"/>
      <c r="AD772" s="80"/>
      <c r="AE772" s="80"/>
      <c r="AF772" s="82"/>
      <c r="AG772" s="80"/>
      <c r="AH772" s="80"/>
      <c r="AI772" s="82"/>
      <c r="AJ772" s="79"/>
      <c r="AK772" s="78" t="n">
        <f aca="false">IF(E772="","",(X772&lt;&gt;"")+(AC772&lt;&gt;"")+(AH772&lt;&gt;""))</f>
        <v>0</v>
      </c>
      <c r="AL772" s="81" t="str">
        <f aca="false">IF(AH772&lt;&gt;"",AH772,IF(AC772&lt;&gt;"",AC772,IF(X772&lt;&gt;"",X772,"")))</f>
        <v/>
      </c>
      <c r="AM772" s="83" t="str">
        <f aca="false">IF(E772="","",IF(R772="","À SOUDER",IF(U772="","VT EN ATTENTE",IF(U772="R","VT REJETÉ – À REPRENDRE",IF(AL772="","À RADIOGRAPHIER",IF(AL772="A","ACCEPTÉ",IF(AL772="NX","NX – RT À REFAIRE",IF(IF(AK772=1,Z772,IF(AK772=2,AE772,""))="A","RÉPARÉ – À RADIOGRAPHIER",IF(IF(AK772=1,Z772,IF(AK772=2,AE772,""))="R","VT REJETÉ – À REPRENDRE",IF(OR(AL772="CO",AL772="NT"),"COUPE – À RESOUDER","À RÉPARER"))))))))))</f>
        <v>À SOUDER</v>
      </c>
      <c r="AN772" s="81" t="str">
        <f aca="false">IF(AND(ISNUMBER(R772),OR(AM772="À RADIOGRAPHIER",AM772="RÉPARÉ – À RADIOGRAPHIER",AM772="NX – RT À REFAIRE",AM772="À RÉPARER",AM772="COUPE – À RESOUDER",AM772="VT REJETÉ – À REPRENDRE")),MAX(0,'PROGRAMME RT'!$C$4-R772),"")</f>
        <v/>
      </c>
      <c r="AO772" s="78" t="n">
        <f aca="false">IF(AND(OR(AM772="À RADIOGRAPHIER",AM772="RÉPARÉ – À RADIOGRAPHIER",AM772="NX – RT À REFAIRE"),OR('PROGRAMME RT'!$D$5="TOUTES",B772='PROGRAMME RT'!$D$5)),1,0)</f>
        <v>0</v>
      </c>
      <c r="AP772" s="78" t="str">
        <f aca="false">IF(AO772=1,SUM(AO$7:AO772),"")</f>
        <v/>
      </c>
      <c r="AQ772" s="78" t="n">
        <f aca="false">IF(AND(OR(X772="R",X772="NX",X772="NT",X772="CO"),OR('JOINTS DE RÉPARATION'!$D$5="TOUTES",B772='JOINTS DE RÉPARATION'!$D$5),OR('JOINTS DE RÉPARATION'!$L$4="TOUS",AM772&lt;&gt;"ACCEPTÉ")),1,0)</f>
        <v>0</v>
      </c>
      <c r="AR772" s="78" t="str">
        <f aca="false">IF(AQ772=1,SUM(AQ$7:AQ772),"")</f>
        <v/>
      </c>
    </row>
    <row r="773" customFormat="false" ht="15" hidden="false" customHeight="false" outlineLevel="0" collapsed="false">
      <c r="A773" s="78" t="n">
        <f aca="false">IF(E773="","",ROW()-6)</f>
        <v>767</v>
      </c>
      <c r="B773" s="79" t="s">
        <v>586</v>
      </c>
      <c r="C773" s="80"/>
      <c r="D773" s="80"/>
      <c r="E773" s="80" t="s">
        <v>489</v>
      </c>
      <c r="F773" s="80"/>
      <c r="G773" s="80" t="s">
        <v>106</v>
      </c>
      <c r="H773" s="80"/>
      <c r="I773" s="80"/>
      <c r="J773" s="80"/>
      <c r="K773" s="80"/>
      <c r="L773" s="81" t="str">
        <f aca="false">IF(K773="","",IFERROR(INDEX(BARDAGE!$C$7:$C$1506,MATCH(K773,BARDAGE!$B$7:$B$1506,0)),"? hors registre"))</f>
        <v/>
      </c>
      <c r="M773" s="80"/>
      <c r="N773" s="81" t="str">
        <f aca="false">IF(M773="","",IFERROR(INDEX(BARDAGE!$C$7:$C$1506,MATCH(M773,BARDAGE!$B$7:$B$1506,0)),"? hors registre"))</f>
        <v/>
      </c>
      <c r="O773" s="80"/>
      <c r="P773" s="80"/>
      <c r="Q773" s="80"/>
      <c r="R773" s="82"/>
      <c r="S773" s="82"/>
      <c r="T773" s="80"/>
      <c r="U773" s="80"/>
      <c r="V773" s="82"/>
      <c r="W773" s="80"/>
      <c r="X773" s="80"/>
      <c r="Y773" s="80"/>
      <c r="Z773" s="80"/>
      <c r="AA773" s="82"/>
      <c r="AB773" s="80"/>
      <c r="AC773" s="80"/>
      <c r="AD773" s="80"/>
      <c r="AE773" s="80"/>
      <c r="AF773" s="82"/>
      <c r="AG773" s="80"/>
      <c r="AH773" s="80"/>
      <c r="AI773" s="82"/>
      <c r="AJ773" s="79"/>
      <c r="AK773" s="78" t="n">
        <f aca="false">IF(E773="","",(X773&lt;&gt;"")+(AC773&lt;&gt;"")+(AH773&lt;&gt;""))</f>
        <v>0</v>
      </c>
      <c r="AL773" s="81" t="str">
        <f aca="false">IF(AH773&lt;&gt;"",AH773,IF(AC773&lt;&gt;"",AC773,IF(X773&lt;&gt;"",X773,"")))</f>
        <v/>
      </c>
      <c r="AM773" s="83" t="str">
        <f aca="false">IF(E773="","",IF(R773="","À SOUDER",IF(U773="","VT EN ATTENTE",IF(U773="R","VT REJETÉ – À REPRENDRE",IF(AL773="","À RADIOGRAPHIER",IF(AL773="A","ACCEPTÉ",IF(AL773="NX","NX – RT À REFAIRE",IF(IF(AK773=1,Z773,IF(AK773=2,AE773,""))="A","RÉPARÉ – À RADIOGRAPHIER",IF(IF(AK773=1,Z773,IF(AK773=2,AE773,""))="R","VT REJETÉ – À REPRENDRE",IF(OR(AL773="CO",AL773="NT"),"COUPE – À RESOUDER","À RÉPARER"))))))))))</f>
        <v>À SOUDER</v>
      </c>
      <c r="AN773" s="81" t="str">
        <f aca="false">IF(AND(ISNUMBER(R773),OR(AM773="À RADIOGRAPHIER",AM773="RÉPARÉ – À RADIOGRAPHIER",AM773="NX – RT À REFAIRE",AM773="À RÉPARER",AM773="COUPE – À RESOUDER",AM773="VT REJETÉ – À REPRENDRE")),MAX(0,'PROGRAMME RT'!$C$4-R773),"")</f>
        <v/>
      </c>
      <c r="AO773" s="78" t="n">
        <f aca="false">IF(AND(OR(AM773="À RADIOGRAPHIER",AM773="RÉPARÉ – À RADIOGRAPHIER",AM773="NX – RT À REFAIRE"),OR('PROGRAMME RT'!$D$5="TOUTES",B773='PROGRAMME RT'!$D$5)),1,0)</f>
        <v>0</v>
      </c>
      <c r="AP773" s="78" t="str">
        <f aca="false">IF(AO773=1,SUM(AO$7:AO773),"")</f>
        <v/>
      </c>
      <c r="AQ773" s="78" t="n">
        <f aca="false">IF(AND(OR(X773="R",X773="NX",X773="NT",X773="CO"),OR('JOINTS DE RÉPARATION'!$D$5="TOUTES",B773='JOINTS DE RÉPARATION'!$D$5),OR('JOINTS DE RÉPARATION'!$L$4="TOUS",AM773&lt;&gt;"ACCEPTÉ")),1,0)</f>
        <v>0</v>
      </c>
      <c r="AR773" s="78" t="str">
        <f aca="false">IF(AQ773=1,SUM(AQ$7:AQ773),"")</f>
        <v/>
      </c>
    </row>
    <row r="774" customFormat="false" ht="15" hidden="false" customHeight="false" outlineLevel="0" collapsed="false">
      <c r="A774" s="78" t="n">
        <f aca="false">IF(E774="","",ROW()-6)</f>
        <v>768</v>
      </c>
      <c r="B774" s="79" t="s">
        <v>586</v>
      </c>
      <c r="C774" s="80"/>
      <c r="D774" s="80"/>
      <c r="E774" s="80" t="s">
        <v>490</v>
      </c>
      <c r="F774" s="80"/>
      <c r="G774" s="80" t="s">
        <v>106</v>
      </c>
      <c r="H774" s="80"/>
      <c r="I774" s="80"/>
      <c r="J774" s="80"/>
      <c r="K774" s="80"/>
      <c r="L774" s="81" t="str">
        <f aca="false">IF(K774="","",IFERROR(INDEX(BARDAGE!$C$7:$C$1506,MATCH(K774,BARDAGE!$B$7:$B$1506,0)),"? hors registre"))</f>
        <v/>
      </c>
      <c r="M774" s="80"/>
      <c r="N774" s="81" t="str">
        <f aca="false">IF(M774="","",IFERROR(INDEX(BARDAGE!$C$7:$C$1506,MATCH(M774,BARDAGE!$B$7:$B$1506,0)),"? hors registre"))</f>
        <v/>
      </c>
      <c r="O774" s="80"/>
      <c r="P774" s="80"/>
      <c r="Q774" s="80"/>
      <c r="R774" s="82"/>
      <c r="S774" s="82"/>
      <c r="T774" s="80"/>
      <c r="U774" s="80"/>
      <c r="V774" s="82"/>
      <c r="W774" s="80"/>
      <c r="X774" s="80"/>
      <c r="Y774" s="80"/>
      <c r="Z774" s="80"/>
      <c r="AA774" s="82"/>
      <c r="AB774" s="80"/>
      <c r="AC774" s="80"/>
      <c r="AD774" s="80"/>
      <c r="AE774" s="80"/>
      <c r="AF774" s="82"/>
      <c r="AG774" s="80"/>
      <c r="AH774" s="80"/>
      <c r="AI774" s="82"/>
      <c r="AJ774" s="79"/>
      <c r="AK774" s="78" t="n">
        <f aca="false">IF(E774="","",(X774&lt;&gt;"")+(AC774&lt;&gt;"")+(AH774&lt;&gt;""))</f>
        <v>0</v>
      </c>
      <c r="AL774" s="81" t="str">
        <f aca="false">IF(AH774&lt;&gt;"",AH774,IF(AC774&lt;&gt;"",AC774,IF(X774&lt;&gt;"",X774,"")))</f>
        <v/>
      </c>
      <c r="AM774" s="83" t="str">
        <f aca="false">IF(E774="","",IF(R774="","À SOUDER",IF(U774="","VT EN ATTENTE",IF(U774="R","VT REJETÉ – À REPRENDRE",IF(AL774="","À RADIOGRAPHIER",IF(AL774="A","ACCEPTÉ",IF(AL774="NX","NX – RT À REFAIRE",IF(IF(AK774=1,Z774,IF(AK774=2,AE774,""))="A","RÉPARÉ – À RADIOGRAPHIER",IF(IF(AK774=1,Z774,IF(AK774=2,AE774,""))="R","VT REJETÉ – À REPRENDRE",IF(OR(AL774="CO",AL774="NT"),"COUPE – À RESOUDER","À RÉPARER"))))))))))</f>
        <v>À SOUDER</v>
      </c>
      <c r="AN774" s="81" t="str">
        <f aca="false">IF(AND(ISNUMBER(R774),OR(AM774="À RADIOGRAPHIER",AM774="RÉPARÉ – À RADIOGRAPHIER",AM774="NX – RT À REFAIRE",AM774="À RÉPARER",AM774="COUPE – À RESOUDER",AM774="VT REJETÉ – À REPRENDRE")),MAX(0,'PROGRAMME RT'!$C$4-R774),"")</f>
        <v/>
      </c>
      <c r="AO774" s="78" t="n">
        <f aca="false">IF(AND(OR(AM774="À RADIOGRAPHIER",AM774="RÉPARÉ – À RADIOGRAPHIER",AM774="NX – RT À REFAIRE"),OR('PROGRAMME RT'!$D$5="TOUTES",B774='PROGRAMME RT'!$D$5)),1,0)</f>
        <v>0</v>
      </c>
      <c r="AP774" s="78" t="str">
        <f aca="false">IF(AO774=1,SUM(AO$7:AO774),"")</f>
        <v/>
      </c>
      <c r="AQ774" s="78" t="n">
        <f aca="false">IF(AND(OR(X774="R",X774="NX",X774="NT",X774="CO"),OR('JOINTS DE RÉPARATION'!$D$5="TOUTES",B774='JOINTS DE RÉPARATION'!$D$5),OR('JOINTS DE RÉPARATION'!$L$4="TOUS",AM774&lt;&gt;"ACCEPTÉ")),1,0)</f>
        <v>0</v>
      </c>
      <c r="AR774" s="78" t="str">
        <f aca="false">IF(AQ774=1,SUM(AQ$7:AQ774),"")</f>
        <v/>
      </c>
    </row>
    <row r="775" customFormat="false" ht="15" hidden="false" customHeight="false" outlineLevel="0" collapsed="false">
      <c r="A775" s="78" t="n">
        <f aca="false">IF(E775="","",ROW()-6)</f>
        <v>769</v>
      </c>
      <c r="B775" s="79" t="s">
        <v>586</v>
      </c>
      <c r="C775" s="80"/>
      <c r="D775" s="80"/>
      <c r="E775" s="80" t="s">
        <v>492</v>
      </c>
      <c r="F775" s="80"/>
      <c r="G775" s="80" t="s">
        <v>106</v>
      </c>
      <c r="H775" s="80"/>
      <c r="I775" s="80"/>
      <c r="J775" s="80"/>
      <c r="K775" s="80"/>
      <c r="L775" s="81" t="str">
        <f aca="false">IF(K775="","",IFERROR(INDEX(BARDAGE!$C$7:$C$1506,MATCH(K775,BARDAGE!$B$7:$B$1506,0)),"? hors registre"))</f>
        <v/>
      </c>
      <c r="M775" s="80"/>
      <c r="N775" s="81" t="str">
        <f aca="false">IF(M775="","",IFERROR(INDEX(BARDAGE!$C$7:$C$1506,MATCH(M775,BARDAGE!$B$7:$B$1506,0)),"? hors registre"))</f>
        <v/>
      </c>
      <c r="O775" s="80"/>
      <c r="P775" s="80"/>
      <c r="Q775" s="80"/>
      <c r="R775" s="82"/>
      <c r="S775" s="82"/>
      <c r="T775" s="80"/>
      <c r="U775" s="80"/>
      <c r="V775" s="82"/>
      <c r="W775" s="80"/>
      <c r="X775" s="80"/>
      <c r="Y775" s="80"/>
      <c r="Z775" s="80"/>
      <c r="AA775" s="82"/>
      <c r="AB775" s="80"/>
      <c r="AC775" s="80"/>
      <c r="AD775" s="80"/>
      <c r="AE775" s="80"/>
      <c r="AF775" s="82"/>
      <c r="AG775" s="80"/>
      <c r="AH775" s="80"/>
      <c r="AI775" s="82"/>
      <c r="AJ775" s="79"/>
      <c r="AK775" s="78" t="n">
        <f aca="false">IF(E775="","",(X775&lt;&gt;"")+(AC775&lt;&gt;"")+(AH775&lt;&gt;""))</f>
        <v>0</v>
      </c>
      <c r="AL775" s="81" t="str">
        <f aca="false">IF(AH775&lt;&gt;"",AH775,IF(AC775&lt;&gt;"",AC775,IF(X775&lt;&gt;"",X775,"")))</f>
        <v/>
      </c>
      <c r="AM775" s="83" t="str">
        <f aca="false">IF(E775="","",IF(R775="","À SOUDER",IF(U775="","VT EN ATTENTE",IF(U775="R","VT REJETÉ – À REPRENDRE",IF(AL775="","À RADIOGRAPHIER",IF(AL775="A","ACCEPTÉ",IF(AL775="NX","NX – RT À REFAIRE",IF(IF(AK775=1,Z775,IF(AK775=2,AE775,""))="A","RÉPARÉ – À RADIOGRAPHIER",IF(IF(AK775=1,Z775,IF(AK775=2,AE775,""))="R","VT REJETÉ – À REPRENDRE",IF(OR(AL775="CO",AL775="NT"),"COUPE – À RESOUDER","À RÉPARER"))))))))))</f>
        <v>À SOUDER</v>
      </c>
      <c r="AN775" s="81" t="str">
        <f aca="false">IF(AND(ISNUMBER(R775),OR(AM775="À RADIOGRAPHIER",AM775="RÉPARÉ – À RADIOGRAPHIER",AM775="NX – RT À REFAIRE",AM775="À RÉPARER",AM775="COUPE – À RESOUDER",AM775="VT REJETÉ – À REPRENDRE")),MAX(0,'PROGRAMME RT'!$C$4-R775),"")</f>
        <v/>
      </c>
      <c r="AO775" s="78" t="n">
        <f aca="false">IF(AND(OR(AM775="À RADIOGRAPHIER",AM775="RÉPARÉ – À RADIOGRAPHIER",AM775="NX – RT À REFAIRE"),OR('PROGRAMME RT'!$D$5="TOUTES",B775='PROGRAMME RT'!$D$5)),1,0)</f>
        <v>0</v>
      </c>
      <c r="AP775" s="78" t="str">
        <f aca="false">IF(AO775=1,SUM(AO$7:AO775),"")</f>
        <v/>
      </c>
      <c r="AQ775" s="78" t="n">
        <f aca="false">IF(AND(OR(X775="R",X775="NX",X775="NT",X775="CO"),OR('JOINTS DE RÉPARATION'!$D$5="TOUTES",B775='JOINTS DE RÉPARATION'!$D$5),OR('JOINTS DE RÉPARATION'!$L$4="TOUS",AM775&lt;&gt;"ACCEPTÉ")),1,0)</f>
        <v>0</v>
      </c>
      <c r="AR775" s="78" t="str">
        <f aca="false">IF(AQ775=1,SUM(AQ$7:AQ775),"")</f>
        <v/>
      </c>
    </row>
    <row r="776" customFormat="false" ht="15" hidden="false" customHeight="false" outlineLevel="0" collapsed="false">
      <c r="A776" s="78" t="n">
        <f aca="false">IF(E776="","",ROW()-6)</f>
        <v>770</v>
      </c>
      <c r="B776" s="79" t="s">
        <v>586</v>
      </c>
      <c r="C776" s="80"/>
      <c r="D776" s="80"/>
      <c r="E776" s="80" t="s">
        <v>494</v>
      </c>
      <c r="F776" s="80"/>
      <c r="G776" s="80" t="s">
        <v>106</v>
      </c>
      <c r="H776" s="80"/>
      <c r="I776" s="80"/>
      <c r="J776" s="80"/>
      <c r="K776" s="80"/>
      <c r="L776" s="81" t="str">
        <f aca="false">IF(K776="","",IFERROR(INDEX(BARDAGE!$C$7:$C$1506,MATCH(K776,BARDAGE!$B$7:$B$1506,0)),"? hors registre"))</f>
        <v/>
      </c>
      <c r="M776" s="80"/>
      <c r="N776" s="81" t="str">
        <f aca="false">IF(M776="","",IFERROR(INDEX(BARDAGE!$C$7:$C$1506,MATCH(M776,BARDAGE!$B$7:$B$1506,0)),"? hors registre"))</f>
        <v/>
      </c>
      <c r="O776" s="80"/>
      <c r="P776" s="80"/>
      <c r="Q776" s="80"/>
      <c r="R776" s="82"/>
      <c r="S776" s="82"/>
      <c r="T776" s="80"/>
      <c r="U776" s="80"/>
      <c r="V776" s="82"/>
      <c r="W776" s="80"/>
      <c r="X776" s="80"/>
      <c r="Y776" s="80"/>
      <c r="Z776" s="80"/>
      <c r="AA776" s="82"/>
      <c r="AB776" s="80"/>
      <c r="AC776" s="80"/>
      <c r="AD776" s="80"/>
      <c r="AE776" s="80"/>
      <c r="AF776" s="82"/>
      <c r="AG776" s="80"/>
      <c r="AH776" s="80"/>
      <c r="AI776" s="82"/>
      <c r="AJ776" s="79"/>
      <c r="AK776" s="78" t="n">
        <f aca="false">IF(E776="","",(X776&lt;&gt;"")+(AC776&lt;&gt;"")+(AH776&lt;&gt;""))</f>
        <v>0</v>
      </c>
      <c r="AL776" s="81" t="str">
        <f aca="false">IF(AH776&lt;&gt;"",AH776,IF(AC776&lt;&gt;"",AC776,IF(X776&lt;&gt;"",X776,"")))</f>
        <v/>
      </c>
      <c r="AM776" s="83" t="str">
        <f aca="false">IF(E776="","",IF(R776="","À SOUDER",IF(U776="","VT EN ATTENTE",IF(U776="R","VT REJETÉ – À REPRENDRE",IF(AL776="","À RADIOGRAPHIER",IF(AL776="A","ACCEPTÉ",IF(AL776="NX","NX – RT À REFAIRE",IF(IF(AK776=1,Z776,IF(AK776=2,AE776,""))="A","RÉPARÉ – À RADIOGRAPHIER",IF(IF(AK776=1,Z776,IF(AK776=2,AE776,""))="R","VT REJETÉ – À REPRENDRE",IF(OR(AL776="CO",AL776="NT"),"COUPE – À RESOUDER","À RÉPARER"))))))))))</f>
        <v>À SOUDER</v>
      </c>
      <c r="AN776" s="81" t="str">
        <f aca="false">IF(AND(ISNUMBER(R776),OR(AM776="À RADIOGRAPHIER",AM776="RÉPARÉ – À RADIOGRAPHIER",AM776="NX – RT À REFAIRE",AM776="À RÉPARER",AM776="COUPE – À RESOUDER",AM776="VT REJETÉ – À REPRENDRE")),MAX(0,'PROGRAMME RT'!$C$4-R776),"")</f>
        <v/>
      </c>
      <c r="AO776" s="78" t="n">
        <f aca="false">IF(AND(OR(AM776="À RADIOGRAPHIER",AM776="RÉPARÉ – À RADIOGRAPHIER",AM776="NX – RT À REFAIRE"),OR('PROGRAMME RT'!$D$5="TOUTES",B776='PROGRAMME RT'!$D$5)),1,0)</f>
        <v>0</v>
      </c>
      <c r="AP776" s="78" t="str">
        <f aca="false">IF(AO776=1,SUM(AO$7:AO776),"")</f>
        <v/>
      </c>
      <c r="AQ776" s="78" t="n">
        <f aca="false">IF(AND(OR(X776="R",X776="NX",X776="NT",X776="CO"),OR('JOINTS DE RÉPARATION'!$D$5="TOUTES",B776='JOINTS DE RÉPARATION'!$D$5),OR('JOINTS DE RÉPARATION'!$L$4="TOUS",AM776&lt;&gt;"ACCEPTÉ")),1,0)</f>
        <v>0</v>
      </c>
      <c r="AR776" s="78" t="str">
        <f aca="false">IF(AQ776=1,SUM(AQ$7:AQ776),"")</f>
        <v/>
      </c>
    </row>
    <row r="777" customFormat="false" ht="15" hidden="false" customHeight="false" outlineLevel="0" collapsed="false">
      <c r="A777" s="78" t="n">
        <f aca="false">IF(E777="","",ROW()-6)</f>
        <v>771</v>
      </c>
      <c r="B777" s="79" t="s">
        <v>586</v>
      </c>
      <c r="C777" s="80"/>
      <c r="D777" s="80"/>
      <c r="E777" s="80" t="s">
        <v>496</v>
      </c>
      <c r="F777" s="80"/>
      <c r="G777" s="80" t="s">
        <v>106</v>
      </c>
      <c r="H777" s="80"/>
      <c r="I777" s="80"/>
      <c r="J777" s="80"/>
      <c r="K777" s="80"/>
      <c r="L777" s="81" t="str">
        <f aca="false">IF(K777="","",IFERROR(INDEX(BARDAGE!$C$7:$C$1506,MATCH(K777,BARDAGE!$B$7:$B$1506,0)),"? hors registre"))</f>
        <v/>
      </c>
      <c r="M777" s="80"/>
      <c r="N777" s="81" t="str">
        <f aca="false">IF(M777="","",IFERROR(INDEX(BARDAGE!$C$7:$C$1506,MATCH(M777,BARDAGE!$B$7:$B$1506,0)),"? hors registre"))</f>
        <v/>
      </c>
      <c r="O777" s="80"/>
      <c r="P777" s="80"/>
      <c r="Q777" s="80"/>
      <c r="R777" s="82"/>
      <c r="S777" s="82"/>
      <c r="T777" s="80"/>
      <c r="U777" s="80"/>
      <c r="V777" s="82"/>
      <c r="W777" s="80"/>
      <c r="X777" s="80"/>
      <c r="Y777" s="80"/>
      <c r="Z777" s="80"/>
      <c r="AA777" s="82"/>
      <c r="AB777" s="80"/>
      <c r="AC777" s="80"/>
      <c r="AD777" s="80"/>
      <c r="AE777" s="80"/>
      <c r="AF777" s="82"/>
      <c r="AG777" s="80"/>
      <c r="AH777" s="80"/>
      <c r="AI777" s="82"/>
      <c r="AJ777" s="79"/>
      <c r="AK777" s="78" t="n">
        <f aca="false">IF(E777="","",(X777&lt;&gt;"")+(AC777&lt;&gt;"")+(AH777&lt;&gt;""))</f>
        <v>0</v>
      </c>
      <c r="AL777" s="81" t="str">
        <f aca="false">IF(AH777&lt;&gt;"",AH777,IF(AC777&lt;&gt;"",AC777,IF(X777&lt;&gt;"",X777,"")))</f>
        <v/>
      </c>
      <c r="AM777" s="83" t="str">
        <f aca="false">IF(E777="","",IF(R777="","À SOUDER",IF(U777="","VT EN ATTENTE",IF(U777="R","VT REJETÉ – À REPRENDRE",IF(AL777="","À RADIOGRAPHIER",IF(AL777="A","ACCEPTÉ",IF(AL777="NX","NX – RT À REFAIRE",IF(IF(AK777=1,Z777,IF(AK777=2,AE777,""))="A","RÉPARÉ – À RADIOGRAPHIER",IF(IF(AK777=1,Z777,IF(AK777=2,AE777,""))="R","VT REJETÉ – À REPRENDRE",IF(OR(AL777="CO",AL777="NT"),"COUPE – À RESOUDER","À RÉPARER"))))))))))</f>
        <v>À SOUDER</v>
      </c>
      <c r="AN777" s="81" t="str">
        <f aca="false">IF(AND(ISNUMBER(R777),OR(AM777="À RADIOGRAPHIER",AM777="RÉPARÉ – À RADIOGRAPHIER",AM777="NX – RT À REFAIRE",AM777="À RÉPARER",AM777="COUPE – À RESOUDER",AM777="VT REJETÉ – À REPRENDRE")),MAX(0,'PROGRAMME RT'!$C$4-R777),"")</f>
        <v/>
      </c>
      <c r="AO777" s="78" t="n">
        <f aca="false">IF(AND(OR(AM777="À RADIOGRAPHIER",AM777="RÉPARÉ – À RADIOGRAPHIER",AM777="NX – RT À REFAIRE"),OR('PROGRAMME RT'!$D$5="TOUTES",B777='PROGRAMME RT'!$D$5)),1,0)</f>
        <v>0</v>
      </c>
      <c r="AP777" s="78" t="str">
        <f aca="false">IF(AO777=1,SUM(AO$7:AO777),"")</f>
        <v/>
      </c>
      <c r="AQ777" s="78" t="n">
        <f aca="false">IF(AND(OR(X777="R",X777="NX",X777="NT",X777="CO"),OR('JOINTS DE RÉPARATION'!$D$5="TOUTES",B777='JOINTS DE RÉPARATION'!$D$5),OR('JOINTS DE RÉPARATION'!$L$4="TOUS",AM777&lt;&gt;"ACCEPTÉ")),1,0)</f>
        <v>0</v>
      </c>
      <c r="AR777" s="78" t="str">
        <f aca="false">IF(AQ777=1,SUM(AQ$7:AQ777),"")</f>
        <v/>
      </c>
    </row>
    <row r="778" customFormat="false" ht="15" hidden="false" customHeight="false" outlineLevel="0" collapsed="false">
      <c r="A778" s="78" t="n">
        <f aca="false">IF(E778="","",ROW()-6)</f>
        <v>772</v>
      </c>
      <c r="B778" s="79" t="s">
        <v>586</v>
      </c>
      <c r="C778" s="80"/>
      <c r="D778" s="80"/>
      <c r="E778" s="80" t="s">
        <v>498</v>
      </c>
      <c r="F778" s="80"/>
      <c r="G778" s="80" t="s">
        <v>106</v>
      </c>
      <c r="H778" s="80"/>
      <c r="I778" s="80"/>
      <c r="J778" s="80"/>
      <c r="K778" s="80"/>
      <c r="L778" s="81" t="str">
        <f aca="false">IF(K778="","",IFERROR(INDEX(BARDAGE!$C$7:$C$1506,MATCH(K778,BARDAGE!$B$7:$B$1506,0)),"? hors registre"))</f>
        <v/>
      </c>
      <c r="M778" s="80"/>
      <c r="N778" s="81" t="str">
        <f aca="false">IF(M778="","",IFERROR(INDEX(BARDAGE!$C$7:$C$1506,MATCH(M778,BARDAGE!$B$7:$B$1506,0)),"? hors registre"))</f>
        <v/>
      </c>
      <c r="O778" s="80"/>
      <c r="P778" s="80"/>
      <c r="Q778" s="80"/>
      <c r="R778" s="82"/>
      <c r="S778" s="82"/>
      <c r="T778" s="80"/>
      <c r="U778" s="80"/>
      <c r="V778" s="82"/>
      <c r="W778" s="80"/>
      <c r="X778" s="80"/>
      <c r="Y778" s="80"/>
      <c r="Z778" s="80"/>
      <c r="AA778" s="82"/>
      <c r="AB778" s="80"/>
      <c r="AC778" s="80"/>
      <c r="AD778" s="80"/>
      <c r="AE778" s="80"/>
      <c r="AF778" s="82"/>
      <c r="AG778" s="80"/>
      <c r="AH778" s="80"/>
      <c r="AI778" s="82"/>
      <c r="AJ778" s="79"/>
      <c r="AK778" s="78" t="n">
        <f aca="false">IF(E778="","",(X778&lt;&gt;"")+(AC778&lt;&gt;"")+(AH778&lt;&gt;""))</f>
        <v>0</v>
      </c>
      <c r="AL778" s="81" t="str">
        <f aca="false">IF(AH778&lt;&gt;"",AH778,IF(AC778&lt;&gt;"",AC778,IF(X778&lt;&gt;"",X778,"")))</f>
        <v/>
      </c>
      <c r="AM778" s="83" t="str">
        <f aca="false">IF(E778="","",IF(R778="","À SOUDER",IF(U778="","VT EN ATTENTE",IF(U778="R","VT REJETÉ – À REPRENDRE",IF(AL778="","À RADIOGRAPHIER",IF(AL778="A","ACCEPTÉ",IF(AL778="NX","NX – RT À REFAIRE",IF(IF(AK778=1,Z778,IF(AK778=2,AE778,""))="A","RÉPARÉ – À RADIOGRAPHIER",IF(IF(AK778=1,Z778,IF(AK778=2,AE778,""))="R","VT REJETÉ – À REPRENDRE",IF(OR(AL778="CO",AL778="NT"),"COUPE – À RESOUDER","À RÉPARER"))))))))))</f>
        <v>À SOUDER</v>
      </c>
      <c r="AN778" s="81" t="str">
        <f aca="false">IF(AND(ISNUMBER(R778),OR(AM778="À RADIOGRAPHIER",AM778="RÉPARÉ – À RADIOGRAPHIER",AM778="NX – RT À REFAIRE",AM778="À RÉPARER",AM778="COUPE – À RESOUDER",AM778="VT REJETÉ – À REPRENDRE")),MAX(0,'PROGRAMME RT'!$C$4-R778),"")</f>
        <v/>
      </c>
      <c r="AO778" s="78" t="n">
        <f aca="false">IF(AND(OR(AM778="À RADIOGRAPHIER",AM778="RÉPARÉ – À RADIOGRAPHIER",AM778="NX – RT À REFAIRE"),OR('PROGRAMME RT'!$D$5="TOUTES",B778='PROGRAMME RT'!$D$5)),1,0)</f>
        <v>0</v>
      </c>
      <c r="AP778" s="78" t="str">
        <f aca="false">IF(AO778=1,SUM(AO$7:AO778),"")</f>
        <v/>
      </c>
      <c r="AQ778" s="78" t="n">
        <f aca="false">IF(AND(OR(X778="R",X778="NX",X778="NT",X778="CO"),OR('JOINTS DE RÉPARATION'!$D$5="TOUTES",B778='JOINTS DE RÉPARATION'!$D$5),OR('JOINTS DE RÉPARATION'!$L$4="TOUS",AM778&lt;&gt;"ACCEPTÉ")),1,0)</f>
        <v>0</v>
      </c>
      <c r="AR778" s="78" t="str">
        <f aca="false">IF(AQ778=1,SUM(AQ$7:AQ778),"")</f>
        <v/>
      </c>
    </row>
    <row r="779" customFormat="false" ht="15" hidden="false" customHeight="false" outlineLevel="0" collapsed="false">
      <c r="A779" s="78" t="n">
        <f aca="false">IF(E779="","",ROW()-6)</f>
        <v>773</v>
      </c>
      <c r="B779" s="79" t="s">
        <v>586</v>
      </c>
      <c r="C779" s="80"/>
      <c r="D779" s="80"/>
      <c r="E779" s="80" t="s">
        <v>502</v>
      </c>
      <c r="F779" s="80"/>
      <c r="G779" s="80" t="s">
        <v>106</v>
      </c>
      <c r="H779" s="80"/>
      <c r="I779" s="80"/>
      <c r="J779" s="80"/>
      <c r="K779" s="80"/>
      <c r="L779" s="81" t="str">
        <f aca="false">IF(K779="","",IFERROR(INDEX(BARDAGE!$C$7:$C$1506,MATCH(K779,BARDAGE!$B$7:$B$1506,0)),"? hors registre"))</f>
        <v/>
      </c>
      <c r="M779" s="80"/>
      <c r="N779" s="81" t="str">
        <f aca="false">IF(M779="","",IFERROR(INDEX(BARDAGE!$C$7:$C$1506,MATCH(M779,BARDAGE!$B$7:$B$1506,0)),"? hors registre"))</f>
        <v/>
      </c>
      <c r="O779" s="80"/>
      <c r="P779" s="80"/>
      <c r="Q779" s="80"/>
      <c r="R779" s="82"/>
      <c r="S779" s="82"/>
      <c r="T779" s="80"/>
      <c r="U779" s="80"/>
      <c r="V779" s="82"/>
      <c r="W779" s="80"/>
      <c r="X779" s="80"/>
      <c r="Y779" s="80"/>
      <c r="Z779" s="80"/>
      <c r="AA779" s="82"/>
      <c r="AB779" s="80"/>
      <c r="AC779" s="80"/>
      <c r="AD779" s="80"/>
      <c r="AE779" s="80"/>
      <c r="AF779" s="82"/>
      <c r="AG779" s="80"/>
      <c r="AH779" s="80"/>
      <c r="AI779" s="82"/>
      <c r="AJ779" s="79"/>
      <c r="AK779" s="78" t="n">
        <f aca="false">IF(E779="","",(X779&lt;&gt;"")+(AC779&lt;&gt;"")+(AH779&lt;&gt;""))</f>
        <v>0</v>
      </c>
      <c r="AL779" s="81" t="str">
        <f aca="false">IF(AH779&lt;&gt;"",AH779,IF(AC779&lt;&gt;"",AC779,IF(X779&lt;&gt;"",X779,"")))</f>
        <v/>
      </c>
      <c r="AM779" s="83" t="str">
        <f aca="false">IF(E779="","",IF(R779="","À SOUDER",IF(U779="","VT EN ATTENTE",IF(U779="R","VT REJETÉ – À REPRENDRE",IF(AL779="","À RADIOGRAPHIER",IF(AL779="A","ACCEPTÉ",IF(AL779="NX","NX – RT À REFAIRE",IF(IF(AK779=1,Z779,IF(AK779=2,AE779,""))="A","RÉPARÉ – À RADIOGRAPHIER",IF(IF(AK779=1,Z779,IF(AK779=2,AE779,""))="R","VT REJETÉ – À REPRENDRE",IF(OR(AL779="CO",AL779="NT"),"COUPE – À RESOUDER","À RÉPARER"))))))))))</f>
        <v>À SOUDER</v>
      </c>
      <c r="AN779" s="81" t="str">
        <f aca="false">IF(AND(ISNUMBER(R779),OR(AM779="À RADIOGRAPHIER",AM779="RÉPARÉ – À RADIOGRAPHIER",AM779="NX – RT À REFAIRE",AM779="À RÉPARER",AM779="COUPE – À RESOUDER",AM779="VT REJETÉ – À REPRENDRE")),MAX(0,'PROGRAMME RT'!$C$4-R779),"")</f>
        <v/>
      </c>
      <c r="AO779" s="78" t="n">
        <f aca="false">IF(AND(OR(AM779="À RADIOGRAPHIER",AM779="RÉPARÉ – À RADIOGRAPHIER",AM779="NX – RT À REFAIRE"),OR('PROGRAMME RT'!$D$5="TOUTES",B779='PROGRAMME RT'!$D$5)),1,0)</f>
        <v>0</v>
      </c>
      <c r="AP779" s="78" t="str">
        <f aca="false">IF(AO779=1,SUM(AO$7:AO779),"")</f>
        <v/>
      </c>
      <c r="AQ779" s="78" t="n">
        <f aca="false">IF(AND(OR(X779="R",X779="NX",X779="NT",X779="CO"),OR('JOINTS DE RÉPARATION'!$D$5="TOUTES",B779='JOINTS DE RÉPARATION'!$D$5),OR('JOINTS DE RÉPARATION'!$L$4="TOUS",AM779&lt;&gt;"ACCEPTÉ")),1,0)</f>
        <v>0</v>
      </c>
      <c r="AR779" s="78" t="str">
        <f aca="false">IF(AQ779=1,SUM(AQ$7:AQ779),"")</f>
        <v/>
      </c>
    </row>
    <row r="780" customFormat="false" ht="15" hidden="false" customHeight="false" outlineLevel="0" collapsed="false">
      <c r="A780" s="78" t="n">
        <f aca="false">IF(E780="","",ROW()-6)</f>
        <v>774</v>
      </c>
      <c r="B780" s="79" t="s">
        <v>586</v>
      </c>
      <c r="C780" s="80"/>
      <c r="D780" s="80"/>
      <c r="E780" s="80" t="s">
        <v>505</v>
      </c>
      <c r="F780" s="80"/>
      <c r="G780" s="80" t="s">
        <v>106</v>
      </c>
      <c r="H780" s="80"/>
      <c r="I780" s="80"/>
      <c r="J780" s="80"/>
      <c r="K780" s="80"/>
      <c r="L780" s="81" t="str">
        <f aca="false">IF(K780="","",IFERROR(INDEX(BARDAGE!$C$7:$C$1506,MATCH(K780,BARDAGE!$B$7:$B$1506,0)),"? hors registre"))</f>
        <v/>
      </c>
      <c r="M780" s="80"/>
      <c r="N780" s="81" t="str">
        <f aca="false">IF(M780="","",IFERROR(INDEX(BARDAGE!$C$7:$C$1506,MATCH(M780,BARDAGE!$B$7:$B$1506,0)),"? hors registre"))</f>
        <v/>
      </c>
      <c r="O780" s="80"/>
      <c r="P780" s="80"/>
      <c r="Q780" s="80"/>
      <c r="R780" s="82"/>
      <c r="S780" s="82"/>
      <c r="T780" s="80"/>
      <c r="U780" s="80"/>
      <c r="V780" s="82"/>
      <c r="W780" s="80"/>
      <c r="X780" s="80"/>
      <c r="Y780" s="80"/>
      <c r="Z780" s="80"/>
      <c r="AA780" s="82"/>
      <c r="AB780" s="80"/>
      <c r="AC780" s="80"/>
      <c r="AD780" s="80"/>
      <c r="AE780" s="80"/>
      <c r="AF780" s="82"/>
      <c r="AG780" s="80"/>
      <c r="AH780" s="80"/>
      <c r="AI780" s="82"/>
      <c r="AJ780" s="79"/>
      <c r="AK780" s="78" t="n">
        <f aca="false">IF(E780="","",(X780&lt;&gt;"")+(AC780&lt;&gt;"")+(AH780&lt;&gt;""))</f>
        <v>0</v>
      </c>
      <c r="AL780" s="81" t="str">
        <f aca="false">IF(AH780&lt;&gt;"",AH780,IF(AC780&lt;&gt;"",AC780,IF(X780&lt;&gt;"",X780,"")))</f>
        <v/>
      </c>
      <c r="AM780" s="83" t="str">
        <f aca="false">IF(E780="","",IF(R780="","À SOUDER",IF(U780="","VT EN ATTENTE",IF(U780="R","VT REJETÉ – À REPRENDRE",IF(AL780="","À RADIOGRAPHIER",IF(AL780="A","ACCEPTÉ",IF(AL780="NX","NX – RT À REFAIRE",IF(IF(AK780=1,Z780,IF(AK780=2,AE780,""))="A","RÉPARÉ – À RADIOGRAPHIER",IF(IF(AK780=1,Z780,IF(AK780=2,AE780,""))="R","VT REJETÉ – À REPRENDRE",IF(OR(AL780="CO",AL780="NT"),"COUPE – À RESOUDER","À RÉPARER"))))))))))</f>
        <v>À SOUDER</v>
      </c>
      <c r="AN780" s="81" t="str">
        <f aca="false">IF(AND(ISNUMBER(R780),OR(AM780="À RADIOGRAPHIER",AM780="RÉPARÉ – À RADIOGRAPHIER",AM780="NX – RT À REFAIRE",AM780="À RÉPARER",AM780="COUPE – À RESOUDER",AM780="VT REJETÉ – À REPRENDRE")),MAX(0,'PROGRAMME RT'!$C$4-R780),"")</f>
        <v/>
      </c>
      <c r="AO780" s="78" t="n">
        <f aca="false">IF(AND(OR(AM780="À RADIOGRAPHIER",AM780="RÉPARÉ – À RADIOGRAPHIER",AM780="NX – RT À REFAIRE"),OR('PROGRAMME RT'!$D$5="TOUTES",B780='PROGRAMME RT'!$D$5)),1,0)</f>
        <v>0</v>
      </c>
      <c r="AP780" s="78" t="str">
        <f aca="false">IF(AO780=1,SUM(AO$7:AO780),"")</f>
        <v/>
      </c>
      <c r="AQ780" s="78" t="n">
        <f aca="false">IF(AND(OR(X780="R",X780="NX",X780="NT",X780="CO"),OR('JOINTS DE RÉPARATION'!$D$5="TOUTES",B780='JOINTS DE RÉPARATION'!$D$5),OR('JOINTS DE RÉPARATION'!$L$4="TOUS",AM780&lt;&gt;"ACCEPTÉ")),1,0)</f>
        <v>0</v>
      </c>
      <c r="AR780" s="78" t="str">
        <f aca="false">IF(AQ780=1,SUM(AQ$7:AQ780),"")</f>
        <v/>
      </c>
    </row>
    <row r="781" customFormat="false" ht="15" hidden="false" customHeight="false" outlineLevel="0" collapsed="false">
      <c r="A781" s="78" t="n">
        <f aca="false">IF(E781="","",ROW()-6)</f>
        <v>775</v>
      </c>
      <c r="B781" s="79" t="s">
        <v>586</v>
      </c>
      <c r="C781" s="80"/>
      <c r="D781" s="80"/>
      <c r="E781" s="80" t="s">
        <v>507</v>
      </c>
      <c r="F781" s="80"/>
      <c r="G781" s="80" t="s">
        <v>106</v>
      </c>
      <c r="H781" s="80"/>
      <c r="I781" s="80"/>
      <c r="J781" s="80"/>
      <c r="K781" s="80"/>
      <c r="L781" s="81" t="str">
        <f aca="false">IF(K781="","",IFERROR(INDEX(BARDAGE!$C$7:$C$1506,MATCH(K781,BARDAGE!$B$7:$B$1506,0)),"? hors registre"))</f>
        <v/>
      </c>
      <c r="M781" s="80"/>
      <c r="N781" s="81" t="str">
        <f aca="false">IF(M781="","",IFERROR(INDEX(BARDAGE!$C$7:$C$1506,MATCH(M781,BARDAGE!$B$7:$B$1506,0)),"? hors registre"))</f>
        <v/>
      </c>
      <c r="O781" s="80"/>
      <c r="P781" s="80"/>
      <c r="Q781" s="80"/>
      <c r="R781" s="82"/>
      <c r="S781" s="82"/>
      <c r="T781" s="80"/>
      <c r="U781" s="80"/>
      <c r="V781" s="82"/>
      <c r="W781" s="80"/>
      <c r="X781" s="80"/>
      <c r="Y781" s="80"/>
      <c r="Z781" s="80"/>
      <c r="AA781" s="82"/>
      <c r="AB781" s="80"/>
      <c r="AC781" s="80"/>
      <c r="AD781" s="80"/>
      <c r="AE781" s="80"/>
      <c r="AF781" s="82"/>
      <c r="AG781" s="80"/>
      <c r="AH781" s="80"/>
      <c r="AI781" s="82"/>
      <c r="AJ781" s="79"/>
      <c r="AK781" s="78" t="n">
        <f aca="false">IF(E781="","",(X781&lt;&gt;"")+(AC781&lt;&gt;"")+(AH781&lt;&gt;""))</f>
        <v>0</v>
      </c>
      <c r="AL781" s="81" t="str">
        <f aca="false">IF(AH781&lt;&gt;"",AH781,IF(AC781&lt;&gt;"",AC781,IF(X781&lt;&gt;"",X781,"")))</f>
        <v/>
      </c>
      <c r="AM781" s="83" t="str">
        <f aca="false">IF(E781="","",IF(R781="","À SOUDER",IF(U781="","VT EN ATTENTE",IF(U781="R","VT REJETÉ – À REPRENDRE",IF(AL781="","À RADIOGRAPHIER",IF(AL781="A","ACCEPTÉ",IF(AL781="NX","NX – RT À REFAIRE",IF(IF(AK781=1,Z781,IF(AK781=2,AE781,""))="A","RÉPARÉ – À RADIOGRAPHIER",IF(IF(AK781=1,Z781,IF(AK781=2,AE781,""))="R","VT REJETÉ – À REPRENDRE",IF(OR(AL781="CO",AL781="NT"),"COUPE – À RESOUDER","À RÉPARER"))))))))))</f>
        <v>À SOUDER</v>
      </c>
      <c r="AN781" s="81" t="str">
        <f aca="false">IF(AND(ISNUMBER(R781),OR(AM781="À RADIOGRAPHIER",AM781="RÉPARÉ – À RADIOGRAPHIER",AM781="NX – RT À REFAIRE",AM781="À RÉPARER",AM781="COUPE – À RESOUDER",AM781="VT REJETÉ – À REPRENDRE")),MAX(0,'PROGRAMME RT'!$C$4-R781),"")</f>
        <v/>
      </c>
      <c r="AO781" s="78" t="n">
        <f aca="false">IF(AND(OR(AM781="À RADIOGRAPHIER",AM781="RÉPARÉ – À RADIOGRAPHIER",AM781="NX – RT À REFAIRE"),OR('PROGRAMME RT'!$D$5="TOUTES",B781='PROGRAMME RT'!$D$5)),1,0)</f>
        <v>0</v>
      </c>
      <c r="AP781" s="78" t="str">
        <f aca="false">IF(AO781=1,SUM(AO$7:AO781),"")</f>
        <v/>
      </c>
      <c r="AQ781" s="78" t="n">
        <f aca="false">IF(AND(OR(X781="R",X781="NX",X781="NT",X781="CO"),OR('JOINTS DE RÉPARATION'!$D$5="TOUTES",B781='JOINTS DE RÉPARATION'!$D$5),OR('JOINTS DE RÉPARATION'!$L$4="TOUS",AM781&lt;&gt;"ACCEPTÉ")),1,0)</f>
        <v>0</v>
      </c>
      <c r="AR781" s="78" t="str">
        <f aca="false">IF(AQ781=1,SUM(AQ$7:AQ781),"")</f>
        <v/>
      </c>
    </row>
    <row r="782" customFormat="false" ht="15" hidden="false" customHeight="false" outlineLevel="0" collapsed="false">
      <c r="A782" s="78" t="n">
        <f aca="false">IF(E782="","",ROW()-6)</f>
        <v>776</v>
      </c>
      <c r="B782" s="79" t="s">
        <v>586</v>
      </c>
      <c r="C782" s="80"/>
      <c r="D782" s="80"/>
      <c r="E782" s="80" t="s">
        <v>509</v>
      </c>
      <c r="F782" s="80"/>
      <c r="G782" s="80" t="s">
        <v>106</v>
      </c>
      <c r="H782" s="80"/>
      <c r="I782" s="80"/>
      <c r="J782" s="80"/>
      <c r="K782" s="80"/>
      <c r="L782" s="81" t="str">
        <f aca="false">IF(K782="","",IFERROR(INDEX(BARDAGE!$C$7:$C$1506,MATCH(K782,BARDAGE!$B$7:$B$1506,0)),"? hors registre"))</f>
        <v/>
      </c>
      <c r="M782" s="80"/>
      <c r="N782" s="81" t="str">
        <f aca="false">IF(M782="","",IFERROR(INDEX(BARDAGE!$C$7:$C$1506,MATCH(M782,BARDAGE!$B$7:$B$1506,0)),"? hors registre"))</f>
        <v/>
      </c>
      <c r="O782" s="80"/>
      <c r="P782" s="80"/>
      <c r="Q782" s="80"/>
      <c r="R782" s="82"/>
      <c r="S782" s="82"/>
      <c r="T782" s="80"/>
      <c r="U782" s="80"/>
      <c r="V782" s="82"/>
      <c r="W782" s="80"/>
      <c r="X782" s="80"/>
      <c r="Y782" s="80"/>
      <c r="Z782" s="80"/>
      <c r="AA782" s="82"/>
      <c r="AB782" s="80"/>
      <c r="AC782" s="80"/>
      <c r="AD782" s="80"/>
      <c r="AE782" s="80"/>
      <c r="AF782" s="82"/>
      <c r="AG782" s="80"/>
      <c r="AH782" s="80"/>
      <c r="AI782" s="82"/>
      <c r="AJ782" s="79"/>
      <c r="AK782" s="78" t="n">
        <f aca="false">IF(E782="","",(X782&lt;&gt;"")+(AC782&lt;&gt;"")+(AH782&lt;&gt;""))</f>
        <v>0</v>
      </c>
      <c r="AL782" s="81" t="str">
        <f aca="false">IF(AH782&lt;&gt;"",AH782,IF(AC782&lt;&gt;"",AC782,IF(X782&lt;&gt;"",X782,"")))</f>
        <v/>
      </c>
      <c r="AM782" s="83" t="str">
        <f aca="false">IF(E782="","",IF(R782="","À SOUDER",IF(U782="","VT EN ATTENTE",IF(U782="R","VT REJETÉ – À REPRENDRE",IF(AL782="","À RADIOGRAPHIER",IF(AL782="A","ACCEPTÉ",IF(AL782="NX","NX – RT À REFAIRE",IF(IF(AK782=1,Z782,IF(AK782=2,AE782,""))="A","RÉPARÉ – À RADIOGRAPHIER",IF(IF(AK782=1,Z782,IF(AK782=2,AE782,""))="R","VT REJETÉ – À REPRENDRE",IF(OR(AL782="CO",AL782="NT"),"COUPE – À RESOUDER","À RÉPARER"))))))))))</f>
        <v>À SOUDER</v>
      </c>
      <c r="AN782" s="81" t="str">
        <f aca="false">IF(AND(ISNUMBER(R782),OR(AM782="À RADIOGRAPHIER",AM782="RÉPARÉ – À RADIOGRAPHIER",AM782="NX – RT À REFAIRE",AM782="À RÉPARER",AM782="COUPE – À RESOUDER",AM782="VT REJETÉ – À REPRENDRE")),MAX(0,'PROGRAMME RT'!$C$4-R782),"")</f>
        <v/>
      </c>
      <c r="AO782" s="78" t="n">
        <f aca="false">IF(AND(OR(AM782="À RADIOGRAPHIER",AM782="RÉPARÉ – À RADIOGRAPHIER",AM782="NX – RT À REFAIRE"),OR('PROGRAMME RT'!$D$5="TOUTES",B782='PROGRAMME RT'!$D$5)),1,0)</f>
        <v>0</v>
      </c>
      <c r="AP782" s="78" t="str">
        <f aca="false">IF(AO782=1,SUM(AO$7:AO782),"")</f>
        <v/>
      </c>
      <c r="AQ782" s="78" t="n">
        <f aca="false">IF(AND(OR(X782="R",X782="NX",X782="NT",X782="CO"),OR('JOINTS DE RÉPARATION'!$D$5="TOUTES",B782='JOINTS DE RÉPARATION'!$D$5),OR('JOINTS DE RÉPARATION'!$L$4="TOUS",AM782&lt;&gt;"ACCEPTÉ")),1,0)</f>
        <v>0</v>
      </c>
      <c r="AR782" s="78" t="str">
        <f aca="false">IF(AQ782=1,SUM(AQ$7:AQ782),"")</f>
        <v/>
      </c>
    </row>
    <row r="783" customFormat="false" ht="15" hidden="false" customHeight="false" outlineLevel="0" collapsed="false">
      <c r="A783" s="78" t="n">
        <f aca="false">IF(E783="","",ROW()-6)</f>
        <v>777</v>
      </c>
      <c r="B783" s="79" t="s">
        <v>586</v>
      </c>
      <c r="C783" s="80"/>
      <c r="D783" s="80"/>
      <c r="E783" s="80" t="s">
        <v>511</v>
      </c>
      <c r="F783" s="80"/>
      <c r="G783" s="80" t="s">
        <v>106</v>
      </c>
      <c r="H783" s="80"/>
      <c r="I783" s="80"/>
      <c r="J783" s="80"/>
      <c r="K783" s="80"/>
      <c r="L783" s="81" t="str">
        <f aca="false">IF(K783="","",IFERROR(INDEX(BARDAGE!$C$7:$C$1506,MATCH(K783,BARDAGE!$B$7:$B$1506,0)),"? hors registre"))</f>
        <v/>
      </c>
      <c r="M783" s="80"/>
      <c r="N783" s="81" t="str">
        <f aca="false">IF(M783="","",IFERROR(INDEX(BARDAGE!$C$7:$C$1506,MATCH(M783,BARDAGE!$B$7:$B$1506,0)),"? hors registre"))</f>
        <v/>
      </c>
      <c r="O783" s="80"/>
      <c r="P783" s="80"/>
      <c r="Q783" s="80"/>
      <c r="R783" s="82"/>
      <c r="S783" s="82"/>
      <c r="T783" s="80"/>
      <c r="U783" s="80"/>
      <c r="V783" s="82"/>
      <c r="W783" s="80"/>
      <c r="X783" s="80"/>
      <c r="Y783" s="80"/>
      <c r="Z783" s="80"/>
      <c r="AA783" s="82"/>
      <c r="AB783" s="80"/>
      <c r="AC783" s="80"/>
      <c r="AD783" s="80"/>
      <c r="AE783" s="80"/>
      <c r="AF783" s="82"/>
      <c r="AG783" s="80"/>
      <c r="AH783" s="80"/>
      <c r="AI783" s="82"/>
      <c r="AJ783" s="79"/>
      <c r="AK783" s="78" t="n">
        <f aca="false">IF(E783="","",(X783&lt;&gt;"")+(AC783&lt;&gt;"")+(AH783&lt;&gt;""))</f>
        <v>0</v>
      </c>
      <c r="AL783" s="81" t="str">
        <f aca="false">IF(AH783&lt;&gt;"",AH783,IF(AC783&lt;&gt;"",AC783,IF(X783&lt;&gt;"",X783,"")))</f>
        <v/>
      </c>
      <c r="AM783" s="83" t="str">
        <f aca="false">IF(E783="","",IF(R783="","À SOUDER",IF(U783="","VT EN ATTENTE",IF(U783="R","VT REJETÉ – À REPRENDRE",IF(AL783="","À RADIOGRAPHIER",IF(AL783="A","ACCEPTÉ",IF(AL783="NX","NX – RT À REFAIRE",IF(IF(AK783=1,Z783,IF(AK783=2,AE783,""))="A","RÉPARÉ – À RADIOGRAPHIER",IF(IF(AK783=1,Z783,IF(AK783=2,AE783,""))="R","VT REJETÉ – À REPRENDRE",IF(OR(AL783="CO",AL783="NT"),"COUPE – À RESOUDER","À RÉPARER"))))))))))</f>
        <v>À SOUDER</v>
      </c>
      <c r="AN783" s="81" t="str">
        <f aca="false">IF(AND(ISNUMBER(R783),OR(AM783="À RADIOGRAPHIER",AM783="RÉPARÉ – À RADIOGRAPHIER",AM783="NX – RT À REFAIRE",AM783="À RÉPARER",AM783="COUPE – À RESOUDER",AM783="VT REJETÉ – À REPRENDRE")),MAX(0,'PROGRAMME RT'!$C$4-R783),"")</f>
        <v/>
      </c>
      <c r="AO783" s="78" t="n">
        <f aca="false">IF(AND(OR(AM783="À RADIOGRAPHIER",AM783="RÉPARÉ – À RADIOGRAPHIER",AM783="NX – RT À REFAIRE"),OR('PROGRAMME RT'!$D$5="TOUTES",B783='PROGRAMME RT'!$D$5)),1,0)</f>
        <v>0</v>
      </c>
      <c r="AP783" s="78" t="str">
        <f aca="false">IF(AO783=1,SUM(AO$7:AO783),"")</f>
        <v/>
      </c>
      <c r="AQ783" s="78" t="n">
        <f aca="false">IF(AND(OR(X783="R",X783="NX",X783="NT",X783="CO"),OR('JOINTS DE RÉPARATION'!$D$5="TOUTES",B783='JOINTS DE RÉPARATION'!$D$5),OR('JOINTS DE RÉPARATION'!$L$4="TOUS",AM783&lt;&gt;"ACCEPTÉ")),1,0)</f>
        <v>0</v>
      </c>
      <c r="AR783" s="78" t="str">
        <f aca="false">IF(AQ783=1,SUM(AQ$7:AQ783),"")</f>
        <v/>
      </c>
    </row>
    <row r="784" customFormat="false" ht="15" hidden="false" customHeight="false" outlineLevel="0" collapsed="false">
      <c r="A784" s="78" t="n">
        <f aca="false">IF(E784="","",ROW()-6)</f>
        <v>778</v>
      </c>
      <c r="B784" s="79" t="s">
        <v>586</v>
      </c>
      <c r="C784" s="80"/>
      <c r="D784" s="80"/>
      <c r="E784" s="80" t="s">
        <v>513</v>
      </c>
      <c r="F784" s="80"/>
      <c r="G784" s="80" t="s">
        <v>106</v>
      </c>
      <c r="H784" s="80"/>
      <c r="I784" s="80"/>
      <c r="J784" s="80"/>
      <c r="K784" s="80"/>
      <c r="L784" s="81" t="str">
        <f aca="false">IF(K784="","",IFERROR(INDEX(BARDAGE!$C$7:$C$1506,MATCH(K784,BARDAGE!$B$7:$B$1506,0)),"? hors registre"))</f>
        <v/>
      </c>
      <c r="M784" s="80"/>
      <c r="N784" s="81" t="str">
        <f aca="false">IF(M784="","",IFERROR(INDEX(BARDAGE!$C$7:$C$1506,MATCH(M784,BARDAGE!$B$7:$B$1506,0)),"? hors registre"))</f>
        <v/>
      </c>
      <c r="O784" s="80"/>
      <c r="P784" s="80"/>
      <c r="Q784" s="80"/>
      <c r="R784" s="82"/>
      <c r="S784" s="82"/>
      <c r="T784" s="80"/>
      <c r="U784" s="80"/>
      <c r="V784" s="82"/>
      <c r="W784" s="80"/>
      <c r="X784" s="80"/>
      <c r="Y784" s="80"/>
      <c r="Z784" s="80"/>
      <c r="AA784" s="82"/>
      <c r="AB784" s="80"/>
      <c r="AC784" s="80"/>
      <c r="AD784" s="80"/>
      <c r="AE784" s="80"/>
      <c r="AF784" s="82"/>
      <c r="AG784" s="80"/>
      <c r="AH784" s="80"/>
      <c r="AI784" s="82"/>
      <c r="AJ784" s="79"/>
      <c r="AK784" s="78" t="n">
        <f aca="false">IF(E784="","",(X784&lt;&gt;"")+(AC784&lt;&gt;"")+(AH784&lt;&gt;""))</f>
        <v>0</v>
      </c>
      <c r="AL784" s="81" t="str">
        <f aca="false">IF(AH784&lt;&gt;"",AH784,IF(AC784&lt;&gt;"",AC784,IF(X784&lt;&gt;"",X784,"")))</f>
        <v/>
      </c>
      <c r="AM784" s="83" t="str">
        <f aca="false">IF(E784="","",IF(R784="","À SOUDER",IF(U784="","VT EN ATTENTE",IF(U784="R","VT REJETÉ – À REPRENDRE",IF(AL784="","À RADIOGRAPHIER",IF(AL784="A","ACCEPTÉ",IF(AL784="NX","NX – RT À REFAIRE",IF(IF(AK784=1,Z784,IF(AK784=2,AE784,""))="A","RÉPARÉ – À RADIOGRAPHIER",IF(IF(AK784=1,Z784,IF(AK784=2,AE784,""))="R","VT REJETÉ – À REPRENDRE",IF(OR(AL784="CO",AL784="NT"),"COUPE – À RESOUDER","À RÉPARER"))))))))))</f>
        <v>À SOUDER</v>
      </c>
      <c r="AN784" s="81" t="str">
        <f aca="false">IF(AND(ISNUMBER(R784),OR(AM784="À RADIOGRAPHIER",AM784="RÉPARÉ – À RADIOGRAPHIER",AM784="NX – RT À REFAIRE",AM784="À RÉPARER",AM784="COUPE – À RESOUDER",AM784="VT REJETÉ – À REPRENDRE")),MAX(0,'PROGRAMME RT'!$C$4-R784),"")</f>
        <v/>
      </c>
      <c r="AO784" s="78" t="n">
        <f aca="false">IF(AND(OR(AM784="À RADIOGRAPHIER",AM784="RÉPARÉ – À RADIOGRAPHIER",AM784="NX – RT À REFAIRE"),OR('PROGRAMME RT'!$D$5="TOUTES",B784='PROGRAMME RT'!$D$5)),1,0)</f>
        <v>0</v>
      </c>
      <c r="AP784" s="78" t="str">
        <f aca="false">IF(AO784=1,SUM(AO$7:AO784),"")</f>
        <v/>
      </c>
      <c r="AQ784" s="78" t="n">
        <f aca="false">IF(AND(OR(X784="R",X784="NX",X784="NT",X784="CO"),OR('JOINTS DE RÉPARATION'!$D$5="TOUTES",B784='JOINTS DE RÉPARATION'!$D$5),OR('JOINTS DE RÉPARATION'!$L$4="TOUS",AM784&lt;&gt;"ACCEPTÉ")),1,0)</f>
        <v>0</v>
      </c>
      <c r="AR784" s="78" t="str">
        <f aca="false">IF(AQ784=1,SUM(AQ$7:AQ784),"")</f>
        <v/>
      </c>
    </row>
    <row r="785" customFormat="false" ht="15" hidden="false" customHeight="false" outlineLevel="0" collapsed="false">
      <c r="A785" s="78" t="n">
        <f aca="false">IF(E785="","",ROW()-6)</f>
        <v>779</v>
      </c>
      <c r="B785" s="79" t="s">
        <v>586</v>
      </c>
      <c r="C785" s="80"/>
      <c r="D785" s="80"/>
      <c r="E785" s="80" t="s">
        <v>515</v>
      </c>
      <c r="F785" s="80"/>
      <c r="G785" s="80" t="s">
        <v>106</v>
      </c>
      <c r="H785" s="80"/>
      <c r="I785" s="80"/>
      <c r="J785" s="80"/>
      <c r="K785" s="80"/>
      <c r="L785" s="81" t="str">
        <f aca="false">IF(K785="","",IFERROR(INDEX(BARDAGE!$C$7:$C$1506,MATCH(K785,BARDAGE!$B$7:$B$1506,0)),"? hors registre"))</f>
        <v/>
      </c>
      <c r="M785" s="80"/>
      <c r="N785" s="81" t="str">
        <f aca="false">IF(M785="","",IFERROR(INDEX(BARDAGE!$C$7:$C$1506,MATCH(M785,BARDAGE!$B$7:$B$1506,0)),"? hors registre"))</f>
        <v/>
      </c>
      <c r="O785" s="80"/>
      <c r="P785" s="80"/>
      <c r="Q785" s="80"/>
      <c r="R785" s="82"/>
      <c r="S785" s="82"/>
      <c r="T785" s="80"/>
      <c r="U785" s="80"/>
      <c r="V785" s="82"/>
      <c r="W785" s="80"/>
      <c r="X785" s="80"/>
      <c r="Y785" s="80"/>
      <c r="Z785" s="80"/>
      <c r="AA785" s="82"/>
      <c r="AB785" s="80"/>
      <c r="AC785" s="80"/>
      <c r="AD785" s="80"/>
      <c r="AE785" s="80"/>
      <c r="AF785" s="82"/>
      <c r="AG785" s="80"/>
      <c r="AH785" s="80"/>
      <c r="AI785" s="82"/>
      <c r="AJ785" s="79"/>
      <c r="AK785" s="78" t="n">
        <f aca="false">IF(E785="","",(X785&lt;&gt;"")+(AC785&lt;&gt;"")+(AH785&lt;&gt;""))</f>
        <v>0</v>
      </c>
      <c r="AL785" s="81" t="str">
        <f aca="false">IF(AH785&lt;&gt;"",AH785,IF(AC785&lt;&gt;"",AC785,IF(X785&lt;&gt;"",X785,"")))</f>
        <v/>
      </c>
      <c r="AM785" s="83" t="str">
        <f aca="false">IF(E785="","",IF(R785="","À SOUDER",IF(U785="","VT EN ATTENTE",IF(U785="R","VT REJETÉ – À REPRENDRE",IF(AL785="","À RADIOGRAPHIER",IF(AL785="A","ACCEPTÉ",IF(AL785="NX","NX – RT À REFAIRE",IF(IF(AK785=1,Z785,IF(AK785=2,AE785,""))="A","RÉPARÉ – À RADIOGRAPHIER",IF(IF(AK785=1,Z785,IF(AK785=2,AE785,""))="R","VT REJETÉ – À REPRENDRE",IF(OR(AL785="CO",AL785="NT"),"COUPE – À RESOUDER","À RÉPARER"))))))))))</f>
        <v>À SOUDER</v>
      </c>
      <c r="AN785" s="81" t="str">
        <f aca="false">IF(AND(ISNUMBER(R785),OR(AM785="À RADIOGRAPHIER",AM785="RÉPARÉ – À RADIOGRAPHIER",AM785="NX – RT À REFAIRE",AM785="À RÉPARER",AM785="COUPE – À RESOUDER",AM785="VT REJETÉ – À REPRENDRE")),MAX(0,'PROGRAMME RT'!$C$4-R785),"")</f>
        <v/>
      </c>
      <c r="AO785" s="78" t="n">
        <f aca="false">IF(AND(OR(AM785="À RADIOGRAPHIER",AM785="RÉPARÉ – À RADIOGRAPHIER",AM785="NX – RT À REFAIRE"),OR('PROGRAMME RT'!$D$5="TOUTES",B785='PROGRAMME RT'!$D$5)),1,0)</f>
        <v>0</v>
      </c>
      <c r="AP785" s="78" t="str">
        <f aca="false">IF(AO785=1,SUM(AO$7:AO785),"")</f>
        <v/>
      </c>
      <c r="AQ785" s="78" t="n">
        <f aca="false">IF(AND(OR(X785="R",X785="NX",X785="NT",X785="CO"),OR('JOINTS DE RÉPARATION'!$D$5="TOUTES",B785='JOINTS DE RÉPARATION'!$D$5),OR('JOINTS DE RÉPARATION'!$L$4="TOUS",AM785&lt;&gt;"ACCEPTÉ")),1,0)</f>
        <v>0</v>
      </c>
      <c r="AR785" s="78" t="str">
        <f aca="false">IF(AQ785=1,SUM(AQ$7:AQ785),"")</f>
        <v/>
      </c>
    </row>
    <row r="786" customFormat="false" ht="15" hidden="false" customHeight="false" outlineLevel="0" collapsed="false">
      <c r="A786" s="78" t="n">
        <f aca="false">IF(E786="","",ROW()-6)</f>
        <v>780</v>
      </c>
      <c r="B786" s="79" t="s">
        <v>586</v>
      </c>
      <c r="C786" s="80"/>
      <c r="D786" s="80"/>
      <c r="E786" s="80" t="s">
        <v>517</v>
      </c>
      <c r="F786" s="80"/>
      <c r="G786" s="80" t="s">
        <v>106</v>
      </c>
      <c r="H786" s="80"/>
      <c r="I786" s="80"/>
      <c r="J786" s="80"/>
      <c r="K786" s="80"/>
      <c r="L786" s="81" t="str">
        <f aca="false">IF(K786="","",IFERROR(INDEX(BARDAGE!$C$7:$C$1506,MATCH(K786,BARDAGE!$B$7:$B$1506,0)),"? hors registre"))</f>
        <v/>
      </c>
      <c r="M786" s="80"/>
      <c r="N786" s="81" t="str">
        <f aca="false">IF(M786="","",IFERROR(INDEX(BARDAGE!$C$7:$C$1506,MATCH(M786,BARDAGE!$B$7:$B$1506,0)),"? hors registre"))</f>
        <v/>
      </c>
      <c r="O786" s="80"/>
      <c r="P786" s="80"/>
      <c r="Q786" s="80"/>
      <c r="R786" s="82"/>
      <c r="S786" s="82"/>
      <c r="T786" s="80"/>
      <c r="U786" s="80"/>
      <c r="V786" s="82"/>
      <c r="W786" s="80"/>
      <c r="X786" s="80"/>
      <c r="Y786" s="80"/>
      <c r="Z786" s="80"/>
      <c r="AA786" s="82"/>
      <c r="AB786" s="80"/>
      <c r="AC786" s="80"/>
      <c r="AD786" s="80"/>
      <c r="AE786" s="80"/>
      <c r="AF786" s="82"/>
      <c r="AG786" s="80"/>
      <c r="AH786" s="80"/>
      <c r="AI786" s="82"/>
      <c r="AJ786" s="79"/>
      <c r="AK786" s="78" t="n">
        <f aca="false">IF(E786="","",(X786&lt;&gt;"")+(AC786&lt;&gt;"")+(AH786&lt;&gt;""))</f>
        <v>0</v>
      </c>
      <c r="AL786" s="81" t="str">
        <f aca="false">IF(AH786&lt;&gt;"",AH786,IF(AC786&lt;&gt;"",AC786,IF(X786&lt;&gt;"",X786,"")))</f>
        <v/>
      </c>
      <c r="AM786" s="83" t="str">
        <f aca="false">IF(E786="","",IF(R786="","À SOUDER",IF(U786="","VT EN ATTENTE",IF(U786="R","VT REJETÉ – À REPRENDRE",IF(AL786="","À RADIOGRAPHIER",IF(AL786="A","ACCEPTÉ",IF(AL786="NX","NX – RT À REFAIRE",IF(IF(AK786=1,Z786,IF(AK786=2,AE786,""))="A","RÉPARÉ – À RADIOGRAPHIER",IF(IF(AK786=1,Z786,IF(AK786=2,AE786,""))="R","VT REJETÉ – À REPRENDRE",IF(OR(AL786="CO",AL786="NT"),"COUPE – À RESOUDER","À RÉPARER"))))))))))</f>
        <v>À SOUDER</v>
      </c>
      <c r="AN786" s="81" t="str">
        <f aca="false">IF(AND(ISNUMBER(R786),OR(AM786="À RADIOGRAPHIER",AM786="RÉPARÉ – À RADIOGRAPHIER",AM786="NX – RT À REFAIRE",AM786="À RÉPARER",AM786="COUPE – À RESOUDER",AM786="VT REJETÉ – À REPRENDRE")),MAX(0,'PROGRAMME RT'!$C$4-R786),"")</f>
        <v/>
      </c>
      <c r="AO786" s="78" t="n">
        <f aca="false">IF(AND(OR(AM786="À RADIOGRAPHIER",AM786="RÉPARÉ – À RADIOGRAPHIER",AM786="NX – RT À REFAIRE"),OR('PROGRAMME RT'!$D$5="TOUTES",B786='PROGRAMME RT'!$D$5)),1,0)</f>
        <v>0</v>
      </c>
      <c r="AP786" s="78" t="str">
        <f aca="false">IF(AO786=1,SUM(AO$7:AO786),"")</f>
        <v/>
      </c>
      <c r="AQ786" s="78" t="n">
        <f aca="false">IF(AND(OR(X786="R",X786="NX",X786="NT",X786="CO"),OR('JOINTS DE RÉPARATION'!$D$5="TOUTES",B786='JOINTS DE RÉPARATION'!$D$5),OR('JOINTS DE RÉPARATION'!$L$4="TOUS",AM786&lt;&gt;"ACCEPTÉ")),1,0)</f>
        <v>0</v>
      </c>
      <c r="AR786" s="78" t="str">
        <f aca="false">IF(AQ786=1,SUM(AQ$7:AQ786),"")</f>
        <v/>
      </c>
    </row>
    <row r="787" customFormat="false" ht="15" hidden="false" customHeight="false" outlineLevel="0" collapsed="false">
      <c r="A787" s="78" t="n">
        <f aca="false">IF(E787="","",ROW()-6)</f>
        <v>781</v>
      </c>
      <c r="B787" s="79" t="s">
        <v>586</v>
      </c>
      <c r="C787" s="80"/>
      <c r="D787" s="80"/>
      <c r="E787" s="80" t="s">
        <v>519</v>
      </c>
      <c r="F787" s="80"/>
      <c r="G787" s="80" t="s">
        <v>106</v>
      </c>
      <c r="H787" s="80"/>
      <c r="I787" s="80"/>
      <c r="J787" s="80"/>
      <c r="K787" s="80"/>
      <c r="L787" s="81" t="str">
        <f aca="false">IF(K787="","",IFERROR(INDEX(BARDAGE!$C$7:$C$1506,MATCH(K787,BARDAGE!$B$7:$B$1506,0)),"? hors registre"))</f>
        <v/>
      </c>
      <c r="M787" s="80"/>
      <c r="N787" s="81" t="str">
        <f aca="false">IF(M787="","",IFERROR(INDEX(BARDAGE!$C$7:$C$1506,MATCH(M787,BARDAGE!$B$7:$B$1506,0)),"? hors registre"))</f>
        <v/>
      </c>
      <c r="O787" s="80"/>
      <c r="P787" s="80"/>
      <c r="Q787" s="80"/>
      <c r="R787" s="82"/>
      <c r="S787" s="82"/>
      <c r="T787" s="80"/>
      <c r="U787" s="80"/>
      <c r="V787" s="82"/>
      <c r="W787" s="80"/>
      <c r="X787" s="80"/>
      <c r="Y787" s="80"/>
      <c r="Z787" s="80"/>
      <c r="AA787" s="82"/>
      <c r="AB787" s="80"/>
      <c r="AC787" s="80"/>
      <c r="AD787" s="80"/>
      <c r="AE787" s="80"/>
      <c r="AF787" s="82"/>
      <c r="AG787" s="80"/>
      <c r="AH787" s="80"/>
      <c r="AI787" s="82"/>
      <c r="AJ787" s="79"/>
      <c r="AK787" s="78" t="n">
        <f aca="false">IF(E787="","",(X787&lt;&gt;"")+(AC787&lt;&gt;"")+(AH787&lt;&gt;""))</f>
        <v>0</v>
      </c>
      <c r="AL787" s="81" t="str">
        <f aca="false">IF(AH787&lt;&gt;"",AH787,IF(AC787&lt;&gt;"",AC787,IF(X787&lt;&gt;"",X787,"")))</f>
        <v/>
      </c>
      <c r="AM787" s="83" t="str">
        <f aca="false">IF(E787="","",IF(R787="","À SOUDER",IF(U787="","VT EN ATTENTE",IF(U787="R","VT REJETÉ – À REPRENDRE",IF(AL787="","À RADIOGRAPHIER",IF(AL787="A","ACCEPTÉ",IF(AL787="NX","NX – RT À REFAIRE",IF(IF(AK787=1,Z787,IF(AK787=2,AE787,""))="A","RÉPARÉ – À RADIOGRAPHIER",IF(IF(AK787=1,Z787,IF(AK787=2,AE787,""))="R","VT REJETÉ – À REPRENDRE",IF(OR(AL787="CO",AL787="NT"),"COUPE – À RESOUDER","À RÉPARER"))))))))))</f>
        <v>À SOUDER</v>
      </c>
      <c r="AN787" s="81" t="str">
        <f aca="false">IF(AND(ISNUMBER(R787),OR(AM787="À RADIOGRAPHIER",AM787="RÉPARÉ – À RADIOGRAPHIER",AM787="NX – RT À REFAIRE",AM787="À RÉPARER",AM787="COUPE – À RESOUDER",AM787="VT REJETÉ – À REPRENDRE")),MAX(0,'PROGRAMME RT'!$C$4-R787),"")</f>
        <v/>
      </c>
      <c r="AO787" s="78" t="n">
        <f aca="false">IF(AND(OR(AM787="À RADIOGRAPHIER",AM787="RÉPARÉ – À RADIOGRAPHIER",AM787="NX – RT À REFAIRE"),OR('PROGRAMME RT'!$D$5="TOUTES",B787='PROGRAMME RT'!$D$5)),1,0)</f>
        <v>0</v>
      </c>
      <c r="AP787" s="78" t="str">
        <f aca="false">IF(AO787=1,SUM(AO$7:AO787),"")</f>
        <v/>
      </c>
      <c r="AQ787" s="78" t="n">
        <f aca="false">IF(AND(OR(X787="R",X787="NX",X787="NT",X787="CO"),OR('JOINTS DE RÉPARATION'!$D$5="TOUTES",B787='JOINTS DE RÉPARATION'!$D$5),OR('JOINTS DE RÉPARATION'!$L$4="TOUS",AM787&lt;&gt;"ACCEPTÉ")),1,0)</f>
        <v>0</v>
      </c>
      <c r="AR787" s="78" t="str">
        <f aca="false">IF(AQ787=1,SUM(AQ$7:AQ787),"")</f>
        <v/>
      </c>
    </row>
    <row r="788" customFormat="false" ht="15" hidden="false" customHeight="false" outlineLevel="0" collapsed="false">
      <c r="A788" s="78" t="n">
        <f aca="false">IF(E788="","",ROW()-6)</f>
        <v>782</v>
      </c>
      <c r="B788" s="79" t="s">
        <v>586</v>
      </c>
      <c r="C788" s="80"/>
      <c r="D788" s="80"/>
      <c r="E788" s="80" t="s">
        <v>521</v>
      </c>
      <c r="F788" s="80"/>
      <c r="G788" s="80" t="s">
        <v>106</v>
      </c>
      <c r="H788" s="80"/>
      <c r="I788" s="80"/>
      <c r="J788" s="80"/>
      <c r="K788" s="80"/>
      <c r="L788" s="81" t="str">
        <f aca="false">IF(K788="","",IFERROR(INDEX(BARDAGE!$C$7:$C$1506,MATCH(K788,BARDAGE!$B$7:$B$1506,0)),"? hors registre"))</f>
        <v/>
      </c>
      <c r="M788" s="80"/>
      <c r="N788" s="81" t="str">
        <f aca="false">IF(M788="","",IFERROR(INDEX(BARDAGE!$C$7:$C$1506,MATCH(M788,BARDAGE!$B$7:$B$1506,0)),"? hors registre"))</f>
        <v/>
      </c>
      <c r="O788" s="80"/>
      <c r="P788" s="80"/>
      <c r="Q788" s="80"/>
      <c r="R788" s="82"/>
      <c r="S788" s="82"/>
      <c r="T788" s="80"/>
      <c r="U788" s="80"/>
      <c r="V788" s="82"/>
      <c r="W788" s="80"/>
      <c r="X788" s="80"/>
      <c r="Y788" s="80"/>
      <c r="Z788" s="80"/>
      <c r="AA788" s="82"/>
      <c r="AB788" s="80"/>
      <c r="AC788" s="80"/>
      <c r="AD788" s="80"/>
      <c r="AE788" s="80"/>
      <c r="AF788" s="82"/>
      <c r="AG788" s="80"/>
      <c r="AH788" s="80"/>
      <c r="AI788" s="82"/>
      <c r="AJ788" s="79"/>
      <c r="AK788" s="78" t="n">
        <f aca="false">IF(E788="","",(X788&lt;&gt;"")+(AC788&lt;&gt;"")+(AH788&lt;&gt;""))</f>
        <v>0</v>
      </c>
      <c r="AL788" s="81" t="str">
        <f aca="false">IF(AH788&lt;&gt;"",AH788,IF(AC788&lt;&gt;"",AC788,IF(X788&lt;&gt;"",X788,"")))</f>
        <v/>
      </c>
      <c r="AM788" s="83" t="str">
        <f aca="false">IF(E788="","",IF(R788="","À SOUDER",IF(U788="","VT EN ATTENTE",IF(U788="R","VT REJETÉ – À REPRENDRE",IF(AL788="","À RADIOGRAPHIER",IF(AL788="A","ACCEPTÉ",IF(AL788="NX","NX – RT À REFAIRE",IF(IF(AK788=1,Z788,IF(AK788=2,AE788,""))="A","RÉPARÉ – À RADIOGRAPHIER",IF(IF(AK788=1,Z788,IF(AK788=2,AE788,""))="R","VT REJETÉ – À REPRENDRE",IF(OR(AL788="CO",AL788="NT"),"COUPE – À RESOUDER","À RÉPARER"))))))))))</f>
        <v>À SOUDER</v>
      </c>
      <c r="AN788" s="81" t="str">
        <f aca="false">IF(AND(ISNUMBER(R788),OR(AM788="À RADIOGRAPHIER",AM788="RÉPARÉ – À RADIOGRAPHIER",AM788="NX – RT À REFAIRE",AM788="À RÉPARER",AM788="COUPE – À RESOUDER",AM788="VT REJETÉ – À REPRENDRE")),MAX(0,'PROGRAMME RT'!$C$4-R788),"")</f>
        <v/>
      </c>
      <c r="AO788" s="78" t="n">
        <f aca="false">IF(AND(OR(AM788="À RADIOGRAPHIER",AM788="RÉPARÉ – À RADIOGRAPHIER",AM788="NX – RT À REFAIRE"),OR('PROGRAMME RT'!$D$5="TOUTES",B788='PROGRAMME RT'!$D$5)),1,0)</f>
        <v>0</v>
      </c>
      <c r="AP788" s="78" t="str">
        <f aca="false">IF(AO788=1,SUM(AO$7:AO788),"")</f>
        <v/>
      </c>
      <c r="AQ788" s="78" t="n">
        <f aca="false">IF(AND(OR(X788="R",X788="NX",X788="NT",X788="CO"),OR('JOINTS DE RÉPARATION'!$D$5="TOUTES",B788='JOINTS DE RÉPARATION'!$D$5),OR('JOINTS DE RÉPARATION'!$L$4="TOUS",AM788&lt;&gt;"ACCEPTÉ")),1,0)</f>
        <v>0</v>
      </c>
      <c r="AR788" s="78" t="str">
        <f aca="false">IF(AQ788=1,SUM(AQ$7:AQ788),"")</f>
        <v/>
      </c>
    </row>
    <row r="789" customFormat="false" ht="15" hidden="false" customHeight="false" outlineLevel="0" collapsed="false">
      <c r="A789" s="78" t="n">
        <f aca="false">IF(E789="","",ROW()-6)</f>
        <v>783</v>
      </c>
      <c r="B789" s="79" t="s">
        <v>586</v>
      </c>
      <c r="C789" s="80"/>
      <c r="D789" s="80"/>
      <c r="E789" s="80" t="s">
        <v>523</v>
      </c>
      <c r="F789" s="80"/>
      <c r="G789" s="80" t="s">
        <v>106</v>
      </c>
      <c r="H789" s="80"/>
      <c r="I789" s="80"/>
      <c r="J789" s="80"/>
      <c r="K789" s="80"/>
      <c r="L789" s="81" t="str">
        <f aca="false">IF(K789="","",IFERROR(INDEX(BARDAGE!$C$7:$C$1506,MATCH(K789,BARDAGE!$B$7:$B$1506,0)),"? hors registre"))</f>
        <v/>
      </c>
      <c r="M789" s="80"/>
      <c r="N789" s="81" t="str">
        <f aca="false">IF(M789="","",IFERROR(INDEX(BARDAGE!$C$7:$C$1506,MATCH(M789,BARDAGE!$B$7:$B$1506,0)),"? hors registre"))</f>
        <v/>
      </c>
      <c r="O789" s="80"/>
      <c r="P789" s="80"/>
      <c r="Q789" s="80"/>
      <c r="R789" s="82"/>
      <c r="S789" s="82"/>
      <c r="T789" s="80"/>
      <c r="U789" s="80"/>
      <c r="V789" s="82"/>
      <c r="W789" s="80"/>
      <c r="X789" s="80"/>
      <c r="Y789" s="80"/>
      <c r="Z789" s="80"/>
      <c r="AA789" s="82"/>
      <c r="AB789" s="80"/>
      <c r="AC789" s="80"/>
      <c r="AD789" s="80"/>
      <c r="AE789" s="80"/>
      <c r="AF789" s="82"/>
      <c r="AG789" s="80"/>
      <c r="AH789" s="80"/>
      <c r="AI789" s="82"/>
      <c r="AJ789" s="79"/>
      <c r="AK789" s="78" t="n">
        <f aca="false">IF(E789="","",(X789&lt;&gt;"")+(AC789&lt;&gt;"")+(AH789&lt;&gt;""))</f>
        <v>0</v>
      </c>
      <c r="AL789" s="81" t="str">
        <f aca="false">IF(AH789&lt;&gt;"",AH789,IF(AC789&lt;&gt;"",AC789,IF(X789&lt;&gt;"",X789,"")))</f>
        <v/>
      </c>
      <c r="AM789" s="83" t="str">
        <f aca="false">IF(E789="","",IF(R789="","À SOUDER",IF(U789="","VT EN ATTENTE",IF(U789="R","VT REJETÉ – À REPRENDRE",IF(AL789="","À RADIOGRAPHIER",IF(AL789="A","ACCEPTÉ",IF(AL789="NX","NX – RT À REFAIRE",IF(IF(AK789=1,Z789,IF(AK789=2,AE789,""))="A","RÉPARÉ – À RADIOGRAPHIER",IF(IF(AK789=1,Z789,IF(AK789=2,AE789,""))="R","VT REJETÉ – À REPRENDRE",IF(OR(AL789="CO",AL789="NT"),"COUPE – À RESOUDER","À RÉPARER"))))))))))</f>
        <v>À SOUDER</v>
      </c>
      <c r="AN789" s="81" t="str">
        <f aca="false">IF(AND(ISNUMBER(R789),OR(AM789="À RADIOGRAPHIER",AM789="RÉPARÉ – À RADIOGRAPHIER",AM789="NX – RT À REFAIRE",AM789="À RÉPARER",AM789="COUPE – À RESOUDER",AM789="VT REJETÉ – À REPRENDRE")),MAX(0,'PROGRAMME RT'!$C$4-R789),"")</f>
        <v/>
      </c>
      <c r="AO789" s="78" t="n">
        <f aca="false">IF(AND(OR(AM789="À RADIOGRAPHIER",AM789="RÉPARÉ – À RADIOGRAPHIER",AM789="NX – RT À REFAIRE"),OR('PROGRAMME RT'!$D$5="TOUTES",B789='PROGRAMME RT'!$D$5)),1,0)</f>
        <v>0</v>
      </c>
      <c r="AP789" s="78" t="str">
        <f aca="false">IF(AO789=1,SUM(AO$7:AO789),"")</f>
        <v/>
      </c>
      <c r="AQ789" s="78" t="n">
        <f aca="false">IF(AND(OR(X789="R",X789="NX",X789="NT",X789="CO"),OR('JOINTS DE RÉPARATION'!$D$5="TOUTES",B789='JOINTS DE RÉPARATION'!$D$5),OR('JOINTS DE RÉPARATION'!$L$4="TOUS",AM789&lt;&gt;"ACCEPTÉ")),1,0)</f>
        <v>0</v>
      </c>
      <c r="AR789" s="78" t="str">
        <f aca="false">IF(AQ789=1,SUM(AQ$7:AQ789),"")</f>
        <v/>
      </c>
    </row>
    <row r="790" customFormat="false" ht="15" hidden="false" customHeight="false" outlineLevel="0" collapsed="false">
      <c r="A790" s="78" t="n">
        <f aca="false">IF(E790="","",ROW()-6)</f>
        <v>784</v>
      </c>
      <c r="B790" s="79" t="s">
        <v>586</v>
      </c>
      <c r="C790" s="80"/>
      <c r="D790" s="80"/>
      <c r="E790" s="80" t="s">
        <v>525</v>
      </c>
      <c r="F790" s="80"/>
      <c r="G790" s="80" t="s">
        <v>106</v>
      </c>
      <c r="H790" s="80"/>
      <c r="I790" s="80"/>
      <c r="J790" s="80"/>
      <c r="K790" s="80"/>
      <c r="L790" s="81" t="str">
        <f aca="false">IF(K790="","",IFERROR(INDEX(BARDAGE!$C$7:$C$1506,MATCH(K790,BARDAGE!$B$7:$B$1506,0)),"? hors registre"))</f>
        <v/>
      </c>
      <c r="M790" s="80"/>
      <c r="N790" s="81" t="str">
        <f aca="false">IF(M790="","",IFERROR(INDEX(BARDAGE!$C$7:$C$1506,MATCH(M790,BARDAGE!$B$7:$B$1506,0)),"? hors registre"))</f>
        <v/>
      </c>
      <c r="O790" s="80"/>
      <c r="P790" s="80"/>
      <c r="Q790" s="80"/>
      <c r="R790" s="82"/>
      <c r="S790" s="82"/>
      <c r="T790" s="80"/>
      <c r="U790" s="80"/>
      <c r="V790" s="82"/>
      <c r="W790" s="80"/>
      <c r="X790" s="80"/>
      <c r="Y790" s="80"/>
      <c r="Z790" s="80"/>
      <c r="AA790" s="82"/>
      <c r="AB790" s="80"/>
      <c r="AC790" s="80"/>
      <c r="AD790" s="80"/>
      <c r="AE790" s="80"/>
      <c r="AF790" s="82"/>
      <c r="AG790" s="80"/>
      <c r="AH790" s="80"/>
      <c r="AI790" s="82"/>
      <c r="AJ790" s="79"/>
      <c r="AK790" s="78" t="n">
        <f aca="false">IF(E790="","",(X790&lt;&gt;"")+(AC790&lt;&gt;"")+(AH790&lt;&gt;""))</f>
        <v>0</v>
      </c>
      <c r="AL790" s="81" t="str">
        <f aca="false">IF(AH790&lt;&gt;"",AH790,IF(AC790&lt;&gt;"",AC790,IF(X790&lt;&gt;"",X790,"")))</f>
        <v/>
      </c>
      <c r="AM790" s="83" t="str">
        <f aca="false">IF(E790="","",IF(R790="","À SOUDER",IF(U790="","VT EN ATTENTE",IF(U790="R","VT REJETÉ – À REPRENDRE",IF(AL790="","À RADIOGRAPHIER",IF(AL790="A","ACCEPTÉ",IF(AL790="NX","NX – RT À REFAIRE",IF(IF(AK790=1,Z790,IF(AK790=2,AE790,""))="A","RÉPARÉ – À RADIOGRAPHIER",IF(IF(AK790=1,Z790,IF(AK790=2,AE790,""))="R","VT REJETÉ – À REPRENDRE",IF(OR(AL790="CO",AL790="NT"),"COUPE – À RESOUDER","À RÉPARER"))))))))))</f>
        <v>À SOUDER</v>
      </c>
      <c r="AN790" s="81" t="str">
        <f aca="false">IF(AND(ISNUMBER(R790),OR(AM790="À RADIOGRAPHIER",AM790="RÉPARÉ – À RADIOGRAPHIER",AM790="NX – RT À REFAIRE",AM790="À RÉPARER",AM790="COUPE – À RESOUDER",AM790="VT REJETÉ – À REPRENDRE")),MAX(0,'PROGRAMME RT'!$C$4-R790),"")</f>
        <v/>
      </c>
      <c r="AO790" s="78" t="n">
        <f aca="false">IF(AND(OR(AM790="À RADIOGRAPHIER",AM790="RÉPARÉ – À RADIOGRAPHIER",AM790="NX – RT À REFAIRE"),OR('PROGRAMME RT'!$D$5="TOUTES",B790='PROGRAMME RT'!$D$5)),1,0)</f>
        <v>0</v>
      </c>
      <c r="AP790" s="78" t="str">
        <f aca="false">IF(AO790=1,SUM(AO$7:AO790),"")</f>
        <v/>
      </c>
      <c r="AQ790" s="78" t="n">
        <f aca="false">IF(AND(OR(X790="R",X790="NX",X790="NT",X790="CO"),OR('JOINTS DE RÉPARATION'!$D$5="TOUTES",B790='JOINTS DE RÉPARATION'!$D$5),OR('JOINTS DE RÉPARATION'!$L$4="TOUS",AM790&lt;&gt;"ACCEPTÉ")),1,0)</f>
        <v>0</v>
      </c>
      <c r="AR790" s="78" t="str">
        <f aca="false">IF(AQ790=1,SUM(AQ$7:AQ790),"")</f>
        <v/>
      </c>
    </row>
    <row r="791" customFormat="false" ht="15" hidden="false" customHeight="false" outlineLevel="0" collapsed="false">
      <c r="A791" s="78" t="n">
        <f aca="false">IF(E791="","",ROW()-6)</f>
        <v>785</v>
      </c>
      <c r="B791" s="79" t="s">
        <v>586</v>
      </c>
      <c r="C791" s="80"/>
      <c r="D791" s="80"/>
      <c r="E791" s="80" t="s">
        <v>527</v>
      </c>
      <c r="F791" s="80"/>
      <c r="G791" s="80" t="s">
        <v>106</v>
      </c>
      <c r="H791" s="80"/>
      <c r="I791" s="80"/>
      <c r="J791" s="80"/>
      <c r="K791" s="80"/>
      <c r="L791" s="81" t="str">
        <f aca="false">IF(K791="","",IFERROR(INDEX(BARDAGE!$C$7:$C$1506,MATCH(K791,BARDAGE!$B$7:$B$1506,0)),"? hors registre"))</f>
        <v/>
      </c>
      <c r="M791" s="80"/>
      <c r="N791" s="81" t="str">
        <f aca="false">IF(M791="","",IFERROR(INDEX(BARDAGE!$C$7:$C$1506,MATCH(M791,BARDAGE!$B$7:$B$1506,0)),"? hors registre"))</f>
        <v/>
      </c>
      <c r="O791" s="80"/>
      <c r="P791" s="80"/>
      <c r="Q791" s="80"/>
      <c r="R791" s="82"/>
      <c r="S791" s="82"/>
      <c r="T791" s="80"/>
      <c r="U791" s="80"/>
      <c r="V791" s="82"/>
      <c r="W791" s="80"/>
      <c r="X791" s="80"/>
      <c r="Y791" s="80"/>
      <c r="Z791" s="80"/>
      <c r="AA791" s="82"/>
      <c r="AB791" s="80"/>
      <c r="AC791" s="80"/>
      <c r="AD791" s="80"/>
      <c r="AE791" s="80"/>
      <c r="AF791" s="82"/>
      <c r="AG791" s="80"/>
      <c r="AH791" s="80"/>
      <c r="AI791" s="82"/>
      <c r="AJ791" s="79"/>
      <c r="AK791" s="78" t="n">
        <f aca="false">IF(E791="","",(X791&lt;&gt;"")+(AC791&lt;&gt;"")+(AH791&lt;&gt;""))</f>
        <v>0</v>
      </c>
      <c r="AL791" s="81" t="str">
        <f aca="false">IF(AH791&lt;&gt;"",AH791,IF(AC791&lt;&gt;"",AC791,IF(X791&lt;&gt;"",X791,"")))</f>
        <v/>
      </c>
      <c r="AM791" s="83" t="str">
        <f aca="false">IF(E791="","",IF(R791="","À SOUDER",IF(U791="","VT EN ATTENTE",IF(U791="R","VT REJETÉ – À REPRENDRE",IF(AL791="","À RADIOGRAPHIER",IF(AL791="A","ACCEPTÉ",IF(AL791="NX","NX – RT À REFAIRE",IF(IF(AK791=1,Z791,IF(AK791=2,AE791,""))="A","RÉPARÉ – À RADIOGRAPHIER",IF(IF(AK791=1,Z791,IF(AK791=2,AE791,""))="R","VT REJETÉ – À REPRENDRE",IF(OR(AL791="CO",AL791="NT"),"COUPE – À RESOUDER","À RÉPARER"))))))))))</f>
        <v>À SOUDER</v>
      </c>
      <c r="AN791" s="81" t="str">
        <f aca="false">IF(AND(ISNUMBER(R791),OR(AM791="À RADIOGRAPHIER",AM791="RÉPARÉ – À RADIOGRAPHIER",AM791="NX – RT À REFAIRE",AM791="À RÉPARER",AM791="COUPE – À RESOUDER",AM791="VT REJETÉ – À REPRENDRE")),MAX(0,'PROGRAMME RT'!$C$4-R791),"")</f>
        <v/>
      </c>
      <c r="AO791" s="78" t="n">
        <f aca="false">IF(AND(OR(AM791="À RADIOGRAPHIER",AM791="RÉPARÉ – À RADIOGRAPHIER",AM791="NX – RT À REFAIRE"),OR('PROGRAMME RT'!$D$5="TOUTES",B791='PROGRAMME RT'!$D$5)),1,0)</f>
        <v>0</v>
      </c>
      <c r="AP791" s="78" t="str">
        <f aca="false">IF(AO791=1,SUM(AO$7:AO791),"")</f>
        <v/>
      </c>
      <c r="AQ791" s="78" t="n">
        <f aca="false">IF(AND(OR(X791="R",X791="NX",X791="NT",X791="CO"),OR('JOINTS DE RÉPARATION'!$D$5="TOUTES",B791='JOINTS DE RÉPARATION'!$D$5),OR('JOINTS DE RÉPARATION'!$L$4="TOUS",AM791&lt;&gt;"ACCEPTÉ")),1,0)</f>
        <v>0</v>
      </c>
      <c r="AR791" s="78" t="str">
        <f aca="false">IF(AQ791=1,SUM(AQ$7:AQ791),"")</f>
        <v/>
      </c>
    </row>
    <row r="792" customFormat="false" ht="15" hidden="false" customHeight="false" outlineLevel="0" collapsed="false">
      <c r="A792" s="78" t="n">
        <f aca="false">IF(E792="","",ROW()-6)</f>
        <v>786</v>
      </c>
      <c r="B792" s="79" t="s">
        <v>586</v>
      </c>
      <c r="C792" s="80"/>
      <c r="D792" s="80"/>
      <c r="E792" s="80" t="s">
        <v>529</v>
      </c>
      <c r="F792" s="80"/>
      <c r="G792" s="80" t="s">
        <v>106</v>
      </c>
      <c r="H792" s="80"/>
      <c r="I792" s="80"/>
      <c r="J792" s="80"/>
      <c r="K792" s="80"/>
      <c r="L792" s="81" t="str">
        <f aca="false">IF(K792="","",IFERROR(INDEX(BARDAGE!$C$7:$C$1506,MATCH(K792,BARDAGE!$B$7:$B$1506,0)),"? hors registre"))</f>
        <v/>
      </c>
      <c r="M792" s="80"/>
      <c r="N792" s="81" t="str">
        <f aca="false">IF(M792="","",IFERROR(INDEX(BARDAGE!$C$7:$C$1506,MATCH(M792,BARDAGE!$B$7:$B$1506,0)),"? hors registre"))</f>
        <v/>
      </c>
      <c r="O792" s="80"/>
      <c r="P792" s="80"/>
      <c r="Q792" s="80"/>
      <c r="R792" s="82"/>
      <c r="S792" s="82"/>
      <c r="T792" s="80"/>
      <c r="U792" s="80"/>
      <c r="V792" s="82"/>
      <c r="W792" s="80"/>
      <c r="X792" s="80"/>
      <c r="Y792" s="80"/>
      <c r="Z792" s="80"/>
      <c r="AA792" s="82"/>
      <c r="AB792" s="80"/>
      <c r="AC792" s="80"/>
      <c r="AD792" s="80"/>
      <c r="AE792" s="80"/>
      <c r="AF792" s="82"/>
      <c r="AG792" s="80"/>
      <c r="AH792" s="80"/>
      <c r="AI792" s="82"/>
      <c r="AJ792" s="79"/>
      <c r="AK792" s="78" t="n">
        <f aca="false">IF(E792="","",(X792&lt;&gt;"")+(AC792&lt;&gt;"")+(AH792&lt;&gt;""))</f>
        <v>0</v>
      </c>
      <c r="AL792" s="81" t="str">
        <f aca="false">IF(AH792&lt;&gt;"",AH792,IF(AC792&lt;&gt;"",AC792,IF(X792&lt;&gt;"",X792,"")))</f>
        <v/>
      </c>
      <c r="AM792" s="83" t="str">
        <f aca="false">IF(E792="","",IF(R792="","À SOUDER",IF(U792="","VT EN ATTENTE",IF(U792="R","VT REJETÉ – À REPRENDRE",IF(AL792="","À RADIOGRAPHIER",IF(AL792="A","ACCEPTÉ",IF(AL792="NX","NX – RT À REFAIRE",IF(IF(AK792=1,Z792,IF(AK792=2,AE792,""))="A","RÉPARÉ – À RADIOGRAPHIER",IF(IF(AK792=1,Z792,IF(AK792=2,AE792,""))="R","VT REJETÉ – À REPRENDRE",IF(OR(AL792="CO",AL792="NT"),"COUPE – À RESOUDER","À RÉPARER"))))))))))</f>
        <v>À SOUDER</v>
      </c>
      <c r="AN792" s="81" t="str">
        <f aca="false">IF(AND(ISNUMBER(R792),OR(AM792="À RADIOGRAPHIER",AM792="RÉPARÉ – À RADIOGRAPHIER",AM792="NX – RT À REFAIRE",AM792="À RÉPARER",AM792="COUPE – À RESOUDER",AM792="VT REJETÉ – À REPRENDRE")),MAX(0,'PROGRAMME RT'!$C$4-R792),"")</f>
        <v/>
      </c>
      <c r="AO792" s="78" t="n">
        <f aca="false">IF(AND(OR(AM792="À RADIOGRAPHIER",AM792="RÉPARÉ – À RADIOGRAPHIER",AM792="NX – RT À REFAIRE"),OR('PROGRAMME RT'!$D$5="TOUTES",B792='PROGRAMME RT'!$D$5)),1,0)</f>
        <v>0</v>
      </c>
      <c r="AP792" s="78" t="str">
        <f aca="false">IF(AO792=1,SUM(AO$7:AO792),"")</f>
        <v/>
      </c>
      <c r="AQ792" s="78" t="n">
        <f aca="false">IF(AND(OR(X792="R",X792="NX",X792="NT",X792="CO"),OR('JOINTS DE RÉPARATION'!$D$5="TOUTES",B792='JOINTS DE RÉPARATION'!$D$5),OR('JOINTS DE RÉPARATION'!$L$4="TOUS",AM792&lt;&gt;"ACCEPTÉ")),1,0)</f>
        <v>0</v>
      </c>
      <c r="AR792" s="78" t="str">
        <f aca="false">IF(AQ792=1,SUM(AQ$7:AQ792),"")</f>
        <v/>
      </c>
    </row>
    <row r="793" customFormat="false" ht="15" hidden="false" customHeight="false" outlineLevel="0" collapsed="false">
      <c r="A793" s="78" t="n">
        <f aca="false">IF(E793="","",ROW()-6)</f>
        <v>787</v>
      </c>
      <c r="B793" s="79" t="s">
        <v>586</v>
      </c>
      <c r="C793" s="80"/>
      <c r="D793" s="80"/>
      <c r="E793" s="80" t="s">
        <v>531</v>
      </c>
      <c r="F793" s="80"/>
      <c r="G793" s="80" t="s">
        <v>106</v>
      </c>
      <c r="H793" s="80"/>
      <c r="I793" s="80"/>
      <c r="J793" s="80"/>
      <c r="K793" s="80"/>
      <c r="L793" s="81" t="str">
        <f aca="false">IF(K793="","",IFERROR(INDEX(BARDAGE!$C$7:$C$1506,MATCH(K793,BARDAGE!$B$7:$B$1506,0)),"? hors registre"))</f>
        <v/>
      </c>
      <c r="M793" s="80"/>
      <c r="N793" s="81" t="str">
        <f aca="false">IF(M793="","",IFERROR(INDEX(BARDAGE!$C$7:$C$1506,MATCH(M793,BARDAGE!$B$7:$B$1506,0)),"? hors registre"))</f>
        <v/>
      </c>
      <c r="O793" s="80"/>
      <c r="P793" s="80"/>
      <c r="Q793" s="80"/>
      <c r="R793" s="82"/>
      <c r="S793" s="82"/>
      <c r="T793" s="80"/>
      <c r="U793" s="80"/>
      <c r="V793" s="82"/>
      <c r="W793" s="80"/>
      <c r="X793" s="80"/>
      <c r="Y793" s="80"/>
      <c r="Z793" s="80"/>
      <c r="AA793" s="82"/>
      <c r="AB793" s="80"/>
      <c r="AC793" s="80"/>
      <c r="AD793" s="80"/>
      <c r="AE793" s="80"/>
      <c r="AF793" s="82"/>
      <c r="AG793" s="80"/>
      <c r="AH793" s="80"/>
      <c r="AI793" s="82"/>
      <c r="AJ793" s="79"/>
      <c r="AK793" s="78" t="n">
        <f aca="false">IF(E793="","",(X793&lt;&gt;"")+(AC793&lt;&gt;"")+(AH793&lt;&gt;""))</f>
        <v>0</v>
      </c>
      <c r="AL793" s="81" t="str">
        <f aca="false">IF(AH793&lt;&gt;"",AH793,IF(AC793&lt;&gt;"",AC793,IF(X793&lt;&gt;"",X793,"")))</f>
        <v/>
      </c>
      <c r="AM793" s="83" t="str">
        <f aca="false">IF(E793="","",IF(R793="","À SOUDER",IF(U793="","VT EN ATTENTE",IF(U793="R","VT REJETÉ – À REPRENDRE",IF(AL793="","À RADIOGRAPHIER",IF(AL793="A","ACCEPTÉ",IF(AL793="NX","NX – RT À REFAIRE",IF(IF(AK793=1,Z793,IF(AK793=2,AE793,""))="A","RÉPARÉ – À RADIOGRAPHIER",IF(IF(AK793=1,Z793,IF(AK793=2,AE793,""))="R","VT REJETÉ – À REPRENDRE",IF(OR(AL793="CO",AL793="NT"),"COUPE – À RESOUDER","À RÉPARER"))))))))))</f>
        <v>À SOUDER</v>
      </c>
      <c r="AN793" s="81" t="str">
        <f aca="false">IF(AND(ISNUMBER(R793),OR(AM793="À RADIOGRAPHIER",AM793="RÉPARÉ – À RADIOGRAPHIER",AM793="NX – RT À REFAIRE",AM793="À RÉPARER",AM793="COUPE – À RESOUDER",AM793="VT REJETÉ – À REPRENDRE")),MAX(0,'PROGRAMME RT'!$C$4-R793),"")</f>
        <v/>
      </c>
      <c r="AO793" s="78" t="n">
        <f aca="false">IF(AND(OR(AM793="À RADIOGRAPHIER",AM793="RÉPARÉ – À RADIOGRAPHIER",AM793="NX – RT À REFAIRE"),OR('PROGRAMME RT'!$D$5="TOUTES",B793='PROGRAMME RT'!$D$5)),1,0)</f>
        <v>0</v>
      </c>
      <c r="AP793" s="78" t="str">
        <f aca="false">IF(AO793=1,SUM(AO$7:AO793),"")</f>
        <v/>
      </c>
      <c r="AQ793" s="78" t="n">
        <f aca="false">IF(AND(OR(X793="R",X793="NX",X793="NT",X793="CO"),OR('JOINTS DE RÉPARATION'!$D$5="TOUTES",B793='JOINTS DE RÉPARATION'!$D$5),OR('JOINTS DE RÉPARATION'!$L$4="TOUS",AM793&lt;&gt;"ACCEPTÉ")),1,0)</f>
        <v>0</v>
      </c>
      <c r="AR793" s="78" t="str">
        <f aca="false">IF(AQ793=1,SUM(AQ$7:AQ793),"")</f>
        <v/>
      </c>
    </row>
    <row r="794" customFormat="false" ht="15" hidden="false" customHeight="false" outlineLevel="0" collapsed="false">
      <c r="A794" s="78" t="n">
        <f aca="false">IF(E794="","",ROW()-6)</f>
        <v>788</v>
      </c>
      <c r="B794" s="79" t="s">
        <v>586</v>
      </c>
      <c r="C794" s="80"/>
      <c r="D794" s="80"/>
      <c r="E794" s="80" t="s">
        <v>534</v>
      </c>
      <c r="F794" s="80"/>
      <c r="G794" s="80" t="s">
        <v>106</v>
      </c>
      <c r="H794" s="80"/>
      <c r="I794" s="80"/>
      <c r="J794" s="80"/>
      <c r="K794" s="80"/>
      <c r="L794" s="81" t="str">
        <f aca="false">IF(K794="","",IFERROR(INDEX(BARDAGE!$C$7:$C$1506,MATCH(K794,BARDAGE!$B$7:$B$1506,0)),"? hors registre"))</f>
        <v/>
      </c>
      <c r="M794" s="80"/>
      <c r="N794" s="81" t="str">
        <f aca="false">IF(M794="","",IFERROR(INDEX(BARDAGE!$C$7:$C$1506,MATCH(M794,BARDAGE!$B$7:$B$1506,0)),"? hors registre"))</f>
        <v/>
      </c>
      <c r="O794" s="80"/>
      <c r="P794" s="80"/>
      <c r="Q794" s="80"/>
      <c r="R794" s="82"/>
      <c r="S794" s="82"/>
      <c r="T794" s="80"/>
      <c r="U794" s="80"/>
      <c r="V794" s="82"/>
      <c r="W794" s="80"/>
      <c r="X794" s="80"/>
      <c r="Y794" s="80"/>
      <c r="Z794" s="80"/>
      <c r="AA794" s="82"/>
      <c r="AB794" s="80"/>
      <c r="AC794" s="80"/>
      <c r="AD794" s="80"/>
      <c r="AE794" s="80"/>
      <c r="AF794" s="82"/>
      <c r="AG794" s="80"/>
      <c r="AH794" s="80"/>
      <c r="AI794" s="82"/>
      <c r="AJ794" s="79"/>
      <c r="AK794" s="78" t="n">
        <f aca="false">IF(E794="","",(X794&lt;&gt;"")+(AC794&lt;&gt;"")+(AH794&lt;&gt;""))</f>
        <v>0</v>
      </c>
      <c r="AL794" s="81" t="str">
        <f aca="false">IF(AH794&lt;&gt;"",AH794,IF(AC794&lt;&gt;"",AC794,IF(X794&lt;&gt;"",X794,"")))</f>
        <v/>
      </c>
      <c r="AM794" s="83" t="str">
        <f aca="false">IF(E794="","",IF(R794="","À SOUDER",IF(U794="","VT EN ATTENTE",IF(U794="R","VT REJETÉ – À REPRENDRE",IF(AL794="","À RADIOGRAPHIER",IF(AL794="A","ACCEPTÉ",IF(AL794="NX","NX – RT À REFAIRE",IF(IF(AK794=1,Z794,IF(AK794=2,AE794,""))="A","RÉPARÉ – À RADIOGRAPHIER",IF(IF(AK794=1,Z794,IF(AK794=2,AE794,""))="R","VT REJETÉ – À REPRENDRE",IF(OR(AL794="CO",AL794="NT"),"COUPE – À RESOUDER","À RÉPARER"))))))))))</f>
        <v>À SOUDER</v>
      </c>
      <c r="AN794" s="81" t="str">
        <f aca="false">IF(AND(ISNUMBER(R794),OR(AM794="À RADIOGRAPHIER",AM794="RÉPARÉ – À RADIOGRAPHIER",AM794="NX – RT À REFAIRE",AM794="À RÉPARER",AM794="COUPE – À RESOUDER",AM794="VT REJETÉ – À REPRENDRE")),MAX(0,'PROGRAMME RT'!$C$4-R794),"")</f>
        <v/>
      </c>
      <c r="AO794" s="78" t="n">
        <f aca="false">IF(AND(OR(AM794="À RADIOGRAPHIER",AM794="RÉPARÉ – À RADIOGRAPHIER",AM794="NX – RT À REFAIRE"),OR('PROGRAMME RT'!$D$5="TOUTES",B794='PROGRAMME RT'!$D$5)),1,0)</f>
        <v>0</v>
      </c>
      <c r="AP794" s="78" t="str">
        <f aca="false">IF(AO794=1,SUM(AO$7:AO794),"")</f>
        <v/>
      </c>
      <c r="AQ794" s="78" t="n">
        <f aca="false">IF(AND(OR(X794="R",X794="NX",X794="NT",X794="CO"),OR('JOINTS DE RÉPARATION'!$D$5="TOUTES",B794='JOINTS DE RÉPARATION'!$D$5),OR('JOINTS DE RÉPARATION'!$L$4="TOUS",AM794&lt;&gt;"ACCEPTÉ")),1,0)</f>
        <v>0</v>
      </c>
      <c r="AR794" s="78" t="str">
        <f aca="false">IF(AQ794=1,SUM(AQ$7:AQ794),"")</f>
        <v/>
      </c>
    </row>
    <row r="795" customFormat="false" ht="15" hidden="false" customHeight="false" outlineLevel="0" collapsed="false">
      <c r="A795" s="78" t="n">
        <f aca="false">IF(E795="","",ROW()-6)</f>
        <v>789</v>
      </c>
      <c r="B795" s="79" t="s">
        <v>586</v>
      </c>
      <c r="C795" s="80"/>
      <c r="D795" s="80"/>
      <c r="E795" s="80" t="s">
        <v>536</v>
      </c>
      <c r="F795" s="80"/>
      <c r="G795" s="80" t="s">
        <v>106</v>
      </c>
      <c r="H795" s="80"/>
      <c r="I795" s="80"/>
      <c r="J795" s="80"/>
      <c r="K795" s="80"/>
      <c r="L795" s="81" t="str">
        <f aca="false">IF(K795="","",IFERROR(INDEX(BARDAGE!$C$7:$C$1506,MATCH(K795,BARDAGE!$B$7:$B$1506,0)),"? hors registre"))</f>
        <v/>
      </c>
      <c r="M795" s="80"/>
      <c r="N795" s="81" t="str">
        <f aca="false">IF(M795="","",IFERROR(INDEX(BARDAGE!$C$7:$C$1506,MATCH(M795,BARDAGE!$B$7:$B$1506,0)),"? hors registre"))</f>
        <v/>
      </c>
      <c r="O795" s="80"/>
      <c r="P795" s="80"/>
      <c r="Q795" s="80"/>
      <c r="R795" s="82"/>
      <c r="S795" s="82"/>
      <c r="T795" s="80"/>
      <c r="U795" s="80"/>
      <c r="V795" s="82"/>
      <c r="W795" s="80"/>
      <c r="X795" s="80"/>
      <c r="Y795" s="80"/>
      <c r="Z795" s="80"/>
      <c r="AA795" s="82"/>
      <c r="AB795" s="80"/>
      <c r="AC795" s="80"/>
      <c r="AD795" s="80"/>
      <c r="AE795" s="80"/>
      <c r="AF795" s="82"/>
      <c r="AG795" s="80"/>
      <c r="AH795" s="80"/>
      <c r="AI795" s="82"/>
      <c r="AJ795" s="79"/>
      <c r="AK795" s="78" t="n">
        <f aca="false">IF(E795="","",(X795&lt;&gt;"")+(AC795&lt;&gt;"")+(AH795&lt;&gt;""))</f>
        <v>0</v>
      </c>
      <c r="AL795" s="81" t="str">
        <f aca="false">IF(AH795&lt;&gt;"",AH795,IF(AC795&lt;&gt;"",AC795,IF(X795&lt;&gt;"",X795,"")))</f>
        <v/>
      </c>
      <c r="AM795" s="83" t="str">
        <f aca="false">IF(E795="","",IF(R795="","À SOUDER",IF(U795="","VT EN ATTENTE",IF(U795="R","VT REJETÉ – À REPRENDRE",IF(AL795="","À RADIOGRAPHIER",IF(AL795="A","ACCEPTÉ",IF(AL795="NX","NX – RT À REFAIRE",IF(IF(AK795=1,Z795,IF(AK795=2,AE795,""))="A","RÉPARÉ – À RADIOGRAPHIER",IF(IF(AK795=1,Z795,IF(AK795=2,AE795,""))="R","VT REJETÉ – À REPRENDRE",IF(OR(AL795="CO",AL795="NT"),"COUPE – À RESOUDER","À RÉPARER"))))))))))</f>
        <v>À SOUDER</v>
      </c>
      <c r="AN795" s="81" t="str">
        <f aca="false">IF(AND(ISNUMBER(R795),OR(AM795="À RADIOGRAPHIER",AM795="RÉPARÉ – À RADIOGRAPHIER",AM795="NX – RT À REFAIRE",AM795="À RÉPARER",AM795="COUPE – À RESOUDER",AM795="VT REJETÉ – À REPRENDRE")),MAX(0,'PROGRAMME RT'!$C$4-R795),"")</f>
        <v/>
      </c>
      <c r="AO795" s="78" t="n">
        <f aca="false">IF(AND(OR(AM795="À RADIOGRAPHIER",AM795="RÉPARÉ – À RADIOGRAPHIER",AM795="NX – RT À REFAIRE"),OR('PROGRAMME RT'!$D$5="TOUTES",B795='PROGRAMME RT'!$D$5)),1,0)</f>
        <v>0</v>
      </c>
      <c r="AP795" s="78" t="str">
        <f aca="false">IF(AO795=1,SUM(AO$7:AO795),"")</f>
        <v/>
      </c>
      <c r="AQ795" s="78" t="n">
        <f aca="false">IF(AND(OR(X795="R",X795="NX",X795="NT",X795="CO"),OR('JOINTS DE RÉPARATION'!$D$5="TOUTES",B795='JOINTS DE RÉPARATION'!$D$5),OR('JOINTS DE RÉPARATION'!$L$4="TOUS",AM795&lt;&gt;"ACCEPTÉ")),1,0)</f>
        <v>0</v>
      </c>
      <c r="AR795" s="78" t="str">
        <f aca="false">IF(AQ795=1,SUM(AQ$7:AQ795),"")</f>
        <v/>
      </c>
    </row>
    <row r="796" customFormat="false" ht="15" hidden="false" customHeight="false" outlineLevel="0" collapsed="false">
      <c r="A796" s="78" t="n">
        <f aca="false">IF(E796="","",ROW()-6)</f>
        <v>790</v>
      </c>
      <c r="B796" s="79" t="s">
        <v>586</v>
      </c>
      <c r="C796" s="80"/>
      <c r="D796" s="80"/>
      <c r="E796" s="80" t="s">
        <v>538</v>
      </c>
      <c r="F796" s="80"/>
      <c r="G796" s="80" t="s">
        <v>106</v>
      </c>
      <c r="H796" s="80"/>
      <c r="I796" s="80"/>
      <c r="J796" s="80"/>
      <c r="K796" s="80"/>
      <c r="L796" s="81" t="str">
        <f aca="false">IF(K796="","",IFERROR(INDEX(BARDAGE!$C$7:$C$1506,MATCH(K796,BARDAGE!$B$7:$B$1506,0)),"? hors registre"))</f>
        <v/>
      </c>
      <c r="M796" s="80"/>
      <c r="N796" s="81" t="str">
        <f aca="false">IF(M796="","",IFERROR(INDEX(BARDAGE!$C$7:$C$1506,MATCH(M796,BARDAGE!$B$7:$B$1506,0)),"? hors registre"))</f>
        <v/>
      </c>
      <c r="O796" s="80"/>
      <c r="P796" s="80"/>
      <c r="Q796" s="80"/>
      <c r="R796" s="82"/>
      <c r="S796" s="82"/>
      <c r="T796" s="80"/>
      <c r="U796" s="80"/>
      <c r="V796" s="82"/>
      <c r="W796" s="80"/>
      <c r="X796" s="80"/>
      <c r="Y796" s="80"/>
      <c r="Z796" s="80"/>
      <c r="AA796" s="82"/>
      <c r="AB796" s="80"/>
      <c r="AC796" s="80"/>
      <c r="AD796" s="80"/>
      <c r="AE796" s="80"/>
      <c r="AF796" s="82"/>
      <c r="AG796" s="80"/>
      <c r="AH796" s="80"/>
      <c r="AI796" s="82"/>
      <c r="AJ796" s="79"/>
      <c r="AK796" s="78" t="n">
        <f aca="false">IF(E796="","",(X796&lt;&gt;"")+(AC796&lt;&gt;"")+(AH796&lt;&gt;""))</f>
        <v>0</v>
      </c>
      <c r="AL796" s="81" t="str">
        <f aca="false">IF(AH796&lt;&gt;"",AH796,IF(AC796&lt;&gt;"",AC796,IF(X796&lt;&gt;"",X796,"")))</f>
        <v/>
      </c>
      <c r="AM796" s="83" t="str">
        <f aca="false">IF(E796="","",IF(R796="","À SOUDER",IF(U796="","VT EN ATTENTE",IF(U796="R","VT REJETÉ – À REPRENDRE",IF(AL796="","À RADIOGRAPHIER",IF(AL796="A","ACCEPTÉ",IF(AL796="NX","NX – RT À REFAIRE",IF(IF(AK796=1,Z796,IF(AK796=2,AE796,""))="A","RÉPARÉ – À RADIOGRAPHIER",IF(IF(AK796=1,Z796,IF(AK796=2,AE796,""))="R","VT REJETÉ – À REPRENDRE",IF(OR(AL796="CO",AL796="NT"),"COUPE – À RESOUDER","À RÉPARER"))))))))))</f>
        <v>À SOUDER</v>
      </c>
      <c r="AN796" s="81" t="str">
        <f aca="false">IF(AND(ISNUMBER(R796),OR(AM796="À RADIOGRAPHIER",AM796="RÉPARÉ – À RADIOGRAPHIER",AM796="NX – RT À REFAIRE",AM796="À RÉPARER",AM796="COUPE – À RESOUDER",AM796="VT REJETÉ – À REPRENDRE")),MAX(0,'PROGRAMME RT'!$C$4-R796),"")</f>
        <v/>
      </c>
      <c r="AO796" s="78" t="n">
        <f aca="false">IF(AND(OR(AM796="À RADIOGRAPHIER",AM796="RÉPARÉ – À RADIOGRAPHIER",AM796="NX – RT À REFAIRE"),OR('PROGRAMME RT'!$D$5="TOUTES",B796='PROGRAMME RT'!$D$5)),1,0)</f>
        <v>0</v>
      </c>
      <c r="AP796" s="78" t="str">
        <f aca="false">IF(AO796=1,SUM(AO$7:AO796),"")</f>
        <v/>
      </c>
      <c r="AQ796" s="78" t="n">
        <f aca="false">IF(AND(OR(X796="R",X796="NX",X796="NT",X796="CO"),OR('JOINTS DE RÉPARATION'!$D$5="TOUTES",B796='JOINTS DE RÉPARATION'!$D$5),OR('JOINTS DE RÉPARATION'!$L$4="TOUS",AM796&lt;&gt;"ACCEPTÉ")),1,0)</f>
        <v>0</v>
      </c>
      <c r="AR796" s="78" t="str">
        <f aca="false">IF(AQ796=1,SUM(AQ$7:AQ796),"")</f>
        <v/>
      </c>
    </row>
    <row r="797" customFormat="false" ht="15" hidden="false" customHeight="false" outlineLevel="0" collapsed="false">
      <c r="A797" s="78" t="n">
        <f aca="false">IF(E797="","",ROW()-6)</f>
        <v>791</v>
      </c>
      <c r="B797" s="79" t="s">
        <v>586</v>
      </c>
      <c r="C797" s="80"/>
      <c r="D797" s="80"/>
      <c r="E797" s="80" t="s">
        <v>540</v>
      </c>
      <c r="F797" s="80"/>
      <c r="G797" s="80" t="s">
        <v>106</v>
      </c>
      <c r="H797" s="80"/>
      <c r="I797" s="80"/>
      <c r="J797" s="80"/>
      <c r="K797" s="80"/>
      <c r="L797" s="81" t="str">
        <f aca="false">IF(K797="","",IFERROR(INDEX(BARDAGE!$C$7:$C$1506,MATCH(K797,BARDAGE!$B$7:$B$1506,0)),"? hors registre"))</f>
        <v/>
      </c>
      <c r="M797" s="80"/>
      <c r="N797" s="81" t="str">
        <f aca="false">IF(M797="","",IFERROR(INDEX(BARDAGE!$C$7:$C$1506,MATCH(M797,BARDAGE!$B$7:$B$1506,0)),"? hors registre"))</f>
        <v/>
      </c>
      <c r="O797" s="80"/>
      <c r="P797" s="80"/>
      <c r="Q797" s="80"/>
      <c r="R797" s="82"/>
      <c r="S797" s="82"/>
      <c r="T797" s="80"/>
      <c r="U797" s="80"/>
      <c r="V797" s="82"/>
      <c r="W797" s="80"/>
      <c r="X797" s="80"/>
      <c r="Y797" s="80"/>
      <c r="Z797" s="80"/>
      <c r="AA797" s="82"/>
      <c r="AB797" s="80"/>
      <c r="AC797" s="80"/>
      <c r="AD797" s="80"/>
      <c r="AE797" s="80"/>
      <c r="AF797" s="82"/>
      <c r="AG797" s="80"/>
      <c r="AH797" s="80"/>
      <c r="AI797" s="82"/>
      <c r="AJ797" s="79"/>
      <c r="AK797" s="78" t="n">
        <f aca="false">IF(E797="","",(X797&lt;&gt;"")+(AC797&lt;&gt;"")+(AH797&lt;&gt;""))</f>
        <v>0</v>
      </c>
      <c r="AL797" s="81" t="str">
        <f aca="false">IF(AH797&lt;&gt;"",AH797,IF(AC797&lt;&gt;"",AC797,IF(X797&lt;&gt;"",X797,"")))</f>
        <v/>
      </c>
      <c r="AM797" s="83" t="str">
        <f aca="false">IF(E797="","",IF(R797="","À SOUDER",IF(U797="","VT EN ATTENTE",IF(U797="R","VT REJETÉ – À REPRENDRE",IF(AL797="","À RADIOGRAPHIER",IF(AL797="A","ACCEPTÉ",IF(AL797="NX","NX – RT À REFAIRE",IF(IF(AK797=1,Z797,IF(AK797=2,AE797,""))="A","RÉPARÉ – À RADIOGRAPHIER",IF(IF(AK797=1,Z797,IF(AK797=2,AE797,""))="R","VT REJETÉ – À REPRENDRE",IF(OR(AL797="CO",AL797="NT"),"COUPE – À RESOUDER","À RÉPARER"))))))))))</f>
        <v>À SOUDER</v>
      </c>
      <c r="AN797" s="81" t="str">
        <f aca="false">IF(AND(ISNUMBER(R797),OR(AM797="À RADIOGRAPHIER",AM797="RÉPARÉ – À RADIOGRAPHIER",AM797="NX – RT À REFAIRE",AM797="À RÉPARER",AM797="COUPE – À RESOUDER",AM797="VT REJETÉ – À REPRENDRE")),MAX(0,'PROGRAMME RT'!$C$4-R797),"")</f>
        <v/>
      </c>
      <c r="AO797" s="78" t="n">
        <f aca="false">IF(AND(OR(AM797="À RADIOGRAPHIER",AM797="RÉPARÉ – À RADIOGRAPHIER",AM797="NX – RT À REFAIRE"),OR('PROGRAMME RT'!$D$5="TOUTES",B797='PROGRAMME RT'!$D$5)),1,0)</f>
        <v>0</v>
      </c>
      <c r="AP797" s="78" t="str">
        <f aca="false">IF(AO797=1,SUM(AO$7:AO797),"")</f>
        <v/>
      </c>
      <c r="AQ797" s="78" t="n">
        <f aca="false">IF(AND(OR(X797="R",X797="NX",X797="NT",X797="CO"),OR('JOINTS DE RÉPARATION'!$D$5="TOUTES",B797='JOINTS DE RÉPARATION'!$D$5),OR('JOINTS DE RÉPARATION'!$L$4="TOUS",AM797&lt;&gt;"ACCEPTÉ")),1,0)</f>
        <v>0</v>
      </c>
      <c r="AR797" s="78" t="str">
        <f aca="false">IF(AQ797=1,SUM(AQ$7:AQ797),"")</f>
        <v/>
      </c>
    </row>
    <row r="798" customFormat="false" ht="15" hidden="false" customHeight="false" outlineLevel="0" collapsed="false">
      <c r="A798" s="78" t="n">
        <f aca="false">IF(E798="","",ROW()-6)</f>
        <v>792</v>
      </c>
      <c r="B798" s="79" t="s">
        <v>586</v>
      </c>
      <c r="C798" s="80"/>
      <c r="D798" s="80"/>
      <c r="E798" s="80" t="s">
        <v>542</v>
      </c>
      <c r="F798" s="80"/>
      <c r="G798" s="80" t="s">
        <v>106</v>
      </c>
      <c r="H798" s="80"/>
      <c r="I798" s="80"/>
      <c r="J798" s="80"/>
      <c r="K798" s="80"/>
      <c r="L798" s="81" t="str">
        <f aca="false">IF(K798="","",IFERROR(INDEX(BARDAGE!$C$7:$C$1506,MATCH(K798,BARDAGE!$B$7:$B$1506,0)),"? hors registre"))</f>
        <v/>
      </c>
      <c r="M798" s="80"/>
      <c r="N798" s="81" t="str">
        <f aca="false">IF(M798="","",IFERROR(INDEX(BARDAGE!$C$7:$C$1506,MATCH(M798,BARDAGE!$B$7:$B$1506,0)),"? hors registre"))</f>
        <v/>
      </c>
      <c r="O798" s="80"/>
      <c r="P798" s="80"/>
      <c r="Q798" s="80"/>
      <c r="R798" s="82"/>
      <c r="S798" s="82"/>
      <c r="T798" s="80"/>
      <c r="U798" s="80"/>
      <c r="V798" s="82"/>
      <c r="W798" s="80"/>
      <c r="X798" s="80"/>
      <c r="Y798" s="80"/>
      <c r="Z798" s="80"/>
      <c r="AA798" s="82"/>
      <c r="AB798" s="80"/>
      <c r="AC798" s="80"/>
      <c r="AD798" s="80"/>
      <c r="AE798" s="80"/>
      <c r="AF798" s="82"/>
      <c r="AG798" s="80"/>
      <c r="AH798" s="80"/>
      <c r="AI798" s="82"/>
      <c r="AJ798" s="79"/>
      <c r="AK798" s="78" t="n">
        <f aca="false">IF(E798="","",(X798&lt;&gt;"")+(AC798&lt;&gt;"")+(AH798&lt;&gt;""))</f>
        <v>0</v>
      </c>
      <c r="AL798" s="81" t="str">
        <f aca="false">IF(AH798&lt;&gt;"",AH798,IF(AC798&lt;&gt;"",AC798,IF(X798&lt;&gt;"",X798,"")))</f>
        <v/>
      </c>
      <c r="AM798" s="83" t="str">
        <f aca="false">IF(E798="","",IF(R798="","À SOUDER",IF(U798="","VT EN ATTENTE",IF(U798="R","VT REJETÉ – À REPRENDRE",IF(AL798="","À RADIOGRAPHIER",IF(AL798="A","ACCEPTÉ",IF(AL798="NX","NX – RT À REFAIRE",IF(IF(AK798=1,Z798,IF(AK798=2,AE798,""))="A","RÉPARÉ – À RADIOGRAPHIER",IF(IF(AK798=1,Z798,IF(AK798=2,AE798,""))="R","VT REJETÉ – À REPRENDRE",IF(OR(AL798="CO",AL798="NT"),"COUPE – À RESOUDER","À RÉPARER"))))))))))</f>
        <v>À SOUDER</v>
      </c>
      <c r="AN798" s="81" t="str">
        <f aca="false">IF(AND(ISNUMBER(R798),OR(AM798="À RADIOGRAPHIER",AM798="RÉPARÉ – À RADIOGRAPHIER",AM798="NX – RT À REFAIRE",AM798="À RÉPARER",AM798="COUPE – À RESOUDER",AM798="VT REJETÉ – À REPRENDRE")),MAX(0,'PROGRAMME RT'!$C$4-R798),"")</f>
        <v/>
      </c>
      <c r="AO798" s="78" t="n">
        <f aca="false">IF(AND(OR(AM798="À RADIOGRAPHIER",AM798="RÉPARÉ – À RADIOGRAPHIER",AM798="NX – RT À REFAIRE"),OR('PROGRAMME RT'!$D$5="TOUTES",B798='PROGRAMME RT'!$D$5)),1,0)</f>
        <v>0</v>
      </c>
      <c r="AP798" s="78" t="str">
        <f aca="false">IF(AO798=1,SUM(AO$7:AO798),"")</f>
        <v/>
      </c>
      <c r="AQ798" s="78" t="n">
        <f aca="false">IF(AND(OR(X798="R",X798="NX",X798="NT",X798="CO"),OR('JOINTS DE RÉPARATION'!$D$5="TOUTES",B798='JOINTS DE RÉPARATION'!$D$5),OR('JOINTS DE RÉPARATION'!$L$4="TOUS",AM798&lt;&gt;"ACCEPTÉ")),1,0)</f>
        <v>0</v>
      </c>
      <c r="AR798" s="78" t="str">
        <f aca="false">IF(AQ798=1,SUM(AQ$7:AQ798),"")</f>
        <v/>
      </c>
    </row>
    <row r="799" customFormat="false" ht="15" hidden="false" customHeight="false" outlineLevel="0" collapsed="false">
      <c r="A799" s="78" t="n">
        <f aca="false">IF(E799="","",ROW()-6)</f>
        <v>793</v>
      </c>
      <c r="B799" s="79" t="s">
        <v>586</v>
      </c>
      <c r="C799" s="80"/>
      <c r="D799" s="80"/>
      <c r="E799" s="80" t="s">
        <v>544</v>
      </c>
      <c r="F799" s="80"/>
      <c r="G799" s="80" t="s">
        <v>106</v>
      </c>
      <c r="H799" s="80"/>
      <c r="I799" s="80"/>
      <c r="J799" s="80"/>
      <c r="K799" s="80"/>
      <c r="L799" s="81" t="str">
        <f aca="false">IF(K799="","",IFERROR(INDEX(BARDAGE!$C$7:$C$1506,MATCH(K799,BARDAGE!$B$7:$B$1506,0)),"? hors registre"))</f>
        <v/>
      </c>
      <c r="M799" s="80"/>
      <c r="N799" s="81" t="str">
        <f aca="false">IF(M799="","",IFERROR(INDEX(BARDAGE!$C$7:$C$1506,MATCH(M799,BARDAGE!$B$7:$B$1506,0)),"? hors registre"))</f>
        <v/>
      </c>
      <c r="O799" s="80"/>
      <c r="P799" s="80"/>
      <c r="Q799" s="80"/>
      <c r="R799" s="82"/>
      <c r="S799" s="82"/>
      <c r="T799" s="80"/>
      <c r="U799" s="80"/>
      <c r="V799" s="82"/>
      <c r="W799" s="80"/>
      <c r="X799" s="80"/>
      <c r="Y799" s="80"/>
      <c r="Z799" s="80"/>
      <c r="AA799" s="82"/>
      <c r="AB799" s="80"/>
      <c r="AC799" s="80"/>
      <c r="AD799" s="80"/>
      <c r="AE799" s="80"/>
      <c r="AF799" s="82"/>
      <c r="AG799" s="80"/>
      <c r="AH799" s="80"/>
      <c r="AI799" s="82"/>
      <c r="AJ799" s="79"/>
      <c r="AK799" s="78" t="n">
        <f aca="false">IF(E799="","",(X799&lt;&gt;"")+(AC799&lt;&gt;"")+(AH799&lt;&gt;""))</f>
        <v>0</v>
      </c>
      <c r="AL799" s="81" t="str">
        <f aca="false">IF(AH799&lt;&gt;"",AH799,IF(AC799&lt;&gt;"",AC799,IF(X799&lt;&gt;"",X799,"")))</f>
        <v/>
      </c>
      <c r="AM799" s="83" t="str">
        <f aca="false">IF(E799="","",IF(R799="","À SOUDER",IF(U799="","VT EN ATTENTE",IF(U799="R","VT REJETÉ – À REPRENDRE",IF(AL799="","À RADIOGRAPHIER",IF(AL799="A","ACCEPTÉ",IF(AL799="NX","NX – RT À REFAIRE",IF(IF(AK799=1,Z799,IF(AK799=2,AE799,""))="A","RÉPARÉ – À RADIOGRAPHIER",IF(IF(AK799=1,Z799,IF(AK799=2,AE799,""))="R","VT REJETÉ – À REPRENDRE",IF(OR(AL799="CO",AL799="NT"),"COUPE – À RESOUDER","À RÉPARER"))))))))))</f>
        <v>À SOUDER</v>
      </c>
      <c r="AN799" s="81" t="str">
        <f aca="false">IF(AND(ISNUMBER(R799),OR(AM799="À RADIOGRAPHIER",AM799="RÉPARÉ – À RADIOGRAPHIER",AM799="NX – RT À REFAIRE",AM799="À RÉPARER",AM799="COUPE – À RESOUDER",AM799="VT REJETÉ – À REPRENDRE")),MAX(0,'PROGRAMME RT'!$C$4-R799),"")</f>
        <v/>
      </c>
      <c r="AO799" s="78" t="n">
        <f aca="false">IF(AND(OR(AM799="À RADIOGRAPHIER",AM799="RÉPARÉ – À RADIOGRAPHIER",AM799="NX – RT À REFAIRE"),OR('PROGRAMME RT'!$D$5="TOUTES",B799='PROGRAMME RT'!$D$5)),1,0)</f>
        <v>0</v>
      </c>
      <c r="AP799" s="78" t="str">
        <f aca="false">IF(AO799=1,SUM(AO$7:AO799),"")</f>
        <v/>
      </c>
      <c r="AQ799" s="78" t="n">
        <f aca="false">IF(AND(OR(X799="R",X799="NX",X799="NT",X799="CO"),OR('JOINTS DE RÉPARATION'!$D$5="TOUTES",B799='JOINTS DE RÉPARATION'!$D$5),OR('JOINTS DE RÉPARATION'!$L$4="TOUS",AM799&lt;&gt;"ACCEPTÉ")),1,0)</f>
        <v>0</v>
      </c>
      <c r="AR799" s="78" t="str">
        <f aca="false">IF(AQ799=1,SUM(AQ$7:AQ799),"")</f>
        <v/>
      </c>
    </row>
    <row r="800" customFormat="false" ht="15" hidden="false" customHeight="false" outlineLevel="0" collapsed="false">
      <c r="A800" s="78" t="n">
        <f aca="false">IF(E800="","",ROW()-6)</f>
        <v>794</v>
      </c>
      <c r="B800" s="79" t="s">
        <v>586</v>
      </c>
      <c r="C800" s="80"/>
      <c r="D800" s="80"/>
      <c r="E800" s="80" t="s">
        <v>546</v>
      </c>
      <c r="F800" s="80"/>
      <c r="G800" s="80" t="s">
        <v>106</v>
      </c>
      <c r="H800" s="80"/>
      <c r="I800" s="80"/>
      <c r="J800" s="80"/>
      <c r="K800" s="80"/>
      <c r="L800" s="81" t="str">
        <f aca="false">IF(K800="","",IFERROR(INDEX(BARDAGE!$C$7:$C$1506,MATCH(K800,BARDAGE!$B$7:$B$1506,0)),"? hors registre"))</f>
        <v/>
      </c>
      <c r="M800" s="80"/>
      <c r="N800" s="81" t="str">
        <f aca="false">IF(M800="","",IFERROR(INDEX(BARDAGE!$C$7:$C$1506,MATCH(M800,BARDAGE!$B$7:$B$1506,0)),"? hors registre"))</f>
        <v/>
      </c>
      <c r="O800" s="80"/>
      <c r="P800" s="80"/>
      <c r="Q800" s="80"/>
      <c r="R800" s="82"/>
      <c r="S800" s="82"/>
      <c r="T800" s="80"/>
      <c r="U800" s="80"/>
      <c r="V800" s="82"/>
      <c r="W800" s="80"/>
      <c r="X800" s="80"/>
      <c r="Y800" s="80"/>
      <c r="Z800" s="80"/>
      <c r="AA800" s="82"/>
      <c r="AB800" s="80"/>
      <c r="AC800" s="80"/>
      <c r="AD800" s="80"/>
      <c r="AE800" s="80"/>
      <c r="AF800" s="82"/>
      <c r="AG800" s="80"/>
      <c r="AH800" s="80"/>
      <c r="AI800" s="82"/>
      <c r="AJ800" s="79"/>
      <c r="AK800" s="78" t="n">
        <f aca="false">IF(E800="","",(X800&lt;&gt;"")+(AC800&lt;&gt;"")+(AH800&lt;&gt;""))</f>
        <v>0</v>
      </c>
      <c r="AL800" s="81" t="str">
        <f aca="false">IF(AH800&lt;&gt;"",AH800,IF(AC800&lt;&gt;"",AC800,IF(X800&lt;&gt;"",X800,"")))</f>
        <v/>
      </c>
      <c r="AM800" s="83" t="str">
        <f aca="false">IF(E800="","",IF(R800="","À SOUDER",IF(U800="","VT EN ATTENTE",IF(U800="R","VT REJETÉ – À REPRENDRE",IF(AL800="","À RADIOGRAPHIER",IF(AL800="A","ACCEPTÉ",IF(AL800="NX","NX – RT À REFAIRE",IF(IF(AK800=1,Z800,IF(AK800=2,AE800,""))="A","RÉPARÉ – À RADIOGRAPHIER",IF(IF(AK800=1,Z800,IF(AK800=2,AE800,""))="R","VT REJETÉ – À REPRENDRE",IF(OR(AL800="CO",AL800="NT"),"COUPE – À RESOUDER","À RÉPARER"))))))))))</f>
        <v>À SOUDER</v>
      </c>
      <c r="AN800" s="81" t="str">
        <f aca="false">IF(AND(ISNUMBER(R800),OR(AM800="À RADIOGRAPHIER",AM800="RÉPARÉ – À RADIOGRAPHIER",AM800="NX – RT À REFAIRE",AM800="À RÉPARER",AM800="COUPE – À RESOUDER",AM800="VT REJETÉ – À REPRENDRE")),MAX(0,'PROGRAMME RT'!$C$4-R800),"")</f>
        <v/>
      </c>
      <c r="AO800" s="78" t="n">
        <f aca="false">IF(AND(OR(AM800="À RADIOGRAPHIER",AM800="RÉPARÉ – À RADIOGRAPHIER",AM800="NX – RT À REFAIRE"),OR('PROGRAMME RT'!$D$5="TOUTES",B800='PROGRAMME RT'!$D$5)),1,0)</f>
        <v>0</v>
      </c>
      <c r="AP800" s="78" t="str">
        <f aca="false">IF(AO800=1,SUM(AO$7:AO800),"")</f>
        <v/>
      </c>
      <c r="AQ800" s="78" t="n">
        <f aca="false">IF(AND(OR(X800="R",X800="NX",X800="NT",X800="CO"),OR('JOINTS DE RÉPARATION'!$D$5="TOUTES",B800='JOINTS DE RÉPARATION'!$D$5),OR('JOINTS DE RÉPARATION'!$L$4="TOUS",AM800&lt;&gt;"ACCEPTÉ")),1,0)</f>
        <v>0</v>
      </c>
      <c r="AR800" s="78" t="str">
        <f aca="false">IF(AQ800=1,SUM(AQ$7:AQ800),"")</f>
        <v/>
      </c>
    </row>
    <row r="801" customFormat="false" ht="15" hidden="false" customHeight="false" outlineLevel="0" collapsed="false">
      <c r="A801" s="78" t="n">
        <f aca="false">IF(E801="","",ROW()-6)</f>
        <v>795</v>
      </c>
      <c r="B801" s="79" t="s">
        <v>586</v>
      </c>
      <c r="C801" s="80"/>
      <c r="D801" s="80"/>
      <c r="E801" s="80" t="s">
        <v>549</v>
      </c>
      <c r="F801" s="80"/>
      <c r="G801" s="80" t="s">
        <v>106</v>
      </c>
      <c r="H801" s="80"/>
      <c r="I801" s="80"/>
      <c r="J801" s="80"/>
      <c r="K801" s="80"/>
      <c r="L801" s="81" t="str">
        <f aca="false">IF(K801="","",IFERROR(INDEX(BARDAGE!$C$7:$C$1506,MATCH(K801,BARDAGE!$B$7:$B$1506,0)),"? hors registre"))</f>
        <v/>
      </c>
      <c r="M801" s="80"/>
      <c r="N801" s="81" t="str">
        <f aca="false">IF(M801="","",IFERROR(INDEX(BARDAGE!$C$7:$C$1506,MATCH(M801,BARDAGE!$B$7:$B$1506,0)),"? hors registre"))</f>
        <v/>
      </c>
      <c r="O801" s="80"/>
      <c r="P801" s="80"/>
      <c r="Q801" s="80"/>
      <c r="R801" s="82"/>
      <c r="S801" s="82"/>
      <c r="T801" s="80"/>
      <c r="U801" s="80"/>
      <c r="V801" s="82"/>
      <c r="W801" s="80"/>
      <c r="X801" s="80"/>
      <c r="Y801" s="80"/>
      <c r="Z801" s="80"/>
      <c r="AA801" s="82"/>
      <c r="AB801" s="80"/>
      <c r="AC801" s="80"/>
      <c r="AD801" s="80"/>
      <c r="AE801" s="80"/>
      <c r="AF801" s="82"/>
      <c r="AG801" s="80"/>
      <c r="AH801" s="80"/>
      <c r="AI801" s="82"/>
      <c r="AJ801" s="79"/>
      <c r="AK801" s="78" t="n">
        <f aca="false">IF(E801="","",(X801&lt;&gt;"")+(AC801&lt;&gt;"")+(AH801&lt;&gt;""))</f>
        <v>0</v>
      </c>
      <c r="AL801" s="81" t="str">
        <f aca="false">IF(AH801&lt;&gt;"",AH801,IF(AC801&lt;&gt;"",AC801,IF(X801&lt;&gt;"",X801,"")))</f>
        <v/>
      </c>
      <c r="AM801" s="83" t="str">
        <f aca="false">IF(E801="","",IF(R801="","À SOUDER",IF(U801="","VT EN ATTENTE",IF(U801="R","VT REJETÉ – À REPRENDRE",IF(AL801="","À RADIOGRAPHIER",IF(AL801="A","ACCEPTÉ",IF(AL801="NX","NX – RT À REFAIRE",IF(IF(AK801=1,Z801,IF(AK801=2,AE801,""))="A","RÉPARÉ – À RADIOGRAPHIER",IF(IF(AK801=1,Z801,IF(AK801=2,AE801,""))="R","VT REJETÉ – À REPRENDRE",IF(OR(AL801="CO",AL801="NT"),"COUPE – À RESOUDER","À RÉPARER"))))))))))</f>
        <v>À SOUDER</v>
      </c>
      <c r="AN801" s="81" t="str">
        <f aca="false">IF(AND(ISNUMBER(R801),OR(AM801="À RADIOGRAPHIER",AM801="RÉPARÉ – À RADIOGRAPHIER",AM801="NX – RT À REFAIRE",AM801="À RÉPARER",AM801="COUPE – À RESOUDER",AM801="VT REJETÉ – À REPRENDRE")),MAX(0,'PROGRAMME RT'!$C$4-R801),"")</f>
        <v/>
      </c>
      <c r="AO801" s="78" t="n">
        <f aca="false">IF(AND(OR(AM801="À RADIOGRAPHIER",AM801="RÉPARÉ – À RADIOGRAPHIER",AM801="NX – RT À REFAIRE"),OR('PROGRAMME RT'!$D$5="TOUTES",B801='PROGRAMME RT'!$D$5)),1,0)</f>
        <v>0</v>
      </c>
      <c r="AP801" s="78" t="str">
        <f aca="false">IF(AO801=1,SUM(AO$7:AO801),"")</f>
        <v/>
      </c>
      <c r="AQ801" s="78" t="n">
        <f aca="false">IF(AND(OR(X801="R",X801="NX",X801="NT",X801="CO"),OR('JOINTS DE RÉPARATION'!$D$5="TOUTES",B801='JOINTS DE RÉPARATION'!$D$5),OR('JOINTS DE RÉPARATION'!$L$4="TOUS",AM801&lt;&gt;"ACCEPTÉ")),1,0)</f>
        <v>0</v>
      </c>
      <c r="AR801" s="78" t="str">
        <f aca="false">IF(AQ801=1,SUM(AQ$7:AQ801),"")</f>
        <v/>
      </c>
    </row>
    <row r="802" customFormat="false" ht="15" hidden="false" customHeight="false" outlineLevel="0" collapsed="false">
      <c r="A802" s="78" t="n">
        <f aca="false">IF(E802="","",ROW()-6)</f>
        <v>796</v>
      </c>
      <c r="B802" s="79" t="s">
        <v>586</v>
      </c>
      <c r="C802" s="80"/>
      <c r="D802" s="80"/>
      <c r="E802" s="80" t="s">
        <v>551</v>
      </c>
      <c r="F802" s="80"/>
      <c r="G802" s="80" t="s">
        <v>106</v>
      </c>
      <c r="H802" s="80"/>
      <c r="I802" s="80"/>
      <c r="J802" s="80"/>
      <c r="K802" s="80"/>
      <c r="L802" s="81" t="str">
        <f aca="false">IF(K802="","",IFERROR(INDEX(BARDAGE!$C$7:$C$1506,MATCH(K802,BARDAGE!$B$7:$B$1506,0)),"? hors registre"))</f>
        <v/>
      </c>
      <c r="M802" s="80"/>
      <c r="N802" s="81" t="str">
        <f aca="false">IF(M802="","",IFERROR(INDEX(BARDAGE!$C$7:$C$1506,MATCH(M802,BARDAGE!$B$7:$B$1506,0)),"? hors registre"))</f>
        <v/>
      </c>
      <c r="O802" s="80"/>
      <c r="P802" s="80"/>
      <c r="Q802" s="80"/>
      <c r="R802" s="82"/>
      <c r="S802" s="82"/>
      <c r="T802" s="80"/>
      <c r="U802" s="80"/>
      <c r="V802" s="82"/>
      <c r="W802" s="80"/>
      <c r="X802" s="80"/>
      <c r="Y802" s="80"/>
      <c r="Z802" s="80"/>
      <c r="AA802" s="82"/>
      <c r="AB802" s="80"/>
      <c r="AC802" s="80"/>
      <c r="AD802" s="80"/>
      <c r="AE802" s="80"/>
      <c r="AF802" s="82"/>
      <c r="AG802" s="80"/>
      <c r="AH802" s="80"/>
      <c r="AI802" s="82"/>
      <c r="AJ802" s="79"/>
      <c r="AK802" s="78" t="n">
        <f aca="false">IF(E802="","",(X802&lt;&gt;"")+(AC802&lt;&gt;"")+(AH802&lt;&gt;""))</f>
        <v>0</v>
      </c>
      <c r="AL802" s="81" t="str">
        <f aca="false">IF(AH802&lt;&gt;"",AH802,IF(AC802&lt;&gt;"",AC802,IF(X802&lt;&gt;"",X802,"")))</f>
        <v/>
      </c>
      <c r="AM802" s="83" t="str">
        <f aca="false">IF(E802="","",IF(R802="","À SOUDER",IF(U802="","VT EN ATTENTE",IF(U802="R","VT REJETÉ – À REPRENDRE",IF(AL802="","À RADIOGRAPHIER",IF(AL802="A","ACCEPTÉ",IF(AL802="NX","NX – RT À REFAIRE",IF(IF(AK802=1,Z802,IF(AK802=2,AE802,""))="A","RÉPARÉ – À RADIOGRAPHIER",IF(IF(AK802=1,Z802,IF(AK802=2,AE802,""))="R","VT REJETÉ – À REPRENDRE",IF(OR(AL802="CO",AL802="NT"),"COUPE – À RESOUDER","À RÉPARER"))))))))))</f>
        <v>À SOUDER</v>
      </c>
      <c r="AN802" s="81" t="str">
        <f aca="false">IF(AND(ISNUMBER(R802),OR(AM802="À RADIOGRAPHIER",AM802="RÉPARÉ – À RADIOGRAPHIER",AM802="NX – RT À REFAIRE",AM802="À RÉPARER",AM802="COUPE – À RESOUDER",AM802="VT REJETÉ – À REPRENDRE")),MAX(0,'PROGRAMME RT'!$C$4-R802),"")</f>
        <v/>
      </c>
      <c r="AO802" s="78" t="n">
        <f aca="false">IF(AND(OR(AM802="À RADIOGRAPHIER",AM802="RÉPARÉ – À RADIOGRAPHIER",AM802="NX – RT À REFAIRE"),OR('PROGRAMME RT'!$D$5="TOUTES",B802='PROGRAMME RT'!$D$5)),1,0)</f>
        <v>0</v>
      </c>
      <c r="AP802" s="78" t="str">
        <f aca="false">IF(AO802=1,SUM(AO$7:AO802),"")</f>
        <v/>
      </c>
      <c r="AQ802" s="78" t="n">
        <f aca="false">IF(AND(OR(X802="R",X802="NX",X802="NT",X802="CO"),OR('JOINTS DE RÉPARATION'!$D$5="TOUTES",B802='JOINTS DE RÉPARATION'!$D$5),OR('JOINTS DE RÉPARATION'!$L$4="TOUS",AM802&lt;&gt;"ACCEPTÉ")),1,0)</f>
        <v>0</v>
      </c>
      <c r="AR802" s="78" t="str">
        <f aca="false">IF(AQ802=1,SUM(AQ$7:AQ802),"")</f>
        <v/>
      </c>
    </row>
    <row r="803" customFormat="false" ht="15" hidden="false" customHeight="false" outlineLevel="0" collapsed="false">
      <c r="A803" s="78" t="n">
        <f aca="false">IF(E803="","",ROW()-6)</f>
        <v>797</v>
      </c>
      <c r="B803" s="79" t="s">
        <v>586</v>
      </c>
      <c r="C803" s="80"/>
      <c r="D803" s="80"/>
      <c r="E803" s="80" t="s">
        <v>553</v>
      </c>
      <c r="F803" s="80"/>
      <c r="G803" s="80" t="s">
        <v>106</v>
      </c>
      <c r="H803" s="80"/>
      <c r="I803" s="80"/>
      <c r="J803" s="80"/>
      <c r="K803" s="80"/>
      <c r="L803" s="81" t="str">
        <f aca="false">IF(K803="","",IFERROR(INDEX(BARDAGE!$C$7:$C$1506,MATCH(K803,BARDAGE!$B$7:$B$1506,0)),"? hors registre"))</f>
        <v/>
      </c>
      <c r="M803" s="80"/>
      <c r="N803" s="81" t="str">
        <f aca="false">IF(M803="","",IFERROR(INDEX(BARDAGE!$C$7:$C$1506,MATCH(M803,BARDAGE!$B$7:$B$1506,0)),"? hors registre"))</f>
        <v/>
      </c>
      <c r="O803" s="80"/>
      <c r="P803" s="80"/>
      <c r="Q803" s="80"/>
      <c r="R803" s="82"/>
      <c r="S803" s="82"/>
      <c r="T803" s="80"/>
      <c r="U803" s="80"/>
      <c r="V803" s="82"/>
      <c r="W803" s="80"/>
      <c r="X803" s="80"/>
      <c r="Y803" s="80"/>
      <c r="Z803" s="80"/>
      <c r="AA803" s="82"/>
      <c r="AB803" s="80"/>
      <c r="AC803" s="80"/>
      <c r="AD803" s="80"/>
      <c r="AE803" s="80"/>
      <c r="AF803" s="82"/>
      <c r="AG803" s="80"/>
      <c r="AH803" s="80"/>
      <c r="AI803" s="82"/>
      <c r="AJ803" s="79"/>
      <c r="AK803" s="78" t="n">
        <f aca="false">IF(E803="","",(X803&lt;&gt;"")+(AC803&lt;&gt;"")+(AH803&lt;&gt;""))</f>
        <v>0</v>
      </c>
      <c r="AL803" s="81" t="str">
        <f aca="false">IF(AH803&lt;&gt;"",AH803,IF(AC803&lt;&gt;"",AC803,IF(X803&lt;&gt;"",X803,"")))</f>
        <v/>
      </c>
      <c r="AM803" s="83" t="str">
        <f aca="false">IF(E803="","",IF(R803="","À SOUDER",IF(U803="","VT EN ATTENTE",IF(U803="R","VT REJETÉ – À REPRENDRE",IF(AL803="","À RADIOGRAPHIER",IF(AL803="A","ACCEPTÉ",IF(AL803="NX","NX – RT À REFAIRE",IF(IF(AK803=1,Z803,IF(AK803=2,AE803,""))="A","RÉPARÉ – À RADIOGRAPHIER",IF(IF(AK803=1,Z803,IF(AK803=2,AE803,""))="R","VT REJETÉ – À REPRENDRE",IF(OR(AL803="CO",AL803="NT"),"COUPE – À RESOUDER","À RÉPARER"))))))))))</f>
        <v>À SOUDER</v>
      </c>
      <c r="AN803" s="81" t="str">
        <f aca="false">IF(AND(ISNUMBER(R803),OR(AM803="À RADIOGRAPHIER",AM803="RÉPARÉ – À RADIOGRAPHIER",AM803="NX – RT À REFAIRE",AM803="À RÉPARER",AM803="COUPE – À RESOUDER",AM803="VT REJETÉ – À REPRENDRE")),MAX(0,'PROGRAMME RT'!$C$4-R803),"")</f>
        <v/>
      </c>
      <c r="AO803" s="78" t="n">
        <f aca="false">IF(AND(OR(AM803="À RADIOGRAPHIER",AM803="RÉPARÉ – À RADIOGRAPHIER",AM803="NX – RT À REFAIRE"),OR('PROGRAMME RT'!$D$5="TOUTES",B803='PROGRAMME RT'!$D$5)),1,0)</f>
        <v>0</v>
      </c>
      <c r="AP803" s="78" t="str">
        <f aca="false">IF(AO803=1,SUM(AO$7:AO803),"")</f>
        <v/>
      </c>
      <c r="AQ803" s="78" t="n">
        <f aca="false">IF(AND(OR(X803="R",X803="NX",X803="NT",X803="CO"),OR('JOINTS DE RÉPARATION'!$D$5="TOUTES",B803='JOINTS DE RÉPARATION'!$D$5),OR('JOINTS DE RÉPARATION'!$L$4="TOUS",AM803&lt;&gt;"ACCEPTÉ")),1,0)</f>
        <v>0</v>
      </c>
      <c r="AR803" s="78" t="str">
        <f aca="false">IF(AQ803=1,SUM(AQ$7:AQ803),"")</f>
        <v/>
      </c>
    </row>
    <row r="804" customFormat="false" ht="15" hidden="false" customHeight="false" outlineLevel="0" collapsed="false">
      <c r="A804" s="78" t="n">
        <f aca="false">IF(E804="","",ROW()-6)</f>
        <v>798</v>
      </c>
      <c r="B804" s="79" t="s">
        <v>586</v>
      </c>
      <c r="C804" s="80"/>
      <c r="D804" s="80"/>
      <c r="E804" s="80" t="s">
        <v>555</v>
      </c>
      <c r="F804" s="80"/>
      <c r="G804" s="80" t="s">
        <v>106</v>
      </c>
      <c r="H804" s="80"/>
      <c r="I804" s="80"/>
      <c r="J804" s="80"/>
      <c r="K804" s="80"/>
      <c r="L804" s="81" t="str">
        <f aca="false">IF(K804="","",IFERROR(INDEX(BARDAGE!$C$7:$C$1506,MATCH(K804,BARDAGE!$B$7:$B$1506,0)),"? hors registre"))</f>
        <v/>
      </c>
      <c r="M804" s="80"/>
      <c r="N804" s="81" t="str">
        <f aca="false">IF(M804="","",IFERROR(INDEX(BARDAGE!$C$7:$C$1506,MATCH(M804,BARDAGE!$B$7:$B$1506,0)),"? hors registre"))</f>
        <v/>
      </c>
      <c r="O804" s="80"/>
      <c r="P804" s="80"/>
      <c r="Q804" s="80"/>
      <c r="R804" s="82"/>
      <c r="S804" s="82"/>
      <c r="T804" s="80"/>
      <c r="U804" s="80"/>
      <c r="V804" s="82"/>
      <c r="W804" s="80"/>
      <c r="X804" s="80"/>
      <c r="Y804" s="80"/>
      <c r="Z804" s="80"/>
      <c r="AA804" s="82"/>
      <c r="AB804" s="80"/>
      <c r="AC804" s="80"/>
      <c r="AD804" s="80"/>
      <c r="AE804" s="80"/>
      <c r="AF804" s="82"/>
      <c r="AG804" s="80"/>
      <c r="AH804" s="80"/>
      <c r="AI804" s="82"/>
      <c r="AJ804" s="79"/>
      <c r="AK804" s="78" t="n">
        <f aca="false">IF(E804="","",(X804&lt;&gt;"")+(AC804&lt;&gt;"")+(AH804&lt;&gt;""))</f>
        <v>0</v>
      </c>
      <c r="AL804" s="81" t="str">
        <f aca="false">IF(AH804&lt;&gt;"",AH804,IF(AC804&lt;&gt;"",AC804,IF(X804&lt;&gt;"",X804,"")))</f>
        <v/>
      </c>
      <c r="AM804" s="83" t="str">
        <f aca="false">IF(E804="","",IF(R804="","À SOUDER",IF(U804="","VT EN ATTENTE",IF(U804="R","VT REJETÉ – À REPRENDRE",IF(AL804="","À RADIOGRAPHIER",IF(AL804="A","ACCEPTÉ",IF(AL804="NX","NX – RT À REFAIRE",IF(IF(AK804=1,Z804,IF(AK804=2,AE804,""))="A","RÉPARÉ – À RADIOGRAPHIER",IF(IF(AK804=1,Z804,IF(AK804=2,AE804,""))="R","VT REJETÉ – À REPRENDRE",IF(OR(AL804="CO",AL804="NT"),"COUPE – À RESOUDER","À RÉPARER"))))))))))</f>
        <v>À SOUDER</v>
      </c>
      <c r="AN804" s="81" t="str">
        <f aca="false">IF(AND(ISNUMBER(R804),OR(AM804="À RADIOGRAPHIER",AM804="RÉPARÉ – À RADIOGRAPHIER",AM804="NX – RT À REFAIRE",AM804="À RÉPARER",AM804="COUPE – À RESOUDER",AM804="VT REJETÉ – À REPRENDRE")),MAX(0,'PROGRAMME RT'!$C$4-R804),"")</f>
        <v/>
      </c>
      <c r="AO804" s="78" t="n">
        <f aca="false">IF(AND(OR(AM804="À RADIOGRAPHIER",AM804="RÉPARÉ – À RADIOGRAPHIER",AM804="NX – RT À REFAIRE"),OR('PROGRAMME RT'!$D$5="TOUTES",B804='PROGRAMME RT'!$D$5)),1,0)</f>
        <v>0</v>
      </c>
      <c r="AP804" s="78" t="str">
        <f aca="false">IF(AO804=1,SUM(AO$7:AO804),"")</f>
        <v/>
      </c>
      <c r="AQ804" s="78" t="n">
        <f aca="false">IF(AND(OR(X804="R",X804="NX",X804="NT",X804="CO"),OR('JOINTS DE RÉPARATION'!$D$5="TOUTES",B804='JOINTS DE RÉPARATION'!$D$5),OR('JOINTS DE RÉPARATION'!$L$4="TOUS",AM804&lt;&gt;"ACCEPTÉ")),1,0)</f>
        <v>0</v>
      </c>
      <c r="AR804" s="78" t="str">
        <f aca="false">IF(AQ804=1,SUM(AQ$7:AQ804),"")</f>
        <v/>
      </c>
    </row>
    <row r="805" customFormat="false" ht="15" hidden="false" customHeight="false" outlineLevel="0" collapsed="false">
      <c r="A805" s="78" t="n">
        <f aca="false">IF(E805="","",ROW()-6)</f>
        <v>799</v>
      </c>
      <c r="B805" s="79" t="s">
        <v>586</v>
      </c>
      <c r="C805" s="80"/>
      <c r="D805" s="80"/>
      <c r="E805" s="80" t="s">
        <v>557</v>
      </c>
      <c r="F805" s="80"/>
      <c r="G805" s="80" t="s">
        <v>106</v>
      </c>
      <c r="H805" s="80"/>
      <c r="I805" s="80"/>
      <c r="J805" s="80"/>
      <c r="K805" s="80"/>
      <c r="L805" s="81" t="str">
        <f aca="false">IF(K805="","",IFERROR(INDEX(BARDAGE!$C$7:$C$1506,MATCH(K805,BARDAGE!$B$7:$B$1506,0)),"? hors registre"))</f>
        <v/>
      </c>
      <c r="M805" s="80"/>
      <c r="N805" s="81" t="str">
        <f aca="false">IF(M805="","",IFERROR(INDEX(BARDAGE!$C$7:$C$1506,MATCH(M805,BARDAGE!$B$7:$B$1506,0)),"? hors registre"))</f>
        <v/>
      </c>
      <c r="O805" s="80"/>
      <c r="P805" s="80"/>
      <c r="Q805" s="80"/>
      <c r="R805" s="82"/>
      <c r="S805" s="82"/>
      <c r="T805" s="80"/>
      <c r="U805" s="80"/>
      <c r="V805" s="82"/>
      <c r="W805" s="80"/>
      <c r="X805" s="80"/>
      <c r="Y805" s="80"/>
      <c r="Z805" s="80"/>
      <c r="AA805" s="82"/>
      <c r="AB805" s="80"/>
      <c r="AC805" s="80"/>
      <c r="AD805" s="80"/>
      <c r="AE805" s="80"/>
      <c r="AF805" s="82"/>
      <c r="AG805" s="80"/>
      <c r="AH805" s="80"/>
      <c r="AI805" s="82"/>
      <c r="AJ805" s="79"/>
      <c r="AK805" s="78" t="n">
        <f aca="false">IF(E805="","",(X805&lt;&gt;"")+(AC805&lt;&gt;"")+(AH805&lt;&gt;""))</f>
        <v>0</v>
      </c>
      <c r="AL805" s="81" t="str">
        <f aca="false">IF(AH805&lt;&gt;"",AH805,IF(AC805&lt;&gt;"",AC805,IF(X805&lt;&gt;"",X805,"")))</f>
        <v/>
      </c>
      <c r="AM805" s="83" t="str">
        <f aca="false">IF(E805="","",IF(R805="","À SOUDER",IF(U805="","VT EN ATTENTE",IF(U805="R","VT REJETÉ – À REPRENDRE",IF(AL805="","À RADIOGRAPHIER",IF(AL805="A","ACCEPTÉ",IF(AL805="NX","NX – RT À REFAIRE",IF(IF(AK805=1,Z805,IF(AK805=2,AE805,""))="A","RÉPARÉ – À RADIOGRAPHIER",IF(IF(AK805=1,Z805,IF(AK805=2,AE805,""))="R","VT REJETÉ – À REPRENDRE",IF(OR(AL805="CO",AL805="NT"),"COUPE – À RESOUDER","À RÉPARER"))))))))))</f>
        <v>À SOUDER</v>
      </c>
      <c r="AN805" s="81" t="str">
        <f aca="false">IF(AND(ISNUMBER(R805),OR(AM805="À RADIOGRAPHIER",AM805="RÉPARÉ – À RADIOGRAPHIER",AM805="NX – RT À REFAIRE",AM805="À RÉPARER",AM805="COUPE – À RESOUDER",AM805="VT REJETÉ – À REPRENDRE")),MAX(0,'PROGRAMME RT'!$C$4-R805),"")</f>
        <v/>
      </c>
      <c r="AO805" s="78" t="n">
        <f aca="false">IF(AND(OR(AM805="À RADIOGRAPHIER",AM805="RÉPARÉ – À RADIOGRAPHIER",AM805="NX – RT À REFAIRE"),OR('PROGRAMME RT'!$D$5="TOUTES",B805='PROGRAMME RT'!$D$5)),1,0)</f>
        <v>0</v>
      </c>
      <c r="AP805" s="78" t="str">
        <f aca="false">IF(AO805=1,SUM(AO$7:AO805),"")</f>
        <v/>
      </c>
      <c r="AQ805" s="78" t="n">
        <f aca="false">IF(AND(OR(X805="R",X805="NX",X805="NT",X805="CO"),OR('JOINTS DE RÉPARATION'!$D$5="TOUTES",B805='JOINTS DE RÉPARATION'!$D$5),OR('JOINTS DE RÉPARATION'!$L$4="TOUS",AM805&lt;&gt;"ACCEPTÉ")),1,0)</f>
        <v>0</v>
      </c>
      <c r="AR805" s="78" t="str">
        <f aca="false">IF(AQ805=1,SUM(AQ$7:AQ805),"")</f>
        <v/>
      </c>
    </row>
    <row r="806" customFormat="false" ht="15" hidden="false" customHeight="false" outlineLevel="0" collapsed="false">
      <c r="A806" s="78" t="n">
        <f aca="false">IF(E806="","",ROW()-6)</f>
        <v>800</v>
      </c>
      <c r="B806" s="79" t="s">
        <v>586</v>
      </c>
      <c r="C806" s="80"/>
      <c r="D806" s="80"/>
      <c r="E806" s="80" t="s">
        <v>559</v>
      </c>
      <c r="F806" s="80"/>
      <c r="G806" s="80" t="s">
        <v>106</v>
      </c>
      <c r="H806" s="80"/>
      <c r="I806" s="80"/>
      <c r="J806" s="80"/>
      <c r="K806" s="80"/>
      <c r="L806" s="81" t="str">
        <f aca="false">IF(K806="","",IFERROR(INDEX(BARDAGE!$C$7:$C$1506,MATCH(K806,BARDAGE!$B$7:$B$1506,0)),"? hors registre"))</f>
        <v/>
      </c>
      <c r="M806" s="80"/>
      <c r="N806" s="81" t="str">
        <f aca="false">IF(M806="","",IFERROR(INDEX(BARDAGE!$C$7:$C$1506,MATCH(M806,BARDAGE!$B$7:$B$1506,0)),"? hors registre"))</f>
        <v/>
      </c>
      <c r="O806" s="80"/>
      <c r="P806" s="80"/>
      <c r="Q806" s="80"/>
      <c r="R806" s="82"/>
      <c r="S806" s="82"/>
      <c r="T806" s="80"/>
      <c r="U806" s="80"/>
      <c r="V806" s="82"/>
      <c r="W806" s="80"/>
      <c r="X806" s="80"/>
      <c r="Y806" s="80"/>
      <c r="Z806" s="80"/>
      <c r="AA806" s="82"/>
      <c r="AB806" s="80"/>
      <c r="AC806" s="80"/>
      <c r="AD806" s="80"/>
      <c r="AE806" s="80"/>
      <c r="AF806" s="82"/>
      <c r="AG806" s="80"/>
      <c r="AH806" s="80"/>
      <c r="AI806" s="82"/>
      <c r="AJ806" s="79"/>
      <c r="AK806" s="78" t="n">
        <f aca="false">IF(E806="","",(X806&lt;&gt;"")+(AC806&lt;&gt;"")+(AH806&lt;&gt;""))</f>
        <v>0</v>
      </c>
      <c r="AL806" s="81" t="str">
        <f aca="false">IF(AH806&lt;&gt;"",AH806,IF(AC806&lt;&gt;"",AC806,IF(X806&lt;&gt;"",X806,"")))</f>
        <v/>
      </c>
      <c r="AM806" s="83" t="str">
        <f aca="false">IF(E806="","",IF(R806="","À SOUDER",IF(U806="","VT EN ATTENTE",IF(U806="R","VT REJETÉ – À REPRENDRE",IF(AL806="","À RADIOGRAPHIER",IF(AL806="A","ACCEPTÉ",IF(AL806="NX","NX – RT À REFAIRE",IF(IF(AK806=1,Z806,IF(AK806=2,AE806,""))="A","RÉPARÉ – À RADIOGRAPHIER",IF(IF(AK806=1,Z806,IF(AK806=2,AE806,""))="R","VT REJETÉ – À REPRENDRE",IF(OR(AL806="CO",AL806="NT"),"COUPE – À RESOUDER","À RÉPARER"))))))))))</f>
        <v>À SOUDER</v>
      </c>
      <c r="AN806" s="81" t="str">
        <f aca="false">IF(AND(ISNUMBER(R806),OR(AM806="À RADIOGRAPHIER",AM806="RÉPARÉ – À RADIOGRAPHIER",AM806="NX – RT À REFAIRE",AM806="À RÉPARER",AM806="COUPE – À RESOUDER",AM806="VT REJETÉ – À REPRENDRE")),MAX(0,'PROGRAMME RT'!$C$4-R806),"")</f>
        <v/>
      </c>
      <c r="AO806" s="78" t="n">
        <f aca="false">IF(AND(OR(AM806="À RADIOGRAPHIER",AM806="RÉPARÉ – À RADIOGRAPHIER",AM806="NX – RT À REFAIRE"),OR('PROGRAMME RT'!$D$5="TOUTES",B806='PROGRAMME RT'!$D$5)),1,0)</f>
        <v>0</v>
      </c>
      <c r="AP806" s="78" t="str">
        <f aca="false">IF(AO806=1,SUM(AO$7:AO806),"")</f>
        <v/>
      </c>
      <c r="AQ806" s="78" t="n">
        <f aca="false">IF(AND(OR(X806="R",X806="NX",X806="NT",X806="CO"),OR('JOINTS DE RÉPARATION'!$D$5="TOUTES",B806='JOINTS DE RÉPARATION'!$D$5),OR('JOINTS DE RÉPARATION'!$L$4="TOUS",AM806&lt;&gt;"ACCEPTÉ")),1,0)</f>
        <v>0</v>
      </c>
      <c r="AR806" s="78" t="str">
        <f aca="false">IF(AQ806=1,SUM(AQ$7:AQ806),"")</f>
        <v/>
      </c>
    </row>
    <row r="807" customFormat="false" ht="15" hidden="false" customHeight="false" outlineLevel="0" collapsed="false">
      <c r="A807" s="78" t="n">
        <f aca="false">IF(E807="","",ROW()-6)</f>
        <v>801</v>
      </c>
      <c r="B807" s="79" t="s">
        <v>586</v>
      </c>
      <c r="C807" s="80"/>
      <c r="D807" s="80"/>
      <c r="E807" s="80" t="s">
        <v>561</v>
      </c>
      <c r="F807" s="80"/>
      <c r="G807" s="80" t="s">
        <v>106</v>
      </c>
      <c r="H807" s="80"/>
      <c r="I807" s="80"/>
      <c r="J807" s="80"/>
      <c r="K807" s="80"/>
      <c r="L807" s="81" t="str">
        <f aca="false">IF(K807="","",IFERROR(INDEX(BARDAGE!$C$7:$C$1506,MATCH(K807,BARDAGE!$B$7:$B$1506,0)),"? hors registre"))</f>
        <v/>
      </c>
      <c r="M807" s="80"/>
      <c r="N807" s="81" t="str">
        <f aca="false">IF(M807="","",IFERROR(INDEX(BARDAGE!$C$7:$C$1506,MATCH(M807,BARDAGE!$B$7:$B$1506,0)),"? hors registre"))</f>
        <v/>
      </c>
      <c r="O807" s="80"/>
      <c r="P807" s="80"/>
      <c r="Q807" s="80"/>
      <c r="R807" s="82"/>
      <c r="S807" s="82"/>
      <c r="T807" s="80"/>
      <c r="U807" s="80"/>
      <c r="V807" s="82"/>
      <c r="W807" s="80"/>
      <c r="X807" s="80"/>
      <c r="Y807" s="80"/>
      <c r="Z807" s="80"/>
      <c r="AA807" s="82"/>
      <c r="AB807" s="80"/>
      <c r="AC807" s="80"/>
      <c r="AD807" s="80"/>
      <c r="AE807" s="80"/>
      <c r="AF807" s="82"/>
      <c r="AG807" s="80"/>
      <c r="AH807" s="80"/>
      <c r="AI807" s="82"/>
      <c r="AJ807" s="79"/>
      <c r="AK807" s="78" t="n">
        <f aca="false">IF(E807="","",(X807&lt;&gt;"")+(AC807&lt;&gt;"")+(AH807&lt;&gt;""))</f>
        <v>0</v>
      </c>
      <c r="AL807" s="81" t="str">
        <f aca="false">IF(AH807&lt;&gt;"",AH807,IF(AC807&lt;&gt;"",AC807,IF(X807&lt;&gt;"",X807,"")))</f>
        <v/>
      </c>
      <c r="AM807" s="83" t="str">
        <f aca="false">IF(E807="","",IF(R807="","À SOUDER",IF(U807="","VT EN ATTENTE",IF(U807="R","VT REJETÉ – À REPRENDRE",IF(AL807="","À RADIOGRAPHIER",IF(AL807="A","ACCEPTÉ",IF(AL807="NX","NX – RT À REFAIRE",IF(IF(AK807=1,Z807,IF(AK807=2,AE807,""))="A","RÉPARÉ – À RADIOGRAPHIER",IF(IF(AK807=1,Z807,IF(AK807=2,AE807,""))="R","VT REJETÉ – À REPRENDRE",IF(OR(AL807="CO",AL807="NT"),"COUPE – À RESOUDER","À RÉPARER"))))))))))</f>
        <v>À SOUDER</v>
      </c>
      <c r="AN807" s="81" t="str">
        <f aca="false">IF(AND(ISNUMBER(R807),OR(AM807="À RADIOGRAPHIER",AM807="RÉPARÉ – À RADIOGRAPHIER",AM807="NX – RT À REFAIRE",AM807="À RÉPARER",AM807="COUPE – À RESOUDER",AM807="VT REJETÉ – À REPRENDRE")),MAX(0,'PROGRAMME RT'!$C$4-R807),"")</f>
        <v/>
      </c>
      <c r="AO807" s="78" t="n">
        <f aca="false">IF(AND(OR(AM807="À RADIOGRAPHIER",AM807="RÉPARÉ – À RADIOGRAPHIER",AM807="NX – RT À REFAIRE"),OR('PROGRAMME RT'!$D$5="TOUTES",B807='PROGRAMME RT'!$D$5)),1,0)</f>
        <v>0</v>
      </c>
      <c r="AP807" s="78" t="str">
        <f aca="false">IF(AO807=1,SUM(AO$7:AO807),"")</f>
        <v/>
      </c>
      <c r="AQ807" s="78" t="n">
        <f aca="false">IF(AND(OR(X807="R",X807="NX",X807="NT",X807="CO"),OR('JOINTS DE RÉPARATION'!$D$5="TOUTES",B807='JOINTS DE RÉPARATION'!$D$5),OR('JOINTS DE RÉPARATION'!$L$4="TOUS",AM807&lt;&gt;"ACCEPTÉ")),1,0)</f>
        <v>0</v>
      </c>
      <c r="AR807" s="78" t="str">
        <f aca="false">IF(AQ807=1,SUM(AQ$7:AQ807),"")</f>
        <v/>
      </c>
    </row>
    <row r="808" customFormat="false" ht="15" hidden="false" customHeight="false" outlineLevel="0" collapsed="false">
      <c r="A808" s="78" t="n">
        <f aca="false">IF(E808="","",ROW()-6)</f>
        <v>802</v>
      </c>
      <c r="B808" s="79" t="s">
        <v>586</v>
      </c>
      <c r="C808" s="80"/>
      <c r="D808" s="80"/>
      <c r="E808" s="80" t="s">
        <v>563</v>
      </c>
      <c r="F808" s="80"/>
      <c r="G808" s="80" t="s">
        <v>106</v>
      </c>
      <c r="H808" s="80"/>
      <c r="I808" s="80"/>
      <c r="J808" s="80"/>
      <c r="K808" s="80"/>
      <c r="L808" s="81" t="str">
        <f aca="false">IF(K808="","",IFERROR(INDEX(BARDAGE!$C$7:$C$1506,MATCH(K808,BARDAGE!$B$7:$B$1506,0)),"? hors registre"))</f>
        <v/>
      </c>
      <c r="M808" s="80"/>
      <c r="N808" s="81" t="str">
        <f aca="false">IF(M808="","",IFERROR(INDEX(BARDAGE!$C$7:$C$1506,MATCH(M808,BARDAGE!$B$7:$B$1506,0)),"? hors registre"))</f>
        <v/>
      </c>
      <c r="O808" s="80"/>
      <c r="P808" s="80"/>
      <c r="Q808" s="80"/>
      <c r="R808" s="82"/>
      <c r="S808" s="82"/>
      <c r="T808" s="80"/>
      <c r="U808" s="80"/>
      <c r="V808" s="82"/>
      <c r="W808" s="80"/>
      <c r="X808" s="80"/>
      <c r="Y808" s="80"/>
      <c r="Z808" s="80"/>
      <c r="AA808" s="82"/>
      <c r="AB808" s="80"/>
      <c r="AC808" s="80"/>
      <c r="AD808" s="80"/>
      <c r="AE808" s="80"/>
      <c r="AF808" s="82"/>
      <c r="AG808" s="80"/>
      <c r="AH808" s="80"/>
      <c r="AI808" s="82"/>
      <c r="AJ808" s="79"/>
      <c r="AK808" s="78" t="n">
        <f aca="false">IF(E808="","",(X808&lt;&gt;"")+(AC808&lt;&gt;"")+(AH808&lt;&gt;""))</f>
        <v>0</v>
      </c>
      <c r="AL808" s="81" t="str">
        <f aca="false">IF(AH808&lt;&gt;"",AH808,IF(AC808&lt;&gt;"",AC808,IF(X808&lt;&gt;"",X808,"")))</f>
        <v/>
      </c>
      <c r="AM808" s="83" t="str">
        <f aca="false">IF(E808="","",IF(R808="","À SOUDER",IF(U808="","VT EN ATTENTE",IF(U808="R","VT REJETÉ – À REPRENDRE",IF(AL808="","À RADIOGRAPHIER",IF(AL808="A","ACCEPTÉ",IF(AL808="NX","NX – RT À REFAIRE",IF(IF(AK808=1,Z808,IF(AK808=2,AE808,""))="A","RÉPARÉ – À RADIOGRAPHIER",IF(IF(AK808=1,Z808,IF(AK808=2,AE808,""))="R","VT REJETÉ – À REPRENDRE",IF(OR(AL808="CO",AL808="NT"),"COUPE – À RESOUDER","À RÉPARER"))))))))))</f>
        <v>À SOUDER</v>
      </c>
      <c r="AN808" s="81" t="str">
        <f aca="false">IF(AND(ISNUMBER(R808),OR(AM808="À RADIOGRAPHIER",AM808="RÉPARÉ – À RADIOGRAPHIER",AM808="NX – RT À REFAIRE",AM808="À RÉPARER",AM808="COUPE – À RESOUDER",AM808="VT REJETÉ – À REPRENDRE")),MAX(0,'PROGRAMME RT'!$C$4-R808),"")</f>
        <v/>
      </c>
      <c r="AO808" s="78" t="n">
        <f aca="false">IF(AND(OR(AM808="À RADIOGRAPHIER",AM808="RÉPARÉ – À RADIOGRAPHIER",AM808="NX – RT À REFAIRE"),OR('PROGRAMME RT'!$D$5="TOUTES",B808='PROGRAMME RT'!$D$5)),1,0)</f>
        <v>0</v>
      </c>
      <c r="AP808" s="78" t="str">
        <f aca="false">IF(AO808=1,SUM(AO$7:AO808),"")</f>
        <v/>
      </c>
      <c r="AQ808" s="78" t="n">
        <f aca="false">IF(AND(OR(X808="R",X808="NX",X808="NT",X808="CO"),OR('JOINTS DE RÉPARATION'!$D$5="TOUTES",B808='JOINTS DE RÉPARATION'!$D$5),OR('JOINTS DE RÉPARATION'!$L$4="TOUS",AM808&lt;&gt;"ACCEPTÉ")),1,0)</f>
        <v>0</v>
      </c>
      <c r="AR808" s="78" t="str">
        <f aca="false">IF(AQ808=1,SUM(AQ$7:AQ808),"")</f>
        <v/>
      </c>
    </row>
    <row r="809" customFormat="false" ht="15" hidden="false" customHeight="false" outlineLevel="0" collapsed="false">
      <c r="A809" s="78" t="n">
        <f aca="false">IF(E809="","",ROW()-6)</f>
        <v>803</v>
      </c>
      <c r="B809" s="79" t="s">
        <v>586</v>
      </c>
      <c r="C809" s="80"/>
      <c r="D809" s="80"/>
      <c r="E809" s="80" t="s">
        <v>565</v>
      </c>
      <c r="F809" s="80"/>
      <c r="G809" s="80" t="s">
        <v>106</v>
      </c>
      <c r="H809" s="80"/>
      <c r="I809" s="80"/>
      <c r="J809" s="80"/>
      <c r="K809" s="80"/>
      <c r="L809" s="81" t="str">
        <f aca="false">IF(K809="","",IFERROR(INDEX(BARDAGE!$C$7:$C$1506,MATCH(K809,BARDAGE!$B$7:$B$1506,0)),"? hors registre"))</f>
        <v/>
      </c>
      <c r="M809" s="80"/>
      <c r="N809" s="81" t="str">
        <f aca="false">IF(M809="","",IFERROR(INDEX(BARDAGE!$C$7:$C$1506,MATCH(M809,BARDAGE!$B$7:$B$1506,0)),"? hors registre"))</f>
        <v/>
      </c>
      <c r="O809" s="80"/>
      <c r="P809" s="80"/>
      <c r="Q809" s="80"/>
      <c r="R809" s="82"/>
      <c r="S809" s="82"/>
      <c r="T809" s="80"/>
      <c r="U809" s="80"/>
      <c r="V809" s="82"/>
      <c r="W809" s="80"/>
      <c r="X809" s="80"/>
      <c r="Y809" s="80"/>
      <c r="Z809" s="80"/>
      <c r="AA809" s="82"/>
      <c r="AB809" s="80"/>
      <c r="AC809" s="80"/>
      <c r="AD809" s="80"/>
      <c r="AE809" s="80"/>
      <c r="AF809" s="82"/>
      <c r="AG809" s="80"/>
      <c r="AH809" s="80"/>
      <c r="AI809" s="82"/>
      <c r="AJ809" s="79"/>
      <c r="AK809" s="78" t="n">
        <f aca="false">IF(E809="","",(X809&lt;&gt;"")+(AC809&lt;&gt;"")+(AH809&lt;&gt;""))</f>
        <v>0</v>
      </c>
      <c r="AL809" s="81" t="str">
        <f aca="false">IF(AH809&lt;&gt;"",AH809,IF(AC809&lt;&gt;"",AC809,IF(X809&lt;&gt;"",X809,"")))</f>
        <v/>
      </c>
      <c r="AM809" s="83" t="str">
        <f aca="false">IF(E809="","",IF(R809="","À SOUDER",IF(U809="","VT EN ATTENTE",IF(U809="R","VT REJETÉ – À REPRENDRE",IF(AL809="","À RADIOGRAPHIER",IF(AL809="A","ACCEPTÉ",IF(AL809="NX","NX – RT À REFAIRE",IF(IF(AK809=1,Z809,IF(AK809=2,AE809,""))="A","RÉPARÉ – À RADIOGRAPHIER",IF(IF(AK809=1,Z809,IF(AK809=2,AE809,""))="R","VT REJETÉ – À REPRENDRE",IF(OR(AL809="CO",AL809="NT"),"COUPE – À RESOUDER","À RÉPARER"))))))))))</f>
        <v>À SOUDER</v>
      </c>
      <c r="AN809" s="81" t="str">
        <f aca="false">IF(AND(ISNUMBER(R809),OR(AM809="À RADIOGRAPHIER",AM809="RÉPARÉ – À RADIOGRAPHIER",AM809="NX – RT À REFAIRE",AM809="À RÉPARER",AM809="COUPE – À RESOUDER",AM809="VT REJETÉ – À REPRENDRE")),MAX(0,'PROGRAMME RT'!$C$4-R809),"")</f>
        <v/>
      </c>
      <c r="AO809" s="78" t="n">
        <f aca="false">IF(AND(OR(AM809="À RADIOGRAPHIER",AM809="RÉPARÉ – À RADIOGRAPHIER",AM809="NX – RT À REFAIRE"),OR('PROGRAMME RT'!$D$5="TOUTES",B809='PROGRAMME RT'!$D$5)),1,0)</f>
        <v>0</v>
      </c>
      <c r="AP809" s="78" t="str">
        <f aca="false">IF(AO809=1,SUM(AO$7:AO809),"")</f>
        <v/>
      </c>
      <c r="AQ809" s="78" t="n">
        <f aca="false">IF(AND(OR(X809="R",X809="NX",X809="NT",X809="CO"),OR('JOINTS DE RÉPARATION'!$D$5="TOUTES",B809='JOINTS DE RÉPARATION'!$D$5),OR('JOINTS DE RÉPARATION'!$L$4="TOUS",AM809&lt;&gt;"ACCEPTÉ")),1,0)</f>
        <v>0</v>
      </c>
      <c r="AR809" s="78" t="str">
        <f aca="false">IF(AQ809=1,SUM(AQ$7:AQ809),"")</f>
        <v/>
      </c>
    </row>
    <row r="810" customFormat="false" ht="15" hidden="false" customHeight="false" outlineLevel="0" collapsed="false">
      <c r="A810" s="78" t="n">
        <f aca="false">IF(E810="","",ROW()-6)</f>
        <v>804</v>
      </c>
      <c r="B810" s="79" t="s">
        <v>586</v>
      </c>
      <c r="C810" s="80"/>
      <c r="D810" s="80"/>
      <c r="E810" s="80" t="s">
        <v>567</v>
      </c>
      <c r="F810" s="80"/>
      <c r="G810" s="80" t="s">
        <v>106</v>
      </c>
      <c r="H810" s="80"/>
      <c r="I810" s="80"/>
      <c r="J810" s="80"/>
      <c r="K810" s="80"/>
      <c r="L810" s="81" t="str">
        <f aca="false">IF(K810="","",IFERROR(INDEX(BARDAGE!$C$7:$C$1506,MATCH(K810,BARDAGE!$B$7:$B$1506,0)),"? hors registre"))</f>
        <v/>
      </c>
      <c r="M810" s="80"/>
      <c r="N810" s="81" t="str">
        <f aca="false">IF(M810="","",IFERROR(INDEX(BARDAGE!$C$7:$C$1506,MATCH(M810,BARDAGE!$B$7:$B$1506,0)),"? hors registre"))</f>
        <v/>
      </c>
      <c r="O810" s="80"/>
      <c r="P810" s="80"/>
      <c r="Q810" s="80"/>
      <c r="R810" s="82"/>
      <c r="S810" s="82"/>
      <c r="T810" s="80"/>
      <c r="U810" s="80"/>
      <c r="V810" s="82"/>
      <c r="W810" s="80"/>
      <c r="X810" s="80"/>
      <c r="Y810" s="80"/>
      <c r="Z810" s="80"/>
      <c r="AA810" s="82"/>
      <c r="AB810" s="80"/>
      <c r="AC810" s="80"/>
      <c r="AD810" s="80"/>
      <c r="AE810" s="80"/>
      <c r="AF810" s="82"/>
      <c r="AG810" s="80"/>
      <c r="AH810" s="80"/>
      <c r="AI810" s="82"/>
      <c r="AJ810" s="79"/>
      <c r="AK810" s="78" t="n">
        <f aca="false">IF(E810="","",(X810&lt;&gt;"")+(AC810&lt;&gt;"")+(AH810&lt;&gt;""))</f>
        <v>0</v>
      </c>
      <c r="AL810" s="81" t="str">
        <f aca="false">IF(AH810&lt;&gt;"",AH810,IF(AC810&lt;&gt;"",AC810,IF(X810&lt;&gt;"",X810,"")))</f>
        <v/>
      </c>
      <c r="AM810" s="83" t="str">
        <f aca="false">IF(E810="","",IF(R810="","À SOUDER",IF(U810="","VT EN ATTENTE",IF(U810="R","VT REJETÉ – À REPRENDRE",IF(AL810="","À RADIOGRAPHIER",IF(AL810="A","ACCEPTÉ",IF(AL810="NX","NX – RT À REFAIRE",IF(IF(AK810=1,Z810,IF(AK810=2,AE810,""))="A","RÉPARÉ – À RADIOGRAPHIER",IF(IF(AK810=1,Z810,IF(AK810=2,AE810,""))="R","VT REJETÉ – À REPRENDRE",IF(OR(AL810="CO",AL810="NT"),"COUPE – À RESOUDER","À RÉPARER"))))))))))</f>
        <v>À SOUDER</v>
      </c>
      <c r="AN810" s="81" t="str">
        <f aca="false">IF(AND(ISNUMBER(R810),OR(AM810="À RADIOGRAPHIER",AM810="RÉPARÉ – À RADIOGRAPHIER",AM810="NX – RT À REFAIRE",AM810="À RÉPARER",AM810="COUPE – À RESOUDER",AM810="VT REJETÉ – À REPRENDRE")),MAX(0,'PROGRAMME RT'!$C$4-R810),"")</f>
        <v/>
      </c>
      <c r="AO810" s="78" t="n">
        <f aca="false">IF(AND(OR(AM810="À RADIOGRAPHIER",AM810="RÉPARÉ – À RADIOGRAPHIER",AM810="NX – RT À REFAIRE"),OR('PROGRAMME RT'!$D$5="TOUTES",B810='PROGRAMME RT'!$D$5)),1,0)</f>
        <v>0</v>
      </c>
      <c r="AP810" s="78" t="str">
        <f aca="false">IF(AO810=1,SUM(AO$7:AO810),"")</f>
        <v/>
      </c>
      <c r="AQ810" s="78" t="n">
        <f aca="false">IF(AND(OR(X810="R",X810="NX",X810="NT",X810="CO"),OR('JOINTS DE RÉPARATION'!$D$5="TOUTES",B810='JOINTS DE RÉPARATION'!$D$5),OR('JOINTS DE RÉPARATION'!$L$4="TOUS",AM810&lt;&gt;"ACCEPTÉ")),1,0)</f>
        <v>0</v>
      </c>
      <c r="AR810" s="78" t="str">
        <f aca="false">IF(AQ810=1,SUM(AQ$7:AQ810),"")</f>
        <v/>
      </c>
    </row>
    <row r="811" customFormat="false" ht="15" hidden="false" customHeight="false" outlineLevel="0" collapsed="false">
      <c r="A811" s="78" t="n">
        <f aca="false">IF(E811="","",ROW()-6)</f>
        <v>805</v>
      </c>
      <c r="B811" s="79" t="s">
        <v>586</v>
      </c>
      <c r="C811" s="80"/>
      <c r="D811" s="80"/>
      <c r="E811" s="80" t="s">
        <v>570</v>
      </c>
      <c r="F811" s="80"/>
      <c r="G811" s="80" t="s">
        <v>106</v>
      </c>
      <c r="H811" s="80"/>
      <c r="I811" s="80"/>
      <c r="J811" s="80"/>
      <c r="K811" s="80"/>
      <c r="L811" s="81" t="str">
        <f aca="false">IF(K811="","",IFERROR(INDEX(BARDAGE!$C$7:$C$1506,MATCH(K811,BARDAGE!$B$7:$B$1506,0)),"? hors registre"))</f>
        <v/>
      </c>
      <c r="M811" s="80"/>
      <c r="N811" s="81" t="str">
        <f aca="false">IF(M811="","",IFERROR(INDEX(BARDAGE!$C$7:$C$1506,MATCH(M811,BARDAGE!$B$7:$B$1506,0)),"? hors registre"))</f>
        <v/>
      </c>
      <c r="O811" s="80"/>
      <c r="P811" s="80"/>
      <c r="Q811" s="80"/>
      <c r="R811" s="82"/>
      <c r="S811" s="82"/>
      <c r="T811" s="80"/>
      <c r="U811" s="80"/>
      <c r="V811" s="82"/>
      <c r="W811" s="80"/>
      <c r="X811" s="80"/>
      <c r="Y811" s="80"/>
      <c r="Z811" s="80"/>
      <c r="AA811" s="82"/>
      <c r="AB811" s="80"/>
      <c r="AC811" s="80"/>
      <c r="AD811" s="80"/>
      <c r="AE811" s="80"/>
      <c r="AF811" s="82"/>
      <c r="AG811" s="80"/>
      <c r="AH811" s="80"/>
      <c r="AI811" s="82"/>
      <c r="AJ811" s="79"/>
      <c r="AK811" s="78" t="n">
        <f aca="false">IF(E811="","",(X811&lt;&gt;"")+(AC811&lt;&gt;"")+(AH811&lt;&gt;""))</f>
        <v>0</v>
      </c>
      <c r="AL811" s="81" t="str">
        <f aca="false">IF(AH811&lt;&gt;"",AH811,IF(AC811&lt;&gt;"",AC811,IF(X811&lt;&gt;"",X811,"")))</f>
        <v/>
      </c>
      <c r="AM811" s="83" t="str">
        <f aca="false">IF(E811="","",IF(R811="","À SOUDER",IF(U811="","VT EN ATTENTE",IF(U811="R","VT REJETÉ – À REPRENDRE",IF(AL811="","À RADIOGRAPHIER",IF(AL811="A","ACCEPTÉ",IF(AL811="NX","NX – RT À REFAIRE",IF(IF(AK811=1,Z811,IF(AK811=2,AE811,""))="A","RÉPARÉ – À RADIOGRAPHIER",IF(IF(AK811=1,Z811,IF(AK811=2,AE811,""))="R","VT REJETÉ – À REPRENDRE",IF(OR(AL811="CO",AL811="NT"),"COUPE – À RESOUDER","À RÉPARER"))))))))))</f>
        <v>À SOUDER</v>
      </c>
      <c r="AN811" s="81" t="str">
        <f aca="false">IF(AND(ISNUMBER(R811),OR(AM811="À RADIOGRAPHIER",AM811="RÉPARÉ – À RADIOGRAPHIER",AM811="NX – RT À REFAIRE",AM811="À RÉPARER",AM811="COUPE – À RESOUDER",AM811="VT REJETÉ – À REPRENDRE")),MAX(0,'PROGRAMME RT'!$C$4-R811),"")</f>
        <v/>
      </c>
      <c r="AO811" s="78" t="n">
        <f aca="false">IF(AND(OR(AM811="À RADIOGRAPHIER",AM811="RÉPARÉ – À RADIOGRAPHIER",AM811="NX – RT À REFAIRE"),OR('PROGRAMME RT'!$D$5="TOUTES",B811='PROGRAMME RT'!$D$5)),1,0)</f>
        <v>0</v>
      </c>
      <c r="AP811" s="78" t="str">
        <f aca="false">IF(AO811=1,SUM(AO$7:AO811),"")</f>
        <v/>
      </c>
      <c r="AQ811" s="78" t="n">
        <f aca="false">IF(AND(OR(X811="R",X811="NX",X811="NT",X811="CO"),OR('JOINTS DE RÉPARATION'!$D$5="TOUTES",B811='JOINTS DE RÉPARATION'!$D$5),OR('JOINTS DE RÉPARATION'!$L$4="TOUS",AM811&lt;&gt;"ACCEPTÉ")),1,0)</f>
        <v>0</v>
      </c>
      <c r="AR811" s="78" t="str">
        <f aca="false">IF(AQ811=1,SUM(AQ$7:AQ811),"")</f>
        <v/>
      </c>
    </row>
    <row r="812" customFormat="false" ht="15" hidden="false" customHeight="false" outlineLevel="0" collapsed="false">
      <c r="A812" s="78" t="str">
        <f aca="false">IF(E812="","",ROW()-6)</f>
        <v/>
      </c>
      <c r="B812" s="79"/>
      <c r="C812" s="80"/>
      <c r="D812" s="80"/>
      <c r="E812" s="80"/>
      <c r="F812" s="80"/>
      <c r="G812" s="80"/>
      <c r="H812" s="80"/>
      <c r="I812" s="80"/>
      <c r="J812" s="80"/>
      <c r="K812" s="80"/>
      <c r="L812" s="81" t="str">
        <f aca="false">IF(K812="","",IFERROR(INDEX(BARDAGE!$C$7:$C$1506,MATCH(K812,BARDAGE!$B$7:$B$1506,0)),"? hors registre"))</f>
        <v/>
      </c>
      <c r="M812" s="80"/>
      <c r="N812" s="81" t="str">
        <f aca="false">IF(M812="","",IFERROR(INDEX(BARDAGE!$C$7:$C$1506,MATCH(M812,BARDAGE!$B$7:$B$1506,0)),"? hors registre"))</f>
        <v/>
      </c>
      <c r="O812" s="80"/>
      <c r="P812" s="80"/>
      <c r="Q812" s="80"/>
      <c r="R812" s="82"/>
      <c r="S812" s="82"/>
      <c r="T812" s="80"/>
      <c r="U812" s="80"/>
      <c r="V812" s="82"/>
      <c r="W812" s="80"/>
      <c r="X812" s="80"/>
      <c r="Y812" s="80"/>
      <c r="Z812" s="80"/>
      <c r="AA812" s="82"/>
      <c r="AB812" s="80"/>
      <c r="AC812" s="80"/>
      <c r="AD812" s="80"/>
      <c r="AE812" s="80"/>
      <c r="AF812" s="82"/>
      <c r="AG812" s="80"/>
      <c r="AH812" s="80"/>
      <c r="AI812" s="82"/>
      <c r="AJ812" s="79"/>
      <c r="AK812" s="78" t="str">
        <f aca="false">IF(E812="","",(X812&lt;&gt;"")+(AC812&lt;&gt;"")+(AH812&lt;&gt;""))</f>
        <v/>
      </c>
      <c r="AL812" s="81" t="str">
        <f aca="false">IF(AH812&lt;&gt;"",AH812,IF(AC812&lt;&gt;"",AC812,IF(X812&lt;&gt;"",X812,"")))</f>
        <v/>
      </c>
      <c r="AM812" s="83" t="str">
        <f aca="false">IF(E812="","",IF(R812="","À SOUDER",IF(U812="","VT EN ATTENTE",IF(U812="R","VT REJETÉ – À REPRENDRE",IF(AL812="","À RADIOGRAPHIER",IF(AL812="A","ACCEPTÉ",IF(AL812="NX","NX – RT À REFAIRE",IF(IF(AK812=1,Z812,IF(AK812=2,AE812,""))="A","RÉPARÉ – À RADIOGRAPHIER",IF(IF(AK812=1,Z812,IF(AK812=2,AE812,""))="R","VT REJETÉ – À REPRENDRE",IF(OR(AL812="CO",AL812="NT"),"COUPE – À RESOUDER","À RÉPARER"))))))))))</f>
        <v/>
      </c>
      <c r="AN812" s="81" t="str">
        <f aca="false">IF(AND(ISNUMBER(R812),OR(AM812="À RADIOGRAPHIER",AM812="RÉPARÉ – À RADIOGRAPHIER",AM812="NX – RT À REFAIRE",AM812="À RÉPARER",AM812="COUPE – À RESOUDER",AM812="VT REJETÉ – À REPRENDRE")),MAX(0,'PROGRAMME RT'!$C$4-R812),"")</f>
        <v/>
      </c>
      <c r="AO812" s="78" t="n">
        <f aca="false">IF(AND(OR(AM812="À RADIOGRAPHIER",AM812="RÉPARÉ – À RADIOGRAPHIER",AM812="NX – RT À REFAIRE"),OR('PROGRAMME RT'!$D$5="TOUTES",B812='PROGRAMME RT'!$D$5)),1,0)</f>
        <v>0</v>
      </c>
      <c r="AP812" s="78" t="str">
        <f aca="false">IF(AO812=1,SUM(AO$7:AO812),"")</f>
        <v/>
      </c>
      <c r="AQ812" s="78" t="n">
        <f aca="false">IF(AND(OR(X812="R",X812="NX",X812="NT",X812="CO"),OR('JOINTS DE RÉPARATION'!$D$5="TOUTES",B812='JOINTS DE RÉPARATION'!$D$5),OR('JOINTS DE RÉPARATION'!$L$4="TOUS",AM812&lt;&gt;"ACCEPTÉ")),1,0)</f>
        <v>0</v>
      </c>
      <c r="AR812" s="78" t="str">
        <f aca="false">IF(AQ812=1,SUM(AQ$7:AQ812),"")</f>
        <v/>
      </c>
    </row>
    <row r="813" customFormat="false" ht="15" hidden="false" customHeight="false" outlineLevel="0" collapsed="false">
      <c r="A813" s="78" t="str">
        <f aca="false">IF(E813="","",ROW()-6)</f>
        <v/>
      </c>
      <c r="B813" s="79"/>
      <c r="C813" s="80"/>
      <c r="D813" s="80"/>
      <c r="E813" s="80"/>
      <c r="F813" s="80"/>
      <c r="G813" s="80"/>
      <c r="H813" s="80"/>
      <c r="I813" s="80"/>
      <c r="J813" s="80"/>
      <c r="K813" s="80"/>
      <c r="L813" s="81" t="str">
        <f aca="false">IF(K813="","",IFERROR(INDEX(BARDAGE!$C$7:$C$1506,MATCH(K813,BARDAGE!$B$7:$B$1506,0)),"? hors registre"))</f>
        <v/>
      </c>
      <c r="M813" s="80"/>
      <c r="N813" s="81" t="str">
        <f aca="false">IF(M813="","",IFERROR(INDEX(BARDAGE!$C$7:$C$1506,MATCH(M813,BARDAGE!$B$7:$B$1506,0)),"? hors registre"))</f>
        <v/>
      </c>
      <c r="O813" s="80"/>
      <c r="P813" s="80"/>
      <c r="Q813" s="80"/>
      <c r="R813" s="82"/>
      <c r="S813" s="82"/>
      <c r="T813" s="80"/>
      <c r="U813" s="80"/>
      <c r="V813" s="82"/>
      <c r="W813" s="80"/>
      <c r="X813" s="80"/>
      <c r="Y813" s="80"/>
      <c r="Z813" s="80"/>
      <c r="AA813" s="82"/>
      <c r="AB813" s="80"/>
      <c r="AC813" s="80"/>
      <c r="AD813" s="80"/>
      <c r="AE813" s="80"/>
      <c r="AF813" s="82"/>
      <c r="AG813" s="80"/>
      <c r="AH813" s="80"/>
      <c r="AI813" s="82"/>
      <c r="AJ813" s="79"/>
      <c r="AK813" s="78" t="str">
        <f aca="false">IF(E813="","",(X813&lt;&gt;"")+(AC813&lt;&gt;"")+(AH813&lt;&gt;""))</f>
        <v/>
      </c>
      <c r="AL813" s="81" t="str">
        <f aca="false">IF(AH813&lt;&gt;"",AH813,IF(AC813&lt;&gt;"",AC813,IF(X813&lt;&gt;"",X813,"")))</f>
        <v/>
      </c>
      <c r="AM813" s="83" t="str">
        <f aca="false">IF(E813="","",IF(R813="","À SOUDER",IF(U813="","VT EN ATTENTE",IF(U813="R","VT REJETÉ – À REPRENDRE",IF(AL813="","À RADIOGRAPHIER",IF(AL813="A","ACCEPTÉ",IF(AL813="NX","NX – RT À REFAIRE",IF(IF(AK813=1,Z813,IF(AK813=2,AE813,""))="A","RÉPARÉ – À RADIOGRAPHIER",IF(IF(AK813=1,Z813,IF(AK813=2,AE813,""))="R","VT REJETÉ – À REPRENDRE",IF(OR(AL813="CO",AL813="NT"),"COUPE – À RESOUDER","À RÉPARER"))))))))))</f>
        <v/>
      </c>
      <c r="AN813" s="81" t="str">
        <f aca="false">IF(AND(ISNUMBER(R813),OR(AM813="À RADIOGRAPHIER",AM813="RÉPARÉ – À RADIOGRAPHIER",AM813="NX – RT À REFAIRE",AM813="À RÉPARER",AM813="COUPE – À RESOUDER",AM813="VT REJETÉ – À REPRENDRE")),MAX(0,'PROGRAMME RT'!$C$4-R813),"")</f>
        <v/>
      </c>
      <c r="AO813" s="78" t="n">
        <f aca="false">IF(AND(OR(AM813="À RADIOGRAPHIER",AM813="RÉPARÉ – À RADIOGRAPHIER",AM813="NX – RT À REFAIRE"),OR('PROGRAMME RT'!$D$5="TOUTES",B813='PROGRAMME RT'!$D$5)),1,0)</f>
        <v>0</v>
      </c>
      <c r="AP813" s="78" t="str">
        <f aca="false">IF(AO813=1,SUM(AO$7:AO813),"")</f>
        <v/>
      </c>
      <c r="AQ813" s="78" t="n">
        <f aca="false">IF(AND(OR(X813="R",X813="NX",X813="NT",X813="CO"),OR('JOINTS DE RÉPARATION'!$D$5="TOUTES",B813='JOINTS DE RÉPARATION'!$D$5),OR('JOINTS DE RÉPARATION'!$L$4="TOUS",AM813&lt;&gt;"ACCEPTÉ")),1,0)</f>
        <v>0</v>
      </c>
      <c r="AR813" s="78" t="str">
        <f aca="false">IF(AQ813=1,SUM(AQ$7:AQ813),"")</f>
        <v/>
      </c>
    </row>
    <row r="814" customFormat="false" ht="15" hidden="false" customHeight="false" outlineLevel="0" collapsed="false">
      <c r="A814" s="78" t="str">
        <f aca="false">IF(E814="","",ROW()-6)</f>
        <v/>
      </c>
      <c r="B814" s="79"/>
      <c r="C814" s="80"/>
      <c r="D814" s="80"/>
      <c r="E814" s="80"/>
      <c r="F814" s="80"/>
      <c r="G814" s="80"/>
      <c r="H814" s="80"/>
      <c r="I814" s="80"/>
      <c r="J814" s="80"/>
      <c r="K814" s="80"/>
      <c r="L814" s="81" t="str">
        <f aca="false">IF(K814="","",IFERROR(INDEX(BARDAGE!$C$7:$C$1506,MATCH(K814,BARDAGE!$B$7:$B$1506,0)),"? hors registre"))</f>
        <v/>
      </c>
      <c r="M814" s="80"/>
      <c r="N814" s="81" t="str">
        <f aca="false">IF(M814="","",IFERROR(INDEX(BARDAGE!$C$7:$C$1506,MATCH(M814,BARDAGE!$B$7:$B$1506,0)),"? hors registre"))</f>
        <v/>
      </c>
      <c r="O814" s="80"/>
      <c r="P814" s="80"/>
      <c r="Q814" s="80"/>
      <c r="R814" s="82"/>
      <c r="S814" s="82"/>
      <c r="T814" s="80"/>
      <c r="U814" s="80"/>
      <c r="V814" s="82"/>
      <c r="W814" s="80"/>
      <c r="X814" s="80"/>
      <c r="Y814" s="80"/>
      <c r="Z814" s="80"/>
      <c r="AA814" s="82"/>
      <c r="AB814" s="80"/>
      <c r="AC814" s="80"/>
      <c r="AD814" s="80"/>
      <c r="AE814" s="80"/>
      <c r="AF814" s="82"/>
      <c r="AG814" s="80"/>
      <c r="AH814" s="80"/>
      <c r="AI814" s="82"/>
      <c r="AJ814" s="79"/>
      <c r="AK814" s="78" t="str">
        <f aca="false">IF(E814="","",(X814&lt;&gt;"")+(AC814&lt;&gt;"")+(AH814&lt;&gt;""))</f>
        <v/>
      </c>
      <c r="AL814" s="81" t="str">
        <f aca="false">IF(AH814&lt;&gt;"",AH814,IF(AC814&lt;&gt;"",AC814,IF(X814&lt;&gt;"",X814,"")))</f>
        <v/>
      </c>
      <c r="AM814" s="83" t="str">
        <f aca="false">IF(E814="","",IF(R814="","À SOUDER",IF(U814="","VT EN ATTENTE",IF(U814="R","VT REJETÉ – À REPRENDRE",IF(AL814="","À RADIOGRAPHIER",IF(AL814="A","ACCEPTÉ",IF(AL814="NX","NX – RT À REFAIRE",IF(IF(AK814=1,Z814,IF(AK814=2,AE814,""))="A","RÉPARÉ – À RADIOGRAPHIER",IF(IF(AK814=1,Z814,IF(AK814=2,AE814,""))="R","VT REJETÉ – À REPRENDRE",IF(OR(AL814="CO",AL814="NT"),"COUPE – À RESOUDER","À RÉPARER"))))))))))</f>
        <v/>
      </c>
      <c r="AN814" s="81" t="str">
        <f aca="false">IF(AND(ISNUMBER(R814),OR(AM814="À RADIOGRAPHIER",AM814="RÉPARÉ – À RADIOGRAPHIER",AM814="NX – RT À REFAIRE",AM814="À RÉPARER",AM814="COUPE – À RESOUDER",AM814="VT REJETÉ – À REPRENDRE")),MAX(0,'PROGRAMME RT'!$C$4-R814),"")</f>
        <v/>
      </c>
      <c r="AO814" s="78" t="n">
        <f aca="false">IF(AND(OR(AM814="À RADIOGRAPHIER",AM814="RÉPARÉ – À RADIOGRAPHIER",AM814="NX – RT À REFAIRE"),OR('PROGRAMME RT'!$D$5="TOUTES",B814='PROGRAMME RT'!$D$5)),1,0)</f>
        <v>0</v>
      </c>
      <c r="AP814" s="78" t="str">
        <f aca="false">IF(AO814=1,SUM(AO$7:AO814),"")</f>
        <v/>
      </c>
      <c r="AQ814" s="78" t="n">
        <f aca="false">IF(AND(OR(X814="R",X814="NX",X814="NT",X814="CO"),OR('JOINTS DE RÉPARATION'!$D$5="TOUTES",B814='JOINTS DE RÉPARATION'!$D$5),OR('JOINTS DE RÉPARATION'!$L$4="TOUS",AM814&lt;&gt;"ACCEPTÉ")),1,0)</f>
        <v>0</v>
      </c>
      <c r="AR814" s="78" t="str">
        <f aca="false">IF(AQ814=1,SUM(AQ$7:AQ814),"")</f>
        <v/>
      </c>
    </row>
    <row r="815" customFormat="false" ht="15" hidden="false" customHeight="false" outlineLevel="0" collapsed="false">
      <c r="A815" s="78" t="str">
        <f aca="false">IF(E815="","",ROW()-6)</f>
        <v/>
      </c>
      <c r="B815" s="79"/>
      <c r="C815" s="80"/>
      <c r="D815" s="80"/>
      <c r="E815" s="80"/>
      <c r="F815" s="80"/>
      <c r="G815" s="80"/>
      <c r="H815" s="80"/>
      <c r="I815" s="80"/>
      <c r="J815" s="80"/>
      <c r="K815" s="80"/>
      <c r="L815" s="81" t="str">
        <f aca="false">IF(K815="","",IFERROR(INDEX(BARDAGE!$C$7:$C$1506,MATCH(K815,BARDAGE!$B$7:$B$1506,0)),"? hors registre"))</f>
        <v/>
      </c>
      <c r="M815" s="80"/>
      <c r="N815" s="81" t="str">
        <f aca="false">IF(M815="","",IFERROR(INDEX(BARDAGE!$C$7:$C$1506,MATCH(M815,BARDAGE!$B$7:$B$1506,0)),"? hors registre"))</f>
        <v/>
      </c>
      <c r="O815" s="80"/>
      <c r="P815" s="80"/>
      <c r="Q815" s="80"/>
      <c r="R815" s="82"/>
      <c r="S815" s="82"/>
      <c r="T815" s="80"/>
      <c r="U815" s="80"/>
      <c r="V815" s="82"/>
      <c r="W815" s="80"/>
      <c r="X815" s="80"/>
      <c r="Y815" s="80"/>
      <c r="Z815" s="80"/>
      <c r="AA815" s="82"/>
      <c r="AB815" s="80"/>
      <c r="AC815" s="80"/>
      <c r="AD815" s="80"/>
      <c r="AE815" s="80"/>
      <c r="AF815" s="82"/>
      <c r="AG815" s="80"/>
      <c r="AH815" s="80"/>
      <c r="AI815" s="82"/>
      <c r="AJ815" s="79"/>
      <c r="AK815" s="78" t="str">
        <f aca="false">IF(E815="","",(X815&lt;&gt;"")+(AC815&lt;&gt;"")+(AH815&lt;&gt;""))</f>
        <v/>
      </c>
      <c r="AL815" s="81" t="str">
        <f aca="false">IF(AH815&lt;&gt;"",AH815,IF(AC815&lt;&gt;"",AC815,IF(X815&lt;&gt;"",X815,"")))</f>
        <v/>
      </c>
      <c r="AM815" s="83" t="str">
        <f aca="false">IF(E815="","",IF(R815="","À SOUDER",IF(U815="","VT EN ATTENTE",IF(U815="R","VT REJETÉ – À REPRENDRE",IF(AL815="","À RADIOGRAPHIER",IF(AL815="A","ACCEPTÉ",IF(AL815="NX","NX – RT À REFAIRE",IF(IF(AK815=1,Z815,IF(AK815=2,AE815,""))="A","RÉPARÉ – À RADIOGRAPHIER",IF(IF(AK815=1,Z815,IF(AK815=2,AE815,""))="R","VT REJETÉ – À REPRENDRE",IF(OR(AL815="CO",AL815="NT"),"COUPE – À RESOUDER","À RÉPARER"))))))))))</f>
        <v/>
      </c>
      <c r="AN815" s="81" t="str">
        <f aca="false">IF(AND(ISNUMBER(R815),OR(AM815="À RADIOGRAPHIER",AM815="RÉPARÉ – À RADIOGRAPHIER",AM815="NX – RT À REFAIRE",AM815="À RÉPARER",AM815="COUPE – À RESOUDER",AM815="VT REJETÉ – À REPRENDRE")),MAX(0,'PROGRAMME RT'!$C$4-R815),"")</f>
        <v/>
      </c>
      <c r="AO815" s="78" t="n">
        <f aca="false">IF(AND(OR(AM815="À RADIOGRAPHIER",AM815="RÉPARÉ – À RADIOGRAPHIER",AM815="NX – RT À REFAIRE"),OR('PROGRAMME RT'!$D$5="TOUTES",B815='PROGRAMME RT'!$D$5)),1,0)</f>
        <v>0</v>
      </c>
      <c r="AP815" s="78" t="str">
        <f aca="false">IF(AO815=1,SUM(AO$7:AO815),"")</f>
        <v/>
      </c>
      <c r="AQ815" s="78" t="n">
        <f aca="false">IF(AND(OR(X815="R",X815="NX",X815="NT",X815="CO"),OR('JOINTS DE RÉPARATION'!$D$5="TOUTES",B815='JOINTS DE RÉPARATION'!$D$5),OR('JOINTS DE RÉPARATION'!$L$4="TOUS",AM815&lt;&gt;"ACCEPTÉ")),1,0)</f>
        <v>0</v>
      </c>
      <c r="AR815" s="78" t="str">
        <f aca="false">IF(AQ815=1,SUM(AQ$7:AQ815),"")</f>
        <v/>
      </c>
    </row>
    <row r="816" customFormat="false" ht="15" hidden="false" customHeight="false" outlineLevel="0" collapsed="false">
      <c r="A816" s="78" t="str">
        <f aca="false">IF(E816="","",ROW()-6)</f>
        <v/>
      </c>
      <c r="B816" s="79"/>
      <c r="C816" s="80"/>
      <c r="D816" s="80"/>
      <c r="E816" s="80"/>
      <c r="F816" s="80"/>
      <c r="G816" s="80"/>
      <c r="H816" s="80"/>
      <c r="I816" s="80"/>
      <c r="J816" s="80"/>
      <c r="K816" s="80"/>
      <c r="L816" s="81" t="str">
        <f aca="false">IF(K816="","",IFERROR(INDEX(BARDAGE!$C$7:$C$1506,MATCH(K816,BARDAGE!$B$7:$B$1506,0)),"? hors registre"))</f>
        <v/>
      </c>
      <c r="M816" s="80"/>
      <c r="N816" s="81" t="str">
        <f aca="false">IF(M816="","",IFERROR(INDEX(BARDAGE!$C$7:$C$1506,MATCH(M816,BARDAGE!$B$7:$B$1506,0)),"? hors registre"))</f>
        <v/>
      </c>
      <c r="O816" s="80"/>
      <c r="P816" s="80"/>
      <c r="Q816" s="80"/>
      <c r="R816" s="82"/>
      <c r="S816" s="82"/>
      <c r="T816" s="80"/>
      <c r="U816" s="80"/>
      <c r="V816" s="82"/>
      <c r="W816" s="80"/>
      <c r="X816" s="80"/>
      <c r="Y816" s="80"/>
      <c r="Z816" s="80"/>
      <c r="AA816" s="82"/>
      <c r="AB816" s="80"/>
      <c r="AC816" s="80"/>
      <c r="AD816" s="80"/>
      <c r="AE816" s="80"/>
      <c r="AF816" s="82"/>
      <c r="AG816" s="80"/>
      <c r="AH816" s="80"/>
      <c r="AI816" s="82"/>
      <c r="AJ816" s="79"/>
      <c r="AK816" s="78" t="str">
        <f aca="false">IF(E816="","",(X816&lt;&gt;"")+(AC816&lt;&gt;"")+(AH816&lt;&gt;""))</f>
        <v/>
      </c>
      <c r="AL816" s="81" t="str">
        <f aca="false">IF(AH816&lt;&gt;"",AH816,IF(AC816&lt;&gt;"",AC816,IF(X816&lt;&gt;"",X816,"")))</f>
        <v/>
      </c>
      <c r="AM816" s="83" t="str">
        <f aca="false">IF(E816="","",IF(R816="","À SOUDER",IF(U816="","VT EN ATTENTE",IF(U816="R","VT REJETÉ – À REPRENDRE",IF(AL816="","À RADIOGRAPHIER",IF(AL816="A","ACCEPTÉ",IF(AL816="NX","NX – RT À REFAIRE",IF(IF(AK816=1,Z816,IF(AK816=2,AE816,""))="A","RÉPARÉ – À RADIOGRAPHIER",IF(IF(AK816=1,Z816,IF(AK816=2,AE816,""))="R","VT REJETÉ – À REPRENDRE",IF(OR(AL816="CO",AL816="NT"),"COUPE – À RESOUDER","À RÉPARER"))))))))))</f>
        <v/>
      </c>
      <c r="AN816" s="81" t="str">
        <f aca="false">IF(AND(ISNUMBER(R816),OR(AM816="À RADIOGRAPHIER",AM816="RÉPARÉ – À RADIOGRAPHIER",AM816="NX – RT À REFAIRE",AM816="À RÉPARER",AM816="COUPE – À RESOUDER",AM816="VT REJETÉ – À REPRENDRE")),MAX(0,'PROGRAMME RT'!$C$4-R816),"")</f>
        <v/>
      </c>
      <c r="AO816" s="78" t="n">
        <f aca="false">IF(AND(OR(AM816="À RADIOGRAPHIER",AM816="RÉPARÉ – À RADIOGRAPHIER",AM816="NX – RT À REFAIRE"),OR('PROGRAMME RT'!$D$5="TOUTES",B816='PROGRAMME RT'!$D$5)),1,0)</f>
        <v>0</v>
      </c>
      <c r="AP816" s="78" t="str">
        <f aca="false">IF(AO816=1,SUM(AO$7:AO816),"")</f>
        <v/>
      </c>
      <c r="AQ816" s="78" t="n">
        <f aca="false">IF(AND(OR(X816="R",X816="NX",X816="NT",X816="CO"),OR('JOINTS DE RÉPARATION'!$D$5="TOUTES",B816='JOINTS DE RÉPARATION'!$D$5),OR('JOINTS DE RÉPARATION'!$L$4="TOUS",AM816&lt;&gt;"ACCEPTÉ")),1,0)</f>
        <v>0</v>
      </c>
      <c r="AR816" s="78" t="str">
        <f aca="false">IF(AQ816=1,SUM(AQ$7:AQ816),"")</f>
        <v/>
      </c>
    </row>
    <row r="817" customFormat="false" ht="15" hidden="false" customHeight="false" outlineLevel="0" collapsed="false">
      <c r="A817" s="78" t="str">
        <f aca="false">IF(E817="","",ROW()-6)</f>
        <v/>
      </c>
      <c r="B817" s="79"/>
      <c r="C817" s="80"/>
      <c r="D817" s="80"/>
      <c r="E817" s="80"/>
      <c r="F817" s="80"/>
      <c r="G817" s="80"/>
      <c r="H817" s="80"/>
      <c r="I817" s="80"/>
      <c r="J817" s="80"/>
      <c r="K817" s="80"/>
      <c r="L817" s="81" t="str">
        <f aca="false">IF(K817="","",IFERROR(INDEX(BARDAGE!$C$7:$C$1506,MATCH(K817,BARDAGE!$B$7:$B$1506,0)),"? hors registre"))</f>
        <v/>
      </c>
      <c r="M817" s="80"/>
      <c r="N817" s="81" t="str">
        <f aca="false">IF(M817="","",IFERROR(INDEX(BARDAGE!$C$7:$C$1506,MATCH(M817,BARDAGE!$B$7:$B$1506,0)),"? hors registre"))</f>
        <v/>
      </c>
      <c r="O817" s="80"/>
      <c r="P817" s="80"/>
      <c r="Q817" s="80"/>
      <c r="R817" s="82"/>
      <c r="S817" s="82"/>
      <c r="T817" s="80"/>
      <c r="U817" s="80"/>
      <c r="V817" s="82"/>
      <c r="W817" s="80"/>
      <c r="X817" s="80"/>
      <c r="Y817" s="80"/>
      <c r="Z817" s="80"/>
      <c r="AA817" s="82"/>
      <c r="AB817" s="80"/>
      <c r="AC817" s="80"/>
      <c r="AD817" s="80"/>
      <c r="AE817" s="80"/>
      <c r="AF817" s="82"/>
      <c r="AG817" s="80"/>
      <c r="AH817" s="80"/>
      <c r="AI817" s="82"/>
      <c r="AJ817" s="79"/>
      <c r="AK817" s="78" t="str">
        <f aca="false">IF(E817="","",(X817&lt;&gt;"")+(AC817&lt;&gt;"")+(AH817&lt;&gt;""))</f>
        <v/>
      </c>
      <c r="AL817" s="81" t="str">
        <f aca="false">IF(AH817&lt;&gt;"",AH817,IF(AC817&lt;&gt;"",AC817,IF(X817&lt;&gt;"",X817,"")))</f>
        <v/>
      </c>
      <c r="AM817" s="83" t="str">
        <f aca="false">IF(E817="","",IF(R817="","À SOUDER",IF(U817="","VT EN ATTENTE",IF(U817="R","VT REJETÉ – À REPRENDRE",IF(AL817="","À RADIOGRAPHIER",IF(AL817="A","ACCEPTÉ",IF(AL817="NX","NX – RT À REFAIRE",IF(IF(AK817=1,Z817,IF(AK817=2,AE817,""))="A","RÉPARÉ – À RADIOGRAPHIER",IF(IF(AK817=1,Z817,IF(AK817=2,AE817,""))="R","VT REJETÉ – À REPRENDRE",IF(OR(AL817="CO",AL817="NT"),"COUPE – À RESOUDER","À RÉPARER"))))))))))</f>
        <v/>
      </c>
      <c r="AN817" s="81" t="str">
        <f aca="false">IF(AND(ISNUMBER(R817),OR(AM817="À RADIOGRAPHIER",AM817="RÉPARÉ – À RADIOGRAPHIER",AM817="NX – RT À REFAIRE",AM817="À RÉPARER",AM817="COUPE – À RESOUDER",AM817="VT REJETÉ – À REPRENDRE")),MAX(0,'PROGRAMME RT'!$C$4-R817),"")</f>
        <v/>
      </c>
      <c r="AO817" s="78" t="n">
        <f aca="false">IF(AND(OR(AM817="À RADIOGRAPHIER",AM817="RÉPARÉ – À RADIOGRAPHIER",AM817="NX – RT À REFAIRE"),OR('PROGRAMME RT'!$D$5="TOUTES",B817='PROGRAMME RT'!$D$5)),1,0)</f>
        <v>0</v>
      </c>
      <c r="AP817" s="78" t="str">
        <f aca="false">IF(AO817=1,SUM(AO$7:AO817),"")</f>
        <v/>
      </c>
      <c r="AQ817" s="78" t="n">
        <f aca="false">IF(AND(OR(X817="R",X817="NX",X817="NT",X817="CO"),OR('JOINTS DE RÉPARATION'!$D$5="TOUTES",B817='JOINTS DE RÉPARATION'!$D$5),OR('JOINTS DE RÉPARATION'!$L$4="TOUS",AM817&lt;&gt;"ACCEPTÉ")),1,0)</f>
        <v>0</v>
      </c>
      <c r="AR817" s="78" t="str">
        <f aca="false">IF(AQ817=1,SUM(AQ$7:AQ817),"")</f>
        <v/>
      </c>
    </row>
    <row r="818" customFormat="false" ht="15" hidden="false" customHeight="false" outlineLevel="0" collapsed="false">
      <c r="A818" s="78" t="str">
        <f aca="false">IF(E818="","",ROW()-6)</f>
        <v/>
      </c>
      <c r="B818" s="79"/>
      <c r="C818" s="80"/>
      <c r="D818" s="80"/>
      <c r="E818" s="80"/>
      <c r="F818" s="80"/>
      <c r="G818" s="80"/>
      <c r="H818" s="80"/>
      <c r="I818" s="80"/>
      <c r="J818" s="80"/>
      <c r="K818" s="80"/>
      <c r="L818" s="81" t="str">
        <f aca="false">IF(K818="","",IFERROR(INDEX(BARDAGE!$C$7:$C$1506,MATCH(K818,BARDAGE!$B$7:$B$1506,0)),"? hors registre"))</f>
        <v/>
      </c>
      <c r="M818" s="80"/>
      <c r="N818" s="81" t="str">
        <f aca="false">IF(M818="","",IFERROR(INDEX(BARDAGE!$C$7:$C$1506,MATCH(M818,BARDAGE!$B$7:$B$1506,0)),"? hors registre"))</f>
        <v/>
      </c>
      <c r="O818" s="80"/>
      <c r="P818" s="80"/>
      <c r="Q818" s="80"/>
      <c r="R818" s="82"/>
      <c r="S818" s="82"/>
      <c r="T818" s="80"/>
      <c r="U818" s="80"/>
      <c r="V818" s="82"/>
      <c r="W818" s="80"/>
      <c r="X818" s="80"/>
      <c r="Y818" s="80"/>
      <c r="Z818" s="80"/>
      <c r="AA818" s="82"/>
      <c r="AB818" s="80"/>
      <c r="AC818" s="80"/>
      <c r="AD818" s="80"/>
      <c r="AE818" s="80"/>
      <c r="AF818" s="82"/>
      <c r="AG818" s="80"/>
      <c r="AH818" s="80"/>
      <c r="AI818" s="82"/>
      <c r="AJ818" s="79"/>
      <c r="AK818" s="78" t="str">
        <f aca="false">IF(E818="","",(X818&lt;&gt;"")+(AC818&lt;&gt;"")+(AH818&lt;&gt;""))</f>
        <v/>
      </c>
      <c r="AL818" s="81" t="str">
        <f aca="false">IF(AH818&lt;&gt;"",AH818,IF(AC818&lt;&gt;"",AC818,IF(X818&lt;&gt;"",X818,"")))</f>
        <v/>
      </c>
      <c r="AM818" s="83" t="str">
        <f aca="false">IF(E818="","",IF(R818="","À SOUDER",IF(U818="","VT EN ATTENTE",IF(U818="R","VT REJETÉ – À REPRENDRE",IF(AL818="","À RADIOGRAPHIER",IF(AL818="A","ACCEPTÉ",IF(AL818="NX","NX – RT À REFAIRE",IF(IF(AK818=1,Z818,IF(AK818=2,AE818,""))="A","RÉPARÉ – À RADIOGRAPHIER",IF(IF(AK818=1,Z818,IF(AK818=2,AE818,""))="R","VT REJETÉ – À REPRENDRE",IF(OR(AL818="CO",AL818="NT"),"COUPE – À RESOUDER","À RÉPARER"))))))))))</f>
        <v/>
      </c>
      <c r="AN818" s="81" t="str">
        <f aca="false">IF(AND(ISNUMBER(R818),OR(AM818="À RADIOGRAPHIER",AM818="RÉPARÉ – À RADIOGRAPHIER",AM818="NX – RT À REFAIRE",AM818="À RÉPARER",AM818="COUPE – À RESOUDER",AM818="VT REJETÉ – À REPRENDRE")),MAX(0,'PROGRAMME RT'!$C$4-R818),"")</f>
        <v/>
      </c>
      <c r="AO818" s="78" t="n">
        <f aca="false">IF(AND(OR(AM818="À RADIOGRAPHIER",AM818="RÉPARÉ – À RADIOGRAPHIER",AM818="NX – RT À REFAIRE"),OR('PROGRAMME RT'!$D$5="TOUTES",B818='PROGRAMME RT'!$D$5)),1,0)</f>
        <v>0</v>
      </c>
      <c r="AP818" s="78" t="str">
        <f aca="false">IF(AO818=1,SUM(AO$7:AO818),"")</f>
        <v/>
      </c>
      <c r="AQ818" s="78" t="n">
        <f aca="false">IF(AND(OR(X818="R",X818="NX",X818="NT",X818="CO"),OR('JOINTS DE RÉPARATION'!$D$5="TOUTES",B818='JOINTS DE RÉPARATION'!$D$5),OR('JOINTS DE RÉPARATION'!$L$4="TOUS",AM818&lt;&gt;"ACCEPTÉ")),1,0)</f>
        <v>0</v>
      </c>
      <c r="AR818" s="78" t="str">
        <f aca="false">IF(AQ818=1,SUM(AQ$7:AQ818),"")</f>
        <v/>
      </c>
    </row>
    <row r="819" customFormat="false" ht="15" hidden="false" customHeight="false" outlineLevel="0" collapsed="false">
      <c r="A819" s="78" t="str">
        <f aca="false">IF(E819="","",ROW()-6)</f>
        <v/>
      </c>
      <c r="B819" s="79"/>
      <c r="C819" s="80"/>
      <c r="D819" s="80"/>
      <c r="E819" s="80"/>
      <c r="F819" s="80"/>
      <c r="G819" s="80"/>
      <c r="H819" s="80"/>
      <c r="I819" s="80"/>
      <c r="J819" s="80"/>
      <c r="K819" s="80"/>
      <c r="L819" s="81" t="str">
        <f aca="false">IF(K819="","",IFERROR(INDEX(BARDAGE!$C$7:$C$1506,MATCH(K819,BARDAGE!$B$7:$B$1506,0)),"? hors registre"))</f>
        <v/>
      </c>
      <c r="M819" s="80"/>
      <c r="N819" s="81" t="str">
        <f aca="false">IF(M819="","",IFERROR(INDEX(BARDAGE!$C$7:$C$1506,MATCH(M819,BARDAGE!$B$7:$B$1506,0)),"? hors registre"))</f>
        <v/>
      </c>
      <c r="O819" s="80"/>
      <c r="P819" s="80"/>
      <c r="Q819" s="80"/>
      <c r="R819" s="82"/>
      <c r="S819" s="82"/>
      <c r="T819" s="80"/>
      <c r="U819" s="80"/>
      <c r="V819" s="82"/>
      <c r="W819" s="80"/>
      <c r="X819" s="80"/>
      <c r="Y819" s="80"/>
      <c r="Z819" s="80"/>
      <c r="AA819" s="82"/>
      <c r="AB819" s="80"/>
      <c r="AC819" s="80"/>
      <c r="AD819" s="80"/>
      <c r="AE819" s="80"/>
      <c r="AF819" s="82"/>
      <c r="AG819" s="80"/>
      <c r="AH819" s="80"/>
      <c r="AI819" s="82"/>
      <c r="AJ819" s="79"/>
      <c r="AK819" s="78" t="str">
        <f aca="false">IF(E819="","",(X819&lt;&gt;"")+(AC819&lt;&gt;"")+(AH819&lt;&gt;""))</f>
        <v/>
      </c>
      <c r="AL819" s="81" t="str">
        <f aca="false">IF(AH819&lt;&gt;"",AH819,IF(AC819&lt;&gt;"",AC819,IF(X819&lt;&gt;"",X819,"")))</f>
        <v/>
      </c>
      <c r="AM819" s="83" t="str">
        <f aca="false">IF(E819="","",IF(R819="","À SOUDER",IF(U819="","VT EN ATTENTE",IF(U819="R","VT REJETÉ – À REPRENDRE",IF(AL819="","À RADIOGRAPHIER",IF(AL819="A","ACCEPTÉ",IF(AL819="NX","NX – RT À REFAIRE",IF(IF(AK819=1,Z819,IF(AK819=2,AE819,""))="A","RÉPARÉ – À RADIOGRAPHIER",IF(IF(AK819=1,Z819,IF(AK819=2,AE819,""))="R","VT REJETÉ – À REPRENDRE",IF(OR(AL819="CO",AL819="NT"),"COUPE – À RESOUDER","À RÉPARER"))))))))))</f>
        <v/>
      </c>
      <c r="AN819" s="81" t="str">
        <f aca="false">IF(AND(ISNUMBER(R819),OR(AM819="À RADIOGRAPHIER",AM819="RÉPARÉ – À RADIOGRAPHIER",AM819="NX – RT À REFAIRE",AM819="À RÉPARER",AM819="COUPE – À RESOUDER",AM819="VT REJETÉ – À REPRENDRE")),MAX(0,'PROGRAMME RT'!$C$4-R819),"")</f>
        <v/>
      </c>
      <c r="AO819" s="78" t="n">
        <f aca="false">IF(AND(OR(AM819="À RADIOGRAPHIER",AM819="RÉPARÉ – À RADIOGRAPHIER",AM819="NX – RT À REFAIRE"),OR('PROGRAMME RT'!$D$5="TOUTES",B819='PROGRAMME RT'!$D$5)),1,0)</f>
        <v>0</v>
      </c>
      <c r="AP819" s="78" t="str">
        <f aca="false">IF(AO819=1,SUM(AO$7:AO819),"")</f>
        <v/>
      </c>
      <c r="AQ819" s="78" t="n">
        <f aca="false">IF(AND(OR(X819="R",X819="NX",X819="NT",X819="CO"),OR('JOINTS DE RÉPARATION'!$D$5="TOUTES",B819='JOINTS DE RÉPARATION'!$D$5),OR('JOINTS DE RÉPARATION'!$L$4="TOUS",AM819&lt;&gt;"ACCEPTÉ")),1,0)</f>
        <v>0</v>
      </c>
      <c r="AR819" s="78" t="str">
        <f aca="false">IF(AQ819=1,SUM(AQ$7:AQ819),"")</f>
        <v/>
      </c>
    </row>
    <row r="820" customFormat="false" ht="15" hidden="false" customHeight="false" outlineLevel="0" collapsed="false">
      <c r="A820" s="78" t="str">
        <f aca="false">IF(E820="","",ROW()-6)</f>
        <v/>
      </c>
      <c r="B820" s="79"/>
      <c r="C820" s="80"/>
      <c r="D820" s="80"/>
      <c r="E820" s="80"/>
      <c r="F820" s="80"/>
      <c r="G820" s="80"/>
      <c r="H820" s="80"/>
      <c r="I820" s="80"/>
      <c r="J820" s="80"/>
      <c r="K820" s="80"/>
      <c r="L820" s="81" t="str">
        <f aca="false">IF(K820="","",IFERROR(INDEX(BARDAGE!$C$7:$C$1506,MATCH(K820,BARDAGE!$B$7:$B$1506,0)),"? hors registre"))</f>
        <v/>
      </c>
      <c r="M820" s="80"/>
      <c r="N820" s="81" t="str">
        <f aca="false">IF(M820="","",IFERROR(INDEX(BARDAGE!$C$7:$C$1506,MATCH(M820,BARDAGE!$B$7:$B$1506,0)),"? hors registre"))</f>
        <v/>
      </c>
      <c r="O820" s="80"/>
      <c r="P820" s="80"/>
      <c r="Q820" s="80"/>
      <c r="R820" s="82"/>
      <c r="S820" s="82"/>
      <c r="T820" s="80"/>
      <c r="U820" s="80"/>
      <c r="V820" s="82"/>
      <c r="W820" s="80"/>
      <c r="X820" s="80"/>
      <c r="Y820" s="80"/>
      <c r="Z820" s="80"/>
      <c r="AA820" s="82"/>
      <c r="AB820" s="80"/>
      <c r="AC820" s="80"/>
      <c r="AD820" s="80"/>
      <c r="AE820" s="80"/>
      <c r="AF820" s="82"/>
      <c r="AG820" s="80"/>
      <c r="AH820" s="80"/>
      <c r="AI820" s="82"/>
      <c r="AJ820" s="79"/>
      <c r="AK820" s="78" t="str">
        <f aca="false">IF(E820="","",(X820&lt;&gt;"")+(AC820&lt;&gt;"")+(AH820&lt;&gt;""))</f>
        <v/>
      </c>
      <c r="AL820" s="81" t="str">
        <f aca="false">IF(AH820&lt;&gt;"",AH820,IF(AC820&lt;&gt;"",AC820,IF(X820&lt;&gt;"",X820,"")))</f>
        <v/>
      </c>
      <c r="AM820" s="83" t="str">
        <f aca="false">IF(E820="","",IF(R820="","À SOUDER",IF(U820="","VT EN ATTENTE",IF(U820="R","VT REJETÉ – À REPRENDRE",IF(AL820="","À RADIOGRAPHIER",IF(AL820="A","ACCEPTÉ",IF(AL820="NX","NX – RT À REFAIRE",IF(IF(AK820=1,Z820,IF(AK820=2,AE820,""))="A","RÉPARÉ – À RADIOGRAPHIER",IF(IF(AK820=1,Z820,IF(AK820=2,AE820,""))="R","VT REJETÉ – À REPRENDRE",IF(OR(AL820="CO",AL820="NT"),"COUPE – À RESOUDER","À RÉPARER"))))))))))</f>
        <v/>
      </c>
      <c r="AN820" s="81" t="str">
        <f aca="false">IF(AND(ISNUMBER(R820),OR(AM820="À RADIOGRAPHIER",AM820="RÉPARÉ – À RADIOGRAPHIER",AM820="NX – RT À REFAIRE",AM820="À RÉPARER",AM820="COUPE – À RESOUDER",AM820="VT REJETÉ – À REPRENDRE")),MAX(0,'PROGRAMME RT'!$C$4-R820),"")</f>
        <v/>
      </c>
      <c r="AO820" s="78" t="n">
        <f aca="false">IF(AND(OR(AM820="À RADIOGRAPHIER",AM820="RÉPARÉ – À RADIOGRAPHIER",AM820="NX – RT À REFAIRE"),OR('PROGRAMME RT'!$D$5="TOUTES",B820='PROGRAMME RT'!$D$5)),1,0)</f>
        <v>0</v>
      </c>
      <c r="AP820" s="78" t="str">
        <f aca="false">IF(AO820=1,SUM(AO$7:AO820),"")</f>
        <v/>
      </c>
      <c r="AQ820" s="78" t="n">
        <f aca="false">IF(AND(OR(X820="R",X820="NX",X820="NT",X820="CO"),OR('JOINTS DE RÉPARATION'!$D$5="TOUTES",B820='JOINTS DE RÉPARATION'!$D$5),OR('JOINTS DE RÉPARATION'!$L$4="TOUS",AM820&lt;&gt;"ACCEPTÉ")),1,0)</f>
        <v>0</v>
      </c>
      <c r="AR820" s="78" t="str">
        <f aca="false">IF(AQ820=1,SUM(AQ$7:AQ820),"")</f>
        <v/>
      </c>
    </row>
    <row r="821" customFormat="false" ht="15" hidden="false" customHeight="false" outlineLevel="0" collapsed="false">
      <c r="A821" s="78" t="str">
        <f aca="false">IF(E821="","",ROW()-6)</f>
        <v/>
      </c>
      <c r="B821" s="79"/>
      <c r="C821" s="80"/>
      <c r="D821" s="80"/>
      <c r="E821" s="80"/>
      <c r="F821" s="80"/>
      <c r="G821" s="80"/>
      <c r="H821" s="80"/>
      <c r="I821" s="80"/>
      <c r="J821" s="80"/>
      <c r="K821" s="80"/>
      <c r="L821" s="81" t="str">
        <f aca="false">IF(K821="","",IFERROR(INDEX(BARDAGE!$C$7:$C$1506,MATCH(K821,BARDAGE!$B$7:$B$1506,0)),"? hors registre"))</f>
        <v/>
      </c>
      <c r="M821" s="80"/>
      <c r="N821" s="81" t="str">
        <f aca="false">IF(M821="","",IFERROR(INDEX(BARDAGE!$C$7:$C$1506,MATCH(M821,BARDAGE!$B$7:$B$1506,0)),"? hors registre"))</f>
        <v/>
      </c>
      <c r="O821" s="80"/>
      <c r="P821" s="80"/>
      <c r="Q821" s="80"/>
      <c r="R821" s="82"/>
      <c r="S821" s="82"/>
      <c r="T821" s="80"/>
      <c r="U821" s="80"/>
      <c r="V821" s="82"/>
      <c r="W821" s="80"/>
      <c r="X821" s="80"/>
      <c r="Y821" s="80"/>
      <c r="Z821" s="80"/>
      <c r="AA821" s="82"/>
      <c r="AB821" s="80"/>
      <c r="AC821" s="80"/>
      <c r="AD821" s="80"/>
      <c r="AE821" s="80"/>
      <c r="AF821" s="82"/>
      <c r="AG821" s="80"/>
      <c r="AH821" s="80"/>
      <c r="AI821" s="82"/>
      <c r="AJ821" s="79"/>
      <c r="AK821" s="78" t="str">
        <f aca="false">IF(E821="","",(X821&lt;&gt;"")+(AC821&lt;&gt;"")+(AH821&lt;&gt;""))</f>
        <v/>
      </c>
      <c r="AL821" s="81" t="str">
        <f aca="false">IF(AH821&lt;&gt;"",AH821,IF(AC821&lt;&gt;"",AC821,IF(X821&lt;&gt;"",X821,"")))</f>
        <v/>
      </c>
      <c r="AM821" s="83" t="str">
        <f aca="false">IF(E821="","",IF(R821="","À SOUDER",IF(U821="","VT EN ATTENTE",IF(U821="R","VT REJETÉ – À REPRENDRE",IF(AL821="","À RADIOGRAPHIER",IF(AL821="A","ACCEPTÉ",IF(AL821="NX","NX – RT À REFAIRE",IF(IF(AK821=1,Z821,IF(AK821=2,AE821,""))="A","RÉPARÉ – À RADIOGRAPHIER",IF(IF(AK821=1,Z821,IF(AK821=2,AE821,""))="R","VT REJETÉ – À REPRENDRE",IF(OR(AL821="CO",AL821="NT"),"COUPE – À RESOUDER","À RÉPARER"))))))))))</f>
        <v/>
      </c>
      <c r="AN821" s="81" t="str">
        <f aca="false">IF(AND(ISNUMBER(R821),OR(AM821="À RADIOGRAPHIER",AM821="RÉPARÉ – À RADIOGRAPHIER",AM821="NX – RT À REFAIRE",AM821="À RÉPARER",AM821="COUPE – À RESOUDER",AM821="VT REJETÉ – À REPRENDRE")),MAX(0,'PROGRAMME RT'!$C$4-R821),"")</f>
        <v/>
      </c>
      <c r="AO821" s="78" t="n">
        <f aca="false">IF(AND(OR(AM821="À RADIOGRAPHIER",AM821="RÉPARÉ – À RADIOGRAPHIER",AM821="NX – RT À REFAIRE"),OR('PROGRAMME RT'!$D$5="TOUTES",B821='PROGRAMME RT'!$D$5)),1,0)</f>
        <v>0</v>
      </c>
      <c r="AP821" s="78" t="str">
        <f aca="false">IF(AO821=1,SUM(AO$7:AO821),"")</f>
        <v/>
      </c>
      <c r="AQ821" s="78" t="n">
        <f aca="false">IF(AND(OR(X821="R",X821="NX",X821="NT",X821="CO"),OR('JOINTS DE RÉPARATION'!$D$5="TOUTES",B821='JOINTS DE RÉPARATION'!$D$5),OR('JOINTS DE RÉPARATION'!$L$4="TOUS",AM821&lt;&gt;"ACCEPTÉ")),1,0)</f>
        <v>0</v>
      </c>
      <c r="AR821" s="78" t="str">
        <f aca="false">IF(AQ821=1,SUM(AQ$7:AQ821),"")</f>
        <v/>
      </c>
    </row>
    <row r="822" customFormat="false" ht="15" hidden="false" customHeight="false" outlineLevel="0" collapsed="false">
      <c r="A822" s="78" t="str">
        <f aca="false">IF(E822="","",ROW()-6)</f>
        <v/>
      </c>
      <c r="B822" s="79"/>
      <c r="C822" s="80"/>
      <c r="D822" s="80"/>
      <c r="E822" s="80"/>
      <c r="F822" s="80"/>
      <c r="G822" s="80"/>
      <c r="H822" s="80"/>
      <c r="I822" s="80"/>
      <c r="J822" s="80"/>
      <c r="K822" s="80"/>
      <c r="L822" s="81" t="str">
        <f aca="false">IF(K822="","",IFERROR(INDEX(BARDAGE!$C$7:$C$1506,MATCH(K822,BARDAGE!$B$7:$B$1506,0)),"? hors registre"))</f>
        <v/>
      </c>
      <c r="M822" s="80"/>
      <c r="N822" s="81" t="str">
        <f aca="false">IF(M822="","",IFERROR(INDEX(BARDAGE!$C$7:$C$1506,MATCH(M822,BARDAGE!$B$7:$B$1506,0)),"? hors registre"))</f>
        <v/>
      </c>
      <c r="O822" s="80"/>
      <c r="P822" s="80"/>
      <c r="Q822" s="80"/>
      <c r="R822" s="82"/>
      <c r="S822" s="82"/>
      <c r="T822" s="80"/>
      <c r="U822" s="80"/>
      <c r="V822" s="82"/>
      <c r="W822" s="80"/>
      <c r="X822" s="80"/>
      <c r="Y822" s="80"/>
      <c r="Z822" s="80"/>
      <c r="AA822" s="82"/>
      <c r="AB822" s="80"/>
      <c r="AC822" s="80"/>
      <c r="AD822" s="80"/>
      <c r="AE822" s="80"/>
      <c r="AF822" s="82"/>
      <c r="AG822" s="80"/>
      <c r="AH822" s="80"/>
      <c r="AI822" s="82"/>
      <c r="AJ822" s="79"/>
      <c r="AK822" s="78" t="str">
        <f aca="false">IF(E822="","",(X822&lt;&gt;"")+(AC822&lt;&gt;"")+(AH822&lt;&gt;""))</f>
        <v/>
      </c>
      <c r="AL822" s="81" t="str">
        <f aca="false">IF(AH822&lt;&gt;"",AH822,IF(AC822&lt;&gt;"",AC822,IF(X822&lt;&gt;"",X822,"")))</f>
        <v/>
      </c>
      <c r="AM822" s="83" t="str">
        <f aca="false">IF(E822="","",IF(R822="","À SOUDER",IF(U822="","VT EN ATTENTE",IF(U822="R","VT REJETÉ – À REPRENDRE",IF(AL822="","À RADIOGRAPHIER",IF(AL822="A","ACCEPTÉ",IF(AL822="NX","NX – RT À REFAIRE",IF(IF(AK822=1,Z822,IF(AK822=2,AE822,""))="A","RÉPARÉ – À RADIOGRAPHIER",IF(IF(AK822=1,Z822,IF(AK822=2,AE822,""))="R","VT REJETÉ – À REPRENDRE",IF(OR(AL822="CO",AL822="NT"),"COUPE – À RESOUDER","À RÉPARER"))))))))))</f>
        <v/>
      </c>
      <c r="AN822" s="81" t="str">
        <f aca="false">IF(AND(ISNUMBER(R822),OR(AM822="À RADIOGRAPHIER",AM822="RÉPARÉ – À RADIOGRAPHIER",AM822="NX – RT À REFAIRE",AM822="À RÉPARER",AM822="COUPE – À RESOUDER",AM822="VT REJETÉ – À REPRENDRE")),MAX(0,'PROGRAMME RT'!$C$4-R822),"")</f>
        <v/>
      </c>
      <c r="AO822" s="78" t="n">
        <f aca="false">IF(AND(OR(AM822="À RADIOGRAPHIER",AM822="RÉPARÉ – À RADIOGRAPHIER",AM822="NX – RT À REFAIRE"),OR('PROGRAMME RT'!$D$5="TOUTES",B822='PROGRAMME RT'!$D$5)),1,0)</f>
        <v>0</v>
      </c>
      <c r="AP822" s="78" t="str">
        <f aca="false">IF(AO822=1,SUM(AO$7:AO822),"")</f>
        <v/>
      </c>
      <c r="AQ822" s="78" t="n">
        <f aca="false">IF(AND(OR(X822="R",X822="NX",X822="NT",X822="CO"),OR('JOINTS DE RÉPARATION'!$D$5="TOUTES",B822='JOINTS DE RÉPARATION'!$D$5),OR('JOINTS DE RÉPARATION'!$L$4="TOUS",AM822&lt;&gt;"ACCEPTÉ")),1,0)</f>
        <v>0</v>
      </c>
      <c r="AR822" s="78" t="str">
        <f aca="false">IF(AQ822=1,SUM(AQ$7:AQ822),"")</f>
        <v/>
      </c>
    </row>
    <row r="823" customFormat="false" ht="15" hidden="false" customHeight="false" outlineLevel="0" collapsed="false">
      <c r="A823" s="78" t="str">
        <f aca="false">IF(E823="","",ROW()-6)</f>
        <v/>
      </c>
      <c r="B823" s="79"/>
      <c r="C823" s="80"/>
      <c r="D823" s="80"/>
      <c r="E823" s="80"/>
      <c r="F823" s="80"/>
      <c r="G823" s="80"/>
      <c r="H823" s="80"/>
      <c r="I823" s="80"/>
      <c r="J823" s="80"/>
      <c r="K823" s="80"/>
      <c r="L823" s="81" t="str">
        <f aca="false">IF(K823="","",IFERROR(INDEX(BARDAGE!$C$7:$C$1506,MATCH(K823,BARDAGE!$B$7:$B$1506,0)),"? hors registre"))</f>
        <v/>
      </c>
      <c r="M823" s="80"/>
      <c r="N823" s="81" t="str">
        <f aca="false">IF(M823="","",IFERROR(INDEX(BARDAGE!$C$7:$C$1506,MATCH(M823,BARDAGE!$B$7:$B$1506,0)),"? hors registre"))</f>
        <v/>
      </c>
      <c r="O823" s="80"/>
      <c r="P823" s="80"/>
      <c r="Q823" s="80"/>
      <c r="R823" s="82"/>
      <c r="S823" s="82"/>
      <c r="T823" s="80"/>
      <c r="U823" s="80"/>
      <c r="V823" s="82"/>
      <c r="W823" s="80"/>
      <c r="X823" s="80"/>
      <c r="Y823" s="80"/>
      <c r="Z823" s="80"/>
      <c r="AA823" s="82"/>
      <c r="AB823" s="80"/>
      <c r="AC823" s="80"/>
      <c r="AD823" s="80"/>
      <c r="AE823" s="80"/>
      <c r="AF823" s="82"/>
      <c r="AG823" s="80"/>
      <c r="AH823" s="80"/>
      <c r="AI823" s="82"/>
      <c r="AJ823" s="79"/>
      <c r="AK823" s="78" t="str">
        <f aca="false">IF(E823="","",(X823&lt;&gt;"")+(AC823&lt;&gt;"")+(AH823&lt;&gt;""))</f>
        <v/>
      </c>
      <c r="AL823" s="81" t="str">
        <f aca="false">IF(AH823&lt;&gt;"",AH823,IF(AC823&lt;&gt;"",AC823,IF(X823&lt;&gt;"",X823,"")))</f>
        <v/>
      </c>
      <c r="AM823" s="83" t="str">
        <f aca="false">IF(E823="","",IF(R823="","À SOUDER",IF(U823="","VT EN ATTENTE",IF(U823="R","VT REJETÉ – À REPRENDRE",IF(AL823="","À RADIOGRAPHIER",IF(AL823="A","ACCEPTÉ",IF(AL823="NX","NX – RT À REFAIRE",IF(IF(AK823=1,Z823,IF(AK823=2,AE823,""))="A","RÉPARÉ – À RADIOGRAPHIER",IF(IF(AK823=1,Z823,IF(AK823=2,AE823,""))="R","VT REJETÉ – À REPRENDRE",IF(OR(AL823="CO",AL823="NT"),"COUPE – À RESOUDER","À RÉPARER"))))))))))</f>
        <v/>
      </c>
      <c r="AN823" s="81" t="str">
        <f aca="false">IF(AND(ISNUMBER(R823),OR(AM823="À RADIOGRAPHIER",AM823="RÉPARÉ – À RADIOGRAPHIER",AM823="NX – RT À REFAIRE",AM823="À RÉPARER",AM823="COUPE – À RESOUDER",AM823="VT REJETÉ – À REPRENDRE")),MAX(0,'PROGRAMME RT'!$C$4-R823),"")</f>
        <v/>
      </c>
      <c r="AO823" s="78" t="n">
        <f aca="false">IF(AND(OR(AM823="À RADIOGRAPHIER",AM823="RÉPARÉ – À RADIOGRAPHIER",AM823="NX – RT À REFAIRE"),OR('PROGRAMME RT'!$D$5="TOUTES",B823='PROGRAMME RT'!$D$5)),1,0)</f>
        <v>0</v>
      </c>
      <c r="AP823" s="78" t="str">
        <f aca="false">IF(AO823=1,SUM(AO$7:AO823),"")</f>
        <v/>
      </c>
      <c r="AQ823" s="78" t="n">
        <f aca="false">IF(AND(OR(X823="R",X823="NX",X823="NT",X823="CO"),OR('JOINTS DE RÉPARATION'!$D$5="TOUTES",B823='JOINTS DE RÉPARATION'!$D$5),OR('JOINTS DE RÉPARATION'!$L$4="TOUS",AM823&lt;&gt;"ACCEPTÉ")),1,0)</f>
        <v>0</v>
      </c>
      <c r="AR823" s="78" t="str">
        <f aca="false">IF(AQ823=1,SUM(AQ$7:AQ823),"")</f>
        <v/>
      </c>
    </row>
    <row r="824" customFormat="false" ht="15" hidden="false" customHeight="false" outlineLevel="0" collapsed="false">
      <c r="A824" s="78" t="str">
        <f aca="false">IF(E824="","",ROW()-6)</f>
        <v/>
      </c>
      <c r="B824" s="79"/>
      <c r="C824" s="80"/>
      <c r="D824" s="80"/>
      <c r="E824" s="80"/>
      <c r="F824" s="80"/>
      <c r="G824" s="80"/>
      <c r="H824" s="80"/>
      <c r="I824" s="80"/>
      <c r="J824" s="80"/>
      <c r="K824" s="80"/>
      <c r="L824" s="81" t="str">
        <f aca="false">IF(K824="","",IFERROR(INDEX(BARDAGE!$C$7:$C$1506,MATCH(K824,BARDAGE!$B$7:$B$1506,0)),"? hors registre"))</f>
        <v/>
      </c>
      <c r="M824" s="80"/>
      <c r="N824" s="81" t="str">
        <f aca="false">IF(M824="","",IFERROR(INDEX(BARDAGE!$C$7:$C$1506,MATCH(M824,BARDAGE!$B$7:$B$1506,0)),"? hors registre"))</f>
        <v/>
      </c>
      <c r="O824" s="80"/>
      <c r="P824" s="80"/>
      <c r="Q824" s="80"/>
      <c r="R824" s="82"/>
      <c r="S824" s="82"/>
      <c r="T824" s="80"/>
      <c r="U824" s="80"/>
      <c r="V824" s="82"/>
      <c r="W824" s="80"/>
      <c r="X824" s="80"/>
      <c r="Y824" s="80"/>
      <c r="Z824" s="80"/>
      <c r="AA824" s="82"/>
      <c r="AB824" s="80"/>
      <c r="AC824" s="80"/>
      <c r="AD824" s="80"/>
      <c r="AE824" s="80"/>
      <c r="AF824" s="82"/>
      <c r="AG824" s="80"/>
      <c r="AH824" s="80"/>
      <c r="AI824" s="82"/>
      <c r="AJ824" s="79"/>
      <c r="AK824" s="78" t="str">
        <f aca="false">IF(E824="","",(X824&lt;&gt;"")+(AC824&lt;&gt;"")+(AH824&lt;&gt;""))</f>
        <v/>
      </c>
      <c r="AL824" s="81" t="str">
        <f aca="false">IF(AH824&lt;&gt;"",AH824,IF(AC824&lt;&gt;"",AC824,IF(X824&lt;&gt;"",X824,"")))</f>
        <v/>
      </c>
      <c r="AM824" s="83" t="str">
        <f aca="false">IF(E824="","",IF(R824="","À SOUDER",IF(U824="","VT EN ATTENTE",IF(U824="R","VT REJETÉ – À REPRENDRE",IF(AL824="","À RADIOGRAPHIER",IF(AL824="A","ACCEPTÉ",IF(AL824="NX","NX – RT À REFAIRE",IF(IF(AK824=1,Z824,IF(AK824=2,AE824,""))="A","RÉPARÉ – À RADIOGRAPHIER",IF(IF(AK824=1,Z824,IF(AK824=2,AE824,""))="R","VT REJETÉ – À REPRENDRE",IF(OR(AL824="CO",AL824="NT"),"COUPE – À RESOUDER","À RÉPARER"))))))))))</f>
        <v/>
      </c>
      <c r="AN824" s="81" t="str">
        <f aca="false">IF(AND(ISNUMBER(R824),OR(AM824="À RADIOGRAPHIER",AM824="RÉPARÉ – À RADIOGRAPHIER",AM824="NX – RT À REFAIRE",AM824="À RÉPARER",AM824="COUPE – À RESOUDER",AM824="VT REJETÉ – À REPRENDRE")),MAX(0,'PROGRAMME RT'!$C$4-R824),"")</f>
        <v/>
      </c>
      <c r="AO824" s="78" t="n">
        <f aca="false">IF(AND(OR(AM824="À RADIOGRAPHIER",AM824="RÉPARÉ – À RADIOGRAPHIER",AM824="NX – RT À REFAIRE"),OR('PROGRAMME RT'!$D$5="TOUTES",B824='PROGRAMME RT'!$D$5)),1,0)</f>
        <v>0</v>
      </c>
      <c r="AP824" s="78" t="str">
        <f aca="false">IF(AO824=1,SUM(AO$7:AO824),"")</f>
        <v/>
      </c>
      <c r="AQ824" s="78" t="n">
        <f aca="false">IF(AND(OR(X824="R",X824="NX",X824="NT",X824="CO"),OR('JOINTS DE RÉPARATION'!$D$5="TOUTES",B824='JOINTS DE RÉPARATION'!$D$5),OR('JOINTS DE RÉPARATION'!$L$4="TOUS",AM824&lt;&gt;"ACCEPTÉ")),1,0)</f>
        <v>0</v>
      </c>
      <c r="AR824" s="78" t="str">
        <f aca="false">IF(AQ824=1,SUM(AQ$7:AQ824),"")</f>
        <v/>
      </c>
    </row>
    <row r="825" customFormat="false" ht="15" hidden="false" customHeight="false" outlineLevel="0" collapsed="false">
      <c r="A825" s="78" t="str">
        <f aca="false">IF(E825="","",ROW()-6)</f>
        <v/>
      </c>
      <c r="B825" s="79"/>
      <c r="C825" s="80"/>
      <c r="D825" s="80"/>
      <c r="E825" s="80"/>
      <c r="F825" s="80"/>
      <c r="G825" s="80"/>
      <c r="H825" s="80"/>
      <c r="I825" s="80"/>
      <c r="J825" s="80"/>
      <c r="K825" s="80"/>
      <c r="L825" s="81" t="str">
        <f aca="false">IF(K825="","",IFERROR(INDEX(BARDAGE!$C$7:$C$1506,MATCH(K825,BARDAGE!$B$7:$B$1506,0)),"? hors registre"))</f>
        <v/>
      </c>
      <c r="M825" s="80"/>
      <c r="N825" s="81" t="str">
        <f aca="false">IF(M825="","",IFERROR(INDEX(BARDAGE!$C$7:$C$1506,MATCH(M825,BARDAGE!$B$7:$B$1506,0)),"? hors registre"))</f>
        <v/>
      </c>
      <c r="O825" s="80"/>
      <c r="P825" s="80"/>
      <c r="Q825" s="80"/>
      <c r="R825" s="82"/>
      <c r="S825" s="82"/>
      <c r="T825" s="80"/>
      <c r="U825" s="80"/>
      <c r="V825" s="82"/>
      <c r="W825" s="80"/>
      <c r="X825" s="80"/>
      <c r="Y825" s="80"/>
      <c r="Z825" s="80"/>
      <c r="AA825" s="82"/>
      <c r="AB825" s="80"/>
      <c r="AC825" s="80"/>
      <c r="AD825" s="80"/>
      <c r="AE825" s="80"/>
      <c r="AF825" s="82"/>
      <c r="AG825" s="80"/>
      <c r="AH825" s="80"/>
      <c r="AI825" s="82"/>
      <c r="AJ825" s="79"/>
      <c r="AK825" s="78" t="str">
        <f aca="false">IF(E825="","",(X825&lt;&gt;"")+(AC825&lt;&gt;"")+(AH825&lt;&gt;""))</f>
        <v/>
      </c>
      <c r="AL825" s="81" t="str">
        <f aca="false">IF(AH825&lt;&gt;"",AH825,IF(AC825&lt;&gt;"",AC825,IF(X825&lt;&gt;"",X825,"")))</f>
        <v/>
      </c>
      <c r="AM825" s="83" t="str">
        <f aca="false">IF(E825="","",IF(R825="","À SOUDER",IF(U825="","VT EN ATTENTE",IF(U825="R","VT REJETÉ – À REPRENDRE",IF(AL825="","À RADIOGRAPHIER",IF(AL825="A","ACCEPTÉ",IF(AL825="NX","NX – RT À REFAIRE",IF(IF(AK825=1,Z825,IF(AK825=2,AE825,""))="A","RÉPARÉ – À RADIOGRAPHIER",IF(IF(AK825=1,Z825,IF(AK825=2,AE825,""))="R","VT REJETÉ – À REPRENDRE",IF(OR(AL825="CO",AL825="NT"),"COUPE – À RESOUDER","À RÉPARER"))))))))))</f>
        <v/>
      </c>
      <c r="AN825" s="81" t="str">
        <f aca="false">IF(AND(ISNUMBER(R825),OR(AM825="À RADIOGRAPHIER",AM825="RÉPARÉ – À RADIOGRAPHIER",AM825="NX – RT À REFAIRE",AM825="À RÉPARER",AM825="COUPE – À RESOUDER",AM825="VT REJETÉ – À REPRENDRE")),MAX(0,'PROGRAMME RT'!$C$4-R825),"")</f>
        <v/>
      </c>
      <c r="AO825" s="78" t="n">
        <f aca="false">IF(AND(OR(AM825="À RADIOGRAPHIER",AM825="RÉPARÉ – À RADIOGRAPHIER",AM825="NX – RT À REFAIRE"),OR('PROGRAMME RT'!$D$5="TOUTES",B825='PROGRAMME RT'!$D$5)),1,0)</f>
        <v>0</v>
      </c>
      <c r="AP825" s="78" t="str">
        <f aca="false">IF(AO825=1,SUM(AO$7:AO825),"")</f>
        <v/>
      </c>
      <c r="AQ825" s="78" t="n">
        <f aca="false">IF(AND(OR(X825="R",X825="NX",X825="NT",X825="CO"),OR('JOINTS DE RÉPARATION'!$D$5="TOUTES",B825='JOINTS DE RÉPARATION'!$D$5),OR('JOINTS DE RÉPARATION'!$L$4="TOUS",AM825&lt;&gt;"ACCEPTÉ")),1,0)</f>
        <v>0</v>
      </c>
      <c r="AR825" s="78" t="str">
        <f aca="false">IF(AQ825=1,SUM(AQ$7:AQ825),"")</f>
        <v/>
      </c>
    </row>
    <row r="826" customFormat="false" ht="15" hidden="false" customHeight="false" outlineLevel="0" collapsed="false">
      <c r="A826" s="78" t="str">
        <f aca="false">IF(E826="","",ROW()-6)</f>
        <v/>
      </c>
      <c r="B826" s="79"/>
      <c r="C826" s="80"/>
      <c r="D826" s="80"/>
      <c r="E826" s="80"/>
      <c r="F826" s="80"/>
      <c r="G826" s="80"/>
      <c r="H826" s="80"/>
      <c r="I826" s="80"/>
      <c r="J826" s="80"/>
      <c r="K826" s="80"/>
      <c r="L826" s="81" t="str">
        <f aca="false">IF(K826="","",IFERROR(INDEX(BARDAGE!$C$7:$C$1506,MATCH(K826,BARDAGE!$B$7:$B$1506,0)),"? hors registre"))</f>
        <v/>
      </c>
      <c r="M826" s="80"/>
      <c r="N826" s="81" t="str">
        <f aca="false">IF(M826="","",IFERROR(INDEX(BARDAGE!$C$7:$C$1506,MATCH(M826,BARDAGE!$B$7:$B$1506,0)),"? hors registre"))</f>
        <v/>
      </c>
      <c r="O826" s="80"/>
      <c r="P826" s="80"/>
      <c r="Q826" s="80"/>
      <c r="R826" s="82"/>
      <c r="S826" s="82"/>
      <c r="T826" s="80"/>
      <c r="U826" s="80"/>
      <c r="V826" s="82"/>
      <c r="W826" s="80"/>
      <c r="X826" s="80"/>
      <c r="Y826" s="80"/>
      <c r="Z826" s="80"/>
      <c r="AA826" s="82"/>
      <c r="AB826" s="80"/>
      <c r="AC826" s="80"/>
      <c r="AD826" s="80"/>
      <c r="AE826" s="80"/>
      <c r="AF826" s="82"/>
      <c r="AG826" s="80"/>
      <c r="AH826" s="80"/>
      <c r="AI826" s="82"/>
      <c r="AJ826" s="79"/>
      <c r="AK826" s="78" t="str">
        <f aca="false">IF(E826="","",(X826&lt;&gt;"")+(AC826&lt;&gt;"")+(AH826&lt;&gt;""))</f>
        <v/>
      </c>
      <c r="AL826" s="81" t="str">
        <f aca="false">IF(AH826&lt;&gt;"",AH826,IF(AC826&lt;&gt;"",AC826,IF(X826&lt;&gt;"",X826,"")))</f>
        <v/>
      </c>
      <c r="AM826" s="83" t="str">
        <f aca="false">IF(E826="","",IF(R826="","À SOUDER",IF(U826="","VT EN ATTENTE",IF(U826="R","VT REJETÉ – À REPRENDRE",IF(AL826="","À RADIOGRAPHIER",IF(AL826="A","ACCEPTÉ",IF(AL826="NX","NX – RT À REFAIRE",IF(IF(AK826=1,Z826,IF(AK826=2,AE826,""))="A","RÉPARÉ – À RADIOGRAPHIER",IF(IF(AK826=1,Z826,IF(AK826=2,AE826,""))="R","VT REJETÉ – À REPRENDRE",IF(OR(AL826="CO",AL826="NT"),"COUPE – À RESOUDER","À RÉPARER"))))))))))</f>
        <v/>
      </c>
      <c r="AN826" s="81" t="str">
        <f aca="false">IF(AND(ISNUMBER(R826),OR(AM826="À RADIOGRAPHIER",AM826="RÉPARÉ – À RADIOGRAPHIER",AM826="NX – RT À REFAIRE",AM826="À RÉPARER",AM826="COUPE – À RESOUDER",AM826="VT REJETÉ – À REPRENDRE")),MAX(0,'PROGRAMME RT'!$C$4-R826),"")</f>
        <v/>
      </c>
      <c r="AO826" s="78" t="n">
        <f aca="false">IF(AND(OR(AM826="À RADIOGRAPHIER",AM826="RÉPARÉ – À RADIOGRAPHIER",AM826="NX – RT À REFAIRE"),OR('PROGRAMME RT'!$D$5="TOUTES",B826='PROGRAMME RT'!$D$5)),1,0)</f>
        <v>0</v>
      </c>
      <c r="AP826" s="78" t="str">
        <f aca="false">IF(AO826=1,SUM(AO$7:AO826),"")</f>
        <v/>
      </c>
      <c r="AQ826" s="78" t="n">
        <f aca="false">IF(AND(OR(X826="R",X826="NX",X826="NT",X826="CO"),OR('JOINTS DE RÉPARATION'!$D$5="TOUTES",B826='JOINTS DE RÉPARATION'!$D$5),OR('JOINTS DE RÉPARATION'!$L$4="TOUS",AM826&lt;&gt;"ACCEPTÉ")),1,0)</f>
        <v>0</v>
      </c>
      <c r="AR826" s="78" t="str">
        <f aca="false">IF(AQ826=1,SUM(AQ$7:AQ826),"")</f>
        <v/>
      </c>
    </row>
    <row r="827" customFormat="false" ht="15" hidden="false" customHeight="false" outlineLevel="0" collapsed="false">
      <c r="A827" s="78" t="str">
        <f aca="false">IF(E827="","",ROW()-6)</f>
        <v/>
      </c>
      <c r="B827" s="79"/>
      <c r="C827" s="80"/>
      <c r="D827" s="80"/>
      <c r="E827" s="80"/>
      <c r="F827" s="80"/>
      <c r="G827" s="80"/>
      <c r="H827" s="80"/>
      <c r="I827" s="80"/>
      <c r="J827" s="80"/>
      <c r="K827" s="80"/>
      <c r="L827" s="81" t="str">
        <f aca="false">IF(K827="","",IFERROR(INDEX(BARDAGE!$C$7:$C$1506,MATCH(K827,BARDAGE!$B$7:$B$1506,0)),"? hors registre"))</f>
        <v/>
      </c>
      <c r="M827" s="80"/>
      <c r="N827" s="81" t="str">
        <f aca="false">IF(M827="","",IFERROR(INDEX(BARDAGE!$C$7:$C$1506,MATCH(M827,BARDAGE!$B$7:$B$1506,0)),"? hors registre"))</f>
        <v/>
      </c>
      <c r="O827" s="80"/>
      <c r="P827" s="80"/>
      <c r="Q827" s="80"/>
      <c r="R827" s="82"/>
      <c r="S827" s="82"/>
      <c r="T827" s="80"/>
      <c r="U827" s="80"/>
      <c r="V827" s="82"/>
      <c r="W827" s="80"/>
      <c r="X827" s="80"/>
      <c r="Y827" s="80"/>
      <c r="Z827" s="80"/>
      <c r="AA827" s="82"/>
      <c r="AB827" s="80"/>
      <c r="AC827" s="80"/>
      <c r="AD827" s="80"/>
      <c r="AE827" s="80"/>
      <c r="AF827" s="82"/>
      <c r="AG827" s="80"/>
      <c r="AH827" s="80"/>
      <c r="AI827" s="82"/>
      <c r="AJ827" s="79"/>
      <c r="AK827" s="78" t="str">
        <f aca="false">IF(E827="","",(X827&lt;&gt;"")+(AC827&lt;&gt;"")+(AH827&lt;&gt;""))</f>
        <v/>
      </c>
      <c r="AL827" s="81" t="str">
        <f aca="false">IF(AH827&lt;&gt;"",AH827,IF(AC827&lt;&gt;"",AC827,IF(X827&lt;&gt;"",X827,"")))</f>
        <v/>
      </c>
      <c r="AM827" s="83" t="str">
        <f aca="false">IF(E827="","",IF(R827="","À SOUDER",IF(U827="","VT EN ATTENTE",IF(U827="R","VT REJETÉ – À REPRENDRE",IF(AL827="","À RADIOGRAPHIER",IF(AL827="A","ACCEPTÉ",IF(AL827="NX","NX – RT À REFAIRE",IF(IF(AK827=1,Z827,IF(AK827=2,AE827,""))="A","RÉPARÉ – À RADIOGRAPHIER",IF(IF(AK827=1,Z827,IF(AK827=2,AE827,""))="R","VT REJETÉ – À REPRENDRE",IF(OR(AL827="CO",AL827="NT"),"COUPE – À RESOUDER","À RÉPARER"))))))))))</f>
        <v/>
      </c>
      <c r="AN827" s="81" t="str">
        <f aca="false">IF(AND(ISNUMBER(R827),OR(AM827="À RADIOGRAPHIER",AM827="RÉPARÉ – À RADIOGRAPHIER",AM827="NX – RT À REFAIRE",AM827="À RÉPARER",AM827="COUPE – À RESOUDER",AM827="VT REJETÉ – À REPRENDRE")),MAX(0,'PROGRAMME RT'!$C$4-R827),"")</f>
        <v/>
      </c>
      <c r="AO827" s="78" t="n">
        <f aca="false">IF(AND(OR(AM827="À RADIOGRAPHIER",AM827="RÉPARÉ – À RADIOGRAPHIER",AM827="NX – RT À REFAIRE"),OR('PROGRAMME RT'!$D$5="TOUTES",B827='PROGRAMME RT'!$D$5)),1,0)</f>
        <v>0</v>
      </c>
      <c r="AP827" s="78" t="str">
        <f aca="false">IF(AO827=1,SUM(AO$7:AO827),"")</f>
        <v/>
      </c>
      <c r="AQ827" s="78" t="n">
        <f aca="false">IF(AND(OR(X827="R",X827="NX",X827="NT",X827="CO"),OR('JOINTS DE RÉPARATION'!$D$5="TOUTES",B827='JOINTS DE RÉPARATION'!$D$5),OR('JOINTS DE RÉPARATION'!$L$4="TOUS",AM827&lt;&gt;"ACCEPTÉ")),1,0)</f>
        <v>0</v>
      </c>
      <c r="AR827" s="78" t="str">
        <f aca="false">IF(AQ827=1,SUM(AQ$7:AQ827),"")</f>
        <v/>
      </c>
    </row>
    <row r="828" customFormat="false" ht="15" hidden="false" customHeight="false" outlineLevel="0" collapsed="false">
      <c r="A828" s="78" t="str">
        <f aca="false">IF(E828="","",ROW()-6)</f>
        <v/>
      </c>
      <c r="B828" s="79"/>
      <c r="C828" s="80"/>
      <c r="D828" s="80"/>
      <c r="E828" s="80"/>
      <c r="F828" s="80"/>
      <c r="G828" s="80"/>
      <c r="H828" s="80"/>
      <c r="I828" s="80"/>
      <c r="J828" s="80"/>
      <c r="K828" s="80"/>
      <c r="L828" s="81" t="str">
        <f aca="false">IF(K828="","",IFERROR(INDEX(BARDAGE!$C$7:$C$1506,MATCH(K828,BARDAGE!$B$7:$B$1506,0)),"? hors registre"))</f>
        <v/>
      </c>
      <c r="M828" s="80"/>
      <c r="N828" s="81" t="str">
        <f aca="false">IF(M828="","",IFERROR(INDEX(BARDAGE!$C$7:$C$1506,MATCH(M828,BARDAGE!$B$7:$B$1506,0)),"? hors registre"))</f>
        <v/>
      </c>
      <c r="O828" s="80"/>
      <c r="P828" s="80"/>
      <c r="Q828" s="80"/>
      <c r="R828" s="82"/>
      <c r="S828" s="82"/>
      <c r="T828" s="80"/>
      <c r="U828" s="80"/>
      <c r="V828" s="82"/>
      <c r="W828" s="80"/>
      <c r="X828" s="80"/>
      <c r="Y828" s="80"/>
      <c r="Z828" s="80"/>
      <c r="AA828" s="82"/>
      <c r="AB828" s="80"/>
      <c r="AC828" s="80"/>
      <c r="AD828" s="80"/>
      <c r="AE828" s="80"/>
      <c r="AF828" s="82"/>
      <c r="AG828" s="80"/>
      <c r="AH828" s="80"/>
      <c r="AI828" s="82"/>
      <c r="AJ828" s="79"/>
      <c r="AK828" s="78" t="str">
        <f aca="false">IF(E828="","",(X828&lt;&gt;"")+(AC828&lt;&gt;"")+(AH828&lt;&gt;""))</f>
        <v/>
      </c>
      <c r="AL828" s="81" t="str">
        <f aca="false">IF(AH828&lt;&gt;"",AH828,IF(AC828&lt;&gt;"",AC828,IF(X828&lt;&gt;"",X828,"")))</f>
        <v/>
      </c>
      <c r="AM828" s="83" t="str">
        <f aca="false">IF(E828="","",IF(R828="","À SOUDER",IF(U828="","VT EN ATTENTE",IF(U828="R","VT REJETÉ – À REPRENDRE",IF(AL828="","À RADIOGRAPHIER",IF(AL828="A","ACCEPTÉ",IF(AL828="NX","NX – RT À REFAIRE",IF(IF(AK828=1,Z828,IF(AK828=2,AE828,""))="A","RÉPARÉ – À RADIOGRAPHIER",IF(IF(AK828=1,Z828,IF(AK828=2,AE828,""))="R","VT REJETÉ – À REPRENDRE",IF(OR(AL828="CO",AL828="NT"),"COUPE – À RESOUDER","À RÉPARER"))))))))))</f>
        <v/>
      </c>
      <c r="AN828" s="81" t="str">
        <f aca="false">IF(AND(ISNUMBER(R828),OR(AM828="À RADIOGRAPHIER",AM828="RÉPARÉ – À RADIOGRAPHIER",AM828="NX – RT À REFAIRE",AM828="À RÉPARER",AM828="COUPE – À RESOUDER",AM828="VT REJETÉ – À REPRENDRE")),MAX(0,'PROGRAMME RT'!$C$4-R828),"")</f>
        <v/>
      </c>
      <c r="AO828" s="78" t="n">
        <f aca="false">IF(AND(OR(AM828="À RADIOGRAPHIER",AM828="RÉPARÉ – À RADIOGRAPHIER",AM828="NX – RT À REFAIRE"),OR('PROGRAMME RT'!$D$5="TOUTES",B828='PROGRAMME RT'!$D$5)),1,0)</f>
        <v>0</v>
      </c>
      <c r="AP828" s="78" t="str">
        <f aca="false">IF(AO828=1,SUM(AO$7:AO828),"")</f>
        <v/>
      </c>
      <c r="AQ828" s="78" t="n">
        <f aca="false">IF(AND(OR(X828="R",X828="NX",X828="NT",X828="CO"),OR('JOINTS DE RÉPARATION'!$D$5="TOUTES",B828='JOINTS DE RÉPARATION'!$D$5),OR('JOINTS DE RÉPARATION'!$L$4="TOUS",AM828&lt;&gt;"ACCEPTÉ")),1,0)</f>
        <v>0</v>
      </c>
      <c r="AR828" s="78" t="str">
        <f aca="false">IF(AQ828=1,SUM(AQ$7:AQ828),"")</f>
        <v/>
      </c>
    </row>
    <row r="829" customFormat="false" ht="15" hidden="false" customHeight="false" outlineLevel="0" collapsed="false">
      <c r="A829" s="78" t="str">
        <f aca="false">IF(E829="","",ROW()-6)</f>
        <v/>
      </c>
      <c r="B829" s="79"/>
      <c r="C829" s="80"/>
      <c r="D829" s="80"/>
      <c r="E829" s="80"/>
      <c r="F829" s="80"/>
      <c r="G829" s="80"/>
      <c r="H829" s="80"/>
      <c r="I829" s="80"/>
      <c r="J829" s="80"/>
      <c r="K829" s="80"/>
      <c r="L829" s="81" t="str">
        <f aca="false">IF(K829="","",IFERROR(INDEX(BARDAGE!$C$7:$C$1506,MATCH(K829,BARDAGE!$B$7:$B$1506,0)),"? hors registre"))</f>
        <v/>
      </c>
      <c r="M829" s="80"/>
      <c r="N829" s="81" t="str">
        <f aca="false">IF(M829="","",IFERROR(INDEX(BARDAGE!$C$7:$C$1506,MATCH(M829,BARDAGE!$B$7:$B$1506,0)),"? hors registre"))</f>
        <v/>
      </c>
      <c r="O829" s="80"/>
      <c r="P829" s="80"/>
      <c r="Q829" s="80"/>
      <c r="R829" s="82"/>
      <c r="S829" s="82"/>
      <c r="T829" s="80"/>
      <c r="U829" s="80"/>
      <c r="V829" s="82"/>
      <c r="W829" s="80"/>
      <c r="X829" s="80"/>
      <c r="Y829" s="80"/>
      <c r="Z829" s="80"/>
      <c r="AA829" s="82"/>
      <c r="AB829" s="80"/>
      <c r="AC829" s="80"/>
      <c r="AD829" s="80"/>
      <c r="AE829" s="80"/>
      <c r="AF829" s="82"/>
      <c r="AG829" s="80"/>
      <c r="AH829" s="80"/>
      <c r="AI829" s="82"/>
      <c r="AJ829" s="79"/>
      <c r="AK829" s="78" t="str">
        <f aca="false">IF(E829="","",(X829&lt;&gt;"")+(AC829&lt;&gt;"")+(AH829&lt;&gt;""))</f>
        <v/>
      </c>
      <c r="AL829" s="81" t="str">
        <f aca="false">IF(AH829&lt;&gt;"",AH829,IF(AC829&lt;&gt;"",AC829,IF(X829&lt;&gt;"",X829,"")))</f>
        <v/>
      </c>
      <c r="AM829" s="83" t="str">
        <f aca="false">IF(E829="","",IF(R829="","À SOUDER",IF(U829="","VT EN ATTENTE",IF(U829="R","VT REJETÉ – À REPRENDRE",IF(AL829="","À RADIOGRAPHIER",IF(AL829="A","ACCEPTÉ",IF(AL829="NX","NX – RT À REFAIRE",IF(IF(AK829=1,Z829,IF(AK829=2,AE829,""))="A","RÉPARÉ – À RADIOGRAPHIER",IF(IF(AK829=1,Z829,IF(AK829=2,AE829,""))="R","VT REJETÉ – À REPRENDRE",IF(OR(AL829="CO",AL829="NT"),"COUPE – À RESOUDER","À RÉPARER"))))))))))</f>
        <v/>
      </c>
      <c r="AN829" s="81" t="str">
        <f aca="false">IF(AND(ISNUMBER(R829),OR(AM829="À RADIOGRAPHIER",AM829="RÉPARÉ – À RADIOGRAPHIER",AM829="NX – RT À REFAIRE",AM829="À RÉPARER",AM829="COUPE – À RESOUDER",AM829="VT REJETÉ – À REPRENDRE")),MAX(0,'PROGRAMME RT'!$C$4-R829),"")</f>
        <v/>
      </c>
      <c r="AO829" s="78" t="n">
        <f aca="false">IF(AND(OR(AM829="À RADIOGRAPHIER",AM829="RÉPARÉ – À RADIOGRAPHIER",AM829="NX – RT À REFAIRE"),OR('PROGRAMME RT'!$D$5="TOUTES",B829='PROGRAMME RT'!$D$5)),1,0)</f>
        <v>0</v>
      </c>
      <c r="AP829" s="78" t="str">
        <f aca="false">IF(AO829=1,SUM(AO$7:AO829),"")</f>
        <v/>
      </c>
      <c r="AQ829" s="78" t="n">
        <f aca="false">IF(AND(OR(X829="R",X829="NX",X829="NT",X829="CO"),OR('JOINTS DE RÉPARATION'!$D$5="TOUTES",B829='JOINTS DE RÉPARATION'!$D$5),OR('JOINTS DE RÉPARATION'!$L$4="TOUS",AM829&lt;&gt;"ACCEPTÉ")),1,0)</f>
        <v>0</v>
      </c>
      <c r="AR829" s="78" t="str">
        <f aca="false">IF(AQ829=1,SUM(AQ$7:AQ829),"")</f>
        <v/>
      </c>
    </row>
    <row r="830" customFormat="false" ht="15" hidden="false" customHeight="false" outlineLevel="0" collapsed="false">
      <c r="A830" s="78" t="str">
        <f aca="false">IF(E830="","",ROW()-6)</f>
        <v/>
      </c>
      <c r="B830" s="79"/>
      <c r="C830" s="80"/>
      <c r="D830" s="80"/>
      <c r="E830" s="80"/>
      <c r="F830" s="80"/>
      <c r="G830" s="80"/>
      <c r="H830" s="80"/>
      <c r="I830" s="80"/>
      <c r="J830" s="80"/>
      <c r="K830" s="80"/>
      <c r="L830" s="81" t="str">
        <f aca="false">IF(K830="","",IFERROR(INDEX(BARDAGE!$C$7:$C$1506,MATCH(K830,BARDAGE!$B$7:$B$1506,0)),"? hors registre"))</f>
        <v/>
      </c>
      <c r="M830" s="80"/>
      <c r="N830" s="81" t="str">
        <f aca="false">IF(M830="","",IFERROR(INDEX(BARDAGE!$C$7:$C$1506,MATCH(M830,BARDAGE!$B$7:$B$1506,0)),"? hors registre"))</f>
        <v/>
      </c>
      <c r="O830" s="80"/>
      <c r="P830" s="80"/>
      <c r="Q830" s="80"/>
      <c r="R830" s="82"/>
      <c r="S830" s="82"/>
      <c r="T830" s="80"/>
      <c r="U830" s="80"/>
      <c r="V830" s="82"/>
      <c r="W830" s="80"/>
      <c r="X830" s="80"/>
      <c r="Y830" s="80"/>
      <c r="Z830" s="80"/>
      <c r="AA830" s="82"/>
      <c r="AB830" s="80"/>
      <c r="AC830" s="80"/>
      <c r="AD830" s="80"/>
      <c r="AE830" s="80"/>
      <c r="AF830" s="82"/>
      <c r="AG830" s="80"/>
      <c r="AH830" s="80"/>
      <c r="AI830" s="82"/>
      <c r="AJ830" s="79"/>
      <c r="AK830" s="78" t="str">
        <f aca="false">IF(E830="","",(X830&lt;&gt;"")+(AC830&lt;&gt;"")+(AH830&lt;&gt;""))</f>
        <v/>
      </c>
      <c r="AL830" s="81" t="str">
        <f aca="false">IF(AH830&lt;&gt;"",AH830,IF(AC830&lt;&gt;"",AC830,IF(X830&lt;&gt;"",X830,"")))</f>
        <v/>
      </c>
      <c r="AM830" s="83" t="str">
        <f aca="false">IF(E830="","",IF(R830="","À SOUDER",IF(U830="","VT EN ATTENTE",IF(U830="R","VT REJETÉ – À REPRENDRE",IF(AL830="","À RADIOGRAPHIER",IF(AL830="A","ACCEPTÉ",IF(AL830="NX","NX – RT À REFAIRE",IF(IF(AK830=1,Z830,IF(AK830=2,AE830,""))="A","RÉPARÉ – À RADIOGRAPHIER",IF(IF(AK830=1,Z830,IF(AK830=2,AE830,""))="R","VT REJETÉ – À REPRENDRE",IF(OR(AL830="CO",AL830="NT"),"COUPE – À RESOUDER","À RÉPARER"))))))))))</f>
        <v/>
      </c>
      <c r="AN830" s="81" t="str">
        <f aca="false">IF(AND(ISNUMBER(R830),OR(AM830="À RADIOGRAPHIER",AM830="RÉPARÉ – À RADIOGRAPHIER",AM830="NX – RT À REFAIRE",AM830="À RÉPARER",AM830="COUPE – À RESOUDER",AM830="VT REJETÉ – À REPRENDRE")),MAX(0,'PROGRAMME RT'!$C$4-R830),"")</f>
        <v/>
      </c>
      <c r="AO830" s="78" t="n">
        <f aca="false">IF(AND(OR(AM830="À RADIOGRAPHIER",AM830="RÉPARÉ – À RADIOGRAPHIER",AM830="NX – RT À REFAIRE"),OR('PROGRAMME RT'!$D$5="TOUTES",B830='PROGRAMME RT'!$D$5)),1,0)</f>
        <v>0</v>
      </c>
      <c r="AP830" s="78" t="str">
        <f aca="false">IF(AO830=1,SUM(AO$7:AO830),"")</f>
        <v/>
      </c>
      <c r="AQ830" s="78" t="n">
        <f aca="false">IF(AND(OR(X830="R",X830="NX",X830="NT",X830="CO"),OR('JOINTS DE RÉPARATION'!$D$5="TOUTES",B830='JOINTS DE RÉPARATION'!$D$5),OR('JOINTS DE RÉPARATION'!$L$4="TOUS",AM830&lt;&gt;"ACCEPTÉ")),1,0)</f>
        <v>0</v>
      </c>
      <c r="AR830" s="78" t="str">
        <f aca="false">IF(AQ830=1,SUM(AQ$7:AQ830),"")</f>
        <v/>
      </c>
    </row>
    <row r="831" customFormat="false" ht="15" hidden="false" customHeight="false" outlineLevel="0" collapsed="false">
      <c r="A831" s="78" t="str">
        <f aca="false">IF(E831="","",ROW()-6)</f>
        <v/>
      </c>
      <c r="B831" s="79"/>
      <c r="C831" s="80"/>
      <c r="D831" s="80"/>
      <c r="E831" s="80"/>
      <c r="F831" s="80"/>
      <c r="G831" s="80"/>
      <c r="H831" s="80"/>
      <c r="I831" s="80"/>
      <c r="J831" s="80"/>
      <c r="K831" s="80"/>
      <c r="L831" s="81" t="str">
        <f aca="false">IF(K831="","",IFERROR(INDEX(BARDAGE!$C$7:$C$1506,MATCH(K831,BARDAGE!$B$7:$B$1506,0)),"? hors registre"))</f>
        <v/>
      </c>
      <c r="M831" s="80"/>
      <c r="N831" s="81" t="str">
        <f aca="false">IF(M831="","",IFERROR(INDEX(BARDAGE!$C$7:$C$1506,MATCH(M831,BARDAGE!$B$7:$B$1506,0)),"? hors registre"))</f>
        <v/>
      </c>
      <c r="O831" s="80"/>
      <c r="P831" s="80"/>
      <c r="Q831" s="80"/>
      <c r="R831" s="82"/>
      <c r="S831" s="82"/>
      <c r="T831" s="80"/>
      <c r="U831" s="80"/>
      <c r="V831" s="82"/>
      <c r="W831" s="80"/>
      <c r="X831" s="80"/>
      <c r="Y831" s="80"/>
      <c r="Z831" s="80"/>
      <c r="AA831" s="82"/>
      <c r="AB831" s="80"/>
      <c r="AC831" s="80"/>
      <c r="AD831" s="80"/>
      <c r="AE831" s="80"/>
      <c r="AF831" s="82"/>
      <c r="AG831" s="80"/>
      <c r="AH831" s="80"/>
      <c r="AI831" s="82"/>
      <c r="AJ831" s="79"/>
      <c r="AK831" s="78" t="str">
        <f aca="false">IF(E831="","",(X831&lt;&gt;"")+(AC831&lt;&gt;"")+(AH831&lt;&gt;""))</f>
        <v/>
      </c>
      <c r="AL831" s="81" t="str">
        <f aca="false">IF(AH831&lt;&gt;"",AH831,IF(AC831&lt;&gt;"",AC831,IF(X831&lt;&gt;"",X831,"")))</f>
        <v/>
      </c>
      <c r="AM831" s="83" t="str">
        <f aca="false">IF(E831="","",IF(R831="","À SOUDER",IF(U831="","VT EN ATTENTE",IF(U831="R","VT REJETÉ – À REPRENDRE",IF(AL831="","À RADIOGRAPHIER",IF(AL831="A","ACCEPTÉ",IF(AL831="NX","NX – RT À REFAIRE",IF(IF(AK831=1,Z831,IF(AK831=2,AE831,""))="A","RÉPARÉ – À RADIOGRAPHIER",IF(IF(AK831=1,Z831,IF(AK831=2,AE831,""))="R","VT REJETÉ – À REPRENDRE",IF(OR(AL831="CO",AL831="NT"),"COUPE – À RESOUDER","À RÉPARER"))))))))))</f>
        <v/>
      </c>
      <c r="AN831" s="81" t="str">
        <f aca="false">IF(AND(ISNUMBER(R831),OR(AM831="À RADIOGRAPHIER",AM831="RÉPARÉ – À RADIOGRAPHIER",AM831="NX – RT À REFAIRE",AM831="À RÉPARER",AM831="COUPE – À RESOUDER",AM831="VT REJETÉ – À REPRENDRE")),MAX(0,'PROGRAMME RT'!$C$4-R831),"")</f>
        <v/>
      </c>
      <c r="AO831" s="78" t="n">
        <f aca="false">IF(AND(OR(AM831="À RADIOGRAPHIER",AM831="RÉPARÉ – À RADIOGRAPHIER",AM831="NX – RT À REFAIRE"),OR('PROGRAMME RT'!$D$5="TOUTES",B831='PROGRAMME RT'!$D$5)),1,0)</f>
        <v>0</v>
      </c>
      <c r="AP831" s="78" t="str">
        <f aca="false">IF(AO831=1,SUM(AO$7:AO831),"")</f>
        <v/>
      </c>
      <c r="AQ831" s="78" t="n">
        <f aca="false">IF(AND(OR(X831="R",X831="NX",X831="NT",X831="CO"),OR('JOINTS DE RÉPARATION'!$D$5="TOUTES",B831='JOINTS DE RÉPARATION'!$D$5),OR('JOINTS DE RÉPARATION'!$L$4="TOUS",AM831&lt;&gt;"ACCEPTÉ")),1,0)</f>
        <v>0</v>
      </c>
      <c r="AR831" s="78" t="str">
        <f aca="false">IF(AQ831=1,SUM(AQ$7:AQ831),"")</f>
        <v/>
      </c>
    </row>
    <row r="832" customFormat="false" ht="15" hidden="false" customHeight="false" outlineLevel="0" collapsed="false">
      <c r="A832" s="78" t="str">
        <f aca="false">IF(E832="","",ROW()-6)</f>
        <v/>
      </c>
      <c r="B832" s="79"/>
      <c r="C832" s="80"/>
      <c r="D832" s="80"/>
      <c r="E832" s="80"/>
      <c r="F832" s="80"/>
      <c r="G832" s="80"/>
      <c r="H832" s="80"/>
      <c r="I832" s="80"/>
      <c r="J832" s="80"/>
      <c r="K832" s="80"/>
      <c r="L832" s="81" t="str">
        <f aca="false">IF(K832="","",IFERROR(INDEX(BARDAGE!$C$7:$C$1506,MATCH(K832,BARDAGE!$B$7:$B$1506,0)),"? hors registre"))</f>
        <v/>
      </c>
      <c r="M832" s="80"/>
      <c r="N832" s="81" t="str">
        <f aca="false">IF(M832="","",IFERROR(INDEX(BARDAGE!$C$7:$C$1506,MATCH(M832,BARDAGE!$B$7:$B$1506,0)),"? hors registre"))</f>
        <v/>
      </c>
      <c r="O832" s="80"/>
      <c r="P832" s="80"/>
      <c r="Q832" s="80"/>
      <c r="R832" s="82"/>
      <c r="S832" s="82"/>
      <c r="T832" s="80"/>
      <c r="U832" s="80"/>
      <c r="V832" s="82"/>
      <c r="W832" s="80"/>
      <c r="X832" s="80"/>
      <c r="Y832" s="80"/>
      <c r="Z832" s="80"/>
      <c r="AA832" s="82"/>
      <c r="AB832" s="80"/>
      <c r="AC832" s="80"/>
      <c r="AD832" s="80"/>
      <c r="AE832" s="80"/>
      <c r="AF832" s="82"/>
      <c r="AG832" s="80"/>
      <c r="AH832" s="80"/>
      <c r="AI832" s="82"/>
      <c r="AJ832" s="79"/>
      <c r="AK832" s="78" t="str">
        <f aca="false">IF(E832="","",(X832&lt;&gt;"")+(AC832&lt;&gt;"")+(AH832&lt;&gt;""))</f>
        <v/>
      </c>
      <c r="AL832" s="81" t="str">
        <f aca="false">IF(AH832&lt;&gt;"",AH832,IF(AC832&lt;&gt;"",AC832,IF(X832&lt;&gt;"",X832,"")))</f>
        <v/>
      </c>
      <c r="AM832" s="83" t="str">
        <f aca="false">IF(E832="","",IF(R832="","À SOUDER",IF(U832="","VT EN ATTENTE",IF(U832="R","VT REJETÉ – À REPRENDRE",IF(AL832="","À RADIOGRAPHIER",IF(AL832="A","ACCEPTÉ",IF(AL832="NX","NX – RT À REFAIRE",IF(IF(AK832=1,Z832,IF(AK832=2,AE832,""))="A","RÉPARÉ – À RADIOGRAPHIER",IF(IF(AK832=1,Z832,IF(AK832=2,AE832,""))="R","VT REJETÉ – À REPRENDRE",IF(OR(AL832="CO",AL832="NT"),"COUPE – À RESOUDER","À RÉPARER"))))))))))</f>
        <v/>
      </c>
      <c r="AN832" s="81" t="str">
        <f aca="false">IF(AND(ISNUMBER(R832),OR(AM832="À RADIOGRAPHIER",AM832="RÉPARÉ – À RADIOGRAPHIER",AM832="NX – RT À REFAIRE",AM832="À RÉPARER",AM832="COUPE – À RESOUDER",AM832="VT REJETÉ – À REPRENDRE")),MAX(0,'PROGRAMME RT'!$C$4-R832),"")</f>
        <v/>
      </c>
      <c r="AO832" s="78" t="n">
        <f aca="false">IF(AND(OR(AM832="À RADIOGRAPHIER",AM832="RÉPARÉ – À RADIOGRAPHIER",AM832="NX – RT À REFAIRE"),OR('PROGRAMME RT'!$D$5="TOUTES",B832='PROGRAMME RT'!$D$5)),1,0)</f>
        <v>0</v>
      </c>
      <c r="AP832" s="78" t="str">
        <f aca="false">IF(AO832=1,SUM(AO$7:AO832),"")</f>
        <v/>
      </c>
      <c r="AQ832" s="78" t="n">
        <f aca="false">IF(AND(OR(X832="R",X832="NX",X832="NT",X832="CO"),OR('JOINTS DE RÉPARATION'!$D$5="TOUTES",B832='JOINTS DE RÉPARATION'!$D$5),OR('JOINTS DE RÉPARATION'!$L$4="TOUS",AM832&lt;&gt;"ACCEPTÉ")),1,0)</f>
        <v>0</v>
      </c>
      <c r="AR832" s="78" t="str">
        <f aca="false">IF(AQ832=1,SUM(AQ$7:AQ832),"")</f>
        <v/>
      </c>
    </row>
    <row r="833" customFormat="false" ht="15" hidden="false" customHeight="false" outlineLevel="0" collapsed="false">
      <c r="A833" s="78" t="str">
        <f aca="false">IF(E833="","",ROW()-6)</f>
        <v/>
      </c>
      <c r="B833" s="79"/>
      <c r="C833" s="80"/>
      <c r="D833" s="80"/>
      <c r="E833" s="80"/>
      <c r="F833" s="80"/>
      <c r="G833" s="80"/>
      <c r="H833" s="80"/>
      <c r="I833" s="80"/>
      <c r="J833" s="80"/>
      <c r="K833" s="80"/>
      <c r="L833" s="81" t="str">
        <f aca="false">IF(K833="","",IFERROR(INDEX(BARDAGE!$C$7:$C$1506,MATCH(K833,BARDAGE!$B$7:$B$1506,0)),"? hors registre"))</f>
        <v/>
      </c>
      <c r="M833" s="80"/>
      <c r="N833" s="81" t="str">
        <f aca="false">IF(M833="","",IFERROR(INDEX(BARDAGE!$C$7:$C$1506,MATCH(M833,BARDAGE!$B$7:$B$1506,0)),"? hors registre"))</f>
        <v/>
      </c>
      <c r="O833" s="80"/>
      <c r="P833" s="80"/>
      <c r="Q833" s="80"/>
      <c r="R833" s="82"/>
      <c r="S833" s="82"/>
      <c r="T833" s="80"/>
      <c r="U833" s="80"/>
      <c r="V833" s="82"/>
      <c r="W833" s="80"/>
      <c r="X833" s="80"/>
      <c r="Y833" s="80"/>
      <c r="Z833" s="80"/>
      <c r="AA833" s="82"/>
      <c r="AB833" s="80"/>
      <c r="AC833" s="80"/>
      <c r="AD833" s="80"/>
      <c r="AE833" s="80"/>
      <c r="AF833" s="82"/>
      <c r="AG833" s="80"/>
      <c r="AH833" s="80"/>
      <c r="AI833" s="82"/>
      <c r="AJ833" s="79"/>
      <c r="AK833" s="78" t="str">
        <f aca="false">IF(E833="","",(X833&lt;&gt;"")+(AC833&lt;&gt;"")+(AH833&lt;&gt;""))</f>
        <v/>
      </c>
      <c r="AL833" s="81" t="str">
        <f aca="false">IF(AH833&lt;&gt;"",AH833,IF(AC833&lt;&gt;"",AC833,IF(X833&lt;&gt;"",X833,"")))</f>
        <v/>
      </c>
      <c r="AM833" s="83" t="str">
        <f aca="false">IF(E833="","",IF(R833="","À SOUDER",IF(U833="","VT EN ATTENTE",IF(U833="R","VT REJETÉ – À REPRENDRE",IF(AL833="","À RADIOGRAPHIER",IF(AL833="A","ACCEPTÉ",IF(AL833="NX","NX – RT À REFAIRE",IF(IF(AK833=1,Z833,IF(AK833=2,AE833,""))="A","RÉPARÉ – À RADIOGRAPHIER",IF(IF(AK833=1,Z833,IF(AK833=2,AE833,""))="R","VT REJETÉ – À REPRENDRE",IF(OR(AL833="CO",AL833="NT"),"COUPE – À RESOUDER","À RÉPARER"))))))))))</f>
        <v/>
      </c>
      <c r="AN833" s="81" t="str">
        <f aca="false">IF(AND(ISNUMBER(R833),OR(AM833="À RADIOGRAPHIER",AM833="RÉPARÉ – À RADIOGRAPHIER",AM833="NX – RT À REFAIRE",AM833="À RÉPARER",AM833="COUPE – À RESOUDER",AM833="VT REJETÉ – À REPRENDRE")),MAX(0,'PROGRAMME RT'!$C$4-R833),"")</f>
        <v/>
      </c>
      <c r="AO833" s="78" t="n">
        <f aca="false">IF(AND(OR(AM833="À RADIOGRAPHIER",AM833="RÉPARÉ – À RADIOGRAPHIER",AM833="NX – RT À REFAIRE"),OR('PROGRAMME RT'!$D$5="TOUTES",B833='PROGRAMME RT'!$D$5)),1,0)</f>
        <v>0</v>
      </c>
      <c r="AP833" s="78" t="str">
        <f aca="false">IF(AO833=1,SUM(AO$7:AO833),"")</f>
        <v/>
      </c>
      <c r="AQ833" s="78" t="n">
        <f aca="false">IF(AND(OR(X833="R",X833="NX",X833="NT",X833="CO"),OR('JOINTS DE RÉPARATION'!$D$5="TOUTES",B833='JOINTS DE RÉPARATION'!$D$5),OR('JOINTS DE RÉPARATION'!$L$4="TOUS",AM833&lt;&gt;"ACCEPTÉ")),1,0)</f>
        <v>0</v>
      </c>
      <c r="AR833" s="78" t="str">
        <f aca="false">IF(AQ833=1,SUM(AQ$7:AQ833),"")</f>
        <v/>
      </c>
    </row>
    <row r="834" customFormat="false" ht="15" hidden="false" customHeight="false" outlineLevel="0" collapsed="false">
      <c r="A834" s="78" t="str">
        <f aca="false">IF(E834="","",ROW()-6)</f>
        <v/>
      </c>
      <c r="B834" s="79"/>
      <c r="C834" s="80"/>
      <c r="D834" s="80"/>
      <c r="E834" s="80"/>
      <c r="F834" s="80"/>
      <c r="G834" s="80"/>
      <c r="H834" s="80"/>
      <c r="I834" s="80"/>
      <c r="J834" s="80"/>
      <c r="K834" s="80"/>
      <c r="L834" s="81" t="str">
        <f aca="false">IF(K834="","",IFERROR(INDEX(BARDAGE!$C$7:$C$1506,MATCH(K834,BARDAGE!$B$7:$B$1506,0)),"? hors registre"))</f>
        <v/>
      </c>
      <c r="M834" s="80"/>
      <c r="N834" s="81" t="str">
        <f aca="false">IF(M834="","",IFERROR(INDEX(BARDAGE!$C$7:$C$1506,MATCH(M834,BARDAGE!$B$7:$B$1506,0)),"? hors registre"))</f>
        <v/>
      </c>
      <c r="O834" s="80"/>
      <c r="P834" s="80"/>
      <c r="Q834" s="80"/>
      <c r="R834" s="82"/>
      <c r="S834" s="82"/>
      <c r="T834" s="80"/>
      <c r="U834" s="80"/>
      <c r="V834" s="82"/>
      <c r="W834" s="80"/>
      <c r="X834" s="80"/>
      <c r="Y834" s="80"/>
      <c r="Z834" s="80"/>
      <c r="AA834" s="82"/>
      <c r="AB834" s="80"/>
      <c r="AC834" s="80"/>
      <c r="AD834" s="80"/>
      <c r="AE834" s="80"/>
      <c r="AF834" s="82"/>
      <c r="AG834" s="80"/>
      <c r="AH834" s="80"/>
      <c r="AI834" s="82"/>
      <c r="AJ834" s="79"/>
      <c r="AK834" s="78" t="str">
        <f aca="false">IF(E834="","",(X834&lt;&gt;"")+(AC834&lt;&gt;"")+(AH834&lt;&gt;""))</f>
        <v/>
      </c>
      <c r="AL834" s="81" t="str">
        <f aca="false">IF(AH834&lt;&gt;"",AH834,IF(AC834&lt;&gt;"",AC834,IF(X834&lt;&gt;"",X834,"")))</f>
        <v/>
      </c>
      <c r="AM834" s="83" t="str">
        <f aca="false">IF(E834="","",IF(R834="","À SOUDER",IF(U834="","VT EN ATTENTE",IF(U834="R","VT REJETÉ – À REPRENDRE",IF(AL834="","À RADIOGRAPHIER",IF(AL834="A","ACCEPTÉ",IF(AL834="NX","NX – RT À REFAIRE",IF(IF(AK834=1,Z834,IF(AK834=2,AE834,""))="A","RÉPARÉ – À RADIOGRAPHIER",IF(IF(AK834=1,Z834,IF(AK834=2,AE834,""))="R","VT REJETÉ – À REPRENDRE",IF(OR(AL834="CO",AL834="NT"),"COUPE – À RESOUDER","À RÉPARER"))))))))))</f>
        <v/>
      </c>
      <c r="AN834" s="81" t="str">
        <f aca="false">IF(AND(ISNUMBER(R834),OR(AM834="À RADIOGRAPHIER",AM834="RÉPARÉ – À RADIOGRAPHIER",AM834="NX – RT À REFAIRE",AM834="À RÉPARER",AM834="COUPE – À RESOUDER",AM834="VT REJETÉ – À REPRENDRE")),MAX(0,'PROGRAMME RT'!$C$4-R834),"")</f>
        <v/>
      </c>
      <c r="AO834" s="78" t="n">
        <f aca="false">IF(AND(OR(AM834="À RADIOGRAPHIER",AM834="RÉPARÉ – À RADIOGRAPHIER",AM834="NX – RT À REFAIRE"),OR('PROGRAMME RT'!$D$5="TOUTES",B834='PROGRAMME RT'!$D$5)),1,0)</f>
        <v>0</v>
      </c>
      <c r="AP834" s="78" t="str">
        <f aca="false">IF(AO834=1,SUM(AO$7:AO834),"")</f>
        <v/>
      </c>
      <c r="AQ834" s="78" t="n">
        <f aca="false">IF(AND(OR(X834="R",X834="NX",X834="NT",X834="CO"),OR('JOINTS DE RÉPARATION'!$D$5="TOUTES",B834='JOINTS DE RÉPARATION'!$D$5),OR('JOINTS DE RÉPARATION'!$L$4="TOUS",AM834&lt;&gt;"ACCEPTÉ")),1,0)</f>
        <v>0</v>
      </c>
      <c r="AR834" s="78" t="str">
        <f aca="false">IF(AQ834=1,SUM(AQ$7:AQ834),"")</f>
        <v/>
      </c>
    </row>
    <row r="835" customFormat="false" ht="15" hidden="false" customHeight="false" outlineLevel="0" collapsed="false">
      <c r="A835" s="78" t="str">
        <f aca="false">IF(E835="","",ROW()-6)</f>
        <v/>
      </c>
      <c r="B835" s="79"/>
      <c r="C835" s="80"/>
      <c r="D835" s="80"/>
      <c r="E835" s="80"/>
      <c r="F835" s="80"/>
      <c r="G835" s="80"/>
      <c r="H835" s="80"/>
      <c r="I835" s="80"/>
      <c r="J835" s="80"/>
      <c r="K835" s="80"/>
      <c r="L835" s="81" t="str">
        <f aca="false">IF(K835="","",IFERROR(INDEX(BARDAGE!$C$7:$C$1506,MATCH(K835,BARDAGE!$B$7:$B$1506,0)),"? hors registre"))</f>
        <v/>
      </c>
      <c r="M835" s="80"/>
      <c r="N835" s="81" t="str">
        <f aca="false">IF(M835="","",IFERROR(INDEX(BARDAGE!$C$7:$C$1506,MATCH(M835,BARDAGE!$B$7:$B$1506,0)),"? hors registre"))</f>
        <v/>
      </c>
      <c r="O835" s="80"/>
      <c r="P835" s="80"/>
      <c r="Q835" s="80"/>
      <c r="R835" s="82"/>
      <c r="S835" s="82"/>
      <c r="T835" s="80"/>
      <c r="U835" s="80"/>
      <c r="V835" s="82"/>
      <c r="W835" s="80"/>
      <c r="X835" s="80"/>
      <c r="Y835" s="80"/>
      <c r="Z835" s="80"/>
      <c r="AA835" s="82"/>
      <c r="AB835" s="80"/>
      <c r="AC835" s="80"/>
      <c r="AD835" s="80"/>
      <c r="AE835" s="80"/>
      <c r="AF835" s="82"/>
      <c r="AG835" s="80"/>
      <c r="AH835" s="80"/>
      <c r="AI835" s="82"/>
      <c r="AJ835" s="79"/>
      <c r="AK835" s="78" t="str">
        <f aca="false">IF(E835="","",(X835&lt;&gt;"")+(AC835&lt;&gt;"")+(AH835&lt;&gt;""))</f>
        <v/>
      </c>
      <c r="AL835" s="81" t="str">
        <f aca="false">IF(AH835&lt;&gt;"",AH835,IF(AC835&lt;&gt;"",AC835,IF(X835&lt;&gt;"",X835,"")))</f>
        <v/>
      </c>
      <c r="AM835" s="83" t="str">
        <f aca="false">IF(E835="","",IF(R835="","À SOUDER",IF(U835="","VT EN ATTENTE",IF(U835="R","VT REJETÉ – À REPRENDRE",IF(AL835="","À RADIOGRAPHIER",IF(AL835="A","ACCEPTÉ",IF(AL835="NX","NX – RT À REFAIRE",IF(IF(AK835=1,Z835,IF(AK835=2,AE835,""))="A","RÉPARÉ – À RADIOGRAPHIER",IF(IF(AK835=1,Z835,IF(AK835=2,AE835,""))="R","VT REJETÉ – À REPRENDRE",IF(OR(AL835="CO",AL835="NT"),"COUPE – À RESOUDER","À RÉPARER"))))))))))</f>
        <v/>
      </c>
      <c r="AN835" s="81" t="str">
        <f aca="false">IF(AND(ISNUMBER(R835),OR(AM835="À RADIOGRAPHIER",AM835="RÉPARÉ – À RADIOGRAPHIER",AM835="NX – RT À REFAIRE",AM835="À RÉPARER",AM835="COUPE – À RESOUDER",AM835="VT REJETÉ – À REPRENDRE")),MAX(0,'PROGRAMME RT'!$C$4-R835),"")</f>
        <v/>
      </c>
      <c r="AO835" s="78" t="n">
        <f aca="false">IF(AND(OR(AM835="À RADIOGRAPHIER",AM835="RÉPARÉ – À RADIOGRAPHIER",AM835="NX – RT À REFAIRE"),OR('PROGRAMME RT'!$D$5="TOUTES",B835='PROGRAMME RT'!$D$5)),1,0)</f>
        <v>0</v>
      </c>
      <c r="AP835" s="78" t="str">
        <f aca="false">IF(AO835=1,SUM(AO$7:AO835),"")</f>
        <v/>
      </c>
      <c r="AQ835" s="78" t="n">
        <f aca="false">IF(AND(OR(X835="R",X835="NX",X835="NT",X835="CO"),OR('JOINTS DE RÉPARATION'!$D$5="TOUTES",B835='JOINTS DE RÉPARATION'!$D$5),OR('JOINTS DE RÉPARATION'!$L$4="TOUS",AM835&lt;&gt;"ACCEPTÉ")),1,0)</f>
        <v>0</v>
      </c>
      <c r="AR835" s="78" t="str">
        <f aca="false">IF(AQ835=1,SUM(AQ$7:AQ835),"")</f>
        <v/>
      </c>
    </row>
    <row r="836" customFormat="false" ht="15" hidden="false" customHeight="false" outlineLevel="0" collapsed="false">
      <c r="A836" s="78" t="str">
        <f aca="false">IF(E836="","",ROW()-6)</f>
        <v/>
      </c>
      <c r="B836" s="79"/>
      <c r="C836" s="80"/>
      <c r="D836" s="80"/>
      <c r="E836" s="80"/>
      <c r="F836" s="80"/>
      <c r="G836" s="80"/>
      <c r="H836" s="80"/>
      <c r="I836" s="80"/>
      <c r="J836" s="80"/>
      <c r="K836" s="80"/>
      <c r="L836" s="81" t="str">
        <f aca="false">IF(K836="","",IFERROR(INDEX(BARDAGE!$C$7:$C$1506,MATCH(K836,BARDAGE!$B$7:$B$1506,0)),"? hors registre"))</f>
        <v/>
      </c>
      <c r="M836" s="80"/>
      <c r="N836" s="81" t="str">
        <f aca="false">IF(M836="","",IFERROR(INDEX(BARDAGE!$C$7:$C$1506,MATCH(M836,BARDAGE!$B$7:$B$1506,0)),"? hors registre"))</f>
        <v/>
      </c>
      <c r="O836" s="80"/>
      <c r="P836" s="80"/>
      <c r="Q836" s="80"/>
      <c r="R836" s="82"/>
      <c r="S836" s="82"/>
      <c r="T836" s="80"/>
      <c r="U836" s="80"/>
      <c r="V836" s="82"/>
      <c r="W836" s="80"/>
      <c r="X836" s="80"/>
      <c r="Y836" s="80"/>
      <c r="Z836" s="80"/>
      <c r="AA836" s="82"/>
      <c r="AB836" s="80"/>
      <c r="AC836" s="80"/>
      <c r="AD836" s="80"/>
      <c r="AE836" s="80"/>
      <c r="AF836" s="82"/>
      <c r="AG836" s="80"/>
      <c r="AH836" s="80"/>
      <c r="AI836" s="82"/>
      <c r="AJ836" s="79"/>
      <c r="AK836" s="78" t="str">
        <f aca="false">IF(E836="","",(X836&lt;&gt;"")+(AC836&lt;&gt;"")+(AH836&lt;&gt;""))</f>
        <v/>
      </c>
      <c r="AL836" s="81" t="str">
        <f aca="false">IF(AH836&lt;&gt;"",AH836,IF(AC836&lt;&gt;"",AC836,IF(X836&lt;&gt;"",X836,"")))</f>
        <v/>
      </c>
      <c r="AM836" s="83" t="str">
        <f aca="false">IF(E836="","",IF(R836="","À SOUDER",IF(U836="","VT EN ATTENTE",IF(U836="R","VT REJETÉ – À REPRENDRE",IF(AL836="","À RADIOGRAPHIER",IF(AL836="A","ACCEPTÉ",IF(AL836="NX","NX – RT À REFAIRE",IF(IF(AK836=1,Z836,IF(AK836=2,AE836,""))="A","RÉPARÉ – À RADIOGRAPHIER",IF(IF(AK836=1,Z836,IF(AK836=2,AE836,""))="R","VT REJETÉ – À REPRENDRE",IF(OR(AL836="CO",AL836="NT"),"COUPE – À RESOUDER","À RÉPARER"))))))))))</f>
        <v/>
      </c>
      <c r="AN836" s="81" t="str">
        <f aca="false">IF(AND(ISNUMBER(R836),OR(AM836="À RADIOGRAPHIER",AM836="RÉPARÉ – À RADIOGRAPHIER",AM836="NX – RT À REFAIRE",AM836="À RÉPARER",AM836="COUPE – À RESOUDER",AM836="VT REJETÉ – À REPRENDRE")),MAX(0,'PROGRAMME RT'!$C$4-R836),"")</f>
        <v/>
      </c>
      <c r="AO836" s="78" t="n">
        <f aca="false">IF(AND(OR(AM836="À RADIOGRAPHIER",AM836="RÉPARÉ – À RADIOGRAPHIER",AM836="NX – RT À REFAIRE"),OR('PROGRAMME RT'!$D$5="TOUTES",B836='PROGRAMME RT'!$D$5)),1,0)</f>
        <v>0</v>
      </c>
      <c r="AP836" s="78" t="str">
        <f aca="false">IF(AO836=1,SUM(AO$7:AO836),"")</f>
        <v/>
      </c>
      <c r="AQ836" s="78" t="n">
        <f aca="false">IF(AND(OR(X836="R",X836="NX",X836="NT",X836="CO"),OR('JOINTS DE RÉPARATION'!$D$5="TOUTES",B836='JOINTS DE RÉPARATION'!$D$5),OR('JOINTS DE RÉPARATION'!$L$4="TOUS",AM836&lt;&gt;"ACCEPTÉ")),1,0)</f>
        <v>0</v>
      </c>
      <c r="AR836" s="78" t="str">
        <f aca="false">IF(AQ836=1,SUM(AQ$7:AQ836),"")</f>
        <v/>
      </c>
    </row>
    <row r="837" customFormat="false" ht="15" hidden="false" customHeight="false" outlineLevel="0" collapsed="false">
      <c r="A837" s="78" t="str">
        <f aca="false">IF(E837="","",ROW()-6)</f>
        <v/>
      </c>
      <c r="B837" s="79"/>
      <c r="C837" s="80"/>
      <c r="D837" s="80"/>
      <c r="E837" s="80"/>
      <c r="F837" s="80"/>
      <c r="G837" s="80"/>
      <c r="H837" s="80"/>
      <c r="I837" s="80"/>
      <c r="J837" s="80"/>
      <c r="K837" s="80"/>
      <c r="L837" s="81" t="str">
        <f aca="false">IF(K837="","",IFERROR(INDEX(BARDAGE!$C$7:$C$1506,MATCH(K837,BARDAGE!$B$7:$B$1506,0)),"? hors registre"))</f>
        <v/>
      </c>
      <c r="M837" s="80"/>
      <c r="N837" s="81" t="str">
        <f aca="false">IF(M837="","",IFERROR(INDEX(BARDAGE!$C$7:$C$1506,MATCH(M837,BARDAGE!$B$7:$B$1506,0)),"? hors registre"))</f>
        <v/>
      </c>
      <c r="O837" s="80"/>
      <c r="P837" s="80"/>
      <c r="Q837" s="80"/>
      <c r="R837" s="82"/>
      <c r="S837" s="82"/>
      <c r="T837" s="80"/>
      <c r="U837" s="80"/>
      <c r="V837" s="82"/>
      <c r="W837" s="80"/>
      <c r="X837" s="80"/>
      <c r="Y837" s="80"/>
      <c r="Z837" s="80"/>
      <c r="AA837" s="82"/>
      <c r="AB837" s="80"/>
      <c r="AC837" s="80"/>
      <c r="AD837" s="80"/>
      <c r="AE837" s="80"/>
      <c r="AF837" s="82"/>
      <c r="AG837" s="80"/>
      <c r="AH837" s="80"/>
      <c r="AI837" s="82"/>
      <c r="AJ837" s="79"/>
      <c r="AK837" s="78" t="str">
        <f aca="false">IF(E837="","",(X837&lt;&gt;"")+(AC837&lt;&gt;"")+(AH837&lt;&gt;""))</f>
        <v/>
      </c>
      <c r="AL837" s="81" t="str">
        <f aca="false">IF(AH837&lt;&gt;"",AH837,IF(AC837&lt;&gt;"",AC837,IF(X837&lt;&gt;"",X837,"")))</f>
        <v/>
      </c>
      <c r="AM837" s="83" t="str">
        <f aca="false">IF(E837="","",IF(R837="","À SOUDER",IF(U837="","VT EN ATTENTE",IF(U837="R","VT REJETÉ – À REPRENDRE",IF(AL837="","À RADIOGRAPHIER",IF(AL837="A","ACCEPTÉ",IF(AL837="NX","NX – RT À REFAIRE",IF(IF(AK837=1,Z837,IF(AK837=2,AE837,""))="A","RÉPARÉ – À RADIOGRAPHIER",IF(IF(AK837=1,Z837,IF(AK837=2,AE837,""))="R","VT REJETÉ – À REPRENDRE",IF(OR(AL837="CO",AL837="NT"),"COUPE – À RESOUDER","À RÉPARER"))))))))))</f>
        <v/>
      </c>
      <c r="AN837" s="81" t="str">
        <f aca="false">IF(AND(ISNUMBER(R837),OR(AM837="À RADIOGRAPHIER",AM837="RÉPARÉ – À RADIOGRAPHIER",AM837="NX – RT À REFAIRE",AM837="À RÉPARER",AM837="COUPE – À RESOUDER",AM837="VT REJETÉ – À REPRENDRE")),MAX(0,'PROGRAMME RT'!$C$4-R837),"")</f>
        <v/>
      </c>
      <c r="AO837" s="78" t="n">
        <f aca="false">IF(AND(OR(AM837="À RADIOGRAPHIER",AM837="RÉPARÉ – À RADIOGRAPHIER",AM837="NX – RT À REFAIRE"),OR('PROGRAMME RT'!$D$5="TOUTES",B837='PROGRAMME RT'!$D$5)),1,0)</f>
        <v>0</v>
      </c>
      <c r="AP837" s="78" t="str">
        <f aca="false">IF(AO837=1,SUM(AO$7:AO837),"")</f>
        <v/>
      </c>
      <c r="AQ837" s="78" t="n">
        <f aca="false">IF(AND(OR(X837="R",X837="NX",X837="NT",X837="CO"),OR('JOINTS DE RÉPARATION'!$D$5="TOUTES",B837='JOINTS DE RÉPARATION'!$D$5),OR('JOINTS DE RÉPARATION'!$L$4="TOUS",AM837&lt;&gt;"ACCEPTÉ")),1,0)</f>
        <v>0</v>
      </c>
      <c r="AR837" s="78" t="str">
        <f aca="false">IF(AQ837=1,SUM(AQ$7:AQ837),"")</f>
        <v/>
      </c>
    </row>
    <row r="838" customFormat="false" ht="15" hidden="false" customHeight="false" outlineLevel="0" collapsed="false">
      <c r="A838" s="78" t="str">
        <f aca="false">IF(E838="","",ROW()-6)</f>
        <v/>
      </c>
      <c r="B838" s="79"/>
      <c r="C838" s="80"/>
      <c r="D838" s="80"/>
      <c r="E838" s="80"/>
      <c r="F838" s="80"/>
      <c r="G838" s="80"/>
      <c r="H838" s="80"/>
      <c r="I838" s="80"/>
      <c r="J838" s="80"/>
      <c r="K838" s="80"/>
      <c r="L838" s="81" t="str">
        <f aca="false">IF(K838="","",IFERROR(INDEX(BARDAGE!$C$7:$C$1506,MATCH(K838,BARDAGE!$B$7:$B$1506,0)),"? hors registre"))</f>
        <v/>
      </c>
      <c r="M838" s="80"/>
      <c r="N838" s="81" t="str">
        <f aca="false">IF(M838="","",IFERROR(INDEX(BARDAGE!$C$7:$C$1506,MATCH(M838,BARDAGE!$B$7:$B$1506,0)),"? hors registre"))</f>
        <v/>
      </c>
      <c r="O838" s="80"/>
      <c r="P838" s="80"/>
      <c r="Q838" s="80"/>
      <c r="R838" s="82"/>
      <c r="S838" s="82"/>
      <c r="T838" s="80"/>
      <c r="U838" s="80"/>
      <c r="V838" s="82"/>
      <c r="W838" s="80"/>
      <c r="X838" s="80"/>
      <c r="Y838" s="80"/>
      <c r="Z838" s="80"/>
      <c r="AA838" s="82"/>
      <c r="AB838" s="80"/>
      <c r="AC838" s="80"/>
      <c r="AD838" s="80"/>
      <c r="AE838" s="80"/>
      <c r="AF838" s="82"/>
      <c r="AG838" s="80"/>
      <c r="AH838" s="80"/>
      <c r="AI838" s="82"/>
      <c r="AJ838" s="79"/>
      <c r="AK838" s="78" t="str">
        <f aca="false">IF(E838="","",(X838&lt;&gt;"")+(AC838&lt;&gt;"")+(AH838&lt;&gt;""))</f>
        <v/>
      </c>
      <c r="AL838" s="81" t="str">
        <f aca="false">IF(AH838&lt;&gt;"",AH838,IF(AC838&lt;&gt;"",AC838,IF(X838&lt;&gt;"",X838,"")))</f>
        <v/>
      </c>
      <c r="AM838" s="83" t="str">
        <f aca="false">IF(E838="","",IF(R838="","À SOUDER",IF(U838="","VT EN ATTENTE",IF(U838="R","VT REJETÉ – À REPRENDRE",IF(AL838="","À RADIOGRAPHIER",IF(AL838="A","ACCEPTÉ",IF(AL838="NX","NX – RT À REFAIRE",IF(IF(AK838=1,Z838,IF(AK838=2,AE838,""))="A","RÉPARÉ – À RADIOGRAPHIER",IF(IF(AK838=1,Z838,IF(AK838=2,AE838,""))="R","VT REJETÉ – À REPRENDRE",IF(OR(AL838="CO",AL838="NT"),"COUPE – À RESOUDER","À RÉPARER"))))))))))</f>
        <v/>
      </c>
      <c r="AN838" s="81" t="str">
        <f aca="false">IF(AND(ISNUMBER(R838),OR(AM838="À RADIOGRAPHIER",AM838="RÉPARÉ – À RADIOGRAPHIER",AM838="NX – RT À REFAIRE",AM838="À RÉPARER",AM838="COUPE – À RESOUDER",AM838="VT REJETÉ – À REPRENDRE")),MAX(0,'PROGRAMME RT'!$C$4-R838),"")</f>
        <v/>
      </c>
      <c r="AO838" s="78" t="n">
        <f aca="false">IF(AND(OR(AM838="À RADIOGRAPHIER",AM838="RÉPARÉ – À RADIOGRAPHIER",AM838="NX – RT À REFAIRE"),OR('PROGRAMME RT'!$D$5="TOUTES",B838='PROGRAMME RT'!$D$5)),1,0)</f>
        <v>0</v>
      </c>
      <c r="AP838" s="78" t="str">
        <f aca="false">IF(AO838=1,SUM(AO$7:AO838),"")</f>
        <v/>
      </c>
      <c r="AQ838" s="78" t="n">
        <f aca="false">IF(AND(OR(X838="R",X838="NX",X838="NT",X838="CO"),OR('JOINTS DE RÉPARATION'!$D$5="TOUTES",B838='JOINTS DE RÉPARATION'!$D$5),OR('JOINTS DE RÉPARATION'!$L$4="TOUS",AM838&lt;&gt;"ACCEPTÉ")),1,0)</f>
        <v>0</v>
      </c>
      <c r="AR838" s="78" t="str">
        <f aca="false">IF(AQ838=1,SUM(AQ$7:AQ838),"")</f>
        <v/>
      </c>
    </row>
    <row r="839" customFormat="false" ht="15" hidden="false" customHeight="false" outlineLevel="0" collapsed="false">
      <c r="A839" s="78" t="str">
        <f aca="false">IF(E839="","",ROW()-6)</f>
        <v/>
      </c>
      <c r="B839" s="79"/>
      <c r="C839" s="80"/>
      <c r="D839" s="80"/>
      <c r="E839" s="80"/>
      <c r="F839" s="80"/>
      <c r="G839" s="80"/>
      <c r="H839" s="80"/>
      <c r="I839" s="80"/>
      <c r="J839" s="80"/>
      <c r="K839" s="80"/>
      <c r="L839" s="81" t="str">
        <f aca="false">IF(K839="","",IFERROR(INDEX(BARDAGE!$C$7:$C$1506,MATCH(K839,BARDAGE!$B$7:$B$1506,0)),"? hors registre"))</f>
        <v/>
      </c>
      <c r="M839" s="80"/>
      <c r="N839" s="81" t="str">
        <f aca="false">IF(M839="","",IFERROR(INDEX(BARDAGE!$C$7:$C$1506,MATCH(M839,BARDAGE!$B$7:$B$1506,0)),"? hors registre"))</f>
        <v/>
      </c>
      <c r="O839" s="80"/>
      <c r="P839" s="80"/>
      <c r="Q839" s="80"/>
      <c r="R839" s="82"/>
      <c r="S839" s="82"/>
      <c r="T839" s="80"/>
      <c r="U839" s="80"/>
      <c r="V839" s="82"/>
      <c r="W839" s="80"/>
      <c r="X839" s="80"/>
      <c r="Y839" s="80"/>
      <c r="Z839" s="80"/>
      <c r="AA839" s="82"/>
      <c r="AB839" s="80"/>
      <c r="AC839" s="80"/>
      <c r="AD839" s="80"/>
      <c r="AE839" s="80"/>
      <c r="AF839" s="82"/>
      <c r="AG839" s="80"/>
      <c r="AH839" s="80"/>
      <c r="AI839" s="82"/>
      <c r="AJ839" s="79"/>
      <c r="AK839" s="78" t="str">
        <f aca="false">IF(E839="","",(X839&lt;&gt;"")+(AC839&lt;&gt;"")+(AH839&lt;&gt;""))</f>
        <v/>
      </c>
      <c r="AL839" s="81" t="str">
        <f aca="false">IF(AH839&lt;&gt;"",AH839,IF(AC839&lt;&gt;"",AC839,IF(X839&lt;&gt;"",X839,"")))</f>
        <v/>
      </c>
      <c r="AM839" s="83" t="str">
        <f aca="false">IF(E839="","",IF(R839="","À SOUDER",IF(U839="","VT EN ATTENTE",IF(U839="R","VT REJETÉ – À REPRENDRE",IF(AL839="","À RADIOGRAPHIER",IF(AL839="A","ACCEPTÉ",IF(AL839="NX","NX – RT À REFAIRE",IF(IF(AK839=1,Z839,IF(AK839=2,AE839,""))="A","RÉPARÉ – À RADIOGRAPHIER",IF(IF(AK839=1,Z839,IF(AK839=2,AE839,""))="R","VT REJETÉ – À REPRENDRE",IF(OR(AL839="CO",AL839="NT"),"COUPE – À RESOUDER","À RÉPARER"))))))))))</f>
        <v/>
      </c>
      <c r="AN839" s="81" t="str">
        <f aca="false">IF(AND(ISNUMBER(R839),OR(AM839="À RADIOGRAPHIER",AM839="RÉPARÉ – À RADIOGRAPHIER",AM839="NX – RT À REFAIRE",AM839="À RÉPARER",AM839="COUPE – À RESOUDER",AM839="VT REJETÉ – À REPRENDRE")),MAX(0,'PROGRAMME RT'!$C$4-R839),"")</f>
        <v/>
      </c>
      <c r="AO839" s="78" t="n">
        <f aca="false">IF(AND(OR(AM839="À RADIOGRAPHIER",AM839="RÉPARÉ – À RADIOGRAPHIER",AM839="NX – RT À REFAIRE"),OR('PROGRAMME RT'!$D$5="TOUTES",B839='PROGRAMME RT'!$D$5)),1,0)</f>
        <v>0</v>
      </c>
      <c r="AP839" s="78" t="str">
        <f aca="false">IF(AO839=1,SUM(AO$7:AO839),"")</f>
        <v/>
      </c>
      <c r="AQ839" s="78" t="n">
        <f aca="false">IF(AND(OR(X839="R",X839="NX",X839="NT",X839="CO"),OR('JOINTS DE RÉPARATION'!$D$5="TOUTES",B839='JOINTS DE RÉPARATION'!$D$5),OR('JOINTS DE RÉPARATION'!$L$4="TOUS",AM839&lt;&gt;"ACCEPTÉ")),1,0)</f>
        <v>0</v>
      </c>
      <c r="AR839" s="78" t="str">
        <f aca="false">IF(AQ839=1,SUM(AQ$7:AQ839),"")</f>
        <v/>
      </c>
    </row>
    <row r="840" customFormat="false" ht="15" hidden="false" customHeight="false" outlineLevel="0" collapsed="false">
      <c r="A840" s="78" t="str">
        <f aca="false">IF(E840="","",ROW()-6)</f>
        <v/>
      </c>
      <c r="B840" s="79"/>
      <c r="C840" s="80"/>
      <c r="D840" s="80"/>
      <c r="E840" s="80"/>
      <c r="F840" s="80"/>
      <c r="G840" s="80"/>
      <c r="H840" s="80"/>
      <c r="I840" s="80"/>
      <c r="J840" s="80"/>
      <c r="K840" s="80"/>
      <c r="L840" s="81" t="str">
        <f aca="false">IF(K840="","",IFERROR(INDEX(BARDAGE!$C$7:$C$1506,MATCH(K840,BARDAGE!$B$7:$B$1506,0)),"? hors registre"))</f>
        <v/>
      </c>
      <c r="M840" s="80"/>
      <c r="N840" s="81" t="str">
        <f aca="false">IF(M840="","",IFERROR(INDEX(BARDAGE!$C$7:$C$1506,MATCH(M840,BARDAGE!$B$7:$B$1506,0)),"? hors registre"))</f>
        <v/>
      </c>
      <c r="O840" s="80"/>
      <c r="P840" s="80"/>
      <c r="Q840" s="80"/>
      <c r="R840" s="82"/>
      <c r="S840" s="82"/>
      <c r="T840" s="80"/>
      <c r="U840" s="80"/>
      <c r="V840" s="82"/>
      <c r="W840" s="80"/>
      <c r="X840" s="80"/>
      <c r="Y840" s="80"/>
      <c r="Z840" s="80"/>
      <c r="AA840" s="82"/>
      <c r="AB840" s="80"/>
      <c r="AC840" s="80"/>
      <c r="AD840" s="80"/>
      <c r="AE840" s="80"/>
      <c r="AF840" s="82"/>
      <c r="AG840" s="80"/>
      <c r="AH840" s="80"/>
      <c r="AI840" s="82"/>
      <c r="AJ840" s="79"/>
      <c r="AK840" s="78" t="str">
        <f aca="false">IF(E840="","",(X840&lt;&gt;"")+(AC840&lt;&gt;"")+(AH840&lt;&gt;""))</f>
        <v/>
      </c>
      <c r="AL840" s="81" t="str">
        <f aca="false">IF(AH840&lt;&gt;"",AH840,IF(AC840&lt;&gt;"",AC840,IF(X840&lt;&gt;"",X840,"")))</f>
        <v/>
      </c>
      <c r="AM840" s="83" t="str">
        <f aca="false">IF(E840="","",IF(R840="","À SOUDER",IF(U840="","VT EN ATTENTE",IF(U840="R","VT REJETÉ – À REPRENDRE",IF(AL840="","À RADIOGRAPHIER",IF(AL840="A","ACCEPTÉ",IF(AL840="NX","NX – RT À REFAIRE",IF(IF(AK840=1,Z840,IF(AK840=2,AE840,""))="A","RÉPARÉ – À RADIOGRAPHIER",IF(IF(AK840=1,Z840,IF(AK840=2,AE840,""))="R","VT REJETÉ – À REPRENDRE",IF(OR(AL840="CO",AL840="NT"),"COUPE – À RESOUDER","À RÉPARER"))))))))))</f>
        <v/>
      </c>
      <c r="AN840" s="81" t="str">
        <f aca="false">IF(AND(ISNUMBER(R840),OR(AM840="À RADIOGRAPHIER",AM840="RÉPARÉ – À RADIOGRAPHIER",AM840="NX – RT À REFAIRE",AM840="À RÉPARER",AM840="COUPE – À RESOUDER",AM840="VT REJETÉ – À REPRENDRE")),MAX(0,'PROGRAMME RT'!$C$4-R840),"")</f>
        <v/>
      </c>
      <c r="AO840" s="78" t="n">
        <f aca="false">IF(AND(OR(AM840="À RADIOGRAPHIER",AM840="RÉPARÉ – À RADIOGRAPHIER",AM840="NX – RT À REFAIRE"),OR('PROGRAMME RT'!$D$5="TOUTES",B840='PROGRAMME RT'!$D$5)),1,0)</f>
        <v>0</v>
      </c>
      <c r="AP840" s="78" t="str">
        <f aca="false">IF(AO840=1,SUM(AO$7:AO840),"")</f>
        <v/>
      </c>
      <c r="AQ840" s="78" t="n">
        <f aca="false">IF(AND(OR(X840="R",X840="NX",X840="NT",X840="CO"),OR('JOINTS DE RÉPARATION'!$D$5="TOUTES",B840='JOINTS DE RÉPARATION'!$D$5),OR('JOINTS DE RÉPARATION'!$L$4="TOUS",AM840&lt;&gt;"ACCEPTÉ")),1,0)</f>
        <v>0</v>
      </c>
      <c r="AR840" s="78" t="str">
        <f aca="false">IF(AQ840=1,SUM(AQ$7:AQ840),"")</f>
        <v/>
      </c>
    </row>
    <row r="841" customFormat="false" ht="15" hidden="false" customHeight="false" outlineLevel="0" collapsed="false">
      <c r="A841" s="78" t="str">
        <f aca="false">IF(E841="","",ROW()-6)</f>
        <v/>
      </c>
      <c r="B841" s="79"/>
      <c r="C841" s="80"/>
      <c r="D841" s="80"/>
      <c r="E841" s="80"/>
      <c r="F841" s="80"/>
      <c r="G841" s="80"/>
      <c r="H841" s="80"/>
      <c r="I841" s="80"/>
      <c r="J841" s="80"/>
      <c r="K841" s="80"/>
      <c r="L841" s="81" t="str">
        <f aca="false">IF(K841="","",IFERROR(INDEX(BARDAGE!$C$7:$C$1506,MATCH(K841,BARDAGE!$B$7:$B$1506,0)),"? hors registre"))</f>
        <v/>
      </c>
      <c r="M841" s="80"/>
      <c r="N841" s="81" t="str">
        <f aca="false">IF(M841="","",IFERROR(INDEX(BARDAGE!$C$7:$C$1506,MATCH(M841,BARDAGE!$B$7:$B$1506,0)),"? hors registre"))</f>
        <v/>
      </c>
      <c r="O841" s="80"/>
      <c r="P841" s="80"/>
      <c r="Q841" s="80"/>
      <c r="R841" s="82"/>
      <c r="S841" s="82"/>
      <c r="T841" s="80"/>
      <c r="U841" s="80"/>
      <c r="V841" s="82"/>
      <c r="W841" s="80"/>
      <c r="X841" s="80"/>
      <c r="Y841" s="80"/>
      <c r="Z841" s="80"/>
      <c r="AA841" s="82"/>
      <c r="AB841" s="80"/>
      <c r="AC841" s="80"/>
      <c r="AD841" s="80"/>
      <c r="AE841" s="80"/>
      <c r="AF841" s="82"/>
      <c r="AG841" s="80"/>
      <c r="AH841" s="80"/>
      <c r="AI841" s="82"/>
      <c r="AJ841" s="79"/>
      <c r="AK841" s="78" t="str">
        <f aca="false">IF(E841="","",(X841&lt;&gt;"")+(AC841&lt;&gt;"")+(AH841&lt;&gt;""))</f>
        <v/>
      </c>
      <c r="AL841" s="81" t="str">
        <f aca="false">IF(AH841&lt;&gt;"",AH841,IF(AC841&lt;&gt;"",AC841,IF(X841&lt;&gt;"",X841,"")))</f>
        <v/>
      </c>
      <c r="AM841" s="83" t="str">
        <f aca="false">IF(E841="","",IF(R841="","À SOUDER",IF(U841="","VT EN ATTENTE",IF(U841="R","VT REJETÉ – À REPRENDRE",IF(AL841="","À RADIOGRAPHIER",IF(AL841="A","ACCEPTÉ",IF(AL841="NX","NX – RT À REFAIRE",IF(IF(AK841=1,Z841,IF(AK841=2,AE841,""))="A","RÉPARÉ – À RADIOGRAPHIER",IF(IF(AK841=1,Z841,IF(AK841=2,AE841,""))="R","VT REJETÉ – À REPRENDRE",IF(OR(AL841="CO",AL841="NT"),"COUPE – À RESOUDER","À RÉPARER"))))))))))</f>
        <v/>
      </c>
      <c r="AN841" s="81" t="str">
        <f aca="false">IF(AND(ISNUMBER(R841),OR(AM841="À RADIOGRAPHIER",AM841="RÉPARÉ – À RADIOGRAPHIER",AM841="NX – RT À REFAIRE",AM841="À RÉPARER",AM841="COUPE – À RESOUDER",AM841="VT REJETÉ – À REPRENDRE")),MAX(0,'PROGRAMME RT'!$C$4-R841),"")</f>
        <v/>
      </c>
      <c r="AO841" s="78" t="n">
        <f aca="false">IF(AND(OR(AM841="À RADIOGRAPHIER",AM841="RÉPARÉ – À RADIOGRAPHIER",AM841="NX – RT À REFAIRE"),OR('PROGRAMME RT'!$D$5="TOUTES",B841='PROGRAMME RT'!$D$5)),1,0)</f>
        <v>0</v>
      </c>
      <c r="AP841" s="78" t="str">
        <f aca="false">IF(AO841=1,SUM(AO$7:AO841),"")</f>
        <v/>
      </c>
      <c r="AQ841" s="78" t="n">
        <f aca="false">IF(AND(OR(X841="R",X841="NX",X841="NT",X841="CO"),OR('JOINTS DE RÉPARATION'!$D$5="TOUTES",B841='JOINTS DE RÉPARATION'!$D$5),OR('JOINTS DE RÉPARATION'!$L$4="TOUS",AM841&lt;&gt;"ACCEPTÉ")),1,0)</f>
        <v>0</v>
      </c>
      <c r="AR841" s="78" t="str">
        <f aca="false">IF(AQ841=1,SUM(AQ$7:AQ841),"")</f>
        <v/>
      </c>
    </row>
    <row r="842" customFormat="false" ht="15" hidden="false" customHeight="false" outlineLevel="0" collapsed="false">
      <c r="A842" s="78" t="str">
        <f aca="false">IF(E842="","",ROW()-6)</f>
        <v/>
      </c>
      <c r="B842" s="79"/>
      <c r="C842" s="80"/>
      <c r="D842" s="80"/>
      <c r="E842" s="80"/>
      <c r="F842" s="80"/>
      <c r="G842" s="80"/>
      <c r="H842" s="80"/>
      <c r="I842" s="80"/>
      <c r="J842" s="80"/>
      <c r="K842" s="80"/>
      <c r="L842" s="81" t="str">
        <f aca="false">IF(K842="","",IFERROR(INDEX(BARDAGE!$C$7:$C$1506,MATCH(K842,BARDAGE!$B$7:$B$1506,0)),"? hors registre"))</f>
        <v/>
      </c>
      <c r="M842" s="80"/>
      <c r="N842" s="81" t="str">
        <f aca="false">IF(M842="","",IFERROR(INDEX(BARDAGE!$C$7:$C$1506,MATCH(M842,BARDAGE!$B$7:$B$1506,0)),"? hors registre"))</f>
        <v/>
      </c>
      <c r="O842" s="80"/>
      <c r="P842" s="80"/>
      <c r="Q842" s="80"/>
      <c r="R842" s="82"/>
      <c r="S842" s="82"/>
      <c r="T842" s="80"/>
      <c r="U842" s="80"/>
      <c r="V842" s="82"/>
      <c r="W842" s="80"/>
      <c r="X842" s="80"/>
      <c r="Y842" s="80"/>
      <c r="Z842" s="80"/>
      <c r="AA842" s="82"/>
      <c r="AB842" s="80"/>
      <c r="AC842" s="80"/>
      <c r="AD842" s="80"/>
      <c r="AE842" s="80"/>
      <c r="AF842" s="82"/>
      <c r="AG842" s="80"/>
      <c r="AH842" s="80"/>
      <c r="AI842" s="82"/>
      <c r="AJ842" s="79"/>
      <c r="AK842" s="78" t="str">
        <f aca="false">IF(E842="","",(X842&lt;&gt;"")+(AC842&lt;&gt;"")+(AH842&lt;&gt;""))</f>
        <v/>
      </c>
      <c r="AL842" s="81" t="str">
        <f aca="false">IF(AH842&lt;&gt;"",AH842,IF(AC842&lt;&gt;"",AC842,IF(X842&lt;&gt;"",X842,"")))</f>
        <v/>
      </c>
      <c r="AM842" s="83" t="str">
        <f aca="false">IF(E842="","",IF(R842="","À SOUDER",IF(U842="","VT EN ATTENTE",IF(U842="R","VT REJETÉ – À REPRENDRE",IF(AL842="","À RADIOGRAPHIER",IF(AL842="A","ACCEPTÉ",IF(AL842="NX","NX – RT À REFAIRE",IF(IF(AK842=1,Z842,IF(AK842=2,AE842,""))="A","RÉPARÉ – À RADIOGRAPHIER",IF(IF(AK842=1,Z842,IF(AK842=2,AE842,""))="R","VT REJETÉ – À REPRENDRE",IF(OR(AL842="CO",AL842="NT"),"COUPE – À RESOUDER","À RÉPARER"))))))))))</f>
        <v/>
      </c>
      <c r="AN842" s="81" t="str">
        <f aca="false">IF(AND(ISNUMBER(R842),OR(AM842="À RADIOGRAPHIER",AM842="RÉPARÉ – À RADIOGRAPHIER",AM842="NX – RT À REFAIRE",AM842="À RÉPARER",AM842="COUPE – À RESOUDER",AM842="VT REJETÉ – À REPRENDRE")),MAX(0,'PROGRAMME RT'!$C$4-R842),"")</f>
        <v/>
      </c>
      <c r="AO842" s="78" t="n">
        <f aca="false">IF(AND(OR(AM842="À RADIOGRAPHIER",AM842="RÉPARÉ – À RADIOGRAPHIER",AM842="NX – RT À REFAIRE"),OR('PROGRAMME RT'!$D$5="TOUTES",B842='PROGRAMME RT'!$D$5)),1,0)</f>
        <v>0</v>
      </c>
      <c r="AP842" s="78" t="str">
        <f aca="false">IF(AO842=1,SUM(AO$7:AO842),"")</f>
        <v/>
      </c>
      <c r="AQ842" s="78" t="n">
        <f aca="false">IF(AND(OR(X842="R",X842="NX",X842="NT",X842="CO"),OR('JOINTS DE RÉPARATION'!$D$5="TOUTES",B842='JOINTS DE RÉPARATION'!$D$5),OR('JOINTS DE RÉPARATION'!$L$4="TOUS",AM842&lt;&gt;"ACCEPTÉ")),1,0)</f>
        <v>0</v>
      </c>
      <c r="AR842" s="78" t="str">
        <f aca="false">IF(AQ842=1,SUM(AQ$7:AQ842),"")</f>
        <v/>
      </c>
    </row>
    <row r="843" customFormat="false" ht="15" hidden="false" customHeight="false" outlineLevel="0" collapsed="false">
      <c r="A843" s="78" t="str">
        <f aca="false">IF(E843="","",ROW()-6)</f>
        <v/>
      </c>
      <c r="B843" s="79"/>
      <c r="C843" s="80"/>
      <c r="D843" s="80"/>
      <c r="E843" s="80"/>
      <c r="F843" s="80"/>
      <c r="G843" s="80"/>
      <c r="H843" s="80"/>
      <c r="I843" s="80"/>
      <c r="J843" s="80"/>
      <c r="K843" s="80"/>
      <c r="L843" s="81" t="str">
        <f aca="false">IF(K843="","",IFERROR(INDEX(BARDAGE!$C$7:$C$1506,MATCH(K843,BARDAGE!$B$7:$B$1506,0)),"? hors registre"))</f>
        <v/>
      </c>
      <c r="M843" s="80"/>
      <c r="N843" s="81" t="str">
        <f aca="false">IF(M843="","",IFERROR(INDEX(BARDAGE!$C$7:$C$1506,MATCH(M843,BARDAGE!$B$7:$B$1506,0)),"? hors registre"))</f>
        <v/>
      </c>
      <c r="O843" s="80"/>
      <c r="P843" s="80"/>
      <c r="Q843" s="80"/>
      <c r="R843" s="82"/>
      <c r="S843" s="82"/>
      <c r="T843" s="80"/>
      <c r="U843" s="80"/>
      <c r="V843" s="82"/>
      <c r="W843" s="80"/>
      <c r="X843" s="80"/>
      <c r="Y843" s="80"/>
      <c r="Z843" s="80"/>
      <c r="AA843" s="82"/>
      <c r="AB843" s="80"/>
      <c r="AC843" s="80"/>
      <c r="AD843" s="80"/>
      <c r="AE843" s="80"/>
      <c r="AF843" s="82"/>
      <c r="AG843" s="80"/>
      <c r="AH843" s="80"/>
      <c r="AI843" s="82"/>
      <c r="AJ843" s="79"/>
      <c r="AK843" s="78" t="str">
        <f aca="false">IF(E843="","",(X843&lt;&gt;"")+(AC843&lt;&gt;"")+(AH843&lt;&gt;""))</f>
        <v/>
      </c>
      <c r="AL843" s="81" t="str">
        <f aca="false">IF(AH843&lt;&gt;"",AH843,IF(AC843&lt;&gt;"",AC843,IF(X843&lt;&gt;"",X843,"")))</f>
        <v/>
      </c>
      <c r="AM843" s="83" t="str">
        <f aca="false">IF(E843="","",IF(R843="","À SOUDER",IF(U843="","VT EN ATTENTE",IF(U843="R","VT REJETÉ – À REPRENDRE",IF(AL843="","À RADIOGRAPHIER",IF(AL843="A","ACCEPTÉ",IF(AL843="NX","NX – RT À REFAIRE",IF(IF(AK843=1,Z843,IF(AK843=2,AE843,""))="A","RÉPARÉ – À RADIOGRAPHIER",IF(IF(AK843=1,Z843,IF(AK843=2,AE843,""))="R","VT REJETÉ – À REPRENDRE",IF(OR(AL843="CO",AL843="NT"),"COUPE – À RESOUDER","À RÉPARER"))))))))))</f>
        <v/>
      </c>
      <c r="AN843" s="81" t="str">
        <f aca="false">IF(AND(ISNUMBER(R843),OR(AM843="À RADIOGRAPHIER",AM843="RÉPARÉ – À RADIOGRAPHIER",AM843="NX – RT À REFAIRE",AM843="À RÉPARER",AM843="COUPE – À RESOUDER",AM843="VT REJETÉ – À REPRENDRE")),MAX(0,'PROGRAMME RT'!$C$4-R843),"")</f>
        <v/>
      </c>
      <c r="AO843" s="78" t="n">
        <f aca="false">IF(AND(OR(AM843="À RADIOGRAPHIER",AM843="RÉPARÉ – À RADIOGRAPHIER",AM843="NX – RT À REFAIRE"),OR('PROGRAMME RT'!$D$5="TOUTES",B843='PROGRAMME RT'!$D$5)),1,0)</f>
        <v>0</v>
      </c>
      <c r="AP843" s="78" t="str">
        <f aca="false">IF(AO843=1,SUM(AO$7:AO843),"")</f>
        <v/>
      </c>
      <c r="AQ843" s="78" t="n">
        <f aca="false">IF(AND(OR(X843="R",X843="NX",X843="NT",X843="CO"),OR('JOINTS DE RÉPARATION'!$D$5="TOUTES",B843='JOINTS DE RÉPARATION'!$D$5),OR('JOINTS DE RÉPARATION'!$L$4="TOUS",AM843&lt;&gt;"ACCEPTÉ")),1,0)</f>
        <v>0</v>
      </c>
      <c r="AR843" s="78" t="str">
        <f aca="false">IF(AQ843=1,SUM(AQ$7:AQ843),"")</f>
        <v/>
      </c>
    </row>
    <row r="844" customFormat="false" ht="15" hidden="false" customHeight="false" outlineLevel="0" collapsed="false">
      <c r="A844" s="78" t="str">
        <f aca="false">IF(E844="","",ROW()-6)</f>
        <v/>
      </c>
      <c r="B844" s="79"/>
      <c r="C844" s="80"/>
      <c r="D844" s="80"/>
      <c r="E844" s="80"/>
      <c r="F844" s="80"/>
      <c r="G844" s="80"/>
      <c r="H844" s="80"/>
      <c r="I844" s="80"/>
      <c r="J844" s="80"/>
      <c r="K844" s="80"/>
      <c r="L844" s="81" t="str">
        <f aca="false">IF(K844="","",IFERROR(INDEX(BARDAGE!$C$7:$C$1506,MATCH(K844,BARDAGE!$B$7:$B$1506,0)),"? hors registre"))</f>
        <v/>
      </c>
      <c r="M844" s="80"/>
      <c r="N844" s="81" t="str">
        <f aca="false">IF(M844="","",IFERROR(INDEX(BARDAGE!$C$7:$C$1506,MATCH(M844,BARDAGE!$B$7:$B$1506,0)),"? hors registre"))</f>
        <v/>
      </c>
      <c r="O844" s="80"/>
      <c r="P844" s="80"/>
      <c r="Q844" s="80"/>
      <c r="R844" s="82"/>
      <c r="S844" s="82"/>
      <c r="T844" s="80"/>
      <c r="U844" s="80"/>
      <c r="V844" s="82"/>
      <c r="W844" s="80"/>
      <c r="X844" s="80"/>
      <c r="Y844" s="80"/>
      <c r="Z844" s="80"/>
      <c r="AA844" s="82"/>
      <c r="AB844" s="80"/>
      <c r="AC844" s="80"/>
      <c r="AD844" s="80"/>
      <c r="AE844" s="80"/>
      <c r="AF844" s="82"/>
      <c r="AG844" s="80"/>
      <c r="AH844" s="80"/>
      <c r="AI844" s="82"/>
      <c r="AJ844" s="79"/>
      <c r="AK844" s="78" t="str">
        <f aca="false">IF(E844="","",(X844&lt;&gt;"")+(AC844&lt;&gt;"")+(AH844&lt;&gt;""))</f>
        <v/>
      </c>
      <c r="AL844" s="81" t="str">
        <f aca="false">IF(AH844&lt;&gt;"",AH844,IF(AC844&lt;&gt;"",AC844,IF(X844&lt;&gt;"",X844,"")))</f>
        <v/>
      </c>
      <c r="AM844" s="83" t="str">
        <f aca="false">IF(E844="","",IF(R844="","À SOUDER",IF(U844="","VT EN ATTENTE",IF(U844="R","VT REJETÉ – À REPRENDRE",IF(AL844="","À RADIOGRAPHIER",IF(AL844="A","ACCEPTÉ",IF(AL844="NX","NX – RT À REFAIRE",IF(IF(AK844=1,Z844,IF(AK844=2,AE844,""))="A","RÉPARÉ – À RADIOGRAPHIER",IF(IF(AK844=1,Z844,IF(AK844=2,AE844,""))="R","VT REJETÉ – À REPRENDRE",IF(OR(AL844="CO",AL844="NT"),"COUPE – À RESOUDER","À RÉPARER"))))))))))</f>
        <v/>
      </c>
      <c r="AN844" s="81" t="str">
        <f aca="false">IF(AND(ISNUMBER(R844),OR(AM844="À RADIOGRAPHIER",AM844="RÉPARÉ – À RADIOGRAPHIER",AM844="NX – RT À REFAIRE",AM844="À RÉPARER",AM844="COUPE – À RESOUDER",AM844="VT REJETÉ – À REPRENDRE")),MAX(0,'PROGRAMME RT'!$C$4-R844),"")</f>
        <v/>
      </c>
      <c r="AO844" s="78" t="n">
        <f aca="false">IF(AND(OR(AM844="À RADIOGRAPHIER",AM844="RÉPARÉ – À RADIOGRAPHIER",AM844="NX – RT À REFAIRE"),OR('PROGRAMME RT'!$D$5="TOUTES",B844='PROGRAMME RT'!$D$5)),1,0)</f>
        <v>0</v>
      </c>
      <c r="AP844" s="78" t="str">
        <f aca="false">IF(AO844=1,SUM(AO$7:AO844),"")</f>
        <v/>
      </c>
      <c r="AQ844" s="78" t="n">
        <f aca="false">IF(AND(OR(X844="R",X844="NX",X844="NT",X844="CO"),OR('JOINTS DE RÉPARATION'!$D$5="TOUTES",B844='JOINTS DE RÉPARATION'!$D$5),OR('JOINTS DE RÉPARATION'!$L$4="TOUS",AM844&lt;&gt;"ACCEPTÉ")),1,0)</f>
        <v>0</v>
      </c>
      <c r="AR844" s="78" t="str">
        <f aca="false">IF(AQ844=1,SUM(AQ$7:AQ844),"")</f>
        <v/>
      </c>
    </row>
    <row r="845" customFormat="false" ht="15" hidden="false" customHeight="false" outlineLevel="0" collapsed="false">
      <c r="A845" s="78" t="str">
        <f aca="false">IF(E845="","",ROW()-6)</f>
        <v/>
      </c>
      <c r="B845" s="79"/>
      <c r="C845" s="80"/>
      <c r="D845" s="80"/>
      <c r="E845" s="80"/>
      <c r="F845" s="80"/>
      <c r="G845" s="80"/>
      <c r="H845" s="80"/>
      <c r="I845" s="80"/>
      <c r="J845" s="80"/>
      <c r="K845" s="80"/>
      <c r="L845" s="81" t="str">
        <f aca="false">IF(K845="","",IFERROR(INDEX(BARDAGE!$C$7:$C$1506,MATCH(K845,BARDAGE!$B$7:$B$1506,0)),"? hors registre"))</f>
        <v/>
      </c>
      <c r="M845" s="80"/>
      <c r="N845" s="81" t="str">
        <f aca="false">IF(M845="","",IFERROR(INDEX(BARDAGE!$C$7:$C$1506,MATCH(M845,BARDAGE!$B$7:$B$1506,0)),"? hors registre"))</f>
        <v/>
      </c>
      <c r="O845" s="80"/>
      <c r="P845" s="80"/>
      <c r="Q845" s="80"/>
      <c r="R845" s="82"/>
      <c r="S845" s="82"/>
      <c r="T845" s="80"/>
      <c r="U845" s="80"/>
      <c r="V845" s="82"/>
      <c r="W845" s="80"/>
      <c r="X845" s="80"/>
      <c r="Y845" s="80"/>
      <c r="Z845" s="80"/>
      <c r="AA845" s="82"/>
      <c r="AB845" s="80"/>
      <c r="AC845" s="80"/>
      <c r="AD845" s="80"/>
      <c r="AE845" s="80"/>
      <c r="AF845" s="82"/>
      <c r="AG845" s="80"/>
      <c r="AH845" s="80"/>
      <c r="AI845" s="82"/>
      <c r="AJ845" s="79"/>
      <c r="AK845" s="78" t="str">
        <f aca="false">IF(E845="","",(X845&lt;&gt;"")+(AC845&lt;&gt;"")+(AH845&lt;&gt;""))</f>
        <v/>
      </c>
      <c r="AL845" s="81" t="str">
        <f aca="false">IF(AH845&lt;&gt;"",AH845,IF(AC845&lt;&gt;"",AC845,IF(X845&lt;&gt;"",X845,"")))</f>
        <v/>
      </c>
      <c r="AM845" s="83" t="str">
        <f aca="false">IF(E845="","",IF(R845="","À SOUDER",IF(U845="","VT EN ATTENTE",IF(U845="R","VT REJETÉ – À REPRENDRE",IF(AL845="","À RADIOGRAPHIER",IF(AL845="A","ACCEPTÉ",IF(AL845="NX","NX – RT À REFAIRE",IF(IF(AK845=1,Z845,IF(AK845=2,AE845,""))="A","RÉPARÉ – À RADIOGRAPHIER",IF(IF(AK845=1,Z845,IF(AK845=2,AE845,""))="R","VT REJETÉ – À REPRENDRE",IF(OR(AL845="CO",AL845="NT"),"COUPE – À RESOUDER","À RÉPARER"))))))))))</f>
        <v/>
      </c>
      <c r="AN845" s="81" t="str">
        <f aca="false">IF(AND(ISNUMBER(R845),OR(AM845="À RADIOGRAPHIER",AM845="RÉPARÉ – À RADIOGRAPHIER",AM845="NX – RT À REFAIRE",AM845="À RÉPARER",AM845="COUPE – À RESOUDER",AM845="VT REJETÉ – À REPRENDRE")),MAX(0,'PROGRAMME RT'!$C$4-R845),"")</f>
        <v/>
      </c>
      <c r="AO845" s="78" t="n">
        <f aca="false">IF(AND(OR(AM845="À RADIOGRAPHIER",AM845="RÉPARÉ – À RADIOGRAPHIER",AM845="NX – RT À REFAIRE"),OR('PROGRAMME RT'!$D$5="TOUTES",B845='PROGRAMME RT'!$D$5)),1,0)</f>
        <v>0</v>
      </c>
      <c r="AP845" s="78" t="str">
        <f aca="false">IF(AO845=1,SUM(AO$7:AO845),"")</f>
        <v/>
      </c>
      <c r="AQ845" s="78" t="n">
        <f aca="false">IF(AND(OR(X845="R",X845="NX",X845="NT",X845="CO"),OR('JOINTS DE RÉPARATION'!$D$5="TOUTES",B845='JOINTS DE RÉPARATION'!$D$5),OR('JOINTS DE RÉPARATION'!$L$4="TOUS",AM845&lt;&gt;"ACCEPTÉ")),1,0)</f>
        <v>0</v>
      </c>
      <c r="AR845" s="78" t="str">
        <f aca="false">IF(AQ845=1,SUM(AQ$7:AQ845),"")</f>
        <v/>
      </c>
    </row>
    <row r="846" customFormat="false" ht="15" hidden="false" customHeight="false" outlineLevel="0" collapsed="false">
      <c r="A846" s="78" t="str">
        <f aca="false">IF(E846="","",ROW()-6)</f>
        <v/>
      </c>
      <c r="B846" s="79"/>
      <c r="C846" s="80"/>
      <c r="D846" s="80"/>
      <c r="E846" s="80"/>
      <c r="F846" s="80"/>
      <c r="G846" s="80"/>
      <c r="H846" s="80"/>
      <c r="I846" s="80"/>
      <c r="J846" s="80"/>
      <c r="K846" s="80"/>
      <c r="L846" s="81" t="str">
        <f aca="false">IF(K846="","",IFERROR(INDEX(BARDAGE!$C$7:$C$1506,MATCH(K846,BARDAGE!$B$7:$B$1506,0)),"? hors registre"))</f>
        <v/>
      </c>
      <c r="M846" s="80"/>
      <c r="N846" s="81" t="str">
        <f aca="false">IF(M846="","",IFERROR(INDEX(BARDAGE!$C$7:$C$1506,MATCH(M846,BARDAGE!$B$7:$B$1506,0)),"? hors registre"))</f>
        <v/>
      </c>
      <c r="O846" s="80"/>
      <c r="P846" s="80"/>
      <c r="Q846" s="80"/>
      <c r="R846" s="82"/>
      <c r="S846" s="82"/>
      <c r="T846" s="80"/>
      <c r="U846" s="80"/>
      <c r="V846" s="82"/>
      <c r="W846" s="80"/>
      <c r="X846" s="80"/>
      <c r="Y846" s="80"/>
      <c r="Z846" s="80"/>
      <c r="AA846" s="82"/>
      <c r="AB846" s="80"/>
      <c r="AC846" s="80"/>
      <c r="AD846" s="80"/>
      <c r="AE846" s="80"/>
      <c r="AF846" s="82"/>
      <c r="AG846" s="80"/>
      <c r="AH846" s="80"/>
      <c r="AI846" s="82"/>
      <c r="AJ846" s="79"/>
      <c r="AK846" s="78" t="str">
        <f aca="false">IF(E846="","",(X846&lt;&gt;"")+(AC846&lt;&gt;"")+(AH846&lt;&gt;""))</f>
        <v/>
      </c>
      <c r="AL846" s="81" t="str">
        <f aca="false">IF(AH846&lt;&gt;"",AH846,IF(AC846&lt;&gt;"",AC846,IF(X846&lt;&gt;"",X846,"")))</f>
        <v/>
      </c>
      <c r="AM846" s="83" t="str">
        <f aca="false">IF(E846="","",IF(R846="","À SOUDER",IF(U846="","VT EN ATTENTE",IF(U846="R","VT REJETÉ – À REPRENDRE",IF(AL846="","À RADIOGRAPHIER",IF(AL846="A","ACCEPTÉ",IF(AL846="NX","NX – RT À REFAIRE",IF(IF(AK846=1,Z846,IF(AK846=2,AE846,""))="A","RÉPARÉ – À RADIOGRAPHIER",IF(IF(AK846=1,Z846,IF(AK846=2,AE846,""))="R","VT REJETÉ – À REPRENDRE",IF(OR(AL846="CO",AL846="NT"),"COUPE – À RESOUDER","À RÉPARER"))))))))))</f>
        <v/>
      </c>
      <c r="AN846" s="81" t="str">
        <f aca="false">IF(AND(ISNUMBER(R846),OR(AM846="À RADIOGRAPHIER",AM846="RÉPARÉ – À RADIOGRAPHIER",AM846="NX – RT À REFAIRE",AM846="À RÉPARER",AM846="COUPE – À RESOUDER",AM846="VT REJETÉ – À REPRENDRE")),MAX(0,'PROGRAMME RT'!$C$4-R846),"")</f>
        <v/>
      </c>
      <c r="AO846" s="78" t="n">
        <f aca="false">IF(AND(OR(AM846="À RADIOGRAPHIER",AM846="RÉPARÉ – À RADIOGRAPHIER",AM846="NX – RT À REFAIRE"),OR('PROGRAMME RT'!$D$5="TOUTES",B846='PROGRAMME RT'!$D$5)),1,0)</f>
        <v>0</v>
      </c>
      <c r="AP846" s="78" t="str">
        <f aca="false">IF(AO846=1,SUM(AO$7:AO846),"")</f>
        <v/>
      </c>
      <c r="AQ846" s="78" t="n">
        <f aca="false">IF(AND(OR(X846="R",X846="NX",X846="NT",X846="CO"),OR('JOINTS DE RÉPARATION'!$D$5="TOUTES",B846='JOINTS DE RÉPARATION'!$D$5),OR('JOINTS DE RÉPARATION'!$L$4="TOUS",AM846&lt;&gt;"ACCEPTÉ")),1,0)</f>
        <v>0</v>
      </c>
      <c r="AR846" s="78" t="str">
        <f aca="false">IF(AQ846=1,SUM(AQ$7:AQ846),"")</f>
        <v/>
      </c>
    </row>
    <row r="847" customFormat="false" ht="15" hidden="false" customHeight="false" outlineLevel="0" collapsed="false">
      <c r="A847" s="78" t="str">
        <f aca="false">IF(E847="","",ROW()-6)</f>
        <v/>
      </c>
      <c r="B847" s="79"/>
      <c r="C847" s="80"/>
      <c r="D847" s="80"/>
      <c r="E847" s="80"/>
      <c r="F847" s="80"/>
      <c r="G847" s="80"/>
      <c r="H847" s="80"/>
      <c r="I847" s="80"/>
      <c r="J847" s="80"/>
      <c r="K847" s="80"/>
      <c r="L847" s="81" t="str">
        <f aca="false">IF(K847="","",IFERROR(INDEX(BARDAGE!$C$7:$C$1506,MATCH(K847,BARDAGE!$B$7:$B$1506,0)),"? hors registre"))</f>
        <v/>
      </c>
      <c r="M847" s="80"/>
      <c r="N847" s="81" t="str">
        <f aca="false">IF(M847="","",IFERROR(INDEX(BARDAGE!$C$7:$C$1506,MATCH(M847,BARDAGE!$B$7:$B$1506,0)),"? hors registre"))</f>
        <v/>
      </c>
      <c r="O847" s="80"/>
      <c r="P847" s="80"/>
      <c r="Q847" s="80"/>
      <c r="R847" s="82"/>
      <c r="S847" s="82"/>
      <c r="T847" s="80"/>
      <c r="U847" s="80"/>
      <c r="V847" s="82"/>
      <c r="W847" s="80"/>
      <c r="X847" s="80"/>
      <c r="Y847" s="80"/>
      <c r="Z847" s="80"/>
      <c r="AA847" s="82"/>
      <c r="AB847" s="80"/>
      <c r="AC847" s="80"/>
      <c r="AD847" s="80"/>
      <c r="AE847" s="80"/>
      <c r="AF847" s="82"/>
      <c r="AG847" s="80"/>
      <c r="AH847" s="80"/>
      <c r="AI847" s="82"/>
      <c r="AJ847" s="79"/>
      <c r="AK847" s="78" t="str">
        <f aca="false">IF(E847="","",(X847&lt;&gt;"")+(AC847&lt;&gt;"")+(AH847&lt;&gt;""))</f>
        <v/>
      </c>
      <c r="AL847" s="81" t="str">
        <f aca="false">IF(AH847&lt;&gt;"",AH847,IF(AC847&lt;&gt;"",AC847,IF(X847&lt;&gt;"",X847,"")))</f>
        <v/>
      </c>
      <c r="AM847" s="83" t="str">
        <f aca="false">IF(E847="","",IF(R847="","À SOUDER",IF(U847="","VT EN ATTENTE",IF(U847="R","VT REJETÉ – À REPRENDRE",IF(AL847="","À RADIOGRAPHIER",IF(AL847="A","ACCEPTÉ",IF(AL847="NX","NX – RT À REFAIRE",IF(IF(AK847=1,Z847,IF(AK847=2,AE847,""))="A","RÉPARÉ – À RADIOGRAPHIER",IF(IF(AK847=1,Z847,IF(AK847=2,AE847,""))="R","VT REJETÉ – À REPRENDRE",IF(OR(AL847="CO",AL847="NT"),"COUPE – À RESOUDER","À RÉPARER"))))))))))</f>
        <v/>
      </c>
      <c r="AN847" s="81" t="str">
        <f aca="false">IF(AND(ISNUMBER(R847),OR(AM847="À RADIOGRAPHIER",AM847="RÉPARÉ – À RADIOGRAPHIER",AM847="NX – RT À REFAIRE",AM847="À RÉPARER",AM847="COUPE – À RESOUDER",AM847="VT REJETÉ – À REPRENDRE")),MAX(0,'PROGRAMME RT'!$C$4-R847),"")</f>
        <v/>
      </c>
      <c r="AO847" s="78" t="n">
        <f aca="false">IF(AND(OR(AM847="À RADIOGRAPHIER",AM847="RÉPARÉ – À RADIOGRAPHIER",AM847="NX – RT À REFAIRE"),OR('PROGRAMME RT'!$D$5="TOUTES",B847='PROGRAMME RT'!$D$5)),1,0)</f>
        <v>0</v>
      </c>
      <c r="AP847" s="78" t="str">
        <f aca="false">IF(AO847=1,SUM(AO$7:AO847),"")</f>
        <v/>
      </c>
      <c r="AQ847" s="78" t="n">
        <f aca="false">IF(AND(OR(X847="R",X847="NX",X847="NT",X847="CO"),OR('JOINTS DE RÉPARATION'!$D$5="TOUTES",B847='JOINTS DE RÉPARATION'!$D$5),OR('JOINTS DE RÉPARATION'!$L$4="TOUS",AM847&lt;&gt;"ACCEPTÉ")),1,0)</f>
        <v>0</v>
      </c>
      <c r="AR847" s="78" t="str">
        <f aca="false">IF(AQ847=1,SUM(AQ$7:AQ847),"")</f>
        <v/>
      </c>
    </row>
    <row r="848" customFormat="false" ht="15" hidden="false" customHeight="false" outlineLevel="0" collapsed="false">
      <c r="A848" s="78" t="str">
        <f aca="false">IF(E848="","",ROW()-6)</f>
        <v/>
      </c>
      <c r="B848" s="79"/>
      <c r="C848" s="80"/>
      <c r="D848" s="80"/>
      <c r="E848" s="80"/>
      <c r="F848" s="80"/>
      <c r="G848" s="80"/>
      <c r="H848" s="80"/>
      <c r="I848" s="80"/>
      <c r="J848" s="80"/>
      <c r="K848" s="80"/>
      <c r="L848" s="81" t="str">
        <f aca="false">IF(K848="","",IFERROR(INDEX(BARDAGE!$C$7:$C$1506,MATCH(K848,BARDAGE!$B$7:$B$1506,0)),"? hors registre"))</f>
        <v/>
      </c>
      <c r="M848" s="80"/>
      <c r="N848" s="81" t="str">
        <f aca="false">IF(M848="","",IFERROR(INDEX(BARDAGE!$C$7:$C$1506,MATCH(M848,BARDAGE!$B$7:$B$1506,0)),"? hors registre"))</f>
        <v/>
      </c>
      <c r="O848" s="80"/>
      <c r="P848" s="80"/>
      <c r="Q848" s="80"/>
      <c r="R848" s="82"/>
      <c r="S848" s="82"/>
      <c r="T848" s="80"/>
      <c r="U848" s="80"/>
      <c r="V848" s="82"/>
      <c r="W848" s="80"/>
      <c r="X848" s="80"/>
      <c r="Y848" s="80"/>
      <c r="Z848" s="80"/>
      <c r="AA848" s="82"/>
      <c r="AB848" s="80"/>
      <c r="AC848" s="80"/>
      <c r="AD848" s="80"/>
      <c r="AE848" s="80"/>
      <c r="AF848" s="82"/>
      <c r="AG848" s="80"/>
      <c r="AH848" s="80"/>
      <c r="AI848" s="82"/>
      <c r="AJ848" s="79"/>
      <c r="AK848" s="78" t="str">
        <f aca="false">IF(E848="","",(X848&lt;&gt;"")+(AC848&lt;&gt;"")+(AH848&lt;&gt;""))</f>
        <v/>
      </c>
      <c r="AL848" s="81" t="str">
        <f aca="false">IF(AH848&lt;&gt;"",AH848,IF(AC848&lt;&gt;"",AC848,IF(X848&lt;&gt;"",X848,"")))</f>
        <v/>
      </c>
      <c r="AM848" s="83" t="str">
        <f aca="false">IF(E848="","",IF(R848="","À SOUDER",IF(U848="","VT EN ATTENTE",IF(U848="R","VT REJETÉ – À REPRENDRE",IF(AL848="","À RADIOGRAPHIER",IF(AL848="A","ACCEPTÉ",IF(AL848="NX","NX – RT À REFAIRE",IF(IF(AK848=1,Z848,IF(AK848=2,AE848,""))="A","RÉPARÉ – À RADIOGRAPHIER",IF(IF(AK848=1,Z848,IF(AK848=2,AE848,""))="R","VT REJETÉ – À REPRENDRE",IF(OR(AL848="CO",AL848="NT"),"COUPE – À RESOUDER","À RÉPARER"))))))))))</f>
        <v/>
      </c>
      <c r="AN848" s="81" t="str">
        <f aca="false">IF(AND(ISNUMBER(R848),OR(AM848="À RADIOGRAPHIER",AM848="RÉPARÉ – À RADIOGRAPHIER",AM848="NX – RT À REFAIRE",AM848="À RÉPARER",AM848="COUPE – À RESOUDER",AM848="VT REJETÉ – À REPRENDRE")),MAX(0,'PROGRAMME RT'!$C$4-R848),"")</f>
        <v/>
      </c>
      <c r="AO848" s="78" t="n">
        <f aca="false">IF(AND(OR(AM848="À RADIOGRAPHIER",AM848="RÉPARÉ – À RADIOGRAPHIER",AM848="NX – RT À REFAIRE"),OR('PROGRAMME RT'!$D$5="TOUTES",B848='PROGRAMME RT'!$D$5)),1,0)</f>
        <v>0</v>
      </c>
      <c r="AP848" s="78" t="str">
        <f aca="false">IF(AO848=1,SUM(AO$7:AO848),"")</f>
        <v/>
      </c>
      <c r="AQ848" s="78" t="n">
        <f aca="false">IF(AND(OR(X848="R",X848="NX",X848="NT",X848="CO"),OR('JOINTS DE RÉPARATION'!$D$5="TOUTES",B848='JOINTS DE RÉPARATION'!$D$5),OR('JOINTS DE RÉPARATION'!$L$4="TOUS",AM848&lt;&gt;"ACCEPTÉ")),1,0)</f>
        <v>0</v>
      </c>
      <c r="AR848" s="78" t="str">
        <f aca="false">IF(AQ848=1,SUM(AQ$7:AQ848),"")</f>
        <v/>
      </c>
    </row>
    <row r="849" customFormat="false" ht="15" hidden="false" customHeight="false" outlineLevel="0" collapsed="false">
      <c r="A849" s="78" t="str">
        <f aca="false">IF(E849="","",ROW()-6)</f>
        <v/>
      </c>
      <c r="B849" s="79"/>
      <c r="C849" s="80"/>
      <c r="D849" s="80"/>
      <c r="E849" s="80"/>
      <c r="F849" s="80"/>
      <c r="G849" s="80"/>
      <c r="H849" s="80"/>
      <c r="I849" s="80"/>
      <c r="J849" s="80"/>
      <c r="K849" s="80"/>
      <c r="L849" s="81" t="str">
        <f aca="false">IF(K849="","",IFERROR(INDEX(BARDAGE!$C$7:$C$1506,MATCH(K849,BARDAGE!$B$7:$B$1506,0)),"? hors registre"))</f>
        <v/>
      </c>
      <c r="M849" s="80"/>
      <c r="N849" s="81" t="str">
        <f aca="false">IF(M849="","",IFERROR(INDEX(BARDAGE!$C$7:$C$1506,MATCH(M849,BARDAGE!$B$7:$B$1506,0)),"? hors registre"))</f>
        <v/>
      </c>
      <c r="O849" s="80"/>
      <c r="P849" s="80"/>
      <c r="Q849" s="80"/>
      <c r="R849" s="82"/>
      <c r="S849" s="82"/>
      <c r="T849" s="80"/>
      <c r="U849" s="80"/>
      <c r="V849" s="82"/>
      <c r="W849" s="80"/>
      <c r="X849" s="80"/>
      <c r="Y849" s="80"/>
      <c r="Z849" s="80"/>
      <c r="AA849" s="82"/>
      <c r="AB849" s="80"/>
      <c r="AC849" s="80"/>
      <c r="AD849" s="80"/>
      <c r="AE849" s="80"/>
      <c r="AF849" s="82"/>
      <c r="AG849" s="80"/>
      <c r="AH849" s="80"/>
      <c r="AI849" s="82"/>
      <c r="AJ849" s="79"/>
      <c r="AK849" s="78" t="str">
        <f aca="false">IF(E849="","",(X849&lt;&gt;"")+(AC849&lt;&gt;"")+(AH849&lt;&gt;""))</f>
        <v/>
      </c>
      <c r="AL849" s="81" t="str">
        <f aca="false">IF(AH849&lt;&gt;"",AH849,IF(AC849&lt;&gt;"",AC849,IF(X849&lt;&gt;"",X849,"")))</f>
        <v/>
      </c>
      <c r="AM849" s="83" t="str">
        <f aca="false">IF(E849="","",IF(R849="","À SOUDER",IF(U849="","VT EN ATTENTE",IF(U849="R","VT REJETÉ – À REPRENDRE",IF(AL849="","À RADIOGRAPHIER",IF(AL849="A","ACCEPTÉ",IF(AL849="NX","NX – RT À REFAIRE",IF(IF(AK849=1,Z849,IF(AK849=2,AE849,""))="A","RÉPARÉ – À RADIOGRAPHIER",IF(IF(AK849=1,Z849,IF(AK849=2,AE849,""))="R","VT REJETÉ – À REPRENDRE",IF(OR(AL849="CO",AL849="NT"),"COUPE – À RESOUDER","À RÉPARER"))))))))))</f>
        <v/>
      </c>
      <c r="AN849" s="81" t="str">
        <f aca="false">IF(AND(ISNUMBER(R849),OR(AM849="À RADIOGRAPHIER",AM849="RÉPARÉ – À RADIOGRAPHIER",AM849="NX – RT À REFAIRE",AM849="À RÉPARER",AM849="COUPE – À RESOUDER",AM849="VT REJETÉ – À REPRENDRE")),MAX(0,'PROGRAMME RT'!$C$4-R849),"")</f>
        <v/>
      </c>
      <c r="AO849" s="78" t="n">
        <f aca="false">IF(AND(OR(AM849="À RADIOGRAPHIER",AM849="RÉPARÉ – À RADIOGRAPHIER",AM849="NX – RT À REFAIRE"),OR('PROGRAMME RT'!$D$5="TOUTES",B849='PROGRAMME RT'!$D$5)),1,0)</f>
        <v>0</v>
      </c>
      <c r="AP849" s="78" t="str">
        <f aca="false">IF(AO849=1,SUM(AO$7:AO849),"")</f>
        <v/>
      </c>
      <c r="AQ849" s="78" t="n">
        <f aca="false">IF(AND(OR(X849="R",X849="NX",X849="NT",X849="CO"),OR('JOINTS DE RÉPARATION'!$D$5="TOUTES",B849='JOINTS DE RÉPARATION'!$D$5),OR('JOINTS DE RÉPARATION'!$L$4="TOUS",AM849&lt;&gt;"ACCEPTÉ")),1,0)</f>
        <v>0</v>
      </c>
      <c r="AR849" s="78" t="str">
        <f aca="false">IF(AQ849=1,SUM(AQ$7:AQ849),"")</f>
        <v/>
      </c>
    </row>
    <row r="850" customFormat="false" ht="15" hidden="false" customHeight="false" outlineLevel="0" collapsed="false">
      <c r="A850" s="78" t="str">
        <f aca="false">IF(E850="","",ROW()-6)</f>
        <v/>
      </c>
      <c r="B850" s="79"/>
      <c r="C850" s="80"/>
      <c r="D850" s="80"/>
      <c r="E850" s="80"/>
      <c r="F850" s="80"/>
      <c r="G850" s="80"/>
      <c r="H850" s="80"/>
      <c r="I850" s="80"/>
      <c r="J850" s="80"/>
      <c r="K850" s="80"/>
      <c r="L850" s="81" t="str">
        <f aca="false">IF(K850="","",IFERROR(INDEX(BARDAGE!$C$7:$C$1506,MATCH(K850,BARDAGE!$B$7:$B$1506,0)),"? hors registre"))</f>
        <v/>
      </c>
      <c r="M850" s="80"/>
      <c r="N850" s="81" t="str">
        <f aca="false">IF(M850="","",IFERROR(INDEX(BARDAGE!$C$7:$C$1506,MATCH(M850,BARDAGE!$B$7:$B$1506,0)),"? hors registre"))</f>
        <v/>
      </c>
      <c r="O850" s="80"/>
      <c r="P850" s="80"/>
      <c r="Q850" s="80"/>
      <c r="R850" s="82"/>
      <c r="S850" s="82"/>
      <c r="T850" s="80"/>
      <c r="U850" s="80"/>
      <c r="V850" s="82"/>
      <c r="W850" s="80"/>
      <c r="X850" s="80"/>
      <c r="Y850" s="80"/>
      <c r="Z850" s="80"/>
      <c r="AA850" s="82"/>
      <c r="AB850" s="80"/>
      <c r="AC850" s="80"/>
      <c r="AD850" s="80"/>
      <c r="AE850" s="80"/>
      <c r="AF850" s="82"/>
      <c r="AG850" s="80"/>
      <c r="AH850" s="80"/>
      <c r="AI850" s="82"/>
      <c r="AJ850" s="79"/>
      <c r="AK850" s="78" t="str">
        <f aca="false">IF(E850="","",(X850&lt;&gt;"")+(AC850&lt;&gt;"")+(AH850&lt;&gt;""))</f>
        <v/>
      </c>
      <c r="AL850" s="81" t="str">
        <f aca="false">IF(AH850&lt;&gt;"",AH850,IF(AC850&lt;&gt;"",AC850,IF(X850&lt;&gt;"",X850,"")))</f>
        <v/>
      </c>
      <c r="AM850" s="83" t="str">
        <f aca="false">IF(E850="","",IF(R850="","À SOUDER",IF(U850="","VT EN ATTENTE",IF(U850="R","VT REJETÉ – À REPRENDRE",IF(AL850="","À RADIOGRAPHIER",IF(AL850="A","ACCEPTÉ",IF(AL850="NX","NX – RT À REFAIRE",IF(IF(AK850=1,Z850,IF(AK850=2,AE850,""))="A","RÉPARÉ – À RADIOGRAPHIER",IF(IF(AK850=1,Z850,IF(AK850=2,AE850,""))="R","VT REJETÉ – À REPRENDRE",IF(OR(AL850="CO",AL850="NT"),"COUPE – À RESOUDER","À RÉPARER"))))))))))</f>
        <v/>
      </c>
      <c r="AN850" s="81" t="str">
        <f aca="false">IF(AND(ISNUMBER(R850),OR(AM850="À RADIOGRAPHIER",AM850="RÉPARÉ – À RADIOGRAPHIER",AM850="NX – RT À REFAIRE",AM850="À RÉPARER",AM850="COUPE – À RESOUDER",AM850="VT REJETÉ – À REPRENDRE")),MAX(0,'PROGRAMME RT'!$C$4-R850),"")</f>
        <v/>
      </c>
      <c r="AO850" s="78" t="n">
        <f aca="false">IF(AND(OR(AM850="À RADIOGRAPHIER",AM850="RÉPARÉ – À RADIOGRAPHIER",AM850="NX – RT À REFAIRE"),OR('PROGRAMME RT'!$D$5="TOUTES",B850='PROGRAMME RT'!$D$5)),1,0)</f>
        <v>0</v>
      </c>
      <c r="AP850" s="78" t="str">
        <f aca="false">IF(AO850=1,SUM(AO$7:AO850),"")</f>
        <v/>
      </c>
      <c r="AQ850" s="78" t="n">
        <f aca="false">IF(AND(OR(X850="R",X850="NX",X850="NT",X850="CO"),OR('JOINTS DE RÉPARATION'!$D$5="TOUTES",B850='JOINTS DE RÉPARATION'!$D$5),OR('JOINTS DE RÉPARATION'!$L$4="TOUS",AM850&lt;&gt;"ACCEPTÉ")),1,0)</f>
        <v>0</v>
      </c>
      <c r="AR850" s="78" t="str">
        <f aca="false">IF(AQ850=1,SUM(AQ$7:AQ850),"")</f>
        <v/>
      </c>
    </row>
    <row r="851" customFormat="false" ht="15" hidden="false" customHeight="false" outlineLevel="0" collapsed="false">
      <c r="A851" s="78" t="str">
        <f aca="false">IF(E851="","",ROW()-6)</f>
        <v/>
      </c>
      <c r="B851" s="79"/>
      <c r="C851" s="80"/>
      <c r="D851" s="80"/>
      <c r="E851" s="80"/>
      <c r="F851" s="80"/>
      <c r="G851" s="80"/>
      <c r="H851" s="80"/>
      <c r="I851" s="80"/>
      <c r="J851" s="80"/>
      <c r="K851" s="80"/>
      <c r="L851" s="81" t="str">
        <f aca="false">IF(K851="","",IFERROR(INDEX(BARDAGE!$C$7:$C$1506,MATCH(K851,BARDAGE!$B$7:$B$1506,0)),"? hors registre"))</f>
        <v/>
      </c>
      <c r="M851" s="80"/>
      <c r="N851" s="81" t="str">
        <f aca="false">IF(M851="","",IFERROR(INDEX(BARDAGE!$C$7:$C$1506,MATCH(M851,BARDAGE!$B$7:$B$1506,0)),"? hors registre"))</f>
        <v/>
      </c>
      <c r="O851" s="80"/>
      <c r="P851" s="80"/>
      <c r="Q851" s="80"/>
      <c r="R851" s="82"/>
      <c r="S851" s="82"/>
      <c r="T851" s="80"/>
      <c r="U851" s="80"/>
      <c r="V851" s="82"/>
      <c r="W851" s="80"/>
      <c r="X851" s="80"/>
      <c r="Y851" s="80"/>
      <c r="Z851" s="80"/>
      <c r="AA851" s="82"/>
      <c r="AB851" s="80"/>
      <c r="AC851" s="80"/>
      <c r="AD851" s="80"/>
      <c r="AE851" s="80"/>
      <c r="AF851" s="82"/>
      <c r="AG851" s="80"/>
      <c r="AH851" s="80"/>
      <c r="AI851" s="82"/>
      <c r="AJ851" s="79"/>
      <c r="AK851" s="78" t="str">
        <f aca="false">IF(E851="","",(X851&lt;&gt;"")+(AC851&lt;&gt;"")+(AH851&lt;&gt;""))</f>
        <v/>
      </c>
      <c r="AL851" s="81" t="str">
        <f aca="false">IF(AH851&lt;&gt;"",AH851,IF(AC851&lt;&gt;"",AC851,IF(X851&lt;&gt;"",X851,"")))</f>
        <v/>
      </c>
      <c r="AM851" s="83" t="str">
        <f aca="false">IF(E851="","",IF(R851="","À SOUDER",IF(U851="","VT EN ATTENTE",IF(U851="R","VT REJETÉ – À REPRENDRE",IF(AL851="","À RADIOGRAPHIER",IF(AL851="A","ACCEPTÉ",IF(AL851="NX","NX – RT À REFAIRE",IF(IF(AK851=1,Z851,IF(AK851=2,AE851,""))="A","RÉPARÉ – À RADIOGRAPHIER",IF(IF(AK851=1,Z851,IF(AK851=2,AE851,""))="R","VT REJETÉ – À REPRENDRE",IF(OR(AL851="CO",AL851="NT"),"COUPE – À RESOUDER","À RÉPARER"))))))))))</f>
        <v/>
      </c>
      <c r="AN851" s="81" t="str">
        <f aca="false">IF(AND(ISNUMBER(R851),OR(AM851="À RADIOGRAPHIER",AM851="RÉPARÉ – À RADIOGRAPHIER",AM851="NX – RT À REFAIRE",AM851="À RÉPARER",AM851="COUPE – À RESOUDER",AM851="VT REJETÉ – À REPRENDRE")),MAX(0,'PROGRAMME RT'!$C$4-R851),"")</f>
        <v/>
      </c>
      <c r="AO851" s="78" t="n">
        <f aca="false">IF(AND(OR(AM851="À RADIOGRAPHIER",AM851="RÉPARÉ – À RADIOGRAPHIER",AM851="NX – RT À REFAIRE"),OR('PROGRAMME RT'!$D$5="TOUTES",B851='PROGRAMME RT'!$D$5)),1,0)</f>
        <v>0</v>
      </c>
      <c r="AP851" s="78" t="str">
        <f aca="false">IF(AO851=1,SUM(AO$7:AO851),"")</f>
        <v/>
      </c>
      <c r="AQ851" s="78" t="n">
        <f aca="false">IF(AND(OR(X851="R",X851="NX",X851="NT",X851="CO"),OR('JOINTS DE RÉPARATION'!$D$5="TOUTES",B851='JOINTS DE RÉPARATION'!$D$5),OR('JOINTS DE RÉPARATION'!$L$4="TOUS",AM851&lt;&gt;"ACCEPTÉ")),1,0)</f>
        <v>0</v>
      </c>
      <c r="AR851" s="78" t="str">
        <f aca="false">IF(AQ851=1,SUM(AQ$7:AQ851),"")</f>
        <v/>
      </c>
    </row>
    <row r="852" customFormat="false" ht="15" hidden="false" customHeight="false" outlineLevel="0" collapsed="false">
      <c r="A852" s="78" t="str">
        <f aca="false">IF(E852="","",ROW()-6)</f>
        <v/>
      </c>
      <c r="B852" s="79"/>
      <c r="C852" s="80"/>
      <c r="D852" s="80"/>
      <c r="E852" s="80"/>
      <c r="F852" s="80"/>
      <c r="G852" s="80"/>
      <c r="H852" s="80"/>
      <c r="I852" s="80"/>
      <c r="J852" s="80"/>
      <c r="K852" s="80"/>
      <c r="L852" s="81" t="str">
        <f aca="false">IF(K852="","",IFERROR(INDEX(BARDAGE!$C$7:$C$1506,MATCH(K852,BARDAGE!$B$7:$B$1506,0)),"? hors registre"))</f>
        <v/>
      </c>
      <c r="M852" s="80"/>
      <c r="N852" s="81" t="str">
        <f aca="false">IF(M852="","",IFERROR(INDEX(BARDAGE!$C$7:$C$1506,MATCH(M852,BARDAGE!$B$7:$B$1506,0)),"? hors registre"))</f>
        <v/>
      </c>
      <c r="O852" s="80"/>
      <c r="P852" s="80"/>
      <c r="Q852" s="80"/>
      <c r="R852" s="82"/>
      <c r="S852" s="82"/>
      <c r="T852" s="80"/>
      <c r="U852" s="80"/>
      <c r="V852" s="82"/>
      <c r="W852" s="80"/>
      <c r="X852" s="80"/>
      <c r="Y852" s="80"/>
      <c r="Z852" s="80"/>
      <c r="AA852" s="82"/>
      <c r="AB852" s="80"/>
      <c r="AC852" s="80"/>
      <c r="AD852" s="80"/>
      <c r="AE852" s="80"/>
      <c r="AF852" s="82"/>
      <c r="AG852" s="80"/>
      <c r="AH852" s="80"/>
      <c r="AI852" s="82"/>
      <c r="AJ852" s="79"/>
      <c r="AK852" s="78" t="str">
        <f aca="false">IF(E852="","",(X852&lt;&gt;"")+(AC852&lt;&gt;"")+(AH852&lt;&gt;""))</f>
        <v/>
      </c>
      <c r="AL852" s="81" t="str">
        <f aca="false">IF(AH852&lt;&gt;"",AH852,IF(AC852&lt;&gt;"",AC852,IF(X852&lt;&gt;"",X852,"")))</f>
        <v/>
      </c>
      <c r="AM852" s="83" t="str">
        <f aca="false">IF(E852="","",IF(R852="","À SOUDER",IF(U852="","VT EN ATTENTE",IF(U852="R","VT REJETÉ – À REPRENDRE",IF(AL852="","À RADIOGRAPHIER",IF(AL852="A","ACCEPTÉ",IF(AL852="NX","NX – RT À REFAIRE",IF(IF(AK852=1,Z852,IF(AK852=2,AE852,""))="A","RÉPARÉ – À RADIOGRAPHIER",IF(IF(AK852=1,Z852,IF(AK852=2,AE852,""))="R","VT REJETÉ – À REPRENDRE",IF(OR(AL852="CO",AL852="NT"),"COUPE – À RESOUDER","À RÉPARER"))))))))))</f>
        <v/>
      </c>
      <c r="AN852" s="81" t="str">
        <f aca="false">IF(AND(ISNUMBER(R852),OR(AM852="À RADIOGRAPHIER",AM852="RÉPARÉ – À RADIOGRAPHIER",AM852="NX – RT À REFAIRE",AM852="À RÉPARER",AM852="COUPE – À RESOUDER",AM852="VT REJETÉ – À REPRENDRE")),MAX(0,'PROGRAMME RT'!$C$4-R852),"")</f>
        <v/>
      </c>
      <c r="AO852" s="78" t="n">
        <f aca="false">IF(AND(OR(AM852="À RADIOGRAPHIER",AM852="RÉPARÉ – À RADIOGRAPHIER",AM852="NX – RT À REFAIRE"),OR('PROGRAMME RT'!$D$5="TOUTES",B852='PROGRAMME RT'!$D$5)),1,0)</f>
        <v>0</v>
      </c>
      <c r="AP852" s="78" t="str">
        <f aca="false">IF(AO852=1,SUM(AO$7:AO852),"")</f>
        <v/>
      </c>
      <c r="AQ852" s="78" t="n">
        <f aca="false">IF(AND(OR(X852="R",X852="NX",X852="NT",X852="CO"),OR('JOINTS DE RÉPARATION'!$D$5="TOUTES",B852='JOINTS DE RÉPARATION'!$D$5),OR('JOINTS DE RÉPARATION'!$L$4="TOUS",AM852&lt;&gt;"ACCEPTÉ")),1,0)</f>
        <v>0</v>
      </c>
      <c r="AR852" s="78" t="str">
        <f aca="false">IF(AQ852=1,SUM(AQ$7:AQ852),"")</f>
        <v/>
      </c>
    </row>
    <row r="853" customFormat="false" ht="15" hidden="false" customHeight="false" outlineLevel="0" collapsed="false">
      <c r="A853" s="78" t="str">
        <f aca="false">IF(E853="","",ROW()-6)</f>
        <v/>
      </c>
      <c r="B853" s="79"/>
      <c r="C853" s="80"/>
      <c r="D853" s="80"/>
      <c r="E853" s="80"/>
      <c r="F853" s="80"/>
      <c r="G853" s="80"/>
      <c r="H853" s="80"/>
      <c r="I853" s="80"/>
      <c r="J853" s="80"/>
      <c r="K853" s="80"/>
      <c r="L853" s="81" t="str">
        <f aca="false">IF(K853="","",IFERROR(INDEX(BARDAGE!$C$7:$C$1506,MATCH(K853,BARDAGE!$B$7:$B$1506,0)),"? hors registre"))</f>
        <v/>
      </c>
      <c r="M853" s="80"/>
      <c r="N853" s="81" t="str">
        <f aca="false">IF(M853="","",IFERROR(INDEX(BARDAGE!$C$7:$C$1506,MATCH(M853,BARDAGE!$B$7:$B$1506,0)),"? hors registre"))</f>
        <v/>
      </c>
      <c r="O853" s="80"/>
      <c r="P853" s="80"/>
      <c r="Q853" s="80"/>
      <c r="R853" s="82"/>
      <c r="S853" s="82"/>
      <c r="T853" s="80"/>
      <c r="U853" s="80"/>
      <c r="V853" s="82"/>
      <c r="W853" s="80"/>
      <c r="X853" s="80"/>
      <c r="Y853" s="80"/>
      <c r="Z853" s="80"/>
      <c r="AA853" s="82"/>
      <c r="AB853" s="80"/>
      <c r="AC853" s="80"/>
      <c r="AD853" s="80"/>
      <c r="AE853" s="80"/>
      <c r="AF853" s="82"/>
      <c r="AG853" s="80"/>
      <c r="AH853" s="80"/>
      <c r="AI853" s="82"/>
      <c r="AJ853" s="79"/>
      <c r="AK853" s="78" t="str">
        <f aca="false">IF(E853="","",(X853&lt;&gt;"")+(AC853&lt;&gt;"")+(AH853&lt;&gt;""))</f>
        <v/>
      </c>
      <c r="AL853" s="81" t="str">
        <f aca="false">IF(AH853&lt;&gt;"",AH853,IF(AC853&lt;&gt;"",AC853,IF(X853&lt;&gt;"",X853,"")))</f>
        <v/>
      </c>
      <c r="AM853" s="83" t="str">
        <f aca="false">IF(E853="","",IF(R853="","À SOUDER",IF(U853="","VT EN ATTENTE",IF(U853="R","VT REJETÉ – À REPRENDRE",IF(AL853="","À RADIOGRAPHIER",IF(AL853="A","ACCEPTÉ",IF(AL853="NX","NX – RT À REFAIRE",IF(IF(AK853=1,Z853,IF(AK853=2,AE853,""))="A","RÉPARÉ – À RADIOGRAPHIER",IF(IF(AK853=1,Z853,IF(AK853=2,AE853,""))="R","VT REJETÉ – À REPRENDRE",IF(OR(AL853="CO",AL853="NT"),"COUPE – À RESOUDER","À RÉPARER"))))))))))</f>
        <v/>
      </c>
      <c r="AN853" s="81" t="str">
        <f aca="false">IF(AND(ISNUMBER(R853),OR(AM853="À RADIOGRAPHIER",AM853="RÉPARÉ – À RADIOGRAPHIER",AM853="NX – RT À REFAIRE",AM853="À RÉPARER",AM853="COUPE – À RESOUDER",AM853="VT REJETÉ – À REPRENDRE")),MAX(0,'PROGRAMME RT'!$C$4-R853),"")</f>
        <v/>
      </c>
      <c r="AO853" s="78" t="n">
        <f aca="false">IF(AND(OR(AM853="À RADIOGRAPHIER",AM853="RÉPARÉ – À RADIOGRAPHIER",AM853="NX – RT À REFAIRE"),OR('PROGRAMME RT'!$D$5="TOUTES",B853='PROGRAMME RT'!$D$5)),1,0)</f>
        <v>0</v>
      </c>
      <c r="AP853" s="78" t="str">
        <f aca="false">IF(AO853=1,SUM(AO$7:AO853),"")</f>
        <v/>
      </c>
      <c r="AQ853" s="78" t="n">
        <f aca="false">IF(AND(OR(X853="R",X853="NX",X853="NT",X853="CO"),OR('JOINTS DE RÉPARATION'!$D$5="TOUTES",B853='JOINTS DE RÉPARATION'!$D$5),OR('JOINTS DE RÉPARATION'!$L$4="TOUS",AM853&lt;&gt;"ACCEPTÉ")),1,0)</f>
        <v>0</v>
      </c>
      <c r="AR853" s="78" t="str">
        <f aca="false">IF(AQ853=1,SUM(AQ$7:AQ853),"")</f>
        <v/>
      </c>
    </row>
    <row r="854" customFormat="false" ht="15" hidden="false" customHeight="false" outlineLevel="0" collapsed="false">
      <c r="A854" s="78" t="str">
        <f aca="false">IF(E854="","",ROW()-6)</f>
        <v/>
      </c>
      <c r="B854" s="79"/>
      <c r="C854" s="80"/>
      <c r="D854" s="80"/>
      <c r="E854" s="80"/>
      <c r="F854" s="80"/>
      <c r="G854" s="80"/>
      <c r="H854" s="80"/>
      <c r="I854" s="80"/>
      <c r="J854" s="80"/>
      <c r="K854" s="80"/>
      <c r="L854" s="81" t="str">
        <f aca="false">IF(K854="","",IFERROR(INDEX(BARDAGE!$C$7:$C$1506,MATCH(K854,BARDAGE!$B$7:$B$1506,0)),"? hors registre"))</f>
        <v/>
      </c>
      <c r="M854" s="80"/>
      <c r="N854" s="81" t="str">
        <f aca="false">IF(M854="","",IFERROR(INDEX(BARDAGE!$C$7:$C$1506,MATCH(M854,BARDAGE!$B$7:$B$1506,0)),"? hors registre"))</f>
        <v/>
      </c>
      <c r="O854" s="80"/>
      <c r="P854" s="80"/>
      <c r="Q854" s="80"/>
      <c r="R854" s="82"/>
      <c r="S854" s="82"/>
      <c r="T854" s="80"/>
      <c r="U854" s="80"/>
      <c r="V854" s="82"/>
      <c r="W854" s="80"/>
      <c r="X854" s="80"/>
      <c r="Y854" s="80"/>
      <c r="Z854" s="80"/>
      <c r="AA854" s="82"/>
      <c r="AB854" s="80"/>
      <c r="AC854" s="80"/>
      <c r="AD854" s="80"/>
      <c r="AE854" s="80"/>
      <c r="AF854" s="82"/>
      <c r="AG854" s="80"/>
      <c r="AH854" s="80"/>
      <c r="AI854" s="82"/>
      <c r="AJ854" s="79"/>
      <c r="AK854" s="78" t="str">
        <f aca="false">IF(E854="","",(X854&lt;&gt;"")+(AC854&lt;&gt;"")+(AH854&lt;&gt;""))</f>
        <v/>
      </c>
      <c r="AL854" s="81" t="str">
        <f aca="false">IF(AH854&lt;&gt;"",AH854,IF(AC854&lt;&gt;"",AC854,IF(X854&lt;&gt;"",X854,"")))</f>
        <v/>
      </c>
      <c r="AM854" s="83" t="str">
        <f aca="false">IF(E854="","",IF(R854="","À SOUDER",IF(U854="","VT EN ATTENTE",IF(U854="R","VT REJETÉ – À REPRENDRE",IF(AL854="","À RADIOGRAPHIER",IF(AL854="A","ACCEPTÉ",IF(AL854="NX","NX – RT À REFAIRE",IF(IF(AK854=1,Z854,IF(AK854=2,AE854,""))="A","RÉPARÉ – À RADIOGRAPHIER",IF(IF(AK854=1,Z854,IF(AK854=2,AE854,""))="R","VT REJETÉ – À REPRENDRE",IF(OR(AL854="CO",AL854="NT"),"COUPE – À RESOUDER","À RÉPARER"))))))))))</f>
        <v/>
      </c>
      <c r="AN854" s="81" t="str">
        <f aca="false">IF(AND(ISNUMBER(R854),OR(AM854="À RADIOGRAPHIER",AM854="RÉPARÉ – À RADIOGRAPHIER",AM854="NX – RT À REFAIRE",AM854="À RÉPARER",AM854="COUPE – À RESOUDER",AM854="VT REJETÉ – À REPRENDRE")),MAX(0,'PROGRAMME RT'!$C$4-R854),"")</f>
        <v/>
      </c>
      <c r="AO854" s="78" t="n">
        <f aca="false">IF(AND(OR(AM854="À RADIOGRAPHIER",AM854="RÉPARÉ – À RADIOGRAPHIER",AM854="NX – RT À REFAIRE"),OR('PROGRAMME RT'!$D$5="TOUTES",B854='PROGRAMME RT'!$D$5)),1,0)</f>
        <v>0</v>
      </c>
      <c r="AP854" s="78" t="str">
        <f aca="false">IF(AO854=1,SUM(AO$7:AO854),"")</f>
        <v/>
      </c>
      <c r="AQ854" s="78" t="n">
        <f aca="false">IF(AND(OR(X854="R",X854="NX",X854="NT",X854="CO"),OR('JOINTS DE RÉPARATION'!$D$5="TOUTES",B854='JOINTS DE RÉPARATION'!$D$5),OR('JOINTS DE RÉPARATION'!$L$4="TOUS",AM854&lt;&gt;"ACCEPTÉ")),1,0)</f>
        <v>0</v>
      </c>
      <c r="AR854" s="78" t="str">
        <f aca="false">IF(AQ854=1,SUM(AQ$7:AQ854),"")</f>
        <v/>
      </c>
    </row>
    <row r="855" customFormat="false" ht="15" hidden="false" customHeight="false" outlineLevel="0" collapsed="false">
      <c r="A855" s="78" t="str">
        <f aca="false">IF(E855="","",ROW()-6)</f>
        <v/>
      </c>
      <c r="B855" s="79"/>
      <c r="C855" s="80"/>
      <c r="D855" s="80"/>
      <c r="E855" s="80"/>
      <c r="F855" s="80"/>
      <c r="G855" s="80"/>
      <c r="H855" s="80"/>
      <c r="I855" s="80"/>
      <c r="J855" s="80"/>
      <c r="K855" s="80"/>
      <c r="L855" s="81" t="str">
        <f aca="false">IF(K855="","",IFERROR(INDEX(BARDAGE!$C$7:$C$1506,MATCH(K855,BARDAGE!$B$7:$B$1506,0)),"? hors registre"))</f>
        <v/>
      </c>
      <c r="M855" s="80"/>
      <c r="N855" s="81" t="str">
        <f aca="false">IF(M855="","",IFERROR(INDEX(BARDAGE!$C$7:$C$1506,MATCH(M855,BARDAGE!$B$7:$B$1506,0)),"? hors registre"))</f>
        <v/>
      </c>
      <c r="O855" s="80"/>
      <c r="P855" s="80"/>
      <c r="Q855" s="80"/>
      <c r="R855" s="82"/>
      <c r="S855" s="82"/>
      <c r="T855" s="80"/>
      <c r="U855" s="80"/>
      <c r="V855" s="82"/>
      <c r="W855" s="80"/>
      <c r="X855" s="80"/>
      <c r="Y855" s="80"/>
      <c r="Z855" s="80"/>
      <c r="AA855" s="82"/>
      <c r="AB855" s="80"/>
      <c r="AC855" s="80"/>
      <c r="AD855" s="80"/>
      <c r="AE855" s="80"/>
      <c r="AF855" s="82"/>
      <c r="AG855" s="80"/>
      <c r="AH855" s="80"/>
      <c r="AI855" s="82"/>
      <c r="AJ855" s="79"/>
      <c r="AK855" s="78" t="str">
        <f aca="false">IF(E855="","",(X855&lt;&gt;"")+(AC855&lt;&gt;"")+(AH855&lt;&gt;""))</f>
        <v/>
      </c>
      <c r="AL855" s="81" t="str">
        <f aca="false">IF(AH855&lt;&gt;"",AH855,IF(AC855&lt;&gt;"",AC855,IF(X855&lt;&gt;"",X855,"")))</f>
        <v/>
      </c>
      <c r="AM855" s="83" t="str">
        <f aca="false">IF(E855="","",IF(R855="","À SOUDER",IF(U855="","VT EN ATTENTE",IF(U855="R","VT REJETÉ – À REPRENDRE",IF(AL855="","À RADIOGRAPHIER",IF(AL855="A","ACCEPTÉ",IF(AL855="NX","NX – RT À REFAIRE",IF(IF(AK855=1,Z855,IF(AK855=2,AE855,""))="A","RÉPARÉ – À RADIOGRAPHIER",IF(IF(AK855=1,Z855,IF(AK855=2,AE855,""))="R","VT REJETÉ – À REPRENDRE",IF(OR(AL855="CO",AL855="NT"),"COUPE – À RESOUDER","À RÉPARER"))))))))))</f>
        <v/>
      </c>
      <c r="AN855" s="81" t="str">
        <f aca="false">IF(AND(ISNUMBER(R855),OR(AM855="À RADIOGRAPHIER",AM855="RÉPARÉ – À RADIOGRAPHIER",AM855="NX – RT À REFAIRE",AM855="À RÉPARER",AM855="COUPE – À RESOUDER",AM855="VT REJETÉ – À REPRENDRE")),MAX(0,'PROGRAMME RT'!$C$4-R855),"")</f>
        <v/>
      </c>
      <c r="AO855" s="78" t="n">
        <f aca="false">IF(AND(OR(AM855="À RADIOGRAPHIER",AM855="RÉPARÉ – À RADIOGRAPHIER",AM855="NX – RT À REFAIRE"),OR('PROGRAMME RT'!$D$5="TOUTES",B855='PROGRAMME RT'!$D$5)),1,0)</f>
        <v>0</v>
      </c>
      <c r="AP855" s="78" t="str">
        <f aca="false">IF(AO855=1,SUM(AO$7:AO855),"")</f>
        <v/>
      </c>
      <c r="AQ855" s="78" t="n">
        <f aca="false">IF(AND(OR(X855="R",X855="NX",X855="NT",X855="CO"),OR('JOINTS DE RÉPARATION'!$D$5="TOUTES",B855='JOINTS DE RÉPARATION'!$D$5),OR('JOINTS DE RÉPARATION'!$L$4="TOUS",AM855&lt;&gt;"ACCEPTÉ")),1,0)</f>
        <v>0</v>
      </c>
      <c r="AR855" s="78" t="str">
        <f aca="false">IF(AQ855=1,SUM(AQ$7:AQ855),"")</f>
        <v/>
      </c>
    </row>
    <row r="856" customFormat="false" ht="15" hidden="false" customHeight="false" outlineLevel="0" collapsed="false">
      <c r="A856" s="78" t="str">
        <f aca="false">IF(E856="","",ROW()-6)</f>
        <v/>
      </c>
      <c r="B856" s="79"/>
      <c r="C856" s="80"/>
      <c r="D856" s="80"/>
      <c r="E856" s="80"/>
      <c r="F856" s="80"/>
      <c r="G856" s="80"/>
      <c r="H856" s="80"/>
      <c r="I856" s="80"/>
      <c r="J856" s="80"/>
      <c r="K856" s="80"/>
      <c r="L856" s="81" t="str">
        <f aca="false">IF(K856="","",IFERROR(INDEX(BARDAGE!$C$7:$C$1506,MATCH(K856,BARDAGE!$B$7:$B$1506,0)),"? hors registre"))</f>
        <v/>
      </c>
      <c r="M856" s="80"/>
      <c r="N856" s="81" t="str">
        <f aca="false">IF(M856="","",IFERROR(INDEX(BARDAGE!$C$7:$C$1506,MATCH(M856,BARDAGE!$B$7:$B$1506,0)),"? hors registre"))</f>
        <v/>
      </c>
      <c r="O856" s="80"/>
      <c r="P856" s="80"/>
      <c r="Q856" s="80"/>
      <c r="R856" s="82"/>
      <c r="S856" s="82"/>
      <c r="T856" s="80"/>
      <c r="U856" s="80"/>
      <c r="V856" s="82"/>
      <c r="W856" s="80"/>
      <c r="X856" s="80"/>
      <c r="Y856" s="80"/>
      <c r="Z856" s="80"/>
      <c r="AA856" s="82"/>
      <c r="AB856" s="80"/>
      <c r="AC856" s="80"/>
      <c r="AD856" s="80"/>
      <c r="AE856" s="80"/>
      <c r="AF856" s="82"/>
      <c r="AG856" s="80"/>
      <c r="AH856" s="80"/>
      <c r="AI856" s="82"/>
      <c r="AJ856" s="79"/>
      <c r="AK856" s="78" t="str">
        <f aca="false">IF(E856="","",(X856&lt;&gt;"")+(AC856&lt;&gt;"")+(AH856&lt;&gt;""))</f>
        <v/>
      </c>
      <c r="AL856" s="81" t="str">
        <f aca="false">IF(AH856&lt;&gt;"",AH856,IF(AC856&lt;&gt;"",AC856,IF(X856&lt;&gt;"",X856,"")))</f>
        <v/>
      </c>
      <c r="AM856" s="83" t="str">
        <f aca="false">IF(E856="","",IF(R856="","À SOUDER",IF(U856="","VT EN ATTENTE",IF(U856="R","VT REJETÉ – À REPRENDRE",IF(AL856="","À RADIOGRAPHIER",IF(AL856="A","ACCEPTÉ",IF(AL856="NX","NX – RT À REFAIRE",IF(IF(AK856=1,Z856,IF(AK856=2,AE856,""))="A","RÉPARÉ – À RADIOGRAPHIER",IF(IF(AK856=1,Z856,IF(AK856=2,AE856,""))="R","VT REJETÉ – À REPRENDRE",IF(OR(AL856="CO",AL856="NT"),"COUPE – À RESOUDER","À RÉPARER"))))))))))</f>
        <v/>
      </c>
      <c r="AN856" s="81" t="str">
        <f aca="false">IF(AND(ISNUMBER(R856),OR(AM856="À RADIOGRAPHIER",AM856="RÉPARÉ – À RADIOGRAPHIER",AM856="NX – RT À REFAIRE",AM856="À RÉPARER",AM856="COUPE – À RESOUDER",AM856="VT REJETÉ – À REPRENDRE")),MAX(0,'PROGRAMME RT'!$C$4-R856),"")</f>
        <v/>
      </c>
      <c r="AO856" s="78" t="n">
        <f aca="false">IF(AND(OR(AM856="À RADIOGRAPHIER",AM856="RÉPARÉ – À RADIOGRAPHIER",AM856="NX – RT À REFAIRE"),OR('PROGRAMME RT'!$D$5="TOUTES",B856='PROGRAMME RT'!$D$5)),1,0)</f>
        <v>0</v>
      </c>
      <c r="AP856" s="78" t="str">
        <f aca="false">IF(AO856=1,SUM(AO$7:AO856),"")</f>
        <v/>
      </c>
      <c r="AQ856" s="78" t="n">
        <f aca="false">IF(AND(OR(X856="R",X856="NX",X856="NT",X856="CO"),OR('JOINTS DE RÉPARATION'!$D$5="TOUTES",B856='JOINTS DE RÉPARATION'!$D$5),OR('JOINTS DE RÉPARATION'!$L$4="TOUS",AM856&lt;&gt;"ACCEPTÉ")),1,0)</f>
        <v>0</v>
      </c>
      <c r="AR856" s="78" t="str">
        <f aca="false">IF(AQ856=1,SUM(AQ$7:AQ856),"")</f>
        <v/>
      </c>
    </row>
    <row r="857" customFormat="false" ht="15" hidden="false" customHeight="false" outlineLevel="0" collapsed="false">
      <c r="A857" s="78" t="str">
        <f aca="false">IF(E857="","",ROW()-6)</f>
        <v/>
      </c>
      <c r="B857" s="79"/>
      <c r="C857" s="80"/>
      <c r="D857" s="80"/>
      <c r="E857" s="80"/>
      <c r="F857" s="80"/>
      <c r="G857" s="80"/>
      <c r="H857" s="80"/>
      <c r="I857" s="80"/>
      <c r="J857" s="80"/>
      <c r="K857" s="80"/>
      <c r="L857" s="81" t="str">
        <f aca="false">IF(K857="","",IFERROR(INDEX(BARDAGE!$C$7:$C$1506,MATCH(K857,BARDAGE!$B$7:$B$1506,0)),"? hors registre"))</f>
        <v/>
      </c>
      <c r="M857" s="80"/>
      <c r="N857" s="81" t="str">
        <f aca="false">IF(M857="","",IFERROR(INDEX(BARDAGE!$C$7:$C$1506,MATCH(M857,BARDAGE!$B$7:$B$1506,0)),"? hors registre"))</f>
        <v/>
      </c>
      <c r="O857" s="80"/>
      <c r="P857" s="80"/>
      <c r="Q857" s="80"/>
      <c r="R857" s="82"/>
      <c r="S857" s="82"/>
      <c r="T857" s="80"/>
      <c r="U857" s="80"/>
      <c r="V857" s="82"/>
      <c r="W857" s="80"/>
      <c r="X857" s="80"/>
      <c r="Y857" s="80"/>
      <c r="Z857" s="80"/>
      <c r="AA857" s="82"/>
      <c r="AB857" s="80"/>
      <c r="AC857" s="80"/>
      <c r="AD857" s="80"/>
      <c r="AE857" s="80"/>
      <c r="AF857" s="82"/>
      <c r="AG857" s="80"/>
      <c r="AH857" s="80"/>
      <c r="AI857" s="82"/>
      <c r="AJ857" s="79"/>
      <c r="AK857" s="78" t="str">
        <f aca="false">IF(E857="","",(X857&lt;&gt;"")+(AC857&lt;&gt;"")+(AH857&lt;&gt;""))</f>
        <v/>
      </c>
      <c r="AL857" s="81" t="str">
        <f aca="false">IF(AH857&lt;&gt;"",AH857,IF(AC857&lt;&gt;"",AC857,IF(X857&lt;&gt;"",X857,"")))</f>
        <v/>
      </c>
      <c r="AM857" s="83" t="str">
        <f aca="false">IF(E857="","",IF(R857="","À SOUDER",IF(U857="","VT EN ATTENTE",IF(U857="R","VT REJETÉ – À REPRENDRE",IF(AL857="","À RADIOGRAPHIER",IF(AL857="A","ACCEPTÉ",IF(AL857="NX","NX – RT À REFAIRE",IF(IF(AK857=1,Z857,IF(AK857=2,AE857,""))="A","RÉPARÉ – À RADIOGRAPHIER",IF(IF(AK857=1,Z857,IF(AK857=2,AE857,""))="R","VT REJETÉ – À REPRENDRE",IF(OR(AL857="CO",AL857="NT"),"COUPE – À RESOUDER","À RÉPARER"))))))))))</f>
        <v/>
      </c>
      <c r="AN857" s="81" t="str">
        <f aca="false">IF(AND(ISNUMBER(R857),OR(AM857="À RADIOGRAPHIER",AM857="RÉPARÉ – À RADIOGRAPHIER",AM857="NX – RT À REFAIRE",AM857="À RÉPARER",AM857="COUPE – À RESOUDER",AM857="VT REJETÉ – À REPRENDRE")),MAX(0,'PROGRAMME RT'!$C$4-R857),"")</f>
        <v/>
      </c>
      <c r="AO857" s="78" t="n">
        <f aca="false">IF(AND(OR(AM857="À RADIOGRAPHIER",AM857="RÉPARÉ – À RADIOGRAPHIER",AM857="NX – RT À REFAIRE"),OR('PROGRAMME RT'!$D$5="TOUTES",B857='PROGRAMME RT'!$D$5)),1,0)</f>
        <v>0</v>
      </c>
      <c r="AP857" s="78" t="str">
        <f aca="false">IF(AO857=1,SUM(AO$7:AO857),"")</f>
        <v/>
      </c>
      <c r="AQ857" s="78" t="n">
        <f aca="false">IF(AND(OR(X857="R",X857="NX",X857="NT",X857="CO"),OR('JOINTS DE RÉPARATION'!$D$5="TOUTES",B857='JOINTS DE RÉPARATION'!$D$5),OR('JOINTS DE RÉPARATION'!$L$4="TOUS",AM857&lt;&gt;"ACCEPTÉ")),1,0)</f>
        <v>0</v>
      </c>
      <c r="AR857" s="78" t="str">
        <f aca="false">IF(AQ857=1,SUM(AQ$7:AQ857),"")</f>
        <v/>
      </c>
    </row>
    <row r="858" customFormat="false" ht="15" hidden="false" customHeight="false" outlineLevel="0" collapsed="false">
      <c r="A858" s="78" t="str">
        <f aca="false">IF(E858="","",ROW()-6)</f>
        <v/>
      </c>
      <c r="B858" s="79"/>
      <c r="C858" s="80"/>
      <c r="D858" s="80"/>
      <c r="E858" s="80"/>
      <c r="F858" s="80"/>
      <c r="G858" s="80"/>
      <c r="H858" s="80"/>
      <c r="I858" s="80"/>
      <c r="J858" s="80"/>
      <c r="K858" s="80"/>
      <c r="L858" s="81" t="str">
        <f aca="false">IF(K858="","",IFERROR(INDEX(BARDAGE!$C$7:$C$1506,MATCH(K858,BARDAGE!$B$7:$B$1506,0)),"? hors registre"))</f>
        <v/>
      </c>
      <c r="M858" s="80"/>
      <c r="N858" s="81" t="str">
        <f aca="false">IF(M858="","",IFERROR(INDEX(BARDAGE!$C$7:$C$1506,MATCH(M858,BARDAGE!$B$7:$B$1506,0)),"? hors registre"))</f>
        <v/>
      </c>
      <c r="O858" s="80"/>
      <c r="P858" s="80"/>
      <c r="Q858" s="80"/>
      <c r="R858" s="82"/>
      <c r="S858" s="82"/>
      <c r="T858" s="80"/>
      <c r="U858" s="80"/>
      <c r="V858" s="82"/>
      <c r="W858" s="80"/>
      <c r="X858" s="80"/>
      <c r="Y858" s="80"/>
      <c r="Z858" s="80"/>
      <c r="AA858" s="82"/>
      <c r="AB858" s="80"/>
      <c r="AC858" s="80"/>
      <c r="AD858" s="80"/>
      <c r="AE858" s="80"/>
      <c r="AF858" s="82"/>
      <c r="AG858" s="80"/>
      <c r="AH858" s="80"/>
      <c r="AI858" s="82"/>
      <c r="AJ858" s="79"/>
      <c r="AK858" s="78" t="str">
        <f aca="false">IF(E858="","",(X858&lt;&gt;"")+(AC858&lt;&gt;"")+(AH858&lt;&gt;""))</f>
        <v/>
      </c>
      <c r="AL858" s="81" t="str">
        <f aca="false">IF(AH858&lt;&gt;"",AH858,IF(AC858&lt;&gt;"",AC858,IF(X858&lt;&gt;"",X858,"")))</f>
        <v/>
      </c>
      <c r="AM858" s="83" t="str">
        <f aca="false">IF(E858="","",IF(R858="","À SOUDER",IF(U858="","VT EN ATTENTE",IF(U858="R","VT REJETÉ – À REPRENDRE",IF(AL858="","À RADIOGRAPHIER",IF(AL858="A","ACCEPTÉ",IF(AL858="NX","NX – RT À REFAIRE",IF(IF(AK858=1,Z858,IF(AK858=2,AE858,""))="A","RÉPARÉ – À RADIOGRAPHIER",IF(IF(AK858=1,Z858,IF(AK858=2,AE858,""))="R","VT REJETÉ – À REPRENDRE",IF(OR(AL858="CO",AL858="NT"),"COUPE – À RESOUDER","À RÉPARER"))))))))))</f>
        <v/>
      </c>
      <c r="AN858" s="81" t="str">
        <f aca="false">IF(AND(ISNUMBER(R858),OR(AM858="À RADIOGRAPHIER",AM858="RÉPARÉ – À RADIOGRAPHIER",AM858="NX – RT À REFAIRE",AM858="À RÉPARER",AM858="COUPE – À RESOUDER",AM858="VT REJETÉ – À REPRENDRE")),MAX(0,'PROGRAMME RT'!$C$4-R858),"")</f>
        <v/>
      </c>
      <c r="AO858" s="78" t="n">
        <f aca="false">IF(AND(OR(AM858="À RADIOGRAPHIER",AM858="RÉPARÉ – À RADIOGRAPHIER",AM858="NX – RT À REFAIRE"),OR('PROGRAMME RT'!$D$5="TOUTES",B858='PROGRAMME RT'!$D$5)),1,0)</f>
        <v>0</v>
      </c>
      <c r="AP858" s="78" t="str">
        <f aca="false">IF(AO858=1,SUM(AO$7:AO858),"")</f>
        <v/>
      </c>
      <c r="AQ858" s="78" t="n">
        <f aca="false">IF(AND(OR(X858="R",X858="NX",X858="NT",X858="CO"),OR('JOINTS DE RÉPARATION'!$D$5="TOUTES",B858='JOINTS DE RÉPARATION'!$D$5),OR('JOINTS DE RÉPARATION'!$L$4="TOUS",AM858&lt;&gt;"ACCEPTÉ")),1,0)</f>
        <v>0</v>
      </c>
      <c r="AR858" s="78" t="str">
        <f aca="false">IF(AQ858=1,SUM(AQ$7:AQ858),"")</f>
        <v/>
      </c>
    </row>
    <row r="859" customFormat="false" ht="15" hidden="false" customHeight="false" outlineLevel="0" collapsed="false">
      <c r="A859" s="78" t="str">
        <f aca="false">IF(E859="","",ROW()-6)</f>
        <v/>
      </c>
      <c r="B859" s="79"/>
      <c r="C859" s="80"/>
      <c r="D859" s="80"/>
      <c r="E859" s="80"/>
      <c r="F859" s="80"/>
      <c r="G859" s="80"/>
      <c r="H859" s="80"/>
      <c r="I859" s="80"/>
      <c r="J859" s="80"/>
      <c r="K859" s="80"/>
      <c r="L859" s="81" t="str">
        <f aca="false">IF(K859="","",IFERROR(INDEX(BARDAGE!$C$7:$C$1506,MATCH(K859,BARDAGE!$B$7:$B$1506,0)),"? hors registre"))</f>
        <v/>
      </c>
      <c r="M859" s="80"/>
      <c r="N859" s="81" t="str">
        <f aca="false">IF(M859="","",IFERROR(INDEX(BARDAGE!$C$7:$C$1506,MATCH(M859,BARDAGE!$B$7:$B$1506,0)),"? hors registre"))</f>
        <v/>
      </c>
      <c r="O859" s="80"/>
      <c r="P859" s="80"/>
      <c r="Q859" s="80"/>
      <c r="R859" s="82"/>
      <c r="S859" s="82"/>
      <c r="T859" s="80"/>
      <c r="U859" s="80"/>
      <c r="V859" s="82"/>
      <c r="W859" s="80"/>
      <c r="X859" s="80"/>
      <c r="Y859" s="80"/>
      <c r="Z859" s="80"/>
      <c r="AA859" s="82"/>
      <c r="AB859" s="80"/>
      <c r="AC859" s="80"/>
      <c r="AD859" s="80"/>
      <c r="AE859" s="80"/>
      <c r="AF859" s="82"/>
      <c r="AG859" s="80"/>
      <c r="AH859" s="80"/>
      <c r="AI859" s="82"/>
      <c r="AJ859" s="79"/>
      <c r="AK859" s="78" t="str">
        <f aca="false">IF(E859="","",(X859&lt;&gt;"")+(AC859&lt;&gt;"")+(AH859&lt;&gt;""))</f>
        <v/>
      </c>
      <c r="AL859" s="81" t="str">
        <f aca="false">IF(AH859&lt;&gt;"",AH859,IF(AC859&lt;&gt;"",AC859,IF(X859&lt;&gt;"",X859,"")))</f>
        <v/>
      </c>
      <c r="AM859" s="83" t="str">
        <f aca="false">IF(E859="","",IF(R859="","À SOUDER",IF(U859="","VT EN ATTENTE",IF(U859="R","VT REJETÉ – À REPRENDRE",IF(AL859="","À RADIOGRAPHIER",IF(AL859="A","ACCEPTÉ",IF(AL859="NX","NX – RT À REFAIRE",IF(IF(AK859=1,Z859,IF(AK859=2,AE859,""))="A","RÉPARÉ – À RADIOGRAPHIER",IF(IF(AK859=1,Z859,IF(AK859=2,AE859,""))="R","VT REJETÉ – À REPRENDRE",IF(OR(AL859="CO",AL859="NT"),"COUPE – À RESOUDER","À RÉPARER"))))))))))</f>
        <v/>
      </c>
      <c r="AN859" s="81" t="str">
        <f aca="false">IF(AND(ISNUMBER(R859),OR(AM859="À RADIOGRAPHIER",AM859="RÉPARÉ – À RADIOGRAPHIER",AM859="NX – RT À REFAIRE",AM859="À RÉPARER",AM859="COUPE – À RESOUDER",AM859="VT REJETÉ – À REPRENDRE")),MAX(0,'PROGRAMME RT'!$C$4-R859),"")</f>
        <v/>
      </c>
      <c r="AO859" s="78" t="n">
        <f aca="false">IF(AND(OR(AM859="À RADIOGRAPHIER",AM859="RÉPARÉ – À RADIOGRAPHIER",AM859="NX – RT À REFAIRE"),OR('PROGRAMME RT'!$D$5="TOUTES",B859='PROGRAMME RT'!$D$5)),1,0)</f>
        <v>0</v>
      </c>
      <c r="AP859" s="78" t="str">
        <f aca="false">IF(AO859=1,SUM(AO$7:AO859),"")</f>
        <v/>
      </c>
      <c r="AQ859" s="78" t="n">
        <f aca="false">IF(AND(OR(X859="R",X859="NX",X859="NT",X859="CO"),OR('JOINTS DE RÉPARATION'!$D$5="TOUTES",B859='JOINTS DE RÉPARATION'!$D$5),OR('JOINTS DE RÉPARATION'!$L$4="TOUS",AM859&lt;&gt;"ACCEPTÉ")),1,0)</f>
        <v>0</v>
      </c>
      <c r="AR859" s="78" t="str">
        <f aca="false">IF(AQ859=1,SUM(AQ$7:AQ859),"")</f>
        <v/>
      </c>
    </row>
    <row r="860" customFormat="false" ht="15" hidden="false" customHeight="false" outlineLevel="0" collapsed="false">
      <c r="A860" s="78" t="str">
        <f aca="false">IF(E860="","",ROW()-6)</f>
        <v/>
      </c>
      <c r="B860" s="79"/>
      <c r="C860" s="80"/>
      <c r="D860" s="80"/>
      <c r="E860" s="80"/>
      <c r="F860" s="80"/>
      <c r="G860" s="80"/>
      <c r="H860" s="80"/>
      <c r="I860" s="80"/>
      <c r="J860" s="80"/>
      <c r="K860" s="80"/>
      <c r="L860" s="81" t="str">
        <f aca="false">IF(K860="","",IFERROR(INDEX(BARDAGE!$C$7:$C$1506,MATCH(K860,BARDAGE!$B$7:$B$1506,0)),"? hors registre"))</f>
        <v/>
      </c>
      <c r="M860" s="80"/>
      <c r="N860" s="81" t="str">
        <f aca="false">IF(M860="","",IFERROR(INDEX(BARDAGE!$C$7:$C$1506,MATCH(M860,BARDAGE!$B$7:$B$1506,0)),"? hors registre"))</f>
        <v/>
      </c>
      <c r="O860" s="80"/>
      <c r="P860" s="80"/>
      <c r="Q860" s="80"/>
      <c r="R860" s="82"/>
      <c r="S860" s="82"/>
      <c r="T860" s="80"/>
      <c r="U860" s="80"/>
      <c r="V860" s="82"/>
      <c r="W860" s="80"/>
      <c r="X860" s="80"/>
      <c r="Y860" s="80"/>
      <c r="Z860" s="80"/>
      <c r="AA860" s="82"/>
      <c r="AB860" s="80"/>
      <c r="AC860" s="80"/>
      <c r="AD860" s="80"/>
      <c r="AE860" s="80"/>
      <c r="AF860" s="82"/>
      <c r="AG860" s="80"/>
      <c r="AH860" s="80"/>
      <c r="AI860" s="82"/>
      <c r="AJ860" s="79"/>
      <c r="AK860" s="78" t="str">
        <f aca="false">IF(E860="","",(X860&lt;&gt;"")+(AC860&lt;&gt;"")+(AH860&lt;&gt;""))</f>
        <v/>
      </c>
      <c r="AL860" s="81" t="str">
        <f aca="false">IF(AH860&lt;&gt;"",AH860,IF(AC860&lt;&gt;"",AC860,IF(X860&lt;&gt;"",X860,"")))</f>
        <v/>
      </c>
      <c r="AM860" s="83" t="str">
        <f aca="false">IF(E860="","",IF(R860="","À SOUDER",IF(U860="","VT EN ATTENTE",IF(U860="R","VT REJETÉ – À REPRENDRE",IF(AL860="","À RADIOGRAPHIER",IF(AL860="A","ACCEPTÉ",IF(AL860="NX","NX – RT À REFAIRE",IF(IF(AK860=1,Z860,IF(AK860=2,AE860,""))="A","RÉPARÉ – À RADIOGRAPHIER",IF(IF(AK860=1,Z860,IF(AK860=2,AE860,""))="R","VT REJETÉ – À REPRENDRE",IF(OR(AL860="CO",AL860="NT"),"COUPE – À RESOUDER","À RÉPARER"))))))))))</f>
        <v/>
      </c>
      <c r="AN860" s="81" t="str">
        <f aca="false">IF(AND(ISNUMBER(R860),OR(AM860="À RADIOGRAPHIER",AM860="RÉPARÉ – À RADIOGRAPHIER",AM860="NX – RT À REFAIRE",AM860="À RÉPARER",AM860="COUPE – À RESOUDER",AM860="VT REJETÉ – À REPRENDRE")),MAX(0,'PROGRAMME RT'!$C$4-R860),"")</f>
        <v/>
      </c>
      <c r="AO860" s="78" t="n">
        <f aca="false">IF(AND(OR(AM860="À RADIOGRAPHIER",AM860="RÉPARÉ – À RADIOGRAPHIER",AM860="NX – RT À REFAIRE"),OR('PROGRAMME RT'!$D$5="TOUTES",B860='PROGRAMME RT'!$D$5)),1,0)</f>
        <v>0</v>
      </c>
      <c r="AP860" s="78" t="str">
        <f aca="false">IF(AO860=1,SUM(AO$7:AO860),"")</f>
        <v/>
      </c>
      <c r="AQ860" s="78" t="n">
        <f aca="false">IF(AND(OR(X860="R",X860="NX",X860="NT",X860="CO"),OR('JOINTS DE RÉPARATION'!$D$5="TOUTES",B860='JOINTS DE RÉPARATION'!$D$5),OR('JOINTS DE RÉPARATION'!$L$4="TOUS",AM860&lt;&gt;"ACCEPTÉ")),1,0)</f>
        <v>0</v>
      </c>
      <c r="AR860" s="78" t="str">
        <f aca="false">IF(AQ860=1,SUM(AQ$7:AQ860),"")</f>
        <v/>
      </c>
    </row>
    <row r="861" customFormat="false" ht="15" hidden="false" customHeight="false" outlineLevel="0" collapsed="false">
      <c r="A861" s="78" t="str">
        <f aca="false">IF(E861="","",ROW()-6)</f>
        <v/>
      </c>
      <c r="B861" s="79"/>
      <c r="C861" s="80"/>
      <c r="D861" s="80"/>
      <c r="E861" s="80"/>
      <c r="F861" s="80"/>
      <c r="G861" s="80"/>
      <c r="H861" s="80"/>
      <c r="I861" s="80"/>
      <c r="J861" s="80"/>
      <c r="K861" s="80"/>
      <c r="L861" s="81" t="str">
        <f aca="false">IF(K861="","",IFERROR(INDEX(BARDAGE!$C$7:$C$1506,MATCH(K861,BARDAGE!$B$7:$B$1506,0)),"? hors registre"))</f>
        <v/>
      </c>
      <c r="M861" s="80"/>
      <c r="N861" s="81" t="str">
        <f aca="false">IF(M861="","",IFERROR(INDEX(BARDAGE!$C$7:$C$1506,MATCH(M861,BARDAGE!$B$7:$B$1506,0)),"? hors registre"))</f>
        <v/>
      </c>
      <c r="O861" s="80"/>
      <c r="P861" s="80"/>
      <c r="Q861" s="80"/>
      <c r="R861" s="82"/>
      <c r="S861" s="82"/>
      <c r="T861" s="80"/>
      <c r="U861" s="80"/>
      <c r="V861" s="82"/>
      <c r="W861" s="80"/>
      <c r="X861" s="80"/>
      <c r="Y861" s="80"/>
      <c r="Z861" s="80"/>
      <c r="AA861" s="82"/>
      <c r="AB861" s="80"/>
      <c r="AC861" s="80"/>
      <c r="AD861" s="80"/>
      <c r="AE861" s="80"/>
      <c r="AF861" s="82"/>
      <c r="AG861" s="80"/>
      <c r="AH861" s="80"/>
      <c r="AI861" s="82"/>
      <c r="AJ861" s="79"/>
      <c r="AK861" s="78" t="str">
        <f aca="false">IF(E861="","",(X861&lt;&gt;"")+(AC861&lt;&gt;"")+(AH861&lt;&gt;""))</f>
        <v/>
      </c>
      <c r="AL861" s="81" t="str">
        <f aca="false">IF(AH861&lt;&gt;"",AH861,IF(AC861&lt;&gt;"",AC861,IF(X861&lt;&gt;"",X861,"")))</f>
        <v/>
      </c>
      <c r="AM861" s="83" t="str">
        <f aca="false">IF(E861="","",IF(R861="","À SOUDER",IF(U861="","VT EN ATTENTE",IF(U861="R","VT REJETÉ – À REPRENDRE",IF(AL861="","À RADIOGRAPHIER",IF(AL861="A","ACCEPTÉ",IF(AL861="NX","NX – RT À REFAIRE",IF(IF(AK861=1,Z861,IF(AK861=2,AE861,""))="A","RÉPARÉ – À RADIOGRAPHIER",IF(IF(AK861=1,Z861,IF(AK861=2,AE861,""))="R","VT REJETÉ – À REPRENDRE",IF(OR(AL861="CO",AL861="NT"),"COUPE – À RESOUDER","À RÉPARER"))))))))))</f>
        <v/>
      </c>
      <c r="AN861" s="81" t="str">
        <f aca="false">IF(AND(ISNUMBER(R861),OR(AM861="À RADIOGRAPHIER",AM861="RÉPARÉ – À RADIOGRAPHIER",AM861="NX – RT À REFAIRE",AM861="À RÉPARER",AM861="COUPE – À RESOUDER",AM861="VT REJETÉ – À REPRENDRE")),MAX(0,'PROGRAMME RT'!$C$4-R861),"")</f>
        <v/>
      </c>
      <c r="AO861" s="78" t="n">
        <f aca="false">IF(AND(OR(AM861="À RADIOGRAPHIER",AM861="RÉPARÉ – À RADIOGRAPHIER",AM861="NX – RT À REFAIRE"),OR('PROGRAMME RT'!$D$5="TOUTES",B861='PROGRAMME RT'!$D$5)),1,0)</f>
        <v>0</v>
      </c>
      <c r="AP861" s="78" t="str">
        <f aca="false">IF(AO861=1,SUM(AO$7:AO861),"")</f>
        <v/>
      </c>
      <c r="AQ861" s="78" t="n">
        <f aca="false">IF(AND(OR(X861="R",X861="NX",X861="NT",X861="CO"),OR('JOINTS DE RÉPARATION'!$D$5="TOUTES",B861='JOINTS DE RÉPARATION'!$D$5),OR('JOINTS DE RÉPARATION'!$L$4="TOUS",AM861&lt;&gt;"ACCEPTÉ")),1,0)</f>
        <v>0</v>
      </c>
      <c r="AR861" s="78" t="str">
        <f aca="false">IF(AQ861=1,SUM(AQ$7:AQ861),"")</f>
        <v/>
      </c>
    </row>
    <row r="862" customFormat="false" ht="15" hidden="false" customHeight="false" outlineLevel="0" collapsed="false">
      <c r="A862" s="78" t="str">
        <f aca="false">IF(E862="","",ROW()-6)</f>
        <v/>
      </c>
      <c r="B862" s="79"/>
      <c r="C862" s="80"/>
      <c r="D862" s="80"/>
      <c r="E862" s="80"/>
      <c r="F862" s="80"/>
      <c r="G862" s="80"/>
      <c r="H862" s="80"/>
      <c r="I862" s="80"/>
      <c r="J862" s="80"/>
      <c r="K862" s="80"/>
      <c r="L862" s="81" t="str">
        <f aca="false">IF(K862="","",IFERROR(INDEX(BARDAGE!$C$7:$C$1506,MATCH(K862,BARDAGE!$B$7:$B$1506,0)),"? hors registre"))</f>
        <v/>
      </c>
      <c r="M862" s="80"/>
      <c r="N862" s="81" t="str">
        <f aca="false">IF(M862="","",IFERROR(INDEX(BARDAGE!$C$7:$C$1506,MATCH(M862,BARDAGE!$B$7:$B$1506,0)),"? hors registre"))</f>
        <v/>
      </c>
      <c r="O862" s="80"/>
      <c r="P862" s="80"/>
      <c r="Q862" s="80"/>
      <c r="R862" s="82"/>
      <c r="S862" s="82"/>
      <c r="T862" s="80"/>
      <c r="U862" s="80"/>
      <c r="V862" s="82"/>
      <c r="W862" s="80"/>
      <c r="X862" s="80"/>
      <c r="Y862" s="80"/>
      <c r="Z862" s="80"/>
      <c r="AA862" s="82"/>
      <c r="AB862" s="80"/>
      <c r="AC862" s="80"/>
      <c r="AD862" s="80"/>
      <c r="AE862" s="80"/>
      <c r="AF862" s="82"/>
      <c r="AG862" s="80"/>
      <c r="AH862" s="80"/>
      <c r="AI862" s="82"/>
      <c r="AJ862" s="79"/>
      <c r="AK862" s="78" t="str">
        <f aca="false">IF(E862="","",(X862&lt;&gt;"")+(AC862&lt;&gt;"")+(AH862&lt;&gt;""))</f>
        <v/>
      </c>
      <c r="AL862" s="81" t="str">
        <f aca="false">IF(AH862&lt;&gt;"",AH862,IF(AC862&lt;&gt;"",AC862,IF(X862&lt;&gt;"",X862,"")))</f>
        <v/>
      </c>
      <c r="AM862" s="83" t="str">
        <f aca="false">IF(E862="","",IF(R862="","À SOUDER",IF(U862="","VT EN ATTENTE",IF(U862="R","VT REJETÉ – À REPRENDRE",IF(AL862="","À RADIOGRAPHIER",IF(AL862="A","ACCEPTÉ",IF(AL862="NX","NX – RT À REFAIRE",IF(IF(AK862=1,Z862,IF(AK862=2,AE862,""))="A","RÉPARÉ – À RADIOGRAPHIER",IF(IF(AK862=1,Z862,IF(AK862=2,AE862,""))="R","VT REJETÉ – À REPRENDRE",IF(OR(AL862="CO",AL862="NT"),"COUPE – À RESOUDER","À RÉPARER"))))))))))</f>
        <v/>
      </c>
      <c r="AN862" s="81" t="str">
        <f aca="false">IF(AND(ISNUMBER(R862),OR(AM862="À RADIOGRAPHIER",AM862="RÉPARÉ – À RADIOGRAPHIER",AM862="NX – RT À REFAIRE",AM862="À RÉPARER",AM862="COUPE – À RESOUDER",AM862="VT REJETÉ – À REPRENDRE")),MAX(0,'PROGRAMME RT'!$C$4-R862),"")</f>
        <v/>
      </c>
      <c r="AO862" s="78" t="n">
        <f aca="false">IF(AND(OR(AM862="À RADIOGRAPHIER",AM862="RÉPARÉ – À RADIOGRAPHIER",AM862="NX – RT À REFAIRE"),OR('PROGRAMME RT'!$D$5="TOUTES",B862='PROGRAMME RT'!$D$5)),1,0)</f>
        <v>0</v>
      </c>
      <c r="AP862" s="78" t="str">
        <f aca="false">IF(AO862=1,SUM(AO$7:AO862),"")</f>
        <v/>
      </c>
      <c r="AQ862" s="78" t="n">
        <f aca="false">IF(AND(OR(X862="R",X862="NX",X862="NT",X862="CO"),OR('JOINTS DE RÉPARATION'!$D$5="TOUTES",B862='JOINTS DE RÉPARATION'!$D$5),OR('JOINTS DE RÉPARATION'!$L$4="TOUS",AM862&lt;&gt;"ACCEPTÉ")),1,0)</f>
        <v>0</v>
      </c>
      <c r="AR862" s="78" t="str">
        <f aca="false">IF(AQ862=1,SUM(AQ$7:AQ862),"")</f>
        <v/>
      </c>
    </row>
    <row r="863" customFormat="false" ht="15" hidden="false" customHeight="false" outlineLevel="0" collapsed="false">
      <c r="A863" s="78" t="str">
        <f aca="false">IF(E863="","",ROW()-6)</f>
        <v/>
      </c>
      <c r="B863" s="79"/>
      <c r="C863" s="80"/>
      <c r="D863" s="80"/>
      <c r="E863" s="80"/>
      <c r="F863" s="80"/>
      <c r="G863" s="80"/>
      <c r="H863" s="80"/>
      <c r="I863" s="80"/>
      <c r="J863" s="80"/>
      <c r="K863" s="80"/>
      <c r="L863" s="81" t="str">
        <f aca="false">IF(K863="","",IFERROR(INDEX(BARDAGE!$C$7:$C$1506,MATCH(K863,BARDAGE!$B$7:$B$1506,0)),"? hors registre"))</f>
        <v/>
      </c>
      <c r="M863" s="80"/>
      <c r="N863" s="81" t="str">
        <f aca="false">IF(M863="","",IFERROR(INDEX(BARDAGE!$C$7:$C$1506,MATCH(M863,BARDAGE!$B$7:$B$1506,0)),"? hors registre"))</f>
        <v/>
      </c>
      <c r="O863" s="80"/>
      <c r="P863" s="80"/>
      <c r="Q863" s="80"/>
      <c r="R863" s="82"/>
      <c r="S863" s="82"/>
      <c r="T863" s="80"/>
      <c r="U863" s="80"/>
      <c r="V863" s="82"/>
      <c r="W863" s="80"/>
      <c r="X863" s="80"/>
      <c r="Y863" s="80"/>
      <c r="Z863" s="80"/>
      <c r="AA863" s="82"/>
      <c r="AB863" s="80"/>
      <c r="AC863" s="80"/>
      <c r="AD863" s="80"/>
      <c r="AE863" s="80"/>
      <c r="AF863" s="82"/>
      <c r="AG863" s="80"/>
      <c r="AH863" s="80"/>
      <c r="AI863" s="82"/>
      <c r="AJ863" s="79"/>
      <c r="AK863" s="78" t="str">
        <f aca="false">IF(E863="","",(X863&lt;&gt;"")+(AC863&lt;&gt;"")+(AH863&lt;&gt;""))</f>
        <v/>
      </c>
      <c r="AL863" s="81" t="str">
        <f aca="false">IF(AH863&lt;&gt;"",AH863,IF(AC863&lt;&gt;"",AC863,IF(X863&lt;&gt;"",X863,"")))</f>
        <v/>
      </c>
      <c r="AM863" s="83" t="str">
        <f aca="false">IF(E863="","",IF(R863="","À SOUDER",IF(U863="","VT EN ATTENTE",IF(U863="R","VT REJETÉ – À REPRENDRE",IF(AL863="","À RADIOGRAPHIER",IF(AL863="A","ACCEPTÉ",IF(AL863="NX","NX – RT À REFAIRE",IF(IF(AK863=1,Z863,IF(AK863=2,AE863,""))="A","RÉPARÉ – À RADIOGRAPHIER",IF(IF(AK863=1,Z863,IF(AK863=2,AE863,""))="R","VT REJETÉ – À REPRENDRE",IF(OR(AL863="CO",AL863="NT"),"COUPE – À RESOUDER","À RÉPARER"))))))))))</f>
        <v/>
      </c>
      <c r="AN863" s="81" t="str">
        <f aca="false">IF(AND(ISNUMBER(R863),OR(AM863="À RADIOGRAPHIER",AM863="RÉPARÉ – À RADIOGRAPHIER",AM863="NX – RT À REFAIRE",AM863="À RÉPARER",AM863="COUPE – À RESOUDER",AM863="VT REJETÉ – À REPRENDRE")),MAX(0,'PROGRAMME RT'!$C$4-R863),"")</f>
        <v/>
      </c>
      <c r="AO863" s="78" t="n">
        <f aca="false">IF(AND(OR(AM863="À RADIOGRAPHIER",AM863="RÉPARÉ – À RADIOGRAPHIER",AM863="NX – RT À REFAIRE"),OR('PROGRAMME RT'!$D$5="TOUTES",B863='PROGRAMME RT'!$D$5)),1,0)</f>
        <v>0</v>
      </c>
      <c r="AP863" s="78" t="str">
        <f aca="false">IF(AO863=1,SUM(AO$7:AO863),"")</f>
        <v/>
      </c>
      <c r="AQ863" s="78" t="n">
        <f aca="false">IF(AND(OR(X863="R",X863="NX",X863="NT",X863="CO"),OR('JOINTS DE RÉPARATION'!$D$5="TOUTES",B863='JOINTS DE RÉPARATION'!$D$5),OR('JOINTS DE RÉPARATION'!$L$4="TOUS",AM863&lt;&gt;"ACCEPTÉ")),1,0)</f>
        <v>0</v>
      </c>
      <c r="AR863" s="78" t="str">
        <f aca="false">IF(AQ863=1,SUM(AQ$7:AQ863),"")</f>
        <v/>
      </c>
    </row>
    <row r="864" customFormat="false" ht="15" hidden="false" customHeight="false" outlineLevel="0" collapsed="false">
      <c r="A864" s="78" t="str">
        <f aca="false">IF(E864="","",ROW()-6)</f>
        <v/>
      </c>
      <c r="B864" s="79"/>
      <c r="C864" s="80"/>
      <c r="D864" s="80"/>
      <c r="E864" s="80"/>
      <c r="F864" s="80"/>
      <c r="G864" s="80"/>
      <c r="H864" s="80"/>
      <c r="I864" s="80"/>
      <c r="J864" s="80"/>
      <c r="K864" s="80"/>
      <c r="L864" s="81" t="str">
        <f aca="false">IF(K864="","",IFERROR(INDEX(BARDAGE!$C$7:$C$1506,MATCH(K864,BARDAGE!$B$7:$B$1506,0)),"? hors registre"))</f>
        <v/>
      </c>
      <c r="M864" s="80"/>
      <c r="N864" s="81" t="str">
        <f aca="false">IF(M864="","",IFERROR(INDEX(BARDAGE!$C$7:$C$1506,MATCH(M864,BARDAGE!$B$7:$B$1506,0)),"? hors registre"))</f>
        <v/>
      </c>
      <c r="O864" s="80"/>
      <c r="P864" s="80"/>
      <c r="Q864" s="80"/>
      <c r="R864" s="82"/>
      <c r="S864" s="82"/>
      <c r="T864" s="80"/>
      <c r="U864" s="80"/>
      <c r="V864" s="82"/>
      <c r="W864" s="80"/>
      <c r="X864" s="80"/>
      <c r="Y864" s="80"/>
      <c r="Z864" s="80"/>
      <c r="AA864" s="82"/>
      <c r="AB864" s="80"/>
      <c r="AC864" s="80"/>
      <c r="AD864" s="80"/>
      <c r="AE864" s="80"/>
      <c r="AF864" s="82"/>
      <c r="AG864" s="80"/>
      <c r="AH864" s="80"/>
      <c r="AI864" s="82"/>
      <c r="AJ864" s="79"/>
      <c r="AK864" s="78" t="str">
        <f aca="false">IF(E864="","",(X864&lt;&gt;"")+(AC864&lt;&gt;"")+(AH864&lt;&gt;""))</f>
        <v/>
      </c>
      <c r="AL864" s="81" t="str">
        <f aca="false">IF(AH864&lt;&gt;"",AH864,IF(AC864&lt;&gt;"",AC864,IF(X864&lt;&gt;"",X864,"")))</f>
        <v/>
      </c>
      <c r="AM864" s="83" t="str">
        <f aca="false">IF(E864="","",IF(R864="","À SOUDER",IF(U864="","VT EN ATTENTE",IF(U864="R","VT REJETÉ – À REPRENDRE",IF(AL864="","À RADIOGRAPHIER",IF(AL864="A","ACCEPTÉ",IF(AL864="NX","NX – RT À REFAIRE",IF(IF(AK864=1,Z864,IF(AK864=2,AE864,""))="A","RÉPARÉ – À RADIOGRAPHIER",IF(IF(AK864=1,Z864,IF(AK864=2,AE864,""))="R","VT REJETÉ – À REPRENDRE",IF(OR(AL864="CO",AL864="NT"),"COUPE – À RESOUDER","À RÉPARER"))))))))))</f>
        <v/>
      </c>
      <c r="AN864" s="81" t="str">
        <f aca="false">IF(AND(ISNUMBER(R864),OR(AM864="À RADIOGRAPHIER",AM864="RÉPARÉ – À RADIOGRAPHIER",AM864="NX – RT À REFAIRE",AM864="À RÉPARER",AM864="COUPE – À RESOUDER",AM864="VT REJETÉ – À REPRENDRE")),MAX(0,'PROGRAMME RT'!$C$4-R864),"")</f>
        <v/>
      </c>
      <c r="AO864" s="78" t="n">
        <f aca="false">IF(AND(OR(AM864="À RADIOGRAPHIER",AM864="RÉPARÉ – À RADIOGRAPHIER",AM864="NX – RT À REFAIRE"),OR('PROGRAMME RT'!$D$5="TOUTES",B864='PROGRAMME RT'!$D$5)),1,0)</f>
        <v>0</v>
      </c>
      <c r="AP864" s="78" t="str">
        <f aca="false">IF(AO864=1,SUM(AO$7:AO864),"")</f>
        <v/>
      </c>
      <c r="AQ864" s="78" t="n">
        <f aca="false">IF(AND(OR(X864="R",X864="NX",X864="NT",X864="CO"),OR('JOINTS DE RÉPARATION'!$D$5="TOUTES",B864='JOINTS DE RÉPARATION'!$D$5),OR('JOINTS DE RÉPARATION'!$L$4="TOUS",AM864&lt;&gt;"ACCEPTÉ")),1,0)</f>
        <v>0</v>
      </c>
      <c r="AR864" s="78" t="str">
        <f aca="false">IF(AQ864=1,SUM(AQ$7:AQ864),"")</f>
        <v/>
      </c>
    </row>
    <row r="865" customFormat="false" ht="15" hidden="false" customHeight="false" outlineLevel="0" collapsed="false">
      <c r="A865" s="78" t="str">
        <f aca="false">IF(E865="","",ROW()-6)</f>
        <v/>
      </c>
      <c r="B865" s="79"/>
      <c r="C865" s="80"/>
      <c r="D865" s="80"/>
      <c r="E865" s="80"/>
      <c r="F865" s="80"/>
      <c r="G865" s="80"/>
      <c r="H865" s="80"/>
      <c r="I865" s="80"/>
      <c r="J865" s="80"/>
      <c r="K865" s="80"/>
      <c r="L865" s="81" t="str">
        <f aca="false">IF(K865="","",IFERROR(INDEX(BARDAGE!$C$7:$C$1506,MATCH(K865,BARDAGE!$B$7:$B$1506,0)),"? hors registre"))</f>
        <v/>
      </c>
      <c r="M865" s="80"/>
      <c r="N865" s="81" t="str">
        <f aca="false">IF(M865="","",IFERROR(INDEX(BARDAGE!$C$7:$C$1506,MATCH(M865,BARDAGE!$B$7:$B$1506,0)),"? hors registre"))</f>
        <v/>
      </c>
      <c r="O865" s="80"/>
      <c r="P865" s="80"/>
      <c r="Q865" s="80"/>
      <c r="R865" s="82"/>
      <c r="S865" s="82"/>
      <c r="T865" s="80"/>
      <c r="U865" s="80"/>
      <c r="V865" s="82"/>
      <c r="W865" s="80"/>
      <c r="X865" s="80"/>
      <c r="Y865" s="80"/>
      <c r="Z865" s="80"/>
      <c r="AA865" s="82"/>
      <c r="AB865" s="80"/>
      <c r="AC865" s="80"/>
      <c r="AD865" s="80"/>
      <c r="AE865" s="80"/>
      <c r="AF865" s="82"/>
      <c r="AG865" s="80"/>
      <c r="AH865" s="80"/>
      <c r="AI865" s="82"/>
      <c r="AJ865" s="79"/>
      <c r="AK865" s="78" t="str">
        <f aca="false">IF(E865="","",(X865&lt;&gt;"")+(AC865&lt;&gt;"")+(AH865&lt;&gt;""))</f>
        <v/>
      </c>
      <c r="AL865" s="81" t="str">
        <f aca="false">IF(AH865&lt;&gt;"",AH865,IF(AC865&lt;&gt;"",AC865,IF(X865&lt;&gt;"",X865,"")))</f>
        <v/>
      </c>
      <c r="AM865" s="83" t="str">
        <f aca="false">IF(E865="","",IF(R865="","À SOUDER",IF(U865="","VT EN ATTENTE",IF(U865="R","VT REJETÉ – À REPRENDRE",IF(AL865="","À RADIOGRAPHIER",IF(AL865="A","ACCEPTÉ",IF(AL865="NX","NX – RT À REFAIRE",IF(IF(AK865=1,Z865,IF(AK865=2,AE865,""))="A","RÉPARÉ – À RADIOGRAPHIER",IF(IF(AK865=1,Z865,IF(AK865=2,AE865,""))="R","VT REJETÉ – À REPRENDRE",IF(OR(AL865="CO",AL865="NT"),"COUPE – À RESOUDER","À RÉPARER"))))))))))</f>
        <v/>
      </c>
      <c r="AN865" s="81" t="str">
        <f aca="false">IF(AND(ISNUMBER(R865),OR(AM865="À RADIOGRAPHIER",AM865="RÉPARÉ – À RADIOGRAPHIER",AM865="NX – RT À REFAIRE",AM865="À RÉPARER",AM865="COUPE – À RESOUDER",AM865="VT REJETÉ – À REPRENDRE")),MAX(0,'PROGRAMME RT'!$C$4-R865),"")</f>
        <v/>
      </c>
      <c r="AO865" s="78" t="n">
        <f aca="false">IF(AND(OR(AM865="À RADIOGRAPHIER",AM865="RÉPARÉ – À RADIOGRAPHIER",AM865="NX – RT À REFAIRE"),OR('PROGRAMME RT'!$D$5="TOUTES",B865='PROGRAMME RT'!$D$5)),1,0)</f>
        <v>0</v>
      </c>
      <c r="AP865" s="78" t="str">
        <f aca="false">IF(AO865=1,SUM(AO$7:AO865),"")</f>
        <v/>
      </c>
      <c r="AQ865" s="78" t="n">
        <f aca="false">IF(AND(OR(X865="R",X865="NX",X865="NT",X865="CO"),OR('JOINTS DE RÉPARATION'!$D$5="TOUTES",B865='JOINTS DE RÉPARATION'!$D$5),OR('JOINTS DE RÉPARATION'!$L$4="TOUS",AM865&lt;&gt;"ACCEPTÉ")),1,0)</f>
        <v>0</v>
      </c>
      <c r="AR865" s="78" t="str">
        <f aca="false">IF(AQ865=1,SUM(AQ$7:AQ865),"")</f>
        <v/>
      </c>
    </row>
    <row r="866" customFormat="false" ht="15" hidden="false" customHeight="false" outlineLevel="0" collapsed="false">
      <c r="A866" s="78" t="str">
        <f aca="false">IF(E866="","",ROW()-6)</f>
        <v/>
      </c>
      <c r="B866" s="79"/>
      <c r="C866" s="80"/>
      <c r="D866" s="80"/>
      <c r="E866" s="80"/>
      <c r="F866" s="80"/>
      <c r="G866" s="80"/>
      <c r="H866" s="80"/>
      <c r="I866" s="80"/>
      <c r="J866" s="80"/>
      <c r="K866" s="80"/>
      <c r="L866" s="81" t="str">
        <f aca="false">IF(K866="","",IFERROR(INDEX(BARDAGE!$C$7:$C$1506,MATCH(K866,BARDAGE!$B$7:$B$1506,0)),"? hors registre"))</f>
        <v/>
      </c>
      <c r="M866" s="80"/>
      <c r="N866" s="81" t="str">
        <f aca="false">IF(M866="","",IFERROR(INDEX(BARDAGE!$C$7:$C$1506,MATCH(M866,BARDAGE!$B$7:$B$1506,0)),"? hors registre"))</f>
        <v/>
      </c>
      <c r="O866" s="80"/>
      <c r="P866" s="80"/>
      <c r="Q866" s="80"/>
      <c r="R866" s="82"/>
      <c r="S866" s="82"/>
      <c r="T866" s="80"/>
      <c r="U866" s="80"/>
      <c r="V866" s="82"/>
      <c r="W866" s="80"/>
      <c r="X866" s="80"/>
      <c r="Y866" s="80"/>
      <c r="Z866" s="80"/>
      <c r="AA866" s="82"/>
      <c r="AB866" s="80"/>
      <c r="AC866" s="80"/>
      <c r="AD866" s="80"/>
      <c r="AE866" s="80"/>
      <c r="AF866" s="82"/>
      <c r="AG866" s="80"/>
      <c r="AH866" s="80"/>
      <c r="AI866" s="82"/>
      <c r="AJ866" s="79"/>
      <c r="AK866" s="78" t="str">
        <f aca="false">IF(E866="","",(X866&lt;&gt;"")+(AC866&lt;&gt;"")+(AH866&lt;&gt;""))</f>
        <v/>
      </c>
      <c r="AL866" s="81" t="str">
        <f aca="false">IF(AH866&lt;&gt;"",AH866,IF(AC866&lt;&gt;"",AC866,IF(X866&lt;&gt;"",X866,"")))</f>
        <v/>
      </c>
      <c r="AM866" s="83" t="str">
        <f aca="false">IF(E866="","",IF(R866="","À SOUDER",IF(U866="","VT EN ATTENTE",IF(U866="R","VT REJETÉ – À REPRENDRE",IF(AL866="","À RADIOGRAPHIER",IF(AL866="A","ACCEPTÉ",IF(AL866="NX","NX – RT À REFAIRE",IF(IF(AK866=1,Z866,IF(AK866=2,AE866,""))="A","RÉPARÉ – À RADIOGRAPHIER",IF(IF(AK866=1,Z866,IF(AK866=2,AE866,""))="R","VT REJETÉ – À REPRENDRE",IF(OR(AL866="CO",AL866="NT"),"COUPE – À RESOUDER","À RÉPARER"))))))))))</f>
        <v/>
      </c>
      <c r="AN866" s="81" t="str">
        <f aca="false">IF(AND(ISNUMBER(R866),OR(AM866="À RADIOGRAPHIER",AM866="RÉPARÉ – À RADIOGRAPHIER",AM866="NX – RT À REFAIRE",AM866="À RÉPARER",AM866="COUPE – À RESOUDER",AM866="VT REJETÉ – À REPRENDRE")),MAX(0,'PROGRAMME RT'!$C$4-R866),"")</f>
        <v/>
      </c>
      <c r="AO866" s="78" t="n">
        <f aca="false">IF(AND(OR(AM866="À RADIOGRAPHIER",AM866="RÉPARÉ – À RADIOGRAPHIER",AM866="NX – RT À REFAIRE"),OR('PROGRAMME RT'!$D$5="TOUTES",B866='PROGRAMME RT'!$D$5)),1,0)</f>
        <v>0</v>
      </c>
      <c r="AP866" s="78" t="str">
        <f aca="false">IF(AO866=1,SUM(AO$7:AO866),"")</f>
        <v/>
      </c>
      <c r="AQ866" s="78" t="n">
        <f aca="false">IF(AND(OR(X866="R",X866="NX",X866="NT",X866="CO"),OR('JOINTS DE RÉPARATION'!$D$5="TOUTES",B866='JOINTS DE RÉPARATION'!$D$5),OR('JOINTS DE RÉPARATION'!$L$4="TOUS",AM866&lt;&gt;"ACCEPTÉ")),1,0)</f>
        <v>0</v>
      </c>
      <c r="AR866" s="78" t="str">
        <f aca="false">IF(AQ866=1,SUM(AQ$7:AQ866),"")</f>
        <v/>
      </c>
    </row>
    <row r="867" customFormat="false" ht="15" hidden="false" customHeight="false" outlineLevel="0" collapsed="false">
      <c r="A867" s="78" t="str">
        <f aca="false">IF(E867="","",ROW()-6)</f>
        <v/>
      </c>
      <c r="B867" s="79"/>
      <c r="C867" s="80"/>
      <c r="D867" s="80"/>
      <c r="E867" s="80"/>
      <c r="F867" s="80"/>
      <c r="G867" s="80"/>
      <c r="H867" s="80"/>
      <c r="I867" s="80"/>
      <c r="J867" s="80"/>
      <c r="K867" s="80"/>
      <c r="L867" s="81" t="str">
        <f aca="false">IF(K867="","",IFERROR(INDEX(BARDAGE!$C$7:$C$1506,MATCH(K867,BARDAGE!$B$7:$B$1506,0)),"? hors registre"))</f>
        <v/>
      </c>
      <c r="M867" s="80"/>
      <c r="N867" s="81" t="str">
        <f aca="false">IF(M867="","",IFERROR(INDEX(BARDAGE!$C$7:$C$1506,MATCH(M867,BARDAGE!$B$7:$B$1506,0)),"? hors registre"))</f>
        <v/>
      </c>
      <c r="O867" s="80"/>
      <c r="P867" s="80"/>
      <c r="Q867" s="80"/>
      <c r="R867" s="82"/>
      <c r="S867" s="82"/>
      <c r="T867" s="80"/>
      <c r="U867" s="80"/>
      <c r="V867" s="82"/>
      <c r="W867" s="80"/>
      <c r="X867" s="80"/>
      <c r="Y867" s="80"/>
      <c r="Z867" s="80"/>
      <c r="AA867" s="82"/>
      <c r="AB867" s="80"/>
      <c r="AC867" s="80"/>
      <c r="AD867" s="80"/>
      <c r="AE867" s="80"/>
      <c r="AF867" s="82"/>
      <c r="AG867" s="80"/>
      <c r="AH867" s="80"/>
      <c r="AI867" s="82"/>
      <c r="AJ867" s="79"/>
      <c r="AK867" s="78" t="str">
        <f aca="false">IF(E867="","",(X867&lt;&gt;"")+(AC867&lt;&gt;"")+(AH867&lt;&gt;""))</f>
        <v/>
      </c>
      <c r="AL867" s="81" t="str">
        <f aca="false">IF(AH867&lt;&gt;"",AH867,IF(AC867&lt;&gt;"",AC867,IF(X867&lt;&gt;"",X867,"")))</f>
        <v/>
      </c>
      <c r="AM867" s="83" t="str">
        <f aca="false">IF(E867="","",IF(R867="","À SOUDER",IF(U867="","VT EN ATTENTE",IF(U867="R","VT REJETÉ – À REPRENDRE",IF(AL867="","À RADIOGRAPHIER",IF(AL867="A","ACCEPTÉ",IF(AL867="NX","NX – RT À REFAIRE",IF(IF(AK867=1,Z867,IF(AK867=2,AE867,""))="A","RÉPARÉ – À RADIOGRAPHIER",IF(IF(AK867=1,Z867,IF(AK867=2,AE867,""))="R","VT REJETÉ – À REPRENDRE",IF(OR(AL867="CO",AL867="NT"),"COUPE – À RESOUDER","À RÉPARER"))))))))))</f>
        <v/>
      </c>
      <c r="AN867" s="81" t="str">
        <f aca="false">IF(AND(ISNUMBER(R867),OR(AM867="À RADIOGRAPHIER",AM867="RÉPARÉ – À RADIOGRAPHIER",AM867="NX – RT À REFAIRE",AM867="À RÉPARER",AM867="COUPE – À RESOUDER",AM867="VT REJETÉ – À REPRENDRE")),MAX(0,'PROGRAMME RT'!$C$4-R867),"")</f>
        <v/>
      </c>
      <c r="AO867" s="78" t="n">
        <f aca="false">IF(AND(OR(AM867="À RADIOGRAPHIER",AM867="RÉPARÉ – À RADIOGRAPHIER",AM867="NX – RT À REFAIRE"),OR('PROGRAMME RT'!$D$5="TOUTES",B867='PROGRAMME RT'!$D$5)),1,0)</f>
        <v>0</v>
      </c>
      <c r="AP867" s="78" t="str">
        <f aca="false">IF(AO867=1,SUM(AO$7:AO867),"")</f>
        <v/>
      </c>
      <c r="AQ867" s="78" t="n">
        <f aca="false">IF(AND(OR(X867="R",X867="NX",X867="NT",X867="CO"),OR('JOINTS DE RÉPARATION'!$D$5="TOUTES",B867='JOINTS DE RÉPARATION'!$D$5),OR('JOINTS DE RÉPARATION'!$L$4="TOUS",AM867&lt;&gt;"ACCEPTÉ")),1,0)</f>
        <v>0</v>
      </c>
      <c r="AR867" s="78" t="str">
        <f aca="false">IF(AQ867=1,SUM(AQ$7:AQ867),"")</f>
        <v/>
      </c>
    </row>
    <row r="868" customFormat="false" ht="15" hidden="false" customHeight="false" outlineLevel="0" collapsed="false">
      <c r="A868" s="78" t="str">
        <f aca="false">IF(E868="","",ROW()-6)</f>
        <v/>
      </c>
      <c r="B868" s="79"/>
      <c r="C868" s="80"/>
      <c r="D868" s="80"/>
      <c r="E868" s="80"/>
      <c r="F868" s="80"/>
      <c r="G868" s="80"/>
      <c r="H868" s="80"/>
      <c r="I868" s="80"/>
      <c r="J868" s="80"/>
      <c r="K868" s="80"/>
      <c r="L868" s="81" t="str">
        <f aca="false">IF(K868="","",IFERROR(INDEX(BARDAGE!$C$7:$C$1506,MATCH(K868,BARDAGE!$B$7:$B$1506,0)),"? hors registre"))</f>
        <v/>
      </c>
      <c r="M868" s="80"/>
      <c r="N868" s="81" t="str">
        <f aca="false">IF(M868="","",IFERROR(INDEX(BARDAGE!$C$7:$C$1506,MATCH(M868,BARDAGE!$B$7:$B$1506,0)),"? hors registre"))</f>
        <v/>
      </c>
      <c r="O868" s="80"/>
      <c r="P868" s="80"/>
      <c r="Q868" s="80"/>
      <c r="R868" s="82"/>
      <c r="S868" s="82"/>
      <c r="T868" s="80"/>
      <c r="U868" s="80"/>
      <c r="V868" s="82"/>
      <c r="W868" s="80"/>
      <c r="X868" s="80"/>
      <c r="Y868" s="80"/>
      <c r="Z868" s="80"/>
      <c r="AA868" s="82"/>
      <c r="AB868" s="80"/>
      <c r="AC868" s="80"/>
      <c r="AD868" s="80"/>
      <c r="AE868" s="80"/>
      <c r="AF868" s="82"/>
      <c r="AG868" s="80"/>
      <c r="AH868" s="80"/>
      <c r="AI868" s="82"/>
      <c r="AJ868" s="79"/>
      <c r="AK868" s="78" t="str">
        <f aca="false">IF(E868="","",(X868&lt;&gt;"")+(AC868&lt;&gt;"")+(AH868&lt;&gt;""))</f>
        <v/>
      </c>
      <c r="AL868" s="81" t="str">
        <f aca="false">IF(AH868&lt;&gt;"",AH868,IF(AC868&lt;&gt;"",AC868,IF(X868&lt;&gt;"",X868,"")))</f>
        <v/>
      </c>
      <c r="AM868" s="83" t="str">
        <f aca="false">IF(E868="","",IF(R868="","À SOUDER",IF(U868="","VT EN ATTENTE",IF(U868="R","VT REJETÉ – À REPRENDRE",IF(AL868="","À RADIOGRAPHIER",IF(AL868="A","ACCEPTÉ",IF(AL868="NX","NX – RT À REFAIRE",IF(IF(AK868=1,Z868,IF(AK868=2,AE868,""))="A","RÉPARÉ – À RADIOGRAPHIER",IF(IF(AK868=1,Z868,IF(AK868=2,AE868,""))="R","VT REJETÉ – À REPRENDRE",IF(OR(AL868="CO",AL868="NT"),"COUPE – À RESOUDER","À RÉPARER"))))))))))</f>
        <v/>
      </c>
      <c r="AN868" s="81" t="str">
        <f aca="false">IF(AND(ISNUMBER(R868),OR(AM868="À RADIOGRAPHIER",AM868="RÉPARÉ – À RADIOGRAPHIER",AM868="NX – RT À REFAIRE",AM868="À RÉPARER",AM868="COUPE – À RESOUDER",AM868="VT REJETÉ – À REPRENDRE")),MAX(0,'PROGRAMME RT'!$C$4-R868),"")</f>
        <v/>
      </c>
      <c r="AO868" s="78" t="n">
        <f aca="false">IF(AND(OR(AM868="À RADIOGRAPHIER",AM868="RÉPARÉ – À RADIOGRAPHIER",AM868="NX – RT À REFAIRE"),OR('PROGRAMME RT'!$D$5="TOUTES",B868='PROGRAMME RT'!$D$5)),1,0)</f>
        <v>0</v>
      </c>
      <c r="AP868" s="78" t="str">
        <f aca="false">IF(AO868=1,SUM(AO$7:AO868),"")</f>
        <v/>
      </c>
      <c r="AQ868" s="78" t="n">
        <f aca="false">IF(AND(OR(X868="R",X868="NX",X868="NT",X868="CO"),OR('JOINTS DE RÉPARATION'!$D$5="TOUTES",B868='JOINTS DE RÉPARATION'!$D$5),OR('JOINTS DE RÉPARATION'!$L$4="TOUS",AM868&lt;&gt;"ACCEPTÉ")),1,0)</f>
        <v>0</v>
      </c>
      <c r="AR868" s="78" t="str">
        <f aca="false">IF(AQ868=1,SUM(AQ$7:AQ868),"")</f>
        <v/>
      </c>
    </row>
    <row r="869" customFormat="false" ht="15" hidden="false" customHeight="false" outlineLevel="0" collapsed="false">
      <c r="A869" s="78" t="str">
        <f aca="false">IF(E869="","",ROW()-6)</f>
        <v/>
      </c>
      <c r="B869" s="79"/>
      <c r="C869" s="80"/>
      <c r="D869" s="80"/>
      <c r="E869" s="80"/>
      <c r="F869" s="80"/>
      <c r="G869" s="80"/>
      <c r="H869" s="80"/>
      <c r="I869" s="80"/>
      <c r="J869" s="80"/>
      <c r="K869" s="80"/>
      <c r="L869" s="81" t="str">
        <f aca="false">IF(K869="","",IFERROR(INDEX(BARDAGE!$C$7:$C$1506,MATCH(K869,BARDAGE!$B$7:$B$1506,0)),"? hors registre"))</f>
        <v/>
      </c>
      <c r="M869" s="80"/>
      <c r="N869" s="81" t="str">
        <f aca="false">IF(M869="","",IFERROR(INDEX(BARDAGE!$C$7:$C$1506,MATCH(M869,BARDAGE!$B$7:$B$1506,0)),"? hors registre"))</f>
        <v/>
      </c>
      <c r="O869" s="80"/>
      <c r="P869" s="80"/>
      <c r="Q869" s="80"/>
      <c r="R869" s="82"/>
      <c r="S869" s="82"/>
      <c r="T869" s="80"/>
      <c r="U869" s="80"/>
      <c r="V869" s="82"/>
      <c r="W869" s="80"/>
      <c r="X869" s="80"/>
      <c r="Y869" s="80"/>
      <c r="Z869" s="80"/>
      <c r="AA869" s="82"/>
      <c r="AB869" s="80"/>
      <c r="AC869" s="80"/>
      <c r="AD869" s="80"/>
      <c r="AE869" s="80"/>
      <c r="AF869" s="82"/>
      <c r="AG869" s="80"/>
      <c r="AH869" s="80"/>
      <c r="AI869" s="82"/>
      <c r="AJ869" s="79"/>
      <c r="AK869" s="78" t="str">
        <f aca="false">IF(E869="","",(X869&lt;&gt;"")+(AC869&lt;&gt;"")+(AH869&lt;&gt;""))</f>
        <v/>
      </c>
      <c r="AL869" s="81" t="str">
        <f aca="false">IF(AH869&lt;&gt;"",AH869,IF(AC869&lt;&gt;"",AC869,IF(X869&lt;&gt;"",X869,"")))</f>
        <v/>
      </c>
      <c r="AM869" s="83" t="str">
        <f aca="false">IF(E869="","",IF(R869="","À SOUDER",IF(U869="","VT EN ATTENTE",IF(U869="R","VT REJETÉ – À REPRENDRE",IF(AL869="","À RADIOGRAPHIER",IF(AL869="A","ACCEPTÉ",IF(AL869="NX","NX – RT À REFAIRE",IF(IF(AK869=1,Z869,IF(AK869=2,AE869,""))="A","RÉPARÉ – À RADIOGRAPHIER",IF(IF(AK869=1,Z869,IF(AK869=2,AE869,""))="R","VT REJETÉ – À REPRENDRE",IF(OR(AL869="CO",AL869="NT"),"COUPE – À RESOUDER","À RÉPARER"))))))))))</f>
        <v/>
      </c>
      <c r="AN869" s="81" t="str">
        <f aca="false">IF(AND(ISNUMBER(R869),OR(AM869="À RADIOGRAPHIER",AM869="RÉPARÉ – À RADIOGRAPHIER",AM869="NX – RT À REFAIRE",AM869="À RÉPARER",AM869="COUPE – À RESOUDER",AM869="VT REJETÉ – À REPRENDRE")),MAX(0,'PROGRAMME RT'!$C$4-R869),"")</f>
        <v/>
      </c>
      <c r="AO869" s="78" t="n">
        <f aca="false">IF(AND(OR(AM869="À RADIOGRAPHIER",AM869="RÉPARÉ – À RADIOGRAPHIER",AM869="NX – RT À REFAIRE"),OR('PROGRAMME RT'!$D$5="TOUTES",B869='PROGRAMME RT'!$D$5)),1,0)</f>
        <v>0</v>
      </c>
      <c r="AP869" s="78" t="str">
        <f aca="false">IF(AO869=1,SUM(AO$7:AO869),"")</f>
        <v/>
      </c>
      <c r="AQ869" s="78" t="n">
        <f aca="false">IF(AND(OR(X869="R",X869="NX",X869="NT",X869="CO"),OR('JOINTS DE RÉPARATION'!$D$5="TOUTES",B869='JOINTS DE RÉPARATION'!$D$5),OR('JOINTS DE RÉPARATION'!$L$4="TOUS",AM869&lt;&gt;"ACCEPTÉ")),1,0)</f>
        <v>0</v>
      </c>
      <c r="AR869" s="78" t="str">
        <f aca="false">IF(AQ869=1,SUM(AQ$7:AQ869),"")</f>
        <v/>
      </c>
    </row>
    <row r="870" customFormat="false" ht="15" hidden="false" customHeight="false" outlineLevel="0" collapsed="false">
      <c r="A870" s="78" t="str">
        <f aca="false">IF(E870="","",ROW()-6)</f>
        <v/>
      </c>
      <c r="B870" s="79"/>
      <c r="C870" s="80"/>
      <c r="D870" s="80"/>
      <c r="E870" s="80"/>
      <c r="F870" s="80"/>
      <c r="G870" s="80"/>
      <c r="H870" s="80"/>
      <c r="I870" s="80"/>
      <c r="J870" s="80"/>
      <c r="K870" s="80"/>
      <c r="L870" s="81" t="str">
        <f aca="false">IF(K870="","",IFERROR(INDEX(BARDAGE!$C$7:$C$1506,MATCH(K870,BARDAGE!$B$7:$B$1506,0)),"? hors registre"))</f>
        <v/>
      </c>
      <c r="M870" s="80"/>
      <c r="N870" s="81" t="str">
        <f aca="false">IF(M870="","",IFERROR(INDEX(BARDAGE!$C$7:$C$1506,MATCH(M870,BARDAGE!$B$7:$B$1506,0)),"? hors registre"))</f>
        <v/>
      </c>
      <c r="O870" s="80"/>
      <c r="P870" s="80"/>
      <c r="Q870" s="80"/>
      <c r="R870" s="82"/>
      <c r="S870" s="82"/>
      <c r="T870" s="80"/>
      <c r="U870" s="80"/>
      <c r="V870" s="82"/>
      <c r="W870" s="80"/>
      <c r="X870" s="80"/>
      <c r="Y870" s="80"/>
      <c r="Z870" s="80"/>
      <c r="AA870" s="82"/>
      <c r="AB870" s="80"/>
      <c r="AC870" s="80"/>
      <c r="AD870" s="80"/>
      <c r="AE870" s="80"/>
      <c r="AF870" s="82"/>
      <c r="AG870" s="80"/>
      <c r="AH870" s="80"/>
      <c r="AI870" s="82"/>
      <c r="AJ870" s="79"/>
      <c r="AK870" s="78" t="str">
        <f aca="false">IF(E870="","",(X870&lt;&gt;"")+(AC870&lt;&gt;"")+(AH870&lt;&gt;""))</f>
        <v/>
      </c>
      <c r="AL870" s="81" t="str">
        <f aca="false">IF(AH870&lt;&gt;"",AH870,IF(AC870&lt;&gt;"",AC870,IF(X870&lt;&gt;"",X870,"")))</f>
        <v/>
      </c>
      <c r="AM870" s="83" t="str">
        <f aca="false">IF(E870="","",IF(R870="","À SOUDER",IF(U870="","VT EN ATTENTE",IF(U870="R","VT REJETÉ – À REPRENDRE",IF(AL870="","À RADIOGRAPHIER",IF(AL870="A","ACCEPTÉ",IF(AL870="NX","NX – RT À REFAIRE",IF(IF(AK870=1,Z870,IF(AK870=2,AE870,""))="A","RÉPARÉ – À RADIOGRAPHIER",IF(IF(AK870=1,Z870,IF(AK870=2,AE870,""))="R","VT REJETÉ – À REPRENDRE",IF(OR(AL870="CO",AL870="NT"),"COUPE – À RESOUDER","À RÉPARER"))))))))))</f>
        <v/>
      </c>
      <c r="AN870" s="81" t="str">
        <f aca="false">IF(AND(ISNUMBER(R870),OR(AM870="À RADIOGRAPHIER",AM870="RÉPARÉ – À RADIOGRAPHIER",AM870="NX – RT À REFAIRE",AM870="À RÉPARER",AM870="COUPE – À RESOUDER",AM870="VT REJETÉ – À REPRENDRE")),MAX(0,'PROGRAMME RT'!$C$4-R870),"")</f>
        <v/>
      </c>
      <c r="AO870" s="78" t="n">
        <f aca="false">IF(AND(OR(AM870="À RADIOGRAPHIER",AM870="RÉPARÉ – À RADIOGRAPHIER",AM870="NX – RT À REFAIRE"),OR('PROGRAMME RT'!$D$5="TOUTES",B870='PROGRAMME RT'!$D$5)),1,0)</f>
        <v>0</v>
      </c>
      <c r="AP870" s="78" t="str">
        <f aca="false">IF(AO870=1,SUM(AO$7:AO870),"")</f>
        <v/>
      </c>
      <c r="AQ870" s="78" t="n">
        <f aca="false">IF(AND(OR(X870="R",X870="NX",X870="NT",X870="CO"),OR('JOINTS DE RÉPARATION'!$D$5="TOUTES",B870='JOINTS DE RÉPARATION'!$D$5),OR('JOINTS DE RÉPARATION'!$L$4="TOUS",AM870&lt;&gt;"ACCEPTÉ")),1,0)</f>
        <v>0</v>
      </c>
      <c r="AR870" s="78" t="str">
        <f aca="false">IF(AQ870=1,SUM(AQ$7:AQ870),"")</f>
        <v/>
      </c>
    </row>
    <row r="871" customFormat="false" ht="15" hidden="false" customHeight="false" outlineLevel="0" collapsed="false">
      <c r="A871" s="78" t="str">
        <f aca="false">IF(E871="","",ROW()-6)</f>
        <v/>
      </c>
      <c r="B871" s="79"/>
      <c r="C871" s="80"/>
      <c r="D871" s="80"/>
      <c r="E871" s="80"/>
      <c r="F871" s="80"/>
      <c r="G871" s="80"/>
      <c r="H871" s="80"/>
      <c r="I871" s="80"/>
      <c r="J871" s="80"/>
      <c r="K871" s="80"/>
      <c r="L871" s="81" t="str">
        <f aca="false">IF(K871="","",IFERROR(INDEX(BARDAGE!$C$7:$C$1506,MATCH(K871,BARDAGE!$B$7:$B$1506,0)),"? hors registre"))</f>
        <v/>
      </c>
      <c r="M871" s="80"/>
      <c r="N871" s="81" t="str">
        <f aca="false">IF(M871="","",IFERROR(INDEX(BARDAGE!$C$7:$C$1506,MATCH(M871,BARDAGE!$B$7:$B$1506,0)),"? hors registre"))</f>
        <v/>
      </c>
      <c r="O871" s="80"/>
      <c r="P871" s="80"/>
      <c r="Q871" s="80"/>
      <c r="R871" s="82"/>
      <c r="S871" s="82"/>
      <c r="T871" s="80"/>
      <c r="U871" s="80"/>
      <c r="V871" s="82"/>
      <c r="W871" s="80"/>
      <c r="X871" s="80"/>
      <c r="Y871" s="80"/>
      <c r="Z871" s="80"/>
      <c r="AA871" s="82"/>
      <c r="AB871" s="80"/>
      <c r="AC871" s="80"/>
      <c r="AD871" s="80"/>
      <c r="AE871" s="80"/>
      <c r="AF871" s="82"/>
      <c r="AG871" s="80"/>
      <c r="AH871" s="80"/>
      <c r="AI871" s="82"/>
      <c r="AJ871" s="79"/>
      <c r="AK871" s="78" t="str">
        <f aca="false">IF(E871="","",(X871&lt;&gt;"")+(AC871&lt;&gt;"")+(AH871&lt;&gt;""))</f>
        <v/>
      </c>
      <c r="AL871" s="81" t="str">
        <f aca="false">IF(AH871&lt;&gt;"",AH871,IF(AC871&lt;&gt;"",AC871,IF(X871&lt;&gt;"",X871,"")))</f>
        <v/>
      </c>
      <c r="AM871" s="83" t="str">
        <f aca="false">IF(E871="","",IF(R871="","À SOUDER",IF(U871="","VT EN ATTENTE",IF(U871="R","VT REJETÉ – À REPRENDRE",IF(AL871="","À RADIOGRAPHIER",IF(AL871="A","ACCEPTÉ",IF(AL871="NX","NX – RT À REFAIRE",IF(IF(AK871=1,Z871,IF(AK871=2,AE871,""))="A","RÉPARÉ – À RADIOGRAPHIER",IF(IF(AK871=1,Z871,IF(AK871=2,AE871,""))="R","VT REJETÉ – À REPRENDRE",IF(OR(AL871="CO",AL871="NT"),"COUPE – À RESOUDER","À RÉPARER"))))))))))</f>
        <v/>
      </c>
      <c r="AN871" s="81" t="str">
        <f aca="false">IF(AND(ISNUMBER(R871),OR(AM871="À RADIOGRAPHIER",AM871="RÉPARÉ – À RADIOGRAPHIER",AM871="NX – RT À REFAIRE",AM871="À RÉPARER",AM871="COUPE – À RESOUDER",AM871="VT REJETÉ – À REPRENDRE")),MAX(0,'PROGRAMME RT'!$C$4-R871),"")</f>
        <v/>
      </c>
      <c r="AO871" s="78" t="n">
        <f aca="false">IF(AND(OR(AM871="À RADIOGRAPHIER",AM871="RÉPARÉ – À RADIOGRAPHIER",AM871="NX – RT À REFAIRE"),OR('PROGRAMME RT'!$D$5="TOUTES",B871='PROGRAMME RT'!$D$5)),1,0)</f>
        <v>0</v>
      </c>
      <c r="AP871" s="78" t="str">
        <f aca="false">IF(AO871=1,SUM(AO$7:AO871),"")</f>
        <v/>
      </c>
      <c r="AQ871" s="78" t="n">
        <f aca="false">IF(AND(OR(X871="R",X871="NX",X871="NT",X871="CO"),OR('JOINTS DE RÉPARATION'!$D$5="TOUTES",B871='JOINTS DE RÉPARATION'!$D$5),OR('JOINTS DE RÉPARATION'!$L$4="TOUS",AM871&lt;&gt;"ACCEPTÉ")),1,0)</f>
        <v>0</v>
      </c>
      <c r="AR871" s="78" t="str">
        <f aca="false">IF(AQ871=1,SUM(AQ$7:AQ871),"")</f>
        <v/>
      </c>
    </row>
    <row r="872" customFormat="false" ht="15" hidden="false" customHeight="false" outlineLevel="0" collapsed="false">
      <c r="A872" s="78" t="str">
        <f aca="false">IF(E872="","",ROW()-6)</f>
        <v/>
      </c>
      <c r="B872" s="79"/>
      <c r="C872" s="80"/>
      <c r="D872" s="80"/>
      <c r="E872" s="80"/>
      <c r="F872" s="80"/>
      <c r="G872" s="80"/>
      <c r="H872" s="80"/>
      <c r="I872" s="80"/>
      <c r="J872" s="80"/>
      <c r="K872" s="80"/>
      <c r="L872" s="81" t="str">
        <f aca="false">IF(K872="","",IFERROR(INDEX(BARDAGE!$C$7:$C$1506,MATCH(K872,BARDAGE!$B$7:$B$1506,0)),"? hors registre"))</f>
        <v/>
      </c>
      <c r="M872" s="80"/>
      <c r="N872" s="81" t="str">
        <f aca="false">IF(M872="","",IFERROR(INDEX(BARDAGE!$C$7:$C$1506,MATCH(M872,BARDAGE!$B$7:$B$1506,0)),"? hors registre"))</f>
        <v/>
      </c>
      <c r="O872" s="80"/>
      <c r="P872" s="80"/>
      <c r="Q872" s="80"/>
      <c r="R872" s="82"/>
      <c r="S872" s="82"/>
      <c r="T872" s="80"/>
      <c r="U872" s="80"/>
      <c r="V872" s="82"/>
      <c r="W872" s="80"/>
      <c r="X872" s="80"/>
      <c r="Y872" s="80"/>
      <c r="Z872" s="80"/>
      <c r="AA872" s="82"/>
      <c r="AB872" s="80"/>
      <c r="AC872" s="80"/>
      <c r="AD872" s="80"/>
      <c r="AE872" s="80"/>
      <c r="AF872" s="82"/>
      <c r="AG872" s="80"/>
      <c r="AH872" s="80"/>
      <c r="AI872" s="82"/>
      <c r="AJ872" s="79"/>
      <c r="AK872" s="78" t="str">
        <f aca="false">IF(E872="","",(X872&lt;&gt;"")+(AC872&lt;&gt;"")+(AH872&lt;&gt;""))</f>
        <v/>
      </c>
      <c r="AL872" s="81" t="str">
        <f aca="false">IF(AH872&lt;&gt;"",AH872,IF(AC872&lt;&gt;"",AC872,IF(X872&lt;&gt;"",X872,"")))</f>
        <v/>
      </c>
      <c r="AM872" s="83" t="str">
        <f aca="false">IF(E872="","",IF(R872="","À SOUDER",IF(U872="","VT EN ATTENTE",IF(U872="R","VT REJETÉ – À REPRENDRE",IF(AL872="","À RADIOGRAPHIER",IF(AL872="A","ACCEPTÉ",IF(AL872="NX","NX – RT À REFAIRE",IF(IF(AK872=1,Z872,IF(AK872=2,AE872,""))="A","RÉPARÉ – À RADIOGRAPHIER",IF(IF(AK872=1,Z872,IF(AK872=2,AE872,""))="R","VT REJETÉ – À REPRENDRE",IF(OR(AL872="CO",AL872="NT"),"COUPE – À RESOUDER","À RÉPARER"))))))))))</f>
        <v/>
      </c>
      <c r="AN872" s="81" t="str">
        <f aca="false">IF(AND(ISNUMBER(R872),OR(AM872="À RADIOGRAPHIER",AM872="RÉPARÉ – À RADIOGRAPHIER",AM872="NX – RT À REFAIRE",AM872="À RÉPARER",AM872="COUPE – À RESOUDER",AM872="VT REJETÉ – À REPRENDRE")),MAX(0,'PROGRAMME RT'!$C$4-R872),"")</f>
        <v/>
      </c>
      <c r="AO872" s="78" t="n">
        <f aca="false">IF(AND(OR(AM872="À RADIOGRAPHIER",AM872="RÉPARÉ – À RADIOGRAPHIER",AM872="NX – RT À REFAIRE"),OR('PROGRAMME RT'!$D$5="TOUTES",B872='PROGRAMME RT'!$D$5)),1,0)</f>
        <v>0</v>
      </c>
      <c r="AP872" s="78" t="str">
        <f aca="false">IF(AO872=1,SUM(AO$7:AO872),"")</f>
        <v/>
      </c>
      <c r="AQ872" s="78" t="n">
        <f aca="false">IF(AND(OR(X872="R",X872="NX",X872="NT",X872="CO"),OR('JOINTS DE RÉPARATION'!$D$5="TOUTES",B872='JOINTS DE RÉPARATION'!$D$5),OR('JOINTS DE RÉPARATION'!$L$4="TOUS",AM872&lt;&gt;"ACCEPTÉ")),1,0)</f>
        <v>0</v>
      </c>
      <c r="AR872" s="78" t="str">
        <f aca="false">IF(AQ872=1,SUM(AQ$7:AQ872),"")</f>
        <v/>
      </c>
    </row>
    <row r="873" customFormat="false" ht="15" hidden="false" customHeight="false" outlineLevel="0" collapsed="false">
      <c r="A873" s="78" t="str">
        <f aca="false">IF(E873="","",ROW()-6)</f>
        <v/>
      </c>
      <c r="B873" s="79"/>
      <c r="C873" s="80"/>
      <c r="D873" s="80"/>
      <c r="E873" s="80"/>
      <c r="F873" s="80"/>
      <c r="G873" s="80"/>
      <c r="H873" s="80"/>
      <c r="I873" s="80"/>
      <c r="J873" s="80"/>
      <c r="K873" s="80"/>
      <c r="L873" s="81" t="str">
        <f aca="false">IF(K873="","",IFERROR(INDEX(BARDAGE!$C$7:$C$1506,MATCH(K873,BARDAGE!$B$7:$B$1506,0)),"? hors registre"))</f>
        <v/>
      </c>
      <c r="M873" s="80"/>
      <c r="N873" s="81" t="str">
        <f aca="false">IF(M873="","",IFERROR(INDEX(BARDAGE!$C$7:$C$1506,MATCH(M873,BARDAGE!$B$7:$B$1506,0)),"? hors registre"))</f>
        <v/>
      </c>
      <c r="O873" s="80"/>
      <c r="P873" s="80"/>
      <c r="Q873" s="80"/>
      <c r="R873" s="82"/>
      <c r="S873" s="82"/>
      <c r="T873" s="80"/>
      <c r="U873" s="80"/>
      <c r="V873" s="82"/>
      <c r="W873" s="80"/>
      <c r="X873" s="80"/>
      <c r="Y873" s="80"/>
      <c r="Z873" s="80"/>
      <c r="AA873" s="82"/>
      <c r="AB873" s="80"/>
      <c r="AC873" s="80"/>
      <c r="AD873" s="80"/>
      <c r="AE873" s="80"/>
      <c r="AF873" s="82"/>
      <c r="AG873" s="80"/>
      <c r="AH873" s="80"/>
      <c r="AI873" s="82"/>
      <c r="AJ873" s="79"/>
      <c r="AK873" s="78" t="str">
        <f aca="false">IF(E873="","",(X873&lt;&gt;"")+(AC873&lt;&gt;"")+(AH873&lt;&gt;""))</f>
        <v/>
      </c>
      <c r="AL873" s="81" t="str">
        <f aca="false">IF(AH873&lt;&gt;"",AH873,IF(AC873&lt;&gt;"",AC873,IF(X873&lt;&gt;"",X873,"")))</f>
        <v/>
      </c>
      <c r="AM873" s="83" t="str">
        <f aca="false">IF(E873="","",IF(R873="","À SOUDER",IF(U873="","VT EN ATTENTE",IF(U873="R","VT REJETÉ – À REPRENDRE",IF(AL873="","À RADIOGRAPHIER",IF(AL873="A","ACCEPTÉ",IF(AL873="NX","NX – RT À REFAIRE",IF(IF(AK873=1,Z873,IF(AK873=2,AE873,""))="A","RÉPARÉ – À RADIOGRAPHIER",IF(IF(AK873=1,Z873,IF(AK873=2,AE873,""))="R","VT REJETÉ – À REPRENDRE",IF(OR(AL873="CO",AL873="NT"),"COUPE – À RESOUDER","À RÉPARER"))))))))))</f>
        <v/>
      </c>
      <c r="AN873" s="81" t="str">
        <f aca="false">IF(AND(ISNUMBER(R873),OR(AM873="À RADIOGRAPHIER",AM873="RÉPARÉ – À RADIOGRAPHIER",AM873="NX – RT À REFAIRE",AM873="À RÉPARER",AM873="COUPE – À RESOUDER",AM873="VT REJETÉ – À REPRENDRE")),MAX(0,'PROGRAMME RT'!$C$4-R873),"")</f>
        <v/>
      </c>
      <c r="AO873" s="78" t="n">
        <f aca="false">IF(AND(OR(AM873="À RADIOGRAPHIER",AM873="RÉPARÉ – À RADIOGRAPHIER",AM873="NX – RT À REFAIRE"),OR('PROGRAMME RT'!$D$5="TOUTES",B873='PROGRAMME RT'!$D$5)),1,0)</f>
        <v>0</v>
      </c>
      <c r="AP873" s="78" t="str">
        <f aca="false">IF(AO873=1,SUM(AO$7:AO873),"")</f>
        <v/>
      </c>
      <c r="AQ873" s="78" t="n">
        <f aca="false">IF(AND(OR(X873="R",X873="NX",X873="NT",X873="CO"),OR('JOINTS DE RÉPARATION'!$D$5="TOUTES",B873='JOINTS DE RÉPARATION'!$D$5),OR('JOINTS DE RÉPARATION'!$L$4="TOUS",AM873&lt;&gt;"ACCEPTÉ")),1,0)</f>
        <v>0</v>
      </c>
      <c r="AR873" s="78" t="str">
        <f aca="false">IF(AQ873=1,SUM(AQ$7:AQ873),"")</f>
        <v/>
      </c>
    </row>
    <row r="874" customFormat="false" ht="15" hidden="false" customHeight="false" outlineLevel="0" collapsed="false">
      <c r="A874" s="78" t="str">
        <f aca="false">IF(E874="","",ROW()-6)</f>
        <v/>
      </c>
      <c r="B874" s="79"/>
      <c r="C874" s="80"/>
      <c r="D874" s="80"/>
      <c r="E874" s="80"/>
      <c r="F874" s="80"/>
      <c r="G874" s="80"/>
      <c r="H874" s="80"/>
      <c r="I874" s="80"/>
      <c r="J874" s="80"/>
      <c r="K874" s="80"/>
      <c r="L874" s="81" t="str">
        <f aca="false">IF(K874="","",IFERROR(INDEX(BARDAGE!$C$7:$C$1506,MATCH(K874,BARDAGE!$B$7:$B$1506,0)),"? hors registre"))</f>
        <v/>
      </c>
      <c r="M874" s="80"/>
      <c r="N874" s="81" t="str">
        <f aca="false">IF(M874="","",IFERROR(INDEX(BARDAGE!$C$7:$C$1506,MATCH(M874,BARDAGE!$B$7:$B$1506,0)),"? hors registre"))</f>
        <v/>
      </c>
      <c r="O874" s="80"/>
      <c r="P874" s="80"/>
      <c r="Q874" s="80"/>
      <c r="R874" s="82"/>
      <c r="S874" s="82"/>
      <c r="T874" s="80"/>
      <c r="U874" s="80"/>
      <c r="V874" s="82"/>
      <c r="W874" s="80"/>
      <c r="X874" s="80"/>
      <c r="Y874" s="80"/>
      <c r="Z874" s="80"/>
      <c r="AA874" s="82"/>
      <c r="AB874" s="80"/>
      <c r="AC874" s="80"/>
      <c r="AD874" s="80"/>
      <c r="AE874" s="80"/>
      <c r="AF874" s="82"/>
      <c r="AG874" s="80"/>
      <c r="AH874" s="80"/>
      <c r="AI874" s="82"/>
      <c r="AJ874" s="79"/>
      <c r="AK874" s="78" t="str">
        <f aca="false">IF(E874="","",(X874&lt;&gt;"")+(AC874&lt;&gt;"")+(AH874&lt;&gt;""))</f>
        <v/>
      </c>
      <c r="AL874" s="81" t="str">
        <f aca="false">IF(AH874&lt;&gt;"",AH874,IF(AC874&lt;&gt;"",AC874,IF(X874&lt;&gt;"",X874,"")))</f>
        <v/>
      </c>
      <c r="AM874" s="83" t="str">
        <f aca="false">IF(E874="","",IF(R874="","À SOUDER",IF(U874="","VT EN ATTENTE",IF(U874="R","VT REJETÉ – À REPRENDRE",IF(AL874="","À RADIOGRAPHIER",IF(AL874="A","ACCEPTÉ",IF(AL874="NX","NX – RT À REFAIRE",IF(IF(AK874=1,Z874,IF(AK874=2,AE874,""))="A","RÉPARÉ – À RADIOGRAPHIER",IF(IF(AK874=1,Z874,IF(AK874=2,AE874,""))="R","VT REJETÉ – À REPRENDRE",IF(OR(AL874="CO",AL874="NT"),"COUPE – À RESOUDER","À RÉPARER"))))))))))</f>
        <v/>
      </c>
      <c r="AN874" s="81" t="str">
        <f aca="false">IF(AND(ISNUMBER(R874),OR(AM874="À RADIOGRAPHIER",AM874="RÉPARÉ – À RADIOGRAPHIER",AM874="NX – RT À REFAIRE",AM874="À RÉPARER",AM874="COUPE – À RESOUDER",AM874="VT REJETÉ – À REPRENDRE")),MAX(0,'PROGRAMME RT'!$C$4-R874),"")</f>
        <v/>
      </c>
      <c r="AO874" s="78" t="n">
        <f aca="false">IF(AND(OR(AM874="À RADIOGRAPHIER",AM874="RÉPARÉ – À RADIOGRAPHIER",AM874="NX – RT À REFAIRE"),OR('PROGRAMME RT'!$D$5="TOUTES",B874='PROGRAMME RT'!$D$5)),1,0)</f>
        <v>0</v>
      </c>
      <c r="AP874" s="78" t="str">
        <f aca="false">IF(AO874=1,SUM(AO$7:AO874),"")</f>
        <v/>
      </c>
      <c r="AQ874" s="78" t="n">
        <f aca="false">IF(AND(OR(X874="R",X874="NX",X874="NT",X874="CO"),OR('JOINTS DE RÉPARATION'!$D$5="TOUTES",B874='JOINTS DE RÉPARATION'!$D$5),OR('JOINTS DE RÉPARATION'!$L$4="TOUS",AM874&lt;&gt;"ACCEPTÉ")),1,0)</f>
        <v>0</v>
      </c>
      <c r="AR874" s="78" t="str">
        <f aca="false">IF(AQ874=1,SUM(AQ$7:AQ874),"")</f>
        <v/>
      </c>
    </row>
    <row r="875" customFormat="false" ht="15" hidden="false" customHeight="false" outlineLevel="0" collapsed="false">
      <c r="A875" s="78" t="str">
        <f aca="false">IF(E875="","",ROW()-6)</f>
        <v/>
      </c>
      <c r="B875" s="79"/>
      <c r="C875" s="80"/>
      <c r="D875" s="80"/>
      <c r="E875" s="80"/>
      <c r="F875" s="80"/>
      <c r="G875" s="80"/>
      <c r="H875" s="80"/>
      <c r="I875" s="80"/>
      <c r="J875" s="80"/>
      <c r="K875" s="80"/>
      <c r="L875" s="81" t="str">
        <f aca="false">IF(K875="","",IFERROR(INDEX(BARDAGE!$C$7:$C$1506,MATCH(K875,BARDAGE!$B$7:$B$1506,0)),"? hors registre"))</f>
        <v/>
      </c>
      <c r="M875" s="80"/>
      <c r="N875" s="81" t="str">
        <f aca="false">IF(M875="","",IFERROR(INDEX(BARDAGE!$C$7:$C$1506,MATCH(M875,BARDAGE!$B$7:$B$1506,0)),"? hors registre"))</f>
        <v/>
      </c>
      <c r="O875" s="80"/>
      <c r="P875" s="80"/>
      <c r="Q875" s="80"/>
      <c r="R875" s="82"/>
      <c r="S875" s="82"/>
      <c r="T875" s="80"/>
      <c r="U875" s="80"/>
      <c r="V875" s="82"/>
      <c r="W875" s="80"/>
      <c r="X875" s="80"/>
      <c r="Y875" s="80"/>
      <c r="Z875" s="80"/>
      <c r="AA875" s="82"/>
      <c r="AB875" s="80"/>
      <c r="AC875" s="80"/>
      <c r="AD875" s="80"/>
      <c r="AE875" s="80"/>
      <c r="AF875" s="82"/>
      <c r="AG875" s="80"/>
      <c r="AH875" s="80"/>
      <c r="AI875" s="82"/>
      <c r="AJ875" s="79"/>
      <c r="AK875" s="78" t="str">
        <f aca="false">IF(E875="","",(X875&lt;&gt;"")+(AC875&lt;&gt;"")+(AH875&lt;&gt;""))</f>
        <v/>
      </c>
      <c r="AL875" s="81" t="str">
        <f aca="false">IF(AH875&lt;&gt;"",AH875,IF(AC875&lt;&gt;"",AC875,IF(X875&lt;&gt;"",X875,"")))</f>
        <v/>
      </c>
      <c r="AM875" s="83" t="str">
        <f aca="false">IF(E875="","",IF(R875="","À SOUDER",IF(U875="","VT EN ATTENTE",IF(U875="R","VT REJETÉ – À REPRENDRE",IF(AL875="","À RADIOGRAPHIER",IF(AL875="A","ACCEPTÉ",IF(AL875="NX","NX – RT À REFAIRE",IF(IF(AK875=1,Z875,IF(AK875=2,AE875,""))="A","RÉPARÉ – À RADIOGRAPHIER",IF(IF(AK875=1,Z875,IF(AK875=2,AE875,""))="R","VT REJETÉ – À REPRENDRE",IF(OR(AL875="CO",AL875="NT"),"COUPE – À RESOUDER","À RÉPARER"))))))))))</f>
        <v/>
      </c>
      <c r="AN875" s="81" t="str">
        <f aca="false">IF(AND(ISNUMBER(R875),OR(AM875="À RADIOGRAPHIER",AM875="RÉPARÉ – À RADIOGRAPHIER",AM875="NX – RT À REFAIRE",AM875="À RÉPARER",AM875="COUPE – À RESOUDER",AM875="VT REJETÉ – À REPRENDRE")),MAX(0,'PROGRAMME RT'!$C$4-R875),"")</f>
        <v/>
      </c>
      <c r="AO875" s="78" t="n">
        <f aca="false">IF(AND(OR(AM875="À RADIOGRAPHIER",AM875="RÉPARÉ – À RADIOGRAPHIER",AM875="NX – RT À REFAIRE"),OR('PROGRAMME RT'!$D$5="TOUTES",B875='PROGRAMME RT'!$D$5)),1,0)</f>
        <v>0</v>
      </c>
      <c r="AP875" s="78" t="str">
        <f aca="false">IF(AO875=1,SUM(AO$7:AO875),"")</f>
        <v/>
      </c>
      <c r="AQ875" s="78" t="n">
        <f aca="false">IF(AND(OR(X875="R",X875="NX",X875="NT",X875="CO"),OR('JOINTS DE RÉPARATION'!$D$5="TOUTES",B875='JOINTS DE RÉPARATION'!$D$5),OR('JOINTS DE RÉPARATION'!$L$4="TOUS",AM875&lt;&gt;"ACCEPTÉ")),1,0)</f>
        <v>0</v>
      </c>
      <c r="AR875" s="78" t="str">
        <f aca="false">IF(AQ875=1,SUM(AQ$7:AQ875),"")</f>
        <v/>
      </c>
    </row>
    <row r="876" customFormat="false" ht="15" hidden="false" customHeight="false" outlineLevel="0" collapsed="false">
      <c r="A876" s="78" t="str">
        <f aca="false">IF(E876="","",ROW()-6)</f>
        <v/>
      </c>
      <c r="B876" s="79"/>
      <c r="C876" s="80"/>
      <c r="D876" s="80"/>
      <c r="E876" s="80"/>
      <c r="F876" s="80"/>
      <c r="G876" s="80"/>
      <c r="H876" s="80"/>
      <c r="I876" s="80"/>
      <c r="J876" s="80"/>
      <c r="K876" s="80"/>
      <c r="L876" s="81" t="str">
        <f aca="false">IF(K876="","",IFERROR(INDEX(BARDAGE!$C$7:$C$1506,MATCH(K876,BARDAGE!$B$7:$B$1506,0)),"? hors registre"))</f>
        <v/>
      </c>
      <c r="M876" s="80"/>
      <c r="N876" s="81" t="str">
        <f aca="false">IF(M876="","",IFERROR(INDEX(BARDAGE!$C$7:$C$1506,MATCH(M876,BARDAGE!$B$7:$B$1506,0)),"? hors registre"))</f>
        <v/>
      </c>
      <c r="O876" s="80"/>
      <c r="P876" s="80"/>
      <c r="Q876" s="80"/>
      <c r="R876" s="82"/>
      <c r="S876" s="82"/>
      <c r="T876" s="80"/>
      <c r="U876" s="80"/>
      <c r="V876" s="82"/>
      <c r="W876" s="80"/>
      <c r="X876" s="80"/>
      <c r="Y876" s="80"/>
      <c r="Z876" s="80"/>
      <c r="AA876" s="82"/>
      <c r="AB876" s="80"/>
      <c r="AC876" s="80"/>
      <c r="AD876" s="80"/>
      <c r="AE876" s="80"/>
      <c r="AF876" s="82"/>
      <c r="AG876" s="80"/>
      <c r="AH876" s="80"/>
      <c r="AI876" s="82"/>
      <c r="AJ876" s="79"/>
      <c r="AK876" s="78" t="str">
        <f aca="false">IF(E876="","",(X876&lt;&gt;"")+(AC876&lt;&gt;"")+(AH876&lt;&gt;""))</f>
        <v/>
      </c>
      <c r="AL876" s="81" t="str">
        <f aca="false">IF(AH876&lt;&gt;"",AH876,IF(AC876&lt;&gt;"",AC876,IF(X876&lt;&gt;"",X876,"")))</f>
        <v/>
      </c>
      <c r="AM876" s="83" t="str">
        <f aca="false">IF(E876="","",IF(R876="","À SOUDER",IF(U876="","VT EN ATTENTE",IF(U876="R","VT REJETÉ – À REPRENDRE",IF(AL876="","À RADIOGRAPHIER",IF(AL876="A","ACCEPTÉ",IF(AL876="NX","NX – RT À REFAIRE",IF(IF(AK876=1,Z876,IF(AK876=2,AE876,""))="A","RÉPARÉ – À RADIOGRAPHIER",IF(IF(AK876=1,Z876,IF(AK876=2,AE876,""))="R","VT REJETÉ – À REPRENDRE",IF(OR(AL876="CO",AL876="NT"),"COUPE – À RESOUDER","À RÉPARER"))))))))))</f>
        <v/>
      </c>
      <c r="AN876" s="81" t="str">
        <f aca="false">IF(AND(ISNUMBER(R876),OR(AM876="À RADIOGRAPHIER",AM876="RÉPARÉ – À RADIOGRAPHIER",AM876="NX – RT À REFAIRE",AM876="À RÉPARER",AM876="COUPE – À RESOUDER",AM876="VT REJETÉ – À REPRENDRE")),MAX(0,'PROGRAMME RT'!$C$4-R876),"")</f>
        <v/>
      </c>
      <c r="AO876" s="78" t="n">
        <f aca="false">IF(AND(OR(AM876="À RADIOGRAPHIER",AM876="RÉPARÉ – À RADIOGRAPHIER",AM876="NX – RT À REFAIRE"),OR('PROGRAMME RT'!$D$5="TOUTES",B876='PROGRAMME RT'!$D$5)),1,0)</f>
        <v>0</v>
      </c>
      <c r="AP876" s="78" t="str">
        <f aca="false">IF(AO876=1,SUM(AO$7:AO876),"")</f>
        <v/>
      </c>
      <c r="AQ876" s="78" t="n">
        <f aca="false">IF(AND(OR(X876="R",X876="NX",X876="NT",X876="CO"),OR('JOINTS DE RÉPARATION'!$D$5="TOUTES",B876='JOINTS DE RÉPARATION'!$D$5),OR('JOINTS DE RÉPARATION'!$L$4="TOUS",AM876&lt;&gt;"ACCEPTÉ")),1,0)</f>
        <v>0</v>
      </c>
      <c r="AR876" s="78" t="str">
        <f aca="false">IF(AQ876=1,SUM(AQ$7:AQ876),"")</f>
        <v/>
      </c>
    </row>
    <row r="877" customFormat="false" ht="15" hidden="false" customHeight="false" outlineLevel="0" collapsed="false">
      <c r="A877" s="78" t="str">
        <f aca="false">IF(E877="","",ROW()-6)</f>
        <v/>
      </c>
      <c r="B877" s="79"/>
      <c r="C877" s="80"/>
      <c r="D877" s="80"/>
      <c r="E877" s="80"/>
      <c r="F877" s="80"/>
      <c r="G877" s="80"/>
      <c r="H877" s="80"/>
      <c r="I877" s="80"/>
      <c r="J877" s="80"/>
      <c r="K877" s="80"/>
      <c r="L877" s="81" t="str">
        <f aca="false">IF(K877="","",IFERROR(INDEX(BARDAGE!$C$7:$C$1506,MATCH(K877,BARDAGE!$B$7:$B$1506,0)),"? hors registre"))</f>
        <v/>
      </c>
      <c r="M877" s="80"/>
      <c r="N877" s="81" t="str">
        <f aca="false">IF(M877="","",IFERROR(INDEX(BARDAGE!$C$7:$C$1506,MATCH(M877,BARDAGE!$B$7:$B$1506,0)),"? hors registre"))</f>
        <v/>
      </c>
      <c r="O877" s="80"/>
      <c r="P877" s="80"/>
      <c r="Q877" s="80"/>
      <c r="R877" s="82"/>
      <c r="S877" s="82"/>
      <c r="T877" s="80"/>
      <c r="U877" s="80"/>
      <c r="V877" s="82"/>
      <c r="W877" s="80"/>
      <c r="X877" s="80"/>
      <c r="Y877" s="80"/>
      <c r="Z877" s="80"/>
      <c r="AA877" s="82"/>
      <c r="AB877" s="80"/>
      <c r="AC877" s="80"/>
      <c r="AD877" s="80"/>
      <c r="AE877" s="80"/>
      <c r="AF877" s="82"/>
      <c r="AG877" s="80"/>
      <c r="AH877" s="80"/>
      <c r="AI877" s="82"/>
      <c r="AJ877" s="79"/>
      <c r="AK877" s="78" t="str">
        <f aca="false">IF(E877="","",(X877&lt;&gt;"")+(AC877&lt;&gt;"")+(AH877&lt;&gt;""))</f>
        <v/>
      </c>
      <c r="AL877" s="81" t="str">
        <f aca="false">IF(AH877&lt;&gt;"",AH877,IF(AC877&lt;&gt;"",AC877,IF(X877&lt;&gt;"",X877,"")))</f>
        <v/>
      </c>
      <c r="AM877" s="83" t="str">
        <f aca="false">IF(E877="","",IF(R877="","À SOUDER",IF(U877="","VT EN ATTENTE",IF(U877="R","VT REJETÉ – À REPRENDRE",IF(AL877="","À RADIOGRAPHIER",IF(AL877="A","ACCEPTÉ",IF(AL877="NX","NX – RT À REFAIRE",IF(IF(AK877=1,Z877,IF(AK877=2,AE877,""))="A","RÉPARÉ – À RADIOGRAPHIER",IF(IF(AK877=1,Z877,IF(AK877=2,AE877,""))="R","VT REJETÉ – À REPRENDRE",IF(OR(AL877="CO",AL877="NT"),"COUPE – À RESOUDER","À RÉPARER"))))))))))</f>
        <v/>
      </c>
      <c r="AN877" s="81" t="str">
        <f aca="false">IF(AND(ISNUMBER(R877),OR(AM877="À RADIOGRAPHIER",AM877="RÉPARÉ – À RADIOGRAPHIER",AM877="NX – RT À REFAIRE",AM877="À RÉPARER",AM877="COUPE – À RESOUDER",AM877="VT REJETÉ – À REPRENDRE")),MAX(0,'PROGRAMME RT'!$C$4-R877),"")</f>
        <v/>
      </c>
      <c r="AO877" s="78" t="n">
        <f aca="false">IF(AND(OR(AM877="À RADIOGRAPHIER",AM877="RÉPARÉ – À RADIOGRAPHIER",AM877="NX – RT À REFAIRE"),OR('PROGRAMME RT'!$D$5="TOUTES",B877='PROGRAMME RT'!$D$5)),1,0)</f>
        <v>0</v>
      </c>
      <c r="AP877" s="78" t="str">
        <f aca="false">IF(AO877=1,SUM(AO$7:AO877),"")</f>
        <v/>
      </c>
      <c r="AQ877" s="78" t="n">
        <f aca="false">IF(AND(OR(X877="R",X877="NX",X877="NT",X877="CO"),OR('JOINTS DE RÉPARATION'!$D$5="TOUTES",B877='JOINTS DE RÉPARATION'!$D$5),OR('JOINTS DE RÉPARATION'!$L$4="TOUS",AM877&lt;&gt;"ACCEPTÉ")),1,0)</f>
        <v>0</v>
      </c>
      <c r="AR877" s="78" t="str">
        <f aca="false">IF(AQ877=1,SUM(AQ$7:AQ877),"")</f>
        <v/>
      </c>
    </row>
    <row r="878" customFormat="false" ht="15" hidden="false" customHeight="false" outlineLevel="0" collapsed="false">
      <c r="A878" s="78" t="str">
        <f aca="false">IF(E878="","",ROW()-6)</f>
        <v/>
      </c>
      <c r="B878" s="79"/>
      <c r="C878" s="80"/>
      <c r="D878" s="80"/>
      <c r="E878" s="80"/>
      <c r="F878" s="80"/>
      <c r="G878" s="80"/>
      <c r="H878" s="80"/>
      <c r="I878" s="80"/>
      <c r="J878" s="80"/>
      <c r="K878" s="80"/>
      <c r="L878" s="81" t="str">
        <f aca="false">IF(K878="","",IFERROR(INDEX(BARDAGE!$C$7:$C$1506,MATCH(K878,BARDAGE!$B$7:$B$1506,0)),"? hors registre"))</f>
        <v/>
      </c>
      <c r="M878" s="80"/>
      <c r="N878" s="81" t="str">
        <f aca="false">IF(M878="","",IFERROR(INDEX(BARDAGE!$C$7:$C$1506,MATCH(M878,BARDAGE!$B$7:$B$1506,0)),"? hors registre"))</f>
        <v/>
      </c>
      <c r="O878" s="80"/>
      <c r="P878" s="80"/>
      <c r="Q878" s="80"/>
      <c r="R878" s="82"/>
      <c r="S878" s="82"/>
      <c r="T878" s="80"/>
      <c r="U878" s="80"/>
      <c r="V878" s="82"/>
      <c r="W878" s="80"/>
      <c r="X878" s="80"/>
      <c r="Y878" s="80"/>
      <c r="Z878" s="80"/>
      <c r="AA878" s="82"/>
      <c r="AB878" s="80"/>
      <c r="AC878" s="80"/>
      <c r="AD878" s="80"/>
      <c r="AE878" s="80"/>
      <c r="AF878" s="82"/>
      <c r="AG878" s="80"/>
      <c r="AH878" s="80"/>
      <c r="AI878" s="82"/>
      <c r="AJ878" s="79"/>
      <c r="AK878" s="78" t="str">
        <f aca="false">IF(E878="","",(X878&lt;&gt;"")+(AC878&lt;&gt;"")+(AH878&lt;&gt;""))</f>
        <v/>
      </c>
      <c r="AL878" s="81" t="str">
        <f aca="false">IF(AH878&lt;&gt;"",AH878,IF(AC878&lt;&gt;"",AC878,IF(X878&lt;&gt;"",X878,"")))</f>
        <v/>
      </c>
      <c r="AM878" s="83" t="str">
        <f aca="false">IF(E878="","",IF(R878="","À SOUDER",IF(U878="","VT EN ATTENTE",IF(U878="R","VT REJETÉ – À REPRENDRE",IF(AL878="","À RADIOGRAPHIER",IF(AL878="A","ACCEPTÉ",IF(AL878="NX","NX – RT À REFAIRE",IF(IF(AK878=1,Z878,IF(AK878=2,AE878,""))="A","RÉPARÉ – À RADIOGRAPHIER",IF(IF(AK878=1,Z878,IF(AK878=2,AE878,""))="R","VT REJETÉ – À REPRENDRE",IF(OR(AL878="CO",AL878="NT"),"COUPE – À RESOUDER","À RÉPARER"))))))))))</f>
        <v/>
      </c>
      <c r="AN878" s="81" t="str">
        <f aca="false">IF(AND(ISNUMBER(R878),OR(AM878="À RADIOGRAPHIER",AM878="RÉPARÉ – À RADIOGRAPHIER",AM878="NX – RT À REFAIRE",AM878="À RÉPARER",AM878="COUPE – À RESOUDER",AM878="VT REJETÉ – À REPRENDRE")),MAX(0,'PROGRAMME RT'!$C$4-R878),"")</f>
        <v/>
      </c>
      <c r="AO878" s="78" t="n">
        <f aca="false">IF(AND(OR(AM878="À RADIOGRAPHIER",AM878="RÉPARÉ – À RADIOGRAPHIER",AM878="NX – RT À REFAIRE"),OR('PROGRAMME RT'!$D$5="TOUTES",B878='PROGRAMME RT'!$D$5)),1,0)</f>
        <v>0</v>
      </c>
      <c r="AP878" s="78" t="str">
        <f aca="false">IF(AO878=1,SUM(AO$7:AO878),"")</f>
        <v/>
      </c>
      <c r="AQ878" s="78" t="n">
        <f aca="false">IF(AND(OR(X878="R",X878="NX",X878="NT",X878="CO"),OR('JOINTS DE RÉPARATION'!$D$5="TOUTES",B878='JOINTS DE RÉPARATION'!$D$5),OR('JOINTS DE RÉPARATION'!$L$4="TOUS",AM878&lt;&gt;"ACCEPTÉ")),1,0)</f>
        <v>0</v>
      </c>
      <c r="AR878" s="78" t="str">
        <f aca="false">IF(AQ878=1,SUM(AQ$7:AQ878),"")</f>
        <v/>
      </c>
    </row>
    <row r="879" customFormat="false" ht="15" hidden="false" customHeight="false" outlineLevel="0" collapsed="false">
      <c r="A879" s="78" t="str">
        <f aca="false">IF(E879="","",ROW()-6)</f>
        <v/>
      </c>
      <c r="B879" s="79"/>
      <c r="C879" s="80"/>
      <c r="D879" s="80"/>
      <c r="E879" s="80"/>
      <c r="F879" s="80"/>
      <c r="G879" s="80"/>
      <c r="H879" s="80"/>
      <c r="I879" s="80"/>
      <c r="J879" s="80"/>
      <c r="K879" s="80"/>
      <c r="L879" s="81" t="str">
        <f aca="false">IF(K879="","",IFERROR(INDEX(BARDAGE!$C$7:$C$1506,MATCH(K879,BARDAGE!$B$7:$B$1506,0)),"? hors registre"))</f>
        <v/>
      </c>
      <c r="M879" s="80"/>
      <c r="N879" s="81" t="str">
        <f aca="false">IF(M879="","",IFERROR(INDEX(BARDAGE!$C$7:$C$1506,MATCH(M879,BARDAGE!$B$7:$B$1506,0)),"? hors registre"))</f>
        <v/>
      </c>
      <c r="O879" s="80"/>
      <c r="P879" s="80"/>
      <c r="Q879" s="80"/>
      <c r="R879" s="82"/>
      <c r="S879" s="82"/>
      <c r="T879" s="80"/>
      <c r="U879" s="80"/>
      <c r="V879" s="82"/>
      <c r="W879" s="80"/>
      <c r="X879" s="80"/>
      <c r="Y879" s="80"/>
      <c r="Z879" s="80"/>
      <c r="AA879" s="82"/>
      <c r="AB879" s="80"/>
      <c r="AC879" s="80"/>
      <c r="AD879" s="80"/>
      <c r="AE879" s="80"/>
      <c r="AF879" s="82"/>
      <c r="AG879" s="80"/>
      <c r="AH879" s="80"/>
      <c r="AI879" s="82"/>
      <c r="AJ879" s="79"/>
      <c r="AK879" s="78" t="str">
        <f aca="false">IF(E879="","",(X879&lt;&gt;"")+(AC879&lt;&gt;"")+(AH879&lt;&gt;""))</f>
        <v/>
      </c>
      <c r="AL879" s="81" t="str">
        <f aca="false">IF(AH879&lt;&gt;"",AH879,IF(AC879&lt;&gt;"",AC879,IF(X879&lt;&gt;"",X879,"")))</f>
        <v/>
      </c>
      <c r="AM879" s="83" t="str">
        <f aca="false">IF(E879="","",IF(R879="","À SOUDER",IF(U879="","VT EN ATTENTE",IF(U879="R","VT REJETÉ – À REPRENDRE",IF(AL879="","À RADIOGRAPHIER",IF(AL879="A","ACCEPTÉ",IF(AL879="NX","NX – RT À REFAIRE",IF(IF(AK879=1,Z879,IF(AK879=2,AE879,""))="A","RÉPARÉ – À RADIOGRAPHIER",IF(IF(AK879=1,Z879,IF(AK879=2,AE879,""))="R","VT REJETÉ – À REPRENDRE",IF(OR(AL879="CO",AL879="NT"),"COUPE – À RESOUDER","À RÉPARER"))))))))))</f>
        <v/>
      </c>
      <c r="AN879" s="81" t="str">
        <f aca="false">IF(AND(ISNUMBER(R879),OR(AM879="À RADIOGRAPHIER",AM879="RÉPARÉ – À RADIOGRAPHIER",AM879="NX – RT À REFAIRE",AM879="À RÉPARER",AM879="COUPE – À RESOUDER",AM879="VT REJETÉ – À REPRENDRE")),MAX(0,'PROGRAMME RT'!$C$4-R879),"")</f>
        <v/>
      </c>
      <c r="AO879" s="78" t="n">
        <f aca="false">IF(AND(OR(AM879="À RADIOGRAPHIER",AM879="RÉPARÉ – À RADIOGRAPHIER",AM879="NX – RT À REFAIRE"),OR('PROGRAMME RT'!$D$5="TOUTES",B879='PROGRAMME RT'!$D$5)),1,0)</f>
        <v>0</v>
      </c>
      <c r="AP879" s="78" t="str">
        <f aca="false">IF(AO879=1,SUM(AO$7:AO879),"")</f>
        <v/>
      </c>
      <c r="AQ879" s="78" t="n">
        <f aca="false">IF(AND(OR(X879="R",X879="NX",X879="NT",X879="CO"),OR('JOINTS DE RÉPARATION'!$D$5="TOUTES",B879='JOINTS DE RÉPARATION'!$D$5),OR('JOINTS DE RÉPARATION'!$L$4="TOUS",AM879&lt;&gt;"ACCEPTÉ")),1,0)</f>
        <v>0</v>
      </c>
      <c r="AR879" s="78" t="str">
        <f aca="false">IF(AQ879=1,SUM(AQ$7:AQ879),"")</f>
        <v/>
      </c>
    </row>
    <row r="880" customFormat="false" ht="15" hidden="false" customHeight="false" outlineLevel="0" collapsed="false">
      <c r="A880" s="78" t="str">
        <f aca="false">IF(E880="","",ROW()-6)</f>
        <v/>
      </c>
      <c r="B880" s="79"/>
      <c r="C880" s="80"/>
      <c r="D880" s="80"/>
      <c r="E880" s="80"/>
      <c r="F880" s="80"/>
      <c r="G880" s="80"/>
      <c r="H880" s="80"/>
      <c r="I880" s="80"/>
      <c r="J880" s="80"/>
      <c r="K880" s="80"/>
      <c r="L880" s="81" t="str">
        <f aca="false">IF(K880="","",IFERROR(INDEX(BARDAGE!$C$7:$C$1506,MATCH(K880,BARDAGE!$B$7:$B$1506,0)),"? hors registre"))</f>
        <v/>
      </c>
      <c r="M880" s="80"/>
      <c r="N880" s="81" t="str">
        <f aca="false">IF(M880="","",IFERROR(INDEX(BARDAGE!$C$7:$C$1506,MATCH(M880,BARDAGE!$B$7:$B$1506,0)),"? hors registre"))</f>
        <v/>
      </c>
      <c r="O880" s="80"/>
      <c r="P880" s="80"/>
      <c r="Q880" s="80"/>
      <c r="R880" s="82"/>
      <c r="S880" s="82"/>
      <c r="T880" s="80"/>
      <c r="U880" s="80"/>
      <c r="V880" s="82"/>
      <c r="W880" s="80"/>
      <c r="X880" s="80"/>
      <c r="Y880" s="80"/>
      <c r="Z880" s="80"/>
      <c r="AA880" s="82"/>
      <c r="AB880" s="80"/>
      <c r="AC880" s="80"/>
      <c r="AD880" s="80"/>
      <c r="AE880" s="80"/>
      <c r="AF880" s="82"/>
      <c r="AG880" s="80"/>
      <c r="AH880" s="80"/>
      <c r="AI880" s="82"/>
      <c r="AJ880" s="79"/>
      <c r="AK880" s="78" t="str">
        <f aca="false">IF(E880="","",(X880&lt;&gt;"")+(AC880&lt;&gt;"")+(AH880&lt;&gt;""))</f>
        <v/>
      </c>
      <c r="AL880" s="81" t="str">
        <f aca="false">IF(AH880&lt;&gt;"",AH880,IF(AC880&lt;&gt;"",AC880,IF(X880&lt;&gt;"",X880,"")))</f>
        <v/>
      </c>
      <c r="AM880" s="83" t="str">
        <f aca="false">IF(E880="","",IF(R880="","À SOUDER",IF(U880="","VT EN ATTENTE",IF(U880="R","VT REJETÉ – À REPRENDRE",IF(AL880="","À RADIOGRAPHIER",IF(AL880="A","ACCEPTÉ",IF(AL880="NX","NX – RT À REFAIRE",IF(IF(AK880=1,Z880,IF(AK880=2,AE880,""))="A","RÉPARÉ – À RADIOGRAPHIER",IF(IF(AK880=1,Z880,IF(AK880=2,AE880,""))="R","VT REJETÉ – À REPRENDRE",IF(OR(AL880="CO",AL880="NT"),"COUPE – À RESOUDER","À RÉPARER"))))))))))</f>
        <v/>
      </c>
      <c r="AN880" s="81" t="str">
        <f aca="false">IF(AND(ISNUMBER(R880),OR(AM880="À RADIOGRAPHIER",AM880="RÉPARÉ – À RADIOGRAPHIER",AM880="NX – RT À REFAIRE",AM880="À RÉPARER",AM880="COUPE – À RESOUDER",AM880="VT REJETÉ – À REPRENDRE")),MAX(0,'PROGRAMME RT'!$C$4-R880),"")</f>
        <v/>
      </c>
      <c r="AO880" s="78" t="n">
        <f aca="false">IF(AND(OR(AM880="À RADIOGRAPHIER",AM880="RÉPARÉ – À RADIOGRAPHIER",AM880="NX – RT À REFAIRE"),OR('PROGRAMME RT'!$D$5="TOUTES",B880='PROGRAMME RT'!$D$5)),1,0)</f>
        <v>0</v>
      </c>
      <c r="AP880" s="78" t="str">
        <f aca="false">IF(AO880=1,SUM(AO$7:AO880),"")</f>
        <v/>
      </c>
      <c r="AQ880" s="78" t="n">
        <f aca="false">IF(AND(OR(X880="R",X880="NX",X880="NT",X880="CO"),OR('JOINTS DE RÉPARATION'!$D$5="TOUTES",B880='JOINTS DE RÉPARATION'!$D$5),OR('JOINTS DE RÉPARATION'!$L$4="TOUS",AM880&lt;&gt;"ACCEPTÉ")),1,0)</f>
        <v>0</v>
      </c>
      <c r="AR880" s="78" t="str">
        <f aca="false">IF(AQ880=1,SUM(AQ$7:AQ880),"")</f>
        <v/>
      </c>
    </row>
    <row r="881" customFormat="false" ht="15" hidden="false" customHeight="false" outlineLevel="0" collapsed="false">
      <c r="A881" s="78" t="str">
        <f aca="false">IF(E881="","",ROW()-6)</f>
        <v/>
      </c>
      <c r="B881" s="79"/>
      <c r="C881" s="80"/>
      <c r="D881" s="80"/>
      <c r="E881" s="80"/>
      <c r="F881" s="80"/>
      <c r="G881" s="80"/>
      <c r="H881" s="80"/>
      <c r="I881" s="80"/>
      <c r="J881" s="80"/>
      <c r="K881" s="80"/>
      <c r="L881" s="81" t="str">
        <f aca="false">IF(K881="","",IFERROR(INDEX(BARDAGE!$C$7:$C$1506,MATCH(K881,BARDAGE!$B$7:$B$1506,0)),"? hors registre"))</f>
        <v/>
      </c>
      <c r="M881" s="80"/>
      <c r="N881" s="81" t="str">
        <f aca="false">IF(M881="","",IFERROR(INDEX(BARDAGE!$C$7:$C$1506,MATCH(M881,BARDAGE!$B$7:$B$1506,0)),"? hors registre"))</f>
        <v/>
      </c>
      <c r="O881" s="80"/>
      <c r="P881" s="80"/>
      <c r="Q881" s="80"/>
      <c r="R881" s="82"/>
      <c r="S881" s="82"/>
      <c r="T881" s="80"/>
      <c r="U881" s="80"/>
      <c r="V881" s="82"/>
      <c r="W881" s="80"/>
      <c r="X881" s="80"/>
      <c r="Y881" s="80"/>
      <c r="Z881" s="80"/>
      <c r="AA881" s="82"/>
      <c r="AB881" s="80"/>
      <c r="AC881" s="80"/>
      <c r="AD881" s="80"/>
      <c r="AE881" s="80"/>
      <c r="AF881" s="82"/>
      <c r="AG881" s="80"/>
      <c r="AH881" s="80"/>
      <c r="AI881" s="82"/>
      <c r="AJ881" s="79"/>
      <c r="AK881" s="78" t="str">
        <f aca="false">IF(E881="","",(X881&lt;&gt;"")+(AC881&lt;&gt;"")+(AH881&lt;&gt;""))</f>
        <v/>
      </c>
      <c r="AL881" s="81" t="str">
        <f aca="false">IF(AH881&lt;&gt;"",AH881,IF(AC881&lt;&gt;"",AC881,IF(X881&lt;&gt;"",X881,"")))</f>
        <v/>
      </c>
      <c r="AM881" s="83" t="str">
        <f aca="false">IF(E881="","",IF(R881="","À SOUDER",IF(U881="","VT EN ATTENTE",IF(U881="R","VT REJETÉ – À REPRENDRE",IF(AL881="","À RADIOGRAPHIER",IF(AL881="A","ACCEPTÉ",IF(AL881="NX","NX – RT À REFAIRE",IF(IF(AK881=1,Z881,IF(AK881=2,AE881,""))="A","RÉPARÉ – À RADIOGRAPHIER",IF(IF(AK881=1,Z881,IF(AK881=2,AE881,""))="R","VT REJETÉ – À REPRENDRE",IF(OR(AL881="CO",AL881="NT"),"COUPE – À RESOUDER","À RÉPARER"))))))))))</f>
        <v/>
      </c>
      <c r="AN881" s="81" t="str">
        <f aca="false">IF(AND(ISNUMBER(R881),OR(AM881="À RADIOGRAPHIER",AM881="RÉPARÉ – À RADIOGRAPHIER",AM881="NX – RT À REFAIRE",AM881="À RÉPARER",AM881="COUPE – À RESOUDER",AM881="VT REJETÉ – À REPRENDRE")),MAX(0,'PROGRAMME RT'!$C$4-R881),"")</f>
        <v/>
      </c>
      <c r="AO881" s="78" t="n">
        <f aca="false">IF(AND(OR(AM881="À RADIOGRAPHIER",AM881="RÉPARÉ – À RADIOGRAPHIER",AM881="NX – RT À REFAIRE"),OR('PROGRAMME RT'!$D$5="TOUTES",B881='PROGRAMME RT'!$D$5)),1,0)</f>
        <v>0</v>
      </c>
      <c r="AP881" s="78" t="str">
        <f aca="false">IF(AO881=1,SUM(AO$7:AO881),"")</f>
        <v/>
      </c>
      <c r="AQ881" s="78" t="n">
        <f aca="false">IF(AND(OR(X881="R",X881="NX",X881="NT",X881="CO"),OR('JOINTS DE RÉPARATION'!$D$5="TOUTES",B881='JOINTS DE RÉPARATION'!$D$5),OR('JOINTS DE RÉPARATION'!$L$4="TOUS",AM881&lt;&gt;"ACCEPTÉ")),1,0)</f>
        <v>0</v>
      </c>
      <c r="AR881" s="78" t="str">
        <f aca="false">IF(AQ881=1,SUM(AQ$7:AQ881),"")</f>
        <v/>
      </c>
    </row>
    <row r="882" customFormat="false" ht="15" hidden="false" customHeight="false" outlineLevel="0" collapsed="false">
      <c r="A882" s="78" t="str">
        <f aca="false">IF(E882="","",ROW()-6)</f>
        <v/>
      </c>
      <c r="B882" s="79"/>
      <c r="C882" s="80"/>
      <c r="D882" s="80"/>
      <c r="E882" s="80"/>
      <c r="F882" s="80"/>
      <c r="G882" s="80"/>
      <c r="H882" s="80"/>
      <c r="I882" s="80"/>
      <c r="J882" s="80"/>
      <c r="K882" s="80"/>
      <c r="L882" s="81" t="str">
        <f aca="false">IF(K882="","",IFERROR(INDEX(BARDAGE!$C$7:$C$1506,MATCH(K882,BARDAGE!$B$7:$B$1506,0)),"? hors registre"))</f>
        <v/>
      </c>
      <c r="M882" s="80"/>
      <c r="N882" s="81" t="str">
        <f aca="false">IF(M882="","",IFERROR(INDEX(BARDAGE!$C$7:$C$1506,MATCH(M882,BARDAGE!$B$7:$B$1506,0)),"? hors registre"))</f>
        <v/>
      </c>
      <c r="O882" s="80"/>
      <c r="P882" s="80"/>
      <c r="Q882" s="80"/>
      <c r="R882" s="82"/>
      <c r="S882" s="82"/>
      <c r="T882" s="80"/>
      <c r="U882" s="80"/>
      <c r="V882" s="82"/>
      <c r="W882" s="80"/>
      <c r="X882" s="80"/>
      <c r="Y882" s="80"/>
      <c r="Z882" s="80"/>
      <c r="AA882" s="82"/>
      <c r="AB882" s="80"/>
      <c r="AC882" s="80"/>
      <c r="AD882" s="80"/>
      <c r="AE882" s="80"/>
      <c r="AF882" s="82"/>
      <c r="AG882" s="80"/>
      <c r="AH882" s="80"/>
      <c r="AI882" s="82"/>
      <c r="AJ882" s="79"/>
      <c r="AK882" s="78" t="str">
        <f aca="false">IF(E882="","",(X882&lt;&gt;"")+(AC882&lt;&gt;"")+(AH882&lt;&gt;""))</f>
        <v/>
      </c>
      <c r="AL882" s="81" t="str">
        <f aca="false">IF(AH882&lt;&gt;"",AH882,IF(AC882&lt;&gt;"",AC882,IF(X882&lt;&gt;"",X882,"")))</f>
        <v/>
      </c>
      <c r="AM882" s="83" t="str">
        <f aca="false">IF(E882="","",IF(R882="","À SOUDER",IF(U882="","VT EN ATTENTE",IF(U882="R","VT REJETÉ – À REPRENDRE",IF(AL882="","À RADIOGRAPHIER",IF(AL882="A","ACCEPTÉ",IF(AL882="NX","NX – RT À REFAIRE",IF(IF(AK882=1,Z882,IF(AK882=2,AE882,""))="A","RÉPARÉ – À RADIOGRAPHIER",IF(IF(AK882=1,Z882,IF(AK882=2,AE882,""))="R","VT REJETÉ – À REPRENDRE",IF(OR(AL882="CO",AL882="NT"),"COUPE – À RESOUDER","À RÉPARER"))))))))))</f>
        <v/>
      </c>
      <c r="AN882" s="81" t="str">
        <f aca="false">IF(AND(ISNUMBER(R882),OR(AM882="À RADIOGRAPHIER",AM882="RÉPARÉ – À RADIOGRAPHIER",AM882="NX – RT À REFAIRE",AM882="À RÉPARER",AM882="COUPE – À RESOUDER",AM882="VT REJETÉ – À REPRENDRE")),MAX(0,'PROGRAMME RT'!$C$4-R882),"")</f>
        <v/>
      </c>
      <c r="AO882" s="78" t="n">
        <f aca="false">IF(AND(OR(AM882="À RADIOGRAPHIER",AM882="RÉPARÉ – À RADIOGRAPHIER",AM882="NX – RT À REFAIRE"),OR('PROGRAMME RT'!$D$5="TOUTES",B882='PROGRAMME RT'!$D$5)),1,0)</f>
        <v>0</v>
      </c>
      <c r="AP882" s="78" t="str">
        <f aca="false">IF(AO882=1,SUM(AO$7:AO882),"")</f>
        <v/>
      </c>
      <c r="AQ882" s="78" t="n">
        <f aca="false">IF(AND(OR(X882="R",X882="NX",X882="NT",X882="CO"),OR('JOINTS DE RÉPARATION'!$D$5="TOUTES",B882='JOINTS DE RÉPARATION'!$D$5),OR('JOINTS DE RÉPARATION'!$L$4="TOUS",AM882&lt;&gt;"ACCEPTÉ")),1,0)</f>
        <v>0</v>
      </c>
      <c r="AR882" s="78" t="str">
        <f aca="false">IF(AQ882=1,SUM(AQ$7:AQ882),"")</f>
        <v/>
      </c>
    </row>
    <row r="883" customFormat="false" ht="15" hidden="false" customHeight="false" outlineLevel="0" collapsed="false">
      <c r="A883" s="78" t="str">
        <f aca="false">IF(E883="","",ROW()-6)</f>
        <v/>
      </c>
      <c r="B883" s="79"/>
      <c r="C883" s="80"/>
      <c r="D883" s="80"/>
      <c r="E883" s="80"/>
      <c r="F883" s="80"/>
      <c r="G883" s="80"/>
      <c r="H883" s="80"/>
      <c r="I883" s="80"/>
      <c r="J883" s="80"/>
      <c r="K883" s="80"/>
      <c r="L883" s="81" t="str">
        <f aca="false">IF(K883="","",IFERROR(INDEX(BARDAGE!$C$7:$C$1506,MATCH(K883,BARDAGE!$B$7:$B$1506,0)),"? hors registre"))</f>
        <v/>
      </c>
      <c r="M883" s="80"/>
      <c r="N883" s="81" t="str">
        <f aca="false">IF(M883="","",IFERROR(INDEX(BARDAGE!$C$7:$C$1506,MATCH(M883,BARDAGE!$B$7:$B$1506,0)),"? hors registre"))</f>
        <v/>
      </c>
      <c r="O883" s="80"/>
      <c r="P883" s="80"/>
      <c r="Q883" s="80"/>
      <c r="R883" s="82"/>
      <c r="S883" s="82"/>
      <c r="T883" s="80"/>
      <c r="U883" s="80"/>
      <c r="V883" s="82"/>
      <c r="W883" s="80"/>
      <c r="X883" s="80"/>
      <c r="Y883" s="80"/>
      <c r="Z883" s="80"/>
      <c r="AA883" s="82"/>
      <c r="AB883" s="80"/>
      <c r="AC883" s="80"/>
      <c r="AD883" s="80"/>
      <c r="AE883" s="80"/>
      <c r="AF883" s="82"/>
      <c r="AG883" s="80"/>
      <c r="AH883" s="80"/>
      <c r="AI883" s="82"/>
      <c r="AJ883" s="79"/>
      <c r="AK883" s="78" t="str">
        <f aca="false">IF(E883="","",(X883&lt;&gt;"")+(AC883&lt;&gt;"")+(AH883&lt;&gt;""))</f>
        <v/>
      </c>
      <c r="AL883" s="81" t="str">
        <f aca="false">IF(AH883&lt;&gt;"",AH883,IF(AC883&lt;&gt;"",AC883,IF(X883&lt;&gt;"",X883,"")))</f>
        <v/>
      </c>
      <c r="AM883" s="83" t="str">
        <f aca="false">IF(E883="","",IF(R883="","À SOUDER",IF(U883="","VT EN ATTENTE",IF(U883="R","VT REJETÉ – À REPRENDRE",IF(AL883="","À RADIOGRAPHIER",IF(AL883="A","ACCEPTÉ",IF(AL883="NX","NX – RT À REFAIRE",IF(IF(AK883=1,Z883,IF(AK883=2,AE883,""))="A","RÉPARÉ – À RADIOGRAPHIER",IF(IF(AK883=1,Z883,IF(AK883=2,AE883,""))="R","VT REJETÉ – À REPRENDRE",IF(OR(AL883="CO",AL883="NT"),"COUPE – À RESOUDER","À RÉPARER"))))))))))</f>
        <v/>
      </c>
      <c r="AN883" s="81" t="str">
        <f aca="false">IF(AND(ISNUMBER(R883),OR(AM883="À RADIOGRAPHIER",AM883="RÉPARÉ – À RADIOGRAPHIER",AM883="NX – RT À REFAIRE",AM883="À RÉPARER",AM883="COUPE – À RESOUDER",AM883="VT REJETÉ – À REPRENDRE")),MAX(0,'PROGRAMME RT'!$C$4-R883),"")</f>
        <v/>
      </c>
      <c r="AO883" s="78" t="n">
        <f aca="false">IF(AND(OR(AM883="À RADIOGRAPHIER",AM883="RÉPARÉ – À RADIOGRAPHIER",AM883="NX – RT À REFAIRE"),OR('PROGRAMME RT'!$D$5="TOUTES",B883='PROGRAMME RT'!$D$5)),1,0)</f>
        <v>0</v>
      </c>
      <c r="AP883" s="78" t="str">
        <f aca="false">IF(AO883=1,SUM(AO$7:AO883),"")</f>
        <v/>
      </c>
      <c r="AQ883" s="78" t="n">
        <f aca="false">IF(AND(OR(X883="R",X883="NX",X883="NT",X883="CO"),OR('JOINTS DE RÉPARATION'!$D$5="TOUTES",B883='JOINTS DE RÉPARATION'!$D$5),OR('JOINTS DE RÉPARATION'!$L$4="TOUS",AM883&lt;&gt;"ACCEPTÉ")),1,0)</f>
        <v>0</v>
      </c>
      <c r="AR883" s="78" t="str">
        <f aca="false">IF(AQ883=1,SUM(AQ$7:AQ883),"")</f>
        <v/>
      </c>
    </row>
    <row r="884" customFormat="false" ht="15" hidden="false" customHeight="false" outlineLevel="0" collapsed="false">
      <c r="A884" s="78" t="str">
        <f aca="false">IF(E884="","",ROW()-6)</f>
        <v/>
      </c>
      <c r="B884" s="79"/>
      <c r="C884" s="80"/>
      <c r="D884" s="80"/>
      <c r="E884" s="80"/>
      <c r="F884" s="80"/>
      <c r="G884" s="80"/>
      <c r="H884" s="80"/>
      <c r="I884" s="80"/>
      <c r="J884" s="80"/>
      <c r="K884" s="80"/>
      <c r="L884" s="81" t="str">
        <f aca="false">IF(K884="","",IFERROR(INDEX(BARDAGE!$C$7:$C$1506,MATCH(K884,BARDAGE!$B$7:$B$1506,0)),"? hors registre"))</f>
        <v/>
      </c>
      <c r="M884" s="80"/>
      <c r="N884" s="81" t="str">
        <f aca="false">IF(M884="","",IFERROR(INDEX(BARDAGE!$C$7:$C$1506,MATCH(M884,BARDAGE!$B$7:$B$1506,0)),"? hors registre"))</f>
        <v/>
      </c>
      <c r="O884" s="80"/>
      <c r="P884" s="80"/>
      <c r="Q884" s="80"/>
      <c r="R884" s="82"/>
      <c r="S884" s="82"/>
      <c r="T884" s="80"/>
      <c r="U884" s="80"/>
      <c r="V884" s="82"/>
      <c r="W884" s="80"/>
      <c r="X884" s="80"/>
      <c r="Y884" s="80"/>
      <c r="Z884" s="80"/>
      <c r="AA884" s="82"/>
      <c r="AB884" s="80"/>
      <c r="AC884" s="80"/>
      <c r="AD884" s="80"/>
      <c r="AE884" s="80"/>
      <c r="AF884" s="82"/>
      <c r="AG884" s="80"/>
      <c r="AH884" s="80"/>
      <c r="AI884" s="82"/>
      <c r="AJ884" s="79"/>
      <c r="AK884" s="78" t="str">
        <f aca="false">IF(E884="","",(X884&lt;&gt;"")+(AC884&lt;&gt;"")+(AH884&lt;&gt;""))</f>
        <v/>
      </c>
      <c r="AL884" s="81" t="str">
        <f aca="false">IF(AH884&lt;&gt;"",AH884,IF(AC884&lt;&gt;"",AC884,IF(X884&lt;&gt;"",X884,"")))</f>
        <v/>
      </c>
      <c r="AM884" s="83" t="str">
        <f aca="false">IF(E884="","",IF(R884="","À SOUDER",IF(U884="","VT EN ATTENTE",IF(U884="R","VT REJETÉ – À REPRENDRE",IF(AL884="","À RADIOGRAPHIER",IF(AL884="A","ACCEPTÉ",IF(AL884="NX","NX – RT À REFAIRE",IF(IF(AK884=1,Z884,IF(AK884=2,AE884,""))="A","RÉPARÉ – À RADIOGRAPHIER",IF(IF(AK884=1,Z884,IF(AK884=2,AE884,""))="R","VT REJETÉ – À REPRENDRE",IF(OR(AL884="CO",AL884="NT"),"COUPE – À RESOUDER","À RÉPARER"))))))))))</f>
        <v/>
      </c>
      <c r="AN884" s="81" t="str">
        <f aca="false">IF(AND(ISNUMBER(R884),OR(AM884="À RADIOGRAPHIER",AM884="RÉPARÉ – À RADIOGRAPHIER",AM884="NX – RT À REFAIRE",AM884="À RÉPARER",AM884="COUPE – À RESOUDER",AM884="VT REJETÉ – À REPRENDRE")),MAX(0,'PROGRAMME RT'!$C$4-R884),"")</f>
        <v/>
      </c>
      <c r="AO884" s="78" t="n">
        <f aca="false">IF(AND(OR(AM884="À RADIOGRAPHIER",AM884="RÉPARÉ – À RADIOGRAPHIER",AM884="NX – RT À REFAIRE"),OR('PROGRAMME RT'!$D$5="TOUTES",B884='PROGRAMME RT'!$D$5)),1,0)</f>
        <v>0</v>
      </c>
      <c r="AP884" s="78" t="str">
        <f aca="false">IF(AO884=1,SUM(AO$7:AO884),"")</f>
        <v/>
      </c>
      <c r="AQ884" s="78" t="n">
        <f aca="false">IF(AND(OR(X884="R",X884="NX",X884="NT",X884="CO"),OR('JOINTS DE RÉPARATION'!$D$5="TOUTES",B884='JOINTS DE RÉPARATION'!$D$5),OR('JOINTS DE RÉPARATION'!$L$4="TOUS",AM884&lt;&gt;"ACCEPTÉ")),1,0)</f>
        <v>0</v>
      </c>
      <c r="AR884" s="78" t="str">
        <f aca="false">IF(AQ884=1,SUM(AQ$7:AQ884),"")</f>
        <v/>
      </c>
    </row>
    <row r="885" customFormat="false" ht="15" hidden="false" customHeight="false" outlineLevel="0" collapsed="false">
      <c r="A885" s="78" t="str">
        <f aca="false">IF(E885="","",ROW()-6)</f>
        <v/>
      </c>
      <c r="B885" s="79"/>
      <c r="C885" s="80"/>
      <c r="D885" s="80"/>
      <c r="E885" s="80"/>
      <c r="F885" s="80"/>
      <c r="G885" s="80"/>
      <c r="H885" s="80"/>
      <c r="I885" s="80"/>
      <c r="J885" s="80"/>
      <c r="K885" s="80"/>
      <c r="L885" s="81" t="str">
        <f aca="false">IF(K885="","",IFERROR(INDEX(BARDAGE!$C$7:$C$1506,MATCH(K885,BARDAGE!$B$7:$B$1506,0)),"? hors registre"))</f>
        <v/>
      </c>
      <c r="M885" s="80"/>
      <c r="N885" s="81" t="str">
        <f aca="false">IF(M885="","",IFERROR(INDEX(BARDAGE!$C$7:$C$1506,MATCH(M885,BARDAGE!$B$7:$B$1506,0)),"? hors registre"))</f>
        <v/>
      </c>
      <c r="O885" s="80"/>
      <c r="P885" s="80"/>
      <c r="Q885" s="80"/>
      <c r="R885" s="82"/>
      <c r="S885" s="82"/>
      <c r="T885" s="80"/>
      <c r="U885" s="80"/>
      <c r="V885" s="82"/>
      <c r="W885" s="80"/>
      <c r="X885" s="80"/>
      <c r="Y885" s="80"/>
      <c r="Z885" s="80"/>
      <c r="AA885" s="82"/>
      <c r="AB885" s="80"/>
      <c r="AC885" s="80"/>
      <c r="AD885" s="80"/>
      <c r="AE885" s="80"/>
      <c r="AF885" s="82"/>
      <c r="AG885" s="80"/>
      <c r="AH885" s="80"/>
      <c r="AI885" s="82"/>
      <c r="AJ885" s="79"/>
      <c r="AK885" s="78" t="str">
        <f aca="false">IF(E885="","",(X885&lt;&gt;"")+(AC885&lt;&gt;"")+(AH885&lt;&gt;""))</f>
        <v/>
      </c>
      <c r="AL885" s="81" t="str">
        <f aca="false">IF(AH885&lt;&gt;"",AH885,IF(AC885&lt;&gt;"",AC885,IF(X885&lt;&gt;"",X885,"")))</f>
        <v/>
      </c>
      <c r="AM885" s="83" t="str">
        <f aca="false">IF(E885="","",IF(R885="","À SOUDER",IF(U885="","VT EN ATTENTE",IF(U885="R","VT REJETÉ – À REPRENDRE",IF(AL885="","À RADIOGRAPHIER",IF(AL885="A","ACCEPTÉ",IF(AL885="NX","NX – RT À REFAIRE",IF(IF(AK885=1,Z885,IF(AK885=2,AE885,""))="A","RÉPARÉ – À RADIOGRAPHIER",IF(IF(AK885=1,Z885,IF(AK885=2,AE885,""))="R","VT REJETÉ – À REPRENDRE",IF(OR(AL885="CO",AL885="NT"),"COUPE – À RESOUDER","À RÉPARER"))))))))))</f>
        <v/>
      </c>
      <c r="AN885" s="81" t="str">
        <f aca="false">IF(AND(ISNUMBER(R885),OR(AM885="À RADIOGRAPHIER",AM885="RÉPARÉ – À RADIOGRAPHIER",AM885="NX – RT À REFAIRE",AM885="À RÉPARER",AM885="COUPE – À RESOUDER",AM885="VT REJETÉ – À REPRENDRE")),MAX(0,'PROGRAMME RT'!$C$4-R885),"")</f>
        <v/>
      </c>
      <c r="AO885" s="78" t="n">
        <f aca="false">IF(AND(OR(AM885="À RADIOGRAPHIER",AM885="RÉPARÉ – À RADIOGRAPHIER",AM885="NX – RT À REFAIRE"),OR('PROGRAMME RT'!$D$5="TOUTES",B885='PROGRAMME RT'!$D$5)),1,0)</f>
        <v>0</v>
      </c>
      <c r="AP885" s="78" t="str">
        <f aca="false">IF(AO885=1,SUM(AO$7:AO885),"")</f>
        <v/>
      </c>
      <c r="AQ885" s="78" t="n">
        <f aca="false">IF(AND(OR(X885="R",X885="NX",X885="NT",X885="CO"),OR('JOINTS DE RÉPARATION'!$D$5="TOUTES",B885='JOINTS DE RÉPARATION'!$D$5),OR('JOINTS DE RÉPARATION'!$L$4="TOUS",AM885&lt;&gt;"ACCEPTÉ")),1,0)</f>
        <v>0</v>
      </c>
      <c r="AR885" s="78" t="str">
        <f aca="false">IF(AQ885=1,SUM(AQ$7:AQ885),"")</f>
        <v/>
      </c>
    </row>
    <row r="886" customFormat="false" ht="15" hidden="false" customHeight="false" outlineLevel="0" collapsed="false">
      <c r="A886" s="78" t="str">
        <f aca="false">IF(E886="","",ROW()-6)</f>
        <v/>
      </c>
      <c r="B886" s="79"/>
      <c r="C886" s="80"/>
      <c r="D886" s="80"/>
      <c r="E886" s="80"/>
      <c r="F886" s="80"/>
      <c r="G886" s="80"/>
      <c r="H886" s="80"/>
      <c r="I886" s="80"/>
      <c r="J886" s="80"/>
      <c r="K886" s="80"/>
      <c r="L886" s="81" t="str">
        <f aca="false">IF(K886="","",IFERROR(INDEX(BARDAGE!$C$7:$C$1506,MATCH(K886,BARDAGE!$B$7:$B$1506,0)),"? hors registre"))</f>
        <v/>
      </c>
      <c r="M886" s="80"/>
      <c r="N886" s="81" t="str">
        <f aca="false">IF(M886="","",IFERROR(INDEX(BARDAGE!$C$7:$C$1506,MATCH(M886,BARDAGE!$B$7:$B$1506,0)),"? hors registre"))</f>
        <v/>
      </c>
      <c r="O886" s="80"/>
      <c r="P886" s="80"/>
      <c r="Q886" s="80"/>
      <c r="R886" s="82"/>
      <c r="S886" s="82"/>
      <c r="T886" s="80"/>
      <c r="U886" s="80"/>
      <c r="V886" s="82"/>
      <c r="W886" s="80"/>
      <c r="X886" s="80"/>
      <c r="Y886" s="80"/>
      <c r="Z886" s="80"/>
      <c r="AA886" s="82"/>
      <c r="AB886" s="80"/>
      <c r="AC886" s="80"/>
      <c r="AD886" s="80"/>
      <c r="AE886" s="80"/>
      <c r="AF886" s="82"/>
      <c r="AG886" s="80"/>
      <c r="AH886" s="80"/>
      <c r="AI886" s="82"/>
      <c r="AJ886" s="79"/>
      <c r="AK886" s="78" t="str">
        <f aca="false">IF(E886="","",(X886&lt;&gt;"")+(AC886&lt;&gt;"")+(AH886&lt;&gt;""))</f>
        <v/>
      </c>
      <c r="AL886" s="81" t="str">
        <f aca="false">IF(AH886&lt;&gt;"",AH886,IF(AC886&lt;&gt;"",AC886,IF(X886&lt;&gt;"",X886,"")))</f>
        <v/>
      </c>
      <c r="AM886" s="83" t="str">
        <f aca="false">IF(E886="","",IF(R886="","À SOUDER",IF(U886="","VT EN ATTENTE",IF(U886="R","VT REJETÉ – À REPRENDRE",IF(AL886="","À RADIOGRAPHIER",IF(AL886="A","ACCEPTÉ",IF(AL886="NX","NX – RT À REFAIRE",IF(IF(AK886=1,Z886,IF(AK886=2,AE886,""))="A","RÉPARÉ – À RADIOGRAPHIER",IF(IF(AK886=1,Z886,IF(AK886=2,AE886,""))="R","VT REJETÉ – À REPRENDRE",IF(OR(AL886="CO",AL886="NT"),"COUPE – À RESOUDER","À RÉPARER"))))))))))</f>
        <v/>
      </c>
      <c r="AN886" s="81" t="str">
        <f aca="false">IF(AND(ISNUMBER(R886),OR(AM886="À RADIOGRAPHIER",AM886="RÉPARÉ – À RADIOGRAPHIER",AM886="NX – RT À REFAIRE",AM886="À RÉPARER",AM886="COUPE – À RESOUDER",AM886="VT REJETÉ – À REPRENDRE")),MAX(0,'PROGRAMME RT'!$C$4-R886),"")</f>
        <v/>
      </c>
      <c r="AO886" s="78" t="n">
        <f aca="false">IF(AND(OR(AM886="À RADIOGRAPHIER",AM886="RÉPARÉ – À RADIOGRAPHIER",AM886="NX – RT À REFAIRE"),OR('PROGRAMME RT'!$D$5="TOUTES",B886='PROGRAMME RT'!$D$5)),1,0)</f>
        <v>0</v>
      </c>
      <c r="AP886" s="78" t="str">
        <f aca="false">IF(AO886=1,SUM(AO$7:AO886),"")</f>
        <v/>
      </c>
      <c r="AQ886" s="78" t="n">
        <f aca="false">IF(AND(OR(X886="R",X886="NX",X886="NT",X886="CO"),OR('JOINTS DE RÉPARATION'!$D$5="TOUTES",B886='JOINTS DE RÉPARATION'!$D$5),OR('JOINTS DE RÉPARATION'!$L$4="TOUS",AM886&lt;&gt;"ACCEPTÉ")),1,0)</f>
        <v>0</v>
      </c>
      <c r="AR886" s="78" t="str">
        <f aca="false">IF(AQ886=1,SUM(AQ$7:AQ886),"")</f>
        <v/>
      </c>
    </row>
    <row r="887" customFormat="false" ht="15" hidden="false" customHeight="false" outlineLevel="0" collapsed="false">
      <c r="A887" s="78" t="str">
        <f aca="false">IF(E887="","",ROW()-6)</f>
        <v/>
      </c>
      <c r="B887" s="79"/>
      <c r="C887" s="80"/>
      <c r="D887" s="80"/>
      <c r="E887" s="80"/>
      <c r="F887" s="80"/>
      <c r="G887" s="80"/>
      <c r="H887" s="80"/>
      <c r="I887" s="80"/>
      <c r="J887" s="80"/>
      <c r="K887" s="80"/>
      <c r="L887" s="81" t="str">
        <f aca="false">IF(K887="","",IFERROR(INDEX(BARDAGE!$C$7:$C$1506,MATCH(K887,BARDAGE!$B$7:$B$1506,0)),"? hors registre"))</f>
        <v/>
      </c>
      <c r="M887" s="80"/>
      <c r="N887" s="81" t="str">
        <f aca="false">IF(M887="","",IFERROR(INDEX(BARDAGE!$C$7:$C$1506,MATCH(M887,BARDAGE!$B$7:$B$1506,0)),"? hors registre"))</f>
        <v/>
      </c>
      <c r="O887" s="80"/>
      <c r="P887" s="80"/>
      <c r="Q887" s="80"/>
      <c r="R887" s="82"/>
      <c r="S887" s="82"/>
      <c r="T887" s="80"/>
      <c r="U887" s="80"/>
      <c r="V887" s="82"/>
      <c r="W887" s="80"/>
      <c r="X887" s="80"/>
      <c r="Y887" s="80"/>
      <c r="Z887" s="80"/>
      <c r="AA887" s="82"/>
      <c r="AB887" s="80"/>
      <c r="AC887" s="80"/>
      <c r="AD887" s="80"/>
      <c r="AE887" s="80"/>
      <c r="AF887" s="82"/>
      <c r="AG887" s="80"/>
      <c r="AH887" s="80"/>
      <c r="AI887" s="82"/>
      <c r="AJ887" s="79"/>
      <c r="AK887" s="78" t="str">
        <f aca="false">IF(E887="","",(X887&lt;&gt;"")+(AC887&lt;&gt;"")+(AH887&lt;&gt;""))</f>
        <v/>
      </c>
      <c r="AL887" s="81" t="str">
        <f aca="false">IF(AH887&lt;&gt;"",AH887,IF(AC887&lt;&gt;"",AC887,IF(X887&lt;&gt;"",X887,"")))</f>
        <v/>
      </c>
      <c r="AM887" s="83" t="str">
        <f aca="false">IF(E887="","",IF(R887="","À SOUDER",IF(U887="","VT EN ATTENTE",IF(U887="R","VT REJETÉ – À REPRENDRE",IF(AL887="","À RADIOGRAPHIER",IF(AL887="A","ACCEPTÉ",IF(AL887="NX","NX – RT À REFAIRE",IF(IF(AK887=1,Z887,IF(AK887=2,AE887,""))="A","RÉPARÉ – À RADIOGRAPHIER",IF(IF(AK887=1,Z887,IF(AK887=2,AE887,""))="R","VT REJETÉ – À REPRENDRE",IF(OR(AL887="CO",AL887="NT"),"COUPE – À RESOUDER","À RÉPARER"))))))))))</f>
        <v/>
      </c>
      <c r="AN887" s="81" t="str">
        <f aca="false">IF(AND(ISNUMBER(R887),OR(AM887="À RADIOGRAPHIER",AM887="RÉPARÉ – À RADIOGRAPHIER",AM887="NX – RT À REFAIRE",AM887="À RÉPARER",AM887="COUPE – À RESOUDER",AM887="VT REJETÉ – À REPRENDRE")),MAX(0,'PROGRAMME RT'!$C$4-R887),"")</f>
        <v/>
      </c>
      <c r="AO887" s="78" t="n">
        <f aca="false">IF(AND(OR(AM887="À RADIOGRAPHIER",AM887="RÉPARÉ – À RADIOGRAPHIER",AM887="NX – RT À REFAIRE"),OR('PROGRAMME RT'!$D$5="TOUTES",B887='PROGRAMME RT'!$D$5)),1,0)</f>
        <v>0</v>
      </c>
      <c r="AP887" s="78" t="str">
        <f aca="false">IF(AO887=1,SUM(AO$7:AO887),"")</f>
        <v/>
      </c>
      <c r="AQ887" s="78" t="n">
        <f aca="false">IF(AND(OR(X887="R",X887="NX",X887="NT",X887="CO"),OR('JOINTS DE RÉPARATION'!$D$5="TOUTES",B887='JOINTS DE RÉPARATION'!$D$5),OR('JOINTS DE RÉPARATION'!$L$4="TOUS",AM887&lt;&gt;"ACCEPTÉ")),1,0)</f>
        <v>0</v>
      </c>
      <c r="AR887" s="78" t="str">
        <f aca="false">IF(AQ887=1,SUM(AQ$7:AQ887),"")</f>
        <v/>
      </c>
    </row>
    <row r="888" customFormat="false" ht="15" hidden="false" customHeight="false" outlineLevel="0" collapsed="false">
      <c r="A888" s="78" t="str">
        <f aca="false">IF(E888="","",ROW()-6)</f>
        <v/>
      </c>
      <c r="B888" s="79"/>
      <c r="C888" s="80"/>
      <c r="D888" s="80"/>
      <c r="E888" s="80"/>
      <c r="F888" s="80"/>
      <c r="G888" s="80"/>
      <c r="H888" s="80"/>
      <c r="I888" s="80"/>
      <c r="J888" s="80"/>
      <c r="K888" s="80"/>
      <c r="L888" s="81" t="str">
        <f aca="false">IF(K888="","",IFERROR(INDEX(BARDAGE!$C$7:$C$1506,MATCH(K888,BARDAGE!$B$7:$B$1506,0)),"? hors registre"))</f>
        <v/>
      </c>
      <c r="M888" s="80"/>
      <c r="N888" s="81" t="str">
        <f aca="false">IF(M888="","",IFERROR(INDEX(BARDAGE!$C$7:$C$1506,MATCH(M888,BARDAGE!$B$7:$B$1506,0)),"? hors registre"))</f>
        <v/>
      </c>
      <c r="O888" s="80"/>
      <c r="P888" s="80"/>
      <c r="Q888" s="80"/>
      <c r="R888" s="82"/>
      <c r="S888" s="82"/>
      <c r="T888" s="80"/>
      <c r="U888" s="80"/>
      <c r="V888" s="82"/>
      <c r="W888" s="80"/>
      <c r="X888" s="80"/>
      <c r="Y888" s="80"/>
      <c r="Z888" s="80"/>
      <c r="AA888" s="82"/>
      <c r="AB888" s="80"/>
      <c r="AC888" s="80"/>
      <c r="AD888" s="80"/>
      <c r="AE888" s="80"/>
      <c r="AF888" s="82"/>
      <c r="AG888" s="80"/>
      <c r="AH888" s="80"/>
      <c r="AI888" s="82"/>
      <c r="AJ888" s="79"/>
      <c r="AK888" s="78" t="str">
        <f aca="false">IF(E888="","",(X888&lt;&gt;"")+(AC888&lt;&gt;"")+(AH888&lt;&gt;""))</f>
        <v/>
      </c>
      <c r="AL888" s="81" t="str">
        <f aca="false">IF(AH888&lt;&gt;"",AH888,IF(AC888&lt;&gt;"",AC888,IF(X888&lt;&gt;"",X888,"")))</f>
        <v/>
      </c>
      <c r="AM888" s="83" t="str">
        <f aca="false">IF(E888="","",IF(R888="","À SOUDER",IF(U888="","VT EN ATTENTE",IF(U888="R","VT REJETÉ – À REPRENDRE",IF(AL888="","À RADIOGRAPHIER",IF(AL888="A","ACCEPTÉ",IF(AL888="NX","NX – RT À REFAIRE",IF(IF(AK888=1,Z888,IF(AK888=2,AE888,""))="A","RÉPARÉ – À RADIOGRAPHIER",IF(IF(AK888=1,Z888,IF(AK888=2,AE888,""))="R","VT REJETÉ – À REPRENDRE",IF(OR(AL888="CO",AL888="NT"),"COUPE – À RESOUDER","À RÉPARER"))))))))))</f>
        <v/>
      </c>
      <c r="AN888" s="81" t="str">
        <f aca="false">IF(AND(ISNUMBER(R888),OR(AM888="À RADIOGRAPHIER",AM888="RÉPARÉ – À RADIOGRAPHIER",AM888="NX – RT À REFAIRE",AM888="À RÉPARER",AM888="COUPE – À RESOUDER",AM888="VT REJETÉ – À REPRENDRE")),MAX(0,'PROGRAMME RT'!$C$4-R888),"")</f>
        <v/>
      </c>
      <c r="AO888" s="78" t="n">
        <f aca="false">IF(AND(OR(AM888="À RADIOGRAPHIER",AM888="RÉPARÉ – À RADIOGRAPHIER",AM888="NX – RT À REFAIRE"),OR('PROGRAMME RT'!$D$5="TOUTES",B888='PROGRAMME RT'!$D$5)),1,0)</f>
        <v>0</v>
      </c>
      <c r="AP888" s="78" t="str">
        <f aca="false">IF(AO888=1,SUM(AO$7:AO888),"")</f>
        <v/>
      </c>
      <c r="AQ888" s="78" t="n">
        <f aca="false">IF(AND(OR(X888="R",X888="NX",X888="NT",X888="CO"),OR('JOINTS DE RÉPARATION'!$D$5="TOUTES",B888='JOINTS DE RÉPARATION'!$D$5),OR('JOINTS DE RÉPARATION'!$L$4="TOUS",AM888&lt;&gt;"ACCEPTÉ")),1,0)</f>
        <v>0</v>
      </c>
      <c r="AR888" s="78" t="str">
        <f aca="false">IF(AQ888=1,SUM(AQ$7:AQ888),"")</f>
        <v/>
      </c>
    </row>
    <row r="889" customFormat="false" ht="15" hidden="false" customHeight="false" outlineLevel="0" collapsed="false">
      <c r="A889" s="78" t="str">
        <f aca="false">IF(E889="","",ROW()-6)</f>
        <v/>
      </c>
      <c r="B889" s="79"/>
      <c r="C889" s="80"/>
      <c r="D889" s="80"/>
      <c r="E889" s="80"/>
      <c r="F889" s="80"/>
      <c r="G889" s="80"/>
      <c r="H889" s="80"/>
      <c r="I889" s="80"/>
      <c r="J889" s="80"/>
      <c r="K889" s="80"/>
      <c r="L889" s="81" t="str">
        <f aca="false">IF(K889="","",IFERROR(INDEX(BARDAGE!$C$7:$C$1506,MATCH(K889,BARDAGE!$B$7:$B$1506,0)),"? hors registre"))</f>
        <v/>
      </c>
      <c r="M889" s="80"/>
      <c r="N889" s="81" t="str">
        <f aca="false">IF(M889="","",IFERROR(INDEX(BARDAGE!$C$7:$C$1506,MATCH(M889,BARDAGE!$B$7:$B$1506,0)),"? hors registre"))</f>
        <v/>
      </c>
      <c r="O889" s="80"/>
      <c r="P889" s="80"/>
      <c r="Q889" s="80"/>
      <c r="R889" s="82"/>
      <c r="S889" s="82"/>
      <c r="T889" s="80"/>
      <c r="U889" s="80"/>
      <c r="V889" s="82"/>
      <c r="W889" s="80"/>
      <c r="X889" s="80"/>
      <c r="Y889" s="80"/>
      <c r="Z889" s="80"/>
      <c r="AA889" s="82"/>
      <c r="AB889" s="80"/>
      <c r="AC889" s="80"/>
      <c r="AD889" s="80"/>
      <c r="AE889" s="80"/>
      <c r="AF889" s="82"/>
      <c r="AG889" s="80"/>
      <c r="AH889" s="80"/>
      <c r="AI889" s="82"/>
      <c r="AJ889" s="79"/>
      <c r="AK889" s="78" t="str">
        <f aca="false">IF(E889="","",(X889&lt;&gt;"")+(AC889&lt;&gt;"")+(AH889&lt;&gt;""))</f>
        <v/>
      </c>
      <c r="AL889" s="81" t="str">
        <f aca="false">IF(AH889&lt;&gt;"",AH889,IF(AC889&lt;&gt;"",AC889,IF(X889&lt;&gt;"",X889,"")))</f>
        <v/>
      </c>
      <c r="AM889" s="83" t="str">
        <f aca="false">IF(E889="","",IF(R889="","À SOUDER",IF(U889="","VT EN ATTENTE",IF(U889="R","VT REJETÉ – À REPRENDRE",IF(AL889="","À RADIOGRAPHIER",IF(AL889="A","ACCEPTÉ",IF(AL889="NX","NX – RT À REFAIRE",IF(IF(AK889=1,Z889,IF(AK889=2,AE889,""))="A","RÉPARÉ – À RADIOGRAPHIER",IF(IF(AK889=1,Z889,IF(AK889=2,AE889,""))="R","VT REJETÉ – À REPRENDRE",IF(OR(AL889="CO",AL889="NT"),"COUPE – À RESOUDER","À RÉPARER"))))))))))</f>
        <v/>
      </c>
      <c r="AN889" s="81" t="str">
        <f aca="false">IF(AND(ISNUMBER(R889),OR(AM889="À RADIOGRAPHIER",AM889="RÉPARÉ – À RADIOGRAPHIER",AM889="NX – RT À REFAIRE",AM889="À RÉPARER",AM889="COUPE – À RESOUDER",AM889="VT REJETÉ – À REPRENDRE")),MAX(0,'PROGRAMME RT'!$C$4-R889),"")</f>
        <v/>
      </c>
      <c r="AO889" s="78" t="n">
        <f aca="false">IF(AND(OR(AM889="À RADIOGRAPHIER",AM889="RÉPARÉ – À RADIOGRAPHIER",AM889="NX – RT À REFAIRE"),OR('PROGRAMME RT'!$D$5="TOUTES",B889='PROGRAMME RT'!$D$5)),1,0)</f>
        <v>0</v>
      </c>
      <c r="AP889" s="78" t="str">
        <f aca="false">IF(AO889=1,SUM(AO$7:AO889),"")</f>
        <v/>
      </c>
      <c r="AQ889" s="78" t="n">
        <f aca="false">IF(AND(OR(X889="R",X889="NX",X889="NT",X889="CO"),OR('JOINTS DE RÉPARATION'!$D$5="TOUTES",B889='JOINTS DE RÉPARATION'!$D$5),OR('JOINTS DE RÉPARATION'!$L$4="TOUS",AM889&lt;&gt;"ACCEPTÉ")),1,0)</f>
        <v>0</v>
      </c>
      <c r="AR889" s="78" t="str">
        <f aca="false">IF(AQ889=1,SUM(AQ$7:AQ889),"")</f>
        <v/>
      </c>
    </row>
    <row r="890" customFormat="false" ht="15" hidden="false" customHeight="false" outlineLevel="0" collapsed="false">
      <c r="A890" s="78" t="str">
        <f aca="false">IF(E890="","",ROW()-6)</f>
        <v/>
      </c>
      <c r="B890" s="79"/>
      <c r="C890" s="80"/>
      <c r="D890" s="80"/>
      <c r="E890" s="80"/>
      <c r="F890" s="80"/>
      <c r="G890" s="80"/>
      <c r="H890" s="80"/>
      <c r="I890" s="80"/>
      <c r="J890" s="80"/>
      <c r="K890" s="80"/>
      <c r="L890" s="81" t="str">
        <f aca="false">IF(K890="","",IFERROR(INDEX(BARDAGE!$C$7:$C$1506,MATCH(K890,BARDAGE!$B$7:$B$1506,0)),"? hors registre"))</f>
        <v/>
      </c>
      <c r="M890" s="80"/>
      <c r="N890" s="81" t="str">
        <f aca="false">IF(M890="","",IFERROR(INDEX(BARDAGE!$C$7:$C$1506,MATCH(M890,BARDAGE!$B$7:$B$1506,0)),"? hors registre"))</f>
        <v/>
      </c>
      <c r="O890" s="80"/>
      <c r="P890" s="80"/>
      <c r="Q890" s="80"/>
      <c r="R890" s="82"/>
      <c r="S890" s="82"/>
      <c r="T890" s="80"/>
      <c r="U890" s="80"/>
      <c r="V890" s="82"/>
      <c r="W890" s="80"/>
      <c r="X890" s="80"/>
      <c r="Y890" s="80"/>
      <c r="Z890" s="80"/>
      <c r="AA890" s="82"/>
      <c r="AB890" s="80"/>
      <c r="AC890" s="80"/>
      <c r="AD890" s="80"/>
      <c r="AE890" s="80"/>
      <c r="AF890" s="82"/>
      <c r="AG890" s="80"/>
      <c r="AH890" s="80"/>
      <c r="AI890" s="82"/>
      <c r="AJ890" s="79"/>
      <c r="AK890" s="78" t="str">
        <f aca="false">IF(E890="","",(X890&lt;&gt;"")+(AC890&lt;&gt;"")+(AH890&lt;&gt;""))</f>
        <v/>
      </c>
      <c r="AL890" s="81" t="str">
        <f aca="false">IF(AH890&lt;&gt;"",AH890,IF(AC890&lt;&gt;"",AC890,IF(X890&lt;&gt;"",X890,"")))</f>
        <v/>
      </c>
      <c r="AM890" s="83" t="str">
        <f aca="false">IF(E890="","",IF(R890="","À SOUDER",IF(U890="","VT EN ATTENTE",IF(U890="R","VT REJETÉ – À REPRENDRE",IF(AL890="","À RADIOGRAPHIER",IF(AL890="A","ACCEPTÉ",IF(AL890="NX","NX – RT À REFAIRE",IF(IF(AK890=1,Z890,IF(AK890=2,AE890,""))="A","RÉPARÉ – À RADIOGRAPHIER",IF(IF(AK890=1,Z890,IF(AK890=2,AE890,""))="R","VT REJETÉ – À REPRENDRE",IF(OR(AL890="CO",AL890="NT"),"COUPE – À RESOUDER","À RÉPARER"))))))))))</f>
        <v/>
      </c>
      <c r="AN890" s="81" t="str">
        <f aca="false">IF(AND(ISNUMBER(R890),OR(AM890="À RADIOGRAPHIER",AM890="RÉPARÉ – À RADIOGRAPHIER",AM890="NX – RT À REFAIRE",AM890="À RÉPARER",AM890="COUPE – À RESOUDER",AM890="VT REJETÉ – À REPRENDRE")),MAX(0,'PROGRAMME RT'!$C$4-R890),"")</f>
        <v/>
      </c>
      <c r="AO890" s="78" t="n">
        <f aca="false">IF(AND(OR(AM890="À RADIOGRAPHIER",AM890="RÉPARÉ – À RADIOGRAPHIER",AM890="NX – RT À REFAIRE"),OR('PROGRAMME RT'!$D$5="TOUTES",B890='PROGRAMME RT'!$D$5)),1,0)</f>
        <v>0</v>
      </c>
      <c r="AP890" s="78" t="str">
        <f aca="false">IF(AO890=1,SUM(AO$7:AO890),"")</f>
        <v/>
      </c>
      <c r="AQ890" s="78" t="n">
        <f aca="false">IF(AND(OR(X890="R",X890="NX",X890="NT",X890="CO"),OR('JOINTS DE RÉPARATION'!$D$5="TOUTES",B890='JOINTS DE RÉPARATION'!$D$5),OR('JOINTS DE RÉPARATION'!$L$4="TOUS",AM890&lt;&gt;"ACCEPTÉ")),1,0)</f>
        <v>0</v>
      </c>
      <c r="AR890" s="78" t="str">
        <f aca="false">IF(AQ890=1,SUM(AQ$7:AQ890),"")</f>
        <v/>
      </c>
    </row>
    <row r="891" customFormat="false" ht="15" hidden="false" customHeight="false" outlineLevel="0" collapsed="false">
      <c r="A891" s="78" t="str">
        <f aca="false">IF(E891="","",ROW()-6)</f>
        <v/>
      </c>
      <c r="B891" s="79"/>
      <c r="C891" s="80"/>
      <c r="D891" s="80"/>
      <c r="E891" s="80"/>
      <c r="F891" s="80"/>
      <c r="G891" s="80"/>
      <c r="H891" s="80"/>
      <c r="I891" s="80"/>
      <c r="J891" s="80"/>
      <c r="K891" s="80"/>
      <c r="L891" s="81" t="str">
        <f aca="false">IF(K891="","",IFERROR(INDEX(BARDAGE!$C$7:$C$1506,MATCH(K891,BARDAGE!$B$7:$B$1506,0)),"? hors registre"))</f>
        <v/>
      </c>
      <c r="M891" s="80"/>
      <c r="N891" s="81" t="str">
        <f aca="false">IF(M891="","",IFERROR(INDEX(BARDAGE!$C$7:$C$1506,MATCH(M891,BARDAGE!$B$7:$B$1506,0)),"? hors registre"))</f>
        <v/>
      </c>
      <c r="O891" s="80"/>
      <c r="P891" s="80"/>
      <c r="Q891" s="80"/>
      <c r="R891" s="82"/>
      <c r="S891" s="82"/>
      <c r="T891" s="80"/>
      <c r="U891" s="80"/>
      <c r="V891" s="82"/>
      <c r="W891" s="80"/>
      <c r="X891" s="80"/>
      <c r="Y891" s="80"/>
      <c r="Z891" s="80"/>
      <c r="AA891" s="82"/>
      <c r="AB891" s="80"/>
      <c r="AC891" s="80"/>
      <c r="AD891" s="80"/>
      <c r="AE891" s="80"/>
      <c r="AF891" s="82"/>
      <c r="AG891" s="80"/>
      <c r="AH891" s="80"/>
      <c r="AI891" s="82"/>
      <c r="AJ891" s="79"/>
      <c r="AK891" s="78" t="str">
        <f aca="false">IF(E891="","",(X891&lt;&gt;"")+(AC891&lt;&gt;"")+(AH891&lt;&gt;""))</f>
        <v/>
      </c>
      <c r="AL891" s="81" t="str">
        <f aca="false">IF(AH891&lt;&gt;"",AH891,IF(AC891&lt;&gt;"",AC891,IF(X891&lt;&gt;"",X891,"")))</f>
        <v/>
      </c>
      <c r="AM891" s="83" t="str">
        <f aca="false">IF(E891="","",IF(R891="","À SOUDER",IF(U891="","VT EN ATTENTE",IF(U891="R","VT REJETÉ – À REPRENDRE",IF(AL891="","À RADIOGRAPHIER",IF(AL891="A","ACCEPTÉ",IF(AL891="NX","NX – RT À REFAIRE",IF(IF(AK891=1,Z891,IF(AK891=2,AE891,""))="A","RÉPARÉ – À RADIOGRAPHIER",IF(IF(AK891=1,Z891,IF(AK891=2,AE891,""))="R","VT REJETÉ – À REPRENDRE",IF(OR(AL891="CO",AL891="NT"),"COUPE – À RESOUDER","À RÉPARER"))))))))))</f>
        <v/>
      </c>
      <c r="AN891" s="81" t="str">
        <f aca="false">IF(AND(ISNUMBER(R891),OR(AM891="À RADIOGRAPHIER",AM891="RÉPARÉ – À RADIOGRAPHIER",AM891="NX – RT À REFAIRE",AM891="À RÉPARER",AM891="COUPE – À RESOUDER",AM891="VT REJETÉ – À REPRENDRE")),MAX(0,'PROGRAMME RT'!$C$4-R891),"")</f>
        <v/>
      </c>
      <c r="AO891" s="78" t="n">
        <f aca="false">IF(AND(OR(AM891="À RADIOGRAPHIER",AM891="RÉPARÉ – À RADIOGRAPHIER",AM891="NX – RT À REFAIRE"),OR('PROGRAMME RT'!$D$5="TOUTES",B891='PROGRAMME RT'!$D$5)),1,0)</f>
        <v>0</v>
      </c>
      <c r="AP891" s="78" t="str">
        <f aca="false">IF(AO891=1,SUM(AO$7:AO891),"")</f>
        <v/>
      </c>
      <c r="AQ891" s="78" t="n">
        <f aca="false">IF(AND(OR(X891="R",X891="NX",X891="NT",X891="CO"),OR('JOINTS DE RÉPARATION'!$D$5="TOUTES",B891='JOINTS DE RÉPARATION'!$D$5),OR('JOINTS DE RÉPARATION'!$L$4="TOUS",AM891&lt;&gt;"ACCEPTÉ")),1,0)</f>
        <v>0</v>
      </c>
      <c r="AR891" s="78" t="str">
        <f aca="false">IF(AQ891=1,SUM(AQ$7:AQ891),"")</f>
        <v/>
      </c>
    </row>
    <row r="892" customFormat="false" ht="15" hidden="false" customHeight="false" outlineLevel="0" collapsed="false">
      <c r="A892" s="78" t="str">
        <f aca="false">IF(E892="","",ROW()-6)</f>
        <v/>
      </c>
      <c r="B892" s="79"/>
      <c r="C892" s="80"/>
      <c r="D892" s="80"/>
      <c r="E892" s="80"/>
      <c r="F892" s="80"/>
      <c r="G892" s="80"/>
      <c r="H892" s="80"/>
      <c r="I892" s="80"/>
      <c r="J892" s="80"/>
      <c r="K892" s="80"/>
      <c r="L892" s="81" t="str">
        <f aca="false">IF(K892="","",IFERROR(INDEX(BARDAGE!$C$7:$C$1506,MATCH(K892,BARDAGE!$B$7:$B$1506,0)),"? hors registre"))</f>
        <v/>
      </c>
      <c r="M892" s="80"/>
      <c r="N892" s="81" t="str">
        <f aca="false">IF(M892="","",IFERROR(INDEX(BARDAGE!$C$7:$C$1506,MATCH(M892,BARDAGE!$B$7:$B$1506,0)),"? hors registre"))</f>
        <v/>
      </c>
      <c r="O892" s="80"/>
      <c r="P892" s="80"/>
      <c r="Q892" s="80"/>
      <c r="R892" s="82"/>
      <c r="S892" s="82"/>
      <c r="T892" s="80"/>
      <c r="U892" s="80"/>
      <c r="V892" s="82"/>
      <c r="W892" s="80"/>
      <c r="X892" s="80"/>
      <c r="Y892" s="80"/>
      <c r="Z892" s="80"/>
      <c r="AA892" s="82"/>
      <c r="AB892" s="80"/>
      <c r="AC892" s="80"/>
      <c r="AD892" s="80"/>
      <c r="AE892" s="80"/>
      <c r="AF892" s="82"/>
      <c r="AG892" s="80"/>
      <c r="AH892" s="80"/>
      <c r="AI892" s="82"/>
      <c r="AJ892" s="79"/>
      <c r="AK892" s="78" t="str">
        <f aca="false">IF(E892="","",(X892&lt;&gt;"")+(AC892&lt;&gt;"")+(AH892&lt;&gt;""))</f>
        <v/>
      </c>
      <c r="AL892" s="81" t="str">
        <f aca="false">IF(AH892&lt;&gt;"",AH892,IF(AC892&lt;&gt;"",AC892,IF(X892&lt;&gt;"",X892,"")))</f>
        <v/>
      </c>
      <c r="AM892" s="83" t="str">
        <f aca="false">IF(E892="","",IF(R892="","À SOUDER",IF(U892="","VT EN ATTENTE",IF(U892="R","VT REJETÉ – À REPRENDRE",IF(AL892="","À RADIOGRAPHIER",IF(AL892="A","ACCEPTÉ",IF(AL892="NX","NX – RT À REFAIRE",IF(IF(AK892=1,Z892,IF(AK892=2,AE892,""))="A","RÉPARÉ – À RADIOGRAPHIER",IF(IF(AK892=1,Z892,IF(AK892=2,AE892,""))="R","VT REJETÉ – À REPRENDRE",IF(OR(AL892="CO",AL892="NT"),"COUPE – À RESOUDER","À RÉPARER"))))))))))</f>
        <v/>
      </c>
      <c r="AN892" s="81" t="str">
        <f aca="false">IF(AND(ISNUMBER(R892),OR(AM892="À RADIOGRAPHIER",AM892="RÉPARÉ – À RADIOGRAPHIER",AM892="NX – RT À REFAIRE",AM892="À RÉPARER",AM892="COUPE – À RESOUDER",AM892="VT REJETÉ – À REPRENDRE")),MAX(0,'PROGRAMME RT'!$C$4-R892),"")</f>
        <v/>
      </c>
      <c r="AO892" s="78" t="n">
        <f aca="false">IF(AND(OR(AM892="À RADIOGRAPHIER",AM892="RÉPARÉ – À RADIOGRAPHIER",AM892="NX – RT À REFAIRE"),OR('PROGRAMME RT'!$D$5="TOUTES",B892='PROGRAMME RT'!$D$5)),1,0)</f>
        <v>0</v>
      </c>
      <c r="AP892" s="78" t="str">
        <f aca="false">IF(AO892=1,SUM(AO$7:AO892),"")</f>
        <v/>
      </c>
      <c r="AQ892" s="78" t="n">
        <f aca="false">IF(AND(OR(X892="R",X892="NX",X892="NT",X892="CO"),OR('JOINTS DE RÉPARATION'!$D$5="TOUTES",B892='JOINTS DE RÉPARATION'!$D$5),OR('JOINTS DE RÉPARATION'!$L$4="TOUS",AM892&lt;&gt;"ACCEPTÉ")),1,0)</f>
        <v>0</v>
      </c>
      <c r="AR892" s="78" t="str">
        <f aca="false">IF(AQ892=1,SUM(AQ$7:AQ892),"")</f>
        <v/>
      </c>
    </row>
    <row r="893" customFormat="false" ht="15" hidden="false" customHeight="false" outlineLevel="0" collapsed="false">
      <c r="A893" s="78" t="str">
        <f aca="false">IF(E893="","",ROW()-6)</f>
        <v/>
      </c>
      <c r="B893" s="79"/>
      <c r="C893" s="80"/>
      <c r="D893" s="80"/>
      <c r="E893" s="80"/>
      <c r="F893" s="80"/>
      <c r="G893" s="80"/>
      <c r="H893" s="80"/>
      <c r="I893" s="80"/>
      <c r="J893" s="80"/>
      <c r="K893" s="80"/>
      <c r="L893" s="81" t="str">
        <f aca="false">IF(K893="","",IFERROR(INDEX(BARDAGE!$C$7:$C$1506,MATCH(K893,BARDAGE!$B$7:$B$1506,0)),"? hors registre"))</f>
        <v/>
      </c>
      <c r="M893" s="80"/>
      <c r="N893" s="81" t="str">
        <f aca="false">IF(M893="","",IFERROR(INDEX(BARDAGE!$C$7:$C$1506,MATCH(M893,BARDAGE!$B$7:$B$1506,0)),"? hors registre"))</f>
        <v/>
      </c>
      <c r="O893" s="80"/>
      <c r="P893" s="80"/>
      <c r="Q893" s="80"/>
      <c r="R893" s="82"/>
      <c r="S893" s="82"/>
      <c r="T893" s="80"/>
      <c r="U893" s="80"/>
      <c r="V893" s="82"/>
      <c r="W893" s="80"/>
      <c r="X893" s="80"/>
      <c r="Y893" s="80"/>
      <c r="Z893" s="80"/>
      <c r="AA893" s="82"/>
      <c r="AB893" s="80"/>
      <c r="AC893" s="80"/>
      <c r="AD893" s="80"/>
      <c r="AE893" s="80"/>
      <c r="AF893" s="82"/>
      <c r="AG893" s="80"/>
      <c r="AH893" s="80"/>
      <c r="AI893" s="82"/>
      <c r="AJ893" s="79"/>
      <c r="AK893" s="78" t="str">
        <f aca="false">IF(E893="","",(X893&lt;&gt;"")+(AC893&lt;&gt;"")+(AH893&lt;&gt;""))</f>
        <v/>
      </c>
      <c r="AL893" s="81" t="str">
        <f aca="false">IF(AH893&lt;&gt;"",AH893,IF(AC893&lt;&gt;"",AC893,IF(X893&lt;&gt;"",X893,"")))</f>
        <v/>
      </c>
      <c r="AM893" s="83" t="str">
        <f aca="false">IF(E893="","",IF(R893="","À SOUDER",IF(U893="","VT EN ATTENTE",IF(U893="R","VT REJETÉ – À REPRENDRE",IF(AL893="","À RADIOGRAPHIER",IF(AL893="A","ACCEPTÉ",IF(AL893="NX","NX – RT À REFAIRE",IF(IF(AK893=1,Z893,IF(AK893=2,AE893,""))="A","RÉPARÉ – À RADIOGRAPHIER",IF(IF(AK893=1,Z893,IF(AK893=2,AE893,""))="R","VT REJETÉ – À REPRENDRE",IF(OR(AL893="CO",AL893="NT"),"COUPE – À RESOUDER","À RÉPARER"))))))))))</f>
        <v/>
      </c>
      <c r="AN893" s="81" t="str">
        <f aca="false">IF(AND(ISNUMBER(R893),OR(AM893="À RADIOGRAPHIER",AM893="RÉPARÉ – À RADIOGRAPHIER",AM893="NX – RT À REFAIRE",AM893="À RÉPARER",AM893="COUPE – À RESOUDER",AM893="VT REJETÉ – À REPRENDRE")),MAX(0,'PROGRAMME RT'!$C$4-R893),"")</f>
        <v/>
      </c>
      <c r="AO893" s="78" t="n">
        <f aca="false">IF(AND(OR(AM893="À RADIOGRAPHIER",AM893="RÉPARÉ – À RADIOGRAPHIER",AM893="NX – RT À REFAIRE"),OR('PROGRAMME RT'!$D$5="TOUTES",B893='PROGRAMME RT'!$D$5)),1,0)</f>
        <v>0</v>
      </c>
      <c r="AP893" s="78" t="str">
        <f aca="false">IF(AO893=1,SUM(AO$7:AO893),"")</f>
        <v/>
      </c>
      <c r="AQ893" s="78" t="n">
        <f aca="false">IF(AND(OR(X893="R",X893="NX",X893="NT",X893="CO"),OR('JOINTS DE RÉPARATION'!$D$5="TOUTES",B893='JOINTS DE RÉPARATION'!$D$5),OR('JOINTS DE RÉPARATION'!$L$4="TOUS",AM893&lt;&gt;"ACCEPTÉ")),1,0)</f>
        <v>0</v>
      </c>
      <c r="AR893" s="78" t="str">
        <f aca="false">IF(AQ893=1,SUM(AQ$7:AQ893),"")</f>
        <v/>
      </c>
    </row>
    <row r="894" customFormat="false" ht="15" hidden="false" customHeight="false" outlineLevel="0" collapsed="false">
      <c r="A894" s="78" t="str">
        <f aca="false">IF(E894="","",ROW()-6)</f>
        <v/>
      </c>
      <c r="B894" s="79"/>
      <c r="C894" s="80"/>
      <c r="D894" s="80"/>
      <c r="E894" s="80"/>
      <c r="F894" s="80"/>
      <c r="G894" s="80"/>
      <c r="H894" s="80"/>
      <c r="I894" s="80"/>
      <c r="J894" s="80"/>
      <c r="K894" s="80"/>
      <c r="L894" s="81" t="str">
        <f aca="false">IF(K894="","",IFERROR(INDEX(BARDAGE!$C$7:$C$1506,MATCH(K894,BARDAGE!$B$7:$B$1506,0)),"? hors registre"))</f>
        <v/>
      </c>
      <c r="M894" s="80"/>
      <c r="N894" s="81" t="str">
        <f aca="false">IF(M894="","",IFERROR(INDEX(BARDAGE!$C$7:$C$1506,MATCH(M894,BARDAGE!$B$7:$B$1506,0)),"? hors registre"))</f>
        <v/>
      </c>
      <c r="O894" s="80"/>
      <c r="P894" s="80"/>
      <c r="Q894" s="80"/>
      <c r="R894" s="82"/>
      <c r="S894" s="82"/>
      <c r="T894" s="80"/>
      <c r="U894" s="80"/>
      <c r="V894" s="82"/>
      <c r="W894" s="80"/>
      <c r="X894" s="80"/>
      <c r="Y894" s="80"/>
      <c r="Z894" s="80"/>
      <c r="AA894" s="82"/>
      <c r="AB894" s="80"/>
      <c r="AC894" s="80"/>
      <c r="AD894" s="80"/>
      <c r="AE894" s="80"/>
      <c r="AF894" s="82"/>
      <c r="AG894" s="80"/>
      <c r="AH894" s="80"/>
      <c r="AI894" s="82"/>
      <c r="AJ894" s="79"/>
      <c r="AK894" s="78" t="str">
        <f aca="false">IF(E894="","",(X894&lt;&gt;"")+(AC894&lt;&gt;"")+(AH894&lt;&gt;""))</f>
        <v/>
      </c>
      <c r="AL894" s="81" t="str">
        <f aca="false">IF(AH894&lt;&gt;"",AH894,IF(AC894&lt;&gt;"",AC894,IF(X894&lt;&gt;"",X894,"")))</f>
        <v/>
      </c>
      <c r="AM894" s="83" t="str">
        <f aca="false">IF(E894="","",IF(R894="","À SOUDER",IF(U894="","VT EN ATTENTE",IF(U894="R","VT REJETÉ – À REPRENDRE",IF(AL894="","À RADIOGRAPHIER",IF(AL894="A","ACCEPTÉ",IF(AL894="NX","NX – RT À REFAIRE",IF(IF(AK894=1,Z894,IF(AK894=2,AE894,""))="A","RÉPARÉ – À RADIOGRAPHIER",IF(IF(AK894=1,Z894,IF(AK894=2,AE894,""))="R","VT REJETÉ – À REPRENDRE",IF(OR(AL894="CO",AL894="NT"),"COUPE – À RESOUDER","À RÉPARER"))))))))))</f>
        <v/>
      </c>
      <c r="AN894" s="81" t="str">
        <f aca="false">IF(AND(ISNUMBER(R894),OR(AM894="À RADIOGRAPHIER",AM894="RÉPARÉ – À RADIOGRAPHIER",AM894="NX – RT À REFAIRE",AM894="À RÉPARER",AM894="COUPE – À RESOUDER",AM894="VT REJETÉ – À REPRENDRE")),MAX(0,'PROGRAMME RT'!$C$4-R894),"")</f>
        <v/>
      </c>
      <c r="AO894" s="78" t="n">
        <f aca="false">IF(AND(OR(AM894="À RADIOGRAPHIER",AM894="RÉPARÉ – À RADIOGRAPHIER",AM894="NX – RT À REFAIRE"),OR('PROGRAMME RT'!$D$5="TOUTES",B894='PROGRAMME RT'!$D$5)),1,0)</f>
        <v>0</v>
      </c>
      <c r="AP894" s="78" t="str">
        <f aca="false">IF(AO894=1,SUM(AO$7:AO894),"")</f>
        <v/>
      </c>
      <c r="AQ894" s="78" t="n">
        <f aca="false">IF(AND(OR(X894="R",X894="NX",X894="NT",X894="CO"),OR('JOINTS DE RÉPARATION'!$D$5="TOUTES",B894='JOINTS DE RÉPARATION'!$D$5),OR('JOINTS DE RÉPARATION'!$L$4="TOUS",AM894&lt;&gt;"ACCEPTÉ")),1,0)</f>
        <v>0</v>
      </c>
      <c r="AR894" s="78" t="str">
        <f aca="false">IF(AQ894=1,SUM(AQ$7:AQ894),"")</f>
        <v/>
      </c>
    </row>
    <row r="895" customFormat="false" ht="15" hidden="false" customHeight="false" outlineLevel="0" collapsed="false">
      <c r="A895" s="78" t="str">
        <f aca="false">IF(E895="","",ROW()-6)</f>
        <v/>
      </c>
      <c r="B895" s="79"/>
      <c r="C895" s="80"/>
      <c r="D895" s="80"/>
      <c r="E895" s="80"/>
      <c r="F895" s="80"/>
      <c r="G895" s="80"/>
      <c r="H895" s="80"/>
      <c r="I895" s="80"/>
      <c r="J895" s="80"/>
      <c r="K895" s="80"/>
      <c r="L895" s="81" t="str">
        <f aca="false">IF(K895="","",IFERROR(INDEX(BARDAGE!$C$7:$C$1506,MATCH(K895,BARDAGE!$B$7:$B$1506,0)),"? hors registre"))</f>
        <v/>
      </c>
      <c r="M895" s="80"/>
      <c r="N895" s="81" t="str">
        <f aca="false">IF(M895="","",IFERROR(INDEX(BARDAGE!$C$7:$C$1506,MATCH(M895,BARDAGE!$B$7:$B$1506,0)),"? hors registre"))</f>
        <v/>
      </c>
      <c r="O895" s="80"/>
      <c r="P895" s="80"/>
      <c r="Q895" s="80"/>
      <c r="R895" s="82"/>
      <c r="S895" s="82"/>
      <c r="T895" s="80"/>
      <c r="U895" s="80"/>
      <c r="V895" s="82"/>
      <c r="W895" s="80"/>
      <c r="X895" s="80"/>
      <c r="Y895" s="80"/>
      <c r="Z895" s="80"/>
      <c r="AA895" s="82"/>
      <c r="AB895" s="80"/>
      <c r="AC895" s="80"/>
      <c r="AD895" s="80"/>
      <c r="AE895" s="80"/>
      <c r="AF895" s="82"/>
      <c r="AG895" s="80"/>
      <c r="AH895" s="80"/>
      <c r="AI895" s="82"/>
      <c r="AJ895" s="79"/>
      <c r="AK895" s="78" t="str">
        <f aca="false">IF(E895="","",(X895&lt;&gt;"")+(AC895&lt;&gt;"")+(AH895&lt;&gt;""))</f>
        <v/>
      </c>
      <c r="AL895" s="81" t="str">
        <f aca="false">IF(AH895&lt;&gt;"",AH895,IF(AC895&lt;&gt;"",AC895,IF(X895&lt;&gt;"",X895,"")))</f>
        <v/>
      </c>
      <c r="AM895" s="83" t="str">
        <f aca="false">IF(E895="","",IF(R895="","À SOUDER",IF(U895="","VT EN ATTENTE",IF(U895="R","VT REJETÉ – À REPRENDRE",IF(AL895="","À RADIOGRAPHIER",IF(AL895="A","ACCEPTÉ",IF(AL895="NX","NX – RT À REFAIRE",IF(IF(AK895=1,Z895,IF(AK895=2,AE895,""))="A","RÉPARÉ – À RADIOGRAPHIER",IF(IF(AK895=1,Z895,IF(AK895=2,AE895,""))="R","VT REJETÉ – À REPRENDRE",IF(OR(AL895="CO",AL895="NT"),"COUPE – À RESOUDER","À RÉPARER"))))))))))</f>
        <v/>
      </c>
      <c r="AN895" s="81" t="str">
        <f aca="false">IF(AND(ISNUMBER(R895),OR(AM895="À RADIOGRAPHIER",AM895="RÉPARÉ – À RADIOGRAPHIER",AM895="NX – RT À REFAIRE",AM895="À RÉPARER",AM895="COUPE – À RESOUDER",AM895="VT REJETÉ – À REPRENDRE")),MAX(0,'PROGRAMME RT'!$C$4-R895),"")</f>
        <v/>
      </c>
      <c r="AO895" s="78" t="n">
        <f aca="false">IF(AND(OR(AM895="À RADIOGRAPHIER",AM895="RÉPARÉ – À RADIOGRAPHIER",AM895="NX – RT À REFAIRE"),OR('PROGRAMME RT'!$D$5="TOUTES",B895='PROGRAMME RT'!$D$5)),1,0)</f>
        <v>0</v>
      </c>
      <c r="AP895" s="78" t="str">
        <f aca="false">IF(AO895=1,SUM(AO$7:AO895),"")</f>
        <v/>
      </c>
      <c r="AQ895" s="78" t="n">
        <f aca="false">IF(AND(OR(X895="R",X895="NX",X895="NT",X895="CO"),OR('JOINTS DE RÉPARATION'!$D$5="TOUTES",B895='JOINTS DE RÉPARATION'!$D$5),OR('JOINTS DE RÉPARATION'!$L$4="TOUS",AM895&lt;&gt;"ACCEPTÉ")),1,0)</f>
        <v>0</v>
      </c>
      <c r="AR895" s="78" t="str">
        <f aca="false">IF(AQ895=1,SUM(AQ$7:AQ895),"")</f>
        <v/>
      </c>
    </row>
    <row r="896" customFormat="false" ht="15" hidden="false" customHeight="false" outlineLevel="0" collapsed="false">
      <c r="A896" s="78" t="str">
        <f aca="false">IF(E896="","",ROW()-6)</f>
        <v/>
      </c>
      <c r="B896" s="79"/>
      <c r="C896" s="80"/>
      <c r="D896" s="80"/>
      <c r="E896" s="80"/>
      <c r="F896" s="80"/>
      <c r="G896" s="80"/>
      <c r="H896" s="80"/>
      <c r="I896" s="80"/>
      <c r="J896" s="80"/>
      <c r="K896" s="80"/>
      <c r="L896" s="81" t="str">
        <f aca="false">IF(K896="","",IFERROR(INDEX(BARDAGE!$C$7:$C$1506,MATCH(K896,BARDAGE!$B$7:$B$1506,0)),"? hors registre"))</f>
        <v/>
      </c>
      <c r="M896" s="80"/>
      <c r="N896" s="81" t="str">
        <f aca="false">IF(M896="","",IFERROR(INDEX(BARDAGE!$C$7:$C$1506,MATCH(M896,BARDAGE!$B$7:$B$1506,0)),"? hors registre"))</f>
        <v/>
      </c>
      <c r="O896" s="80"/>
      <c r="P896" s="80"/>
      <c r="Q896" s="80"/>
      <c r="R896" s="82"/>
      <c r="S896" s="82"/>
      <c r="T896" s="80"/>
      <c r="U896" s="80"/>
      <c r="V896" s="82"/>
      <c r="W896" s="80"/>
      <c r="X896" s="80"/>
      <c r="Y896" s="80"/>
      <c r="Z896" s="80"/>
      <c r="AA896" s="82"/>
      <c r="AB896" s="80"/>
      <c r="AC896" s="80"/>
      <c r="AD896" s="80"/>
      <c r="AE896" s="80"/>
      <c r="AF896" s="82"/>
      <c r="AG896" s="80"/>
      <c r="AH896" s="80"/>
      <c r="AI896" s="82"/>
      <c r="AJ896" s="79"/>
      <c r="AK896" s="78" t="str">
        <f aca="false">IF(E896="","",(X896&lt;&gt;"")+(AC896&lt;&gt;"")+(AH896&lt;&gt;""))</f>
        <v/>
      </c>
      <c r="AL896" s="81" t="str">
        <f aca="false">IF(AH896&lt;&gt;"",AH896,IF(AC896&lt;&gt;"",AC896,IF(X896&lt;&gt;"",X896,"")))</f>
        <v/>
      </c>
      <c r="AM896" s="83" t="str">
        <f aca="false">IF(E896="","",IF(R896="","À SOUDER",IF(U896="","VT EN ATTENTE",IF(U896="R","VT REJETÉ – À REPRENDRE",IF(AL896="","À RADIOGRAPHIER",IF(AL896="A","ACCEPTÉ",IF(AL896="NX","NX – RT À REFAIRE",IF(IF(AK896=1,Z896,IF(AK896=2,AE896,""))="A","RÉPARÉ – À RADIOGRAPHIER",IF(IF(AK896=1,Z896,IF(AK896=2,AE896,""))="R","VT REJETÉ – À REPRENDRE",IF(OR(AL896="CO",AL896="NT"),"COUPE – À RESOUDER","À RÉPARER"))))))))))</f>
        <v/>
      </c>
      <c r="AN896" s="81" t="str">
        <f aca="false">IF(AND(ISNUMBER(R896),OR(AM896="À RADIOGRAPHIER",AM896="RÉPARÉ – À RADIOGRAPHIER",AM896="NX – RT À REFAIRE",AM896="À RÉPARER",AM896="COUPE – À RESOUDER",AM896="VT REJETÉ – À REPRENDRE")),MAX(0,'PROGRAMME RT'!$C$4-R896),"")</f>
        <v/>
      </c>
      <c r="AO896" s="78" t="n">
        <f aca="false">IF(AND(OR(AM896="À RADIOGRAPHIER",AM896="RÉPARÉ – À RADIOGRAPHIER",AM896="NX – RT À REFAIRE"),OR('PROGRAMME RT'!$D$5="TOUTES",B896='PROGRAMME RT'!$D$5)),1,0)</f>
        <v>0</v>
      </c>
      <c r="AP896" s="78" t="str">
        <f aca="false">IF(AO896=1,SUM(AO$7:AO896),"")</f>
        <v/>
      </c>
      <c r="AQ896" s="78" t="n">
        <f aca="false">IF(AND(OR(X896="R",X896="NX",X896="NT",X896="CO"),OR('JOINTS DE RÉPARATION'!$D$5="TOUTES",B896='JOINTS DE RÉPARATION'!$D$5),OR('JOINTS DE RÉPARATION'!$L$4="TOUS",AM896&lt;&gt;"ACCEPTÉ")),1,0)</f>
        <v>0</v>
      </c>
      <c r="AR896" s="78" t="str">
        <f aca="false">IF(AQ896=1,SUM(AQ$7:AQ896),"")</f>
        <v/>
      </c>
    </row>
    <row r="897" customFormat="false" ht="15" hidden="false" customHeight="false" outlineLevel="0" collapsed="false">
      <c r="A897" s="78" t="str">
        <f aca="false">IF(E897="","",ROW()-6)</f>
        <v/>
      </c>
      <c r="B897" s="79"/>
      <c r="C897" s="80"/>
      <c r="D897" s="80"/>
      <c r="E897" s="80"/>
      <c r="F897" s="80"/>
      <c r="G897" s="80"/>
      <c r="H897" s="80"/>
      <c r="I897" s="80"/>
      <c r="J897" s="80"/>
      <c r="K897" s="80"/>
      <c r="L897" s="81" t="str">
        <f aca="false">IF(K897="","",IFERROR(INDEX(BARDAGE!$C$7:$C$1506,MATCH(K897,BARDAGE!$B$7:$B$1506,0)),"? hors registre"))</f>
        <v/>
      </c>
      <c r="M897" s="80"/>
      <c r="N897" s="81" t="str">
        <f aca="false">IF(M897="","",IFERROR(INDEX(BARDAGE!$C$7:$C$1506,MATCH(M897,BARDAGE!$B$7:$B$1506,0)),"? hors registre"))</f>
        <v/>
      </c>
      <c r="O897" s="80"/>
      <c r="P897" s="80"/>
      <c r="Q897" s="80"/>
      <c r="R897" s="82"/>
      <c r="S897" s="82"/>
      <c r="T897" s="80"/>
      <c r="U897" s="80"/>
      <c r="V897" s="82"/>
      <c r="W897" s="80"/>
      <c r="X897" s="80"/>
      <c r="Y897" s="80"/>
      <c r="Z897" s="80"/>
      <c r="AA897" s="82"/>
      <c r="AB897" s="80"/>
      <c r="AC897" s="80"/>
      <c r="AD897" s="80"/>
      <c r="AE897" s="80"/>
      <c r="AF897" s="82"/>
      <c r="AG897" s="80"/>
      <c r="AH897" s="80"/>
      <c r="AI897" s="82"/>
      <c r="AJ897" s="79"/>
      <c r="AK897" s="78" t="str">
        <f aca="false">IF(E897="","",(X897&lt;&gt;"")+(AC897&lt;&gt;"")+(AH897&lt;&gt;""))</f>
        <v/>
      </c>
      <c r="AL897" s="81" t="str">
        <f aca="false">IF(AH897&lt;&gt;"",AH897,IF(AC897&lt;&gt;"",AC897,IF(X897&lt;&gt;"",X897,"")))</f>
        <v/>
      </c>
      <c r="AM897" s="83" t="str">
        <f aca="false">IF(E897="","",IF(R897="","À SOUDER",IF(U897="","VT EN ATTENTE",IF(U897="R","VT REJETÉ – À REPRENDRE",IF(AL897="","À RADIOGRAPHIER",IF(AL897="A","ACCEPTÉ",IF(AL897="NX","NX – RT À REFAIRE",IF(IF(AK897=1,Z897,IF(AK897=2,AE897,""))="A","RÉPARÉ – À RADIOGRAPHIER",IF(IF(AK897=1,Z897,IF(AK897=2,AE897,""))="R","VT REJETÉ – À REPRENDRE",IF(OR(AL897="CO",AL897="NT"),"COUPE – À RESOUDER","À RÉPARER"))))))))))</f>
        <v/>
      </c>
      <c r="AN897" s="81" t="str">
        <f aca="false">IF(AND(ISNUMBER(R897),OR(AM897="À RADIOGRAPHIER",AM897="RÉPARÉ – À RADIOGRAPHIER",AM897="NX – RT À REFAIRE",AM897="À RÉPARER",AM897="COUPE – À RESOUDER",AM897="VT REJETÉ – À REPRENDRE")),MAX(0,'PROGRAMME RT'!$C$4-R897),"")</f>
        <v/>
      </c>
      <c r="AO897" s="78" t="n">
        <f aca="false">IF(AND(OR(AM897="À RADIOGRAPHIER",AM897="RÉPARÉ – À RADIOGRAPHIER",AM897="NX – RT À REFAIRE"),OR('PROGRAMME RT'!$D$5="TOUTES",B897='PROGRAMME RT'!$D$5)),1,0)</f>
        <v>0</v>
      </c>
      <c r="AP897" s="78" t="str">
        <f aca="false">IF(AO897=1,SUM(AO$7:AO897),"")</f>
        <v/>
      </c>
      <c r="AQ897" s="78" t="n">
        <f aca="false">IF(AND(OR(X897="R",X897="NX",X897="NT",X897="CO"),OR('JOINTS DE RÉPARATION'!$D$5="TOUTES",B897='JOINTS DE RÉPARATION'!$D$5),OR('JOINTS DE RÉPARATION'!$L$4="TOUS",AM897&lt;&gt;"ACCEPTÉ")),1,0)</f>
        <v>0</v>
      </c>
      <c r="AR897" s="78" t="str">
        <f aca="false">IF(AQ897=1,SUM(AQ$7:AQ897),"")</f>
        <v/>
      </c>
    </row>
    <row r="898" customFormat="false" ht="15" hidden="false" customHeight="false" outlineLevel="0" collapsed="false">
      <c r="A898" s="78" t="str">
        <f aca="false">IF(E898="","",ROW()-6)</f>
        <v/>
      </c>
      <c r="B898" s="79"/>
      <c r="C898" s="80"/>
      <c r="D898" s="80"/>
      <c r="E898" s="80"/>
      <c r="F898" s="80"/>
      <c r="G898" s="80"/>
      <c r="H898" s="80"/>
      <c r="I898" s="80"/>
      <c r="J898" s="80"/>
      <c r="K898" s="80"/>
      <c r="L898" s="81" t="str">
        <f aca="false">IF(K898="","",IFERROR(INDEX(BARDAGE!$C$7:$C$1506,MATCH(K898,BARDAGE!$B$7:$B$1506,0)),"? hors registre"))</f>
        <v/>
      </c>
      <c r="M898" s="80"/>
      <c r="N898" s="81" t="str">
        <f aca="false">IF(M898="","",IFERROR(INDEX(BARDAGE!$C$7:$C$1506,MATCH(M898,BARDAGE!$B$7:$B$1506,0)),"? hors registre"))</f>
        <v/>
      </c>
      <c r="O898" s="80"/>
      <c r="P898" s="80"/>
      <c r="Q898" s="80"/>
      <c r="R898" s="82"/>
      <c r="S898" s="82"/>
      <c r="T898" s="80"/>
      <c r="U898" s="80"/>
      <c r="V898" s="82"/>
      <c r="W898" s="80"/>
      <c r="X898" s="80"/>
      <c r="Y898" s="80"/>
      <c r="Z898" s="80"/>
      <c r="AA898" s="82"/>
      <c r="AB898" s="80"/>
      <c r="AC898" s="80"/>
      <c r="AD898" s="80"/>
      <c r="AE898" s="80"/>
      <c r="AF898" s="82"/>
      <c r="AG898" s="80"/>
      <c r="AH898" s="80"/>
      <c r="AI898" s="82"/>
      <c r="AJ898" s="79"/>
      <c r="AK898" s="78" t="str">
        <f aca="false">IF(E898="","",(X898&lt;&gt;"")+(AC898&lt;&gt;"")+(AH898&lt;&gt;""))</f>
        <v/>
      </c>
      <c r="AL898" s="81" t="str">
        <f aca="false">IF(AH898&lt;&gt;"",AH898,IF(AC898&lt;&gt;"",AC898,IF(X898&lt;&gt;"",X898,"")))</f>
        <v/>
      </c>
      <c r="AM898" s="83" t="str">
        <f aca="false">IF(E898="","",IF(R898="","À SOUDER",IF(U898="","VT EN ATTENTE",IF(U898="R","VT REJETÉ – À REPRENDRE",IF(AL898="","À RADIOGRAPHIER",IF(AL898="A","ACCEPTÉ",IF(AL898="NX","NX – RT À REFAIRE",IF(IF(AK898=1,Z898,IF(AK898=2,AE898,""))="A","RÉPARÉ – À RADIOGRAPHIER",IF(IF(AK898=1,Z898,IF(AK898=2,AE898,""))="R","VT REJETÉ – À REPRENDRE",IF(OR(AL898="CO",AL898="NT"),"COUPE – À RESOUDER","À RÉPARER"))))))))))</f>
        <v/>
      </c>
      <c r="AN898" s="81" t="str">
        <f aca="false">IF(AND(ISNUMBER(R898),OR(AM898="À RADIOGRAPHIER",AM898="RÉPARÉ – À RADIOGRAPHIER",AM898="NX – RT À REFAIRE",AM898="À RÉPARER",AM898="COUPE – À RESOUDER",AM898="VT REJETÉ – À REPRENDRE")),MAX(0,'PROGRAMME RT'!$C$4-R898),"")</f>
        <v/>
      </c>
      <c r="AO898" s="78" t="n">
        <f aca="false">IF(AND(OR(AM898="À RADIOGRAPHIER",AM898="RÉPARÉ – À RADIOGRAPHIER",AM898="NX – RT À REFAIRE"),OR('PROGRAMME RT'!$D$5="TOUTES",B898='PROGRAMME RT'!$D$5)),1,0)</f>
        <v>0</v>
      </c>
      <c r="AP898" s="78" t="str">
        <f aca="false">IF(AO898=1,SUM(AO$7:AO898),"")</f>
        <v/>
      </c>
      <c r="AQ898" s="78" t="n">
        <f aca="false">IF(AND(OR(X898="R",X898="NX",X898="NT",X898="CO"),OR('JOINTS DE RÉPARATION'!$D$5="TOUTES",B898='JOINTS DE RÉPARATION'!$D$5),OR('JOINTS DE RÉPARATION'!$L$4="TOUS",AM898&lt;&gt;"ACCEPTÉ")),1,0)</f>
        <v>0</v>
      </c>
      <c r="AR898" s="78" t="str">
        <f aca="false">IF(AQ898=1,SUM(AQ$7:AQ898),"")</f>
        <v/>
      </c>
    </row>
    <row r="899" customFormat="false" ht="15" hidden="false" customHeight="false" outlineLevel="0" collapsed="false">
      <c r="A899" s="78" t="str">
        <f aca="false">IF(E899="","",ROW()-6)</f>
        <v/>
      </c>
      <c r="B899" s="79"/>
      <c r="C899" s="80"/>
      <c r="D899" s="80"/>
      <c r="E899" s="80"/>
      <c r="F899" s="80"/>
      <c r="G899" s="80"/>
      <c r="H899" s="80"/>
      <c r="I899" s="80"/>
      <c r="J899" s="80"/>
      <c r="K899" s="80"/>
      <c r="L899" s="81" t="str">
        <f aca="false">IF(K899="","",IFERROR(INDEX(BARDAGE!$C$7:$C$1506,MATCH(K899,BARDAGE!$B$7:$B$1506,0)),"? hors registre"))</f>
        <v/>
      </c>
      <c r="M899" s="80"/>
      <c r="N899" s="81" t="str">
        <f aca="false">IF(M899="","",IFERROR(INDEX(BARDAGE!$C$7:$C$1506,MATCH(M899,BARDAGE!$B$7:$B$1506,0)),"? hors registre"))</f>
        <v/>
      </c>
      <c r="O899" s="80"/>
      <c r="P899" s="80"/>
      <c r="Q899" s="80"/>
      <c r="R899" s="82"/>
      <c r="S899" s="82"/>
      <c r="T899" s="80"/>
      <c r="U899" s="80"/>
      <c r="V899" s="82"/>
      <c r="W899" s="80"/>
      <c r="X899" s="80"/>
      <c r="Y899" s="80"/>
      <c r="Z899" s="80"/>
      <c r="AA899" s="82"/>
      <c r="AB899" s="80"/>
      <c r="AC899" s="80"/>
      <c r="AD899" s="80"/>
      <c r="AE899" s="80"/>
      <c r="AF899" s="82"/>
      <c r="AG899" s="80"/>
      <c r="AH899" s="80"/>
      <c r="AI899" s="82"/>
      <c r="AJ899" s="79"/>
      <c r="AK899" s="78" t="str">
        <f aca="false">IF(E899="","",(X899&lt;&gt;"")+(AC899&lt;&gt;"")+(AH899&lt;&gt;""))</f>
        <v/>
      </c>
      <c r="AL899" s="81" t="str">
        <f aca="false">IF(AH899&lt;&gt;"",AH899,IF(AC899&lt;&gt;"",AC899,IF(X899&lt;&gt;"",X899,"")))</f>
        <v/>
      </c>
      <c r="AM899" s="83" t="str">
        <f aca="false">IF(E899="","",IF(R899="","À SOUDER",IF(U899="","VT EN ATTENTE",IF(U899="R","VT REJETÉ – À REPRENDRE",IF(AL899="","À RADIOGRAPHIER",IF(AL899="A","ACCEPTÉ",IF(AL899="NX","NX – RT À REFAIRE",IF(IF(AK899=1,Z899,IF(AK899=2,AE899,""))="A","RÉPARÉ – À RADIOGRAPHIER",IF(IF(AK899=1,Z899,IF(AK899=2,AE899,""))="R","VT REJETÉ – À REPRENDRE",IF(OR(AL899="CO",AL899="NT"),"COUPE – À RESOUDER","À RÉPARER"))))))))))</f>
        <v/>
      </c>
      <c r="AN899" s="81" t="str">
        <f aca="false">IF(AND(ISNUMBER(R899),OR(AM899="À RADIOGRAPHIER",AM899="RÉPARÉ – À RADIOGRAPHIER",AM899="NX – RT À REFAIRE",AM899="À RÉPARER",AM899="COUPE – À RESOUDER",AM899="VT REJETÉ – À REPRENDRE")),MAX(0,'PROGRAMME RT'!$C$4-R899),"")</f>
        <v/>
      </c>
      <c r="AO899" s="78" t="n">
        <f aca="false">IF(AND(OR(AM899="À RADIOGRAPHIER",AM899="RÉPARÉ – À RADIOGRAPHIER",AM899="NX – RT À REFAIRE"),OR('PROGRAMME RT'!$D$5="TOUTES",B899='PROGRAMME RT'!$D$5)),1,0)</f>
        <v>0</v>
      </c>
      <c r="AP899" s="78" t="str">
        <f aca="false">IF(AO899=1,SUM(AO$7:AO899),"")</f>
        <v/>
      </c>
      <c r="AQ899" s="78" t="n">
        <f aca="false">IF(AND(OR(X899="R",X899="NX",X899="NT",X899="CO"),OR('JOINTS DE RÉPARATION'!$D$5="TOUTES",B899='JOINTS DE RÉPARATION'!$D$5),OR('JOINTS DE RÉPARATION'!$L$4="TOUS",AM899&lt;&gt;"ACCEPTÉ")),1,0)</f>
        <v>0</v>
      </c>
      <c r="AR899" s="78" t="str">
        <f aca="false">IF(AQ899=1,SUM(AQ$7:AQ899),"")</f>
        <v/>
      </c>
    </row>
    <row r="900" customFormat="false" ht="15" hidden="false" customHeight="false" outlineLevel="0" collapsed="false">
      <c r="A900" s="78" t="str">
        <f aca="false">IF(E900="","",ROW()-6)</f>
        <v/>
      </c>
      <c r="B900" s="79"/>
      <c r="C900" s="80"/>
      <c r="D900" s="80"/>
      <c r="E900" s="80"/>
      <c r="F900" s="80"/>
      <c r="G900" s="80"/>
      <c r="H900" s="80"/>
      <c r="I900" s="80"/>
      <c r="J900" s="80"/>
      <c r="K900" s="80"/>
      <c r="L900" s="81" t="str">
        <f aca="false">IF(K900="","",IFERROR(INDEX(BARDAGE!$C$7:$C$1506,MATCH(K900,BARDAGE!$B$7:$B$1506,0)),"? hors registre"))</f>
        <v/>
      </c>
      <c r="M900" s="80"/>
      <c r="N900" s="81" t="str">
        <f aca="false">IF(M900="","",IFERROR(INDEX(BARDAGE!$C$7:$C$1506,MATCH(M900,BARDAGE!$B$7:$B$1506,0)),"? hors registre"))</f>
        <v/>
      </c>
      <c r="O900" s="80"/>
      <c r="P900" s="80"/>
      <c r="Q900" s="80"/>
      <c r="R900" s="82"/>
      <c r="S900" s="82"/>
      <c r="T900" s="80"/>
      <c r="U900" s="80"/>
      <c r="V900" s="82"/>
      <c r="W900" s="80"/>
      <c r="X900" s="80"/>
      <c r="Y900" s="80"/>
      <c r="Z900" s="80"/>
      <c r="AA900" s="82"/>
      <c r="AB900" s="80"/>
      <c r="AC900" s="80"/>
      <c r="AD900" s="80"/>
      <c r="AE900" s="80"/>
      <c r="AF900" s="82"/>
      <c r="AG900" s="80"/>
      <c r="AH900" s="80"/>
      <c r="AI900" s="82"/>
      <c r="AJ900" s="79"/>
      <c r="AK900" s="78" t="str">
        <f aca="false">IF(E900="","",(X900&lt;&gt;"")+(AC900&lt;&gt;"")+(AH900&lt;&gt;""))</f>
        <v/>
      </c>
      <c r="AL900" s="81" t="str">
        <f aca="false">IF(AH900&lt;&gt;"",AH900,IF(AC900&lt;&gt;"",AC900,IF(X900&lt;&gt;"",X900,"")))</f>
        <v/>
      </c>
      <c r="AM900" s="83" t="str">
        <f aca="false">IF(E900="","",IF(R900="","À SOUDER",IF(U900="","VT EN ATTENTE",IF(U900="R","VT REJETÉ – À REPRENDRE",IF(AL900="","À RADIOGRAPHIER",IF(AL900="A","ACCEPTÉ",IF(AL900="NX","NX – RT À REFAIRE",IF(IF(AK900=1,Z900,IF(AK900=2,AE900,""))="A","RÉPARÉ – À RADIOGRAPHIER",IF(IF(AK900=1,Z900,IF(AK900=2,AE900,""))="R","VT REJETÉ – À REPRENDRE",IF(OR(AL900="CO",AL900="NT"),"COUPE – À RESOUDER","À RÉPARER"))))))))))</f>
        <v/>
      </c>
      <c r="AN900" s="81" t="str">
        <f aca="false">IF(AND(ISNUMBER(R900),OR(AM900="À RADIOGRAPHIER",AM900="RÉPARÉ – À RADIOGRAPHIER",AM900="NX – RT À REFAIRE",AM900="À RÉPARER",AM900="COUPE – À RESOUDER",AM900="VT REJETÉ – À REPRENDRE")),MAX(0,'PROGRAMME RT'!$C$4-R900),"")</f>
        <v/>
      </c>
      <c r="AO900" s="78" t="n">
        <f aca="false">IF(AND(OR(AM900="À RADIOGRAPHIER",AM900="RÉPARÉ – À RADIOGRAPHIER",AM900="NX – RT À REFAIRE"),OR('PROGRAMME RT'!$D$5="TOUTES",B900='PROGRAMME RT'!$D$5)),1,0)</f>
        <v>0</v>
      </c>
      <c r="AP900" s="78" t="str">
        <f aca="false">IF(AO900=1,SUM(AO$7:AO900),"")</f>
        <v/>
      </c>
      <c r="AQ900" s="78" t="n">
        <f aca="false">IF(AND(OR(X900="R",X900="NX",X900="NT",X900="CO"),OR('JOINTS DE RÉPARATION'!$D$5="TOUTES",B900='JOINTS DE RÉPARATION'!$D$5),OR('JOINTS DE RÉPARATION'!$L$4="TOUS",AM900&lt;&gt;"ACCEPTÉ")),1,0)</f>
        <v>0</v>
      </c>
      <c r="AR900" s="78" t="str">
        <f aca="false">IF(AQ900=1,SUM(AQ$7:AQ900),"")</f>
        <v/>
      </c>
    </row>
    <row r="901" customFormat="false" ht="15" hidden="false" customHeight="false" outlineLevel="0" collapsed="false">
      <c r="A901" s="78" t="str">
        <f aca="false">IF(E901="","",ROW()-6)</f>
        <v/>
      </c>
      <c r="B901" s="79"/>
      <c r="C901" s="80"/>
      <c r="D901" s="80"/>
      <c r="E901" s="80"/>
      <c r="F901" s="80"/>
      <c r="G901" s="80"/>
      <c r="H901" s="80"/>
      <c r="I901" s="80"/>
      <c r="J901" s="80"/>
      <c r="K901" s="80"/>
      <c r="L901" s="81" t="str">
        <f aca="false">IF(K901="","",IFERROR(INDEX(BARDAGE!$C$7:$C$1506,MATCH(K901,BARDAGE!$B$7:$B$1506,0)),"? hors registre"))</f>
        <v/>
      </c>
      <c r="M901" s="80"/>
      <c r="N901" s="81" t="str">
        <f aca="false">IF(M901="","",IFERROR(INDEX(BARDAGE!$C$7:$C$1506,MATCH(M901,BARDAGE!$B$7:$B$1506,0)),"? hors registre"))</f>
        <v/>
      </c>
      <c r="O901" s="80"/>
      <c r="P901" s="80"/>
      <c r="Q901" s="80"/>
      <c r="R901" s="82"/>
      <c r="S901" s="82"/>
      <c r="T901" s="80"/>
      <c r="U901" s="80"/>
      <c r="V901" s="82"/>
      <c r="W901" s="80"/>
      <c r="X901" s="80"/>
      <c r="Y901" s="80"/>
      <c r="Z901" s="80"/>
      <c r="AA901" s="82"/>
      <c r="AB901" s="80"/>
      <c r="AC901" s="80"/>
      <c r="AD901" s="80"/>
      <c r="AE901" s="80"/>
      <c r="AF901" s="82"/>
      <c r="AG901" s="80"/>
      <c r="AH901" s="80"/>
      <c r="AI901" s="82"/>
      <c r="AJ901" s="79"/>
      <c r="AK901" s="78" t="str">
        <f aca="false">IF(E901="","",(X901&lt;&gt;"")+(AC901&lt;&gt;"")+(AH901&lt;&gt;""))</f>
        <v/>
      </c>
      <c r="AL901" s="81" t="str">
        <f aca="false">IF(AH901&lt;&gt;"",AH901,IF(AC901&lt;&gt;"",AC901,IF(X901&lt;&gt;"",X901,"")))</f>
        <v/>
      </c>
      <c r="AM901" s="83" t="str">
        <f aca="false">IF(E901="","",IF(R901="","À SOUDER",IF(U901="","VT EN ATTENTE",IF(U901="R","VT REJETÉ – À REPRENDRE",IF(AL901="","À RADIOGRAPHIER",IF(AL901="A","ACCEPTÉ",IF(AL901="NX","NX – RT À REFAIRE",IF(IF(AK901=1,Z901,IF(AK901=2,AE901,""))="A","RÉPARÉ – À RADIOGRAPHIER",IF(IF(AK901=1,Z901,IF(AK901=2,AE901,""))="R","VT REJETÉ – À REPRENDRE",IF(OR(AL901="CO",AL901="NT"),"COUPE – À RESOUDER","À RÉPARER"))))))))))</f>
        <v/>
      </c>
      <c r="AN901" s="81" t="str">
        <f aca="false">IF(AND(ISNUMBER(R901),OR(AM901="À RADIOGRAPHIER",AM901="RÉPARÉ – À RADIOGRAPHIER",AM901="NX – RT À REFAIRE",AM901="À RÉPARER",AM901="COUPE – À RESOUDER",AM901="VT REJETÉ – À REPRENDRE")),MAX(0,'PROGRAMME RT'!$C$4-R901),"")</f>
        <v/>
      </c>
      <c r="AO901" s="78" t="n">
        <f aca="false">IF(AND(OR(AM901="À RADIOGRAPHIER",AM901="RÉPARÉ – À RADIOGRAPHIER",AM901="NX – RT À REFAIRE"),OR('PROGRAMME RT'!$D$5="TOUTES",B901='PROGRAMME RT'!$D$5)),1,0)</f>
        <v>0</v>
      </c>
      <c r="AP901" s="78" t="str">
        <f aca="false">IF(AO901=1,SUM(AO$7:AO901),"")</f>
        <v/>
      </c>
      <c r="AQ901" s="78" t="n">
        <f aca="false">IF(AND(OR(X901="R",X901="NX",X901="NT",X901="CO"),OR('JOINTS DE RÉPARATION'!$D$5="TOUTES",B901='JOINTS DE RÉPARATION'!$D$5),OR('JOINTS DE RÉPARATION'!$L$4="TOUS",AM901&lt;&gt;"ACCEPTÉ")),1,0)</f>
        <v>0</v>
      </c>
      <c r="AR901" s="78" t="str">
        <f aca="false">IF(AQ901=1,SUM(AQ$7:AQ901),"")</f>
        <v/>
      </c>
    </row>
    <row r="902" customFormat="false" ht="15" hidden="false" customHeight="false" outlineLevel="0" collapsed="false">
      <c r="A902" s="78" t="str">
        <f aca="false">IF(E902="","",ROW()-6)</f>
        <v/>
      </c>
      <c r="B902" s="79"/>
      <c r="C902" s="80"/>
      <c r="D902" s="80"/>
      <c r="E902" s="80"/>
      <c r="F902" s="80"/>
      <c r="G902" s="80"/>
      <c r="H902" s="80"/>
      <c r="I902" s="80"/>
      <c r="J902" s="80"/>
      <c r="K902" s="80"/>
      <c r="L902" s="81" t="str">
        <f aca="false">IF(K902="","",IFERROR(INDEX(BARDAGE!$C$7:$C$1506,MATCH(K902,BARDAGE!$B$7:$B$1506,0)),"? hors registre"))</f>
        <v/>
      </c>
      <c r="M902" s="80"/>
      <c r="N902" s="81" t="str">
        <f aca="false">IF(M902="","",IFERROR(INDEX(BARDAGE!$C$7:$C$1506,MATCH(M902,BARDAGE!$B$7:$B$1506,0)),"? hors registre"))</f>
        <v/>
      </c>
      <c r="O902" s="80"/>
      <c r="P902" s="80"/>
      <c r="Q902" s="80"/>
      <c r="R902" s="82"/>
      <c r="S902" s="82"/>
      <c r="T902" s="80"/>
      <c r="U902" s="80"/>
      <c r="V902" s="82"/>
      <c r="W902" s="80"/>
      <c r="X902" s="80"/>
      <c r="Y902" s="80"/>
      <c r="Z902" s="80"/>
      <c r="AA902" s="82"/>
      <c r="AB902" s="80"/>
      <c r="AC902" s="80"/>
      <c r="AD902" s="80"/>
      <c r="AE902" s="80"/>
      <c r="AF902" s="82"/>
      <c r="AG902" s="80"/>
      <c r="AH902" s="80"/>
      <c r="AI902" s="82"/>
      <c r="AJ902" s="79"/>
      <c r="AK902" s="78" t="str">
        <f aca="false">IF(E902="","",(X902&lt;&gt;"")+(AC902&lt;&gt;"")+(AH902&lt;&gt;""))</f>
        <v/>
      </c>
      <c r="AL902" s="81" t="str">
        <f aca="false">IF(AH902&lt;&gt;"",AH902,IF(AC902&lt;&gt;"",AC902,IF(X902&lt;&gt;"",X902,"")))</f>
        <v/>
      </c>
      <c r="AM902" s="83" t="str">
        <f aca="false">IF(E902="","",IF(R902="","À SOUDER",IF(U902="","VT EN ATTENTE",IF(U902="R","VT REJETÉ – À REPRENDRE",IF(AL902="","À RADIOGRAPHIER",IF(AL902="A","ACCEPTÉ",IF(AL902="NX","NX – RT À REFAIRE",IF(IF(AK902=1,Z902,IF(AK902=2,AE902,""))="A","RÉPARÉ – À RADIOGRAPHIER",IF(IF(AK902=1,Z902,IF(AK902=2,AE902,""))="R","VT REJETÉ – À REPRENDRE",IF(OR(AL902="CO",AL902="NT"),"COUPE – À RESOUDER","À RÉPARER"))))))))))</f>
        <v/>
      </c>
      <c r="AN902" s="81" t="str">
        <f aca="false">IF(AND(ISNUMBER(R902),OR(AM902="À RADIOGRAPHIER",AM902="RÉPARÉ – À RADIOGRAPHIER",AM902="NX – RT À REFAIRE",AM902="À RÉPARER",AM902="COUPE – À RESOUDER",AM902="VT REJETÉ – À REPRENDRE")),MAX(0,'PROGRAMME RT'!$C$4-R902),"")</f>
        <v/>
      </c>
      <c r="AO902" s="78" t="n">
        <f aca="false">IF(AND(OR(AM902="À RADIOGRAPHIER",AM902="RÉPARÉ – À RADIOGRAPHIER",AM902="NX – RT À REFAIRE"),OR('PROGRAMME RT'!$D$5="TOUTES",B902='PROGRAMME RT'!$D$5)),1,0)</f>
        <v>0</v>
      </c>
      <c r="AP902" s="78" t="str">
        <f aca="false">IF(AO902=1,SUM(AO$7:AO902),"")</f>
        <v/>
      </c>
      <c r="AQ902" s="78" t="n">
        <f aca="false">IF(AND(OR(X902="R",X902="NX",X902="NT",X902="CO"),OR('JOINTS DE RÉPARATION'!$D$5="TOUTES",B902='JOINTS DE RÉPARATION'!$D$5),OR('JOINTS DE RÉPARATION'!$L$4="TOUS",AM902&lt;&gt;"ACCEPTÉ")),1,0)</f>
        <v>0</v>
      </c>
      <c r="AR902" s="78" t="str">
        <f aca="false">IF(AQ902=1,SUM(AQ$7:AQ902),"")</f>
        <v/>
      </c>
    </row>
    <row r="903" customFormat="false" ht="15" hidden="false" customHeight="false" outlineLevel="0" collapsed="false">
      <c r="A903" s="78" t="str">
        <f aca="false">IF(E903="","",ROW()-6)</f>
        <v/>
      </c>
      <c r="B903" s="79"/>
      <c r="C903" s="80"/>
      <c r="D903" s="80"/>
      <c r="E903" s="80"/>
      <c r="F903" s="80"/>
      <c r="G903" s="80"/>
      <c r="H903" s="80"/>
      <c r="I903" s="80"/>
      <c r="J903" s="80"/>
      <c r="K903" s="80"/>
      <c r="L903" s="81" t="str">
        <f aca="false">IF(K903="","",IFERROR(INDEX(BARDAGE!$C$7:$C$1506,MATCH(K903,BARDAGE!$B$7:$B$1506,0)),"? hors registre"))</f>
        <v/>
      </c>
      <c r="M903" s="80"/>
      <c r="N903" s="81" t="str">
        <f aca="false">IF(M903="","",IFERROR(INDEX(BARDAGE!$C$7:$C$1506,MATCH(M903,BARDAGE!$B$7:$B$1506,0)),"? hors registre"))</f>
        <v/>
      </c>
      <c r="O903" s="80"/>
      <c r="P903" s="80"/>
      <c r="Q903" s="80"/>
      <c r="R903" s="82"/>
      <c r="S903" s="82"/>
      <c r="T903" s="80"/>
      <c r="U903" s="80"/>
      <c r="V903" s="82"/>
      <c r="W903" s="80"/>
      <c r="X903" s="80"/>
      <c r="Y903" s="80"/>
      <c r="Z903" s="80"/>
      <c r="AA903" s="82"/>
      <c r="AB903" s="80"/>
      <c r="AC903" s="80"/>
      <c r="AD903" s="80"/>
      <c r="AE903" s="80"/>
      <c r="AF903" s="82"/>
      <c r="AG903" s="80"/>
      <c r="AH903" s="80"/>
      <c r="AI903" s="82"/>
      <c r="AJ903" s="79"/>
      <c r="AK903" s="78" t="str">
        <f aca="false">IF(E903="","",(X903&lt;&gt;"")+(AC903&lt;&gt;"")+(AH903&lt;&gt;""))</f>
        <v/>
      </c>
      <c r="AL903" s="81" t="str">
        <f aca="false">IF(AH903&lt;&gt;"",AH903,IF(AC903&lt;&gt;"",AC903,IF(X903&lt;&gt;"",X903,"")))</f>
        <v/>
      </c>
      <c r="AM903" s="83" t="str">
        <f aca="false">IF(E903="","",IF(R903="","À SOUDER",IF(U903="","VT EN ATTENTE",IF(U903="R","VT REJETÉ – À REPRENDRE",IF(AL903="","À RADIOGRAPHIER",IF(AL903="A","ACCEPTÉ",IF(AL903="NX","NX – RT À REFAIRE",IF(IF(AK903=1,Z903,IF(AK903=2,AE903,""))="A","RÉPARÉ – À RADIOGRAPHIER",IF(IF(AK903=1,Z903,IF(AK903=2,AE903,""))="R","VT REJETÉ – À REPRENDRE",IF(OR(AL903="CO",AL903="NT"),"COUPE – À RESOUDER","À RÉPARER"))))))))))</f>
        <v/>
      </c>
      <c r="AN903" s="81" t="str">
        <f aca="false">IF(AND(ISNUMBER(R903),OR(AM903="À RADIOGRAPHIER",AM903="RÉPARÉ – À RADIOGRAPHIER",AM903="NX – RT À REFAIRE",AM903="À RÉPARER",AM903="COUPE – À RESOUDER",AM903="VT REJETÉ – À REPRENDRE")),MAX(0,'PROGRAMME RT'!$C$4-R903),"")</f>
        <v/>
      </c>
      <c r="AO903" s="78" t="n">
        <f aca="false">IF(AND(OR(AM903="À RADIOGRAPHIER",AM903="RÉPARÉ – À RADIOGRAPHIER",AM903="NX – RT À REFAIRE"),OR('PROGRAMME RT'!$D$5="TOUTES",B903='PROGRAMME RT'!$D$5)),1,0)</f>
        <v>0</v>
      </c>
      <c r="AP903" s="78" t="str">
        <f aca="false">IF(AO903=1,SUM(AO$7:AO903),"")</f>
        <v/>
      </c>
      <c r="AQ903" s="78" t="n">
        <f aca="false">IF(AND(OR(X903="R",X903="NX",X903="NT",X903="CO"),OR('JOINTS DE RÉPARATION'!$D$5="TOUTES",B903='JOINTS DE RÉPARATION'!$D$5),OR('JOINTS DE RÉPARATION'!$L$4="TOUS",AM903&lt;&gt;"ACCEPTÉ")),1,0)</f>
        <v>0</v>
      </c>
      <c r="AR903" s="78" t="str">
        <f aca="false">IF(AQ903=1,SUM(AQ$7:AQ903),"")</f>
        <v/>
      </c>
    </row>
    <row r="904" customFormat="false" ht="15" hidden="false" customHeight="false" outlineLevel="0" collapsed="false">
      <c r="A904" s="78" t="str">
        <f aca="false">IF(E904="","",ROW()-6)</f>
        <v/>
      </c>
      <c r="B904" s="79"/>
      <c r="C904" s="80"/>
      <c r="D904" s="80"/>
      <c r="E904" s="80"/>
      <c r="F904" s="80"/>
      <c r="G904" s="80"/>
      <c r="H904" s="80"/>
      <c r="I904" s="80"/>
      <c r="J904" s="80"/>
      <c r="K904" s="80"/>
      <c r="L904" s="81" t="str">
        <f aca="false">IF(K904="","",IFERROR(INDEX(BARDAGE!$C$7:$C$1506,MATCH(K904,BARDAGE!$B$7:$B$1506,0)),"? hors registre"))</f>
        <v/>
      </c>
      <c r="M904" s="80"/>
      <c r="N904" s="81" t="str">
        <f aca="false">IF(M904="","",IFERROR(INDEX(BARDAGE!$C$7:$C$1506,MATCH(M904,BARDAGE!$B$7:$B$1506,0)),"? hors registre"))</f>
        <v/>
      </c>
      <c r="O904" s="80"/>
      <c r="P904" s="80"/>
      <c r="Q904" s="80"/>
      <c r="R904" s="82"/>
      <c r="S904" s="82"/>
      <c r="T904" s="80"/>
      <c r="U904" s="80"/>
      <c r="V904" s="82"/>
      <c r="W904" s="80"/>
      <c r="X904" s="80"/>
      <c r="Y904" s="80"/>
      <c r="Z904" s="80"/>
      <c r="AA904" s="82"/>
      <c r="AB904" s="80"/>
      <c r="AC904" s="80"/>
      <c r="AD904" s="80"/>
      <c r="AE904" s="80"/>
      <c r="AF904" s="82"/>
      <c r="AG904" s="80"/>
      <c r="AH904" s="80"/>
      <c r="AI904" s="82"/>
      <c r="AJ904" s="79"/>
      <c r="AK904" s="78" t="str">
        <f aca="false">IF(E904="","",(X904&lt;&gt;"")+(AC904&lt;&gt;"")+(AH904&lt;&gt;""))</f>
        <v/>
      </c>
      <c r="AL904" s="81" t="str">
        <f aca="false">IF(AH904&lt;&gt;"",AH904,IF(AC904&lt;&gt;"",AC904,IF(X904&lt;&gt;"",X904,"")))</f>
        <v/>
      </c>
      <c r="AM904" s="83" t="str">
        <f aca="false">IF(E904="","",IF(R904="","À SOUDER",IF(U904="","VT EN ATTENTE",IF(U904="R","VT REJETÉ – À REPRENDRE",IF(AL904="","À RADIOGRAPHIER",IF(AL904="A","ACCEPTÉ",IF(AL904="NX","NX – RT À REFAIRE",IF(IF(AK904=1,Z904,IF(AK904=2,AE904,""))="A","RÉPARÉ – À RADIOGRAPHIER",IF(IF(AK904=1,Z904,IF(AK904=2,AE904,""))="R","VT REJETÉ – À REPRENDRE",IF(OR(AL904="CO",AL904="NT"),"COUPE – À RESOUDER","À RÉPARER"))))))))))</f>
        <v/>
      </c>
      <c r="AN904" s="81" t="str">
        <f aca="false">IF(AND(ISNUMBER(R904),OR(AM904="À RADIOGRAPHIER",AM904="RÉPARÉ – À RADIOGRAPHIER",AM904="NX – RT À REFAIRE",AM904="À RÉPARER",AM904="COUPE – À RESOUDER",AM904="VT REJETÉ – À REPRENDRE")),MAX(0,'PROGRAMME RT'!$C$4-R904),"")</f>
        <v/>
      </c>
      <c r="AO904" s="78" t="n">
        <f aca="false">IF(AND(OR(AM904="À RADIOGRAPHIER",AM904="RÉPARÉ – À RADIOGRAPHIER",AM904="NX – RT À REFAIRE"),OR('PROGRAMME RT'!$D$5="TOUTES",B904='PROGRAMME RT'!$D$5)),1,0)</f>
        <v>0</v>
      </c>
      <c r="AP904" s="78" t="str">
        <f aca="false">IF(AO904=1,SUM(AO$7:AO904),"")</f>
        <v/>
      </c>
      <c r="AQ904" s="78" t="n">
        <f aca="false">IF(AND(OR(X904="R",X904="NX",X904="NT",X904="CO"),OR('JOINTS DE RÉPARATION'!$D$5="TOUTES",B904='JOINTS DE RÉPARATION'!$D$5),OR('JOINTS DE RÉPARATION'!$L$4="TOUS",AM904&lt;&gt;"ACCEPTÉ")),1,0)</f>
        <v>0</v>
      </c>
      <c r="AR904" s="78" t="str">
        <f aca="false">IF(AQ904=1,SUM(AQ$7:AQ904),"")</f>
        <v/>
      </c>
    </row>
    <row r="905" customFormat="false" ht="15" hidden="false" customHeight="false" outlineLevel="0" collapsed="false">
      <c r="A905" s="78" t="str">
        <f aca="false">IF(E905="","",ROW()-6)</f>
        <v/>
      </c>
      <c r="B905" s="79"/>
      <c r="C905" s="80"/>
      <c r="D905" s="80"/>
      <c r="E905" s="80"/>
      <c r="F905" s="80"/>
      <c r="G905" s="80"/>
      <c r="H905" s="80"/>
      <c r="I905" s="80"/>
      <c r="J905" s="80"/>
      <c r="K905" s="80"/>
      <c r="L905" s="81" t="str">
        <f aca="false">IF(K905="","",IFERROR(INDEX(BARDAGE!$C$7:$C$1506,MATCH(K905,BARDAGE!$B$7:$B$1506,0)),"? hors registre"))</f>
        <v/>
      </c>
      <c r="M905" s="80"/>
      <c r="N905" s="81" t="str">
        <f aca="false">IF(M905="","",IFERROR(INDEX(BARDAGE!$C$7:$C$1506,MATCH(M905,BARDAGE!$B$7:$B$1506,0)),"? hors registre"))</f>
        <v/>
      </c>
      <c r="O905" s="80"/>
      <c r="P905" s="80"/>
      <c r="Q905" s="80"/>
      <c r="R905" s="82"/>
      <c r="S905" s="82"/>
      <c r="T905" s="80"/>
      <c r="U905" s="80"/>
      <c r="V905" s="82"/>
      <c r="W905" s="80"/>
      <c r="X905" s="80"/>
      <c r="Y905" s="80"/>
      <c r="Z905" s="80"/>
      <c r="AA905" s="82"/>
      <c r="AB905" s="80"/>
      <c r="AC905" s="80"/>
      <c r="AD905" s="80"/>
      <c r="AE905" s="80"/>
      <c r="AF905" s="82"/>
      <c r="AG905" s="80"/>
      <c r="AH905" s="80"/>
      <c r="AI905" s="82"/>
      <c r="AJ905" s="79"/>
      <c r="AK905" s="78" t="str">
        <f aca="false">IF(E905="","",(X905&lt;&gt;"")+(AC905&lt;&gt;"")+(AH905&lt;&gt;""))</f>
        <v/>
      </c>
      <c r="AL905" s="81" t="str">
        <f aca="false">IF(AH905&lt;&gt;"",AH905,IF(AC905&lt;&gt;"",AC905,IF(X905&lt;&gt;"",X905,"")))</f>
        <v/>
      </c>
      <c r="AM905" s="83" t="str">
        <f aca="false">IF(E905="","",IF(R905="","À SOUDER",IF(U905="","VT EN ATTENTE",IF(U905="R","VT REJETÉ – À REPRENDRE",IF(AL905="","À RADIOGRAPHIER",IF(AL905="A","ACCEPTÉ",IF(AL905="NX","NX – RT À REFAIRE",IF(IF(AK905=1,Z905,IF(AK905=2,AE905,""))="A","RÉPARÉ – À RADIOGRAPHIER",IF(IF(AK905=1,Z905,IF(AK905=2,AE905,""))="R","VT REJETÉ – À REPRENDRE",IF(OR(AL905="CO",AL905="NT"),"COUPE – À RESOUDER","À RÉPARER"))))))))))</f>
        <v/>
      </c>
      <c r="AN905" s="81" t="str">
        <f aca="false">IF(AND(ISNUMBER(R905),OR(AM905="À RADIOGRAPHIER",AM905="RÉPARÉ – À RADIOGRAPHIER",AM905="NX – RT À REFAIRE",AM905="À RÉPARER",AM905="COUPE – À RESOUDER",AM905="VT REJETÉ – À REPRENDRE")),MAX(0,'PROGRAMME RT'!$C$4-R905),"")</f>
        <v/>
      </c>
      <c r="AO905" s="78" t="n">
        <f aca="false">IF(AND(OR(AM905="À RADIOGRAPHIER",AM905="RÉPARÉ – À RADIOGRAPHIER",AM905="NX – RT À REFAIRE"),OR('PROGRAMME RT'!$D$5="TOUTES",B905='PROGRAMME RT'!$D$5)),1,0)</f>
        <v>0</v>
      </c>
      <c r="AP905" s="78" t="str">
        <f aca="false">IF(AO905=1,SUM(AO$7:AO905),"")</f>
        <v/>
      </c>
      <c r="AQ905" s="78" t="n">
        <f aca="false">IF(AND(OR(X905="R",X905="NX",X905="NT",X905="CO"),OR('JOINTS DE RÉPARATION'!$D$5="TOUTES",B905='JOINTS DE RÉPARATION'!$D$5),OR('JOINTS DE RÉPARATION'!$L$4="TOUS",AM905&lt;&gt;"ACCEPTÉ")),1,0)</f>
        <v>0</v>
      </c>
      <c r="AR905" s="78" t="str">
        <f aca="false">IF(AQ905=1,SUM(AQ$7:AQ905),"")</f>
        <v/>
      </c>
    </row>
    <row r="906" customFormat="false" ht="15" hidden="false" customHeight="false" outlineLevel="0" collapsed="false">
      <c r="A906" s="78" t="str">
        <f aca="false">IF(E906="","",ROW()-6)</f>
        <v/>
      </c>
      <c r="B906" s="79"/>
      <c r="C906" s="80"/>
      <c r="D906" s="80"/>
      <c r="E906" s="80"/>
      <c r="F906" s="80"/>
      <c r="G906" s="80"/>
      <c r="H906" s="80"/>
      <c r="I906" s="80"/>
      <c r="J906" s="80"/>
      <c r="K906" s="80"/>
      <c r="L906" s="81" t="str">
        <f aca="false">IF(K906="","",IFERROR(INDEX(BARDAGE!$C$7:$C$1506,MATCH(K906,BARDAGE!$B$7:$B$1506,0)),"? hors registre"))</f>
        <v/>
      </c>
      <c r="M906" s="80"/>
      <c r="N906" s="81" t="str">
        <f aca="false">IF(M906="","",IFERROR(INDEX(BARDAGE!$C$7:$C$1506,MATCH(M906,BARDAGE!$B$7:$B$1506,0)),"? hors registre"))</f>
        <v/>
      </c>
      <c r="O906" s="80"/>
      <c r="P906" s="80"/>
      <c r="Q906" s="80"/>
      <c r="R906" s="82"/>
      <c r="S906" s="82"/>
      <c r="T906" s="80"/>
      <c r="U906" s="80"/>
      <c r="V906" s="82"/>
      <c r="W906" s="80"/>
      <c r="X906" s="80"/>
      <c r="Y906" s="80"/>
      <c r="Z906" s="80"/>
      <c r="AA906" s="82"/>
      <c r="AB906" s="80"/>
      <c r="AC906" s="80"/>
      <c r="AD906" s="80"/>
      <c r="AE906" s="80"/>
      <c r="AF906" s="82"/>
      <c r="AG906" s="80"/>
      <c r="AH906" s="80"/>
      <c r="AI906" s="82"/>
      <c r="AJ906" s="79"/>
      <c r="AK906" s="78" t="str">
        <f aca="false">IF(E906="","",(X906&lt;&gt;"")+(AC906&lt;&gt;"")+(AH906&lt;&gt;""))</f>
        <v/>
      </c>
      <c r="AL906" s="81" t="str">
        <f aca="false">IF(AH906&lt;&gt;"",AH906,IF(AC906&lt;&gt;"",AC906,IF(X906&lt;&gt;"",X906,"")))</f>
        <v/>
      </c>
      <c r="AM906" s="83" t="str">
        <f aca="false">IF(E906="","",IF(R906="","À SOUDER",IF(U906="","VT EN ATTENTE",IF(U906="R","VT REJETÉ – À REPRENDRE",IF(AL906="","À RADIOGRAPHIER",IF(AL906="A","ACCEPTÉ",IF(AL906="NX","NX – RT À REFAIRE",IF(IF(AK906=1,Z906,IF(AK906=2,AE906,""))="A","RÉPARÉ – À RADIOGRAPHIER",IF(IF(AK906=1,Z906,IF(AK906=2,AE906,""))="R","VT REJETÉ – À REPRENDRE",IF(OR(AL906="CO",AL906="NT"),"COUPE – À RESOUDER","À RÉPARER"))))))))))</f>
        <v/>
      </c>
      <c r="AN906" s="81" t="str">
        <f aca="false">IF(AND(ISNUMBER(R906),OR(AM906="À RADIOGRAPHIER",AM906="RÉPARÉ – À RADIOGRAPHIER",AM906="NX – RT À REFAIRE",AM906="À RÉPARER",AM906="COUPE – À RESOUDER",AM906="VT REJETÉ – À REPRENDRE")),MAX(0,'PROGRAMME RT'!$C$4-R906),"")</f>
        <v/>
      </c>
      <c r="AO906" s="78" t="n">
        <f aca="false">IF(AND(OR(AM906="À RADIOGRAPHIER",AM906="RÉPARÉ – À RADIOGRAPHIER",AM906="NX – RT À REFAIRE"),OR('PROGRAMME RT'!$D$5="TOUTES",B906='PROGRAMME RT'!$D$5)),1,0)</f>
        <v>0</v>
      </c>
      <c r="AP906" s="78" t="str">
        <f aca="false">IF(AO906=1,SUM(AO$7:AO906),"")</f>
        <v/>
      </c>
      <c r="AQ906" s="78" t="n">
        <f aca="false">IF(AND(OR(X906="R",X906="NX",X906="NT",X906="CO"),OR('JOINTS DE RÉPARATION'!$D$5="TOUTES",B906='JOINTS DE RÉPARATION'!$D$5),OR('JOINTS DE RÉPARATION'!$L$4="TOUS",AM906&lt;&gt;"ACCEPTÉ")),1,0)</f>
        <v>0</v>
      </c>
      <c r="AR906" s="78" t="str">
        <f aca="false">IF(AQ906=1,SUM(AQ$7:AQ906),"")</f>
        <v/>
      </c>
    </row>
    <row r="907" customFormat="false" ht="15" hidden="false" customHeight="false" outlineLevel="0" collapsed="false">
      <c r="A907" s="78" t="str">
        <f aca="false">IF(E907="","",ROW()-6)</f>
        <v/>
      </c>
      <c r="B907" s="79"/>
      <c r="C907" s="80"/>
      <c r="D907" s="80"/>
      <c r="E907" s="80"/>
      <c r="F907" s="80"/>
      <c r="G907" s="80"/>
      <c r="H907" s="80"/>
      <c r="I907" s="80"/>
      <c r="J907" s="80"/>
      <c r="K907" s="80"/>
      <c r="L907" s="81" t="str">
        <f aca="false">IF(K907="","",IFERROR(INDEX(BARDAGE!$C$7:$C$1506,MATCH(K907,BARDAGE!$B$7:$B$1506,0)),"? hors registre"))</f>
        <v/>
      </c>
      <c r="M907" s="80"/>
      <c r="N907" s="81" t="str">
        <f aca="false">IF(M907="","",IFERROR(INDEX(BARDAGE!$C$7:$C$1506,MATCH(M907,BARDAGE!$B$7:$B$1506,0)),"? hors registre"))</f>
        <v/>
      </c>
      <c r="O907" s="80"/>
      <c r="P907" s="80"/>
      <c r="Q907" s="80"/>
      <c r="R907" s="82"/>
      <c r="S907" s="82"/>
      <c r="T907" s="80"/>
      <c r="U907" s="80"/>
      <c r="V907" s="82"/>
      <c r="W907" s="80"/>
      <c r="X907" s="80"/>
      <c r="Y907" s="80"/>
      <c r="Z907" s="80"/>
      <c r="AA907" s="82"/>
      <c r="AB907" s="80"/>
      <c r="AC907" s="80"/>
      <c r="AD907" s="80"/>
      <c r="AE907" s="80"/>
      <c r="AF907" s="82"/>
      <c r="AG907" s="80"/>
      <c r="AH907" s="80"/>
      <c r="AI907" s="82"/>
      <c r="AJ907" s="79"/>
      <c r="AK907" s="78" t="str">
        <f aca="false">IF(E907="","",(X907&lt;&gt;"")+(AC907&lt;&gt;"")+(AH907&lt;&gt;""))</f>
        <v/>
      </c>
      <c r="AL907" s="81" t="str">
        <f aca="false">IF(AH907&lt;&gt;"",AH907,IF(AC907&lt;&gt;"",AC907,IF(X907&lt;&gt;"",X907,"")))</f>
        <v/>
      </c>
      <c r="AM907" s="83" t="str">
        <f aca="false">IF(E907="","",IF(R907="","À SOUDER",IF(U907="","VT EN ATTENTE",IF(U907="R","VT REJETÉ – À REPRENDRE",IF(AL907="","À RADIOGRAPHIER",IF(AL907="A","ACCEPTÉ",IF(AL907="NX","NX – RT À REFAIRE",IF(IF(AK907=1,Z907,IF(AK907=2,AE907,""))="A","RÉPARÉ – À RADIOGRAPHIER",IF(IF(AK907=1,Z907,IF(AK907=2,AE907,""))="R","VT REJETÉ – À REPRENDRE",IF(OR(AL907="CO",AL907="NT"),"COUPE – À RESOUDER","À RÉPARER"))))))))))</f>
        <v/>
      </c>
      <c r="AN907" s="81" t="str">
        <f aca="false">IF(AND(ISNUMBER(R907),OR(AM907="À RADIOGRAPHIER",AM907="RÉPARÉ – À RADIOGRAPHIER",AM907="NX – RT À REFAIRE",AM907="À RÉPARER",AM907="COUPE – À RESOUDER",AM907="VT REJETÉ – À REPRENDRE")),MAX(0,'PROGRAMME RT'!$C$4-R907),"")</f>
        <v/>
      </c>
      <c r="AO907" s="78" t="n">
        <f aca="false">IF(AND(OR(AM907="À RADIOGRAPHIER",AM907="RÉPARÉ – À RADIOGRAPHIER",AM907="NX – RT À REFAIRE"),OR('PROGRAMME RT'!$D$5="TOUTES",B907='PROGRAMME RT'!$D$5)),1,0)</f>
        <v>0</v>
      </c>
      <c r="AP907" s="78" t="str">
        <f aca="false">IF(AO907=1,SUM(AO$7:AO907),"")</f>
        <v/>
      </c>
      <c r="AQ907" s="78" t="n">
        <f aca="false">IF(AND(OR(X907="R",X907="NX",X907="NT",X907="CO"),OR('JOINTS DE RÉPARATION'!$D$5="TOUTES",B907='JOINTS DE RÉPARATION'!$D$5),OR('JOINTS DE RÉPARATION'!$L$4="TOUS",AM907&lt;&gt;"ACCEPTÉ")),1,0)</f>
        <v>0</v>
      </c>
      <c r="AR907" s="78" t="str">
        <f aca="false">IF(AQ907=1,SUM(AQ$7:AQ907),"")</f>
        <v/>
      </c>
    </row>
    <row r="908" customFormat="false" ht="15" hidden="false" customHeight="false" outlineLevel="0" collapsed="false">
      <c r="A908" s="78" t="str">
        <f aca="false">IF(E908="","",ROW()-6)</f>
        <v/>
      </c>
      <c r="B908" s="79"/>
      <c r="C908" s="80"/>
      <c r="D908" s="80"/>
      <c r="E908" s="80"/>
      <c r="F908" s="80"/>
      <c r="G908" s="80"/>
      <c r="H908" s="80"/>
      <c r="I908" s="80"/>
      <c r="J908" s="80"/>
      <c r="K908" s="80"/>
      <c r="L908" s="81" t="str">
        <f aca="false">IF(K908="","",IFERROR(INDEX(BARDAGE!$C$7:$C$1506,MATCH(K908,BARDAGE!$B$7:$B$1506,0)),"? hors registre"))</f>
        <v/>
      </c>
      <c r="M908" s="80"/>
      <c r="N908" s="81" t="str">
        <f aca="false">IF(M908="","",IFERROR(INDEX(BARDAGE!$C$7:$C$1506,MATCH(M908,BARDAGE!$B$7:$B$1506,0)),"? hors registre"))</f>
        <v/>
      </c>
      <c r="O908" s="80"/>
      <c r="P908" s="80"/>
      <c r="Q908" s="80"/>
      <c r="R908" s="82"/>
      <c r="S908" s="82"/>
      <c r="T908" s="80"/>
      <c r="U908" s="80"/>
      <c r="V908" s="82"/>
      <c r="W908" s="80"/>
      <c r="X908" s="80"/>
      <c r="Y908" s="80"/>
      <c r="Z908" s="80"/>
      <c r="AA908" s="82"/>
      <c r="AB908" s="80"/>
      <c r="AC908" s="80"/>
      <c r="AD908" s="80"/>
      <c r="AE908" s="80"/>
      <c r="AF908" s="82"/>
      <c r="AG908" s="80"/>
      <c r="AH908" s="80"/>
      <c r="AI908" s="82"/>
      <c r="AJ908" s="79"/>
      <c r="AK908" s="78" t="str">
        <f aca="false">IF(E908="","",(X908&lt;&gt;"")+(AC908&lt;&gt;"")+(AH908&lt;&gt;""))</f>
        <v/>
      </c>
      <c r="AL908" s="81" t="str">
        <f aca="false">IF(AH908&lt;&gt;"",AH908,IF(AC908&lt;&gt;"",AC908,IF(X908&lt;&gt;"",X908,"")))</f>
        <v/>
      </c>
      <c r="AM908" s="83" t="str">
        <f aca="false">IF(E908="","",IF(R908="","À SOUDER",IF(U908="","VT EN ATTENTE",IF(U908="R","VT REJETÉ – À REPRENDRE",IF(AL908="","À RADIOGRAPHIER",IF(AL908="A","ACCEPTÉ",IF(AL908="NX","NX – RT À REFAIRE",IF(IF(AK908=1,Z908,IF(AK908=2,AE908,""))="A","RÉPARÉ – À RADIOGRAPHIER",IF(IF(AK908=1,Z908,IF(AK908=2,AE908,""))="R","VT REJETÉ – À REPRENDRE",IF(OR(AL908="CO",AL908="NT"),"COUPE – À RESOUDER","À RÉPARER"))))))))))</f>
        <v/>
      </c>
      <c r="AN908" s="81" t="str">
        <f aca="false">IF(AND(ISNUMBER(R908),OR(AM908="À RADIOGRAPHIER",AM908="RÉPARÉ – À RADIOGRAPHIER",AM908="NX – RT À REFAIRE",AM908="À RÉPARER",AM908="COUPE – À RESOUDER",AM908="VT REJETÉ – À REPRENDRE")),MAX(0,'PROGRAMME RT'!$C$4-R908),"")</f>
        <v/>
      </c>
      <c r="AO908" s="78" t="n">
        <f aca="false">IF(AND(OR(AM908="À RADIOGRAPHIER",AM908="RÉPARÉ – À RADIOGRAPHIER",AM908="NX – RT À REFAIRE"),OR('PROGRAMME RT'!$D$5="TOUTES",B908='PROGRAMME RT'!$D$5)),1,0)</f>
        <v>0</v>
      </c>
      <c r="AP908" s="78" t="str">
        <f aca="false">IF(AO908=1,SUM(AO$7:AO908),"")</f>
        <v/>
      </c>
      <c r="AQ908" s="78" t="n">
        <f aca="false">IF(AND(OR(X908="R",X908="NX",X908="NT",X908="CO"),OR('JOINTS DE RÉPARATION'!$D$5="TOUTES",B908='JOINTS DE RÉPARATION'!$D$5),OR('JOINTS DE RÉPARATION'!$L$4="TOUS",AM908&lt;&gt;"ACCEPTÉ")),1,0)</f>
        <v>0</v>
      </c>
      <c r="AR908" s="78" t="str">
        <f aca="false">IF(AQ908=1,SUM(AQ$7:AQ908),"")</f>
        <v/>
      </c>
    </row>
    <row r="909" customFormat="false" ht="15" hidden="false" customHeight="false" outlineLevel="0" collapsed="false">
      <c r="A909" s="78" t="str">
        <f aca="false">IF(E909="","",ROW()-6)</f>
        <v/>
      </c>
      <c r="B909" s="79"/>
      <c r="C909" s="80"/>
      <c r="D909" s="80"/>
      <c r="E909" s="80"/>
      <c r="F909" s="80"/>
      <c r="G909" s="80"/>
      <c r="H909" s="80"/>
      <c r="I909" s="80"/>
      <c r="J909" s="80"/>
      <c r="K909" s="80"/>
      <c r="L909" s="81" t="str">
        <f aca="false">IF(K909="","",IFERROR(INDEX(BARDAGE!$C$7:$C$1506,MATCH(K909,BARDAGE!$B$7:$B$1506,0)),"? hors registre"))</f>
        <v/>
      </c>
      <c r="M909" s="80"/>
      <c r="N909" s="81" t="str">
        <f aca="false">IF(M909="","",IFERROR(INDEX(BARDAGE!$C$7:$C$1506,MATCH(M909,BARDAGE!$B$7:$B$1506,0)),"? hors registre"))</f>
        <v/>
      </c>
      <c r="O909" s="80"/>
      <c r="P909" s="80"/>
      <c r="Q909" s="80"/>
      <c r="R909" s="82"/>
      <c r="S909" s="82"/>
      <c r="T909" s="80"/>
      <c r="U909" s="80"/>
      <c r="V909" s="82"/>
      <c r="W909" s="80"/>
      <c r="X909" s="80"/>
      <c r="Y909" s="80"/>
      <c r="Z909" s="80"/>
      <c r="AA909" s="82"/>
      <c r="AB909" s="80"/>
      <c r="AC909" s="80"/>
      <c r="AD909" s="80"/>
      <c r="AE909" s="80"/>
      <c r="AF909" s="82"/>
      <c r="AG909" s="80"/>
      <c r="AH909" s="80"/>
      <c r="AI909" s="82"/>
      <c r="AJ909" s="79"/>
      <c r="AK909" s="78" t="str">
        <f aca="false">IF(E909="","",(X909&lt;&gt;"")+(AC909&lt;&gt;"")+(AH909&lt;&gt;""))</f>
        <v/>
      </c>
      <c r="AL909" s="81" t="str">
        <f aca="false">IF(AH909&lt;&gt;"",AH909,IF(AC909&lt;&gt;"",AC909,IF(X909&lt;&gt;"",X909,"")))</f>
        <v/>
      </c>
      <c r="AM909" s="83" t="str">
        <f aca="false">IF(E909="","",IF(R909="","À SOUDER",IF(U909="","VT EN ATTENTE",IF(U909="R","VT REJETÉ – À REPRENDRE",IF(AL909="","À RADIOGRAPHIER",IF(AL909="A","ACCEPTÉ",IF(AL909="NX","NX – RT À REFAIRE",IF(IF(AK909=1,Z909,IF(AK909=2,AE909,""))="A","RÉPARÉ – À RADIOGRAPHIER",IF(IF(AK909=1,Z909,IF(AK909=2,AE909,""))="R","VT REJETÉ – À REPRENDRE",IF(OR(AL909="CO",AL909="NT"),"COUPE – À RESOUDER","À RÉPARER"))))))))))</f>
        <v/>
      </c>
      <c r="AN909" s="81" t="str">
        <f aca="false">IF(AND(ISNUMBER(R909),OR(AM909="À RADIOGRAPHIER",AM909="RÉPARÉ – À RADIOGRAPHIER",AM909="NX – RT À REFAIRE",AM909="À RÉPARER",AM909="COUPE – À RESOUDER",AM909="VT REJETÉ – À REPRENDRE")),MAX(0,'PROGRAMME RT'!$C$4-R909),"")</f>
        <v/>
      </c>
      <c r="AO909" s="78" t="n">
        <f aca="false">IF(AND(OR(AM909="À RADIOGRAPHIER",AM909="RÉPARÉ – À RADIOGRAPHIER",AM909="NX – RT À REFAIRE"),OR('PROGRAMME RT'!$D$5="TOUTES",B909='PROGRAMME RT'!$D$5)),1,0)</f>
        <v>0</v>
      </c>
      <c r="AP909" s="78" t="str">
        <f aca="false">IF(AO909=1,SUM(AO$7:AO909),"")</f>
        <v/>
      </c>
      <c r="AQ909" s="78" t="n">
        <f aca="false">IF(AND(OR(X909="R",X909="NX",X909="NT",X909="CO"),OR('JOINTS DE RÉPARATION'!$D$5="TOUTES",B909='JOINTS DE RÉPARATION'!$D$5),OR('JOINTS DE RÉPARATION'!$L$4="TOUS",AM909&lt;&gt;"ACCEPTÉ")),1,0)</f>
        <v>0</v>
      </c>
      <c r="AR909" s="78" t="str">
        <f aca="false">IF(AQ909=1,SUM(AQ$7:AQ909),"")</f>
        <v/>
      </c>
    </row>
    <row r="910" customFormat="false" ht="15" hidden="false" customHeight="false" outlineLevel="0" collapsed="false">
      <c r="A910" s="78" t="str">
        <f aca="false">IF(E910="","",ROW()-6)</f>
        <v/>
      </c>
      <c r="B910" s="79"/>
      <c r="C910" s="80"/>
      <c r="D910" s="80"/>
      <c r="E910" s="80"/>
      <c r="F910" s="80"/>
      <c r="G910" s="80"/>
      <c r="H910" s="80"/>
      <c r="I910" s="80"/>
      <c r="J910" s="80"/>
      <c r="K910" s="80"/>
      <c r="L910" s="81" t="str">
        <f aca="false">IF(K910="","",IFERROR(INDEX(BARDAGE!$C$7:$C$1506,MATCH(K910,BARDAGE!$B$7:$B$1506,0)),"? hors registre"))</f>
        <v/>
      </c>
      <c r="M910" s="80"/>
      <c r="N910" s="81" t="str">
        <f aca="false">IF(M910="","",IFERROR(INDEX(BARDAGE!$C$7:$C$1506,MATCH(M910,BARDAGE!$B$7:$B$1506,0)),"? hors registre"))</f>
        <v/>
      </c>
      <c r="O910" s="80"/>
      <c r="P910" s="80"/>
      <c r="Q910" s="80"/>
      <c r="R910" s="82"/>
      <c r="S910" s="82"/>
      <c r="T910" s="80"/>
      <c r="U910" s="80"/>
      <c r="V910" s="82"/>
      <c r="W910" s="80"/>
      <c r="X910" s="80"/>
      <c r="Y910" s="80"/>
      <c r="Z910" s="80"/>
      <c r="AA910" s="82"/>
      <c r="AB910" s="80"/>
      <c r="AC910" s="80"/>
      <c r="AD910" s="80"/>
      <c r="AE910" s="80"/>
      <c r="AF910" s="82"/>
      <c r="AG910" s="80"/>
      <c r="AH910" s="80"/>
      <c r="AI910" s="82"/>
      <c r="AJ910" s="79"/>
      <c r="AK910" s="78" t="str">
        <f aca="false">IF(E910="","",(X910&lt;&gt;"")+(AC910&lt;&gt;"")+(AH910&lt;&gt;""))</f>
        <v/>
      </c>
      <c r="AL910" s="81" t="str">
        <f aca="false">IF(AH910&lt;&gt;"",AH910,IF(AC910&lt;&gt;"",AC910,IF(X910&lt;&gt;"",X910,"")))</f>
        <v/>
      </c>
      <c r="AM910" s="83" t="str">
        <f aca="false">IF(E910="","",IF(R910="","À SOUDER",IF(U910="","VT EN ATTENTE",IF(U910="R","VT REJETÉ – À REPRENDRE",IF(AL910="","À RADIOGRAPHIER",IF(AL910="A","ACCEPTÉ",IF(AL910="NX","NX – RT À REFAIRE",IF(IF(AK910=1,Z910,IF(AK910=2,AE910,""))="A","RÉPARÉ – À RADIOGRAPHIER",IF(IF(AK910=1,Z910,IF(AK910=2,AE910,""))="R","VT REJETÉ – À REPRENDRE",IF(OR(AL910="CO",AL910="NT"),"COUPE – À RESOUDER","À RÉPARER"))))))))))</f>
        <v/>
      </c>
      <c r="AN910" s="81" t="str">
        <f aca="false">IF(AND(ISNUMBER(R910),OR(AM910="À RADIOGRAPHIER",AM910="RÉPARÉ – À RADIOGRAPHIER",AM910="NX – RT À REFAIRE",AM910="À RÉPARER",AM910="COUPE – À RESOUDER",AM910="VT REJETÉ – À REPRENDRE")),MAX(0,'PROGRAMME RT'!$C$4-R910),"")</f>
        <v/>
      </c>
      <c r="AO910" s="78" t="n">
        <f aca="false">IF(AND(OR(AM910="À RADIOGRAPHIER",AM910="RÉPARÉ – À RADIOGRAPHIER",AM910="NX – RT À REFAIRE"),OR('PROGRAMME RT'!$D$5="TOUTES",B910='PROGRAMME RT'!$D$5)),1,0)</f>
        <v>0</v>
      </c>
      <c r="AP910" s="78" t="str">
        <f aca="false">IF(AO910=1,SUM(AO$7:AO910),"")</f>
        <v/>
      </c>
      <c r="AQ910" s="78" t="n">
        <f aca="false">IF(AND(OR(X910="R",X910="NX",X910="NT",X910="CO"),OR('JOINTS DE RÉPARATION'!$D$5="TOUTES",B910='JOINTS DE RÉPARATION'!$D$5),OR('JOINTS DE RÉPARATION'!$L$4="TOUS",AM910&lt;&gt;"ACCEPTÉ")),1,0)</f>
        <v>0</v>
      </c>
      <c r="AR910" s="78" t="str">
        <f aca="false">IF(AQ910=1,SUM(AQ$7:AQ910),"")</f>
        <v/>
      </c>
    </row>
    <row r="911" customFormat="false" ht="15" hidden="false" customHeight="false" outlineLevel="0" collapsed="false">
      <c r="A911" s="78" t="str">
        <f aca="false">IF(E911="","",ROW()-6)</f>
        <v/>
      </c>
      <c r="B911" s="79"/>
      <c r="C911" s="80"/>
      <c r="D911" s="80"/>
      <c r="E911" s="80"/>
      <c r="F911" s="80"/>
      <c r="G911" s="80"/>
      <c r="H911" s="80"/>
      <c r="I911" s="80"/>
      <c r="J911" s="80"/>
      <c r="K911" s="80"/>
      <c r="L911" s="81" t="str">
        <f aca="false">IF(K911="","",IFERROR(INDEX(BARDAGE!$C$7:$C$1506,MATCH(K911,BARDAGE!$B$7:$B$1506,0)),"? hors registre"))</f>
        <v/>
      </c>
      <c r="M911" s="80"/>
      <c r="N911" s="81" t="str">
        <f aca="false">IF(M911="","",IFERROR(INDEX(BARDAGE!$C$7:$C$1506,MATCH(M911,BARDAGE!$B$7:$B$1506,0)),"? hors registre"))</f>
        <v/>
      </c>
      <c r="O911" s="80"/>
      <c r="P911" s="80"/>
      <c r="Q911" s="80"/>
      <c r="R911" s="82"/>
      <c r="S911" s="82"/>
      <c r="T911" s="80"/>
      <c r="U911" s="80"/>
      <c r="V911" s="82"/>
      <c r="W911" s="80"/>
      <c r="X911" s="80"/>
      <c r="Y911" s="80"/>
      <c r="Z911" s="80"/>
      <c r="AA911" s="82"/>
      <c r="AB911" s="80"/>
      <c r="AC911" s="80"/>
      <c r="AD911" s="80"/>
      <c r="AE911" s="80"/>
      <c r="AF911" s="82"/>
      <c r="AG911" s="80"/>
      <c r="AH911" s="80"/>
      <c r="AI911" s="82"/>
      <c r="AJ911" s="79"/>
      <c r="AK911" s="78" t="str">
        <f aca="false">IF(E911="","",(X911&lt;&gt;"")+(AC911&lt;&gt;"")+(AH911&lt;&gt;""))</f>
        <v/>
      </c>
      <c r="AL911" s="81" t="str">
        <f aca="false">IF(AH911&lt;&gt;"",AH911,IF(AC911&lt;&gt;"",AC911,IF(X911&lt;&gt;"",X911,"")))</f>
        <v/>
      </c>
      <c r="AM911" s="83" t="str">
        <f aca="false">IF(E911="","",IF(R911="","À SOUDER",IF(U911="","VT EN ATTENTE",IF(U911="R","VT REJETÉ – À REPRENDRE",IF(AL911="","À RADIOGRAPHIER",IF(AL911="A","ACCEPTÉ",IF(AL911="NX","NX – RT À REFAIRE",IF(IF(AK911=1,Z911,IF(AK911=2,AE911,""))="A","RÉPARÉ – À RADIOGRAPHIER",IF(IF(AK911=1,Z911,IF(AK911=2,AE911,""))="R","VT REJETÉ – À REPRENDRE",IF(OR(AL911="CO",AL911="NT"),"COUPE – À RESOUDER","À RÉPARER"))))))))))</f>
        <v/>
      </c>
      <c r="AN911" s="81" t="str">
        <f aca="false">IF(AND(ISNUMBER(R911),OR(AM911="À RADIOGRAPHIER",AM911="RÉPARÉ – À RADIOGRAPHIER",AM911="NX – RT À REFAIRE",AM911="À RÉPARER",AM911="COUPE – À RESOUDER",AM911="VT REJETÉ – À REPRENDRE")),MAX(0,'PROGRAMME RT'!$C$4-R911),"")</f>
        <v/>
      </c>
      <c r="AO911" s="78" t="n">
        <f aca="false">IF(AND(OR(AM911="À RADIOGRAPHIER",AM911="RÉPARÉ – À RADIOGRAPHIER",AM911="NX – RT À REFAIRE"),OR('PROGRAMME RT'!$D$5="TOUTES",B911='PROGRAMME RT'!$D$5)),1,0)</f>
        <v>0</v>
      </c>
      <c r="AP911" s="78" t="str">
        <f aca="false">IF(AO911=1,SUM(AO$7:AO911),"")</f>
        <v/>
      </c>
      <c r="AQ911" s="78" t="n">
        <f aca="false">IF(AND(OR(X911="R",X911="NX",X911="NT",X911="CO"),OR('JOINTS DE RÉPARATION'!$D$5="TOUTES",B911='JOINTS DE RÉPARATION'!$D$5),OR('JOINTS DE RÉPARATION'!$L$4="TOUS",AM911&lt;&gt;"ACCEPTÉ")),1,0)</f>
        <v>0</v>
      </c>
      <c r="AR911" s="78" t="str">
        <f aca="false">IF(AQ911=1,SUM(AQ$7:AQ911),"")</f>
        <v/>
      </c>
    </row>
    <row r="912" customFormat="false" ht="15" hidden="false" customHeight="false" outlineLevel="0" collapsed="false">
      <c r="A912" s="78" t="str">
        <f aca="false">IF(E912="","",ROW()-6)</f>
        <v/>
      </c>
      <c r="B912" s="79"/>
      <c r="C912" s="80"/>
      <c r="D912" s="80"/>
      <c r="E912" s="80"/>
      <c r="F912" s="80"/>
      <c r="G912" s="80"/>
      <c r="H912" s="80"/>
      <c r="I912" s="80"/>
      <c r="J912" s="80"/>
      <c r="K912" s="80"/>
      <c r="L912" s="81" t="str">
        <f aca="false">IF(K912="","",IFERROR(INDEX(BARDAGE!$C$7:$C$1506,MATCH(K912,BARDAGE!$B$7:$B$1506,0)),"? hors registre"))</f>
        <v/>
      </c>
      <c r="M912" s="80"/>
      <c r="N912" s="81" t="str">
        <f aca="false">IF(M912="","",IFERROR(INDEX(BARDAGE!$C$7:$C$1506,MATCH(M912,BARDAGE!$B$7:$B$1506,0)),"? hors registre"))</f>
        <v/>
      </c>
      <c r="O912" s="80"/>
      <c r="P912" s="80"/>
      <c r="Q912" s="80"/>
      <c r="R912" s="82"/>
      <c r="S912" s="82"/>
      <c r="T912" s="80"/>
      <c r="U912" s="80"/>
      <c r="V912" s="82"/>
      <c r="W912" s="80"/>
      <c r="X912" s="80"/>
      <c r="Y912" s="80"/>
      <c r="Z912" s="80"/>
      <c r="AA912" s="82"/>
      <c r="AB912" s="80"/>
      <c r="AC912" s="80"/>
      <c r="AD912" s="80"/>
      <c r="AE912" s="80"/>
      <c r="AF912" s="82"/>
      <c r="AG912" s="80"/>
      <c r="AH912" s="80"/>
      <c r="AI912" s="82"/>
      <c r="AJ912" s="79"/>
      <c r="AK912" s="78" t="str">
        <f aca="false">IF(E912="","",(X912&lt;&gt;"")+(AC912&lt;&gt;"")+(AH912&lt;&gt;""))</f>
        <v/>
      </c>
      <c r="AL912" s="81" t="str">
        <f aca="false">IF(AH912&lt;&gt;"",AH912,IF(AC912&lt;&gt;"",AC912,IF(X912&lt;&gt;"",X912,"")))</f>
        <v/>
      </c>
      <c r="AM912" s="83" t="str">
        <f aca="false">IF(E912="","",IF(R912="","À SOUDER",IF(U912="","VT EN ATTENTE",IF(U912="R","VT REJETÉ – À REPRENDRE",IF(AL912="","À RADIOGRAPHIER",IF(AL912="A","ACCEPTÉ",IF(AL912="NX","NX – RT À REFAIRE",IF(IF(AK912=1,Z912,IF(AK912=2,AE912,""))="A","RÉPARÉ – À RADIOGRAPHIER",IF(IF(AK912=1,Z912,IF(AK912=2,AE912,""))="R","VT REJETÉ – À REPRENDRE",IF(OR(AL912="CO",AL912="NT"),"COUPE – À RESOUDER","À RÉPARER"))))))))))</f>
        <v/>
      </c>
      <c r="AN912" s="81" t="str">
        <f aca="false">IF(AND(ISNUMBER(R912),OR(AM912="À RADIOGRAPHIER",AM912="RÉPARÉ – À RADIOGRAPHIER",AM912="NX – RT À REFAIRE",AM912="À RÉPARER",AM912="COUPE – À RESOUDER",AM912="VT REJETÉ – À REPRENDRE")),MAX(0,'PROGRAMME RT'!$C$4-R912),"")</f>
        <v/>
      </c>
      <c r="AO912" s="78" t="n">
        <f aca="false">IF(AND(OR(AM912="À RADIOGRAPHIER",AM912="RÉPARÉ – À RADIOGRAPHIER",AM912="NX – RT À REFAIRE"),OR('PROGRAMME RT'!$D$5="TOUTES",B912='PROGRAMME RT'!$D$5)),1,0)</f>
        <v>0</v>
      </c>
      <c r="AP912" s="78" t="str">
        <f aca="false">IF(AO912=1,SUM(AO$7:AO912),"")</f>
        <v/>
      </c>
      <c r="AQ912" s="78" t="n">
        <f aca="false">IF(AND(OR(X912="R",X912="NX",X912="NT",X912="CO"),OR('JOINTS DE RÉPARATION'!$D$5="TOUTES",B912='JOINTS DE RÉPARATION'!$D$5),OR('JOINTS DE RÉPARATION'!$L$4="TOUS",AM912&lt;&gt;"ACCEPTÉ")),1,0)</f>
        <v>0</v>
      </c>
      <c r="AR912" s="78" t="str">
        <f aca="false">IF(AQ912=1,SUM(AQ$7:AQ912),"")</f>
        <v/>
      </c>
    </row>
    <row r="913" customFormat="false" ht="15" hidden="false" customHeight="false" outlineLevel="0" collapsed="false">
      <c r="A913" s="78" t="str">
        <f aca="false">IF(E913="","",ROW()-6)</f>
        <v/>
      </c>
      <c r="B913" s="79"/>
      <c r="C913" s="80"/>
      <c r="D913" s="80"/>
      <c r="E913" s="80"/>
      <c r="F913" s="80"/>
      <c r="G913" s="80"/>
      <c r="H913" s="80"/>
      <c r="I913" s="80"/>
      <c r="J913" s="80"/>
      <c r="K913" s="80"/>
      <c r="L913" s="81" t="str">
        <f aca="false">IF(K913="","",IFERROR(INDEX(BARDAGE!$C$7:$C$1506,MATCH(K913,BARDAGE!$B$7:$B$1506,0)),"? hors registre"))</f>
        <v/>
      </c>
      <c r="M913" s="80"/>
      <c r="N913" s="81" t="str">
        <f aca="false">IF(M913="","",IFERROR(INDEX(BARDAGE!$C$7:$C$1506,MATCH(M913,BARDAGE!$B$7:$B$1506,0)),"? hors registre"))</f>
        <v/>
      </c>
      <c r="O913" s="80"/>
      <c r="P913" s="80"/>
      <c r="Q913" s="80"/>
      <c r="R913" s="82"/>
      <c r="S913" s="82"/>
      <c r="T913" s="80"/>
      <c r="U913" s="80"/>
      <c r="V913" s="82"/>
      <c r="W913" s="80"/>
      <c r="X913" s="80"/>
      <c r="Y913" s="80"/>
      <c r="Z913" s="80"/>
      <c r="AA913" s="82"/>
      <c r="AB913" s="80"/>
      <c r="AC913" s="80"/>
      <c r="AD913" s="80"/>
      <c r="AE913" s="80"/>
      <c r="AF913" s="82"/>
      <c r="AG913" s="80"/>
      <c r="AH913" s="80"/>
      <c r="AI913" s="82"/>
      <c r="AJ913" s="79"/>
      <c r="AK913" s="78" t="str">
        <f aca="false">IF(E913="","",(X913&lt;&gt;"")+(AC913&lt;&gt;"")+(AH913&lt;&gt;""))</f>
        <v/>
      </c>
      <c r="AL913" s="81" t="str">
        <f aca="false">IF(AH913&lt;&gt;"",AH913,IF(AC913&lt;&gt;"",AC913,IF(X913&lt;&gt;"",X913,"")))</f>
        <v/>
      </c>
      <c r="AM913" s="83" t="str">
        <f aca="false">IF(E913="","",IF(R913="","À SOUDER",IF(U913="","VT EN ATTENTE",IF(U913="R","VT REJETÉ – À REPRENDRE",IF(AL913="","À RADIOGRAPHIER",IF(AL913="A","ACCEPTÉ",IF(AL913="NX","NX – RT À REFAIRE",IF(IF(AK913=1,Z913,IF(AK913=2,AE913,""))="A","RÉPARÉ – À RADIOGRAPHIER",IF(IF(AK913=1,Z913,IF(AK913=2,AE913,""))="R","VT REJETÉ – À REPRENDRE",IF(OR(AL913="CO",AL913="NT"),"COUPE – À RESOUDER","À RÉPARER"))))))))))</f>
        <v/>
      </c>
      <c r="AN913" s="81" t="str">
        <f aca="false">IF(AND(ISNUMBER(R913),OR(AM913="À RADIOGRAPHIER",AM913="RÉPARÉ – À RADIOGRAPHIER",AM913="NX – RT À REFAIRE",AM913="À RÉPARER",AM913="COUPE – À RESOUDER",AM913="VT REJETÉ – À REPRENDRE")),MAX(0,'PROGRAMME RT'!$C$4-R913),"")</f>
        <v/>
      </c>
      <c r="AO913" s="78" t="n">
        <f aca="false">IF(AND(OR(AM913="À RADIOGRAPHIER",AM913="RÉPARÉ – À RADIOGRAPHIER",AM913="NX – RT À REFAIRE"),OR('PROGRAMME RT'!$D$5="TOUTES",B913='PROGRAMME RT'!$D$5)),1,0)</f>
        <v>0</v>
      </c>
      <c r="AP913" s="78" t="str">
        <f aca="false">IF(AO913=1,SUM(AO$7:AO913),"")</f>
        <v/>
      </c>
      <c r="AQ913" s="78" t="n">
        <f aca="false">IF(AND(OR(X913="R",X913="NX",X913="NT",X913="CO"),OR('JOINTS DE RÉPARATION'!$D$5="TOUTES",B913='JOINTS DE RÉPARATION'!$D$5),OR('JOINTS DE RÉPARATION'!$L$4="TOUS",AM913&lt;&gt;"ACCEPTÉ")),1,0)</f>
        <v>0</v>
      </c>
      <c r="AR913" s="78" t="str">
        <f aca="false">IF(AQ913=1,SUM(AQ$7:AQ913),"")</f>
        <v/>
      </c>
    </row>
    <row r="914" customFormat="false" ht="15" hidden="false" customHeight="false" outlineLevel="0" collapsed="false">
      <c r="A914" s="78" t="str">
        <f aca="false">IF(E914="","",ROW()-6)</f>
        <v/>
      </c>
      <c r="B914" s="79"/>
      <c r="C914" s="80"/>
      <c r="D914" s="80"/>
      <c r="E914" s="80"/>
      <c r="F914" s="80"/>
      <c r="G914" s="80"/>
      <c r="H914" s="80"/>
      <c r="I914" s="80"/>
      <c r="J914" s="80"/>
      <c r="K914" s="80"/>
      <c r="L914" s="81" t="str">
        <f aca="false">IF(K914="","",IFERROR(INDEX(BARDAGE!$C$7:$C$1506,MATCH(K914,BARDAGE!$B$7:$B$1506,0)),"? hors registre"))</f>
        <v/>
      </c>
      <c r="M914" s="80"/>
      <c r="N914" s="81" t="str">
        <f aca="false">IF(M914="","",IFERROR(INDEX(BARDAGE!$C$7:$C$1506,MATCH(M914,BARDAGE!$B$7:$B$1506,0)),"? hors registre"))</f>
        <v/>
      </c>
      <c r="O914" s="80"/>
      <c r="P914" s="80"/>
      <c r="Q914" s="80"/>
      <c r="R914" s="82"/>
      <c r="S914" s="82"/>
      <c r="T914" s="80"/>
      <c r="U914" s="80"/>
      <c r="V914" s="82"/>
      <c r="W914" s="80"/>
      <c r="X914" s="80"/>
      <c r="Y914" s="80"/>
      <c r="Z914" s="80"/>
      <c r="AA914" s="82"/>
      <c r="AB914" s="80"/>
      <c r="AC914" s="80"/>
      <c r="AD914" s="80"/>
      <c r="AE914" s="80"/>
      <c r="AF914" s="82"/>
      <c r="AG914" s="80"/>
      <c r="AH914" s="80"/>
      <c r="AI914" s="82"/>
      <c r="AJ914" s="79"/>
      <c r="AK914" s="78" t="str">
        <f aca="false">IF(E914="","",(X914&lt;&gt;"")+(AC914&lt;&gt;"")+(AH914&lt;&gt;""))</f>
        <v/>
      </c>
      <c r="AL914" s="81" t="str">
        <f aca="false">IF(AH914&lt;&gt;"",AH914,IF(AC914&lt;&gt;"",AC914,IF(X914&lt;&gt;"",X914,"")))</f>
        <v/>
      </c>
      <c r="AM914" s="83" t="str">
        <f aca="false">IF(E914="","",IF(R914="","À SOUDER",IF(U914="","VT EN ATTENTE",IF(U914="R","VT REJETÉ – À REPRENDRE",IF(AL914="","À RADIOGRAPHIER",IF(AL914="A","ACCEPTÉ",IF(AL914="NX","NX – RT À REFAIRE",IF(IF(AK914=1,Z914,IF(AK914=2,AE914,""))="A","RÉPARÉ – À RADIOGRAPHIER",IF(IF(AK914=1,Z914,IF(AK914=2,AE914,""))="R","VT REJETÉ – À REPRENDRE",IF(OR(AL914="CO",AL914="NT"),"COUPE – À RESOUDER","À RÉPARER"))))))))))</f>
        <v/>
      </c>
      <c r="AN914" s="81" t="str">
        <f aca="false">IF(AND(ISNUMBER(R914),OR(AM914="À RADIOGRAPHIER",AM914="RÉPARÉ – À RADIOGRAPHIER",AM914="NX – RT À REFAIRE",AM914="À RÉPARER",AM914="COUPE – À RESOUDER",AM914="VT REJETÉ – À REPRENDRE")),MAX(0,'PROGRAMME RT'!$C$4-R914),"")</f>
        <v/>
      </c>
      <c r="AO914" s="78" t="n">
        <f aca="false">IF(AND(OR(AM914="À RADIOGRAPHIER",AM914="RÉPARÉ – À RADIOGRAPHIER",AM914="NX – RT À REFAIRE"),OR('PROGRAMME RT'!$D$5="TOUTES",B914='PROGRAMME RT'!$D$5)),1,0)</f>
        <v>0</v>
      </c>
      <c r="AP914" s="78" t="str">
        <f aca="false">IF(AO914=1,SUM(AO$7:AO914),"")</f>
        <v/>
      </c>
      <c r="AQ914" s="78" t="n">
        <f aca="false">IF(AND(OR(X914="R",X914="NX",X914="NT",X914="CO"),OR('JOINTS DE RÉPARATION'!$D$5="TOUTES",B914='JOINTS DE RÉPARATION'!$D$5),OR('JOINTS DE RÉPARATION'!$L$4="TOUS",AM914&lt;&gt;"ACCEPTÉ")),1,0)</f>
        <v>0</v>
      </c>
      <c r="AR914" s="78" t="str">
        <f aca="false">IF(AQ914=1,SUM(AQ$7:AQ914),"")</f>
        <v/>
      </c>
    </row>
    <row r="915" customFormat="false" ht="15" hidden="false" customHeight="false" outlineLevel="0" collapsed="false">
      <c r="A915" s="78" t="str">
        <f aca="false">IF(E915="","",ROW()-6)</f>
        <v/>
      </c>
      <c r="B915" s="79"/>
      <c r="C915" s="80"/>
      <c r="D915" s="80"/>
      <c r="E915" s="80"/>
      <c r="F915" s="80"/>
      <c r="G915" s="80"/>
      <c r="H915" s="80"/>
      <c r="I915" s="80"/>
      <c r="J915" s="80"/>
      <c r="K915" s="80"/>
      <c r="L915" s="81" t="str">
        <f aca="false">IF(K915="","",IFERROR(INDEX(BARDAGE!$C$7:$C$1506,MATCH(K915,BARDAGE!$B$7:$B$1506,0)),"? hors registre"))</f>
        <v/>
      </c>
      <c r="M915" s="80"/>
      <c r="N915" s="81" t="str">
        <f aca="false">IF(M915="","",IFERROR(INDEX(BARDAGE!$C$7:$C$1506,MATCH(M915,BARDAGE!$B$7:$B$1506,0)),"? hors registre"))</f>
        <v/>
      </c>
      <c r="O915" s="80"/>
      <c r="P915" s="80"/>
      <c r="Q915" s="80"/>
      <c r="R915" s="82"/>
      <c r="S915" s="82"/>
      <c r="T915" s="80"/>
      <c r="U915" s="80"/>
      <c r="V915" s="82"/>
      <c r="W915" s="80"/>
      <c r="X915" s="80"/>
      <c r="Y915" s="80"/>
      <c r="Z915" s="80"/>
      <c r="AA915" s="82"/>
      <c r="AB915" s="80"/>
      <c r="AC915" s="80"/>
      <c r="AD915" s="80"/>
      <c r="AE915" s="80"/>
      <c r="AF915" s="82"/>
      <c r="AG915" s="80"/>
      <c r="AH915" s="80"/>
      <c r="AI915" s="82"/>
      <c r="AJ915" s="79"/>
      <c r="AK915" s="78" t="str">
        <f aca="false">IF(E915="","",(X915&lt;&gt;"")+(AC915&lt;&gt;"")+(AH915&lt;&gt;""))</f>
        <v/>
      </c>
      <c r="AL915" s="81" t="str">
        <f aca="false">IF(AH915&lt;&gt;"",AH915,IF(AC915&lt;&gt;"",AC915,IF(X915&lt;&gt;"",X915,"")))</f>
        <v/>
      </c>
      <c r="AM915" s="83" t="str">
        <f aca="false">IF(E915="","",IF(R915="","À SOUDER",IF(U915="","VT EN ATTENTE",IF(U915="R","VT REJETÉ – À REPRENDRE",IF(AL915="","À RADIOGRAPHIER",IF(AL915="A","ACCEPTÉ",IF(AL915="NX","NX – RT À REFAIRE",IF(IF(AK915=1,Z915,IF(AK915=2,AE915,""))="A","RÉPARÉ – À RADIOGRAPHIER",IF(IF(AK915=1,Z915,IF(AK915=2,AE915,""))="R","VT REJETÉ – À REPRENDRE",IF(OR(AL915="CO",AL915="NT"),"COUPE – À RESOUDER","À RÉPARER"))))))))))</f>
        <v/>
      </c>
      <c r="AN915" s="81" t="str">
        <f aca="false">IF(AND(ISNUMBER(R915),OR(AM915="À RADIOGRAPHIER",AM915="RÉPARÉ – À RADIOGRAPHIER",AM915="NX – RT À REFAIRE",AM915="À RÉPARER",AM915="COUPE – À RESOUDER",AM915="VT REJETÉ – À REPRENDRE")),MAX(0,'PROGRAMME RT'!$C$4-R915),"")</f>
        <v/>
      </c>
      <c r="AO915" s="78" t="n">
        <f aca="false">IF(AND(OR(AM915="À RADIOGRAPHIER",AM915="RÉPARÉ – À RADIOGRAPHIER",AM915="NX – RT À REFAIRE"),OR('PROGRAMME RT'!$D$5="TOUTES",B915='PROGRAMME RT'!$D$5)),1,0)</f>
        <v>0</v>
      </c>
      <c r="AP915" s="78" t="str">
        <f aca="false">IF(AO915=1,SUM(AO$7:AO915),"")</f>
        <v/>
      </c>
      <c r="AQ915" s="78" t="n">
        <f aca="false">IF(AND(OR(X915="R",X915="NX",X915="NT",X915="CO"),OR('JOINTS DE RÉPARATION'!$D$5="TOUTES",B915='JOINTS DE RÉPARATION'!$D$5),OR('JOINTS DE RÉPARATION'!$L$4="TOUS",AM915&lt;&gt;"ACCEPTÉ")),1,0)</f>
        <v>0</v>
      </c>
      <c r="AR915" s="78" t="str">
        <f aca="false">IF(AQ915=1,SUM(AQ$7:AQ915),"")</f>
        <v/>
      </c>
    </row>
    <row r="916" customFormat="false" ht="15" hidden="false" customHeight="false" outlineLevel="0" collapsed="false">
      <c r="A916" s="78" t="str">
        <f aca="false">IF(E916="","",ROW()-6)</f>
        <v/>
      </c>
      <c r="B916" s="79"/>
      <c r="C916" s="80"/>
      <c r="D916" s="80"/>
      <c r="E916" s="80"/>
      <c r="F916" s="80"/>
      <c r="G916" s="80"/>
      <c r="H916" s="80"/>
      <c r="I916" s="80"/>
      <c r="J916" s="80"/>
      <c r="K916" s="80"/>
      <c r="L916" s="81" t="str">
        <f aca="false">IF(K916="","",IFERROR(INDEX(BARDAGE!$C$7:$C$1506,MATCH(K916,BARDAGE!$B$7:$B$1506,0)),"? hors registre"))</f>
        <v/>
      </c>
      <c r="M916" s="80"/>
      <c r="N916" s="81" t="str">
        <f aca="false">IF(M916="","",IFERROR(INDEX(BARDAGE!$C$7:$C$1506,MATCH(M916,BARDAGE!$B$7:$B$1506,0)),"? hors registre"))</f>
        <v/>
      </c>
      <c r="O916" s="80"/>
      <c r="P916" s="80"/>
      <c r="Q916" s="80"/>
      <c r="R916" s="82"/>
      <c r="S916" s="82"/>
      <c r="T916" s="80"/>
      <c r="U916" s="80"/>
      <c r="V916" s="82"/>
      <c r="W916" s="80"/>
      <c r="X916" s="80"/>
      <c r="Y916" s="80"/>
      <c r="Z916" s="80"/>
      <c r="AA916" s="82"/>
      <c r="AB916" s="80"/>
      <c r="AC916" s="80"/>
      <c r="AD916" s="80"/>
      <c r="AE916" s="80"/>
      <c r="AF916" s="82"/>
      <c r="AG916" s="80"/>
      <c r="AH916" s="80"/>
      <c r="AI916" s="82"/>
      <c r="AJ916" s="79"/>
      <c r="AK916" s="78" t="str">
        <f aca="false">IF(E916="","",(X916&lt;&gt;"")+(AC916&lt;&gt;"")+(AH916&lt;&gt;""))</f>
        <v/>
      </c>
      <c r="AL916" s="81" t="str">
        <f aca="false">IF(AH916&lt;&gt;"",AH916,IF(AC916&lt;&gt;"",AC916,IF(X916&lt;&gt;"",X916,"")))</f>
        <v/>
      </c>
      <c r="AM916" s="83" t="str">
        <f aca="false">IF(E916="","",IF(R916="","À SOUDER",IF(U916="","VT EN ATTENTE",IF(U916="R","VT REJETÉ – À REPRENDRE",IF(AL916="","À RADIOGRAPHIER",IF(AL916="A","ACCEPTÉ",IF(AL916="NX","NX – RT À REFAIRE",IF(IF(AK916=1,Z916,IF(AK916=2,AE916,""))="A","RÉPARÉ – À RADIOGRAPHIER",IF(IF(AK916=1,Z916,IF(AK916=2,AE916,""))="R","VT REJETÉ – À REPRENDRE",IF(OR(AL916="CO",AL916="NT"),"COUPE – À RESOUDER","À RÉPARER"))))))))))</f>
        <v/>
      </c>
      <c r="AN916" s="81" t="str">
        <f aca="false">IF(AND(ISNUMBER(R916),OR(AM916="À RADIOGRAPHIER",AM916="RÉPARÉ – À RADIOGRAPHIER",AM916="NX – RT À REFAIRE",AM916="À RÉPARER",AM916="COUPE – À RESOUDER",AM916="VT REJETÉ – À REPRENDRE")),MAX(0,'PROGRAMME RT'!$C$4-R916),"")</f>
        <v/>
      </c>
      <c r="AO916" s="78" t="n">
        <f aca="false">IF(AND(OR(AM916="À RADIOGRAPHIER",AM916="RÉPARÉ – À RADIOGRAPHIER",AM916="NX – RT À REFAIRE"),OR('PROGRAMME RT'!$D$5="TOUTES",B916='PROGRAMME RT'!$D$5)),1,0)</f>
        <v>0</v>
      </c>
      <c r="AP916" s="78" t="str">
        <f aca="false">IF(AO916=1,SUM(AO$7:AO916),"")</f>
        <v/>
      </c>
      <c r="AQ916" s="78" t="n">
        <f aca="false">IF(AND(OR(X916="R",X916="NX",X916="NT",X916="CO"),OR('JOINTS DE RÉPARATION'!$D$5="TOUTES",B916='JOINTS DE RÉPARATION'!$D$5),OR('JOINTS DE RÉPARATION'!$L$4="TOUS",AM916&lt;&gt;"ACCEPTÉ")),1,0)</f>
        <v>0</v>
      </c>
      <c r="AR916" s="78" t="str">
        <f aca="false">IF(AQ916=1,SUM(AQ$7:AQ916),"")</f>
        <v/>
      </c>
    </row>
    <row r="917" customFormat="false" ht="15" hidden="false" customHeight="false" outlineLevel="0" collapsed="false">
      <c r="A917" s="78" t="str">
        <f aca="false">IF(E917="","",ROW()-6)</f>
        <v/>
      </c>
      <c r="B917" s="79"/>
      <c r="C917" s="80"/>
      <c r="D917" s="80"/>
      <c r="E917" s="80"/>
      <c r="F917" s="80"/>
      <c r="G917" s="80"/>
      <c r="H917" s="80"/>
      <c r="I917" s="80"/>
      <c r="J917" s="80"/>
      <c r="K917" s="80"/>
      <c r="L917" s="81" t="str">
        <f aca="false">IF(K917="","",IFERROR(INDEX(BARDAGE!$C$7:$C$1506,MATCH(K917,BARDAGE!$B$7:$B$1506,0)),"? hors registre"))</f>
        <v/>
      </c>
      <c r="M917" s="80"/>
      <c r="N917" s="81" t="str">
        <f aca="false">IF(M917="","",IFERROR(INDEX(BARDAGE!$C$7:$C$1506,MATCH(M917,BARDAGE!$B$7:$B$1506,0)),"? hors registre"))</f>
        <v/>
      </c>
      <c r="O917" s="80"/>
      <c r="P917" s="80"/>
      <c r="Q917" s="80"/>
      <c r="R917" s="82"/>
      <c r="S917" s="82"/>
      <c r="T917" s="80"/>
      <c r="U917" s="80"/>
      <c r="V917" s="82"/>
      <c r="W917" s="80"/>
      <c r="X917" s="80"/>
      <c r="Y917" s="80"/>
      <c r="Z917" s="80"/>
      <c r="AA917" s="82"/>
      <c r="AB917" s="80"/>
      <c r="AC917" s="80"/>
      <c r="AD917" s="80"/>
      <c r="AE917" s="80"/>
      <c r="AF917" s="82"/>
      <c r="AG917" s="80"/>
      <c r="AH917" s="80"/>
      <c r="AI917" s="82"/>
      <c r="AJ917" s="79"/>
      <c r="AK917" s="78" t="str">
        <f aca="false">IF(E917="","",(X917&lt;&gt;"")+(AC917&lt;&gt;"")+(AH917&lt;&gt;""))</f>
        <v/>
      </c>
      <c r="AL917" s="81" t="str">
        <f aca="false">IF(AH917&lt;&gt;"",AH917,IF(AC917&lt;&gt;"",AC917,IF(X917&lt;&gt;"",X917,"")))</f>
        <v/>
      </c>
      <c r="AM917" s="83" t="str">
        <f aca="false">IF(E917="","",IF(R917="","À SOUDER",IF(U917="","VT EN ATTENTE",IF(U917="R","VT REJETÉ – À REPRENDRE",IF(AL917="","À RADIOGRAPHIER",IF(AL917="A","ACCEPTÉ",IF(AL917="NX","NX – RT À REFAIRE",IF(IF(AK917=1,Z917,IF(AK917=2,AE917,""))="A","RÉPARÉ – À RADIOGRAPHIER",IF(IF(AK917=1,Z917,IF(AK917=2,AE917,""))="R","VT REJETÉ – À REPRENDRE",IF(OR(AL917="CO",AL917="NT"),"COUPE – À RESOUDER","À RÉPARER"))))))))))</f>
        <v/>
      </c>
      <c r="AN917" s="81" t="str">
        <f aca="false">IF(AND(ISNUMBER(R917),OR(AM917="À RADIOGRAPHIER",AM917="RÉPARÉ – À RADIOGRAPHIER",AM917="NX – RT À REFAIRE",AM917="À RÉPARER",AM917="COUPE – À RESOUDER",AM917="VT REJETÉ – À REPRENDRE")),MAX(0,'PROGRAMME RT'!$C$4-R917),"")</f>
        <v/>
      </c>
      <c r="AO917" s="78" t="n">
        <f aca="false">IF(AND(OR(AM917="À RADIOGRAPHIER",AM917="RÉPARÉ – À RADIOGRAPHIER",AM917="NX – RT À REFAIRE"),OR('PROGRAMME RT'!$D$5="TOUTES",B917='PROGRAMME RT'!$D$5)),1,0)</f>
        <v>0</v>
      </c>
      <c r="AP917" s="78" t="str">
        <f aca="false">IF(AO917=1,SUM(AO$7:AO917),"")</f>
        <v/>
      </c>
      <c r="AQ917" s="78" t="n">
        <f aca="false">IF(AND(OR(X917="R",X917="NX",X917="NT",X917="CO"),OR('JOINTS DE RÉPARATION'!$D$5="TOUTES",B917='JOINTS DE RÉPARATION'!$D$5),OR('JOINTS DE RÉPARATION'!$L$4="TOUS",AM917&lt;&gt;"ACCEPTÉ")),1,0)</f>
        <v>0</v>
      </c>
      <c r="AR917" s="78" t="str">
        <f aca="false">IF(AQ917=1,SUM(AQ$7:AQ917),"")</f>
        <v/>
      </c>
    </row>
    <row r="918" customFormat="false" ht="15" hidden="false" customHeight="false" outlineLevel="0" collapsed="false">
      <c r="A918" s="78" t="str">
        <f aca="false">IF(E918="","",ROW()-6)</f>
        <v/>
      </c>
      <c r="B918" s="79"/>
      <c r="C918" s="80"/>
      <c r="D918" s="80"/>
      <c r="E918" s="80"/>
      <c r="F918" s="80"/>
      <c r="G918" s="80"/>
      <c r="H918" s="80"/>
      <c r="I918" s="80"/>
      <c r="J918" s="80"/>
      <c r="K918" s="80"/>
      <c r="L918" s="81" t="str">
        <f aca="false">IF(K918="","",IFERROR(INDEX(BARDAGE!$C$7:$C$1506,MATCH(K918,BARDAGE!$B$7:$B$1506,0)),"? hors registre"))</f>
        <v/>
      </c>
      <c r="M918" s="80"/>
      <c r="N918" s="81" t="str">
        <f aca="false">IF(M918="","",IFERROR(INDEX(BARDAGE!$C$7:$C$1506,MATCH(M918,BARDAGE!$B$7:$B$1506,0)),"? hors registre"))</f>
        <v/>
      </c>
      <c r="O918" s="80"/>
      <c r="P918" s="80"/>
      <c r="Q918" s="80"/>
      <c r="R918" s="82"/>
      <c r="S918" s="82"/>
      <c r="T918" s="80"/>
      <c r="U918" s="80"/>
      <c r="V918" s="82"/>
      <c r="W918" s="80"/>
      <c r="X918" s="80"/>
      <c r="Y918" s="80"/>
      <c r="Z918" s="80"/>
      <c r="AA918" s="82"/>
      <c r="AB918" s="80"/>
      <c r="AC918" s="80"/>
      <c r="AD918" s="80"/>
      <c r="AE918" s="80"/>
      <c r="AF918" s="82"/>
      <c r="AG918" s="80"/>
      <c r="AH918" s="80"/>
      <c r="AI918" s="82"/>
      <c r="AJ918" s="79"/>
      <c r="AK918" s="78" t="str">
        <f aca="false">IF(E918="","",(X918&lt;&gt;"")+(AC918&lt;&gt;"")+(AH918&lt;&gt;""))</f>
        <v/>
      </c>
      <c r="AL918" s="81" t="str">
        <f aca="false">IF(AH918&lt;&gt;"",AH918,IF(AC918&lt;&gt;"",AC918,IF(X918&lt;&gt;"",X918,"")))</f>
        <v/>
      </c>
      <c r="AM918" s="83" t="str">
        <f aca="false">IF(E918="","",IF(R918="","À SOUDER",IF(U918="","VT EN ATTENTE",IF(U918="R","VT REJETÉ – À REPRENDRE",IF(AL918="","À RADIOGRAPHIER",IF(AL918="A","ACCEPTÉ",IF(AL918="NX","NX – RT À REFAIRE",IF(IF(AK918=1,Z918,IF(AK918=2,AE918,""))="A","RÉPARÉ – À RADIOGRAPHIER",IF(IF(AK918=1,Z918,IF(AK918=2,AE918,""))="R","VT REJETÉ – À REPRENDRE",IF(OR(AL918="CO",AL918="NT"),"COUPE – À RESOUDER","À RÉPARER"))))))))))</f>
        <v/>
      </c>
      <c r="AN918" s="81" t="str">
        <f aca="false">IF(AND(ISNUMBER(R918),OR(AM918="À RADIOGRAPHIER",AM918="RÉPARÉ – À RADIOGRAPHIER",AM918="NX – RT À REFAIRE",AM918="À RÉPARER",AM918="COUPE – À RESOUDER",AM918="VT REJETÉ – À REPRENDRE")),MAX(0,'PROGRAMME RT'!$C$4-R918),"")</f>
        <v/>
      </c>
      <c r="AO918" s="78" t="n">
        <f aca="false">IF(AND(OR(AM918="À RADIOGRAPHIER",AM918="RÉPARÉ – À RADIOGRAPHIER",AM918="NX – RT À REFAIRE"),OR('PROGRAMME RT'!$D$5="TOUTES",B918='PROGRAMME RT'!$D$5)),1,0)</f>
        <v>0</v>
      </c>
      <c r="AP918" s="78" t="str">
        <f aca="false">IF(AO918=1,SUM(AO$7:AO918),"")</f>
        <v/>
      </c>
      <c r="AQ918" s="78" t="n">
        <f aca="false">IF(AND(OR(X918="R",X918="NX",X918="NT",X918="CO"),OR('JOINTS DE RÉPARATION'!$D$5="TOUTES",B918='JOINTS DE RÉPARATION'!$D$5),OR('JOINTS DE RÉPARATION'!$L$4="TOUS",AM918&lt;&gt;"ACCEPTÉ")),1,0)</f>
        <v>0</v>
      </c>
      <c r="AR918" s="78" t="str">
        <f aca="false">IF(AQ918=1,SUM(AQ$7:AQ918),"")</f>
        <v/>
      </c>
    </row>
    <row r="919" customFormat="false" ht="15" hidden="false" customHeight="false" outlineLevel="0" collapsed="false">
      <c r="A919" s="78" t="str">
        <f aca="false">IF(E919="","",ROW()-6)</f>
        <v/>
      </c>
      <c r="B919" s="79"/>
      <c r="C919" s="80"/>
      <c r="D919" s="80"/>
      <c r="E919" s="80"/>
      <c r="F919" s="80"/>
      <c r="G919" s="80"/>
      <c r="H919" s="80"/>
      <c r="I919" s="80"/>
      <c r="J919" s="80"/>
      <c r="K919" s="80"/>
      <c r="L919" s="81" t="str">
        <f aca="false">IF(K919="","",IFERROR(INDEX(BARDAGE!$C$7:$C$1506,MATCH(K919,BARDAGE!$B$7:$B$1506,0)),"? hors registre"))</f>
        <v/>
      </c>
      <c r="M919" s="80"/>
      <c r="N919" s="81" t="str">
        <f aca="false">IF(M919="","",IFERROR(INDEX(BARDAGE!$C$7:$C$1506,MATCH(M919,BARDAGE!$B$7:$B$1506,0)),"? hors registre"))</f>
        <v/>
      </c>
      <c r="O919" s="80"/>
      <c r="P919" s="80"/>
      <c r="Q919" s="80"/>
      <c r="R919" s="82"/>
      <c r="S919" s="82"/>
      <c r="T919" s="80"/>
      <c r="U919" s="80"/>
      <c r="V919" s="82"/>
      <c r="W919" s="80"/>
      <c r="X919" s="80"/>
      <c r="Y919" s="80"/>
      <c r="Z919" s="80"/>
      <c r="AA919" s="82"/>
      <c r="AB919" s="80"/>
      <c r="AC919" s="80"/>
      <c r="AD919" s="80"/>
      <c r="AE919" s="80"/>
      <c r="AF919" s="82"/>
      <c r="AG919" s="80"/>
      <c r="AH919" s="80"/>
      <c r="AI919" s="82"/>
      <c r="AJ919" s="79"/>
      <c r="AK919" s="78" t="str">
        <f aca="false">IF(E919="","",(X919&lt;&gt;"")+(AC919&lt;&gt;"")+(AH919&lt;&gt;""))</f>
        <v/>
      </c>
      <c r="AL919" s="81" t="str">
        <f aca="false">IF(AH919&lt;&gt;"",AH919,IF(AC919&lt;&gt;"",AC919,IF(X919&lt;&gt;"",X919,"")))</f>
        <v/>
      </c>
      <c r="AM919" s="83" t="str">
        <f aca="false">IF(E919="","",IF(R919="","À SOUDER",IF(U919="","VT EN ATTENTE",IF(U919="R","VT REJETÉ – À REPRENDRE",IF(AL919="","À RADIOGRAPHIER",IF(AL919="A","ACCEPTÉ",IF(AL919="NX","NX – RT À REFAIRE",IF(IF(AK919=1,Z919,IF(AK919=2,AE919,""))="A","RÉPARÉ – À RADIOGRAPHIER",IF(IF(AK919=1,Z919,IF(AK919=2,AE919,""))="R","VT REJETÉ – À REPRENDRE",IF(OR(AL919="CO",AL919="NT"),"COUPE – À RESOUDER","À RÉPARER"))))))))))</f>
        <v/>
      </c>
      <c r="AN919" s="81" t="str">
        <f aca="false">IF(AND(ISNUMBER(R919),OR(AM919="À RADIOGRAPHIER",AM919="RÉPARÉ – À RADIOGRAPHIER",AM919="NX – RT À REFAIRE",AM919="À RÉPARER",AM919="COUPE – À RESOUDER",AM919="VT REJETÉ – À REPRENDRE")),MAX(0,'PROGRAMME RT'!$C$4-R919),"")</f>
        <v/>
      </c>
      <c r="AO919" s="78" t="n">
        <f aca="false">IF(AND(OR(AM919="À RADIOGRAPHIER",AM919="RÉPARÉ – À RADIOGRAPHIER",AM919="NX – RT À REFAIRE"),OR('PROGRAMME RT'!$D$5="TOUTES",B919='PROGRAMME RT'!$D$5)),1,0)</f>
        <v>0</v>
      </c>
      <c r="AP919" s="78" t="str">
        <f aca="false">IF(AO919=1,SUM(AO$7:AO919),"")</f>
        <v/>
      </c>
      <c r="AQ919" s="78" t="n">
        <f aca="false">IF(AND(OR(X919="R",X919="NX",X919="NT",X919="CO"),OR('JOINTS DE RÉPARATION'!$D$5="TOUTES",B919='JOINTS DE RÉPARATION'!$D$5),OR('JOINTS DE RÉPARATION'!$L$4="TOUS",AM919&lt;&gt;"ACCEPTÉ")),1,0)</f>
        <v>0</v>
      </c>
      <c r="AR919" s="78" t="str">
        <f aca="false">IF(AQ919=1,SUM(AQ$7:AQ919),"")</f>
        <v/>
      </c>
    </row>
    <row r="920" customFormat="false" ht="15" hidden="false" customHeight="false" outlineLevel="0" collapsed="false">
      <c r="A920" s="78" t="str">
        <f aca="false">IF(E920="","",ROW()-6)</f>
        <v/>
      </c>
      <c r="B920" s="79"/>
      <c r="C920" s="80"/>
      <c r="D920" s="80"/>
      <c r="E920" s="80"/>
      <c r="F920" s="80"/>
      <c r="G920" s="80"/>
      <c r="H920" s="80"/>
      <c r="I920" s="80"/>
      <c r="J920" s="80"/>
      <c r="K920" s="80"/>
      <c r="L920" s="81" t="str">
        <f aca="false">IF(K920="","",IFERROR(INDEX(BARDAGE!$C$7:$C$1506,MATCH(K920,BARDAGE!$B$7:$B$1506,0)),"? hors registre"))</f>
        <v/>
      </c>
      <c r="M920" s="80"/>
      <c r="N920" s="81" t="str">
        <f aca="false">IF(M920="","",IFERROR(INDEX(BARDAGE!$C$7:$C$1506,MATCH(M920,BARDAGE!$B$7:$B$1506,0)),"? hors registre"))</f>
        <v/>
      </c>
      <c r="O920" s="80"/>
      <c r="P920" s="80"/>
      <c r="Q920" s="80"/>
      <c r="R920" s="82"/>
      <c r="S920" s="82"/>
      <c r="T920" s="80"/>
      <c r="U920" s="80"/>
      <c r="V920" s="82"/>
      <c r="W920" s="80"/>
      <c r="X920" s="80"/>
      <c r="Y920" s="80"/>
      <c r="Z920" s="80"/>
      <c r="AA920" s="82"/>
      <c r="AB920" s="80"/>
      <c r="AC920" s="80"/>
      <c r="AD920" s="80"/>
      <c r="AE920" s="80"/>
      <c r="AF920" s="82"/>
      <c r="AG920" s="80"/>
      <c r="AH920" s="80"/>
      <c r="AI920" s="82"/>
      <c r="AJ920" s="79"/>
      <c r="AK920" s="78" t="str">
        <f aca="false">IF(E920="","",(X920&lt;&gt;"")+(AC920&lt;&gt;"")+(AH920&lt;&gt;""))</f>
        <v/>
      </c>
      <c r="AL920" s="81" t="str">
        <f aca="false">IF(AH920&lt;&gt;"",AH920,IF(AC920&lt;&gt;"",AC920,IF(X920&lt;&gt;"",X920,"")))</f>
        <v/>
      </c>
      <c r="AM920" s="83" t="str">
        <f aca="false">IF(E920="","",IF(R920="","À SOUDER",IF(U920="","VT EN ATTENTE",IF(U920="R","VT REJETÉ – À REPRENDRE",IF(AL920="","À RADIOGRAPHIER",IF(AL920="A","ACCEPTÉ",IF(AL920="NX","NX – RT À REFAIRE",IF(IF(AK920=1,Z920,IF(AK920=2,AE920,""))="A","RÉPARÉ – À RADIOGRAPHIER",IF(IF(AK920=1,Z920,IF(AK920=2,AE920,""))="R","VT REJETÉ – À REPRENDRE",IF(OR(AL920="CO",AL920="NT"),"COUPE – À RESOUDER","À RÉPARER"))))))))))</f>
        <v/>
      </c>
      <c r="AN920" s="81" t="str">
        <f aca="false">IF(AND(ISNUMBER(R920),OR(AM920="À RADIOGRAPHIER",AM920="RÉPARÉ – À RADIOGRAPHIER",AM920="NX – RT À REFAIRE",AM920="À RÉPARER",AM920="COUPE – À RESOUDER",AM920="VT REJETÉ – À REPRENDRE")),MAX(0,'PROGRAMME RT'!$C$4-R920),"")</f>
        <v/>
      </c>
      <c r="AO920" s="78" t="n">
        <f aca="false">IF(AND(OR(AM920="À RADIOGRAPHIER",AM920="RÉPARÉ – À RADIOGRAPHIER",AM920="NX – RT À REFAIRE"),OR('PROGRAMME RT'!$D$5="TOUTES",B920='PROGRAMME RT'!$D$5)),1,0)</f>
        <v>0</v>
      </c>
      <c r="AP920" s="78" t="str">
        <f aca="false">IF(AO920=1,SUM(AO$7:AO920),"")</f>
        <v/>
      </c>
      <c r="AQ920" s="78" t="n">
        <f aca="false">IF(AND(OR(X920="R",X920="NX",X920="NT",X920="CO"),OR('JOINTS DE RÉPARATION'!$D$5="TOUTES",B920='JOINTS DE RÉPARATION'!$D$5),OR('JOINTS DE RÉPARATION'!$L$4="TOUS",AM920&lt;&gt;"ACCEPTÉ")),1,0)</f>
        <v>0</v>
      </c>
      <c r="AR920" s="78" t="str">
        <f aca="false">IF(AQ920=1,SUM(AQ$7:AQ920),"")</f>
        <v/>
      </c>
    </row>
    <row r="921" customFormat="false" ht="15" hidden="false" customHeight="false" outlineLevel="0" collapsed="false">
      <c r="A921" s="78" t="str">
        <f aca="false">IF(E921="","",ROW()-6)</f>
        <v/>
      </c>
      <c r="B921" s="79"/>
      <c r="C921" s="80"/>
      <c r="D921" s="80"/>
      <c r="E921" s="80"/>
      <c r="F921" s="80"/>
      <c r="G921" s="80"/>
      <c r="H921" s="80"/>
      <c r="I921" s="80"/>
      <c r="J921" s="80"/>
      <c r="K921" s="80"/>
      <c r="L921" s="81" t="str">
        <f aca="false">IF(K921="","",IFERROR(INDEX(BARDAGE!$C$7:$C$1506,MATCH(K921,BARDAGE!$B$7:$B$1506,0)),"? hors registre"))</f>
        <v/>
      </c>
      <c r="M921" s="80"/>
      <c r="N921" s="81" t="str">
        <f aca="false">IF(M921="","",IFERROR(INDEX(BARDAGE!$C$7:$C$1506,MATCH(M921,BARDAGE!$B$7:$B$1506,0)),"? hors registre"))</f>
        <v/>
      </c>
      <c r="O921" s="80"/>
      <c r="P921" s="80"/>
      <c r="Q921" s="80"/>
      <c r="R921" s="82"/>
      <c r="S921" s="82"/>
      <c r="T921" s="80"/>
      <c r="U921" s="80"/>
      <c r="V921" s="82"/>
      <c r="W921" s="80"/>
      <c r="X921" s="80"/>
      <c r="Y921" s="80"/>
      <c r="Z921" s="80"/>
      <c r="AA921" s="82"/>
      <c r="AB921" s="80"/>
      <c r="AC921" s="80"/>
      <c r="AD921" s="80"/>
      <c r="AE921" s="80"/>
      <c r="AF921" s="82"/>
      <c r="AG921" s="80"/>
      <c r="AH921" s="80"/>
      <c r="AI921" s="82"/>
      <c r="AJ921" s="79"/>
      <c r="AK921" s="78" t="str">
        <f aca="false">IF(E921="","",(X921&lt;&gt;"")+(AC921&lt;&gt;"")+(AH921&lt;&gt;""))</f>
        <v/>
      </c>
      <c r="AL921" s="81" t="str">
        <f aca="false">IF(AH921&lt;&gt;"",AH921,IF(AC921&lt;&gt;"",AC921,IF(X921&lt;&gt;"",X921,"")))</f>
        <v/>
      </c>
      <c r="AM921" s="83" t="str">
        <f aca="false">IF(E921="","",IF(R921="","À SOUDER",IF(U921="","VT EN ATTENTE",IF(U921="R","VT REJETÉ – À REPRENDRE",IF(AL921="","À RADIOGRAPHIER",IF(AL921="A","ACCEPTÉ",IF(AL921="NX","NX – RT À REFAIRE",IF(IF(AK921=1,Z921,IF(AK921=2,AE921,""))="A","RÉPARÉ – À RADIOGRAPHIER",IF(IF(AK921=1,Z921,IF(AK921=2,AE921,""))="R","VT REJETÉ – À REPRENDRE",IF(OR(AL921="CO",AL921="NT"),"COUPE – À RESOUDER","À RÉPARER"))))))))))</f>
        <v/>
      </c>
      <c r="AN921" s="81" t="str">
        <f aca="false">IF(AND(ISNUMBER(R921),OR(AM921="À RADIOGRAPHIER",AM921="RÉPARÉ – À RADIOGRAPHIER",AM921="NX – RT À REFAIRE",AM921="À RÉPARER",AM921="COUPE – À RESOUDER",AM921="VT REJETÉ – À REPRENDRE")),MAX(0,'PROGRAMME RT'!$C$4-R921),"")</f>
        <v/>
      </c>
      <c r="AO921" s="78" t="n">
        <f aca="false">IF(AND(OR(AM921="À RADIOGRAPHIER",AM921="RÉPARÉ – À RADIOGRAPHIER",AM921="NX – RT À REFAIRE"),OR('PROGRAMME RT'!$D$5="TOUTES",B921='PROGRAMME RT'!$D$5)),1,0)</f>
        <v>0</v>
      </c>
      <c r="AP921" s="78" t="str">
        <f aca="false">IF(AO921=1,SUM(AO$7:AO921),"")</f>
        <v/>
      </c>
      <c r="AQ921" s="78" t="n">
        <f aca="false">IF(AND(OR(X921="R",X921="NX",X921="NT",X921="CO"),OR('JOINTS DE RÉPARATION'!$D$5="TOUTES",B921='JOINTS DE RÉPARATION'!$D$5),OR('JOINTS DE RÉPARATION'!$L$4="TOUS",AM921&lt;&gt;"ACCEPTÉ")),1,0)</f>
        <v>0</v>
      </c>
      <c r="AR921" s="78" t="str">
        <f aca="false">IF(AQ921=1,SUM(AQ$7:AQ921),"")</f>
        <v/>
      </c>
    </row>
    <row r="922" customFormat="false" ht="15" hidden="false" customHeight="false" outlineLevel="0" collapsed="false">
      <c r="A922" s="78" t="str">
        <f aca="false">IF(E922="","",ROW()-6)</f>
        <v/>
      </c>
      <c r="B922" s="79"/>
      <c r="C922" s="80"/>
      <c r="D922" s="80"/>
      <c r="E922" s="80"/>
      <c r="F922" s="80"/>
      <c r="G922" s="80"/>
      <c r="H922" s="80"/>
      <c r="I922" s="80"/>
      <c r="J922" s="80"/>
      <c r="K922" s="80"/>
      <c r="L922" s="81" t="str">
        <f aca="false">IF(K922="","",IFERROR(INDEX(BARDAGE!$C$7:$C$1506,MATCH(K922,BARDAGE!$B$7:$B$1506,0)),"? hors registre"))</f>
        <v/>
      </c>
      <c r="M922" s="80"/>
      <c r="N922" s="81" t="str">
        <f aca="false">IF(M922="","",IFERROR(INDEX(BARDAGE!$C$7:$C$1506,MATCH(M922,BARDAGE!$B$7:$B$1506,0)),"? hors registre"))</f>
        <v/>
      </c>
      <c r="O922" s="80"/>
      <c r="P922" s="80"/>
      <c r="Q922" s="80"/>
      <c r="R922" s="82"/>
      <c r="S922" s="82"/>
      <c r="T922" s="80"/>
      <c r="U922" s="80"/>
      <c r="V922" s="82"/>
      <c r="W922" s="80"/>
      <c r="X922" s="80"/>
      <c r="Y922" s="80"/>
      <c r="Z922" s="80"/>
      <c r="AA922" s="82"/>
      <c r="AB922" s="80"/>
      <c r="AC922" s="80"/>
      <c r="AD922" s="80"/>
      <c r="AE922" s="80"/>
      <c r="AF922" s="82"/>
      <c r="AG922" s="80"/>
      <c r="AH922" s="80"/>
      <c r="AI922" s="82"/>
      <c r="AJ922" s="79"/>
      <c r="AK922" s="78" t="str">
        <f aca="false">IF(E922="","",(X922&lt;&gt;"")+(AC922&lt;&gt;"")+(AH922&lt;&gt;""))</f>
        <v/>
      </c>
      <c r="AL922" s="81" t="str">
        <f aca="false">IF(AH922&lt;&gt;"",AH922,IF(AC922&lt;&gt;"",AC922,IF(X922&lt;&gt;"",X922,"")))</f>
        <v/>
      </c>
      <c r="AM922" s="83" t="str">
        <f aca="false">IF(E922="","",IF(R922="","À SOUDER",IF(U922="","VT EN ATTENTE",IF(U922="R","VT REJETÉ – À REPRENDRE",IF(AL922="","À RADIOGRAPHIER",IF(AL922="A","ACCEPTÉ",IF(AL922="NX","NX – RT À REFAIRE",IF(IF(AK922=1,Z922,IF(AK922=2,AE922,""))="A","RÉPARÉ – À RADIOGRAPHIER",IF(IF(AK922=1,Z922,IF(AK922=2,AE922,""))="R","VT REJETÉ – À REPRENDRE",IF(OR(AL922="CO",AL922="NT"),"COUPE – À RESOUDER","À RÉPARER"))))))))))</f>
        <v/>
      </c>
      <c r="AN922" s="81" t="str">
        <f aca="false">IF(AND(ISNUMBER(R922),OR(AM922="À RADIOGRAPHIER",AM922="RÉPARÉ – À RADIOGRAPHIER",AM922="NX – RT À REFAIRE",AM922="À RÉPARER",AM922="COUPE – À RESOUDER",AM922="VT REJETÉ – À REPRENDRE")),MAX(0,'PROGRAMME RT'!$C$4-R922),"")</f>
        <v/>
      </c>
      <c r="AO922" s="78" t="n">
        <f aca="false">IF(AND(OR(AM922="À RADIOGRAPHIER",AM922="RÉPARÉ – À RADIOGRAPHIER",AM922="NX – RT À REFAIRE"),OR('PROGRAMME RT'!$D$5="TOUTES",B922='PROGRAMME RT'!$D$5)),1,0)</f>
        <v>0</v>
      </c>
      <c r="AP922" s="78" t="str">
        <f aca="false">IF(AO922=1,SUM(AO$7:AO922),"")</f>
        <v/>
      </c>
      <c r="AQ922" s="78" t="n">
        <f aca="false">IF(AND(OR(X922="R",X922="NX",X922="NT",X922="CO"),OR('JOINTS DE RÉPARATION'!$D$5="TOUTES",B922='JOINTS DE RÉPARATION'!$D$5),OR('JOINTS DE RÉPARATION'!$L$4="TOUS",AM922&lt;&gt;"ACCEPTÉ")),1,0)</f>
        <v>0</v>
      </c>
      <c r="AR922" s="78" t="str">
        <f aca="false">IF(AQ922=1,SUM(AQ$7:AQ922),"")</f>
        <v/>
      </c>
    </row>
    <row r="923" customFormat="false" ht="15" hidden="false" customHeight="false" outlineLevel="0" collapsed="false">
      <c r="A923" s="78" t="str">
        <f aca="false">IF(E923="","",ROW()-6)</f>
        <v/>
      </c>
      <c r="B923" s="79"/>
      <c r="C923" s="80"/>
      <c r="D923" s="80"/>
      <c r="E923" s="80"/>
      <c r="F923" s="80"/>
      <c r="G923" s="80"/>
      <c r="H923" s="80"/>
      <c r="I923" s="80"/>
      <c r="J923" s="80"/>
      <c r="K923" s="80"/>
      <c r="L923" s="81" t="str">
        <f aca="false">IF(K923="","",IFERROR(INDEX(BARDAGE!$C$7:$C$1506,MATCH(K923,BARDAGE!$B$7:$B$1506,0)),"? hors registre"))</f>
        <v/>
      </c>
      <c r="M923" s="80"/>
      <c r="N923" s="81" t="str">
        <f aca="false">IF(M923="","",IFERROR(INDEX(BARDAGE!$C$7:$C$1506,MATCH(M923,BARDAGE!$B$7:$B$1506,0)),"? hors registre"))</f>
        <v/>
      </c>
      <c r="O923" s="80"/>
      <c r="P923" s="80"/>
      <c r="Q923" s="80"/>
      <c r="R923" s="82"/>
      <c r="S923" s="82"/>
      <c r="T923" s="80"/>
      <c r="U923" s="80"/>
      <c r="V923" s="82"/>
      <c r="W923" s="80"/>
      <c r="X923" s="80"/>
      <c r="Y923" s="80"/>
      <c r="Z923" s="80"/>
      <c r="AA923" s="82"/>
      <c r="AB923" s="80"/>
      <c r="AC923" s="80"/>
      <c r="AD923" s="80"/>
      <c r="AE923" s="80"/>
      <c r="AF923" s="82"/>
      <c r="AG923" s="80"/>
      <c r="AH923" s="80"/>
      <c r="AI923" s="82"/>
      <c r="AJ923" s="79"/>
      <c r="AK923" s="78" t="str">
        <f aca="false">IF(E923="","",(X923&lt;&gt;"")+(AC923&lt;&gt;"")+(AH923&lt;&gt;""))</f>
        <v/>
      </c>
      <c r="AL923" s="81" t="str">
        <f aca="false">IF(AH923&lt;&gt;"",AH923,IF(AC923&lt;&gt;"",AC923,IF(X923&lt;&gt;"",X923,"")))</f>
        <v/>
      </c>
      <c r="AM923" s="83" t="str">
        <f aca="false">IF(E923="","",IF(R923="","À SOUDER",IF(U923="","VT EN ATTENTE",IF(U923="R","VT REJETÉ – À REPRENDRE",IF(AL923="","À RADIOGRAPHIER",IF(AL923="A","ACCEPTÉ",IF(AL923="NX","NX – RT À REFAIRE",IF(IF(AK923=1,Z923,IF(AK923=2,AE923,""))="A","RÉPARÉ – À RADIOGRAPHIER",IF(IF(AK923=1,Z923,IF(AK923=2,AE923,""))="R","VT REJETÉ – À REPRENDRE",IF(OR(AL923="CO",AL923="NT"),"COUPE – À RESOUDER","À RÉPARER"))))))))))</f>
        <v/>
      </c>
      <c r="AN923" s="81" t="str">
        <f aca="false">IF(AND(ISNUMBER(R923),OR(AM923="À RADIOGRAPHIER",AM923="RÉPARÉ – À RADIOGRAPHIER",AM923="NX – RT À REFAIRE",AM923="À RÉPARER",AM923="COUPE – À RESOUDER",AM923="VT REJETÉ – À REPRENDRE")),MAX(0,'PROGRAMME RT'!$C$4-R923),"")</f>
        <v/>
      </c>
      <c r="AO923" s="78" t="n">
        <f aca="false">IF(AND(OR(AM923="À RADIOGRAPHIER",AM923="RÉPARÉ – À RADIOGRAPHIER",AM923="NX – RT À REFAIRE"),OR('PROGRAMME RT'!$D$5="TOUTES",B923='PROGRAMME RT'!$D$5)),1,0)</f>
        <v>0</v>
      </c>
      <c r="AP923" s="78" t="str">
        <f aca="false">IF(AO923=1,SUM(AO$7:AO923),"")</f>
        <v/>
      </c>
      <c r="AQ923" s="78" t="n">
        <f aca="false">IF(AND(OR(X923="R",X923="NX",X923="NT",X923="CO"),OR('JOINTS DE RÉPARATION'!$D$5="TOUTES",B923='JOINTS DE RÉPARATION'!$D$5),OR('JOINTS DE RÉPARATION'!$L$4="TOUS",AM923&lt;&gt;"ACCEPTÉ")),1,0)</f>
        <v>0</v>
      </c>
      <c r="AR923" s="78" t="str">
        <f aca="false">IF(AQ923=1,SUM(AQ$7:AQ923),"")</f>
        <v/>
      </c>
    </row>
    <row r="924" customFormat="false" ht="15" hidden="false" customHeight="false" outlineLevel="0" collapsed="false">
      <c r="A924" s="78" t="str">
        <f aca="false">IF(E924="","",ROW()-6)</f>
        <v/>
      </c>
      <c r="B924" s="79"/>
      <c r="C924" s="80"/>
      <c r="D924" s="80"/>
      <c r="E924" s="80"/>
      <c r="F924" s="80"/>
      <c r="G924" s="80"/>
      <c r="H924" s="80"/>
      <c r="I924" s="80"/>
      <c r="J924" s="80"/>
      <c r="K924" s="80"/>
      <c r="L924" s="81" t="str">
        <f aca="false">IF(K924="","",IFERROR(INDEX(BARDAGE!$C$7:$C$1506,MATCH(K924,BARDAGE!$B$7:$B$1506,0)),"? hors registre"))</f>
        <v/>
      </c>
      <c r="M924" s="80"/>
      <c r="N924" s="81" t="str">
        <f aca="false">IF(M924="","",IFERROR(INDEX(BARDAGE!$C$7:$C$1506,MATCH(M924,BARDAGE!$B$7:$B$1506,0)),"? hors registre"))</f>
        <v/>
      </c>
      <c r="O924" s="80"/>
      <c r="P924" s="80"/>
      <c r="Q924" s="80"/>
      <c r="R924" s="82"/>
      <c r="S924" s="82"/>
      <c r="T924" s="80"/>
      <c r="U924" s="80"/>
      <c r="V924" s="82"/>
      <c r="W924" s="80"/>
      <c r="X924" s="80"/>
      <c r="Y924" s="80"/>
      <c r="Z924" s="80"/>
      <c r="AA924" s="82"/>
      <c r="AB924" s="80"/>
      <c r="AC924" s="80"/>
      <c r="AD924" s="80"/>
      <c r="AE924" s="80"/>
      <c r="AF924" s="82"/>
      <c r="AG924" s="80"/>
      <c r="AH924" s="80"/>
      <c r="AI924" s="82"/>
      <c r="AJ924" s="79"/>
      <c r="AK924" s="78" t="str">
        <f aca="false">IF(E924="","",(X924&lt;&gt;"")+(AC924&lt;&gt;"")+(AH924&lt;&gt;""))</f>
        <v/>
      </c>
      <c r="AL924" s="81" t="str">
        <f aca="false">IF(AH924&lt;&gt;"",AH924,IF(AC924&lt;&gt;"",AC924,IF(X924&lt;&gt;"",X924,"")))</f>
        <v/>
      </c>
      <c r="AM924" s="83" t="str">
        <f aca="false">IF(E924="","",IF(R924="","À SOUDER",IF(U924="","VT EN ATTENTE",IF(U924="R","VT REJETÉ – À REPRENDRE",IF(AL924="","À RADIOGRAPHIER",IF(AL924="A","ACCEPTÉ",IF(AL924="NX","NX – RT À REFAIRE",IF(IF(AK924=1,Z924,IF(AK924=2,AE924,""))="A","RÉPARÉ – À RADIOGRAPHIER",IF(IF(AK924=1,Z924,IF(AK924=2,AE924,""))="R","VT REJETÉ – À REPRENDRE",IF(OR(AL924="CO",AL924="NT"),"COUPE – À RESOUDER","À RÉPARER"))))))))))</f>
        <v/>
      </c>
      <c r="AN924" s="81" t="str">
        <f aca="false">IF(AND(ISNUMBER(R924),OR(AM924="À RADIOGRAPHIER",AM924="RÉPARÉ – À RADIOGRAPHIER",AM924="NX – RT À REFAIRE",AM924="À RÉPARER",AM924="COUPE – À RESOUDER",AM924="VT REJETÉ – À REPRENDRE")),MAX(0,'PROGRAMME RT'!$C$4-R924),"")</f>
        <v/>
      </c>
      <c r="AO924" s="78" t="n">
        <f aca="false">IF(AND(OR(AM924="À RADIOGRAPHIER",AM924="RÉPARÉ – À RADIOGRAPHIER",AM924="NX – RT À REFAIRE"),OR('PROGRAMME RT'!$D$5="TOUTES",B924='PROGRAMME RT'!$D$5)),1,0)</f>
        <v>0</v>
      </c>
      <c r="AP924" s="78" t="str">
        <f aca="false">IF(AO924=1,SUM(AO$7:AO924),"")</f>
        <v/>
      </c>
      <c r="AQ924" s="78" t="n">
        <f aca="false">IF(AND(OR(X924="R",X924="NX",X924="NT",X924="CO"),OR('JOINTS DE RÉPARATION'!$D$5="TOUTES",B924='JOINTS DE RÉPARATION'!$D$5),OR('JOINTS DE RÉPARATION'!$L$4="TOUS",AM924&lt;&gt;"ACCEPTÉ")),1,0)</f>
        <v>0</v>
      </c>
      <c r="AR924" s="78" t="str">
        <f aca="false">IF(AQ924=1,SUM(AQ$7:AQ924),"")</f>
        <v/>
      </c>
    </row>
    <row r="925" customFormat="false" ht="15" hidden="false" customHeight="false" outlineLevel="0" collapsed="false">
      <c r="A925" s="78" t="str">
        <f aca="false">IF(E925="","",ROW()-6)</f>
        <v/>
      </c>
      <c r="B925" s="79"/>
      <c r="C925" s="80"/>
      <c r="D925" s="80"/>
      <c r="E925" s="80"/>
      <c r="F925" s="80"/>
      <c r="G925" s="80"/>
      <c r="H925" s="80"/>
      <c r="I925" s="80"/>
      <c r="J925" s="80"/>
      <c r="K925" s="80"/>
      <c r="L925" s="81" t="str">
        <f aca="false">IF(K925="","",IFERROR(INDEX(BARDAGE!$C$7:$C$1506,MATCH(K925,BARDAGE!$B$7:$B$1506,0)),"? hors registre"))</f>
        <v/>
      </c>
      <c r="M925" s="80"/>
      <c r="N925" s="81" t="str">
        <f aca="false">IF(M925="","",IFERROR(INDEX(BARDAGE!$C$7:$C$1506,MATCH(M925,BARDAGE!$B$7:$B$1506,0)),"? hors registre"))</f>
        <v/>
      </c>
      <c r="O925" s="80"/>
      <c r="P925" s="80"/>
      <c r="Q925" s="80"/>
      <c r="R925" s="82"/>
      <c r="S925" s="82"/>
      <c r="T925" s="80"/>
      <c r="U925" s="80"/>
      <c r="V925" s="82"/>
      <c r="W925" s="80"/>
      <c r="X925" s="80"/>
      <c r="Y925" s="80"/>
      <c r="Z925" s="80"/>
      <c r="AA925" s="82"/>
      <c r="AB925" s="80"/>
      <c r="AC925" s="80"/>
      <c r="AD925" s="80"/>
      <c r="AE925" s="80"/>
      <c r="AF925" s="82"/>
      <c r="AG925" s="80"/>
      <c r="AH925" s="80"/>
      <c r="AI925" s="82"/>
      <c r="AJ925" s="79"/>
      <c r="AK925" s="78" t="str">
        <f aca="false">IF(E925="","",(X925&lt;&gt;"")+(AC925&lt;&gt;"")+(AH925&lt;&gt;""))</f>
        <v/>
      </c>
      <c r="AL925" s="81" t="str">
        <f aca="false">IF(AH925&lt;&gt;"",AH925,IF(AC925&lt;&gt;"",AC925,IF(X925&lt;&gt;"",X925,"")))</f>
        <v/>
      </c>
      <c r="AM925" s="83" t="str">
        <f aca="false">IF(E925="","",IF(R925="","À SOUDER",IF(U925="","VT EN ATTENTE",IF(U925="R","VT REJETÉ – À REPRENDRE",IF(AL925="","À RADIOGRAPHIER",IF(AL925="A","ACCEPTÉ",IF(AL925="NX","NX – RT À REFAIRE",IF(IF(AK925=1,Z925,IF(AK925=2,AE925,""))="A","RÉPARÉ – À RADIOGRAPHIER",IF(IF(AK925=1,Z925,IF(AK925=2,AE925,""))="R","VT REJETÉ – À REPRENDRE",IF(OR(AL925="CO",AL925="NT"),"COUPE – À RESOUDER","À RÉPARER"))))))))))</f>
        <v/>
      </c>
      <c r="AN925" s="81" t="str">
        <f aca="false">IF(AND(ISNUMBER(R925),OR(AM925="À RADIOGRAPHIER",AM925="RÉPARÉ – À RADIOGRAPHIER",AM925="NX – RT À REFAIRE",AM925="À RÉPARER",AM925="COUPE – À RESOUDER",AM925="VT REJETÉ – À REPRENDRE")),MAX(0,'PROGRAMME RT'!$C$4-R925),"")</f>
        <v/>
      </c>
      <c r="AO925" s="78" t="n">
        <f aca="false">IF(AND(OR(AM925="À RADIOGRAPHIER",AM925="RÉPARÉ – À RADIOGRAPHIER",AM925="NX – RT À REFAIRE"),OR('PROGRAMME RT'!$D$5="TOUTES",B925='PROGRAMME RT'!$D$5)),1,0)</f>
        <v>0</v>
      </c>
      <c r="AP925" s="78" t="str">
        <f aca="false">IF(AO925=1,SUM(AO$7:AO925),"")</f>
        <v/>
      </c>
      <c r="AQ925" s="78" t="n">
        <f aca="false">IF(AND(OR(X925="R",X925="NX",X925="NT",X925="CO"),OR('JOINTS DE RÉPARATION'!$D$5="TOUTES",B925='JOINTS DE RÉPARATION'!$D$5),OR('JOINTS DE RÉPARATION'!$L$4="TOUS",AM925&lt;&gt;"ACCEPTÉ")),1,0)</f>
        <v>0</v>
      </c>
      <c r="AR925" s="78" t="str">
        <f aca="false">IF(AQ925=1,SUM(AQ$7:AQ925),"")</f>
        <v/>
      </c>
    </row>
    <row r="926" customFormat="false" ht="15" hidden="false" customHeight="false" outlineLevel="0" collapsed="false">
      <c r="A926" s="78" t="str">
        <f aca="false">IF(E926="","",ROW()-6)</f>
        <v/>
      </c>
      <c r="B926" s="79"/>
      <c r="C926" s="80"/>
      <c r="D926" s="80"/>
      <c r="E926" s="80"/>
      <c r="F926" s="80"/>
      <c r="G926" s="80"/>
      <c r="H926" s="80"/>
      <c r="I926" s="80"/>
      <c r="J926" s="80"/>
      <c r="K926" s="80"/>
      <c r="L926" s="81" t="str">
        <f aca="false">IF(K926="","",IFERROR(INDEX(BARDAGE!$C$7:$C$1506,MATCH(K926,BARDAGE!$B$7:$B$1506,0)),"? hors registre"))</f>
        <v/>
      </c>
      <c r="M926" s="80"/>
      <c r="N926" s="81" t="str">
        <f aca="false">IF(M926="","",IFERROR(INDEX(BARDAGE!$C$7:$C$1506,MATCH(M926,BARDAGE!$B$7:$B$1506,0)),"? hors registre"))</f>
        <v/>
      </c>
      <c r="O926" s="80"/>
      <c r="P926" s="80"/>
      <c r="Q926" s="80"/>
      <c r="R926" s="82"/>
      <c r="S926" s="82"/>
      <c r="T926" s="80"/>
      <c r="U926" s="80"/>
      <c r="V926" s="82"/>
      <c r="W926" s="80"/>
      <c r="X926" s="80"/>
      <c r="Y926" s="80"/>
      <c r="Z926" s="80"/>
      <c r="AA926" s="82"/>
      <c r="AB926" s="80"/>
      <c r="AC926" s="80"/>
      <c r="AD926" s="80"/>
      <c r="AE926" s="80"/>
      <c r="AF926" s="82"/>
      <c r="AG926" s="80"/>
      <c r="AH926" s="80"/>
      <c r="AI926" s="82"/>
      <c r="AJ926" s="79"/>
      <c r="AK926" s="78" t="str">
        <f aca="false">IF(E926="","",(X926&lt;&gt;"")+(AC926&lt;&gt;"")+(AH926&lt;&gt;""))</f>
        <v/>
      </c>
      <c r="AL926" s="81" t="str">
        <f aca="false">IF(AH926&lt;&gt;"",AH926,IF(AC926&lt;&gt;"",AC926,IF(X926&lt;&gt;"",X926,"")))</f>
        <v/>
      </c>
      <c r="AM926" s="83" t="str">
        <f aca="false">IF(E926="","",IF(R926="","À SOUDER",IF(U926="","VT EN ATTENTE",IF(U926="R","VT REJETÉ – À REPRENDRE",IF(AL926="","À RADIOGRAPHIER",IF(AL926="A","ACCEPTÉ",IF(AL926="NX","NX – RT À REFAIRE",IF(IF(AK926=1,Z926,IF(AK926=2,AE926,""))="A","RÉPARÉ – À RADIOGRAPHIER",IF(IF(AK926=1,Z926,IF(AK926=2,AE926,""))="R","VT REJETÉ – À REPRENDRE",IF(OR(AL926="CO",AL926="NT"),"COUPE – À RESOUDER","À RÉPARER"))))))))))</f>
        <v/>
      </c>
      <c r="AN926" s="81" t="str">
        <f aca="false">IF(AND(ISNUMBER(R926),OR(AM926="À RADIOGRAPHIER",AM926="RÉPARÉ – À RADIOGRAPHIER",AM926="NX – RT À REFAIRE",AM926="À RÉPARER",AM926="COUPE – À RESOUDER",AM926="VT REJETÉ – À REPRENDRE")),MAX(0,'PROGRAMME RT'!$C$4-R926),"")</f>
        <v/>
      </c>
      <c r="AO926" s="78" t="n">
        <f aca="false">IF(AND(OR(AM926="À RADIOGRAPHIER",AM926="RÉPARÉ – À RADIOGRAPHIER",AM926="NX – RT À REFAIRE"),OR('PROGRAMME RT'!$D$5="TOUTES",B926='PROGRAMME RT'!$D$5)),1,0)</f>
        <v>0</v>
      </c>
      <c r="AP926" s="78" t="str">
        <f aca="false">IF(AO926=1,SUM(AO$7:AO926),"")</f>
        <v/>
      </c>
      <c r="AQ926" s="78" t="n">
        <f aca="false">IF(AND(OR(X926="R",X926="NX",X926="NT",X926="CO"),OR('JOINTS DE RÉPARATION'!$D$5="TOUTES",B926='JOINTS DE RÉPARATION'!$D$5),OR('JOINTS DE RÉPARATION'!$L$4="TOUS",AM926&lt;&gt;"ACCEPTÉ")),1,0)</f>
        <v>0</v>
      </c>
      <c r="AR926" s="78" t="str">
        <f aca="false">IF(AQ926=1,SUM(AQ$7:AQ926),"")</f>
        <v/>
      </c>
    </row>
    <row r="927" customFormat="false" ht="15" hidden="false" customHeight="false" outlineLevel="0" collapsed="false">
      <c r="A927" s="78" t="str">
        <f aca="false">IF(E927="","",ROW()-6)</f>
        <v/>
      </c>
      <c r="B927" s="79"/>
      <c r="C927" s="80"/>
      <c r="D927" s="80"/>
      <c r="E927" s="80"/>
      <c r="F927" s="80"/>
      <c r="G927" s="80"/>
      <c r="H927" s="80"/>
      <c r="I927" s="80"/>
      <c r="J927" s="80"/>
      <c r="K927" s="80"/>
      <c r="L927" s="81" t="str">
        <f aca="false">IF(K927="","",IFERROR(INDEX(BARDAGE!$C$7:$C$1506,MATCH(K927,BARDAGE!$B$7:$B$1506,0)),"? hors registre"))</f>
        <v/>
      </c>
      <c r="M927" s="80"/>
      <c r="N927" s="81" t="str">
        <f aca="false">IF(M927="","",IFERROR(INDEX(BARDAGE!$C$7:$C$1506,MATCH(M927,BARDAGE!$B$7:$B$1506,0)),"? hors registre"))</f>
        <v/>
      </c>
      <c r="O927" s="80"/>
      <c r="P927" s="80"/>
      <c r="Q927" s="80"/>
      <c r="R927" s="82"/>
      <c r="S927" s="82"/>
      <c r="T927" s="80"/>
      <c r="U927" s="80"/>
      <c r="V927" s="82"/>
      <c r="W927" s="80"/>
      <c r="X927" s="80"/>
      <c r="Y927" s="80"/>
      <c r="Z927" s="80"/>
      <c r="AA927" s="82"/>
      <c r="AB927" s="80"/>
      <c r="AC927" s="80"/>
      <c r="AD927" s="80"/>
      <c r="AE927" s="80"/>
      <c r="AF927" s="82"/>
      <c r="AG927" s="80"/>
      <c r="AH927" s="80"/>
      <c r="AI927" s="82"/>
      <c r="AJ927" s="79"/>
      <c r="AK927" s="78" t="str">
        <f aca="false">IF(E927="","",(X927&lt;&gt;"")+(AC927&lt;&gt;"")+(AH927&lt;&gt;""))</f>
        <v/>
      </c>
      <c r="AL927" s="81" t="str">
        <f aca="false">IF(AH927&lt;&gt;"",AH927,IF(AC927&lt;&gt;"",AC927,IF(X927&lt;&gt;"",X927,"")))</f>
        <v/>
      </c>
      <c r="AM927" s="83" t="str">
        <f aca="false">IF(E927="","",IF(R927="","À SOUDER",IF(U927="","VT EN ATTENTE",IF(U927="R","VT REJETÉ – À REPRENDRE",IF(AL927="","À RADIOGRAPHIER",IF(AL927="A","ACCEPTÉ",IF(AL927="NX","NX – RT À REFAIRE",IF(IF(AK927=1,Z927,IF(AK927=2,AE927,""))="A","RÉPARÉ – À RADIOGRAPHIER",IF(IF(AK927=1,Z927,IF(AK927=2,AE927,""))="R","VT REJETÉ – À REPRENDRE",IF(OR(AL927="CO",AL927="NT"),"COUPE – À RESOUDER","À RÉPARER"))))))))))</f>
        <v/>
      </c>
      <c r="AN927" s="81" t="str">
        <f aca="false">IF(AND(ISNUMBER(R927),OR(AM927="À RADIOGRAPHIER",AM927="RÉPARÉ – À RADIOGRAPHIER",AM927="NX – RT À REFAIRE",AM927="À RÉPARER",AM927="COUPE – À RESOUDER",AM927="VT REJETÉ – À REPRENDRE")),MAX(0,'PROGRAMME RT'!$C$4-R927),"")</f>
        <v/>
      </c>
      <c r="AO927" s="78" t="n">
        <f aca="false">IF(AND(OR(AM927="À RADIOGRAPHIER",AM927="RÉPARÉ – À RADIOGRAPHIER",AM927="NX – RT À REFAIRE"),OR('PROGRAMME RT'!$D$5="TOUTES",B927='PROGRAMME RT'!$D$5)),1,0)</f>
        <v>0</v>
      </c>
      <c r="AP927" s="78" t="str">
        <f aca="false">IF(AO927=1,SUM(AO$7:AO927),"")</f>
        <v/>
      </c>
      <c r="AQ927" s="78" t="n">
        <f aca="false">IF(AND(OR(X927="R",X927="NX",X927="NT",X927="CO"),OR('JOINTS DE RÉPARATION'!$D$5="TOUTES",B927='JOINTS DE RÉPARATION'!$D$5),OR('JOINTS DE RÉPARATION'!$L$4="TOUS",AM927&lt;&gt;"ACCEPTÉ")),1,0)</f>
        <v>0</v>
      </c>
      <c r="AR927" s="78" t="str">
        <f aca="false">IF(AQ927=1,SUM(AQ$7:AQ927),"")</f>
        <v/>
      </c>
    </row>
    <row r="928" customFormat="false" ht="15" hidden="false" customHeight="false" outlineLevel="0" collapsed="false">
      <c r="A928" s="78" t="str">
        <f aca="false">IF(E928="","",ROW()-6)</f>
        <v/>
      </c>
      <c r="B928" s="79"/>
      <c r="C928" s="80"/>
      <c r="D928" s="80"/>
      <c r="E928" s="80"/>
      <c r="F928" s="80"/>
      <c r="G928" s="80"/>
      <c r="H928" s="80"/>
      <c r="I928" s="80"/>
      <c r="J928" s="80"/>
      <c r="K928" s="80"/>
      <c r="L928" s="81" t="str">
        <f aca="false">IF(K928="","",IFERROR(INDEX(BARDAGE!$C$7:$C$1506,MATCH(K928,BARDAGE!$B$7:$B$1506,0)),"? hors registre"))</f>
        <v/>
      </c>
      <c r="M928" s="80"/>
      <c r="N928" s="81" t="str">
        <f aca="false">IF(M928="","",IFERROR(INDEX(BARDAGE!$C$7:$C$1506,MATCH(M928,BARDAGE!$B$7:$B$1506,0)),"? hors registre"))</f>
        <v/>
      </c>
      <c r="O928" s="80"/>
      <c r="P928" s="80"/>
      <c r="Q928" s="80"/>
      <c r="R928" s="82"/>
      <c r="S928" s="82"/>
      <c r="T928" s="80"/>
      <c r="U928" s="80"/>
      <c r="V928" s="82"/>
      <c r="W928" s="80"/>
      <c r="X928" s="80"/>
      <c r="Y928" s="80"/>
      <c r="Z928" s="80"/>
      <c r="AA928" s="82"/>
      <c r="AB928" s="80"/>
      <c r="AC928" s="80"/>
      <c r="AD928" s="80"/>
      <c r="AE928" s="80"/>
      <c r="AF928" s="82"/>
      <c r="AG928" s="80"/>
      <c r="AH928" s="80"/>
      <c r="AI928" s="82"/>
      <c r="AJ928" s="79"/>
      <c r="AK928" s="78" t="str">
        <f aca="false">IF(E928="","",(X928&lt;&gt;"")+(AC928&lt;&gt;"")+(AH928&lt;&gt;""))</f>
        <v/>
      </c>
      <c r="AL928" s="81" t="str">
        <f aca="false">IF(AH928&lt;&gt;"",AH928,IF(AC928&lt;&gt;"",AC928,IF(X928&lt;&gt;"",X928,"")))</f>
        <v/>
      </c>
      <c r="AM928" s="83" t="str">
        <f aca="false">IF(E928="","",IF(R928="","À SOUDER",IF(U928="","VT EN ATTENTE",IF(U928="R","VT REJETÉ – À REPRENDRE",IF(AL928="","À RADIOGRAPHIER",IF(AL928="A","ACCEPTÉ",IF(AL928="NX","NX – RT À REFAIRE",IF(IF(AK928=1,Z928,IF(AK928=2,AE928,""))="A","RÉPARÉ – À RADIOGRAPHIER",IF(IF(AK928=1,Z928,IF(AK928=2,AE928,""))="R","VT REJETÉ – À REPRENDRE",IF(OR(AL928="CO",AL928="NT"),"COUPE – À RESOUDER","À RÉPARER"))))))))))</f>
        <v/>
      </c>
      <c r="AN928" s="81" t="str">
        <f aca="false">IF(AND(ISNUMBER(R928),OR(AM928="À RADIOGRAPHIER",AM928="RÉPARÉ – À RADIOGRAPHIER",AM928="NX – RT À REFAIRE",AM928="À RÉPARER",AM928="COUPE – À RESOUDER",AM928="VT REJETÉ – À REPRENDRE")),MAX(0,'PROGRAMME RT'!$C$4-R928),"")</f>
        <v/>
      </c>
      <c r="AO928" s="78" t="n">
        <f aca="false">IF(AND(OR(AM928="À RADIOGRAPHIER",AM928="RÉPARÉ – À RADIOGRAPHIER",AM928="NX – RT À REFAIRE"),OR('PROGRAMME RT'!$D$5="TOUTES",B928='PROGRAMME RT'!$D$5)),1,0)</f>
        <v>0</v>
      </c>
      <c r="AP928" s="78" t="str">
        <f aca="false">IF(AO928=1,SUM(AO$7:AO928),"")</f>
        <v/>
      </c>
      <c r="AQ928" s="78" t="n">
        <f aca="false">IF(AND(OR(X928="R",X928="NX",X928="NT",X928="CO"),OR('JOINTS DE RÉPARATION'!$D$5="TOUTES",B928='JOINTS DE RÉPARATION'!$D$5),OR('JOINTS DE RÉPARATION'!$L$4="TOUS",AM928&lt;&gt;"ACCEPTÉ")),1,0)</f>
        <v>0</v>
      </c>
      <c r="AR928" s="78" t="str">
        <f aca="false">IF(AQ928=1,SUM(AQ$7:AQ928),"")</f>
        <v/>
      </c>
    </row>
    <row r="929" customFormat="false" ht="15" hidden="false" customHeight="false" outlineLevel="0" collapsed="false">
      <c r="A929" s="78" t="str">
        <f aca="false">IF(E929="","",ROW()-6)</f>
        <v/>
      </c>
      <c r="B929" s="79"/>
      <c r="C929" s="80"/>
      <c r="D929" s="80"/>
      <c r="E929" s="80"/>
      <c r="F929" s="80"/>
      <c r="G929" s="80"/>
      <c r="H929" s="80"/>
      <c r="I929" s="80"/>
      <c r="J929" s="80"/>
      <c r="K929" s="80"/>
      <c r="L929" s="81" t="str">
        <f aca="false">IF(K929="","",IFERROR(INDEX(BARDAGE!$C$7:$C$1506,MATCH(K929,BARDAGE!$B$7:$B$1506,0)),"? hors registre"))</f>
        <v/>
      </c>
      <c r="M929" s="80"/>
      <c r="N929" s="81" t="str">
        <f aca="false">IF(M929="","",IFERROR(INDEX(BARDAGE!$C$7:$C$1506,MATCH(M929,BARDAGE!$B$7:$B$1506,0)),"? hors registre"))</f>
        <v/>
      </c>
      <c r="O929" s="80"/>
      <c r="P929" s="80"/>
      <c r="Q929" s="80"/>
      <c r="R929" s="82"/>
      <c r="S929" s="82"/>
      <c r="T929" s="80"/>
      <c r="U929" s="80"/>
      <c r="V929" s="82"/>
      <c r="W929" s="80"/>
      <c r="X929" s="80"/>
      <c r="Y929" s="80"/>
      <c r="Z929" s="80"/>
      <c r="AA929" s="82"/>
      <c r="AB929" s="80"/>
      <c r="AC929" s="80"/>
      <c r="AD929" s="80"/>
      <c r="AE929" s="80"/>
      <c r="AF929" s="82"/>
      <c r="AG929" s="80"/>
      <c r="AH929" s="80"/>
      <c r="AI929" s="82"/>
      <c r="AJ929" s="79"/>
      <c r="AK929" s="78" t="str">
        <f aca="false">IF(E929="","",(X929&lt;&gt;"")+(AC929&lt;&gt;"")+(AH929&lt;&gt;""))</f>
        <v/>
      </c>
      <c r="AL929" s="81" t="str">
        <f aca="false">IF(AH929&lt;&gt;"",AH929,IF(AC929&lt;&gt;"",AC929,IF(X929&lt;&gt;"",X929,"")))</f>
        <v/>
      </c>
      <c r="AM929" s="83" t="str">
        <f aca="false">IF(E929="","",IF(R929="","À SOUDER",IF(U929="","VT EN ATTENTE",IF(U929="R","VT REJETÉ – À REPRENDRE",IF(AL929="","À RADIOGRAPHIER",IF(AL929="A","ACCEPTÉ",IF(AL929="NX","NX – RT À REFAIRE",IF(IF(AK929=1,Z929,IF(AK929=2,AE929,""))="A","RÉPARÉ – À RADIOGRAPHIER",IF(IF(AK929=1,Z929,IF(AK929=2,AE929,""))="R","VT REJETÉ – À REPRENDRE",IF(OR(AL929="CO",AL929="NT"),"COUPE – À RESOUDER","À RÉPARER"))))))))))</f>
        <v/>
      </c>
      <c r="AN929" s="81" t="str">
        <f aca="false">IF(AND(ISNUMBER(R929),OR(AM929="À RADIOGRAPHIER",AM929="RÉPARÉ – À RADIOGRAPHIER",AM929="NX – RT À REFAIRE",AM929="À RÉPARER",AM929="COUPE – À RESOUDER",AM929="VT REJETÉ – À REPRENDRE")),MAX(0,'PROGRAMME RT'!$C$4-R929),"")</f>
        <v/>
      </c>
      <c r="AO929" s="78" t="n">
        <f aca="false">IF(AND(OR(AM929="À RADIOGRAPHIER",AM929="RÉPARÉ – À RADIOGRAPHIER",AM929="NX – RT À REFAIRE"),OR('PROGRAMME RT'!$D$5="TOUTES",B929='PROGRAMME RT'!$D$5)),1,0)</f>
        <v>0</v>
      </c>
      <c r="AP929" s="78" t="str">
        <f aca="false">IF(AO929=1,SUM(AO$7:AO929),"")</f>
        <v/>
      </c>
      <c r="AQ929" s="78" t="n">
        <f aca="false">IF(AND(OR(X929="R",X929="NX",X929="NT",X929="CO"),OR('JOINTS DE RÉPARATION'!$D$5="TOUTES",B929='JOINTS DE RÉPARATION'!$D$5),OR('JOINTS DE RÉPARATION'!$L$4="TOUS",AM929&lt;&gt;"ACCEPTÉ")),1,0)</f>
        <v>0</v>
      </c>
      <c r="AR929" s="78" t="str">
        <f aca="false">IF(AQ929=1,SUM(AQ$7:AQ929),"")</f>
        <v/>
      </c>
    </row>
    <row r="930" customFormat="false" ht="15" hidden="false" customHeight="false" outlineLevel="0" collapsed="false">
      <c r="A930" s="78" t="str">
        <f aca="false">IF(E930="","",ROW()-6)</f>
        <v/>
      </c>
      <c r="B930" s="79"/>
      <c r="C930" s="80"/>
      <c r="D930" s="80"/>
      <c r="E930" s="80"/>
      <c r="F930" s="80"/>
      <c r="G930" s="80"/>
      <c r="H930" s="80"/>
      <c r="I930" s="80"/>
      <c r="J930" s="80"/>
      <c r="K930" s="80"/>
      <c r="L930" s="81" t="str">
        <f aca="false">IF(K930="","",IFERROR(INDEX(BARDAGE!$C$7:$C$1506,MATCH(K930,BARDAGE!$B$7:$B$1506,0)),"? hors registre"))</f>
        <v/>
      </c>
      <c r="M930" s="80"/>
      <c r="N930" s="81" t="str">
        <f aca="false">IF(M930="","",IFERROR(INDEX(BARDAGE!$C$7:$C$1506,MATCH(M930,BARDAGE!$B$7:$B$1506,0)),"? hors registre"))</f>
        <v/>
      </c>
      <c r="O930" s="80"/>
      <c r="P930" s="80"/>
      <c r="Q930" s="80"/>
      <c r="R930" s="82"/>
      <c r="S930" s="82"/>
      <c r="T930" s="80"/>
      <c r="U930" s="80"/>
      <c r="V930" s="82"/>
      <c r="W930" s="80"/>
      <c r="X930" s="80"/>
      <c r="Y930" s="80"/>
      <c r="Z930" s="80"/>
      <c r="AA930" s="82"/>
      <c r="AB930" s="80"/>
      <c r="AC930" s="80"/>
      <c r="AD930" s="80"/>
      <c r="AE930" s="80"/>
      <c r="AF930" s="82"/>
      <c r="AG930" s="80"/>
      <c r="AH930" s="80"/>
      <c r="AI930" s="82"/>
      <c r="AJ930" s="79"/>
      <c r="AK930" s="78" t="str">
        <f aca="false">IF(E930="","",(X930&lt;&gt;"")+(AC930&lt;&gt;"")+(AH930&lt;&gt;""))</f>
        <v/>
      </c>
      <c r="AL930" s="81" t="str">
        <f aca="false">IF(AH930&lt;&gt;"",AH930,IF(AC930&lt;&gt;"",AC930,IF(X930&lt;&gt;"",X930,"")))</f>
        <v/>
      </c>
      <c r="AM930" s="83" t="str">
        <f aca="false">IF(E930="","",IF(R930="","À SOUDER",IF(U930="","VT EN ATTENTE",IF(U930="R","VT REJETÉ – À REPRENDRE",IF(AL930="","À RADIOGRAPHIER",IF(AL930="A","ACCEPTÉ",IF(AL930="NX","NX – RT À REFAIRE",IF(IF(AK930=1,Z930,IF(AK930=2,AE930,""))="A","RÉPARÉ – À RADIOGRAPHIER",IF(IF(AK930=1,Z930,IF(AK930=2,AE930,""))="R","VT REJETÉ – À REPRENDRE",IF(OR(AL930="CO",AL930="NT"),"COUPE – À RESOUDER","À RÉPARER"))))))))))</f>
        <v/>
      </c>
      <c r="AN930" s="81" t="str">
        <f aca="false">IF(AND(ISNUMBER(R930),OR(AM930="À RADIOGRAPHIER",AM930="RÉPARÉ – À RADIOGRAPHIER",AM930="NX – RT À REFAIRE",AM930="À RÉPARER",AM930="COUPE – À RESOUDER",AM930="VT REJETÉ – À REPRENDRE")),MAX(0,'PROGRAMME RT'!$C$4-R930),"")</f>
        <v/>
      </c>
      <c r="AO930" s="78" t="n">
        <f aca="false">IF(AND(OR(AM930="À RADIOGRAPHIER",AM930="RÉPARÉ – À RADIOGRAPHIER",AM930="NX – RT À REFAIRE"),OR('PROGRAMME RT'!$D$5="TOUTES",B930='PROGRAMME RT'!$D$5)),1,0)</f>
        <v>0</v>
      </c>
      <c r="AP930" s="78" t="str">
        <f aca="false">IF(AO930=1,SUM(AO$7:AO930),"")</f>
        <v/>
      </c>
      <c r="AQ930" s="78" t="n">
        <f aca="false">IF(AND(OR(X930="R",X930="NX",X930="NT",X930="CO"),OR('JOINTS DE RÉPARATION'!$D$5="TOUTES",B930='JOINTS DE RÉPARATION'!$D$5),OR('JOINTS DE RÉPARATION'!$L$4="TOUS",AM930&lt;&gt;"ACCEPTÉ")),1,0)</f>
        <v>0</v>
      </c>
      <c r="AR930" s="78" t="str">
        <f aca="false">IF(AQ930=1,SUM(AQ$7:AQ930),"")</f>
        <v/>
      </c>
    </row>
    <row r="931" customFormat="false" ht="15" hidden="false" customHeight="false" outlineLevel="0" collapsed="false">
      <c r="A931" s="78" t="str">
        <f aca="false">IF(E931="","",ROW()-6)</f>
        <v/>
      </c>
      <c r="B931" s="79"/>
      <c r="C931" s="80"/>
      <c r="D931" s="80"/>
      <c r="E931" s="80"/>
      <c r="F931" s="80"/>
      <c r="G931" s="80"/>
      <c r="H931" s="80"/>
      <c r="I931" s="80"/>
      <c r="J931" s="80"/>
      <c r="K931" s="80"/>
      <c r="L931" s="81" t="str">
        <f aca="false">IF(K931="","",IFERROR(INDEX(BARDAGE!$C$7:$C$1506,MATCH(K931,BARDAGE!$B$7:$B$1506,0)),"? hors registre"))</f>
        <v/>
      </c>
      <c r="M931" s="80"/>
      <c r="N931" s="81" t="str">
        <f aca="false">IF(M931="","",IFERROR(INDEX(BARDAGE!$C$7:$C$1506,MATCH(M931,BARDAGE!$B$7:$B$1506,0)),"? hors registre"))</f>
        <v/>
      </c>
      <c r="O931" s="80"/>
      <c r="P931" s="80"/>
      <c r="Q931" s="80"/>
      <c r="R931" s="82"/>
      <c r="S931" s="82"/>
      <c r="T931" s="80"/>
      <c r="U931" s="80"/>
      <c r="V931" s="82"/>
      <c r="W931" s="80"/>
      <c r="X931" s="80"/>
      <c r="Y931" s="80"/>
      <c r="Z931" s="80"/>
      <c r="AA931" s="82"/>
      <c r="AB931" s="80"/>
      <c r="AC931" s="80"/>
      <c r="AD931" s="80"/>
      <c r="AE931" s="80"/>
      <c r="AF931" s="82"/>
      <c r="AG931" s="80"/>
      <c r="AH931" s="80"/>
      <c r="AI931" s="82"/>
      <c r="AJ931" s="79"/>
      <c r="AK931" s="78" t="str">
        <f aca="false">IF(E931="","",(X931&lt;&gt;"")+(AC931&lt;&gt;"")+(AH931&lt;&gt;""))</f>
        <v/>
      </c>
      <c r="AL931" s="81" t="str">
        <f aca="false">IF(AH931&lt;&gt;"",AH931,IF(AC931&lt;&gt;"",AC931,IF(X931&lt;&gt;"",X931,"")))</f>
        <v/>
      </c>
      <c r="AM931" s="83" t="str">
        <f aca="false">IF(E931="","",IF(R931="","À SOUDER",IF(U931="","VT EN ATTENTE",IF(U931="R","VT REJETÉ – À REPRENDRE",IF(AL931="","À RADIOGRAPHIER",IF(AL931="A","ACCEPTÉ",IF(AL931="NX","NX – RT À REFAIRE",IF(IF(AK931=1,Z931,IF(AK931=2,AE931,""))="A","RÉPARÉ – À RADIOGRAPHIER",IF(IF(AK931=1,Z931,IF(AK931=2,AE931,""))="R","VT REJETÉ – À REPRENDRE",IF(OR(AL931="CO",AL931="NT"),"COUPE – À RESOUDER","À RÉPARER"))))))))))</f>
        <v/>
      </c>
      <c r="AN931" s="81" t="str">
        <f aca="false">IF(AND(ISNUMBER(R931),OR(AM931="À RADIOGRAPHIER",AM931="RÉPARÉ – À RADIOGRAPHIER",AM931="NX – RT À REFAIRE",AM931="À RÉPARER",AM931="COUPE – À RESOUDER",AM931="VT REJETÉ – À REPRENDRE")),MAX(0,'PROGRAMME RT'!$C$4-R931),"")</f>
        <v/>
      </c>
      <c r="AO931" s="78" t="n">
        <f aca="false">IF(AND(OR(AM931="À RADIOGRAPHIER",AM931="RÉPARÉ – À RADIOGRAPHIER",AM931="NX – RT À REFAIRE"),OR('PROGRAMME RT'!$D$5="TOUTES",B931='PROGRAMME RT'!$D$5)),1,0)</f>
        <v>0</v>
      </c>
      <c r="AP931" s="78" t="str">
        <f aca="false">IF(AO931=1,SUM(AO$7:AO931),"")</f>
        <v/>
      </c>
      <c r="AQ931" s="78" t="n">
        <f aca="false">IF(AND(OR(X931="R",X931="NX",X931="NT",X931="CO"),OR('JOINTS DE RÉPARATION'!$D$5="TOUTES",B931='JOINTS DE RÉPARATION'!$D$5),OR('JOINTS DE RÉPARATION'!$L$4="TOUS",AM931&lt;&gt;"ACCEPTÉ")),1,0)</f>
        <v>0</v>
      </c>
      <c r="AR931" s="78" t="str">
        <f aca="false">IF(AQ931=1,SUM(AQ$7:AQ931),"")</f>
        <v/>
      </c>
    </row>
    <row r="932" customFormat="false" ht="15" hidden="false" customHeight="false" outlineLevel="0" collapsed="false">
      <c r="A932" s="78" t="str">
        <f aca="false">IF(E932="","",ROW()-6)</f>
        <v/>
      </c>
      <c r="B932" s="79"/>
      <c r="C932" s="80"/>
      <c r="D932" s="80"/>
      <c r="E932" s="80"/>
      <c r="F932" s="80"/>
      <c r="G932" s="80"/>
      <c r="H932" s="80"/>
      <c r="I932" s="80"/>
      <c r="J932" s="80"/>
      <c r="K932" s="80"/>
      <c r="L932" s="81" t="str">
        <f aca="false">IF(K932="","",IFERROR(INDEX(BARDAGE!$C$7:$C$1506,MATCH(K932,BARDAGE!$B$7:$B$1506,0)),"? hors registre"))</f>
        <v/>
      </c>
      <c r="M932" s="80"/>
      <c r="N932" s="81" t="str">
        <f aca="false">IF(M932="","",IFERROR(INDEX(BARDAGE!$C$7:$C$1506,MATCH(M932,BARDAGE!$B$7:$B$1506,0)),"? hors registre"))</f>
        <v/>
      </c>
      <c r="O932" s="80"/>
      <c r="P932" s="80"/>
      <c r="Q932" s="80"/>
      <c r="R932" s="82"/>
      <c r="S932" s="82"/>
      <c r="T932" s="80"/>
      <c r="U932" s="80"/>
      <c r="V932" s="82"/>
      <c r="W932" s="80"/>
      <c r="X932" s="80"/>
      <c r="Y932" s="80"/>
      <c r="Z932" s="80"/>
      <c r="AA932" s="82"/>
      <c r="AB932" s="80"/>
      <c r="AC932" s="80"/>
      <c r="AD932" s="80"/>
      <c r="AE932" s="80"/>
      <c r="AF932" s="82"/>
      <c r="AG932" s="80"/>
      <c r="AH932" s="80"/>
      <c r="AI932" s="82"/>
      <c r="AJ932" s="79"/>
      <c r="AK932" s="78" t="str">
        <f aca="false">IF(E932="","",(X932&lt;&gt;"")+(AC932&lt;&gt;"")+(AH932&lt;&gt;""))</f>
        <v/>
      </c>
      <c r="AL932" s="81" t="str">
        <f aca="false">IF(AH932&lt;&gt;"",AH932,IF(AC932&lt;&gt;"",AC932,IF(X932&lt;&gt;"",X932,"")))</f>
        <v/>
      </c>
      <c r="AM932" s="83" t="str">
        <f aca="false">IF(E932="","",IF(R932="","À SOUDER",IF(U932="","VT EN ATTENTE",IF(U932="R","VT REJETÉ – À REPRENDRE",IF(AL932="","À RADIOGRAPHIER",IF(AL932="A","ACCEPTÉ",IF(AL932="NX","NX – RT À REFAIRE",IF(IF(AK932=1,Z932,IF(AK932=2,AE932,""))="A","RÉPARÉ – À RADIOGRAPHIER",IF(IF(AK932=1,Z932,IF(AK932=2,AE932,""))="R","VT REJETÉ – À REPRENDRE",IF(OR(AL932="CO",AL932="NT"),"COUPE – À RESOUDER","À RÉPARER"))))))))))</f>
        <v/>
      </c>
      <c r="AN932" s="81" t="str">
        <f aca="false">IF(AND(ISNUMBER(R932),OR(AM932="À RADIOGRAPHIER",AM932="RÉPARÉ – À RADIOGRAPHIER",AM932="NX – RT À REFAIRE",AM932="À RÉPARER",AM932="COUPE – À RESOUDER",AM932="VT REJETÉ – À REPRENDRE")),MAX(0,'PROGRAMME RT'!$C$4-R932),"")</f>
        <v/>
      </c>
      <c r="AO932" s="78" t="n">
        <f aca="false">IF(AND(OR(AM932="À RADIOGRAPHIER",AM932="RÉPARÉ – À RADIOGRAPHIER",AM932="NX – RT À REFAIRE"),OR('PROGRAMME RT'!$D$5="TOUTES",B932='PROGRAMME RT'!$D$5)),1,0)</f>
        <v>0</v>
      </c>
      <c r="AP932" s="78" t="str">
        <f aca="false">IF(AO932=1,SUM(AO$7:AO932),"")</f>
        <v/>
      </c>
      <c r="AQ932" s="78" t="n">
        <f aca="false">IF(AND(OR(X932="R",X932="NX",X932="NT",X932="CO"),OR('JOINTS DE RÉPARATION'!$D$5="TOUTES",B932='JOINTS DE RÉPARATION'!$D$5),OR('JOINTS DE RÉPARATION'!$L$4="TOUS",AM932&lt;&gt;"ACCEPTÉ")),1,0)</f>
        <v>0</v>
      </c>
      <c r="AR932" s="78" t="str">
        <f aca="false">IF(AQ932=1,SUM(AQ$7:AQ932),"")</f>
        <v/>
      </c>
    </row>
    <row r="933" customFormat="false" ht="15" hidden="false" customHeight="false" outlineLevel="0" collapsed="false">
      <c r="A933" s="78" t="str">
        <f aca="false">IF(E933="","",ROW()-6)</f>
        <v/>
      </c>
      <c r="B933" s="79"/>
      <c r="C933" s="80"/>
      <c r="D933" s="80"/>
      <c r="E933" s="80"/>
      <c r="F933" s="80"/>
      <c r="G933" s="80"/>
      <c r="H933" s="80"/>
      <c r="I933" s="80"/>
      <c r="J933" s="80"/>
      <c r="K933" s="80"/>
      <c r="L933" s="81" t="str">
        <f aca="false">IF(K933="","",IFERROR(INDEX(BARDAGE!$C$7:$C$1506,MATCH(K933,BARDAGE!$B$7:$B$1506,0)),"? hors registre"))</f>
        <v/>
      </c>
      <c r="M933" s="80"/>
      <c r="N933" s="81" t="str">
        <f aca="false">IF(M933="","",IFERROR(INDEX(BARDAGE!$C$7:$C$1506,MATCH(M933,BARDAGE!$B$7:$B$1506,0)),"? hors registre"))</f>
        <v/>
      </c>
      <c r="O933" s="80"/>
      <c r="P933" s="80"/>
      <c r="Q933" s="80"/>
      <c r="R933" s="82"/>
      <c r="S933" s="82"/>
      <c r="T933" s="80"/>
      <c r="U933" s="80"/>
      <c r="V933" s="82"/>
      <c r="W933" s="80"/>
      <c r="X933" s="80"/>
      <c r="Y933" s="80"/>
      <c r="Z933" s="80"/>
      <c r="AA933" s="82"/>
      <c r="AB933" s="80"/>
      <c r="AC933" s="80"/>
      <c r="AD933" s="80"/>
      <c r="AE933" s="80"/>
      <c r="AF933" s="82"/>
      <c r="AG933" s="80"/>
      <c r="AH933" s="80"/>
      <c r="AI933" s="82"/>
      <c r="AJ933" s="79"/>
      <c r="AK933" s="78" t="str">
        <f aca="false">IF(E933="","",(X933&lt;&gt;"")+(AC933&lt;&gt;"")+(AH933&lt;&gt;""))</f>
        <v/>
      </c>
      <c r="AL933" s="81" t="str">
        <f aca="false">IF(AH933&lt;&gt;"",AH933,IF(AC933&lt;&gt;"",AC933,IF(X933&lt;&gt;"",X933,"")))</f>
        <v/>
      </c>
      <c r="AM933" s="83" t="str">
        <f aca="false">IF(E933="","",IF(R933="","À SOUDER",IF(U933="","VT EN ATTENTE",IF(U933="R","VT REJETÉ – À REPRENDRE",IF(AL933="","À RADIOGRAPHIER",IF(AL933="A","ACCEPTÉ",IF(AL933="NX","NX – RT À REFAIRE",IF(IF(AK933=1,Z933,IF(AK933=2,AE933,""))="A","RÉPARÉ – À RADIOGRAPHIER",IF(IF(AK933=1,Z933,IF(AK933=2,AE933,""))="R","VT REJETÉ – À REPRENDRE",IF(OR(AL933="CO",AL933="NT"),"COUPE – À RESOUDER","À RÉPARER"))))))))))</f>
        <v/>
      </c>
      <c r="AN933" s="81" t="str">
        <f aca="false">IF(AND(ISNUMBER(R933),OR(AM933="À RADIOGRAPHIER",AM933="RÉPARÉ – À RADIOGRAPHIER",AM933="NX – RT À REFAIRE",AM933="À RÉPARER",AM933="COUPE – À RESOUDER",AM933="VT REJETÉ – À REPRENDRE")),MAX(0,'PROGRAMME RT'!$C$4-R933),"")</f>
        <v/>
      </c>
      <c r="AO933" s="78" t="n">
        <f aca="false">IF(AND(OR(AM933="À RADIOGRAPHIER",AM933="RÉPARÉ – À RADIOGRAPHIER",AM933="NX – RT À REFAIRE"),OR('PROGRAMME RT'!$D$5="TOUTES",B933='PROGRAMME RT'!$D$5)),1,0)</f>
        <v>0</v>
      </c>
      <c r="AP933" s="78" t="str">
        <f aca="false">IF(AO933=1,SUM(AO$7:AO933),"")</f>
        <v/>
      </c>
      <c r="AQ933" s="78" t="n">
        <f aca="false">IF(AND(OR(X933="R",X933="NX",X933="NT",X933="CO"),OR('JOINTS DE RÉPARATION'!$D$5="TOUTES",B933='JOINTS DE RÉPARATION'!$D$5),OR('JOINTS DE RÉPARATION'!$L$4="TOUS",AM933&lt;&gt;"ACCEPTÉ")),1,0)</f>
        <v>0</v>
      </c>
      <c r="AR933" s="78" t="str">
        <f aca="false">IF(AQ933=1,SUM(AQ$7:AQ933),"")</f>
        <v/>
      </c>
    </row>
    <row r="934" customFormat="false" ht="15" hidden="false" customHeight="false" outlineLevel="0" collapsed="false">
      <c r="A934" s="78" t="str">
        <f aca="false">IF(E934="","",ROW()-6)</f>
        <v/>
      </c>
      <c r="B934" s="79"/>
      <c r="C934" s="80"/>
      <c r="D934" s="80"/>
      <c r="E934" s="80"/>
      <c r="F934" s="80"/>
      <c r="G934" s="80"/>
      <c r="H934" s="80"/>
      <c r="I934" s="80"/>
      <c r="J934" s="80"/>
      <c r="K934" s="80"/>
      <c r="L934" s="81" t="str">
        <f aca="false">IF(K934="","",IFERROR(INDEX(BARDAGE!$C$7:$C$1506,MATCH(K934,BARDAGE!$B$7:$B$1506,0)),"? hors registre"))</f>
        <v/>
      </c>
      <c r="M934" s="80"/>
      <c r="N934" s="81" t="str">
        <f aca="false">IF(M934="","",IFERROR(INDEX(BARDAGE!$C$7:$C$1506,MATCH(M934,BARDAGE!$B$7:$B$1506,0)),"? hors registre"))</f>
        <v/>
      </c>
      <c r="O934" s="80"/>
      <c r="P934" s="80"/>
      <c r="Q934" s="80"/>
      <c r="R934" s="82"/>
      <c r="S934" s="82"/>
      <c r="T934" s="80"/>
      <c r="U934" s="80"/>
      <c r="V934" s="82"/>
      <c r="W934" s="80"/>
      <c r="X934" s="80"/>
      <c r="Y934" s="80"/>
      <c r="Z934" s="80"/>
      <c r="AA934" s="82"/>
      <c r="AB934" s="80"/>
      <c r="AC934" s="80"/>
      <c r="AD934" s="80"/>
      <c r="AE934" s="80"/>
      <c r="AF934" s="82"/>
      <c r="AG934" s="80"/>
      <c r="AH934" s="80"/>
      <c r="AI934" s="82"/>
      <c r="AJ934" s="79"/>
      <c r="AK934" s="78" t="str">
        <f aca="false">IF(E934="","",(X934&lt;&gt;"")+(AC934&lt;&gt;"")+(AH934&lt;&gt;""))</f>
        <v/>
      </c>
      <c r="AL934" s="81" t="str">
        <f aca="false">IF(AH934&lt;&gt;"",AH934,IF(AC934&lt;&gt;"",AC934,IF(X934&lt;&gt;"",X934,"")))</f>
        <v/>
      </c>
      <c r="AM934" s="83" t="str">
        <f aca="false">IF(E934="","",IF(R934="","À SOUDER",IF(U934="","VT EN ATTENTE",IF(U934="R","VT REJETÉ – À REPRENDRE",IF(AL934="","À RADIOGRAPHIER",IF(AL934="A","ACCEPTÉ",IF(AL934="NX","NX – RT À REFAIRE",IF(IF(AK934=1,Z934,IF(AK934=2,AE934,""))="A","RÉPARÉ – À RADIOGRAPHIER",IF(IF(AK934=1,Z934,IF(AK934=2,AE934,""))="R","VT REJETÉ – À REPRENDRE",IF(OR(AL934="CO",AL934="NT"),"COUPE – À RESOUDER","À RÉPARER"))))))))))</f>
        <v/>
      </c>
      <c r="AN934" s="81" t="str">
        <f aca="false">IF(AND(ISNUMBER(R934),OR(AM934="À RADIOGRAPHIER",AM934="RÉPARÉ – À RADIOGRAPHIER",AM934="NX – RT À REFAIRE",AM934="À RÉPARER",AM934="COUPE – À RESOUDER",AM934="VT REJETÉ – À REPRENDRE")),MAX(0,'PROGRAMME RT'!$C$4-R934),"")</f>
        <v/>
      </c>
      <c r="AO934" s="78" t="n">
        <f aca="false">IF(AND(OR(AM934="À RADIOGRAPHIER",AM934="RÉPARÉ – À RADIOGRAPHIER",AM934="NX – RT À REFAIRE"),OR('PROGRAMME RT'!$D$5="TOUTES",B934='PROGRAMME RT'!$D$5)),1,0)</f>
        <v>0</v>
      </c>
      <c r="AP934" s="78" t="str">
        <f aca="false">IF(AO934=1,SUM(AO$7:AO934),"")</f>
        <v/>
      </c>
      <c r="AQ934" s="78" t="n">
        <f aca="false">IF(AND(OR(X934="R",X934="NX",X934="NT",X934="CO"),OR('JOINTS DE RÉPARATION'!$D$5="TOUTES",B934='JOINTS DE RÉPARATION'!$D$5),OR('JOINTS DE RÉPARATION'!$L$4="TOUS",AM934&lt;&gt;"ACCEPTÉ")),1,0)</f>
        <v>0</v>
      </c>
      <c r="AR934" s="78" t="str">
        <f aca="false">IF(AQ934=1,SUM(AQ$7:AQ934),"")</f>
        <v/>
      </c>
    </row>
    <row r="935" customFormat="false" ht="15" hidden="false" customHeight="false" outlineLevel="0" collapsed="false">
      <c r="A935" s="78" t="str">
        <f aca="false">IF(E935="","",ROW()-6)</f>
        <v/>
      </c>
      <c r="B935" s="79"/>
      <c r="C935" s="80"/>
      <c r="D935" s="80"/>
      <c r="E935" s="80"/>
      <c r="F935" s="80"/>
      <c r="G935" s="80"/>
      <c r="H935" s="80"/>
      <c r="I935" s="80"/>
      <c r="J935" s="80"/>
      <c r="K935" s="80"/>
      <c r="L935" s="81" t="str">
        <f aca="false">IF(K935="","",IFERROR(INDEX(BARDAGE!$C$7:$C$1506,MATCH(K935,BARDAGE!$B$7:$B$1506,0)),"? hors registre"))</f>
        <v/>
      </c>
      <c r="M935" s="80"/>
      <c r="N935" s="81" t="str">
        <f aca="false">IF(M935="","",IFERROR(INDEX(BARDAGE!$C$7:$C$1506,MATCH(M935,BARDAGE!$B$7:$B$1506,0)),"? hors registre"))</f>
        <v/>
      </c>
      <c r="O935" s="80"/>
      <c r="P935" s="80"/>
      <c r="Q935" s="80"/>
      <c r="R935" s="82"/>
      <c r="S935" s="82"/>
      <c r="T935" s="80"/>
      <c r="U935" s="80"/>
      <c r="V935" s="82"/>
      <c r="W935" s="80"/>
      <c r="X935" s="80"/>
      <c r="Y935" s="80"/>
      <c r="Z935" s="80"/>
      <c r="AA935" s="82"/>
      <c r="AB935" s="80"/>
      <c r="AC935" s="80"/>
      <c r="AD935" s="80"/>
      <c r="AE935" s="80"/>
      <c r="AF935" s="82"/>
      <c r="AG935" s="80"/>
      <c r="AH935" s="80"/>
      <c r="AI935" s="82"/>
      <c r="AJ935" s="79"/>
      <c r="AK935" s="78" t="str">
        <f aca="false">IF(E935="","",(X935&lt;&gt;"")+(AC935&lt;&gt;"")+(AH935&lt;&gt;""))</f>
        <v/>
      </c>
      <c r="AL935" s="81" t="str">
        <f aca="false">IF(AH935&lt;&gt;"",AH935,IF(AC935&lt;&gt;"",AC935,IF(X935&lt;&gt;"",X935,"")))</f>
        <v/>
      </c>
      <c r="AM935" s="83" t="str">
        <f aca="false">IF(E935="","",IF(R935="","À SOUDER",IF(U935="","VT EN ATTENTE",IF(U935="R","VT REJETÉ – À REPRENDRE",IF(AL935="","À RADIOGRAPHIER",IF(AL935="A","ACCEPTÉ",IF(AL935="NX","NX – RT À REFAIRE",IF(IF(AK935=1,Z935,IF(AK935=2,AE935,""))="A","RÉPARÉ – À RADIOGRAPHIER",IF(IF(AK935=1,Z935,IF(AK935=2,AE935,""))="R","VT REJETÉ – À REPRENDRE",IF(OR(AL935="CO",AL935="NT"),"COUPE – À RESOUDER","À RÉPARER"))))))))))</f>
        <v/>
      </c>
      <c r="AN935" s="81" t="str">
        <f aca="false">IF(AND(ISNUMBER(R935),OR(AM935="À RADIOGRAPHIER",AM935="RÉPARÉ – À RADIOGRAPHIER",AM935="NX – RT À REFAIRE",AM935="À RÉPARER",AM935="COUPE – À RESOUDER",AM935="VT REJETÉ – À REPRENDRE")),MAX(0,'PROGRAMME RT'!$C$4-R935),"")</f>
        <v/>
      </c>
      <c r="AO935" s="78" t="n">
        <f aca="false">IF(AND(OR(AM935="À RADIOGRAPHIER",AM935="RÉPARÉ – À RADIOGRAPHIER",AM935="NX – RT À REFAIRE"),OR('PROGRAMME RT'!$D$5="TOUTES",B935='PROGRAMME RT'!$D$5)),1,0)</f>
        <v>0</v>
      </c>
      <c r="AP935" s="78" t="str">
        <f aca="false">IF(AO935=1,SUM(AO$7:AO935),"")</f>
        <v/>
      </c>
      <c r="AQ935" s="78" t="n">
        <f aca="false">IF(AND(OR(X935="R",X935="NX",X935="NT",X935="CO"),OR('JOINTS DE RÉPARATION'!$D$5="TOUTES",B935='JOINTS DE RÉPARATION'!$D$5),OR('JOINTS DE RÉPARATION'!$L$4="TOUS",AM935&lt;&gt;"ACCEPTÉ")),1,0)</f>
        <v>0</v>
      </c>
      <c r="AR935" s="78" t="str">
        <f aca="false">IF(AQ935=1,SUM(AQ$7:AQ935),"")</f>
        <v/>
      </c>
    </row>
    <row r="936" customFormat="false" ht="15" hidden="false" customHeight="false" outlineLevel="0" collapsed="false">
      <c r="A936" s="78" t="str">
        <f aca="false">IF(E936="","",ROW()-6)</f>
        <v/>
      </c>
      <c r="B936" s="79"/>
      <c r="C936" s="80"/>
      <c r="D936" s="80"/>
      <c r="E936" s="80"/>
      <c r="F936" s="80"/>
      <c r="G936" s="80"/>
      <c r="H936" s="80"/>
      <c r="I936" s="80"/>
      <c r="J936" s="80"/>
      <c r="K936" s="80"/>
      <c r="L936" s="81" t="str">
        <f aca="false">IF(K936="","",IFERROR(INDEX(BARDAGE!$C$7:$C$1506,MATCH(K936,BARDAGE!$B$7:$B$1506,0)),"? hors registre"))</f>
        <v/>
      </c>
      <c r="M936" s="80"/>
      <c r="N936" s="81" t="str">
        <f aca="false">IF(M936="","",IFERROR(INDEX(BARDAGE!$C$7:$C$1506,MATCH(M936,BARDAGE!$B$7:$B$1506,0)),"? hors registre"))</f>
        <v/>
      </c>
      <c r="O936" s="80"/>
      <c r="P936" s="80"/>
      <c r="Q936" s="80"/>
      <c r="R936" s="82"/>
      <c r="S936" s="82"/>
      <c r="T936" s="80"/>
      <c r="U936" s="80"/>
      <c r="V936" s="82"/>
      <c r="W936" s="80"/>
      <c r="X936" s="80"/>
      <c r="Y936" s="80"/>
      <c r="Z936" s="80"/>
      <c r="AA936" s="82"/>
      <c r="AB936" s="80"/>
      <c r="AC936" s="80"/>
      <c r="AD936" s="80"/>
      <c r="AE936" s="80"/>
      <c r="AF936" s="82"/>
      <c r="AG936" s="80"/>
      <c r="AH936" s="80"/>
      <c r="AI936" s="82"/>
      <c r="AJ936" s="79"/>
      <c r="AK936" s="78" t="str">
        <f aca="false">IF(E936="","",(X936&lt;&gt;"")+(AC936&lt;&gt;"")+(AH936&lt;&gt;""))</f>
        <v/>
      </c>
      <c r="AL936" s="81" t="str">
        <f aca="false">IF(AH936&lt;&gt;"",AH936,IF(AC936&lt;&gt;"",AC936,IF(X936&lt;&gt;"",X936,"")))</f>
        <v/>
      </c>
      <c r="AM936" s="83" t="str">
        <f aca="false">IF(E936="","",IF(R936="","À SOUDER",IF(U936="","VT EN ATTENTE",IF(U936="R","VT REJETÉ – À REPRENDRE",IF(AL936="","À RADIOGRAPHIER",IF(AL936="A","ACCEPTÉ",IF(AL936="NX","NX – RT À REFAIRE",IF(IF(AK936=1,Z936,IF(AK936=2,AE936,""))="A","RÉPARÉ – À RADIOGRAPHIER",IF(IF(AK936=1,Z936,IF(AK936=2,AE936,""))="R","VT REJETÉ – À REPRENDRE",IF(OR(AL936="CO",AL936="NT"),"COUPE – À RESOUDER","À RÉPARER"))))))))))</f>
        <v/>
      </c>
      <c r="AN936" s="81" t="str">
        <f aca="false">IF(AND(ISNUMBER(R936),OR(AM936="À RADIOGRAPHIER",AM936="RÉPARÉ – À RADIOGRAPHIER",AM936="NX – RT À REFAIRE",AM936="À RÉPARER",AM936="COUPE – À RESOUDER",AM936="VT REJETÉ – À REPRENDRE")),MAX(0,'PROGRAMME RT'!$C$4-R936),"")</f>
        <v/>
      </c>
      <c r="AO936" s="78" t="n">
        <f aca="false">IF(AND(OR(AM936="À RADIOGRAPHIER",AM936="RÉPARÉ – À RADIOGRAPHIER",AM936="NX – RT À REFAIRE"),OR('PROGRAMME RT'!$D$5="TOUTES",B936='PROGRAMME RT'!$D$5)),1,0)</f>
        <v>0</v>
      </c>
      <c r="AP936" s="78" t="str">
        <f aca="false">IF(AO936=1,SUM(AO$7:AO936),"")</f>
        <v/>
      </c>
      <c r="AQ936" s="78" t="n">
        <f aca="false">IF(AND(OR(X936="R",X936="NX",X936="NT",X936="CO"),OR('JOINTS DE RÉPARATION'!$D$5="TOUTES",B936='JOINTS DE RÉPARATION'!$D$5),OR('JOINTS DE RÉPARATION'!$L$4="TOUS",AM936&lt;&gt;"ACCEPTÉ")),1,0)</f>
        <v>0</v>
      </c>
      <c r="AR936" s="78" t="str">
        <f aca="false">IF(AQ936=1,SUM(AQ$7:AQ936),"")</f>
        <v/>
      </c>
    </row>
    <row r="937" customFormat="false" ht="15" hidden="false" customHeight="false" outlineLevel="0" collapsed="false">
      <c r="A937" s="78" t="str">
        <f aca="false">IF(E937="","",ROW()-6)</f>
        <v/>
      </c>
      <c r="B937" s="79"/>
      <c r="C937" s="80"/>
      <c r="D937" s="80"/>
      <c r="E937" s="80"/>
      <c r="F937" s="80"/>
      <c r="G937" s="80"/>
      <c r="H937" s="80"/>
      <c r="I937" s="80"/>
      <c r="J937" s="80"/>
      <c r="K937" s="80"/>
      <c r="L937" s="81" t="str">
        <f aca="false">IF(K937="","",IFERROR(INDEX(BARDAGE!$C$7:$C$1506,MATCH(K937,BARDAGE!$B$7:$B$1506,0)),"? hors registre"))</f>
        <v/>
      </c>
      <c r="M937" s="80"/>
      <c r="N937" s="81" t="str">
        <f aca="false">IF(M937="","",IFERROR(INDEX(BARDAGE!$C$7:$C$1506,MATCH(M937,BARDAGE!$B$7:$B$1506,0)),"? hors registre"))</f>
        <v/>
      </c>
      <c r="O937" s="80"/>
      <c r="P937" s="80"/>
      <c r="Q937" s="80"/>
      <c r="R937" s="82"/>
      <c r="S937" s="82"/>
      <c r="T937" s="80"/>
      <c r="U937" s="80"/>
      <c r="V937" s="82"/>
      <c r="W937" s="80"/>
      <c r="X937" s="80"/>
      <c r="Y937" s="80"/>
      <c r="Z937" s="80"/>
      <c r="AA937" s="82"/>
      <c r="AB937" s="80"/>
      <c r="AC937" s="80"/>
      <c r="AD937" s="80"/>
      <c r="AE937" s="80"/>
      <c r="AF937" s="82"/>
      <c r="AG937" s="80"/>
      <c r="AH937" s="80"/>
      <c r="AI937" s="82"/>
      <c r="AJ937" s="79"/>
      <c r="AK937" s="78" t="str">
        <f aca="false">IF(E937="","",(X937&lt;&gt;"")+(AC937&lt;&gt;"")+(AH937&lt;&gt;""))</f>
        <v/>
      </c>
      <c r="AL937" s="81" t="str">
        <f aca="false">IF(AH937&lt;&gt;"",AH937,IF(AC937&lt;&gt;"",AC937,IF(X937&lt;&gt;"",X937,"")))</f>
        <v/>
      </c>
      <c r="AM937" s="83" t="str">
        <f aca="false">IF(E937="","",IF(R937="","À SOUDER",IF(U937="","VT EN ATTENTE",IF(U937="R","VT REJETÉ – À REPRENDRE",IF(AL937="","À RADIOGRAPHIER",IF(AL937="A","ACCEPTÉ",IF(AL937="NX","NX – RT À REFAIRE",IF(IF(AK937=1,Z937,IF(AK937=2,AE937,""))="A","RÉPARÉ – À RADIOGRAPHIER",IF(IF(AK937=1,Z937,IF(AK937=2,AE937,""))="R","VT REJETÉ – À REPRENDRE",IF(OR(AL937="CO",AL937="NT"),"COUPE – À RESOUDER","À RÉPARER"))))))))))</f>
        <v/>
      </c>
      <c r="AN937" s="81" t="str">
        <f aca="false">IF(AND(ISNUMBER(R937),OR(AM937="À RADIOGRAPHIER",AM937="RÉPARÉ – À RADIOGRAPHIER",AM937="NX – RT À REFAIRE",AM937="À RÉPARER",AM937="COUPE – À RESOUDER",AM937="VT REJETÉ – À REPRENDRE")),MAX(0,'PROGRAMME RT'!$C$4-R937),"")</f>
        <v/>
      </c>
      <c r="AO937" s="78" t="n">
        <f aca="false">IF(AND(OR(AM937="À RADIOGRAPHIER",AM937="RÉPARÉ – À RADIOGRAPHIER",AM937="NX – RT À REFAIRE"),OR('PROGRAMME RT'!$D$5="TOUTES",B937='PROGRAMME RT'!$D$5)),1,0)</f>
        <v>0</v>
      </c>
      <c r="AP937" s="78" t="str">
        <f aca="false">IF(AO937=1,SUM(AO$7:AO937),"")</f>
        <v/>
      </c>
      <c r="AQ937" s="78" t="n">
        <f aca="false">IF(AND(OR(X937="R",X937="NX",X937="NT",X937="CO"),OR('JOINTS DE RÉPARATION'!$D$5="TOUTES",B937='JOINTS DE RÉPARATION'!$D$5),OR('JOINTS DE RÉPARATION'!$L$4="TOUS",AM937&lt;&gt;"ACCEPTÉ")),1,0)</f>
        <v>0</v>
      </c>
      <c r="AR937" s="78" t="str">
        <f aca="false">IF(AQ937=1,SUM(AQ$7:AQ937),"")</f>
        <v/>
      </c>
    </row>
    <row r="938" customFormat="false" ht="15" hidden="false" customHeight="false" outlineLevel="0" collapsed="false">
      <c r="A938" s="78" t="str">
        <f aca="false">IF(E938="","",ROW()-6)</f>
        <v/>
      </c>
      <c r="B938" s="79"/>
      <c r="C938" s="80"/>
      <c r="D938" s="80"/>
      <c r="E938" s="80"/>
      <c r="F938" s="80"/>
      <c r="G938" s="80"/>
      <c r="H938" s="80"/>
      <c r="I938" s="80"/>
      <c r="J938" s="80"/>
      <c r="K938" s="80"/>
      <c r="L938" s="81" t="str">
        <f aca="false">IF(K938="","",IFERROR(INDEX(BARDAGE!$C$7:$C$1506,MATCH(K938,BARDAGE!$B$7:$B$1506,0)),"? hors registre"))</f>
        <v/>
      </c>
      <c r="M938" s="80"/>
      <c r="N938" s="81" t="str">
        <f aca="false">IF(M938="","",IFERROR(INDEX(BARDAGE!$C$7:$C$1506,MATCH(M938,BARDAGE!$B$7:$B$1506,0)),"? hors registre"))</f>
        <v/>
      </c>
      <c r="O938" s="80"/>
      <c r="P938" s="80"/>
      <c r="Q938" s="80"/>
      <c r="R938" s="82"/>
      <c r="S938" s="82"/>
      <c r="T938" s="80"/>
      <c r="U938" s="80"/>
      <c r="V938" s="82"/>
      <c r="W938" s="80"/>
      <c r="X938" s="80"/>
      <c r="Y938" s="80"/>
      <c r="Z938" s="80"/>
      <c r="AA938" s="82"/>
      <c r="AB938" s="80"/>
      <c r="AC938" s="80"/>
      <c r="AD938" s="80"/>
      <c r="AE938" s="80"/>
      <c r="AF938" s="82"/>
      <c r="AG938" s="80"/>
      <c r="AH938" s="80"/>
      <c r="AI938" s="82"/>
      <c r="AJ938" s="79"/>
      <c r="AK938" s="78" t="str">
        <f aca="false">IF(E938="","",(X938&lt;&gt;"")+(AC938&lt;&gt;"")+(AH938&lt;&gt;""))</f>
        <v/>
      </c>
      <c r="AL938" s="81" t="str">
        <f aca="false">IF(AH938&lt;&gt;"",AH938,IF(AC938&lt;&gt;"",AC938,IF(X938&lt;&gt;"",X938,"")))</f>
        <v/>
      </c>
      <c r="AM938" s="83" t="str">
        <f aca="false">IF(E938="","",IF(R938="","À SOUDER",IF(U938="","VT EN ATTENTE",IF(U938="R","VT REJETÉ – À REPRENDRE",IF(AL938="","À RADIOGRAPHIER",IF(AL938="A","ACCEPTÉ",IF(AL938="NX","NX – RT À REFAIRE",IF(IF(AK938=1,Z938,IF(AK938=2,AE938,""))="A","RÉPARÉ – À RADIOGRAPHIER",IF(IF(AK938=1,Z938,IF(AK938=2,AE938,""))="R","VT REJETÉ – À REPRENDRE",IF(OR(AL938="CO",AL938="NT"),"COUPE – À RESOUDER","À RÉPARER"))))))))))</f>
        <v/>
      </c>
      <c r="AN938" s="81" t="str">
        <f aca="false">IF(AND(ISNUMBER(R938),OR(AM938="À RADIOGRAPHIER",AM938="RÉPARÉ – À RADIOGRAPHIER",AM938="NX – RT À REFAIRE",AM938="À RÉPARER",AM938="COUPE – À RESOUDER",AM938="VT REJETÉ – À REPRENDRE")),MAX(0,'PROGRAMME RT'!$C$4-R938),"")</f>
        <v/>
      </c>
      <c r="AO938" s="78" t="n">
        <f aca="false">IF(AND(OR(AM938="À RADIOGRAPHIER",AM938="RÉPARÉ – À RADIOGRAPHIER",AM938="NX – RT À REFAIRE"),OR('PROGRAMME RT'!$D$5="TOUTES",B938='PROGRAMME RT'!$D$5)),1,0)</f>
        <v>0</v>
      </c>
      <c r="AP938" s="78" t="str">
        <f aca="false">IF(AO938=1,SUM(AO$7:AO938),"")</f>
        <v/>
      </c>
      <c r="AQ938" s="78" t="n">
        <f aca="false">IF(AND(OR(X938="R",X938="NX",X938="NT",X938="CO"),OR('JOINTS DE RÉPARATION'!$D$5="TOUTES",B938='JOINTS DE RÉPARATION'!$D$5),OR('JOINTS DE RÉPARATION'!$L$4="TOUS",AM938&lt;&gt;"ACCEPTÉ")),1,0)</f>
        <v>0</v>
      </c>
      <c r="AR938" s="78" t="str">
        <f aca="false">IF(AQ938=1,SUM(AQ$7:AQ938),"")</f>
        <v/>
      </c>
    </row>
    <row r="939" customFormat="false" ht="15" hidden="false" customHeight="false" outlineLevel="0" collapsed="false">
      <c r="A939" s="78" t="str">
        <f aca="false">IF(E939="","",ROW()-6)</f>
        <v/>
      </c>
      <c r="B939" s="79"/>
      <c r="C939" s="80"/>
      <c r="D939" s="80"/>
      <c r="E939" s="80"/>
      <c r="F939" s="80"/>
      <c r="G939" s="80"/>
      <c r="H939" s="80"/>
      <c r="I939" s="80"/>
      <c r="J939" s="80"/>
      <c r="K939" s="80"/>
      <c r="L939" s="81" t="str">
        <f aca="false">IF(K939="","",IFERROR(INDEX(BARDAGE!$C$7:$C$1506,MATCH(K939,BARDAGE!$B$7:$B$1506,0)),"? hors registre"))</f>
        <v/>
      </c>
      <c r="M939" s="80"/>
      <c r="N939" s="81" t="str">
        <f aca="false">IF(M939="","",IFERROR(INDEX(BARDAGE!$C$7:$C$1506,MATCH(M939,BARDAGE!$B$7:$B$1506,0)),"? hors registre"))</f>
        <v/>
      </c>
      <c r="O939" s="80"/>
      <c r="P939" s="80"/>
      <c r="Q939" s="80"/>
      <c r="R939" s="82"/>
      <c r="S939" s="82"/>
      <c r="T939" s="80"/>
      <c r="U939" s="80"/>
      <c r="V939" s="82"/>
      <c r="W939" s="80"/>
      <c r="X939" s="80"/>
      <c r="Y939" s="80"/>
      <c r="Z939" s="80"/>
      <c r="AA939" s="82"/>
      <c r="AB939" s="80"/>
      <c r="AC939" s="80"/>
      <c r="AD939" s="80"/>
      <c r="AE939" s="80"/>
      <c r="AF939" s="82"/>
      <c r="AG939" s="80"/>
      <c r="AH939" s="80"/>
      <c r="AI939" s="82"/>
      <c r="AJ939" s="79"/>
      <c r="AK939" s="78" t="str">
        <f aca="false">IF(E939="","",(X939&lt;&gt;"")+(AC939&lt;&gt;"")+(AH939&lt;&gt;""))</f>
        <v/>
      </c>
      <c r="AL939" s="81" t="str">
        <f aca="false">IF(AH939&lt;&gt;"",AH939,IF(AC939&lt;&gt;"",AC939,IF(X939&lt;&gt;"",X939,"")))</f>
        <v/>
      </c>
      <c r="AM939" s="83" t="str">
        <f aca="false">IF(E939="","",IF(R939="","À SOUDER",IF(U939="","VT EN ATTENTE",IF(U939="R","VT REJETÉ – À REPRENDRE",IF(AL939="","À RADIOGRAPHIER",IF(AL939="A","ACCEPTÉ",IF(AL939="NX","NX – RT À REFAIRE",IF(IF(AK939=1,Z939,IF(AK939=2,AE939,""))="A","RÉPARÉ – À RADIOGRAPHIER",IF(IF(AK939=1,Z939,IF(AK939=2,AE939,""))="R","VT REJETÉ – À REPRENDRE",IF(OR(AL939="CO",AL939="NT"),"COUPE – À RESOUDER","À RÉPARER"))))))))))</f>
        <v/>
      </c>
      <c r="AN939" s="81" t="str">
        <f aca="false">IF(AND(ISNUMBER(R939),OR(AM939="À RADIOGRAPHIER",AM939="RÉPARÉ – À RADIOGRAPHIER",AM939="NX – RT À REFAIRE",AM939="À RÉPARER",AM939="COUPE – À RESOUDER",AM939="VT REJETÉ – À REPRENDRE")),MAX(0,'PROGRAMME RT'!$C$4-R939),"")</f>
        <v/>
      </c>
      <c r="AO939" s="78" t="n">
        <f aca="false">IF(AND(OR(AM939="À RADIOGRAPHIER",AM939="RÉPARÉ – À RADIOGRAPHIER",AM939="NX – RT À REFAIRE"),OR('PROGRAMME RT'!$D$5="TOUTES",B939='PROGRAMME RT'!$D$5)),1,0)</f>
        <v>0</v>
      </c>
      <c r="AP939" s="78" t="str">
        <f aca="false">IF(AO939=1,SUM(AO$7:AO939),"")</f>
        <v/>
      </c>
      <c r="AQ939" s="78" t="n">
        <f aca="false">IF(AND(OR(X939="R",X939="NX",X939="NT",X939="CO"),OR('JOINTS DE RÉPARATION'!$D$5="TOUTES",B939='JOINTS DE RÉPARATION'!$D$5),OR('JOINTS DE RÉPARATION'!$L$4="TOUS",AM939&lt;&gt;"ACCEPTÉ")),1,0)</f>
        <v>0</v>
      </c>
      <c r="AR939" s="78" t="str">
        <f aca="false">IF(AQ939=1,SUM(AQ$7:AQ939),"")</f>
        <v/>
      </c>
    </row>
    <row r="940" customFormat="false" ht="15" hidden="false" customHeight="false" outlineLevel="0" collapsed="false">
      <c r="A940" s="78" t="str">
        <f aca="false">IF(E940="","",ROW()-6)</f>
        <v/>
      </c>
      <c r="B940" s="79"/>
      <c r="C940" s="80"/>
      <c r="D940" s="80"/>
      <c r="E940" s="80"/>
      <c r="F940" s="80"/>
      <c r="G940" s="80"/>
      <c r="H940" s="80"/>
      <c r="I940" s="80"/>
      <c r="J940" s="80"/>
      <c r="K940" s="80"/>
      <c r="L940" s="81" t="str">
        <f aca="false">IF(K940="","",IFERROR(INDEX(BARDAGE!$C$7:$C$1506,MATCH(K940,BARDAGE!$B$7:$B$1506,0)),"? hors registre"))</f>
        <v/>
      </c>
      <c r="M940" s="80"/>
      <c r="N940" s="81" t="str">
        <f aca="false">IF(M940="","",IFERROR(INDEX(BARDAGE!$C$7:$C$1506,MATCH(M940,BARDAGE!$B$7:$B$1506,0)),"? hors registre"))</f>
        <v/>
      </c>
      <c r="O940" s="80"/>
      <c r="P940" s="80"/>
      <c r="Q940" s="80"/>
      <c r="R940" s="82"/>
      <c r="S940" s="82"/>
      <c r="T940" s="80"/>
      <c r="U940" s="80"/>
      <c r="V940" s="82"/>
      <c r="W940" s="80"/>
      <c r="X940" s="80"/>
      <c r="Y940" s="80"/>
      <c r="Z940" s="80"/>
      <c r="AA940" s="82"/>
      <c r="AB940" s="80"/>
      <c r="AC940" s="80"/>
      <c r="AD940" s="80"/>
      <c r="AE940" s="80"/>
      <c r="AF940" s="82"/>
      <c r="AG940" s="80"/>
      <c r="AH940" s="80"/>
      <c r="AI940" s="82"/>
      <c r="AJ940" s="79"/>
      <c r="AK940" s="78" t="str">
        <f aca="false">IF(E940="","",(X940&lt;&gt;"")+(AC940&lt;&gt;"")+(AH940&lt;&gt;""))</f>
        <v/>
      </c>
      <c r="AL940" s="81" t="str">
        <f aca="false">IF(AH940&lt;&gt;"",AH940,IF(AC940&lt;&gt;"",AC940,IF(X940&lt;&gt;"",X940,"")))</f>
        <v/>
      </c>
      <c r="AM940" s="83" t="str">
        <f aca="false">IF(E940="","",IF(R940="","À SOUDER",IF(U940="","VT EN ATTENTE",IF(U940="R","VT REJETÉ – À REPRENDRE",IF(AL940="","À RADIOGRAPHIER",IF(AL940="A","ACCEPTÉ",IF(AL940="NX","NX – RT À REFAIRE",IF(IF(AK940=1,Z940,IF(AK940=2,AE940,""))="A","RÉPARÉ – À RADIOGRAPHIER",IF(IF(AK940=1,Z940,IF(AK940=2,AE940,""))="R","VT REJETÉ – À REPRENDRE",IF(OR(AL940="CO",AL940="NT"),"COUPE – À RESOUDER","À RÉPARER"))))))))))</f>
        <v/>
      </c>
      <c r="AN940" s="81" t="str">
        <f aca="false">IF(AND(ISNUMBER(R940),OR(AM940="À RADIOGRAPHIER",AM940="RÉPARÉ – À RADIOGRAPHIER",AM940="NX – RT À REFAIRE",AM940="À RÉPARER",AM940="COUPE – À RESOUDER",AM940="VT REJETÉ – À REPRENDRE")),MAX(0,'PROGRAMME RT'!$C$4-R940),"")</f>
        <v/>
      </c>
      <c r="AO940" s="78" t="n">
        <f aca="false">IF(AND(OR(AM940="À RADIOGRAPHIER",AM940="RÉPARÉ – À RADIOGRAPHIER",AM940="NX – RT À REFAIRE"),OR('PROGRAMME RT'!$D$5="TOUTES",B940='PROGRAMME RT'!$D$5)),1,0)</f>
        <v>0</v>
      </c>
      <c r="AP940" s="78" t="str">
        <f aca="false">IF(AO940=1,SUM(AO$7:AO940),"")</f>
        <v/>
      </c>
      <c r="AQ940" s="78" t="n">
        <f aca="false">IF(AND(OR(X940="R",X940="NX",X940="NT",X940="CO"),OR('JOINTS DE RÉPARATION'!$D$5="TOUTES",B940='JOINTS DE RÉPARATION'!$D$5),OR('JOINTS DE RÉPARATION'!$L$4="TOUS",AM940&lt;&gt;"ACCEPTÉ")),1,0)</f>
        <v>0</v>
      </c>
      <c r="AR940" s="78" t="str">
        <f aca="false">IF(AQ940=1,SUM(AQ$7:AQ940),"")</f>
        <v/>
      </c>
    </row>
    <row r="941" customFormat="false" ht="15" hidden="false" customHeight="false" outlineLevel="0" collapsed="false">
      <c r="A941" s="78" t="str">
        <f aca="false">IF(E941="","",ROW()-6)</f>
        <v/>
      </c>
      <c r="B941" s="79"/>
      <c r="C941" s="80"/>
      <c r="D941" s="80"/>
      <c r="E941" s="80"/>
      <c r="F941" s="80"/>
      <c r="G941" s="80"/>
      <c r="H941" s="80"/>
      <c r="I941" s="80"/>
      <c r="J941" s="80"/>
      <c r="K941" s="80"/>
      <c r="L941" s="81" t="str">
        <f aca="false">IF(K941="","",IFERROR(INDEX(BARDAGE!$C$7:$C$1506,MATCH(K941,BARDAGE!$B$7:$B$1506,0)),"? hors registre"))</f>
        <v/>
      </c>
      <c r="M941" s="80"/>
      <c r="N941" s="81" t="str">
        <f aca="false">IF(M941="","",IFERROR(INDEX(BARDAGE!$C$7:$C$1506,MATCH(M941,BARDAGE!$B$7:$B$1506,0)),"? hors registre"))</f>
        <v/>
      </c>
      <c r="O941" s="80"/>
      <c r="P941" s="80"/>
      <c r="Q941" s="80"/>
      <c r="R941" s="82"/>
      <c r="S941" s="82"/>
      <c r="T941" s="80"/>
      <c r="U941" s="80"/>
      <c r="V941" s="82"/>
      <c r="W941" s="80"/>
      <c r="X941" s="80"/>
      <c r="Y941" s="80"/>
      <c r="Z941" s="80"/>
      <c r="AA941" s="82"/>
      <c r="AB941" s="80"/>
      <c r="AC941" s="80"/>
      <c r="AD941" s="80"/>
      <c r="AE941" s="80"/>
      <c r="AF941" s="82"/>
      <c r="AG941" s="80"/>
      <c r="AH941" s="80"/>
      <c r="AI941" s="82"/>
      <c r="AJ941" s="79"/>
      <c r="AK941" s="78" t="str">
        <f aca="false">IF(E941="","",(X941&lt;&gt;"")+(AC941&lt;&gt;"")+(AH941&lt;&gt;""))</f>
        <v/>
      </c>
      <c r="AL941" s="81" t="str">
        <f aca="false">IF(AH941&lt;&gt;"",AH941,IF(AC941&lt;&gt;"",AC941,IF(X941&lt;&gt;"",X941,"")))</f>
        <v/>
      </c>
      <c r="AM941" s="83" t="str">
        <f aca="false">IF(E941="","",IF(R941="","À SOUDER",IF(U941="","VT EN ATTENTE",IF(U941="R","VT REJETÉ – À REPRENDRE",IF(AL941="","À RADIOGRAPHIER",IF(AL941="A","ACCEPTÉ",IF(AL941="NX","NX – RT À REFAIRE",IF(IF(AK941=1,Z941,IF(AK941=2,AE941,""))="A","RÉPARÉ – À RADIOGRAPHIER",IF(IF(AK941=1,Z941,IF(AK941=2,AE941,""))="R","VT REJETÉ – À REPRENDRE",IF(OR(AL941="CO",AL941="NT"),"COUPE – À RESOUDER","À RÉPARER"))))))))))</f>
        <v/>
      </c>
      <c r="AN941" s="81" t="str">
        <f aca="false">IF(AND(ISNUMBER(R941),OR(AM941="À RADIOGRAPHIER",AM941="RÉPARÉ – À RADIOGRAPHIER",AM941="NX – RT À REFAIRE",AM941="À RÉPARER",AM941="COUPE – À RESOUDER",AM941="VT REJETÉ – À REPRENDRE")),MAX(0,'PROGRAMME RT'!$C$4-R941),"")</f>
        <v/>
      </c>
      <c r="AO941" s="78" t="n">
        <f aca="false">IF(AND(OR(AM941="À RADIOGRAPHIER",AM941="RÉPARÉ – À RADIOGRAPHIER",AM941="NX – RT À REFAIRE"),OR('PROGRAMME RT'!$D$5="TOUTES",B941='PROGRAMME RT'!$D$5)),1,0)</f>
        <v>0</v>
      </c>
      <c r="AP941" s="78" t="str">
        <f aca="false">IF(AO941=1,SUM(AO$7:AO941),"")</f>
        <v/>
      </c>
      <c r="AQ941" s="78" t="n">
        <f aca="false">IF(AND(OR(X941="R",X941="NX",X941="NT",X941="CO"),OR('JOINTS DE RÉPARATION'!$D$5="TOUTES",B941='JOINTS DE RÉPARATION'!$D$5),OR('JOINTS DE RÉPARATION'!$L$4="TOUS",AM941&lt;&gt;"ACCEPTÉ")),1,0)</f>
        <v>0</v>
      </c>
      <c r="AR941" s="78" t="str">
        <f aca="false">IF(AQ941=1,SUM(AQ$7:AQ941),"")</f>
        <v/>
      </c>
    </row>
    <row r="942" customFormat="false" ht="15" hidden="false" customHeight="false" outlineLevel="0" collapsed="false">
      <c r="A942" s="78" t="str">
        <f aca="false">IF(E942="","",ROW()-6)</f>
        <v/>
      </c>
      <c r="B942" s="79"/>
      <c r="C942" s="80"/>
      <c r="D942" s="80"/>
      <c r="E942" s="80"/>
      <c r="F942" s="80"/>
      <c r="G942" s="80"/>
      <c r="H942" s="80"/>
      <c r="I942" s="80"/>
      <c r="J942" s="80"/>
      <c r="K942" s="80"/>
      <c r="L942" s="81" t="str">
        <f aca="false">IF(K942="","",IFERROR(INDEX(BARDAGE!$C$7:$C$1506,MATCH(K942,BARDAGE!$B$7:$B$1506,0)),"? hors registre"))</f>
        <v/>
      </c>
      <c r="M942" s="80"/>
      <c r="N942" s="81" t="str">
        <f aca="false">IF(M942="","",IFERROR(INDEX(BARDAGE!$C$7:$C$1506,MATCH(M942,BARDAGE!$B$7:$B$1506,0)),"? hors registre"))</f>
        <v/>
      </c>
      <c r="O942" s="80"/>
      <c r="P942" s="80"/>
      <c r="Q942" s="80"/>
      <c r="R942" s="82"/>
      <c r="S942" s="82"/>
      <c r="T942" s="80"/>
      <c r="U942" s="80"/>
      <c r="V942" s="82"/>
      <c r="W942" s="80"/>
      <c r="X942" s="80"/>
      <c r="Y942" s="80"/>
      <c r="Z942" s="80"/>
      <c r="AA942" s="82"/>
      <c r="AB942" s="80"/>
      <c r="AC942" s="80"/>
      <c r="AD942" s="80"/>
      <c r="AE942" s="80"/>
      <c r="AF942" s="82"/>
      <c r="AG942" s="80"/>
      <c r="AH942" s="80"/>
      <c r="AI942" s="82"/>
      <c r="AJ942" s="79"/>
      <c r="AK942" s="78" t="str">
        <f aca="false">IF(E942="","",(X942&lt;&gt;"")+(AC942&lt;&gt;"")+(AH942&lt;&gt;""))</f>
        <v/>
      </c>
      <c r="AL942" s="81" t="str">
        <f aca="false">IF(AH942&lt;&gt;"",AH942,IF(AC942&lt;&gt;"",AC942,IF(X942&lt;&gt;"",X942,"")))</f>
        <v/>
      </c>
      <c r="AM942" s="83" t="str">
        <f aca="false">IF(E942="","",IF(R942="","À SOUDER",IF(U942="","VT EN ATTENTE",IF(U942="R","VT REJETÉ – À REPRENDRE",IF(AL942="","À RADIOGRAPHIER",IF(AL942="A","ACCEPTÉ",IF(AL942="NX","NX – RT À REFAIRE",IF(IF(AK942=1,Z942,IF(AK942=2,AE942,""))="A","RÉPARÉ – À RADIOGRAPHIER",IF(IF(AK942=1,Z942,IF(AK942=2,AE942,""))="R","VT REJETÉ – À REPRENDRE",IF(OR(AL942="CO",AL942="NT"),"COUPE – À RESOUDER","À RÉPARER"))))))))))</f>
        <v/>
      </c>
      <c r="AN942" s="81" t="str">
        <f aca="false">IF(AND(ISNUMBER(R942),OR(AM942="À RADIOGRAPHIER",AM942="RÉPARÉ – À RADIOGRAPHIER",AM942="NX – RT À REFAIRE",AM942="À RÉPARER",AM942="COUPE – À RESOUDER",AM942="VT REJETÉ – À REPRENDRE")),MAX(0,'PROGRAMME RT'!$C$4-R942),"")</f>
        <v/>
      </c>
      <c r="AO942" s="78" t="n">
        <f aca="false">IF(AND(OR(AM942="À RADIOGRAPHIER",AM942="RÉPARÉ – À RADIOGRAPHIER",AM942="NX – RT À REFAIRE"),OR('PROGRAMME RT'!$D$5="TOUTES",B942='PROGRAMME RT'!$D$5)),1,0)</f>
        <v>0</v>
      </c>
      <c r="AP942" s="78" t="str">
        <f aca="false">IF(AO942=1,SUM(AO$7:AO942),"")</f>
        <v/>
      </c>
      <c r="AQ942" s="78" t="n">
        <f aca="false">IF(AND(OR(X942="R",X942="NX",X942="NT",X942="CO"),OR('JOINTS DE RÉPARATION'!$D$5="TOUTES",B942='JOINTS DE RÉPARATION'!$D$5),OR('JOINTS DE RÉPARATION'!$L$4="TOUS",AM942&lt;&gt;"ACCEPTÉ")),1,0)</f>
        <v>0</v>
      </c>
      <c r="AR942" s="78" t="str">
        <f aca="false">IF(AQ942=1,SUM(AQ$7:AQ942),"")</f>
        <v/>
      </c>
    </row>
    <row r="943" customFormat="false" ht="15" hidden="false" customHeight="false" outlineLevel="0" collapsed="false">
      <c r="A943" s="78" t="str">
        <f aca="false">IF(E943="","",ROW()-6)</f>
        <v/>
      </c>
      <c r="B943" s="79"/>
      <c r="C943" s="80"/>
      <c r="D943" s="80"/>
      <c r="E943" s="80"/>
      <c r="F943" s="80"/>
      <c r="G943" s="80"/>
      <c r="H943" s="80"/>
      <c r="I943" s="80"/>
      <c r="J943" s="80"/>
      <c r="K943" s="80"/>
      <c r="L943" s="81" t="str">
        <f aca="false">IF(K943="","",IFERROR(INDEX(BARDAGE!$C$7:$C$1506,MATCH(K943,BARDAGE!$B$7:$B$1506,0)),"? hors registre"))</f>
        <v/>
      </c>
      <c r="M943" s="80"/>
      <c r="N943" s="81" t="str">
        <f aca="false">IF(M943="","",IFERROR(INDEX(BARDAGE!$C$7:$C$1506,MATCH(M943,BARDAGE!$B$7:$B$1506,0)),"? hors registre"))</f>
        <v/>
      </c>
      <c r="O943" s="80"/>
      <c r="P943" s="80"/>
      <c r="Q943" s="80"/>
      <c r="R943" s="82"/>
      <c r="S943" s="82"/>
      <c r="T943" s="80"/>
      <c r="U943" s="80"/>
      <c r="V943" s="82"/>
      <c r="W943" s="80"/>
      <c r="X943" s="80"/>
      <c r="Y943" s="80"/>
      <c r="Z943" s="80"/>
      <c r="AA943" s="82"/>
      <c r="AB943" s="80"/>
      <c r="AC943" s="80"/>
      <c r="AD943" s="80"/>
      <c r="AE943" s="80"/>
      <c r="AF943" s="82"/>
      <c r="AG943" s="80"/>
      <c r="AH943" s="80"/>
      <c r="AI943" s="82"/>
      <c r="AJ943" s="79"/>
      <c r="AK943" s="78" t="str">
        <f aca="false">IF(E943="","",(X943&lt;&gt;"")+(AC943&lt;&gt;"")+(AH943&lt;&gt;""))</f>
        <v/>
      </c>
      <c r="AL943" s="81" t="str">
        <f aca="false">IF(AH943&lt;&gt;"",AH943,IF(AC943&lt;&gt;"",AC943,IF(X943&lt;&gt;"",X943,"")))</f>
        <v/>
      </c>
      <c r="AM943" s="83" t="str">
        <f aca="false">IF(E943="","",IF(R943="","À SOUDER",IF(U943="","VT EN ATTENTE",IF(U943="R","VT REJETÉ – À REPRENDRE",IF(AL943="","À RADIOGRAPHIER",IF(AL943="A","ACCEPTÉ",IF(AL943="NX","NX – RT À REFAIRE",IF(IF(AK943=1,Z943,IF(AK943=2,AE943,""))="A","RÉPARÉ – À RADIOGRAPHIER",IF(IF(AK943=1,Z943,IF(AK943=2,AE943,""))="R","VT REJETÉ – À REPRENDRE",IF(OR(AL943="CO",AL943="NT"),"COUPE – À RESOUDER","À RÉPARER"))))))))))</f>
        <v/>
      </c>
      <c r="AN943" s="81" t="str">
        <f aca="false">IF(AND(ISNUMBER(R943),OR(AM943="À RADIOGRAPHIER",AM943="RÉPARÉ – À RADIOGRAPHIER",AM943="NX – RT À REFAIRE",AM943="À RÉPARER",AM943="COUPE – À RESOUDER",AM943="VT REJETÉ – À REPRENDRE")),MAX(0,'PROGRAMME RT'!$C$4-R943),"")</f>
        <v/>
      </c>
      <c r="AO943" s="78" t="n">
        <f aca="false">IF(AND(OR(AM943="À RADIOGRAPHIER",AM943="RÉPARÉ – À RADIOGRAPHIER",AM943="NX – RT À REFAIRE"),OR('PROGRAMME RT'!$D$5="TOUTES",B943='PROGRAMME RT'!$D$5)),1,0)</f>
        <v>0</v>
      </c>
      <c r="AP943" s="78" t="str">
        <f aca="false">IF(AO943=1,SUM(AO$7:AO943),"")</f>
        <v/>
      </c>
      <c r="AQ943" s="78" t="n">
        <f aca="false">IF(AND(OR(X943="R",X943="NX",X943="NT",X943="CO"),OR('JOINTS DE RÉPARATION'!$D$5="TOUTES",B943='JOINTS DE RÉPARATION'!$D$5),OR('JOINTS DE RÉPARATION'!$L$4="TOUS",AM943&lt;&gt;"ACCEPTÉ")),1,0)</f>
        <v>0</v>
      </c>
      <c r="AR943" s="78" t="str">
        <f aca="false">IF(AQ943=1,SUM(AQ$7:AQ943),"")</f>
        <v/>
      </c>
    </row>
    <row r="944" customFormat="false" ht="15" hidden="false" customHeight="false" outlineLevel="0" collapsed="false">
      <c r="A944" s="78" t="str">
        <f aca="false">IF(E944="","",ROW()-6)</f>
        <v/>
      </c>
      <c r="B944" s="79"/>
      <c r="C944" s="80"/>
      <c r="D944" s="80"/>
      <c r="E944" s="80"/>
      <c r="F944" s="80"/>
      <c r="G944" s="80"/>
      <c r="H944" s="80"/>
      <c r="I944" s="80"/>
      <c r="J944" s="80"/>
      <c r="K944" s="80"/>
      <c r="L944" s="81" t="str">
        <f aca="false">IF(K944="","",IFERROR(INDEX(BARDAGE!$C$7:$C$1506,MATCH(K944,BARDAGE!$B$7:$B$1506,0)),"? hors registre"))</f>
        <v/>
      </c>
      <c r="M944" s="80"/>
      <c r="N944" s="81" t="str">
        <f aca="false">IF(M944="","",IFERROR(INDEX(BARDAGE!$C$7:$C$1506,MATCH(M944,BARDAGE!$B$7:$B$1506,0)),"? hors registre"))</f>
        <v/>
      </c>
      <c r="O944" s="80"/>
      <c r="P944" s="80"/>
      <c r="Q944" s="80"/>
      <c r="R944" s="82"/>
      <c r="S944" s="82"/>
      <c r="T944" s="80"/>
      <c r="U944" s="80"/>
      <c r="V944" s="82"/>
      <c r="W944" s="80"/>
      <c r="X944" s="80"/>
      <c r="Y944" s="80"/>
      <c r="Z944" s="80"/>
      <c r="AA944" s="82"/>
      <c r="AB944" s="80"/>
      <c r="AC944" s="80"/>
      <c r="AD944" s="80"/>
      <c r="AE944" s="80"/>
      <c r="AF944" s="82"/>
      <c r="AG944" s="80"/>
      <c r="AH944" s="80"/>
      <c r="AI944" s="82"/>
      <c r="AJ944" s="79"/>
      <c r="AK944" s="78" t="str">
        <f aca="false">IF(E944="","",(X944&lt;&gt;"")+(AC944&lt;&gt;"")+(AH944&lt;&gt;""))</f>
        <v/>
      </c>
      <c r="AL944" s="81" t="str">
        <f aca="false">IF(AH944&lt;&gt;"",AH944,IF(AC944&lt;&gt;"",AC944,IF(X944&lt;&gt;"",X944,"")))</f>
        <v/>
      </c>
      <c r="AM944" s="83" t="str">
        <f aca="false">IF(E944="","",IF(R944="","À SOUDER",IF(U944="","VT EN ATTENTE",IF(U944="R","VT REJETÉ – À REPRENDRE",IF(AL944="","À RADIOGRAPHIER",IF(AL944="A","ACCEPTÉ",IF(AL944="NX","NX – RT À REFAIRE",IF(IF(AK944=1,Z944,IF(AK944=2,AE944,""))="A","RÉPARÉ – À RADIOGRAPHIER",IF(IF(AK944=1,Z944,IF(AK944=2,AE944,""))="R","VT REJETÉ – À REPRENDRE",IF(OR(AL944="CO",AL944="NT"),"COUPE – À RESOUDER","À RÉPARER"))))))))))</f>
        <v/>
      </c>
      <c r="AN944" s="81" t="str">
        <f aca="false">IF(AND(ISNUMBER(R944),OR(AM944="À RADIOGRAPHIER",AM944="RÉPARÉ – À RADIOGRAPHIER",AM944="NX – RT À REFAIRE",AM944="À RÉPARER",AM944="COUPE – À RESOUDER",AM944="VT REJETÉ – À REPRENDRE")),MAX(0,'PROGRAMME RT'!$C$4-R944),"")</f>
        <v/>
      </c>
      <c r="AO944" s="78" t="n">
        <f aca="false">IF(AND(OR(AM944="À RADIOGRAPHIER",AM944="RÉPARÉ – À RADIOGRAPHIER",AM944="NX – RT À REFAIRE"),OR('PROGRAMME RT'!$D$5="TOUTES",B944='PROGRAMME RT'!$D$5)),1,0)</f>
        <v>0</v>
      </c>
      <c r="AP944" s="78" t="str">
        <f aca="false">IF(AO944=1,SUM(AO$7:AO944),"")</f>
        <v/>
      </c>
      <c r="AQ944" s="78" t="n">
        <f aca="false">IF(AND(OR(X944="R",X944="NX",X944="NT",X944="CO"),OR('JOINTS DE RÉPARATION'!$D$5="TOUTES",B944='JOINTS DE RÉPARATION'!$D$5),OR('JOINTS DE RÉPARATION'!$L$4="TOUS",AM944&lt;&gt;"ACCEPTÉ")),1,0)</f>
        <v>0</v>
      </c>
      <c r="AR944" s="78" t="str">
        <f aca="false">IF(AQ944=1,SUM(AQ$7:AQ944),"")</f>
        <v/>
      </c>
    </row>
    <row r="945" customFormat="false" ht="15" hidden="false" customHeight="false" outlineLevel="0" collapsed="false">
      <c r="A945" s="78" t="str">
        <f aca="false">IF(E945="","",ROW()-6)</f>
        <v/>
      </c>
      <c r="B945" s="79"/>
      <c r="C945" s="80"/>
      <c r="D945" s="80"/>
      <c r="E945" s="80"/>
      <c r="F945" s="80"/>
      <c r="G945" s="80"/>
      <c r="H945" s="80"/>
      <c r="I945" s="80"/>
      <c r="J945" s="80"/>
      <c r="K945" s="80"/>
      <c r="L945" s="81" t="str">
        <f aca="false">IF(K945="","",IFERROR(INDEX(BARDAGE!$C$7:$C$1506,MATCH(K945,BARDAGE!$B$7:$B$1506,0)),"? hors registre"))</f>
        <v/>
      </c>
      <c r="M945" s="80"/>
      <c r="N945" s="81" t="str">
        <f aca="false">IF(M945="","",IFERROR(INDEX(BARDAGE!$C$7:$C$1506,MATCH(M945,BARDAGE!$B$7:$B$1506,0)),"? hors registre"))</f>
        <v/>
      </c>
      <c r="O945" s="80"/>
      <c r="P945" s="80"/>
      <c r="Q945" s="80"/>
      <c r="R945" s="82"/>
      <c r="S945" s="82"/>
      <c r="T945" s="80"/>
      <c r="U945" s="80"/>
      <c r="V945" s="82"/>
      <c r="W945" s="80"/>
      <c r="X945" s="80"/>
      <c r="Y945" s="80"/>
      <c r="Z945" s="80"/>
      <c r="AA945" s="82"/>
      <c r="AB945" s="80"/>
      <c r="AC945" s="80"/>
      <c r="AD945" s="80"/>
      <c r="AE945" s="80"/>
      <c r="AF945" s="82"/>
      <c r="AG945" s="80"/>
      <c r="AH945" s="80"/>
      <c r="AI945" s="82"/>
      <c r="AJ945" s="79"/>
      <c r="AK945" s="78" t="str">
        <f aca="false">IF(E945="","",(X945&lt;&gt;"")+(AC945&lt;&gt;"")+(AH945&lt;&gt;""))</f>
        <v/>
      </c>
      <c r="AL945" s="81" t="str">
        <f aca="false">IF(AH945&lt;&gt;"",AH945,IF(AC945&lt;&gt;"",AC945,IF(X945&lt;&gt;"",X945,"")))</f>
        <v/>
      </c>
      <c r="AM945" s="83" t="str">
        <f aca="false">IF(E945="","",IF(R945="","À SOUDER",IF(U945="","VT EN ATTENTE",IF(U945="R","VT REJETÉ – À REPRENDRE",IF(AL945="","À RADIOGRAPHIER",IF(AL945="A","ACCEPTÉ",IF(AL945="NX","NX – RT À REFAIRE",IF(IF(AK945=1,Z945,IF(AK945=2,AE945,""))="A","RÉPARÉ – À RADIOGRAPHIER",IF(IF(AK945=1,Z945,IF(AK945=2,AE945,""))="R","VT REJETÉ – À REPRENDRE",IF(OR(AL945="CO",AL945="NT"),"COUPE – À RESOUDER","À RÉPARER"))))))))))</f>
        <v/>
      </c>
      <c r="AN945" s="81" t="str">
        <f aca="false">IF(AND(ISNUMBER(R945),OR(AM945="À RADIOGRAPHIER",AM945="RÉPARÉ – À RADIOGRAPHIER",AM945="NX – RT À REFAIRE",AM945="À RÉPARER",AM945="COUPE – À RESOUDER",AM945="VT REJETÉ – À REPRENDRE")),MAX(0,'PROGRAMME RT'!$C$4-R945),"")</f>
        <v/>
      </c>
      <c r="AO945" s="78" t="n">
        <f aca="false">IF(AND(OR(AM945="À RADIOGRAPHIER",AM945="RÉPARÉ – À RADIOGRAPHIER",AM945="NX – RT À REFAIRE"),OR('PROGRAMME RT'!$D$5="TOUTES",B945='PROGRAMME RT'!$D$5)),1,0)</f>
        <v>0</v>
      </c>
      <c r="AP945" s="78" t="str">
        <f aca="false">IF(AO945=1,SUM(AO$7:AO945),"")</f>
        <v/>
      </c>
      <c r="AQ945" s="78" t="n">
        <f aca="false">IF(AND(OR(X945="R",X945="NX",X945="NT",X945="CO"),OR('JOINTS DE RÉPARATION'!$D$5="TOUTES",B945='JOINTS DE RÉPARATION'!$D$5),OR('JOINTS DE RÉPARATION'!$L$4="TOUS",AM945&lt;&gt;"ACCEPTÉ")),1,0)</f>
        <v>0</v>
      </c>
      <c r="AR945" s="78" t="str">
        <f aca="false">IF(AQ945=1,SUM(AQ$7:AQ945),"")</f>
        <v/>
      </c>
    </row>
    <row r="946" customFormat="false" ht="15" hidden="false" customHeight="false" outlineLevel="0" collapsed="false">
      <c r="A946" s="78" t="str">
        <f aca="false">IF(E946="","",ROW()-6)</f>
        <v/>
      </c>
      <c r="B946" s="79"/>
      <c r="C946" s="80"/>
      <c r="D946" s="80"/>
      <c r="E946" s="80"/>
      <c r="F946" s="80"/>
      <c r="G946" s="80"/>
      <c r="H946" s="80"/>
      <c r="I946" s="80"/>
      <c r="J946" s="80"/>
      <c r="K946" s="80"/>
      <c r="L946" s="81" t="str">
        <f aca="false">IF(K946="","",IFERROR(INDEX(BARDAGE!$C$7:$C$1506,MATCH(K946,BARDAGE!$B$7:$B$1506,0)),"? hors registre"))</f>
        <v/>
      </c>
      <c r="M946" s="80"/>
      <c r="N946" s="81" t="str">
        <f aca="false">IF(M946="","",IFERROR(INDEX(BARDAGE!$C$7:$C$1506,MATCH(M946,BARDAGE!$B$7:$B$1506,0)),"? hors registre"))</f>
        <v/>
      </c>
      <c r="O946" s="80"/>
      <c r="P946" s="80"/>
      <c r="Q946" s="80"/>
      <c r="R946" s="82"/>
      <c r="S946" s="82"/>
      <c r="T946" s="80"/>
      <c r="U946" s="80"/>
      <c r="V946" s="82"/>
      <c r="W946" s="80"/>
      <c r="X946" s="80"/>
      <c r="Y946" s="80"/>
      <c r="Z946" s="80"/>
      <c r="AA946" s="82"/>
      <c r="AB946" s="80"/>
      <c r="AC946" s="80"/>
      <c r="AD946" s="80"/>
      <c r="AE946" s="80"/>
      <c r="AF946" s="82"/>
      <c r="AG946" s="80"/>
      <c r="AH946" s="80"/>
      <c r="AI946" s="82"/>
      <c r="AJ946" s="79"/>
      <c r="AK946" s="78" t="str">
        <f aca="false">IF(E946="","",(X946&lt;&gt;"")+(AC946&lt;&gt;"")+(AH946&lt;&gt;""))</f>
        <v/>
      </c>
      <c r="AL946" s="81" t="str">
        <f aca="false">IF(AH946&lt;&gt;"",AH946,IF(AC946&lt;&gt;"",AC946,IF(X946&lt;&gt;"",X946,"")))</f>
        <v/>
      </c>
      <c r="AM946" s="83" t="str">
        <f aca="false">IF(E946="","",IF(R946="","À SOUDER",IF(U946="","VT EN ATTENTE",IF(U946="R","VT REJETÉ – À REPRENDRE",IF(AL946="","À RADIOGRAPHIER",IF(AL946="A","ACCEPTÉ",IF(AL946="NX","NX – RT À REFAIRE",IF(IF(AK946=1,Z946,IF(AK946=2,AE946,""))="A","RÉPARÉ – À RADIOGRAPHIER",IF(IF(AK946=1,Z946,IF(AK946=2,AE946,""))="R","VT REJETÉ – À REPRENDRE",IF(OR(AL946="CO",AL946="NT"),"COUPE – À RESOUDER","À RÉPARER"))))))))))</f>
        <v/>
      </c>
      <c r="AN946" s="81" t="str">
        <f aca="false">IF(AND(ISNUMBER(R946),OR(AM946="À RADIOGRAPHIER",AM946="RÉPARÉ – À RADIOGRAPHIER",AM946="NX – RT À REFAIRE",AM946="À RÉPARER",AM946="COUPE – À RESOUDER",AM946="VT REJETÉ – À REPRENDRE")),MAX(0,'PROGRAMME RT'!$C$4-R946),"")</f>
        <v/>
      </c>
      <c r="AO946" s="78" t="n">
        <f aca="false">IF(AND(OR(AM946="À RADIOGRAPHIER",AM946="RÉPARÉ – À RADIOGRAPHIER",AM946="NX – RT À REFAIRE"),OR('PROGRAMME RT'!$D$5="TOUTES",B946='PROGRAMME RT'!$D$5)),1,0)</f>
        <v>0</v>
      </c>
      <c r="AP946" s="78" t="str">
        <f aca="false">IF(AO946=1,SUM(AO$7:AO946),"")</f>
        <v/>
      </c>
      <c r="AQ946" s="78" t="n">
        <f aca="false">IF(AND(OR(X946="R",X946="NX",X946="NT",X946="CO"),OR('JOINTS DE RÉPARATION'!$D$5="TOUTES",B946='JOINTS DE RÉPARATION'!$D$5),OR('JOINTS DE RÉPARATION'!$L$4="TOUS",AM946&lt;&gt;"ACCEPTÉ")),1,0)</f>
        <v>0</v>
      </c>
      <c r="AR946" s="78" t="str">
        <f aca="false">IF(AQ946=1,SUM(AQ$7:AQ946),"")</f>
        <v/>
      </c>
    </row>
    <row r="947" customFormat="false" ht="15" hidden="false" customHeight="false" outlineLevel="0" collapsed="false">
      <c r="A947" s="78" t="str">
        <f aca="false">IF(E947="","",ROW()-6)</f>
        <v/>
      </c>
      <c r="B947" s="79"/>
      <c r="C947" s="80"/>
      <c r="D947" s="80"/>
      <c r="E947" s="80"/>
      <c r="F947" s="80"/>
      <c r="G947" s="80"/>
      <c r="H947" s="80"/>
      <c r="I947" s="80"/>
      <c r="J947" s="80"/>
      <c r="K947" s="80"/>
      <c r="L947" s="81" t="str">
        <f aca="false">IF(K947="","",IFERROR(INDEX(BARDAGE!$C$7:$C$1506,MATCH(K947,BARDAGE!$B$7:$B$1506,0)),"? hors registre"))</f>
        <v/>
      </c>
      <c r="M947" s="80"/>
      <c r="N947" s="81" t="str">
        <f aca="false">IF(M947="","",IFERROR(INDEX(BARDAGE!$C$7:$C$1506,MATCH(M947,BARDAGE!$B$7:$B$1506,0)),"? hors registre"))</f>
        <v/>
      </c>
      <c r="O947" s="80"/>
      <c r="P947" s="80"/>
      <c r="Q947" s="80"/>
      <c r="R947" s="82"/>
      <c r="S947" s="82"/>
      <c r="T947" s="80"/>
      <c r="U947" s="80"/>
      <c r="V947" s="82"/>
      <c r="W947" s="80"/>
      <c r="X947" s="80"/>
      <c r="Y947" s="80"/>
      <c r="Z947" s="80"/>
      <c r="AA947" s="82"/>
      <c r="AB947" s="80"/>
      <c r="AC947" s="80"/>
      <c r="AD947" s="80"/>
      <c r="AE947" s="80"/>
      <c r="AF947" s="82"/>
      <c r="AG947" s="80"/>
      <c r="AH947" s="80"/>
      <c r="AI947" s="82"/>
      <c r="AJ947" s="79"/>
      <c r="AK947" s="78" t="str">
        <f aca="false">IF(E947="","",(X947&lt;&gt;"")+(AC947&lt;&gt;"")+(AH947&lt;&gt;""))</f>
        <v/>
      </c>
      <c r="AL947" s="81" t="str">
        <f aca="false">IF(AH947&lt;&gt;"",AH947,IF(AC947&lt;&gt;"",AC947,IF(X947&lt;&gt;"",X947,"")))</f>
        <v/>
      </c>
      <c r="AM947" s="83" t="str">
        <f aca="false">IF(E947="","",IF(R947="","À SOUDER",IF(U947="","VT EN ATTENTE",IF(U947="R","VT REJETÉ – À REPRENDRE",IF(AL947="","À RADIOGRAPHIER",IF(AL947="A","ACCEPTÉ",IF(AL947="NX","NX – RT À REFAIRE",IF(IF(AK947=1,Z947,IF(AK947=2,AE947,""))="A","RÉPARÉ – À RADIOGRAPHIER",IF(IF(AK947=1,Z947,IF(AK947=2,AE947,""))="R","VT REJETÉ – À REPRENDRE",IF(OR(AL947="CO",AL947="NT"),"COUPE – À RESOUDER","À RÉPARER"))))))))))</f>
        <v/>
      </c>
      <c r="AN947" s="81" t="str">
        <f aca="false">IF(AND(ISNUMBER(R947),OR(AM947="À RADIOGRAPHIER",AM947="RÉPARÉ – À RADIOGRAPHIER",AM947="NX – RT À REFAIRE",AM947="À RÉPARER",AM947="COUPE – À RESOUDER",AM947="VT REJETÉ – À REPRENDRE")),MAX(0,'PROGRAMME RT'!$C$4-R947),"")</f>
        <v/>
      </c>
      <c r="AO947" s="78" t="n">
        <f aca="false">IF(AND(OR(AM947="À RADIOGRAPHIER",AM947="RÉPARÉ – À RADIOGRAPHIER",AM947="NX – RT À REFAIRE"),OR('PROGRAMME RT'!$D$5="TOUTES",B947='PROGRAMME RT'!$D$5)),1,0)</f>
        <v>0</v>
      </c>
      <c r="AP947" s="78" t="str">
        <f aca="false">IF(AO947=1,SUM(AO$7:AO947),"")</f>
        <v/>
      </c>
      <c r="AQ947" s="78" t="n">
        <f aca="false">IF(AND(OR(X947="R",X947="NX",X947="NT",X947="CO"),OR('JOINTS DE RÉPARATION'!$D$5="TOUTES",B947='JOINTS DE RÉPARATION'!$D$5),OR('JOINTS DE RÉPARATION'!$L$4="TOUS",AM947&lt;&gt;"ACCEPTÉ")),1,0)</f>
        <v>0</v>
      </c>
      <c r="AR947" s="78" t="str">
        <f aca="false">IF(AQ947=1,SUM(AQ$7:AQ947),"")</f>
        <v/>
      </c>
    </row>
    <row r="948" customFormat="false" ht="15" hidden="false" customHeight="false" outlineLevel="0" collapsed="false">
      <c r="A948" s="78" t="str">
        <f aca="false">IF(E948="","",ROW()-6)</f>
        <v/>
      </c>
      <c r="B948" s="79"/>
      <c r="C948" s="80"/>
      <c r="D948" s="80"/>
      <c r="E948" s="80"/>
      <c r="F948" s="80"/>
      <c r="G948" s="80"/>
      <c r="H948" s="80"/>
      <c r="I948" s="80"/>
      <c r="J948" s="80"/>
      <c r="K948" s="80"/>
      <c r="L948" s="81" t="str">
        <f aca="false">IF(K948="","",IFERROR(INDEX(BARDAGE!$C$7:$C$1506,MATCH(K948,BARDAGE!$B$7:$B$1506,0)),"? hors registre"))</f>
        <v/>
      </c>
      <c r="M948" s="80"/>
      <c r="N948" s="81" t="str">
        <f aca="false">IF(M948="","",IFERROR(INDEX(BARDAGE!$C$7:$C$1506,MATCH(M948,BARDAGE!$B$7:$B$1506,0)),"? hors registre"))</f>
        <v/>
      </c>
      <c r="O948" s="80"/>
      <c r="P948" s="80"/>
      <c r="Q948" s="80"/>
      <c r="R948" s="82"/>
      <c r="S948" s="82"/>
      <c r="T948" s="80"/>
      <c r="U948" s="80"/>
      <c r="V948" s="82"/>
      <c r="W948" s="80"/>
      <c r="X948" s="80"/>
      <c r="Y948" s="80"/>
      <c r="Z948" s="80"/>
      <c r="AA948" s="82"/>
      <c r="AB948" s="80"/>
      <c r="AC948" s="80"/>
      <c r="AD948" s="80"/>
      <c r="AE948" s="80"/>
      <c r="AF948" s="82"/>
      <c r="AG948" s="80"/>
      <c r="AH948" s="80"/>
      <c r="AI948" s="82"/>
      <c r="AJ948" s="79"/>
      <c r="AK948" s="78" t="str">
        <f aca="false">IF(E948="","",(X948&lt;&gt;"")+(AC948&lt;&gt;"")+(AH948&lt;&gt;""))</f>
        <v/>
      </c>
      <c r="AL948" s="81" t="str">
        <f aca="false">IF(AH948&lt;&gt;"",AH948,IF(AC948&lt;&gt;"",AC948,IF(X948&lt;&gt;"",X948,"")))</f>
        <v/>
      </c>
      <c r="AM948" s="83" t="str">
        <f aca="false">IF(E948="","",IF(R948="","À SOUDER",IF(U948="","VT EN ATTENTE",IF(U948="R","VT REJETÉ – À REPRENDRE",IF(AL948="","À RADIOGRAPHIER",IF(AL948="A","ACCEPTÉ",IF(AL948="NX","NX – RT À REFAIRE",IF(IF(AK948=1,Z948,IF(AK948=2,AE948,""))="A","RÉPARÉ – À RADIOGRAPHIER",IF(IF(AK948=1,Z948,IF(AK948=2,AE948,""))="R","VT REJETÉ – À REPRENDRE",IF(OR(AL948="CO",AL948="NT"),"COUPE – À RESOUDER","À RÉPARER"))))))))))</f>
        <v/>
      </c>
      <c r="AN948" s="81" t="str">
        <f aca="false">IF(AND(ISNUMBER(R948),OR(AM948="À RADIOGRAPHIER",AM948="RÉPARÉ – À RADIOGRAPHIER",AM948="NX – RT À REFAIRE",AM948="À RÉPARER",AM948="COUPE – À RESOUDER",AM948="VT REJETÉ – À REPRENDRE")),MAX(0,'PROGRAMME RT'!$C$4-R948),"")</f>
        <v/>
      </c>
      <c r="AO948" s="78" t="n">
        <f aca="false">IF(AND(OR(AM948="À RADIOGRAPHIER",AM948="RÉPARÉ – À RADIOGRAPHIER",AM948="NX – RT À REFAIRE"),OR('PROGRAMME RT'!$D$5="TOUTES",B948='PROGRAMME RT'!$D$5)),1,0)</f>
        <v>0</v>
      </c>
      <c r="AP948" s="78" t="str">
        <f aca="false">IF(AO948=1,SUM(AO$7:AO948),"")</f>
        <v/>
      </c>
      <c r="AQ948" s="78" t="n">
        <f aca="false">IF(AND(OR(X948="R",X948="NX",X948="NT",X948="CO"),OR('JOINTS DE RÉPARATION'!$D$5="TOUTES",B948='JOINTS DE RÉPARATION'!$D$5),OR('JOINTS DE RÉPARATION'!$L$4="TOUS",AM948&lt;&gt;"ACCEPTÉ")),1,0)</f>
        <v>0</v>
      </c>
      <c r="AR948" s="78" t="str">
        <f aca="false">IF(AQ948=1,SUM(AQ$7:AQ948),"")</f>
        <v/>
      </c>
    </row>
    <row r="949" customFormat="false" ht="15" hidden="false" customHeight="false" outlineLevel="0" collapsed="false">
      <c r="A949" s="78" t="str">
        <f aca="false">IF(E949="","",ROW()-6)</f>
        <v/>
      </c>
      <c r="B949" s="79"/>
      <c r="C949" s="80"/>
      <c r="D949" s="80"/>
      <c r="E949" s="80"/>
      <c r="F949" s="80"/>
      <c r="G949" s="80"/>
      <c r="H949" s="80"/>
      <c r="I949" s="80"/>
      <c r="J949" s="80"/>
      <c r="K949" s="80"/>
      <c r="L949" s="81" t="str">
        <f aca="false">IF(K949="","",IFERROR(INDEX(BARDAGE!$C$7:$C$1506,MATCH(K949,BARDAGE!$B$7:$B$1506,0)),"? hors registre"))</f>
        <v/>
      </c>
      <c r="M949" s="80"/>
      <c r="N949" s="81" t="str">
        <f aca="false">IF(M949="","",IFERROR(INDEX(BARDAGE!$C$7:$C$1506,MATCH(M949,BARDAGE!$B$7:$B$1506,0)),"? hors registre"))</f>
        <v/>
      </c>
      <c r="O949" s="80"/>
      <c r="P949" s="80"/>
      <c r="Q949" s="80"/>
      <c r="R949" s="82"/>
      <c r="S949" s="82"/>
      <c r="T949" s="80"/>
      <c r="U949" s="80"/>
      <c r="V949" s="82"/>
      <c r="W949" s="80"/>
      <c r="X949" s="80"/>
      <c r="Y949" s="80"/>
      <c r="Z949" s="80"/>
      <c r="AA949" s="82"/>
      <c r="AB949" s="80"/>
      <c r="AC949" s="80"/>
      <c r="AD949" s="80"/>
      <c r="AE949" s="80"/>
      <c r="AF949" s="82"/>
      <c r="AG949" s="80"/>
      <c r="AH949" s="80"/>
      <c r="AI949" s="82"/>
      <c r="AJ949" s="79"/>
      <c r="AK949" s="78" t="str">
        <f aca="false">IF(E949="","",(X949&lt;&gt;"")+(AC949&lt;&gt;"")+(AH949&lt;&gt;""))</f>
        <v/>
      </c>
      <c r="AL949" s="81" t="str">
        <f aca="false">IF(AH949&lt;&gt;"",AH949,IF(AC949&lt;&gt;"",AC949,IF(X949&lt;&gt;"",X949,"")))</f>
        <v/>
      </c>
      <c r="AM949" s="83" t="str">
        <f aca="false">IF(E949="","",IF(R949="","À SOUDER",IF(U949="","VT EN ATTENTE",IF(U949="R","VT REJETÉ – À REPRENDRE",IF(AL949="","À RADIOGRAPHIER",IF(AL949="A","ACCEPTÉ",IF(AL949="NX","NX – RT À REFAIRE",IF(IF(AK949=1,Z949,IF(AK949=2,AE949,""))="A","RÉPARÉ – À RADIOGRAPHIER",IF(IF(AK949=1,Z949,IF(AK949=2,AE949,""))="R","VT REJETÉ – À REPRENDRE",IF(OR(AL949="CO",AL949="NT"),"COUPE – À RESOUDER","À RÉPARER"))))))))))</f>
        <v/>
      </c>
      <c r="AN949" s="81" t="str">
        <f aca="false">IF(AND(ISNUMBER(R949),OR(AM949="À RADIOGRAPHIER",AM949="RÉPARÉ – À RADIOGRAPHIER",AM949="NX – RT À REFAIRE",AM949="À RÉPARER",AM949="COUPE – À RESOUDER",AM949="VT REJETÉ – À REPRENDRE")),MAX(0,'PROGRAMME RT'!$C$4-R949),"")</f>
        <v/>
      </c>
      <c r="AO949" s="78" t="n">
        <f aca="false">IF(AND(OR(AM949="À RADIOGRAPHIER",AM949="RÉPARÉ – À RADIOGRAPHIER",AM949="NX – RT À REFAIRE"),OR('PROGRAMME RT'!$D$5="TOUTES",B949='PROGRAMME RT'!$D$5)),1,0)</f>
        <v>0</v>
      </c>
      <c r="AP949" s="78" t="str">
        <f aca="false">IF(AO949=1,SUM(AO$7:AO949),"")</f>
        <v/>
      </c>
      <c r="AQ949" s="78" t="n">
        <f aca="false">IF(AND(OR(X949="R",X949="NX",X949="NT",X949="CO"),OR('JOINTS DE RÉPARATION'!$D$5="TOUTES",B949='JOINTS DE RÉPARATION'!$D$5),OR('JOINTS DE RÉPARATION'!$L$4="TOUS",AM949&lt;&gt;"ACCEPTÉ")),1,0)</f>
        <v>0</v>
      </c>
      <c r="AR949" s="78" t="str">
        <f aca="false">IF(AQ949=1,SUM(AQ$7:AQ949),"")</f>
        <v/>
      </c>
    </row>
    <row r="950" customFormat="false" ht="15" hidden="false" customHeight="false" outlineLevel="0" collapsed="false">
      <c r="A950" s="78" t="str">
        <f aca="false">IF(E950="","",ROW()-6)</f>
        <v/>
      </c>
      <c r="B950" s="79"/>
      <c r="C950" s="80"/>
      <c r="D950" s="80"/>
      <c r="E950" s="80"/>
      <c r="F950" s="80"/>
      <c r="G950" s="80"/>
      <c r="H950" s="80"/>
      <c r="I950" s="80"/>
      <c r="J950" s="80"/>
      <c r="K950" s="80"/>
      <c r="L950" s="81" t="str">
        <f aca="false">IF(K950="","",IFERROR(INDEX(BARDAGE!$C$7:$C$1506,MATCH(K950,BARDAGE!$B$7:$B$1506,0)),"? hors registre"))</f>
        <v/>
      </c>
      <c r="M950" s="80"/>
      <c r="N950" s="81" t="str">
        <f aca="false">IF(M950="","",IFERROR(INDEX(BARDAGE!$C$7:$C$1506,MATCH(M950,BARDAGE!$B$7:$B$1506,0)),"? hors registre"))</f>
        <v/>
      </c>
      <c r="O950" s="80"/>
      <c r="P950" s="80"/>
      <c r="Q950" s="80"/>
      <c r="R950" s="82"/>
      <c r="S950" s="82"/>
      <c r="T950" s="80"/>
      <c r="U950" s="80"/>
      <c r="V950" s="82"/>
      <c r="W950" s="80"/>
      <c r="X950" s="80"/>
      <c r="Y950" s="80"/>
      <c r="Z950" s="80"/>
      <c r="AA950" s="82"/>
      <c r="AB950" s="80"/>
      <c r="AC950" s="80"/>
      <c r="AD950" s="80"/>
      <c r="AE950" s="80"/>
      <c r="AF950" s="82"/>
      <c r="AG950" s="80"/>
      <c r="AH950" s="80"/>
      <c r="AI950" s="82"/>
      <c r="AJ950" s="79"/>
      <c r="AK950" s="78" t="str">
        <f aca="false">IF(E950="","",(X950&lt;&gt;"")+(AC950&lt;&gt;"")+(AH950&lt;&gt;""))</f>
        <v/>
      </c>
      <c r="AL950" s="81" t="str">
        <f aca="false">IF(AH950&lt;&gt;"",AH950,IF(AC950&lt;&gt;"",AC950,IF(X950&lt;&gt;"",X950,"")))</f>
        <v/>
      </c>
      <c r="AM950" s="83" t="str">
        <f aca="false">IF(E950="","",IF(R950="","À SOUDER",IF(U950="","VT EN ATTENTE",IF(U950="R","VT REJETÉ – À REPRENDRE",IF(AL950="","À RADIOGRAPHIER",IF(AL950="A","ACCEPTÉ",IF(AL950="NX","NX – RT À REFAIRE",IF(IF(AK950=1,Z950,IF(AK950=2,AE950,""))="A","RÉPARÉ – À RADIOGRAPHIER",IF(IF(AK950=1,Z950,IF(AK950=2,AE950,""))="R","VT REJETÉ – À REPRENDRE",IF(OR(AL950="CO",AL950="NT"),"COUPE – À RESOUDER","À RÉPARER"))))))))))</f>
        <v/>
      </c>
      <c r="AN950" s="81" t="str">
        <f aca="false">IF(AND(ISNUMBER(R950),OR(AM950="À RADIOGRAPHIER",AM950="RÉPARÉ – À RADIOGRAPHIER",AM950="NX – RT À REFAIRE",AM950="À RÉPARER",AM950="COUPE – À RESOUDER",AM950="VT REJETÉ – À REPRENDRE")),MAX(0,'PROGRAMME RT'!$C$4-R950),"")</f>
        <v/>
      </c>
      <c r="AO950" s="78" t="n">
        <f aca="false">IF(AND(OR(AM950="À RADIOGRAPHIER",AM950="RÉPARÉ – À RADIOGRAPHIER",AM950="NX – RT À REFAIRE"),OR('PROGRAMME RT'!$D$5="TOUTES",B950='PROGRAMME RT'!$D$5)),1,0)</f>
        <v>0</v>
      </c>
      <c r="AP950" s="78" t="str">
        <f aca="false">IF(AO950=1,SUM(AO$7:AO950),"")</f>
        <v/>
      </c>
      <c r="AQ950" s="78" t="n">
        <f aca="false">IF(AND(OR(X950="R",X950="NX",X950="NT",X950="CO"),OR('JOINTS DE RÉPARATION'!$D$5="TOUTES",B950='JOINTS DE RÉPARATION'!$D$5),OR('JOINTS DE RÉPARATION'!$L$4="TOUS",AM950&lt;&gt;"ACCEPTÉ")),1,0)</f>
        <v>0</v>
      </c>
      <c r="AR950" s="78" t="str">
        <f aca="false">IF(AQ950=1,SUM(AQ$7:AQ950),"")</f>
        <v/>
      </c>
    </row>
    <row r="951" customFormat="false" ht="15" hidden="false" customHeight="false" outlineLevel="0" collapsed="false">
      <c r="A951" s="78" t="str">
        <f aca="false">IF(E951="","",ROW()-6)</f>
        <v/>
      </c>
      <c r="B951" s="79"/>
      <c r="C951" s="80"/>
      <c r="D951" s="80"/>
      <c r="E951" s="80"/>
      <c r="F951" s="80"/>
      <c r="G951" s="80"/>
      <c r="H951" s="80"/>
      <c r="I951" s="80"/>
      <c r="J951" s="80"/>
      <c r="K951" s="80"/>
      <c r="L951" s="81" t="str">
        <f aca="false">IF(K951="","",IFERROR(INDEX(BARDAGE!$C$7:$C$1506,MATCH(K951,BARDAGE!$B$7:$B$1506,0)),"? hors registre"))</f>
        <v/>
      </c>
      <c r="M951" s="80"/>
      <c r="N951" s="81" t="str">
        <f aca="false">IF(M951="","",IFERROR(INDEX(BARDAGE!$C$7:$C$1506,MATCH(M951,BARDAGE!$B$7:$B$1506,0)),"? hors registre"))</f>
        <v/>
      </c>
      <c r="O951" s="80"/>
      <c r="P951" s="80"/>
      <c r="Q951" s="80"/>
      <c r="R951" s="82"/>
      <c r="S951" s="82"/>
      <c r="T951" s="80"/>
      <c r="U951" s="80"/>
      <c r="V951" s="82"/>
      <c r="W951" s="80"/>
      <c r="X951" s="80"/>
      <c r="Y951" s="80"/>
      <c r="Z951" s="80"/>
      <c r="AA951" s="82"/>
      <c r="AB951" s="80"/>
      <c r="AC951" s="80"/>
      <c r="AD951" s="80"/>
      <c r="AE951" s="80"/>
      <c r="AF951" s="82"/>
      <c r="AG951" s="80"/>
      <c r="AH951" s="80"/>
      <c r="AI951" s="82"/>
      <c r="AJ951" s="79"/>
      <c r="AK951" s="78" t="str">
        <f aca="false">IF(E951="","",(X951&lt;&gt;"")+(AC951&lt;&gt;"")+(AH951&lt;&gt;""))</f>
        <v/>
      </c>
      <c r="AL951" s="81" t="str">
        <f aca="false">IF(AH951&lt;&gt;"",AH951,IF(AC951&lt;&gt;"",AC951,IF(X951&lt;&gt;"",X951,"")))</f>
        <v/>
      </c>
      <c r="AM951" s="83" t="str">
        <f aca="false">IF(E951="","",IF(R951="","À SOUDER",IF(U951="","VT EN ATTENTE",IF(U951="R","VT REJETÉ – À REPRENDRE",IF(AL951="","À RADIOGRAPHIER",IF(AL951="A","ACCEPTÉ",IF(AL951="NX","NX – RT À REFAIRE",IF(IF(AK951=1,Z951,IF(AK951=2,AE951,""))="A","RÉPARÉ – À RADIOGRAPHIER",IF(IF(AK951=1,Z951,IF(AK951=2,AE951,""))="R","VT REJETÉ – À REPRENDRE",IF(OR(AL951="CO",AL951="NT"),"COUPE – À RESOUDER","À RÉPARER"))))))))))</f>
        <v/>
      </c>
      <c r="AN951" s="81" t="str">
        <f aca="false">IF(AND(ISNUMBER(R951),OR(AM951="À RADIOGRAPHIER",AM951="RÉPARÉ – À RADIOGRAPHIER",AM951="NX – RT À REFAIRE",AM951="À RÉPARER",AM951="COUPE – À RESOUDER",AM951="VT REJETÉ – À REPRENDRE")),MAX(0,'PROGRAMME RT'!$C$4-R951),"")</f>
        <v/>
      </c>
      <c r="AO951" s="78" t="n">
        <f aca="false">IF(AND(OR(AM951="À RADIOGRAPHIER",AM951="RÉPARÉ – À RADIOGRAPHIER",AM951="NX – RT À REFAIRE"),OR('PROGRAMME RT'!$D$5="TOUTES",B951='PROGRAMME RT'!$D$5)),1,0)</f>
        <v>0</v>
      </c>
      <c r="AP951" s="78" t="str">
        <f aca="false">IF(AO951=1,SUM(AO$7:AO951),"")</f>
        <v/>
      </c>
      <c r="AQ951" s="78" t="n">
        <f aca="false">IF(AND(OR(X951="R",X951="NX",X951="NT",X951="CO"),OR('JOINTS DE RÉPARATION'!$D$5="TOUTES",B951='JOINTS DE RÉPARATION'!$D$5),OR('JOINTS DE RÉPARATION'!$L$4="TOUS",AM951&lt;&gt;"ACCEPTÉ")),1,0)</f>
        <v>0</v>
      </c>
      <c r="AR951" s="78" t="str">
        <f aca="false">IF(AQ951=1,SUM(AQ$7:AQ951),"")</f>
        <v/>
      </c>
    </row>
    <row r="952" customFormat="false" ht="15" hidden="false" customHeight="false" outlineLevel="0" collapsed="false">
      <c r="A952" s="78" t="str">
        <f aca="false">IF(E952="","",ROW()-6)</f>
        <v/>
      </c>
      <c r="B952" s="79"/>
      <c r="C952" s="80"/>
      <c r="D952" s="80"/>
      <c r="E952" s="80"/>
      <c r="F952" s="80"/>
      <c r="G952" s="80"/>
      <c r="H952" s="80"/>
      <c r="I952" s="80"/>
      <c r="J952" s="80"/>
      <c r="K952" s="80"/>
      <c r="L952" s="81" t="str">
        <f aca="false">IF(K952="","",IFERROR(INDEX(BARDAGE!$C$7:$C$1506,MATCH(K952,BARDAGE!$B$7:$B$1506,0)),"? hors registre"))</f>
        <v/>
      </c>
      <c r="M952" s="80"/>
      <c r="N952" s="81" t="str">
        <f aca="false">IF(M952="","",IFERROR(INDEX(BARDAGE!$C$7:$C$1506,MATCH(M952,BARDAGE!$B$7:$B$1506,0)),"? hors registre"))</f>
        <v/>
      </c>
      <c r="O952" s="80"/>
      <c r="P952" s="80"/>
      <c r="Q952" s="80"/>
      <c r="R952" s="82"/>
      <c r="S952" s="82"/>
      <c r="T952" s="80"/>
      <c r="U952" s="80"/>
      <c r="V952" s="82"/>
      <c r="W952" s="80"/>
      <c r="X952" s="80"/>
      <c r="Y952" s="80"/>
      <c r="Z952" s="80"/>
      <c r="AA952" s="82"/>
      <c r="AB952" s="80"/>
      <c r="AC952" s="80"/>
      <c r="AD952" s="80"/>
      <c r="AE952" s="80"/>
      <c r="AF952" s="82"/>
      <c r="AG952" s="80"/>
      <c r="AH952" s="80"/>
      <c r="AI952" s="82"/>
      <c r="AJ952" s="79"/>
      <c r="AK952" s="78" t="str">
        <f aca="false">IF(E952="","",(X952&lt;&gt;"")+(AC952&lt;&gt;"")+(AH952&lt;&gt;""))</f>
        <v/>
      </c>
      <c r="AL952" s="81" t="str">
        <f aca="false">IF(AH952&lt;&gt;"",AH952,IF(AC952&lt;&gt;"",AC952,IF(X952&lt;&gt;"",X952,"")))</f>
        <v/>
      </c>
      <c r="AM952" s="83" t="str">
        <f aca="false">IF(E952="","",IF(R952="","À SOUDER",IF(U952="","VT EN ATTENTE",IF(U952="R","VT REJETÉ – À REPRENDRE",IF(AL952="","À RADIOGRAPHIER",IF(AL952="A","ACCEPTÉ",IF(AL952="NX","NX – RT À REFAIRE",IF(IF(AK952=1,Z952,IF(AK952=2,AE952,""))="A","RÉPARÉ – À RADIOGRAPHIER",IF(IF(AK952=1,Z952,IF(AK952=2,AE952,""))="R","VT REJETÉ – À REPRENDRE",IF(OR(AL952="CO",AL952="NT"),"COUPE – À RESOUDER","À RÉPARER"))))))))))</f>
        <v/>
      </c>
      <c r="AN952" s="81" t="str">
        <f aca="false">IF(AND(ISNUMBER(R952),OR(AM952="À RADIOGRAPHIER",AM952="RÉPARÉ – À RADIOGRAPHIER",AM952="NX – RT À REFAIRE",AM952="À RÉPARER",AM952="COUPE – À RESOUDER",AM952="VT REJETÉ – À REPRENDRE")),MAX(0,'PROGRAMME RT'!$C$4-R952),"")</f>
        <v/>
      </c>
      <c r="AO952" s="78" t="n">
        <f aca="false">IF(AND(OR(AM952="À RADIOGRAPHIER",AM952="RÉPARÉ – À RADIOGRAPHIER",AM952="NX – RT À REFAIRE"),OR('PROGRAMME RT'!$D$5="TOUTES",B952='PROGRAMME RT'!$D$5)),1,0)</f>
        <v>0</v>
      </c>
      <c r="AP952" s="78" t="str">
        <f aca="false">IF(AO952=1,SUM(AO$7:AO952),"")</f>
        <v/>
      </c>
      <c r="AQ952" s="78" t="n">
        <f aca="false">IF(AND(OR(X952="R",X952="NX",X952="NT",X952="CO"),OR('JOINTS DE RÉPARATION'!$D$5="TOUTES",B952='JOINTS DE RÉPARATION'!$D$5),OR('JOINTS DE RÉPARATION'!$L$4="TOUS",AM952&lt;&gt;"ACCEPTÉ")),1,0)</f>
        <v>0</v>
      </c>
      <c r="AR952" s="78" t="str">
        <f aca="false">IF(AQ952=1,SUM(AQ$7:AQ952),"")</f>
        <v/>
      </c>
    </row>
    <row r="953" customFormat="false" ht="15" hidden="false" customHeight="false" outlineLevel="0" collapsed="false">
      <c r="A953" s="78" t="str">
        <f aca="false">IF(E953="","",ROW()-6)</f>
        <v/>
      </c>
      <c r="B953" s="79"/>
      <c r="C953" s="80"/>
      <c r="D953" s="80"/>
      <c r="E953" s="80"/>
      <c r="F953" s="80"/>
      <c r="G953" s="80"/>
      <c r="H953" s="80"/>
      <c r="I953" s="80"/>
      <c r="J953" s="80"/>
      <c r="K953" s="80"/>
      <c r="L953" s="81" t="str">
        <f aca="false">IF(K953="","",IFERROR(INDEX(BARDAGE!$C$7:$C$1506,MATCH(K953,BARDAGE!$B$7:$B$1506,0)),"? hors registre"))</f>
        <v/>
      </c>
      <c r="M953" s="80"/>
      <c r="N953" s="81" t="str">
        <f aca="false">IF(M953="","",IFERROR(INDEX(BARDAGE!$C$7:$C$1506,MATCH(M953,BARDAGE!$B$7:$B$1506,0)),"? hors registre"))</f>
        <v/>
      </c>
      <c r="O953" s="80"/>
      <c r="P953" s="80"/>
      <c r="Q953" s="80"/>
      <c r="R953" s="82"/>
      <c r="S953" s="82"/>
      <c r="T953" s="80"/>
      <c r="U953" s="80"/>
      <c r="V953" s="82"/>
      <c r="W953" s="80"/>
      <c r="X953" s="80"/>
      <c r="Y953" s="80"/>
      <c r="Z953" s="80"/>
      <c r="AA953" s="82"/>
      <c r="AB953" s="80"/>
      <c r="AC953" s="80"/>
      <c r="AD953" s="80"/>
      <c r="AE953" s="80"/>
      <c r="AF953" s="82"/>
      <c r="AG953" s="80"/>
      <c r="AH953" s="80"/>
      <c r="AI953" s="82"/>
      <c r="AJ953" s="79"/>
      <c r="AK953" s="78" t="str">
        <f aca="false">IF(E953="","",(X953&lt;&gt;"")+(AC953&lt;&gt;"")+(AH953&lt;&gt;""))</f>
        <v/>
      </c>
      <c r="AL953" s="81" t="str">
        <f aca="false">IF(AH953&lt;&gt;"",AH953,IF(AC953&lt;&gt;"",AC953,IF(X953&lt;&gt;"",X953,"")))</f>
        <v/>
      </c>
      <c r="AM953" s="83" t="str">
        <f aca="false">IF(E953="","",IF(R953="","À SOUDER",IF(U953="","VT EN ATTENTE",IF(U953="R","VT REJETÉ – À REPRENDRE",IF(AL953="","À RADIOGRAPHIER",IF(AL953="A","ACCEPTÉ",IF(AL953="NX","NX – RT À REFAIRE",IF(IF(AK953=1,Z953,IF(AK953=2,AE953,""))="A","RÉPARÉ – À RADIOGRAPHIER",IF(IF(AK953=1,Z953,IF(AK953=2,AE953,""))="R","VT REJETÉ – À REPRENDRE",IF(OR(AL953="CO",AL953="NT"),"COUPE – À RESOUDER","À RÉPARER"))))))))))</f>
        <v/>
      </c>
      <c r="AN953" s="81" t="str">
        <f aca="false">IF(AND(ISNUMBER(R953),OR(AM953="À RADIOGRAPHIER",AM953="RÉPARÉ – À RADIOGRAPHIER",AM953="NX – RT À REFAIRE",AM953="À RÉPARER",AM953="COUPE – À RESOUDER",AM953="VT REJETÉ – À REPRENDRE")),MAX(0,'PROGRAMME RT'!$C$4-R953),"")</f>
        <v/>
      </c>
      <c r="AO953" s="78" t="n">
        <f aca="false">IF(AND(OR(AM953="À RADIOGRAPHIER",AM953="RÉPARÉ – À RADIOGRAPHIER",AM953="NX – RT À REFAIRE"),OR('PROGRAMME RT'!$D$5="TOUTES",B953='PROGRAMME RT'!$D$5)),1,0)</f>
        <v>0</v>
      </c>
      <c r="AP953" s="78" t="str">
        <f aca="false">IF(AO953=1,SUM(AO$7:AO953),"")</f>
        <v/>
      </c>
      <c r="AQ953" s="78" t="n">
        <f aca="false">IF(AND(OR(X953="R",X953="NX",X953="NT",X953="CO"),OR('JOINTS DE RÉPARATION'!$D$5="TOUTES",B953='JOINTS DE RÉPARATION'!$D$5),OR('JOINTS DE RÉPARATION'!$L$4="TOUS",AM953&lt;&gt;"ACCEPTÉ")),1,0)</f>
        <v>0</v>
      </c>
      <c r="AR953" s="78" t="str">
        <f aca="false">IF(AQ953=1,SUM(AQ$7:AQ953),"")</f>
        <v/>
      </c>
    </row>
    <row r="954" customFormat="false" ht="15" hidden="false" customHeight="false" outlineLevel="0" collapsed="false">
      <c r="A954" s="78" t="str">
        <f aca="false">IF(E954="","",ROW()-6)</f>
        <v/>
      </c>
      <c r="B954" s="79"/>
      <c r="C954" s="80"/>
      <c r="D954" s="80"/>
      <c r="E954" s="80"/>
      <c r="F954" s="80"/>
      <c r="G954" s="80"/>
      <c r="H954" s="80"/>
      <c r="I954" s="80"/>
      <c r="J954" s="80"/>
      <c r="K954" s="80"/>
      <c r="L954" s="81" t="str">
        <f aca="false">IF(K954="","",IFERROR(INDEX(BARDAGE!$C$7:$C$1506,MATCH(K954,BARDAGE!$B$7:$B$1506,0)),"? hors registre"))</f>
        <v/>
      </c>
      <c r="M954" s="80"/>
      <c r="N954" s="81" t="str">
        <f aca="false">IF(M954="","",IFERROR(INDEX(BARDAGE!$C$7:$C$1506,MATCH(M954,BARDAGE!$B$7:$B$1506,0)),"? hors registre"))</f>
        <v/>
      </c>
      <c r="O954" s="80"/>
      <c r="P954" s="80"/>
      <c r="Q954" s="80"/>
      <c r="R954" s="82"/>
      <c r="S954" s="82"/>
      <c r="T954" s="80"/>
      <c r="U954" s="80"/>
      <c r="V954" s="82"/>
      <c r="W954" s="80"/>
      <c r="X954" s="80"/>
      <c r="Y954" s="80"/>
      <c r="Z954" s="80"/>
      <c r="AA954" s="82"/>
      <c r="AB954" s="80"/>
      <c r="AC954" s="80"/>
      <c r="AD954" s="80"/>
      <c r="AE954" s="80"/>
      <c r="AF954" s="82"/>
      <c r="AG954" s="80"/>
      <c r="AH954" s="80"/>
      <c r="AI954" s="82"/>
      <c r="AJ954" s="79"/>
      <c r="AK954" s="78" t="str">
        <f aca="false">IF(E954="","",(X954&lt;&gt;"")+(AC954&lt;&gt;"")+(AH954&lt;&gt;""))</f>
        <v/>
      </c>
      <c r="AL954" s="81" t="str">
        <f aca="false">IF(AH954&lt;&gt;"",AH954,IF(AC954&lt;&gt;"",AC954,IF(X954&lt;&gt;"",X954,"")))</f>
        <v/>
      </c>
      <c r="AM954" s="83" t="str">
        <f aca="false">IF(E954="","",IF(R954="","À SOUDER",IF(U954="","VT EN ATTENTE",IF(U954="R","VT REJETÉ – À REPRENDRE",IF(AL954="","À RADIOGRAPHIER",IF(AL954="A","ACCEPTÉ",IF(AL954="NX","NX – RT À REFAIRE",IF(IF(AK954=1,Z954,IF(AK954=2,AE954,""))="A","RÉPARÉ – À RADIOGRAPHIER",IF(IF(AK954=1,Z954,IF(AK954=2,AE954,""))="R","VT REJETÉ – À REPRENDRE",IF(OR(AL954="CO",AL954="NT"),"COUPE – À RESOUDER","À RÉPARER"))))))))))</f>
        <v/>
      </c>
      <c r="AN954" s="81" t="str">
        <f aca="false">IF(AND(ISNUMBER(R954),OR(AM954="À RADIOGRAPHIER",AM954="RÉPARÉ – À RADIOGRAPHIER",AM954="NX – RT À REFAIRE",AM954="À RÉPARER",AM954="COUPE – À RESOUDER",AM954="VT REJETÉ – À REPRENDRE")),MAX(0,'PROGRAMME RT'!$C$4-R954),"")</f>
        <v/>
      </c>
      <c r="AO954" s="78" t="n">
        <f aca="false">IF(AND(OR(AM954="À RADIOGRAPHIER",AM954="RÉPARÉ – À RADIOGRAPHIER",AM954="NX – RT À REFAIRE"),OR('PROGRAMME RT'!$D$5="TOUTES",B954='PROGRAMME RT'!$D$5)),1,0)</f>
        <v>0</v>
      </c>
      <c r="AP954" s="78" t="str">
        <f aca="false">IF(AO954=1,SUM(AO$7:AO954),"")</f>
        <v/>
      </c>
      <c r="AQ954" s="78" t="n">
        <f aca="false">IF(AND(OR(X954="R",X954="NX",X954="NT",X954="CO"),OR('JOINTS DE RÉPARATION'!$D$5="TOUTES",B954='JOINTS DE RÉPARATION'!$D$5),OR('JOINTS DE RÉPARATION'!$L$4="TOUS",AM954&lt;&gt;"ACCEPTÉ")),1,0)</f>
        <v>0</v>
      </c>
      <c r="AR954" s="78" t="str">
        <f aca="false">IF(AQ954=1,SUM(AQ$7:AQ954),"")</f>
        <v/>
      </c>
    </row>
    <row r="955" customFormat="false" ht="15" hidden="false" customHeight="false" outlineLevel="0" collapsed="false">
      <c r="A955" s="78" t="str">
        <f aca="false">IF(E955="","",ROW()-6)</f>
        <v/>
      </c>
      <c r="B955" s="79"/>
      <c r="C955" s="80"/>
      <c r="D955" s="80"/>
      <c r="E955" s="80"/>
      <c r="F955" s="80"/>
      <c r="G955" s="80"/>
      <c r="H955" s="80"/>
      <c r="I955" s="80"/>
      <c r="J955" s="80"/>
      <c r="K955" s="80"/>
      <c r="L955" s="81" t="str">
        <f aca="false">IF(K955="","",IFERROR(INDEX(BARDAGE!$C$7:$C$1506,MATCH(K955,BARDAGE!$B$7:$B$1506,0)),"? hors registre"))</f>
        <v/>
      </c>
      <c r="M955" s="80"/>
      <c r="N955" s="81" t="str">
        <f aca="false">IF(M955="","",IFERROR(INDEX(BARDAGE!$C$7:$C$1506,MATCH(M955,BARDAGE!$B$7:$B$1506,0)),"? hors registre"))</f>
        <v/>
      </c>
      <c r="O955" s="80"/>
      <c r="P955" s="80"/>
      <c r="Q955" s="80"/>
      <c r="R955" s="82"/>
      <c r="S955" s="82"/>
      <c r="T955" s="80"/>
      <c r="U955" s="80"/>
      <c r="V955" s="82"/>
      <c r="W955" s="80"/>
      <c r="X955" s="80"/>
      <c r="Y955" s="80"/>
      <c r="Z955" s="80"/>
      <c r="AA955" s="82"/>
      <c r="AB955" s="80"/>
      <c r="AC955" s="80"/>
      <c r="AD955" s="80"/>
      <c r="AE955" s="80"/>
      <c r="AF955" s="82"/>
      <c r="AG955" s="80"/>
      <c r="AH955" s="80"/>
      <c r="AI955" s="82"/>
      <c r="AJ955" s="79"/>
      <c r="AK955" s="78" t="str">
        <f aca="false">IF(E955="","",(X955&lt;&gt;"")+(AC955&lt;&gt;"")+(AH955&lt;&gt;""))</f>
        <v/>
      </c>
      <c r="AL955" s="81" t="str">
        <f aca="false">IF(AH955&lt;&gt;"",AH955,IF(AC955&lt;&gt;"",AC955,IF(X955&lt;&gt;"",X955,"")))</f>
        <v/>
      </c>
      <c r="AM955" s="83" t="str">
        <f aca="false">IF(E955="","",IF(R955="","À SOUDER",IF(U955="","VT EN ATTENTE",IF(U955="R","VT REJETÉ – À REPRENDRE",IF(AL955="","À RADIOGRAPHIER",IF(AL955="A","ACCEPTÉ",IF(AL955="NX","NX – RT À REFAIRE",IF(IF(AK955=1,Z955,IF(AK955=2,AE955,""))="A","RÉPARÉ – À RADIOGRAPHIER",IF(IF(AK955=1,Z955,IF(AK955=2,AE955,""))="R","VT REJETÉ – À REPRENDRE",IF(OR(AL955="CO",AL955="NT"),"COUPE – À RESOUDER","À RÉPARER"))))))))))</f>
        <v/>
      </c>
      <c r="AN955" s="81" t="str">
        <f aca="false">IF(AND(ISNUMBER(R955),OR(AM955="À RADIOGRAPHIER",AM955="RÉPARÉ – À RADIOGRAPHIER",AM955="NX – RT À REFAIRE",AM955="À RÉPARER",AM955="COUPE – À RESOUDER",AM955="VT REJETÉ – À REPRENDRE")),MAX(0,'PROGRAMME RT'!$C$4-R955),"")</f>
        <v/>
      </c>
      <c r="AO955" s="78" t="n">
        <f aca="false">IF(AND(OR(AM955="À RADIOGRAPHIER",AM955="RÉPARÉ – À RADIOGRAPHIER",AM955="NX – RT À REFAIRE"),OR('PROGRAMME RT'!$D$5="TOUTES",B955='PROGRAMME RT'!$D$5)),1,0)</f>
        <v>0</v>
      </c>
      <c r="AP955" s="78" t="str">
        <f aca="false">IF(AO955=1,SUM(AO$7:AO955),"")</f>
        <v/>
      </c>
      <c r="AQ955" s="78" t="n">
        <f aca="false">IF(AND(OR(X955="R",X955="NX",X955="NT",X955="CO"),OR('JOINTS DE RÉPARATION'!$D$5="TOUTES",B955='JOINTS DE RÉPARATION'!$D$5),OR('JOINTS DE RÉPARATION'!$L$4="TOUS",AM955&lt;&gt;"ACCEPTÉ")),1,0)</f>
        <v>0</v>
      </c>
      <c r="AR955" s="78" t="str">
        <f aca="false">IF(AQ955=1,SUM(AQ$7:AQ955),"")</f>
        <v/>
      </c>
    </row>
    <row r="956" customFormat="false" ht="15" hidden="false" customHeight="false" outlineLevel="0" collapsed="false">
      <c r="A956" s="78" t="str">
        <f aca="false">IF(E956="","",ROW()-6)</f>
        <v/>
      </c>
      <c r="B956" s="79"/>
      <c r="C956" s="80"/>
      <c r="D956" s="80"/>
      <c r="E956" s="80"/>
      <c r="F956" s="80"/>
      <c r="G956" s="80"/>
      <c r="H956" s="80"/>
      <c r="I956" s="80"/>
      <c r="J956" s="80"/>
      <c r="K956" s="80"/>
      <c r="L956" s="81" t="str">
        <f aca="false">IF(K956="","",IFERROR(INDEX(BARDAGE!$C$7:$C$1506,MATCH(K956,BARDAGE!$B$7:$B$1506,0)),"? hors registre"))</f>
        <v/>
      </c>
      <c r="M956" s="80"/>
      <c r="N956" s="81" t="str">
        <f aca="false">IF(M956="","",IFERROR(INDEX(BARDAGE!$C$7:$C$1506,MATCH(M956,BARDAGE!$B$7:$B$1506,0)),"? hors registre"))</f>
        <v/>
      </c>
      <c r="O956" s="80"/>
      <c r="P956" s="80"/>
      <c r="Q956" s="80"/>
      <c r="R956" s="82"/>
      <c r="S956" s="82"/>
      <c r="T956" s="80"/>
      <c r="U956" s="80"/>
      <c r="V956" s="82"/>
      <c r="W956" s="80"/>
      <c r="X956" s="80"/>
      <c r="Y956" s="80"/>
      <c r="Z956" s="80"/>
      <c r="AA956" s="82"/>
      <c r="AB956" s="80"/>
      <c r="AC956" s="80"/>
      <c r="AD956" s="80"/>
      <c r="AE956" s="80"/>
      <c r="AF956" s="82"/>
      <c r="AG956" s="80"/>
      <c r="AH956" s="80"/>
      <c r="AI956" s="82"/>
      <c r="AJ956" s="79"/>
      <c r="AK956" s="78" t="str">
        <f aca="false">IF(E956="","",(X956&lt;&gt;"")+(AC956&lt;&gt;"")+(AH956&lt;&gt;""))</f>
        <v/>
      </c>
      <c r="AL956" s="81" t="str">
        <f aca="false">IF(AH956&lt;&gt;"",AH956,IF(AC956&lt;&gt;"",AC956,IF(X956&lt;&gt;"",X956,"")))</f>
        <v/>
      </c>
      <c r="AM956" s="83" t="str">
        <f aca="false">IF(E956="","",IF(R956="","À SOUDER",IF(U956="","VT EN ATTENTE",IF(U956="R","VT REJETÉ – À REPRENDRE",IF(AL956="","À RADIOGRAPHIER",IF(AL956="A","ACCEPTÉ",IF(AL956="NX","NX – RT À REFAIRE",IF(IF(AK956=1,Z956,IF(AK956=2,AE956,""))="A","RÉPARÉ – À RADIOGRAPHIER",IF(IF(AK956=1,Z956,IF(AK956=2,AE956,""))="R","VT REJETÉ – À REPRENDRE",IF(OR(AL956="CO",AL956="NT"),"COUPE – À RESOUDER","À RÉPARER"))))))))))</f>
        <v/>
      </c>
      <c r="AN956" s="81" t="str">
        <f aca="false">IF(AND(ISNUMBER(R956),OR(AM956="À RADIOGRAPHIER",AM956="RÉPARÉ – À RADIOGRAPHIER",AM956="NX – RT À REFAIRE",AM956="À RÉPARER",AM956="COUPE – À RESOUDER",AM956="VT REJETÉ – À REPRENDRE")),MAX(0,'PROGRAMME RT'!$C$4-R956),"")</f>
        <v/>
      </c>
      <c r="AO956" s="78" t="n">
        <f aca="false">IF(AND(OR(AM956="À RADIOGRAPHIER",AM956="RÉPARÉ – À RADIOGRAPHIER",AM956="NX – RT À REFAIRE"),OR('PROGRAMME RT'!$D$5="TOUTES",B956='PROGRAMME RT'!$D$5)),1,0)</f>
        <v>0</v>
      </c>
      <c r="AP956" s="78" t="str">
        <f aca="false">IF(AO956=1,SUM(AO$7:AO956),"")</f>
        <v/>
      </c>
      <c r="AQ956" s="78" t="n">
        <f aca="false">IF(AND(OR(X956="R",X956="NX",X956="NT",X956="CO"),OR('JOINTS DE RÉPARATION'!$D$5="TOUTES",B956='JOINTS DE RÉPARATION'!$D$5),OR('JOINTS DE RÉPARATION'!$L$4="TOUS",AM956&lt;&gt;"ACCEPTÉ")),1,0)</f>
        <v>0</v>
      </c>
      <c r="AR956" s="78" t="str">
        <f aca="false">IF(AQ956=1,SUM(AQ$7:AQ956),"")</f>
        <v/>
      </c>
    </row>
    <row r="957" customFormat="false" ht="15" hidden="false" customHeight="false" outlineLevel="0" collapsed="false">
      <c r="A957" s="78" t="str">
        <f aca="false">IF(E957="","",ROW()-6)</f>
        <v/>
      </c>
      <c r="B957" s="79"/>
      <c r="C957" s="80"/>
      <c r="D957" s="80"/>
      <c r="E957" s="80"/>
      <c r="F957" s="80"/>
      <c r="G957" s="80"/>
      <c r="H957" s="80"/>
      <c r="I957" s="80"/>
      <c r="J957" s="80"/>
      <c r="K957" s="80"/>
      <c r="L957" s="81" t="str">
        <f aca="false">IF(K957="","",IFERROR(INDEX(BARDAGE!$C$7:$C$1506,MATCH(K957,BARDAGE!$B$7:$B$1506,0)),"? hors registre"))</f>
        <v/>
      </c>
      <c r="M957" s="80"/>
      <c r="N957" s="81" t="str">
        <f aca="false">IF(M957="","",IFERROR(INDEX(BARDAGE!$C$7:$C$1506,MATCH(M957,BARDAGE!$B$7:$B$1506,0)),"? hors registre"))</f>
        <v/>
      </c>
      <c r="O957" s="80"/>
      <c r="P957" s="80"/>
      <c r="Q957" s="80"/>
      <c r="R957" s="82"/>
      <c r="S957" s="82"/>
      <c r="T957" s="80"/>
      <c r="U957" s="80"/>
      <c r="V957" s="82"/>
      <c r="W957" s="80"/>
      <c r="X957" s="80"/>
      <c r="Y957" s="80"/>
      <c r="Z957" s="80"/>
      <c r="AA957" s="82"/>
      <c r="AB957" s="80"/>
      <c r="AC957" s="80"/>
      <c r="AD957" s="80"/>
      <c r="AE957" s="80"/>
      <c r="AF957" s="82"/>
      <c r="AG957" s="80"/>
      <c r="AH957" s="80"/>
      <c r="AI957" s="82"/>
      <c r="AJ957" s="79"/>
      <c r="AK957" s="78" t="str">
        <f aca="false">IF(E957="","",(X957&lt;&gt;"")+(AC957&lt;&gt;"")+(AH957&lt;&gt;""))</f>
        <v/>
      </c>
      <c r="AL957" s="81" t="str">
        <f aca="false">IF(AH957&lt;&gt;"",AH957,IF(AC957&lt;&gt;"",AC957,IF(X957&lt;&gt;"",X957,"")))</f>
        <v/>
      </c>
      <c r="AM957" s="83" t="str">
        <f aca="false">IF(E957="","",IF(R957="","À SOUDER",IF(U957="","VT EN ATTENTE",IF(U957="R","VT REJETÉ – À REPRENDRE",IF(AL957="","À RADIOGRAPHIER",IF(AL957="A","ACCEPTÉ",IF(AL957="NX","NX – RT À REFAIRE",IF(IF(AK957=1,Z957,IF(AK957=2,AE957,""))="A","RÉPARÉ – À RADIOGRAPHIER",IF(IF(AK957=1,Z957,IF(AK957=2,AE957,""))="R","VT REJETÉ – À REPRENDRE",IF(OR(AL957="CO",AL957="NT"),"COUPE – À RESOUDER","À RÉPARER"))))))))))</f>
        <v/>
      </c>
      <c r="AN957" s="81" t="str">
        <f aca="false">IF(AND(ISNUMBER(R957),OR(AM957="À RADIOGRAPHIER",AM957="RÉPARÉ – À RADIOGRAPHIER",AM957="NX – RT À REFAIRE",AM957="À RÉPARER",AM957="COUPE – À RESOUDER",AM957="VT REJETÉ – À REPRENDRE")),MAX(0,'PROGRAMME RT'!$C$4-R957),"")</f>
        <v/>
      </c>
      <c r="AO957" s="78" t="n">
        <f aca="false">IF(AND(OR(AM957="À RADIOGRAPHIER",AM957="RÉPARÉ – À RADIOGRAPHIER",AM957="NX – RT À REFAIRE"),OR('PROGRAMME RT'!$D$5="TOUTES",B957='PROGRAMME RT'!$D$5)),1,0)</f>
        <v>0</v>
      </c>
      <c r="AP957" s="78" t="str">
        <f aca="false">IF(AO957=1,SUM(AO$7:AO957),"")</f>
        <v/>
      </c>
      <c r="AQ957" s="78" t="n">
        <f aca="false">IF(AND(OR(X957="R",X957="NX",X957="NT",X957="CO"),OR('JOINTS DE RÉPARATION'!$D$5="TOUTES",B957='JOINTS DE RÉPARATION'!$D$5),OR('JOINTS DE RÉPARATION'!$L$4="TOUS",AM957&lt;&gt;"ACCEPTÉ")),1,0)</f>
        <v>0</v>
      </c>
      <c r="AR957" s="78" t="str">
        <f aca="false">IF(AQ957=1,SUM(AQ$7:AQ957),"")</f>
        <v/>
      </c>
    </row>
    <row r="958" customFormat="false" ht="15" hidden="false" customHeight="false" outlineLevel="0" collapsed="false">
      <c r="A958" s="78" t="str">
        <f aca="false">IF(E958="","",ROW()-6)</f>
        <v/>
      </c>
      <c r="B958" s="79"/>
      <c r="C958" s="80"/>
      <c r="D958" s="80"/>
      <c r="E958" s="80"/>
      <c r="F958" s="80"/>
      <c r="G958" s="80"/>
      <c r="H958" s="80"/>
      <c r="I958" s="80"/>
      <c r="J958" s="80"/>
      <c r="K958" s="80"/>
      <c r="L958" s="81" t="str">
        <f aca="false">IF(K958="","",IFERROR(INDEX(BARDAGE!$C$7:$C$1506,MATCH(K958,BARDAGE!$B$7:$B$1506,0)),"? hors registre"))</f>
        <v/>
      </c>
      <c r="M958" s="80"/>
      <c r="N958" s="81" t="str">
        <f aca="false">IF(M958="","",IFERROR(INDEX(BARDAGE!$C$7:$C$1506,MATCH(M958,BARDAGE!$B$7:$B$1506,0)),"? hors registre"))</f>
        <v/>
      </c>
      <c r="O958" s="80"/>
      <c r="P958" s="80"/>
      <c r="Q958" s="80"/>
      <c r="R958" s="82"/>
      <c r="S958" s="82"/>
      <c r="T958" s="80"/>
      <c r="U958" s="80"/>
      <c r="V958" s="82"/>
      <c r="W958" s="80"/>
      <c r="X958" s="80"/>
      <c r="Y958" s="80"/>
      <c r="Z958" s="80"/>
      <c r="AA958" s="82"/>
      <c r="AB958" s="80"/>
      <c r="AC958" s="80"/>
      <c r="AD958" s="80"/>
      <c r="AE958" s="80"/>
      <c r="AF958" s="82"/>
      <c r="AG958" s="80"/>
      <c r="AH958" s="80"/>
      <c r="AI958" s="82"/>
      <c r="AJ958" s="79"/>
      <c r="AK958" s="78" t="str">
        <f aca="false">IF(E958="","",(X958&lt;&gt;"")+(AC958&lt;&gt;"")+(AH958&lt;&gt;""))</f>
        <v/>
      </c>
      <c r="AL958" s="81" t="str">
        <f aca="false">IF(AH958&lt;&gt;"",AH958,IF(AC958&lt;&gt;"",AC958,IF(X958&lt;&gt;"",X958,"")))</f>
        <v/>
      </c>
      <c r="AM958" s="83" t="str">
        <f aca="false">IF(E958="","",IF(R958="","À SOUDER",IF(U958="","VT EN ATTENTE",IF(U958="R","VT REJETÉ – À REPRENDRE",IF(AL958="","À RADIOGRAPHIER",IF(AL958="A","ACCEPTÉ",IF(AL958="NX","NX – RT À REFAIRE",IF(IF(AK958=1,Z958,IF(AK958=2,AE958,""))="A","RÉPARÉ – À RADIOGRAPHIER",IF(IF(AK958=1,Z958,IF(AK958=2,AE958,""))="R","VT REJETÉ – À REPRENDRE",IF(OR(AL958="CO",AL958="NT"),"COUPE – À RESOUDER","À RÉPARER"))))))))))</f>
        <v/>
      </c>
      <c r="AN958" s="81" t="str">
        <f aca="false">IF(AND(ISNUMBER(R958),OR(AM958="À RADIOGRAPHIER",AM958="RÉPARÉ – À RADIOGRAPHIER",AM958="NX – RT À REFAIRE",AM958="À RÉPARER",AM958="COUPE – À RESOUDER",AM958="VT REJETÉ – À REPRENDRE")),MAX(0,'PROGRAMME RT'!$C$4-R958),"")</f>
        <v/>
      </c>
      <c r="AO958" s="78" t="n">
        <f aca="false">IF(AND(OR(AM958="À RADIOGRAPHIER",AM958="RÉPARÉ – À RADIOGRAPHIER",AM958="NX – RT À REFAIRE"),OR('PROGRAMME RT'!$D$5="TOUTES",B958='PROGRAMME RT'!$D$5)),1,0)</f>
        <v>0</v>
      </c>
      <c r="AP958" s="78" t="str">
        <f aca="false">IF(AO958=1,SUM(AO$7:AO958),"")</f>
        <v/>
      </c>
      <c r="AQ958" s="78" t="n">
        <f aca="false">IF(AND(OR(X958="R",X958="NX",X958="NT",X958="CO"),OR('JOINTS DE RÉPARATION'!$D$5="TOUTES",B958='JOINTS DE RÉPARATION'!$D$5),OR('JOINTS DE RÉPARATION'!$L$4="TOUS",AM958&lt;&gt;"ACCEPTÉ")),1,0)</f>
        <v>0</v>
      </c>
      <c r="AR958" s="78" t="str">
        <f aca="false">IF(AQ958=1,SUM(AQ$7:AQ958),"")</f>
        <v/>
      </c>
    </row>
    <row r="959" customFormat="false" ht="15" hidden="false" customHeight="false" outlineLevel="0" collapsed="false">
      <c r="A959" s="78" t="str">
        <f aca="false">IF(E959="","",ROW()-6)</f>
        <v/>
      </c>
      <c r="B959" s="79"/>
      <c r="C959" s="80"/>
      <c r="D959" s="80"/>
      <c r="E959" s="80"/>
      <c r="F959" s="80"/>
      <c r="G959" s="80"/>
      <c r="H959" s="80"/>
      <c r="I959" s="80"/>
      <c r="J959" s="80"/>
      <c r="K959" s="80"/>
      <c r="L959" s="81" t="str">
        <f aca="false">IF(K959="","",IFERROR(INDEX(BARDAGE!$C$7:$C$1506,MATCH(K959,BARDAGE!$B$7:$B$1506,0)),"? hors registre"))</f>
        <v/>
      </c>
      <c r="M959" s="80"/>
      <c r="N959" s="81" t="str">
        <f aca="false">IF(M959="","",IFERROR(INDEX(BARDAGE!$C$7:$C$1506,MATCH(M959,BARDAGE!$B$7:$B$1506,0)),"? hors registre"))</f>
        <v/>
      </c>
      <c r="O959" s="80"/>
      <c r="P959" s="80"/>
      <c r="Q959" s="80"/>
      <c r="R959" s="82"/>
      <c r="S959" s="82"/>
      <c r="T959" s="80"/>
      <c r="U959" s="80"/>
      <c r="V959" s="82"/>
      <c r="W959" s="80"/>
      <c r="X959" s="80"/>
      <c r="Y959" s="80"/>
      <c r="Z959" s="80"/>
      <c r="AA959" s="82"/>
      <c r="AB959" s="80"/>
      <c r="AC959" s="80"/>
      <c r="AD959" s="80"/>
      <c r="AE959" s="80"/>
      <c r="AF959" s="82"/>
      <c r="AG959" s="80"/>
      <c r="AH959" s="80"/>
      <c r="AI959" s="82"/>
      <c r="AJ959" s="79"/>
      <c r="AK959" s="78" t="str">
        <f aca="false">IF(E959="","",(X959&lt;&gt;"")+(AC959&lt;&gt;"")+(AH959&lt;&gt;""))</f>
        <v/>
      </c>
      <c r="AL959" s="81" t="str">
        <f aca="false">IF(AH959&lt;&gt;"",AH959,IF(AC959&lt;&gt;"",AC959,IF(X959&lt;&gt;"",X959,"")))</f>
        <v/>
      </c>
      <c r="AM959" s="83" t="str">
        <f aca="false">IF(E959="","",IF(R959="","À SOUDER",IF(U959="","VT EN ATTENTE",IF(U959="R","VT REJETÉ – À REPRENDRE",IF(AL959="","À RADIOGRAPHIER",IF(AL959="A","ACCEPTÉ",IF(AL959="NX","NX – RT À REFAIRE",IF(IF(AK959=1,Z959,IF(AK959=2,AE959,""))="A","RÉPARÉ – À RADIOGRAPHIER",IF(IF(AK959=1,Z959,IF(AK959=2,AE959,""))="R","VT REJETÉ – À REPRENDRE",IF(OR(AL959="CO",AL959="NT"),"COUPE – À RESOUDER","À RÉPARER"))))))))))</f>
        <v/>
      </c>
      <c r="AN959" s="81" t="str">
        <f aca="false">IF(AND(ISNUMBER(R959),OR(AM959="À RADIOGRAPHIER",AM959="RÉPARÉ – À RADIOGRAPHIER",AM959="NX – RT À REFAIRE",AM959="À RÉPARER",AM959="COUPE – À RESOUDER",AM959="VT REJETÉ – À REPRENDRE")),MAX(0,'PROGRAMME RT'!$C$4-R959),"")</f>
        <v/>
      </c>
      <c r="AO959" s="78" t="n">
        <f aca="false">IF(AND(OR(AM959="À RADIOGRAPHIER",AM959="RÉPARÉ – À RADIOGRAPHIER",AM959="NX – RT À REFAIRE"),OR('PROGRAMME RT'!$D$5="TOUTES",B959='PROGRAMME RT'!$D$5)),1,0)</f>
        <v>0</v>
      </c>
      <c r="AP959" s="78" t="str">
        <f aca="false">IF(AO959=1,SUM(AO$7:AO959),"")</f>
        <v/>
      </c>
      <c r="AQ959" s="78" t="n">
        <f aca="false">IF(AND(OR(X959="R",X959="NX",X959="NT",X959="CO"),OR('JOINTS DE RÉPARATION'!$D$5="TOUTES",B959='JOINTS DE RÉPARATION'!$D$5),OR('JOINTS DE RÉPARATION'!$L$4="TOUS",AM959&lt;&gt;"ACCEPTÉ")),1,0)</f>
        <v>0</v>
      </c>
      <c r="AR959" s="78" t="str">
        <f aca="false">IF(AQ959=1,SUM(AQ$7:AQ959),"")</f>
        <v/>
      </c>
    </row>
    <row r="960" customFormat="false" ht="15" hidden="false" customHeight="false" outlineLevel="0" collapsed="false">
      <c r="A960" s="78" t="str">
        <f aca="false">IF(E960="","",ROW()-6)</f>
        <v/>
      </c>
      <c r="B960" s="79"/>
      <c r="C960" s="80"/>
      <c r="D960" s="80"/>
      <c r="E960" s="80"/>
      <c r="F960" s="80"/>
      <c r="G960" s="80"/>
      <c r="H960" s="80"/>
      <c r="I960" s="80"/>
      <c r="J960" s="80"/>
      <c r="K960" s="80"/>
      <c r="L960" s="81" t="str">
        <f aca="false">IF(K960="","",IFERROR(INDEX(BARDAGE!$C$7:$C$1506,MATCH(K960,BARDAGE!$B$7:$B$1506,0)),"? hors registre"))</f>
        <v/>
      </c>
      <c r="M960" s="80"/>
      <c r="N960" s="81" t="str">
        <f aca="false">IF(M960="","",IFERROR(INDEX(BARDAGE!$C$7:$C$1506,MATCH(M960,BARDAGE!$B$7:$B$1506,0)),"? hors registre"))</f>
        <v/>
      </c>
      <c r="O960" s="80"/>
      <c r="P960" s="80"/>
      <c r="Q960" s="80"/>
      <c r="R960" s="82"/>
      <c r="S960" s="82"/>
      <c r="T960" s="80"/>
      <c r="U960" s="80"/>
      <c r="V960" s="82"/>
      <c r="W960" s="80"/>
      <c r="X960" s="80"/>
      <c r="Y960" s="80"/>
      <c r="Z960" s="80"/>
      <c r="AA960" s="82"/>
      <c r="AB960" s="80"/>
      <c r="AC960" s="80"/>
      <c r="AD960" s="80"/>
      <c r="AE960" s="80"/>
      <c r="AF960" s="82"/>
      <c r="AG960" s="80"/>
      <c r="AH960" s="80"/>
      <c r="AI960" s="82"/>
      <c r="AJ960" s="79"/>
      <c r="AK960" s="78" t="str">
        <f aca="false">IF(E960="","",(X960&lt;&gt;"")+(AC960&lt;&gt;"")+(AH960&lt;&gt;""))</f>
        <v/>
      </c>
      <c r="AL960" s="81" t="str">
        <f aca="false">IF(AH960&lt;&gt;"",AH960,IF(AC960&lt;&gt;"",AC960,IF(X960&lt;&gt;"",X960,"")))</f>
        <v/>
      </c>
      <c r="AM960" s="83" t="str">
        <f aca="false">IF(E960="","",IF(R960="","À SOUDER",IF(U960="","VT EN ATTENTE",IF(U960="R","VT REJETÉ – À REPRENDRE",IF(AL960="","À RADIOGRAPHIER",IF(AL960="A","ACCEPTÉ",IF(AL960="NX","NX – RT À REFAIRE",IF(IF(AK960=1,Z960,IF(AK960=2,AE960,""))="A","RÉPARÉ – À RADIOGRAPHIER",IF(IF(AK960=1,Z960,IF(AK960=2,AE960,""))="R","VT REJETÉ – À REPRENDRE",IF(OR(AL960="CO",AL960="NT"),"COUPE – À RESOUDER","À RÉPARER"))))))))))</f>
        <v/>
      </c>
      <c r="AN960" s="81" t="str">
        <f aca="false">IF(AND(ISNUMBER(R960),OR(AM960="À RADIOGRAPHIER",AM960="RÉPARÉ – À RADIOGRAPHIER",AM960="NX – RT À REFAIRE",AM960="À RÉPARER",AM960="COUPE – À RESOUDER",AM960="VT REJETÉ – À REPRENDRE")),MAX(0,'PROGRAMME RT'!$C$4-R960),"")</f>
        <v/>
      </c>
      <c r="AO960" s="78" t="n">
        <f aca="false">IF(AND(OR(AM960="À RADIOGRAPHIER",AM960="RÉPARÉ – À RADIOGRAPHIER",AM960="NX – RT À REFAIRE"),OR('PROGRAMME RT'!$D$5="TOUTES",B960='PROGRAMME RT'!$D$5)),1,0)</f>
        <v>0</v>
      </c>
      <c r="AP960" s="78" t="str">
        <f aca="false">IF(AO960=1,SUM(AO$7:AO960),"")</f>
        <v/>
      </c>
      <c r="AQ960" s="78" t="n">
        <f aca="false">IF(AND(OR(X960="R",X960="NX",X960="NT",X960="CO"),OR('JOINTS DE RÉPARATION'!$D$5="TOUTES",B960='JOINTS DE RÉPARATION'!$D$5),OR('JOINTS DE RÉPARATION'!$L$4="TOUS",AM960&lt;&gt;"ACCEPTÉ")),1,0)</f>
        <v>0</v>
      </c>
      <c r="AR960" s="78" t="str">
        <f aca="false">IF(AQ960=1,SUM(AQ$7:AQ960),"")</f>
        <v/>
      </c>
    </row>
    <row r="961" customFormat="false" ht="15" hidden="false" customHeight="false" outlineLevel="0" collapsed="false">
      <c r="A961" s="78" t="str">
        <f aca="false">IF(E961="","",ROW()-6)</f>
        <v/>
      </c>
      <c r="B961" s="79"/>
      <c r="C961" s="80"/>
      <c r="D961" s="80"/>
      <c r="E961" s="80"/>
      <c r="F961" s="80"/>
      <c r="G961" s="80"/>
      <c r="H961" s="80"/>
      <c r="I961" s="80"/>
      <c r="J961" s="80"/>
      <c r="K961" s="80"/>
      <c r="L961" s="81" t="str">
        <f aca="false">IF(K961="","",IFERROR(INDEX(BARDAGE!$C$7:$C$1506,MATCH(K961,BARDAGE!$B$7:$B$1506,0)),"? hors registre"))</f>
        <v/>
      </c>
      <c r="M961" s="80"/>
      <c r="N961" s="81" t="str">
        <f aca="false">IF(M961="","",IFERROR(INDEX(BARDAGE!$C$7:$C$1506,MATCH(M961,BARDAGE!$B$7:$B$1506,0)),"? hors registre"))</f>
        <v/>
      </c>
      <c r="O961" s="80"/>
      <c r="P961" s="80"/>
      <c r="Q961" s="80"/>
      <c r="R961" s="82"/>
      <c r="S961" s="82"/>
      <c r="T961" s="80"/>
      <c r="U961" s="80"/>
      <c r="V961" s="82"/>
      <c r="W961" s="80"/>
      <c r="X961" s="80"/>
      <c r="Y961" s="80"/>
      <c r="Z961" s="80"/>
      <c r="AA961" s="82"/>
      <c r="AB961" s="80"/>
      <c r="AC961" s="80"/>
      <c r="AD961" s="80"/>
      <c r="AE961" s="80"/>
      <c r="AF961" s="82"/>
      <c r="AG961" s="80"/>
      <c r="AH961" s="80"/>
      <c r="AI961" s="82"/>
      <c r="AJ961" s="79"/>
      <c r="AK961" s="78" t="str">
        <f aca="false">IF(E961="","",(X961&lt;&gt;"")+(AC961&lt;&gt;"")+(AH961&lt;&gt;""))</f>
        <v/>
      </c>
      <c r="AL961" s="81" t="str">
        <f aca="false">IF(AH961&lt;&gt;"",AH961,IF(AC961&lt;&gt;"",AC961,IF(X961&lt;&gt;"",X961,"")))</f>
        <v/>
      </c>
      <c r="AM961" s="83" t="str">
        <f aca="false">IF(E961="","",IF(R961="","À SOUDER",IF(U961="","VT EN ATTENTE",IF(U961="R","VT REJETÉ – À REPRENDRE",IF(AL961="","À RADIOGRAPHIER",IF(AL961="A","ACCEPTÉ",IF(AL961="NX","NX – RT À REFAIRE",IF(IF(AK961=1,Z961,IF(AK961=2,AE961,""))="A","RÉPARÉ – À RADIOGRAPHIER",IF(IF(AK961=1,Z961,IF(AK961=2,AE961,""))="R","VT REJETÉ – À REPRENDRE",IF(OR(AL961="CO",AL961="NT"),"COUPE – À RESOUDER","À RÉPARER"))))))))))</f>
        <v/>
      </c>
      <c r="AN961" s="81" t="str">
        <f aca="false">IF(AND(ISNUMBER(R961),OR(AM961="À RADIOGRAPHIER",AM961="RÉPARÉ – À RADIOGRAPHIER",AM961="NX – RT À REFAIRE",AM961="À RÉPARER",AM961="COUPE – À RESOUDER",AM961="VT REJETÉ – À REPRENDRE")),MAX(0,'PROGRAMME RT'!$C$4-R961),"")</f>
        <v/>
      </c>
      <c r="AO961" s="78" t="n">
        <f aca="false">IF(AND(OR(AM961="À RADIOGRAPHIER",AM961="RÉPARÉ – À RADIOGRAPHIER",AM961="NX – RT À REFAIRE"),OR('PROGRAMME RT'!$D$5="TOUTES",B961='PROGRAMME RT'!$D$5)),1,0)</f>
        <v>0</v>
      </c>
      <c r="AP961" s="78" t="str">
        <f aca="false">IF(AO961=1,SUM(AO$7:AO961),"")</f>
        <v/>
      </c>
      <c r="AQ961" s="78" t="n">
        <f aca="false">IF(AND(OR(X961="R",X961="NX",X961="NT",X961="CO"),OR('JOINTS DE RÉPARATION'!$D$5="TOUTES",B961='JOINTS DE RÉPARATION'!$D$5),OR('JOINTS DE RÉPARATION'!$L$4="TOUS",AM961&lt;&gt;"ACCEPTÉ")),1,0)</f>
        <v>0</v>
      </c>
      <c r="AR961" s="78" t="str">
        <f aca="false">IF(AQ961=1,SUM(AQ$7:AQ961),"")</f>
        <v/>
      </c>
    </row>
    <row r="962" customFormat="false" ht="15" hidden="false" customHeight="false" outlineLevel="0" collapsed="false">
      <c r="A962" s="78" t="str">
        <f aca="false">IF(E962="","",ROW()-6)</f>
        <v/>
      </c>
      <c r="B962" s="79"/>
      <c r="C962" s="80"/>
      <c r="D962" s="80"/>
      <c r="E962" s="80"/>
      <c r="F962" s="80"/>
      <c r="G962" s="80"/>
      <c r="H962" s="80"/>
      <c r="I962" s="80"/>
      <c r="J962" s="80"/>
      <c r="K962" s="80"/>
      <c r="L962" s="81" t="str">
        <f aca="false">IF(K962="","",IFERROR(INDEX(BARDAGE!$C$7:$C$1506,MATCH(K962,BARDAGE!$B$7:$B$1506,0)),"? hors registre"))</f>
        <v/>
      </c>
      <c r="M962" s="80"/>
      <c r="N962" s="81" t="str">
        <f aca="false">IF(M962="","",IFERROR(INDEX(BARDAGE!$C$7:$C$1506,MATCH(M962,BARDAGE!$B$7:$B$1506,0)),"? hors registre"))</f>
        <v/>
      </c>
      <c r="O962" s="80"/>
      <c r="P962" s="80"/>
      <c r="Q962" s="80"/>
      <c r="R962" s="82"/>
      <c r="S962" s="82"/>
      <c r="T962" s="80"/>
      <c r="U962" s="80"/>
      <c r="V962" s="82"/>
      <c r="W962" s="80"/>
      <c r="X962" s="80"/>
      <c r="Y962" s="80"/>
      <c r="Z962" s="80"/>
      <c r="AA962" s="82"/>
      <c r="AB962" s="80"/>
      <c r="AC962" s="80"/>
      <c r="AD962" s="80"/>
      <c r="AE962" s="80"/>
      <c r="AF962" s="82"/>
      <c r="AG962" s="80"/>
      <c r="AH962" s="80"/>
      <c r="AI962" s="82"/>
      <c r="AJ962" s="79"/>
      <c r="AK962" s="78" t="str">
        <f aca="false">IF(E962="","",(X962&lt;&gt;"")+(AC962&lt;&gt;"")+(AH962&lt;&gt;""))</f>
        <v/>
      </c>
      <c r="AL962" s="81" t="str">
        <f aca="false">IF(AH962&lt;&gt;"",AH962,IF(AC962&lt;&gt;"",AC962,IF(X962&lt;&gt;"",X962,"")))</f>
        <v/>
      </c>
      <c r="AM962" s="83" t="str">
        <f aca="false">IF(E962="","",IF(R962="","À SOUDER",IF(U962="","VT EN ATTENTE",IF(U962="R","VT REJETÉ – À REPRENDRE",IF(AL962="","À RADIOGRAPHIER",IF(AL962="A","ACCEPTÉ",IF(AL962="NX","NX – RT À REFAIRE",IF(IF(AK962=1,Z962,IF(AK962=2,AE962,""))="A","RÉPARÉ – À RADIOGRAPHIER",IF(IF(AK962=1,Z962,IF(AK962=2,AE962,""))="R","VT REJETÉ – À REPRENDRE",IF(OR(AL962="CO",AL962="NT"),"COUPE – À RESOUDER","À RÉPARER"))))))))))</f>
        <v/>
      </c>
      <c r="AN962" s="81" t="str">
        <f aca="false">IF(AND(ISNUMBER(R962),OR(AM962="À RADIOGRAPHIER",AM962="RÉPARÉ – À RADIOGRAPHIER",AM962="NX – RT À REFAIRE",AM962="À RÉPARER",AM962="COUPE – À RESOUDER",AM962="VT REJETÉ – À REPRENDRE")),MAX(0,'PROGRAMME RT'!$C$4-R962),"")</f>
        <v/>
      </c>
      <c r="AO962" s="78" t="n">
        <f aca="false">IF(AND(OR(AM962="À RADIOGRAPHIER",AM962="RÉPARÉ – À RADIOGRAPHIER",AM962="NX – RT À REFAIRE"),OR('PROGRAMME RT'!$D$5="TOUTES",B962='PROGRAMME RT'!$D$5)),1,0)</f>
        <v>0</v>
      </c>
      <c r="AP962" s="78" t="str">
        <f aca="false">IF(AO962=1,SUM(AO$7:AO962),"")</f>
        <v/>
      </c>
      <c r="AQ962" s="78" t="n">
        <f aca="false">IF(AND(OR(X962="R",X962="NX",X962="NT",X962="CO"),OR('JOINTS DE RÉPARATION'!$D$5="TOUTES",B962='JOINTS DE RÉPARATION'!$D$5),OR('JOINTS DE RÉPARATION'!$L$4="TOUS",AM962&lt;&gt;"ACCEPTÉ")),1,0)</f>
        <v>0</v>
      </c>
      <c r="AR962" s="78" t="str">
        <f aca="false">IF(AQ962=1,SUM(AQ$7:AQ962),"")</f>
        <v/>
      </c>
    </row>
    <row r="963" customFormat="false" ht="15" hidden="false" customHeight="false" outlineLevel="0" collapsed="false">
      <c r="A963" s="78" t="str">
        <f aca="false">IF(E963="","",ROW()-6)</f>
        <v/>
      </c>
      <c r="B963" s="79"/>
      <c r="C963" s="80"/>
      <c r="D963" s="80"/>
      <c r="E963" s="80"/>
      <c r="F963" s="80"/>
      <c r="G963" s="80"/>
      <c r="H963" s="80"/>
      <c r="I963" s="80"/>
      <c r="J963" s="80"/>
      <c r="K963" s="80"/>
      <c r="L963" s="81" t="str">
        <f aca="false">IF(K963="","",IFERROR(INDEX(BARDAGE!$C$7:$C$1506,MATCH(K963,BARDAGE!$B$7:$B$1506,0)),"? hors registre"))</f>
        <v/>
      </c>
      <c r="M963" s="80"/>
      <c r="N963" s="81" t="str">
        <f aca="false">IF(M963="","",IFERROR(INDEX(BARDAGE!$C$7:$C$1506,MATCH(M963,BARDAGE!$B$7:$B$1506,0)),"? hors registre"))</f>
        <v/>
      </c>
      <c r="O963" s="80"/>
      <c r="P963" s="80"/>
      <c r="Q963" s="80"/>
      <c r="R963" s="82"/>
      <c r="S963" s="82"/>
      <c r="T963" s="80"/>
      <c r="U963" s="80"/>
      <c r="V963" s="82"/>
      <c r="W963" s="80"/>
      <c r="X963" s="80"/>
      <c r="Y963" s="80"/>
      <c r="Z963" s="80"/>
      <c r="AA963" s="82"/>
      <c r="AB963" s="80"/>
      <c r="AC963" s="80"/>
      <c r="AD963" s="80"/>
      <c r="AE963" s="80"/>
      <c r="AF963" s="82"/>
      <c r="AG963" s="80"/>
      <c r="AH963" s="80"/>
      <c r="AI963" s="82"/>
      <c r="AJ963" s="79"/>
      <c r="AK963" s="78" t="str">
        <f aca="false">IF(E963="","",(X963&lt;&gt;"")+(AC963&lt;&gt;"")+(AH963&lt;&gt;""))</f>
        <v/>
      </c>
      <c r="AL963" s="81" t="str">
        <f aca="false">IF(AH963&lt;&gt;"",AH963,IF(AC963&lt;&gt;"",AC963,IF(X963&lt;&gt;"",X963,"")))</f>
        <v/>
      </c>
      <c r="AM963" s="83" t="str">
        <f aca="false">IF(E963="","",IF(R963="","À SOUDER",IF(U963="","VT EN ATTENTE",IF(U963="R","VT REJETÉ – À REPRENDRE",IF(AL963="","À RADIOGRAPHIER",IF(AL963="A","ACCEPTÉ",IF(AL963="NX","NX – RT À REFAIRE",IF(IF(AK963=1,Z963,IF(AK963=2,AE963,""))="A","RÉPARÉ – À RADIOGRAPHIER",IF(IF(AK963=1,Z963,IF(AK963=2,AE963,""))="R","VT REJETÉ – À REPRENDRE",IF(OR(AL963="CO",AL963="NT"),"COUPE – À RESOUDER","À RÉPARER"))))))))))</f>
        <v/>
      </c>
      <c r="AN963" s="81" t="str">
        <f aca="false">IF(AND(ISNUMBER(R963),OR(AM963="À RADIOGRAPHIER",AM963="RÉPARÉ – À RADIOGRAPHIER",AM963="NX – RT À REFAIRE",AM963="À RÉPARER",AM963="COUPE – À RESOUDER",AM963="VT REJETÉ – À REPRENDRE")),MAX(0,'PROGRAMME RT'!$C$4-R963),"")</f>
        <v/>
      </c>
      <c r="AO963" s="78" t="n">
        <f aca="false">IF(AND(OR(AM963="À RADIOGRAPHIER",AM963="RÉPARÉ – À RADIOGRAPHIER",AM963="NX – RT À REFAIRE"),OR('PROGRAMME RT'!$D$5="TOUTES",B963='PROGRAMME RT'!$D$5)),1,0)</f>
        <v>0</v>
      </c>
      <c r="AP963" s="78" t="str">
        <f aca="false">IF(AO963=1,SUM(AO$7:AO963),"")</f>
        <v/>
      </c>
      <c r="AQ963" s="78" t="n">
        <f aca="false">IF(AND(OR(X963="R",X963="NX",X963="NT",X963="CO"),OR('JOINTS DE RÉPARATION'!$D$5="TOUTES",B963='JOINTS DE RÉPARATION'!$D$5),OR('JOINTS DE RÉPARATION'!$L$4="TOUS",AM963&lt;&gt;"ACCEPTÉ")),1,0)</f>
        <v>0</v>
      </c>
      <c r="AR963" s="78" t="str">
        <f aca="false">IF(AQ963=1,SUM(AQ$7:AQ963),"")</f>
        <v/>
      </c>
    </row>
    <row r="964" customFormat="false" ht="15" hidden="false" customHeight="false" outlineLevel="0" collapsed="false">
      <c r="A964" s="78" t="str">
        <f aca="false">IF(E964="","",ROW()-6)</f>
        <v/>
      </c>
      <c r="B964" s="79"/>
      <c r="C964" s="80"/>
      <c r="D964" s="80"/>
      <c r="E964" s="80"/>
      <c r="F964" s="80"/>
      <c r="G964" s="80"/>
      <c r="H964" s="80"/>
      <c r="I964" s="80"/>
      <c r="J964" s="80"/>
      <c r="K964" s="80"/>
      <c r="L964" s="81" t="str">
        <f aca="false">IF(K964="","",IFERROR(INDEX(BARDAGE!$C$7:$C$1506,MATCH(K964,BARDAGE!$B$7:$B$1506,0)),"? hors registre"))</f>
        <v/>
      </c>
      <c r="M964" s="80"/>
      <c r="N964" s="81" t="str">
        <f aca="false">IF(M964="","",IFERROR(INDEX(BARDAGE!$C$7:$C$1506,MATCH(M964,BARDAGE!$B$7:$B$1506,0)),"? hors registre"))</f>
        <v/>
      </c>
      <c r="O964" s="80"/>
      <c r="P964" s="80"/>
      <c r="Q964" s="80"/>
      <c r="R964" s="82"/>
      <c r="S964" s="82"/>
      <c r="T964" s="80"/>
      <c r="U964" s="80"/>
      <c r="V964" s="82"/>
      <c r="W964" s="80"/>
      <c r="X964" s="80"/>
      <c r="Y964" s="80"/>
      <c r="Z964" s="80"/>
      <c r="AA964" s="82"/>
      <c r="AB964" s="80"/>
      <c r="AC964" s="80"/>
      <c r="AD964" s="80"/>
      <c r="AE964" s="80"/>
      <c r="AF964" s="82"/>
      <c r="AG964" s="80"/>
      <c r="AH964" s="80"/>
      <c r="AI964" s="82"/>
      <c r="AJ964" s="79"/>
      <c r="AK964" s="78" t="str">
        <f aca="false">IF(E964="","",(X964&lt;&gt;"")+(AC964&lt;&gt;"")+(AH964&lt;&gt;""))</f>
        <v/>
      </c>
      <c r="AL964" s="81" t="str">
        <f aca="false">IF(AH964&lt;&gt;"",AH964,IF(AC964&lt;&gt;"",AC964,IF(X964&lt;&gt;"",X964,"")))</f>
        <v/>
      </c>
      <c r="AM964" s="83" t="str">
        <f aca="false">IF(E964="","",IF(R964="","À SOUDER",IF(U964="","VT EN ATTENTE",IF(U964="R","VT REJETÉ – À REPRENDRE",IF(AL964="","À RADIOGRAPHIER",IF(AL964="A","ACCEPTÉ",IF(AL964="NX","NX – RT À REFAIRE",IF(IF(AK964=1,Z964,IF(AK964=2,AE964,""))="A","RÉPARÉ – À RADIOGRAPHIER",IF(IF(AK964=1,Z964,IF(AK964=2,AE964,""))="R","VT REJETÉ – À REPRENDRE",IF(OR(AL964="CO",AL964="NT"),"COUPE – À RESOUDER","À RÉPARER"))))))))))</f>
        <v/>
      </c>
      <c r="AN964" s="81" t="str">
        <f aca="false">IF(AND(ISNUMBER(R964),OR(AM964="À RADIOGRAPHIER",AM964="RÉPARÉ – À RADIOGRAPHIER",AM964="NX – RT À REFAIRE",AM964="À RÉPARER",AM964="COUPE – À RESOUDER",AM964="VT REJETÉ – À REPRENDRE")),MAX(0,'PROGRAMME RT'!$C$4-R964),"")</f>
        <v/>
      </c>
      <c r="AO964" s="78" t="n">
        <f aca="false">IF(AND(OR(AM964="À RADIOGRAPHIER",AM964="RÉPARÉ – À RADIOGRAPHIER",AM964="NX – RT À REFAIRE"),OR('PROGRAMME RT'!$D$5="TOUTES",B964='PROGRAMME RT'!$D$5)),1,0)</f>
        <v>0</v>
      </c>
      <c r="AP964" s="78" t="str">
        <f aca="false">IF(AO964=1,SUM(AO$7:AO964),"")</f>
        <v/>
      </c>
      <c r="AQ964" s="78" t="n">
        <f aca="false">IF(AND(OR(X964="R",X964="NX",X964="NT",X964="CO"),OR('JOINTS DE RÉPARATION'!$D$5="TOUTES",B964='JOINTS DE RÉPARATION'!$D$5),OR('JOINTS DE RÉPARATION'!$L$4="TOUS",AM964&lt;&gt;"ACCEPTÉ")),1,0)</f>
        <v>0</v>
      </c>
      <c r="AR964" s="78" t="str">
        <f aca="false">IF(AQ964=1,SUM(AQ$7:AQ964),"")</f>
        <v/>
      </c>
    </row>
    <row r="965" customFormat="false" ht="15" hidden="false" customHeight="false" outlineLevel="0" collapsed="false">
      <c r="A965" s="78" t="str">
        <f aca="false">IF(E965="","",ROW()-6)</f>
        <v/>
      </c>
      <c r="B965" s="79"/>
      <c r="C965" s="80"/>
      <c r="D965" s="80"/>
      <c r="E965" s="80"/>
      <c r="F965" s="80"/>
      <c r="G965" s="80"/>
      <c r="H965" s="80"/>
      <c r="I965" s="80"/>
      <c r="J965" s="80"/>
      <c r="K965" s="80"/>
      <c r="L965" s="81" t="str">
        <f aca="false">IF(K965="","",IFERROR(INDEX(BARDAGE!$C$7:$C$1506,MATCH(K965,BARDAGE!$B$7:$B$1506,0)),"? hors registre"))</f>
        <v/>
      </c>
      <c r="M965" s="80"/>
      <c r="N965" s="81" t="str">
        <f aca="false">IF(M965="","",IFERROR(INDEX(BARDAGE!$C$7:$C$1506,MATCH(M965,BARDAGE!$B$7:$B$1506,0)),"? hors registre"))</f>
        <v/>
      </c>
      <c r="O965" s="80"/>
      <c r="P965" s="80"/>
      <c r="Q965" s="80"/>
      <c r="R965" s="82"/>
      <c r="S965" s="82"/>
      <c r="T965" s="80"/>
      <c r="U965" s="80"/>
      <c r="V965" s="82"/>
      <c r="W965" s="80"/>
      <c r="X965" s="80"/>
      <c r="Y965" s="80"/>
      <c r="Z965" s="80"/>
      <c r="AA965" s="82"/>
      <c r="AB965" s="80"/>
      <c r="AC965" s="80"/>
      <c r="AD965" s="80"/>
      <c r="AE965" s="80"/>
      <c r="AF965" s="82"/>
      <c r="AG965" s="80"/>
      <c r="AH965" s="80"/>
      <c r="AI965" s="82"/>
      <c r="AJ965" s="79"/>
      <c r="AK965" s="78" t="str">
        <f aca="false">IF(E965="","",(X965&lt;&gt;"")+(AC965&lt;&gt;"")+(AH965&lt;&gt;""))</f>
        <v/>
      </c>
      <c r="AL965" s="81" t="str">
        <f aca="false">IF(AH965&lt;&gt;"",AH965,IF(AC965&lt;&gt;"",AC965,IF(X965&lt;&gt;"",X965,"")))</f>
        <v/>
      </c>
      <c r="AM965" s="83" t="str">
        <f aca="false">IF(E965="","",IF(R965="","À SOUDER",IF(U965="","VT EN ATTENTE",IF(U965="R","VT REJETÉ – À REPRENDRE",IF(AL965="","À RADIOGRAPHIER",IF(AL965="A","ACCEPTÉ",IF(AL965="NX","NX – RT À REFAIRE",IF(IF(AK965=1,Z965,IF(AK965=2,AE965,""))="A","RÉPARÉ – À RADIOGRAPHIER",IF(IF(AK965=1,Z965,IF(AK965=2,AE965,""))="R","VT REJETÉ – À REPRENDRE",IF(OR(AL965="CO",AL965="NT"),"COUPE – À RESOUDER","À RÉPARER"))))))))))</f>
        <v/>
      </c>
      <c r="AN965" s="81" t="str">
        <f aca="false">IF(AND(ISNUMBER(R965),OR(AM965="À RADIOGRAPHIER",AM965="RÉPARÉ – À RADIOGRAPHIER",AM965="NX – RT À REFAIRE",AM965="À RÉPARER",AM965="COUPE – À RESOUDER",AM965="VT REJETÉ – À REPRENDRE")),MAX(0,'PROGRAMME RT'!$C$4-R965),"")</f>
        <v/>
      </c>
      <c r="AO965" s="78" t="n">
        <f aca="false">IF(AND(OR(AM965="À RADIOGRAPHIER",AM965="RÉPARÉ – À RADIOGRAPHIER",AM965="NX – RT À REFAIRE"),OR('PROGRAMME RT'!$D$5="TOUTES",B965='PROGRAMME RT'!$D$5)),1,0)</f>
        <v>0</v>
      </c>
      <c r="AP965" s="78" t="str">
        <f aca="false">IF(AO965=1,SUM(AO$7:AO965),"")</f>
        <v/>
      </c>
      <c r="AQ965" s="78" t="n">
        <f aca="false">IF(AND(OR(X965="R",X965="NX",X965="NT",X965="CO"),OR('JOINTS DE RÉPARATION'!$D$5="TOUTES",B965='JOINTS DE RÉPARATION'!$D$5),OR('JOINTS DE RÉPARATION'!$L$4="TOUS",AM965&lt;&gt;"ACCEPTÉ")),1,0)</f>
        <v>0</v>
      </c>
      <c r="AR965" s="78" t="str">
        <f aca="false">IF(AQ965=1,SUM(AQ$7:AQ965),"")</f>
        <v/>
      </c>
    </row>
    <row r="966" customFormat="false" ht="15" hidden="false" customHeight="false" outlineLevel="0" collapsed="false">
      <c r="A966" s="78" t="str">
        <f aca="false">IF(E966="","",ROW()-6)</f>
        <v/>
      </c>
      <c r="B966" s="79"/>
      <c r="C966" s="80"/>
      <c r="D966" s="80"/>
      <c r="E966" s="80"/>
      <c r="F966" s="80"/>
      <c r="G966" s="80"/>
      <c r="H966" s="80"/>
      <c r="I966" s="80"/>
      <c r="J966" s="80"/>
      <c r="K966" s="80"/>
      <c r="L966" s="81" t="str">
        <f aca="false">IF(K966="","",IFERROR(INDEX(BARDAGE!$C$7:$C$1506,MATCH(K966,BARDAGE!$B$7:$B$1506,0)),"? hors registre"))</f>
        <v/>
      </c>
      <c r="M966" s="80"/>
      <c r="N966" s="81" t="str">
        <f aca="false">IF(M966="","",IFERROR(INDEX(BARDAGE!$C$7:$C$1506,MATCH(M966,BARDAGE!$B$7:$B$1506,0)),"? hors registre"))</f>
        <v/>
      </c>
      <c r="O966" s="80"/>
      <c r="P966" s="80"/>
      <c r="Q966" s="80"/>
      <c r="R966" s="82"/>
      <c r="S966" s="82"/>
      <c r="T966" s="80"/>
      <c r="U966" s="80"/>
      <c r="V966" s="82"/>
      <c r="W966" s="80"/>
      <c r="X966" s="80"/>
      <c r="Y966" s="80"/>
      <c r="Z966" s="80"/>
      <c r="AA966" s="82"/>
      <c r="AB966" s="80"/>
      <c r="AC966" s="80"/>
      <c r="AD966" s="80"/>
      <c r="AE966" s="80"/>
      <c r="AF966" s="82"/>
      <c r="AG966" s="80"/>
      <c r="AH966" s="80"/>
      <c r="AI966" s="82"/>
      <c r="AJ966" s="79"/>
      <c r="AK966" s="78" t="str">
        <f aca="false">IF(E966="","",(X966&lt;&gt;"")+(AC966&lt;&gt;"")+(AH966&lt;&gt;""))</f>
        <v/>
      </c>
      <c r="AL966" s="81" t="str">
        <f aca="false">IF(AH966&lt;&gt;"",AH966,IF(AC966&lt;&gt;"",AC966,IF(X966&lt;&gt;"",X966,"")))</f>
        <v/>
      </c>
      <c r="AM966" s="83" t="str">
        <f aca="false">IF(E966="","",IF(R966="","À SOUDER",IF(U966="","VT EN ATTENTE",IF(U966="R","VT REJETÉ – À REPRENDRE",IF(AL966="","À RADIOGRAPHIER",IF(AL966="A","ACCEPTÉ",IF(AL966="NX","NX – RT À REFAIRE",IF(IF(AK966=1,Z966,IF(AK966=2,AE966,""))="A","RÉPARÉ – À RADIOGRAPHIER",IF(IF(AK966=1,Z966,IF(AK966=2,AE966,""))="R","VT REJETÉ – À REPRENDRE",IF(OR(AL966="CO",AL966="NT"),"COUPE – À RESOUDER","À RÉPARER"))))))))))</f>
        <v/>
      </c>
      <c r="AN966" s="81" t="str">
        <f aca="false">IF(AND(ISNUMBER(R966),OR(AM966="À RADIOGRAPHIER",AM966="RÉPARÉ – À RADIOGRAPHIER",AM966="NX – RT À REFAIRE",AM966="À RÉPARER",AM966="COUPE – À RESOUDER",AM966="VT REJETÉ – À REPRENDRE")),MAX(0,'PROGRAMME RT'!$C$4-R966),"")</f>
        <v/>
      </c>
      <c r="AO966" s="78" t="n">
        <f aca="false">IF(AND(OR(AM966="À RADIOGRAPHIER",AM966="RÉPARÉ – À RADIOGRAPHIER",AM966="NX – RT À REFAIRE"),OR('PROGRAMME RT'!$D$5="TOUTES",B966='PROGRAMME RT'!$D$5)),1,0)</f>
        <v>0</v>
      </c>
      <c r="AP966" s="78" t="str">
        <f aca="false">IF(AO966=1,SUM(AO$7:AO966),"")</f>
        <v/>
      </c>
      <c r="AQ966" s="78" t="n">
        <f aca="false">IF(AND(OR(X966="R",X966="NX",X966="NT",X966="CO"),OR('JOINTS DE RÉPARATION'!$D$5="TOUTES",B966='JOINTS DE RÉPARATION'!$D$5),OR('JOINTS DE RÉPARATION'!$L$4="TOUS",AM966&lt;&gt;"ACCEPTÉ")),1,0)</f>
        <v>0</v>
      </c>
      <c r="AR966" s="78" t="str">
        <f aca="false">IF(AQ966=1,SUM(AQ$7:AQ966),"")</f>
        <v/>
      </c>
    </row>
    <row r="967" customFormat="false" ht="15" hidden="false" customHeight="false" outlineLevel="0" collapsed="false">
      <c r="A967" s="78" t="str">
        <f aca="false">IF(E967="","",ROW()-6)</f>
        <v/>
      </c>
      <c r="B967" s="79"/>
      <c r="C967" s="80"/>
      <c r="D967" s="80"/>
      <c r="E967" s="80"/>
      <c r="F967" s="80"/>
      <c r="G967" s="80"/>
      <c r="H967" s="80"/>
      <c r="I967" s="80"/>
      <c r="J967" s="80"/>
      <c r="K967" s="80"/>
      <c r="L967" s="81" t="str">
        <f aca="false">IF(K967="","",IFERROR(INDEX(BARDAGE!$C$7:$C$1506,MATCH(K967,BARDAGE!$B$7:$B$1506,0)),"? hors registre"))</f>
        <v/>
      </c>
      <c r="M967" s="80"/>
      <c r="N967" s="81" t="str">
        <f aca="false">IF(M967="","",IFERROR(INDEX(BARDAGE!$C$7:$C$1506,MATCH(M967,BARDAGE!$B$7:$B$1506,0)),"? hors registre"))</f>
        <v/>
      </c>
      <c r="O967" s="80"/>
      <c r="P967" s="80"/>
      <c r="Q967" s="80"/>
      <c r="R967" s="82"/>
      <c r="S967" s="82"/>
      <c r="T967" s="80"/>
      <c r="U967" s="80"/>
      <c r="V967" s="82"/>
      <c r="W967" s="80"/>
      <c r="X967" s="80"/>
      <c r="Y967" s="80"/>
      <c r="Z967" s="80"/>
      <c r="AA967" s="82"/>
      <c r="AB967" s="80"/>
      <c r="AC967" s="80"/>
      <c r="AD967" s="80"/>
      <c r="AE967" s="80"/>
      <c r="AF967" s="82"/>
      <c r="AG967" s="80"/>
      <c r="AH967" s="80"/>
      <c r="AI967" s="82"/>
      <c r="AJ967" s="79"/>
      <c r="AK967" s="78" t="str">
        <f aca="false">IF(E967="","",(X967&lt;&gt;"")+(AC967&lt;&gt;"")+(AH967&lt;&gt;""))</f>
        <v/>
      </c>
      <c r="AL967" s="81" t="str">
        <f aca="false">IF(AH967&lt;&gt;"",AH967,IF(AC967&lt;&gt;"",AC967,IF(X967&lt;&gt;"",X967,"")))</f>
        <v/>
      </c>
      <c r="AM967" s="83" t="str">
        <f aca="false">IF(E967="","",IF(R967="","À SOUDER",IF(U967="","VT EN ATTENTE",IF(U967="R","VT REJETÉ – À REPRENDRE",IF(AL967="","À RADIOGRAPHIER",IF(AL967="A","ACCEPTÉ",IF(AL967="NX","NX – RT À REFAIRE",IF(IF(AK967=1,Z967,IF(AK967=2,AE967,""))="A","RÉPARÉ – À RADIOGRAPHIER",IF(IF(AK967=1,Z967,IF(AK967=2,AE967,""))="R","VT REJETÉ – À REPRENDRE",IF(OR(AL967="CO",AL967="NT"),"COUPE – À RESOUDER","À RÉPARER"))))))))))</f>
        <v/>
      </c>
      <c r="AN967" s="81" t="str">
        <f aca="false">IF(AND(ISNUMBER(R967),OR(AM967="À RADIOGRAPHIER",AM967="RÉPARÉ – À RADIOGRAPHIER",AM967="NX – RT À REFAIRE",AM967="À RÉPARER",AM967="COUPE – À RESOUDER",AM967="VT REJETÉ – À REPRENDRE")),MAX(0,'PROGRAMME RT'!$C$4-R967),"")</f>
        <v/>
      </c>
      <c r="AO967" s="78" t="n">
        <f aca="false">IF(AND(OR(AM967="À RADIOGRAPHIER",AM967="RÉPARÉ – À RADIOGRAPHIER",AM967="NX – RT À REFAIRE"),OR('PROGRAMME RT'!$D$5="TOUTES",B967='PROGRAMME RT'!$D$5)),1,0)</f>
        <v>0</v>
      </c>
      <c r="AP967" s="78" t="str">
        <f aca="false">IF(AO967=1,SUM(AO$7:AO967),"")</f>
        <v/>
      </c>
      <c r="AQ967" s="78" t="n">
        <f aca="false">IF(AND(OR(X967="R",X967="NX",X967="NT",X967="CO"),OR('JOINTS DE RÉPARATION'!$D$5="TOUTES",B967='JOINTS DE RÉPARATION'!$D$5),OR('JOINTS DE RÉPARATION'!$L$4="TOUS",AM967&lt;&gt;"ACCEPTÉ")),1,0)</f>
        <v>0</v>
      </c>
      <c r="AR967" s="78" t="str">
        <f aca="false">IF(AQ967=1,SUM(AQ$7:AQ967),"")</f>
        <v/>
      </c>
    </row>
    <row r="968" customFormat="false" ht="15" hidden="false" customHeight="false" outlineLevel="0" collapsed="false">
      <c r="A968" s="78" t="str">
        <f aca="false">IF(E968="","",ROW()-6)</f>
        <v/>
      </c>
      <c r="B968" s="79"/>
      <c r="C968" s="80"/>
      <c r="D968" s="80"/>
      <c r="E968" s="80"/>
      <c r="F968" s="80"/>
      <c r="G968" s="80"/>
      <c r="H968" s="80"/>
      <c r="I968" s="80"/>
      <c r="J968" s="80"/>
      <c r="K968" s="80"/>
      <c r="L968" s="81" t="str">
        <f aca="false">IF(K968="","",IFERROR(INDEX(BARDAGE!$C$7:$C$1506,MATCH(K968,BARDAGE!$B$7:$B$1506,0)),"? hors registre"))</f>
        <v/>
      </c>
      <c r="M968" s="80"/>
      <c r="N968" s="81" t="str">
        <f aca="false">IF(M968="","",IFERROR(INDEX(BARDAGE!$C$7:$C$1506,MATCH(M968,BARDAGE!$B$7:$B$1506,0)),"? hors registre"))</f>
        <v/>
      </c>
      <c r="O968" s="80"/>
      <c r="P968" s="80"/>
      <c r="Q968" s="80"/>
      <c r="R968" s="82"/>
      <c r="S968" s="82"/>
      <c r="T968" s="80"/>
      <c r="U968" s="80"/>
      <c r="V968" s="82"/>
      <c r="W968" s="80"/>
      <c r="X968" s="80"/>
      <c r="Y968" s="80"/>
      <c r="Z968" s="80"/>
      <c r="AA968" s="82"/>
      <c r="AB968" s="80"/>
      <c r="AC968" s="80"/>
      <c r="AD968" s="80"/>
      <c r="AE968" s="80"/>
      <c r="AF968" s="82"/>
      <c r="AG968" s="80"/>
      <c r="AH968" s="80"/>
      <c r="AI968" s="82"/>
      <c r="AJ968" s="79"/>
      <c r="AK968" s="78" t="str">
        <f aca="false">IF(E968="","",(X968&lt;&gt;"")+(AC968&lt;&gt;"")+(AH968&lt;&gt;""))</f>
        <v/>
      </c>
      <c r="AL968" s="81" t="str">
        <f aca="false">IF(AH968&lt;&gt;"",AH968,IF(AC968&lt;&gt;"",AC968,IF(X968&lt;&gt;"",X968,"")))</f>
        <v/>
      </c>
      <c r="AM968" s="83" t="str">
        <f aca="false">IF(E968="","",IF(R968="","À SOUDER",IF(U968="","VT EN ATTENTE",IF(U968="R","VT REJETÉ – À REPRENDRE",IF(AL968="","À RADIOGRAPHIER",IF(AL968="A","ACCEPTÉ",IF(AL968="NX","NX – RT À REFAIRE",IF(IF(AK968=1,Z968,IF(AK968=2,AE968,""))="A","RÉPARÉ – À RADIOGRAPHIER",IF(IF(AK968=1,Z968,IF(AK968=2,AE968,""))="R","VT REJETÉ – À REPRENDRE",IF(OR(AL968="CO",AL968="NT"),"COUPE – À RESOUDER","À RÉPARER"))))))))))</f>
        <v/>
      </c>
      <c r="AN968" s="81" t="str">
        <f aca="false">IF(AND(ISNUMBER(R968),OR(AM968="À RADIOGRAPHIER",AM968="RÉPARÉ – À RADIOGRAPHIER",AM968="NX – RT À REFAIRE",AM968="À RÉPARER",AM968="COUPE – À RESOUDER",AM968="VT REJETÉ – À REPRENDRE")),MAX(0,'PROGRAMME RT'!$C$4-R968),"")</f>
        <v/>
      </c>
      <c r="AO968" s="78" t="n">
        <f aca="false">IF(AND(OR(AM968="À RADIOGRAPHIER",AM968="RÉPARÉ – À RADIOGRAPHIER",AM968="NX – RT À REFAIRE"),OR('PROGRAMME RT'!$D$5="TOUTES",B968='PROGRAMME RT'!$D$5)),1,0)</f>
        <v>0</v>
      </c>
      <c r="AP968" s="78" t="str">
        <f aca="false">IF(AO968=1,SUM(AO$7:AO968),"")</f>
        <v/>
      </c>
      <c r="AQ968" s="78" t="n">
        <f aca="false">IF(AND(OR(X968="R",X968="NX",X968="NT",X968="CO"),OR('JOINTS DE RÉPARATION'!$D$5="TOUTES",B968='JOINTS DE RÉPARATION'!$D$5),OR('JOINTS DE RÉPARATION'!$L$4="TOUS",AM968&lt;&gt;"ACCEPTÉ")),1,0)</f>
        <v>0</v>
      </c>
      <c r="AR968" s="78" t="str">
        <f aca="false">IF(AQ968=1,SUM(AQ$7:AQ968),"")</f>
        <v/>
      </c>
    </row>
    <row r="969" customFormat="false" ht="15" hidden="false" customHeight="false" outlineLevel="0" collapsed="false">
      <c r="A969" s="78" t="str">
        <f aca="false">IF(E969="","",ROW()-6)</f>
        <v/>
      </c>
      <c r="B969" s="79"/>
      <c r="C969" s="80"/>
      <c r="D969" s="80"/>
      <c r="E969" s="80"/>
      <c r="F969" s="80"/>
      <c r="G969" s="80"/>
      <c r="H969" s="80"/>
      <c r="I969" s="80"/>
      <c r="J969" s="80"/>
      <c r="K969" s="80"/>
      <c r="L969" s="81" t="str">
        <f aca="false">IF(K969="","",IFERROR(INDEX(BARDAGE!$C$7:$C$1506,MATCH(K969,BARDAGE!$B$7:$B$1506,0)),"? hors registre"))</f>
        <v/>
      </c>
      <c r="M969" s="80"/>
      <c r="N969" s="81" t="str">
        <f aca="false">IF(M969="","",IFERROR(INDEX(BARDAGE!$C$7:$C$1506,MATCH(M969,BARDAGE!$B$7:$B$1506,0)),"? hors registre"))</f>
        <v/>
      </c>
      <c r="O969" s="80"/>
      <c r="P969" s="80"/>
      <c r="Q969" s="80"/>
      <c r="R969" s="82"/>
      <c r="S969" s="82"/>
      <c r="T969" s="80"/>
      <c r="U969" s="80"/>
      <c r="V969" s="82"/>
      <c r="W969" s="80"/>
      <c r="X969" s="80"/>
      <c r="Y969" s="80"/>
      <c r="Z969" s="80"/>
      <c r="AA969" s="82"/>
      <c r="AB969" s="80"/>
      <c r="AC969" s="80"/>
      <c r="AD969" s="80"/>
      <c r="AE969" s="80"/>
      <c r="AF969" s="82"/>
      <c r="AG969" s="80"/>
      <c r="AH969" s="80"/>
      <c r="AI969" s="82"/>
      <c r="AJ969" s="79"/>
      <c r="AK969" s="78" t="str">
        <f aca="false">IF(E969="","",(X969&lt;&gt;"")+(AC969&lt;&gt;"")+(AH969&lt;&gt;""))</f>
        <v/>
      </c>
      <c r="AL969" s="81" t="str">
        <f aca="false">IF(AH969&lt;&gt;"",AH969,IF(AC969&lt;&gt;"",AC969,IF(X969&lt;&gt;"",X969,"")))</f>
        <v/>
      </c>
      <c r="AM969" s="83" t="str">
        <f aca="false">IF(E969="","",IF(R969="","À SOUDER",IF(U969="","VT EN ATTENTE",IF(U969="R","VT REJETÉ – À REPRENDRE",IF(AL969="","À RADIOGRAPHIER",IF(AL969="A","ACCEPTÉ",IF(AL969="NX","NX – RT À REFAIRE",IF(IF(AK969=1,Z969,IF(AK969=2,AE969,""))="A","RÉPARÉ – À RADIOGRAPHIER",IF(IF(AK969=1,Z969,IF(AK969=2,AE969,""))="R","VT REJETÉ – À REPRENDRE",IF(OR(AL969="CO",AL969="NT"),"COUPE – À RESOUDER","À RÉPARER"))))))))))</f>
        <v/>
      </c>
      <c r="AN969" s="81" t="str">
        <f aca="false">IF(AND(ISNUMBER(R969),OR(AM969="À RADIOGRAPHIER",AM969="RÉPARÉ – À RADIOGRAPHIER",AM969="NX – RT À REFAIRE",AM969="À RÉPARER",AM969="COUPE – À RESOUDER",AM969="VT REJETÉ – À REPRENDRE")),MAX(0,'PROGRAMME RT'!$C$4-R969),"")</f>
        <v/>
      </c>
      <c r="AO969" s="78" t="n">
        <f aca="false">IF(AND(OR(AM969="À RADIOGRAPHIER",AM969="RÉPARÉ – À RADIOGRAPHIER",AM969="NX – RT À REFAIRE"),OR('PROGRAMME RT'!$D$5="TOUTES",B969='PROGRAMME RT'!$D$5)),1,0)</f>
        <v>0</v>
      </c>
      <c r="AP969" s="78" t="str">
        <f aca="false">IF(AO969=1,SUM(AO$7:AO969),"")</f>
        <v/>
      </c>
      <c r="AQ969" s="78" t="n">
        <f aca="false">IF(AND(OR(X969="R",X969="NX",X969="NT",X969="CO"),OR('JOINTS DE RÉPARATION'!$D$5="TOUTES",B969='JOINTS DE RÉPARATION'!$D$5),OR('JOINTS DE RÉPARATION'!$L$4="TOUS",AM969&lt;&gt;"ACCEPTÉ")),1,0)</f>
        <v>0</v>
      </c>
      <c r="AR969" s="78" t="str">
        <f aca="false">IF(AQ969=1,SUM(AQ$7:AQ969),"")</f>
        <v/>
      </c>
    </row>
    <row r="970" customFormat="false" ht="15" hidden="false" customHeight="false" outlineLevel="0" collapsed="false">
      <c r="A970" s="78" t="str">
        <f aca="false">IF(E970="","",ROW()-6)</f>
        <v/>
      </c>
      <c r="B970" s="79"/>
      <c r="C970" s="80"/>
      <c r="D970" s="80"/>
      <c r="E970" s="80"/>
      <c r="F970" s="80"/>
      <c r="G970" s="80"/>
      <c r="H970" s="80"/>
      <c r="I970" s="80"/>
      <c r="J970" s="80"/>
      <c r="K970" s="80"/>
      <c r="L970" s="81" t="str">
        <f aca="false">IF(K970="","",IFERROR(INDEX(BARDAGE!$C$7:$C$1506,MATCH(K970,BARDAGE!$B$7:$B$1506,0)),"? hors registre"))</f>
        <v/>
      </c>
      <c r="M970" s="80"/>
      <c r="N970" s="81" t="str">
        <f aca="false">IF(M970="","",IFERROR(INDEX(BARDAGE!$C$7:$C$1506,MATCH(M970,BARDAGE!$B$7:$B$1506,0)),"? hors registre"))</f>
        <v/>
      </c>
      <c r="O970" s="80"/>
      <c r="P970" s="80"/>
      <c r="Q970" s="80"/>
      <c r="R970" s="82"/>
      <c r="S970" s="82"/>
      <c r="T970" s="80"/>
      <c r="U970" s="80"/>
      <c r="V970" s="82"/>
      <c r="W970" s="80"/>
      <c r="X970" s="80"/>
      <c r="Y970" s="80"/>
      <c r="Z970" s="80"/>
      <c r="AA970" s="82"/>
      <c r="AB970" s="80"/>
      <c r="AC970" s="80"/>
      <c r="AD970" s="80"/>
      <c r="AE970" s="80"/>
      <c r="AF970" s="82"/>
      <c r="AG970" s="80"/>
      <c r="AH970" s="80"/>
      <c r="AI970" s="82"/>
      <c r="AJ970" s="79"/>
      <c r="AK970" s="78" t="str">
        <f aca="false">IF(E970="","",(X970&lt;&gt;"")+(AC970&lt;&gt;"")+(AH970&lt;&gt;""))</f>
        <v/>
      </c>
      <c r="AL970" s="81" t="str">
        <f aca="false">IF(AH970&lt;&gt;"",AH970,IF(AC970&lt;&gt;"",AC970,IF(X970&lt;&gt;"",X970,"")))</f>
        <v/>
      </c>
      <c r="AM970" s="83" t="str">
        <f aca="false">IF(E970="","",IF(R970="","À SOUDER",IF(U970="","VT EN ATTENTE",IF(U970="R","VT REJETÉ – À REPRENDRE",IF(AL970="","À RADIOGRAPHIER",IF(AL970="A","ACCEPTÉ",IF(AL970="NX","NX – RT À REFAIRE",IF(IF(AK970=1,Z970,IF(AK970=2,AE970,""))="A","RÉPARÉ – À RADIOGRAPHIER",IF(IF(AK970=1,Z970,IF(AK970=2,AE970,""))="R","VT REJETÉ – À REPRENDRE",IF(OR(AL970="CO",AL970="NT"),"COUPE – À RESOUDER","À RÉPARER"))))))))))</f>
        <v/>
      </c>
      <c r="AN970" s="81" t="str">
        <f aca="false">IF(AND(ISNUMBER(R970),OR(AM970="À RADIOGRAPHIER",AM970="RÉPARÉ – À RADIOGRAPHIER",AM970="NX – RT À REFAIRE",AM970="À RÉPARER",AM970="COUPE – À RESOUDER",AM970="VT REJETÉ – À REPRENDRE")),MAX(0,'PROGRAMME RT'!$C$4-R970),"")</f>
        <v/>
      </c>
      <c r="AO970" s="78" t="n">
        <f aca="false">IF(AND(OR(AM970="À RADIOGRAPHIER",AM970="RÉPARÉ – À RADIOGRAPHIER",AM970="NX – RT À REFAIRE"),OR('PROGRAMME RT'!$D$5="TOUTES",B970='PROGRAMME RT'!$D$5)),1,0)</f>
        <v>0</v>
      </c>
      <c r="AP970" s="78" t="str">
        <f aca="false">IF(AO970=1,SUM(AO$7:AO970),"")</f>
        <v/>
      </c>
      <c r="AQ970" s="78" t="n">
        <f aca="false">IF(AND(OR(X970="R",X970="NX",X970="NT",X970="CO"),OR('JOINTS DE RÉPARATION'!$D$5="TOUTES",B970='JOINTS DE RÉPARATION'!$D$5),OR('JOINTS DE RÉPARATION'!$L$4="TOUS",AM970&lt;&gt;"ACCEPTÉ")),1,0)</f>
        <v>0</v>
      </c>
      <c r="AR970" s="78" t="str">
        <f aca="false">IF(AQ970=1,SUM(AQ$7:AQ970),"")</f>
        <v/>
      </c>
    </row>
    <row r="971" customFormat="false" ht="15" hidden="false" customHeight="false" outlineLevel="0" collapsed="false">
      <c r="A971" s="78" t="str">
        <f aca="false">IF(E971="","",ROW()-6)</f>
        <v/>
      </c>
      <c r="B971" s="79"/>
      <c r="C971" s="80"/>
      <c r="D971" s="80"/>
      <c r="E971" s="80"/>
      <c r="F971" s="80"/>
      <c r="G971" s="80"/>
      <c r="H971" s="80"/>
      <c r="I971" s="80"/>
      <c r="J971" s="80"/>
      <c r="K971" s="80"/>
      <c r="L971" s="81" t="str">
        <f aca="false">IF(K971="","",IFERROR(INDEX(BARDAGE!$C$7:$C$1506,MATCH(K971,BARDAGE!$B$7:$B$1506,0)),"? hors registre"))</f>
        <v/>
      </c>
      <c r="M971" s="80"/>
      <c r="N971" s="81" t="str">
        <f aca="false">IF(M971="","",IFERROR(INDEX(BARDAGE!$C$7:$C$1506,MATCH(M971,BARDAGE!$B$7:$B$1506,0)),"? hors registre"))</f>
        <v/>
      </c>
      <c r="O971" s="80"/>
      <c r="P971" s="80"/>
      <c r="Q971" s="80"/>
      <c r="R971" s="82"/>
      <c r="S971" s="82"/>
      <c r="T971" s="80"/>
      <c r="U971" s="80"/>
      <c r="V971" s="82"/>
      <c r="W971" s="80"/>
      <c r="X971" s="80"/>
      <c r="Y971" s="80"/>
      <c r="Z971" s="80"/>
      <c r="AA971" s="82"/>
      <c r="AB971" s="80"/>
      <c r="AC971" s="80"/>
      <c r="AD971" s="80"/>
      <c r="AE971" s="80"/>
      <c r="AF971" s="82"/>
      <c r="AG971" s="80"/>
      <c r="AH971" s="80"/>
      <c r="AI971" s="82"/>
      <c r="AJ971" s="79"/>
      <c r="AK971" s="78" t="str">
        <f aca="false">IF(E971="","",(X971&lt;&gt;"")+(AC971&lt;&gt;"")+(AH971&lt;&gt;""))</f>
        <v/>
      </c>
      <c r="AL971" s="81" t="str">
        <f aca="false">IF(AH971&lt;&gt;"",AH971,IF(AC971&lt;&gt;"",AC971,IF(X971&lt;&gt;"",X971,"")))</f>
        <v/>
      </c>
      <c r="AM971" s="83" t="str">
        <f aca="false">IF(E971="","",IF(R971="","À SOUDER",IF(U971="","VT EN ATTENTE",IF(U971="R","VT REJETÉ – À REPRENDRE",IF(AL971="","À RADIOGRAPHIER",IF(AL971="A","ACCEPTÉ",IF(AL971="NX","NX – RT À REFAIRE",IF(IF(AK971=1,Z971,IF(AK971=2,AE971,""))="A","RÉPARÉ – À RADIOGRAPHIER",IF(IF(AK971=1,Z971,IF(AK971=2,AE971,""))="R","VT REJETÉ – À REPRENDRE",IF(OR(AL971="CO",AL971="NT"),"COUPE – À RESOUDER","À RÉPARER"))))))))))</f>
        <v/>
      </c>
      <c r="AN971" s="81" t="str">
        <f aca="false">IF(AND(ISNUMBER(R971),OR(AM971="À RADIOGRAPHIER",AM971="RÉPARÉ – À RADIOGRAPHIER",AM971="NX – RT À REFAIRE",AM971="À RÉPARER",AM971="COUPE – À RESOUDER",AM971="VT REJETÉ – À REPRENDRE")),MAX(0,'PROGRAMME RT'!$C$4-R971),"")</f>
        <v/>
      </c>
      <c r="AO971" s="78" t="n">
        <f aca="false">IF(AND(OR(AM971="À RADIOGRAPHIER",AM971="RÉPARÉ – À RADIOGRAPHIER",AM971="NX – RT À REFAIRE"),OR('PROGRAMME RT'!$D$5="TOUTES",B971='PROGRAMME RT'!$D$5)),1,0)</f>
        <v>0</v>
      </c>
      <c r="AP971" s="78" t="str">
        <f aca="false">IF(AO971=1,SUM(AO$7:AO971),"")</f>
        <v/>
      </c>
      <c r="AQ971" s="78" t="n">
        <f aca="false">IF(AND(OR(X971="R",X971="NX",X971="NT",X971="CO"),OR('JOINTS DE RÉPARATION'!$D$5="TOUTES",B971='JOINTS DE RÉPARATION'!$D$5),OR('JOINTS DE RÉPARATION'!$L$4="TOUS",AM971&lt;&gt;"ACCEPTÉ")),1,0)</f>
        <v>0</v>
      </c>
      <c r="AR971" s="78" t="str">
        <f aca="false">IF(AQ971=1,SUM(AQ$7:AQ971),"")</f>
        <v/>
      </c>
    </row>
    <row r="972" customFormat="false" ht="15" hidden="false" customHeight="false" outlineLevel="0" collapsed="false">
      <c r="A972" s="78" t="str">
        <f aca="false">IF(E972="","",ROW()-6)</f>
        <v/>
      </c>
      <c r="B972" s="79"/>
      <c r="C972" s="80"/>
      <c r="D972" s="80"/>
      <c r="E972" s="80"/>
      <c r="F972" s="80"/>
      <c r="G972" s="80"/>
      <c r="H972" s="80"/>
      <c r="I972" s="80"/>
      <c r="J972" s="80"/>
      <c r="K972" s="80"/>
      <c r="L972" s="81" t="str">
        <f aca="false">IF(K972="","",IFERROR(INDEX(BARDAGE!$C$7:$C$1506,MATCH(K972,BARDAGE!$B$7:$B$1506,0)),"? hors registre"))</f>
        <v/>
      </c>
      <c r="M972" s="80"/>
      <c r="N972" s="81" t="str">
        <f aca="false">IF(M972="","",IFERROR(INDEX(BARDAGE!$C$7:$C$1506,MATCH(M972,BARDAGE!$B$7:$B$1506,0)),"? hors registre"))</f>
        <v/>
      </c>
      <c r="O972" s="80"/>
      <c r="P972" s="80"/>
      <c r="Q972" s="80"/>
      <c r="R972" s="82"/>
      <c r="S972" s="82"/>
      <c r="T972" s="80"/>
      <c r="U972" s="80"/>
      <c r="V972" s="82"/>
      <c r="W972" s="80"/>
      <c r="X972" s="80"/>
      <c r="Y972" s="80"/>
      <c r="Z972" s="80"/>
      <c r="AA972" s="82"/>
      <c r="AB972" s="80"/>
      <c r="AC972" s="80"/>
      <c r="AD972" s="80"/>
      <c r="AE972" s="80"/>
      <c r="AF972" s="82"/>
      <c r="AG972" s="80"/>
      <c r="AH972" s="80"/>
      <c r="AI972" s="82"/>
      <c r="AJ972" s="79"/>
      <c r="AK972" s="78" t="str">
        <f aca="false">IF(E972="","",(X972&lt;&gt;"")+(AC972&lt;&gt;"")+(AH972&lt;&gt;""))</f>
        <v/>
      </c>
      <c r="AL972" s="81" t="str">
        <f aca="false">IF(AH972&lt;&gt;"",AH972,IF(AC972&lt;&gt;"",AC972,IF(X972&lt;&gt;"",X972,"")))</f>
        <v/>
      </c>
      <c r="AM972" s="83" t="str">
        <f aca="false">IF(E972="","",IF(R972="","À SOUDER",IF(U972="","VT EN ATTENTE",IF(U972="R","VT REJETÉ – À REPRENDRE",IF(AL972="","À RADIOGRAPHIER",IF(AL972="A","ACCEPTÉ",IF(AL972="NX","NX – RT À REFAIRE",IF(IF(AK972=1,Z972,IF(AK972=2,AE972,""))="A","RÉPARÉ – À RADIOGRAPHIER",IF(IF(AK972=1,Z972,IF(AK972=2,AE972,""))="R","VT REJETÉ – À REPRENDRE",IF(OR(AL972="CO",AL972="NT"),"COUPE – À RESOUDER","À RÉPARER"))))))))))</f>
        <v/>
      </c>
      <c r="AN972" s="81" t="str">
        <f aca="false">IF(AND(ISNUMBER(R972),OR(AM972="À RADIOGRAPHIER",AM972="RÉPARÉ – À RADIOGRAPHIER",AM972="NX – RT À REFAIRE",AM972="À RÉPARER",AM972="COUPE – À RESOUDER",AM972="VT REJETÉ – À REPRENDRE")),MAX(0,'PROGRAMME RT'!$C$4-R972),"")</f>
        <v/>
      </c>
      <c r="AO972" s="78" t="n">
        <f aca="false">IF(AND(OR(AM972="À RADIOGRAPHIER",AM972="RÉPARÉ – À RADIOGRAPHIER",AM972="NX – RT À REFAIRE"),OR('PROGRAMME RT'!$D$5="TOUTES",B972='PROGRAMME RT'!$D$5)),1,0)</f>
        <v>0</v>
      </c>
      <c r="AP972" s="78" t="str">
        <f aca="false">IF(AO972=1,SUM(AO$7:AO972),"")</f>
        <v/>
      </c>
      <c r="AQ972" s="78" t="n">
        <f aca="false">IF(AND(OR(X972="R",X972="NX",X972="NT",X972="CO"),OR('JOINTS DE RÉPARATION'!$D$5="TOUTES",B972='JOINTS DE RÉPARATION'!$D$5),OR('JOINTS DE RÉPARATION'!$L$4="TOUS",AM972&lt;&gt;"ACCEPTÉ")),1,0)</f>
        <v>0</v>
      </c>
      <c r="AR972" s="78" t="str">
        <f aca="false">IF(AQ972=1,SUM(AQ$7:AQ972),"")</f>
        <v/>
      </c>
    </row>
    <row r="973" customFormat="false" ht="15" hidden="false" customHeight="false" outlineLevel="0" collapsed="false">
      <c r="A973" s="78" t="str">
        <f aca="false">IF(E973="","",ROW()-6)</f>
        <v/>
      </c>
      <c r="B973" s="79"/>
      <c r="C973" s="80"/>
      <c r="D973" s="80"/>
      <c r="E973" s="80"/>
      <c r="F973" s="80"/>
      <c r="G973" s="80"/>
      <c r="H973" s="80"/>
      <c r="I973" s="80"/>
      <c r="J973" s="80"/>
      <c r="K973" s="80"/>
      <c r="L973" s="81" t="str">
        <f aca="false">IF(K973="","",IFERROR(INDEX(BARDAGE!$C$7:$C$1506,MATCH(K973,BARDAGE!$B$7:$B$1506,0)),"? hors registre"))</f>
        <v/>
      </c>
      <c r="M973" s="80"/>
      <c r="N973" s="81" t="str">
        <f aca="false">IF(M973="","",IFERROR(INDEX(BARDAGE!$C$7:$C$1506,MATCH(M973,BARDAGE!$B$7:$B$1506,0)),"? hors registre"))</f>
        <v/>
      </c>
      <c r="O973" s="80"/>
      <c r="P973" s="80"/>
      <c r="Q973" s="80"/>
      <c r="R973" s="82"/>
      <c r="S973" s="82"/>
      <c r="T973" s="80"/>
      <c r="U973" s="80"/>
      <c r="V973" s="82"/>
      <c r="W973" s="80"/>
      <c r="X973" s="80"/>
      <c r="Y973" s="80"/>
      <c r="Z973" s="80"/>
      <c r="AA973" s="82"/>
      <c r="AB973" s="80"/>
      <c r="AC973" s="80"/>
      <c r="AD973" s="80"/>
      <c r="AE973" s="80"/>
      <c r="AF973" s="82"/>
      <c r="AG973" s="80"/>
      <c r="AH973" s="80"/>
      <c r="AI973" s="82"/>
      <c r="AJ973" s="79"/>
      <c r="AK973" s="78" t="str">
        <f aca="false">IF(E973="","",(X973&lt;&gt;"")+(AC973&lt;&gt;"")+(AH973&lt;&gt;""))</f>
        <v/>
      </c>
      <c r="AL973" s="81" t="str">
        <f aca="false">IF(AH973&lt;&gt;"",AH973,IF(AC973&lt;&gt;"",AC973,IF(X973&lt;&gt;"",X973,"")))</f>
        <v/>
      </c>
      <c r="AM973" s="83" t="str">
        <f aca="false">IF(E973="","",IF(R973="","À SOUDER",IF(U973="","VT EN ATTENTE",IF(U973="R","VT REJETÉ – À REPRENDRE",IF(AL973="","À RADIOGRAPHIER",IF(AL973="A","ACCEPTÉ",IF(AL973="NX","NX – RT À REFAIRE",IF(IF(AK973=1,Z973,IF(AK973=2,AE973,""))="A","RÉPARÉ – À RADIOGRAPHIER",IF(IF(AK973=1,Z973,IF(AK973=2,AE973,""))="R","VT REJETÉ – À REPRENDRE",IF(OR(AL973="CO",AL973="NT"),"COUPE – À RESOUDER","À RÉPARER"))))))))))</f>
        <v/>
      </c>
      <c r="AN973" s="81" t="str">
        <f aca="false">IF(AND(ISNUMBER(R973),OR(AM973="À RADIOGRAPHIER",AM973="RÉPARÉ – À RADIOGRAPHIER",AM973="NX – RT À REFAIRE",AM973="À RÉPARER",AM973="COUPE – À RESOUDER",AM973="VT REJETÉ – À REPRENDRE")),MAX(0,'PROGRAMME RT'!$C$4-R973),"")</f>
        <v/>
      </c>
      <c r="AO973" s="78" t="n">
        <f aca="false">IF(AND(OR(AM973="À RADIOGRAPHIER",AM973="RÉPARÉ – À RADIOGRAPHIER",AM973="NX – RT À REFAIRE"),OR('PROGRAMME RT'!$D$5="TOUTES",B973='PROGRAMME RT'!$D$5)),1,0)</f>
        <v>0</v>
      </c>
      <c r="AP973" s="78" t="str">
        <f aca="false">IF(AO973=1,SUM(AO$7:AO973),"")</f>
        <v/>
      </c>
      <c r="AQ973" s="78" t="n">
        <f aca="false">IF(AND(OR(X973="R",X973="NX",X973="NT",X973="CO"),OR('JOINTS DE RÉPARATION'!$D$5="TOUTES",B973='JOINTS DE RÉPARATION'!$D$5),OR('JOINTS DE RÉPARATION'!$L$4="TOUS",AM973&lt;&gt;"ACCEPTÉ")),1,0)</f>
        <v>0</v>
      </c>
      <c r="AR973" s="78" t="str">
        <f aca="false">IF(AQ973=1,SUM(AQ$7:AQ973),"")</f>
        <v/>
      </c>
    </row>
    <row r="974" customFormat="false" ht="15" hidden="false" customHeight="false" outlineLevel="0" collapsed="false">
      <c r="A974" s="78" t="str">
        <f aca="false">IF(E974="","",ROW()-6)</f>
        <v/>
      </c>
      <c r="B974" s="79"/>
      <c r="C974" s="80"/>
      <c r="D974" s="80"/>
      <c r="E974" s="80"/>
      <c r="F974" s="80"/>
      <c r="G974" s="80"/>
      <c r="H974" s="80"/>
      <c r="I974" s="80"/>
      <c r="J974" s="80"/>
      <c r="K974" s="80"/>
      <c r="L974" s="81" t="str">
        <f aca="false">IF(K974="","",IFERROR(INDEX(BARDAGE!$C$7:$C$1506,MATCH(K974,BARDAGE!$B$7:$B$1506,0)),"? hors registre"))</f>
        <v/>
      </c>
      <c r="M974" s="80"/>
      <c r="N974" s="81" t="str">
        <f aca="false">IF(M974="","",IFERROR(INDEX(BARDAGE!$C$7:$C$1506,MATCH(M974,BARDAGE!$B$7:$B$1506,0)),"? hors registre"))</f>
        <v/>
      </c>
      <c r="O974" s="80"/>
      <c r="P974" s="80"/>
      <c r="Q974" s="80"/>
      <c r="R974" s="82"/>
      <c r="S974" s="82"/>
      <c r="T974" s="80"/>
      <c r="U974" s="80"/>
      <c r="V974" s="82"/>
      <c r="W974" s="80"/>
      <c r="X974" s="80"/>
      <c r="Y974" s="80"/>
      <c r="Z974" s="80"/>
      <c r="AA974" s="82"/>
      <c r="AB974" s="80"/>
      <c r="AC974" s="80"/>
      <c r="AD974" s="80"/>
      <c r="AE974" s="80"/>
      <c r="AF974" s="82"/>
      <c r="AG974" s="80"/>
      <c r="AH974" s="80"/>
      <c r="AI974" s="82"/>
      <c r="AJ974" s="79"/>
      <c r="AK974" s="78" t="str">
        <f aca="false">IF(E974="","",(X974&lt;&gt;"")+(AC974&lt;&gt;"")+(AH974&lt;&gt;""))</f>
        <v/>
      </c>
      <c r="AL974" s="81" t="str">
        <f aca="false">IF(AH974&lt;&gt;"",AH974,IF(AC974&lt;&gt;"",AC974,IF(X974&lt;&gt;"",X974,"")))</f>
        <v/>
      </c>
      <c r="AM974" s="83" t="str">
        <f aca="false">IF(E974="","",IF(R974="","À SOUDER",IF(U974="","VT EN ATTENTE",IF(U974="R","VT REJETÉ – À REPRENDRE",IF(AL974="","À RADIOGRAPHIER",IF(AL974="A","ACCEPTÉ",IF(AL974="NX","NX – RT À REFAIRE",IF(IF(AK974=1,Z974,IF(AK974=2,AE974,""))="A","RÉPARÉ – À RADIOGRAPHIER",IF(IF(AK974=1,Z974,IF(AK974=2,AE974,""))="R","VT REJETÉ – À REPRENDRE",IF(OR(AL974="CO",AL974="NT"),"COUPE – À RESOUDER","À RÉPARER"))))))))))</f>
        <v/>
      </c>
      <c r="AN974" s="81" t="str">
        <f aca="false">IF(AND(ISNUMBER(R974),OR(AM974="À RADIOGRAPHIER",AM974="RÉPARÉ – À RADIOGRAPHIER",AM974="NX – RT À REFAIRE",AM974="À RÉPARER",AM974="COUPE – À RESOUDER",AM974="VT REJETÉ – À REPRENDRE")),MAX(0,'PROGRAMME RT'!$C$4-R974),"")</f>
        <v/>
      </c>
      <c r="AO974" s="78" t="n">
        <f aca="false">IF(AND(OR(AM974="À RADIOGRAPHIER",AM974="RÉPARÉ – À RADIOGRAPHIER",AM974="NX – RT À REFAIRE"),OR('PROGRAMME RT'!$D$5="TOUTES",B974='PROGRAMME RT'!$D$5)),1,0)</f>
        <v>0</v>
      </c>
      <c r="AP974" s="78" t="str">
        <f aca="false">IF(AO974=1,SUM(AO$7:AO974),"")</f>
        <v/>
      </c>
      <c r="AQ974" s="78" t="n">
        <f aca="false">IF(AND(OR(X974="R",X974="NX",X974="NT",X974="CO"),OR('JOINTS DE RÉPARATION'!$D$5="TOUTES",B974='JOINTS DE RÉPARATION'!$D$5),OR('JOINTS DE RÉPARATION'!$L$4="TOUS",AM974&lt;&gt;"ACCEPTÉ")),1,0)</f>
        <v>0</v>
      </c>
      <c r="AR974" s="78" t="str">
        <f aca="false">IF(AQ974=1,SUM(AQ$7:AQ974),"")</f>
        <v/>
      </c>
    </row>
    <row r="975" customFormat="false" ht="15" hidden="false" customHeight="false" outlineLevel="0" collapsed="false">
      <c r="A975" s="78" t="str">
        <f aca="false">IF(E975="","",ROW()-6)</f>
        <v/>
      </c>
      <c r="B975" s="79"/>
      <c r="C975" s="80"/>
      <c r="D975" s="80"/>
      <c r="E975" s="80"/>
      <c r="F975" s="80"/>
      <c r="G975" s="80"/>
      <c r="H975" s="80"/>
      <c r="I975" s="80"/>
      <c r="J975" s="80"/>
      <c r="K975" s="80"/>
      <c r="L975" s="81" t="str">
        <f aca="false">IF(K975="","",IFERROR(INDEX(BARDAGE!$C$7:$C$1506,MATCH(K975,BARDAGE!$B$7:$B$1506,0)),"? hors registre"))</f>
        <v/>
      </c>
      <c r="M975" s="80"/>
      <c r="N975" s="81" t="str">
        <f aca="false">IF(M975="","",IFERROR(INDEX(BARDAGE!$C$7:$C$1506,MATCH(M975,BARDAGE!$B$7:$B$1506,0)),"? hors registre"))</f>
        <v/>
      </c>
      <c r="O975" s="80"/>
      <c r="P975" s="80"/>
      <c r="Q975" s="80"/>
      <c r="R975" s="82"/>
      <c r="S975" s="82"/>
      <c r="T975" s="80"/>
      <c r="U975" s="80"/>
      <c r="V975" s="82"/>
      <c r="W975" s="80"/>
      <c r="X975" s="80"/>
      <c r="Y975" s="80"/>
      <c r="Z975" s="80"/>
      <c r="AA975" s="82"/>
      <c r="AB975" s="80"/>
      <c r="AC975" s="80"/>
      <c r="AD975" s="80"/>
      <c r="AE975" s="80"/>
      <c r="AF975" s="82"/>
      <c r="AG975" s="80"/>
      <c r="AH975" s="80"/>
      <c r="AI975" s="82"/>
      <c r="AJ975" s="79"/>
      <c r="AK975" s="78" t="str">
        <f aca="false">IF(E975="","",(X975&lt;&gt;"")+(AC975&lt;&gt;"")+(AH975&lt;&gt;""))</f>
        <v/>
      </c>
      <c r="AL975" s="81" t="str">
        <f aca="false">IF(AH975&lt;&gt;"",AH975,IF(AC975&lt;&gt;"",AC975,IF(X975&lt;&gt;"",X975,"")))</f>
        <v/>
      </c>
      <c r="AM975" s="83" t="str">
        <f aca="false">IF(E975="","",IF(R975="","À SOUDER",IF(U975="","VT EN ATTENTE",IF(U975="R","VT REJETÉ – À REPRENDRE",IF(AL975="","À RADIOGRAPHIER",IF(AL975="A","ACCEPTÉ",IF(AL975="NX","NX – RT À REFAIRE",IF(IF(AK975=1,Z975,IF(AK975=2,AE975,""))="A","RÉPARÉ – À RADIOGRAPHIER",IF(IF(AK975=1,Z975,IF(AK975=2,AE975,""))="R","VT REJETÉ – À REPRENDRE",IF(OR(AL975="CO",AL975="NT"),"COUPE – À RESOUDER","À RÉPARER"))))))))))</f>
        <v/>
      </c>
      <c r="AN975" s="81" t="str">
        <f aca="false">IF(AND(ISNUMBER(R975),OR(AM975="À RADIOGRAPHIER",AM975="RÉPARÉ – À RADIOGRAPHIER",AM975="NX – RT À REFAIRE",AM975="À RÉPARER",AM975="COUPE – À RESOUDER",AM975="VT REJETÉ – À REPRENDRE")),MAX(0,'PROGRAMME RT'!$C$4-R975),"")</f>
        <v/>
      </c>
      <c r="AO975" s="78" t="n">
        <f aca="false">IF(AND(OR(AM975="À RADIOGRAPHIER",AM975="RÉPARÉ – À RADIOGRAPHIER",AM975="NX – RT À REFAIRE"),OR('PROGRAMME RT'!$D$5="TOUTES",B975='PROGRAMME RT'!$D$5)),1,0)</f>
        <v>0</v>
      </c>
      <c r="AP975" s="78" t="str">
        <f aca="false">IF(AO975=1,SUM(AO$7:AO975),"")</f>
        <v/>
      </c>
      <c r="AQ975" s="78" t="n">
        <f aca="false">IF(AND(OR(X975="R",X975="NX",X975="NT",X975="CO"),OR('JOINTS DE RÉPARATION'!$D$5="TOUTES",B975='JOINTS DE RÉPARATION'!$D$5),OR('JOINTS DE RÉPARATION'!$L$4="TOUS",AM975&lt;&gt;"ACCEPTÉ")),1,0)</f>
        <v>0</v>
      </c>
      <c r="AR975" s="78" t="str">
        <f aca="false">IF(AQ975=1,SUM(AQ$7:AQ975),"")</f>
        <v/>
      </c>
    </row>
    <row r="976" customFormat="false" ht="15" hidden="false" customHeight="false" outlineLevel="0" collapsed="false">
      <c r="A976" s="78" t="str">
        <f aca="false">IF(E976="","",ROW()-6)</f>
        <v/>
      </c>
      <c r="B976" s="79"/>
      <c r="C976" s="80"/>
      <c r="D976" s="80"/>
      <c r="E976" s="80"/>
      <c r="F976" s="80"/>
      <c r="G976" s="80"/>
      <c r="H976" s="80"/>
      <c r="I976" s="80"/>
      <c r="J976" s="80"/>
      <c r="K976" s="80"/>
      <c r="L976" s="81" t="str">
        <f aca="false">IF(K976="","",IFERROR(INDEX(BARDAGE!$C$7:$C$1506,MATCH(K976,BARDAGE!$B$7:$B$1506,0)),"? hors registre"))</f>
        <v/>
      </c>
      <c r="M976" s="80"/>
      <c r="N976" s="81" t="str">
        <f aca="false">IF(M976="","",IFERROR(INDEX(BARDAGE!$C$7:$C$1506,MATCH(M976,BARDAGE!$B$7:$B$1506,0)),"? hors registre"))</f>
        <v/>
      </c>
      <c r="O976" s="80"/>
      <c r="P976" s="80"/>
      <c r="Q976" s="80"/>
      <c r="R976" s="82"/>
      <c r="S976" s="82"/>
      <c r="T976" s="80"/>
      <c r="U976" s="80"/>
      <c r="V976" s="82"/>
      <c r="W976" s="80"/>
      <c r="X976" s="80"/>
      <c r="Y976" s="80"/>
      <c r="Z976" s="80"/>
      <c r="AA976" s="82"/>
      <c r="AB976" s="80"/>
      <c r="AC976" s="80"/>
      <c r="AD976" s="80"/>
      <c r="AE976" s="80"/>
      <c r="AF976" s="82"/>
      <c r="AG976" s="80"/>
      <c r="AH976" s="80"/>
      <c r="AI976" s="82"/>
      <c r="AJ976" s="79"/>
      <c r="AK976" s="78" t="str">
        <f aca="false">IF(E976="","",(X976&lt;&gt;"")+(AC976&lt;&gt;"")+(AH976&lt;&gt;""))</f>
        <v/>
      </c>
      <c r="AL976" s="81" t="str">
        <f aca="false">IF(AH976&lt;&gt;"",AH976,IF(AC976&lt;&gt;"",AC976,IF(X976&lt;&gt;"",X976,"")))</f>
        <v/>
      </c>
      <c r="AM976" s="83" t="str">
        <f aca="false">IF(E976="","",IF(R976="","À SOUDER",IF(U976="","VT EN ATTENTE",IF(U976="R","VT REJETÉ – À REPRENDRE",IF(AL976="","À RADIOGRAPHIER",IF(AL976="A","ACCEPTÉ",IF(AL976="NX","NX – RT À REFAIRE",IF(IF(AK976=1,Z976,IF(AK976=2,AE976,""))="A","RÉPARÉ – À RADIOGRAPHIER",IF(IF(AK976=1,Z976,IF(AK976=2,AE976,""))="R","VT REJETÉ – À REPRENDRE",IF(OR(AL976="CO",AL976="NT"),"COUPE – À RESOUDER","À RÉPARER"))))))))))</f>
        <v/>
      </c>
      <c r="AN976" s="81" t="str">
        <f aca="false">IF(AND(ISNUMBER(R976),OR(AM976="À RADIOGRAPHIER",AM976="RÉPARÉ – À RADIOGRAPHIER",AM976="NX – RT À REFAIRE",AM976="À RÉPARER",AM976="COUPE – À RESOUDER",AM976="VT REJETÉ – À REPRENDRE")),MAX(0,'PROGRAMME RT'!$C$4-R976),"")</f>
        <v/>
      </c>
      <c r="AO976" s="78" t="n">
        <f aca="false">IF(AND(OR(AM976="À RADIOGRAPHIER",AM976="RÉPARÉ – À RADIOGRAPHIER",AM976="NX – RT À REFAIRE"),OR('PROGRAMME RT'!$D$5="TOUTES",B976='PROGRAMME RT'!$D$5)),1,0)</f>
        <v>0</v>
      </c>
      <c r="AP976" s="78" t="str">
        <f aca="false">IF(AO976=1,SUM(AO$7:AO976),"")</f>
        <v/>
      </c>
      <c r="AQ976" s="78" t="n">
        <f aca="false">IF(AND(OR(X976="R",X976="NX",X976="NT",X976="CO"),OR('JOINTS DE RÉPARATION'!$D$5="TOUTES",B976='JOINTS DE RÉPARATION'!$D$5),OR('JOINTS DE RÉPARATION'!$L$4="TOUS",AM976&lt;&gt;"ACCEPTÉ")),1,0)</f>
        <v>0</v>
      </c>
      <c r="AR976" s="78" t="str">
        <f aca="false">IF(AQ976=1,SUM(AQ$7:AQ976),"")</f>
        <v/>
      </c>
    </row>
    <row r="977" customFormat="false" ht="15" hidden="false" customHeight="false" outlineLevel="0" collapsed="false">
      <c r="A977" s="78" t="str">
        <f aca="false">IF(E977="","",ROW()-6)</f>
        <v/>
      </c>
      <c r="B977" s="79"/>
      <c r="C977" s="80"/>
      <c r="D977" s="80"/>
      <c r="E977" s="80"/>
      <c r="F977" s="80"/>
      <c r="G977" s="80"/>
      <c r="H977" s="80"/>
      <c r="I977" s="80"/>
      <c r="J977" s="80"/>
      <c r="K977" s="80"/>
      <c r="L977" s="81" t="str">
        <f aca="false">IF(K977="","",IFERROR(INDEX(BARDAGE!$C$7:$C$1506,MATCH(K977,BARDAGE!$B$7:$B$1506,0)),"? hors registre"))</f>
        <v/>
      </c>
      <c r="M977" s="80"/>
      <c r="N977" s="81" t="str">
        <f aca="false">IF(M977="","",IFERROR(INDEX(BARDAGE!$C$7:$C$1506,MATCH(M977,BARDAGE!$B$7:$B$1506,0)),"? hors registre"))</f>
        <v/>
      </c>
      <c r="O977" s="80"/>
      <c r="P977" s="80"/>
      <c r="Q977" s="80"/>
      <c r="R977" s="82"/>
      <c r="S977" s="82"/>
      <c r="T977" s="80"/>
      <c r="U977" s="80"/>
      <c r="V977" s="82"/>
      <c r="W977" s="80"/>
      <c r="X977" s="80"/>
      <c r="Y977" s="80"/>
      <c r="Z977" s="80"/>
      <c r="AA977" s="82"/>
      <c r="AB977" s="80"/>
      <c r="AC977" s="80"/>
      <c r="AD977" s="80"/>
      <c r="AE977" s="80"/>
      <c r="AF977" s="82"/>
      <c r="AG977" s="80"/>
      <c r="AH977" s="80"/>
      <c r="AI977" s="82"/>
      <c r="AJ977" s="79"/>
      <c r="AK977" s="78" t="str">
        <f aca="false">IF(E977="","",(X977&lt;&gt;"")+(AC977&lt;&gt;"")+(AH977&lt;&gt;""))</f>
        <v/>
      </c>
      <c r="AL977" s="81" t="str">
        <f aca="false">IF(AH977&lt;&gt;"",AH977,IF(AC977&lt;&gt;"",AC977,IF(X977&lt;&gt;"",X977,"")))</f>
        <v/>
      </c>
      <c r="AM977" s="83" t="str">
        <f aca="false">IF(E977="","",IF(R977="","À SOUDER",IF(U977="","VT EN ATTENTE",IF(U977="R","VT REJETÉ – À REPRENDRE",IF(AL977="","À RADIOGRAPHIER",IF(AL977="A","ACCEPTÉ",IF(AL977="NX","NX – RT À REFAIRE",IF(IF(AK977=1,Z977,IF(AK977=2,AE977,""))="A","RÉPARÉ – À RADIOGRAPHIER",IF(IF(AK977=1,Z977,IF(AK977=2,AE977,""))="R","VT REJETÉ – À REPRENDRE",IF(OR(AL977="CO",AL977="NT"),"COUPE – À RESOUDER","À RÉPARER"))))))))))</f>
        <v/>
      </c>
      <c r="AN977" s="81" t="str">
        <f aca="false">IF(AND(ISNUMBER(R977),OR(AM977="À RADIOGRAPHIER",AM977="RÉPARÉ – À RADIOGRAPHIER",AM977="NX – RT À REFAIRE",AM977="À RÉPARER",AM977="COUPE – À RESOUDER",AM977="VT REJETÉ – À REPRENDRE")),MAX(0,'PROGRAMME RT'!$C$4-R977),"")</f>
        <v/>
      </c>
      <c r="AO977" s="78" t="n">
        <f aca="false">IF(AND(OR(AM977="À RADIOGRAPHIER",AM977="RÉPARÉ – À RADIOGRAPHIER",AM977="NX – RT À REFAIRE"),OR('PROGRAMME RT'!$D$5="TOUTES",B977='PROGRAMME RT'!$D$5)),1,0)</f>
        <v>0</v>
      </c>
      <c r="AP977" s="78" t="str">
        <f aca="false">IF(AO977=1,SUM(AO$7:AO977),"")</f>
        <v/>
      </c>
      <c r="AQ977" s="78" t="n">
        <f aca="false">IF(AND(OR(X977="R",X977="NX",X977="NT",X977="CO"),OR('JOINTS DE RÉPARATION'!$D$5="TOUTES",B977='JOINTS DE RÉPARATION'!$D$5),OR('JOINTS DE RÉPARATION'!$L$4="TOUS",AM977&lt;&gt;"ACCEPTÉ")),1,0)</f>
        <v>0</v>
      </c>
      <c r="AR977" s="78" t="str">
        <f aca="false">IF(AQ977=1,SUM(AQ$7:AQ977),"")</f>
        <v/>
      </c>
    </row>
    <row r="978" customFormat="false" ht="15" hidden="false" customHeight="false" outlineLevel="0" collapsed="false">
      <c r="A978" s="78" t="str">
        <f aca="false">IF(E978="","",ROW()-6)</f>
        <v/>
      </c>
      <c r="B978" s="79"/>
      <c r="C978" s="80"/>
      <c r="D978" s="80"/>
      <c r="E978" s="80"/>
      <c r="F978" s="80"/>
      <c r="G978" s="80"/>
      <c r="H978" s="80"/>
      <c r="I978" s="80"/>
      <c r="J978" s="80"/>
      <c r="K978" s="80"/>
      <c r="L978" s="81" t="str">
        <f aca="false">IF(K978="","",IFERROR(INDEX(BARDAGE!$C$7:$C$1506,MATCH(K978,BARDAGE!$B$7:$B$1506,0)),"? hors registre"))</f>
        <v/>
      </c>
      <c r="M978" s="80"/>
      <c r="N978" s="81" t="str">
        <f aca="false">IF(M978="","",IFERROR(INDEX(BARDAGE!$C$7:$C$1506,MATCH(M978,BARDAGE!$B$7:$B$1506,0)),"? hors registre"))</f>
        <v/>
      </c>
      <c r="O978" s="80"/>
      <c r="P978" s="80"/>
      <c r="Q978" s="80"/>
      <c r="R978" s="82"/>
      <c r="S978" s="82"/>
      <c r="T978" s="80"/>
      <c r="U978" s="80"/>
      <c r="V978" s="82"/>
      <c r="W978" s="80"/>
      <c r="X978" s="80"/>
      <c r="Y978" s="80"/>
      <c r="Z978" s="80"/>
      <c r="AA978" s="82"/>
      <c r="AB978" s="80"/>
      <c r="AC978" s="80"/>
      <c r="AD978" s="80"/>
      <c r="AE978" s="80"/>
      <c r="AF978" s="82"/>
      <c r="AG978" s="80"/>
      <c r="AH978" s="80"/>
      <c r="AI978" s="82"/>
      <c r="AJ978" s="79"/>
      <c r="AK978" s="78" t="str">
        <f aca="false">IF(E978="","",(X978&lt;&gt;"")+(AC978&lt;&gt;"")+(AH978&lt;&gt;""))</f>
        <v/>
      </c>
      <c r="AL978" s="81" t="str">
        <f aca="false">IF(AH978&lt;&gt;"",AH978,IF(AC978&lt;&gt;"",AC978,IF(X978&lt;&gt;"",X978,"")))</f>
        <v/>
      </c>
      <c r="AM978" s="83" t="str">
        <f aca="false">IF(E978="","",IF(R978="","À SOUDER",IF(U978="","VT EN ATTENTE",IF(U978="R","VT REJETÉ – À REPRENDRE",IF(AL978="","À RADIOGRAPHIER",IF(AL978="A","ACCEPTÉ",IF(AL978="NX","NX – RT À REFAIRE",IF(IF(AK978=1,Z978,IF(AK978=2,AE978,""))="A","RÉPARÉ – À RADIOGRAPHIER",IF(IF(AK978=1,Z978,IF(AK978=2,AE978,""))="R","VT REJETÉ – À REPRENDRE",IF(OR(AL978="CO",AL978="NT"),"COUPE – À RESOUDER","À RÉPARER"))))))))))</f>
        <v/>
      </c>
      <c r="AN978" s="81" t="str">
        <f aca="false">IF(AND(ISNUMBER(R978),OR(AM978="À RADIOGRAPHIER",AM978="RÉPARÉ – À RADIOGRAPHIER",AM978="NX – RT À REFAIRE",AM978="À RÉPARER",AM978="COUPE – À RESOUDER",AM978="VT REJETÉ – À REPRENDRE")),MAX(0,'PROGRAMME RT'!$C$4-R978),"")</f>
        <v/>
      </c>
      <c r="AO978" s="78" t="n">
        <f aca="false">IF(AND(OR(AM978="À RADIOGRAPHIER",AM978="RÉPARÉ – À RADIOGRAPHIER",AM978="NX – RT À REFAIRE"),OR('PROGRAMME RT'!$D$5="TOUTES",B978='PROGRAMME RT'!$D$5)),1,0)</f>
        <v>0</v>
      </c>
      <c r="AP978" s="78" t="str">
        <f aca="false">IF(AO978=1,SUM(AO$7:AO978),"")</f>
        <v/>
      </c>
      <c r="AQ978" s="78" t="n">
        <f aca="false">IF(AND(OR(X978="R",X978="NX",X978="NT",X978="CO"),OR('JOINTS DE RÉPARATION'!$D$5="TOUTES",B978='JOINTS DE RÉPARATION'!$D$5),OR('JOINTS DE RÉPARATION'!$L$4="TOUS",AM978&lt;&gt;"ACCEPTÉ")),1,0)</f>
        <v>0</v>
      </c>
      <c r="AR978" s="78" t="str">
        <f aca="false">IF(AQ978=1,SUM(AQ$7:AQ978),"")</f>
        <v/>
      </c>
    </row>
    <row r="979" customFormat="false" ht="15" hidden="false" customHeight="false" outlineLevel="0" collapsed="false">
      <c r="A979" s="78" t="str">
        <f aca="false">IF(E979="","",ROW()-6)</f>
        <v/>
      </c>
      <c r="B979" s="79"/>
      <c r="C979" s="80"/>
      <c r="D979" s="80"/>
      <c r="E979" s="80"/>
      <c r="F979" s="80"/>
      <c r="G979" s="80"/>
      <c r="H979" s="80"/>
      <c r="I979" s="80"/>
      <c r="J979" s="80"/>
      <c r="K979" s="80"/>
      <c r="L979" s="81" t="str">
        <f aca="false">IF(K979="","",IFERROR(INDEX(BARDAGE!$C$7:$C$1506,MATCH(K979,BARDAGE!$B$7:$B$1506,0)),"? hors registre"))</f>
        <v/>
      </c>
      <c r="M979" s="80"/>
      <c r="N979" s="81" t="str">
        <f aca="false">IF(M979="","",IFERROR(INDEX(BARDAGE!$C$7:$C$1506,MATCH(M979,BARDAGE!$B$7:$B$1506,0)),"? hors registre"))</f>
        <v/>
      </c>
      <c r="O979" s="80"/>
      <c r="P979" s="80"/>
      <c r="Q979" s="80"/>
      <c r="R979" s="82"/>
      <c r="S979" s="82"/>
      <c r="T979" s="80"/>
      <c r="U979" s="80"/>
      <c r="V979" s="82"/>
      <c r="W979" s="80"/>
      <c r="X979" s="80"/>
      <c r="Y979" s="80"/>
      <c r="Z979" s="80"/>
      <c r="AA979" s="82"/>
      <c r="AB979" s="80"/>
      <c r="AC979" s="80"/>
      <c r="AD979" s="80"/>
      <c r="AE979" s="80"/>
      <c r="AF979" s="82"/>
      <c r="AG979" s="80"/>
      <c r="AH979" s="80"/>
      <c r="AI979" s="82"/>
      <c r="AJ979" s="79"/>
      <c r="AK979" s="78" t="str">
        <f aca="false">IF(E979="","",(X979&lt;&gt;"")+(AC979&lt;&gt;"")+(AH979&lt;&gt;""))</f>
        <v/>
      </c>
      <c r="AL979" s="81" t="str">
        <f aca="false">IF(AH979&lt;&gt;"",AH979,IF(AC979&lt;&gt;"",AC979,IF(X979&lt;&gt;"",X979,"")))</f>
        <v/>
      </c>
      <c r="AM979" s="83" t="str">
        <f aca="false">IF(E979="","",IF(R979="","À SOUDER",IF(U979="","VT EN ATTENTE",IF(U979="R","VT REJETÉ – À REPRENDRE",IF(AL979="","À RADIOGRAPHIER",IF(AL979="A","ACCEPTÉ",IF(AL979="NX","NX – RT À REFAIRE",IF(IF(AK979=1,Z979,IF(AK979=2,AE979,""))="A","RÉPARÉ – À RADIOGRAPHIER",IF(IF(AK979=1,Z979,IF(AK979=2,AE979,""))="R","VT REJETÉ – À REPRENDRE",IF(OR(AL979="CO",AL979="NT"),"COUPE – À RESOUDER","À RÉPARER"))))))))))</f>
        <v/>
      </c>
      <c r="AN979" s="81" t="str">
        <f aca="false">IF(AND(ISNUMBER(R979),OR(AM979="À RADIOGRAPHIER",AM979="RÉPARÉ – À RADIOGRAPHIER",AM979="NX – RT À REFAIRE",AM979="À RÉPARER",AM979="COUPE – À RESOUDER",AM979="VT REJETÉ – À REPRENDRE")),MAX(0,'PROGRAMME RT'!$C$4-R979),"")</f>
        <v/>
      </c>
      <c r="AO979" s="78" t="n">
        <f aca="false">IF(AND(OR(AM979="À RADIOGRAPHIER",AM979="RÉPARÉ – À RADIOGRAPHIER",AM979="NX – RT À REFAIRE"),OR('PROGRAMME RT'!$D$5="TOUTES",B979='PROGRAMME RT'!$D$5)),1,0)</f>
        <v>0</v>
      </c>
      <c r="AP979" s="78" t="str">
        <f aca="false">IF(AO979=1,SUM(AO$7:AO979),"")</f>
        <v/>
      </c>
      <c r="AQ979" s="78" t="n">
        <f aca="false">IF(AND(OR(X979="R",X979="NX",X979="NT",X979="CO"),OR('JOINTS DE RÉPARATION'!$D$5="TOUTES",B979='JOINTS DE RÉPARATION'!$D$5),OR('JOINTS DE RÉPARATION'!$L$4="TOUS",AM979&lt;&gt;"ACCEPTÉ")),1,0)</f>
        <v>0</v>
      </c>
      <c r="AR979" s="78" t="str">
        <f aca="false">IF(AQ979=1,SUM(AQ$7:AQ979),"")</f>
        <v/>
      </c>
    </row>
    <row r="980" customFormat="false" ht="15" hidden="false" customHeight="false" outlineLevel="0" collapsed="false">
      <c r="A980" s="78" t="str">
        <f aca="false">IF(E980="","",ROW()-6)</f>
        <v/>
      </c>
      <c r="B980" s="79"/>
      <c r="C980" s="80"/>
      <c r="D980" s="80"/>
      <c r="E980" s="80"/>
      <c r="F980" s="80"/>
      <c r="G980" s="80"/>
      <c r="H980" s="80"/>
      <c r="I980" s="80"/>
      <c r="J980" s="80"/>
      <c r="K980" s="80"/>
      <c r="L980" s="81" t="str">
        <f aca="false">IF(K980="","",IFERROR(INDEX(BARDAGE!$C$7:$C$1506,MATCH(K980,BARDAGE!$B$7:$B$1506,0)),"? hors registre"))</f>
        <v/>
      </c>
      <c r="M980" s="80"/>
      <c r="N980" s="81" t="str">
        <f aca="false">IF(M980="","",IFERROR(INDEX(BARDAGE!$C$7:$C$1506,MATCH(M980,BARDAGE!$B$7:$B$1506,0)),"? hors registre"))</f>
        <v/>
      </c>
      <c r="O980" s="80"/>
      <c r="P980" s="80"/>
      <c r="Q980" s="80"/>
      <c r="R980" s="82"/>
      <c r="S980" s="82"/>
      <c r="T980" s="80"/>
      <c r="U980" s="80"/>
      <c r="V980" s="82"/>
      <c r="W980" s="80"/>
      <c r="X980" s="80"/>
      <c r="Y980" s="80"/>
      <c r="Z980" s="80"/>
      <c r="AA980" s="82"/>
      <c r="AB980" s="80"/>
      <c r="AC980" s="80"/>
      <c r="AD980" s="80"/>
      <c r="AE980" s="80"/>
      <c r="AF980" s="82"/>
      <c r="AG980" s="80"/>
      <c r="AH980" s="80"/>
      <c r="AI980" s="82"/>
      <c r="AJ980" s="79"/>
      <c r="AK980" s="78" t="str">
        <f aca="false">IF(E980="","",(X980&lt;&gt;"")+(AC980&lt;&gt;"")+(AH980&lt;&gt;""))</f>
        <v/>
      </c>
      <c r="AL980" s="81" t="str">
        <f aca="false">IF(AH980&lt;&gt;"",AH980,IF(AC980&lt;&gt;"",AC980,IF(X980&lt;&gt;"",X980,"")))</f>
        <v/>
      </c>
      <c r="AM980" s="83" t="str">
        <f aca="false">IF(E980="","",IF(R980="","À SOUDER",IF(U980="","VT EN ATTENTE",IF(U980="R","VT REJETÉ – À REPRENDRE",IF(AL980="","À RADIOGRAPHIER",IF(AL980="A","ACCEPTÉ",IF(AL980="NX","NX – RT À REFAIRE",IF(IF(AK980=1,Z980,IF(AK980=2,AE980,""))="A","RÉPARÉ – À RADIOGRAPHIER",IF(IF(AK980=1,Z980,IF(AK980=2,AE980,""))="R","VT REJETÉ – À REPRENDRE",IF(OR(AL980="CO",AL980="NT"),"COUPE – À RESOUDER","À RÉPARER"))))))))))</f>
        <v/>
      </c>
      <c r="AN980" s="81" t="str">
        <f aca="false">IF(AND(ISNUMBER(R980),OR(AM980="À RADIOGRAPHIER",AM980="RÉPARÉ – À RADIOGRAPHIER",AM980="NX – RT À REFAIRE",AM980="À RÉPARER",AM980="COUPE – À RESOUDER",AM980="VT REJETÉ – À REPRENDRE")),MAX(0,'PROGRAMME RT'!$C$4-R980),"")</f>
        <v/>
      </c>
      <c r="AO980" s="78" t="n">
        <f aca="false">IF(AND(OR(AM980="À RADIOGRAPHIER",AM980="RÉPARÉ – À RADIOGRAPHIER",AM980="NX – RT À REFAIRE"),OR('PROGRAMME RT'!$D$5="TOUTES",B980='PROGRAMME RT'!$D$5)),1,0)</f>
        <v>0</v>
      </c>
      <c r="AP980" s="78" t="str">
        <f aca="false">IF(AO980=1,SUM(AO$7:AO980),"")</f>
        <v/>
      </c>
      <c r="AQ980" s="78" t="n">
        <f aca="false">IF(AND(OR(X980="R",X980="NX",X980="NT",X980="CO"),OR('JOINTS DE RÉPARATION'!$D$5="TOUTES",B980='JOINTS DE RÉPARATION'!$D$5),OR('JOINTS DE RÉPARATION'!$L$4="TOUS",AM980&lt;&gt;"ACCEPTÉ")),1,0)</f>
        <v>0</v>
      </c>
      <c r="AR980" s="78" t="str">
        <f aca="false">IF(AQ980=1,SUM(AQ$7:AQ980),"")</f>
        <v/>
      </c>
    </row>
    <row r="981" customFormat="false" ht="15" hidden="false" customHeight="false" outlineLevel="0" collapsed="false">
      <c r="A981" s="78" t="str">
        <f aca="false">IF(E981="","",ROW()-6)</f>
        <v/>
      </c>
      <c r="B981" s="79"/>
      <c r="C981" s="80"/>
      <c r="D981" s="80"/>
      <c r="E981" s="80"/>
      <c r="F981" s="80"/>
      <c r="G981" s="80"/>
      <c r="H981" s="80"/>
      <c r="I981" s="80"/>
      <c r="J981" s="80"/>
      <c r="K981" s="80"/>
      <c r="L981" s="81" t="str">
        <f aca="false">IF(K981="","",IFERROR(INDEX(BARDAGE!$C$7:$C$1506,MATCH(K981,BARDAGE!$B$7:$B$1506,0)),"? hors registre"))</f>
        <v/>
      </c>
      <c r="M981" s="80"/>
      <c r="N981" s="81" t="str">
        <f aca="false">IF(M981="","",IFERROR(INDEX(BARDAGE!$C$7:$C$1506,MATCH(M981,BARDAGE!$B$7:$B$1506,0)),"? hors registre"))</f>
        <v/>
      </c>
      <c r="O981" s="80"/>
      <c r="P981" s="80"/>
      <c r="Q981" s="80"/>
      <c r="R981" s="82"/>
      <c r="S981" s="82"/>
      <c r="T981" s="80"/>
      <c r="U981" s="80"/>
      <c r="V981" s="82"/>
      <c r="W981" s="80"/>
      <c r="X981" s="80"/>
      <c r="Y981" s="80"/>
      <c r="Z981" s="80"/>
      <c r="AA981" s="82"/>
      <c r="AB981" s="80"/>
      <c r="AC981" s="80"/>
      <c r="AD981" s="80"/>
      <c r="AE981" s="80"/>
      <c r="AF981" s="82"/>
      <c r="AG981" s="80"/>
      <c r="AH981" s="80"/>
      <c r="AI981" s="82"/>
      <c r="AJ981" s="79"/>
      <c r="AK981" s="78" t="str">
        <f aca="false">IF(E981="","",(X981&lt;&gt;"")+(AC981&lt;&gt;"")+(AH981&lt;&gt;""))</f>
        <v/>
      </c>
      <c r="AL981" s="81" t="str">
        <f aca="false">IF(AH981&lt;&gt;"",AH981,IF(AC981&lt;&gt;"",AC981,IF(X981&lt;&gt;"",X981,"")))</f>
        <v/>
      </c>
      <c r="AM981" s="83" t="str">
        <f aca="false">IF(E981="","",IF(R981="","À SOUDER",IF(U981="","VT EN ATTENTE",IF(U981="R","VT REJETÉ – À REPRENDRE",IF(AL981="","À RADIOGRAPHIER",IF(AL981="A","ACCEPTÉ",IF(AL981="NX","NX – RT À REFAIRE",IF(IF(AK981=1,Z981,IF(AK981=2,AE981,""))="A","RÉPARÉ – À RADIOGRAPHIER",IF(IF(AK981=1,Z981,IF(AK981=2,AE981,""))="R","VT REJETÉ – À REPRENDRE",IF(OR(AL981="CO",AL981="NT"),"COUPE – À RESOUDER","À RÉPARER"))))))))))</f>
        <v/>
      </c>
      <c r="AN981" s="81" t="str">
        <f aca="false">IF(AND(ISNUMBER(R981),OR(AM981="À RADIOGRAPHIER",AM981="RÉPARÉ – À RADIOGRAPHIER",AM981="NX – RT À REFAIRE",AM981="À RÉPARER",AM981="COUPE – À RESOUDER",AM981="VT REJETÉ – À REPRENDRE")),MAX(0,'PROGRAMME RT'!$C$4-R981),"")</f>
        <v/>
      </c>
      <c r="AO981" s="78" t="n">
        <f aca="false">IF(AND(OR(AM981="À RADIOGRAPHIER",AM981="RÉPARÉ – À RADIOGRAPHIER",AM981="NX – RT À REFAIRE"),OR('PROGRAMME RT'!$D$5="TOUTES",B981='PROGRAMME RT'!$D$5)),1,0)</f>
        <v>0</v>
      </c>
      <c r="AP981" s="78" t="str">
        <f aca="false">IF(AO981=1,SUM(AO$7:AO981),"")</f>
        <v/>
      </c>
      <c r="AQ981" s="78" t="n">
        <f aca="false">IF(AND(OR(X981="R",X981="NX",X981="NT",X981="CO"),OR('JOINTS DE RÉPARATION'!$D$5="TOUTES",B981='JOINTS DE RÉPARATION'!$D$5),OR('JOINTS DE RÉPARATION'!$L$4="TOUS",AM981&lt;&gt;"ACCEPTÉ")),1,0)</f>
        <v>0</v>
      </c>
      <c r="AR981" s="78" t="str">
        <f aca="false">IF(AQ981=1,SUM(AQ$7:AQ981),"")</f>
        <v/>
      </c>
    </row>
    <row r="982" customFormat="false" ht="15" hidden="false" customHeight="false" outlineLevel="0" collapsed="false">
      <c r="A982" s="78" t="str">
        <f aca="false">IF(E982="","",ROW()-6)</f>
        <v/>
      </c>
      <c r="B982" s="79"/>
      <c r="C982" s="80"/>
      <c r="D982" s="80"/>
      <c r="E982" s="80"/>
      <c r="F982" s="80"/>
      <c r="G982" s="80"/>
      <c r="H982" s="80"/>
      <c r="I982" s="80"/>
      <c r="J982" s="80"/>
      <c r="K982" s="80"/>
      <c r="L982" s="81" t="str">
        <f aca="false">IF(K982="","",IFERROR(INDEX(BARDAGE!$C$7:$C$1506,MATCH(K982,BARDAGE!$B$7:$B$1506,0)),"? hors registre"))</f>
        <v/>
      </c>
      <c r="M982" s="80"/>
      <c r="N982" s="81" t="str">
        <f aca="false">IF(M982="","",IFERROR(INDEX(BARDAGE!$C$7:$C$1506,MATCH(M982,BARDAGE!$B$7:$B$1506,0)),"? hors registre"))</f>
        <v/>
      </c>
      <c r="O982" s="80"/>
      <c r="P982" s="80"/>
      <c r="Q982" s="80"/>
      <c r="R982" s="82"/>
      <c r="S982" s="82"/>
      <c r="T982" s="80"/>
      <c r="U982" s="80"/>
      <c r="V982" s="82"/>
      <c r="W982" s="80"/>
      <c r="X982" s="80"/>
      <c r="Y982" s="80"/>
      <c r="Z982" s="80"/>
      <c r="AA982" s="82"/>
      <c r="AB982" s="80"/>
      <c r="AC982" s="80"/>
      <c r="AD982" s="80"/>
      <c r="AE982" s="80"/>
      <c r="AF982" s="82"/>
      <c r="AG982" s="80"/>
      <c r="AH982" s="80"/>
      <c r="AI982" s="82"/>
      <c r="AJ982" s="79"/>
      <c r="AK982" s="78" t="str">
        <f aca="false">IF(E982="","",(X982&lt;&gt;"")+(AC982&lt;&gt;"")+(AH982&lt;&gt;""))</f>
        <v/>
      </c>
      <c r="AL982" s="81" t="str">
        <f aca="false">IF(AH982&lt;&gt;"",AH982,IF(AC982&lt;&gt;"",AC982,IF(X982&lt;&gt;"",X982,"")))</f>
        <v/>
      </c>
      <c r="AM982" s="83" t="str">
        <f aca="false">IF(E982="","",IF(R982="","À SOUDER",IF(U982="","VT EN ATTENTE",IF(U982="R","VT REJETÉ – À REPRENDRE",IF(AL982="","À RADIOGRAPHIER",IF(AL982="A","ACCEPTÉ",IF(AL982="NX","NX – RT À REFAIRE",IF(IF(AK982=1,Z982,IF(AK982=2,AE982,""))="A","RÉPARÉ – À RADIOGRAPHIER",IF(IF(AK982=1,Z982,IF(AK982=2,AE982,""))="R","VT REJETÉ – À REPRENDRE",IF(OR(AL982="CO",AL982="NT"),"COUPE – À RESOUDER","À RÉPARER"))))))))))</f>
        <v/>
      </c>
      <c r="AN982" s="81" t="str">
        <f aca="false">IF(AND(ISNUMBER(R982),OR(AM982="À RADIOGRAPHIER",AM982="RÉPARÉ – À RADIOGRAPHIER",AM982="NX – RT À REFAIRE",AM982="À RÉPARER",AM982="COUPE – À RESOUDER",AM982="VT REJETÉ – À REPRENDRE")),MAX(0,'PROGRAMME RT'!$C$4-R982),"")</f>
        <v/>
      </c>
      <c r="AO982" s="78" t="n">
        <f aca="false">IF(AND(OR(AM982="À RADIOGRAPHIER",AM982="RÉPARÉ – À RADIOGRAPHIER",AM982="NX – RT À REFAIRE"),OR('PROGRAMME RT'!$D$5="TOUTES",B982='PROGRAMME RT'!$D$5)),1,0)</f>
        <v>0</v>
      </c>
      <c r="AP982" s="78" t="str">
        <f aca="false">IF(AO982=1,SUM(AO$7:AO982),"")</f>
        <v/>
      </c>
      <c r="AQ982" s="78" t="n">
        <f aca="false">IF(AND(OR(X982="R",X982="NX",X982="NT",X982="CO"),OR('JOINTS DE RÉPARATION'!$D$5="TOUTES",B982='JOINTS DE RÉPARATION'!$D$5),OR('JOINTS DE RÉPARATION'!$L$4="TOUS",AM982&lt;&gt;"ACCEPTÉ")),1,0)</f>
        <v>0</v>
      </c>
      <c r="AR982" s="78" t="str">
        <f aca="false">IF(AQ982=1,SUM(AQ$7:AQ982),"")</f>
        <v/>
      </c>
    </row>
    <row r="983" customFormat="false" ht="15" hidden="false" customHeight="false" outlineLevel="0" collapsed="false">
      <c r="A983" s="78" t="str">
        <f aca="false">IF(E983="","",ROW()-6)</f>
        <v/>
      </c>
      <c r="B983" s="79"/>
      <c r="C983" s="80"/>
      <c r="D983" s="80"/>
      <c r="E983" s="80"/>
      <c r="F983" s="80"/>
      <c r="G983" s="80"/>
      <c r="H983" s="80"/>
      <c r="I983" s="80"/>
      <c r="J983" s="80"/>
      <c r="K983" s="80"/>
      <c r="L983" s="81" t="str">
        <f aca="false">IF(K983="","",IFERROR(INDEX(BARDAGE!$C$7:$C$1506,MATCH(K983,BARDAGE!$B$7:$B$1506,0)),"? hors registre"))</f>
        <v/>
      </c>
      <c r="M983" s="80"/>
      <c r="N983" s="81" t="str">
        <f aca="false">IF(M983="","",IFERROR(INDEX(BARDAGE!$C$7:$C$1506,MATCH(M983,BARDAGE!$B$7:$B$1506,0)),"? hors registre"))</f>
        <v/>
      </c>
      <c r="O983" s="80"/>
      <c r="P983" s="80"/>
      <c r="Q983" s="80"/>
      <c r="R983" s="82"/>
      <c r="S983" s="82"/>
      <c r="T983" s="80"/>
      <c r="U983" s="80"/>
      <c r="V983" s="82"/>
      <c r="W983" s="80"/>
      <c r="X983" s="80"/>
      <c r="Y983" s="80"/>
      <c r="Z983" s="80"/>
      <c r="AA983" s="82"/>
      <c r="AB983" s="80"/>
      <c r="AC983" s="80"/>
      <c r="AD983" s="80"/>
      <c r="AE983" s="80"/>
      <c r="AF983" s="82"/>
      <c r="AG983" s="80"/>
      <c r="AH983" s="80"/>
      <c r="AI983" s="82"/>
      <c r="AJ983" s="79"/>
      <c r="AK983" s="78" t="str">
        <f aca="false">IF(E983="","",(X983&lt;&gt;"")+(AC983&lt;&gt;"")+(AH983&lt;&gt;""))</f>
        <v/>
      </c>
      <c r="AL983" s="81" t="str">
        <f aca="false">IF(AH983&lt;&gt;"",AH983,IF(AC983&lt;&gt;"",AC983,IF(X983&lt;&gt;"",X983,"")))</f>
        <v/>
      </c>
      <c r="AM983" s="83" t="str">
        <f aca="false">IF(E983="","",IF(R983="","À SOUDER",IF(U983="","VT EN ATTENTE",IF(U983="R","VT REJETÉ – À REPRENDRE",IF(AL983="","À RADIOGRAPHIER",IF(AL983="A","ACCEPTÉ",IF(AL983="NX","NX – RT À REFAIRE",IF(IF(AK983=1,Z983,IF(AK983=2,AE983,""))="A","RÉPARÉ – À RADIOGRAPHIER",IF(IF(AK983=1,Z983,IF(AK983=2,AE983,""))="R","VT REJETÉ – À REPRENDRE",IF(OR(AL983="CO",AL983="NT"),"COUPE – À RESOUDER","À RÉPARER"))))))))))</f>
        <v/>
      </c>
      <c r="AN983" s="81" t="str">
        <f aca="false">IF(AND(ISNUMBER(R983),OR(AM983="À RADIOGRAPHIER",AM983="RÉPARÉ – À RADIOGRAPHIER",AM983="NX – RT À REFAIRE",AM983="À RÉPARER",AM983="COUPE – À RESOUDER",AM983="VT REJETÉ – À REPRENDRE")),MAX(0,'PROGRAMME RT'!$C$4-R983),"")</f>
        <v/>
      </c>
      <c r="AO983" s="78" t="n">
        <f aca="false">IF(AND(OR(AM983="À RADIOGRAPHIER",AM983="RÉPARÉ – À RADIOGRAPHIER",AM983="NX – RT À REFAIRE"),OR('PROGRAMME RT'!$D$5="TOUTES",B983='PROGRAMME RT'!$D$5)),1,0)</f>
        <v>0</v>
      </c>
      <c r="AP983" s="78" t="str">
        <f aca="false">IF(AO983=1,SUM(AO$7:AO983),"")</f>
        <v/>
      </c>
      <c r="AQ983" s="78" t="n">
        <f aca="false">IF(AND(OR(X983="R",X983="NX",X983="NT",X983="CO"),OR('JOINTS DE RÉPARATION'!$D$5="TOUTES",B983='JOINTS DE RÉPARATION'!$D$5),OR('JOINTS DE RÉPARATION'!$L$4="TOUS",AM983&lt;&gt;"ACCEPTÉ")),1,0)</f>
        <v>0</v>
      </c>
      <c r="AR983" s="78" t="str">
        <f aca="false">IF(AQ983=1,SUM(AQ$7:AQ983),"")</f>
        <v/>
      </c>
    </row>
    <row r="984" customFormat="false" ht="15" hidden="false" customHeight="false" outlineLevel="0" collapsed="false">
      <c r="A984" s="78" t="str">
        <f aca="false">IF(E984="","",ROW()-6)</f>
        <v/>
      </c>
      <c r="B984" s="79"/>
      <c r="C984" s="80"/>
      <c r="D984" s="80"/>
      <c r="E984" s="80"/>
      <c r="F984" s="80"/>
      <c r="G984" s="80"/>
      <c r="H984" s="80"/>
      <c r="I984" s="80"/>
      <c r="J984" s="80"/>
      <c r="K984" s="80"/>
      <c r="L984" s="81" t="str">
        <f aca="false">IF(K984="","",IFERROR(INDEX(BARDAGE!$C$7:$C$1506,MATCH(K984,BARDAGE!$B$7:$B$1506,0)),"? hors registre"))</f>
        <v/>
      </c>
      <c r="M984" s="80"/>
      <c r="N984" s="81" t="str">
        <f aca="false">IF(M984="","",IFERROR(INDEX(BARDAGE!$C$7:$C$1506,MATCH(M984,BARDAGE!$B$7:$B$1506,0)),"? hors registre"))</f>
        <v/>
      </c>
      <c r="O984" s="80"/>
      <c r="P984" s="80"/>
      <c r="Q984" s="80"/>
      <c r="R984" s="82"/>
      <c r="S984" s="82"/>
      <c r="T984" s="80"/>
      <c r="U984" s="80"/>
      <c r="V984" s="82"/>
      <c r="W984" s="80"/>
      <c r="X984" s="80"/>
      <c r="Y984" s="80"/>
      <c r="Z984" s="80"/>
      <c r="AA984" s="82"/>
      <c r="AB984" s="80"/>
      <c r="AC984" s="80"/>
      <c r="AD984" s="80"/>
      <c r="AE984" s="80"/>
      <c r="AF984" s="82"/>
      <c r="AG984" s="80"/>
      <c r="AH984" s="80"/>
      <c r="AI984" s="82"/>
      <c r="AJ984" s="79"/>
      <c r="AK984" s="78" t="str">
        <f aca="false">IF(E984="","",(X984&lt;&gt;"")+(AC984&lt;&gt;"")+(AH984&lt;&gt;""))</f>
        <v/>
      </c>
      <c r="AL984" s="81" t="str">
        <f aca="false">IF(AH984&lt;&gt;"",AH984,IF(AC984&lt;&gt;"",AC984,IF(X984&lt;&gt;"",X984,"")))</f>
        <v/>
      </c>
      <c r="AM984" s="83" t="str">
        <f aca="false">IF(E984="","",IF(R984="","À SOUDER",IF(U984="","VT EN ATTENTE",IF(U984="R","VT REJETÉ – À REPRENDRE",IF(AL984="","À RADIOGRAPHIER",IF(AL984="A","ACCEPTÉ",IF(AL984="NX","NX – RT À REFAIRE",IF(IF(AK984=1,Z984,IF(AK984=2,AE984,""))="A","RÉPARÉ – À RADIOGRAPHIER",IF(IF(AK984=1,Z984,IF(AK984=2,AE984,""))="R","VT REJETÉ – À REPRENDRE",IF(OR(AL984="CO",AL984="NT"),"COUPE – À RESOUDER","À RÉPARER"))))))))))</f>
        <v/>
      </c>
      <c r="AN984" s="81" t="str">
        <f aca="false">IF(AND(ISNUMBER(R984),OR(AM984="À RADIOGRAPHIER",AM984="RÉPARÉ – À RADIOGRAPHIER",AM984="NX – RT À REFAIRE",AM984="À RÉPARER",AM984="COUPE – À RESOUDER",AM984="VT REJETÉ – À REPRENDRE")),MAX(0,'PROGRAMME RT'!$C$4-R984),"")</f>
        <v/>
      </c>
      <c r="AO984" s="78" t="n">
        <f aca="false">IF(AND(OR(AM984="À RADIOGRAPHIER",AM984="RÉPARÉ – À RADIOGRAPHIER",AM984="NX – RT À REFAIRE"),OR('PROGRAMME RT'!$D$5="TOUTES",B984='PROGRAMME RT'!$D$5)),1,0)</f>
        <v>0</v>
      </c>
      <c r="AP984" s="78" t="str">
        <f aca="false">IF(AO984=1,SUM(AO$7:AO984),"")</f>
        <v/>
      </c>
      <c r="AQ984" s="78" t="n">
        <f aca="false">IF(AND(OR(X984="R",X984="NX",X984="NT",X984="CO"),OR('JOINTS DE RÉPARATION'!$D$5="TOUTES",B984='JOINTS DE RÉPARATION'!$D$5),OR('JOINTS DE RÉPARATION'!$L$4="TOUS",AM984&lt;&gt;"ACCEPTÉ")),1,0)</f>
        <v>0</v>
      </c>
      <c r="AR984" s="78" t="str">
        <f aca="false">IF(AQ984=1,SUM(AQ$7:AQ984),"")</f>
        <v/>
      </c>
    </row>
    <row r="985" customFormat="false" ht="15" hidden="false" customHeight="false" outlineLevel="0" collapsed="false">
      <c r="A985" s="78" t="str">
        <f aca="false">IF(E985="","",ROW()-6)</f>
        <v/>
      </c>
      <c r="B985" s="79"/>
      <c r="C985" s="80"/>
      <c r="D985" s="80"/>
      <c r="E985" s="80"/>
      <c r="F985" s="80"/>
      <c r="G985" s="80"/>
      <c r="H985" s="80"/>
      <c r="I985" s="80"/>
      <c r="J985" s="80"/>
      <c r="K985" s="80"/>
      <c r="L985" s="81" t="str">
        <f aca="false">IF(K985="","",IFERROR(INDEX(BARDAGE!$C$7:$C$1506,MATCH(K985,BARDAGE!$B$7:$B$1506,0)),"? hors registre"))</f>
        <v/>
      </c>
      <c r="M985" s="80"/>
      <c r="N985" s="81" t="str">
        <f aca="false">IF(M985="","",IFERROR(INDEX(BARDAGE!$C$7:$C$1506,MATCH(M985,BARDAGE!$B$7:$B$1506,0)),"? hors registre"))</f>
        <v/>
      </c>
      <c r="O985" s="80"/>
      <c r="P985" s="80"/>
      <c r="Q985" s="80"/>
      <c r="R985" s="82"/>
      <c r="S985" s="82"/>
      <c r="T985" s="80"/>
      <c r="U985" s="80"/>
      <c r="V985" s="82"/>
      <c r="W985" s="80"/>
      <c r="X985" s="80"/>
      <c r="Y985" s="80"/>
      <c r="Z985" s="80"/>
      <c r="AA985" s="82"/>
      <c r="AB985" s="80"/>
      <c r="AC985" s="80"/>
      <c r="AD985" s="80"/>
      <c r="AE985" s="80"/>
      <c r="AF985" s="82"/>
      <c r="AG985" s="80"/>
      <c r="AH985" s="80"/>
      <c r="AI985" s="82"/>
      <c r="AJ985" s="79"/>
      <c r="AK985" s="78" t="str">
        <f aca="false">IF(E985="","",(X985&lt;&gt;"")+(AC985&lt;&gt;"")+(AH985&lt;&gt;""))</f>
        <v/>
      </c>
      <c r="AL985" s="81" t="str">
        <f aca="false">IF(AH985&lt;&gt;"",AH985,IF(AC985&lt;&gt;"",AC985,IF(X985&lt;&gt;"",X985,"")))</f>
        <v/>
      </c>
      <c r="AM985" s="83" t="str">
        <f aca="false">IF(E985="","",IF(R985="","À SOUDER",IF(U985="","VT EN ATTENTE",IF(U985="R","VT REJETÉ – À REPRENDRE",IF(AL985="","À RADIOGRAPHIER",IF(AL985="A","ACCEPTÉ",IF(AL985="NX","NX – RT À REFAIRE",IF(IF(AK985=1,Z985,IF(AK985=2,AE985,""))="A","RÉPARÉ – À RADIOGRAPHIER",IF(IF(AK985=1,Z985,IF(AK985=2,AE985,""))="R","VT REJETÉ – À REPRENDRE",IF(OR(AL985="CO",AL985="NT"),"COUPE – À RESOUDER","À RÉPARER"))))))))))</f>
        <v/>
      </c>
      <c r="AN985" s="81" t="str">
        <f aca="false">IF(AND(ISNUMBER(R985),OR(AM985="À RADIOGRAPHIER",AM985="RÉPARÉ – À RADIOGRAPHIER",AM985="NX – RT À REFAIRE",AM985="À RÉPARER",AM985="COUPE – À RESOUDER",AM985="VT REJETÉ – À REPRENDRE")),MAX(0,'PROGRAMME RT'!$C$4-R985),"")</f>
        <v/>
      </c>
      <c r="AO985" s="78" t="n">
        <f aca="false">IF(AND(OR(AM985="À RADIOGRAPHIER",AM985="RÉPARÉ – À RADIOGRAPHIER",AM985="NX – RT À REFAIRE"),OR('PROGRAMME RT'!$D$5="TOUTES",B985='PROGRAMME RT'!$D$5)),1,0)</f>
        <v>0</v>
      </c>
      <c r="AP985" s="78" t="str">
        <f aca="false">IF(AO985=1,SUM(AO$7:AO985),"")</f>
        <v/>
      </c>
      <c r="AQ985" s="78" t="n">
        <f aca="false">IF(AND(OR(X985="R",X985="NX",X985="NT",X985="CO"),OR('JOINTS DE RÉPARATION'!$D$5="TOUTES",B985='JOINTS DE RÉPARATION'!$D$5),OR('JOINTS DE RÉPARATION'!$L$4="TOUS",AM985&lt;&gt;"ACCEPTÉ")),1,0)</f>
        <v>0</v>
      </c>
      <c r="AR985" s="78" t="str">
        <f aca="false">IF(AQ985=1,SUM(AQ$7:AQ985),"")</f>
        <v/>
      </c>
    </row>
    <row r="986" customFormat="false" ht="15" hidden="false" customHeight="false" outlineLevel="0" collapsed="false">
      <c r="A986" s="78" t="str">
        <f aca="false">IF(E986="","",ROW()-6)</f>
        <v/>
      </c>
      <c r="B986" s="79"/>
      <c r="C986" s="80"/>
      <c r="D986" s="80"/>
      <c r="E986" s="80"/>
      <c r="F986" s="80"/>
      <c r="G986" s="80"/>
      <c r="H986" s="80"/>
      <c r="I986" s="80"/>
      <c r="J986" s="80"/>
      <c r="K986" s="80"/>
      <c r="L986" s="81" t="str">
        <f aca="false">IF(K986="","",IFERROR(INDEX(BARDAGE!$C$7:$C$1506,MATCH(K986,BARDAGE!$B$7:$B$1506,0)),"? hors registre"))</f>
        <v/>
      </c>
      <c r="M986" s="80"/>
      <c r="N986" s="81" t="str">
        <f aca="false">IF(M986="","",IFERROR(INDEX(BARDAGE!$C$7:$C$1506,MATCH(M986,BARDAGE!$B$7:$B$1506,0)),"? hors registre"))</f>
        <v/>
      </c>
      <c r="O986" s="80"/>
      <c r="P986" s="80"/>
      <c r="Q986" s="80"/>
      <c r="R986" s="82"/>
      <c r="S986" s="82"/>
      <c r="T986" s="80"/>
      <c r="U986" s="80"/>
      <c r="V986" s="82"/>
      <c r="W986" s="80"/>
      <c r="X986" s="80"/>
      <c r="Y986" s="80"/>
      <c r="Z986" s="80"/>
      <c r="AA986" s="82"/>
      <c r="AB986" s="80"/>
      <c r="AC986" s="80"/>
      <c r="AD986" s="80"/>
      <c r="AE986" s="80"/>
      <c r="AF986" s="82"/>
      <c r="AG986" s="80"/>
      <c r="AH986" s="80"/>
      <c r="AI986" s="82"/>
      <c r="AJ986" s="79"/>
      <c r="AK986" s="78" t="str">
        <f aca="false">IF(E986="","",(X986&lt;&gt;"")+(AC986&lt;&gt;"")+(AH986&lt;&gt;""))</f>
        <v/>
      </c>
      <c r="AL986" s="81" t="str">
        <f aca="false">IF(AH986&lt;&gt;"",AH986,IF(AC986&lt;&gt;"",AC986,IF(X986&lt;&gt;"",X986,"")))</f>
        <v/>
      </c>
      <c r="AM986" s="83" t="str">
        <f aca="false">IF(E986="","",IF(R986="","À SOUDER",IF(U986="","VT EN ATTENTE",IF(U986="R","VT REJETÉ – À REPRENDRE",IF(AL986="","À RADIOGRAPHIER",IF(AL986="A","ACCEPTÉ",IF(AL986="NX","NX – RT À REFAIRE",IF(IF(AK986=1,Z986,IF(AK986=2,AE986,""))="A","RÉPARÉ – À RADIOGRAPHIER",IF(IF(AK986=1,Z986,IF(AK986=2,AE986,""))="R","VT REJETÉ – À REPRENDRE",IF(OR(AL986="CO",AL986="NT"),"COUPE – À RESOUDER","À RÉPARER"))))))))))</f>
        <v/>
      </c>
      <c r="AN986" s="81" t="str">
        <f aca="false">IF(AND(ISNUMBER(R986),OR(AM986="À RADIOGRAPHIER",AM986="RÉPARÉ – À RADIOGRAPHIER",AM986="NX – RT À REFAIRE",AM986="À RÉPARER",AM986="COUPE – À RESOUDER",AM986="VT REJETÉ – À REPRENDRE")),MAX(0,'PROGRAMME RT'!$C$4-R986),"")</f>
        <v/>
      </c>
      <c r="AO986" s="78" t="n">
        <f aca="false">IF(AND(OR(AM986="À RADIOGRAPHIER",AM986="RÉPARÉ – À RADIOGRAPHIER",AM986="NX – RT À REFAIRE"),OR('PROGRAMME RT'!$D$5="TOUTES",B986='PROGRAMME RT'!$D$5)),1,0)</f>
        <v>0</v>
      </c>
      <c r="AP986" s="78" t="str">
        <f aca="false">IF(AO986=1,SUM(AO$7:AO986),"")</f>
        <v/>
      </c>
      <c r="AQ986" s="78" t="n">
        <f aca="false">IF(AND(OR(X986="R",X986="NX",X986="NT",X986="CO"),OR('JOINTS DE RÉPARATION'!$D$5="TOUTES",B986='JOINTS DE RÉPARATION'!$D$5),OR('JOINTS DE RÉPARATION'!$L$4="TOUS",AM986&lt;&gt;"ACCEPTÉ")),1,0)</f>
        <v>0</v>
      </c>
      <c r="AR986" s="78" t="str">
        <f aca="false">IF(AQ986=1,SUM(AQ$7:AQ986),"")</f>
        <v/>
      </c>
    </row>
    <row r="987" customFormat="false" ht="15" hidden="false" customHeight="false" outlineLevel="0" collapsed="false">
      <c r="A987" s="78" t="str">
        <f aca="false">IF(E987="","",ROW()-6)</f>
        <v/>
      </c>
      <c r="B987" s="79"/>
      <c r="C987" s="80"/>
      <c r="D987" s="80"/>
      <c r="E987" s="80"/>
      <c r="F987" s="80"/>
      <c r="G987" s="80"/>
      <c r="H987" s="80"/>
      <c r="I987" s="80"/>
      <c r="J987" s="80"/>
      <c r="K987" s="80"/>
      <c r="L987" s="81" t="str">
        <f aca="false">IF(K987="","",IFERROR(INDEX(BARDAGE!$C$7:$C$1506,MATCH(K987,BARDAGE!$B$7:$B$1506,0)),"? hors registre"))</f>
        <v/>
      </c>
      <c r="M987" s="80"/>
      <c r="N987" s="81" t="str">
        <f aca="false">IF(M987="","",IFERROR(INDEX(BARDAGE!$C$7:$C$1506,MATCH(M987,BARDAGE!$B$7:$B$1506,0)),"? hors registre"))</f>
        <v/>
      </c>
      <c r="O987" s="80"/>
      <c r="P987" s="80"/>
      <c r="Q987" s="80"/>
      <c r="R987" s="82"/>
      <c r="S987" s="82"/>
      <c r="T987" s="80"/>
      <c r="U987" s="80"/>
      <c r="V987" s="82"/>
      <c r="W987" s="80"/>
      <c r="X987" s="80"/>
      <c r="Y987" s="80"/>
      <c r="Z987" s="80"/>
      <c r="AA987" s="82"/>
      <c r="AB987" s="80"/>
      <c r="AC987" s="80"/>
      <c r="AD987" s="80"/>
      <c r="AE987" s="80"/>
      <c r="AF987" s="82"/>
      <c r="AG987" s="80"/>
      <c r="AH987" s="80"/>
      <c r="AI987" s="82"/>
      <c r="AJ987" s="79"/>
      <c r="AK987" s="78" t="str">
        <f aca="false">IF(E987="","",(X987&lt;&gt;"")+(AC987&lt;&gt;"")+(AH987&lt;&gt;""))</f>
        <v/>
      </c>
      <c r="AL987" s="81" t="str">
        <f aca="false">IF(AH987&lt;&gt;"",AH987,IF(AC987&lt;&gt;"",AC987,IF(X987&lt;&gt;"",X987,"")))</f>
        <v/>
      </c>
      <c r="AM987" s="83" t="str">
        <f aca="false">IF(E987="","",IF(R987="","À SOUDER",IF(U987="","VT EN ATTENTE",IF(U987="R","VT REJETÉ – À REPRENDRE",IF(AL987="","À RADIOGRAPHIER",IF(AL987="A","ACCEPTÉ",IF(AL987="NX","NX – RT À REFAIRE",IF(IF(AK987=1,Z987,IF(AK987=2,AE987,""))="A","RÉPARÉ – À RADIOGRAPHIER",IF(IF(AK987=1,Z987,IF(AK987=2,AE987,""))="R","VT REJETÉ – À REPRENDRE",IF(OR(AL987="CO",AL987="NT"),"COUPE – À RESOUDER","À RÉPARER"))))))))))</f>
        <v/>
      </c>
      <c r="AN987" s="81" t="str">
        <f aca="false">IF(AND(ISNUMBER(R987),OR(AM987="À RADIOGRAPHIER",AM987="RÉPARÉ – À RADIOGRAPHIER",AM987="NX – RT À REFAIRE",AM987="À RÉPARER",AM987="COUPE – À RESOUDER",AM987="VT REJETÉ – À REPRENDRE")),MAX(0,'PROGRAMME RT'!$C$4-R987),"")</f>
        <v/>
      </c>
      <c r="AO987" s="78" t="n">
        <f aca="false">IF(AND(OR(AM987="À RADIOGRAPHIER",AM987="RÉPARÉ – À RADIOGRAPHIER",AM987="NX – RT À REFAIRE"),OR('PROGRAMME RT'!$D$5="TOUTES",B987='PROGRAMME RT'!$D$5)),1,0)</f>
        <v>0</v>
      </c>
      <c r="AP987" s="78" t="str">
        <f aca="false">IF(AO987=1,SUM(AO$7:AO987),"")</f>
        <v/>
      </c>
      <c r="AQ987" s="78" t="n">
        <f aca="false">IF(AND(OR(X987="R",X987="NX",X987="NT",X987="CO"),OR('JOINTS DE RÉPARATION'!$D$5="TOUTES",B987='JOINTS DE RÉPARATION'!$D$5),OR('JOINTS DE RÉPARATION'!$L$4="TOUS",AM987&lt;&gt;"ACCEPTÉ")),1,0)</f>
        <v>0</v>
      </c>
      <c r="AR987" s="78" t="str">
        <f aca="false">IF(AQ987=1,SUM(AQ$7:AQ987),"")</f>
        <v/>
      </c>
    </row>
    <row r="988" customFormat="false" ht="15" hidden="false" customHeight="false" outlineLevel="0" collapsed="false">
      <c r="A988" s="78" t="str">
        <f aca="false">IF(E988="","",ROW()-6)</f>
        <v/>
      </c>
      <c r="B988" s="79"/>
      <c r="C988" s="80"/>
      <c r="D988" s="80"/>
      <c r="E988" s="80"/>
      <c r="F988" s="80"/>
      <c r="G988" s="80"/>
      <c r="H988" s="80"/>
      <c r="I988" s="80"/>
      <c r="J988" s="80"/>
      <c r="K988" s="80"/>
      <c r="L988" s="81" t="str">
        <f aca="false">IF(K988="","",IFERROR(INDEX(BARDAGE!$C$7:$C$1506,MATCH(K988,BARDAGE!$B$7:$B$1506,0)),"? hors registre"))</f>
        <v/>
      </c>
      <c r="M988" s="80"/>
      <c r="N988" s="81" t="str">
        <f aca="false">IF(M988="","",IFERROR(INDEX(BARDAGE!$C$7:$C$1506,MATCH(M988,BARDAGE!$B$7:$B$1506,0)),"? hors registre"))</f>
        <v/>
      </c>
      <c r="O988" s="80"/>
      <c r="P988" s="80"/>
      <c r="Q988" s="80"/>
      <c r="R988" s="82"/>
      <c r="S988" s="82"/>
      <c r="T988" s="80"/>
      <c r="U988" s="80"/>
      <c r="V988" s="82"/>
      <c r="W988" s="80"/>
      <c r="X988" s="80"/>
      <c r="Y988" s="80"/>
      <c r="Z988" s="80"/>
      <c r="AA988" s="82"/>
      <c r="AB988" s="80"/>
      <c r="AC988" s="80"/>
      <c r="AD988" s="80"/>
      <c r="AE988" s="80"/>
      <c r="AF988" s="82"/>
      <c r="AG988" s="80"/>
      <c r="AH988" s="80"/>
      <c r="AI988" s="82"/>
      <c r="AJ988" s="79"/>
      <c r="AK988" s="78" t="str">
        <f aca="false">IF(E988="","",(X988&lt;&gt;"")+(AC988&lt;&gt;"")+(AH988&lt;&gt;""))</f>
        <v/>
      </c>
      <c r="AL988" s="81" t="str">
        <f aca="false">IF(AH988&lt;&gt;"",AH988,IF(AC988&lt;&gt;"",AC988,IF(X988&lt;&gt;"",X988,"")))</f>
        <v/>
      </c>
      <c r="AM988" s="83" t="str">
        <f aca="false">IF(E988="","",IF(R988="","À SOUDER",IF(U988="","VT EN ATTENTE",IF(U988="R","VT REJETÉ – À REPRENDRE",IF(AL988="","À RADIOGRAPHIER",IF(AL988="A","ACCEPTÉ",IF(AL988="NX","NX – RT À REFAIRE",IF(IF(AK988=1,Z988,IF(AK988=2,AE988,""))="A","RÉPARÉ – À RADIOGRAPHIER",IF(IF(AK988=1,Z988,IF(AK988=2,AE988,""))="R","VT REJETÉ – À REPRENDRE",IF(OR(AL988="CO",AL988="NT"),"COUPE – À RESOUDER","À RÉPARER"))))))))))</f>
        <v/>
      </c>
      <c r="AN988" s="81" t="str">
        <f aca="false">IF(AND(ISNUMBER(R988),OR(AM988="À RADIOGRAPHIER",AM988="RÉPARÉ – À RADIOGRAPHIER",AM988="NX – RT À REFAIRE",AM988="À RÉPARER",AM988="COUPE – À RESOUDER",AM988="VT REJETÉ – À REPRENDRE")),MAX(0,'PROGRAMME RT'!$C$4-R988),"")</f>
        <v/>
      </c>
      <c r="AO988" s="78" t="n">
        <f aca="false">IF(AND(OR(AM988="À RADIOGRAPHIER",AM988="RÉPARÉ – À RADIOGRAPHIER",AM988="NX – RT À REFAIRE"),OR('PROGRAMME RT'!$D$5="TOUTES",B988='PROGRAMME RT'!$D$5)),1,0)</f>
        <v>0</v>
      </c>
      <c r="AP988" s="78" t="str">
        <f aca="false">IF(AO988=1,SUM(AO$7:AO988),"")</f>
        <v/>
      </c>
      <c r="AQ988" s="78" t="n">
        <f aca="false">IF(AND(OR(X988="R",X988="NX",X988="NT",X988="CO"),OR('JOINTS DE RÉPARATION'!$D$5="TOUTES",B988='JOINTS DE RÉPARATION'!$D$5),OR('JOINTS DE RÉPARATION'!$L$4="TOUS",AM988&lt;&gt;"ACCEPTÉ")),1,0)</f>
        <v>0</v>
      </c>
      <c r="AR988" s="78" t="str">
        <f aca="false">IF(AQ988=1,SUM(AQ$7:AQ988),"")</f>
        <v/>
      </c>
    </row>
    <row r="989" customFormat="false" ht="15" hidden="false" customHeight="false" outlineLevel="0" collapsed="false">
      <c r="A989" s="78" t="str">
        <f aca="false">IF(E989="","",ROW()-6)</f>
        <v/>
      </c>
      <c r="B989" s="79"/>
      <c r="C989" s="80"/>
      <c r="D989" s="80"/>
      <c r="E989" s="80"/>
      <c r="F989" s="80"/>
      <c r="G989" s="80"/>
      <c r="H989" s="80"/>
      <c r="I989" s="80"/>
      <c r="J989" s="80"/>
      <c r="K989" s="80"/>
      <c r="L989" s="81" t="str">
        <f aca="false">IF(K989="","",IFERROR(INDEX(BARDAGE!$C$7:$C$1506,MATCH(K989,BARDAGE!$B$7:$B$1506,0)),"? hors registre"))</f>
        <v/>
      </c>
      <c r="M989" s="80"/>
      <c r="N989" s="81" t="str">
        <f aca="false">IF(M989="","",IFERROR(INDEX(BARDAGE!$C$7:$C$1506,MATCH(M989,BARDAGE!$B$7:$B$1506,0)),"? hors registre"))</f>
        <v/>
      </c>
      <c r="O989" s="80"/>
      <c r="P989" s="80"/>
      <c r="Q989" s="80"/>
      <c r="R989" s="82"/>
      <c r="S989" s="82"/>
      <c r="T989" s="80"/>
      <c r="U989" s="80"/>
      <c r="V989" s="82"/>
      <c r="W989" s="80"/>
      <c r="X989" s="80"/>
      <c r="Y989" s="80"/>
      <c r="Z989" s="80"/>
      <c r="AA989" s="82"/>
      <c r="AB989" s="80"/>
      <c r="AC989" s="80"/>
      <c r="AD989" s="80"/>
      <c r="AE989" s="80"/>
      <c r="AF989" s="82"/>
      <c r="AG989" s="80"/>
      <c r="AH989" s="80"/>
      <c r="AI989" s="82"/>
      <c r="AJ989" s="79"/>
      <c r="AK989" s="78" t="str">
        <f aca="false">IF(E989="","",(X989&lt;&gt;"")+(AC989&lt;&gt;"")+(AH989&lt;&gt;""))</f>
        <v/>
      </c>
      <c r="AL989" s="81" t="str">
        <f aca="false">IF(AH989&lt;&gt;"",AH989,IF(AC989&lt;&gt;"",AC989,IF(X989&lt;&gt;"",X989,"")))</f>
        <v/>
      </c>
      <c r="AM989" s="83" t="str">
        <f aca="false">IF(E989="","",IF(R989="","À SOUDER",IF(U989="","VT EN ATTENTE",IF(U989="R","VT REJETÉ – À REPRENDRE",IF(AL989="","À RADIOGRAPHIER",IF(AL989="A","ACCEPTÉ",IF(AL989="NX","NX – RT À REFAIRE",IF(IF(AK989=1,Z989,IF(AK989=2,AE989,""))="A","RÉPARÉ – À RADIOGRAPHIER",IF(IF(AK989=1,Z989,IF(AK989=2,AE989,""))="R","VT REJETÉ – À REPRENDRE",IF(OR(AL989="CO",AL989="NT"),"COUPE – À RESOUDER","À RÉPARER"))))))))))</f>
        <v/>
      </c>
      <c r="AN989" s="81" t="str">
        <f aca="false">IF(AND(ISNUMBER(R989),OR(AM989="À RADIOGRAPHIER",AM989="RÉPARÉ – À RADIOGRAPHIER",AM989="NX – RT À REFAIRE",AM989="À RÉPARER",AM989="COUPE – À RESOUDER",AM989="VT REJETÉ – À REPRENDRE")),MAX(0,'PROGRAMME RT'!$C$4-R989),"")</f>
        <v/>
      </c>
      <c r="AO989" s="78" t="n">
        <f aca="false">IF(AND(OR(AM989="À RADIOGRAPHIER",AM989="RÉPARÉ – À RADIOGRAPHIER",AM989="NX – RT À REFAIRE"),OR('PROGRAMME RT'!$D$5="TOUTES",B989='PROGRAMME RT'!$D$5)),1,0)</f>
        <v>0</v>
      </c>
      <c r="AP989" s="78" t="str">
        <f aca="false">IF(AO989=1,SUM(AO$7:AO989),"")</f>
        <v/>
      </c>
      <c r="AQ989" s="78" t="n">
        <f aca="false">IF(AND(OR(X989="R",X989="NX",X989="NT",X989="CO"),OR('JOINTS DE RÉPARATION'!$D$5="TOUTES",B989='JOINTS DE RÉPARATION'!$D$5),OR('JOINTS DE RÉPARATION'!$L$4="TOUS",AM989&lt;&gt;"ACCEPTÉ")),1,0)</f>
        <v>0</v>
      </c>
      <c r="AR989" s="78" t="str">
        <f aca="false">IF(AQ989=1,SUM(AQ$7:AQ989),"")</f>
        <v/>
      </c>
    </row>
    <row r="990" customFormat="false" ht="15" hidden="false" customHeight="false" outlineLevel="0" collapsed="false">
      <c r="A990" s="78" t="str">
        <f aca="false">IF(E990="","",ROW()-6)</f>
        <v/>
      </c>
      <c r="B990" s="79"/>
      <c r="C990" s="80"/>
      <c r="D990" s="80"/>
      <c r="E990" s="80"/>
      <c r="F990" s="80"/>
      <c r="G990" s="80"/>
      <c r="H990" s="80"/>
      <c r="I990" s="80"/>
      <c r="J990" s="80"/>
      <c r="K990" s="80"/>
      <c r="L990" s="81" t="str">
        <f aca="false">IF(K990="","",IFERROR(INDEX(BARDAGE!$C$7:$C$1506,MATCH(K990,BARDAGE!$B$7:$B$1506,0)),"? hors registre"))</f>
        <v/>
      </c>
      <c r="M990" s="80"/>
      <c r="N990" s="81" t="str">
        <f aca="false">IF(M990="","",IFERROR(INDEX(BARDAGE!$C$7:$C$1506,MATCH(M990,BARDAGE!$B$7:$B$1506,0)),"? hors registre"))</f>
        <v/>
      </c>
      <c r="O990" s="80"/>
      <c r="P990" s="80"/>
      <c r="Q990" s="80"/>
      <c r="R990" s="82"/>
      <c r="S990" s="82"/>
      <c r="T990" s="80"/>
      <c r="U990" s="80"/>
      <c r="V990" s="82"/>
      <c r="W990" s="80"/>
      <c r="X990" s="80"/>
      <c r="Y990" s="80"/>
      <c r="Z990" s="80"/>
      <c r="AA990" s="82"/>
      <c r="AB990" s="80"/>
      <c r="AC990" s="80"/>
      <c r="AD990" s="80"/>
      <c r="AE990" s="80"/>
      <c r="AF990" s="82"/>
      <c r="AG990" s="80"/>
      <c r="AH990" s="80"/>
      <c r="AI990" s="82"/>
      <c r="AJ990" s="79"/>
      <c r="AK990" s="78" t="str">
        <f aca="false">IF(E990="","",(X990&lt;&gt;"")+(AC990&lt;&gt;"")+(AH990&lt;&gt;""))</f>
        <v/>
      </c>
      <c r="AL990" s="81" t="str">
        <f aca="false">IF(AH990&lt;&gt;"",AH990,IF(AC990&lt;&gt;"",AC990,IF(X990&lt;&gt;"",X990,"")))</f>
        <v/>
      </c>
      <c r="AM990" s="83" t="str">
        <f aca="false">IF(E990="","",IF(R990="","À SOUDER",IF(U990="","VT EN ATTENTE",IF(U990="R","VT REJETÉ – À REPRENDRE",IF(AL990="","À RADIOGRAPHIER",IF(AL990="A","ACCEPTÉ",IF(AL990="NX","NX – RT À REFAIRE",IF(IF(AK990=1,Z990,IF(AK990=2,AE990,""))="A","RÉPARÉ – À RADIOGRAPHIER",IF(IF(AK990=1,Z990,IF(AK990=2,AE990,""))="R","VT REJETÉ – À REPRENDRE",IF(OR(AL990="CO",AL990="NT"),"COUPE – À RESOUDER","À RÉPARER"))))))))))</f>
        <v/>
      </c>
      <c r="AN990" s="81" t="str">
        <f aca="false">IF(AND(ISNUMBER(R990),OR(AM990="À RADIOGRAPHIER",AM990="RÉPARÉ – À RADIOGRAPHIER",AM990="NX – RT À REFAIRE",AM990="À RÉPARER",AM990="COUPE – À RESOUDER",AM990="VT REJETÉ – À REPRENDRE")),MAX(0,'PROGRAMME RT'!$C$4-R990),"")</f>
        <v/>
      </c>
      <c r="AO990" s="78" t="n">
        <f aca="false">IF(AND(OR(AM990="À RADIOGRAPHIER",AM990="RÉPARÉ – À RADIOGRAPHIER",AM990="NX – RT À REFAIRE"),OR('PROGRAMME RT'!$D$5="TOUTES",B990='PROGRAMME RT'!$D$5)),1,0)</f>
        <v>0</v>
      </c>
      <c r="AP990" s="78" t="str">
        <f aca="false">IF(AO990=1,SUM(AO$7:AO990),"")</f>
        <v/>
      </c>
      <c r="AQ990" s="78" t="n">
        <f aca="false">IF(AND(OR(X990="R",X990="NX",X990="NT",X990="CO"),OR('JOINTS DE RÉPARATION'!$D$5="TOUTES",B990='JOINTS DE RÉPARATION'!$D$5),OR('JOINTS DE RÉPARATION'!$L$4="TOUS",AM990&lt;&gt;"ACCEPTÉ")),1,0)</f>
        <v>0</v>
      </c>
      <c r="AR990" s="78" t="str">
        <f aca="false">IF(AQ990=1,SUM(AQ$7:AQ990),"")</f>
        <v/>
      </c>
    </row>
    <row r="991" customFormat="false" ht="15" hidden="false" customHeight="false" outlineLevel="0" collapsed="false">
      <c r="A991" s="78" t="str">
        <f aca="false">IF(E991="","",ROW()-6)</f>
        <v/>
      </c>
      <c r="B991" s="79"/>
      <c r="C991" s="80"/>
      <c r="D991" s="80"/>
      <c r="E991" s="80"/>
      <c r="F991" s="80"/>
      <c r="G991" s="80"/>
      <c r="H991" s="80"/>
      <c r="I991" s="80"/>
      <c r="J991" s="80"/>
      <c r="K991" s="80"/>
      <c r="L991" s="81" t="str">
        <f aca="false">IF(K991="","",IFERROR(INDEX(BARDAGE!$C$7:$C$1506,MATCH(K991,BARDAGE!$B$7:$B$1506,0)),"? hors registre"))</f>
        <v/>
      </c>
      <c r="M991" s="80"/>
      <c r="N991" s="81" t="str">
        <f aca="false">IF(M991="","",IFERROR(INDEX(BARDAGE!$C$7:$C$1506,MATCH(M991,BARDAGE!$B$7:$B$1506,0)),"? hors registre"))</f>
        <v/>
      </c>
      <c r="O991" s="80"/>
      <c r="P991" s="80"/>
      <c r="Q991" s="80"/>
      <c r="R991" s="82"/>
      <c r="S991" s="82"/>
      <c r="T991" s="80"/>
      <c r="U991" s="80"/>
      <c r="V991" s="82"/>
      <c r="W991" s="80"/>
      <c r="X991" s="80"/>
      <c r="Y991" s="80"/>
      <c r="Z991" s="80"/>
      <c r="AA991" s="82"/>
      <c r="AB991" s="80"/>
      <c r="AC991" s="80"/>
      <c r="AD991" s="80"/>
      <c r="AE991" s="80"/>
      <c r="AF991" s="82"/>
      <c r="AG991" s="80"/>
      <c r="AH991" s="80"/>
      <c r="AI991" s="82"/>
      <c r="AJ991" s="79"/>
      <c r="AK991" s="78" t="str">
        <f aca="false">IF(E991="","",(X991&lt;&gt;"")+(AC991&lt;&gt;"")+(AH991&lt;&gt;""))</f>
        <v/>
      </c>
      <c r="AL991" s="81" t="str">
        <f aca="false">IF(AH991&lt;&gt;"",AH991,IF(AC991&lt;&gt;"",AC991,IF(X991&lt;&gt;"",X991,"")))</f>
        <v/>
      </c>
      <c r="AM991" s="83" t="str">
        <f aca="false">IF(E991="","",IF(R991="","À SOUDER",IF(U991="","VT EN ATTENTE",IF(U991="R","VT REJETÉ – À REPRENDRE",IF(AL991="","À RADIOGRAPHIER",IF(AL991="A","ACCEPTÉ",IF(AL991="NX","NX – RT À REFAIRE",IF(IF(AK991=1,Z991,IF(AK991=2,AE991,""))="A","RÉPARÉ – À RADIOGRAPHIER",IF(IF(AK991=1,Z991,IF(AK991=2,AE991,""))="R","VT REJETÉ – À REPRENDRE",IF(OR(AL991="CO",AL991="NT"),"COUPE – À RESOUDER","À RÉPARER"))))))))))</f>
        <v/>
      </c>
      <c r="AN991" s="81" t="str">
        <f aca="false">IF(AND(ISNUMBER(R991),OR(AM991="À RADIOGRAPHIER",AM991="RÉPARÉ – À RADIOGRAPHIER",AM991="NX – RT À REFAIRE",AM991="À RÉPARER",AM991="COUPE – À RESOUDER",AM991="VT REJETÉ – À REPRENDRE")),MAX(0,'PROGRAMME RT'!$C$4-R991),"")</f>
        <v/>
      </c>
      <c r="AO991" s="78" t="n">
        <f aca="false">IF(AND(OR(AM991="À RADIOGRAPHIER",AM991="RÉPARÉ – À RADIOGRAPHIER",AM991="NX – RT À REFAIRE"),OR('PROGRAMME RT'!$D$5="TOUTES",B991='PROGRAMME RT'!$D$5)),1,0)</f>
        <v>0</v>
      </c>
      <c r="AP991" s="78" t="str">
        <f aca="false">IF(AO991=1,SUM(AO$7:AO991),"")</f>
        <v/>
      </c>
      <c r="AQ991" s="78" t="n">
        <f aca="false">IF(AND(OR(X991="R",X991="NX",X991="NT",X991="CO"),OR('JOINTS DE RÉPARATION'!$D$5="TOUTES",B991='JOINTS DE RÉPARATION'!$D$5),OR('JOINTS DE RÉPARATION'!$L$4="TOUS",AM991&lt;&gt;"ACCEPTÉ")),1,0)</f>
        <v>0</v>
      </c>
      <c r="AR991" s="78" t="str">
        <f aca="false">IF(AQ991=1,SUM(AQ$7:AQ991),"")</f>
        <v/>
      </c>
    </row>
    <row r="992" customFormat="false" ht="15" hidden="false" customHeight="false" outlineLevel="0" collapsed="false">
      <c r="A992" s="78" t="str">
        <f aca="false">IF(E992="","",ROW()-6)</f>
        <v/>
      </c>
      <c r="B992" s="79"/>
      <c r="C992" s="80"/>
      <c r="D992" s="80"/>
      <c r="E992" s="80"/>
      <c r="F992" s="80"/>
      <c r="G992" s="80"/>
      <c r="H992" s="80"/>
      <c r="I992" s="80"/>
      <c r="J992" s="80"/>
      <c r="K992" s="80"/>
      <c r="L992" s="81" t="str">
        <f aca="false">IF(K992="","",IFERROR(INDEX(BARDAGE!$C$7:$C$1506,MATCH(K992,BARDAGE!$B$7:$B$1506,0)),"? hors registre"))</f>
        <v/>
      </c>
      <c r="M992" s="80"/>
      <c r="N992" s="81" t="str">
        <f aca="false">IF(M992="","",IFERROR(INDEX(BARDAGE!$C$7:$C$1506,MATCH(M992,BARDAGE!$B$7:$B$1506,0)),"? hors registre"))</f>
        <v/>
      </c>
      <c r="O992" s="80"/>
      <c r="P992" s="80"/>
      <c r="Q992" s="80"/>
      <c r="R992" s="82"/>
      <c r="S992" s="82"/>
      <c r="T992" s="80"/>
      <c r="U992" s="80"/>
      <c r="V992" s="82"/>
      <c r="W992" s="80"/>
      <c r="X992" s="80"/>
      <c r="Y992" s="80"/>
      <c r="Z992" s="80"/>
      <c r="AA992" s="82"/>
      <c r="AB992" s="80"/>
      <c r="AC992" s="80"/>
      <c r="AD992" s="80"/>
      <c r="AE992" s="80"/>
      <c r="AF992" s="82"/>
      <c r="AG992" s="80"/>
      <c r="AH992" s="80"/>
      <c r="AI992" s="82"/>
      <c r="AJ992" s="79"/>
      <c r="AK992" s="78" t="str">
        <f aca="false">IF(E992="","",(X992&lt;&gt;"")+(AC992&lt;&gt;"")+(AH992&lt;&gt;""))</f>
        <v/>
      </c>
      <c r="AL992" s="81" t="str">
        <f aca="false">IF(AH992&lt;&gt;"",AH992,IF(AC992&lt;&gt;"",AC992,IF(X992&lt;&gt;"",X992,"")))</f>
        <v/>
      </c>
      <c r="AM992" s="83" t="str">
        <f aca="false">IF(E992="","",IF(R992="","À SOUDER",IF(U992="","VT EN ATTENTE",IF(U992="R","VT REJETÉ – À REPRENDRE",IF(AL992="","À RADIOGRAPHIER",IF(AL992="A","ACCEPTÉ",IF(AL992="NX","NX – RT À REFAIRE",IF(IF(AK992=1,Z992,IF(AK992=2,AE992,""))="A","RÉPARÉ – À RADIOGRAPHIER",IF(IF(AK992=1,Z992,IF(AK992=2,AE992,""))="R","VT REJETÉ – À REPRENDRE",IF(OR(AL992="CO",AL992="NT"),"COUPE – À RESOUDER","À RÉPARER"))))))))))</f>
        <v/>
      </c>
      <c r="AN992" s="81" t="str">
        <f aca="false">IF(AND(ISNUMBER(R992),OR(AM992="À RADIOGRAPHIER",AM992="RÉPARÉ – À RADIOGRAPHIER",AM992="NX – RT À REFAIRE",AM992="À RÉPARER",AM992="COUPE – À RESOUDER",AM992="VT REJETÉ – À REPRENDRE")),MAX(0,'PROGRAMME RT'!$C$4-R992),"")</f>
        <v/>
      </c>
      <c r="AO992" s="78" t="n">
        <f aca="false">IF(AND(OR(AM992="À RADIOGRAPHIER",AM992="RÉPARÉ – À RADIOGRAPHIER",AM992="NX – RT À REFAIRE"),OR('PROGRAMME RT'!$D$5="TOUTES",B992='PROGRAMME RT'!$D$5)),1,0)</f>
        <v>0</v>
      </c>
      <c r="AP992" s="78" t="str">
        <f aca="false">IF(AO992=1,SUM(AO$7:AO992),"")</f>
        <v/>
      </c>
      <c r="AQ992" s="78" t="n">
        <f aca="false">IF(AND(OR(X992="R",X992="NX",X992="NT",X992="CO"),OR('JOINTS DE RÉPARATION'!$D$5="TOUTES",B992='JOINTS DE RÉPARATION'!$D$5),OR('JOINTS DE RÉPARATION'!$L$4="TOUS",AM992&lt;&gt;"ACCEPTÉ")),1,0)</f>
        <v>0</v>
      </c>
      <c r="AR992" s="78" t="str">
        <f aca="false">IF(AQ992=1,SUM(AQ$7:AQ992),"")</f>
        <v/>
      </c>
    </row>
    <row r="993" customFormat="false" ht="15" hidden="false" customHeight="false" outlineLevel="0" collapsed="false">
      <c r="A993" s="78" t="str">
        <f aca="false">IF(E993="","",ROW()-6)</f>
        <v/>
      </c>
      <c r="B993" s="79"/>
      <c r="C993" s="80"/>
      <c r="D993" s="80"/>
      <c r="E993" s="80"/>
      <c r="F993" s="80"/>
      <c r="G993" s="80"/>
      <c r="H993" s="80"/>
      <c r="I993" s="80"/>
      <c r="J993" s="80"/>
      <c r="K993" s="80"/>
      <c r="L993" s="81" t="str">
        <f aca="false">IF(K993="","",IFERROR(INDEX(BARDAGE!$C$7:$C$1506,MATCH(K993,BARDAGE!$B$7:$B$1506,0)),"? hors registre"))</f>
        <v/>
      </c>
      <c r="M993" s="80"/>
      <c r="N993" s="81" t="str">
        <f aca="false">IF(M993="","",IFERROR(INDEX(BARDAGE!$C$7:$C$1506,MATCH(M993,BARDAGE!$B$7:$B$1506,0)),"? hors registre"))</f>
        <v/>
      </c>
      <c r="O993" s="80"/>
      <c r="P993" s="80"/>
      <c r="Q993" s="80"/>
      <c r="R993" s="82"/>
      <c r="S993" s="82"/>
      <c r="T993" s="80"/>
      <c r="U993" s="80"/>
      <c r="V993" s="82"/>
      <c r="W993" s="80"/>
      <c r="X993" s="80"/>
      <c r="Y993" s="80"/>
      <c r="Z993" s="80"/>
      <c r="AA993" s="82"/>
      <c r="AB993" s="80"/>
      <c r="AC993" s="80"/>
      <c r="AD993" s="80"/>
      <c r="AE993" s="80"/>
      <c r="AF993" s="82"/>
      <c r="AG993" s="80"/>
      <c r="AH993" s="80"/>
      <c r="AI993" s="82"/>
      <c r="AJ993" s="79"/>
      <c r="AK993" s="78" t="str">
        <f aca="false">IF(E993="","",(X993&lt;&gt;"")+(AC993&lt;&gt;"")+(AH993&lt;&gt;""))</f>
        <v/>
      </c>
      <c r="AL993" s="81" t="str">
        <f aca="false">IF(AH993&lt;&gt;"",AH993,IF(AC993&lt;&gt;"",AC993,IF(X993&lt;&gt;"",X993,"")))</f>
        <v/>
      </c>
      <c r="AM993" s="83" t="str">
        <f aca="false">IF(E993="","",IF(R993="","À SOUDER",IF(U993="","VT EN ATTENTE",IF(U993="R","VT REJETÉ – À REPRENDRE",IF(AL993="","À RADIOGRAPHIER",IF(AL993="A","ACCEPTÉ",IF(AL993="NX","NX – RT À REFAIRE",IF(IF(AK993=1,Z993,IF(AK993=2,AE993,""))="A","RÉPARÉ – À RADIOGRAPHIER",IF(IF(AK993=1,Z993,IF(AK993=2,AE993,""))="R","VT REJETÉ – À REPRENDRE",IF(OR(AL993="CO",AL993="NT"),"COUPE – À RESOUDER","À RÉPARER"))))))))))</f>
        <v/>
      </c>
      <c r="AN993" s="81" t="str">
        <f aca="false">IF(AND(ISNUMBER(R993),OR(AM993="À RADIOGRAPHIER",AM993="RÉPARÉ – À RADIOGRAPHIER",AM993="NX – RT À REFAIRE",AM993="À RÉPARER",AM993="COUPE – À RESOUDER",AM993="VT REJETÉ – À REPRENDRE")),MAX(0,'PROGRAMME RT'!$C$4-R993),"")</f>
        <v/>
      </c>
      <c r="AO993" s="78" t="n">
        <f aca="false">IF(AND(OR(AM993="À RADIOGRAPHIER",AM993="RÉPARÉ – À RADIOGRAPHIER",AM993="NX – RT À REFAIRE"),OR('PROGRAMME RT'!$D$5="TOUTES",B993='PROGRAMME RT'!$D$5)),1,0)</f>
        <v>0</v>
      </c>
      <c r="AP993" s="78" t="str">
        <f aca="false">IF(AO993=1,SUM(AO$7:AO993),"")</f>
        <v/>
      </c>
      <c r="AQ993" s="78" t="n">
        <f aca="false">IF(AND(OR(X993="R",X993="NX",X993="NT",X993="CO"),OR('JOINTS DE RÉPARATION'!$D$5="TOUTES",B993='JOINTS DE RÉPARATION'!$D$5),OR('JOINTS DE RÉPARATION'!$L$4="TOUS",AM993&lt;&gt;"ACCEPTÉ")),1,0)</f>
        <v>0</v>
      </c>
      <c r="AR993" s="78" t="str">
        <f aca="false">IF(AQ993=1,SUM(AQ$7:AQ993),"")</f>
        <v/>
      </c>
    </row>
    <row r="994" customFormat="false" ht="15" hidden="false" customHeight="false" outlineLevel="0" collapsed="false">
      <c r="A994" s="78" t="str">
        <f aca="false">IF(E994="","",ROW()-6)</f>
        <v/>
      </c>
      <c r="B994" s="79"/>
      <c r="C994" s="80"/>
      <c r="D994" s="80"/>
      <c r="E994" s="80"/>
      <c r="F994" s="80"/>
      <c r="G994" s="80"/>
      <c r="H994" s="80"/>
      <c r="I994" s="80"/>
      <c r="J994" s="80"/>
      <c r="K994" s="80"/>
      <c r="L994" s="81" t="str">
        <f aca="false">IF(K994="","",IFERROR(INDEX(BARDAGE!$C$7:$C$1506,MATCH(K994,BARDAGE!$B$7:$B$1506,0)),"? hors registre"))</f>
        <v/>
      </c>
      <c r="M994" s="80"/>
      <c r="N994" s="81" t="str">
        <f aca="false">IF(M994="","",IFERROR(INDEX(BARDAGE!$C$7:$C$1506,MATCH(M994,BARDAGE!$B$7:$B$1506,0)),"? hors registre"))</f>
        <v/>
      </c>
      <c r="O994" s="80"/>
      <c r="P994" s="80"/>
      <c r="Q994" s="80"/>
      <c r="R994" s="82"/>
      <c r="S994" s="82"/>
      <c r="T994" s="80"/>
      <c r="U994" s="80"/>
      <c r="V994" s="82"/>
      <c r="W994" s="80"/>
      <c r="X994" s="80"/>
      <c r="Y994" s="80"/>
      <c r="Z994" s="80"/>
      <c r="AA994" s="82"/>
      <c r="AB994" s="80"/>
      <c r="AC994" s="80"/>
      <c r="AD994" s="80"/>
      <c r="AE994" s="80"/>
      <c r="AF994" s="82"/>
      <c r="AG994" s="80"/>
      <c r="AH994" s="80"/>
      <c r="AI994" s="82"/>
      <c r="AJ994" s="79"/>
      <c r="AK994" s="78" t="str">
        <f aca="false">IF(E994="","",(X994&lt;&gt;"")+(AC994&lt;&gt;"")+(AH994&lt;&gt;""))</f>
        <v/>
      </c>
      <c r="AL994" s="81" t="str">
        <f aca="false">IF(AH994&lt;&gt;"",AH994,IF(AC994&lt;&gt;"",AC994,IF(X994&lt;&gt;"",X994,"")))</f>
        <v/>
      </c>
      <c r="AM994" s="83" t="str">
        <f aca="false">IF(E994="","",IF(R994="","À SOUDER",IF(U994="","VT EN ATTENTE",IF(U994="R","VT REJETÉ – À REPRENDRE",IF(AL994="","À RADIOGRAPHIER",IF(AL994="A","ACCEPTÉ",IF(AL994="NX","NX – RT À REFAIRE",IF(IF(AK994=1,Z994,IF(AK994=2,AE994,""))="A","RÉPARÉ – À RADIOGRAPHIER",IF(IF(AK994=1,Z994,IF(AK994=2,AE994,""))="R","VT REJETÉ – À REPRENDRE",IF(OR(AL994="CO",AL994="NT"),"COUPE – À RESOUDER","À RÉPARER"))))))))))</f>
        <v/>
      </c>
      <c r="AN994" s="81" t="str">
        <f aca="false">IF(AND(ISNUMBER(R994),OR(AM994="À RADIOGRAPHIER",AM994="RÉPARÉ – À RADIOGRAPHIER",AM994="NX – RT À REFAIRE",AM994="À RÉPARER",AM994="COUPE – À RESOUDER",AM994="VT REJETÉ – À REPRENDRE")),MAX(0,'PROGRAMME RT'!$C$4-R994),"")</f>
        <v/>
      </c>
      <c r="AO994" s="78" t="n">
        <f aca="false">IF(AND(OR(AM994="À RADIOGRAPHIER",AM994="RÉPARÉ – À RADIOGRAPHIER",AM994="NX – RT À REFAIRE"),OR('PROGRAMME RT'!$D$5="TOUTES",B994='PROGRAMME RT'!$D$5)),1,0)</f>
        <v>0</v>
      </c>
      <c r="AP994" s="78" t="str">
        <f aca="false">IF(AO994=1,SUM(AO$7:AO994),"")</f>
        <v/>
      </c>
      <c r="AQ994" s="78" t="n">
        <f aca="false">IF(AND(OR(X994="R",X994="NX",X994="NT",X994="CO"),OR('JOINTS DE RÉPARATION'!$D$5="TOUTES",B994='JOINTS DE RÉPARATION'!$D$5),OR('JOINTS DE RÉPARATION'!$L$4="TOUS",AM994&lt;&gt;"ACCEPTÉ")),1,0)</f>
        <v>0</v>
      </c>
      <c r="AR994" s="78" t="str">
        <f aca="false">IF(AQ994=1,SUM(AQ$7:AQ994),"")</f>
        <v/>
      </c>
    </row>
    <row r="995" customFormat="false" ht="15" hidden="false" customHeight="false" outlineLevel="0" collapsed="false">
      <c r="A995" s="78" t="str">
        <f aca="false">IF(E995="","",ROW()-6)</f>
        <v/>
      </c>
      <c r="B995" s="79"/>
      <c r="C995" s="80"/>
      <c r="D995" s="80"/>
      <c r="E995" s="80"/>
      <c r="F995" s="80"/>
      <c r="G995" s="80"/>
      <c r="H995" s="80"/>
      <c r="I995" s="80"/>
      <c r="J995" s="80"/>
      <c r="K995" s="80"/>
      <c r="L995" s="81" t="str">
        <f aca="false">IF(K995="","",IFERROR(INDEX(BARDAGE!$C$7:$C$1506,MATCH(K995,BARDAGE!$B$7:$B$1506,0)),"? hors registre"))</f>
        <v/>
      </c>
      <c r="M995" s="80"/>
      <c r="N995" s="81" t="str">
        <f aca="false">IF(M995="","",IFERROR(INDEX(BARDAGE!$C$7:$C$1506,MATCH(M995,BARDAGE!$B$7:$B$1506,0)),"? hors registre"))</f>
        <v/>
      </c>
      <c r="O995" s="80"/>
      <c r="P995" s="80"/>
      <c r="Q995" s="80"/>
      <c r="R995" s="82"/>
      <c r="S995" s="82"/>
      <c r="T995" s="80"/>
      <c r="U995" s="80"/>
      <c r="V995" s="82"/>
      <c r="W995" s="80"/>
      <c r="X995" s="80"/>
      <c r="Y995" s="80"/>
      <c r="Z995" s="80"/>
      <c r="AA995" s="82"/>
      <c r="AB995" s="80"/>
      <c r="AC995" s="80"/>
      <c r="AD995" s="80"/>
      <c r="AE995" s="80"/>
      <c r="AF995" s="82"/>
      <c r="AG995" s="80"/>
      <c r="AH995" s="80"/>
      <c r="AI995" s="82"/>
      <c r="AJ995" s="79"/>
      <c r="AK995" s="78" t="str">
        <f aca="false">IF(E995="","",(X995&lt;&gt;"")+(AC995&lt;&gt;"")+(AH995&lt;&gt;""))</f>
        <v/>
      </c>
      <c r="AL995" s="81" t="str">
        <f aca="false">IF(AH995&lt;&gt;"",AH995,IF(AC995&lt;&gt;"",AC995,IF(X995&lt;&gt;"",X995,"")))</f>
        <v/>
      </c>
      <c r="AM995" s="83" t="str">
        <f aca="false">IF(E995="","",IF(R995="","À SOUDER",IF(U995="","VT EN ATTENTE",IF(U995="R","VT REJETÉ – À REPRENDRE",IF(AL995="","À RADIOGRAPHIER",IF(AL995="A","ACCEPTÉ",IF(AL995="NX","NX – RT À REFAIRE",IF(IF(AK995=1,Z995,IF(AK995=2,AE995,""))="A","RÉPARÉ – À RADIOGRAPHIER",IF(IF(AK995=1,Z995,IF(AK995=2,AE995,""))="R","VT REJETÉ – À REPRENDRE",IF(OR(AL995="CO",AL995="NT"),"COUPE – À RESOUDER","À RÉPARER"))))))))))</f>
        <v/>
      </c>
      <c r="AN995" s="81" t="str">
        <f aca="false">IF(AND(ISNUMBER(R995),OR(AM995="À RADIOGRAPHIER",AM995="RÉPARÉ – À RADIOGRAPHIER",AM995="NX – RT À REFAIRE",AM995="À RÉPARER",AM995="COUPE – À RESOUDER",AM995="VT REJETÉ – À REPRENDRE")),MAX(0,'PROGRAMME RT'!$C$4-R995),"")</f>
        <v/>
      </c>
      <c r="AO995" s="78" t="n">
        <f aca="false">IF(AND(OR(AM995="À RADIOGRAPHIER",AM995="RÉPARÉ – À RADIOGRAPHIER",AM995="NX – RT À REFAIRE"),OR('PROGRAMME RT'!$D$5="TOUTES",B995='PROGRAMME RT'!$D$5)),1,0)</f>
        <v>0</v>
      </c>
      <c r="AP995" s="78" t="str">
        <f aca="false">IF(AO995=1,SUM(AO$7:AO995),"")</f>
        <v/>
      </c>
      <c r="AQ995" s="78" t="n">
        <f aca="false">IF(AND(OR(X995="R",X995="NX",X995="NT",X995="CO"),OR('JOINTS DE RÉPARATION'!$D$5="TOUTES",B995='JOINTS DE RÉPARATION'!$D$5),OR('JOINTS DE RÉPARATION'!$L$4="TOUS",AM995&lt;&gt;"ACCEPTÉ")),1,0)</f>
        <v>0</v>
      </c>
      <c r="AR995" s="78" t="str">
        <f aca="false">IF(AQ995=1,SUM(AQ$7:AQ995),"")</f>
        <v/>
      </c>
    </row>
    <row r="996" customFormat="false" ht="15" hidden="false" customHeight="false" outlineLevel="0" collapsed="false">
      <c r="A996" s="78" t="str">
        <f aca="false">IF(E996="","",ROW()-6)</f>
        <v/>
      </c>
      <c r="B996" s="79"/>
      <c r="C996" s="80"/>
      <c r="D996" s="80"/>
      <c r="E996" s="80"/>
      <c r="F996" s="80"/>
      <c r="G996" s="80"/>
      <c r="H996" s="80"/>
      <c r="I996" s="80"/>
      <c r="J996" s="80"/>
      <c r="K996" s="80"/>
      <c r="L996" s="81" t="str">
        <f aca="false">IF(K996="","",IFERROR(INDEX(BARDAGE!$C$7:$C$1506,MATCH(K996,BARDAGE!$B$7:$B$1506,0)),"? hors registre"))</f>
        <v/>
      </c>
      <c r="M996" s="80"/>
      <c r="N996" s="81" t="str">
        <f aca="false">IF(M996="","",IFERROR(INDEX(BARDAGE!$C$7:$C$1506,MATCH(M996,BARDAGE!$B$7:$B$1506,0)),"? hors registre"))</f>
        <v/>
      </c>
      <c r="O996" s="80"/>
      <c r="P996" s="80"/>
      <c r="Q996" s="80"/>
      <c r="R996" s="82"/>
      <c r="S996" s="82"/>
      <c r="T996" s="80"/>
      <c r="U996" s="80"/>
      <c r="V996" s="82"/>
      <c r="W996" s="80"/>
      <c r="X996" s="80"/>
      <c r="Y996" s="80"/>
      <c r="Z996" s="80"/>
      <c r="AA996" s="82"/>
      <c r="AB996" s="80"/>
      <c r="AC996" s="80"/>
      <c r="AD996" s="80"/>
      <c r="AE996" s="80"/>
      <c r="AF996" s="82"/>
      <c r="AG996" s="80"/>
      <c r="AH996" s="80"/>
      <c r="AI996" s="82"/>
      <c r="AJ996" s="79"/>
      <c r="AK996" s="78" t="str">
        <f aca="false">IF(E996="","",(X996&lt;&gt;"")+(AC996&lt;&gt;"")+(AH996&lt;&gt;""))</f>
        <v/>
      </c>
      <c r="AL996" s="81" t="str">
        <f aca="false">IF(AH996&lt;&gt;"",AH996,IF(AC996&lt;&gt;"",AC996,IF(X996&lt;&gt;"",X996,"")))</f>
        <v/>
      </c>
      <c r="AM996" s="83" t="str">
        <f aca="false">IF(E996="","",IF(R996="","À SOUDER",IF(U996="","VT EN ATTENTE",IF(U996="R","VT REJETÉ – À REPRENDRE",IF(AL996="","À RADIOGRAPHIER",IF(AL996="A","ACCEPTÉ",IF(AL996="NX","NX – RT À REFAIRE",IF(IF(AK996=1,Z996,IF(AK996=2,AE996,""))="A","RÉPARÉ – À RADIOGRAPHIER",IF(IF(AK996=1,Z996,IF(AK996=2,AE996,""))="R","VT REJETÉ – À REPRENDRE",IF(OR(AL996="CO",AL996="NT"),"COUPE – À RESOUDER","À RÉPARER"))))))))))</f>
        <v/>
      </c>
      <c r="AN996" s="81" t="str">
        <f aca="false">IF(AND(ISNUMBER(R996),OR(AM996="À RADIOGRAPHIER",AM996="RÉPARÉ – À RADIOGRAPHIER",AM996="NX – RT À REFAIRE",AM996="À RÉPARER",AM996="COUPE – À RESOUDER",AM996="VT REJETÉ – À REPRENDRE")),MAX(0,'PROGRAMME RT'!$C$4-R996),"")</f>
        <v/>
      </c>
      <c r="AO996" s="78" t="n">
        <f aca="false">IF(AND(OR(AM996="À RADIOGRAPHIER",AM996="RÉPARÉ – À RADIOGRAPHIER",AM996="NX – RT À REFAIRE"),OR('PROGRAMME RT'!$D$5="TOUTES",B996='PROGRAMME RT'!$D$5)),1,0)</f>
        <v>0</v>
      </c>
      <c r="AP996" s="78" t="str">
        <f aca="false">IF(AO996=1,SUM(AO$7:AO996),"")</f>
        <v/>
      </c>
      <c r="AQ996" s="78" t="n">
        <f aca="false">IF(AND(OR(X996="R",X996="NX",X996="NT",X996="CO"),OR('JOINTS DE RÉPARATION'!$D$5="TOUTES",B996='JOINTS DE RÉPARATION'!$D$5),OR('JOINTS DE RÉPARATION'!$L$4="TOUS",AM996&lt;&gt;"ACCEPTÉ")),1,0)</f>
        <v>0</v>
      </c>
      <c r="AR996" s="78" t="str">
        <f aca="false">IF(AQ996=1,SUM(AQ$7:AQ996),"")</f>
        <v/>
      </c>
    </row>
    <row r="997" customFormat="false" ht="15" hidden="false" customHeight="false" outlineLevel="0" collapsed="false">
      <c r="A997" s="78" t="str">
        <f aca="false">IF(E997="","",ROW()-6)</f>
        <v/>
      </c>
      <c r="B997" s="79"/>
      <c r="C997" s="80"/>
      <c r="D997" s="80"/>
      <c r="E997" s="80"/>
      <c r="F997" s="80"/>
      <c r="G997" s="80"/>
      <c r="H997" s="80"/>
      <c r="I997" s="80"/>
      <c r="J997" s="80"/>
      <c r="K997" s="80"/>
      <c r="L997" s="81" t="str">
        <f aca="false">IF(K997="","",IFERROR(INDEX(BARDAGE!$C$7:$C$1506,MATCH(K997,BARDAGE!$B$7:$B$1506,0)),"? hors registre"))</f>
        <v/>
      </c>
      <c r="M997" s="80"/>
      <c r="N997" s="81" t="str">
        <f aca="false">IF(M997="","",IFERROR(INDEX(BARDAGE!$C$7:$C$1506,MATCH(M997,BARDAGE!$B$7:$B$1506,0)),"? hors registre"))</f>
        <v/>
      </c>
      <c r="O997" s="80"/>
      <c r="P997" s="80"/>
      <c r="Q997" s="80"/>
      <c r="R997" s="82"/>
      <c r="S997" s="82"/>
      <c r="T997" s="80"/>
      <c r="U997" s="80"/>
      <c r="V997" s="82"/>
      <c r="W997" s="80"/>
      <c r="X997" s="80"/>
      <c r="Y997" s="80"/>
      <c r="Z997" s="80"/>
      <c r="AA997" s="82"/>
      <c r="AB997" s="80"/>
      <c r="AC997" s="80"/>
      <c r="AD997" s="80"/>
      <c r="AE997" s="80"/>
      <c r="AF997" s="82"/>
      <c r="AG997" s="80"/>
      <c r="AH997" s="80"/>
      <c r="AI997" s="82"/>
      <c r="AJ997" s="79"/>
      <c r="AK997" s="78" t="str">
        <f aca="false">IF(E997="","",(X997&lt;&gt;"")+(AC997&lt;&gt;"")+(AH997&lt;&gt;""))</f>
        <v/>
      </c>
      <c r="AL997" s="81" t="str">
        <f aca="false">IF(AH997&lt;&gt;"",AH997,IF(AC997&lt;&gt;"",AC997,IF(X997&lt;&gt;"",X997,"")))</f>
        <v/>
      </c>
      <c r="AM997" s="83" t="str">
        <f aca="false">IF(E997="","",IF(R997="","À SOUDER",IF(U997="","VT EN ATTENTE",IF(U997="R","VT REJETÉ – À REPRENDRE",IF(AL997="","À RADIOGRAPHIER",IF(AL997="A","ACCEPTÉ",IF(AL997="NX","NX – RT À REFAIRE",IF(IF(AK997=1,Z997,IF(AK997=2,AE997,""))="A","RÉPARÉ – À RADIOGRAPHIER",IF(IF(AK997=1,Z997,IF(AK997=2,AE997,""))="R","VT REJETÉ – À REPRENDRE",IF(OR(AL997="CO",AL997="NT"),"COUPE – À RESOUDER","À RÉPARER"))))))))))</f>
        <v/>
      </c>
      <c r="AN997" s="81" t="str">
        <f aca="false">IF(AND(ISNUMBER(R997),OR(AM997="À RADIOGRAPHIER",AM997="RÉPARÉ – À RADIOGRAPHIER",AM997="NX – RT À REFAIRE",AM997="À RÉPARER",AM997="COUPE – À RESOUDER",AM997="VT REJETÉ – À REPRENDRE")),MAX(0,'PROGRAMME RT'!$C$4-R997),"")</f>
        <v/>
      </c>
      <c r="AO997" s="78" t="n">
        <f aca="false">IF(AND(OR(AM997="À RADIOGRAPHIER",AM997="RÉPARÉ – À RADIOGRAPHIER",AM997="NX – RT À REFAIRE"),OR('PROGRAMME RT'!$D$5="TOUTES",B997='PROGRAMME RT'!$D$5)),1,0)</f>
        <v>0</v>
      </c>
      <c r="AP997" s="78" t="str">
        <f aca="false">IF(AO997=1,SUM(AO$7:AO997),"")</f>
        <v/>
      </c>
      <c r="AQ997" s="78" t="n">
        <f aca="false">IF(AND(OR(X997="R",X997="NX",X997="NT",X997="CO"),OR('JOINTS DE RÉPARATION'!$D$5="TOUTES",B997='JOINTS DE RÉPARATION'!$D$5),OR('JOINTS DE RÉPARATION'!$L$4="TOUS",AM997&lt;&gt;"ACCEPTÉ")),1,0)</f>
        <v>0</v>
      </c>
      <c r="AR997" s="78" t="str">
        <f aca="false">IF(AQ997=1,SUM(AQ$7:AQ997),"")</f>
        <v/>
      </c>
    </row>
    <row r="998" customFormat="false" ht="15" hidden="false" customHeight="false" outlineLevel="0" collapsed="false">
      <c r="A998" s="78" t="str">
        <f aca="false">IF(E998="","",ROW()-6)</f>
        <v/>
      </c>
      <c r="B998" s="79"/>
      <c r="C998" s="80"/>
      <c r="D998" s="80"/>
      <c r="E998" s="80"/>
      <c r="F998" s="80"/>
      <c r="G998" s="80"/>
      <c r="H998" s="80"/>
      <c r="I998" s="80"/>
      <c r="J998" s="80"/>
      <c r="K998" s="80"/>
      <c r="L998" s="81" t="str">
        <f aca="false">IF(K998="","",IFERROR(INDEX(BARDAGE!$C$7:$C$1506,MATCH(K998,BARDAGE!$B$7:$B$1506,0)),"? hors registre"))</f>
        <v/>
      </c>
      <c r="M998" s="80"/>
      <c r="N998" s="81" t="str">
        <f aca="false">IF(M998="","",IFERROR(INDEX(BARDAGE!$C$7:$C$1506,MATCH(M998,BARDAGE!$B$7:$B$1506,0)),"? hors registre"))</f>
        <v/>
      </c>
      <c r="O998" s="80"/>
      <c r="P998" s="80"/>
      <c r="Q998" s="80"/>
      <c r="R998" s="82"/>
      <c r="S998" s="82"/>
      <c r="T998" s="80"/>
      <c r="U998" s="80"/>
      <c r="V998" s="82"/>
      <c r="W998" s="80"/>
      <c r="X998" s="80"/>
      <c r="Y998" s="80"/>
      <c r="Z998" s="80"/>
      <c r="AA998" s="82"/>
      <c r="AB998" s="80"/>
      <c r="AC998" s="80"/>
      <c r="AD998" s="80"/>
      <c r="AE998" s="80"/>
      <c r="AF998" s="82"/>
      <c r="AG998" s="80"/>
      <c r="AH998" s="80"/>
      <c r="AI998" s="82"/>
      <c r="AJ998" s="79"/>
      <c r="AK998" s="78" t="str">
        <f aca="false">IF(E998="","",(X998&lt;&gt;"")+(AC998&lt;&gt;"")+(AH998&lt;&gt;""))</f>
        <v/>
      </c>
      <c r="AL998" s="81" t="str">
        <f aca="false">IF(AH998&lt;&gt;"",AH998,IF(AC998&lt;&gt;"",AC998,IF(X998&lt;&gt;"",X998,"")))</f>
        <v/>
      </c>
      <c r="AM998" s="83" t="str">
        <f aca="false">IF(E998="","",IF(R998="","À SOUDER",IF(U998="","VT EN ATTENTE",IF(U998="R","VT REJETÉ – À REPRENDRE",IF(AL998="","À RADIOGRAPHIER",IF(AL998="A","ACCEPTÉ",IF(AL998="NX","NX – RT À REFAIRE",IF(IF(AK998=1,Z998,IF(AK998=2,AE998,""))="A","RÉPARÉ – À RADIOGRAPHIER",IF(IF(AK998=1,Z998,IF(AK998=2,AE998,""))="R","VT REJETÉ – À REPRENDRE",IF(OR(AL998="CO",AL998="NT"),"COUPE – À RESOUDER","À RÉPARER"))))))))))</f>
        <v/>
      </c>
      <c r="AN998" s="81" t="str">
        <f aca="false">IF(AND(ISNUMBER(R998),OR(AM998="À RADIOGRAPHIER",AM998="RÉPARÉ – À RADIOGRAPHIER",AM998="NX – RT À REFAIRE",AM998="À RÉPARER",AM998="COUPE – À RESOUDER",AM998="VT REJETÉ – À REPRENDRE")),MAX(0,'PROGRAMME RT'!$C$4-R998),"")</f>
        <v/>
      </c>
      <c r="AO998" s="78" t="n">
        <f aca="false">IF(AND(OR(AM998="À RADIOGRAPHIER",AM998="RÉPARÉ – À RADIOGRAPHIER",AM998="NX – RT À REFAIRE"),OR('PROGRAMME RT'!$D$5="TOUTES",B998='PROGRAMME RT'!$D$5)),1,0)</f>
        <v>0</v>
      </c>
      <c r="AP998" s="78" t="str">
        <f aca="false">IF(AO998=1,SUM(AO$7:AO998),"")</f>
        <v/>
      </c>
      <c r="AQ998" s="78" t="n">
        <f aca="false">IF(AND(OR(X998="R",X998="NX",X998="NT",X998="CO"),OR('JOINTS DE RÉPARATION'!$D$5="TOUTES",B998='JOINTS DE RÉPARATION'!$D$5),OR('JOINTS DE RÉPARATION'!$L$4="TOUS",AM998&lt;&gt;"ACCEPTÉ")),1,0)</f>
        <v>0</v>
      </c>
      <c r="AR998" s="78" t="str">
        <f aca="false">IF(AQ998=1,SUM(AQ$7:AQ998),"")</f>
        <v/>
      </c>
    </row>
    <row r="999" customFormat="false" ht="15" hidden="false" customHeight="false" outlineLevel="0" collapsed="false">
      <c r="A999" s="78" t="str">
        <f aca="false">IF(E999="","",ROW()-6)</f>
        <v/>
      </c>
      <c r="B999" s="79"/>
      <c r="C999" s="80"/>
      <c r="D999" s="80"/>
      <c r="E999" s="80"/>
      <c r="F999" s="80"/>
      <c r="G999" s="80"/>
      <c r="H999" s="80"/>
      <c r="I999" s="80"/>
      <c r="J999" s="80"/>
      <c r="K999" s="80"/>
      <c r="L999" s="81" t="str">
        <f aca="false">IF(K999="","",IFERROR(INDEX(BARDAGE!$C$7:$C$1506,MATCH(K999,BARDAGE!$B$7:$B$1506,0)),"? hors registre"))</f>
        <v/>
      </c>
      <c r="M999" s="80"/>
      <c r="N999" s="81" t="str">
        <f aca="false">IF(M999="","",IFERROR(INDEX(BARDAGE!$C$7:$C$1506,MATCH(M999,BARDAGE!$B$7:$B$1506,0)),"? hors registre"))</f>
        <v/>
      </c>
      <c r="O999" s="80"/>
      <c r="P999" s="80"/>
      <c r="Q999" s="80"/>
      <c r="R999" s="82"/>
      <c r="S999" s="82"/>
      <c r="T999" s="80"/>
      <c r="U999" s="80"/>
      <c r="V999" s="82"/>
      <c r="W999" s="80"/>
      <c r="X999" s="80"/>
      <c r="Y999" s="80"/>
      <c r="Z999" s="80"/>
      <c r="AA999" s="82"/>
      <c r="AB999" s="80"/>
      <c r="AC999" s="80"/>
      <c r="AD999" s="80"/>
      <c r="AE999" s="80"/>
      <c r="AF999" s="82"/>
      <c r="AG999" s="80"/>
      <c r="AH999" s="80"/>
      <c r="AI999" s="82"/>
      <c r="AJ999" s="79"/>
      <c r="AK999" s="78" t="str">
        <f aca="false">IF(E999="","",(X999&lt;&gt;"")+(AC999&lt;&gt;"")+(AH999&lt;&gt;""))</f>
        <v/>
      </c>
      <c r="AL999" s="81" t="str">
        <f aca="false">IF(AH999&lt;&gt;"",AH999,IF(AC999&lt;&gt;"",AC999,IF(X999&lt;&gt;"",X999,"")))</f>
        <v/>
      </c>
      <c r="AM999" s="83" t="str">
        <f aca="false">IF(E999="","",IF(R999="","À SOUDER",IF(U999="","VT EN ATTENTE",IF(U999="R","VT REJETÉ – À REPRENDRE",IF(AL999="","À RADIOGRAPHIER",IF(AL999="A","ACCEPTÉ",IF(AL999="NX","NX – RT À REFAIRE",IF(IF(AK999=1,Z999,IF(AK999=2,AE999,""))="A","RÉPARÉ – À RADIOGRAPHIER",IF(IF(AK999=1,Z999,IF(AK999=2,AE999,""))="R","VT REJETÉ – À REPRENDRE",IF(OR(AL999="CO",AL999="NT"),"COUPE – À RESOUDER","À RÉPARER"))))))))))</f>
        <v/>
      </c>
      <c r="AN999" s="81" t="str">
        <f aca="false">IF(AND(ISNUMBER(R999),OR(AM999="À RADIOGRAPHIER",AM999="RÉPARÉ – À RADIOGRAPHIER",AM999="NX – RT À REFAIRE",AM999="À RÉPARER",AM999="COUPE – À RESOUDER",AM999="VT REJETÉ – À REPRENDRE")),MAX(0,'PROGRAMME RT'!$C$4-R999),"")</f>
        <v/>
      </c>
      <c r="AO999" s="78" t="n">
        <f aca="false">IF(AND(OR(AM999="À RADIOGRAPHIER",AM999="RÉPARÉ – À RADIOGRAPHIER",AM999="NX – RT À REFAIRE"),OR('PROGRAMME RT'!$D$5="TOUTES",B999='PROGRAMME RT'!$D$5)),1,0)</f>
        <v>0</v>
      </c>
      <c r="AP999" s="78" t="str">
        <f aca="false">IF(AO999=1,SUM(AO$7:AO999),"")</f>
        <v/>
      </c>
      <c r="AQ999" s="78" t="n">
        <f aca="false">IF(AND(OR(X999="R",X999="NX",X999="NT",X999="CO"),OR('JOINTS DE RÉPARATION'!$D$5="TOUTES",B999='JOINTS DE RÉPARATION'!$D$5),OR('JOINTS DE RÉPARATION'!$L$4="TOUS",AM999&lt;&gt;"ACCEPTÉ")),1,0)</f>
        <v>0</v>
      </c>
      <c r="AR999" s="78" t="str">
        <f aca="false">IF(AQ999=1,SUM(AQ$7:AQ999),"")</f>
        <v/>
      </c>
    </row>
    <row r="1000" customFormat="false" ht="15" hidden="false" customHeight="false" outlineLevel="0" collapsed="false">
      <c r="A1000" s="78" t="str">
        <f aca="false">IF(E1000="","",ROW()-6)</f>
        <v/>
      </c>
      <c r="B1000" s="79"/>
      <c r="C1000" s="80"/>
      <c r="D1000" s="80"/>
      <c r="E1000" s="80"/>
      <c r="F1000" s="80"/>
      <c r="G1000" s="80"/>
      <c r="H1000" s="80"/>
      <c r="I1000" s="80"/>
      <c r="J1000" s="80"/>
      <c r="K1000" s="80"/>
      <c r="L1000" s="81" t="str">
        <f aca="false">IF(K1000="","",IFERROR(INDEX(BARDAGE!$C$7:$C$1506,MATCH(K1000,BARDAGE!$B$7:$B$1506,0)),"? hors registre"))</f>
        <v/>
      </c>
      <c r="M1000" s="80"/>
      <c r="N1000" s="81" t="str">
        <f aca="false">IF(M1000="","",IFERROR(INDEX(BARDAGE!$C$7:$C$1506,MATCH(M1000,BARDAGE!$B$7:$B$1506,0)),"? hors registre"))</f>
        <v/>
      </c>
      <c r="O1000" s="80"/>
      <c r="P1000" s="80"/>
      <c r="Q1000" s="80"/>
      <c r="R1000" s="82"/>
      <c r="S1000" s="82"/>
      <c r="T1000" s="80"/>
      <c r="U1000" s="80"/>
      <c r="V1000" s="82"/>
      <c r="W1000" s="80"/>
      <c r="X1000" s="80"/>
      <c r="Y1000" s="80"/>
      <c r="Z1000" s="80"/>
      <c r="AA1000" s="82"/>
      <c r="AB1000" s="80"/>
      <c r="AC1000" s="80"/>
      <c r="AD1000" s="80"/>
      <c r="AE1000" s="80"/>
      <c r="AF1000" s="82"/>
      <c r="AG1000" s="80"/>
      <c r="AH1000" s="80"/>
      <c r="AI1000" s="82"/>
      <c r="AJ1000" s="79"/>
      <c r="AK1000" s="78" t="str">
        <f aca="false">IF(E1000="","",(X1000&lt;&gt;"")+(AC1000&lt;&gt;"")+(AH1000&lt;&gt;""))</f>
        <v/>
      </c>
      <c r="AL1000" s="81" t="str">
        <f aca="false">IF(AH1000&lt;&gt;"",AH1000,IF(AC1000&lt;&gt;"",AC1000,IF(X1000&lt;&gt;"",X1000,"")))</f>
        <v/>
      </c>
      <c r="AM1000" s="83" t="str">
        <f aca="false">IF(E1000="","",IF(R1000="","À SOUDER",IF(U1000="","VT EN ATTENTE",IF(U1000="R","VT REJETÉ – À REPRENDRE",IF(AL1000="","À RADIOGRAPHIER",IF(AL1000="A","ACCEPTÉ",IF(AL1000="NX","NX – RT À REFAIRE",IF(IF(AK1000=1,Z1000,IF(AK1000=2,AE1000,""))="A","RÉPARÉ – À RADIOGRAPHIER",IF(IF(AK1000=1,Z1000,IF(AK1000=2,AE1000,""))="R","VT REJETÉ – À REPRENDRE",IF(OR(AL1000="CO",AL1000="NT"),"COUPE – À RESOUDER","À RÉPARER"))))))))))</f>
        <v/>
      </c>
      <c r="AN1000" s="81" t="str">
        <f aca="false">IF(AND(ISNUMBER(R1000),OR(AM1000="À RADIOGRAPHIER",AM1000="RÉPARÉ – À RADIOGRAPHIER",AM1000="NX – RT À REFAIRE",AM1000="À RÉPARER",AM1000="COUPE – À RESOUDER",AM1000="VT REJETÉ – À REPRENDRE")),MAX(0,'PROGRAMME RT'!$C$4-R1000),"")</f>
        <v/>
      </c>
      <c r="AO1000" s="78" t="n">
        <f aca="false">IF(AND(OR(AM1000="À RADIOGRAPHIER",AM1000="RÉPARÉ – À RADIOGRAPHIER",AM1000="NX – RT À REFAIRE"),OR('PROGRAMME RT'!$D$5="TOUTES",B1000='PROGRAMME RT'!$D$5)),1,0)</f>
        <v>0</v>
      </c>
      <c r="AP1000" s="78" t="str">
        <f aca="false">IF(AO1000=1,SUM(AO$7:AO1000),"")</f>
        <v/>
      </c>
      <c r="AQ1000" s="78" t="n">
        <f aca="false">IF(AND(OR(X1000="R",X1000="NX",X1000="NT",X1000="CO"),OR('JOINTS DE RÉPARATION'!$D$5="TOUTES",B1000='JOINTS DE RÉPARATION'!$D$5),OR('JOINTS DE RÉPARATION'!$L$4="TOUS",AM1000&lt;&gt;"ACCEPTÉ")),1,0)</f>
        <v>0</v>
      </c>
      <c r="AR1000" s="78" t="str">
        <f aca="false">IF(AQ1000=1,SUM(AQ$7:AQ1000),"")</f>
        <v/>
      </c>
    </row>
    <row r="1001" customFormat="false" ht="15" hidden="false" customHeight="false" outlineLevel="0" collapsed="false">
      <c r="A1001" s="78" t="str">
        <f aca="false">IF(E1001="","",ROW()-6)</f>
        <v/>
      </c>
      <c r="B1001" s="79"/>
      <c r="C1001" s="80"/>
      <c r="D1001" s="80"/>
      <c r="E1001" s="80"/>
      <c r="F1001" s="80"/>
      <c r="G1001" s="80"/>
      <c r="H1001" s="80"/>
      <c r="I1001" s="80"/>
      <c r="J1001" s="80"/>
      <c r="K1001" s="80"/>
      <c r="L1001" s="81" t="str">
        <f aca="false">IF(K1001="","",IFERROR(INDEX(BARDAGE!$C$7:$C$1506,MATCH(K1001,BARDAGE!$B$7:$B$1506,0)),"? hors registre"))</f>
        <v/>
      </c>
      <c r="M1001" s="80"/>
      <c r="N1001" s="81" t="str">
        <f aca="false">IF(M1001="","",IFERROR(INDEX(BARDAGE!$C$7:$C$1506,MATCH(M1001,BARDAGE!$B$7:$B$1506,0)),"? hors registre"))</f>
        <v/>
      </c>
      <c r="O1001" s="80"/>
      <c r="P1001" s="80"/>
      <c r="Q1001" s="80"/>
      <c r="R1001" s="82"/>
      <c r="S1001" s="82"/>
      <c r="T1001" s="80"/>
      <c r="U1001" s="80"/>
      <c r="V1001" s="82"/>
      <c r="W1001" s="80"/>
      <c r="X1001" s="80"/>
      <c r="Y1001" s="80"/>
      <c r="Z1001" s="80"/>
      <c r="AA1001" s="82"/>
      <c r="AB1001" s="80"/>
      <c r="AC1001" s="80"/>
      <c r="AD1001" s="80"/>
      <c r="AE1001" s="80"/>
      <c r="AF1001" s="82"/>
      <c r="AG1001" s="80"/>
      <c r="AH1001" s="80"/>
      <c r="AI1001" s="82"/>
      <c r="AJ1001" s="79"/>
      <c r="AK1001" s="78" t="str">
        <f aca="false">IF(E1001="","",(X1001&lt;&gt;"")+(AC1001&lt;&gt;"")+(AH1001&lt;&gt;""))</f>
        <v/>
      </c>
      <c r="AL1001" s="81" t="str">
        <f aca="false">IF(AH1001&lt;&gt;"",AH1001,IF(AC1001&lt;&gt;"",AC1001,IF(X1001&lt;&gt;"",X1001,"")))</f>
        <v/>
      </c>
      <c r="AM1001" s="83" t="str">
        <f aca="false">IF(E1001="","",IF(R1001="","À SOUDER",IF(U1001="","VT EN ATTENTE",IF(U1001="R","VT REJETÉ – À REPRENDRE",IF(AL1001="","À RADIOGRAPHIER",IF(AL1001="A","ACCEPTÉ",IF(AL1001="NX","NX – RT À REFAIRE",IF(IF(AK1001=1,Z1001,IF(AK1001=2,AE1001,""))="A","RÉPARÉ – À RADIOGRAPHIER",IF(IF(AK1001=1,Z1001,IF(AK1001=2,AE1001,""))="R","VT REJETÉ – À REPRENDRE",IF(OR(AL1001="CO",AL1001="NT"),"COUPE – À RESOUDER","À RÉPARER"))))))))))</f>
        <v/>
      </c>
      <c r="AN1001" s="81" t="str">
        <f aca="false">IF(AND(ISNUMBER(R1001),OR(AM1001="À RADIOGRAPHIER",AM1001="RÉPARÉ – À RADIOGRAPHIER",AM1001="NX – RT À REFAIRE",AM1001="À RÉPARER",AM1001="COUPE – À RESOUDER",AM1001="VT REJETÉ – À REPRENDRE")),MAX(0,'PROGRAMME RT'!$C$4-R1001),"")</f>
        <v/>
      </c>
      <c r="AO1001" s="78" t="n">
        <f aca="false">IF(AND(OR(AM1001="À RADIOGRAPHIER",AM1001="RÉPARÉ – À RADIOGRAPHIER",AM1001="NX – RT À REFAIRE"),OR('PROGRAMME RT'!$D$5="TOUTES",B1001='PROGRAMME RT'!$D$5)),1,0)</f>
        <v>0</v>
      </c>
      <c r="AP1001" s="78" t="str">
        <f aca="false">IF(AO1001=1,SUM(AO$7:AO1001),"")</f>
        <v/>
      </c>
      <c r="AQ1001" s="78" t="n">
        <f aca="false">IF(AND(OR(X1001="R",X1001="NX",X1001="NT",X1001="CO"),OR('JOINTS DE RÉPARATION'!$D$5="TOUTES",B1001='JOINTS DE RÉPARATION'!$D$5),OR('JOINTS DE RÉPARATION'!$L$4="TOUS",AM1001&lt;&gt;"ACCEPTÉ")),1,0)</f>
        <v>0</v>
      </c>
      <c r="AR1001" s="78" t="str">
        <f aca="false">IF(AQ1001=1,SUM(AQ$7:AQ1001),"")</f>
        <v/>
      </c>
    </row>
    <row r="1002" customFormat="false" ht="15" hidden="false" customHeight="false" outlineLevel="0" collapsed="false">
      <c r="A1002" s="78" t="str">
        <f aca="false">IF(E1002="","",ROW()-6)</f>
        <v/>
      </c>
      <c r="B1002" s="79"/>
      <c r="C1002" s="80"/>
      <c r="D1002" s="80"/>
      <c r="E1002" s="80"/>
      <c r="F1002" s="80"/>
      <c r="G1002" s="80"/>
      <c r="H1002" s="80"/>
      <c r="I1002" s="80"/>
      <c r="J1002" s="80"/>
      <c r="K1002" s="80"/>
      <c r="L1002" s="81" t="str">
        <f aca="false">IF(K1002="","",IFERROR(INDEX(BARDAGE!$C$7:$C$1506,MATCH(K1002,BARDAGE!$B$7:$B$1506,0)),"? hors registre"))</f>
        <v/>
      </c>
      <c r="M1002" s="80"/>
      <c r="N1002" s="81" t="str">
        <f aca="false">IF(M1002="","",IFERROR(INDEX(BARDAGE!$C$7:$C$1506,MATCH(M1002,BARDAGE!$B$7:$B$1506,0)),"? hors registre"))</f>
        <v/>
      </c>
      <c r="O1002" s="80"/>
      <c r="P1002" s="80"/>
      <c r="Q1002" s="80"/>
      <c r="R1002" s="82"/>
      <c r="S1002" s="82"/>
      <c r="T1002" s="80"/>
      <c r="U1002" s="80"/>
      <c r="V1002" s="82"/>
      <c r="W1002" s="80"/>
      <c r="X1002" s="80"/>
      <c r="Y1002" s="80"/>
      <c r="Z1002" s="80"/>
      <c r="AA1002" s="82"/>
      <c r="AB1002" s="80"/>
      <c r="AC1002" s="80"/>
      <c r="AD1002" s="80"/>
      <c r="AE1002" s="80"/>
      <c r="AF1002" s="82"/>
      <c r="AG1002" s="80"/>
      <c r="AH1002" s="80"/>
      <c r="AI1002" s="82"/>
      <c r="AJ1002" s="79"/>
      <c r="AK1002" s="78" t="str">
        <f aca="false">IF(E1002="","",(X1002&lt;&gt;"")+(AC1002&lt;&gt;"")+(AH1002&lt;&gt;""))</f>
        <v/>
      </c>
      <c r="AL1002" s="81" t="str">
        <f aca="false">IF(AH1002&lt;&gt;"",AH1002,IF(AC1002&lt;&gt;"",AC1002,IF(X1002&lt;&gt;"",X1002,"")))</f>
        <v/>
      </c>
      <c r="AM1002" s="83" t="str">
        <f aca="false">IF(E1002="","",IF(R1002="","À SOUDER",IF(U1002="","VT EN ATTENTE",IF(U1002="R","VT REJETÉ – À REPRENDRE",IF(AL1002="","À RADIOGRAPHIER",IF(AL1002="A","ACCEPTÉ",IF(AL1002="NX","NX – RT À REFAIRE",IF(IF(AK1002=1,Z1002,IF(AK1002=2,AE1002,""))="A","RÉPARÉ – À RADIOGRAPHIER",IF(IF(AK1002=1,Z1002,IF(AK1002=2,AE1002,""))="R","VT REJETÉ – À REPRENDRE",IF(OR(AL1002="CO",AL1002="NT"),"COUPE – À RESOUDER","À RÉPARER"))))))))))</f>
        <v/>
      </c>
      <c r="AN1002" s="81" t="str">
        <f aca="false">IF(AND(ISNUMBER(R1002),OR(AM1002="À RADIOGRAPHIER",AM1002="RÉPARÉ – À RADIOGRAPHIER",AM1002="NX – RT À REFAIRE",AM1002="À RÉPARER",AM1002="COUPE – À RESOUDER",AM1002="VT REJETÉ – À REPRENDRE")),MAX(0,'PROGRAMME RT'!$C$4-R1002),"")</f>
        <v/>
      </c>
      <c r="AO1002" s="78" t="n">
        <f aca="false">IF(AND(OR(AM1002="À RADIOGRAPHIER",AM1002="RÉPARÉ – À RADIOGRAPHIER",AM1002="NX – RT À REFAIRE"),OR('PROGRAMME RT'!$D$5="TOUTES",B1002='PROGRAMME RT'!$D$5)),1,0)</f>
        <v>0</v>
      </c>
      <c r="AP1002" s="78" t="str">
        <f aca="false">IF(AO1002=1,SUM(AO$7:AO1002),"")</f>
        <v/>
      </c>
      <c r="AQ1002" s="78" t="n">
        <f aca="false">IF(AND(OR(X1002="R",X1002="NX",X1002="NT",X1002="CO"),OR('JOINTS DE RÉPARATION'!$D$5="TOUTES",B1002='JOINTS DE RÉPARATION'!$D$5),OR('JOINTS DE RÉPARATION'!$L$4="TOUS",AM1002&lt;&gt;"ACCEPTÉ")),1,0)</f>
        <v>0</v>
      </c>
      <c r="AR1002" s="78" t="str">
        <f aca="false">IF(AQ1002=1,SUM(AQ$7:AQ1002),"")</f>
        <v/>
      </c>
    </row>
    <row r="1003" customFormat="false" ht="15" hidden="false" customHeight="false" outlineLevel="0" collapsed="false">
      <c r="A1003" s="78" t="str">
        <f aca="false">IF(E1003="","",ROW()-6)</f>
        <v/>
      </c>
      <c r="B1003" s="79"/>
      <c r="C1003" s="80"/>
      <c r="D1003" s="80"/>
      <c r="E1003" s="80"/>
      <c r="F1003" s="80"/>
      <c r="G1003" s="80"/>
      <c r="H1003" s="80"/>
      <c r="I1003" s="80"/>
      <c r="J1003" s="80"/>
      <c r="K1003" s="80"/>
      <c r="L1003" s="81" t="str">
        <f aca="false">IF(K1003="","",IFERROR(INDEX(BARDAGE!$C$7:$C$1506,MATCH(K1003,BARDAGE!$B$7:$B$1506,0)),"? hors registre"))</f>
        <v/>
      </c>
      <c r="M1003" s="80"/>
      <c r="N1003" s="81" t="str">
        <f aca="false">IF(M1003="","",IFERROR(INDEX(BARDAGE!$C$7:$C$1506,MATCH(M1003,BARDAGE!$B$7:$B$1506,0)),"? hors registre"))</f>
        <v/>
      </c>
      <c r="O1003" s="80"/>
      <c r="P1003" s="80"/>
      <c r="Q1003" s="80"/>
      <c r="R1003" s="82"/>
      <c r="S1003" s="82"/>
      <c r="T1003" s="80"/>
      <c r="U1003" s="80"/>
      <c r="V1003" s="82"/>
      <c r="W1003" s="80"/>
      <c r="X1003" s="80"/>
      <c r="Y1003" s="80"/>
      <c r="Z1003" s="80"/>
      <c r="AA1003" s="82"/>
      <c r="AB1003" s="80"/>
      <c r="AC1003" s="80"/>
      <c r="AD1003" s="80"/>
      <c r="AE1003" s="80"/>
      <c r="AF1003" s="82"/>
      <c r="AG1003" s="80"/>
      <c r="AH1003" s="80"/>
      <c r="AI1003" s="82"/>
      <c r="AJ1003" s="79"/>
      <c r="AK1003" s="78" t="str">
        <f aca="false">IF(E1003="","",(X1003&lt;&gt;"")+(AC1003&lt;&gt;"")+(AH1003&lt;&gt;""))</f>
        <v/>
      </c>
      <c r="AL1003" s="81" t="str">
        <f aca="false">IF(AH1003&lt;&gt;"",AH1003,IF(AC1003&lt;&gt;"",AC1003,IF(X1003&lt;&gt;"",X1003,"")))</f>
        <v/>
      </c>
      <c r="AM1003" s="83" t="str">
        <f aca="false">IF(E1003="","",IF(R1003="","À SOUDER",IF(U1003="","VT EN ATTENTE",IF(U1003="R","VT REJETÉ – À REPRENDRE",IF(AL1003="","À RADIOGRAPHIER",IF(AL1003="A","ACCEPTÉ",IF(AL1003="NX","NX – RT À REFAIRE",IF(IF(AK1003=1,Z1003,IF(AK1003=2,AE1003,""))="A","RÉPARÉ – À RADIOGRAPHIER",IF(IF(AK1003=1,Z1003,IF(AK1003=2,AE1003,""))="R","VT REJETÉ – À REPRENDRE",IF(OR(AL1003="CO",AL1003="NT"),"COUPE – À RESOUDER","À RÉPARER"))))))))))</f>
        <v/>
      </c>
      <c r="AN1003" s="81" t="str">
        <f aca="false">IF(AND(ISNUMBER(R1003),OR(AM1003="À RADIOGRAPHIER",AM1003="RÉPARÉ – À RADIOGRAPHIER",AM1003="NX – RT À REFAIRE",AM1003="À RÉPARER",AM1003="COUPE – À RESOUDER",AM1003="VT REJETÉ – À REPRENDRE")),MAX(0,'PROGRAMME RT'!$C$4-R1003),"")</f>
        <v/>
      </c>
      <c r="AO1003" s="78" t="n">
        <f aca="false">IF(AND(OR(AM1003="À RADIOGRAPHIER",AM1003="RÉPARÉ – À RADIOGRAPHIER",AM1003="NX – RT À REFAIRE"),OR('PROGRAMME RT'!$D$5="TOUTES",B1003='PROGRAMME RT'!$D$5)),1,0)</f>
        <v>0</v>
      </c>
      <c r="AP1003" s="78" t="str">
        <f aca="false">IF(AO1003=1,SUM(AO$7:AO1003),"")</f>
        <v/>
      </c>
      <c r="AQ1003" s="78" t="n">
        <f aca="false">IF(AND(OR(X1003="R",X1003="NX",X1003="NT",X1003="CO"),OR('JOINTS DE RÉPARATION'!$D$5="TOUTES",B1003='JOINTS DE RÉPARATION'!$D$5),OR('JOINTS DE RÉPARATION'!$L$4="TOUS",AM1003&lt;&gt;"ACCEPTÉ")),1,0)</f>
        <v>0</v>
      </c>
      <c r="AR1003" s="78" t="str">
        <f aca="false">IF(AQ1003=1,SUM(AQ$7:AQ1003),"")</f>
        <v/>
      </c>
    </row>
    <row r="1004" customFormat="false" ht="15" hidden="false" customHeight="false" outlineLevel="0" collapsed="false">
      <c r="A1004" s="78" t="str">
        <f aca="false">IF(E1004="","",ROW()-6)</f>
        <v/>
      </c>
      <c r="B1004" s="79"/>
      <c r="C1004" s="80"/>
      <c r="D1004" s="80"/>
      <c r="E1004" s="80"/>
      <c r="F1004" s="80"/>
      <c r="G1004" s="80"/>
      <c r="H1004" s="80"/>
      <c r="I1004" s="80"/>
      <c r="J1004" s="80"/>
      <c r="K1004" s="80"/>
      <c r="L1004" s="81" t="str">
        <f aca="false">IF(K1004="","",IFERROR(INDEX(BARDAGE!$C$7:$C$1506,MATCH(K1004,BARDAGE!$B$7:$B$1506,0)),"? hors registre"))</f>
        <v/>
      </c>
      <c r="M1004" s="80"/>
      <c r="N1004" s="81" t="str">
        <f aca="false">IF(M1004="","",IFERROR(INDEX(BARDAGE!$C$7:$C$1506,MATCH(M1004,BARDAGE!$B$7:$B$1506,0)),"? hors registre"))</f>
        <v/>
      </c>
      <c r="O1004" s="80"/>
      <c r="P1004" s="80"/>
      <c r="Q1004" s="80"/>
      <c r="R1004" s="82"/>
      <c r="S1004" s="82"/>
      <c r="T1004" s="80"/>
      <c r="U1004" s="80"/>
      <c r="V1004" s="82"/>
      <c r="W1004" s="80"/>
      <c r="X1004" s="80"/>
      <c r="Y1004" s="80"/>
      <c r="Z1004" s="80"/>
      <c r="AA1004" s="82"/>
      <c r="AB1004" s="80"/>
      <c r="AC1004" s="80"/>
      <c r="AD1004" s="80"/>
      <c r="AE1004" s="80"/>
      <c r="AF1004" s="82"/>
      <c r="AG1004" s="80"/>
      <c r="AH1004" s="80"/>
      <c r="AI1004" s="82"/>
      <c r="AJ1004" s="79"/>
      <c r="AK1004" s="78" t="str">
        <f aca="false">IF(E1004="","",(X1004&lt;&gt;"")+(AC1004&lt;&gt;"")+(AH1004&lt;&gt;""))</f>
        <v/>
      </c>
      <c r="AL1004" s="81" t="str">
        <f aca="false">IF(AH1004&lt;&gt;"",AH1004,IF(AC1004&lt;&gt;"",AC1004,IF(X1004&lt;&gt;"",X1004,"")))</f>
        <v/>
      </c>
      <c r="AM1004" s="83" t="str">
        <f aca="false">IF(E1004="","",IF(R1004="","À SOUDER",IF(U1004="","VT EN ATTENTE",IF(U1004="R","VT REJETÉ – À REPRENDRE",IF(AL1004="","À RADIOGRAPHIER",IF(AL1004="A","ACCEPTÉ",IF(AL1004="NX","NX – RT À REFAIRE",IF(IF(AK1004=1,Z1004,IF(AK1004=2,AE1004,""))="A","RÉPARÉ – À RADIOGRAPHIER",IF(IF(AK1004=1,Z1004,IF(AK1004=2,AE1004,""))="R","VT REJETÉ – À REPRENDRE",IF(OR(AL1004="CO",AL1004="NT"),"COUPE – À RESOUDER","À RÉPARER"))))))))))</f>
        <v/>
      </c>
      <c r="AN1004" s="81" t="str">
        <f aca="false">IF(AND(ISNUMBER(R1004),OR(AM1004="À RADIOGRAPHIER",AM1004="RÉPARÉ – À RADIOGRAPHIER",AM1004="NX – RT À REFAIRE",AM1004="À RÉPARER",AM1004="COUPE – À RESOUDER",AM1004="VT REJETÉ – À REPRENDRE")),MAX(0,'PROGRAMME RT'!$C$4-R1004),"")</f>
        <v/>
      </c>
      <c r="AO1004" s="78" t="n">
        <f aca="false">IF(AND(OR(AM1004="À RADIOGRAPHIER",AM1004="RÉPARÉ – À RADIOGRAPHIER",AM1004="NX – RT À REFAIRE"),OR('PROGRAMME RT'!$D$5="TOUTES",B1004='PROGRAMME RT'!$D$5)),1,0)</f>
        <v>0</v>
      </c>
      <c r="AP1004" s="78" t="str">
        <f aca="false">IF(AO1004=1,SUM(AO$7:AO1004),"")</f>
        <v/>
      </c>
      <c r="AQ1004" s="78" t="n">
        <f aca="false">IF(AND(OR(X1004="R",X1004="NX",X1004="NT",X1004="CO"),OR('JOINTS DE RÉPARATION'!$D$5="TOUTES",B1004='JOINTS DE RÉPARATION'!$D$5),OR('JOINTS DE RÉPARATION'!$L$4="TOUS",AM1004&lt;&gt;"ACCEPTÉ")),1,0)</f>
        <v>0</v>
      </c>
      <c r="AR1004" s="78" t="str">
        <f aca="false">IF(AQ1004=1,SUM(AQ$7:AQ1004),"")</f>
        <v/>
      </c>
    </row>
    <row r="1005" customFormat="false" ht="15" hidden="false" customHeight="false" outlineLevel="0" collapsed="false">
      <c r="A1005" s="78" t="str">
        <f aca="false">IF(E1005="","",ROW()-6)</f>
        <v/>
      </c>
      <c r="B1005" s="79"/>
      <c r="C1005" s="80"/>
      <c r="D1005" s="80"/>
      <c r="E1005" s="80"/>
      <c r="F1005" s="80"/>
      <c r="G1005" s="80"/>
      <c r="H1005" s="80"/>
      <c r="I1005" s="80"/>
      <c r="J1005" s="80"/>
      <c r="K1005" s="80"/>
      <c r="L1005" s="81" t="str">
        <f aca="false">IF(K1005="","",IFERROR(INDEX(BARDAGE!$C$7:$C$1506,MATCH(K1005,BARDAGE!$B$7:$B$1506,0)),"? hors registre"))</f>
        <v/>
      </c>
      <c r="M1005" s="80"/>
      <c r="N1005" s="81" t="str">
        <f aca="false">IF(M1005="","",IFERROR(INDEX(BARDAGE!$C$7:$C$1506,MATCH(M1005,BARDAGE!$B$7:$B$1506,0)),"? hors registre"))</f>
        <v/>
      </c>
      <c r="O1005" s="80"/>
      <c r="P1005" s="80"/>
      <c r="Q1005" s="80"/>
      <c r="R1005" s="82"/>
      <c r="S1005" s="82"/>
      <c r="T1005" s="80"/>
      <c r="U1005" s="80"/>
      <c r="V1005" s="82"/>
      <c r="W1005" s="80"/>
      <c r="X1005" s="80"/>
      <c r="Y1005" s="80"/>
      <c r="Z1005" s="80"/>
      <c r="AA1005" s="82"/>
      <c r="AB1005" s="80"/>
      <c r="AC1005" s="80"/>
      <c r="AD1005" s="80"/>
      <c r="AE1005" s="80"/>
      <c r="AF1005" s="82"/>
      <c r="AG1005" s="80"/>
      <c r="AH1005" s="80"/>
      <c r="AI1005" s="82"/>
      <c r="AJ1005" s="79"/>
      <c r="AK1005" s="78" t="str">
        <f aca="false">IF(E1005="","",(X1005&lt;&gt;"")+(AC1005&lt;&gt;"")+(AH1005&lt;&gt;""))</f>
        <v/>
      </c>
      <c r="AL1005" s="81" t="str">
        <f aca="false">IF(AH1005&lt;&gt;"",AH1005,IF(AC1005&lt;&gt;"",AC1005,IF(X1005&lt;&gt;"",X1005,"")))</f>
        <v/>
      </c>
      <c r="AM1005" s="83" t="str">
        <f aca="false">IF(E1005="","",IF(R1005="","À SOUDER",IF(U1005="","VT EN ATTENTE",IF(U1005="R","VT REJETÉ – À REPRENDRE",IF(AL1005="","À RADIOGRAPHIER",IF(AL1005="A","ACCEPTÉ",IF(AL1005="NX","NX – RT À REFAIRE",IF(IF(AK1005=1,Z1005,IF(AK1005=2,AE1005,""))="A","RÉPARÉ – À RADIOGRAPHIER",IF(IF(AK1005=1,Z1005,IF(AK1005=2,AE1005,""))="R","VT REJETÉ – À REPRENDRE",IF(OR(AL1005="CO",AL1005="NT"),"COUPE – À RESOUDER","À RÉPARER"))))))))))</f>
        <v/>
      </c>
      <c r="AN1005" s="81" t="str">
        <f aca="false">IF(AND(ISNUMBER(R1005),OR(AM1005="À RADIOGRAPHIER",AM1005="RÉPARÉ – À RADIOGRAPHIER",AM1005="NX – RT À REFAIRE",AM1005="À RÉPARER",AM1005="COUPE – À RESOUDER",AM1005="VT REJETÉ – À REPRENDRE")),MAX(0,'PROGRAMME RT'!$C$4-R1005),"")</f>
        <v/>
      </c>
      <c r="AO1005" s="78" t="n">
        <f aca="false">IF(AND(OR(AM1005="À RADIOGRAPHIER",AM1005="RÉPARÉ – À RADIOGRAPHIER",AM1005="NX – RT À REFAIRE"),OR('PROGRAMME RT'!$D$5="TOUTES",B1005='PROGRAMME RT'!$D$5)),1,0)</f>
        <v>0</v>
      </c>
      <c r="AP1005" s="78" t="str">
        <f aca="false">IF(AO1005=1,SUM(AO$7:AO1005),"")</f>
        <v/>
      </c>
      <c r="AQ1005" s="78" t="n">
        <f aca="false">IF(AND(OR(X1005="R",X1005="NX",X1005="NT",X1005="CO"),OR('JOINTS DE RÉPARATION'!$D$5="TOUTES",B1005='JOINTS DE RÉPARATION'!$D$5),OR('JOINTS DE RÉPARATION'!$L$4="TOUS",AM1005&lt;&gt;"ACCEPTÉ")),1,0)</f>
        <v>0</v>
      </c>
      <c r="AR1005" s="78" t="str">
        <f aca="false">IF(AQ1005=1,SUM(AQ$7:AQ1005),"")</f>
        <v/>
      </c>
    </row>
    <row r="1006" customFormat="false" ht="15" hidden="false" customHeight="false" outlineLevel="0" collapsed="false">
      <c r="A1006" s="78" t="str">
        <f aca="false">IF(E1006="","",ROW()-6)</f>
        <v/>
      </c>
      <c r="B1006" s="79"/>
      <c r="C1006" s="80"/>
      <c r="D1006" s="80"/>
      <c r="E1006" s="80"/>
      <c r="F1006" s="80"/>
      <c r="G1006" s="80"/>
      <c r="H1006" s="80"/>
      <c r="I1006" s="80"/>
      <c r="J1006" s="80"/>
      <c r="K1006" s="80"/>
      <c r="L1006" s="81" t="str">
        <f aca="false">IF(K1006="","",IFERROR(INDEX(BARDAGE!$C$7:$C$1506,MATCH(K1006,BARDAGE!$B$7:$B$1506,0)),"? hors registre"))</f>
        <v/>
      </c>
      <c r="M1006" s="80"/>
      <c r="N1006" s="81" t="str">
        <f aca="false">IF(M1006="","",IFERROR(INDEX(BARDAGE!$C$7:$C$1506,MATCH(M1006,BARDAGE!$B$7:$B$1506,0)),"? hors registre"))</f>
        <v/>
      </c>
      <c r="O1006" s="80"/>
      <c r="P1006" s="80"/>
      <c r="Q1006" s="80"/>
      <c r="R1006" s="82"/>
      <c r="S1006" s="82"/>
      <c r="T1006" s="80"/>
      <c r="U1006" s="80"/>
      <c r="V1006" s="82"/>
      <c r="W1006" s="80"/>
      <c r="X1006" s="80"/>
      <c r="Y1006" s="80"/>
      <c r="Z1006" s="80"/>
      <c r="AA1006" s="82"/>
      <c r="AB1006" s="80"/>
      <c r="AC1006" s="80"/>
      <c r="AD1006" s="80"/>
      <c r="AE1006" s="80"/>
      <c r="AF1006" s="82"/>
      <c r="AG1006" s="80"/>
      <c r="AH1006" s="80"/>
      <c r="AI1006" s="82"/>
      <c r="AJ1006" s="79"/>
      <c r="AK1006" s="78" t="str">
        <f aca="false">IF(E1006="","",(X1006&lt;&gt;"")+(AC1006&lt;&gt;"")+(AH1006&lt;&gt;""))</f>
        <v/>
      </c>
      <c r="AL1006" s="81" t="str">
        <f aca="false">IF(AH1006&lt;&gt;"",AH1006,IF(AC1006&lt;&gt;"",AC1006,IF(X1006&lt;&gt;"",X1006,"")))</f>
        <v/>
      </c>
      <c r="AM1006" s="83" t="str">
        <f aca="false">IF(E1006="","",IF(R1006="","À SOUDER",IF(U1006="","VT EN ATTENTE",IF(U1006="R","VT REJETÉ – À REPRENDRE",IF(AL1006="","À RADIOGRAPHIER",IF(AL1006="A","ACCEPTÉ",IF(AL1006="NX","NX – RT À REFAIRE",IF(IF(AK1006=1,Z1006,IF(AK1006=2,AE1006,""))="A","RÉPARÉ – À RADIOGRAPHIER",IF(IF(AK1006=1,Z1006,IF(AK1006=2,AE1006,""))="R","VT REJETÉ – À REPRENDRE",IF(OR(AL1006="CO",AL1006="NT"),"COUPE – À RESOUDER","À RÉPARER"))))))))))</f>
        <v/>
      </c>
      <c r="AN1006" s="81" t="str">
        <f aca="false">IF(AND(ISNUMBER(R1006),OR(AM1006="À RADIOGRAPHIER",AM1006="RÉPARÉ – À RADIOGRAPHIER",AM1006="NX – RT À REFAIRE",AM1006="À RÉPARER",AM1006="COUPE – À RESOUDER",AM1006="VT REJETÉ – À REPRENDRE")),MAX(0,'PROGRAMME RT'!$C$4-R1006),"")</f>
        <v/>
      </c>
      <c r="AO1006" s="78" t="n">
        <f aca="false">IF(AND(OR(AM1006="À RADIOGRAPHIER",AM1006="RÉPARÉ – À RADIOGRAPHIER",AM1006="NX – RT À REFAIRE"),OR('PROGRAMME RT'!$D$5="TOUTES",B1006='PROGRAMME RT'!$D$5)),1,0)</f>
        <v>0</v>
      </c>
      <c r="AP1006" s="78" t="str">
        <f aca="false">IF(AO1006=1,SUM(AO$7:AO1006),"")</f>
        <v/>
      </c>
      <c r="AQ1006" s="78" t="n">
        <f aca="false">IF(AND(OR(X1006="R",X1006="NX",X1006="NT",X1006="CO"),OR('JOINTS DE RÉPARATION'!$D$5="TOUTES",B1006='JOINTS DE RÉPARATION'!$D$5),OR('JOINTS DE RÉPARATION'!$L$4="TOUS",AM1006&lt;&gt;"ACCEPTÉ")),1,0)</f>
        <v>0</v>
      </c>
      <c r="AR1006" s="78" t="str">
        <f aca="false">IF(AQ1006=1,SUM(AQ$7:AQ1006),"")</f>
        <v/>
      </c>
    </row>
    <row r="1007" customFormat="false" ht="15" hidden="false" customHeight="false" outlineLevel="0" collapsed="false">
      <c r="A1007" s="78" t="str">
        <f aca="false">IF(E1007="","",ROW()-6)</f>
        <v/>
      </c>
      <c r="B1007" s="79"/>
      <c r="C1007" s="80"/>
      <c r="D1007" s="80"/>
      <c r="E1007" s="80"/>
      <c r="F1007" s="80"/>
      <c r="G1007" s="80"/>
      <c r="H1007" s="80"/>
      <c r="I1007" s="80"/>
      <c r="J1007" s="80"/>
      <c r="K1007" s="80"/>
      <c r="L1007" s="81" t="str">
        <f aca="false">IF(K1007="","",IFERROR(INDEX(BARDAGE!$C$7:$C$1506,MATCH(K1007,BARDAGE!$B$7:$B$1506,0)),"? hors registre"))</f>
        <v/>
      </c>
      <c r="M1007" s="80"/>
      <c r="N1007" s="81" t="str">
        <f aca="false">IF(M1007="","",IFERROR(INDEX(BARDAGE!$C$7:$C$1506,MATCH(M1007,BARDAGE!$B$7:$B$1506,0)),"? hors registre"))</f>
        <v/>
      </c>
      <c r="O1007" s="80"/>
      <c r="P1007" s="80"/>
      <c r="Q1007" s="80"/>
      <c r="R1007" s="82"/>
      <c r="S1007" s="82"/>
      <c r="T1007" s="80"/>
      <c r="U1007" s="80"/>
      <c r="V1007" s="82"/>
      <c r="W1007" s="80"/>
      <c r="X1007" s="80"/>
      <c r="Y1007" s="80"/>
      <c r="Z1007" s="80"/>
      <c r="AA1007" s="82"/>
      <c r="AB1007" s="80"/>
      <c r="AC1007" s="80"/>
      <c r="AD1007" s="80"/>
      <c r="AE1007" s="80"/>
      <c r="AF1007" s="82"/>
      <c r="AG1007" s="80"/>
      <c r="AH1007" s="80"/>
      <c r="AI1007" s="82"/>
      <c r="AJ1007" s="79"/>
      <c r="AK1007" s="78" t="str">
        <f aca="false">IF(E1007="","",(X1007&lt;&gt;"")+(AC1007&lt;&gt;"")+(AH1007&lt;&gt;""))</f>
        <v/>
      </c>
      <c r="AL1007" s="81" t="str">
        <f aca="false">IF(AH1007&lt;&gt;"",AH1007,IF(AC1007&lt;&gt;"",AC1007,IF(X1007&lt;&gt;"",X1007,"")))</f>
        <v/>
      </c>
      <c r="AM1007" s="83" t="str">
        <f aca="false">IF(E1007="","",IF(R1007="","À SOUDER",IF(U1007="","VT EN ATTENTE",IF(U1007="R","VT REJETÉ – À REPRENDRE",IF(AL1007="","À RADIOGRAPHIER",IF(AL1007="A","ACCEPTÉ",IF(AL1007="NX","NX – RT À REFAIRE",IF(IF(AK1007=1,Z1007,IF(AK1007=2,AE1007,""))="A","RÉPARÉ – À RADIOGRAPHIER",IF(IF(AK1007=1,Z1007,IF(AK1007=2,AE1007,""))="R","VT REJETÉ – À REPRENDRE",IF(OR(AL1007="CO",AL1007="NT"),"COUPE – À RESOUDER","À RÉPARER"))))))))))</f>
        <v/>
      </c>
      <c r="AN1007" s="81" t="str">
        <f aca="false">IF(AND(ISNUMBER(R1007),OR(AM1007="À RADIOGRAPHIER",AM1007="RÉPARÉ – À RADIOGRAPHIER",AM1007="NX – RT À REFAIRE",AM1007="À RÉPARER",AM1007="COUPE – À RESOUDER",AM1007="VT REJETÉ – À REPRENDRE")),MAX(0,'PROGRAMME RT'!$C$4-R1007),"")</f>
        <v/>
      </c>
      <c r="AO1007" s="78" t="n">
        <f aca="false">IF(AND(OR(AM1007="À RADIOGRAPHIER",AM1007="RÉPARÉ – À RADIOGRAPHIER",AM1007="NX – RT À REFAIRE"),OR('PROGRAMME RT'!$D$5="TOUTES",B1007='PROGRAMME RT'!$D$5)),1,0)</f>
        <v>0</v>
      </c>
      <c r="AP1007" s="78" t="str">
        <f aca="false">IF(AO1007=1,SUM(AO$7:AO1007),"")</f>
        <v/>
      </c>
      <c r="AQ1007" s="78" t="n">
        <f aca="false">IF(AND(OR(X1007="R",X1007="NX",X1007="NT",X1007="CO"),OR('JOINTS DE RÉPARATION'!$D$5="TOUTES",B1007='JOINTS DE RÉPARATION'!$D$5),OR('JOINTS DE RÉPARATION'!$L$4="TOUS",AM1007&lt;&gt;"ACCEPTÉ")),1,0)</f>
        <v>0</v>
      </c>
      <c r="AR1007" s="78" t="str">
        <f aca="false">IF(AQ1007=1,SUM(AQ$7:AQ1007),"")</f>
        <v/>
      </c>
    </row>
    <row r="1008" customFormat="false" ht="15" hidden="false" customHeight="false" outlineLevel="0" collapsed="false">
      <c r="A1008" s="78" t="str">
        <f aca="false">IF(E1008="","",ROW()-6)</f>
        <v/>
      </c>
      <c r="B1008" s="79"/>
      <c r="C1008" s="80"/>
      <c r="D1008" s="80"/>
      <c r="E1008" s="80"/>
      <c r="F1008" s="80"/>
      <c r="G1008" s="80"/>
      <c r="H1008" s="80"/>
      <c r="I1008" s="80"/>
      <c r="J1008" s="80"/>
      <c r="K1008" s="80"/>
      <c r="L1008" s="81" t="str">
        <f aca="false">IF(K1008="","",IFERROR(INDEX(BARDAGE!$C$7:$C$1506,MATCH(K1008,BARDAGE!$B$7:$B$1506,0)),"? hors registre"))</f>
        <v/>
      </c>
      <c r="M1008" s="80"/>
      <c r="N1008" s="81" t="str">
        <f aca="false">IF(M1008="","",IFERROR(INDEX(BARDAGE!$C$7:$C$1506,MATCH(M1008,BARDAGE!$B$7:$B$1506,0)),"? hors registre"))</f>
        <v/>
      </c>
      <c r="O1008" s="80"/>
      <c r="P1008" s="80"/>
      <c r="Q1008" s="80"/>
      <c r="R1008" s="82"/>
      <c r="S1008" s="82"/>
      <c r="T1008" s="80"/>
      <c r="U1008" s="80"/>
      <c r="V1008" s="82"/>
      <c r="W1008" s="80"/>
      <c r="X1008" s="80"/>
      <c r="Y1008" s="80"/>
      <c r="Z1008" s="80"/>
      <c r="AA1008" s="82"/>
      <c r="AB1008" s="80"/>
      <c r="AC1008" s="80"/>
      <c r="AD1008" s="80"/>
      <c r="AE1008" s="80"/>
      <c r="AF1008" s="82"/>
      <c r="AG1008" s="80"/>
      <c r="AH1008" s="80"/>
      <c r="AI1008" s="82"/>
      <c r="AJ1008" s="79"/>
      <c r="AK1008" s="78" t="str">
        <f aca="false">IF(E1008="","",(X1008&lt;&gt;"")+(AC1008&lt;&gt;"")+(AH1008&lt;&gt;""))</f>
        <v/>
      </c>
      <c r="AL1008" s="81" t="str">
        <f aca="false">IF(AH1008&lt;&gt;"",AH1008,IF(AC1008&lt;&gt;"",AC1008,IF(X1008&lt;&gt;"",X1008,"")))</f>
        <v/>
      </c>
      <c r="AM1008" s="83" t="str">
        <f aca="false">IF(E1008="","",IF(R1008="","À SOUDER",IF(U1008="","VT EN ATTENTE",IF(U1008="R","VT REJETÉ – À REPRENDRE",IF(AL1008="","À RADIOGRAPHIER",IF(AL1008="A","ACCEPTÉ",IF(AL1008="NX","NX – RT À REFAIRE",IF(IF(AK1008=1,Z1008,IF(AK1008=2,AE1008,""))="A","RÉPARÉ – À RADIOGRAPHIER",IF(IF(AK1008=1,Z1008,IF(AK1008=2,AE1008,""))="R","VT REJETÉ – À REPRENDRE",IF(OR(AL1008="CO",AL1008="NT"),"COUPE – À RESOUDER","À RÉPARER"))))))))))</f>
        <v/>
      </c>
      <c r="AN1008" s="81" t="str">
        <f aca="false">IF(AND(ISNUMBER(R1008),OR(AM1008="À RADIOGRAPHIER",AM1008="RÉPARÉ – À RADIOGRAPHIER",AM1008="NX – RT À REFAIRE",AM1008="À RÉPARER",AM1008="COUPE – À RESOUDER",AM1008="VT REJETÉ – À REPRENDRE")),MAX(0,'PROGRAMME RT'!$C$4-R1008),"")</f>
        <v/>
      </c>
      <c r="AO1008" s="78" t="n">
        <f aca="false">IF(AND(OR(AM1008="À RADIOGRAPHIER",AM1008="RÉPARÉ – À RADIOGRAPHIER",AM1008="NX – RT À REFAIRE"),OR('PROGRAMME RT'!$D$5="TOUTES",B1008='PROGRAMME RT'!$D$5)),1,0)</f>
        <v>0</v>
      </c>
      <c r="AP1008" s="78" t="str">
        <f aca="false">IF(AO1008=1,SUM(AO$7:AO1008),"")</f>
        <v/>
      </c>
      <c r="AQ1008" s="78" t="n">
        <f aca="false">IF(AND(OR(X1008="R",X1008="NX",X1008="NT",X1008="CO"),OR('JOINTS DE RÉPARATION'!$D$5="TOUTES",B1008='JOINTS DE RÉPARATION'!$D$5),OR('JOINTS DE RÉPARATION'!$L$4="TOUS",AM1008&lt;&gt;"ACCEPTÉ")),1,0)</f>
        <v>0</v>
      </c>
      <c r="AR1008" s="78" t="str">
        <f aca="false">IF(AQ1008=1,SUM(AQ$7:AQ1008),"")</f>
        <v/>
      </c>
    </row>
    <row r="1009" customFormat="false" ht="15" hidden="false" customHeight="false" outlineLevel="0" collapsed="false">
      <c r="A1009" s="78" t="str">
        <f aca="false">IF(E1009="","",ROW()-6)</f>
        <v/>
      </c>
      <c r="B1009" s="79"/>
      <c r="C1009" s="80"/>
      <c r="D1009" s="80"/>
      <c r="E1009" s="80"/>
      <c r="F1009" s="80"/>
      <c r="G1009" s="80"/>
      <c r="H1009" s="80"/>
      <c r="I1009" s="80"/>
      <c r="J1009" s="80"/>
      <c r="K1009" s="80"/>
      <c r="L1009" s="81" t="str">
        <f aca="false">IF(K1009="","",IFERROR(INDEX(BARDAGE!$C$7:$C$1506,MATCH(K1009,BARDAGE!$B$7:$B$1506,0)),"? hors registre"))</f>
        <v/>
      </c>
      <c r="M1009" s="80"/>
      <c r="N1009" s="81" t="str">
        <f aca="false">IF(M1009="","",IFERROR(INDEX(BARDAGE!$C$7:$C$1506,MATCH(M1009,BARDAGE!$B$7:$B$1506,0)),"? hors registre"))</f>
        <v/>
      </c>
      <c r="O1009" s="80"/>
      <c r="P1009" s="80"/>
      <c r="Q1009" s="80"/>
      <c r="R1009" s="82"/>
      <c r="S1009" s="82"/>
      <c r="T1009" s="80"/>
      <c r="U1009" s="80"/>
      <c r="V1009" s="82"/>
      <c r="W1009" s="80"/>
      <c r="X1009" s="80"/>
      <c r="Y1009" s="80"/>
      <c r="Z1009" s="80"/>
      <c r="AA1009" s="82"/>
      <c r="AB1009" s="80"/>
      <c r="AC1009" s="80"/>
      <c r="AD1009" s="80"/>
      <c r="AE1009" s="80"/>
      <c r="AF1009" s="82"/>
      <c r="AG1009" s="80"/>
      <c r="AH1009" s="80"/>
      <c r="AI1009" s="82"/>
      <c r="AJ1009" s="79"/>
      <c r="AK1009" s="78" t="str">
        <f aca="false">IF(E1009="","",(X1009&lt;&gt;"")+(AC1009&lt;&gt;"")+(AH1009&lt;&gt;""))</f>
        <v/>
      </c>
      <c r="AL1009" s="81" t="str">
        <f aca="false">IF(AH1009&lt;&gt;"",AH1009,IF(AC1009&lt;&gt;"",AC1009,IF(X1009&lt;&gt;"",X1009,"")))</f>
        <v/>
      </c>
      <c r="AM1009" s="83" t="str">
        <f aca="false">IF(E1009="","",IF(R1009="","À SOUDER",IF(U1009="","VT EN ATTENTE",IF(U1009="R","VT REJETÉ – À REPRENDRE",IF(AL1009="","À RADIOGRAPHIER",IF(AL1009="A","ACCEPTÉ",IF(AL1009="NX","NX – RT À REFAIRE",IF(IF(AK1009=1,Z1009,IF(AK1009=2,AE1009,""))="A","RÉPARÉ – À RADIOGRAPHIER",IF(IF(AK1009=1,Z1009,IF(AK1009=2,AE1009,""))="R","VT REJETÉ – À REPRENDRE",IF(OR(AL1009="CO",AL1009="NT"),"COUPE – À RESOUDER","À RÉPARER"))))))))))</f>
        <v/>
      </c>
      <c r="AN1009" s="81" t="str">
        <f aca="false">IF(AND(ISNUMBER(R1009),OR(AM1009="À RADIOGRAPHIER",AM1009="RÉPARÉ – À RADIOGRAPHIER",AM1009="NX – RT À REFAIRE",AM1009="À RÉPARER",AM1009="COUPE – À RESOUDER",AM1009="VT REJETÉ – À REPRENDRE")),MAX(0,'PROGRAMME RT'!$C$4-R1009),"")</f>
        <v/>
      </c>
      <c r="AO1009" s="78" t="n">
        <f aca="false">IF(AND(OR(AM1009="À RADIOGRAPHIER",AM1009="RÉPARÉ – À RADIOGRAPHIER",AM1009="NX – RT À REFAIRE"),OR('PROGRAMME RT'!$D$5="TOUTES",B1009='PROGRAMME RT'!$D$5)),1,0)</f>
        <v>0</v>
      </c>
      <c r="AP1009" s="78" t="str">
        <f aca="false">IF(AO1009=1,SUM(AO$7:AO1009),"")</f>
        <v/>
      </c>
      <c r="AQ1009" s="78" t="n">
        <f aca="false">IF(AND(OR(X1009="R",X1009="NX",X1009="NT",X1009="CO"),OR('JOINTS DE RÉPARATION'!$D$5="TOUTES",B1009='JOINTS DE RÉPARATION'!$D$5),OR('JOINTS DE RÉPARATION'!$L$4="TOUS",AM1009&lt;&gt;"ACCEPTÉ")),1,0)</f>
        <v>0</v>
      </c>
      <c r="AR1009" s="78" t="str">
        <f aca="false">IF(AQ1009=1,SUM(AQ$7:AQ1009),"")</f>
        <v/>
      </c>
    </row>
    <row r="1010" customFormat="false" ht="15" hidden="false" customHeight="false" outlineLevel="0" collapsed="false">
      <c r="A1010" s="78" t="str">
        <f aca="false">IF(E1010="","",ROW()-6)</f>
        <v/>
      </c>
      <c r="B1010" s="79"/>
      <c r="C1010" s="80"/>
      <c r="D1010" s="80"/>
      <c r="E1010" s="80"/>
      <c r="F1010" s="80"/>
      <c r="G1010" s="80"/>
      <c r="H1010" s="80"/>
      <c r="I1010" s="80"/>
      <c r="J1010" s="80"/>
      <c r="K1010" s="80"/>
      <c r="L1010" s="81" t="str">
        <f aca="false">IF(K1010="","",IFERROR(INDEX(BARDAGE!$C$7:$C$1506,MATCH(K1010,BARDAGE!$B$7:$B$1506,0)),"? hors registre"))</f>
        <v/>
      </c>
      <c r="M1010" s="80"/>
      <c r="N1010" s="81" t="str">
        <f aca="false">IF(M1010="","",IFERROR(INDEX(BARDAGE!$C$7:$C$1506,MATCH(M1010,BARDAGE!$B$7:$B$1506,0)),"? hors registre"))</f>
        <v/>
      </c>
      <c r="O1010" s="80"/>
      <c r="P1010" s="80"/>
      <c r="Q1010" s="80"/>
      <c r="R1010" s="82"/>
      <c r="S1010" s="82"/>
      <c r="T1010" s="80"/>
      <c r="U1010" s="80"/>
      <c r="V1010" s="82"/>
      <c r="W1010" s="80"/>
      <c r="X1010" s="80"/>
      <c r="Y1010" s="80"/>
      <c r="Z1010" s="80"/>
      <c r="AA1010" s="82"/>
      <c r="AB1010" s="80"/>
      <c r="AC1010" s="80"/>
      <c r="AD1010" s="80"/>
      <c r="AE1010" s="80"/>
      <c r="AF1010" s="82"/>
      <c r="AG1010" s="80"/>
      <c r="AH1010" s="80"/>
      <c r="AI1010" s="82"/>
      <c r="AJ1010" s="79"/>
      <c r="AK1010" s="78" t="str">
        <f aca="false">IF(E1010="","",(X1010&lt;&gt;"")+(AC1010&lt;&gt;"")+(AH1010&lt;&gt;""))</f>
        <v/>
      </c>
      <c r="AL1010" s="81" t="str">
        <f aca="false">IF(AH1010&lt;&gt;"",AH1010,IF(AC1010&lt;&gt;"",AC1010,IF(X1010&lt;&gt;"",X1010,"")))</f>
        <v/>
      </c>
      <c r="AM1010" s="83" t="str">
        <f aca="false">IF(E1010="","",IF(R1010="","À SOUDER",IF(U1010="","VT EN ATTENTE",IF(U1010="R","VT REJETÉ – À REPRENDRE",IF(AL1010="","À RADIOGRAPHIER",IF(AL1010="A","ACCEPTÉ",IF(AL1010="NX","NX – RT À REFAIRE",IF(IF(AK1010=1,Z1010,IF(AK1010=2,AE1010,""))="A","RÉPARÉ – À RADIOGRAPHIER",IF(IF(AK1010=1,Z1010,IF(AK1010=2,AE1010,""))="R","VT REJETÉ – À REPRENDRE",IF(OR(AL1010="CO",AL1010="NT"),"COUPE – À RESOUDER","À RÉPARER"))))))))))</f>
        <v/>
      </c>
      <c r="AN1010" s="81" t="str">
        <f aca="false">IF(AND(ISNUMBER(R1010),OR(AM1010="À RADIOGRAPHIER",AM1010="RÉPARÉ – À RADIOGRAPHIER",AM1010="NX – RT À REFAIRE",AM1010="À RÉPARER",AM1010="COUPE – À RESOUDER",AM1010="VT REJETÉ – À REPRENDRE")),MAX(0,'PROGRAMME RT'!$C$4-R1010),"")</f>
        <v/>
      </c>
      <c r="AO1010" s="78" t="n">
        <f aca="false">IF(AND(OR(AM1010="À RADIOGRAPHIER",AM1010="RÉPARÉ – À RADIOGRAPHIER",AM1010="NX – RT À REFAIRE"),OR('PROGRAMME RT'!$D$5="TOUTES",B1010='PROGRAMME RT'!$D$5)),1,0)</f>
        <v>0</v>
      </c>
      <c r="AP1010" s="78" t="str">
        <f aca="false">IF(AO1010=1,SUM(AO$7:AO1010),"")</f>
        <v/>
      </c>
      <c r="AQ1010" s="78" t="n">
        <f aca="false">IF(AND(OR(X1010="R",X1010="NX",X1010="NT",X1010="CO"),OR('JOINTS DE RÉPARATION'!$D$5="TOUTES",B1010='JOINTS DE RÉPARATION'!$D$5),OR('JOINTS DE RÉPARATION'!$L$4="TOUS",AM1010&lt;&gt;"ACCEPTÉ")),1,0)</f>
        <v>0</v>
      </c>
      <c r="AR1010" s="78" t="str">
        <f aca="false">IF(AQ1010=1,SUM(AQ$7:AQ1010),"")</f>
        <v/>
      </c>
    </row>
    <row r="1011" customFormat="false" ht="15" hidden="false" customHeight="false" outlineLevel="0" collapsed="false">
      <c r="A1011" s="78" t="str">
        <f aca="false">IF(E1011="","",ROW()-6)</f>
        <v/>
      </c>
      <c r="B1011" s="79"/>
      <c r="C1011" s="80"/>
      <c r="D1011" s="80"/>
      <c r="E1011" s="80"/>
      <c r="F1011" s="80"/>
      <c r="G1011" s="80"/>
      <c r="H1011" s="80"/>
      <c r="I1011" s="80"/>
      <c r="J1011" s="80"/>
      <c r="K1011" s="80"/>
      <c r="L1011" s="81" t="str">
        <f aca="false">IF(K1011="","",IFERROR(INDEX(BARDAGE!$C$7:$C$1506,MATCH(K1011,BARDAGE!$B$7:$B$1506,0)),"? hors registre"))</f>
        <v/>
      </c>
      <c r="M1011" s="80"/>
      <c r="N1011" s="81" t="str">
        <f aca="false">IF(M1011="","",IFERROR(INDEX(BARDAGE!$C$7:$C$1506,MATCH(M1011,BARDAGE!$B$7:$B$1506,0)),"? hors registre"))</f>
        <v/>
      </c>
      <c r="O1011" s="80"/>
      <c r="P1011" s="80"/>
      <c r="Q1011" s="80"/>
      <c r="R1011" s="82"/>
      <c r="S1011" s="82"/>
      <c r="T1011" s="80"/>
      <c r="U1011" s="80"/>
      <c r="V1011" s="82"/>
      <c r="W1011" s="80"/>
      <c r="X1011" s="80"/>
      <c r="Y1011" s="80"/>
      <c r="Z1011" s="80"/>
      <c r="AA1011" s="82"/>
      <c r="AB1011" s="80"/>
      <c r="AC1011" s="80"/>
      <c r="AD1011" s="80"/>
      <c r="AE1011" s="80"/>
      <c r="AF1011" s="82"/>
      <c r="AG1011" s="80"/>
      <c r="AH1011" s="80"/>
      <c r="AI1011" s="82"/>
      <c r="AJ1011" s="79"/>
      <c r="AK1011" s="78" t="str">
        <f aca="false">IF(E1011="","",(X1011&lt;&gt;"")+(AC1011&lt;&gt;"")+(AH1011&lt;&gt;""))</f>
        <v/>
      </c>
      <c r="AL1011" s="81" t="str">
        <f aca="false">IF(AH1011&lt;&gt;"",AH1011,IF(AC1011&lt;&gt;"",AC1011,IF(X1011&lt;&gt;"",X1011,"")))</f>
        <v/>
      </c>
      <c r="AM1011" s="83" t="str">
        <f aca="false">IF(E1011="","",IF(R1011="","À SOUDER",IF(U1011="","VT EN ATTENTE",IF(U1011="R","VT REJETÉ – À REPRENDRE",IF(AL1011="","À RADIOGRAPHIER",IF(AL1011="A","ACCEPTÉ",IF(AL1011="NX","NX – RT À REFAIRE",IF(IF(AK1011=1,Z1011,IF(AK1011=2,AE1011,""))="A","RÉPARÉ – À RADIOGRAPHIER",IF(IF(AK1011=1,Z1011,IF(AK1011=2,AE1011,""))="R","VT REJETÉ – À REPRENDRE",IF(OR(AL1011="CO",AL1011="NT"),"COUPE – À RESOUDER","À RÉPARER"))))))))))</f>
        <v/>
      </c>
      <c r="AN1011" s="81" t="str">
        <f aca="false">IF(AND(ISNUMBER(R1011),OR(AM1011="À RADIOGRAPHIER",AM1011="RÉPARÉ – À RADIOGRAPHIER",AM1011="NX – RT À REFAIRE",AM1011="À RÉPARER",AM1011="COUPE – À RESOUDER",AM1011="VT REJETÉ – À REPRENDRE")),MAX(0,'PROGRAMME RT'!$C$4-R1011),"")</f>
        <v/>
      </c>
      <c r="AO1011" s="78" t="n">
        <f aca="false">IF(AND(OR(AM1011="À RADIOGRAPHIER",AM1011="RÉPARÉ – À RADIOGRAPHIER",AM1011="NX – RT À REFAIRE"),OR('PROGRAMME RT'!$D$5="TOUTES",B1011='PROGRAMME RT'!$D$5)),1,0)</f>
        <v>0</v>
      </c>
      <c r="AP1011" s="78" t="str">
        <f aca="false">IF(AO1011=1,SUM(AO$7:AO1011),"")</f>
        <v/>
      </c>
      <c r="AQ1011" s="78" t="n">
        <f aca="false">IF(AND(OR(X1011="R",X1011="NX",X1011="NT",X1011="CO"),OR('JOINTS DE RÉPARATION'!$D$5="TOUTES",B1011='JOINTS DE RÉPARATION'!$D$5),OR('JOINTS DE RÉPARATION'!$L$4="TOUS",AM1011&lt;&gt;"ACCEPTÉ")),1,0)</f>
        <v>0</v>
      </c>
      <c r="AR1011" s="78" t="str">
        <f aca="false">IF(AQ1011=1,SUM(AQ$7:AQ1011),"")</f>
        <v/>
      </c>
    </row>
    <row r="1012" customFormat="false" ht="15" hidden="false" customHeight="false" outlineLevel="0" collapsed="false">
      <c r="A1012" s="78" t="str">
        <f aca="false">IF(E1012="","",ROW()-6)</f>
        <v/>
      </c>
      <c r="B1012" s="79"/>
      <c r="C1012" s="80"/>
      <c r="D1012" s="80"/>
      <c r="E1012" s="80"/>
      <c r="F1012" s="80"/>
      <c r="G1012" s="80"/>
      <c r="H1012" s="80"/>
      <c r="I1012" s="80"/>
      <c r="J1012" s="80"/>
      <c r="K1012" s="80"/>
      <c r="L1012" s="81" t="str">
        <f aca="false">IF(K1012="","",IFERROR(INDEX(BARDAGE!$C$7:$C$1506,MATCH(K1012,BARDAGE!$B$7:$B$1506,0)),"? hors registre"))</f>
        <v/>
      </c>
      <c r="M1012" s="80"/>
      <c r="N1012" s="81" t="str">
        <f aca="false">IF(M1012="","",IFERROR(INDEX(BARDAGE!$C$7:$C$1506,MATCH(M1012,BARDAGE!$B$7:$B$1506,0)),"? hors registre"))</f>
        <v/>
      </c>
      <c r="O1012" s="80"/>
      <c r="P1012" s="80"/>
      <c r="Q1012" s="80"/>
      <c r="R1012" s="82"/>
      <c r="S1012" s="82"/>
      <c r="T1012" s="80"/>
      <c r="U1012" s="80"/>
      <c r="V1012" s="82"/>
      <c r="W1012" s="80"/>
      <c r="X1012" s="80"/>
      <c r="Y1012" s="80"/>
      <c r="Z1012" s="80"/>
      <c r="AA1012" s="82"/>
      <c r="AB1012" s="80"/>
      <c r="AC1012" s="80"/>
      <c r="AD1012" s="80"/>
      <c r="AE1012" s="80"/>
      <c r="AF1012" s="82"/>
      <c r="AG1012" s="80"/>
      <c r="AH1012" s="80"/>
      <c r="AI1012" s="82"/>
      <c r="AJ1012" s="79"/>
      <c r="AK1012" s="78" t="str">
        <f aca="false">IF(E1012="","",(X1012&lt;&gt;"")+(AC1012&lt;&gt;"")+(AH1012&lt;&gt;""))</f>
        <v/>
      </c>
      <c r="AL1012" s="81" t="str">
        <f aca="false">IF(AH1012&lt;&gt;"",AH1012,IF(AC1012&lt;&gt;"",AC1012,IF(X1012&lt;&gt;"",X1012,"")))</f>
        <v/>
      </c>
      <c r="AM1012" s="83" t="str">
        <f aca="false">IF(E1012="","",IF(R1012="","À SOUDER",IF(U1012="","VT EN ATTENTE",IF(U1012="R","VT REJETÉ – À REPRENDRE",IF(AL1012="","À RADIOGRAPHIER",IF(AL1012="A","ACCEPTÉ",IF(AL1012="NX","NX – RT À REFAIRE",IF(IF(AK1012=1,Z1012,IF(AK1012=2,AE1012,""))="A","RÉPARÉ – À RADIOGRAPHIER",IF(IF(AK1012=1,Z1012,IF(AK1012=2,AE1012,""))="R","VT REJETÉ – À REPRENDRE",IF(OR(AL1012="CO",AL1012="NT"),"COUPE – À RESOUDER","À RÉPARER"))))))))))</f>
        <v/>
      </c>
      <c r="AN1012" s="81" t="str">
        <f aca="false">IF(AND(ISNUMBER(R1012),OR(AM1012="À RADIOGRAPHIER",AM1012="RÉPARÉ – À RADIOGRAPHIER",AM1012="NX – RT À REFAIRE",AM1012="À RÉPARER",AM1012="COUPE – À RESOUDER",AM1012="VT REJETÉ – À REPRENDRE")),MAX(0,'PROGRAMME RT'!$C$4-R1012),"")</f>
        <v/>
      </c>
      <c r="AO1012" s="78" t="n">
        <f aca="false">IF(AND(OR(AM1012="À RADIOGRAPHIER",AM1012="RÉPARÉ – À RADIOGRAPHIER",AM1012="NX – RT À REFAIRE"),OR('PROGRAMME RT'!$D$5="TOUTES",B1012='PROGRAMME RT'!$D$5)),1,0)</f>
        <v>0</v>
      </c>
      <c r="AP1012" s="78" t="str">
        <f aca="false">IF(AO1012=1,SUM(AO$7:AO1012),"")</f>
        <v/>
      </c>
      <c r="AQ1012" s="78" t="n">
        <f aca="false">IF(AND(OR(X1012="R",X1012="NX",X1012="NT",X1012="CO"),OR('JOINTS DE RÉPARATION'!$D$5="TOUTES",B1012='JOINTS DE RÉPARATION'!$D$5),OR('JOINTS DE RÉPARATION'!$L$4="TOUS",AM1012&lt;&gt;"ACCEPTÉ")),1,0)</f>
        <v>0</v>
      </c>
      <c r="AR1012" s="78" t="str">
        <f aca="false">IF(AQ1012=1,SUM(AQ$7:AQ1012),"")</f>
        <v/>
      </c>
    </row>
    <row r="1013" customFormat="false" ht="15" hidden="false" customHeight="false" outlineLevel="0" collapsed="false">
      <c r="A1013" s="78" t="str">
        <f aca="false">IF(E1013="","",ROW()-6)</f>
        <v/>
      </c>
      <c r="B1013" s="79"/>
      <c r="C1013" s="80"/>
      <c r="D1013" s="80"/>
      <c r="E1013" s="80"/>
      <c r="F1013" s="80"/>
      <c r="G1013" s="80"/>
      <c r="H1013" s="80"/>
      <c r="I1013" s="80"/>
      <c r="J1013" s="80"/>
      <c r="K1013" s="80"/>
      <c r="L1013" s="81" t="str">
        <f aca="false">IF(K1013="","",IFERROR(INDEX(BARDAGE!$C$7:$C$1506,MATCH(K1013,BARDAGE!$B$7:$B$1506,0)),"? hors registre"))</f>
        <v/>
      </c>
      <c r="M1013" s="80"/>
      <c r="N1013" s="81" t="str">
        <f aca="false">IF(M1013="","",IFERROR(INDEX(BARDAGE!$C$7:$C$1506,MATCH(M1013,BARDAGE!$B$7:$B$1506,0)),"? hors registre"))</f>
        <v/>
      </c>
      <c r="O1013" s="80"/>
      <c r="P1013" s="80"/>
      <c r="Q1013" s="80"/>
      <c r="R1013" s="82"/>
      <c r="S1013" s="82"/>
      <c r="T1013" s="80"/>
      <c r="U1013" s="80"/>
      <c r="V1013" s="82"/>
      <c r="W1013" s="80"/>
      <c r="X1013" s="80"/>
      <c r="Y1013" s="80"/>
      <c r="Z1013" s="80"/>
      <c r="AA1013" s="82"/>
      <c r="AB1013" s="80"/>
      <c r="AC1013" s="80"/>
      <c r="AD1013" s="80"/>
      <c r="AE1013" s="80"/>
      <c r="AF1013" s="82"/>
      <c r="AG1013" s="80"/>
      <c r="AH1013" s="80"/>
      <c r="AI1013" s="82"/>
      <c r="AJ1013" s="79"/>
      <c r="AK1013" s="78" t="str">
        <f aca="false">IF(E1013="","",(X1013&lt;&gt;"")+(AC1013&lt;&gt;"")+(AH1013&lt;&gt;""))</f>
        <v/>
      </c>
      <c r="AL1013" s="81" t="str">
        <f aca="false">IF(AH1013&lt;&gt;"",AH1013,IF(AC1013&lt;&gt;"",AC1013,IF(X1013&lt;&gt;"",X1013,"")))</f>
        <v/>
      </c>
      <c r="AM1013" s="83" t="str">
        <f aca="false">IF(E1013="","",IF(R1013="","À SOUDER",IF(U1013="","VT EN ATTENTE",IF(U1013="R","VT REJETÉ – À REPRENDRE",IF(AL1013="","À RADIOGRAPHIER",IF(AL1013="A","ACCEPTÉ",IF(AL1013="NX","NX – RT À REFAIRE",IF(IF(AK1013=1,Z1013,IF(AK1013=2,AE1013,""))="A","RÉPARÉ – À RADIOGRAPHIER",IF(IF(AK1013=1,Z1013,IF(AK1013=2,AE1013,""))="R","VT REJETÉ – À REPRENDRE",IF(OR(AL1013="CO",AL1013="NT"),"COUPE – À RESOUDER","À RÉPARER"))))))))))</f>
        <v/>
      </c>
      <c r="AN1013" s="81" t="str">
        <f aca="false">IF(AND(ISNUMBER(R1013),OR(AM1013="À RADIOGRAPHIER",AM1013="RÉPARÉ – À RADIOGRAPHIER",AM1013="NX – RT À REFAIRE",AM1013="À RÉPARER",AM1013="COUPE – À RESOUDER",AM1013="VT REJETÉ – À REPRENDRE")),MAX(0,'PROGRAMME RT'!$C$4-R1013),"")</f>
        <v/>
      </c>
      <c r="AO1013" s="78" t="n">
        <f aca="false">IF(AND(OR(AM1013="À RADIOGRAPHIER",AM1013="RÉPARÉ – À RADIOGRAPHIER",AM1013="NX – RT À REFAIRE"),OR('PROGRAMME RT'!$D$5="TOUTES",B1013='PROGRAMME RT'!$D$5)),1,0)</f>
        <v>0</v>
      </c>
      <c r="AP1013" s="78" t="str">
        <f aca="false">IF(AO1013=1,SUM(AO$7:AO1013),"")</f>
        <v/>
      </c>
      <c r="AQ1013" s="78" t="n">
        <f aca="false">IF(AND(OR(X1013="R",X1013="NX",X1013="NT",X1013="CO"),OR('JOINTS DE RÉPARATION'!$D$5="TOUTES",B1013='JOINTS DE RÉPARATION'!$D$5),OR('JOINTS DE RÉPARATION'!$L$4="TOUS",AM1013&lt;&gt;"ACCEPTÉ")),1,0)</f>
        <v>0</v>
      </c>
      <c r="AR1013" s="78" t="str">
        <f aca="false">IF(AQ1013=1,SUM(AQ$7:AQ1013),"")</f>
        <v/>
      </c>
    </row>
    <row r="1014" customFormat="false" ht="15" hidden="false" customHeight="false" outlineLevel="0" collapsed="false">
      <c r="A1014" s="78" t="str">
        <f aca="false">IF(E1014="","",ROW()-6)</f>
        <v/>
      </c>
      <c r="B1014" s="79"/>
      <c r="C1014" s="80"/>
      <c r="D1014" s="80"/>
      <c r="E1014" s="80"/>
      <c r="F1014" s="80"/>
      <c r="G1014" s="80"/>
      <c r="H1014" s="80"/>
      <c r="I1014" s="80"/>
      <c r="J1014" s="80"/>
      <c r="K1014" s="80"/>
      <c r="L1014" s="81" t="str">
        <f aca="false">IF(K1014="","",IFERROR(INDEX(BARDAGE!$C$7:$C$1506,MATCH(K1014,BARDAGE!$B$7:$B$1506,0)),"? hors registre"))</f>
        <v/>
      </c>
      <c r="M1014" s="80"/>
      <c r="N1014" s="81" t="str">
        <f aca="false">IF(M1014="","",IFERROR(INDEX(BARDAGE!$C$7:$C$1506,MATCH(M1014,BARDAGE!$B$7:$B$1506,0)),"? hors registre"))</f>
        <v/>
      </c>
      <c r="O1014" s="80"/>
      <c r="P1014" s="80"/>
      <c r="Q1014" s="80"/>
      <c r="R1014" s="82"/>
      <c r="S1014" s="82"/>
      <c r="T1014" s="80"/>
      <c r="U1014" s="80"/>
      <c r="V1014" s="82"/>
      <c r="W1014" s="80"/>
      <c r="X1014" s="80"/>
      <c r="Y1014" s="80"/>
      <c r="Z1014" s="80"/>
      <c r="AA1014" s="82"/>
      <c r="AB1014" s="80"/>
      <c r="AC1014" s="80"/>
      <c r="AD1014" s="80"/>
      <c r="AE1014" s="80"/>
      <c r="AF1014" s="82"/>
      <c r="AG1014" s="80"/>
      <c r="AH1014" s="80"/>
      <c r="AI1014" s="82"/>
      <c r="AJ1014" s="79"/>
      <c r="AK1014" s="78" t="str">
        <f aca="false">IF(E1014="","",(X1014&lt;&gt;"")+(AC1014&lt;&gt;"")+(AH1014&lt;&gt;""))</f>
        <v/>
      </c>
      <c r="AL1014" s="81" t="str">
        <f aca="false">IF(AH1014&lt;&gt;"",AH1014,IF(AC1014&lt;&gt;"",AC1014,IF(X1014&lt;&gt;"",X1014,"")))</f>
        <v/>
      </c>
      <c r="AM1014" s="83" t="str">
        <f aca="false">IF(E1014="","",IF(R1014="","À SOUDER",IF(U1014="","VT EN ATTENTE",IF(U1014="R","VT REJETÉ – À REPRENDRE",IF(AL1014="","À RADIOGRAPHIER",IF(AL1014="A","ACCEPTÉ",IF(AL1014="NX","NX – RT À REFAIRE",IF(IF(AK1014=1,Z1014,IF(AK1014=2,AE1014,""))="A","RÉPARÉ – À RADIOGRAPHIER",IF(IF(AK1014=1,Z1014,IF(AK1014=2,AE1014,""))="R","VT REJETÉ – À REPRENDRE",IF(OR(AL1014="CO",AL1014="NT"),"COUPE – À RESOUDER","À RÉPARER"))))))))))</f>
        <v/>
      </c>
      <c r="AN1014" s="81" t="str">
        <f aca="false">IF(AND(ISNUMBER(R1014),OR(AM1014="À RADIOGRAPHIER",AM1014="RÉPARÉ – À RADIOGRAPHIER",AM1014="NX – RT À REFAIRE",AM1014="À RÉPARER",AM1014="COUPE – À RESOUDER",AM1014="VT REJETÉ – À REPRENDRE")),MAX(0,'PROGRAMME RT'!$C$4-R1014),"")</f>
        <v/>
      </c>
      <c r="AO1014" s="78" t="n">
        <f aca="false">IF(AND(OR(AM1014="À RADIOGRAPHIER",AM1014="RÉPARÉ – À RADIOGRAPHIER",AM1014="NX – RT À REFAIRE"),OR('PROGRAMME RT'!$D$5="TOUTES",B1014='PROGRAMME RT'!$D$5)),1,0)</f>
        <v>0</v>
      </c>
      <c r="AP1014" s="78" t="str">
        <f aca="false">IF(AO1014=1,SUM(AO$7:AO1014),"")</f>
        <v/>
      </c>
      <c r="AQ1014" s="78" t="n">
        <f aca="false">IF(AND(OR(X1014="R",X1014="NX",X1014="NT",X1014="CO"),OR('JOINTS DE RÉPARATION'!$D$5="TOUTES",B1014='JOINTS DE RÉPARATION'!$D$5),OR('JOINTS DE RÉPARATION'!$L$4="TOUS",AM1014&lt;&gt;"ACCEPTÉ")),1,0)</f>
        <v>0</v>
      </c>
      <c r="AR1014" s="78" t="str">
        <f aca="false">IF(AQ1014=1,SUM(AQ$7:AQ1014),"")</f>
        <v/>
      </c>
    </row>
    <row r="1015" customFormat="false" ht="15" hidden="false" customHeight="false" outlineLevel="0" collapsed="false">
      <c r="A1015" s="78" t="str">
        <f aca="false">IF(E1015="","",ROW()-6)</f>
        <v/>
      </c>
      <c r="B1015" s="79"/>
      <c r="C1015" s="80"/>
      <c r="D1015" s="80"/>
      <c r="E1015" s="80"/>
      <c r="F1015" s="80"/>
      <c r="G1015" s="80"/>
      <c r="H1015" s="80"/>
      <c r="I1015" s="80"/>
      <c r="J1015" s="80"/>
      <c r="K1015" s="80"/>
      <c r="L1015" s="81" t="str">
        <f aca="false">IF(K1015="","",IFERROR(INDEX(BARDAGE!$C$7:$C$1506,MATCH(K1015,BARDAGE!$B$7:$B$1506,0)),"? hors registre"))</f>
        <v/>
      </c>
      <c r="M1015" s="80"/>
      <c r="N1015" s="81" t="str">
        <f aca="false">IF(M1015="","",IFERROR(INDEX(BARDAGE!$C$7:$C$1506,MATCH(M1015,BARDAGE!$B$7:$B$1506,0)),"? hors registre"))</f>
        <v/>
      </c>
      <c r="O1015" s="80"/>
      <c r="P1015" s="80"/>
      <c r="Q1015" s="80"/>
      <c r="R1015" s="82"/>
      <c r="S1015" s="82"/>
      <c r="T1015" s="80"/>
      <c r="U1015" s="80"/>
      <c r="V1015" s="82"/>
      <c r="W1015" s="80"/>
      <c r="X1015" s="80"/>
      <c r="Y1015" s="80"/>
      <c r="Z1015" s="80"/>
      <c r="AA1015" s="82"/>
      <c r="AB1015" s="80"/>
      <c r="AC1015" s="80"/>
      <c r="AD1015" s="80"/>
      <c r="AE1015" s="80"/>
      <c r="AF1015" s="82"/>
      <c r="AG1015" s="80"/>
      <c r="AH1015" s="80"/>
      <c r="AI1015" s="82"/>
      <c r="AJ1015" s="79"/>
      <c r="AK1015" s="78" t="str">
        <f aca="false">IF(E1015="","",(X1015&lt;&gt;"")+(AC1015&lt;&gt;"")+(AH1015&lt;&gt;""))</f>
        <v/>
      </c>
      <c r="AL1015" s="81" t="str">
        <f aca="false">IF(AH1015&lt;&gt;"",AH1015,IF(AC1015&lt;&gt;"",AC1015,IF(X1015&lt;&gt;"",X1015,"")))</f>
        <v/>
      </c>
      <c r="AM1015" s="83" t="str">
        <f aca="false">IF(E1015="","",IF(R1015="","À SOUDER",IF(U1015="","VT EN ATTENTE",IF(U1015="R","VT REJETÉ – À REPRENDRE",IF(AL1015="","À RADIOGRAPHIER",IF(AL1015="A","ACCEPTÉ",IF(AL1015="NX","NX – RT À REFAIRE",IF(IF(AK1015=1,Z1015,IF(AK1015=2,AE1015,""))="A","RÉPARÉ – À RADIOGRAPHIER",IF(IF(AK1015=1,Z1015,IF(AK1015=2,AE1015,""))="R","VT REJETÉ – À REPRENDRE",IF(OR(AL1015="CO",AL1015="NT"),"COUPE – À RESOUDER","À RÉPARER"))))))))))</f>
        <v/>
      </c>
      <c r="AN1015" s="81" t="str">
        <f aca="false">IF(AND(ISNUMBER(R1015),OR(AM1015="À RADIOGRAPHIER",AM1015="RÉPARÉ – À RADIOGRAPHIER",AM1015="NX – RT À REFAIRE",AM1015="À RÉPARER",AM1015="COUPE – À RESOUDER",AM1015="VT REJETÉ – À REPRENDRE")),MAX(0,'PROGRAMME RT'!$C$4-R1015),"")</f>
        <v/>
      </c>
      <c r="AO1015" s="78" t="n">
        <f aca="false">IF(AND(OR(AM1015="À RADIOGRAPHIER",AM1015="RÉPARÉ – À RADIOGRAPHIER",AM1015="NX – RT À REFAIRE"),OR('PROGRAMME RT'!$D$5="TOUTES",B1015='PROGRAMME RT'!$D$5)),1,0)</f>
        <v>0</v>
      </c>
      <c r="AP1015" s="78" t="str">
        <f aca="false">IF(AO1015=1,SUM(AO$7:AO1015),"")</f>
        <v/>
      </c>
      <c r="AQ1015" s="78" t="n">
        <f aca="false">IF(AND(OR(X1015="R",X1015="NX",X1015="NT",X1015="CO"),OR('JOINTS DE RÉPARATION'!$D$5="TOUTES",B1015='JOINTS DE RÉPARATION'!$D$5),OR('JOINTS DE RÉPARATION'!$L$4="TOUS",AM1015&lt;&gt;"ACCEPTÉ")),1,0)</f>
        <v>0</v>
      </c>
      <c r="AR1015" s="78" t="str">
        <f aca="false">IF(AQ1015=1,SUM(AQ$7:AQ1015),"")</f>
        <v/>
      </c>
    </row>
    <row r="1016" customFormat="false" ht="15" hidden="false" customHeight="false" outlineLevel="0" collapsed="false">
      <c r="A1016" s="78" t="str">
        <f aca="false">IF(E1016="","",ROW()-6)</f>
        <v/>
      </c>
      <c r="B1016" s="79"/>
      <c r="C1016" s="80"/>
      <c r="D1016" s="80"/>
      <c r="E1016" s="80"/>
      <c r="F1016" s="80"/>
      <c r="G1016" s="80"/>
      <c r="H1016" s="80"/>
      <c r="I1016" s="80"/>
      <c r="J1016" s="80"/>
      <c r="K1016" s="80"/>
      <c r="L1016" s="81" t="str">
        <f aca="false">IF(K1016="","",IFERROR(INDEX(BARDAGE!$C$7:$C$1506,MATCH(K1016,BARDAGE!$B$7:$B$1506,0)),"? hors registre"))</f>
        <v/>
      </c>
      <c r="M1016" s="80"/>
      <c r="N1016" s="81" t="str">
        <f aca="false">IF(M1016="","",IFERROR(INDEX(BARDAGE!$C$7:$C$1506,MATCH(M1016,BARDAGE!$B$7:$B$1506,0)),"? hors registre"))</f>
        <v/>
      </c>
      <c r="O1016" s="80"/>
      <c r="P1016" s="80"/>
      <c r="Q1016" s="80"/>
      <c r="R1016" s="82"/>
      <c r="S1016" s="82"/>
      <c r="T1016" s="80"/>
      <c r="U1016" s="80"/>
      <c r="V1016" s="82"/>
      <c r="W1016" s="80"/>
      <c r="X1016" s="80"/>
      <c r="Y1016" s="80"/>
      <c r="Z1016" s="80"/>
      <c r="AA1016" s="82"/>
      <c r="AB1016" s="80"/>
      <c r="AC1016" s="80"/>
      <c r="AD1016" s="80"/>
      <c r="AE1016" s="80"/>
      <c r="AF1016" s="82"/>
      <c r="AG1016" s="80"/>
      <c r="AH1016" s="80"/>
      <c r="AI1016" s="82"/>
      <c r="AJ1016" s="79"/>
      <c r="AK1016" s="78" t="str">
        <f aca="false">IF(E1016="","",(X1016&lt;&gt;"")+(AC1016&lt;&gt;"")+(AH1016&lt;&gt;""))</f>
        <v/>
      </c>
      <c r="AL1016" s="81" t="str">
        <f aca="false">IF(AH1016&lt;&gt;"",AH1016,IF(AC1016&lt;&gt;"",AC1016,IF(X1016&lt;&gt;"",X1016,"")))</f>
        <v/>
      </c>
      <c r="AM1016" s="83" t="str">
        <f aca="false">IF(E1016="","",IF(R1016="","À SOUDER",IF(U1016="","VT EN ATTENTE",IF(U1016="R","VT REJETÉ – À REPRENDRE",IF(AL1016="","À RADIOGRAPHIER",IF(AL1016="A","ACCEPTÉ",IF(AL1016="NX","NX – RT À REFAIRE",IF(IF(AK1016=1,Z1016,IF(AK1016=2,AE1016,""))="A","RÉPARÉ – À RADIOGRAPHIER",IF(IF(AK1016=1,Z1016,IF(AK1016=2,AE1016,""))="R","VT REJETÉ – À REPRENDRE",IF(OR(AL1016="CO",AL1016="NT"),"COUPE – À RESOUDER","À RÉPARER"))))))))))</f>
        <v/>
      </c>
      <c r="AN1016" s="81" t="str">
        <f aca="false">IF(AND(ISNUMBER(R1016),OR(AM1016="À RADIOGRAPHIER",AM1016="RÉPARÉ – À RADIOGRAPHIER",AM1016="NX – RT À REFAIRE",AM1016="À RÉPARER",AM1016="COUPE – À RESOUDER",AM1016="VT REJETÉ – À REPRENDRE")),MAX(0,'PROGRAMME RT'!$C$4-R1016),"")</f>
        <v/>
      </c>
      <c r="AO1016" s="78" t="n">
        <f aca="false">IF(AND(OR(AM1016="À RADIOGRAPHIER",AM1016="RÉPARÉ – À RADIOGRAPHIER",AM1016="NX – RT À REFAIRE"),OR('PROGRAMME RT'!$D$5="TOUTES",B1016='PROGRAMME RT'!$D$5)),1,0)</f>
        <v>0</v>
      </c>
      <c r="AP1016" s="78" t="str">
        <f aca="false">IF(AO1016=1,SUM(AO$7:AO1016),"")</f>
        <v/>
      </c>
      <c r="AQ1016" s="78" t="n">
        <f aca="false">IF(AND(OR(X1016="R",X1016="NX",X1016="NT",X1016="CO"),OR('JOINTS DE RÉPARATION'!$D$5="TOUTES",B1016='JOINTS DE RÉPARATION'!$D$5),OR('JOINTS DE RÉPARATION'!$L$4="TOUS",AM1016&lt;&gt;"ACCEPTÉ")),1,0)</f>
        <v>0</v>
      </c>
      <c r="AR1016" s="78" t="str">
        <f aca="false">IF(AQ1016=1,SUM(AQ$7:AQ1016),"")</f>
        <v/>
      </c>
    </row>
    <row r="1017" customFormat="false" ht="15" hidden="false" customHeight="false" outlineLevel="0" collapsed="false">
      <c r="A1017" s="78" t="str">
        <f aca="false">IF(E1017="","",ROW()-6)</f>
        <v/>
      </c>
      <c r="B1017" s="79"/>
      <c r="C1017" s="80"/>
      <c r="D1017" s="80"/>
      <c r="E1017" s="80"/>
      <c r="F1017" s="80"/>
      <c r="G1017" s="80"/>
      <c r="H1017" s="80"/>
      <c r="I1017" s="80"/>
      <c r="J1017" s="80"/>
      <c r="K1017" s="80"/>
      <c r="L1017" s="81" t="str">
        <f aca="false">IF(K1017="","",IFERROR(INDEX(BARDAGE!$C$7:$C$1506,MATCH(K1017,BARDAGE!$B$7:$B$1506,0)),"? hors registre"))</f>
        <v/>
      </c>
      <c r="M1017" s="80"/>
      <c r="N1017" s="81" t="str">
        <f aca="false">IF(M1017="","",IFERROR(INDEX(BARDAGE!$C$7:$C$1506,MATCH(M1017,BARDAGE!$B$7:$B$1506,0)),"? hors registre"))</f>
        <v/>
      </c>
      <c r="O1017" s="80"/>
      <c r="P1017" s="80"/>
      <c r="Q1017" s="80"/>
      <c r="R1017" s="82"/>
      <c r="S1017" s="82"/>
      <c r="T1017" s="80"/>
      <c r="U1017" s="80"/>
      <c r="V1017" s="82"/>
      <c r="W1017" s="80"/>
      <c r="X1017" s="80"/>
      <c r="Y1017" s="80"/>
      <c r="Z1017" s="80"/>
      <c r="AA1017" s="82"/>
      <c r="AB1017" s="80"/>
      <c r="AC1017" s="80"/>
      <c r="AD1017" s="80"/>
      <c r="AE1017" s="80"/>
      <c r="AF1017" s="82"/>
      <c r="AG1017" s="80"/>
      <c r="AH1017" s="80"/>
      <c r="AI1017" s="82"/>
      <c r="AJ1017" s="79"/>
      <c r="AK1017" s="78" t="str">
        <f aca="false">IF(E1017="","",(X1017&lt;&gt;"")+(AC1017&lt;&gt;"")+(AH1017&lt;&gt;""))</f>
        <v/>
      </c>
      <c r="AL1017" s="81" t="str">
        <f aca="false">IF(AH1017&lt;&gt;"",AH1017,IF(AC1017&lt;&gt;"",AC1017,IF(X1017&lt;&gt;"",X1017,"")))</f>
        <v/>
      </c>
      <c r="AM1017" s="83" t="str">
        <f aca="false">IF(E1017="","",IF(R1017="","À SOUDER",IF(U1017="","VT EN ATTENTE",IF(U1017="R","VT REJETÉ – À REPRENDRE",IF(AL1017="","À RADIOGRAPHIER",IF(AL1017="A","ACCEPTÉ",IF(AL1017="NX","NX – RT À REFAIRE",IF(IF(AK1017=1,Z1017,IF(AK1017=2,AE1017,""))="A","RÉPARÉ – À RADIOGRAPHIER",IF(IF(AK1017=1,Z1017,IF(AK1017=2,AE1017,""))="R","VT REJETÉ – À REPRENDRE",IF(OR(AL1017="CO",AL1017="NT"),"COUPE – À RESOUDER","À RÉPARER"))))))))))</f>
        <v/>
      </c>
      <c r="AN1017" s="81" t="str">
        <f aca="false">IF(AND(ISNUMBER(R1017),OR(AM1017="À RADIOGRAPHIER",AM1017="RÉPARÉ – À RADIOGRAPHIER",AM1017="NX – RT À REFAIRE",AM1017="À RÉPARER",AM1017="COUPE – À RESOUDER",AM1017="VT REJETÉ – À REPRENDRE")),MAX(0,'PROGRAMME RT'!$C$4-R1017),"")</f>
        <v/>
      </c>
      <c r="AO1017" s="78" t="n">
        <f aca="false">IF(AND(OR(AM1017="À RADIOGRAPHIER",AM1017="RÉPARÉ – À RADIOGRAPHIER",AM1017="NX – RT À REFAIRE"),OR('PROGRAMME RT'!$D$5="TOUTES",B1017='PROGRAMME RT'!$D$5)),1,0)</f>
        <v>0</v>
      </c>
      <c r="AP1017" s="78" t="str">
        <f aca="false">IF(AO1017=1,SUM(AO$7:AO1017),"")</f>
        <v/>
      </c>
      <c r="AQ1017" s="78" t="n">
        <f aca="false">IF(AND(OR(X1017="R",X1017="NX",X1017="NT",X1017="CO"),OR('JOINTS DE RÉPARATION'!$D$5="TOUTES",B1017='JOINTS DE RÉPARATION'!$D$5),OR('JOINTS DE RÉPARATION'!$L$4="TOUS",AM1017&lt;&gt;"ACCEPTÉ")),1,0)</f>
        <v>0</v>
      </c>
      <c r="AR1017" s="78" t="str">
        <f aca="false">IF(AQ1017=1,SUM(AQ$7:AQ1017),"")</f>
        <v/>
      </c>
    </row>
    <row r="1018" customFormat="false" ht="15" hidden="false" customHeight="false" outlineLevel="0" collapsed="false">
      <c r="A1018" s="78" t="str">
        <f aca="false">IF(E1018="","",ROW()-6)</f>
        <v/>
      </c>
      <c r="B1018" s="79"/>
      <c r="C1018" s="80"/>
      <c r="D1018" s="80"/>
      <c r="E1018" s="80"/>
      <c r="F1018" s="80"/>
      <c r="G1018" s="80"/>
      <c r="H1018" s="80"/>
      <c r="I1018" s="80"/>
      <c r="J1018" s="80"/>
      <c r="K1018" s="80"/>
      <c r="L1018" s="81" t="str">
        <f aca="false">IF(K1018="","",IFERROR(INDEX(BARDAGE!$C$7:$C$1506,MATCH(K1018,BARDAGE!$B$7:$B$1506,0)),"? hors registre"))</f>
        <v/>
      </c>
      <c r="M1018" s="80"/>
      <c r="N1018" s="81" t="str">
        <f aca="false">IF(M1018="","",IFERROR(INDEX(BARDAGE!$C$7:$C$1506,MATCH(M1018,BARDAGE!$B$7:$B$1506,0)),"? hors registre"))</f>
        <v/>
      </c>
      <c r="O1018" s="80"/>
      <c r="P1018" s="80"/>
      <c r="Q1018" s="80"/>
      <c r="R1018" s="82"/>
      <c r="S1018" s="82"/>
      <c r="T1018" s="80"/>
      <c r="U1018" s="80"/>
      <c r="V1018" s="82"/>
      <c r="W1018" s="80"/>
      <c r="X1018" s="80"/>
      <c r="Y1018" s="80"/>
      <c r="Z1018" s="80"/>
      <c r="AA1018" s="82"/>
      <c r="AB1018" s="80"/>
      <c r="AC1018" s="80"/>
      <c r="AD1018" s="80"/>
      <c r="AE1018" s="80"/>
      <c r="AF1018" s="82"/>
      <c r="AG1018" s="80"/>
      <c r="AH1018" s="80"/>
      <c r="AI1018" s="82"/>
      <c r="AJ1018" s="79"/>
      <c r="AK1018" s="78" t="str">
        <f aca="false">IF(E1018="","",(X1018&lt;&gt;"")+(AC1018&lt;&gt;"")+(AH1018&lt;&gt;""))</f>
        <v/>
      </c>
      <c r="AL1018" s="81" t="str">
        <f aca="false">IF(AH1018&lt;&gt;"",AH1018,IF(AC1018&lt;&gt;"",AC1018,IF(X1018&lt;&gt;"",X1018,"")))</f>
        <v/>
      </c>
      <c r="AM1018" s="83" t="str">
        <f aca="false">IF(E1018="","",IF(R1018="","À SOUDER",IF(U1018="","VT EN ATTENTE",IF(U1018="R","VT REJETÉ – À REPRENDRE",IF(AL1018="","À RADIOGRAPHIER",IF(AL1018="A","ACCEPTÉ",IF(AL1018="NX","NX – RT À REFAIRE",IF(IF(AK1018=1,Z1018,IF(AK1018=2,AE1018,""))="A","RÉPARÉ – À RADIOGRAPHIER",IF(IF(AK1018=1,Z1018,IF(AK1018=2,AE1018,""))="R","VT REJETÉ – À REPRENDRE",IF(OR(AL1018="CO",AL1018="NT"),"COUPE – À RESOUDER","À RÉPARER"))))))))))</f>
        <v/>
      </c>
      <c r="AN1018" s="81" t="str">
        <f aca="false">IF(AND(ISNUMBER(R1018),OR(AM1018="À RADIOGRAPHIER",AM1018="RÉPARÉ – À RADIOGRAPHIER",AM1018="NX – RT À REFAIRE",AM1018="À RÉPARER",AM1018="COUPE – À RESOUDER",AM1018="VT REJETÉ – À REPRENDRE")),MAX(0,'PROGRAMME RT'!$C$4-R1018),"")</f>
        <v/>
      </c>
      <c r="AO1018" s="78" t="n">
        <f aca="false">IF(AND(OR(AM1018="À RADIOGRAPHIER",AM1018="RÉPARÉ – À RADIOGRAPHIER",AM1018="NX – RT À REFAIRE"),OR('PROGRAMME RT'!$D$5="TOUTES",B1018='PROGRAMME RT'!$D$5)),1,0)</f>
        <v>0</v>
      </c>
      <c r="AP1018" s="78" t="str">
        <f aca="false">IF(AO1018=1,SUM(AO$7:AO1018),"")</f>
        <v/>
      </c>
      <c r="AQ1018" s="78" t="n">
        <f aca="false">IF(AND(OR(X1018="R",X1018="NX",X1018="NT",X1018="CO"),OR('JOINTS DE RÉPARATION'!$D$5="TOUTES",B1018='JOINTS DE RÉPARATION'!$D$5),OR('JOINTS DE RÉPARATION'!$L$4="TOUS",AM1018&lt;&gt;"ACCEPTÉ")),1,0)</f>
        <v>0</v>
      </c>
      <c r="AR1018" s="78" t="str">
        <f aca="false">IF(AQ1018=1,SUM(AQ$7:AQ1018),"")</f>
        <v/>
      </c>
    </row>
    <row r="1019" customFormat="false" ht="15" hidden="false" customHeight="false" outlineLevel="0" collapsed="false">
      <c r="A1019" s="78" t="str">
        <f aca="false">IF(E1019="","",ROW()-6)</f>
        <v/>
      </c>
      <c r="B1019" s="79"/>
      <c r="C1019" s="80"/>
      <c r="D1019" s="80"/>
      <c r="E1019" s="80"/>
      <c r="F1019" s="80"/>
      <c r="G1019" s="80"/>
      <c r="H1019" s="80"/>
      <c r="I1019" s="80"/>
      <c r="J1019" s="80"/>
      <c r="K1019" s="80"/>
      <c r="L1019" s="81" t="str">
        <f aca="false">IF(K1019="","",IFERROR(INDEX(BARDAGE!$C$7:$C$1506,MATCH(K1019,BARDAGE!$B$7:$B$1506,0)),"? hors registre"))</f>
        <v/>
      </c>
      <c r="M1019" s="80"/>
      <c r="N1019" s="81" t="str">
        <f aca="false">IF(M1019="","",IFERROR(INDEX(BARDAGE!$C$7:$C$1506,MATCH(M1019,BARDAGE!$B$7:$B$1506,0)),"? hors registre"))</f>
        <v/>
      </c>
      <c r="O1019" s="80"/>
      <c r="P1019" s="80"/>
      <c r="Q1019" s="80"/>
      <c r="R1019" s="82"/>
      <c r="S1019" s="82"/>
      <c r="T1019" s="80"/>
      <c r="U1019" s="80"/>
      <c r="V1019" s="82"/>
      <c r="W1019" s="80"/>
      <c r="X1019" s="80"/>
      <c r="Y1019" s="80"/>
      <c r="Z1019" s="80"/>
      <c r="AA1019" s="82"/>
      <c r="AB1019" s="80"/>
      <c r="AC1019" s="80"/>
      <c r="AD1019" s="80"/>
      <c r="AE1019" s="80"/>
      <c r="AF1019" s="82"/>
      <c r="AG1019" s="80"/>
      <c r="AH1019" s="80"/>
      <c r="AI1019" s="82"/>
      <c r="AJ1019" s="79"/>
      <c r="AK1019" s="78" t="str">
        <f aca="false">IF(E1019="","",(X1019&lt;&gt;"")+(AC1019&lt;&gt;"")+(AH1019&lt;&gt;""))</f>
        <v/>
      </c>
      <c r="AL1019" s="81" t="str">
        <f aca="false">IF(AH1019&lt;&gt;"",AH1019,IF(AC1019&lt;&gt;"",AC1019,IF(X1019&lt;&gt;"",X1019,"")))</f>
        <v/>
      </c>
      <c r="AM1019" s="83" t="str">
        <f aca="false">IF(E1019="","",IF(R1019="","À SOUDER",IF(U1019="","VT EN ATTENTE",IF(U1019="R","VT REJETÉ – À REPRENDRE",IF(AL1019="","À RADIOGRAPHIER",IF(AL1019="A","ACCEPTÉ",IF(AL1019="NX","NX – RT À REFAIRE",IF(IF(AK1019=1,Z1019,IF(AK1019=2,AE1019,""))="A","RÉPARÉ – À RADIOGRAPHIER",IF(IF(AK1019=1,Z1019,IF(AK1019=2,AE1019,""))="R","VT REJETÉ – À REPRENDRE",IF(OR(AL1019="CO",AL1019="NT"),"COUPE – À RESOUDER","À RÉPARER"))))))))))</f>
        <v/>
      </c>
      <c r="AN1019" s="81" t="str">
        <f aca="false">IF(AND(ISNUMBER(R1019),OR(AM1019="À RADIOGRAPHIER",AM1019="RÉPARÉ – À RADIOGRAPHIER",AM1019="NX – RT À REFAIRE",AM1019="À RÉPARER",AM1019="COUPE – À RESOUDER",AM1019="VT REJETÉ – À REPRENDRE")),MAX(0,'PROGRAMME RT'!$C$4-R1019),"")</f>
        <v/>
      </c>
      <c r="AO1019" s="78" t="n">
        <f aca="false">IF(AND(OR(AM1019="À RADIOGRAPHIER",AM1019="RÉPARÉ – À RADIOGRAPHIER",AM1019="NX – RT À REFAIRE"),OR('PROGRAMME RT'!$D$5="TOUTES",B1019='PROGRAMME RT'!$D$5)),1,0)</f>
        <v>0</v>
      </c>
      <c r="AP1019" s="78" t="str">
        <f aca="false">IF(AO1019=1,SUM(AO$7:AO1019),"")</f>
        <v/>
      </c>
      <c r="AQ1019" s="78" t="n">
        <f aca="false">IF(AND(OR(X1019="R",X1019="NX",X1019="NT",X1019="CO"),OR('JOINTS DE RÉPARATION'!$D$5="TOUTES",B1019='JOINTS DE RÉPARATION'!$D$5),OR('JOINTS DE RÉPARATION'!$L$4="TOUS",AM1019&lt;&gt;"ACCEPTÉ")),1,0)</f>
        <v>0</v>
      </c>
      <c r="AR1019" s="78" t="str">
        <f aca="false">IF(AQ1019=1,SUM(AQ$7:AQ1019),"")</f>
        <v/>
      </c>
    </row>
    <row r="1020" customFormat="false" ht="15" hidden="false" customHeight="false" outlineLevel="0" collapsed="false">
      <c r="A1020" s="78" t="str">
        <f aca="false">IF(E1020="","",ROW()-6)</f>
        <v/>
      </c>
      <c r="B1020" s="79"/>
      <c r="C1020" s="80"/>
      <c r="D1020" s="80"/>
      <c r="E1020" s="80"/>
      <c r="F1020" s="80"/>
      <c r="G1020" s="80"/>
      <c r="H1020" s="80"/>
      <c r="I1020" s="80"/>
      <c r="J1020" s="80"/>
      <c r="K1020" s="80"/>
      <c r="L1020" s="81" t="str">
        <f aca="false">IF(K1020="","",IFERROR(INDEX(BARDAGE!$C$7:$C$1506,MATCH(K1020,BARDAGE!$B$7:$B$1506,0)),"? hors registre"))</f>
        <v/>
      </c>
      <c r="M1020" s="80"/>
      <c r="N1020" s="81" t="str">
        <f aca="false">IF(M1020="","",IFERROR(INDEX(BARDAGE!$C$7:$C$1506,MATCH(M1020,BARDAGE!$B$7:$B$1506,0)),"? hors registre"))</f>
        <v/>
      </c>
      <c r="O1020" s="80"/>
      <c r="P1020" s="80"/>
      <c r="Q1020" s="80"/>
      <c r="R1020" s="82"/>
      <c r="S1020" s="82"/>
      <c r="T1020" s="80"/>
      <c r="U1020" s="80"/>
      <c r="V1020" s="82"/>
      <c r="W1020" s="80"/>
      <c r="X1020" s="80"/>
      <c r="Y1020" s="80"/>
      <c r="Z1020" s="80"/>
      <c r="AA1020" s="82"/>
      <c r="AB1020" s="80"/>
      <c r="AC1020" s="80"/>
      <c r="AD1020" s="80"/>
      <c r="AE1020" s="80"/>
      <c r="AF1020" s="82"/>
      <c r="AG1020" s="80"/>
      <c r="AH1020" s="80"/>
      <c r="AI1020" s="82"/>
      <c r="AJ1020" s="79"/>
      <c r="AK1020" s="78" t="str">
        <f aca="false">IF(E1020="","",(X1020&lt;&gt;"")+(AC1020&lt;&gt;"")+(AH1020&lt;&gt;""))</f>
        <v/>
      </c>
      <c r="AL1020" s="81" t="str">
        <f aca="false">IF(AH1020&lt;&gt;"",AH1020,IF(AC1020&lt;&gt;"",AC1020,IF(X1020&lt;&gt;"",X1020,"")))</f>
        <v/>
      </c>
      <c r="AM1020" s="83" t="str">
        <f aca="false">IF(E1020="","",IF(R1020="","À SOUDER",IF(U1020="","VT EN ATTENTE",IF(U1020="R","VT REJETÉ – À REPRENDRE",IF(AL1020="","À RADIOGRAPHIER",IF(AL1020="A","ACCEPTÉ",IF(AL1020="NX","NX – RT À REFAIRE",IF(IF(AK1020=1,Z1020,IF(AK1020=2,AE1020,""))="A","RÉPARÉ – À RADIOGRAPHIER",IF(IF(AK1020=1,Z1020,IF(AK1020=2,AE1020,""))="R","VT REJETÉ – À REPRENDRE",IF(OR(AL1020="CO",AL1020="NT"),"COUPE – À RESOUDER","À RÉPARER"))))))))))</f>
        <v/>
      </c>
      <c r="AN1020" s="81" t="str">
        <f aca="false">IF(AND(ISNUMBER(R1020),OR(AM1020="À RADIOGRAPHIER",AM1020="RÉPARÉ – À RADIOGRAPHIER",AM1020="NX – RT À REFAIRE",AM1020="À RÉPARER",AM1020="COUPE – À RESOUDER",AM1020="VT REJETÉ – À REPRENDRE")),MAX(0,'PROGRAMME RT'!$C$4-R1020),"")</f>
        <v/>
      </c>
      <c r="AO1020" s="78" t="n">
        <f aca="false">IF(AND(OR(AM1020="À RADIOGRAPHIER",AM1020="RÉPARÉ – À RADIOGRAPHIER",AM1020="NX – RT À REFAIRE"),OR('PROGRAMME RT'!$D$5="TOUTES",B1020='PROGRAMME RT'!$D$5)),1,0)</f>
        <v>0</v>
      </c>
      <c r="AP1020" s="78" t="str">
        <f aca="false">IF(AO1020=1,SUM(AO$7:AO1020),"")</f>
        <v/>
      </c>
      <c r="AQ1020" s="78" t="n">
        <f aca="false">IF(AND(OR(X1020="R",X1020="NX",X1020="NT",X1020="CO"),OR('JOINTS DE RÉPARATION'!$D$5="TOUTES",B1020='JOINTS DE RÉPARATION'!$D$5),OR('JOINTS DE RÉPARATION'!$L$4="TOUS",AM1020&lt;&gt;"ACCEPTÉ")),1,0)</f>
        <v>0</v>
      </c>
      <c r="AR1020" s="78" t="str">
        <f aca="false">IF(AQ1020=1,SUM(AQ$7:AQ1020),"")</f>
        <v/>
      </c>
    </row>
    <row r="1021" customFormat="false" ht="15" hidden="false" customHeight="false" outlineLevel="0" collapsed="false">
      <c r="A1021" s="78" t="str">
        <f aca="false">IF(E1021="","",ROW()-6)</f>
        <v/>
      </c>
      <c r="B1021" s="79"/>
      <c r="C1021" s="80"/>
      <c r="D1021" s="80"/>
      <c r="E1021" s="80"/>
      <c r="F1021" s="80"/>
      <c r="G1021" s="80"/>
      <c r="H1021" s="80"/>
      <c r="I1021" s="80"/>
      <c r="J1021" s="80"/>
      <c r="K1021" s="80"/>
      <c r="L1021" s="81" t="str">
        <f aca="false">IF(K1021="","",IFERROR(INDEX(BARDAGE!$C$7:$C$1506,MATCH(K1021,BARDAGE!$B$7:$B$1506,0)),"? hors registre"))</f>
        <v/>
      </c>
      <c r="M1021" s="80"/>
      <c r="N1021" s="81" t="str">
        <f aca="false">IF(M1021="","",IFERROR(INDEX(BARDAGE!$C$7:$C$1506,MATCH(M1021,BARDAGE!$B$7:$B$1506,0)),"? hors registre"))</f>
        <v/>
      </c>
      <c r="O1021" s="80"/>
      <c r="P1021" s="80"/>
      <c r="Q1021" s="80"/>
      <c r="R1021" s="82"/>
      <c r="S1021" s="82"/>
      <c r="T1021" s="80"/>
      <c r="U1021" s="80"/>
      <c r="V1021" s="82"/>
      <c r="W1021" s="80"/>
      <c r="X1021" s="80"/>
      <c r="Y1021" s="80"/>
      <c r="Z1021" s="80"/>
      <c r="AA1021" s="82"/>
      <c r="AB1021" s="80"/>
      <c r="AC1021" s="80"/>
      <c r="AD1021" s="80"/>
      <c r="AE1021" s="80"/>
      <c r="AF1021" s="82"/>
      <c r="AG1021" s="80"/>
      <c r="AH1021" s="80"/>
      <c r="AI1021" s="82"/>
      <c r="AJ1021" s="79"/>
      <c r="AK1021" s="78" t="str">
        <f aca="false">IF(E1021="","",(X1021&lt;&gt;"")+(AC1021&lt;&gt;"")+(AH1021&lt;&gt;""))</f>
        <v/>
      </c>
      <c r="AL1021" s="81" t="str">
        <f aca="false">IF(AH1021&lt;&gt;"",AH1021,IF(AC1021&lt;&gt;"",AC1021,IF(X1021&lt;&gt;"",X1021,"")))</f>
        <v/>
      </c>
      <c r="AM1021" s="83" t="str">
        <f aca="false">IF(E1021="","",IF(R1021="","À SOUDER",IF(U1021="","VT EN ATTENTE",IF(U1021="R","VT REJETÉ – À REPRENDRE",IF(AL1021="","À RADIOGRAPHIER",IF(AL1021="A","ACCEPTÉ",IF(AL1021="NX","NX – RT À REFAIRE",IF(IF(AK1021=1,Z1021,IF(AK1021=2,AE1021,""))="A","RÉPARÉ – À RADIOGRAPHIER",IF(IF(AK1021=1,Z1021,IF(AK1021=2,AE1021,""))="R","VT REJETÉ – À REPRENDRE",IF(OR(AL1021="CO",AL1021="NT"),"COUPE – À RESOUDER","À RÉPARER"))))))))))</f>
        <v/>
      </c>
      <c r="AN1021" s="81" t="str">
        <f aca="false">IF(AND(ISNUMBER(R1021),OR(AM1021="À RADIOGRAPHIER",AM1021="RÉPARÉ – À RADIOGRAPHIER",AM1021="NX – RT À REFAIRE",AM1021="À RÉPARER",AM1021="COUPE – À RESOUDER",AM1021="VT REJETÉ – À REPRENDRE")),MAX(0,'PROGRAMME RT'!$C$4-R1021),"")</f>
        <v/>
      </c>
      <c r="AO1021" s="78" t="n">
        <f aca="false">IF(AND(OR(AM1021="À RADIOGRAPHIER",AM1021="RÉPARÉ – À RADIOGRAPHIER",AM1021="NX – RT À REFAIRE"),OR('PROGRAMME RT'!$D$5="TOUTES",B1021='PROGRAMME RT'!$D$5)),1,0)</f>
        <v>0</v>
      </c>
      <c r="AP1021" s="78" t="str">
        <f aca="false">IF(AO1021=1,SUM(AO$7:AO1021),"")</f>
        <v/>
      </c>
      <c r="AQ1021" s="78" t="n">
        <f aca="false">IF(AND(OR(X1021="R",X1021="NX",X1021="NT",X1021="CO"),OR('JOINTS DE RÉPARATION'!$D$5="TOUTES",B1021='JOINTS DE RÉPARATION'!$D$5),OR('JOINTS DE RÉPARATION'!$L$4="TOUS",AM1021&lt;&gt;"ACCEPTÉ")),1,0)</f>
        <v>0</v>
      </c>
      <c r="AR1021" s="78" t="str">
        <f aca="false">IF(AQ1021=1,SUM(AQ$7:AQ1021),"")</f>
        <v/>
      </c>
    </row>
    <row r="1022" customFormat="false" ht="15" hidden="false" customHeight="false" outlineLevel="0" collapsed="false">
      <c r="A1022" s="78" t="str">
        <f aca="false">IF(E1022="","",ROW()-6)</f>
        <v/>
      </c>
      <c r="B1022" s="79"/>
      <c r="C1022" s="80"/>
      <c r="D1022" s="80"/>
      <c r="E1022" s="80"/>
      <c r="F1022" s="80"/>
      <c r="G1022" s="80"/>
      <c r="H1022" s="80"/>
      <c r="I1022" s="80"/>
      <c r="J1022" s="80"/>
      <c r="K1022" s="80"/>
      <c r="L1022" s="81" t="str">
        <f aca="false">IF(K1022="","",IFERROR(INDEX(BARDAGE!$C$7:$C$1506,MATCH(K1022,BARDAGE!$B$7:$B$1506,0)),"? hors registre"))</f>
        <v/>
      </c>
      <c r="M1022" s="80"/>
      <c r="N1022" s="81" t="str">
        <f aca="false">IF(M1022="","",IFERROR(INDEX(BARDAGE!$C$7:$C$1506,MATCH(M1022,BARDAGE!$B$7:$B$1506,0)),"? hors registre"))</f>
        <v/>
      </c>
      <c r="O1022" s="80"/>
      <c r="P1022" s="80"/>
      <c r="Q1022" s="80"/>
      <c r="R1022" s="82"/>
      <c r="S1022" s="82"/>
      <c r="T1022" s="80"/>
      <c r="U1022" s="80"/>
      <c r="V1022" s="82"/>
      <c r="W1022" s="80"/>
      <c r="X1022" s="80"/>
      <c r="Y1022" s="80"/>
      <c r="Z1022" s="80"/>
      <c r="AA1022" s="82"/>
      <c r="AB1022" s="80"/>
      <c r="AC1022" s="80"/>
      <c r="AD1022" s="80"/>
      <c r="AE1022" s="80"/>
      <c r="AF1022" s="82"/>
      <c r="AG1022" s="80"/>
      <c r="AH1022" s="80"/>
      <c r="AI1022" s="82"/>
      <c r="AJ1022" s="79"/>
      <c r="AK1022" s="78" t="str">
        <f aca="false">IF(E1022="","",(X1022&lt;&gt;"")+(AC1022&lt;&gt;"")+(AH1022&lt;&gt;""))</f>
        <v/>
      </c>
      <c r="AL1022" s="81" t="str">
        <f aca="false">IF(AH1022&lt;&gt;"",AH1022,IF(AC1022&lt;&gt;"",AC1022,IF(X1022&lt;&gt;"",X1022,"")))</f>
        <v/>
      </c>
      <c r="AM1022" s="83" t="str">
        <f aca="false">IF(E1022="","",IF(R1022="","À SOUDER",IF(U1022="","VT EN ATTENTE",IF(U1022="R","VT REJETÉ – À REPRENDRE",IF(AL1022="","À RADIOGRAPHIER",IF(AL1022="A","ACCEPTÉ",IF(AL1022="NX","NX – RT À REFAIRE",IF(IF(AK1022=1,Z1022,IF(AK1022=2,AE1022,""))="A","RÉPARÉ – À RADIOGRAPHIER",IF(IF(AK1022=1,Z1022,IF(AK1022=2,AE1022,""))="R","VT REJETÉ – À REPRENDRE",IF(OR(AL1022="CO",AL1022="NT"),"COUPE – À RESOUDER","À RÉPARER"))))))))))</f>
        <v/>
      </c>
      <c r="AN1022" s="81" t="str">
        <f aca="false">IF(AND(ISNUMBER(R1022),OR(AM1022="À RADIOGRAPHIER",AM1022="RÉPARÉ – À RADIOGRAPHIER",AM1022="NX – RT À REFAIRE",AM1022="À RÉPARER",AM1022="COUPE – À RESOUDER",AM1022="VT REJETÉ – À REPRENDRE")),MAX(0,'PROGRAMME RT'!$C$4-R1022),"")</f>
        <v/>
      </c>
      <c r="AO1022" s="78" t="n">
        <f aca="false">IF(AND(OR(AM1022="À RADIOGRAPHIER",AM1022="RÉPARÉ – À RADIOGRAPHIER",AM1022="NX – RT À REFAIRE"),OR('PROGRAMME RT'!$D$5="TOUTES",B1022='PROGRAMME RT'!$D$5)),1,0)</f>
        <v>0</v>
      </c>
      <c r="AP1022" s="78" t="str">
        <f aca="false">IF(AO1022=1,SUM(AO$7:AO1022),"")</f>
        <v/>
      </c>
      <c r="AQ1022" s="78" t="n">
        <f aca="false">IF(AND(OR(X1022="R",X1022="NX",X1022="NT",X1022="CO"),OR('JOINTS DE RÉPARATION'!$D$5="TOUTES",B1022='JOINTS DE RÉPARATION'!$D$5),OR('JOINTS DE RÉPARATION'!$L$4="TOUS",AM1022&lt;&gt;"ACCEPTÉ")),1,0)</f>
        <v>0</v>
      </c>
      <c r="AR1022" s="78" t="str">
        <f aca="false">IF(AQ1022=1,SUM(AQ$7:AQ1022),"")</f>
        <v/>
      </c>
    </row>
    <row r="1023" customFormat="false" ht="15" hidden="false" customHeight="false" outlineLevel="0" collapsed="false">
      <c r="A1023" s="78" t="str">
        <f aca="false">IF(E1023="","",ROW()-6)</f>
        <v/>
      </c>
      <c r="B1023" s="79"/>
      <c r="C1023" s="80"/>
      <c r="D1023" s="80"/>
      <c r="E1023" s="80"/>
      <c r="F1023" s="80"/>
      <c r="G1023" s="80"/>
      <c r="H1023" s="80"/>
      <c r="I1023" s="80"/>
      <c r="J1023" s="80"/>
      <c r="K1023" s="80"/>
      <c r="L1023" s="81" t="str">
        <f aca="false">IF(K1023="","",IFERROR(INDEX(BARDAGE!$C$7:$C$1506,MATCH(K1023,BARDAGE!$B$7:$B$1506,0)),"? hors registre"))</f>
        <v/>
      </c>
      <c r="M1023" s="80"/>
      <c r="N1023" s="81" t="str">
        <f aca="false">IF(M1023="","",IFERROR(INDEX(BARDAGE!$C$7:$C$1506,MATCH(M1023,BARDAGE!$B$7:$B$1506,0)),"? hors registre"))</f>
        <v/>
      </c>
      <c r="O1023" s="80"/>
      <c r="P1023" s="80"/>
      <c r="Q1023" s="80"/>
      <c r="R1023" s="82"/>
      <c r="S1023" s="82"/>
      <c r="T1023" s="80"/>
      <c r="U1023" s="80"/>
      <c r="V1023" s="82"/>
      <c r="W1023" s="80"/>
      <c r="X1023" s="80"/>
      <c r="Y1023" s="80"/>
      <c r="Z1023" s="80"/>
      <c r="AA1023" s="82"/>
      <c r="AB1023" s="80"/>
      <c r="AC1023" s="80"/>
      <c r="AD1023" s="80"/>
      <c r="AE1023" s="80"/>
      <c r="AF1023" s="82"/>
      <c r="AG1023" s="80"/>
      <c r="AH1023" s="80"/>
      <c r="AI1023" s="82"/>
      <c r="AJ1023" s="79"/>
      <c r="AK1023" s="78" t="str">
        <f aca="false">IF(E1023="","",(X1023&lt;&gt;"")+(AC1023&lt;&gt;"")+(AH1023&lt;&gt;""))</f>
        <v/>
      </c>
      <c r="AL1023" s="81" t="str">
        <f aca="false">IF(AH1023&lt;&gt;"",AH1023,IF(AC1023&lt;&gt;"",AC1023,IF(X1023&lt;&gt;"",X1023,"")))</f>
        <v/>
      </c>
      <c r="AM1023" s="83" t="str">
        <f aca="false">IF(E1023="","",IF(R1023="","À SOUDER",IF(U1023="","VT EN ATTENTE",IF(U1023="R","VT REJETÉ – À REPRENDRE",IF(AL1023="","À RADIOGRAPHIER",IF(AL1023="A","ACCEPTÉ",IF(AL1023="NX","NX – RT À REFAIRE",IF(IF(AK1023=1,Z1023,IF(AK1023=2,AE1023,""))="A","RÉPARÉ – À RADIOGRAPHIER",IF(IF(AK1023=1,Z1023,IF(AK1023=2,AE1023,""))="R","VT REJETÉ – À REPRENDRE",IF(OR(AL1023="CO",AL1023="NT"),"COUPE – À RESOUDER","À RÉPARER"))))))))))</f>
        <v/>
      </c>
      <c r="AN1023" s="81" t="str">
        <f aca="false">IF(AND(ISNUMBER(R1023),OR(AM1023="À RADIOGRAPHIER",AM1023="RÉPARÉ – À RADIOGRAPHIER",AM1023="NX – RT À REFAIRE",AM1023="À RÉPARER",AM1023="COUPE – À RESOUDER",AM1023="VT REJETÉ – À REPRENDRE")),MAX(0,'PROGRAMME RT'!$C$4-R1023),"")</f>
        <v/>
      </c>
      <c r="AO1023" s="78" t="n">
        <f aca="false">IF(AND(OR(AM1023="À RADIOGRAPHIER",AM1023="RÉPARÉ – À RADIOGRAPHIER",AM1023="NX – RT À REFAIRE"),OR('PROGRAMME RT'!$D$5="TOUTES",B1023='PROGRAMME RT'!$D$5)),1,0)</f>
        <v>0</v>
      </c>
      <c r="AP1023" s="78" t="str">
        <f aca="false">IF(AO1023=1,SUM(AO$7:AO1023),"")</f>
        <v/>
      </c>
      <c r="AQ1023" s="78" t="n">
        <f aca="false">IF(AND(OR(X1023="R",X1023="NX",X1023="NT",X1023="CO"),OR('JOINTS DE RÉPARATION'!$D$5="TOUTES",B1023='JOINTS DE RÉPARATION'!$D$5),OR('JOINTS DE RÉPARATION'!$L$4="TOUS",AM1023&lt;&gt;"ACCEPTÉ")),1,0)</f>
        <v>0</v>
      </c>
      <c r="AR1023" s="78" t="str">
        <f aca="false">IF(AQ1023=1,SUM(AQ$7:AQ1023),"")</f>
        <v/>
      </c>
    </row>
    <row r="1024" customFormat="false" ht="15" hidden="false" customHeight="false" outlineLevel="0" collapsed="false">
      <c r="A1024" s="78" t="str">
        <f aca="false">IF(E1024="","",ROW()-6)</f>
        <v/>
      </c>
      <c r="B1024" s="79"/>
      <c r="C1024" s="80"/>
      <c r="D1024" s="80"/>
      <c r="E1024" s="80"/>
      <c r="F1024" s="80"/>
      <c r="G1024" s="80"/>
      <c r="H1024" s="80"/>
      <c r="I1024" s="80"/>
      <c r="J1024" s="80"/>
      <c r="K1024" s="80"/>
      <c r="L1024" s="81" t="str">
        <f aca="false">IF(K1024="","",IFERROR(INDEX(BARDAGE!$C$7:$C$1506,MATCH(K1024,BARDAGE!$B$7:$B$1506,0)),"? hors registre"))</f>
        <v/>
      </c>
      <c r="M1024" s="80"/>
      <c r="N1024" s="81" t="str">
        <f aca="false">IF(M1024="","",IFERROR(INDEX(BARDAGE!$C$7:$C$1506,MATCH(M1024,BARDAGE!$B$7:$B$1506,0)),"? hors registre"))</f>
        <v/>
      </c>
      <c r="O1024" s="80"/>
      <c r="P1024" s="80"/>
      <c r="Q1024" s="80"/>
      <c r="R1024" s="82"/>
      <c r="S1024" s="82"/>
      <c r="T1024" s="80"/>
      <c r="U1024" s="80"/>
      <c r="V1024" s="82"/>
      <c r="W1024" s="80"/>
      <c r="X1024" s="80"/>
      <c r="Y1024" s="80"/>
      <c r="Z1024" s="80"/>
      <c r="AA1024" s="82"/>
      <c r="AB1024" s="80"/>
      <c r="AC1024" s="80"/>
      <c r="AD1024" s="80"/>
      <c r="AE1024" s="80"/>
      <c r="AF1024" s="82"/>
      <c r="AG1024" s="80"/>
      <c r="AH1024" s="80"/>
      <c r="AI1024" s="82"/>
      <c r="AJ1024" s="79"/>
      <c r="AK1024" s="78" t="str">
        <f aca="false">IF(E1024="","",(X1024&lt;&gt;"")+(AC1024&lt;&gt;"")+(AH1024&lt;&gt;""))</f>
        <v/>
      </c>
      <c r="AL1024" s="81" t="str">
        <f aca="false">IF(AH1024&lt;&gt;"",AH1024,IF(AC1024&lt;&gt;"",AC1024,IF(X1024&lt;&gt;"",X1024,"")))</f>
        <v/>
      </c>
      <c r="AM1024" s="83" t="str">
        <f aca="false">IF(E1024="","",IF(R1024="","À SOUDER",IF(U1024="","VT EN ATTENTE",IF(U1024="R","VT REJETÉ – À REPRENDRE",IF(AL1024="","À RADIOGRAPHIER",IF(AL1024="A","ACCEPTÉ",IF(AL1024="NX","NX – RT À REFAIRE",IF(IF(AK1024=1,Z1024,IF(AK1024=2,AE1024,""))="A","RÉPARÉ – À RADIOGRAPHIER",IF(IF(AK1024=1,Z1024,IF(AK1024=2,AE1024,""))="R","VT REJETÉ – À REPRENDRE",IF(OR(AL1024="CO",AL1024="NT"),"COUPE – À RESOUDER","À RÉPARER"))))))))))</f>
        <v/>
      </c>
      <c r="AN1024" s="81" t="str">
        <f aca="false">IF(AND(ISNUMBER(R1024),OR(AM1024="À RADIOGRAPHIER",AM1024="RÉPARÉ – À RADIOGRAPHIER",AM1024="NX – RT À REFAIRE",AM1024="À RÉPARER",AM1024="COUPE – À RESOUDER",AM1024="VT REJETÉ – À REPRENDRE")),MAX(0,'PROGRAMME RT'!$C$4-R1024),"")</f>
        <v/>
      </c>
      <c r="AO1024" s="78" t="n">
        <f aca="false">IF(AND(OR(AM1024="À RADIOGRAPHIER",AM1024="RÉPARÉ – À RADIOGRAPHIER",AM1024="NX – RT À REFAIRE"),OR('PROGRAMME RT'!$D$5="TOUTES",B1024='PROGRAMME RT'!$D$5)),1,0)</f>
        <v>0</v>
      </c>
      <c r="AP1024" s="78" t="str">
        <f aca="false">IF(AO1024=1,SUM(AO$7:AO1024),"")</f>
        <v/>
      </c>
      <c r="AQ1024" s="78" t="n">
        <f aca="false">IF(AND(OR(X1024="R",X1024="NX",X1024="NT",X1024="CO"),OR('JOINTS DE RÉPARATION'!$D$5="TOUTES",B1024='JOINTS DE RÉPARATION'!$D$5),OR('JOINTS DE RÉPARATION'!$L$4="TOUS",AM1024&lt;&gt;"ACCEPTÉ")),1,0)</f>
        <v>0</v>
      </c>
      <c r="AR1024" s="78" t="str">
        <f aca="false">IF(AQ1024=1,SUM(AQ$7:AQ1024),"")</f>
        <v/>
      </c>
    </row>
    <row r="1025" customFormat="false" ht="15" hidden="false" customHeight="false" outlineLevel="0" collapsed="false">
      <c r="A1025" s="78" t="str">
        <f aca="false">IF(E1025="","",ROW()-6)</f>
        <v/>
      </c>
      <c r="B1025" s="79"/>
      <c r="C1025" s="80"/>
      <c r="D1025" s="80"/>
      <c r="E1025" s="80"/>
      <c r="F1025" s="80"/>
      <c r="G1025" s="80"/>
      <c r="H1025" s="80"/>
      <c r="I1025" s="80"/>
      <c r="J1025" s="80"/>
      <c r="K1025" s="80"/>
      <c r="L1025" s="81" t="str">
        <f aca="false">IF(K1025="","",IFERROR(INDEX(BARDAGE!$C$7:$C$1506,MATCH(K1025,BARDAGE!$B$7:$B$1506,0)),"? hors registre"))</f>
        <v/>
      </c>
      <c r="M1025" s="80"/>
      <c r="N1025" s="81" t="str">
        <f aca="false">IF(M1025="","",IFERROR(INDEX(BARDAGE!$C$7:$C$1506,MATCH(M1025,BARDAGE!$B$7:$B$1506,0)),"? hors registre"))</f>
        <v/>
      </c>
      <c r="O1025" s="80"/>
      <c r="P1025" s="80"/>
      <c r="Q1025" s="80"/>
      <c r="R1025" s="82"/>
      <c r="S1025" s="82"/>
      <c r="T1025" s="80"/>
      <c r="U1025" s="80"/>
      <c r="V1025" s="82"/>
      <c r="W1025" s="80"/>
      <c r="X1025" s="80"/>
      <c r="Y1025" s="80"/>
      <c r="Z1025" s="80"/>
      <c r="AA1025" s="82"/>
      <c r="AB1025" s="80"/>
      <c r="AC1025" s="80"/>
      <c r="AD1025" s="80"/>
      <c r="AE1025" s="80"/>
      <c r="AF1025" s="82"/>
      <c r="AG1025" s="80"/>
      <c r="AH1025" s="80"/>
      <c r="AI1025" s="82"/>
      <c r="AJ1025" s="79"/>
      <c r="AK1025" s="78" t="str">
        <f aca="false">IF(E1025="","",(X1025&lt;&gt;"")+(AC1025&lt;&gt;"")+(AH1025&lt;&gt;""))</f>
        <v/>
      </c>
      <c r="AL1025" s="81" t="str">
        <f aca="false">IF(AH1025&lt;&gt;"",AH1025,IF(AC1025&lt;&gt;"",AC1025,IF(X1025&lt;&gt;"",X1025,"")))</f>
        <v/>
      </c>
      <c r="AM1025" s="83" t="str">
        <f aca="false">IF(E1025="","",IF(R1025="","À SOUDER",IF(U1025="","VT EN ATTENTE",IF(U1025="R","VT REJETÉ – À REPRENDRE",IF(AL1025="","À RADIOGRAPHIER",IF(AL1025="A","ACCEPTÉ",IF(AL1025="NX","NX – RT À REFAIRE",IF(IF(AK1025=1,Z1025,IF(AK1025=2,AE1025,""))="A","RÉPARÉ – À RADIOGRAPHIER",IF(IF(AK1025=1,Z1025,IF(AK1025=2,AE1025,""))="R","VT REJETÉ – À REPRENDRE",IF(OR(AL1025="CO",AL1025="NT"),"COUPE – À RESOUDER","À RÉPARER"))))))))))</f>
        <v/>
      </c>
      <c r="AN1025" s="81" t="str">
        <f aca="false">IF(AND(ISNUMBER(R1025),OR(AM1025="À RADIOGRAPHIER",AM1025="RÉPARÉ – À RADIOGRAPHIER",AM1025="NX – RT À REFAIRE",AM1025="À RÉPARER",AM1025="COUPE – À RESOUDER",AM1025="VT REJETÉ – À REPRENDRE")),MAX(0,'PROGRAMME RT'!$C$4-R1025),"")</f>
        <v/>
      </c>
      <c r="AO1025" s="78" t="n">
        <f aca="false">IF(AND(OR(AM1025="À RADIOGRAPHIER",AM1025="RÉPARÉ – À RADIOGRAPHIER",AM1025="NX – RT À REFAIRE"),OR('PROGRAMME RT'!$D$5="TOUTES",B1025='PROGRAMME RT'!$D$5)),1,0)</f>
        <v>0</v>
      </c>
      <c r="AP1025" s="78" t="str">
        <f aca="false">IF(AO1025=1,SUM(AO$7:AO1025),"")</f>
        <v/>
      </c>
      <c r="AQ1025" s="78" t="n">
        <f aca="false">IF(AND(OR(X1025="R",X1025="NX",X1025="NT",X1025="CO"),OR('JOINTS DE RÉPARATION'!$D$5="TOUTES",B1025='JOINTS DE RÉPARATION'!$D$5),OR('JOINTS DE RÉPARATION'!$L$4="TOUS",AM1025&lt;&gt;"ACCEPTÉ")),1,0)</f>
        <v>0</v>
      </c>
      <c r="AR1025" s="78" t="str">
        <f aca="false">IF(AQ1025=1,SUM(AQ$7:AQ1025),"")</f>
        <v/>
      </c>
    </row>
    <row r="1026" customFormat="false" ht="15" hidden="false" customHeight="false" outlineLevel="0" collapsed="false">
      <c r="A1026" s="78" t="str">
        <f aca="false">IF(E1026="","",ROW()-6)</f>
        <v/>
      </c>
      <c r="B1026" s="79"/>
      <c r="C1026" s="80"/>
      <c r="D1026" s="80"/>
      <c r="E1026" s="80"/>
      <c r="F1026" s="80"/>
      <c r="G1026" s="80"/>
      <c r="H1026" s="80"/>
      <c r="I1026" s="80"/>
      <c r="J1026" s="80"/>
      <c r="K1026" s="80"/>
      <c r="L1026" s="81" t="str">
        <f aca="false">IF(K1026="","",IFERROR(INDEX(BARDAGE!$C$7:$C$1506,MATCH(K1026,BARDAGE!$B$7:$B$1506,0)),"? hors registre"))</f>
        <v/>
      </c>
      <c r="M1026" s="80"/>
      <c r="N1026" s="81" t="str">
        <f aca="false">IF(M1026="","",IFERROR(INDEX(BARDAGE!$C$7:$C$1506,MATCH(M1026,BARDAGE!$B$7:$B$1506,0)),"? hors registre"))</f>
        <v/>
      </c>
      <c r="O1026" s="80"/>
      <c r="P1026" s="80"/>
      <c r="Q1026" s="80"/>
      <c r="R1026" s="82"/>
      <c r="S1026" s="82"/>
      <c r="T1026" s="80"/>
      <c r="U1026" s="80"/>
      <c r="V1026" s="82"/>
      <c r="W1026" s="80"/>
      <c r="X1026" s="80"/>
      <c r="Y1026" s="80"/>
      <c r="Z1026" s="80"/>
      <c r="AA1026" s="82"/>
      <c r="AB1026" s="80"/>
      <c r="AC1026" s="80"/>
      <c r="AD1026" s="80"/>
      <c r="AE1026" s="80"/>
      <c r="AF1026" s="82"/>
      <c r="AG1026" s="80"/>
      <c r="AH1026" s="80"/>
      <c r="AI1026" s="82"/>
      <c r="AJ1026" s="79"/>
      <c r="AK1026" s="78" t="str">
        <f aca="false">IF(E1026="","",(X1026&lt;&gt;"")+(AC1026&lt;&gt;"")+(AH1026&lt;&gt;""))</f>
        <v/>
      </c>
      <c r="AL1026" s="81" t="str">
        <f aca="false">IF(AH1026&lt;&gt;"",AH1026,IF(AC1026&lt;&gt;"",AC1026,IF(X1026&lt;&gt;"",X1026,"")))</f>
        <v/>
      </c>
      <c r="AM1026" s="83" t="str">
        <f aca="false">IF(E1026="","",IF(R1026="","À SOUDER",IF(U1026="","VT EN ATTENTE",IF(U1026="R","VT REJETÉ – À REPRENDRE",IF(AL1026="","À RADIOGRAPHIER",IF(AL1026="A","ACCEPTÉ",IF(AL1026="NX","NX – RT À REFAIRE",IF(IF(AK1026=1,Z1026,IF(AK1026=2,AE1026,""))="A","RÉPARÉ – À RADIOGRAPHIER",IF(IF(AK1026=1,Z1026,IF(AK1026=2,AE1026,""))="R","VT REJETÉ – À REPRENDRE",IF(OR(AL1026="CO",AL1026="NT"),"COUPE – À RESOUDER","À RÉPARER"))))))))))</f>
        <v/>
      </c>
      <c r="AN1026" s="81" t="str">
        <f aca="false">IF(AND(ISNUMBER(R1026),OR(AM1026="À RADIOGRAPHIER",AM1026="RÉPARÉ – À RADIOGRAPHIER",AM1026="NX – RT À REFAIRE",AM1026="À RÉPARER",AM1026="COUPE – À RESOUDER",AM1026="VT REJETÉ – À REPRENDRE")),MAX(0,'PROGRAMME RT'!$C$4-R1026),"")</f>
        <v/>
      </c>
      <c r="AO1026" s="78" t="n">
        <f aca="false">IF(AND(OR(AM1026="À RADIOGRAPHIER",AM1026="RÉPARÉ – À RADIOGRAPHIER",AM1026="NX – RT À REFAIRE"),OR('PROGRAMME RT'!$D$5="TOUTES",B1026='PROGRAMME RT'!$D$5)),1,0)</f>
        <v>0</v>
      </c>
      <c r="AP1026" s="78" t="str">
        <f aca="false">IF(AO1026=1,SUM(AO$7:AO1026),"")</f>
        <v/>
      </c>
      <c r="AQ1026" s="78" t="n">
        <f aca="false">IF(AND(OR(X1026="R",X1026="NX",X1026="NT",X1026="CO"),OR('JOINTS DE RÉPARATION'!$D$5="TOUTES",B1026='JOINTS DE RÉPARATION'!$D$5),OR('JOINTS DE RÉPARATION'!$L$4="TOUS",AM1026&lt;&gt;"ACCEPTÉ")),1,0)</f>
        <v>0</v>
      </c>
      <c r="AR1026" s="78" t="str">
        <f aca="false">IF(AQ1026=1,SUM(AQ$7:AQ1026),"")</f>
        <v/>
      </c>
    </row>
    <row r="1027" customFormat="false" ht="15" hidden="false" customHeight="false" outlineLevel="0" collapsed="false">
      <c r="A1027" s="78" t="str">
        <f aca="false">IF(E1027="","",ROW()-6)</f>
        <v/>
      </c>
      <c r="B1027" s="79"/>
      <c r="C1027" s="80"/>
      <c r="D1027" s="80"/>
      <c r="E1027" s="80"/>
      <c r="F1027" s="80"/>
      <c r="G1027" s="80"/>
      <c r="H1027" s="80"/>
      <c r="I1027" s="80"/>
      <c r="J1027" s="80"/>
      <c r="K1027" s="80"/>
      <c r="L1027" s="81" t="str">
        <f aca="false">IF(K1027="","",IFERROR(INDEX(BARDAGE!$C$7:$C$1506,MATCH(K1027,BARDAGE!$B$7:$B$1506,0)),"? hors registre"))</f>
        <v/>
      </c>
      <c r="M1027" s="80"/>
      <c r="N1027" s="81" t="str">
        <f aca="false">IF(M1027="","",IFERROR(INDEX(BARDAGE!$C$7:$C$1506,MATCH(M1027,BARDAGE!$B$7:$B$1506,0)),"? hors registre"))</f>
        <v/>
      </c>
      <c r="O1027" s="80"/>
      <c r="P1027" s="80"/>
      <c r="Q1027" s="80"/>
      <c r="R1027" s="82"/>
      <c r="S1027" s="82"/>
      <c r="T1027" s="80"/>
      <c r="U1027" s="80"/>
      <c r="V1027" s="82"/>
      <c r="W1027" s="80"/>
      <c r="X1027" s="80"/>
      <c r="Y1027" s="80"/>
      <c r="Z1027" s="80"/>
      <c r="AA1027" s="82"/>
      <c r="AB1027" s="80"/>
      <c r="AC1027" s="80"/>
      <c r="AD1027" s="80"/>
      <c r="AE1027" s="80"/>
      <c r="AF1027" s="82"/>
      <c r="AG1027" s="80"/>
      <c r="AH1027" s="80"/>
      <c r="AI1027" s="82"/>
      <c r="AJ1027" s="79"/>
      <c r="AK1027" s="78" t="str">
        <f aca="false">IF(E1027="","",(X1027&lt;&gt;"")+(AC1027&lt;&gt;"")+(AH1027&lt;&gt;""))</f>
        <v/>
      </c>
      <c r="AL1027" s="81" t="str">
        <f aca="false">IF(AH1027&lt;&gt;"",AH1027,IF(AC1027&lt;&gt;"",AC1027,IF(X1027&lt;&gt;"",X1027,"")))</f>
        <v/>
      </c>
      <c r="AM1027" s="83" t="str">
        <f aca="false">IF(E1027="","",IF(R1027="","À SOUDER",IF(U1027="","VT EN ATTENTE",IF(U1027="R","VT REJETÉ – À REPRENDRE",IF(AL1027="","À RADIOGRAPHIER",IF(AL1027="A","ACCEPTÉ",IF(AL1027="NX","NX – RT À REFAIRE",IF(IF(AK1027=1,Z1027,IF(AK1027=2,AE1027,""))="A","RÉPARÉ – À RADIOGRAPHIER",IF(IF(AK1027=1,Z1027,IF(AK1027=2,AE1027,""))="R","VT REJETÉ – À REPRENDRE",IF(OR(AL1027="CO",AL1027="NT"),"COUPE – À RESOUDER","À RÉPARER"))))))))))</f>
        <v/>
      </c>
      <c r="AN1027" s="81" t="str">
        <f aca="false">IF(AND(ISNUMBER(R1027),OR(AM1027="À RADIOGRAPHIER",AM1027="RÉPARÉ – À RADIOGRAPHIER",AM1027="NX – RT À REFAIRE",AM1027="À RÉPARER",AM1027="COUPE – À RESOUDER",AM1027="VT REJETÉ – À REPRENDRE")),MAX(0,'PROGRAMME RT'!$C$4-R1027),"")</f>
        <v/>
      </c>
      <c r="AO1027" s="78" t="n">
        <f aca="false">IF(AND(OR(AM1027="À RADIOGRAPHIER",AM1027="RÉPARÉ – À RADIOGRAPHIER",AM1027="NX – RT À REFAIRE"),OR('PROGRAMME RT'!$D$5="TOUTES",B1027='PROGRAMME RT'!$D$5)),1,0)</f>
        <v>0</v>
      </c>
      <c r="AP1027" s="78" t="str">
        <f aca="false">IF(AO1027=1,SUM(AO$7:AO1027),"")</f>
        <v/>
      </c>
      <c r="AQ1027" s="78" t="n">
        <f aca="false">IF(AND(OR(X1027="R",X1027="NX",X1027="NT",X1027="CO"),OR('JOINTS DE RÉPARATION'!$D$5="TOUTES",B1027='JOINTS DE RÉPARATION'!$D$5),OR('JOINTS DE RÉPARATION'!$L$4="TOUS",AM1027&lt;&gt;"ACCEPTÉ")),1,0)</f>
        <v>0</v>
      </c>
      <c r="AR1027" s="78" t="str">
        <f aca="false">IF(AQ1027=1,SUM(AQ$7:AQ1027),"")</f>
        <v/>
      </c>
    </row>
    <row r="1028" customFormat="false" ht="15" hidden="false" customHeight="false" outlineLevel="0" collapsed="false">
      <c r="A1028" s="78" t="str">
        <f aca="false">IF(E1028="","",ROW()-6)</f>
        <v/>
      </c>
      <c r="B1028" s="79"/>
      <c r="C1028" s="80"/>
      <c r="D1028" s="80"/>
      <c r="E1028" s="80"/>
      <c r="F1028" s="80"/>
      <c r="G1028" s="80"/>
      <c r="H1028" s="80"/>
      <c r="I1028" s="80"/>
      <c r="J1028" s="80"/>
      <c r="K1028" s="80"/>
      <c r="L1028" s="81" t="str">
        <f aca="false">IF(K1028="","",IFERROR(INDEX(BARDAGE!$C$7:$C$1506,MATCH(K1028,BARDAGE!$B$7:$B$1506,0)),"? hors registre"))</f>
        <v/>
      </c>
      <c r="M1028" s="80"/>
      <c r="N1028" s="81" t="str">
        <f aca="false">IF(M1028="","",IFERROR(INDEX(BARDAGE!$C$7:$C$1506,MATCH(M1028,BARDAGE!$B$7:$B$1506,0)),"? hors registre"))</f>
        <v/>
      </c>
      <c r="O1028" s="80"/>
      <c r="P1028" s="80"/>
      <c r="Q1028" s="80"/>
      <c r="R1028" s="82"/>
      <c r="S1028" s="82"/>
      <c r="T1028" s="80"/>
      <c r="U1028" s="80"/>
      <c r="V1028" s="82"/>
      <c r="W1028" s="80"/>
      <c r="X1028" s="80"/>
      <c r="Y1028" s="80"/>
      <c r="Z1028" s="80"/>
      <c r="AA1028" s="82"/>
      <c r="AB1028" s="80"/>
      <c r="AC1028" s="80"/>
      <c r="AD1028" s="80"/>
      <c r="AE1028" s="80"/>
      <c r="AF1028" s="82"/>
      <c r="AG1028" s="80"/>
      <c r="AH1028" s="80"/>
      <c r="AI1028" s="82"/>
      <c r="AJ1028" s="79"/>
      <c r="AK1028" s="78" t="str">
        <f aca="false">IF(E1028="","",(X1028&lt;&gt;"")+(AC1028&lt;&gt;"")+(AH1028&lt;&gt;""))</f>
        <v/>
      </c>
      <c r="AL1028" s="81" t="str">
        <f aca="false">IF(AH1028&lt;&gt;"",AH1028,IF(AC1028&lt;&gt;"",AC1028,IF(X1028&lt;&gt;"",X1028,"")))</f>
        <v/>
      </c>
      <c r="AM1028" s="83" t="str">
        <f aca="false">IF(E1028="","",IF(R1028="","À SOUDER",IF(U1028="","VT EN ATTENTE",IF(U1028="R","VT REJETÉ – À REPRENDRE",IF(AL1028="","À RADIOGRAPHIER",IF(AL1028="A","ACCEPTÉ",IF(AL1028="NX","NX – RT À REFAIRE",IF(IF(AK1028=1,Z1028,IF(AK1028=2,AE1028,""))="A","RÉPARÉ – À RADIOGRAPHIER",IF(IF(AK1028=1,Z1028,IF(AK1028=2,AE1028,""))="R","VT REJETÉ – À REPRENDRE",IF(OR(AL1028="CO",AL1028="NT"),"COUPE – À RESOUDER","À RÉPARER"))))))))))</f>
        <v/>
      </c>
      <c r="AN1028" s="81" t="str">
        <f aca="false">IF(AND(ISNUMBER(R1028),OR(AM1028="À RADIOGRAPHIER",AM1028="RÉPARÉ – À RADIOGRAPHIER",AM1028="NX – RT À REFAIRE",AM1028="À RÉPARER",AM1028="COUPE – À RESOUDER",AM1028="VT REJETÉ – À REPRENDRE")),MAX(0,'PROGRAMME RT'!$C$4-R1028),"")</f>
        <v/>
      </c>
      <c r="AO1028" s="78" t="n">
        <f aca="false">IF(AND(OR(AM1028="À RADIOGRAPHIER",AM1028="RÉPARÉ – À RADIOGRAPHIER",AM1028="NX – RT À REFAIRE"),OR('PROGRAMME RT'!$D$5="TOUTES",B1028='PROGRAMME RT'!$D$5)),1,0)</f>
        <v>0</v>
      </c>
      <c r="AP1028" s="78" t="str">
        <f aca="false">IF(AO1028=1,SUM(AO$7:AO1028),"")</f>
        <v/>
      </c>
      <c r="AQ1028" s="78" t="n">
        <f aca="false">IF(AND(OR(X1028="R",X1028="NX",X1028="NT",X1028="CO"),OR('JOINTS DE RÉPARATION'!$D$5="TOUTES",B1028='JOINTS DE RÉPARATION'!$D$5),OR('JOINTS DE RÉPARATION'!$L$4="TOUS",AM1028&lt;&gt;"ACCEPTÉ")),1,0)</f>
        <v>0</v>
      </c>
      <c r="AR1028" s="78" t="str">
        <f aca="false">IF(AQ1028=1,SUM(AQ$7:AQ1028),"")</f>
        <v/>
      </c>
    </row>
    <row r="1029" customFormat="false" ht="15" hidden="false" customHeight="false" outlineLevel="0" collapsed="false">
      <c r="A1029" s="78" t="str">
        <f aca="false">IF(E1029="","",ROW()-6)</f>
        <v/>
      </c>
      <c r="B1029" s="79"/>
      <c r="C1029" s="80"/>
      <c r="D1029" s="80"/>
      <c r="E1029" s="80"/>
      <c r="F1029" s="80"/>
      <c r="G1029" s="80"/>
      <c r="H1029" s="80"/>
      <c r="I1029" s="80"/>
      <c r="J1029" s="80"/>
      <c r="K1029" s="80"/>
      <c r="L1029" s="81" t="str">
        <f aca="false">IF(K1029="","",IFERROR(INDEX(BARDAGE!$C$7:$C$1506,MATCH(K1029,BARDAGE!$B$7:$B$1506,0)),"? hors registre"))</f>
        <v/>
      </c>
      <c r="M1029" s="80"/>
      <c r="N1029" s="81" t="str">
        <f aca="false">IF(M1029="","",IFERROR(INDEX(BARDAGE!$C$7:$C$1506,MATCH(M1029,BARDAGE!$B$7:$B$1506,0)),"? hors registre"))</f>
        <v/>
      </c>
      <c r="O1029" s="80"/>
      <c r="P1029" s="80"/>
      <c r="Q1029" s="80"/>
      <c r="R1029" s="82"/>
      <c r="S1029" s="82"/>
      <c r="T1029" s="80"/>
      <c r="U1029" s="80"/>
      <c r="V1029" s="82"/>
      <c r="W1029" s="80"/>
      <c r="X1029" s="80"/>
      <c r="Y1029" s="80"/>
      <c r="Z1029" s="80"/>
      <c r="AA1029" s="82"/>
      <c r="AB1029" s="80"/>
      <c r="AC1029" s="80"/>
      <c r="AD1029" s="80"/>
      <c r="AE1029" s="80"/>
      <c r="AF1029" s="82"/>
      <c r="AG1029" s="80"/>
      <c r="AH1029" s="80"/>
      <c r="AI1029" s="82"/>
      <c r="AJ1029" s="79"/>
      <c r="AK1029" s="78" t="str">
        <f aca="false">IF(E1029="","",(X1029&lt;&gt;"")+(AC1029&lt;&gt;"")+(AH1029&lt;&gt;""))</f>
        <v/>
      </c>
      <c r="AL1029" s="81" t="str">
        <f aca="false">IF(AH1029&lt;&gt;"",AH1029,IF(AC1029&lt;&gt;"",AC1029,IF(X1029&lt;&gt;"",X1029,"")))</f>
        <v/>
      </c>
      <c r="AM1029" s="83" t="str">
        <f aca="false">IF(E1029="","",IF(R1029="","À SOUDER",IF(U1029="","VT EN ATTENTE",IF(U1029="R","VT REJETÉ – À REPRENDRE",IF(AL1029="","À RADIOGRAPHIER",IF(AL1029="A","ACCEPTÉ",IF(AL1029="NX","NX – RT À REFAIRE",IF(IF(AK1029=1,Z1029,IF(AK1029=2,AE1029,""))="A","RÉPARÉ – À RADIOGRAPHIER",IF(IF(AK1029=1,Z1029,IF(AK1029=2,AE1029,""))="R","VT REJETÉ – À REPRENDRE",IF(OR(AL1029="CO",AL1029="NT"),"COUPE – À RESOUDER","À RÉPARER"))))))))))</f>
        <v/>
      </c>
      <c r="AN1029" s="81" t="str">
        <f aca="false">IF(AND(ISNUMBER(R1029),OR(AM1029="À RADIOGRAPHIER",AM1029="RÉPARÉ – À RADIOGRAPHIER",AM1029="NX – RT À REFAIRE",AM1029="À RÉPARER",AM1029="COUPE – À RESOUDER",AM1029="VT REJETÉ – À REPRENDRE")),MAX(0,'PROGRAMME RT'!$C$4-R1029),"")</f>
        <v/>
      </c>
      <c r="AO1029" s="78" t="n">
        <f aca="false">IF(AND(OR(AM1029="À RADIOGRAPHIER",AM1029="RÉPARÉ – À RADIOGRAPHIER",AM1029="NX – RT À REFAIRE"),OR('PROGRAMME RT'!$D$5="TOUTES",B1029='PROGRAMME RT'!$D$5)),1,0)</f>
        <v>0</v>
      </c>
      <c r="AP1029" s="78" t="str">
        <f aca="false">IF(AO1029=1,SUM(AO$7:AO1029),"")</f>
        <v/>
      </c>
      <c r="AQ1029" s="78" t="n">
        <f aca="false">IF(AND(OR(X1029="R",X1029="NX",X1029="NT",X1029="CO"),OR('JOINTS DE RÉPARATION'!$D$5="TOUTES",B1029='JOINTS DE RÉPARATION'!$D$5),OR('JOINTS DE RÉPARATION'!$L$4="TOUS",AM1029&lt;&gt;"ACCEPTÉ")),1,0)</f>
        <v>0</v>
      </c>
      <c r="AR1029" s="78" t="str">
        <f aca="false">IF(AQ1029=1,SUM(AQ$7:AQ1029),"")</f>
        <v/>
      </c>
    </row>
    <row r="1030" customFormat="false" ht="15" hidden="false" customHeight="false" outlineLevel="0" collapsed="false">
      <c r="A1030" s="78" t="str">
        <f aca="false">IF(E1030="","",ROW()-6)</f>
        <v/>
      </c>
      <c r="B1030" s="79"/>
      <c r="C1030" s="80"/>
      <c r="D1030" s="80"/>
      <c r="E1030" s="80"/>
      <c r="F1030" s="80"/>
      <c r="G1030" s="80"/>
      <c r="H1030" s="80"/>
      <c r="I1030" s="80"/>
      <c r="J1030" s="80"/>
      <c r="K1030" s="80"/>
      <c r="L1030" s="81" t="str">
        <f aca="false">IF(K1030="","",IFERROR(INDEX(BARDAGE!$C$7:$C$1506,MATCH(K1030,BARDAGE!$B$7:$B$1506,0)),"? hors registre"))</f>
        <v/>
      </c>
      <c r="M1030" s="80"/>
      <c r="N1030" s="81" t="str">
        <f aca="false">IF(M1030="","",IFERROR(INDEX(BARDAGE!$C$7:$C$1506,MATCH(M1030,BARDAGE!$B$7:$B$1506,0)),"? hors registre"))</f>
        <v/>
      </c>
      <c r="O1030" s="80"/>
      <c r="P1030" s="80"/>
      <c r="Q1030" s="80"/>
      <c r="R1030" s="82"/>
      <c r="S1030" s="82"/>
      <c r="T1030" s="80"/>
      <c r="U1030" s="80"/>
      <c r="V1030" s="82"/>
      <c r="W1030" s="80"/>
      <c r="X1030" s="80"/>
      <c r="Y1030" s="80"/>
      <c r="Z1030" s="80"/>
      <c r="AA1030" s="82"/>
      <c r="AB1030" s="80"/>
      <c r="AC1030" s="80"/>
      <c r="AD1030" s="80"/>
      <c r="AE1030" s="80"/>
      <c r="AF1030" s="82"/>
      <c r="AG1030" s="80"/>
      <c r="AH1030" s="80"/>
      <c r="AI1030" s="82"/>
      <c r="AJ1030" s="79"/>
      <c r="AK1030" s="78" t="str">
        <f aca="false">IF(E1030="","",(X1030&lt;&gt;"")+(AC1030&lt;&gt;"")+(AH1030&lt;&gt;""))</f>
        <v/>
      </c>
      <c r="AL1030" s="81" t="str">
        <f aca="false">IF(AH1030&lt;&gt;"",AH1030,IF(AC1030&lt;&gt;"",AC1030,IF(X1030&lt;&gt;"",X1030,"")))</f>
        <v/>
      </c>
      <c r="AM1030" s="83" t="str">
        <f aca="false">IF(E1030="","",IF(R1030="","À SOUDER",IF(U1030="","VT EN ATTENTE",IF(U1030="R","VT REJETÉ – À REPRENDRE",IF(AL1030="","À RADIOGRAPHIER",IF(AL1030="A","ACCEPTÉ",IF(AL1030="NX","NX – RT À REFAIRE",IF(IF(AK1030=1,Z1030,IF(AK1030=2,AE1030,""))="A","RÉPARÉ – À RADIOGRAPHIER",IF(IF(AK1030=1,Z1030,IF(AK1030=2,AE1030,""))="R","VT REJETÉ – À REPRENDRE",IF(OR(AL1030="CO",AL1030="NT"),"COUPE – À RESOUDER","À RÉPARER"))))))))))</f>
        <v/>
      </c>
      <c r="AN1030" s="81" t="str">
        <f aca="false">IF(AND(ISNUMBER(R1030),OR(AM1030="À RADIOGRAPHIER",AM1030="RÉPARÉ – À RADIOGRAPHIER",AM1030="NX – RT À REFAIRE",AM1030="À RÉPARER",AM1030="COUPE – À RESOUDER",AM1030="VT REJETÉ – À REPRENDRE")),MAX(0,'PROGRAMME RT'!$C$4-R1030),"")</f>
        <v/>
      </c>
      <c r="AO1030" s="78" t="n">
        <f aca="false">IF(AND(OR(AM1030="À RADIOGRAPHIER",AM1030="RÉPARÉ – À RADIOGRAPHIER",AM1030="NX – RT À REFAIRE"),OR('PROGRAMME RT'!$D$5="TOUTES",B1030='PROGRAMME RT'!$D$5)),1,0)</f>
        <v>0</v>
      </c>
      <c r="AP1030" s="78" t="str">
        <f aca="false">IF(AO1030=1,SUM(AO$7:AO1030),"")</f>
        <v/>
      </c>
      <c r="AQ1030" s="78" t="n">
        <f aca="false">IF(AND(OR(X1030="R",X1030="NX",X1030="NT",X1030="CO"),OR('JOINTS DE RÉPARATION'!$D$5="TOUTES",B1030='JOINTS DE RÉPARATION'!$D$5),OR('JOINTS DE RÉPARATION'!$L$4="TOUS",AM1030&lt;&gt;"ACCEPTÉ")),1,0)</f>
        <v>0</v>
      </c>
      <c r="AR1030" s="78" t="str">
        <f aca="false">IF(AQ1030=1,SUM(AQ$7:AQ1030),"")</f>
        <v/>
      </c>
    </row>
    <row r="1031" customFormat="false" ht="15" hidden="false" customHeight="false" outlineLevel="0" collapsed="false">
      <c r="A1031" s="78" t="str">
        <f aca="false">IF(E1031="","",ROW()-6)</f>
        <v/>
      </c>
      <c r="B1031" s="79"/>
      <c r="C1031" s="80"/>
      <c r="D1031" s="80"/>
      <c r="E1031" s="80"/>
      <c r="F1031" s="80"/>
      <c r="G1031" s="80"/>
      <c r="H1031" s="80"/>
      <c r="I1031" s="80"/>
      <c r="J1031" s="80"/>
      <c r="K1031" s="80"/>
      <c r="L1031" s="81" t="str">
        <f aca="false">IF(K1031="","",IFERROR(INDEX(BARDAGE!$C$7:$C$1506,MATCH(K1031,BARDAGE!$B$7:$B$1506,0)),"? hors registre"))</f>
        <v/>
      </c>
      <c r="M1031" s="80"/>
      <c r="N1031" s="81" t="str">
        <f aca="false">IF(M1031="","",IFERROR(INDEX(BARDAGE!$C$7:$C$1506,MATCH(M1031,BARDAGE!$B$7:$B$1506,0)),"? hors registre"))</f>
        <v/>
      </c>
      <c r="O1031" s="80"/>
      <c r="P1031" s="80"/>
      <c r="Q1031" s="80"/>
      <c r="R1031" s="82"/>
      <c r="S1031" s="82"/>
      <c r="T1031" s="80"/>
      <c r="U1031" s="80"/>
      <c r="V1031" s="82"/>
      <c r="W1031" s="80"/>
      <c r="X1031" s="80"/>
      <c r="Y1031" s="80"/>
      <c r="Z1031" s="80"/>
      <c r="AA1031" s="82"/>
      <c r="AB1031" s="80"/>
      <c r="AC1031" s="80"/>
      <c r="AD1031" s="80"/>
      <c r="AE1031" s="80"/>
      <c r="AF1031" s="82"/>
      <c r="AG1031" s="80"/>
      <c r="AH1031" s="80"/>
      <c r="AI1031" s="82"/>
      <c r="AJ1031" s="79"/>
      <c r="AK1031" s="78" t="str">
        <f aca="false">IF(E1031="","",(X1031&lt;&gt;"")+(AC1031&lt;&gt;"")+(AH1031&lt;&gt;""))</f>
        <v/>
      </c>
      <c r="AL1031" s="81" t="str">
        <f aca="false">IF(AH1031&lt;&gt;"",AH1031,IF(AC1031&lt;&gt;"",AC1031,IF(X1031&lt;&gt;"",X1031,"")))</f>
        <v/>
      </c>
      <c r="AM1031" s="83" t="str">
        <f aca="false">IF(E1031="","",IF(R1031="","À SOUDER",IF(U1031="","VT EN ATTENTE",IF(U1031="R","VT REJETÉ – À REPRENDRE",IF(AL1031="","À RADIOGRAPHIER",IF(AL1031="A","ACCEPTÉ",IF(AL1031="NX","NX – RT À REFAIRE",IF(IF(AK1031=1,Z1031,IF(AK1031=2,AE1031,""))="A","RÉPARÉ – À RADIOGRAPHIER",IF(IF(AK1031=1,Z1031,IF(AK1031=2,AE1031,""))="R","VT REJETÉ – À REPRENDRE",IF(OR(AL1031="CO",AL1031="NT"),"COUPE – À RESOUDER","À RÉPARER"))))))))))</f>
        <v/>
      </c>
      <c r="AN1031" s="81" t="str">
        <f aca="false">IF(AND(ISNUMBER(R1031),OR(AM1031="À RADIOGRAPHIER",AM1031="RÉPARÉ – À RADIOGRAPHIER",AM1031="NX – RT À REFAIRE",AM1031="À RÉPARER",AM1031="COUPE – À RESOUDER",AM1031="VT REJETÉ – À REPRENDRE")),MAX(0,'PROGRAMME RT'!$C$4-R1031),"")</f>
        <v/>
      </c>
      <c r="AO1031" s="78" t="n">
        <f aca="false">IF(AND(OR(AM1031="À RADIOGRAPHIER",AM1031="RÉPARÉ – À RADIOGRAPHIER",AM1031="NX – RT À REFAIRE"),OR('PROGRAMME RT'!$D$5="TOUTES",B1031='PROGRAMME RT'!$D$5)),1,0)</f>
        <v>0</v>
      </c>
      <c r="AP1031" s="78" t="str">
        <f aca="false">IF(AO1031=1,SUM(AO$7:AO1031),"")</f>
        <v/>
      </c>
      <c r="AQ1031" s="78" t="n">
        <f aca="false">IF(AND(OR(X1031="R",X1031="NX",X1031="NT",X1031="CO"),OR('JOINTS DE RÉPARATION'!$D$5="TOUTES",B1031='JOINTS DE RÉPARATION'!$D$5),OR('JOINTS DE RÉPARATION'!$L$4="TOUS",AM1031&lt;&gt;"ACCEPTÉ")),1,0)</f>
        <v>0</v>
      </c>
      <c r="AR1031" s="78" t="str">
        <f aca="false">IF(AQ1031=1,SUM(AQ$7:AQ1031),"")</f>
        <v/>
      </c>
    </row>
    <row r="1032" customFormat="false" ht="15" hidden="false" customHeight="false" outlineLevel="0" collapsed="false">
      <c r="A1032" s="78" t="str">
        <f aca="false">IF(E1032="","",ROW()-6)</f>
        <v/>
      </c>
      <c r="B1032" s="79"/>
      <c r="C1032" s="80"/>
      <c r="D1032" s="80"/>
      <c r="E1032" s="80"/>
      <c r="F1032" s="80"/>
      <c r="G1032" s="80"/>
      <c r="H1032" s="80"/>
      <c r="I1032" s="80"/>
      <c r="J1032" s="80"/>
      <c r="K1032" s="80"/>
      <c r="L1032" s="81" t="str">
        <f aca="false">IF(K1032="","",IFERROR(INDEX(BARDAGE!$C$7:$C$1506,MATCH(K1032,BARDAGE!$B$7:$B$1506,0)),"? hors registre"))</f>
        <v/>
      </c>
      <c r="M1032" s="80"/>
      <c r="N1032" s="81" t="str">
        <f aca="false">IF(M1032="","",IFERROR(INDEX(BARDAGE!$C$7:$C$1506,MATCH(M1032,BARDAGE!$B$7:$B$1506,0)),"? hors registre"))</f>
        <v/>
      </c>
      <c r="O1032" s="80"/>
      <c r="P1032" s="80"/>
      <c r="Q1032" s="80"/>
      <c r="R1032" s="82"/>
      <c r="S1032" s="82"/>
      <c r="T1032" s="80"/>
      <c r="U1032" s="80"/>
      <c r="V1032" s="82"/>
      <c r="W1032" s="80"/>
      <c r="X1032" s="80"/>
      <c r="Y1032" s="80"/>
      <c r="Z1032" s="80"/>
      <c r="AA1032" s="82"/>
      <c r="AB1032" s="80"/>
      <c r="AC1032" s="80"/>
      <c r="AD1032" s="80"/>
      <c r="AE1032" s="80"/>
      <c r="AF1032" s="82"/>
      <c r="AG1032" s="80"/>
      <c r="AH1032" s="80"/>
      <c r="AI1032" s="82"/>
      <c r="AJ1032" s="79"/>
      <c r="AK1032" s="78" t="str">
        <f aca="false">IF(E1032="","",(X1032&lt;&gt;"")+(AC1032&lt;&gt;"")+(AH1032&lt;&gt;""))</f>
        <v/>
      </c>
      <c r="AL1032" s="81" t="str">
        <f aca="false">IF(AH1032&lt;&gt;"",AH1032,IF(AC1032&lt;&gt;"",AC1032,IF(X1032&lt;&gt;"",X1032,"")))</f>
        <v/>
      </c>
      <c r="AM1032" s="83" t="str">
        <f aca="false">IF(E1032="","",IF(R1032="","À SOUDER",IF(U1032="","VT EN ATTENTE",IF(U1032="R","VT REJETÉ – À REPRENDRE",IF(AL1032="","À RADIOGRAPHIER",IF(AL1032="A","ACCEPTÉ",IF(AL1032="NX","NX – RT À REFAIRE",IF(IF(AK1032=1,Z1032,IF(AK1032=2,AE1032,""))="A","RÉPARÉ – À RADIOGRAPHIER",IF(IF(AK1032=1,Z1032,IF(AK1032=2,AE1032,""))="R","VT REJETÉ – À REPRENDRE",IF(OR(AL1032="CO",AL1032="NT"),"COUPE – À RESOUDER","À RÉPARER"))))))))))</f>
        <v/>
      </c>
      <c r="AN1032" s="81" t="str">
        <f aca="false">IF(AND(ISNUMBER(R1032),OR(AM1032="À RADIOGRAPHIER",AM1032="RÉPARÉ – À RADIOGRAPHIER",AM1032="NX – RT À REFAIRE",AM1032="À RÉPARER",AM1032="COUPE – À RESOUDER",AM1032="VT REJETÉ – À REPRENDRE")),MAX(0,'PROGRAMME RT'!$C$4-R1032),"")</f>
        <v/>
      </c>
      <c r="AO1032" s="78" t="n">
        <f aca="false">IF(AND(OR(AM1032="À RADIOGRAPHIER",AM1032="RÉPARÉ – À RADIOGRAPHIER",AM1032="NX – RT À REFAIRE"),OR('PROGRAMME RT'!$D$5="TOUTES",B1032='PROGRAMME RT'!$D$5)),1,0)</f>
        <v>0</v>
      </c>
      <c r="AP1032" s="78" t="str">
        <f aca="false">IF(AO1032=1,SUM(AO$7:AO1032),"")</f>
        <v/>
      </c>
      <c r="AQ1032" s="78" t="n">
        <f aca="false">IF(AND(OR(X1032="R",X1032="NX",X1032="NT",X1032="CO"),OR('JOINTS DE RÉPARATION'!$D$5="TOUTES",B1032='JOINTS DE RÉPARATION'!$D$5),OR('JOINTS DE RÉPARATION'!$L$4="TOUS",AM1032&lt;&gt;"ACCEPTÉ")),1,0)</f>
        <v>0</v>
      </c>
      <c r="AR1032" s="78" t="str">
        <f aca="false">IF(AQ1032=1,SUM(AQ$7:AQ1032),"")</f>
        <v/>
      </c>
    </row>
    <row r="1033" customFormat="false" ht="15" hidden="false" customHeight="false" outlineLevel="0" collapsed="false">
      <c r="A1033" s="78" t="str">
        <f aca="false">IF(E1033="","",ROW()-6)</f>
        <v/>
      </c>
      <c r="B1033" s="79"/>
      <c r="C1033" s="80"/>
      <c r="D1033" s="80"/>
      <c r="E1033" s="80"/>
      <c r="F1033" s="80"/>
      <c r="G1033" s="80"/>
      <c r="H1033" s="80"/>
      <c r="I1033" s="80"/>
      <c r="J1033" s="80"/>
      <c r="K1033" s="80"/>
      <c r="L1033" s="81" t="str">
        <f aca="false">IF(K1033="","",IFERROR(INDEX(BARDAGE!$C$7:$C$1506,MATCH(K1033,BARDAGE!$B$7:$B$1506,0)),"? hors registre"))</f>
        <v/>
      </c>
      <c r="M1033" s="80"/>
      <c r="N1033" s="81" t="str">
        <f aca="false">IF(M1033="","",IFERROR(INDEX(BARDAGE!$C$7:$C$1506,MATCH(M1033,BARDAGE!$B$7:$B$1506,0)),"? hors registre"))</f>
        <v/>
      </c>
      <c r="O1033" s="80"/>
      <c r="P1033" s="80"/>
      <c r="Q1033" s="80"/>
      <c r="R1033" s="82"/>
      <c r="S1033" s="82"/>
      <c r="T1033" s="80"/>
      <c r="U1033" s="80"/>
      <c r="V1033" s="82"/>
      <c r="W1033" s="80"/>
      <c r="X1033" s="80"/>
      <c r="Y1033" s="80"/>
      <c r="Z1033" s="80"/>
      <c r="AA1033" s="82"/>
      <c r="AB1033" s="80"/>
      <c r="AC1033" s="80"/>
      <c r="AD1033" s="80"/>
      <c r="AE1033" s="80"/>
      <c r="AF1033" s="82"/>
      <c r="AG1033" s="80"/>
      <c r="AH1033" s="80"/>
      <c r="AI1033" s="82"/>
      <c r="AJ1033" s="79"/>
      <c r="AK1033" s="78" t="str">
        <f aca="false">IF(E1033="","",(X1033&lt;&gt;"")+(AC1033&lt;&gt;"")+(AH1033&lt;&gt;""))</f>
        <v/>
      </c>
      <c r="AL1033" s="81" t="str">
        <f aca="false">IF(AH1033&lt;&gt;"",AH1033,IF(AC1033&lt;&gt;"",AC1033,IF(X1033&lt;&gt;"",X1033,"")))</f>
        <v/>
      </c>
      <c r="AM1033" s="83" t="str">
        <f aca="false">IF(E1033="","",IF(R1033="","À SOUDER",IF(U1033="","VT EN ATTENTE",IF(U1033="R","VT REJETÉ – À REPRENDRE",IF(AL1033="","À RADIOGRAPHIER",IF(AL1033="A","ACCEPTÉ",IF(AL1033="NX","NX – RT À REFAIRE",IF(IF(AK1033=1,Z1033,IF(AK1033=2,AE1033,""))="A","RÉPARÉ – À RADIOGRAPHIER",IF(IF(AK1033=1,Z1033,IF(AK1033=2,AE1033,""))="R","VT REJETÉ – À REPRENDRE",IF(OR(AL1033="CO",AL1033="NT"),"COUPE – À RESOUDER","À RÉPARER"))))))))))</f>
        <v/>
      </c>
      <c r="AN1033" s="81" t="str">
        <f aca="false">IF(AND(ISNUMBER(R1033),OR(AM1033="À RADIOGRAPHIER",AM1033="RÉPARÉ – À RADIOGRAPHIER",AM1033="NX – RT À REFAIRE",AM1033="À RÉPARER",AM1033="COUPE – À RESOUDER",AM1033="VT REJETÉ – À REPRENDRE")),MAX(0,'PROGRAMME RT'!$C$4-R1033),"")</f>
        <v/>
      </c>
      <c r="AO1033" s="78" t="n">
        <f aca="false">IF(AND(OR(AM1033="À RADIOGRAPHIER",AM1033="RÉPARÉ – À RADIOGRAPHIER",AM1033="NX – RT À REFAIRE"),OR('PROGRAMME RT'!$D$5="TOUTES",B1033='PROGRAMME RT'!$D$5)),1,0)</f>
        <v>0</v>
      </c>
      <c r="AP1033" s="78" t="str">
        <f aca="false">IF(AO1033=1,SUM(AO$7:AO1033),"")</f>
        <v/>
      </c>
      <c r="AQ1033" s="78" t="n">
        <f aca="false">IF(AND(OR(X1033="R",X1033="NX",X1033="NT",X1033="CO"),OR('JOINTS DE RÉPARATION'!$D$5="TOUTES",B1033='JOINTS DE RÉPARATION'!$D$5),OR('JOINTS DE RÉPARATION'!$L$4="TOUS",AM1033&lt;&gt;"ACCEPTÉ")),1,0)</f>
        <v>0</v>
      </c>
      <c r="AR1033" s="78" t="str">
        <f aca="false">IF(AQ1033=1,SUM(AQ$7:AQ1033),"")</f>
        <v/>
      </c>
    </row>
    <row r="1034" customFormat="false" ht="15" hidden="false" customHeight="false" outlineLevel="0" collapsed="false">
      <c r="A1034" s="78" t="str">
        <f aca="false">IF(E1034="","",ROW()-6)</f>
        <v/>
      </c>
      <c r="B1034" s="79"/>
      <c r="C1034" s="80"/>
      <c r="D1034" s="80"/>
      <c r="E1034" s="80"/>
      <c r="F1034" s="80"/>
      <c r="G1034" s="80"/>
      <c r="H1034" s="80"/>
      <c r="I1034" s="80"/>
      <c r="J1034" s="80"/>
      <c r="K1034" s="80"/>
      <c r="L1034" s="81" t="str">
        <f aca="false">IF(K1034="","",IFERROR(INDEX(BARDAGE!$C$7:$C$1506,MATCH(K1034,BARDAGE!$B$7:$B$1506,0)),"? hors registre"))</f>
        <v/>
      </c>
      <c r="M1034" s="80"/>
      <c r="N1034" s="81" t="str">
        <f aca="false">IF(M1034="","",IFERROR(INDEX(BARDAGE!$C$7:$C$1506,MATCH(M1034,BARDAGE!$B$7:$B$1506,0)),"? hors registre"))</f>
        <v/>
      </c>
      <c r="O1034" s="80"/>
      <c r="P1034" s="80"/>
      <c r="Q1034" s="80"/>
      <c r="R1034" s="82"/>
      <c r="S1034" s="82"/>
      <c r="T1034" s="80"/>
      <c r="U1034" s="80"/>
      <c r="V1034" s="82"/>
      <c r="W1034" s="80"/>
      <c r="X1034" s="80"/>
      <c r="Y1034" s="80"/>
      <c r="Z1034" s="80"/>
      <c r="AA1034" s="82"/>
      <c r="AB1034" s="80"/>
      <c r="AC1034" s="80"/>
      <c r="AD1034" s="80"/>
      <c r="AE1034" s="80"/>
      <c r="AF1034" s="82"/>
      <c r="AG1034" s="80"/>
      <c r="AH1034" s="80"/>
      <c r="AI1034" s="82"/>
      <c r="AJ1034" s="79"/>
      <c r="AK1034" s="78" t="str">
        <f aca="false">IF(E1034="","",(X1034&lt;&gt;"")+(AC1034&lt;&gt;"")+(AH1034&lt;&gt;""))</f>
        <v/>
      </c>
      <c r="AL1034" s="81" t="str">
        <f aca="false">IF(AH1034&lt;&gt;"",AH1034,IF(AC1034&lt;&gt;"",AC1034,IF(X1034&lt;&gt;"",X1034,"")))</f>
        <v/>
      </c>
      <c r="AM1034" s="83" t="str">
        <f aca="false">IF(E1034="","",IF(R1034="","À SOUDER",IF(U1034="","VT EN ATTENTE",IF(U1034="R","VT REJETÉ – À REPRENDRE",IF(AL1034="","À RADIOGRAPHIER",IF(AL1034="A","ACCEPTÉ",IF(AL1034="NX","NX – RT À REFAIRE",IF(IF(AK1034=1,Z1034,IF(AK1034=2,AE1034,""))="A","RÉPARÉ – À RADIOGRAPHIER",IF(IF(AK1034=1,Z1034,IF(AK1034=2,AE1034,""))="R","VT REJETÉ – À REPRENDRE",IF(OR(AL1034="CO",AL1034="NT"),"COUPE – À RESOUDER","À RÉPARER"))))))))))</f>
        <v/>
      </c>
      <c r="AN1034" s="81" t="str">
        <f aca="false">IF(AND(ISNUMBER(R1034),OR(AM1034="À RADIOGRAPHIER",AM1034="RÉPARÉ – À RADIOGRAPHIER",AM1034="NX – RT À REFAIRE",AM1034="À RÉPARER",AM1034="COUPE – À RESOUDER",AM1034="VT REJETÉ – À REPRENDRE")),MAX(0,'PROGRAMME RT'!$C$4-R1034),"")</f>
        <v/>
      </c>
      <c r="AO1034" s="78" t="n">
        <f aca="false">IF(AND(OR(AM1034="À RADIOGRAPHIER",AM1034="RÉPARÉ – À RADIOGRAPHIER",AM1034="NX – RT À REFAIRE"),OR('PROGRAMME RT'!$D$5="TOUTES",B1034='PROGRAMME RT'!$D$5)),1,0)</f>
        <v>0</v>
      </c>
      <c r="AP1034" s="78" t="str">
        <f aca="false">IF(AO1034=1,SUM(AO$7:AO1034),"")</f>
        <v/>
      </c>
      <c r="AQ1034" s="78" t="n">
        <f aca="false">IF(AND(OR(X1034="R",X1034="NX",X1034="NT",X1034="CO"),OR('JOINTS DE RÉPARATION'!$D$5="TOUTES",B1034='JOINTS DE RÉPARATION'!$D$5),OR('JOINTS DE RÉPARATION'!$L$4="TOUS",AM1034&lt;&gt;"ACCEPTÉ")),1,0)</f>
        <v>0</v>
      </c>
      <c r="AR1034" s="78" t="str">
        <f aca="false">IF(AQ1034=1,SUM(AQ$7:AQ1034),"")</f>
        <v/>
      </c>
    </row>
    <row r="1035" customFormat="false" ht="15" hidden="false" customHeight="false" outlineLevel="0" collapsed="false">
      <c r="A1035" s="78" t="str">
        <f aca="false">IF(E1035="","",ROW()-6)</f>
        <v/>
      </c>
      <c r="B1035" s="79"/>
      <c r="C1035" s="80"/>
      <c r="D1035" s="80"/>
      <c r="E1035" s="80"/>
      <c r="F1035" s="80"/>
      <c r="G1035" s="80"/>
      <c r="H1035" s="80"/>
      <c r="I1035" s="80"/>
      <c r="J1035" s="80"/>
      <c r="K1035" s="80"/>
      <c r="L1035" s="81" t="str">
        <f aca="false">IF(K1035="","",IFERROR(INDEX(BARDAGE!$C$7:$C$1506,MATCH(K1035,BARDAGE!$B$7:$B$1506,0)),"? hors registre"))</f>
        <v/>
      </c>
      <c r="M1035" s="80"/>
      <c r="N1035" s="81" t="str">
        <f aca="false">IF(M1035="","",IFERROR(INDEX(BARDAGE!$C$7:$C$1506,MATCH(M1035,BARDAGE!$B$7:$B$1506,0)),"? hors registre"))</f>
        <v/>
      </c>
      <c r="O1035" s="80"/>
      <c r="P1035" s="80"/>
      <c r="Q1035" s="80"/>
      <c r="R1035" s="82"/>
      <c r="S1035" s="82"/>
      <c r="T1035" s="80"/>
      <c r="U1035" s="80"/>
      <c r="V1035" s="82"/>
      <c r="W1035" s="80"/>
      <c r="X1035" s="80"/>
      <c r="Y1035" s="80"/>
      <c r="Z1035" s="80"/>
      <c r="AA1035" s="82"/>
      <c r="AB1035" s="80"/>
      <c r="AC1035" s="80"/>
      <c r="AD1035" s="80"/>
      <c r="AE1035" s="80"/>
      <c r="AF1035" s="82"/>
      <c r="AG1035" s="80"/>
      <c r="AH1035" s="80"/>
      <c r="AI1035" s="82"/>
      <c r="AJ1035" s="79"/>
      <c r="AK1035" s="78" t="str">
        <f aca="false">IF(E1035="","",(X1035&lt;&gt;"")+(AC1035&lt;&gt;"")+(AH1035&lt;&gt;""))</f>
        <v/>
      </c>
      <c r="AL1035" s="81" t="str">
        <f aca="false">IF(AH1035&lt;&gt;"",AH1035,IF(AC1035&lt;&gt;"",AC1035,IF(X1035&lt;&gt;"",X1035,"")))</f>
        <v/>
      </c>
      <c r="AM1035" s="83" t="str">
        <f aca="false">IF(E1035="","",IF(R1035="","À SOUDER",IF(U1035="","VT EN ATTENTE",IF(U1035="R","VT REJETÉ – À REPRENDRE",IF(AL1035="","À RADIOGRAPHIER",IF(AL1035="A","ACCEPTÉ",IF(AL1035="NX","NX – RT À REFAIRE",IF(IF(AK1035=1,Z1035,IF(AK1035=2,AE1035,""))="A","RÉPARÉ – À RADIOGRAPHIER",IF(IF(AK1035=1,Z1035,IF(AK1035=2,AE1035,""))="R","VT REJETÉ – À REPRENDRE",IF(OR(AL1035="CO",AL1035="NT"),"COUPE – À RESOUDER","À RÉPARER"))))))))))</f>
        <v/>
      </c>
      <c r="AN1035" s="81" t="str">
        <f aca="false">IF(AND(ISNUMBER(R1035),OR(AM1035="À RADIOGRAPHIER",AM1035="RÉPARÉ – À RADIOGRAPHIER",AM1035="NX – RT À REFAIRE",AM1035="À RÉPARER",AM1035="COUPE – À RESOUDER",AM1035="VT REJETÉ – À REPRENDRE")),MAX(0,'PROGRAMME RT'!$C$4-R1035),"")</f>
        <v/>
      </c>
      <c r="AO1035" s="78" t="n">
        <f aca="false">IF(AND(OR(AM1035="À RADIOGRAPHIER",AM1035="RÉPARÉ – À RADIOGRAPHIER",AM1035="NX – RT À REFAIRE"),OR('PROGRAMME RT'!$D$5="TOUTES",B1035='PROGRAMME RT'!$D$5)),1,0)</f>
        <v>0</v>
      </c>
      <c r="AP1035" s="78" t="str">
        <f aca="false">IF(AO1035=1,SUM(AO$7:AO1035),"")</f>
        <v/>
      </c>
      <c r="AQ1035" s="78" t="n">
        <f aca="false">IF(AND(OR(X1035="R",X1035="NX",X1035="NT",X1035="CO"),OR('JOINTS DE RÉPARATION'!$D$5="TOUTES",B1035='JOINTS DE RÉPARATION'!$D$5),OR('JOINTS DE RÉPARATION'!$L$4="TOUS",AM1035&lt;&gt;"ACCEPTÉ")),1,0)</f>
        <v>0</v>
      </c>
      <c r="AR1035" s="78" t="str">
        <f aca="false">IF(AQ1035=1,SUM(AQ$7:AQ1035),"")</f>
        <v/>
      </c>
    </row>
    <row r="1036" customFormat="false" ht="15" hidden="false" customHeight="false" outlineLevel="0" collapsed="false">
      <c r="A1036" s="78" t="str">
        <f aca="false">IF(E1036="","",ROW()-6)</f>
        <v/>
      </c>
      <c r="B1036" s="79"/>
      <c r="C1036" s="80"/>
      <c r="D1036" s="80"/>
      <c r="E1036" s="80"/>
      <c r="F1036" s="80"/>
      <c r="G1036" s="80"/>
      <c r="H1036" s="80"/>
      <c r="I1036" s="80"/>
      <c r="J1036" s="80"/>
      <c r="K1036" s="80"/>
      <c r="L1036" s="81" t="str">
        <f aca="false">IF(K1036="","",IFERROR(INDEX(BARDAGE!$C$7:$C$1506,MATCH(K1036,BARDAGE!$B$7:$B$1506,0)),"? hors registre"))</f>
        <v/>
      </c>
      <c r="M1036" s="80"/>
      <c r="N1036" s="81" t="str">
        <f aca="false">IF(M1036="","",IFERROR(INDEX(BARDAGE!$C$7:$C$1506,MATCH(M1036,BARDAGE!$B$7:$B$1506,0)),"? hors registre"))</f>
        <v/>
      </c>
      <c r="O1036" s="80"/>
      <c r="P1036" s="80"/>
      <c r="Q1036" s="80"/>
      <c r="R1036" s="82"/>
      <c r="S1036" s="82"/>
      <c r="T1036" s="80"/>
      <c r="U1036" s="80"/>
      <c r="V1036" s="82"/>
      <c r="W1036" s="80"/>
      <c r="X1036" s="80"/>
      <c r="Y1036" s="80"/>
      <c r="Z1036" s="80"/>
      <c r="AA1036" s="82"/>
      <c r="AB1036" s="80"/>
      <c r="AC1036" s="80"/>
      <c r="AD1036" s="80"/>
      <c r="AE1036" s="80"/>
      <c r="AF1036" s="82"/>
      <c r="AG1036" s="80"/>
      <c r="AH1036" s="80"/>
      <c r="AI1036" s="82"/>
      <c r="AJ1036" s="79"/>
      <c r="AK1036" s="78" t="str">
        <f aca="false">IF(E1036="","",(X1036&lt;&gt;"")+(AC1036&lt;&gt;"")+(AH1036&lt;&gt;""))</f>
        <v/>
      </c>
      <c r="AL1036" s="81" t="str">
        <f aca="false">IF(AH1036&lt;&gt;"",AH1036,IF(AC1036&lt;&gt;"",AC1036,IF(X1036&lt;&gt;"",X1036,"")))</f>
        <v/>
      </c>
      <c r="AM1036" s="83" t="str">
        <f aca="false">IF(E1036="","",IF(R1036="","À SOUDER",IF(U1036="","VT EN ATTENTE",IF(U1036="R","VT REJETÉ – À REPRENDRE",IF(AL1036="","À RADIOGRAPHIER",IF(AL1036="A","ACCEPTÉ",IF(AL1036="NX","NX – RT À REFAIRE",IF(IF(AK1036=1,Z1036,IF(AK1036=2,AE1036,""))="A","RÉPARÉ – À RADIOGRAPHIER",IF(IF(AK1036=1,Z1036,IF(AK1036=2,AE1036,""))="R","VT REJETÉ – À REPRENDRE",IF(OR(AL1036="CO",AL1036="NT"),"COUPE – À RESOUDER","À RÉPARER"))))))))))</f>
        <v/>
      </c>
      <c r="AN1036" s="81" t="str">
        <f aca="false">IF(AND(ISNUMBER(R1036),OR(AM1036="À RADIOGRAPHIER",AM1036="RÉPARÉ – À RADIOGRAPHIER",AM1036="NX – RT À REFAIRE",AM1036="À RÉPARER",AM1036="COUPE – À RESOUDER",AM1036="VT REJETÉ – À REPRENDRE")),MAX(0,'PROGRAMME RT'!$C$4-R1036),"")</f>
        <v/>
      </c>
      <c r="AO1036" s="78" t="n">
        <f aca="false">IF(AND(OR(AM1036="À RADIOGRAPHIER",AM1036="RÉPARÉ – À RADIOGRAPHIER",AM1036="NX – RT À REFAIRE"),OR('PROGRAMME RT'!$D$5="TOUTES",B1036='PROGRAMME RT'!$D$5)),1,0)</f>
        <v>0</v>
      </c>
      <c r="AP1036" s="78" t="str">
        <f aca="false">IF(AO1036=1,SUM(AO$7:AO1036),"")</f>
        <v/>
      </c>
      <c r="AQ1036" s="78" t="n">
        <f aca="false">IF(AND(OR(X1036="R",X1036="NX",X1036="NT",X1036="CO"),OR('JOINTS DE RÉPARATION'!$D$5="TOUTES",B1036='JOINTS DE RÉPARATION'!$D$5),OR('JOINTS DE RÉPARATION'!$L$4="TOUS",AM1036&lt;&gt;"ACCEPTÉ")),1,0)</f>
        <v>0</v>
      </c>
      <c r="AR1036" s="78" t="str">
        <f aca="false">IF(AQ1036=1,SUM(AQ$7:AQ1036),"")</f>
        <v/>
      </c>
    </row>
    <row r="1037" customFormat="false" ht="15" hidden="false" customHeight="false" outlineLevel="0" collapsed="false">
      <c r="A1037" s="78" t="str">
        <f aca="false">IF(E1037="","",ROW()-6)</f>
        <v/>
      </c>
      <c r="B1037" s="79"/>
      <c r="C1037" s="80"/>
      <c r="D1037" s="80"/>
      <c r="E1037" s="80"/>
      <c r="F1037" s="80"/>
      <c r="G1037" s="80"/>
      <c r="H1037" s="80"/>
      <c r="I1037" s="80"/>
      <c r="J1037" s="80"/>
      <c r="K1037" s="80"/>
      <c r="L1037" s="81" t="str">
        <f aca="false">IF(K1037="","",IFERROR(INDEX(BARDAGE!$C$7:$C$1506,MATCH(K1037,BARDAGE!$B$7:$B$1506,0)),"? hors registre"))</f>
        <v/>
      </c>
      <c r="M1037" s="80"/>
      <c r="N1037" s="81" t="str">
        <f aca="false">IF(M1037="","",IFERROR(INDEX(BARDAGE!$C$7:$C$1506,MATCH(M1037,BARDAGE!$B$7:$B$1506,0)),"? hors registre"))</f>
        <v/>
      </c>
      <c r="O1037" s="80"/>
      <c r="P1037" s="80"/>
      <c r="Q1037" s="80"/>
      <c r="R1037" s="82"/>
      <c r="S1037" s="82"/>
      <c r="T1037" s="80"/>
      <c r="U1037" s="80"/>
      <c r="V1037" s="82"/>
      <c r="W1037" s="80"/>
      <c r="X1037" s="80"/>
      <c r="Y1037" s="80"/>
      <c r="Z1037" s="80"/>
      <c r="AA1037" s="82"/>
      <c r="AB1037" s="80"/>
      <c r="AC1037" s="80"/>
      <c r="AD1037" s="80"/>
      <c r="AE1037" s="80"/>
      <c r="AF1037" s="82"/>
      <c r="AG1037" s="80"/>
      <c r="AH1037" s="80"/>
      <c r="AI1037" s="82"/>
      <c r="AJ1037" s="79"/>
      <c r="AK1037" s="78" t="str">
        <f aca="false">IF(E1037="","",(X1037&lt;&gt;"")+(AC1037&lt;&gt;"")+(AH1037&lt;&gt;""))</f>
        <v/>
      </c>
      <c r="AL1037" s="81" t="str">
        <f aca="false">IF(AH1037&lt;&gt;"",AH1037,IF(AC1037&lt;&gt;"",AC1037,IF(X1037&lt;&gt;"",X1037,"")))</f>
        <v/>
      </c>
      <c r="AM1037" s="83" t="str">
        <f aca="false">IF(E1037="","",IF(R1037="","À SOUDER",IF(U1037="","VT EN ATTENTE",IF(U1037="R","VT REJETÉ – À REPRENDRE",IF(AL1037="","À RADIOGRAPHIER",IF(AL1037="A","ACCEPTÉ",IF(AL1037="NX","NX – RT À REFAIRE",IF(IF(AK1037=1,Z1037,IF(AK1037=2,AE1037,""))="A","RÉPARÉ – À RADIOGRAPHIER",IF(IF(AK1037=1,Z1037,IF(AK1037=2,AE1037,""))="R","VT REJETÉ – À REPRENDRE",IF(OR(AL1037="CO",AL1037="NT"),"COUPE – À RESOUDER","À RÉPARER"))))))))))</f>
        <v/>
      </c>
      <c r="AN1037" s="81" t="str">
        <f aca="false">IF(AND(ISNUMBER(R1037),OR(AM1037="À RADIOGRAPHIER",AM1037="RÉPARÉ – À RADIOGRAPHIER",AM1037="NX – RT À REFAIRE",AM1037="À RÉPARER",AM1037="COUPE – À RESOUDER",AM1037="VT REJETÉ – À REPRENDRE")),MAX(0,'PROGRAMME RT'!$C$4-R1037),"")</f>
        <v/>
      </c>
      <c r="AO1037" s="78" t="n">
        <f aca="false">IF(AND(OR(AM1037="À RADIOGRAPHIER",AM1037="RÉPARÉ – À RADIOGRAPHIER",AM1037="NX – RT À REFAIRE"),OR('PROGRAMME RT'!$D$5="TOUTES",B1037='PROGRAMME RT'!$D$5)),1,0)</f>
        <v>0</v>
      </c>
      <c r="AP1037" s="78" t="str">
        <f aca="false">IF(AO1037=1,SUM(AO$7:AO1037),"")</f>
        <v/>
      </c>
      <c r="AQ1037" s="78" t="n">
        <f aca="false">IF(AND(OR(X1037="R",X1037="NX",X1037="NT",X1037="CO"),OR('JOINTS DE RÉPARATION'!$D$5="TOUTES",B1037='JOINTS DE RÉPARATION'!$D$5),OR('JOINTS DE RÉPARATION'!$L$4="TOUS",AM1037&lt;&gt;"ACCEPTÉ")),1,0)</f>
        <v>0</v>
      </c>
      <c r="AR1037" s="78" t="str">
        <f aca="false">IF(AQ1037=1,SUM(AQ$7:AQ1037),"")</f>
        <v/>
      </c>
    </row>
    <row r="1038" customFormat="false" ht="15" hidden="false" customHeight="false" outlineLevel="0" collapsed="false">
      <c r="A1038" s="78" t="str">
        <f aca="false">IF(E1038="","",ROW()-6)</f>
        <v/>
      </c>
      <c r="B1038" s="79"/>
      <c r="C1038" s="80"/>
      <c r="D1038" s="80"/>
      <c r="E1038" s="80"/>
      <c r="F1038" s="80"/>
      <c r="G1038" s="80"/>
      <c r="H1038" s="80"/>
      <c r="I1038" s="80"/>
      <c r="J1038" s="80"/>
      <c r="K1038" s="80"/>
      <c r="L1038" s="81" t="str">
        <f aca="false">IF(K1038="","",IFERROR(INDEX(BARDAGE!$C$7:$C$1506,MATCH(K1038,BARDAGE!$B$7:$B$1506,0)),"? hors registre"))</f>
        <v/>
      </c>
      <c r="M1038" s="80"/>
      <c r="N1038" s="81" t="str">
        <f aca="false">IF(M1038="","",IFERROR(INDEX(BARDAGE!$C$7:$C$1506,MATCH(M1038,BARDAGE!$B$7:$B$1506,0)),"? hors registre"))</f>
        <v/>
      </c>
      <c r="O1038" s="80"/>
      <c r="P1038" s="80"/>
      <c r="Q1038" s="80"/>
      <c r="R1038" s="82"/>
      <c r="S1038" s="82"/>
      <c r="T1038" s="80"/>
      <c r="U1038" s="80"/>
      <c r="V1038" s="82"/>
      <c r="W1038" s="80"/>
      <c r="X1038" s="80"/>
      <c r="Y1038" s="80"/>
      <c r="Z1038" s="80"/>
      <c r="AA1038" s="82"/>
      <c r="AB1038" s="80"/>
      <c r="AC1038" s="80"/>
      <c r="AD1038" s="80"/>
      <c r="AE1038" s="80"/>
      <c r="AF1038" s="82"/>
      <c r="AG1038" s="80"/>
      <c r="AH1038" s="80"/>
      <c r="AI1038" s="82"/>
      <c r="AJ1038" s="79"/>
      <c r="AK1038" s="78" t="str">
        <f aca="false">IF(E1038="","",(X1038&lt;&gt;"")+(AC1038&lt;&gt;"")+(AH1038&lt;&gt;""))</f>
        <v/>
      </c>
      <c r="AL1038" s="81" t="str">
        <f aca="false">IF(AH1038&lt;&gt;"",AH1038,IF(AC1038&lt;&gt;"",AC1038,IF(X1038&lt;&gt;"",X1038,"")))</f>
        <v/>
      </c>
      <c r="AM1038" s="83" t="str">
        <f aca="false">IF(E1038="","",IF(R1038="","À SOUDER",IF(U1038="","VT EN ATTENTE",IF(U1038="R","VT REJETÉ – À REPRENDRE",IF(AL1038="","À RADIOGRAPHIER",IF(AL1038="A","ACCEPTÉ",IF(AL1038="NX","NX – RT À REFAIRE",IF(IF(AK1038=1,Z1038,IF(AK1038=2,AE1038,""))="A","RÉPARÉ – À RADIOGRAPHIER",IF(IF(AK1038=1,Z1038,IF(AK1038=2,AE1038,""))="R","VT REJETÉ – À REPRENDRE",IF(OR(AL1038="CO",AL1038="NT"),"COUPE – À RESOUDER","À RÉPARER"))))))))))</f>
        <v/>
      </c>
      <c r="AN1038" s="81" t="str">
        <f aca="false">IF(AND(ISNUMBER(R1038),OR(AM1038="À RADIOGRAPHIER",AM1038="RÉPARÉ – À RADIOGRAPHIER",AM1038="NX – RT À REFAIRE",AM1038="À RÉPARER",AM1038="COUPE – À RESOUDER",AM1038="VT REJETÉ – À REPRENDRE")),MAX(0,'PROGRAMME RT'!$C$4-R1038),"")</f>
        <v/>
      </c>
      <c r="AO1038" s="78" t="n">
        <f aca="false">IF(AND(OR(AM1038="À RADIOGRAPHIER",AM1038="RÉPARÉ – À RADIOGRAPHIER",AM1038="NX – RT À REFAIRE"),OR('PROGRAMME RT'!$D$5="TOUTES",B1038='PROGRAMME RT'!$D$5)),1,0)</f>
        <v>0</v>
      </c>
      <c r="AP1038" s="78" t="str">
        <f aca="false">IF(AO1038=1,SUM(AO$7:AO1038),"")</f>
        <v/>
      </c>
      <c r="AQ1038" s="78" t="n">
        <f aca="false">IF(AND(OR(X1038="R",X1038="NX",X1038="NT",X1038="CO"),OR('JOINTS DE RÉPARATION'!$D$5="TOUTES",B1038='JOINTS DE RÉPARATION'!$D$5),OR('JOINTS DE RÉPARATION'!$L$4="TOUS",AM1038&lt;&gt;"ACCEPTÉ")),1,0)</f>
        <v>0</v>
      </c>
      <c r="AR1038" s="78" t="str">
        <f aca="false">IF(AQ1038=1,SUM(AQ$7:AQ1038),"")</f>
        <v/>
      </c>
    </row>
    <row r="1039" customFormat="false" ht="15" hidden="false" customHeight="false" outlineLevel="0" collapsed="false">
      <c r="A1039" s="78" t="str">
        <f aca="false">IF(E1039="","",ROW()-6)</f>
        <v/>
      </c>
      <c r="B1039" s="79"/>
      <c r="C1039" s="80"/>
      <c r="D1039" s="80"/>
      <c r="E1039" s="80"/>
      <c r="F1039" s="80"/>
      <c r="G1039" s="80"/>
      <c r="H1039" s="80"/>
      <c r="I1039" s="80"/>
      <c r="J1039" s="80"/>
      <c r="K1039" s="80"/>
      <c r="L1039" s="81" t="str">
        <f aca="false">IF(K1039="","",IFERROR(INDEX(BARDAGE!$C$7:$C$1506,MATCH(K1039,BARDAGE!$B$7:$B$1506,0)),"? hors registre"))</f>
        <v/>
      </c>
      <c r="M1039" s="80"/>
      <c r="N1039" s="81" t="str">
        <f aca="false">IF(M1039="","",IFERROR(INDEX(BARDAGE!$C$7:$C$1506,MATCH(M1039,BARDAGE!$B$7:$B$1506,0)),"? hors registre"))</f>
        <v/>
      </c>
      <c r="O1039" s="80"/>
      <c r="P1039" s="80"/>
      <c r="Q1039" s="80"/>
      <c r="R1039" s="82"/>
      <c r="S1039" s="82"/>
      <c r="T1039" s="80"/>
      <c r="U1039" s="80"/>
      <c r="V1039" s="82"/>
      <c r="W1039" s="80"/>
      <c r="X1039" s="80"/>
      <c r="Y1039" s="80"/>
      <c r="Z1039" s="80"/>
      <c r="AA1039" s="82"/>
      <c r="AB1039" s="80"/>
      <c r="AC1039" s="80"/>
      <c r="AD1039" s="80"/>
      <c r="AE1039" s="80"/>
      <c r="AF1039" s="82"/>
      <c r="AG1039" s="80"/>
      <c r="AH1039" s="80"/>
      <c r="AI1039" s="82"/>
      <c r="AJ1039" s="79"/>
      <c r="AK1039" s="78" t="str">
        <f aca="false">IF(E1039="","",(X1039&lt;&gt;"")+(AC1039&lt;&gt;"")+(AH1039&lt;&gt;""))</f>
        <v/>
      </c>
      <c r="AL1039" s="81" t="str">
        <f aca="false">IF(AH1039&lt;&gt;"",AH1039,IF(AC1039&lt;&gt;"",AC1039,IF(X1039&lt;&gt;"",X1039,"")))</f>
        <v/>
      </c>
      <c r="AM1039" s="83" t="str">
        <f aca="false">IF(E1039="","",IF(R1039="","À SOUDER",IF(U1039="","VT EN ATTENTE",IF(U1039="R","VT REJETÉ – À REPRENDRE",IF(AL1039="","À RADIOGRAPHIER",IF(AL1039="A","ACCEPTÉ",IF(AL1039="NX","NX – RT À REFAIRE",IF(IF(AK1039=1,Z1039,IF(AK1039=2,AE1039,""))="A","RÉPARÉ – À RADIOGRAPHIER",IF(IF(AK1039=1,Z1039,IF(AK1039=2,AE1039,""))="R","VT REJETÉ – À REPRENDRE",IF(OR(AL1039="CO",AL1039="NT"),"COUPE – À RESOUDER","À RÉPARER"))))))))))</f>
        <v/>
      </c>
      <c r="AN1039" s="81" t="str">
        <f aca="false">IF(AND(ISNUMBER(R1039),OR(AM1039="À RADIOGRAPHIER",AM1039="RÉPARÉ – À RADIOGRAPHIER",AM1039="NX – RT À REFAIRE",AM1039="À RÉPARER",AM1039="COUPE – À RESOUDER",AM1039="VT REJETÉ – À REPRENDRE")),MAX(0,'PROGRAMME RT'!$C$4-R1039),"")</f>
        <v/>
      </c>
      <c r="AO1039" s="78" t="n">
        <f aca="false">IF(AND(OR(AM1039="À RADIOGRAPHIER",AM1039="RÉPARÉ – À RADIOGRAPHIER",AM1039="NX – RT À REFAIRE"),OR('PROGRAMME RT'!$D$5="TOUTES",B1039='PROGRAMME RT'!$D$5)),1,0)</f>
        <v>0</v>
      </c>
      <c r="AP1039" s="78" t="str">
        <f aca="false">IF(AO1039=1,SUM(AO$7:AO1039),"")</f>
        <v/>
      </c>
      <c r="AQ1039" s="78" t="n">
        <f aca="false">IF(AND(OR(X1039="R",X1039="NX",X1039="NT",X1039="CO"),OR('JOINTS DE RÉPARATION'!$D$5="TOUTES",B1039='JOINTS DE RÉPARATION'!$D$5),OR('JOINTS DE RÉPARATION'!$L$4="TOUS",AM1039&lt;&gt;"ACCEPTÉ")),1,0)</f>
        <v>0</v>
      </c>
      <c r="AR1039" s="78" t="str">
        <f aca="false">IF(AQ1039=1,SUM(AQ$7:AQ1039),"")</f>
        <v/>
      </c>
    </row>
    <row r="1040" customFormat="false" ht="15" hidden="false" customHeight="false" outlineLevel="0" collapsed="false">
      <c r="A1040" s="78" t="str">
        <f aca="false">IF(E1040="","",ROW()-6)</f>
        <v/>
      </c>
      <c r="B1040" s="79"/>
      <c r="C1040" s="80"/>
      <c r="D1040" s="80"/>
      <c r="E1040" s="80"/>
      <c r="F1040" s="80"/>
      <c r="G1040" s="80"/>
      <c r="H1040" s="80"/>
      <c r="I1040" s="80"/>
      <c r="J1040" s="80"/>
      <c r="K1040" s="80"/>
      <c r="L1040" s="81" t="str">
        <f aca="false">IF(K1040="","",IFERROR(INDEX(BARDAGE!$C$7:$C$1506,MATCH(K1040,BARDAGE!$B$7:$B$1506,0)),"? hors registre"))</f>
        <v/>
      </c>
      <c r="M1040" s="80"/>
      <c r="N1040" s="81" t="str">
        <f aca="false">IF(M1040="","",IFERROR(INDEX(BARDAGE!$C$7:$C$1506,MATCH(M1040,BARDAGE!$B$7:$B$1506,0)),"? hors registre"))</f>
        <v/>
      </c>
      <c r="O1040" s="80"/>
      <c r="P1040" s="80"/>
      <c r="Q1040" s="80"/>
      <c r="R1040" s="82"/>
      <c r="S1040" s="82"/>
      <c r="T1040" s="80"/>
      <c r="U1040" s="80"/>
      <c r="V1040" s="82"/>
      <c r="W1040" s="80"/>
      <c r="X1040" s="80"/>
      <c r="Y1040" s="80"/>
      <c r="Z1040" s="80"/>
      <c r="AA1040" s="82"/>
      <c r="AB1040" s="80"/>
      <c r="AC1040" s="80"/>
      <c r="AD1040" s="80"/>
      <c r="AE1040" s="80"/>
      <c r="AF1040" s="82"/>
      <c r="AG1040" s="80"/>
      <c r="AH1040" s="80"/>
      <c r="AI1040" s="82"/>
      <c r="AJ1040" s="79"/>
      <c r="AK1040" s="78" t="str">
        <f aca="false">IF(E1040="","",(X1040&lt;&gt;"")+(AC1040&lt;&gt;"")+(AH1040&lt;&gt;""))</f>
        <v/>
      </c>
      <c r="AL1040" s="81" t="str">
        <f aca="false">IF(AH1040&lt;&gt;"",AH1040,IF(AC1040&lt;&gt;"",AC1040,IF(X1040&lt;&gt;"",X1040,"")))</f>
        <v/>
      </c>
      <c r="AM1040" s="83" t="str">
        <f aca="false">IF(E1040="","",IF(R1040="","À SOUDER",IF(U1040="","VT EN ATTENTE",IF(U1040="R","VT REJETÉ – À REPRENDRE",IF(AL1040="","À RADIOGRAPHIER",IF(AL1040="A","ACCEPTÉ",IF(AL1040="NX","NX – RT À REFAIRE",IF(IF(AK1040=1,Z1040,IF(AK1040=2,AE1040,""))="A","RÉPARÉ – À RADIOGRAPHIER",IF(IF(AK1040=1,Z1040,IF(AK1040=2,AE1040,""))="R","VT REJETÉ – À REPRENDRE",IF(OR(AL1040="CO",AL1040="NT"),"COUPE – À RESOUDER","À RÉPARER"))))))))))</f>
        <v/>
      </c>
      <c r="AN1040" s="81" t="str">
        <f aca="false">IF(AND(ISNUMBER(R1040),OR(AM1040="À RADIOGRAPHIER",AM1040="RÉPARÉ – À RADIOGRAPHIER",AM1040="NX – RT À REFAIRE",AM1040="À RÉPARER",AM1040="COUPE – À RESOUDER",AM1040="VT REJETÉ – À REPRENDRE")),MAX(0,'PROGRAMME RT'!$C$4-R1040),"")</f>
        <v/>
      </c>
      <c r="AO1040" s="78" t="n">
        <f aca="false">IF(AND(OR(AM1040="À RADIOGRAPHIER",AM1040="RÉPARÉ – À RADIOGRAPHIER",AM1040="NX – RT À REFAIRE"),OR('PROGRAMME RT'!$D$5="TOUTES",B1040='PROGRAMME RT'!$D$5)),1,0)</f>
        <v>0</v>
      </c>
      <c r="AP1040" s="78" t="str">
        <f aca="false">IF(AO1040=1,SUM(AO$7:AO1040),"")</f>
        <v/>
      </c>
      <c r="AQ1040" s="78" t="n">
        <f aca="false">IF(AND(OR(X1040="R",X1040="NX",X1040="NT",X1040="CO"),OR('JOINTS DE RÉPARATION'!$D$5="TOUTES",B1040='JOINTS DE RÉPARATION'!$D$5),OR('JOINTS DE RÉPARATION'!$L$4="TOUS",AM1040&lt;&gt;"ACCEPTÉ")),1,0)</f>
        <v>0</v>
      </c>
      <c r="AR1040" s="78" t="str">
        <f aca="false">IF(AQ1040=1,SUM(AQ$7:AQ1040),"")</f>
        <v/>
      </c>
    </row>
    <row r="1041" customFormat="false" ht="15" hidden="false" customHeight="false" outlineLevel="0" collapsed="false">
      <c r="A1041" s="78" t="str">
        <f aca="false">IF(E1041="","",ROW()-6)</f>
        <v/>
      </c>
      <c r="B1041" s="79"/>
      <c r="C1041" s="80"/>
      <c r="D1041" s="80"/>
      <c r="E1041" s="80"/>
      <c r="F1041" s="80"/>
      <c r="G1041" s="80"/>
      <c r="H1041" s="80"/>
      <c r="I1041" s="80"/>
      <c r="J1041" s="80"/>
      <c r="K1041" s="80"/>
      <c r="L1041" s="81" t="str">
        <f aca="false">IF(K1041="","",IFERROR(INDEX(BARDAGE!$C$7:$C$1506,MATCH(K1041,BARDAGE!$B$7:$B$1506,0)),"? hors registre"))</f>
        <v/>
      </c>
      <c r="M1041" s="80"/>
      <c r="N1041" s="81" t="str">
        <f aca="false">IF(M1041="","",IFERROR(INDEX(BARDAGE!$C$7:$C$1506,MATCH(M1041,BARDAGE!$B$7:$B$1506,0)),"? hors registre"))</f>
        <v/>
      </c>
      <c r="O1041" s="80"/>
      <c r="P1041" s="80"/>
      <c r="Q1041" s="80"/>
      <c r="R1041" s="82"/>
      <c r="S1041" s="82"/>
      <c r="T1041" s="80"/>
      <c r="U1041" s="80"/>
      <c r="V1041" s="82"/>
      <c r="W1041" s="80"/>
      <c r="X1041" s="80"/>
      <c r="Y1041" s="80"/>
      <c r="Z1041" s="80"/>
      <c r="AA1041" s="82"/>
      <c r="AB1041" s="80"/>
      <c r="AC1041" s="80"/>
      <c r="AD1041" s="80"/>
      <c r="AE1041" s="80"/>
      <c r="AF1041" s="82"/>
      <c r="AG1041" s="80"/>
      <c r="AH1041" s="80"/>
      <c r="AI1041" s="82"/>
      <c r="AJ1041" s="79"/>
      <c r="AK1041" s="78" t="str">
        <f aca="false">IF(E1041="","",(X1041&lt;&gt;"")+(AC1041&lt;&gt;"")+(AH1041&lt;&gt;""))</f>
        <v/>
      </c>
      <c r="AL1041" s="81" t="str">
        <f aca="false">IF(AH1041&lt;&gt;"",AH1041,IF(AC1041&lt;&gt;"",AC1041,IF(X1041&lt;&gt;"",X1041,"")))</f>
        <v/>
      </c>
      <c r="AM1041" s="83" t="str">
        <f aca="false">IF(E1041="","",IF(R1041="","À SOUDER",IF(U1041="","VT EN ATTENTE",IF(U1041="R","VT REJETÉ – À REPRENDRE",IF(AL1041="","À RADIOGRAPHIER",IF(AL1041="A","ACCEPTÉ",IF(AL1041="NX","NX – RT À REFAIRE",IF(IF(AK1041=1,Z1041,IF(AK1041=2,AE1041,""))="A","RÉPARÉ – À RADIOGRAPHIER",IF(IF(AK1041=1,Z1041,IF(AK1041=2,AE1041,""))="R","VT REJETÉ – À REPRENDRE",IF(OR(AL1041="CO",AL1041="NT"),"COUPE – À RESOUDER","À RÉPARER"))))))))))</f>
        <v/>
      </c>
      <c r="AN1041" s="81" t="str">
        <f aca="false">IF(AND(ISNUMBER(R1041),OR(AM1041="À RADIOGRAPHIER",AM1041="RÉPARÉ – À RADIOGRAPHIER",AM1041="NX – RT À REFAIRE",AM1041="À RÉPARER",AM1041="COUPE – À RESOUDER",AM1041="VT REJETÉ – À REPRENDRE")),MAX(0,'PROGRAMME RT'!$C$4-R1041),"")</f>
        <v/>
      </c>
      <c r="AO1041" s="78" t="n">
        <f aca="false">IF(AND(OR(AM1041="À RADIOGRAPHIER",AM1041="RÉPARÉ – À RADIOGRAPHIER",AM1041="NX – RT À REFAIRE"),OR('PROGRAMME RT'!$D$5="TOUTES",B1041='PROGRAMME RT'!$D$5)),1,0)</f>
        <v>0</v>
      </c>
      <c r="AP1041" s="78" t="str">
        <f aca="false">IF(AO1041=1,SUM(AO$7:AO1041),"")</f>
        <v/>
      </c>
      <c r="AQ1041" s="78" t="n">
        <f aca="false">IF(AND(OR(X1041="R",X1041="NX",X1041="NT",X1041="CO"),OR('JOINTS DE RÉPARATION'!$D$5="TOUTES",B1041='JOINTS DE RÉPARATION'!$D$5),OR('JOINTS DE RÉPARATION'!$L$4="TOUS",AM1041&lt;&gt;"ACCEPTÉ")),1,0)</f>
        <v>0</v>
      </c>
      <c r="AR1041" s="78" t="str">
        <f aca="false">IF(AQ1041=1,SUM(AQ$7:AQ1041),"")</f>
        <v/>
      </c>
    </row>
    <row r="1042" customFormat="false" ht="15" hidden="false" customHeight="false" outlineLevel="0" collapsed="false">
      <c r="A1042" s="78" t="str">
        <f aca="false">IF(E1042="","",ROW()-6)</f>
        <v/>
      </c>
      <c r="B1042" s="79"/>
      <c r="C1042" s="80"/>
      <c r="D1042" s="80"/>
      <c r="E1042" s="80"/>
      <c r="F1042" s="80"/>
      <c r="G1042" s="80"/>
      <c r="H1042" s="80"/>
      <c r="I1042" s="80"/>
      <c r="J1042" s="80"/>
      <c r="K1042" s="80"/>
      <c r="L1042" s="81" t="str">
        <f aca="false">IF(K1042="","",IFERROR(INDEX(BARDAGE!$C$7:$C$1506,MATCH(K1042,BARDAGE!$B$7:$B$1506,0)),"? hors registre"))</f>
        <v/>
      </c>
      <c r="M1042" s="80"/>
      <c r="N1042" s="81" t="str">
        <f aca="false">IF(M1042="","",IFERROR(INDEX(BARDAGE!$C$7:$C$1506,MATCH(M1042,BARDAGE!$B$7:$B$1506,0)),"? hors registre"))</f>
        <v/>
      </c>
      <c r="O1042" s="80"/>
      <c r="P1042" s="80"/>
      <c r="Q1042" s="80"/>
      <c r="R1042" s="82"/>
      <c r="S1042" s="82"/>
      <c r="T1042" s="80"/>
      <c r="U1042" s="80"/>
      <c r="V1042" s="82"/>
      <c r="W1042" s="80"/>
      <c r="X1042" s="80"/>
      <c r="Y1042" s="80"/>
      <c r="Z1042" s="80"/>
      <c r="AA1042" s="82"/>
      <c r="AB1042" s="80"/>
      <c r="AC1042" s="80"/>
      <c r="AD1042" s="80"/>
      <c r="AE1042" s="80"/>
      <c r="AF1042" s="82"/>
      <c r="AG1042" s="80"/>
      <c r="AH1042" s="80"/>
      <c r="AI1042" s="82"/>
      <c r="AJ1042" s="79"/>
      <c r="AK1042" s="78" t="str">
        <f aca="false">IF(E1042="","",(X1042&lt;&gt;"")+(AC1042&lt;&gt;"")+(AH1042&lt;&gt;""))</f>
        <v/>
      </c>
      <c r="AL1042" s="81" t="str">
        <f aca="false">IF(AH1042&lt;&gt;"",AH1042,IF(AC1042&lt;&gt;"",AC1042,IF(X1042&lt;&gt;"",X1042,"")))</f>
        <v/>
      </c>
      <c r="AM1042" s="83" t="str">
        <f aca="false">IF(E1042="","",IF(R1042="","À SOUDER",IF(U1042="","VT EN ATTENTE",IF(U1042="R","VT REJETÉ – À REPRENDRE",IF(AL1042="","À RADIOGRAPHIER",IF(AL1042="A","ACCEPTÉ",IF(AL1042="NX","NX – RT À REFAIRE",IF(IF(AK1042=1,Z1042,IF(AK1042=2,AE1042,""))="A","RÉPARÉ – À RADIOGRAPHIER",IF(IF(AK1042=1,Z1042,IF(AK1042=2,AE1042,""))="R","VT REJETÉ – À REPRENDRE",IF(OR(AL1042="CO",AL1042="NT"),"COUPE – À RESOUDER","À RÉPARER"))))))))))</f>
        <v/>
      </c>
      <c r="AN1042" s="81" t="str">
        <f aca="false">IF(AND(ISNUMBER(R1042),OR(AM1042="À RADIOGRAPHIER",AM1042="RÉPARÉ – À RADIOGRAPHIER",AM1042="NX – RT À REFAIRE",AM1042="À RÉPARER",AM1042="COUPE – À RESOUDER",AM1042="VT REJETÉ – À REPRENDRE")),MAX(0,'PROGRAMME RT'!$C$4-R1042),"")</f>
        <v/>
      </c>
      <c r="AO1042" s="78" t="n">
        <f aca="false">IF(AND(OR(AM1042="À RADIOGRAPHIER",AM1042="RÉPARÉ – À RADIOGRAPHIER",AM1042="NX – RT À REFAIRE"),OR('PROGRAMME RT'!$D$5="TOUTES",B1042='PROGRAMME RT'!$D$5)),1,0)</f>
        <v>0</v>
      </c>
      <c r="AP1042" s="78" t="str">
        <f aca="false">IF(AO1042=1,SUM(AO$7:AO1042),"")</f>
        <v/>
      </c>
      <c r="AQ1042" s="78" t="n">
        <f aca="false">IF(AND(OR(X1042="R",X1042="NX",X1042="NT",X1042="CO"),OR('JOINTS DE RÉPARATION'!$D$5="TOUTES",B1042='JOINTS DE RÉPARATION'!$D$5),OR('JOINTS DE RÉPARATION'!$L$4="TOUS",AM1042&lt;&gt;"ACCEPTÉ")),1,0)</f>
        <v>0</v>
      </c>
      <c r="AR1042" s="78" t="str">
        <f aca="false">IF(AQ1042=1,SUM(AQ$7:AQ1042),"")</f>
        <v/>
      </c>
    </row>
    <row r="1043" customFormat="false" ht="15" hidden="false" customHeight="false" outlineLevel="0" collapsed="false">
      <c r="A1043" s="78" t="str">
        <f aca="false">IF(E1043="","",ROW()-6)</f>
        <v/>
      </c>
      <c r="B1043" s="79"/>
      <c r="C1043" s="80"/>
      <c r="D1043" s="80"/>
      <c r="E1043" s="80"/>
      <c r="F1043" s="80"/>
      <c r="G1043" s="80"/>
      <c r="H1043" s="80"/>
      <c r="I1043" s="80"/>
      <c r="J1043" s="80"/>
      <c r="K1043" s="80"/>
      <c r="L1043" s="81" t="str">
        <f aca="false">IF(K1043="","",IFERROR(INDEX(BARDAGE!$C$7:$C$1506,MATCH(K1043,BARDAGE!$B$7:$B$1506,0)),"? hors registre"))</f>
        <v/>
      </c>
      <c r="M1043" s="80"/>
      <c r="N1043" s="81" t="str">
        <f aca="false">IF(M1043="","",IFERROR(INDEX(BARDAGE!$C$7:$C$1506,MATCH(M1043,BARDAGE!$B$7:$B$1506,0)),"? hors registre"))</f>
        <v/>
      </c>
      <c r="O1043" s="80"/>
      <c r="P1043" s="80"/>
      <c r="Q1043" s="80"/>
      <c r="R1043" s="82"/>
      <c r="S1043" s="82"/>
      <c r="T1043" s="80"/>
      <c r="U1043" s="80"/>
      <c r="V1043" s="82"/>
      <c r="W1043" s="80"/>
      <c r="X1043" s="80"/>
      <c r="Y1043" s="80"/>
      <c r="Z1043" s="80"/>
      <c r="AA1043" s="82"/>
      <c r="AB1043" s="80"/>
      <c r="AC1043" s="80"/>
      <c r="AD1043" s="80"/>
      <c r="AE1043" s="80"/>
      <c r="AF1043" s="82"/>
      <c r="AG1043" s="80"/>
      <c r="AH1043" s="80"/>
      <c r="AI1043" s="82"/>
      <c r="AJ1043" s="79"/>
      <c r="AK1043" s="78" t="str">
        <f aca="false">IF(E1043="","",(X1043&lt;&gt;"")+(AC1043&lt;&gt;"")+(AH1043&lt;&gt;""))</f>
        <v/>
      </c>
      <c r="AL1043" s="81" t="str">
        <f aca="false">IF(AH1043&lt;&gt;"",AH1043,IF(AC1043&lt;&gt;"",AC1043,IF(X1043&lt;&gt;"",X1043,"")))</f>
        <v/>
      </c>
      <c r="AM1043" s="83" t="str">
        <f aca="false">IF(E1043="","",IF(R1043="","À SOUDER",IF(U1043="","VT EN ATTENTE",IF(U1043="R","VT REJETÉ – À REPRENDRE",IF(AL1043="","À RADIOGRAPHIER",IF(AL1043="A","ACCEPTÉ",IF(AL1043="NX","NX – RT À REFAIRE",IF(IF(AK1043=1,Z1043,IF(AK1043=2,AE1043,""))="A","RÉPARÉ – À RADIOGRAPHIER",IF(IF(AK1043=1,Z1043,IF(AK1043=2,AE1043,""))="R","VT REJETÉ – À REPRENDRE",IF(OR(AL1043="CO",AL1043="NT"),"COUPE – À RESOUDER","À RÉPARER"))))))))))</f>
        <v/>
      </c>
      <c r="AN1043" s="81" t="str">
        <f aca="false">IF(AND(ISNUMBER(R1043),OR(AM1043="À RADIOGRAPHIER",AM1043="RÉPARÉ – À RADIOGRAPHIER",AM1043="NX – RT À REFAIRE",AM1043="À RÉPARER",AM1043="COUPE – À RESOUDER",AM1043="VT REJETÉ – À REPRENDRE")),MAX(0,'PROGRAMME RT'!$C$4-R1043),"")</f>
        <v/>
      </c>
      <c r="AO1043" s="78" t="n">
        <f aca="false">IF(AND(OR(AM1043="À RADIOGRAPHIER",AM1043="RÉPARÉ – À RADIOGRAPHIER",AM1043="NX – RT À REFAIRE"),OR('PROGRAMME RT'!$D$5="TOUTES",B1043='PROGRAMME RT'!$D$5)),1,0)</f>
        <v>0</v>
      </c>
      <c r="AP1043" s="78" t="str">
        <f aca="false">IF(AO1043=1,SUM(AO$7:AO1043),"")</f>
        <v/>
      </c>
      <c r="AQ1043" s="78" t="n">
        <f aca="false">IF(AND(OR(X1043="R",X1043="NX",X1043="NT",X1043="CO"),OR('JOINTS DE RÉPARATION'!$D$5="TOUTES",B1043='JOINTS DE RÉPARATION'!$D$5),OR('JOINTS DE RÉPARATION'!$L$4="TOUS",AM1043&lt;&gt;"ACCEPTÉ")),1,0)</f>
        <v>0</v>
      </c>
      <c r="AR1043" s="78" t="str">
        <f aca="false">IF(AQ1043=1,SUM(AQ$7:AQ1043),"")</f>
        <v/>
      </c>
    </row>
    <row r="1044" customFormat="false" ht="15" hidden="false" customHeight="false" outlineLevel="0" collapsed="false">
      <c r="A1044" s="78" t="str">
        <f aca="false">IF(E1044="","",ROW()-6)</f>
        <v/>
      </c>
      <c r="B1044" s="79"/>
      <c r="C1044" s="80"/>
      <c r="D1044" s="80"/>
      <c r="E1044" s="80"/>
      <c r="F1044" s="80"/>
      <c r="G1044" s="80"/>
      <c r="H1044" s="80"/>
      <c r="I1044" s="80"/>
      <c r="J1044" s="80"/>
      <c r="K1044" s="80"/>
      <c r="L1044" s="81" t="str">
        <f aca="false">IF(K1044="","",IFERROR(INDEX(BARDAGE!$C$7:$C$1506,MATCH(K1044,BARDAGE!$B$7:$B$1506,0)),"? hors registre"))</f>
        <v/>
      </c>
      <c r="M1044" s="80"/>
      <c r="N1044" s="81" t="str">
        <f aca="false">IF(M1044="","",IFERROR(INDEX(BARDAGE!$C$7:$C$1506,MATCH(M1044,BARDAGE!$B$7:$B$1506,0)),"? hors registre"))</f>
        <v/>
      </c>
      <c r="O1044" s="80"/>
      <c r="P1044" s="80"/>
      <c r="Q1044" s="80"/>
      <c r="R1044" s="82"/>
      <c r="S1044" s="82"/>
      <c r="T1044" s="80"/>
      <c r="U1044" s="80"/>
      <c r="V1044" s="82"/>
      <c r="W1044" s="80"/>
      <c r="X1044" s="80"/>
      <c r="Y1044" s="80"/>
      <c r="Z1044" s="80"/>
      <c r="AA1044" s="82"/>
      <c r="AB1044" s="80"/>
      <c r="AC1044" s="80"/>
      <c r="AD1044" s="80"/>
      <c r="AE1044" s="80"/>
      <c r="AF1044" s="82"/>
      <c r="AG1044" s="80"/>
      <c r="AH1044" s="80"/>
      <c r="AI1044" s="82"/>
      <c r="AJ1044" s="79"/>
      <c r="AK1044" s="78" t="str">
        <f aca="false">IF(E1044="","",(X1044&lt;&gt;"")+(AC1044&lt;&gt;"")+(AH1044&lt;&gt;""))</f>
        <v/>
      </c>
      <c r="AL1044" s="81" t="str">
        <f aca="false">IF(AH1044&lt;&gt;"",AH1044,IF(AC1044&lt;&gt;"",AC1044,IF(X1044&lt;&gt;"",X1044,"")))</f>
        <v/>
      </c>
      <c r="AM1044" s="83" t="str">
        <f aca="false">IF(E1044="","",IF(R1044="","À SOUDER",IF(U1044="","VT EN ATTENTE",IF(U1044="R","VT REJETÉ – À REPRENDRE",IF(AL1044="","À RADIOGRAPHIER",IF(AL1044="A","ACCEPTÉ",IF(AL1044="NX","NX – RT À REFAIRE",IF(IF(AK1044=1,Z1044,IF(AK1044=2,AE1044,""))="A","RÉPARÉ – À RADIOGRAPHIER",IF(IF(AK1044=1,Z1044,IF(AK1044=2,AE1044,""))="R","VT REJETÉ – À REPRENDRE",IF(OR(AL1044="CO",AL1044="NT"),"COUPE – À RESOUDER","À RÉPARER"))))))))))</f>
        <v/>
      </c>
      <c r="AN1044" s="81" t="str">
        <f aca="false">IF(AND(ISNUMBER(R1044),OR(AM1044="À RADIOGRAPHIER",AM1044="RÉPARÉ – À RADIOGRAPHIER",AM1044="NX – RT À REFAIRE",AM1044="À RÉPARER",AM1044="COUPE – À RESOUDER",AM1044="VT REJETÉ – À REPRENDRE")),MAX(0,'PROGRAMME RT'!$C$4-R1044),"")</f>
        <v/>
      </c>
      <c r="AO1044" s="78" t="n">
        <f aca="false">IF(AND(OR(AM1044="À RADIOGRAPHIER",AM1044="RÉPARÉ – À RADIOGRAPHIER",AM1044="NX – RT À REFAIRE"),OR('PROGRAMME RT'!$D$5="TOUTES",B1044='PROGRAMME RT'!$D$5)),1,0)</f>
        <v>0</v>
      </c>
      <c r="AP1044" s="78" t="str">
        <f aca="false">IF(AO1044=1,SUM(AO$7:AO1044),"")</f>
        <v/>
      </c>
      <c r="AQ1044" s="78" t="n">
        <f aca="false">IF(AND(OR(X1044="R",X1044="NX",X1044="NT",X1044="CO"),OR('JOINTS DE RÉPARATION'!$D$5="TOUTES",B1044='JOINTS DE RÉPARATION'!$D$5),OR('JOINTS DE RÉPARATION'!$L$4="TOUS",AM1044&lt;&gt;"ACCEPTÉ")),1,0)</f>
        <v>0</v>
      </c>
      <c r="AR1044" s="78" t="str">
        <f aca="false">IF(AQ1044=1,SUM(AQ$7:AQ1044),"")</f>
        <v/>
      </c>
    </row>
    <row r="1045" customFormat="false" ht="15" hidden="false" customHeight="false" outlineLevel="0" collapsed="false">
      <c r="A1045" s="78" t="str">
        <f aca="false">IF(E1045="","",ROW()-6)</f>
        <v/>
      </c>
      <c r="B1045" s="79"/>
      <c r="C1045" s="80"/>
      <c r="D1045" s="80"/>
      <c r="E1045" s="80"/>
      <c r="F1045" s="80"/>
      <c r="G1045" s="80"/>
      <c r="H1045" s="80"/>
      <c r="I1045" s="80"/>
      <c r="J1045" s="80"/>
      <c r="K1045" s="80"/>
      <c r="L1045" s="81" t="str">
        <f aca="false">IF(K1045="","",IFERROR(INDEX(BARDAGE!$C$7:$C$1506,MATCH(K1045,BARDAGE!$B$7:$B$1506,0)),"? hors registre"))</f>
        <v/>
      </c>
      <c r="M1045" s="80"/>
      <c r="N1045" s="81" t="str">
        <f aca="false">IF(M1045="","",IFERROR(INDEX(BARDAGE!$C$7:$C$1506,MATCH(M1045,BARDAGE!$B$7:$B$1506,0)),"? hors registre"))</f>
        <v/>
      </c>
      <c r="O1045" s="80"/>
      <c r="P1045" s="80"/>
      <c r="Q1045" s="80"/>
      <c r="R1045" s="82"/>
      <c r="S1045" s="82"/>
      <c r="T1045" s="80"/>
      <c r="U1045" s="80"/>
      <c r="V1045" s="82"/>
      <c r="W1045" s="80"/>
      <c r="X1045" s="80"/>
      <c r="Y1045" s="80"/>
      <c r="Z1045" s="80"/>
      <c r="AA1045" s="82"/>
      <c r="AB1045" s="80"/>
      <c r="AC1045" s="80"/>
      <c r="AD1045" s="80"/>
      <c r="AE1045" s="80"/>
      <c r="AF1045" s="82"/>
      <c r="AG1045" s="80"/>
      <c r="AH1045" s="80"/>
      <c r="AI1045" s="82"/>
      <c r="AJ1045" s="79"/>
      <c r="AK1045" s="78" t="str">
        <f aca="false">IF(E1045="","",(X1045&lt;&gt;"")+(AC1045&lt;&gt;"")+(AH1045&lt;&gt;""))</f>
        <v/>
      </c>
      <c r="AL1045" s="81" t="str">
        <f aca="false">IF(AH1045&lt;&gt;"",AH1045,IF(AC1045&lt;&gt;"",AC1045,IF(X1045&lt;&gt;"",X1045,"")))</f>
        <v/>
      </c>
      <c r="AM1045" s="83" t="str">
        <f aca="false">IF(E1045="","",IF(R1045="","À SOUDER",IF(U1045="","VT EN ATTENTE",IF(U1045="R","VT REJETÉ – À REPRENDRE",IF(AL1045="","À RADIOGRAPHIER",IF(AL1045="A","ACCEPTÉ",IF(AL1045="NX","NX – RT À REFAIRE",IF(IF(AK1045=1,Z1045,IF(AK1045=2,AE1045,""))="A","RÉPARÉ – À RADIOGRAPHIER",IF(IF(AK1045=1,Z1045,IF(AK1045=2,AE1045,""))="R","VT REJETÉ – À REPRENDRE",IF(OR(AL1045="CO",AL1045="NT"),"COUPE – À RESOUDER","À RÉPARER"))))))))))</f>
        <v/>
      </c>
      <c r="AN1045" s="81" t="str">
        <f aca="false">IF(AND(ISNUMBER(R1045),OR(AM1045="À RADIOGRAPHIER",AM1045="RÉPARÉ – À RADIOGRAPHIER",AM1045="NX – RT À REFAIRE",AM1045="À RÉPARER",AM1045="COUPE – À RESOUDER",AM1045="VT REJETÉ – À REPRENDRE")),MAX(0,'PROGRAMME RT'!$C$4-R1045),"")</f>
        <v/>
      </c>
      <c r="AO1045" s="78" t="n">
        <f aca="false">IF(AND(OR(AM1045="À RADIOGRAPHIER",AM1045="RÉPARÉ – À RADIOGRAPHIER",AM1045="NX – RT À REFAIRE"),OR('PROGRAMME RT'!$D$5="TOUTES",B1045='PROGRAMME RT'!$D$5)),1,0)</f>
        <v>0</v>
      </c>
      <c r="AP1045" s="78" t="str">
        <f aca="false">IF(AO1045=1,SUM(AO$7:AO1045),"")</f>
        <v/>
      </c>
      <c r="AQ1045" s="78" t="n">
        <f aca="false">IF(AND(OR(X1045="R",X1045="NX",X1045="NT",X1045="CO"),OR('JOINTS DE RÉPARATION'!$D$5="TOUTES",B1045='JOINTS DE RÉPARATION'!$D$5),OR('JOINTS DE RÉPARATION'!$L$4="TOUS",AM1045&lt;&gt;"ACCEPTÉ")),1,0)</f>
        <v>0</v>
      </c>
      <c r="AR1045" s="78" t="str">
        <f aca="false">IF(AQ1045=1,SUM(AQ$7:AQ1045),"")</f>
        <v/>
      </c>
    </row>
    <row r="1046" customFormat="false" ht="15" hidden="false" customHeight="false" outlineLevel="0" collapsed="false">
      <c r="A1046" s="78" t="str">
        <f aca="false">IF(E1046="","",ROW()-6)</f>
        <v/>
      </c>
      <c r="B1046" s="79"/>
      <c r="C1046" s="80"/>
      <c r="D1046" s="80"/>
      <c r="E1046" s="80"/>
      <c r="F1046" s="80"/>
      <c r="G1046" s="80"/>
      <c r="H1046" s="80"/>
      <c r="I1046" s="80"/>
      <c r="J1046" s="80"/>
      <c r="K1046" s="80"/>
      <c r="L1046" s="81" t="str">
        <f aca="false">IF(K1046="","",IFERROR(INDEX(BARDAGE!$C$7:$C$1506,MATCH(K1046,BARDAGE!$B$7:$B$1506,0)),"? hors registre"))</f>
        <v/>
      </c>
      <c r="M1046" s="80"/>
      <c r="N1046" s="81" t="str">
        <f aca="false">IF(M1046="","",IFERROR(INDEX(BARDAGE!$C$7:$C$1506,MATCH(M1046,BARDAGE!$B$7:$B$1506,0)),"? hors registre"))</f>
        <v/>
      </c>
      <c r="O1046" s="80"/>
      <c r="P1046" s="80"/>
      <c r="Q1046" s="80"/>
      <c r="R1046" s="82"/>
      <c r="S1046" s="82"/>
      <c r="T1046" s="80"/>
      <c r="U1046" s="80"/>
      <c r="V1046" s="82"/>
      <c r="W1046" s="80"/>
      <c r="X1046" s="80"/>
      <c r="Y1046" s="80"/>
      <c r="Z1046" s="80"/>
      <c r="AA1046" s="82"/>
      <c r="AB1046" s="80"/>
      <c r="AC1046" s="80"/>
      <c r="AD1046" s="80"/>
      <c r="AE1046" s="80"/>
      <c r="AF1046" s="82"/>
      <c r="AG1046" s="80"/>
      <c r="AH1046" s="80"/>
      <c r="AI1046" s="82"/>
      <c r="AJ1046" s="79"/>
      <c r="AK1046" s="78" t="str">
        <f aca="false">IF(E1046="","",(X1046&lt;&gt;"")+(AC1046&lt;&gt;"")+(AH1046&lt;&gt;""))</f>
        <v/>
      </c>
      <c r="AL1046" s="81" t="str">
        <f aca="false">IF(AH1046&lt;&gt;"",AH1046,IF(AC1046&lt;&gt;"",AC1046,IF(X1046&lt;&gt;"",X1046,"")))</f>
        <v/>
      </c>
      <c r="AM1046" s="83" t="str">
        <f aca="false">IF(E1046="","",IF(R1046="","À SOUDER",IF(U1046="","VT EN ATTENTE",IF(U1046="R","VT REJETÉ – À REPRENDRE",IF(AL1046="","À RADIOGRAPHIER",IF(AL1046="A","ACCEPTÉ",IF(AL1046="NX","NX – RT À REFAIRE",IF(IF(AK1046=1,Z1046,IF(AK1046=2,AE1046,""))="A","RÉPARÉ – À RADIOGRAPHIER",IF(IF(AK1046=1,Z1046,IF(AK1046=2,AE1046,""))="R","VT REJETÉ – À REPRENDRE",IF(OR(AL1046="CO",AL1046="NT"),"COUPE – À RESOUDER","À RÉPARER"))))))))))</f>
        <v/>
      </c>
      <c r="AN1046" s="81" t="str">
        <f aca="false">IF(AND(ISNUMBER(R1046),OR(AM1046="À RADIOGRAPHIER",AM1046="RÉPARÉ – À RADIOGRAPHIER",AM1046="NX – RT À REFAIRE",AM1046="À RÉPARER",AM1046="COUPE – À RESOUDER",AM1046="VT REJETÉ – À REPRENDRE")),MAX(0,'PROGRAMME RT'!$C$4-R1046),"")</f>
        <v/>
      </c>
      <c r="AO1046" s="78" t="n">
        <f aca="false">IF(AND(OR(AM1046="À RADIOGRAPHIER",AM1046="RÉPARÉ – À RADIOGRAPHIER",AM1046="NX – RT À REFAIRE"),OR('PROGRAMME RT'!$D$5="TOUTES",B1046='PROGRAMME RT'!$D$5)),1,0)</f>
        <v>0</v>
      </c>
      <c r="AP1046" s="78" t="str">
        <f aca="false">IF(AO1046=1,SUM(AO$7:AO1046),"")</f>
        <v/>
      </c>
      <c r="AQ1046" s="78" t="n">
        <f aca="false">IF(AND(OR(X1046="R",X1046="NX",X1046="NT",X1046="CO"),OR('JOINTS DE RÉPARATION'!$D$5="TOUTES",B1046='JOINTS DE RÉPARATION'!$D$5),OR('JOINTS DE RÉPARATION'!$L$4="TOUS",AM1046&lt;&gt;"ACCEPTÉ")),1,0)</f>
        <v>0</v>
      </c>
      <c r="AR1046" s="78" t="str">
        <f aca="false">IF(AQ1046=1,SUM(AQ$7:AQ1046),"")</f>
        <v/>
      </c>
    </row>
    <row r="1047" customFormat="false" ht="15" hidden="false" customHeight="false" outlineLevel="0" collapsed="false">
      <c r="A1047" s="78" t="str">
        <f aca="false">IF(E1047="","",ROW()-6)</f>
        <v/>
      </c>
      <c r="B1047" s="79"/>
      <c r="C1047" s="80"/>
      <c r="D1047" s="80"/>
      <c r="E1047" s="80"/>
      <c r="F1047" s="80"/>
      <c r="G1047" s="80"/>
      <c r="H1047" s="80"/>
      <c r="I1047" s="80"/>
      <c r="J1047" s="80"/>
      <c r="K1047" s="80"/>
      <c r="L1047" s="81" t="str">
        <f aca="false">IF(K1047="","",IFERROR(INDEX(BARDAGE!$C$7:$C$1506,MATCH(K1047,BARDAGE!$B$7:$B$1506,0)),"? hors registre"))</f>
        <v/>
      </c>
      <c r="M1047" s="80"/>
      <c r="N1047" s="81" t="str">
        <f aca="false">IF(M1047="","",IFERROR(INDEX(BARDAGE!$C$7:$C$1506,MATCH(M1047,BARDAGE!$B$7:$B$1506,0)),"? hors registre"))</f>
        <v/>
      </c>
      <c r="O1047" s="80"/>
      <c r="P1047" s="80"/>
      <c r="Q1047" s="80"/>
      <c r="R1047" s="82"/>
      <c r="S1047" s="82"/>
      <c r="T1047" s="80"/>
      <c r="U1047" s="80"/>
      <c r="V1047" s="82"/>
      <c r="W1047" s="80"/>
      <c r="X1047" s="80"/>
      <c r="Y1047" s="80"/>
      <c r="Z1047" s="80"/>
      <c r="AA1047" s="82"/>
      <c r="AB1047" s="80"/>
      <c r="AC1047" s="80"/>
      <c r="AD1047" s="80"/>
      <c r="AE1047" s="80"/>
      <c r="AF1047" s="82"/>
      <c r="AG1047" s="80"/>
      <c r="AH1047" s="80"/>
      <c r="AI1047" s="82"/>
      <c r="AJ1047" s="79"/>
      <c r="AK1047" s="78" t="str">
        <f aca="false">IF(E1047="","",(X1047&lt;&gt;"")+(AC1047&lt;&gt;"")+(AH1047&lt;&gt;""))</f>
        <v/>
      </c>
      <c r="AL1047" s="81" t="str">
        <f aca="false">IF(AH1047&lt;&gt;"",AH1047,IF(AC1047&lt;&gt;"",AC1047,IF(X1047&lt;&gt;"",X1047,"")))</f>
        <v/>
      </c>
      <c r="AM1047" s="83" t="str">
        <f aca="false">IF(E1047="","",IF(R1047="","À SOUDER",IF(U1047="","VT EN ATTENTE",IF(U1047="R","VT REJETÉ – À REPRENDRE",IF(AL1047="","À RADIOGRAPHIER",IF(AL1047="A","ACCEPTÉ",IF(AL1047="NX","NX – RT À REFAIRE",IF(IF(AK1047=1,Z1047,IF(AK1047=2,AE1047,""))="A","RÉPARÉ – À RADIOGRAPHIER",IF(IF(AK1047=1,Z1047,IF(AK1047=2,AE1047,""))="R","VT REJETÉ – À REPRENDRE",IF(OR(AL1047="CO",AL1047="NT"),"COUPE – À RESOUDER","À RÉPARER"))))))))))</f>
        <v/>
      </c>
      <c r="AN1047" s="81" t="str">
        <f aca="false">IF(AND(ISNUMBER(R1047),OR(AM1047="À RADIOGRAPHIER",AM1047="RÉPARÉ – À RADIOGRAPHIER",AM1047="NX – RT À REFAIRE",AM1047="À RÉPARER",AM1047="COUPE – À RESOUDER",AM1047="VT REJETÉ – À REPRENDRE")),MAX(0,'PROGRAMME RT'!$C$4-R1047),"")</f>
        <v/>
      </c>
      <c r="AO1047" s="78" t="n">
        <f aca="false">IF(AND(OR(AM1047="À RADIOGRAPHIER",AM1047="RÉPARÉ – À RADIOGRAPHIER",AM1047="NX – RT À REFAIRE"),OR('PROGRAMME RT'!$D$5="TOUTES",B1047='PROGRAMME RT'!$D$5)),1,0)</f>
        <v>0</v>
      </c>
      <c r="AP1047" s="78" t="str">
        <f aca="false">IF(AO1047=1,SUM(AO$7:AO1047),"")</f>
        <v/>
      </c>
      <c r="AQ1047" s="78" t="n">
        <f aca="false">IF(AND(OR(X1047="R",X1047="NX",X1047="NT",X1047="CO"),OR('JOINTS DE RÉPARATION'!$D$5="TOUTES",B1047='JOINTS DE RÉPARATION'!$D$5),OR('JOINTS DE RÉPARATION'!$L$4="TOUS",AM1047&lt;&gt;"ACCEPTÉ")),1,0)</f>
        <v>0</v>
      </c>
      <c r="AR1047" s="78" t="str">
        <f aca="false">IF(AQ1047=1,SUM(AQ$7:AQ1047),"")</f>
        <v/>
      </c>
    </row>
    <row r="1048" customFormat="false" ht="15" hidden="false" customHeight="false" outlineLevel="0" collapsed="false">
      <c r="A1048" s="78" t="str">
        <f aca="false">IF(E1048="","",ROW()-6)</f>
        <v/>
      </c>
      <c r="B1048" s="79"/>
      <c r="C1048" s="80"/>
      <c r="D1048" s="80"/>
      <c r="E1048" s="80"/>
      <c r="F1048" s="80"/>
      <c r="G1048" s="80"/>
      <c r="H1048" s="80"/>
      <c r="I1048" s="80"/>
      <c r="J1048" s="80"/>
      <c r="K1048" s="80"/>
      <c r="L1048" s="81" t="str">
        <f aca="false">IF(K1048="","",IFERROR(INDEX(BARDAGE!$C$7:$C$1506,MATCH(K1048,BARDAGE!$B$7:$B$1506,0)),"? hors registre"))</f>
        <v/>
      </c>
      <c r="M1048" s="80"/>
      <c r="N1048" s="81" t="str">
        <f aca="false">IF(M1048="","",IFERROR(INDEX(BARDAGE!$C$7:$C$1506,MATCH(M1048,BARDAGE!$B$7:$B$1506,0)),"? hors registre"))</f>
        <v/>
      </c>
      <c r="O1048" s="80"/>
      <c r="P1048" s="80"/>
      <c r="Q1048" s="80"/>
      <c r="R1048" s="82"/>
      <c r="S1048" s="82"/>
      <c r="T1048" s="80"/>
      <c r="U1048" s="80"/>
      <c r="V1048" s="82"/>
      <c r="W1048" s="80"/>
      <c r="X1048" s="80"/>
      <c r="Y1048" s="80"/>
      <c r="Z1048" s="80"/>
      <c r="AA1048" s="82"/>
      <c r="AB1048" s="80"/>
      <c r="AC1048" s="80"/>
      <c r="AD1048" s="80"/>
      <c r="AE1048" s="80"/>
      <c r="AF1048" s="82"/>
      <c r="AG1048" s="80"/>
      <c r="AH1048" s="80"/>
      <c r="AI1048" s="82"/>
      <c r="AJ1048" s="79"/>
      <c r="AK1048" s="78" t="str">
        <f aca="false">IF(E1048="","",(X1048&lt;&gt;"")+(AC1048&lt;&gt;"")+(AH1048&lt;&gt;""))</f>
        <v/>
      </c>
      <c r="AL1048" s="81" t="str">
        <f aca="false">IF(AH1048&lt;&gt;"",AH1048,IF(AC1048&lt;&gt;"",AC1048,IF(X1048&lt;&gt;"",X1048,"")))</f>
        <v/>
      </c>
      <c r="AM1048" s="83" t="str">
        <f aca="false">IF(E1048="","",IF(R1048="","À SOUDER",IF(U1048="","VT EN ATTENTE",IF(U1048="R","VT REJETÉ – À REPRENDRE",IF(AL1048="","À RADIOGRAPHIER",IF(AL1048="A","ACCEPTÉ",IF(AL1048="NX","NX – RT À REFAIRE",IF(IF(AK1048=1,Z1048,IF(AK1048=2,AE1048,""))="A","RÉPARÉ – À RADIOGRAPHIER",IF(IF(AK1048=1,Z1048,IF(AK1048=2,AE1048,""))="R","VT REJETÉ – À REPRENDRE",IF(OR(AL1048="CO",AL1048="NT"),"COUPE – À RESOUDER","À RÉPARER"))))))))))</f>
        <v/>
      </c>
      <c r="AN1048" s="81" t="str">
        <f aca="false">IF(AND(ISNUMBER(R1048),OR(AM1048="À RADIOGRAPHIER",AM1048="RÉPARÉ – À RADIOGRAPHIER",AM1048="NX – RT À REFAIRE",AM1048="À RÉPARER",AM1048="COUPE – À RESOUDER",AM1048="VT REJETÉ – À REPRENDRE")),MAX(0,'PROGRAMME RT'!$C$4-R1048),"")</f>
        <v/>
      </c>
      <c r="AO1048" s="78" t="n">
        <f aca="false">IF(AND(OR(AM1048="À RADIOGRAPHIER",AM1048="RÉPARÉ – À RADIOGRAPHIER",AM1048="NX – RT À REFAIRE"),OR('PROGRAMME RT'!$D$5="TOUTES",B1048='PROGRAMME RT'!$D$5)),1,0)</f>
        <v>0</v>
      </c>
      <c r="AP1048" s="78" t="str">
        <f aca="false">IF(AO1048=1,SUM(AO$7:AO1048),"")</f>
        <v/>
      </c>
      <c r="AQ1048" s="78" t="n">
        <f aca="false">IF(AND(OR(X1048="R",X1048="NX",X1048="NT",X1048="CO"),OR('JOINTS DE RÉPARATION'!$D$5="TOUTES",B1048='JOINTS DE RÉPARATION'!$D$5),OR('JOINTS DE RÉPARATION'!$L$4="TOUS",AM1048&lt;&gt;"ACCEPTÉ")),1,0)</f>
        <v>0</v>
      </c>
      <c r="AR1048" s="78" t="str">
        <f aca="false">IF(AQ1048=1,SUM(AQ$7:AQ1048),"")</f>
        <v/>
      </c>
    </row>
    <row r="1049" customFormat="false" ht="15" hidden="false" customHeight="false" outlineLevel="0" collapsed="false">
      <c r="A1049" s="78" t="str">
        <f aca="false">IF(E1049="","",ROW()-6)</f>
        <v/>
      </c>
      <c r="B1049" s="79"/>
      <c r="C1049" s="80"/>
      <c r="D1049" s="80"/>
      <c r="E1049" s="80"/>
      <c r="F1049" s="80"/>
      <c r="G1049" s="80"/>
      <c r="H1049" s="80"/>
      <c r="I1049" s="80"/>
      <c r="J1049" s="80"/>
      <c r="K1049" s="80"/>
      <c r="L1049" s="81" t="str">
        <f aca="false">IF(K1049="","",IFERROR(INDEX(BARDAGE!$C$7:$C$1506,MATCH(K1049,BARDAGE!$B$7:$B$1506,0)),"? hors registre"))</f>
        <v/>
      </c>
      <c r="M1049" s="80"/>
      <c r="N1049" s="81" t="str">
        <f aca="false">IF(M1049="","",IFERROR(INDEX(BARDAGE!$C$7:$C$1506,MATCH(M1049,BARDAGE!$B$7:$B$1506,0)),"? hors registre"))</f>
        <v/>
      </c>
      <c r="O1049" s="80"/>
      <c r="P1049" s="80"/>
      <c r="Q1049" s="80"/>
      <c r="R1049" s="82"/>
      <c r="S1049" s="82"/>
      <c r="T1049" s="80"/>
      <c r="U1049" s="80"/>
      <c r="V1049" s="82"/>
      <c r="W1049" s="80"/>
      <c r="X1049" s="80"/>
      <c r="Y1049" s="80"/>
      <c r="Z1049" s="80"/>
      <c r="AA1049" s="82"/>
      <c r="AB1049" s="80"/>
      <c r="AC1049" s="80"/>
      <c r="AD1049" s="80"/>
      <c r="AE1049" s="80"/>
      <c r="AF1049" s="82"/>
      <c r="AG1049" s="80"/>
      <c r="AH1049" s="80"/>
      <c r="AI1049" s="82"/>
      <c r="AJ1049" s="79"/>
      <c r="AK1049" s="78" t="str">
        <f aca="false">IF(E1049="","",(X1049&lt;&gt;"")+(AC1049&lt;&gt;"")+(AH1049&lt;&gt;""))</f>
        <v/>
      </c>
      <c r="AL1049" s="81" t="str">
        <f aca="false">IF(AH1049&lt;&gt;"",AH1049,IF(AC1049&lt;&gt;"",AC1049,IF(X1049&lt;&gt;"",X1049,"")))</f>
        <v/>
      </c>
      <c r="AM1049" s="83" t="str">
        <f aca="false">IF(E1049="","",IF(R1049="","À SOUDER",IF(U1049="","VT EN ATTENTE",IF(U1049="R","VT REJETÉ – À REPRENDRE",IF(AL1049="","À RADIOGRAPHIER",IF(AL1049="A","ACCEPTÉ",IF(AL1049="NX","NX – RT À REFAIRE",IF(IF(AK1049=1,Z1049,IF(AK1049=2,AE1049,""))="A","RÉPARÉ – À RADIOGRAPHIER",IF(IF(AK1049=1,Z1049,IF(AK1049=2,AE1049,""))="R","VT REJETÉ – À REPRENDRE",IF(OR(AL1049="CO",AL1049="NT"),"COUPE – À RESOUDER","À RÉPARER"))))))))))</f>
        <v/>
      </c>
      <c r="AN1049" s="81" t="str">
        <f aca="false">IF(AND(ISNUMBER(R1049),OR(AM1049="À RADIOGRAPHIER",AM1049="RÉPARÉ – À RADIOGRAPHIER",AM1049="NX – RT À REFAIRE",AM1049="À RÉPARER",AM1049="COUPE – À RESOUDER",AM1049="VT REJETÉ – À REPRENDRE")),MAX(0,'PROGRAMME RT'!$C$4-R1049),"")</f>
        <v/>
      </c>
      <c r="AO1049" s="78" t="n">
        <f aca="false">IF(AND(OR(AM1049="À RADIOGRAPHIER",AM1049="RÉPARÉ – À RADIOGRAPHIER",AM1049="NX – RT À REFAIRE"),OR('PROGRAMME RT'!$D$5="TOUTES",B1049='PROGRAMME RT'!$D$5)),1,0)</f>
        <v>0</v>
      </c>
      <c r="AP1049" s="78" t="str">
        <f aca="false">IF(AO1049=1,SUM(AO$7:AO1049),"")</f>
        <v/>
      </c>
      <c r="AQ1049" s="78" t="n">
        <f aca="false">IF(AND(OR(X1049="R",X1049="NX",X1049="NT",X1049="CO"),OR('JOINTS DE RÉPARATION'!$D$5="TOUTES",B1049='JOINTS DE RÉPARATION'!$D$5),OR('JOINTS DE RÉPARATION'!$L$4="TOUS",AM1049&lt;&gt;"ACCEPTÉ")),1,0)</f>
        <v>0</v>
      </c>
      <c r="AR1049" s="78" t="str">
        <f aca="false">IF(AQ1049=1,SUM(AQ$7:AQ1049),"")</f>
        <v/>
      </c>
    </row>
    <row r="1050" customFormat="false" ht="15" hidden="false" customHeight="false" outlineLevel="0" collapsed="false">
      <c r="A1050" s="78" t="str">
        <f aca="false">IF(E1050="","",ROW()-6)</f>
        <v/>
      </c>
      <c r="B1050" s="79"/>
      <c r="C1050" s="80"/>
      <c r="D1050" s="80"/>
      <c r="E1050" s="80"/>
      <c r="F1050" s="80"/>
      <c r="G1050" s="80"/>
      <c r="H1050" s="80"/>
      <c r="I1050" s="80"/>
      <c r="J1050" s="80"/>
      <c r="K1050" s="80"/>
      <c r="L1050" s="81" t="str">
        <f aca="false">IF(K1050="","",IFERROR(INDEX(BARDAGE!$C$7:$C$1506,MATCH(K1050,BARDAGE!$B$7:$B$1506,0)),"? hors registre"))</f>
        <v/>
      </c>
      <c r="M1050" s="80"/>
      <c r="N1050" s="81" t="str">
        <f aca="false">IF(M1050="","",IFERROR(INDEX(BARDAGE!$C$7:$C$1506,MATCH(M1050,BARDAGE!$B$7:$B$1506,0)),"? hors registre"))</f>
        <v/>
      </c>
      <c r="O1050" s="80"/>
      <c r="P1050" s="80"/>
      <c r="Q1050" s="80"/>
      <c r="R1050" s="82"/>
      <c r="S1050" s="82"/>
      <c r="T1050" s="80"/>
      <c r="U1050" s="80"/>
      <c r="V1050" s="82"/>
      <c r="W1050" s="80"/>
      <c r="X1050" s="80"/>
      <c r="Y1050" s="80"/>
      <c r="Z1050" s="80"/>
      <c r="AA1050" s="82"/>
      <c r="AB1050" s="80"/>
      <c r="AC1050" s="80"/>
      <c r="AD1050" s="80"/>
      <c r="AE1050" s="80"/>
      <c r="AF1050" s="82"/>
      <c r="AG1050" s="80"/>
      <c r="AH1050" s="80"/>
      <c r="AI1050" s="82"/>
      <c r="AJ1050" s="79"/>
      <c r="AK1050" s="78" t="str">
        <f aca="false">IF(E1050="","",(X1050&lt;&gt;"")+(AC1050&lt;&gt;"")+(AH1050&lt;&gt;""))</f>
        <v/>
      </c>
      <c r="AL1050" s="81" t="str">
        <f aca="false">IF(AH1050&lt;&gt;"",AH1050,IF(AC1050&lt;&gt;"",AC1050,IF(X1050&lt;&gt;"",X1050,"")))</f>
        <v/>
      </c>
      <c r="AM1050" s="83" t="str">
        <f aca="false">IF(E1050="","",IF(R1050="","À SOUDER",IF(U1050="","VT EN ATTENTE",IF(U1050="R","VT REJETÉ – À REPRENDRE",IF(AL1050="","À RADIOGRAPHIER",IF(AL1050="A","ACCEPTÉ",IF(AL1050="NX","NX – RT À REFAIRE",IF(IF(AK1050=1,Z1050,IF(AK1050=2,AE1050,""))="A","RÉPARÉ – À RADIOGRAPHIER",IF(IF(AK1050=1,Z1050,IF(AK1050=2,AE1050,""))="R","VT REJETÉ – À REPRENDRE",IF(OR(AL1050="CO",AL1050="NT"),"COUPE – À RESOUDER","À RÉPARER"))))))))))</f>
        <v/>
      </c>
      <c r="AN1050" s="81" t="str">
        <f aca="false">IF(AND(ISNUMBER(R1050),OR(AM1050="À RADIOGRAPHIER",AM1050="RÉPARÉ – À RADIOGRAPHIER",AM1050="NX – RT À REFAIRE",AM1050="À RÉPARER",AM1050="COUPE – À RESOUDER",AM1050="VT REJETÉ – À REPRENDRE")),MAX(0,'PROGRAMME RT'!$C$4-R1050),"")</f>
        <v/>
      </c>
      <c r="AO1050" s="78" t="n">
        <f aca="false">IF(AND(OR(AM1050="À RADIOGRAPHIER",AM1050="RÉPARÉ – À RADIOGRAPHIER",AM1050="NX – RT À REFAIRE"),OR('PROGRAMME RT'!$D$5="TOUTES",B1050='PROGRAMME RT'!$D$5)),1,0)</f>
        <v>0</v>
      </c>
      <c r="AP1050" s="78" t="str">
        <f aca="false">IF(AO1050=1,SUM(AO$7:AO1050),"")</f>
        <v/>
      </c>
      <c r="AQ1050" s="78" t="n">
        <f aca="false">IF(AND(OR(X1050="R",X1050="NX",X1050="NT",X1050="CO"),OR('JOINTS DE RÉPARATION'!$D$5="TOUTES",B1050='JOINTS DE RÉPARATION'!$D$5),OR('JOINTS DE RÉPARATION'!$L$4="TOUS",AM1050&lt;&gt;"ACCEPTÉ")),1,0)</f>
        <v>0</v>
      </c>
      <c r="AR1050" s="78" t="str">
        <f aca="false">IF(AQ1050=1,SUM(AQ$7:AQ1050),"")</f>
        <v/>
      </c>
    </row>
    <row r="1051" customFormat="false" ht="15" hidden="false" customHeight="false" outlineLevel="0" collapsed="false">
      <c r="A1051" s="78" t="str">
        <f aca="false">IF(E1051="","",ROW()-6)</f>
        <v/>
      </c>
      <c r="B1051" s="79"/>
      <c r="C1051" s="80"/>
      <c r="D1051" s="80"/>
      <c r="E1051" s="80"/>
      <c r="F1051" s="80"/>
      <c r="G1051" s="80"/>
      <c r="H1051" s="80"/>
      <c r="I1051" s="80"/>
      <c r="J1051" s="80"/>
      <c r="K1051" s="80"/>
      <c r="L1051" s="81" t="str">
        <f aca="false">IF(K1051="","",IFERROR(INDEX(BARDAGE!$C$7:$C$1506,MATCH(K1051,BARDAGE!$B$7:$B$1506,0)),"? hors registre"))</f>
        <v/>
      </c>
      <c r="M1051" s="80"/>
      <c r="N1051" s="81" t="str">
        <f aca="false">IF(M1051="","",IFERROR(INDEX(BARDAGE!$C$7:$C$1506,MATCH(M1051,BARDAGE!$B$7:$B$1506,0)),"? hors registre"))</f>
        <v/>
      </c>
      <c r="O1051" s="80"/>
      <c r="P1051" s="80"/>
      <c r="Q1051" s="80"/>
      <c r="R1051" s="82"/>
      <c r="S1051" s="82"/>
      <c r="T1051" s="80"/>
      <c r="U1051" s="80"/>
      <c r="V1051" s="82"/>
      <c r="W1051" s="80"/>
      <c r="X1051" s="80"/>
      <c r="Y1051" s="80"/>
      <c r="Z1051" s="80"/>
      <c r="AA1051" s="82"/>
      <c r="AB1051" s="80"/>
      <c r="AC1051" s="80"/>
      <c r="AD1051" s="80"/>
      <c r="AE1051" s="80"/>
      <c r="AF1051" s="82"/>
      <c r="AG1051" s="80"/>
      <c r="AH1051" s="80"/>
      <c r="AI1051" s="82"/>
      <c r="AJ1051" s="79"/>
      <c r="AK1051" s="78" t="str">
        <f aca="false">IF(E1051="","",(X1051&lt;&gt;"")+(AC1051&lt;&gt;"")+(AH1051&lt;&gt;""))</f>
        <v/>
      </c>
      <c r="AL1051" s="81" t="str">
        <f aca="false">IF(AH1051&lt;&gt;"",AH1051,IF(AC1051&lt;&gt;"",AC1051,IF(X1051&lt;&gt;"",X1051,"")))</f>
        <v/>
      </c>
      <c r="AM1051" s="83" t="str">
        <f aca="false">IF(E1051="","",IF(R1051="","À SOUDER",IF(U1051="","VT EN ATTENTE",IF(U1051="R","VT REJETÉ – À REPRENDRE",IF(AL1051="","À RADIOGRAPHIER",IF(AL1051="A","ACCEPTÉ",IF(AL1051="NX","NX – RT À REFAIRE",IF(IF(AK1051=1,Z1051,IF(AK1051=2,AE1051,""))="A","RÉPARÉ – À RADIOGRAPHIER",IF(IF(AK1051=1,Z1051,IF(AK1051=2,AE1051,""))="R","VT REJETÉ – À REPRENDRE",IF(OR(AL1051="CO",AL1051="NT"),"COUPE – À RESOUDER","À RÉPARER"))))))))))</f>
        <v/>
      </c>
      <c r="AN1051" s="81" t="str">
        <f aca="false">IF(AND(ISNUMBER(R1051),OR(AM1051="À RADIOGRAPHIER",AM1051="RÉPARÉ – À RADIOGRAPHIER",AM1051="NX – RT À REFAIRE",AM1051="À RÉPARER",AM1051="COUPE – À RESOUDER",AM1051="VT REJETÉ – À REPRENDRE")),MAX(0,'PROGRAMME RT'!$C$4-R1051),"")</f>
        <v/>
      </c>
      <c r="AO1051" s="78" t="n">
        <f aca="false">IF(AND(OR(AM1051="À RADIOGRAPHIER",AM1051="RÉPARÉ – À RADIOGRAPHIER",AM1051="NX – RT À REFAIRE"),OR('PROGRAMME RT'!$D$5="TOUTES",B1051='PROGRAMME RT'!$D$5)),1,0)</f>
        <v>0</v>
      </c>
      <c r="AP1051" s="78" t="str">
        <f aca="false">IF(AO1051=1,SUM(AO$7:AO1051),"")</f>
        <v/>
      </c>
      <c r="AQ1051" s="78" t="n">
        <f aca="false">IF(AND(OR(X1051="R",X1051="NX",X1051="NT",X1051="CO"),OR('JOINTS DE RÉPARATION'!$D$5="TOUTES",B1051='JOINTS DE RÉPARATION'!$D$5),OR('JOINTS DE RÉPARATION'!$L$4="TOUS",AM1051&lt;&gt;"ACCEPTÉ")),1,0)</f>
        <v>0</v>
      </c>
      <c r="AR1051" s="78" t="str">
        <f aca="false">IF(AQ1051=1,SUM(AQ$7:AQ1051),"")</f>
        <v/>
      </c>
    </row>
    <row r="1052" customFormat="false" ht="15" hidden="false" customHeight="false" outlineLevel="0" collapsed="false">
      <c r="A1052" s="78" t="str">
        <f aca="false">IF(E1052="","",ROW()-6)</f>
        <v/>
      </c>
      <c r="B1052" s="79"/>
      <c r="C1052" s="80"/>
      <c r="D1052" s="80"/>
      <c r="E1052" s="80"/>
      <c r="F1052" s="80"/>
      <c r="G1052" s="80"/>
      <c r="H1052" s="80"/>
      <c r="I1052" s="80"/>
      <c r="J1052" s="80"/>
      <c r="K1052" s="80"/>
      <c r="L1052" s="81" t="str">
        <f aca="false">IF(K1052="","",IFERROR(INDEX(BARDAGE!$C$7:$C$1506,MATCH(K1052,BARDAGE!$B$7:$B$1506,0)),"? hors registre"))</f>
        <v/>
      </c>
      <c r="M1052" s="80"/>
      <c r="N1052" s="81" t="str">
        <f aca="false">IF(M1052="","",IFERROR(INDEX(BARDAGE!$C$7:$C$1506,MATCH(M1052,BARDAGE!$B$7:$B$1506,0)),"? hors registre"))</f>
        <v/>
      </c>
      <c r="O1052" s="80"/>
      <c r="P1052" s="80"/>
      <c r="Q1052" s="80"/>
      <c r="R1052" s="82"/>
      <c r="S1052" s="82"/>
      <c r="T1052" s="80"/>
      <c r="U1052" s="80"/>
      <c r="V1052" s="82"/>
      <c r="W1052" s="80"/>
      <c r="X1052" s="80"/>
      <c r="Y1052" s="80"/>
      <c r="Z1052" s="80"/>
      <c r="AA1052" s="82"/>
      <c r="AB1052" s="80"/>
      <c r="AC1052" s="80"/>
      <c r="AD1052" s="80"/>
      <c r="AE1052" s="80"/>
      <c r="AF1052" s="82"/>
      <c r="AG1052" s="80"/>
      <c r="AH1052" s="80"/>
      <c r="AI1052" s="82"/>
      <c r="AJ1052" s="79"/>
      <c r="AK1052" s="78" t="str">
        <f aca="false">IF(E1052="","",(X1052&lt;&gt;"")+(AC1052&lt;&gt;"")+(AH1052&lt;&gt;""))</f>
        <v/>
      </c>
      <c r="AL1052" s="81" t="str">
        <f aca="false">IF(AH1052&lt;&gt;"",AH1052,IF(AC1052&lt;&gt;"",AC1052,IF(X1052&lt;&gt;"",X1052,"")))</f>
        <v/>
      </c>
      <c r="AM1052" s="83" t="str">
        <f aca="false">IF(E1052="","",IF(R1052="","À SOUDER",IF(U1052="","VT EN ATTENTE",IF(U1052="R","VT REJETÉ – À REPRENDRE",IF(AL1052="","À RADIOGRAPHIER",IF(AL1052="A","ACCEPTÉ",IF(AL1052="NX","NX – RT À REFAIRE",IF(IF(AK1052=1,Z1052,IF(AK1052=2,AE1052,""))="A","RÉPARÉ – À RADIOGRAPHIER",IF(IF(AK1052=1,Z1052,IF(AK1052=2,AE1052,""))="R","VT REJETÉ – À REPRENDRE",IF(OR(AL1052="CO",AL1052="NT"),"COUPE – À RESOUDER","À RÉPARER"))))))))))</f>
        <v/>
      </c>
      <c r="AN1052" s="81" t="str">
        <f aca="false">IF(AND(ISNUMBER(R1052),OR(AM1052="À RADIOGRAPHIER",AM1052="RÉPARÉ – À RADIOGRAPHIER",AM1052="NX – RT À REFAIRE",AM1052="À RÉPARER",AM1052="COUPE – À RESOUDER",AM1052="VT REJETÉ – À REPRENDRE")),MAX(0,'PROGRAMME RT'!$C$4-R1052),"")</f>
        <v/>
      </c>
      <c r="AO1052" s="78" t="n">
        <f aca="false">IF(AND(OR(AM1052="À RADIOGRAPHIER",AM1052="RÉPARÉ – À RADIOGRAPHIER",AM1052="NX – RT À REFAIRE"),OR('PROGRAMME RT'!$D$5="TOUTES",B1052='PROGRAMME RT'!$D$5)),1,0)</f>
        <v>0</v>
      </c>
      <c r="AP1052" s="78" t="str">
        <f aca="false">IF(AO1052=1,SUM(AO$7:AO1052),"")</f>
        <v/>
      </c>
      <c r="AQ1052" s="78" t="n">
        <f aca="false">IF(AND(OR(X1052="R",X1052="NX",X1052="NT",X1052="CO"),OR('JOINTS DE RÉPARATION'!$D$5="TOUTES",B1052='JOINTS DE RÉPARATION'!$D$5),OR('JOINTS DE RÉPARATION'!$L$4="TOUS",AM1052&lt;&gt;"ACCEPTÉ")),1,0)</f>
        <v>0</v>
      </c>
      <c r="AR1052" s="78" t="str">
        <f aca="false">IF(AQ1052=1,SUM(AQ$7:AQ1052),"")</f>
        <v/>
      </c>
    </row>
    <row r="1053" customFormat="false" ht="15" hidden="false" customHeight="false" outlineLevel="0" collapsed="false">
      <c r="A1053" s="78" t="str">
        <f aca="false">IF(E1053="","",ROW()-6)</f>
        <v/>
      </c>
      <c r="B1053" s="79"/>
      <c r="C1053" s="80"/>
      <c r="D1053" s="80"/>
      <c r="E1053" s="80"/>
      <c r="F1053" s="80"/>
      <c r="G1053" s="80"/>
      <c r="H1053" s="80"/>
      <c r="I1053" s="80"/>
      <c r="J1053" s="80"/>
      <c r="K1053" s="80"/>
      <c r="L1053" s="81" t="str">
        <f aca="false">IF(K1053="","",IFERROR(INDEX(BARDAGE!$C$7:$C$1506,MATCH(K1053,BARDAGE!$B$7:$B$1506,0)),"? hors registre"))</f>
        <v/>
      </c>
      <c r="M1053" s="80"/>
      <c r="N1053" s="81" t="str">
        <f aca="false">IF(M1053="","",IFERROR(INDEX(BARDAGE!$C$7:$C$1506,MATCH(M1053,BARDAGE!$B$7:$B$1506,0)),"? hors registre"))</f>
        <v/>
      </c>
      <c r="O1053" s="80"/>
      <c r="P1053" s="80"/>
      <c r="Q1053" s="80"/>
      <c r="R1053" s="82"/>
      <c r="S1053" s="82"/>
      <c r="T1053" s="80"/>
      <c r="U1053" s="80"/>
      <c r="V1053" s="82"/>
      <c r="W1053" s="80"/>
      <c r="X1053" s="80"/>
      <c r="Y1053" s="80"/>
      <c r="Z1053" s="80"/>
      <c r="AA1053" s="82"/>
      <c r="AB1053" s="80"/>
      <c r="AC1053" s="80"/>
      <c r="AD1053" s="80"/>
      <c r="AE1053" s="80"/>
      <c r="AF1053" s="82"/>
      <c r="AG1053" s="80"/>
      <c r="AH1053" s="80"/>
      <c r="AI1053" s="82"/>
      <c r="AJ1053" s="79"/>
      <c r="AK1053" s="78" t="str">
        <f aca="false">IF(E1053="","",(X1053&lt;&gt;"")+(AC1053&lt;&gt;"")+(AH1053&lt;&gt;""))</f>
        <v/>
      </c>
      <c r="AL1053" s="81" t="str">
        <f aca="false">IF(AH1053&lt;&gt;"",AH1053,IF(AC1053&lt;&gt;"",AC1053,IF(X1053&lt;&gt;"",X1053,"")))</f>
        <v/>
      </c>
      <c r="AM1053" s="83" t="str">
        <f aca="false">IF(E1053="","",IF(R1053="","À SOUDER",IF(U1053="","VT EN ATTENTE",IF(U1053="R","VT REJETÉ – À REPRENDRE",IF(AL1053="","À RADIOGRAPHIER",IF(AL1053="A","ACCEPTÉ",IF(AL1053="NX","NX – RT À REFAIRE",IF(IF(AK1053=1,Z1053,IF(AK1053=2,AE1053,""))="A","RÉPARÉ – À RADIOGRAPHIER",IF(IF(AK1053=1,Z1053,IF(AK1053=2,AE1053,""))="R","VT REJETÉ – À REPRENDRE",IF(OR(AL1053="CO",AL1053="NT"),"COUPE – À RESOUDER","À RÉPARER"))))))))))</f>
        <v/>
      </c>
      <c r="AN1053" s="81" t="str">
        <f aca="false">IF(AND(ISNUMBER(R1053),OR(AM1053="À RADIOGRAPHIER",AM1053="RÉPARÉ – À RADIOGRAPHIER",AM1053="NX – RT À REFAIRE",AM1053="À RÉPARER",AM1053="COUPE – À RESOUDER",AM1053="VT REJETÉ – À REPRENDRE")),MAX(0,'PROGRAMME RT'!$C$4-R1053),"")</f>
        <v/>
      </c>
      <c r="AO1053" s="78" t="n">
        <f aca="false">IF(AND(OR(AM1053="À RADIOGRAPHIER",AM1053="RÉPARÉ – À RADIOGRAPHIER",AM1053="NX – RT À REFAIRE"),OR('PROGRAMME RT'!$D$5="TOUTES",B1053='PROGRAMME RT'!$D$5)),1,0)</f>
        <v>0</v>
      </c>
      <c r="AP1053" s="78" t="str">
        <f aca="false">IF(AO1053=1,SUM(AO$7:AO1053),"")</f>
        <v/>
      </c>
      <c r="AQ1053" s="78" t="n">
        <f aca="false">IF(AND(OR(X1053="R",X1053="NX",X1053="NT",X1053="CO"),OR('JOINTS DE RÉPARATION'!$D$5="TOUTES",B1053='JOINTS DE RÉPARATION'!$D$5),OR('JOINTS DE RÉPARATION'!$L$4="TOUS",AM1053&lt;&gt;"ACCEPTÉ")),1,0)</f>
        <v>0</v>
      </c>
      <c r="AR1053" s="78" t="str">
        <f aca="false">IF(AQ1053=1,SUM(AQ$7:AQ1053),"")</f>
        <v/>
      </c>
    </row>
    <row r="1054" customFormat="false" ht="15" hidden="false" customHeight="false" outlineLevel="0" collapsed="false">
      <c r="A1054" s="78" t="str">
        <f aca="false">IF(E1054="","",ROW()-6)</f>
        <v/>
      </c>
      <c r="B1054" s="79"/>
      <c r="C1054" s="80"/>
      <c r="D1054" s="80"/>
      <c r="E1054" s="80"/>
      <c r="F1054" s="80"/>
      <c r="G1054" s="80"/>
      <c r="H1054" s="80"/>
      <c r="I1054" s="80"/>
      <c r="J1054" s="80"/>
      <c r="K1054" s="80"/>
      <c r="L1054" s="81" t="str">
        <f aca="false">IF(K1054="","",IFERROR(INDEX(BARDAGE!$C$7:$C$1506,MATCH(K1054,BARDAGE!$B$7:$B$1506,0)),"? hors registre"))</f>
        <v/>
      </c>
      <c r="M1054" s="80"/>
      <c r="N1054" s="81" t="str">
        <f aca="false">IF(M1054="","",IFERROR(INDEX(BARDAGE!$C$7:$C$1506,MATCH(M1054,BARDAGE!$B$7:$B$1506,0)),"? hors registre"))</f>
        <v/>
      </c>
      <c r="O1054" s="80"/>
      <c r="P1054" s="80"/>
      <c r="Q1054" s="80"/>
      <c r="R1054" s="82"/>
      <c r="S1054" s="82"/>
      <c r="T1054" s="80"/>
      <c r="U1054" s="80"/>
      <c r="V1054" s="82"/>
      <c r="W1054" s="80"/>
      <c r="X1054" s="80"/>
      <c r="Y1054" s="80"/>
      <c r="Z1054" s="80"/>
      <c r="AA1054" s="82"/>
      <c r="AB1054" s="80"/>
      <c r="AC1054" s="80"/>
      <c r="AD1054" s="80"/>
      <c r="AE1054" s="80"/>
      <c r="AF1054" s="82"/>
      <c r="AG1054" s="80"/>
      <c r="AH1054" s="80"/>
      <c r="AI1054" s="82"/>
      <c r="AJ1054" s="79"/>
      <c r="AK1054" s="78" t="str">
        <f aca="false">IF(E1054="","",(X1054&lt;&gt;"")+(AC1054&lt;&gt;"")+(AH1054&lt;&gt;""))</f>
        <v/>
      </c>
      <c r="AL1054" s="81" t="str">
        <f aca="false">IF(AH1054&lt;&gt;"",AH1054,IF(AC1054&lt;&gt;"",AC1054,IF(X1054&lt;&gt;"",X1054,"")))</f>
        <v/>
      </c>
      <c r="AM1054" s="83" t="str">
        <f aca="false">IF(E1054="","",IF(R1054="","À SOUDER",IF(U1054="","VT EN ATTENTE",IF(U1054="R","VT REJETÉ – À REPRENDRE",IF(AL1054="","À RADIOGRAPHIER",IF(AL1054="A","ACCEPTÉ",IF(AL1054="NX","NX – RT À REFAIRE",IF(IF(AK1054=1,Z1054,IF(AK1054=2,AE1054,""))="A","RÉPARÉ – À RADIOGRAPHIER",IF(IF(AK1054=1,Z1054,IF(AK1054=2,AE1054,""))="R","VT REJETÉ – À REPRENDRE",IF(OR(AL1054="CO",AL1054="NT"),"COUPE – À RESOUDER","À RÉPARER"))))))))))</f>
        <v/>
      </c>
      <c r="AN1054" s="81" t="str">
        <f aca="false">IF(AND(ISNUMBER(R1054),OR(AM1054="À RADIOGRAPHIER",AM1054="RÉPARÉ – À RADIOGRAPHIER",AM1054="NX – RT À REFAIRE",AM1054="À RÉPARER",AM1054="COUPE – À RESOUDER",AM1054="VT REJETÉ – À REPRENDRE")),MAX(0,'PROGRAMME RT'!$C$4-R1054),"")</f>
        <v/>
      </c>
      <c r="AO1054" s="78" t="n">
        <f aca="false">IF(AND(OR(AM1054="À RADIOGRAPHIER",AM1054="RÉPARÉ – À RADIOGRAPHIER",AM1054="NX – RT À REFAIRE"),OR('PROGRAMME RT'!$D$5="TOUTES",B1054='PROGRAMME RT'!$D$5)),1,0)</f>
        <v>0</v>
      </c>
      <c r="AP1054" s="78" t="str">
        <f aca="false">IF(AO1054=1,SUM(AO$7:AO1054),"")</f>
        <v/>
      </c>
      <c r="AQ1054" s="78" t="n">
        <f aca="false">IF(AND(OR(X1054="R",X1054="NX",X1054="NT",X1054="CO"),OR('JOINTS DE RÉPARATION'!$D$5="TOUTES",B1054='JOINTS DE RÉPARATION'!$D$5),OR('JOINTS DE RÉPARATION'!$L$4="TOUS",AM1054&lt;&gt;"ACCEPTÉ")),1,0)</f>
        <v>0</v>
      </c>
      <c r="AR1054" s="78" t="str">
        <f aca="false">IF(AQ1054=1,SUM(AQ$7:AQ1054),"")</f>
        <v/>
      </c>
    </row>
    <row r="1055" customFormat="false" ht="15" hidden="false" customHeight="false" outlineLevel="0" collapsed="false">
      <c r="A1055" s="78" t="str">
        <f aca="false">IF(E1055="","",ROW()-6)</f>
        <v/>
      </c>
      <c r="B1055" s="79"/>
      <c r="C1055" s="80"/>
      <c r="D1055" s="80"/>
      <c r="E1055" s="80"/>
      <c r="F1055" s="80"/>
      <c r="G1055" s="80"/>
      <c r="H1055" s="80"/>
      <c r="I1055" s="80"/>
      <c r="J1055" s="80"/>
      <c r="K1055" s="80"/>
      <c r="L1055" s="81" t="str">
        <f aca="false">IF(K1055="","",IFERROR(INDEX(BARDAGE!$C$7:$C$1506,MATCH(K1055,BARDAGE!$B$7:$B$1506,0)),"? hors registre"))</f>
        <v/>
      </c>
      <c r="M1055" s="80"/>
      <c r="N1055" s="81" t="str">
        <f aca="false">IF(M1055="","",IFERROR(INDEX(BARDAGE!$C$7:$C$1506,MATCH(M1055,BARDAGE!$B$7:$B$1506,0)),"? hors registre"))</f>
        <v/>
      </c>
      <c r="O1055" s="80"/>
      <c r="P1055" s="80"/>
      <c r="Q1055" s="80"/>
      <c r="R1055" s="82"/>
      <c r="S1055" s="82"/>
      <c r="T1055" s="80"/>
      <c r="U1055" s="80"/>
      <c r="V1055" s="82"/>
      <c r="W1055" s="80"/>
      <c r="X1055" s="80"/>
      <c r="Y1055" s="80"/>
      <c r="Z1055" s="80"/>
      <c r="AA1055" s="82"/>
      <c r="AB1055" s="80"/>
      <c r="AC1055" s="80"/>
      <c r="AD1055" s="80"/>
      <c r="AE1055" s="80"/>
      <c r="AF1055" s="82"/>
      <c r="AG1055" s="80"/>
      <c r="AH1055" s="80"/>
      <c r="AI1055" s="82"/>
      <c r="AJ1055" s="79"/>
      <c r="AK1055" s="78" t="str">
        <f aca="false">IF(E1055="","",(X1055&lt;&gt;"")+(AC1055&lt;&gt;"")+(AH1055&lt;&gt;""))</f>
        <v/>
      </c>
      <c r="AL1055" s="81" t="str">
        <f aca="false">IF(AH1055&lt;&gt;"",AH1055,IF(AC1055&lt;&gt;"",AC1055,IF(X1055&lt;&gt;"",X1055,"")))</f>
        <v/>
      </c>
      <c r="AM1055" s="83" t="str">
        <f aca="false">IF(E1055="","",IF(R1055="","À SOUDER",IF(U1055="","VT EN ATTENTE",IF(U1055="R","VT REJETÉ – À REPRENDRE",IF(AL1055="","À RADIOGRAPHIER",IF(AL1055="A","ACCEPTÉ",IF(AL1055="NX","NX – RT À REFAIRE",IF(IF(AK1055=1,Z1055,IF(AK1055=2,AE1055,""))="A","RÉPARÉ – À RADIOGRAPHIER",IF(IF(AK1055=1,Z1055,IF(AK1055=2,AE1055,""))="R","VT REJETÉ – À REPRENDRE",IF(OR(AL1055="CO",AL1055="NT"),"COUPE – À RESOUDER","À RÉPARER"))))))))))</f>
        <v/>
      </c>
      <c r="AN1055" s="81" t="str">
        <f aca="false">IF(AND(ISNUMBER(R1055),OR(AM1055="À RADIOGRAPHIER",AM1055="RÉPARÉ – À RADIOGRAPHIER",AM1055="NX – RT À REFAIRE",AM1055="À RÉPARER",AM1055="COUPE – À RESOUDER",AM1055="VT REJETÉ – À REPRENDRE")),MAX(0,'PROGRAMME RT'!$C$4-R1055),"")</f>
        <v/>
      </c>
      <c r="AO1055" s="78" t="n">
        <f aca="false">IF(AND(OR(AM1055="À RADIOGRAPHIER",AM1055="RÉPARÉ – À RADIOGRAPHIER",AM1055="NX – RT À REFAIRE"),OR('PROGRAMME RT'!$D$5="TOUTES",B1055='PROGRAMME RT'!$D$5)),1,0)</f>
        <v>0</v>
      </c>
      <c r="AP1055" s="78" t="str">
        <f aca="false">IF(AO1055=1,SUM(AO$7:AO1055),"")</f>
        <v/>
      </c>
      <c r="AQ1055" s="78" t="n">
        <f aca="false">IF(AND(OR(X1055="R",X1055="NX",X1055="NT",X1055="CO"),OR('JOINTS DE RÉPARATION'!$D$5="TOUTES",B1055='JOINTS DE RÉPARATION'!$D$5),OR('JOINTS DE RÉPARATION'!$L$4="TOUS",AM1055&lt;&gt;"ACCEPTÉ")),1,0)</f>
        <v>0</v>
      </c>
      <c r="AR1055" s="78" t="str">
        <f aca="false">IF(AQ1055=1,SUM(AQ$7:AQ1055),"")</f>
        <v/>
      </c>
    </row>
    <row r="1056" customFormat="false" ht="15" hidden="false" customHeight="false" outlineLevel="0" collapsed="false">
      <c r="A1056" s="78" t="str">
        <f aca="false">IF(E1056="","",ROW()-6)</f>
        <v/>
      </c>
      <c r="B1056" s="79"/>
      <c r="C1056" s="80"/>
      <c r="D1056" s="80"/>
      <c r="E1056" s="80"/>
      <c r="F1056" s="80"/>
      <c r="G1056" s="80"/>
      <c r="H1056" s="80"/>
      <c r="I1056" s="80"/>
      <c r="J1056" s="80"/>
      <c r="K1056" s="80"/>
      <c r="L1056" s="81" t="str">
        <f aca="false">IF(K1056="","",IFERROR(INDEX(BARDAGE!$C$7:$C$1506,MATCH(K1056,BARDAGE!$B$7:$B$1506,0)),"? hors registre"))</f>
        <v/>
      </c>
      <c r="M1056" s="80"/>
      <c r="N1056" s="81" t="str">
        <f aca="false">IF(M1056="","",IFERROR(INDEX(BARDAGE!$C$7:$C$1506,MATCH(M1056,BARDAGE!$B$7:$B$1506,0)),"? hors registre"))</f>
        <v/>
      </c>
      <c r="O1056" s="80"/>
      <c r="P1056" s="80"/>
      <c r="Q1056" s="80"/>
      <c r="R1056" s="82"/>
      <c r="S1056" s="82"/>
      <c r="T1056" s="80"/>
      <c r="U1056" s="80"/>
      <c r="V1056" s="82"/>
      <c r="W1056" s="80"/>
      <c r="X1056" s="80"/>
      <c r="Y1056" s="80"/>
      <c r="Z1056" s="80"/>
      <c r="AA1056" s="82"/>
      <c r="AB1056" s="80"/>
      <c r="AC1056" s="80"/>
      <c r="AD1056" s="80"/>
      <c r="AE1056" s="80"/>
      <c r="AF1056" s="82"/>
      <c r="AG1056" s="80"/>
      <c r="AH1056" s="80"/>
      <c r="AI1056" s="82"/>
      <c r="AJ1056" s="79"/>
      <c r="AK1056" s="78" t="str">
        <f aca="false">IF(E1056="","",(X1056&lt;&gt;"")+(AC1056&lt;&gt;"")+(AH1056&lt;&gt;""))</f>
        <v/>
      </c>
      <c r="AL1056" s="81" t="str">
        <f aca="false">IF(AH1056&lt;&gt;"",AH1056,IF(AC1056&lt;&gt;"",AC1056,IF(X1056&lt;&gt;"",X1056,"")))</f>
        <v/>
      </c>
      <c r="AM1056" s="83" t="str">
        <f aca="false">IF(E1056="","",IF(R1056="","À SOUDER",IF(U1056="","VT EN ATTENTE",IF(U1056="R","VT REJETÉ – À REPRENDRE",IF(AL1056="","À RADIOGRAPHIER",IF(AL1056="A","ACCEPTÉ",IF(AL1056="NX","NX – RT À REFAIRE",IF(IF(AK1056=1,Z1056,IF(AK1056=2,AE1056,""))="A","RÉPARÉ – À RADIOGRAPHIER",IF(IF(AK1056=1,Z1056,IF(AK1056=2,AE1056,""))="R","VT REJETÉ – À REPRENDRE",IF(OR(AL1056="CO",AL1056="NT"),"COUPE – À RESOUDER","À RÉPARER"))))))))))</f>
        <v/>
      </c>
      <c r="AN1056" s="81" t="str">
        <f aca="false">IF(AND(ISNUMBER(R1056),OR(AM1056="À RADIOGRAPHIER",AM1056="RÉPARÉ – À RADIOGRAPHIER",AM1056="NX – RT À REFAIRE",AM1056="À RÉPARER",AM1056="COUPE – À RESOUDER",AM1056="VT REJETÉ – À REPRENDRE")),MAX(0,'PROGRAMME RT'!$C$4-R1056),"")</f>
        <v/>
      </c>
      <c r="AO1056" s="78" t="n">
        <f aca="false">IF(AND(OR(AM1056="À RADIOGRAPHIER",AM1056="RÉPARÉ – À RADIOGRAPHIER",AM1056="NX – RT À REFAIRE"),OR('PROGRAMME RT'!$D$5="TOUTES",B1056='PROGRAMME RT'!$D$5)),1,0)</f>
        <v>0</v>
      </c>
      <c r="AP1056" s="78" t="str">
        <f aca="false">IF(AO1056=1,SUM(AO$7:AO1056),"")</f>
        <v/>
      </c>
      <c r="AQ1056" s="78" t="n">
        <f aca="false">IF(AND(OR(X1056="R",X1056="NX",X1056="NT",X1056="CO"),OR('JOINTS DE RÉPARATION'!$D$5="TOUTES",B1056='JOINTS DE RÉPARATION'!$D$5),OR('JOINTS DE RÉPARATION'!$L$4="TOUS",AM1056&lt;&gt;"ACCEPTÉ")),1,0)</f>
        <v>0</v>
      </c>
      <c r="AR1056" s="78" t="str">
        <f aca="false">IF(AQ1056=1,SUM(AQ$7:AQ1056),"")</f>
        <v/>
      </c>
    </row>
    <row r="1057" customFormat="false" ht="15" hidden="false" customHeight="false" outlineLevel="0" collapsed="false">
      <c r="A1057" s="78" t="str">
        <f aca="false">IF(E1057="","",ROW()-6)</f>
        <v/>
      </c>
      <c r="B1057" s="79"/>
      <c r="C1057" s="80"/>
      <c r="D1057" s="80"/>
      <c r="E1057" s="80"/>
      <c r="F1057" s="80"/>
      <c r="G1057" s="80"/>
      <c r="H1057" s="80"/>
      <c r="I1057" s="80"/>
      <c r="J1057" s="80"/>
      <c r="K1057" s="80"/>
      <c r="L1057" s="81" t="str">
        <f aca="false">IF(K1057="","",IFERROR(INDEX(BARDAGE!$C$7:$C$1506,MATCH(K1057,BARDAGE!$B$7:$B$1506,0)),"? hors registre"))</f>
        <v/>
      </c>
      <c r="M1057" s="80"/>
      <c r="N1057" s="81" t="str">
        <f aca="false">IF(M1057="","",IFERROR(INDEX(BARDAGE!$C$7:$C$1506,MATCH(M1057,BARDAGE!$B$7:$B$1506,0)),"? hors registre"))</f>
        <v/>
      </c>
      <c r="O1057" s="80"/>
      <c r="P1057" s="80"/>
      <c r="Q1057" s="80"/>
      <c r="R1057" s="82"/>
      <c r="S1057" s="82"/>
      <c r="T1057" s="80"/>
      <c r="U1057" s="80"/>
      <c r="V1057" s="82"/>
      <c r="W1057" s="80"/>
      <c r="X1057" s="80"/>
      <c r="Y1057" s="80"/>
      <c r="Z1057" s="80"/>
      <c r="AA1057" s="82"/>
      <c r="AB1057" s="80"/>
      <c r="AC1057" s="80"/>
      <c r="AD1057" s="80"/>
      <c r="AE1057" s="80"/>
      <c r="AF1057" s="82"/>
      <c r="AG1057" s="80"/>
      <c r="AH1057" s="80"/>
      <c r="AI1057" s="82"/>
      <c r="AJ1057" s="79"/>
      <c r="AK1057" s="78" t="str">
        <f aca="false">IF(E1057="","",(X1057&lt;&gt;"")+(AC1057&lt;&gt;"")+(AH1057&lt;&gt;""))</f>
        <v/>
      </c>
      <c r="AL1057" s="81" t="str">
        <f aca="false">IF(AH1057&lt;&gt;"",AH1057,IF(AC1057&lt;&gt;"",AC1057,IF(X1057&lt;&gt;"",X1057,"")))</f>
        <v/>
      </c>
      <c r="AM1057" s="83" t="str">
        <f aca="false">IF(E1057="","",IF(R1057="","À SOUDER",IF(U1057="","VT EN ATTENTE",IF(U1057="R","VT REJETÉ – À REPRENDRE",IF(AL1057="","À RADIOGRAPHIER",IF(AL1057="A","ACCEPTÉ",IF(AL1057="NX","NX – RT À REFAIRE",IF(IF(AK1057=1,Z1057,IF(AK1057=2,AE1057,""))="A","RÉPARÉ – À RADIOGRAPHIER",IF(IF(AK1057=1,Z1057,IF(AK1057=2,AE1057,""))="R","VT REJETÉ – À REPRENDRE",IF(OR(AL1057="CO",AL1057="NT"),"COUPE – À RESOUDER","À RÉPARER"))))))))))</f>
        <v/>
      </c>
      <c r="AN1057" s="81" t="str">
        <f aca="false">IF(AND(ISNUMBER(R1057),OR(AM1057="À RADIOGRAPHIER",AM1057="RÉPARÉ – À RADIOGRAPHIER",AM1057="NX – RT À REFAIRE",AM1057="À RÉPARER",AM1057="COUPE – À RESOUDER",AM1057="VT REJETÉ – À REPRENDRE")),MAX(0,'PROGRAMME RT'!$C$4-R1057),"")</f>
        <v/>
      </c>
      <c r="AO1057" s="78" t="n">
        <f aca="false">IF(AND(OR(AM1057="À RADIOGRAPHIER",AM1057="RÉPARÉ – À RADIOGRAPHIER",AM1057="NX – RT À REFAIRE"),OR('PROGRAMME RT'!$D$5="TOUTES",B1057='PROGRAMME RT'!$D$5)),1,0)</f>
        <v>0</v>
      </c>
      <c r="AP1057" s="78" t="str">
        <f aca="false">IF(AO1057=1,SUM(AO$7:AO1057),"")</f>
        <v/>
      </c>
      <c r="AQ1057" s="78" t="n">
        <f aca="false">IF(AND(OR(X1057="R",X1057="NX",X1057="NT",X1057="CO"),OR('JOINTS DE RÉPARATION'!$D$5="TOUTES",B1057='JOINTS DE RÉPARATION'!$D$5),OR('JOINTS DE RÉPARATION'!$L$4="TOUS",AM1057&lt;&gt;"ACCEPTÉ")),1,0)</f>
        <v>0</v>
      </c>
      <c r="AR1057" s="78" t="str">
        <f aca="false">IF(AQ1057=1,SUM(AQ$7:AQ1057),"")</f>
        <v/>
      </c>
    </row>
    <row r="1058" customFormat="false" ht="15" hidden="false" customHeight="false" outlineLevel="0" collapsed="false">
      <c r="A1058" s="78" t="str">
        <f aca="false">IF(E1058="","",ROW()-6)</f>
        <v/>
      </c>
      <c r="B1058" s="79"/>
      <c r="C1058" s="80"/>
      <c r="D1058" s="80"/>
      <c r="E1058" s="80"/>
      <c r="F1058" s="80"/>
      <c r="G1058" s="80"/>
      <c r="H1058" s="80"/>
      <c r="I1058" s="80"/>
      <c r="J1058" s="80"/>
      <c r="K1058" s="80"/>
      <c r="L1058" s="81" t="str">
        <f aca="false">IF(K1058="","",IFERROR(INDEX(BARDAGE!$C$7:$C$1506,MATCH(K1058,BARDAGE!$B$7:$B$1506,0)),"? hors registre"))</f>
        <v/>
      </c>
      <c r="M1058" s="80"/>
      <c r="N1058" s="81" t="str">
        <f aca="false">IF(M1058="","",IFERROR(INDEX(BARDAGE!$C$7:$C$1506,MATCH(M1058,BARDAGE!$B$7:$B$1506,0)),"? hors registre"))</f>
        <v/>
      </c>
      <c r="O1058" s="80"/>
      <c r="P1058" s="80"/>
      <c r="Q1058" s="80"/>
      <c r="R1058" s="82"/>
      <c r="S1058" s="82"/>
      <c r="T1058" s="80"/>
      <c r="U1058" s="80"/>
      <c r="V1058" s="82"/>
      <c r="W1058" s="80"/>
      <c r="X1058" s="80"/>
      <c r="Y1058" s="80"/>
      <c r="Z1058" s="80"/>
      <c r="AA1058" s="82"/>
      <c r="AB1058" s="80"/>
      <c r="AC1058" s="80"/>
      <c r="AD1058" s="80"/>
      <c r="AE1058" s="80"/>
      <c r="AF1058" s="82"/>
      <c r="AG1058" s="80"/>
      <c r="AH1058" s="80"/>
      <c r="AI1058" s="82"/>
      <c r="AJ1058" s="79"/>
      <c r="AK1058" s="78" t="str">
        <f aca="false">IF(E1058="","",(X1058&lt;&gt;"")+(AC1058&lt;&gt;"")+(AH1058&lt;&gt;""))</f>
        <v/>
      </c>
      <c r="AL1058" s="81" t="str">
        <f aca="false">IF(AH1058&lt;&gt;"",AH1058,IF(AC1058&lt;&gt;"",AC1058,IF(X1058&lt;&gt;"",X1058,"")))</f>
        <v/>
      </c>
      <c r="AM1058" s="83" t="str">
        <f aca="false">IF(E1058="","",IF(R1058="","À SOUDER",IF(U1058="","VT EN ATTENTE",IF(U1058="R","VT REJETÉ – À REPRENDRE",IF(AL1058="","À RADIOGRAPHIER",IF(AL1058="A","ACCEPTÉ",IF(AL1058="NX","NX – RT À REFAIRE",IF(IF(AK1058=1,Z1058,IF(AK1058=2,AE1058,""))="A","RÉPARÉ – À RADIOGRAPHIER",IF(IF(AK1058=1,Z1058,IF(AK1058=2,AE1058,""))="R","VT REJETÉ – À REPRENDRE",IF(OR(AL1058="CO",AL1058="NT"),"COUPE – À RESOUDER","À RÉPARER"))))))))))</f>
        <v/>
      </c>
      <c r="AN1058" s="81" t="str">
        <f aca="false">IF(AND(ISNUMBER(R1058),OR(AM1058="À RADIOGRAPHIER",AM1058="RÉPARÉ – À RADIOGRAPHIER",AM1058="NX – RT À REFAIRE",AM1058="À RÉPARER",AM1058="COUPE – À RESOUDER",AM1058="VT REJETÉ – À REPRENDRE")),MAX(0,'PROGRAMME RT'!$C$4-R1058),"")</f>
        <v/>
      </c>
      <c r="AO1058" s="78" t="n">
        <f aca="false">IF(AND(OR(AM1058="À RADIOGRAPHIER",AM1058="RÉPARÉ – À RADIOGRAPHIER",AM1058="NX – RT À REFAIRE"),OR('PROGRAMME RT'!$D$5="TOUTES",B1058='PROGRAMME RT'!$D$5)),1,0)</f>
        <v>0</v>
      </c>
      <c r="AP1058" s="78" t="str">
        <f aca="false">IF(AO1058=1,SUM(AO$7:AO1058),"")</f>
        <v/>
      </c>
      <c r="AQ1058" s="78" t="n">
        <f aca="false">IF(AND(OR(X1058="R",X1058="NX",X1058="NT",X1058="CO"),OR('JOINTS DE RÉPARATION'!$D$5="TOUTES",B1058='JOINTS DE RÉPARATION'!$D$5),OR('JOINTS DE RÉPARATION'!$L$4="TOUS",AM1058&lt;&gt;"ACCEPTÉ")),1,0)</f>
        <v>0</v>
      </c>
      <c r="AR1058" s="78" t="str">
        <f aca="false">IF(AQ1058=1,SUM(AQ$7:AQ1058),"")</f>
        <v/>
      </c>
    </row>
    <row r="1059" customFormat="false" ht="15" hidden="false" customHeight="false" outlineLevel="0" collapsed="false">
      <c r="A1059" s="78" t="str">
        <f aca="false">IF(E1059="","",ROW()-6)</f>
        <v/>
      </c>
      <c r="B1059" s="79"/>
      <c r="C1059" s="80"/>
      <c r="D1059" s="80"/>
      <c r="E1059" s="80"/>
      <c r="F1059" s="80"/>
      <c r="G1059" s="80"/>
      <c r="H1059" s="80"/>
      <c r="I1059" s="80"/>
      <c r="J1059" s="80"/>
      <c r="K1059" s="80"/>
      <c r="L1059" s="81" t="str">
        <f aca="false">IF(K1059="","",IFERROR(INDEX(BARDAGE!$C$7:$C$1506,MATCH(K1059,BARDAGE!$B$7:$B$1506,0)),"? hors registre"))</f>
        <v/>
      </c>
      <c r="M1059" s="80"/>
      <c r="N1059" s="81" t="str">
        <f aca="false">IF(M1059="","",IFERROR(INDEX(BARDAGE!$C$7:$C$1506,MATCH(M1059,BARDAGE!$B$7:$B$1506,0)),"? hors registre"))</f>
        <v/>
      </c>
      <c r="O1059" s="80"/>
      <c r="P1059" s="80"/>
      <c r="Q1059" s="80"/>
      <c r="R1059" s="82"/>
      <c r="S1059" s="82"/>
      <c r="T1059" s="80"/>
      <c r="U1059" s="80"/>
      <c r="V1059" s="82"/>
      <c r="W1059" s="80"/>
      <c r="X1059" s="80"/>
      <c r="Y1059" s="80"/>
      <c r="Z1059" s="80"/>
      <c r="AA1059" s="82"/>
      <c r="AB1059" s="80"/>
      <c r="AC1059" s="80"/>
      <c r="AD1059" s="80"/>
      <c r="AE1059" s="80"/>
      <c r="AF1059" s="82"/>
      <c r="AG1059" s="80"/>
      <c r="AH1059" s="80"/>
      <c r="AI1059" s="82"/>
      <c r="AJ1059" s="79"/>
      <c r="AK1059" s="78" t="str">
        <f aca="false">IF(E1059="","",(X1059&lt;&gt;"")+(AC1059&lt;&gt;"")+(AH1059&lt;&gt;""))</f>
        <v/>
      </c>
      <c r="AL1059" s="81" t="str">
        <f aca="false">IF(AH1059&lt;&gt;"",AH1059,IF(AC1059&lt;&gt;"",AC1059,IF(X1059&lt;&gt;"",X1059,"")))</f>
        <v/>
      </c>
      <c r="AM1059" s="83" t="str">
        <f aca="false">IF(E1059="","",IF(R1059="","À SOUDER",IF(U1059="","VT EN ATTENTE",IF(U1059="R","VT REJETÉ – À REPRENDRE",IF(AL1059="","À RADIOGRAPHIER",IF(AL1059="A","ACCEPTÉ",IF(AL1059="NX","NX – RT À REFAIRE",IF(IF(AK1059=1,Z1059,IF(AK1059=2,AE1059,""))="A","RÉPARÉ – À RADIOGRAPHIER",IF(IF(AK1059=1,Z1059,IF(AK1059=2,AE1059,""))="R","VT REJETÉ – À REPRENDRE",IF(OR(AL1059="CO",AL1059="NT"),"COUPE – À RESOUDER","À RÉPARER"))))))))))</f>
        <v/>
      </c>
      <c r="AN1059" s="81" t="str">
        <f aca="false">IF(AND(ISNUMBER(R1059),OR(AM1059="À RADIOGRAPHIER",AM1059="RÉPARÉ – À RADIOGRAPHIER",AM1059="NX – RT À REFAIRE",AM1059="À RÉPARER",AM1059="COUPE – À RESOUDER",AM1059="VT REJETÉ – À REPRENDRE")),MAX(0,'PROGRAMME RT'!$C$4-R1059),"")</f>
        <v/>
      </c>
      <c r="AO1059" s="78" t="n">
        <f aca="false">IF(AND(OR(AM1059="À RADIOGRAPHIER",AM1059="RÉPARÉ – À RADIOGRAPHIER",AM1059="NX – RT À REFAIRE"),OR('PROGRAMME RT'!$D$5="TOUTES",B1059='PROGRAMME RT'!$D$5)),1,0)</f>
        <v>0</v>
      </c>
      <c r="AP1059" s="78" t="str">
        <f aca="false">IF(AO1059=1,SUM(AO$7:AO1059),"")</f>
        <v/>
      </c>
      <c r="AQ1059" s="78" t="n">
        <f aca="false">IF(AND(OR(X1059="R",X1059="NX",X1059="NT",X1059="CO"),OR('JOINTS DE RÉPARATION'!$D$5="TOUTES",B1059='JOINTS DE RÉPARATION'!$D$5),OR('JOINTS DE RÉPARATION'!$L$4="TOUS",AM1059&lt;&gt;"ACCEPTÉ")),1,0)</f>
        <v>0</v>
      </c>
      <c r="AR1059" s="78" t="str">
        <f aca="false">IF(AQ1059=1,SUM(AQ$7:AQ1059),"")</f>
        <v/>
      </c>
    </row>
    <row r="1060" customFormat="false" ht="15" hidden="false" customHeight="false" outlineLevel="0" collapsed="false">
      <c r="A1060" s="78" t="str">
        <f aca="false">IF(E1060="","",ROW()-6)</f>
        <v/>
      </c>
      <c r="B1060" s="79"/>
      <c r="C1060" s="80"/>
      <c r="D1060" s="80"/>
      <c r="E1060" s="80"/>
      <c r="F1060" s="80"/>
      <c r="G1060" s="80"/>
      <c r="H1060" s="80"/>
      <c r="I1060" s="80"/>
      <c r="J1060" s="80"/>
      <c r="K1060" s="80"/>
      <c r="L1060" s="81" t="str">
        <f aca="false">IF(K1060="","",IFERROR(INDEX(BARDAGE!$C$7:$C$1506,MATCH(K1060,BARDAGE!$B$7:$B$1506,0)),"? hors registre"))</f>
        <v/>
      </c>
      <c r="M1060" s="80"/>
      <c r="N1060" s="81" t="str">
        <f aca="false">IF(M1060="","",IFERROR(INDEX(BARDAGE!$C$7:$C$1506,MATCH(M1060,BARDAGE!$B$7:$B$1506,0)),"? hors registre"))</f>
        <v/>
      </c>
      <c r="O1060" s="80"/>
      <c r="P1060" s="80"/>
      <c r="Q1060" s="80"/>
      <c r="R1060" s="82"/>
      <c r="S1060" s="82"/>
      <c r="T1060" s="80"/>
      <c r="U1060" s="80"/>
      <c r="V1060" s="82"/>
      <c r="W1060" s="80"/>
      <c r="X1060" s="80"/>
      <c r="Y1060" s="80"/>
      <c r="Z1060" s="80"/>
      <c r="AA1060" s="82"/>
      <c r="AB1060" s="80"/>
      <c r="AC1060" s="80"/>
      <c r="AD1060" s="80"/>
      <c r="AE1060" s="80"/>
      <c r="AF1060" s="82"/>
      <c r="AG1060" s="80"/>
      <c r="AH1060" s="80"/>
      <c r="AI1060" s="82"/>
      <c r="AJ1060" s="79"/>
      <c r="AK1060" s="78" t="str">
        <f aca="false">IF(E1060="","",(X1060&lt;&gt;"")+(AC1060&lt;&gt;"")+(AH1060&lt;&gt;""))</f>
        <v/>
      </c>
      <c r="AL1060" s="81" t="str">
        <f aca="false">IF(AH1060&lt;&gt;"",AH1060,IF(AC1060&lt;&gt;"",AC1060,IF(X1060&lt;&gt;"",X1060,"")))</f>
        <v/>
      </c>
      <c r="AM1060" s="83" t="str">
        <f aca="false">IF(E1060="","",IF(R1060="","À SOUDER",IF(U1060="","VT EN ATTENTE",IF(U1060="R","VT REJETÉ – À REPRENDRE",IF(AL1060="","À RADIOGRAPHIER",IF(AL1060="A","ACCEPTÉ",IF(AL1060="NX","NX – RT À REFAIRE",IF(IF(AK1060=1,Z1060,IF(AK1060=2,AE1060,""))="A","RÉPARÉ – À RADIOGRAPHIER",IF(IF(AK1060=1,Z1060,IF(AK1060=2,AE1060,""))="R","VT REJETÉ – À REPRENDRE",IF(OR(AL1060="CO",AL1060="NT"),"COUPE – À RESOUDER","À RÉPARER"))))))))))</f>
        <v/>
      </c>
      <c r="AN1060" s="81" t="str">
        <f aca="false">IF(AND(ISNUMBER(R1060),OR(AM1060="À RADIOGRAPHIER",AM1060="RÉPARÉ – À RADIOGRAPHIER",AM1060="NX – RT À REFAIRE",AM1060="À RÉPARER",AM1060="COUPE – À RESOUDER",AM1060="VT REJETÉ – À REPRENDRE")),MAX(0,'PROGRAMME RT'!$C$4-R1060),"")</f>
        <v/>
      </c>
      <c r="AO1060" s="78" t="n">
        <f aca="false">IF(AND(OR(AM1060="À RADIOGRAPHIER",AM1060="RÉPARÉ – À RADIOGRAPHIER",AM1060="NX – RT À REFAIRE"),OR('PROGRAMME RT'!$D$5="TOUTES",B1060='PROGRAMME RT'!$D$5)),1,0)</f>
        <v>0</v>
      </c>
      <c r="AP1060" s="78" t="str">
        <f aca="false">IF(AO1060=1,SUM(AO$7:AO1060),"")</f>
        <v/>
      </c>
      <c r="AQ1060" s="78" t="n">
        <f aca="false">IF(AND(OR(X1060="R",X1060="NX",X1060="NT",X1060="CO"),OR('JOINTS DE RÉPARATION'!$D$5="TOUTES",B1060='JOINTS DE RÉPARATION'!$D$5),OR('JOINTS DE RÉPARATION'!$L$4="TOUS",AM1060&lt;&gt;"ACCEPTÉ")),1,0)</f>
        <v>0</v>
      </c>
      <c r="AR1060" s="78" t="str">
        <f aca="false">IF(AQ1060=1,SUM(AQ$7:AQ1060),"")</f>
        <v/>
      </c>
    </row>
    <row r="1061" customFormat="false" ht="15" hidden="false" customHeight="false" outlineLevel="0" collapsed="false">
      <c r="A1061" s="78" t="str">
        <f aca="false">IF(E1061="","",ROW()-6)</f>
        <v/>
      </c>
      <c r="B1061" s="79"/>
      <c r="C1061" s="80"/>
      <c r="D1061" s="80"/>
      <c r="E1061" s="80"/>
      <c r="F1061" s="80"/>
      <c r="G1061" s="80"/>
      <c r="H1061" s="80"/>
      <c r="I1061" s="80"/>
      <c r="J1061" s="80"/>
      <c r="K1061" s="80"/>
      <c r="L1061" s="81" t="str">
        <f aca="false">IF(K1061="","",IFERROR(INDEX(BARDAGE!$C$7:$C$1506,MATCH(K1061,BARDAGE!$B$7:$B$1506,0)),"? hors registre"))</f>
        <v/>
      </c>
      <c r="M1061" s="80"/>
      <c r="N1061" s="81" t="str">
        <f aca="false">IF(M1061="","",IFERROR(INDEX(BARDAGE!$C$7:$C$1506,MATCH(M1061,BARDAGE!$B$7:$B$1506,0)),"? hors registre"))</f>
        <v/>
      </c>
      <c r="O1061" s="80"/>
      <c r="P1061" s="80"/>
      <c r="Q1061" s="80"/>
      <c r="R1061" s="82"/>
      <c r="S1061" s="82"/>
      <c r="T1061" s="80"/>
      <c r="U1061" s="80"/>
      <c r="V1061" s="82"/>
      <c r="W1061" s="80"/>
      <c r="X1061" s="80"/>
      <c r="Y1061" s="80"/>
      <c r="Z1061" s="80"/>
      <c r="AA1061" s="82"/>
      <c r="AB1061" s="80"/>
      <c r="AC1061" s="80"/>
      <c r="AD1061" s="80"/>
      <c r="AE1061" s="80"/>
      <c r="AF1061" s="82"/>
      <c r="AG1061" s="80"/>
      <c r="AH1061" s="80"/>
      <c r="AI1061" s="82"/>
      <c r="AJ1061" s="79"/>
      <c r="AK1061" s="78" t="str">
        <f aca="false">IF(E1061="","",(X1061&lt;&gt;"")+(AC1061&lt;&gt;"")+(AH1061&lt;&gt;""))</f>
        <v/>
      </c>
      <c r="AL1061" s="81" t="str">
        <f aca="false">IF(AH1061&lt;&gt;"",AH1061,IF(AC1061&lt;&gt;"",AC1061,IF(X1061&lt;&gt;"",X1061,"")))</f>
        <v/>
      </c>
      <c r="AM1061" s="83" t="str">
        <f aca="false">IF(E1061="","",IF(R1061="","À SOUDER",IF(U1061="","VT EN ATTENTE",IF(U1061="R","VT REJETÉ – À REPRENDRE",IF(AL1061="","À RADIOGRAPHIER",IF(AL1061="A","ACCEPTÉ",IF(AL1061="NX","NX – RT À REFAIRE",IF(IF(AK1061=1,Z1061,IF(AK1061=2,AE1061,""))="A","RÉPARÉ – À RADIOGRAPHIER",IF(IF(AK1061=1,Z1061,IF(AK1061=2,AE1061,""))="R","VT REJETÉ – À REPRENDRE",IF(OR(AL1061="CO",AL1061="NT"),"COUPE – À RESOUDER","À RÉPARER"))))))))))</f>
        <v/>
      </c>
      <c r="AN1061" s="81" t="str">
        <f aca="false">IF(AND(ISNUMBER(R1061),OR(AM1061="À RADIOGRAPHIER",AM1061="RÉPARÉ – À RADIOGRAPHIER",AM1061="NX – RT À REFAIRE",AM1061="À RÉPARER",AM1061="COUPE – À RESOUDER",AM1061="VT REJETÉ – À REPRENDRE")),MAX(0,'PROGRAMME RT'!$C$4-R1061),"")</f>
        <v/>
      </c>
      <c r="AO1061" s="78" t="n">
        <f aca="false">IF(AND(OR(AM1061="À RADIOGRAPHIER",AM1061="RÉPARÉ – À RADIOGRAPHIER",AM1061="NX – RT À REFAIRE"),OR('PROGRAMME RT'!$D$5="TOUTES",B1061='PROGRAMME RT'!$D$5)),1,0)</f>
        <v>0</v>
      </c>
      <c r="AP1061" s="78" t="str">
        <f aca="false">IF(AO1061=1,SUM(AO$7:AO1061),"")</f>
        <v/>
      </c>
      <c r="AQ1061" s="78" t="n">
        <f aca="false">IF(AND(OR(X1061="R",X1061="NX",X1061="NT",X1061="CO"),OR('JOINTS DE RÉPARATION'!$D$5="TOUTES",B1061='JOINTS DE RÉPARATION'!$D$5),OR('JOINTS DE RÉPARATION'!$L$4="TOUS",AM1061&lt;&gt;"ACCEPTÉ")),1,0)</f>
        <v>0</v>
      </c>
      <c r="AR1061" s="78" t="str">
        <f aca="false">IF(AQ1061=1,SUM(AQ$7:AQ1061),"")</f>
        <v/>
      </c>
    </row>
    <row r="1062" customFormat="false" ht="15" hidden="false" customHeight="false" outlineLevel="0" collapsed="false">
      <c r="A1062" s="78" t="str">
        <f aca="false">IF(E1062="","",ROW()-6)</f>
        <v/>
      </c>
      <c r="B1062" s="79"/>
      <c r="C1062" s="80"/>
      <c r="D1062" s="80"/>
      <c r="E1062" s="80"/>
      <c r="F1062" s="80"/>
      <c r="G1062" s="80"/>
      <c r="H1062" s="80"/>
      <c r="I1062" s="80"/>
      <c r="J1062" s="80"/>
      <c r="K1062" s="80"/>
      <c r="L1062" s="81" t="str">
        <f aca="false">IF(K1062="","",IFERROR(INDEX(BARDAGE!$C$7:$C$1506,MATCH(K1062,BARDAGE!$B$7:$B$1506,0)),"? hors registre"))</f>
        <v/>
      </c>
      <c r="M1062" s="80"/>
      <c r="N1062" s="81" t="str">
        <f aca="false">IF(M1062="","",IFERROR(INDEX(BARDAGE!$C$7:$C$1506,MATCH(M1062,BARDAGE!$B$7:$B$1506,0)),"? hors registre"))</f>
        <v/>
      </c>
      <c r="O1062" s="80"/>
      <c r="P1062" s="80"/>
      <c r="Q1062" s="80"/>
      <c r="R1062" s="82"/>
      <c r="S1062" s="82"/>
      <c r="T1062" s="80"/>
      <c r="U1062" s="80"/>
      <c r="V1062" s="82"/>
      <c r="W1062" s="80"/>
      <c r="X1062" s="80"/>
      <c r="Y1062" s="80"/>
      <c r="Z1062" s="80"/>
      <c r="AA1062" s="82"/>
      <c r="AB1062" s="80"/>
      <c r="AC1062" s="80"/>
      <c r="AD1062" s="80"/>
      <c r="AE1062" s="80"/>
      <c r="AF1062" s="82"/>
      <c r="AG1062" s="80"/>
      <c r="AH1062" s="80"/>
      <c r="AI1062" s="82"/>
      <c r="AJ1062" s="79"/>
      <c r="AK1062" s="78" t="str">
        <f aca="false">IF(E1062="","",(X1062&lt;&gt;"")+(AC1062&lt;&gt;"")+(AH1062&lt;&gt;""))</f>
        <v/>
      </c>
      <c r="AL1062" s="81" t="str">
        <f aca="false">IF(AH1062&lt;&gt;"",AH1062,IF(AC1062&lt;&gt;"",AC1062,IF(X1062&lt;&gt;"",X1062,"")))</f>
        <v/>
      </c>
      <c r="AM1062" s="83" t="str">
        <f aca="false">IF(E1062="","",IF(R1062="","À SOUDER",IF(U1062="","VT EN ATTENTE",IF(U1062="R","VT REJETÉ – À REPRENDRE",IF(AL1062="","À RADIOGRAPHIER",IF(AL1062="A","ACCEPTÉ",IF(AL1062="NX","NX – RT À REFAIRE",IF(IF(AK1062=1,Z1062,IF(AK1062=2,AE1062,""))="A","RÉPARÉ – À RADIOGRAPHIER",IF(IF(AK1062=1,Z1062,IF(AK1062=2,AE1062,""))="R","VT REJETÉ – À REPRENDRE",IF(OR(AL1062="CO",AL1062="NT"),"COUPE – À RESOUDER","À RÉPARER"))))))))))</f>
        <v/>
      </c>
      <c r="AN1062" s="81" t="str">
        <f aca="false">IF(AND(ISNUMBER(R1062),OR(AM1062="À RADIOGRAPHIER",AM1062="RÉPARÉ – À RADIOGRAPHIER",AM1062="NX – RT À REFAIRE",AM1062="À RÉPARER",AM1062="COUPE – À RESOUDER",AM1062="VT REJETÉ – À REPRENDRE")),MAX(0,'PROGRAMME RT'!$C$4-R1062),"")</f>
        <v/>
      </c>
      <c r="AO1062" s="78" t="n">
        <f aca="false">IF(AND(OR(AM1062="À RADIOGRAPHIER",AM1062="RÉPARÉ – À RADIOGRAPHIER",AM1062="NX – RT À REFAIRE"),OR('PROGRAMME RT'!$D$5="TOUTES",B1062='PROGRAMME RT'!$D$5)),1,0)</f>
        <v>0</v>
      </c>
      <c r="AP1062" s="78" t="str">
        <f aca="false">IF(AO1062=1,SUM(AO$7:AO1062),"")</f>
        <v/>
      </c>
      <c r="AQ1062" s="78" t="n">
        <f aca="false">IF(AND(OR(X1062="R",X1062="NX",X1062="NT",X1062="CO"),OR('JOINTS DE RÉPARATION'!$D$5="TOUTES",B1062='JOINTS DE RÉPARATION'!$D$5),OR('JOINTS DE RÉPARATION'!$L$4="TOUS",AM1062&lt;&gt;"ACCEPTÉ")),1,0)</f>
        <v>0</v>
      </c>
      <c r="AR1062" s="78" t="str">
        <f aca="false">IF(AQ1062=1,SUM(AQ$7:AQ1062),"")</f>
        <v/>
      </c>
    </row>
    <row r="1063" customFormat="false" ht="15" hidden="false" customHeight="false" outlineLevel="0" collapsed="false">
      <c r="A1063" s="78" t="str">
        <f aca="false">IF(E1063="","",ROW()-6)</f>
        <v/>
      </c>
      <c r="B1063" s="79"/>
      <c r="C1063" s="80"/>
      <c r="D1063" s="80"/>
      <c r="E1063" s="80"/>
      <c r="F1063" s="80"/>
      <c r="G1063" s="80"/>
      <c r="H1063" s="80"/>
      <c r="I1063" s="80"/>
      <c r="J1063" s="80"/>
      <c r="K1063" s="80"/>
      <c r="L1063" s="81" t="str">
        <f aca="false">IF(K1063="","",IFERROR(INDEX(BARDAGE!$C$7:$C$1506,MATCH(K1063,BARDAGE!$B$7:$B$1506,0)),"? hors registre"))</f>
        <v/>
      </c>
      <c r="M1063" s="80"/>
      <c r="N1063" s="81" t="str">
        <f aca="false">IF(M1063="","",IFERROR(INDEX(BARDAGE!$C$7:$C$1506,MATCH(M1063,BARDAGE!$B$7:$B$1506,0)),"? hors registre"))</f>
        <v/>
      </c>
      <c r="O1063" s="80"/>
      <c r="P1063" s="80"/>
      <c r="Q1063" s="80"/>
      <c r="R1063" s="82"/>
      <c r="S1063" s="82"/>
      <c r="T1063" s="80"/>
      <c r="U1063" s="80"/>
      <c r="V1063" s="82"/>
      <c r="W1063" s="80"/>
      <c r="X1063" s="80"/>
      <c r="Y1063" s="80"/>
      <c r="Z1063" s="80"/>
      <c r="AA1063" s="82"/>
      <c r="AB1063" s="80"/>
      <c r="AC1063" s="80"/>
      <c r="AD1063" s="80"/>
      <c r="AE1063" s="80"/>
      <c r="AF1063" s="82"/>
      <c r="AG1063" s="80"/>
      <c r="AH1063" s="80"/>
      <c r="AI1063" s="82"/>
      <c r="AJ1063" s="79"/>
      <c r="AK1063" s="78" t="str">
        <f aca="false">IF(E1063="","",(X1063&lt;&gt;"")+(AC1063&lt;&gt;"")+(AH1063&lt;&gt;""))</f>
        <v/>
      </c>
      <c r="AL1063" s="81" t="str">
        <f aca="false">IF(AH1063&lt;&gt;"",AH1063,IF(AC1063&lt;&gt;"",AC1063,IF(X1063&lt;&gt;"",X1063,"")))</f>
        <v/>
      </c>
      <c r="AM1063" s="83" t="str">
        <f aca="false">IF(E1063="","",IF(R1063="","À SOUDER",IF(U1063="","VT EN ATTENTE",IF(U1063="R","VT REJETÉ – À REPRENDRE",IF(AL1063="","À RADIOGRAPHIER",IF(AL1063="A","ACCEPTÉ",IF(AL1063="NX","NX – RT À REFAIRE",IF(IF(AK1063=1,Z1063,IF(AK1063=2,AE1063,""))="A","RÉPARÉ – À RADIOGRAPHIER",IF(IF(AK1063=1,Z1063,IF(AK1063=2,AE1063,""))="R","VT REJETÉ – À REPRENDRE",IF(OR(AL1063="CO",AL1063="NT"),"COUPE – À RESOUDER","À RÉPARER"))))))))))</f>
        <v/>
      </c>
      <c r="AN1063" s="81" t="str">
        <f aca="false">IF(AND(ISNUMBER(R1063),OR(AM1063="À RADIOGRAPHIER",AM1063="RÉPARÉ – À RADIOGRAPHIER",AM1063="NX – RT À REFAIRE",AM1063="À RÉPARER",AM1063="COUPE – À RESOUDER",AM1063="VT REJETÉ – À REPRENDRE")),MAX(0,'PROGRAMME RT'!$C$4-R1063),"")</f>
        <v/>
      </c>
      <c r="AO1063" s="78" t="n">
        <f aca="false">IF(AND(OR(AM1063="À RADIOGRAPHIER",AM1063="RÉPARÉ – À RADIOGRAPHIER",AM1063="NX – RT À REFAIRE"),OR('PROGRAMME RT'!$D$5="TOUTES",B1063='PROGRAMME RT'!$D$5)),1,0)</f>
        <v>0</v>
      </c>
      <c r="AP1063" s="78" t="str">
        <f aca="false">IF(AO1063=1,SUM(AO$7:AO1063),"")</f>
        <v/>
      </c>
      <c r="AQ1063" s="78" t="n">
        <f aca="false">IF(AND(OR(X1063="R",X1063="NX",X1063="NT",X1063="CO"),OR('JOINTS DE RÉPARATION'!$D$5="TOUTES",B1063='JOINTS DE RÉPARATION'!$D$5),OR('JOINTS DE RÉPARATION'!$L$4="TOUS",AM1063&lt;&gt;"ACCEPTÉ")),1,0)</f>
        <v>0</v>
      </c>
      <c r="AR1063" s="78" t="str">
        <f aca="false">IF(AQ1063=1,SUM(AQ$7:AQ1063),"")</f>
        <v/>
      </c>
    </row>
    <row r="1064" customFormat="false" ht="15" hidden="false" customHeight="false" outlineLevel="0" collapsed="false">
      <c r="A1064" s="78" t="str">
        <f aca="false">IF(E1064="","",ROW()-6)</f>
        <v/>
      </c>
      <c r="B1064" s="79"/>
      <c r="C1064" s="80"/>
      <c r="D1064" s="80"/>
      <c r="E1064" s="80"/>
      <c r="F1064" s="80"/>
      <c r="G1064" s="80"/>
      <c r="H1064" s="80"/>
      <c r="I1064" s="80"/>
      <c r="J1064" s="80"/>
      <c r="K1064" s="80"/>
      <c r="L1064" s="81" t="str">
        <f aca="false">IF(K1064="","",IFERROR(INDEX(BARDAGE!$C$7:$C$1506,MATCH(K1064,BARDAGE!$B$7:$B$1506,0)),"? hors registre"))</f>
        <v/>
      </c>
      <c r="M1064" s="80"/>
      <c r="N1064" s="81" t="str">
        <f aca="false">IF(M1064="","",IFERROR(INDEX(BARDAGE!$C$7:$C$1506,MATCH(M1064,BARDAGE!$B$7:$B$1506,0)),"? hors registre"))</f>
        <v/>
      </c>
      <c r="O1064" s="80"/>
      <c r="P1064" s="80"/>
      <c r="Q1064" s="80"/>
      <c r="R1064" s="82"/>
      <c r="S1064" s="82"/>
      <c r="T1064" s="80"/>
      <c r="U1064" s="80"/>
      <c r="V1064" s="82"/>
      <c r="W1064" s="80"/>
      <c r="X1064" s="80"/>
      <c r="Y1064" s="80"/>
      <c r="Z1064" s="80"/>
      <c r="AA1064" s="82"/>
      <c r="AB1064" s="80"/>
      <c r="AC1064" s="80"/>
      <c r="AD1064" s="80"/>
      <c r="AE1064" s="80"/>
      <c r="AF1064" s="82"/>
      <c r="AG1064" s="80"/>
      <c r="AH1064" s="80"/>
      <c r="AI1064" s="82"/>
      <c r="AJ1064" s="79"/>
      <c r="AK1064" s="78" t="str">
        <f aca="false">IF(E1064="","",(X1064&lt;&gt;"")+(AC1064&lt;&gt;"")+(AH1064&lt;&gt;""))</f>
        <v/>
      </c>
      <c r="AL1064" s="81" t="str">
        <f aca="false">IF(AH1064&lt;&gt;"",AH1064,IF(AC1064&lt;&gt;"",AC1064,IF(X1064&lt;&gt;"",X1064,"")))</f>
        <v/>
      </c>
      <c r="AM1064" s="83" t="str">
        <f aca="false">IF(E1064="","",IF(R1064="","À SOUDER",IF(U1064="","VT EN ATTENTE",IF(U1064="R","VT REJETÉ – À REPRENDRE",IF(AL1064="","À RADIOGRAPHIER",IF(AL1064="A","ACCEPTÉ",IF(AL1064="NX","NX – RT À REFAIRE",IF(IF(AK1064=1,Z1064,IF(AK1064=2,AE1064,""))="A","RÉPARÉ – À RADIOGRAPHIER",IF(IF(AK1064=1,Z1064,IF(AK1064=2,AE1064,""))="R","VT REJETÉ – À REPRENDRE",IF(OR(AL1064="CO",AL1064="NT"),"COUPE – À RESOUDER","À RÉPARER"))))))))))</f>
        <v/>
      </c>
      <c r="AN1064" s="81" t="str">
        <f aca="false">IF(AND(ISNUMBER(R1064),OR(AM1064="À RADIOGRAPHIER",AM1064="RÉPARÉ – À RADIOGRAPHIER",AM1064="NX – RT À REFAIRE",AM1064="À RÉPARER",AM1064="COUPE – À RESOUDER",AM1064="VT REJETÉ – À REPRENDRE")),MAX(0,'PROGRAMME RT'!$C$4-R1064),"")</f>
        <v/>
      </c>
      <c r="AO1064" s="78" t="n">
        <f aca="false">IF(AND(OR(AM1064="À RADIOGRAPHIER",AM1064="RÉPARÉ – À RADIOGRAPHIER",AM1064="NX – RT À REFAIRE"),OR('PROGRAMME RT'!$D$5="TOUTES",B1064='PROGRAMME RT'!$D$5)),1,0)</f>
        <v>0</v>
      </c>
      <c r="AP1064" s="78" t="str">
        <f aca="false">IF(AO1064=1,SUM(AO$7:AO1064),"")</f>
        <v/>
      </c>
      <c r="AQ1064" s="78" t="n">
        <f aca="false">IF(AND(OR(X1064="R",X1064="NX",X1064="NT",X1064="CO"),OR('JOINTS DE RÉPARATION'!$D$5="TOUTES",B1064='JOINTS DE RÉPARATION'!$D$5),OR('JOINTS DE RÉPARATION'!$L$4="TOUS",AM1064&lt;&gt;"ACCEPTÉ")),1,0)</f>
        <v>0</v>
      </c>
      <c r="AR1064" s="78" t="str">
        <f aca="false">IF(AQ1064=1,SUM(AQ$7:AQ1064),"")</f>
        <v/>
      </c>
    </row>
    <row r="1065" customFormat="false" ht="15" hidden="false" customHeight="false" outlineLevel="0" collapsed="false">
      <c r="A1065" s="78" t="str">
        <f aca="false">IF(E1065="","",ROW()-6)</f>
        <v/>
      </c>
      <c r="B1065" s="79"/>
      <c r="C1065" s="80"/>
      <c r="D1065" s="80"/>
      <c r="E1065" s="80"/>
      <c r="F1065" s="80"/>
      <c r="G1065" s="80"/>
      <c r="H1065" s="80"/>
      <c r="I1065" s="80"/>
      <c r="J1065" s="80"/>
      <c r="K1065" s="80"/>
      <c r="L1065" s="81" t="str">
        <f aca="false">IF(K1065="","",IFERROR(INDEX(BARDAGE!$C$7:$C$1506,MATCH(K1065,BARDAGE!$B$7:$B$1506,0)),"? hors registre"))</f>
        <v/>
      </c>
      <c r="M1065" s="80"/>
      <c r="N1065" s="81" t="str">
        <f aca="false">IF(M1065="","",IFERROR(INDEX(BARDAGE!$C$7:$C$1506,MATCH(M1065,BARDAGE!$B$7:$B$1506,0)),"? hors registre"))</f>
        <v/>
      </c>
      <c r="O1065" s="80"/>
      <c r="P1065" s="80"/>
      <c r="Q1065" s="80"/>
      <c r="R1065" s="82"/>
      <c r="S1065" s="82"/>
      <c r="T1065" s="80"/>
      <c r="U1065" s="80"/>
      <c r="V1065" s="82"/>
      <c r="W1065" s="80"/>
      <c r="X1065" s="80"/>
      <c r="Y1065" s="80"/>
      <c r="Z1065" s="80"/>
      <c r="AA1065" s="82"/>
      <c r="AB1065" s="80"/>
      <c r="AC1065" s="80"/>
      <c r="AD1065" s="80"/>
      <c r="AE1065" s="80"/>
      <c r="AF1065" s="82"/>
      <c r="AG1065" s="80"/>
      <c r="AH1065" s="80"/>
      <c r="AI1065" s="82"/>
      <c r="AJ1065" s="79"/>
      <c r="AK1065" s="78" t="str">
        <f aca="false">IF(E1065="","",(X1065&lt;&gt;"")+(AC1065&lt;&gt;"")+(AH1065&lt;&gt;""))</f>
        <v/>
      </c>
      <c r="AL1065" s="81" t="str">
        <f aca="false">IF(AH1065&lt;&gt;"",AH1065,IF(AC1065&lt;&gt;"",AC1065,IF(X1065&lt;&gt;"",X1065,"")))</f>
        <v/>
      </c>
      <c r="AM1065" s="83" t="str">
        <f aca="false">IF(E1065="","",IF(R1065="","À SOUDER",IF(U1065="","VT EN ATTENTE",IF(U1065="R","VT REJETÉ – À REPRENDRE",IF(AL1065="","À RADIOGRAPHIER",IF(AL1065="A","ACCEPTÉ",IF(AL1065="NX","NX – RT À REFAIRE",IF(IF(AK1065=1,Z1065,IF(AK1065=2,AE1065,""))="A","RÉPARÉ – À RADIOGRAPHIER",IF(IF(AK1065=1,Z1065,IF(AK1065=2,AE1065,""))="R","VT REJETÉ – À REPRENDRE",IF(OR(AL1065="CO",AL1065="NT"),"COUPE – À RESOUDER","À RÉPARER"))))))))))</f>
        <v/>
      </c>
      <c r="AN1065" s="81" t="str">
        <f aca="false">IF(AND(ISNUMBER(R1065),OR(AM1065="À RADIOGRAPHIER",AM1065="RÉPARÉ – À RADIOGRAPHIER",AM1065="NX – RT À REFAIRE",AM1065="À RÉPARER",AM1065="COUPE – À RESOUDER",AM1065="VT REJETÉ – À REPRENDRE")),MAX(0,'PROGRAMME RT'!$C$4-R1065),"")</f>
        <v/>
      </c>
      <c r="AO1065" s="78" t="n">
        <f aca="false">IF(AND(OR(AM1065="À RADIOGRAPHIER",AM1065="RÉPARÉ – À RADIOGRAPHIER",AM1065="NX – RT À REFAIRE"),OR('PROGRAMME RT'!$D$5="TOUTES",B1065='PROGRAMME RT'!$D$5)),1,0)</f>
        <v>0</v>
      </c>
      <c r="AP1065" s="78" t="str">
        <f aca="false">IF(AO1065=1,SUM(AO$7:AO1065),"")</f>
        <v/>
      </c>
      <c r="AQ1065" s="78" t="n">
        <f aca="false">IF(AND(OR(X1065="R",X1065="NX",X1065="NT",X1065="CO"),OR('JOINTS DE RÉPARATION'!$D$5="TOUTES",B1065='JOINTS DE RÉPARATION'!$D$5),OR('JOINTS DE RÉPARATION'!$L$4="TOUS",AM1065&lt;&gt;"ACCEPTÉ")),1,0)</f>
        <v>0</v>
      </c>
      <c r="AR1065" s="78" t="str">
        <f aca="false">IF(AQ1065=1,SUM(AQ$7:AQ1065),"")</f>
        <v/>
      </c>
    </row>
    <row r="1066" customFormat="false" ht="15" hidden="false" customHeight="false" outlineLevel="0" collapsed="false">
      <c r="A1066" s="78" t="str">
        <f aca="false">IF(E1066="","",ROW()-6)</f>
        <v/>
      </c>
      <c r="B1066" s="79"/>
      <c r="C1066" s="80"/>
      <c r="D1066" s="80"/>
      <c r="E1066" s="80"/>
      <c r="F1066" s="80"/>
      <c r="G1066" s="80"/>
      <c r="H1066" s="80"/>
      <c r="I1066" s="80"/>
      <c r="J1066" s="80"/>
      <c r="K1066" s="80"/>
      <c r="L1066" s="81" t="str">
        <f aca="false">IF(K1066="","",IFERROR(INDEX(BARDAGE!$C$7:$C$1506,MATCH(K1066,BARDAGE!$B$7:$B$1506,0)),"? hors registre"))</f>
        <v/>
      </c>
      <c r="M1066" s="80"/>
      <c r="N1066" s="81" t="str">
        <f aca="false">IF(M1066="","",IFERROR(INDEX(BARDAGE!$C$7:$C$1506,MATCH(M1066,BARDAGE!$B$7:$B$1506,0)),"? hors registre"))</f>
        <v/>
      </c>
      <c r="O1066" s="80"/>
      <c r="P1066" s="80"/>
      <c r="Q1066" s="80"/>
      <c r="R1066" s="82"/>
      <c r="S1066" s="82"/>
      <c r="T1066" s="80"/>
      <c r="U1066" s="80"/>
      <c r="V1066" s="82"/>
      <c r="W1066" s="80"/>
      <c r="X1066" s="80"/>
      <c r="Y1066" s="80"/>
      <c r="Z1066" s="80"/>
      <c r="AA1066" s="82"/>
      <c r="AB1066" s="80"/>
      <c r="AC1066" s="80"/>
      <c r="AD1066" s="80"/>
      <c r="AE1066" s="80"/>
      <c r="AF1066" s="82"/>
      <c r="AG1066" s="80"/>
      <c r="AH1066" s="80"/>
      <c r="AI1066" s="82"/>
      <c r="AJ1066" s="79"/>
      <c r="AK1066" s="78" t="str">
        <f aca="false">IF(E1066="","",(X1066&lt;&gt;"")+(AC1066&lt;&gt;"")+(AH1066&lt;&gt;""))</f>
        <v/>
      </c>
      <c r="AL1066" s="81" t="str">
        <f aca="false">IF(AH1066&lt;&gt;"",AH1066,IF(AC1066&lt;&gt;"",AC1066,IF(X1066&lt;&gt;"",X1066,"")))</f>
        <v/>
      </c>
      <c r="AM1066" s="83" t="str">
        <f aca="false">IF(E1066="","",IF(R1066="","À SOUDER",IF(U1066="","VT EN ATTENTE",IF(U1066="R","VT REJETÉ – À REPRENDRE",IF(AL1066="","À RADIOGRAPHIER",IF(AL1066="A","ACCEPTÉ",IF(AL1066="NX","NX – RT À REFAIRE",IF(IF(AK1066=1,Z1066,IF(AK1066=2,AE1066,""))="A","RÉPARÉ – À RADIOGRAPHIER",IF(IF(AK1066=1,Z1066,IF(AK1066=2,AE1066,""))="R","VT REJETÉ – À REPRENDRE",IF(OR(AL1066="CO",AL1066="NT"),"COUPE – À RESOUDER","À RÉPARER"))))))))))</f>
        <v/>
      </c>
      <c r="AN1066" s="81" t="str">
        <f aca="false">IF(AND(ISNUMBER(R1066),OR(AM1066="À RADIOGRAPHIER",AM1066="RÉPARÉ – À RADIOGRAPHIER",AM1066="NX – RT À REFAIRE",AM1066="À RÉPARER",AM1066="COUPE – À RESOUDER",AM1066="VT REJETÉ – À REPRENDRE")),MAX(0,'PROGRAMME RT'!$C$4-R1066),"")</f>
        <v/>
      </c>
      <c r="AO1066" s="78" t="n">
        <f aca="false">IF(AND(OR(AM1066="À RADIOGRAPHIER",AM1066="RÉPARÉ – À RADIOGRAPHIER",AM1066="NX – RT À REFAIRE"),OR('PROGRAMME RT'!$D$5="TOUTES",B1066='PROGRAMME RT'!$D$5)),1,0)</f>
        <v>0</v>
      </c>
      <c r="AP1066" s="78" t="str">
        <f aca="false">IF(AO1066=1,SUM(AO$7:AO1066),"")</f>
        <v/>
      </c>
      <c r="AQ1066" s="78" t="n">
        <f aca="false">IF(AND(OR(X1066="R",X1066="NX",X1066="NT",X1066="CO"),OR('JOINTS DE RÉPARATION'!$D$5="TOUTES",B1066='JOINTS DE RÉPARATION'!$D$5),OR('JOINTS DE RÉPARATION'!$L$4="TOUS",AM1066&lt;&gt;"ACCEPTÉ")),1,0)</f>
        <v>0</v>
      </c>
      <c r="AR1066" s="78" t="str">
        <f aca="false">IF(AQ1066=1,SUM(AQ$7:AQ1066),"")</f>
        <v/>
      </c>
    </row>
    <row r="1067" customFormat="false" ht="15" hidden="false" customHeight="false" outlineLevel="0" collapsed="false">
      <c r="A1067" s="78" t="str">
        <f aca="false">IF(E1067="","",ROW()-6)</f>
        <v/>
      </c>
      <c r="B1067" s="79"/>
      <c r="C1067" s="80"/>
      <c r="D1067" s="80"/>
      <c r="E1067" s="80"/>
      <c r="F1067" s="80"/>
      <c r="G1067" s="80"/>
      <c r="H1067" s="80"/>
      <c r="I1067" s="80"/>
      <c r="J1067" s="80"/>
      <c r="K1067" s="80"/>
      <c r="L1067" s="81" t="str">
        <f aca="false">IF(K1067="","",IFERROR(INDEX(BARDAGE!$C$7:$C$1506,MATCH(K1067,BARDAGE!$B$7:$B$1506,0)),"? hors registre"))</f>
        <v/>
      </c>
      <c r="M1067" s="80"/>
      <c r="N1067" s="81" t="str">
        <f aca="false">IF(M1067="","",IFERROR(INDEX(BARDAGE!$C$7:$C$1506,MATCH(M1067,BARDAGE!$B$7:$B$1506,0)),"? hors registre"))</f>
        <v/>
      </c>
      <c r="O1067" s="80"/>
      <c r="P1067" s="80"/>
      <c r="Q1067" s="80"/>
      <c r="R1067" s="82"/>
      <c r="S1067" s="82"/>
      <c r="T1067" s="80"/>
      <c r="U1067" s="80"/>
      <c r="V1067" s="82"/>
      <c r="W1067" s="80"/>
      <c r="X1067" s="80"/>
      <c r="Y1067" s="80"/>
      <c r="Z1067" s="80"/>
      <c r="AA1067" s="82"/>
      <c r="AB1067" s="80"/>
      <c r="AC1067" s="80"/>
      <c r="AD1067" s="80"/>
      <c r="AE1067" s="80"/>
      <c r="AF1067" s="82"/>
      <c r="AG1067" s="80"/>
      <c r="AH1067" s="80"/>
      <c r="AI1067" s="82"/>
      <c r="AJ1067" s="79"/>
      <c r="AK1067" s="78" t="str">
        <f aca="false">IF(E1067="","",(X1067&lt;&gt;"")+(AC1067&lt;&gt;"")+(AH1067&lt;&gt;""))</f>
        <v/>
      </c>
      <c r="AL1067" s="81" t="str">
        <f aca="false">IF(AH1067&lt;&gt;"",AH1067,IF(AC1067&lt;&gt;"",AC1067,IF(X1067&lt;&gt;"",X1067,"")))</f>
        <v/>
      </c>
      <c r="AM1067" s="83" t="str">
        <f aca="false">IF(E1067="","",IF(R1067="","À SOUDER",IF(U1067="","VT EN ATTENTE",IF(U1067="R","VT REJETÉ – À REPRENDRE",IF(AL1067="","À RADIOGRAPHIER",IF(AL1067="A","ACCEPTÉ",IF(AL1067="NX","NX – RT À REFAIRE",IF(IF(AK1067=1,Z1067,IF(AK1067=2,AE1067,""))="A","RÉPARÉ – À RADIOGRAPHIER",IF(IF(AK1067=1,Z1067,IF(AK1067=2,AE1067,""))="R","VT REJETÉ – À REPRENDRE",IF(OR(AL1067="CO",AL1067="NT"),"COUPE – À RESOUDER","À RÉPARER"))))))))))</f>
        <v/>
      </c>
      <c r="AN1067" s="81" t="str">
        <f aca="false">IF(AND(ISNUMBER(R1067),OR(AM1067="À RADIOGRAPHIER",AM1067="RÉPARÉ – À RADIOGRAPHIER",AM1067="NX – RT À REFAIRE",AM1067="À RÉPARER",AM1067="COUPE – À RESOUDER",AM1067="VT REJETÉ – À REPRENDRE")),MAX(0,'PROGRAMME RT'!$C$4-R1067),"")</f>
        <v/>
      </c>
      <c r="AO1067" s="78" t="n">
        <f aca="false">IF(AND(OR(AM1067="À RADIOGRAPHIER",AM1067="RÉPARÉ – À RADIOGRAPHIER",AM1067="NX – RT À REFAIRE"),OR('PROGRAMME RT'!$D$5="TOUTES",B1067='PROGRAMME RT'!$D$5)),1,0)</f>
        <v>0</v>
      </c>
      <c r="AP1067" s="78" t="str">
        <f aca="false">IF(AO1067=1,SUM(AO$7:AO1067),"")</f>
        <v/>
      </c>
      <c r="AQ1067" s="78" t="n">
        <f aca="false">IF(AND(OR(X1067="R",X1067="NX",X1067="NT",X1067="CO"),OR('JOINTS DE RÉPARATION'!$D$5="TOUTES",B1067='JOINTS DE RÉPARATION'!$D$5),OR('JOINTS DE RÉPARATION'!$L$4="TOUS",AM1067&lt;&gt;"ACCEPTÉ")),1,0)</f>
        <v>0</v>
      </c>
      <c r="AR1067" s="78" t="str">
        <f aca="false">IF(AQ1067=1,SUM(AQ$7:AQ1067),"")</f>
        <v/>
      </c>
    </row>
    <row r="1068" customFormat="false" ht="15" hidden="false" customHeight="false" outlineLevel="0" collapsed="false">
      <c r="A1068" s="78" t="str">
        <f aca="false">IF(E1068="","",ROW()-6)</f>
        <v/>
      </c>
      <c r="B1068" s="79"/>
      <c r="C1068" s="80"/>
      <c r="D1068" s="80"/>
      <c r="E1068" s="80"/>
      <c r="F1068" s="80"/>
      <c r="G1068" s="80"/>
      <c r="H1068" s="80"/>
      <c r="I1068" s="80"/>
      <c r="J1068" s="80"/>
      <c r="K1068" s="80"/>
      <c r="L1068" s="81" t="str">
        <f aca="false">IF(K1068="","",IFERROR(INDEX(BARDAGE!$C$7:$C$1506,MATCH(K1068,BARDAGE!$B$7:$B$1506,0)),"? hors registre"))</f>
        <v/>
      </c>
      <c r="M1068" s="80"/>
      <c r="N1068" s="81" t="str">
        <f aca="false">IF(M1068="","",IFERROR(INDEX(BARDAGE!$C$7:$C$1506,MATCH(M1068,BARDAGE!$B$7:$B$1506,0)),"? hors registre"))</f>
        <v/>
      </c>
      <c r="O1068" s="80"/>
      <c r="P1068" s="80"/>
      <c r="Q1068" s="80"/>
      <c r="R1068" s="82"/>
      <c r="S1068" s="82"/>
      <c r="T1068" s="80"/>
      <c r="U1068" s="80"/>
      <c r="V1068" s="82"/>
      <c r="W1068" s="80"/>
      <c r="X1068" s="80"/>
      <c r="Y1068" s="80"/>
      <c r="Z1068" s="80"/>
      <c r="AA1068" s="82"/>
      <c r="AB1068" s="80"/>
      <c r="AC1068" s="80"/>
      <c r="AD1068" s="80"/>
      <c r="AE1068" s="80"/>
      <c r="AF1068" s="82"/>
      <c r="AG1068" s="80"/>
      <c r="AH1068" s="80"/>
      <c r="AI1068" s="82"/>
      <c r="AJ1068" s="79"/>
      <c r="AK1068" s="78" t="str">
        <f aca="false">IF(E1068="","",(X1068&lt;&gt;"")+(AC1068&lt;&gt;"")+(AH1068&lt;&gt;""))</f>
        <v/>
      </c>
      <c r="AL1068" s="81" t="str">
        <f aca="false">IF(AH1068&lt;&gt;"",AH1068,IF(AC1068&lt;&gt;"",AC1068,IF(X1068&lt;&gt;"",X1068,"")))</f>
        <v/>
      </c>
      <c r="AM1068" s="83" t="str">
        <f aca="false">IF(E1068="","",IF(R1068="","À SOUDER",IF(U1068="","VT EN ATTENTE",IF(U1068="R","VT REJETÉ – À REPRENDRE",IF(AL1068="","À RADIOGRAPHIER",IF(AL1068="A","ACCEPTÉ",IF(AL1068="NX","NX – RT À REFAIRE",IF(IF(AK1068=1,Z1068,IF(AK1068=2,AE1068,""))="A","RÉPARÉ – À RADIOGRAPHIER",IF(IF(AK1068=1,Z1068,IF(AK1068=2,AE1068,""))="R","VT REJETÉ – À REPRENDRE",IF(OR(AL1068="CO",AL1068="NT"),"COUPE – À RESOUDER","À RÉPARER"))))))))))</f>
        <v/>
      </c>
      <c r="AN1068" s="81" t="str">
        <f aca="false">IF(AND(ISNUMBER(R1068),OR(AM1068="À RADIOGRAPHIER",AM1068="RÉPARÉ – À RADIOGRAPHIER",AM1068="NX – RT À REFAIRE",AM1068="À RÉPARER",AM1068="COUPE – À RESOUDER",AM1068="VT REJETÉ – À REPRENDRE")),MAX(0,'PROGRAMME RT'!$C$4-R1068),"")</f>
        <v/>
      </c>
      <c r="AO1068" s="78" t="n">
        <f aca="false">IF(AND(OR(AM1068="À RADIOGRAPHIER",AM1068="RÉPARÉ – À RADIOGRAPHIER",AM1068="NX – RT À REFAIRE"),OR('PROGRAMME RT'!$D$5="TOUTES",B1068='PROGRAMME RT'!$D$5)),1,0)</f>
        <v>0</v>
      </c>
      <c r="AP1068" s="78" t="str">
        <f aca="false">IF(AO1068=1,SUM(AO$7:AO1068),"")</f>
        <v/>
      </c>
      <c r="AQ1068" s="78" t="n">
        <f aca="false">IF(AND(OR(X1068="R",X1068="NX",X1068="NT",X1068="CO"),OR('JOINTS DE RÉPARATION'!$D$5="TOUTES",B1068='JOINTS DE RÉPARATION'!$D$5),OR('JOINTS DE RÉPARATION'!$L$4="TOUS",AM1068&lt;&gt;"ACCEPTÉ")),1,0)</f>
        <v>0</v>
      </c>
      <c r="AR1068" s="78" t="str">
        <f aca="false">IF(AQ1068=1,SUM(AQ$7:AQ1068),"")</f>
        <v/>
      </c>
    </row>
    <row r="1069" customFormat="false" ht="15" hidden="false" customHeight="false" outlineLevel="0" collapsed="false">
      <c r="A1069" s="78" t="str">
        <f aca="false">IF(E1069="","",ROW()-6)</f>
        <v/>
      </c>
      <c r="B1069" s="79"/>
      <c r="C1069" s="80"/>
      <c r="D1069" s="80"/>
      <c r="E1069" s="80"/>
      <c r="F1069" s="80"/>
      <c r="G1069" s="80"/>
      <c r="H1069" s="80"/>
      <c r="I1069" s="80"/>
      <c r="J1069" s="80"/>
      <c r="K1069" s="80"/>
      <c r="L1069" s="81" t="str">
        <f aca="false">IF(K1069="","",IFERROR(INDEX(BARDAGE!$C$7:$C$1506,MATCH(K1069,BARDAGE!$B$7:$B$1506,0)),"? hors registre"))</f>
        <v/>
      </c>
      <c r="M1069" s="80"/>
      <c r="N1069" s="81" t="str">
        <f aca="false">IF(M1069="","",IFERROR(INDEX(BARDAGE!$C$7:$C$1506,MATCH(M1069,BARDAGE!$B$7:$B$1506,0)),"? hors registre"))</f>
        <v/>
      </c>
      <c r="O1069" s="80"/>
      <c r="P1069" s="80"/>
      <c r="Q1069" s="80"/>
      <c r="R1069" s="82"/>
      <c r="S1069" s="82"/>
      <c r="T1069" s="80"/>
      <c r="U1069" s="80"/>
      <c r="V1069" s="82"/>
      <c r="W1069" s="80"/>
      <c r="X1069" s="80"/>
      <c r="Y1069" s="80"/>
      <c r="Z1069" s="80"/>
      <c r="AA1069" s="82"/>
      <c r="AB1069" s="80"/>
      <c r="AC1069" s="80"/>
      <c r="AD1069" s="80"/>
      <c r="AE1069" s="80"/>
      <c r="AF1069" s="82"/>
      <c r="AG1069" s="80"/>
      <c r="AH1069" s="80"/>
      <c r="AI1069" s="82"/>
      <c r="AJ1069" s="79"/>
      <c r="AK1069" s="78" t="str">
        <f aca="false">IF(E1069="","",(X1069&lt;&gt;"")+(AC1069&lt;&gt;"")+(AH1069&lt;&gt;""))</f>
        <v/>
      </c>
      <c r="AL1069" s="81" t="str">
        <f aca="false">IF(AH1069&lt;&gt;"",AH1069,IF(AC1069&lt;&gt;"",AC1069,IF(X1069&lt;&gt;"",X1069,"")))</f>
        <v/>
      </c>
      <c r="AM1069" s="83" t="str">
        <f aca="false">IF(E1069="","",IF(R1069="","À SOUDER",IF(U1069="","VT EN ATTENTE",IF(U1069="R","VT REJETÉ – À REPRENDRE",IF(AL1069="","À RADIOGRAPHIER",IF(AL1069="A","ACCEPTÉ",IF(AL1069="NX","NX – RT À REFAIRE",IF(IF(AK1069=1,Z1069,IF(AK1069=2,AE1069,""))="A","RÉPARÉ – À RADIOGRAPHIER",IF(IF(AK1069=1,Z1069,IF(AK1069=2,AE1069,""))="R","VT REJETÉ – À REPRENDRE",IF(OR(AL1069="CO",AL1069="NT"),"COUPE – À RESOUDER","À RÉPARER"))))))))))</f>
        <v/>
      </c>
      <c r="AN1069" s="81" t="str">
        <f aca="false">IF(AND(ISNUMBER(R1069),OR(AM1069="À RADIOGRAPHIER",AM1069="RÉPARÉ – À RADIOGRAPHIER",AM1069="NX – RT À REFAIRE",AM1069="À RÉPARER",AM1069="COUPE – À RESOUDER",AM1069="VT REJETÉ – À REPRENDRE")),MAX(0,'PROGRAMME RT'!$C$4-R1069),"")</f>
        <v/>
      </c>
      <c r="AO1069" s="78" t="n">
        <f aca="false">IF(AND(OR(AM1069="À RADIOGRAPHIER",AM1069="RÉPARÉ – À RADIOGRAPHIER",AM1069="NX – RT À REFAIRE"),OR('PROGRAMME RT'!$D$5="TOUTES",B1069='PROGRAMME RT'!$D$5)),1,0)</f>
        <v>0</v>
      </c>
      <c r="AP1069" s="78" t="str">
        <f aca="false">IF(AO1069=1,SUM(AO$7:AO1069),"")</f>
        <v/>
      </c>
      <c r="AQ1069" s="78" t="n">
        <f aca="false">IF(AND(OR(X1069="R",X1069="NX",X1069="NT",X1069="CO"),OR('JOINTS DE RÉPARATION'!$D$5="TOUTES",B1069='JOINTS DE RÉPARATION'!$D$5),OR('JOINTS DE RÉPARATION'!$L$4="TOUS",AM1069&lt;&gt;"ACCEPTÉ")),1,0)</f>
        <v>0</v>
      </c>
      <c r="AR1069" s="78" t="str">
        <f aca="false">IF(AQ1069=1,SUM(AQ$7:AQ1069),"")</f>
        <v/>
      </c>
    </row>
    <row r="1070" customFormat="false" ht="15" hidden="false" customHeight="false" outlineLevel="0" collapsed="false">
      <c r="A1070" s="78" t="str">
        <f aca="false">IF(E1070="","",ROW()-6)</f>
        <v/>
      </c>
      <c r="B1070" s="79"/>
      <c r="C1070" s="80"/>
      <c r="D1070" s="80"/>
      <c r="E1070" s="80"/>
      <c r="F1070" s="80"/>
      <c r="G1070" s="80"/>
      <c r="H1070" s="80"/>
      <c r="I1070" s="80"/>
      <c r="J1070" s="80"/>
      <c r="K1070" s="80"/>
      <c r="L1070" s="81" t="str">
        <f aca="false">IF(K1070="","",IFERROR(INDEX(BARDAGE!$C$7:$C$1506,MATCH(K1070,BARDAGE!$B$7:$B$1506,0)),"? hors registre"))</f>
        <v/>
      </c>
      <c r="M1070" s="80"/>
      <c r="N1070" s="81" t="str">
        <f aca="false">IF(M1070="","",IFERROR(INDEX(BARDAGE!$C$7:$C$1506,MATCH(M1070,BARDAGE!$B$7:$B$1506,0)),"? hors registre"))</f>
        <v/>
      </c>
      <c r="O1070" s="80"/>
      <c r="P1070" s="80"/>
      <c r="Q1070" s="80"/>
      <c r="R1070" s="82"/>
      <c r="S1070" s="82"/>
      <c r="T1070" s="80"/>
      <c r="U1070" s="80"/>
      <c r="V1070" s="82"/>
      <c r="W1070" s="80"/>
      <c r="X1070" s="80"/>
      <c r="Y1070" s="80"/>
      <c r="Z1070" s="80"/>
      <c r="AA1070" s="82"/>
      <c r="AB1070" s="80"/>
      <c r="AC1070" s="80"/>
      <c r="AD1070" s="80"/>
      <c r="AE1070" s="80"/>
      <c r="AF1070" s="82"/>
      <c r="AG1070" s="80"/>
      <c r="AH1070" s="80"/>
      <c r="AI1070" s="82"/>
      <c r="AJ1070" s="79"/>
      <c r="AK1070" s="78" t="str">
        <f aca="false">IF(E1070="","",(X1070&lt;&gt;"")+(AC1070&lt;&gt;"")+(AH1070&lt;&gt;""))</f>
        <v/>
      </c>
      <c r="AL1070" s="81" t="str">
        <f aca="false">IF(AH1070&lt;&gt;"",AH1070,IF(AC1070&lt;&gt;"",AC1070,IF(X1070&lt;&gt;"",X1070,"")))</f>
        <v/>
      </c>
      <c r="AM1070" s="83" t="str">
        <f aca="false">IF(E1070="","",IF(R1070="","À SOUDER",IF(U1070="","VT EN ATTENTE",IF(U1070="R","VT REJETÉ – À REPRENDRE",IF(AL1070="","À RADIOGRAPHIER",IF(AL1070="A","ACCEPTÉ",IF(AL1070="NX","NX – RT À REFAIRE",IF(IF(AK1070=1,Z1070,IF(AK1070=2,AE1070,""))="A","RÉPARÉ – À RADIOGRAPHIER",IF(IF(AK1070=1,Z1070,IF(AK1070=2,AE1070,""))="R","VT REJETÉ – À REPRENDRE",IF(OR(AL1070="CO",AL1070="NT"),"COUPE – À RESOUDER","À RÉPARER"))))))))))</f>
        <v/>
      </c>
      <c r="AN1070" s="81" t="str">
        <f aca="false">IF(AND(ISNUMBER(R1070),OR(AM1070="À RADIOGRAPHIER",AM1070="RÉPARÉ – À RADIOGRAPHIER",AM1070="NX – RT À REFAIRE",AM1070="À RÉPARER",AM1070="COUPE – À RESOUDER",AM1070="VT REJETÉ – À REPRENDRE")),MAX(0,'PROGRAMME RT'!$C$4-R1070),"")</f>
        <v/>
      </c>
      <c r="AO1070" s="78" t="n">
        <f aca="false">IF(AND(OR(AM1070="À RADIOGRAPHIER",AM1070="RÉPARÉ – À RADIOGRAPHIER",AM1070="NX – RT À REFAIRE"),OR('PROGRAMME RT'!$D$5="TOUTES",B1070='PROGRAMME RT'!$D$5)),1,0)</f>
        <v>0</v>
      </c>
      <c r="AP1070" s="78" t="str">
        <f aca="false">IF(AO1070=1,SUM(AO$7:AO1070),"")</f>
        <v/>
      </c>
      <c r="AQ1070" s="78" t="n">
        <f aca="false">IF(AND(OR(X1070="R",X1070="NX",X1070="NT",X1070="CO"),OR('JOINTS DE RÉPARATION'!$D$5="TOUTES",B1070='JOINTS DE RÉPARATION'!$D$5),OR('JOINTS DE RÉPARATION'!$L$4="TOUS",AM1070&lt;&gt;"ACCEPTÉ")),1,0)</f>
        <v>0</v>
      </c>
      <c r="AR1070" s="78" t="str">
        <f aca="false">IF(AQ1070=1,SUM(AQ$7:AQ1070),"")</f>
        <v/>
      </c>
    </row>
    <row r="1071" customFormat="false" ht="15" hidden="false" customHeight="false" outlineLevel="0" collapsed="false">
      <c r="A1071" s="78" t="str">
        <f aca="false">IF(E1071="","",ROW()-6)</f>
        <v/>
      </c>
      <c r="B1071" s="79"/>
      <c r="C1071" s="80"/>
      <c r="D1071" s="80"/>
      <c r="E1071" s="80"/>
      <c r="F1071" s="80"/>
      <c r="G1071" s="80"/>
      <c r="H1071" s="80"/>
      <c r="I1071" s="80"/>
      <c r="J1071" s="80"/>
      <c r="K1071" s="80"/>
      <c r="L1071" s="81" t="str">
        <f aca="false">IF(K1071="","",IFERROR(INDEX(BARDAGE!$C$7:$C$1506,MATCH(K1071,BARDAGE!$B$7:$B$1506,0)),"? hors registre"))</f>
        <v/>
      </c>
      <c r="M1071" s="80"/>
      <c r="N1071" s="81" t="str">
        <f aca="false">IF(M1071="","",IFERROR(INDEX(BARDAGE!$C$7:$C$1506,MATCH(M1071,BARDAGE!$B$7:$B$1506,0)),"? hors registre"))</f>
        <v/>
      </c>
      <c r="O1071" s="80"/>
      <c r="P1071" s="80"/>
      <c r="Q1071" s="80"/>
      <c r="R1071" s="82"/>
      <c r="S1071" s="82"/>
      <c r="T1071" s="80"/>
      <c r="U1071" s="80"/>
      <c r="V1071" s="82"/>
      <c r="W1071" s="80"/>
      <c r="X1071" s="80"/>
      <c r="Y1071" s="80"/>
      <c r="Z1071" s="80"/>
      <c r="AA1071" s="82"/>
      <c r="AB1071" s="80"/>
      <c r="AC1071" s="80"/>
      <c r="AD1071" s="80"/>
      <c r="AE1071" s="80"/>
      <c r="AF1071" s="82"/>
      <c r="AG1071" s="80"/>
      <c r="AH1071" s="80"/>
      <c r="AI1071" s="82"/>
      <c r="AJ1071" s="79"/>
      <c r="AK1071" s="78" t="str">
        <f aca="false">IF(E1071="","",(X1071&lt;&gt;"")+(AC1071&lt;&gt;"")+(AH1071&lt;&gt;""))</f>
        <v/>
      </c>
      <c r="AL1071" s="81" t="str">
        <f aca="false">IF(AH1071&lt;&gt;"",AH1071,IF(AC1071&lt;&gt;"",AC1071,IF(X1071&lt;&gt;"",X1071,"")))</f>
        <v/>
      </c>
      <c r="AM1071" s="83" t="str">
        <f aca="false">IF(E1071="","",IF(R1071="","À SOUDER",IF(U1071="","VT EN ATTENTE",IF(U1071="R","VT REJETÉ – À REPRENDRE",IF(AL1071="","À RADIOGRAPHIER",IF(AL1071="A","ACCEPTÉ",IF(AL1071="NX","NX – RT À REFAIRE",IF(IF(AK1071=1,Z1071,IF(AK1071=2,AE1071,""))="A","RÉPARÉ – À RADIOGRAPHIER",IF(IF(AK1071=1,Z1071,IF(AK1071=2,AE1071,""))="R","VT REJETÉ – À REPRENDRE",IF(OR(AL1071="CO",AL1071="NT"),"COUPE – À RESOUDER","À RÉPARER"))))))))))</f>
        <v/>
      </c>
      <c r="AN1071" s="81" t="str">
        <f aca="false">IF(AND(ISNUMBER(R1071),OR(AM1071="À RADIOGRAPHIER",AM1071="RÉPARÉ – À RADIOGRAPHIER",AM1071="NX – RT À REFAIRE",AM1071="À RÉPARER",AM1071="COUPE – À RESOUDER",AM1071="VT REJETÉ – À REPRENDRE")),MAX(0,'PROGRAMME RT'!$C$4-R1071),"")</f>
        <v/>
      </c>
      <c r="AO1071" s="78" t="n">
        <f aca="false">IF(AND(OR(AM1071="À RADIOGRAPHIER",AM1071="RÉPARÉ – À RADIOGRAPHIER",AM1071="NX – RT À REFAIRE"),OR('PROGRAMME RT'!$D$5="TOUTES",B1071='PROGRAMME RT'!$D$5)),1,0)</f>
        <v>0</v>
      </c>
      <c r="AP1071" s="78" t="str">
        <f aca="false">IF(AO1071=1,SUM(AO$7:AO1071),"")</f>
        <v/>
      </c>
      <c r="AQ1071" s="78" t="n">
        <f aca="false">IF(AND(OR(X1071="R",X1071="NX",X1071="NT",X1071="CO"),OR('JOINTS DE RÉPARATION'!$D$5="TOUTES",B1071='JOINTS DE RÉPARATION'!$D$5),OR('JOINTS DE RÉPARATION'!$L$4="TOUS",AM1071&lt;&gt;"ACCEPTÉ")),1,0)</f>
        <v>0</v>
      </c>
      <c r="AR1071" s="78" t="str">
        <f aca="false">IF(AQ1071=1,SUM(AQ$7:AQ1071),"")</f>
        <v/>
      </c>
    </row>
    <row r="1072" customFormat="false" ht="15" hidden="false" customHeight="false" outlineLevel="0" collapsed="false">
      <c r="A1072" s="78" t="str">
        <f aca="false">IF(E1072="","",ROW()-6)</f>
        <v/>
      </c>
      <c r="B1072" s="79"/>
      <c r="C1072" s="80"/>
      <c r="D1072" s="80"/>
      <c r="E1072" s="80"/>
      <c r="F1072" s="80"/>
      <c r="G1072" s="80"/>
      <c r="H1072" s="80"/>
      <c r="I1072" s="80"/>
      <c r="J1072" s="80"/>
      <c r="K1072" s="80"/>
      <c r="L1072" s="81" t="str">
        <f aca="false">IF(K1072="","",IFERROR(INDEX(BARDAGE!$C$7:$C$1506,MATCH(K1072,BARDAGE!$B$7:$B$1506,0)),"? hors registre"))</f>
        <v/>
      </c>
      <c r="M1072" s="80"/>
      <c r="N1072" s="81" t="str">
        <f aca="false">IF(M1072="","",IFERROR(INDEX(BARDAGE!$C$7:$C$1506,MATCH(M1072,BARDAGE!$B$7:$B$1506,0)),"? hors registre"))</f>
        <v/>
      </c>
      <c r="O1072" s="80"/>
      <c r="P1072" s="80"/>
      <c r="Q1072" s="80"/>
      <c r="R1072" s="82"/>
      <c r="S1072" s="82"/>
      <c r="T1072" s="80"/>
      <c r="U1072" s="80"/>
      <c r="V1072" s="82"/>
      <c r="W1072" s="80"/>
      <c r="X1072" s="80"/>
      <c r="Y1072" s="80"/>
      <c r="Z1072" s="80"/>
      <c r="AA1072" s="82"/>
      <c r="AB1072" s="80"/>
      <c r="AC1072" s="80"/>
      <c r="AD1072" s="80"/>
      <c r="AE1072" s="80"/>
      <c r="AF1072" s="82"/>
      <c r="AG1072" s="80"/>
      <c r="AH1072" s="80"/>
      <c r="AI1072" s="82"/>
      <c r="AJ1072" s="79"/>
      <c r="AK1072" s="78" t="str">
        <f aca="false">IF(E1072="","",(X1072&lt;&gt;"")+(AC1072&lt;&gt;"")+(AH1072&lt;&gt;""))</f>
        <v/>
      </c>
      <c r="AL1072" s="81" t="str">
        <f aca="false">IF(AH1072&lt;&gt;"",AH1072,IF(AC1072&lt;&gt;"",AC1072,IF(X1072&lt;&gt;"",X1072,"")))</f>
        <v/>
      </c>
      <c r="AM1072" s="83" t="str">
        <f aca="false">IF(E1072="","",IF(R1072="","À SOUDER",IF(U1072="","VT EN ATTENTE",IF(U1072="R","VT REJETÉ – À REPRENDRE",IF(AL1072="","À RADIOGRAPHIER",IF(AL1072="A","ACCEPTÉ",IF(AL1072="NX","NX – RT À REFAIRE",IF(IF(AK1072=1,Z1072,IF(AK1072=2,AE1072,""))="A","RÉPARÉ – À RADIOGRAPHIER",IF(IF(AK1072=1,Z1072,IF(AK1072=2,AE1072,""))="R","VT REJETÉ – À REPRENDRE",IF(OR(AL1072="CO",AL1072="NT"),"COUPE – À RESOUDER","À RÉPARER"))))))))))</f>
        <v/>
      </c>
      <c r="AN1072" s="81" t="str">
        <f aca="false">IF(AND(ISNUMBER(R1072),OR(AM1072="À RADIOGRAPHIER",AM1072="RÉPARÉ – À RADIOGRAPHIER",AM1072="NX – RT À REFAIRE",AM1072="À RÉPARER",AM1072="COUPE – À RESOUDER",AM1072="VT REJETÉ – À REPRENDRE")),MAX(0,'PROGRAMME RT'!$C$4-R1072),"")</f>
        <v/>
      </c>
      <c r="AO1072" s="78" t="n">
        <f aca="false">IF(AND(OR(AM1072="À RADIOGRAPHIER",AM1072="RÉPARÉ – À RADIOGRAPHIER",AM1072="NX – RT À REFAIRE"),OR('PROGRAMME RT'!$D$5="TOUTES",B1072='PROGRAMME RT'!$D$5)),1,0)</f>
        <v>0</v>
      </c>
      <c r="AP1072" s="78" t="str">
        <f aca="false">IF(AO1072=1,SUM(AO$7:AO1072),"")</f>
        <v/>
      </c>
      <c r="AQ1072" s="78" t="n">
        <f aca="false">IF(AND(OR(X1072="R",X1072="NX",X1072="NT",X1072="CO"),OR('JOINTS DE RÉPARATION'!$D$5="TOUTES",B1072='JOINTS DE RÉPARATION'!$D$5),OR('JOINTS DE RÉPARATION'!$L$4="TOUS",AM1072&lt;&gt;"ACCEPTÉ")),1,0)</f>
        <v>0</v>
      </c>
      <c r="AR1072" s="78" t="str">
        <f aca="false">IF(AQ1072=1,SUM(AQ$7:AQ1072),"")</f>
        <v/>
      </c>
    </row>
    <row r="1073" customFormat="false" ht="15" hidden="false" customHeight="false" outlineLevel="0" collapsed="false">
      <c r="A1073" s="78" t="str">
        <f aca="false">IF(E1073="","",ROW()-6)</f>
        <v/>
      </c>
      <c r="B1073" s="79"/>
      <c r="C1073" s="80"/>
      <c r="D1073" s="80"/>
      <c r="E1073" s="80"/>
      <c r="F1073" s="80"/>
      <c r="G1073" s="80"/>
      <c r="H1073" s="80"/>
      <c r="I1073" s="80"/>
      <c r="J1073" s="80"/>
      <c r="K1073" s="80"/>
      <c r="L1073" s="81" t="str">
        <f aca="false">IF(K1073="","",IFERROR(INDEX(BARDAGE!$C$7:$C$1506,MATCH(K1073,BARDAGE!$B$7:$B$1506,0)),"? hors registre"))</f>
        <v/>
      </c>
      <c r="M1073" s="80"/>
      <c r="N1073" s="81" t="str">
        <f aca="false">IF(M1073="","",IFERROR(INDEX(BARDAGE!$C$7:$C$1506,MATCH(M1073,BARDAGE!$B$7:$B$1506,0)),"? hors registre"))</f>
        <v/>
      </c>
      <c r="O1073" s="80"/>
      <c r="P1073" s="80"/>
      <c r="Q1073" s="80"/>
      <c r="R1073" s="82"/>
      <c r="S1073" s="82"/>
      <c r="T1073" s="80"/>
      <c r="U1073" s="80"/>
      <c r="V1073" s="82"/>
      <c r="W1073" s="80"/>
      <c r="X1073" s="80"/>
      <c r="Y1073" s="80"/>
      <c r="Z1073" s="80"/>
      <c r="AA1073" s="82"/>
      <c r="AB1073" s="80"/>
      <c r="AC1073" s="80"/>
      <c r="AD1073" s="80"/>
      <c r="AE1073" s="80"/>
      <c r="AF1073" s="82"/>
      <c r="AG1073" s="80"/>
      <c r="AH1073" s="80"/>
      <c r="AI1073" s="82"/>
      <c r="AJ1073" s="79"/>
      <c r="AK1073" s="78" t="str">
        <f aca="false">IF(E1073="","",(X1073&lt;&gt;"")+(AC1073&lt;&gt;"")+(AH1073&lt;&gt;""))</f>
        <v/>
      </c>
      <c r="AL1073" s="81" t="str">
        <f aca="false">IF(AH1073&lt;&gt;"",AH1073,IF(AC1073&lt;&gt;"",AC1073,IF(X1073&lt;&gt;"",X1073,"")))</f>
        <v/>
      </c>
      <c r="AM1073" s="83" t="str">
        <f aca="false">IF(E1073="","",IF(R1073="","À SOUDER",IF(U1073="","VT EN ATTENTE",IF(U1073="R","VT REJETÉ – À REPRENDRE",IF(AL1073="","À RADIOGRAPHIER",IF(AL1073="A","ACCEPTÉ",IF(AL1073="NX","NX – RT À REFAIRE",IF(IF(AK1073=1,Z1073,IF(AK1073=2,AE1073,""))="A","RÉPARÉ – À RADIOGRAPHIER",IF(IF(AK1073=1,Z1073,IF(AK1073=2,AE1073,""))="R","VT REJETÉ – À REPRENDRE",IF(OR(AL1073="CO",AL1073="NT"),"COUPE – À RESOUDER","À RÉPARER"))))))))))</f>
        <v/>
      </c>
      <c r="AN1073" s="81" t="str">
        <f aca="false">IF(AND(ISNUMBER(R1073),OR(AM1073="À RADIOGRAPHIER",AM1073="RÉPARÉ – À RADIOGRAPHIER",AM1073="NX – RT À REFAIRE",AM1073="À RÉPARER",AM1073="COUPE – À RESOUDER",AM1073="VT REJETÉ – À REPRENDRE")),MAX(0,'PROGRAMME RT'!$C$4-R1073),"")</f>
        <v/>
      </c>
      <c r="AO1073" s="78" t="n">
        <f aca="false">IF(AND(OR(AM1073="À RADIOGRAPHIER",AM1073="RÉPARÉ – À RADIOGRAPHIER",AM1073="NX – RT À REFAIRE"),OR('PROGRAMME RT'!$D$5="TOUTES",B1073='PROGRAMME RT'!$D$5)),1,0)</f>
        <v>0</v>
      </c>
      <c r="AP1073" s="78" t="str">
        <f aca="false">IF(AO1073=1,SUM(AO$7:AO1073),"")</f>
        <v/>
      </c>
      <c r="AQ1073" s="78" t="n">
        <f aca="false">IF(AND(OR(X1073="R",X1073="NX",X1073="NT",X1073="CO"),OR('JOINTS DE RÉPARATION'!$D$5="TOUTES",B1073='JOINTS DE RÉPARATION'!$D$5),OR('JOINTS DE RÉPARATION'!$L$4="TOUS",AM1073&lt;&gt;"ACCEPTÉ")),1,0)</f>
        <v>0</v>
      </c>
      <c r="AR1073" s="78" t="str">
        <f aca="false">IF(AQ1073=1,SUM(AQ$7:AQ1073),"")</f>
        <v/>
      </c>
    </row>
    <row r="1074" customFormat="false" ht="15" hidden="false" customHeight="false" outlineLevel="0" collapsed="false">
      <c r="A1074" s="78" t="str">
        <f aca="false">IF(E1074="","",ROW()-6)</f>
        <v/>
      </c>
      <c r="B1074" s="79"/>
      <c r="C1074" s="80"/>
      <c r="D1074" s="80"/>
      <c r="E1074" s="80"/>
      <c r="F1074" s="80"/>
      <c r="G1074" s="80"/>
      <c r="H1074" s="80"/>
      <c r="I1074" s="80"/>
      <c r="J1074" s="80"/>
      <c r="K1074" s="80"/>
      <c r="L1074" s="81" t="str">
        <f aca="false">IF(K1074="","",IFERROR(INDEX(BARDAGE!$C$7:$C$1506,MATCH(K1074,BARDAGE!$B$7:$B$1506,0)),"? hors registre"))</f>
        <v/>
      </c>
      <c r="M1074" s="80"/>
      <c r="N1074" s="81" t="str">
        <f aca="false">IF(M1074="","",IFERROR(INDEX(BARDAGE!$C$7:$C$1506,MATCH(M1074,BARDAGE!$B$7:$B$1506,0)),"? hors registre"))</f>
        <v/>
      </c>
      <c r="O1074" s="80"/>
      <c r="P1074" s="80"/>
      <c r="Q1074" s="80"/>
      <c r="R1074" s="82"/>
      <c r="S1074" s="82"/>
      <c r="T1074" s="80"/>
      <c r="U1074" s="80"/>
      <c r="V1074" s="82"/>
      <c r="W1074" s="80"/>
      <c r="X1074" s="80"/>
      <c r="Y1074" s="80"/>
      <c r="Z1074" s="80"/>
      <c r="AA1074" s="82"/>
      <c r="AB1074" s="80"/>
      <c r="AC1074" s="80"/>
      <c r="AD1074" s="80"/>
      <c r="AE1074" s="80"/>
      <c r="AF1074" s="82"/>
      <c r="AG1074" s="80"/>
      <c r="AH1074" s="80"/>
      <c r="AI1074" s="82"/>
      <c r="AJ1074" s="79"/>
      <c r="AK1074" s="78" t="str">
        <f aca="false">IF(E1074="","",(X1074&lt;&gt;"")+(AC1074&lt;&gt;"")+(AH1074&lt;&gt;""))</f>
        <v/>
      </c>
      <c r="AL1074" s="81" t="str">
        <f aca="false">IF(AH1074&lt;&gt;"",AH1074,IF(AC1074&lt;&gt;"",AC1074,IF(X1074&lt;&gt;"",X1074,"")))</f>
        <v/>
      </c>
      <c r="AM1074" s="83" t="str">
        <f aca="false">IF(E1074="","",IF(R1074="","À SOUDER",IF(U1074="","VT EN ATTENTE",IF(U1074="R","VT REJETÉ – À REPRENDRE",IF(AL1074="","À RADIOGRAPHIER",IF(AL1074="A","ACCEPTÉ",IF(AL1074="NX","NX – RT À REFAIRE",IF(IF(AK1074=1,Z1074,IF(AK1074=2,AE1074,""))="A","RÉPARÉ – À RADIOGRAPHIER",IF(IF(AK1074=1,Z1074,IF(AK1074=2,AE1074,""))="R","VT REJETÉ – À REPRENDRE",IF(OR(AL1074="CO",AL1074="NT"),"COUPE – À RESOUDER","À RÉPARER"))))))))))</f>
        <v/>
      </c>
      <c r="AN1074" s="81" t="str">
        <f aca="false">IF(AND(ISNUMBER(R1074),OR(AM1074="À RADIOGRAPHIER",AM1074="RÉPARÉ – À RADIOGRAPHIER",AM1074="NX – RT À REFAIRE",AM1074="À RÉPARER",AM1074="COUPE – À RESOUDER",AM1074="VT REJETÉ – À REPRENDRE")),MAX(0,'PROGRAMME RT'!$C$4-R1074),"")</f>
        <v/>
      </c>
      <c r="AO1074" s="78" t="n">
        <f aca="false">IF(AND(OR(AM1074="À RADIOGRAPHIER",AM1074="RÉPARÉ – À RADIOGRAPHIER",AM1074="NX – RT À REFAIRE"),OR('PROGRAMME RT'!$D$5="TOUTES",B1074='PROGRAMME RT'!$D$5)),1,0)</f>
        <v>0</v>
      </c>
      <c r="AP1074" s="78" t="str">
        <f aca="false">IF(AO1074=1,SUM(AO$7:AO1074),"")</f>
        <v/>
      </c>
      <c r="AQ1074" s="78" t="n">
        <f aca="false">IF(AND(OR(X1074="R",X1074="NX",X1074="NT",X1074="CO"),OR('JOINTS DE RÉPARATION'!$D$5="TOUTES",B1074='JOINTS DE RÉPARATION'!$D$5),OR('JOINTS DE RÉPARATION'!$L$4="TOUS",AM1074&lt;&gt;"ACCEPTÉ")),1,0)</f>
        <v>0</v>
      </c>
      <c r="AR1074" s="78" t="str">
        <f aca="false">IF(AQ1074=1,SUM(AQ$7:AQ1074),"")</f>
        <v/>
      </c>
    </row>
    <row r="1075" customFormat="false" ht="15" hidden="false" customHeight="false" outlineLevel="0" collapsed="false">
      <c r="A1075" s="78" t="str">
        <f aca="false">IF(E1075="","",ROW()-6)</f>
        <v/>
      </c>
      <c r="B1075" s="79"/>
      <c r="C1075" s="80"/>
      <c r="D1075" s="80"/>
      <c r="E1075" s="80"/>
      <c r="F1075" s="80"/>
      <c r="G1075" s="80"/>
      <c r="H1075" s="80"/>
      <c r="I1075" s="80"/>
      <c r="J1075" s="80"/>
      <c r="K1075" s="80"/>
      <c r="L1075" s="81" t="str">
        <f aca="false">IF(K1075="","",IFERROR(INDEX(BARDAGE!$C$7:$C$1506,MATCH(K1075,BARDAGE!$B$7:$B$1506,0)),"? hors registre"))</f>
        <v/>
      </c>
      <c r="M1075" s="80"/>
      <c r="N1075" s="81" t="str">
        <f aca="false">IF(M1075="","",IFERROR(INDEX(BARDAGE!$C$7:$C$1506,MATCH(M1075,BARDAGE!$B$7:$B$1506,0)),"? hors registre"))</f>
        <v/>
      </c>
      <c r="O1075" s="80"/>
      <c r="P1075" s="80"/>
      <c r="Q1075" s="80"/>
      <c r="R1075" s="82"/>
      <c r="S1075" s="82"/>
      <c r="T1075" s="80"/>
      <c r="U1075" s="80"/>
      <c r="V1075" s="82"/>
      <c r="W1075" s="80"/>
      <c r="X1075" s="80"/>
      <c r="Y1075" s="80"/>
      <c r="Z1075" s="80"/>
      <c r="AA1075" s="82"/>
      <c r="AB1075" s="80"/>
      <c r="AC1075" s="80"/>
      <c r="AD1075" s="80"/>
      <c r="AE1075" s="80"/>
      <c r="AF1075" s="82"/>
      <c r="AG1075" s="80"/>
      <c r="AH1075" s="80"/>
      <c r="AI1075" s="82"/>
      <c r="AJ1075" s="79"/>
      <c r="AK1075" s="78" t="str">
        <f aca="false">IF(E1075="","",(X1075&lt;&gt;"")+(AC1075&lt;&gt;"")+(AH1075&lt;&gt;""))</f>
        <v/>
      </c>
      <c r="AL1075" s="81" t="str">
        <f aca="false">IF(AH1075&lt;&gt;"",AH1075,IF(AC1075&lt;&gt;"",AC1075,IF(X1075&lt;&gt;"",X1075,"")))</f>
        <v/>
      </c>
      <c r="AM1075" s="83" t="str">
        <f aca="false">IF(E1075="","",IF(R1075="","À SOUDER",IF(U1075="","VT EN ATTENTE",IF(U1075="R","VT REJETÉ – À REPRENDRE",IF(AL1075="","À RADIOGRAPHIER",IF(AL1075="A","ACCEPTÉ",IF(AL1075="NX","NX – RT À REFAIRE",IF(IF(AK1075=1,Z1075,IF(AK1075=2,AE1075,""))="A","RÉPARÉ – À RADIOGRAPHIER",IF(IF(AK1075=1,Z1075,IF(AK1075=2,AE1075,""))="R","VT REJETÉ – À REPRENDRE",IF(OR(AL1075="CO",AL1075="NT"),"COUPE – À RESOUDER","À RÉPARER"))))))))))</f>
        <v/>
      </c>
      <c r="AN1075" s="81" t="str">
        <f aca="false">IF(AND(ISNUMBER(R1075),OR(AM1075="À RADIOGRAPHIER",AM1075="RÉPARÉ – À RADIOGRAPHIER",AM1075="NX – RT À REFAIRE",AM1075="À RÉPARER",AM1075="COUPE – À RESOUDER",AM1075="VT REJETÉ – À REPRENDRE")),MAX(0,'PROGRAMME RT'!$C$4-R1075),"")</f>
        <v/>
      </c>
      <c r="AO1075" s="78" t="n">
        <f aca="false">IF(AND(OR(AM1075="À RADIOGRAPHIER",AM1075="RÉPARÉ – À RADIOGRAPHIER",AM1075="NX – RT À REFAIRE"),OR('PROGRAMME RT'!$D$5="TOUTES",B1075='PROGRAMME RT'!$D$5)),1,0)</f>
        <v>0</v>
      </c>
      <c r="AP1075" s="78" t="str">
        <f aca="false">IF(AO1075=1,SUM(AO$7:AO1075),"")</f>
        <v/>
      </c>
      <c r="AQ1075" s="78" t="n">
        <f aca="false">IF(AND(OR(X1075="R",X1075="NX",X1075="NT",X1075="CO"),OR('JOINTS DE RÉPARATION'!$D$5="TOUTES",B1075='JOINTS DE RÉPARATION'!$D$5),OR('JOINTS DE RÉPARATION'!$L$4="TOUS",AM1075&lt;&gt;"ACCEPTÉ")),1,0)</f>
        <v>0</v>
      </c>
      <c r="AR1075" s="78" t="str">
        <f aca="false">IF(AQ1075=1,SUM(AQ$7:AQ1075),"")</f>
        <v/>
      </c>
    </row>
    <row r="1076" customFormat="false" ht="15" hidden="false" customHeight="false" outlineLevel="0" collapsed="false">
      <c r="A1076" s="78" t="str">
        <f aca="false">IF(E1076="","",ROW()-6)</f>
        <v/>
      </c>
      <c r="B1076" s="79"/>
      <c r="C1076" s="80"/>
      <c r="D1076" s="80"/>
      <c r="E1076" s="80"/>
      <c r="F1076" s="80"/>
      <c r="G1076" s="80"/>
      <c r="H1076" s="80"/>
      <c r="I1076" s="80"/>
      <c r="J1076" s="80"/>
      <c r="K1076" s="80"/>
      <c r="L1076" s="81" t="str">
        <f aca="false">IF(K1076="","",IFERROR(INDEX(BARDAGE!$C$7:$C$1506,MATCH(K1076,BARDAGE!$B$7:$B$1506,0)),"? hors registre"))</f>
        <v/>
      </c>
      <c r="M1076" s="80"/>
      <c r="N1076" s="81" t="str">
        <f aca="false">IF(M1076="","",IFERROR(INDEX(BARDAGE!$C$7:$C$1506,MATCH(M1076,BARDAGE!$B$7:$B$1506,0)),"? hors registre"))</f>
        <v/>
      </c>
      <c r="O1076" s="80"/>
      <c r="P1076" s="80"/>
      <c r="Q1076" s="80"/>
      <c r="R1076" s="82"/>
      <c r="S1076" s="82"/>
      <c r="T1076" s="80"/>
      <c r="U1076" s="80"/>
      <c r="V1076" s="82"/>
      <c r="W1076" s="80"/>
      <c r="X1076" s="80"/>
      <c r="Y1076" s="80"/>
      <c r="Z1076" s="80"/>
      <c r="AA1076" s="82"/>
      <c r="AB1076" s="80"/>
      <c r="AC1076" s="80"/>
      <c r="AD1076" s="80"/>
      <c r="AE1076" s="80"/>
      <c r="AF1076" s="82"/>
      <c r="AG1076" s="80"/>
      <c r="AH1076" s="80"/>
      <c r="AI1076" s="82"/>
      <c r="AJ1076" s="79"/>
      <c r="AK1076" s="78" t="str">
        <f aca="false">IF(E1076="","",(X1076&lt;&gt;"")+(AC1076&lt;&gt;"")+(AH1076&lt;&gt;""))</f>
        <v/>
      </c>
      <c r="AL1076" s="81" t="str">
        <f aca="false">IF(AH1076&lt;&gt;"",AH1076,IF(AC1076&lt;&gt;"",AC1076,IF(X1076&lt;&gt;"",X1076,"")))</f>
        <v/>
      </c>
      <c r="AM1076" s="83" t="str">
        <f aca="false">IF(E1076="","",IF(R1076="","À SOUDER",IF(U1076="","VT EN ATTENTE",IF(U1076="R","VT REJETÉ – À REPRENDRE",IF(AL1076="","À RADIOGRAPHIER",IF(AL1076="A","ACCEPTÉ",IF(AL1076="NX","NX – RT À REFAIRE",IF(IF(AK1076=1,Z1076,IF(AK1076=2,AE1076,""))="A","RÉPARÉ – À RADIOGRAPHIER",IF(IF(AK1076=1,Z1076,IF(AK1076=2,AE1076,""))="R","VT REJETÉ – À REPRENDRE",IF(OR(AL1076="CO",AL1076="NT"),"COUPE – À RESOUDER","À RÉPARER"))))))))))</f>
        <v/>
      </c>
      <c r="AN1076" s="81" t="str">
        <f aca="false">IF(AND(ISNUMBER(R1076),OR(AM1076="À RADIOGRAPHIER",AM1076="RÉPARÉ – À RADIOGRAPHIER",AM1076="NX – RT À REFAIRE",AM1076="À RÉPARER",AM1076="COUPE – À RESOUDER",AM1076="VT REJETÉ – À REPRENDRE")),MAX(0,'PROGRAMME RT'!$C$4-R1076),"")</f>
        <v/>
      </c>
      <c r="AO1076" s="78" t="n">
        <f aca="false">IF(AND(OR(AM1076="À RADIOGRAPHIER",AM1076="RÉPARÉ – À RADIOGRAPHIER",AM1076="NX – RT À REFAIRE"),OR('PROGRAMME RT'!$D$5="TOUTES",B1076='PROGRAMME RT'!$D$5)),1,0)</f>
        <v>0</v>
      </c>
      <c r="AP1076" s="78" t="str">
        <f aca="false">IF(AO1076=1,SUM(AO$7:AO1076),"")</f>
        <v/>
      </c>
      <c r="AQ1076" s="78" t="n">
        <f aca="false">IF(AND(OR(X1076="R",X1076="NX",X1076="NT",X1076="CO"),OR('JOINTS DE RÉPARATION'!$D$5="TOUTES",B1076='JOINTS DE RÉPARATION'!$D$5),OR('JOINTS DE RÉPARATION'!$L$4="TOUS",AM1076&lt;&gt;"ACCEPTÉ")),1,0)</f>
        <v>0</v>
      </c>
      <c r="AR1076" s="78" t="str">
        <f aca="false">IF(AQ1076=1,SUM(AQ$7:AQ1076),"")</f>
        <v/>
      </c>
    </row>
    <row r="1077" customFormat="false" ht="15" hidden="false" customHeight="false" outlineLevel="0" collapsed="false">
      <c r="A1077" s="78" t="str">
        <f aca="false">IF(E1077="","",ROW()-6)</f>
        <v/>
      </c>
      <c r="B1077" s="79"/>
      <c r="C1077" s="80"/>
      <c r="D1077" s="80"/>
      <c r="E1077" s="80"/>
      <c r="F1077" s="80"/>
      <c r="G1077" s="80"/>
      <c r="H1077" s="80"/>
      <c r="I1077" s="80"/>
      <c r="J1077" s="80"/>
      <c r="K1077" s="80"/>
      <c r="L1077" s="81" t="str">
        <f aca="false">IF(K1077="","",IFERROR(INDEX(BARDAGE!$C$7:$C$1506,MATCH(K1077,BARDAGE!$B$7:$B$1506,0)),"? hors registre"))</f>
        <v/>
      </c>
      <c r="M1077" s="80"/>
      <c r="N1077" s="81" t="str">
        <f aca="false">IF(M1077="","",IFERROR(INDEX(BARDAGE!$C$7:$C$1506,MATCH(M1077,BARDAGE!$B$7:$B$1506,0)),"? hors registre"))</f>
        <v/>
      </c>
      <c r="O1077" s="80"/>
      <c r="P1077" s="80"/>
      <c r="Q1077" s="80"/>
      <c r="R1077" s="82"/>
      <c r="S1077" s="82"/>
      <c r="T1077" s="80"/>
      <c r="U1077" s="80"/>
      <c r="V1077" s="82"/>
      <c r="W1077" s="80"/>
      <c r="X1077" s="80"/>
      <c r="Y1077" s="80"/>
      <c r="Z1077" s="80"/>
      <c r="AA1077" s="82"/>
      <c r="AB1077" s="80"/>
      <c r="AC1077" s="80"/>
      <c r="AD1077" s="80"/>
      <c r="AE1077" s="80"/>
      <c r="AF1077" s="82"/>
      <c r="AG1077" s="80"/>
      <c r="AH1077" s="80"/>
      <c r="AI1077" s="82"/>
      <c r="AJ1077" s="79"/>
      <c r="AK1077" s="78" t="str">
        <f aca="false">IF(E1077="","",(X1077&lt;&gt;"")+(AC1077&lt;&gt;"")+(AH1077&lt;&gt;""))</f>
        <v/>
      </c>
      <c r="AL1077" s="81" t="str">
        <f aca="false">IF(AH1077&lt;&gt;"",AH1077,IF(AC1077&lt;&gt;"",AC1077,IF(X1077&lt;&gt;"",X1077,"")))</f>
        <v/>
      </c>
      <c r="AM1077" s="83" t="str">
        <f aca="false">IF(E1077="","",IF(R1077="","À SOUDER",IF(U1077="","VT EN ATTENTE",IF(U1077="R","VT REJETÉ – À REPRENDRE",IF(AL1077="","À RADIOGRAPHIER",IF(AL1077="A","ACCEPTÉ",IF(AL1077="NX","NX – RT À REFAIRE",IF(IF(AK1077=1,Z1077,IF(AK1077=2,AE1077,""))="A","RÉPARÉ – À RADIOGRAPHIER",IF(IF(AK1077=1,Z1077,IF(AK1077=2,AE1077,""))="R","VT REJETÉ – À REPRENDRE",IF(OR(AL1077="CO",AL1077="NT"),"COUPE – À RESOUDER","À RÉPARER"))))))))))</f>
        <v/>
      </c>
      <c r="AN1077" s="81" t="str">
        <f aca="false">IF(AND(ISNUMBER(R1077),OR(AM1077="À RADIOGRAPHIER",AM1077="RÉPARÉ – À RADIOGRAPHIER",AM1077="NX – RT À REFAIRE",AM1077="À RÉPARER",AM1077="COUPE – À RESOUDER",AM1077="VT REJETÉ – À REPRENDRE")),MAX(0,'PROGRAMME RT'!$C$4-R1077),"")</f>
        <v/>
      </c>
      <c r="AO1077" s="78" t="n">
        <f aca="false">IF(AND(OR(AM1077="À RADIOGRAPHIER",AM1077="RÉPARÉ – À RADIOGRAPHIER",AM1077="NX – RT À REFAIRE"),OR('PROGRAMME RT'!$D$5="TOUTES",B1077='PROGRAMME RT'!$D$5)),1,0)</f>
        <v>0</v>
      </c>
      <c r="AP1077" s="78" t="str">
        <f aca="false">IF(AO1077=1,SUM(AO$7:AO1077),"")</f>
        <v/>
      </c>
      <c r="AQ1077" s="78" t="n">
        <f aca="false">IF(AND(OR(X1077="R",X1077="NX",X1077="NT",X1077="CO"),OR('JOINTS DE RÉPARATION'!$D$5="TOUTES",B1077='JOINTS DE RÉPARATION'!$D$5),OR('JOINTS DE RÉPARATION'!$L$4="TOUS",AM1077&lt;&gt;"ACCEPTÉ")),1,0)</f>
        <v>0</v>
      </c>
      <c r="AR1077" s="78" t="str">
        <f aca="false">IF(AQ1077=1,SUM(AQ$7:AQ1077),"")</f>
        <v/>
      </c>
    </row>
    <row r="1078" customFormat="false" ht="15" hidden="false" customHeight="false" outlineLevel="0" collapsed="false">
      <c r="A1078" s="78" t="str">
        <f aca="false">IF(E1078="","",ROW()-6)</f>
        <v/>
      </c>
      <c r="B1078" s="79"/>
      <c r="C1078" s="80"/>
      <c r="D1078" s="80"/>
      <c r="E1078" s="80"/>
      <c r="F1078" s="80"/>
      <c r="G1078" s="80"/>
      <c r="H1078" s="80"/>
      <c r="I1078" s="80"/>
      <c r="J1078" s="80"/>
      <c r="K1078" s="80"/>
      <c r="L1078" s="81" t="str">
        <f aca="false">IF(K1078="","",IFERROR(INDEX(BARDAGE!$C$7:$C$1506,MATCH(K1078,BARDAGE!$B$7:$B$1506,0)),"? hors registre"))</f>
        <v/>
      </c>
      <c r="M1078" s="80"/>
      <c r="N1078" s="81" t="str">
        <f aca="false">IF(M1078="","",IFERROR(INDEX(BARDAGE!$C$7:$C$1506,MATCH(M1078,BARDAGE!$B$7:$B$1506,0)),"? hors registre"))</f>
        <v/>
      </c>
      <c r="O1078" s="80"/>
      <c r="P1078" s="80"/>
      <c r="Q1078" s="80"/>
      <c r="R1078" s="82"/>
      <c r="S1078" s="82"/>
      <c r="T1078" s="80"/>
      <c r="U1078" s="80"/>
      <c r="V1078" s="82"/>
      <c r="W1078" s="80"/>
      <c r="X1078" s="80"/>
      <c r="Y1078" s="80"/>
      <c r="Z1078" s="80"/>
      <c r="AA1078" s="82"/>
      <c r="AB1078" s="80"/>
      <c r="AC1078" s="80"/>
      <c r="AD1078" s="80"/>
      <c r="AE1078" s="80"/>
      <c r="AF1078" s="82"/>
      <c r="AG1078" s="80"/>
      <c r="AH1078" s="80"/>
      <c r="AI1078" s="82"/>
      <c r="AJ1078" s="79"/>
      <c r="AK1078" s="78" t="str">
        <f aca="false">IF(E1078="","",(X1078&lt;&gt;"")+(AC1078&lt;&gt;"")+(AH1078&lt;&gt;""))</f>
        <v/>
      </c>
      <c r="AL1078" s="81" t="str">
        <f aca="false">IF(AH1078&lt;&gt;"",AH1078,IF(AC1078&lt;&gt;"",AC1078,IF(X1078&lt;&gt;"",X1078,"")))</f>
        <v/>
      </c>
      <c r="AM1078" s="83" t="str">
        <f aca="false">IF(E1078="","",IF(R1078="","À SOUDER",IF(U1078="","VT EN ATTENTE",IF(U1078="R","VT REJETÉ – À REPRENDRE",IF(AL1078="","À RADIOGRAPHIER",IF(AL1078="A","ACCEPTÉ",IF(AL1078="NX","NX – RT À REFAIRE",IF(IF(AK1078=1,Z1078,IF(AK1078=2,AE1078,""))="A","RÉPARÉ – À RADIOGRAPHIER",IF(IF(AK1078=1,Z1078,IF(AK1078=2,AE1078,""))="R","VT REJETÉ – À REPRENDRE",IF(OR(AL1078="CO",AL1078="NT"),"COUPE – À RESOUDER","À RÉPARER"))))))))))</f>
        <v/>
      </c>
      <c r="AN1078" s="81" t="str">
        <f aca="false">IF(AND(ISNUMBER(R1078),OR(AM1078="À RADIOGRAPHIER",AM1078="RÉPARÉ – À RADIOGRAPHIER",AM1078="NX – RT À REFAIRE",AM1078="À RÉPARER",AM1078="COUPE – À RESOUDER",AM1078="VT REJETÉ – À REPRENDRE")),MAX(0,'PROGRAMME RT'!$C$4-R1078),"")</f>
        <v/>
      </c>
      <c r="AO1078" s="78" t="n">
        <f aca="false">IF(AND(OR(AM1078="À RADIOGRAPHIER",AM1078="RÉPARÉ – À RADIOGRAPHIER",AM1078="NX – RT À REFAIRE"),OR('PROGRAMME RT'!$D$5="TOUTES",B1078='PROGRAMME RT'!$D$5)),1,0)</f>
        <v>0</v>
      </c>
      <c r="AP1078" s="78" t="str">
        <f aca="false">IF(AO1078=1,SUM(AO$7:AO1078),"")</f>
        <v/>
      </c>
      <c r="AQ1078" s="78" t="n">
        <f aca="false">IF(AND(OR(X1078="R",X1078="NX",X1078="NT",X1078="CO"),OR('JOINTS DE RÉPARATION'!$D$5="TOUTES",B1078='JOINTS DE RÉPARATION'!$D$5),OR('JOINTS DE RÉPARATION'!$L$4="TOUS",AM1078&lt;&gt;"ACCEPTÉ")),1,0)</f>
        <v>0</v>
      </c>
      <c r="AR1078" s="78" t="str">
        <f aca="false">IF(AQ1078=1,SUM(AQ$7:AQ1078),"")</f>
        <v/>
      </c>
    </row>
    <row r="1079" customFormat="false" ht="15" hidden="false" customHeight="false" outlineLevel="0" collapsed="false">
      <c r="A1079" s="78" t="str">
        <f aca="false">IF(E1079="","",ROW()-6)</f>
        <v/>
      </c>
      <c r="B1079" s="79"/>
      <c r="C1079" s="80"/>
      <c r="D1079" s="80"/>
      <c r="E1079" s="80"/>
      <c r="F1079" s="80"/>
      <c r="G1079" s="80"/>
      <c r="H1079" s="80"/>
      <c r="I1079" s="80"/>
      <c r="J1079" s="80"/>
      <c r="K1079" s="80"/>
      <c r="L1079" s="81" t="str">
        <f aca="false">IF(K1079="","",IFERROR(INDEX(BARDAGE!$C$7:$C$1506,MATCH(K1079,BARDAGE!$B$7:$B$1506,0)),"? hors registre"))</f>
        <v/>
      </c>
      <c r="M1079" s="80"/>
      <c r="N1079" s="81" t="str">
        <f aca="false">IF(M1079="","",IFERROR(INDEX(BARDAGE!$C$7:$C$1506,MATCH(M1079,BARDAGE!$B$7:$B$1506,0)),"? hors registre"))</f>
        <v/>
      </c>
      <c r="O1079" s="80"/>
      <c r="P1079" s="80"/>
      <c r="Q1079" s="80"/>
      <c r="R1079" s="82"/>
      <c r="S1079" s="82"/>
      <c r="T1079" s="80"/>
      <c r="U1079" s="80"/>
      <c r="V1079" s="82"/>
      <c r="W1079" s="80"/>
      <c r="X1079" s="80"/>
      <c r="Y1079" s="80"/>
      <c r="Z1079" s="80"/>
      <c r="AA1079" s="82"/>
      <c r="AB1079" s="80"/>
      <c r="AC1079" s="80"/>
      <c r="AD1079" s="80"/>
      <c r="AE1079" s="80"/>
      <c r="AF1079" s="82"/>
      <c r="AG1079" s="80"/>
      <c r="AH1079" s="80"/>
      <c r="AI1079" s="82"/>
      <c r="AJ1079" s="79"/>
      <c r="AK1079" s="78" t="str">
        <f aca="false">IF(E1079="","",(X1079&lt;&gt;"")+(AC1079&lt;&gt;"")+(AH1079&lt;&gt;""))</f>
        <v/>
      </c>
      <c r="AL1079" s="81" t="str">
        <f aca="false">IF(AH1079&lt;&gt;"",AH1079,IF(AC1079&lt;&gt;"",AC1079,IF(X1079&lt;&gt;"",X1079,"")))</f>
        <v/>
      </c>
      <c r="AM1079" s="83" t="str">
        <f aca="false">IF(E1079="","",IF(R1079="","À SOUDER",IF(U1079="","VT EN ATTENTE",IF(U1079="R","VT REJETÉ – À REPRENDRE",IF(AL1079="","À RADIOGRAPHIER",IF(AL1079="A","ACCEPTÉ",IF(AL1079="NX","NX – RT À REFAIRE",IF(IF(AK1079=1,Z1079,IF(AK1079=2,AE1079,""))="A","RÉPARÉ – À RADIOGRAPHIER",IF(IF(AK1079=1,Z1079,IF(AK1079=2,AE1079,""))="R","VT REJETÉ – À REPRENDRE",IF(OR(AL1079="CO",AL1079="NT"),"COUPE – À RESOUDER","À RÉPARER"))))))))))</f>
        <v/>
      </c>
      <c r="AN1079" s="81" t="str">
        <f aca="false">IF(AND(ISNUMBER(R1079),OR(AM1079="À RADIOGRAPHIER",AM1079="RÉPARÉ – À RADIOGRAPHIER",AM1079="NX – RT À REFAIRE",AM1079="À RÉPARER",AM1079="COUPE – À RESOUDER",AM1079="VT REJETÉ – À REPRENDRE")),MAX(0,'PROGRAMME RT'!$C$4-R1079),"")</f>
        <v/>
      </c>
      <c r="AO1079" s="78" t="n">
        <f aca="false">IF(AND(OR(AM1079="À RADIOGRAPHIER",AM1079="RÉPARÉ – À RADIOGRAPHIER",AM1079="NX – RT À REFAIRE"),OR('PROGRAMME RT'!$D$5="TOUTES",B1079='PROGRAMME RT'!$D$5)),1,0)</f>
        <v>0</v>
      </c>
      <c r="AP1079" s="78" t="str">
        <f aca="false">IF(AO1079=1,SUM(AO$7:AO1079),"")</f>
        <v/>
      </c>
      <c r="AQ1079" s="78" t="n">
        <f aca="false">IF(AND(OR(X1079="R",X1079="NX",X1079="NT",X1079="CO"),OR('JOINTS DE RÉPARATION'!$D$5="TOUTES",B1079='JOINTS DE RÉPARATION'!$D$5),OR('JOINTS DE RÉPARATION'!$L$4="TOUS",AM1079&lt;&gt;"ACCEPTÉ")),1,0)</f>
        <v>0</v>
      </c>
      <c r="AR1079" s="78" t="str">
        <f aca="false">IF(AQ1079=1,SUM(AQ$7:AQ1079),"")</f>
        <v/>
      </c>
    </row>
    <row r="1080" customFormat="false" ht="15" hidden="false" customHeight="false" outlineLevel="0" collapsed="false">
      <c r="A1080" s="78" t="str">
        <f aca="false">IF(E1080="","",ROW()-6)</f>
        <v/>
      </c>
      <c r="B1080" s="79"/>
      <c r="C1080" s="80"/>
      <c r="D1080" s="80"/>
      <c r="E1080" s="80"/>
      <c r="F1080" s="80"/>
      <c r="G1080" s="80"/>
      <c r="H1080" s="80"/>
      <c r="I1080" s="80"/>
      <c r="J1080" s="80"/>
      <c r="K1080" s="80"/>
      <c r="L1080" s="81" t="str">
        <f aca="false">IF(K1080="","",IFERROR(INDEX(BARDAGE!$C$7:$C$1506,MATCH(K1080,BARDAGE!$B$7:$B$1506,0)),"? hors registre"))</f>
        <v/>
      </c>
      <c r="M1080" s="80"/>
      <c r="N1080" s="81" t="str">
        <f aca="false">IF(M1080="","",IFERROR(INDEX(BARDAGE!$C$7:$C$1506,MATCH(M1080,BARDAGE!$B$7:$B$1506,0)),"? hors registre"))</f>
        <v/>
      </c>
      <c r="O1080" s="80"/>
      <c r="P1080" s="80"/>
      <c r="Q1080" s="80"/>
      <c r="R1080" s="82"/>
      <c r="S1080" s="82"/>
      <c r="T1080" s="80"/>
      <c r="U1080" s="80"/>
      <c r="V1080" s="82"/>
      <c r="W1080" s="80"/>
      <c r="X1080" s="80"/>
      <c r="Y1080" s="80"/>
      <c r="Z1080" s="80"/>
      <c r="AA1080" s="82"/>
      <c r="AB1080" s="80"/>
      <c r="AC1080" s="80"/>
      <c r="AD1080" s="80"/>
      <c r="AE1080" s="80"/>
      <c r="AF1080" s="82"/>
      <c r="AG1080" s="80"/>
      <c r="AH1080" s="80"/>
      <c r="AI1080" s="82"/>
      <c r="AJ1080" s="79"/>
      <c r="AK1080" s="78" t="str">
        <f aca="false">IF(E1080="","",(X1080&lt;&gt;"")+(AC1080&lt;&gt;"")+(AH1080&lt;&gt;""))</f>
        <v/>
      </c>
      <c r="AL1080" s="81" t="str">
        <f aca="false">IF(AH1080&lt;&gt;"",AH1080,IF(AC1080&lt;&gt;"",AC1080,IF(X1080&lt;&gt;"",X1080,"")))</f>
        <v/>
      </c>
      <c r="AM1080" s="83" t="str">
        <f aca="false">IF(E1080="","",IF(R1080="","À SOUDER",IF(U1080="","VT EN ATTENTE",IF(U1080="R","VT REJETÉ – À REPRENDRE",IF(AL1080="","À RADIOGRAPHIER",IF(AL1080="A","ACCEPTÉ",IF(AL1080="NX","NX – RT À REFAIRE",IF(IF(AK1080=1,Z1080,IF(AK1080=2,AE1080,""))="A","RÉPARÉ – À RADIOGRAPHIER",IF(IF(AK1080=1,Z1080,IF(AK1080=2,AE1080,""))="R","VT REJETÉ – À REPRENDRE",IF(OR(AL1080="CO",AL1080="NT"),"COUPE – À RESOUDER","À RÉPARER"))))))))))</f>
        <v/>
      </c>
      <c r="AN1080" s="81" t="str">
        <f aca="false">IF(AND(ISNUMBER(R1080),OR(AM1080="À RADIOGRAPHIER",AM1080="RÉPARÉ – À RADIOGRAPHIER",AM1080="NX – RT À REFAIRE",AM1080="À RÉPARER",AM1080="COUPE – À RESOUDER",AM1080="VT REJETÉ – À REPRENDRE")),MAX(0,'PROGRAMME RT'!$C$4-R1080),"")</f>
        <v/>
      </c>
      <c r="AO1080" s="78" t="n">
        <f aca="false">IF(AND(OR(AM1080="À RADIOGRAPHIER",AM1080="RÉPARÉ – À RADIOGRAPHIER",AM1080="NX – RT À REFAIRE"),OR('PROGRAMME RT'!$D$5="TOUTES",B1080='PROGRAMME RT'!$D$5)),1,0)</f>
        <v>0</v>
      </c>
      <c r="AP1080" s="78" t="str">
        <f aca="false">IF(AO1080=1,SUM(AO$7:AO1080),"")</f>
        <v/>
      </c>
      <c r="AQ1080" s="78" t="n">
        <f aca="false">IF(AND(OR(X1080="R",X1080="NX",X1080="NT",X1080="CO"),OR('JOINTS DE RÉPARATION'!$D$5="TOUTES",B1080='JOINTS DE RÉPARATION'!$D$5),OR('JOINTS DE RÉPARATION'!$L$4="TOUS",AM1080&lt;&gt;"ACCEPTÉ")),1,0)</f>
        <v>0</v>
      </c>
      <c r="AR1080" s="78" t="str">
        <f aca="false">IF(AQ1080=1,SUM(AQ$7:AQ1080),"")</f>
        <v/>
      </c>
    </row>
    <row r="1081" customFormat="false" ht="15" hidden="false" customHeight="false" outlineLevel="0" collapsed="false">
      <c r="A1081" s="78" t="str">
        <f aca="false">IF(E1081="","",ROW()-6)</f>
        <v/>
      </c>
      <c r="B1081" s="79"/>
      <c r="C1081" s="80"/>
      <c r="D1081" s="80"/>
      <c r="E1081" s="80"/>
      <c r="F1081" s="80"/>
      <c r="G1081" s="80"/>
      <c r="H1081" s="80"/>
      <c r="I1081" s="80"/>
      <c r="J1081" s="80"/>
      <c r="K1081" s="80"/>
      <c r="L1081" s="81" t="str">
        <f aca="false">IF(K1081="","",IFERROR(INDEX(BARDAGE!$C$7:$C$1506,MATCH(K1081,BARDAGE!$B$7:$B$1506,0)),"? hors registre"))</f>
        <v/>
      </c>
      <c r="M1081" s="80"/>
      <c r="N1081" s="81" t="str">
        <f aca="false">IF(M1081="","",IFERROR(INDEX(BARDAGE!$C$7:$C$1506,MATCH(M1081,BARDAGE!$B$7:$B$1506,0)),"? hors registre"))</f>
        <v/>
      </c>
      <c r="O1081" s="80"/>
      <c r="P1081" s="80"/>
      <c r="Q1081" s="80"/>
      <c r="R1081" s="82"/>
      <c r="S1081" s="82"/>
      <c r="T1081" s="80"/>
      <c r="U1081" s="80"/>
      <c r="V1081" s="82"/>
      <c r="W1081" s="80"/>
      <c r="X1081" s="80"/>
      <c r="Y1081" s="80"/>
      <c r="Z1081" s="80"/>
      <c r="AA1081" s="82"/>
      <c r="AB1081" s="80"/>
      <c r="AC1081" s="80"/>
      <c r="AD1081" s="80"/>
      <c r="AE1081" s="80"/>
      <c r="AF1081" s="82"/>
      <c r="AG1081" s="80"/>
      <c r="AH1081" s="80"/>
      <c r="AI1081" s="82"/>
      <c r="AJ1081" s="79"/>
      <c r="AK1081" s="78" t="str">
        <f aca="false">IF(E1081="","",(X1081&lt;&gt;"")+(AC1081&lt;&gt;"")+(AH1081&lt;&gt;""))</f>
        <v/>
      </c>
      <c r="AL1081" s="81" t="str">
        <f aca="false">IF(AH1081&lt;&gt;"",AH1081,IF(AC1081&lt;&gt;"",AC1081,IF(X1081&lt;&gt;"",X1081,"")))</f>
        <v/>
      </c>
      <c r="AM1081" s="83" t="str">
        <f aca="false">IF(E1081="","",IF(R1081="","À SOUDER",IF(U1081="","VT EN ATTENTE",IF(U1081="R","VT REJETÉ – À REPRENDRE",IF(AL1081="","À RADIOGRAPHIER",IF(AL1081="A","ACCEPTÉ",IF(AL1081="NX","NX – RT À REFAIRE",IF(IF(AK1081=1,Z1081,IF(AK1081=2,AE1081,""))="A","RÉPARÉ – À RADIOGRAPHIER",IF(IF(AK1081=1,Z1081,IF(AK1081=2,AE1081,""))="R","VT REJETÉ – À REPRENDRE",IF(OR(AL1081="CO",AL1081="NT"),"COUPE – À RESOUDER","À RÉPARER"))))))))))</f>
        <v/>
      </c>
      <c r="AN1081" s="81" t="str">
        <f aca="false">IF(AND(ISNUMBER(R1081),OR(AM1081="À RADIOGRAPHIER",AM1081="RÉPARÉ – À RADIOGRAPHIER",AM1081="NX – RT À REFAIRE",AM1081="À RÉPARER",AM1081="COUPE – À RESOUDER",AM1081="VT REJETÉ – À REPRENDRE")),MAX(0,'PROGRAMME RT'!$C$4-R1081),"")</f>
        <v/>
      </c>
      <c r="AO1081" s="78" t="n">
        <f aca="false">IF(AND(OR(AM1081="À RADIOGRAPHIER",AM1081="RÉPARÉ – À RADIOGRAPHIER",AM1081="NX – RT À REFAIRE"),OR('PROGRAMME RT'!$D$5="TOUTES",B1081='PROGRAMME RT'!$D$5)),1,0)</f>
        <v>0</v>
      </c>
      <c r="AP1081" s="78" t="str">
        <f aca="false">IF(AO1081=1,SUM(AO$7:AO1081),"")</f>
        <v/>
      </c>
      <c r="AQ1081" s="78" t="n">
        <f aca="false">IF(AND(OR(X1081="R",X1081="NX",X1081="NT",X1081="CO"),OR('JOINTS DE RÉPARATION'!$D$5="TOUTES",B1081='JOINTS DE RÉPARATION'!$D$5),OR('JOINTS DE RÉPARATION'!$L$4="TOUS",AM1081&lt;&gt;"ACCEPTÉ")),1,0)</f>
        <v>0</v>
      </c>
      <c r="AR1081" s="78" t="str">
        <f aca="false">IF(AQ1081=1,SUM(AQ$7:AQ1081),"")</f>
        <v/>
      </c>
    </row>
    <row r="1082" customFormat="false" ht="15" hidden="false" customHeight="false" outlineLevel="0" collapsed="false">
      <c r="A1082" s="78" t="str">
        <f aca="false">IF(E1082="","",ROW()-6)</f>
        <v/>
      </c>
      <c r="B1082" s="79"/>
      <c r="C1082" s="80"/>
      <c r="D1082" s="80"/>
      <c r="E1082" s="80"/>
      <c r="F1082" s="80"/>
      <c r="G1082" s="80"/>
      <c r="H1082" s="80"/>
      <c r="I1082" s="80"/>
      <c r="J1082" s="80"/>
      <c r="K1082" s="80"/>
      <c r="L1082" s="81" t="str">
        <f aca="false">IF(K1082="","",IFERROR(INDEX(BARDAGE!$C$7:$C$1506,MATCH(K1082,BARDAGE!$B$7:$B$1506,0)),"? hors registre"))</f>
        <v/>
      </c>
      <c r="M1082" s="80"/>
      <c r="N1082" s="81" t="str">
        <f aca="false">IF(M1082="","",IFERROR(INDEX(BARDAGE!$C$7:$C$1506,MATCH(M1082,BARDAGE!$B$7:$B$1506,0)),"? hors registre"))</f>
        <v/>
      </c>
      <c r="O1082" s="80"/>
      <c r="P1082" s="80"/>
      <c r="Q1082" s="80"/>
      <c r="R1082" s="82"/>
      <c r="S1082" s="82"/>
      <c r="T1082" s="80"/>
      <c r="U1082" s="80"/>
      <c r="V1082" s="82"/>
      <c r="W1082" s="80"/>
      <c r="X1082" s="80"/>
      <c r="Y1082" s="80"/>
      <c r="Z1082" s="80"/>
      <c r="AA1082" s="82"/>
      <c r="AB1082" s="80"/>
      <c r="AC1082" s="80"/>
      <c r="AD1082" s="80"/>
      <c r="AE1082" s="80"/>
      <c r="AF1082" s="82"/>
      <c r="AG1082" s="80"/>
      <c r="AH1082" s="80"/>
      <c r="AI1082" s="82"/>
      <c r="AJ1082" s="79"/>
      <c r="AK1082" s="78" t="str">
        <f aca="false">IF(E1082="","",(X1082&lt;&gt;"")+(AC1082&lt;&gt;"")+(AH1082&lt;&gt;""))</f>
        <v/>
      </c>
      <c r="AL1082" s="81" t="str">
        <f aca="false">IF(AH1082&lt;&gt;"",AH1082,IF(AC1082&lt;&gt;"",AC1082,IF(X1082&lt;&gt;"",X1082,"")))</f>
        <v/>
      </c>
      <c r="AM1082" s="83" t="str">
        <f aca="false">IF(E1082="","",IF(R1082="","À SOUDER",IF(U1082="","VT EN ATTENTE",IF(U1082="R","VT REJETÉ – À REPRENDRE",IF(AL1082="","À RADIOGRAPHIER",IF(AL1082="A","ACCEPTÉ",IF(AL1082="NX","NX – RT À REFAIRE",IF(IF(AK1082=1,Z1082,IF(AK1082=2,AE1082,""))="A","RÉPARÉ – À RADIOGRAPHIER",IF(IF(AK1082=1,Z1082,IF(AK1082=2,AE1082,""))="R","VT REJETÉ – À REPRENDRE",IF(OR(AL1082="CO",AL1082="NT"),"COUPE – À RESOUDER","À RÉPARER"))))))))))</f>
        <v/>
      </c>
      <c r="AN1082" s="81" t="str">
        <f aca="false">IF(AND(ISNUMBER(R1082),OR(AM1082="À RADIOGRAPHIER",AM1082="RÉPARÉ – À RADIOGRAPHIER",AM1082="NX – RT À REFAIRE",AM1082="À RÉPARER",AM1082="COUPE – À RESOUDER",AM1082="VT REJETÉ – À REPRENDRE")),MAX(0,'PROGRAMME RT'!$C$4-R1082),"")</f>
        <v/>
      </c>
      <c r="AO1082" s="78" t="n">
        <f aca="false">IF(AND(OR(AM1082="À RADIOGRAPHIER",AM1082="RÉPARÉ – À RADIOGRAPHIER",AM1082="NX – RT À REFAIRE"),OR('PROGRAMME RT'!$D$5="TOUTES",B1082='PROGRAMME RT'!$D$5)),1,0)</f>
        <v>0</v>
      </c>
      <c r="AP1082" s="78" t="str">
        <f aca="false">IF(AO1082=1,SUM(AO$7:AO1082),"")</f>
        <v/>
      </c>
      <c r="AQ1082" s="78" t="n">
        <f aca="false">IF(AND(OR(X1082="R",X1082="NX",X1082="NT",X1082="CO"),OR('JOINTS DE RÉPARATION'!$D$5="TOUTES",B1082='JOINTS DE RÉPARATION'!$D$5),OR('JOINTS DE RÉPARATION'!$L$4="TOUS",AM1082&lt;&gt;"ACCEPTÉ")),1,0)</f>
        <v>0</v>
      </c>
      <c r="AR1082" s="78" t="str">
        <f aca="false">IF(AQ1082=1,SUM(AQ$7:AQ1082),"")</f>
        <v/>
      </c>
    </row>
    <row r="1083" customFormat="false" ht="15" hidden="false" customHeight="false" outlineLevel="0" collapsed="false">
      <c r="A1083" s="78" t="str">
        <f aca="false">IF(E1083="","",ROW()-6)</f>
        <v/>
      </c>
      <c r="B1083" s="79"/>
      <c r="C1083" s="80"/>
      <c r="D1083" s="80"/>
      <c r="E1083" s="80"/>
      <c r="F1083" s="80"/>
      <c r="G1083" s="80"/>
      <c r="H1083" s="80"/>
      <c r="I1083" s="80"/>
      <c r="J1083" s="80"/>
      <c r="K1083" s="80"/>
      <c r="L1083" s="81" t="str">
        <f aca="false">IF(K1083="","",IFERROR(INDEX(BARDAGE!$C$7:$C$1506,MATCH(K1083,BARDAGE!$B$7:$B$1506,0)),"? hors registre"))</f>
        <v/>
      </c>
      <c r="M1083" s="80"/>
      <c r="N1083" s="81" t="str">
        <f aca="false">IF(M1083="","",IFERROR(INDEX(BARDAGE!$C$7:$C$1506,MATCH(M1083,BARDAGE!$B$7:$B$1506,0)),"? hors registre"))</f>
        <v/>
      </c>
      <c r="O1083" s="80"/>
      <c r="P1083" s="80"/>
      <c r="Q1083" s="80"/>
      <c r="R1083" s="82"/>
      <c r="S1083" s="82"/>
      <c r="T1083" s="80"/>
      <c r="U1083" s="80"/>
      <c r="V1083" s="82"/>
      <c r="W1083" s="80"/>
      <c r="X1083" s="80"/>
      <c r="Y1083" s="80"/>
      <c r="Z1083" s="80"/>
      <c r="AA1083" s="82"/>
      <c r="AB1083" s="80"/>
      <c r="AC1083" s="80"/>
      <c r="AD1083" s="80"/>
      <c r="AE1083" s="80"/>
      <c r="AF1083" s="82"/>
      <c r="AG1083" s="80"/>
      <c r="AH1083" s="80"/>
      <c r="AI1083" s="82"/>
      <c r="AJ1083" s="79"/>
      <c r="AK1083" s="78" t="str">
        <f aca="false">IF(E1083="","",(X1083&lt;&gt;"")+(AC1083&lt;&gt;"")+(AH1083&lt;&gt;""))</f>
        <v/>
      </c>
      <c r="AL1083" s="81" t="str">
        <f aca="false">IF(AH1083&lt;&gt;"",AH1083,IF(AC1083&lt;&gt;"",AC1083,IF(X1083&lt;&gt;"",X1083,"")))</f>
        <v/>
      </c>
      <c r="AM1083" s="83" t="str">
        <f aca="false">IF(E1083="","",IF(R1083="","À SOUDER",IF(U1083="","VT EN ATTENTE",IF(U1083="R","VT REJETÉ – À REPRENDRE",IF(AL1083="","À RADIOGRAPHIER",IF(AL1083="A","ACCEPTÉ",IF(AL1083="NX","NX – RT À REFAIRE",IF(IF(AK1083=1,Z1083,IF(AK1083=2,AE1083,""))="A","RÉPARÉ – À RADIOGRAPHIER",IF(IF(AK1083=1,Z1083,IF(AK1083=2,AE1083,""))="R","VT REJETÉ – À REPRENDRE",IF(OR(AL1083="CO",AL1083="NT"),"COUPE – À RESOUDER","À RÉPARER"))))))))))</f>
        <v/>
      </c>
      <c r="AN1083" s="81" t="str">
        <f aca="false">IF(AND(ISNUMBER(R1083),OR(AM1083="À RADIOGRAPHIER",AM1083="RÉPARÉ – À RADIOGRAPHIER",AM1083="NX – RT À REFAIRE",AM1083="À RÉPARER",AM1083="COUPE – À RESOUDER",AM1083="VT REJETÉ – À REPRENDRE")),MAX(0,'PROGRAMME RT'!$C$4-R1083),"")</f>
        <v/>
      </c>
      <c r="AO1083" s="78" t="n">
        <f aca="false">IF(AND(OR(AM1083="À RADIOGRAPHIER",AM1083="RÉPARÉ – À RADIOGRAPHIER",AM1083="NX – RT À REFAIRE"),OR('PROGRAMME RT'!$D$5="TOUTES",B1083='PROGRAMME RT'!$D$5)),1,0)</f>
        <v>0</v>
      </c>
      <c r="AP1083" s="78" t="str">
        <f aca="false">IF(AO1083=1,SUM(AO$7:AO1083),"")</f>
        <v/>
      </c>
      <c r="AQ1083" s="78" t="n">
        <f aca="false">IF(AND(OR(X1083="R",X1083="NX",X1083="NT",X1083="CO"),OR('JOINTS DE RÉPARATION'!$D$5="TOUTES",B1083='JOINTS DE RÉPARATION'!$D$5),OR('JOINTS DE RÉPARATION'!$L$4="TOUS",AM1083&lt;&gt;"ACCEPTÉ")),1,0)</f>
        <v>0</v>
      </c>
      <c r="AR1083" s="78" t="str">
        <f aca="false">IF(AQ1083=1,SUM(AQ$7:AQ1083),"")</f>
        <v/>
      </c>
    </row>
    <row r="1084" customFormat="false" ht="15" hidden="false" customHeight="false" outlineLevel="0" collapsed="false">
      <c r="A1084" s="78" t="str">
        <f aca="false">IF(E1084="","",ROW()-6)</f>
        <v/>
      </c>
      <c r="B1084" s="79"/>
      <c r="C1084" s="80"/>
      <c r="D1084" s="80"/>
      <c r="E1084" s="80"/>
      <c r="F1084" s="80"/>
      <c r="G1084" s="80"/>
      <c r="H1084" s="80"/>
      <c r="I1084" s="80"/>
      <c r="J1084" s="80"/>
      <c r="K1084" s="80"/>
      <c r="L1084" s="81" t="str">
        <f aca="false">IF(K1084="","",IFERROR(INDEX(BARDAGE!$C$7:$C$1506,MATCH(K1084,BARDAGE!$B$7:$B$1506,0)),"? hors registre"))</f>
        <v/>
      </c>
      <c r="M1084" s="80"/>
      <c r="N1084" s="81" t="str">
        <f aca="false">IF(M1084="","",IFERROR(INDEX(BARDAGE!$C$7:$C$1506,MATCH(M1084,BARDAGE!$B$7:$B$1506,0)),"? hors registre"))</f>
        <v/>
      </c>
      <c r="O1084" s="80"/>
      <c r="P1084" s="80"/>
      <c r="Q1084" s="80"/>
      <c r="R1084" s="82"/>
      <c r="S1084" s="82"/>
      <c r="T1084" s="80"/>
      <c r="U1084" s="80"/>
      <c r="V1084" s="82"/>
      <c r="W1084" s="80"/>
      <c r="X1084" s="80"/>
      <c r="Y1084" s="80"/>
      <c r="Z1084" s="80"/>
      <c r="AA1084" s="82"/>
      <c r="AB1084" s="80"/>
      <c r="AC1084" s="80"/>
      <c r="AD1084" s="80"/>
      <c r="AE1084" s="80"/>
      <c r="AF1084" s="82"/>
      <c r="AG1084" s="80"/>
      <c r="AH1084" s="80"/>
      <c r="AI1084" s="82"/>
      <c r="AJ1084" s="79"/>
      <c r="AK1084" s="78" t="str">
        <f aca="false">IF(E1084="","",(X1084&lt;&gt;"")+(AC1084&lt;&gt;"")+(AH1084&lt;&gt;""))</f>
        <v/>
      </c>
      <c r="AL1084" s="81" t="str">
        <f aca="false">IF(AH1084&lt;&gt;"",AH1084,IF(AC1084&lt;&gt;"",AC1084,IF(X1084&lt;&gt;"",X1084,"")))</f>
        <v/>
      </c>
      <c r="AM1084" s="83" t="str">
        <f aca="false">IF(E1084="","",IF(R1084="","À SOUDER",IF(U1084="","VT EN ATTENTE",IF(U1084="R","VT REJETÉ – À REPRENDRE",IF(AL1084="","À RADIOGRAPHIER",IF(AL1084="A","ACCEPTÉ",IF(AL1084="NX","NX – RT À REFAIRE",IF(IF(AK1084=1,Z1084,IF(AK1084=2,AE1084,""))="A","RÉPARÉ – À RADIOGRAPHIER",IF(IF(AK1084=1,Z1084,IF(AK1084=2,AE1084,""))="R","VT REJETÉ – À REPRENDRE",IF(OR(AL1084="CO",AL1084="NT"),"COUPE – À RESOUDER","À RÉPARER"))))))))))</f>
        <v/>
      </c>
      <c r="AN1084" s="81" t="str">
        <f aca="false">IF(AND(ISNUMBER(R1084),OR(AM1084="À RADIOGRAPHIER",AM1084="RÉPARÉ – À RADIOGRAPHIER",AM1084="NX – RT À REFAIRE",AM1084="À RÉPARER",AM1084="COUPE – À RESOUDER",AM1084="VT REJETÉ – À REPRENDRE")),MAX(0,'PROGRAMME RT'!$C$4-R1084),"")</f>
        <v/>
      </c>
      <c r="AO1084" s="78" t="n">
        <f aca="false">IF(AND(OR(AM1084="À RADIOGRAPHIER",AM1084="RÉPARÉ – À RADIOGRAPHIER",AM1084="NX – RT À REFAIRE"),OR('PROGRAMME RT'!$D$5="TOUTES",B1084='PROGRAMME RT'!$D$5)),1,0)</f>
        <v>0</v>
      </c>
      <c r="AP1084" s="78" t="str">
        <f aca="false">IF(AO1084=1,SUM(AO$7:AO1084),"")</f>
        <v/>
      </c>
      <c r="AQ1084" s="78" t="n">
        <f aca="false">IF(AND(OR(X1084="R",X1084="NX",X1084="NT",X1084="CO"),OR('JOINTS DE RÉPARATION'!$D$5="TOUTES",B1084='JOINTS DE RÉPARATION'!$D$5),OR('JOINTS DE RÉPARATION'!$L$4="TOUS",AM1084&lt;&gt;"ACCEPTÉ")),1,0)</f>
        <v>0</v>
      </c>
      <c r="AR1084" s="78" t="str">
        <f aca="false">IF(AQ1084=1,SUM(AQ$7:AQ1084),"")</f>
        <v/>
      </c>
    </row>
    <row r="1085" customFormat="false" ht="15" hidden="false" customHeight="false" outlineLevel="0" collapsed="false">
      <c r="A1085" s="78" t="str">
        <f aca="false">IF(E1085="","",ROW()-6)</f>
        <v/>
      </c>
      <c r="B1085" s="79"/>
      <c r="C1085" s="80"/>
      <c r="D1085" s="80"/>
      <c r="E1085" s="80"/>
      <c r="F1085" s="80"/>
      <c r="G1085" s="80"/>
      <c r="H1085" s="80"/>
      <c r="I1085" s="80"/>
      <c r="J1085" s="80"/>
      <c r="K1085" s="80"/>
      <c r="L1085" s="81" t="str">
        <f aca="false">IF(K1085="","",IFERROR(INDEX(BARDAGE!$C$7:$C$1506,MATCH(K1085,BARDAGE!$B$7:$B$1506,0)),"? hors registre"))</f>
        <v/>
      </c>
      <c r="M1085" s="80"/>
      <c r="N1085" s="81" t="str">
        <f aca="false">IF(M1085="","",IFERROR(INDEX(BARDAGE!$C$7:$C$1506,MATCH(M1085,BARDAGE!$B$7:$B$1506,0)),"? hors registre"))</f>
        <v/>
      </c>
      <c r="O1085" s="80"/>
      <c r="P1085" s="80"/>
      <c r="Q1085" s="80"/>
      <c r="R1085" s="82"/>
      <c r="S1085" s="82"/>
      <c r="T1085" s="80"/>
      <c r="U1085" s="80"/>
      <c r="V1085" s="82"/>
      <c r="W1085" s="80"/>
      <c r="X1085" s="80"/>
      <c r="Y1085" s="80"/>
      <c r="Z1085" s="80"/>
      <c r="AA1085" s="82"/>
      <c r="AB1085" s="80"/>
      <c r="AC1085" s="80"/>
      <c r="AD1085" s="80"/>
      <c r="AE1085" s="80"/>
      <c r="AF1085" s="82"/>
      <c r="AG1085" s="80"/>
      <c r="AH1085" s="80"/>
      <c r="AI1085" s="82"/>
      <c r="AJ1085" s="79"/>
      <c r="AK1085" s="78" t="str">
        <f aca="false">IF(E1085="","",(X1085&lt;&gt;"")+(AC1085&lt;&gt;"")+(AH1085&lt;&gt;""))</f>
        <v/>
      </c>
      <c r="AL1085" s="81" t="str">
        <f aca="false">IF(AH1085&lt;&gt;"",AH1085,IF(AC1085&lt;&gt;"",AC1085,IF(X1085&lt;&gt;"",X1085,"")))</f>
        <v/>
      </c>
      <c r="AM1085" s="83" t="str">
        <f aca="false">IF(E1085="","",IF(R1085="","À SOUDER",IF(U1085="","VT EN ATTENTE",IF(U1085="R","VT REJETÉ – À REPRENDRE",IF(AL1085="","À RADIOGRAPHIER",IF(AL1085="A","ACCEPTÉ",IF(AL1085="NX","NX – RT À REFAIRE",IF(IF(AK1085=1,Z1085,IF(AK1085=2,AE1085,""))="A","RÉPARÉ – À RADIOGRAPHIER",IF(IF(AK1085=1,Z1085,IF(AK1085=2,AE1085,""))="R","VT REJETÉ – À REPRENDRE",IF(OR(AL1085="CO",AL1085="NT"),"COUPE – À RESOUDER","À RÉPARER"))))))))))</f>
        <v/>
      </c>
      <c r="AN1085" s="81" t="str">
        <f aca="false">IF(AND(ISNUMBER(R1085),OR(AM1085="À RADIOGRAPHIER",AM1085="RÉPARÉ – À RADIOGRAPHIER",AM1085="NX – RT À REFAIRE",AM1085="À RÉPARER",AM1085="COUPE – À RESOUDER",AM1085="VT REJETÉ – À REPRENDRE")),MAX(0,'PROGRAMME RT'!$C$4-R1085),"")</f>
        <v/>
      </c>
      <c r="AO1085" s="78" t="n">
        <f aca="false">IF(AND(OR(AM1085="À RADIOGRAPHIER",AM1085="RÉPARÉ – À RADIOGRAPHIER",AM1085="NX – RT À REFAIRE"),OR('PROGRAMME RT'!$D$5="TOUTES",B1085='PROGRAMME RT'!$D$5)),1,0)</f>
        <v>0</v>
      </c>
      <c r="AP1085" s="78" t="str">
        <f aca="false">IF(AO1085=1,SUM(AO$7:AO1085),"")</f>
        <v/>
      </c>
      <c r="AQ1085" s="78" t="n">
        <f aca="false">IF(AND(OR(X1085="R",X1085="NX",X1085="NT",X1085="CO"),OR('JOINTS DE RÉPARATION'!$D$5="TOUTES",B1085='JOINTS DE RÉPARATION'!$D$5),OR('JOINTS DE RÉPARATION'!$L$4="TOUS",AM1085&lt;&gt;"ACCEPTÉ")),1,0)</f>
        <v>0</v>
      </c>
      <c r="AR1085" s="78" t="str">
        <f aca="false">IF(AQ1085=1,SUM(AQ$7:AQ1085),"")</f>
        <v/>
      </c>
    </row>
    <row r="1086" customFormat="false" ht="15" hidden="false" customHeight="false" outlineLevel="0" collapsed="false">
      <c r="A1086" s="78" t="str">
        <f aca="false">IF(E1086="","",ROW()-6)</f>
        <v/>
      </c>
      <c r="B1086" s="79"/>
      <c r="C1086" s="80"/>
      <c r="D1086" s="80"/>
      <c r="E1086" s="80"/>
      <c r="F1086" s="80"/>
      <c r="G1086" s="80"/>
      <c r="H1086" s="80"/>
      <c r="I1086" s="80"/>
      <c r="J1086" s="80"/>
      <c r="K1086" s="80"/>
      <c r="L1086" s="81" t="str">
        <f aca="false">IF(K1086="","",IFERROR(INDEX(BARDAGE!$C$7:$C$1506,MATCH(K1086,BARDAGE!$B$7:$B$1506,0)),"? hors registre"))</f>
        <v/>
      </c>
      <c r="M1086" s="80"/>
      <c r="N1086" s="81" t="str">
        <f aca="false">IF(M1086="","",IFERROR(INDEX(BARDAGE!$C$7:$C$1506,MATCH(M1086,BARDAGE!$B$7:$B$1506,0)),"? hors registre"))</f>
        <v/>
      </c>
      <c r="O1086" s="80"/>
      <c r="P1086" s="80"/>
      <c r="Q1086" s="80"/>
      <c r="R1086" s="82"/>
      <c r="S1086" s="82"/>
      <c r="T1086" s="80"/>
      <c r="U1086" s="80"/>
      <c r="V1086" s="82"/>
      <c r="W1086" s="80"/>
      <c r="X1086" s="80"/>
      <c r="Y1086" s="80"/>
      <c r="Z1086" s="80"/>
      <c r="AA1086" s="82"/>
      <c r="AB1086" s="80"/>
      <c r="AC1086" s="80"/>
      <c r="AD1086" s="80"/>
      <c r="AE1086" s="80"/>
      <c r="AF1086" s="82"/>
      <c r="AG1086" s="80"/>
      <c r="AH1086" s="80"/>
      <c r="AI1086" s="82"/>
      <c r="AJ1086" s="79"/>
      <c r="AK1086" s="78" t="str">
        <f aca="false">IF(E1086="","",(X1086&lt;&gt;"")+(AC1086&lt;&gt;"")+(AH1086&lt;&gt;""))</f>
        <v/>
      </c>
      <c r="AL1086" s="81" t="str">
        <f aca="false">IF(AH1086&lt;&gt;"",AH1086,IF(AC1086&lt;&gt;"",AC1086,IF(X1086&lt;&gt;"",X1086,"")))</f>
        <v/>
      </c>
      <c r="AM1086" s="83" t="str">
        <f aca="false">IF(E1086="","",IF(R1086="","À SOUDER",IF(U1086="","VT EN ATTENTE",IF(U1086="R","VT REJETÉ – À REPRENDRE",IF(AL1086="","À RADIOGRAPHIER",IF(AL1086="A","ACCEPTÉ",IF(AL1086="NX","NX – RT À REFAIRE",IF(IF(AK1086=1,Z1086,IF(AK1086=2,AE1086,""))="A","RÉPARÉ – À RADIOGRAPHIER",IF(IF(AK1086=1,Z1086,IF(AK1086=2,AE1086,""))="R","VT REJETÉ – À REPRENDRE",IF(OR(AL1086="CO",AL1086="NT"),"COUPE – À RESOUDER","À RÉPARER"))))))))))</f>
        <v/>
      </c>
      <c r="AN1086" s="81" t="str">
        <f aca="false">IF(AND(ISNUMBER(R1086),OR(AM1086="À RADIOGRAPHIER",AM1086="RÉPARÉ – À RADIOGRAPHIER",AM1086="NX – RT À REFAIRE",AM1086="À RÉPARER",AM1086="COUPE – À RESOUDER",AM1086="VT REJETÉ – À REPRENDRE")),MAX(0,'PROGRAMME RT'!$C$4-R1086),"")</f>
        <v/>
      </c>
      <c r="AO1086" s="78" t="n">
        <f aca="false">IF(AND(OR(AM1086="À RADIOGRAPHIER",AM1086="RÉPARÉ – À RADIOGRAPHIER",AM1086="NX – RT À REFAIRE"),OR('PROGRAMME RT'!$D$5="TOUTES",B1086='PROGRAMME RT'!$D$5)),1,0)</f>
        <v>0</v>
      </c>
      <c r="AP1086" s="78" t="str">
        <f aca="false">IF(AO1086=1,SUM(AO$7:AO1086),"")</f>
        <v/>
      </c>
      <c r="AQ1086" s="78" t="n">
        <f aca="false">IF(AND(OR(X1086="R",X1086="NX",X1086="NT",X1086="CO"),OR('JOINTS DE RÉPARATION'!$D$5="TOUTES",B1086='JOINTS DE RÉPARATION'!$D$5),OR('JOINTS DE RÉPARATION'!$L$4="TOUS",AM1086&lt;&gt;"ACCEPTÉ")),1,0)</f>
        <v>0</v>
      </c>
      <c r="AR1086" s="78" t="str">
        <f aca="false">IF(AQ1086=1,SUM(AQ$7:AQ1086),"")</f>
        <v/>
      </c>
    </row>
    <row r="1087" customFormat="false" ht="15" hidden="false" customHeight="false" outlineLevel="0" collapsed="false">
      <c r="A1087" s="78" t="str">
        <f aca="false">IF(E1087="","",ROW()-6)</f>
        <v/>
      </c>
      <c r="B1087" s="79"/>
      <c r="C1087" s="80"/>
      <c r="D1087" s="80"/>
      <c r="E1087" s="80"/>
      <c r="F1087" s="80"/>
      <c r="G1087" s="80"/>
      <c r="H1087" s="80"/>
      <c r="I1087" s="80"/>
      <c r="J1087" s="80"/>
      <c r="K1087" s="80"/>
      <c r="L1087" s="81" t="str">
        <f aca="false">IF(K1087="","",IFERROR(INDEX(BARDAGE!$C$7:$C$1506,MATCH(K1087,BARDAGE!$B$7:$B$1506,0)),"? hors registre"))</f>
        <v/>
      </c>
      <c r="M1087" s="80"/>
      <c r="N1087" s="81" t="str">
        <f aca="false">IF(M1087="","",IFERROR(INDEX(BARDAGE!$C$7:$C$1506,MATCH(M1087,BARDAGE!$B$7:$B$1506,0)),"? hors registre"))</f>
        <v/>
      </c>
      <c r="O1087" s="80"/>
      <c r="P1087" s="80"/>
      <c r="Q1087" s="80"/>
      <c r="R1087" s="82"/>
      <c r="S1087" s="82"/>
      <c r="T1087" s="80"/>
      <c r="U1087" s="80"/>
      <c r="V1087" s="82"/>
      <c r="W1087" s="80"/>
      <c r="X1087" s="80"/>
      <c r="Y1087" s="80"/>
      <c r="Z1087" s="80"/>
      <c r="AA1087" s="82"/>
      <c r="AB1087" s="80"/>
      <c r="AC1087" s="80"/>
      <c r="AD1087" s="80"/>
      <c r="AE1087" s="80"/>
      <c r="AF1087" s="82"/>
      <c r="AG1087" s="80"/>
      <c r="AH1087" s="80"/>
      <c r="AI1087" s="82"/>
      <c r="AJ1087" s="79"/>
      <c r="AK1087" s="78" t="str">
        <f aca="false">IF(E1087="","",(X1087&lt;&gt;"")+(AC1087&lt;&gt;"")+(AH1087&lt;&gt;""))</f>
        <v/>
      </c>
      <c r="AL1087" s="81" t="str">
        <f aca="false">IF(AH1087&lt;&gt;"",AH1087,IF(AC1087&lt;&gt;"",AC1087,IF(X1087&lt;&gt;"",X1087,"")))</f>
        <v/>
      </c>
      <c r="AM1087" s="83" t="str">
        <f aca="false">IF(E1087="","",IF(R1087="","À SOUDER",IF(U1087="","VT EN ATTENTE",IF(U1087="R","VT REJETÉ – À REPRENDRE",IF(AL1087="","À RADIOGRAPHIER",IF(AL1087="A","ACCEPTÉ",IF(AL1087="NX","NX – RT À REFAIRE",IF(IF(AK1087=1,Z1087,IF(AK1087=2,AE1087,""))="A","RÉPARÉ – À RADIOGRAPHIER",IF(IF(AK1087=1,Z1087,IF(AK1087=2,AE1087,""))="R","VT REJETÉ – À REPRENDRE",IF(OR(AL1087="CO",AL1087="NT"),"COUPE – À RESOUDER","À RÉPARER"))))))))))</f>
        <v/>
      </c>
      <c r="AN1087" s="81" t="str">
        <f aca="false">IF(AND(ISNUMBER(R1087),OR(AM1087="À RADIOGRAPHIER",AM1087="RÉPARÉ – À RADIOGRAPHIER",AM1087="NX – RT À REFAIRE",AM1087="À RÉPARER",AM1087="COUPE – À RESOUDER",AM1087="VT REJETÉ – À REPRENDRE")),MAX(0,'PROGRAMME RT'!$C$4-R1087),"")</f>
        <v/>
      </c>
      <c r="AO1087" s="78" t="n">
        <f aca="false">IF(AND(OR(AM1087="À RADIOGRAPHIER",AM1087="RÉPARÉ – À RADIOGRAPHIER",AM1087="NX – RT À REFAIRE"),OR('PROGRAMME RT'!$D$5="TOUTES",B1087='PROGRAMME RT'!$D$5)),1,0)</f>
        <v>0</v>
      </c>
      <c r="AP1087" s="78" t="str">
        <f aca="false">IF(AO1087=1,SUM(AO$7:AO1087),"")</f>
        <v/>
      </c>
      <c r="AQ1087" s="78" t="n">
        <f aca="false">IF(AND(OR(X1087="R",X1087="NX",X1087="NT",X1087="CO"),OR('JOINTS DE RÉPARATION'!$D$5="TOUTES",B1087='JOINTS DE RÉPARATION'!$D$5),OR('JOINTS DE RÉPARATION'!$L$4="TOUS",AM1087&lt;&gt;"ACCEPTÉ")),1,0)</f>
        <v>0</v>
      </c>
      <c r="AR1087" s="78" t="str">
        <f aca="false">IF(AQ1087=1,SUM(AQ$7:AQ1087),"")</f>
        <v/>
      </c>
    </row>
    <row r="1088" customFormat="false" ht="15" hidden="false" customHeight="false" outlineLevel="0" collapsed="false">
      <c r="A1088" s="78" t="str">
        <f aca="false">IF(E1088="","",ROW()-6)</f>
        <v/>
      </c>
      <c r="B1088" s="79"/>
      <c r="C1088" s="80"/>
      <c r="D1088" s="80"/>
      <c r="E1088" s="80"/>
      <c r="F1088" s="80"/>
      <c r="G1088" s="80"/>
      <c r="H1088" s="80"/>
      <c r="I1088" s="80"/>
      <c r="J1088" s="80"/>
      <c r="K1088" s="80"/>
      <c r="L1088" s="81" t="str">
        <f aca="false">IF(K1088="","",IFERROR(INDEX(BARDAGE!$C$7:$C$1506,MATCH(K1088,BARDAGE!$B$7:$B$1506,0)),"? hors registre"))</f>
        <v/>
      </c>
      <c r="M1088" s="80"/>
      <c r="N1088" s="81" t="str">
        <f aca="false">IF(M1088="","",IFERROR(INDEX(BARDAGE!$C$7:$C$1506,MATCH(M1088,BARDAGE!$B$7:$B$1506,0)),"? hors registre"))</f>
        <v/>
      </c>
      <c r="O1088" s="80"/>
      <c r="P1088" s="80"/>
      <c r="Q1088" s="80"/>
      <c r="R1088" s="82"/>
      <c r="S1088" s="82"/>
      <c r="T1088" s="80"/>
      <c r="U1088" s="80"/>
      <c r="V1088" s="82"/>
      <c r="W1088" s="80"/>
      <c r="X1088" s="80"/>
      <c r="Y1088" s="80"/>
      <c r="Z1088" s="80"/>
      <c r="AA1088" s="82"/>
      <c r="AB1088" s="80"/>
      <c r="AC1088" s="80"/>
      <c r="AD1088" s="80"/>
      <c r="AE1088" s="80"/>
      <c r="AF1088" s="82"/>
      <c r="AG1088" s="80"/>
      <c r="AH1088" s="80"/>
      <c r="AI1088" s="82"/>
      <c r="AJ1088" s="79"/>
      <c r="AK1088" s="78" t="str">
        <f aca="false">IF(E1088="","",(X1088&lt;&gt;"")+(AC1088&lt;&gt;"")+(AH1088&lt;&gt;""))</f>
        <v/>
      </c>
      <c r="AL1088" s="81" t="str">
        <f aca="false">IF(AH1088&lt;&gt;"",AH1088,IF(AC1088&lt;&gt;"",AC1088,IF(X1088&lt;&gt;"",X1088,"")))</f>
        <v/>
      </c>
      <c r="AM1088" s="83" t="str">
        <f aca="false">IF(E1088="","",IF(R1088="","À SOUDER",IF(U1088="","VT EN ATTENTE",IF(U1088="R","VT REJETÉ – À REPRENDRE",IF(AL1088="","À RADIOGRAPHIER",IF(AL1088="A","ACCEPTÉ",IF(AL1088="NX","NX – RT À REFAIRE",IF(IF(AK1088=1,Z1088,IF(AK1088=2,AE1088,""))="A","RÉPARÉ – À RADIOGRAPHIER",IF(IF(AK1088=1,Z1088,IF(AK1088=2,AE1088,""))="R","VT REJETÉ – À REPRENDRE",IF(OR(AL1088="CO",AL1088="NT"),"COUPE – À RESOUDER","À RÉPARER"))))))))))</f>
        <v/>
      </c>
      <c r="AN1088" s="81" t="str">
        <f aca="false">IF(AND(ISNUMBER(R1088),OR(AM1088="À RADIOGRAPHIER",AM1088="RÉPARÉ – À RADIOGRAPHIER",AM1088="NX – RT À REFAIRE",AM1088="À RÉPARER",AM1088="COUPE – À RESOUDER",AM1088="VT REJETÉ – À REPRENDRE")),MAX(0,'PROGRAMME RT'!$C$4-R1088),"")</f>
        <v/>
      </c>
      <c r="AO1088" s="78" t="n">
        <f aca="false">IF(AND(OR(AM1088="À RADIOGRAPHIER",AM1088="RÉPARÉ – À RADIOGRAPHIER",AM1088="NX – RT À REFAIRE"),OR('PROGRAMME RT'!$D$5="TOUTES",B1088='PROGRAMME RT'!$D$5)),1,0)</f>
        <v>0</v>
      </c>
      <c r="AP1088" s="78" t="str">
        <f aca="false">IF(AO1088=1,SUM(AO$7:AO1088),"")</f>
        <v/>
      </c>
      <c r="AQ1088" s="78" t="n">
        <f aca="false">IF(AND(OR(X1088="R",X1088="NX",X1088="NT",X1088="CO"),OR('JOINTS DE RÉPARATION'!$D$5="TOUTES",B1088='JOINTS DE RÉPARATION'!$D$5),OR('JOINTS DE RÉPARATION'!$L$4="TOUS",AM1088&lt;&gt;"ACCEPTÉ")),1,0)</f>
        <v>0</v>
      </c>
      <c r="AR1088" s="78" t="str">
        <f aca="false">IF(AQ1088=1,SUM(AQ$7:AQ1088),"")</f>
        <v/>
      </c>
    </row>
    <row r="1089" customFormat="false" ht="15" hidden="false" customHeight="false" outlineLevel="0" collapsed="false">
      <c r="A1089" s="78" t="str">
        <f aca="false">IF(E1089="","",ROW()-6)</f>
        <v/>
      </c>
      <c r="B1089" s="79"/>
      <c r="C1089" s="80"/>
      <c r="D1089" s="80"/>
      <c r="E1089" s="80"/>
      <c r="F1089" s="80"/>
      <c r="G1089" s="80"/>
      <c r="H1089" s="80"/>
      <c r="I1089" s="80"/>
      <c r="J1089" s="80"/>
      <c r="K1089" s="80"/>
      <c r="L1089" s="81" t="str">
        <f aca="false">IF(K1089="","",IFERROR(INDEX(BARDAGE!$C$7:$C$1506,MATCH(K1089,BARDAGE!$B$7:$B$1506,0)),"? hors registre"))</f>
        <v/>
      </c>
      <c r="M1089" s="80"/>
      <c r="N1089" s="81" t="str">
        <f aca="false">IF(M1089="","",IFERROR(INDEX(BARDAGE!$C$7:$C$1506,MATCH(M1089,BARDAGE!$B$7:$B$1506,0)),"? hors registre"))</f>
        <v/>
      </c>
      <c r="O1089" s="80"/>
      <c r="P1089" s="80"/>
      <c r="Q1089" s="80"/>
      <c r="R1089" s="82"/>
      <c r="S1089" s="82"/>
      <c r="T1089" s="80"/>
      <c r="U1089" s="80"/>
      <c r="V1089" s="82"/>
      <c r="W1089" s="80"/>
      <c r="X1089" s="80"/>
      <c r="Y1089" s="80"/>
      <c r="Z1089" s="80"/>
      <c r="AA1089" s="82"/>
      <c r="AB1089" s="80"/>
      <c r="AC1089" s="80"/>
      <c r="AD1089" s="80"/>
      <c r="AE1089" s="80"/>
      <c r="AF1089" s="82"/>
      <c r="AG1089" s="80"/>
      <c r="AH1089" s="80"/>
      <c r="AI1089" s="82"/>
      <c r="AJ1089" s="79"/>
      <c r="AK1089" s="78" t="str">
        <f aca="false">IF(E1089="","",(X1089&lt;&gt;"")+(AC1089&lt;&gt;"")+(AH1089&lt;&gt;""))</f>
        <v/>
      </c>
      <c r="AL1089" s="81" t="str">
        <f aca="false">IF(AH1089&lt;&gt;"",AH1089,IF(AC1089&lt;&gt;"",AC1089,IF(X1089&lt;&gt;"",X1089,"")))</f>
        <v/>
      </c>
      <c r="AM1089" s="83" t="str">
        <f aca="false">IF(E1089="","",IF(R1089="","À SOUDER",IF(U1089="","VT EN ATTENTE",IF(U1089="R","VT REJETÉ – À REPRENDRE",IF(AL1089="","À RADIOGRAPHIER",IF(AL1089="A","ACCEPTÉ",IF(AL1089="NX","NX – RT À REFAIRE",IF(IF(AK1089=1,Z1089,IF(AK1089=2,AE1089,""))="A","RÉPARÉ – À RADIOGRAPHIER",IF(IF(AK1089=1,Z1089,IF(AK1089=2,AE1089,""))="R","VT REJETÉ – À REPRENDRE",IF(OR(AL1089="CO",AL1089="NT"),"COUPE – À RESOUDER","À RÉPARER"))))))))))</f>
        <v/>
      </c>
      <c r="AN1089" s="81" t="str">
        <f aca="false">IF(AND(ISNUMBER(R1089),OR(AM1089="À RADIOGRAPHIER",AM1089="RÉPARÉ – À RADIOGRAPHIER",AM1089="NX – RT À REFAIRE",AM1089="À RÉPARER",AM1089="COUPE – À RESOUDER",AM1089="VT REJETÉ – À REPRENDRE")),MAX(0,'PROGRAMME RT'!$C$4-R1089),"")</f>
        <v/>
      </c>
      <c r="AO1089" s="78" t="n">
        <f aca="false">IF(AND(OR(AM1089="À RADIOGRAPHIER",AM1089="RÉPARÉ – À RADIOGRAPHIER",AM1089="NX – RT À REFAIRE"),OR('PROGRAMME RT'!$D$5="TOUTES",B1089='PROGRAMME RT'!$D$5)),1,0)</f>
        <v>0</v>
      </c>
      <c r="AP1089" s="78" t="str">
        <f aca="false">IF(AO1089=1,SUM(AO$7:AO1089),"")</f>
        <v/>
      </c>
      <c r="AQ1089" s="78" t="n">
        <f aca="false">IF(AND(OR(X1089="R",X1089="NX",X1089="NT",X1089="CO"),OR('JOINTS DE RÉPARATION'!$D$5="TOUTES",B1089='JOINTS DE RÉPARATION'!$D$5),OR('JOINTS DE RÉPARATION'!$L$4="TOUS",AM1089&lt;&gt;"ACCEPTÉ")),1,0)</f>
        <v>0</v>
      </c>
      <c r="AR1089" s="78" t="str">
        <f aca="false">IF(AQ1089=1,SUM(AQ$7:AQ1089),"")</f>
        <v/>
      </c>
    </row>
    <row r="1090" customFormat="false" ht="15" hidden="false" customHeight="false" outlineLevel="0" collapsed="false">
      <c r="A1090" s="78" t="str">
        <f aca="false">IF(E1090="","",ROW()-6)</f>
        <v/>
      </c>
      <c r="B1090" s="79"/>
      <c r="C1090" s="80"/>
      <c r="D1090" s="80"/>
      <c r="E1090" s="80"/>
      <c r="F1090" s="80"/>
      <c r="G1090" s="80"/>
      <c r="H1090" s="80"/>
      <c r="I1090" s="80"/>
      <c r="J1090" s="80"/>
      <c r="K1090" s="80"/>
      <c r="L1090" s="81" t="str">
        <f aca="false">IF(K1090="","",IFERROR(INDEX(BARDAGE!$C$7:$C$1506,MATCH(K1090,BARDAGE!$B$7:$B$1506,0)),"? hors registre"))</f>
        <v/>
      </c>
      <c r="M1090" s="80"/>
      <c r="N1090" s="81" t="str">
        <f aca="false">IF(M1090="","",IFERROR(INDEX(BARDAGE!$C$7:$C$1506,MATCH(M1090,BARDAGE!$B$7:$B$1506,0)),"? hors registre"))</f>
        <v/>
      </c>
      <c r="O1090" s="80"/>
      <c r="P1090" s="80"/>
      <c r="Q1090" s="80"/>
      <c r="R1090" s="82"/>
      <c r="S1090" s="82"/>
      <c r="T1090" s="80"/>
      <c r="U1090" s="80"/>
      <c r="V1090" s="82"/>
      <c r="W1090" s="80"/>
      <c r="X1090" s="80"/>
      <c r="Y1090" s="80"/>
      <c r="Z1090" s="80"/>
      <c r="AA1090" s="82"/>
      <c r="AB1090" s="80"/>
      <c r="AC1090" s="80"/>
      <c r="AD1090" s="80"/>
      <c r="AE1090" s="80"/>
      <c r="AF1090" s="82"/>
      <c r="AG1090" s="80"/>
      <c r="AH1090" s="80"/>
      <c r="AI1090" s="82"/>
      <c r="AJ1090" s="79"/>
      <c r="AK1090" s="78" t="str">
        <f aca="false">IF(E1090="","",(X1090&lt;&gt;"")+(AC1090&lt;&gt;"")+(AH1090&lt;&gt;""))</f>
        <v/>
      </c>
      <c r="AL1090" s="81" t="str">
        <f aca="false">IF(AH1090&lt;&gt;"",AH1090,IF(AC1090&lt;&gt;"",AC1090,IF(X1090&lt;&gt;"",X1090,"")))</f>
        <v/>
      </c>
      <c r="AM1090" s="83" t="str">
        <f aca="false">IF(E1090="","",IF(R1090="","À SOUDER",IF(U1090="","VT EN ATTENTE",IF(U1090="R","VT REJETÉ – À REPRENDRE",IF(AL1090="","À RADIOGRAPHIER",IF(AL1090="A","ACCEPTÉ",IF(AL1090="NX","NX – RT À REFAIRE",IF(IF(AK1090=1,Z1090,IF(AK1090=2,AE1090,""))="A","RÉPARÉ – À RADIOGRAPHIER",IF(IF(AK1090=1,Z1090,IF(AK1090=2,AE1090,""))="R","VT REJETÉ – À REPRENDRE",IF(OR(AL1090="CO",AL1090="NT"),"COUPE – À RESOUDER","À RÉPARER"))))))))))</f>
        <v/>
      </c>
      <c r="AN1090" s="81" t="str">
        <f aca="false">IF(AND(ISNUMBER(R1090),OR(AM1090="À RADIOGRAPHIER",AM1090="RÉPARÉ – À RADIOGRAPHIER",AM1090="NX – RT À REFAIRE",AM1090="À RÉPARER",AM1090="COUPE – À RESOUDER",AM1090="VT REJETÉ – À REPRENDRE")),MAX(0,'PROGRAMME RT'!$C$4-R1090),"")</f>
        <v/>
      </c>
      <c r="AO1090" s="78" t="n">
        <f aca="false">IF(AND(OR(AM1090="À RADIOGRAPHIER",AM1090="RÉPARÉ – À RADIOGRAPHIER",AM1090="NX – RT À REFAIRE"),OR('PROGRAMME RT'!$D$5="TOUTES",B1090='PROGRAMME RT'!$D$5)),1,0)</f>
        <v>0</v>
      </c>
      <c r="AP1090" s="78" t="str">
        <f aca="false">IF(AO1090=1,SUM(AO$7:AO1090),"")</f>
        <v/>
      </c>
      <c r="AQ1090" s="78" t="n">
        <f aca="false">IF(AND(OR(X1090="R",X1090="NX",X1090="NT",X1090="CO"),OR('JOINTS DE RÉPARATION'!$D$5="TOUTES",B1090='JOINTS DE RÉPARATION'!$D$5),OR('JOINTS DE RÉPARATION'!$L$4="TOUS",AM1090&lt;&gt;"ACCEPTÉ")),1,0)</f>
        <v>0</v>
      </c>
      <c r="AR1090" s="78" t="str">
        <f aca="false">IF(AQ1090=1,SUM(AQ$7:AQ1090),"")</f>
        <v/>
      </c>
    </row>
    <row r="1091" customFormat="false" ht="15" hidden="false" customHeight="false" outlineLevel="0" collapsed="false">
      <c r="A1091" s="78" t="str">
        <f aca="false">IF(E1091="","",ROW()-6)</f>
        <v/>
      </c>
      <c r="B1091" s="79"/>
      <c r="C1091" s="80"/>
      <c r="D1091" s="80"/>
      <c r="E1091" s="80"/>
      <c r="F1091" s="80"/>
      <c r="G1091" s="80"/>
      <c r="H1091" s="80"/>
      <c r="I1091" s="80"/>
      <c r="J1091" s="80"/>
      <c r="K1091" s="80"/>
      <c r="L1091" s="81" t="str">
        <f aca="false">IF(K1091="","",IFERROR(INDEX(BARDAGE!$C$7:$C$1506,MATCH(K1091,BARDAGE!$B$7:$B$1506,0)),"? hors registre"))</f>
        <v/>
      </c>
      <c r="M1091" s="80"/>
      <c r="N1091" s="81" t="str">
        <f aca="false">IF(M1091="","",IFERROR(INDEX(BARDAGE!$C$7:$C$1506,MATCH(M1091,BARDAGE!$B$7:$B$1506,0)),"? hors registre"))</f>
        <v/>
      </c>
      <c r="O1091" s="80"/>
      <c r="P1091" s="80"/>
      <c r="Q1091" s="80"/>
      <c r="R1091" s="82"/>
      <c r="S1091" s="82"/>
      <c r="T1091" s="80"/>
      <c r="U1091" s="80"/>
      <c r="V1091" s="82"/>
      <c r="W1091" s="80"/>
      <c r="X1091" s="80"/>
      <c r="Y1091" s="80"/>
      <c r="Z1091" s="80"/>
      <c r="AA1091" s="82"/>
      <c r="AB1091" s="80"/>
      <c r="AC1091" s="80"/>
      <c r="AD1091" s="80"/>
      <c r="AE1091" s="80"/>
      <c r="AF1091" s="82"/>
      <c r="AG1091" s="80"/>
      <c r="AH1091" s="80"/>
      <c r="AI1091" s="82"/>
      <c r="AJ1091" s="79"/>
      <c r="AK1091" s="78" t="str">
        <f aca="false">IF(E1091="","",(X1091&lt;&gt;"")+(AC1091&lt;&gt;"")+(AH1091&lt;&gt;""))</f>
        <v/>
      </c>
      <c r="AL1091" s="81" t="str">
        <f aca="false">IF(AH1091&lt;&gt;"",AH1091,IF(AC1091&lt;&gt;"",AC1091,IF(X1091&lt;&gt;"",X1091,"")))</f>
        <v/>
      </c>
      <c r="AM1091" s="83" t="str">
        <f aca="false">IF(E1091="","",IF(R1091="","À SOUDER",IF(U1091="","VT EN ATTENTE",IF(U1091="R","VT REJETÉ – À REPRENDRE",IF(AL1091="","À RADIOGRAPHIER",IF(AL1091="A","ACCEPTÉ",IF(AL1091="NX","NX – RT À REFAIRE",IF(IF(AK1091=1,Z1091,IF(AK1091=2,AE1091,""))="A","RÉPARÉ – À RADIOGRAPHIER",IF(IF(AK1091=1,Z1091,IF(AK1091=2,AE1091,""))="R","VT REJETÉ – À REPRENDRE",IF(OR(AL1091="CO",AL1091="NT"),"COUPE – À RESOUDER","À RÉPARER"))))))))))</f>
        <v/>
      </c>
      <c r="AN1091" s="81" t="str">
        <f aca="false">IF(AND(ISNUMBER(R1091),OR(AM1091="À RADIOGRAPHIER",AM1091="RÉPARÉ – À RADIOGRAPHIER",AM1091="NX – RT À REFAIRE",AM1091="À RÉPARER",AM1091="COUPE – À RESOUDER",AM1091="VT REJETÉ – À REPRENDRE")),MAX(0,'PROGRAMME RT'!$C$4-R1091),"")</f>
        <v/>
      </c>
      <c r="AO1091" s="78" t="n">
        <f aca="false">IF(AND(OR(AM1091="À RADIOGRAPHIER",AM1091="RÉPARÉ – À RADIOGRAPHIER",AM1091="NX – RT À REFAIRE"),OR('PROGRAMME RT'!$D$5="TOUTES",B1091='PROGRAMME RT'!$D$5)),1,0)</f>
        <v>0</v>
      </c>
      <c r="AP1091" s="78" t="str">
        <f aca="false">IF(AO1091=1,SUM(AO$7:AO1091),"")</f>
        <v/>
      </c>
      <c r="AQ1091" s="78" t="n">
        <f aca="false">IF(AND(OR(X1091="R",X1091="NX",X1091="NT",X1091="CO"),OR('JOINTS DE RÉPARATION'!$D$5="TOUTES",B1091='JOINTS DE RÉPARATION'!$D$5),OR('JOINTS DE RÉPARATION'!$L$4="TOUS",AM1091&lt;&gt;"ACCEPTÉ")),1,0)</f>
        <v>0</v>
      </c>
      <c r="AR1091" s="78" t="str">
        <f aca="false">IF(AQ1091=1,SUM(AQ$7:AQ1091),"")</f>
        <v/>
      </c>
    </row>
    <row r="1092" customFormat="false" ht="15" hidden="false" customHeight="false" outlineLevel="0" collapsed="false">
      <c r="A1092" s="78" t="str">
        <f aca="false">IF(E1092="","",ROW()-6)</f>
        <v/>
      </c>
      <c r="B1092" s="79"/>
      <c r="C1092" s="80"/>
      <c r="D1092" s="80"/>
      <c r="E1092" s="80"/>
      <c r="F1092" s="80"/>
      <c r="G1092" s="80"/>
      <c r="H1092" s="80"/>
      <c r="I1092" s="80"/>
      <c r="J1092" s="80"/>
      <c r="K1092" s="80"/>
      <c r="L1092" s="81" t="str">
        <f aca="false">IF(K1092="","",IFERROR(INDEX(BARDAGE!$C$7:$C$1506,MATCH(K1092,BARDAGE!$B$7:$B$1506,0)),"? hors registre"))</f>
        <v/>
      </c>
      <c r="M1092" s="80"/>
      <c r="N1092" s="81" t="str">
        <f aca="false">IF(M1092="","",IFERROR(INDEX(BARDAGE!$C$7:$C$1506,MATCH(M1092,BARDAGE!$B$7:$B$1506,0)),"? hors registre"))</f>
        <v/>
      </c>
      <c r="O1092" s="80"/>
      <c r="P1092" s="80"/>
      <c r="Q1092" s="80"/>
      <c r="R1092" s="82"/>
      <c r="S1092" s="82"/>
      <c r="T1092" s="80"/>
      <c r="U1092" s="80"/>
      <c r="V1092" s="82"/>
      <c r="W1092" s="80"/>
      <c r="X1092" s="80"/>
      <c r="Y1092" s="80"/>
      <c r="Z1092" s="80"/>
      <c r="AA1092" s="82"/>
      <c r="AB1092" s="80"/>
      <c r="AC1092" s="80"/>
      <c r="AD1092" s="80"/>
      <c r="AE1092" s="80"/>
      <c r="AF1092" s="82"/>
      <c r="AG1092" s="80"/>
      <c r="AH1092" s="80"/>
      <c r="AI1092" s="82"/>
      <c r="AJ1092" s="79"/>
      <c r="AK1092" s="78" t="str">
        <f aca="false">IF(E1092="","",(X1092&lt;&gt;"")+(AC1092&lt;&gt;"")+(AH1092&lt;&gt;""))</f>
        <v/>
      </c>
      <c r="AL1092" s="81" t="str">
        <f aca="false">IF(AH1092&lt;&gt;"",AH1092,IF(AC1092&lt;&gt;"",AC1092,IF(X1092&lt;&gt;"",X1092,"")))</f>
        <v/>
      </c>
      <c r="AM1092" s="83" t="str">
        <f aca="false">IF(E1092="","",IF(R1092="","À SOUDER",IF(U1092="","VT EN ATTENTE",IF(U1092="R","VT REJETÉ – À REPRENDRE",IF(AL1092="","À RADIOGRAPHIER",IF(AL1092="A","ACCEPTÉ",IF(AL1092="NX","NX – RT À REFAIRE",IF(IF(AK1092=1,Z1092,IF(AK1092=2,AE1092,""))="A","RÉPARÉ – À RADIOGRAPHIER",IF(IF(AK1092=1,Z1092,IF(AK1092=2,AE1092,""))="R","VT REJETÉ – À REPRENDRE",IF(OR(AL1092="CO",AL1092="NT"),"COUPE – À RESOUDER","À RÉPARER"))))))))))</f>
        <v/>
      </c>
      <c r="AN1092" s="81" t="str">
        <f aca="false">IF(AND(ISNUMBER(R1092),OR(AM1092="À RADIOGRAPHIER",AM1092="RÉPARÉ – À RADIOGRAPHIER",AM1092="NX – RT À REFAIRE",AM1092="À RÉPARER",AM1092="COUPE – À RESOUDER",AM1092="VT REJETÉ – À REPRENDRE")),MAX(0,'PROGRAMME RT'!$C$4-R1092),"")</f>
        <v/>
      </c>
      <c r="AO1092" s="78" t="n">
        <f aca="false">IF(AND(OR(AM1092="À RADIOGRAPHIER",AM1092="RÉPARÉ – À RADIOGRAPHIER",AM1092="NX – RT À REFAIRE"),OR('PROGRAMME RT'!$D$5="TOUTES",B1092='PROGRAMME RT'!$D$5)),1,0)</f>
        <v>0</v>
      </c>
      <c r="AP1092" s="78" t="str">
        <f aca="false">IF(AO1092=1,SUM(AO$7:AO1092),"")</f>
        <v/>
      </c>
      <c r="AQ1092" s="78" t="n">
        <f aca="false">IF(AND(OR(X1092="R",X1092="NX",X1092="NT",X1092="CO"),OR('JOINTS DE RÉPARATION'!$D$5="TOUTES",B1092='JOINTS DE RÉPARATION'!$D$5),OR('JOINTS DE RÉPARATION'!$L$4="TOUS",AM1092&lt;&gt;"ACCEPTÉ")),1,0)</f>
        <v>0</v>
      </c>
      <c r="AR1092" s="78" t="str">
        <f aca="false">IF(AQ1092=1,SUM(AQ$7:AQ1092),"")</f>
        <v/>
      </c>
    </row>
    <row r="1093" customFormat="false" ht="15" hidden="false" customHeight="false" outlineLevel="0" collapsed="false">
      <c r="A1093" s="78" t="str">
        <f aca="false">IF(E1093="","",ROW()-6)</f>
        <v/>
      </c>
      <c r="B1093" s="79"/>
      <c r="C1093" s="80"/>
      <c r="D1093" s="80"/>
      <c r="E1093" s="80"/>
      <c r="F1093" s="80"/>
      <c r="G1093" s="80"/>
      <c r="H1093" s="80"/>
      <c r="I1093" s="80"/>
      <c r="J1093" s="80"/>
      <c r="K1093" s="80"/>
      <c r="L1093" s="81" t="str">
        <f aca="false">IF(K1093="","",IFERROR(INDEX(BARDAGE!$C$7:$C$1506,MATCH(K1093,BARDAGE!$B$7:$B$1506,0)),"? hors registre"))</f>
        <v/>
      </c>
      <c r="M1093" s="80"/>
      <c r="N1093" s="81" t="str">
        <f aca="false">IF(M1093="","",IFERROR(INDEX(BARDAGE!$C$7:$C$1506,MATCH(M1093,BARDAGE!$B$7:$B$1506,0)),"? hors registre"))</f>
        <v/>
      </c>
      <c r="O1093" s="80"/>
      <c r="P1093" s="80"/>
      <c r="Q1093" s="80"/>
      <c r="R1093" s="82"/>
      <c r="S1093" s="82"/>
      <c r="T1093" s="80"/>
      <c r="U1093" s="80"/>
      <c r="V1093" s="82"/>
      <c r="W1093" s="80"/>
      <c r="X1093" s="80"/>
      <c r="Y1093" s="80"/>
      <c r="Z1093" s="80"/>
      <c r="AA1093" s="82"/>
      <c r="AB1093" s="80"/>
      <c r="AC1093" s="80"/>
      <c r="AD1093" s="80"/>
      <c r="AE1093" s="80"/>
      <c r="AF1093" s="82"/>
      <c r="AG1093" s="80"/>
      <c r="AH1093" s="80"/>
      <c r="AI1093" s="82"/>
      <c r="AJ1093" s="79"/>
      <c r="AK1093" s="78" t="str">
        <f aca="false">IF(E1093="","",(X1093&lt;&gt;"")+(AC1093&lt;&gt;"")+(AH1093&lt;&gt;""))</f>
        <v/>
      </c>
      <c r="AL1093" s="81" t="str">
        <f aca="false">IF(AH1093&lt;&gt;"",AH1093,IF(AC1093&lt;&gt;"",AC1093,IF(X1093&lt;&gt;"",X1093,"")))</f>
        <v/>
      </c>
      <c r="AM1093" s="83" t="str">
        <f aca="false">IF(E1093="","",IF(R1093="","À SOUDER",IF(U1093="","VT EN ATTENTE",IF(U1093="R","VT REJETÉ – À REPRENDRE",IF(AL1093="","À RADIOGRAPHIER",IF(AL1093="A","ACCEPTÉ",IF(AL1093="NX","NX – RT À REFAIRE",IF(IF(AK1093=1,Z1093,IF(AK1093=2,AE1093,""))="A","RÉPARÉ – À RADIOGRAPHIER",IF(IF(AK1093=1,Z1093,IF(AK1093=2,AE1093,""))="R","VT REJETÉ – À REPRENDRE",IF(OR(AL1093="CO",AL1093="NT"),"COUPE – À RESOUDER","À RÉPARER"))))))))))</f>
        <v/>
      </c>
      <c r="AN1093" s="81" t="str">
        <f aca="false">IF(AND(ISNUMBER(R1093),OR(AM1093="À RADIOGRAPHIER",AM1093="RÉPARÉ – À RADIOGRAPHIER",AM1093="NX – RT À REFAIRE",AM1093="À RÉPARER",AM1093="COUPE – À RESOUDER",AM1093="VT REJETÉ – À REPRENDRE")),MAX(0,'PROGRAMME RT'!$C$4-R1093),"")</f>
        <v/>
      </c>
      <c r="AO1093" s="78" t="n">
        <f aca="false">IF(AND(OR(AM1093="À RADIOGRAPHIER",AM1093="RÉPARÉ – À RADIOGRAPHIER",AM1093="NX – RT À REFAIRE"),OR('PROGRAMME RT'!$D$5="TOUTES",B1093='PROGRAMME RT'!$D$5)),1,0)</f>
        <v>0</v>
      </c>
      <c r="AP1093" s="78" t="str">
        <f aca="false">IF(AO1093=1,SUM(AO$7:AO1093),"")</f>
        <v/>
      </c>
      <c r="AQ1093" s="78" t="n">
        <f aca="false">IF(AND(OR(X1093="R",X1093="NX",X1093="NT",X1093="CO"),OR('JOINTS DE RÉPARATION'!$D$5="TOUTES",B1093='JOINTS DE RÉPARATION'!$D$5),OR('JOINTS DE RÉPARATION'!$L$4="TOUS",AM1093&lt;&gt;"ACCEPTÉ")),1,0)</f>
        <v>0</v>
      </c>
      <c r="AR1093" s="78" t="str">
        <f aca="false">IF(AQ1093=1,SUM(AQ$7:AQ1093),"")</f>
        <v/>
      </c>
    </row>
    <row r="1094" customFormat="false" ht="15" hidden="false" customHeight="false" outlineLevel="0" collapsed="false">
      <c r="A1094" s="78" t="str">
        <f aca="false">IF(E1094="","",ROW()-6)</f>
        <v/>
      </c>
      <c r="B1094" s="79"/>
      <c r="C1094" s="80"/>
      <c r="D1094" s="80"/>
      <c r="E1094" s="80"/>
      <c r="F1094" s="80"/>
      <c r="G1094" s="80"/>
      <c r="H1094" s="80"/>
      <c r="I1094" s="80"/>
      <c r="J1094" s="80"/>
      <c r="K1094" s="80"/>
      <c r="L1094" s="81" t="str">
        <f aca="false">IF(K1094="","",IFERROR(INDEX(BARDAGE!$C$7:$C$1506,MATCH(K1094,BARDAGE!$B$7:$B$1506,0)),"? hors registre"))</f>
        <v/>
      </c>
      <c r="M1094" s="80"/>
      <c r="N1094" s="81" t="str">
        <f aca="false">IF(M1094="","",IFERROR(INDEX(BARDAGE!$C$7:$C$1506,MATCH(M1094,BARDAGE!$B$7:$B$1506,0)),"? hors registre"))</f>
        <v/>
      </c>
      <c r="O1094" s="80"/>
      <c r="P1094" s="80"/>
      <c r="Q1094" s="80"/>
      <c r="R1094" s="82"/>
      <c r="S1094" s="82"/>
      <c r="T1094" s="80"/>
      <c r="U1094" s="80"/>
      <c r="V1094" s="82"/>
      <c r="W1094" s="80"/>
      <c r="X1094" s="80"/>
      <c r="Y1094" s="80"/>
      <c r="Z1094" s="80"/>
      <c r="AA1094" s="82"/>
      <c r="AB1094" s="80"/>
      <c r="AC1094" s="80"/>
      <c r="AD1094" s="80"/>
      <c r="AE1094" s="80"/>
      <c r="AF1094" s="82"/>
      <c r="AG1094" s="80"/>
      <c r="AH1094" s="80"/>
      <c r="AI1094" s="82"/>
      <c r="AJ1094" s="79"/>
      <c r="AK1094" s="78" t="str">
        <f aca="false">IF(E1094="","",(X1094&lt;&gt;"")+(AC1094&lt;&gt;"")+(AH1094&lt;&gt;""))</f>
        <v/>
      </c>
      <c r="AL1094" s="81" t="str">
        <f aca="false">IF(AH1094&lt;&gt;"",AH1094,IF(AC1094&lt;&gt;"",AC1094,IF(X1094&lt;&gt;"",X1094,"")))</f>
        <v/>
      </c>
      <c r="AM1094" s="83" t="str">
        <f aca="false">IF(E1094="","",IF(R1094="","À SOUDER",IF(U1094="","VT EN ATTENTE",IF(U1094="R","VT REJETÉ – À REPRENDRE",IF(AL1094="","À RADIOGRAPHIER",IF(AL1094="A","ACCEPTÉ",IF(AL1094="NX","NX – RT À REFAIRE",IF(IF(AK1094=1,Z1094,IF(AK1094=2,AE1094,""))="A","RÉPARÉ – À RADIOGRAPHIER",IF(IF(AK1094=1,Z1094,IF(AK1094=2,AE1094,""))="R","VT REJETÉ – À REPRENDRE",IF(OR(AL1094="CO",AL1094="NT"),"COUPE – À RESOUDER","À RÉPARER"))))))))))</f>
        <v/>
      </c>
      <c r="AN1094" s="81" t="str">
        <f aca="false">IF(AND(ISNUMBER(R1094),OR(AM1094="À RADIOGRAPHIER",AM1094="RÉPARÉ – À RADIOGRAPHIER",AM1094="NX – RT À REFAIRE",AM1094="À RÉPARER",AM1094="COUPE – À RESOUDER",AM1094="VT REJETÉ – À REPRENDRE")),MAX(0,'PROGRAMME RT'!$C$4-R1094),"")</f>
        <v/>
      </c>
      <c r="AO1094" s="78" t="n">
        <f aca="false">IF(AND(OR(AM1094="À RADIOGRAPHIER",AM1094="RÉPARÉ – À RADIOGRAPHIER",AM1094="NX – RT À REFAIRE"),OR('PROGRAMME RT'!$D$5="TOUTES",B1094='PROGRAMME RT'!$D$5)),1,0)</f>
        <v>0</v>
      </c>
      <c r="AP1094" s="78" t="str">
        <f aca="false">IF(AO1094=1,SUM(AO$7:AO1094),"")</f>
        <v/>
      </c>
      <c r="AQ1094" s="78" t="n">
        <f aca="false">IF(AND(OR(X1094="R",X1094="NX",X1094="NT",X1094="CO"),OR('JOINTS DE RÉPARATION'!$D$5="TOUTES",B1094='JOINTS DE RÉPARATION'!$D$5),OR('JOINTS DE RÉPARATION'!$L$4="TOUS",AM1094&lt;&gt;"ACCEPTÉ")),1,0)</f>
        <v>0</v>
      </c>
      <c r="AR1094" s="78" t="str">
        <f aca="false">IF(AQ1094=1,SUM(AQ$7:AQ1094),"")</f>
        <v/>
      </c>
    </row>
    <row r="1095" customFormat="false" ht="15" hidden="false" customHeight="false" outlineLevel="0" collapsed="false">
      <c r="A1095" s="78" t="str">
        <f aca="false">IF(E1095="","",ROW()-6)</f>
        <v/>
      </c>
      <c r="B1095" s="79"/>
      <c r="C1095" s="80"/>
      <c r="D1095" s="80"/>
      <c r="E1095" s="80"/>
      <c r="F1095" s="80"/>
      <c r="G1095" s="80"/>
      <c r="H1095" s="80"/>
      <c r="I1095" s="80"/>
      <c r="J1095" s="80"/>
      <c r="K1095" s="80"/>
      <c r="L1095" s="81" t="str">
        <f aca="false">IF(K1095="","",IFERROR(INDEX(BARDAGE!$C$7:$C$1506,MATCH(K1095,BARDAGE!$B$7:$B$1506,0)),"? hors registre"))</f>
        <v/>
      </c>
      <c r="M1095" s="80"/>
      <c r="N1095" s="81" t="str">
        <f aca="false">IF(M1095="","",IFERROR(INDEX(BARDAGE!$C$7:$C$1506,MATCH(M1095,BARDAGE!$B$7:$B$1506,0)),"? hors registre"))</f>
        <v/>
      </c>
      <c r="O1095" s="80"/>
      <c r="P1095" s="80"/>
      <c r="Q1095" s="80"/>
      <c r="R1095" s="82"/>
      <c r="S1095" s="82"/>
      <c r="T1095" s="80"/>
      <c r="U1095" s="80"/>
      <c r="V1095" s="82"/>
      <c r="W1095" s="80"/>
      <c r="X1095" s="80"/>
      <c r="Y1095" s="80"/>
      <c r="Z1095" s="80"/>
      <c r="AA1095" s="82"/>
      <c r="AB1095" s="80"/>
      <c r="AC1095" s="80"/>
      <c r="AD1095" s="80"/>
      <c r="AE1095" s="80"/>
      <c r="AF1095" s="82"/>
      <c r="AG1095" s="80"/>
      <c r="AH1095" s="80"/>
      <c r="AI1095" s="82"/>
      <c r="AJ1095" s="79"/>
      <c r="AK1095" s="78" t="str">
        <f aca="false">IF(E1095="","",(X1095&lt;&gt;"")+(AC1095&lt;&gt;"")+(AH1095&lt;&gt;""))</f>
        <v/>
      </c>
      <c r="AL1095" s="81" t="str">
        <f aca="false">IF(AH1095&lt;&gt;"",AH1095,IF(AC1095&lt;&gt;"",AC1095,IF(X1095&lt;&gt;"",X1095,"")))</f>
        <v/>
      </c>
      <c r="AM1095" s="83" t="str">
        <f aca="false">IF(E1095="","",IF(R1095="","À SOUDER",IF(U1095="","VT EN ATTENTE",IF(U1095="R","VT REJETÉ – À REPRENDRE",IF(AL1095="","À RADIOGRAPHIER",IF(AL1095="A","ACCEPTÉ",IF(AL1095="NX","NX – RT À REFAIRE",IF(IF(AK1095=1,Z1095,IF(AK1095=2,AE1095,""))="A","RÉPARÉ – À RADIOGRAPHIER",IF(IF(AK1095=1,Z1095,IF(AK1095=2,AE1095,""))="R","VT REJETÉ – À REPRENDRE",IF(OR(AL1095="CO",AL1095="NT"),"COUPE – À RESOUDER","À RÉPARER"))))))))))</f>
        <v/>
      </c>
      <c r="AN1095" s="81" t="str">
        <f aca="false">IF(AND(ISNUMBER(R1095),OR(AM1095="À RADIOGRAPHIER",AM1095="RÉPARÉ – À RADIOGRAPHIER",AM1095="NX – RT À REFAIRE",AM1095="À RÉPARER",AM1095="COUPE – À RESOUDER",AM1095="VT REJETÉ – À REPRENDRE")),MAX(0,'PROGRAMME RT'!$C$4-R1095),"")</f>
        <v/>
      </c>
      <c r="AO1095" s="78" t="n">
        <f aca="false">IF(AND(OR(AM1095="À RADIOGRAPHIER",AM1095="RÉPARÉ – À RADIOGRAPHIER",AM1095="NX – RT À REFAIRE"),OR('PROGRAMME RT'!$D$5="TOUTES",B1095='PROGRAMME RT'!$D$5)),1,0)</f>
        <v>0</v>
      </c>
      <c r="AP1095" s="78" t="str">
        <f aca="false">IF(AO1095=1,SUM(AO$7:AO1095),"")</f>
        <v/>
      </c>
      <c r="AQ1095" s="78" t="n">
        <f aca="false">IF(AND(OR(X1095="R",X1095="NX",X1095="NT",X1095="CO"),OR('JOINTS DE RÉPARATION'!$D$5="TOUTES",B1095='JOINTS DE RÉPARATION'!$D$5),OR('JOINTS DE RÉPARATION'!$L$4="TOUS",AM1095&lt;&gt;"ACCEPTÉ")),1,0)</f>
        <v>0</v>
      </c>
      <c r="AR1095" s="78" t="str">
        <f aca="false">IF(AQ1095=1,SUM(AQ$7:AQ1095),"")</f>
        <v/>
      </c>
    </row>
    <row r="1096" customFormat="false" ht="15" hidden="false" customHeight="false" outlineLevel="0" collapsed="false">
      <c r="A1096" s="78" t="str">
        <f aca="false">IF(E1096="","",ROW()-6)</f>
        <v/>
      </c>
      <c r="B1096" s="79"/>
      <c r="C1096" s="80"/>
      <c r="D1096" s="80"/>
      <c r="E1096" s="80"/>
      <c r="F1096" s="80"/>
      <c r="G1096" s="80"/>
      <c r="H1096" s="80"/>
      <c r="I1096" s="80"/>
      <c r="J1096" s="80"/>
      <c r="K1096" s="80"/>
      <c r="L1096" s="81" t="str">
        <f aca="false">IF(K1096="","",IFERROR(INDEX(BARDAGE!$C$7:$C$1506,MATCH(K1096,BARDAGE!$B$7:$B$1506,0)),"? hors registre"))</f>
        <v/>
      </c>
      <c r="M1096" s="80"/>
      <c r="N1096" s="81" t="str">
        <f aca="false">IF(M1096="","",IFERROR(INDEX(BARDAGE!$C$7:$C$1506,MATCH(M1096,BARDAGE!$B$7:$B$1506,0)),"? hors registre"))</f>
        <v/>
      </c>
      <c r="O1096" s="80"/>
      <c r="P1096" s="80"/>
      <c r="Q1096" s="80"/>
      <c r="R1096" s="82"/>
      <c r="S1096" s="82"/>
      <c r="T1096" s="80"/>
      <c r="U1096" s="80"/>
      <c r="V1096" s="82"/>
      <c r="W1096" s="80"/>
      <c r="X1096" s="80"/>
      <c r="Y1096" s="80"/>
      <c r="Z1096" s="80"/>
      <c r="AA1096" s="82"/>
      <c r="AB1096" s="80"/>
      <c r="AC1096" s="80"/>
      <c r="AD1096" s="80"/>
      <c r="AE1096" s="80"/>
      <c r="AF1096" s="82"/>
      <c r="AG1096" s="80"/>
      <c r="AH1096" s="80"/>
      <c r="AI1096" s="82"/>
      <c r="AJ1096" s="79"/>
      <c r="AK1096" s="78" t="str">
        <f aca="false">IF(E1096="","",(X1096&lt;&gt;"")+(AC1096&lt;&gt;"")+(AH1096&lt;&gt;""))</f>
        <v/>
      </c>
      <c r="AL1096" s="81" t="str">
        <f aca="false">IF(AH1096&lt;&gt;"",AH1096,IF(AC1096&lt;&gt;"",AC1096,IF(X1096&lt;&gt;"",X1096,"")))</f>
        <v/>
      </c>
      <c r="AM1096" s="83" t="str">
        <f aca="false">IF(E1096="","",IF(R1096="","À SOUDER",IF(U1096="","VT EN ATTENTE",IF(U1096="R","VT REJETÉ – À REPRENDRE",IF(AL1096="","À RADIOGRAPHIER",IF(AL1096="A","ACCEPTÉ",IF(AL1096="NX","NX – RT À REFAIRE",IF(IF(AK1096=1,Z1096,IF(AK1096=2,AE1096,""))="A","RÉPARÉ – À RADIOGRAPHIER",IF(IF(AK1096=1,Z1096,IF(AK1096=2,AE1096,""))="R","VT REJETÉ – À REPRENDRE",IF(OR(AL1096="CO",AL1096="NT"),"COUPE – À RESOUDER","À RÉPARER"))))))))))</f>
        <v/>
      </c>
      <c r="AN1096" s="81" t="str">
        <f aca="false">IF(AND(ISNUMBER(R1096),OR(AM1096="À RADIOGRAPHIER",AM1096="RÉPARÉ – À RADIOGRAPHIER",AM1096="NX – RT À REFAIRE",AM1096="À RÉPARER",AM1096="COUPE – À RESOUDER",AM1096="VT REJETÉ – À REPRENDRE")),MAX(0,'PROGRAMME RT'!$C$4-R1096),"")</f>
        <v/>
      </c>
      <c r="AO1096" s="78" t="n">
        <f aca="false">IF(AND(OR(AM1096="À RADIOGRAPHIER",AM1096="RÉPARÉ – À RADIOGRAPHIER",AM1096="NX – RT À REFAIRE"),OR('PROGRAMME RT'!$D$5="TOUTES",B1096='PROGRAMME RT'!$D$5)),1,0)</f>
        <v>0</v>
      </c>
      <c r="AP1096" s="78" t="str">
        <f aca="false">IF(AO1096=1,SUM(AO$7:AO1096),"")</f>
        <v/>
      </c>
      <c r="AQ1096" s="78" t="n">
        <f aca="false">IF(AND(OR(X1096="R",X1096="NX",X1096="NT",X1096="CO"),OR('JOINTS DE RÉPARATION'!$D$5="TOUTES",B1096='JOINTS DE RÉPARATION'!$D$5),OR('JOINTS DE RÉPARATION'!$L$4="TOUS",AM1096&lt;&gt;"ACCEPTÉ")),1,0)</f>
        <v>0</v>
      </c>
      <c r="AR1096" s="78" t="str">
        <f aca="false">IF(AQ1096=1,SUM(AQ$7:AQ1096),"")</f>
        <v/>
      </c>
    </row>
    <row r="1097" customFormat="false" ht="15" hidden="false" customHeight="false" outlineLevel="0" collapsed="false">
      <c r="A1097" s="78" t="str">
        <f aca="false">IF(E1097="","",ROW()-6)</f>
        <v/>
      </c>
      <c r="B1097" s="79"/>
      <c r="C1097" s="80"/>
      <c r="D1097" s="80"/>
      <c r="E1097" s="80"/>
      <c r="F1097" s="80"/>
      <c r="G1097" s="80"/>
      <c r="H1097" s="80"/>
      <c r="I1097" s="80"/>
      <c r="J1097" s="80"/>
      <c r="K1097" s="80"/>
      <c r="L1097" s="81" t="str">
        <f aca="false">IF(K1097="","",IFERROR(INDEX(BARDAGE!$C$7:$C$1506,MATCH(K1097,BARDAGE!$B$7:$B$1506,0)),"? hors registre"))</f>
        <v/>
      </c>
      <c r="M1097" s="80"/>
      <c r="N1097" s="81" t="str">
        <f aca="false">IF(M1097="","",IFERROR(INDEX(BARDAGE!$C$7:$C$1506,MATCH(M1097,BARDAGE!$B$7:$B$1506,0)),"? hors registre"))</f>
        <v/>
      </c>
      <c r="O1097" s="80"/>
      <c r="P1097" s="80"/>
      <c r="Q1097" s="80"/>
      <c r="R1097" s="82"/>
      <c r="S1097" s="82"/>
      <c r="T1097" s="80"/>
      <c r="U1097" s="80"/>
      <c r="V1097" s="82"/>
      <c r="W1097" s="80"/>
      <c r="X1097" s="80"/>
      <c r="Y1097" s="80"/>
      <c r="Z1097" s="80"/>
      <c r="AA1097" s="82"/>
      <c r="AB1097" s="80"/>
      <c r="AC1097" s="80"/>
      <c r="AD1097" s="80"/>
      <c r="AE1097" s="80"/>
      <c r="AF1097" s="82"/>
      <c r="AG1097" s="80"/>
      <c r="AH1097" s="80"/>
      <c r="AI1097" s="82"/>
      <c r="AJ1097" s="79"/>
      <c r="AK1097" s="78" t="str">
        <f aca="false">IF(E1097="","",(X1097&lt;&gt;"")+(AC1097&lt;&gt;"")+(AH1097&lt;&gt;""))</f>
        <v/>
      </c>
      <c r="AL1097" s="81" t="str">
        <f aca="false">IF(AH1097&lt;&gt;"",AH1097,IF(AC1097&lt;&gt;"",AC1097,IF(X1097&lt;&gt;"",X1097,"")))</f>
        <v/>
      </c>
      <c r="AM1097" s="83" t="str">
        <f aca="false">IF(E1097="","",IF(R1097="","À SOUDER",IF(U1097="","VT EN ATTENTE",IF(U1097="R","VT REJETÉ – À REPRENDRE",IF(AL1097="","À RADIOGRAPHIER",IF(AL1097="A","ACCEPTÉ",IF(AL1097="NX","NX – RT À REFAIRE",IF(IF(AK1097=1,Z1097,IF(AK1097=2,AE1097,""))="A","RÉPARÉ – À RADIOGRAPHIER",IF(IF(AK1097=1,Z1097,IF(AK1097=2,AE1097,""))="R","VT REJETÉ – À REPRENDRE",IF(OR(AL1097="CO",AL1097="NT"),"COUPE – À RESOUDER","À RÉPARER"))))))))))</f>
        <v/>
      </c>
      <c r="AN1097" s="81" t="str">
        <f aca="false">IF(AND(ISNUMBER(R1097),OR(AM1097="À RADIOGRAPHIER",AM1097="RÉPARÉ – À RADIOGRAPHIER",AM1097="NX – RT À REFAIRE",AM1097="À RÉPARER",AM1097="COUPE – À RESOUDER",AM1097="VT REJETÉ – À REPRENDRE")),MAX(0,'PROGRAMME RT'!$C$4-R1097),"")</f>
        <v/>
      </c>
      <c r="AO1097" s="78" t="n">
        <f aca="false">IF(AND(OR(AM1097="À RADIOGRAPHIER",AM1097="RÉPARÉ – À RADIOGRAPHIER",AM1097="NX – RT À REFAIRE"),OR('PROGRAMME RT'!$D$5="TOUTES",B1097='PROGRAMME RT'!$D$5)),1,0)</f>
        <v>0</v>
      </c>
      <c r="AP1097" s="78" t="str">
        <f aca="false">IF(AO1097=1,SUM(AO$7:AO1097),"")</f>
        <v/>
      </c>
      <c r="AQ1097" s="78" t="n">
        <f aca="false">IF(AND(OR(X1097="R",X1097="NX",X1097="NT",X1097="CO"),OR('JOINTS DE RÉPARATION'!$D$5="TOUTES",B1097='JOINTS DE RÉPARATION'!$D$5),OR('JOINTS DE RÉPARATION'!$L$4="TOUS",AM1097&lt;&gt;"ACCEPTÉ")),1,0)</f>
        <v>0</v>
      </c>
      <c r="AR1097" s="78" t="str">
        <f aca="false">IF(AQ1097=1,SUM(AQ$7:AQ1097),"")</f>
        <v/>
      </c>
    </row>
    <row r="1098" customFormat="false" ht="15" hidden="false" customHeight="false" outlineLevel="0" collapsed="false">
      <c r="A1098" s="78" t="str">
        <f aca="false">IF(E1098="","",ROW()-6)</f>
        <v/>
      </c>
      <c r="B1098" s="79"/>
      <c r="C1098" s="80"/>
      <c r="D1098" s="80"/>
      <c r="E1098" s="80"/>
      <c r="F1098" s="80"/>
      <c r="G1098" s="80"/>
      <c r="H1098" s="80"/>
      <c r="I1098" s="80"/>
      <c r="J1098" s="80"/>
      <c r="K1098" s="80"/>
      <c r="L1098" s="81" t="str">
        <f aca="false">IF(K1098="","",IFERROR(INDEX(BARDAGE!$C$7:$C$1506,MATCH(K1098,BARDAGE!$B$7:$B$1506,0)),"? hors registre"))</f>
        <v/>
      </c>
      <c r="M1098" s="80"/>
      <c r="N1098" s="81" t="str">
        <f aca="false">IF(M1098="","",IFERROR(INDEX(BARDAGE!$C$7:$C$1506,MATCH(M1098,BARDAGE!$B$7:$B$1506,0)),"? hors registre"))</f>
        <v/>
      </c>
      <c r="O1098" s="80"/>
      <c r="P1098" s="80"/>
      <c r="Q1098" s="80"/>
      <c r="R1098" s="82"/>
      <c r="S1098" s="82"/>
      <c r="T1098" s="80"/>
      <c r="U1098" s="80"/>
      <c r="V1098" s="82"/>
      <c r="W1098" s="80"/>
      <c r="X1098" s="80"/>
      <c r="Y1098" s="80"/>
      <c r="Z1098" s="80"/>
      <c r="AA1098" s="82"/>
      <c r="AB1098" s="80"/>
      <c r="AC1098" s="80"/>
      <c r="AD1098" s="80"/>
      <c r="AE1098" s="80"/>
      <c r="AF1098" s="82"/>
      <c r="AG1098" s="80"/>
      <c r="AH1098" s="80"/>
      <c r="AI1098" s="82"/>
      <c r="AJ1098" s="79"/>
      <c r="AK1098" s="78" t="str">
        <f aca="false">IF(E1098="","",(X1098&lt;&gt;"")+(AC1098&lt;&gt;"")+(AH1098&lt;&gt;""))</f>
        <v/>
      </c>
      <c r="AL1098" s="81" t="str">
        <f aca="false">IF(AH1098&lt;&gt;"",AH1098,IF(AC1098&lt;&gt;"",AC1098,IF(X1098&lt;&gt;"",X1098,"")))</f>
        <v/>
      </c>
      <c r="AM1098" s="83" t="str">
        <f aca="false">IF(E1098="","",IF(R1098="","À SOUDER",IF(U1098="","VT EN ATTENTE",IF(U1098="R","VT REJETÉ – À REPRENDRE",IF(AL1098="","À RADIOGRAPHIER",IF(AL1098="A","ACCEPTÉ",IF(AL1098="NX","NX – RT À REFAIRE",IF(IF(AK1098=1,Z1098,IF(AK1098=2,AE1098,""))="A","RÉPARÉ – À RADIOGRAPHIER",IF(IF(AK1098=1,Z1098,IF(AK1098=2,AE1098,""))="R","VT REJETÉ – À REPRENDRE",IF(OR(AL1098="CO",AL1098="NT"),"COUPE – À RESOUDER","À RÉPARER"))))))))))</f>
        <v/>
      </c>
      <c r="AN1098" s="81" t="str">
        <f aca="false">IF(AND(ISNUMBER(R1098),OR(AM1098="À RADIOGRAPHIER",AM1098="RÉPARÉ – À RADIOGRAPHIER",AM1098="NX – RT À REFAIRE",AM1098="À RÉPARER",AM1098="COUPE – À RESOUDER",AM1098="VT REJETÉ – À REPRENDRE")),MAX(0,'PROGRAMME RT'!$C$4-R1098),"")</f>
        <v/>
      </c>
      <c r="AO1098" s="78" t="n">
        <f aca="false">IF(AND(OR(AM1098="À RADIOGRAPHIER",AM1098="RÉPARÉ – À RADIOGRAPHIER",AM1098="NX – RT À REFAIRE"),OR('PROGRAMME RT'!$D$5="TOUTES",B1098='PROGRAMME RT'!$D$5)),1,0)</f>
        <v>0</v>
      </c>
      <c r="AP1098" s="78" t="str">
        <f aca="false">IF(AO1098=1,SUM(AO$7:AO1098),"")</f>
        <v/>
      </c>
      <c r="AQ1098" s="78" t="n">
        <f aca="false">IF(AND(OR(X1098="R",X1098="NX",X1098="NT",X1098="CO"),OR('JOINTS DE RÉPARATION'!$D$5="TOUTES",B1098='JOINTS DE RÉPARATION'!$D$5),OR('JOINTS DE RÉPARATION'!$L$4="TOUS",AM1098&lt;&gt;"ACCEPTÉ")),1,0)</f>
        <v>0</v>
      </c>
      <c r="AR1098" s="78" t="str">
        <f aca="false">IF(AQ1098=1,SUM(AQ$7:AQ1098),"")</f>
        <v/>
      </c>
    </row>
    <row r="1099" customFormat="false" ht="15" hidden="false" customHeight="false" outlineLevel="0" collapsed="false">
      <c r="A1099" s="78" t="str">
        <f aca="false">IF(E1099="","",ROW()-6)</f>
        <v/>
      </c>
      <c r="B1099" s="79"/>
      <c r="C1099" s="80"/>
      <c r="D1099" s="80"/>
      <c r="E1099" s="80"/>
      <c r="F1099" s="80"/>
      <c r="G1099" s="80"/>
      <c r="H1099" s="80"/>
      <c r="I1099" s="80"/>
      <c r="J1099" s="80"/>
      <c r="K1099" s="80"/>
      <c r="L1099" s="81" t="str">
        <f aca="false">IF(K1099="","",IFERROR(INDEX(BARDAGE!$C$7:$C$1506,MATCH(K1099,BARDAGE!$B$7:$B$1506,0)),"? hors registre"))</f>
        <v/>
      </c>
      <c r="M1099" s="80"/>
      <c r="N1099" s="81" t="str">
        <f aca="false">IF(M1099="","",IFERROR(INDEX(BARDAGE!$C$7:$C$1506,MATCH(M1099,BARDAGE!$B$7:$B$1506,0)),"? hors registre"))</f>
        <v/>
      </c>
      <c r="O1099" s="80"/>
      <c r="P1099" s="80"/>
      <c r="Q1099" s="80"/>
      <c r="R1099" s="82"/>
      <c r="S1099" s="82"/>
      <c r="T1099" s="80"/>
      <c r="U1099" s="80"/>
      <c r="V1099" s="82"/>
      <c r="W1099" s="80"/>
      <c r="X1099" s="80"/>
      <c r="Y1099" s="80"/>
      <c r="Z1099" s="80"/>
      <c r="AA1099" s="82"/>
      <c r="AB1099" s="80"/>
      <c r="AC1099" s="80"/>
      <c r="AD1099" s="80"/>
      <c r="AE1099" s="80"/>
      <c r="AF1099" s="82"/>
      <c r="AG1099" s="80"/>
      <c r="AH1099" s="80"/>
      <c r="AI1099" s="82"/>
      <c r="AJ1099" s="79"/>
      <c r="AK1099" s="78" t="str">
        <f aca="false">IF(E1099="","",(X1099&lt;&gt;"")+(AC1099&lt;&gt;"")+(AH1099&lt;&gt;""))</f>
        <v/>
      </c>
      <c r="AL1099" s="81" t="str">
        <f aca="false">IF(AH1099&lt;&gt;"",AH1099,IF(AC1099&lt;&gt;"",AC1099,IF(X1099&lt;&gt;"",X1099,"")))</f>
        <v/>
      </c>
      <c r="AM1099" s="83" t="str">
        <f aca="false">IF(E1099="","",IF(R1099="","À SOUDER",IF(U1099="","VT EN ATTENTE",IF(U1099="R","VT REJETÉ – À REPRENDRE",IF(AL1099="","À RADIOGRAPHIER",IF(AL1099="A","ACCEPTÉ",IF(AL1099="NX","NX – RT À REFAIRE",IF(IF(AK1099=1,Z1099,IF(AK1099=2,AE1099,""))="A","RÉPARÉ – À RADIOGRAPHIER",IF(IF(AK1099=1,Z1099,IF(AK1099=2,AE1099,""))="R","VT REJETÉ – À REPRENDRE",IF(OR(AL1099="CO",AL1099="NT"),"COUPE – À RESOUDER","À RÉPARER"))))))))))</f>
        <v/>
      </c>
      <c r="AN1099" s="81" t="str">
        <f aca="false">IF(AND(ISNUMBER(R1099),OR(AM1099="À RADIOGRAPHIER",AM1099="RÉPARÉ – À RADIOGRAPHIER",AM1099="NX – RT À REFAIRE",AM1099="À RÉPARER",AM1099="COUPE – À RESOUDER",AM1099="VT REJETÉ – À REPRENDRE")),MAX(0,'PROGRAMME RT'!$C$4-R1099),"")</f>
        <v/>
      </c>
      <c r="AO1099" s="78" t="n">
        <f aca="false">IF(AND(OR(AM1099="À RADIOGRAPHIER",AM1099="RÉPARÉ – À RADIOGRAPHIER",AM1099="NX – RT À REFAIRE"),OR('PROGRAMME RT'!$D$5="TOUTES",B1099='PROGRAMME RT'!$D$5)),1,0)</f>
        <v>0</v>
      </c>
      <c r="AP1099" s="78" t="str">
        <f aca="false">IF(AO1099=1,SUM(AO$7:AO1099),"")</f>
        <v/>
      </c>
      <c r="AQ1099" s="78" t="n">
        <f aca="false">IF(AND(OR(X1099="R",X1099="NX",X1099="NT",X1099="CO"),OR('JOINTS DE RÉPARATION'!$D$5="TOUTES",B1099='JOINTS DE RÉPARATION'!$D$5),OR('JOINTS DE RÉPARATION'!$L$4="TOUS",AM1099&lt;&gt;"ACCEPTÉ")),1,0)</f>
        <v>0</v>
      </c>
      <c r="AR1099" s="78" t="str">
        <f aca="false">IF(AQ1099=1,SUM(AQ$7:AQ1099),"")</f>
        <v/>
      </c>
    </row>
    <row r="1100" customFormat="false" ht="15" hidden="false" customHeight="false" outlineLevel="0" collapsed="false">
      <c r="A1100" s="78" t="str">
        <f aca="false">IF(E1100="","",ROW()-6)</f>
        <v/>
      </c>
      <c r="B1100" s="79"/>
      <c r="C1100" s="80"/>
      <c r="D1100" s="80"/>
      <c r="E1100" s="80"/>
      <c r="F1100" s="80"/>
      <c r="G1100" s="80"/>
      <c r="H1100" s="80"/>
      <c r="I1100" s="80"/>
      <c r="J1100" s="80"/>
      <c r="K1100" s="80"/>
      <c r="L1100" s="81" t="str">
        <f aca="false">IF(K1100="","",IFERROR(INDEX(BARDAGE!$C$7:$C$1506,MATCH(K1100,BARDAGE!$B$7:$B$1506,0)),"? hors registre"))</f>
        <v/>
      </c>
      <c r="M1100" s="80"/>
      <c r="N1100" s="81" t="str">
        <f aca="false">IF(M1100="","",IFERROR(INDEX(BARDAGE!$C$7:$C$1506,MATCH(M1100,BARDAGE!$B$7:$B$1506,0)),"? hors registre"))</f>
        <v/>
      </c>
      <c r="O1100" s="80"/>
      <c r="P1100" s="80"/>
      <c r="Q1100" s="80"/>
      <c r="R1100" s="82"/>
      <c r="S1100" s="82"/>
      <c r="T1100" s="80"/>
      <c r="U1100" s="80"/>
      <c r="V1100" s="82"/>
      <c r="W1100" s="80"/>
      <c r="X1100" s="80"/>
      <c r="Y1100" s="80"/>
      <c r="Z1100" s="80"/>
      <c r="AA1100" s="82"/>
      <c r="AB1100" s="80"/>
      <c r="AC1100" s="80"/>
      <c r="AD1100" s="80"/>
      <c r="AE1100" s="80"/>
      <c r="AF1100" s="82"/>
      <c r="AG1100" s="80"/>
      <c r="AH1100" s="80"/>
      <c r="AI1100" s="82"/>
      <c r="AJ1100" s="79"/>
      <c r="AK1100" s="78" t="str">
        <f aca="false">IF(E1100="","",(X1100&lt;&gt;"")+(AC1100&lt;&gt;"")+(AH1100&lt;&gt;""))</f>
        <v/>
      </c>
      <c r="AL1100" s="81" t="str">
        <f aca="false">IF(AH1100&lt;&gt;"",AH1100,IF(AC1100&lt;&gt;"",AC1100,IF(X1100&lt;&gt;"",X1100,"")))</f>
        <v/>
      </c>
      <c r="AM1100" s="83" t="str">
        <f aca="false">IF(E1100="","",IF(R1100="","À SOUDER",IF(U1100="","VT EN ATTENTE",IF(U1100="R","VT REJETÉ – À REPRENDRE",IF(AL1100="","À RADIOGRAPHIER",IF(AL1100="A","ACCEPTÉ",IF(AL1100="NX","NX – RT À REFAIRE",IF(IF(AK1100=1,Z1100,IF(AK1100=2,AE1100,""))="A","RÉPARÉ – À RADIOGRAPHIER",IF(IF(AK1100=1,Z1100,IF(AK1100=2,AE1100,""))="R","VT REJETÉ – À REPRENDRE",IF(OR(AL1100="CO",AL1100="NT"),"COUPE – À RESOUDER","À RÉPARER"))))))))))</f>
        <v/>
      </c>
      <c r="AN1100" s="81" t="str">
        <f aca="false">IF(AND(ISNUMBER(R1100),OR(AM1100="À RADIOGRAPHIER",AM1100="RÉPARÉ – À RADIOGRAPHIER",AM1100="NX – RT À REFAIRE",AM1100="À RÉPARER",AM1100="COUPE – À RESOUDER",AM1100="VT REJETÉ – À REPRENDRE")),MAX(0,'PROGRAMME RT'!$C$4-R1100),"")</f>
        <v/>
      </c>
      <c r="AO1100" s="78" t="n">
        <f aca="false">IF(AND(OR(AM1100="À RADIOGRAPHIER",AM1100="RÉPARÉ – À RADIOGRAPHIER",AM1100="NX – RT À REFAIRE"),OR('PROGRAMME RT'!$D$5="TOUTES",B1100='PROGRAMME RT'!$D$5)),1,0)</f>
        <v>0</v>
      </c>
      <c r="AP1100" s="78" t="str">
        <f aca="false">IF(AO1100=1,SUM(AO$7:AO1100),"")</f>
        <v/>
      </c>
      <c r="AQ1100" s="78" t="n">
        <f aca="false">IF(AND(OR(X1100="R",X1100="NX",X1100="NT",X1100="CO"),OR('JOINTS DE RÉPARATION'!$D$5="TOUTES",B1100='JOINTS DE RÉPARATION'!$D$5),OR('JOINTS DE RÉPARATION'!$L$4="TOUS",AM1100&lt;&gt;"ACCEPTÉ")),1,0)</f>
        <v>0</v>
      </c>
      <c r="AR1100" s="78" t="str">
        <f aca="false">IF(AQ1100=1,SUM(AQ$7:AQ1100),"")</f>
        <v/>
      </c>
    </row>
    <row r="1101" customFormat="false" ht="15" hidden="false" customHeight="false" outlineLevel="0" collapsed="false">
      <c r="A1101" s="78" t="str">
        <f aca="false">IF(E1101="","",ROW()-6)</f>
        <v/>
      </c>
      <c r="B1101" s="79"/>
      <c r="C1101" s="80"/>
      <c r="D1101" s="80"/>
      <c r="E1101" s="80"/>
      <c r="F1101" s="80"/>
      <c r="G1101" s="80"/>
      <c r="H1101" s="80"/>
      <c r="I1101" s="80"/>
      <c r="J1101" s="80"/>
      <c r="K1101" s="80"/>
      <c r="L1101" s="81" t="str">
        <f aca="false">IF(K1101="","",IFERROR(INDEX(BARDAGE!$C$7:$C$1506,MATCH(K1101,BARDAGE!$B$7:$B$1506,0)),"? hors registre"))</f>
        <v/>
      </c>
      <c r="M1101" s="80"/>
      <c r="N1101" s="81" t="str">
        <f aca="false">IF(M1101="","",IFERROR(INDEX(BARDAGE!$C$7:$C$1506,MATCH(M1101,BARDAGE!$B$7:$B$1506,0)),"? hors registre"))</f>
        <v/>
      </c>
      <c r="O1101" s="80"/>
      <c r="P1101" s="80"/>
      <c r="Q1101" s="80"/>
      <c r="R1101" s="82"/>
      <c r="S1101" s="82"/>
      <c r="T1101" s="80"/>
      <c r="U1101" s="80"/>
      <c r="V1101" s="82"/>
      <c r="W1101" s="80"/>
      <c r="X1101" s="80"/>
      <c r="Y1101" s="80"/>
      <c r="Z1101" s="80"/>
      <c r="AA1101" s="82"/>
      <c r="AB1101" s="80"/>
      <c r="AC1101" s="80"/>
      <c r="AD1101" s="80"/>
      <c r="AE1101" s="80"/>
      <c r="AF1101" s="82"/>
      <c r="AG1101" s="80"/>
      <c r="AH1101" s="80"/>
      <c r="AI1101" s="82"/>
      <c r="AJ1101" s="79"/>
      <c r="AK1101" s="78" t="str">
        <f aca="false">IF(E1101="","",(X1101&lt;&gt;"")+(AC1101&lt;&gt;"")+(AH1101&lt;&gt;""))</f>
        <v/>
      </c>
      <c r="AL1101" s="81" t="str">
        <f aca="false">IF(AH1101&lt;&gt;"",AH1101,IF(AC1101&lt;&gt;"",AC1101,IF(X1101&lt;&gt;"",X1101,"")))</f>
        <v/>
      </c>
      <c r="AM1101" s="83" t="str">
        <f aca="false">IF(E1101="","",IF(R1101="","À SOUDER",IF(U1101="","VT EN ATTENTE",IF(U1101="R","VT REJETÉ – À REPRENDRE",IF(AL1101="","À RADIOGRAPHIER",IF(AL1101="A","ACCEPTÉ",IF(AL1101="NX","NX – RT À REFAIRE",IF(IF(AK1101=1,Z1101,IF(AK1101=2,AE1101,""))="A","RÉPARÉ – À RADIOGRAPHIER",IF(IF(AK1101=1,Z1101,IF(AK1101=2,AE1101,""))="R","VT REJETÉ – À REPRENDRE",IF(OR(AL1101="CO",AL1101="NT"),"COUPE – À RESOUDER","À RÉPARER"))))))))))</f>
        <v/>
      </c>
      <c r="AN1101" s="81" t="str">
        <f aca="false">IF(AND(ISNUMBER(R1101),OR(AM1101="À RADIOGRAPHIER",AM1101="RÉPARÉ – À RADIOGRAPHIER",AM1101="NX – RT À REFAIRE",AM1101="À RÉPARER",AM1101="COUPE – À RESOUDER",AM1101="VT REJETÉ – À REPRENDRE")),MAX(0,'PROGRAMME RT'!$C$4-R1101),"")</f>
        <v/>
      </c>
      <c r="AO1101" s="78" t="n">
        <f aca="false">IF(AND(OR(AM1101="À RADIOGRAPHIER",AM1101="RÉPARÉ – À RADIOGRAPHIER",AM1101="NX – RT À REFAIRE"),OR('PROGRAMME RT'!$D$5="TOUTES",B1101='PROGRAMME RT'!$D$5)),1,0)</f>
        <v>0</v>
      </c>
      <c r="AP1101" s="78" t="str">
        <f aca="false">IF(AO1101=1,SUM(AO$7:AO1101),"")</f>
        <v/>
      </c>
      <c r="AQ1101" s="78" t="n">
        <f aca="false">IF(AND(OR(X1101="R",X1101="NX",X1101="NT",X1101="CO"),OR('JOINTS DE RÉPARATION'!$D$5="TOUTES",B1101='JOINTS DE RÉPARATION'!$D$5),OR('JOINTS DE RÉPARATION'!$L$4="TOUS",AM1101&lt;&gt;"ACCEPTÉ")),1,0)</f>
        <v>0</v>
      </c>
      <c r="AR1101" s="78" t="str">
        <f aca="false">IF(AQ1101=1,SUM(AQ$7:AQ1101),"")</f>
        <v/>
      </c>
    </row>
    <row r="1102" customFormat="false" ht="15" hidden="false" customHeight="false" outlineLevel="0" collapsed="false">
      <c r="A1102" s="78" t="str">
        <f aca="false">IF(E1102="","",ROW()-6)</f>
        <v/>
      </c>
      <c r="B1102" s="79"/>
      <c r="C1102" s="80"/>
      <c r="D1102" s="80"/>
      <c r="E1102" s="80"/>
      <c r="F1102" s="80"/>
      <c r="G1102" s="80"/>
      <c r="H1102" s="80"/>
      <c r="I1102" s="80"/>
      <c r="J1102" s="80"/>
      <c r="K1102" s="80"/>
      <c r="L1102" s="81" t="str">
        <f aca="false">IF(K1102="","",IFERROR(INDEX(BARDAGE!$C$7:$C$1506,MATCH(K1102,BARDAGE!$B$7:$B$1506,0)),"? hors registre"))</f>
        <v/>
      </c>
      <c r="M1102" s="80"/>
      <c r="N1102" s="81" t="str">
        <f aca="false">IF(M1102="","",IFERROR(INDEX(BARDAGE!$C$7:$C$1506,MATCH(M1102,BARDAGE!$B$7:$B$1506,0)),"? hors registre"))</f>
        <v/>
      </c>
      <c r="O1102" s="80"/>
      <c r="P1102" s="80"/>
      <c r="Q1102" s="80"/>
      <c r="R1102" s="82"/>
      <c r="S1102" s="82"/>
      <c r="T1102" s="80"/>
      <c r="U1102" s="80"/>
      <c r="V1102" s="82"/>
      <c r="W1102" s="80"/>
      <c r="X1102" s="80"/>
      <c r="Y1102" s="80"/>
      <c r="Z1102" s="80"/>
      <c r="AA1102" s="82"/>
      <c r="AB1102" s="80"/>
      <c r="AC1102" s="80"/>
      <c r="AD1102" s="80"/>
      <c r="AE1102" s="80"/>
      <c r="AF1102" s="82"/>
      <c r="AG1102" s="80"/>
      <c r="AH1102" s="80"/>
      <c r="AI1102" s="82"/>
      <c r="AJ1102" s="79"/>
      <c r="AK1102" s="78" t="str">
        <f aca="false">IF(E1102="","",(X1102&lt;&gt;"")+(AC1102&lt;&gt;"")+(AH1102&lt;&gt;""))</f>
        <v/>
      </c>
      <c r="AL1102" s="81" t="str">
        <f aca="false">IF(AH1102&lt;&gt;"",AH1102,IF(AC1102&lt;&gt;"",AC1102,IF(X1102&lt;&gt;"",X1102,"")))</f>
        <v/>
      </c>
      <c r="AM1102" s="83" t="str">
        <f aca="false">IF(E1102="","",IF(R1102="","À SOUDER",IF(U1102="","VT EN ATTENTE",IF(U1102="R","VT REJETÉ – À REPRENDRE",IF(AL1102="","À RADIOGRAPHIER",IF(AL1102="A","ACCEPTÉ",IF(AL1102="NX","NX – RT À REFAIRE",IF(IF(AK1102=1,Z1102,IF(AK1102=2,AE1102,""))="A","RÉPARÉ – À RADIOGRAPHIER",IF(IF(AK1102=1,Z1102,IF(AK1102=2,AE1102,""))="R","VT REJETÉ – À REPRENDRE",IF(OR(AL1102="CO",AL1102="NT"),"COUPE – À RESOUDER","À RÉPARER"))))))))))</f>
        <v/>
      </c>
      <c r="AN1102" s="81" t="str">
        <f aca="false">IF(AND(ISNUMBER(R1102),OR(AM1102="À RADIOGRAPHIER",AM1102="RÉPARÉ – À RADIOGRAPHIER",AM1102="NX – RT À REFAIRE",AM1102="À RÉPARER",AM1102="COUPE – À RESOUDER",AM1102="VT REJETÉ – À REPRENDRE")),MAX(0,'PROGRAMME RT'!$C$4-R1102),"")</f>
        <v/>
      </c>
      <c r="AO1102" s="78" t="n">
        <f aca="false">IF(AND(OR(AM1102="À RADIOGRAPHIER",AM1102="RÉPARÉ – À RADIOGRAPHIER",AM1102="NX – RT À REFAIRE"),OR('PROGRAMME RT'!$D$5="TOUTES",B1102='PROGRAMME RT'!$D$5)),1,0)</f>
        <v>0</v>
      </c>
      <c r="AP1102" s="78" t="str">
        <f aca="false">IF(AO1102=1,SUM(AO$7:AO1102),"")</f>
        <v/>
      </c>
      <c r="AQ1102" s="78" t="n">
        <f aca="false">IF(AND(OR(X1102="R",X1102="NX",X1102="NT",X1102="CO"),OR('JOINTS DE RÉPARATION'!$D$5="TOUTES",B1102='JOINTS DE RÉPARATION'!$D$5),OR('JOINTS DE RÉPARATION'!$L$4="TOUS",AM1102&lt;&gt;"ACCEPTÉ")),1,0)</f>
        <v>0</v>
      </c>
      <c r="AR1102" s="78" t="str">
        <f aca="false">IF(AQ1102=1,SUM(AQ$7:AQ1102),"")</f>
        <v/>
      </c>
    </row>
    <row r="1103" customFormat="false" ht="15" hidden="false" customHeight="false" outlineLevel="0" collapsed="false">
      <c r="A1103" s="78" t="str">
        <f aca="false">IF(E1103="","",ROW()-6)</f>
        <v/>
      </c>
      <c r="B1103" s="79"/>
      <c r="C1103" s="80"/>
      <c r="D1103" s="80"/>
      <c r="E1103" s="80"/>
      <c r="F1103" s="80"/>
      <c r="G1103" s="80"/>
      <c r="H1103" s="80"/>
      <c r="I1103" s="80"/>
      <c r="J1103" s="80"/>
      <c r="K1103" s="80"/>
      <c r="L1103" s="81" t="str">
        <f aca="false">IF(K1103="","",IFERROR(INDEX(BARDAGE!$C$7:$C$1506,MATCH(K1103,BARDAGE!$B$7:$B$1506,0)),"? hors registre"))</f>
        <v/>
      </c>
      <c r="M1103" s="80"/>
      <c r="N1103" s="81" t="str">
        <f aca="false">IF(M1103="","",IFERROR(INDEX(BARDAGE!$C$7:$C$1506,MATCH(M1103,BARDAGE!$B$7:$B$1506,0)),"? hors registre"))</f>
        <v/>
      </c>
      <c r="O1103" s="80"/>
      <c r="P1103" s="80"/>
      <c r="Q1103" s="80"/>
      <c r="R1103" s="82"/>
      <c r="S1103" s="82"/>
      <c r="T1103" s="80"/>
      <c r="U1103" s="80"/>
      <c r="V1103" s="82"/>
      <c r="W1103" s="80"/>
      <c r="X1103" s="80"/>
      <c r="Y1103" s="80"/>
      <c r="Z1103" s="80"/>
      <c r="AA1103" s="82"/>
      <c r="AB1103" s="80"/>
      <c r="AC1103" s="80"/>
      <c r="AD1103" s="80"/>
      <c r="AE1103" s="80"/>
      <c r="AF1103" s="82"/>
      <c r="AG1103" s="80"/>
      <c r="AH1103" s="80"/>
      <c r="AI1103" s="82"/>
      <c r="AJ1103" s="79"/>
      <c r="AK1103" s="78" t="str">
        <f aca="false">IF(E1103="","",(X1103&lt;&gt;"")+(AC1103&lt;&gt;"")+(AH1103&lt;&gt;""))</f>
        <v/>
      </c>
      <c r="AL1103" s="81" t="str">
        <f aca="false">IF(AH1103&lt;&gt;"",AH1103,IF(AC1103&lt;&gt;"",AC1103,IF(X1103&lt;&gt;"",X1103,"")))</f>
        <v/>
      </c>
      <c r="AM1103" s="83" t="str">
        <f aca="false">IF(E1103="","",IF(R1103="","À SOUDER",IF(U1103="","VT EN ATTENTE",IF(U1103="R","VT REJETÉ – À REPRENDRE",IF(AL1103="","À RADIOGRAPHIER",IF(AL1103="A","ACCEPTÉ",IF(AL1103="NX","NX – RT À REFAIRE",IF(IF(AK1103=1,Z1103,IF(AK1103=2,AE1103,""))="A","RÉPARÉ – À RADIOGRAPHIER",IF(IF(AK1103=1,Z1103,IF(AK1103=2,AE1103,""))="R","VT REJETÉ – À REPRENDRE",IF(OR(AL1103="CO",AL1103="NT"),"COUPE – À RESOUDER","À RÉPARER"))))))))))</f>
        <v/>
      </c>
      <c r="AN1103" s="81" t="str">
        <f aca="false">IF(AND(ISNUMBER(R1103),OR(AM1103="À RADIOGRAPHIER",AM1103="RÉPARÉ – À RADIOGRAPHIER",AM1103="NX – RT À REFAIRE",AM1103="À RÉPARER",AM1103="COUPE – À RESOUDER",AM1103="VT REJETÉ – À REPRENDRE")),MAX(0,'PROGRAMME RT'!$C$4-R1103),"")</f>
        <v/>
      </c>
      <c r="AO1103" s="78" t="n">
        <f aca="false">IF(AND(OR(AM1103="À RADIOGRAPHIER",AM1103="RÉPARÉ – À RADIOGRAPHIER",AM1103="NX – RT À REFAIRE"),OR('PROGRAMME RT'!$D$5="TOUTES",B1103='PROGRAMME RT'!$D$5)),1,0)</f>
        <v>0</v>
      </c>
      <c r="AP1103" s="78" t="str">
        <f aca="false">IF(AO1103=1,SUM(AO$7:AO1103),"")</f>
        <v/>
      </c>
      <c r="AQ1103" s="78" t="n">
        <f aca="false">IF(AND(OR(X1103="R",X1103="NX",X1103="NT",X1103="CO"),OR('JOINTS DE RÉPARATION'!$D$5="TOUTES",B1103='JOINTS DE RÉPARATION'!$D$5),OR('JOINTS DE RÉPARATION'!$L$4="TOUS",AM1103&lt;&gt;"ACCEPTÉ")),1,0)</f>
        <v>0</v>
      </c>
      <c r="AR1103" s="78" t="str">
        <f aca="false">IF(AQ1103=1,SUM(AQ$7:AQ1103),"")</f>
        <v/>
      </c>
    </row>
    <row r="1104" customFormat="false" ht="15" hidden="false" customHeight="false" outlineLevel="0" collapsed="false">
      <c r="A1104" s="78" t="str">
        <f aca="false">IF(E1104="","",ROW()-6)</f>
        <v/>
      </c>
      <c r="B1104" s="79"/>
      <c r="C1104" s="80"/>
      <c r="D1104" s="80"/>
      <c r="E1104" s="80"/>
      <c r="F1104" s="80"/>
      <c r="G1104" s="80"/>
      <c r="H1104" s="80"/>
      <c r="I1104" s="80"/>
      <c r="J1104" s="80"/>
      <c r="K1104" s="80"/>
      <c r="L1104" s="81" t="str">
        <f aca="false">IF(K1104="","",IFERROR(INDEX(BARDAGE!$C$7:$C$1506,MATCH(K1104,BARDAGE!$B$7:$B$1506,0)),"? hors registre"))</f>
        <v/>
      </c>
      <c r="M1104" s="80"/>
      <c r="N1104" s="81" t="str">
        <f aca="false">IF(M1104="","",IFERROR(INDEX(BARDAGE!$C$7:$C$1506,MATCH(M1104,BARDAGE!$B$7:$B$1506,0)),"? hors registre"))</f>
        <v/>
      </c>
      <c r="O1104" s="80"/>
      <c r="P1104" s="80"/>
      <c r="Q1104" s="80"/>
      <c r="R1104" s="82"/>
      <c r="S1104" s="82"/>
      <c r="T1104" s="80"/>
      <c r="U1104" s="80"/>
      <c r="V1104" s="82"/>
      <c r="W1104" s="80"/>
      <c r="X1104" s="80"/>
      <c r="Y1104" s="80"/>
      <c r="Z1104" s="80"/>
      <c r="AA1104" s="82"/>
      <c r="AB1104" s="80"/>
      <c r="AC1104" s="80"/>
      <c r="AD1104" s="80"/>
      <c r="AE1104" s="80"/>
      <c r="AF1104" s="82"/>
      <c r="AG1104" s="80"/>
      <c r="AH1104" s="80"/>
      <c r="AI1104" s="82"/>
      <c r="AJ1104" s="79"/>
      <c r="AK1104" s="78" t="str">
        <f aca="false">IF(E1104="","",(X1104&lt;&gt;"")+(AC1104&lt;&gt;"")+(AH1104&lt;&gt;""))</f>
        <v/>
      </c>
      <c r="AL1104" s="81" t="str">
        <f aca="false">IF(AH1104&lt;&gt;"",AH1104,IF(AC1104&lt;&gt;"",AC1104,IF(X1104&lt;&gt;"",X1104,"")))</f>
        <v/>
      </c>
      <c r="AM1104" s="83" t="str">
        <f aca="false">IF(E1104="","",IF(R1104="","À SOUDER",IF(U1104="","VT EN ATTENTE",IF(U1104="R","VT REJETÉ – À REPRENDRE",IF(AL1104="","À RADIOGRAPHIER",IF(AL1104="A","ACCEPTÉ",IF(AL1104="NX","NX – RT À REFAIRE",IF(IF(AK1104=1,Z1104,IF(AK1104=2,AE1104,""))="A","RÉPARÉ – À RADIOGRAPHIER",IF(IF(AK1104=1,Z1104,IF(AK1104=2,AE1104,""))="R","VT REJETÉ – À REPRENDRE",IF(OR(AL1104="CO",AL1104="NT"),"COUPE – À RESOUDER","À RÉPARER"))))))))))</f>
        <v/>
      </c>
      <c r="AN1104" s="81" t="str">
        <f aca="false">IF(AND(ISNUMBER(R1104),OR(AM1104="À RADIOGRAPHIER",AM1104="RÉPARÉ – À RADIOGRAPHIER",AM1104="NX – RT À REFAIRE",AM1104="À RÉPARER",AM1104="COUPE – À RESOUDER",AM1104="VT REJETÉ – À REPRENDRE")),MAX(0,'PROGRAMME RT'!$C$4-R1104),"")</f>
        <v/>
      </c>
      <c r="AO1104" s="78" t="n">
        <f aca="false">IF(AND(OR(AM1104="À RADIOGRAPHIER",AM1104="RÉPARÉ – À RADIOGRAPHIER",AM1104="NX – RT À REFAIRE"),OR('PROGRAMME RT'!$D$5="TOUTES",B1104='PROGRAMME RT'!$D$5)),1,0)</f>
        <v>0</v>
      </c>
      <c r="AP1104" s="78" t="str">
        <f aca="false">IF(AO1104=1,SUM(AO$7:AO1104),"")</f>
        <v/>
      </c>
      <c r="AQ1104" s="78" t="n">
        <f aca="false">IF(AND(OR(X1104="R",X1104="NX",X1104="NT",X1104="CO"),OR('JOINTS DE RÉPARATION'!$D$5="TOUTES",B1104='JOINTS DE RÉPARATION'!$D$5),OR('JOINTS DE RÉPARATION'!$L$4="TOUS",AM1104&lt;&gt;"ACCEPTÉ")),1,0)</f>
        <v>0</v>
      </c>
      <c r="AR1104" s="78" t="str">
        <f aca="false">IF(AQ1104=1,SUM(AQ$7:AQ1104),"")</f>
        <v/>
      </c>
    </row>
    <row r="1105" customFormat="false" ht="15" hidden="false" customHeight="false" outlineLevel="0" collapsed="false">
      <c r="A1105" s="78" t="str">
        <f aca="false">IF(E1105="","",ROW()-6)</f>
        <v/>
      </c>
      <c r="B1105" s="79"/>
      <c r="C1105" s="80"/>
      <c r="D1105" s="80"/>
      <c r="E1105" s="80"/>
      <c r="F1105" s="80"/>
      <c r="G1105" s="80"/>
      <c r="H1105" s="80"/>
      <c r="I1105" s="80"/>
      <c r="J1105" s="80"/>
      <c r="K1105" s="80"/>
      <c r="L1105" s="81" t="str">
        <f aca="false">IF(K1105="","",IFERROR(INDEX(BARDAGE!$C$7:$C$1506,MATCH(K1105,BARDAGE!$B$7:$B$1506,0)),"? hors registre"))</f>
        <v/>
      </c>
      <c r="M1105" s="80"/>
      <c r="N1105" s="81" t="str">
        <f aca="false">IF(M1105="","",IFERROR(INDEX(BARDAGE!$C$7:$C$1506,MATCH(M1105,BARDAGE!$B$7:$B$1506,0)),"? hors registre"))</f>
        <v/>
      </c>
      <c r="O1105" s="80"/>
      <c r="P1105" s="80"/>
      <c r="Q1105" s="80"/>
      <c r="R1105" s="82"/>
      <c r="S1105" s="82"/>
      <c r="T1105" s="80"/>
      <c r="U1105" s="80"/>
      <c r="V1105" s="82"/>
      <c r="W1105" s="80"/>
      <c r="X1105" s="80"/>
      <c r="Y1105" s="80"/>
      <c r="Z1105" s="80"/>
      <c r="AA1105" s="82"/>
      <c r="AB1105" s="80"/>
      <c r="AC1105" s="80"/>
      <c r="AD1105" s="80"/>
      <c r="AE1105" s="80"/>
      <c r="AF1105" s="82"/>
      <c r="AG1105" s="80"/>
      <c r="AH1105" s="80"/>
      <c r="AI1105" s="82"/>
      <c r="AJ1105" s="79"/>
      <c r="AK1105" s="78" t="str">
        <f aca="false">IF(E1105="","",(X1105&lt;&gt;"")+(AC1105&lt;&gt;"")+(AH1105&lt;&gt;""))</f>
        <v/>
      </c>
      <c r="AL1105" s="81" t="str">
        <f aca="false">IF(AH1105&lt;&gt;"",AH1105,IF(AC1105&lt;&gt;"",AC1105,IF(X1105&lt;&gt;"",X1105,"")))</f>
        <v/>
      </c>
      <c r="AM1105" s="83" t="str">
        <f aca="false">IF(E1105="","",IF(R1105="","À SOUDER",IF(U1105="","VT EN ATTENTE",IF(U1105="R","VT REJETÉ – À REPRENDRE",IF(AL1105="","À RADIOGRAPHIER",IF(AL1105="A","ACCEPTÉ",IF(AL1105="NX","NX – RT À REFAIRE",IF(IF(AK1105=1,Z1105,IF(AK1105=2,AE1105,""))="A","RÉPARÉ – À RADIOGRAPHIER",IF(IF(AK1105=1,Z1105,IF(AK1105=2,AE1105,""))="R","VT REJETÉ – À REPRENDRE",IF(OR(AL1105="CO",AL1105="NT"),"COUPE – À RESOUDER","À RÉPARER"))))))))))</f>
        <v/>
      </c>
      <c r="AN1105" s="81" t="str">
        <f aca="false">IF(AND(ISNUMBER(R1105),OR(AM1105="À RADIOGRAPHIER",AM1105="RÉPARÉ – À RADIOGRAPHIER",AM1105="NX – RT À REFAIRE",AM1105="À RÉPARER",AM1105="COUPE – À RESOUDER",AM1105="VT REJETÉ – À REPRENDRE")),MAX(0,'PROGRAMME RT'!$C$4-R1105),"")</f>
        <v/>
      </c>
      <c r="AO1105" s="78" t="n">
        <f aca="false">IF(AND(OR(AM1105="À RADIOGRAPHIER",AM1105="RÉPARÉ – À RADIOGRAPHIER",AM1105="NX – RT À REFAIRE"),OR('PROGRAMME RT'!$D$5="TOUTES",B1105='PROGRAMME RT'!$D$5)),1,0)</f>
        <v>0</v>
      </c>
      <c r="AP1105" s="78" t="str">
        <f aca="false">IF(AO1105=1,SUM(AO$7:AO1105),"")</f>
        <v/>
      </c>
      <c r="AQ1105" s="78" t="n">
        <f aca="false">IF(AND(OR(X1105="R",X1105="NX",X1105="NT",X1105="CO"),OR('JOINTS DE RÉPARATION'!$D$5="TOUTES",B1105='JOINTS DE RÉPARATION'!$D$5),OR('JOINTS DE RÉPARATION'!$L$4="TOUS",AM1105&lt;&gt;"ACCEPTÉ")),1,0)</f>
        <v>0</v>
      </c>
      <c r="AR1105" s="78" t="str">
        <f aca="false">IF(AQ1105=1,SUM(AQ$7:AQ1105),"")</f>
        <v/>
      </c>
    </row>
    <row r="1106" customFormat="false" ht="15" hidden="false" customHeight="false" outlineLevel="0" collapsed="false">
      <c r="A1106" s="78" t="str">
        <f aca="false">IF(E1106="","",ROW()-6)</f>
        <v/>
      </c>
      <c r="B1106" s="79"/>
      <c r="C1106" s="80"/>
      <c r="D1106" s="80"/>
      <c r="E1106" s="80"/>
      <c r="F1106" s="80"/>
      <c r="G1106" s="80"/>
      <c r="H1106" s="80"/>
      <c r="I1106" s="80"/>
      <c r="J1106" s="80"/>
      <c r="K1106" s="80"/>
      <c r="L1106" s="81" t="str">
        <f aca="false">IF(K1106="","",IFERROR(INDEX(BARDAGE!$C$7:$C$1506,MATCH(K1106,BARDAGE!$B$7:$B$1506,0)),"? hors registre"))</f>
        <v/>
      </c>
      <c r="M1106" s="80"/>
      <c r="N1106" s="81" t="str">
        <f aca="false">IF(M1106="","",IFERROR(INDEX(BARDAGE!$C$7:$C$1506,MATCH(M1106,BARDAGE!$B$7:$B$1506,0)),"? hors registre"))</f>
        <v/>
      </c>
      <c r="O1106" s="80"/>
      <c r="P1106" s="80"/>
      <c r="Q1106" s="80"/>
      <c r="R1106" s="82"/>
      <c r="S1106" s="82"/>
      <c r="T1106" s="80"/>
      <c r="U1106" s="80"/>
      <c r="V1106" s="82"/>
      <c r="W1106" s="80"/>
      <c r="X1106" s="80"/>
      <c r="Y1106" s="80"/>
      <c r="Z1106" s="80"/>
      <c r="AA1106" s="82"/>
      <c r="AB1106" s="80"/>
      <c r="AC1106" s="80"/>
      <c r="AD1106" s="80"/>
      <c r="AE1106" s="80"/>
      <c r="AF1106" s="82"/>
      <c r="AG1106" s="80"/>
      <c r="AH1106" s="80"/>
      <c r="AI1106" s="82"/>
      <c r="AJ1106" s="79"/>
      <c r="AK1106" s="78" t="str">
        <f aca="false">IF(E1106="","",(X1106&lt;&gt;"")+(AC1106&lt;&gt;"")+(AH1106&lt;&gt;""))</f>
        <v/>
      </c>
      <c r="AL1106" s="81" t="str">
        <f aca="false">IF(AH1106&lt;&gt;"",AH1106,IF(AC1106&lt;&gt;"",AC1106,IF(X1106&lt;&gt;"",X1106,"")))</f>
        <v/>
      </c>
      <c r="AM1106" s="83" t="str">
        <f aca="false">IF(E1106="","",IF(R1106="","À SOUDER",IF(U1106="","VT EN ATTENTE",IF(U1106="R","VT REJETÉ – À REPRENDRE",IF(AL1106="","À RADIOGRAPHIER",IF(AL1106="A","ACCEPTÉ",IF(AL1106="NX","NX – RT À REFAIRE",IF(IF(AK1106=1,Z1106,IF(AK1106=2,AE1106,""))="A","RÉPARÉ – À RADIOGRAPHIER",IF(IF(AK1106=1,Z1106,IF(AK1106=2,AE1106,""))="R","VT REJETÉ – À REPRENDRE",IF(OR(AL1106="CO",AL1106="NT"),"COUPE – À RESOUDER","À RÉPARER"))))))))))</f>
        <v/>
      </c>
      <c r="AN1106" s="81" t="str">
        <f aca="false">IF(AND(ISNUMBER(R1106),OR(AM1106="À RADIOGRAPHIER",AM1106="RÉPARÉ – À RADIOGRAPHIER",AM1106="NX – RT À REFAIRE",AM1106="À RÉPARER",AM1106="COUPE – À RESOUDER",AM1106="VT REJETÉ – À REPRENDRE")),MAX(0,'PROGRAMME RT'!$C$4-R1106),"")</f>
        <v/>
      </c>
      <c r="AO1106" s="78" t="n">
        <f aca="false">IF(AND(OR(AM1106="À RADIOGRAPHIER",AM1106="RÉPARÉ – À RADIOGRAPHIER",AM1106="NX – RT À REFAIRE"),OR('PROGRAMME RT'!$D$5="TOUTES",B1106='PROGRAMME RT'!$D$5)),1,0)</f>
        <v>0</v>
      </c>
      <c r="AP1106" s="78" t="str">
        <f aca="false">IF(AO1106=1,SUM(AO$7:AO1106),"")</f>
        <v/>
      </c>
      <c r="AQ1106" s="78" t="n">
        <f aca="false">IF(AND(OR(X1106="R",X1106="NX",X1106="NT",X1106="CO"),OR('JOINTS DE RÉPARATION'!$D$5="TOUTES",B1106='JOINTS DE RÉPARATION'!$D$5),OR('JOINTS DE RÉPARATION'!$L$4="TOUS",AM1106&lt;&gt;"ACCEPTÉ")),1,0)</f>
        <v>0</v>
      </c>
      <c r="AR1106" s="78" t="str">
        <f aca="false">IF(AQ1106=1,SUM(AQ$7:AQ1106),"")</f>
        <v/>
      </c>
    </row>
    <row r="1107" customFormat="false" ht="15" hidden="false" customHeight="false" outlineLevel="0" collapsed="false">
      <c r="A1107" s="78" t="str">
        <f aca="false">IF(E1107="","",ROW()-6)</f>
        <v/>
      </c>
      <c r="B1107" s="79"/>
      <c r="C1107" s="80"/>
      <c r="D1107" s="80"/>
      <c r="E1107" s="80"/>
      <c r="F1107" s="80"/>
      <c r="G1107" s="80"/>
      <c r="H1107" s="80"/>
      <c r="I1107" s="80"/>
      <c r="J1107" s="80"/>
      <c r="K1107" s="80"/>
      <c r="L1107" s="81" t="str">
        <f aca="false">IF(K1107="","",IFERROR(INDEX(BARDAGE!$C$7:$C$1506,MATCH(K1107,BARDAGE!$B$7:$B$1506,0)),"? hors registre"))</f>
        <v/>
      </c>
      <c r="M1107" s="80"/>
      <c r="N1107" s="81" t="str">
        <f aca="false">IF(M1107="","",IFERROR(INDEX(BARDAGE!$C$7:$C$1506,MATCH(M1107,BARDAGE!$B$7:$B$1506,0)),"? hors registre"))</f>
        <v/>
      </c>
      <c r="O1107" s="80"/>
      <c r="P1107" s="80"/>
      <c r="Q1107" s="80"/>
      <c r="R1107" s="82"/>
      <c r="S1107" s="82"/>
      <c r="T1107" s="80"/>
      <c r="U1107" s="80"/>
      <c r="V1107" s="82"/>
      <c r="W1107" s="80"/>
      <c r="X1107" s="80"/>
      <c r="Y1107" s="80"/>
      <c r="Z1107" s="80"/>
      <c r="AA1107" s="82"/>
      <c r="AB1107" s="80"/>
      <c r="AC1107" s="80"/>
      <c r="AD1107" s="80"/>
      <c r="AE1107" s="80"/>
      <c r="AF1107" s="82"/>
      <c r="AG1107" s="80"/>
      <c r="AH1107" s="80"/>
      <c r="AI1107" s="82"/>
      <c r="AJ1107" s="79"/>
      <c r="AK1107" s="78" t="str">
        <f aca="false">IF(E1107="","",(X1107&lt;&gt;"")+(AC1107&lt;&gt;"")+(AH1107&lt;&gt;""))</f>
        <v/>
      </c>
      <c r="AL1107" s="81" t="str">
        <f aca="false">IF(AH1107&lt;&gt;"",AH1107,IF(AC1107&lt;&gt;"",AC1107,IF(X1107&lt;&gt;"",X1107,"")))</f>
        <v/>
      </c>
      <c r="AM1107" s="83" t="str">
        <f aca="false">IF(E1107="","",IF(R1107="","À SOUDER",IF(U1107="","VT EN ATTENTE",IF(U1107="R","VT REJETÉ – À REPRENDRE",IF(AL1107="","À RADIOGRAPHIER",IF(AL1107="A","ACCEPTÉ",IF(AL1107="NX","NX – RT À REFAIRE",IF(IF(AK1107=1,Z1107,IF(AK1107=2,AE1107,""))="A","RÉPARÉ – À RADIOGRAPHIER",IF(IF(AK1107=1,Z1107,IF(AK1107=2,AE1107,""))="R","VT REJETÉ – À REPRENDRE",IF(OR(AL1107="CO",AL1107="NT"),"COUPE – À RESOUDER","À RÉPARER"))))))))))</f>
        <v/>
      </c>
      <c r="AN1107" s="81" t="str">
        <f aca="false">IF(AND(ISNUMBER(R1107),OR(AM1107="À RADIOGRAPHIER",AM1107="RÉPARÉ – À RADIOGRAPHIER",AM1107="NX – RT À REFAIRE",AM1107="À RÉPARER",AM1107="COUPE – À RESOUDER",AM1107="VT REJETÉ – À REPRENDRE")),MAX(0,'PROGRAMME RT'!$C$4-R1107),"")</f>
        <v/>
      </c>
      <c r="AO1107" s="78" t="n">
        <f aca="false">IF(AND(OR(AM1107="À RADIOGRAPHIER",AM1107="RÉPARÉ – À RADIOGRAPHIER",AM1107="NX – RT À REFAIRE"),OR('PROGRAMME RT'!$D$5="TOUTES",B1107='PROGRAMME RT'!$D$5)),1,0)</f>
        <v>0</v>
      </c>
      <c r="AP1107" s="78" t="str">
        <f aca="false">IF(AO1107=1,SUM(AO$7:AO1107),"")</f>
        <v/>
      </c>
      <c r="AQ1107" s="78" t="n">
        <f aca="false">IF(AND(OR(X1107="R",X1107="NX",X1107="NT",X1107="CO"),OR('JOINTS DE RÉPARATION'!$D$5="TOUTES",B1107='JOINTS DE RÉPARATION'!$D$5),OR('JOINTS DE RÉPARATION'!$L$4="TOUS",AM1107&lt;&gt;"ACCEPTÉ")),1,0)</f>
        <v>0</v>
      </c>
      <c r="AR1107" s="78" t="str">
        <f aca="false">IF(AQ1107=1,SUM(AQ$7:AQ1107),"")</f>
        <v/>
      </c>
    </row>
    <row r="1108" customFormat="false" ht="15" hidden="false" customHeight="false" outlineLevel="0" collapsed="false">
      <c r="A1108" s="78" t="str">
        <f aca="false">IF(E1108="","",ROW()-6)</f>
        <v/>
      </c>
      <c r="B1108" s="79"/>
      <c r="C1108" s="80"/>
      <c r="D1108" s="80"/>
      <c r="E1108" s="80"/>
      <c r="F1108" s="80"/>
      <c r="G1108" s="80"/>
      <c r="H1108" s="80"/>
      <c r="I1108" s="80"/>
      <c r="J1108" s="80"/>
      <c r="K1108" s="80"/>
      <c r="L1108" s="81" t="str">
        <f aca="false">IF(K1108="","",IFERROR(INDEX(BARDAGE!$C$7:$C$1506,MATCH(K1108,BARDAGE!$B$7:$B$1506,0)),"? hors registre"))</f>
        <v/>
      </c>
      <c r="M1108" s="80"/>
      <c r="N1108" s="81" t="str">
        <f aca="false">IF(M1108="","",IFERROR(INDEX(BARDAGE!$C$7:$C$1506,MATCH(M1108,BARDAGE!$B$7:$B$1506,0)),"? hors registre"))</f>
        <v/>
      </c>
      <c r="O1108" s="80"/>
      <c r="P1108" s="80"/>
      <c r="Q1108" s="80"/>
      <c r="R1108" s="82"/>
      <c r="S1108" s="82"/>
      <c r="T1108" s="80"/>
      <c r="U1108" s="80"/>
      <c r="V1108" s="82"/>
      <c r="W1108" s="80"/>
      <c r="X1108" s="80"/>
      <c r="Y1108" s="80"/>
      <c r="Z1108" s="80"/>
      <c r="AA1108" s="82"/>
      <c r="AB1108" s="80"/>
      <c r="AC1108" s="80"/>
      <c r="AD1108" s="80"/>
      <c r="AE1108" s="80"/>
      <c r="AF1108" s="82"/>
      <c r="AG1108" s="80"/>
      <c r="AH1108" s="80"/>
      <c r="AI1108" s="82"/>
      <c r="AJ1108" s="79"/>
      <c r="AK1108" s="78" t="str">
        <f aca="false">IF(E1108="","",(X1108&lt;&gt;"")+(AC1108&lt;&gt;"")+(AH1108&lt;&gt;""))</f>
        <v/>
      </c>
      <c r="AL1108" s="81" t="str">
        <f aca="false">IF(AH1108&lt;&gt;"",AH1108,IF(AC1108&lt;&gt;"",AC1108,IF(X1108&lt;&gt;"",X1108,"")))</f>
        <v/>
      </c>
      <c r="AM1108" s="83" t="str">
        <f aca="false">IF(E1108="","",IF(R1108="","À SOUDER",IF(U1108="","VT EN ATTENTE",IF(U1108="R","VT REJETÉ – À REPRENDRE",IF(AL1108="","À RADIOGRAPHIER",IF(AL1108="A","ACCEPTÉ",IF(AL1108="NX","NX – RT À REFAIRE",IF(IF(AK1108=1,Z1108,IF(AK1108=2,AE1108,""))="A","RÉPARÉ – À RADIOGRAPHIER",IF(IF(AK1108=1,Z1108,IF(AK1108=2,AE1108,""))="R","VT REJETÉ – À REPRENDRE",IF(OR(AL1108="CO",AL1108="NT"),"COUPE – À RESOUDER","À RÉPARER"))))))))))</f>
        <v/>
      </c>
      <c r="AN1108" s="81" t="str">
        <f aca="false">IF(AND(ISNUMBER(R1108),OR(AM1108="À RADIOGRAPHIER",AM1108="RÉPARÉ – À RADIOGRAPHIER",AM1108="NX – RT À REFAIRE",AM1108="À RÉPARER",AM1108="COUPE – À RESOUDER",AM1108="VT REJETÉ – À REPRENDRE")),MAX(0,'PROGRAMME RT'!$C$4-R1108),"")</f>
        <v/>
      </c>
      <c r="AO1108" s="78" t="n">
        <f aca="false">IF(AND(OR(AM1108="À RADIOGRAPHIER",AM1108="RÉPARÉ – À RADIOGRAPHIER",AM1108="NX – RT À REFAIRE"),OR('PROGRAMME RT'!$D$5="TOUTES",B1108='PROGRAMME RT'!$D$5)),1,0)</f>
        <v>0</v>
      </c>
      <c r="AP1108" s="78" t="str">
        <f aca="false">IF(AO1108=1,SUM(AO$7:AO1108),"")</f>
        <v/>
      </c>
      <c r="AQ1108" s="78" t="n">
        <f aca="false">IF(AND(OR(X1108="R",X1108="NX",X1108="NT",X1108="CO"),OR('JOINTS DE RÉPARATION'!$D$5="TOUTES",B1108='JOINTS DE RÉPARATION'!$D$5),OR('JOINTS DE RÉPARATION'!$L$4="TOUS",AM1108&lt;&gt;"ACCEPTÉ")),1,0)</f>
        <v>0</v>
      </c>
      <c r="AR1108" s="78" t="str">
        <f aca="false">IF(AQ1108=1,SUM(AQ$7:AQ1108),"")</f>
        <v/>
      </c>
    </row>
    <row r="1109" customFormat="false" ht="15" hidden="false" customHeight="false" outlineLevel="0" collapsed="false">
      <c r="A1109" s="78" t="str">
        <f aca="false">IF(E1109="","",ROW()-6)</f>
        <v/>
      </c>
      <c r="B1109" s="79"/>
      <c r="C1109" s="80"/>
      <c r="D1109" s="80"/>
      <c r="E1109" s="80"/>
      <c r="F1109" s="80"/>
      <c r="G1109" s="80"/>
      <c r="H1109" s="80"/>
      <c r="I1109" s="80"/>
      <c r="J1109" s="80"/>
      <c r="K1109" s="80"/>
      <c r="L1109" s="81" t="str">
        <f aca="false">IF(K1109="","",IFERROR(INDEX(BARDAGE!$C$7:$C$1506,MATCH(K1109,BARDAGE!$B$7:$B$1506,0)),"? hors registre"))</f>
        <v/>
      </c>
      <c r="M1109" s="80"/>
      <c r="N1109" s="81" t="str">
        <f aca="false">IF(M1109="","",IFERROR(INDEX(BARDAGE!$C$7:$C$1506,MATCH(M1109,BARDAGE!$B$7:$B$1506,0)),"? hors registre"))</f>
        <v/>
      </c>
      <c r="O1109" s="80"/>
      <c r="P1109" s="80"/>
      <c r="Q1109" s="80"/>
      <c r="R1109" s="82"/>
      <c r="S1109" s="82"/>
      <c r="T1109" s="80"/>
      <c r="U1109" s="80"/>
      <c r="V1109" s="82"/>
      <c r="W1109" s="80"/>
      <c r="X1109" s="80"/>
      <c r="Y1109" s="80"/>
      <c r="Z1109" s="80"/>
      <c r="AA1109" s="82"/>
      <c r="AB1109" s="80"/>
      <c r="AC1109" s="80"/>
      <c r="AD1109" s="80"/>
      <c r="AE1109" s="80"/>
      <c r="AF1109" s="82"/>
      <c r="AG1109" s="80"/>
      <c r="AH1109" s="80"/>
      <c r="AI1109" s="82"/>
      <c r="AJ1109" s="79"/>
      <c r="AK1109" s="78" t="str">
        <f aca="false">IF(E1109="","",(X1109&lt;&gt;"")+(AC1109&lt;&gt;"")+(AH1109&lt;&gt;""))</f>
        <v/>
      </c>
      <c r="AL1109" s="81" t="str">
        <f aca="false">IF(AH1109&lt;&gt;"",AH1109,IF(AC1109&lt;&gt;"",AC1109,IF(X1109&lt;&gt;"",X1109,"")))</f>
        <v/>
      </c>
      <c r="AM1109" s="83" t="str">
        <f aca="false">IF(E1109="","",IF(R1109="","À SOUDER",IF(U1109="","VT EN ATTENTE",IF(U1109="R","VT REJETÉ – À REPRENDRE",IF(AL1109="","À RADIOGRAPHIER",IF(AL1109="A","ACCEPTÉ",IF(AL1109="NX","NX – RT À REFAIRE",IF(IF(AK1109=1,Z1109,IF(AK1109=2,AE1109,""))="A","RÉPARÉ – À RADIOGRAPHIER",IF(IF(AK1109=1,Z1109,IF(AK1109=2,AE1109,""))="R","VT REJETÉ – À REPRENDRE",IF(OR(AL1109="CO",AL1109="NT"),"COUPE – À RESOUDER","À RÉPARER"))))))))))</f>
        <v/>
      </c>
      <c r="AN1109" s="81" t="str">
        <f aca="false">IF(AND(ISNUMBER(R1109),OR(AM1109="À RADIOGRAPHIER",AM1109="RÉPARÉ – À RADIOGRAPHIER",AM1109="NX – RT À REFAIRE",AM1109="À RÉPARER",AM1109="COUPE – À RESOUDER",AM1109="VT REJETÉ – À REPRENDRE")),MAX(0,'PROGRAMME RT'!$C$4-R1109),"")</f>
        <v/>
      </c>
      <c r="AO1109" s="78" t="n">
        <f aca="false">IF(AND(OR(AM1109="À RADIOGRAPHIER",AM1109="RÉPARÉ – À RADIOGRAPHIER",AM1109="NX – RT À REFAIRE"),OR('PROGRAMME RT'!$D$5="TOUTES",B1109='PROGRAMME RT'!$D$5)),1,0)</f>
        <v>0</v>
      </c>
      <c r="AP1109" s="78" t="str">
        <f aca="false">IF(AO1109=1,SUM(AO$7:AO1109),"")</f>
        <v/>
      </c>
      <c r="AQ1109" s="78" t="n">
        <f aca="false">IF(AND(OR(X1109="R",X1109="NX",X1109="NT",X1109="CO"),OR('JOINTS DE RÉPARATION'!$D$5="TOUTES",B1109='JOINTS DE RÉPARATION'!$D$5),OR('JOINTS DE RÉPARATION'!$L$4="TOUS",AM1109&lt;&gt;"ACCEPTÉ")),1,0)</f>
        <v>0</v>
      </c>
      <c r="AR1109" s="78" t="str">
        <f aca="false">IF(AQ1109=1,SUM(AQ$7:AQ1109),"")</f>
        <v/>
      </c>
    </row>
    <row r="1110" customFormat="false" ht="15" hidden="false" customHeight="false" outlineLevel="0" collapsed="false">
      <c r="A1110" s="78" t="str">
        <f aca="false">IF(E1110="","",ROW()-6)</f>
        <v/>
      </c>
      <c r="B1110" s="79"/>
      <c r="C1110" s="80"/>
      <c r="D1110" s="80"/>
      <c r="E1110" s="80"/>
      <c r="F1110" s="80"/>
      <c r="G1110" s="80"/>
      <c r="H1110" s="80"/>
      <c r="I1110" s="80"/>
      <c r="J1110" s="80"/>
      <c r="K1110" s="80"/>
      <c r="L1110" s="81" t="str">
        <f aca="false">IF(K1110="","",IFERROR(INDEX(BARDAGE!$C$7:$C$1506,MATCH(K1110,BARDAGE!$B$7:$B$1506,0)),"? hors registre"))</f>
        <v/>
      </c>
      <c r="M1110" s="80"/>
      <c r="N1110" s="81" t="str">
        <f aca="false">IF(M1110="","",IFERROR(INDEX(BARDAGE!$C$7:$C$1506,MATCH(M1110,BARDAGE!$B$7:$B$1506,0)),"? hors registre"))</f>
        <v/>
      </c>
      <c r="O1110" s="80"/>
      <c r="P1110" s="80"/>
      <c r="Q1110" s="80"/>
      <c r="R1110" s="82"/>
      <c r="S1110" s="82"/>
      <c r="T1110" s="80"/>
      <c r="U1110" s="80"/>
      <c r="V1110" s="82"/>
      <c r="W1110" s="80"/>
      <c r="X1110" s="80"/>
      <c r="Y1110" s="80"/>
      <c r="Z1110" s="80"/>
      <c r="AA1110" s="82"/>
      <c r="AB1110" s="80"/>
      <c r="AC1110" s="80"/>
      <c r="AD1110" s="80"/>
      <c r="AE1110" s="80"/>
      <c r="AF1110" s="82"/>
      <c r="AG1110" s="80"/>
      <c r="AH1110" s="80"/>
      <c r="AI1110" s="82"/>
      <c r="AJ1110" s="79"/>
      <c r="AK1110" s="78" t="str">
        <f aca="false">IF(E1110="","",(X1110&lt;&gt;"")+(AC1110&lt;&gt;"")+(AH1110&lt;&gt;""))</f>
        <v/>
      </c>
      <c r="AL1110" s="81" t="str">
        <f aca="false">IF(AH1110&lt;&gt;"",AH1110,IF(AC1110&lt;&gt;"",AC1110,IF(X1110&lt;&gt;"",X1110,"")))</f>
        <v/>
      </c>
      <c r="AM1110" s="83" t="str">
        <f aca="false">IF(E1110="","",IF(R1110="","À SOUDER",IF(U1110="","VT EN ATTENTE",IF(U1110="R","VT REJETÉ – À REPRENDRE",IF(AL1110="","À RADIOGRAPHIER",IF(AL1110="A","ACCEPTÉ",IF(AL1110="NX","NX – RT À REFAIRE",IF(IF(AK1110=1,Z1110,IF(AK1110=2,AE1110,""))="A","RÉPARÉ – À RADIOGRAPHIER",IF(IF(AK1110=1,Z1110,IF(AK1110=2,AE1110,""))="R","VT REJETÉ – À REPRENDRE",IF(OR(AL1110="CO",AL1110="NT"),"COUPE – À RESOUDER","À RÉPARER"))))))))))</f>
        <v/>
      </c>
      <c r="AN1110" s="81" t="str">
        <f aca="false">IF(AND(ISNUMBER(R1110),OR(AM1110="À RADIOGRAPHIER",AM1110="RÉPARÉ – À RADIOGRAPHIER",AM1110="NX – RT À REFAIRE",AM1110="À RÉPARER",AM1110="COUPE – À RESOUDER",AM1110="VT REJETÉ – À REPRENDRE")),MAX(0,'PROGRAMME RT'!$C$4-R1110),"")</f>
        <v/>
      </c>
      <c r="AO1110" s="78" t="n">
        <f aca="false">IF(AND(OR(AM1110="À RADIOGRAPHIER",AM1110="RÉPARÉ – À RADIOGRAPHIER",AM1110="NX – RT À REFAIRE"),OR('PROGRAMME RT'!$D$5="TOUTES",B1110='PROGRAMME RT'!$D$5)),1,0)</f>
        <v>0</v>
      </c>
      <c r="AP1110" s="78" t="str">
        <f aca="false">IF(AO1110=1,SUM(AO$7:AO1110),"")</f>
        <v/>
      </c>
      <c r="AQ1110" s="78" t="n">
        <f aca="false">IF(AND(OR(X1110="R",X1110="NX",X1110="NT",X1110="CO"),OR('JOINTS DE RÉPARATION'!$D$5="TOUTES",B1110='JOINTS DE RÉPARATION'!$D$5),OR('JOINTS DE RÉPARATION'!$L$4="TOUS",AM1110&lt;&gt;"ACCEPTÉ")),1,0)</f>
        <v>0</v>
      </c>
      <c r="AR1110" s="78" t="str">
        <f aca="false">IF(AQ1110=1,SUM(AQ$7:AQ1110),"")</f>
        <v/>
      </c>
    </row>
    <row r="1111" customFormat="false" ht="15" hidden="false" customHeight="false" outlineLevel="0" collapsed="false">
      <c r="A1111" s="78" t="str">
        <f aca="false">IF(E1111="","",ROW()-6)</f>
        <v/>
      </c>
      <c r="B1111" s="79"/>
      <c r="C1111" s="80"/>
      <c r="D1111" s="80"/>
      <c r="E1111" s="80"/>
      <c r="F1111" s="80"/>
      <c r="G1111" s="80"/>
      <c r="H1111" s="80"/>
      <c r="I1111" s="80"/>
      <c r="J1111" s="80"/>
      <c r="K1111" s="80"/>
      <c r="L1111" s="81" t="str">
        <f aca="false">IF(K1111="","",IFERROR(INDEX(BARDAGE!$C$7:$C$1506,MATCH(K1111,BARDAGE!$B$7:$B$1506,0)),"? hors registre"))</f>
        <v/>
      </c>
      <c r="M1111" s="80"/>
      <c r="N1111" s="81" t="str">
        <f aca="false">IF(M1111="","",IFERROR(INDEX(BARDAGE!$C$7:$C$1506,MATCH(M1111,BARDAGE!$B$7:$B$1506,0)),"? hors registre"))</f>
        <v/>
      </c>
      <c r="O1111" s="80"/>
      <c r="P1111" s="80"/>
      <c r="Q1111" s="80"/>
      <c r="R1111" s="82"/>
      <c r="S1111" s="82"/>
      <c r="T1111" s="80"/>
      <c r="U1111" s="80"/>
      <c r="V1111" s="82"/>
      <c r="W1111" s="80"/>
      <c r="X1111" s="80"/>
      <c r="Y1111" s="80"/>
      <c r="Z1111" s="80"/>
      <c r="AA1111" s="82"/>
      <c r="AB1111" s="80"/>
      <c r="AC1111" s="80"/>
      <c r="AD1111" s="80"/>
      <c r="AE1111" s="80"/>
      <c r="AF1111" s="82"/>
      <c r="AG1111" s="80"/>
      <c r="AH1111" s="80"/>
      <c r="AI1111" s="82"/>
      <c r="AJ1111" s="79"/>
      <c r="AK1111" s="78" t="str">
        <f aca="false">IF(E1111="","",(X1111&lt;&gt;"")+(AC1111&lt;&gt;"")+(AH1111&lt;&gt;""))</f>
        <v/>
      </c>
      <c r="AL1111" s="81" t="str">
        <f aca="false">IF(AH1111&lt;&gt;"",AH1111,IF(AC1111&lt;&gt;"",AC1111,IF(X1111&lt;&gt;"",X1111,"")))</f>
        <v/>
      </c>
      <c r="AM1111" s="83" t="str">
        <f aca="false">IF(E1111="","",IF(R1111="","À SOUDER",IF(U1111="","VT EN ATTENTE",IF(U1111="R","VT REJETÉ – À REPRENDRE",IF(AL1111="","À RADIOGRAPHIER",IF(AL1111="A","ACCEPTÉ",IF(AL1111="NX","NX – RT À REFAIRE",IF(IF(AK1111=1,Z1111,IF(AK1111=2,AE1111,""))="A","RÉPARÉ – À RADIOGRAPHIER",IF(IF(AK1111=1,Z1111,IF(AK1111=2,AE1111,""))="R","VT REJETÉ – À REPRENDRE",IF(OR(AL1111="CO",AL1111="NT"),"COUPE – À RESOUDER","À RÉPARER"))))))))))</f>
        <v/>
      </c>
      <c r="AN1111" s="81" t="str">
        <f aca="false">IF(AND(ISNUMBER(R1111),OR(AM1111="À RADIOGRAPHIER",AM1111="RÉPARÉ – À RADIOGRAPHIER",AM1111="NX – RT À REFAIRE",AM1111="À RÉPARER",AM1111="COUPE – À RESOUDER",AM1111="VT REJETÉ – À REPRENDRE")),MAX(0,'PROGRAMME RT'!$C$4-R1111),"")</f>
        <v/>
      </c>
      <c r="AO1111" s="78" t="n">
        <f aca="false">IF(AND(OR(AM1111="À RADIOGRAPHIER",AM1111="RÉPARÉ – À RADIOGRAPHIER",AM1111="NX – RT À REFAIRE"),OR('PROGRAMME RT'!$D$5="TOUTES",B1111='PROGRAMME RT'!$D$5)),1,0)</f>
        <v>0</v>
      </c>
      <c r="AP1111" s="78" t="str">
        <f aca="false">IF(AO1111=1,SUM(AO$7:AO1111),"")</f>
        <v/>
      </c>
      <c r="AQ1111" s="78" t="n">
        <f aca="false">IF(AND(OR(X1111="R",X1111="NX",X1111="NT",X1111="CO"),OR('JOINTS DE RÉPARATION'!$D$5="TOUTES",B1111='JOINTS DE RÉPARATION'!$D$5),OR('JOINTS DE RÉPARATION'!$L$4="TOUS",AM1111&lt;&gt;"ACCEPTÉ")),1,0)</f>
        <v>0</v>
      </c>
      <c r="AR1111" s="78" t="str">
        <f aca="false">IF(AQ1111=1,SUM(AQ$7:AQ1111),"")</f>
        <v/>
      </c>
    </row>
    <row r="1112" customFormat="false" ht="15" hidden="false" customHeight="false" outlineLevel="0" collapsed="false">
      <c r="A1112" s="78" t="str">
        <f aca="false">IF(E1112="","",ROW()-6)</f>
        <v/>
      </c>
      <c r="B1112" s="79"/>
      <c r="C1112" s="80"/>
      <c r="D1112" s="80"/>
      <c r="E1112" s="80"/>
      <c r="F1112" s="80"/>
      <c r="G1112" s="80"/>
      <c r="H1112" s="80"/>
      <c r="I1112" s="80"/>
      <c r="J1112" s="80"/>
      <c r="K1112" s="80"/>
      <c r="L1112" s="81" t="str">
        <f aca="false">IF(K1112="","",IFERROR(INDEX(BARDAGE!$C$7:$C$1506,MATCH(K1112,BARDAGE!$B$7:$B$1506,0)),"? hors registre"))</f>
        <v/>
      </c>
      <c r="M1112" s="80"/>
      <c r="N1112" s="81" t="str">
        <f aca="false">IF(M1112="","",IFERROR(INDEX(BARDAGE!$C$7:$C$1506,MATCH(M1112,BARDAGE!$B$7:$B$1506,0)),"? hors registre"))</f>
        <v/>
      </c>
      <c r="O1112" s="80"/>
      <c r="P1112" s="80"/>
      <c r="Q1112" s="80"/>
      <c r="R1112" s="82"/>
      <c r="S1112" s="82"/>
      <c r="T1112" s="80"/>
      <c r="U1112" s="80"/>
      <c r="V1112" s="82"/>
      <c r="W1112" s="80"/>
      <c r="X1112" s="80"/>
      <c r="Y1112" s="80"/>
      <c r="Z1112" s="80"/>
      <c r="AA1112" s="82"/>
      <c r="AB1112" s="80"/>
      <c r="AC1112" s="80"/>
      <c r="AD1112" s="80"/>
      <c r="AE1112" s="80"/>
      <c r="AF1112" s="82"/>
      <c r="AG1112" s="80"/>
      <c r="AH1112" s="80"/>
      <c r="AI1112" s="82"/>
      <c r="AJ1112" s="79"/>
      <c r="AK1112" s="78" t="str">
        <f aca="false">IF(E1112="","",(X1112&lt;&gt;"")+(AC1112&lt;&gt;"")+(AH1112&lt;&gt;""))</f>
        <v/>
      </c>
      <c r="AL1112" s="81" t="str">
        <f aca="false">IF(AH1112&lt;&gt;"",AH1112,IF(AC1112&lt;&gt;"",AC1112,IF(X1112&lt;&gt;"",X1112,"")))</f>
        <v/>
      </c>
      <c r="AM1112" s="83" t="str">
        <f aca="false">IF(E1112="","",IF(R1112="","À SOUDER",IF(U1112="","VT EN ATTENTE",IF(U1112="R","VT REJETÉ – À REPRENDRE",IF(AL1112="","À RADIOGRAPHIER",IF(AL1112="A","ACCEPTÉ",IF(AL1112="NX","NX – RT À REFAIRE",IF(IF(AK1112=1,Z1112,IF(AK1112=2,AE1112,""))="A","RÉPARÉ – À RADIOGRAPHIER",IF(IF(AK1112=1,Z1112,IF(AK1112=2,AE1112,""))="R","VT REJETÉ – À REPRENDRE",IF(OR(AL1112="CO",AL1112="NT"),"COUPE – À RESOUDER","À RÉPARER"))))))))))</f>
        <v/>
      </c>
      <c r="AN1112" s="81" t="str">
        <f aca="false">IF(AND(ISNUMBER(R1112),OR(AM1112="À RADIOGRAPHIER",AM1112="RÉPARÉ – À RADIOGRAPHIER",AM1112="NX – RT À REFAIRE",AM1112="À RÉPARER",AM1112="COUPE – À RESOUDER",AM1112="VT REJETÉ – À REPRENDRE")),MAX(0,'PROGRAMME RT'!$C$4-R1112),"")</f>
        <v/>
      </c>
      <c r="AO1112" s="78" t="n">
        <f aca="false">IF(AND(OR(AM1112="À RADIOGRAPHIER",AM1112="RÉPARÉ – À RADIOGRAPHIER",AM1112="NX – RT À REFAIRE"),OR('PROGRAMME RT'!$D$5="TOUTES",B1112='PROGRAMME RT'!$D$5)),1,0)</f>
        <v>0</v>
      </c>
      <c r="AP1112" s="78" t="str">
        <f aca="false">IF(AO1112=1,SUM(AO$7:AO1112),"")</f>
        <v/>
      </c>
      <c r="AQ1112" s="78" t="n">
        <f aca="false">IF(AND(OR(X1112="R",X1112="NX",X1112="NT",X1112="CO"),OR('JOINTS DE RÉPARATION'!$D$5="TOUTES",B1112='JOINTS DE RÉPARATION'!$D$5),OR('JOINTS DE RÉPARATION'!$L$4="TOUS",AM1112&lt;&gt;"ACCEPTÉ")),1,0)</f>
        <v>0</v>
      </c>
      <c r="AR1112" s="78" t="str">
        <f aca="false">IF(AQ1112=1,SUM(AQ$7:AQ1112),"")</f>
        <v/>
      </c>
    </row>
    <row r="1113" customFormat="false" ht="15" hidden="false" customHeight="false" outlineLevel="0" collapsed="false">
      <c r="A1113" s="78" t="str">
        <f aca="false">IF(E1113="","",ROW()-6)</f>
        <v/>
      </c>
      <c r="B1113" s="79"/>
      <c r="C1113" s="80"/>
      <c r="D1113" s="80"/>
      <c r="E1113" s="80"/>
      <c r="F1113" s="80"/>
      <c r="G1113" s="80"/>
      <c r="H1113" s="80"/>
      <c r="I1113" s="80"/>
      <c r="J1113" s="80"/>
      <c r="K1113" s="80"/>
      <c r="L1113" s="81" t="str">
        <f aca="false">IF(K1113="","",IFERROR(INDEX(BARDAGE!$C$7:$C$1506,MATCH(K1113,BARDAGE!$B$7:$B$1506,0)),"? hors registre"))</f>
        <v/>
      </c>
      <c r="M1113" s="80"/>
      <c r="N1113" s="81" t="str">
        <f aca="false">IF(M1113="","",IFERROR(INDEX(BARDAGE!$C$7:$C$1506,MATCH(M1113,BARDAGE!$B$7:$B$1506,0)),"? hors registre"))</f>
        <v/>
      </c>
      <c r="O1113" s="80"/>
      <c r="P1113" s="80"/>
      <c r="Q1113" s="80"/>
      <c r="R1113" s="82"/>
      <c r="S1113" s="82"/>
      <c r="T1113" s="80"/>
      <c r="U1113" s="80"/>
      <c r="V1113" s="82"/>
      <c r="W1113" s="80"/>
      <c r="X1113" s="80"/>
      <c r="Y1113" s="80"/>
      <c r="Z1113" s="80"/>
      <c r="AA1113" s="82"/>
      <c r="AB1113" s="80"/>
      <c r="AC1113" s="80"/>
      <c r="AD1113" s="80"/>
      <c r="AE1113" s="80"/>
      <c r="AF1113" s="82"/>
      <c r="AG1113" s="80"/>
      <c r="AH1113" s="80"/>
      <c r="AI1113" s="82"/>
      <c r="AJ1113" s="79"/>
      <c r="AK1113" s="78" t="str">
        <f aca="false">IF(E1113="","",(X1113&lt;&gt;"")+(AC1113&lt;&gt;"")+(AH1113&lt;&gt;""))</f>
        <v/>
      </c>
      <c r="AL1113" s="81" t="str">
        <f aca="false">IF(AH1113&lt;&gt;"",AH1113,IF(AC1113&lt;&gt;"",AC1113,IF(X1113&lt;&gt;"",X1113,"")))</f>
        <v/>
      </c>
      <c r="AM1113" s="83" t="str">
        <f aca="false">IF(E1113="","",IF(R1113="","À SOUDER",IF(U1113="","VT EN ATTENTE",IF(U1113="R","VT REJETÉ – À REPRENDRE",IF(AL1113="","À RADIOGRAPHIER",IF(AL1113="A","ACCEPTÉ",IF(AL1113="NX","NX – RT À REFAIRE",IF(IF(AK1113=1,Z1113,IF(AK1113=2,AE1113,""))="A","RÉPARÉ – À RADIOGRAPHIER",IF(IF(AK1113=1,Z1113,IF(AK1113=2,AE1113,""))="R","VT REJETÉ – À REPRENDRE",IF(OR(AL1113="CO",AL1113="NT"),"COUPE – À RESOUDER","À RÉPARER"))))))))))</f>
        <v/>
      </c>
      <c r="AN1113" s="81" t="str">
        <f aca="false">IF(AND(ISNUMBER(R1113),OR(AM1113="À RADIOGRAPHIER",AM1113="RÉPARÉ – À RADIOGRAPHIER",AM1113="NX – RT À REFAIRE",AM1113="À RÉPARER",AM1113="COUPE – À RESOUDER",AM1113="VT REJETÉ – À REPRENDRE")),MAX(0,'PROGRAMME RT'!$C$4-R1113),"")</f>
        <v/>
      </c>
      <c r="AO1113" s="78" t="n">
        <f aca="false">IF(AND(OR(AM1113="À RADIOGRAPHIER",AM1113="RÉPARÉ – À RADIOGRAPHIER",AM1113="NX – RT À REFAIRE"),OR('PROGRAMME RT'!$D$5="TOUTES",B1113='PROGRAMME RT'!$D$5)),1,0)</f>
        <v>0</v>
      </c>
      <c r="AP1113" s="78" t="str">
        <f aca="false">IF(AO1113=1,SUM(AO$7:AO1113),"")</f>
        <v/>
      </c>
      <c r="AQ1113" s="78" t="n">
        <f aca="false">IF(AND(OR(X1113="R",X1113="NX",X1113="NT",X1113="CO"),OR('JOINTS DE RÉPARATION'!$D$5="TOUTES",B1113='JOINTS DE RÉPARATION'!$D$5),OR('JOINTS DE RÉPARATION'!$L$4="TOUS",AM1113&lt;&gt;"ACCEPTÉ")),1,0)</f>
        <v>0</v>
      </c>
      <c r="AR1113" s="78" t="str">
        <f aca="false">IF(AQ1113=1,SUM(AQ$7:AQ1113),"")</f>
        <v/>
      </c>
    </row>
    <row r="1114" customFormat="false" ht="15" hidden="false" customHeight="false" outlineLevel="0" collapsed="false">
      <c r="A1114" s="78" t="str">
        <f aca="false">IF(E1114="","",ROW()-6)</f>
        <v/>
      </c>
      <c r="B1114" s="79"/>
      <c r="C1114" s="80"/>
      <c r="D1114" s="80"/>
      <c r="E1114" s="80"/>
      <c r="F1114" s="80"/>
      <c r="G1114" s="80"/>
      <c r="H1114" s="80"/>
      <c r="I1114" s="80"/>
      <c r="J1114" s="80"/>
      <c r="K1114" s="80"/>
      <c r="L1114" s="81" t="str">
        <f aca="false">IF(K1114="","",IFERROR(INDEX(BARDAGE!$C$7:$C$1506,MATCH(K1114,BARDAGE!$B$7:$B$1506,0)),"? hors registre"))</f>
        <v/>
      </c>
      <c r="M1114" s="80"/>
      <c r="N1114" s="81" t="str">
        <f aca="false">IF(M1114="","",IFERROR(INDEX(BARDAGE!$C$7:$C$1506,MATCH(M1114,BARDAGE!$B$7:$B$1506,0)),"? hors registre"))</f>
        <v/>
      </c>
      <c r="O1114" s="80"/>
      <c r="P1114" s="80"/>
      <c r="Q1114" s="80"/>
      <c r="R1114" s="82"/>
      <c r="S1114" s="82"/>
      <c r="T1114" s="80"/>
      <c r="U1114" s="80"/>
      <c r="V1114" s="82"/>
      <c r="W1114" s="80"/>
      <c r="X1114" s="80"/>
      <c r="Y1114" s="80"/>
      <c r="Z1114" s="80"/>
      <c r="AA1114" s="82"/>
      <c r="AB1114" s="80"/>
      <c r="AC1114" s="80"/>
      <c r="AD1114" s="80"/>
      <c r="AE1114" s="80"/>
      <c r="AF1114" s="82"/>
      <c r="AG1114" s="80"/>
      <c r="AH1114" s="80"/>
      <c r="AI1114" s="82"/>
      <c r="AJ1114" s="79"/>
      <c r="AK1114" s="78" t="str">
        <f aca="false">IF(E1114="","",(X1114&lt;&gt;"")+(AC1114&lt;&gt;"")+(AH1114&lt;&gt;""))</f>
        <v/>
      </c>
      <c r="AL1114" s="81" t="str">
        <f aca="false">IF(AH1114&lt;&gt;"",AH1114,IF(AC1114&lt;&gt;"",AC1114,IF(X1114&lt;&gt;"",X1114,"")))</f>
        <v/>
      </c>
      <c r="AM1114" s="83" t="str">
        <f aca="false">IF(E1114="","",IF(R1114="","À SOUDER",IF(U1114="","VT EN ATTENTE",IF(U1114="R","VT REJETÉ – À REPRENDRE",IF(AL1114="","À RADIOGRAPHIER",IF(AL1114="A","ACCEPTÉ",IF(AL1114="NX","NX – RT À REFAIRE",IF(IF(AK1114=1,Z1114,IF(AK1114=2,AE1114,""))="A","RÉPARÉ – À RADIOGRAPHIER",IF(IF(AK1114=1,Z1114,IF(AK1114=2,AE1114,""))="R","VT REJETÉ – À REPRENDRE",IF(OR(AL1114="CO",AL1114="NT"),"COUPE – À RESOUDER","À RÉPARER"))))))))))</f>
        <v/>
      </c>
      <c r="AN1114" s="81" t="str">
        <f aca="false">IF(AND(ISNUMBER(R1114),OR(AM1114="À RADIOGRAPHIER",AM1114="RÉPARÉ – À RADIOGRAPHIER",AM1114="NX – RT À REFAIRE",AM1114="À RÉPARER",AM1114="COUPE – À RESOUDER",AM1114="VT REJETÉ – À REPRENDRE")),MAX(0,'PROGRAMME RT'!$C$4-R1114),"")</f>
        <v/>
      </c>
      <c r="AO1114" s="78" t="n">
        <f aca="false">IF(AND(OR(AM1114="À RADIOGRAPHIER",AM1114="RÉPARÉ – À RADIOGRAPHIER",AM1114="NX – RT À REFAIRE"),OR('PROGRAMME RT'!$D$5="TOUTES",B1114='PROGRAMME RT'!$D$5)),1,0)</f>
        <v>0</v>
      </c>
      <c r="AP1114" s="78" t="str">
        <f aca="false">IF(AO1114=1,SUM(AO$7:AO1114),"")</f>
        <v/>
      </c>
      <c r="AQ1114" s="78" t="n">
        <f aca="false">IF(AND(OR(X1114="R",X1114="NX",X1114="NT",X1114="CO"),OR('JOINTS DE RÉPARATION'!$D$5="TOUTES",B1114='JOINTS DE RÉPARATION'!$D$5),OR('JOINTS DE RÉPARATION'!$L$4="TOUS",AM1114&lt;&gt;"ACCEPTÉ")),1,0)</f>
        <v>0</v>
      </c>
      <c r="AR1114" s="78" t="str">
        <f aca="false">IF(AQ1114=1,SUM(AQ$7:AQ1114),"")</f>
        <v/>
      </c>
    </row>
    <row r="1115" customFormat="false" ht="15" hidden="false" customHeight="false" outlineLevel="0" collapsed="false">
      <c r="A1115" s="78" t="str">
        <f aca="false">IF(E1115="","",ROW()-6)</f>
        <v/>
      </c>
      <c r="B1115" s="79"/>
      <c r="C1115" s="80"/>
      <c r="D1115" s="80"/>
      <c r="E1115" s="80"/>
      <c r="F1115" s="80"/>
      <c r="G1115" s="80"/>
      <c r="H1115" s="80"/>
      <c r="I1115" s="80"/>
      <c r="J1115" s="80"/>
      <c r="K1115" s="80"/>
      <c r="L1115" s="81" t="str">
        <f aca="false">IF(K1115="","",IFERROR(INDEX(BARDAGE!$C$7:$C$1506,MATCH(K1115,BARDAGE!$B$7:$B$1506,0)),"? hors registre"))</f>
        <v/>
      </c>
      <c r="M1115" s="80"/>
      <c r="N1115" s="81" t="str">
        <f aca="false">IF(M1115="","",IFERROR(INDEX(BARDAGE!$C$7:$C$1506,MATCH(M1115,BARDAGE!$B$7:$B$1506,0)),"? hors registre"))</f>
        <v/>
      </c>
      <c r="O1115" s="80"/>
      <c r="P1115" s="80"/>
      <c r="Q1115" s="80"/>
      <c r="R1115" s="82"/>
      <c r="S1115" s="82"/>
      <c r="T1115" s="80"/>
      <c r="U1115" s="80"/>
      <c r="V1115" s="82"/>
      <c r="W1115" s="80"/>
      <c r="X1115" s="80"/>
      <c r="Y1115" s="80"/>
      <c r="Z1115" s="80"/>
      <c r="AA1115" s="82"/>
      <c r="AB1115" s="80"/>
      <c r="AC1115" s="80"/>
      <c r="AD1115" s="80"/>
      <c r="AE1115" s="80"/>
      <c r="AF1115" s="82"/>
      <c r="AG1115" s="80"/>
      <c r="AH1115" s="80"/>
      <c r="AI1115" s="82"/>
      <c r="AJ1115" s="79"/>
      <c r="AK1115" s="78" t="str">
        <f aca="false">IF(E1115="","",(X1115&lt;&gt;"")+(AC1115&lt;&gt;"")+(AH1115&lt;&gt;""))</f>
        <v/>
      </c>
      <c r="AL1115" s="81" t="str">
        <f aca="false">IF(AH1115&lt;&gt;"",AH1115,IF(AC1115&lt;&gt;"",AC1115,IF(X1115&lt;&gt;"",X1115,"")))</f>
        <v/>
      </c>
      <c r="AM1115" s="83" t="str">
        <f aca="false">IF(E1115="","",IF(R1115="","À SOUDER",IF(U1115="","VT EN ATTENTE",IF(U1115="R","VT REJETÉ – À REPRENDRE",IF(AL1115="","À RADIOGRAPHIER",IF(AL1115="A","ACCEPTÉ",IF(AL1115="NX","NX – RT À REFAIRE",IF(IF(AK1115=1,Z1115,IF(AK1115=2,AE1115,""))="A","RÉPARÉ – À RADIOGRAPHIER",IF(IF(AK1115=1,Z1115,IF(AK1115=2,AE1115,""))="R","VT REJETÉ – À REPRENDRE",IF(OR(AL1115="CO",AL1115="NT"),"COUPE – À RESOUDER","À RÉPARER"))))))))))</f>
        <v/>
      </c>
      <c r="AN1115" s="81" t="str">
        <f aca="false">IF(AND(ISNUMBER(R1115),OR(AM1115="À RADIOGRAPHIER",AM1115="RÉPARÉ – À RADIOGRAPHIER",AM1115="NX – RT À REFAIRE",AM1115="À RÉPARER",AM1115="COUPE – À RESOUDER",AM1115="VT REJETÉ – À REPRENDRE")),MAX(0,'PROGRAMME RT'!$C$4-R1115),"")</f>
        <v/>
      </c>
      <c r="AO1115" s="78" t="n">
        <f aca="false">IF(AND(OR(AM1115="À RADIOGRAPHIER",AM1115="RÉPARÉ – À RADIOGRAPHIER",AM1115="NX – RT À REFAIRE"),OR('PROGRAMME RT'!$D$5="TOUTES",B1115='PROGRAMME RT'!$D$5)),1,0)</f>
        <v>0</v>
      </c>
      <c r="AP1115" s="78" t="str">
        <f aca="false">IF(AO1115=1,SUM(AO$7:AO1115),"")</f>
        <v/>
      </c>
      <c r="AQ1115" s="78" t="n">
        <f aca="false">IF(AND(OR(X1115="R",X1115="NX",X1115="NT",X1115="CO"),OR('JOINTS DE RÉPARATION'!$D$5="TOUTES",B1115='JOINTS DE RÉPARATION'!$D$5),OR('JOINTS DE RÉPARATION'!$L$4="TOUS",AM1115&lt;&gt;"ACCEPTÉ")),1,0)</f>
        <v>0</v>
      </c>
      <c r="AR1115" s="78" t="str">
        <f aca="false">IF(AQ1115=1,SUM(AQ$7:AQ1115),"")</f>
        <v/>
      </c>
    </row>
    <row r="1116" customFormat="false" ht="15" hidden="false" customHeight="false" outlineLevel="0" collapsed="false">
      <c r="A1116" s="78" t="str">
        <f aca="false">IF(E1116="","",ROW()-6)</f>
        <v/>
      </c>
      <c r="B1116" s="79"/>
      <c r="C1116" s="80"/>
      <c r="D1116" s="80"/>
      <c r="E1116" s="80"/>
      <c r="F1116" s="80"/>
      <c r="G1116" s="80"/>
      <c r="H1116" s="80"/>
      <c r="I1116" s="80"/>
      <c r="J1116" s="80"/>
      <c r="K1116" s="80"/>
      <c r="L1116" s="81" t="str">
        <f aca="false">IF(K1116="","",IFERROR(INDEX(BARDAGE!$C$7:$C$1506,MATCH(K1116,BARDAGE!$B$7:$B$1506,0)),"? hors registre"))</f>
        <v/>
      </c>
      <c r="M1116" s="80"/>
      <c r="N1116" s="81" t="str">
        <f aca="false">IF(M1116="","",IFERROR(INDEX(BARDAGE!$C$7:$C$1506,MATCH(M1116,BARDAGE!$B$7:$B$1506,0)),"? hors registre"))</f>
        <v/>
      </c>
      <c r="O1116" s="80"/>
      <c r="P1116" s="80"/>
      <c r="Q1116" s="80"/>
      <c r="R1116" s="82"/>
      <c r="S1116" s="82"/>
      <c r="T1116" s="80"/>
      <c r="U1116" s="80"/>
      <c r="V1116" s="82"/>
      <c r="W1116" s="80"/>
      <c r="X1116" s="80"/>
      <c r="Y1116" s="80"/>
      <c r="Z1116" s="80"/>
      <c r="AA1116" s="82"/>
      <c r="AB1116" s="80"/>
      <c r="AC1116" s="80"/>
      <c r="AD1116" s="80"/>
      <c r="AE1116" s="80"/>
      <c r="AF1116" s="82"/>
      <c r="AG1116" s="80"/>
      <c r="AH1116" s="80"/>
      <c r="AI1116" s="82"/>
      <c r="AJ1116" s="79"/>
      <c r="AK1116" s="78" t="str">
        <f aca="false">IF(E1116="","",(X1116&lt;&gt;"")+(AC1116&lt;&gt;"")+(AH1116&lt;&gt;""))</f>
        <v/>
      </c>
      <c r="AL1116" s="81" t="str">
        <f aca="false">IF(AH1116&lt;&gt;"",AH1116,IF(AC1116&lt;&gt;"",AC1116,IF(X1116&lt;&gt;"",X1116,"")))</f>
        <v/>
      </c>
      <c r="AM1116" s="83" t="str">
        <f aca="false">IF(E1116="","",IF(R1116="","À SOUDER",IF(U1116="","VT EN ATTENTE",IF(U1116="R","VT REJETÉ – À REPRENDRE",IF(AL1116="","À RADIOGRAPHIER",IF(AL1116="A","ACCEPTÉ",IF(AL1116="NX","NX – RT À REFAIRE",IF(IF(AK1116=1,Z1116,IF(AK1116=2,AE1116,""))="A","RÉPARÉ – À RADIOGRAPHIER",IF(IF(AK1116=1,Z1116,IF(AK1116=2,AE1116,""))="R","VT REJETÉ – À REPRENDRE",IF(OR(AL1116="CO",AL1116="NT"),"COUPE – À RESOUDER","À RÉPARER"))))))))))</f>
        <v/>
      </c>
      <c r="AN1116" s="81" t="str">
        <f aca="false">IF(AND(ISNUMBER(R1116),OR(AM1116="À RADIOGRAPHIER",AM1116="RÉPARÉ – À RADIOGRAPHIER",AM1116="NX – RT À REFAIRE",AM1116="À RÉPARER",AM1116="COUPE – À RESOUDER",AM1116="VT REJETÉ – À REPRENDRE")),MAX(0,'PROGRAMME RT'!$C$4-R1116),"")</f>
        <v/>
      </c>
      <c r="AO1116" s="78" t="n">
        <f aca="false">IF(AND(OR(AM1116="À RADIOGRAPHIER",AM1116="RÉPARÉ – À RADIOGRAPHIER",AM1116="NX – RT À REFAIRE"),OR('PROGRAMME RT'!$D$5="TOUTES",B1116='PROGRAMME RT'!$D$5)),1,0)</f>
        <v>0</v>
      </c>
      <c r="AP1116" s="78" t="str">
        <f aca="false">IF(AO1116=1,SUM(AO$7:AO1116),"")</f>
        <v/>
      </c>
      <c r="AQ1116" s="78" t="n">
        <f aca="false">IF(AND(OR(X1116="R",X1116="NX",X1116="NT",X1116="CO"),OR('JOINTS DE RÉPARATION'!$D$5="TOUTES",B1116='JOINTS DE RÉPARATION'!$D$5),OR('JOINTS DE RÉPARATION'!$L$4="TOUS",AM1116&lt;&gt;"ACCEPTÉ")),1,0)</f>
        <v>0</v>
      </c>
      <c r="AR1116" s="78" t="str">
        <f aca="false">IF(AQ1116=1,SUM(AQ$7:AQ1116),"")</f>
        <v/>
      </c>
    </row>
    <row r="1117" customFormat="false" ht="15" hidden="false" customHeight="false" outlineLevel="0" collapsed="false">
      <c r="A1117" s="78" t="str">
        <f aca="false">IF(E1117="","",ROW()-6)</f>
        <v/>
      </c>
      <c r="B1117" s="79"/>
      <c r="C1117" s="80"/>
      <c r="D1117" s="80"/>
      <c r="E1117" s="80"/>
      <c r="F1117" s="80"/>
      <c r="G1117" s="80"/>
      <c r="H1117" s="80"/>
      <c r="I1117" s="80"/>
      <c r="J1117" s="80"/>
      <c r="K1117" s="80"/>
      <c r="L1117" s="81" t="str">
        <f aca="false">IF(K1117="","",IFERROR(INDEX(BARDAGE!$C$7:$C$1506,MATCH(K1117,BARDAGE!$B$7:$B$1506,0)),"? hors registre"))</f>
        <v/>
      </c>
      <c r="M1117" s="80"/>
      <c r="N1117" s="81" t="str">
        <f aca="false">IF(M1117="","",IFERROR(INDEX(BARDAGE!$C$7:$C$1506,MATCH(M1117,BARDAGE!$B$7:$B$1506,0)),"? hors registre"))</f>
        <v/>
      </c>
      <c r="O1117" s="80"/>
      <c r="P1117" s="80"/>
      <c r="Q1117" s="80"/>
      <c r="R1117" s="82"/>
      <c r="S1117" s="82"/>
      <c r="T1117" s="80"/>
      <c r="U1117" s="80"/>
      <c r="V1117" s="82"/>
      <c r="W1117" s="80"/>
      <c r="X1117" s="80"/>
      <c r="Y1117" s="80"/>
      <c r="Z1117" s="80"/>
      <c r="AA1117" s="82"/>
      <c r="AB1117" s="80"/>
      <c r="AC1117" s="80"/>
      <c r="AD1117" s="80"/>
      <c r="AE1117" s="80"/>
      <c r="AF1117" s="82"/>
      <c r="AG1117" s="80"/>
      <c r="AH1117" s="80"/>
      <c r="AI1117" s="82"/>
      <c r="AJ1117" s="79"/>
      <c r="AK1117" s="78" t="str">
        <f aca="false">IF(E1117="","",(X1117&lt;&gt;"")+(AC1117&lt;&gt;"")+(AH1117&lt;&gt;""))</f>
        <v/>
      </c>
      <c r="AL1117" s="81" t="str">
        <f aca="false">IF(AH1117&lt;&gt;"",AH1117,IF(AC1117&lt;&gt;"",AC1117,IF(X1117&lt;&gt;"",X1117,"")))</f>
        <v/>
      </c>
      <c r="AM1117" s="83" t="str">
        <f aca="false">IF(E1117="","",IF(R1117="","À SOUDER",IF(U1117="","VT EN ATTENTE",IF(U1117="R","VT REJETÉ – À REPRENDRE",IF(AL1117="","À RADIOGRAPHIER",IF(AL1117="A","ACCEPTÉ",IF(AL1117="NX","NX – RT À REFAIRE",IF(IF(AK1117=1,Z1117,IF(AK1117=2,AE1117,""))="A","RÉPARÉ – À RADIOGRAPHIER",IF(IF(AK1117=1,Z1117,IF(AK1117=2,AE1117,""))="R","VT REJETÉ – À REPRENDRE",IF(OR(AL1117="CO",AL1117="NT"),"COUPE – À RESOUDER","À RÉPARER"))))))))))</f>
        <v/>
      </c>
      <c r="AN1117" s="81" t="str">
        <f aca="false">IF(AND(ISNUMBER(R1117),OR(AM1117="À RADIOGRAPHIER",AM1117="RÉPARÉ – À RADIOGRAPHIER",AM1117="NX – RT À REFAIRE",AM1117="À RÉPARER",AM1117="COUPE – À RESOUDER",AM1117="VT REJETÉ – À REPRENDRE")),MAX(0,'PROGRAMME RT'!$C$4-R1117),"")</f>
        <v/>
      </c>
      <c r="AO1117" s="78" t="n">
        <f aca="false">IF(AND(OR(AM1117="À RADIOGRAPHIER",AM1117="RÉPARÉ – À RADIOGRAPHIER",AM1117="NX – RT À REFAIRE"),OR('PROGRAMME RT'!$D$5="TOUTES",B1117='PROGRAMME RT'!$D$5)),1,0)</f>
        <v>0</v>
      </c>
      <c r="AP1117" s="78" t="str">
        <f aca="false">IF(AO1117=1,SUM(AO$7:AO1117),"")</f>
        <v/>
      </c>
      <c r="AQ1117" s="78" t="n">
        <f aca="false">IF(AND(OR(X1117="R",X1117="NX",X1117="NT",X1117="CO"),OR('JOINTS DE RÉPARATION'!$D$5="TOUTES",B1117='JOINTS DE RÉPARATION'!$D$5),OR('JOINTS DE RÉPARATION'!$L$4="TOUS",AM1117&lt;&gt;"ACCEPTÉ")),1,0)</f>
        <v>0</v>
      </c>
      <c r="AR1117" s="78" t="str">
        <f aca="false">IF(AQ1117=1,SUM(AQ$7:AQ1117),"")</f>
        <v/>
      </c>
    </row>
    <row r="1118" customFormat="false" ht="15" hidden="false" customHeight="false" outlineLevel="0" collapsed="false">
      <c r="A1118" s="78" t="str">
        <f aca="false">IF(E1118="","",ROW()-6)</f>
        <v/>
      </c>
      <c r="B1118" s="79"/>
      <c r="C1118" s="80"/>
      <c r="D1118" s="80"/>
      <c r="E1118" s="80"/>
      <c r="F1118" s="80"/>
      <c r="G1118" s="80"/>
      <c r="H1118" s="80"/>
      <c r="I1118" s="80"/>
      <c r="J1118" s="80"/>
      <c r="K1118" s="80"/>
      <c r="L1118" s="81" t="str">
        <f aca="false">IF(K1118="","",IFERROR(INDEX(BARDAGE!$C$7:$C$1506,MATCH(K1118,BARDAGE!$B$7:$B$1506,0)),"? hors registre"))</f>
        <v/>
      </c>
      <c r="M1118" s="80"/>
      <c r="N1118" s="81" t="str">
        <f aca="false">IF(M1118="","",IFERROR(INDEX(BARDAGE!$C$7:$C$1506,MATCH(M1118,BARDAGE!$B$7:$B$1506,0)),"? hors registre"))</f>
        <v/>
      </c>
      <c r="O1118" s="80"/>
      <c r="P1118" s="80"/>
      <c r="Q1118" s="80"/>
      <c r="R1118" s="82"/>
      <c r="S1118" s="82"/>
      <c r="T1118" s="80"/>
      <c r="U1118" s="80"/>
      <c r="V1118" s="82"/>
      <c r="W1118" s="80"/>
      <c r="X1118" s="80"/>
      <c r="Y1118" s="80"/>
      <c r="Z1118" s="80"/>
      <c r="AA1118" s="82"/>
      <c r="AB1118" s="80"/>
      <c r="AC1118" s="80"/>
      <c r="AD1118" s="80"/>
      <c r="AE1118" s="80"/>
      <c r="AF1118" s="82"/>
      <c r="AG1118" s="80"/>
      <c r="AH1118" s="80"/>
      <c r="AI1118" s="82"/>
      <c r="AJ1118" s="79"/>
      <c r="AK1118" s="78" t="str">
        <f aca="false">IF(E1118="","",(X1118&lt;&gt;"")+(AC1118&lt;&gt;"")+(AH1118&lt;&gt;""))</f>
        <v/>
      </c>
      <c r="AL1118" s="81" t="str">
        <f aca="false">IF(AH1118&lt;&gt;"",AH1118,IF(AC1118&lt;&gt;"",AC1118,IF(X1118&lt;&gt;"",X1118,"")))</f>
        <v/>
      </c>
      <c r="AM1118" s="83" t="str">
        <f aca="false">IF(E1118="","",IF(R1118="","À SOUDER",IF(U1118="","VT EN ATTENTE",IF(U1118="R","VT REJETÉ – À REPRENDRE",IF(AL1118="","À RADIOGRAPHIER",IF(AL1118="A","ACCEPTÉ",IF(AL1118="NX","NX – RT À REFAIRE",IF(IF(AK1118=1,Z1118,IF(AK1118=2,AE1118,""))="A","RÉPARÉ – À RADIOGRAPHIER",IF(IF(AK1118=1,Z1118,IF(AK1118=2,AE1118,""))="R","VT REJETÉ – À REPRENDRE",IF(OR(AL1118="CO",AL1118="NT"),"COUPE – À RESOUDER","À RÉPARER"))))))))))</f>
        <v/>
      </c>
      <c r="AN1118" s="81" t="str">
        <f aca="false">IF(AND(ISNUMBER(R1118),OR(AM1118="À RADIOGRAPHIER",AM1118="RÉPARÉ – À RADIOGRAPHIER",AM1118="NX – RT À REFAIRE",AM1118="À RÉPARER",AM1118="COUPE – À RESOUDER",AM1118="VT REJETÉ – À REPRENDRE")),MAX(0,'PROGRAMME RT'!$C$4-R1118),"")</f>
        <v/>
      </c>
      <c r="AO1118" s="78" t="n">
        <f aca="false">IF(AND(OR(AM1118="À RADIOGRAPHIER",AM1118="RÉPARÉ – À RADIOGRAPHIER",AM1118="NX – RT À REFAIRE"),OR('PROGRAMME RT'!$D$5="TOUTES",B1118='PROGRAMME RT'!$D$5)),1,0)</f>
        <v>0</v>
      </c>
      <c r="AP1118" s="78" t="str">
        <f aca="false">IF(AO1118=1,SUM(AO$7:AO1118),"")</f>
        <v/>
      </c>
      <c r="AQ1118" s="78" t="n">
        <f aca="false">IF(AND(OR(X1118="R",X1118="NX",X1118="NT",X1118="CO"),OR('JOINTS DE RÉPARATION'!$D$5="TOUTES",B1118='JOINTS DE RÉPARATION'!$D$5),OR('JOINTS DE RÉPARATION'!$L$4="TOUS",AM1118&lt;&gt;"ACCEPTÉ")),1,0)</f>
        <v>0</v>
      </c>
      <c r="AR1118" s="78" t="str">
        <f aca="false">IF(AQ1118=1,SUM(AQ$7:AQ1118),"")</f>
        <v/>
      </c>
    </row>
    <row r="1119" customFormat="false" ht="15" hidden="false" customHeight="false" outlineLevel="0" collapsed="false">
      <c r="A1119" s="78" t="str">
        <f aca="false">IF(E1119="","",ROW()-6)</f>
        <v/>
      </c>
      <c r="B1119" s="79"/>
      <c r="C1119" s="80"/>
      <c r="D1119" s="80"/>
      <c r="E1119" s="80"/>
      <c r="F1119" s="80"/>
      <c r="G1119" s="80"/>
      <c r="H1119" s="80"/>
      <c r="I1119" s="80"/>
      <c r="J1119" s="80"/>
      <c r="K1119" s="80"/>
      <c r="L1119" s="81" t="str">
        <f aca="false">IF(K1119="","",IFERROR(INDEX(BARDAGE!$C$7:$C$1506,MATCH(K1119,BARDAGE!$B$7:$B$1506,0)),"? hors registre"))</f>
        <v/>
      </c>
      <c r="M1119" s="80"/>
      <c r="N1119" s="81" t="str">
        <f aca="false">IF(M1119="","",IFERROR(INDEX(BARDAGE!$C$7:$C$1506,MATCH(M1119,BARDAGE!$B$7:$B$1506,0)),"? hors registre"))</f>
        <v/>
      </c>
      <c r="O1119" s="80"/>
      <c r="P1119" s="80"/>
      <c r="Q1119" s="80"/>
      <c r="R1119" s="82"/>
      <c r="S1119" s="82"/>
      <c r="T1119" s="80"/>
      <c r="U1119" s="80"/>
      <c r="V1119" s="82"/>
      <c r="W1119" s="80"/>
      <c r="X1119" s="80"/>
      <c r="Y1119" s="80"/>
      <c r="Z1119" s="80"/>
      <c r="AA1119" s="82"/>
      <c r="AB1119" s="80"/>
      <c r="AC1119" s="80"/>
      <c r="AD1119" s="80"/>
      <c r="AE1119" s="80"/>
      <c r="AF1119" s="82"/>
      <c r="AG1119" s="80"/>
      <c r="AH1119" s="80"/>
      <c r="AI1119" s="82"/>
      <c r="AJ1119" s="79"/>
      <c r="AK1119" s="78" t="str">
        <f aca="false">IF(E1119="","",(X1119&lt;&gt;"")+(AC1119&lt;&gt;"")+(AH1119&lt;&gt;""))</f>
        <v/>
      </c>
      <c r="AL1119" s="81" t="str">
        <f aca="false">IF(AH1119&lt;&gt;"",AH1119,IF(AC1119&lt;&gt;"",AC1119,IF(X1119&lt;&gt;"",X1119,"")))</f>
        <v/>
      </c>
      <c r="AM1119" s="83" t="str">
        <f aca="false">IF(E1119="","",IF(R1119="","À SOUDER",IF(U1119="","VT EN ATTENTE",IF(U1119="R","VT REJETÉ – À REPRENDRE",IF(AL1119="","À RADIOGRAPHIER",IF(AL1119="A","ACCEPTÉ",IF(AL1119="NX","NX – RT À REFAIRE",IF(IF(AK1119=1,Z1119,IF(AK1119=2,AE1119,""))="A","RÉPARÉ – À RADIOGRAPHIER",IF(IF(AK1119=1,Z1119,IF(AK1119=2,AE1119,""))="R","VT REJETÉ – À REPRENDRE",IF(OR(AL1119="CO",AL1119="NT"),"COUPE – À RESOUDER","À RÉPARER"))))))))))</f>
        <v/>
      </c>
      <c r="AN1119" s="81" t="str">
        <f aca="false">IF(AND(ISNUMBER(R1119),OR(AM1119="À RADIOGRAPHIER",AM1119="RÉPARÉ – À RADIOGRAPHIER",AM1119="NX – RT À REFAIRE",AM1119="À RÉPARER",AM1119="COUPE – À RESOUDER",AM1119="VT REJETÉ – À REPRENDRE")),MAX(0,'PROGRAMME RT'!$C$4-R1119),"")</f>
        <v/>
      </c>
      <c r="AO1119" s="78" t="n">
        <f aca="false">IF(AND(OR(AM1119="À RADIOGRAPHIER",AM1119="RÉPARÉ – À RADIOGRAPHIER",AM1119="NX – RT À REFAIRE"),OR('PROGRAMME RT'!$D$5="TOUTES",B1119='PROGRAMME RT'!$D$5)),1,0)</f>
        <v>0</v>
      </c>
      <c r="AP1119" s="78" t="str">
        <f aca="false">IF(AO1119=1,SUM(AO$7:AO1119),"")</f>
        <v/>
      </c>
      <c r="AQ1119" s="78" t="n">
        <f aca="false">IF(AND(OR(X1119="R",X1119="NX",X1119="NT",X1119="CO"),OR('JOINTS DE RÉPARATION'!$D$5="TOUTES",B1119='JOINTS DE RÉPARATION'!$D$5),OR('JOINTS DE RÉPARATION'!$L$4="TOUS",AM1119&lt;&gt;"ACCEPTÉ")),1,0)</f>
        <v>0</v>
      </c>
      <c r="AR1119" s="78" t="str">
        <f aca="false">IF(AQ1119=1,SUM(AQ$7:AQ1119),"")</f>
        <v/>
      </c>
    </row>
    <row r="1120" customFormat="false" ht="15" hidden="false" customHeight="false" outlineLevel="0" collapsed="false">
      <c r="A1120" s="78" t="str">
        <f aca="false">IF(E1120="","",ROW()-6)</f>
        <v/>
      </c>
      <c r="B1120" s="79"/>
      <c r="C1120" s="80"/>
      <c r="D1120" s="80"/>
      <c r="E1120" s="80"/>
      <c r="F1120" s="80"/>
      <c r="G1120" s="80"/>
      <c r="H1120" s="80"/>
      <c r="I1120" s="80"/>
      <c r="J1120" s="80"/>
      <c r="K1120" s="80"/>
      <c r="L1120" s="81" t="str">
        <f aca="false">IF(K1120="","",IFERROR(INDEX(BARDAGE!$C$7:$C$1506,MATCH(K1120,BARDAGE!$B$7:$B$1506,0)),"? hors registre"))</f>
        <v/>
      </c>
      <c r="M1120" s="80"/>
      <c r="N1120" s="81" t="str">
        <f aca="false">IF(M1120="","",IFERROR(INDEX(BARDAGE!$C$7:$C$1506,MATCH(M1120,BARDAGE!$B$7:$B$1506,0)),"? hors registre"))</f>
        <v/>
      </c>
      <c r="O1120" s="80"/>
      <c r="P1120" s="80"/>
      <c r="Q1120" s="80"/>
      <c r="R1120" s="82"/>
      <c r="S1120" s="82"/>
      <c r="T1120" s="80"/>
      <c r="U1120" s="80"/>
      <c r="V1120" s="82"/>
      <c r="W1120" s="80"/>
      <c r="X1120" s="80"/>
      <c r="Y1120" s="80"/>
      <c r="Z1120" s="80"/>
      <c r="AA1120" s="82"/>
      <c r="AB1120" s="80"/>
      <c r="AC1120" s="80"/>
      <c r="AD1120" s="80"/>
      <c r="AE1120" s="80"/>
      <c r="AF1120" s="82"/>
      <c r="AG1120" s="80"/>
      <c r="AH1120" s="80"/>
      <c r="AI1120" s="82"/>
      <c r="AJ1120" s="79"/>
      <c r="AK1120" s="78" t="str">
        <f aca="false">IF(E1120="","",(X1120&lt;&gt;"")+(AC1120&lt;&gt;"")+(AH1120&lt;&gt;""))</f>
        <v/>
      </c>
      <c r="AL1120" s="81" t="str">
        <f aca="false">IF(AH1120&lt;&gt;"",AH1120,IF(AC1120&lt;&gt;"",AC1120,IF(X1120&lt;&gt;"",X1120,"")))</f>
        <v/>
      </c>
      <c r="AM1120" s="83" t="str">
        <f aca="false">IF(E1120="","",IF(R1120="","À SOUDER",IF(U1120="","VT EN ATTENTE",IF(U1120="R","VT REJETÉ – À REPRENDRE",IF(AL1120="","À RADIOGRAPHIER",IF(AL1120="A","ACCEPTÉ",IF(AL1120="NX","NX – RT À REFAIRE",IF(IF(AK1120=1,Z1120,IF(AK1120=2,AE1120,""))="A","RÉPARÉ – À RADIOGRAPHIER",IF(IF(AK1120=1,Z1120,IF(AK1120=2,AE1120,""))="R","VT REJETÉ – À REPRENDRE",IF(OR(AL1120="CO",AL1120="NT"),"COUPE – À RESOUDER","À RÉPARER"))))))))))</f>
        <v/>
      </c>
      <c r="AN1120" s="81" t="str">
        <f aca="false">IF(AND(ISNUMBER(R1120),OR(AM1120="À RADIOGRAPHIER",AM1120="RÉPARÉ – À RADIOGRAPHIER",AM1120="NX – RT À REFAIRE",AM1120="À RÉPARER",AM1120="COUPE – À RESOUDER",AM1120="VT REJETÉ – À REPRENDRE")),MAX(0,'PROGRAMME RT'!$C$4-R1120),"")</f>
        <v/>
      </c>
      <c r="AO1120" s="78" t="n">
        <f aca="false">IF(AND(OR(AM1120="À RADIOGRAPHIER",AM1120="RÉPARÉ – À RADIOGRAPHIER",AM1120="NX – RT À REFAIRE"),OR('PROGRAMME RT'!$D$5="TOUTES",B1120='PROGRAMME RT'!$D$5)),1,0)</f>
        <v>0</v>
      </c>
      <c r="AP1120" s="78" t="str">
        <f aca="false">IF(AO1120=1,SUM(AO$7:AO1120),"")</f>
        <v/>
      </c>
      <c r="AQ1120" s="78" t="n">
        <f aca="false">IF(AND(OR(X1120="R",X1120="NX",X1120="NT",X1120="CO"),OR('JOINTS DE RÉPARATION'!$D$5="TOUTES",B1120='JOINTS DE RÉPARATION'!$D$5),OR('JOINTS DE RÉPARATION'!$L$4="TOUS",AM1120&lt;&gt;"ACCEPTÉ")),1,0)</f>
        <v>0</v>
      </c>
      <c r="AR1120" s="78" t="str">
        <f aca="false">IF(AQ1120=1,SUM(AQ$7:AQ1120),"")</f>
        <v/>
      </c>
    </row>
    <row r="1121" customFormat="false" ht="15" hidden="false" customHeight="false" outlineLevel="0" collapsed="false">
      <c r="A1121" s="78" t="str">
        <f aca="false">IF(E1121="","",ROW()-6)</f>
        <v/>
      </c>
      <c r="B1121" s="79"/>
      <c r="C1121" s="80"/>
      <c r="D1121" s="80"/>
      <c r="E1121" s="80"/>
      <c r="F1121" s="80"/>
      <c r="G1121" s="80"/>
      <c r="H1121" s="80"/>
      <c r="I1121" s="80"/>
      <c r="J1121" s="80"/>
      <c r="K1121" s="80"/>
      <c r="L1121" s="81" t="str">
        <f aca="false">IF(K1121="","",IFERROR(INDEX(BARDAGE!$C$7:$C$1506,MATCH(K1121,BARDAGE!$B$7:$B$1506,0)),"? hors registre"))</f>
        <v/>
      </c>
      <c r="M1121" s="80"/>
      <c r="N1121" s="81" t="str">
        <f aca="false">IF(M1121="","",IFERROR(INDEX(BARDAGE!$C$7:$C$1506,MATCH(M1121,BARDAGE!$B$7:$B$1506,0)),"? hors registre"))</f>
        <v/>
      </c>
      <c r="O1121" s="80"/>
      <c r="P1121" s="80"/>
      <c r="Q1121" s="80"/>
      <c r="R1121" s="82"/>
      <c r="S1121" s="82"/>
      <c r="T1121" s="80"/>
      <c r="U1121" s="80"/>
      <c r="V1121" s="82"/>
      <c r="W1121" s="80"/>
      <c r="X1121" s="80"/>
      <c r="Y1121" s="80"/>
      <c r="Z1121" s="80"/>
      <c r="AA1121" s="82"/>
      <c r="AB1121" s="80"/>
      <c r="AC1121" s="80"/>
      <c r="AD1121" s="80"/>
      <c r="AE1121" s="80"/>
      <c r="AF1121" s="82"/>
      <c r="AG1121" s="80"/>
      <c r="AH1121" s="80"/>
      <c r="AI1121" s="82"/>
      <c r="AJ1121" s="79"/>
      <c r="AK1121" s="78" t="str">
        <f aca="false">IF(E1121="","",(X1121&lt;&gt;"")+(AC1121&lt;&gt;"")+(AH1121&lt;&gt;""))</f>
        <v/>
      </c>
      <c r="AL1121" s="81" t="str">
        <f aca="false">IF(AH1121&lt;&gt;"",AH1121,IF(AC1121&lt;&gt;"",AC1121,IF(X1121&lt;&gt;"",X1121,"")))</f>
        <v/>
      </c>
      <c r="AM1121" s="83" t="str">
        <f aca="false">IF(E1121="","",IF(R1121="","À SOUDER",IF(U1121="","VT EN ATTENTE",IF(U1121="R","VT REJETÉ – À REPRENDRE",IF(AL1121="","À RADIOGRAPHIER",IF(AL1121="A","ACCEPTÉ",IF(AL1121="NX","NX – RT À REFAIRE",IF(IF(AK1121=1,Z1121,IF(AK1121=2,AE1121,""))="A","RÉPARÉ – À RADIOGRAPHIER",IF(IF(AK1121=1,Z1121,IF(AK1121=2,AE1121,""))="R","VT REJETÉ – À REPRENDRE",IF(OR(AL1121="CO",AL1121="NT"),"COUPE – À RESOUDER","À RÉPARER"))))))))))</f>
        <v/>
      </c>
      <c r="AN1121" s="81" t="str">
        <f aca="false">IF(AND(ISNUMBER(R1121),OR(AM1121="À RADIOGRAPHIER",AM1121="RÉPARÉ – À RADIOGRAPHIER",AM1121="NX – RT À REFAIRE",AM1121="À RÉPARER",AM1121="COUPE – À RESOUDER",AM1121="VT REJETÉ – À REPRENDRE")),MAX(0,'PROGRAMME RT'!$C$4-R1121),"")</f>
        <v/>
      </c>
      <c r="AO1121" s="78" t="n">
        <f aca="false">IF(AND(OR(AM1121="À RADIOGRAPHIER",AM1121="RÉPARÉ – À RADIOGRAPHIER",AM1121="NX – RT À REFAIRE"),OR('PROGRAMME RT'!$D$5="TOUTES",B1121='PROGRAMME RT'!$D$5)),1,0)</f>
        <v>0</v>
      </c>
      <c r="AP1121" s="78" t="str">
        <f aca="false">IF(AO1121=1,SUM(AO$7:AO1121),"")</f>
        <v/>
      </c>
      <c r="AQ1121" s="78" t="n">
        <f aca="false">IF(AND(OR(X1121="R",X1121="NX",X1121="NT",X1121="CO"),OR('JOINTS DE RÉPARATION'!$D$5="TOUTES",B1121='JOINTS DE RÉPARATION'!$D$5),OR('JOINTS DE RÉPARATION'!$L$4="TOUS",AM1121&lt;&gt;"ACCEPTÉ")),1,0)</f>
        <v>0</v>
      </c>
      <c r="AR1121" s="78" t="str">
        <f aca="false">IF(AQ1121=1,SUM(AQ$7:AQ1121),"")</f>
        <v/>
      </c>
    </row>
    <row r="1122" customFormat="false" ht="15" hidden="false" customHeight="false" outlineLevel="0" collapsed="false">
      <c r="A1122" s="78" t="str">
        <f aca="false">IF(E1122="","",ROW()-6)</f>
        <v/>
      </c>
      <c r="B1122" s="79"/>
      <c r="C1122" s="80"/>
      <c r="D1122" s="80"/>
      <c r="E1122" s="80"/>
      <c r="F1122" s="80"/>
      <c r="G1122" s="80"/>
      <c r="H1122" s="80"/>
      <c r="I1122" s="80"/>
      <c r="J1122" s="80"/>
      <c r="K1122" s="80"/>
      <c r="L1122" s="81" t="str">
        <f aca="false">IF(K1122="","",IFERROR(INDEX(BARDAGE!$C$7:$C$1506,MATCH(K1122,BARDAGE!$B$7:$B$1506,0)),"? hors registre"))</f>
        <v/>
      </c>
      <c r="M1122" s="80"/>
      <c r="N1122" s="81" t="str">
        <f aca="false">IF(M1122="","",IFERROR(INDEX(BARDAGE!$C$7:$C$1506,MATCH(M1122,BARDAGE!$B$7:$B$1506,0)),"? hors registre"))</f>
        <v/>
      </c>
      <c r="O1122" s="80"/>
      <c r="P1122" s="80"/>
      <c r="Q1122" s="80"/>
      <c r="R1122" s="82"/>
      <c r="S1122" s="82"/>
      <c r="T1122" s="80"/>
      <c r="U1122" s="80"/>
      <c r="V1122" s="82"/>
      <c r="W1122" s="80"/>
      <c r="X1122" s="80"/>
      <c r="Y1122" s="80"/>
      <c r="Z1122" s="80"/>
      <c r="AA1122" s="82"/>
      <c r="AB1122" s="80"/>
      <c r="AC1122" s="80"/>
      <c r="AD1122" s="80"/>
      <c r="AE1122" s="80"/>
      <c r="AF1122" s="82"/>
      <c r="AG1122" s="80"/>
      <c r="AH1122" s="80"/>
      <c r="AI1122" s="82"/>
      <c r="AJ1122" s="79"/>
      <c r="AK1122" s="78" t="str">
        <f aca="false">IF(E1122="","",(X1122&lt;&gt;"")+(AC1122&lt;&gt;"")+(AH1122&lt;&gt;""))</f>
        <v/>
      </c>
      <c r="AL1122" s="81" t="str">
        <f aca="false">IF(AH1122&lt;&gt;"",AH1122,IF(AC1122&lt;&gt;"",AC1122,IF(X1122&lt;&gt;"",X1122,"")))</f>
        <v/>
      </c>
      <c r="AM1122" s="83" t="str">
        <f aca="false">IF(E1122="","",IF(R1122="","À SOUDER",IF(U1122="","VT EN ATTENTE",IF(U1122="R","VT REJETÉ – À REPRENDRE",IF(AL1122="","À RADIOGRAPHIER",IF(AL1122="A","ACCEPTÉ",IF(AL1122="NX","NX – RT À REFAIRE",IF(IF(AK1122=1,Z1122,IF(AK1122=2,AE1122,""))="A","RÉPARÉ – À RADIOGRAPHIER",IF(IF(AK1122=1,Z1122,IF(AK1122=2,AE1122,""))="R","VT REJETÉ – À REPRENDRE",IF(OR(AL1122="CO",AL1122="NT"),"COUPE – À RESOUDER","À RÉPARER"))))))))))</f>
        <v/>
      </c>
      <c r="AN1122" s="81" t="str">
        <f aca="false">IF(AND(ISNUMBER(R1122),OR(AM1122="À RADIOGRAPHIER",AM1122="RÉPARÉ – À RADIOGRAPHIER",AM1122="NX – RT À REFAIRE",AM1122="À RÉPARER",AM1122="COUPE – À RESOUDER",AM1122="VT REJETÉ – À REPRENDRE")),MAX(0,'PROGRAMME RT'!$C$4-R1122),"")</f>
        <v/>
      </c>
      <c r="AO1122" s="78" t="n">
        <f aca="false">IF(AND(OR(AM1122="À RADIOGRAPHIER",AM1122="RÉPARÉ – À RADIOGRAPHIER",AM1122="NX – RT À REFAIRE"),OR('PROGRAMME RT'!$D$5="TOUTES",B1122='PROGRAMME RT'!$D$5)),1,0)</f>
        <v>0</v>
      </c>
      <c r="AP1122" s="78" t="str">
        <f aca="false">IF(AO1122=1,SUM(AO$7:AO1122),"")</f>
        <v/>
      </c>
      <c r="AQ1122" s="78" t="n">
        <f aca="false">IF(AND(OR(X1122="R",X1122="NX",X1122="NT",X1122="CO"),OR('JOINTS DE RÉPARATION'!$D$5="TOUTES",B1122='JOINTS DE RÉPARATION'!$D$5),OR('JOINTS DE RÉPARATION'!$L$4="TOUS",AM1122&lt;&gt;"ACCEPTÉ")),1,0)</f>
        <v>0</v>
      </c>
      <c r="AR1122" s="78" t="str">
        <f aca="false">IF(AQ1122=1,SUM(AQ$7:AQ1122),"")</f>
        <v/>
      </c>
    </row>
    <row r="1123" customFormat="false" ht="15" hidden="false" customHeight="false" outlineLevel="0" collapsed="false">
      <c r="A1123" s="78" t="str">
        <f aca="false">IF(E1123="","",ROW()-6)</f>
        <v/>
      </c>
      <c r="B1123" s="79"/>
      <c r="C1123" s="80"/>
      <c r="D1123" s="80"/>
      <c r="E1123" s="80"/>
      <c r="F1123" s="80"/>
      <c r="G1123" s="80"/>
      <c r="H1123" s="80"/>
      <c r="I1123" s="80"/>
      <c r="J1123" s="80"/>
      <c r="K1123" s="80"/>
      <c r="L1123" s="81" t="str">
        <f aca="false">IF(K1123="","",IFERROR(INDEX(BARDAGE!$C$7:$C$1506,MATCH(K1123,BARDAGE!$B$7:$B$1506,0)),"? hors registre"))</f>
        <v/>
      </c>
      <c r="M1123" s="80"/>
      <c r="N1123" s="81" t="str">
        <f aca="false">IF(M1123="","",IFERROR(INDEX(BARDAGE!$C$7:$C$1506,MATCH(M1123,BARDAGE!$B$7:$B$1506,0)),"? hors registre"))</f>
        <v/>
      </c>
      <c r="O1123" s="80"/>
      <c r="P1123" s="80"/>
      <c r="Q1123" s="80"/>
      <c r="R1123" s="82"/>
      <c r="S1123" s="82"/>
      <c r="T1123" s="80"/>
      <c r="U1123" s="80"/>
      <c r="V1123" s="82"/>
      <c r="W1123" s="80"/>
      <c r="X1123" s="80"/>
      <c r="Y1123" s="80"/>
      <c r="Z1123" s="80"/>
      <c r="AA1123" s="82"/>
      <c r="AB1123" s="80"/>
      <c r="AC1123" s="80"/>
      <c r="AD1123" s="80"/>
      <c r="AE1123" s="80"/>
      <c r="AF1123" s="82"/>
      <c r="AG1123" s="80"/>
      <c r="AH1123" s="80"/>
      <c r="AI1123" s="82"/>
      <c r="AJ1123" s="79"/>
      <c r="AK1123" s="78" t="str">
        <f aca="false">IF(E1123="","",(X1123&lt;&gt;"")+(AC1123&lt;&gt;"")+(AH1123&lt;&gt;""))</f>
        <v/>
      </c>
      <c r="AL1123" s="81" t="str">
        <f aca="false">IF(AH1123&lt;&gt;"",AH1123,IF(AC1123&lt;&gt;"",AC1123,IF(X1123&lt;&gt;"",X1123,"")))</f>
        <v/>
      </c>
      <c r="AM1123" s="83" t="str">
        <f aca="false">IF(E1123="","",IF(R1123="","À SOUDER",IF(U1123="","VT EN ATTENTE",IF(U1123="R","VT REJETÉ – À REPRENDRE",IF(AL1123="","À RADIOGRAPHIER",IF(AL1123="A","ACCEPTÉ",IF(AL1123="NX","NX – RT À REFAIRE",IF(IF(AK1123=1,Z1123,IF(AK1123=2,AE1123,""))="A","RÉPARÉ – À RADIOGRAPHIER",IF(IF(AK1123=1,Z1123,IF(AK1123=2,AE1123,""))="R","VT REJETÉ – À REPRENDRE",IF(OR(AL1123="CO",AL1123="NT"),"COUPE – À RESOUDER","À RÉPARER"))))))))))</f>
        <v/>
      </c>
      <c r="AN1123" s="81" t="str">
        <f aca="false">IF(AND(ISNUMBER(R1123),OR(AM1123="À RADIOGRAPHIER",AM1123="RÉPARÉ – À RADIOGRAPHIER",AM1123="NX – RT À REFAIRE",AM1123="À RÉPARER",AM1123="COUPE – À RESOUDER",AM1123="VT REJETÉ – À REPRENDRE")),MAX(0,'PROGRAMME RT'!$C$4-R1123),"")</f>
        <v/>
      </c>
      <c r="AO1123" s="78" t="n">
        <f aca="false">IF(AND(OR(AM1123="À RADIOGRAPHIER",AM1123="RÉPARÉ – À RADIOGRAPHIER",AM1123="NX – RT À REFAIRE"),OR('PROGRAMME RT'!$D$5="TOUTES",B1123='PROGRAMME RT'!$D$5)),1,0)</f>
        <v>0</v>
      </c>
      <c r="AP1123" s="78" t="str">
        <f aca="false">IF(AO1123=1,SUM(AO$7:AO1123),"")</f>
        <v/>
      </c>
      <c r="AQ1123" s="78" t="n">
        <f aca="false">IF(AND(OR(X1123="R",X1123="NX",X1123="NT",X1123="CO"),OR('JOINTS DE RÉPARATION'!$D$5="TOUTES",B1123='JOINTS DE RÉPARATION'!$D$5),OR('JOINTS DE RÉPARATION'!$L$4="TOUS",AM1123&lt;&gt;"ACCEPTÉ")),1,0)</f>
        <v>0</v>
      </c>
      <c r="AR1123" s="78" t="str">
        <f aca="false">IF(AQ1123=1,SUM(AQ$7:AQ1123),"")</f>
        <v/>
      </c>
    </row>
    <row r="1124" customFormat="false" ht="15" hidden="false" customHeight="false" outlineLevel="0" collapsed="false">
      <c r="A1124" s="78" t="str">
        <f aca="false">IF(E1124="","",ROW()-6)</f>
        <v/>
      </c>
      <c r="B1124" s="79"/>
      <c r="C1124" s="80"/>
      <c r="D1124" s="80"/>
      <c r="E1124" s="80"/>
      <c r="F1124" s="80"/>
      <c r="G1124" s="80"/>
      <c r="H1124" s="80"/>
      <c r="I1124" s="80"/>
      <c r="J1124" s="80"/>
      <c r="K1124" s="80"/>
      <c r="L1124" s="81" t="str">
        <f aca="false">IF(K1124="","",IFERROR(INDEX(BARDAGE!$C$7:$C$1506,MATCH(K1124,BARDAGE!$B$7:$B$1506,0)),"? hors registre"))</f>
        <v/>
      </c>
      <c r="M1124" s="80"/>
      <c r="N1124" s="81" t="str">
        <f aca="false">IF(M1124="","",IFERROR(INDEX(BARDAGE!$C$7:$C$1506,MATCH(M1124,BARDAGE!$B$7:$B$1506,0)),"? hors registre"))</f>
        <v/>
      </c>
      <c r="O1124" s="80"/>
      <c r="P1124" s="80"/>
      <c r="Q1124" s="80"/>
      <c r="R1124" s="82"/>
      <c r="S1124" s="82"/>
      <c r="T1124" s="80"/>
      <c r="U1124" s="80"/>
      <c r="V1124" s="82"/>
      <c r="W1124" s="80"/>
      <c r="X1124" s="80"/>
      <c r="Y1124" s="80"/>
      <c r="Z1124" s="80"/>
      <c r="AA1124" s="82"/>
      <c r="AB1124" s="80"/>
      <c r="AC1124" s="80"/>
      <c r="AD1124" s="80"/>
      <c r="AE1124" s="80"/>
      <c r="AF1124" s="82"/>
      <c r="AG1124" s="80"/>
      <c r="AH1124" s="80"/>
      <c r="AI1124" s="82"/>
      <c r="AJ1124" s="79"/>
      <c r="AK1124" s="78" t="str">
        <f aca="false">IF(E1124="","",(X1124&lt;&gt;"")+(AC1124&lt;&gt;"")+(AH1124&lt;&gt;""))</f>
        <v/>
      </c>
      <c r="AL1124" s="81" t="str">
        <f aca="false">IF(AH1124&lt;&gt;"",AH1124,IF(AC1124&lt;&gt;"",AC1124,IF(X1124&lt;&gt;"",X1124,"")))</f>
        <v/>
      </c>
      <c r="AM1124" s="83" t="str">
        <f aca="false">IF(E1124="","",IF(R1124="","À SOUDER",IF(U1124="","VT EN ATTENTE",IF(U1124="R","VT REJETÉ – À REPRENDRE",IF(AL1124="","À RADIOGRAPHIER",IF(AL1124="A","ACCEPTÉ",IF(AL1124="NX","NX – RT À REFAIRE",IF(IF(AK1124=1,Z1124,IF(AK1124=2,AE1124,""))="A","RÉPARÉ – À RADIOGRAPHIER",IF(IF(AK1124=1,Z1124,IF(AK1124=2,AE1124,""))="R","VT REJETÉ – À REPRENDRE",IF(OR(AL1124="CO",AL1124="NT"),"COUPE – À RESOUDER","À RÉPARER"))))))))))</f>
        <v/>
      </c>
      <c r="AN1124" s="81" t="str">
        <f aca="false">IF(AND(ISNUMBER(R1124),OR(AM1124="À RADIOGRAPHIER",AM1124="RÉPARÉ – À RADIOGRAPHIER",AM1124="NX – RT À REFAIRE",AM1124="À RÉPARER",AM1124="COUPE – À RESOUDER",AM1124="VT REJETÉ – À REPRENDRE")),MAX(0,'PROGRAMME RT'!$C$4-R1124),"")</f>
        <v/>
      </c>
      <c r="AO1124" s="78" t="n">
        <f aca="false">IF(AND(OR(AM1124="À RADIOGRAPHIER",AM1124="RÉPARÉ – À RADIOGRAPHIER",AM1124="NX – RT À REFAIRE"),OR('PROGRAMME RT'!$D$5="TOUTES",B1124='PROGRAMME RT'!$D$5)),1,0)</f>
        <v>0</v>
      </c>
      <c r="AP1124" s="78" t="str">
        <f aca="false">IF(AO1124=1,SUM(AO$7:AO1124),"")</f>
        <v/>
      </c>
      <c r="AQ1124" s="78" t="n">
        <f aca="false">IF(AND(OR(X1124="R",X1124="NX",X1124="NT",X1124="CO"),OR('JOINTS DE RÉPARATION'!$D$5="TOUTES",B1124='JOINTS DE RÉPARATION'!$D$5),OR('JOINTS DE RÉPARATION'!$L$4="TOUS",AM1124&lt;&gt;"ACCEPTÉ")),1,0)</f>
        <v>0</v>
      </c>
      <c r="AR1124" s="78" t="str">
        <f aca="false">IF(AQ1124=1,SUM(AQ$7:AQ1124),"")</f>
        <v/>
      </c>
    </row>
    <row r="1125" customFormat="false" ht="15" hidden="false" customHeight="false" outlineLevel="0" collapsed="false">
      <c r="A1125" s="78" t="str">
        <f aca="false">IF(E1125="","",ROW()-6)</f>
        <v/>
      </c>
      <c r="B1125" s="79"/>
      <c r="C1125" s="80"/>
      <c r="D1125" s="80"/>
      <c r="E1125" s="80"/>
      <c r="F1125" s="80"/>
      <c r="G1125" s="80"/>
      <c r="H1125" s="80"/>
      <c r="I1125" s="80"/>
      <c r="J1125" s="80"/>
      <c r="K1125" s="80"/>
      <c r="L1125" s="81" t="str">
        <f aca="false">IF(K1125="","",IFERROR(INDEX(BARDAGE!$C$7:$C$1506,MATCH(K1125,BARDAGE!$B$7:$B$1506,0)),"? hors registre"))</f>
        <v/>
      </c>
      <c r="M1125" s="80"/>
      <c r="N1125" s="81" t="str">
        <f aca="false">IF(M1125="","",IFERROR(INDEX(BARDAGE!$C$7:$C$1506,MATCH(M1125,BARDAGE!$B$7:$B$1506,0)),"? hors registre"))</f>
        <v/>
      </c>
      <c r="O1125" s="80"/>
      <c r="P1125" s="80"/>
      <c r="Q1125" s="80"/>
      <c r="R1125" s="82"/>
      <c r="S1125" s="82"/>
      <c r="T1125" s="80"/>
      <c r="U1125" s="80"/>
      <c r="V1125" s="82"/>
      <c r="W1125" s="80"/>
      <c r="X1125" s="80"/>
      <c r="Y1125" s="80"/>
      <c r="Z1125" s="80"/>
      <c r="AA1125" s="82"/>
      <c r="AB1125" s="80"/>
      <c r="AC1125" s="80"/>
      <c r="AD1125" s="80"/>
      <c r="AE1125" s="80"/>
      <c r="AF1125" s="82"/>
      <c r="AG1125" s="80"/>
      <c r="AH1125" s="80"/>
      <c r="AI1125" s="82"/>
      <c r="AJ1125" s="79"/>
      <c r="AK1125" s="78" t="str">
        <f aca="false">IF(E1125="","",(X1125&lt;&gt;"")+(AC1125&lt;&gt;"")+(AH1125&lt;&gt;""))</f>
        <v/>
      </c>
      <c r="AL1125" s="81" t="str">
        <f aca="false">IF(AH1125&lt;&gt;"",AH1125,IF(AC1125&lt;&gt;"",AC1125,IF(X1125&lt;&gt;"",X1125,"")))</f>
        <v/>
      </c>
      <c r="AM1125" s="83" t="str">
        <f aca="false">IF(E1125="","",IF(R1125="","À SOUDER",IF(U1125="","VT EN ATTENTE",IF(U1125="R","VT REJETÉ – À REPRENDRE",IF(AL1125="","À RADIOGRAPHIER",IF(AL1125="A","ACCEPTÉ",IF(AL1125="NX","NX – RT À REFAIRE",IF(IF(AK1125=1,Z1125,IF(AK1125=2,AE1125,""))="A","RÉPARÉ – À RADIOGRAPHIER",IF(IF(AK1125=1,Z1125,IF(AK1125=2,AE1125,""))="R","VT REJETÉ – À REPRENDRE",IF(OR(AL1125="CO",AL1125="NT"),"COUPE – À RESOUDER","À RÉPARER"))))))))))</f>
        <v/>
      </c>
      <c r="AN1125" s="81" t="str">
        <f aca="false">IF(AND(ISNUMBER(R1125),OR(AM1125="À RADIOGRAPHIER",AM1125="RÉPARÉ – À RADIOGRAPHIER",AM1125="NX – RT À REFAIRE",AM1125="À RÉPARER",AM1125="COUPE – À RESOUDER",AM1125="VT REJETÉ – À REPRENDRE")),MAX(0,'PROGRAMME RT'!$C$4-R1125),"")</f>
        <v/>
      </c>
      <c r="AO1125" s="78" t="n">
        <f aca="false">IF(AND(OR(AM1125="À RADIOGRAPHIER",AM1125="RÉPARÉ – À RADIOGRAPHIER",AM1125="NX – RT À REFAIRE"),OR('PROGRAMME RT'!$D$5="TOUTES",B1125='PROGRAMME RT'!$D$5)),1,0)</f>
        <v>0</v>
      </c>
      <c r="AP1125" s="78" t="str">
        <f aca="false">IF(AO1125=1,SUM(AO$7:AO1125),"")</f>
        <v/>
      </c>
      <c r="AQ1125" s="78" t="n">
        <f aca="false">IF(AND(OR(X1125="R",X1125="NX",X1125="NT",X1125="CO"),OR('JOINTS DE RÉPARATION'!$D$5="TOUTES",B1125='JOINTS DE RÉPARATION'!$D$5),OR('JOINTS DE RÉPARATION'!$L$4="TOUS",AM1125&lt;&gt;"ACCEPTÉ")),1,0)</f>
        <v>0</v>
      </c>
      <c r="AR1125" s="78" t="str">
        <f aca="false">IF(AQ1125=1,SUM(AQ$7:AQ1125),"")</f>
        <v/>
      </c>
    </row>
    <row r="1126" customFormat="false" ht="15" hidden="false" customHeight="false" outlineLevel="0" collapsed="false">
      <c r="A1126" s="78" t="str">
        <f aca="false">IF(E1126="","",ROW()-6)</f>
        <v/>
      </c>
      <c r="B1126" s="79"/>
      <c r="C1126" s="80"/>
      <c r="D1126" s="80"/>
      <c r="E1126" s="80"/>
      <c r="F1126" s="80"/>
      <c r="G1126" s="80"/>
      <c r="H1126" s="80"/>
      <c r="I1126" s="80"/>
      <c r="J1126" s="80"/>
      <c r="K1126" s="80"/>
      <c r="L1126" s="81" t="str">
        <f aca="false">IF(K1126="","",IFERROR(INDEX(BARDAGE!$C$7:$C$1506,MATCH(K1126,BARDAGE!$B$7:$B$1506,0)),"? hors registre"))</f>
        <v/>
      </c>
      <c r="M1126" s="80"/>
      <c r="N1126" s="81" t="str">
        <f aca="false">IF(M1126="","",IFERROR(INDEX(BARDAGE!$C$7:$C$1506,MATCH(M1126,BARDAGE!$B$7:$B$1506,0)),"? hors registre"))</f>
        <v/>
      </c>
      <c r="O1126" s="80"/>
      <c r="P1126" s="80"/>
      <c r="Q1126" s="80"/>
      <c r="R1126" s="82"/>
      <c r="S1126" s="82"/>
      <c r="T1126" s="80"/>
      <c r="U1126" s="80"/>
      <c r="V1126" s="82"/>
      <c r="W1126" s="80"/>
      <c r="X1126" s="80"/>
      <c r="Y1126" s="80"/>
      <c r="Z1126" s="80"/>
      <c r="AA1126" s="82"/>
      <c r="AB1126" s="80"/>
      <c r="AC1126" s="80"/>
      <c r="AD1126" s="80"/>
      <c r="AE1126" s="80"/>
      <c r="AF1126" s="82"/>
      <c r="AG1126" s="80"/>
      <c r="AH1126" s="80"/>
      <c r="AI1126" s="82"/>
      <c r="AJ1126" s="79"/>
      <c r="AK1126" s="78" t="str">
        <f aca="false">IF(E1126="","",(X1126&lt;&gt;"")+(AC1126&lt;&gt;"")+(AH1126&lt;&gt;""))</f>
        <v/>
      </c>
      <c r="AL1126" s="81" t="str">
        <f aca="false">IF(AH1126&lt;&gt;"",AH1126,IF(AC1126&lt;&gt;"",AC1126,IF(X1126&lt;&gt;"",X1126,"")))</f>
        <v/>
      </c>
      <c r="AM1126" s="83" t="str">
        <f aca="false">IF(E1126="","",IF(R1126="","À SOUDER",IF(U1126="","VT EN ATTENTE",IF(U1126="R","VT REJETÉ – À REPRENDRE",IF(AL1126="","À RADIOGRAPHIER",IF(AL1126="A","ACCEPTÉ",IF(AL1126="NX","NX – RT À REFAIRE",IF(IF(AK1126=1,Z1126,IF(AK1126=2,AE1126,""))="A","RÉPARÉ – À RADIOGRAPHIER",IF(IF(AK1126=1,Z1126,IF(AK1126=2,AE1126,""))="R","VT REJETÉ – À REPRENDRE",IF(OR(AL1126="CO",AL1126="NT"),"COUPE – À RESOUDER","À RÉPARER"))))))))))</f>
        <v/>
      </c>
      <c r="AN1126" s="81" t="str">
        <f aca="false">IF(AND(ISNUMBER(R1126),OR(AM1126="À RADIOGRAPHIER",AM1126="RÉPARÉ – À RADIOGRAPHIER",AM1126="NX – RT À REFAIRE",AM1126="À RÉPARER",AM1126="COUPE – À RESOUDER",AM1126="VT REJETÉ – À REPRENDRE")),MAX(0,'PROGRAMME RT'!$C$4-R1126),"")</f>
        <v/>
      </c>
      <c r="AO1126" s="78" t="n">
        <f aca="false">IF(AND(OR(AM1126="À RADIOGRAPHIER",AM1126="RÉPARÉ – À RADIOGRAPHIER",AM1126="NX – RT À REFAIRE"),OR('PROGRAMME RT'!$D$5="TOUTES",B1126='PROGRAMME RT'!$D$5)),1,0)</f>
        <v>0</v>
      </c>
      <c r="AP1126" s="78" t="str">
        <f aca="false">IF(AO1126=1,SUM(AO$7:AO1126),"")</f>
        <v/>
      </c>
      <c r="AQ1126" s="78" t="n">
        <f aca="false">IF(AND(OR(X1126="R",X1126="NX",X1126="NT",X1126="CO"),OR('JOINTS DE RÉPARATION'!$D$5="TOUTES",B1126='JOINTS DE RÉPARATION'!$D$5),OR('JOINTS DE RÉPARATION'!$L$4="TOUS",AM1126&lt;&gt;"ACCEPTÉ")),1,0)</f>
        <v>0</v>
      </c>
      <c r="AR1126" s="78" t="str">
        <f aca="false">IF(AQ1126=1,SUM(AQ$7:AQ1126),"")</f>
        <v/>
      </c>
    </row>
    <row r="1127" customFormat="false" ht="15" hidden="false" customHeight="false" outlineLevel="0" collapsed="false">
      <c r="A1127" s="78" t="str">
        <f aca="false">IF(E1127="","",ROW()-6)</f>
        <v/>
      </c>
      <c r="B1127" s="79"/>
      <c r="C1127" s="80"/>
      <c r="D1127" s="80"/>
      <c r="E1127" s="80"/>
      <c r="F1127" s="80"/>
      <c r="G1127" s="80"/>
      <c r="H1127" s="80"/>
      <c r="I1127" s="80"/>
      <c r="J1127" s="80"/>
      <c r="K1127" s="80"/>
      <c r="L1127" s="81" t="str">
        <f aca="false">IF(K1127="","",IFERROR(INDEX(BARDAGE!$C$7:$C$1506,MATCH(K1127,BARDAGE!$B$7:$B$1506,0)),"? hors registre"))</f>
        <v/>
      </c>
      <c r="M1127" s="80"/>
      <c r="N1127" s="81" t="str">
        <f aca="false">IF(M1127="","",IFERROR(INDEX(BARDAGE!$C$7:$C$1506,MATCH(M1127,BARDAGE!$B$7:$B$1506,0)),"? hors registre"))</f>
        <v/>
      </c>
      <c r="O1127" s="80"/>
      <c r="P1127" s="80"/>
      <c r="Q1127" s="80"/>
      <c r="R1127" s="82"/>
      <c r="S1127" s="82"/>
      <c r="T1127" s="80"/>
      <c r="U1127" s="80"/>
      <c r="V1127" s="82"/>
      <c r="W1127" s="80"/>
      <c r="X1127" s="80"/>
      <c r="Y1127" s="80"/>
      <c r="Z1127" s="80"/>
      <c r="AA1127" s="82"/>
      <c r="AB1127" s="80"/>
      <c r="AC1127" s="80"/>
      <c r="AD1127" s="80"/>
      <c r="AE1127" s="80"/>
      <c r="AF1127" s="82"/>
      <c r="AG1127" s="80"/>
      <c r="AH1127" s="80"/>
      <c r="AI1127" s="82"/>
      <c r="AJ1127" s="79"/>
      <c r="AK1127" s="78" t="str">
        <f aca="false">IF(E1127="","",(X1127&lt;&gt;"")+(AC1127&lt;&gt;"")+(AH1127&lt;&gt;""))</f>
        <v/>
      </c>
      <c r="AL1127" s="81" t="str">
        <f aca="false">IF(AH1127&lt;&gt;"",AH1127,IF(AC1127&lt;&gt;"",AC1127,IF(X1127&lt;&gt;"",X1127,"")))</f>
        <v/>
      </c>
      <c r="AM1127" s="83" t="str">
        <f aca="false">IF(E1127="","",IF(R1127="","À SOUDER",IF(U1127="","VT EN ATTENTE",IF(U1127="R","VT REJETÉ – À REPRENDRE",IF(AL1127="","À RADIOGRAPHIER",IF(AL1127="A","ACCEPTÉ",IF(AL1127="NX","NX – RT À REFAIRE",IF(IF(AK1127=1,Z1127,IF(AK1127=2,AE1127,""))="A","RÉPARÉ – À RADIOGRAPHIER",IF(IF(AK1127=1,Z1127,IF(AK1127=2,AE1127,""))="R","VT REJETÉ – À REPRENDRE",IF(OR(AL1127="CO",AL1127="NT"),"COUPE – À RESOUDER","À RÉPARER"))))))))))</f>
        <v/>
      </c>
      <c r="AN1127" s="81" t="str">
        <f aca="false">IF(AND(ISNUMBER(R1127),OR(AM1127="À RADIOGRAPHIER",AM1127="RÉPARÉ – À RADIOGRAPHIER",AM1127="NX – RT À REFAIRE",AM1127="À RÉPARER",AM1127="COUPE – À RESOUDER",AM1127="VT REJETÉ – À REPRENDRE")),MAX(0,'PROGRAMME RT'!$C$4-R1127),"")</f>
        <v/>
      </c>
      <c r="AO1127" s="78" t="n">
        <f aca="false">IF(AND(OR(AM1127="À RADIOGRAPHIER",AM1127="RÉPARÉ – À RADIOGRAPHIER",AM1127="NX – RT À REFAIRE"),OR('PROGRAMME RT'!$D$5="TOUTES",B1127='PROGRAMME RT'!$D$5)),1,0)</f>
        <v>0</v>
      </c>
      <c r="AP1127" s="78" t="str">
        <f aca="false">IF(AO1127=1,SUM(AO$7:AO1127),"")</f>
        <v/>
      </c>
      <c r="AQ1127" s="78" t="n">
        <f aca="false">IF(AND(OR(X1127="R",X1127="NX",X1127="NT",X1127="CO"),OR('JOINTS DE RÉPARATION'!$D$5="TOUTES",B1127='JOINTS DE RÉPARATION'!$D$5),OR('JOINTS DE RÉPARATION'!$L$4="TOUS",AM1127&lt;&gt;"ACCEPTÉ")),1,0)</f>
        <v>0</v>
      </c>
      <c r="AR1127" s="78" t="str">
        <f aca="false">IF(AQ1127=1,SUM(AQ$7:AQ1127),"")</f>
        <v/>
      </c>
    </row>
    <row r="1128" customFormat="false" ht="15" hidden="false" customHeight="false" outlineLevel="0" collapsed="false">
      <c r="A1128" s="78" t="str">
        <f aca="false">IF(E1128="","",ROW()-6)</f>
        <v/>
      </c>
      <c r="B1128" s="79"/>
      <c r="C1128" s="80"/>
      <c r="D1128" s="80"/>
      <c r="E1128" s="80"/>
      <c r="F1128" s="80"/>
      <c r="G1128" s="80"/>
      <c r="H1128" s="80"/>
      <c r="I1128" s="80"/>
      <c r="J1128" s="80"/>
      <c r="K1128" s="80"/>
      <c r="L1128" s="81" t="str">
        <f aca="false">IF(K1128="","",IFERROR(INDEX(BARDAGE!$C$7:$C$1506,MATCH(K1128,BARDAGE!$B$7:$B$1506,0)),"? hors registre"))</f>
        <v/>
      </c>
      <c r="M1128" s="80"/>
      <c r="N1128" s="81" t="str">
        <f aca="false">IF(M1128="","",IFERROR(INDEX(BARDAGE!$C$7:$C$1506,MATCH(M1128,BARDAGE!$B$7:$B$1506,0)),"? hors registre"))</f>
        <v/>
      </c>
      <c r="O1128" s="80"/>
      <c r="P1128" s="80"/>
      <c r="Q1128" s="80"/>
      <c r="R1128" s="82"/>
      <c r="S1128" s="82"/>
      <c r="T1128" s="80"/>
      <c r="U1128" s="80"/>
      <c r="V1128" s="82"/>
      <c r="W1128" s="80"/>
      <c r="X1128" s="80"/>
      <c r="Y1128" s="80"/>
      <c r="Z1128" s="80"/>
      <c r="AA1128" s="82"/>
      <c r="AB1128" s="80"/>
      <c r="AC1128" s="80"/>
      <c r="AD1128" s="80"/>
      <c r="AE1128" s="80"/>
      <c r="AF1128" s="82"/>
      <c r="AG1128" s="80"/>
      <c r="AH1128" s="80"/>
      <c r="AI1128" s="82"/>
      <c r="AJ1128" s="79"/>
      <c r="AK1128" s="78" t="str">
        <f aca="false">IF(E1128="","",(X1128&lt;&gt;"")+(AC1128&lt;&gt;"")+(AH1128&lt;&gt;""))</f>
        <v/>
      </c>
      <c r="AL1128" s="81" t="str">
        <f aca="false">IF(AH1128&lt;&gt;"",AH1128,IF(AC1128&lt;&gt;"",AC1128,IF(X1128&lt;&gt;"",X1128,"")))</f>
        <v/>
      </c>
      <c r="AM1128" s="83" t="str">
        <f aca="false">IF(E1128="","",IF(R1128="","À SOUDER",IF(U1128="","VT EN ATTENTE",IF(U1128="R","VT REJETÉ – À REPRENDRE",IF(AL1128="","À RADIOGRAPHIER",IF(AL1128="A","ACCEPTÉ",IF(AL1128="NX","NX – RT À REFAIRE",IF(IF(AK1128=1,Z1128,IF(AK1128=2,AE1128,""))="A","RÉPARÉ – À RADIOGRAPHIER",IF(IF(AK1128=1,Z1128,IF(AK1128=2,AE1128,""))="R","VT REJETÉ – À REPRENDRE",IF(OR(AL1128="CO",AL1128="NT"),"COUPE – À RESOUDER","À RÉPARER"))))))))))</f>
        <v/>
      </c>
      <c r="AN1128" s="81" t="str">
        <f aca="false">IF(AND(ISNUMBER(R1128),OR(AM1128="À RADIOGRAPHIER",AM1128="RÉPARÉ – À RADIOGRAPHIER",AM1128="NX – RT À REFAIRE",AM1128="À RÉPARER",AM1128="COUPE – À RESOUDER",AM1128="VT REJETÉ – À REPRENDRE")),MAX(0,'PROGRAMME RT'!$C$4-R1128),"")</f>
        <v/>
      </c>
      <c r="AO1128" s="78" t="n">
        <f aca="false">IF(AND(OR(AM1128="À RADIOGRAPHIER",AM1128="RÉPARÉ – À RADIOGRAPHIER",AM1128="NX – RT À REFAIRE"),OR('PROGRAMME RT'!$D$5="TOUTES",B1128='PROGRAMME RT'!$D$5)),1,0)</f>
        <v>0</v>
      </c>
      <c r="AP1128" s="78" t="str">
        <f aca="false">IF(AO1128=1,SUM(AO$7:AO1128),"")</f>
        <v/>
      </c>
      <c r="AQ1128" s="78" t="n">
        <f aca="false">IF(AND(OR(X1128="R",X1128="NX",X1128="NT",X1128="CO"),OR('JOINTS DE RÉPARATION'!$D$5="TOUTES",B1128='JOINTS DE RÉPARATION'!$D$5),OR('JOINTS DE RÉPARATION'!$L$4="TOUS",AM1128&lt;&gt;"ACCEPTÉ")),1,0)</f>
        <v>0</v>
      </c>
      <c r="AR1128" s="78" t="str">
        <f aca="false">IF(AQ1128=1,SUM(AQ$7:AQ1128),"")</f>
        <v/>
      </c>
    </row>
    <row r="1129" customFormat="false" ht="15" hidden="false" customHeight="false" outlineLevel="0" collapsed="false">
      <c r="A1129" s="78" t="str">
        <f aca="false">IF(E1129="","",ROW()-6)</f>
        <v/>
      </c>
      <c r="B1129" s="79"/>
      <c r="C1129" s="80"/>
      <c r="D1129" s="80"/>
      <c r="E1129" s="80"/>
      <c r="F1129" s="80"/>
      <c r="G1129" s="80"/>
      <c r="H1129" s="80"/>
      <c r="I1129" s="80"/>
      <c r="J1129" s="80"/>
      <c r="K1129" s="80"/>
      <c r="L1129" s="81" t="str">
        <f aca="false">IF(K1129="","",IFERROR(INDEX(BARDAGE!$C$7:$C$1506,MATCH(K1129,BARDAGE!$B$7:$B$1506,0)),"? hors registre"))</f>
        <v/>
      </c>
      <c r="M1129" s="80"/>
      <c r="N1129" s="81" t="str">
        <f aca="false">IF(M1129="","",IFERROR(INDEX(BARDAGE!$C$7:$C$1506,MATCH(M1129,BARDAGE!$B$7:$B$1506,0)),"? hors registre"))</f>
        <v/>
      </c>
      <c r="O1129" s="80"/>
      <c r="P1129" s="80"/>
      <c r="Q1129" s="80"/>
      <c r="R1129" s="82"/>
      <c r="S1129" s="82"/>
      <c r="T1129" s="80"/>
      <c r="U1129" s="80"/>
      <c r="V1129" s="82"/>
      <c r="W1129" s="80"/>
      <c r="X1129" s="80"/>
      <c r="Y1129" s="80"/>
      <c r="Z1129" s="80"/>
      <c r="AA1129" s="82"/>
      <c r="AB1129" s="80"/>
      <c r="AC1129" s="80"/>
      <c r="AD1129" s="80"/>
      <c r="AE1129" s="80"/>
      <c r="AF1129" s="82"/>
      <c r="AG1129" s="80"/>
      <c r="AH1129" s="80"/>
      <c r="AI1129" s="82"/>
      <c r="AJ1129" s="79"/>
      <c r="AK1129" s="78" t="str">
        <f aca="false">IF(E1129="","",(X1129&lt;&gt;"")+(AC1129&lt;&gt;"")+(AH1129&lt;&gt;""))</f>
        <v/>
      </c>
      <c r="AL1129" s="81" t="str">
        <f aca="false">IF(AH1129&lt;&gt;"",AH1129,IF(AC1129&lt;&gt;"",AC1129,IF(X1129&lt;&gt;"",X1129,"")))</f>
        <v/>
      </c>
      <c r="AM1129" s="83" t="str">
        <f aca="false">IF(E1129="","",IF(R1129="","À SOUDER",IF(U1129="","VT EN ATTENTE",IF(U1129="R","VT REJETÉ – À REPRENDRE",IF(AL1129="","À RADIOGRAPHIER",IF(AL1129="A","ACCEPTÉ",IF(AL1129="NX","NX – RT À REFAIRE",IF(IF(AK1129=1,Z1129,IF(AK1129=2,AE1129,""))="A","RÉPARÉ – À RADIOGRAPHIER",IF(IF(AK1129=1,Z1129,IF(AK1129=2,AE1129,""))="R","VT REJETÉ – À REPRENDRE",IF(OR(AL1129="CO",AL1129="NT"),"COUPE – À RESOUDER","À RÉPARER"))))))))))</f>
        <v/>
      </c>
      <c r="AN1129" s="81" t="str">
        <f aca="false">IF(AND(ISNUMBER(R1129),OR(AM1129="À RADIOGRAPHIER",AM1129="RÉPARÉ – À RADIOGRAPHIER",AM1129="NX – RT À REFAIRE",AM1129="À RÉPARER",AM1129="COUPE – À RESOUDER",AM1129="VT REJETÉ – À REPRENDRE")),MAX(0,'PROGRAMME RT'!$C$4-R1129),"")</f>
        <v/>
      </c>
      <c r="AO1129" s="78" t="n">
        <f aca="false">IF(AND(OR(AM1129="À RADIOGRAPHIER",AM1129="RÉPARÉ – À RADIOGRAPHIER",AM1129="NX – RT À REFAIRE"),OR('PROGRAMME RT'!$D$5="TOUTES",B1129='PROGRAMME RT'!$D$5)),1,0)</f>
        <v>0</v>
      </c>
      <c r="AP1129" s="78" t="str">
        <f aca="false">IF(AO1129=1,SUM(AO$7:AO1129),"")</f>
        <v/>
      </c>
      <c r="AQ1129" s="78" t="n">
        <f aca="false">IF(AND(OR(X1129="R",X1129="NX",X1129="NT",X1129="CO"),OR('JOINTS DE RÉPARATION'!$D$5="TOUTES",B1129='JOINTS DE RÉPARATION'!$D$5),OR('JOINTS DE RÉPARATION'!$L$4="TOUS",AM1129&lt;&gt;"ACCEPTÉ")),1,0)</f>
        <v>0</v>
      </c>
      <c r="AR1129" s="78" t="str">
        <f aca="false">IF(AQ1129=1,SUM(AQ$7:AQ1129),"")</f>
        <v/>
      </c>
    </row>
    <row r="1130" customFormat="false" ht="15" hidden="false" customHeight="false" outlineLevel="0" collapsed="false">
      <c r="A1130" s="78" t="str">
        <f aca="false">IF(E1130="","",ROW()-6)</f>
        <v/>
      </c>
      <c r="B1130" s="79"/>
      <c r="C1130" s="80"/>
      <c r="D1130" s="80"/>
      <c r="E1130" s="80"/>
      <c r="F1130" s="80"/>
      <c r="G1130" s="80"/>
      <c r="H1130" s="80"/>
      <c r="I1130" s="80"/>
      <c r="J1130" s="80"/>
      <c r="K1130" s="80"/>
      <c r="L1130" s="81" t="str">
        <f aca="false">IF(K1130="","",IFERROR(INDEX(BARDAGE!$C$7:$C$1506,MATCH(K1130,BARDAGE!$B$7:$B$1506,0)),"? hors registre"))</f>
        <v/>
      </c>
      <c r="M1130" s="80"/>
      <c r="N1130" s="81" t="str">
        <f aca="false">IF(M1130="","",IFERROR(INDEX(BARDAGE!$C$7:$C$1506,MATCH(M1130,BARDAGE!$B$7:$B$1506,0)),"? hors registre"))</f>
        <v/>
      </c>
      <c r="O1130" s="80"/>
      <c r="P1130" s="80"/>
      <c r="Q1130" s="80"/>
      <c r="R1130" s="82"/>
      <c r="S1130" s="82"/>
      <c r="T1130" s="80"/>
      <c r="U1130" s="80"/>
      <c r="V1130" s="82"/>
      <c r="W1130" s="80"/>
      <c r="X1130" s="80"/>
      <c r="Y1130" s="80"/>
      <c r="Z1130" s="80"/>
      <c r="AA1130" s="82"/>
      <c r="AB1130" s="80"/>
      <c r="AC1130" s="80"/>
      <c r="AD1130" s="80"/>
      <c r="AE1130" s="80"/>
      <c r="AF1130" s="82"/>
      <c r="AG1130" s="80"/>
      <c r="AH1130" s="80"/>
      <c r="AI1130" s="82"/>
      <c r="AJ1130" s="79"/>
      <c r="AK1130" s="78" t="str">
        <f aca="false">IF(E1130="","",(X1130&lt;&gt;"")+(AC1130&lt;&gt;"")+(AH1130&lt;&gt;""))</f>
        <v/>
      </c>
      <c r="AL1130" s="81" t="str">
        <f aca="false">IF(AH1130&lt;&gt;"",AH1130,IF(AC1130&lt;&gt;"",AC1130,IF(X1130&lt;&gt;"",X1130,"")))</f>
        <v/>
      </c>
      <c r="AM1130" s="83" t="str">
        <f aca="false">IF(E1130="","",IF(R1130="","À SOUDER",IF(U1130="","VT EN ATTENTE",IF(U1130="R","VT REJETÉ – À REPRENDRE",IF(AL1130="","À RADIOGRAPHIER",IF(AL1130="A","ACCEPTÉ",IF(AL1130="NX","NX – RT À REFAIRE",IF(IF(AK1130=1,Z1130,IF(AK1130=2,AE1130,""))="A","RÉPARÉ – À RADIOGRAPHIER",IF(IF(AK1130=1,Z1130,IF(AK1130=2,AE1130,""))="R","VT REJETÉ – À REPRENDRE",IF(OR(AL1130="CO",AL1130="NT"),"COUPE – À RESOUDER","À RÉPARER"))))))))))</f>
        <v/>
      </c>
      <c r="AN1130" s="81" t="str">
        <f aca="false">IF(AND(ISNUMBER(R1130),OR(AM1130="À RADIOGRAPHIER",AM1130="RÉPARÉ – À RADIOGRAPHIER",AM1130="NX – RT À REFAIRE",AM1130="À RÉPARER",AM1130="COUPE – À RESOUDER",AM1130="VT REJETÉ – À REPRENDRE")),MAX(0,'PROGRAMME RT'!$C$4-R1130),"")</f>
        <v/>
      </c>
      <c r="AO1130" s="78" t="n">
        <f aca="false">IF(AND(OR(AM1130="À RADIOGRAPHIER",AM1130="RÉPARÉ – À RADIOGRAPHIER",AM1130="NX – RT À REFAIRE"),OR('PROGRAMME RT'!$D$5="TOUTES",B1130='PROGRAMME RT'!$D$5)),1,0)</f>
        <v>0</v>
      </c>
      <c r="AP1130" s="78" t="str">
        <f aca="false">IF(AO1130=1,SUM(AO$7:AO1130),"")</f>
        <v/>
      </c>
      <c r="AQ1130" s="78" t="n">
        <f aca="false">IF(AND(OR(X1130="R",X1130="NX",X1130="NT",X1130="CO"),OR('JOINTS DE RÉPARATION'!$D$5="TOUTES",B1130='JOINTS DE RÉPARATION'!$D$5),OR('JOINTS DE RÉPARATION'!$L$4="TOUS",AM1130&lt;&gt;"ACCEPTÉ")),1,0)</f>
        <v>0</v>
      </c>
      <c r="AR1130" s="78" t="str">
        <f aca="false">IF(AQ1130=1,SUM(AQ$7:AQ1130),"")</f>
        <v/>
      </c>
    </row>
    <row r="1131" customFormat="false" ht="15" hidden="false" customHeight="false" outlineLevel="0" collapsed="false">
      <c r="A1131" s="78" t="str">
        <f aca="false">IF(E1131="","",ROW()-6)</f>
        <v/>
      </c>
      <c r="B1131" s="79"/>
      <c r="C1131" s="80"/>
      <c r="D1131" s="80"/>
      <c r="E1131" s="80"/>
      <c r="F1131" s="80"/>
      <c r="G1131" s="80"/>
      <c r="H1131" s="80"/>
      <c r="I1131" s="80"/>
      <c r="J1131" s="80"/>
      <c r="K1131" s="80"/>
      <c r="L1131" s="81" t="str">
        <f aca="false">IF(K1131="","",IFERROR(INDEX(BARDAGE!$C$7:$C$1506,MATCH(K1131,BARDAGE!$B$7:$B$1506,0)),"? hors registre"))</f>
        <v/>
      </c>
      <c r="M1131" s="80"/>
      <c r="N1131" s="81" t="str">
        <f aca="false">IF(M1131="","",IFERROR(INDEX(BARDAGE!$C$7:$C$1506,MATCH(M1131,BARDAGE!$B$7:$B$1506,0)),"? hors registre"))</f>
        <v/>
      </c>
      <c r="O1131" s="80"/>
      <c r="P1131" s="80"/>
      <c r="Q1131" s="80"/>
      <c r="R1131" s="82"/>
      <c r="S1131" s="82"/>
      <c r="T1131" s="80"/>
      <c r="U1131" s="80"/>
      <c r="V1131" s="82"/>
      <c r="W1131" s="80"/>
      <c r="X1131" s="80"/>
      <c r="Y1131" s="80"/>
      <c r="Z1131" s="80"/>
      <c r="AA1131" s="82"/>
      <c r="AB1131" s="80"/>
      <c r="AC1131" s="80"/>
      <c r="AD1131" s="80"/>
      <c r="AE1131" s="80"/>
      <c r="AF1131" s="82"/>
      <c r="AG1131" s="80"/>
      <c r="AH1131" s="80"/>
      <c r="AI1131" s="82"/>
      <c r="AJ1131" s="79"/>
      <c r="AK1131" s="78" t="str">
        <f aca="false">IF(E1131="","",(X1131&lt;&gt;"")+(AC1131&lt;&gt;"")+(AH1131&lt;&gt;""))</f>
        <v/>
      </c>
      <c r="AL1131" s="81" t="str">
        <f aca="false">IF(AH1131&lt;&gt;"",AH1131,IF(AC1131&lt;&gt;"",AC1131,IF(X1131&lt;&gt;"",X1131,"")))</f>
        <v/>
      </c>
      <c r="AM1131" s="83" t="str">
        <f aca="false">IF(E1131="","",IF(R1131="","À SOUDER",IF(U1131="","VT EN ATTENTE",IF(U1131="R","VT REJETÉ – À REPRENDRE",IF(AL1131="","À RADIOGRAPHIER",IF(AL1131="A","ACCEPTÉ",IF(AL1131="NX","NX – RT À REFAIRE",IF(IF(AK1131=1,Z1131,IF(AK1131=2,AE1131,""))="A","RÉPARÉ – À RADIOGRAPHIER",IF(IF(AK1131=1,Z1131,IF(AK1131=2,AE1131,""))="R","VT REJETÉ – À REPRENDRE",IF(OR(AL1131="CO",AL1131="NT"),"COUPE – À RESOUDER","À RÉPARER"))))))))))</f>
        <v/>
      </c>
      <c r="AN1131" s="81" t="str">
        <f aca="false">IF(AND(ISNUMBER(R1131),OR(AM1131="À RADIOGRAPHIER",AM1131="RÉPARÉ – À RADIOGRAPHIER",AM1131="NX – RT À REFAIRE",AM1131="À RÉPARER",AM1131="COUPE – À RESOUDER",AM1131="VT REJETÉ – À REPRENDRE")),MAX(0,'PROGRAMME RT'!$C$4-R1131),"")</f>
        <v/>
      </c>
      <c r="AO1131" s="78" t="n">
        <f aca="false">IF(AND(OR(AM1131="À RADIOGRAPHIER",AM1131="RÉPARÉ – À RADIOGRAPHIER",AM1131="NX – RT À REFAIRE"),OR('PROGRAMME RT'!$D$5="TOUTES",B1131='PROGRAMME RT'!$D$5)),1,0)</f>
        <v>0</v>
      </c>
      <c r="AP1131" s="78" t="str">
        <f aca="false">IF(AO1131=1,SUM(AO$7:AO1131),"")</f>
        <v/>
      </c>
      <c r="AQ1131" s="78" t="n">
        <f aca="false">IF(AND(OR(X1131="R",X1131="NX",X1131="NT",X1131="CO"),OR('JOINTS DE RÉPARATION'!$D$5="TOUTES",B1131='JOINTS DE RÉPARATION'!$D$5),OR('JOINTS DE RÉPARATION'!$L$4="TOUS",AM1131&lt;&gt;"ACCEPTÉ")),1,0)</f>
        <v>0</v>
      </c>
      <c r="AR1131" s="78" t="str">
        <f aca="false">IF(AQ1131=1,SUM(AQ$7:AQ1131),"")</f>
        <v/>
      </c>
    </row>
    <row r="1132" customFormat="false" ht="15" hidden="false" customHeight="false" outlineLevel="0" collapsed="false">
      <c r="A1132" s="78" t="str">
        <f aca="false">IF(E1132="","",ROW()-6)</f>
        <v/>
      </c>
      <c r="B1132" s="79"/>
      <c r="C1132" s="80"/>
      <c r="D1132" s="80"/>
      <c r="E1132" s="80"/>
      <c r="F1132" s="80"/>
      <c r="G1132" s="80"/>
      <c r="H1132" s="80"/>
      <c r="I1132" s="80"/>
      <c r="J1132" s="80"/>
      <c r="K1132" s="80"/>
      <c r="L1132" s="81" t="str">
        <f aca="false">IF(K1132="","",IFERROR(INDEX(BARDAGE!$C$7:$C$1506,MATCH(K1132,BARDAGE!$B$7:$B$1506,0)),"? hors registre"))</f>
        <v/>
      </c>
      <c r="M1132" s="80"/>
      <c r="N1132" s="81" t="str">
        <f aca="false">IF(M1132="","",IFERROR(INDEX(BARDAGE!$C$7:$C$1506,MATCH(M1132,BARDAGE!$B$7:$B$1506,0)),"? hors registre"))</f>
        <v/>
      </c>
      <c r="O1132" s="80"/>
      <c r="P1132" s="80"/>
      <c r="Q1132" s="80"/>
      <c r="R1132" s="82"/>
      <c r="S1132" s="82"/>
      <c r="T1132" s="80"/>
      <c r="U1132" s="80"/>
      <c r="V1132" s="82"/>
      <c r="W1132" s="80"/>
      <c r="X1132" s="80"/>
      <c r="Y1132" s="80"/>
      <c r="Z1132" s="80"/>
      <c r="AA1132" s="82"/>
      <c r="AB1132" s="80"/>
      <c r="AC1132" s="80"/>
      <c r="AD1132" s="80"/>
      <c r="AE1132" s="80"/>
      <c r="AF1132" s="82"/>
      <c r="AG1132" s="80"/>
      <c r="AH1132" s="80"/>
      <c r="AI1132" s="82"/>
      <c r="AJ1132" s="79"/>
      <c r="AK1132" s="78" t="str">
        <f aca="false">IF(E1132="","",(X1132&lt;&gt;"")+(AC1132&lt;&gt;"")+(AH1132&lt;&gt;""))</f>
        <v/>
      </c>
      <c r="AL1132" s="81" t="str">
        <f aca="false">IF(AH1132&lt;&gt;"",AH1132,IF(AC1132&lt;&gt;"",AC1132,IF(X1132&lt;&gt;"",X1132,"")))</f>
        <v/>
      </c>
      <c r="AM1132" s="83" t="str">
        <f aca="false">IF(E1132="","",IF(R1132="","À SOUDER",IF(U1132="","VT EN ATTENTE",IF(U1132="R","VT REJETÉ – À REPRENDRE",IF(AL1132="","À RADIOGRAPHIER",IF(AL1132="A","ACCEPTÉ",IF(AL1132="NX","NX – RT À REFAIRE",IF(IF(AK1132=1,Z1132,IF(AK1132=2,AE1132,""))="A","RÉPARÉ – À RADIOGRAPHIER",IF(IF(AK1132=1,Z1132,IF(AK1132=2,AE1132,""))="R","VT REJETÉ – À REPRENDRE",IF(OR(AL1132="CO",AL1132="NT"),"COUPE – À RESOUDER","À RÉPARER"))))))))))</f>
        <v/>
      </c>
      <c r="AN1132" s="81" t="str">
        <f aca="false">IF(AND(ISNUMBER(R1132),OR(AM1132="À RADIOGRAPHIER",AM1132="RÉPARÉ – À RADIOGRAPHIER",AM1132="NX – RT À REFAIRE",AM1132="À RÉPARER",AM1132="COUPE – À RESOUDER",AM1132="VT REJETÉ – À REPRENDRE")),MAX(0,'PROGRAMME RT'!$C$4-R1132),"")</f>
        <v/>
      </c>
      <c r="AO1132" s="78" t="n">
        <f aca="false">IF(AND(OR(AM1132="À RADIOGRAPHIER",AM1132="RÉPARÉ – À RADIOGRAPHIER",AM1132="NX – RT À REFAIRE"),OR('PROGRAMME RT'!$D$5="TOUTES",B1132='PROGRAMME RT'!$D$5)),1,0)</f>
        <v>0</v>
      </c>
      <c r="AP1132" s="78" t="str">
        <f aca="false">IF(AO1132=1,SUM(AO$7:AO1132),"")</f>
        <v/>
      </c>
      <c r="AQ1132" s="78" t="n">
        <f aca="false">IF(AND(OR(X1132="R",X1132="NX",X1132="NT",X1132="CO"),OR('JOINTS DE RÉPARATION'!$D$5="TOUTES",B1132='JOINTS DE RÉPARATION'!$D$5),OR('JOINTS DE RÉPARATION'!$L$4="TOUS",AM1132&lt;&gt;"ACCEPTÉ")),1,0)</f>
        <v>0</v>
      </c>
      <c r="AR1132" s="78" t="str">
        <f aca="false">IF(AQ1132=1,SUM(AQ$7:AQ1132),"")</f>
        <v/>
      </c>
    </row>
    <row r="1133" customFormat="false" ht="15" hidden="false" customHeight="false" outlineLevel="0" collapsed="false">
      <c r="A1133" s="78" t="str">
        <f aca="false">IF(E1133="","",ROW()-6)</f>
        <v/>
      </c>
      <c r="B1133" s="79"/>
      <c r="C1133" s="80"/>
      <c r="D1133" s="80"/>
      <c r="E1133" s="80"/>
      <c r="F1133" s="80"/>
      <c r="G1133" s="80"/>
      <c r="H1133" s="80"/>
      <c r="I1133" s="80"/>
      <c r="J1133" s="80"/>
      <c r="K1133" s="80"/>
      <c r="L1133" s="81" t="str">
        <f aca="false">IF(K1133="","",IFERROR(INDEX(BARDAGE!$C$7:$C$1506,MATCH(K1133,BARDAGE!$B$7:$B$1506,0)),"? hors registre"))</f>
        <v/>
      </c>
      <c r="M1133" s="80"/>
      <c r="N1133" s="81" t="str">
        <f aca="false">IF(M1133="","",IFERROR(INDEX(BARDAGE!$C$7:$C$1506,MATCH(M1133,BARDAGE!$B$7:$B$1506,0)),"? hors registre"))</f>
        <v/>
      </c>
      <c r="O1133" s="80"/>
      <c r="P1133" s="80"/>
      <c r="Q1133" s="80"/>
      <c r="R1133" s="82"/>
      <c r="S1133" s="82"/>
      <c r="T1133" s="80"/>
      <c r="U1133" s="80"/>
      <c r="V1133" s="82"/>
      <c r="W1133" s="80"/>
      <c r="X1133" s="80"/>
      <c r="Y1133" s="80"/>
      <c r="Z1133" s="80"/>
      <c r="AA1133" s="82"/>
      <c r="AB1133" s="80"/>
      <c r="AC1133" s="80"/>
      <c r="AD1133" s="80"/>
      <c r="AE1133" s="80"/>
      <c r="AF1133" s="82"/>
      <c r="AG1133" s="80"/>
      <c r="AH1133" s="80"/>
      <c r="AI1133" s="82"/>
      <c r="AJ1133" s="79"/>
      <c r="AK1133" s="78" t="str">
        <f aca="false">IF(E1133="","",(X1133&lt;&gt;"")+(AC1133&lt;&gt;"")+(AH1133&lt;&gt;""))</f>
        <v/>
      </c>
      <c r="AL1133" s="81" t="str">
        <f aca="false">IF(AH1133&lt;&gt;"",AH1133,IF(AC1133&lt;&gt;"",AC1133,IF(X1133&lt;&gt;"",X1133,"")))</f>
        <v/>
      </c>
      <c r="AM1133" s="83" t="str">
        <f aca="false">IF(E1133="","",IF(R1133="","À SOUDER",IF(U1133="","VT EN ATTENTE",IF(U1133="R","VT REJETÉ – À REPRENDRE",IF(AL1133="","À RADIOGRAPHIER",IF(AL1133="A","ACCEPTÉ",IF(AL1133="NX","NX – RT À REFAIRE",IF(IF(AK1133=1,Z1133,IF(AK1133=2,AE1133,""))="A","RÉPARÉ – À RADIOGRAPHIER",IF(IF(AK1133=1,Z1133,IF(AK1133=2,AE1133,""))="R","VT REJETÉ – À REPRENDRE",IF(OR(AL1133="CO",AL1133="NT"),"COUPE – À RESOUDER","À RÉPARER"))))))))))</f>
        <v/>
      </c>
      <c r="AN1133" s="81" t="str">
        <f aca="false">IF(AND(ISNUMBER(R1133),OR(AM1133="À RADIOGRAPHIER",AM1133="RÉPARÉ – À RADIOGRAPHIER",AM1133="NX – RT À REFAIRE",AM1133="À RÉPARER",AM1133="COUPE – À RESOUDER",AM1133="VT REJETÉ – À REPRENDRE")),MAX(0,'PROGRAMME RT'!$C$4-R1133),"")</f>
        <v/>
      </c>
      <c r="AO1133" s="78" t="n">
        <f aca="false">IF(AND(OR(AM1133="À RADIOGRAPHIER",AM1133="RÉPARÉ – À RADIOGRAPHIER",AM1133="NX – RT À REFAIRE"),OR('PROGRAMME RT'!$D$5="TOUTES",B1133='PROGRAMME RT'!$D$5)),1,0)</f>
        <v>0</v>
      </c>
      <c r="AP1133" s="78" t="str">
        <f aca="false">IF(AO1133=1,SUM(AO$7:AO1133),"")</f>
        <v/>
      </c>
      <c r="AQ1133" s="78" t="n">
        <f aca="false">IF(AND(OR(X1133="R",X1133="NX",X1133="NT",X1133="CO"),OR('JOINTS DE RÉPARATION'!$D$5="TOUTES",B1133='JOINTS DE RÉPARATION'!$D$5),OR('JOINTS DE RÉPARATION'!$L$4="TOUS",AM1133&lt;&gt;"ACCEPTÉ")),1,0)</f>
        <v>0</v>
      </c>
      <c r="AR1133" s="78" t="str">
        <f aca="false">IF(AQ1133=1,SUM(AQ$7:AQ1133),"")</f>
        <v/>
      </c>
    </row>
    <row r="1134" customFormat="false" ht="15" hidden="false" customHeight="false" outlineLevel="0" collapsed="false">
      <c r="A1134" s="78" t="str">
        <f aca="false">IF(E1134="","",ROW()-6)</f>
        <v/>
      </c>
      <c r="B1134" s="79"/>
      <c r="C1134" s="80"/>
      <c r="D1134" s="80"/>
      <c r="E1134" s="80"/>
      <c r="F1134" s="80"/>
      <c r="G1134" s="80"/>
      <c r="H1134" s="80"/>
      <c r="I1134" s="80"/>
      <c r="J1134" s="80"/>
      <c r="K1134" s="80"/>
      <c r="L1134" s="81" t="str">
        <f aca="false">IF(K1134="","",IFERROR(INDEX(BARDAGE!$C$7:$C$1506,MATCH(K1134,BARDAGE!$B$7:$B$1506,0)),"? hors registre"))</f>
        <v/>
      </c>
      <c r="M1134" s="80"/>
      <c r="N1134" s="81" t="str">
        <f aca="false">IF(M1134="","",IFERROR(INDEX(BARDAGE!$C$7:$C$1506,MATCH(M1134,BARDAGE!$B$7:$B$1506,0)),"? hors registre"))</f>
        <v/>
      </c>
      <c r="O1134" s="80"/>
      <c r="P1134" s="80"/>
      <c r="Q1134" s="80"/>
      <c r="R1134" s="82"/>
      <c r="S1134" s="82"/>
      <c r="T1134" s="80"/>
      <c r="U1134" s="80"/>
      <c r="V1134" s="82"/>
      <c r="W1134" s="80"/>
      <c r="X1134" s="80"/>
      <c r="Y1134" s="80"/>
      <c r="Z1134" s="80"/>
      <c r="AA1134" s="82"/>
      <c r="AB1134" s="80"/>
      <c r="AC1134" s="80"/>
      <c r="AD1134" s="80"/>
      <c r="AE1134" s="80"/>
      <c r="AF1134" s="82"/>
      <c r="AG1134" s="80"/>
      <c r="AH1134" s="80"/>
      <c r="AI1134" s="82"/>
      <c r="AJ1134" s="79"/>
      <c r="AK1134" s="78" t="str">
        <f aca="false">IF(E1134="","",(X1134&lt;&gt;"")+(AC1134&lt;&gt;"")+(AH1134&lt;&gt;""))</f>
        <v/>
      </c>
      <c r="AL1134" s="81" t="str">
        <f aca="false">IF(AH1134&lt;&gt;"",AH1134,IF(AC1134&lt;&gt;"",AC1134,IF(X1134&lt;&gt;"",X1134,"")))</f>
        <v/>
      </c>
      <c r="AM1134" s="83" t="str">
        <f aca="false">IF(E1134="","",IF(R1134="","À SOUDER",IF(U1134="","VT EN ATTENTE",IF(U1134="R","VT REJETÉ – À REPRENDRE",IF(AL1134="","À RADIOGRAPHIER",IF(AL1134="A","ACCEPTÉ",IF(AL1134="NX","NX – RT À REFAIRE",IF(IF(AK1134=1,Z1134,IF(AK1134=2,AE1134,""))="A","RÉPARÉ – À RADIOGRAPHIER",IF(IF(AK1134=1,Z1134,IF(AK1134=2,AE1134,""))="R","VT REJETÉ – À REPRENDRE",IF(OR(AL1134="CO",AL1134="NT"),"COUPE – À RESOUDER","À RÉPARER"))))))))))</f>
        <v/>
      </c>
      <c r="AN1134" s="81" t="str">
        <f aca="false">IF(AND(ISNUMBER(R1134),OR(AM1134="À RADIOGRAPHIER",AM1134="RÉPARÉ – À RADIOGRAPHIER",AM1134="NX – RT À REFAIRE",AM1134="À RÉPARER",AM1134="COUPE – À RESOUDER",AM1134="VT REJETÉ – À REPRENDRE")),MAX(0,'PROGRAMME RT'!$C$4-R1134),"")</f>
        <v/>
      </c>
      <c r="AO1134" s="78" t="n">
        <f aca="false">IF(AND(OR(AM1134="À RADIOGRAPHIER",AM1134="RÉPARÉ – À RADIOGRAPHIER",AM1134="NX – RT À REFAIRE"),OR('PROGRAMME RT'!$D$5="TOUTES",B1134='PROGRAMME RT'!$D$5)),1,0)</f>
        <v>0</v>
      </c>
      <c r="AP1134" s="78" t="str">
        <f aca="false">IF(AO1134=1,SUM(AO$7:AO1134),"")</f>
        <v/>
      </c>
      <c r="AQ1134" s="78" t="n">
        <f aca="false">IF(AND(OR(X1134="R",X1134="NX",X1134="NT",X1134="CO"),OR('JOINTS DE RÉPARATION'!$D$5="TOUTES",B1134='JOINTS DE RÉPARATION'!$D$5),OR('JOINTS DE RÉPARATION'!$L$4="TOUS",AM1134&lt;&gt;"ACCEPTÉ")),1,0)</f>
        <v>0</v>
      </c>
      <c r="AR1134" s="78" t="str">
        <f aca="false">IF(AQ1134=1,SUM(AQ$7:AQ1134),"")</f>
        <v/>
      </c>
    </row>
    <row r="1135" customFormat="false" ht="15" hidden="false" customHeight="false" outlineLevel="0" collapsed="false">
      <c r="A1135" s="78" t="str">
        <f aca="false">IF(E1135="","",ROW()-6)</f>
        <v/>
      </c>
      <c r="B1135" s="79"/>
      <c r="C1135" s="80"/>
      <c r="D1135" s="80"/>
      <c r="E1135" s="80"/>
      <c r="F1135" s="80"/>
      <c r="G1135" s="80"/>
      <c r="H1135" s="80"/>
      <c r="I1135" s="80"/>
      <c r="J1135" s="80"/>
      <c r="K1135" s="80"/>
      <c r="L1135" s="81" t="str">
        <f aca="false">IF(K1135="","",IFERROR(INDEX(BARDAGE!$C$7:$C$1506,MATCH(K1135,BARDAGE!$B$7:$B$1506,0)),"? hors registre"))</f>
        <v/>
      </c>
      <c r="M1135" s="80"/>
      <c r="N1135" s="81" t="str">
        <f aca="false">IF(M1135="","",IFERROR(INDEX(BARDAGE!$C$7:$C$1506,MATCH(M1135,BARDAGE!$B$7:$B$1506,0)),"? hors registre"))</f>
        <v/>
      </c>
      <c r="O1135" s="80"/>
      <c r="P1135" s="80"/>
      <c r="Q1135" s="80"/>
      <c r="R1135" s="82"/>
      <c r="S1135" s="82"/>
      <c r="T1135" s="80"/>
      <c r="U1135" s="80"/>
      <c r="V1135" s="82"/>
      <c r="W1135" s="80"/>
      <c r="X1135" s="80"/>
      <c r="Y1135" s="80"/>
      <c r="Z1135" s="80"/>
      <c r="AA1135" s="82"/>
      <c r="AB1135" s="80"/>
      <c r="AC1135" s="80"/>
      <c r="AD1135" s="80"/>
      <c r="AE1135" s="80"/>
      <c r="AF1135" s="82"/>
      <c r="AG1135" s="80"/>
      <c r="AH1135" s="80"/>
      <c r="AI1135" s="82"/>
      <c r="AJ1135" s="79"/>
      <c r="AK1135" s="78" t="str">
        <f aca="false">IF(E1135="","",(X1135&lt;&gt;"")+(AC1135&lt;&gt;"")+(AH1135&lt;&gt;""))</f>
        <v/>
      </c>
      <c r="AL1135" s="81" t="str">
        <f aca="false">IF(AH1135&lt;&gt;"",AH1135,IF(AC1135&lt;&gt;"",AC1135,IF(X1135&lt;&gt;"",X1135,"")))</f>
        <v/>
      </c>
      <c r="AM1135" s="83" t="str">
        <f aca="false">IF(E1135="","",IF(R1135="","À SOUDER",IF(U1135="","VT EN ATTENTE",IF(U1135="R","VT REJETÉ – À REPRENDRE",IF(AL1135="","À RADIOGRAPHIER",IF(AL1135="A","ACCEPTÉ",IF(AL1135="NX","NX – RT À REFAIRE",IF(IF(AK1135=1,Z1135,IF(AK1135=2,AE1135,""))="A","RÉPARÉ – À RADIOGRAPHIER",IF(IF(AK1135=1,Z1135,IF(AK1135=2,AE1135,""))="R","VT REJETÉ – À REPRENDRE",IF(OR(AL1135="CO",AL1135="NT"),"COUPE – À RESOUDER","À RÉPARER"))))))))))</f>
        <v/>
      </c>
      <c r="AN1135" s="81" t="str">
        <f aca="false">IF(AND(ISNUMBER(R1135),OR(AM1135="À RADIOGRAPHIER",AM1135="RÉPARÉ – À RADIOGRAPHIER",AM1135="NX – RT À REFAIRE",AM1135="À RÉPARER",AM1135="COUPE – À RESOUDER",AM1135="VT REJETÉ – À REPRENDRE")),MAX(0,'PROGRAMME RT'!$C$4-R1135),"")</f>
        <v/>
      </c>
      <c r="AO1135" s="78" t="n">
        <f aca="false">IF(AND(OR(AM1135="À RADIOGRAPHIER",AM1135="RÉPARÉ – À RADIOGRAPHIER",AM1135="NX – RT À REFAIRE"),OR('PROGRAMME RT'!$D$5="TOUTES",B1135='PROGRAMME RT'!$D$5)),1,0)</f>
        <v>0</v>
      </c>
      <c r="AP1135" s="78" t="str">
        <f aca="false">IF(AO1135=1,SUM(AO$7:AO1135),"")</f>
        <v/>
      </c>
      <c r="AQ1135" s="78" t="n">
        <f aca="false">IF(AND(OR(X1135="R",X1135="NX",X1135="NT",X1135="CO"),OR('JOINTS DE RÉPARATION'!$D$5="TOUTES",B1135='JOINTS DE RÉPARATION'!$D$5),OR('JOINTS DE RÉPARATION'!$L$4="TOUS",AM1135&lt;&gt;"ACCEPTÉ")),1,0)</f>
        <v>0</v>
      </c>
      <c r="AR1135" s="78" t="str">
        <f aca="false">IF(AQ1135=1,SUM(AQ$7:AQ1135),"")</f>
        <v/>
      </c>
    </row>
    <row r="1136" customFormat="false" ht="15" hidden="false" customHeight="false" outlineLevel="0" collapsed="false">
      <c r="A1136" s="78" t="str">
        <f aca="false">IF(E1136="","",ROW()-6)</f>
        <v/>
      </c>
      <c r="B1136" s="79"/>
      <c r="C1136" s="80"/>
      <c r="D1136" s="80"/>
      <c r="E1136" s="80"/>
      <c r="F1136" s="80"/>
      <c r="G1136" s="80"/>
      <c r="H1136" s="80"/>
      <c r="I1136" s="80"/>
      <c r="J1136" s="80"/>
      <c r="K1136" s="80"/>
      <c r="L1136" s="81" t="str">
        <f aca="false">IF(K1136="","",IFERROR(INDEX(BARDAGE!$C$7:$C$1506,MATCH(K1136,BARDAGE!$B$7:$B$1506,0)),"? hors registre"))</f>
        <v/>
      </c>
      <c r="M1136" s="80"/>
      <c r="N1136" s="81" t="str">
        <f aca="false">IF(M1136="","",IFERROR(INDEX(BARDAGE!$C$7:$C$1506,MATCH(M1136,BARDAGE!$B$7:$B$1506,0)),"? hors registre"))</f>
        <v/>
      </c>
      <c r="O1136" s="80"/>
      <c r="P1136" s="80"/>
      <c r="Q1136" s="80"/>
      <c r="R1136" s="82"/>
      <c r="S1136" s="82"/>
      <c r="T1136" s="80"/>
      <c r="U1136" s="80"/>
      <c r="V1136" s="82"/>
      <c r="W1136" s="80"/>
      <c r="X1136" s="80"/>
      <c r="Y1136" s="80"/>
      <c r="Z1136" s="80"/>
      <c r="AA1136" s="82"/>
      <c r="AB1136" s="80"/>
      <c r="AC1136" s="80"/>
      <c r="AD1136" s="80"/>
      <c r="AE1136" s="80"/>
      <c r="AF1136" s="82"/>
      <c r="AG1136" s="80"/>
      <c r="AH1136" s="80"/>
      <c r="AI1136" s="82"/>
      <c r="AJ1136" s="79"/>
      <c r="AK1136" s="78" t="str">
        <f aca="false">IF(E1136="","",(X1136&lt;&gt;"")+(AC1136&lt;&gt;"")+(AH1136&lt;&gt;""))</f>
        <v/>
      </c>
      <c r="AL1136" s="81" t="str">
        <f aca="false">IF(AH1136&lt;&gt;"",AH1136,IF(AC1136&lt;&gt;"",AC1136,IF(X1136&lt;&gt;"",X1136,"")))</f>
        <v/>
      </c>
      <c r="AM1136" s="83" t="str">
        <f aca="false">IF(E1136="","",IF(R1136="","À SOUDER",IF(U1136="","VT EN ATTENTE",IF(U1136="R","VT REJETÉ – À REPRENDRE",IF(AL1136="","À RADIOGRAPHIER",IF(AL1136="A","ACCEPTÉ",IF(AL1136="NX","NX – RT À REFAIRE",IF(IF(AK1136=1,Z1136,IF(AK1136=2,AE1136,""))="A","RÉPARÉ – À RADIOGRAPHIER",IF(IF(AK1136=1,Z1136,IF(AK1136=2,AE1136,""))="R","VT REJETÉ – À REPRENDRE",IF(OR(AL1136="CO",AL1136="NT"),"COUPE – À RESOUDER","À RÉPARER"))))))))))</f>
        <v/>
      </c>
      <c r="AN1136" s="81" t="str">
        <f aca="false">IF(AND(ISNUMBER(R1136),OR(AM1136="À RADIOGRAPHIER",AM1136="RÉPARÉ – À RADIOGRAPHIER",AM1136="NX – RT À REFAIRE",AM1136="À RÉPARER",AM1136="COUPE – À RESOUDER",AM1136="VT REJETÉ – À REPRENDRE")),MAX(0,'PROGRAMME RT'!$C$4-R1136),"")</f>
        <v/>
      </c>
      <c r="AO1136" s="78" t="n">
        <f aca="false">IF(AND(OR(AM1136="À RADIOGRAPHIER",AM1136="RÉPARÉ – À RADIOGRAPHIER",AM1136="NX – RT À REFAIRE"),OR('PROGRAMME RT'!$D$5="TOUTES",B1136='PROGRAMME RT'!$D$5)),1,0)</f>
        <v>0</v>
      </c>
      <c r="AP1136" s="78" t="str">
        <f aca="false">IF(AO1136=1,SUM(AO$7:AO1136),"")</f>
        <v/>
      </c>
      <c r="AQ1136" s="78" t="n">
        <f aca="false">IF(AND(OR(X1136="R",X1136="NX",X1136="NT",X1136="CO"),OR('JOINTS DE RÉPARATION'!$D$5="TOUTES",B1136='JOINTS DE RÉPARATION'!$D$5),OR('JOINTS DE RÉPARATION'!$L$4="TOUS",AM1136&lt;&gt;"ACCEPTÉ")),1,0)</f>
        <v>0</v>
      </c>
      <c r="AR1136" s="78" t="str">
        <f aca="false">IF(AQ1136=1,SUM(AQ$7:AQ1136),"")</f>
        <v/>
      </c>
    </row>
    <row r="1137" customFormat="false" ht="15" hidden="false" customHeight="false" outlineLevel="0" collapsed="false">
      <c r="A1137" s="78" t="str">
        <f aca="false">IF(E1137="","",ROW()-6)</f>
        <v/>
      </c>
      <c r="B1137" s="79"/>
      <c r="C1137" s="80"/>
      <c r="D1137" s="80"/>
      <c r="E1137" s="80"/>
      <c r="F1137" s="80"/>
      <c r="G1137" s="80"/>
      <c r="H1137" s="80"/>
      <c r="I1137" s="80"/>
      <c r="J1137" s="80"/>
      <c r="K1137" s="80"/>
      <c r="L1137" s="81" t="str">
        <f aca="false">IF(K1137="","",IFERROR(INDEX(BARDAGE!$C$7:$C$1506,MATCH(K1137,BARDAGE!$B$7:$B$1506,0)),"? hors registre"))</f>
        <v/>
      </c>
      <c r="M1137" s="80"/>
      <c r="N1137" s="81" t="str">
        <f aca="false">IF(M1137="","",IFERROR(INDEX(BARDAGE!$C$7:$C$1506,MATCH(M1137,BARDAGE!$B$7:$B$1506,0)),"? hors registre"))</f>
        <v/>
      </c>
      <c r="O1137" s="80"/>
      <c r="P1137" s="80"/>
      <c r="Q1137" s="80"/>
      <c r="R1137" s="82"/>
      <c r="S1137" s="82"/>
      <c r="T1137" s="80"/>
      <c r="U1137" s="80"/>
      <c r="V1137" s="82"/>
      <c r="W1137" s="80"/>
      <c r="X1137" s="80"/>
      <c r="Y1137" s="80"/>
      <c r="Z1137" s="80"/>
      <c r="AA1137" s="82"/>
      <c r="AB1137" s="80"/>
      <c r="AC1137" s="80"/>
      <c r="AD1137" s="80"/>
      <c r="AE1137" s="80"/>
      <c r="AF1137" s="82"/>
      <c r="AG1137" s="80"/>
      <c r="AH1137" s="80"/>
      <c r="AI1137" s="82"/>
      <c r="AJ1137" s="79"/>
      <c r="AK1137" s="78" t="str">
        <f aca="false">IF(E1137="","",(X1137&lt;&gt;"")+(AC1137&lt;&gt;"")+(AH1137&lt;&gt;""))</f>
        <v/>
      </c>
      <c r="AL1137" s="81" t="str">
        <f aca="false">IF(AH1137&lt;&gt;"",AH1137,IF(AC1137&lt;&gt;"",AC1137,IF(X1137&lt;&gt;"",X1137,"")))</f>
        <v/>
      </c>
      <c r="AM1137" s="83" t="str">
        <f aca="false">IF(E1137="","",IF(R1137="","À SOUDER",IF(U1137="","VT EN ATTENTE",IF(U1137="R","VT REJETÉ – À REPRENDRE",IF(AL1137="","À RADIOGRAPHIER",IF(AL1137="A","ACCEPTÉ",IF(AL1137="NX","NX – RT À REFAIRE",IF(IF(AK1137=1,Z1137,IF(AK1137=2,AE1137,""))="A","RÉPARÉ – À RADIOGRAPHIER",IF(IF(AK1137=1,Z1137,IF(AK1137=2,AE1137,""))="R","VT REJETÉ – À REPRENDRE",IF(OR(AL1137="CO",AL1137="NT"),"COUPE – À RESOUDER","À RÉPARER"))))))))))</f>
        <v/>
      </c>
      <c r="AN1137" s="81" t="str">
        <f aca="false">IF(AND(ISNUMBER(R1137),OR(AM1137="À RADIOGRAPHIER",AM1137="RÉPARÉ – À RADIOGRAPHIER",AM1137="NX – RT À REFAIRE",AM1137="À RÉPARER",AM1137="COUPE – À RESOUDER",AM1137="VT REJETÉ – À REPRENDRE")),MAX(0,'PROGRAMME RT'!$C$4-R1137),"")</f>
        <v/>
      </c>
      <c r="AO1137" s="78" t="n">
        <f aca="false">IF(AND(OR(AM1137="À RADIOGRAPHIER",AM1137="RÉPARÉ – À RADIOGRAPHIER",AM1137="NX – RT À REFAIRE"),OR('PROGRAMME RT'!$D$5="TOUTES",B1137='PROGRAMME RT'!$D$5)),1,0)</f>
        <v>0</v>
      </c>
      <c r="AP1137" s="78" t="str">
        <f aca="false">IF(AO1137=1,SUM(AO$7:AO1137),"")</f>
        <v/>
      </c>
      <c r="AQ1137" s="78" t="n">
        <f aca="false">IF(AND(OR(X1137="R",X1137="NX",X1137="NT",X1137="CO"),OR('JOINTS DE RÉPARATION'!$D$5="TOUTES",B1137='JOINTS DE RÉPARATION'!$D$5),OR('JOINTS DE RÉPARATION'!$L$4="TOUS",AM1137&lt;&gt;"ACCEPTÉ")),1,0)</f>
        <v>0</v>
      </c>
      <c r="AR1137" s="78" t="str">
        <f aca="false">IF(AQ1137=1,SUM(AQ$7:AQ1137),"")</f>
        <v/>
      </c>
    </row>
    <row r="1138" customFormat="false" ht="15" hidden="false" customHeight="false" outlineLevel="0" collapsed="false">
      <c r="A1138" s="78" t="str">
        <f aca="false">IF(E1138="","",ROW()-6)</f>
        <v/>
      </c>
      <c r="B1138" s="79"/>
      <c r="C1138" s="80"/>
      <c r="D1138" s="80"/>
      <c r="E1138" s="80"/>
      <c r="F1138" s="80"/>
      <c r="G1138" s="80"/>
      <c r="H1138" s="80"/>
      <c r="I1138" s="80"/>
      <c r="J1138" s="80"/>
      <c r="K1138" s="80"/>
      <c r="L1138" s="81" t="str">
        <f aca="false">IF(K1138="","",IFERROR(INDEX(BARDAGE!$C$7:$C$1506,MATCH(K1138,BARDAGE!$B$7:$B$1506,0)),"? hors registre"))</f>
        <v/>
      </c>
      <c r="M1138" s="80"/>
      <c r="N1138" s="81" t="str">
        <f aca="false">IF(M1138="","",IFERROR(INDEX(BARDAGE!$C$7:$C$1506,MATCH(M1138,BARDAGE!$B$7:$B$1506,0)),"? hors registre"))</f>
        <v/>
      </c>
      <c r="O1138" s="80"/>
      <c r="P1138" s="80"/>
      <c r="Q1138" s="80"/>
      <c r="R1138" s="82"/>
      <c r="S1138" s="82"/>
      <c r="T1138" s="80"/>
      <c r="U1138" s="80"/>
      <c r="V1138" s="82"/>
      <c r="W1138" s="80"/>
      <c r="X1138" s="80"/>
      <c r="Y1138" s="80"/>
      <c r="Z1138" s="80"/>
      <c r="AA1138" s="82"/>
      <c r="AB1138" s="80"/>
      <c r="AC1138" s="80"/>
      <c r="AD1138" s="80"/>
      <c r="AE1138" s="80"/>
      <c r="AF1138" s="82"/>
      <c r="AG1138" s="80"/>
      <c r="AH1138" s="80"/>
      <c r="AI1138" s="82"/>
      <c r="AJ1138" s="79"/>
      <c r="AK1138" s="78" t="str">
        <f aca="false">IF(E1138="","",(X1138&lt;&gt;"")+(AC1138&lt;&gt;"")+(AH1138&lt;&gt;""))</f>
        <v/>
      </c>
      <c r="AL1138" s="81" t="str">
        <f aca="false">IF(AH1138&lt;&gt;"",AH1138,IF(AC1138&lt;&gt;"",AC1138,IF(X1138&lt;&gt;"",X1138,"")))</f>
        <v/>
      </c>
      <c r="AM1138" s="83" t="str">
        <f aca="false">IF(E1138="","",IF(R1138="","À SOUDER",IF(U1138="","VT EN ATTENTE",IF(U1138="R","VT REJETÉ – À REPRENDRE",IF(AL1138="","À RADIOGRAPHIER",IF(AL1138="A","ACCEPTÉ",IF(AL1138="NX","NX – RT À REFAIRE",IF(IF(AK1138=1,Z1138,IF(AK1138=2,AE1138,""))="A","RÉPARÉ – À RADIOGRAPHIER",IF(IF(AK1138=1,Z1138,IF(AK1138=2,AE1138,""))="R","VT REJETÉ – À REPRENDRE",IF(OR(AL1138="CO",AL1138="NT"),"COUPE – À RESOUDER","À RÉPARER"))))))))))</f>
        <v/>
      </c>
      <c r="AN1138" s="81" t="str">
        <f aca="false">IF(AND(ISNUMBER(R1138),OR(AM1138="À RADIOGRAPHIER",AM1138="RÉPARÉ – À RADIOGRAPHIER",AM1138="NX – RT À REFAIRE",AM1138="À RÉPARER",AM1138="COUPE – À RESOUDER",AM1138="VT REJETÉ – À REPRENDRE")),MAX(0,'PROGRAMME RT'!$C$4-R1138),"")</f>
        <v/>
      </c>
      <c r="AO1138" s="78" t="n">
        <f aca="false">IF(AND(OR(AM1138="À RADIOGRAPHIER",AM1138="RÉPARÉ – À RADIOGRAPHIER",AM1138="NX – RT À REFAIRE"),OR('PROGRAMME RT'!$D$5="TOUTES",B1138='PROGRAMME RT'!$D$5)),1,0)</f>
        <v>0</v>
      </c>
      <c r="AP1138" s="78" t="str">
        <f aca="false">IF(AO1138=1,SUM(AO$7:AO1138),"")</f>
        <v/>
      </c>
      <c r="AQ1138" s="78" t="n">
        <f aca="false">IF(AND(OR(X1138="R",X1138="NX",X1138="NT",X1138="CO"),OR('JOINTS DE RÉPARATION'!$D$5="TOUTES",B1138='JOINTS DE RÉPARATION'!$D$5),OR('JOINTS DE RÉPARATION'!$L$4="TOUS",AM1138&lt;&gt;"ACCEPTÉ")),1,0)</f>
        <v>0</v>
      </c>
      <c r="AR1138" s="78" t="str">
        <f aca="false">IF(AQ1138=1,SUM(AQ$7:AQ1138),"")</f>
        <v/>
      </c>
    </row>
    <row r="1139" customFormat="false" ht="15" hidden="false" customHeight="false" outlineLevel="0" collapsed="false">
      <c r="A1139" s="78" t="str">
        <f aca="false">IF(E1139="","",ROW()-6)</f>
        <v/>
      </c>
      <c r="B1139" s="79"/>
      <c r="C1139" s="80"/>
      <c r="D1139" s="80"/>
      <c r="E1139" s="80"/>
      <c r="F1139" s="80"/>
      <c r="G1139" s="80"/>
      <c r="H1139" s="80"/>
      <c r="I1139" s="80"/>
      <c r="J1139" s="80"/>
      <c r="K1139" s="80"/>
      <c r="L1139" s="81" t="str">
        <f aca="false">IF(K1139="","",IFERROR(INDEX(BARDAGE!$C$7:$C$1506,MATCH(K1139,BARDAGE!$B$7:$B$1506,0)),"? hors registre"))</f>
        <v/>
      </c>
      <c r="M1139" s="80"/>
      <c r="N1139" s="81" t="str">
        <f aca="false">IF(M1139="","",IFERROR(INDEX(BARDAGE!$C$7:$C$1506,MATCH(M1139,BARDAGE!$B$7:$B$1506,0)),"? hors registre"))</f>
        <v/>
      </c>
      <c r="O1139" s="80"/>
      <c r="P1139" s="80"/>
      <c r="Q1139" s="80"/>
      <c r="R1139" s="82"/>
      <c r="S1139" s="82"/>
      <c r="T1139" s="80"/>
      <c r="U1139" s="80"/>
      <c r="V1139" s="82"/>
      <c r="W1139" s="80"/>
      <c r="X1139" s="80"/>
      <c r="Y1139" s="80"/>
      <c r="Z1139" s="80"/>
      <c r="AA1139" s="82"/>
      <c r="AB1139" s="80"/>
      <c r="AC1139" s="80"/>
      <c r="AD1139" s="80"/>
      <c r="AE1139" s="80"/>
      <c r="AF1139" s="82"/>
      <c r="AG1139" s="80"/>
      <c r="AH1139" s="80"/>
      <c r="AI1139" s="82"/>
      <c r="AJ1139" s="79"/>
      <c r="AK1139" s="78" t="str">
        <f aca="false">IF(E1139="","",(X1139&lt;&gt;"")+(AC1139&lt;&gt;"")+(AH1139&lt;&gt;""))</f>
        <v/>
      </c>
      <c r="AL1139" s="81" t="str">
        <f aca="false">IF(AH1139&lt;&gt;"",AH1139,IF(AC1139&lt;&gt;"",AC1139,IF(X1139&lt;&gt;"",X1139,"")))</f>
        <v/>
      </c>
      <c r="AM1139" s="83" t="str">
        <f aca="false">IF(E1139="","",IF(R1139="","À SOUDER",IF(U1139="","VT EN ATTENTE",IF(U1139="R","VT REJETÉ – À REPRENDRE",IF(AL1139="","À RADIOGRAPHIER",IF(AL1139="A","ACCEPTÉ",IF(AL1139="NX","NX – RT À REFAIRE",IF(IF(AK1139=1,Z1139,IF(AK1139=2,AE1139,""))="A","RÉPARÉ – À RADIOGRAPHIER",IF(IF(AK1139=1,Z1139,IF(AK1139=2,AE1139,""))="R","VT REJETÉ – À REPRENDRE",IF(OR(AL1139="CO",AL1139="NT"),"COUPE – À RESOUDER","À RÉPARER"))))))))))</f>
        <v/>
      </c>
      <c r="AN1139" s="81" t="str">
        <f aca="false">IF(AND(ISNUMBER(R1139),OR(AM1139="À RADIOGRAPHIER",AM1139="RÉPARÉ – À RADIOGRAPHIER",AM1139="NX – RT À REFAIRE",AM1139="À RÉPARER",AM1139="COUPE – À RESOUDER",AM1139="VT REJETÉ – À REPRENDRE")),MAX(0,'PROGRAMME RT'!$C$4-R1139),"")</f>
        <v/>
      </c>
      <c r="AO1139" s="78" t="n">
        <f aca="false">IF(AND(OR(AM1139="À RADIOGRAPHIER",AM1139="RÉPARÉ – À RADIOGRAPHIER",AM1139="NX – RT À REFAIRE"),OR('PROGRAMME RT'!$D$5="TOUTES",B1139='PROGRAMME RT'!$D$5)),1,0)</f>
        <v>0</v>
      </c>
      <c r="AP1139" s="78" t="str">
        <f aca="false">IF(AO1139=1,SUM(AO$7:AO1139),"")</f>
        <v/>
      </c>
      <c r="AQ1139" s="78" t="n">
        <f aca="false">IF(AND(OR(X1139="R",X1139="NX",X1139="NT",X1139="CO"),OR('JOINTS DE RÉPARATION'!$D$5="TOUTES",B1139='JOINTS DE RÉPARATION'!$D$5),OR('JOINTS DE RÉPARATION'!$L$4="TOUS",AM1139&lt;&gt;"ACCEPTÉ")),1,0)</f>
        <v>0</v>
      </c>
      <c r="AR1139" s="78" t="str">
        <f aca="false">IF(AQ1139=1,SUM(AQ$7:AQ1139),"")</f>
        <v/>
      </c>
    </row>
    <row r="1140" customFormat="false" ht="15" hidden="false" customHeight="false" outlineLevel="0" collapsed="false">
      <c r="A1140" s="78" t="str">
        <f aca="false">IF(E1140="","",ROW()-6)</f>
        <v/>
      </c>
      <c r="B1140" s="79"/>
      <c r="C1140" s="80"/>
      <c r="D1140" s="80"/>
      <c r="E1140" s="80"/>
      <c r="F1140" s="80"/>
      <c r="G1140" s="80"/>
      <c r="H1140" s="80"/>
      <c r="I1140" s="80"/>
      <c r="J1140" s="80"/>
      <c r="K1140" s="80"/>
      <c r="L1140" s="81" t="str">
        <f aca="false">IF(K1140="","",IFERROR(INDEX(BARDAGE!$C$7:$C$1506,MATCH(K1140,BARDAGE!$B$7:$B$1506,0)),"? hors registre"))</f>
        <v/>
      </c>
      <c r="M1140" s="80"/>
      <c r="N1140" s="81" t="str">
        <f aca="false">IF(M1140="","",IFERROR(INDEX(BARDAGE!$C$7:$C$1506,MATCH(M1140,BARDAGE!$B$7:$B$1506,0)),"? hors registre"))</f>
        <v/>
      </c>
      <c r="O1140" s="80"/>
      <c r="P1140" s="80"/>
      <c r="Q1140" s="80"/>
      <c r="R1140" s="82"/>
      <c r="S1140" s="82"/>
      <c r="T1140" s="80"/>
      <c r="U1140" s="80"/>
      <c r="V1140" s="82"/>
      <c r="W1140" s="80"/>
      <c r="X1140" s="80"/>
      <c r="Y1140" s="80"/>
      <c r="Z1140" s="80"/>
      <c r="AA1140" s="82"/>
      <c r="AB1140" s="80"/>
      <c r="AC1140" s="80"/>
      <c r="AD1140" s="80"/>
      <c r="AE1140" s="80"/>
      <c r="AF1140" s="82"/>
      <c r="AG1140" s="80"/>
      <c r="AH1140" s="80"/>
      <c r="AI1140" s="82"/>
      <c r="AJ1140" s="79"/>
      <c r="AK1140" s="78" t="str">
        <f aca="false">IF(E1140="","",(X1140&lt;&gt;"")+(AC1140&lt;&gt;"")+(AH1140&lt;&gt;""))</f>
        <v/>
      </c>
      <c r="AL1140" s="81" t="str">
        <f aca="false">IF(AH1140&lt;&gt;"",AH1140,IF(AC1140&lt;&gt;"",AC1140,IF(X1140&lt;&gt;"",X1140,"")))</f>
        <v/>
      </c>
      <c r="AM1140" s="83" t="str">
        <f aca="false">IF(E1140="","",IF(R1140="","À SOUDER",IF(U1140="","VT EN ATTENTE",IF(U1140="R","VT REJETÉ – À REPRENDRE",IF(AL1140="","À RADIOGRAPHIER",IF(AL1140="A","ACCEPTÉ",IF(AL1140="NX","NX – RT À REFAIRE",IF(IF(AK1140=1,Z1140,IF(AK1140=2,AE1140,""))="A","RÉPARÉ – À RADIOGRAPHIER",IF(IF(AK1140=1,Z1140,IF(AK1140=2,AE1140,""))="R","VT REJETÉ – À REPRENDRE",IF(OR(AL1140="CO",AL1140="NT"),"COUPE – À RESOUDER","À RÉPARER"))))))))))</f>
        <v/>
      </c>
      <c r="AN1140" s="81" t="str">
        <f aca="false">IF(AND(ISNUMBER(R1140),OR(AM1140="À RADIOGRAPHIER",AM1140="RÉPARÉ – À RADIOGRAPHIER",AM1140="NX – RT À REFAIRE",AM1140="À RÉPARER",AM1140="COUPE – À RESOUDER",AM1140="VT REJETÉ – À REPRENDRE")),MAX(0,'PROGRAMME RT'!$C$4-R1140),"")</f>
        <v/>
      </c>
      <c r="AO1140" s="78" t="n">
        <f aca="false">IF(AND(OR(AM1140="À RADIOGRAPHIER",AM1140="RÉPARÉ – À RADIOGRAPHIER",AM1140="NX – RT À REFAIRE"),OR('PROGRAMME RT'!$D$5="TOUTES",B1140='PROGRAMME RT'!$D$5)),1,0)</f>
        <v>0</v>
      </c>
      <c r="AP1140" s="78" t="str">
        <f aca="false">IF(AO1140=1,SUM(AO$7:AO1140),"")</f>
        <v/>
      </c>
      <c r="AQ1140" s="78" t="n">
        <f aca="false">IF(AND(OR(X1140="R",X1140="NX",X1140="NT",X1140="CO"),OR('JOINTS DE RÉPARATION'!$D$5="TOUTES",B1140='JOINTS DE RÉPARATION'!$D$5),OR('JOINTS DE RÉPARATION'!$L$4="TOUS",AM1140&lt;&gt;"ACCEPTÉ")),1,0)</f>
        <v>0</v>
      </c>
      <c r="AR1140" s="78" t="str">
        <f aca="false">IF(AQ1140=1,SUM(AQ$7:AQ1140),"")</f>
        <v/>
      </c>
    </row>
    <row r="1141" customFormat="false" ht="15" hidden="false" customHeight="false" outlineLevel="0" collapsed="false">
      <c r="A1141" s="78" t="str">
        <f aca="false">IF(E1141="","",ROW()-6)</f>
        <v/>
      </c>
      <c r="B1141" s="79"/>
      <c r="C1141" s="80"/>
      <c r="D1141" s="80"/>
      <c r="E1141" s="80"/>
      <c r="F1141" s="80"/>
      <c r="G1141" s="80"/>
      <c r="H1141" s="80"/>
      <c r="I1141" s="80"/>
      <c r="J1141" s="80"/>
      <c r="K1141" s="80"/>
      <c r="L1141" s="81" t="str">
        <f aca="false">IF(K1141="","",IFERROR(INDEX(BARDAGE!$C$7:$C$1506,MATCH(K1141,BARDAGE!$B$7:$B$1506,0)),"? hors registre"))</f>
        <v/>
      </c>
      <c r="M1141" s="80"/>
      <c r="N1141" s="81" t="str">
        <f aca="false">IF(M1141="","",IFERROR(INDEX(BARDAGE!$C$7:$C$1506,MATCH(M1141,BARDAGE!$B$7:$B$1506,0)),"? hors registre"))</f>
        <v/>
      </c>
      <c r="O1141" s="80"/>
      <c r="P1141" s="80"/>
      <c r="Q1141" s="80"/>
      <c r="R1141" s="82"/>
      <c r="S1141" s="82"/>
      <c r="T1141" s="80"/>
      <c r="U1141" s="80"/>
      <c r="V1141" s="82"/>
      <c r="W1141" s="80"/>
      <c r="X1141" s="80"/>
      <c r="Y1141" s="80"/>
      <c r="Z1141" s="80"/>
      <c r="AA1141" s="82"/>
      <c r="AB1141" s="80"/>
      <c r="AC1141" s="80"/>
      <c r="AD1141" s="80"/>
      <c r="AE1141" s="80"/>
      <c r="AF1141" s="82"/>
      <c r="AG1141" s="80"/>
      <c r="AH1141" s="80"/>
      <c r="AI1141" s="82"/>
      <c r="AJ1141" s="79"/>
      <c r="AK1141" s="78" t="str">
        <f aca="false">IF(E1141="","",(X1141&lt;&gt;"")+(AC1141&lt;&gt;"")+(AH1141&lt;&gt;""))</f>
        <v/>
      </c>
      <c r="AL1141" s="81" t="str">
        <f aca="false">IF(AH1141&lt;&gt;"",AH1141,IF(AC1141&lt;&gt;"",AC1141,IF(X1141&lt;&gt;"",X1141,"")))</f>
        <v/>
      </c>
      <c r="AM1141" s="83" t="str">
        <f aca="false">IF(E1141="","",IF(R1141="","À SOUDER",IF(U1141="","VT EN ATTENTE",IF(U1141="R","VT REJETÉ – À REPRENDRE",IF(AL1141="","À RADIOGRAPHIER",IF(AL1141="A","ACCEPTÉ",IF(AL1141="NX","NX – RT À REFAIRE",IF(IF(AK1141=1,Z1141,IF(AK1141=2,AE1141,""))="A","RÉPARÉ – À RADIOGRAPHIER",IF(IF(AK1141=1,Z1141,IF(AK1141=2,AE1141,""))="R","VT REJETÉ – À REPRENDRE",IF(OR(AL1141="CO",AL1141="NT"),"COUPE – À RESOUDER","À RÉPARER"))))))))))</f>
        <v/>
      </c>
      <c r="AN1141" s="81" t="str">
        <f aca="false">IF(AND(ISNUMBER(R1141),OR(AM1141="À RADIOGRAPHIER",AM1141="RÉPARÉ – À RADIOGRAPHIER",AM1141="NX – RT À REFAIRE",AM1141="À RÉPARER",AM1141="COUPE – À RESOUDER",AM1141="VT REJETÉ – À REPRENDRE")),MAX(0,'PROGRAMME RT'!$C$4-R1141),"")</f>
        <v/>
      </c>
      <c r="AO1141" s="78" t="n">
        <f aca="false">IF(AND(OR(AM1141="À RADIOGRAPHIER",AM1141="RÉPARÉ – À RADIOGRAPHIER",AM1141="NX – RT À REFAIRE"),OR('PROGRAMME RT'!$D$5="TOUTES",B1141='PROGRAMME RT'!$D$5)),1,0)</f>
        <v>0</v>
      </c>
      <c r="AP1141" s="78" t="str">
        <f aca="false">IF(AO1141=1,SUM(AO$7:AO1141),"")</f>
        <v/>
      </c>
      <c r="AQ1141" s="78" t="n">
        <f aca="false">IF(AND(OR(X1141="R",X1141="NX",X1141="NT",X1141="CO"),OR('JOINTS DE RÉPARATION'!$D$5="TOUTES",B1141='JOINTS DE RÉPARATION'!$D$5),OR('JOINTS DE RÉPARATION'!$L$4="TOUS",AM1141&lt;&gt;"ACCEPTÉ")),1,0)</f>
        <v>0</v>
      </c>
      <c r="AR1141" s="78" t="str">
        <f aca="false">IF(AQ1141=1,SUM(AQ$7:AQ1141),"")</f>
        <v/>
      </c>
    </row>
    <row r="1142" customFormat="false" ht="15" hidden="false" customHeight="false" outlineLevel="0" collapsed="false">
      <c r="A1142" s="78" t="str">
        <f aca="false">IF(E1142="","",ROW()-6)</f>
        <v/>
      </c>
      <c r="B1142" s="79"/>
      <c r="C1142" s="80"/>
      <c r="D1142" s="80"/>
      <c r="E1142" s="80"/>
      <c r="F1142" s="80"/>
      <c r="G1142" s="80"/>
      <c r="H1142" s="80"/>
      <c r="I1142" s="80"/>
      <c r="J1142" s="80"/>
      <c r="K1142" s="80"/>
      <c r="L1142" s="81" t="str">
        <f aca="false">IF(K1142="","",IFERROR(INDEX(BARDAGE!$C$7:$C$1506,MATCH(K1142,BARDAGE!$B$7:$B$1506,0)),"? hors registre"))</f>
        <v/>
      </c>
      <c r="M1142" s="80"/>
      <c r="N1142" s="81" t="str">
        <f aca="false">IF(M1142="","",IFERROR(INDEX(BARDAGE!$C$7:$C$1506,MATCH(M1142,BARDAGE!$B$7:$B$1506,0)),"? hors registre"))</f>
        <v/>
      </c>
      <c r="O1142" s="80"/>
      <c r="P1142" s="80"/>
      <c r="Q1142" s="80"/>
      <c r="R1142" s="82"/>
      <c r="S1142" s="82"/>
      <c r="T1142" s="80"/>
      <c r="U1142" s="80"/>
      <c r="V1142" s="82"/>
      <c r="W1142" s="80"/>
      <c r="X1142" s="80"/>
      <c r="Y1142" s="80"/>
      <c r="Z1142" s="80"/>
      <c r="AA1142" s="82"/>
      <c r="AB1142" s="80"/>
      <c r="AC1142" s="80"/>
      <c r="AD1142" s="80"/>
      <c r="AE1142" s="80"/>
      <c r="AF1142" s="82"/>
      <c r="AG1142" s="80"/>
      <c r="AH1142" s="80"/>
      <c r="AI1142" s="82"/>
      <c r="AJ1142" s="79"/>
      <c r="AK1142" s="78" t="str">
        <f aca="false">IF(E1142="","",(X1142&lt;&gt;"")+(AC1142&lt;&gt;"")+(AH1142&lt;&gt;""))</f>
        <v/>
      </c>
      <c r="AL1142" s="81" t="str">
        <f aca="false">IF(AH1142&lt;&gt;"",AH1142,IF(AC1142&lt;&gt;"",AC1142,IF(X1142&lt;&gt;"",X1142,"")))</f>
        <v/>
      </c>
      <c r="AM1142" s="83" t="str">
        <f aca="false">IF(E1142="","",IF(R1142="","À SOUDER",IF(U1142="","VT EN ATTENTE",IF(U1142="R","VT REJETÉ – À REPRENDRE",IF(AL1142="","À RADIOGRAPHIER",IF(AL1142="A","ACCEPTÉ",IF(AL1142="NX","NX – RT À REFAIRE",IF(IF(AK1142=1,Z1142,IF(AK1142=2,AE1142,""))="A","RÉPARÉ – À RADIOGRAPHIER",IF(IF(AK1142=1,Z1142,IF(AK1142=2,AE1142,""))="R","VT REJETÉ – À REPRENDRE",IF(OR(AL1142="CO",AL1142="NT"),"COUPE – À RESOUDER","À RÉPARER"))))))))))</f>
        <v/>
      </c>
      <c r="AN1142" s="81" t="str">
        <f aca="false">IF(AND(ISNUMBER(R1142),OR(AM1142="À RADIOGRAPHIER",AM1142="RÉPARÉ – À RADIOGRAPHIER",AM1142="NX – RT À REFAIRE",AM1142="À RÉPARER",AM1142="COUPE – À RESOUDER",AM1142="VT REJETÉ – À REPRENDRE")),MAX(0,'PROGRAMME RT'!$C$4-R1142),"")</f>
        <v/>
      </c>
      <c r="AO1142" s="78" t="n">
        <f aca="false">IF(AND(OR(AM1142="À RADIOGRAPHIER",AM1142="RÉPARÉ – À RADIOGRAPHIER",AM1142="NX – RT À REFAIRE"),OR('PROGRAMME RT'!$D$5="TOUTES",B1142='PROGRAMME RT'!$D$5)),1,0)</f>
        <v>0</v>
      </c>
      <c r="AP1142" s="78" t="str">
        <f aca="false">IF(AO1142=1,SUM(AO$7:AO1142),"")</f>
        <v/>
      </c>
      <c r="AQ1142" s="78" t="n">
        <f aca="false">IF(AND(OR(X1142="R",X1142="NX",X1142="NT",X1142="CO"),OR('JOINTS DE RÉPARATION'!$D$5="TOUTES",B1142='JOINTS DE RÉPARATION'!$D$5),OR('JOINTS DE RÉPARATION'!$L$4="TOUS",AM1142&lt;&gt;"ACCEPTÉ")),1,0)</f>
        <v>0</v>
      </c>
      <c r="AR1142" s="78" t="str">
        <f aca="false">IF(AQ1142=1,SUM(AQ$7:AQ1142),"")</f>
        <v/>
      </c>
    </row>
    <row r="1143" customFormat="false" ht="15" hidden="false" customHeight="false" outlineLevel="0" collapsed="false">
      <c r="A1143" s="78" t="str">
        <f aca="false">IF(E1143="","",ROW()-6)</f>
        <v/>
      </c>
      <c r="B1143" s="79"/>
      <c r="C1143" s="80"/>
      <c r="D1143" s="80"/>
      <c r="E1143" s="80"/>
      <c r="F1143" s="80"/>
      <c r="G1143" s="80"/>
      <c r="H1143" s="80"/>
      <c r="I1143" s="80"/>
      <c r="J1143" s="80"/>
      <c r="K1143" s="80"/>
      <c r="L1143" s="81" t="str">
        <f aca="false">IF(K1143="","",IFERROR(INDEX(BARDAGE!$C$7:$C$1506,MATCH(K1143,BARDAGE!$B$7:$B$1506,0)),"? hors registre"))</f>
        <v/>
      </c>
      <c r="M1143" s="80"/>
      <c r="N1143" s="81" t="str">
        <f aca="false">IF(M1143="","",IFERROR(INDEX(BARDAGE!$C$7:$C$1506,MATCH(M1143,BARDAGE!$B$7:$B$1506,0)),"? hors registre"))</f>
        <v/>
      </c>
      <c r="O1143" s="80"/>
      <c r="P1143" s="80"/>
      <c r="Q1143" s="80"/>
      <c r="R1143" s="82"/>
      <c r="S1143" s="82"/>
      <c r="T1143" s="80"/>
      <c r="U1143" s="80"/>
      <c r="V1143" s="82"/>
      <c r="W1143" s="80"/>
      <c r="X1143" s="80"/>
      <c r="Y1143" s="80"/>
      <c r="Z1143" s="80"/>
      <c r="AA1143" s="82"/>
      <c r="AB1143" s="80"/>
      <c r="AC1143" s="80"/>
      <c r="AD1143" s="80"/>
      <c r="AE1143" s="80"/>
      <c r="AF1143" s="82"/>
      <c r="AG1143" s="80"/>
      <c r="AH1143" s="80"/>
      <c r="AI1143" s="82"/>
      <c r="AJ1143" s="79"/>
      <c r="AK1143" s="78" t="str">
        <f aca="false">IF(E1143="","",(X1143&lt;&gt;"")+(AC1143&lt;&gt;"")+(AH1143&lt;&gt;""))</f>
        <v/>
      </c>
      <c r="AL1143" s="81" t="str">
        <f aca="false">IF(AH1143&lt;&gt;"",AH1143,IF(AC1143&lt;&gt;"",AC1143,IF(X1143&lt;&gt;"",X1143,"")))</f>
        <v/>
      </c>
      <c r="AM1143" s="83" t="str">
        <f aca="false">IF(E1143="","",IF(R1143="","À SOUDER",IF(U1143="","VT EN ATTENTE",IF(U1143="R","VT REJETÉ – À REPRENDRE",IF(AL1143="","À RADIOGRAPHIER",IF(AL1143="A","ACCEPTÉ",IF(AL1143="NX","NX – RT À REFAIRE",IF(IF(AK1143=1,Z1143,IF(AK1143=2,AE1143,""))="A","RÉPARÉ – À RADIOGRAPHIER",IF(IF(AK1143=1,Z1143,IF(AK1143=2,AE1143,""))="R","VT REJETÉ – À REPRENDRE",IF(OR(AL1143="CO",AL1143="NT"),"COUPE – À RESOUDER","À RÉPARER"))))))))))</f>
        <v/>
      </c>
      <c r="AN1143" s="81" t="str">
        <f aca="false">IF(AND(ISNUMBER(R1143),OR(AM1143="À RADIOGRAPHIER",AM1143="RÉPARÉ – À RADIOGRAPHIER",AM1143="NX – RT À REFAIRE",AM1143="À RÉPARER",AM1143="COUPE – À RESOUDER",AM1143="VT REJETÉ – À REPRENDRE")),MAX(0,'PROGRAMME RT'!$C$4-R1143),"")</f>
        <v/>
      </c>
      <c r="AO1143" s="78" t="n">
        <f aca="false">IF(AND(OR(AM1143="À RADIOGRAPHIER",AM1143="RÉPARÉ – À RADIOGRAPHIER",AM1143="NX – RT À REFAIRE"),OR('PROGRAMME RT'!$D$5="TOUTES",B1143='PROGRAMME RT'!$D$5)),1,0)</f>
        <v>0</v>
      </c>
      <c r="AP1143" s="78" t="str">
        <f aca="false">IF(AO1143=1,SUM(AO$7:AO1143),"")</f>
        <v/>
      </c>
      <c r="AQ1143" s="78" t="n">
        <f aca="false">IF(AND(OR(X1143="R",X1143="NX",X1143="NT",X1143="CO"),OR('JOINTS DE RÉPARATION'!$D$5="TOUTES",B1143='JOINTS DE RÉPARATION'!$D$5),OR('JOINTS DE RÉPARATION'!$L$4="TOUS",AM1143&lt;&gt;"ACCEPTÉ")),1,0)</f>
        <v>0</v>
      </c>
      <c r="AR1143" s="78" t="str">
        <f aca="false">IF(AQ1143=1,SUM(AQ$7:AQ1143),"")</f>
        <v/>
      </c>
    </row>
    <row r="1144" customFormat="false" ht="15" hidden="false" customHeight="false" outlineLevel="0" collapsed="false">
      <c r="A1144" s="78" t="str">
        <f aca="false">IF(E1144="","",ROW()-6)</f>
        <v/>
      </c>
      <c r="B1144" s="79"/>
      <c r="C1144" s="80"/>
      <c r="D1144" s="80"/>
      <c r="E1144" s="80"/>
      <c r="F1144" s="80"/>
      <c r="G1144" s="80"/>
      <c r="H1144" s="80"/>
      <c r="I1144" s="80"/>
      <c r="J1144" s="80"/>
      <c r="K1144" s="80"/>
      <c r="L1144" s="81" t="str">
        <f aca="false">IF(K1144="","",IFERROR(INDEX(BARDAGE!$C$7:$C$1506,MATCH(K1144,BARDAGE!$B$7:$B$1506,0)),"? hors registre"))</f>
        <v/>
      </c>
      <c r="M1144" s="80"/>
      <c r="N1144" s="81" t="str">
        <f aca="false">IF(M1144="","",IFERROR(INDEX(BARDAGE!$C$7:$C$1506,MATCH(M1144,BARDAGE!$B$7:$B$1506,0)),"? hors registre"))</f>
        <v/>
      </c>
      <c r="O1144" s="80"/>
      <c r="P1144" s="80"/>
      <c r="Q1144" s="80"/>
      <c r="R1144" s="82"/>
      <c r="S1144" s="82"/>
      <c r="T1144" s="80"/>
      <c r="U1144" s="80"/>
      <c r="V1144" s="82"/>
      <c r="W1144" s="80"/>
      <c r="X1144" s="80"/>
      <c r="Y1144" s="80"/>
      <c r="Z1144" s="80"/>
      <c r="AA1144" s="82"/>
      <c r="AB1144" s="80"/>
      <c r="AC1144" s="80"/>
      <c r="AD1144" s="80"/>
      <c r="AE1144" s="80"/>
      <c r="AF1144" s="82"/>
      <c r="AG1144" s="80"/>
      <c r="AH1144" s="80"/>
      <c r="AI1144" s="82"/>
      <c r="AJ1144" s="79"/>
      <c r="AK1144" s="78" t="str">
        <f aca="false">IF(E1144="","",(X1144&lt;&gt;"")+(AC1144&lt;&gt;"")+(AH1144&lt;&gt;""))</f>
        <v/>
      </c>
      <c r="AL1144" s="81" t="str">
        <f aca="false">IF(AH1144&lt;&gt;"",AH1144,IF(AC1144&lt;&gt;"",AC1144,IF(X1144&lt;&gt;"",X1144,"")))</f>
        <v/>
      </c>
      <c r="AM1144" s="83" t="str">
        <f aca="false">IF(E1144="","",IF(R1144="","À SOUDER",IF(U1144="","VT EN ATTENTE",IF(U1144="R","VT REJETÉ – À REPRENDRE",IF(AL1144="","À RADIOGRAPHIER",IF(AL1144="A","ACCEPTÉ",IF(AL1144="NX","NX – RT À REFAIRE",IF(IF(AK1144=1,Z1144,IF(AK1144=2,AE1144,""))="A","RÉPARÉ – À RADIOGRAPHIER",IF(IF(AK1144=1,Z1144,IF(AK1144=2,AE1144,""))="R","VT REJETÉ – À REPRENDRE",IF(OR(AL1144="CO",AL1144="NT"),"COUPE – À RESOUDER","À RÉPARER"))))))))))</f>
        <v/>
      </c>
      <c r="AN1144" s="81" t="str">
        <f aca="false">IF(AND(ISNUMBER(R1144),OR(AM1144="À RADIOGRAPHIER",AM1144="RÉPARÉ – À RADIOGRAPHIER",AM1144="NX – RT À REFAIRE",AM1144="À RÉPARER",AM1144="COUPE – À RESOUDER",AM1144="VT REJETÉ – À REPRENDRE")),MAX(0,'PROGRAMME RT'!$C$4-R1144),"")</f>
        <v/>
      </c>
      <c r="AO1144" s="78" t="n">
        <f aca="false">IF(AND(OR(AM1144="À RADIOGRAPHIER",AM1144="RÉPARÉ – À RADIOGRAPHIER",AM1144="NX – RT À REFAIRE"),OR('PROGRAMME RT'!$D$5="TOUTES",B1144='PROGRAMME RT'!$D$5)),1,0)</f>
        <v>0</v>
      </c>
      <c r="AP1144" s="78" t="str">
        <f aca="false">IF(AO1144=1,SUM(AO$7:AO1144),"")</f>
        <v/>
      </c>
      <c r="AQ1144" s="78" t="n">
        <f aca="false">IF(AND(OR(X1144="R",X1144="NX",X1144="NT",X1144="CO"),OR('JOINTS DE RÉPARATION'!$D$5="TOUTES",B1144='JOINTS DE RÉPARATION'!$D$5),OR('JOINTS DE RÉPARATION'!$L$4="TOUS",AM1144&lt;&gt;"ACCEPTÉ")),1,0)</f>
        <v>0</v>
      </c>
      <c r="AR1144" s="78" t="str">
        <f aca="false">IF(AQ1144=1,SUM(AQ$7:AQ1144),"")</f>
        <v/>
      </c>
    </row>
    <row r="1145" customFormat="false" ht="15" hidden="false" customHeight="false" outlineLevel="0" collapsed="false">
      <c r="A1145" s="78" t="str">
        <f aca="false">IF(E1145="","",ROW()-6)</f>
        <v/>
      </c>
      <c r="B1145" s="79"/>
      <c r="C1145" s="80"/>
      <c r="D1145" s="80"/>
      <c r="E1145" s="80"/>
      <c r="F1145" s="80"/>
      <c r="G1145" s="80"/>
      <c r="H1145" s="80"/>
      <c r="I1145" s="80"/>
      <c r="J1145" s="80"/>
      <c r="K1145" s="80"/>
      <c r="L1145" s="81" t="str">
        <f aca="false">IF(K1145="","",IFERROR(INDEX(BARDAGE!$C$7:$C$1506,MATCH(K1145,BARDAGE!$B$7:$B$1506,0)),"? hors registre"))</f>
        <v/>
      </c>
      <c r="M1145" s="80"/>
      <c r="N1145" s="81" t="str">
        <f aca="false">IF(M1145="","",IFERROR(INDEX(BARDAGE!$C$7:$C$1506,MATCH(M1145,BARDAGE!$B$7:$B$1506,0)),"? hors registre"))</f>
        <v/>
      </c>
      <c r="O1145" s="80"/>
      <c r="P1145" s="80"/>
      <c r="Q1145" s="80"/>
      <c r="R1145" s="82"/>
      <c r="S1145" s="82"/>
      <c r="T1145" s="80"/>
      <c r="U1145" s="80"/>
      <c r="V1145" s="82"/>
      <c r="W1145" s="80"/>
      <c r="X1145" s="80"/>
      <c r="Y1145" s="80"/>
      <c r="Z1145" s="80"/>
      <c r="AA1145" s="82"/>
      <c r="AB1145" s="80"/>
      <c r="AC1145" s="80"/>
      <c r="AD1145" s="80"/>
      <c r="AE1145" s="80"/>
      <c r="AF1145" s="82"/>
      <c r="AG1145" s="80"/>
      <c r="AH1145" s="80"/>
      <c r="AI1145" s="82"/>
      <c r="AJ1145" s="79"/>
      <c r="AK1145" s="78" t="str">
        <f aca="false">IF(E1145="","",(X1145&lt;&gt;"")+(AC1145&lt;&gt;"")+(AH1145&lt;&gt;""))</f>
        <v/>
      </c>
      <c r="AL1145" s="81" t="str">
        <f aca="false">IF(AH1145&lt;&gt;"",AH1145,IF(AC1145&lt;&gt;"",AC1145,IF(X1145&lt;&gt;"",X1145,"")))</f>
        <v/>
      </c>
      <c r="AM1145" s="83" t="str">
        <f aca="false">IF(E1145="","",IF(R1145="","À SOUDER",IF(U1145="","VT EN ATTENTE",IF(U1145="R","VT REJETÉ – À REPRENDRE",IF(AL1145="","À RADIOGRAPHIER",IF(AL1145="A","ACCEPTÉ",IF(AL1145="NX","NX – RT À REFAIRE",IF(IF(AK1145=1,Z1145,IF(AK1145=2,AE1145,""))="A","RÉPARÉ – À RADIOGRAPHIER",IF(IF(AK1145=1,Z1145,IF(AK1145=2,AE1145,""))="R","VT REJETÉ – À REPRENDRE",IF(OR(AL1145="CO",AL1145="NT"),"COUPE – À RESOUDER","À RÉPARER"))))))))))</f>
        <v/>
      </c>
      <c r="AN1145" s="81" t="str">
        <f aca="false">IF(AND(ISNUMBER(R1145),OR(AM1145="À RADIOGRAPHIER",AM1145="RÉPARÉ – À RADIOGRAPHIER",AM1145="NX – RT À REFAIRE",AM1145="À RÉPARER",AM1145="COUPE – À RESOUDER",AM1145="VT REJETÉ – À REPRENDRE")),MAX(0,'PROGRAMME RT'!$C$4-R1145),"")</f>
        <v/>
      </c>
      <c r="AO1145" s="78" t="n">
        <f aca="false">IF(AND(OR(AM1145="À RADIOGRAPHIER",AM1145="RÉPARÉ – À RADIOGRAPHIER",AM1145="NX – RT À REFAIRE"),OR('PROGRAMME RT'!$D$5="TOUTES",B1145='PROGRAMME RT'!$D$5)),1,0)</f>
        <v>0</v>
      </c>
      <c r="AP1145" s="78" t="str">
        <f aca="false">IF(AO1145=1,SUM(AO$7:AO1145),"")</f>
        <v/>
      </c>
      <c r="AQ1145" s="78" t="n">
        <f aca="false">IF(AND(OR(X1145="R",X1145="NX",X1145="NT",X1145="CO"),OR('JOINTS DE RÉPARATION'!$D$5="TOUTES",B1145='JOINTS DE RÉPARATION'!$D$5),OR('JOINTS DE RÉPARATION'!$L$4="TOUS",AM1145&lt;&gt;"ACCEPTÉ")),1,0)</f>
        <v>0</v>
      </c>
      <c r="AR1145" s="78" t="str">
        <f aca="false">IF(AQ1145=1,SUM(AQ$7:AQ1145),"")</f>
        <v/>
      </c>
    </row>
    <row r="1146" customFormat="false" ht="15" hidden="false" customHeight="false" outlineLevel="0" collapsed="false">
      <c r="A1146" s="78" t="str">
        <f aca="false">IF(E1146="","",ROW()-6)</f>
        <v/>
      </c>
      <c r="B1146" s="79"/>
      <c r="C1146" s="80"/>
      <c r="D1146" s="80"/>
      <c r="E1146" s="80"/>
      <c r="F1146" s="80"/>
      <c r="G1146" s="80"/>
      <c r="H1146" s="80"/>
      <c r="I1146" s="80"/>
      <c r="J1146" s="80"/>
      <c r="K1146" s="80"/>
      <c r="L1146" s="81" t="str">
        <f aca="false">IF(K1146="","",IFERROR(INDEX(BARDAGE!$C$7:$C$1506,MATCH(K1146,BARDAGE!$B$7:$B$1506,0)),"? hors registre"))</f>
        <v/>
      </c>
      <c r="M1146" s="80"/>
      <c r="N1146" s="81" t="str">
        <f aca="false">IF(M1146="","",IFERROR(INDEX(BARDAGE!$C$7:$C$1506,MATCH(M1146,BARDAGE!$B$7:$B$1506,0)),"? hors registre"))</f>
        <v/>
      </c>
      <c r="O1146" s="80"/>
      <c r="P1146" s="80"/>
      <c r="Q1146" s="80"/>
      <c r="R1146" s="82"/>
      <c r="S1146" s="82"/>
      <c r="T1146" s="80"/>
      <c r="U1146" s="80"/>
      <c r="V1146" s="82"/>
      <c r="W1146" s="80"/>
      <c r="X1146" s="80"/>
      <c r="Y1146" s="80"/>
      <c r="Z1146" s="80"/>
      <c r="AA1146" s="82"/>
      <c r="AB1146" s="80"/>
      <c r="AC1146" s="80"/>
      <c r="AD1146" s="80"/>
      <c r="AE1146" s="80"/>
      <c r="AF1146" s="82"/>
      <c r="AG1146" s="80"/>
      <c r="AH1146" s="80"/>
      <c r="AI1146" s="82"/>
      <c r="AJ1146" s="79"/>
      <c r="AK1146" s="78" t="str">
        <f aca="false">IF(E1146="","",(X1146&lt;&gt;"")+(AC1146&lt;&gt;"")+(AH1146&lt;&gt;""))</f>
        <v/>
      </c>
      <c r="AL1146" s="81" t="str">
        <f aca="false">IF(AH1146&lt;&gt;"",AH1146,IF(AC1146&lt;&gt;"",AC1146,IF(X1146&lt;&gt;"",X1146,"")))</f>
        <v/>
      </c>
      <c r="AM1146" s="83" t="str">
        <f aca="false">IF(E1146="","",IF(R1146="","À SOUDER",IF(U1146="","VT EN ATTENTE",IF(U1146="R","VT REJETÉ – À REPRENDRE",IF(AL1146="","À RADIOGRAPHIER",IF(AL1146="A","ACCEPTÉ",IF(AL1146="NX","NX – RT À REFAIRE",IF(IF(AK1146=1,Z1146,IF(AK1146=2,AE1146,""))="A","RÉPARÉ – À RADIOGRAPHIER",IF(IF(AK1146=1,Z1146,IF(AK1146=2,AE1146,""))="R","VT REJETÉ – À REPRENDRE",IF(OR(AL1146="CO",AL1146="NT"),"COUPE – À RESOUDER","À RÉPARER"))))))))))</f>
        <v/>
      </c>
      <c r="AN1146" s="81" t="str">
        <f aca="false">IF(AND(ISNUMBER(R1146),OR(AM1146="À RADIOGRAPHIER",AM1146="RÉPARÉ – À RADIOGRAPHIER",AM1146="NX – RT À REFAIRE",AM1146="À RÉPARER",AM1146="COUPE – À RESOUDER",AM1146="VT REJETÉ – À REPRENDRE")),MAX(0,'PROGRAMME RT'!$C$4-R1146),"")</f>
        <v/>
      </c>
      <c r="AO1146" s="78" t="n">
        <f aca="false">IF(AND(OR(AM1146="À RADIOGRAPHIER",AM1146="RÉPARÉ – À RADIOGRAPHIER",AM1146="NX – RT À REFAIRE"),OR('PROGRAMME RT'!$D$5="TOUTES",B1146='PROGRAMME RT'!$D$5)),1,0)</f>
        <v>0</v>
      </c>
      <c r="AP1146" s="78" t="str">
        <f aca="false">IF(AO1146=1,SUM(AO$7:AO1146),"")</f>
        <v/>
      </c>
      <c r="AQ1146" s="78" t="n">
        <f aca="false">IF(AND(OR(X1146="R",X1146="NX",X1146="NT",X1146="CO"),OR('JOINTS DE RÉPARATION'!$D$5="TOUTES",B1146='JOINTS DE RÉPARATION'!$D$5),OR('JOINTS DE RÉPARATION'!$L$4="TOUS",AM1146&lt;&gt;"ACCEPTÉ")),1,0)</f>
        <v>0</v>
      </c>
      <c r="AR1146" s="78" t="str">
        <f aca="false">IF(AQ1146=1,SUM(AQ$7:AQ1146),"")</f>
        <v/>
      </c>
    </row>
    <row r="1147" customFormat="false" ht="15" hidden="false" customHeight="false" outlineLevel="0" collapsed="false">
      <c r="A1147" s="78" t="str">
        <f aca="false">IF(E1147="","",ROW()-6)</f>
        <v/>
      </c>
      <c r="B1147" s="79"/>
      <c r="C1147" s="80"/>
      <c r="D1147" s="80"/>
      <c r="E1147" s="80"/>
      <c r="F1147" s="80"/>
      <c r="G1147" s="80"/>
      <c r="H1147" s="80"/>
      <c r="I1147" s="80"/>
      <c r="J1147" s="80"/>
      <c r="K1147" s="80"/>
      <c r="L1147" s="81" t="str">
        <f aca="false">IF(K1147="","",IFERROR(INDEX(BARDAGE!$C$7:$C$1506,MATCH(K1147,BARDAGE!$B$7:$B$1506,0)),"? hors registre"))</f>
        <v/>
      </c>
      <c r="M1147" s="80"/>
      <c r="N1147" s="81" t="str">
        <f aca="false">IF(M1147="","",IFERROR(INDEX(BARDAGE!$C$7:$C$1506,MATCH(M1147,BARDAGE!$B$7:$B$1506,0)),"? hors registre"))</f>
        <v/>
      </c>
      <c r="O1147" s="80"/>
      <c r="P1147" s="80"/>
      <c r="Q1147" s="80"/>
      <c r="R1147" s="82"/>
      <c r="S1147" s="82"/>
      <c r="T1147" s="80"/>
      <c r="U1147" s="80"/>
      <c r="V1147" s="82"/>
      <c r="W1147" s="80"/>
      <c r="X1147" s="80"/>
      <c r="Y1147" s="80"/>
      <c r="Z1147" s="80"/>
      <c r="AA1147" s="82"/>
      <c r="AB1147" s="80"/>
      <c r="AC1147" s="80"/>
      <c r="AD1147" s="80"/>
      <c r="AE1147" s="80"/>
      <c r="AF1147" s="82"/>
      <c r="AG1147" s="80"/>
      <c r="AH1147" s="80"/>
      <c r="AI1147" s="82"/>
      <c r="AJ1147" s="79"/>
      <c r="AK1147" s="78" t="str">
        <f aca="false">IF(E1147="","",(X1147&lt;&gt;"")+(AC1147&lt;&gt;"")+(AH1147&lt;&gt;""))</f>
        <v/>
      </c>
      <c r="AL1147" s="81" t="str">
        <f aca="false">IF(AH1147&lt;&gt;"",AH1147,IF(AC1147&lt;&gt;"",AC1147,IF(X1147&lt;&gt;"",X1147,"")))</f>
        <v/>
      </c>
      <c r="AM1147" s="83" t="str">
        <f aca="false">IF(E1147="","",IF(R1147="","À SOUDER",IF(U1147="","VT EN ATTENTE",IF(U1147="R","VT REJETÉ – À REPRENDRE",IF(AL1147="","À RADIOGRAPHIER",IF(AL1147="A","ACCEPTÉ",IF(AL1147="NX","NX – RT À REFAIRE",IF(IF(AK1147=1,Z1147,IF(AK1147=2,AE1147,""))="A","RÉPARÉ – À RADIOGRAPHIER",IF(IF(AK1147=1,Z1147,IF(AK1147=2,AE1147,""))="R","VT REJETÉ – À REPRENDRE",IF(OR(AL1147="CO",AL1147="NT"),"COUPE – À RESOUDER","À RÉPARER"))))))))))</f>
        <v/>
      </c>
      <c r="AN1147" s="81" t="str">
        <f aca="false">IF(AND(ISNUMBER(R1147),OR(AM1147="À RADIOGRAPHIER",AM1147="RÉPARÉ – À RADIOGRAPHIER",AM1147="NX – RT À REFAIRE",AM1147="À RÉPARER",AM1147="COUPE – À RESOUDER",AM1147="VT REJETÉ – À REPRENDRE")),MAX(0,'PROGRAMME RT'!$C$4-R1147),"")</f>
        <v/>
      </c>
      <c r="AO1147" s="78" t="n">
        <f aca="false">IF(AND(OR(AM1147="À RADIOGRAPHIER",AM1147="RÉPARÉ – À RADIOGRAPHIER",AM1147="NX – RT À REFAIRE"),OR('PROGRAMME RT'!$D$5="TOUTES",B1147='PROGRAMME RT'!$D$5)),1,0)</f>
        <v>0</v>
      </c>
      <c r="AP1147" s="78" t="str">
        <f aca="false">IF(AO1147=1,SUM(AO$7:AO1147),"")</f>
        <v/>
      </c>
      <c r="AQ1147" s="78" t="n">
        <f aca="false">IF(AND(OR(X1147="R",X1147="NX",X1147="NT",X1147="CO"),OR('JOINTS DE RÉPARATION'!$D$5="TOUTES",B1147='JOINTS DE RÉPARATION'!$D$5),OR('JOINTS DE RÉPARATION'!$L$4="TOUS",AM1147&lt;&gt;"ACCEPTÉ")),1,0)</f>
        <v>0</v>
      </c>
      <c r="AR1147" s="78" t="str">
        <f aca="false">IF(AQ1147=1,SUM(AQ$7:AQ1147),"")</f>
        <v/>
      </c>
    </row>
    <row r="1148" customFormat="false" ht="15" hidden="false" customHeight="false" outlineLevel="0" collapsed="false">
      <c r="A1148" s="78" t="str">
        <f aca="false">IF(E1148="","",ROW()-6)</f>
        <v/>
      </c>
      <c r="B1148" s="79"/>
      <c r="C1148" s="80"/>
      <c r="D1148" s="80"/>
      <c r="E1148" s="80"/>
      <c r="F1148" s="80"/>
      <c r="G1148" s="80"/>
      <c r="H1148" s="80"/>
      <c r="I1148" s="80"/>
      <c r="J1148" s="80"/>
      <c r="K1148" s="80"/>
      <c r="L1148" s="81" t="str">
        <f aca="false">IF(K1148="","",IFERROR(INDEX(BARDAGE!$C$7:$C$1506,MATCH(K1148,BARDAGE!$B$7:$B$1506,0)),"? hors registre"))</f>
        <v/>
      </c>
      <c r="M1148" s="80"/>
      <c r="N1148" s="81" t="str">
        <f aca="false">IF(M1148="","",IFERROR(INDEX(BARDAGE!$C$7:$C$1506,MATCH(M1148,BARDAGE!$B$7:$B$1506,0)),"? hors registre"))</f>
        <v/>
      </c>
      <c r="O1148" s="80"/>
      <c r="P1148" s="80"/>
      <c r="Q1148" s="80"/>
      <c r="R1148" s="82"/>
      <c r="S1148" s="82"/>
      <c r="T1148" s="80"/>
      <c r="U1148" s="80"/>
      <c r="V1148" s="82"/>
      <c r="W1148" s="80"/>
      <c r="X1148" s="80"/>
      <c r="Y1148" s="80"/>
      <c r="Z1148" s="80"/>
      <c r="AA1148" s="82"/>
      <c r="AB1148" s="80"/>
      <c r="AC1148" s="80"/>
      <c r="AD1148" s="80"/>
      <c r="AE1148" s="80"/>
      <c r="AF1148" s="82"/>
      <c r="AG1148" s="80"/>
      <c r="AH1148" s="80"/>
      <c r="AI1148" s="82"/>
      <c r="AJ1148" s="79"/>
      <c r="AK1148" s="78" t="str">
        <f aca="false">IF(E1148="","",(X1148&lt;&gt;"")+(AC1148&lt;&gt;"")+(AH1148&lt;&gt;""))</f>
        <v/>
      </c>
      <c r="AL1148" s="81" t="str">
        <f aca="false">IF(AH1148&lt;&gt;"",AH1148,IF(AC1148&lt;&gt;"",AC1148,IF(X1148&lt;&gt;"",X1148,"")))</f>
        <v/>
      </c>
      <c r="AM1148" s="83" t="str">
        <f aca="false">IF(E1148="","",IF(R1148="","À SOUDER",IF(U1148="","VT EN ATTENTE",IF(U1148="R","VT REJETÉ – À REPRENDRE",IF(AL1148="","À RADIOGRAPHIER",IF(AL1148="A","ACCEPTÉ",IF(AL1148="NX","NX – RT À REFAIRE",IF(IF(AK1148=1,Z1148,IF(AK1148=2,AE1148,""))="A","RÉPARÉ – À RADIOGRAPHIER",IF(IF(AK1148=1,Z1148,IF(AK1148=2,AE1148,""))="R","VT REJETÉ – À REPRENDRE",IF(OR(AL1148="CO",AL1148="NT"),"COUPE – À RESOUDER","À RÉPARER"))))))))))</f>
        <v/>
      </c>
      <c r="AN1148" s="81" t="str">
        <f aca="false">IF(AND(ISNUMBER(R1148),OR(AM1148="À RADIOGRAPHIER",AM1148="RÉPARÉ – À RADIOGRAPHIER",AM1148="NX – RT À REFAIRE",AM1148="À RÉPARER",AM1148="COUPE – À RESOUDER",AM1148="VT REJETÉ – À REPRENDRE")),MAX(0,'PROGRAMME RT'!$C$4-R1148),"")</f>
        <v/>
      </c>
      <c r="AO1148" s="78" t="n">
        <f aca="false">IF(AND(OR(AM1148="À RADIOGRAPHIER",AM1148="RÉPARÉ – À RADIOGRAPHIER",AM1148="NX – RT À REFAIRE"),OR('PROGRAMME RT'!$D$5="TOUTES",B1148='PROGRAMME RT'!$D$5)),1,0)</f>
        <v>0</v>
      </c>
      <c r="AP1148" s="78" t="str">
        <f aca="false">IF(AO1148=1,SUM(AO$7:AO1148),"")</f>
        <v/>
      </c>
      <c r="AQ1148" s="78" t="n">
        <f aca="false">IF(AND(OR(X1148="R",X1148="NX",X1148="NT",X1148="CO"),OR('JOINTS DE RÉPARATION'!$D$5="TOUTES",B1148='JOINTS DE RÉPARATION'!$D$5),OR('JOINTS DE RÉPARATION'!$L$4="TOUS",AM1148&lt;&gt;"ACCEPTÉ")),1,0)</f>
        <v>0</v>
      </c>
      <c r="AR1148" s="78" t="str">
        <f aca="false">IF(AQ1148=1,SUM(AQ$7:AQ1148),"")</f>
        <v/>
      </c>
    </row>
    <row r="1149" customFormat="false" ht="15" hidden="false" customHeight="false" outlineLevel="0" collapsed="false">
      <c r="A1149" s="78" t="str">
        <f aca="false">IF(E1149="","",ROW()-6)</f>
        <v/>
      </c>
      <c r="B1149" s="79"/>
      <c r="C1149" s="80"/>
      <c r="D1149" s="80"/>
      <c r="E1149" s="80"/>
      <c r="F1149" s="80"/>
      <c r="G1149" s="80"/>
      <c r="H1149" s="80"/>
      <c r="I1149" s="80"/>
      <c r="J1149" s="80"/>
      <c r="K1149" s="80"/>
      <c r="L1149" s="81" t="str">
        <f aca="false">IF(K1149="","",IFERROR(INDEX(BARDAGE!$C$7:$C$1506,MATCH(K1149,BARDAGE!$B$7:$B$1506,0)),"? hors registre"))</f>
        <v/>
      </c>
      <c r="M1149" s="80"/>
      <c r="N1149" s="81" t="str">
        <f aca="false">IF(M1149="","",IFERROR(INDEX(BARDAGE!$C$7:$C$1506,MATCH(M1149,BARDAGE!$B$7:$B$1506,0)),"? hors registre"))</f>
        <v/>
      </c>
      <c r="O1149" s="80"/>
      <c r="P1149" s="80"/>
      <c r="Q1149" s="80"/>
      <c r="R1149" s="82"/>
      <c r="S1149" s="82"/>
      <c r="T1149" s="80"/>
      <c r="U1149" s="80"/>
      <c r="V1149" s="82"/>
      <c r="W1149" s="80"/>
      <c r="X1149" s="80"/>
      <c r="Y1149" s="80"/>
      <c r="Z1149" s="80"/>
      <c r="AA1149" s="82"/>
      <c r="AB1149" s="80"/>
      <c r="AC1149" s="80"/>
      <c r="AD1149" s="80"/>
      <c r="AE1149" s="80"/>
      <c r="AF1149" s="82"/>
      <c r="AG1149" s="80"/>
      <c r="AH1149" s="80"/>
      <c r="AI1149" s="82"/>
      <c r="AJ1149" s="79"/>
      <c r="AK1149" s="78" t="str">
        <f aca="false">IF(E1149="","",(X1149&lt;&gt;"")+(AC1149&lt;&gt;"")+(AH1149&lt;&gt;""))</f>
        <v/>
      </c>
      <c r="AL1149" s="81" t="str">
        <f aca="false">IF(AH1149&lt;&gt;"",AH1149,IF(AC1149&lt;&gt;"",AC1149,IF(X1149&lt;&gt;"",X1149,"")))</f>
        <v/>
      </c>
      <c r="AM1149" s="83" t="str">
        <f aca="false">IF(E1149="","",IF(R1149="","À SOUDER",IF(U1149="","VT EN ATTENTE",IF(U1149="R","VT REJETÉ – À REPRENDRE",IF(AL1149="","À RADIOGRAPHIER",IF(AL1149="A","ACCEPTÉ",IF(AL1149="NX","NX – RT À REFAIRE",IF(IF(AK1149=1,Z1149,IF(AK1149=2,AE1149,""))="A","RÉPARÉ – À RADIOGRAPHIER",IF(IF(AK1149=1,Z1149,IF(AK1149=2,AE1149,""))="R","VT REJETÉ – À REPRENDRE",IF(OR(AL1149="CO",AL1149="NT"),"COUPE – À RESOUDER","À RÉPARER"))))))))))</f>
        <v/>
      </c>
      <c r="AN1149" s="81" t="str">
        <f aca="false">IF(AND(ISNUMBER(R1149),OR(AM1149="À RADIOGRAPHIER",AM1149="RÉPARÉ – À RADIOGRAPHIER",AM1149="NX – RT À REFAIRE",AM1149="À RÉPARER",AM1149="COUPE – À RESOUDER",AM1149="VT REJETÉ – À REPRENDRE")),MAX(0,'PROGRAMME RT'!$C$4-R1149),"")</f>
        <v/>
      </c>
      <c r="AO1149" s="78" t="n">
        <f aca="false">IF(AND(OR(AM1149="À RADIOGRAPHIER",AM1149="RÉPARÉ – À RADIOGRAPHIER",AM1149="NX – RT À REFAIRE"),OR('PROGRAMME RT'!$D$5="TOUTES",B1149='PROGRAMME RT'!$D$5)),1,0)</f>
        <v>0</v>
      </c>
      <c r="AP1149" s="78" t="str">
        <f aca="false">IF(AO1149=1,SUM(AO$7:AO1149),"")</f>
        <v/>
      </c>
      <c r="AQ1149" s="78" t="n">
        <f aca="false">IF(AND(OR(X1149="R",X1149="NX",X1149="NT",X1149="CO"),OR('JOINTS DE RÉPARATION'!$D$5="TOUTES",B1149='JOINTS DE RÉPARATION'!$D$5),OR('JOINTS DE RÉPARATION'!$L$4="TOUS",AM1149&lt;&gt;"ACCEPTÉ")),1,0)</f>
        <v>0</v>
      </c>
      <c r="AR1149" s="78" t="str">
        <f aca="false">IF(AQ1149=1,SUM(AQ$7:AQ1149),"")</f>
        <v/>
      </c>
    </row>
    <row r="1150" customFormat="false" ht="15" hidden="false" customHeight="false" outlineLevel="0" collapsed="false">
      <c r="A1150" s="78" t="str">
        <f aca="false">IF(E1150="","",ROW()-6)</f>
        <v/>
      </c>
      <c r="B1150" s="79"/>
      <c r="C1150" s="80"/>
      <c r="D1150" s="80"/>
      <c r="E1150" s="80"/>
      <c r="F1150" s="80"/>
      <c r="G1150" s="80"/>
      <c r="H1150" s="80"/>
      <c r="I1150" s="80"/>
      <c r="J1150" s="80"/>
      <c r="K1150" s="80"/>
      <c r="L1150" s="81" t="str">
        <f aca="false">IF(K1150="","",IFERROR(INDEX(BARDAGE!$C$7:$C$1506,MATCH(K1150,BARDAGE!$B$7:$B$1506,0)),"? hors registre"))</f>
        <v/>
      </c>
      <c r="M1150" s="80"/>
      <c r="N1150" s="81" t="str">
        <f aca="false">IF(M1150="","",IFERROR(INDEX(BARDAGE!$C$7:$C$1506,MATCH(M1150,BARDAGE!$B$7:$B$1506,0)),"? hors registre"))</f>
        <v/>
      </c>
      <c r="O1150" s="80"/>
      <c r="P1150" s="80"/>
      <c r="Q1150" s="80"/>
      <c r="R1150" s="82"/>
      <c r="S1150" s="82"/>
      <c r="T1150" s="80"/>
      <c r="U1150" s="80"/>
      <c r="V1150" s="82"/>
      <c r="W1150" s="80"/>
      <c r="X1150" s="80"/>
      <c r="Y1150" s="80"/>
      <c r="Z1150" s="80"/>
      <c r="AA1150" s="82"/>
      <c r="AB1150" s="80"/>
      <c r="AC1150" s="80"/>
      <c r="AD1150" s="80"/>
      <c r="AE1150" s="80"/>
      <c r="AF1150" s="82"/>
      <c r="AG1150" s="80"/>
      <c r="AH1150" s="80"/>
      <c r="AI1150" s="82"/>
      <c r="AJ1150" s="79"/>
      <c r="AK1150" s="78" t="str">
        <f aca="false">IF(E1150="","",(X1150&lt;&gt;"")+(AC1150&lt;&gt;"")+(AH1150&lt;&gt;""))</f>
        <v/>
      </c>
      <c r="AL1150" s="81" t="str">
        <f aca="false">IF(AH1150&lt;&gt;"",AH1150,IF(AC1150&lt;&gt;"",AC1150,IF(X1150&lt;&gt;"",X1150,"")))</f>
        <v/>
      </c>
      <c r="AM1150" s="83" t="str">
        <f aca="false">IF(E1150="","",IF(R1150="","À SOUDER",IF(U1150="","VT EN ATTENTE",IF(U1150="R","VT REJETÉ – À REPRENDRE",IF(AL1150="","À RADIOGRAPHIER",IF(AL1150="A","ACCEPTÉ",IF(AL1150="NX","NX – RT À REFAIRE",IF(IF(AK1150=1,Z1150,IF(AK1150=2,AE1150,""))="A","RÉPARÉ – À RADIOGRAPHIER",IF(IF(AK1150=1,Z1150,IF(AK1150=2,AE1150,""))="R","VT REJETÉ – À REPRENDRE",IF(OR(AL1150="CO",AL1150="NT"),"COUPE – À RESOUDER","À RÉPARER"))))))))))</f>
        <v/>
      </c>
      <c r="AN1150" s="81" t="str">
        <f aca="false">IF(AND(ISNUMBER(R1150),OR(AM1150="À RADIOGRAPHIER",AM1150="RÉPARÉ – À RADIOGRAPHIER",AM1150="NX – RT À REFAIRE",AM1150="À RÉPARER",AM1150="COUPE – À RESOUDER",AM1150="VT REJETÉ – À REPRENDRE")),MAX(0,'PROGRAMME RT'!$C$4-R1150),"")</f>
        <v/>
      </c>
      <c r="AO1150" s="78" t="n">
        <f aca="false">IF(AND(OR(AM1150="À RADIOGRAPHIER",AM1150="RÉPARÉ – À RADIOGRAPHIER",AM1150="NX – RT À REFAIRE"),OR('PROGRAMME RT'!$D$5="TOUTES",B1150='PROGRAMME RT'!$D$5)),1,0)</f>
        <v>0</v>
      </c>
      <c r="AP1150" s="78" t="str">
        <f aca="false">IF(AO1150=1,SUM(AO$7:AO1150),"")</f>
        <v/>
      </c>
      <c r="AQ1150" s="78" t="n">
        <f aca="false">IF(AND(OR(X1150="R",X1150="NX",X1150="NT",X1150="CO"),OR('JOINTS DE RÉPARATION'!$D$5="TOUTES",B1150='JOINTS DE RÉPARATION'!$D$5),OR('JOINTS DE RÉPARATION'!$L$4="TOUS",AM1150&lt;&gt;"ACCEPTÉ")),1,0)</f>
        <v>0</v>
      </c>
      <c r="AR1150" s="78" t="str">
        <f aca="false">IF(AQ1150=1,SUM(AQ$7:AQ1150),"")</f>
        <v/>
      </c>
    </row>
    <row r="1151" customFormat="false" ht="15" hidden="false" customHeight="false" outlineLevel="0" collapsed="false">
      <c r="A1151" s="78" t="str">
        <f aca="false">IF(E1151="","",ROW()-6)</f>
        <v/>
      </c>
      <c r="B1151" s="79"/>
      <c r="C1151" s="80"/>
      <c r="D1151" s="80"/>
      <c r="E1151" s="80"/>
      <c r="F1151" s="80"/>
      <c r="G1151" s="80"/>
      <c r="H1151" s="80"/>
      <c r="I1151" s="80"/>
      <c r="J1151" s="80"/>
      <c r="K1151" s="80"/>
      <c r="L1151" s="81" t="str">
        <f aca="false">IF(K1151="","",IFERROR(INDEX(BARDAGE!$C$7:$C$1506,MATCH(K1151,BARDAGE!$B$7:$B$1506,0)),"? hors registre"))</f>
        <v/>
      </c>
      <c r="M1151" s="80"/>
      <c r="N1151" s="81" t="str">
        <f aca="false">IF(M1151="","",IFERROR(INDEX(BARDAGE!$C$7:$C$1506,MATCH(M1151,BARDAGE!$B$7:$B$1506,0)),"? hors registre"))</f>
        <v/>
      </c>
      <c r="O1151" s="80"/>
      <c r="P1151" s="80"/>
      <c r="Q1151" s="80"/>
      <c r="R1151" s="82"/>
      <c r="S1151" s="82"/>
      <c r="T1151" s="80"/>
      <c r="U1151" s="80"/>
      <c r="V1151" s="82"/>
      <c r="W1151" s="80"/>
      <c r="X1151" s="80"/>
      <c r="Y1151" s="80"/>
      <c r="Z1151" s="80"/>
      <c r="AA1151" s="82"/>
      <c r="AB1151" s="80"/>
      <c r="AC1151" s="80"/>
      <c r="AD1151" s="80"/>
      <c r="AE1151" s="80"/>
      <c r="AF1151" s="82"/>
      <c r="AG1151" s="80"/>
      <c r="AH1151" s="80"/>
      <c r="AI1151" s="82"/>
      <c r="AJ1151" s="79"/>
      <c r="AK1151" s="78" t="str">
        <f aca="false">IF(E1151="","",(X1151&lt;&gt;"")+(AC1151&lt;&gt;"")+(AH1151&lt;&gt;""))</f>
        <v/>
      </c>
      <c r="AL1151" s="81" t="str">
        <f aca="false">IF(AH1151&lt;&gt;"",AH1151,IF(AC1151&lt;&gt;"",AC1151,IF(X1151&lt;&gt;"",X1151,"")))</f>
        <v/>
      </c>
      <c r="AM1151" s="83" t="str">
        <f aca="false">IF(E1151="","",IF(R1151="","À SOUDER",IF(U1151="","VT EN ATTENTE",IF(U1151="R","VT REJETÉ – À REPRENDRE",IF(AL1151="","À RADIOGRAPHIER",IF(AL1151="A","ACCEPTÉ",IF(AL1151="NX","NX – RT À REFAIRE",IF(IF(AK1151=1,Z1151,IF(AK1151=2,AE1151,""))="A","RÉPARÉ – À RADIOGRAPHIER",IF(IF(AK1151=1,Z1151,IF(AK1151=2,AE1151,""))="R","VT REJETÉ – À REPRENDRE",IF(OR(AL1151="CO",AL1151="NT"),"COUPE – À RESOUDER","À RÉPARER"))))))))))</f>
        <v/>
      </c>
      <c r="AN1151" s="81" t="str">
        <f aca="false">IF(AND(ISNUMBER(R1151),OR(AM1151="À RADIOGRAPHIER",AM1151="RÉPARÉ – À RADIOGRAPHIER",AM1151="NX – RT À REFAIRE",AM1151="À RÉPARER",AM1151="COUPE – À RESOUDER",AM1151="VT REJETÉ – À REPRENDRE")),MAX(0,'PROGRAMME RT'!$C$4-R1151),"")</f>
        <v/>
      </c>
      <c r="AO1151" s="78" t="n">
        <f aca="false">IF(AND(OR(AM1151="À RADIOGRAPHIER",AM1151="RÉPARÉ – À RADIOGRAPHIER",AM1151="NX – RT À REFAIRE"),OR('PROGRAMME RT'!$D$5="TOUTES",B1151='PROGRAMME RT'!$D$5)),1,0)</f>
        <v>0</v>
      </c>
      <c r="AP1151" s="78" t="str">
        <f aca="false">IF(AO1151=1,SUM(AO$7:AO1151),"")</f>
        <v/>
      </c>
      <c r="AQ1151" s="78" t="n">
        <f aca="false">IF(AND(OR(X1151="R",X1151="NX",X1151="NT",X1151="CO"),OR('JOINTS DE RÉPARATION'!$D$5="TOUTES",B1151='JOINTS DE RÉPARATION'!$D$5),OR('JOINTS DE RÉPARATION'!$L$4="TOUS",AM1151&lt;&gt;"ACCEPTÉ")),1,0)</f>
        <v>0</v>
      </c>
      <c r="AR1151" s="78" t="str">
        <f aca="false">IF(AQ1151=1,SUM(AQ$7:AQ1151),"")</f>
        <v/>
      </c>
    </row>
    <row r="1152" customFormat="false" ht="15" hidden="false" customHeight="false" outlineLevel="0" collapsed="false">
      <c r="A1152" s="78" t="str">
        <f aca="false">IF(E1152="","",ROW()-6)</f>
        <v/>
      </c>
      <c r="B1152" s="79"/>
      <c r="C1152" s="80"/>
      <c r="D1152" s="80"/>
      <c r="E1152" s="80"/>
      <c r="F1152" s="80"/>
      <c r="G1152" s="80"/>
      <c r="H1152" s="80"/>
      <c r="I1152" s="80"/>
      <c r="J1152" s="80"/>
      <c r="K1152" s="80"/>
      <c r="L1152" s="81" t="str">
        <f aca="false">IF(K1152="","",IFERROR(INDEX(BARDAGE!$C$7:$C$1506,MATCH(K1152,BARDAGE!$B$7:$B$1506,0)),"? hors registre"))</f>
        <v/>
      </c>
      <c r="M1152" s="80"/>
      <c r="N1152" s="81" t="str">
        <f aca="false">IF(M1152="","",IFERROR(INDEX(BARDAGE!$C$7:$C$1506,MATCH(M1152,BARDAGE!$B$7:$B$1506,0)),"? hors registre"))</f>
        <v/>
      </c>
      <c r="O1152" s="80"/>
      <c r="P1152" s="80"/>
      <c r="Q1152" s="80"/>
      <c r="R1152" s="82"/>
      <c r="S1152" s="82"/>
      <c r="T1152" s="80"/>
      <c r="U1152" s="80"/>
      <c r="V1152" s="82"/>
      <c r="W1152" s="80"/>
      <c r="X1152" s="80"/>
      <c r="Y1152" s="80"/>
      <c r="Z1152" s="80"/>
      <c r="AA1152" s="82"/>
      <c r="AB1152" s="80"/>
      <c r="AC1152" s="80"/>
      <c r="AD1152" s="80"/>
      <c r="AE1152" s="80"/>
      <c r="AF1152" s="82"/>
      <c r="AG1152" s="80"/>
      <c r="AH1152" s="80"/>
      <c r="AI1152" s="82"/>
      <c r="AJ1152" s="79"/>
      <c r="AK1152" s="78" t="str">
        <f aca="false">IF(E1152="","",(X1152&lt;&gt;"")+(AC1152&lt;&gt;"")+(AH1152&lt;&gt;""))</f>
        <v/>
      </c>
      <c r="AL1152" s="81" t="str">
        <f aca="false">IF(AH1152&lt;&gt;"",AH1152,IF(AC1152&lt;&gt;"",AC1152,IF(X1152&lt;&gt;"",X1152,"")))</f>
        <v/>
      </c>
      <c r="AM1152" s="83" t="str">
        <f aca="false">IF(E1152="","",IF(R1152="","À SOUDER",IF(U1152="","VT EN ATTENTE",IF(U1152="R","VT REJETÉ – À REPRENDRE",IF(AL1152="","À RADIOGRAPHIER",IF(AL1152="A","ACCEPTÉ",IF(AL1152="NX","NX – RT À REFAIRE",IF(IF(AK1152=1,Z1152,IF(AK1152=2,AE1152,""))="A","RÉPARÉ – À RADIOGRAPHIER",IF(IF(AK1152=1,Z1152,IF(AK1152=2,AE1152,""))="R","VT REJETÉ – À REPRENDRE",IF(OR(AL1152="CO",AL1152="NT"),"COUPE – À RESOUDER","À RÉPARER"))))))))))</f>
        <v/>
      </c>
      <c r="AN1152" s="81" t="str">
        <f aca="false">IF(AND(ISNUMBER(R1152),OR(AM1152="À RADIOGRAPHIER",AM1152="RÉPARÉ – À RADIOGRAPHIER",AM1152="NX – RT À REFAIRE",AM1152="À RÉPARER",AM1152="COUPE – À RESOUDER",AM1152="VT REJETÉ – À REPRENDRE")),MAX(0,'PROGRAMME RT'!$C$4-R1152),"")</f>
        <v/>
      </c>
      <c r="AO1152" s="78" t="n">
        <f aca="false">IF(AND(OR(AM1152="À RADIOGRAPHIER",AM1152="RÉPARÉ – À RADIOGRAPHIER",AM1152="NX – RT À REFAIRE"),OR('PROGRAMME RT'!$D$5="TOUTES",B1152='PROGRAMME RT'!$D$5)),1,0)</f>
        <v>0</v>
      </c>
      <c r="AP1152" s="78" t="str">
        <f aca="false">IF(AO1152=1,SUM(AO$7:AO1152),"")</f>
        <v/>
      </c>
      <c r="AQ1152" s="78" t="n">
        <f aca="false">IF(AND(OR(X1152="R",X1152="NX",X1152="NT",X1152="CO"),OR('JOINTS DE RÉPARATION'!$D$5="TOUTES",B1152='JOINTS DE RÉPARATION'!$D$5),OR('JOINTS DE RÉPARATION'!$L$4="TOUS",AM1152&lt;&gt;"ACCEPTÉ")),1,0)</f>
        <v>0</v>
      </c>
      <c r="AR1152" s="78" t="str">
        <f aca="false">IF(AQ1152=1,SUM(AQ$7:AQ1152),"")</f>
        <v/>
      </c>
    </row>
    <row r="1153" customFormat="false" ht="15" hidden="false" customHeight="false" outlineLevel="0" collapsed="false">
      <c r="A1153" s="78" t="str">
        <f aca="false">IF(E1153="","",ROW()-6)</f>
        <v/>
      </c>
      <c r="B1153" s="79"/>
      <c r="C1153" s="80"/>
      <c r="D1153" s="80"/>
      <c r="E1153" s="80"/>
      <c r="F1153" s="80"/>
      <c r="G1153" s="80"/>
      <c r="H1153" s="80"/>
      <c r="I1153" s="80"/>
      <c r="J1153" s="80"/>
      <c r="K1153" s="80"/>
      <c r="L1153" s="81" t="str">
        <f aca="false">IF(K1153="","",IFERROR(INDEX(BARDAGE!$C$7:$C$1506,MATCH(K1153,BARDAGE!$B$7:$B$1506,0)),"? hors registre"))</f>
        <v/>
      </c>
      <c r="M1153" s="80"/>
      <c r="N1153" s="81" t="str">
        <f aca="false">IF(M1153="","",IFERROR(INDEX(BARDAGE!$C$7:$C$1506,MATCH(M1153,BARDAGE!$B$7:$B$1506,0)),"? hors registre"))</f>
        <v/>
      </c>
      <c r="O1153" s="80"/>
      <c r="P1153" s="80"/>
      <c r="Q1153" s="80"/>
      <c r="R1153" s="82"/>
      <c r="S1153" s="82"/>
      <c r="T1153" s="80"/>
      <c r="U1153" s="80"/>
      <c r="V1153" s="82"/>
      <c r="W1153" s="80"/>
      <c r="X1153" s="80"/>
      <c r="Y1153" s="80"/>
      <c r="Z1153" s="80"/>
      <c r="AA1153" s="82"/>
      <c r="AB1153" s="80"/>
      <c r="AC1153" s="80"/>
      <c r="AD1153" s="80"/>
      <c r="AE1153" s="80"/>
      <c r="AF1153" s="82"/>
      <c r="AG1153" s="80"/>
      <c r="AH1153" s="80"/>
      <c r="AI1153" s="82"/>
      <c r="AJ1153" s="79"/>
      <c r="AK1153" s="78" t="str">
        <f aca="false">IF(E1153="","",(X1153&lt;&gt;"")+(AC1153&lt;&gt;"")+(AH1153&lt;&gt;""))</f>
        <v/>
      </c>
      <c r="AL1153" s="81" t="str">
        <f aca="false">IF(AH1153&lt;&gt;"",AH1153,IF(AC1153&lt;&gt;"",AC1153,IF(X1153&lt;&gt;"",X1153,"")))</f>
        <v/>
      </c>
      <c r="AM1153" s="83" t="str">
        <f aca="false">IF(E1153="","",IF(R1153="","À SOUDER",IF(U1153="","VT EN ATTENTE",IF(U1153="R","VT REJETÉ – À REPRENDRE",IF(AL1153="","À RADIOGRAPHIER",IF(AL1153="A","ACCEPTÉ",IF(AL1153="NX","NX – RT À REFAIRE",IF(IF(AK1153=1,Z1153,IF(AK1153=2,AE1153,""))="A","RÉPARÉ – À RADIOGRAPHIER",IF(IF(AK1153=1,Z1153,IF(AK1153=2,AE1153,""))="R","VT REJETÉ – À REPRENDRE",IF(OR(AL1153="CO",AL1153="NT"),"COUPE – À RESOUDER","À RÉPARER"))))))))))</f>
        <v/>
      </c>
      <c r="AN1153" s="81" t="str">
        <f aca="false">IF(AND(ISNUMBER(R1153),OR(AM1153="À RADIOGRAPHIER",AM1153="RÉPARÉ – À RADIOGRAPHIER",AM1153="NX – RT À REFAIRE",AM1153="À RÉPARER",AM1153="COUPE – À RESOUDER",AM1153="VT REJETÉ – À REPRENDRE")),MAX(0,'PROGRAMME RT'!$C$4-R1153),"")</f>
        <v/>
      </c>
      <c r="AO1153" s="78" t="n">
        <f aca="false">IF(AND(OR(AM1153="À RADIOGRAPHIER",AM1153="RÉPARÉ – À RADIOGRAPHIER",AM1153="NX – RT À REFAIRE"),OR('PROGRAMME RT'!$D$5="TOUTES",B1153='PROGRAMME RT'!$D$5)),1,0)</f>
        <v>0</v>
      </c>
      <c r="AP1153" s="78" t="str">
        <f aca="false">IF(AO1153=1,SUM(AO$7:AO1153),"")</f>
        <v/>
      </c>
      <c r="AQ1153" s="78" t="n">
        <f aca="false">IF(AND(OR(X1153="R",X1153="NX",X1153="NT",X1153="CO"),OR('JOINTS DE RÉPARATION'!$D$5="TOUTES",B1153='JOINTS DE RÉPARATION'!$D$5),OR('JOINTS DE RÉPARATION'!$L$4="TOUS",AM1153&lt;&gt;"ACCEPTÉ")),1,0)</f>
        <v>0</v>
      </c>
      <c r="AR1153" s="78" t="str">
        <f aca="false">IF(AQ1153=1,SUM(AQ$7:AQ1153),"")</f>
        <v/>
      </c>
    </row>
    <row r="1154" customFormat="false" ht="15" hidden="false" customHeight="false" outlineLevel="0" collapsed="false">
      <c r="A1154" s="78" t="str">
        <f aca="false">IF(E1154="","",ROW()-6)</f>
        <v/>
      </c>
      <c r="B1154" s="79"/>
      <c r="C1154" s="80"/>
      <c r="D1154" s="80"/>
      <c r="E1154" s="80"/>
      <c r="F1154" s="80"/>
      <c r="G1154" s="80"/>
      <c r="H1154" s="80"/>
      <c r="I1154" s="80"/>
      <c r="J1154" s="80"/>
      <c r="K1154" s="80"/>
      <c r="L1154" s="81" t="str">
        <f aca="false">IF(K1154="","",IFERROR(INDEX(BARDAGE!$C$7:$C$1506,MATCH(K1154,BARDAGE!$B$7:$B$1506,0)),"? hors registre"))</f>
        <v/>
      </c>
      <c r="M1154" s="80"/>
      <c r="N1154" s="81" t="str">
        <f aca="false">IF(M1154="","",IFERROR(INDEX(BARDAGE!$C$7:$C$1506,MATCH(M1154,BARDAGE!$B$7:$B$1506,0)),"? hors registre"))</f>
        <v/>
      </c>
      <c r="O1154" s="80"/>
      <c r="P1154" s="80"/>
      <c r="Q1154" s="80"/>
      <c r="R1154" s="82"/>
      <c r="S1154" s="82"/>
      <c r="T1154" s="80"/>
      <c r="U1154" s="80"/>
      <c r="V1154" s="82"/>
      <c r="W1154" s="80"/>
      <c r="X1154" s="80"/>
      <c r="Y1154" s="80"/>
      <c r="Z1154" s="80"/>
      <c r="AA1154" s="82"/>
      <c r="AB1154" s="80"/>
      <c r="AC1154" s="80"/>
      <c r="AD1154" s="80"/>
      <c r="AE1154" s="80"/>
      <c r="AF1154" s="82"/>
      <c r="AG1154" s="80"/>
      <c r="AH1154" s="80"/>
      <c r="AI1154" s="82"/>
      <c r="AJ1154" s="79"/>
      <c r="AK1154" s="78" t="str">
        <f aca="false">IF(E1154="","",(X1154&lt;&gt;"")+(AC1154&lt;&gt;"")+(AH1154&lt;&gt;""))</f>
        <v/>
      </c>
      <c r="AL1154" s="81" t="str">
        <f aca="false">IF(AH1154&lt;&gt;"",AH1154,IF(AC1154&lt;&gt;"",AC1154,IF(X1154&lt;&gt;"",X1154,"")))</f>
        <v/>
      </c>
      <c r="AM1154" s="83" t="str">
        <f aca="false">IF(E1154="","",IF(R1154="","À SOUDER",IF(U1154="","VT EN ATTENTE",IF(U1154="R","VT REJETÉ – À REPRENDRE",IF(AL1154="","À RADIOGRAPHIER",IF(AL1154="A","ACCEPTÉ",IF(AL1154="NX","NX – RT À REFAIRE",IF(IF(AK1154=1,Z1154,IF(AK1154=2,AE1154,""))="A","RÉPARÉ – À RADIOGRAPHIER",IF(IF(AK1154=1,Z1154,IF(AK1154=2,AE1154,""))="R","VT REJETÉ – À REPRENDRE",IF(OR(AL1154="CO",AL1154="NT"),"COUPE – À RESOUDER","À RÉPARER"))))))))))</f>
        <v/>
      </c>
      <c r="AN1154" s="81" t="str">
        <f aca="false">IF(AND(ISNUMBER(R1154),OR(AM1154="À RADIOGRAPHIER",AM1154="RÉPARÉ – À RADIOGRAPHIER",AM1154="NX – RT À REFAIRE",AM1154="À RÉPARER",AM1154="COUPE – À RESOUDER",AM1154="VT REJETÉ – À REPRENDRE")),MAX(0,'PROGRAMME RT'!$C$4-R1154),"")</f>
        <v/>
      </c>
      <c r="AO1154" s="78" t="n">
        <f aca="false">IF(AND(OR(AM1154="À RADIOGRAPHIER",AM1154="RÉPARÉ – À RADIOGRAPHIER",AM1154="NX – RT À REFAIRE"),OR('PROGRAMME RT'!$D$5="TOUTES",B1154='PROGRAMME RT'!$D$5)),1,0)</f>
        <v>0</v>
      </c>
      <c r="AP1154" s="78" t="str">
        <f aca="false">IF(AO1154=1,SUM(AO$7:AO1154),"")</f>
        <v/>
      </c>
      <c r="AQ1154" s="78" t="n">
        <f aca="false">IF(AND(OR(X1154="R",X1154="NX",X1154="NT",X1154="CO"),OR('JOINTS DE RÉPARATION'!$D$5="TOUTES",B1154='JOINTS DE RÉPARATION'!$D$5),OR('JOINTS DE RÉPARATION'!$L$4="TOUS",AM1154&lt;&gt;"ACCEPTÉ")),1,0)</f>
        <v>0</v>
      </c>
      <c r="AR1154" s="78" t="str">
        <f aca="false">IF(AQ1154=1,SUM(AQ$7:AQ1154),"")</f>
        <v/>
      </c>
    </row>
    <row r="1155" customFormat="false" ht="15" hidden="false" customHeight="false" outlineLevel="0" collapsed="false">
      <c r="A1155" s="78" t="str">
        <f aca="false">IF(E1155="","",ROW()-6)</f>
        <v/>
      </c>
      <c r="B1155" s="79"/>
      <c r="C1155" s="80"/>
      <c r="D1155" s="80"/>
      <c r="E1155" s="80"/>
      <c r="F1155" s="80"/>
      <c r="G1155" s="80"/>
      <c r="H1155" s="80"/>
      <c r="I1155" s="80"/>
      <c r="J1155" s="80"/>
      <c r="K1155" s="80"/>
      <c r="L1155" s="81" t="str">
        <f aca="false">IF(K1155="","",IFERROR(INDEX(BARDAGE!$C$7:$C$1506,MATCH(K1155,BARDAGE!$B$7:$B$1506,0)),"? hors registre"))</f>
        <v/>
      </c>
      <c r="M1155" s="80"/>
      <c r="N1155" s="81" t="str">
        <f aca="false">IF(M1155="","",IFERROR(INDEX(BARDAGE!$C$7:$C$1506,MATCH(M1155,BARDAGE!$B$7:$B$1506,0)),"? hors registre"))</f>
        <v/>
      </c>
      <c r="O1155" s="80"/>
      <c r="P1155" s="80"/>
      <c r="Q1155" s="80"/>
      <c r="R1155" s="82"/>
      <c r="S1155" s="82"/>
      <c r="T1155" s="80"/>
      <c r="U1155" s="80"/>
      <c r="V1155" s="82"/>
      <c r="W1155" s="80"/>
      <c r="X1155" s="80"/>
      <c r="Y1155" s="80"/>
      <c r="Z1155" s="80"/>
      <c r="AA1155" s="82"/>
      <c r="AB1155" s="80"/>
      <c r="AC1155" s="80"/>
      <c r="AD1155" s="80"/>
      <c r="AE1155" s="80"/>
      <c r="AF1155" s="82"/>
      <c r="AG1155" s="80"/>
      <c r="AH1155" s="80"/>
      <c r="AI1155" s="82"/>
      <c r="AJ1155" s="79"/>
      <c r="AK1155" s="78" t="str">
        <f aca="false">IF(E1155="","",(X1155&lt;&gt;"")+(AC1155&lt;&gt;"")+(AH1155&lt;&gt;""))</f>
        <v/>
      </c>
      <c r="AL1155" s="81" t="str">
        <f aca="false">IF(AH1155&lt;&gt;"",AH1155,IF(AC1155&lt;&gt;"",AC1155,IF(X1155&lt;&gt;"",X1155,"")))</f>
        <v/>
      </c>
      <c r="AM1155" s="83" t="str">
        <f aca="false">IF(E1155="","",IF(R1155="","À SOUDER",IF(U1155="","VT EN ATTENTE",IF(U1155="R","VT REJETÉ – À REPRENDRE",IF(AL1155="","À RADIOGRAPHIER",IF(AL1155="A","ACCEPTÉ",IF(AL1155="NX","NX – RT À REFAIRE",IF(IF(AK1155=1,Z1155,IF(AK1155=2,AE1155,""))="A","RÉPARÉ – À RADIOGRAPHIER",IF(IF(AK1155=1,Z1155,IF(AK1155=2,AE1155,""))="R","VT REJETÉ – À REPRENDRE",IF(OR(AL1155="CO",AL1155="NT"),"COUPE – À RESOUDER","À RÉPARER"))))))))))</f>
        <v/>
      </c>
      <c r="AN1155" s="81" t="str">
        <f aca="false">IF(AND(ISNUMBER(R1155),OR(AM1155="À RADIOGRAPHIER",AM1155="RÉPARÉ – À RADIOGRAPHIER",AM1155="NX – RT À REFAIRE",AM1155="À RÉPARER",AM1155="COUPE – À RESOUDER",AM1155="VT REJETÉ – À REPRENDRE")),MAX(0,'PROGRAMME RT'!$C$4-R1155),"")</f>
        <v/>
      </c>
      <c r="AO1155" s="78" t="n">
        <f aca="false">IF(AND(OR(AM1155="À RADIOGRAPHIER",AM1155="RÉPARÉ – À RADIOGRAPHIER",AM1155="NX – RT À REFAIRE"),OR('PROGRAMME RT'!$D$5="TOUTES",B1155='PROGRAMME RT'!$D$5)),1,0)</f>
        <v>0</v>
      </c>
      <c r="AP1155" s="78" t="str">
        <f aca="false">IF(AO1155=1,SUM(AO$7:AO1155),"")</f>
        <v/>
      </c>
      <c r="AQ1155" s="78" t="n">
        <f aca="false">IF(AND(OR(X1155="R",X1155="NX",X1155="NT",X1155="CO"),OR('JOINTS DE RÉPARATION'!$D$5="TOUTES",B1155='JOINTS DE RÉPARATION'!$D$5),OR('JOINTS DE RÉPARATION'!$L$4="TOUS",AM1155&lt;&gt;"ACCEPTÉ")),1,0)</f>
        <v>0</v>
      </c>
      <c r="AR1155" s="78" t="str">
        <f aca="false">IF(AQ1155=1,SUM(AQ$7:AQ1155),"")</f>
        <v/>
      </c>
    </row>
    <row r="1156" customFormat="false" ht="15" hidden="false" customHeight="false" outlineLevel="0" collapsed="false">
      <c r="A1156" s="78" t="str">
        <f aca="false">IF(E1156="","",ROW()-6)</f>
        <v/>
      </c>
      <c r="B1156" s="79"/>
      <c r="C1156" s="80"/>
      <c r="D1156" s="80"/>
      <c r="E1156" s="80"/>
      <c r="F1156" s="80"/>
      <c r="G1156" s="80"/>
      <c r="H1156" s="80"/>
      <c r="I1156" s="80"/>
      <c r="J1156" s="80"/>
      <c r="K1156" s="80"/>
      <c r="L1156" s="81" t="str">
        <f aca="false">IF(K1156="","",IFERROR(INDEX(BARDAGE!$C$7:$C$1506,MATCH(K1156,BARDAGE!$B$7:$B$1506,0)),"? hors registre"))</f>
        <v/>
      </c>
      <c r="M1156" s="80"/>
      <c r="N1156" s="81" t="str">
        <f aca="false">IF(M1156="","",IFERROR(INDEX(BARDAGE!$C$7:$C$1506,MATCH(M1156,BARDAGE!$B$7:$B$1506,0)),"? hors registre"))</f>
        <v/>
      </c>
      <c r="O1156" s="80"/>
      <c r="P1156" s="80"/>
      <c r="Q1156" s="80"/>
      <c r="R1156" s="82"/>
      <c r="S1156" s="82"/>
      <c r="T1156" s="80"/>
      <c r="U1156" s="80"/>
      <c r="V1156" s="82"/>
      <c r="W1156" s="80"/>
      <c r="X1156" s="80"/>
      <c r="Y1156" s="80"/>
      <c r="Z1156" s="80"/>
      <c r="AA1156" s="82"/>
      <c r="AB1156" s="80"/>
      <c r="AC1156" s="80"/>
      <c r="AD1156" s="80"/>
      <c r="AE1156" s="80"/>
      <c r="AF1156" s="82"/>
      <c r="AG1156" s="80"/>
      <c r="AH1156" s="80"/>
      <c r="AI1156" s="82"/>
      <c r="AJ1156" s="79"/>
      <c r="AK1156" s="78" t="str">
        <f aca="false">IF(E1156="","",(X1156&lt;&gt;"")+(AC1156&lt;&gt;"")+(AH1156&lt;&gt;""))</f>
        <v/>
      </c>
      <c r="AL1156" s="81" t="str">
        <f aca="false">IF(AH1156&lt;&gt;"",AH1156,IF(AC1156&lt;&gt;"",AC1156,IF(X1156&lt;&gt;"",X1156,"")))</f>
        <v/>
      </c>
      <c r="AM1156" s="83" t="str">
        <f aca="false">IF(E1156="","",IF(R1156="","À SOUDER",IF(U1156="","VT EN ATTENTE",IF(U1156="R","VT REJETÉ – À REPRENDRE",IF(AL1156="","À RADIOGRAPHIER",IF(AL1156="A","ACCEPTÉ",IF(AL1156="NX","NX – RT À REFAIRE",IF(IF(AK1156=1,Z1156,IF(AK1156=2,AE1156,""))="A","RÉPARÉ – À RADIOGRAPHIER",IF(IF(AK1156=1,Z1156,IF(AK1156=2,AE1156,""))="R","VT REJETÉ – À REPRENDRE",IF(OR(AL1156="CO",AL1156="NT"),"COUPE – À RESOUDER","À RÉPARER"))))))))))</f>
        <v/>
      </c>
      <c r="AN1156" s="81" t="str">
        <f aca="false">IF(AND(ISNUMBER(R1156),OR(AM1156="À RADIOGRAPHIER",AM1156="RÉPARÉ – À RADIOGRAPHIER",AM1156="NX – RT À REFAIRE",AM1156="À RÉPARER",AM1156="COUPE – À RESOUDER",AM1156="VT REJETÉ – À REPRENDRE")),MAX(0,'PROGRAMME RT'!$C$4-R1156),"")</f>
        <v/>
      </c>
      <c r="AO1156" s="78" t="n">
        <f aca="false">IF(AND(OR(AM1156="À RADIOGRAPHIER",AM1156="RÉPARÉ – À RADIOGRAPHIER",AM1156="NX – RT À REFAIRE"),OR('PROGRAMME RT'!$D$5="TOUTES",B1156='PROGRAMME RT'!$D$5)),1,0)</f>
        <v>0</v>
      </c>
      <c r="AP1156" s="78" t="str">
        <f aca="false">IF(AO1156=1,SUM(AO$7:AO1156),"")</f>
        <v/>
      </c>
      <c r="AQ1156" s="78" t="n">
        <f aca="false">IF(AND(OR(X1156="R",X1156="NX",X1156="NT",X1156="CO"),OR('JOINTS DE RÉPARATION'!$D$5="TOUTES",B1156='JOINTS DE RÉPARATION'!$D$5),OR('JOINTS DE RÉPARATION'!$L$4="TOUS",AM1156&lt;&gt;"ACCEPTÉ")),1,0)</f>
        <v>0</v>
      </c>
      <c r="AR1156" s="78" t="str">
        <f aca="false">IF(AQ1156=1,SUM(AQ$7:AQ1156),"")</f>
        <v/>
      </c>
    </row>
    <row r="1157" customFormat="false" ht="15" hidden="false" customHeight="false" outlineLevel="0" collapsed="false">
      <c r="A1157" s="78" t="str">
        <f aca="false">IF(E1157="","",ROW()-6)</f>
        <v/>
      </c>
      <c r="B1157" s="79"/>
      <c r="C1157" s="80"/>
      <c r="D1157" s="80"/>
      <c r="E1157" s="80"/>
      <c r="F1157" s="80"/>
      <c r="G1157" s="80"/>
      <c r="H1157" s="80"/>
      <c r="I1157" s="80"/>
      <c r="J1157" s="80"/>
      <c r="K1157" s="80"/>
      <c r="L1157" s="81" t="str">
        <f aca="false">IF(K1157="","",IFERROR(INDEX(BARDAGE!$C$7:$C$1506,MATCH(K1157,BARDAGE!$B$7:$B$1506,0)),"? hors registre"))</f>
        <v/>
      </c>
      <c r="M1157" s="80"/>
      <c r="N1157" s="81" t="str">
        <f aca="false">IF(M1157="","",IFERROR(INDEX(BARDAGE!$C$7:$C$1506,MATCH(M1157,BARDAGE!$B$7:$B$1506,0)),"? hors registre"))</f>
        <v/>
      </c>
      <c r="O1157" s="80"/>
      <c r="P1157" s="80"/>
      <c r="Q1157" s="80"/>
      <c r="R1157" s="82"/>
      <c r="S1157" s="82"/>
      <c r="T1157" s="80"/>
      <c r="U1157" s="80"/>
      <c r="V1157" s="82"/>
      <c r="W1157" s="80"/>
      <c r="X1157" s="80"/>
      <c r="Y1157" s="80"/>
      <c r="Z1157" s="80"/>
      <c r="AA1157" s="82"/>
      <c r="AB1157" s="80"/>
      <c r="AC1157" s="80"/>
      <c r="AD1157" s="80"/>
      <c r="AE1157" s="80"/>
      <c r="AF1157" s="82"/>
      <c r="AG1157" s="80"/>
      <c r="AH1157" s="80"/>
      <c r="AI1157" s="82"/>
      <c r="AJ1157" s="79"/>
      <c r="AK1157" s="78" t="str">
        <f aca="false">IF(E1157="","",(X1157&lt;&gt;"")+(AC1157&lt;&gt;"")+(AH1157&lt;&gt;""))</f>
        <v/>
      </c>
      <c r="AL1157" s="81" t="str">
        <f aca="false">IF(AH1157&lt;&gt;"",AH1157,IF(AC1157&lt;&gt;"",AC1157,IF(X1157&lt;&gt;"",X1157,"")))</f>
        <v/>
      </c>
      <c r="AM1157" s="83" t="str">
        <f aca="false">IF(E1157="","",IF(R1157="","À SOUDER",IF(U1157="","VT EN ATTENTE",IF(U1157="R","VT REJETÉ – À REPRENDRE",IF(AL1157="","À RADIOGRAPHIER",IF(AL1157="A","ACCEPTÉ",IF(AL1157="NX","NX – RT À REFAIRE",IF(IF(AK1157=1,Z1157,IF(AK1157=2,AE1157,""))="A","RÉPARÉ – À RADIOGRAPHIER",IF(IF(AK1157=1,Z1157,IF(AK1157=2,AE1157,""))="R","VT REJETÉ – À REPRENDRE",IF(OR(AL1157="CO",AL1157="NT"),"COUPE – À RESOUDER","À RÉPARER"))))))))))</f>
        <v/>
      </c>
      <c r="AN1157" s="81" t="str">
        <f aca="false">IF(AND(ISNUMBER(R1157),OR(AM1157="À RADIOGRAPHIER",AM1157="RÉPARÉ – À RADIOGRAPHIER",AM1157="NX – RT À REFAIRE",AM1157="À RÉPARER",AM1157="COUPE – À RESOUDER",AM1157="VT REJETÉ – À REPRENDRE")),MAX(0,'PROGRAMME RT'!$C$4-R1157),"")</f>
        <v/>
      </c>
      <c r="AO1157" s="78" t="n">
        <f aca="false">IF(AND(OR(AM1157="À RADIOGRAPHIER",AM1157="RÉPARÉ – À RADIOGRAPHIER",AM1157="NX – RT À REFAIRE"),OR('PROGRAMME RT'!$D$5="TOUTES",B1157='PROGRAMME RT'!$D$5)),1,0)</f>
        <v>0</v>
      </c>
      <c r="AP1157" s="78" t="str">
        <f aca="false">IF(AO1157=1,SUM(AO$7:AO1157),"")</f>
        <v/>
      </c>
      <c r="AQ1157" s="78" t="n">
        <f aca="false">IF(AND(OR(X1157="R",X1157="NX",X1157="NT",X1157="CO"),OR('JOINTS DE RÉPARATION'!$D$5="TOUTES",B1157='JOINTS DE RÉPARATION'!$D$5),OR('JOINTS DE RÉPARATION'!$L$4="TOUS",AM1157&lt;&gt;"ACCEPTÉ")),1,0)</f>
        <v>0</v>
      </c>
      <c r="AR1157" s="78" t="str">
        <f aca="false">IF(AQ1157=1,SUM(AQ$7:AQ1157),"")</f>
        <v/>
      </c>
    </row>
    <row r="1158" customFormat="false" ht="15" hidden="false" customHeight="false" outlineLevel="0" collapsed="false">
      <c r="A1158" s="78" t="str">
        <f aca="false">IF(E1158="","",ROW()-6)</f>
        <v/>
      </c>
      <c r="B1158" s="79"/>
      <c r="C1158" s="80"/>
      <c r="D1158" s="80"/>
      <c r="E1158" s="80"/>
      <c r="F1158" s="80"/>
      <c r="G1158" s="80"/>
      <c r="H1158" s="80"/>
      <c r="I1158" s="80"/>
      <c r="J1158" s="80"/>
      <c r="K1158" s="80"/>
      <c r="L1158" s="81" t="str">
        <f aca="false">IF(K1158="","",IFERROR(INDEX(BARDAGE!$C$7:$C$1506,MATCH(K1158,BARDAGE!$B$7:$B$1506,0)),"? hors registre"))</f>
        <v/>
      </c>
      <c r="M1158" s="80"/>
      <c r="N1158" s="81" t="str">
        <f aca="false">IF(M1158="","",IFERROR(INDEX(BARDAGE!$C$7:$C$1506,MATCH(M1158,BARDAGE!$B$7:$B$1506,0)),"? hors registre"))</f>
        <v/>
      </c>
      <c r="O1158" s="80"/>
      <c r="P1158" s="80"/>
      <c r="Q1158" s="80"/>
      <c r="R1158" s="82"/>
      <c r="S1158" s="82"/>
      <c r="T1158" s="80"/>
      <c r="U1158" s="80"/>
      <c r="V1158" s="82"/>
      <c r="W1158" s="80"/>
      <c r="X1158" s="80"/>
      <c r="Y1158" s="80"/>
      <c r="Z1158" s="80"/>
      <c r="AA1158" s="82"/>
      <c r="AB1158" s="80"/>
      <c r="AC1158" s="80"/>
      <c r="AD1158" s="80"/>
      <c r="AE1158" s="80"/>
      <c r="AF1158" s="82"/>
      <c r="AG1158" s="80"/>
      <c r="AH1158" s="80"/>
      <c r="AI1158" s="82"/>
      <c r="AJ1158" s="79"/>
      <c r="AK1158" s="78" t="str">
        <f aca="false">IF(E1158="","",(X1158&lt;&gt;"")+(AC1158&lt;&gt;"")+(AH1158&lt;&gt;""))</f>
        <v/>
      </c>
      <c r="AL1158" s="81" t="str">
        <f aca="false">IF(AH1158&lt;&gt;"",AH1158,IF(AC1158&lt;&gt;"",AC1158,IF(X1158&lt;&gt;"",X1158,"")))</f>
        <v/>
      </c>
      <c r="AM1158" s="83" t="str">
        <f aca="false">IF(E1158="","",IF(R1158="","À SOUDER",IF(U1158="","VT EN ATTENTE",IF(U1158="R","VT REJETÉ – À REPRENDRE",IF(AL1158="","À RADIOGRAPHIER",IF(AL1158="A","ACCEPTÉ",IF(AL1158="NX","NX – RT À REFAIRE",IF(IF(AK1158=1,Z1158,IF(AK1158=2,AE1158,""))="A","RÉPARÉ – À RADIOGRAPHIER",IF(IF(AK1158=1,Z1158,IF(AK1158=2,AE1158,""))="R","VT REJETÉ – À REPRENDRE",IF(OR(AL1158="CO",AL1158="NT"),"COUPE – À RESOUDER","À RÉPARER"))))))))))</f>
        <v/>
      </c>
      <c r="AN1158" s="81" t="str">
        <f aca="false">IF(AND(ISNUMBER(R1158),OR(AM1158="À RADIOGRAPHIER",AM1158="RÉPARÉ – À RADIOGRAPHIER",AM1158="NX – RT À REFAIRE",AM1158="À RÉPARER",AM1158="COUPE – À RESOUDER",AM1158="VT REJETÉ – À REPRENDRE")),MAX(0,'PROGRAMME RT'!$C$4-R1158),"")</f>
        <v/>
      </c>
      <c r="AO1158" s="78" t="n">
        <f aca="false">IF(AND(OR(AM1158="À RADIOGRAPHIER",AM1158="RÉPARÉ – À RADIOGRAPHIER",AM1158="NX – RT À REFAIRE"),OR('PROGRAMME RT'!$D$5="TOUTES",B1158='PROGRAMME RT'!$D$5)),1,0)</f>
        <v>0</v>
      </c>
      <c r="AP1158" s="78" t="str">
        <f aca="false">IF(AO1158=1,SUM(AO$7:AO1158),"")</f>
        <v/>
      </c>
      <c r="AQ1158" s="78" t="n">
        <f aca="false">IF(AND(OR(X1158="R",X1158="NX",X1158="NT",X1158="CO"),OR('JOINTS DE RÉPARATION'!$D$5="TOUTES",B1158='JOINTS DE RÉPARATION'!$D$5),OR('JOINTS DE RÉPARATION'!$L$4="TOUS",AM1158&lt;&gt;"ACCEPTÉ")),1,0)</f>
        <v>0</v>
      </c>
      <c r="AR1158" s="78" t="str">
        <f aca="false">IF(AQ1158=1,SUM(AQ$7:AQ1158),"")</f>
        <v/>
      </c>
    </row>
    <row r="1159" customFormat="false" ht="15" hidden="false" customHeight="false" outlineLevel="0" collapsed="false">
      <c r="A1159" s="78" t="str">
        <f aca="false">IF(E1159="","",ROW()-6)</f>
        <v/>
      </c>
      <c r="B1159" s="79"/>
      <c r="C1159" s="80"/>
      <c r="D1159" s="80"/>
      <c r="E1159" s="80"/>
      <c r="F1159" s="80"/>
      <c r="G1159" s="80"/>
      <c r="H1159" s="80"/>
      <c r="I1159" s="80"/>
      <c r="J1159" s="80"/>
      <c r="K1159" s="80"/>
      <c r="L1159" s="81" t="str">
        <f aca="false">IF(K1159="","",IFERROR(INDEX(BARDAGE!$C$7:$C$1506,MATCH(K1159,BARDAGE!$B$7:$B$1506,0)),"? hors registre"))</f>
        <v/>
      </c>
      <c r="M1159" s="80"/>
      <c r="N1159" s="81" t="str">
        <f aca="false">IF(M1159="","",IFERROR(INDEX(BARDAGE!$C$7:$C$1506,MATCH(M1159,BARDAGE!$B$7:$B$1506,0)),"? hors registre"))</f>
        <v/>
      </c>
      <c r="O1159" s="80"/>
      <c r="P1159" s="80"/>
      <c r="Q1159" s="80"/>
      <c r="R1159" s="82"/>
      <c r="S1159" s="82"/>
      <c r="T1159" s="80"/>
      <c r="U1159" s="80"/>
      <c r="V1159" s="82"/>
      <c r="W1159" s="80"/>
      <c r="X1159" s="80"/>
      <c r="Y1159" s="80"/>
      <c r="Z1159" s="80"/>
      <c r="AA1159" s="82"/>
      <c r="AB1159" s="80"/>
      <c r="AC1159" s="80"/>
      <c r="AD1159" s="80"/>
      <c r="AE1159" s="80"/>
      <c r="AF1159" s="82"/>
      <c r="AG1159" s="80"/>
      <c r="AH1159" s="80"/>
      <c r="AI1159" s="82"/>
      <c r="AJ1159" s="79"/>
      <c r="AK1159" s="78" t="str">
        <f aca="false">IF(E1159="","",(X1159&lt;&gt;"")+(AC1159&lt;&gt;"")+(AH1159&lt;&gt;""))</f>
        <v/>
      </c>
      <c r="AL1159" s="81" t="str">
        <f aca="false">IF(AH1159&lt;&gt;"",AH1159,IF(AC1159&lt;&gt;"",AC1159,IF(X1159&lt;&gt;"",X1159,"")))</f>
        <v/>
      </c>
      <c r="AM1159" s="83" t="str">
        <f aca="false">IF(E1159="","",IF(R1159="","À SOUDER",IF(U1159="","VT EN ATTENTE",IF(U1159="R","VT REJETÉ – À REPRENDRE",IF(AL1159="","À RADIOGRAPHIER",IF(AL1159="A","ACCEPTÉ",IF(AL1159="NX","NX – RT À REFAIRE",IF(IF(AK1159=1,Z1159,IF(AK1159=2,AE1159,""))="A","RÉPARÉ – À RADIOGRAPHIER",IF(IF(AK1159=1,Z1159,IF(AK1159=2,AE1159,""))="R","VT REJETÉ – À REPRENDRE",IF(OR(AL1159="CO",AL1159="NT"),"COUPE – À RESOUDER","À RÉPARER"))))))))))</f>
        <v/>
      </c>
      <c r="AN1159" s="81" t="str">
        <f aca="false">IF(AND(ISNUMBER(R1159),OR(AM1159="À RADIOGRAPHIER",AM1159="RÉPARÉ – À RADIOGRAPHIER",AM1159="NX – RT À REFAIRE",AM1159="À RÉPARER",AM1159="COUPE – À RESOUDER",AM1159="VT REJETÉ – À REPRENDRE")),MAX(0,'PROGRAMME RT'!$C$4-R1159),"")</f>
        <v/>
      </c>
      <c r="AO1159" s="78" t="n">
        <f aca="false">IF(AND(OR(AM1159="À RADIOGRAPHIER",AM1159="RÉPARÉ – À RADIOGRAPHIER",AM1159="NX – RT À REFAIRE"),OR('PROGRAMME RT'!$D$5="TOUTES",B1159='PROGRAMME RT'!$D$5)),1,0)</f>
        <v>0</v>
      </c>
      <c r="AP1159" s="78" t="str">
        <f aca="false">IF(AO1159=1,SUM(AO$7:AO1159),"")</f>
        <v/>
      </c>
      <c r="AQ1159" s="78" t="n">
        <f aca="false">IF(AND(OR(X1159="R",X1159="NX",X1159="NT",X1159="CO"),OR('JOINTS DE RÉPARATION'!$D$5="TOUTES",B1159='JOINTS DE RÉPARATION'!$D$5),OR('JOINTS DE RÉPARATION'!$L$4="TOUS",AM1159&lt;&gt;"ACCEPTÉ")),1,0)</f>
        <v>0</v>
      </c>
      <c r="AR1159" s="78" t="str">
        <f aca="false">IF(AQ1159=1,SUM(AQ$7:AQ1159),"")</f>
        <v/>
      </c>
    </row>
    <row r="1160" customFormat="false" ht="15" hidden="false" customHeight="false" outlineLevel="0" collapsed="false">
      <c r="A1160" s="78" t="str">
        <f aca="false">IF(E1160="","",ROW()-6)</f>
        <v/>
      </c>
      <c r="B1160" s="79"/>
      <c r="C1160" s="80"/>
      <c r="D1160" s="80"/>
      <c r="E1160" s="80"/>
      <c r="F1160" s="80"/>
      <c r="G1160" s="80"/>
      <c r="H1160" s="80"/>
      <c r="I1160" s="80"/>
      <c r="J1160" s="80"/>
      <c r="K1160" s="80"/>
      <c r="L1160" s="81" t="str">
        <f aca="false">IF(K1160="","",IFERROR(INDEX(BARDAGE!$C$7:$C$1506,MATCH(K1160,BARDAGE!$B$7:$B$1506,0)),"? hors registre"))</f>
        <v/>
      </c>
      <c r="M1160" s="80"/>
      <c r="N1160" s="81" t="str">
        <f aca="false">IF(M1160="","",IFERROR(INDEX(BARDAGE!$C$7:$C$1506,MATCH(M1160,BARDAGE!$B$7:$B$1506,0)),"? hors registre"))</f>
        <v/>
      </c>
      <c r="O1160" s="80"/>
      <c r="P1160" s="80"/>
      <c r="Q1160" s="80"/>
      <c r="R1160" s="82"/>
      <c r="S1160" s="82"/>
      <c r="T1160" s="80"/>
      <c r="U1160" s="80"/>
      <c r="V1160" s="82"/>
      <c r="W1160" s="80"/>
      <c r="X1160" s="80"/>
      <c r="Y1160" s="80"/>
      <c r="Z1160" s="80"/>
      <c r="AA1160" s="82"/>
      <c r="AB1160" s="80"/>
      <c r="AC1160" s="80"/>
      <c r="AD1160" s="80"/>
      <c r="AE1160" s="80"/>
      <c r="AF1160" s="82"/>
      <c r="AG1160" s="80"/>
      <c r="AH1160" s="80"/>
      <c r="AI1160" s="82"/>
      <c r="AJ1160" s="79"/>
      <c r="AK1160" s="78" t="str">
        <f aca="false">IF(E1160="","",(X1160&lt;&gt;"")+(AC1160&lt;&gt;"")+(AH1160&lt;&gt;""))</f>
        <v/>
      </c>
      <c r="AL1160" s="81" t="str">
        <f aca="false">IF(AH1160&lt;&gt;"",AH1160,IF(AC1160&lt;&gt;"",AC1160,IF(X1160&lt;&gt;"",X1160,"")))</f>
        <v/>
      </c>
      <c r="AM1160" s="83" t="str">
        <f aca="false">IF(E1160="","",IF(R1160="","À SOUDER",IF(U1160="","VT EN ATTENTE",IF(U1160="R","VT REJETÉ – À REPRENDRE",IF(AL1160="","À RADIOGRAPHIER",IF(AL1160="A","ACCEPTÉ",IF(AL1160="NX","NX – RT À REFAIRE",IF(IF(AK1160=1,Z1160,IF(AK1160=2,AE1160,""))="A","RÉPARÉ – À RADIOGRAPHIER",IF(IF(AK1160=1,Z1160,IF(AK1160=2,AE1160,""))="R","VT REJETÉ – À REPRENDRE",IF(OR(AL1160="CO",AL1160="NT"),"COUPE – À RESOUDER","À RÉPARER"))))))))))</f>
        <v/>
      </c>
      <c r="AN1160" s="81" t="str">
        <f aca="false">IF(AND(ISNUMBER(R1160),OR(AM1160="À RADIOGRAPHIER",AM1160="RÉPARÉ – À RADIOGRAPHIER",AM1160="NX – RT À REFAIRE",AM1160="À RÉPARER",AM1160="COUPE – À RESOUDER",AM1160="VT REJETÉ – À REPRENDRE")),MAX(0,'PROGRAMME RT'!$C$4-R1160),"")</f>
        <v/>
      </c>
      <c r="AO1160" s="78" t="n">
        <f aca="false">IF(AND(OR(AM1160="À RADIOGRAPHIER",AM1160="RÉPARÉ – À RADIOGRAPHIER",AM1160="NX – RT À REFAIRE"),OR('PROGRAMME RT'!$D$5="TOUTES",B1160='PROGRAMME RT'!$D$5)),1,0)</f>
        <v>0</v>
      </c>
      <c r="AP1160" s="78" t="str">
        <f aca="false">IF(AO1160=1,SUM(AO$7:AO1160),"")</f>
        <v/>
      </c>
      <c r="AQ1160" s="78" t="n">
        <f aca="false">IF(AND(OR(X1160="R",X1160="NX",X1160="NT",X1160="CO"),OR('JOINTS DE RÉPARATION'!$D$5="TOUTES",B1160='JOINTS DE RÉPARATION'!$D$5),OR('JOINTS DE RÉPARATION'!$L$4="TOUS",AM1160&lt;&gt;"ACCEPTÉ")),1,0)</f>
        <v>0</v>
      </c>
      <c r="AR1160" s="78" t="str">
        <f aca="false">IF(AQ1160=1,SUM(AQ$7:AQ1160),"")</f>
        <v/>
      </c>
    </row>
    <row r="1161" customFormat="false" ht="15" hidden="false" customHeight="false" outlineLevel="0" collapsed="false">
      <c r="A1161" s="78" t="str">
        <f aca="false">IF(E1161="","",ROW()-6)</f>
        <v/>
      </c>
      <c r="B1161" s="79"/>
      <c r="C1161" s="80"/>
      <c r="D1161" s="80"/>
      <c r="E1161" s="80"/>
      <c r="F1161" s="80"/>
      <c r="G1161" s="80"/>
      <c r="H1161" s="80"/>
      <c r="I1161" s="80"/>
      <c r="J1161" s="80"/>
      <c r="K1161" s="80"/>
      <c r="L1161" s="81" t="str">
        <f aca="false">IF(K1161="","",IFERROR(INDEX(BARDAGE!$C$7:$C$1506,MATCH(K1161,BARDAGE!$B$7:$B$1506,0)),"? hors registre"))</f>
        <v/>
      </c>
      <c r="M1161" s="80"/>
      <c r="N1161" s="81" t="str">
        <f aca="false">IF(M1161="","",IFERROR(INDEX(BARDAGE!$C$7:$C$1506,MATCH(M1161,BARDAGE!$B$7:$B$1506,0)),"? hors registre"))</f>
        <v/>
      </c>
      <c r="O1161" s="80"/>
      <c r="P1161" s="80"/>
      <c r="Q1161" s="80"/>
      <c r="R1161" s="82"/>
      <c r="S1161" s="82"/>
      <c r="T1161" s="80"/>
      <c r="U1161" s="80"/>
      <c r="V1161" s="82"/>
      <c r="W1161" s="80"/>
      <c r="X1161" s="80"/>
      <c r="Y1161" s="80"/>
      <c r="Z1161" s="80"/>
      <c r="AA1161" s="82"/>
      <c r="AB1161" s="80"/>
      <c r="AC1161" s="80"/>
      <c r="AD1161" s="80"/>
      <c r="AE1161" s="80"/>
      <c r="AF1161" s="82"/>
      <c r="AG1161" s="80"/>
      <c r="AH1161" s="80"/>
      <c r="AI1161" s="82"/>
      <c r="AJ1161" s="79"/>
      <c r="AK1161" s="78" t="str">
        <f aca="false">IF(E1161="","",(X1161&lt;&gt;"")+(AC1161&lt;&gt;"")+(AH1161&lt;&gt;""))</f>
        <v/>
      </c>
      <c r="AL1161" s="81" t="str">
        <f aca="false">IF(AH1161&lt;&gt;"",AH1161,IF(AC1161&lt;&gt;"",AC1161,IF(X1161&lt;&gt;"",X1161,"")))</f>
        <v/>
      </c>
      <c r="AM1161" s="83" t="str">
        <f aca="false">IF(E1161="","",IF(R1161="","À SOUDER",IF(U1161="","VT EN ATTENTE",IF(U1161="R","VT REJETÉ – À REPRENDRE",IF(AL1161="","À RADIOGRAPHIER",IF(AL1161="A","ACCEPTÉ",IF(AL1161="NX","NX – RT À REFAIRE",IF(IF(AK1161=1,Z1161,IF(AK1161=2,AE1161,""))="A","RÉPARÉ – À RADIOGRAPHIER",IF(IF(AK1161=1,Z1161,IF(AK1161=2,AE1161,""))="R","VT REJETÉ – À REPRENDRE",IF(OR(AL1161="CO",AL1161="NT"),"COUPE – À RESOUDER","À RÉPARER"))))))))))</f>
        <v/>
      </c>
      <c r="AN1161" s="81" t="str">
        <f aca="false">IF(AND(ISNUMBER(R1161),OR(AM1161="À RADIOGRAPHIER",AM1161="RÉPARÉ – À RADIOGRAPHIER",AM1161="NX – RT À REFAIRE",AM1161="À RÉPARER",AM1161="COUPE – À RESOUDER",AM1161="VT REJETÉ – À REPRENDRE")),MAX(0,'PROGRAMME RT'!$C$4-R1161),"")</f>
        <v/>
      </c>
      <c r="AO1161" s="78" t="n">
        <f aca="false">IF(AND(OR(AM1161="À RADIOGRAPHIER",AM1161="RÉPARÉ – À RADIOGRAPHIER",AM1161="NX – RT À REFAIRE"),OR('PROGRAMME RT'!$D$5="TOUTES",B1161='PROGRAMME RT'!$D$5)),1,0)</f>
        <v>0</v>
      </c>
      <c r="AP1161" s="78" t="str">
        <f aca="false">IF(AO1161=1,SUM(AO$7:AO1161),"")</f>
        <v/>
      </c>
      <c r="AQ1161" s="78" t="n">
        <f aca="false">IF(AND(OR(X1161="R",X1161="NX",X1161="NT",X1161="CO"),OR('JOINTS DE RÉPARATION'!$D$5="TOUTES",B1161='JOINTS DE RÉPARATION'!$D$5),OR('JOINTS DE RÉPARATION'!$L$4="TOUS",AM1161&lt;&gt;"ACCEPTÉ")),1,0)</f>
        <v>0</v>
      </c>
      <c r="AR1161" s="78" t="str">
        <f aca="false">IF(AQ1161=1,SUM(AQ$7:AQ1161),"")</f>
        <v/>
      </c>
    </row>
    <row r="1162" customFormat="false" ht="15" hidden="false" customHeight="false" outlineLevel="0" collapsed="false">
      <c r="A1162" s="78" t="str">
        <f aca="false">IF(E1162="","",ROW()-6)</f>
        <v/>
      </c>
      <c r="B1162" s="79"/>
      <c r="C1162" s="80"/>
      <c r="D1162" s="80"/>
      <c r="E1162" s="80"/>
      <c r="F1162" s="80"/>
      <c r="G1162" s="80"/>
      <c r="H1162" s="80"/>
      <c r="I1162" s="80"/>
      <c r="J1162" s="80"/>
      <c r="K1162" s="80"/>
      <c r="L1162" s="81" t="str">
        <f aca="false">IF(K1162="","",IFERROR(INDEX(BARDAGE!$C$7:$C$1506,MATCH(K1162,BARDAGE!$B$7:$B$1506,0)),"? hors registre"))</f>
        <v/>
      </c>
      <c r="M1162" s="80"/>
      <c r="N1162" s="81" t="str">
        <f aca="false">IF(M1162="","",IFERROR(INDEX(BARDAGE!$C$7:$C$1506,MATCH(M1162,BARDAGE!$B$7:$B$1506,0)),"? hors registre"))</f>
        <v/>
      </c>
      <c r="O1162" s="80"/>
      <c r="P1162" s="80"/>
      <c r="Q1162" s="80"/>
      <c r="R1162" s="82"/>
      <c r="S1162" s="82"/>
      <c r="T1162" s="80"/>
      <c r="U1162" s="80"/>
      <c r="V1162" s="82"/>
      <c r="W1162" s="80"/>
      <c r="X1162" s="80"/>
      <c r="Y1162" s="80"/>
      <c r="Z1162" s="80"/>
      <c r="AA1162" s="82"/>
      <c r="AB1162" s="80"/>
      <c r="AC1162" s="80"/>
      <c r="AD1162" s="80"/>
      <c r="AE1162" s="80"/>
      <c r="AF1162" s="82"/>
      <c r="AG1162" s="80"/>
      <c r="AH1162" s="80"/>
      <c r="AI1162" s="82"/>
      <c r="AJ1162" s="79"/>
      <c r="AK1162" s="78" t="str">
        <f aca="false">IF(E1162="","",(X1162&lt;&gt;"")+(AC1162&lt;&gt;"")+(AH1162&lt;&gt;""))</f>
        <v/>
      </c>
      <c r="AL1162" s="81" t="str">
        <f aca="false">IF(AH1162&lt;&gt;"",AH1162,IF(AC1162&lt;&gt;"",AC1162,IF(X1162&lt;&gt;"",X1162,"")))</f>
        <v/>
      </c>
      <c r="AM1162" s="83" t="str">
        <f aca="false">IF(E1162="","",IF(R1162="","À SOUDER",IF(U1162="","VT EN ATTENTE",IF(U1162="R","VT REJETÉ – À REPRENDRE",IF(AL1162="","À RADIOGRAPHIER",IF(AL1162="A","ACCEPTÉ",IF(AL1162="NX","NX – RT À REFAIRE",IF(IF(AK1162=1,Z1162,IF(AK1162=2,AE1162,""))="A","RÉPARÉ – À RADIOGRAPHIER",IF(IF(AK1162=1,Z1162,IF(AK1162=2,AE1162,""))="R","VT REJETÉ – À REPRENDRE",IF(OR(AL1162="CO",AL1162="NT"),"COUPE – À RESOUDER","À RÉPARER"))))))))))</f>
        <v/>
      </c>
      <c r="AN1162" s="81" t="str">
        <f aca="false">IF(AND(ISNUMBER(R1162),OR(AM1162="À RADIOGRAPHIER",AM1162="RÉPARÉ – À RADIOGRAPHIER",AM1162="NX – RT À REFAIRE",AM1162="À RÉPARER",AM1162="COUPE – À RESOUDER",AM1162="VT REJETÉ – À REPRENDRE")),MAX(0,'PROGRAMME RT'!$C$4-R1162),"")</f>
        <v/>
      </c>
      <c r="AO1162" s="78" t="n">
        <f aca="false">IF(AND(OR(AM1162="À RADIOGRAPHIER",AM1162="RÉPARÉ – À RADIOGRAPHIER",AM1162="NX – RT À REFAIRE"),OR('PROGRAMME RT'!$D$5="TOUTES",B1162='PROGRAMME RT'!$D$5)),1,0)</f>
        <v>0</v>
      </c>
      <c r="AP1162" s="78" t="str">
        <f aca="false">IF(AO1162=1,SUM(AO$7:AO1162),"")</f>
        <v/>
      </c>
      <c r="AQ1162" s="78" t="n">
        <f aca="false">IF(AND(OR(X1162="R",X1162="NX",X1162="NT",X1162="CO"),OR('JOINTS DE RÉPARATION'!$D$5="TOUTES",B1162='JOINTS DE RÉPARATION'!$D$5),OR('JOINTS DE RÉPARATION'!$L$4="TOUS",AM1162&lt;&gt;"ACCEPTÉ")),1,0)</f>
        <v>0</v>
      </c>
      <c r="AR1162" s="78" t="str">
        <f aca="false">IF(AQ1162=1,SUM(AQ$7:AQ1162),"")</f>
        <v/>
      </c>
    </row>
    <row r="1163" customFormat="false" ht="15" hidden="false" customHeight="false" outlineLevel="0" collapsed="false">
      <c r="A1163" s="78" t="str">
        <f aca="false">IF(E1163="","",ROW()-6)</f>
        <v/>
      </c>
      <c r="B1163" s="79"/>
      <c r="C1163" s="80"/>
      <c r="D1163" s="80"/>
      <c r="E1163" s="80"/>
      <c r="F1163" s="80"/>
      <c r="G1163" s="80"/>
      <c r="H1163" s="80"/>
      <c r="I1163" s="80"/>
      <c r="J1163" s="80"/>
      <c r="K1163" s="80"/>
      <c r="L1163" s="81" t="str">
        <f aca="false">IF(K1163="","",IFERROR(INDEX(BARDAGE!$C$7:$C$1506,MATCH(K1163,BARDAGE!$B$7:$B$1506,0)),"? hors registre"))</f>
        <v/>
      </c>
      <c r="M1163" s="80"/>
      <c r="N1163" s="81" t="str">
        <f aca="false">IF(M1163="","",IFERROR(INDEX(BARDAGE!$C$7:$C$1506,MATCH(M1163,BARDAGE!$B$7:$B$1506,0)),"? hors registre"))</f>
        <v/>
      </c>
      <c r="O1163" s="80"/>
      <c r="P1163" s="80"/>
      <c r="Q1163" s="80"/>
      <c r="R1163" s="82"/>
      <c r="S1163" s="82"/>
      <c r="T1163" s="80"/>
      <c r="U1163" s="80"/>
      <c r="V1163" s="82"/>
      <c r="W1163" s="80"/>
      <c r="X1163" s="80"/>
      <c r="Y1163" s="80"/>
      <c r="Z1163" s="80"/>
      <c r="AA1163" s="82"/>
      <c r="AB1163" s="80"/>
      <c r="AC1163" s="80"/>
      <c r="AD1163" s="80"/>
      <c r="AE1163" s="80"/>
      <c r="AF1163" s="82"/>
      <c r="AG1163" s="80"/>
      <c r="AH1163" s="80"/>
      <c r="AI1163" s="82"/>
      <c r="AJ1163" s="79"/>
      <c r="AK1163" s="78" t="str">
        <f aca="false">IF(E1163="","",(X1163&lt;&gt;"")+(AC1163&lt;&gt;"")+(AH1163&lt;&gt;""))</f>
        <v/>
      </c>
      <c r="AL1163" s="81" t="str">
        <f aca="false">IF(AH1163&lt;&gt;"",AH1163,IF(AC1163&lt;&gt;"",AC1163,IF(X1163&lt;&gt;"",X1163,"")))</f>
        <v/>
      </c>
      <c r="AM1163" s="83" t="str">
        <f aca="false">IF(E1163="","",IF(R1163="","À SOUDER",IF(U1163="","VT EN ATTENTE",IF(U1163="R","VT REJETÉ – À REPRENDRE",IF(AL1163="","À RADIOGRAPHIER",IF(AL1163="A","ACCEPTÉ",IF(AL1163="NX","NX – RT À REFAIRE",IF(IF(AK1163=1,Z1163,IF(AK1163=2,AE1163,""))="A","RÉPARÉ – À RADIOGRAPHIER",IF(IF(AK1163=1,Z1163,IF(AK1163=2,AE1163,""))="R","VT REJETÉ – À REPRENDRE",IF(OR(AL1163="CO",AL1163="NT"),"COUPE – À RESOUDER","À RÉPARER"))))))))))</f>
        <v/>
      </c>
      <c r="AN1163" s="81" t="str">
        <f aca="false">IF(AND(ISNUMBER(R1163),OR(AM1163="À RADIOGRAPHIER",AM1163="RÉPARÉ – À RADIOGRAPHIER",AM1163="NX – RT À REFAIRE",AM1163="À RÉPARER",AM1163="COUPE – À RESOUDER",AM1163="VT REJETÉ – À REPRENDRE")),MAX(0,'PROGRAMME RT'!$C$4-R1163),"")</f>
        <v/>
      </c>
      <c r="AO1163" s="78" t="n">
        <f aca="false">IF(AND(OR(AM1163="À RADIOGRAPHIER",AM1163="RÉPARÉ – À RADIOGRAPHIER",AM1163="NX – RT À REFAIRE"),OR('PROGRAMME RT'!$D$5="TOUTES",B1163='PROGRAMME RT'!$D$5)),1,0)</f>
        <v>0</v>
      </c>
      <c r="AP1163" s="78" t="str">
        <f aca="false">IF(AO1163=1,SUM(AO$7:AO1163),"")</f>
        <v/>
      </c>
      <c r="AQ1163" s="78" t="n">
        <f aca="false">IF(AND(OR(X1163="R",X1163="NX",X1163="NT",X1163="CO"),OR('JOINTS DE RÉPARATION'!$D$5="TOUTES",B1163='JOINTS DE RÉPARATION'!$D$5),OR('JOINTS DE RÉPARATION'!$L$4="TOUS",AM1163&lt;&gt;"ACCEPTÉ")),1,0)</f>
        <v>0</v>
      </c>
      <c r="AR1163" s="78" t="str">
        <f aca="false">IF(AQ1163=1,SUM(AQ$7:AQ1163),"")</f>
        <v/>
      </c>
    </row>
    <row r="1164" customFormat="false" ht="15" hidden="false" customHeight="false" outlineLevel="0" collapsed="false">
      <c r="A1164" s="78" t="str">
        <f aca="false">IF(E1164="","",ROW()-6)</f>
        <v/>
      </c>
      <c r="B1164" s="79"/>
      <c r="C1164" s="80"/>
      <c r="D1164" s="80"/>
      <c r="E1164" s="80"/>
      <c r="F1164" s="80"/>
      <c r="G1164" s="80"/>
      <c r="H1164" s="80"/>
      <c r="I1164" s="80"/>
      <c r="J1164" s="80"/>
      <c r="K1164" s="80"/>
      <c r="L1164" s="81" t="str">
        <f aca="false">IF(K1164="","",IFERROR(INDEX(BARDAGE!$C$7:$C$1506,MATCH(K1164,BARDAGE!$B$7:$B$1506,0)),"? hors registre"))</f>
        <v/>
      </c>
      <c r="M1164" s="80"/>
      <c r="N1164" s="81" t="str">
        <f aca="false">IF(M1164="","",IFERROR(INDEX(BARDAGE!$C$7:$C$1506,MATCH(M1164,BARDAGE!$B$7:$B$1506,0)),"? hors registre"))</f>
        <v/>
      </c>
      <c r="O1164" s="80"/>
      <c r="P1164" s="80"/>
      <c r="Q1164" s="80"/>
      <c r="R1164" s="82"/>
      <c r="S1164" s="82"/>
      <c r="T1164" s="80"/>
      <c r="U1164" s="80"/>
      <c r="V1164" s="82"/>
      <c r="W1164" s="80"/>
      <c r="X1164" s="80"/>
      <c r="Y1164" s="80"/>
      <c r="Z1164" s="80"/>
      <c r="AA1164" s="82"/>
      <c r="AB1164" s="80"/>
      <c r="AC1164" s="80"/>
      <c r="AD1164" s="80"/>
      <c r="AE1164" s="80"/>
      <c r="AF1164" s="82"/>
      <c r="AG1164" s="80"/>
      <c r="AH1164" s="80"/>
      <c r="AI1164" s="82"/>
      <c r="AJ1164" s="79"/>
      <c r="AK1164" s="78" t="str">
        <f aca="false">IF(E1164="","",(X1164&lt;&gt;"")+(AC1164&lt;&gt;"")+(AH1164&lt;&gt;""))</f>
        <v/>
      </c>
      <c r="AL1164" s="81" t="str">
        <f aca="false">IF(AH1164&lt;&gt;"",AH1164,IF(AC1164&lt;&gt;"",AC1164,IF(X1164&lt;&gt;"",X1164,"")))</f>
        <v/>
      </c>
      <c r="AM1164" s="83" t="str">
        <f aca="false">IF(E1164="","",IF(R1164="","À SOUDER",IF(U1164="","VT EN ATTENTE",IF(U1164="R","VT REJETÉ – À REPRENDRE",IF(AL1164="","À RADIOGRAPHIER",IF(AL1164="A","ACCEPTÉ",IF(AL1164="NX","NX – RT À REFAIRE",IF(IF(AK1164=1,Z1164,IF(AK1164=2,AE1164,""))="A","RÉPARÉ – À RADIOGRAPHIER",IF(IF(AK1164=1,Z1164,IF(AK1164=2,AE1164,""))="R","VT REJETÉ – À REPRENDRE",IF(OR(AL1164="CO",AL1164="NT"),"COUPE – À RESOUDER","À RÉPARER"))))))))))</f>
        <v/>
      </c>
      <c r="AN1164" s="81" t="str">
        <f aca="false">IF(AND(ISNUMBER(R1164),OR(AM1164="À RADIOGRAPHIER",AM1164="RÉPARÉ – À RADIOGRAPHIER",AM1164="NX – RT À REFAIRE",AM1164="À RÉPARER",AM1164="COUPE – À RESOUDER",AM1164="VT REJETÉ – À REPRENDRE")),MAX(0,'PROGRAMME RT'!$C$4-R1164),"")</f>
        <v/>
      </c>
      <c r="AO1164" s="78" t="n">
        <f aca="false">IF(AND(OR(AM1164="À RADIOGRAPHIER",AM1164="RÉPARÉ – À RADIOGRAPHIER",AM1164="NX – RT À REFAIRE"),OR('PROGRAMME RT'!$D$5="TOUTES",B1164='PROGRAMME RT'!$D$5)),1,0)</f>
        <v>0</v>
      </c>
      <c r="AP1164" s="78" t="str">
        <f aca="false">IF(AO1164=1,SUM(AO$7:AO1164),"")</f>
        <v/>
      </c>
      <c r="AQ1164" s="78" t="n">
        <f aca="false">IF(AND(OR(X1164="R",X1164="NX",X1164="NT",X1164="CO"),OR('JOINTS DE RÉPARATION'!$D$5="TOUTES",B1164='JOINTS DE RÉPARATION'!$D$5),OR('JOINTS DE RÉPARATION'!$L$4="TOUS",AM1164&lt;&gt;"ACCEPTÉ")),1,0)</f>
        <v>0</v>
      </c>
      <c r="AR1164" s="78" t="str">
        <f aca="false">IF(AQ1164=1,SUM(AQ$7:AQ1164),"")</f>
        <v/>
      </c>
    </row>
    <row r="1165" customFormat="false" ht="15" hidden="false" customHeight="false" outlineLevel="0" collapsed="false">
      <c r="A1165" s="78" t="str">
        <f aca="false">IF(E1165="","",ROW()-6)</f>
        <v/>
      </c>
      <c r="B1165" s="79"/>
      <c r="C1165" s="80"/>
      <c r="D1165" s="80"/>
      <c r="E1165" s="80"/>
      <c r="F1165" s="80"/>
      <c r="G1165" s="80"/>
      <c r="H1165" s="80"/>
      <c r="I1165" s="80"/>
      <c r="J1165" s="80"/>
      <c r="K1165" s="80"/>
      <c r="L1165" s="81" t="str">
        <f aca="false">IF(K1165="","",IFERROR(INDEX(BARDAGE!$C$7:$C$1506,MATCH(K1165,BARDAGE!$B$7:$B$1506,0)),"? hors registre"))</f>
        <v/>
      </c>
      <c r="M1165" s="80"/>
      <c r="N1165" s="81" t="str">
        <f aca="false">IF(M1165="","",IFERROR(INDEX(BARDAGE!$C$7:$C$1506,MATCH(M1165,BARDAGE!$B$7:$B$1506,0)),"? hors registre"))</f>
        <v/>
      </c>
      <c r="O1165" s="80"/>
      <c r="P1165" s="80"/>
      <c r="Q1165" s="80"/>
      <c r="R1165" s="82"/>
      <c r="S1165" s="82"/>
      <c r="T1165" s="80"/>
      <c r="U1165" s="80"/>
      <c r="V1165" s="82"/>
      <c r="W1165" s="80"/>
      <c r="X1165" s="80"/>
      <c r="Y1165" s="80"/>
      <c r="Z1165" s="80"/>
      <c r="AA1165" s="82"/>
      <c r="AB1165" s="80"/>
      <c r="AC1165" s="80"/>
      <c r="AD1165" s="80"/>
      <c r="AE1165" s="80"/>
      <c r="AF1165" s="82"/>
      <c r="AG1165" s="80"/>
      <c r="AH1165" s="80"/>
      <c r="AI1165" s="82"/>
      <c r="AJ1165" s="79"/>
      <c r="AK1165" s="78" t="str">
        <f aca="false">IF(E1165="","",(X1165&lt;&gt;"")+(AC1165&lt;&gt;"")+(AH1165&lt;&gt;""))</f>
        <v/>
      </c>
      <c r="AL1165" s="81" t="str">
        <f aca="false">IF(AH1165&lt;&gt;"",AH1165,IF(AC1165&lt;&gt;"",AC1165,IF(X1165&lt;&gt;"",X1165,"")))</f>
        <v/>
      </c>
      <c r="AM1165" s="83" t="str">
        <f aca="false">IF(E1165="","",IF(R1165="","À SOUDER",IF(U1165="","VT EN ATTENTE",IF(U1165="R","VT REJETÉ – À REPRENDRE",IF(AL1165="","À RADIOGRAPHIER",IF(AL1165="A","ACCEPTÉ",IF(AL1165="NX","NX – RT À REFAIRE",IF(IF(AK1165=1,Z1165,IF(AK1165=2,AE1165,""))="A","RÉPARÉ – À RADIOGRAPHIER",IF(IF(AK1165=1,Z1165,IF(AK1165=2,AE1165,""))="R","VT REJETÉ – À REPRENDRE",IF(OR(AL1165="CO",AL1165="NT"),"COUPE – À RESOUDER","À RÉPARER"))))))))))</f>
        <v/>
      </c>
      <c r="AN1165" s="81" t="str">
        <f aca="false">IF(AND(ISNUMBER(R1165),OR(AM1165="À RADIOGRAPHIER",AM1165="RÉPARÉ – À RADIOGRAPHIER",AM1165="NX – RT À REFAIRE",AM1165="À RÉPARER",AM1165="COUPE – À RESOUDER",AM1165="VT REJETÉ – À REPRENDRE")),MAX(0,'PROGRAMME RT'!$C$4-R1165),"")</f>
        <v/>
      </c>
      <c r="AO1165" s="78" t="n">
        <f aca="false">IF(AND(OR(AM1165="À RADIOGRAPHIER",AM1165="RÉPARÉ – À RADIOGRAPHIER",AM1165="NX – RT À REFAIRE"),OR('PROGRAMME RT'!$D$5="TOUTES",B1165='PROGRAMME RT'!$D$5)),1,0)</f>
        <v>0</v>
      </c>
      <c r="AP1165" s="78" t="str">
        <f aca="false">IF(AO1165=1,SUM(AO$7:AO1165),"")</f>
        <v/>
      </c>
      <c r="AQ1165" s="78" t="n">
        <f aca="false">IF(AND(OR(X1165="R",X1165="NX",X1165="NT",X1165="CO"),OR('JOINTS DE RÉPARATION'!$D$5="TOUTES",B1165='JOINTS DE RÉPARATION'!$D$5),OR('JOINTS DE RÉPARATION'!$L$4="TOUS",AM1165&lt;&gt;"ACCEPTÉ")),1,0)</f>
        <v>0</v>
      </c>
      <c r="AR1165" s="78" t="str">
        <f aca="false">IF(AQ1165=1,SUM(AQ$7:AQ1165),"")</f>
        <v/>
      </c>
    </row>
    <row r="1166" customFormat="false" ht="15" hidden="false" customHeight="false" outlineLevel="0" collapsed="false">
      <c r="A1166" s="78" t="str">
        <f aca="false">IF(E1166="","",ROW()-6)</f>
        <v/>
      </c>
      <c r="B1166" s="79"/>
      <c r="C1166" s="80"/>
      <c r="D1166" s="80"/>
      <c r="E1166" s="80"/>
      <c r="F1166" s="80"/>
      <c r="G1166" s="80"/>
      <c r="H1166" s="80"/>
      <c r="I1166" s="80"/>
      <c r="J1166" s="80"/>
      <c r="K1166" s="80"/>
      <c r="L1166" s="81" t="str">
        <f aca="false">IF(K1166="","",IFERROR(INDEX(BARDAGE!$C$7:$C$1506,MATCH(K1166,BARDAGE!$B$7:$B$1506,0)),"? hors registre"))</f>
        <v/>
      </c>
      <c r="M1166" s="80"/>
      <c r="N1166" s="81" t="str">
        <f aca="false">IF(M1166="","",IFERROR(INDEX(BARDAGE!$C$7:$C$1506,MATCH(M1166,BARDAGE!$B$7:$B$1506,0)),"? hors registre"))</f>
        <v/>
      </c>
      <c r="O1166" s="80"/>
      <c r="P1166" s="80"/>
      <c r="Q1166" s="80"/>
      <c r="R1166" s="82"/>
      <c r="S1166" s="82"/>
      <c r="T1166" s="80"/>
      <c r="U1166" s="80"/>
      <c r="V1166" s="82"/>
      <c r="W1166" s="80"/>
      <c r="X1166" s="80"/>
      <c r="Y1166" s="80"/>
      <c r="Z1166" s="80"/>
      <c r="AA1166" s="82"/>
      <c r="AB1166" s="80"/>
      <c r="AC1166" s="80"/>
      <c r="AD1166" s="80"/>
      <c r="AE1166" s="80"/>
      <c r="AF1166" s="82"/>
      <c r="AG1166" s="80"/>
      <c r="AH1166" s="80"/>
      <c r="AI1166" s="82"/>
      <c r="AJ1166" s="79"/>
      <c r="AK1166" s="78" t="str">
        <f aca="false">IF(E1166="","",(X1166&lt;&gt;"")+(AC1166&lt;&gt;"")+(AH1166&lt;&gt;""))</f>
        <v/>
      </c>
      <c r="AL1166" s="81" t="str">
        <f aca="false">IF(AH1166&lt;&gt;"",AH1166,IF(AC1166&lt;&gt;"",AC1166,IF(X1166&lt;&gt;"",X1166,"")))</f>
        <v/>
      </c>
      <c r="AM1166" s="83" t="str">
        <f aca="false">IF(E1166="","",IF(R1166="","À SOUDER",IF(U1166="","VT EN ATTENTE",IF(U1166="R","VT REJETÉ – À REPRENDRE",IF(AL1166="","À RADIOGRAPHIER",IF(AL1166="A","ACCEPTÉ",IF(AL1166="NX","NX – RT À REFAIRE",IF(IF(AK1166=1,Z1166,IF(AK1166=2,AE1166,""))="A","RÉPARÉ – À RADIOGRAPHIER",IF(IF(AK1166=1,Z1166,IF(AK1166=2,AE1166,""))="R","VT REJETÉ – À REPRENDRE",IF(OR(AL1166="CO",AL1166="NT"),"COUPE – À RESOUDER","À RÉPARER"))))))))))</f>
        <v/>
      </c>
      <c r="AN1166" s="81" t="str">
        <f aca="false">IF(AND(ISNUMBER(R1166),OR(AM1166="À RADIOGRAPHIER",AM1166="RÉPARÉ – À RADIOGRAPHIER",AM1166="NX – RT À REFAIRE",AM1166="À RÉPARER",AM1166="COUPE – À RESOUDER",AM1166="VT REJETÉ – À REPRENDRE")),MAX(0,'PROGRAMME RT'!$C$4-R1166),"")</f>
        <v/>
      </c>
      <c r="AO1166" s="78" t="n">
        <f aca="false">IF(AND(OR(AM1166="À RADIOGRAPHIER",AM1166="RÉPARÉ – À RADIOGRAPHIER",AM1166="NX – RT À REFAIRE"),OR('PROGRAMME RT'!$D$5="TOUTES",B1166='PROGRAMME RT'!$D$5)),1,0)</f>
        <v>0</v>
      </c>
      <c r="AP1166" s="78" t="str">
        <f aca="false">IF(AO1166=1,SUM(AO$7:AO1166),"")</f>
        <v/>
      </c>
      <c r="AQ1166" s="78" t="n">
        <f aca="false">IF(AND(OR(X1166="R",X1166="NX",X1166="NT",X1166="CO"),OR('JOINTS DE RÉPARATION'!$D$5="TOUTES",B1166='JOINTS DE RÉPARATION'!$D$5),OR('JOINTS DE RÉPARATION'!$L$4="TOUS",AM1166&lt;&gt;"ACCEPTÉ")),1,0)</f>
        <v>0</v>
      </c>
      <c r="AR1166" s="78" t="str">
        <f aca="false">IF(AQ1166=1,SUM(AQ$7:AQ1166),"")</f>
        <v/>
      </c>
    </row>
    <row r="1167" customFormat="false" ht="15" hidden="false" customHeight="false" outlineLevel="0" collapsed="false">
      <c r="A1167" s="78" t="str">
        <f aca="false">IF(E1167="","",ROW()-6)</f>
        <v/>
      </c>
      <c r="B1167" s="79"/>
      <c r="C1167" s="80"/>
      <c r="D1167" s="80"/>
      <c r="E1167" s="80"/>
      <c r="F1167" s="80"/>
      <c r="G1167" s="80"/>
      <c r="H1167" s="80"/>
      <c r="I1167" s="80"/>
      <c r="J1167" s="80"/>
      <c r="K1167" s="80"/>
      <c r="L1167" s="81" t="str">
        <f aca="false">IF(K1167="","",IFERROR(INDEX(BARDAGE!$C$7:$C$1506,MATCH(K1167,BARDAGE!$B$7:$B$1506,0)),"? hors registre"))</f>
        <v/>
      </c>
      <c r="M1167" s="80"/>
      <c r="N1167" s="81" t="str">
        <f aca="false">IF(M1167="","",IFERROR(INDEX(BARDAGE!$C$7:$C$1506,MATCH(M1167,BARDAGE!$B$7:$B$1506,0)),"? hors registre"))</f>
        <v/>
      </c>
      <c r="O1167" s="80"/>
      <c r="P1167" s="80"/>
      <c r="Q1167" s="80"/>
      <c r="R1167" s="82"/>
      <c r="S1167" s="82"/>
      <c r="T1167" s="80"/>
      <c r="U1167" s="80"/>
      <c r="V1167" s="82"/>
      <c r="W1167" s="80"/>
      <c r="X1167" s="80"/>
      <c r="Y1167" s="80"/>
      <c r="Z1167" s="80"/>
      <c r="AA1167" s="82"/>
      <c r="AB1167" s="80"/>
      <c r="AC1167" s="80"/>
      <c r="AD1167" s="80"/>
      <c r="AE1167" s="80"/>
      <c r="AF1167" s="82"/>
      <c r="AG1167" s="80"/>
      <c r="AH1167" s="80"/>
      <c r="AI1167" s="82"/>
      <c r="AJ1167" s="79"/>
      <c r="AK1167" s="78" t="str">
        <f aca="false">IF(E1167="","",(X1167&lt;&gt;"")+(AC1167&lt;&gt;"")+(AH1167&lt;&gt;""))</f>
        <v/>
      </c>
      <c r="AL1167" s="81" t="str">
        <f aca="false">IF(AH1167&lt;&gt;"",AH1167,IF(AC1167&lt;&gt;"",AC1167,IF(X1167&lt;&gt;"",X1167,"")))</f>
        <v/>
      </c>
      <c r="AM1167" s="83" t="str">
        <f aca="false">IF(E1167="","",IF(R1167="","À SOUDER",IF(U1167="","VT EN ATTENTE",IF(U1167="R","VT REJETÉ – À REPRENDRE",IF(AL1167="","À RADIOGRAPHIER",IF(AL1167="A","ACCEPTÉ",IF(AL1167="NX","NX – RT À REFAIRE",IF(IF(AK1167=1,Z1167,IF(AK1167=2,AE1167,""))="A","RÉPARÉ – À RADIOGRAPHIER",IF(IF(AK1167=1,Z1167,IF(AK1167=2,AE1167,""))="R","VT REJETÉ – À REPRENDRE",IF(OR(AL1167="CO",AL1167="NT"),"COUPE – À RESOUDER","À RÉPARER"))))))))))</f>
        <v/>
      </c>
      <c r="AN1167" s="81" t="str">
        <f aca="false">IF(AND(ISNUMBER(R1167),OR(AM1167="À RADIOGRAPHIER",AM1167="RÉPARÉ – À RADIOGRAPHIER",AM1167="NX – RT À REFAIRE",AM1167="À RÉPARER",AM1167="COUPE – À RESOUDER",AM1167="VT REJETÉ – À REPRENDRE")),MAX(0,'PROGRAMME RT'!$C$4-R1167),"")</f>
        <v/>
      </c>
      <c r="AO1167" s="78" t="n">
        <f aca="false">IF(AND(OR(AM1167="À RADIOGRAPHIER",AM1167="RÉPARÉ – À RADIOGRAPHIER",AM1167="NX – RT À REFAIRE"),OR('PROGRAMME RT'!$D$5="TOUTES",B1167='PROGRAMME RT'!$D$5)),1,0)</f>
        <v>0</v>
      </c>
      <c r="AP1167" s="78" t="str">
        <f aca="false">IF(AO1167=1,SUM(AO$7:AO1167),"")</f>
        <v/>
      </c>
      <c r="AQ1167" s="78" t="n">
        <f aca="false">IF(AND(OR(X1167="R",X1167="NX",X1167="NT",X1167="CO"),OR('JOINTS DE RÉPARATION'!$D$5="TOUTES",B1167='JOINTS DE RÉPARATION'!$D$5),OR('JOINTS DE RÉPARATION'!$L$4="TOUS",AM1167&lt;&gt;"ACCEPTÉ")),1,0)</f>
        <v>0</v>
      </c>
      <c r="AR1167" s="78" t="str">
        <f aca="false">IF(AQ1167=1,SUM(AQ$7:AQ1167),"")</f>
        <v/>
      </c>
    </row>
    <row r="1168" customFormat="false" ht="15" hidden="false" customHeight="false" outlineLevel="0" collapsed="false">
      <c r="A1168" s="78" t="str">
        <f aca="false">IF(E1168="","",ROW()-6)</f>
        <v/>
      </c>
      <c r="B1168" s="79"/>
      <c r="C1168" s="80"/>
      <c r="D1168" s="80"/>
      <c r="E1168" s="80"/>
      <c r="F1168" s="80"/>
      <c r="G1168" s="80"/>
      <c r="H1168" s="80"/>
      <c r="I1168" s="80"/>
      <c r="J1168" s="80"/>
      <c r="K1168" s="80"/>
      <c r="L1168" s="81" t="str">
        <f aca="false">IF(K1168="","",IFERROR(INDEX(BARDAGE!$C$7:$C$1506,MATCH(K1168,BARDAGE!$B$7:$B$1506,0)),"? hors registre"))</f>
        <v/>
      </c>
      <c r="M1168" s="80"/>
      <c r="N1168" s="81" t="str">
        <f aca="false">IF(M1168="","",IFERROR(INDEX(BARDAGE!$C$7:$C$1506,MATCH(M1168,BARDAGE!$B$7:$B$1506,0)),"? hors registre"))</f>
        <v/>
      </c>
      <c r="O1168" s="80"/>
      <c r="P1168" s="80"/>
      <c r="Q1168" s="80"/>
      <c r="R1168" s="82"/>
      <c r="S1168" s="82"/>
      <c r="T1168" s="80"/>
      <c r="U1168" s="80"/>
      <c r="V1168" s="82"/>
      <c r="W1168" s="80"/>
      <c r="X1168" s="80"/>
      <c r="Y1168" s="80"/>
      <c r="Z1168" s="80"/>
      <c r="AA1168" s="82"/>
      <c r="AB1168" s="80"/>
      <c r="AC1168" s="80"/>
      <c r="AD1168" s="80"/>
      <c r="AE1168" s="80"/>
      <c r="AF1168" s="82"/>
      <c r="AG1168" s="80"/>
      <c r="AH1168" s="80"/>
      <c r="AI1168" s="82"/>
      <c r="AJ1168" s="79"/>
      <c r="AK1168" s="78" t="str">
        <f aca="false">IF(E1168="","",(X1168&lt;&gt;"")+(AC1168&lt;&gt;"")+(AH1168&lt;&gt;""))</f>
        <v/>
      </c>
      <c r="AL1168" s="81" t="str">
        <f aca="false">IF(AH1168&lt;&gt;"",AH1168,IF(AC1168&lt;&gt;"",AC1168,IF(X1168&lt;&gt;"",X1168,"")))</f>
        <v/>
      </c>
      <c r="AM1168" s="83" t="str">
        <f aca="false">IF(E1168="","",IF(R1168="","À SOUDER",IF(U1168="","VT EN ATTENTE",IF(U1168="R","VT REJETÉ – À REPRENDRE",IF(AL1168="","À RADIOGRAPHIER",IF(AL1168="A","ACCEPTÉ",IF(AL1168="NX","NX – RT À REFAIRE",IF(IF(AK1168=1,Z1168,IF(AK1168=2,AE1168,""))="A","RÉPARÉ – À RADIOGRAPHIER",IF(IF(AK1168=1,Z1168,IF(AK1168=2,AE1168,""))="R","VT REJETÉ – À REPRENDRE",IF(OR(AL1168="CO",AL1168="NT"),"COUPE – À RESOUDER","À RÉPARER"))))))))))</f>
        <v/>
      </c>
      <c r="AN1168" s="81" t="str">
        <f aca="false">IF(AND(ISNUMBER(R1168),OR(AM1168="À RADIOGRAPHIER",AM1168="RÉPARÉ – À RADIOGRAPHIER",AM1168="NX – RT À REFAIRE",AM1168="À RÉPARER",AM1168="COUPE – À RESOUDER",AM1168="VT REJETÉ – À REPRENDRE")),MAX(0,'PROGRAMME RT'!$C$4-R1168),"")</f>
        <v/>
      </c>
      <c r="AO1168" s="78" t="n">
        <f aca="false">IF(AND(OR(AM1168="À RADIOGRAPHIER",AM1168="RÉPARÉ – À RADIOGRAPHIER",AM1168="NX – RT À REFAIRE"),OR('PROGRAMME RT'!$D$5="TOUTES",B1168='PROGRAMME RT'!$D$5)),1,0)</f>
        <v>0</v>
      </c>
      <c r="AP1168" s="78" t="str">
        <f aca="false">IF(AO1168=1,SUM(AO$7:AO1168),"")</f>
        <v/>
      </c>
      <c r="AQ1168" s="78" t="n">
        <f aca="false">IF(AND(OR(X1168="R",X1168="NX",X1168="NT",X1168="CO"),OR('JOINTS DE RÉPARATION'!$D$5="TOUTES",B1168='JOINTS DE RÉPARATION'!$D$5),OR('JOINTS DE RÉPARATION'!$L$4="TOUS",AM1168&lt;&gt;"ACCEPTÉ")),1,0)</f>
        <v>0</v>
      </c>
      <c r="AR1168" s="78" t="str">
        <f aca="false">IF(AQ1168=1,SUM(AQ$7:AQ1168),"")</f>
        <v/>
      </c>
    </row>
    <row r="1169" customFormat="false" ht="15" hidden="false" customHeight="false" outlineLevel="0" collapsed="false">
      <c r="A1169" s="78" t="str">
        <f aca="false">IF(E1169="","",ROW()-6)</f>
        <v/>
      </c>
      <c r="B1169" s="79"/>
      <c r="C1169" s="80"/>
      <c r="D1169" s="80"/>
      <c r="E1169" s="80"/>
      <c r="F1169" s="80"/>
      <c r="G1169" s="80"/>
      <c r="H1169" s="80"/>
      <c r="I1169" s="80"/>
      <c r="J1169" s="80"/>
      <c r="K1169" s="80"/>
      <c r="L1169" s="81" t="str">
        <f aca="false">IF(K1169="","",IFERROR(INDEX(BARDAGE!$C$7:$C$1506,MATCH(K1169,BARDAGE!$B$7:$B$1506,0)),"? hors registre"))</f>
        <v/>
      </c>
      <c r="M1169" s="80"/>
      <c r="N1169" s="81" t="str">
        <f aca="false">IF(M1169="","",IFERROR(INDEX(BARDAGE!$C$7:$C$1506,MATCH(M1169,BARDAGE!$B$7:$B$1506,0)),"? hors registre"))</f>
        <v/>
      </c>
      <c r="O1169" s="80"/>
      <c r="P1169" s="80"/>
      <c r="Q1169" s="80"/>
      <c r="R1169" s="82"/>
      <c r="S1169" s="82"/>
      <c r="T1169" s="80"/>
      <c r="U1169" s="80"/>
      <c r="V1169" s="82"/>
      <c r="W1169" s="80"/>
      <c r="X1169" s="80"/>
      <c r="Y1169" s="80"/>
      <c r="Z1169" s="80"/>
      <c r="AA1169" s="82"/>
      <c r="AB1169" s="80"/>
      <c r="AC1169" s="80"/>
      <c r="AD1169" s="80"/>
      <c r="AE1169" s="80"/>
      <c r="AF1169" s="82"/>
      <c r="AG1169" s="80"/>
      <c r="AH1169" s="80"/>
      <c r="AI1169" s="82"/>
      <c r="AJ1169" s="79"/>
      <c r="AK1169" s="78" t="str">
        <f aca="false">IF(E1169="","",(X1169&lt;&gt;"")+(AC1169&lt;&gt;"")+(AH1169&lt;&gt;""))</f>
        <v/>
      </c>
      <c r="AL1169" s="81" t="str">
        <f aca="false">IF(AH1169&lt;&gt;"",AH1169,IF(AC1169&lt;&gt;"",AC1169,IF(X1169&lt;&gt;"",X1169,"")))</f>
        <v/>
      </c>
      <c r="AM1169" s="83" t="str">
        <f aca="false">IF(E1169="","",IF(R1169="","À SOUDER",IF(U1169="","VT EN ATTENTE",IF(U1169="R","VT REJETÉ – À REPRENDRE",IF(AL1169="","À RADIOGRAPHIER",IF(AL1169="A","ACCEPTÉ",IF(AL1169="NX","NX – RT À REFAIRE",IF(IF(AK1169=1,Z1169,IF(AK1169=2,AE1169,""))="A","RÉPARÉ – À RADIOGRAPHIER",IF(IF(AK1169=1,Z1169,IF(AK1169=2,AE1169,""))="R","VT REJETÉ – À REPRENDRE",IF(OR(AL1169="CO",AL1169="NT"),"COUPE – À RESOUDER","À RÉPARER"))))))))))</f>
        <v/>
      </c>
      <c r="AN1169" s="81" t="str">
        <f aca="false">IF(AND(ISNUMBER(R1169),OR(AM1169="À RADIOGRAPHIER",AM1169="RÉPARÉ – À RADIOGRAPHIER",AM1169="NX – RT À REFAIRE",AM1169="À RÉPARER",AM1169="COUPE – À RESOUDER",AM1169="VT REJETÉ – À REPRENDRE")),MAX(0,'PROGRAMME RT'!$C$4-R1169),"")</f>
        <v/>
      </c>
      <c r="AO1169" s="78" t="n">
        <f aca="false">IF(AND(OR(AM1169="À RADIOGRAPHIER",AM1169="RÉPARÉ – À RADIOGRAPHIER",AM1169="NX – RT À REFAIRE"),OR('PROGRAMME RT'!$D$5="TOUTES",B1169='PROGRAMME RT'!$D$5)),1,0)</f>
        <v>0</v>
      </c>
      <c r="AP1169" s="78" t="str">
        <f aca="false">IF(AO1169=1,SUM(AO$7:AO1169),"")</f>
        <v/>
      </c>
      <c r="AQ1169" s="78" t="n">
        <f aca="false">IF(AND(OR(X1169="R",X1169="NX",X1169="NT",X1169="CO"),OR('JOINTS DE RÉPARATION'!$D$5="TOUTES",B1169='JOINTS DE RÉPARATION'!$D$5),OR('JOINTS DE RÉPARATION'!$L$4="TOUS",AM1169&lt;&gt;"ACCEPTÉ")),1,0)</f>
        <v>0</v>
      </c>
      <c r="AR1169" s="78" t="str">
        <f aca="false">IF(AQ1169=1,SUM(AQ$7:AQ1169),"")</f>
        <v/>
      </c>
    </row>
    <row r="1170" customFormat="false" ht="15" hidden="false" customHeight="false" outlineLevel="0" collapsed="false">
      <c r="A1170" s="78" t="str">
        <f aca="false">IF(E1170="","",ROW()-6)</f>
        <v/>
      </c>
      <c r="B1170" s="79"/>
      <c r="C1170" s="80"/>
      <c r="D1170" s="80"/>
      <c r="E1170" s="80"/>
      <c r="F1170" s="80"/>
      <c r="G1170" s="80"/>
      <c r="H1170" s="80"/>
      <c r="I1170" s="80"/>
      <c r="J1170" s="80"/>
      <c r="K1170" s="80"/>
      <c r="L1170" s="81" t="str">
        <f aca="false">IF(K1170="","",IFERROR(INDEX(BARDAGE!$C$7:$C$1506,MATCH(K1170,BARDAGE!$B$7:$B$1506,0)),"? hors registre"))</f>
        <v/>
      </c>
      <c r="M1170" s="80"/>
      <c r="N1170" s="81" t="str">
        <f aca="false">IF(M1170="","",IFERROR(INDEX(BARDAGE!$C$7:$C$1506,MATCH(M1170,BARDAGE!$B$7:$B$1506,0)),"? hors registre"))</f>
        <v/>
      </c>
      <c r="O1170" s="80"/>
      <c r="P1170" s="80"/>
      <c r="Q1170" s="80"/>
      <c r="R1170" s="82"/>
      <c r="S1170" s="82"/>
      <c r="T1170" s="80"/>
      <c r="U1170" s="80"/>
      <c r="V1170" s="82"/>
      <c r="W1170" s="80"/>
      <c r="X1170" s="80"/>
      <c r="Y1170" s="80"/>
      <c r="Z1170" s="80"/>
      <c r="AA1170" s="82"/>
      <c r="AB1170" s="80"/>
      <c r="AC1170" s="80"/>
      <c r="AD1170" s="80"/>
      <c r="AE1170" s="80"/>
      <c r="AF1170" s="82"/>
      <c r="AG1170" s="80"/>
      <c r="AH1170" s="80"/>
      <c r="AI1170" s="82"/>
      <c r="AJ1170" s="79"/>
      <c r="AK1170" s="78" t="str">
        <f aca="false">IF(E1170="","",(X1170&lt;&gt;"")+(AC1170&lt;&gt;"")+(AH1170&lt;&gt;""))</f>
        <v/>
      </c>
      <c r="AL1170" s="81" t="str">
        <f aca="false">IF(AH1170&lt;&gt;"",AH1170,IF(AC1170&lt;&gt;"",AC1170,IF(X1170&lt;&gt;"",X1170,"")))</f>
        <v/>
      </c>
      <c r="AM1170" s="83" t="str">
        <f aca="false">IF(E1170="","",IF(R1170="","À SOUDER",IF(U1170="","VT EN ATTENTE",IF(U1170="R","VT REJETÉ – À REPRENDRE",IF(AL1170="","À RADIOGRAPHIER",IF(AL1170="A","ACCEPTÉ",IF(AL1170="NX","NX – RT À REFAIRE",IF(IF(AK1170=1,Z1170,IF(AK1170=2,AE1170,""))="A","RÉPARÉ – À RADIOGRAPHIER",IF(IF(AK1170=1,Z1170,IF(AK1170=2,AE1170,""))="R","VT REJETÉ – À REPRENDRE",IF(OR(AL1170="CO",AL1170="NT"),"COUPE – À RESOUDER","À RÉPARER"))))))))))</f>
        <v/>
      </c>
      <c r="AN1170" s="81" t="str">
        <f aca="false">IF(AND(ISNUMBER(R1170),OR(AM1170="À RADIOGRAPHIER",AM1170="RÉPARÉ – À RADIOGRAPHIER",AM1170="NX – RT À REFAIRE",AM1170="À RÉPARER",AM1170="COUPE – À RESOUDER",AM1170="VT REJETÉ – À REPRENDRE")),MAX(0,'PROGRAMME RT'!$C$4-R1170),"")</f>
        <v/>
      </c>
      <c r="AO1170" s="78" t="n">
        <f aca="false">IF(AND(OR(AM1170="À RADIOGRAPHIER",AM1170="RÉPARÉ – À RADIOGRAPHIER",AM1170="NX – RT À REFAIRE"),OR('PROGRAMME RT'!$D$5="TOUTES",B1170='PROGRAMME RT'!$D$5)),1,0)</f>
        <v>0</v>
      </c>
      <c r="AP1170" s="78" t="str">
        <f aca="false">IF(AO1170=1,SUM(AO$7:AO1170),"")</f>
        <v/>
      </c>
      <c r="AQ1170" s="78" t="n">
        <f aca="false">IF(AND(OR(X1170="R",X1170="NX",X1170="NT",X1170="CO"),OR('JOINTS DE RÉPARATION'!$D$5="TOUTES",B1170='JOINTS DE RÉPARATION'!$D$5),OR('JOINTS DE RÉPARATION'!$L$4="TOUS",AM1170&lt;&gt;"ACCEPTÉ")),1,0)</f>
        <v>0</v>
      </c>
      <c r="AR1170" s="78" t="str">
        <f aca="false">IF(AQ1170=1,SUM(AQ$7:AQ1170),"")</f>
        <v/>
      </c>
    </row>
    <row r="1171" customFormat="false" ht="15" hidden="false" customHeight="false" outlineLevel="0" collapsed="false">
      <c r="A1171" s="78" t="str">
        <f aca="false">IF(E1171="","",ROW()-6)</f>
        <v/>
      </c>
      <c r="B1171" s="79"/>
      <c r="C1171" s="80"/>
      <c r="D1171" s="80"/>
      <c r="E1171" s="80"/>
      <c r="F1171" s="80"/>
      <c r="G1171" s="80"/>
      <c r="H1171" s="80"/>
      <c r="I1171" s="80"/>
      <c r="J1171" s="80"/>
      <c r="K1171" s="80"/>
      <c r="L1171" s="81" t="str">
        <f aca="false">IF(K1171="","",IFERROR(INDEX(BARDAGE!$C$7:$C$1506,MATCH(K1171,BARDAGE!$B$7:$B$1506,0)),"? hors registre"))</f>
        <v/>
      </c>
      <c r="M1171" s="80"/>
      <c r="N1171" s="81" t="str">
        <f aca="false">IF(M1171="","",IFERROR(INDEX(BARDAGE!$C$7:$C$1506,MATCH(M1171,BARDAGE!$B$7:$B$1506,0)),"? hors registre"))</f>
        <v/>
      </c>
      <c r="O1171" s="80"/>
      <c r="P1171" s="80"/>
      <c r="Q1171" s="80"/>
      <c r="R1171" s="82"/>
      <c r="S1171" s="82"/>
      <c r="T1171" s="80"/>
      <c r="U1171" s="80"/>
      <c r="V1171" s="82"/>
      <c r="W1171" s="80"/>
      <c r="X1171" s="80"/>
      <c r="Y1171" s="80"/>
      <c r="Z1171" s="80"/>
      <c r="AA1171" s="82"/>
      <c r="AB1171" s="80"/>
      <c r="AC1171" s="80"/>
      <c r="AD1171" s="80"/>
      <c r="AE1171" s="80"/>
      <c r="AF1171" s="82"/>
      <c r="AG1171" s="80"/>
      <c r="AH1171" s="80"/>
      <c r="AI1171" s="82"/>
      <c r="AJ1171" s="79"/>
      <c r="AK1171" s="78" t="str">
        <f aca="false">IF(E1171="","",(X1171&lt;&gt;"")+(AC1171&lt;&gt;"")+(AH1171&lt;&gt;""))</f>
        <v/>
      </c>
      <c r="AL1171" s="81" t="str">
        <f aca="false">IF(AH1171&lt;&gt;"",AH1171,IF(AC1171&lt;&gt;"",AC1171,IF(X1171&lt;&gt;"",X1171,"")))</f>
        <v/>
      </c>
      <c r="AM1171" s="83" t="str">
        <f aca="false">IF(E1171="","",IF(R1171="","À SOUDER",IF(U1171="","VT EN ATTENTE",IF(U1171="R","VT REJETÉ – À REPRENDRE",IF(AL1171="","À RADIOGRAPHIER",IF(AL1171="A","ACCEPTÉ",IF(AL1171="NX","NX – RT À REFAIRE",IF(IF(AK1171=1,Z1171,IF(AK1171=2,AE1171,""))="A","RÉPARÉ – À RADIOGRAPHIER",IF(IF(AK1171=1,Z1171,IF(AK1171=2,AE1171,""))="R","VT REJETÉ – À REPRENDRE",IF(OR(AL1171="CO",AL1171="NT"),"COUPE – À RESOUDER","À RÉPARER"))))))))))</f>
        <v/>
      </c>
      <c r="AN1171" s="81" t="str">
        <f aca="false">IF(AND(ISNUMBER(R1171),OR(AM1171="À RADIOGRAPHIER",AM1171="RÉPARÉ – À RADIOGRAPHIER",AM1171="NX – RT À REFAIRE",AM1171="À RÉPARER",AM1171="COUPE – À RESOUDER",AM1171="VT REJETÉ – À REPRENDRE")),MAX(0,'PROGRAMME RT'!$C$4-R1171),"")</f>
        <v/>
      </c>
      <c r="AO1171" s="78" t="n">
        <f aca="false">IF(AND(OR(AM1171="À RADIOGRAPHIER",AM1171="RÉPARÉ – À RADIOGRAPHIER",AM1171="NX – RT À REFAIRE"),OR('PROGRAMME RT'!$D$5="TOUTES",B1171='PROGRAMME RT'!$D$5)),1,0)</f>
        <v>0</v>
      </c>
      <c r="AP1171" s="78" t="str">
        <f aca="false">IF(AO1171=1,SUM(AO$7:AO1171),"")</f>
        <v/>
      </c>
      <c r="AQ1171" s="78" t="n">
        <f aca="false">IF(AND(OR(X1171="R",X1171="NX",X1171="NT",X1171="CO"),OR('JOINTS DE RÉPARATION'!$D$5="TOUTES",B1171='JOINTS DE RÉPARATION'!$D$5),OR('JOINTS DE RÉPARATION'!$L$4="TOUS",AM1171&lt;&gt;"ACCEPTÉ")),1,0)</f>
        <v>0</v>
      </c>
      <c r="AR1171" s="78" t="str">
        <f aca="false">IF(AQ1171=1,SUM(AQ$7:AQ1171),"")</f>
        <v/>
      </c>
    </row>
    <row r="1172" customFormat="false" ht="15" hidden="false" customHeight="false" outlineLevel="0" collapsed="false">
      <c r="A1172" s="78" t="str">
        <f aca="false">IF(E1172="","",ROW()-6)</f>
        <v/>
      </c>
      <c r="B1172" s="79"/>
      <c r="C1172" s="80"/>
      <c r="D1172" s="80"/>
      <c r="E1172" s="80"/>
      <c r="F1172" s="80"/>
      <c r="G1172" s="80"/>
      <c r="H1172" s="80"/>
      <c r="I1172" s="80"/>
      <c r="J1172" s="80"/>
      <c r="K1172" s="80"/>
      <c r="L1172" s="81" t="str">
        <f aca="false">IF(K1172="","",IFERROR(INDEX(BARDAGE!$C$7:$C$1506,MATCH(K1172,BARDAGE!$B$7:$B$1506,0)),"? hors registre"))</f>
        <v/>
      </c>
      <c r="M1172" s="80"/>
      <c r="N1172" s="81" t="str">
        <f aca="false">IF(M1172="","",IFERROR(INDEX(BARDAGE!$C$7:$C$1506,MATCH(M1172,BARDAGE!$B$7:$B$1506,0)),"? hors registre"))</f>
        <v/>
      </c>
      <c r="O1172" s="80"/>
      <c r="P1172" s="80"/>
      <c r="Q1172" s="80"/>
      <c r="R1172" s="82"/>
      <c r="S1172" s="82"/>
      <c r="T1172" s="80"/>
      <c r="U1172" s="80"/>
      <c r="V1172" s="82"/>
      <c r="W1172" s="80"/>
      <c r="X1172" s="80"/>
      <c r="Y1172" s="80"/>
      <c r="Z1172" s="80"/>
      <c r="AA1172" s="82"/>
      <c r="AB1172" s="80"/>
      <c r="AC1172" s="80"/>
      <c r="AD1172" s="80"/>
      <c r="AE1172" s="80"/>
      <c r="AF1172" s="82"/>
      <c r="AG1172" s="80"/>
      <c r="AH1172" s="80"/>
      <c r="AI1172" s="82"/>
      <c r="AJ1172" s="79"/>
      <c r="AK1172" s="78" t="str">
        <f aca="false">IF(E1172="","",(X1172&lt;&gt;"")+(AC1172&lt;&gt;"")+(AH1172&lt;&gt;""))</f>
        <v/>
      </c>
      <c r="AL1172" s="81" t="str">
        <f aca="false">IF(AH1172&lt;&gt;"",AH1172,IF(AC1172&lt;&gt;"",AC1172,IF(X1172&lt;&gt;"",X1172,"")))</f>
        <v/>
      </c>
      <c r="AM1172" s="83" t="str">
        <f aca="false">IF(E1172="","",IF(R1172="","À SOUDER",IF(U1172="","VT EN ATTENTE",IF(U1172="R","VT REJETÉ – À REPRENDRE",IF(AL1172="","À RADIOGRAPHIER",IF(AL1172="A","ACCEPTÉ",IF(AL1172="NX","NX – RT À REFAIRE",IF(IF(AK1172=1,Z1172,IF(AK1172=2,AE1172,""))="A","RÉPARÉ – À RADIOGRAPHIER",IF(IF(AK1172=1,Z1172,IF(AK1172=2,AE1172,""))="R","VT REJETÉ – À REPRENDRE",IF(OR(AL1172="CO",AL1172="NT"),"COUPE – À RESOUDER","À RÉPARER"))))))))))</f>
        <v/>
      </c>
      <c r="AN1172" s="81" t="str">
        <f aca="false">IF(AND(ISNUMBER(R1172),OR(AM1172="À RADIOGRAPHIER",AM1172="RÉPARÉ – À RADIOGRAPHIER",AM1172="NX – RT À REFAIRE",AM1172="À RÉPARER",AM1172="COUPE – À RESOUDER",AM1172="VT REJETÉ – À REPRENDRE")),MAX(0,'PROGRAMME RT'!$C$4-R1172),"")</f>
        <v/>
      </c>
      <c r="AO1172" s="78" t="n">
        <f aca="false">IF(AND(OR(AM1172="À RADIOGRAPHIER",AM1172="RÉPARÉ – À RADIOGRAPHIER",AM1172="NX – RT À REFAIRE"),OR('PROGRAMME RT'!$D$5="TOUTES",B1172='PROGRAMME RT'!$D$5)),1,0)</f>
        <v>0</v>
      </c>
      <c r="AP1172" s="78" t="str">
        <f aca="false">IF(AO1172=1,SUM(AO$7:AO1172),"")</f>
        <v/>
      </c>
      <c r="AQ1172" s="78" t="n">
        <f aca="false">IF(AND(OR(X1172="R",X1172="NX",X1172="NT",X1172="CO"),OR('JOINTS DE RÉPARATION'!$D$5="TOUTES",B1172='JOINTS DE RÉPARATION'!$D$5),OR('JOINTS DE RÉPARATION'!$L$4="TOUS",AM1172&lt;&gt;"ACCEPTÉ")),1,0)</f>
        <v>0</v>
      </c>
      <c r="AR1172" s="78" t="str">
        <f aca="false">IF(AQ1172=1,SUM(AQ$7:AQ1172),"")</f>
        <v/>
      </c>
    </row>
    <row r="1173" customFormat="false" ht="15" hidden="false" customHeight="false" outlineLevel="0" collapsed="false">
      <c r="A1173" s="78" t="str">
        <f aca="false">IF(E1173="","",ROW()-6)</f>
        <v/>
      </c>
      <c r="B1173" s="79"/>
      <c r="C1173" s="80"/>
      <c r="D1173" s="80"/>
      <c r="E1173" s="80"/>
      <c r="F1173" s="80"/>
      <c r="G1173" s="80"/>
      <c r="H1173" s="80"/>
      <c r="I1173" s="80"/>
      <c r="J1173" s="80"/>
      <c r="K1173" s="80"/>
      <c r="L1173" s="81" t="str">
        <f aca="false">IF(K1173="","",IFERROR(INDEX(BARDAGE!$C$7:$C$1506,MATCH(K1173,BARDAGE!$B$7:$B$1506,0)),"? hors registre"))</f>
        <v/>
      </c>
      <c r="M1173" s="80"/>
      <c r="N1173" s="81" t="str">
        <f aca="false">IF(M1173="","",IFERROR(INDEX(BARDAGE!$C$7:$C$1506,MATCH(M1173,BARDAGE!$B$7:$B$1506,0)),"? hors registre"))</f>
        <v/>
      </c>
      <c r="O1173" s="80"/>
      <c r="P1173" s="80"/>
      <c r="Q1173" s="80"/>
      <c r="R1173" s="82"/>
      <c r="S1173" s="82"/>
      <c r="T1173" s="80"/>
      <c r="U1173" s="80"/>
      <c r="V1173" s="82"/>
      <c r="W1173" s="80"/>
      <c r="X1173" s="80"/>
      <c r="Y1173" s="80"/>
      <c r="Z1173" s="80"/>
      <c r="AA1173" s="82"/>
      <c r="AB1173" s="80"/>
      <c r="AC1173" s="80"/>
      <c r="AD1173" s="80"/>
      <c r="AE1173" s="80"/>
      <c r="AF1173" s="82"/>
      <c r="AG1173" s="80"/>
      <c r="AH1173" s="80"/>
      <c r="AI1173" s="82"/>
      <c r="AJ1173" s="79"/>
      <c r="AK1173" s="78" t="str">
        <f aca="false">IF(E1173="","",(X1173&lt;&gt;"")+(AC1173&lt;&gt;"")+(AH1173&lt;&gt;""))</f>
        <v/>
      </c>
      <c r="AL1173" s="81" t="str">
        <f aca="false">IF(AH1173&lt;&gt;"",AH1173,IF(AC1173&lt;&gt;"",AC1173,IF(X1173&lt;&gt;"",X1173,"")))</f>
        <v/>
      </c>
      <c r="AM1173" s="83" t="str">
        <f aca="false">IF(E1173="","",IF(R1173="","À SOUDER",IF(U1173="","VT EN ATTENTE",IF(U1173="R","VT REJETÉ – À REPRENDRE",IF(AL1173="","À RADIOGRAPHIER",IF(AL1173="A","ACCEPTÉ",IF(AL1173="NX","NX – RT À REFAIRE",IF(IF(AK1173=1,Z1173,IF(AK1173=2,AE1173,""))="A","RÉPARÉ – À RADIOGRAPHIER",IF(IF(AK1173=1,Z1173,IF(AK1173=2,AE1173,""))="R","VT REJETÉ – À REPRENDRE",IF(OR(AL1173="CO",AL1173="NT"),"COUPE – À RESOUDER","À RÉPARER"))))))))))</f>
        <v/>
      </c>
      <c r="AN1173" s="81" t="str">
        <f aca="false">IF(AND(ISNUMBER(R1173),OR(AM1173="À RADIOGRAPHIER",AM1173="RÉPARÉ – À RADIOGRAPHIER",AM1173="NX – RT À REFAIRE",AM1173="À RÉPARER",AM1173="COUPE – À RESOUDER",AM1173="VT REJETÉ – À REPRENDRE")),MAX(0,'PROGRAMME RT'!$C$4-R1173),"")</f>
        <v/>
      </c>
      <c r="AO1173" s="78" t="n">
        <f aca="false">IF(AND(OR(AM1173="À RADIOGRAPHIER",AM1173="RÉPARÉ – À RADIOGRAPHIER",AM1173="NX – RT À REFAIRE"),OR('PROGRAMME RT'!$D$5="TOUTES",B1173='PROGRAMME RT'!$D$5)),1,0)</f>
        <v>0</v>
      </c>
      <c r="AP1173" s="78" t="str">
        <f aca="false">IF(AO1173=1,SUM(AO$7:AO1173),"")</f>
        <v/>
      </c>
      <c r="AQ1173" s="78" t="n">
        <f aca="false">IF(AND(OR(X1173="R",X1173="NX",X1173="NT",X1173="CO"),OR('JOINTS DE RÉPARATION'!$D$5="TOUTES",B1173='JOINTS DE RÉPARATION'!$D$5),OR('JOINTS DE RÉPARATION'!$L$4="TOUS",AM1173&lt;&gt;"ACCEPTÉ")),1,0)</f>
        <v>0</v>
      </c>
      <c r="AR1173" s="78" t="str">
        <f aca="false">IF(AQ1173=1,SUM(AQ$7:AQ1173),"")</f>
        <v/>
      </c>
    </row>
    <row r="1174" customFormat="false" ht="15" hidden="false" customHeight="false" outlineLevel="0" collapsed="false">
      <c r="A1174" s="78" t="str">
        <f aca="false">IF(E1174="","",ROW()-6)</f>
        <v/>
      </c>
      <c r="B1174" s="79"/>
      <c r="C1174" s="80"/>
      <c r="D1174" s="80"/>
      <c r="E1174" s="80"/>
      <c r="F1174" s="80"/>
      <c r="G1174" s="80"/>
      <c r="H1174" s="80"/>
      <c r="I1174" s="80"/>
      <c r="J1174" s="80"/>
      <c r="K1174" s="80"/>
      <c r="L1174" s="81" t="str">
        <f aca="false">IF(K1174="","",IFERROR(INDEX(BARDAGE!$C$7:$C$1506,MATCH(K1174,BARDAGE!$B$7:$B$1506,0)),"? hors registre"))</f>
        <v/>
      </c>
      <c r="M1174" s="80"/>
      <c r="N1174" s="81" t="str">
        <f aca="false">IF(M1174="","",IFERROR(INDEX(BARDAGE!$C$7:$C$1506,MATCH(M1174,BARDAGE!$B$7:$B$1506,0)),"? hors registre"))</f>
        <v/>
      </c>
      <c r="O1174" s="80"/>
      <c r="P1174" s="80"/>
      <c r="Q1174" s="80"/>
      <c r="R1174" s="82"/>
      <c r="S1174" s="82"/>
      <c r="T1174" s="80"/>
      <c r="U1174" s="80"/>
      <c r="V1174" s="82"/>
      <c r="W1174" s="80"/>
      <c r="X1174" s="80"/>
      <c r="Y1174" s="80"/>
      <c r="Z1174" s="80"/>
      <c r="AA1174" s="82"/>
      <c r="AB1174" s="80"/>
      <c r="AC1174" s="80"/>
      <c r="AD1174" s="80"/>
      <c r="AE1174" s="80"/>
      <c r="AF1174" s="82"/>
      <c r="AG1174" s="80"/>
      <c r="AH1174" s="80"/>
      <c r="AI1174" s="82"/>
      <c r="AJ1174" s="79"/>
      <c r="AK1174" s="78" t="str">
        <f aca="false">IF(E1174="","",(X1174&lt;&gt;"")+(AC1174&lt;&gt;"")+(AH1174&lt;&gt;""))</f>
        <v/>
      </c>
      <c r="AL1174" s="81" t="str">
        <f aca="false">IF(AH1174&lt;&gt;"",AH1174,IF(AC1174&lt;&gt;"",AC1174,IF(X1174&lt;&gt;"",X1174,"")))</f>
        <v/>
      </c>
      <c r="AM1174" s="83" t="str">
        <f aca="false">IF(E1174="","",IF(R1174="","À SOUDER",IF(U1174="","VT EN ATTENTE",IF(U1174="R","VT REJETÉ – À REPRENDRE",IF(AL1174="","À RADIOGRAPHIER",IF(AL1174="A","ACCEPTÉ",IF(AL1174="NX","NX – RT À REFAIRE",IF(IF(AK1174=1,Z1174,IF(AK1174=2,AE1174,""))="A","RÉPARÉ – À RADIOGRAPHIER",IF(IF(AK1174=1,Z1174,IF(AK1174=2,AE1174,""))="R","VT REJETÉ – À REPRENDRE",IF(OR(AL1174="CO",AL1174="NT"),"COUPE – À RESOUDER","À RÉPARER"))))))))))</f>
        <v/>
      </c>
      <c r="AN1174" s="81" t="str">
        <f aca="false">IF(AND(ISNUMBER(R1174),OR(AM1174="À RADIOGRAPHIER",AM1174="RÉPARÉ – À RADIOGRAPHIER",AM1174="NX – RT À REFAIRE",AM1174="À RÉPARER",AM1174="COUPE – À RESOUDER",AM1174="VT REJETÉ – À REPRENDRE")),MAX(0,'PROGRAMME RT'!$C$4-R1174),"")</f>
        <v/>
      </c>
      <c r="AO1174" s="78" t="n">
        <f aca="false">IF(AND(OR(AM1174="À RADIOGRAPHIER",AM1174="RÉPARÉ – À RADIOGRAPHIER",AM1174="NX – RT À REFAIRE"),OR('PROGRAMME RT'!$D$5="TOUTES",B1174='PROGRAMME RT'!$D$5)),1,0)</f>
        <v>0</v>
      </c>
      <c r="AP1174" s="78" t="str">
        <f aca="false">IF(AO1174=1,SUM(AO$7:AO1174),"")</f>
        <v/>
      </c>
      <c r="AQ1174" s="78" t="n">
        <f aca="false">IF(AND(OR(X1174="R",X1174="NX",X1174="NT",X1174="CO"),OR('JOINTS DE RÉPARATION'!$D$5="TOUTES",B1174='JOINTS DE RÉPARATION'!$D$5),OR('JOINTS DE RÉPARATION'!$L$4="TOUS",AM1174&lt;&gt;"ACCEPTÉ")),1,0)</f>
        <v>0</v>
      </c>
      <c r="AR1174" s="78" t="str">
        <f aca="false">IF(AQ1174=1,SUM(AQ$7:AQ1174),"")</f>
        <v/>
      </c>
    </row>
    <row r="1175" customFormat="false" ht="15" hidden="false" customHeight="false" outlineLevel="0" collapsed="false">
      <c r="A1175" s="78" t="str">
        <f aca="false">IF(E1175="","",ROW()-6)</f>
        <v/>
      </c>
      <c r="B1175" s="79"/>
      <c r="C1175" s="80"/>
      <c r="D1175" s="80"/>
      <c r="E1175" s="80"/>
      <c r="F1175" s="80"/>
      <c r="G1175" s="80"/>
      <c r="H1175" s="80"/>
      <c r="I1175" s="80"/>
      <c r="J1175" s="80"/>
      <c r="K1175" s="80"/>
      <c r="L1175" s="81" t="str">
        <f aca="false">IF(K1175="","",IFERROR(INDEX(BARDAGE!$C$7:$C$1506,MATCH(K1175,BARDAGE!$B$7:$B$1506,0)),"? hors registre"))</f>
        <v/>
      </c>
      <c r="M1175" s="80"/>
      <c r="N1175" s="81" t="str">
        <f aca="false">IF(M1175="","",IFERROR(INDEX(BARDAGE!$C$7:$C$1506,MATCH(M1175,BARDAGE!$B$7:$B$1506,0)),"? hors registre"))</f>
        <v/>
      </c>
      <c r="O1175" s="80"/>
      <c r="P1175" s="80"/>
      <c r="Q1175" s="80"/>
      <c r="R1175" s="82"/>
      <c r="S1175" s="82"/>
      <c r="T1175" s="80"/>
      <c r="U1175" s="80"/>
      <c r="V1175" s="82"/>
      <c r="W1175" s="80"/>
      <c r="X1175" s="80"/>
      <c r="Y1175" s="80"/>
      <c r="Z1175" s="80"/>
      <c r="AA1175" s="82"/>
      <c r="AB1175" s="80"/>
      <c r="AC1175" s="80"/>
      <c r="AD1175" s="80"/>
      <c r="AE1175" s="80"/>
      <c r="AF1175" s="82"/>
      <c r="AG1175" s="80"/>
      <c r="AH1175" s="80"/>
      <c r="AI1175" s="82"/>
      <c r="AJ1175" s="79"/>
      <c r="AK1175" s="78" t="str">
        <f aca="false">IF(E1175="","",(X1175&lt;&gt;"")+(AC1175&lt;&gt;"")+(AH1175&lt;&gt;""))</f>
        <v/>
      </c>
      <c r="AL1175" s="81" t="str">
        <f aca="false">IF(AH1175&lt;&gt;"",AH1175,IF(AC1175&lt;&gt;"",AC1175,IF(X1175&lt;&gt;"",X1175,"")))</f>
        <v/>
      </c>
      <c r="AM1175" s="83" t="str">
        <f aca="false">IF(E1175="","",IF(R1175="","À SOUDER",IF(U1175="","VT EN ATTENTE",IF(U1175="R","VT REJETÉ – À REPRENDRE",IF(AL1175="","À RADIOGRAPHIER",IF(AL1175="A","ACCEPTÉ",IF(AL1175="NX","NX – RT À REFAIRE",IF(IF(AK1175=1,Z1175,IF(AK1175=2,AE1175,""))="A","RÉPARÉ – À RADIOGRAPHIER",IF(IF(AK1175=1,Z1175,IF(AK1175=2,AE1175,""))="R","VT REJETÉ – À REPRENDRE",IF(OR(AL1175="CO",AL1175="NT"),"COUPE – À RESOUDER","À RÉPARER"))))))))))</f>
        <v/>
      </c>
      <c r="AN1175" s="81" t="str">
        <f aca="false">IF(AND(ISNUMBER(R1175),OR(AM1175="À RADIOGRAPHIER",AM1175="RÉPARÉ – À RADIOGRAPHIER",AM1175="NX – RT À REFAIRE",AM1175="À RÉPARER",AM1175="COUPE – À RESOUDER",AM1175="VT REJETÉ – À REPRENDRE")),MAX(0,'PROGRAMME RT'!$C$4-R1175),"")</f>
        <v/>
      </c>
      <c r="AO1175" s="78" t="n">
        <f aca="false">IF(AND(OR(AM1175="À RADIOGRAPHIER",AM1175="RÉPARÉ – À RADIOGRAPHIER",AM1175="NX – RT À REFAIRE"),OR('PROGRAMME RT'!$D$5="TOUTES",B1175='PROGRAMME RT'!$D$5)),1,0)</f>
        <v>0</v>
      </c>
      <c r="AP1175" s="78" t="str">
        <f aca="false">IF(AO1175=1,SUM(AO$7:AO1175),"")</f>
        <v/>
      </c>
      <c r="AQ1175" s="78" t="n">
        <f aca="false">IF(AND(OR(X1175="R",X1175="NX",X1175="NT",X1175="CO"),OR('JOINTS DE RÉPARATION'!$D$5="TOUTES",B1175='JOINTS DE RÉPARATION'!$D$5),OR('JOINTS DE RÉPARATION'!$L$4="TOUS",AM1175&lt;&gt;"ACCEPTÉ")),1,0)</f>
        <v>0</v>
      </c>
      <c r="AR1175" s="78" t="str">
        <f aca="false">IF(AQ1175=1,SUM(AQ$7:AQ1175),"")</f>
        <v/>
      </c>
    </row>
    <row r="1176" customFormat="false" ht="15" hidden="false" customHeight="false" outlineLevel="0" collapsed="false">
      <c r="A1176" s="78" t="str">
        <f aca="false">IF(E1176="","",ROW()-6)</f>
        <v/>
      </c>
      <c r="B1176" s="79"/>
      <c r="C1176" s="80"/>
      <c r="D1176" s="80"/>
      <c r="E1176" s="80"/>
      <c r="F1176" s="80"/>
      <c r="G1176" s="80"/>
      <c r="H1176" s="80"/>
      <c r="I1176" s="80"/>
      <c r="J1176" s="80"/>
      <c r="K1176" s="80"/>
      <c r="L1176" s="81" t="str">
        <f aca="false">IF(K1176="","",IFERROR(INDEX(BARDAGE!$C$7:$C$1506,MATCH(K1176,BARDAGE!$B$7:$B$1506,0)),"? hors registre"))</f>
        <v/>
      </c>
      <c r="M1176" s="80"/>
      <c r="N1176" s="81" t="str">
        <f aca="false">IF(M1176="","",IFERROR(INDEX(BARDAGE!$C$7:$C$1506,MATCH(M1176,BARDAGE!$B$7:$B$1506,0)),"? hors registre"))</f>
        <v/>
      </c>
      <c r="O1176" s="80"/>
      <c r="P1176" s="80"/>
      <c r="Q1176" s="80"/>
      <c r="R1176" s="82"/>
      <c r="S1176" s="82"/>
      <c r="T1176" s="80"/>
      <c r="U1176" s="80"/>
      <c r="V1176" s="82"/>
      <c r="W1176" s="80"/>
      <c r="X1176" s="80"/>
      <c r="Y1176" s="80"/>
      <c r="Z1176" s="80"/>
      <c r="AA1176" s="82"/>
      <c r="AB1176" s="80"/>
      <c r="AC1176" s="80"/>
      <c r="AD1176" s="80"/>
      <c r="AE1176" s="80"/>
      <c r="AF1176" s="82"/>
      <c r="AG1176" s="80"/>
      <c r="AH1176" s="80"/>
      <c r="AI1176" s="82"/>
      <c r="AJ1176" s="79"/>
      <c r="AK1176" s="78" t="str">
        <f aca="false">IF(E1176="","",(X1176&lt;&gt;"")+(AC1176&lt;&gt;"")+(AH1176&lt;&gt;""))</f>
        <v/>
      </c>
      <c r="AL1176" s="81" t="str">
        <f aca="false">IF(AH1176&lt;&gt;"",AH1176,IF(AC1176&lt;&gt;"",AC1176,IF(X1176&lt;&gt;"",X1176,"")))</f>
        <v/>
      </c>
      <c r="AM1176" s="83" t="str">
        <f aca="false">IF(E1176="","",IF(R1176="","À SOUDER",IF(U1176="","VT EN ATTENTE",IF(U1176="R","VT REJETÉ – À REPRENDRE",IF(AL1176="","À RADIOGRAPHIER",IF(AL1176="A","ACCEPTÉ",IF(AL1176="NX","NX – RT À REFAIRE",IF(IF(AK1176=1,Z1176,IF(AK1176=2,AE1176,""))="A","RÉPARÉ – À RADIOGRAPHIER",IF(IF(AK1176=1,Z1176,IF(AK1176=2,AE1176,""))="R","VT REJETÉ – À REPRENDRE",IF(OR(AL1176="CO",AL1176="NT"),"COUPE – À RESOUDER","À RÉPARER"))))))))))</f>
        <v/>
      </c>
      <c r="AN1176" s="81" t="str">
        <f aca="false">IF(AND(ISNUMBER(R1176),OR(AM1176="À RADIOGRAPHIER",AM1176="RÉPARÉ – À RADIOGRAPHIER",AM1176="NX – RT À REFAIRE",AM1176="À RÉPARER",AM1176="COUPE – À RESOUDER",AM1176="VT REJETÉ – À REPRENDRE")),MAX(0,'PROGRAMME RT'!$C$4-R1176),"")</f>
        <v/>
      </c>
      <c r="AO1176" s="78" t="n">
        <f aca="false">IF(AND(OR(AM1176="À RADIOGRAPHIER",AM1176="RÉPARÉ – À RADIOGRAPHIER",AM1176="NX – RT À REFAIRE"),OR('PROGRAMME RT'!$D$5="TOUTES",B1176='PROGRAMME RT'!$D$5)),1,0)</f>
        <v>0</v>
      </c>
      <c r="AP1176" s="78" t="str">
        <f aca="false">IF(AO1176=1,SUM(AO$7:AO1176),"")</f>
        <v/>
      </c>
      <c r="AQ1176" s="78" t="n">
        <f aca="false">IF(AND(OR(X1176="R",X1176="NX",X1176="NT",X1176="CO"),OR('JOINTS DE RÉPARATION'!$D$5="TOUTES",B1176='JOINTS DE RÉPARATION'!$D$5),OR('JOINTS DE RÉPARATION'!$L$4="TOUS",AM1176&lt;&gt;"ACCEPTÉ")),1,0)</f>
        <v>0</v>
      </c>
      <c r="AR1176" s="78" t="str">
        <f aca="false">IF(AQ1176=1,SUM(AQ$7:AQ1176),"")</f>
        <v/>
      </c>
    </row>
    <row r="1177" customFormat="false" ht="15" hidden="false" customHeight="false" outlineLevel="0" collapsed="false">
      <c r="A1177" s="78" t="str">
        <f aca="false">IF(E1177="","",ROW()-6)</f>
        <v/>
      </c>
      <c r="B1177" s="79"/>
      <c r="C1177" s="80"/>
      <c r="D1177" s="80"/>
      <c r="E1177" s="80"/>
      <c r="F1177" s="80"/>
      <c r="G1177" s="80"/>
      <c r="H1177" s="80"/>
      <c r="I1177" s="80"/>
      <c r="J1177" s="80"/>
      <c r="K1177" s="80"/>
      <c r="L1177" s="81" t="str">
        <f aca="false">IF(K1177="","",IFERROR(INDEX(BARDAGE!$C$7:$C$1506,MATCH(K1177,BARDAGE!$B$7:$B$1506,0)),"? hors registre"))</f>
        <v/>
      </c>
      <c r="M1177" s="80"/>
      <c r="N1177" s="81" t="str">
        <f aca="false">IF(M1177="","",IFERROR(INDEX(BARDAGE!$C$7:$C$1506,MATCH(M1177,BARDAGE!$B$7:$B$1506,0)),"? hors registre"))</f>
        <v/>
      </c>
      <c r="O1177" s="80"/>
      <c r="P1177" s="80"/>
      <c r="Q1177" s="80"/>
      <c r="R1177" s="82"/>
      <c r="S1177" s="82"/>
      <c r="T1177" s="80"/>
      <c r="U1177" s="80"/>
      <c r="V1177" s="82"/>
      <c r="W1177" s="80"/>
      <c r="X1177" s="80"/>
      <c r="Y1177" s="80"/>
      <c r="Z1177" s="80"/>
      <c r="AA1177" s="82"/>
      <c r="AB1177" s="80"/>
      <c r="AC1177" s="80"/>
      <c r="AD1177" s="80"/>
      <c r="AE1177" s="80"/>
      <c r="AF1177" s="82"/>
      <c r="AG1177" s="80"/>
      <c r="AH1177" s="80"/>
      <c r="AI1177" s="82"/>
      <c r="AJ1177" s="79"/>
      <c r="AK1177" s="78" t="str">
        <f aca="false">IF(E1177="","",(X1177&lt;&gt;"")+(AC1177&lt;&gt;"")+(AH1177&lt;&gt;""))</f>
        <v/>
      </c>
      <c r="AL1177" s="81" t="str">
        <f aca="false">IF(AH1177&lt;&gt;"",AH1177,IF(AC1177&lt;&gt;"",AC1177,IF(X1177&lt;&gt;"",X1177,"")))</f>
        <v/>
      </c>
      <c r="AM1177" s="83" t="str">
        <f aca="false">IF(E1177="","",IF(R1177="","À SOUDER",IF(U1177="","VT EN ATTENTE",IF(U1177="R","VT REJETÉ – À REPRENDRE",IF(AL1177="","À RADIOGRAPHIER",IF(AL1177="A","ACCEPTÉ",IF(AL1177="NX","NX – RT À REFAIRE",IF(IF(AK1177=1,Z1177,IF(AK1177=2,AE1177,""))="A","RÉPARÉ – À RADIOGRAPHIER",IF(IF(AK1177=1,Z1177,IF(AK1177=2,AE1177,""))="R","VT REJETÉ – À REPRENDRE",IF(OR(AL1177="CO",AL1177="NT"),"COUPE – À RESOUDER","À RÉPARER"))))))))))</f>
        <v/>
      </c>
      <c r="AN1177" s="81" t="str">
        <f aca="false">IF(AND(ISNUMBER(R1177),OR(AM1177="À RADIOGRAPHIER",AM1177="RÉPARÉ – À RADIOGRAPHIER",AM1177="NX – RT À REFAIRE",AM1177="À RÉPARER",AM1177="COUPE – À RESOUDER",AM1177="VT REJETÉ – À REPRENDRE")),MAX(0,'PROGRAMME RT'!$C$4-R1177),"")</f>
        <v/>
      </c>
      <c r="AO1177" s="78" t="n">
        <f aca="false">IF(AND(OR(AM1177="À RADIOGRAPHIER",AM1177="RÉPARÉ – À RADIOGRAPHIER",AM1177="NX – RT À REFAIRE"),OR('PROGRAMME RT'!$D$5="TOUTES",B1177='PROGRAMME RT'!$D$5)),1,0)</f>
        <v>0</v>
      </c>
      <c r="AP1177" s="78" t="str">
        <f aca="false">IF(AO1177=1,SUM(AO$7:AO1177),"")</f>
        <v/>
      </c>
      <c r="AQ1177" s="78" t="n">
        <f aca="false">IF(AND(OR(X1177="R",X1177="NX",X1177="NT",X1177="CO"),OR('JOINTS DE RÉPARATION'!$D$5="TOUTES",B1177='JOINTS DE RÉPARATION'!$D$5),OR('JOINTS DE RÉPARATION'!$L$4="TOUS",AM1177&lt;&gt;"ACCEPTÉ")),1,0)</f>
        <v>0</v>
      </c>
      <c r="AR1177" s="78" t="str">
        <f aca="false">IF(AQ1177=1,SUM(AQ$7:AQ1177),"")</f>
        <v/>
      </c>
    </row>
    <row r="1178" customFormat="false" ht="15" hidden="false" customHeight="false" outlineLevel="0" collapsed="false">
      <c r="A1178" s="78" t="str">
        <f aca="false">IF(E1178="","",ROW()-6)</f>
        <v/>
      </c>
      <c r="B1178" s="79"/>
      <c r="C1178" s="80"/>
      <c r="D1178" s="80"/>
      <c r="E1178" s="80"/>
      <c r="F1178" s="80"/>
      <c r="G1178" s="80"/>
      <c r="H1178" s="80"/>
      <c r="I1178" s="80"/>
      <c r="J1178" s="80"/>
      <c r="K1178" s="80"/>
      <c r="L1178" s="81" t="str">
        <f aca="false">IF(K1178="","",IFERROR(INDEX(BARDAGE!$C$7:$C$1506,MATCH(K1178,BARDAGE!$B$7:$B$1506,0)),"? hors registre"))</f>
        <v/>
      </c>
      <c r="M1178" s="80"/>
      <c r="N1178" s="81" t="str">
        <f aca="false">IF(M1178="","",IFERROR(INDEX(BARDAGE!$C$7:$C$1506,MATCH(M1178,BARDAGE!$B$7:$B$1506,0)),"? hors registre"))</f>
        <v/>
      </c>
      <c r="O1178" s="80"/>
      <c r="P1178" s="80"/>
      <c r="Q1178" s="80"/>
      <c r="R1178" s="82"/>
      <c r="S1178" s="82"/>
      <c r="T1178" s="80"/>
      <c r="U1178" s="80"/>
      <c r="V1178" s="82"/>
      <c r="W1178" s="80"/>
      <c r="X1178" s="80"/>
      <c r="Y1178" s="80"/>
      <c r="Z1178" s="80"/>
      <c r="AA1178" s="82"/>
      <c r="AB1178" s="80"/>
      <c r="AC1178" s="80"/>
      <c r="AD1178" s="80"/>
      <c r="AE1178" s="80"/>
      <c r="AF1178" s="82"/>
      <c r="AG1178" s="80"/>
      <c r="AH1178" s="80"/>
      <c r="AI1178" s="82"/>
      <c r="AJ1178" s="79"/>
      <c r="AK1178" s="78" t="str">
        <f aca="false">IF(E1178="","",(X1178&lt;&gt;"")+(AC1178&lt;&gt;"")+(AH1178&lt;&gt;""))</f>
        <v/>
      </c>
      <c r="AL1178" s="81" t="str">
        <f aca="false">IF(AH1178&lt;&gt;"",AH1178,IF(AC1178&lt;&gt;"",AC1178,IF(X1178&lt;&gt;"",X1178,"")))</f>
        <v/>
      </c>
      <c r="AM1178" s="83" t="str">
        <f aca="false">IF(E1178="","",IF(R1178="","À SOUDER",IF(U1178="","VT EN ATTENTE",IF(U1178="R","VT REJETÉ – À REPRENDRE",IF(AL1178="","À RADIOGRAPHIER",IF(AL1178="A","ACCEPTÉ",IF(AL1178="NX","NX – RT À REFAIRE",IF(IF(AK1178=1,Z1178,IF(AK1178=2,AE1178,""))="A","RÉPARÉ – À RADIOGRAPHIER",IF(IF(AK1178=1,Z1178,IF(AK1178=2,AE1178,""))="R","VT REJETÉ – À REPRENDRE",IF(OR(AL1178="CO",AL1178="NT"),"COUPE – À RESOUDER","À RÉPARER"))))))))))</f>
        <v/>
      </c>
      <c r="AN1178" s="81" t="str">
        <f aca="false">IF(AND(ISNUMBER(R1178),OR(AM1178="À RADIOGRAPHIER",AM1178="RÉPARÉ – À RADIOGRAPHIER",AM1178="NX – RT À REFAIRE",AM1178="À RÉPARER",AM1178="COUPE – À RESOUDER",AM1178="VT REJETÉ – À REPRENDRE")),MAX(0,'PROGRAMME RT'!$C$4-R1178),"")</f>
        <v/>
      </c>
      <c r="AO1178" s="78" t="n">
        <f aca="false">IF(AND(OR(AM1178="À RADIOGRAPHIER",AM1178="RÉPARÉ – À RADIOGRAPHIER",AM1178="NX – RT À REFAIRE"),OR('PROGRAMME RT'!$D$5="TOUTES",B1178='PROGRAMME RT'!$D$5)),1,0)</f>
        <v>0</v>
      </c>
      <c r="AP1178" s="78" t="str">
        <f aca="false">IF(AO1178=1,SUM(AO$7:AO1178),"")</f>
        <v/>
      </c>
      <c r="AQ1178" s="78" t="n">
        <f aca="false">IF(AND(OR(X1178="R",X1178="NX",X1178="NT",X1178="CO"),OR('JOINTS DE RÉPARATION'!$D$5="TOUTES",B1178='JOINTS DE RÉPARATION'!$D$5),OR('JOINTS DE RÉPARATION'!$L$4="TOUS",AM1178&lt;&gt;"ACCEPTÉ")),1,0)</f>
        <v>0</v>
      </c>
      <c r="AR1178" s="78" t="str">
        <f aca="false">IF(AQ1178=1,SUM(AQ$7:AQ1178),"")</f>
        <v/>
      </c>
    </row>
    <row r="1179" customFormat="false" ht="15" hidden="false" customHeight="false" outlineLevel="0" collapsed="false">
      <c r="A1179" s="78" t="str">
        <f aca="false">IF(E1179="","",ROW()-6)</f>
        <v/>
      </c>
      <c r="B1179" s="79"/>
      <c r="C1179" s="80"/>
      <c r="D1179" s="80"/>
      <c r="E1179" s="80"/>
      <c r="F1179" s="80"/>
      <c r="G1179" s="80"/>
      <c r="H1179" s="80"/>
      <c r="I1179" s="80"/>
      <c r="J1179" s="80"/>
      <c r="K1179" s="80"/>
      <c r="L1179" s="81" t="str">
        <f aca="false">IF(K1179="","",IFERROR(INDEX(BARDAGE!$C$7:$C$1506,MATCH(K1179,BARDAGE!$B$7:$B$1506,0)),"? hors registre"))</f>
        <v/>
      </c>
      <c r="M1179" s="80"/>
      <c r="N1179" s="81" t="str">
        <f aca="false">IF(M1179="","",IFERROR(INDEX(BARDAGE!$C$7:$C$1506,MATCH(M1179,BARDAGE!$B$7:$B$1506,0)),"? hors registre"))</f>
        <v/>
      </c>
      <c r="O1179" s="80"/>
      <c r="P1179" s="80"/>
      <c r="Q1179" s="80"/>
      <c r="R1179" s="82"/>
      <c r="S1179" s="82"/>
      <c r="T1179" s="80"/>
      <c r="U1179" s="80"/>
      <c r="V1179" s="82"/>
      <c r="W1179" s="80"/>
      <c r="X1179" s="80"/>
      <c r="Y1179" s="80"/>
      <c r="Z1179" s="80"/>
      <c r="AA1179" s="82"/>
      <c r="AB1179" s="80"/>
      <c r="AC1179" s="80"/>
      <c r="AD1179" s="80"/>
      <c r="AE1179" s="80"/>
      <c r="AF1179" s="82"/>
      <c r="AG1179" s="80"/>
      <c r="AH1179" s="80"/>
      <c r="AI1179" s="82"/>
      <c r="AJ1179" s="79"/>
      <c r="AK1179" s="78" t="str">
        <f aca="false">IF(E1179="","",(X1179&lt;&gt;"")+(AC1179&lt;&gt;"")+(AH1179&lt;&gt;""))</f>
        <v/>
      </c>
      <c r="AL1179" s="81" t="str">
        <f aca="false">IF(AH1179&lt;&gt;"",AH1179,IF(AC1179&lt;&gt;"",AC1179,IF(X1179&lt;&gt;"",X1179,"")))</f>
        <v/>
      </c>
      <c r="AM1179" s="83" t="str">
        <f aca="false">IF(E1179="","",IF(R1179="","À SOUDER",IF(U1179="","VT EN ATTENTE",IF(U1179="R","VT REJETÉ – À REPRENDRE",IF(AL1179="","À RADIOGRAPHIER",IF(AL1179="A","ACCEPTÉ",IF(AL1179="NX","NX – RT À REFAIRE",IF(IF(AK1179=1,Z1179,IF(AK1179=2,AE1179,""))="A","RÉPARÉ – À RADIOGRAPHIER",IF(IF(AK1179=1,Z1179,IF(AK1179=2,AE1179,""))="R","VT REJETÉ – À REPRENDRE",IF(OR(AL1179="CO",AL1179="NT"),"COUPE – À RESOUDER","À RÉPARER"))))))))))</f>
        <v/>
      </c>
      <c r="AN1179" s="81" t="str">
        <f aca="false">IF(AND(ISNUMBER(R1179),OR(AM1179="À RADIOGRAPHIER",AM1179="RÉPARÉ – À RADIOGRAPHIER",AM1179="NX – RT À REFAIRE",AM1179="À RÉPARER",AM1179="COUPE – À RESOUDER",AM1179="VT REJETÉ – À REPRENDRE")),MAX(0,'PROGRAMME RT'!$C$4-R1179),"")</f>
        <v/>
      </c>
      <c r="AO1179" s="78" t="n">
        <f aca="false">IF(AND(OR(AM1179="À RADIOGRAPHIER",AM1179="RÉPARÉ – À RADIOGRAPHIER",AM1179="NX – RT À REFAIRE"),OR('PROGRAMME RT'!$D$5="TOUTES",B1179='PROGRAMME RT'!$D$5)),1,0)</f>
        <v>0</v>
      </c>
      <c r="AP1179" s="78" t="str">
        <f aca="false">IF(AO1179=1,SUM(AO$7:AO1179),"")</f>
        <v/>
      </c>
      <c r="AQ1179" s="78" t="n">
        <f aca="false">IF(AND(OR(X1179="R",X1179="NX",X1179="NT",X1179="CO"),OR('JOINTS DE RÉPARATION'!$D$5="TOUTES",B1179='JOINTS DE RÉPARATION'!$D$5),OR('JOINTS DE RÉPARATION'!$L$4="TOUS",AM1179&lt;&gt;"ACCEPTÉ")),1,0)</f>
        <v>0</v>
      </c>
      <c r="AR1179" s="78" t="str">
        <f aca="false">IF(AQ1179=1,SUM(AQ$7:AQ1179),"")</f>
        <v/>
      </c>
    </row>
    <row r="1180" customFormat="false" ht="15" hidden="false" customHeight="false" outlineLevel="0" collapsed="false">
      <c r="A1180" s="78" t="str">
        <f aca="false">IF(E1180="","",ROW()-6)</f>
        <v/>
      </c>
      <c r="B1180" s="79"/>
      <c r="C1180" s="80"/>
      <c r="D1180" s="80"/>
      <c r="E1180" s="80"/>
      <c r="F1180" s="80"/>
      <c r="G1180" s="80"/>
      <c r="H1180" s="80"/>
      <c r="I1180" s="80"/>
      <c r="J1180" s="80"/>
      <c r="K1180" s="80"/>
      <c r="L1180" s="81" t="str">
        <f aca="false">IF(K1180="","",IFERROR(INDEX(BARDAGE!$C$7:$C$1506,MATCH(K1180,BARDAGE!$B$7:$B$1506,0)),"? hors registre"))</f>
        <v/>
      </c>
      <c r="M1180" s="80"/>
      <c r="N1180" s="81" t="str">
        <f aca="false">IF(M1180="","",IFERROR(INDEX(BARDAGE!$C$7:$C$1506,MATCH(M1180,BARDAGE!$B$7:$B$1506,0)),"? hors registre"))</f>
        <v/>
      </c>
      <c r="O1180" s="80"/>
      <c r="P1180" s="80"/>
      <c r="Q1180" s="80"/>
      <c r="R1180" s="82"/>
      <c r="S1180" s="82"/>
      <c r="T1180" s="80"/>
      <c r="U1180" s="80"/>
      <c r="V1180" s="82"/>
      <c r="W1180" s="80"/>
      <c r="X1180" s="80"/>
      <c r="Y1180" s="80"/>
      <c r="Z1180" s="80"/>
      <c r="AA1180" s="82"/>
      <c r="AB1180" s="80"/>
      <c r="AC1180" s="80"/>
      <c r="AD1180" s="80"/>
      <c r="AE1180" s="80"/>
      <c r="AF1180" s="82"/>
      <c r="AG1180" s="80"/>
      <c r="AH1180" s="80"/>
      <c r="AI1180" s="82"/>
      <c r="AJ1180" s="79"/>
      <c r="AK1180" s="78" t="str">
        <f aca="false">IF(E1180="","",(X1180&lt;&gt;"")+(AC1180&lt;&gt;"")+(AH1180&lt;&gt;""))</f>
        <v/>
      </c>
      <c r="AL1180" s="81" t="str">
        <f aca="false">IF(AH1180&lt;&gt;"",AH1180,IF(AC1180&lt;&gt;"",AC1180,IF(X1180&lt;&gt;"",X1180,"")))</f>
        <v/>
      </c>
      <c r="AM1180" s="83" t="str">
        <f aca="false">IF(E1180="","",IF(R1180="","À SOUDER",IF(U1180="","VT EN ATTENTE",IF(U1180="R","VT REJETÉ – À REPRENDRE",IF(AL1180="","À RADIOGRAPHIER",IF(AL1180="A","ACCEPTÉ",IF(AL1180="NX","NX – RT À REFAIRE",IF(IF(AK1180=1,Z1180,IF(AK1180=2,AE1180,""))="A","RÉPARÉ – À RADIOGRAPHIER",IF(IF(AK1180=1,Z1180,IF(AK1180=2,AE1180,""))="R","VT REJETÉ – À REPRENDRE",IF(OR(AL1180="CO",AL1180="NT"),"COUPE – À RESOUDER","À RÉPARER"))))))))))</f>
        <v/>
      </c>
      <c r="AN1180" s="81" t="str">
        <f aca="false">IF(AND(ISNUMBER(R1180),OR(AM1180="À RADIOGRAPHIER",AM1180="RÉPARÉ – À RADIOGRAPHIER",AM1180="NX – RT À REFAIRE",AM1180="À RÉPARER",AM1180="COUPE – À RESOUDER",AM1180="VT REJETÉ – À REPRENDRE")),MAX(0,'PROGRAMME RT'!$C$4-R1180),"")</f>
        <v/>
      </c>
      <c r="AO1180" s="78" t="n">
        <f aca="false">IF(AND(OR(AM1180="À RADIOGRAPHIER",AM1180="RÉPARÉ – À RADIOGRAPHIER",AM1180="NX – RT À REFAIRE"),OR('PROGRAMME RT'!$D$5="TOUTES",B1180='PROGRAMME RT'!$D$5)),1,0)</f>
        <v>0</v>
      </c>
      <c r="AP1180" s="78" t="str">
        <f aca="false">IF(AO1180=1,SUM(AO$7:AO1180),"")</f>
        <v/>
      </c>
      <c r="AQ1180" s="78" t="n">
        <f aca="false">IF(AND(OR(X1180="R",X1180="NX",X1180="NT",X1180="CO"),OR('JOINTS DE RÉPARATION'!$D$5="TOUTES",B1180='JOINTS DE RÉPARATION'!$D$5),OR('JOINTS DE RÉPARATION'!$L$4="TOUS",AM1180&lt;&gt;"ACCEPTÉ")),1,0)</f>
        <v>0</v>
      </c>
      <c r="AR1180" s="78" t="str">
        <f aca="false">IF(AQ1180=1,SUM(AQ$7:AQ1180),"")</f>
        <v/>
      </c>
    </row>
    <row r="1181" customFormat="false" ht="15" hidden="false" customHeight="false" outlineLevel="0" collapsed="false">
      <c r="A1181" s="78" t="str">
        <f aca="false">IF(E1181="","",ROW()-6)</f>
        <v/>
      </c>
      <c r="B1181" s="79"/>
      <c r="C1181" s="80"/>
      <c r="D1181" s="80"/>
      <c r="E1181" s="80"/>
      <c r="F1181" s="80"/>
      <c r="G1181" s="80"/>
      <c r="H1181" s="80"/>
      <c r="I1181" s="80"/>
      <c r="J1181" s="80"/>
      <c r="K1181" s="80"/>
      <c r="L1181" s="81" t="str">
        <f aca="false">IF(K1181="","",IFERROR(INDEX(BARDAGE!$C$7:$C$1506,MATCH(K1181,BARDAGE!$B$7:$B$1506,0)),"? hors registre"))</f>
        <v/>
      </c>
      <c r="M1181" s="80"/>
      <c r="N1181" s="81" t="str">
        <f aca="false">IF(M1181="","",IFERROR(INDEX(BARDAGE!$C$7:$C$1506,MATCH(M1181,BARDAGE!$B$7:$B$1506,0)),"? hors registre"))</f>
        <v/>
      </c>
      <c r="O1181" s="80"/>
      <c r="P1181" s="80"/>
      <c r="Q1181" s="80"/>
      <c r="R1181" s="82"/>
      <c r="S1181" s="82"/>
      <c r="T1181" s="80"/>
      <c r="U1181" s="80"/>
      <c r="V1181" s="82"/>
      <c r="W1181" s="80"/>
      <c r="X1181" s="80"/>
      <c r="Y1181" s="80"/>
      <c r="Z1181" s="80"/>
      <c r="AA1181" s="82"/>
      <c r="AB1181" s="80"/>
      <c r="AC1181" s="80"/>
      <c r="AD1181" s="80"/>
      <c r="AE1181" s="80"/>
      <c r="AF1181" s="82"/>
      <c r="AG1181" s="80"/>
      <c r="AH1181" s="80"/>
      <c r="AI1181" s="82"/>
      <c r="AJ1181" s="79"/>
      <c r="AK1181" s="78" t="str">
        <f aca="false">IF(E1181="","",(X1181&lt;&gt;"")+(AC1181&lt;&gt;"")+(AH1181&lt;&gt;""))</f>
        <v/>
      </c>
      <c r="AL1181" s="81" t="str">
        <f aca="false">IF(AH1181&lt;&gt;"",AH1181,IF(AC1181&lt;&gt;"",AC1181,IF(X1181&lt;&gt;"",X1181,"")))</f>
        <v/>
      </c>
      <c r="AM1181" s="83" t="str">
        <f aca="false">IF(E1181="","",IF(R1181="","À SOUDER",IF(U1181="","VT EN ATTENTE",IF(U1181="R","VT REJETÉ – À REPRENDRE",IF(AL1181="","À RADIOGRAPHIER",IF(AL1181="A","ACCEPTÉ",IF(AL1181="NX","NX – RT À REFAIRE",IF(IF(AK1181=1,Z1181,IF(AK1181=2,AE1181,""))="A","RÉPARÉ – À RADIOGRAPHIER",IF(IF(AK1181=1,Z1181,IF(AK1181=2,AE1181,""))="R","VT REJETÉ – À REPRENDRE",IF(OR(AL1181="CO",AL1181="NT"),"COUPE – À RESOUDER","À RÉPARER"))))))))))</f>
        <v/>
      </c>
      <c r="AN1181" s="81" t="str">
        <f aca="false">IF(AND(ISNUMBER(R1181),OR(AM1181="À RADIOGRAPHIER",AM1181="RÉPARÉ – À RADIOGRAPHIER",AM1181="NX – RT À REFAIRE",AM1181="À RÉPARER",AM1181="COUPE – À RESOUDER",AM1181="VT REJETÉ – À REPRENDRE")),MAX(0,'PROGRAMME RT'!$C$4-R1181),"")</f>
        <v/>
      </c>
      <c r="AO1181" s="78" t="n">
        <f aca="false">IF(AND(OR(AM1181="À RADIOGRAPHIER",AM1181="RÉPARÉ – À RADIOGRAPHIER",AM1181="NX – RT À REFAIRE"),OR('PROGRAMME RT'!$D$5="TOUTES",B1181='PROGRAMME RT'!$D$5)),1,0)</f>
        <v>0</v>
      </c>
      <c r="AP1181" s="78" t="str">
        <f aca="false">IF(AO1181=1,SUM(AO$7:AO1181),"")</f>
        <v/>
      </c>
      <c r="AQ1181" s="78" t="n">
        <f aca="false">IF(AND(OR(X1181="R",X1181="NX",X1181="NT",X1181="CO"),OR('JOINTS DE RÉPARATION'!$D$5="TOUTES",B1181='JOINTS DE RÉPARATION'!$D$5),OR('JOINTS DE RÉPARATION'!$L$4="TOUS",AM1181&lt;&gt;"ACCEPTÉ")),1,0)</f>
        <v>0</v>
      </c>
      <c r="AR1181" s="78" t="str">
        <f aca="false">IF(AQ1181=1,SUM(AQ$7:AQ1181),"")</f>
        <v/>
      </c>
    </row>
    <row r="1182" customFormat="false" ht="15" hidden="false" customHeight="false" outlineLevel="0" collapsed="false">
      <c r="A1182" s="78" t="str">
        <f aca="false">IF(E1182="","",ROW()-6)</f>
        <v/>
      </c>
      <c r="B1182" s="79"/>
      <c r="C1182" s="80"/>
      <c r="D1182" s="80"/>
      <c r="E1182" s="80"/>
      <c r="F1182" s="80"/>
      <c r="G1182" s="80"/>
      <c r="H1182" s="80"/>
      <c r="I1182" s="80"/>
      <c r="J1182" s="80"/>
      <c r="K1182" s="80"/>
      <c r="L1182" s="81" t="str">
        <f aca="false">IF(K1182="","",IFERROR(INDEX(BARDAGE!$C$7:$C$1506,MATCH(K1182,BARDAGE!$B$7:$B$1506,0)),"? hors registre"))</f>
        <v/>
      </c>
      <c r="M1182" s="80"/>
      <c r="N1182" s="81" t="str">
        <f aca="false">IF(M1182="","",IFERROR(INDEX(BARDAGE!$C$7:$C$1506,MATCH(M1182,BARDAGE!$B$7:$B$1506,0)),"? hors registre"))</f>
        <v/>
      </c>
      <c r="O1182" s="80"/>
      <c r="P1182" s="80"/>
      <c r="Q1182" s="80"/>
      <c r="R1182" s="82"/>
      <c r="S1182" s="82"/>
      <c r="T1182" s="80"/>
      <c r="U1182" s="80"/>
      <c r="V1182" s="82"/>
      <c r="W1182" s="80"/>
      <c r="X1182" s="80"/>
      <c r="Y1182" s="80"/>
      <c r="Z1182" s="80"/>
      <c r="AA1182" s="82"/>
      <c r="AB1182" s="80"/>
      <c r="AC1182" s="80"/>
      <c r="AD1182" s="80"/>
      <c r="AE1182" s="80"/>
      <c r="AF1182" s="82"/>
      <c r="AG1182" s="80"/>
      <c r="AH1182" s="80"/>
      <c r="AI1182" s="82"/>
      <c r="AJ1182" s="79"/>
      <c r="AK1182" s="78" t="str">
        <f aca="false">IF(E1182="","",(X1182&lt;&gt;"")+(AC1182&lt;&gt;"")+(AH1182&lt;&gt;""))</f>
        <v/>
      </c>
      <c r="AL1182" s="81" t="str">
        <f aca="false">IF(AH1182&lt;&gt;"",AH1182,IF(AC1182&lt;&gt;"",AC1182,IF(X1182&lt;&gt;"",X1182,"")))</f>
        <v/>
      </c>
      <c r="AM1182" s="83" t="str">
        <f aca="false">IF(E1182="","",IF(R1182="","À SOUDER",IF(U1182="","VT EN ATTENTE",IF(U1182="R","VT REJETÉ – À REPRENDRE",IF(AL1182="","À RADIOGRAPHIER",IF(AL1182="A","ACCEPTÉ",IF(AL1182="NX","NX – RT À REFAIRE",IF(IF(AK1182=1,Z1182,IF(AK1182=2,AE1182,""))="A","RÉPARÉ – À RADIOGRAPHIER",IF(IF(AK1182=1,Z1182,IF(AK1182=2,AE1182,""))="R","VT REJETÉ – À REPRENDRE",IF(OR(AL1182="CO",AL1182="NT"),"COUPE – À RESOUDER","À RÉPARER"))))))))))</f>
        <v/>
      </c>
      <c r="AN1182" s="81" t="str">
        <f aca="false">IF(AND(ISNUMBER(R1182),OR(AM1182="À RADIOGRAPHIER",AM1182="RÉPARÉ – À RADIOGRAPHIER",AM1182="NX – RT À REFAIRE",AM1182="À RÉPARER",AM1182="COUPE – À RESOUDER",AM1182="VT REJETÉ – À REPRENDRE")),MAX(0,'PROGRAMME RT'!$C$4-R1182),"")</f>
        <v/>
      </c>
      <c r="AO1182" s="78" t="n">
        <f aca="false">IF(AND(OR(AM1182="À RADIOGRAPHIER",AM1182="RÉPARÉ – À RADIOGRAPHIER",AM1182="NX – RT À REFAIRE"),OR('PROGRAMME RT'!$D$5="TOUTES",B1182='PROGRAMME RT'!$D$5)),1,0)</f>
        <v>0</v>
      </c>
      <c r="AP1182" s="78" t="str">
        <f aca="false">IF(AO1182=1,SUM(AO$7:AO1182),"")</f>
        <v/>
      </c>
      <c r="AQ1182" s="78" t="n">
        <f aca="false">IF(AND(OR(X1182="R",X1182="NX",X1182="NT",X1182="CO"),OR('JOINTS DE RÉPARATION'!$D$5="TOUTES",B1182='JOINTS DE RÉPARATION'!$D$5),OR('JOINTS DE RÉPARATION'!$L$4="TOUS",AM1182&lt;&gt;"ACCEPTÉ")),1,0)</f>
        <v>0</v>
      </c>
      <c r="AR1182" s="78" t="str">
        <f aca="false">IF(AQ1182=1,SUM(AQ$7:AQ1182),"")</f>
        <v/>
      </c>
    </row>
    <row r="1183" customFormat="false" ht="15" hidden="false" customHeight="false" outlineLevel="0" collapsed="false">
      <c r="A1183" s="78" t="str">
        <f aca="false">IF(E1183="","",ROW()-6)</f>
        <v/>
      </c>
      <c r="B1183" s="79"/>
      <c r="C1183" s="80"/>
      <c r="D1183" s="80"/>
      <c r="E1183" s="80"/>
      <c r="F1183" s="80"/>
      <c r="G1183" s="80"/>
      <c r="H1183" s="80"/>
      <c r="I1183" s="80"/>
      <c r="J1183" s="80"/>
      <c r="K1183" s="80"/>
      <c r="L1183" s="81" t="str">
        <f aca="false">IF(K1183="","",IFERROR(INDEX(BARDAGE!$C$7:$C$1506,MATCH(K1183,BARDAGE!$B$7:$B$1506,0)),"? hors registre"))</f>
        <v/>
      </c>
      <c r="M1183" s="80"/>
      <c r="N1183" s="81" t="str">
        <f aca="false">IF(M1183="","",IFERROR(INDEX(BARDAGE!$C$7:$C$1506,MATCH(M1183,BARDAGE!$B$7:$B$1506,0)),"? hors registre"))</f>
        <v/>
      </c>
      <c r="O1183" s="80"/>
      <c r="P1183" s="80"/>
      <c r="Q1183" s="80"/>
      <c r="R1183" s="82"/>
      <c r="S1183" s="82"/>
      <c r="T1183" s="80"/>
      <c r="U1183" s="80"/>
      <c r="V1183" s="82"/>
      <c r="W1183" s="80"/>
      <c r="X1183" s="80"/>
      <c r="Y1183" s="80"/>
      <c r="Z1183" s="80"/>
      <c r="AA1183" s="82"/>
      <c r="AB1183" s="80"/>
      <c r="AC1183" s="80"/>
      <c r="AD1183" s="80"/>
      <c r="AE1183" s="80"/>
      <c r="AF1183" s="82"/>
      <c r="AG1183" s="80"/>
      <c r="AH1183" s="80"/>
      <c r="AI1183" s="82"/>
      <c r="AJ1183" s="79"/>
      <c r="AK1183" s="78" t="str">
        <f aca="false">IF(E1183="","",(X1183&lt;&gt;"")+(AC1183&lt;&gt;"")+(AH1183&lt;&gt;""))</f>
        <v/>
      </c>
      <c r="AL1183" s="81" t="str">
        <f aca="false">IF(AH1183&lt;&gt;"",AH1183,IF(AC1183&lt;&gt;"",AC1183,IF(X1183&lt;&gt;"",X1183,"")))</f>
        <v/>
      </c>
      <c r="AM1183" s="83" t="str">
        <f aca="false">IF(E1183="","",IF(R1183="","À SOUDER",IF(U1183="","VT EN ATTENTE",IF(U1183="R","VT REJETÉ – À REPRENDRE",IF(AL1183="","À RADIOGRAPHIER",IF(AL1183="A","ACCEPTÉ",IF(AL1183="NX","NX – RT À REFAIRE",IF(IF(AK1183=1,Z1183,IF(AK1183=2,AE1183,""))="A","RÉPARÉ – À RADIOGRAPHIER",IF(IF(AK1183=1,Z1183,IF(AK1183=2,AE1183,""))="R","VT REJETÉ – À REPRENDRE",IF(OR(AL1183="CO",AL1183="NT"),"COUPE – À RESOUDER","À RÉPARER"))))))))))</f>
        <v/>
      </c>
      <c r="AN1183" s="81" t="str">
        <f aca="false">IF(AND(ISNUMBER(R1183),OR(AM1183="À RADIOGRAPHIER",AM1183="RÉPARÉ – À RADIOGRAPHIER",AM1183="NX – RT À REFAIRE",AM1183="À RÉPARER",AM1183="COUPE – À RESOUDER",AM1183="VT REJETÉ – À REPRENDRE")),MAX(0,'PROGRAMME RT'!$C$4-R1183),"")</f>
        <v/>
      </c>
      <c r="AO1183" s="78" t="n">
        <f aca="false">IF(AND(OR(AM1183="À RADIOGRAPHIER",AM1183="RÉPARÉ – À RADIOGRAPHIER",AM1183="NX – RT À REFAIRE"),OR('PROGRAMME RT'!$D$5="TOUTES",B1183='PROGRAMME RT'!$D$5)),1,0)</f>
        <v>0</v>
      </c>
      <c r="AP1183" s="78" t="str">
        <f aca="false">IF(AO1183=1,SUM(AO$7:AO1183),"")</f>
        <v/>
      </c>
      <c r="AQ1183" s="78" t="n">
        <f aca="false">IF(AND(OR(X1183="R",X1183="NX",X1183="NT",X1183="CO"),OR('JOINTS DE RÉPARATION'!$D$5="TOUTES",B1183='JOINTS DE RÉPARATION'!$D$5),OR('JOINTS DE RÉPARATION'!$L$4="TOUS",AM1183&lt;&gt;"ACCEPTÉ")),1,0)</f>
        <v>0</v>
      </c>
      <c r="AR1183" s="78" t="str">
        <f aca="false">IF(AQ1183=1,SUM(AQ$7:AQ1183),"")</f>
        <v/>
      </c>
    </row>
    <row r="1184" customFormat="false" ht="15" hidden="false" customHeight="false" outlineLevel="0" collapsed="false">
      <c r="A1184" s="78" t="str">
        <f aca="false">IF(E1184="","",ROW()-6)</f>
        <v/>
      </c>
      <c r="B1184" s="79"/>
      <c r="C1184" s="80"/>
      <c r="D1184" s="80"/>
      <c r="E1184" s="80"/>
      <c r="F1184" s="80"/>
      <c r="G1184" s="80"/>
      <c r="H1184" s="80"/>
      <c r="I1184" s="80"/>
      <c r="J1184" s="80"/>
      <c r="K1184" s="80"/>
      <c r="L1184" s="81" t="str">
        <f aca="false">IF(K1184="","",IFERROR(INDEX(BARDAGE!$C$7:$C$1506,MATCH(K1184,BARDAGE!$B$7:$B$1506,0)),"? hors registre"))</f>
        <v/>
      </c>
      <c r="M1184" s="80"/>
      <c r="N1184" s="81" t="str">
        <f aca="false">IF(M1184="","",IFERROR(INDEX(BARDAGE!$C$7:$C$1506,MATCH(M1184,BARDAGE!$B$7:$B$1506,0)),"? hors registre"))</f>
        <v/>
      </c>
      <c r="O1184" s="80"/>
      <c r="P1184" s="80"/>
      <c r="Q1184" s="80"/>
      <c r="R1184" s="82"/>
      <c r="S1184" s="82"/>
      <c r="T1184" s="80"/>
      <c r="U1184" s="80"/>
      <c r="V1184" s="82"/>
      <c r="W1184" s="80"/>
      <c r="X1184" s="80"/>
      <c r="Y1184" s="80"/>
      <c r="Z1184" s="80"/>
      <c r="AA1184" s="82"/>
      <c r="AB1184" s="80"/>
      <c r="AC1184" s="80"/>
      <c r="AD1184" s="80"/>
      <c r="AE1184" s="80"/>
      <c r="AF1184" s="82"/>
      <c r="AG1184" s="80"/>
      <c r="AH1184" s="80"/>
      <c r="AI1184" s="82"/>
      <c r="AJ1184" s="79"/>
      <c r="AK1184" s="78" t="str">
        <f aca="false">IF(E1184="","",(X1184&lt;&gt;"")+(AC1184&lt;&gt;"")+(AH1184&lt;&gt;""))</f>
        <v/>
      </c>
      <c r="AL1184" s="81" t="str">
        <f aca="false">IF(AH1184&lt;&gt;"",AH1184,IF(AC1184&lt;&gt;"",AC1184,IF(X1184&lt;&gt;"",X1184,"")))</f>
        <v/>
      </c>
      <c r="AM1184" s="83" t="str">
        <f aca="false">IF(E1184="","",IF(R1184="","À SOUDER",IF(U1184="","VT EN ATTENTE",IF(U1184="R","VT REJETÉ – À REPRENDRE",IF(AL1184="","À RADIOGRAPHIER",IF(AL1184="A","ACCEPTÉ",IF(AL1184="NX","NX – RT À REFAIRE",IF(IF(AK1184=1,Z1184,IF(AK1184=2,AE1184,""))="A","RÉPARÉ – À RADIOGRAPHIER",IF(IF(AK1184=1,Z1184,IF(AK1184=2,AE1184,""))="R","VT REJETÉ – À REPRENDRE",IF(OR(AL1184="CO",AL1184="NT"),"COUPE – À RESOUDER","À RÉPARER"))))))))))</f>
        <v/>
      </c>
      <c r="AN1184" s="81" t="str">
        <f aca="false">IF(AND(ISNUMBER(R1184),OR(AM1184="À RADIOGRAPHIER",AM1184="RÉPARÉ – À RADIOGRAPHIER",AM1184="NX – RT À REFAIRE",AM1184="À RÉPARER",AM1184="COUPE – À RESOUDER",AM1184="VT REJETÉ – À REPRENDRE")),MAX(0,'PROGRAMME RT'!$C$4-R1184),"")</f>
        <v/>
      </c>
      <c r="AO1184" s="78" t="n">
        <f aca="false">IF(AND(OR(AM1184="À RADIOGRAPHIER",AM1184="RÉPARÉ – À RADIOGRAPHIER",AM1184="NX – RT À REFAIRE"),OR('PROGRAMME RT'!$D$5="TOUTES",B1184='PROGRAMME RT'!$D$5)),1,0)</f>
        <v>0</v>
      </c>
      <c r="AP1184" s="78" t="str">
        <f aca="false">IF(AO1184=1,SUM(AO$7:AO1184),"")</f>
        <v/>
      </c>
      <c r="AQ1184" s="78" t="n">
        <f aca="false">IF(AND(OR(X1184="R",X1184="NX",X1184="NT",X1184="CO"),OR('JOINTS DE RÉPARATION'!$D$5="TOUTES",B1184='JOINTS DE RÉPARATION'!$D$5),OR('JOINTS DE RÉPARATION'!$L$4="TOUS",AM1184&lt;&gt;"ACCEPTÉ")),1,0)</f>
        <v>0</v>
      </c>
      <c r="AR1184" s="78" t="str">
        <f aca="false">IF(AQ1184=1,SUM(AQ$7:AQ1184),"")</f>
        <v/>
      </c>
    </row>
    <row r="1185" customFormat="false" ht="15" hidden="false" customHeight="false" outlineLevel="0" collapsed="false">
      <c r="A1185" s="78" t="str">
        <f aca="false">IF(E1185="","",ROW()-6)</f>
        <v/>
      </c>
      <c r="B1185" s="79"/>
      <c r="C1185" s="80"/>
      <c r="D1185" s="80"/>
      <c r="E1185" s="80"/>
      <c r="F1185" s="80"/>
      <c r="G1185" s="80"/>
      <c r="H1185" s="80"/>
      <c r="I1185" s="80"/>
      <c r="J1185" s="80"/>
      <c r="K1185" s="80"/>
      <c r="L1185" s="81" t="str">
        <f aca="false">IF(K1185="","",IFERROR(INDEX(BARDAGE!$C$7:$C$1506,MATCH(K1185,BARDAGE!$B$7:$B$1506,0)),"? hors registre"))</f>
        <v/>
      </c>
      <c r="M1185" s="80"/>
      <c r="N1185" s="81" t="str">
        <f aca="false">IF(M1185="","",IFERROR(INDEX(BARDAGE!$C$7:$C$1506,MATCH(M1185,BARDAGE!$B$7:$B$1506,0)),"? hors registre"))</f>
        <v/>
      </c>
      <c r="O1185" s="80"/>
      <c r="P1185" s="80"/>
      <c r="Q1185" s="80"/>
      <c r="R1185" s="82"/>
      <c r="S1185" s="82"/>
      <c r="T1185" s="80"/>
      <c r="U1185" s="80"/>
      <c r="V1185" s="82"/>
      <c r="W1185" s="80"/>
      <c r="X1185" s="80"/>
      <c r="Y1185" s="80"/>
      <c r="Z1185" s="80"/>
      <c r="AA1185" s="82"/>
      <c r="AB1185" s="80"/>
      <c r="AC1185" s="80"/>
      <c r="AD1185" s="80"/>
      <c r="AE1185" s="80"/>
      <c r="AF1185" s="82"/>
      <c r="AG1185" s="80"/>
      <c r="AH1185" s="80"/>
      <c r="AI1185" s="82"/>
      <c r="AJ1185" s="79"/>
      <c r="AK1185" s="78" t="str">
        <f aca="false">IF(E1185="","",(X1185&lt;&gt;"")+(AC1185&lt;&gt;"")+(AH1185&lt;&gt;""))</f>
        <v/>
      </c>
      <c r="AL1185" s="81" t="str">
        <f aca="false">IF(AH1185&lt;&gt;"",AH1185,IF(AC1185&lt;&gt;"",AC1185,IF(X1185&lt;&gt;"",X1185,"")))</f>
        <v/>
      </c>
      <c r="AM1185" s="83" t="str">
        <f aca="false">IF(E1185="","",IF(R1185="","À SOUDER",IF(U1185="","VT EN ATTENTE",IF(U1185="R","VT REJETÉ – À REPRENDRE",IF(AL1185="","À RADIOGRAPHIER",IF(AL1185="A","ACCEPTÉ",IF(AL1185="NX","NX – RT À REFAIRE",IF(IF(AK1185=1,Z1185,IF(AK1185=2,AE1185,""))="A","RÉPARÉ – À RADIOGRAPHIER",IF(IF(AK1185=1,Z1185,IF(AK1185=2,AE1185,""))="R","VT REJETÉ – À REPRENDRE",IF(OR(AL1185="CO",AL1185="NT"),"COUPE – À RESOUDER","À RÉPARER"))))))))))</f>
        <v/>
      </c>
      <c r="AN1185" s="81" t="str">
        <f aca="false">IF(AND(ISNUMBER(R1185),OR(AM1185="À RADIOGRAPHIER",AM1185="RÉPARÉ – À RADIOGRAPHIER",AM1185="NX – RT À REFAIRE",AM1185="À RÉPARER",AM1185="COUPE – À RESOUDER",AM1185="VT REJETÉ – À REPRENDRE")),MAX(0,'PROGRAMME RT'!$C$4-R1185),"")</f>
        <v/>
      </c>
      <c r="AO1185" s="78" t="n">
        <f aca="false">IF(AND(OR(AM1185="À RADIOGRAPHIER",AM1185="RÉPARÉ – À RADIOGRAPHIER",AM1185="NX – RT À REFAIRE"),OR('PROGRAMME RT'!$D$5="TOUTES",B1185='PROGRAMME RT'!$D$5)),1,0)</f>
        <v>0</v>
      </c>
      <c r="AP1185" s="78" t="str">
        <f aca="false">IF(AO1185=1,SUM(AO$7:AO1185),"")</f>
        <v/>
      </c>
      <c r="AQ1185" s="78" t="n">
        <f aca="false">IF(AND(OR(X1185="R",X1185="NX",X1185="NT",X1185="CO"),OR('JOINTS DE RÉPARATION'!$D$5="TOUTES",B1185='JOINTS DE RÉPARATION'!$D$5),OR('JOINTS DE RÉPARATION'!$L$4="TOUS",AM1185&lt;&gt;"ACCEPTÉ")),1,0)</f>
        <v>0</v>
      </c>
      <c r="AR1185" s="78" t="str">
        <f aca="false">IF(AQ1185=1,SUM(AQ$7:AQ1185),"")</f>
        <v/>
      </c>
    </row>
    <row r="1186" customFormat="false" ht="15" hidden="false" customHeight="false" outlineLevel="0" collapsed="false">
      <c r="A1186" s="78" t="str">
        <f aca="false">IF(E1186="","",ROW()-6)</f>
        <v/>
      </c>
      <c r="B1186" s="79"/>
      <c r="C1186" s="80"/>
      <c r="D1186" s="80"/>
      <c r="E1186" s="80"/>
      <c r="F1186" s="80"/>
      <c r="G1186" s="80"/>
      <c r="H1186" s="80"/>
      <c r="I1186" s="80"/>
      <c r="J1186" s="80"/>
      <c r="K1186" s="80"/>
      <c r="L1186" s="81" t="str">
        <f aca="false">IF(K1186="","",IFERROR(INDEX(BARDAGE!$C$7:$C$1506,MATCH(K1186,BARDAGE!$B$7:$B$1506,0)),"? hors registre"))</f>
        <v/>
      </c>
      <c r="M1186" s="80"/>
      <c r="N1186" s="81" t="str">
        <f aca="false">IF(M1186="","",IFERROR(INDEX(BARDAGE!$C$7:$C$1506,MATCH(M1186,BARDAGE!$B$7:$B$1506,0)),"? hors registre"))</f>
        <v/>
      </c>
      <c r="O1186" s="80"/>
      <c r="P1186" s="80"/>
      <c r="Q1186" s="80"/>
      <c r="R1186" s="82"/>
      <c r="S1186" s="82"/>
      <c r="T1186" s="80"/>
      <c r="U1186" s="80"/>
      <c r="V1186" s="82"/>
      <c r="W1186" s="80"/>
      <c r="X1186" s="80"/>
      <c r="Y1186" s="80"/>
      <c r="Z1186" s="80"/>
      <c r="AA1186" s="82"/>
      <c r="AB1186" s="80"/>
      <c r="AC1186" s="80"/>
      <c r="AD1186" s="80"/>
      <c r="AE1186" s="80"/>
      <c r="AF1186" s="82"/>
      <c r="AG1186" s="80"/>
      <c r="AH1186" s="80"/>
      <c r="AI1186" s="82"/>
      <c r="AJ1186" s="79"/>
      <c r="AK1186" s="78" t="str">
        <f aca="false">IF(E1186="","",(X1186&lt;&gt;"")+(AC1186&lt;&gt;"")+(AH1186&lt;&gt;""))</f>
        <v/>
      </c>
      <c r="AL1186" s="81" t="str">
        <f aca="false">IF(AH1186&lt;&gt;"",AH1186,IF(AC1186&lt;&gt;"",AC1186,IF(X1186&lt;&gt;"",X1186,"")))</f>
        <v/>
      </c>
      <c r="AM1186" s="83" t="str">
        <f aca="false">IF(E1186="","",IF(R1186="","À SOUDER",IF(U1186="","VT EN ATTENTE",IF(U1186="R","VT REJETÉ – À REPRENDRE",IF(AL1186="","À RADIOGRAPHIER",IF(AL1186="A","ACCEPTÉ",IF(AL1186="NX","NX – RT À REFAIRE",IF(IF(AK1186=1,Z1186,IF(AK1186=2,AE1186,""))="A","RÉPARÉ – À RADIOGRAPHIER",IF(IF(AK1186=1,Z1186,IF(AK1186=2,AE1186,""))="R","VT REJETÉ – À REPRENDRE",IF(OR(AL1186="CO",AL1186="NT"),"COUPE – À RESOUDER","À RÉPARER"))))))))))</f>
        <v/>
      </c>
      <c r="AN1186" s="81" t="str">
        <f aca="false">IF(AND(ISNUMBER(R1186),OR(AM1186="À RADIOGRAPHIER",AM1186="RÉPARÉ – À RADIOGRAPHIER",AM1186="NX – RT À REFAIRE",AM1186="À RÉPARER",AM1186="COUPE – À RESOUDER",AM1186="VT REJETÉ – À REPRENDRE")),MAX(0,'PROGRAMME RT'!$C$4-R1186),"")</f>
        <v/>
      </c>
      <c r="AO1186" s="78" t="n">
        <f aca="false">IF(AND(OR(AM1186="À RADIOGRAPHIER",AM1186="RÉPARÉ – À RADIOGRAPHIER",AM1186="NX – RT À REFAIRE"),OR('PROGRAMME RT'!$D$5="TOUTES",B1186='PROGRAMME RT'!$D$5)),1,0)</f>
        <v>0</v>
      </c>
      <c r="AP1186" s="78" t="str">
        <f aca="false">IF(AO1186=1,SUM(AO$7:AO1186),"")</f>
        <v/>
      </c>
      <c r="AQ1186" s="78" t="n">
        <f aca="false">IF(AND(OR(X1186="R",X1186="NX",X1186="NT",X1186="CO"),OR('JOINTS DE RÉPARATION'!$D$5="TOUTES",B1186='JOINTS DE RÉPARATION'!$D$5),OR('JOINTS DE RÉPARATION'!$L$4="TOUS",AM1186&lt;&gt;"ACCEPTÉ")),1,0)</f>
        <v>0</v>
      </c>
      <c r="AR1186" s="78" t="str">
        <f aca="false">IF(AQ1186=1,SUM(AQ$7:AQ1186),"")</f>
        <v/>
      </c>
    </row>
    <row r="1187" customFormat="false" ht="15" hidden="false" customHeight="false" outlineLevel="0" collapsed="false">
      <c r="A1187" s="78" t="str">
        <f aca="false">IF(E1187="","",ROW()-6)</f>
        <v/>
      </c>
      <c r="B1187" s="79"/>
      <c r="C1187" s="80"/>
      <c r="D1187" s="80"/>
      <c r="E1187" s="80"/>
      <c r="F1187" s="80"/>
      <c r="G1187" s="80"/>
      <c r="H1187" s="80"/>
      <c r="I1187" s="80"/>
      <c r="J1187" s="80"/>
      <c r="K1187" s="80"/>
      <c r="L1187" s="81" t="str">
        <f aca="false">IF(K1187="","",IFERROR(INDEX(BARDAGE!$C$7:$C$1506,MATCH(K1187,BARDAGE!$B$7:$B$1506,0)),"? hors registre"))</f>
        <v/>
      </c>
      <c r="M1187" s="80"/>
      <c r="N1187" s="81" t="str">
        <f aca="false">IF(M1187="","",IFERROR(INDEX(BARDAGE!$C$7:$C$1506,MATCH(M1187,BARDAGE!$B$7:$B$1506,0)),"? hors registre"))</f>
        <v/>
      </c>
      <c r="O1187" s="80"/>
      <c r="P1187" s="80"/>
      <c r="Q1187" s="80"/>
      <c r="R1187" s="82"/>
      <c r="S1187" s="82"/>
      <c r="T1187" s="80"/>
      <c r="U1187" s="80"/>
      <c r="V1187" s="82"/>
      <c r="W1187" s="80"/>
      <c r="X1187" s="80"/>
      <c r="Y1187" s="80"/>
      <c r="Z1187" s="80"/>
      <c r="AA1187" s="82"/>
      <c r="AB1187" s="80"/>
      <c r="AC1187" s="80"/>
      <c r="AD1187" s="80"/>
      <c r="AE1187" s="80"/>
      <c r="AF1187" s="82"/>
      <c r="AG1187" s="80"/>
      <c r="AH1187" s="80"/>
      <c r="AI1187" s="82"/>
      <c r="AJ1187" s="79"/>
      <c r="AK1187" s="78" t="str">
        <f aca="false">IF(E1187="","",(X1187&lt;&gt;"")+(AC1187&lt;&gt;"")+(AH1187&lt;&gt;""))</f>
        <v/>
      </c>
      <c r="AL1187" s="81" t="str">
        <f aca="false">IF(AH1187&lt;&gt;"",AH1187,IF(AC1187&lt;&gt;"",AC1187,IF(X1187&lt;&gt;"",X1187,"")))</f>
        <v/>
      </c>
      <c r="AM1187" s="83" t="str">
        <f aca="false">IF(E1187="","",IF(R1187="","À SOUDER",IF(U1187="","VT EN ATTENTE",IF(U1187="R","VT REJETÉ – À REPRENDRE",IF(AL1187="","À RADIOGRAPHIER",IF(AL1187="A","ACCEPTÉ",IF(AL1187="NX","NX – RT À REFAIRE",IF(IF(AK1187=1,Z1187,IF(AK1187=2,AE1187,""))="A","RÉPARÉ – À RADIOGRAPHIER",IF(IF(AK1187=1,Z1187,IF(AK1187=2,AE1187,""))="R","VT REJETÉ – À REPRENDRE",IF(OR(AL1187="CO",AL1187="NT"),"COUPE – À RESOUDER","À RÉPARER"))))))))))</f>
        <v/>
      </c>
      <c r="AN1187" s="81" t="str">
        <f aca="false">IF(AND(ISNUMBER(R1187),OR(AM1187="À RADIOGRAPHIER",AM1187="RÉPARÉ – À RADIOGRAPHIER",AM1187="NX – RT À REFAIRE",AM1187="À RÉPARER",AM1187="COUPE – À RESOUDER",AM1187="VT REJETÉ – À REPRENDRE")),MAX(0,'PROGRAMME RT'!$C$4-R1187),"")</f>
        <v/>
      </c>
      <c r="AO1187" s="78" t="n">
        <f aca="false">IF(AND(OR(AM1187="À RADIOGRAPHIER",AM1187="RÉPARÉ – À RADIOGRAPHIER",AM1187="NX – RT À REFAIRE"),OR('PROGRAMME RT'!$D$5="TOUTES",B1187='PROGRAMME RT'!$D$5)),1,0)</f>
        <v>0</v>
      </c>
      <c r="AP1187" s="78" t="str">
        <f aca="false">IF(AO1187=1,SUM(AO$7:AO1187),"")</f>
        <v/>
      </c>
      <c r="AQ1187" s="78" t="n">
        <f aca="false">IF(AND(OR(X1187="R",X1187="NX",X1187="NT",X1187="CO"),OR('JOINTS DE RÉPARATION'!$D$5="TOUTES",B1187='JOINTS DE RÉPARATION'!$D$5),OR('JOINTS DE RÉPARATION'!$L$4="TOUS",AM1187&lt;&gt;"ACCEPTÉ")),1,0)</f>
        <v>0</v>
      </c>
      <c r="AR1187" s="78" t="str">
        <f aca="false">IF(AQ1187=1,SUM(AQ$7:AQ1187),"")</f>
        <v/>
      </c>
    </row>
    <row r="1188" customFormat="false" ht="15" hidden="false" customHeight="false" outlineLevel="0" collapsed="false">
      <c r="A1188" s="78" t="str">
        <f aca="false">IF(E1188="","",ROW()-6)</f>
        <v/>
      </c>
      <c r="B1188" s="79"/>
      <c r="C1188" s="80"/>
      <c r="D1188" s="80"/>
      <c r="E1188" s="80"/>
      <c r="F1188" s="80"/>
      <c r="G1188" s="80"/>
      <c r="H1188" s="80"/>
      <c r="I1188" s="80"/>
      <c r="J1188" s="80"/>
      <c r="K1188" s="80"/>
      <c r="L1188" s="81" t="str">
        <f aca="false">IF(K1188="","",IFERROR(INDEX(BARDAGE!$C$7:$C$1506,MATCH(K1188,BARDAGE!$B$7:$B$1506,0)),"? hors registre"))</f>
        <v/>
      </c>
      <c r="M1188" s="80"/>
      <c r="N1188" s="81" t="str">
        <f aca="false">IF(M1188="","",IFERROR(INDEX(BARDAGE!$C$7:$C$1506,MATCH(M1188,BARDAGE!$B$7:$B$1506,0)),"? hors registre"))</f>
        <v/>
      </c>
      <c r="O1188" s="80"/>
      <c r="P1188" s="80"/>
      <c r="Q1188" s="80"/>
      <c r="R1188" s="82"/>
      <c r="S1188" s="82"/>
      <c r="T1188" s="80"/>
      <c r="U1188" s="80"/>
      <c r="V1188" s="82"/>
      <c r="W1188" s="80"/>
      <c r="X1188" s="80"/>
      <c r="Y1188" s="80"/>
      <c r="Z1188" s="80"/>
      <c r="AA1188" s="82"/>
      <c r="AB1188" s="80"/>
      <c r="AC1188" s="80"/>
      <c r="AD1188" s="80"/>
      <c r="AE1188" s="80"/>
      <c r="AF1188" s="82"/>
      <c r="AG1188" s="80"/>
      <c r="AH1188" s="80"/>
      <c r="AI1188" s="82"/>
      <c r="AJ1188" s="79"/>
      <c r="AK1188" s="78" t="str">
        <f aca="false">IF(E1188="","",(X1188&lt;&gt;"")+(AC1188&lt;&gt;"")+(AH1188&lt;&gt;""))</f>
        <v/>
      </c>
      <c r="AL1188" s="81" t="str">
        <f aca="false">IF(AH1188&lt;&gt;"",AH1188,IF(AC1188&lt;&gt;"",AC1188,IF(X1188&lt;&gt;"",X1188,"")))</f>
        <v/>
      </c>
      <c r="AM1188" s="83" t="str">
        <f aca="false">IF(E1188="","",IF(R1188="","À SOUDER",IF(U1188="","VT EN ATTENTE",IF(U1188="R","VT REJETÉ – À REPRENDRE",IF(AL1188="","À RADIOGRAPHIER",IF(AL1188="A","ACCEPTÉ",IF(AL1188="NX","NX – RT À REFAIRE",IF(IF(AK1188=1,Z1188,IF(AK1188=2,AE1188,""))="A","RÉPARÉ – À RADIOGRAPHIER",IF(IF(AK1188=1,Z1188,IF(AK1188=2,AE1188,""))="R","VT REJETÉ – À REPRENDRE",IF(OR(AL1188="CO",AL1188="NT"),"COUPE – À RESOUDER","À RÉPARER"))))))))))</f>
        <v/>
      </c>
      <c r="AN1188" s="81" t="str">
        <f aca="false">IF(AND(ISNUMBER(R1188),OR(AM1188="À RADIOGRAPHIER",AM1188="RÉPARÉ – À RADIOGRAPHIER",AM1188="NX – RT À REFAIRE",AM1188="À RÉPARER",AM1188="COUPE – À RESOUDER",AM1188="VT REJETÉ – À REPRENDRE")),MAX(0,'PROGRAMME RT'!$C$4-R1188),"")</f>
        <v/>
      </c>
      <c r="AO1188" s="78" t="n">
        <f aca="false">IF(AND(OR(AM1188="À RADIOGRAPHIER",AM1188="RÉPARÉ – À RADIOGRAPHIER",AM1188="NX – RT À REFAIRE"),OR('PROGRAMME RT'!$D$5="TOUTES",B1188='PROGRAMME RT'!$D$5)),1,0)</f>
        <v>0</v>
      </c>
      <c r="AP1188" s="78" t="str">
        <f aca="false">IF(AO1188=1,SUM(AO$7:AO1188),"")</f>
        <v/>
      </c>
      <c r="AQ1188" s="78" t="n">
        <f aca="false">IF(AND(OR(X1188="R",X1188="NX",X1188="NT",X1188="CO"),OR('JOINTS DE RÉPARATION'!$D$5="TOUTES",B1188='JOINTS DE RÉPARATION'!$D$5),OR('JOINTS DE RÉPARATION'!$L$4="TOUS",AM1188&lt;&gt;"ACCEPTÉ")),1,0)</f>
        <v>0</v>
      </c>
      <c r="AR1188" s="78" t="str">
        <f aca="false">IF(AQ1188=1,SUM(AQ$7:AQ1188),"")</f>
        <v/>
      </c>
    </row>
    <row r="1189" customFormat="false" ht="15" hidden="false" customHeight="false" outlineLevel="0" collapsed="false">
      <c r="A1189" s="78" t="str">
        <f aca="false">IF(E1189="","",ROW()-6)</f>
        <v/>
      </c>
      <c r="B1189" s="79"/>
      <c r="C1189" s="80"/>
      <c r="D1189" s="80"/>
      <c r="E1189" s="80"/>
      <c r="F1189" s="80"/>
      <c r="G1189" s="80"/>
      <c r="H1189" s="80"/>
      <c r="I1189" s="80"/>
      <c r="J1189" s="80"/>
      <c r="K1189" s="80"/>
      <c r="L1189" s="81" t="str">
        <f aca="false">IF(K1189="","",IFERROR(INDEX(BARDAGE!$C$7:$C$1506,MATCH(K1189,BARDAGE!$B$7:$B$1506,0)),"? hors registre"))</f>
        <v/>
      </c>
      <c r="M1189" s="80"/>
      <c r="N1189" s="81" t="str">
        <f aca="false">IF(M1189="","",IFERROR(INDEX(BARDAGE!$C$7:$C$1506,MATCH(M1189,BARDAGE!$B$7:$B$1506,0)),"? hors registre"))</f>
        <v/>
      </c>
      <c r="O1189" s="80"/>
      <c r="P1189" s="80"/>
      <c r="Q1189" s="80"/>
      <c r="R1189" s="82"/>
      <c r="S1189" s="82"/>
      <c r="T1189" s="80"/>
      <c r="U1189" s="80"/>
      <c r="V1189" s="82"/>
      <c r="W1189" s="80"/>
      <c r="X1189" s="80"/>
      <c r="Y1189" s="80"/>
      <c r="Z1189" s="80"/>
      <c r="AA1189" s="82"/>
      <c r="AB1189" s="80"/>
      <c r="AC1189" s="80"/>
      <c r="AD1189" s="80"/>
      <c r="AE1189" s="80"/>
      <c r="AF1189" s="82"/>
      <c r="AG1189" s="80"/>
      <c r="AH1189" s="80"/>
      <c r="AI1189" s="82"/>
      <c r="AJ1189" s="79"/>
      <c r="AK1189" s="78" t="str">
        <f aca="false">IF(E1189="","",(X1189&lt;&gt;"")+(AC1189&lt;&gt;"")+(AH1189&lt;&gt;""))</f>
        <v/>
      </c>
      <c r="AL1189" s="81" t="str">
        <f aca="false">IF(AH1189&lt;&gt;"",AH1189,IF(AC1189&lt;&gt;"",AC1189,IF(X1189&lt;&gt;"",X1189,"")))</f>
        <v/>
      </c>
      <c r="AM1189" s="83" t="str">
        <f aca="false">IF(E1189="","",IF(R1189="","À SOUDER",IF(U1189="","VT EN ATTENTE",IF(U1189="R","VT REJETÉ – À REPRENDRE",IF(AL1189="","À RADIOGRAPHIER",IF(AL1189="A","ACCEPTÉ",IF(AL1189="NX","NX – RT À REFAIRE",IF(IF(AK1189=1,Z1189,IF(AK1189=2,AE1189,""))="A","RÉPARÉ – À RADIOGRAPHIER",IF(IF(AK1189=1,Z1189,IF(AK1189=2,AE1189,""))="R","VT REJETÉ – À REPRENDRE",IF(OR(AL1189="CO",AL1189="NT"),"COUPE – À RESOUDER","À RÉPARER"))))))))))</f>
        <v/>
      </c>
      <c r="AN1189" s="81" t="str">
        <f aca="false">IF(AND(ISNUMBER(R1189),OR(AM1189="À RADIOGRAPHIER",AM1189="RÉPARÉ – À RADIOGRAPHIER",AM1189="NX – RT À REFAIRE",AM1189="À RÉPARER",AM1189="COUPE – À RESOUDER",AM1189="VT REJETÉ – À REPRENDRE")),MAX(0,'PROGRAMME RT'!$C$4-R1189),"")</f>
        <v/>
      </c>
      <c r="AO1189" s="78" t="n">
        <f aca="false">IF(AND(OR(AM1189="À RADIOGRAPHIER",AM1189="RÉPARÉ – À RADIOGRAPHIER",AM1189="NX – RT À REFAIRE"),OR('PROGRAMME RT'!$D$5="TOUTES",B1189='PROGRAMME RT'!$D$5)),1,0)</f>
        <v>0</v>
      </c>
      <c r="AP1189" s="78" t="str">
        <f aca="false">IF(AO1189=1,SUM(AO$7:AO1189),"")</f>
        <v/>
      </c>
      <c r="AQ1189" s="78" t="n">
        <f aca="false">IF(AND(OR(X1189="R",X1189="NX",X1189="NT",X1189="CO"),OR('JOINTS DE RÉPARATION'!$D$5="TOUTES",B1189='JOINTS DE RÉPARATION'!$D$5),OR('JOINTS DE RÉPARATION'!$L$4="TOUS",AM1189&lt;&gt;"ACCEPTÉ")),1,0)</f>
        <v>0</v>
      </c>
      <c r="AR1189" s="78" t="str">
        <f aca="false">IF(AQ1189=1,SUM(AQ$7:AQ1189),"")</f>
        <v/>
      </c>
    </row>
    <row r="1190" customFormat="false" ht="15" hidden="false" customHeight="false" outlineLevel="0" collapsed="false">
      <c r="A1190" s="78" t="str">
        <f aca="false">IF(E1190="","",ROW()-6)</f>
        <v/>
      </c>
      <c r="B1190" s="79"/>
      <c r="C1190" s="80"/>
      <c r="D1190" s="80"/>
      <c r="E1190" s="80"/>
      <c r="F1190" s="80"/>
      <c r="G1190" s="80"/>
      <c r="H1190" s="80"/>
      <c r="I1190" s="80"/>
      <c r="J1190" s="80"/>
      <c r="K1190" s="80"/>
      <c r="L1190" s="81" t="str">
        <f aca="false">IF(K1190="","",IFERROR(INDEX(BARDAGE!$C$7:$C$1506,MATCH(K1190,BARDAGE!$B$7:$B$1506,0)),"? hors registre"))</f>
        <v/>
      </c>
      <c r="M1190" s="80"/>
      <c r="N1190" s="81" t="str">
        <f aca="false">IF(M1190="","",IFERROR(INDEX(BARDAGE!$C$7:$C$1506,MATCH(M1190,BARDAGE!$B$7:$B$1506,0)),"? hors registre"))</f>
        <v/>
      </c>
      <c r="O1190" s="80"/>
      <c r="P1190" s="80"/>
      <c r="Q1190" s="80"/>
      <c r="R1190" s="82"/>
      <c r="S1190" s="82"/>
      <c r="T1190" s="80"/>
      <c r="U1190" s="80"/>
      <c r="V1190" s="82"/>
      <c r="W1190" s="80"/>
      <c r="X1190" s="80"/>
      <c r="Y1190" s="80"/>
      <c r="Z1190" s="80"/>
      <c r="AA1190" s="82"/>
      <c r="AB1190" s="80"/>
      <c r="AC1190" s="80"/>
      <c r="AD1190" s="80"/>
      <c r="AE1190" s="80"/>
      <c r="AF1190" s="82"/>
      <c r="AG1190" s="80"/>
      <c r="AH1190" s="80"/>
      <c r="AI1190" s="82"/>
      <c r="AJ1190" s="79"/>
      <c r="AK1190" s="78" t="str">
        <f aca="false">IF(E1190="","",(X1190&lt;&gt;"")+(AC1190&lt;&gt;"")+(AH1190&lt;&gt;""))</f>
        <v/>
      </c>
      <c r="AL1190" s="81" t="str">
        <f aca="false">IF(AH1190&lt;&gt;"",AH1190,IF(AC1190&lt;&gt;"",AC1190,IF(X1190&lt;&gt;"",X1190,"")))</f>
        <v/>
      </c>
      <c r="AM1190" s="83" t="str">
        <f aca="false">IF(E1190="","",IF(R1190="","À SOUDER",IF(U1190="","VT EN ATTENTE",IF(U1190="R","VT REJETÉ – À REPRENDRE",IF(AL1190="","À RADIOGRAPHIER",IF(AL1190="A","ACCEPTÉ",IF(AL1190="NX","NX – RT À REFAIRE",IF(IF(AK1190=1,Z1190,IF(AK1190=2,AE1190,""))="A","RÉPARÉ – À RADIOGRAPHIER",IF(IF(AK1190=1,Z1190,IF(AK1190=2,AE1190,""))="R","VT REJETÉ – À REPRENDRE",IF(OR(AL1190="CO",AL1190="NT"),"COUPE – À RESOUDER","À RÉPARER"))))))))))</f>
        <v/>
      </c>
      <c r="AN1190" s="81" t="str">
        <f aca="false">IF(AND(ISNUMBER(R1190),OR(AM1190="À RADIOGRAPHIER",AM1190="RÉPARÉ – À RADIOGRAPHIER",AM1190="NX – RT À REFAIRE",AM1190="À RÉPARER",AM1190="COUPE – À RESOUDER",AM1190="VT REJETÉ – À REPRENDRE")),MAX(0,'PROGRAMME RT'!$C$4-R1190),"")</f>
        <v/>
      </c>
      <c r="AO1190" s="78" t="n">
        <f aca="false">IF(AND(OR(AM1190="À RADIOGRAPHIER",AM1190="RÉPARÉ – À RADIOGRAPHIER",AM1190="NX – RT À REFAIRE"),OR('PROGRAMME RT'!$D$5="TOUTES",B1190='PROGRAMME RT'!$D$5)),1,0)</f>
        <v>0</v>
      </c>
      <c r="AP1190" s="78" t="str">
        <f aca="false">IF(AO1190=1,SUM(AO$7:AO1190),"")</f>
        <v/>
      </c>
      <c r="AQ1190" s="78" t="n">
        <f aca="false">IF(AND(OR(X1190="R",X1190="NX",X1190="NT",X1190="CO"),OR('JOINTS DE RÉPARATION'!$D$5="TOUTES",B1190='JOINTS DE RÉPARATION'!$D$5),OR('JOINTS DE RÉPARATION'!$L$4="TOUS",AM1190&lt;&gt;"ACCEPTÉ")),1,0)</f>
        <v>0</v>
      </c>
      <c r="AR1190" s="78" t="str">
        <f aca="false">IF(AQ1190=1,SUM(AQ$7:AQ1190),"")</f>
        <v/>
      </c>
    </row>
    <row r="1191" customFormat="false" ht="15" hidden="false" customHeight="false" outlineLevel="0" collapsed="false">
      <c r="A1191" s="78" t="str">
        <f aca="false">IF(E1191="","",ROW()-6)</f>
        <v/>
      </c>
      <c r="B1191" s="79"/>
      <c r="C1191" s="80"/>
      <c r="D1191" s="80"/>
      <c r="E1191" s="80"/>
      <c r="F1191" s="80"/>
      <c r="G1191" s="80"/>
      <c r="H1191" s="80"/>
      <c r="I1191" s="80"/>
      <c r="J1191" s="80"/>
      <c r="K1191" s="80"/>
      <c r="L1191" s="81" t="str">
        <f aca="false">IF(K1191="","",IFERROR(INDEX(BARDAGE!$C$7:$C$1506,MATCH(K1191,BARDAGE!$B$7:$B$1506,0)),"? hors registre"))</f>
        <v/>
      </c>
      <c r="M1191" s="80"/>
      <c r="N1191" s="81" t="str">
        <f aca="false">IF(M1191="","",IFERROR(INDEX(BARDAGE!$C$7:$C$1506,MATCH(M1191,BARDAGE!$B$7:$B$1506,0)),"? hors registre"))</f>
        <v/>
      </c>
      <c r="O1191" s="80"/>
      <c r="P1191" s="80"/>
      <c r="Q1191" s="80"/>
      <c r="R1191" s="82"/>
      <c r="S1191" s="82"/>
      <c r="T1191" s="80"/>
      <c r="U1191" s="80"/>
      <c r="V1191" s="82"/>
      <c r="W1191" s="80"/>
      <c r="X1191" s="80"/>
      <c r="Y1191" s="80"/>
      <c r="Z1191" s="80"/>
      <c r="AA1191" s="82"/>
      <c r="AB1191" s="80"/>
      <c r="AC1191" s="80"/>
      <c r="AD1191" s="80"/>
      <c r="AE1191" s="80"/>
      <c r="AF1191" s="82"/>
      <c r="AG1191" s="80"/>
      <c r="AH1191" s="80"/>
      <c r="AI1191" s="82"/>
      <c r="AJ1191" s="79"/>
      <c r="AK1191" s="78" t="str">
        <f aca="false">IF(E1191="","",(X1191&lt;&gt;"")+(AC1191&lt;&gt;"")+(AH1191&lt;&gt;""))</f>
        <v/>
      </c>
      <c r="AL1191" s="81" t="str">
        <f aca="false">IF(AH1191&lt;&gt;"",AH1191,IF(AC1191&lt;&gt;"",AC1191,IF(X1191&lt;&gt;"",X1191,"")))</f>
        <v/>
      </c>
      <c r="AM1191" s="83" t="str">
        <f aca="false">IF(E1191="","",IF(R1191="","À SOUDER",IF(U1191="","VT EN ATTENTE",IF(U1191="R","VT REJETÉ – À REPRENDRE",IF(AL1191="","À RADIOGRAPHIER",IF(AL1191="A","ACCEPTÉ",IF(AL1191="NX","NX – RT À REFAIRE",IF(IF(AK1191=1,Z1191,IF(AK1191=2,AE1191,""))="A","RÉPARÉ – À RADIOGRAPHIER",IF(IF(AK1191=1,Z1191,IF(AK1191=2,AE1191,""))="R","VT REJETÉ – À REPRENDRE",IF(OR(AL1191="CO",AL1191="NT"),"COUPE – À RESOUDER","À RÉPARER"))))))))))</f>
        <v/>
      </c>
      <c r="AN1191" s="81" t="str">
        <f aca="false">IF(AND(ISNUMBER(R1191),OR(AM1191="À RADIOGRAPHIER",AM1191="RÉPARÉ – À RADIOGRAPHIER",AM1191="NX – RT À REFAIRE",AM1191="À RÉPARER",AM1191="COUPE – À RESOUDER",AM1191="VT REJETÉ – À REPRENDRE")),MAX(0,'PROGRAMME RT'!$C$4-R1191),"")</f>
        <v/>
      </c>
      <c r="AO1191" s="78" t="n">
        <f aca="false">IF(AND(OR(AM1191="À RADIOGRAPHIER",AM1191="RÉPARÉ – À RADIOGRAPHIER",AM1191="NX – RT À REFAIRE"),OR('PROGRAMME RT'!$D$5="TOUTES",B1191='PROGRAMME RT'!$D$5)),1,0)</f>
        <v>0</v>
      </c>
      <c r="AP1191" s="78" t="str">
        <f aca="false">IF(AO1191=1,SUM(AO$7:AO1191),"")</f>
        <v/>
      </c>
      <c r="AQ1191" s="78" t="n">
        <f aca="false">IF(AND(OR(X1191="R",X1191="NX",X1191="NT",X1191="CO"),OR('JOINTS DE RÉPARATION'!$D$5="TOUTES",B1191='JOINTS DE RÉPARATION'!$D$5),OR('JOINTS DE RÉPARATION'!$L$4="TOUS",AM1191&lt;&gt;"ACCEPTÉ")),1,0)</f>
        <v>0</v>
      </c>
      <c r="AR1191" s="78" t="str">
        <f aca="false">IF(AQ1191=1,SUM(AQ$7:AQ1191),"")</f>
        <v/>
      </c>
    </row>
    <row r="1192" customFormat="false" ht="15" hidden="false" customHeight="false" outlineLevel="0" collapsed="false">
      <c r="A1192" s="78" t="str">
        <f aca="false">IF(E1192="","",ROW()-6)</f>
        <v/>
      </c>
      <c r="B1192" s="79"/>
      <c r="C1192" s="80"/>
      <c r="D1192" s="80"/>
      <c r="E1192" s="80"/>
      <c r="F1192" s="80"/>
      <c r="G1192" s="80"/>
      <c r="H1192" s="80"/>
      <c r="I1192" s="80"/>
      <c r="J1192" s="80"/>
      <c r="K1192" s="80"/>
      <c r="L1192" s="81" t="str">
        <f aca="false">IF(K1192="","",IFERROR(INDEX(BARDAGE!$C$7:$C$1506,MATCH(K1192,BARDAGE!$B$7:$B$1506,0)),"? hors registre"))</f>
        <v/>
      </c>
      <c r="M1192" s="80"/>
      <c r="N1192" s="81" t="str">
        <f aca="false">IF(M1192="","",IFERROR(INDEX(BARDAGE!$C$7:$C$1506,MATCH(M1192,BARDAGE!$B$7:$B$1506,0)),"? hors registre"))</f>
        <v/>
      </c>
      <c r="O1192" s="80"/>
      <c r="P1192" s="80"/>
      <c r="Q1192" s="80"/>
      <c r="R1192" s="82"/>
      <c r="S1192" s="82"/>
      <c r="T1192" s="80"/>
      <c r="U1192" s="80"/>
      <c r="V1192" s="82"/>
      <c r="W1192" s="80"/>
      <c r="X1192" s="80"/>
      <c r="Y1192" s="80"/>
      <c r="Z1192" s="80"/>
      <c r="AA1192" s="82"/>
      <c r="AB1192" s="80"/>
      <c r="AC1192" s="80"/>
      <c r="AD1192" s="80"/>
      <c r="AE1192" s="80"/>
      <c r="AF1192" s="82"/>
      <c r="AG1192" s="80"/>
      <c r="AH1192" s="80"/>
      <c r="AI1192" s="82"/>
      <c r="AJ1192" s="79"/>
      <c r="AK1192" s="78" t="str">
        <f aca="false">IF(E1192="","",(X1192&lt;&gt;"")+(AC1192&lt;&gt;"")+(AH1192&lt;&gt;""))</f>
        <v/>
      </c>
      <c r="AL1192" s="81" t="str">
        <f aca="false">IF(AH1192&lt;&gt;"",AH1192,IF(AC1192&lt;&gt;"",AC1192,IF(X1192&lt;&gt;"",X1192,"")))</f>
        <v/>
      </c>
      <c r="AM1192" s="83" t="str">
        <f aca="false">IF(E1192="","",IF(R1192="","À SOUDER",IF(U1192="","VT EN ATTENTE",IF(U1192="R","VT REJETÉ – À REPRENDRE",IF(AL1192="","À RADIOGRAPHIER",IF(AL1192="A","ACCEPTÉ",IF(AL1192="NX","NX – RT À REFAIRE",IF(IF(AK1192=1,Z1192,IF(AK1192=2,AE1192,""))="A","RÉPARÉ – À RADIOGRAPHIER",IF(IF(AK1192=1,Z1192,IF(AK1192=2,AE1192,""))="R","VT REJETÉ – À REPRENDRE",IF(OR(AL1192="CO",AL1192="NT"),"COUPE – À RESOUDER","À RÉPARER"))))))))))</f>
        <v/>
      </c>
      <c r="AN1192" s="81" t="str">
        <f aca="false">IF(AND(ISNUMBER(R1192),OR(AM1192="À RADIOGRAPHIER",AM1192="RÉPARÉ – À RADIOGRAPHIER",AM1192="NX – RT À REFAIRE",AM1192="À RÉPARER",AM1192="COUPE – À RESOUDER",AM1192="VT REJETÉ – À REPRENDRE")),MAX(0,'PROGRAMME RT'!$C$4-R1192),"")</f>
        <v/>
      </c>
      <c r="AO1192" s="78" t="n">
        <f aca="false">IF(AND(OR(AM1192="À RADIOGRAPHIER",AM1192="RÉPARÉ – À RADIOGRAPHIER",AM1192="NX – RT À REFAIRE"),OR('PROGRAMME RT'!$D$5="TOUTES",B1192='PROGRAMME RT'!$D$5)),1,0)</f>
        <v>0</v>
      </c>
      <c r="AP1192" s="78" t="str">
        <f aca="false">IF(AO1192=1,SUM(AO$7:AO1192),"")</f>
        <v/>
      </c>
      <c r="AQ1192" s="78" t="n">
        <f aca="false">IF(AND(OR(X1192="R",X1192="NX",X1192="NT",X1192="CO"),OR('JOINTS DE RÉPARATION'!$D$5="TOUTES",B1192='JOINTS DE RÉPARATION'!$D$5),OR('JOINTS DE RÉPARATION'!$L$4="TOUS",AM1192&lt;&gt;"ACCEPTÉ")),1,0)</f>
        <v>0</v>
      </c>
      <c r="AR1192" s="78" t="str">
        <f aca="false">IF(AQ1192=1,SUM(AQ$7:AQ1192),"")</f>
        <v/>
      </c>
    </row>
    <row r="1193" customFormat="false" ht="15" hidden="false" customHeight="false" outlineLevel="0" collapsed="false">
      <c r="A1193" s="78" t="str">
        <f aca="false">IF(E1193="","",ROW()-6)</f>
        <v/>
      </c>
      <c r="B1193" s="79"/>
      <c r="C1193" s="80"/>
      <c r="D1193" s="80"/>
      <c r="E1193" s="80"/>
      <c r="F1193" s="80"/>
      <c r="G1193" s="80"/>
      <c r="H1193" s="80"/>
      <c r="I1193" s="80"/>
      <c r="J1193" s="80"/>
      <c r="K1193" s="80"/>
      <c r="L1193" s="81" t="str">
        <f aca="false">IF(K1193="","",IFERROR(INDEX(BARDAGE!$C$7:$C$1506,MATCH(K1193,BARDAGE!$B$7:$B$1506,0)),"? hors registre"))</f>
        <v/>
      </c>
      <c r="M1193" s="80"/>
      <c r="N1193" s="81" t="str">
        <f aca="false">IF(M1193="","",IFERROR(INDEX(BARDAGE!$C$7:$C$1506,MATCH(M1193,BARDAGE!$B$7:$B$1506,0)),"? hors registre"))</f>
        <v/>
      </c>
      <c r="O1193" s="80"/>
      <c r="P1193" s="80"/>
      <c r="Q1193" s="80"/>
      <c r="R1193" s="82"/>
      <c r="S1193" s="82"/>
      <c r="T1193" s="80"/>
      <c r="U1193" s="80"/>
      <c r="V1193" s="82"/>
      <c r="W1193" s="80"/>
      <c r="X1193" s="80"/>
      <c r="Y1193" s="80"/>
      <c r="Z1193" s="80"/>
      <c r="AA1193" s="82"/>
      <c r="AB1193" s="80"/>
      <c r="AC1193" s="80"/>
      <c r="AD1193" s="80"/>
      <c r="AE1193" s="80"/>
      <c r="AF1193" s="82"/>
      <c r="AG1193" s="80"/>
      <c r="AH1193" s="80"/>
      <c r="AI1193" s="82"/>
      <c r="AJ1193" s="79"/>
      <c r="AK1193" s="78" t="str">
        <f aca="false">IF(E1193="","",(X1193&lt;&gt;"")+(AC1193&lt;&gt;"")+(AH1193&lt;&gt;""))</f>
        <v/>
      </c>
      <c r="AL1193" s="81" t="str">
        <f aca="false">IF(AH1193&lt;&gt;"",AH1193,IF(AC1193&lt;&gt;"",AC1193,IF(X1193&lt;&gt;"",X1193,"")))</f>
        <v/>
      </c>
      <c r="AM1193" s="83" t="str">
        <f aca="false">IF(E1193="","",IF(R1193="","À SOUDER",IF(U1193="","VT EN ATTENTE",IF(U1193="R","VT REJETÉ – À REPRENDRE",IF(AL1193="","À RADIOGRAPHIER",IF(AL1193="A","ACCEPTÉ",IF(AL1193="NX","NX – RT À REFAIRE",IF(IF(AK1193=1,Z1193,IF(AK1193=2,AE1193,""))="A","RÉPARÉ – À RADIOGRAPHIER",IF(IF(AK1193=1,Z1193,IF(AK1193=2,AE1193,""))="R","VT REJETÉ – À REPRENDRE",IF(OR(AL1193="CO",AL1193="NT"),"COUPE – À RESOUDER","À RÉPARER"))))))))))</f>
        <v/>
      </c>
      <c r="AN1193" s="81" t="str">
        <f aca="false">IF(AND(ISNUMBER(R1193),OR(AM1193="À RADIOGRAPHIER",AM1193="RÉPARÉ – À RADIOGRAPHIER",AM1193="NX – RT À REFAIRE",AM1193="À RÉPARER",AM1193="COUPE – À RESOUDER",AM1193="VT REJETÉ – À REPRENDRE")),MAX(0,'PROGRAMME RT'!$C$4-R1193),"")</f>
        <v/>
      </c>
      <c r="AO1193" s="78" t="n">
        <f aca="false">IF(AND(OR(AM1193="À RADIOGRAPHIER",AM1193="RÉPARÉ – À RADIOGRAPHIER",AM1193="NX – RT À REFAIRE"),OR('PROGRAMME RT'!$D$5="TOUTES",B1193='PROGRAMME RT'!$D$5)),1,0)</f>
        <v>0</v>
      </c>
      <c r="AP1193" s="78" t="str">
        <f aca="false">IF(AO1193=1,SUM(AO$7:AO1193),"")</f>
        <v/>
      </c>
      <c r="AQ1193" s="78" t="n">
        <f aca="false">IF(AND(OR(X1193="R",X1193="NX",X1193="NT",X1193="CO"),OR('JOINTS DE RÉPARATION'!$D$5="TOUTES",B1193='JOINTS DE RÉPARATION'!$D$5),OR('JOINTS DE RÉPARATION'!$L$4="TOUS",AM1193&lt;&gt;"ACCEPTÉ")),1,0)</f>
        <v>0</v>
      </c>
      <c r="AR1193" s="78" t="str">
        <f aca="false">IF(AQ1193=1,SUM(AQ$7:AQ1193),"")</f>
        <v/>
      </c>
    </row>
    <row r="1194" customFormat="false" ht="15" hidden="false" customHeight="false" outlineLevel="0" collapsed="false">
      <c r="A1194" s="78" t="str">
        <f aca="false">IF(E1194="","",ROW()-6)</f>
        <v/>
      </c>
      <c r="B1194" s="79"/>
      <c r="C1194" s="80"/>
      <c r="D1194" s="80"/>
      <c r="E1194" s="80"/>
      <c r="F1194" s="80"/>
      <c r="G1194" s="80"/>
      <c r="H1194" s="80"/>
      <c r="I1194" s="80"/>
      <c r="J1194" s="80"/>
      <c r="K1194" s="80"/>
      <c r="L1194" s="81" t="str">
        <f aca="false">IF(K1194="","",IFERROR(INDEX(BARDAGE!$C$7:$C$1506,MATCH(K1194,BARDAGE!$B$7:$B$1506,0)),"? hors registre"))</f>
        <v/>
      </c>
      <c r="M1194" s="80"/>
      <c r="N1194" s="81" t="str">
        <f aca="false">IF(M1194="","",IFERROR(INDEX(BARDAGE!$C$7:$C$1506,MATCH(M1194,BARDAGE!$B$7:$B$1506,0)),"? hors registre"))</f>
        <v/>
      </c>
      <c r="O1194" s="80"/>
      <c r="P1194" s="80"/>
      <c r="Q1194" s="80"/>
      <c r="R1194" s="82"/>
      <c r="S1194" s="82"/>
      <c r="T1194" s="80"/>
      <c r="U1194" s="80"/>
      <c r="V1194" s="82"/>
      <c r="W1194" s="80"/>
      <c r="X1194" s="80"/>
      <c r="Y1194" s="80"/>
      <c r="Z1194" s="80"/>
      <c r="AA1194" s="82"/>
      <c r="AB1194" s="80"/>
      <c r="AC1194" s="80"/>
      <c r="AD1194" s="80"/>
      <c r="AE1194" s="80"/>
      <c r="AF1194" s="82"/>
      <c r="AG1194" s="80"/>
      <c r="AH1194" s="80"/>
      <c r="AI1194" s="82"/>
      <c r="AJ1194" s="79"/>
      <c r="AK1194" s="78" t="str">
        <f aca="false">IF(E1194="","",(X1194&lt;&gt;"")+(AC1194&lt;&gt;"")+(AH1194&lt;&gt;""))</f>
        <v/>
      </c>
      <c r="AL1194" s="81" t="str">
        <f aca="false">IF(AH1194&lt;&gt;"",AH1194,IF(AC1194&lt;&gt;"",AC1194,IF(X1194&lt;&gt;"",X1194,"")))</f>
        <v/>
      </c>
      <c r="AM1194" s="83" t="str">
        <f aca="false">IF(E1194="","",IF(R1194="","À SOUDER",IF(U1194="","VT EN ATTENTE",IF(U1194="R","VT REJETÉ – À REPRENDRE",IF(AL1194="","À RADIOGRAPHIER",IF(AL1194="A","ACCEPTÉ",IF(AL1194="NX","NX – RT À REFAIRE",IF(IF(AK1194=1,Z1194,IF(AK1194=2,AE1194,""))="A","RÉPARÉ – À RADIOGRAPHIER",IF(IF(AK1194=1,Z1194,IF(AK1194=2,AE1194,""))="R","VT REJETÉ – À REPRENDRE",IF(OR(AL1194="CO",AL1194="NT"),"COUPE – À RESOUDER","À RÉPARER"))))))))))</f>
        <v/>
      </c>
      <c r="AN1194" s="81" t="str">
        <f aca="false">IF(AND(ISNUMBER(R1194),OR(AM1194="À RADIOGRAPHIER",AM1194="RÉPARÉ – À RADIOGRAPHIER",AM1194="NX – RT À REFAIRE",AM1194="À RÉPARER",AM1194="COUPE – À RESOUDER",AM1194="VT REJETÉ – À REPRENDRE")),MAX(0,'PROGRAMME RT'!$C$4-R1194),"")</f>
        <v/>
      </c>
      <c r="AO1194" s="78" t="n">
        <f aca="false">IF(AND(OR(AM1194="À RADIOGRAPHIER",AM1194="RÉPARÉ – À RADIOGRAPHIER",AM1194="NX – RT À REFAIRE"),OR('PROGRAMME RT'!$D$5="TOUTES",B1194='PROGRAMME RT'!$D$5)),1,0)</f>
        <v>0</v>
      </c>
      <c r="AP1194" s="78" t="str">
        <f aca="false">IF(AO1194=1,SUM(AO$7:AO1194),"")</f>
        <v/>
      </c>
      <c r="AQ1194" s="78" t="n">
        <f aca="false">IF(AND(OR(X1194="R",X1194="NX",X1194="NT",X1194="CO"),OR('JOINTS DE RÉPARATION'!$D$5="TOUTES",B1194='JOINTS DE RÉPARATION'!$D$5),OR('JOINTS DE RÉPARATION'!$L$4="TOUS",AM1194&lt;&gt;"ACCEPTÉ")),1,0)</f>
        <v>0</v>
      </c>
      <c r="AR1194" s="78" t="str">
        <f aca="false">IF(AQ1194=1,SUM(AQ$7:AQ1194),"")</f>
        <v/>
      </c>
    </row>
    <row r="1195" customFormat="false" ht="15" hidden="false" customHeight="false" outlineLevel="0" collapsed="false">
      <c r="A1195" s="78" t="str">
        <f aca="false">IF(E1195="","",ROW()-6)</f>
        <v/>
      </c>
      <c r="B1195" s="79"/>
      <c r="C1195" s="80"/>
      <c r="D1195" s="80"/>
      <c r="E1195" s="80"/>
      <c r="F1195" s="80"/>
      <c r="G1195" s="80"/>
      <c r="H1195" s="80"/>
      <c r="I1195" s="80"/>
      <c r="J1195" s="80"/>
      <c r="K1195" s="80"/>
      <c r="L1195" s="81" t="str">
        <f aca="false">IF(K1195="","",IFERROR(INDEX(BARDAGE!$C$7:$C$1506,MATCH(K1195,BARDAGE!$B$7:$B$1506,0)),"? hors registre"))</f>
        <v/>
      </c>
      <c r="M1195" s="80"/>
      <c r="N1195" s="81" t="str">
        <f aca="false">IF(M1195="","",IFERROR(INDEX(BARDAGE!$C$7:$C$1506,MATCH(M1195,BARDAGE!$B$7:$B$1506,0)),"? hors registre"))</f>
        <v/>
      </c>
      <c r="O1195" s="80"/>
      <c r="P1195" s="80"/>
      <c r="Q1195" s="80"/>
      <c r="R1195" s="82"/>
      <c r="S1195" s="82"/>
      <c r="T1195" s="80"/>
      <c r="U1195" s="80"/>
      <c r="V1195" s="82"/>
      <c r="W1195" s="80"/>
      <c r="X1195" s="80"/>
      <c r="Y1195" s="80"/>
      <c r="Z1195" s="80"/>
      <c r="AA1195" s="82"/>
      <c r="AB1195" s="80"/>
      <c r="AC1195" s="80"/>
      <c r="AD1195" s="80"/>
      <c r="AE1195" s="80"/>
      <c r="AF1195" s="82"/>
      <c r="AG1195" s="80"/>
      <c r="AH1195" s="80"/>
      <c r="AI1195" s="82"/>
      <c r="AJ1195" s="79"/>
      <c r="AK1195" s="78" t="str">
        <f aca="false">IF(E1195="","",(X1195&lt;&gt;"")+(AC1195&lt;&gt;"")+(AH1195&lt;&gt;""))</f>
        <v/>
      </c>
      <c r="AL1195" s="81" t="str">
        <f aca="false">IF(AH1195&lt;&gt;"",AH1195,IF(AC1195&lt;&gt;"",AC1195,IF(X1195&lt;&gt;"",X1195,"")))</f>
        <v/>
      </c>
      <c r="AM1195" s="83" t="str">
        <f aca="false">IF(E1195="","",IF(R1195="","À SOUDER",IF(U1195="","VT EN ATTENTE",IF(U1195="R","VT REJETÉ – À REPRENDRE",IF(AL1195="","À RADIOGRAPHIER",IF(AL1195="A","ACCEPTÉ",IF(AL1195="NX","NX – RT À REFAIRE",IF(IF(AK1195=1,Z1195,IF(AK1195=2,AE1195,""))="A","RÉPARÉ – À RADIOGRAPHIER",IF(IF(AK1195=1,Z1195,IF(AK1195=2,AE1195,""))="R","VT REJETÉ – À REPRENDRE",IF(OR(AL1195="CO",AL1195="NT"),"COUPE – À RESOUDER","À RÉPARER"))))))))))</f>
        <v/>
      </c>
      <c r="AN1195" s="81" t="str">
        <f aca="false">IF(AND(ISNUMBER(R1195),OR(AM1195="À RADIOGRAPHIER",AM1195="RÉPARÉ – À RADIOGRAPHIER",AM1195="NX – RT À REFAIRE",AM1195="À RÉPARER",AM1195="COUPE – À RESOUDER",AM1195="VT REJETÉ – À REPRENDRE")),MAX(0,'PROGRAMME RT'!$C$4-R1195),"")</f>
        <v/>
      </c>
      <c r="AO1195" s="78" t="n">
        <f aca="false">IF(AND(OR(AM1195="À RADIOGRAPHIER",AM1195="RÉPARÉ – À RADIOGRAPHIER",AM1195="NX – RT À REFAIRE"),OR('PROGRAMME RT'!$D$5="TOUTES",B1195='PROGRAMME RT'!$D$5)),1,0)</f>
        <v>0</v>
      </c>
      <c r="AP1195" s="78" t="str">
        <f aca="false">IF(AO1195=1,SUM(AO$7:AO1195),"")</f>
        <v/>
      </c>
      <c r="AQ1195" s="78" t="n">
        <f aca="false">IF(AND(OR(X1195="R",X1195="NX",X1195="NT",X1195="CO"),OR('JOINTS DE RÉPARATION'!$D$5="TOUTES",B1195='JOINTS DE RÉPARATION'!$D$5),OR('JOINTS DE RÉPARATION'!$L$4="TOUS",AM1195&lt;&gt;"ACCEPTÉ")),1,0)</f>
        <v>0</v>
      </c>
      <c r="AR1195" s="78" t="str">
        <f aca="false">IF(AQ1195=1,SUM(AQ$7:AQ1195),"")</f>
        <v/>
      </c>
    </row>
    <row r="1196" customFormat="false" ht="15" hidden="false" customHeight="false" outlineLevel="0" collapsed="false">
      <c r="A1196" s="78" t="str">
        <f aca="false">IF(E1196="","",ROW()-6)</f>
        <v/>
      </c>
      <c r="B1196" s="79"/>
      <c r="C1196" s="80"/>
      <c r="D1196" s="80"/>
      <c r="E1196" s="80"/>
      <c r="F1196" s="80"/>
      <c r="G1196" s="80"/>
      <c r="H1196" s="80"/>
      <c r="I1196" s="80"/>
      <c r="J1196" s="80"/>
      <c r="K1196" s="80"/>
      <c r="L1196" s="81" t="str">
        <f aca="false">IF(K1196="","",IFERROR(INDEX(BARDAGE!$C$7:$C$1506,MATCH(K1196,BARDAGE!$B$7:$B$1506,0)),"? hors registre"))</f>
        <v/>
      </c>
      <c r="M1196" s="80"/>
      <c r="N1196" s="81" t="str">
        <f aca="false">IF(M1196="","",IFERROR(INDEX(BARDAGE!$C$7:$C$1506,MATCH(M1196,BARDAGE!$B$7:$B$1506,0)),"? hors registre"))</f>
        <v/>
      </c>
      <c r="O1196" s="80"/>
      <c r="P1196" s="80"/>
      <c r="Q1196" s="80"/>
      <c r="R1196" s="82"/>
      <c r="S1196" s="82"/>
      <c r="T1196" s="80"/>
      <c r="U1196" s="80"/>
      <c r="V1196" s="82"/>
      <c r="W1196" s="80"/>
      <c r="X1196" s="80"/>
      <c r="Y1196" s="80"/>
      <c r="Z1196" s="80"/>
      <c r="AA1196" s="82"/>
      <c r="AB1196" s="80"/>
      <c r="AC1196" s="80"/>
      <c r="AD1196" s="80"/>
      <c r="AE1196" s="80"/>
      <c r="AF1196" s="82"/>
      <c r="AG1196" s="80"/>
      <c r="AH1196" s="80"/>
      <c r="AI1196" s="82"/>
      <c r="AJ1196" s="79"/>
      <c r="AK1196" s="78" t="str">
        <f aca="false">IF(E1196="","",(X1196&lt;&gt;"")+(AC1196&lt;&gt;"")+(AH1196&lt;&gt;""))</f>
        <v/>
      </c>
      <c r="AL1196" s="81" t="str">
        <f aca="false">IF(AH1196&lt;&gt;"",AH1196,IF(AC1196&lt;&gt;"",AC1196,IF(X1196&lt;&gt;"",X1196,"")))</f>
        <v/>
      </c>
      <c r="AM1196" s="83" t="str">
        <f aca="false">IF(E1196="","",IF(R1196="","À SOUDER",IF(U1196="","VT EN ATTENTE",IF(U1196="R","VT REJETÉ – À REPRENDRE",IF(AL1196="","À RADIOGRAPHIER",IF(AL1196="A","ACCEPTÉ",IF(AL1196="NX","NX – RT À REFAIRE",IF(IF(AK1196=1,Z1196,IF(AK1196=2,AE1196,""))="A","RÉPARÉ – À RADIOGRAPHIER",IF(IF(AK1196=1,Z1196,IF(AK1196=2,AE1196,""))="R","VT REJETÉ – À REPRENDRE",IF(OR(AL1196="CO",AL1196="NT"),"COUPE – À RESOUDER","À RÉPARER"))))))))))</f>
        <v/>
      </c>
      <c r="AN1196" s="81" t="str">
        <f aca="false">IF(AND(ISNUMBER(R1196),OR(AM1196="À RADIOGRAPHIER",AM1196="RÉPARÉ – À RADIOGRAPHIER",AM1196="NX – RT À REFAIRE",AM1196="À RÉPARER",AM1196="COUPE – À RESOUDER",AM1196="VT REJETÉ – À REPRENDRE")),MAX(0,'PROGRAMME RT'!$C$4-R1196),"")</f>
        <v/>
      </c>
      <c r="AO1196" s="78" t="n">
        <f aca="false">IF(AND(OR(AM1196="À RADIOGRAPHIER",AM1196="RÉPARÉ – À RADIOGRAPHIER",AM1196="NX – RT À REFAIRE"),OR('PROGRAMME RT'!$D$5="TOUTES",B1196='PROGRAMME RT'!$D$5)),1,0)</f>
        <v>0</v>
      </c>
      <c r="AP1196" s="78" t="str">
        <f aca="false">IF(AO1196=1,SUM(AO$7:AO1196),"")</f>
        <v/>
      </c>
      <c r="AQ1196" s="78" t="n">
        <f aca="false">IF(AND(OR(X1196="R",X1196="NX",X1196="NT",X1196="CO"),OR('JOINTS DE RÉPARATION'!$D$5="TOUTES",B1196='JOINTS DE RÉPARATION'!$D$5),OR('JOINTS DE RÉPARATION'!$L$4="TOUS",AM1196&lt;&gt;"ACCEPTÉ")),1,0)</f>
        <v>0</v>
      </c>
      <c r="AR1196" s="78" t="str">
        <f aca="false">IF(AQ1196=1,SUM(AQ$7:AQ1196),"")</f>
        <v/>
      </c>
    </row>
    <row r="1197" customFormat="false" ht="15" hidden="false" customHeight="false" outlineLevel="0" collapsed="false">
      <c r="A1197" s="78" t="str">
        <f aca="false">IF(E1197="","",ROW()-6)</f>
        <v/>
      </c>
      <c r="B1197" s="79"/>
      <c r="C1197" s="80"/>
      <c r="D1197" s="80"/>
      <c r="E1197" s="80"/>
      <c r="F1197" s="80"/>
      <c r="G1197" s="80"/>
      <c r="H1197" s="80"/>
      <c r="I1197" s="80"/>
      <c r="J1197" s="80"/>
      <c r="K1197" s="80"/>
      <c r="L1197" s="81" t="str">
        <f aca="false">IF(K1197="","",IFERROR(INDEX(BARDAGE!$C$7:$C$1506,MATCH(K1197,BARDAGE!$B$7:$B$1506,0)),"? hors registre"))</f>
        <v/>
      </c>
      <c r="M1197" s="80"/>
      <c r="N1197" s="81" t="str">
        <f aca="false">IF(M1197="","",IFERROR(INDEX(BARDAGE!$C$7:$C$1506,MATCH(M1197,BARDAGE!$B$7:$B$1506,0)),"? hors registre"))</f>
        <v/>
      </c>
      <c r="O1197" s="80"/>
      <c r="P1197" s="80"/>
      <c r="Q1197" s="80"/>
      <c r="R1197" s="82"/>
      <c r="S1197" s="82"/>
      <c r="T1197" s="80"/>
      <c r="U1197" s="80"/>
      <c r="V1197" s="82"/>
      <c r="W1197" s="80"/>
      <c r="X1197" s="80"/>
      <c r="Y1197" s="80"/>
      <c r="Z1197" s="80"/>
      <c r="AA1197" s="82"/>
      <c r="AB1197" s="80"/>
      <c r="AC1197" s="80"/>
      <c r="AD1197" s="80"/>
      <c r="AE1197" s="80"/>
      <c r="AF1197" s="82"/>
      <c r="AG1197" s="80"/>
      <c r="AH1197" s="80"/>
      <c r="AI1197" s="82"/>
      <c r="AJ1197" s="79"/>
      <c r="AK1197" s="78" t="str">
        <f aca="false">IF(E1197="","",(X1197&lt;&gt;"")+(AC1197&lt;&gt;"")+(AH1197&lt;&gt;""))</f>
        <v/>
      </c>
      <c r="AL1197" s="81" t="str">
        <f aca="false">IF(AH1197&lt;&gt;"",AH1197,IF(AC1197&lt;&gt;"",AC1197,IF(X1197&lt;&gt;"",X1197,"")))</f>
        <v/>
      </c>
      <c r="AM1197" s="83" t="str">
        <f aca="false">IF(E1197="","",IF(R1197="","À SOUDER",IF(U1197="","VT EN ATTENTE",IF(U1197="R","VT REJETÉ – À REPRENDRE",IF(AL1197="","À RADIOGRAPHIER",IF(AL1197="A","ACCEPTÉ",IF(AL1197="NX","NX – RT À REFAIRE",IF(IF(AK1197=1,Z1197,IF(AK1197=2,AE1197,""))="A","RÉPARÉ – À RADIOGRAPHIER",IF(IF(AK1197=1,Z1197,IF(AK1197=2,AE1197,""))="R","VT REJETÉ – À REPRENDRE",IF(OR(AL1197="CO",AL1197="NT"),"COUPE – À RESOUDER","À RÉPARER"))))))))))</f>
        <v/>
      </c>
      <c r="AN1197" s="81" t="str">
        <f aca="false">IF(AND(ISNUMBER(R1197),OR(AM1197="À RADIOGRAPHIER",AM1197="RÉPARÉ – À RADIOGRAPHIER",AM1197="NX – RT À REFAIRE",AM1197="À RÉPARER",AM1197="COUPE – À RESOUDER",AM1197="VT REJETÉ – À REPRENDRE")),MAX(0,'PROGRAMME RT'!$C$4-R1197),"")</f>
        <v/>
      </c>
      <c r="AO1197" s="78" t="n">
        <f aca="false">IF(AND(OR(AM1197="À RADIOGRAPHIER",AM1197="RÉPARÉ – À RADIOGRAPHIER",AM1197="NX – RT À REFAIRE"),OR('PROGRAMME RT'!$D$5="TOUTES",B1197='PROGRAMME RT'!$D$5)),1,0)</f>
        <v>0</v>
      </c>
      <c r="AP1197" s="78" t="str">
        <f aca="false">IF(AO1197=1,SUM(AO$7:AO1197),"")</f>
        <v/>
      </c>
      <c r="AQ1197" s="78" t="n">
        <f aca="false">IF(AND(OR(X1197="R",X1197="NX",X1197="NT",X1197="CO"),OR('JOINTS DE RÉPARATION'!$D$5="TOUTES",B1197='JOINTS DE RÉPARATION'!$D$5),OR('JOINTS DE RÉPARATION'!$L$4="TOUS",AM1197&lt;&gt;"ACCEPTÉ")),1,0)</f>
        <v>0</v>
      </c>
      <c r="AR1197" s="78" t="str">
        <f aca="false">IF(AQ1197=1,SUM(AQ$7:AQ1197),"")</f>
        <v/>
      </c>
    </row>
    <row r="1198" customFormat="false" ht="15" hidden="false" customHeight="false" outlineLevel="0" collapsed="false">
      <c r="A1198" s="78" t="str">
        <f aca="false">IF(E1198="","",ROW()-6)</f>
        <v/>
      </c>
      <c r="B1198" s="79"/>
      <c r="C1198" s="80"/>
      <c r="D1198" s="80"/>
      <c r="E1198" s="80"/>
      <c r="F1198" s="80"/>
      <c r="G1198" s="80"/>
      <c r="H1198" s="80"/>
      <c r="I1198" s="80"/>
      <c r="J1198" s="80"/>
      <c r="K1198" s="80"/>
      <c r="L1198" s="81" t="str">
        <f aca="false">IF(K1198="","",IFERROR(INDEX(BARDAGE!$C$7:$C$1506,MATCH(K1198,BARDAGE!$B$7:$B$1506,0)),"? hors registre"))</f>
        <v/>
      </c>
      <c r="M1198" s="80"/>
      <c r="N1198" s="81" t="str">
        <f aca="false">IF(M1198="","",IFERROR(INDEX(BARDAGE!$C$7:$C$1506,MATCH(M1198,BARDAGE!$B$7:$B$1506,0)),"? hors registre"))</f>
        <v/>
      </c>
      <c r="O1198" s="80"/>
      <c r="P1198" s="80"/>
      <c r="Q1198" s="80"/>
      <c r="R1198" s="82"/>
      <c r="S1198" s="82"/>
      <c r="T1198" s="80"/>
      <c r="U1198" s="80"/>
      <c r="V1198" s="82"/>
      <c r="W1198" s="80"/>
      <c r="X1198" s="80"/>
      <c r="Y1198" s="80"/>
      <c r="Z1198" s="80"/>
      <c r="AA1198" s="82"/>
      <c r="AB1198" s="80"/>
      <c r="AC1198" s="80"/>
      <c r="AD1198" s="80"/>
      <c r="AE1198" s="80"/>
      <c r="AF1198" s="82"/>
      <c r="AG1198" s="80"/>
      <c r="AH1198" s="80"/>
      <c r="AI1198" s="82"/>
      <c r="AJ1198" s="79"/>
      <c r="AK1198" s="78" t="str">
        <f aca="false">IF(E1198="","",(X1198&lt;&gt;"")+(AC1198&lt;&gt;"")+(AH1198&lt;&gt;""))</f>
        <v/>
      </c>
      <c r="AL1198" s="81" t="str">
        <f aca="false">IF(AH1198&lt;&gt;"",AH1198,IF(AC1198&lt;&gt;"",AC1198,IF(X1198&lt;&gt;"",X1198,"")))</f>
        <v/>
      </c>
      <c r="AM1198" s="83" t="str">
        <f aca="false">IF(E1198="","",IF(R1198="","À SOUDER",IF(U1198="","VT EN ATTENTE",IF(U1198="R","VT REJETÉ – À REPRENDRE",IF(AL1198="","À RADIOGRAPHIER",IF(AL1198="A","ACCEPTÉ",IF(AL1198="NX","NX – RT À REFAIRE",IF(IF(AK1198=1,Z1198,IF(AK1198=2,AE1198,""))="A","RÉPARÉ – À RADIOGRAPHIER",IF(IF(AK1198=1,Z1198,IF(AK1198=2,AE1198,""))="R","VT REJETÉ – À REPRENDRE",IF(OR(AL1198="CO",AL1198="NT"),"COUPE – À RESOUDER","À RÉPARER"))))))))))</f>
        <v/>
      </c>
      <c r="AN1198" s="81" t="str">
        <f aca="false">IF(AND(ISNUMBER(R1198),OR(AM1198="À RADIOGRAPHIER",AM1198="RÉPARÉ – À RADIOGRAPHIER",AM1198="NX – RT À REFAIRE",AM1198="À RÉPARER",AM1198="COUPE – À RESOUDER",AM1198="VT REJETÉ – À REPRENDRE")),MAX(0,'PROGRAMME RT'!$C$4-R1198),"")</f>
        <v/>
      </c>
      <c r="AO1198" s="78" t="n">
        <f aca="false">IF(AND(OR(AM1198="À RADIOGRAPHIER",AM1198="RÉPARÉ – À RADIOGRAPHIER",AM1198="NX – RT À REFAIRE"),OR('PROGRAMME RT'!$D$5="TOUTES",B1198='PROGRAMME RT'!$D$5)),1,0)</f>
        <v>0</v>
      </c>
      <c r="AP1198" s="78" t="str">
        <f aca="false">IF(AO1198=1,SUM(AO$7:AO1198),"")</f>
        <v/>
      </c>
      <c r="AQ1198" s="78" t="n">
        <f aca="false">IF(AND(OR(X1198="R",X1198="NX",X1198="NT",X1198="CO"),OR('JOINTS DE RÉPARATION'!$D$5="TOUTES",B1198='JOINTS DE RÉPARATION'!$D$5),OR('JOINTS DE RÉPARATION'!$L$4="TOUS",AM1198&lt;&gt;"ACCEPTÉ")),1,0)</f>
        <v>0</v>
      </c>
      <c r="AR1198" s="78" t="str">
        <f aca="false">IF(AQ1198=1,SUM(AQ$7:AQ1198),"")</f>
        <v/>
      </c>
    </row>
    <row r="1199" customFormat="false" ht="15" hidden="false" customHeight="false" outlineLevel="0" collapsed="false">
      <c r="A1199" s="78" t="str">
        <f aca="false">IF(E1199="","",ROW()-6)</f>
        <v/>
      </c>
      <c r="B1199" s="79"/>
      <c r="C1199" s="80"/>
      <c r="D1199" s="80"/>
      <c r="E1199" s="80"/>
      <c r="F1199" s="80"/>
      <c r="G1199" s="80"/>
      <c r="H1199" s="80"/>
      <c r="I1199" s="80"/>
      <c r="J1199" s="80"/>
      <c r="K1199" s="80"/>
      <c r="L1199" s="81" t="str">
        <f aca="false">IF(K1199="","",IFERROR(INDEX(BARDAGE!$C$7:$C$1506,MATCH(K1199,BARDAGE!$B$7:$B$1506,0)),"? hors registre"))</f>
        <v/>
      </c>
      <c r="M1199" s="80"/>
      <c r="N1199" s="81" t="str">
        <f aca="false">IF(M1199="","",IFERROR(INDEX(BARDAGE!$C$7:$C$1506,MATCH(M1199,BARDAGE!$B$7:$B$1506,0)),"? hors registre"))</f>
        <v/>
      </c>
      <c r="O1199" s="80"/>
      <c r="P1199" s="80"/>
      <c r="Q1199" s="80"/>
      <c r="R1199" s="82"/>
      <c r="S1199" s="82"/>
      <c r="T1199" s="80"/>
      <c r="U1199" s="80"/>
      <c r="V1199" s="82"/>
      <c r="W1199" s="80"/>
      <c r="X1199" s="80"/>
      <c r="Y1199" s="80"/>
      <c r="Z1199" s="80"/>
      <c r="AA1199" s="82"/>
      <c r="AB1199" s="80"/>
      <c r="AC1199" s="80"/>
      <c r="AD1199" s="80"/>
      <c r="AE1199" s="80"/>
      <c r="AF1199" s="82"/>
      <c r="AG1199" s="80"/>
      <c r="AH1199" s="80"/>
      <c r="AI1199" s="82"/>
      <c r="AJ1199" s="79"/>
      <c r="AK1199" s="78" t="str">
        <f aca="false">IF(E1199="","",(X1199&lt;&gt;"")+(AC1199&lt;&gt;"")+(AH1199&lt;&gt;""))</f>
        <v/>
      </c>
      <c r="AL1199" s="81" t="str">
        <f aca="false">IF(AH1199&lt;&gt;"",AH1199,IF(AC1199&lt;&gt;"",AC1199,IF(X1199&lt;&gt;"",X1199,"")))</f>
        <v/>
      </c>
      <c r="AM1199" s="83" t="str">
        <f aca="false">IF(E1199="","",IF(R1199="","À SOUDER",IF(U1199="","VT EN ATTENTE",IF(U1199="R","VT REJETÉ – À REPRENDRE",IF(AL1199="","À RADIOGRAPHIER",IF(AL1199="A","ACCEPTÉ",IF(AL1199="NX","NX – RT À REFAIRE",IF(IF(AK1199=1,Z1199,IF(AK1199=2,AE1199,""))="A","RÉPARÉ – À RADIOGRAPHIER",IF(IF(AK1199=1,Z1199,IF(AK1199=2,AE1199,""))="R","VT REJETÉ – À REPRENDRE",IF(OR(AL1199="CO",AL1199="NT"),"COUPE – À RESOUDER","À RÉPARER"))))))))))</f>
        <v/>
      </c>
      <c r="AN1199" s="81" t="str">
        <f aca="false">IF(AND(ISNUMBER(R1199),OR(AM1199="À RADIOGRAPHIER",AM1199="RÉPARÉ – À RADIOGRAPHIER",AM1199="NX – RT À REFAIRE",AM1199="À RÉPARER",AM1199="COUPE – À RESOUDER",AM1199="VT REJETÉ – À REPRENDRE")),MAX(0,'PROGRAMME RT'!$C$4-R1199),"")</f>
        <v/>
      </c>
      <c r="AO1199" s="78" t="n">
        <f aca="false">IF(AND(OR(AM1199="À RADIOGRAPHIER",AM1199="RÉPARÉ – À RADIOGRAPHIER",AM1199="NX – RT À REFAIRE"),OR('PROGRAMME RT'!$D$5="TOUTES",B1199='PROGRAMME RT'!$D$5)),1,0)</f>
        <v>0</v>
      </c>
      <c r="AP1199" s="78" t="str">
        <f aca="false">IF(AO1199=1,SUM(AO$7:AO1199),"")</f>
        <v/>
      </c>
      <c r="AQ1199" s="78" t="n">
        <f aca="false">IF(AND(OR(X1199="R",X1199="NX",X1199="NT",X1199="CO"),OR('JOINTS DE RÉPARATION'!$D$5="TOUTES",B1199='JOINTS DE RÉPARATION'!$D$5),OR('JOINTS DE RÉPARATION'!$L$4="TOUS",AM1199&lt;&gt;"ACCEPTÉ")),1,0)</f>
        <v>0</v>
      </c>
      <c r="AR1199" s="78" t="str">
        <f aca="false">IF(AQ1199=1,SUM(AQ$7:AQ1199),"")</f>
        <v/>
      </c>
    </row>
    <row r="1200" customFormat="false" ht="15" hidden="false" customHeight="false" outlineLevel="0" collapsed="false">
      <c r="A1200" s="78" t="str">
        <f aca="false">IF(E1200="","",ROW()-6)</f>
        <v/>
      </c>
      <c r="B1200" s="79"/>
      <c r="C1200" s="80"/>
      <c r="D1200" s="80"/>
      <c r="E1200" s="80"/>
      <c r="F1200" s="80"/>
      <c r="G1200" s="80"/>
      <c r="H1200" s="80"/>
      <c r="I1200" s="80"/>
      <c r="J1200" s="80"/>
      <c r="K1200" s="80"/>
      <c r="L1200" s="81" t="str">
        <f aca="false">IF(K1200="","",IFERROR(INDEX(BARDAGE!$C$7:$C$1506,MATCH(K1200,BARDAGE!$B$7:$B$1506,0)),"? hors registre"))</f>
        <v/>
      </c>
      <c r="M1200" s="80"/>
      <c r="N1200" s="81" t="str">
        <f aca="false">IF(M1200="","",IFERROR(INDEX(BARDAGE!$C$7:$C$1506,MATCH(M1200,BARDAGE!$B$7:$B$1506,0)),"? hors registre"))</f>
        <v/>
      </c>
      <c r="O1200" s="80"/>
      <c r="P1200" s="80"/>
      <c r="Q1200" s="80"/>
      <c r="R1200" s="82"/>
      <c r="S1200" s="82"/>
      <c r="T1200" s="80"/>
      <c r="U1200" s="80"/>
      <c r="V1200" s="82"/>
      <c r="W1200" s="80"/>
      <c r="X1200" s="80"/>
      <c r="Y1200" s="80"/>
      <c r="Z1200" s="80"/>
      <c r="AA1200" s="82"/>
      <c r="AB1200" s="80"/>
      <c r="AC1200" s="80"/>
      <c r="AD1200" s="80"/>
      <c r="AE1200" s="80"/>
      <c r="AF1200" s="82"/>
      <c r="AG1200" s="80"/>
      <c r="AH1200" s="80"/>
      <c r="AI1200" s="82"/>
      <c r="AJ1200" s="79"/>
      <c r="AK1200" s="78" t="str">
        <f aca="false">IF(E1200="","",(X1200&lt;&gt;"")+(AC1200&lt;&gt;"")+(AH1200&lt;&gt;""))</f>
        <v/>
      </c>
      <c r="AL1200" s="81" t="str">
        <f aca="false">IF(AH1200&lt;&gt;"",AH1200,IF(AC1200&lt;&gt;"",AC1200,IF(X1200&lt;&gt;"",X1200,"")))</f>
        <v/>
      </c>
      <c r="AM1200" s="83" t="str">
        <f aca="false">IF(E1200="","",IF(R1200="","À SOUDER",IF(U1200="","VT EN ATTENTE",IF(U1200="R","VT REJETÉ – À REPRENDRE",IF(AL1200="","À RADIOGRAPHIER",IF(AL1200="A","ACCEPTÉ",IF(AL1200="NX","NX – RT À REFAIRE",IF(IF(AK1200=1,Z1200,IF(AK1200=2,AE1200,""))="A","RÉPARÉ – À RADIOGRAPHIER",IF(IF(AK1200=1,Z1200,IF(AK1200=2,AE1200,""))="R","VT REJETÉ – À REPRENDRE",IF(OR(AL1200="CO",AL1200="NT"),"COUPE – À RESOUDER","À RÉPARER"))))))))))</f>
        <v/>
      </c>
      <c r="AN1200" s="81" t="str">
        <f aca="false">IF(AND(ISNUMBER(R1200),OR(AM1200="À RADIOGRAPHIER",AM1200="RÉPARÉ – À RADIOGRAPHIER",AM1200="NX – RT À REFAIRE",AM1200="À RÉPARER",AM1200="COUPE – À RESOUDER",AM1200="VT REJETÉ – À REPRENDRE")),MAX(0,'PROGRAMME RT'!$C$4-R1200),"")</f>
        <v/>
      </c>
      <c r="AO1200" s="78" t="n">
        <f aca="false">IF(AND(OR(AM1200="À RADIOGRAPHIER",AM1200="RÉPARÉ – À RADIOGRAPHIER",AM1200="NX – RT À REFAIRE"),OR('PROGRAMME RT'!$D$5="TOUTES",B1200='PROGRAMME RT'!$D$5)),1,0)</f>
        <v>0</v>
      </c>
      <c r="AP1200" s="78" t="str">
        <f aca="false">IF(AO1200=1,SUM(AO$7:AO1200),"")</f>
        <v/>
      </c>
      <c r="AQ1200" s="78" t="n">
        <f aca="false">IF(AND(OR(X1200="R",X1200="NX",X1200="NT",X1200="CO"),OR('JOINTS DE RÉPARATION'!$D$5="TOUTES",B1200='JOINTS DE RÉPARATION'!$D$5),OR('JOINTS DE RÉPARATION'!$L$4="TOUS",AM1200&lt;&gt;"ACCEPTÉ")),1,0)</f>
        <v>0</v>
      </c>
      <c r="AR1200" s="78" t="str">
        <f aca="false">IF(AQ1200=1,SUM(AQ$7:AQ1200),"")</f>
        <v/>
      </c>
    </row>
    <row r="1201" customFormat="false" ht="15" hidden="false" customHeight="false" outlineLevel="0" collapsed="false">
      <c r="A1201" s="78" t="str">
        <f aca="false">IF(E1201="","",ROW()-6)</f>
        <v/>
      </c>
      <c r="B1201" s="79"/>
      <c r="C1201" s="80"/>
      <c r="D1201" s="80"/>
      <c r="E1201" s="80"/>
      <c r="F1201" s="80"/>
      <c r="G1201" s="80"/>
      <c r="H1201" s="80"/>
      <c r="I1201" s="80"/>
      <c r="J1201" s="80"/>
      <c r="K1201" s="80"/>
      <c r="L1201" s="81" t="str">
        <f aca="false">IF(K1201="","",IFERROR(INDEX(BARDAGE!$C$7:$C$1506,MATCH(K1201,BARDAGE!$B$7:$B$1506,0)),"? hors registre"))</f>
        <v/>
      </c>
      <c r="M1201" s="80"/>
      <c r="N1201" s="81" t="str">
        <f aca="false">IF(M1201="","",IFERROR(INDEX(BARDAGE!$C$7:$C$1506,MATCH(M1201,BARDAGE!$B$7:$B$1506,0)),"? hors registre"))</f>
        <v/>
      </c>
      <c r="O1201" s="80"/>
      <c r="P1201" s="80"/>
      <c r="Q1201" s="80"/>
      <c r="R1201" s="82"/>
      <c r="S1201" s="82"/>
      <c r="T1201" s="80"/>
      <c r="U1201" s="80"/>
      <c r="V1201" s="82"/>
      <c r="W1201" s="80"/>
      <c r="X1201" s="80"/>
      <c r="Y1201" s="80"/>
      <c r="Z1201" s="80"/>
      <c r="AA1201" s="82"/>
      <c r="AB1201" s="80"/>
      <c r="AC1201" s="80"/>
      <c r="AD1201" s="80"/>
      <c r="AE1201" s="80"/>
      <c r="AF1201" s="82"/>
      <c r="AG1201" s="80"/>
      <c r="AH1201" s="80"/>
      <c r="AI1201" s="82"/>
      <c r="AJ1201" s="79"/>
      <c r="AK1201" s="78" t="str">
        <f aca="false">IF(E1201="","",(X1201&lt;&gt;"")+(AC1201&lt;&gt;"")+(AH1201&lt;&gt;""))</f>
        <v/>
      </c>
      <c r="AL1201" s="81" t="str">
        <f aca="false">IF(AH1201&lt;&gt;"",AH1201,IF(AC1201&lt;&gt;"",AC1201,IF(X1201&lt;&gt;"",X1201,"")))</f>
        <v/>
      </c>
      <c r="AM1201" s="83" t="str">
        <f aca="false">IF(E1201="","",IF(R1201="","À SOUDER",IF(U1201="","VT EN ATTENTE",IF(U1201="R","VT REJETÉ – À REPRENDRE",IF(AL1201="","À RADIOGRAPHIER",IF(AL1201="A","ACCEPTÉ",IF(AL1201="NX","NX – RT À REFAIRE",IF(IF(AK1201=1,Z1201,IF(AK1201=2,AE1201,""))="A","RÉPARÉ – À RADIOGRAPHIER",IF(IF(AK1201=1,Z1201,IF(AK1201=2,AE1201,""))="R","VT REJETÉ – À REPRENDRE",IF(OR(AL1201="CO",AL1201="NT"),"COUPE – À RESOUDER","À RÉPARER"))))))))))</f>
        <v/>
      </c>
      <c r="AN1201" s="81" t="str">
        <f aca="false">IF(AND(ISNUMBER(R1201),OR(AM1201="À RADIOGRAPHIER",AM1201="RÉPARÉ – À RADIOGRAPHIER",AM1201="NX – RT À REFAIRE",AM1201="À RÉPARER",AM1201="COUPE – À RESOUDER",AM1201="VT REJETÉ – À REPRENDRE")),MAX(0,'PROGRAMME RT'!$C$4-R1201),"")</f>
        <v/>
      </c>
      <c r="AO1201" s="78" t="n">
        <f aca="false">IF(AND(OR(AM1201="À RADIOGRAPHIER",AM1201="RÉPARÉ – À RADIOGRAPHIER",AM1201="NX – RT À REFAIRE"),OR('PROGRAMME RT'!$D$5="TOUTES",B1201='PROGRAMME RT'!$D$5)),1,0)</f>
        <v>0</v>
      </c>
      <c r="AP1201" s="78" t="str">
        <f aca="false">IF(AO1201=1,SUM(AO$7:AO1201),"")</f>
        <v/>
      </c>
      <c r="AQ1201" s="78" t="n">
        <f aca="false">IF(AND(OR(X1201="R",X1201="NX",X1201="NT",X1201="CO"),OR('JOINTS DE RÉPARATION'!$D$5="TOUTES",B1201='JOINTS DE RÉPARATION'!$D$5),OR('JOINTS DE RÉPARATION'!$L$4="TOUS",AM1201&lt;&gt;"ACCEPTÉ")),1,0)</f>
        <v>0</v>
      </c>
      <c r="AR1201" s="78" t="str">
        <f aca="false">IF(AQ1201=1,SUM(AQ$7:AQ1201),"")</f>
        <v/>
      </c>
    </row>
    <row r="1202" customFormat="false" ht="15" hidden="false" customHeight="false" outlineLevel="0" collapsed="false">
      <c r="A1202" s="78" t="str">
        <f aca="false">IF(E1202="","",ROW()-6)</f>
        <v/>
      </c>
      <c r="B1202" s="79"/>
      <c r="C1202" s="80"/>
      <c r="D1202" s="80"/>
      <c r="E1202" s="80"/>
      <c r="F1202" s="80"/>
      <c r="G1202" s="80"/>
      <c r="H1202" s="80"/>
      <c r="I1202" s="80"/>
      <c r="J1202" s="80"/>
      <c r="K1202" s="80"/>
      <c r="L1202" s="81" t="str">
        <f aca="false">IF(K1202="","",IFERROR(INDEX(BARDAGE!$C$7:$C$1506,MATCH(K1202,BARDAGE!$B$7:$B$1506,0)),"? hors registre"))</f>
        <v/>
      </c>
      <c r="M1202" s="80"/>
      <c r="N1202" s="81" t="str">
        <f aca="false">IF(M1202="","",IFERROR(INDEX(BARDAGE!$C$7:$C$1506,MATCH(M1202,BARDAGE!$B$7:$B$1506,0)),"? hors registre"))</f>
        <v/>
      </c>
      <c r="O1202" s="80"/>
      <c r="P1202" s="80"/>
      <c r="Q1202" s="80"/>
      <c r="R1202" s="82"/>
      <c r="S1202" s="82"/>
      <c r="T1202" s="80"/>
      <c r="U1202" s="80"/>
      <c r="V1202" s="82"/>
      <c r="W1202" s="80"/>
      <c r="X1202" s="80"/>
      <c r="Y1202" s="80"/>
      <c r="Z1202" s="80"/>
      <c r="AA1202" s="82"/>
      <c r="AB1202" s="80"/>
      <c r="AC1202" s="80"/>
      <c r="AD1202" s="80"/>
      <c r="AE1202" s="80"/>
      <c r="AF1202" s="82"/>
      <c r="AG1202" s="80"/>
      <c r="AH1202" s="80"/>
      <c r="AI1202" s="82"/>
      <c r="AJ1202" s="79"/>
      <c r="AK1202" s="78" t="str">
        <f aca="false">IF(E1202="","",(X1202&lt;&gt;"")+(AC1202&lt;&gt;"")+(AH1202&lt;&gt;""))</f>
        <v/>
      </c>
      <c r="AL1202" s="81" t="str">
        <f aca="false">IF(AH1202&lt;&gt;"",AH1202,IF(AC1202&lt;&gt;"",AC1202,IF(X1202&lt;&gt;"",X1202,"")))</f>
        <v/>
      </c>
      <c r="AM1202" s="83" t="str">
        <f aca="false">IF(E1202="","",IF(R1202="","À SOUDER",IF(U1202="","VT EN ATTENTE",IF(U1202="R","VT REJETÉ – À REPRENDRE",IF(AL1202="","À RADIOGRAPHIER",IF(AL1202="A","ACCEPTÉ",IF(AL1202="NX","NX – RT À REFAIRE",IF(IF(AK1202=1,Z1202,IF(AK1202=2,AE1202,""))="A","RÉPARÉ – À RADIOGRAPHIER",IF(IF(AK1202=1,Z1202,IF(AK1202=2,AE1202,""))="R","VT REJETÉ – À REPRENDRE",IF(OR(AL1202="CO",AL1202="NT"),"COUPE – À RESOUDER","À RÉPARER"))))))))))</f>
        <v/>
      </c>
      <c r="AN1202" s="81" t="str">
        <f aca="false">IF(AND(ISNUMBER(R1202),OR(AM1202="À RADIOGRAPHIER",AM1202="RÉPARÉ – À RADIOGRAPHIER",AM1202="NX – RT À REFAIRE",AM1202="À RÉPARER",AM1202="COUPE – À RESOUDER",AM1202="VT REJETÉ – À REPRENDRE")),MAX(0,'PROGRAMME RT'!$C$4-R1202),"")</f>
        <v/>
      </c>
      <c r="AO1202" s="78" t="n">
        <f aca="false">IF(AND(OR(AM1202="À RADIOGRAPHIER",AM1202="RÉPARÉ – À RADIOGRAPHIER",AM1202="NX – RT À REFAIRE"),OR('PROGRAMME RT'!$D$5="TOUTES",B1202='PROGRAMME RT'!$D$5)),1,0)</f>
        <v>0</v>
      </c>
      <c r="AP1202" s="78" t="str">
        <f aca="false">IF(AO1202=1,SUM(AO$7:AO1202),"")</f>
        <v/>
      </c>
      <c r="AQ1202" s="78" t="n">
        <f aca="false">IF(AND(OR(X1202="R",X1202="NX",X1202="NT",X1202="CO"),OR('JOINTS DE RÉPARATION'!$D$5="TOUTES",B1202='JOINTS DE RÉPARATION'!$D$5),OR('JOINTS DE RÉPARATION'!$L$4="TOUS",AM1202&lt;&gt;"ACCEPTÉ")),1,0)</f>
        <v>0</v>
      </c>
      <c r="AR1202" s="78" t="str">
        <f aca="false">IF(AQ1202=1,SUM(AQ$7:AQ1202),"")</f>
        <v/>
      </c>
    </row>
    <row r="1203" customFormat="false" ht="15" hidden="false" customHeight="false" outlineLevel="0" collapsed="false">
      <c r="A1203" s="78" t="str">
        <f aca="false">IF(E1203="","",ROW()-6)</f>
        <v/>
      </c>
      <c r="B1203" s="79"/>
      <c r="C1203" s="80"/>
      <c r="D1203" s="80"/>
      <c r="E1203" s="80"/>
      <c r="F1203" s="80"/>
      <c r="G1203" s="80"/>
      <c r="H1203" s="80"/>
      <c r="I1203" s="80"/>
      <c r="J1203" s="80"/>
      <c r="K1203" s="80"/>
      <c r="L1203" s="81" t="str">
        <f aca="false">IF(K1203="","",IFERROR(INDEX(BARDAGE!$C$7:$C$1506,MATCH(K1203,BARDAGE!$B$7:$B$1506,0)),"? hors registre"))</f>
        <v/>
      </c>
      <c r="M1203" s="80"/>
      <c r="N1203" s="81" t="str">
        <f aca="false">IF(M1203="","",IFERROR(INDEX(BARDAGE!$C$7:$C$1506,MATCH(M1203,BARDAGE!$B$7:$B$1506,0)),"? hors registre"))</f>
        <v/>
      </c>
      <c r="O1203" s="80"/>
      <c r="P1203" s="80"/>
      <c r="Q1203" s="80"/>
      <c r="R1203" s="82"/>
      <c r="S1203" s="82"/>
      <c r="T1203" s="80"/>
      <c r="U1203" s="80"/>
      <c r="V1203" s="82"/>
      <c r="W1203" s="80"/>
      <c r="X1203" s="80"/>
      <c r="Y1203" s="80"/>
      <c r="Z1203" s="80"/>
      <c r="AA1203" s="82"/>
      <c r="AB1203" s="80"/>
      <c r="AC1203" s="80"/>
      <c r="AD1203" s="80"/>
      <c r="AE1203" s="80"/>
      <c r="AF1203" s="82"/>
      <c r="AG1203" s="80"/>
      <c r="AH1203" s="80"/>
      <c r="AI1203" s="82"/>
      <c r="AJ1203" s="79"/>
      <c r="AK1203" s="78" t="str">
        <f aca="false">IF(E1203="","",(X1203&lt;&gt;"")+(AC1203&lt;&gt;"")+(AH1203&lt;&gt;""))</f>
        <v/>
      </c>
      <c r="AL1203" s="81" t="str">
        <f aca="false">IF(AH1203&lt;&gt;"",AH1203,IF(AC1203&lt;&gt;"",AC1203,IF(X1203&lt;&gt;"",X1203,"")))</f>
        <v/>
      </c>
      <c r="AM1203" s="83" t="str">
        <f aca="false">IF(E1203="","",IF(R1203="","À SOUDER",IF(U1203="","VT EN ATTENTE",IF(U1203="R","VT REJETÉ – À REPRENDRE",IF(AL1203="","À RADIOGRAPHIER",IF(AL1203="A","ACCEPTÉ",IF(AL1203="NX","NX – RT À REFAIRE",IF(IF(AK1203=1,Z1203,IF(AK1203=2,AE1203,""))="A","RÉPARÉ – À RADIOGRAPHIER",IF(IF(AK1203=1,Z1203,IF(AK1203=2,AE1203,""))="R","VT REJETÉ – À REPRENDRE",IF(OR(AL1203="CO",AL1203="NT"),"COUPE – À RESOUDER","À RÉPARER"))))))))))</f>
        <v/>
      </c>
      <c r="AN1203" s="81" t="str">
        <f aca="false">IF(AND(ISNUMBER(R1203),OR(AM1203="À RADIOGRAPHIER",AM1203="RÉPARÉ – À RADIOGRAPHIER",AM1203="NX – RT À REFAIRE",AM1203="À RÉPARER",AM1203="COUPE – À RESOUDER",AM1203="VT REJETÉ – À REPRENDRE")),MAX(0,'PROGRAMME RT'!$C$4-R1203),"")</f>
        <v/>
      </c>
      <c r="AO1203" s="78" t="n">
        <f aca="false">IF(AND(OR(AM1203="À RADIOGRAPHIER",AM1203="RÉPARÉ – À RADIOGRAPHIER",AM1203="NX – RT À REFAIRE"),OR('PROGRAMME RT'!$D$5="TOUTES",B1203='PROGRAMME RT'!$D$5)),1,0)</f>
        <v>0</v>
      </c>
      <c r="AP1203" s="78" t="str">
        <f aca="false">IF(AO1203=1,SUM(AO$7:AO1203),"")</f>
        <v/>
      </c>
      <c r="AQ1203" s="78" t="n">
        <f aca="false">IF(AND(OR(X1203="R",X1203="NX",X1203="NT",X1203="CO"),OR('JOINTS DE RÉPARATION'!$D$5="TOUTES",B1203='JOINTS DE RÉPARATION'!$D$5),OR('JOINTS DE RÉPARATION'!$L$4="TOUS",AM1203&lt;&gt;"ACCEPTÉ")),1,0)</f>
        <v>0</v>
      </c>
      <c r="AR1203" s="78" t="str">
        <f aca="false">IF(AQ1203=1,SUM(AQ$7:AQ1203),"")</f>
        <v/>
      </c>
    </row>
    <row r="1204" customFormat="false" ht="15" hidden="false" customHeight="false" outlineLevel="0" collapsed="false">
      <c r="A1204" s="78" t="str">
        <f aca="false">IF(E1204="","",ROW()-6)</f>
        <v/>
      </c>
      <c r="B1204" s="79"/>
      <c r="C1204" s="80"/>
      <c r="D1204" s="80"/>
      <c r="E1204" s="80"/>
      <c r="F1204" s="80"/>
      <c r="G1204" s="80"/>
      <c r="H1204" s="80"/>
      <c r="I1204" s="80"/>
      <c r="J1204" s="80"/>
      <c r="K1204" s="80"/>
      <c r="L1204" s="81" t="str">
        <f aca="false">IF(K1204="","",IFERROR(INDEX(BARDAGE!$C$7:$C$1506,MATCH(K1204,BARDAGE!$B$7:$B$1506,0)),"? hors registre"))</f>
        <v/>
      </c>
      <c r="M1204" s="80"/>
      <c r="N1204" s="81" t="str">
        <f aca="false">IF(M1204="","",IFERROR(INDEX(BARDAGE!$C$7:$C$1506,MATCH(M1204,BARDAGE!$B$7:$B$1506,0)),"? hors registre"))</f>
        <v/>
      </c>
      <c r="O1204" s="80"/>
      <c r="P1204" s="80"/>
      <c r="Q1204" s="80"/>
      <c r="R1204" s="82"/>
      <c r="S1204" s="82"/>
      <c r="T1204" s="80"/>
      <c r="U1204" s="80"/>
      <c r="V1204" s="82"/>
      <c r="W1204" s="80"/>
      <c r="X1204" s="80"/>
      <c r="Y1204" s="80"/>
      <c r="Z1204" s="80"/>
      <c r="AA1204" s="82"/>
      <c r="AB1204" s="80"/>
      <c r="AC1204" s="80"/>
      <c r="AD1204" s="80"/>
      <c r="AE1204" s="80"/>
      <c r="AF1204" s="82"/>
      <c r="AG1204" s="80"/>
      <c r="AH1204" s="80"/>
      <c r="AI1204" s="82"/>
      <c r="AJ1204" s="79"/>
      <c r="AK1204" s="78" t="str">
        <f aca="false">IF(E1204="","",(X1204&lt;&gt;"")+(AC1204&lt;&gt;"")+(AH1204&lt;&gt;""))</f>
        <v/>
      </c>
      <c r="AL1204" s="81" t="str">
        <f aca="false">IF(AH1204&lt;&gt;"",AH1204,IF(AC1204&lt;&gt;"",AC1204,IF(X1204&lt;&gt;"",X1204,"")))</f>
        <v/>
      </c>
      <c r="AM1204" s="83" t="str">
        <f aca="false">IF(E1204="","",IF(R1204="","À SOUDER",IF(U1204="","VT EN ATTENTE",IF(U1204="R","VT REJETÉ – À REPRENDRE",IF(AL1204="","À RADIOGRAPHIER",IF(AL1204="A","ACCEPTÉ",IF(AL1204="NX","NX – RT À REFAIRE",IF(IF(AK1204=1,Z1204,IF(AK1204=2,AE1204,""))="A","RÉPARÉ – À RADIOGRAPHIER",IF(IF(AK1204=1,Z1204,IF(AK1204=2,AE1204,""))="R","VT REJETÉ – À REPRENDRE",IF(OR(AL1204="CO",AL1204="NT"),"COUPE – À RESOUDER","À RÉPARER"))))))))))</f>
        <v/>
      </c>
      <c r="AN1204" s="81" t="str">
        <f aca="false">IF(AND(ISNUMBER(R1204),OR(AM1204="À RADIOGRAPHIER",AM1204="RÉPARÉ – À RADIOGRAPHIER",AM1204="NX – RT À REFAIRE",AM1204="À RÉPARER",AM1204="COUPE – À RESOUDER",AM1204="VT REJETÉ – À REPRENDRE")),MAX(0,'PROGRAMME RT'!$C$4-R1204),"")</f>
        <v/>
      </c>
      <c r="AO1204" s="78" t="n">
        <f aca="false">IF(AND(OR(AM1204="À RADIOGRAPHIER",AM1204="RÉPARÉ – À RADIOGRAPHIER",AM1204="NX – RT À REFAIRE"),OR('PROGRAMME RT'!$D$5="TOUTES",B1204='PROGRAMME RT'!$D$5)),1,0)</f>
        <v>0</v>
      </c>
      <c r="AP1204" s="78" t="str">
        <f aca="false">IF(AO1204=1,SUM(AO$7:AO1204),"")</f>
        <v/>
      </c>
      <c r="AQ1204" s="78" t="n">
        <f aca="false">IF(AND(OR(X1204="R",X1204="NX",X1204="NT",X1204="CO"),OR('JOINTS DE RÉPARATION'!$D$5="TOUTES",B1204='JOINTS DE RÉPARATION'!$D$5),OR('JOINTS DE RÉPARATION'!$L$4="TOUS",AM1204&lt;&gt;"ACCEPTÉ")),1,0)</f>
        <v>0</v>
      </c>
      <c r="AR1204" s="78" t="str">
        <f aca="false">IF(AQ1204=1,SUM(AQ$7:AQ1204),"")</f>
        <v/>
      </c>
    </row>
    <row r="1205" customFormat="false" ht="15" hidden="false" customHeight="false" outlineLevel="0" collapsed="false">
      <c r="A1205" s="78" t="str">
        <f aca="false">IF(E1205="","",ROW()-6)</f>
        <v/>
      </c>
      <c r="B1205" s="79"/>
      <c r="C1205" s="80"/>
      <c r="D1205" s="80"/>
      <c r="E1205" s="80"/>
      <c r="F1205" s="80"/>
      <c r="G1205" s="80"/>
      <c r="H1205" s="80"/>
      <c r="I1205" s="80"/>
      <c r="J1205" s="80"/>
      <c r="K1205" s="80"/>
      <c r="L1205" s="81" t="str">
        <f aca="false">IF(K1205="","",IFERROR(INDEX(BARDAGE!$C$7:$C$1506,MATCH(K1205,BARDAGE!$B$7:$B$1506,0)),"? hors registre"))</f>
        <v/>
      </c>
      <c r="M1205" s="80"/>
      <c r="N1205" s="81" t="str">
        <f aca="false">IF(M1205="","",IFERROR(INDEX(BARDAGE!$C$7:$C$1506,MATCH(M1205,BARDAGE!$B$7:$B$1506,0)),"? hors registre"))</f>
        <v/>
      </c>
      <c r="O1205" s="80"/>
      <c r="P1205" s="80"/>
      <c r="Q1205" s="80"/>
      <c r="R1205" s="82"/>
      <c r="S1205" s="82"/>
      <c r="T1205" s="80"/>
      <c r="U1205" s="80"/>
      <c r="V1205" s="82"/>
      <c r="W1205" s="80"/>
      <c r="X1205" s="80"/>
      <c r="Y1205" s="80"/>
      <c r="Z1205" s="80"/>
      <c r="AA1205" s="82"/>
      <c r="AB1205" s="80"/>
      <c r="AC1205" s="80"/>
      <c r="AD1205" s="80"/>
      <c r="AE1205" s="80"/>
      <c r="AF1205" s="82"/>
      <c r="AG1205" s="80"/>
      <c r="AH1205" s="80"/>
      <c r="AI1205" s="82"/>
      <c r="AJ1205" s="79"/>
      <c r="AK1205" s="78" t="str">
        <f aca="false">IF(E1205="","",(X1205&lt;&gt;"")+(AC1205&lt;&gt;"")+(AH1205&lt;&gt;""))</f>
        <v/>
      </c>
      <c r="AL1205" s="81" t="str">
        <f aca="false">IF(AH1205&lt;&gt;"",AH1205,IF(AC1205&lt;&gt;"",AC1205,IF(X1205&lt;&gt;"",X1205,"")))</f>
        <v/>
      </c>
      <c r="AM1205" s="83" t="str">
        <f aca="false">IF(E1205="","",IF(R1205="","À SOUDER",IF(U1205="","VT EN ATTENTE",IF(U1205="R","VT REJETÉ – À REPRENDRE",IF(AL1205="","À RADIOGRAPHIER",IF(AL1205="A","ACCEPTÉ",IF(AL1205="NX","NX – RT À REFAIRE",IF(IF(AK1205=1,Z1205,IF(AK1205=2,AE1205,""))="A","RÉPARÉ – À RADIOGRAPHIER",IF(IF(AK1205=1,Z1205,IF(AK1205=2,AE1205,""))="R","VT REJETÉ – À REPRENDRE",IF(OR(AL1205="CO",AL1205="NT"),"COUPE – À RESOUDER","À RÉPARER"))))))))))</f>
        <v/>
      </c>
      <c r="AN1205" s="81" t="str">
        <f aca="false">IF(AND(ISNUMBER(R1205),OR(AM1205="À RADIOGRAPHIER",AM1205="RÉPARÉ – À RADIOGRAPHIER",AM1205="NX – RT À REFAIRE",AM1205="À RÉPARER",AM1205="COUPE – À RESOUDER",AM1205="VT REJETÉ – À REPRENDRE")),MAX(0,'PROGRAMME RT'!$C$4-R1205),"")</f>
        <v/>
      </c>
      <c r="AO1205" s="78" t="n">
        <f aca="false">IF(AND(OR(AM1205="À RADIOGRAPHIER",AM1205="RÉPARÉ – À RADIOGRAPHIER",AM1205="NX – RT À REFAIRE"),OR('PROGRAMME RT'!$D$5="TOUTES",B1205='PROGRAMME RT'!$D$5)),1,0)</f>
        <v>0</v>
      </c>
      <c r="AP1205" s="78" t="str">
        <f aca="false">IF(AO1205=1,SUM(AO$7:AO1205),"")</f>
        <v/>
      </c>
      <c r="AQ1205" s="78" t="n">
        <f aca="false">IF(AND(OR(X1205="R",X1205="NX",X1205="NT",X1205="CO"),OR('JOINTS DE RÉPARATION'!$D$5="TOUTES",B1205='JOINTS DE RÉPARATION'!$D$5),OR('JOINTS DE RÉPARATION'!$L$4="TOUS",AM1205&lt;&gt;"ACCEPTÉ")),1,0)</f>
        <v>0</v>
      </c>
      <c r="AR1205" s="78" t="str">
        <f aca="false">IF(AQ1205=1,SUM(AQ$7:AQ1205),"")</f>
        <v/>
      </c>
    </row>
    <row r="1206" customFormat="false" ht="15" hidden="false" customHeight="false" outlineLevel="0" collapsed="false">
      <c r="A1206" s="78" t="str">
        <f aca="false">IF(E1206="","",ROW()-6)</f>
        <v/>
      </c>
      <c r="B1206" s="79"/>
      <c r="C1206" s="80"/>
      <c r="D1206" s="80"/>
      <c r="E1206" s="80"/>
      <c r="F1206" s="80"/>
      <c r="G1206" s="80"/>
      <c r="H1206" s="80"/>
      <c r="I1206" s="80"/>
      <c r="J1206" s="80"/>
      <c r="K1206" s="80"/>
      <c r="L1206" s="81" t="str">
        <f aca="false">IF(K1206="","",IFERROR(INDEX(BARDAGE!$C$7:$C$1506,MATCH(K1206,BARDAGE!$B$7:$B$1506,0)),"? hors registre"))</f>
        <v/>
      </c>
      <c r="M1206" s="80"/>
      <c r="N1206" s="81" t="str">
        <f aca="false">IF(M1206="","",IFERROR(INDEX(BARDAGE!$C$7:$C$1506,MATCH(M1206,BARDAGE!$B$7:$B$1506,0)),"? hors registre"))</f>
        <v/>
      </c>
      <c r="O1206" s="80"/>
      <c r="P1206" s="80"/>
      <c r="Q1206" s="80"/>
      <c r="R1206" s="82"/>
      <c r="S1206" s="82"/>
      <c r="T1206" s="80"/>
      <c r="U1206" s="80"/>
      <c r="V1206" s="82"/>
      <c r="W1206" s="80"/>
      <c r="X1206" s="80"/>
      <c r="Y1206" s="80"/>
      <c r="Z1206" s="80"/>
      <c r="AA1206" s="82"/>
      <c r="AB1206" s="80"/>
      <c r="AC1206" s="80"/>
      <c r="AD1206" s="80"/>
      <c r="AE1206" s="80"/>
      <c r="AF1206" s="82"/>
      <c r="AG1206" s="80"/>
      <c r="AH1206" s="80"/>
      <c r="AI1206" s="82"/>
      <c r="AJ1206" s="79"/>
      <c r="AK1206" s="78" t="str">
        <f aca="false">IF(E1206="","",(X1206&lt;&gt;"")+(AC1206&lt;&gt;"")+(AH1206&lt;&gt;""))</f>
        <v/>
      </c>
      <c r="AL1206" s="81" t="str">
        <f aca="false">IF(AH1206&lt;&gt;"",AH1206,IF(AC1206&lt;&gt;"",AC1206,IF(X1206&lt;&gt;"",X1206,"")))</f>
        <v/>
      </c>
      <c r="AM1206" s="83" t="str">
        <f aca="false">IF(E1206="","",IF(R1206="","À SOUDER",IF(U1206="","VT EN ATTENTE",IF(U1206="R","VT REJETÉ – À REPRENDRE",IF(AL1206="","À RADIOGRAPHIER",IF(AL1206="A","ACCEPTÉ",IF(AL1206="NX","NX – RT À REFAIRE",IF(IF(AK1206=1,Z1206,IF(AK1206=2,AE1206,""))="A","RÉPARÉ – À RADIOGRAPHIER",IF(IF(AK1206=1,Z1206,IF(AK1206=2,AE1206,""))="R","VT REJETÉ – À REPRENDRE",IF(OR(AL1206="CO",AL1206="NT"),"COUPE – À RESOUDER","À RÉPARER"))))))))))</f>
        <v/>
      </c>
      <c r="AN1206" s="81" t="str">
        <f aca="false">IF(AND(ISNUMBER(R1206),OR(AM1206="À RADIOGRAPHIER",AM1206="RÉPARÉ – À RADIOGRAPHIER",AM1206="NX – RT À REFAIRE",AM1206="À RÉPARER",AM1206="COUPE – À RESOUDER",AM1206="VT REJETÉ – À REPRENDRE")),MAX(0,'PROGRAMME RT'!$C$4-R1206),"")</f>
        <v/>
      </c>
      <c r="AO1206" s="78" t="n">
        <f aca="false">IF(AND(OR(AM1206="À RADIOGRAPHIER",AM1206="RÉPARÉ – À RADIOGRAPHIER",AM1206="NX – RT À REFAIRE"),OR('PROGRAMME RT'!$D$5="TOUTES",B1206='PROGRAMME RT'!$D$5)),1,0)</f>
        <v>0</v>
      </c>
      <c r="AP1206" s="78" t="str">
        <f aca="false">IF(AO1206=1,SUM(AO$7:AO1206),"")</f>
        <v/>
      </c>
      <c r="AQ1206" s="78" t="n">
        <f aca="false">IF(AND(OR(X1206="R",X1206="NX",X1206="NT",X1206="CO"),OR('JOINTS DE RÉPARATION'!$D$5="TOUTES",B1206='JOINTS DE RÉPARATION'!$D$5),OR('JOINTS DE RÉPARATION'!$L$4="TOUS",AM1206&lt;&gt;"ACCEPTÉ")),1,0)</f>
        <v>0</v>
      </c>
      <c r="AR1206" s="78" t="str">
        <f aca="false">IF(AQ1206=1,SUM(AQ$7:AQ1206),"")</f>
        <v/>
      </c>
    </row>
    <row r="1207" customFormat="false" ht="15" hidden="false" customHeight="false" outlineLevel="0" collapsed="false">
      <c r="A1207" s="78" t="str">
        <f aca="false">IF(E1207="","",ROW()-6)</f>
        <v/>
      </c>
      <c r="B1207" s="79"/>
      <c r="C1207" s="80"/>
      <c r="D1207" s="80"/>
      <c r="E1207" s="80"/>
      <c r="F1207" s="80"/>
      <c r="G1207" s="80"/>
      <c r="H1207" s="80"/>
      <c r="I1207" s="80"/>
      <c r="J1207" s="80"/>
      <c r="K1207" s="80"/>
      <c r="L1207" s="81" t="str">
        <f aca="false">IF(K1207="","",IFERROR(INDEX(BARDAGE!$C$7:$C$1506,MATCH(K1207,BARDAGE!$B$7:$B$1506,0)),"? hors registre"))</f>
        <v/>
      </c>
      <c r="M1207" s="80"/>
      <c r="N1207" s="81" t="str">
        <f aca="false">IF(M1207="","",IFERROR(INDEX(BARDAGE!$C$7:$C$1506,MATCH(M1207,BARDAGE!$B$7:$B$1506,0)),"? hors registre"))</f>
        <v/>
      </c>
      <c r="O1207" s="80"/>
      <c r="P1207" s="80"/>
      <c r="Q1207" s="80"/>
      <c r="R1207" s="82"/>
      <c r="S1207" s="82"/>
      <c r="T1207" s="80"/>
      <c r="U1207" s="80"/>
      <c r="V1207" s="82"/>
      <c r="W1207" s="80"/>
      <c r="X1207" s="80"/>
      <c r="Y1207" s="80"/>
      <c r="Z1207" s="80"/>
      <c r="AA1207" s="82"/>
      <c r="AB1207" s="80"/>
      <c r="AC1207" s="80"/>
      <c r="AD1207" s="80"/>
      <c r="AE1207" s="80"/>
      <c r="AF1207" s="82"/>
      <c r="AG1207" s="80"/>
      <c r="AH1207" s="80"/>
      <c r="AI1207" s="82"/>
      <c r="AJ1207" s="79"/>
      <c r="AK1207" s="78" t="str">
        <f aca="false">IF(E1207="","",(X1207&lt;&gt;"")+(AC1207&lt;&gt;"")+(AH1207&lt;&gt;""))</f>
        <v/>
      </c>
      <c r="AL1207" s="81" t="str">
        <f aca="false">IF(AH1207&lt;&gt;"",AH1207,IF(AC1207&lt;&gt;"",AC1207,IF(X1207&lt;&gt;"",X1207,"")))</f>
        <v/>
      </c>
      <c r="AM1207" s="83" t="str">
        <f aca="false">IF(E1207="","",IF(R1207="","À SOUDER",IF(U1207="","VT EN ATTENTE",IF(U1207="R","VT REJETÉ – À REPRENDRE",IF(AL1207="","À RADIOGRAPHIER",IF(AL1207="A","ACCEPTÉ",IF(AL1207="NX","NX – RT À REFAIRE",IF(IF(AK1207=1,Z1207,IF(AK1207=2,AE1207,""))="A","RÉPARÉ – À RADIOGRAPHIER",IF(IF(AK1207=1,Z1207,IF(AK1207=2,AE1207,""))="R","VT REJETÉ – À REPRENDRE",IF(OR(AL1207="CO",AL1207="NT"),"COUPE – À RESOUDER","À RÉPARER"))))))))))</f>
        <v/>
      </c>
      <c r="AN1207" s="81" t="str">
        <f aca="false">IF(AND(ISNUMBER(R1207),OR(AM1207="À RADIOGRAPHIER",AM1207="RÉPARÉ – À RADIOGRAPHIER",AM1207="NX – RT À REFAIRE",AM1207="À RÉPARER",AM1207="COUPE – À RESOUDER",AM1207="VT REJETÉ – À REPRENDRE")),MAX(0,'PROGRAMME RT'!$C$4-R1207),"")</f>
        <v/>
      </c>
      <c r="AO1207" s="78" t="n">
        <f aca="false">IF(AND(OR(AM1207="À RADIOGRAPHIER",AM1207="RÉPARÉ – À RADIOGRAPHIER",AM1207="NX – RT À REFAIRE"),OR('PROGRAMME RT'!$D$5="TOUTES",B1207='PROGRAMME RT'!$D$5)),1,0)</f>
        <v>0</v>
      </c>
      <c r="AP1207" s="78" t="str">
        <f aca="false">IF(AO1207=1,SUM(AO$7:AO1207),"")</f>
        <v/>
      </c>
      <c r="AQ1207" s="78" t="n">
        <f aca="false">IF(AND(OR(X1207="R",X1207="NX",X1207="NT",X1207="CO"),OR('JOINTS DE RÉPARATION'!$D$5="TOUTES",B1207='JOINTS DE RÉPARATION'!$D$5),OR('JOINTS DE RÉPARATION'!$L$4="TOUS",AM1207&lt;&gt;"ACCEPTÉ")),1,0)</f>
        <v>0</v>
      </c>
      <c r="AR1207" s="78" t="str">
        <f aca="false">IF(AQ1207=1,SUM(AQ$7:AQ1207),"")</f>
        <v/>
      </c>
    </row>
    <row r="1208" customFormat="false" ht="15" hidden="false" customHeight="false" outlineLevel="0" collapsed="false">
      <c r="A1208" s="78" t="str">
        <f aca="false">IF(E1208="","",ROW()-6)</f>
        <v/>
      </c>
      <c r="B1208" s="79"/>
      <c r="C1208" s="80"/>
      <c r="D1208" s="80"/>
      <c r="E1208" s="80"/>
      <c r="F1208" s="80"/>
      <c r="G1208" s="80"/>
      <c r="H1208" s="80"/>
      <c r="I1208" s="80"/>
      <c r="J1208" s="80"/>
      <c r="K1208" s="80"/>
      <c r="L1208" s="81" t="str">
        <f aca="false">IF(K1208="","",IFERROR(INDEX(BARDAGE!$C$7:$C$1506,MATCH(K1208,BARDAGE!$B$7:$B$1506,0)),"? hors registre"))</f>
        <v/>
      </c>
      <c r="M1208" s="80"/>
      <c r="N1208" s="81" t="str">
        <f aca="false">IF(M1208="","",IFERROR(INDEX(BARDAGE!$C$7:$C$1506,MATCH(M1208,BARDAGE!$B$7:$B$1506,0)),"? hors registre"))</f>
        <v/>
      </c>
      <c r="O1208" s="80"/>
      <c r="P1208" s="80"/>
      <c r="Q1208" s="80"/>
      <c r="R1208" s="82"/>
      <c r="S1208" s="82"/>
      <c r="T1208" s="80"/>
      <c r="U1208" s="80"/>
      <c r="V1208" s="82"/>
      <c r="W1208" s="80"/>
      <c r="X1208" s="80"/>
      <c r="Y1208" s="80"/>
      <c r="Z1208" s="80"/>
      <c r="AA1208" s="82"/>
      <c r="AB1208" s="80"/>
      <c r="AC1208" s="80"/>
      <c r="AD1208" s="80"/>
      <c r="AE1208" s="80"/>
      <c r="AF1208" s="82"/>
      <c r="AG1208" s="80"/>
      <c r="AH1208" s="80"/>
      <c r="AI1208" s="82"/>
      <c r="AJ1208" s="79"/>
      <c r="AK1208" s="78" t="str">
        <f aca="false">IF(E1208="","",(X1208&lt;&gt;"")+(AC1208&lt;&gt;"")+(AH1208&lt;&gt;""))</f>
        <v/>
      </c>
      <c r="AL1208" s="81" t="str">
        <f aca="false">IF(AH1208&lt;&gt;"",AH1208,IF(AC1208&lt;&gt;"",AC1208,IF(X1208&lt;&gt;"",X1208,"")))</f>
        <v/>
      </c>
      <c r="AM1208" s="83" t="str">
        <f aca="false">IF(E1208="","",IF(R1208="","À SOUDER",IF(U1208="","VT EN ATTENTE",IF(U1208="R","VT REJETÉ – À REPRENDRE",IF(AL1208="","À RADIOGRAPHIER",IF(AL1208="A","ACCEPTÉ",IF(AL1208="NX","NX – RT À REFAIRE",IF(IF(AK1208=1,Z1208,IF(AK1208=2,AE1208,""))="A","RÉPARÉ – À RADIOGRAPHIER",IF(IF(AK1208=1,Z1208,IF(AK1208=2,AE1208,""))="R","VT REJETÉ – À REPRENDRE",IF(OR(AL1208="CO",AL1208="NT"),"COUPE – À RESOUDER","À RÉPARER"))))))))))</f>
        <v/>
      </c>
      <c r="AN1208" s="81" t="str">
        <f aca="false">IF(AND(ISNUMBER(R1208),OR(AM1208="À RADIOGRAPHIER",AM1208="RÉPARÉ – À RADIOGRAPHIER",AM1208="NX – RT À REFAIRE",AM1208="À RÉPARER",AM1208="COUPE – À RESOUDER",AM1208="VT REJETÉ – À REPRENDRE")),MAX(0,'PROGRAMME RT'!$C$4-R1208),"")</f>
        <v/>
      </c>
      <c r="AO1208" s="78" t="n">
        <f aca="false">IF(AND(OR(AM1208="À RADIOGRAPHIER",AM1208="RÉPARÉ – À RADIOGRAPHIER",AM1208="NX – RT À REFAIRE"),OR('PROGRAMME RT'!$D$5="TOUTES",B1208='PROGRAMME RT'!$D$5)),1,0)</f>
        <v>0</v>
      </c>
      <c r="AP1208" s="78" t="str">
        <f aca="false">IF(AO1208=1,SUM(AO$7:AO1208),"")</f>
        <v/>
      </c>
      <c r="AQ1208" s="78" t="n">
        <f aca="false">IF(AND(OR(X1208="R",X1208="NX",X1208="NT",X1208="CO"),OR('JOINTS DE RÉPARATION'!$D$5="TOUTES",B1208='JOINTS DE RÉPARATION'!$D$5),OR('JOINTS DE RÉPARATION'!$L$4="TOUS",AM1208&lt;&gt;"ACCEPTÉ")),1,0)</f>
        <v>0</v>
      </c>
      <c r="AR1208" s="78" t="str">
        <f aca="false">IF(AQ1208=1,SUM(AQ$7:AQ1208),"")</f>
        <v/>
      </c>
    </row>
    <row r="1209" customFormat="false" ht="15" hidden="false" customHeight="false" outlineLevel="0" collapsed="false">
      <c r="A1209" s="78" t="str">
        <f aca="false">IF(E1209="","",ROW()-6)</f>
        <v/>
      </c>
      <c r="B1209" s="79"/>
      <c r="C1209" s="80"/>
      <c r="D1209" s="80"/>
      <c r="E1209" s="80"/>
      <c r="F1209" s="80"/>
      <c r="G1209" s="80"/>
      <c r="H1209" s="80"/>
      <c r="I1209" s="80"/>
      <c r="J1209" s="80"/>
      <c r="K1209" s="80"/>
      <c r="L1209" s="81" t="str">
        <f aca="false">IF(K1209="","",IFERROR(INDEX(BARDAGE!$C$7:$C$1506,MATCH(K1209,BARDAGE!$B$7:$B$1506,0)),"? hors registre"))</f>
        <v/>
      </c>
      <c r="M1209" s="80"/>
      <c r="N1209" s="81" t="str">
        <f aca="false">IF(M1209="","",IFERROR(INDEX(BARDAGE!$C$7:$C$1506,MATCH(M1209,BARDAGE!$B$7:$B$1506,0)),"? hors registre"))</f>
        <v/>
      </c>
      <c r="O1209" s="80"/>
      <c r="P1209" s="80"/>
      <c r="Q1209" s="80"/>
      <c r="R1209" s="82"/>
      <c r="S1209" s="82"/>
      <c r="T1209" s="80"/>
      <c r="U1209" s="80"/>
      <c r="V1209" s="82"/>
      <c r="W1209" s="80"/>
      <c r="X1209" s="80"/>
      <c r="Y1209" s="80"/>
      <c r="Z1209" s="80"/>
      <c r="AA1209" s="82"/>
      <c r="AB1209" s="80"/>
      <c r="AC1209" s="80"/>
      <c r="AD1209" s="80"/>
      <c r="AE1209" s="80"/>
      <c r="AF1209" s="82"/>
      <c r="AG1209" s="80"/>
      <c r="AH1209" s="80"/>
      <c r="AI1209" s="82"/>
      <c r="AJ1209" s="79"/>
      <c r="AK1209" s="78" t="str">
        <f aca="false">IF(E1209="","",(X1209&lt;&gt;"")+(AC1209&lt;&gt;"")+(AH1209&lt;&gt;""))</f>
        <v/>
      </c>
      <c r="AL1209" s="81" t="str">
        <f aca="false">IF(AH1209&lt;&gt;"",AH1209,IF(AC1209&lt;&gt;"",AC1209,IF(X1209&lt;&gt;"",X1209,"")))</f>
        <v/>
      </c>
      <c r="AM1209" s="83" t="str">
        <f aca="false">IF(E1209="","",IF(R1209="","À SOUDER",IF(U1209="","VT EN ATTENTE",IF(U1209="R","VT REJETÉ – À REPRENDRE",IF(AL1209="","À RADIOGRAPHIER",IF(AL1209="A","ACCEPTÉ",IF(AL1209="NX","NX – RT À REFAIRE",IF(IF(AK1209=1,Z1209,IF(AK1209=2,AE1209,""))="A","RÉPARÉ – À RADIOGRAPHIER",IF(IF(AK1209=1,Z1209,IF(AK1209=2,AE1209,""))="R","VT REJETÉ – À REPRENDRE",IF(OR(AL1209="CO",AL1209="NT"),"COUPE – À RESOUDER","À RÉPARER"))))))))))</f>
        <v/>
      </c>
      <c r="AN1209" s="81" t="str">
        <f aca="false">IF(AND(ISNUMBER(R1209),OR(AM1209="À RADIOGRAPHIER",AM1209="RÉPARÉ – À RADIOGRAPHIER",AM1209="NX – RT À REFAIRE",AM1209="À RÉPARER",AM1209="COUPE – À RESOUDER",AM1209="VT REJETÉ – À REPRENDRE")),MAX(0,'PROGRAMME RT'!$C$4-R1209),"")</f>
        <v/>
      </c>
      <c r="AO1209" s="78" t="n">
        <f aca="false">IF(AND(OR(AM1209="À RADIOGRAPHIER",AM1209="RÉPARÉ – À RADIOGRAPHIER",AM1209="NX – RT À REFAIRE"),OR('PROGRAMME RT'!$D$5="TOUTES",B1209='PROGRAMME RT'!$D$5)),1,0)</f>
        <v>0</v>
      </c>
      <c r="AP1209" s="78" t="str">
        <f aca="false">IF(AO1209=1,SUM(AO$7:AO1209),"")</f>
        <v/>
      </c>
      <c r="AQ1209" s="78" t="n">
        <f aca="false">IF(AND(OR(X1209="R",X1209="NX",X1209="NT",X1209="CO"),OR('JOINTS DE RÉPARATION'!$D$5="TOUTES",B1209='JOINTS DE RÉPARATION'!$D$5),OR('JOINTS DE RÉPARATION'!$L$4="TOUS",AM1209&lt;&gt;"ACCEPTÉ")),1,0)</f>
        <v>0</v>
      </c>
      <c r="AR1209" s="78" t="str">
        <f aca="false">IF(AQ1209=1,SUM(AQ$7:AQ1209),"")</f>
        <v/>
      </c>
    </row>
    <row r="1210" customFormat="false" ht="15" hidden="false" customHeight="false" outlineLevel="0" collapsed="false">
      <c r="A1210" s="78" t="str">
        <f aca="false">IF(E1210="","",ROW()-6)</f>
        <v/>
      </c>
      <c r="B1210" s="79"/>
      <c r="C1210" s="80"/>
      <c r="D1210" s="80"/>
      <c r="E1210" s="80"/>
      <c r="F1210" s="80"/>
      <c r="G1210" s="80"/>
      <c r="H1210" s="80"/>
      <c r="I1210" s="80"/>
      <c r="J1210" s="80"/>
      <c r="K1210" s="80"/>
      <c r="L1210" s="81" t="str">
        <f aca="false">IF(K1210="","",IFERROR(INDEX(BARDAGE!$C$7:$C$1506,MATCH(K1210,BARDAGE!$B$7:$B$1506,0)),"? hors registre"))</f>
        <v/>
      </c>
      <c r="M1210" s="80"/>
      <c r="N1210" s="81" t="str">
        <f aca="false">IF(M1210="","",IFERROR(INDEX(BARDAGE!$C$7:$C$1506,MATCH(M1210,BARDAGE!$B$7:$B$1506,0)),"? hors registre"))</f>
        <v/>
      </c>
      <c r="O1210" s="80"/>
      <c r="P1210" s="80"/>
      <c r="Q1210" s="80"/>
      <c r="R1210" s="82"/>
      <c r="S1210" s="82"/>
      <c r="T1210" s="80"/>
      <c r="U1210" s="80"/>
      <c r="V1210" s="82"/>
      <c r="W1210" s="80"/>
      <c r="X1210" s="80"/>
      <c r="Y1210" s="80"/>
      <c r="Z1210" s="80"/>
      <c r="AA1210" s="82"/>
      <c r="AB1210" s="80"/>
      <c r="AC1210" s="80"/>
      <c r="AD1210" s="80"/>
      <c r="AE1210" s="80"/>
      <c r="AF1210" s="82"/>
      <c r="AG1210" s="80"/>
      <c r="AH1210" s="80"/>
      <c r="AI1210" s="82"/>
      <c r="AJ1210" s="79"/>
      <c r="AK1210" s="78" t="str">
        <f aca="false">IF(E1210="","",(X1210&lt;&gt;"")+(AC1210&lt;&gt;"")+(AH1210&lt;&gt;""))</f>
        <v/>
      </c>
      <c r="AL1210" s="81" t="str">
        <f aca="false">IF(AH1210&lt;&gt;"",AH1210,IF(AC1210&lt;&gt;"",AC1210,IF(X1210&lt;&gt;"",X1210,"")))</f>
        <v/>
      </c>
      <c r="AM1210" s="83" t="str">
        <f aca="false">IF(E1210="","",IF(R1210="","À SOUDER",IF(U1210="","VT EN ATTENTE",IF(U1210="R","VT REJETÉ – À REPRENDRE",IF(AL1210="","À RADIOGRAPHIER",IF(AL1210="A","ACCEPTÉ",IF(AL1210="NX","NX – RT À REFAIRE",IF(IF(AK1210=1,Z1210,IF(AK1210=2,AE1210,""))="A","RÉPARÉ – À RADIOGRAPHIER",IF(IF(AK1210=1,Z1210,IF(AK1210=2,AE1210,""))="R","VT REJETÉ – À REPRENDRE",IF(OR(AL1210="CO",AL1210="NT"),"COUPE – À RESOUDER","À RÉPARER"))))))))))</f>
        <v/>
      </c>
      <c r="AN1210" s="81" t="str">
        <f aca="false">IF(AND(ISNUMBER(R1210),OR(AM1210="À RADIOGRAPHIER",AM1210="RÉPARÉ – À RADIOGRAPHIER",AM1210="NX – RT À REFAIRE",AM1210="À RÉPARER",AM1210="COUPE – À RESOUDER",AM1210="VT REJETÉ – À REPRENDRE")),MAX(0,'PROGRAMME RT'!$C$4-R1210),"")</f>
        <v/>
      </c>
      <c r="AO1210" s="78" t="n">
        <f aca="false">IF(AND(OR(AM1210="À RADIOGRAPHIER",AM1210="RÉPARÉ – À RADIOGRAPHIER",AM1210="NX – RT À REFAIRE"),OR('PROGRAMME RT'!$D$5="TOUTES",B1210='PROGRAMME RT'!$D$5)),1,0)</f>
        <v>0</v>
      </c>
      <c r="AP1210" s="78" t="str">
        <f aca="false">IF(AO1210=1,SUM(AO$7:AO1210),"")</f>
        <v/>
      </c>
      <c r="AQ1210" s="78" t="n">
        <f aca="false">IF(AND(OR(X1210="R",X1210="NX",X1210="NT",X1210="CO"),OR('JOINTS DE RÉPARATION'!$D$5="TOUTES",B1210='JOINTS DE RÉPARATION'!$D$5),OR('JOINTS DE RÉPARATION'!$L$4="TOUS",AM1210&lt;&gt;"ACCEPTÉ")),1,0)</f>
        <v>0</v>
      </c>
      <c r="AR1210" s="78" t="str">
        <f aca="false">IF(AQ1210=1,SUM(AQ$7:AQ1210),"")</f>
        <v/>
      </c>
    </row>
    <row r="1211" customFormat="false" ht="15" hidden="false" customHeight="false" outlineLevel="0" collapsed="false">
      <c r="A1211" s="78" t="str">
        <f aca="false">IF(E1211="","",ROW()-6)</f>
        <v/>
      </c>
      <c r="B1211" s="79"/>
      <c r="C1211" s="80"/>
      <c r="D1211" s="80"/>
      <c r="E1211" s="80"/>
      <c r="F1211" s="80"/>
      <c r="G1211" s="80"/>
      <c r="H1211" s="80"/>
      <c r="I1211" s="80"/>
      <c r="J1211" s="80"/>
      <c r="K1211" s="80"/>
      <c r="L1211" s="81" t="str">
        <f aca="false">IF(K1211="","",IFERROR(INDEX(BARDAGE!$C$7:$C$1506,MATCH(K1211,BARDAGE!$B$7:$B$1506,0)),"? hors registre"))</f>
        <v/>
      </c>
      <c r="M1211" s="80"/>
      <c r="N1211" s="81" t="str">
        <f aca="false">IF(M1211="","",IFERROR(INDEX(BARDAGE!$C$7:$C$1506,MATCH(M1211,BARDAGE!$B$7:$B$1506,0)),"? hors registre"))</f>
        <v/>
      </c>
      <c r="O1211" s="80"/>
      <c r="P1211" s="80"/>
      <c r="Q1211" s="80"/>
      <c r="R1211" s="82"/>
      <c r="S1211" s="82"/>
      <c r="T1211" s="80"/>
      <c r="U1211" s="80"/>
      <c r="V1211" s="82"/>
      <c r="W1211" s="80"/>
      <c r="X1211" s="80"/>
      <c r="Y1211" s="80"/>
      <c r="Z1211" s="80"/>
      <c r="AA1211" s="82"/>
      <c r="AB1211" s="80"/>
      <c r="AC1211" s="80"/>
      <c r="AD1211" s="80"/>
      <c r="AE1211" s="80"/>
      <c r="AF1211" s="82"/>
      <c r="AG1211" s="80"/>
      <c r="AH1211" s="80"/>
      <c r="AI1211" s="82"/>
      <c r="AJ1211" s="79"/>
      <c r="AK1211" s="78" t="str">
        <f aca="false">IF(E1211="","",(X1211&lt;&gt;"")+(AC1211&lt;&gt;"")+(AH1211&lt;&gt;""))</f>
        <v/>
      </c>
      <c r="AL1211" s="81" t="str">
        <f aca="false">IF(AH1211&lt;&gt;"",AH1211,IF(AC1211&lt;&gt;"",AC1211,IF(X1211&lt;&gt;"",X1211,"")))</f>
        <v/>
      </c>
      <c r="AM1211" s="83" t="str">
        <f aca="false">IF(E1211="","",IF(R1211="","À SOUDER",IF(U1211="","VT EN ATTENTE",IF(U1211="R","VT REJETÉ – À REPRENDRE",IF(AL1211="","À RADIOGRAPHIER",IF(AL1211="A","ACCEPTÉ",IF(AL1211="NX","NX – RT À REFAIRE",IF(IF(AK1211=1,Z1211,IF(AK1211=2,AE1211,""))="A","RÉPARÉ – À RADIOGRAPHIER",IF(IF(AK1211=1,Z1211,IF(AK1211=2,AE1211,""))="R","VT REJETÉ – À REPRENDRE",IF(OR(AL1211="CO",AL1211="NT"),"COUPE – À RESOUDER","À RÉPARER"))))))))))</f>
        <v/>
      </c>
      <c r="AN1211" s="81" t="str">
        <f aca="false">IF(AND(ISNUMBER(R1211),OR(AM1211="À RADIOGRAPHIER",AM1211="RÉPARÉ – À RADIOGRAPHIER",AM1211="NX – RT À REFAIRE",AM1211="À RÉPARER",AM1211="COUPE – À RESOUDER",AM1211="VT REJETÉ – À REPRENDRE")),MAX(0,'PROGRAMME RT'!$C$4-R1211),"")</f>
        <v/>
      </c>
      <c r="AO1211" s="78" t="n">
        <f aca="false">IF(AND(OR(AM1211="À RADIOGRAPHIER",AM1211="RÉPARÉ – À RADIOGRAPHIER",AM1211="NX – RT À REFAIRE"),OR('PROGRAMME RT'!$D$5="TOUTES",B1211='PROGRAMME RT'!$D$5)),1,0)</f>
        <v>0</v>
      </c>
      <c r="AP1211" s="78" t="str">
        <f aca="false">IF(AO1211=1,SUM(AO$7:AO1211),"")</f>
        <v/>
      </c>
      <c r="AQ1211" s="78" t="n">
        <f aca="false">IF(AND(OR(X1211="R",X1211="NX",X1211="NT",X1211="CO"),OR('JOINTS DE RÉPARATION'!$D$5="TOUTES",B1211='JOINTS DE RÉPARATION'!$D$5),OR('JOINTS DE RÉPARATION'!$L$4="TOUS",AM1211&lt;&gt;"ACCEPTÉ")),1,0)</f>
        <v>0</v>
      </c>
      <c r="AR1211" s="78" t="str">
        <f aca="false">IF(AQ1211=1,SUM(AQ$7:AQ1211),"")</f>
        <v/>
      </c>
    </row>
    <row r="1212" customFormat="false" ht="15" hidden="false" customHeight="false" outlineLevel="0" collapsed="false">
      <c r="A1212" s="78" t="str">
        <f aca="false">IF(E1212="","",ROW()-6)</f>
        <v/>
      </c>
      <c r="B1212" s="79"/>
      <c r="C1212" s="80"/>
      <c r="D1212" s="80"/>
      <c r="E1212" s="80"/>
      <c r="F1212" s="80"/>
      <c r="G1212" s="80"/>
      <c r="H1212" s="80"/>
      <c r="I1212" s="80"/>
      <c r="J1212" s="80"/>
      <c r="K1212" s="80"/>
      <c r="L1212" s="81" t="str">
        <f aca="false">IF(K1212="","",IFERROR(INDEX(BARDAGE!$C$7:$C$1506,MATCH(K1212,BARDAGE!$B$7:$B$1506,0)),"? hors registre"))</f>
        <v/>
      </c>
      <c r="M1212" s="80"/>
      <c r="N1212" s="81" t="str">
        <f aca="false">IF(M1212="","",IFERROR(INDEX(BARDAGE!$C$7:$C$1506,MATCH(M1212,BARDAGE!$B$7:$B$1506,0)),"? hors registre"))</f>
        <v/>
      </c>
      <c r="O1212" s="80"/>
      <c r="P1212" s="80"/>
      <c r="Q1212" s="80"/>
      <c r="R1212" s="82"/>
      <c r="S1212" s="82"/>
      <c r="T1212" s="80"/>
      <c r="U1212" s="80"/>
      <c r="V1212" s="82"/>
      <c r="W1212" s="80"/>
      <c r="X1212" s="80"/>
      <c r="Y1212" s="80"/>
      <c r="Z1212" s="80"/>
      <c r="AA1212" s="82"/>
      <c r="AB1212" s="80"/>
      <c r="AC1212" s="80"/>
      <c r="AD1212" s="80"/>
      <c r="AE1212" s="80"/>
      <c r="AF1212" s="82"/>
      <c r="AG1212" s="80"/>
      <c r="AH1212" s="80"/>
      <c r="AI1212" s="82"/>
      <c r="AJ1212" s="79"/>
      <c r="AK1212" s="78" t="str">
        <f aca="false">IF(E1212="","",(X1212&lt;&gt;"")+(AC1212&lt;&gt;"")+(AH1212&lt;&gt;""))</f>
        <v/>
      </c>
      <c r="AL1212" s="81" t="str">
        <f aca="false">IF(AH1212&lt;&gt;"",AH1212,IF(AC1212&lt;&gt;"",AC1212,IF(X1212&lt;&gt;"",X1212,"")))</f>
        <v/>
      </c>
      <c r="AM1212" s="83" t="str">
        <f aca="false">IF(E1212="","",IF(R1212="","À SOUDER",IF(U1212="","VT EN ATTENTE",IF(U1212="R","VT REJETÉ – À REPRENDRE",IF(AL1212="","À RADIOGRAPHIER",IF(AL1212="A","ACCEPTÉ",IF(AL1212="NX","NX – RT À REFAIRE",IF(IF(AK1212=1,Z1212,IF(AK1212=2,AE1212,""))="A","RÉPARÉ – À RADIOGRAPHIER",IF(IF(AK1212=1,Z1212,IF(AK1212=2,AE1212,""))="R","VT REJETÉ – À REPRENDRE",IF(OR(AL1212="CO",AL1212="NT"),"COUPE – À RESOUDER","À RÉPARER"))))))))))</f>
        <v/>
      </c>
      <c r="AN1212" s="81" t="str">
        <f aca="false">IF(AND(ISNUMBER(R1212),OR(AM1212="À RADIOGRAPHIER",AM1212="RÉPARÉ – À RADIOGRAPHIER",AM1212="NX – RT À REFAIRE",AM1212="À RÉPARER",AM1212="COUPE – À RESOUDER",AM1212="VT REJETÉ – À REPRENDRE")),MAX(0,'PROGRAMME RT'!$C$4-R1212),"")</f>
        <v/>
      </c>
      <c r="AO1212" s="78" t="n">
        <f aca="false">IF(AND(OR(AM1212="À RADIOGRAPHIER",AM1212="RÉPARÉ – À RADIOGRAPHIER",AM1212="NX – RT À REFAIRE"),OR('PROGRAMME RT'!$D$5="TOUTES",B1212='PROGRAMME RT'!$D$5)),1,0)</f>
        <v>0</v>
      </c>
      <c r="AP1212" s="78" t="str">
        <f aca="false">IF(AO1212=1,SUM(AO$7:AO1212),"")</f>
        <v/>
      </c>
      <c r="AQ1212" s="78" t="n">
        <f aca="false">IF(AND(OR(X1212="R",X1212="NX",X1212="NT",X1212="CO"),OR('JOINTS DE RÉPARATION'!$D$5="TOUTES",B1212='JOINTS DE RÉPARATION'!$D$5),OR('JOINTS DE RÉPARATION'!$L$4="TOUS",AM1212&lt;&gt;"ACCEPTÉ")),1,0)</f>
        <v>0</v>
      </c>
      <c r="AR1212" s="78" t="str">
        <f aca="false">IF(AQ1212=1,SUM(AQ$7:AQ1212),"")</f>
        <v/>
      </c>
    </row>
    <row r="1213" customFormat="false" ht="15" hidden="false" customHeight="false" outlineLevel="0" collapsed="false">
      <c r="A1213" s="78" t="str">
        <f aca="false">IF(E1213="","",ROW()-6)</f>
        <v/>
      </c>
      <c r="B1213" s="79"/>
      <c r="C1213" s="80"/>
      <c r="D1213" s="80"/>
      <c r="E1213" s="80"/>
      <c r="F1213" s="80"/>
      <c r="G1213" s="80"/>
      <c r="H1213" s="80"/>
      <c r="I1213" s="80"/>
      <c r="J1213" s="80"/>
      <c r="K1213" s="80"/>
      <c r="L1213" s="81" t="str">
        <f aca="false">IF(K1213="","",IFERROR(INDEX(BARDAGE!$C$7:$C$1506,MATCH(K1213,BARDAGE!$B$7:$B$1506,0)),"? hors registre"))</f>
        <v/>
      </c>
      <c r="M1213" s="80"/>
      <c r="N1213" s="81" t="str">
        <f aca="false">IF(M1213="","",IFERROR(INDEX(BARDAGE!$C$7:$C$1506,MATCH(M1213,BARDAGE!$B$7:$B$1506,0)),"? hors registre"))</f>
        <v/>
      </c>
      <c r="O1213" s="80"/>
      <c r="P1213" s="80"/>
      <c r="Q1213" s="80"/>
      <c r="R1213" s="82"/>
      <c r="S1213" s="82"/>
      <c r="T1213" s="80"/>
      <c r="U1213" s="80"/>
      <c r="V1213" s="82"/>
      <c r="W1213" s="80"/>
      <c r="X1213" s="80"/>
      <c r="Y1213" s="80"/>
      <c r="Z1213" s="80"/>
      <c r="AA1213" s="82"/>
      <c r="AB1213" s="80"/>
      <c r="AC1213" s="80"/>
      <c r="AD1213" s="80"/>
      <c r="AE1213" s="80"/>
      <c r="AF1213" s="82"/>
      <c r="AG1213" s="80"/>
      <c r="AH1213" s="80"/>
      <c r="AI1213" s="82"/>
      <c r="AJ1213" s="79"/>
      <c r="AK1213" s="78" t="str">
        <f aca="false">IF(E1213="","",(X1213&lt;&gt;"")+(AC1213&lt;&gt;"")+(AH1213&lt;&gt;""))</f>
        <v/>
      </c>
      <c r="AL1213" s="81" t="str">
        <f aca="false">IF(AH1213&lt;&gt;"",AH1213,IF(AC1213&lt;&gt;"",AC1213,IF(X1213&lt;&gt;"",X1213,"")))</f>
        <v/>
      </c>
      <c r="AM1213" s="83" t="str">
        <f aca="false">IF(E1213="","",IF(R1213="","À SOUDER",IF(U1213="","VT EN ATTENTE",IF(U1213="R","VT REJETÉ – À REPRENDRE",IF(AL1213="","À RADIOGRAPHIER",IF(AL1213="A","ACCEPTÉ",IF(AL1213="NX","NX – RT À REFAIRE",IF(IF(AK1213=1,Z1213,IF(AK1213=2,AE1213,""))="A","RÉPARÉ – À RADIOGRAPHIER",IF(IF(AK1213=1,Z1213,IF(AK1213=2,AE1213,""))="R","VT REJETÉ – À REPRENDRE",IF(OR(AL1213="CO",AL1213="NT"),"COUPE – À RESOUDER","À RÉPARER"))))))))))</f>
        <v/>
      </c>
      <c r="AN1213" s="81" t="str">
        <f aca="false">IF(AND(ISNUMBER(R1213),OR(AM1213="À RADIOGRAPHIER",AM1213="RÉPARÉ – À RADIOGRAPHIER",AM1213="NX – RT À REFAIRE",AM1213="À RÉPARER",AM1213="COUPE – À RESOUDER",AM1213="VT REJETÉ – À REPRENDRE")),MAX(0,'PROGRAMME RT'!$C$4-R1213),"")</f>
        <v/>
      </c>
      <c r="AO1213" s="78" t="n">
        <f aca="false">IF(AND(OR(AM1213="À RADIOGRAPHIER",AM1213="RÉPARÉ – À RADIOGRAPHIER",AM1213="NX – RT À REFAIRE"),OR('PROGRAMME RT'!$D$5="TOUTES",B1213='PROGRAMME RT'!$D$5)),1,0)</f>
        <v>0</v>
      </c>
      <c r="AP1213" s="78" t="str">
        <f aca="false">IF(AO1213=1,SUM(AO$7:AO1213),"")</f>
        <v/>
      </c>
      <c r="AQ1213" s="78" t="n">
        <f aca="false">IF(AND(OR(X1213="R",X1213="NX",X1213="NT",X1213="CO"),OR('JOINTS DE RÉPARATION'!$D$5="TOUTES",B1213='JOINTS DE RÉPARATION'!$D$5),OR('JOINTS DE RÉPARATION'!$L$4="TOUS",AM1213&lt;&gt;"ACCEPTÉ")),1,0)</f>
        <v>0</v>
      </c>
      <c r="AR1213" s="78" t="str">
        <f aca="false">IF(AQ1213=1,SUM(AQ$7:AQ1213),"")</f>
        <v/>
      </c>
    </row>
    <row r="1214" customFormat="false" ht="15" hidden="false" customHeight="false" outlineLevel="0" collapsed="false">
      <c r="A1214" s="78" t="str">
        <f aca="false">IF(E1214="","",ROW()-6)</f>
        <v/>
      </c>
      <c r="B1214" s="79"/>
      <c r="C1214" s="80"/>
      <c r="D1214" s="80"/>
      <c r="E1214" s="80"/>
      <c r="F1214" s="80"/>
      <c r="G1214" s="80"/>
      <c r="H1214" s="80"/>
      <c r="I1214" s="80"/>
      <c r="J1214" s="80"/>
      <c r="K1214" s="80"/>
      <c r="L1214" s="81" t="str">
        <f aca="false">IF(K1214="","",IFERROR(INDEX(BARDAGE!$C$7:$C$1506,MATCH(K1214,BARDAGE!$B$7:$B$1506,0)),"? hors registre"))</f>
        <v/>
      </c>
      <c r="M1214" s="80"/>
      <c r="N1214" s="81" t="str">
        <f aca="false">IF(M1214="","",IFERROR(INDEX(BARDAGE!$C$7:$C$1506,MATCH(M1214,BARDAGE!$B$7:$B$1506,0)),"? hors registre"))</f>
        <v/>
      </c>
      <c r="O1214" s="80"/>
      <c r="P1214" s="80"/>
      <c r="Q1214" s="80"/>
      <c r="R1214" s="82"/>
      <c r="S1214" s="82"/>
      <c r="T1214" s="80"/>
      <c r="U1214" s="80"/>
      <c r="V1214" s="82"/>
      <c r="W1214" s="80"/>
      <c r="X1214" s="80"/>
      <c r="Y1214" s="80"/>
      <c r="Z1214" s="80"/>
      <c r="AA1214" s="82"/>
      <c r="AB1214" s="80"/>
      <c r="AC1214" s="80"/>
      <c r="AD1214" s="80"/>
      <c r="AE1214" s="80"/>
      <c r="AF1214" s="82"/>
      <c r="AG1214" s="80"/>
      <c r="AH1214" s="80"/>
      <c r="AI1214" s="82"/>
      <c r="AJ1214" s="79"/>
      <c r="AK1214" s="78" t="str">
        <f aca="false">IF(E1214="","",(X1214&lt;&gt;"")+(AC1214&lt;&gt;"")+(AH1214&lt;&gt;""))</f>
        <v/>
      </c>
      <c r="AL1214" s="81" t="str">
        <f aca="false">IF(AH1214&lt;&gt;"",AH1214,IF(AC1214&lt;&gt;"",AC1214,IF(X1214&lt;&gt;"",X1214,"")))</f>
        <v/>
      </c>
      <c r="AM1214" s="83" t="str">
        <f aca="false">IF(E1214="","",IF(R1214="","À SOUDER",IF(U1214="","VT EN ATTENTE",IF(U1214="R","VT REJETÉ – À REPRENDRE",IF(AL1214="","À RADIOGRAPHIER",IF(AL1214="A","ACCEPTÉ",IF(AL1214="NX","NX – RT À REFAIRE",IF(IF(AK1214=1,Z1214,IF(AK1214=2,AE1214,""))="A","RÉPARÉ – À RADIOGRAPHIER",IF(IF(AK1214=1,Z1214,IF(AK1214=2,AE1214,""))="R","VT REJETÉ – À REPRENDRE",IF(OR(AL1214="CO",AL1214="NT"),"COUPE – À RESOUDER","À RÉPARER"))))))))))</f>
        <v/>
      </c>
      <c r="AN1214" s="81" t="str">
        <f aca="false">IF(AND(ISNUMBER(R1214),OR(AM1214="À RADIOGRAPHIER",AM1214="RÉPARÉ – À RADIOGRAPHIER",AM1214="NX – RT À REFAIRE",AM1214="À RÉPARER",AM1214="COUPE – À RESOUDER",AM1214="VT REJETÉ – À REPRENDRE")),MAX(0,'PROGRAMME RT'!$C$4-R1214),"")</f>
        <v/>
      </c>
      <c r="AO1214" s="78" t="n">
        <f aca="false">IF(AND(OR(AM1214="À RADIOGRAPHIER",AM1214="RÉPARÉ – À RADIOGRAPHIER",AM1214="NX – RT À REFAIRE"),OR('PROGRAMME RT'!$D$5="TOUTES",B1214='PROGRAMME RT'!$D$5)),1,0)</f>
        <v>0</v>
      </c>
      <c r="AP1214" s="78" t="str">
        <f aca="false">IF(AO1214=1,SUM(AO$7:AO1214),"")</f>
        <v/>
      </c>
      <c r="AQ1214" s="78" t="n">
        <f aca="false">IF(AND(OR(X1214="R",X1214="NX",X1214="NT",X1214="CO"),OR('JOINTS DE RÉPARATION'!$D$5="TOUTES",B1214='JOINTS DE RÉPARATION'!$D$5),OR('JOINTS DE RÉPARATION'!$L$4="TOUS",AM1214&lt;&gt;"ACCEPTÉ")),1,0)</f>
        <v>0</v>
      </c>
      <c r="AR1214" s="78" t="str">
        <f aca="false">IF(AQ1214=1,SUM(AQ$7:AQ1214),"")</f>
        <v/>
      </c>
    </row>
    <row r="1215" customFormat="false" ht="15" hidden="false" customHeight="false" outlineLevel="0" collapsed="false">
      <c r="A1215" s="78" t="str">
        <f aca="false">IF(E1215="","",ROW()-6)</f>
        <v/>
      </c>
      <c r="B1215" s="79"/>
      <c r="C1215" s="80"/>
      <c r="D1215" s="80"/>
      <c r="E1215" s="80"/>
      <c r="F1215" s="80"/>
      <c r="G1215" s="80"/>
      <c r="H1215" s="80"/>
      <c r="I1215" s="80"/>
      <c r="J1215" s="80"/>
      <c r="K1215" s="80"/>
      <c r="L1215" s="81" t="str">
        <f aca="false">IF(K1215="","",IFERROR(INDEX(BARDAGE!$C$7:$C$1506,MATCH(K1215,BARDAGE!$B$7:$B$1506,0)),"? hors registre"))</f>
        <v/>
      </c>
      <c r="M1215" s="80"/>
      <c r="N1215" s="81" t="str">
        <f aca="false">IF(M1215="","",IFERROR(INDEX(BARDAGE!$C$7:$C$1506,MATCH(M1215,BARDAGE!$B$7:$B$1506,0)),"? hors registre"))</f>
        <v/>
      </c>
      <c r="O1215" s="80"/>
      <c r="P1215" s="80"/>
      <c r="Q1215" s="80"/>
      <c r="R1215" s="82"/>
      <c r="S1215" s="82"/>
      <c r="T1215" s="80"/>
      <c r="U1215" s="80"/>
      <c r="V1215" s="82"/>
      <c r="W1215" s="80"/>
      <c r="X1215" s="80"/>
      <c r="Y1215" s="80"/>
      <c r="Z1215" s="80"/>
      <c r="AA1215" s="82"/>
      <c r="AB1215" s="80"/>
      <c r="AC1215" s="80"/>
      <c r="AD1215" s="80"/>
      <c r="AE1215" s="80"/>
      <c r="AF1215" s="82"/>
      <c r="AG1215" s="80"/>
      <c r="AH1215" s="80"/>
      <c r="AI1215" s="82"/>
      <c r="AJ1215" s="79"/>
      <c r="AK1215" s="78" t="str">
        <f aca="false">IF(E1215="","",(X1215&lt;&gt;"")+(AC1215&lt;&gt;"")+(AH1215&lt;&gt;""))</f>
        <v/>
      </c>
      <c r="AL1215" s="81" t="str">
        <f aca="false">IF(AH1215&lt;&gt;"",AH1215,IF(AC1215&lt;&gt;"",AC1215,IF(X1215&lt;&gt;"",X1215,"")))</f>
        <v/>
      </c>
      <c r="AM1215" s="83" t="str">
        <f aca="false">IF(E1215="","",IF(R1215="","À SOUDER",IF(U1215="","VT EN ATTENTE",IF(U1215="R","VT REJETÉ – À REPRENDRE",IF(AL1215="","À RADIOGRAPHIER",IF(AL1215="A","ACCEPTÉ",IF(AL1215="NX","NX – RT À REFAIRE",IF(IF(AK1215=1,Z1215,IF(AK1215=2,AE1215,""))="A","RÉPARÉ – À RADIOGRAPHIER",IF(IF(AK1215=1,Z1215,IF(AK1215=2,AE1215,""))="R","VT REJETÉ – À REPRENDRE",IF(OR(AL1215="CO",AL1215="NT"),"COUPE – À RESOUDER","À RÉPARER"))))))))))</f>
        <v/>
      </c>
      <c r="AN1215" s="81" t="str">
        <f aca="false">IF(AND(ISNUMBER(R1215),OR(AM1215="À RADIOGRAPHIER",AM1215="RÉPARÉ – À RADIOGRAPHIER",AM1215="NX – RT À REFAIRE",AM1215="À RÉPARER",AM1215="COUPE – À RESOUDER",AM1215="VT REJETÉ – À REPRENDRE")),MAX(0,'PROGRAMME RT'!$C$4-R1215),"")</f>
        <v/>
      </c>
      <c r="AO1215" s="78" t="n">
        <f aca="false">IF(AND(OR(AM1215="À RADIOGRAPHIER",AM1215="RÉPARÉ – À RADIOGRAPHIER",AM1215="NX – RT À REFAIRE"),OR('PROGRAMME RT'!$D$5="TOUTES",B1215='PROGRAMME RT'!$D$5)),1,0)</f>
        <v>0</v>
      </c>
      <c r="AP1215" s="78" t="str">
        <f aca="false">IF(AO1215=1,SUM(AO$7:AO1215),"")</f>
        <v/>
      </c>
      <c r="AQ1215" s="78" t="n">
        <f aca="false">IF(AND(OR(X1215="R",X1215="NX",X1215="NT",X1215="CO"),OR('JOINTS DE RÉPARATION'!$D$5="TOUTES",B1215='JOINTS DE RÉPARATION'!$D$5),OR('JOINTS DE RÉPARATION'!$L$4="TOUS",AM1215&lt;&gt;"ACCEPTÉ")),1,0)</f>
        <v>0</v>
      </c>
      <c r="AR1215" s="78" t="str">
        <f aca="false">IF(AQ1215=1,SUM(AQ$7:AQ1215),"")</f>
        <v/>
      </c>
    </row>
    <row r="1216" customFormat="false" ht="15" hidden="false" customHeight="false" outlineLevel="0" collapsed="false">
      <c r="A1216" s="78" t="str">
        <f aca="false">IF(E1216="","",ROW()-6)</f>
        <v/>
      </c>
      <c r="B1216" s="79"/>
      <c r="C1216" s="80"/>
      <c r="D1216" s="80"/>
      <c r="E1216" s="80"/>
      <c r="F1216" s="80"/>
      <c r="G1216" s="80"/>
      <c r="H1216" s="80"/>
      <c r="I1216" s="80"/>
      <c r="J1216" s="80"/>
      <c r="K1216" s="80"/>
      <c r="L1216" s="81" t="str">
        <f aca="false">IF(K1216="","",IFERROR(INDEX(BARDAGE!$C$7:$C$1506,MATCH(K1216,BARDAGE!$B$7:$B$1506,0)),"? hors registre"))</f>
        <v/>
      </c>
      <c r="M1216" s="80"/>
      <c r="N1216" s="81" t="str">
        <f aca="false">IF(M1216="","",IFERROR(INDEX(BARDAGE!$C$7:$C$1506,MATCH(M1216,BARDAGE!$B$7:$B$1506,0)),"? hors registre"))</f>
        <v/>
      </c>
      <c r="O1216" s="80"/>
      <c r="P1216" s="80"/>
      <c r="Q1216" s="80"/>
      <c r="R1216" s="82"/>
      <c r="S1216" s="82"/>
      <c r="T1216" s="80"/>
      <c r="U1216" s="80"/>
      <c r="V1216" s="82"/>
      <c r="W1216" s="80"/>
      <c r="X1216" s="80"/>
      <c r="Y1216" s="80"/>
      <c r="Z1216" s="80"/>
      <c r="AA1216" s="82"/>
      <c r="AB1216" s="80"/>
      <c r="AC1216" s="80"/>
      <c r="AD1216" s="80"/>
      <c r="AE1216" s="80"/>
      <c r="AF1216" s="82"/>
      <c r="AG1216" s="80"/>
      <c r="AH1216" s="80"/>
      <c r="AI1216" s="82"/>
      <c r="AJ1216" s="79"/>
      <c r="AK1216" s="78" t="str">
        <f aca="false">IF(E1216="","",(X1216&lt;&gt;"")+(AC1216&lt;&gt;"")+(AH1216&lt;&gt;""))</f>
        <v/>
      </c>
      <c r="AL1216" s="81" t="str">
        <f aca="false">IF(AH1216&lt;&gt;"",AH1216,IF(AC1216&lt;&gt;"",AC1216,IF(X1216&lt;&gt;"",X1216,"")))</f>
        <v/>
      </c>
      <c r="AM1216" s="83" t="str">
        <f aca="false">IF(E1216="","",IF(R1216="","À SOUDER",IF(U1216="","VT EN ATTENTE",IF(U1216="R","VT REJETÉ – À REPRENDRE",IF(AL1216="","À RADIOGRAPHIER",IF(AL1216="A","ACCEPTÉ",IF(AL1216="NX","NX – RT À REFAIRE",IF(IF(AK1216=1,Z1216,IF(AK1216=2,AE1216,""))="A","RÉPARÉ – À RADIOGRAPHIER",IF(IF(AK1216=1,Z1216,IF(AK1216=2,AE1216,""))="R","VT REJETÉ – À REPRENDRE",IF(OR(AL1216="CO",AL1216="NT"),"COUPE – À RESOUDER","À RÉPARER"))))))))))</f>
        <v/>
      </c>
      <c r="AN1216" s="81" t="str">
        <f aca="false">IF(AND(ISNUMBER(R1216),OR(AM1216="À RADIOGRAPHIER",AM1216="RÉPARÉ – À RADIOGRAPHIER",AM1216="NX – RT À REFAIRE",AM1216="À RÉPARER",AM1216="COUPE – À RESOUDER",AM1216="VT REJETÉ – À REPRENDRE")),MAX(0,'PROGRAMME RT'!$C$4-R1216),"")</f>
        <v/>
      </c>
      <c r="AO1216" s="78" t="n">
        <f aca="false">IF(AND(OR(AM1216="À RADIOGRAPHIER",AM1216="RÉPARÉ – À RADIOGRAPHIER",AM1216="NX – RT À REFAIRE"),OR('PROGRAMME RT'!$D$5="TOUTES",B1216='PROGRAMME RT'!$D$5)),1,0)</f>
        <v>0</v>
      </c>
      <c r="AP1216" s="78" t="str">
        <f aca="false">IF(AO1216=1,SUM(AO$7:AO1216),"")</f>
        <v/>
      </c>
      <c r="AQ1216" s="78" t="n">
        <f aca="false">IF(AND(OR(X1216="R",X1216="NX",X1216="NT",X1216="CO"),OR('JOINTS DE RÉPARATION'!$D$5="TOUTES",B1216='JOINTS DE RÉPARATION'!$D$5),OR('JOINTS DE RÉPARATION'!$L$4="TOUS",AM1216&lt;&gt;"ACCEPTÉ")),1,0)</f>
        <v>0</v>
      </c>
      <c r="AR1216" s="78" t="str">
        <f aca="false">IF(AQ1216=1,SUM(AQ$7:AQ1216),"")</f>
        <v/>
      </c>
    </row>
    <row r="1217" customFormat="false" ht="15" hidden="false" customHeight="false" outlineLevel="0" collapsed="false">
      <c r="A1217" s="78" t="str">
        <f aca="false">IF(E1217="","",ROW()-6)</f>
        <v/>
      </c>
      <c r="B1217" s="79"/>
      <c r="C1217" s="80"/>
      <c r="D1217" s="80"/>
      <c r="E1217" s="80"/>
      <c r="F1217" s="80"/>
      <c r="G1217" s="80"/>
      <c r="H1217" s="80"/>
      <c r="I1217" s="80"/>
      <c r="J1217" s="80"/>
      <c r="K1217" s="80"/>
      <c r="L1217" s="81" t="str">
        <f aca="false">IF(K1217="","",IFERROR(INDEX(BARDAGE!$C$7:$C$1506,MATCH(K1217,BARDAGE!$B$7:$B$1506,0)),"? hors registre"))</f>
        <v/>
      </c>
      <c r="M1217" s="80"/>
      <c r="N1217" s="81" t="str">
        <f aca="false">IF(M1217="","",IFERROR(INDEX(BARDAGE!$C$7:$C$1506,MATCH(M1217,BARDAGE!$B$7:$B$1506,0)),"? hors registre"))</f>
        <v/>
      </c>
      <c r="O1217" s="80"/>
      <c r="P1217" s="80"/>
      <c r="Q1217" s="80"/>
      <c r="R1217" s="82"/>
      <c r="S1217" s="82"/>
      <c r="T1217" s="80"/>
      <c r="U1217" s="80"/>
      <c r="V1217" s="82"/>
      <c r="W1217" s="80"/>
      <c r="X1217" s="80"/>
      <c r="Y1217" s="80"/>
      <c r="Z1217" s="80"/>
      <c r="AA1217" s="82"/>
      <c r="AB1217" s="80"/>
      <c r="AC1217" s="80"/>
      <c r="AD1217" s="80"/>
      <c r="AE1217" s="80"/>
      <c r="AF1217" s="82"/>
      <c r="AG1217" s="80"/>
      <c r="AH1217" s="80"/>
      <c r="AI1217" s="82"/>
      <c r="AJ1217" s="79"/>
      <c r="AK1217" s="78" t="str">
        <f aca="false">IF(E1217="","",(X1217&lt;&gt;"")+(AC1217&lt;&gt;"")+(AH1217&lt;&gt;""))</f>
        <v/>
      </c>
      <c r="AL1217" s="81" t="str">
        <f aca="false">IF(AH1217&lt;&gt;"",AH1217,IF(AC1217&lt;&gt;"",AC1217,IF(X1217&lt;&gt;"",X1217,"")))</f>
        <v/>
      </c>
      <c r="AM1217" s="83" t="str">
        <f aca="false">IF(E1217="","",IF(R1217="","À SOUDER",IF(U1217="","VT EN ATTENTE",IF(U1217="R","VT REJETÉ – À REPRENDRE",IF(AL1217="","À RADIOGRAPHIER",IF(AL1217="A","ACCEPTÉ",IF(AL1217="NX","NX – RT À REFAIRE",IF(IF(AK1217=1,Z1217,IF(AK1217=2,AE1217,""))="A","RÉPARÉ – À RADIOGRAPHIER",IF(IF(AK1217=1,Z1217,IF(AK1217=2,AE1217,""))="R","VT REJETÉ – À REPRENDRE",IF(OR(AL1217="CO",AL1217="NT"),"COUPE – À RESOUDER","À RÉPARER"))))))))))</f>
        <v/>
      </c>
      <c r="AN1217" s="81" t="str">
        <f aca="false">IF(AND(ISNUMBER(R1217),OR(AM1217="À RADIOGRAPHIER",AM1217="RÉPARÉ – À RADIOGRAPHIER",AM1217="NX – RT À REFAIRE",AM1217="À RÉPARER",AM1217="COUPE – À RESOUDER",AM1217="VT REJETÉ – À REPRENDRE")),MAX(0,'PROGRAMME RT'!$C$4-R1217),"")</f>
        <v/>
      </c>
      <c r="AO1217" s="78" t="n">
        <f aca="false">IF(AND(OR(AM1217="À RADIOGRAPHIER",AM1217="RÉPARÉ – À RADIOGRAPHIER",AM1217="NX – RT À REFAIRE"),OR('PROGRAMME RT'!$D$5="TOUTES",B1217='PROGRAMME RT'!$D$5)),1,0)</f>
        <v>0</v>
      </c>
      <c r="AP1217" s="78" t="str">
        <f aca="false">IF(AO1217=1,SUM(AO$7:AO1217),"")</f>
        <v/>
      </c>
      <c r="AQ1217" s="78" t="n">
        <f aca="false">IF(AND(OR(X1217="R",X1217="NX",X1217="NT",X1217="CO"),OR('JOINTS DE RÉPARATION'!$D$5="TOUTES",B1217='JOINTS DE RÉPARATION'!$D$5),OR('JOINTS DE RÉPARATION'!$L$4="TOUS",AM1217&lt;&gt;"ACCEPTÉ")),1,0)</f>
        <v>0</v>
      </c>
      <c r="AR1217" s="78" t="str">
        <f aca="false">IF(AQ1217=1,SUM(AQ$7:AQ1217),"")</f>
        <v/>
      </c>
    </row>
    <row r="1218" customFormat="false" ht="15" hidden="false" customHeight="false" outlineLevel="0" collapsed="false">
      <c r="A1218" s="78" t="str">
        <f aca="false">IF(E1218="","",ROW()-6)</f>
        <v/>
      </c>
      <c r="B1218" s="79"/>
      <c r="C1218" s="80"/>
      <c r="D1218" s="80"/>
      <c r="E1218" s="80"/>
      <c r="F1218" s="80"/>
      <c r="G1218" s="80"/>
      <c r="H1218" s="80"/>
      <c r="I1218" s="80"/>
      <c r="J1218" s="80"/>
      <c r="K1218" s="80"/>
      <c r="L1218" s="81" t="str">
        <f aca="false">IF(K1218="","",IFERROR(INDEX(BARDAGE!$C$7:$C$1506,MATCH(K1218,BARDAGE!$B$7:$B$1506,0)),"? hors registre"))</f>
        <v/>
      </c>
      <c r="M1218" s="80"/>
      <c r="N1218" s="81" t="str">
        <f aca="false">IF(M1218="","",IFERROR(INDEX(BARDAGE!$C$7:$C$1506,MATCH(M1218,BARDAGE!$B$7:$B$1506,0)),"? hors registre"))</f>
        <v/>
      </c>
      <c r="O1218" s="80"/>
      <c r="P1218" s="80"/>
      <c r="Q1218" s="80"/>
      <c r="R1218" s="82"/>
      <c r="S1218" s="82"/>
      <c r="T1218" s="80"/>
      <c r="U1218" s="80"/>
      <c r="V1218" s="82"/>
      <c r="W1218" s="80"/>
      <c r="X1218" s="80"/>
      <c r="Y1218" s="80"/>
      <c r="Z1218" s="80"/>
      <c r="AA1218" s="82"/>
      <c r="AB1218" s="80"/>
      <c r="AC1218" s="80"/>
      <c r="AD1218" s="80"/>
      <c r="AE1218" s="80"/>
      <c r="AF1218" s="82"/>
      <c r="AG1218" s="80"/>
      <c r="AH1218" s="80"/>
      <c r="AI1218" s="82"/>
      <c r="AJ1218" s="79"/>
      <c r="AK1218" s="78" t="str">
        <f aca="false">IF(E1218="","",(X1218&lt;&gt;"")+(AC1218&lt;&gt;"")+(AH1218&lt;&gt;""))</f>
        <v/>
      </c>
      <c r="AL1218" s="81" t="str">
        <f aca="false">IF(AH1218&lt;&gt;"",AH1218,IF(AC1218&lt;&gt;"",AC1218,IF(X1218&lt;&gt;"",X1218,"")))</f>
        <v/>
      </c>
      <c r="AM1218" s="83" t="str">
        <f aca="false">IF(E1218="","",IF(R1218="","À SOUDER",IF(U1218="","VT EN ATTENTE",IF(U1218="R","VT REJETÉ – À REPRENDRE",IF(AL1218="","À RADIOGRAPHIER",IF(AL1218="A","ACCEPTÉ",IF(AL1218="NX","NX – RT À REFAIRE",IF(IF(AK1218=1,Z1218,IF(AK1218=2,AE1218,""))="A","RÉPARÉ – À RADIOGRAPHIER",IF(IF(AK1218=1,Z1218,IF(AK1218=2,AE1218,""))="R","VT REJETÉ – À REPRENDRE",IF(OR(AL1218="CO",AL1218="NT"),"COUPE – À RESOUDER","À RÉPARER"))))))))))</f>
        <v/>
      </c>
      <c r="AN1218" s="81" t="str">
        <f aca="false">IF(AND(ISNUMBER(R1218),OR(AM1218="À RADIOGRAPHIER",AM1218="RÉPARÉ – À RADIOGRAPHIER",AM1218="NX – RT À REFAIRE",AM1218="À RÉPARER",AM1218="COUPE – À RESOUDER",AM1218="VT REJETÉ – À REPRENDRE")),MAX(0,'PROGRAMME RT'!$C$4-R1218),"")</f>
        <v/>
      </c>
      <c r="AO1218" s="78" t="n">
        <f aca="false">IF(AND(OR(AM1218="À RADIOGRAPHIER",AM1218="RÉPARÉ – À RADIOGRAPHIER",AM1218="NX – RT À REFAIRE"),OR('PROGRAMME RT'!$D$5="TOUTES",B1218='PROGRAMME RT'!$D$5)),1,0)</f>
        <v>0</v>
      </c>
      <c r="AP1218" s="78" t="str">
        <f aca="false">IF(AO1218=1,SUM(AO$7:AO1218),"")</f>
        <v/>
      </c>
      <c r="AQ1218" s="78" t="n">
        <f aca="false">IF(AND(OR(X1218="R",X1218="NX",X1218="NT",X1218="CO"),OR('JOINTS DE RÉPARATION'!$D$5="TOUTES",B1218='JOINTS DE RÉPARATION'!$D$5),OR('JOINTS DE RÉPARATION'!$L$4="TOUS",AM1218&lt;&gt;"ACCEPTÉ")),1,0)</f>
        <v>0</v>
      </c>
      <c r="AR1218" s="78" t="str">
        <f aca="false">IF(AQ1218=1,SUM(AQ$7:AQ1218),"")</f>
        <v/>
      </c>
    </row>
    <row r="1219" customFormat="false" ht="15" hidden="false" customHeight="false" outlineLevel="0" collapsed="false">
      <c r="A1219" s="78" t="str">
        <f aca="false">IF(E1219="","",ROW()-6)</f>
        <v/>
      </c>
      <c r="B1219" s="79"/>
      <c r="C1219" s="80"/>
      <c r="D1219" s="80"/>
      <c r="E1219" s="80"/>
      <c r="F1219" s="80"/>
      <c r="G1219" s="80"/>
      <c r="H1219" s="80"/>
      <c r="I1219" s="80"/>
      <c r="J1219" s="80"/>
      <c r="K1219" s="80"/>
      <c r="L1219" s="81" t="str">
        <f aca="false">IF(K1219="","",IFERROR(INDEX(BARDAGE!$C$7:$C$1506,MATCH(K1219,BARDAGE!$B$7:$B$1506,0)),"? hors registre"))</f>
        <v/>
      </c>
      <c r="M1219" s="80"/>
      <c r="N1219" s="81" t="str">
        <f aca="false">IF(M1219="","",IFERROR(INDEX(BARDAGE!$C$7:$C$1506,MATCH(M1219,BARDAGE!$B$7:$B$1506,0)),"? hors registre"))</f>
        <v/>
      </c>
      <c r="O1219" s="80"/>
      <c r="P1219" s="80"/>
      <c r="Q1219" s="80"/>
      <c r="R1219" s="82"/>
      <c r="S1219" s="82"/>
      <c r="T1219" s="80"/>
      <c r="U1219" s="80"/>
      <c r="V1219" s="82"/>
      <c r="W1219" s="80"/>
      <c r="X1219" s="80"/>
      <c r="Y1219" s="80"/>
      <c r="Z1219" s="80"/>
      <c r="AA1219" s="82"/>
      <c r="AB1219" s="80"/>
      <c r="AC1219" s="80"/>
      <c r="AD1219" s="80"/>
      <c r="AE1219" s="80"/>
      <c r="AF1219" s="82"/>
      <c r="AG1219" s="80"/>
      <c r="AH1219" s="80"/>
      <c r="AI1219" s="82"/>
      <c r="AJ1219" s="79"/>
      <c r="AK1219" s="78" t="str">
        <f aca="false">IF(E1219="","",(X1219&lt;&gt;"")+(AC1219&lt;&gt;"")+(AH1219&lt;&gt;""))</f>
        <v/>
      </c>
      <c r="AL1219" s="81" t="str">
        <f aca="false">IF(AH1219&lt;&gt;"",AH1219,IF(AC1219&lt;&gt;"",AC1219,IF(X1219&lt;&gt;"",X1219,"")))</f>
        <v/>
      </c>
      <c r="AM1219" s="83" t="str">
        <f aca="false">IF(E1219="","",IF(R1219="","À SOUDER",IF(U1219="","VT EN ATTENTE",IF(U1219="R","VT REJETÉ – À REPRENDRE",IF(AL1219="","À RADIOGRAPHIER",IF(AL1219="A","ACCEPTÉ",IF(AL1219="NX","NX – RT À REFAIRE",IF(IF(AK1219=1,Z1219,IF(AK1219=2,AE1219,""))="A","RÉPARÉ – À RADIOGRAPHIER",IF(IF(AK1219=1,Z1219,IF(AK1219=2,AE1219,""))="R","VT REJETÉ – À REPRENDRE",IF(OR(AL1219="CO",AL1219="NT"),"COUPE – À RESOUDER","À RÉPARER"))))))))))</f>
        <v/>
      </c>
      <c r="AN1219" s="81" t="str">
        <f aca="false">IF(AND(ISNUMBER(R1219),OR(AM1219="À RADIOGRAPHIER",AM1219="RÉPARÉ – À RADIOGRAPHIER",AM1219="NX – RT À REFAIRE",AM1219="À RÉPARER",AM1219="COUPE – À RESOUDER",AM1219="VT REJETÉ – À REPRENDRE")),MAX(0,'PROGRAMME RT'!$C$4-R1219),"")</f>
        <v/>
      </c>
      <c r="AO1219" s="78" t="n">
        <f aca="false">IF(AND(OR(AM1219="À RADIOGRAPHIER",AM1219="RÉPARÉ – À RADIOGRAPHIER",AM1219="NX – RT À REFAIRE"),OR('PROGRAMME RT'!$D$5="TOUTES",B1219='PROGRAMME RT'!$D$5)),1,0)</f>
        <v>0</v>
      </c>
      <c r="AP1219" s="78" t="str">
        <f aca="false">IF(AO1219=1,SUM(AO$7:AO1219),"")</f>
        <v/>
      </c>
      <c r="AQ1219" s="78" t="n">
        <f aca="false">IF(AND(OR(X1219="R",X1219="NX",X1219="NT",X1219="CO"),OR('JOINTS DE RÉPARATION'!$D$5="TOUTES",B1219='JOINTS DE RÉPARATION'!$D$5),OR('JOINTS DE RÉPARATION'!$L$4="TOUS",AM1219&lt;&gt;"ACCEPTÉ")),1,0)</f>
        <v>0</v>
      </c>
      <c r="AR1219" s="78" t="str">
        <f aca="false">IF(AQ1219=1,SUM(AQ$7:AQ1219),"")</f>
        <v/>
      </c>
    </row>
    <row r="1220" customFormat="false" ht="15" hidden="false" customHeight="false" outlineLevel="0" collapsed="false">
      <c r="A1220" s="78" t="str">
        <f aca="false">IF(E1220="","",ROW()-6)</f>
        <v/>
      </c>
      <c r="B1220" s="79"/>
      <c r="C1220" s="80"/>
      <c r="D1220" s="80"/>
      <c r="E1220" s="80"/>
      <c r="F1220" s="80"/>
      <c r="G1220" s="80"/>
      <c r="H1220" s="80"/>
      <c r="I1220" s="80"/>
      <c r="J1220" s="80"/>
      <c r="K1220" s="80"/>
      <c r="L1220" s="81" t="str">
        <f aca="false">IF(K1220="","",IFERROR(INDEX(BARDAGE!$C$7:$C$1506,MATCH(K1220,BARDAGE!$B$7:$B$1506,0)),"? hors registre"))</f>
        <v/>
      </c>
      <c r="M1220" s="80"/>
      <c r="N1220" s="81" t="str">
        <f aca="false">IF(M1220="","",IFERROR(INDEX(BARDAGE!$C$7:$C$1506,MATCH(M1220,BARDAGE!$B$7:$B$1506,0)),"? hors registre"))</f>
        <v/>
      </c>
      <c r="O1220" s="80"/>
      <c r="P1220" s="80"/>
      <c r="Q1220" s="80"/>
      <c r="R1220" s="82"/>
      <c r="S1220" s="82"/>
      <c r="T1220" s="80"/>
      <c r="U1220" s="80"/>
      <c r="V1220" s="82"/>
      <c r="W1220" s="80"/>
      <c r="X1220" s="80"/>
      <c r="Y1220" s="80"/>
      <c r="Z1220" s="80"/>
      <c r="AA1220" s="82"/>
      <c r="AB1220" s="80"/>
      <c r="AC1220" s="80"/>
      <c r="AD1220" s="80"/>
      <c r="AE1220" s="80"/>
      <c r="AF1220" s="82"/>
      <c r="AG1220" s="80"/>
      <c r="AH1220" s="80"/>
      <c r="AI1220" s="82"/>
      <c r="AJ1220" s="79"/>
      <c r="AK1220" s="78" t="str">
        <f aca="false">IF(E1220="","",(X1220&lt;&gt;"")+(AC1220&lt;&gt;"")+(AH1220&lt;&gt;""))</f>
        <v/>
      </c>
      <c r="AL1220" s="81" t="str">
        <f aca="false">IF(AH1220&lt;&gt;"",AH1220,IF(AC1220&lt;&gt;"",AC1220,IF(X1220&lt;&gt;"",X1220,"")))</f>
        <v/>
      </c>
      <c r="AM1220" s="83" t="str">
        <f aca="false">IF(E1220="","",IF(R1220="","À SOUDER",IF(U1220="","VT EN ATTENTE",IF(U1220="R","VT REJETÉ – À REPRENDRE",IF(AL1220="","À RADIOGRAPHIER",IF(AL1220="A","ACCEPTÉ",IF(AL1220="NX","NX – RT À REFAIRE",IF(IF(AK1220=1,Z1220,IF(AK1220=2,AE1220,""))="A","RÉPARÉ – À RADIOGRAPHIER",IF(IF(AK1220=1,Z1220,IF(AK1220=2,AE1220,""))="R","VT REJETÉ – À REPRENDRE",IF(OR(AL1220="CO",AL1220="NT"),"COUPE – À RESOUDER","À RÉPARER"))))))))))</f>
        <v/>
      </c>
      <c r="AN1220" s="81" t="str">
        <f aca="false">IF(AND(ISNUMBER(R1220),OR(AM1220="À RADIOGRAPHIER",AM1220="RÉPARÉ – À RADIOGRAPHIER",AM1220="NX – RT À REFAIRE",AM1220="À RÉPARER",AM1220="COUPE – À RESOUDER",AM1220="VT REJETÉ – À REPRENDRE")),MAX(0,'PROGRAMME RT'!$C$4-R1220),"")</f>
        <v/>
      </c>
      <c r="AO1220" s="78" t="n">
        <f aca="false">IF(AND(OR(AM1220="À RADIOGRAPHIER",AM1220="RÉPARÉ – À RADIOGRAPHIER",AM1220="NX – RT À REFAIRE"),OR('PROGRAMME RT'!$D$5="TOUTES",B1220='PROGRAMME RT'!$D$5)),1,0)</f>
        <v>0</v>
      </c>
      <c r="AP1220" s="78" t="str">
        <f aca="false">IF(AO1220=1,SUM(AO$7:AO1220),"")</f>
        <v/>
      </c>
      <c r="AQ1220" s="78" t="n">
        <f aca="false">IF(AND(OR(X1220="R",X1220="NX",X1220="NT",X1220="CO"),OR('JOINTS DE RÉPARATION'!$D$5="TOUTES",B1220='JOINTS DE RÉPARATION'!$D$5),OR('JOINTS DE RÉPARATION'!$L$4="TOUS",AM1220&lt;&gt;"ACCEPTÉ")),1,0)</f>
        <v>0</v>
      </c>
      <c r="AR1220" s="78" t="str">
        <f aca="false">IF(AQ1220=1,SUM(AQ$7:AQ1220),"")</f>
        <v/>
      </c>
    </row>
    <row r="1221" customFormat="false" ht="15" hidden="false" customHeight="false" outlineLevel="0" collapsed="false">
      <c r="A1221" s="78" t="str">
        <f aca="false">IF(E1221="","",ROW()-6)</f>
        <v/>
      </c>
      <c r="B1221" s="79"/>
      <c r="C1221" s="80"/>
      <c r="D1221" s="80"/>
      <c r="E1221" s="80"/>
      <c r="F1221" s="80"/>
      <c r="G1221" s="80"/>
      <c r="H1221" s="80"/>
      <c r="I1221" s="80"/>
      <c r="J1221" s="80"/>
      <c r="K1221" s="80"/>
      <c r="L1221" s="81" t="str">
        <f aca="false">IF(K1221="","",IFERROR(INDEX(BARDAGE!$C$7:$C$1506,MATCH(K1221,BARDAGE!$B$7:$B$1506,0)),"? hors registre"))</f>
        <v/>
      </c>
      <c r="M1221" s="80"/>
      <c r="N1221" s="81" t="str">
        <f aca="false">IF(M1221="","",IFERROR(INDEX(BARDAGE!$C$7:$C$1506,MATCH(M1221,BARDAGE!$B$7:$B$1506,0)),"? hors registre"))</f>
        <v/>
      </c>
      <c r="O1221" s="80"/>
      <c r="P1221" s="80"/>
      <c r="Q1221" s="80"/>
      <c r="R1221" s="82"/>
      <c r="S1221" s="82"/>
      <c r="T1221" s="80"/>
      <c r="U1221" s="80"/>
      <c r="V1221" s="82"/>
      <c r="W1221" s="80"/>
      <c r="X1221" s="80"/>
      <c r="Y1221" s="80"/>
      <c r="Z1221" s="80"/>
      <c r="AA1221" s="82"/>
      <c r="AB1221" s="80"/>
      <c r="AC1221" s="80"/>
      <c r="AD1221" s="80"/>
      <c r="AE1221" s="80"/>
      <c r="AF1221" s="82"/>
      <c r="AG1221" s="80"/>
      <c r="AH1221" s="80"/>
      <c r="AI1221" s="82"/>
      <c r="AJ1221" s="79"/>
      <c r="AK1221" s="78" t="str">
        <f aca="false">IF(E1221="","",(X1221&lt;&gt;"")+(AC1221&lt;&gt;"")+(AH1221&lt;&gt;""))</f>
        <v/>
      </c>
      <c r="AL1221" s="81" t="str">
        <f aca="false">IF(AH1221&lt;&gt;"",AH1221,IF(AC1221&lt;&gt;"",AC1221,IF(X1221&lt;&gt;"",X1221,"")))</f>
        <v/>
      </c>
      <c r="AM1221" s="83" t="str">
        <f aca="false">IF(E1221="","",IF(R1221="","À SOUDER",IF(U1221="","VT EN ATTENTE",IF(U1221="R","VT REJETÉ – À REPRENDRE",IF(AL1221="","À RADIOGRAPHIER",IF(AL1221="A","ACCEPTÉ",IF(AL1221="NX","NX – RT À REFAIRE",IF(IF(AK1221=1,Z1221,IF(AK1221=2,AE1221,""))="A","RÉPARÉ – À RADIOGRAPHIER",IF(IF(AK1221=1,Z1221,IF(AK1221=2,AE1221,""))="R","VT REJETÉ – À REPRENDRE",IF(OR(AL1221="CO",AL1221="NT"),"COUPE – À RESOUDER","À RÉPARER"))))))))))</f>
        <v/>
      </c>
      <c r="AN1221" s="81" t="str">
        <f aca="false">IF(AND(ISNUMBER(R1221),OR(AM1221="À RADIOGRAPHIER",AM1221="RÉPARÉ – À RADIOGRAPHIER",AM1221="NX – RT À REFAIRE",AM1221="À RÉPARER",AM1221="COUPE – À RESOUDER",AM1221="VT REJETÉ – À REPRENDRE")),MAX(0,'PROGRAMME RT'!$C$4-R1221),"")</f>
        <v/>
      </c>
      <c r="AO1221" s="78" t="n">
        <f aca="false">IF(AND(OR(AM1221="À RADIOGRAPHIER",AM1221="RÉPARÉ – À RADIOGRAPHIER",AM1221="NX – RT À REFAIRE"),OR('PROGRAMME RT'!$D$5="TOUTES",B1221='PROGRAMME RT'!$D$5)),1,0)</f>
        <v>0</v>
      </c>
      <c r="AP1221" s="78" t="str">
        <f aca="false">IF(AO1221=1,SUM(AO$7:AO1221),"")</f>
        <v/>
      </c>
      <c r="AQ1221" s="78" t="n">
        <f aca="false">IF(AND(OR(X1221="R",X1221="NX",X1221="NT",X1221="CO"),OR('JOINTS DE RÉPARATION'!$D$5="TOUTES",B1221='JOINTS DE RÉPARATION'!$D$5),OR('JOINTS DE RÉPARATION'!$L$4="TOUS",AM1221&lt;&gt;"ACCEPTÉ")),1,0)</f>
        <v>0</v>
      </c>
      <c r="AR1221" s="78" t="str">
        <f aca="false">IF(AQ1221=1,SUM(AQ$7:AQ1221),"")</f>
        <v/>
      </c>
    </row>
    <row r="1222" customFormat="false" ht="15" hidden="false" customHeight="false" outlineLevel="0" collapsed="false">
      <c r="A1222" s="78" t="str">
        <f aca="false">IF(E1222="","",ROW()-6)</f>
        <v/>
      </c>
      <c r="B1222" s="79"/>
      <c r="C1222" s="80"/>
      <c r="D1222" s="80"/>
      <c r="E1222" s="80"/>
      <c r="F1222" s="80"/>
      <c r="G1222" s="80"/>
      <c r="H1222" s="80"/>
      <c r="I1222" s="80"/>
      <c r="J1222" s="80"/>
      <c r="K1222" s="80"/>
      <c r="L1222" s="81" t="str">
        <f aca="false">IF(K1222="","",IFERROR(INDEX(BARDAGE!$C$7:$C$1506,MATCH(K1222,BARDAGE!$B$7:$B$1506,0)),"? hors registre"))</f>
        <v/>
      </c>
      <c r="M1222" s="80"/>
      <c r="N1222" s="81" t="str">
        <f aca="false">IF(M1222="","",IFERROR(INDEX(BARDAGE!$C$7:$C$1506,MATCH(M1222,BARDAGE!$B$7:$B$1506,0)),"? hors registre"))</f>
        <v/>
      </c>
      <c r="O1222" s="80"/>
      <c r="P1222" s="80"/>
      <c r="Q1222" s="80"/>
      <c r="R1222" s="82"/>
      <c r="S1222" s="82"/>
      <c r="T1222" s="80"/>
      <c r="U1222" s="80"/>
      <c r="V1222" s="82"/>
      <c r="W1222" s="80"/>
      <c r="X1222" s="80"/>
      <c r="Y1222" s="80"/>
      <c r="Z1222" s="80"/>
      <c r="AA1222" s="82"/>
      <c r="AB1222" s="80"/>
      <c r="AC1222" s="80"/>
      <c r="AD1222" s="80"/>
      <c r="AE1222" s="80"/>
      <c r="AF1222" s="82"/>
      <c r="AG1222" s="80"/>
      <c r="AH1222" s="80"/>
      <c r="AI1222" s="82"/>
      <c r="AJ1222" s="79"/>
      <c r="AK1222" s="78" t="str">
        <f aca="false">IF(E1222="","",(X1222&lt;&gt;"")+(AC1222&lt;&gt;"")+(AH1222&lt;&gt;""))</f>
        <v/>
      </c>
      <c r="AL1222" s="81" t="str">
        <f aca="false">IF(AH1222&lt;&gt;"",AH1222,IF(AC1222&lt;&gt;"",AC1222,IF(X1222&lt;&gt;"",X1222,"")))</f>
        <v/>
      </c>
      <c r="AM1222" s="83" t="str">
        <f aca="false">IF(E1222="","",IF(R1222="","À SOUDER",IF(U1222="","VT EN ATTENTE",IF(U1222="R","VT REJETÉ – À REPRENDRE",IF(AL1222="","À RADIOGRAPHIER",IF(AL1222="A","ACCEPTÉ",IF(AL1222="NX","NX – RT À REFAIRE",IF(IF(AK1222=1,Z1222,IF(AK1222=2,AE1222,""))="A","RÉPARÉ – À RADIOGRAPHIER",IF(IF(AK1222=1,Z1222,IF(AK1222=2,AE1222,""))="R","VT REJETÉ – À REPRENDRE",IF(OR(AL1222="CO",AL1222="NT"),"COUPE – À RESOUDER","À RÉPARER"))))))))))</f>
        <v/>
      </c>
      <c r="AN1222" s="81" t="str">
        <f aca="false">IF(AND(ISNUMBER(R1222),OR(AM1222="À RADIOGRAPHIER",AM1222="RÉPARÉ – À RADIOGRAPHIER",AM1222="NX – RT À REFAIRE",AM1222="À RÉPARER",AM1222="COUPE – À RESOUDER",AM1222="VT REJETÉ – À REPRENDRE")),MAX(0,'PROGRAMME RT'!$C$4-R1222),"")</f>
        <v/>
      </c>
      <c r="AO1222" s="78" t="n">
        <f aca="false">IF(AND(OR(AM1222="À RADIOGRAPHIER",AM1222="RÉPARÉ – À RADIOGRAPHIER",AM1222="NX – RT À REFAIRE"),OR('PROGRAMME RT'!$D$5="TOUTES",B1222='PROGRAMME RT'!$D$5)),1,0)</f>
        <v>0</v>
      </c>
      <c r="AP1222" s="78" t="str">
        <f aca="false">IF(AO1222=1,SUM(AO$7:AO1222),"")</f>
        <v/>
      </c>
      <c r="AQ1222" s="78" t="n">
        <f aca="false">IF(AND(OR(X1222="R",X1222="NX",X1222="NT",X1222="CO"),OR('JOINTS DE RÉPARATION'!$D$5="TOUTES",B1222='JOINTS DE RÉPARATION'!$D$5),OR('JOINTS DE RÉPARATION'!$L$4="TOUS",AM1222&lt;&gt;"ACCEPTÉ")),1,0)</f>
        <v>0</v>
      </c>
      <c r="AR1222" s="78" t="str">
        <f aca="false">IF(AQ1222=1,SUM(AQ$7:AQ1222),"")</f>
        <v/>
      </c>
    </row>
    <row r="1223" customFormat="false" ht="15" hidden="false" customHeight="false" outlineLevel="0" collapsed="false">
      <c r="A1223" s="78" t="str">
        <f aca="false">IF(E1223="","",ROW()-6)</f>
        <v/>
      </c>
      <c r="B1223" s="79"/>
      <c r="C1223" s="80"/>
      <c r="D1223" s="80"/>
      <c r="E1223" s="80"/>
      <c r="F1223" s="80"/>
      <c r="G1223" s="80"/>
      <c r="H1223" s="80"/>
      <c r="I1223" s="80"/>
      <c r="J1223" s="80"/>
      <c r="K1223" s="80"/>
      <c r="L1223" s="81" t="str">
        <f aca="false">IF(K1223="","",IFERROR(INDEX(BARDAGE!$C$7:$C$1506,MATCH(K1223,BARDAGE!$B$7:$B$1506,0)),"? hors registre"))</f>
        <v/>
      </c>
      <c r="M1223" s="80"/>
      <c r="N1223" s="81" t="str">
        <f aca="false">IF(M1223="","",IFERROR(INDEX(BARDAGE!$C$7:$C$1506,MATCH(M1223,BARDAGE!$B$7:$B$1506,0)),"? hors registre"))</f>
        <v/>
      </c>
      <c r="O1223" s="80"/>
      <c r="P1223" s="80"/>
      <c r="Q1223" s="80"/>
      <c r="R1223" s="82"/>
      <c r="S1223" s="82"/>
      <c r="T1223" s="80"/>
      <c r="U1223" s="80"/>
      <c r="V1223" s="82"/>
      <c r="W1223" s="80"/>
      <c r="X1223" s="80"/>
      <c r="Y1223" s="80"/>
      <c r="Z1223" s="80"/>
      <c r="AA1223" s="82"/>
      <c r="AB1223" s="80"/>
      <c r="AC1223" s="80"/>
      <c r="AD1223" s="80"/>
      <c r="AE1223" s="80"/>
      <c r="AF1223" s="82"/>
      <c r="AG1223" s="80"/>
      <c r="AH1223" s="80"/>
      <c r="AI1223" s="82"/>
      <c r="AJ1223" s="79"/>
      <c r="AK1223" s="78" t="str">
        <f aca="false">IF(E1223="","",(X1223&lt;&gt;"")+(AC1223&lt;&gt;"")+(AH1223&lt;&gt;""))</f>
        <v/>
      </c>
      <c r="AL1223" s="81" t="str">
        <f aca="false">IF(AH1223&lt;&gt;"",AH1223,IF(AC1223&lt;&gt;"",AC1223,IF(X1223&lt;&gt;"",X1223,"")))</f>
        <v/>
      </c>
      <c r="AM1223" s="83" t="str">
        <f aca="false">IF(E1223="","",IF(R1223="","À SOUDER",IF(U1223="","VT EN ATTENTE",IF(U1223="R","VT REJETÉ – À REPRENDRE",IF(AL1223="","À RADIOGRAPHIER",IF(AL1223="A","ACCEPTÉ",IF(AL1223="NX","NX – RT À REFAIRE",IF(IF(AK1223=1,Z1223,IF(AK1223=2,AE1223,""))="A","RÉPARÉ – À RADIOGRAPHIER",IF(IF(AK1223=1,Z1223,IF(AK1223=2,AE1223,""))="R","VT REJETÉ – À REPRENDRE",IF(OR(AL1223="CO",AL1223="NT"),"COUPE – À RESOUDER","À RÉPARER"))))))))))</f>
        <v/>
      </c>
      <c r="AN1223" s="81" t="str">
        <f aca="false">IF(AND(ISNUMBER(R1223),OR(AM1223="À RADIOGRAPHIER",AM1223="RÉPARÉ – À RADIOGRAPHIER",AM1223="NX – RT À REFAIRE",AM1223="À RÉPARER",AM1223="COUPE – À RESOUDER",AM1223="VT REJETÉ – À REPRENDRE")),MAX(0,'PROGRAMME RT'!$C$4-R1223),"")</f>
        <v/>
      </c>
      <c r="AO1223" s="78" t="n">
        <f aca="false">IF(AND(OR(AM1223="À RADIOGRAPHIER",AM1223="RÉPARÉ – À RADIOGRAPHIER",AM1223="NX – RT À REFAIRE"),OR('PROGRAMME RT'!$D$5="TOUTES",B1223='PROGRAMME RT'!$D$5)),1,0)</f>
        <v>0</v>
      </c>
      <c r="AP1223" s="78" t="str">
        <f aca="false">IF(AO1223=1,SUM(AO$7:AO1223),"")</f>
        <v/>
      </c>
      <c r="AQ1223" s="78" t="n">
        <f aca="false">IF(AND(OR(X1223="R",X1223="NX",X1223="NT",X1223="CO"),OR('JOINTS DE RÉPARATION'!$D$5="TOUTES",B1223='JOINTS DE RÉPARATION'!$D$5),OR('JOINTS DE RÉPARATION'!$L$4="TOUS",AM1223&lt;&gt;"ACCEPTÉ")),1,0)</f>
        <v>0</v>
      </c>
      <c r="AR1223" s="78" t="str">
        <f aca="false">IF(AQ1223=1,SUM(AQ$7:AQ1223),"")</f>
        <v/>
      </c>
    </row>
    <row r="1224" customFormat="false" ht="15" hidden="false" customHeight="false" outlineLevel="0" collapsed="false">
      <c r="A1224" s="78" t="str">
        <f aca="false">IF(E1224="","",ROW()-6)</f>
        <v/>
      </c>
      <c r="B1224" s="79"/>
      <c r="C1224" s="80"/>
      <c r="D1224" s="80"/>
      <c r="E1224" s="80"/>
      <c r="F1224" s="80"/>
      <c r="G1224" s="80"/>
      <c r="H1224" s="80"/>
      <c r="I1224" s="80"/>
      <c r="J1224" s="80"/>
      <c r="K1224" s="80"/>
      <c r="L1224" s="81" t="str">
        <f aca="false">IF(K1224="","",IFERROR(INDEX(BARDAGE!$C$7:$C$1506,MATCH(K1224,BARDAGE!$B$7:$B$1506,0)),"? hors registre"))</f>
        <v/>
      </c>
      <c r="M1224" s="80"/>
      <c r="N1224" s="81" t="str">
        <f aca="false">IF(M1224="","",IFERROR(INDEX(BARDAGE!$C$7:$C$1506,MATCH(M1224,BARDAGE!$B$7:$B$1506,0)),"? hors registre"))</f>
        <v/>
      </c>
      <c r="O1224" s="80"/>
      <c r="P1224" s="80"/>
      <c r="Q1224" s="80"/>
      <c r="R1224" s="82"/>
      <c r="S1224" s="82"/>
      <c r="T1224" s="80"/>
      <c r="U1224" s="80"/>
      <c r="V1224" s="82"/>
      <c r="W1224" s="80"/>
      <c r="X1224" s="80"/>
      <c r="Y1224" s="80"/>
      <c r="Z1224" s="80"/>
      <c r="AA1224" s="82"/>
      <c r="AB1224" s="80"/>
      <c r="AC1224" s="80"/>
      <c r="AD1224" s="80"/>
      <c r="AE1224" s="80"/>
      <c r="AF1224" s="82"/>
      <c r="AG1224" s="80"/>
      <c r="AH1224" s="80"/>
      <c r="AI1224" s="82"/>
      <c r="AJ1224" s="79"/>
      <c r="AK1224" s="78" t="str">
        <f aca="false">IF(E1224="","",(X1224&lt;&gt;"")+(AC1224&lt;&gt;"")+(AH1224&lt;&gt;""))</f>
        <v/>
      </c>
      <c r="AL1224" s="81" t="str">
        <f aca="false">IF(AH1224&lt;&gt;"",AH1224,IF(AC1224&lt;&gt;"",AC1224,IF(X1224&lt;&gt;"",X1224,"")))</f>
        <v/>
      </c>
      <c r="AM1224" s="83" t="str">
        <f aca="false">IF(E1224="","",IF(R1224="","À SOUDER",IF(U1224="","VT EN ATTENTE",IF(U1224="R","VT REJETÉ – À REPRENDRE",IF(AL1224="","À RADIOGRAPHIER",IF(AL1224="A","ACCEPTÉ",IF(AL1224="NX","NX – RT À REFAIRE",IF(IF(AK1224=1,Z1224,IF(AK1224=2,AE1224,""))="A","RÉPARÉ – À RADIOGRAPHIER",IF(IF(AK1224=1,Z1224,IF(AK1224=2,AE1224,""))="R","VT REJETÉ – À REPRENDRE",IF(OR(AL1224="CO",AL1224="NT"),"COUPE – À RESOUDER","À RÉPARER"))))))))))</f>
        <v/>
      </c>
      <c r="AN1224" s="81" t="str">
        <f aca="false">IF(AND(ISNUMBER(R1224),OR(AM1224="À RADIOGRAPHIER",AM1224="RÉPARÉ – À RADIOGRAPHIER",AM1224="NX – RT À REFAIRE",AM1224="À RÉPARER",AM1224="COUPE – À RESOUDER",AM1224="VT REJETÉ – À REPRENDRE")),MAX(0,'PROGRAMME RT'!$C$4-R1224),"")</f>
        <v/>
      </c>
      <c r="AO1224" s="78" t="n">
        <f aca="false">IF(AND(OR(AM1224="À RADIOGRAPHIER",AM1224="RÉPARÉ – À RADIOGRAPHIER",AM1224="NX – RT À REFAIRE"),OR('PROGRAMME RT'!$D$5="TOUTES",B1224='PROGRAMME RT'!$D$5)),1,0)</f>
        <v>0</v>
      </c>
      <c r="AP1224" s="78" t="str">
        <f aca="false">IF(AO1224=1,SUM(AO$7:AO1224),"")</f>
        <v/>
      </c>
      <c r="AQ1224" s="78" t="n">
        <f aca="false">IF(AND(OR(X1224="R",X1224="NX",X1224="NT",X1224="CO"),OR('JOINTS DE RÉPARATION'!$D$5="TOUTES",B1224='JOINTS DE RÉPARATION'!$D$5),OR('JOINTS DE RÉPARATION'!$L$4="TOUS",AM1224&lt;&gt;"ACCEPTÉ")),1,0)</f>
        <v>0</v>
      </c>
      <c r="AR1224" s="78" t="str">
        <f aca="false">IF(AQ1224=1,SUM(AQ$7:AQ1224),"")</f>
        <v/>
      </c>
    </row>
    <row r="1225" customFormat="false" ht="15" hidden="false" customHeight="false" outlineLevel="0" collapsed="false">
      <c r="A1225" s="78" t="str">
        <f aca="false">IF(E1225="","",ROW()-6)</f>
        <v/>
      </c>
      <c r="B1225" s="79"/>
      <c r="C1225" s="80"/>
      <c r="D1225" s="80"/>
      <c r="E1225" s="80"/>
      <c r="F1225" s="80"/>
      <c r="G1225" s="80"/>
      <c r="H1225" s="80"/>
      <c r="I1225" s="80"/>
      <c r="J1225" s="80"/>
      <c r="K1225" s="80"/>
      <c r="L1225" s="81" t="str">
        <f aca="false">IF(K1225="","",IFERROR(INDEX(BARDAGE!$C$7:$C$1506,MATCH(K1225,BARDAGE!$B$7:$B$1506,0)),"? hors registre"))</f>
        <v/>
      </c>
      <c r="M1225" s="80"/>
      <c r="N1225" s="81" t="str">
        <f aca="false">IF(M1225="","",IFERROR(INDEX(BARDAGE!$C$7:$C$1506,MATCH(M1225,BARDAGE!$B$7:$B$1506,0)),"? hors registre"))</f>
        <v/>
      </c>
      <c r="O1225" s="80"/>
      <c r="P1225" s="80"/>
      <c r="Q1225" s="80"/>
      <c r="R1225" s="82"/>
      <c r="S1225" s="82"/>
      <c r="T1225" s="80"/>
      <c r="U1225" s="80"/>
      <c r="V1225" s="82"/>
      <c r="W1225" s="80"/>
      <c r="X1225" s="80"/>
      <c r="Y1225" s="80"/>
      <c r="Z1225" s="80"/>
      <c r="AA1225" s="82"/>
      <c r="AB1225" s="80"/>
      <c r="AC1225" s="80"/>
      <c r="AD1225" s="80"/>
      <c r="AE1225" s="80"/>
      <c r="AF1225" s="82"/>
      <c r="AG1225" s="80"/>
      <c r="AH1225" s="80"/>
      <c r="AI1225" s="82"/>
      <c r="AJ1225" s="79"/>
      <c r="AK1225" s="78" t="str">
        <f aca="false">IF(E1225="","",(X1225&lt;&gt;"")+(AC1225&lt;&gt;"")+(AH1225&lt;&gt;""))</f>
        <v/>
      </c>
      <c r="AL1225" s="81" t="str">
        <f aca="false">IF(AH1225&lt;&gt;"",AH1225,IF(AC1225&lt;&gt;"",AC1225,IF(X1225&lt;&gt;"",X1225,"")))</f>
        <v/>
      </c>
      <c r="AM1225" s="83" t="str">
        <f aca="false">IF(E1225="","",IF(R1225="","À SOUDER",IF(U1225="","VT EN ATTENTE",IF(U1225="R","VT REJETÉ – À REPRENDRE",IF(AL1225="","À RADIOGRAPHIER",IF(AL1225="A","ACCEPTÉ",IF(AL1225="NX","NX – RT À REFAIRE",IF(IF(AK1225=1,Z1225,IF(AK1225=2,AE1225,""))="A","RÉPARÉ – À RADIOGRAPHIER",IF(IF(AK1225=1,Z1225,IF(AK1225=2,AE1225,""))="R","VT REJETÉ – À REPRENDRE",IF(OR(AL1225="CO",AL1225="NT"),"COUPE – À RESOUDER","À RÉPARER"))))))))))</f>
        <v/>
      </c>
      <c r="AN1225" s="81" t="str">
        <f aca="false">IF(AND(ISNUMBER(R1225),OR(AM1225="À RADIOGRAPHIER",AM1225="RÉPARÉ – À RADIOGRAPHIER",AM1225="NX – RT À REFAIRE",AM1225="À RÉPARER",AM1225="COUPE – À RESOUDER",AM1225="VT REJETÉ – À REPRENDRE")),MAX(0,'PROGRAMME RT'!$C$4-R1225),"")</f>
        <v/>
      </c>
      <c r="AO1225" s="78" t="n">
        <f aca="false">IF(AND(OR(AM1225="À RADIOGRAPHIER",AM1225="RÉPARÉ – À RADIOGRAPHIER",AM1225="NX – RT À REFAIRE"),OR('PROGRAMME RT'!$D$5="TOUTES",B1225='PROGRAMME RT'!$D$5)),1,0)</f>
        <v>0</v>
      </c>
      <c r="AP1225" s="78" t="str">
        <f aca="false">IF(AO1225=1,SUM(AO$7:AO1225),"")</f>
        <v/>
      </c>
      <c r="AQ1225" s="78" t="n">
        <f aca="false">IF(AND(OR(X1225="R",X1225="NX",X1225="NT",X1225="CO"),OR('JOINTS DE RÉPARATION'!$D$5="TOUTES",B1225='JOINTS DE RÉPARATION'!$D$5),OR('JOINTS DE RÉPARATION'!$L$4="TOUS",AM1225&lt;&gt;"ACCEPTÉ")),1,0)</f>
        <v>0</v>
      </c>
      <c r="AR1225" s="78" t="str">
        <f aca="false">IF(AQ1225=1,SUM(AQ$7:AQ1225),"")</f>
        <v/>
      </c>
    </row>
    <row r="1226" customFormat="false" ht="15" hidden="false" customHeight="false" outlineLevel="0" collapsed="false">
      <c r="A1226" s="78" t="str">
        <f aca="false">IF(E1226="","",ROW()-6)</f>
        <v/>
      </c>
      <c r="B1226" s="79"/>
      <c r="C1226" s="80"/>
      <c r="D1226" s="80"/>
      <c r="E1226" s="80"/>
      <c r="F1226" s="80"/>
      <c r="G1226" s="80"/>
      <c r="H1226" s="80"/>
      <c r="I1226" s="80"/>
      <c r="J1226" s="80"/>
      <c r="K1226" s="80"/>
      <c r="L1226" s="81" t="str">
        <f aca="false">IF(K1226="","",IFERROR(INDEX(BARDAGE!$C$7:$C$1506,MATCH(K1226,BARDAGE!$B$7:$B$1506,0)),"? hors registre"))</f>
        <v/>
      </c>
      <c r="M1226" s="80"/>
      <c r="N1226" s="81" t="str">
        <f aca="false">IF(M1226="","",IFERROR(INDEX(BARDAGE!$C$7:$C$1506,MATCH(M1226,BARDAGE!$B$7:$B$1506,0)),"? hors registre"))</f>
        <v/>
      </c>
      <c r="O1226" s="80"/>
      <c r="P1226" s="80"/>
      <c r="Q1226" s="80"/>
      <c r="R1226" s="82"/>
      <c r="S1226" s="82"/>
      <c r="T1226" s="80"/>
      <c r="U1226" s="80"/>
      <c r="V1226" s="82"/>
      <c r="W1226" s="80"/>
      <c r="X1226" s="80"/>
      <c r="Y1226" s="80"/>
      <c r="Z1226" s="80"/>
      <c r="AA1226" s="82"/>
      <c r="AB1226" s="80"/>
      <c r="AC1226" s="80"/>
      <c r="AD1226" s="80"/>
      <c r="AE1226" s="80"/>
      <c r="AF1226" s="82"/>
      <c r="AG1226" s="80"/>
      <c r="AH1226" s="80"/>
      <c r="AI1226" s="82"/>
      <c r="AJ1226" s="79"/>
      <c r="AK1226" s="78" t="str">
        <f aca="false">IF(E1226="","",(X1226&lt;&gt;"")+(AC1226&lt;&gt;"")+(AH1226&lt;&gt;""))</f>
        <v/>
      </c>
      <c r="AL1226" s="81" t="str">
        <f aca="false">IF(AH1226&lt;&gt;"",AH1226,IF(AC1226&lt;&gt;"",AC1226,IF(X1226&lt;&gt;"",X1226,"")))</f>
        <v/>
      </c>
      <c r="AM1226" s="83" t="str">
        <f aca="false">IF(E1226="","",IF(R1226="","À SOUDER",IF(U1226="","VT EN ATTENTE",IF(U1226="R","VT REJETÉ – À REPRENDRE",IF(AL1226="","À RADIOGRAPHIER",IF(AL1226="A","ACCEPTÉ",IF(AL1226="NX","NX – RT À REFAIRE",IF(IF(AK1226=1,Z1226,IF(AK1226=2,AE1226,""))="A","RÉPARÉ – À RADIOGRAPHIER",IF(IF(AK1226=1,Z1226,IF(AK1226=2,AE1226,""))="R","VT REJETÉ – À REPRENDRE",IF(OR(AL1226="CO",AL1226="NT"),"COUPE – À RESOUDER","À RÉPARER"))))))))))</f>
        <v/>
      </c>
      <c r="AN1226" s="81" t="str">
        <f aca="false">IF(AND(ISNUMBER(R1226),OR(AM1226="À RADIOGRAPHIER",AM1226="RÉPARÉ – À RADIOGRAPHIER",AM1226="NX – RT À REFAIRE",AM1226="À RÉPARER",AM1226="COUPE – À RESOUDER",AM1226="VT REJETÉ – À REPRENDRE")),MAX(0,'PROGRAMME RT'!$C$4-R1226),"")</f>
        <v/>
      </c>
      <c r="AO1226" s="78" t="n">
        <f aca="false">IF(AND(OR(AM1226="À RADIOGRAPHIER",AM1226="RÉPARÉ – À RADIOGRAPHIER",AM1226="NX – RT À REFAIRE"),OR('PROGRAMME RT'!$D$5="TOUTES",B1226='PROGRAMME RT'!$D$5)),1,0)</f>
        <v>0</v>
      </c>
      <c r="AP1226" s="78" t="str">
        <f aca="false">IF(AO1226=1,SUM(AO$7:AO1226),"")</f>
        <v/>
      </c>
      <c r="AQ1226" s="78" t="n">
        <f aca="false">IF(AND(OR(X1226="R",X1226="NX",X1226="NT",X1226="CO"),OR('JOINTS DE RÉPARATION'!$D$5="TOUTES",B1226='JOINTS DE RÉPARATION'!$D$5),OR('JOINTS DE RÉPARATION'!$L$4="TOUS",AM1226&lt;&gt;"ACCEPTÉ")),1,0)</f>
        <v>0</v>
      </c>
      <c r="AR1226" s="78" t="str">
        <f aca="false">IF(AQ1226=1,SUM(AQ$7:AQ1226),"")</f>
        <v/>
      </c>
    </row>
    <row r="1227" customFormat="false" ht="15" hidden="false" customHeight="false" outlineLevel="0" collapsed="false">
      <c r="A1227" s="78" t="str">
        <f aca="false">IF(E1227="","",ROW()-6)</f>
        <v/>
      </c>
      <c r="B1227" s="79"/>
      <c r="C1227" s="80"/>
      <c r="D1227" s="80"/>
      <c r="E1227" s="80"/>
      <c r="F1227" s="80"/>
      <c r="G1227" s="80"/>
      <c r="H1227" s="80"/>
      <c r="I1227" s="80"/>
      <c r="J1227" s="80"/>
      <c r="K1227" s="80"/>
      <c r="L1227" s="81" t="str">
        <f aca="false">IF(K1227="","",IFERROR(INDEX(BARDAGE!$C$7:$C$1506,MATCH(K1227,BARDAGE!$B$7:$B$1506,0)),"? hors registre"))</f>
        <v/>
      </c>
      <c r="M1227" s="80"/>
      <c r="N1227" s="81" t="str">
        <f aca="false">IF(M1227="","",IFERROR(INDEX(BARDAGE!$C$7:$C$1506,MATCH(M1227,BARDAGE!$B$7:$B$1506,0)),"? hors registre"))</f>
        <v/>
      </c>
      <c r="O1227" s="80"/>
      <c r="P1227" s="80"/>
      <c r="Q1227" s="80"/>
      <c r="R1227" s="82"/>
      <c r="S1227" s="82"/>
      <c r="T1227" s="80"/>
      <c r="U1227" s="80"/>
      <c r="V1227" s="82"/>
      <c r="W1227" s="80"/>
      <c r="X1227" s="80"/>
      <c r="Y1227" s="80"/>
      <c r="Z1227" s="80"/>
      <c r="AA1227" s="82"/>
      <c r="AB1227" s="80"/>
      <c r="AC1227" s="80"/>
      <c r="AD1227" s="80"/>
      <c r="AE1227" s="80"/>
      <c r="AF1227" s="82"/>
      <c r="AG1227" s="80"/>
      <c r="AH1227" s="80"/>
      <c r="AI1227" s="82"/>
      <c r="AJ1227" s="79"/>
      <c r="AK1227" s="78" t="str">
        <f aca="false">IF(E1227="","",(X1227&lt;&gt;"")+(AC1227&lt;&gt;"")+(AH1227&lt;&gt;""))</f>
        <v/>
      </c>
      <c r="AL1227" s="81" t="str">
        <f aca="false">IF(AH1227&lt;&gt;"",AH1227,IF(AC1227&lt;&gt;"",AC1227,IF(X1227&lt;&gt;"",X1227,"")))</f>
        <v/>
      </c>
      <c r="AM1227" s="83" t="str">
        <f aca="false">IF(E1227="","",IF(R1227="","À SOUDER",IF(U1227="","VT EN ATTENTE",IF(U1227="R","VT REJETÉ – À REPRENDRE",IF(AL1227="","À RADIOGRAPHIER",IF(AL1227="A","ACCEPTÉ",IF(AL1227="NX","NX – RT À REFAIRE",IF(IF(AK1227=1,Z1227,IF(AK1227=2,AE1227,""))="A","RÉPARÉ – À RADIOGRAPHIER",IF(IF(AK1227=1,Z1227,IF(AK1227=2,AE1227,""))="R","VT REJETÉ – À REPRENDRE",IF(OR(AL1227="CO",AL1227="NT"),"COUPE – À RESOUDER","À RÉPARER"))))))))))</f>
        <v/>
      </c>
      <c r="AN1227" s="81" t="str">
        <f aca="false">IF(AND(ISNUMBER(R1227),OR(AM1227="À RADIOGRAPHIER",AM1227="RÉPARÉ – À RADIOGRAPHIER",AM1227="NX – RT À REFAIRE",AM1227="À RÉPARER",AM1227="COUPE – À RESOUDER",AM1227="VT REJETÉ – À REPRENDRE")),MAX(0,'PROGRAMME RT'!$C$4-R1227),"")</f>
        <v/>
      </c>
      <c r="AO1227" s="78" t="n">
        <f aca="false">IF(AND(OR(AM1227="À RADIOGRAPHIER",AM1227="RÉPARÉ – À RADIOGRAPHIER",AM1227="NX – RT À REFAIRE"),OR('PROGRAMME RT'!$D$5="TOUTES",B1227='PROGRAMME RT'!$D$5)),1,0)</f>
        <v>0</v>
      </c>
      <c r="AP1227" s="78" t="str">
        <f aca="false">IF(AO1227=1,SUM(AO$7:AO1227),"")</f>
        <v/>
      </c>
      <c r="AQ1227" s="78" t="n">
        <f aca="false">IF(AND(OR(X1227="R",X1227="NX",X1227="NT",X1227="CO"),OR('JOINTS DE RÉPARATION'!$D$5="TOUTES",B1227='JOINTS DE RÉPARATION'!$D$5),OR('JOINTS DE RÉPARATION'!$L$4="TOUS",AM1227&lt;&gt;"ACCEPTÉ")),1,0)</f>
        <v>0</v>
      </c>
      <c r="AR1227" s="78" t="str">
        <f aca="false">IF(AQ1227=1,SUM(AQ$7:AQ1227),"")</f>
        <v/>
      </c>
    </row>
    <row r="1228" customFormat="false" ht="15" hidden="false" customHeight="false" outlineLevel="0" collapsed="false">
      <c r="A1228" s="78" t="str">
        <f aca="false">IF(E1228="","",ROW()-6)</f>
        <v/>
      </c>
      <c r="B1228" s="79"/>
      <c r="C1228" s="80"/>
      <c r="D1228" s="80"/>
      <c r="E1228" s="80"/>
      <c r="F1228" s="80"/>
      <c r="G1228" s="80"/>
      <c r="H1228" s="80"/>
      <c r="I1228" s="80"/>
      <c r="J1228" s="80"/>
      <c r="K1228" s="80"/>
      <c r="L1228" s="81" t="str">
        <f aca="false">IF(K1228="","",IFERROR(INDEX(BARDAGE!$C$7:$C$1506,MATCH(K1228,BARDAGE!$B$7:$B$1506,0)),"? hors registre"))</f>
        <v/>
      </c>
      <c r="M1228" s="80"/>
      <c r="N1228" s="81" t="str">
        <f aca="false">IF(M1228="","",IFERROR(INDEX(BARDAGE!$C$7:$C$1506,MATCH(M1228,BARDAGE!$B$7:$B$1506,0)),"? hors registre"))</f>
        <v/>
      </c>
      <c r="O1228" s="80"/>
      <c r="P1228" s="80"/>
      <c r="Q1228" s="80"/>
      <c r="R1228" s="82"/>
      <c r="S1228" s="82"/>
      <c r="T1228" s="80"/>
      <c r="U1228" s="80"/>
      <c r="V1228" s="82"/>
      <c r="W1228" s="80"/>
      <c r="X1228" s="80"/>
      <c r="Y1228" s="80"/>
      <c r="Z1228" s="80"/>
      <c r="AA1228" s="82"/>
      <c r="AB1228" s="80"/>
      <c r="AC1228" s="80"/>
      <c r="AD1228" s="80"/>
      <c r="AE1228" s="80"/>
      <c r="AF1228" s="82"/>
      <c r="AG1228" s="80"/>
      <c r="AH1228" s="80"/>
      <c r="AI1228" s="82"/>
      <c r="AJ1228" s="79"/>
      <c r="AK1228" s="78" t="str">
        <f aca="false">IF(E1228="","",(X1228&lt;&gt;"")+(AC1228&lt;&gt;"")+(AH1228&lt;&gt;""))</f>
        <v/>
      </c>
      <c r="AL1228" s="81" t="str">
        <f aca="false">IF(AH1228&lt;&gt;"",AH1228,IF(AC1228&lt;&gt;"",AC1228,IF(X1228&lt;&gt;"",X1228,"")))</f>
        <v/>
      </c>
      <c r="AM1228" s="83" t="str">
        <f aca="false">IF(E1228="","",IF(R1228="","À SOUDER",IF(U1228="","VT EN ATTENTE",IF(U1228="R","VT REJETÉ – À REPRENDRE",IF(AL1228="","À RADIOGRAPHIER",IF(AL1228="A","ACCEPTÉ",IF(AL1228="NX","NX – RT À REFAIRE",IF(IF(AK1228=1,Z1228,IF(AK1228=2,AE1228,""))="A","RÉPARÉ – À RADIOGRAPHIER",IF(IF(AK1228=1,Z1228,IF(AK1228=2,AE1228,""))="R","VT REJETÉ – À REPRENDRE",IF(OR(AL1228="CO",AL1228="NT"),"COUPE – À RESOUDER","À RÉPARER"))))))))))</f>
        <v/>
      </c>
      <c r="AN1228" s="81" t="str">
        <f aca="false">IF(AND(ISNUMBER(R1228),OR(AM1228="À RADIOGRAPHIER",AM1228="RÉPARÉ – À RADIOGRAPHIER",AM1228="NX – RT À REFAIRE",AM1228="À RÉPARER",AM1228="COUPE – À RESOUDER",AM1228="VT REJETÉ – À REPRENDRE")),MAX(0,'PROGRAMME RT'!$C$4-R1228),"")</f>
        <v/>
      </c>
      <c r="AO1228" s="78" t="n">
        <f aca="false">IF(AND(OR(AM1228="À RADIOGRAPHIER",AM1228="RÉPARÉ – À RADIOGRAPHIER",AM1228="NX – RT À REFAIRE"),OR('PROGRAMME RT'!$D$5="TOUTES",B1228='PROGRAMME RT'!$D$5)),1,0)</f>
        <v>0</v>
      </c>
      <c r="AP1228" s="78" t="str">
        <f aca="false">IF(AO1228=1,SUM(AO$7:AO1228),"")</f>
        <v/>
      </c>
      <c r="AQ1228" s="78" t="n">
        <f aca="false">IF(AND(OR(X1228="R",X1228="NX",X1228="NT",X1228="CO"),OR('JOINTS DE RÉPARATION'!$D$5="TOUTES",B1228='JOINTS DE RÉPARATION'!$D$5),OR('JOINTS DE RÉPARATION'!$L$4="TOUS",AM1228&lt;&gt;"ACCEPTÉ")),1,0)</f>
        <v>0</v>
      </c>
      <c r="AR1228" s="78" t="str">
        <f aca="false">IF(AQ1228=1,SUM(AQ$7:AQ1228),"")</f>
        <v/>
      </c>
    </row>
    <row r="1229" customFormat="false" ht="15" hidden="false" customHeight="false" outlineLevel="0" collapsed="false">
      <c r="A1229" s="78" t="str">
        <f aca="false">IF(E1229="","",ROW()-6)</f>
        <v/>
      </c>
      <c r="B1229" s="79"/>
      <c r="C1229" s="80"/>
      <c r="D1229" s="80"/>
      <c r="E1229" s="80"/>
      <c r="F1229" s="80"/>
      <c r="G1229" s="80"/>
      <c r="H1229" s="80"/>
      <c r="I1229" s="80"/>
      <c r="J1229" s="80"/>
      <c r="K1229" s="80"/>
      <c r="L1229" s="81" t="str">
        <f aca="false">IF(K1229="","",IFERROR(INDEX(BARDAGE!$C$7:$C$1506,MATCH(K1229,BARDAGE!$B$7:$B$1506,0)),"? hors registre"))</f>
        <v/>
      </c>
      <c r="M1229" s="80"/>
      <c r="N1229" s="81" t="str">
        <f aca="false">IF(M1229="","",IFERROR(INDEX(BARDAGE!$C$7:$C$1506,MATCH(M1229,BARDAGE!$B$7:$B$1506,0)),"? hors registre"))</f>
        <v/>
      </c>
      <c r="O1229" s="80"/>
      <c r="P1229" s="80"/>
      <c r="Q1229" s="80"/>
      <c r="R1229" s="82"/>
      <c r="S1229" s="82"/>
      <c r="T1229" s="80"/>
      <c r="U1229" s="80"/>
      <c r="V1229" s="82"/>
      <c r="W1229" s="80"/>
      <c r="X1229" s="80"/>
      <c r="Y1229" s="80"/>
      <c r="Z1229" s="80"/>
      <c r="AA1229" s="82"/>
      <c r="AB1229" s="80"/>
      <c r="AC1229" s="80"/>
      <c r="AD1229" s="80"/>
      <c r="AE1229" s="80"/>
      <c r="AF1229" s="82"/>
      <c r="AG1229" s="80"/>
      <c r="AH1229" s="80"/>
      <c r="AI1229" s="82"/>
      <c r="AJ1229" s="79"/>
      <c r="AK1229" s="78" t="str">
        <f aca="false">IF(E1229="","",(X1229&lt;&gt;"")+(AC1229&lt;&gt;"")+(AH1229&lt;&gt;""))</f>
        <v/>
      </c>
      <c r="AL1229" s="81" t="str">
        <f aca="false">IF(AH1229&lt;&gt;"",AH1229,IF(AC1229&lt;&gt;"",AC1229,IF(X1229&lt;&gt;"",X1229,"")))</f>
        <v/>
      </c>
      <c r="AM1229" s="83" t="str">
        <f aca="false">IF(E1229="","",IF(R1229="","À SOUDER",IF(U1229="","VT EN ATTENTE",IF(U1229="R","VT REJETÉ – À REPRENDRE",IF(AL1229="","À RADIOGRAPHIER",IF(AL1229="A","ACCEPTÉ",IF(AL1229="NX","NX – RT À REFAIRE",IF(IF(AK1229=1,Z1229,IF(AK1229=2,AE1229,""))="A","RÉPARÉ – À RADIOGRAPHIER",IF(IF(AK1229=1,Z1229,IF(AK1229=2,AE1229,""))="R","VT REJETÉ – À REPRENDRE",IF(OR(AL1229="CO",AL1229="NT"),"COUPE – À RESOUDER","À RÉPARER"))))))))))</f>
        <v/>
      </c>
      <c r="AN1229" s="81" t="str">
        <f aca="false">IF(AND(ISNUMBER(R1229),OR(AM1229="À RADIOGRAPHIER",AM1229="RÉPARÉ – À RADIOGRAPHIER",AM1229="NX – RT À REFAIRE",AM1229="À RÉPARER",AM1229="COUPE – À RESOUDER",AM1229="VT REJETÉ – À REPRENDRE")),MAX(0,'PROGRAMME RT'!$C$4-R1229),"")</f>
        <v/>
      </c>
      <c r="AO1229" s="78" t="n">
        <f aca="false">IF(AND(OR(AM1229="À RADIOGRAPHIER",AM1229="RÉPARÉ – À RADIOGRAPHIER",AM1229="NX – RT À REFAIRE"),OR('PROGRAMME RT'!$D$5="TOUTES",B1229='PROGRAMME RT'!$D$5)),1,0)</f>
        <v>0</v>
      </c>
      <c r="AP1229" s="78" t="str">
        <f aca="false">IF(AO1229=1,SUM(AO$7:AO1229),"")</f>
        <v/>
      </c>
      <c r="AQ1229" s="78" t="n">
        <f aca="false">IF(AND(OR(X1229="R",X1229="NX",X1229="NT",X1229="CO"),OR('JOINTS DE RÉPARATION'!$D$5="TOUTES",B1229='JOINTS DE RÉPARATION'!$D$5),OR('JOINTS DE RÉPARATION'!$L$4="TOUS",AM1229&lt;&gt;"ACCEPTÉ")),1,0)</f>
        <v>0</v>
      </c>
      <c r="AR1229" s="78" t="str">
        <f aca="false">IF(AQ1229=1,SUM(AQ$7:AQ1229),"")</f>
        <v/>
      </c>
    </row>
    <row r="1230" customFormat="false" ht="15" hidden="false" customHeight="false" outlineLevel="0" collapsed="false">
      <c r="A1230" s="78" t="str">
        <f aca="false">IF(E1230="","",ROW()-6)</f>
        <v/>
      </c>
      <c r="B1230" s="79"/>
      <c r="C1230" s="80"/>
      <c r="D1230" s="80"/>
      <c r="E1230" s="80"/>
      <c r="F1230" s="80"/>
      <c r="G1230" s="80"/>
      <c r="H1230" s="80"/>
      <c r="I1230" s="80"/>
      <c r="J1230" s="80"/>
      <c r="K1230" s="80"/>
      <c r="L1230" s="81" t="str">
        <f aca="false">IF(K1230="","",IFERROR(INDEX(BARDAGE!$C$7:$C$1506,MATCH(K1230,BARDAGE!$B$7:$B$1506,0)),"? hors registre"))</f>
        <v/>
      </c>
      <c r="M1230" s="80"/>
      <c r="N1230" s="81" t="str">
        <f aca="false">IF(M1230="","",IFERROR(INDEX(BARDAGE!$C$7:$C$1506,MATCH(M1230,BARDAGE!$B$7:$B$1506,0)),"? hors registre"))</f>
        <v/>
      </c>
      <c r="O1230" s="80"/>
      <c r="P1230" s="80"/>
      <c r="Q1230" s="80"/>
      <c r="R1230" s="82"/>
      <c r="S1230" s="82"/>
      <c r="T1230" s="80"/>
      <c r="U1230" s="80"/>
      <c r="V1230" s="82"/>
      <c r="W1230" s="80"/>
      <c r="X1230" s="80"/>
      <c r="Y1230" s="80"/>
      <c r="Z1230" s="80"/>
      <c r="AA1230" s="82"/>
      <c r="AB1230" s="80"/>
      <c r="AC1230" s="80"/>
      <c r="AD1230" s="80"/>
      <c r="AE1230" s="80"/>
      <c r="AF1230" s="82"/>
      <c r="AG1230" s="80"/>
      <c r="AH1230" s="80"/>
      <c r="AI1230" s="82"/>
      <c r="AJ1230" s="79"/>
      <c r="AK1230" s="78" t="str">
        <f aca="false">IF(E1230="","",(X1230&lt;&gt;"")+(AC1230&lt;&gt;"")+(AH1230&lt;&gt;""))</f>
        <v/>
      </c>
      <c r="AL1230" s="81" t="str">
        <f aca="false">IF(AH1230&lt;&gt;"",AH1230,IF(AC1230&lt;&gt;"",AC1230,IF(X1230&lt;&gt;"",X1230,"")))</f>
        <v/>
      </c>
      <c r="AM1230" s="83" t="str">
        <f aca="false">IF(E1230="","",IF(R1230="","À SOUDER",IF(U1230="","VT EN ATTENTE",IF(U1230="R","VT REJETÉ – À REPRENDRE",IF(AL1230="","À RADIOGRAPHIER",IF(AL1230="A","ACCEPTÉ",IF(AL1230="NX","NX – RT À REFAIRE",IF(IF(AK1230=1,Z1230,IF(AK1230=2,AE1230,""))="A","RÉPARÉ – À RADIOGRAPHIER",IF(IF(AK1230=1,Z1230,IF(AK1230=2,AE1230,""))="R","VT REJETÉ – À REPRENDRE",IF(OR(AL1230="CO",AL1230="NT"),"COUPE – À RESOUDER","À RÉPARER"))))))))))</f>
        <v/>
      </c>
      <c r="AN1230" s="81" t="str">
        <f aca="false">IF(AND(ISNUMBER(R1230),OR(AM1230="À RADIOGRAPHIER",AM1230="RÉPARÉ – À RADIOGRAPHIER",AM1230="NX – RT À REFAIRE",AM1230="À RÉPARER",AM1230="COUPE – À RESOUDER",AM1230="VT REJETÉ – À REPRENDRE")),MAX(0,'PROGRAMME RT'!$C$4-R1230),"")</f>
        <v/>
      </c>
      <c r="AO1230" s="78" t="n">
        <f aca="false">IF(AND(OR(AM1230="À RADIOGRAPHIER",AM1230="RÉPARÉ – À RADIOGRAPHIER",AM1230="NX – RT À REFAIRE"),OR('PROGRAMME RT'!$D$5="TOUTES",B1230='PROGRAMME RT'!$D$5)),1,0)</f>
        <v>0</v>
      </c>
      <c r="AP1230" s="78" t="str">
        <f aca="false">IF(AO1230=1,SUM(AO$7:AO1230),"")</f>
        <v/>
      </c>
      <c r="AQ1230" s="78" t="n">
        <f aca="false">IF(AND(OR(X1230="R",X1230="NX",X1230="NT",X1230="CO"),OR('JOINTS DE RÉPARATION'!$D$5="TOUTES",B1230='JOINTS DE RÉPARATION'!$D$5),OR('JOINTS DE RÉPARATION'!$L$4="TOUS",AM1230&lt;&gt;"ACCEPTÉ")),1,0)</f>
        <v>0</v>
      </c>
      <c r="AR1230" s="78" t="str">
        <f aca="false">IF(AQ1230=1,SUM(AQ$7:AQ1230),"")</f>
        <v/>
      </c>
    </row>
    <row r="1231" customFormat="false" ht="15" hidden="false" customHeight="false" outlineLevel="0" collapsed="false">
      <c r="A1231" s="78" t="str">
        <f aca="false">IF(E1231="","",ROW()-6)</f>
        <v/>
      </c>
      <c r="B1231" s="79"/>
      <c r="C1231" s="80"/>
      <c r="D1231" s="80"/>
      <c r="E1231" s="80"/>
      <c r="F1231" s="80"/>
      <c r="G1231" s="80"/>
      <c r="H1231" s="80"/>
      <c r="I1231" s="80"/>
      <c r="J1231" s="80"/>
      <c r="K1231" s="80"/>
      <c r="L1231" s="81" t="str">
        <f aca="false">IF(K1231="","",IFERROR(INDEX(BARDAGE!$C$7:$C$1506,MATCH(K1231,BARDAGE!$B$7:$B$1506,0)),"? hors registre"))</f>
        <v/>
      </c>
      <c r="M1231" s="80"/>
      <c r="N1231" s="81" t="str">
        <f aca="false">IF(M1231="","",IFERROR(INDEX(BARDAGE!$C$7:$C$1506,MATCH(M1231,BARDAGE!$B$7:$B$1506,0)),"? hors registre"))</f>
        <v/>
      </c>
      <c r="O1231" s="80"/>
      <c r="P1231" s="80"/>
      <c r="Q1231" s="80"/>
      <c r="R1231" s="82"/>
      <c r="S1231" s="82"/>
      <c r="T1231" s="80"/>
      <c r="U1231" s="80"/>
      <c r="V1231" s="82"/>
      <c r="W1231" s="80"/>
      <c r="X1231" s="80"/>
      <c r="Y1231" s="80"/>
      <c r="Z1231" s="80"/>
      <c r="AA1231" s="82"/>
      <c r="AB1231" s="80"/>
      <c r="AC1231" s="80"/>
      <c r="AD1231" s="80"/>
      <c r="AE1231" s="80"/>
      <c r="AF1231" s="82"/>
      <c r="AG1231" s="80"/>
      <c r="AH1231" s="80"/>
      <c r="AI1231" s="82"/>
      <c r="AJ1231" s="79"/>
      <c r="AK1231" s="78" t="str">
        <f aca="false">IF(E1231="","",(X1231&lt;&gt;"")+(AC1231&lt;&gt;"")+(AH1231&lt;&gt;""))</f>
        <v/>
      </c>
      <c r="AL1231" s="81" t="str">
        <f aca="false">IF(AH1231&lt;&gt;"",AH1231,IF(AC1231&lt;&gt;"",AC1231,IF(X1231&lt;&gt;"",X1231,"")))</f>
        <v/>
      </c>
      <c r="AM1231" s="83" t="str">
        <f aca="false">IF(E1231="","",IF(R1231="","À SOUDER",IF(U1231="","VT EN ATTENTE",IF(U1231="R","VT REJETÉ – À REPRENDRE",IF(AL1231="","À RADIOGRAPHIER",IF(AL1231="A","ACCEPTÉ",IF(AL1231="NX","NX – RT À REFAIRE",IF(IF(AK1231=1,Z1231,IF(AK1231=2,AE1231,""))="A","RÉPARÉ – À RADIOGRAPHIER",IF(IF(AK1231=1,Z1231,IF(AK1231=2,AE1231,""))="R","VT REJETÉ – À REPRENDRE",IF(OR(AL1231="CO",AL1231="NT"),"COUPE – À RESOUDER","À RÉPARER"))))))))))</f>
        <v/>
      </c>
      <c r="AN1231" s="81" t="str">
        <f aca="false">IF(AND(ISNUMBER(R1231),OR(AM1231="À RADIOGRAPHIER",AM1231="RÉPARÉ – À RADIOGRAPHIER",AM1231="NX – RT À REFAIRE",AM1231="À RÉPARER",AM1231="COUPE – À RESOUDER",AM1231="VT REJETÉ – À REPRENDRE")),MAX(0,'PROGRAMME RT'!$C$4-R1231),"")</f>
        <v/>
      </c>
      <c r="AO1231" s="78" t="n">
        <f aca="false">IF(AND(OR(AM1231="À RADIOGRAPHIER",AM1231="RÉPARÉ – À RADIOGRAPHIER",AM1231="NX – RT À REFAIRE"),OR('PROGRAMME RT'!$D$5="TOUTES",B1231='PROGRAMME RT'!$D$5)),1,0)</f>
        <v>0</v>
      </c>
      <c r="AP1231" s="78" t="str">
        <f aca="false">IF(AO1231=1,SUM(AO$7:AO1231),"")</f>
        <v/>
      </c>
      <c r="AQ1231" s="78" t="n">
        <f aca="false">IF(AND(OR(X1231="R",X1231="NX",X1231="NT",X1231="CO"),OR('JOINTS DE RÉPARATION'!$D$5="TOUTES",B1231='JOINTS DE RÉPARATION'!$D$5),OR('JOINTS DE RÉPARATION'!$L$4="TOUS",AM1231&lt;&gt;"ACCEPTÉ")),1,0)</f>
        <v>0</v>
      </c>
      <c r="AR1231" s="78" t="str">
        <f aca="false">IF(AQ1231=1,SUM(AQ$7:AQ1231),"")</f>
        <v/>
      </c>
    </row>
    <row r="1232" customFormat="false" ht="15" hidden="false" customHeight="false" outlineLevel="0" collapsed="false">
      <c r="A1232" s="78" t="str">
        <f aca="false">IF(E1232="","",ROW()-6)</f>
        <v/>
      </c>
      <c r="B1232" s="79"/>
      <c r="C1232" s="80"/>
      <c r="D1232" s="80"/>
      <c r="E1232" s="80"/>
      <c r="F1232" s="80"/>
      <c r="G1232" s="80"/>
      <c r="H1232" s="80"/>
      <c r="I1232" s="80"/>
      <c r="J1232" s="80"/>
      <c r="K1232" s="80"/>
      <c r="L1232" s="81" t="str">
        <f aca="false">IF(K1232="","",IFERROR(INDEX(BARDAGE!$C$7:$C$1506,MATCH(K1232,BARDAGE!$B$7:$B$1506,0)),"? hors registre"))</f>
        <v/>
      </c>
      <c r="M1232" s="80"/>
      <c r="N1232" s="81" t="str">
        <f aca="false">IF(M1232="","",IFERROR(INDEX(BARDAGE!$C$7:$C$1506,MATCH(M1232,BARDAGE!$B$7:$B$1506,0)),"? hors registre"))</f>
        <v/>
      </c>
      <c r="O1232" s="80"/>
      <c r="P1232" s="80"/>
      <c r="Q1232" s="80"/>
      <c r="R1232" s="82"/>
      <c r="S1232" s="82"/>
      <c r="T1232" s="80"/>
      <c r="U1232" s="80"/>
      <c r="V1232" s="82"/>
      <c r="W1232" s="80"/>
      <c r="X1232" s="80"/>
      <c r="Y1232" s="80"/>
      <c r="Z1232" s="80"/>
      <c r="AA1232" s="82"/>
      <c r="AB1232" s="80"/>
      <c r="AC1232" s="80"/>
      <c r="AD1232" s="80"/>
      <c r="AE1232" s="80"/>
      <c r="AF1232" s="82"/>
      <c r="AG1232" s="80"/>
      <c r="AH1232" s="80"/>
      <c r="AI1232" s="82"/>
      <c r="AJ1232" s="79"/>
      <c r="AK1232" s="78" t="str">
        <f aca="false">IF(E1232="","",(X1232&lt;&gt;"")+(AC1232&lt;&gt;"")+(AH1232&lt;&gt;""))</f>
        <v/>
      </c>
      <c r="AL1232" s="81" t="str">
        <f aca="false">IF(AH1232&lt;&gt;"",AH1232,IF(AC1232&lt;&gt;"",AC1232,IF(X1232&lt;&gt;"",X1232,"")))</f>
        <v/>
      </c>
      <c r="AM1232" s="83" t="str">
        <f aca="false">IF(E1232="","",IF(R1232="","À SOUDER",IF(U1232="","VT EN ATTENTE",IF(U1232="R","VT REJETÉ – À REPRENDRE",IF(AL1232="","À RADIOGRAPHIER",IF(AL1232="A","ACCEPTÉ",IF(AL1232="NX","NX – RT À REFAIRE",IF(IF(AK1232=1,Z1232,IF(AK1232=2,AE1232,""))="A","RÉPARÉ – À RADIOGRAPHIER",IF(IF(AK1232=1,Z1232,IF(AK1232=2,AE1232,""))="R","VT REJETÉ – À REPRENDRE",IF(OR(AL1232="CO",AL1232="NT"),"COUPE – À RESOUDER","À RÉPARER"))))))))))</f>
        <v/>
      </c>
      <c r="AN1232" s="81" t="str">
        <f aca="false">IF(AND(ISNUMBER(R1232),OR(AM1232="À RADIOGRAPHIER",AM1232="RÉPARÉ – À RADIOGRAPHIER",AM1232="NX – RT À REFAIRE",AM1232="À RÉPARER",AM1232="COUPE – À RESOUDER",AM1232="VT REJETÉ – À REPRENDRE")),MAX(0,'PROGRAMME RT'!$C$4-R1232),"")</f>
        <v/>
      </c>
      <c r="AO1232" s="78" t="n">
        <f aca="false">IF(AND(OR(AM1232="À RADIOGRAPHIER",AM1232="RÉPARÉ – À RADIOGRAPHIER",AM1232="NX – RT À REFAIRE"),OR('PROGRAMME RT'!$D$5="TOUTES",B1232='PROGRAMME RT'!$D$5)),1,0)</f>
        <v>0</v>
      </c>
      <c r="AP1232" s="78" t="str">
        <f aca="false">IF(AO1232=1,SUM(AO$7:AO1232),"")</f>
        <v/>
      </c>
      <c r="AQ1232" s="78" t="n">
        <f aca="false">IF(AND(OR(X1232="R",X1232="NX",X1232="NT",X1232="CO"),OR('JOINTS DE RÉPARATION'!$D$5="TOUTES",B1232='JOINTS DE RÉPARATION'!$D$5),OR('JOINTS DE RÉPARATION'!$L$4="TOUS",AM1232&lt;&gt;"ACCEPTÉ")),1,0)</f>
        <v>0</v>
      </c>
      <c r="AR1232" s="78" t="str">
        <f aca="false">IF(AQ1232=1,SUM(AQ$7:AQ1232),"")</f>
        <v/>
      </c>
    </row>
    <row r="1233" customFormat="false" ht="15" hidden="false" customHeight="false" outlineLevel="0" collapsed="false">
      <c r="A1233" s="78" t="str">
        <f aca="false">IF(E1233="","",ROW()-6)</f>
        <v/>
      </c>
      <c r="B1233" s="79"/>
      <c r="C1233" s="80"/>
      <c r="D1233" s="80"/>
      <c r="E1233" s="80"/>
      <c r="F1233" s="80"/>
      <c r="G1233" s="80"/>
      <c r="H1233" s="80"/>
      <c r="I1233" s="80"/>
      <c r="J1233" s="80"/>
      <c r="K1233" s="80"/>
      <c r="L1233" s="81" t="str">
        <f aca="false">IF(K1233="","",IFERROR(INDEX(BARDAGE!$C$7:$C$1506,MATCH(K1233,BARDAGE!$B$7:$B$1506,0)),"? hors registre"))</f>
        <v/>
      </c>
      <c r="M1233" s="80"/>
      <c r="N1233" s="81" t="str">
        <f aca="false">IF(M1233="","",IFERROR(INDEX(BARDAGE!$C$7:$C$1506,MATCH(M1233,BARDAGE!$B$7:$B$1506,0)),"? hors registre"))</f>
        <v/>
      </c>
      <c r="O1233" s="80"/>
      <c r="P1233" s="80"/>
      <c r="Q1233" s="80"/>
      <c r="R1233" s="82"/>
      <c r="S1233" s="82"/>
      <c r="T1233" s="80"/>
      <c r="U1233" s="80"/>
      <c r="V1233" s="82"/>
      <c r="W1233" s="80"/>
      <c r="X1233" s="80"/>
      <c r="Y1233" s="80"/>
      <c r="Z1233" s="80"/>
      <c r="AA1233" s="82"/>
      <c r="AB1233" s="80"/>
      <c r="AC1233" s="80"/>
      <c r="AD1233" s="80"/>
      <c r="AE1233" s="80"/>
      <c r="AF1233" s="82"/>
      <c r="AG1233" s="80"/>
      <c r="AH1233" s="80"/>
      <c r="AI1233" s="82"/>
      <c r="AJ1233" s="79"/>
      <c r="AK1233" s="78" t="str">
        <f aca="false">IF(E1233="","",(X1233&lt;&gt;"")+(AC1233&lt;&gt;"")+(AH1233&lt;&gt;""))</f>
        <v/>
      </c>
      <c r="AL1233" s="81" t="str">
        <f aca="false">IF(AH1233&lt;&gt;"",AH1233,IF(AC1233&lt;&gt;"",AC1233,IF(X1233&lt;&gt;"",X1233,"")))</f>
        <v/>
      </c>
      <c r="AM1233" s="83" t="str">
        <f aca="false">IF(E1233="","",IF(R1233="","À SOUDER",IF(U1233="","VT EN ATTENTE",IF(U1233="R","VT REJETÉ – À REPRENDRE",IF(AL1233="","À RADIOGRAPHIER",IF(AL1233="A","ACCEPTÉ",IF(AL1233="NX","NX – RT À REFAIRE",IF(IF(AK1233=1,Z1233,IF(AK1233=2,AE1233,""))="A","RÉPARÉ – À RADIOGRAPHIER",IF(IF(AK1233=1,Z1233,IF(AK1233=2,AE1233,""))="R","VT REJETÉ – À REPRENDRE",IF(OR(AL1233="CO",AL1233="NT"),"COUPE – À RESOUDER","À RÉPARER"))))))))))</f>
        <v/>
      </c>
      <c r="AN1233" s="81" t="str">
        <f aca="false">IF(AND(ISNUMBER(R1233),OR(AM1233="À RADIOGRAPHIER",AM1233="RÉPARÉ – À RADIOGRAPHIER",AM1233="NX – RT À REFAIRE",AM1233="À RÉPARER",AM1233="COUPE – À RESOUDER",AM1233="VT REJETÉ – À REPRENDRE")),MAX(0,'PROGRAMME RT'!$C$4-R1233),"")</f>
        <v/>
      </c>
      <c r="AO1233" s="78" t="n">
        <f aca="false">IF(AND(OR(AM1233="À RADIOGRAPHIER",AM1233="RÉPARÉ – À RADIOGRAPHIER",AM1233="NX – RT À REFAIRE"),OR('PROGRAMME RT'!$D$5="TOUTES",B1233='PROGRAMME RT'!$D$5)),1,0)</f>
        <v>0</v>
      </c>
      <c r="AP1233" s="78" t="str">
        <f aca="false">IF(AO1233=1,SUM(AO$7:AO1233),"")</f>
        <v/>
      </c>
      <c r="AQ1233" s="78" t="n">
        <f aca="false">IF(AND(OR(X1233="R",X1233="NX",X1233="NT",X1233="CO"),OR('JOINTS DE RÉPARATION'!$D$5="TOUTES",B1233='JOINTS DE RÉPARATION'!$D$5),OR('JOINTS DE RÉPARATION'!$L$4="TOUS",AM1233&lt;&gt;"ACCEPTÉ")),1,0)</f>
        <v>0</v>
      </c>
      <c r="AR1233" s="78" t="str">
        <f aca="false">IF(AQ1233=1,SUM(AQ$7:AQ1233),"")</f>
        <v/>
      </c>
    </row>
    <row r="1234" customFormat="false" ht="15" hidden="false" customHeight="false" outlineLevel="0" collapsed="false">
      <c r="A1234" s="78" t="str">
        <f aca="false">IF(E1234="","",ROW()-6)</f>
        <v/>
      </c>
      <c r="B1234" s="79"/>
      <c r="C1234" s="80"/>
      <c r="D1234" s="80"/>
      <c r="E1234" s="80"/>
      <c r="F1234" s="80"/>
      <c r="G1234" s="80"/>
      <c r="H1234" s="80"/>
      <c r="I1234" s="80"/>
      <c r="J1234" s="80"/>
      <c r="K1234" s="80"/>
      <c r="L1234" s="81" t="str">
        <f aca="false">IF(K1234="","",IFERROR(INDEX(BARDAGE!$C$7:$C$1506,MATCH(K1234,BARDAGE!$B$7:$B$1506,0)),"? hors registre"))</f>
        <v/>
      </c>
      <c r="M1234" s="80"/>
      <c r="N1234" s="81" t="str">
        <f aca="false">IF(M1234="","",IFERROR(INDEX(BARDAGE!$C$7:$C$1506,MATCH(M1234,BARDAGE!$B$7:$B$1506,0)),"? hors registre"))</f>
        <v/>
      </c>
      <c r="O1234" s="80"/>
      <c r="P1234" s="80"/>
      <c r="Q1234" s="80"/>
      <c r="R1234" s="82"/>
      <c r="S1234" s="82"/>
      <c r="T1234" s="80"/>
      <c r="U1234" s="80"/>
      <c r="V1234" s="82"/>
      <c r="W1234" s="80"/>
      <c r="X1234" s="80"/>
      <c r="Y1234" s="80"/>
      <c r="Z1234" s="80"/>
      <c r="AA1234" s="82"/>
      <c r="AB1234" s="80"/>
      <c r="AC1234" s="80"/>
      <c r="AD1234" s="80"/>
      <c r="AE1234" s="80"/>
      <c r="AF1234" s="82"/>
      <c r="AG1234" s="80"/>
      <c r="AH1234" s="80"/>
      <c r="AI1234" s="82"/>
      <c r="AJ1234" s="79"/>
      <c r="AK1234" s="78" t="str">
        <f aca="false">IF(E1234="","",(X1234&lt;&gt;"")+(AC1234&lt;&gt;"")+(AH1234&lt;&gt;""))</f>
        <v/>
      </c>
      <c r="AL1234" s="81" t="str">
        <f aca="false">IF(AH1234&lt;&gt;"",AH1234,IF(AC1234&lt;&gt;"",AC1234,IF(X1234&lt;&gt;"",X1234,"")))</f>
        <v/>
      </c>
      <c r="AM1234" s="83" t="str">
        <f aca="false">IF(E1234="","",IF(R1234="","À SOUDER",IF(U1234="","VT EN ATTENTE",IF(U1234="R","VT REJETÉ – À REPRENDRE",IF(AL1234="","À RADIOGRAPHIER",IF(AL1234="A","ACCEPTÉ",IF(AL1234="NX","NX – RT À REFAIRE",IF(IF(AK1234=1,Z1234,IF(AK1234=2,AE1234,""))="A","RÉPARÉ – À RADIOGRAPHIER",IF(IF(AK1234=1,Z1234,IF(AK1234=2,AE1234,""))="R","VT REJETÉ – À REPRENDRE",IF(OR(AL1234="CO",AL1234="NT"),"COUPE – À RESOUDER","À RÉPARER"))))))))))</f>
        <v/>
      </c>
      <c r="AN1234" s="81" t="str">
        <f aca="false">IF(AND(ISNUMBER(R1234),OR(AM1234="À RADIOGRAPHIER",AM1234="RÉPARÉ – À RADIOGRAPHIER",AM1234="NX – RT À REFAIRE",AM1234="À RÉPARER",AM1234="COUPE – À RESOUDER",AM1234="VT REJETÉ – À REPRENDRE")),MAX(0,'PROGRAMME RT'!$C$4-R1234),"")</f>
        <v/>
      </c>
      <c r="AO1234" s="78" t="n">
        <f aca="false">IF(AND(OR(AM1234="À RADIOGRAPHIER",AM1234="RÉPARÉ – À RADIOGRAPHIER",AM1234="NX – RT À REFAIRE"),OR('PROGRAMME RT'!$D$5="TOUTES",B1234='PROGRAMME RT'!$D$5)),1,0)</f>
        <v>0</v>
      </c>
      <c r="AP1234" s="78" t="str">
        <f aca="false">IF(AO1234=1,SUM(AO$7:AO1234),"")</f>
        <v/>
      </c>
      <c r="AQ1234" s="78" t="n">
        <f aca="false">IF(AND(OR(X1234="R",X1234="NX",X1234="NT",X1234="CO"),OR('JOINTS DE RÉPARATION'!$D$5="TOUTES",B1234='JOINTS DE RÉPARATION'!$D$5),OR('JOINTS DE RÉPARATION'!$L$4="TOUS",AM1234&lt;&gt;"ACCEPTÉ")),1,0)</f>
        <v>0</v>
      </c>
      <c r="AR1234" s="78" t="str">
        <f aca="false">IF(AQ1234=1,SUM(AQ$7:AQ1234),"")</f>
        <v/>
      </c>
    </row>
    <row r="1235" customFormat="false" ht="15" hidden="false" customHeight="false" outlineLevel="0" collapsed="false">
      <c r="A1235" s="78" t="str">
        <f aca="false">IF(E1235="","",ROW()-6)</f>
        <v/>
      </c>
      <c r="B1235" s="79"/>
      <c r="C1235" s="80"/>
      <c r="D1235" s="80"/>
      <c r="E1235" s="80"/>
      <c r="F1235" s="80"/>
      <c r="G1235" s="80"/>
      <c r="H1235" s="80"/>
      <c r="I1235" s="80"/>
      <c r="J1235" s="80"/>
      <c r="K1235" s="80"/>
      <c r="L1235" s="81" t="str">
        <f aca="false">IF(K1235="","",IFERROR(INDEX(BARDAGE!$C$7:$C$1506,MATCH(K1235,BARDAGE!$B$7:$B$1506,0)),"? hors registre"))</f>
        <v/>
      </c>
      <c r="M1235" s="80"/>
      <c r="N1235" s="81" t="str">
        <f aca="false">IF(M1235="","",IFERROR(INDEX(BARDAGE!$C$7:$C$1506,MATCH(M1235,BARDAGE!$B$7:$B$1506,0)),"? hors registre"))</f>
        <v/>
      </c>
      <c r="O1235" s="80"/>
      <c r="P1235" s="80"/>
      <c r="Q1235" s="80"/>
      <c r="R1235" s="82"/>
      <c r="S1235" s="82"/>
      <c r="T1235" s="80"/>
      <c r="U1235" s="80"/>
      <c r="V1235" s="82"/>
      <c r="W1235" s="80"/>
      <c r="X1235" s="80"/>
      <c r="Y1235" s="80"/>
      <c r="Z1235" s="80"/>
      <c r="AA1235" s="82"/>
      <c r="AB1235" s="80"/>
      <c r="AC1235" s="80"/>
      <c r="AD1235" s="80"/>
      <c r="AE1235" s="80"/>
      <c r="AF1235" s="82"/>
      <c r="AG1235" s="80"/>
      <c r="AH1235" s="80"/>
      <c r="AI1235" s="82"/>
      <c r="AJ1235" s="79"/>
      <c r="AK1235" s="78" t="str">
        <f aca="false">IF(E1235="","",(X1235&lt;&gt;"")+(AC1235&lt;&gt;"")+(AH1235&lt;&gt;""))</f>
        <v/>
      </c>
      <c r="AL1235" s="81" t="str">
        <f aca="false">IF(AH1235&lt;&gt;"",AH1235,IF(AC1235&lt;&gt;"",AC1235,IF(X1235&lt;&gt;"",X1235,"")))</f>
        <v/>
      </c>
      <c r="AM1235" s="83" t="str">
        <f aca="false">IF(E1235="","",IF(R1235="","À SOUDER",IF(U1235="","VT EN ATTENTE",IF(U1235="R","VT REJETÉ – À REPRENDRE",IF(AL1235="","À RADIOGRAPHIER",IF(AL1235="A","ACCEPTÉ",IF(AL1235="NX","NX – RT À REFAIRE",IF(IF(AK1235=1,Z1235,IF(AK1235=2,AE1235,""))="A","RÉPARÉ – À RADIOGRAPHIER",IF(IF(AK1235=1,Z1235,IF(AK1235=2,AE1235,""))="R","VT REJETÉ – À REPRENDRE",IF(OR(AL1235="CO",AL1235="NT"),"COUPE – À RESOUDER","À RÉPARER"))))))))))</f>
        <v/>
      </c>
      <c r="AN1235" s="81" t="str">
        <f aca="false">IF(AND(ISNUMBER(R1235),OR(AM1235="À RADIOGRAPHIER",AM1235="RÉPARÉ – À RADIOGRAPHIER",AM1235="NX – RT À REFAIRE",AM1235="À RÉPARER",AM1235="COUPE – À RESOUDER",AM1235="VT REJETÉ – À REPRENDRE")),MAX(0,'PROGRAMME RT'!$C$4-R1235),"")</f>
        <v/>
      </c>
      <c r="AO1235" s="78" t="n">
        <f aca="false">IF(AND(OR(AM1235="À RADIOGRAPHIER",AM1235="RÉPARÉ – À RADIOGRAPHIER",AM1235="NX – RT À REFAIRE"),OR('PROGRAMME RT'!$D$5="TOUTES",B1235='PROGRAMME RT'!$D$5)),1,0)</f>
        <v>0</v>
      </c>
      <c r="AP1235" s="78" t="str">
        <f aca="false">IF(AO1235=1,SUM(AO$7:AO1235),"")</f>
        <v/>
      </c>
      <c r="AQ1235" s="78" t="n">
        <f aca="false">IF(AND(OR(X1235="R",X1235="NX",X1235="NT",X1235="CO"),OR('JOINTS DE RÉPARATION'!$D$5="TOUTES",B1235='JOINTS DE RÉPARATION'!$D$5),OR('JOINTS DE RÉPARATION'!$L$4="TOUS",AM1235&lt;&gt;"ACCEPTÉ")),1,0)</f>
        <v>0</v>
      </c>
      <c r="AR1235" s="78" t="str">
        <f aca="false">IF(AQ1235=1,SUM(AQ$7:AQ1235),"")</f>
        <v/>
      </c>
    </row>
    <row r="1236" customFormat="false" ht="15" hidden="false" customHeight="false" outlineLevel="0" collapsed="false">
      <c r="A1236" s="78" t="str">
        <f aca="false">IF(E1236="","",ROW()-6)</f>
        <v/>
      </c>
      <c r="B1236" s="79"/>
      <c r="C1236" s="80"/>
      <c r="D1236" s="80"/>
      <c r="E1236" s="80"/>
      <c r="F1236" s="80"/>
      <c r="G1236" s="80"/>
      <c r="H1236" s="80"/>
      <c r="I1236" s="80"/>
      <c r="J1236" s="80"/>
      <c r="K1236" s="80"/>
      <c r="L1236" s="81" t="str">
        <f aca="false">IF(K1236="","",IFERROR(INDEX(BARDAGE!$C$7:$C$1506,MATCH(K1236,BARDAGE!$B$7:$B$1506,0)),"? hors registre"))</f>
        <v/>
      </c>
      <c r="M1236" s="80"/>
      <c r="N1236" s="81" t="str">
        <f aca="false">IF(M1236="","",IFERROR(INDEX(BARDAGE!$C$7:$C$1506,MATCH(M1236,BARDAGE!$B$7:$B$1506,0)),"? hors registre"))</f>
        <v/>
      </c>
      <c r="O1236" s="80"/>
      <c r="P1236" s="80"/>
      <c r="Q1236" s="80"/>
      <c r="R1236" s="82"/>
      <c r="S1236" s="82"/>
      <c r="T1236" s="80"/>
      <c r="U1236" s="80"/>
      <c r="V1236" s="82"/>
      <c r="W1236" s="80"/>
      <c r="X1236" s="80"/>
      <c r="Y1236" s="80"/>
      <c r="Z1236" s="80"/>
      <c r="AA1236" s="82"/>
      <c r="AB1236" s="80"/>
      <c r="AC1236" s="80"/>
      <c r="AD1236" s="80"/>
      <c r="AE1236" s="80"/>
      <c r="AF1236" s="82"/>
      <c r="AG1236" s="80"/>
      <c r="AH1236" s="80"/>
      <c r="AI1236" s="82"/>
      <c r="AJ1236" s="79"/>
      <c r="AK1236" s="78" t="str">
        <f aca="false">IF(E1236="","",(X1236&lt;&gt;"")+(AC1236&lt;&gt;"")+(AH1236&lt;&gt;""))</f>
        <v/>
      </c>
      <c r="AL1236" s="81" t="str">
        <f aca="false">IF(AH1236&lt;&gt;"",AH1236,IF(AC1236&lt;&gt;"",AC1236,IF(X1236&lt;&gt;"",X1236,"")))</f>
        <v/>
      </c>
      <c r="AM1236" s="83" t="str">
        <f aca="false">IF(E1236="","",IF(R1236="","À SOUDER",IF(U1236="","VT EN ATTENTE",IF(U1236="R","VT REJETÉ – À REPRENDRE",IF(AL1236="","À RADIOGRAPHIER",IF(AL1236="A","ACCEPTÉ",IF(AL1236="NX","NX – RT À REFAIRE",IF(IF(AK1236=1,Z1236,IF(AK1236=2,AE1236,""))="A","RÉPARÉ – À RADIOGRAPHIER",IF(IF(AK1236=1,Z1236,IF(AK1236=2,AE1236,""))="R","VT REJETÉ – À REPRENDRE",IF(OR(AL1236="CO",AL1236="NT"),"COUPE – À RESOUDER","À RÉPARER"))))))))))</f>
        <v/>
      </c>
      <c r="AN1236" s="81" t="str">
        <f aca="false">IF(AND(ISNUMBER(R1236),OR(AM1236="À RADIOGRAPHIER",AM1236="RÉPARÉ – À RADIOGRAPHIER",AM1236="NX – RT À REFAIRE",AM1236="À RÉPARER",AM1236="COUPE – À RESOUDER",AM1236="VT REJETÉ – À REPRENDRE")),MAX(0,'PROGRAMME RT'!$C$4-R1236),"")</f>
        <v/>
      </c>
      <c r="AO1236" s="78" t="n">
        <f aca="false">IF(AND(OR(AM1236="À RADIOGRAPHIER",AM1236="RÉPARÉ – À RADIOGRAPHIER",AM1236="NX – RT À REFAIRE"),OR('PROGRAMME RT'!$D$5="TOUTES",B1236='PROGRAMME RT'!$D$5)),1,0)</f>
        <v>0</v>
      </c>
      <c r="AP1236" s="78" t="str">
        <f aca="false">IF(AO1236=1,SUM(AO$7:AO1236),"")</f>
        <v/>
      </c>
      <c r="AQ1236" s="78" t="n">
        <f aca="false">IF(AND(OR(X1236="R",X1236="NX",X1236="NT",X1236="CO"),OR('JOINTS DE RÉPARATION'!$D$5="TOUTES",B1236='JOINTS DE RÉPARATION'!$D$5),OR('JOINTS DE RÉPARATION'!$L$4="TOUS",AM1236&lt;&gt;"ACCEPTÉ")),1,0)</f>
        <v>0</v>
      </c>
      <c r="AR1236" s="78" t="str">
        <f aca="false">IF(AQ1236=1,SUM(AQ$7:AQ1236),"")</f>
        <v/>
      </c>
    </row>
    <row r="1237" customFormat="false" ht="15" hidden="false" customHeight="false" outlineLevel="0" collapsed="false">
      <c r="A1237" s="78" t="str">
        <f aca="false">IF(E1237="","",ROW()-6)</f>
        <v/>
      </c>
      <c r="B1237" s="79"/>
      <c r="C1237" s="80"/>
      <c r="D1237" s="80"/>
      <c r="E1237" s="80"/>
      <c r="F1237" s="80"/>
      <c r="G1237" s="80"/>
      <c r="H1237" s="80"/>
      <c r="I1237" s="80"/>
      <c r="J1237" s="80"/>
      <c r="K1237" s="80"/>
      <c r="L1237" s="81" t="str">
        <f aca="false">IF(K1237="","",IFERROR(INDEX(BARDAGE!$C$7:$C$1506,MATCH(K1237,BARDAGE!$B$7:$B$1506,0)),"? hors registre"))</f>
        <v/>
      </c>
      <c r="M1237" s="80"/>
      <c r="N1237" s="81" t="str">
        <f aca="false">IF(M1237="","",IFERROR(INDEX(BARDAGE!$C$7:$C$1506,MATCH(M1237,BARDAGE!$B$7:$B$1506,0)),"? hors registre"))</f>
        <v/>
      </c>
      <c r="O1237" s="80"/>
      <c r="P1237" s="80"/>
      <c r="Q1237" s="80"/>
      <c r="R1237" s="82"/>
      <c r="S1237" s="82"/>
      <c r="T1237" s="80"/>
      <c r="U1237" s="80"/>
      <c r="V1237" s="82"/>
      <c r="W1237" s="80"/>
      <c r="X1237" s="80"/>
      <c r="Y1237" s="80"/>
      <c r="Z1237" s="80"/>
      <c r="AA1237" s="82"/>
      <c r="AB1237" s="80"/>
      <c r="AC1237" s="80"/>
      <c r="AD1237" s="80"/>
      <c r="AE1237" s="80"/>
      <c r="AF1237" s="82"/>
      <c r="AG1237" s="80"/>
      <c r="AH1237" s="80"/>
      <c r="AI1237" s="82"/>
      <c r="AJ1237" s="79"/>
      <c r="AK1237" s="78" t="str">
        <f aca="false">IF(E1237="","",(X1237&lt;&gt;"")+(AC1237&lt;&gt;"")+(AH1237&lt;&gt;""))</f>
        <v/>
      </c>
      <c r="AL1237" s="81" t="str">
        <f aca="false">IF(AH1237&lt;&gt;"",AH1237,IF(AC1237&lt;&gt;"",AC1237,IF(X1237&lt;&gt;"",X1237,"")))</f>
        <v/>
      </c>
      <c r="AM1237" s="83" t="str">
        <f aca="false">IF(E1237="","",IF(R1237="","À SOUDER",IF(U1237="","VT EN ATTENTE",IF(U1237="R","VT REJETÉ – À REPRENDRE",IF(AL1237="","À RADIOGRAPHIER",IF(AL1237="A","ACCEPTÉ",IF(AL1237="NX","NX – RT À REFAIRE",IF(IF(AK1237=1,Z1237,IF(AK1237=2,AE1237,""))="A","RÉPARÉ – À RADIOGRAPHIER",IF(IF(AK1237=1,Z1237,IF(AK1237=2,AE1237,""))="R","VT REJETÉ – À REPRENDRE",IF(OR(AL1237="CO",AL1237="NT"),"COUPE – À RESOUDER","À RÉPARER"))))))))))</f>
        <v/>
      </c>
      <c r="AN1237" s="81" t="str">
        <f aca="false">IF(AND(ISNUMBER(R1237),OR(AM1237="À RADIOGRAPHIER",AM1237="RÉPARÉ – À RADIOGRAPHIER",AM1237="NX – RT À REFAIRE",AM1237="À RÉPARER",AM1237="COUPE – À RESOUDER",AM1237="VT REJETÉ – À REPRENDRE")),MAX(0,'PROGRAMME RT'!$C$4-R1237),"")</f>
        <v/>
      </c>
      <c r="AO1237" s="78" t="n">
        <f aca="false">IF(AND(OR(AM1237="À RADIOGRAPHIER",AM1237="RÉPARÉ – À RADIOGRAPHIER",AM1237="NX – RT À REFAIRE"),OR('PROGRAMME RT'!$D$5="TOUTES",B1237='PROGRAMME RT'!$D$5)),1,0)</f>
        <v>0</v>
      </c>
      <c r="AP1237" s="78" t="str">
        <f aca="false">IF(AO1237=1,SUM(AO$7:AO1237),"")</f>
        <v/>
      </c>
      <c r="AQ1237" s="78" t="n">
        <f aca="false">IF(AND(OR(X1237="R",X1237="NX",X1237="NT",X1237="CO"),OR('JOINTS DE RÉPARATION'!$D$5="TOUTES",B1237='JOINTS DE RÉPARATION'!$D$5),OR('JOINTS DE RÉPARATION'!$L$4="TOUS",AM1237&lt;&gt;"ACCEPTÉ")),1,0)</f>
        <v>0</v>
      </c>
      <c r="AR1237" s="78" t="str">
        <f aca="false">IF(AQ1237=1,SUM(AQ$7:AQ1237),"")</f>
        <v/>
      </c>
    </row>
    <row r="1238" customFormat="false" ht="15" hidden="false" customHeight="false" outlineLevel="0" collapsed="false">
      <c r="A1238" s="78" t="str">
        <f aca="false">IF(E1238="","",ROW()-6)</f>
        <v/>
      </c>
      <c r="B1238" s="79"/>
      <c r="C1238" s="80"/>
      <c r="D1238" s="80"/>
      <c r="E1238" s="80"/>
      <c r="F1238" s="80"/>
      <c r="G1238" s="80"/>
      <c r="H1238" s="80"/>
      <c r="I1238" s="80"/>
      <c r="J1238" s="80"/>
      <c r="K1238" s="80"/>
      <c r="L1238" s="81" t="str">
        <f aca="false">IF(K1238="","",IFERROR(INDEX(BARDAGE!$C$7:$C$1506,MATCH(K1238,BARDAGE!$B$7:$B$1506,0)),"? hors registre"))</f>
        <v/>
      </c>
      <c r="M1238" s="80"/>
      <c r="N1238" s="81" t="str">
        <f aca="false">IF(M1238="","",IFERROR(INDEX(BARDAGE!$C$7:$C$1506,MATCH(M1238,BARDAGE!$B$7:$B$1506,0)),"? hors registre"))</f>
        <v/>
      </c>
      <c r="O1238" s="80"/>
      <c r="P1238" s="80"/>
      <c r="Q1238" s="80"/>
      <c r="R1238" s="82"/>
      <c r="S1238" s="82"/>
      <c r="T1238" s="80"/>
      <c r="U1238" s="80"/>
      <c r="V1238" s="82"/>
      <c r="W1238" s="80"/>
      <c r="X1238" s="80"/>
      <c r="Y1238" s="80"/>
      <c r="Z1238" s="80"/>
      <c r="AA1238" s="82"/>
      <c r="AB1238" s="80"/>
      <c r="AC1238" s="80"/>
      <c r="AD1238" s="80"/>
      <c r="AE1238" s="80"/>
      <c r="AF1238" s="82"/>
      <c r="AG1238" s="80"/>
      <c r="AH1238" s="80"/>
      <c r="AI1238" s="82"/>
      <c r="AJ1238" s="79"/>
      <c r="AK1238" s="78" t="str">
        <f aca="false">IF(E1238="","",(X1238&lt;&gt;"")+(AC1238&lt;&gt;"")+(AH1238&lt;&gt;""))</f>
        <v/>
      </c>
      <c r="AL1238" s="81" t="str">
        <f aca="false">IF(AH1238&lt;&gt;"",AH1238,IF(AC1238&lt;&gt;"",AC1238,IF(X1238&lt;&gt;"",X1238,"")))</f>
        <v/>
      </c>
      <c r="AM1238" s="83" t="str">
        <f aca="false">IF(E1238="","",IF(R1238="","À SOUDER",IF(U1238="","VT EN ATTENTE",IF(U1238="R","VT REJETÉ – À REPRENDRE",IF(AL1238="","À RADIOGRAPHIER",IF(AL1238="A","ACCEPTÉ",IF(AL1238="NX","NX – RT À REFAIRE",IF(IF(AK1238=1,Z1238,IF(AK1238=2,AE1238,""))="A","RÉPARÉ – À RADIOGRAPHIER",IF(IF(AK1238=1,Z1238,IF(AK1238=2,AE1238,""))="R","VT REJETÉ – À REPRENDRE",IF(OR(AL1238="CO",AL1238="NT"),"COUPE – À RESOUDER","À RÉPARER"))))))))))</f>
        <v/>
      </c>
      <c r="AN1238" s="81" t="str">
        <f aca="false">IF(AND(ISNUMBER(R1238),OR(AM1238="À RADIOGRAPHIER",AM1238="RÉPARÉ – À RADIOGRAPHIER",AM1238="NX – RT À REFAIRE",AM1238="À RÉPARER",AM1238="COUPE – À RESOUDER",AM1238="VT REJETÉ – À REPRENDRE")),MAX(0,'PROGRAMME RT'!$C$4-R1238),"")</f>
        <v/>
      </c>
      <c r="AO1238" s="78" t="n">
        <f aca="false">IF(AND(OR(AM1238="À RADIOGRAPHIER",AM1238="RÉPARÉ – À RADIOGRAPHIER",AM1238="NX – RT À REFAIRE"),OR('PROGRAMME RT'!$D$5="TOUTES",B1238='PROGRAMME RT'!$D$5)),1,0)</f>
        <v>0</v>
      </c>
      <c r="AP1238" s="78" t="str">
        <f aca="false">IF(AO1238=1,SUM(AO$7:AO1238),"")</f>
        <v/>
      </c>
      <c r="AQ1238" s="78" t="n">
        <f aca="false">IF(AND(OR(X1238="R",X1238="NX",X1238="NT",X1238="CO"),OR('JOINTS DE RÉPARATION'!$D$5="TOUTES",B1238='JOINTS DE RÉPARATION'!$D$5),OR('JOINTS DE RÉPARATION'!$L$4="TOUS",AM1238&lt;&gt;"ACCEPTÉ")),1,0)</f>
        <v>0</v>
      </c>
      <c r="AR1238" s="78" t="str">
        <f aca="false">IF(AQ1238=1,SUM(AQ$7:AQ1238),"")</f>
        <v/>
      </c>
    </row>
    <row r="1239" customFormat="false" ht="15" hidden="false" customHeight="false" outlineLevel="0" collapsed="false">
      <c r="A1239" s="78" t="str">
        <f aca="false">IF(E1239="","",ROW()-6)</f>
        <v/>
      </c>
      <c r="B1239" s="79"/>
      <c r="C1239" s="80"/>
      <c r="D1239" s="80"/>
      <c r="E1239" s="80"/>
      <c r="F1239" s="80"/>
      <c r="G1239" s="80"/>
      <c r="H1239" s="80"/>
      <c r="I1239" s="80"/>
      <c r="J1239" s="80"/>
      <c r="K1239" s="80"/>
      <c r="L1239" s="81" t="str">
        <f aca="false">IF(K1239="","",IFERROR(INDEX(BARDAGE!$C$7:$C$1506,MATCH(K1239,BARDAGE!$B$7:$B$1506,0)),"? hors registre"))</f>
        <v/>
      </c>
      <c r="M1239" s="80"/>
      <c r="N1239" s="81" t="str">
        <f aca="false">IF(M1239="","",IFERROR(INDEX(BARDAGE!$C$7:$C$1506,MATCH(M1239,BARDAGE!$B$7:$B$1506,0)),"? hors registre"))</f>
        <v/>
      </c>
      <c r="O1239" s="80"/>
      <c r="P1239" s="80"/>
      <c r="Q1239" s="80"/>
      <c r="R1239" s="82"/>
      <c r="S1239" s="82"/>
      <c r="T1239" s="80"/>
      <c r="U1239" s="80"/>
      <c r="V1239" s="82"/>
      <c r="W1239" s="80"/>
      <c r="X1239" s="80"/>
      <c r="Y1239" s="80"/>
      <c r="Z1239" s="80"/>
      <c r="AA1239" s="82"/>
      <c r="AB1239" s="80"/>
      <c r="AC1239" s="80"/>
      <c r="AD1239" s="80"/>
      <c r="AE1239" s="80"/>
      <c r="AF1239" s="82"/>
      <c r="AG1239" s="80"/>
      <c r="AH1239" s="80"/>
      <c r="AI1239" s="82"/>
      <c r="AJ1239" s="79"/>
      <c r="AK1239" s="78" t="str">
        <f aca="false">IF(E1239="","",(X1239&lt;&gt;"")+(AC1239&lt;&gt;"")+(AH1239&lt;&gt;""))</f>
        <v/>
      </c>
      <c r="AL1239" s="81" t="str">
        <f aca="false">IF(AH1239&lt;&gt;"",AH1239,IF(AC1239&lt;&gt;"",AC1239,IF(X1239&lt;&gt;"",X1239,"")))</f>
        <v/>
      </c>
      <c r="AM1239" s="83" t="str">
        <f aca="false">IF(E1239="","",IF(R1239="","À SOUDER",IF(U1239="","VT EN ATTENTE",IF(U1239="R","VT REJETÉ – À REPRENDRE",IF(AL1239="","À RADIOGRAPHIER",IF(AL1239="A","ACCEPTÉ",IF(AL1239="NX","NX – RT À REFAIRE",IF(IF(AK1239=1,Z1239,IF(AK1239=2,AE1239,""))="A","RÉPARÉ – À RADIOGRAPHIER",IF(IF(AK1239=1,Z1239,IF(AK1239=2,AE1239,""))="R","VT REJETÉ – À REPRENDRE",IF(OR(AL1239="CO",AL1239="NT"),"COUPE – À RESOUDER","À RÉPARER"))))))))))</f>
        <v/>
      </c>
      <c r="AN1239" s="81" t="str">
        <f aca="false">IF(AND(ISNUMBER(R1239),OR(AM1239="À RADIOGRAPHIER",AM1239="RÉPARÉ – À RADIOGRAPHIER",AM1239="NX – RT À REFAIRE",AM1239="À RÉPARER",AM1239="COUPE – À RESOUDER",AM1239="VT REJETÉ – À REPRENDRE")),MAX(0,'PROGRAMME RT'!$C$4-R1239),"")</f>
        <v/>
      </c>
      <c r="AO1239" s="78" t="n">
        <f aca="false">IF(AND(OR(AM1239="À RADIOGRAPHIER",AM1239="RÉPARÉ – À RADIOGRAPHIER",AM1239="NX – RT À REFAIRE"),OR('PROGRAMME RT'!$D$5="TOUTES",B1239='PROGRAMME RT'!$D$5)),1,0)</f>
        <v>0</v>
      </c>
      <c r="AP1239" s="78" t="str">
        <f aca="false">IF(AO1239=1,SUM(AO$7:AO1239),"")</f>
        <v/>
      </c>
      <c r="AQ1239" s="78" t="n">
        <f aca="false">IF(AND(OR(X1239="R",X1239="NX",X1239="NT",X1239="CO"),OR('JOINTS DE RÉPARATION'!$D$5="TOUTES",B1239='JOINTS DE RÉPARATION'!$D$5),OR('JOINTS DE RÉPARATION'!$L$4="TOUS",AM1239&lt;&gt;"ACCEPTÉ")),1,0)</f>
        <v>0</v>
      </c>
      <c r="AR1239" s="78" t="str">
        <f aca="false">IF(AQ1239=1,SUM(AQ$7:AQ1239),"")</f>
        <v/>
      </c>
    </row>
    <row r="1240" customFormat="false" ht="15" hidden="false" customHeight="false" outlineLevel="0" collapsed="false">
      <c r="A1240" s="78" t="str">
        <f aca="false">IF(E1240="","",ROW()-6)</f>
        <v/>
      </c>
      <c r="B1240" s="79"/>
      <c r="C1240" s="80"/>
      <c r="D1240" s="80"/>
      <c r="E1240" s="80"/>
      <c r="F1240" s="80"/>
      <c r="G1240" s="80"/>
      <c r="H1240" s="80"/>
      <c r="I1240" s="80"/>
      <c r="J1240" s="80"/>
      <c r="K1240" s="80"/>
      <c r="L1240" s="81" t="str">
        <f aca="false">IF(K1240="","",IFERROR(INDEX(BARDAGE!$C$7:$C$1506,MATCH(K1240,BARDAGE!$B$7:$B$1506,0)),"? hors registre"))</f>
        <v/>
      </c>
      <c r="M1240" s="80"/>
      <c r="N1240" s="81" t="str">
        <f aca="false">IF(M1240="","",IFERROR(INDEX(BARDAGE!$C$7:$C$1506,MATCH(M1240,BARDAGE!$B$7:$B$1506,0)),"? hors registre"))</f>
        <v/>
      </c>
      <c r="O1240" s="80"/>
      <c r="P1240" s="80"/>
      <c r="Q1240" s="80"/>
      <c r="R1240" s="82"/>
      <c r="S1240" s="82"/>
      <c r="T1240" s="80"/>
      <c r="U1240" s="80"/>
      <c r="V1240" s="82"/>
      <c r="W1240" s="80"/>
      <c r="X1240" s="80"/>
      <c r="Y1240" s="80"/>
      <c r="Z1240" s="80"/>
      <c r="AA1240" s="82"/>
      <c r="AB1240" s="80"/>
      <c r="AC1240" s="80"/>
      <c r="AD1240" s="80"/>
      <c r="AE1240" s="80"/>
      <c r="AF1240" s="82"/>
      <c r="AG1240" s="80"/>
      <c r="AH1240" s="80"/>
      <c r="AI1240" s="82"/>
      <c r="AJ1240" s="79"/>
      <c r="AK1240" s="78" t="str">
        <f aca="false">IF(E1240="","",(X1240&lt;&gt;"")+(AC1240&lt;&gt;"")+(AH1240&lt;&gt;""))</f>
        <v/>
      </c>
      <c r="AL1240" s="81" t="str">
        <f aca="false">IF(AH1240&lt;&gt;"",AH1240,IF(AC1240&lt;&gt;"",AC1240,IF(X1240&lt;&gt;"",X1240,"")))</f>
        <v/>
      </c>
      <c r="AM1240" s="83" t="str">
        <f aca="false">IF(E1240="","",IF(R1240="","À SOUDER",IF(U1240="","VT EN ATTENTE",IF(U1240="R","VT REJETÉ – À REPRENDRE",IF(AL1240="","À RADIOGRAPHIER",IF(AL1240="A","ACCEPTÉ",IF(AL1240="NX","NX – RT À REFAIRE",IF(IF(AK1240=1,Z1240,IF(AK1240=2,AE1240,""))="A","RÉPARÉ – À RADIOGRAPHIER",IF(IF(AK1240=1,Z1240,IF(AK1240=2,AE1240,""))="R","VT REJETÉ – À REPRENDRE",IF(OR(AL1240="CO",AL1240="NT"),"COUPE – À RESOUDER","À RÉPARER"))))))))))</f>
        <v/>
      </c>
      <c r="AN1240" s="81" t="str">
        <f aca="false">IF(AND(ISNUMBER(R1240),OR(AM1240="À RADIOGRAPHIER",AM1240="RÉPARÉ – À RADIOGRAPHIER",AM1240="NX – RT À REFAIRE",AM1240="À RÉPARER",AM1240="COUPE – À RESOUDER",AM1240="VT REJETÉ – À REPRENDRE")),MAX(0,'PROGRAMME RT'!$C$4-R1240),"")</f>
        <v/>
      </c>
      <c r="AO1240" s="78" t="n">
        <f aca="false">IF(AND(OR(AM1240="À RADIOGRAPHIER",AM1240="RÉPARÉ – À RADIOGRAPHIER",AM1240="NX – RT À REFAIRE"),OR('PROGRAMME RT'!$D$5="TOUTES",B1240='PROGRAMME RT'!$D$5)),1,0)</f>
        <v>0</v>
      </c>
      <c r="AP1240" s="78" t="str">
        <f aca="false">IF(AO1240=1,SUM(AO$7:AO1240),"")</f>
        <v/>
      </c>
      <c r="AQ1240" s="78" t="n">
        <f aca="false">IF(AND(OR(X1240="R",X1240="NX",X1240="NT",X1240="CO"),OR('JOINTS DE RÉPARATION'!$D$5="TOUTES",B1240='JOINTS DE RÉPARATION'!$D$5),OR('JOINTS DE RÉPARATION'!$L$4="TOUS",AM1240&lt;&gt;"ACCEPTÉ")),1,0)</f>
        <v>0</v>
      </c>
      <c r="AR1240" s="78" t="str">
        <f aca="false">IF(AQ1240=1,SUM(AQ$7:AQ1240),"")</f>
        <v/>
      </c>
    </row>
    <row r="1241" customFormat="false" ht="15" hidden="false" customHeight="false" outlineLevel="0" collapsed="false">
      <c r="A1241" s="78" t="str">
        <f aca="false">IF(E1241="","",ROW()-6)</f>
        <v/>
      </c>
      <c r="B1241" s="79"/>
      <c r="C1241" s="80"/>
      <c r="D1241" s="80"/>
      <c r="E1241" s="80"/>
      <c r="F1241" s="80"/>
      <c r="G1241" s="80"/>
      <c r="H1241" s="80"/>
      <c r="I1241" s="80"/>
      <c r="J1241" s="80"/>
      <c r="K1241" s="80"/>
      <c r="L1241" s="81" t="str">
        <f aca="false">IF(K1241="","",IFERROR(INDEX(BARDAGE!$C$7:$C$1506,MATCH(K1241,BARDAGE!$B$7:$B$1506,0)),"? hors registre"))</f>
        <v/>
      </c>
      <c r="M1241" s="80"/>
      <c r="N1241" s="81" t="str">
        <f aca="false">IF(M1241="","",IFERROR(INDEX(BARDAGE!$C$7:$C$1506,MATCH(M1241,BARDAGE!$B$7:$B$1506,0)),"? hors registre"))</f>
        <v/>
      </c>
      <c r="O1241" s="80"/>
      <c r="P1241" s="80"/>
      <c r="Q1241" s="80"/>
      <c r="R1241" s="82"/>
      <c r="S1241" s="82"/>
      <c r="T1241" s="80"/>
      <c r="U1241" s="80"/>
      <c r="V1241" s="82"/>
      <c r="W1241" s="80"/>
      <c r="X1241" s="80"/>
      <c r="Y1241" s="80"/>
      <c r="Z1241" s="80"/>
      <c r="AA1241" s="82"/>
      <c r="AB1241" s="80"/>
      <c r="AC1241" s="80"/>
      <c r="AD1241" s="80"/>
      <c r="AE1241" s="80"/>
      <c r="AF1241" s="82"/>
      <c r="AG1241" s="80"/>
      <c r="AH1241" s="80"/>
      <c r="AI1241" s="82"/>
      <c r="AJ1241" s="79"/>
      <c r="AK1241" s="78" t="str">
        <f aca="false">IF(E1241="","",(X1241&lt;&gt;"")+(AC1241&lt;&gt;"")+(AH1241&lt;&gt;""))</f>
        <v/>
      </c>
      <c r="AL1241" s="81" t="str">
        <f aca="false">IF(AH1241&lt;&gt;"",AH1241,IF(AC1241&lt;&gt;"",AC1241,IF(X1241&lt;&gt;"",X1241,"")))</f>
        <v/>
      </c>
      <c r="AM1241" s="83" t="str">
        <f aca="false">IF(E1241="","",IF(R1241="","À SOUDER",IF(U1241="","VT EN ATTENTE",IF(U1241="R","VT REJETÉ – À REPRENDRE",IF(AL1241="","À RADIOGRAPHIER",IF(AL1241="A","ACCEPTÉ",IF(AL1241="NX","NX – RT À REFAIRE",IF(IF(AK1241=1,Z1241,IF(AK1241=2,AE1241,""))="A","RÉPARÉ – À RADIOGRAPHIER",IF(IF(AK1241=1,Z1241,IF(AK1241=2,AE1241,""))="R","VT REJETÉ – À REPRENDRE",IF(OR(AL1241="CO",AL1241="NT"),"COUPE – À RESOUDER","À RÉPARER"))))))))))</f>
        <v/>
      </c>
      <c r="AN1241" s="81" t="str">
        <f aca="false">IF(AND(ISNUMBER(R1241),OR(AM1241="À RADIOGRAPHIER",AM1241="RÉPARÉ – À RADIOGRAPHIER",AM1241="NX – RT À REFAIRE",AM1241="À RÉPARER",AM1241="COUPE – À RESOUDER",AM1241="VT REJETÉ – À REPRENDRE")),MAX(0,'PROGRAMME RT'!$C$4-R1241),"")</f>
        <v/>
      </c>
      <c r="AO1241" s="78" t="n">
        <f aca="false">IF(AND(OR(AM1241="À RADIOGRAPHIER",AM1241="RÉPARÉ – À RADIOGRAPHIER",AM1241="NX – RT À REFAIRE"),OR('PROGRAMME RT'!$D$5="TOUTES",B1241='PROGRAMME RT'!$D$5)),1,0)</f>
        <v>0</v>
      </c>
      <c r="AP1241" s="78" t="str">
        <f aca="false">IF(AO1241=1,SUM(AO$7:AO1241),"")</f>
        <v/>
      </c>
      <c r="AQ1241" s="78" t="n">
        <f aca="false">IF(AND(OR(X1241="R",X1241="NX",X1241="NT",X1241="CO"),OR('JOINTS DE RÉPARATION'!$D$5="TOUTES",B1241='JOINTS DE RÉPARATION'!$D$5),OR('JOINTS DE RÉPARATION'!$L$4="TOUS",AM1241&lt;&gt;"ACCEPTÉ")),1,0)</f>
        <v>0</v>
      </c>
      <c r="AR1241" s="78" t="str">
        <f aca="false">IF(AQ1241=1,SUM(AQ$7:AQ1241),"")</f>
        <v/>
      </c>
    </row>
    <row r="1242" customFormat="false" ht="15" hidden="false" customHeight="false" outlineLevel="0" collapsed="false">
      <c r="A1242" s="78" t="str">
        <f aca="false">IF(E1242="","",ROW()-6)</f>
        <v/>
      </c>
      <c r="B1242" s="79"/>
      <c r="C1242" s="80"/>
      <c r="D1242" s="80"/>
      <c r="E1242" s="80"/>
      <c r="F1242" s="80"/>
      <c r="G1242" s="80"/>
      <c r="H1242" s="80"/>
      <c r="I1242" s="80"/>
      <c r="J1242" s="80"/>
      <c r="K1242" s="80"/>
      <c r="L1242" s="81" t="str">
        <f aca="false">IF(K1242="","",IFERROR(INDEX(BARDAGE!$C$7:$C$1506,MATCH(K1242,BARDAGE!$B$7:$B$1506,0)),"? hors registre"))</f>
        <v/>
      </c>
      <c r="M1242" s="80"/>
      <c r="N1242" s="81" t="str">
        <f aca="false">IF(M1242="","",IFERROR(INDEX(BARDAGE!$C$7:$C$1506,MATCH(M1242,BARDAGE!$B$7:$B$1506,0)),"? hors registre"))</f>
        <v/>
      </c>
      <c r="O1242" s="80"/>
      <c r="P1242" s="80"/>
      <c r="Q1242" s="80"/>
      <c r="R1242" s="82"/>
      <c r="S1242" s="82"/>
      <c r="T1242" s="80"/>
      <c r="U1242" s="80"/>
      <c r="V1242" s="82"/>
      <c r="W1242" s="80"/>
      <c r="X1242" s="80"/>
      <c r="Y1242" s="80"/>
      <c r="Z1242" s="80"/>
      <c r="AA1242" s="82"/>
      <c r="AB1242" s="80"/>
      <c r="AC1242" s="80"/>
      <c r="AD1242" s="80"/>
      <c r="AE1242" s="80"/>
      <c r="AF1242" s="82"/>
      <c r="AG1242" s="80"/>
      <c r="AH1242" s="80"/>
      <c r="AI1242" s="82"/>
      <c r="AJ1242" s="79"/>
      <c r="AK1242" s="78" t="str">
        <f aca="false">IF(E1242="","",(X1242&lt;&gt;"")+(AC1242&lt;&gt;"")+(AH1242&lt;&gt;""))</f>
        <v/>
      </c>
      <c r="AL1242" s="81" t="str">
        <f aca="false">IF(AH1242&lt;&gt;"",AH1242,IF(AC1242&lt;&gt;"",AC1242,IF(X1242&lt;&gt;"",X1242,"")))</f>
        <v/>
      </c>
      <c r="AM1242" s="83" t="str">
        <f aca="false">IF(E1242="","",IF(R1242="","À SOUDER",IF(U1242="","VT EN ATTENTE",IF(U1242="R","VT REJETÉ – À REPRENDRE",IF(AL1242="","À RADIOGRAPHIER",IF(AL1242="A","ACCEPTÉ",IF(AL1242="NX","NX – RT À REFAIRE",IF(IF(AK1242=1,Z1242,IF(AK1242=2,AE1242,""))="A","RÉPARÉ – À RADIOGRAPHIER",IF(IF(AK1242=1,Z1242,IF(AK1242=2,AE1242,""))="R","VT REJETÉ – À REPRENDRE",IF(OR(AL1242="CO",AL1242="NT"),"COUPE – À RESOUDER","À RÉPARER"))))))))))</f>
        <v/>
      </c>
      <c r="AN1242" s="81" t="str">
        <f aca="false">IF(AND(ISNUMBER(R1242),OR(AM1242="À RADIOGRAPHIER",AM1242="RÉPARÉ – À RADIOGRAPHIER",AM1242="NX – RT À REFAIRE",AM1242="À RÉPARER",AM1242="COUPE – À RESOUDER",AM1242="VT REJETÉ – À REPRENDRE")),MAX(0,'PROGRAMME RT'!$C$4-R1242),"")</f>
        <v/>
      </c>
      <c r="AO1242" s="78" t="n">
        <f aca="false">IF(AND(OR(AM1242="À RADIOGRAPHIER",AM1242="RÉPARÉ – À RADIOGRAPHIER",AM1242="NX – RT À REFAIRE"),OR('PROGRAMME RT'!$D$5="TOUTES",B1242='PROGRAMME RT'!$D$5)),1,0)</f>
        <v>0</v>
      </c>
      <c r="AP1242" s="78" t="str">
        <f aca="false">IF(AO1242=1,SUM(AO$7:AO1242),"")</f>
        <v/>
      </c>
      <c r="AQ1242" s="78" t="n">
        <f aca="false">IF(AND(OR(X1242="R",X1242="NX",X1242="NT",X1242="CO"),OR('JOINTS DE RÉPARATION'!$D$5="TOUTES",B1242='JOINTS DE RÉPARATION'!$D$5),OR('JOINTS DE RÉPARATION'!$L$4="TOUS",AM1242&lt;&gt;"ACCEPTÉ")),1,0)</f>
        <v>0</v>
      </c>
      <c r="AR1242" s="78" t="str">
        <f aca="false">IF(AQ1242=1,SUM(AQ$7:AQ1242),"")</f>
        <v/>
      </c>
    </row>
    <row r="1243" customFormat="false" ht="15" hidden="false" customHeight="false" outlineLevel="0" collapsed="false">
      <c r="A1243" s="78" t="str">
        <f aca="false">IF(E1243="","",ROW()-6)</f>
        <v/>
      </c>
      <c r="B1243" s="79"/>
      <c r="C1243" s="80"/>
      <c r="D1243" s="80"/>
      <c r="E1243" s="80"/>
      <c r="F1243" s="80"/>
      <c r="G1243" s="80"/>
      <c r="H1243" s="80"/>
      <c r="I1243" s="80"/>
      <c r="J1243" s="80"/>
      <c r="K1243" s="80"/>
      <c r="L1243" s="81" t="str">
        <f aca="false">IF(K1243="","",IFERROR(INDEX(BARDAGE!$C$7:$C$1506,MATCH(K1243,BARDAGE!$B$7:$B$1506,0)),"? hors registre"))</f>
        <v/>
      </c>
      <c r="M1243" s="80"/>
      <c r="N1243" s="81" t="str">
        <f aca="false">IF(M1243="","",IFERROR(INDEX(BARDAGE!$C$7:$C$1506,MATCH(M1243,BARDAGE!$B$7:$B$1506,0)),"? hors registre"))</f>
        <v/>
      </c>
      <c r="O1243" s="80"/>
      <c r="P1243" s="80"/>
      <c r="Q1243" s="80"/>
      <c r="R1243" s="82"/>
      <c r="S1243" s="82"/>
      <c r="T1243" s="80"/>
      <c r="U1243" s="80"/>
      <c r="V1243" s="82"/>
      <c r="W1243" s="80"/>
      <c r="X1243" s="80"/>
      <c r="Y1243" s="80"/>
      <c r="Z1243" s="80"/>
      <c r="AA1243" s="82"/>
      <c r="AB1243" s="80"/>
      <c r="AC1243" s="80"/>
      <c r="AD1243" s="80"/>
      <c r="AE1243" s="80"/>
      <c r="AF1243" s="82"/>
      <c r="AG1243" s="80"/>
      <c r="AH1243" s="80"/>
      <c r="AI1243" s="82"/>
      <c r="AJ1243" s="79"/>
      <c r="AK1243" s="78" t="str">
        <f aca="false">IF(E1243="","",(X1243&lt;&gt;"")+(AC1243&lt;&gt;"")+(AH1243&lt;&gt;""))</f>
        <v/>
      </c>
      <c r="AL1243" s="81" t="str">
        <f aca="false">IF(AH1243&lt;&gt;"",AH1243,IF(AC1243&lt;&gt;"",AC1243,IF(X1243&lt;&gt;"",X1243,"")))</f>
        <v/>
      </c>
      <c r="AM1243" s="83" t="str">
        <f aca="false">IF(E1243="","",IF(R1243="","À SOUDER",IF(U1243="","VT EN ATTENTE",IF(U1243="R","VT REJETÉ – À REPRENDRE",IF(AL1243="","À RADIOGRAPHIER",IF(AL1243="A","ACCEPTÉ",IF(AL1243="NX","NX – RT À REFAIRE",IF(IF(AK1243=1,Z1243,IF(AK1243=2,AE1243,""))="A","RÉPARÉ – À RADIOGRAPHIER",IF(IF(AK1243=1,Z1243,IF(AK1243=2,AE1243,""))="R","VT REJETÉ – À REPRENDRE",IF(OR(AL1243="CO",AL1243="NT"),"COUPE – À RESOUDER","À RÉPARER"))))))))))</f>
        <v/>
      </c>
      <c r="AN1243" s="81" t="str">
        <f aca="false">IF(AND(ISNUMBER(R1243),OR(AM1243="À RADIOGRAPHIER",AM1243="RÉPARÉ – À RADIOGRAPHIER",AM1243="NX – RT À REFAIRE",AM1243="À RÉPARER",AM1243="COUPE – À RESOUDER",AM1243="VT REJETÉ – À REPRENDRE")),MAX(0,'PROGRAMME RT'!$C$4-R1243),"")</f>
        <v/>
      </c>
      <c r="AO1243" s="78" t="n">
        <f aca="false">IF(AND(OR(AM1243="À RADIOGRAPHIER",AM1243="RÉPARÉ – À RADIOGRAPHIER",AM1243="NX – RT À REFAIRE"),OR('PROGRAMME RT'!$D$5="TOUTES",B1243='PROGRAMME RT'!$D$5)),1,0)</f>
        <v>0</v>
      </c>
      <c r="AP1243" s="78" t="str">
        <f aca="false">IF(AO1243=1,SUM(AO$7:AO1243),"")</f>
        <v/>
      </c>
      <c r="AQ1243" s="78" t="n">
        <f aca="false">IF(AND(OR(X1243="R",X1243="NX",X1243="NT",X1243="CO"),OR('JOINTS DE RÉPARATION'!$D$5="TOUTES",B1243='JOINTS DE RÉPARATION'!$D$5),OR('JOINTS DE RÉPARATION'!$L$4="TOUS",AM1243&lt;&gt;"ACCEPTÉ")),1,0)</f>
        <v>0</v>
      </c>
      <c r="AR1243" s="78" t="str">
        <f aca="false">IF(AQ1243=1,SUM(AQ$7:AQ1243),"")</f>
        <v/>
      </c>
    </row>
    <row r="1244" customFormat="false" ht="15" hidden="false" customHeight="false" outlineLevel="0" collapsed="false">
      <c r="A1244" s="78" t="str">
        <f aca="false">IF(E1244="","",ROW()-6)</f>
        <v/>
      </c>
      <c r="B1244" s="79"/>
      <c r="C1244" s="80"/>
      <c r="D1244" s="80"/>
      <c r="E1244" s="80"/>
      <c r="F1244" s="80"/>
      <c r="G1244" s="80"/>
      <c r="H1244" s="80"/>
      <c r="I1244" s="80"/>
      <c r="J1244" s="80"/>
      <c r="K1244" s="80"/>
      <c r="L1244" s="81" t="str">
        <f aca="false">IF(K1244="","",IFERROR(INDEX(BARDAGE!$C$7:$C$1506,MATCH(K1244,BARDAGE!$B$7:$B$1506,0)),"? hors registre"))</f>
        <v/>
      </c>
      <c r="M1244" s="80"/>
      <c r="N1244" s="81" t="str">
        <f aca="false">IF(M1244="","",IFERROR(INDEX(BARDAGE!$C$7:$C$1506,MATCH(M1244,BARDAGE!$B$7:$B$1506,0)),"? hors registre"))</f>
        <v/>
      </c>
      <c r="O1244" s="80"/>
      <c r="P1244" s="80"/>
      <c r="Q1244" s="80"/>
      <c r="R1244" s="82"/>
      <c r="S1244" s="82"/>
      <c r="T1244" s="80"/>
      <c r="U1244" s="80"/>
      <c r="V1244" s="82"/>
      <c r="W1244" s="80"/>
      <c r="X1244" s="80"/>
      <c r="Y1244" s="80"/>
      <c r="Z1244" s="80"/>
      <c r="AA1244" s="82"/>
      <c r="AB1244" s="80"/>
      <c r="AC1244" s="80"/>
      <c r="AD1244" s="80"/>
      <c r="AE1244" s="80"/>
      <c r="AF1244" s="82"/>
      <c r="AG1244" s="80"/>
      <c r="AH1244" s="80"/>
      <c r="AI1244" s="82"/>
      <c r="AJ1244" s="79"/>
      <c r="AK1244" s="78" t="str">
        <f aca="false">IF(E1244="","",(X1244&lt;&gt;"")+(AC1244&lt;&gt;"")+(AH1244&lt;&gt;""))</f>
        <v/>
      </c>
      <c r="AL1244" s="81" t="str">
        <f aca="false">IF(AH1244&lt;&gt;"",AH1244,IF(AC1244&lt;&gt;"",AC1244,IF(X1244&lt;&gt;"",X1244,"")))</f>
        <v/>
      </c>
      <c r="AM1244" s="83" t="str">
        <f aca="false">IF(E1244="","",IF(R1244="","À SOUDER",IF(U1244="","VT EN ATTENTE",IF(U1244="R","VT REJETÉ – À REPRENDRE",IF(AL1244="","À RADIOGRAPHIER",IF(AL1244="A","ACCEPTÉ",IF(AL1244="NX","NX – RT À REFAIRE",IF(IF(AK1244=1,Z1244,IF(AK1244=2,AE1244,""))="A","RÉPARÉ – À RADIOGRAPHIER",IF(IF(AK1244=1,Z1244,IF(AK1244=2,AE1244,""))="R","VT REJETÉ – À REPRENDRE",IF(OR(AL1244="CO",AL1244="NT"),"COUPE – À RESOUDER","À RÉPARER"))))))))))</f>
        <v/>
      </c>
      <c r="AN1244" s="81" t="str">
        <f aca="false">IF(AND(ISNUMBER(R1244),OR(AM1244="À RADIOGRAPHIER",AM1244="RÉPARÉ – À RADIOGRAPHIER",AM1244="NX – RT À REFAIRE",AM1244="À RÉPARER",AM1244="COUPE – À RESOUDER",AM1244="VT REJETÉ – À REPRENDRE")),MAX(0,'PROGRAMME RT'!$C$4-R1244),"")</f>
        <v/>
      </c>
      <c r="AO1244" s="78" t="n">
        <f aca="false">IF(AND(OR(AM1244="À RADIOGRAPHIER",AM1244="RÉPARÉ – À RADIOGRAPHIER",AM1244="NX – RT À REFAIRE"),OR('PROGRAMME RT'!$D$5="TOUTES",B1244='PROGRAMME RT'!$D$5)),1,0)</f>
        <v>0</v>
      </c>
      <c r="AP1244" s="78" t="str">
        <f aca="false">IF(AO1244=1,SUM(AO$7:AO1244),"")</f>
        <v/>
      </c>
      <c r="AQ1244" s="78" t="n">
        <f aca="false">IF(AND(OR(X1244="R",X1244="NX",X1244="NT",X1244="CO"),OR('JOINTS DE RÉPARATION'!$D$5="TOUTES",B1244='JOINTS DE RÉPARATION'!$D$5),OR('JOINTS DE RÉPARATION'!$L$4="TOUS",AM1244&lt;&gt;"ACCEPTÉ")),1,0)</f>
        <v>0</v>
      </c>
      <c r="AR1244" s="78" t="str">
        <f aca="false">IF(AQ1244=1,SUM(AQ$7:AQ1244),"")</f>
        <v/>
      </c>
    </row>
    <row r="1245" customFormat="false" ht="15" hidden="false" customHeight="false" outlineLevel="0" collapsed="false">
      <c r="A1245" s="78" t="str">
        <f aca="false">IF(E1245="","",ROW()-6)</f>
        <v/>
      </c>
      <c r="B1245" s="79"/>
      <c r="C1245" s="80"/>
      <c r="D1245" s="80"/>
      <c r="E1245" s="80"/>
      <c r="F1245" s="80"/>
      <c r="G1245" s="80"/>
      <c r="H1245" s="80"/>
      <c r="I1245" s="80"/>
      <c r="J1245" s="80"/>
      <c r="K1245" s="80"/>
      <c r="L1245" s="81" t="str">
        <f aca="false">IF(K1245="","",IFERROR(INDEX(BARDAGE!$C$7:$C$1506,MATCH(K1245,BARDAGE!$B$7:$B$1506,0)),"? hors registre"))</f>
        <v/>
      </c>
      <c r="M1245" s="80"/>
      <c r="N1245" s="81" t="str">
        <f aca="false">IF(M1245="","",IFERROR(INDEX(BARDAGE!$C$7:$C$1506,MATCH(M1245,BARDAGE!$B$7:$B$1506,0)),"? hors registre"))</f>
        <v/>
      </c>
      <c r="O1245" s="80"/>
      <c r="P1245" s="80"/>
      <c r="Q1245" s="80"/>
      <c r="R1245" s="82"/>
      <c r="S1245" s="82"/>
      <c r="T1245" s="80"/>
      <c r="U1245" s="80"/>
      <c r="V1245" s="82"/>
      <c r="W1245" s="80"/>
      <c r="X1245" s="80"/>
      <c r="Y1245" s="80"/>
      <c r="Z1245" s="80"/>
      <c r="AA1245" s="82"/>
      <c r="AB1245" s="80"/>
      <c r="AC1245" s="80"/>
      <c r="AD1245" s="80"/>
      <c r="AE1245" s="80"/>
      <c r="AF1245" s="82"/>
      <c r="AG1245" s="80"/>
      <c r="AH1245" s="80"/>
      <c r="AI1245" s="82"/>
      <c r="AJ1245" s="79"/>
      <c r="AK1245" s="78" t="str">
        <f aca="false">IF(E1245="","",(X1245&lt;&gt;"")+(AC1245&lt;&gt;"")+(AH1245&lt;&gt;""))</f>
        <v/>
      </c>
      <c r="AL1245" s="81" t="str">
        <f aca="false">IF(AH1245&lt;&gt;"",AH1245,IF(AC1245&lt;&gt;"",AC1245,IF(X1245&lt;&gt;"",X1245,"")))</f>
        <v/>
      </c>
      <c r="AM1245" s="83" t="str">
        <f aca="false">IF(E1245="","",IF(R1245="","À SOUDER",IF(U1245="","VT EN ATTENTE",IF(U1245="R","VT REJETÉ – À REPRENDRE",IF(AL1245="","À RADIOGRAPHIER",IF(AL1245="A","ACCEPTÉ",IF(AL1245="NX","NX – RT À REFAIRE",IF(IF(AK1245=1,Z1245,IF(AK1245=2,AE1245,""))="A","RÉPARÉ – À RADIOGRAPHIER",IF(IF(AK1245=1,Z1245,IF(AK1245=2,AE1245,""))="R","VT REJETÉ – À REPRENDRE",IF(OR(AL1245="CO",AL1245="NT"),"COUPE – À RESOUDER","À RÉPARER"))))))))))</f>
        <v/>
      </c>
      <c r="AN1245" s="81" t="str">
        <f aca="false">IF(AND(ISNUMBER(R1245),OR(AM1245="À RADIOGRAPHIER",AM1245="RÉPARÉ – À RADIOGRAPHIER",AM1245="NX – RT À REFAIRE",AM1245="À RÉPARER",AM1245="COUPE – À RESOUDER",AM1245="VT REJETÉ – À REPRENDRE")),MAX(0,'PROGRAMME RT'!$C$4-R1245),"")</f>
        <v/>
      </c>
      <c r="AO1245" s="78" t="n">
        <f aca="false">IF(AND(OR(AM1245="À RADIOGRAPHIER",AM1245="RÉPARÉ – À RADIOGRAPHIER",AM1245="NX – RT À REFAIRE"),OR('PROGRAMME RT'!$D$5="TOUTES",B1245='PROGRAMME RT'!$D$5)),1,0)</f>
        <v>0</v>
      </c>
      <c r="AP1245" s="78" t="str">
        <f aca="false">IF(AO1245=1,SUM(AO$7:AO1245),"")</f>
        <v/>
      </c>
      <c r="AQ1245" s="78" t="n">
        <f aca="false">IF(AND(OR(X1245="R",X1245="NX",X1245="NT",X1245="CO"),OR('JOINTS DE RÉPARATION'!$D$5="TOUTES",B1245='JOINTS DE RÉPARATION'!$D$5),OR('JOINTS DE RÉPARATION'!$L$4="TOUS",AM1245&lt;&gt;"ACCEPTÉ")),1,0)</f>
        <v>0</v>
      </c>
      <c r="AR1245" s="78" t="str">
        <f aca="false">IF(AQ1245=1,SUM(AQ$7:AQ1245),"")</f>
        <v/>
      </c>
    </row>
    <row r="1246" customFormat="false" ht="15" hidden="false" customHeight="false" outlineLevel="0" collapsed="false">
      <c r="A1246" s="78" t="str">
        <f aca="false">IF(E1246="","",ROW()-6)</f>
        <v/>
      </c>
      <c r="B1246" s="79"/>
      <c r="C1246" s="80"/>
      <c r="D1246" s="80"/>
      <c r="E1246" s="80"/>
      <c r="F1246" s="80"/>
      <c r="G1246" s="80"/>
      <c r="H1246" s="80"/>
      <c r="I1246" s="80"/>
      <c r="J1246" s="80"/>
      <c r="K1246" s="80"/>
      <c r="L1246" s="81" t="str">
        <f aca="false">IF(K1246="","",IFERROR(INDEX(BARDAGE!$C$7:$C$1506,MATCH(K1246,BARDAGE!$B$7:$B$1506,0)),"? hors registre"))</f>
        <v/>
      </c>
      <c r="M1246" s="80"/>
      <c r="N1246" s="81" t="str">
        <f aca="false">IF(M1246="","",IFERROR(INDEX(BARDAGE!$C$7:$C$1506,MATCH(M1246,BARDAGE!$B$7:$B$1506,0)),"? hors registre"))</f>
        <v/>
      </c>
      <c r="O1246" s="80"/>
      <c r="P1246" s="80"/>
      <c r="Q1246" s="80"/>
      <c r="R1246" s="82"/>
      <c r="S1246" s="82"/>
      <c r="T1246" s="80"/>
      <c r="U1246" s="80"/>
      <c r="V1246" s="82"/>
      <c r="W1246" s="80"/>
      <c r="X1246" s="80"/>
      <c r="Y1246" s="80"/>
      <c r="Z1246" s="80"/>
      <c r="AA1246" s="82"/>
      <c r="AB1246" s="80"/>
      <c r="AC1246" s="80"/>
      <c r="AD1246" s="80"/>
      <c r="AE1246" s="80"/>
      <c r="AF1246" s="82"/>
      <c r="AG1246" s="80"/>
      <c r="AH1246" s="80"/>
      <c r="AI1246" s="82"/>
      <c r="AJ1246" s="79"/>
      <c r="AK1246" s="78" t="str">
        <f aca="false">IF(E1246="","",(X1246&lt;&gt;"")+(AC1246&lt;&gt;"")+(AH1246&lt;&gt;""))</f>
        <v/>
      </c>
      <c r="AL1246" s="81" t="str">
        <f aca="false">IF(AH1246&lt;&gt;"",AH1246,IF(AC1246&lt;&gt;"",AC1246,IF(X1246&lt;&gt;"",X1246,"")))</f>
        <v/>
      </c>
      <c r="AM1246" s="83" t="str">
        <f aca="false">IF(E1246="","",IF(R1246="","À SOUDER",IF(U1246="","VT EN ATTENTE",IF(U1246="R","VT REJETÉ – À REPRENDRE",IF(AL1246="","À RADIOGRAPHIER",IF(AL1246="A","ACCEPTÉ",IF(AL1246="NX","NX – RT À REFAIRE",IF(IF(AK1246=1,Z1246,IF(AK1246=2,AE1246,""))="A","RÉPARÉ – À RADIOGRAPHIER",IF(IF(AK1246=1,Z1246,IF(AK1246=2,AE1246,""))="R","VT REJETÉ – À REPRENDRE",IF(OR(AL1246="CO",AL1246="NT"),"COUPE – À RESOUDER","À RÉPARER"))))))))))</f>
        <v/>
      </c>
      <c r="AN1246" s="81" t="str">
        <f aca="false">IF(AND(ISNUMBER(R1246),OR(AM1246="À RADIOGRAPHIER",AM1246="RÉPARÉ – À RADIOGRAPHIER",AM1246="NX – RT À REFAIRE",AM1246="À RÉPARER",AM1246="COUPE – À RESOUDER",AM1246="VT REJETÉ – À REPRENDRE")),MAX(0,'PROGRAMME RT'!$C$4-R1246),"")</f>
        <v/>
      </c>
      <c r="AO1246" s="78" t="n">
        <f aca="false">IF(AND(OR(AM1246="À RADIOGRAPHIER",AM1246="RÉPARÉ – À RADIOGRAPHIER",AM1246="NX – RT À REFAIRE"),OR('PROGRAMME RT'!$D$5="TOUTES",B1246='PROGRAMME RT'!$D$5)),1,0)</f>
        <v>0</v>
      </c>
      <c r="AP1246" s="78" t="str">
        <f aca="false">IF(AO1246=1,SUM(AO$7:AO1246),"")</f>
        <v/>
      </c>
      <c r="AQ1246" s="78" t="n">
        <f aca="false">IF(AND(OR(X1246="R",X1246="NX",X1246="NT",X1246="CO"),OR('JOINTS DE RÉPARATION'!$D$5="TOUTES",B1246='JOINTS DE RÉPARATION'!$D$5),OR('JOINTS DE RÉPARATION'!$L$4="TOUS",AM1246&lt;&gt;"ACCEPTÉ")),1,0)</f>
        <v>0</v>
      </c>
      <c r="AR1246" s="78" t="str">
        <f aca="false">IF(AQ1246=1,SUM(AQ$7:AQ1246),"")</f>
        <v/>
      </c>
    </row>
    <row r="1247" customFormat="false" ht="15" hidden="false" customHeight="false" outlineLevel="0" collapsed="false">
      <c r="A1247" s="78" t="str">
        <f aca="false">IF(E1247="","",ROW()-6)</f>
        <v/>
      </c>
      <c r="B1247" s="79"/>
      <c r="C1247" s="80"/>
      <c r="D1247" s="80"/>
      <c r="E1247" s="80"/>
      <c r="F1247" s="80"/>
      <c r="G1247" s="80"/>
      <c r="H1247" s="80"/>
      <c r="I1247" s="80"/>
      <c r="J1247" s="80"/>
      <c r="K1247" s="80"/>
      <c r="L1247" s="81" t="str">
        <f aca="false">IF(K1247="","",IFERROR(INDEX(BARDAGE!$C$7:$C$1506,MATCH(K1247,BARDAGE!$B$7:$B$1506,0)),"? hors registre"))</f>
        <v/>
      </c>
      <c r="M1247" s="80"/>
      <c r="N1247" s="81" t="str">
        <f aca="false">IF(M1247="","",IFERROR(INDEX(BARDAGE!$C$7:$C$1506,MATCH(M1247,BARDAGE!$B$7:$B$1506,0)),"? hors registre"))</f>
        <v/>
      </c>
      <c r="O1247" s="80"/>
      <c r="P1247" s="80"/>
      <c r="Q1247" s="80"/>
      <c r="R1247" s="82"/>
      <c r="S1247" s="82"/>
      <c r="T1247" s="80"/>
      <c r="U1247" s="80"/>
      <c r="V1247" s="82"/>
      <c r="W1247" s="80"/>
      <c r="X1247" s="80"/>
      <c r="Y1247" s="80"/>
      <c r="Z1247" s="80"/>
      <c r="AA1247" s="82"/>
      <c r="AB1247" s="80"/>
      <c r="AC1247" s="80"/>
      <c r="AD1247" s="80"/>
      <c r="AE1247" s="80"/>
      <c r="AF1247" s="82"/>
      <c r="AG1247" s="80"/>
      <c r="AH1247" s="80"/>
      <c r="AI1247" s="82"/>
      <c r="AJ1247" s="79"/>
      <c r="AK1247" s="78" t="str">
        <f aca="false">IF(E1247="","",(X1247&lt;&gt;"")+(AC1247&lt;&gt;"")+(AH1247&lt;&gt;""))</f>
        <v/>
      </c>
      <c r="AL1247" s="81" t="str">
        <f aca="false">IF(AH1247&lt;&gt;"",AH1247,IF(AC1247&lt;&gt;"",AC1247,IF(X1247&lt;&gt;"",X1247,"")))</f>
        <v/>
      </c>
      <c r="AM1247" s="83" t="str">
        <f aca="false">IF(E1247="","",IF(R1247="","À SOUDER",IF(U1247="","VT EN ATTENTE",IF(U1247="R","VT REJETÉ – À REPRENDRE",IF(AL1247="","À RADIOGRAPHIER",IF(AL1247="A","ACCEPTÉ",IF(AL1247="NX","NX – RT À REFAIRE",IF(IF(AK1247=1,Z1247,IF(AK1247=2,AE1247,""))="A","RÉPARÉ – À RADIOGRAPHIER",IF(IF(AK1247=1,Z1247,IF(AK1247=2,AE1247,""))="R","VT REJETÉ – À REPRENDRE",IF(OR(AL1247="CO",AL1247="NT"),"COUPE – À RESOUDER","À RÉPARER"))))))))))</f>
        <v/>
      </c>
      <c r="AN1247" s="81" t="str">
        <f aca="false">IF(AND(ISNUMBER(R1247),OR(AM1247="À RADIOGRAPHIER",AM1247="RÉPARÉ – À RADIOGRAPHIER",AM1247="NX – RT À REFAIRE",AM1247="À RÉPARER",AM1247="COUPE – À RESOUDER",AM1247="VT REJETÉ – À REPRENDRE")),MAX(0,'PROGRAMME RT'!$C$4-R1247),"")</f>
        <v/>
      </c>
      <c r="AO1247" s="78" t="n">
        <f aca="false">IF(AND(OR(AM1247="À RADIOGRAPHIER",AM1247="RÉPARÉ – À RADIOGRAPHIER",AM1247="NX – RT À REFAIRE"),OR('PROGRAMME RT'!$D$5="TOUTES",B1247='PROGRAMME RT'!$D$5)),1,0)</f>
        <v>0</v>
      </c>
      <c r="AP1247" s="78" t="str">
        <f aca="false">IF(AO1247=1,SUM(AO$7:AO1247),"")</f>
        <v/>
      </c>
      <c r="AQ1247" s="78" t="n">
        <f aca="false">IF(AND(OR(X1247="R",X1247="NX",X1247="NT",X1247="CO"),OR('JOINTS DE RÉPARATION'!$D$5="TOUTES",B1247='JOINTS DE RÉPARATION'!$D$5),OR('JOINTS DE RÉPARATION'!$L$4="TOUS",AM1247&lt;&gt;"ACCEPTÉ")),1,0)</f>
        <v>0</v>
      </c>
      <c r="AR1247" s="78" t="str">
        <f aca="false">IF(AQ1247=1,SUM(AQ$7:AQ1247),"")</f>
        <v/>
      </c>
    </row>
    <row r="1248" customFormat="false" ht="15" hidden="false" customHeight="false" outlineLevel="0" collapsed="false">
      <c r="A1248" s="78" t="str">
        <f aca="false">IF(E1248="","",ROW()-6)</f>
        <v/>
      </c>
      <c r="B1248" s="79"/>
      <c r="C1248" s="80"/>
      <c r="D1248" s="80"/>
      <c r="E1248" s="80"/>
      <c r="F1248" s="80"/>
      <c r="G1248" s="80"/>
      <c r="H1248" s="80"/>
      <c r="I1248" s="80"/>
      <c r="J1248" s="80"/>
      <c r="K1248" s="80"/>
      <c r="L1248" s="81" t="str">
        <f aca="false">IF(K1248="","",IFERROR(INDEX(BARDAGE!$C$7:$C$1506,MATCH(K1248,BARDAGE!$B$7:$B$1506,0)),"? hors registre"))</f>
        <v/>
      </c>
      <c r="M1248" s="80"/>
      <c r="N1248" s="81" t="str">
        <f aca="false">IF(M1248="","",IFERROR(INDEX(BARDAGE!$C$7:$C$1506,MATCH(M1248,BARDAGE!$B$7:$B$1506,0)),"? hors registre"))</f>
        <v/>
      </c>
      <c r="O1248" s="80"/>
      <c r="P1248" s="80"/>
      <c r="Q1248" s="80"/>
      <c r="R1248" s="82"/>
      <c r="S1248" s="82"/>
      <c r="T1248" s="80"/>
      <c r="U1248" s="80"/>
      <c r="V1248" s="82"/>
      <c r="W1248" s="80"/>
      <c r="X1248" s="80"/>
      <c r="Y1248" s="80"/>
      <c r="Z1248" s="80"/>
      <c r="AA1248" s="82"/>
      <c r="AB1248" s="80"/>
      <c r="AC1248" s="80"/>
      <c r="AD1248" s="80"/>
      <c r="AE1248" s="80"/>
      <c r="AF1248" s="82"/>
      <c r="AG1248" s="80"/>
      <c r="AH1248" s="80"/>
      <c r="AI1248" s="82"/>
      <c r="AJ1248" s="79"/>
      <c r="AK1248" s="78" t="str">
        <f aca="false">IF(E1248="","",(X1248&lt;&gt;"")+(AC1248&lt;&gt;"")+(AH1248&lt;&gt;""))</f>
        <v/>
      </c>
      <c r="AL1248" s="81" t="str">
        <f aca="false">IF(AH1248&lt;&gt;"",AH1248,IF(AC1248&lt;&gt;"",AC1248,IF(X1248&lt;&gt;"",X1248,"")))</f>
        <v/>
      </c>
      <c r="AM1248" s="83" t="str">
        <f aca="false">IF(E1248="","",IF(R1248="","À SOUDER",IF(U1248="","VT EN ATTENTE",IF(U1248="R","VT REJETÉ – À REPRENDRE",IF(AL1248="","À RADIOGRAPHIER",IF(AL1248="A","ACCEPTÉ",IF(AL1248="NX","NX – RT À REFAIRE",IF(IF(AK1248=1,Z1248,IF(AK1248=2,AE1248,""))="A","RÉPARÉ – À RADIOGRAPHIER",IF(IF(AK1248=1,Z1248,IF(AK1248=2,AE1248,""))="R","VT REJETÉ – À REPRENDRE",IF(OR(AL1248="CO",AL1248="NT"),"COUPE – À RESOUDER","À RÉPARER"))))))))))</f>
        <v/>
      </c>
      <c r="AN1248" s="81" t="str">
        <f aca="false">IF(AND(ISNUMBER(R1248),OR(AM1248="À RADIOGRAPHIER",AM1248="RÉPARÉ – À RADIOGRAPHIER",AM1248="NX – RT À REFAIRE",AM1248="À RÉPARER",AM1248="COUPE – À RESOUDER",AM1248="VT REJETÉ – À REPRENDRE")),MAX(0,'PROGRAMME RT'!$C$4-R1248),"")</f>
        <v/>
      </c>
      <c r="AO1248" s="78" t="n">
        <f aca="false">IF(AND(OR(AM1248="À RADIOGRAPHIER",AM1248="RÉPARÉ – À RADIOGRAPHIER",AM1248="NX – RT À REFAIRE"),OR('PROGRAMME RT'!$D$5="TOUTES",B1248='PROGRAMME RT'!$D$5)),1,0)</f>
        <v>0</v>
      </c>
      <c r="AP1248" s="78" t="str">
        <f aca="false">IF(AO1248=1,SUM(AO$7:AO1248),"")</f>
        <v/>
      </c>
      <c r="AQ1248" s="78" t="n">
        <f aca="false">IF(AND(OR(X1248="R",X1248="NX",X1248="NT",X1248="CO"),OR('JOINTS DE RÉPARATION'!$D$5="TOUTES",B1248='JOINTS DE RÉPARATION'!$D$5),OR('JOINTS DE RÉPARATION'!$L$4="TOUS",AM1248&lt;&gt;"ACCEPTÉ")),1,0)</f>
        <v>0</v>
      </c>
      <c r="AR1248" s="78" t="str">
        <f aca="false">IF(AQ1248=1,SUM(AQ$7:AQ1248),"")</f>
        <v/>
      </c>
    </row>
    <row r="1249" customFormat="false" ht="15" hidden="false" customHeight="false" outlineLevel="0" collapsed="false">
      <c r="A1249" s="78" t="str">
        <f aca="false">IF(E1249="","",ROW()-6)</f>
        <v/>
      </c>
      <c r="B1249" s="79"/>
      <c r="C1249" s="80"/>
      <c r="D1249" s="80"/>
      <c r="E1249" s="80"/>
      <c r="F1249" s="80"/>
      <c r="G1249" s="80"/>
      <c r="H1249" s="80"/>
      <c r="I1249" s="80"/>
      <c r="J1249" s="80"/>
      <c r="K1249" s="80"/>
      <c r="L1249" s="81" t="str">
        <f aca="false">IF(K1249="","",IFERROR(INDEX(BARDAGE!$C$7:$C$1506,MATCH(K1249,BARDAGE!$B$7:$B$1506,0)),"? hors registre"))</f>
        <v/>
      </c>
      <c r="M1249" s="80"/>
      <c r="N1249" s="81" t="str">
        <f aca="false">IF(M1249="","",IFERROR(INDEX(BARDAGE!$C$7:$C$1506,MATCH(M1249,BARDAGE!$B$7:$B$1506,0)),"? hors registre"))</f>
        <v/>
      </c>
      <c r="O1249" s="80"/>
      <c r="P1249" s="80"/>
      <c r="Q1249" s="80"/>
      <c r="R1249" s="82"/>
      <c r="S1249" s="82"/>
      <c r="T1249" s="80"/>
      <c r="U1249" s="80"/>
      <c r="V1249" s="82"/>
      <c r="W1249" s="80"/>
      <c r="X1249" s="80"/>
      <c r="Y1249" s="80"/>
      <c r="Z1249" s="80"/>
      <c r="AA1249" s="82"/>
      <c r="AB1249" s="80"/>
      <c r="AC1249" s="80"/>
      <c r="AD1249" s="80"/>
      <c r="AE1249" s="80"/>
      <c r="AF1249" s="82"/>
      <c r="AG1249" s="80"/>
      <c r="AH1249" s="80"/>
      <c r="AI1249" s="82"/>
      <c r="AJ1249" s="79"/>
      <c r="AK1249" s="78" t="str">
        <f aca="false">IF(E1249="","",(X1249&lt;&gt;"")+(AC1249&lt;&gt;"")+(AH1249&lt;&gt;""))</f>
        <v/>
      </c>
      <c r="AL1249" s="81" t="str">
        <f aca="false">IF(AH1249&lt;&gt;"",AH1249,IF(AC1249&lt;&gt;"",AC1249,IF(X1249&lt;&gt;"",X1249,"")))</f>
        <v/>
      </c>
      <c r="AM1249" s="83" t="str">
        <f aca="false">IF(E1249="","",IF(R1249="","À SOUDER",IF(U1249="","VT EN ATTENTE",IF(U1249="R","VT REJETÉ – À REPRENDRE",IF(AL1249="","À RADIOGRAPHIER",IF(AL1249="A","ACCEPTÉ",IF(AL1249="NX","NX – RT À REFAIRE",IF(IF(AK1249=1,Z1249,IF(AK1249=2,AE1249,""))="A","RÉPARÉ – À RADIOGRAPHIER",IF(IF(AK1249=1,Z1249,IF(AK1249=2,AE1249,""))="R","VT REJETÉ – À REPRENDRE",IF(OR(AL1249="CO",AL1249="NT"),"COUPE – À RESOUDER","À RÉPARER"))))))))))</f>
        <v/>
      </c>
      <c r="AN1249" s="81" t="str">
        <f aca="false">IF(AND(ISNUMBER(R1249),OR(AM1249="À RADIOGRAPHIER",AM1249="RÉPARÉ – À RADIOGRAPHIER",AM1249="NX – RT À REFAIRE",AM1249="À RÉPARER",AM1249="COUPE – À RESOUDER",AM1249="VT REJETÉ – À REPRENDRE")),MAX(0,'PROGRAMME RT'!$C$4-R1249),"")</f>
        <v/>
      </c>
      <c r="AO1249" s="78" t="n">
        <f aca="false">IF(AND(OR(AM1249="À RADIOGRAPHIER",AM1249="RÉPARÉ – À RADIOGRAPHIER",AM1249="NX – RT À REFAIRE"),OR('PROGRAMME RT'!$D$5="TOUTES",B1249='PROGRAMME RT'!$D$5)),1,0)</f>
        <v>0</v>
      </c>
      <c r="AP1249" s="78" t="str">
        <f aca="false">IF(AO1249=1,SUM(AO$7:AO1249),"")</f>
        <v/>
      </c>
      <c r="AQ1249" s="78" t="n">
        <f aca="false">IF(AND(OR(X1249="R",X1249="NX",X1249="NT",X1249="CO"),OR('JOINTS DE RÉPARATION'!$D$5="TOUTES",B1249='JOINTS DE RÉPARATION'!$D$5),OR('JOINTS DE RÉPARATION'!$L$4="TOUS",AM1249&lt;&gt;"ACCEPTÉ")),1,0)</f>
        <v>0</v>
      </c>
      <c r="AR1249" s="78" t="str">
        <f aca="false">IF(AQ1249=1,SUM(AQ$7:AQ1249),"")</f>
        <v/>
      </c>
    </row>
    <row r="1250" customFormat="false" ht="15" hidden="false" customHeight="false" outlineLevel="0" collapsed="false">
      <c r="A1250" s="78" t="str">
        <f aca="false">IF(E1250="","",ROW()-6)</f>
        <v/>
      </c>
      <c r="B1250" s="79"/>
      <c r="C1250" s="80"/>
      <c r="D1250" s="80"/>
      <c r="E1250" s="80"/>
      <c r="F1250" s="80"/>
      <c r="G1250" s="80"/>
      <c r="H1250" s="80"/>
      <c r="I1250" s="80"/>
      <c r="J1250" s="80"/>
      <c r="K1250" s="80"/>
      <c r="L1250" s="81" t="str">
        <f aca="false">IF(K1250="","",IFERROR(INDEX(BARDAGE!$C$7:$C$1506,MATCH(K1250,BARDAGE!$B$7:$B$1506,0)),"? hors registre"))</f>
        <v/>
      </c>
      <c r="M1250" s="80"/>
      <c r="N1250" s="81" t="str">
        <f aca="false">IF(M1250="","",IFERROR(INDEX(BARDAGE!$C$7:$C$1506,MATCH(M1250,BARDAGE!$B$7:$B$1506,0)),"? hors registre"))</f>
        <v/>
      </c>
      <c r="O1250" s="80"/>
      <c r="P1250" s="80"/>
      <c r="Q1250" s="80"/>
      <c r="R1250" s="82"/>
      <c r="S1250" s="82"/>
      <c r="T1250" s="80"/>
      <c r="U1250" s="80"/>
      <c r="V1250" s="82"/>
      <c r="W1250" s="80"/>
      <c r="X1250" s="80"/>
      <c r="Y1250" s="80"/>
      <c r="Z1250" s="80"/>
      <c r="AA1250" s="82"/>
      <c r="AB1250" s="80"/>
      <c r="AC1250" s="80"/>
      <c r="AD1250" s="80"/>
      <c r="AE1250" s="80"/>
      <c r="AF1250" s="82"/>
      <c r="AG1250" s="80"/>
      <c r="AH1250" s="80"/>
      <c r="AI1250" s="82"/>
      <c r="AJ1250" s="79"/>
      <c r="AK1250" s="78" t="str">
        <f aca="false">IF(E1250="","",(X1250&lt;&gt;"")+(AC1250&lt;&gt;"")+(AH1250&lt;&gt;""))</f>
        <v/>
      </c>
      <c r="AL1250" s="81" t="str">
        <f aca="false">IF(AH1250&lt;&gt;"",AH1250,IF(AC1250&lt;&gt;"",AC1250,IF(X1250&lt;&gt;"",X1250,"")))</f>
        <v/>
      </c>
      <c r="AM1250" s="83" t="str">
        <f aca="false">IF(E1250="","",IF(R1250="","À SOUDER",IF(U1250="","VT EN ATTENTE",IF(U1250="R","VT REJETÉ – À REPRENDRE",IF(AL1250="","À RADIOGRAPHIER",IF(AL1250="A","ACCEPTÉ",IF(AL1250="NX","NX – RT À REFAIRE",IF(IF(AK1250=1,Z1250,IF(AK1250=2,AE1250,""))="A","RÉPARÉ – À RADIOGRAPHIER",IF(IF(AK1250=1,Z1250,IF(AK1250=2,AE1250,""))="R","VT REJETÉ – À REPRENDRE",IF(OR(AL1250="CO",AL1250="NT"),"COUPE – À RESOUDER","À RÉPARER"))))))))))</f>
        <v/>
      </c>
      <c r="AN1250" s="81" t="str">
        <f aca="false">IF(AND(ISNUMBER(R1250),OR(AM1250="À RADIOGRAPHIER",AM1250="RÉPARÉ – À RADIOGRAPHIER",AM1250="NX – RT À REFAIRE",AM1250="À RÉPARER",AM1250="COUPE – À RESOUDER",AM1250="VT REJETÉ – À REPRENDRE")),MAX(0,'PROGRAMME RT'!$C$4-R1250),"")</f>
        <v/>
      </c>
      <c r="AO1250" s="78" t="n">
        <f aca="false">IF(AND(OR(AM1250="À RADIOGRAPHIER",AM1250="RÉPARÉ – À RADIOGRAPHIER",AM1250="NX – RT À REFAIRE"),OR('PROGRAMME RT'!$D$5="TOUTES",B1250='PROGRAMME RT'!$D$5)),1,0)</f>
        <v>0</v>
      </c>
      <c r="AP1250" s="78" t="str">
        <f aca="false">IF(AO1250=1,SUM(AO$7:AO1250),"")</f>
        <v/>
      </c>
      <c r="AQ1250" s="78" t="n">
        <f aca="false">IF(AND(OR(X1250="R",X1250="NX",X1250="NT",X1250="CO"),OR('JOINTS DE RÉPARATION'!$D$5="TOUTES",B1250='JOINTS DE RÉPARATION'!$D$5),OR('JOINTS DE RÉPARATION'!$L$4="TOUS",AM1250&lt;&gt;"ACCEPTÉ")),1,0)</f>
        <v>0</v>
      </c>
      <c r="AR1250" s="78" t="str">
        <f aca="false">IF(AQ1250=1,SUM(AQ$7:AQ1250),"")</f>
        <v/>
      </c>
    </row>
    <row r="1251" customFormat="false" ht="15" hidden="false" customHeight="false" outlineLevel="0" collapsed="false">
      <c r="A1251" s="78" t="str">
        <f aca="false">IF(E1251="","",ROW()-6)</f>
        <v/>
      </c>
      <c r="B1251" s="79"/>
      <c r="C1251" s="80"/>
      <c r="D1251" s="80"/>
      <c r="E1251" s="80"/>
      <c r="F1251" s="80"/>
      <c r="G1251" s="80"/>
      <c r="H1251" s="80"/>
      <c r="I1251" s="80"/>
      <c r="J1251" s="80"/>
      <c r="K1251" s="80"/>
      <c r="L1251" s="81" t="str">
        <f aca="false">IF(K1251="","",IFERROR(INDEX(BARDAGE!$C$7:$C$1506,MATCH(K1251,BARDAGE!$B$7:$B$1506,0)),"? hors registre"))</f>
        <v/>
      </c>
      <c r="M1251" s="80"/>
      <c r="N1251" s="81" t="str">
        <f aca="false">IF(M1251="","",IFERROR(INDEX(BARDAGE!$C$7:$C$1506,MATCH(M1251,BARDAGE!$B$7:$B$1506,0)),"? hors registre"))</f>
        <v/>
      </c>
      <c r="O1251" s="80"/>
      <c r="P1251" s="80"/>
      <c r="Q1251" s="80"/>
      <c r="R1251" s="82"/>
      <c r="S1251" s="82"/>
      <c r="T1251" s="80"/>
      <c r="U1251" s="80"/>
      <c r="V1251" s="82"/>
      <c r="W1251" s="80"/>
      <c r="X1251" s="80"/>
      <c r="Y1251" s="80"/>
      <c r="Z1251" s="80"/>
      <c r="AA1251" s="82"/>
      <c r="AB1251" s="80"/>
      <c r="AC1251" s="80"/>
      <c r="AD1251" s="80"/>
      <c r="AE1251" s="80"/>
      <c r="AF1251" s="82"/>
      <c r="AG1251" s="80"/>
      <c r="AH1251" s="80"/>
      <c r="AI1251" s="82"/>
      <c r="AJ1251" s="79"/>
      <c r="AK1251" s="78" t="str">
        <f aca="false">IF(E1251="","",(X1251&lt;&gt;"")+(AC1251&lt;&gt;"")+(AH1251&lt;&gt;""))</f>
        <v/>
      </c>
      <c r="AL1251" s="81" t="str">
        <f aca="false">IF(AH1251&lt;&gt;"",AH1251,IF(AC1251&lt;&gt;"",AC1251,IF(X1251&lt;&gt;"",X1251,"")))</f>
        <v/>
      </c>
      <c r="AM1251" s="83" t="str">
        <f aca="false">IF(E1251="","",IF(R1251="","À SOUDER",IF(U1251="","VT EN ATTENTE",IF(U1251="R","VT REJETÉ – À REPRENDRE",IF(AL1251="","À RADIOGRAPHIER",IF(AL1251="A","ACCEPTÉ",IF(AL1251="NX","NX – RT À REFAIRE",IF(IF(AK1251=1,Z1251,IF(AK1251=2,AE1251,""))="A","RÉPARÉ – À RADIOGRAPHIER",IF(IF(AK1251=1,Z1251,IF(AK1251=2,AE1251,""))="R","VT REJETÉ – À REPRENDRE",IF(OR(AL1251="CO",AL1251="NT"),"COUPE – À RESOUDER","À RÉPARER"))))))))))</f>
        <v/>
      </c>
      <c r="AN1251" s="81" t="str">
        <f aca="false">IF(AND(ISNUMBER(R1251),OR(AM1251="À RADIOGRAPHIER",AM1251="RÉPARÉ – À RADIOGRAPHIER",AM1251="NX – RT À REFAIRE",AM1251="À RÉPARER",AM1251="COUPE – À RESOUDER",AM1251="VT REJETÉ – À REPRENDRE")),MAX(0,'PROGRAMME RT'!$C$4-R1251),"")</f>
        <v/>
      </c>
      <c r="AO1251" s="78" t="n">
        <f aca="false">IF(AND(OR(AM1251="À RADIOGRAPHIER",AM1251="RÉPARÉ – À RADIOGRAPHIER",AM1251="NX – RT À REFAIRE"),OR('PROGRAMME RT'!$D$5="TOUTES",B1251='PROGRAMME RT'!$D$5)),1,0)</f>
        <v>0</v>
      </c>
      <c r="AP1251" s="78" t="str">
        <f aca="false">IF(AO1251=1,SUM(AO$7:AO1251),"")</f>
        <v/>
      </c>
      <c r="AQ1251" s="78" t="n">
        <f aca="false">IF(AND(OR(X1251="R",X1251="NX",X1251="NT",X1251="CO"),OR('JOINTS DE RÉPARATION'!$D$5="TOUTES",B1251='JOINTS DE RÉPARATION'!$D$5),OR('JOINTS DE RÉPARATION'!$L$4="TOUS",AM1251&lt;&gt;"ACCEPTÉ")),1,0)</f>
        <v>0</v>
      </c>
      <c r="AR1251" s="78" t="str">
        <f aca="false">IF(AQ1251=1,SUM(AQ$7:AQ1251),"")</f>
        <v/>
      </c>
    </row>
    <row r="1252" customFormat="false" ht="15" hidden="false" customHeight="false" outlineLevel="0" collapsed="false">
      <c r="A1252" s="78" t="str">
        <f aca="false">IF(E1252="","",ROW()-6)</f>
        <v/>
      </c>
      <c r="B1252" s="79"/>
      <c r="C1252" s="80"/>
      <c r="D1252" s="80"/>
      <c r="E1252" s="80"/>
      <c r="F1252" s="80"/>
      <c r="G1252" s="80"/>
      <c r="H1252" s="80"/>
      <c r="I1252" s="80"/>
      <c r="J1252" s="80"/>
      <c r="K1252" s="80"/>
      <c r="L1252" s="81" t="str">
        <f aca="false">IF(K1252="","",IFERROR(INDEX(BARDAGE!$C$7:$C$1506,MATCH(K1252,BARDAGE!$B$7:$B$1506,0)),"? hors registre"))</f>
        <v/>
      </c>
      <c r="M1252" s="80"/>
      <c r="N1252" s="81" t="str">
        <f aca="false">IF(M1252="","",IFERROR(INDEX(BARDAGE!$C$7:$C$1506,MATCH(M1252,BARDAGE!$B$7:$B$1506,0)),"? hors registre"))</f>
        <v/>
      </c>
      <c r="O1252" s="80"/>
      <c r="P1252" s="80"/>
      <c r="Q1252" s="80"/>
      <c r="R1252" s="82"/>
      <c r="S1252" s="82"/>
      <c r="T1252" s="80"/>
      <c r="U1252" s="80"/>
      <c r="V1252" s="82"/>
      <c r="W1252" s="80"/>
      <c r="X1252" s="80"/>
      <c r="Y1252" s="80"/>
      <c r="Z1252" s="80"/>
      <c r="AA1252" s="82"/>
      <c r="AB1252" s="80"/>
      <c r="AC1252" s="80"/>
      <c r="AD1252" s="80"/>
      <c r="AE1252" s="80"/>
      <c r="AF1252" s="82"/>
      <c r="AG1252" s="80"/>
      <c r="AH1252" s="80"/>
      <c r="AI1252" s="82"/>
      <c r="AJ1252" s="79"/>
      <c r="AK1252" s="78" t="str">
        <f aca="false">IF(E1252="","",(X1252&lt;&gt;"")+(AC1252&lt;&gt;"")+(AH1252&lt;&gt;""))</f>
        <v/>
      </c>
      <c r="AL1252" s="81" t="str">
        <f aca="false">IF(AH1252&lt;&gt;"",AH1252,IF(AC1252&lt;&gt;"",AC1252,IF(X1252&lt;&gt;"",X1252,"")))</f>
        <v/>
      </c>
      <c r="AM1252" s="83" t="str">
        <f aca="false">IF(E1252="","",IF(R1252="","À SOUDER",IF(U1252="","VT EN ATTENTE",IF(U1252="R","VT REJETÉ – À REPRENDRE",IF(AL1252="","À RADIOGRAPHIER",IF(AL1252="A","ACCEPTÉ",IF(AL1252="NX","NX – RT À REFAIRE",IF(IF(AK1252=1,Z1252,IF(AK1252=2,AE1252,""))="A","RÉPARÉ – À RADIOGRAPHIER",IF(IF(AK1252=1,Z1252,IF(AK1252=2,AE1252,""))="R","VT REJETÉ – À REPRENDRE",IF(OR(AL1252="CO",AL1252="NT"),"COUPE – À RESOUDER","À RÉPARER"))))))))))</f>
        <v/>
      </c>
      <c r="AN1252" s="81" t="str">
        <f aca="false">IF(AND(ISNUMBER(R1252),OR(AM1252="À RADIOGRAPHIER",AM1252="RÉPARÉ – À RADIOGRAPHIER",AM1252="NX – RT À REFAIRE",AM1252="À RÉPARER",AM1252="COUPE – À RESOUDER",AM1252="VT REJETÉ – À REPRENDRE")),MAX(0,'PROGRAMME RT'!$C$4-R1252),"")</f>
        <v/>
      </c>
      <c r="AO1252" s="78" t="n">
        <f aca="false">IF(AND(OR(AM1252="À RADIOGRAPHIER",AM1252="RÉPARÉ – À RADIOGRAPHIER",AM1252="NX – RT À REFAIRE"),OR('PROGRAMME RT'!$D$5="TOUTES",B1252='PROGRAMME RT'!$D$5)),1,0)</f>
        <v>0</v>
      </c>
      <c r="AP1252" s="78" t="str">
        <f aca="false">IF(AO1252=1,SUM(AO$7:AO1252),"")</f>
        <v/>
      </c>
      <c r="AQ1252" s="78" t="n">
        <f aca="false">IF(AND(OR(X1252="R",X1252="NX",X1252="NT",X1252="CO"),OR('JOINTS DE RÉPARATION'!$D$5="TOUTES",B1252='JOINTS DE RÉPARATION'!$D$5),OR('JOINTS DE RÉPARATION'!$L$4="TOUS",AM1252&lt;&gt;"ACCEPTÉ")),1,0)</f>
        <v>0</v>
      </c>
      <c r="AR1252" s="78" t="str">
        <f aca="false">IF(AQ1252=1,SUM(AQ$7:AQ1252),"")</f>
        <v/>
      </c>
    </row>
    <row r="1253" customFormat="false" ht="15" hidden="false" customHeight="false" outlineLevel="0" collapsed="false">
      <c r="A1253" s="78" t="str">
        <f aca="false">IF(E1253="","",ROW()-6)</f>
        <v/>
      </c>
      <c r="B1253" s="79"/>
      <c r="C1253" s="80"/>
      <c r="D1253" s="80"/>
      <c r="E1253" s="80"/>
      <c r="F1253" s="80"/>
      <c r="G1253" s="80"/>
      <c r="H1253" s="80"/>
      <c r="I1253" s="80"/>
      <c r="J1253" s="80"/>
      <c r="K1253" s="80"/>
      <c r="L1253" s="81" t="str">
        <f aca="false">IF(K1253="","",IFERROR(INDEX(BARDAGE!$C$7:$C$1506,MATCH(K1253,BARDAGE!$B$7:$B$1506,0)),"? hors registre"))</f>
        <v/>
      </c>
      <c r="M1253" s="80"/>
      <c r="N1253" s="81" t="str">
        <f aca="false">IF(M1253="","",IFERROR(INDEX(BARDAGE!$C$7:$C$1506,MATCH(M1253,BARDAGE!$B$7:$B$1506,0)),"? hors registre"))</f>
        <v/>
      </c>
      <c r="O1253" s="80"/>
      <c r="P1253" s="80"/>
      <c r="Q1253" s="80"/>
      <c r="R1253" s="82"/>
      <c r="S1253" s="82"/>
      <c r="T1253" s="80"/>
      <c r="U1253" s="80"/>
      <c r="V1253" s="82"/>
      <c r="W1253" s="80"/>
      <c r="X1253" s="80"/>
      <c r="Y1253" s="80"/>
      <c r="Z1253" s="80"/>
      <c r="AA1253" s="82"/>
      <c r="AB1253" s="80"/>
      <c r="AC1253" s="80"/>
      <c r="AD1253" s="80"/>
      <c r="AE1253" s="80"/>
      <c r="AF1253" s="82"/>
      <c r="AG1253" s="80"/>
      <c r="AH1253" s="80"/>
      <c r="AI1253" s="82"/>
      <c r="AJ1253" s="79"/>
      <c r="AK1253" s="78" t="str">
        <f aca="false">IF(E1253="","",(X1253&lt;&gt;"")+(AC1253&lt;&gt;"")+(AH1253&lt;&gt;""))</f>
        <v/>
      </c>
      <c r="AL1253" s="81" t="str">
        <f aca="false">IF(AH1253&lt;&gt;"",AH1253,IF(AC1253&lt;&gt;"",AC1253,IF(X1253&lt;&gt;"",X1253,"")))</f>
        <v/>
      </c>
      <c r="AM1253" s="83" t="str">
        <f aca="false">IF(E1253="","",IF(R1253="","À SOUDER",IF(U1253="","VT EN ATTENTE",IF(U1253="R","VT REJETÉ – À REPRENDRE",IF(AL1253="","À RADIOGRAPHIER",IF(AL1253="A","ACCEPTÉ",IF(AL1253="NX","NX – RT À REFAIRE",IF(IF(AK1253=1,Z1253,IF(AK1253=2,AE1253,""))="A","RÉPARÉ – À RADIOGRAPHIER",IF(IF(AK1253=1,Z1253,IF(AK1253=2,AE1253,""))="R","VT REJETÉ – À REPRENDRE",IF(OR(AL1253="CO",AL1253="NT"),"COUPE – À RESOUDER","À RÉPARER"))))))))))</f>
        <v/>
      </c>
      <c r="AN1253" s="81" t="str">
        <f aca="false">IF(AND(ISNUMBER(R1253),OR(AM1253="À RADIOGRAPHIER",AM1253="RÉPARÉ – À RADIOGRAPHIER",AM1253="NX – RT À REFAIRE",AM1253="À RÉPARER",AM1253="COUPE – À RESOUDER",AM1253="VT REJETÉ – À REPRENDRE")),MAX(0,'PROGRAMME RT'!$C$4-R1253),"")</f>
        <v/>
      </c>
      <c r="AO1253" s="78" t="n">
        <f aca="false">IF(AND(OR(AM1253="À RADIOGRAPHIER",AM1253="RÉPARÉ – À RADIOGRAPHIER",AM1253="NX – RT À REFAIRE"),OR('PROGRAMME RT'!$D$5="TOUTES",B1253='PROGRAMME RT'!$D$5)),1,0)</f>
        <v>0</v>
      </c>
      <c r="AP1253" s="78" t="str">
        <f aca="false">IF(AO1253=1,SUM(AO$7:AO1253),"")</f>
        <v/>
      </c>
      <c r="AQ1253" s="78" t="n">
        <f aca="false">IF(AND(OR(X1253="R",X1253="NX",X1253="NT",X1253="CO"),OR('JOINTS DE RÉPARATION'!$D$5="TOUTES",B1253='JOINTS DE RÉPARATION'!$D$5),OR('JOINTS DE RÉPARATION'!$L$4="TOUS",AM1253&lt;&gt;"ACCEPTÉ")),1,0)</f>
        <v>0</v>
      </c>
      <c r="AR1253" s="78" t="str">
        <f aca="false">IF(AQ1253=1,SUM(AQ$7:AQ1253),"")</f>
        <v/>
      </c>
    </row>
    <row r="1254" customFormat="false" ht="15" hidden="false" customHeight="false" outlineLevel="0" collapsed="false">
      <c r="A1254" s="78" t="str">
        <f aca="false">IF(E1254="","",ROW()-6)</f>
        <v/>
      </c>
      <c r="B1254" s="79"/>
      <c r="C1254" s="80"/>
      <c r="D1254" s="80"/>
      <c r="E1254" s="80"/>
      <c r="F1254" s="80"/>
      <c r="G1254" s="80"/>
      <c r="H1254" s="80"/>
      <c r="I1254" s="80"/>
      <c r="J1254" s="80"/>
      <c r="K1254" s="80"/>
      <c r="L1254" s="81" t="str">
        <f aca="false">IF(K1254="","",IFERROR(INDEX(BARDAGE!$C$7:$C$1506,MATCH(K1254,BARDAGE!$B$7:$B$1506,0)),"? hors registre"))</f>
        <v/>
      </c>
      <c r="M1254" s="80"/>
      <c r="N1254" s="81" t="str">
        <f aca="false">IF(M1254="","",IFERROR(INDEX(BARDAGE!$C$7:$C$1506,MATCH(M1254,BARDAGE!$B$7:$B$1506,0)),"? hors registre"))</f>
        <v/>
      </c>
      <c r="O1254" s="80"/>
      <c r="P1254" s="80"/>
      <c r="Q1254" s="80"/>
      <c r="R1254" s="82"/>
      <c r="S1254" s="82"/>
      <c r="T1254" s="80"/>
      <c r="U1254" s="80"/>
      <c r="V1254" s="82"/>
      <c r="W1254" s="80"/>
      <c r="X1254" s="80"/>
      <c r="Y1254" s="80"/>
      <c r="Z1254" s="80"/>
      <c r="AA1254" s="82"/>
      <c r="AB1254" s="80"/>
      <c r="AC1254" s="80"/>
      <c r="AD1254" s="80"/>
      <c r="AE1254" s="80"/>
      <c r="AF1254" s="82"/>
      <c r="AG1254" s="80"/>
      <c r="AH1254" s="80"/>
      <c r="AI1254" s="82"/>
      <c r="AJ1254" s="79"/>
      <c r="AK1254" s="78" t="str">
        <f aca="false">IF(E1254="","",(X1254&lt;&gt;"")+(AC1254&lt;&gt;"")+(AH1254&lt;&gt;""))</f>
        <v/>
      </c>
      <c r="AL1254" s="81" t="str">
        <f aca="false">IF(AH1254&lt;&gt;"",AH1254,IF(AC1254&lt;&gt;"",AC1254,IF(X1254&lt;&gt;"",X1254,"")))</f>
        <v/>
      </c>
      <c r="AM1254" s="83" t="str">
        <f aca="false">IF(E1254="","",IF(R1254="","À SOUDER",IF(U1254="","VT EN ATTENTE",IF(U1254="R","VT REJETÉ – À REPRENDRE",IF(AL1254="","À RADIOGRAPHIER",IF(AL1254="A","ACCEPTÉ",IF(AL1254="NX","NX – RT À REFAIRE",IF(IF(AK1254=1,Z1254,IF(AK1254=2,AE1254,""))="A","RÉPARÉ – À RADIOGRAPHIER",IF(IF(AK1254=1,Z1254,IF(AK1254=2,AE1254,""))="R","VT REJETÉ – À REPRENDRE",IF(OR(AL1254="CO",AL1254="NT"),"COUPE – À RESOUDER","À RÉPARER"))))))))))</f>
        <v/>
      </c>
      <c r="AN1254" s="81" t="str">
        <f aca="false">IF(AND(ISNUMBER(R1254),OR(AM1254="À RADIOGRAPHIER",AM1254="RÉPARÉ – À RADIOGRAPHIER",AM1254="NX – RT À REFAIRE",AM1254="À RÉPARER",AM1254="COUPE – À RESOUDER",AM1254="VT REJETÉ – À REPRENDRE")),MAX(0,'PROGRAMME RT'!$C$4-R1254),"")</f>
        <v/>
      </c>
      <c r="AO1254" s="78" t="n">
        <f aca="false">IF(AND(OR(AM1254="À RADIOGRAPHIER",AM1254="RÉPARÉ – À RADIOGRAPHIER",AM1254="NX – RT À REFAIRE"),OR('PROGRAMME RT'!$D$5="TOUTES",B1254='PROGRAMME RT'!$D$5)),1,0)</f>
        <v>0</v>
      </c>
      <c r="AP1254" s="78" t="str">
        <f aca="false">IF(AO1254=1,SUM(AO$7:AO1254),"")</f>
        <v/>
      </c>
      <c r="AQ1254" s="78" t="n">
        <f aca="false">IF(AND(OR(X1254="R",X1254="NX",X1254="NT",X1254="CO"),OR('JOINTS DE RÉPARATION'!$D$5="TOUTES",B1254='JOINTS DE RÉPARATION'!$D$5),OR('JOINTS DE RÉPARATION'!$L$4="TOUS",AM1254&lt;&gt;"ACCEPTÉ")),1,0)</f>
        <v>0</v>
      </c>
      <c r="AR1254" s="78" t="str">
        <f aca="false">IF(AQ1254=1,SUM(AQ$7:AQ1254),"")</f>
        <v/>
      </c>
    </row>
    <row r="1255" customFormat="false" ht="15" hidden="false" customHeight="false" outlineLevel="0" collapsed="false">
      <c r="A1255" s="78" t="str">
        <f aca="false">IF(E1255="","",ROW()-6)</f>
        <v/>
      </c>
      <c r="B1255" s="79"/>
      <c r="C1255" s="80"/>
      <c r="D1255" s="80"/>
      <c r="E1255" s="80"/>
      <c r="F1255" s="80"/>
      <c r="G1255" s="80"/>
      <c r="H1255" s="80"/>
      <c r="I1255" s="80"/>
      <c r="J1255" s="80"/>
      <c r="K1255" s="80"/>
      <c r="L1255" s="81" t="str">
        <f aca="false">IF(K1255="","",IFERROR(INDEX(BARDAGE!$C$7:$C$1506,MATCH(K1255,BARDAGE!$B$7:$B$1506,0)),"? hors registre"))</f>
        <v/>
      </c>
      <c r="M1255" s="80"/>
      <c r="N1255" s="81" t="str">
        <f aca="false">IF(M1255="","",IFERROR(INDEX(BARDAGE!$C$7:$C$1506,MATCH(M1255,BARDAGE!$B$7:$B$1506,0)),"? hors registre"))</f>
        <v/>
      </c>
      <c r="O1255" s="80"/>
      <c r="P1255" s="80"/>
      <c r="Q1255" s="80"/>
      <c r="R1255" s="82"/>
      <c r="S1255" s="82"/>
      <c r="T1255" s="80"/>
      <c r="U1255" s="80"/>
      <c r="V1255" s="82"/>
      <c r="W1255" s="80"/>
      <c r="X1255" s="80"/>
      <c r="Y1255" s="80"/>
      <c r="Z1255" s="80"/>
      <c r="AA1255" s="82"/>
      <c r="AB1255" s="80"/>
      <c r="AC1255" s="80"/>
      <c r="AD1255" s="80"/>
      <c r="AE1255" s="80"/>
      <c r="AF1255" s="82"/>
      <c r="AG1255" s="80"/>
      <c r="AH1255" s="80"/>
      <c r="AI1255" s="82"/>
      <c r="AJ1255" s="79"/>
      <c r="AK1255" s="78" t="str">
        <f aca="false">IF(E1255="","",(X1255&lt;&gt;"")+(AC1255&lt;&gt;"")+(AH1255&lt;&gt;""))</f>
        <v/>
      </c>
      <c r="AL1255" s="81" t="str">
        <f aca="false">IF(AH1255&lt;&gt;"",AH1255,IF(AC1255&lt;&gt;"",AC1255,IF(X1255&lt;&gt;"",X1255,"")))</f>
        <v/>
      </c>
      <c r="AM1255" s="83" t="str">
        <f aca="false">IF(E1255="","",IF(R1255="","À SOUDER",IF(U1255="","VT EN ATTENTE",IF(U1255="R","VT REJETÉ – À REPRENDRE",IF(AL1255="","À RADIOGRAPHIER",IF(AL1255="A","ACCEPTÉ",IF(AL1255="NX","NX – RT À REFAIRE",IF(IF(AK1255=1,Z1255,IF(AK1255=2,AE1255,""))="A","RÉPARÉ – À RADIOGRAPHIER",IF(IF(AK1255=1,Z1255,IF(AK1255=2,AE1255,""))="R","VT REJETÉ – À REPRENDRE",IF(OR(AL1255="CO",AL1255="NT"),"COUPE – À RESOUDER","À RÉPARER"))))))))))</f>
        <v/>
      </c>
      <c r="AN1255" s="81" t="str">
        <f aca="false">IF(AND(ISNUMBER(R1255),OR(AM1255="À RADIOGRAPHIER",AM1255="RÉPARÉ – À RADIOGRAPHIER",AM1255="NX – RT À REFAIRE",AM1255="À RÉPARER",AM1255="COUPE – À RESOUDER",AM1255="VT REJETÉ – À REPRENDRE")),MAX(0,'PROGRAMME RT'!$C$4-R1255),"")</f>
        <v/>
      </c>
      <c r="AO1255" s="78" t="n">
        <f aca="false">IF(AND(OR(AM1255="À RADIOGRAPHIER",AM1255="RÉPARÉ – À RADIOGRAPHIER",AM1255="NX – RT À REFAIRE"),OR('PROGRAMME RT'!$D$5="TOUTES",B1255='PROGRAMME RT'!$D$5)),1,0)</f>
        <v>0</v>
      </c>
      <c r="AP1255" s="78" t="str">
        <f aca="false">IF(AO1255=1,SUM(AO$7:AO1255),"")</f>
        <v/>
      </c>
      <c r="AQ1255" s="78" t="n">
        <f aca="false">IF(AND(OR(X1255="R",X1255="NX",X1255="NT",X1255="CO"),OR('JOINTS DE RÉPARATION'!$D$5="TOUTES",B1255='JOINTS DE RÉPARATION'!$D$5),OR('JOINTS DE RÉPARATION'!$L$4="TOUS",AM1255&lt;&gt;"ACCEPTÉ")),1,0)</f>
        <v>0</v>
      </c>
      <c r="AR1255" s="78" t="str">
        <f aca="false">IF(AQ1255=1,SUM(AQ$7:AQ1255),"")</f>
        <v/>
      </c>
    </row>
    <row r="1256" customFormat="false" ht="15" hidden="false" customHeight="false" outlineLevel="0" collapsed="false">
      <c r="A1256" s="78" t="str">
        <f aca="false">IF(E1256="","",ROW()-6)</f>
        <v/>
      </c>
      <c r="B1256" s="79"/>
      <c r="C1256" s="80"/>
      <c r="D1256" s="80"/>
      <c r="E1256" s="80"/>
      <c r="F1256" s="80"/>
      <c r="G1256" s="80"/>
      <c r="H1256" s="80"/>
      <c r="I1256" s="80"/>
      <c r="J1256" s="80"/>
      <c r="K1256" s="80"/>
      <c r="L1256" s="81" t="str">
        <f aca="false">IF(K1256="","",IFERROR(INDEX(BARDAGE!$C$7:$C$1506,MATCH(K1256,BARDAGE!$B$7:$B$1506,0)),"? hors registre"))</f>
        <v/>
      </c>
      <c r="M1256" s="80"/>
      <c r="N1256" s="81" t="str">
        <f aca="false">IF(M1256="","",IFERROR(INDEX(BARDAGE!$C$7:$C$1506,MATCH(M1256,BARDAGE!$B$7:$B$1506,0)),"? hors registre"))</f>
        <v/>
      </c>
      <c r="O1256" s="80"/>
      <c r="P1256" s="80"/>
      <c r="Q1256" s="80"/>
      <c r="R1256" s="82"/>
      <c r="S1256" s="82"/>
      <c r="T1256" s="80"/>
      <c r="U1256" s="80"/>
      <c r="V1256" s="82"/>
      <c r="W1256" s="80"/>
      <c r="X1256" s="80"/>
      <c r="Y1256" s="80"/>
      <c r="Z1256" s="80"/>
      <c r="AA1256" s="82"/>
      <c r="AB1256" s="80"/>
      <c r="AC1256" s="80"/>
      <c r="AD1256" s="80"/>
      <c r="AE1256" s="80"/>
      <c r="AF1256" s="82"/>
      <c r="AG1256" s="80"/>
      <c r="AH1256" s="80"/>
      <c r="AI1256" s="82"/>
      <c r="AJ1256" s="79"/>
      <c r="AK1256" s="78" t="str">
        <f aca="false">IF(E1256="","",(X1256&lt;&gt;"")+(AC1256&lt;&gt;"")+(AH1256&lt;&gt;""))</f>
        <v/>
      </c>
      <c r="AL1256" s="81" t="str">
        <f aca="false">IF(AH1256&lt;&gt;"",AH1256,IF(AC1256&lt;&gt;"",AC1256,IF(X1256&lt;&gt;"",X1256,"")))</f>
        <v/>
      </c>
      <c r="AM1256" s="83" t="str">
        <f aca="false">IF(E1256="","",IF(R1256="","À SOUDER",IF(U1256="","VT EN ATTENTE",IF(U1256="R","VT REJETÉ – À REPRENDRE",IF(AL1256="","À RADIOGRAPHIER",IF(AL1256="A","ACCEPTÉ",IF(AL1256="NX","NX – RT À REFAIRE",IF(IF(AK1256=1,Z1256,IF(AK1256=2,AE1256,""))="A","RÉPARÉ – À RADIOGRAPHIER",IF(IF(AK1256=1,Z1256,IF(AK1256=2,AE1256,""))="R","VT REJETÉ – À REPRENDRE",IF(OR(AL1256="CO",AL1256="NT"),"COUPE – À RESOUDER","À RÉPARER"))))))))))</f>
        <v/>
      </c>
      <c r="AN1256" s="81" t="str">
        <f aca="false">IF(AND(ISNUMBER(R1256),OR(AM1256="À RADIOGRAPHIER",AM1256="RÉPARÉ – À RADIOGRAPHIER",AM1256="NX – RT À REFAIRE",AM1256="À RÉPARER",AM1256="COUPE – À RESOUDER",AM1256="VT REJETÉ – À REPRENDRE")),MAX(0,'PROGRAMME RT'!$C$4-R1256),"")</f>
        <v/>
      </c>
      <c r="AO1256" s="78" t="n">
        <f aca="false">IF(AND(OR(AM1256="À RADIOGRAPHIER",AM1256="RÉPARÉ – À RADIOGRAPHIER",AM1256="NX – RT À REFAIRE"),OR('PROGRAMME RT'!$D$5="TOUTES",B1256='PROGRAMME RT'!$D$5)),1,0)</f>
        <v>0</v>
      </c>
      <c r="AP1256" s="78" t="str">
        <f aca="false">IF(AO1256=1,SUM(AO$7:AO1256),"")</f>
        <v/>
      </c>
      <c r="AQ1256" s="78" t="n">
        <f aca="false">IF(AND(OR(X1256="R",X1256="NX",X1256="NT",X1256="CO"),OR('JOINTS DE RÉPARATION'!$D$5="TOUTES",B1256='JOINTS DE RÉPARATION'!$D$5),OR('JOINTS DE RÉPARATION'!$L$4="TOUS",AM1256&lt;&gt;"ACCEPTÉ")),1,0)</f>
        <v>0</v>
      </c>
      <c r="AR1256" s="78" t="str">
        <f aca="false">IF(AQ1256=1,SUM(AQ$7:AQ1256),"")</f>
        <v/>
      </c>
    </row>
    <row r="1257" customFormat="false" ht="15" hidden="false" customHeight="false" outlineLevel="0" collapsed="false">
      <c r="A1257" s="78" t="str">
        <f aca="false">IF(E1257="","",ROW()-6)</f>
        <v/>
      </c>
      <c r="B1257" s="79"/>
      <c r="C1257" s="80"/>
      <c r="D1257" s="80"/>
      <c r="E1257" s="80"/>
      <c r="F1257" s="80"/>
      <c r="G1257" s="80"/>
      <c r="H1257" s="80"/>
      <c r="I1257" s="80"/>
      <c r="J1257" s="80"/>
      <c r="K1257" s="80"/>
      <c r="L1257" s="81" t="str">
        <f aca="false">IF(K1257="","",IFERROR(INDEX(BARDAGE!$C$7:$C$1506,MATCH(K1257,BARDAGE!$B$7:$B$1506,0)),"? hors registre"))</f>
        <v/>
      </c>
      <c r="M1257" s="80"/>
      <c r="N1257" s="81" t="str">
        <f aca="false">IF(M1257="","",IFERROR(INDEX(BARDAGE!$C$7:$C$1506,MATCH(M1257,BARDAGE!$B$7:$B$1506,0)),"? hors registre"))</f>
        <v/>
      </c>
      <c r="O1257" s="80"/>
      <c r="P1257" s="80"/>
      <c r="Q1257" s="80"/>
      <c r="R1257" s="82"/>
      <c r="S1257" s="82"/>
      <c r="T1257" s="80"/>
      <c r="U1257" s="80"/>
      <c r="V1257" s="82"/>
      <c r="W1257" s="80"/>
      <c r="X1257" s="80"/>
      <c r="Y1257" s="80"/>
      <c r="Z1257" s="80"/>
      <c r="AA1257" s="82"/>
      <c r="AB1257" s="80"/>
      <c r="AC1257" s="80"/>
      <c r="AD1257" s="80"/>
      <c r="AE1257" s="80"/>
      <c r="AF1257" s="82"/>
      <c r="AG1257" s="80"/>
      <c r="AH1257" s="80"/>
      <c r="AI1257" s="82"/>
      <c r="AJ1257" s="79"/>
      <c r="AK1257" s="78" t="str">
        <f aca="false">IF(E1257="","",(X1257&lt;&gt;"")+(AC1257&lt;&gt;"")+(AH1257&lt;&gt;""))</f>
        <v/>
      </c>
      <c r="AL1257" s="81" t="str">
        <f aca="false">IF(AH1257&lt;&gt;"",AH1257,IF(AC1257&lt;&gt;"",AC1257,IF(X1257&lt;&gt;"",X1257,"")))</f>
        <v/>
      </c>
      <c r="AM1257" s="83" t="str">
        <f aca="false">IF(E1257="","",IF(R1257="","À SOUDER",IF(U1257="","VT EN ATTENTE",IF(U1257="R","VT REJETÉ – À REPRENDRE",IF(AL1257="","À RADIOGRAPHIER",IF(AL1257="A","ACCEPTÉ",IF(AL1257="NX","NX – RT À REFAIRE",IF(IF(AK1257=1,Z1257,IF(AK1257=2,AE1257,""))="A","RÉPARÉ – À RADIOGRAPHIER",IF(IF(AK1257=1,Z1257,IF(AK1257=2,AE1257,""))="R","VT REJETÉ – À REPRENDRE",IF(OR(AL1257="CO",AL1257="NT"),"COUPE – À RESOUDER","À RÉPARER"))))))))))</f>
        <v/>
      </c>
      <c r="AN1257" s="81" t="str">
        <f aca="false">IF(AND(ISNUMBER(R1257),OR(AM1257="À RADIOGRAPHIER",AM1257="RÉPARÉ – À RADIOGRAPHIER",AM1257="NX – RT À REFAIRE",AM1257="À RÉPARER",AM1257="COUPE – À RESOUDER",AM1257="VT REJETÉ – À REPRENDRE")),MAX(0,'PROGRAMME RT'!$C$4-R1257),"")</f>
        <v/>
      </c>
      <c r="AO1257" s="78" t="n">
        <f aca="false">IF(AND(OR(AM1257="À RADIOGRAPHIER",AM1257="RÉPARÉ – À RADIOGRAPHIER",AM1257="NX – RT À REFAIRE"),OR('PROGRAMME RT'!$D$5="TOUTES",B1257='PROGRAMME RT'!$D$5)),1,0)</f>
        <v>0</v>
      </c>
      <c r="AP1257" s="78" t="str">
        <f aca="false">IF(AO1257=1,SUM(AO$7:AO1257),"")</f>
        <v/>
      </c>
      <c r="AQ1257" s="78" t="n">
        <f aca="false">IF(AND(OR(X1257="R",X1257="NX",X1257="NT",X1257="CO"),OR('JOINTS DE RÉPARATION'!$D$5="TOUTES",B1257='JOINTS DE RÉPARATION'!$D$5),OR('JOINTS DE RÉPARATION'!$L$4="TOUS",AM1257&lt;&gt;"ACCEPTÉ")),1,0)</f>
        <v>0</v>
      </c>
      <c r="AR1257" s="78" t="str">
        <f aca="false">IF(AQ1257=1,SUM(AQ$7:AQ1257),"")</f>
        <v/>
      </c>
    </row>
    <row r="1258" customFormat="false" ht="15" hidden="false" customHeight="false" outlineLevel="0" collapsed="false">
      <c r="A1258" s="78" t="str">
        <f aca="false">IF(E1258="","",ROW()-6)</f>
        <v/>
      </c>
      <c r="B1258" s="79"/>
      <c r="C1258" s="80"/>
      <c r="D1258" s="80"/>
      <c r="E1258" s="80"/>
      <c r="F1258" s="80"/>
      <c r="G1258" s="80"/>
      <c r="H1258" s="80"/>
      <c r="I1258" s="80"/>
      <c r="J1258" s="80"/>
      <c r="K1258" s="80"/>
      <c r="L1258" s="81" t="str">
        <f aca="false">IF(K1258="","",IFERROR(INDEX(BARDAGE!$C$7:$C$1506,MATCH(K1258,BARDAGE!$B$7:$B$1506,0)),"? hors registre"))</f>
        <v/>
      </c>
      <c r="M1258" s="80"/>
      <c r="N1258" s="81" t="str">
        <f aca="false">IF(M1258="","",IFERROR(INDEX(BARDAGE!$C$7:$C$1506,MATCH(M1258,BARDAGE!$B$7:$B$1506,0)),"? hors registre"))</f>
        <v/>
      </c>
      <c r="O1258" s="80"/>
      <c r="P1258" s="80"/>
      <c r="Q1258" s="80"/>
      <c r="R1258" s="82"/>
      <c r="S1258" s="82"/>
      <c r="T1258" s="80"/>
      <c r="U1258" s="80"/>
      <c r="V1258" s="82"/>
      <c r="W1258" s="80"/>
      <c r="X1258" s="80"/>
      <c r="Y1258" s="80"/>
      <c r="Z1258" s="80"/>
      <c r="AA1258" s="82"/>
      <c r="AB1258" s="80"/>
      <c r="AC1258" s="80"/>
      <c r="AD1258" s="80"/>
      <c r="AE1258" s="80"/>
      <c r="AF1258" s="82"/>
      <c r="AG1258" s="80"/>
      <c r="AH1258" s="80"/>
      <c r="AI1258" s="82"/>
      <c r="AJ1258" s="79"/>
      <c r="AK1258" s="78" t="str">
        <f aca="false">IF(E1258="","",(X1258&lt;&gt;"")+(AC1258&lt;&gt;"")+(AH1258&lt;&gt;""))</f>
        <v/>
      </c>
      <c r="AL1258" s="81" t="str">
        <f aca="false">IF(AH1258&lt;&gt;"",AH1258,IF(AC1258&lt;&gt;"",AC1258,IF(X1258&lt;&gt;"",X1258,"")))</f>
        <v/>
      </c>
      <c r="AM1258" s="83" t="str">
        <f aca="false">IF(E1258="","",IF(R1258="","À SOUDER",IF(U1258="","VT EN ATTENTE",IF(U1258="R","VT REJETÉ – À REPRENDRE",IF(AL1258="","À RADIOGRAPHIER",IF(AL1258="A","ACCEPTÉ",IF(AL1258="NX","NX – RT À REFAIRE",IF(IF(AK1258=1,Z1258,IF(AK1258=2,AE1258,""))="A","RÉPARÉ – À RADIOGRAPHIER",IF(IF(AK1258=1,Z1258,IF(AK1258=2,AE1258,""))="R","VT REJETÉ – À REPRENDRE",IF(OR(AL1258="CO",AL1258="NT"),"COUPE – À RESOUDER","À RÉPARER"))))))))))</f>
        <v/>
      </c>
      <c r="AN1258" s="81" t="str">
        <f aca="false">IF(AND(ISNUMBER(R1258),OR(AM1258="À RADIOGRAPHIER",AM1258="RÉPARÉ – À RADIOGRAPHIER",AM1258="NX – RT À REFAIRE",AM1258="À RÉPARER",AM1258="COUPE – À RESOUDER",AM1258="VT REJETÉ – À REPRENDRE")),MAX(0,'PROGRAMME RT'!$C$4-R1258),"")</f>
        <v/>
      </c>
      <c r="AO1258" s="78" t="n">
        <f aca="false">IF(AND(OR(AM1258="À RADIOGRAPHIER",AM1258="RÉPARÉ – À RADIOGRAPHIER",AM1258="NX – RT À REFAIRE"),OR('PROGRAMME RT'!$D$5="TOUTES",B1258='PROGRAMME RT'!$D$5)),1,0)</f>
        <v>0</v>
      </c>
      <c r="AP1258" s="78" t="str">
        <f aca="false">IF(AO1258=1,SUM(AO$7:AO1258),"")</f>
        <v/>
      </c>
      <c r="AQ1258" s="78" t="n">
        <f aca="false">IF(AND(OR(X1258="R",X1258="NX",X1258="NT",X1258="CO"),OR('JOINTS DE RÉPARATION'!$D$5="TOUTES",B1258='JOINTS DE RÉPARATION'!$D$5),OR('JOINTS DE RÉPARATION'!$L$4="TOUS",AM1258&lt;&gt;"ACCEPTÉ")),1,0)</f>
        <v>0</v>
      </c>
      <c r="AR1258" s="78" t="str">
        <f aca="false">IF(AQ1258=1,SUM(AQ$7:AQ1258),"")</f>
        <v/>
      </c>
    </row>
    <row r="1259" customFormat="false" ht="15" hidden="false" customHeight="false" outlineLevel="0" collapsed="false">
      <c r="A1259" s="78" t="str">
        <f aca="false">IF(E1259="","",ROW()-6)</f>
        <v/>
      </c>
      <c r="B1259" s="79"/>
      <c r="C1259" s="80"/>
      <c r="D1259" s="80"/>
      <c r="E1259" s="80"/>
      <c r="F1259" s="80"/>
      <c r="G1259" s="80"/>
      <c r="H1259" s="80"/>
      <c r="I1259" s="80"/>
      <c r="J1259" s="80"/>
      <c r="K1259" s="80"/>
      <c r="L1259" s="81" t="str">
        <f aca="false">IF(K1259="","",IFERROR(INDEX(BARDAGE!$C$7:$C$1506,MATCH(K1259,BARDAGE!$B$7:$B$1506,0)),"? hors registre"))</f>
        <v/>
      </c>
      <c r="M1259" s="80"/>
      <c r="N1259" s="81" t="str">
        <f aca="false">IF(M1259="","",IFERROR(INDEX(BARDAGE!$C$7:$C$1506,MATCH(M1259,BARDAGE!$B$7:$B$1506,0)),"? hors registre"))</f>
        <v/>
      </c>
      <c r="O1259" s="80"/>
      <c r="P1259" s="80"/>
      <c r="Q1259" s="80"/>
      <c r="R1259" s="82"/>
      <c r="S1259" s="82"/>
      <c r="T1259" s="80"/>
      <c r="U1259" s="80"/>
      <c r="V1259" s="82"/>
      <c r="W1259" s="80"/>
      <c r="X1259" s="80"/>
      <c r="Y1259" s="80"/>
      <c r="Z1259" s="80"/>
      <c r="AA1259" s="82"/>
      <c r="AB1259" s="80"/>
      <c r="AC1259" s="80"/>
      <c r="AD1259" s="80"/>
      <c r="AE1259" s="80"/>
      <c r="AF1259" s="82"/>
      <c r="AG1259" s="80"/>
      <c r="AH1259" s="80"/>
      <c r="AI1259" s="82"/>
      <c r="AJ1259" s="79"/>
      <c r="AK1259" s="78" t="str">
        <f aca="false">IF(E1259="","",(X1259&lt;&gt;"")+(AC1259&lt;&gt;"")+(AH1259&lt;&gt;""))</f>
        <v/>
      </c>
      <c r="AL1259" s="81" t="str">
        <f aca="false">IF(AH1259&lt;&gt;"",AH1259,IF(AC1259&lt;&gt;"",AC1259,IF(X1259&lt;&gt;"",X1259,"")))</f>
        <v/>
      </c>
      <c r="AM1259" s="83" t="str">
        <f aca="false">IF(E1259="","",IF(R1259="","À SOUDER",IF(U1259="","VT EN ATTENTE",IF(U1259="R","VT REJETÉ – À REPRENDRE",IF(AL1259="","À RADIOGRAPHIER",IF(AL1259="A","ACCEPTÉ",IF(AL1259="NX","NX – RT À REFAIRE",IF(IF(AK1259=1,Z1259,IF(AK1259=2,AE1259,""))="A","RÉPARÉ – À RADIOGRAPHIER",IF(IF(AK1259=1,Z1259,IF(AK1259=2,AE1259,""))="R","VT REJETÉ – À REPRENDRE",IF(OR(AL1259="CO",AL1259="NT"),"COUPE – À RESOUDER","À RÉPARER"))))))))))</f>
        <v/>
      </c>
      <c r="AN1259" s="81" t="str">
        <f aca="false">IF(AND(ISNUMBER(R1259),OR(AM1259="À RADIOGRAPHIER",AM1259="RÉPARÉ – À RADIOGRAPHIER",AM1259="NX – RT À REFAIRE",AM1259="À RÉPARER",AM1259="COUPE – À RESOUDER",AM1259="VT REJETÉ – À REPRENDRE")),MAX(0,'PROGRAMME RT'!$C$4-R1259),"")</f>
        <v/>
      </c>
      <c r="AO1259" s="78" t="n">
        <f aca="false">IF(AND(OR(AM1259="À RADIOGRAPHIER",AM1259="RÉPARÉ – À RADIOGRAPHIER",AM1259="NX – RT À REFAIRE"),OR('PROGRAMME RT'!$D$5="TOUTES",B1259='PROGRAMME RT'!$D$5)),1,0)</f>
        <v>0</v>
      </c>
      <c r="AP1259" s="78" t="str">
        <f aca="false">IF(AO1259=1,SUM(AO$7:AO1259),"")</f>
        <v/>
      </c>
      <c r="AQ1259" s="78" t="n">
        <f aca="false">IF(AND(OR(X1259="R",X1259="NX",X1259="NT",X1259="CO"),OR('JOINTS DE RÉPARATION'!$D$5="TOUTES",B1259='JOINTS DE RÉPARATION'!$D$5),OR('JOINTS DE RÉPARATION'!$L$4="TOUS",AM1259&lt;&gt;"ACCEPTÉ")),1,0)</f>
        <v>0</v>
      </c>
      <c r="AR1259" s="78" t="str">
        <f aca="false">IF(AQ1259=1,SUM(AQ$7:AQ1259),"")</f>
        <v/>
      </c>
    </row>
    <row r="1260" customFormat="false" ht="15" hidden="false" customHeight="false" outlineLevel="0" collapsed="false">
      <c r="A1260" s="78" t="str">
        <f aca="false">IF(E1260="","",ROW()-6)</f>
        <v/>
      </c>
      <c r="B1260" s="79"/>
      <c r="C1260" s="80"/>
      <c r="D1260" s="80"/>
      <c r="E1260" s="80"/>
      <c r="F1260" s="80"/>
      <c r="G1260" s="80"/>
      <c r="H1260" s="80"/>
      <c r="I1260" s="80"/>
      <c r="J1260" s="80"/>
      <c r="K1260" s="80"/>
      <c r="L1260" s="81" t="str">
        <f aca="false">IF(K1260="","",IFERROR(INDEX(BARDAGE!$C$7:$C$1506,MATCH(K1260,BARDAGE!$B$7:$B$1506,0)),"? hors registre"))</f>
        <v/>
      </c>
      <c r="M1260" s="80"/>
      <c r="N1260" s="81" t="str">
        <f aca="false">IF(M1260="","",IFERROR(INDEX(BARDAGE!$C$7:$C$1506,MATCH(M1260,BARDAGE!$B$7:$B$1506,0)),"? hors registre"))</f>
        <v/>
      </c>
      <c r="O1260" s="80"/>
      <c r="P1260" s="80"/>
      <c r="Q1260" s="80"/>
      <c r="R1260" s="82"/>
      <c r="S1260" s="82"/>
      <c r="T1260" s="80"/>
      <c r="U1260" s="80"/>
      <c r="V1260" s="82"/>
      <c r="W1260" s="80"/>
      <c r="X1260" s="80"/>
      <c r="Y1260" s="80"/>
      <c r="Z1260" s="80"/>
      <c r="AA1260" s="82"/>
      <c r="AB1260" s="80"/>
      <c r="AC1260" s="80"/>
      <c r="AD1260" s="80"/>
      <c r="AE1260" s="80"/>
      <c r="AF1260" s="82"/>
      <c r="AG1260" s="80"/>
      <c r="AH1260" s="80"/>
      <c r="AI1260" s="82"/>
      <c r="AJ1260" s="79"/>
      <c r="AK1260" s="78" t="str">
        <f aca="false">IF(E1260="","",(X1260&lt;&gt;"")+(AC1260&lt;&gt;"")+(AH1260&lt;&gt;""))</f>
        <v/>
      </c>
      <c r="AL1260" s="81" t="str">
        <f aca="false">IF(AH1260&lt;&gt;"",AH1260,IF(AC1260&lt;&gt;"",AC1260,IF(X1260&lt;&gt;"",X1260,"")))</f>
        <v/>
      </c>
      <c r="AM1260" s="83" t="str">
        <f aca="false">IF(E1260="","",IF(R1260="","À SOUDER",IF(U1260="","VT EN ATTENTE",IF(U1260="R","VT REJETÉ – À REPRENDRE",IF(AL1260="","À RADIOGRAPHIER",IF(AL1260="A","ACCEPTÉ",IF(AL1260="NX","NX – RT À REFAIRE",IF(IF(AK1260=1,Z1260,IF(AK1260=2,AE1260,""))="A","RÉPARÉ – À RADIOGRAPHIER",IF(IF(AK1260=1,Z1260,IF(AK1260=2,AE1260,""))="R","VT REJETÉ – À REPRENDRE",IF(OR(AL1260="CO",AL1260="NT"),"COUPE – À RESOUDER","À RÉPARER"))))))))))</f>
        <v/>
      </c>
      <c r="AN1260" s="81" t="str">
        <f aca="false">IF(AND(ISNUMBER(R1260),OR(AM1260="À RADIOGRAPHIER",AM1260="RÉPARÉ – À RADIOGRAPHIER",AM1260="NX – RT À REFAIRE",AM1260="À RÉPARER",AM1260="COUPE – À RESOUDER",AM1260="VT REJETÉ – À REPRENDRE")),MAX(0,'PROGRAMME RT'!$C$4-R1260),"")</f>
        <v/>
      </c>
      <c r="AO1260" s="78" t="n">
        <f aca="false">IF(AND(OR(AM1260="À RADIOGRAPHIER",AM1260="RÉPARÉ – À RADIOGRAPHIER",AM1260="NX – RT À REFAIRE"),OR('PROGRAMME RT'!$D$5="TOUTES",B1260='PROGRAMME RT'!$D$5)),1,0)</f>
        <v>0</v>
      </c>
      <c r="AP1260" s="78" t="str">
        <f aca="false">IF(AO1260=1,SUM(AO$7:AO1260),"")</f>
        <v/>
      </c>
      <c r="AQ1260" s="78" t="n">
        <f aca="false">IF(AND(OR(X1260="R",X1260="NX",X1260="NT",X1260="CO"),OR('JOINTS DE RÉPARATION'!$D$5="TOUTES",B1260='JOINTS DE RÉPARATION'!$D$5),OR('JOINTS DE RÉPARATION'!$L$4="TOUS",AM1260&lt;&gt;"ACCEPTÉ")),1,0)</f>
        <v>0</v>
      </c>
      <c r="AR1260" s="78" t="str">
        <f aca="false">IF(AQ1260=1,SUM(AQ$7:AQ1260),"")</f>
        <v/>
      </c>
    </row>
    <row r="1261" customFormat="false" ht="15" hidden="false" customHeight="false" outlineLevel="0" collapsed="false">
      <c r="A1261" s="78" t="str">
        <f aca="false">IF(E1261="","",ROW()-6)</f>
        <v/>
      </c>
      <c r="B1261" s="79"/>
      <c r="C1261" s="80"/>
      <c r="D1261" s="80"/>
      <c r="E1261" s="80"/>
      <c r="F1261" s="80"/>
      <c r="G1261" s="80"/>
      <c r="H1261" s="80"/>
      <c r="I1261" s="80"/>
      <c r="J1261" s="80"/>
      <c r="K1261" s="80"/>
      <c r="L1261" s="81" t="str">
        <f aca="false">IF(K1261="","",IFERROR(INDEX(BARDAGE!$C$7:$C$1506,MATCH(K1261,BARDAGE!$B$7:$B$1506,0)),"? hors registre"))</f>
        <v/>
      </c>
      <c r="M1261" s="80"/>
      <c r="N1261" s="81" t="str">
        <f aca="false">IF(M1261="","",IFERROR(INDEX(BARDAGE!$C$7:$C$1506,MATCH(M1261,BARDAGE!$B$7:$B$1506,0)),"? hors registre"))</f>
        <v/>
      </c>
      <c r="O1261" s="80"/>
      <c r="P1261" s="80"/>
      <c r="Q1261" s="80"/>
      <c r="R1261" s="82"/>
      <c r="S1261" s="82"/>
      <c r="T1261" s="80"/>
      <c r="U1261" s="80"/>
      <c r="V1261" s="82"/>
      <c r="W1261" s="80"/>
      <c r="X1261" s="80"/>
      <c r="Y1261" s="80"/>
      <c r="Z1261" s="80"/>
      <c r="AA1261" s="82"/>
      <c r="AB1261" s="80"/>
      <c r="AC1261" s="80"/>
      <c r="AD1261" s="80"/>
      <c r="AE1261" s="80"/>
      <c r="AF1261" s="82"/>
      <c r="AG1261" s="80"/>
      <c r="AH1261" s="80"/>
      <c r="AI1261" s="82"/>
      <c r="AJ1261" s="79"/>
      <c r="AK1261" s="78" t="str">
        <f aca="false">IF(E1261="","",(X1261&lt;&gt;"")+(AC1261&lt;&gt;"")+(AH1261&lt;&gt;""))</f>
        <v/>
      </c>
      <c r="AL1261" s="81" t="str">
        <f aca="false">IF(AH1261&lt;&gt;"",AH1261,IF(AC1261&lt;&gt;"",AC1261,IF(X1261&lt;&gt;"",X1261,"")))</f>
        <v/>
      </c>
      <c r="AM1261" s="83" t="str">
        <f aca="false">IF(E1261="","",IF(R1261="","À SOUDER",IF(U1261="","VT EN ATTENTE",IF(U1261="R","VT REJETÉ – À REPRENDRE",IF(AL1261="","À RADIOGRAPHIER",IF(AL1261="A","ACCEPTÉ",IF(AL1261="NX","NX – RT À REFAIRE",IF(IF(AK1261=1,Z1261,IF(AK1261=2,AE1261,""))="A","RÉPARÉ – À RADIOGRAPHIER",IF(IF(AK1261=1,Z1261,IF(AK1261=2,AE1261,""))="R","VT REJETÉ – À REPRENDRE",IF(OR(AL1261="CO",AL1261="NT"),"COUPE – À RESOUDER","À RÉPARER"))))))))))</f>
        <v/>
      </c>
      <c r="AN1261" s="81" t="str">
        <f aca="false">IF(AND(ISNUMBER(R1261),OR(AM1261="À RADIOGRAPHIER",AM1261="RÉPARÉ – À RADIOGRAPHIER",AM1261="NX – RT À REFAIRE",AM1261="À RÉPARER",AM1261="COUPE – À RESOUDER",AM1261="VT REJETÉ – À REPRENDRE")),MAX(0,'PROGRAMME RT'!$C$4-R1261),"")</f>
        <v/>
      </c>
      <c r="AO1261" s="78" t="n">
        <f aca="false">IF(AND(OR(AM1261="À RADIOGRAPHIER",AM1261="RÉPARÉ – À RADIOGRAPHIER",AM1261="NX – RT À REFAIRE"),OR('PROGRAMME RT'!$D$5="TOUTES",B1261='PROGRAMME RT'!$D$5)),1,0)</f>
        <v>0</v>
      </c>
      <c r="AP1261" s="78" t="str">
        <f aca="false">IF(AO1261=1,SUM(AO$7:AO1261),"")</f>
        <v/>
      </c>
      <c r="AQ1261" s="78" t="n">
        <f aca="false">IF(AND(OR(X1261="R",X1261="NX",X1261="NT",X1261="CO"),OR('JOINTS DE RÉPARATION'!$D$5="TOUTES",B1261='JOINTS DE RÉPARATION'!$D$5),OR('JOINTS DE RÉPARATION'!$L$4="TOUS",AM1261&lt;&gt;"ACCEPTÉ")),1,0)</f>
        <v>0</v>
      </c>
      <c r="AR1261" s="78" t="str">
        <f aca="false">IF(AQ1261=1,SUM(AQ$7:AQ1261),"")</f>
        <v/>
      </c>
    </row>
    <row r="1262" customFormat="false" ht="15" hidden="false" customHeight="false" outlineLevel="0" collapsed="false">
      <c r="A1262" s="78" t="str">
        <f aca="false">IF(E1262="","",ROW()-6)</f>
        <v/>
      </c>
      <c r="B1262" s="79"/>
      <c r="C1262" s="80"/>
      <c r="D1262" s="80"/>
      <c r="E1262" s="80"/>
      <c r="F1262" s="80"/>
      <c r="G1262" s="80"/>
      <c r="H1262" s="80"/>
      <c r="I1262" s="80"/>
      <c r="J1262" s="80"/>
      <c r="K1262" s="80"/>
      <c r="L1262" s="81" t="str">
        <f aca="false">IF(K1262="","",IFERROR(INDEX(BARDAGE!$C$7:$C$1506,MATCH(K1262,BARDAGE!$B$7:$B$1506,0)),"? hors registre"))</f>
        <v/>
      </c>
      <c r="M1262" s="80"/>
      <c r="N1262" s="81" t="str">
        <f aca="false">IF(M1262="","",IFERROR(INDEX(BARDAGE!$C$7:$C$1506,MATCH(M1262,BARDAGE!$B$7:$B$1506,0)),"? hors registre"))</f>
        <v/>
      </c>
      <c r="O1262" s="80"/>
      <c r="P1262" s="80"/>
      <c r="Q1262" s="80"/>
      <c r="R1262" s="82"/>
      <c r="S1262" s="82"/>
      <c r="T1262" s="80"/>
      <c r="U1262" s="80"/>
      <c r="V1262" s="82"/>
      <c r="W1262" s="80"/>
      <c r="X1262" s="80"/>
      <c r="Y1262" s="80"/>
      <c r="Z1262" s="80"/>
      <c r="AA1262" s="82"/>
      <c r="AB1262" s="80"/>
      <c r="AC1262" s="80"/>
      <c r="AD1262" s="80"/>
      <c r="AE1262" s="80"/>
      <c r="AF1262" s="82"/>
      <c r="AG1262" s="80"/>
      <c r="AH1262" s="80"/>
      <c r="AI1262" s="82"/>
      <c r="AJ1262" s="79"/>
      <c r="AK1262" s="78" t="str">
        <f aca="false">IF(E1262="","",(X1262&lt;&gt;"")+(AC1262&lt;&gt;"")+(AH1262&lt;&gt;""))</f>
        <v/>
      </c>
      <c r="AL1262" s="81" t="str">
        <f aca="false">IF(AH1262&lt;&gt;"",AH1262,IF(AC1262&lt;&gt;"",AC1262,IF(X1262&lt;&gt;"",X1262,"")))</f>
        <v/>
      </c>
      <c r="AM1262" s="83" t="str">
        <f aca="false">IF(E1262="","",IF(R1262="","À SOUDER",IF(U1262="","VT EN ATTENTE",IF(U1262="R","VT REJETÉ – À REPRENDRE",IF(AL1262="","À RADIOGRAPHIER",IF(AL1262="A","ACCEPTÉ",IF(AL1262="NX","NX – RT À REFAIRE",IF(IF(AK1262=1,Z1262,IF(AK1262=2,AE1262,""))="A","RÉPARÉ – À RADIOGRAPHIER",IF(IF(AK1262=1,Z1262,IF(AK1262=2,AE1262,""))="R","VT REJETÉ – À REPRENDRE",IF(OR(AL1262="CO",AL1262="NT"),"COUPE – À RESOUDER","À RÉPARER"))))))))))</f>
        <v/>
      </c>
      <c r="AN1262" s="81" t="str">
        <f aca="false">IF(AND(ISNUMBER(R1262),OR(AM1262="À RADIOGRAPHIER",AM1262="RÉPARÉ – À RADIOGRAPHIER",AM1262="NX – RT À REFAIRE",AM1262="À RÉPARER",AM1262="COUPE – À RESOUDER",AM1262="VT REJETÉ – À REPRENDRE")),MAX(0,'PROGRAMME RT'!$C$4-R1262),"")</f>
        <v/>
      </c>
      <c r="AO1262" s="78" t="n">
        <f aca="false">IF(AND(OR(AM1262="À RADIOGRAPHIER",AM1262="RÉPARÉ – À RADIOGRAPHIER",AM1262="NX – RT À REFAIRE"),OR('PROGRAMME RT'!$D$5="TOUTES",B1262='PROGRAMME RT'!$D$5)),1,0)</f>
        <v>0</v>
      </c>
      <c r="AP1262" s="78" t="str">
        <f aca="false">IF(AO1262=1,SUM(AO$7:AO1262),"")</f>
        <v/>
      </c>
      <c r="AQ1262" s="78" t="n">
        <f aca="false">IF(AND(OR(X1262="R",X1262="NX",X1262="NT",X1262="CO"),OR('JOINTS DE RÉPARATION'!$D$5="TOUTES",B1262='JOINTS DE RÉPARATION'!$D$5),OR('JOINTS DE RÉPARATION'!$L$4="TOUS",AM1262&lt;&gt;"ACCEPTÉ")),1,0)</f>
        <v>0</v>
      </c>
      <c r="AR1262" s="78" t="str">
        <f aca="false">IF(AQ1262=1,SUM(AQ$7:AQ1262),"")</f>
        <v/>
      </c>
    </row>
    <row r="1263" customFormat="false" ht="15" hidden="false" customHeight="false" outlineLevel="0" collapsed="false">
      <c r="A1263" s="78" t="str">
        <f aca="false">IF(E1263="","",ROW()-6)</f>
        <v/>
      </c>
      <c r="B1263" s="79"/>
      <c r="C1263" s="80"/>
      <c r="D1263" s="80"/>
      <c r="E1263" s="80"/>
      <c r="F1263" s="80"/>
      <c r="G1263" s="80"/>
      <c r="H1263" s="80"/>
      <c r="I1263" s="80"/>
      <c r="J1263" s="80"/>
      <c r="K1263" s="80"/>
      <c r="L1263" s="81" t="str">
        <f aca="false">IF(K1263="","",IFERROR(INDEX(BARDAGE!$C$7:$C$1506,MATCH(K1263,BARDAGE!$B$7:$B$1506,0)),"? hors registre"))</f>
        <v/>
      </c>
      <c r="M1263" s="80"/>
      <c r="N1263" s="81" t="str">
        <f aca="false">IF(M1263="","",IFERROR(INDEX(BARDAGE!$C$7:$C$1506,MATCH(M1263,BARDAGE!$B$7:$B$1506,0)),"? hors registre"))</f>
        <v/>
      </c>
      <c r="O1263" s="80"/>
      <c r="P1263" s="80"/>
      <c r="Q1263" s="80"/>
      <c r="R1263" s="82"/>
      <c r="S1263" s="82"/>
      <c r="T1263" s="80"/>
      <c r="U1263" s="80"/>
      <c r="V1263" s="82"/>
      <c r="W1263" s="80"/>
      <c r="X1263" s="80"/>
      <c r="Y1263" s="80"/>
      <c r="Z1263" s="80"/>
      <c r="AA1263" s="82"/>
      <c r="AB1263" s="80"/>
      <c r="AC1263" s="80"/>
      <c r="AD1263" s="80"/>
      <c r="AE1263" s="80"/>
      <c r="AF1263" s="82"/>
      <c r="AG1263" s="80"/>
      <c r="AH1263" s="80"/>
      <c r="AI1263" s="82"/>
      <c r="AJ1263" s="79"/>
      <c r="AK1263" s="78" t="str">
        <f aca="false">IF(E1263="","",(X1263&lt;&gt;"")+(AC1263&lt;&gt;"")+(AH1263&lt;&gt;""))</f>
        <v/>
      </c>
      <c r="AL1263" s="81" t="str">
        <f aca="false">IF(AH1263&lt;&gt;"",AH1263,IF(AC1263&lt;&gt;"",AC1263,IF(X1263&lt;&gt;"",X1263,"")))</f>
        <v/>
      </c>
      <c r="AM1263" s="83" t="str">
        <f aca="false">IF(E1263="","",IF(R1263="","À SOUDER",IF(U1263="","VT EN ATTENTE",IF(U1263="R","VT REJETÉ – À REPRENDRE",IF(AL1263="","À RADIOGRAPHIER",IF(AL1263="A","ACCEPTÉ",IF(AL1263="NX","NX – RT À REFAIRE",IF(IF(AK1263=1,Z1263,IF(AK1263=2,AE1263,""))="A","RÉPARÉ – À RADIOGRAPHIER",IF(IF(AK1263=1,Z1263,IF(AK1263=2,AE1263,""))="R","VT REJETÉ – À REPRENDRE",IF(OR(AL1263="CO",AL1263="NT"),"COUPE – À RESOUDER","À RÉPARER"))))))))))</f>
        <v/>
      </c>
      <c r="AN1263" s="81" t="str">
        <f aca="false">IF(AND(ISNUMBER(R1263),OR(AM1263="À RADIOGRAPHIER",AM1263="RÉPARÉ – À RADIOGRAPHIER",AM1263="NX – RT À REFAIRE",AM1263="À RÉPARER",AM1263="COUPE – À RESOUDER",AM1263="VT REJETÉ – À REPRENDRE")),MAX(0,'PROGRAMME RT'!$C$4-R1263),"")</f>
        <v/>
      </c>
      <c r="AO1263" s="78" t="n">
        <f aca="false">IF(AND(OR(AM1263="À RADIOGRAPHIER",AM1263="RÉPARÉ – À RADIOGRAPHIER",AM1263="NX – RT À REFAIRE"),OR('PROGRAMME RT'!$D$5="TOUTES",B1263='PROGRAMME RT'!$D$5)),1,0)</f>
        <v>0</v>
      </c>
      <c r="AP1263" s="78" t="str">
        <f aca="false">IF(AO1263=1,SUM(AO$7:AO1263),"")</f>
        <v/>
      </c>
      <c r="AQ1263" s="78" t="n">
        <f aca="false">IF(AND(OR(X1263="R",X1263="NX",X1263="NT",X1263="CO"),OR('JOINTS DE RÉPARATION'!$D$5="TOUTES",B1263='JOINTS DE RÉPARATION'!$D$5),OR('JOINTS DE RÉPARATION'!$L$4="TOUS",AM1263&lt;&gt;"ACCEPTÉ")),1,0)</f>
        <v>0</v>
      </c>
      <c r="AR1263" s="78" t="str">
        <f aca="false">IF(AQ1263=1,SUM(AQ$7:AQ1263),"")</f>
        <v/>
      </c>
    </row>
    <row r="1264" customFormat="false" ht="15" hidden="false" customHeight="false" outlineLevel="0" collapsed="false">
      <c r="A1264" s="78" t="str">
        <f aca="false">IF(E1264="","",ROW()-6)</f>
        <v/>
      </c>
      <c r="B1264" s="79"/>
      <c r="C1264" s="80"/>
      <c r="D1264" s="80"/>
      <c r="E1264" s="80"/>
      <c r="F1264" s="80"/>
      <c r="G1264" s="80"/>
      <c r="H1264" s="80"/>
      <c r="I1264" s="80"/>
      <c r="J1264" s="80"/>
      <c r="K1264" s="80"/>
      <c r="L1264" s="81" t="str">
        <f aca="false">IF(K1264="","",IFERROR(INDEX(BARDAGE!$C$7:$C$1506,MATCH(K1264,BARDAGE!$B$7:$B$1506,0)),"? hors registre"))</f>
        <v/>
      </c>
      <c r="M1264" s="80"/>
      <c r="N1264" s="81" t="str">
        <f aca="false">IF(M1264="","",IFERROR(INDEX(BARDAGE!$C$7:$C$1506,MATCH(M1264,BARDAGE!$B$7:$B$1506,0)),"? hors registre"))</f>
        <v/>
      </c>
      <c r="O1264" s="80"/>
      <c r="P1264" s="80"/>
      <c r="Q1264" s="80"/>
      <c r="R1264" s="82"/>
      <c r="S1264" s="82"/>
      <c r="T1264" s="80"/>
      <c r="U1264" s="80"/>
      <c r="V1264" s="82"/>
      <c r="W1264" s="80"/>
      <c r="X1264" s="80"/>
      <c r="Y1264" s="80"/>
      <c r="Z1264" s="80"/>
      <c r="AA1264" s="82"/>
      <c r="AB1264" s="80"/>
      <c r="AC1264" s="80"/>
      <c r="AD1264" s="80"/>
      <c r="AE1264" s="80"/>
      <c r="AF1264" s="82"/>
      <c r="AG1264" s="80"/>
      <c r="AH1264" s="80"/>
      <c r="AI1264" s="82"/>
      <c r="AJ1264" s="79"/>
      <c r="AK1264" s="78" t="str">
        <f aca="false">IF(E1264="","",(X1264&lt;&gt;"")+(AC1264&lt;&gt;"")+(AH1264&lt;&gt;""))</f>
        <v/>
      </c>
      <c r="AL1264" s="81" t="str">
        <f aca="false">IF(AH1264&lt;&gt;"",AH1264,IF(AC1264&lt;&gt;"",AC1264,IF(X1264&lt;&gt;"",X1264,"")))</f>
        <v/>
      </c>
      <c r="AM1264" s="83" t="str">
        <f aca="false">IF(E1264="","",IF(R1264="","À SOUDER",IF(U1264="","VT EN ATTENTE",IF(U1264="R","VT REJETÉ – À REPRENDRE",IF(AL1264="","À RADIOGRAPHIER",IF(AL1264="A","ACCEPTÉ",IF(AL1264="NX","NX – RT À REFAIRE",IF(IF(AK1264=1,Z1264,IF(AK1264=2,AE1264,""))="A","RÉPARÉ – À RADIOGRAPHIER",IF(IF(AK1264=1,Z1264,IF(AK1264=2,AE1264,""))="R","VT REJETÉ – À REPRENDRE",IF(OR(AL1264="CO",AL1264="NT"),"COUPE – À RESOUDER","À RÉPARER"))))))))))</f>
        <v/>
      </c>
      <c r="AN1264" s="81" t="str">
        <f aca="false">IF(AND(ISNUMBER(R1264),OR(AM1264="À RADIOGRAPHIER",AM1264="RÉPARÉ – À RADIOGRAPHIER",AM1264="NX – RT À REFAIRE",AM1264="À RÉPARER",AM1264="COUPE – À RESOUDER",AM1264="VT REJETÉ – À REPRENDRE")),MAX(0,'PROGRAMME RT'!$C$4-R1264),"")</f>
        <v/>
      </c>
      <c r="AO1264" s="78" t="n">
        <f aca="false">IF(AND(OR(AM1264="À RADIOGRAPHIER",AM1264="RÉPARÉ – À RADIOGRAPHIER",AM1264="NX – RT À REFAIRE"),OR('PROGRAMME RT'!$D$5="TOUTES",B1264='PROGRAMME RT'!$D$5)),1,0)</f>
        <v>0</v>
      </c>
      <c r="AP1264" s="78" t="str">
        <f aca="false">IF(AO1264=1,SUM(AO$7:AO1264),"")</f>
        <v/>
      </c>
      <c r="AQ1264" s="78" t="n">
        <f aca="false">IF(AND(OR(X1264="R",X1264="NX",X1264="NT",X1264="CO"),OR('JOINTS DE RÉPARATION'!$D$5="TOUTES",B1264='JOINTS DE RÉPARATION'!$D$5),OR('JOINTS DE RÉPARATION'!$L$4="TOUS",AM1264&lt;&gt;"ACCEPTÉ")),1,0)</f>
        <v>0</v>
      </c>
      <c r="AR1264" s="78" t="str">
        <f aca="false">IF(AQ1264=1,SUM(AQ$7:AQ1264),"")</f>
        <v/>
      </c>
    </row>
    <row r="1265" customFormat="false" ht="15" hidden="false" customHeight="false" outlineLevel="0" collapsed="false">
      <c r="A1265" s="78" t="str">
        <f aca="false">IF(E1265="","",ROW()-6)</f>
        <v/>
      </c>
      <c r="B1265" s="79"/>
      <c r="C1265" s="80"/>
      <c r="D1265" s="80"/>
      <c r="E1265" s="80"/>
      <c r="F1265" s="80"/>
      <c r="G1265" s="80"/>
      <c r="H1265" s="80"/>
      <c r="I1265" s="80"/>
      <c r="J1265" s="80"/>
      <c r="K1265" s="80"/>
      <c r="L1265" s="81" t="str">
        <f aca="false">IF(K1265="","",IFERROR(INDEX(BARDAGE!$C$7:$C$1506,MATCH(K1265,BARDAGE!$B$7:$B$1506,0)),"? hors registre"))</f>
        <v/>
      </c>
      <c r="M1265" s="80"/>
      <c r="N1265" s="81" t="str">
        <f aca="false">IF(M1265="","",IFERROR(INDEX(BARDAGE!$C$7:$C$1506,MATCH(M1265,BARDAGE!$B$7:$B$1506,0)),"? hors registre"))</f>
        <v/>
      </c>
      <c r="O1265" s="80"/>
      <c r="P1265" s="80"/>
      <c r="Q1265" s="80"/>
      <c r="R1265" s="82"/>
      <c r="S1265" s="82"/>
      <c r="T1265" s="80"/>
      <c r="U1265" s="80"/>
      <c r="V1265" s="82"/>
      <c r="W1265" s="80"/>
      <c r="X1265" s="80"/>
      <c r="Y1265" s="80"/>
      <c r="Z1265" s="80"/>
      <c r="AA1265" s="82"/>
      <c r="AB1265" s="80"/>
      <c r="AC1265" s="80"/>
      <c r="AD1265" s="80"/>
      <c r="AE1265" s="80"/>
      <c r="AF1265" s="82"/>
      <c r="AG1265" s="80"/>
      <c r="AH1265" s="80"/>
      <c r="AI1265" s="82"/>
      <c r="AJ1265" s="79"/>
      <c r="AK1265" s="78" t="str">
        <f aca="false">IF(E1265="","",(X1265&lt;&gt;"")+(AC1265&lt;&gt;"")+(AH1265&lt;&gt;""))</f>
        <v/>
      </c>
      <c r="AL1265" s="81" t="str">
        <f aca="false">IF(AH1265&lt;&gt;"",AH1265,IF(AC1265&lt;&gt;"",AC1265,IF(X1265&lt;&gt;"",X1265,"")))</f>
        <v/>
      </c>
      <c r="AM1265" s="83" t="str">
        <f aca="false">IF(E1265="","",IF(R1265="","À SOUDER",IF(U1265="","VT EN ATTENTE",IF(U1265="R","VT REJETÉ – À REPRENDRE",IF(AL1265="","À RADIOGRAPHIER",IF(AL1265="A","ACCEPTÉ",IF(AL1265="NX","NX – RT À REFAIRE",IF(IF(AK1265=1,Z1265,IF(AK1265=2,AE1265,""))="A","RÉPARÉ – À RADIOGRAPHIER",IF(IF(AK1265=1,Z1265,IF(AK1265=2,AE1265,""))="R","VT REJETÉ – À REPRENDRE",IF(OR(AL1265="CO",AL1265="NT"),"COUPE – À RESOUDER","À RÉPARER"))))))))))</f>
        <v/>
      </c>
      <c r="AN1265" s="81" t="str">
        <f aca="false">IF(AND(ISNUMBER(R1265),OR(AM1265="À RADIOGRAPHIER",AM1265="RÉPARÉ – À RADIOGRAPHIER",AM1265="NX – RT À REFAIRE",AM1265="À RÉPARER",AM1265="COUPE – À RESOUDER",AM1265="VT REJETÉ – À REPRENDRE")),MAX(0,'PROGRAMME RT'!$C$4-R1265),"")</f>
        <v/>
      </c>
      <c r="AO1265" s="78" t="n">
        <f aca="false">IF(AND(OR(AM1265="À RADIOGRAPHIER",AM1265="RÉPARÉ – À RADIOGRAPHIER",AM1265="NX – RT À REFAIRE"),OR('PROGRAMME RT'!$D$5="TOUTES",B1265='PROGRAMME RT'!$D$5)),1,0)</f>
        <v>0</v>
      </c>
      <c r="AP1265" s="78" t="str">
        <f aca="false">IF(AO1265=1,SUM(AO$7:AO1265),"")</f>
        <v/>
      </c>
      <c r="AQ1265" s="78" t="n">
        <f aca="false">IF(AND(OR(X1265="R",X1265="NX",X1265="NT",X1265="CO"),OR('JOINTS DE RÉPARATION'!$D$5="TOUTES",B1265='JOINTS DE RÉPARATION'!$D$5),OR('JOINTS DE RÉPARATION'!$L$4="TOUS",AM1265&lt;&gt;"ACCEPTÉ")),1,0)</f>
        <v>0</v>
      </c>
      <c r="AR1265" s="78" t="str">
        <f aca="false">IF(AQ1265=1,SUM(AQ$7:AQ1265),"")</f>
        <v/>
      </c>
    </row>
    <row r="1266" customFormat="false" ht="15" hidden="false" customHeight="false" outlineLevel="0" collapsed="false">
      <c r="A1266" s="78" t="str">
        <f aca="false">IF(E1266="","",ROW()-6)</f>
        <v/>
      </c>
      <c r="B1266" s="79"/>
      <c r="C1266" s="80"/>
      <c r="D1266" s="80"/>
      <c r="E1266" s="80"/>
      <c r="F1266" s="80"/>
      <c r="G1266" s="80"/>
      <c r="H1266" s="80"/>
      <c r="I1266" s="80"/>
      <c r="J1266" s="80"/>
      <c r="K1266" s="80"/>
      <c r="L1266" s="81" t="str">
        <f aca="false">IF(K1266="","",IFERROR(INDEX(BARDAGE!$C$7:$C$1506,MATCH(K1266,BARDAGE!$B$7:$B$1506,0)),"? hors registre"))</f>
        <v/>
      </c>
      <c r="M1266" s="80"/>
      <c r="N1266" s="81" t="str">
        <f aca="false">IF(M1266="","",IFERROR(INDEX(BARDAGE!$C$7:$C$1506,MATCH(M1266,BARDAGE!$B$7:$B$1506,0)),"? hors registre"))</f>
        <v/>
      </c>
      <c r="O1266" s="80"/>
      <c r="P1266" s="80"/>
      <c r="Q1266" s="80"/>
      <c r="R1266" s="82"/>
      <c r="S1266" s="82"/>
      <c r="T1266" s="80"/>
      <c r="U1266" s="80"/>
      <c r="V1266" s="82"/>
      <c r="W1266" s="80"/>
      <c r="X1266" s="80"/>
      <c r="Y1266" s="80"/>
      <c r="Z1266" s="80"/>
      <c r="AA1266" s="82"/>
      <c r="AB1266" s="80"/>
      <c r="AC1266" s="80"/>
      <c r="AD1266" s="80"/>
      <c r="AE1266" s="80"/>
      <c r="AF1266" s="82"/>
      <c r="AG1266" s="80"/>
      <c r="AH1266" s="80"/>
      <c r="AI1266" s="82"/>
      <c r="AJ1266" s="79"/>
      <c r="AK1266" s="78" t="str">
        <f aca="false">IF(E1266="","",(X1266&lt;&gt;"")+(AC1266&lt;&gt;"")+(AH1266&lt;&gt;""))</f>
        <v/>
      </c>
      <c r="AL1266" s="81" t="str">
        <f aca="false">IF(AH1266&lt;&gt;"",AH1266,IF(AC1266&lt;&gt;"",AC1266,IF(X1266&lt;&gt;"",X1266,"")))</f>
        <v/>
      </c>
      <c r="AM1266" s="83" t="str">
        <f aca="false">IF(E1266="","",IF(R1266="","À SOUDER",IF(U1266="","VT EN ATTENTE",IF(U1266="R","VT REJETÉ – À REPRENDRE",IF(AL1266="","À RADIOGRAPHIER",IF(AL1266="A","ACCEPTÉ",IF(AL1266="NX","NX – RT À REFAIRE",IF(IF(AK1266=1,Z1266,IF(AK1266=2,AE1266,""))="A","RÉPARÉ – À RADIOGRAPHIER",IF(IF(AK1266=1,Z1266,IF(AK1266=2,AE1266,""))="R","VT REJETÉ – À REPRENDRE",IF(OR(AL1266="CO",AL1266="NT"),"COUPE – À RESOUDER","À RÉPARER"))))))))))</f>
        <v/>
      </c>
      <c r="AN1266" s="81" t="str">
        <f aca="false">IF(AND(ISNUMBER(R1266),OR(AM1266="À RADIOGRAPHIER",AM1266="RÉPARÉ – À RADIOGRAPHIER",AM1266="NX – RT À REFAIRE",AM1266="À RÉPARER",AM1266="COUPE – À RESOUDER",AM1266="VT REJETÉ – À REPRENDRE")),MAX(0,'PROGRAMME RT'!$C$4-R1266),"")</f>
        <v/>
      </c>
      <c r="AO1266" s="78" t="n">
        <f aca="false">IF(AND(OR(AM1266="À RADIOGRAPHIER",AM1266="RÉPARÉ – À RADIOGRAPHIER",AM1266="NX – RT À REFAIRE"),OR('PROGRAMME RT'!$D$5="TOUTES",B1266='PROGRAMME RT'!$D$5)),1,0)</f>
        <v>0</v>
      </c>
      <c r="AP1266" s="78" t="str">
        <f aca="false">IF(AO1266=1,SUM(AO$7:AO1266),"")</f>
        <v/>
      </c>
      <c r="AQ1266" s="78" t="n">
        <f aca="false">IF(AND(OR(X1266="R",X1266="NX",X1266="NT",X1266="CO"),OR('JOINTS DE RÉPARATION'!$D$5="TOUTES",B1266='JOINTS DE RÉPARATION'!$D$5),OR('JOINTS DE RÉPARATION'!$L$4="TOUS",AM1266&lt;&gt;"ACCEPTÉ")),1,0)</f>
        <v>0</v>
      </c>
      <c r="AR1266" s="78" t="str">
        <f aca="false">IF(AQ1266=1,SUM(AQ$7:AQ1266),"")</f>
        <v/>
      </c>
    </row>
    <row r="1267" customFormat="false" ht="15" hidden="false" customHeight="false" outlineLevel="0" collapsed="false">
      <c r="A1267" s="78" t="str">
        <f aca="false">IF(E1267="","",ROW()-6)</f>
        <v/>
      </c>
      <c r="B1267" s="79"/>
      <c r="C1267" s="80"/>
      <c r="D1267" s="80"/>
      <c r="E1267" s="80"/>
      <c r="F1267" s="80"/>
      <c r="G1267" s="80"/>
      <c r="H1267" s="80"/>
      <c r="I1267" s="80"/>
      <c r="J1267" s="80"/>
      <c r="K1267" s="80"/>
      <c r="L1267" s="81" t="str">
        <f aca="false">IF(K1267="","",IFERROR(INDEX(BARDAGE!$C$7:$C$1506,MATCH(K1267,BARDAGE!$B$7:$B$1506,0)),"? hors registre"))</f>
        <v/>
      </c>
      <c r="M1267" s="80"/>
      <c r="N1267" s="81" t="str">
        <f aca="false">IF(M1267="","",IFERROR(INDEX(BARDAGE!$C$7:$C$1506,MATCH(M1267,BARDAGE!$B$7:$B$1506,0)),"? hors registre"))</f>
        <v/>
      </c>
      <c r="O1267" s="80"/>
      <c r="P1267" s="80"/>
      <c r="Q1267" s="80"/>
      <c r="R1267" s="82"/>
      <c r="S1267" s="82"/>
      <c r="T1267" s="80"/>
      <c r="U1267" s="80"/>
      <c r="V1267" s="82"/>
      <c r="W1267" s="80"/>
      <c r="X1267" s="80"/>
      <c r="Y1267" s="80"/>
      <c r="Z1267" s="80"/>
      <c r="AA1267" s="82"/>
      <c r="AB1267" s="80"/>
      <c r="AC1267" s="80"/>
      <c r="AD1267" s="80"/>
      <c r="AE1267" s="80"/>
      <c r="AF1267" s="82"/>
      <c r="AG1267" s="80"/>
      <c r="AH1267" s="80"/>
      <c r="AI1267" s="82"/>
      <c r="AJ1267" s="79"/>
      <c r="AK1267" s="78" t="str">
        <f aca="false">IF(E1267="","",(X1267&lt;&gt;"")+(AC1267&lt;&gt;"")+(AH1267&lt;&gt;""))</f>
        <v/>
      </c>
      <c r="AL1267" s="81" t="str">
        <f aca="false">IF(AH1267&lt;&gt;"",AH1267,IF(AC1267&lt;&gt;"",AC1267,IF(X1267&lt;&gt;"",X1267,"")))</f>
        <v/>
      </c>
      <c r="AM1267" s="83" t="str">
        <f aca="false">IF(E1267="","",IF(R1267="","À SOUDER",IF(U1267="","VT EN ATTENTE",IF(U1267="R","VT REJETÉ – À REPRENDRE",IF(AL1267="","À RADIOGRAPHIER",IF(AL1267="A","ACCEPTÉ",IF(AL1267="NX","NX – RT À REFAIRE",IF(IF(AK1267=1,Z1267,IF(AK1267=2,AE1267,""))="A","RÉPARÉ – À RADIOGRAPHIER",IF(IF(AK1267=1,Z1267,IF(AK1267=2,AE1267,""))="R","VT REJETÉ – À REPRENDRE",IF(OR(AL1267="CO",AL1267="NT"),"COUPE – À RESOUDER","À RÉPARER"))))))))))</f>
        <v/>
      </c>
      <c r="AN1267" s="81" t="str">
        <f aca="false">IF(AND(ISNUMBER(R1267),OR(AM1267="À RADIOGRAPHIER",AM1267="RÉPARÉ – À RADIOGRAPHIER",AM1267="NX – RT À REFAIRE",AM1267="À RÉPARER",AM1267="COUPE – À RESOUDER",AM1267="VT REJETÉ – À REPRENDRE")),MAX(0,'PROGRAMME RT'!$C$4-R1267),"")</f>
        <v/>
      </c>
      <c r="AO1267" s="78" t="n">
        <f aca="false">IF(AND(OR(AM1267="À RADIOGRAPHIER",AM1267="RÉPARÉ – À RADIOGRAPHIER",AM1267="NX – RT À REFAIRE"),OR('PROGRAMME RT'!$D$5="TOUTES",B1267='PROGRAMME RT'!$D$5)),1,0)</f>
        <v>0</v>
      </c>
      <c r="AP1267" s="78" t="str">
        <f aca="false">IF(AO1267=1,SUM(AO$7:AO1267),"")</f>
        <v/>
      </c>
      <c r="AQ1267" s="78" t="n">
        <f aca="false">IF(AND(OR(X1267="R",X1267="NX",X1267="NT",X1267="CO"),OR('JOINTS DE RÉPARATION'!$D$5="TOUTES",B1267='JOINTS DE RÉPARATION'!$D$5),OR('JOINTS DE RÉPARATION'!$L$4="TOUS",AM1267&lt;&gt;"ACCEPTÉ")),1,0)</f>
        <v>0</v>
      </c>
      <c r="AR1267" s="78" t="str">
        <f aca="false">IF(AQ1267=1,SUM(AQ$7:AQ1267),"")</f>
        <v/>
      </c>
    </row>
    <row r="1268" customFormat="false" ht="15" hidden="false" customHeight="false" outlineLevel="0" collapsed="false">
      <c r="A1268" s="78" t="str">
        <f aca="false">IF(E1268="","",ROW()-6)</f>
        <v/>
      </c>
      <c r="B1268" s="79"/>
      <c r="C1268" s="80"/>
      <c r="D1268" s="80"/>
      <c r="E1268" s="80"/>
      <c r="F1268" s="80"/>
      <c r="G1268" s="80"/>
      <c r="H1268" s="80"/>
      <c r="I1268" s="80"/>
      <c r="J1268" s="80"/>
      <c r="K1268" s="80"/>
      <c r="L1268" s="81" t="str">
        <f aca="false">IF(K1268="","",IFERROR(INDEX(BARDAGE!$C$7:$C$1506,MATCH(K1268,BARDAGE!$B$7:$B$1506,0)),"? hors registre"))</f>
        <v/>
      </c>
      <c r="M1268" s="80"/>
      <c r="N1268" s="81" t="str">
        <f aca="false">IF(M1268="","",IFERROR(INDEX(BARDAGE!$C$7:$C$1506,MATCH(M1268,BARDAGE!$B$7:$B$1506,0)),"? hors registre"))</f>
        <v/>
      </c>
      <c r="O1268" s="80"/>
      <c r="P1268" s="80"/>
      <c r="Q1268" s="80"/>
      <c r="R1268" s="82"/>
      <c r="S1268" s="82"/>
      <c r="T1268" s="80"/>
      <c r="U1268" s="80"/>
      <c r="V1268" s="82"/>
      <c r="W1268" s="80"/>
      <c r="X1268" s="80"/>
      <c r="Y1268" s="80"/>
      <c r="Z1268" s="80"/>
      <c r="AA1268" s="82"/>
      <c r="AB1268" s="80"/>
      <c r="AC1268" s="80"/>
      <c r="AD1268" s="80"/>
      <c r="AE1268" s="80"/>
      <c r="AF1268" s="82"/>
      <c r="AG1268" s="80"/>
      <c r="AH1268" s="80"/>
      <c r="AI1268" s="82"/>
      <c r="AJ1268" s="79"/>
      <c r="AK1268" s="78" t="str">
        <f aca="false">IF(E1268="","",(X1268&lt;&gt;"")+(AC1268&lt;&gt;"")+(AH1268&lt;&gt;""))</f>
        <v/>
      </c>
      <c r="AL1268" s="81" t="str">
        <f aca="false">IF(AH1268&lt;&gt;"",AH1268,IF(AC1268&lt;&gt;"",AC1268,IF(X1268&lt;&gt;"",X1268,"")))</f>
        <v/>
      </c>
      <c r="AM1268" s="83" t="str">
        <f aca="false">IF(E1268="","",IF(R1268="","À SOUDER",IF(U1268="","VT EN ATTENTE",IF(U1268="R","VT REJETÉ – À REPRENDRE",IF(AL1268="","À RADIOGRAPHIER",IF(AL1268="A","ACCEPTÉ",IF(AL1268="NX","NX – RT À REFAIRE",IF(IF(AK1268=1,Z1268,IF(AK1268=2,AE1268,""))="A","RÉPARÉ – À RADIOGRAPHIER",IF(IF(AK1268=1,Z1268,IF(AK1268=2,AE1268,""))="R","VT REJETÉ – À REPRENDRE",IF(OR(AL1268="CO",AL1268="NT"),"COUPE – À RESOUDER","À RÉPARER"))))))))))</f>
        <v/>
      </c>
      <c r="AN1268" s="81" t="str">
        <f aca="false">IF(AND(ISNUMBER(R1268),OR(AM1268="À RADIOGRAPHIER",AM1268="RÉPARÉ – À RADIOGRAPHIER",AM1268="NX – RT À REFAIRE",AM1268="À RÉPARER",AM1268="COUPE – À RESOUDER",AM1268="VT REJETÉ – À REPRENDRE")),MAX(0,'PROGRAMME RT'!$C$4-R1268),"")</f>
        <v/>
      </c>
      <c r="AO1268" s="78" t="n">
        <f aca="false">IF(AND(OR(AM1268="À RADIOGRAPHIER",AM1268="RÉPARÉ – À RADIOGRAPHIER",AM1268="NX – RT À REFAIRE"),OR('PROGRAMME RT'!$D$5="TOUTES",B1268='PROGRAMME RT'!$D$5)),1,0)</f>
        <v>0</v>
      </c>
      <c r="AP1268" s="78" t="str">
        <f aca="false">IF(AO1268=1,SUM(AO$7:AO1268),"")</f>
        <v/>
      </c>
      <c r="AQ1268" s="78" t="n">
        <f aca="false">IF(AND(OR(X1268="R",X1268="NX",X1268="NT",X1268="CO"),OR('JOINTS DE RÉPARATION'!$D$5="TOUTES",B1268='JOINTS DE RÉPARATION'!$D$5),OR('JOINTS DE RÉPARATION'!$L$4="TOUS",AM1268&lt;&gt;"ACCEPTÉ")),1,0)</f>
        <v>0</v>
      </c>
      <c r="AR1268" s="78" t="str">
        <f aca="false">IF(AQ1268=1,SUM(AQ$7:AQ1268),"")</f>
        <v/>
      </c>
    </row>
    <row r="1269" customFormat="false" ht="15" hidden="false" customHeight="false" outlineLevel="0" collapsed="false">
      <c r="A1269" s="78" t="str">
        <f aca="false">IF(E1269="","",ROW()-6)</f>
        <v/>
      </c>
      <c r="B1269" s="79"/>
      <c r="C1269" s="80"/>
      <c r="D1269" s="80"/>
      <c r="E1269" s="80"/>
      <c r="F1269" s="80"/>
      <c r="G1269" s="80"/>
      <c r="H1269" s="80"/>
      <c r="I1269" s="80"/>
      <c r="J1269" s="80"/>
      <c r="K1269" s="80"/>
      <c r="L1269" s="81" t="str">
        <f aca="false">IF(K1269="","",IFERROR(INDEX(BARDAGE!$C$7:$C$1506,MATCH(K1269,BARDAGE!$B$7:$B$1506,0)),"? hors registre"))</f>
        <v/>
      </c>
      <c r="M1269" s="80"/>
      <c r="N1269" s="81" t="str">
        <f aca="false">IF(M1269="","",IFERROR(INDEX(BARDAGE!$C$7:$C$1506,MATCH(M1269,BARDAGE!$B$7:$B$1506,0)),"? hors registre"))</f>
        <v/>
      </c>
      <c r="O1269" s="80"/>
      <c r="P1269" s="80"/>
      <c r="Q1269" s="80"/>
      <c r="R1269" s="82"/>
      <c r="S1269" s="82"/>
      <c r="T1269" s="80"/>
      <c r="U1269" s="80"/>
      <c r="V1269" s="82"/>
      <c r="W1269" s="80"/>
      <c r="X1269" s="80"/>
      <c r="Y1269" s="80"/>
      <c r="Z1269" s="80"/>
      <c r="AA1269" s="82"/>
      <c r="AB1269" s="80"/>
      <c r="AC1269" s="80"/>
      <c r="AD1269" s="80"/>
      <c r="AE1269" s="80"/>
      <c r="AF1269" s="82"/>
      <c r="AG1269" s="80"/>
      <c r="AH1269" s="80"/>
      <c r="AI1269" s="82"/>
      <c r="AJ1269" s="79"/>
      <c r="AK1269" s="78" t="str">
        <f aca="false">IF(E1269="","",(X1269&lt;&gt;"")+(AC1269&lt;&gt;"")+(AH1269&lt;&gt;""))</f>
        <v/>
      </c>
      <c r="AL1269" s="81" t="str">
        <f aca="false">IF(AH1269&lt;&gt;"",AH1269,IF(AC1269&lt;&gt;"",AC1269,IF(X1269&lt;&gt;"",X1269,"")))</f>
        <v/>
      </c>
      <c r="AM1269" s="83" t="str">
        <f aca="false">IF(E1269="","",IF(R1269="","À SOUDER",IF(U1269="","VT EN ATTENTE",IF(U1269="R","VT REJETÉ – À REPRENDRE",IF(AL1269="","À RADIOGRAPHIER",IF(AL1269="A","ACCEPTÉ",IF(AL1269="NX","NX – RT À REFAIRE",IF(IF(AK1269=1,Z1269,IF(AK1269=2,AE1269,""))="A","RÉPARÉ – À RADIOGRAPHIER",IF(IF(AK1269=1,Z1269,IF(AK1269=2,AE1269,""))="R","VT REJETÉ – À REPRENDRE",IF(OR(AL1269="CO",AL1269="NT"),"COUPE – À RESOUDER","À RÉPARER"))))))))))</f>
        <v/>
      </c>
      <c r="AN1269" s="81" t="str">
        <f aca="false">IF(AND(ISNUMBER(R1269),OR(AM1269="À RADIOGRAPHIER",AM1269="RÉPARÉ – À RADIOGRAPHIER",AM1269="NX – RT À REFAIRE",AM1269="À RÉPARER",AM1269="COUPE – À RESOUDER",AM1269="VT REJETÉ – À REPRENDRE")),MAX(0,'PROGRAMME RT'!$C$4-R1269),"")</f>
        <v/>
      </c>
      <c r="AO1269" s="78" t="n">
        <f aca="false">IF(AND(OR(AM1269="À RADIOGRAPHIER",AM1269="RÉPARÉ – À RADIOGRAPHIER",AM1269="NX – RT À REFAIRE"),OR('PROGRAMME RT'!$D$5="TOUTES",B1269='PROGRAMME RT'!$D$5)),1,0)</f>
        <v>0</v>
      </c>
      <c r="AP1269" s="78" t="str">
        <f aca="false">IF(AO1269=1,SUM(AO$7:AO1269),"")</f>
        <v/>
      </c>
      <c r="AQ1269" s="78" t="n">
        <f aca="false">IF(AND(OR(X1269="R",X1269="NX",X1269="NT",X1269="CO"),OR('JOINTS DE RÉPARATION'!$D$5="TOUTES",B1269='JOINTS DE RÉPARATION'!$D$5),OR('JOINTS DE RÉPARATION'!$L$4="TOUS",AM1269&lt;&gt;"ACCEPTÉ")),1,0)</f>
        <v>0</v>
      </c>
      <c r="AR1269" s="78" t="str">
        <f aca="false">IF(AQ1269=1,SUM(AQ$7:AQ1269),"")</f>
        <v/>
      </c>
    </row>
    <row r="1270" customFormat="false" ht="15" hidden="false" customHeight="false" outlineLevel="0" collapsed="false">
      <c r="A1270" s="78" t="str">
        <f aca="false">IF(E1270="","",ROW()-6)</f>
        <v/>
      </c>
      <c r="B1270" s="79"/>
      <c r="C1270" s="80"/>
      <c r="D1270" s="80"/>
      <c r="E1270" s="80"/>
      <c r="F1270" s="80"/>
      <c r="G1270" s="80"/>
      <c r="H1270" s="80"/>
      <c r="I1270" s="80"/>
      <c r="J1270" s="80"/>
      <c r="K1270" s="80"/>
      <c r="L1270" s="81" t="str">
        <f aca="false">IF(K1270="","",IFERROR(INDEX(BARDAGE!$C$7:$C$1506,MATCH(K1270,BARDAGE!$B$7:$B$1506,0)),"? hors registre"))</f>
        <v/>
      </c>
      <c r="M1270" s="80"/>
      <c r="N1270" s="81" t="str">
        <f aca="false">IF(M1270="","",IFERROR(INDEX(BARDAGE!$C$7:$C$1506,MATCH(M1270,BARDAGE!$B$7:$B$1506,0)),"? hors registre"))</f>
        <v/>
      </c>
      <c r="O1270" s="80"/>
      <c r="P1270" s="80"/>
      <c r="Q1270" s="80"/>
      <c r="R1270" s="82"/>
      <c r="S1270" s="82"/>
      <c r="T1270" s="80"/>
      <c r="U1270" s="80"/>
      <c r="V1270" s="82"/>
      <c r="W1270" s="80"/>
      <c r="X1270" s="80"/>
      <c r="Y1270" s="80"/>
      <c r="Z1270" s="80"/>
      <c r="AA1270" s="82"/>
      <c r="AB1270" s="80"/>
      <c r="AC1270" s="80"/>
      <c r="AD1270" s="80"/>
      <c r="AE1270" s="80"/>
      <c r="AF1270" s="82"/>
      <c r="AG1270" s="80"/>
      <c r="AH1270" s="80"/>
      <c r="AI1270" s="82"/>
      <c r="AJ1270" s="79"/>
      <c r="AK1270" s="78" t="str">
        <f aca="false">IF(E1270="","",(X1270&lt;&gt;"")+(AC1270&lt;&gt;"")+(AH1270&lt;&gt;""))</f>
        <v/>
      </c>
      <c r="AL1270" s="81" t="str">
        <f aca="false">IF(AH1270&lt;&gt;"",AH1270,IF(AC1270&lt;&gt;"",AC1270,IF(X1270&lt;&gt;"",X1270,"")))</f>
        <v/>
      </c>
      <c r="AM1270" s="83" t="str">
        <f aca="false">IF(E1270="","",IF(R1270="","À SOUDER",IF(U1270="","VT EN ATTENTE",IF(U1270="R","VT REJETÉ – À REPRENDRE",IF(AL1270="","À RADIOGRAPHIER",IF(AL1270="A","ACCEPTÉ",IF(AL1270="NX","NX – RT À REFAIRE",IF(IF(AK1270=1,Z1270,IF(AK1270=2,AE1270,""))="A","RÉPARÉ – À RADIOGRAPHIER",IF(IF(AK1270=1,Z1270,IF(AK1270=2,AE1270,""))="R","VT REJETÉ – À REPRENDRE",IF(OR(AL1270="CO",AL1270="NT"),"COUPE – À RESOUDER","À RÉPARER"))))))))))</f>
        <v/>
      </c>
      <c r="AN1270" s="81" t="str">
        <f aca="false">IF(AND(ISNUMBER(R1270),OR(AM1270="À RADIOGRAPHIER",AM1270="RÉPARÉ – À RADIOGRAPHIER",AM1270="NX – RT À REFAIRE",AM1270="À RÉPARER",AM1270="COUPE – À RESOUDER",AM1270="VT REJETÉ – À REPRENDRE")),MAX(0,'PROGRAMME RT'!$C$4-R1270),"")</f>
        <v/>
      </c>
      <c r="AO1270" s="78" t="n">
        <f aca="false">IF(AND(OR(AM1270="À RADIOGRAPHIER",AM1270="RÉPARÉ – À RADIOGRAPHIER",AM1270="NX – RT À REFAIRE"),OR('PROGRAMME RT'!$D$5="TOUTES",B1270='PROGRAMME RT'!$D$5)),1,0)</f>
        <v>0</v>
      </c>
      <c r="AP1270" s="78" t="str">
        <f aca="false">IF(AO1270=1,SUM(AO$7:AO1270),"")</f>
        <v/>
      </c>
      <c r="AQ1270" s="78" t="n">
        <f aca="false">IF(AND(OR(X1270="R",X1270="NX",X1270="NT",X1270="CO"),OR('JOINTS DE RÉPARATION'!$D$5="TOUTES",B1270='JOINTS DE RÉPARATION'!$D$5),OR('JOINTS DE RÉPARATION'!$L$4="TOUS",AM1270&lt;&gt;"ACCEPTÉ")),1,0)</f>
        <v>0</v>
      </c>
      <c r="AR1270" s="78" t="str">
        <f aca="false">IF(AQ1270=1,SUM(AQ$7:AQ1270),"")</f>
        <v/>
      </c>
    </row>
    <row r="1271" customFormat="false" ht="15" hidden="false" customHeight="false" outlineLevel="0" collapsed="false">
      <c r="A1271" s="78" t="str">
        <f aca="false">IF(E1271="","",ROW()-6)</f>
        <v/>
      </c>
      <c r="B1271" s="79"/>
      <c r="C1271" s="80"/>
      <c r="D1271" s="80"/>
      <c r="E1271" s="80"/>
      <c r="F1271" s="80"/>
      <c r="G1271" s="80"/>
      <c r="H1271" s="80"/>
      <c r="I1271" s="80"/>
      <c r="J1271" s="80"/>
      <c r="K1271" s="80"/>
      <c r="L1271" s="81" t="str">
        <f aca="false">IF(K1271="","",IFERROR(INDEX(BARDAGE!$C$7:$C$1506,MATCH(K1271,BARDAGE!$B$7:$B$1506,0)),"? hors registre"))</f>
        <v/>
      </c>
      <c r="M1271" s="80"/>
      <c r="N1271" s="81" t="str">
        <f aca="false">IF(M1271="","",IFERROR(INDEX(BARDAGE!$C$7:$C$1506,MATCH(M1271,BARDAGE!$B$7:$B$1506,0)),"? hors registre"))</f>
        <v/>
      </c>
      <c r="O1271" s="80"/>
      <c r="P1271" s="80"/>
      <c r="Q1271" s="80"/>
      <c r="R1271" s="82"/>
      <c r="S1271" s="82"/>
      <c r="T1271" s="80"/>
      <c r="U1271" s="80"/>
      <c r="V1271" s="82"/>
      <c r="W1271" s="80"/>
      <c r="X1271" s="80"/>
      <c r="Y1271" s="80"/>
      <c r="Z1271" s="80"/>
      <c r="AA1271" s="82"/>
      <c r="AB1271" s="80"/>
      <c r="AC1271" s="80"/>
      <c r="AD1271" s="80"/>
      <c r="AE1271" s="80"/>
      <c r="AF1271" s="82"/>
      <c r="AG1271" s="80"/>
      <c r="AH1271" s="80"/>
      <c r="AI1271" s="82"/>
      <c r="AJ1271" s="79"/>
      <c r="AK1271" s="78" t="str">
        <f aca="false">IF(E1271="","",(X1271&lt;&gt;"")+(AC1271&lt;&gt;"")+(AH1271&lt;&gt;""))</f>
        <v/>
      </c>
      <c r="AL1271" s="81" t="str">
        <f aca="false">IF(AH1271&lt;&gt;"",AH1271,IF(AC1271&lt;&gt;"",AC1271,IF(X1271&lt;&gt;"",X1271,"")))</f>
        <v/>
      </c>
      <c r="AM1271" s="83" t="str">
        <f aca="false">IF(E1271="","",IF(R1271="","À SOUDER",IF(U1271="","VT EN ATTENTE",IF(U1271="R","VT REJETÉ – À REPRENDRE",IF(AL1271="","À RADIOGRAPHIER",IF(AL1271="A","ACCEPTÉ",IF(AL1271="NX","NX – RT À REFAIRE",IF(IF(AK1271=1,Z1271,IF(AK1271=2,AE1271,""))="A","RÉPARÉ – À RADIOGRAPHIER",IF(IF(AK1271=1,Z1271,IF(AK1271=2,AE1271,""))="R","VT REJETÉ – À REPRENDRE",IF(OR(AL1271="CO",AL1271="NT"),"COUPE – À RESOUDER","À RÉPARER"))))))))))</f>
        <v/>
      </c>
      <c r="AN1271" s="81" t="str">
        <f aca="false">IF(AND(ISNUMBER(R1271),OR(AM1271="À RADIOGRAPHIER",AM1271="RÉPARÉ – À RADIOGRAPHIER",AM1271="NX – RT À REFAIRE",AM1271="À RÉPARER",AM1271="COUPE – À RESOUDER",AM1271="VT REJETÉ – À REPRENDRE")),MAX(0,'PROGRAMME RT'!$C$4-R1271),"")</f>
        <v/>
      </c>
      <c r="AO1271" s="78" t="n">
        <f aca="false">IF(AND(OR(AM1271="À RADIOGRAPHIER",AM1271="RÉPARÉ – À RADIOGRAPHIER",AM1271="NX – RT À REFAIRE"),OR('PROGRAMME RT'!$D$5="TOUTES",B1271='PROGRAMME RT'!$D$5)),1,0)</f>
        <v>0</v>
      </c>
      <c r="AP1271" s="78" t="str">
        <f aca="false">IF(AO1271=1,SUM(AO$7:AO1271),"")</f>
        <v/>
      </c>
      <c r="AQ1271" s="78" t="n">
        <f aca="false">IF(AND(OR(X1271="R",X1271="NX",X1271="NT",X1271="CO"),OR('JOINTS DE RÉPARATION'!$D$5="TOUTES",B1271='JOINTS DE RÉPARATION'!$D$5),OR('JOINTS DE RÉPARATION'!$L$4="TOUS",AM1271&lt;&gt;"ACCEPTÉ")),1,0)</f>
        <v>0</v>
      </c>
      <c r="AR1271" s="78" t="str">
        <f aca="false">IF(AQ1271=1,SUM(AQ$7:AQ1271),"")</f>
        <v/>
      </c>
    </row>
    <row r="1272" customFormat="false" ht="15" hidden="false" customHeight="false" outlineLevel="0" collapsed="false">
      <c r="A1272" s="78" t="str">
        <f aca="false">IF(E1272="","",ROW()-6)</f>
        <v/>
      </c>
      <c r="B1272" s="79"/>
      <c r="C1272" s="80"/>
      <c r="D1272" s="80"/>
      <c r="E1272" s="80"/>
      <c r="F1272" s="80"/>
      <c r="G1272" s="80"/>
      <c r="H1272" s="80"/>
      <c r="I1272" s="80"/>
      <c r="J1272" s="80"/>
      <c r="K1272" s="80"/>
      <c r="L1272" s="81" t="str">
        <f aca="false">IF(K1272="","",IFERROR(INDEX(BARDAGE!$C$7:$C$1506,MATCH(K1272,BARDAGE!$B$7:$B$1506,0)),"? hors registre"))</f>
        <v/>
      </c>
      <c r="M1272" s="80"/>
      <c r="N1272" s="81" t="str">
        <f aca="false">IF(M1272="","",IFERROR(INDEX(BARDAGE!$C$7:$C$1506,MATCH(M1272,BARDAGE!$B$7:$B$1506,0)),"? hors registre"))</f>
        <v/>
      </c>
      <c r="O1272" s="80"/>
      <c r="P1272" s="80"/>
      <c r="Q1272" s="80"/>
      <c r="R1272" s="82"/>
      <c r="S1272" s="82"/>
      <c r="T1272" s="80"/>
      <c r="U1272" s="80"/>
      <c r="V1272" s="82"/>
      <c r="W1272" s="80"/>
      <c r="X1272" s="80"/>
      <c r="Y1272" s="80"/>
      <c r="Z1272" s="80"/>
      <c r="AA1272" s="82"/>
      <c r="AB1272" s="80"/>
      <c r="AC1272" s="80"/>
      <c r="AD1272" s="80"/>
      <c r="AE1272" s="80"/>
      <c r="AF1272" s="82"/>
      <c r="AG1272" s="80"/>
      <c r="AH1272" s="80"/>
      <c r="AI1272" s="82"/>
      <c r="AJ1272" s="79"/>
      <c r="AK1272" s="78" t="str">
        <f aca="false">IF(E1272="","",(X1272&lt;&gt;"")+(AC1272&lt;&gt;"")+(AH1272&lt;&gt;""))</f>
        <v/>
      </c>
      <c r="AL1272" s="81" t="str">
        <f aca="false">IF(AH1272&lt;&gt;"",AH1272,IF(AC1272&lt;&gt;"",AC1272,IF(X1272&lt;&gt;"",X1272,"")))</f>
        <v/>
      </c>
      <c r="AM1272" s="83" t="str">
        <f aca="false">IF(E1272="","",IF(R1272="","À SOUDER",IF(U1272="","VT EN ATTENTE",IF(U1272="R","VT REJETÉ – À REPRENDRE",IF(AL1272="","À RADIOGRAPHIER",IF(AL1272="A","ACCEPTÉ",IF(AL1272="NX","NX – RT À REFAIRE",IF(IF(AK1272=1,Z1272,IF(AK1272=2,AE1272,""))="A","RÉPARÉ – À RADIOGRAPHIER",IF(IF(AK1272=1,Z1272,IF(AK1272=2,AE1272,""))="R","VT REJETÉ – À REPRENDRE",IF(OR(AL1272="CO",AL1272="NT"),"COUPE – À RESOUDER","À RÉPARER"))))))))))</f>
        <v/>
      </c>
      <c r="AN1272" s="81" t="str">
        <f aca="false">IF(AND(ISNUMBER(R1272),OR(AM1272="À RADIOGRAPHIER",AM1272="RÉPARÉ – À RADIOGRAPHIER",AM1272="NX – RT À REFAIRE",AM1272="À RÉPARER",AM1272="COUPE – À RESOUDER",AM1272="VT REJETÉ – À REPRENDRE")),MAX(0,'PROGRAMME RT'!$C$4-R1272),"")</f>
        <v/>
      </c>
      <c r="AO1272" s="78" t="n">
        <f aca="false">IF(AND(OR(AM1272="À RADIOGRAPHIER",AM1272="RÉPARÉ – À RADIOGRAPHIER",AM1272="NX – RT À REFAIRE"),OR('PROGRAMME RT'!$D$5="TOUTES",B1272='PROGRAMME RT'!$D$5)),1,0)</f>
        <v>0</v>
      </c>
      <c r="AP1272" s="78" t="str">
        <f aca="false">IF(AO1272=1,SUM(AO$7:AO1272),"")</f>
        <v/>
      </c>
      <c r="AQ1272" s="78" t="n">
        <f aca="false">IF(AND(OR(X1272="R",X1272="NX",X1272="NT",X1272="CO"),OR('JOINTS DE RÉPARATION'!$D$5="TOUTES",B1272='JOINTS DE RÉPARATION'!$D$5),OR('JOINTS DE RÉPARATION'!$L$4="TOUS",AM1272&lt;&gt;"ACCEPTÉ")),1,0)</f>
        <v>0</v>
      </c>
      <c r="AR1272" s="78" t="str">
        <f aca="false">IF(AQ1272=1,SUM(AQ$7:AQ1272),"")</f>
        <v/>
      </c>
    </row>
    <row r="1273" customFormat="false" ht="15" hidden="false" customHeight="false" outlineLevel="0" collapsed="false">
      <c r="A1273" s="78" t="str">
        <f aca="false">IF(E1273="","",ROW()-6)</f>
        <v/>
      </c>
      <c r="B1273" s="79"/>
      <c r="C1273" s="80"/>
      <c r="D1273" s="80"/>
      <c r="E1273" s="80"/>
      <c r="F1273" s="80"/>
      <c r="G1273" s="80"/>
      <c r="H1273" s="80"/>
      <c r="I1273" s="80"/>
      <c r="J1273" s="80"/>
      <c r="K1273" s="80"/>
      <c r="L1273" s="81" t="str">
        <f aca="false">IF(K1273="","",IFERROR(INDEX(BARDAGE!$C$7:$C$1506,MATCH(K1273,BARDAGE!$B$7:$B$1506,0)),"? hors registre"))</f>
        <v/>
      </c>
      <c r="M1273" s="80"/>
      <c r="N1273" s="81" t="str">
        <f aca="false">IF(M1273="","",IFERROR(INDEX(BARDAGE!$C$7:$C$1506,MATCH(M1273,BARDAGE!$B$7:$B$1506,0)),"? hors registre"))</f>
        <v/>
      </c>
      <c r="O1273" s="80"/>
      <c r="P1273" s="80"/>
      <c r="Q1273" s="80"/>
      <c r="R1273" s="82"/>
      <c r="S1273" s="82"/>
      <c r="T1273" s="80"/>
      <c r="U1273" s="80"/>
      <c r="V1273" s="82"/>
      <c r="W1273" s="80"/>
      <c r="X1273" s="80"/>
      <c r="Y1273" s="80"/>
      <c r="Z1273" s="80"/>
      <c r="AA1273" s="82"/>
      <c r="AB1273" s="80"/>
      <c r="AC1273" s="80"/>
      <c r="AD1273" s="80"/>
      <c r="AE1273" s="80"/>
      <c r="AF1273" s="82"/>
      <c r="AG1273" s="80"/>
      <c r="AH1273" s="80"/>
      <c r="AI1273" s="82"/>
      <c r="AJ1273" s="79"/>
      <c r="AK1273" s="78" t="str">
        <f aca="false">IF(E1273="","",(X1273&lt;&gt;"")+(AC1273&lt;&gt;"")+(AH1273&lt;&gt;""))</f>
        <v/>
      </c>
      <c r="AL1273" s="81" t="str">
        <f aca="false">IF(AH1273&lt;&gt;"",AH1273,IF(AC1273&lt;&gt;"",AC1273,IF(X1273&lt;&gt;"",X1273,"")))</f>
        <v/>
      </c>
      <c r="AM1273" s="83" t="str">
        <f aca="false">IF(E1273="","",IF(R1273="","À SOUDER",IF(U1273="","VT EN ATTENTE",IF(U1273="R","VT REJETÉ – À REPRENDRE",IF(AL1273="","À RADIOGRAPHIER",IF(AL1273="A","ACCEPTÉ",IF(AL1273="NX","NX – RT À REFAIRE",IF(IF(AK1273=1,Z1273,IF(AK1273=2,AE1273,""))="A","RÉPARÉ – À RADIOGRAPHIER",IF(IF(AK1273=1,Z1273,IF(AK1273=2,AE1273,""))="R","VT REJETÉ – À REPRENDRE",IF(OR(AL1273="CO",AL1273="NT"),"COUPE – À RESOUDER","À RÉPARER"))))))))))</f>
        <v/>
      </c>
      <c r="AN1273" s="81" t="str">
        <f aca="false">IF(AND(ISNUMBER(R1273),OR(AM1273="À RADIOGRAPHIER",AM1273="RÉPARÉ – À RADIOGRAPHIER",AM1273="NX – RT À REFAIRE",AM1273="À RÉPARER",AM1273="COUPE – À RESOUDER",AM1273="VT REJETÉ – À REPRENDRE")),MAX(0,'PROGRAMME RT'!$C$4-R1273),"")</f>
        <v/>
      </c>
      <c r="AO1273" s="78" t="n">
        <f aca="false">IF(AND(OR(AM1273="À RADIOGRAPHIER",AM1273="RÉPARÉ – À RADIOGRAPHIER",AM1273="NX – RT À REFAIRE"),OR('PROGRAMME RT'!$D$5="TOUTES",B1273='PROGRAMME RT'!$D$5)),1,0)</f>
        <v>0</v>
      </c>
      <c r="AP1273" s="78" t="str">
        <f aca="false">IF(AO1273=1,SUM(AO$7:AO1273),"")</f>
        <v/>
      </c>
      <c r="AQ1273" s="78" t="n">
        <f aca="false">IF(AND(OR(X1273="R",X1273="NX",X1273="NT",X1273="CO"),OR('JOINTS DE RÉPARATION'!$D$5="TOUTES",B1273='JOINTS DE RÉPARATION'!$D$5),OR('JOINTS DE RÉPARATION'!$L$4="TOUS",AM1273&lt;&gt;"ACCEPTÉ")),1,0)</f>
        <v>0</v>
      </c>
      <c r="AR1273" s="78" t="str">
        <f aca="false">IF(AQ1273=1,SUM(AQ$7:AQ1273),"")</f>
        <v/>
      </c>
    </row>
    <row r="1274" customFormat="false" ht="15" hidden="false" customHeight="false" outlineLevel="0" collapsed="false">
      <c r="A1274" s="78" t="str">
        <f aca="false">IF(E1274="","",ROW()-6)</f>
        <v/>
      </c>
      <c r="B1274" s="79"/>
      <c r="C1274" s="80"/>
      <c r="D1274" s="80"/>
      <c r="E1274" s="80"/>
      <c r="F1274" s="80"/>
      <c r="G1274" s="80"/>
      <c r="H1274" s="80"/>
      <c r="I1274" s="80"/>
      <c r="J1274" s="80"/>
      <c r="K1274" s="80"/>
      <c r="L1274" s="81" t="str">
        <f aca="false">IF(K1274="","",IFERROR(INDEX(BARDAGE!$C$7:$C$1506,MATCH(K1274,BARDAGE!$B$7:$B$1506,0)),"? hors registre"))</f>
        <v/>
      </c>
      <c r="M1274" s="80"/>
      <c r="N1274" s="81" t="str">
        <f aca="false">IF(M1274="","",IFERROR(INDEX(BARDAGE!$C$7:$C$1506,MATCH(M1274,BARDAGE!$B$7:$B$1506,0)),"? hors registre"))</f>
        <v/>
      </c>
      <c r="O1274" s="80"/>
      <c r="P1274" s="80"/>
      <c r="Q1274" s="80"/>
      <c r="R1274" s="82"/>
      <c r="S1274" s="82"/>
      <c r="T1274" s="80"/>
      <c r="U1274" s="80"/>
      <c r="V1274" s="82"/>
      <c r="W1274" s="80"/>
      <c r="X1274" s="80"/>
      <c r="Y1274" s="80"/>
      <c r="Z1274" s="80"/>
      <c r="AA1274" s="82"/>
      <c r="AB1274" s="80"/>
      <c r="AC1274" s="80"/>
      <c r="AD1274" s="80"/>
      <c r="AE1274" s="80"/>
      <c r="AF1274" s="82"/>
      <c r="AG1274" s="80"/>
      <c r="AH1274" s="80"/>
      <c r="AI1274" s="82"/>
      <c r="AJ1274" s="79"/>
      <c r="AK1274" s="78" t="str">
        <f aca="false">IF(E1274="","",(X1274&lt;&gt;"")+(AC1274&lt;&gt;"")+(AH1274&lt;&gt;""))</f>
        <v/>
      </c>
      <c r="AL1274" s="81" t="str">
        <f aca="false">IF(AH1274&lt;&gt;"",AH1274,IF(AC1274&lt;&gt;"",AC1274,IF(X1274&lt;&gt;"",X1274,"")))</f>
        <v/>
      </c>
      <c r="AM1274" s="83" t="str">
        <f aca="false">IF(E1274="","",IF(R1274="","À SOUDER",IF(U1274="","VT EN ATTENTE",IF(U1274="R","VT REJETÉ – À REPRENDRE",IF(AL1274="","À RADIOGRAPHIER",IF(AL1274="A","ACCEPTÉ",IF(AL1274="NX","NX – RT À REFAIRE",IF(IF(AK1274=1,Z1274,IF(AK1274=2,AE1274,""))="A","RÉPARÉ – À RADIOGRAPHIER",IF(IF(AK1274=1,Z1274,IF(AK1274=2,AE1274,""))="R","VT REJETÉ – À REPRENDRE",IF(OR(AL1274="CO",AL1274="NT"),"COUPE – À RESOUDER","À RÉPARER"))))))))))</f>
        <v/>
      </c>
      <c r="AN1274" s="81" t="str">
        <f aca="false">IF(AND(ISNUMBER(R1274),OR(AM1274="À RADIOGRAPHIER",AM1274="RÉPARÉ – À RADIOGRAPHIER",AM1274="NX – RT À REFAIRE",AM1274="À RÉPARER",AM1274="COUPE – À RESOUDER",AM1274="VT REJETÉ – À REPRENDRE")),MAX(0,'PROGRAMME RT'!$C$4-R1274),"")</f>
        <v/>
      </c>
      <c r="AO1274" s="78" t="n">
        <f aca="false">IF(AND(OR(AM1274="À RADIOGRAPHIER",AM1274="RÉPARÉ – À RADIOGRAPHIER",AM1274="NX – RT À REFAIRE"),OR('PROGRAMME RT'!$D$5="TOUTES",B1274='PROGRAMME RT'!$D$5)),1,0)</f>
        <v>0</v>
      </c>
      <c r="AP1274" s="78" t="str">
        <f aca="false">IF(AO1274=1,SUM(AO$7:AO1274),"")</f>
        <v/>
      </c>
      <c r="AQ1274" s="78" t="n">
        <f aca="false">IF(AND(OR(X1274="R",X1274="NX",X1274="NT",X1274="CO"),OR('JOINTS DE RÉPARATION'!$D$5="TOUTES",B1274='JOINTS DE RÉPARATION'!$D$5),OR('JOINTS DE RÉPARATION'!$L$4="TOUS",AM1274&lt;&gt;"ACCEPTÉ")),1,0)</f>
        <v>0</v>
      </c>
      <c r="AR1274" s="78" t="str">
        <f aca="false">IF(AQ1274=1,SUM(AQ$7:AQ1274),"")</f>
        <v/>
      </c>
    </row>
    <row r="1275" customFormat="false" ht="15" hidden="false" customHeight="false" outlineLevel="0" collapsed="false">
      <c r="A1275" s="78" t="str">
        <f aca="false">IF(E1275="","",ROW()-6)</f>
        <v/>
      </c>
      <c r="B1275" s="79"/>
      <c r="C1275" s="80"/>
      <c r="D1275" s="80"/>
      <c r="E1275" s="80"/>
      <c r="F1275" s="80"/>
      <c r="G1275" s="80"/>
      <c r="H1275" s="80"/>
      <c r="I1275" s="80"/>
      <c r="J1275" s="80"/>
      <c r="K1275" s="80"/>
      <c r="L1275" s="81" t="str">
        <f aca="false">IF(K1275="","",IFERROR(INDEX(BARDAGE!$C$7:$C$1506,MATCH(K1275,BARDAGE!$B$7:$B$1506,0)),"? hors registre"))</f>
        <v/>
      </c>
      <c r="M1275" s="80"/>
      <c r="N1275" s="81" t="str">
        <f aca="false">IF(M1275="","",IFERROR(INDEX(BARDAGE!$C$7:$C$1506,MATCH(M1275,BARDAGE!$B$7:$B$1506,0)),"? hors registre"))</f>
        <v/>
      </c>
      <c r="O1275" s="80"/>
      <c r="P1275" s="80"/>
      <c r="Q1275" s="80"/>
      <c r="R1275" s="82"/>
      <c r="S1275" s="82"/>
      <c r="T1275" s="80"/>
      <c r="U1275" s="80"/>
      <c r="V1275" s="82"/>
      <c r="W1275" s="80"/>
      <c r="X1275" s="80"/>
      <c r="Y1275" s="80"/>
      <c r="Z1275" s="80"/>
      <c r="AA1275" s="82"/>
      <c r="AB1275" s="80"/>
      <c r="AC1275" s="80"/>
      <c r="AD1275" s="80"/>
      <c r="AE1275" s="80"/>
      <c r="AF1275" s="82"/>
      <c r="AG1275" s="80"/>
      <c r="AH1275" s="80"/>
      <c r="AI1275" s="82"/>
      <c r="AJ1275" s="79"/>
      <c r="AK1275" s="78" t="str">
        <f aca="false">IF(E1275="","",(X1275&lt;&gt;"")+(AC1275&lt;&gt;"")+(AH1275&lt;&gt;""))</f>
        <v/>
      </c>
      <c r="AL1275" s="81" t="str">
        <f aca="false">IF(AH1275&lt;&gt;"",AH1275,IF(AC1275&lt;&gt;"",AC1275,IF(X1275&lt;&gt;"",X1275,"")))</f>
        <v/>
      </c>
      <c r="AM1275" s="83" t="str">
        <f aca="false">IF(E1275="","",IF(R1275="","À SOUDER",IF(U1275="","VT EN ATTENTE",IF(U1275="R","VT REJETÉ – À REPRENDRE",IF(AL1275="","À RADIOGRAPHIER",IF(AL1275="A","ACCEPTÉ",IF(AL1275="NX","NX – RT À REFAIRE",IF(IF(AK1275=1,Z1275,IF(AK1275=2,AE1275,""))="A","RÉPARÉ – À RADIOGRAPHIER",IF(IF(AK1275=1,Z1275,IF(AK1275=2,AE1275,""))="R","VT REJETÉ – À REPRENDRE",IF(OR(AL1275="CO",AL1275="NT"),"COUPE – À RESOUDER","À RÉPARER"))))))))))</f>
        <v/>
      </c>
      <c r="AN1275" s="81" t="str">
        <f aca="false">IF(AND(ISNUMBER(R1275),OR(AM1275="À RADIOGRAPHIER",AM1275="RÉPARÉ – À RADIOGRAPHIER",AM1275="NX – RT À REFAIRE",AM1275="À RÉPARER",AM1275="COUPE – À RESOUDER",AM1275="VT REJETÉ – À REPRENDRE")),MAX(0,'PROGRAMME RT'!$C$4-R1275),"")</f>
        <v/>
      </c>
      <c r="AO1275" s="78" t="n">
        <f aca="false">IF(AND(OR(AM1275="À RADIOGRAPHIER",AM1275="RÉPARÉ – À RADIOGRAPHIER",AM1275="NX – RT À REFAIRE"),OR('PROGRAMME RT'!$D$5="TOUTES",B1275='PROGRAMME RT'!$D$5)),1,0)</f>
        <v>0</v>
      </c>
      <c r="AP1275" s="78" t="str">
        <f aca="false">IF(AO1275=1,SUM(AO$7:AO1275),"")</f>
        <v/>
      </c>
      <c r="AQ1275" s="78" t="n">
        <f aca="false">IF(AND(OR(X1275="R",X1275="NX",X1275="NT",X1275="CO"),OR('JOINTS DE RÉPARATION'!$D$5="TOUTES",B1275='JOINTS DE RÉPARATION'!$D$5),OR('JOINTS DE RÉPARATION'!$L$4="TOUS",AM1275&lt;&gt;"ACCEPTÉ")),1,0)</f>
        <v>0</v>
      </c>
      <c r="AR1275" s="78" t="str">
        <f aca="false">IF(AQ1275=1,SUM(AQ$7:AQ1275),"")</f>
        <v/>
      </c>
    </row>
    <row r="1276" customFormat="false" ht="15" hidden="false" customHeight="false" outlineLevel="0" collapsed="false">
      <c r="A1276" s="78" t="str">
        <f aca="false">IF(E1276="","",ROW()-6)</f>
        <v/>
      </c>
      <c r="B1276" s="79"/>
      <c r="C1276" s="80"/>
      <c r="D1276" s="80"/>
      <c r="E1276" s="80"/>
      <c r="F1276" s="80"/>
      <c r="G1276" s="80"/>
      <c r="H1276" s="80"/>
      <c r="I1276" s="80"/>
      <c r="J1276" s="80"/>
      <c r="K1276" s="80"/>
      <c r="L1276" s="81" t="str">
        <f aca="false">IF(K1276="","",IFERROR(INDEX(BARDAGE!$C$7:$C$1506,MATCH(K1276,BARDAGE!$B$7:$B$1506,0)),"? hors registre"))</f>
        <v/>
      </c>
      <c r="M1276" s="80"/>
      <c r="N1276" s="81" t="str">
        <f aca="false">IF(M1276="","",IFERROR(INDEX(BARDAGE!$C$7:$C$1506,MATCH(M1276,BARDAGE!$B$7:$B$1506,0)),"? hors registre"))</f>
        <v/>
      </c>
      <c r="O1276" s="80"/>
      <c r="P1276" s="80"/>
      <c r="Q1276" s="80"/>
      <c r="R1276" s="82"/>
      <c r="S1276" s="82"/>
      <c r="T1276" s="80"/>
      <c r="U1276" s="80"/>
      <c r="V1276" s="82"/>
      <c r="W1276" s="80"/>
      <c r="X1276" s="80"/>
      <c r="Y1276" s="80"/>
      <c r="Z1276" s="80"/>
      <c r="AA1276" s="82"/>
      <c r="AB1276" s="80"/>
      <c r="AC1276" s="80"/>
      <c r="AD1276" s="80"/>
      <c r="AE1276" s="80"/>
      <c r="AF1276" s="82"/>
      <c r="AG1276" s="80"/>
      <c r="AH1276" s="80"/>
      <c r="AI1276" s="82"/>
      <c r="AJ1276" s="79"/>
      <c r="AK1276" s="78" t="str">
        <f aca="false">IF(E1276="","",(X1276&lt;&gt;"")+(AC1276&lt;&gt;"")+(AH1276&lt;&gt;""))</f>
        <v/>
      </c>
      <c r="AL1276" s="81" t="str">
        <f aca="false">IF(AH1276&lt;&gt;"",AH1276,IF(AC1276&lt;&gt;"",AC1276,IF(X1276&lt;&gt;"",X1276,"")))</f>
        <v/>
      </c>
      <c r="AM1276" s="83" t="str">
        <f aca="false">IF(E1276="","",IF(R1276="","À SOUDER",IF(U1276="","VT EN ATTENTE",IF(U1276="R","VT REJETÉ – À REPRENDRE",IF(AL1276="","À RADIOGRAPHIER",IF(AL1276="A","ACCEPTÉ",IF(AL1276="NX","NX – RT À REFAIRE",IF(IF(AK1276=1,Z1276,IF(AK1276=2,AE1276,""))="A","RÉPARÉ – À RADIOGRAPHIER",IF(IF(AK1276=1,Z1276,IF(AK1276=2,AE1276,""))="R","VT REJETÉ – À REPRENDRE",IF(OR(AL1276="CO",AL1276="NT"),"COUPE – À RESOUDER","À RÉPARER"))))))))))</f>
        <v/>
      </c>
      <c r="AN1276" s="81" t="str">
        <f aca="false">IF(AND(ISNUMBER(R1276),OR(AM1276="À RADIOGRAPHIER",AM1276="RÉPARÉ – À RADIOGRAPHIER",AM1276="NX – RT À REFAIRE",AM1276="À RÉPARER",AM1276="COUPE – À RESOUDER",AM1276="VT REJETÉ – À REPRENDRE")),MAX(0,'PROGRAMME RT'!$C$4-R1276),"")</f>
        <v/>
      </c>
      <c r="AO1276" s="78" t="n">
        <f aca="false">IF(AND(OR(AM1276="À RADIOGRAPHIER",AM1276="RÉPARÉ – À RADIOGRAPHIER",AM1276="NX – RT À REFAIRE"),OR('PROGRAMME RT'!$D$5="TOUTES",B1276='PROGRAMME RT'!$D$5)),1,0)</f>
        <v>0</v>
      </c>
      <c r="AP1276" s="78" t="str">
        <f aca="false">IF(AO1276=1,SUM(AO$7:AO1276),"")</f>
        <v/>
      </c>
      <c r="AQ1276" s="78" t="n">
        <f aca="false">IF(AND(OR(X1276="R",X1276="NX",X1276="NT",X1276="CO"),OR('JOINTS DE RÉPARATION'!$D$5="TOUTES",B1276='JOINTS DE RÉPARATION'!$D$5),OR('JOINTS DE RÉPARATION'!$L$4="TOUS",AM1276&lt;&gt;"ACCEPTÉ")),1,0)</f>
        <v>0</v>
      </c>
      <c r="AR1276" s="78" t="str">
        <f aca="false">IF(AQ1276=1,SUM(AQ$7:AQ1276),"")</f>
        <v/>
      </c>
    </row>
    <row r="1277" customFormat="false" ht="15" hidden="false" customHeight="false" outlineLevel="0" collapsed="false">
      <c r="A1277" s="78" t="str">
        <f aca="false">IF(E1277="","",ROW()-6)</f>
        <v/>
      </c>
      <c r="B1277" s="79"/>
      <c r="C1277" s="80"/>
      <c r="D1277" s="80"/>
      <c r="E1277" s="80"/>
      <c r="F1277" s="80"/>
      <c r="G1277" s="80"/>
      <c r="H1277" s="80"/>
      <c r="I1277" s="80"/>
      <c r="J1277" s="80"/>
      <c r="K1277" s="80"/>
      <c r="L1277" s="81" t="str">
        <f aca="false">IF(K1277="","",IFERROR(INDEX(BARDAGE!$C$7:$C$1506,MATCH(K1277,BARDAGE!$B$7:$B$1506,0)),"? hors registre"))</f>
        <v/>
      </c>
      <c r="M1277" s="80"/>
      <c r="N1277" s="81" t="str">
        <f aca="false">IF(M1277="","",IFERROR(INDEX(BARDAGE!$C$7:$C$1506,MATCH(M1277,BARDAGE!$B$7:$B$1506,0)),"? hors registre"))</f>
        <v/>
      </c>
      <c r="O1277" s="80"/>
      <c r="P1277" s="80"/>
      <c r="Q1277" s="80"/>
      <c r="R1277" s="82"/>
      <c r="S1277" s="82"/>
      <c r="T1277" s="80"/>
      <c r="U1277" s="80"/>
      <c r="V1277" s="82"/>
      <c r="W1277" s="80"/>
      <c r="X1277" s="80"/>
      <c r="Y1277" s="80"/>
      <c r="Z1277" s="80"/>
      <c r="AA1277" s="82"/>
      <c r="AB1277" s="80"/>
      <c r="AC1277" s="80"/>
      <c r="AD1277" s="80"/>
      <c r="AE1277" s="80"/>
      <c r="AF1277" s="82"/>
      <c r="AG1277" s="80"/>
      <c r="AH1277" s="80"/>
      <c r="AI1277" s="82"/>
      <c r="AJ1277" s="79"/>
      <c r="AK1277" s="78" t="str">
        <f aca="false">IF(E1277="","",(X1277&lt;&gt;"")+(AC1277&lt;&gt;"")+(AH1277&lt;&gt;""))</f>
        <v/>
      </c>
      <c r="AL1277" s="81" t="str">
        <f aca="false">IF(AH1277&lt;&gt;"",AH1277,IF(AC1277&lt;&gt;"",AC1277,IF(X1277&lt;&gt;"",X1277,"")))</f>
        <v/>
      </c>
      <c r="AM1277" s="83" t="str">
        <f aca="false">IF(E1277="","",IF(R1277="","À SOUDER",IF(U1277="","VT EN ATTENTE",IF(U1277="R","VT REJETÉ – À REPRENDRE",IF(AL1277="","À RADIOGRAPHIER",IF(AL1277="A","ACCEPTÉ",IF(AL1277="NX","NX – RT À REFAIRE",IF(IF(AK1277=1,Z1277,IF(AK1277=2,AE1277,""))="A","RÉPARÉ – À RADIOGRAPHIER",IF(IF(AK1277=1,Z1277,IF(AK1277=2,AE1277,""))="R","VT REJETÉ – À REPRENDRE",IF(OR(AL1277="CO",AL1277="NT"),"COUPE – À RESOUDER","À RÉPARER"))))))))))</f>
        <v/>
      </c>
      <c r="AN1277" s="81" t="str">
        <f aca="false">IF(AND(ISNUMBER(R1277),OR(AM1277="À RADIOGRAPHIER",AM1277="RÉPARÉ – À RADIOGRAPHIER",AM1277="NX – RT À REFAIRE",AM1277="À RÉPARER",AM1277="COUPE – À RESOUDER",AM1277="VT REJETÉ – À REPRENDRE")),MAX(0,'PROGRAMME RT'!$C$4-R1277),"")</f>
        <v/>
      </c>
      <c r="AO1277" s="78" t="n">
        <f aca="false">IF(AND(OR(AM1277="À RADIOGRAPHIER",AM1277="RÉPARÉ – À RADIOGRAPHIER",AM1277="NX – RT À REFAIRE"),OR('PROGRAMME RT'!$D$5="TOUTES",B1277='PROGRAMME RT'!$D$5)),1,0)</f>
        <v>0</v>
      </c>
      <c r="AP1277" s="78" t="str">
        <f aca="false">IF(AO1277=1,SUM(AO$7:AO1277),"")</f>
        <v/>
      </c>
      <c r="AQ1277" s="78" t="n">
        <f aca="false">IF(AND(OR(X1277="R",X1277="NX",X1277="NT",X1277="CO"),OR('JOINTS DE RÉPARATION'!$D$5="TOUTES",B1277='JOINTS DE RÉPARATION'!$D$5),OR('JOINTS DE RÉPARATION'!$L$4="TOUS",AM1277&lt;&gt;"ACCEPTÉ")),1,0)</f>
        <v>0</v>
      </c>
      <c r="AR1277" s="78" t="str">
        <f aca="false">IF(AQ1277=1,SUM(AQ$7:AQ1277),"")</f>
        <v/>
      </c>
    </row>
    <row r="1278" customFormat="false" ht="15" hidden="false" customHeight="false" outlineLevel="0" collapsed="false">
      <c r="A1278" s="78" t="str">
        <f aca="false">IF(E1278="","",ROW()-6)</f>
        <v/>
      </c>
      <c r="B1278" s="79"/>
      <c r="C1278" s="80"/>
      <c r="D1278" s="80"/>
      <c r="E1278" s="80"/>
      <c r="F1278" s="80"/>
      <c r="G1278" s="80"/>
      <c r="H1278" s="80"/>
      <c r="I1278" s="80"/>
      <c r="J1278" s="80"/>
      <c r="K1278" s="80"/>
      <c r="L1278" s="81" t="str">
        <f aca="false">IF(K1278="","",IFERROR(INDEX(BARDAGE!$C$7:$C$1506,MATCH(K1278,BARDAGE!$B$7:$B$1506,0)),"? hors registre"))</f>
        <v/>
      </c>
      <c r="M1278" s="80"/>
      <c r="N1278" s="81" t="str">
        <f aca="false">IF(M1278="","",IFERROR(INDEX(BARDAGE!$C$7:$C$1506,MATCH(M1278,BARDAGE!$B$7:$B$1506,0)),"? hors registre"))</f>
        <v/>
      </c>
      <c r="O1278" s="80"/>
      <c r="P1278" s="80"/>
      <c r="Q1278" s="80"/>
      <c r="R1278" s="82"/>
      <c r="S1278" s="82"/>
      <c r="T1278" s="80"/>
      <c r="U1278" s="80"/>
      <c r="V1278" s="82"/>
      <c r="W1278" s="80"/>
      <c r="X1278" s="80"/>
      <c r="Y1278" s="80"/>
      <c r="Z1278" s="80"/>
      <c r="AA1278" s="82"/>
      <c r="AB1278" s="80"/>
      <c r="AC1278" s="80"/>
      <c r="AD1278" s="80"/>
      <c r="AE1278" s="80"/>
      <c r="AF1278" s="82"/>
      <c r="AG1278" s="80"/>
      <c r="AH1278" s="80"/>
      <c r="AI1278" s="82"/>
      <c r="AJ1278" s="79"/>
      <c r="AK1278" s="78" t="str">
        <f aca="false">IF(E1278="","",(X1278&lt;&gt;"")+(AC1278&lt;&gt;"")+(AH1278&lt;&gt;""))</f>
        <v/>
      </c>
      <c r="AL1278" s="81" t="str">
        <f aca="false">IF(AH1278&lt;&gt;"",AH1278,IF(AC1278&lt;&gt;"",AC1278,IF(X1278&lt;&gt;"",X1278,"")))</f>
        <v/>
      </c>
      <c r="AM1278" s="83" t="str">
        <f aca="false">IF(E1278="","",IF(R1278="","À SOUDER",IF(U1278="","VT EN ATTENTE",IF(U1278="R","VT REJETÉ – À REPRENDRE",IF(AL1278="","À RADIOGRAPHIER",IF(AL1278="A","ACCEPTÉ",IF(AL1278="NX","NX – RT À REFAIRE",IF(IF(AK1278=1,Z1278,IF(AK1278=2,AE1278,""))="A","RÉPARÉ – À RADIOGRAPHIER",IF(IF(AK1278=1,Z1278,IF(AK1278=2,AE1278,""))="R","VT REJETÉ – À REPRENDRE",IF(OR(AL1278="CO",AL1278="NT"),"COUPE – À RESOUDER","À RÉPARER"))))))))))</f>
        <v/>
      </c>
      <c r="AN1278" s="81" t="str">
        <f aca="false">IF(AND(ISNUMBER(R1278),OR(AM1278="À RADIOGRAPHIER",AM1278="RÉPARÉ – À RADIOGRAPHIER",AM1278="NX – RT À REFAIRE",AM1278="À RÉPARER",AM1278="COUPE – À RESOUDER",AM1278="VT REJETÉ – À REPRENDRE")),MAX(0,'PROGRAMME RT'!$C$4-R1278),"")</f>
        <v/>
      </c>
      <c r="AO1278" s="78" t="n">
        <f aca="false">IF(AND(OR(AM1278="À RADIOGRAPHIER",AM1278="RÉPARÉ – À RADIOGRAPHIER",AM1278="NX – RT À REFAIRE"),OR('PROGRAMME RT'!$D$5="TOUTES",B1278='PROGRAMME RT'!$D$5)),1,0)</f>
        <v>0</v>
      </c>
      <c r="AP1278" s="78" t="str">
        <f aca="false">IF(AO1278=1,SUM(AO$7:AO1278),"")</f>
        <v/>
      </c>
      <c r="AQ1278" s="78" t="n">
        <f aca="false">IF(AND(OR(X1278="R",X1278="NX",X1278="NT",X1278="CO"),OR('JOINTS DE RÉPARATION'!$D$5="TOUTES",B1278='JOINTS DE RÉPARATION'!$D$5),OR('JOINTS DE RÉPARATION'!$L$4="TOUS",AM1278&lt;&gt;"ACCEPTÉ")),1,0)</f>
        <v>0</v>
      </c>
      <c r="AR1278" s="78" t="str">
        <f aca="false">IF(AQ1278=1,SUM(AQ$7:AQ1278),"")</f>
        <v/>
      </c>
    </row>
    <row r="1279" customFormat="false" ht="15" hidden="false" customHeight="false" outlineLevel="0" collapsed="false">
      <c r="A1279" s="78" t="str">
        <f aca="false">IF(E1279="","",ROW()-6)</f>
        <v/>
      </c>
      <c r="B1279" s="79"/>
      <c r="C1279" s="80"/>
      <c r="D1279" s="80"/>
      <c r="E1279" s="80"/>
      <c r="F1279" s="80"/>
      <c r="G1279" s="80"/>
      <c r="H1279" s="80"/>
      <c r="I1279" s="80"/>
      <c r="J1279" s="80"/>
      <c r="K1279" s="80"/>
      <c r="L1279" s="81" t="str">
        <f aca="false">IF(K1279="","",IFERROR(INDEX(BARDAGE!$C$7:$C$1506,MATCH(K1279,BARDAGE!$B$7:$B$1506,0)),"? hors registre"))</f>
        <v/>
      </c>
      <c r="M1279" s="80"/>
      <c r="N1279" s="81" t="str">
        <f aca="false">IF(M1279="","",IFERROR(INDEX(BARDAGE!$C$7:$C$1506,MATCH(M1279,BARDAGE!$B$7:$B$1506,0)),"? hors registre"))</f>
        <v/>
      </c>
      <c r="O1279" s="80"/>
      <c r="P1279" s="80"/>
      <c r="Q1279" s="80"/>
      <c r="R1279" s="82"/>
      <c r="S1279" s="82"/>
      <c r="T1279" s="80"/>
      <c r="U1279" s="80"/>
      <c r="V1279" s="82"/>
      <c r="W1279" s="80"/>
      <c r="X1279" s="80"/>
      <c r="Y1279" s="80"/>
      <c r="Z1279" s="80"/>
      <c r="AA1279" s="82"/>
      <c r="AB1279" s="80"/>
      <c r="AC1279" s="80"/>
      <c r="AD1279" s="80"/>
      <c r="AE1279" s="80"/>
      <c r="AF1279" s="82"/>
      <c r="AG1279" s="80"/>
      <c r="AH1279" s="80"/>
      <c r="AI1279" s="82"/>
      <c r="AJ1279" s="79"/>
      <c r="AK1279" s="78" t="str">
        <f aca="false">IF(E1279="","",(X1279&lt;&gt;"")+(AC1279&lt;&gt;"")+(AH1279&lt;&gt;""))</f>
        <v/>
      </c>
      <c r="AL1279" s="81" t="str">
        <f aca="false">IF(AH1279&lt;&gt;"",AH1279,IF(AC1279&lt;&gt;"",AC1279,IF(X1279&lt;&gt;"",X1279,"")))</f>
        <v/>
      </c>
      <c r="AM1279" s="83" t="str">
        <f aca="false">IF(E1279="","",IF(R1279="","À SOUDER",IF(U1279="","VT EN ATTENTE",IF(U1279="R","VT REJETÉ – À REPRENDRE",IF(AL1279="","À RADIOGRAPHIER",IF(AL1279="A","ACCEPTÉ",IF(AL1279="NX","NX – RT À REFAIRE",IF(IF(AK1279=1,Z1279,IF(AK1279=2,AE1279,""))="A","RÉPARÉ – À RADIOGRAPHIER",IF(IF(AK1279=1,Z1279,IF(AK1279=2,AE1279,""))="R","VT REJETÉ – À REPRENDRE",IF(OR(AL1279="CO",AL1279="NT"),"COUPE – À RESOUDER","À RÉPARER"))))))))))</f>
        <v/>
      </c>
      <c r="AN1279" s="81" t="str">
        <f aca="false">IF(AND(ISNUMBER(R1279),OR(AM1279="À RADIOGRAPHIER",AM1279="RÉPARÉ – À RADIOGRAPHIER",AM1279="NX – RT À REFAIRE",AM1279="À RÉPARER",AM1279="COUPE – À RESOUDER",AM1279="VT REJETÉ – À REPRENDRE")),MAX(0,'PROGRAMME RT'!$C$4-R1279),"")</f>
        <v/>
      </c>
      <c r="AO1279" s="78" t="n">
        <f aca="false">IF(AND(OR(AM1279="À RADIOGRAPHIER",AM1279="RÉPARÉ – À RADIOGRAPHIER",AM1279="NX – RT À REFAIRE"),OR('PROGRAMME RT'!$D$5="TOUTES",B1279='PROGRAMME RT'!$D$5)),1,0)</f>
        <v>0</v>
      </c>
      <c r="AP1279" s="78" t="str">
        <f aca="false">IF(AO1279=1,SUM(AO$7:AO1279),"")</f>
        <v/>
      </c>
      <c r="AQ1279" s="78" t="n">
        <f aca="false">IF(AND(OR(X1279="R",X1279="NX",X1279="NT",X1279="CO"),OR('JOINTS DE RÉPARATION'!$D$5="TOUTES",B1279='JOINTS DE RÉPARATION'!$D$5),OR('JOINTS DE RÉPARATION'!$L$4="TOUS",AM1279&lt;&gt;"ACCEPTÉ")),1,0)</f>
        <v>0</v>
      </c>
      <c r="AR1279" s="78" t="str">
        <f aca="false">IF(AQ1279=1,SUM(AQ$7:AQ1279),"")</f>
        <v/>
      </c>
    </row>
    <row r="1280" customFormat="false" ht="15" hidden="false" customHeight="false" outlineLevel="0" collapsed="false">
      <c r="A1280" s="78" t="str">
        <f aca="false">IF(E1280="","",ROW()-6)</f>
        <v/>
      </c>
      <c r="B1280" s="79"/>
      <c r="C1280" s="80"/>
      <c r="D1280" s="80"/>
      <c r="E1280" s="80"/>
      <c r="F1280" s="80"/>
      <c r="G1280" s="80"/>
      <c r="H1280" s="80"/>
      <c r="I1280" s="80"/>
      <c r="J1280" s="80"/>
      <c r="K1280" s="80"/>
      <c r="L1280" s="81" t="str">
        <f aca="false">IF(K1280="","",IFERROR(INDEX(BARDAGE!$C$7:$C$1506,MATCH(K1280,BARDAGE!$B$7:$B$1506,0)),"? hors registre"))</f>
        <v/>
      </c>
      <c r="M1280" s="80"/>
      <c r="N1280" s="81" t="str">
        <f aca="false">IF(M1280="","",IFERROR(INDEX(BARDAGE!$C$7:$C$1506,MATCH(M1280,BARDAGE!$B$7:$B$1506,0)),"? hors registre"))</f>
        <v/>
      </c>
      <c r="O1280" s="80"/>
      <c r="P1280" s="80"/>
      <c r="Q1280" s="80"/>
      <c r="R1280" s="82"/>
      <c r="S1280" s="82"/>
      <c r="T1280" s="80"/>
      <c r="U1280" s="80"/>
      <c r="V1280" s="82"/>
      <c r="W1280" s="80"/>
      <c r="X1280" s="80"/>
      <c r="Y1280" s="80"/>
      <c r="Z1280" s="80"/>
      <c r="AA1280" s="82"/>
      <c r="AB1280" s="80"/>
      <c r="AC1280" s="80"/>
      <c r="AD1280" s="80"/>
      <c r="AE1280" s="80"/>
      <c r="AF1280" s="82"/>
      <c r="AG1280" s="80"/>
      <c r="AH1280" s="80"/>
      <c r="AI1280" s="82"/>
      <c r="AJ1280" s="79"/>
      <c r="AK1280" s="78" t="str">
        <f aca="false">IF(E1280="","",(X1280&lt;&gt;"")+(AC1280&lt;&gt;"")+(AH1280&lt;&gt;""))</f>
        <v/>
      </c>
      <c r="AL1280" s="81" t="str">
        <f aca="false">IF(AH1280&lt;&gt;"",AH1280,IF(AC1280&lt;&gt;"",AC1280,IF(X1280&lt;&gt;"",X1280,"")))</f>
        <v/>
      </c>
      <c r="AM1280" s="83" t="str">
        <f aca="false">IF(E1280="","",IF(R1280="","À SOUDER",IF(U1280="","VT EN ATTENTE",IF(U1280="R","VT REJETÉ – À REPRENDRE",IF(AL1280="","À RADIOGRAPHIER",IF(AL1280="A","ACCEPTÉ",IF(AL1280="NX","NX – RT À REFAIRE",IF(IF(AK1280=1,Z1280,IF(AK1280=2,AE1280,""))="A","RÉPARÉ – À RADIOGRAPHIER",IF(IF(AK1280=1,Z1280,IF(AK1280=2,AE1280,""))="R","VT REJETÉ – À REPRENDRE",IF(OR(AL1280="CO",AL1280="NT"),"COUPE – À RESOUDER","À RÉPARER"))))))))))</f>
        <v/>
      </c>
      <c r="AN1280" s="81" t="str">
        <f aca="false">IF(AND(ISNUMBER(R1280),OR(AM1280="À RADIOGRAPHIER",AM1280="RÉPARÉ – À RADIOGRAPHIER",AM1280="NX – RT À REFAIRE",AM1280="À RÉPARER",AM1280="COUPE – À RESOUDER",AM1280="VT REJETÉ – À REPRENDRE")),MAX(0,'PROGRAMME RT'!$C$4-R1280),"")</f>
        <v/>
      </c>
      <c r="AO1280" s="78" t="n">
        <f aca="false">IF(AND(OR(AM1280="À RADIOGRAPHIER",AM1280="RÉPARÉ – À RADIOGRAPHIER",AM1280="NX – RT À REFAIRE"),OR('PROGRAMME RT'!$D$5="TOUTES",B1280='PROGRAMME RT'!$D$5)),1,0)</f>
        <v>0</v>
      </c>
      <c r="AP1280" s="78" t="str">
        <f aca="false">IF(AO1280=1,SUM(AO$7:AO1280),"")</f>
        <v/>
      </c>
      <c r="AQ1280" s="78" t="n">
        <f aca="false">IF(AND(OR(X1280="R",X1280="NX",X1280="NT",X1280="CO"),OR('JOINTS DE RÉPARATION'!$D$5="TOUTES",B1280='JOINTS DE RÉPARATION'!$D$5),OR('JOINTS DE RÉPARATION'!$L$4="TOUS",AM1280&lt;&gt;"ACCEPTÉ")),1,0)</f>
        <v>0</v>
      </c>
      <c r="AR1280" s="78" t="str">
        <f aca="false">IF(AQ1280=1,SUM(AQ$7:AQ1280),"")</f>
        <v/>
      </c>
    </row>
    <row r="1281" customFormat="false" ht="15" hidden="false" customHeight="false" outlineLevel="0" collapsed="false">
      <c r="A1281" s="78" t="str">
        <f aca="false">IF(E1281="","",ROW()-6)</f>
        <v/>
      </c>
      <c r="B1281" s="79"/>
      <c r="C1281" s="80"/>
      <c r="D1281" s="80"/>
      <c r="E1281" s="80"/>
      <c r="F1281" s="80"/>
      <c r="G1281" s="80"/>
      <c r="H1281" s="80"/>
      <c r="I1281" s="80"/>
      <c r="J1281" s="80"/>
      <c r="K1281" s="80"/>
      <c r="L1281" s="81" t="str">
        <f aca="false">IF(K1281="","",IFERROR(INDEX(BARDAGE!$C$7:$C$1506,MATCH(K1281,BARDAGE!$B$7:$B$1506,0)),"? hors registre"))</f>
        <v/>
      </c>
      <c r="M1281" s="80"/>
      <c r="N1281" s="81" t="str">
        <f aca="false">IF(M1281="","",IFERROR(INDEX(BARDAGE!$C$7:$C$1506,MATCH(M1281,BARDAGE!$B$7:$B$1506,0)),"? hors registre"))</f>
        <v/>
      </c>
      <c r="O1281" s="80"/>
      <c r="P1281" s="80"/>
      <c r="Q1281" s="80"/>
      <c r="R1281" s="82"/>
      <c r="S1281" s="82"/>
      <c r="T1281" s="80"/>
      <c r="U1281" s="80"/>
      <c r="V1281" s="82"/>
      <c r="W1281" s="80"/>
      <c r="X1281" s="80"/>
      <c r="Y1281" s="80"/>
      <c r="Z1281" s="80"/>
      <c r="AA1281" s="82"/>
      <c r="AB1281" s="80"/>
      <c r="AC1281" s="80"/>
      <c r="AD1281" s="80"/>
      <c r="AE1281" s="80"/>
      <c r="AF1281" s="82"/>
      <c r="AG1281" s="80"/>
      <c r="AH1281" s="80"/>
      <c r="AI1281" s="82"/>
      <c r="AJ1281" s="79"/>
      <c r="AK1281" s="78" t="str">
        <f aca="false">IF(E1281="","",(X1281&lt;&gt;"")+(AC1281&lt;&gt;"")+(AH1281&lt;&gt;""))</f>
        <v/>
      </c>
      <c r="AL1281" s="81" t="str">
        <f aca="false">IF(AH1281&lt;&gt;"",AH1281,IF(AC1281&lt;&gt;"",AC1281,IF(X1281&lt;&gt;"",X1281,"")))</f>
        <v/>
      </c>
      <c r="AM1281" s="83" t="str">
        <f aca="false">IF(E1281="","",IF(R1281="","À SOUDER",IF(U1281="","VT EN ATTENTE",IF(U1281="R","VT REJETÉ – À REPRENDRE",IF(AL1281="","À RADIOGRAPHIER",IF(AL1281="A","ACCEPTÉ",IF(AL1281="NX","NX – RT À REFAIRE",IF(IF(AK1281=1,Z1281,IF(AK1281=2,AE1281,""))="A","RÉPARÉ – À RADIOGRAPHIER",IF(IF(AK1281=1,Z1281,IF(AK1281=2,AE1281,""))="R","VT REJETÉ – À REPRENDRE",IF(OR(AL1281="CO",AL1281="NT"),"COUPE – À RESOUDER","À RÉPARER"))))))))))</f>
        <v/>
      </c>
      <c r="AN1281" s="81" t="str">
        <f aca="false">IF(AND(ISNUMBER(R1281),OR(AM1281="À RADIOGRAPHIER",AM1281="RÉPARÉ – À RADIOGRAPHIER",AM1281="NX – RT À REFAIRE",AM1281="À RÉPARER",AM1281="COUPE – À RESOUDER",AM1281="VT REJETÉ – À REPRENDRE")),MAX(0,'PROGRAMME RT'!$C$4-R1281),"")</f>
        <v/>
      </c>
      <c r="AO1281" s="78" t="n">
        <f aca="false">IF(AND(OR(AM1281="À RADIOGRAPHIER",AM1281="RÉPARÉ – À RADIOGRAPHIER",AM1281="NX – RT À REFAIRE"),OR('PROGRAMME RT'!$D$5="TOUTES",B1281='PROGRAMME RT'!$D$5)),1,0)</f>
        <v>0</v>
      </c>
      <c r="AP1281" s="78" t="str">
        <f aca="false">IF(AO1281=1,SUM(AO$7:AO1281),"")</f>
        <v/>
      </c>
      <c r="AQ1281" s="78" t="n">
        <f aca="false">IF(AND(OR(X1281="R",X1281="NX",X1281="NT",X1281="CO"),OR('JOINTS DE RÉPARATION'!$D$5="TOUTES",B1281='JOINTS DE RÉPARATION'!$D$5),OR('JOINTS DE RÉPARATION'!$L$4="TOUS",AM1281&lt;&gt;"ACCEPTÉ")),1,0)</f>
        <v>0</v>
      </c>
      <c r="AR1281" s="78" t="str">
        <f aca="false">IF(AQ1281=1,SUM(AQ$7:AQ1281),"")</f>
        <v/>
      </c>
    </row>
    <row r="1282" customFormat="false" ht="15" hidden="false" customHeight="false" outlineLevel="0" collapsed="false">
      <c r="A1282" s="78" t="str">
        <f aca="false">IF(E1282="","",ROW()-6)</f>
        <v/>
      </c>
      <c r="B1282" s="79"/>
      <c r="C1282" s="80"/>
      <c r="D1282" s="80"/>
      <c r="E1282" s="80"/>
      <c r="F1282" s="80"/>
      <c r="G1282" s="80"/>
      <c r="H1282" s="80"/>
      <c r="I1282" s="80"/>
      <c r="J1282" s="80"/>
      <c r="K1282" s="80"/>
      <c r="L1282" s="81" t="str">
        <f aca="false">IF(K1282="","",IFERROR(INDEX(BARDAGE!$C$7:$C$1506,MATCH(K1282,BARDAGE!$B$7:$B$1506,0)),"? hors registre"))</f>
        <v/>
      </c>
      <c r="M1282" s="80"/>
      <c r="N1282" s="81" t="str">
        <f aca="false">IF(M1282="","",IFERROR(INDEX(BARDAGE!$C$7:$C$1506,MATCH(M1282,BARDAGE!$B$7:$B$1506,0)),"? hors registre"))</f>
        <v/>
      </c>
      <c r="O1282" s="80"/>
      <c r="P1282" s="80"/>
      <c r="Q1282" s="80"/>
      <c r="R1282" s="82"/>
      <c r="S1282" s="82"/>
      <c r="T1282" s="80"/>
      <c r="U1282" s="80"/>
      <c r="V1282" s="82"/>
      <c r="W1282" s="80"/>
      <c r="X1282" s="80"/>
      <c r="Y1282" s="80"/>
      <c r="Z1282" s="80"/>
      <c r="AA1282" s="82"/>
      <c r="AB1282" s="80"/>
      <c r="AC1282" s="80"/>
      <c r="AD1282" s="80"/>
      <c r="AE1282" s="80"/>
      <c r="AF1282" s="82"/>
      <c r="AG1282" s="80"/>
      <c r="AH1282" s="80"/>
      <c r="AI1282" s="82"/>
      <c r="AJ1282" s="79"/>
      <c r="AK1282" s="78" t="str">
        <f aca="false">IF(E1282="","",(X1282&lt;&gt;"")+(AC1282&lt;&gt;"")+(AH1282&lt;&gt;""))</f>
        <v/>
      </c>
      <c r="AL1282" s="81" t="str">
        <f aca="false">IF(AH1282&lt;&gt;"",AH1282,IF(AC1282&lt;&gt;"",AC1282,IF(X1282&lt;&gt;"",X1282,"")))</f>
        <v/>
      </c>
      <c r="AM1282" s="83" t="str">
        <f aca="false">IF(E1282="","",IF(R1282="","À SOUDER",IF(U1282="","VT EN ATTENTE",IF(U1282="R","VT REJETÉ – À REPRENDRE",IF(AL1282="","À RADIOGRAPHIER",IF(AL1282="A","ACCEPTÉ",IF(AL1282="NX","NX – RT À REFAIRE",IF(IF(AK1282=1,Z1282,IF(AK1282=2,AE1282,""))="A","RÉPARÉ – À RADIOGRAPHIER",IF(IF(AK1282=1,Z1282,IF(AK1282=2,AE1282,""))="R","VT REJETÉ – À REPRENDRE",IF(OR(AL1282="CO",AL1282="NT"),"COUPE – À RESOUDER","À RÉPARER"))))))))))</f>
        <v/>
      </c>
      <c r="AN1282" s="81" t="str">
        <f aca="false">IF(AND(ISNUMBER(R1282),OR(AM1282="À RADIOGRAPHIER",AM1282="RÉPARÉ – À RADIOGRAPHIER",AM1282="NX – RT À REFAIRE",AM1282="À RÉPARER",AM1282="COUPE – À RESOUDER",AM1282="VT REJETÉ – À REPRENDRE")),MAX(0,'PROGRAMME RT'!$C$4-R1282),"")</f>
        <v/>
      </c>
      <c r="AO1282" s="78" t="n">
        <f aca="false">IF(AND(OR(AM1282="À RADIOGRAPHIER",AM1282="RÉPARÉ – À RADIOGRAPHIER",AM1282="NX – RT À REFAIRE"),OR('PROGRAMME RT'!$D$5="TOUTES",B1282='PROGRAMME RT'!$D$5)),1,0)</f>
        <v>0</v>
      </c>
      <c r="AP1282" s="78" t="str">
        <f aca="false">IF(AO1282=1,SUM(AO$7:AO1282),"")</f>
        <v/>
      </c>
      <c r="AQ1282" s="78" t="n">
        <f aca="false">IF(AND(OR(X1282="R",X1282="NX",X1282="NT",X1282="CO"),OR('JOINTS DE RÉPARATION'!$D$5="TOUTES",B1282='JOINTS DE RÉPARATION'!$D$5),OR('JOINTS DE RÉPARATION'!$L$4="TOUS",AM1282&lt;&gt;"ACCEPTÉ")),1,0)</f>
        <v>0</v>
      </c>
      <c r="AR1282" s="78" t="str">
        <f aca="false">IF(AQ1282=1,SUM(AQ$7:AQ1282),"")</f>
        <v/>
      </c>
    </row>
    <row r="1283" customFormat="false" ht="15" hidden="false" customHeight="false" outlineLevel="0" collapsed="false">
      <c r="A1283" s="78" t="str">
        <f aca="false">IF(E1283="","",ROW()-6)</f>
        <v/>
      </c>
      <c r="B1283" s="79"/>
      <c r="C1283" s="80"/>
      <c r="D1283" s="80"/>
      <c r="E1283" s="80"/>
      <c r="F1283" s="80"/>
      <c r="G1283" s="80"/>
      <c r="H1283" s="80"/>
      <c r="I1283" s="80"/>
      <c r="J1283" s="80"/>
      <c r="K1283" s="80"/>
      <c r="L1283" s="81" t="str">
        <f aca="false">IF(K1283="","",IFERROR(INDEX(BARDAGE!$C$7:$C$1506,MATCH(K1283,BARDAGE!$B$7:$B$1506,0)),"? hors registre"))</f>
        <v/>
      </c>
      <c r="M1283" s="80"/>
      <c r="N1283" s="81" t="str">
        <f aca="false">IF(M1283="","",IFERROR(INDEX(BARDAGE!$C$7:$C$1506,MATCH(M1283,BARDAGE!$B$7:$B$1506,0)),"? hors registre"))</f>
        <v/>
      </c>
      <c r="O1283" s="80"/>
      <c r="P1283" s="80"/>
      <c r="Q1283" s="80"/>
      <c r="R1283" s="82"/>
      <c r="S1283" s="82"/>
      <c r="T1283" s="80"/>
      <c r="U1283" s="80"/>
      <c r="V1283" s="82"/>
      <c r="W1283" s="80"/>
      <c r="X1283" s="80"/>
      <c r="Y1283" s="80"/>
      <c r="Z1283" s="80"/>
      <c r="AA1283" s="82"/>
      <c r="AB1283" s="80"/>
      <c r="AC1283" s="80"/>
      <c r="AD1283" s="80"/>
      <c r="AE1283" s="80"/>
      <c r="AF1283" s="82"/>
      <c r="AG1283" s="80"/>
      <c r="AH1283" s="80"/>
      <c r="AI1283" s="82"/>
      <c r="AJ1283" s="79"/>
      <c r="AK1283" s="78" t="str">
        <f aca="false">IF(E1283="","",(X1283&lt;&gt;"")+(AC1283&lt;&gt;"")+(AH1283&lt;&gt;""))</f>
        <v/>
      </c>
      <c r="AL1283" s="81" t="str">
        <f aca="false">IF(AH1283&lt;&gt;"",AH1283,IF(AC1283&lt;&gt;"",AC1283,IF(X1283&lt;&gt;"",X1283,"")))</f>
        <v/>
      </c>
      <c r="AM1283" s="83" t="str">
        <f aca="false">IF(E1283="","",IF(R1283="","À SOUDER",IF(U1283="","VT EN ATTENTE",IF(U1283="R","VT REJETÉ – À REPRENDRE",IF(AL1283="","À RADIOGRAPHIER",IF(AL1283="A","ACCEPTÉ",IF(AL1283="NX","NX – RT À REFAIRE",IF(IF(AK1283=1,Z1283,IF(AK1283=2,AE1283,""))="A","RÉPARÉ – À RADIOGRAPHIER",IF(IF(AK1283=1,Z1283,IF(AK1283=2,AE1283,""))="R","VT REJETÉ – À REPRENDRE",IF(OR(AL1283="CO",AL1283="NT"),"COUPE – À RESOUDER","À RÉPARER"))))))))))</f>
        <v/>
      </c>
      <c r="AN1283" s="81" t="str">
        <f aca="false">IF(AND(ISNUMBER(R1283),OR(AM1283="À RADIOGRAPHIER",AM1283="RÉPARÉ – À RADIOGRAPHIER",AM1283="NX – RT À REFAIRE",AM1283="À RÉPARER",AM1283="COUPE – À RESOUDER",AM1283="VT REJETÉ – À REPRENDRE")),MAX(0,'PROGRAMME RT'!$C$4-R1283),"")</f>
        <v/>
      </c>
      <c r="AO1283" s="78" t="n">
        <f aca="false">IF(AND(OR(AM1283="À RADIOGRAPHIER",AM1283="RÉPARÉ – À RADIOGRAPHIER",AM1283="NX – RT À REFAIRE"),OR('PROGRAMME RT'!$D$5="TOUTES",B1283='PROGRAMME RT'!$D$5)),1,0)</f>
        <v>0</v>
      </c>
      <c r="AP1283" s="78" t="str">
        <f aca="false">IF(AO1283=1,SUM(AO$7:AO1283),"")</f>
        <v/>
      </c>
      <c r="AQ1283" s="78" t="n">
        <f aca="false">IF(AND(OR(X1283="R",X1283="NX",X1283="NT",X1283="CO"),OR('JOINTS DE RÉPARATION'!$D$5="TOUTES",B1283='JOINTS DE RÉPARATION'!$D$5),OR('JOINTS DE RÉPARATION'!$L$4="TOUS",AM1283&lt;&gt;"ACCEPTÉ")),1,0)</f>
        <v>0</v>
      </c>
      <c r="AR1283" s="78" t="str">
        <f aca="false">IF(AQ1283=1,SUM(AQ$7:AQ1283),"")</f>
        <v/>
      </c>
    </row>
    <row r="1284" customFormat="false" ht="15" hidden="false" customHeight="false" outlineLevel="0" collapsed="false">
      <c r="A1284" s="78" t="str">
        <f aca="false">IF(E1284="","",ROW()-6)</f>
        <v/>
      </c>
      <c r="B1284" s="79"/>
      <c r="C1284" s="80"/>
      <c r="D1284" s="80"/>
      <c r="E1284" s="80"/>
      <c r="F1284" s="80"/>
      <c r="G1284" s="80"/>
      <c r="H1284" s="80"/>
      <c r="I1284" s="80"/>
      <c r="J1284" s="80"/>
      <c r="K1284" s="80"/>
      <c r="L1284" s="81" t="str">
        <f aca="false">IF(K1284="","",IFERROR(INDEX(BARDAGE!$C$7:$C$1506,MATCH(K1284,BARDAGE!$B$7:$B$1506,0)),"? hors registre"))</f>
        <v/>
      </c>
      <c r="M1284" s="80"/>
      <c r="N1284" s="81" t="str">
        <f aca="false">IF(M1284="","",IFERROR(INDEX(BARDAGE!$C$7:$C$1506,MATCH(M1284,BARDAGE!$B$7:$B$1506,0)),"? hors registre"))</f>
        <v/>
      </c>
      <c r="O1284" s="80"/>
      <c r="P1284" s="80"/>
      <c r="Q1284" s="80"/>
      <c r="R1284" s="82"/>
      <c r="S1284" s="82"/>
      <c r="T1284" s="80"/>
      <c r="U1284" s="80"/>
      <c r="V1284" s="82"/>
      <c r="W1284" s="80"/>
      <c r="X1284" s="80"/>
      <c r="Y1284" s="80"/>
      <c r="Z1284" s="80"/>
      <c r="AA1284" s="82"/>
      <c r="AB1284" s="80"/>
      <c r="AC1284" s="80"/>
      <c r="AD1284" s="80"/>
      <c r="AE1284" s="80"/>
      <c r="AF1284" s="82"/>
      <c r="AG1284" s="80"/>
      <c r="AH1284" s="80"/>
      <c r="AI1284" s="82"/>
      <c r="AJ1284" s="79"/>
      <c r="AK1284" s="78" t="str">
        <f aca="false">IF(E1284="","",(X1284&lt;&gt;"")+(AC1284&lt;&gt;"")+(AH1284&lt;&gt;""))</f>
        <v/>
      </c>
      <c r="AL1284" s="81" t="str">
        <f aca="false">IF(AH1284&lt;&gt;"",AH1284,IF(AC1284&lt;&gt;"",AC1284,IF(X1284&lt;&gt;"",X1284,"")))</f>
        <v/>
      </c>
      <c r="AM1284" s="83" t="str">
        <f aca="false">IF(E1284="","",IF(R1284="","À SOUDER",IF(U1284="","VT EN ATTENTE",IF(U1284="R","VT REJETÉ – À REPRENDRE",IF(AL1284="","À RADIOGRAPHIER",IF(AL1284="A","ACCEPTÉ",IF(AL1284="NX","NX – RT À REFAIRE",IF(IF(AK1284=1,Z1284,IF(AK1284=2,AE1284,""))="A","RÉPARÉ – À RADIOGRAPHIER",IF(IF(AK1284=1,Z1284,IF(AK1284=2,AE1284,""))="R","VT REJETÉ – À REPRENDRE",IF(OR(AL1284="CO",AL1284="NT"),"COUPE – À RESOUDER","À RÉPARER"))))))))))</f>
        <v/>
      </c>
      <c r="AN1284" s="81" t="str">
        <f aca="false">IF(AND(ISNUMBER(R1284),OR(AM1284="À RADIOGRAPHIER",AM1284="RÉPARÉ – À RADIOGRAPHIER",AM1284="NX – RT À REFAIRE",AM1284="À RÉPARER",AM1284="COUPE – À RESOUDER",AM1284="VT REJETÉ – À REPRENDRE")),MAX(0,'PROGRAMME RT'!$C$4-R1284),"")</f>
        <v/>
      </c>
      <c r="AO1284" s="78" t="n">
        <f aca="false">IF(AND(OR(AM1284="À RADIOGRAPHIER",AM1284="RÉPARÉ – À RADIOGRAPHIER",AM1284="NX – RT À REFAIRE"),OR('PROGRAMME RT'!$D$5="TOUTES",B1284='PROGRAMME RT'!$D$5)),1,0)</f>
        <v>0</v>
      </c>
      <c r="AP1284" s="78" t="str">
        <f aca="false">IF(AO1284=1,SUM(AO$7:AO1284),"")</f>
        <v/>
      </c>
      <c r="AQ1284" s="78" t="n">
        <f aca="false">IF(AND(OR(X1284="R",X1284="NX",X1284="NT",X1284="CO"),OR('JOINTS DE RÉPARATION'!$D$5="TOUTES",B1284='JOINTS DE RÉPARATION'!$D$5),OR('JOINTS DE RÉPARATION'!$L$4="TOUS",AM1284&lt;&gt;"ACCEPTÉ")),1,0)</f>
        <v>0</v>
      </c>
      <c r="AR1284" s="78" t="str">
        <f aca="false">IF(AQ1284=1,SUM(AQ$7:AQ1284),"")</f>
        <v/>
      </c>
    </row>
    <row r="1285" customFormat="false" ht="15" hidden="false" customHeight="false" outlineLevel="0" collapsed="false">
      <c r="A1285" s="78" t="str">
        <f aca="false">IF(E1285="","",ROW()-6)</f>
        <v/>
      </c>
      <c r="B1285" s="79"/>
      <c r="C1285" s="80"/>
      <c r="D1285" s="80"/>
      <c r="E1285" s="80"/>
      <c r="F1285" s="80"/>
      <c r="G1285" s="80"/>
      <c r="H1285" s="80"/>
      <c r="I1285" s="80"/>
      <c r="J1285" s="80"/>
      <c r="K1285" s="80"/>
      <c r="L1285" s="81" t="str">
        <f aca="false">IF(K1285="","",IFERROR(INDEX(BARDAGE!$C$7:$C$1506,MATCH(K1285,BARDAGE!$B$7:$B$1506,0)),"? hors registre"))</f>
        <v/>
      </c>
      <c r="M1285" s="80"/>
      <c r="N1285" s="81" t="str">
        <f aca="false">IF(M1285="","",IFERROR(INDEX(BARDAGE!$C$7:$C$1506,MATCH(M1285,BARDAGE!$B$7:$B$1506,0)),"? hors registre"))</f>
        <v/>
      </c>
      <c r="O1285" s="80"/>
      <c r="P1285" s="80"/>
      <c r="Q1285" s="80"/>
      <c r="R1285" s="82"/>
      <c r="S1285" s="82"/>
      <c r="T1285" s="80"/>
      <c r="U1285" s="80"/>
      <c r="V1285" s="82"/>
      <c r="W1285" s="80"/>
      <c r="X1285" s="80"/>
      <c r="Y1285" s="80"/>
      <c r="Z1285" s="80"/>
      <c r="AA1285" s="82"/>
      <c r="AB1285" s="80"/>
      <c r="AC1285" s="80"/>
      <c r="AD1285" s="80"/>
      <c r="AE1285" s="80"/>
      <c r="AF1285" s="82"/>
      <c r="AG1285" s="80"/>
      <c r="AH1285" s="80"/>
      <c r="AI1285" s="82"/>
      <c r="AJ1285" s="79"/>
      <c r="AK1285" s="78" t="str">
        <f aca="false">IF(E1285="","",(X1285&lt;&gt;"")+(AC1285&lt;&gt;"")+(AH1285&lt;&gt;""))</f>
        <v/>
      </c>
      <c r="AL1285" s="81" t="str">
        <f aca="false">IF(AH1285&lt;&gt;"",AH1285,IF(AC1285&lt;&gt;"",AC1285,IF(X1285&lt;&gt;"",X1285,"")))</f>
        <v/>
      </c>
      <c r="AM1285" s="83" t="str">
        <f aca="false">IF(E1285="","",IF(R1285="","À SOUDER",IF(U1285="","VT EN ATTENTE",IF(U1285="R","VT REJETÉ – À REPRENDRE",IF(AL1285="","À RADIOGRAPHIER",IF(AL1285="A","ACCEPTÉ",IF(AL1285="NX","NX – RT À REFAIRE",IF(IF(AK1285=1,Z1285,IF(AK1285=2,AE1285,""))="A","RÉPARÉ – À RADIOGRAPHIER",IF(IF(AK1285=1,Z1285,IF(AK1285=2,AE1285,""))="R","VT REJETÉ – À REPRENDRE",IF(OR(AL1285="CO",AL1285="NT"),"COUPE – À RESOUDER","À RÉPARER"))))))))))</f>
        <v/>
      </c>
      <c r="AN1285" s="81" t="str">
        <f aca="false">IF(AND(ISNUMBER(R1285),OR(AM1285="À RADIOGRAPHIER",AM1285="RÉPARÉ – À RADIOGRAPHIER",AM1285="NX – RT À REFAIRE",AM1285="À RÉPARER",AM1285="COUPE – À RESOUDER",AM1285="VT REJETÉ – À REPRENDRE")),MAX(0,'PROGRAMME RT'!$C$4-R1285),"")</f>
        <v/>
      </c>
      <c r="AO1285" s="78" t="n">
        <f aca="false">IF(AND(OR(AM1285="À RADIOGRAPHIER",AM1285="RÉPARÉ – À RADIOGRAPHIER",AM1285="NX – RT À REFAIRE"),OR('PROGRAMME RT'!$D$5="TOUTES",B1285='PROGRAMME RT'!$D$5)),1,0)</f>
        <v>0</v>
      </c>
      <c r="AP1285" s="78" t="str">
        <f aca="false">IF(AO1285=1,SUM(AO$7:AO1285),"")</f>
        <v/>
      </c>
      <c r="AQ1285" s="78" t="n">
        <f aca="false">IF(AND(OR(X1285="R",X1285="NX",X1285="NT",X1285="CO"),OR('JOINTS DE RÉPARATION'!$D$5="TOUTES",B1285='JOINTS DE RÉPARATION'!$D$5),OR('JOINTS DE RÉPARATION'!$L$4="TOUS",AM1285&lt;&gt;"ACCEPTÉ")),1,0)</f>
        <v>0</v>
      </c>
      <c r="AR1285" s="78" t="str">
        <f aca="false">IF(AQ1285=1,SUM(AQ$7:AQ1285),"")</f>
        <v/>
      </c>
    </row>
    <row r="1286" customFormat="false" ht="15" hidden="false" customHeight="false" outlineLevel="0" collapsed="false">
      <c r="A1286" s="78" t="str">
        <f aca="false">IF(E1286="","",ROW()-6)</f>
        <v/>
      </c>
      <c r="B1286" s="79"/>
      <c r="C1286" s="80"/>
      <c r="D1286" s="80"/>
      <c r="E1286" s="80"/>
      <c r="F1286" s="80"/>
      <c r="G1286" s="80"/>
      <c r="H1286" s="80"/>
      <c r="I1286" s="80"/>
      <c r="J1286" s="80"/>
      <c r="K1286" s="80"/>
      <c r="L1286" s="81" t="str">
        <f aca="false">IF(K1286="","",IFERROR(INDEX(BARDAGE!$C$7:$C$1506,MATCH(K1286,BARDAGE!$B$7:$B$1506,0)),"? hors registre"))</f>
        <v/>
      </c>
      <c r="M1286" s="80"/>
      <c r="N1286" s="81" t="str">
        <f aca="false">IF(M1286="","",IFERROR(INDEX(BARDAGE!$C$7:$C$1506,MATCH(M1286,BARDAGE!$B$7:$B$1506,0)),"? hors registre"))</f>
        <v/>
      </c>
      <c r="O1286" s="80"/>
      <c r="P1286" s="80"/>
      <c r="Q1286" s="80"/>
      <c r="R1286" s="82"/>
      <c r="S1286" s="82"/>
      <c r="T1286" s="80"/>
      <c r="U1286" s="80"/>
      <c r="V1286" s="82"/>
      <c r="W1286" s="80"/>
      <c r="X1286" s="80"/>
      <c r="Y1286" s="80"/>
      <c r="Z1286" s="80"/>
      <c r="AA1286" s="82"/>
      <c r="AB1286" s="80"/>
      <c r="AC1286" s="80"/>
      <c r="AD1286" s="80"/>
      <c r="AE1286" s="80"/>
      <c r="AF1286" s="82"/>
      <c r="AG1286" s="80"/>
      <c r="AH1286" s="80"/>
      <c r="AI1286" s="82"/>
      <c r="AJ1286" s="79"/>
      <c r="AK1286" s="78" t="str">
        <f aca="false">IF(E1286="","",(X1286&lt;&gt;"")+(AC1286&lt;&gt;"")+(AH1286&lt;&gt;""))</f>
        <v/>
      </c>
      <c r="AL1286" s="81" t="str">
        <f aca="false">IF(AH1286&lt;&gt;"",AH1286,IF(AC1286&lt;&gt;"",AC1286,IF(X1286&lt;&gt;"",X1286,"")))</f>
        <v/>
      </c>
      <c r="AM1286" s="83" t="str">
        <f aca="false">IF(E1286="","",IF(R1286="","À SOUDER",IF(U1286="","VT EN ATTENTE",IF(U1286="R","VT REJETÉ – À REPRENDRE",IF(AL1286="","À RADIOGRAPHIER",IF(AL1286="A","ACCEPTÉ",IF(AL1286="NX","NX – RT À REFAIRE",IF(IF(AK1286=1,Z1286,IF(AK1286=2,AE1286,""))="A","RÉPARÉ – À RADIOGRAPHIER",IF(IF(AK1286=1,Z1286,IF(AK1286=2,AE1286,""))="R","VT REJETÉ – À REPRENDRE",IF(OR(AL1286="CO",AL1286="NT"),"COUPE – À RESOUDER","À RÉPARER"))))))))))</f>
        <v/>
      </c>
      <c r="AN1286" s="81" t="str">
        <f aca="false">IF(AND(ISNUMBER(R1286),OR(AM1286="À RADIOGRAPHIER",AM1286="RÉPARÉ – À RADIOGRAPHIER",AM1286="NX – RT À REFAIRE",AM1286="À RÉPARER",AM1286="COUPE – À RESOUDER",AM1286="VT REJETÉ – À REPRENDRE")),MAX(0,'PROGRAMME RT'!$C$4-R1286),"")</f>
        <v/>
      </c>
      <c r="AO1286" s="78" t="n">
        <f aca="false">IF(AND(OR(AM1286="À RADIOGRAPHIER",AM1286="RÉPARÉ – À RADIOGRAPHIER",AM1286="NX – RT À REFAIRE"),OR('PROGRAMME RT'!$D$5="TOUTES",B1286='PROGRAMME RT'!$D$5)),1,0)</f>
        <v>0</v>
      </c>
      <c r="AP1286" s="78" t="str">
        <f aca="false">IF(AO1286=1,SUM(AO$7:AO1286),"")</f>
        <v/>
      </c>
      <c r="AQ1286" s="78" t="n">
        <f aca="false">IF(AND(OR(X1286="R",X1286="NX",X1286="NT",X1286="CO"),OR('JOINTS DE RÉPARATION'!$D$5="TOUTES",B1286='JOINTS DE RÉPARATION'!$D$5),OR('JOINTS DE RÉPARATION'!$L$4="TOUS",AM1286&lt;&gt;"ACCEPTÉ")),1,0)</f>
        <v>0</v>
      </c>
      <c r="AR1286" s="78" t="str">
        <f aca="false">IF(AQ1286=1,SUM(AQ$7:AQ1286),"")</f>
        <v/>
      </c>
    </row>
    <row r="1287" customFormat="false" ht="15" hidden="false" customHeight="false" outlineLevel="0" collapsed="false">
      <c r="A1287" s="78" t="str">
        <f aca="false">IF(E1287="","",ROW()-6)</f>
        <v/>
      </c>
      <c r="B1287" s="79"/>
      <c r="C1287" s="80"/>
      <c r="D1287" s="80"/>
      <c r="E1287" s="80"/>
      <c r="F1287" s="80"/>
      <c r="G1287" s="80"/>
      <c r="H1287" s="80"/>
      <c r="I1287" s="80"/>
      <c r="J1287" s="80"/>
      <c r="K1287" s="80"/>
      <c r="L1287" s="81" t="str">
        <f aca="false">IF(K1287="","",IFERROR(INDEX(BARDAGE!$C$7:$C$1506,MATCH(K1287,BARDAGE!$B$7:$B$1506,0)),"? hors registre"))</f>
        <v/>
      </c>
      <c r="M1287" s="80"/>
      <c r="N1287" s="81" t="str">
        <f aca="false">IF(M1287="","",IFERROR(INDEX(BARDAGE!$C$7:$C$1506,MATCH(M1287,BARDAGE!$B$7:$B$1506,0)),"? hors registre"))</f>
        <v/>
      </c>
      <c r="O1287" s="80"/>
      <c r="P1287" s="80"/>
      <c r="Q1287" s="80"/>
      <c r="R1287" s="82"/>
      <c r="S1287" s="82"/>
      <c r="T1287" s="80"/>
      <c r="U1287" s="80"/>
      <c r="V1287" s="82"/>
      <c r="W1287" s="80"/>
      <c r="X1287" s="80"/>
      <c r="Y1287" s="80"/>
      <c r="Z1287" s="80"/>
      <c r="AA1287" s="82"/>
      <c r="AB1287" s="80"/>
      <c r="AC1287" s="80"/>
      <c r="AD1287" s="80"/>
      <c r="AE1287" s="80"/>
      <c r="AF1287" s="82"/>
      <c r="AG1287" s="80"/>
      <c r="AH1287" s="80"/>
      <c r="AI1287" s="82"/>
      <c r="AJ1287" s="79"/>
      <c r="AK1287" s="78" t="str">
        <f aca="false">IF(E1287="","",(X1287&lt;&gt;"")+(AC1287&lt;&gt;"")+(AH1287&lt;&gt;""))</f>
        <v/>
      </c>
      <c r="AL1287" s="81" t="str">
        <f aca="false">IF(AH1287&lt;&gt;"",AH1287,IF(AC1287&lt;&gt;"",AC1287,IF(X1287&lt;&gt;"",X1287,"")))</f>
        <v/>
      </c>
      <c r="AM1287" s="83" t="str">
        <f aca="false">IF(E1287="","",IF(R1287="","À SOUDER",IF(U1287="","VT EN ATTENTE",IF(U1287="R","VT REJETÉ – À REPRENDRE",IF(AL1287="","À RADIOGRAPHIER",IF(AL1287="A","ACCEPTÉ",IF(AL1287="NX","NX – RT À REFAIRE",IF(IF(AK1287=1,Z1287,IF(AK1287=2,AE1287,""))="A","RÉPARÉ – À RADIOGRAPHIER",IF(IF(AK1287=1,Z1287,IF(AK1287=2,AE1287,""))="R","VT REJETÉ – À REPRENDRE",IF(OR(AL1287="CO",AL1287="NT"),"COUPE – À RESOUDER","À RÉPARER"))))))))))</f>
        <v/>
      </c>
      <c r="AN1287" s="81" t="str">
        <f aca="false">IF(AND(ISNUMBER(R1287),OR(AM1287="À RADIOGRAPHIER",AM1287="RÉPARÉ – À RADIOGRAPHIER",AM1287="NX – RT À REFAIRE",AM1287="À RÉPARER",AM1287="COUPE – À RESOUDER",AM1287="VT REJETÉ – À REPRENDRE")),MAX(0,'PROGRAMME RT'!$C$4-R1287),"")</f>
        <v/>
      </c>
      <c r="AO1287" s="78" t="n">
        <f aca="false">IF(AND(OR(AM1287="À RADIOGRAPHIER",AM1287="RÉPARÉ – À RADIOGRAPHIER",AM1287="NX – RT À REFAIRE"),OR('PROGRAMME RT'!$D$5="TOUTES",B1287='PROGRAMME RT'!$D$5)),1,0)</f>
        <v>0</v>
      </c>
      <c r="AP1287" s="78" t="str">
        <f aca="false">IF(AO1287=1,SUM(AO$7:AO1287),"")</f>
        <v/>
      </c>
      <c r="AQ1287" s="78" t="n">
        <f aca="false">IF(AND(OR(X1287="R",X1287="NX",X1287="NT",X1287="CO"),OR('JOINTS DE RÉPARATION'!$D$5="TOUTES",B1287='JOINTS DE RÉPARATION'!$D$5),OR('JOINTS DE RÉPARATION'!$L$4="TOUS",AM1287&lt;&gt;"ACCEPTÉ")),1,0)</f>
        <v>0</v>
      </c>
      <c r="AR1287" s="78" t="str">
        <f aca="false">IF(AQ1287=1,SUM(AQ$7:AQ1287),"")</f>
        <v/>
      </c>
    </row>
    <row r="1288" customFormat="false" ht="15" hidden="false" customHeight="false" outlineLevel="0" collapsed="false">
      <c r="A1288" s="78" t="str">
        <f aca="false">IF(E1288="","",ROW()-6)</f>
        <v/>
      </c>
      <c r="B1288" s="79"/>
      <c r="C1288" s="80"/>
      <c r="D1288" s="80"/>
      <c r="E1288" s="80"/>
      <c r="F1288" s="80"/>
      <c r="G1288" s="80"/>
      <c r="H1288" s="80"/>
      <c r="I1288" s="80"/>
      <c r="J1288" s="80"/>
      <c r="K1288" s="80"/>
      <c r="L1288" s="81" t="str">
        <f aca="false">IF(K1288="","",IFERROR(INDEX(BARDAGE!$C$7:$C$1506,MATCH(K1288,BARDAGE!$B$7:$B$1506,0)),"? hors registre"))</f>
        <v/>
      </c>
      <c r="M1288" s="80"/>
      <c r="N1288" s="81" t="str">
        <f aca="false">IF(M1288="","",IFERROR(INDEX(BARDAGE!$C$7:$C$1506,MATCH(M1288,BARDAGE!$B$7:$B$1506,0)),"? hors registre"))</f>
        <v/>
      </c>
      <c r="O1288" s="80"/>
      <c r="P1288" s="80"/>
      <c r="Q1288" s="80"/>
      <c r="R1288" s="82"/>
      <c r="S1288" s="82"/>
      <c r="T1288" s="80"/>
      <c r="U1288" s="80"/>
      <c r="V1288" s="82"/>
      <c r="W1288" s="80"/>
      <c r="X1288" s="80"/>
      <c r="Y1288" s="80"/>
      <c r="Z1288" s="80"/>
      <c r="AA1288" s="82"/>
      <c r="AB1288" s="80"/>
      <c r="AC1288" s="80"/>
      <c r="AD1288" s="80"/>
      <c r="AE1288" s="80"/>
      <c r="AF1288" s="82"/>
      <c r="AG1288" s="80"/>
      <c r="AH1288" s="80"/>
      <c r="AI1288" s="82"/>
      <c r="AJ1288" s="79"/>
      <c r="AK1288" s="78" t="str">
        <f aca="false">IF(E1288="","",(X1288&lt;&gt;"")+(AC1288&lt;&gt;"")+(AH1288&lt;&gt;""))</f>
        <v/>
      </c>
      <c r="AL1288" s="81" t="str">
        <f aca="false">IF(AH1288&lt;&gt;"",AH1288,IF(AC1288&lt;&gt;"",AC1288,IF(X1288&lt;&gt;"",X1288,"")))</f>
        <v/>
      </c>
      <c r="AM1288" s="83" t="str">
        <f aca="false">IF(E1288="","",IF(R1288="","À SOUDER",IF(U1288="","VT EN ATTENTE",IF(U1288="R","VT REJETÉ – À REPRENDRE",IF(AL1288="","À RADIOGRAPHIER",IF(AL1288="A","ACCEPTÉ",IF(AL1288="NX","NX – RT À REFAIRE",IF(IF(AK1288=1,Z1288,IF(AK1288=2,AE1288,""))="A","RÉPARÉ – À RADIOGRAPHIER",IF(IF(AK1288=1,Z1288,IF(AK1288=2,AE1288,""))="R","VT REJETÉ – À REPRENDRE",IF(OR(AL1288="CO",AL1288="NT"),"COUPE – À RESOUDER","À RÉPARER"))))))))))</f>
        <v/>
      </c>
      <c r="AN1288" s="81" t="str">
        <f aca="false">IF(AND(ISNUMBER(R1288),OR(AM1288="À RADIOGRAPHIER",AM1288="RÉPARÉ – À RADIOGRAPHIER",AM1288="NX – RT À REFAIRE",AM1288="À RÉPARER",AM1288="COUPE – À RESOUDER",AM1288="VT REJETÉ – À REPRENDRE")),MAX(0,'PROGRAMME RT'!$C$4-R1288),"")</f>
        <v/>
      </c>
      <c r="AO1288" s="78" t="n">
        <f aca="false">IF(AND(OR(AM1288="À RADIOGRAPHIER",AM1288="RÉPARÉ – À RADIOGRAPHIER",AM1288="NX – RT À REFAIRE"),OR('PROGRAMME RT'!$D$5="TOUTES",B1288='PROGRAMME RT'!$D$5)),1,0)</f>
        <v>0</v>
      </c>
      <c r="AP1288" s="78" t="str">
        <f aca="false">IF(AO1288=1,SUM(AO$7:AO1288),"")</f>
        <v/>
      </c>
      <c r="AQ1288" s="78" t="n">
        <f aca="false">IF(AND(OR(X1288="R",X1288="NX",X1288="NT",X1288="CO"),OR('JOINTS DE RÉPARATION'!$D$5="TOUTES",B1288='JOINTS DE RÉPARATION'!$D$5),OR('JOINTS DE RÉPARATION'!$L$4="TOUS",AM1288&lt;&gt;"ACCEPTÉ")),1,0)</f>
        <v>0</v>
      </c>
      <c r="AR1288" s="78" t="str">
        <f aca="false">IF(AQ1288=1,SUM(AQ$7:AQ1288),"")</f>
        <v/>
      </c>
    </row>
    <row r="1289" customFormat="false" ht="15" hidden="false" customHeight="false" outlineLevel="0" collapsed="false">
      <c r="A1289" s="78" t="str">
        <f aca="false">IF(E1289="","",ROW()-6)</f>
        <v/>
      </c>
      <c r="B1289" s="79"/>
      <c r="C1289" s="80"/>
      <c r="D1289" s="80"/>
      <c r="E1289" s="80"/>
      <c r="F1289" s="80"/>
      <c r="G1289" s="80"/>
      <c r="H1289" s="80"/>
      <c r="I1289" s="80"/>
      <c r="J1289" s="80"/>
      <c r="K1289" s="80"/>
      <c r="L1289" s="81" t="str">
        <f aca="false">IF(K1289="","",IFERROR(INDEX(BARDAGE!$C$7:$C$1506,MATCH(K1289,BARDAGE!$B$7:$B$1506,0)),"? hors registre"))</f>
        <v/>
      </c>
      <c r="M1289" s="80"/>
      <c r="N1289" s="81" t="str">
        <f aca="false">IF(M1289="","",IFERROR(INDEX(BARDAGE!$C$7:$C$1506,MATCH(M1289,BARDAGE!$B$7:$B$1506,0)),"? hors registre"))</f>
        <v/>
      </c>
      <c r="O1289" s="80"/>
      <c r="P1289" s="80"/>
      <c r="Q1289" s="80"/>
      <c r="R1289" s="82"/>
      <c r="S1289" s="82"/>
      <c r="T1289" s="80"/>
      <c r="U1289" s="80"/>
      <c r="V1289" s="82"/>
      <c r="W1289" s="80"/>
      <c r="X1289" s="80"/>
      <c r="Y1289" s="80"/>
      <c r="Z1289" s="80"/>
      <c r="AA1289" s="82"/>
      <c r="AB1289" s="80"/>
      <c r="AC1289" s="80"/>
      <c r="AD1289" s="80"/>
      <c r="AE1289" s="80"/>
      <c r="AF1289" s="82"/>
      <c r="AG1289" s="80"/>
      <c r="AH1289" s="80"/>
      <c r="AI1289" s="82"/>
      <c r="AJ1289" s="79"/>
      <c r="AK1289" s="78" t="str">
        <f aca="false">IF(E1289="","",(X1289&lt;&gt;"")+(AC1289&lt;&gt;"")+(AH1289&lt;&gt;""))</f>
        <v/>
      </c>
      <c r="AL1289" s="81" t="str">
        <f aca="false">IF(AH1289&lt;&gt;"",AH1289,IF(AC1289&lt;&gt;"",AC1289,IF(X1289&lt;&gt;"",X1289,"")))</f>
        <v/>
      </c>
      <c r="AM1289" s="83" t="str">
        <f aca="false">IF(E1289="","",IF(R1289="","À SOUDER",IF(U1289="","VT EN ATTENTE",IF(U1289="R","VT REJETÉ – À REPRENDRE",IF(AL1289="","À RADIOGRAPHIER",IF(AL1289="A","ACCEPTÉ",IF(AL1289="NX","NX – RT À REFAIRE",IF(IF(AK1289=1,Z1289,IF(AK1289=2,AE1289,""))="A","RÉPARÉ – À RADIOGRAPHIER",IF(IF(AK1289=1,Z1289,IF(AK1289=2,AE1289,""))="R","VT REJETÉ – À REPRENDRE",IF(OR(AL1289="CO",AL1289="NT"),"COUPE – À RESOUDER","À RÉPARER"))))))))))</f>
        <v/>
      </c>
      <c r="AN1289" s="81" t="str">
        <f aca="false">IF(AND(ISNUMBER(R1289),OR(AM1289="À RADIOGRAPHIER",AM1289="RÉPARÉ – À RADIOGRAPHIER",AM1289="NX – RT À REFAIRE",AM1289="À RÉPARER",AM1289="COUPE – À RESOUDER",AM1289="VT REJETÉ – À REPRENDRE")),MAX(0,'PROGRAMME RT'!$C$4-R1289),"")</f>
        <v/>
      </c>
      <c r="AO1289" s="78" t="n">
        <f aca="false">IF(AND(OR(AM1289="À RADIOGRAPHIER",AM1289="RÉPARÉ – À RADIOGRAPHIER",AM1289="NX – RT À REFAIRE"),OR('PROGRAMME RT'!$D$5="TOUTES",B1289='PROGRAMME RT'!$D$5)),1,0)</f>
        <v>0</v>
      </c>
      <c r="AP1289" s="78" t="str">
        <f aca="false">IF(AO1289=1,SUM(AO$7:AO1289),"")</f>
        <v/>
      </c>
      <c r="AQ1289" s="78" t="n">
        <f aca="false">IF(AND(OR(X1289="R",X1289="NX",X1289="NT",X1289="CO"),OR('JOINTS DE RÉPARATION'!$D$5="TOUTES",B1289='JOINTS DE RÉPARATION'!$D$5),OR('JOINTS DE RÉPARATION'!$L$4="TOUS",AM1289&lt;&gt;"ACCEPTÉ")),1,0)</f>
        <v>0</v>
      </c>
      <c r="AR1289" s="78" t="str">
        <f aca="false">IF(AQ1289=1,SUM(AQ$7:AQ1289),"")</f>
        <v/>
      </c>
    </row>
    <row r="1290" customFormat="false" ht="15" hidden="false" customHeight="false" outlineLevel="0" collapsed="false">
      <c r="A1290" s="78" t="str">
        <f aca="false">IF(E1290="","",ROW()-6)</f>
        <v/>
      </c>
      <c r="B1290" s="79"/>
      <c r="C1290" s="80"/>
      <c r="D1290" s="80"/>
      <c r="E1290" s="80"/>
      <c r="F1290" s="80"/>
      <c r="G1290" s="80"/>
      <c r="H1290" s="80"/>
      <c r="I1290" s="80"/>
      <c r="J1290" s="80"/>
      <c r="K1290" s="80"/>
      <c r="L1290" s="81" t="str">
        <f aca="false">IF(K1290="","",IFERROR(INDEX(BARDAGE!$C$7:$C$1506,MATCH(K1290,BARDAGE!$B$7:$B$1506,0)),"? hors registre"))</f>
        <v/>
      </c>
      <c r="M1290" s="80"/>
      <c r="N1290" s="81" t="str">
        <f aca="false">IF(M1290="","",IFERROR(INDEX(BARDAGE!$C$7:$C$1506,MATCH(M1290,BARDAGE!$B$7:$B$1506,0)),"? hors registre"))</f>
        <v/>
      </c>
      <c r="O1290" s="80"/>
      <c r="P1290" s="80"/>
      <c r="Q1290" s="80"/>
      <c r="R1290" s="82"/>
      <c r="S1290" s="82"/>
      <c r="T1290" s="80"/>
      <c r="U1290" s="80"/>
      <c r="V1290" s="82"/>
      <c r="W1290" s="80"/>
      <c r="X1290" s="80"/>
      <c r="Y1290" s="80"/>
      <c r="Z1290" s="80"/>
      <c r="AA1290" s="82"/>
      <c r="AB1290" s="80"/>
      <c r="AC1290" s="80"/>
      <c r="AD1290" s="80"/>
      <c r="AE1290" s="80"/>
      <c r="AF1290" s="82"/>
      <c r="AG1290" s="80"/>
      <c r="AH1290" s="80"/>
      <c r="AI1290" s="82"/>
      <c r="AJ1290" s="79"/>
      <c r="AK1290" s="78" t="str">
        <f aca="false">IF(E1290="","",(X1290&lt;&gt;"")+(AC1290&lt;&gt;"")+(AH1290&lt;&gt;""))</f>
        <v/>
      </c>
      <c r="AL1290" s="81" t="str">
        <f aca="false">IF(AH1290&lt;&gt;"",AH1290,IF(AC1290&lt;&gt;"",AC1290,IF(X1290&lt;&gt;"",X1290,"")))</f>
        <v/>
      </c>
      <c r="AM1290" s="83" t="str">
        <f aca="false">IF(E1290="","",IF(R1290="","À SOUDER",IF(U1290="","VT EN ATTENTE",IF(U1290="R","VT REJETÉ – À REPRENDRE",IF(AL1290="","À RADIOGRAPHIER",IF(AL1290="A","ACCEPTÉ",IF(AL1290="NX","NX – RT À REFAIRE",IF(IF(AK1290=1,Z1290,IF(AK1290=2,AE1290,""))="A","RÉPARÉ – À RADIOGRAPHIER",IF(IF(AK1290=1,Z1290,IF(AK1290=2,AE1290,""))="R","VT REJETÉ – À REPRENDRE",IF(OR(AL1290="CO",AL1290="NT"),"COUPE – À RESOUDER","À RÉPARER"))))))))))</f>
        <v/>
      </c>
      <c r="AN1290" s="81" t="str">
        <f aca="false">IF(AND(ISNUMBER(R1290),OR(AM1290="À RADIOGRAPHIER",AM1290="RÉPARÉ – À RADIOGRAPHIER",AM1290="NX – RT À REFAIRE",AM1290="À RÉPARER",AM1290="COUPE – À RESOUDER",AM1290="VT REJETÉ – À REPRENDRE")),MAX(0,'PROGRAMME RT'!$C$4-R1290),"")</f>
        <v/>
      </c>
      <c r="AO1290" s="78" t="n">
        <f aca="false">IF(AND(OR(AM1290="À RADIOGRAPHIER",AM1290="RÉPARÉ – À RADIOGRAPHIER",AM1290="NX – RT À REFAIRE"),OR('PROGRAMME RT'!$D$5="TOUTES",B1290='PROGRAMME RT'!$D$5)),1,0)</f>
        <v>0</v>
      </c>
      <c r="AP1290" s="78" t="str">
        <f aca="false">IF(AO1290=1,SUM(AO$7:AO1290),"")</f>
        <v/>
      </c>
      <c r="AQ1290" s="78" t="n">
        <f aca="false">IF(AND(OR(X1290="R",X1290="NX",X1290="NT",X1290="CO"),OR('JOINTS DE RÉPARATION'!$D$5="TOUTES",B1290='JOINTS DE RÉPARATION'!$D$5),OR('JOINTS DE RÉPARATION'!$L$4="TOUS",AM1290&lt;&gt;"ACCEPTÉ")),1,0)</f>
        <v>0</v>
      </c>
      <c r="AR1290" s="78" t="str">
        <f aca="false">IF(AQ1290=1,SUM(AQ$7:AQ1290),"")</f>
        <v/>
      </c>
    </row>
    <row r="1291" customFormat="false" ht="15" hidden="false" customHeight="false" outlineLevel="0" collapsed="false">
      <c r="A1291" s="78" t="str">
        <f aca="false">IF(E1291="","",ROW()-6)</f>
        <v/>
      </c>
      <c r="B1291" s="79"/>
      <c r="C1291" s="80"/>
      <c r="D1291" s="80"/>
      <c r="E1291" s="80"/>
      <c r="F1291" s="80"/>
      <c r="G1291" s="80"/>
      <c r="H1291" s="80"/>
      <c r="I1291" s="80"/>
      <c r="J1291" s="80"/>
      <c r="K1291" s="80"/>
      <c r="L1291" s="81" t="str">
        <f aca="false">IF(K1291="","",IFERROR(INDEX(BARDAGE!$C$7:$C$1506,MATCH(K1291,BARDAGE!$B$7:$B$1506,0)),"? hors registre"))</f>
        <v/>
      </c>
      <c r="M1291" s="80"/>
      <c r="N1291" s="81" t="str">
        <f aca="false">IF(M1291="","",IFERROR(INDEX(BARDAGE!$C$7:$C$1506,MATCH(M1291,BARDAGE!$B$7:$B$1506,0)),"? hors registre"))</f>
        <v/>
      </c>
      <c r="O1291" s="80"/>
      <c r="P1291" s="80"/>
      <c r="Q1291" s="80"/>
      <c r="R1291" s="82"/>
      <c r="S1291" s="82"/>
      <c r="T1291" s="80"/>
      <c r="U1291" s="80"/>
      <c r="V1291" s="82"/>
      <c r="W1291" s="80"/>
      <c r="X1291" s="80"/>
      <c r="Y1291" s="80"/>
      <c r="Z1291" s="80"/>
      <c r="AA1291" s="82"/>
      <c r="AB1291" s="80"/>
      <c r="AC1291" s="80"/>
      <c r="AD1291" s="80"/>
      <c r="AE1291" s="80"/>
      <c r="AF1291" s="82"/>
      <c r="AG1291" s="80"/>
      <c r="AH1291" s="80"/>
      <c r="AI1291" s="82"/>
      <c r="AJ1291" s="79"/>
      <c r="AK1291" s="78" t="str">
        <f aca="false">IF(E1291="","",(X1291&lt;&gt;"")+(AC1291&lt;&gt;"")+(AH1291&lt;&gt;""))</f>
        <v/>
      </c>
      <c r="AL1291" s="81" t="str">
        <f aca="false">IF(AH1291&lt;&gt;"",AH1291,IF(AC1291&lt;&gt;"",AC1291,IF(X1291&lt;&gt;"",X1291,"")))</f>
        <v/>
      </c>
      <c r="AM1291" s="83" t="str">
        <f aca="false">IF(E1291="","",IF(R1291="","À SOUDER",IF(U1291="","VT EN ATTENTE",IF(U1291="R","VT REJETÉ – À REPRENDRE",IF(AL1291="","À RADIOGRAPHIER",IF(AL1291="A","ACCEPTÉ",IF(AL1291="NX","NX – RT À REFAIRE",IF(IF(AK1291=1,Z1291,IF(AK1291=2,AE1291,""))="A","RÉPARÉ – À RADIOGRAPHIER",IF(IF(AK1291=1,Z1291,IF(AK1291=2,AE1291,""))="R","VT REJETÉ – À REPRENDRE",IF(OR(AL1291="CO",AL1291="NT"),"COUPE – À RESOUDER","À RÉPARER"))))))))))</f>
        <v/>
      </c>
      <c r="AN1291" s="81" t="str">
        <f aca="false">IF(AND(ISNUMBER(R1291),OR(AM1291="À RADIOGRAPHIER",AM1291="RÉPARÉ – À RADIOGRAPHIER",AM1291="NX – RT À REFAIRE",AM1291="À RÉPARER",AM1291="COUPE – À RESOUDER",AM1291="VT REJETÉ – À REPRENDRE")),MAX(0,'PROGRAMME RT'!$C$4-R1291),"")</f>
        <v/>
      </c>
      <c r="AO1291" s="78" t="n">
        <f aca="false">IF(AND(OR(AM1291="À RADIOGRAPHIER",AM1291="RÉPARÉ – À RADIOGRAPHIER",AM1291="NX – RT À REFAIRE"),OR('PROGRAMME RT'!$D$5="TOUTES",B1291='PROGRAMME RT'!$D$5)),1,0)</f>
        <v>0</v>
      </c>
      <c r="AP1291" s="78" t="str">
        <f aca="false">IF(AO1291=1,SUM(AO$7:AO1291),"")</f>
        <v/>
      </c>
      <c r="AQ1291" s="78" t="n">
        <f aca="false">IF(AND(OR(X1291="R",X1291="NX",X1291="NT",X1291="CO"),OR('JOINTS DE RÉPARATION'!$D$5="TOUTES",B1291='JOINTS DE RÉPARATION'!$D$5),OR('JOINTS DE RÉPARATION'!$L$4="TOUS",AM1291&lt;&gt;"ACCEPTÉ")),1,0)</f>
        <v>0</v>
      </c>
      <c r="AR1291" s="78" t="str">
        <f aca="false">IF(AQ1291=1,SUM(AQ$7:AQ1291),"")</f>
        <v/>
      </c>
    </row>
    <row r="1292" customFormat="false" ht="15" hidden="false" customHeight="false" outlineLevel="0" collapsed="false">
      <c r="A1292" s="78" t="str">
        <f aca="false">IF(E1292="","",ROW()-6)</f>
        <v/>
      </c>
      <c r="B1292" s="79"/>
      <c r="C1292" s="80"/>
      <c r="D1292" s="80"/>
      <c r="E1292" s="80"/>
      <c r="F1292" s="80"/>
      <c r="G1292" s="80"/>
      <c r="H1292" s="80"/>
      <c r="I1292" s="80"/>
      <c r="J1292" s="80"/>
      <c r="K1292" s="80"/>
      <c r="L1292" s="81" t="str">
        <f aca="false">IF(K1292="","",IFERROR(INDEX(BARDAGE!$C$7:$C$1506,MATCH(K1292,BARDAGE!$B$7:$B$1506,0)),"? hors registre"))</f>
        <v/>
      </c>
      <c r="M1292" s="80"/>
      <c r="N1292" s="81" t="str">
        <f aca="false">IF(M1292="","",IFERROR(INDEX(BARDAGE!$C$7:$C$1506,MATCH(M1292,BARDAGE!$B$7:$B$1506,0)),"? hors registre"))</f>
        <v/>
      </c>
      <c r="O1292" s="80"/>
      <c r="P1292" s="80"/>
      <c r="Q1292" s="80"/>
      <c r="R1292" s="82"/>
      <c r="S1292" s="82"/>
      <c r="T1292" s="80"/>
      <c r="U1292" s="80"/>
      <c r="V1292" s="82"/>
      <c r="W1292" s="80"/>
      <c r="X1292" s="80"/>
      <c r="Y1292" s="80"/>
      <c r="Z1292" s="80"/>
      <c r="AA1292" s="82"/>
      <c r="AB1292" s="80"/>
      <c r="AC1292" s="80"/>
      <c r="AD1292" s="80"/>
      <c r="AE1292" s="80"/>
      <c r="AF1292" s="82"/>
      <c r="AG1292" s="80"/>
      <c r="AH1292" s="80"/>
      <c r="AI1292" s="82"/>
      <c r="AJ1292" s="79"/>
      <c r="AK1292" s="78" t="str">
        <f aca="false">IF(E1292="","",(X1292&lt;&gt;"")+(AC1292&lt;&gt;"")+(AH1292&lt;&gt;""))</f>
        <v/>
      </c>
      <c r="AL1292" s="81" t="str">
        <f aca="false">IF(AH1292&lt;&gt;"",AH1292,IF(AC1292&lt;&gt;"",AC1292,IF(X1292&lt;&gt;"",X1292,"")))</f>
        <v/>
      </c>
      <c r="AM1292" s="83" t="str">
        <f aca="false">IF(E1292="","",IF(R1292="","À SOUDER",IF(U1292="","VT EN ATTENTE",IF(U1292="R","VT REJETÉ – À REPRENDRE",IF(AL1292="","À RADIOGRAPHIER",IF(AL1292="A","ACCEPTÉ",IF(AL1292="NX","NX – RT À REFAIRE",IF(IF(AK1292=1,Z1292,IF(AK1292=2,AE1292,""))="A","RÉPARÉ – À RADIOGRAPHIER",IF(IF(AK1292=1,Z1292,IF(AK1292=2,AE1292,""))="R","VT REJETÉ – À REPRENDRE",IF(OR(AL1292="CO",AL1292="NT"),"COUPE – À RESOUDER","À RÉPARER"))))))))))</f>
        <v/>
      </c>
      <c r="AN1292" s="81" t="str">
        <f aca="false">IF(AND(ISNUMBER(R1292),OR(AM1292="À RADIOGRAPHIER",AM1292="RÉPARÉ – À RADIOGRAPHIER",AM1292="NX – RT À REFAIRE",AM1292="À RÉPARER",AM1292="COUPE – À RESOUDER",AM1292="VT REJETÉ – À REPRENDRE")),MAX(0,'PROGRAMME RT'!$C$4-R1292),"")</f>
        <v/>
      </c>
      <c r="AO1292" s="78" t="n">
        <f aca="false">IF(AND(OR(AM1292="À RADIOGRAPHIER",AM1292="RÉPARÉ – À RADIOGRAPHIER",AM1292="NX – RT À REFAIRE"),OR('PROGRAMME RT'!$D$5="TOUTES",B1292='PROGRAMME RT'!$D$5)),1,0)</f>
        <v>0</v>
      </c>
      <c r="AP1292" s="78" t="str">
        <f aca="false">IF(AO1292=1,SUM(AO$7:AO1292),"")</f>
        <v/>
      </c>
      <c r="AQ1292" s="78" t="n">
        <f aca="false">IF(AND(OR(X1292="R",X1292="NX",X1292="NT",X1292="CO"),OR('JOINTS DE RÉPARATION'!$D$5="TOUTES",B1292='JOINTS DE RÉPARATION'!$D$5),OR('JOINTS DE RÉPARATION'!$L$4="TOUS",AM1292&lt;&gt;"ACCEPTÉ")),1,0)</f>
        <v>0</v>
      </c>
      <c r="AR1292" s="78" t="str">
        <f aca="false">IF(AQ1292=1,SUM(AQ$7:AQ1292),"")</f>
        <v/>
      </c>
    </row>
    <row r="1293" customFormat="false" ht="15" hidden="false" customHeight="false" outlineLevel="0" collapsed="false">
      <c r="A1293" s="78" t="str">
        <f aca="false">IF(E1293="","",ROW()-6)</f>
        <v/>
      </c>
      <c r="B1293" s="79"/>
      <c r="C1293" s="80"/>
      <c r="D1293" s="80"/>
      <c r="E1293" s="80"/>
      <c r="F1293" s="80"/>
      <c r="G1293" s="80"/>
      <c r="H1293" s="80"/>
      <c r="I1293" s="80"/>
      <c r="J1293" s="80"/>
      <c r="K1293" s="80"/>
      <c r="L1293" s="81" t="str">
        <f aca="false">IF(K1293="","",IFERROR(INDEX(BARDAGE!$C$7:$C$1506,MATCH(K1293,BARDAGE!$B$7:$B$1506,0)),"? hors registre"))</f>
        <v/>
      </c>
      <c r="M1293" s="80"/>
      <c r="N1293" s="81" t="str">
        <f aca="false">IF(M1293="","",IFERROR(INDEX(BARDAGE!$C$7:$C$1506,MATCH(M1293,BARDAGE!$B$7:$B$1506,0)),"? hors registre"))</f>
        <v/>
      </c>
      <c r="O1293" s="80"/>
      <c r="P1293" s="80"/>
      <c r="Q1293" s="80"/>
      <c r="R1293" s="82"/>
      <c r="S1293" s="82"/>
      <c r="T1293" s="80"/>
      <c r="U1293" s="80"/>
      <c r="V1293" s="82"/>
      <c r="W1293" s="80"/>
      <c r="X1293" s="80"/>
      <c r="Y1293" s="80"/>
      <c r="Z1293" s="80"/>
      <c r="AA1293" s="82"/>
      <c r="AB1293" s="80"/>
      <c r="AC1293" s="80"/>
      <c r="AD1293" s="80"/>
      <c r="AE1293" s="80"/>
      <c r="AF1293" s="82"/>
      <c r="AG1293" s="80"/>
      <c r="AH1293" s="80"/>
      <c r="AI1293" s="82"/>
      <c r="AJ1293" s="79"/>
      <c r="AK1293" s="78" t="str">
        <f aca="false">IF(E1293="","",(X1293&lt;&gt;"")+(AC1293&lt;&gt;"")+(AH1293&lt;&gt;""))</f>
        <v/>
      </c>
      <c r="AL1293" s="81" t="str">
        <f aca="false">IF(AH1293&lt;&gt;"",AH1293,IF(AC1293&lt;&gt;"",AC1293,IF(X1293&lt;&gt;"",X1293,"")))</f>
        <v/>
      </c>
      <c r="AM1293" s="83" t="str">
        <f aca="false">IF(E1293="","",IF(R1293="","À SOUDER",IF(U1293="","VT EN ATTENTE",IF(U1293="R","VT REJETÉ – À REPRENDRE",IF(AL1293="","À RADIOGRAPHIER",IF(AL1293="A","ACCEPTÉ",IF(AL1293="NX","NX – RT À REFAIRE",IF(IF(AK1293=1,Z1293,IF(AK1293=2,AE1293,""))="A","RÉPARÉ – À RADIOGRAPHIER",IF(IF(AK1293=1,Z1293,IF(AK1293=2,AE1293,""))="R","VT REJETÉ – À REPRENDRE",IF(OR(AL1293="CO",AL1293="NT"),"COUPE – À RESOUDER","À RÉPARER"))))))))))</f>
        <v/>
      </c>
      <c r="AN1293" s="81" t="str">
        <f aca="false">IF(AND(ISNUMBER(R1293),OR(AM1293="À RADIOGRAPHIER",AM1293="RÉPARÉ – À RADIOGRAPHIER",AM1293="NX – RT À REFAIRE",AM1293="À RÉPARER",AM1293="COUPE – À RESOUDER",AM1293="VT REJETÉ – À REPRENDRE")),MAX(0,'PROGRAMME RT'!$C$4-R1293),"")</f>
        <v/>
      </c>
      <c r="AO1293" s="78" t="n">
        <f aca="false">IF(AND(OR(AM1293="À RADIOGRAPHIER",AM1293="RÉPARÉ – À RADIOGRAPHIER",AM1293="NX – RT À REFAIRE"),OR('PROGRAMME RT'!$D$5="TOUTES",B1293='PROGRAMME RT'!$D$5)),1,0)</f>
        <v>0</v>
      </c>
      <c r="AP1293" s="78" t="str">
        <f aca="false">IF(AO1293=1,SUM(AO$7:AO1293),"")</f>
        <v/>
      </c>
      <c r="AQ1293" s="78" t="n">
        <f aca="false">IF(AND(OR(X1293="R",X1293="NX",X1293="NT",X1293="CO"),OR('JOINTS DE RÉPARATION'!$D$5="TOUTES",B1293='JOINTS DE RÉPARATION'!$D$5),OR('JOINTS DE RÉPARATION'!$L$4="TOUS",AM1293&lt;&gt;"ACCEPTÉ")),1,0)</f>
        <v>0</v>
      </c>
      <c r="AR1293" s="78" t="str">
        <f aca="false">IF(AQ1293=1,SUM(AQ$7:AQ1293),"")</f>
        <v/>
      </c>
    </row>
    <row r="1294" customFormat="false" ht="15" hidden="false" customHeight="false" outlineLevel="0" collapsed="false">
      <c r="A1294" s="78" t="str">
        <f aca="false">IF(E1294="","",ROW()-6)</f>
        <v/>
      </c>
      <c r="B1294" s="79"/>
      <c r="C1294" s="80"/>
      <c r="D1294" s="80"/>
      <c r="E1294" s="80"/>
      <c r="F1294" s="80"/>
      <c r="G1294" s="80"/>
      <c r="H1294" s="80"/>
      <c r="I1294" s="80"/>
      <c r="J1294" s="80"/>
      <c r="K1294" s="80"/>
      <c r="L1294" s="81" t="str">
        <f aca="false">IF(K1294="","",IFERROR(INDEX(BARDAGE!$C$7:$C$1506,MATCH(K1294,BARDAGE!$B$7:$B$1506,0)),"? hors registre"))</f>
        <v/>
      </c>
      <c r="M1294" s="80"/>
      <c r="N1294" s="81" t="str">
        <f aca="false">IF(M1294="","",IFERROR(INDEX(BARDAGE!$C$7:$C$1506,MATCH(M1294,BARDAGE!$B$7:$B$1506,0)),"? hors registre"))</f>
        <v/>
      </c>
      <c r="O1294" s="80"/>
      <c r="P1294" s="80"/>
      <c r="Q1294" s="80"/>
      <c r="R1294" s="82"/>
      <c r="S1294" s="82"/>
      <c r="T1294" s="80"/>
      <c r="U1294" s="80"/>
      <c r="V1294" s="82"/>
      <c r="W1294" s="80"/>
      <c r="X1294" s="80"/>
      <c r="Y1294" s="80"/>
      <c r="Z1294" s="80"/>
      <c r="AA1294" s="82"/>
      <c r="AB1294" s="80"/>
      <c r="AC1294" s="80"/>
      <c r="AD1294" s="80"/>
      <c r="AE1294" s="80"/>
      <c r="AF1294" s="82"/>
      <c r="AG1294" s="80"/>
      <c r="AH1294" s="80"/>
      <c r="AI1294" s="82"/>
      <c r="AJ1294" s="79"/>
      <c r="AK1294" s="78" t="str">
        <f aca="false">IF(E1294="","",(X1294&lt;&gt;"")+(AC1294&lt;&gt;"")+(AH1294&lt;&gt;""))</f>
        <v/>
      </c>
      <c r="AL1294" s="81" t="str">
        <f aca="false">IF(AH1294&lt;&gt;"",AH1294,IF(AC1294&lt;&gt;"",AC1294,IF(X1294&lt;&gt;"",X1294,"")))</f>
        <v/>
      </c>
      <c r="AM1294" s="83" t="str">
        <f aca="false">IF(E1294="","",IF(R1294="","À SOUDER",IF(U1294="","VT EN ATTENTE",IF(U1294="R","VT REJETÉ – À REPRENDRE",IF(AL1294="","À RADIOGRAPHIER",IF(AL1294="A","ACCEPTÉ",IF(AL1294="NX","NX – RT À REFAIRE",IF(IF(AK1294=1,Z1294,IF(AK1294=2,AE1294,""))="A","RÉPARÉ – À RADIOGRAPHIER",IF(IF(AK1294=1,Z1294,IF(AK1294=2,AE1294,""))="R","VT REJETÉ – À REPRENDRE",IF(OR(AL1294="CO",AL1294="NT"),"COUPE – À RESOUDER","À RÉPARER"))))))))))</f>
        <v/>
      </c>
      <c r="AN1294" s="81" t="str">
        <f aca="false">IF(AND(ISNUMBER(R1294),OR(AM1294="À RADIOGRAPHIER",AM1294="RÉPARÉ – À RADIOGRAPHIER",AM1294="NX – RT À REFAIRE",AM1294="À RÉPARER",AM1294="COUPE – À RESOUDER",AM1294="VT REJETÉ – À REPRENDRE")),MAX(0,'PROGRAMME RT'!$C$4-R1294),"")</f>
        <v/>
      </c>
      <c r="AO1294" s="78" t="n">
        <f aca="false">IF(AND(OR(AM1294="À RADIOGRAPHIER",AM1294="RÉPARÉ – À RADIOGRAPHIER",AM1294="NX – RT À REFAIRE"),OR('PROGRAMME RT'!$D$5="TOUTES",B1294='PROGRAMME RT'!$D$5)),1,0)</f>
        <v>0</v>
      </c>
      <c r="AP1294" s="78" t="str">
        <f aca="false">IF(AO1294=1,SUM(AO$7:AO1294),"")</f>
        <v/>
      </c>
      <c r="AQ1294" s="78" t="n">
        <f aca="false">IF(AND(OR(X1294="R",X1294="NX",X1294="NT",X1294="CO"),OR('JOINTS DE RÉPARATION'!$D$5="TOUTES",B1294='JOINTS DE RÉPARATION'!$D$5),OR('JOINTS DE RÉPARATION'!$L$4="TOUS",AM1294&lt;&gt;"ACCEPTÉ")),1,0)</f>
        <v>0</v>
      </c>
      <c r="AR1294" s="78" t="str">
        <f aca="false">IF(AQ1294=1,SUM(AQ$7:AQ1294),"")</f>
        <v/>
      </c>
    </row>
    <row r="1295" customFormat="false" ht="15" hidden="false" customHeight="false" outlineLevel="0" collapsed="false">
      <c r="A1295" s="78" t="str">
        <f aca="false">IF(E1295="","",ROW()-6)</f>
        <v/>
      </c>
      <c r="B1295" s="79"/>
      <c r="C1295" s="80"/>
      <c r="D1295" s="80"/>
      <c r="E1295" s="80"/>
      <c r="F1295" s="80"/>
      <c r="G1295" s="80"/>
      <c r="H1295" s="80"/>
      <c r="I1295" s="80"/>
      <c r="J1295" s="80"/>
      <c r="K1295" s="80"/>
      <c r="L1295" s="81" t="str">
        <f aca="false">IF(K1295="","",IFERROR(INDEX(BARDAGE!$C$7:$C$1506,MATCH(K1295,BARDAGE!$B$7:$B$1506,0)),"? hors registre"))</f>
        <v/>
      </c>
      <c r="M1295" s="80"/>
      <c r="N1295" s="81" t="str">
        <f aca="false">IF(M1295="","",IFERROR(INDEX(BARDAGE!$C$7:$C$1506,MATCH(M1295,BARDAGE!$B$7:$B$1506,0)),"? hors registre"))</f>
        <v/>
      </c>
      <c r="O1295" s="80"/>
      <c r="P1295" s="80"/>
      <c r="Q1295" s="80"/>
      <c r="R1295" s="82"/>
      <c r="S1295" s="82"/>
      <c r="T1295" s="80"/>
      <c r="U1295" s="80"/>
      <c r="V1295" s="82"/>
      <c r="W1295" s="80"/>
      <c r="X1295" s="80"/>
      <c r="Y1295" s="80"/>
      <c r="Z1295" s="80"/>
      <c r="AA1295" s="82"/>
      <c r="AB1295" s="80"/>
      <c r="AC1295" s="80"/>
      <c r="AD1295" s="80"/>
      <c r="AE1295" s="80"/>
      <c r="AF1295" s="82"/>
      <c r="AG1295" s="80"/>
      <c r="AH1295" s="80"/>
      <c r="AI1295" s="82"/>
      <c r="AJ1295" s="79"/>
      <c r="AK1295" s="78" t="str">
        <f aca="false">IF(E1295="","",(X1295&lt;&gt;"")+(AC1295&lt;&gt;"")+(AH1295&lt;&gt;""))</f>
        <v/>
      </c>
      <c r="AL1295" s="81" t="str">
        <f aca="false">IF(AH1295&lt;&gt;"",AH1295,IF(AC1295&lt;&gt;"",AC1295,IF(X1295&lt;&gt;"",X1295,"")))</f>
        <v/>
      </c>
      <c r="AM1295" s="83" t="str">
        <f aca="false">IF(E1295="","",IF(R1295="","À SOUDER",IF(U1295="","VT EN ATTENTE",IF(U1295="R","VT REJETÉ – À REPRENDRE",IF(AL1295="","À RADIOGRAPHIER",IF(AL1295="A","ACCEPTÉ",IF(AL1295="NX","NX – RT À REFAIRE",IF(IF(AK1295=1,Z1295,IF(AK1295=2,AE1295,""))="A","RÉPARÉ – À RADIOGRAPHIER",IF(IF(AK1295=1,Z1295,IF(AK1295=2,AE1295,""))="R","VT REJETÉ – À REPRENDRE",IF(OR(AL1295="CO",AL1295="NT"),"COUPE – À RESOUDER","À RÉPARER"))))))))))</f>
        <v/>
      </c>
      <c r="AN1295" s="81" t="str">
        <f aca="false">IF(AND(ISNUMBER(R1295),OR(AM1295="À RADIOGRAPHIER",AM1295="RÉPARÉ – À RADIOGRAPHIER",AM1295="NX – RT À REFAIRE",AM1295="À RÉPARER",AM1295="COUPE – À RESOUDER",AM1295="VT REJETÉ – À REPRENDRE")),MAX(0,'PROGRAMME RT'!$C$4-R1295),"")</f>
        <v/>
      </c>
      <c r="AO1295" s="78" t="n">
        <f aca="false">IF(AND(OR(AM1295="À RADIOGRAPHIER",AM1295="RÉPARÉ – À RADIOGRAPHIER",AM1295="NX – RT À REFAIRE"),OR('PROGRAMME RT'!$D$5="TOUTES",B1295='PROGRAMME RT'!$D$5)),1,0)</f>
        <v>0</v>
      </c>
      <c r="AP1295" s="78" t="str">
        <f aca="false">IF(AO1295=1,SUM(AO$7:AO1295),"")</f>
        <v/>
      </c>
      <c r="AQ1295" s="78" t="n">
        <f aca="false">IF(AND(OR(X1295="R",X1295="NX",X1295="NT",X1295="CO"),OR('JOINTS DE RÉPARATION'!$D$5="TOUTES",B1295='JOINTS DE RÉPARATION'!$D$5),OR('JOINTS DE RÉPARATION'!$L$4="TOUS",AM1295&lt;&gt;"ACCEPTÉ")),1,0)</f>
        <v>0</v>
      </c>
      <c r="AR1295" s="78" t="str">
        <f aca="false">IF(AQ1295=1,SUM(AQ$7:AQ1295),"")</f>
        <v/>
      </c>
    </row>
    <row r="1296" customFormat="false" ht="15" hidden="false" customHeight="false" outlineLevel="0" collapsed="false">
      <c r="A1296" s="78" t="str">
        <f aca="false">IF(E1296="","",ROW()-6)</f>
        <v/>
      </c>
      <c r="B1296" s="79"/>
      <c r="C1296" s="80"/>
      <c r="D1296" s="80"/>
      <c r="E1296" s="80"/>
      <c r="F1296" s="80"/>
      <c r="G1296" s="80"/>
      <c r="H1296" s="80"/>
      <c r="I1296" s="80"/>
      <c r="J1296" s="80"/>
      <c r="K1296" s="80"/>
      <c r="L1296" s="81" t="str">
        <f aca="false">IF(K1296="","",IFERROR(INDEX(BARDAGE!$C$7:$C$1506,MATCH(K1296,BARDAGE!$B$7:$B$1506,0)),"? hors registre"))</f>
        <v/>
      </c>
      <c r="M1296" s="80"/>
      <c r="N1296" s="81" t="str">
        <f aca="false">IF(M1296="","",IFERROR(INDEX(BARDAGE!$C$7:$C$1506,MATCH(M1296,BARDAGE!$B$7:$B$1506,0)),"? hors registre"))</f>
        <v/>
      </c>
      <c r="O1296" s="80"/>
      <c r="P1296" s="80"/>
      <c r="Q1296" s="80"/>
      <c r="R1296" s="82"/>
      <c r="S1296" s="82"/>
      <c r="T1296" s="80"/>
      <c r="U1296" s="80"/>
      <c r="V1296" s="82"/>
      <c r="W1296" s="80"/>
      <c r="X1296" s="80"/>
      <c r="Y1296" s="80"/>
      <c r="Z1296" s="80"/>
      <c r="AA1296" s="82"/>
      <c r="AB1296" s="80"/>
      <c r="AC1296" s="80"/>
      <c r="AD1296" s="80"/>
      <c r="AE1296" s="80"/>
      <c r="AF1296" s="82"/>
      <c r="AG1296" s="80"/>
      <c r="AH1296" s="80"/>
      <c r="AI1296" s="82"/>
      <c r="AJ1296" s="79"/>
      <c r="AK1296" s="78" t="str">
        <f aca="false">IF(E1296="","",(X1296&lt;&gt;"")+(AC1296&lt;&gt;"")+(AH1296&lt;&gt;""))</f>
        <v/>
      </c>
      <c r="AL1296" s="81" t="str">
        <f aca="false">IF(AH1296&lt;&gt;"",AH1296,IF(AC1296&lt;&gt;"",AC1296,IF(X1296&lt;&gt;"",X1296,"")))</f>
        <v/>
      </c>
      <c r="AM1296" s="83" t="str">
        <f aca="false">IF(E1296="","",IF(R1296="","À SOUDER",IF(U1296="","VT EN ATTENTE",IF(U1296="R","VT REJETÉ – À REPRENDRE",IF(AL1296="","À RADIOGRAPHIER",IF(AL1296="A","ACCEPTÉ",IF(AL1296="NX","NX – RT À REFAIRE",IF(IF(AK1296=1,Z1296,IF(AK1296=2,AE1296,""))="A","RÉPARÉ – À RADIOGRAPHIER",IF(IF(AK1296=1,Z1296,IF(AK1296=2,AE1296,""))="R","VT REJETÉ – À REPRENDRE",IF(OR(AL1296="CO",AL1296="NT"),"COUPE – À RESOUDER","À RÉPARER"))))))))))</f>
        <v/>
      </c>
      <c r="AN1296" s="81" t="str">
        <f aca="false">IF(AND(ISNUMBER(R1296),OR(AM1296="À RADIOGRAPHIER",AM1296="RÉPARÉ – À RADIOGRAPHIER",AM1296="NX – RT À REFAIRE",AM1296="À RÉPARER",AM1296="COUPE – À RESOUDER",AM1296="VT REJETÉ – À REPRENDRE")),MAX(0,'PROGRAMME RT'!$C$4-R1296),"")</f>
        <v/>
      </c>
      <c r="AO1296" s="78" t="n">
        <f aca="false">IF(AND(OR(AM1296="À RADIOGRAPHIER",AM1296="RÉPARÉ – À RADIOGRAPHIER",AM1296="NX – RT À REFAIRE"),OR('PROGRAMME RT'!$D$5="TOUTES",B1296='PROGRAMME RT'!$D$5)),1,0)</f>
        <v>0</v>
      </c>
      <c r="AP1296" s="78" t="str">
        <f aca="false">IF(AO1296=1,SUM(AO$7:AO1296),"")</f>
        <v/>
      </c>
      <c r="AQ1296" s="78" t="n">
        <f aca="false">IF(AND(OR(X1296="R",X1296="NX",X1296="NT",X1296="CO"),OR('JOINTS DE RÉPARATION'!$D$5="TOUTES",B1296='JOINTS DE RÉPARATION'!$D$5),OR('JOINTS DE RÉPARATION'!$L$4="TOUS",AM1296&lt;&gt;"ACCEPTÉ")),1,0)</f>
        <v>0</v>
      </c>
      <c r="AR1296" s="78" t="str">
        <f aca="false">IF(AQ1296=1,SUM(AQ$7:AQ1296),"")</f>
        <v/>
      </c>
    </row>
    <row r="1297" customFormat="false" ht="15" hidden="false" customHeight="false" outlineLevel="0" collapsed="false">
      <c r="A1297" s="78" t="str">
        <f aca="false">IF(E1297="","",ROW()-6)</f>
        <v/>
      </c>
      <c r="B1297" s="79"/>
      <c r="C1297" s="80"/>
      <c r="D1297" s="80"/>
      <c r="E1297" s="80"/>
      <c r="F1297" s="80"/>
      <c r="G1297" s="80"/>
      <c r="H1297" s="80"/>
      <c r="I1297" s="80"/>
      <c r="J1297" s="80"/>
      <c r="K1297" s="80"/>
      <c r="L1297" s="81" t="str">
        <f aca="false">IF(K1297="","",IFERROR(INDEX(BARDAGE!$C$7:$C$1506,MATCH(K1297,BARDAGE!$B$7:$B$1506,0)),"? hors registre"))</f>
        <v/>
      </c>
      <c r="M1297" s="80"/>
      <c r="N1297" s="81" t="str">
        <f aca="false">IF(M1297="","",IFERROR(INDEX(BARDAGE!$C$7:$C$1506,MATCH(M1297,BARDAGE!$B$7:$B$1506,0)),"? hors registre"))</f>
        <v/>
      </c>
      <c r="O1297" s="80"/>
      <c r="P1297" s="80"/>
      <c r="Q1297" s="80"/>
      <c r="R1297" s="82"/>
      <c r="S1297" s="82"/>
      <c r="T1297" s="80"/>
      <c r="U1297" s="80"/>
      <c r="V1297" s="82"/>
      <c r="W1297" s="80"/>
      <c r="X1297" s="80"/>
      <c r="Y1297" s="80"/>
      <c r="Z1297" s="80"/>
      <c r="AA1297" s="82"/>
      <c r="AB1297" s="80"/>
      <c r="AC1297" s="80"/>
      <c r="AD1297" s="80"/>
      <c r="AE1297" s="80"/>
      <c r="AF1297" s="82"/>
      <c r="AG1297" s="80"/>
      <c r="AH1297" s="80"/>
      <c r="AI1297" s="82"/>
      <c r="AJ1297" s="79"/>
      <c r="AK1297" s="78" t="str">
        <f aca="false">IF(E1297="","",(X1297&lt;&gt;"")+(AC1297&lt;&gt;"")+(AH1297&lt;&gt;""))</f>
        <v/>
      </c>
      <c r="AL1297" s="81" t="str">
        <f aca="false">IF(AH1297&lt;&gt;"",AH1297,IF(AC1297&lt;&gt;"",AC1297,IF(X1297&lt;&gt;"",X1297,"")))</f>
        <v/>
      </c>
      <c r="AM1297" s="83" t="str">
        <f aca="false">IF(E1297="","",IF(R1297="","À SOUDER",IF(U1297="","VT EN ATTENTE",IF(U1297="R","VT REJETÉ – À REPRENDRE",IF(AL1297="","À RADIOGRAPHIER",IF(AL1297="A","ACCEPTÉ",IF(AL1297="NX","NX – RT À REFAIRE",IF(IF(AK1297=1,Z1297,IF(AK1297=2,AE1297,""))="A","RÉPARÉ – À RADIOGRAPHIER",IF(IF(AK1297=1,Z1297,IF(AK1297=2,AE1297,""))="R","VT REJETÉ – À REPRENDRE",IF(OR(AL1297="CO",AL1297="NT"),"COUPE – À RESOUDER","À RÉPARER"))))))))))</f>
        <v/>
      </c>
      <c r="AN1297" s="81" t="str">
        <f aca="false">IF(AND(ISNUMBER(R1297),OR(AM1297="À RADIOGRAPHIER",AM1297="RÉPARÉ – À RADIOGRAPHIER",AM1297="NX – RT À REFAIRE",AM1297="À RÉPARER",AM1297="COUPE – À RESOUDER",AM1297="VT REJETÉ – À REPRENDRE")),MAX(0,'PROGRAMME RT'!$C$4-R1297),"")</f>
        <v/>
      </c>
      <c r="AO1297" s="78" t="n">
        <f aca="false">IF(AND(OR(AM1297="À RADIOGRAPHIER",AM1297="RÉPARÉ – À RADIOGRAPHIER",AM1297="NX – RT À REFAIRE"),OR('PROGRAMME RT'!$D$5="TOUTES",B1297='PROGRAMME RT'!$D$5)),1,0)</f>
        <v>0</v>
      </c>
      <c r="AP1297" s="78" t="str">
        <f aca="false">IF(AO1297=1,SUM(AO$7:AO1297),"")</f>
        <v/>
      </c>
      <c r="AQ1297" s="78" t="n">
        <f aca="false">IF(AND(OR(X1297="R",X1297="NX",X1297="NT",X1297="CO"),OR('JOINTS DE RÉPARATION'!$D$5="TOUTES",B1297='JOINTS DE RÉPARATION'!$D$5),OR('JOINTS DE RÉPARATION'!$L$4="TOUS",AM1297&lt;&gt;"ACCEPTÉ")),1,0)</f>
        <v>0</v>
      </c>
      <c r="AR1297" s="78" t="str">
        <f aca="false">IF(AQ1297=1,SUM(AQ$7:AQ1297),"")</f>
        <v/>
      </c>
    </row>
    <row r="1298" customFormat="false" ht="15" hidden="false" customHeight="false" outlineLevel="0" collapsed="false">
      <c r="A1298" s="78" t="str">
        <f aca="false">IF(E1298="","",ROW()-6)</f>
        <v/>
      </c>
      <c r="B1298" s="79"/>
      <c r="C1298" s="80"/>
      <c r="D1298" s="80"/>
      <c r="E1298" s="80"/>
      <c r="F1298" s="80"/>
      <c r="G1298" s="80"/>
      <c r="H1298" s="80"/>
      <c r="I1298" s="80"/>
      <c r="J1298" s="80"/>
      <c r="K1298" s="80"/>
      <c r="L1298" s="81" t="str">
        <f aca="false">IF(K1298="","",IFERROR(INDEX(BARDAGE!$C$7:$C$1506,MATCH(K1298,BARDAGE!$B$7:$B$1506,0)),"? hors registre"))</f>
        <v/>
      </c>
      <c r="M1298" s="80"/>
      <c r="N1298" s="81" t="str">
        <f aca="false">IF(M1298="","",IFERROR(INDEX(BARDAGE!$C$7:$C$1506,MATCH(M1298,BARDAGE!$B$7:$B$1506,0)),"? hors registre"))</f>
        <v/>
      </c>
      <c r="O1298" s="80"/>
      <c r="P1298" s="80"/>
      <c r="Q1298" s="80"/>
      <c r="R1298" s="82"/>
      <c r="S1298" s="82"/>
      <c r="T1298" s="80"/>
      <c r="U1298" s="80"/>
      <c r="V1298" s="82"/>
      <c r="W1298" s="80"/>
      <c r="X1298" s="80"/>
      <c r="Y1298" s="80"/>
      <c r="Z1298" s="80"/>
      <c r="AA1298" s="82"/>
      <c r="AB1298" s="80"/>
      <c r="AC1298" s="80"/>
      <c r="AD1298" s="80"/>
      <c r="AE1298" s="80"/>
      <c r="AF1298" s="82"/>
      <c r="AG1298" s="80"/>
      <c r="AH1298" s="80"/>
      <c r="AI1298" s="82"/>
      <c r="AJ1298" s="79"/>
      <c r="AK1298" s="78" t="str">
        <f aca="false">IF(E1298="","",(X1298&lt;&gt;"")+(AC1298&lt;&gt;"")+(AH1298&lt;&gt;""))</f>
        <v/>
      </c>
      <c r="AL1298" s="81" t="str">
        <f aca="false">IF(AH1298&lt;&gt;"",AH1298,IF(AC1298&lt;&gt;"",AC1298,IF(X1298&lt;&gt;"",X1298,"")))</f>
        <v/>
      </c>
      <c r="AM1298" s="83" t="str">
        <f aca="false">IF(E1298="","",IF(R1298="","À SOUDER",IF(U1298="","VT EN ATTENTE",IF(U1298="R","VT REJETÉ – À REPRENDRE",IF(AL1298="","À RADIOGRAPHIER",IF(AL1298="A","ACCEPTÉ",IF(AL1298="NX","NX – RT À REFAIRE",IF(IF(AK1298=1,Z1298,IF(AK1298=2,AE1298,""))="A","RÉPARÉ – À RADIOGRAPHIER",IF(IF(AK1298=1,Z1298,IF(AK1298=2,AE1298,""))="R","VT REJETÉ – À REPRENDRE",IF(OR(AL1298="CO",AL1298="NT"),"COUPE – À RESOUDER","À RÉPARER"))))))))))</f>
        <v/>
      </c>
      <c r="AN1298" s="81" t="str">
        <f aca="false">IF(AND(ISNUMBER(R1298),OR(AM1298="À RADIOGRAPHIER",AM1298="RÉPARÉ – À RADIOGRAPHIER",AM1298="NX – RT À REFAIRE",AM1298="À RÉPARER",AM1298="COUPE – À RESOUDER",AM1298="VT REJETÉ – À REPRENDRE")),MAX(0,'PROGRAMME RT'!$C$4-R1298),"")</f>
        <v/>
      </c>
      <c r="AO1298" s="78" t="n">
        <f aca="false">IF(AND(OR(AM1298="À RADIOGRAPHIER",AM1298="RÉPARÉ – À RADIOGRAPHIER",AM1298="NX – RT À REFAIRE"),OR('PROGRAMME RT'!$D$5="TOUTES",B1298='PROGRAMME RT'!$D$5)),1,0)</f>
        <v>0</v>
      </c>
      <c r="AP1298" s="78" t="str">
        <f aca="false">IF(AO1298=1,SUM(AO$7:AO1298),"")</f>
        <v/>
      </c>
      <c r="AQ1298" s="78" t="n">
        <f aca="false">IF(AND(OR(X1298="R",X1298="NX",X1298="NT",X1298="CO"),OR('JOINTS DE RÉPARATION'!$D$5="TOUTES",B1298='JOINTS DE RÉPARATION'!$D$5),OR('JOINTS DE RÉPARATION'!$L$4="TOUS",AM1298&lt;&gt;"ACCEPTÉ")),1,0)</f>
        <v>0</v>
      </c>
      <c r="AR1298" s="78" t="str">
        <f aca="false">IF(AQ1298=1,SUM(AQ$7:AQ1298),"")</f>
        <v/>
      </c>
    </row>
    <row r="1299" customFormat="false" ht="15" hidden="false" customHeight="false" outlineLevel="0" collapsed="false">
      <c r="A1299" s="78" t="str">
        <f aca="false">IF(E1299="","",ROW()-6)</f>
        <v/>
      </c>
      <c r="B1299" s="79"/>
      <c r="C1299" s="80"/>
      <c r="D1299" s="80"/>
      <c r="E1299" s="80"/>
      <c r="F1299" s="80"/>
      <c r="G1299" s="80"/>
      <c r="H1299" s="80"/>
      <c r="I1299" s="80"/>
      <c r="J1299" s="80"/>
      <c r="K1299" s="80"/>
      <c r="L1299" s="81" t="str">
        <f aca="false">IF(K1299="","",IFERROR(INDEX(BARDAGE!$C$7:$C$1506,MATCH(K1299,BARDAGE!$B$7:$B$1506,0)),"? hors registre"))</f>
        <v/>
      </c>
      <c r="M1299" s="80"/>
      <c r="N1299" s="81" t="str">
        <f aca="false">IF(M1299="","",IFERROR(INDEX(BARDAGE!$C$7:$C$1506,MATCH(M1299,BARDAGE!$B$7:$B$1506,0)),"? hors registre"))</f>
        <v/>
      </c>
      <c r="O1299" s="80"/>
      <c r="P1299" s="80"/>
      <c r="Q1299" s="80"/>
      <c r="R1299" s="82"/>
      <c r="S1299" s="82"/>
      <c r="T1299" s="80"/>
      <c r="U1299" s="80"/>
      <c r="V1299" s="82"/>
      <c r="W1299" s="80"/>
      <c r="X1299" s="80"/>
      <c r="Y1299" s="80"/>
      <c r="Z1299" s="80"/>
      <c r="AA1299" s="82"/>
      <c r="AB1299" s="80"/>
      <c r="AC1299" s="80"/>
      <c r="AD1299" s="80"/>
      <c r="AE1299" s="80"/>
      <c r="AF1299" s="82"/>
      <c r="AG1299" s="80"/>
      <c r="AH1299" s="80"/>
      <c r="AI1299" s="82"/>
      <c r="AJ1299" s="79"/>
      <c r="AK1299" s="78" t="str">
        <f aca="false">IF(E1299="","",(X1299&lt;&gt;"")+(AC1299&lt;&gt;"")+(AH1299&lt;&gt;""))</f>
        <v/>
      </c>
      <c r="AL1299" s="81" t="str">
        <f aca="false">IF(AH1299&lt;&gt;"",AH1299,IF(AC1299&lt;&gt;"",AC1299,IF(X1299&lt;&gt;"",X1299,"")))</f>
        <v/>
      </c>
      <c r="AM1299" s="83" t="str">
        <f aca="false">IF(E1299="","",IF(R1299="","À SOUDER",IF(U1299="","VT EN ATTENTE",IF(U1299="R","VT REJETÉ – À REPRENDRE",IF(AL1299="","À RADIOGRAPHIER",IF(AL1299="A","ACCEPTÉ",IF(AL1299="NX","NX – RT À REFAIRE",IF(IF(AK1299=1,Z1299,IF(AK1299=2,AE1299,""))="A","RÉPARÉ – À RADIOGRAPHIER",IF(IF(AK1299=1,Z1299,IF(AK1299=2,AE1299,""))="R","VT REJETÉ – À REPRENDRE",IF(OR(AL1299="CO",AL1299="NT"),"COUPE – À RESOUDER","À RÉPARER"))))))))))</f>
        <v/>
      </c>
      <c r="AN1299" s="81" t="str">
        <f aca="false">IF(AND(ISNUMBER(R1299),OR(AM1299="À RADIOGRAPHIER",AM1299="RÉPARÉ – À RADIOGRAPHIER",AM1299="NX – RT À REFAIRE",AM1299="À RÉPARER",AM1299="COUPE – À RESOUDER",AM1299="VT REJETÉ – À REPRENDRE")),MAX(0,'PROGRAMME RT'!$C$4-R1299),"")</f>
        <v/>
      </c>
      <c r="AO1299" s="78" t="n">
        <f aca="false">IF(AND(OR(AM1299="À RADIOGRAPHIER",AM1299="RÉPARÉ – À RADIOGRAPHIER",AM1299="NX – RT À REFAIRE"),OR('PROGRAMME RT'!$D$5="TOUTES",B1299='PROGRAMME RT'!$D$5)),1,0)</f>
        <v>0</v>
      </c>
      <c r="AP1299" s="78" t="str">
        <f aca="false">IF(AO1299=1,SUM(AO$7:AO1299),"")</f>
        <v/>
      </c>
      <c r="AQ1299" s="78" t="n">
        <f aca="false">IF(AND(OR(X1299="R",X1299="NX",X1299="NT",X1299="CO"),OR('JOINTS DE RÉPARATION'!$D$5="TOUTES",B1299='JOINTS DE RÉPARATION'!$D$5),OR('JOINTS DE RÉPARATION'!$L$4="TOUS",AM1299&lt;&gt;"ACCEPTÉ")),1,0)</f>
        <v>0</v>
      </c>
      <c r="AR1299" s="78" t="str">
        <f aca="false">IF(AQ1299=1,SUM(AQ$7:AQ1299),"")</f>
        <v/>
      </c>
    </row>
    <row r="1300" customFormat="false" ht="15" hidden="false" customHeight="false" outlineLevel="0" collapsed="false">
      <c r="A1300" s="78" t="str">
        <f aca="false">IF(E1300="","",ROW()-6)</f>
        <v/>
      </c>
      <c r="B1300" s="79"/>
      <c r="C1300" s="80"/>
      <c r="D1300" s="80"/>
      <c r="E1300" s="80"/>
      <c r="F1300" s="80"/>
      <c r="G1300" s="80"/>
      <c r="H1300" s="80"/>
      <c r="I1300" s="80"/>
      <c r="J1300" s="80"/>
      <c r="K1300" s="80"/>
      <c r="L1300" s="81" t="str">
        <f aca="false">IF(K1300="","",IFERROR(INDEX(BARDAGE!$C$7:$C$1506,MATCH(K1300,BARDAGE!$B$7:$B$1506,0)),"? hors registre"))</f>
        <v/>
      </c>
      <c r="M1300" s="80"/>
      <c r="N1300" s="81" t="str">
        <f aca="false">IF(M1300="","",IFERROR(INDEX(BARDAGE!$C$7:$C$1506,MATCH(M1300,BARDAGE!$B$7:$B$1506,0)),"? hors registre"))</f>
        <v/>
      </c>
      <c r="O1300" s="80"/>
      <c r="P1300" s="80"/>
      <c r="Q1300" s="80"/>
      <c r="R1300" s="82"/>
      <c r="S1300" s="82"/>
      <c r="T1300" s="80"/>
      <c r="U1300" s="80"/>
      <c r="V1300" s="82"/>
      <c r="W1300" s="80"/>
      <c r="X1300" s="80"/>
      <c r="Y1300" s="80"/>
      <c r="Z1300" s="80"/>
      <c r="AA1300" s="82"/>
      <c r="AB1300" s="80"/>
      <c r="AC1300" s="80"/>
      <c r="AD1300" s="80"/>
      <c r="AE1300" s="80"/>
      <c r="AF1300" s="82"/>
      <c r="AG1300" s="80"/>
      <c r="AH1300" s="80"/>
      <c r="AI1300" s="82"/>
      <c r="AJ1300" s="79"/>
      <c r="AK1300" s="78" t="str">
        <f aca="false">IF(E1300="","",(X1300&lt;&gt;"")+(AC1300&lt;&gt;"")+(AH1300&lt;&gt;""))</f>
        <v/>
      </c>
      <c r="AL1300" s="81" t="str">
        <f aca="false">IF(AH1300&lt;&gt;"",AH1300,IF(AC1300&lt;&gt;"",AC1300,IF(X1300&lt;&gt;"",X1300,"")))</f>
        <v/>
      </c>
      <c r="AM1300" s="83" t="str">
        <f aca="false">IF(E1300="","",IF(R1300="","À SOUDER",IF(U1300="","VT EN ATTENTE",IF(U1300="R","VT REJETÉ – À REPRENDRE",IF(AL1300="","À RADIOGRAPHIER",IF(AL1300="A","ACCEPTÉ",IF(AL1300="NX","NX – RT À REFAIRE",IF(IF(AK1300=1,Z1300,IF(AK1300=2,AE1300,""))="A","RÉPARÉ – À RADIOGRAPHIER",IF(IF(AK1300=1,Z1300,IF(AK1300=2,AE1300,""))="R","VT REJETÉ – À REPRENDRE",IF(OR(AL1300="CO",AL1300="NT"),"COUPE – À RESOUDER","À RÉPARER"))))))))))</f>
        <v/>
      </c>
      <c r="AN1300" s="81" t="str">
        <f aca="false">IF(AND(ISNUMBER(R1300),OR(AM1300="À RADIOGRAPHIER",AM1300="RÉPARÉ – À RADIOGRAPHIER",AM1300="NX – RT À REFAIRE",AM1300="À RÉPARER",AM1300="COUPE – À RESOUDER",AM1300="VT REJETÉ – À REPRENDRE")),MAX(0,'PROGRAMME RT'!$C$4-R1300),"")</f>
        <v/>
      </c>
      <c r="AO1300" s="78" t="n">
        <f aca="false">IF(AND(OR(AM1300="À RADIOGRAPHIER",AM1300="RÉPARÉ – À RADIOGRAPHIER",AM1300="NX – RT À REFAIRE"),OR('PROGRAMME RT'!$D$5="TOUTES",B1300='PROGRAMME RT'!$D$5)),1,0)</f>
        <v>0</v>
      </c>
      <c r="AP1300" s="78" t="str">
        <f aca="false">IF(AO1300=1,SUM(AO$7:AO1300),"")</f>
        <v/>
      </c>
      <c r="AQ1300" s="78" t="n">
        <f aca="false">IF(AND(OR(X1300="R",X1300="NX",X1300="NT",X1300="CO"),OR('JOINTS DE RÉPARATION'!$D$5="TOUTES",B1300='JOINTS DE RÉPARATION'!$D$5),OR('JOINTS DE RÉPARATION'!$L$4="TOUS",AM1300&lt;&gt;"ACCEPTÉ")),1,0)</f>
        <v>0</v>
      </c>
      <c r="AR1300" s="78" t="str">
        <f aca="false">IF(AQ1300=1,SUM(AQ$7:AQ1300),"")</f>
        <v/>
      </c>
    </row>
    <row r="1301" customFormat="false" ht="15" hidden="false" customHeight="false" outlineLevel="0" collapsed="false">
      <c r="A1301" s="78" t="str">
        <f aca="false">IF(E1301="","",ROW()-6)</f>
        <v/>
      </c>
      <c r="B1301" s="79"/>
      <c r="C1301" s="80"/>
      <c r="D1301" s="80"/>
      <c r="E1301" s="80"/>
      <c r="F1301" s="80"/>
      <c r="G1301" s="80"/>
      <c r="H1301" s="80"/>
      <c r="I1301" s="80"/>
      <c r="J1301" s="80"/>
      <c r="K1301" s="80"/>
      <c r="L1301" s="81" t="str">
        <f aca="false">IF(K1301="","",IFERROR(INDEX(BARDAGE!$C$7:$C$1506,MATCH(K1301,BARDAGE!$B$7:$B$1506,0)),"? hors registre"))</f>
        <v/>
      </c>
      <c r="M1301" s="80"/>
      <c r="N1301" s="81" t="str">
        <f aca="false">IF(M1301="","",IFERROR(INDEX(BARDAGE!$C$7:$C$1506,MATCH(M1301,BARDAGE!$B$7:$B$1506,0)),"? hors registre"))</f>
        <v/>
      </c>
      <c r="O1301" s="80"/>
      <c r="P1301" s="80"/>
      <c r="Q1301" s="80"/>
      <c r="R1301" s="82"/>
      <c r="S1301" s="82"/>
      <c r="T1301" s="80"/>
      <c r="U1301" s="80"/>
      <c r="V1301" s="82"/>
      <c r="W1301" s="80"/>
      <c r="X1301" s="80"/>
      <c r="Y1301" s="80"/>
      <c r="Z1301" s="80"/>
      <c r="AA1301" s="82"/>
      <c r="AB1301" s="80"/>
      <c r="AC1301" s="80"/>
      <c r="AD1301" s="80"/>
      <c r="AE1301" s="80"/>
      <c r="AF1301" s="82"/>
      <c r="AG1301" s="80"/>
      <c r="AH1301" s="80"/>
      <c r="AI1301" s="82"/>
      <c r="AJ1301" s="79"/>
      <c r="AK1301" s="78" t="str">
        <f aca="false">IF(E1301="","",(X1301&lt;&gt;"")+(AC1301&lt;&gt;"")+(AH1301&lt;&gt;""))</f>
        <v/>
      </c>
      <c r="AL1301" s="81" t="str">
        <f aca="false">IF(AH1301&lt;&gt;"",AH1301,IF(AC1301&lt;&gt;"",AC1301,IF(X1301&lt;&gt;"",X1301,"")))</f>
        <v/>
      </c>
      <c r="AM1301" s="83" t="str">
        <f aca="false">IF(E1301="","",IF(R1301="","À SOUDER",IF(U1301="","VT EN ATTENTE",IF(U1301="R","VT REJETÉ – À REPRENDRE",IF(AL1301="","À RADIOGRAPHIER",IF(AL1301="A","ACCEPTÉ",IF(AL1301="NX","NX – RT À REFAIRE",IF(IF(AK1301=1,Z1301,IF(AK1301=2,AE1301,""))="A","RÉPARÉ – À RADIOGRAPHIER",IF(IF(AK1301=1,Z1301,IF(AK1301=2,AE1301,""))="R","VT REJETÉ – À REPRENDRE",IF(OR(AL1301="CO",AL1301="NT"),"COUPE – À RESOUDER","À RÉPARER"))))))))))</f>
        <v/>
      </c>
      <c r="AN1301" s="81" t="str">
        <f aca="false">IF(AND(ISNUMBER(R1301),OR(AM1301="À RADIOGRAPHIER",AM1301="RÉPARÉ – À RADIOGRAPHIER",AM1301="NX – RT À REFAIRE",AM1301="À RÉPARER",AM1301="COUPE – À RESOUDER",AM1301="VT REJETÉ – À REPRENDRE")),MAX(0,'PROGRAMME RT'!$C$4-R1301),"")</f>
        <v/>
      </c>
      <c r="AO1301" s="78" t="n">
        <f aca="false">IF(AND(OR(AM1301="À RADIOGRAPHIER",AM1301="RÉPARÉ – À RADIOGRAPHIER",AM1301="NX – RT À REFAIRE"),OR('PROGRAMME RT'!$D$5="TOUTES",B1301='PROGRAMME RT'!$D$5)),1,0)</f>
        <v>0</v>
      </c>
      <c r="AP1301" s="78" t="str">
        <f aca="false">IF(AO1301=1,SUM(AO$7:AO1301),"")</f>
        <v/>
      </c>
      <c r="AQ1301" s="78" t="n">
        <f aca="false">IF(AND(OR(X1301="R",X1301="NX",X1301="NT",X1301="CO"),OR('JOINTS DE RÉPARATION'!$D$5="TOUTES",B1301='JOINTS DE RÉPARATION'!$D$5),OR('JOINTS DE RÉPARATION'!$L$4="TOUS",AM1301&lt;&gt;"ACCEPTÉ")),1,0)</f>
        <v>0</v>
      </c>
      <c r="AR1301" s="78" t="str">
        <f aca="false">IF(AQ1301=1,SUM(AQ$7:AQ1301),"")</f>
        <v/>
      </c>
    </row>
    <row r="1302" customFormat="false" ht="15" hidden="false" customHeight="false" outlineLevel="0" collapsed="false">
      <c r="A1302" s="78" t="str">
        <f aca="false">IF(E1302="","",ROW()-6)</f>
        <v/>
      </c>
      <c r="B1302" s="79"/>
      <c r="C1302" s="80"/>
      <c r="D1302" s="80"/>
      <c r="E1302" s="80"/>
      <c r="F1302" s="80"/>
      <c r="G1302" s="80"/>
      <c r="H1302" s="80"/>
      <c r="I1302" s="80"/>
      <c r="J1302" s="80"/>
      <c r="K1302" s="80"/>
      <c r="L1302" s="81" t="str">
        <f aca="false">IF(K1302="","",IFERROR(INDEX(BARDAGE!$C$7:$C$1506,MATCH(K1302,BARDAGE!$B$7:$B$1506,0)),"? hors registre"))</f>
        <v/>
      </c>
      <c r="M1302" s="80"/>
      <c r="N1302" s="81" t="str">
        <f aca="false">IF(M1302="","",IFERROR(INDEX(BARDAGE!$C$7:$C$1506,MATCH(M1302,BARDAGE!$B$7:$B$1506,0)),"? hors registre"))</f>
        <v/>
      </c>
      <c r="O1302" s="80"/>
      <c r="P1302" s="80"/>
      <c r="Q1302" s="80"/>
      <c r="R1302" s="82"/>
      <c r="S1302" s="82"/>
      <c r="T1302" s="80"/>
      <c r="U1302" s="80"/>
      <c r="V1302" s="82"/>
      <c r="W1302" s="80"/>
      <c r="X1302" s="80"/>
      <c r="Y1302" s="80"/>
      <c r="Z1302" s="80"/>
      <c r="AA1302" s="82"/>
      <c r="AB1302" s="80"/>
      <c r="AC1302" s="80"/>
      <c r="AD1302" s="80"/>
      <c r="AE1302" s="80"/>
      <c r="AF1302" s="82"/>
      <c r="AG1302" s="80"/>
      <c r="AH1302" s="80"/>
      <c r="AI1302" s="82"/>
      <c r="AJ1302" s="79"/>
      <c r="AK1302" s="78" t="str">
        <f aca="false">IF(E1302="","",(X1302&lt;&gt;"")+(AC1302&lt;&gt;"")+(AH1302&lt;&gt;""))</f>
        <v/>
      </c>
      <c r="AL1302" s="81" t="str">
        <f aca="false">IF(AH1302&lt;&gt;"",AH1302,IF(AC1302&lt;&gt;"",AC1302,IF(X1302&lt;&gt;"",X1302,"")))</f>
        <v/>
      </c>
      <c r="AM1302" s="83" t="str">
        <f aca="false">IF(E1302="","",IF(R1302="","À SOUDER",IF(U1302="","VT EN ATTENTE",IF(U1302="R","VT REJETÉ – À REPRENDRE",IF(AL1302="","À RADIOGRAPHIER",IF(AL1302="A","ACCEPTÉ",IF(AL1302="NX","NX – RT À REFAIRE",IF(IF(AK1302=1,Z1302,IF(AK1302=2,AE1302,""))="A","RÉPARÉ – À RADIOGRAPHIER",IF(IF(AK1302=1,Z1302,IF(AK1302=2,AE1302,""))="R","VT REJETÉ – À REPRENDRE",IF(OR(AL1302="CO",AL1302="NT"),"COUPE – À RESOUDER","À RÉPARER"))))))))))</f>
        <v/>
      </c>
      <c r="AN1302" s="81" t="str">
        <f aca="false">IF(AND(ISNUMBER(R1302),OR(AM1302="À RADIOGRAPHIER",AM1302="RÉPARÉ – À RADIOGRAPHIER",AM1302="NX – RT À REFAIRE",AM1302="À RÉPARER",AM1302="COUPE – À RESOUDER",AM1302="VT REJETÉ – À REPRENDRE")),MAX(0,'PROGRAMME RT'!$C$4-R1302),"")</f>
        <v/>
      </c>
      <c r="AO1302" s="78" t="n">
        <f aca="false">IF(AND(OR(AM1302="À RADIOGRAPHIER",AM1302="RÉPARÉ – À RADIOGRAPHIER",AM1302="NX – RT À REFAIRE"),OR('PROGRAMME RT'!$D$5="TOUTES",B1302='PROGRAMME RT'!$D$5)),1,0)</f>
        <v>0</v>
      </c>
      <c r="AP1302" s="78" t="str">
        <f aca="false">IF(AO1302=1,SUM(AO$7:AO1302),"")</f>
        <v/>
      </c>
      <c r="AQ1302" s="78" t="n">
        <f aca="false">IF(AND(OR(X1302="R",X1302="NX",X1302="NT",X1302="CO"),OR('JOINTS DE RÉPARATION'!$D$5="TOUTES",B1302='JOINTS DE RÉPARATION'!$D$5),OR('JOINTS DE RÉPARATION'!$L$4="TOUS",AM1302&lt;&gt;"ACCEPTÉ")),1,0)</f>
        <v>0</v>
      </c>
      <c r="AR1302" s="78" t="str">
        <f aca="false">IF(AQ1302=1,SUM(AQ$7:AQ1302),"")</f>
        <v/>
      </c>
    </row>
    <row r="1303" customFormat="false" ht="15" hidden="false" customHeight="false" outlineLevel="0" collapsed="false">
      <c r="A1303" s="78" t="str">
        <f aca="false">IF(E1303="","",ROW()-6)</f>
        <v/>
      </c>
      <c r="B1303" s="79"/>
      <c r="C1303" s="80"/>
      <c r="D1303" s="80"/>
      <c r="E1303" s="80"/>
      <c r="F1303" s="80"/>
      <c r="G1303" s="80"/>
      <c r="H1303" s="80"/>
      <c r="I1303" s="80"/>
      <c r="J1303" s="80"/>
      <c r="K1303" s="80"/>
      <c r="L1303" s="81" t="str">
        <f aca="false">IF(K1303="","",IFERROR(INDEX(BARDAGE!$C$7:$C$1506,MATCH(K1303,BARDAGE!$B$7:$B$1506,0)),"? hors registre"))</f>
        <v/>
      </c>
      <c r="M1303" s="80"/>
      <c r="N1303" s="81" t="str">
        <f aca="false">IF(M1303="","",IFERROR(INDEX(BARDAGE!$C$7:$C$1506,MATCH(M1303,BARDAGE!$B$7:$B$1506,0)),"? hors registre"))</f>
        <v/>
      </c>
      <c r="O1303" s="80"/>
      <c r="P1303" s="80"/>
      <c r="Q1303" s="80"/>
      <c r="R1303" s="82"/>
      <c r="S1303" s="82"/>
      <c r="T1303" s="80"/>
      <c r="U1303" s="80"/>
      <c r="V1303" s="82"/>
      <c r="W1303" s="80"/>
      <c r="X1303" s="80"/>
      <c r="Y1303" s="80"/>
      <c r="Z1303" s="80"/>
      <c r="AA1303" s="82"/>
      <c r="AB1303" s="80"/>
      <c r="AC1303" s="80"/>
      <c r="AD1303" s="80"/>
      <c r="AE1303" s="80"/>
      <c r="AF1303" s="82"/>
      <c r="AG1303" s="80"/>
      <c r="AH1303" s="80"/>
      <c r="AI1303" s="82"/>
      <c r="AJ1303" s="79"/>
      <c r="AK1303" s="78" t="str">
        <f aca="false">IF(E1303="","",(X1303&lt;&gt;"")+(AC1303&lt;&gt;"")+(AH1303&lt;&gt;""))</f>
        <v/>
      </c>
      <c r="AL1303" s="81" t="str">
        <f aca="false">IF(AH1303&lt;&gt;"",AH1303,IF(AC1303&lt;&gt;"",AC1303,IF(X1303&lt;&gt;"",X1303,"")))</f>
        <v/>
      </c>
      <c r="AM1303" s="83" t="str">
        <f aca="false">IF(E1303="","",IF(R1303="","À SOUDER",IF(U1303="","VT EN ATTENTE",IF(U1303="R","VT REJETÉ – À REPRENDRE",IF(AL1303="","À RADIOGRAPHIER",IF(AL1303="A","ACCEPTÉ",IF(AL1303="NX","NX – RT À REFAIRE",IF(IF(AK1303=1,Z1303,IF(AK1303=2,AE1303,""))="A","RÉPARÉ – À RADIOGRAPHIER",IF(IF(AK1303=1,Z1303,IF(AK1303=2,AE1303,""))="R","VT REJETÉ – À REPRENDRE",IF(OR(AL1303="CO",AL1303="NT"),"COUPE – À RESOUDER","À RÉPARER"))))))))))</f>
        <v/>
      </c>
      <c r="AN1303" s="81" t="str">
        <f aca="false">IF(AND(ISNUMBER(R1303),OR(AM1303="À RADIOGRAPHIER",AM1303="RÉPARÉ – À RADIOGRAPHIER",AM1303="NX – RT À REFAIRE",AM1303="À RÉPARER",AM1303="COUPE – À RESOUDER",AM1303="VT REJETÉ – À REPRENDRE")),MAX(0,'PROGRAMME RT'!$C$4-R1303),"")</f>
        <v/>
      </c>
      <c r="AO1303" s="78" t="n">
        <f aca="false">IF(AND(OR(AM1303="À RADIOGRAPHIER",AM1303="RÉPARÉ – À RADIOGRAPHIER",AM1303="NX – RT À REFAIRE"),OR('PROGRAMME RT'!$D$5="TOUTES",B1303='PROGRAMME RT'!$D$5)),1,0)</f>
        <v>0</v>
      </c>
      <c r="AP1303" s="78" t="str">
        <f aca="false">IF(AO1303=1,SUM(AO$7:AO1303),"")</f>
        <v/>
      </c>
      <c r="AQ1303" s="78" t="n">
        <f aca="false">IF(AND(OR(X1303="R",X1303="NX",X1303="NT",X1303="CO"),OR('JOINTS DE RÉPARATION'!$D$5="TOUTES",B1303='JOINTS DE RÉPARATION'!$D$5),OR('JOINTS DE RÉPARATION'!$L$4="TOUS",AM1303&lt;&gt;"ACCEPTÉ")),1,0)</f>
        <v>0</v>
      </c>
      <c r="AR1303" s="78" t="str">
        <f aca="false">IF(AQ1303=1,SUM(AQ$7:AQ1303),"")</f>
        <v/>
      </c>
    </row>
    <row r="1304" customFormat="false" ht="15" hidden="false" customHeight="false" outlineLevel="0" collapsed="false">
      <c r="A1304" s="78" t="str">
        <f aca="false">IF(E1304="","",ROW()-6)</f>
        <v/>
      </c>
      <c r="B1304" s="79"/>
      <c r="C1304" s="80"/>
      <c r="D1304" s="80"/>
      <c r="E1304" s="80"/>
      <c r="F1304" s="80"/>
      <c r="G1304" s="80"/>
      <c r="H1304" s="80"/>
      <c r="I1304" s="80"/>
      <c r="J1304" s="80"/>
      <c r="K1304" s="80"/>
      <c r="L1304" s="81" t="str">
        <f aca="false">IF(K1304="","",IFERROR(INDEX(BARDAGE!$C$7:$C$1506,MATCH(K1304,BARDAGE!$B$7:$B$1506,0)),"? hors registre"))</f>
        <v/>
      </c>
      <c r="M1304" s="80"/>
      <c r="N1304" s="81" t="str">
        <f aca="false">IF(M1304="","",IFERROR(INDEX(BARDAGE!$C$7:$C$1506,MATCH(M1304,BARDAGE!$B$7:$B$1506,0)),"? hors registre"))</f>
        <v/>
      </c>
      <c r="O1304" s="80"/>
      <c r="P1304" s="80"/>
      <c r="Q1304" s="80"/>
      <c r="R1304" s="82"/>
      <c r="S1304" s="82"/>
      <c r="T1304" s="80"/>
      <c r="U1304" s="80"/>
      <c r="V1304" s="82"/>
      <c r="W1304" s="80"/>
      <c r="X1304" s="80"/>
      <c r="Y1304" s="80"/>
      <c r="Z1304" s="80"/>
      <c r="AA1304" s="82"/>
      <c r="AB1304" s="80"/>
      <c r="AC1304" s="80"/>
      <c r="AD1304" s="80"/>
      <c r="AE1304" s="80"/>
      <c r="AF1304" s="82"/>
      <c r="AG1304" s="80"/>
      <c r="AH1304" s="80"/>
      <c r="AI1304" s="82"/>
      <c r="AJ1304" s="79"/>
      <c r="AK1304" s="78" t="str">
        <f aca="false">IF(E1304="","",(X1304&lt;&gt;"")+(AC1304&lt;&gt;"")+(AH1304&lt;&gt;""))</f>
        <v/>
      </c>
      <c r="AL1304" s="81" t="str">
        <f aca="false">IF(AH1304&lt;&gt;"",AH1304,IF(AC1304&lt;&gt;"",AC1304,IF(X1304&lt;&gt;"",X1304,"")))</f>
        <v/>
      </c>
      <c r="AM1304" s="83" t="str">
        <f aca="false">IF(E1304="","",IF(R1304="","À SOUDER",IF(U1304="","VT EN ATTENTE",IF(U1304="R","VT REJETÉ – À REPRENDRE",IF(AL1304="","À RADIOGRAPHIER",IF(AL1304="A","ACCEPTÉ",IF(AL1304="NX","NX – RT À REFAIRE",IF(IF(AK1304=1,Z1304,IF(AK1304=2,AE1304,""))="A","RÉPARÉ – À RADIOGRAPHIER",IF(IF(AK1304=1,Z1304,IF(AK1304=2,AE1304,""))="R","VT REJETÉ – À REPRENDRE",IF(OR(AL1304="CO",AL1304="NT"),"COUPE – À RESOUDER","À RÉPARER"))))))))))</f>
        <v/>
      </c>
      <c r="AN1304" s="81" t="str">
        <f aca="false">IF(AND(ISNUMBER(R1304),OR(AM1304="À RADIOGRAPHIER",AM1304="RÉPARÉ – À RADIOGRAPHIER",AM1304="NX – RT À REFAIRE",AM1304="À RÉPARER",AM1304="COUPE – À RESOUDER",AM1304="VT REJETÉ – À REPRENDRE")),MAX(0,'PROGRAMME RT'!$C$4-R1304),"")</f>
        <v/>
      </c>
      <c r="AO1304" s="78" t="n">
        <f aca="false">IF(AND(OR(AM1304="À RADIOGRAPHIER",AM1304="RÉPARÉ – À RADIOGRAPHIER",AM1304="NX – RT À REFAIRE"),OR('PROGRAMME RT'!$D$5="TOUTES",B1304='PROGRAMME RT'!$D$5)),1,0)</f>
        <v>0</v>
      </c>
      <c r="AP1304" s="78" t="str">
        <f aca="false">IF(AO1304=1,SUM(AO$7:AO1304),"")</f>
        <v/>
      </c>
      <c r="AQ1304" s="78" t="n">
        <f aca="false">IF(AND(OR(X1304="R",X1304="NX",X1304="NT",X1304="CO"),OR('JOINTS DE RÉPARATION'!$D$5="TOUTES",B1304='JOINTS DE RÉPARATION'!$D$5),OR('JOINTS DE RÉPARATION'!$L$4="TOUS",AM1304&lt;&gt;"ACCEPTÉ")),1,0)</f>
        <v>0</v>
      </c>
      <c r="AR1304" s="78" t="str">
        <f aca="false">IF(AQ1304=1,SUM(AQ$7:AQ1304),"")</f>
        <v/>
      </c>
    </row>
    <row r="1305" customFormat="false" ht="15" hidden="false" customHeight="false" outlineLevel="0" collapsed="false">
      <c r="A1305" s="78" t="str">
        <f aca="false">IF(E1305="","",ROW()-6)</f>
        <v/>
      </c>
      <c r="B1305" s="79"/>
      <c r="C1305" s="80"/>
      <c r="D1305" s="80"/>
      <c r="E1305" s="80"/>
      <c r="F1305" s="80"/>
      <c r="G1305" s="80"/>
      <c r="H1305" s="80"/>
      <c r="I1305" s="80"/>
      <c r="J1305" s="80"/>
      <c r="K1305" s="80"/>
      <c r="L1305" s="81" t="str">
        <f aca="false">IF(K1305="","",IFERROR(INDEX(BARDAGE!$C$7:$C$1506,MATCH(K1305,BARDAGE!$B$7:$B$1506,0)),"? hors registre"))</f>
        <v/>
      </c>
      <c r="M1305" s="80"/>
      <c r="N1305" s="81" t="str">
        <f aca="false">IF(M1305="","",IFERROR(INDEX(BARDAGE!$C$7:$C$1506,MATCH(M1305,BARDAGE!$B$7:$B$1506,0)),"? hors registre"))</f>
        <v/>
      </c>
      <c r="O1305" s="80"/>
      <c r="P1305" s="80"/>
      <c r="Q1305" s="80"/>
      <c r="R1305" s="82"/>
      <c r="S1305" s="82"/>
      <c r="T1305" s="80"/>
      <c r="U1305" s="80"/>
      <c r="V1305" s="82"/>
      <c r="W1305" s="80"/>
      <c r="X1305" s="80"/>
      <c r="Y1305" s="80"/>
      <c r="Z1305" s="80"/>
      <c r="AA1305" s="82"/>
      <c r="AB1305" s="80"/>
      <c r="AC1305" s="80"/>
      <c r="AD1305" s="80"/>
      <c r="AE1305" s="80"/>
      <c r="AF1305" s="82"/>
      <c r="AG1305" s="80"/>
      <c r="AH1305" s="80"/>
      <c r="AI1305" s="82"/>
      <c r="AJ1305" s="79"/>
      <c r="AK1305" s="78" t="str">
        <f aca="false">IF(E1305="","",(X1305&lt;&gt;"")+(AC1305&lt;&gt;"")+(AH1305&lt;&gt;""))</f>
        <v/>
      </c>
      <c r="AL1305" s="81" t="str">
        <f aca="false">IF(AH1305&lt;&gt;"",AH1305,IF(AC1305&lt;&gt;"",AC1305,IF(X1305&lt;&gt;"",X1305,"")))</f>
        <v/>
      </c>
      <c r="AM1305" s="83" t="str">
        <f aca="false">IF(E1305="","",IF(R1305="","À SOUDER",IF(U1305="","VT EN ATTENTE",IF(U1305="R","VT REJETÉ – À REPRENDRE",IF(AL1305="","À RADIOGRAPHIER",IF(AL1305="A","ACCEPTÉ",IF(AL1305="NX","NX – RT À REFAIRE",IF(IF(AK1305=1,Z1305,IF(AK1305=2,AE1305,""))="A","RÉPARÉ – À RADIOGRAPHIER",IF(IF(AK1305=1,Z1305,IF(AK1305=2,AE1305,""))="R","VT REJETÉ – À REPRENDRE",IF(OR(AL1305="CO",AL1305="NT"),"COUPE – À RESOUDER","À RÉPARER"))))))))))</f>
        <v/>
      </c>
      <c r="AN1305" s="81" t="str">
        <f aca="false">IF(AND(ISNUMBER(R1305),OR(AM1305="À RADIOGRAPHIER",AM1305="RÉPARÉ – À RADIOGRAPHIER",AM1305="NX – RT À REFAIRE",AM1305="À RÉPARER",AM1305="COUPE – À RESOUDER",AM1305="VT REJETÉ – À REPRENDRE")),MAX(0,'PROGRAMME RT'!$C$4-R1305),"")</f>
        <v/>
      </c>
      <c r="AO1305" s="78" t="n">
        <f aca="false">IF(AND(OR(AM1305="À RADIOGRAPHIER",AM1305="RÉPARÉ – À RADIOGRAPHIER",AM1305="NX – RT À REFAIRE"),OR('PROGRAMME RT'!$D$5="TOUTES",B1305='PROGRAMME RT'!$D$5)),1,0)</f>
        <v>0</v>
      </c>
      <c r="AP1305" s="78" t="str">
        <f aca="false">IF(AO1305=1,SUM(AO$7:AO1305),"")</f>
        <v/>
      </c>
      <c r="AQ1305" s="78" t="n">
        <f aca="false">IF(AND(OR(X1305="R",X1305="NX",X1305="NT",X1305="CO"),OR('JOINTS DE RÉPARATION'!$D$5="TOUTES",B1305='JOINTS DE RÉPARATION'!$D$5),OR('JOINTS DE RÉPARATION'!$L$4="TOUS",AM1305&lt;&gt;"ACCEPTÉ")),1,0)</f>
        <v>0</v>
      </c>
      <c r="AR1305" s="78" t="str">
        <f aca="false">IF(AQ1305=1,SUM(AQ$7:AQ1305),"")</f>
        <v/>
      </c>
    </row>
    <row r="1306" customFormat="false" ht="15" hidden="false" customHeight="false" outlineLevel="0" collapsed="false">
      <c r="A1306" s="78" t="str">
        <f aca="false">IF(E1306="","",ROW()-6)</f>
        <v/>
      </c>
      <c r="B1306" s="79"/>
      <c r="C1306" s="80"/>
      <c r="D1306" s="80"/>
      <c r="E1306" s="80"/>
      <c r="F1306" s="80"/>
      <c r="G1306" s="80"/>
      <c r="H1306" s="80"/>
      <c r="I1306" s="80"/>
      <c r="J1306" s="80"/>
      <c r="K1306" s="80"/>
      <c r="L1306" s="81" t="str">
        <f aca="false">IF(K1306="","",IFERROR(INDEX(BARDAGE!$C$7:$C$1506,MATCH(K1306,BARDAGE!$B$7:$B$1506,0)),"? hors registre"))</f>
        <v/>
      </c>
      <c r="M1306" s="80"/>
      <c r="N1306" s="81" t="str">
        <f aca="false">IF(M1306="","",IFERROR(INDEX(BARDAGE!$C$7:$C$1506,MATCH(M1306,BARDAGE!$B$7:$B$1506,0)),"? hors registre"))</f>
        <v/>
      </c>
      <c r="O1306" s="80"/>
      <c r="P1306" s="80"/>
      <c r="Q1306" s="80"/>
      <c r="R1306" s="82"/>
      <c r="S1306" s="82"/>
      <c r="T1306" s="80"/>
      <c r="U1306" s="80"/>
      <c r="V1306" s="82"/>
      <c r="W1306" s="80"/>
      <c r="X1306" s="80"/>
      <c r="Y1306" s="80"/>
      <c r="Z1306" s="80"/>
      <c r="AA1306" s="82"/>
      <c r="AB1306" s="80"/>
      <c r="AC1306" s="80"/>
      <c r="AD1306" s="80"/>
      <c r="AE1306" s="80"/>
      <c r="AF1306" s="82"/>
      <c r="AG1306" s="80"/>
      <c r="AH1306" s="80"/>
      <c r="AI1306" s="82"/>
      <c r="AJ1306" s="79"/>
      <c r="AK1306" s="78" t="str">
        <f aca="false">IF(E1306="","",(X1306&lt;&gt;"")+(AC1306&lt;&gt;"")+(AH1306&lt;&gt;""))</f>
        <v/>
      </c>
      <c r="AL1306" s="81" t="str">
        <f aca="false">IF(AH1306&lt;&gt;"",AH1306,IF(AC1306&lt;&gt;"",AC1306,IF(X1306&lt;&gt;"",X1306,"")))</f>
        <v/>
      </c>
      <c r="AM1306" s="83" t="str">
        <f aca="false">IF(E1306="","",IF(R1306="","À SOUDER",IF(U1306="","VT EN ATTENTE",IF(U1306="R","VT REJETÉ – À REPRENDRE",IF(AL1306="","À RADIOGRAPHIER",IF(AL1306="A","ACCEPTÉ",IF(AL1306="NX","NX – RT À REFAIRE",IF(IF(AK1306=1,Z1306,IF(AK1306=2,AE1306,""))="A","RÉPARÉ – À RADIOGRAPHIER",IF(IF(AK1306=1,Z1306,IF(AK1306=2,AE1306,""))="R","VT REJETÉ – À REPRENDRE",IF(OR(AL1306="CO",AL1306="NT"),"COUPE – À RESOUDER","À RÉPARER"))))))))))</f>
        <v/>
      </c>
      <c r="AN1306" s="81" t="str">
        <f aca="false">IF(AND(ISNUMBER(R1306),OR(AM1306="À RADIOGRAPHIER",AM1306="RÉPARÉ – À RADIOGRAPHIER",AM1306="NX – RT À REFAIRE",AM1306="À RÉPARER",AM1306="COUPE – À RESOUDER",AM1306="VT REJETÉ – À REPRENDRE")),MAX(0,'PROGRAMME RT'!$C$4-R1306),"")</f>
        <v/>
      </c>
      <c r="AO1306" s="78" t="n">
        <f aca="false">IF(AND(OR(AM1306="À RADIOGRAPHIER",AM1306="RÉPARÉ – À RADIOGRAPHIER",AM1306="NX – RT À REFAIRE"),OR('PROGRAMME RT'!$D$5="TOUTES",B1306='PROGRAMME RT'!$D$5)),1,0)</f>
        <v>0</v>
      </c>
      <c r="AP1306" s="78" t="str">
        <f aca="false">IF(AO1306=1,SUM(AO$7:AO1306),"")</f>
        <v/>
      </c>
      <c r="AQ1306" s="78" t="n">
        <f aca="false">IF(AND(OR(X1306="R",X1306="NX",X1306="NT",X1306="CO"),OR('JOINTS DE RÉPARATION'!$D$5="TOUTES",B1306='JOINTS DE RÉPARATION'!$D$5),OR('JOINTS DE RÉPARATION'!$L$4="TOUS",AM1306&lt;&gt;"ACCEPTÉ")),1,0)</f>
        <v>0</v>
      </c>
      <c r="AR1306" s="78" t="str">
        <f aca="false">IF(AQ1306=1,SUM(AQ$7:AQ1306),"")</f>
        <v/>
      </c>
    </row>
    <row r="1307" customFormat="false" ht="15" hidden="false" customHeight="false" outlineLevel="0" collapsed="false">
      <c r="A1307" s="78" t="str">
        <f aca="false">IF(E1307="","",ROW()-6)</f>
        <v/>
      </c>
      <c r="B1307" s="79"/>
      <c r="C1307" s="80"/>
      <c r="D1307" s="80"/>
      <c r="E1307" s="80"/>
      <c r="F1307" s="80"/>
      <c r="G1307" s="80"/>
      <c r="H1307" s="80"/>
      <c r="I1307" s="80"/>
      <c r="J1307" s="80"/>
      <c r="K1307" s="80"/>
      <c r="L1307" s="81" t="str">
        <f aca="false">IF(K1307="","",IFERROR(INDEX(BARDAGE!$C$7:$C$1506,MATCH(K1307,BARDAGE!$B$7:$B$1506,0)),"? hors registre"))</f>
        <v/>
      </c>
      <c r="M1307" s="80"/>
      <c r="N1307" s="81" t="str">
        <f aca="false">IF(M1307="","",IFERROR(INDEX(BARDAGE!$C$7:$C$1506,MATCH(M1307,BARDAGE!$B$7:$B$1506,0)),"? hors registre"))</f>
        <v/>
      </c>
      <c r="O1307" s="80"/>
      <c r="P1307" s="80"/>
      <c r="Q1307" s="80"/>
      <c r="R1307" s="82"/>
      <c r="S1307" s="82"/>
      <c r="T1307" s="80"/>
      <c r="U1307" s="80"/>
      <c r="V1307" s="82"/>
      <c r="W1307" s="80"/>
      <c r="X1307" s="80"/>
      <c r="Y1307" s="80"/>
      <c r="Z1307" s="80"/>
      <c r="AA1307" s="82"/>
      <c r="AB1307" s="80"/>
      <c r="AC1307" s="80"/>
      <c r="AD1307" s="80"/>
      <c r="AE1307" s="80"/>
      <c r="AF1307" s="82"/>
      <c r="AG1307" s="80"/>
      <c r="AH1307" s="80"/>
      <c r="AI1307" s="82"/>
      <c r="AJ1307" s="79"/>
      <c r="AK1307" s="78" t="str">
        <f aca="false">IF(E1307="","",(X1307&lt;&gt;"")+(AC1307&lt;&gt;"")+(AH1307&lt;&gt;""))</f>
        <v/>
      </c>
      <c r="AL1307" s="81" t="str">
        <f aca="false">IF(AH1307&lt;&gt;"",AH1307,IF(AC1307&lt;&gt;"",AC1307,IF(X1307&lt;&gt;"",X1307,"")))</f>
        <v/>
      </c>
      <c r="AM1307" s="83" t="str">
        <f aca="false">IF(E1307="","",IF(R1307="","À SOUDER",IF(U1307="","VT EN ATTENTE",IF(U1307="R","VT REJETÉ – À REPRENDRE",IF(AL1307="","À RADIOGRAPHIER",IF(AL1307="A","ACCEPTÉ",IF(AL1307="NX","NX – RT À REFAIRE",IF(IF(AK1307=1,Z1307,IF(AK1307=2,AE1307,""))="A","RÉPARÉ – À RADIOGRAPHIER",IF(IF(AK1307=1,Z1307,IF(AK1307=2,AE1307,""))="R","VT REJETÉ – À REPRENDRE",IF(OR(AL1307="CO",AL1307="NT"),"COUPE – À RESOUDER","À RÉPARER"))))))))))</f>
        <v/>
      </c>
      <c r="AN1307" s="81" t="str">
        <f aca="false">IF(AND(ISNUMBER(R1307),OR(AM1307="À RADIOGRAPHIER",AM1307="RÉPARÉ – À RADIOGRAPHIER",AM1307="NX – RT À REFAIRE",AM1307="À RÉPARER",AM1307="COUPE – À RESOUDER",AM1307="VT REJETÉ – À REPRENDRE")),MAX(0,'PROGRAMME RT'!$C$4-R1307),"")</f>
        <v/>
      </c>
      <c r="AO1307" s="78" t="n">
        <f aca="false">IF(AND(OR(AM1307="À RADIOGRAPHIER",AM1307="RÉPARÉ – À RADIOGRAPHIER",AM1307="NX – RT À REFAIRE"),OR('PROGRAMME RT'!$D$5="TOUTES",B1307='PROGRAMME RT'!$D$5)),1,0)</f>
        <v>0</v>
      </c>
      <c r="AP1307" s="78" t="str">
        <f aca="false">IF(AO1307=1,SUM(AO$7:AO1307),"")</f>
        <v/>
      </c>
      <c r="AQ1307" s="78" t="n">
        <f aca="false">IF(AND(OR(X1307="R",X1307="NX",X1307="NT",X1307="CO"),OR('JOINTS DE RÉPARATION'!$D$5="TOUTES",B1307='JOINTS DE RÉPARATION'!$D$5),OR('JOINTS DE RÉPARATION'!$L$4="TOUS",AM1307&lt;&gt;"ACCEPTÉ")),1,0)</f>
        <v>0</v>
      </c>
      <c r="AR1307" s="78" t="str">
        <f aca="false">IF(AQ1307=1,SUM(AQ$7:AQ1307),"")</f>
        <v/>
      </c>
    </row>
    <row r="1308" customFormat="false" ht="15" hidden="false" customHeight="false" outlineLevel="0" collapsed="false">
      <c r="A1308" s="78" t="str">
        <f aca="false">IF(E1308="","",ROW()-6)</f>
        <v/>
      </c>
      <c r="B1308" s="79"/>
      <c r="C1308" s="80"/>
      <c r="D1308" s="80"/>
      <c r="E1308" s="80"/>
      <c r="F1308" s="80"/>
      <c r="G1308" s="80"/>
      <c r="H1308" s="80"/>
      <c r="I1308" s="80"/>
      <c r="J1308" s="80"/>
      <c r="K1308" s="80"/>
      <c r="L1308" s="81" t="str">
        <f aca="false">IF(K1308="","",IFERROR(INDEX(BARDAGE!$C$7:$C$1506,MATCH(K1308,BARDAGE!$B$7:$B$1506,0)),"? hors registre"))</f>
        <v/>
      </c>
      <c r="M1308" s="80"/>
      <c r="N1308" s="81" t="str">
        <f aca="false">IF(M1308="","",IFERROR(INDEX(BARDAGE!$C$7:$C$1506,MATCH(M1308,BARDAGE!$B$7:$B$1506,0)),"? hors registre"))</f>
        <v/>
      </c>
      <c r="O1308" s="80"/>
      <c r="P1308" s="80"/>
      <c r="Q1308" s="80"/>
      <c r="R1308" s="82"/>
      <c r="S1308" s="82"/>
      <c r="T1308" s="80"/>
      <c r="U1308" s="80"/>
      <c r="V1308" s="82"/>
      <c r="W1308" s="80"/>
      <c r="X1308" s="80"/>
      <c r="Y1308" s="80"/>
      <c r="Z1308" s="80"/>
      <c r="AA1308" s="82"/>
      <c r="AB1308" s="80"/>
      <c r="AC1308" s="80"/>
      <c r="AD1308" s="80"/>
      <c r="AE1308" s="80"/>
      <c r="AF1308" s="82"/>
      <c r="AG1308" s="80"/>
      <c r="AH1308" s="80"/>
      <c r="AI1308" s="82"/>
      <c r="AJ1308" s="79"/>
      <c r="AK1308" s="78" t="str">
        <f aca="false">IF(E1308="","",(X1308&lt;&gt;"")+(AC1308&lt;&gt;"")+(AH1308&lt;&gt;""))</f>
        <v/>
      </c>
      <c r="AL1308" s="81" t="str">
        <f aca="false">IF(AH1308&lt;&gt;"",AH1308,IF(AC1308&lt;&gt;"",AC1308,IF(X1308&lt;&gt;"",X1308,"")))</f>
        <v/>
      </c>
      <c r="AM1308" s="83" t="str">
        <f aca="false">IF(E1308="","",IF(R1308="","À SOUDER",IF(U1308="","VT EN ATTENTE",IF(U1308="R","VT REJETÉ – À REPRENDRE",IF(AL1308="","À RADIOGRAPHIER",IF(AL1308="A","ACCEPTÉ",IF(AL1308="NX","NX – RT À REFAIRE",IF(IF(AK1308=1,Z1308,IF(AK1308=2,AE1308,""))="A","RÉPARÉ – À RADIOGRAPHIER",IF(IF(AK1308=1,Z1308,IF(AK1308=2,AE1308,""))="R","VT REJETÉ – À REPRENDRE",IF(OR(AL1308="CO",AL1308="NT"),"COUPE – À RESOUDER","À RÉPARER"))))))))))</f>
        <v/>
      </c>
      <c r="AN1308" s="81" t="str">
        <f aca="false">IF(AND(ISNUMBER(R1308),OR(AM1308="À RADIOGRAPHIER",AM1308="RÉPARÉ – À RADIOGRAPHIER",AM1308="NX – RT À REFAIRE",AM1308="À RÉPARER",AM1308="COUPE – À RESOUDER",AM1308="VT REJETÉ – À REPRENDRE")),MAX(0,'PROGRAMME RT'!$C$4-R1308),"")</f>
        <v/>
      </c>
      <c r="AO1308" s="78" t="n">
        <f aca="false">IF(AND(OR(AM1308="À RADIOGRAPHIER",AM1308="RÉPARÉ – À RADIOGRAPHIER",AM1308="NX – RT À REFAIRE"),OR('PROGRAMME RT'!$D$5="TOUTES",B1308='PROGRAMME RT'!$D$5)),1,0)</f>
        <v>0</v>
      </c>
      <c r="AP1308" s="78" t="str">
        <f aca="false">IF(AO1308=1,SUM(AO$7:AO1308),"")</f>
        <v/>
      </c>
      <c r="AQ1308" s="78" t="n">
        <f aca="false">IF(AND(OR(X1308="R",X1308="NX",X1308="NT",X1308="CO"),OR('JOINTS DE RÉPARATION'!$D$5="TOUTES",B1308='JOINTS DE RÉPARATION'!$D$5),OR('JOINTS DE RÉPARATION'!$L$4="TOUS",AM1308&lt;&gt;"ACCEPTÉ")),1,0)</f>
        <v>0</v>
      </c>
      <c r="AR1308" s="78" t="str">
        <f aca="false">IF(AQ1308=1,SUM(AQ$7:AQ1308),"")</f>
        <v/>
      </c>
    </row>
    <row r="1309" customFormat="false" ht="15" hidden="false" customHeight="false" outlineLevel="0" collapsed="false">
      <c r="A1309" s="78" t="str">
        <f aca="false">IF(E1309="","",ROW()-6)</f>
        <v/>
      </c>
      <c r="B1309" s="79"/>
      <c r="C1309" s="80"/>
      <c r="D1309" s="80"/>
      <c r="E1309" s="80"/>
      <c r="F1309" s="80"/>
      <c r="G1309" s="80"/>
      <c r="H1309" s="80"/>
      <c r="I1309" s="80"/>
      <c r="J1309" s="80"/>
      <c r="K1309" s="80"/>
      <c r="L1309" s="81" t="str">
        <f aca="false">IF(K1309="","",IFERROR(INDEX(BARDAGE!$C$7:$C$1506,MATCH(K1309,BARDAGE!$B$7:$B$1506,0)),"? hors registre"))</f>
        <v/>
      </c>
      <c r="M1309" s="80"/>
      <c r="N1309" s="81" t="str">
        <f aca="false">IF(M1309="","",IFERROR(INDEX(BARDAGE!$C$7:$C$1506,MATCH(M1309,BARDAGE!$B$7:$B$1506,0)),"? hors registre"))</f>
        <v/>
      </c>
      <c r="O1309" s="80"/>
      <c r="P1309" s="80"/>
      <c r="Q1309" s="80"/>
      <c r="R1309" s="82"/>
      <c r="S1309" s="82"/>
      <c r="T1309" s="80"/>
      <c r="U1309" s="80"/>
      <c r="V1309" s="82"/>
      <c r="W1309" s="80"/>
      <c r="X1309" s="80"/>
      <c r="Y1309" s="80"/>
      <c r="Z1309" s="80"/>
      <c r="AA1309" s="82"/>
      <c r="AB1309" s="80"/>
      <c r="AC1309" s="80"/>
      <c r="AD1309" s="80"/>
      <c r="AE1309" s="80"/>
      <c r="AF1309" s="82"/>
      <c r="AG1309" s="80"/>
      <c r="AH1309" s="80"/>
      <c r="AI1309" s="82"/>
      <c r="AJ1309" s="79"/>
      <c r="AK1309" s="78" t="str">
        <f aca="false">IF(E1309="","",(X1309&lt;&gt;"")+(AC1309&lt;&gt;"")+(AH1309&lt;&gt;""))</f>
        <v/>
      </c>
      <c r="AL1309" s="81" t="str">
        <f aca="false">IF(AH1309&lt;&gt;"",AH1309,IF(AC1309&lt;&gt;"",AC1309,IF(X1309&lt;&gt;"",X1309,"")))</f>
        <v/>
      </c>
      <c r="AM1309" s="83" t="str">
        <f aca="false">IF(E1309="","",IF(R1309="","À SOUDER",IF(U1309="","VT EN ATTENTE",IF(U1309="R","VT REJETÉ – À REPRENDRE",IF(AL1309="","À RADIOGRAPHIER",IF(AL1309="A","ACCEPTÉ",IF(AL1309="NX","NX – RT À REFAIRE",IF(IF(AK1309=1,Z1309,IF(AK1309=2,AE1309,""))="A","RÉPARÉ – À RADIOGRAPHIER",IF(IF(AK1309=1,Z1309,IF(AK1309=2,AE1309,""))="R","VT REJETÉ – À REPRENDRE",IF(OR(AL1309="CO",AL1309="NT"),"COUPE – À RESOUDER","À RÉPARER"))))))))))</f>
        <v/>
      </c>
      <c r="AN1309" s="81" t="str">
        <f aca="false">IF(AND(ISNUMBER(R1309),OR(AM1309="À RADIOGRAPHIER",AM1309="RÉPARÉ – À RADIOGRAPHIER",AM1309="NX – RT À REFAIRE",AM1309="À RÉPARER",AM1309="COUPE – À RESOUDER",AM1309="VT REJETÉ – À REPRENDRE")),MAX(0,'PROGRAMME RT'!$C$4-R1309),"")</f>
        <v/>
      </c>
      <c r="AO1309" s="78" t="n">
        <f aca="false">IF(AND(OR(AM1309="À RADIOGRAPHIER",AM1309="RÉPARÉ – À RADIOGRAPHIER",AM1309="NX – RT À REFAIRE"),OR('PROGRAMME RT'!$D$5="TOUTES",B1309='PROGRAMME RT'!$D$5)),1,0)</f>
        <v>0</v>
      </c>
      <c r="AP1309" s="78" t="str">
        <f aca="false">IF(AO1309=1,SUM(AO$7:AO1309),"")</f>
        <v/>
      </c>
      <c r="AQ1309" s="78" t="n">
        <f aca="false">IF(AND(OR(X1309="R",X1309="NX",X1309="NT",X1309="CO"),OR('JOINTS DE RÉPARATION'!$D$5="TOUTES",B1309='JOINTS DE RÉPARATION'!$D$5),OR('JOINTS DE RÉPARATION'!$L$4="TOUS",AM1309&lt;&gt;"ACCEPTÉ")),1,0)</f>
        <v>0</v>
      </c>
      <c r="AR1309" s="78" t="str">
        <f aca="false">IF(AQ1309=1,SUM(AQ$7:AQ1309),"")</f>
        <v/>
      </c>
    </row>
    <row r="1310" customFormat="false" ht="15" hidden="false" customHeight="false" outlineLevel="0" collapsed="false">
      <c r="A1310" s="78" t="str">
        <f aca="false">IF(E1310="","",ROW()-6)</f>
        <v/>
      </c>
      <c r="B1310" s="79"/>
      <c r="C1310" s="80"/>
      <c r="D1310" s="80"/>
      <c r="E1310" s="80"/>
      <c r="F1310" s="80"/>
      <c r="G1310" s="80"/>
      <c r="H1310" s="80"/>
      <c r="I1310" s="80"/>
      <c r="J1310" s="80"/>
      <c r="K1310" s="80"/>
      <c r="L1310" s="81" t="str">
        <f aca="false">IF(K1310="","",IFERROR(INDEX(BARDAGE!$C$7:$C$1506,MATCH(K1310,BARDAGE!$B$7:$B$1506,0)),"? hors registre"))</f>
        <v/>
      </c>
      <c r="M1310" s="80"/>
      <c r="N1310" s="81" t="str">
        <f aca="false">IF(M1310="","",IFERROR(INDEX(BARDAGE!$C$7:$C$1506,MATCH(M1310,BARDAGE!$B$7:$B$1506,0)),"? hors registre"))</f>
        <v/>
      </c>
      <c r="O1310" s="80"/>
      <c r="P1310" s="80"/>
      <c r="Q1310" s="80"/>
      <c r="R1310" s="82"/>
      <c r="S1310" s="82"/>
      <c r="T1310" s="80"/>
      <c r="U1310" s="80"/>
      <c r="V1310" s="82"/>
      <c r="W1310" s="80"/>
      <c r="X1310" s="80"/>
      <c r="Y1310" s="80"/>
      <c r="Z1310" s="80"/>
      <c r="AA1310" s="82"/>
      <c r="AB1310" s="80"/>
      <c r="AC1310" s="80"/>
      <c r="AD1310" s="80"/>
      <c r="AE1310" s="80"/>
      <c r="AF1310" s="82"/>
      <c r="AG1310" s="80"/>
      <c r="AH1310" s="80"/>
      <c r="AI1310" s="82"/>
      <c r="AJ1310" s="79"/>
      <c r="AK1310" s="78" t="str">
        <f aca="false">IF(E1310="","",(X1310&lt;&gt;"")+(AC1310&lt;&gt;"")+(AH1310&lt;&gt;""))</f>
        <v/>
      </c>
      <c r="AL1310" s="81" t="str">
        <f aca="false">IF(AH1310&lt;&gt;"",AH1310,IF(AC1310&lt;&gt;"",AC1310,IF(X1310&lt;&gt;"",X1310,"")))</f>
        <v/>
      </c>
      <c r="AM1310" s="83" t="str">
        <f aca="false">IF(E1310="","",IF(R1310="","À SOUDER",IF(U1310="","VT EN ATTENTE",IF(U1310="R","VT REJETÉ – À REPRENDRE",IF(AL1310="","À RADIOGRAPHIER",IF(AL1310="A","ACCEPTÉ",IF(AL1310="NX","NX – RT À REFAIRE",IF(IF(AK1310=1,Z1310,IF(AK1310=2,AE1310,""))="A","RÉPARÉ – À RADIOGRAPHIER",IF(IF(AK1310=1,Z1310,IF(AK1310=2,AE1310,""))="R","VT REJETÉ – À REPRENDRE",IF(OR(AL1310="CO",AL1310="NT"),"COUPE – À RESOUDER","À RÉPARER"))))))))))</f>
        <v/>
      </c>
      <c r="AN1310" s="81" t="str">
        <f aca="false">IF(AND(ISNUMBER(R1310),OR(AM1310="À RADIOGRAPHIER",AM1310="RÉPARÉ – À RADIOGRAPHIER",AM1310="NX – RT À REFAIRE",AM1310="À RÉPARER",AM1310="COUPE – À RESOUDER",AM1310="VT REJETÉ – À REPRENDRE")),MAX(0,'PROGRAMME RT'!$C$4-R1310),"")</f>
        <v/>
      </c>
      <c r="AO1310" s="78" t="n">
        <f aca="false">IF(AND(OR(AM1310="À RADIOGRAPHIER",AM1310="RÉPARÉ – À RADIOGRAPHIER",AM1310="NX – RT À REFAIRE"),OR('PROGRAMME RT'!$D$5="TOUTES",B1310='PROGRAMME RT'!$D$5)),1,0)</f>
        <v>0</v>
      </c>
      <c r="AP1310" s="78" t="str">
        <f aca="false">IF(AO1310=1,SUM(AO$7:AO1310),"")</f>
        <v/>
      </c>
      <c r="AQ1310" s="78" t="n">
        <f aca="false">IF(AND(OR(X1310="R",X1310="NX",X1310="NT",X1310="CO"),OR('JOINTS DE RÉPARATION'!$D$5="TOUTES",B1310='JOINTS DE RÉPARATION'!$D$5),OR('JOINTS DE RÉPARATION'!$L$4="TOUS",AM1310&lt;&gt;"ACCEPTÉ")),1,0)</f>
        <v>0</v>
      </c>
      <c r="AR1310" s="78" t="str">
        <f aca="false">IF(AQ1310=1,SUM(AQ$7:AQ1310),"")</f>
        <v/>
      </c>
    </row>
    <row r="1311" customFormat="false" ht="15" hidden="false" customHeight="false" outlineLevel="0" collapsed="false">
      <c r="A1311" s="78" t="str">
        <f aca="false">IF(E1311="","",ROW()-6)</f>
        <v/>
      </c>
      <c r="B1311" s="79"/>
      <c r="C1311" s="80"/>
      <c r="D1311" s="80"/>
      <c r="E1311" s="80"/>
      <c r="F1311" s="80"/>
      <c r="G1311" s="80"/>
      <c r="H1311" s="80"/>
      <c r="I1311" s="80"/>
      <c r="J1311" s="80"/>
      <c r="K1311" s="80"/>
      <c r="L1311" s="81" t="str">
        <f aca="false">IF(K1311="","",IFERROR(INDEX(BARDAGE!$C$7:$C$1506,MATCH(K1311,BARDAGE!$B$7:$B$1506,0)),"? hors registre"))</f>
        <v/>
      </c>
      <c r="M1311" s="80"/>
      <c r="N1311" s="81" t="str">
        <f aca="false">IF(M1311="","",IFERROR(INDEX(BARDAGE!$C$7:$C$1506,MATCH(M1311,BARDAGE!$B$7:$B$1506,0)),"? hors registre"))</f>
        <v/>
      </c>
      <c r="O1311" s="80"/>
      <c r="P1311" s="80"/>
      <c r="Q1311" s="80"/>
      <c r="R1311" s="82"/>
      <c r="S1311" s="82"/>
      <c r="T1311" s="80"/>
      <c r="U1311" s="80"/>
      <c r="V1311" s="82"/>
      <c r="W1311" s="80"/>
      <c r="X1311" s="80"/>
      <c r="Y1311" s="80"/>
      <c r="Z1311" s="80"/>
      <c r="AA1311" s="82"/>
      <c r="AB1311" s="80"/>
      <c r="AC1311" s="80"/>
      <c r="AD1311" s="80"/>
      <c r="AE1311" s="80"/>
      <c r="AF1311" s="82"/>
      <c r="AG1311" s="80"/>
      <c r="AH1311" s="80"/>
      <c r="AI1311" s="82"/>
      <c r="AJ1311" s="79"/>
      <c r="AK1311" s="78" t="str">
        <f aca="false">IF(E1311="","",(X1311&lt;&gt;"")+(AC1311&lt;&gt;"")+(AH1311&lt;&gt;""))</f>
        <v/>
      </c>
      <c r="AL1311" s="81" t="str">
        <f aca="false">IF(AH1311&lt;&gt;"",AH1311,IF(AC1311&lt;&gt;"",AC1311,IF(X1311&lt;&gt;"",X1311,"")))</f>
        <v/>
      </c>
      <c r="AM1311" s="83" t="str">
        <f aca="false">IF(E1311="","",IF(R1311="","À SOUDER",IF(U1311="","VT EN ATTENTE",IF(U1311="R","VT REJETÉ – À REPRENDRE",IF(AL1311="","À RADIOGRAPHIER",IF(AL1311="A","ACCEPTÉ",IF(AL1311="NX","NX – RT À REFAIRE",IF(IF(AK1311=1,Z1311,IF(AK1311=2,AE1311,""))="A","RÉPARÉ – À RADIOGRAPHIER",IF(IF(AK1311=1,Z1311,IF(AK1311=2,AE1311,""))="R","VT REJETÉ – À REPRENDRE",IF(OR(AL1311="CO",AL1311="NT"),"COUPE – À RESOUDER","À RÉPARER"))))))))))</f>
        <v/>
      </c>
      <c r="AN1311" s="81" t="str">
        <f aca="false">IF(AND(ISNUMBER(R1311),OR(AM1311="À RADIOGRAPHIER",AM1311="RÉPARÉ – À RADIOGRAPHIER",AM1311="NX – RT À REFAIRE",AM1311="À RÉPARER",AM1311="COUPE – À RESOUDER",AM1311="VT REJETÉ – À REPRENDRE")),MAX(0,'PROGRAMME RT'!$C$4-R1311),"")</f>
        <v/>
      </c>
      <c r="AO1311" s="78" t="n">
        <f aca="false">IF(AND(OR(AM1311="À RADIOGRAPHIER",AM1311="RÉPARÉ – À RADIOGRAPHIER",AM1311="NX – RT À REFAIRE"),OR('PROGRAMME RT'!$D$5="TOUTES",B1311='PROGRAMME RT'!$D$5)),1,0)</f>
        <v>0</v>
      </c>
      <c r="AP1311" s="78" t="str">
        <f aca="false">IF(AO1311=1,SUM(AO$7:AO1311),"")</f>
        <v/>
      </c>
      <c r="AQ1311" s="78" t="n">
        <f aca="false">IF(AND(OR(X1311="R",X1311="NX",X1311="NT",X1311="CO"),OR('JOINTS DE RÉPARATION'!$D$5="TOUTES",B1311='JOINTS DE RÉPARATION'!$D$5),OR('JOINTS DE RÉPARATION'!$L$4="TOUS",AM1311&lt;&gt;"ACCEPTÉ")),1,0)</f>
        <v>0</v>
      </c>
      <c r="AR1311" s="78" t="str">
        <f aca="false">IF(AQ1311=1,SUM(AQ$7:AQ1311),"")</f>
        <v/>
      </c>
    </row>
    <row r="1312" customFormat="false" ht="15" hidden="false" customHeight="false" outlineLevel="0" collapsed="false">
      <c r="A1312" s="78" t="str">
        <f aca="false">IF(E1312="","",ROW()-6)</f>
        <v/>
      </c>
      <c r="B1312" s="79"/>
      <c r="C1312" s="80"/>
      <c r="D1312" s="80"/>
      <c r="E1312" s="80"/>
      <c r="F1312" s="80"/>
      <c r="G1312" s="80"/>
      <c r="H1312" s="80"/>
      <c r="I1312" s="80"/>
      <c r="J1312" s="80"/>
      <c r="K1312" s="80"/>
      <c r="L1312" s="81" t="str">
        <f aca="false">IF(K1312="","",IFERROR(INDEX(BARDAGE!$C$7:$C$1506,MATCH(K1312,BARDAGE!$B$7:$B$1506,0)),"? hors registre"))</f>
        <v/>
      </c>
      <c r="M1312" s="80"/>
      <c r="N1312" s="81" t="str">
        <f aca="false">IF(M1312="","",IFERROR(INDEX(BARDAGE!$C$7:$C$1506,MATCH(M1312,BARDAGE!$B$7:$B$1506,0)),"? hors registre"))</f>
        <v/>
      </c>
      <c r="O1312" s="80"/>
      <c r="P1312" s="80"/>
      <c r="Q1312" s="80"/>
      <c r="R1312" s="82"/>
      <c r="S1312" s="82"/>
      <c r="T1312" s="80"/>
      <c r="U1312" s="80"/>
      <c r="V1312" s="82"/>
      <c r="W1312" s="80"/>
      <c r="X1312" s="80"/>
      <c r="Y1312" s="80"/>
      <c r="Z1312" s="80"/>
      <c r="AA1312" s="82"/>
      <c r="AB1312" s="80"/>
      <c r="AC1312" s="80"/>
      <c r="AD1312" s="80"/>
      <c r="AE1312" s="80"/>
      <c r="AF1312" s="82"/>
      <c r="AG1312" s="80"/>
      <c r="AH1312" s="80"/>
      <c r="AI1312" s="82"/>
      <c r="AJ1312" s="79"/>
      <c r="AK1312" s="78" t="str">
        <f aca="false">IF(E1312="","",(X1312&lt;&gt;"")+(AC1312&lt;&gt;"")+(AH1312&lt;&gt;""))</f>
        <v/>
      </c>
      <c r="AL1312" s="81" t="str">
        <f aca="false">IF(AH1312&lt;&gt;"",AH1312,IF(AC1312&lt;&gt;"",AC1312,IF(X1312&lt;&gt;"",X1312,"")))</f>
        <v/>
      </c>
      <c r="AM1312" s="83" t="str">
        <f aca="false">IF(E1312="","",IF(R1312="","À SOUDER",IF(U1312="","VT EN ATTENTE",IF(U1312="R","VT REJETÉ – À REPRENDRE",IF(AL1312="","À RADIOGRAPHIER",IF(AL1312="A","ACCEPTÉ",IF(AL1312="NX","NX – RT À REFAIRE",IF(IF(AK1312=1,Z1312,IF(AK1312=2,AE1312,""))="A","RÉPARÉ – À RADIOGRAPHIER",IF(IF(AK1312=1,Z1312,IF(AK1312=2,AE1312,""))="R","VT REJETÉ – À REPRENDRE",IF(OR(AL1312="CO",AL1312="NT"),"COUPE – À RESOUDER","À RÉPARER"))))))))))</f>
        <v/>
      </c>
      <c r="AN1312" s="81" t="str">
        <f aca="false">IF(AND(ISNUMBER(R1312),OR(AM1312="À RADIOGRAPHIER",AM1312="RÉPARÉ – À RADIOGRAPHIER",AM1312="NX – RT À REFAIRE",AM1312="À RÉPARER",AM1312="COUPE – À RESOUDER",AM1312="VT REJETÉ – À REPRENDRE")),MAX(0,'PROGRAMME RT'!$C$4-R1312),"")</f>
        <v/>
      </c>
      <c r="AO1312" s="78" t="n">
        <f aca="false">IF(AND(OR(AM1312="À RADIOGRAPHIER",AM1312="RÉPARÉ – À RADIOGRAPHIER",AM1312="NX – RT À REFAIRE"),OR('PROGRAMME RT'!$D$5="TOUTES",B1312='PROGRAMME RT'!$D$5)),1,0)</f>
        <v>0</v>
      </c>
      <c r="AP1312" s="78" t="str">
        <f aca="false">IF(AO1312=1,SUM(AO$7:AO1312),"")</f>
        <v/>
      </c>
      <c r="AQ1312" s="78" t="n">
        <f aca="false">IF(AND(OR(X1312="R",X1312="NX",X1312="NT",X1312="CO"),OR('JOINTS DE RÉPARATION'!$D$5="TOUTES",B1312='JOINTS DE RÉPARATION'!$D$5),OR('JOINTS DE RÉPARATION'!$L$4="TOUS",AM1312&lt;&gt;"ACCEPTÉ")),1,0)</f>
        <v>0</v>
      </c>
      <c r="AR1312" s="78" t="str">
        <f aca="false">IF(AQ1312=1,SUM(AQ$7:AQ1312),"")</f>
        <v/>
      </c>
    </row>
    <row r="1313" customFormat="false" ht="15" hidden="false" customHeight="false" outlineLevel="0" collapsed="false">
      <c r="A1313" s="78" t="str">
        <f aca="false">IF(E1313="","",ROW()-6)</f>
        <v/>
      </c>
      <c r="B1313" s="79"/>
      <c r="C1313" s="80"/>
      <c r="D1313" s="80"/>
      <c r="E1313" s="80"/>
      <c r="F1313" s="80"/>
      <c r="G1313" s="80"/>
      <c r="H1313" s="80"/>
      <c r="I1313" s="80"/>
      <c r="J1313" s="80"/>
      <c r="K1313" s="80"/>
      <c r="L1313" s="81" t="str">
        <f aca="false">IF(K1313="","",IFERROR(INDEX(BARDAGE!$C$7:$C$1506,MATCH(K1313,BARDAGE!$B$7:$B$1506,0)),"? hors registre"))</f>
        <v/>
      </c>
      <c r="M1313" s="80"/>
      <c r="N1313" s="81" t="str">
        <f aca="false">IF(M1313="","",IFERROR(INDEX(BARDAGE!$C$7:$C$1506,MATCH(M1313,BARDAGE!$B$7:$B$1506,0)),"? hors registre"))</f>
        <v/>
      </c>
      <c r="O1313" s="80"/>
      <c r="P1313" s="80"/>
      <c r="Q1313" s="80"/>
      <c r="R1313" s="82"/>
      <c r="S1313" s="82"/>
      <c r="T1313" s="80"/>
      <c r="U1313" s="80"/>
      <c r="V1313" s="82"/>
      <c r="W1313" s="80"/>
      <c r="X1313" s="80"/>
      <c r="Y1313" s="80"/>
      <c r="Z1313" s="80"/>
      <c r="AA1313" s="82"/>
      <c r="AB1313" s="80"/>
      <c r="AC1313" s="80"/>
      <c r="AD1313" s="80"/>
      <c r="AE1313" s="80"/>
      <c r="AF1313" s="82"/>
      <c r="AG1313" s="80"/>
      <c r="AH1313" s="80"/>
      <c r="AI1313" s="82"/>
      <c r="AJ1313" s="79"/>
      <c r="AK1313" s="78" t="str">
        <f aca="false">IF(E1313="","",(X1313&lt;&gt;"")+(AC1313&lt;&gt;"")+(AH1313&lt;&gt;""))</f>
        <v/>
      </c>
      <c r="AL1313" s="81" t="str">
        <f aca="false">IF(AH1313&lt;&gt;"",AH1313,IF(AC1313&lt;&gt;"",AC1313,IF(X1313&lt;&gt;"",X1313,"")))</f>
        <v/>
      </c>
      <c r="AM1313" s="83" t="str">
        <f aca="false">IF(E1313="","",IF(R1313="","À SOUDER",IF(U1313="","VT EN ATTENTE",IF(U1313="R","VT REJETÉ – À REPRENDRE",IF(AL1313="","À RADIOGRAPHIER",IF(AL1313="A","ACCEPTÉ",IF(AL1313="NX","NX – RT À REFAIRE",IF(IF(AK1313=1,Z1313,IF(AK1313=2,AE1313,""))="A","RÉPARÉ – À RADIOGRAPHIER",IF(IF(AK1313=1,Z1313,IF(AK1313=2,AE1313,""))="R","VT REJETÉ – À REPRENDRE",IF(OR(AL1313="CO",AL1313="NT"),"COUPE – À RESOUDER","À RÉPARER"))))))))))</f>
        <v/>
      </c>
      <c r="AN1313" s="81" t="str">
        <f aca="false">IF(AND(ISNUMBER(R1313),OR(AM1313="À RADIOGRAPHIER",AM1313="RÉPARÉ – À RADIOGRAPHIER",AM1313="NX – RT À REFAIRE",AM1313="À RÉPARER",AM1313="COUPE – À RESOUDER",AM1313="VT REJETÉ – À REPRENDRE")),MAX(0,'PROGRAMME RT'!$C$4-R1313),"")</f>
        <v/>
      </c>
      <c r="AO1313" s="78" t="n">
        <f aca="false">IF(AND(OR(AM1313="À RADIOGRAPHIER",AM1313="RÉPARÉ – À RADIOGRAPHIER",AM1313="NX – RT À REFAIRE"),OR('PROGRAMME RT'!$D$5="TOUTES",B1313='PROGRAMME RT'!$D$5)),1,0)</f>
        <v>0</v>
      </c>
      <c r="AP1313" s="78" t="str">
        <f aca="false">IF(AO1313=1,SUM(AO$7:AO1313),"")</f>
        <v/>
      </c>
      <c r="AQ1313" s="78" t="n">
        <f aca="false">IF(AND(OR(X1313="R",X1313="NX",X1313="NT",X1313="CO"),OR('JOINTS DE RÉPARATION'!$D$5="TOUTES",B1313='JOINTS DE RÉPARATION'!$D$5),OR('JOINTS DE RÉPARATION'!$L$4="TOUS",AM1313&lt;&gt;"ACCEPTÉ")),1,0)</f>
        <v>0</v>
      </c>
      <c r="AR1313" s="78" t="str">
        <f aca="false">IF(AQ1313=1,SUM(AQ$7:AQ1313),"")</f>
        <v/>
      </c>
    </row>
    <row r="1314" customFormat="false" ht="15" hidden="false" customHeight="false" outlineLevel="0" collapsed="false">
      <c r="A1314" s="78" t="str">
        <f aca="false">IF(E1314="","",ROW()-6)</f>
        <v/>
      </c>
      <c r="B1314" s="79"/>
      <c r="C1314" s="80"/>
      <c r="D1314" s="80"/>
      <c r="E1314" s="80"/>
      <c r="F1314" s="80"/>
      <c r="G1314" s="80"/>
      <c r="H1314" s="80"/>
      <c r="I1314" s="80"/>
      <c r="J1314" s="80"/>
      <c r="K1314" s="80"/>
      <c r="L1314" s="81" t="str">
        <f aca="false">IF(K1314="","",IFERROR(INDEX(BARDAGE!$C$7:$C$1506,MATCH(K1314,BARDAGE!$B$7:$B$1506,0)),"? hors registre"))</f>
        <v/>
      </c>
      <c r="M1314" s="80"/>
      <c r="N1314" s="81" t="str">
        <f aca="false">IF(M1314="","",IFERROR(INDEX(BARDAGE!$C$7:$C$1506,MATCH(M1314,BARDAGE!$B$7:$B$1506,0)),"? hors registre"))</f>
        <v/>
      </c>
      <c r="O1314" s="80"/>
      <c r="P1314" s="80"/>
      <c r="Q1314" s="80"/>
      <c r="R1314" s="82"/>
      <c r="S1314" s="82"/>
      <c r="T1314" s="80"/>
      <c r="U1314" s="80"/>
      <c r="V1314" s="82"/>
      <c r="W1314" s="80"/>
      <c r="X1314" s="80"/>
      <c r="Y1314" s="80"/>
      <c r="Z1314" s="80"/>
      <c r="AA1314" s="82"/>
      <c r="AB1314" s="80"/>
      <c r="AC1314" s="80"/>
      <c r="AD1314" s="80"/>
      <c r="AE1314" s="80"/>
      <c r="AF1314" s="82"/>
      <c r="AG1314" s="80"/>
      <c r="AH1314" s="80"/>
      <c r="AI1314" s="82"/>
      <c r="AJ1314" s="79"/>
      <c r="AK1314" s="78" t="str">
        <f aca="false">IF(E1314="","",(X1314&lt;&gt;"")+(AC1314&lt;&gt;"")+(AH1314&lt;&gt;""))</f>
        <v/>
      </c>
      <c r="AL1314" s="81" t="str">
        <f aca="false">IF(AH1314&lt;&gt;"",AH1314,IF(AC1314&lt;&gt;"",AC1314,IF(X1314&lt;&gt;"",X1314,"")))</f>
        <v/>
      </c>
      <c r="AM1314" s="83" t="str">
        <f aca="false">IF(E1314="","",IF(R1314="","À SOUDER",IF(U1314="","VT EN ATTENTE",IF(U1314="R","VT REJETÉ – À REPRENDRE",IF(AL1314="","À RADIOGRAPHIER",IF(AL1314="A","ACCEPTÉ",IF(AL1314="NX","NX – RT À REFAIRE",IF(IF(AK1314=1,Z1314,IF(AK1314=2,AE1314,""))="A","RÉPARÉ – À RADIOGRAPHIER",IF(IF(AK1314=1,Z1314,IF(AK1314=2,AE1314,""))="R","VT REJETÉ – À REPRENDRE",IF(OR(AL1314="CO",AL1314="NT"),"COUPE – À RESOUDER","À RÉPARER"))))))))))</f>
        <v/>
      </c>
      <c r="AN1314" s="81" t="str">
        <f aca="false">IF(AND(ISNUMBER(R1314),OR(AM1314="À RADIOGRAPHIER",AM1314="RÉPARÉ – À RADIOGRAPHIER",AM1314="NX – RT À REFAIRE",AM1314="À RÉPARER",AM1314="COUPE – À RESOUDER",AM1314="VT REJETÉ – À REPRENDRE")),MAX(0,'PROGRAMME RT'!$C$4-R1314),"")</f>
        <v/>
      </c>
      <c r="AO1314" s="78" t="n">
        <f aca="false">IF(AND(OR(AM1314="À RADIOGRAPHIER",AM1314="RÉPARÉ – À RADIOGRAPHIER",AM1314="NX – RT À REFAIRE"),OR('PROGRAMME RT'!$D$5="TOUTES",B1314='PROGRAMME RT'!$D$5)),1,0)</f>
        <v>0</v>
      </c>
      <c r="AP1314" s="78" t="str">
        <f aca="false">IF(AO1314=1,SUM(AO$7:AO1314),"")</f>
        <v/>
      </c>
      <c r="AQ1314" s="78" t="n">
        <f aca="false">IF(AND(OR(X1314="R",X1314="NX",X1314="NT",X1314="CO"),OR('JOINTS DE RÉPARATION'!$D$5="TOUTES",B1314='JOINTS DE RÉPARATION'!$D$5),OR('JOINTS DE RÉPARATION'!$L$4="TOUS",AM1314&lt;&gt;"ACCEPTÉ")),1,0)</f>
        <v>0</v>
      </c>
      <c r="AR1314" s="78" t="str">
        <f aca="false">IF(AQ1314=1,SUM(AQ$7:AQ1314),"")</f>
        <v/>
      </c>
    </row>
    <row r="1315" customFormat="false" ht="15" hidden="false" customHeight="false" outlineLevel="0" collapsed="false">
      <c r="A1315" s="78" t="str">
        <f aca="false">IF(E1315="","",ROW()-6)</f>
        <v/>
      </c>
      <c r="B1315" s="79"/>
      <c r="C1315" s="80"/>
      <c r="D1315" s="80"/>
      <c r="E1315" s="80"/>
      <c r="F1315" s="80"/>
      <c r="G1315" s="80"/>
      <c r="H1315" s="80"/>
      <c r="I1315" s="80"/>
      <c r="J1315" s="80"/>
      <c r="K1315" s="80"/>
      <c r="L1315" s="81" t="str">
        <f aca="false">IF(K1315="","",IFERROR(INDEX(BARDAGE!$C$7:$C$1506,MATCH(K1315,BARDAGE!$B$7:$B$1506,0)),"? hors registre"))</f>
        <v/>
      </c>
      <c r="M1315" s="80"/>
      <c r="N1315" s="81" t="str">
        <f aca="false">IF(M1315="","",IFERROR(INDEX(BARDAGE!$C$7:$C$1506,MATCH(M1315,BARDAGE!$B$7:$B$1506,0)),"? hors registre"))</f>
        <v/>
      </c>
      <c r="O1315" s="80"/>
      <c r="P1315" s="80"/>
      <c r="Q1315" s="80"/>
      <c r="R1315" s="82"/>
      <c r="S1315" s="82"/>
      <c r="T1315" s="80"/>
      <c r="U1315" s="80"/>
      <c r="V1315" s="82"/>
      <c r="W1315" s="80"/>
      <c r="X1315" s="80"/>
      <c r="Y1315" s="80"/>
      <c r="Z1315" s="80"/>
      <c r="AA1315" s="82"/>
      <c r="AB1315" s="80"/>
      <c r="AC1315" s="80"/>
      <c r="AD1315" s="80"/>
      <c r="AE1315" s="80"/>
      <c r="AF1315" s="82"/>
      <c r="AG1315" s="80"/>
      <c r="AH1315" s="80"/>
      <c r="AI1315" s="82"/>
      <c r="AJ1315" s="79"/>
      <c r="AK1315" s="78" t="str">
        <f aca="false">IF(E1315="","",(X1315&lt;&gt;"")+(AC1315&lt;&gt;"")+(AH1315&lt;&gt;""))</f>
        <v/>
      </c>
      <c r="AL1315" s="81" t="str">
        <f aca="false">IF(AH1315&lt;&gt;"",AH1315,IF(AC1315&lt;&gt;"",AC1315,IF(X1315&lt;&gt;"",X1315,"")))</f>
        <v/>
      </c>
      <c r="AM1315" s="83" t="str">
        <f aca="false">IF(E1315="","",IF(R1315="","À SOUDER",IF(U1315="","VT EN ATTENTE",IF(U1315="R","VT REJETÉ – À REPRENDRE",IF(AL1315="","À RADIOGRAPHIER",IF(AL1315="A","ACCEPTÉ",IF(AL1315="NX","NX – RT À REFAIRE",IF(IF(AK1315=1,Z1315,IF(AK1315=2,AE1315,""))="A","RÉPARÉ – À RADIOGRAPHIER",IF(IF(AK1315=1,Z1315,IF(AK1315=2,AE1315,""))="R","VT REJETÉ – À REPRENDRE",IF(OR(AL1315="CO",AL1315="NT"),"COUPE – À RESOUDER","À RÉPARER"))))))))))</f>
        <v/>
      </c>
      <c r="AN1315" s="81" t="str">
        <f aca="false">IF(AND(ISNUMBER(R1315),OR(AM1315="À RADIOGRAPHIER",AM1315="RÉPARÉ – À RADIOGRAPHIER",AM1315="NX – RT À REFAIRE",AM1315="À RÉPARER",AM1315="COUPE – À RESOUDER",AM1315="VT REJETÉ – À REPRENDRE")),MAX(0,'PROGRAMME RT'!$C$4-R1315),"")</f>
        <v/>
      </c>
      <c r="AO1315" s="78" t="n">
        <f aca="false">IF(AND(OR(AM1315="À RADIOGRAPHIER",AM1315="RÉPARÉ – À RADIOGRAPHIER",AM1315="NX – RT À REFAIRE"),OR('PROGRAMME RT'!$D$5="TOUTES",B1315='PROGRAMME RT'!$D$5)),1,0)</f>
        <v>0</v>
      </c>
      <c r="AP1315" s="78" t="str">
        <f aca="false">IF(AO1315=1,SUM(AO$7:AO1315),"")</f>
        <v/>
      </c>
      <c r="AQ1315" s="78" t="n">
        <f aca="false">IF(AND(OR(X1315="R",X1315="NX",X1315="NT",X1315="CO"),OR('JOINTS DE RÉPARATION'!$D$5="TOUTES",B1315='JOINTS DE RÉPARATION'!$D$5),OR('JOINTS DE RÉPARATION'!$L$4="TOUS",AM1315&lt;&gt;"ACCEPTÉ")),1,0)</f>
        <v>0</v>
      </c>
      <c r="AR1315" s="78" t="str">
        <f aca="false">IF(AQ1315=1,SUM(AQ$7:AQ1315),"")</f>
        <v/>
      </c>
    </row>
    <row r="1316" customFormat="false" ht="15" hidden="false" customHeight="false" outlineLevel="0" collapsed="false">
      <c r="A1316" s="78" t="str">
        <f aca="false">IF(E1316="","",ROW()-6)</f>
        <v/>
      </c>
      <c r="B1316" s="79"/>
      <c r="C1316" s="80"/>
      <c r="D1316" s="80"/>
      <c r="E1316" s="80"/>
      <c r="F1316" s="80"/>
      <c r="G1316" s="80"/>
      <c r="H1316" s="80"/>
      <c r="I1316" s="80"/>
      <c r="J1316" s="80"/>
      <c r="K1316" s="80"/>
      <c r="L1316" s="81" t="str">
        <f aca="false">IF(K1316="","",IFERROR(INDEX(BARDAGE!$C$7:$C$1506,MATCH(K1316,BARDAGE!$B$7:$B$1506,0)),"? hors registre"))</f>
        <v/>
      </c>
      <c r="M1316" s="80"/>
      <c r="N1316" s="81" t="str">
        <f aca="false">IF(M1316="","",IFERROR(INDEX(BARDAGE!$C$7:$C$1506,MATCH(M1316,BARDAGE!$B$7:$B$1506,0)),"? hors registre"))</f>
        <v/>
      </c>
      <c r="O1316" s="80"/>
      <c r="P1316" s="80"/>
      <c r="Q1316" s="80"/>
      <c r="R1316" s="82"/>
      <c r="S1316" s="82"/>
      <c r="T1316" s="80"/>
      <c r="U1316" s="80"/>
      <c r="V1316" s="82"/>
      <c r="W1316" s="80"/>
      <c r="X1316" s="80"/>
      <c r="Y1316" s="80"/>
      <c r="Z1316" s="80"/>
      <c r="AA1316" s="82"/>
      <c r="AB1316" s="80"/>
      <c r="AC1316" s="80"/>
      <c r="AD1316" s="80"/>
      <c r="AE1316" s="80"/>
      <c r="AF1316" s="82"/>
      <c r="AG1316" s="80"/>
      <c r="AH1316" s="80"/>
      <c r="AI1316" s="82"/>
      <c r="AJ1316" s="79"/>
      <c r="AK1316" s="78" t="str">
        <f aca="false">IF(E1316="","",(X1316&lt;&gt;"")+(AC1316&lt;&gt;"")+(AH1316&lt;&gt;""))</f>
        <v/>
      </c>
      <c r="AL1316" s="81" t="str">
        <f aca="false">IF(AH1316&lt;&gt;"",AH1316,IF(AC1316&lt;&gt;"",AC1316,IF(X1316&lt;&gt;"",X1316,"")))</f>
        <v/>
      </c>
      <c r="AM1316" s="83" t="str">
        <f aca="false">IF(E1316="","",IF(R1316="","À SOUDER",IF(U1316="","VT EN ATTENTE",IF(U1316="R","VT REJETÉ – À REPRENDRE",IF(AL1316="","À RADIOGRAPHIER",IF(AL1316="A","ACCEPTÉ",IF(AL1316="NX","NX – RT À REFAIRE",IF(IF(AK1316=1,Z1316,IF(AK1316=2,AE1316,""))="A","RÉPARÉ – À RADIOGRAPHIER",IF(IF(AK1316=1,Z1316,IF(AK1316=2,AE1316,""))="R","VT REJETÉ – À REPRENDRE",IF(OR(AL1316="CO",AL1316="NT"),"COUPE – À RESOUDER","À RÉPARER"))))))))))</f>
        <v/>
      </c>
      <c r="AN1316" s="81" t="str">
        <f aca="false">IF(AND(ISNUMBER(R1316),OR(AM1316="À RADIOGRAPHIER",AM1316="RÉPARÉ – À RADIOGRAPHIER",AM1316="NX – RT À REFAIRE",AM1316="À RÉPARER",AM1316="COUPE – À RESOUDER",AM1316="VT REJETÉ – À REPRENDRE")),MAX(0,'PROGRAMME RT'!$C$4-R1316),"")</f>
        <v/>
      </c>
      <c r="AO1316" s="78" t="n">
        <f aca="false">IF(AND(OR(AM1316="À RADIOGRAPHIER",AM1316="RÉPARÉ – À RADIOGRAPHIER",AM1316="NX – RT À REFAIRE"),OR('PROGRAMME RT'!$D$5="TOUTES",B1316='PROGRAMME RT'!$D$5)),1,0)</f>
        <v>0</v>
      </c>
      <c r="AP1316" s="78" t="str">
        <f aca="false">IF(AO1316=1,SUM(AO$7:AO1316),"")</f>
        <v/>
      </c>
      <c r="AQ1316" s="78" t="n">
        <f aca="false">IF(AND(OR(X1316="R",X1316="NX",X1316="NT",X1316="CO"),OR('JOINTS DE RÉPARATION'!$D$5="TOUTES",B1316='JOINTS DE RÉPARATION'!$D$5),OR('JOINTS DE RÉPARATION'!$L$4="TOUS",AM1316&lt;&gt;"ACCEPTÉ")),1,0)</f>
        <v>0</v>
      </c>
      <c r="AR1316" s="78" t="str">
        <f aca="false">IF(AQ1316=1,SUM(AQ$7:AQ1316),"")</f>
        <v/>
      </c>
    </row>
    <row r="1317" customFormat="false" ht="15" hidden="false" customHeight="false" outlineLevel="0" collapsed="false">
      <c r="A1317" s="78" t="str">
        <f aca="false">IF(E1317="","",ROW()-6)</f>
        <v/>
      </c>
      <c r="B1317" s="79"/>
      <c r="C1317" s="80"/>
      <c r="D1317" s="80"/>
      <c r="E1317" s="80"/>
      <c r="F1317" s="80"/>
      <c r="G1317" s="80"/>
      <c r="H1317" s="80"/>
      <c r="I1317" s="80"/>
      <c r="J1317" s="80"/>
      <c r="K1317" s="80"/>
      <c r="L1317" s="81" t="str">
        <f aca="false">IF(K1317="","",IFERROR(INDEX(BARDAGE!$C$7:$C$1506,MATCH(K1317,BARDAGE!$B$7:$B$1506,0)),"? hors registre"))</f>
        <v/>
      </c>
      <c r="M1317" s="80"/>
      <c r="N1317" s="81" t="str">
        <f aca="false">IF(M1317="","",IFERROR(INDEX(BARDAGE!$C$7:$C$1506,MATCH(M1317,BARDAGE!$B$7:$B$1506,0)),"? hors registre"))</f>
        <v/>
      </c>
      <c r="O1317" s="80"/>
      <c r="P1317" s="80"/>
      <c r="Q1317" s="80"/>
      <c r="R1317" s="82"/>
      <c r="S1317" s="82"/>
      <c r="T1317" s="80"/>
      <c r="U1317" s="80"/>
      <c r="V1317" s="82"/>
      <c r="W1317" s="80"/>
      <c r="X1317" s="80"/>
      <c r="Y1317" s="80"/>
      <c r="Z1317" s="80"/>
      <c r="AA1317" s="82"/>
      <c r="AB1317" s="80"/>
      <c r="AC1317" s="80"/>
      <c r="AD1317" s="80"/>
      <c r="AE1317" s="80"/>
      <c r="AF1317" s="82"/>
      <c r="AG1317" s="80"/>
      <c r="AH1317" s="80"/>
      <c r="AI1317" s="82"/>
      <c r="AJ1317" s="79"/>
      <c r="AK1317" s="78" t="str">
        <f aca="false">IF(E1317="","",(X1317&lt;&gt;"")+(AC1317&lt;&gt;"")+(AH1317&lt;&gt;""))</f>
        <v/>
      </c>
      <c r="AL1317" s="81" t="str">
        <f aca="false">IF(AH1317&lt;&gt;"",AH1317,IF(AC1317&lt;&gt;"",AC1317,IF(X1317&lt;&gt;"",X1317,"")))</f>
        <v/>
      </c>
      <c r="AM1317" s="83" t="str">
        <f aca="false">IF(E1317="","",IF(R1317="","À SOUDER",IF(U1317="","VT EN ATTENTE",IF(U1317="R","VT REJETÉ – À REPRENDRE",IF(AL1317="","À RADIOGRAPHIER",IF(AL1317="A","ACCEPTÉ",IF(AL1317="NX","NX – RT À REFAIRE",IF(IF(AK1317=1,Z1317,IF(AK1317=2,AE1317,""))="A","RÉPARÉ – À RADIOGRAPHIER",IF(IF(AK1317=1,Z1317,IF(AK1317=2,AE1317,""))="R","VT REJETÉ – À REPRENDRE",IF(OR(AL1317="CO",AL1317="NT"),"COUPE – À RESOUDER","À RÉPARER"))))))))))</f>
        <v/>
      </c>
      <c r="AN1317" s="81" t="str">
        <f aca="false">IF(AND(ISNUMBER(R1317),OR(AM1317="À RADIOGRAPHIER",AM1317="RÉPARÉ – À RADIOGRAPHIER",AM1317="NX – RT À REFAIRE",AM1317="À RÉPARER",AM1317="COUPE – À RESOUDER",AM1317="VT REJETÉ – À REPRENDRE")),MAX(0,'PROGRAMME RT'!$C$4-R1317),"")</f>
        <v/>
      </c>
      <c r="AO1317" s="78" t="n">
        <f aca="false">IF(AND(OR(AM1317="À RADIOGRAPHIER",AM1317="RÉPARÉ – À RADIOGRAPHIER",AM1317="NX – RT À REFAIRE"),OR('PROGRAMME RT'!$D$5="TOUTES",B1317='PROGRAMME RT'!$D$5)),1,0)</f>
        <v>0</v>
      </c>
      <c r="AP1317" s="78" t="str">
        <f aca="false">IF(AO1317=1,SUM(AO$7:AO1317),"")</f>
        <v/>
      </c>
      <c r="AQ1317" s="78" t="n">
        <f aca="false">IF(AND(OR(X1317="R",X1317="NX",X1317="NT",X1317="CO"),OR('JOINTS DE RÉPARATION'!$D$5="TOUTES",B1317='JOINTS DE RÉPARATION'!$D$5),OR('JOINTS DE RÉPARATION'!$L$4="TOUS",AM1317&lt;&gt;"ACCEPTÉ")),1,0)</f>
        <v>0</v>
      </c>
      <c r="AR1317" s="78" t="str">
        <f aca="false">IF(AQ1317=1,SUM(AQ$7:AQ1317),"")</f>
        <v/>
      </c>
    </row>
    <row r="1318" customFormat="false" ht="15" hidden="false" customHeight="false" outlineLevel="0" collapsed="false">
      <c r="A1318" s="78" t="str">
        <f aca="false">IF(E1318="","",ROW()-6)</f>
        <v/>
      </c>
      <c r="B1318" s="79"/>
      <c r="C1318" s="80"/>
      <c r="D1318" s="80"/>
      <c r="E1318" s="80"/>
      <c r="F1318" s="80"/>
      <c r="G1318" s="80"/>
      <c r="H1318" s="80"/>
      <c r="I1318" s="80"/>
      <c r="J1318" s="80"/>
      <c r="K1318" s="80"/>
      <c r="L1318" s="81" t="str">
        <f aca="false">IF(K1318="","",IFERROR(INDEX(BARDAGE!$C$7:$C$1506,MATCH(K1318,BARDAGE!$B$7:$B$1506,0)),"? hors registre"))</f>
        <v/>
      </c>
      <c r="M1318" s="80"/>
      <c r="N1318" s="81" t="str">
        <f aca="false">IF(M1318="","",IFERROR(INDEX(BARDAGE!$C$7:$C$1506,MATCH(M1318,BARDAGE!$B$7:$B$1506,0)),"? hors registre"))</f>
        <v/>
      </c>
      <c r="O1318" s="80"/>
      <c r="P1318" s="80"/>
      <c r="Q1318" s="80"/>
      <c r="R1318" s="82"/>
      <c r="S1318" s="82"/>
      <c r="T1318" s="80"/>
      <c r="U1318" s="80"/>
      <c r="V1318" s="82"/>
      <c r="W1318" s="80"/>
      <c r="X1318" s="80"/>
      <c r="Y1318" s="80"/>
      <c r="Z1318" s="80"/>
      <c r="AA1318" s="82"/>
      <c r="AB1318" s="80"/>
      <c r="AC1318" s="80"/>
      <c r="AD1318" s="80"/>
      <c r="AE1318" s="80"/>
      <c r="AF1318" s="82"/>
      <c r="AG1318" s="80"/>
      <c r="AH1318" s="80"/>
      <c r="AI1318" s="82"/>
      <c r="AJ1318" s="79"/>
      <c r="AK1318" s="78" t="str">
        <f aca="false">IF(E1318="","",(X1318&lt;&gt;"")+(AC1318&lt;&gt;"")+(AH1318&lt;&gt;""))</f>
        <v/>
      </c>
      <c r="AL1318" s="81" t="str">
        <f aca="false">IF(AH1318&lt;&gt;"",AH1318,IF(AC1318&lt;&gt;"",AC1318,IF(X1318&lt;&gt;"",X1318,"")))</f>
        <v/>
      </c>
      <c r="AM1318" s="83" t="str">
        <f aca="false">IF(E1318="","",IF(R1318="","À SOUDER",IF(U1318="","VT EN ATTENTE",IF(U1318="R","VT REJETÉ – À REPRENDRE",IF(AL1318="","À RADIOGRAPHIER",IF(AL1318="A","ACCEPTÉ",IF(AL1318="NX","NX – RT À REFAIRE",IF(IF(AK1318=1,Z1318,IF(AK1318=2,AE1318,""))="A","RÉPARÉ – À RADIOGRAPHIER",IF(IF(AK1318=1,Z1318,IF(AK1318=2,AE1318,""))="R","VT REJETÉ – À REPRENDRE",IF(OR(AL1318="CO",AL1318="NT"),"COUPE – À RESOUDER","À RÉPARER"))))))))))</f>
        <v/>
      </c>
      <c r="AN1318" s="81" t="str">
        <f aca="false">IF(AND(ISNUMBER(R1318),OR(AM1318="À RADIOGRAPHIER",AM1318="RÉPARÉ – À RADIOGRAPHIER",AM1318="NX – RT À REFAIRE",AM1318="À RÉPARER",AM1318="COUPE – À RESOUDER",AM1318="VT REJETÉ – À REPRENDRE")),MAX(0,'PROGRAMME RT'!$C$4-R1318),"")</f>
        <v/>
      </c>
      <c r="AO1318" s="78" t="n">
        <f aca="false">IF(AND(OR(AM1318="À RADIOGRAPHIER",AM1318="RÉPARÉ – À RADIOGRAPHIER",AM1318="NX – RT À REFAIRE"),OR('PROGRAMME RT'!$D$5="TOUTES",B1318='PROGRAMME RT'!$D$5)),1,0)</f>
        <v>0</v>
      </c>
      <c r="AP1318" s="78" t="str">
        <f aca="false">IF(AO1318=1,SUM(AO$7:AO1318),"")</f>
        <v/>
      </c>
      <c r="AQ1318" s="78" t="n">
        <f aca="false">IF(AND(OR(X1318="R",X1318="NX",X1318="NT",X1318="CO"),OR('JOINTS DE RÉPARATION'!$D$5="TOUTES",B1318='JOINTS DE RÉPARATION'!$D$5),OR('JOINTS DE RÉPARATION'!$L$4="TOUS",AM1318&lt;&gt;"ACCEPTÉ")),1,0)</f>
        <v>0</v>
      </c>
      <c r="AR1318" s="78" t="str">
        <f aca="false">IF(AQ1318=1,SUM(AQ$7:AQ1318),"")</f>
        <v/>
      </c>
    </row>
    <row r="1319" customFormat="false" ht="15" hidden="false" customHeight="false" outlineLevel="0" collapsed="false">
      <c r="A1319" s="78" t="str">
        <f aca="false">IF(E1319="","",ROW()-6)</f>
        <v/>
      </c>
      <c r="B1319" s="79"/>
      <c r="C1319" s="80"/>
      <c r="D1319" s="80"/>
      <c r="E1319" s="80"/>
      <c r="F1319" s="80"/>
      <c r="G1319" s="80"/>
      <c r="H1319" s="80"/>
      <c r="I1319" s="80"/>
      <c r="J1319" s="80"/>
      <c r="K1319" s="80"/>
      <c r="L1319" s="81" t="str">
        <f aca="false">IF(K1319="","",IFERROR(INDEX(BARDAGE!$C$7:$C$1506,MATCH(K1319,BARDAGE!$B$7:$B$1506,0)),"? hors registre"))</f>
        <v/>
      </c>
      <c r="M1319" s="80"/>
      <c r="N1319" s="81" t="str">
        <f aca="false">IF(M1319="","",IFERROR(INDEX(BARDAGE!$C$7:$C$1506,MATCH(M1319,BARDAGE!$B$7:$B$1506,0)),"? hors registre"))</f>
        <v/>
      </c>
      <c r="O1319" s="80"/>
      <c r="P1319" s="80"/>
      <c r="Q1319" s="80"/>
      <c r="R1319" s="82"/>
      <c r="S1319" s="82"/>
      <c r="T1319" s="80"/>
      <c r="U1319" s="80"/>
      <c r="V1319" s="82"/>
      <c r="W1319" s="80"/>
      <c r="X1319" s="80"/>
      <c r="Y1319" s="80"/>
      <c r="Z1319" s="80"/>
      <c r="AA1319" s="82"/>
      <c r="AB1319" s="80"/>
      <c r="AC1319" s="80"/>
      <c r="AD1319" s="80"/>
      <c r="AE1319" s="80"/>
      <c r="AF1319" s="82"/>
      <c r="AG1319" s="80"/>
      <c r="AH1319" s="80"/>
      <c r="AI1319" s="82"/>
      <c r="AJ1319" s="79"/>
      <c r="AK1319" s="78" t="str">
        <f aca="false">IF(E1319="","",(X1319&lt;&gt;"")+(AC1319&lt;&gt;"")+(AH1319&lt;&gt;""))</f>
        <v/>
      </c>
      <c r="AL1319" s="81" t="str">
        <f aca="false">IF(AH1319&lt;&gt;"",AH1319,IF(AC1319&lt;&gt;"",AC1319,IF(X1319&lt;&gt;"",X1319,"")))</f>
        <v/>
      </c>
      <c r="AM1319" s="83" t="str">
        <f aca="false">IF(E1319="","",IF(R1319="","À SOUDER",IF(U1319="","VT EN ATTENTE",IF(U1319="R","VT REJETÉ – À REPRENDRE",IF(AL1319="","À RADIOGRAPHIER",IF(AL1319="A","ACCEPTÉ",IF(AL1319="NX","NX – RT À REFAIRE",IF(IF(AK1319=1,Z1319,IF(AK1319=2,AE1319,""))="A","RÉPARÉ – À RADIOGRAPHIER",IF(IF(AK1319=1,Z1319,IF(AK1319=2,AE1319,""))="R","VT REJETÉ – À REPRENDRE",IF(OR(AL1319="CO",AL1319="NT"),"COUPE – À RESOUDER","À RÉPARER"))))))))))</f>
        <v/>
      </c>
      <c r="AN1319" s="81" t="str">
        <f aca="false">IF(AND(ISNUMBER(R1319),OR(AM1319="À RADIOGRAPHIER",AM1319="RÉPARÉ – À RADIOGRAPHIER",AM1319="NX – RT À REFAIRE",AM1319="À RÉPARER",AM1319="COUPE – À RESOUDER",AM1319="VT REJETÉ – À REPRENDRE")),MAX(0,'PROGRAMME RT'!$C$4-R1319),"")</f>
        <v/>
      </c>
      <c r="AO1319" s="78" t="n">
        <f aca="false">IF(AND(OR(AM1319="À RADIOGRAPHIER",AM1319="RÉPARÉ – À RADIOGRAPHIER",AM1319="NX – RT À REFAIRE"),OR('PROGRAMME RT'!$D$5="TOUTES",B1319='PROGRAMME RT'!$D$5)),1,0)</f>
        <v>0</v>
      </c>
      <c r="AP1319" s="78" t="str">
        <f aca="false">IF(AO1319=1,SUM(AO$7:AO1319),"")</f>
        <v/>
      </c>
      <c r="AQ1319" s="78" t="n">
        <f aca="false">IF(AND(OR(X1319="R",X1319="NX",X1319="NT",X1319="CO"),OR('JOINTS DE RÉPARATION'!$D$5="TOUTES",B1319='JOINTS DE RÉPARATION'!$D$5),OR('JOINTS DE RÉPARATION'!$L$4="TOUS",AM1319&lt;&gt;"ACCEPTÉ")),1,0)</f>
        <v>0</v>
      </c>
      <c r="AR1319" s="78" t="str">
        <f aca="false">IF(AQ1319=1,SUM(AQ$7:AQ1319),"")</f>
        <v/>
      </c>
    </row>
    <row r="1320" customFormat="false" ht="15" hidden="false" customHeight="false" outlineLevel="0" collapsed="false">
      <c r="A1320" s="78" t="str">
        <f aca="false">IF(E1320="","",ROW()-6)</f>
        <v/>
      </c>
      <c r="B1320" s="79"/>
      <c r="C1320" s="80"/>
      <c r="D1320" s="80"/>
      <c r="E1320" s="80"/>
      <c r="F1320" s="80"/>
      <c r="G1320" s="80"/>
      <c r="H1320" s="80"/>
      <c r="I1320" s="80"/>
      <c r="J1320" s="80"/>
      <c r="K1320" s="80"/>
      <c r="L1320" s="81" t="str">
        <f aca="false">IF(K1320="","",IFERROR(INDEX(BARDAGE!$C$7:$C$1506,MATCH(K1320,BARDAGE!$B$7:$B$1506,0)),"? hors registre"))</f>
        <v/>
      </c>
      <c r="M1320" s="80"/>
      <c r="N1320" s="81" t="str">
        <f aca="false">IF(M1320="","",IFERROR(INDEX(BARDAGE!$C$7:$C$1506,MATCH(M1320,BARDAGE!$B$7:$B$1506,0)),"? hors registre"))</f>
        <v/>
      </c>
      <c r="O1320" s="80"/>
      <c r="P1320" s="80"/>
      <c r="Q1320" s="80"/>
      <c r="R1320" s="82"/>
      <c r="S1320" s="82"/>
      <c r="T1320" s="80"/>
      <c r="U1320" s="80"/>
      <c r="V1320" s="82"/>
      <c r="W1320" s="80"/>
      <c r="X1320" s="80"/>
      <c r="Y1320" s="80"/>
      <c r="Z1320" s="80"/>
      <c r="AA1320" s="82"/>
      <c r="AB1320" s="80"/>
      <c r="AC1320" s="80"/>
      <c r="AD1320" s="80"/>
      <c r="AE1320" s="80"/>
      <c r="AF1320" s="82"/>
      <c r="AG1320" s="80"/>
      <c r="AH1320" s="80"/>
      <c r="AI1320" s="82"/>
      <c r="AJ1320" s="79"/>
      <c r="AK1320" s="78" t="str">
        <f aca="false">IF(E1320="","",(X1320&lt;&gt;"")+(AC1320&lt;&gt;"")+(AH1320&lt;&gt;""))</f>
        <v/>
      </c>
      <c r="AL1320" s="81" t="str">
        <f aca="false">IF(AH1320&lt;&gt;"",AH1320,IF(AC1320&lt;&gt;"",AC1320,IF(X1320&lt;&gt;"",X1320,"")))</f>
        <v/>
      </c>
      <c r="AM1320" s="83" t="str">
        <f aca="false">IF(E1320="","",IF(R1320="","À SOUDER",IF(U1320="","VT EN ATTENTE",IF(U1320="R","VT REJETÉ – À REPRENDRE",IF(AL1320="","À RADIOGRAPHIER",IF(AL1320="A","ACCEPTÉ",IF(AL1320="NX","NX – RT À REFAIRE",IF(IF(AK1320=1,Z1320,IF(AK1320=2,AE1320,""))="A","RÉPARÉ – À RADIOGRAPHIER",IF(IF(AK1320=1,Z1320,IF(AK1320=2,AE1320,""))="R","VT REJETÉ – À REPRENDRE",IF(OR(AL1320="CO",AL1320="NT"),"COUPE – À RESOUDER","À RÉPARER"))))))))))</f>
        <v/>
      </c>
      <c r="AN1320" s="81" t="str">
        <f aca="false">IF(AND(ISNUMBER(R1320),OR(AM1320="À RADIOGRAPHIER",AM1320="RÉPARÉ – À RADIOGRAPHIER",AM1320="NX – RT À REFAIRE",AM1320="À RÉPARER",AM1320="COUPE – À RESOUDER",AM1320="VT REJETÉ – À REPRENDRE")),MAX(0,'PROGRAMME RT'!$C$4-R1320),"")</f>
        <v/>
      </c>
      <c r="AO1320" s="78" t="n">
        <f aca="false">IF(AND(OR(AM1320="À RADIOGRAPHIER",AM1320="RÉPARÉ – À RADIOGRAPHIER",AM1320="NX – RT À REFAIRE"),OR('PROGRAMME RT'!$D$5="TOUTES",B1320='PROGRAMME RT'!$D$5)),1,0)</f>
        <v>0</v>
      </c>
      <c r="AP1320" s="78" t="str">
        <f aca="false">IF(AO1320=1,SUM(AO$7:AO1320),"")</f>
        <v/>
      </c>
      <c r="AQ1320" s="78" t="n">
        <f aca="false">IF(AND(OR(X1320="R",X1320="NX",X1320="NT",X1320="CO"),OR('JOINTS DE RÉPARATION'!$D$5="TOUTES",B1320='JOINTS DE RÉPARATION'!$D$5),OR('JOINTS DE RÉPARATION'!$L$4="TOUS",AM1320&lt;&gt;"ACCEPTÉ")),1,0)</f>
        <v>0</v>
      </c>
      <c r="AR1320" s="78" t="str">
        <f aca="false">IF(AQ1320=1,SUM(AQ$7:AQ1320),"")</f>
        <v/>
      </c>
    </row>
    <row r="1321" customFormat="false" ht="15" hidden="false" customHeight="false" outlineLevel="0" collapsed="false">
      <c r="A1321" s="78" t="str">
        <f aca="false">IF(E1321="","",ROW()-6)</f>
        <v/>
      </c>
      <c r="B1321" s="79"/>
      <c r="C1321" s="80"/>
      <c r="D1321" s="80"/>
      <c r="E1321" s="80"/>
      <c r="F1321" s="80"/>
      <c r="G1321" s="80"/>
      <c r="H1321" s="80"/>
      <c r="I1321" s="80"/>
      <c r="J1321" s="80"/>
      <c r="K1321" s="80"/>
      <c r="L1321" s="81" t="str">
        <f aca="false">IF(K1321="","",IFERROR(INDEX(BARDAGE!$C$7:$C$1506,MATCH(K1321,BARDAGE!$B$7:$B$1506,0)),"? hors registre"))</f>
        <v/>
      </c>
      <c r="M1321" s="80"/>
      <c r="N1321" s="81" t="str">
        <f aca="false">IF(M1321="","",IFERROR(INDEX(BARDAGE!$C$7:$C$1506,MATCH(M1321,BARDAGE!$B$7:$B$1506,0)),"? hors registre"))</f>
        <v/>
      </c>
      <c r="O1321" s="80"/>
      <c r="P1321" s="80"/>
      <c r="Q1321" s="80"/>
      <c r="R1321" s="82"/>
      <c r="S1321" s="82"/>
      <c r="T1321" s="80"/>
      <c r="U1321" s="80"/>
      <c r="V1321" s="82"/>
      <c r="W1321" s="80"/>
      <c r="X1321" s="80"/>
      <c r="Y1321" s="80"/>
      <c r="Z1321" s="80"/>
      <c r="AA1321" s="82"/>
      <c r="AB1321" s="80"/>
      <c r="AC1321" s="80"/>
      <c r="AD1321" s="80"/>
      <c r="AE1321" s="80"/>
      <c r="AF1321" s="82"/>
      <c r="AG1321" s="80"/>
      <c r="AH1321" s="80"/>
      <c r="AI1321" s="82"/>
      <c r="AJ1321" s="79"/>
      <c r="AK1321" s="78" t="str">
        <f aca="false">IF(E1321="","",(X1321&lt;&gt;"")+(AC1321&lt;&gt;"")+(AH1321&lt;&gt;""))</f>
        <v/>
      </c>
      <c r="AL1321" s="81" t="str">
        <f aca="false">IF(AH1321&lt;&gt;"",AH1321,IF(AC1321&lt;&gt;"",AC1321,IF(X1321&lt;&gt;"",X1321,"")))</f>
        <v/>
      </c>
      <c r="AM1321" s="83" t="str">
        <f aca="false">IF(E1321="","",IF(R1321="","À SOUDER",IF(U1321="","VT EN ATTENTE",IF(U1321="R","VT REJETÉ – À REPRENDRE",IF(AL1321="","À RADIOGRAPHIER",IF(AL1321="A","ACCEPTÉ",IF(AL1321="NX","NX – RT À REFAIRE",IF(IF(AK1321=1,Z1321,IF(AK1321=2,AE1321,""))="A","RÉPARÉ – À RADIOGRAPHIER",IF(IF(AK1321=1,Z1321,IF(AK1321=2,AE1321,""))="R","VT REJETÉ – À REPRENDRE",IF(OR(AL1321="CO",AL1321="NT"),"COUPE – À RESOUDER","À RÉPARER"))))))))))</f>
        <v/>
      </c>
      <c r="AN1321" s="81" t="str">
        <f aca="false">IF(AND(ISNUMBER(R1321),OR(AM1321="À RADIOGRAPHIER",AM1321="RÉPARÉ – À RADIOGRAPHIER",AM1321="NX – RT À REFAIRE",AM1321="À RÉPARER",AM1321="COUPE – À RESOUDER",AM1321="VT REJETÉ – À REPRENDRE")),MAX(0,'PROGRAMME RT'!$C$4-R1321),"")</f>
        <v/>
      </c>
      <c r="AO1321" s="78" t="n">
        <f aca="false">IF(AND(OR(AM1321="À RADIOGRAPHIER",AM1321="RÉPARÉ – À RADIOGRAPHIER",AM1321="NX – RT À REFAIRE"),OR('PROGRAMME RT'!$D$5="TOUTES",B1321='PROGRAMME RT'!$D$5)),1,0)</f>
        <v>0</v>
      </c>
      <c r="AP1321" s="78" t="str">
        <f aca="false">IF(AO1321=1,SUM(AO$7:AO1321),"")</f>
        <v/>
      </c>
      <c r="AQ1321" s="78" t="n">
        <f aca="false">IF(AND(OR(X1321="R",X1321="NX",X1321="NT",X1321="CO"),OR('JOINTS DE RÉPARATION'!$D$5="TOUTES",B1321='JOINTS DE RÉPARATION'!$D$5),OR('JOINTS DE RÉPARATION'!$L$4="TOUS",AM1321&lt;&gt;"ACCEPTÉ")),1,0)</f>
        <v>0</v>
      </c>
      <c r="AR1321" s="78" t="str">
        <f aca="false">IF(AQ1321=1,SUM(AQ$7:AQ1321),"")</f>
        <v/>
      </c>
    </row>
    <row r="1322" customFormat="false" ht="15" hidden="false" customHeight="false" outlineLevel="0" collapsed="false">
      <c r="A1322" s="78" t="str">
        <f aca="false">IF(E1322="","",ROW()-6)</f>
        <v/>
      </c>
      <c r="B1322" s="79"/>
      <c r="C1322" s="80"/>
      <c r="D1322" s="80"/>
      <c r="E1322" s="80"/>
      <c r="F1322" s="80"/>
      <c r="G1322" s="80"/>
      <c r="H1322" s="80"/>
      <c r="I1322" s="80"/>
      <c r="J1322" s="80"/>
      <c r="K1322" s="80"/>
      <c r="L1322" s="81" t="str">
        <f aca="false">IF(K1322="","",IFERROR(INDEX(BARDAGE!$C$7:$C$1506,MATCH(K1322,BARDAGE!$B$7:$B$1506,0)),"? hors registre"))</f>
        <v/>
      </c>
      <c r="M1322" s="80"/>
      <c r="N1322" s="81" t="str">
        <f aca="false">IF(M1322="","",IFERROR(INDEX(BARDAGE!$C$7:$C$1506,MATCH(M1322,BARDAGE!$B$7:$B$1506,0)),"? hors registre"))</f>
        <v/>
      </c>
      <c r="O1322" s="80"/>
      <c r="P1322" s="80"/>
      <c r="Q1322" s="80"/>
      <c r="R1322" s="82"/>
      <c r="S1322" s="82"/>
      <c r="T1322" s="80"/>
      <c r="U1322" s="80"/>
      <c r="V1322" s="82"/>
      <c r="W1322" s="80"/>
      <c r="X1322" s="80"/>
      <c r="Y1322" s="80"/>
      <c r="Z1322" s="80"/>
      <c r="AA1322" s="82"/>
      <c r="AB1322" s="80"/>
      <c r="AC1322" s="80"/>
      <c r="AD1322" s="80"/>
      <c r="AE1322" s="80"/>
      <c r="AF1322" s="82"/>
      <c r="AG1322" s="80"/>
      <c r="AH1322" s="80"/>
      <c r="AI1322" s="82"/>
      <c r="AJ1322" s="79"/>
      <c r="AK1322" s="78" t="str">
        <f aca="false">IF(E1322="","",(X1322&lt;&gt;"")+(AC1322&lt;&gt;"")+(AH1322&lt;&gt;""))</f>
        <v/>
      </c>
      <c r="AL1322" s="81" t="str">
        <f aca="false">IF(AH1322&lt;&gt;"",AH1322,IF(AC1322&lt;&gt;"",AC1322,IF(X1322&lt;&gt;"",X1322,"")))</f>
        <v/>
      </c>
      <c r="AM1322" s="83" t="str">
        <f aca="false">IF(E1322="","",IF(R1322="","À SOUDER",IF(U1322="","VT EN ATTENTE",IF(U1322="R","VT REJETÉ – À REPRENDRE",IF(AL1322="","À RADIOGRAPHIER",IF(AL1322="A","ACCEPTÉ",IF(AL1322="NX","NX – RT À REFAIRE",IF(IF(AK1322=1,Z1322,IF(AK1322=2,AE1322,""))="A","RÉPARÉ – À RADIOGRAPHIER",IF(IF(AK1322=1,Z1322,IF(AK1322=2,AE1322,""))="R","VT REJETÉ – À REPRENDRE",IF(OR(AL1322="CO",AL1322="NT"),"COUPE – À RESOUDER","À RÉPARER"))))))))))</f>
        <v/>
      </c>
      <c r="AN1322" s="81" t="str">
        <f aca="false">IF(AND(ISNUMBER(R1322),OR(AM1322="À RADIOGRAPHIER",AM1322="RÉPARÉ – À RADIOGRAPHIER",AM1322="NX – RT À REFAIRE",AM1322="À RÉPARER",AM1322="COUPE – À RESOUDER",AM1322="VT REJETÉ – À REPRENDRE")),MAX(0,'PROGRAMME RT'!$C$4-R1322),"")</f>
        <v/>
      </c>
      <c r="AO1322" s="78" t="n">
        <f aca="false">IF(AND(OR(AM1322="À RADIOGRAPHIER",AM1322="RÉPARÉ – À RADIOGRAPHIER",AM1322="NX – RT À REFAIRE"),OR('PROGRAMME RT'!$D$5="TOUTES",B1322='PROGRAMME RT'!$D$5)),1,0)</f>
        <v>0</v>
      </c>
      <c r="AP1322" s="78" t="str">
        <f aca="false">IF(AO1322=1,SUM(AO$7:AO1322),"")</f>
        <v/>
      </c>
      <c r="AQ1322" s="78" t="n">
        <f aca="false">IF(AND(OR(X1322="R",X1322="NX",X1322="NT",X1322="CO"),OR('JOINTS DE RÉPARATION'!$D$5="TOUTES",B1322='JOINTS DE RÉPARATION'!$D$5),OR('JOINTS DE RÉPARATION'!$L$4="TOUS",AM1322&lt;&gt;"ACCEPTÉ")),1,0)</f>
        <v>0</v>
      </c>
      <c r="AR1322" s="78" t="str">
        <f aca="false">IF(AQ1322=1,SUM(AQ$7:AQ1322),"")</f>
        <v/>
      </c>
    </row>
    <row r="1323" customFormat="false" ht="15" hidden="false" customHeight="false" outlineLevel="0" collapsed="false">
      <c r="A1323" s="78" t="str">
        <f aca="false">IF(E1323="","",ROW()-6)</f>
        <v/>
      </c>
      <c r="B1323" s="79"/>
      <c r="C1323" s="80"/>
      <c r="D1323" s="80"/>
      <c r="E1323" s="80"/>
      <c r="F1323" s="80"/>
      <c r="G1323" s="80"/>
      <c r="H1323" s="80"/>
      <c r="I1323" s="80"/>
      <c r="J1323" s="80"/>
      <c r="K1323" s="80"/>
      <c r="L1323" s="81" t="str">
        <f aca="false">IF(K1323="","",IFERROR(INDEX(BARDAGE!$C$7:$C$1506,MATCH(K1323,BARDAGE!$B$7:$B$1506,0)),"? hors registre"))</f>
        <v/>
      </c>
      <c r="M1323" s="80"/>
      <c r="N1323" s="81" t="str">
        <f aca="false">IF(M1323="","",IFERROR(INDEX(BARDAGE!$C$7:$C$1506,MATCH(M1323,BARDAGE!$B$7:$B$1506,0)),"? hors registre"))</f>
        <v/>
      </c>
      <c r="O1323" s="80"/>
      <c r="P1323" s="80"/>
      <c r="Q1323" s="80"/>
      <c r="R1323" s="82"/>
      <c r="S1323" s="82"/>
      <c r="T1323" s="80"/>
      <c r="U1323" s="80"/>
      <c r="V1323" s="82"/>
      <c r="W1323" s="80"/>
      <c r="X1323" s="80"/>
      <c r="Y1323" s="80"/>
      <c r="Z1323" s="80"/>
      <c r="AA1323" s="82"/>
      <c r="AB1323" s="80"/>
      <c r="AC1323" s="80"/>
      <c r="AD1323" s="80"/>
      <c r="AE1323" s="80"/>
      <c r="AF1323" s="82"/>
      <c r="AG1323" s="80"/>
      <c r="AH1323" s="80"/>
      <c r="AI1323" s="82"/>
      <c r="AJ1323" s="79"/>
      <c r="AK1323" s="78" t="str">
        <f aca="false">IF(E1323="","",(X1323&lt;&gt;"")+(AC1323&lt;&gt;"")+(AH1323&lt;&gt;""))</f>
        <v/>
      </c>
      <c r="AL1323" s="81" t="str">
        <f aca="false">IF(AH1323&lt;&gt;"",AH1323,IF(AC1323&lt;&gt;"",AC1323,IF(X1323&lt;&gt;"",X1323,"")))</f>
        <v/>
      </c>
      <c r="AM1323" s="83" t="str">
        <f aca="false">IF(E1323="","",IF(R1323="","À SOUDER",IF(U1323="","VT EN ATTENTE",IF(U1323="R","VT REJETÉ – À REPRENDRE",IF(AL1323="","À RADIOGRAPHIER",IF(AL1323="A","ACCEPTÉ",IF(AL1323="NX","NX – RT À REFAIRE",IF(IF(AK1323=1,Z1323,IF(AK1323=2,AE1323,""))="A","RÉPARÉ – À RADIOGRAPHIER",IF(IF(AK1323=1,Z1323,IF(AK1323=2,AE1323,""))="R","VT REJETÉ – À REPRENDRE",IF(OR(AL1323="CO",AL1323="NT"),"COUPE – À RESOUDER","À RÉPARER"))))))))))</f>
        <v/>
      </c>
      <c r="AN1323" s="81" t="str">
        <f aca="false">IF(AND(ISNUMBER(R1323),OR(AM1323="À RADIOGRAPHIER",AM1323="RÉPARÉ – À RADIOGRAPHIER",AM1323="NX – RT À REFAIRE",AM1323="À RÉPARER",AM1323="COUPE – À RESOUDER",AM1323="VT REJETÉ – À REPRENDRE")),MAX(0,'PROGRAMME RT'!$C$4-R1323),"")</f>
        <v/>
      </c>
      <c r="AO1323" s="78" t="n">
        <f aca="false">IF(AND(OR(AM1323="À RADIOGRAPHIER",AM1323="RÉPARÉ – À RADIOGRAPHIER",AM1323="NX – RT À REFAIRE"),OR('PROGRAMME RT'!$D$5="TOUTES",B1323='PROGRAMME RT'!$D$5)),1,0)</f>
        <v>0</v>
      </c>
      <c r="AP1323" s="78" t="str">
        <f aca="false">IF(AO1323=1,SUM(AO$7:AO1323),"")</f>
        <v/>
      </c>
      <c r="AQ1323" s="78" t="n">
        <f aca="false">IF(AND(OR(X1323="R",X1323="NX",X1323="NT",X1323="CO"),OR('JOINTS DE RÉPARATION'!$D$5="TOUTES",B1323='JOINTS DE RÉPARATION'!$D$5),OR('JOINTS DE RÉPARATION'!$L$4="TOUS",AM1323&lt;&gt;"ACCEPTÉ")),1,0)</f>
        <v>0</v>
      </c>
      <c r="AR1323" s="78" t="str">
        <f aca="false">IF(AQ1323=1,SUM(AQ$7:AQ1323),"")</f>
        <v/>
      </c>
    </row>
    <row r="1324" customFormat="false" ht="15" hidden="false" customHeight="false" outlineLevel="0" collapsed="false">
      <c r="A1324" s="78" t="str">
        <f aca="false">IF(E1324="","",ROW()-6)</f>
        <v/>
      </c>
      <c r="B1324" s="79"/>
      <c r="C1324" s="80"/>
      <c r="D1324" s="80"/>
      <c r="E1324" s="80"/>
      <c r="F1324" s="80"/>
      <c r="G1324" s="80"/>
      <c r="H1324" s="80"/>
      <c r="I1324" s="80"/>
      <c r="J1324" s="80"/>
      <c r="K1324" s="80"/>
      <c r="L1324" s="81" t="str">
        <f aca="false">IF(K1324="","",IFERROR(INDEX(BARDAGE!$C$7:$C$1506,MATCH(K1324,BARDAGE!$B$7:$B$1506,0)),"? hors registre"))</f>
        <v/>
      </c>
      <c r="M1324" s="80"/>
      <c r="N1324" s="81" t="str">
        <f aca="false">IF(M1324="","",IFERROR(INDEX(BARDAGE!$C$7:$C$1506,MATCH(M1324,BARDAGE!$B$7:$B$1506,0)),"? hors registre"))</f>
        <v/>
      </c>
      <c r="O1324" s="80"/>
      <c r="P1324" s="80"/>
      <c r="Q1324" s="80"/>
      <c r="R1324" s="82"/>
      <c r="S1324" s="82"/>
      <c r="T1324" s="80"/>
      <c r="U1324" s="80"/>
      <c r="V1324" s="82"/>
      <c r="W1324" s="80"/>
      <c r="X1324" s="80"/>
      <c r="Y1324" s="80"/>
      <c r="Z1324" s="80"/>
      <c r="AA1324" s="82"/>
      <c r="AB1324" s="80"/>
      <c r="AC1324" s="80"/>
      <c r="AD1324" s="80"/>
      <c r="AE1324" s="80"/>
      <c r="AF1324" s="82"/>
      <c r="AG1324" s="80"/>
      <c r="AH1324" s="80"/>
      <c r="AI1324" s="82"/>
      <c r="AJ1324" s="79"/>
      <c r="AK1324" s="78" t="str">
        <f aca="false">IF(E1324="","",(X1324&lt;&gt;"")+(AC1324&lt;&gt;"")+(AH1324&lt;&gt;""))</f>
        <v/>
      </c>
      <c r="AL1324" s="81" t="str">
        <f aca="false">IF(AH1324&lt;&gt;"",AH1324,IF(AC1324&lt;&gt;"",AC1324,IF(X1324&lt;&gt;"",X1324,"")))</f>
        <v/>
      </c>
      <c r="AM1324" s="83" t="str">
        <f aca="false">IF(E1324="","",IF(R1324="","À SOUDER",IF(U1324="","VT EN ATTENTE",IF(U1324="R","VT REJETÉ – À REPRENDRE",IF(AL1324="","À RADIOGRAPHIER",IF(AL1324="A","ACCEPTÉ",IF(AL1324="NX","NX – RT À REFAIRE",IF(IF(AK1324=1,Z1324,IF(AK1324=2,AE1324,""))="A","RÉPARÉ – À RADIOGRAPHIER",IF(IF(AK1324=1,Z1324,IF(AK1324=2,AE1324,""))="R","VT REJETÉ – À REPRENDRE",IF(OR(AL1324="CO",AL1324="NT"),"COUPE – À RESOUDER","À RÉPARER"))))))))))</f>
        <v/>
      </c>
      <c r="AN1324" s="81" t="str">
        <f aca="false">IF(AND(ISNUMBER(R1324),OR(AM1324="À RADIOGRAPHIER",AM1324="RÉPARÉ – À RADIOGRAPHIER",AM1324="NX – RT À REFAIRE",AM1324="À RÉPARER",AM1324="COUPE – À RESOUDER",AM1324="VT REJETÉ – À REPRENDRE")),MAX(0,'PROGRAMME RT'!$C$4-R1324),"")</f>
        <v/>
      </c>
      <c r="AO1324" s="78" t="n">
        <f aca="false">IF(AND(OR(AM1324="À RADIOGRAPHIER",AM1324="RÉPARÉ – À RADIOGRAPHIER",AM1324="NX – RT À REFAIRE"),OR('PROGRAMME RT'!$D$5="TOUTES",B1324='PROGRAMME RT'!$D$5)),1,0)</f>
        <v>0</v>
      </c>
      <c r="AP1324" s="78" t="str">
        <f aca="false">IF(AO1324=1,SUM(AO$7:AO1324),"")</f>
        <v/>
      </c>
      <c r="AQ1324" s="78" t="n">
        <f aca="false">IF(AND(OR(X1324="R",X1324="NX",X1324="NT",X1324="CO"),OR('JOINTS DE RÉPARATION'!$D$5="TOUTES",B1324='JOINTS DE RÉPARATION'!$D$5),OR('JOINTS DE RÉPARATION'!$L$4="TOUS",AM1324&lt;&gt;"ACCEPTÉ")),1,0)</f>
        <v>0</v>
      </c>
      <c r="AR1324" s="78" t="str">
        <f aca="false">IF(AQ1324=1,SUM(AQ$7:AQ1324),"")</f>
        <v/>
      </c>
    </row>
    <row r="1325" customFormat="false" ht="15" hidden="false" customHeight="false" outlineLevel="0" collapsed="false">
      <c r="A1325" s="78" t="str">
        <f aca="false">IF(E1325="","",ROW()-6)</f>
        <v/>
      </c>
      <c r="B1325" s="79"/>
      <c r="C1325" s="80"/>
      <c r="D1325" s="80"/>
      <c r="E1325" s="80"/>
      <c r="F1325" s="80"/>
      <c r="G1325" s="80"/>
      <c r="H1325" s="80"/>
      <c r="I1325" s="80"/>
      <c r="J1325" s="80"/>
      <c r="K1325" s="80"/>
      <c r="L1325" s="81" t="str">
        <f aca="false">IF(K1325="","",IFERROR(INDEX(BARDAGE!$C$7:$C$1506,MATCH(K1325,BARDAGE!$B$7:$B$1506,0)),"? hors registre"))</f>
        <v/>
      </c>
      <c r="M1325" s="80"/>
      <c r="N1325" s="81" t="str">
        <f aca="false">IF(M1325="","",IFERROR(INDEX(BARDAGE!$C$7:$C$1506,MATCH(M1325,BARDAGE!$B$7:$B$1506,0)),"? hors registre"))</f>
        <v/>
      </c>
      <c r="O1325" s="80"/>
      <c r="P1325" s="80"/>
      <c r="Q1325" s="80"/>
      <c r="R1325" s="82"/>
      <c r="S1325" s="82"/>
      <c r="T1325" s="80"/>
      <c r="U1325" s="80"/>
      <c r="V1325" s="82"/>
      <c r="W1325" s="80"/>
      <c r="X1325" s="80"/>
      <c r="Y1325" s="80"/>
      <c r="Z1325" s="80"/>
      <c r="AA1325" s="82"/>
      <c r="AB1325" s="80"/>
      <c r="AC1325" s="80"/>
      <c r="AD1325" s="80"/>
      <c r="AE1325" s="80"/>
      <c r="AF1325" s="82"/>
      <c r="AG1325" s="80"/>
      <c r="AH1325" s="80"/>
      <c r="AI1325" s="82"/>
      <c r="AJ1325" s="79"/>
      <c r="AK1325" s="78" t="str">
        <f aca="false">IF(E1325="","",(X1325&lt;&gt;"")+(AC1325&lt;&gt;"")+(AH1325&lt;&gt;""))</f>
        <v/>
      </c>
      <c r="AL1325" s="81" t="str">
        <f aca="false">IF(AH1325&lt;&gt;"",AH1325,IF(AC1325&lt;&gt;"",AC1325,IF(X1325&lt;&gt;"",X1325,"")))</f>
        <v/>
      </c>
      <c r="AM1325" s="83" t="str">
        <f aca="false">IF(E1325="","",IF(R1325="","À SOUDER",IF(U1325="","VT EN ATTENTE",IF(U1325="R","VT REJETÉ – À REPRENDRE",IF(AL1325="","À RADIOGRAPHIER",IF(AL1325="A","ACCEPTÉ",IF(AL1325="NX","NX – RT À REFAIRE",IF(IF(AK1325=1,Z1325,IF(AK1325=2,AE1325,""))="A","RÉPARÉ – À RADIOGRAPHIER",IF(IF(AK1325=1,Z1325,IF(AK1325=2,AE1325,""))="R","VT REJETÉ – À REPRENDRE",IF(OR(AL1325="CO",AL1325="NT"),"COUPE – À RESOUDER","À RÉPARER"))))))))))</f>
        <v/>
      </c>
      <c r="AN1325" s="81" t="str">
        <f aca="false">IF(AND(ISNUMBER(R1325),OR(AM1325="À RADIOGRAPHIER",AM1325="RÉPARÉ – À RADIOGRAPHIER",AM1325="NX – RT À REFAIRE",AM1325="À RÉPARER",AM1325="COUPE – À RESOUDER",AM1325="VT REJETÉ – À REPRENDRE")),MAX(0,'PROGRAMME RT'!$C$4-R1325),"")</f>
        <v/>
      </c>
      <c r="AO1325" s="78" t="n">
        <f aca="false">IF(AND(OR(AM1325="À RADIOGRAPHIER",AM1325="RÉPARÉ – À RADIOGRAPHIER",AM1325="NX – RT À REFAIRE"),OR('PROGRAMME RT'!$D$5="TOUTES",B1325='PROGRAMME RT'!$D$5)),1,0)</f>
        <v>0</v>
      </c>
      <c r="AP1325" s="78" t="str">
        <f aca="false">IF(AO1325=1,SUM(AO$7:AO1325),"")</f>
        <v/>
      </c>
      <c r="AQ1325" s="78" t="n">
        <f aca="false">IF(AND(OR(X1325="R",X1325="NX",X1325="NT",X1325="CO"),OR('JOINTS DE RÉPARATION'!$D$5="TOUTES",B1325='JOINTS DE RÉPARATION'!$D$5),OR('JOINTS DE RÉPARATION'!$L$4="TOUS",AM1325&lt;&gt;"ACCEPTÉ")),1,0)</f>
        <v>0</v>
      </c>
      <c r="AR1325" s="78" t="str">
        <f aca="false">IF(AQ1325=1,SUM(AQ$7:AQ1325),"")</f>
        <v/>
      </c>
    </row>
    <row r="1326" customFormat="false" ht="15" hidden="false" customHeight="false" outlineLevel="0" collapsed="false">
      <c r="A1326" s="78" t="str">
        <f aca="false">IF(E1326="","",ROW()-6)</f>
        <v/>
      </c>
      <c r="B1326" s="79"/>
      <c r="C1326" s="80"/>
      <c r="D1326" s="80"/>
      <c r="E1326" s="80"/>
      <c r="F1326" s="80"/>
      <c r="G1326" s="80"/>
      <c r="H1326" s="80"/>
      <c r="I1326" s="80"/>
      <c r="J1326" s="80"/>
      <c r="K1326" s="80"/>
      <c r="L1326" s="81" t="str">
        <f aca="false">IF(K1326="","",IFERROR(INDEX(BARDAGE!$C$7:$C$1506,MATCH(K1326,BARDAGE!$B$7:$B$1506,0)),"? hors registre"))</f>
        <v/>
      </c>
      <c r="M1326" s="80"/>
      <c r="N1326" s="81" t="str">
        <f aca="false">IF(M1326="","",IFERROR(INDEX(BARDAGE!$C$7:$C$1506,MATCH(M1326,BARDAGE!$B$7:$B$1506,0)),"? hors registre"))</f>
        <v/>
      </c>
      <c r="O1326" s="80"/>
      <c r="P1326" s="80"/>
      <c r="Q1326" s="80"/>
      <c r="R1326" s="82"/>
      <c r="S1326" s="82"/>
      <c r="T1326" s="80"/>
      <c r="U1326" s="80"/>
      <c r="V1326" s="82"/>
      <c r="W1326" s="80"/>
      <c r="X1326" s="80"/>
      <c r="Y1326" s="80"/>
      <c r="Z1326" s="80"/>
      <c r="AA1326" s="82"/>
      <c r="AB1326" s="80"/>
      <c r="AC1326" s="80"/>
      <c r="AD1326" s="80"/>
      <c r="AE1326" s="80"/>
      <c r="AF1326" s="82"/>
      <c r="AG1326" s="80"/>
      <c r="AH1326" s="80"/>
      <c r="AI1326" s="82"/>
      <c r="AJ1326" s="79"/>
      <c r="AK1326" s="78" t="str">
        <f aca="false">IF(E1326="","",(X1326&lt;&gt;"")+(AC1326&lt;&gt;"")+(AH1326&lt;&gt;""))</f>
        <v/>
      </c>
      <c r="AL1326" s="81" t="str">
        <f aca="false">IF(AH1326&lt;&gt;"",AH1326,IF(AC1326&lt;&gt;"",AC1326,IF(X1326&lt;&gt;"",X1326,"")))</f>
        <v/>
      </c>
      <c r="AM1326" s="83" t="str">
        <f aca="false">IF(E1326="","",IF(R1326="","À SOUDER",IF(U1326="","VT EN ATTENTE",IF(U1326="R","VT REJETÉ – À REPRENDRE",IF(AL1326="","À RADIOGRAPHIER",IF(AL1326="A","ACCEPTÉ",IF(AL1326="NX","NX – RT À REFAIRE",IF(IF(AK1326=1,Z1326,IF(AK1326=2,AE1326,""))="A","RÉPARÉ – À RADIOGRAPHIER",IF(IF(AK1326=1,Z1326,IF(AK1326=2,AE1326,""))="R","VT REJETÉ – À REPRENDRE",IF(OR(AL1326="CO",AL1326="NT"),"COUPE – À RESOUDER","À RÉPARER"))))))))))</f>
        <v/>
      </c>
      <c r="AN1326" s="81" t="str">
        <f aca="false">IF(AND(ISNUMBER(R1326),OR(AM1326="À RADIOGRAPHIER",AM1326="RÉPARÉ – À RADIOGRAPHIER",AM1326="NX – RT À REFAIRE",AM1326="À RÉPARER",AM1326="COUPE – À RESOUDER",AM1326="VT REJETÉ – À REPRENDRE")),MAX(0,'PROGRAMME RT'!$C$4-R1326),"")</f>
        <v/>
      </c>
      <c r="AO1326" s="78" t="n">
        <f aca="false">IF(AND(OR(AM1326="À RADIOGRAPHIER",AM1326="RÉPARÉ – À RADIOGRAPHIER",AM1326="NX – RT À REFAIRE"),OR('PROGRAMME RT'!$D$5="TOUTES",B1326='PROGRAMME RT'!$D$5)),1,0)</f>
        <v>0</v>
      </c>
      <c r="AP1326" s="78" t="str">
        <f aca="false">IF(AO1326=1,SUM(AO$7:AO1326),"")</f>
        <v/>
      </c>
      <c r="AQ1326" s="78" t="n">
        <f aca="false">IF(AND(OR(X1326="R",X1326="NX",X1326="NT",X1326="CO"),OR('JOINTS DE RÉPARATION'!$D$5="TOUTES",B1326='JOINTS DE RÉPARATION'!$D$5),OR('JOINTS DE RÉPARATION'!$L$4="TOUS",AM1326&lt;&gt;"ACCEPTÉ")),1,0)</f>
        <v>0</v>
      </c>
      <c r="AR1326" s="78" t="str">
        <f aca="false">IF(AQ1326=1,SUM(AQ$7:AQ1326),"")</f>
        <v/>
      </c>
    </row>
    <row r="1327" customFormat="false" ht="15" hidden="false" customHeight="false" outlineLevel="0" collapsed="false">
      <c r="A1327" s="78" t="str">
        <f aca="false">IF(E1327="","",ROW()-6)</f>
        <v/>
      </c>
      <c r="B1327" s="79"/>
      <c r="C1327" s="80"/>
      <c r="D1327" s="80"/>
      <c r="E1327" s="80"/>
      <c r="F1327" s="80"/>
      <c r="G1327" s="80"/>
      <c r="H1327" s="80"/>
      <c r="I1327" s="80"/>
      <c r="J1327" s="80"/>
      <c r="K1327" s="80"/>
      <c r="L1327" s="81" t="str">
        <f aca="false">IF(K1327="","",IFERROR(INDEX(BARDAGE!$C$7:$C$1506,MATCH(K1327,BARDAGE!$B$7:$B$1506,0)),"? hors registre"))</f>
        <v/>
      </c>
      <c r="M1327" s="80"/>
      <c r="N1327" s="81" t="str">
        <f aca="false">IF(M1327="","",IFERROR(INDEX(BARDAGE!$C$7:$C$1506,MATCH(M1327,BARDAGE!$B$7:$B$1506,0)),"? hors registre"))</f>
        <v/>
      </c>
      <c r="O1327" s="80"/>
      <c r="P1327" s="80"/>
      <c r="Q1327" s="80"/>
      <c r="R1327" s="82"/>
      <c r="S1327" s="82"/>
      <c r="T1327" s="80"/>
      <c r="U1327" s="80"/>
      <c r="V1327" s="82"/>
      <c r="W1327" s="80"/>
      <c r="X1327" s="80"/>
      <c r="Y1327" s="80"/>
      <c r="Z1327" s="80"/>
      <c r="AA1327" s="82"/>
      <c r="AB1327" s="80"/>
      <c r="AC1327" s="80"/>
      <c r="AD1327" s="80"/>
      <c r="AE1327" s="80"/>
      <c r="AF1327" s="82"/>
      <c r="AG1327" s="80"/>
      <c r="AH1327" s="80"/>
      <c r="AI1327" s="82"/>
      <c r="AJ1327" s="79"/>
      <c r="AK1327" s="78" t="str">
        <f aca="false">IF(E1327="","",(X1327&lt;&gt;"")+(AC1327&lt;&gt;"")+(AH1327&lt;&gt;""))</f>
        <v/>
      </c>
      <c r="AL1327" s="81" t="str">
        <f aca="false">IF(AH1327&lt;&gt;"",AH1327,IF(AC1327&lt;&gt;"",AC1327,IF(X1327&lt;&gt;"",X1327,"")))</f>
        <v/>
      </c>
      <c r="AM1327" s="83" t="str">
        <f aca="false">IF(E1327="","",IF(R1327="","À SOUDER",IF(U1327="","VT EN ATTENTE",IF(U1327="R","VT REJETÉ – À REPRENDRE",IF(AL1327="","À RADIOGRAPHIER",IF(AL1327="A","ACCEPTÉ",IF(AL1327="NX","NX – RT À REFAIRE",IF(IF(AK1327=1,Z1327,IF(AK1327=2,AE1327,""))="A","RÉPARÉ – À RADIOGRAPHIER",IF(IF(AK1327=1,Z1327,IF(AK1327=2,AE1327,""))="R","VT REJETÉ – À REPRENDRE",IF(OR(AL1327="CO",AL1327="NT"),"COUPE – À RESOUDER","À RÉPARER"))))))))))</f>
        <v/>
      </c>
      <c r="AN1327" s="81" t="str">
        <f aca="false">IF(AND(ISNUMBER(R1327),OR(AM1327="À RADIOGRAPHIER",AM1327="RÉPARÉ – À RADIOGRAPHIER",AM1327="NX – RT À REFAIRE",AM1327="À RÉPARER",AM1327="COUPE – À RESOUDER",AM1327="VT REJETÉ – À REPRENDRE")),MAX(0,'PROGRAMME RT'!$C$4-R1327),"")</f>
        <v/>
      </c>
      <c r="AO1327" s="78" t="n">
        <f aca="false">IF(AND(OR(AM1327="À RADIOGRAPHIER",AM1327="RÉPARÉ – À RADIOGRAPHIER",AM1327="NX – RT À REFAIRE"),OR('PROGRAMME RT'!$D$5="TOUTES",B1327='PROGRAMME RT'!$D$5)),1,0)</f>
        <v>0</v>
      </c>
      <c r="AP1327" s="78" t="str">
        <f aca="false">IF(AO1327=1,SUM(AO$7:AO1327),"")</f>
        <v/>
      </c>
      <c r="AQ1327" s="78" t="n">
        <f aca="false">IF(AND(OR(X1327="R",X1327="NX",X1327="NT",X1327="CO"),OR('JOINTS DE RÉPARATION'!$D$5="TOUTES",B1327='JOINTS DE RÉPARATION'!$D$5),OR('JOINTS DE RÉPARATION'!$L$4="TOUS",AM1327&lt;&gt;"ACCEPTÉ")),1,0)</f>
        <v>0</v>
      </c>
      <c r="AR1327" s="78" t="str">
        <f aca="false">IF(AQ1327=1,SUM(AQ$7:AQ1327),"")</f>
        <v/>
      </c>
    </row>
    <row r="1328" customFormat="false" ht="15" hidden="false" customHeight="false" outlineLevel="0" collapsed="false">
      <c r="A1328" s="78" t="str">
        <f aca="false">IF(E1328="","",ROW()-6)</f>
        <v/>
      </c>
      <c r="B1328" s="79"/>
      <c r="C1328" s="80"/>
      <c r="D1328" s="80"/>
      <c r="E1328" s="80"/>
      <c r="F1328" s="80"/>
      <c r="G1328" s="80"/>
      <c r="H1328" s="80"/>
      <c r="I1328" s="80"/>
      <c r="J1328" s="80"/>
      <c r="K1328" s="80"/>
      <c r="L1328" s="81" t="str">
        <f aca="false">IF(K1328="","",IFERROR(INDEX(BARDAGE!$C$7:$C$1506,MATCH(K1328,BARDAGE!$B$7:$B$1506,0)),"? hors registre"))</f>
        <v/>
      </c>
      <c r="M1328" s="80"/>
      <c r="N1328" s="81" t="str">
        <f aca="false">IF(M1328="","",IFERROR(INDEX(BARDAGE!$C$7:$C$1506,MATCH(M1328,BARDAGE!$B$7:$B$1506,0)),"? hors registre"))</f>
        <v/>
      </c>
      <c r="O1328" s="80"/>
      <c r="P1328" s="80"/>
      <c r="Q1328" s="80"/>
      <c r="R1328" s="82"/>
      <c r="S1328" s="82"/>
      <c r="T1328" s="80"/>
      <c r="U1328" s="80"/>
      <c r="V1328" s="82"/>
      <c r="W1328" s="80"/>
      <c r="X1328" s="80"/>
      <c r="Y1328" s="80"/>
      <c r="Z1328" s="80"/>
      <c r="AA1328" s="82"/>
      <c r="AB1328" s="80"/>
      <c r="AC1328" s="80"/>
      <c r="AD1328" s="80"/>
      <c r="AE1328" s="80"/>
      <c r="AF1328" s="82"/>
      <c r="AG1328" s="80"/>
      <c r="AH1328" s="80"/>
      <c r="AI1328" s="82"/>
      <c r="AJ1328" s="79"/>
      <c r="AK1328" s="78" t="str">
        <f aca="false">IF(E1328="","",(X1328&lt;&gt;"")+(AC1328&lt;&gt;"")+(AH1328&lt;&gt;""))</f>
        <v/>
      </c>
      <c r="AL1328" s="81" t="str">
        <f aca="false">IF(AH1328&lt;&gt;"",AH1328,IF(AC1328&lt;&gt;"",AC1328,IF(X1328&lt;&gt;"",X1328,"")))</f>
        <v/>
      </c>
      <c r="AM1328" s="83" t="str">
        <f aca="false">IF(E1328="","",IF(R1328="","À SOUDER",IF(U1328="","VT EN ATTENTE",IF(U1328="R","VT REJETÉ – À REPRENDRE",IF(AL1328="","À RADIOGRAPHIER",IF(AL1328="A","ACCEPTÉ",IF(AL1328="NX","NX – RT À REFAIRE",IF(IF(AK1328=1,Z1328,IF(AK1328=2,AE1328,""))="A","RÉPARÉ – À RADIOGRAPHIER",IF(IF(AK1328=1,Z1328,IF(AK1328=2,AE1328,""))="R","VT REJETÉ – À REPRENDRE",IF(OR(AL1328="CO",AL1328="NT"),"COUPE – À RESOUDER","À RÉPARER"))))))))))</f>
        <v/>
      </c>
      <c r="AN1328" s="81" t="str">
        <f aca="false">IF(AND(ISNUMBER(R1328),OR(AM1328="À RADIOGRAPHIER",AM1328="RÉPARÉ – À RADIOGRAPHIER",AM1328="NX – RT À REFAIRE",AM1328="À RÉPARER",AM1328="COUPE – À RESOUDER",AM1328="VT REJETÉ – À REPRENDRE")),MAX(0,'PROGRAMME RT'!$C$4-R1328),"")</f>
        <v/>
      </c>
      <c r="AO1328" s="78" t="n">
        <f aca="false">IF(AND(OR(AM1328="À RADIOGRAPHIER",AM1328="RÉPARÉ – À RADIOGRAPHIER",AM1328="NX – RT À REFAIRE"),OR('PROGRAMME RT'!$D$5="TOUTES",B1328='PROGRAMME RT'!$D$5)),1,0)</f>
        <v>0</v>
      </c>
      <c r="AP1328" s="78" t="str">
        <f aca="false">IF(AO1328=1,SUM(AO$7:AO1328),"")</f>
        <v/>
      </c>
      <c r="AQ1328" s="78" t="n">
        <f aca="false">IF(AND(OR(X1328="R",X1328="NX",X1328="NT",X1328="CO"),OR('JOINTS DE RÉPARATION'!$D$5="TOUTES",B1328='JOINTS DE RÉPARATION'!$D$5),OR('JOINTS DE RÉPARATION'!$L$4="TOUS",AM1328&lt;&gt;"ACCEPTÉ")),1,0)</f>
        <v>0</v>
      </c>
      <c r="AR1328" s="78" t="str">
        <f aca="false">IF(AQ1328=1,SUM(AQ$7:AQ1328),"")</f>
        <v/>
      </c>
    </row>
    <row r="1329" customFormat="false" ht="15" hidden="false" customHeight="false" outlineLevel="0" collapsed="false">
      <c r="A1329" s="78" t="str">
        <f aca="false">IF(E1329="","",ROW()-6)</f>
        <v/>
      </c>
      <c r="B1329" s="79"/>
      <c r="C1329" s="80"/>
      <c r="D1329" s="80"/>
      <c r="E1329" s="80"/>
      <c r="F1329" s="80"/>
      <c r="G1329" s="80"/>
      <c r="H1329" s="80"/>
      <c r="I1329" s="80"/>
      <c r="J1329" s="80"/>
      <c r="K1329" s="80"/>
      <c r="L1329" s="81" t="str">
        <f aca="false">IF(K1329="","",IFERROR(INDEX(BARDAGE!$C$7:$C$1506,MATCH(K1329,BARDAGE!$B$7:$B$1506,0)),"? hors registre"))</f>
        <v/>
      </c>
      <c r="M1329" s="80"/>
      <c r="N1329" s="81" t="str">
        <f aca="false">IF(M1329="","",IFERROR(INDEX(BARDAGE!$C$7:$C$1506,MATCH(M1329,BARDAGE!$B$7:$B$1506,0)),"? hors registre"))</f>
        <v/>
      </c>
      <c r="O1329" s="80"/>
      <c r="P1329" s="80"/>
      <c r="Q1329" s="80"/>
      <c r="R1329" s="82"/>
      <c r="S1329" s="82"/>
      <c r="T1329" s="80"/>
      <c r="U1329" s="80"/>
      <c r="V1329" s="82"/>
      <c r="W1329" s="80"/>
      <c r="X1329" s="80"/>
      <c r="Y1329" s="80"/>
      <c r="Z1329" s="80"/>
      <c r="AA1329" s="82"/>
      <c r="AB1329" s="80"/>
      <c r="AC1329" s="80"/>
      <c r="AD1329" s="80"/>
      <c r="AE1329" s="80"/>
      <c r="AF1329" s="82"/>
      <c r="AG1329" s="80"/>
      <c r="AH1329" s="80"/>
      <c r="AI1329" s="82"/>
      <c r="AJ1329" s="79"/>
      <c r="AK1329" s="78" t="str">
        <f aca="false">IF(E1329="","",(X1329&lt;&gt;"")+(AC1329&lt;&gt;"")+(AH1329&lt;&gt;""))</f>
        <v/>
      </c>
      <c r="AL1329" s="81" t="str">
        <f aca="false">IF(AH1329&lt;&gt;"",AH1329,IF(AC1329&lt;&gt;"",AC1329,IF(X1329&lt;&gt;"",X1329,"")))</f>
        <v/>
      </c>
      <c r="AM1329" s="83" t="str">
        <f aca="false">IF(E1329="","",IF(R1329="","À SOUDER",IF(U1329="","VT EN ATTENTE",IF(U1329="R","VT REJETÉ – À REPRENDRE",IF(AL1329="","À RADIOGRAPHIER",IF(AL1329="A","ACCEPTÉ",IF(AL1329="NX","NX – RT À REFAIRE",IF(IF(AK1329=1,Z1329,IF(AK1329=2,AE1329,""))="A","RÉPARÉ – À RADIOGRAPHIER",IF(IF(AK1329=1,Z1329,IF(AK1329=2,AE1329,""))="R","VT REJETÉ – À REPRENDRE",IF(OR(AL1329="CO",AL1329="NT"),"COUPE – À RESOUDER","À RÉPARER"))))))))))</f>
        <v/>
      </c>
      <c r="AN1329" s="81" t="str">
        <f aca="false">IF(AND(ISNUMBER(R1329),OR(AM1329="À RADIOGRAPHIER",AM1329="RÉPARÉ – À RADIOGRAPHIER",AM1329="NX – RT À REFAIRE",AM1329="À RÉPARER",AM1329="COUPE – À RESOUDER",AM1329="VT REJETÉ – À REPRENDRE")),MAX(0,'PROGRAMME RT'!$C$4-R1329),"")</f>
        <v/>
      </c>
      <c r="AO1329" s="78" t="n">
        <f aca="false">IF(AND(OR(AM1329="À RADIOGRAPHIER",AM1329="RÉPARÉ – À RADIOGRAPHIER",AM1329="NX – RT À REFAIRE"),OR('PROGRAMME RT'!$D$5="TOUTES",B1329='PROGRAMME RT'!$D$5)),1,0)</f>
        <v>0</v>
      </c>
      <c r="AP1329" s="78" t="str">
        <f aca="false">IF(AO1329=1,SUM(AO$7:AO1329),"")</f>
        <v/>
      </c>
      <c r="AQ1329" s="78" t="n">
        <f aca="false">IF(AND(OR(X1329="R",X1329="NX",X1329="NT",X1329="CO"),OR('JOINTS DE RÉPARATION'!$D$5="TOUTES",B1329='JOINTS DE RÉPARATION'!$D$5),OR('JOINTS DE RÉPARATION'!$L$4="TOUS",AM1329&lt;&gt;"ACCEPTÉ")),1,0)</f>
        <v>0</v>
      </c>
      <c r="AR1329" s="78" t="str">
        <f aca="false">IF(AQ1329=1,SUM(AQ$7:AQ1329),"")</f>
        <v/>
      </c>
    </row>
    <row r="1330" customFormat="false" ht="15" hidden="false" customHeight="false" outlineLevel="0" collapsed="false">
      <c r="A1330" s="78" t="str">
        <f aca="false">IF(E1330="","",ROW()-6)</f>
        <v/>
      </c>
      <c r="B1330" s="79"/>
      <c r="C1330" s="80"/>
      <c r="D1330" s="80"/>
      <c r="E1330" s="80"/>
      <c r="F1330" s="80"/>
      <c r="G1330" s="80"/>
      <c r="H1330" s="80"/>
      <c r="I1330" s="80"/>
      <c r="J1330" s="80"/>
      <c r="K1330" s="80"/>
      <c r="L1330" s="81" t="str">
        <f aca="false">IF(K1330="","",IFERROR(INDEX(BARDAGE!$C$7:$C$1506,MATCH(K1330,BARDAGE!$B$7:$B$1506,0)),"? hors registre"))</f>
        <v/>
      </c>
      <c r="M1330" s="80"/>
      <c r="N1330" s="81" t="str">
        <f aca="false">IF(M1330="","",IFERROR(INDEX(BARDAGE!$C$7:$C$1506,MATCH(M1330,BARDAGE!$B$7:$B$1506,0)),"? hors registre"))</f>
        <v/>
      </c>
      <c r="O1330" s="80"/>
      <c r="P1330" s="80"/>
      <c r="Q1330" s="80"/>
      <c r="R1330" s="82"/>
      <c r="S1330" s="82"/>
      <c r="T1330" s="80"/>
      <c r="U1330" s="80"/>
      <c r="V1330" s="82"/>
      <c r="W1330" s="80"/>
      <c r="X1330" s="80"/>
      <c r="Y1330" s="80"/>
      <c r="Z1330" s="80"/>
      <c r="AA1330" s="82"/>
      <c r="AB1330" s="80"/>
      <c r="AC1330" s="80"/>
      <c r="AD1330" s="80"/>
      <c r="AE1330" s="80"/>
      <c r="AF1330" s="82"/>
      <c r="AG1330" s="80"/>
      <c r="AH1330" s="80"/>
      <c r="AI1330" s="82"/>
      <c r="AJ1330" s="79"/>
      <c r="AK1330" s="78" t="str">
        <f aca="false">IF(E1330="","",(X1330&lt;&gt;"")+(AC1330&lt;&gt;"")+(AH1330&lt;&gt;""))</f>
        <v/>
      </c>
      <c r="AL1330" s="81" t="str">
        <f aca="false">IF(AH1330&lt;&gt;"",AH1330,IF(AC1330&lt;&gt;"",AC1330,IF(X1330&lt;&gt;"",X1330,"")))</f>
        <v/>
      </c>
      <c r="AM1330" s="83" t="str">
        <f aca="false">IF(E1330="","",IF(R1330="","À SOUDER",IF(U1330="","VT EN ATTENTE",IF(U1330="R","VT REJETÉ – À REPRENDRE",IF(AL1330="","À RADIOGRAPHIER",IF(AL1330="A","ACCEPTÉ",IF(AL1330="NX","NX – RT À REFAIRE",IF(IF(AK1330=1,Z1330,IF(AK1330=2,AE1330,""))="A","RÉPARÉ – À RADIOGRAPHIER",IF(IF(AK1330=1,Z1330,IF(AK1330=2,AE1330,""))="R","VT REJETÉ – À REPRENDRE",IF(OR(AL1330="CO",AL1330="NT"),"COUPE – À RESOUDER","À RÉPARER"))))))))))</f>
        <v/>
      </c>
      <c r="AN1330" s="81" t="str">
        <f aca="false">IF(AND(ISNUMBER(R1330),OR(AM1330="À RADIOGRAPHIER",AM1330="RÉPARÉ – À RADIOGRAPHIER",AM1330="NX – RT À REFAIRE",AM1330="À RÉPARER",AM1330="COUPE – À RESOUDER",AM1330="VT REJETÉ – À REPRENDRE")),MAX(0,'PROGRAMME RT'!$C$4-R1330),"")</f>
        <v/>
      </c>
      <c r="AO1330" s="78" t="n">
        <f aca="false">IF(AND(OR(AM1330="À RADIOGRAPHIER",AM1330="RÉPARÉ – À RADIOGRAPHIER",AM1330="NX – RT À REFAIRE"),OR('PROGRAMME RT'!$D$5="TOUTES",B1330='PROGRAMME RT'!$D$5)),1,0)</f>
        <v>0</v>
      </c>
      <c r="AP1330" s="78" t="str">
        <f aca="false">IF(AO1330=1,SUM(AO$7:AO1330),"")</f>
        <v/>
      </c>
      <c r="AQ1330" s="78" t="n">
        <f aca="false">IF(AND(OR(X1330="R",X1330="NX",X1330="NT",X1330="CO"),OR('JOINTS DE RÉPARATION'!$D$5="TOUTES",B1330='JOINTS DE RÉPARATION'!$D$5),OR('JOINTS DE RÉPARATION'!$L$4="TOUS",AM1330&lt;&gt;"ACCEPTÉ")),1,0)</f>
        <v>0</v>
      </c>
      <c r="AR1330" s="78" t="str">
        <f aca="false">IF(AQ1330=1,SUM(AQ$7:AQ1330),"")</f>
        <v/>
      </c>
    </row>
    <row r="1331" customFormat="false" ht="15" hidden="false" customHeight="false" outlineLevel="0" collapsed="false">
      <c r="A1331" s="78" t="str">
        <f aca="false">IF(E1331="","",ROW()-6)</f>
        <v/>
      </c>
      <c r="B1331" s="79"/>
      <c r="C1331" s="80"/>
      <c r="D1331" s="80"/>
      <c r="E1331" s="80"/>
      <c r="F1331" s="80"/>
      <c r="G1331" s="80"/>
      <c r="H1331" s="80"/>
      <c r="I1331" s="80"/>
      <c r="J1331" s="80"/>
      <c r="K1331" s="80"/>
      <c r="L1331" s="81" t="str">
        <f aca="false">IF(K1331="","",IFERROR(INDEX(BARDAGE!$C$7:$C$1506,MATCH(K1331,BARDAGE!$B$7:$B$1506,0)),"? hors registre"))</f>
        <v/>
      </c>
      <c r="M1331" s="80"/>
      <c r="N1331" s="81" t="str">
        <f aca="false">IF(M1331="","",IFERROR(INDEX(BARDAGE!$C$7:$C$1506,MATCH(M1331,BARDAGE!$B$7:$B$1506,0)),"? hors registre"))</f>
        <v/>
      </c>
      <c r="O1331" s="80"/>
      <c r="P1331" s="80"/>
      <c r="Q1331" s="80"/>
      <c r="R1331" s="82"/>
      <c r="S1331" s="82"/>
      <c r="T1331" s="80"/>
      <c r="U1331" s="80"/>
      <c r="V1331" s="82"/>
      <c r="W1331" s="80"/>
      <c r="X1331" s="80"/>
      <c r="Y1331" s="80"/>
      <c r="Z1331" s="80"/>
      <c r="AA1331" s="82"/>
      <c r="AB1331" s="80"/>
      <c r="AC1331" s="80"/>
      <c r="AD1331" s="80"/>
      <c r="AE1331" s="80"/>
      <c r="AF1331" s="82"/>
      <c r="AG1331" s="80"/>
      <c r="AH1331" s="80"/>
      <c r="AI1331" s="82"/>
      <c r="AJ1331" s="79"/>
      <c r="AK1331" s="78" t="str">
        <f aca="false">IF(E1331="","",(X1331&lt;&gt;"")+(AC1331&lt;&gt;"")+(AH1331&lt;&gt;""))</f>
        <v/>
      </c>
      <c r="AL1331" s="81" t="str">
        <f aca="false">IF(AH1331&lt;&gt;"",AH1331,IF(AC1331&lt;&gt;"",AC1331,IF(X1331&lt;&gt;"",X1331,"")))</f>
        <v/>
      </c>
      <c r="AM1331" s="83" t="str">
        <f aca="false">IF(E1331="","",IF(R1331="","À SOUDER",IF(U1331="","VT EN ATTENTE",IF(U1331="R","VT REJETÉ – À REPRENDRE",IF(AL1331="","À RADIOGRAPHIER",IF(AL1331="A","ACCEPTÉ",IF(AL1331="NX","NX – RT À REFAIRE",IF(IF(AK1331=1,Z1331,IF(AK1331=2,AE1331,""))="A","RÉPARÉ – À RADIOGRAPHIER",IF(IF(AK1331=1,Z1331,IF(AK1331=2,AE1331,""))="R","VT REJETÉ – À REPRENDRE",IF(OR(AL1331="CO",AL1331="NT"),"COUPE – À RESOUDER","À RÉPARER"))))))))))</f>
        <v/>
      </c>
      <c r="AN1331" s="81" t="str">
        <f aca="false">IF(AND(ISNUMBER(R1331),OR(AM1331="À RADIOGRAPHIER",AM1331="RÉPARÉ – À RADIOGRAPHIER",AM1331="NX – RT À REFAIRE",AM1331="À RÉPARER",AM1331="COUPE – À RESOUDER",AM1331="VT REJETÉ – À REPRENDRE")),MAX(0,'PROGRAMME RT'!$C$4-R1331),"")</f>
        <v/>
      </c>
      <c r="AO1331" s="78" t="n">
        <f aca="false">IF(AND(OR(AM1331="À RADIOGRAPHIER",AM1331="RÉPARÉ – À RADIOGRAPHIER",AM1331="NX – RT À REFAIRE"),OR('PROGRAMME RT'!$D$5="TOUTES",B1331='PROGRAMME RT'!$D$5)),1,0)</f>
        <v>0</v>
      </c>
      <c r="AP1331" s="78" t="str">
        <f aca="false">IF(AO1331=1,SUM(AO$7:AO1331),"")</f>
        <v/>
      </c>
      <c r="AQ1331" s="78" t="n">
        <f aca="false">IF(AND(OR(X1331="R",X1331="NX",X1331="NT",X1331="CO"),OR('JOINTS DE RÉPARATION'!$D$5="TOUTES",B1331='JOINTS DE RÉPARATION'!$D$5),OR('JOINTS DE RÉPARATION'!$L$4="TOUS",AM1331&lt;&gt;"ACCEPTÉ")),1,0)</f>
        <v>0</v>
      </c>
      <c r="AR1331" s="78" t="str">
        <f aca="false">IF(AQ1331=1,SUM(AQ$7:AQ1331),"")</f>
        <v/>
      </c>
    </row>
    <row r="1332" customFormat="false" ht="15" hidden="false" customHeight="false" outlineLevel="0" collapsed="false">
      <c r="A1332" s="78" t="str">
        <f aca="false">IF(E1332="","",ROW()-6)</f>
        <v/>
      </c>
      <c r="B1332" s="79"/>
      <c r="C1332" s="80"/>
      <c r="D1332" s="80"/>
      <c r="E1332" s="80"/>
      <c r="F1332" s="80"/>
      <c r="G1332" s="80"/>
      <c r="H1332" s="80"/>
      <c r="I1332" s="80"/>
      <c r="J1332" s="80"/>
      <c r="K1332" s="80"/>
      <c r="L1332" s="81" t="str">
        <f aca="false">IF(K1332="","",IFERROR(INDEX(BARDAGE!$C$7:$C$1506,MATCH(K1332,BARDAGE!$B$7:$B$1506,0)),"? hors registre"))</f>
        <v/>
      </c>
      <c r="M1332" s="80"/>
      <c r="N1332" s="81" t="str">
        <f aca="false">IF(M1332="","",IFERROR(INDEX(BARDAGE!$C$7:$C$1506,MATCH(M1332,BARDAGE!$B$7:$B$1506,0)),"? hors registre"))</f>
        <v/>
      </c>
      <c r="O1332" s="80"/>
      <c r="P1332" s="80"/>
      <c r="Q1332" s="80"/>
      <c r="R1332" s="82"/>
      <c r="S1332" s="82"/>
      <c r="T1332" s="80"/>
      <c r="U1332" s="80"/>
      <c r="V1332" s="82"/>
      <c r="W1332" s="80"/>
      <c r="X1332" s="80"/>
      <c r="Y1332" s="80"/>
      <c r="Z1332" s="80"/>
      <c r="AA1332" s="82"/>
      <c r="AB1332" s="80"/>
      <c r="AC1332" s="80"/>
      <c r="AD1332" s="80"/>
      <c r="AE1332" s="80"/>
      <c r="AF1332" s="82"/>
      <c r="AG1332" s="80"/>
      <c r="AH1332" s="80"/>
      <c r="AI1332" s="82"/>
      <c r="AJ1332" s="79"/>
      <c r="AK1332" s="78" t="str">
        <f aca="false">IF(E1332="","",(X1332&lt;&gt;"")+(AC1332&lt;&gt;"")+(AH1332&lt;&gt;""))</f>
        <v/>
      </c>
      <c r="AL1332" s="81" t="str">
        <f aca="false">IF(AH1332&lt;&gt;"",AH1332,IF(AC1332&lt;&gt;"",AC1332,IF(X1332&lt;&gt;"",X1332,"")))</f>
        <v/>
      </c>
      <c r="AM1332" s="83" t="str">
        <f aca="false">IF(E1332="","",IF(R1332="","À SOUDER",IF(U1332="","VT EN ATTENTE",IF(U1332="R","VT REJETÉ – À REPRENDRE",IF(AL1332="","À RADIOGRAPHIER",IF(AL1332="A","ACCEPTÉ",IF(AL1332="NX","NX – RT À REFAIRE",IF(IF(AK1332=1,Z1332,IF(AK1332=2,AE1332,""))="A","RÉPARÉ – À RADIOGRAPHIER",IF(IF(AK1332=1,Z1332,IF(AK1332=2,AE1332,""))="R","VT REJETÉ – À REPRENDRE",IF(OR(AL1332="CO",AL1332="NT"),"COUPE – À RESOUDER","À RÉPARER"))))))))))</f>
        <v/>
      </c>
      <c r="AN1332" s="81" t="str">
        <f aca="false">IF(AND(ISNUMBER(R1332),OR(AM1332="À RADIOGRAPHIER",AM1332="RÉPARÉ – À RADIOGRAPHIER",AM1332="NX – RT À REFAIRE",AM1332="À RÉPARER",AM1332="COUPE – À RESOUDER",AM1332="VT REJETÉ – À REPRENDRE")),MAX(0,'PROGRAMME RT'!$C$4-R1332),"")</f>
        <v/>
      </c>
      <c r="AO1332" s="78" t="n">
        <f aca="false">IF(AND(OR(AM1332="À RADIOGRAPHIER",AM1332="RÉPARÉ – À RADIOGRAPHIER",AM1332="NX – RT À REFAIRE"),OR('PROGRAMME RT'!$D$5="TOUTES",B1332='PROGRAMME RT'!$D$5)),1,0)</f>
        <v>0</v>
      </c>
      <c r="AP1332" s="78" t="str">
        <f aca="false">IF(AO1332=1,SUM(AO$7:AO1332),"")</f>
        <v/>
      </c>
      <c r="AQ1332" s="78" t="n">
        <f aca="false">IF(AND(OR(X1332="R",X1332="NX",X1332="NT",X1332="CO"),OR('JOINTS DE RÉPARATION'!$D$5="TOUTES",B1332='JOINTS DE RÉPARATION'!$D$5),OR('JOINTS DE RÉPARATION'!$L$4="TOUS",AM1332&lt;&gt;"ACCEPTÉ")),1,0)</f>
        <v>0</v>
      </c>
      <c r="AR1332" s="78" t="str">
        <f aca="false">IF(AQ1332=1,SUM(AQ$7:AQ1332),"")</f>
        <v/>
      </c>
    </row>
    <row r="1333" customFormat="false" ht="15" hidden="false" customHeight="false" outlineLevel="0" collapsed="false">
      <c r="A1333" s="78" t="str">
        <f aca="false">IF(E1333="","",ROW()-6)</f>
        <v/>
      </c>
      <c r="B1333" s="79"/>
      <c r="C1333" s="80"/>
      <c r="D1333" s="80"/>
      <c r="E1333" s="80"/>
      <c r="F1333" s="80"/>
      <c r="G1333" s="80"/>
      <c r="H1333" s="80"/>
      <c r="I1333" s="80"/>
      <c r="J1333" s="80"/>
      <c r="K1333" s="80"/>
      <c r="L1333" s="81" t="str">
        <f aca="false">IF(K1333="","",IFERROR(INDEX(BARDAGE!$C$7:$C$1506,MATCH(K1333,BARDAGE!$B$7:$B$1506,0)),"? hors registre"))</f>
        <v/>
      </c>
      <c r="M1333" s="80"/>
      <c r="N1333" s="81" t="str">
        <f aca="false">IF(M1333="","",IFERROR(INDEX(BARDAGE!$C$7:$C$1506,MATCH(M1333,BARDAGE!$B$7:$B$1506,0)),"? hors registre"))</f>
        <v/>
      </c>
      <c r="O1333" s="80"/>
      <c r="P1333" s="80"/>
      <c r="Q1333" s="80"/>
      <c r="R1333" s="82"/>
      <c r="S1333" s="82"/>
      <c r="T1333" s="80"/>
      <c r="U1333" s="80"/>
      <c r="V1333" s="82"/>
      <c r="W1333" s="80"/>
      <c r="X1333" s="80"/>
      <c r="Y1333" s="80"/>
      <c r="Z1333" s="80"/>
      <c r="AA1333" s="82"/>
      <c r="AB1333" s="80"/>
      <c r="AC1333" s="80"/>
      <c r="AD1333" s="80"/>
      <c r="AE1333" s="80"/>
      <c r="AF1333" s="82"/>
      <c r="AG1333" s="80"/>
      <c r="AH1333" s="80"/>
      <c r="AI1333" s="82"/>
      <c r="AJ1333" s="79"/>
      <c r="AK1333" s="78" t="str">
        <f aca="false">IF(E1333="","",(X1333&lt;&gt;"")+(AC1333&lt;&gt;"")+(AH1333&lt;&gt;""))</f>
        <v/>
      </c>
      <c r="AL1333" s="81" t="str">
        <f aca="false">IF(AH1333&lt;&gt;"",AH1333,IF(AC1333&lt;&gt;"",AC1333,IF(X1333&lt;&gt;"",X1333,"")))</f>
        <v/>
      </c>
      <c r="AM1333" s="83" t="str">
        <f aca="false">IF(E1333="","",IF(R1333="","À SOUDER",IF(U1333="","VT EN ATTENTE",IF(U1333="R","VT REJETÉ – À REPRENDRE",IF(AL1333="","À RADIOGRAPHIER",IF(AL1333="A","ACCEPTÉ",IF(AL1333="NX","NX – RT À REFAIRE",IF(IF(AK1333=1,Z1333,IF(AK1333=2,AE1333,""))="A","RÉPARÉ – À RADIOGRAPHIER",IF(IF(AK1333=1,Z1333,IF(AK1333=2,AE1333,""))="R","VT REJETÉ – À REPRENDRE",IF(OR(AL1333="CO",AL1333="NT"),"COUPE – À RESOUDER","À RÉPARER"))))))))))</f>
        <v/>
      </c>
      <c r="AN1333" s="81" t="str">
        <f aca="false">IF(AND(ISNUMBER(R1333),OR(AM1333="À RADIOGRAPHIER",AM1333="RÉPARÉ – À RADIOGRAPHIER",AM1333="NX – RT À REFAIRE",AM1333="À RÉPARER",AM1333="COUPE – À RESOUDER",AM1333="VT REJETÉ – À REPRENDRE")),MAX(0,'PROGRAMME RT'!$C$4-R1333),"")</f>
        <v/>
      </c>
      <c r="AO1333" s="78" t="n">
        <f aca="false">IF(AND(OR(AM1333="À RADIOGRAPHIER",AM1333="RÉPARÉ – À RADIOGRAPHIER",AM1333="NX – RT À REFAIRE"),OR('PROGRAMME RT'!$D$5="TOUTES",B1333='PROGRAMME RT'!$D$5)),1,0)</f>
        <v>0</v>
      </c>
      <c r="AP1333" s="78" t="str">
        <f aca="false">IF(AO1333=1,SUM(AO$7:AO1333),"")</f>
        <v/>
      </c>
      <c r="AQ1333" s="78" t="n">
        <f aca="false">IF(AND(OR(X1333="R",X1333="NX",X1333="NT",X1333="CO"),OR('JOINTS DE RÉPARATION'!$D$5="TOUTES",B1333='JOINTS DE RÉPARATION'!$D$5),OR('JOINTS DE RÉPARATION'!$L$4="TOUS",AM1333&lt;&gt;"ACCEPTÉ")),1,0)</f>
        <v>0</v>
      </c>
      <c r="AR1333" s="78" t="str">
        <f aca="false">IF(AQ1333=1,SUM(AQ$7:AQ1333),"")</f>
        <v/>
      </c>
    </row>
    <row r="1334" customFormat="false" ht="15" hidden="false" customHeight="false" outlineLevel="0" collapsed="false">
      <c r="A1334" s="78" t="str">
        <f aca="false">IF(E1334="","",ROW()-6)</f>
        <v/>
      </c>
      <c r="B1334" s="79"/>
      <c r="C1334" s="80"/>
      <c r="D1334" s="80"/>
      <c r="E1334" s="80"/>
      <c r="F1334" s="80"/>
      <c r="G1334" s="80"/>
      <c r="H1334" s="80"/>
      <c r="I1334" s="80"/>
      <c r="J1334" s="80"/>
      <c r="K1334" s="80"/>
      <c r="L1334" s="81" t="str">
        <f aca="false">IF(K1334="","",IFERROR(INDEX(BARDAGE!$C$7:$C$1506,MATCH(K1334,BARDAGE!$B$7:$B$1506,0)),"? hors registre"))</f>
        <v/>
      </c>
      <c r="M1334" s="80"/>
      <c r="N1334" s="81" t="str">
        <f aca="false">IF(M1334="","",IFERROR(INDEX(BARDAGE!$C$7:$C$1506,MATCH(M1334,BARDAGE!$B$7:$B$1506,0)),"? hors registre"))</f>
        <v/>
      </c>
      <c r="O1334" s="80"/>
      <c r="P1334" s="80"/>
      <c r="Q1334" s="80"/>
      <c r="R1334" s="82"/>
      <c r="S1334" s="82"/>
      <c r="T1334" s="80"/>
      <c r="U1334" s="80"/>
      <c r="V1334" s="82"/>
      <c r="W1334" s="80"/>
      <c r="X1334" s="80"/>
      <c r="Y1334" s="80"/>
      <c r="Z1334" s="80"/>
      <c r="AA1334" s="82"/>
      <c r="AB1334" s="80"/>
      <c r="AC1334" s="80"/>
      <c r="AD1334" s="80"/>
      <c r="AE1334" s="80"/>
      <c r="AF1334" s="82"/>
      <c r="AG1334" s="80"/>
      <c r="AH1334" s="80"/>
      <c r="AI1334" s="82"/>
      <c r="AJ1334" s="79"/>
      <c r="AK1334" s="78" t="str">
        <f aca="false">IF(E1334="","",(X1334&lt;&gt;"")+(AC1334&lt;&gt;"")+(AH1334&lt;&gt;""))</f>
        <v/>
      </c>
      <c r="AL1334" s="81" t="str">
        <f aca="false">IF(AH1334&lt;&gt;"",AH1334,IF(AC1334&lt;&gt;"",AC1334,IF(X1334&lt;&gt;"",X1334,"")))</f>
        <v/>
      </c>
      <c r="AM1334" s="83" t="str">
        <f aca="false">IF(E1334="","",IF(R1334="","À SOUDER",IF(U1334="","VT EN ATTENTE",IF(U1334="R","VT REJETÉ – À REPRENDRE",IF(AL1334="","À RADIOGRAPHIER",IF(AL1334="A","ACCEPTÉ",IF(AL1334="NX","NX – RT À REFAIRE",IF(IF(AK1334=1,Z1334,IF(AK1334=2,AE1334,""))="A","RÉPARÉ – À RADIOGRAPHIER",IF(IF(AK1334=1,Z1334,IF(AK1334=2,AE1334,""))="R","VT REJETÉ – À REPRENDRE",IF(OR(AL1334="CO",AL1334="NT"),"COUPE – À RESOUDER","À RÉPARER"))))))))))</f>
        <v/>
      </c>
      <c r="AN1334" s="81" t="str">
        <f aca="false">IF(AND(ISNUMBER(R1334),OR(AM1334="À RADIOGRAPHIER",AM1334="RÉPARÉ – À RADIOGRAPHIER",AM1334="NX – RT À REFAIRE",AM1334="À RÉPARER",AM1334="COUPE – À RESOUDER",AM1334="VT REJETÉ – À REPRENDRE")),MAX(0,'PROGRAMME RT'!$C$4-R1334),"")</f>
        <v/>
      </c>
      <c r="AO1334" s="78" t="n">
        <f aca="false">IF(AND(OR(AM1334="À RADIOGRAPHIER",AM1334="RÉPARÉ – À RADIOGRAPHIER",AM1334="NX – RT À REFAIRE"),OR('PROGRAMME RT'!$D$5="TOUTES",B1334='PROGRAMME RT'!$D$5)),1,0)</f>
        <v>0</v>
      </c>
      <c r="AP1334" s="78" t="str">
        <f aca="false">IF(AO1334=1,SUM(AO$7:AO1334),"")</f>
        <v/>
      </c>
      <c r="AQ1334" s="78" t="n">
        <f aca="false">IF(AND(OR(X1334="R",X1334="NX",X1334="NT",X1334="CO"),OR('JOINTS DE RÉPARATION'!$D$5="TOUTES",B1334='JOINTS DE RÉPARATION'!$D$5),OR('JOINTS DE RÉPARATION'!$L$4="TOUS",AM1334&lt;&gt;"ACCEPTÉ")),1,0)</f>
        <v>0</v>
      </c>
      <c r="AR1334" s="78" t="str">
        <f aca="false">IF(AQ1334=1,SUM(AQ$7:AQ1334),"")</f>
        <v/>
      </c>
    </row>
    <row r="1335" customFormat="false" ht="15" hidden="false" customHeight="false" outlineLevel="0" collapsed="false">
      <c r="A1335" s="78" t="str">
        <f aca="false">IF(E1335="","",ROW()-6)</f>
        <v/>
      </c>
      <c r="B1335" s="79"/>
      <c r="C1335" s="80"/>
      <c r="D1335" s="80"/>
      <c r="E1335" s="80"/>
      <c r="F1335" s="80"/>
      <c r="G1335" s="80"/>
      <c r="H1335" s="80"/>
      <c r="I1335" s="80"/>
      <c r="J1335" s="80"/>
      <c r="K1335" s="80"/>
      <c r="L1335" s="81" t="str">
        <f aca="false">IF(K1335="","",IFERROR(INDEX(BARDAGE!$C$7:$C$1506,MATCH(K1335,BARDAGE!$B$7:$B$1506,0)),"? hors registre"))</f>
        <v/>
      </c>
      <c r="M1335" s="80"/>
      <c r="N1335" s="81" t="str">
        <f aca="false">IF(M1335="","",IFERROR(INDEX(BARDAGE!$C$7:$C$1506,MATCH(M1335,BARDAGE!$B$7:$B$1506,0)),"? hors registre"))</f>
        <v/>
      </c>
      <c r="O1335" s="80"/>
      <c r="P1335" s="80"/>
      <c r="Q1335" s="80"/>
      <c r="R1335" s="82"/>
      <c r="S1335" s="82"/>
      <c r="T1335" s="80"/>
      <c r="U1335" s="80"/>
      <c r="V1335" s="82"/>
      <c r="W1335" s="80"/>
      <c r="X1335" s="80"/>
      <c r="Y1335" s="80"/>
      <c r="Z1335" s="80"/>
      <c r="AA1335" s="82"/>
      <c r="AB1335" s="80"/>
      <c r="AC1335" s="80"/>
      <c r="AD1335" s="80"/>
      <c r="AE1335" s="80"/>
      <c r="AF1335" s="82"/>
      <c r="AG1335" s="80"/>
      <c r="AH1335" s="80"/>
      <c r="AI1335" s="82"/>
      <c r="AJ1335" s="79"/>
      <c r="AK1335" s="78" t="str">
        <f aca="false">IF(E1335="","",(X1335&lt;&gt;"")+(AC1335&lt;&gt;"")+(AH1335&lt;&gt;""))</f>
        <v/>
      </c>
      <c r="AL1335" s="81" t="str">
        <f aca="false">IF(AH1335&lt;&gt;"",AH1335,IF(AC1335&lt;&gt;"",AC1335,IF(X1335&lt;&gt;"",X1335,"")))</f>
        <v/>
      </c>
      <c r="AM1335" s="83" t="str">
        <f aca="false">IF(E1335="","",IF(R1335="","À SOUDER",IF(U1335="","VT EN ATTENTE",IF(U1335="R","VT REJETÉ – À REPRENDRE",IF(AL1335="","À RADIOGRAPHIER",IF(AL1335="A","ACCEPTÉ",IF(AL1335="NX","NX – RT À REFAIRE",IF(IF(AK1335=1,Z1335,IF(AK1335=2,AE1335,""))="A","RÉPARÉ – À RADIOGRAPHIER",IF(IF(AK1335=1,Z1335,IF(AK1335=2,AE1335,""))="R","VT REJETÉ – À REPRENDRE",IF(OR(AL1335="CO",AL1335="NT"),"COUPE – À RESOUDER","À RÉPARER"))))))))))</f>
        <v/>
      </c>
      <c r="AN1335" s="81" t="str">
        <f aca="false">IF(AND(ISNUMBER(R1335),OR(AM1335="À RADIOGRAPHIER",AM1335="RÉPARÉ – À RADIOGRAPHIER",AM1335="NX – RT À REFAIRE",AM1335="À RÉPARER",AM1335="COUPE – À RESOUDER",AM1335="VT REJETÉ – À REPRENDRE")),MAX(0,'PROGRAMME RT'!$C$4-R1335),"")</f>
        <v/>
      </c>
      <c r="AO1335" s="78" t="n">
        <f aca="false">IF(AND(OR(AM1335="À RADIOGRAPHIER",AM1335="RÉPARÉ – À RADIOGRAPHIER",AM1335="NX – RT À REFAIRE"),OR('PROGRAMME RT'!$D$5="TOUTES",B1335='PROGRAMME RT'!$D$5)),1,0)</f>
        <v>0</v>
      </c>
      <c r="AP1335" s="78" t="str">
        <f aca="false">IF(AO1335=1,SUM(AO$7:AO1335),"")</f>
        <v/>
      </c>
      <c r="AQ1335" s="78" t="n">
        <f aca="false">IF(AND(OR(X1335="R",X1335="NX",X1335="NT",X1335="CO"),OR('JOINTS DE RÉPARATION'!$D$5="TOUTES",B1335='JOINTS DE RÉPARATION'!$D$5),OR('JOINTS DE RÉPARATION'!$L$4="TOUS",AM1335&lt;&gt;"ACCEPTÉ")),1,0)</f>
        <v>0</v>
      </c>
      <c r="AR1335" s="78" t="str">
        <f aca="false">IF(AQ1335=1,SUM(AQ$7:AQ1335),"")</f>
        <v/>
      </c>
    </row>
    <row r="1336" customFormat="false" ht="15" hidden="false" customHeight="false" outlineLevel="0" collapsed="false">
      <c r="A1336" s="78" t="str">
        <f aca="false">IF(E1336="","",ROW()-6)</f>
        <v/>
      </c>
      <c r="B1336" s="79"/>
      <c r="C1336" s="80"/>
      <c r="D1336" s="80"/>
      <c r="E1336" s="80"/>
      <c r="F1336" s="80"/>
      <c r="G1336" s="80"/>
      <c r="H1336" s="80"/>
      <c r="I1336" s="80"/>
      <c r="J1336" s="80"/>
      <c r="K1336" s="80"/>
      <c r="L1336" s="81" t="str">
        <f aca="false">IF(K1336="","",IFERROR(INDEX(BARDAGE!$C$7:$C$1506,MATCH(K1336,BARDAGE!$B$7:$B$1506,0)),"? hors registre"))</f>
        <v/>
      </c>
      <c r="M1336" s="80"/>
      <c r="N1336" s="81" t="str">
        <f aca="false">IF(M1336="","",IFERROR(INDEX(BARDAGE!$C$7:$C$1506,MATCH(M1336,BARDAGE!$B$7:$B$1506,0)),"? hors registre"))</f>
        <v/>
      </c>
      <c r="O1336" s="80"/>
      <c r="P1336" s="80"/>
      <c r="Q1336" s="80"/>
      <c r="R1336" s="82"/>
      <c r="S1336" s="82"/>
      <c r="T1336" s="80"/>
      <c r="U1336" s="80"/>
      <c r="V1336" s="82"/>
      <c r="W1336" s="80"/>
      <c r="X1336" s="80"/>
      <c r="Y1336" s="80"/>
      <c r="Z1336" s="80"/>
      <c r="AA1336" s="82"/>
      <c r="AB1336" s="80"/>
      <c r="AC1336" s="80"/>
      <c r="AD1336" s="80"/>
      <c r="AE1336" s="80"/>
      <c r="AF1336" s="82"/>
      <c r="AG1336" s="80"/>
      <c r="AH1336" s="80"/>
      <c r="AI1336" s="82"/>
      <c r="AJ1336" s="79"/>
      <c r="AK1336" s="78" t="str">
        <f aca="false">IF(E1336="","",(X1336&lt;&gt;"")+(AC1336&lt;&gt;"")+(AH1336&lt;&gt;""))</f>
        <v/>
      </c>
      <c r="AL1336" s="81" t="str">
        <f aca="false">IF(AH1336&lt;&gt;"",AH1336,IF(AC1336&lt;&gt;"",AC1336,IF(X1336&lt;&gt;"",X1336,"")))</f>
        <v/>
      </c>
      <c r="AM1336" s="83" t="str">
        <f aca="false">IF(E1336="","",IF(R1336="","À SOUDER",IF(U1336="","VT EN ATTENTE",IF(U1336="R","VT REJETÉ – À REPRENDRE",IF(AL1336="","À RADIOGRAPHIER",IF(AL1336="A","ACCEPTÉ",IF(AL1336="NX","NX – RT À REFAIRE",IF(IF(AK1336=1,Z1336,IF(AK1336=2,AE1336,""))="A","RÉPARÉ – À RADIOGRAPHIER",IF(IF(AK1336=1,Z1336,IF(AK1336=2,AE1336,""))="R","VT REJETÉ – À REPRENDRE",IF(OR(AL1336="CO",AL1336="NT"),"COUPE – À RESOUDER","À RÉPARER"))))))))))</f>
        <v/>
      </c>
      <c r="AN1336" s="81" t="str">
        <f aca="false">IF(AND(ISNUMBER(R1336),OR(AM1336="À RADIOGRAPHIER",AM1336="RÉPARÉ – À RADIOGRAPHIER",AM1336="NX – RT À REFAIRE",AM1336="À RÉPARER",AM1336="COUPE – À RESOUDER",AM1336="VT REJETÉ – À REPRENDRE")),MAX(0,'PROGRAMME RT'!$C$4-R1336),"")</f>
        <v/>
      </c>
      <c r="AO1336" s="78" t="n">
        <f aca="false">IF(AND(OR(AM1336="À RADIOGRAPHIER",AM1336="RÉPARÉ – À RADIOGRAPHIER",AM1336="NX – RT À REFAIRE"),OR('PROGRAMME RT'!$D$5="TOUTES",B1336='PROGRAMME RT'!$D$5)),1,0)</f>
        <v>0</v>
      </c>
      <c r="AP1336" s="78" t="str">
        <f aca="false">IF(AO1336=1,SUM(AO$7:AO1336),"")</f>
        <v/>
      </c>
      <c r="AQ1336" s="78" t="n">
        <f aca="false">IF(AND(OR(X1336="R",X1336="NX",X1336="NT",X1336="CO"),OR('JOINTS DE RÉPARATION'!$D$5="TOUTES",B1336='JOINTS DE RÉPARATION'!$D$5),OR('JOINTS DE RÉPARATION'!$L$4="TOUS",AM1336&lt;&gt;"ACCEPTÉ")),1,0)</f>
        <v>0</v>
      </c>
      <c r="AR1336" s="78" t="str">
        <f aca="false">IF(AQ1336=1,SUM(AQ$7:AQ1336),"")</f>
        <v/>
      </c>
    </row>
    <row r="1337" customFormat="false" ht="15" hidden="false" customHeight="false" outlineLevel="0" collapsed="false">
      <c r="A1337" s="78" t="str">
        <f aca="false">IF(E1337="","",ROW()-6)</f>
        <v/>
      </c>
      <c r="B1337" s="79"/>
      <c r="C1337" s="80"/>
      <c r="D1337" s="80"/>
      <c r="E1337" s="80"/>
      <c r="F1337" s="80"/>
      <c r="G1337" s="80"/>
      <c r="H1337" s="80"/>
      <c r="I1337" s="80"/>
      <c r="J1337" s="80"/>
      <c r="K1337" s="80"/>
      <c r="L1337" s="81" t="str">
        <f aca="false">IF(K1337="","",IFERROR(INDEX(BARDAGE!$C$7:$C$1506,MATCH(K1337,BARDAGE!$B$7:$B$1506,0)),"? hors registre"))</f>
        <v/>
      </c>
      <c r="M1337" s="80"/>
      <c r="N1337" s="81" t="str">
        <f aca="false">IF(M1337="","",IFERROR(INDEX(BARDAGE!$C$7:$C$1506,MATCH(M1337,BARDAGE!$B$7:$B$1506,0)),"? hors registre"))</f>
        <v/>
      </c>
      <c r="O1337" s="80"/>
      <c r="P1337" s="80"/>
      <c r="Q1337" s="80"/>
      <c r="R1337" s="82"/>
      <c r="S1337" s="82"/>
      <c r="T1337" s="80"/>
      <c r="U1337" s="80"/>
      <c r="V1337" s="82"/>
      <c r="W1337" s="80"/>
      <c r="X1337" s="80"/>
      <c r="Y1337" s="80"/>
      <c r="Z1337" s="80"/>
      <c r="AA1337" s="82"/>
      <c r="AB1337" s="80"/>
      <c r="AC1337" s="80"/>
      <c r="AD1337" s="80"/>
      <c r="AE1337" s="80"/>
      <c r="AF1337" s="82"/>
      <c r="AG1337" s="80"/>
      <c r="AH1337" s="80"/>
      <c r="AI1337" s="82"/>
      <c r="AJ1337" s="79"/>
      <c r="AK1337" s="78" t="str">
        <f aca="false">IF(E1337="","",(X1337&lt;&gt;"")+(AC1337&lt;&gt;"")+(AH1337&lt;&gt;""))</f>
        <v/>
      </c>
      <c r="AL1337" s="81" t="str">
        <f aca="false">IF(AH1337&lt;&gt;"",AH1337,IF(AC1337&lt;&gt;"",AC1337,IF(X1337&lt;&gt;"",X1337,"")))</f>
        <v/>
      </c>
      <c r="AM1337" s="83" t="str">
        <f aca="false">IF(E1337="","",IF(R1337="","À SOUDER",IF(U1337="","VT EN ATTENTE",IF(U1337="R","VT REJETÉ – À REPRENDRE",IF(AL1337="","À RADIOGRAPHIER",IF(AL1337="A","ACCEPTÉ",IF(AL1337="NX","NX – RT À REFAIRE",IF(IF(AK1337=1,Z1337,IF(AK1337=2,AE1337,""))="A","RÉPARÉ – À RADIOGRAPHIER",IF(IF(AK1337=1,Z1337,IF(AK1337=2,AE1337,""))="R","VT REJETÉ – À REPRENDRE",IF(OR(AL1337="CO",AL1337="NT"),"COUPE – À RESOUDER","À RÉPARER"))))))))))</f>
        <v/>
      </c>
      <c r="AN1337" s="81" t="str">
        <f aca="false">IF(AND(ISNUMBER(R1337),OR(AM1337="À RADIOGRAPHIER",AM1337="RÉPARÉ – À RADIOGRAPHIER",AM1337="NX – RT À REFAIRE",AM1337="À RÉPARER",AM1337="COUPE – À RESOUDER",AM1337="VT REJETÉ – À REPRENDRE")),MAX(0,'PROGRAMME RT'!$C$4-R1337),"")</f>
        <v/>
      </c>
      <c r="AO1337" s="78" t="n">
        <f aca="false">IF(AND(OR(AM1337="À RADIOGRAPHIER",AM1337="RÉPARÉ – À RADIOGRAPHIER",AM1337="NX – RT À REFAIRE"),OR('PROGRAMME RT'!$D$5="TOUTES",B1337='PROGRAMME RT'!$D$5)),1,0)</f>
        <v>0</v>
      </c>
      <c r="AP1337" s="78" t="str">
        <f aca="false">IF(AO1337=1,SUM(AO$7:AO1337),"")</f>
        <v/>
      </c>
      <c r="AQ1337" s="78" t="n">
        <f aca="false">IF(AND(OR(X1337="R",X1337="NX",X1337="NT",X1337="CO"),OR('JOINTS DE RÉPARATION'!$D$5="TOUTES",B1337='JOINTS DE RÉPARATION'!$D$5),OR('JOINTS DE RÉPARATION'!$L$4="TOUS",AM1337&lt;&gt;"ACCEPTÉ")),1,0)</f>
        <v>0</v>
      </c>
      <c r="AR1337" s="78" t="str">
        <f aca="false">IF(AQ1337=1,SUM(AQ$7:AQ1337),"")</f>
        <v/>
      </c>
    </row>
    <row r="1338" customFormat="false" ht="15" hidden="false" customHeight="false" outlineLevel="0" collapsed="false">
      <c r="A1338" s="78" t="str">
        <f aca="false">IF(E1338="","",ROW()-6)</f>
        <v/>
      </c>
      <c r="B1338" s="79"/>
      <c r="C1338" s="80"/>
      <c r="D1338" s="80"/>
      <c r="E1338" s="80"/>
      <c r="F1338" s="80"/>
      <c r="G1338" s="80"/>
      <c r="H1338" s="80"/>
      <c r="I1338" s="80"/>
      <c r="J1338" s="80"/>
      <c r="K1338" s="80"/>
      <c r="L1338" s="81" t="str">
        <f aca="false">IF(K1338="","",IFERROR(INDEX(BARDAGE!$C$7:$C$1506,MATCH(K1338,BARDAGE!$B$7:$B$1506,0)),"? hors registre"))</f>
        <v/>
      </c>
      <c r="M1338" s="80"/>
      <c r="N1338" s="81" t="str">
        <f aca="false">IF(M1338="","",IFERROR(INDEX(BARDAGE!$C$7:$C$1506,MATCH(M1338,BARDAGE!$B$7:$B$1506,0)),"? hors registre"))</f>
        <v/>
      </c>
      <c r="O1338" s="80"/>
      <c r="P1338" s="80"/>
      <c r="Q1338" s="80"/>
      <c r="R1338" s="82"/>
      <c r="S1338" s="82"/>
      <c r="T1338" s="80"/>
      <c r="U1338" s="80"/>
      <c r="V1338" s="82"/>
      <c r="W1338" s="80"/>
      <c r="X1338" s="80"/>
      <c r="Y1338" s="80"/>
      <c r="Z1338" s="80"/>
      <c r="AA1338" s="82"/>
      <c r="AB1338" s="80"/>
      <c r="AC1338" s="80"/>
      <c r="AD1338" s="80"/>
      <c r="AE1338" s="80"/>
      <c r="AF1338" s="82"/>
      <c r="AG1338" s="80"/>
      <c r="AH1338" s="80"/>
      <c r="AI1338" s="82"/>
      <c r="AJ1338" s="79"/>
      <c r="AK1338" s="78" t="str">
        <f aca="false">IF(E1338="","",(X1338&lt;&gt;"")+(AC1338&lt;&gt;"")+(AH1338&lt;&gt;""))</f>
        <v/>
      </c>
      <c r="AL1338" s="81" t="str">
        <f aca="false">IF(AH1338&lt;&gt;"",AH1338,IF(AC1338&lt;&gt;"",AC1338,IF(X1338&lt;&gt;"",X1338,"")))</f>
        <v/>
      </c>
      <c r="AM1338" s="83" t="str">
        <f aca="false">IF(E1338="","",IF(R1338="","À SOUDER",IF(U1338="","VT EN ATTENTE",IF(U1338="R","VT REJETÉ – À REPRENDRE",IF(AL1338="","À RADIOGRAPHIER",IF(AL1338="A","ACCEPTÉ",IF(AL1338="NX","NX – RT À REFAIRE",IF(IF(AK1338=1,Z1338,IF(AK1338=2,AE1338,""))="A","RÉPARÉ – À RADIOGRAPHIER",IF(IF(AK1338=1,Z1338,IF(AK1338=2,AE1338,""))="R","VT REJETÉ – À REPRENDRE",IF(OR(AL1338="CO",AL1338="NT"),"COUPE – À RESOUDER","À RÉPARER"))))))))))</f>
        <v/>
      </c>
      <c r="AN1338" s="81" t="str">
        <f aca="false">IF(AND(ISNUMBER(R1338),OR(AM1338="À RADIOGRAPHIER",AM1338="RÉPARÉ – À RADIOGRAPHIER",AM1338="NX – RT À REFAIRE",AM1338="À RÉPARER",AM1338="COUPE – À RESOUDER",AM1338="VT REJETÉ – À REPRENDRE")),MAX(0,'PROGRAMME RT'!$C$4-R1338),"")</f>
        <v/>
      </c>
      <c r="AO1338" s="78" t="n">
        <f aca="false">IF(AND(OR(AM1338="À RADIOGRAPHIER",AM1338="RÉPARÉ – À RADIOGRAPHIER",AM1338="NX – RT À REFAIRE"),OR('PROGRAMME RT'!$D$5="TOUTES",B1338='PROGRAMME RT'!$D$5)),1,0)</f>
        <v>0</v>
      </c>
      <c r="AP1338" s="78" t="str">
        <f aca="false">IF(AO1338=1,SUM(AO$7:AO1338),"")</f>
        <v/>
      </c>
      <c r="AQ1338" s="78" t="n">
        <f aca="false">IF(AND(OR(X1338="R",X1338="NX",X1338="NT",X1338="CO"),OR('JOINTS DE RÉPARATION'!$D$5="TOUTES",B1338='JOINTS DE RÉPARATION'!$D$5),OR('JOINTS DE RÉPARATION'!$L$4="TOUS",AM1338&lt;&gt;"ACCEPTÉ")),1,0)</f>
        <v>0</v>
      </c>
      <c r="AR1338" s="78" t="str">
        <f aca="false">IF(AQ1338=1,SUM(AQ$7:AQ1338),"")</f>
        <v/>
      </c>
    </row>
    <row r="1339" customFormat="false" ht="15" hidden="false" customHeight="false" outlineLevel="0" collapsed="false">
      <c r="A1339" s="78" t="str">
        <f aca="false">IF(E1339="","",ROW()-6)</f>
        <v/>
      </c>
      <c r="B1339" s="79"/>
      <c r="C1339" s="80"/>
      <c r="D1339" s="80"/>
      <c r="E1339" s="80"/>
      <c r="F1339" s="80"/>
      <c r="G1339" s="80"/>
      <c r="H1339" s="80"/>
      <c r="I1339" s="80"/>
      <c r="J1339" s="80"/>
      <c r="K1339" s="80"/>
      <c r="L1339" s="81" t="str">
        <f aca="false">IF(K1339="","",IFERROR(INDEX(BARDAGE!$C$7:$C$1506,MATCH(K1339,BARDAGE!$B$7:$B$1506,0)),"? hors registre"))</f>
        <v/>
      </c>
      <c r="M1339" s="80"/>
      <c r="N1339" s="81" t="str">
        <f aca="false">IF(M1339="","",IFERROR(INDEX(BARDAGE!$C$7:$C$1506,MATCH(M1339,BARDAGE!$B$7:$B$1506,0)),"? hors registre"))</f>
        <v/>
      </c>
      <c r="O1339" s="80"/>
      <c r="P1339" s="80"/>
      <c r="Q1339" s="80"/>
      <c r="R1339" s="82"/>
      <c r="S1339" s="82"/>
      <c r="T1339" s="80"/>
      <c r="U1339" s="80"/>
      <c r="V1339" s="82"/>
      <c r="W1339" s="80"/>
      <c r="X1339" s="80"/>
      <c r="Y1339" s="80"/>
      <c r="Z1339" s="80"/>
      <c r="AA1339" s="82"/>
      <c r="AB1339" s="80"/>
      <c r="AC1339" s="80"/>
      <c r="AD1339" s="80"/>
      <c r="AE1339" s="80"/>
      <c r="AF1339" s="82"/>
      <c r="AG1339" s="80"/>
      <c r="AH1339" s="80"/>
      <c r="AI1339" s="82"/>
      <c r="AJ1339" s="79"/>
      <c r="AK1339" s="78" t="str">
        <f aca="false">IF(E1339="","",(X1339&lt;&gt;"")+(AC1339&lt;&gt;"")+(AH1339&lt;&gt;""))</f>
        <v/>
      </c>
      <c r="AL1339" s="81" t="str">
        <f aca="false">IF(AH1339&lt;&gt;"",AH1339,IF(AC1339&lt;&gt;"",AC1339,IF(X1339&lt;&gt;"",X1339,"")))</f>
        <v/>
      </c>
      <c r="AM1339" s="83" t="str">
        <f aca="false">IF(E1339="","",IF(R1339="","À SOUDER",IF(U1339="","VT EN ATTENTE",IF(U1339="R","VT REJETÉ – À REPRENDRE",IF(AL1339="","À RADIOGRAPHIER",IF(AL1339="A","ACCEPTÉ",IF(AL1339="NX","NX – RT À REFAIRE",IF(IF(AK1339=1,Z1339,IF(AK1339=2,AE1339,""))="A","RÉPARÉ – À RADIOGRAPHIER",IF(IF(AK1339=1,Z1339,IF(AK1339=2,AE1339,""))="R","VT REJETÉ – À REPRENDRE",IF(OR(AL1339="CO",AL1339="NT"),"COUPE – À RESOUDER","À RÉPARER"))))))))))</f>
        <v/>
      </c>
      <c r="AN1339" s="81" t="str">
        <f aca="false">IF(AND(ISNUMBER(R1339),OR(AM1339="À RADIOGRAPHIER",AM1339="RÉPARÉ – À RADIOGRAPHIER",AM1339="NX – RT À REFAIRE",AM1339="À RÉPARER",AM1339="COUPE – À RESOUDER",AM1339="VT REJETÉ – À REPRENDRE")),MAX(0,'PROGRAMME RT'!$C$4-R1339),"")</f>
        <v/>
      </c>
      <c r="AO1339" s="78" t="n">
        <f aca="false">IF(AND(OR(AM1339="À RADIOGRAPHIER",AM1339="RÉPARÉ – À RADIOGRAPHIER",AM1339="NX – RT À REFAIRE"),OR('PROGRAMME RT'!$D$5="TOUTES",B1339='PROGRAMME RT'!$D$5)),1,0)</f>
        <v>0</v>
      </c>
      <c r="AP1339" s="78" t="str">
        <f aca="false">IF(AO1339=1,SUM(AO$7:AO1339),"")</f>
        <v/>
      </c>
      <c r="AQ1339" s="78" t="n">
        <f aca="false">IF(AND(OR(X1339="R",X1339="NX",X1339="NT",X1339="CO"),OR('JOINTS DE RÉPARATION'!$D$5="TOUTES",B1339='JOINTS DE RÉPARATION'!$D$5),OR('JOINTS DE RÉPARATION'!$L$4="TOUS",AM1339&lt;&gt;"ACCEPTÉ")),1,0)</f>
        <v>0</v>
      </c>
      <c r="AR1339" s="78" t="str">
        <f aca="false">IF(AQ1339=1,SUM(AQ$7:AQ1339),"")</f>
        <v/>
      </c>
    </row>
    <row r="1340" customFormat="false" ht="15" hidden="false" customHeight="false" outlineLevel="0" collapsed="false">
      <c r="A1340" s="78" t="str">
        <f aca="false">IF(E1340="","",ROW()-6)</f>
        <v/>
      </c>
      <c r="B1340" s="79"/>
      <c r="C1340" s="80"/>
      <c r="D1340" s="80"/>
      <c r="E1340" s="80"/>
      <c r="F1340" s="80"/>
      <c r="G1340" s="80"/>
      <c r="H1340" s="80"/>
      <c r="I1340" s="80"/>
      <c r="J1340" s="80"/>
      <c r="K1340" s="80"/>
      <c r="L1340" s="81" t="str">
        <f aca="false">IF(K1340="","",IFERROR(INDEX(BARDAGE!$C$7:$C$1506,MATCH(K1340,BARDAGE!$B$7:$B$1506,0)),"? hors registre"))</f>
        <v/>
      </c>
      <c r="M1340" s="80"/>
      <c r="N1340" s="81" t="str">
        <f aca="false">IF(M1340="","",IFERROR(INDEX(BARDAGE!$C$7:$C$1506,MATCH(M1340,BARDAGE!$B$7:$B$1506,0)),"? hors registre"))</f>
        <v/>
      </c>
      <c r="O1340" s="80"/>
      <c r="P1340" s="80"/>
      <c r="Q1340" s="80"/>
      <c r="R1340" s="82"/>
      <c r="S1340" s="82"/>
      <c r="T1340" s="80"/>
      <c r="U1340" s="80"/>
      <c r="V1340" s="82"/>
      <c r="W1340" s="80"/>
      <c r="X1340" s="80"/>
      <c r="Y1340" s="80"/>
      <c r="Z1340" s="80"/>
      <c r="AA1340" s="82"/>
      <c r="AB1340" s="80"/>
      <c r="AC1340" s="80"/>
      <c r="AD1340" s="80"/>
      <c r="AE1340" s="80"/>
      <c r="AF1340" s="82"/>
      <c r="AG1340" s="80"/>
      <c r="AH1340" s="80"/>
      <c r="AI1340" s="82"/>
      <c r="AJ1340" s="79"/>
      <c r="AK1340" s="78" t="str">
        <f aca="false">IF(E1340="","",(X1340&lt;&gt;"")+(AC1340&lt;&gt;"")+(AH1340&lt;&gt;""))</f>
        <v/>
      </c>
      <c r="AL1340" s="81" t="str">
        <f aca="false">IF(AH1340&lt;&gt;"",AH1340,IF(AC1340&lt;&gt;"",AC1340,IF(X1340&lt;&gt;"",X1340,"")))</f>
        <v/>
      </c>
      <c r="AM1340" s="83" t="str">
        <f aca="false">IF(E1340="","",IF(R1340="","À SOUDER",IF(U1340="","VT EN ATTENTE",IF(U1340="R","VT REJETÉ – À REPRENDRE",IF(AL1340="","À RADIOGRAPHIER",IF(AL1340="A","ACCEPTÉ",IF(AL1340="NX","NX – RT À REFAIRE",IF(IF(AK1340=1,Z1340,IF(AK1340=2,AE1340,""))="A","RÉPARÉ – À RADIOGRAPHIER",IF(IF(AK1340=1,Z1340,IF(AK1340=2,AE1340,""))="R","VT REJETÉ – À REPRENDRE",IF(OR(AL1340="CO",AL1340="NT"),"COUPE – À RESOUDER","À RÉPARER"))))))))))</f>
        <v/>
      </c>
      <c r="AN1340" s="81" t="str">
        <f aca="false">IF(AND(ISNUMBER(R1340),OR(AM1340="À RADIOGRAPHIER",AM1340="RÉPARÉ – À RADIOGRAPHIER",AM1340="NX – RT À REFAIRE",AM1340="À RÉPARER",AM1340="COUPE – À RESOUDER",AM1340="VT REJETÉ – À REPRENDRE")),MAX(0,'PROGRAMME RT'!$C$4-R1340),"")</f>
        <v/>
      </c>
      <c r="AO1340" s="78" t="n">
        <f aca="false">IF(AND(OR(AM1340="À RADIOGRAPHIER",AM1340="RÉPARÉ – À RADIOGRAPHIER",AM1340="NX – RT À REFAIRE"),OR('PROGRAMME RT'!$D$5="TOUTES",B1340='PROGRAMME RT'!$D$5)),1,0)</f>
        <v>0</v>
      </c>
      <c r="AP1340" s="78" t="str">
        <f aca="false">IF(AO1340=1,SUM(AO$7:AO1340),"")</f>
        <v/>
      </c>
      <c r="AQ1340" s="78" t="n">
        <f aca="false">IF(AND(OR(X1340="R",X1340="NX",X1340="NT",X1340="CO"),OR('JOINTS DE RÉPARATION'!$D$5="TOUTES",B1340='JOINTS DE RÉPARATION'!$D$5),OR('JOINTS DE RÉPARATION'!$L$4="TOUS",AM1340&lt;&gt;"ACCEPTÉ")),1,0)</f>
        <v>0</v>
      </c>
      <c r="AR1340" s="78" t="str">
        <f aca="false">IF(AQ1340=1,SUM(AQ$7:AQ1340),"")</f>
        <v/>
      </c>
    </row>
    <row r="1341" customFormat="false" ht="15" hidden="false" customHeight="false" outlineLevel="0" collapsed="false">
      <c r="A1341" s="78" t="str">
        <f aca="false">IF(E1341="","",ROW()-6)</f>
        <v/>
      </c>
      <c r="B1341" s="79"/>
      <c r="C1341" s="80"/>
      <c r="D1341" s="80"/>
      <c r="E1341" s="80"/>
      <c r="F1341" s="80"/>
      <c r="G1341" s="80"/>
      <c r="H1341" s="80"/>
      <c r="I1341" s="80"/>
      <c r="J1341" s="80"/>
      <c r="K1341" s="80"/>
      <c r="L1341" s="81" t="str">
        <f aca="false">IF(K1341="","",IFERROR(INDEX(BARDAGE!$C$7:$C$1506,MATCH(K1341,BARDAGE!$B$7:$B$1506,0)),"? hors registre"))</f>
        <v/>
      </c>
      <c r="M1341" s="80"/>
      <c r="N1341" s="81" t="str">
        <f aca="false">IF(M1341="","",IFERROR(INDEX(BARDAGE!$C$7:$C$1506,MATCH(M1341,BARDAGE!$B$7:$B$1506,0)),"? hors registre"))</f>
        <v/>
      </c>
      <c r="O1341" s="80"/>
      <c r="P1341" s="80"/>
      <c r="Q1341" s="80"/>
      <c r="R1341" s="82"/>
      <c r="S1341" s="82"/>
      <c r="T1341" s="80"/>
      <c r="U1341" s="80"/>
      <c r="V1341" s="82"/>
      <c r="W1341" s="80"/>
      <c r="X1341" s="80"/>
      <c r="Y1341" s="80"/>
      <c r="Z1341" s="80"/>
      <c r="AA1341" s="82"/>
      <c r="AB1341" s="80"/>
      <c r="AC1341" s="80"/>
      <c r="AD1341" s="80"/>
      <c r="AE1341" s="80"/>
      <c r="AF1341" s="82"/>
      <c r="AG1341" s="80"/>
      <c r="AH1341" s="80"/>
      <c r="AI1341" s="82"/>
      <c r="AJ1341" s="79"/>
      <c r="AK1341" s="78" t="str">
        <f aca="false">IF(E1341="","",(X1341&lt;&gt;"")+(AC1341&lt;&gt;"")+(AH1341&lt;&gt;""))</f>
        <v/>
      </c>
      <c r="AL1341" s="81" t="str">
        <f aca="false">IF(AH1341&lt;&gt;"",AH1341,IF(AC1341&lt;&gt;"",AC1341,IF(X1341&lt;&gt;"",X1341,"")))</f>
        <v/>
      </c>
      <c r="AM1341" s="83" t="str">
        <f aca="false">IF(E1341="","",IF(R1341="","À SOUDER",IF(U1341="","VT EN ATTENTE",IF(U1341="R","VT REJETÉ – À REPRENDRE",IF(AL1341="","À RADIOGRAPHIER",IF(AL1341="A","ACCEPTÉ",IF(AL1341="NX","NX – RT À REFAIRE",IF(IF(AK1341=1,Z1341,IF(AK1341=2,AE1341,""))="A","RÉPARÉ – À RADIOGRAPHIER",IF(IF(AK1341=1,Z1341,IF(AK1341=2,AE1341,""))="R","VT REJETÉ – À REPRENDRE",IF(OR(AL1341="CO",AL1341="NT"),"COUPE – À RESOUDER","À RÉPARER"))))))))))</f>
        <v/>
      </c>
      <c r="AN1341" s="81" t="str">
        <f aca="false">IF(AND(ISNUMBER(R1341),OR(AM1341="À RADIOGRAPHIER",AM1341="RÉPARÉ – À RADIOGRAPHIER",AM1341="NX – RT À REFAIRE",AM1341="À RÉPARER",AM1341="COUPE – À RESOUDER",AM1341="VT REJETÉ – À REPRENDRE")),MAX(0,'PROGRAMME RT'!$C$4-R1341),"")</f>
        <v/>
      </c>
      <c r="AO1341" s="78" t="n">
        <f aca="false">IF(AND(OR(AM1341="À RADIOGRAPHIER",AM1341="RÉPARÉ – À RADIOGRAPHIER",AM1341="NX – RT À REFAIRE"),OR('PROGRAMME RT'!$D$5="TOUTES",B1341='PROGRAMME RT'!$D$5)),1,0)</f>
        <v>0</v>
      </c>
      <c r="AP1341" s="78" t="str">
        <f aca="false">IF(AO1341=1,SUM(AO$7:AO1341),"")</f>
        <v/>
      </c>
      <c r="AQ1341" s="78" t="n">
        <f aca="false">IF(AND(OR(X1341="R",X1341="NX",X1341="NT",X1341="CO"),OR('JOINTS DE RÉPARATION'!$D$5="TOUTES",B1341='JOINTS DE RÉPARATION'!$D$5),OR('JOINTS DE RÉPARATION'!$L$4="TOUS",AM1341&lt;&gt;"ACCEPTÉ")),1,0)</f>
        <v>0</v>
      </c>
      <c r="AR1341" s="78" t="str">
        <f aca="false">IF(AQ1341=1,SUM(AQ$7:AQ1341),"")</f>
        <v/>
      </c>
    </row>
    <row r="1342" customFormat="false" ht="15" hidden="false" customHeight="false" outlineLevel="0" collapsed="false">
      <c r="A1342" s="78" t="str">
        <f aca="false">IF(E1342="","",ROW()-6)</f>
        <v/>
      </c>
      <c r="B1342" s="79"/>
      <c r="C1342" s="80"/>
      <c r="D1342" s="80"/>
      <c r="E1342" s="80"/>
      <c r="F1342" s="80"/>
      <c r="G1342" s="80"/>
      <c r="H1342" s="80"/>
      <c r="I1342" s="80"/>
      <c r="J1342" s="80"/>
      <c r="K1342" s="80"/>
      <c r="L1342" s="81" t="str">
        <f aca="false">IF(K1342="","",IFERROR(INDEX(BARDAGE!$C$7:$C$1506,MATCH(K1342,BARDAGE!$B$7:$B$1506,0)),"? hors registre"))</f>
        <v/>
      </c>
      <c r="M1342" s="80"/>
      <c r="N1342" s="81" t="str">
        <f aca="false">IF(M1342="","",IFERROR(INDEX(BARDAGE!$C$7:$C$1506,MATCH(M1342,BARDAGE!$B$7:$B$1506,0)),"? hors registre"))</f>
        <v/>
      </c>
      <c r="O1342" s="80"/>
      <c r="P1342" s="80"/>
      <c r="Q1342" s="80"/>
      <c r="R1342" s="82"/>
      <c r="S1342" s="82"/>
      <c r="T1342" s="80"/>
      <c r="U1342" s="80"/>
      <c r="V1342" s="82"/>
      <c r="W1342" s="80"/>
      <c r="X1342" s="80"/>
      <c r="Y1342" s="80"/>
      <c r="Z1342" s="80"/>
      <c r="AA1342" s="82"/>
      <c r="AB1342" s="80"/>
      <c r="AC1342" s="80"/>
      <c r="AD1342" s="80"/>
      <c r="AE1342" s="80"/>
      <c r="AF1342" s="82"/>
      <c r="AG1342" s="80"/>
      <c r="AH1342" s="80"/>
      <c r="AI1342" s="82"/>
      <c r="AJ1342" s="79"/>
      <c r="AK1342" s="78" t="str">
        <f aca="false">IF(E1342="","",(X1342&lt;&gt;"")+(AC1342&lt;&gt;"")+(AH1342&lt;&gt;""))</f>
        <v/>
      </c>
      <c r="AL1342" s="81" t="str">
        <f aca="false">IF(AH1342&lt;&gt;"",AH1342,IF(AC1342&lt;&gt;"",AC1342,IF(X1342&lt;&gt;"",X1342,"")))</f>
        <v/>
      </c>
      <c r="AM1342" s="83" t="str">
        <f aca="false">IF(E1342="","",IF(R1342="","À SOUDER",IF(U1342="","VT EN ATTENTE",IF(U1342="R","VT REJETÉ – À REPRENDRE",IF(AL1342="","À RADIOGRAPHIER",IF(AL1342="A","ACCEPTÉ",IF(AL1342="NX","NX – RT À REFAIRE",IF(IF(AK1342=1,Z1342,IF(AK1342=2,AE1342,""))="A","RÉPARÉ – À RADIOGRAPHIER",IF(IF(AK1342=1,Z1342,IF(AK1342=2,AE1342,""))="R","VT REJETÉ – À REPRENDRE",IF(OR(AL1342="CO",AL1342="NT"),"COUPE – À RESOUDER","À RÉPARER"))))))))))</f>
        <v/>
      </c>
      <c r="AN1342" s="81" t="str">
        <f aca="false">IF(AND(ISNUMBER(R1342),OR(AM1342="À RADIOGRAPHIER",AM1342="RÉPARÉ – À RADIOGRAPHIER",AM1342="NX – RT À REFAIRE",AM1342="À RÉPARER",AM1342="COUPE – À RESOUDER",AM1342="VT REJETÉ – À REPRENDRE")),MAX(0,'PROGRAMME RT'!$C$4-R1342),"")</f>
        <v/>
      </c>
      <c r="AO1342" s="78" t="n">
        <f aca="false">IF(AND(OR(AM1342="À RADIOGRAPHIER",AM1342="RÉPARÉ – À RADIOGRAPHIER",AM1342="NX – RT À REFAIRE"),OR('PROGRAMME RT'!$D$5="TOUTES",B1342='PROGRAMME RT'!$D$5)),1,0)</f>
        <v>0</v>
      </c>
      <c r="AP1342" s="78" t="str">
        <f aca="false">IF(AO1342=1,SUM(AO$7:AO1342),"")</f>
        <v/>
      </c>
      <c r="AQ1342" s="78" t="n">
        <f aca="false">IF(AND(OR(X1342="R",X1342="NX",X1342="NT",X1342="CO"),OR('JOINTS DE RÉPARATION'!$D$5="TOUTES",B1342='JOINTS DE RÉPARATION'!$D$5),OR('JOINTS DE RÉPARATION'!$L$4="TOUS",AM1342&lt;&gt;"ACCEPTÉ")),1,0)</f>
        <v>0</v>
      </c>
      <c r="AR1342" s="78" t="str">
        <f aca="false">IF(AQ1342=1,SUM(AQ$7:AQ1342),"")</f>
        <v/>
      </c>
    </row>
    <row r="1343" customFormat="false" ht="15" hidden="false" customHeight="false" outlineLevel="0" collapsed="false">
      <c r="A1343" s="78" t="str">
        <f aca="false">IF(E1343="","",ROW()-6)</f>
        <v/>
      </c>
      <c r="B1343" s="79"/>
      <c r="C1343" s="80"/>
      <c r="D1343" s="80"/>
      <c r="E1343" s="80"/>
      <c r="F1343" s="80"/>
      <c r="G1343" s="80"/>
      <c r="H1343" s="80"/>
      <c r="I1343" s="80"/>
      <c r="J1343" s="80"/>
      <c r="K1343" s="80"/>
      <c r="L1343" s="81" t="str">
        <f aca="false">IF(K1343="","",IFERROR(INDEX(BARDAGE!$C$7:$C$1506,MATCH(K1343,BARDAGE!$B$7:$B$1506,0)),"? hors registre"))</f>
        <v/>
      </c>
      <c r="M1343" s="80"/>
      <c r="N1343" s="81" t="str">
        <f aca="false">IF(M1343="","",IFERROR(INDEX(BARDAGE!$C$7:$C$1506,MATCH(M1343,BARDAGE!$B$7:$B$1506,0)),"? hors registre"))</f>
        <v/>
      </c>
      <c r="O1343" s="80"/>
      <c r="P1343" s="80"/>
      <c r="Q1343" s="80"/>
      <c r="R1343" s="82"/>
      <c r="S1343" s="82"/>
      <c r="T1343" s="80"/>
      <c r="U1343" s="80"/>
      <c r="V1343" s="82"/>
      <c r="W1343" s="80"/>
      <c r="X1343" s="80"/>
      <c r="Y1343" s="80"/>
      <c r="Z1343" s="80"/>
      <c r="AA1343" s="82"/>
      <c r="AB1343" s="80"/>
      <c r="AC1343" s="80"/>
      <c r="AD1343" s="80"/>
      <c r="AE1343" s="80"/>
      <c r="AF1343" s="82"/>
      <c r="AG1343" s="80"/>
      <c r="AH1343" s="80"/>
      <c r="AI1343" s="82"/>
      <c r="AJ1343" s="79"/>
      <c r="AK1343" s="78" t="str">
        <f aca="false">IF(E1343="","",(X1343&lt;&gt;"")+(AC1343&lt;&gt;"")+(AH1343&lt;&gt;""))</f>
        <v/>
      </c>
      <c r="AL1343" s="81" t="str">
        <f aca="false">IF(AH1343&lt;&gt;"",AH1343,IF(AC1343&lt;&gt;"",AC1343,IF(X1343&lt;&gt;"",X1343,"")))</f>
        <v/>
      </c>
      <c r="AM1343" s="83" t="str">
        <f aca="false">IF(E1343="","",IF(R1343="","À SOUDER",IF(U1343="","VT EN ATTENTE",IF(U1343="R","VT REJETÉ – À REPRENDRE",IF(AL1343="","À RADIOGRAPHIER",IF(AL1343="A","ACCEPTÉ",IF(AL1343="NX","NX – RT À REFAIRE",IF(IF(AK1343=1,Z1343,IF(AK1343=2,AE1343,""))="A","RÉPARÉ – À RADIOGRAPHIER",IF(IF(AK1343=1,Z1343,IF(AK1343=2,AE1343,""))="R","VT REJETÉ – À REPRENDRE",IF(OR(AL1343="CO",AL1343="NT"),"COUPE – À RESOUDER","À RÉPARER"))))))))))</f>
        <v/>
      </c>
      <c r="AN1343" s="81" t="str">
        <f aca="false">IF(AND(ISNUMBER(R1343),OR(AM1343="À RADIOGRAPHIER",AM1343="RÉPARÉ – À RADIOGRAPHIER",AM1343="NX – RT À REFAIRE",AM1343="À RÉPARER",AM1343="COUPE – À RESOUDER",AM1343="VT REJETÉ – À REPRENDRE")),MAX(0,'PROGRAMME RT'!$C$4-R1343),"")</f>
        <v/>
      </c>
      <c r="AO1343" s="78" t="n">
        <f aca="false">IF(AND(OR(AM1343="À RADIOGRAPHIER",AM1343="RÉPARÉ – À RADIOGRAPHIER",AM1343="NX – RT À REFAIRE"),OR('PROGRAMME RT'!$D$5="TOUTES",B1343='PROGRAMME RT'!$D$5)),1,0)</f>
        <v>0</v>
      </c>
      <c r="AP1343" s="78" t="str">
        <f aca="false">IF(AO1343=1,SUM(AO$7:AO1343),"")</f>
        <v/>
      </c>
      <c r="AQ1343" s="78" t="n">
        <f aca="false">IF(AND(OR(X1343="R",X1343="NX",X1343="NT",X1343="CO"),OR('JOINTS DE RÉPARATION'!$D$5="TOUTES",B1343='JOINTS DE RÉPARATION'!$D$5),OR('JOINTS DE RÉPARATION'!$L$4="TOUS",AM1343&lt;&gt;"ACCEPTÉ")),1,0)</f>
        <v>0</v>
      </c>
      <c r="AR1343" s="78" t="str">
        <f aca="false">IF(AQ1343=1,SUM(AQ$7:AQ1343),"")</f>
        <v/>
      </c>
    </row>
    <row r="1344" customFormat="false" ht="15" hidden="false" customHeight="false" outlineLevel="0" collapsed="false">
      <c r="A1344" s="78" t="str">
        <f aca="false">IF(E1344="","",ROW()-6)</f>
        <v/>
      </c>
      <c r="B1344" s="79"/>
      <c r="C1344" s="80"/>
      <c r="D1344" s="80"/>
      <c r="E1344" s="80"/>
      <c r="F1344" s="80"/>
      <c r="G1344" s="80"/>
      <c r="H1344" s="80"/>
      <c r="I1344" s="80"/>
      <c r="J1344" s="80"/>
      <c r="K1344" s="80"/>
      <c r="L1344" s="81" t="str">
        <f aca="false">IF(K1344="","",IFERROR(INDEX(BARDAGE!$C$7:$C$1506,MATCH(K1344,BARDAGE!$B$7:$B$1506,0)),"? hors registre"))</f>
        <v/>
      </c>
      <c r="M1344" s="80"/>
      <c r="N1344" s="81" t="str">
        <f aca="false">IF(M1344="","",IFERROR(INDEX(BARDAGE!$C$7:$C$1506,MATCH(M1344,BARDAGE!$B$7:$B$1506,0)),"? hors registre"))</f>
        <v/>
      </c>
      <c r="O1344" s="80"/>
      <c r="P1344" s="80"/>
      <c r="Q1344" s="80"/>
      <c r="R1344" s="82"/>
      <c r="S1344" s="82"/>
      <c r="T1344" s="80"/>
      <c r="U1344" s="80"/>
      <c r="V1344" s="82"/>
      <c r="W1344" s="80"/>
      <c r="X1344" s="80"/>
      <c r="Y1344" s="80"/>
      <c r="Z1344" s="80"/>
      <c r="AA1344" s="82"/>
      <c r="AB1344" s="80"/>
      <c r="AC1344" s="80"/>
      <c r="AD1344" s="80"/>
      <c r="AE1344" s="80"/>
      <c r="AF1344" s="82"/>
      <c r="AG1344" s="80"/>
      <c r="AH1344" s="80"/>
      <c r="AI1344" s="82"/>
      <c r="AJ1344" s="79"/>
      <c r="AK1344" s="78" t="str">
        <f aca="false">IF(E1344="","",(X1344&lt;&gt;"")+(AC1344&lt;&gt;"")+(AH1344&lt;&gt;""))</f>
        <v/>
      </c>
      <c r="AL1344" s="81" t="str">
        <f aca="false">IF(AH1344&lt;&gt;"",AH1344,IF(AC1344&lt;&gt;"",AC1344,IF(X1344&lt;&gt;"",X1344,"")))</f>
        <v/>
      </c>
      <c r="AM1344" s="83" t="str">
        <f aca="false">IF(E1344="","",IF(R1344="","À SOUDER",IF(U1344="","VT EN ATTENTE",IF(U1344="R","VT REJETÉ – À REPRENDRE",IF(AL1344="","À RADIOGRAPHIER",IF(AL1344="A","ACCEPTÉ",IF(AL1344="NX","NX – RT À REFAIRE",IF(IF(AK1344=1,Z1344,IF(AK1344=2,AE1344,""))="A","RÉPARÉ – À RADIOGRAPHIER",IF(IF(AK1344=1,Z1344,IF(AK1344=2,AE1344,""))="R","VT REJETÉ – À REPRENDRE",IF(OR(AL1344="CO",AL1344="NT"),"COUPE – À RESOUDER","À RÉPARER"))))))))))</f>
        <v/>
      </c>
      <c r="AN1344" s="81" t="str">
        <f aca="false">IF(AND(ISNUMBER(R1344),OR(AM1344="À RADIOGRAPHIER",AM1344="RÉPARÉ – À RADIOGRAPHIER",AM1344="NX – RT À REFAIRE",AM1344="À RÉPARER",AM1344="COUPE – À RESOUDER",AM1344="VT REJETÉ – À REPRENDRE")),MAX(0,'PROGRAMME RT'!$C$4-R1344),"")</f>
        <v/>
      </c>
      <c r="AO1344" s="78" t="n">
        <f aca="false">IF(AND(OR(AM1344="À RADIOGRAPHIER",AM1344="RÉPARÉ – À RADIOGRAPHIER",AM1344="NX – RT À REFAIRE"),OR('PROGRAMME RT'!$D$5="TOUTES",B1344='PROGRAMME RT'!$D$5)),1,0)</f>
        <v>0</v>
      </c>
      <c r="AP1344" s="78" t="str">
        <f aca="false">IF(AO1344=1,SUM(AO$7:AO1344),"")</f>
        <v/>
      </c>
      <c r="AQ1344" s="78" t="n">
        <f aca="false">IF(AND(OR(X1344="R",X1344="NX",X1344="NT",X1344="CO"),OR('JOINTS DE RÉPARATION'!$D$5="TOUTES",B1344='JOINTS DE RÉPARATION'!$D$5),OR('JOINTS DE RÉPARATION'!$L$4="TOUS",AM1344&lt;&gt;"ACCEPTÉ")),1,0)</f>
        <v>0</v>
      </c>
      <c r="AR1344" s="78" t="str">
        <f aca="false">IF(AQ1344=1,SUM(AQ$7:AQ1344),"")</f>
        <v/>
      </c>
    </row>
    <row r="1345" customFormat="false" ht="15" hidden="false" customHeight="false" outlineLevel="0" collapsed="false">
      <c r="A1345" s="78" t="str">
        <f aca="false">IF(E1345="","",ROW()-6)</f>
        <v/>
      </c>
      <c r="B1345" s="79"/>
      <c r="C1345" s="80"/>
      <c r="D1345" s="80"/>
      <c r="E1345" s="80"/>
      <c r="F1345" s="80"/>
      <c r="G1345" s="80"/>
      <c r="H1345" s="80"/>
      <c r="I1345" s="80"/>
      <c r="J1345" s="80"/>
      <c r="K1345" s="80"/>
      <c r="L1345" s="81" t="str">
        <f aca="false">IF(K1345="","",IFERROR(INDEX(BARDAGE!$C$7:$C$1506,MATCH(K1345,BARDAGE!$B$7:$B$1506,0)),"? hors registre"))</f>
        <v/>
      </c>
      <c r="M1345" s="80"/>
      <c r="N1345" s="81" t="str">
        <f aca="false">IF(M1345="","",IFERROR(INDEX(BARDAGE!$C$7:$C$1506,MATCH(M1345,BARDAGE!$B$7:$B$1506,0)),"? hors registre"))</f>
        <v/>
      </c>
      <c r="O1345" s="80"/>
      <c r="P1345" s="80"/>
      <c r="Q1345" s="80"/>
      <c r="R1345" s="82"/>
      <c r="S1345" s="82"/>
      <c r="T1345" s="80"/>
      <c r="U1345" s="80"/>
      <c r="V1345" s="82"/>
      <c r="W1345" s="80"/>
      <c r="X1345" s="80"/>
      <c r="Y1345" s="80"/>
      <c r="Z1345" s="80"/>
      <c r="AA1345" s="82"/>
      <c r="AB1345" s="80"/>
      <c r="AC1345" s="80"/>
      <c r="AD1345" s="80"/>
      <c r="AE1345" s="80"/>
      <c r="AF1345" s="82"/>
      <c r="AG1345" s="80"/>
      <c r="AH1345" s="80"/>
      <c r="AI1345" s="82"/>
      <c r="AJ1345" s="79"/>
      <c r="AK1345" s="78" t="str">
        <f aca="false">IF(E1345="","",(X1345&lt;&gt;"")+(AC1345&lt;&gt;"")+(AH1345&lt;&gt;""))</f>
        <v/>
      </c>
      <c r="AL1345" s="81" t="str">
        <f aca="false">IF(AH1345&lt;&gt;"",AH1345,IF(AC1345&lt;&gt;"",AC1345,IF(X1345&lt;&gt;"",X1345,"")))</f>
        <v/>
      </c>
      <c r="AM1345" s="83" t="str">
        <f aca="false">IF(E1345="","",IF(R1345="","À SOUDER",IF(U1345="","VT EN ATTENTE",IF(U1345="R","VT REJETÉ – À REPRENDRE",IF(AL1345="","À RADIOGRAPHIER",IF(AL1345="A","ACCEPTÉ",IF(AL1345="NX","NX – RT À REFAIRE",IF(IF(AK1345=1,Z1345,IF(AK1345=2,AE1345,""))="A","RÉPARÉ – À RADIOGRAPHIER",IF(IF(AK1345=1,Z1345,IF(AK1345=2,AE1345,""))="R","VT REJETÉ – À REPRENDRE",IF(OR(AL1345="CO",AL1345="NT"),"COUPE – À RESOUDER","À RÉPARER"))))))))))</f>
        <v/>
      </c>
      <c r="AN1345" s="81" t="str">
        <f aca="false">IF(AND(ISNUMBER(R1345),OR(AM1345="À RADIOGRAPHIER",AM1345="RÉPARÉ – À RADIOGRAPHIER",AM1345="NX – RT À REFAIRE",AM1345="À RÉPARER",AM1345="COUPE – À RESOUDER",AM1345="VT REJETÉ – À REPRENDRE")),MAX(0,'PROGRAMME RT'!$C$4-R1345),"")</f>
        <v/>
      </c>
      <c r="AO1345" s="78" t="n">
        <f aca="false">IF(AND(OR(AM1345="À RADIOGRAPHIER",AM1345="RÉPARÉ – À RADIOGRAPHIER",AM1345="NX – RT À REFAIRE"),OR('PROGRAMME RT'!$D$5="TOUTES",B1345='PROGRAMME RT'!$D$5)),1,0)</f>
        <v>0</v>
      </c>
      <c r="AP1345" s="78" t="str">
        <f aca="false">IF(AO1345=1,SUM(AO$7:AO1345),"")</f>
        <v/>
      </c>
      <c r="AQ1345" s="78" t="n">
        <f aca="false">IF(AND(OR(X1345="R",X1345="NX",X1345="NT",X1345="CO"),OR('JOINTS DE RÉPARATION'!$D$5="TOUTES",B1345='JOINTS DE RÉPARATION'!$D$5),OR('JOINTS DE RÉPARATION'!$L$4="TOUS",AM1345&lt;&gt;"ACCEPTÉ")),1,0)</f>
        <v>0</v>
      </c>
      <c r="AR1345" s="78" t="str">
        <f aca="false">IF(AQ1345=1,SUM(AQ$7:AQ1345),"")</f>
        <v/>
      </c>
    </row>
    <row r="1346" customFormat="false" ht="15" hidden="false" customHeight="false" outlineLevel="0" collapsed="false">
      <c r="A1346" s="78" t="str">
        <f aca="false">IF(E1346="","",ROW()-6)</f>
        <v/>
      </c>
      <c r="B1346" s="79"/>
      <c r="C1346" s="80"/>
      <c r="D1346" s="80"/>
      <c r="E1346" s="80"/>
      <c r="F1346" s="80"/>
      <c r="G1346" s="80"/>
      <c r="H1346" s="80"/>
      <c r="I1346" s="80"/>
      <c r="J1346" s="80"/>
      <c r="K1346" s="80"/>
      <c r="L1346" s="81" t="str">
        <f aca="false">IF(K1346="","",IFERROR(INDEX(BARDAGE!$C$7:$C$1506,MATCH(K1346,BARDAGE!$B$7:$B$1506,0)),"? hors registre"))</f>
        <v/>
      </c>
      <c r="M1346" s="80"/>
      <c r="N1346" s="81" t="str">
        <f aca="false">IF(M1346="","",IFERROR(INDEX(BARDAGE!$C$7:$C$1506,MATCH(M1346,BARDAGE!$B$7:$B$1506,0)),"? hors registre"))</f>
        <v/>
      </c>
      <c r="O1346" s="80"/>
      <c r="P1346" s="80"/>
      <c r="Q1346" s="80"/>
      <c r="R1346" s="82"/>
      <c r="S1346" s="82"/>
      <c r="T1346" s="80"/>
      <c r="U1346" s="80"/>
      <c r="V1346" s="82"/>
      <c r="W1346" s="80"/>
      <c r="X1346" s="80"/>
      <c r="Y1346" s="80"/>
      <c r="Z1346" s="80"/>
      <c r="AA1346" s="82"/>
      <c r="AB1346" s="80"/>
      <c r="AC1346" s="80"/>
      <c r="AD1346" s="80"/>
      <c r="AE1346" s="80"/>
      <c r="AF1346" s="82"/>
      <c r="AG1346" s="80"/>
      <c r="AH1346" s="80"/>
      <c r="AI1346" s="82"/>
      <c r="AJ1346" s="79"/>
      <c r="AK1346" s="78" t="str">
        <f aca="false">IF(E1346="","",(X1346&lt;&gt;"")+(AC1346&lt;&gt;"")+(AH1346&lt;&gt;""))</f>
        <v/>
      </c>
      <c r="AL1346" s="81" t="str">
        <f aca="false">IF(AH1346&lt;&gt;"",AH1346,IF(AC1346&lt;&gt;"",AC1346,IF(X1346&lt;&gt;"",X1346,"")))</f>
        <v/>
      </c>
      <c r="AM1346" s="83" t="str">
        <f aca="false">IF(E1346="","",IF(R1346="","À SOUDER",IF(U1346="","VT EN ATTENTE",IF(U1346="R","VT REJETÉ – À REPRENDRE",IF(AL1346="","À RADIOGRAPHIER",IF(AL1346="A","ACCEPTÉ",IF(AL1346="NX","NX – RT À REFAIRE",IF(IF(AK1346=1,Z1346,IF(AK1346=2,AE1346,""))="A","RÉPARÉ – À RADIOGRAPHIER",IF(IF(AK1346=1,Z1346,IF(AK1346=2,AE1346,""))="R","VT REJETÉ – À REPRENDRE",IF(OR(AL1346="CO",AL1346="NT"),"COUPE – À RESOUDER","À RÉPARER"))))))))))</f>
        <v/>
      </c>
      <c r="AN1346" s="81" t="str">
        <f aca="false">IF(AND(ISNUMBER(R1346),OR(AM1346="À RADIOGRAPHIER",AM1346="RÉPARÉ – À RADIOGRAPHIER",AM1346="NX – RT À REFAIRE",AM1346="À RÉPARER",AM1346="COUPE – À RESOUDER",AM1346="VT REJETÉ – À REPRENDRE")),MAX(0,'PROGRAMME RT'!$C$4-R1346),"")</f>
        <v/>
      </c>
      <c r="AO1346" s="78" t="n">
        <f aca="false">IF(AND(OR(AM1346="À RADIOGRAPHIER",AM1346="RÉPARÉ – À RADIOGRAPHIER",AM1346="NX – RT À REFAIRE"),OR('PROGRAMME RT'!$D$5="TOUTES",B1346='PROGRAMME RT'!$D$5)),1,0)</f>
        <v>0</v>
      </c>
      <c r="AP1346" s="78" t="str">
        <f aca="false">IF(AO1346=1,SUM(AO$7:AO1346),"")</f>
        <v/>
      </c>
      <c r="AQ1346" s="78" t="n">
        <f aca="false">IF(AND(OR(X1346="R",X1346="NX",X1346="NT",X1346="CO"),OR('JOINTS DE RÉPARATION'!$D$5="TOUTES",B1346='JOINTS DE RÉPARATION'!$D$5),OR('JOINTS DE RÉPARATION'!$L$4="TOUS",AM1346&lt;&gt;"ACCEPTÉ")),1,0)</f>
        <v>0</v>
      </c>
      <c r="AR1346" s="78" t="str">
        <f aca="false">IF(AQ1346=1,SUM(AQ$7:AQ1346),"")</f>
        <v/>
      </c>
    </row>
    <row r="1347" customFormat="false" ht="15" hidden="false" customHeight="false" outlineLevel="0" collapsed="false">
      <c r="A1347" s="78" t="str">
        <f aca="false">IF(E1347="","",ROW()-6)</f>
        <v/>
      </c>
      <c r="B1347" s="79"/>
      <c r="C1347" s="80"/>
      <c r="D1347" s="80"/>
      <c r="E1347" s="80"/>
      <c r="F1347" s="80"/>
      <c r="G1347" s="80"/>
      <c r="H1347" s="80"/>
      <c r="I1347" s="80"/>
      <c r="J1347" s="80"/>
      <c r="K1347" s="80"/>
      <c r="L1347" s="81" t="str">
        <f aca="false">IF(K1347="","",IFERROR(INDEX(BARDAGE!$C$7:$C$1506,MATCH(K1347,BARDAGE!$B$7:$B$1506,0)),"? hors registre"))</f>
        <v/>
      </c>
      <c r="M1347" s="80"/>
      <c r="N1347" s="81" t="str">
        <f aca="false">IF(M1347="","",IFERROR(INDEX(BARDAGE!$C$7:$C$1506,MATCH(M1347,BARDAGE!$B$7:$B$1506,0)),"? hors registre"))</f>
        <v/>
      </c>
      <c r="O1347" s="80"/>
      <c r="P1347" s="80"/>
      <c r="Q1347" s="80"/>
      <c r="R1347" s="82"/>
      <c r="S1347" s="82"/>
      <c r="T1347" s="80"/>
      <c r="U1347" s="80"/>
      <c r="V1347" s="82"/>
      <c r="W1347" s="80"/>
      <c r="X1347" s="80"/>
      <c r="Y1347" s="80"/>
      <c r="Z1347" s="80"/>
      <c r="AA1347" s="82"/>
      <c r="AB1347" s="80"/>
      <c r="AC1347" s="80"/>
      <c r="AD1347" s="80"/>
      <c r="AE1347" s="80"/>
      <c r="AF1347" s="82"/>
      <c r="AG1347" s="80"/>
      <c r="AH1347" s="80"/>
      <c r="AI1347" s="82"/>
      <c r="AJ1347" s="79"/>
      <c r="AK1347" s="78" t="str">
        <f aca="false">IF(E1347="","",(X1347&lt;&gt;"")+(AC1347&lt;&gt;"")+(AH1347&lt;&gt;""))</f>
        <v/>
      </c>
      <c r="AL1347" s="81" t="str">
        <f aca="false">IF(AH1347&lt;&gt;"",AH1347,IF(AC1347&lt;&gt;"",AC1347,IF(X1347&lt;&gt;"",X1347,"")))</f>
        <v/>
      </c>
      <c r="AM1347" s="83" t="str">
        <f aca="false">IF(E1347="","",IF(R1347="","À SOUDER",IF(U1347="","VT EN ATTENTE",IF(U1347="R","VT REJETÉ – À REPRENDRE",IF(AL1347="","À RADIOGRAPHIER",IF(AL1347="A","ACCEPTÉ",IF(AL1347="NX","NX – RT À REFAIRE",IF(IF(AK1347=1,Z1347,IF(AK1347=2,AE1347,""))="A","RÉPARÉ – À RADIOGRAPHIER",IF(IF(AK1347=1,Z1347,IF(AK1347=2,AE1347,""))="R","VT REJETÉ – À REPRENDRE",IF(OR(AL1347="CO",AL1347="NT"),"COUPE – À RESOUDER","À RÉPARER"))))))))))</f>
        <v/>
      </c>
      <c r="AN1347" s="81" t="str">
        <f aca="false">IF(AND(ISNUMBER(R1347),OR(AM1347="À RADIOGRAPHIER",AM1347="RÉPARÉ – À RADIOGRAPHIER",AM1347="NX – RT À REFAIRE",AM1347="À RÉPARER",AM1347="COUPE – À RESOUDER",AM1347="VT REJETÉ – À REPRENDRE")),MAX(0,'PROGRAMME RT'!$C$4-R1347),"")</f>
        <v/>
      </c>
      <c r="AO1347" s="78" t="n">
        <f aca="false">IF(AND(OR(AM1347="À RADIOGRAPHIER",AM1347="RÉPARÉ – À RADIOGRAPHIER",AM1347="NX – RT À REFAIRE"),OR('PROGRAMME RT'!$D$5="TOUTES",B1347='PROGRAMME RT'!$D$5)),1,0)</f>
        <v>0</v>
      </c>
      <c r="AP1347" s="78" t="str">
        <f aca="false">IF(AO1347=1,SUM(AO$7:AO1347),"")</f>
        <v/>
      </c>
      <c r="AQ1347" s="78" t="n">
        <f aca="false">IF(AND(OR(X1347="R",X1347="NX",X1347="NT",X1347="CO"),OR('JOINTS DE RÉPARATION'!$D$5="TOUTES",B1347='JOINTS DE RÉPARATION'!$D$5),OR('JOINTS DE RÉPARATION'!$L$4="TOUS",AM1347&lt;&gt;"ACCEPTÉ")),1,0)</f>
        <v>0</v>
      </c>
      <c r="AR1347" s="78" t="str">
        <f aca="false">IF(AQ1347=1,SUM(AQ$7:AQ1347),"")</f>
        <v/>
      </c>
    </row>
    <row r="1348" customFormat="false" ht="15" hidden="false" customHeight="false" outlineLevel="0" collapsed="false">
      <c r="A1348" s="78" t="str">
        <f aca="false">IF(E1348="","",ROW()-6)</f>
        <v/>
      </c>
      <c r="B1348" s="79"/>
      <c r="C1348" s="80"/>
      <c r="D1348" s="80"/>
      <c r="E1348" s="80"/>
      <c r="F1348" s="80"/>
      <c r="G1348" s="80"/>
      <c r="H1348" s="80"/>
      <c r="I1348" s="80"/>
      <c r="J1348" s="80"/>
      <c r="K1348" s="80"/>
      <c r="L1348" s="81" t="str">
        <f aca="false">IF(K1348="","",IFERROR(INDEX(BARDAGE!$C$7:$C$1506,MATCH(K1348,BARDAGE!$B$7:$B$1506,0)),"? hors registre"))</f>
        <v/>
      </c>
      <c r="M1348" s="80"/>
      <c r="N1348" s="81" t="str">
        <f aca="false">IF(M1348="","",IFERROR(INDEX(BARDAGE!$C$7:$C$1506,MATCH(M1348,BARDAGE!$B$7:$B$1506,0)),"? hors registre"))</f>
        <v/>
      </c>
      <c r="O1348" s="80"/>
      <c r="P1348" s="80"/>
      <c r="Q1348" s="80"/>
      <c r="R1348" s="82"/>
      <c r="S1348" s="82"/>
      <c r="T1348" s="80"/>
      <c r="U1348" s="80"/>
      <c r="V1348" s="82"/>
      <c r="W1348" s="80"/>
      <c r="X1348" s="80"/>
      <c r="Y1348" s="80"/>
      <c r="Z1348" s="80"/>
      <c r="AA1348" s="82"/>
      <c r="AB1348" s="80"/>
      <c r="AC1348" s="80"/>
      <c r="AD1348" s="80"/>
      <c r="AE1348" s="80"/>
      <c r="AF1348" s="82"/>
      <c r="AG1348" s="80"/>
      <c r="AH1348" s="80"/>
      <c r="AI1348" s="82"/>
      <c r="AJ1348" s="79"/>
      <c r="AK1348" s="78" t="str">
        <f aca="false">IF(E1348="","",(X1348&lt;&gt;"")+(AC1348&lt;&gt;"")+(AH1348&lt;&gt;""))</f>
        <v/>
      </c>
      <c r="AL1348" s="81" t="str">
        <f aca="false">IF(AH1348&lt;&gt;"",AH1348,IF(AC1348&lt;&gt;"",AC1348,IF(X1348&lt;&gt;"",X1348,"")))</f>
        <v/>
      </c>
      <c r="AM1348" s="83" t="str">
        <f aca="false">IF(E1348="","",IF(R1348="","À SOUDER",IF(U1348="","VT EN ATTENTE",IF(U1348="R","VT REJETÉ – À REPRENDRE",IF(AL1348="","À RADIOGRAPHIER",IF(AL1348="A","ACCEPTÉ",IF(AL1348="NX","NX – RT À REFAIRE",IF(IF(AK1348=1,Z1348,IF(AK1348=2,AE1348,""))="A","RÉPARÉ – À RADIOGRAPHIER",IF(IF(AK1348=1,Z1348,IF(AK1348=2,AE1348,""))="R","VT REJETÉ – À REPRENDRE",IF(OR(AL1348="CO",AL1348="NT"),"COUPE – À RESOUDER","À RÉPARER"))))))))))</f>
        <v/>
      </c>
      <c r="AN1348" s="81" t="str">
        <f aca="false">IF(AND(ISNUMBER(R1348),OR(AM1348="À RADIOGRAPHIER",AM1348="RÉPARÉ – À RADIOGRAPHIER",AM1348="NX – RT À REFAIRE",AM1348="À RÉPARER",AM1348="COUPE – À RESOUDER",AM1348="VT REJETÉ – À REPRENDRE")),MAX(0,'PROGRAMME RT'!$C$4-R1348),"")</f>
        <v/>
      </c>
      <c r="AO1348" s="78" t="n">
        <f aca="false">IF(AND(OR(AM1348="À RADIOGRAPHIER",AM1348="RÉPARÉ – À RADIOGRAPHIER",AM1348="NX – RT À REFAIRE"),OR('PROGRAMME RT'!$D$5="TOUTES",B1348='PROGRAMME RT'!$D$5)),1,0)</f>
        <v>0</v>
      </c>
      <c r="AP1348" s="78" t="str">
        <f aca="false">IF(AO1348=1,SUM(AO$7:AO1348),"")</f>
        <v/>
      </c>
      <c r="AQ1348" s="78" t="n">
        <f aca="false">IF(AND(OR(X1348="R",X1348="NX",X1348="NT",X1348="CO"),OR('JOINTS DE RÉPARATION'!$D$5="TOUTES",B1348='JOINTS DE RÉPARATION'!$D$5),OR('JOINTS DE RÉPARATION'!$L$4="TOUS",AM1348&lt;&gt;"ACCEPTÉ")),1,0)</f>
        <v>0</v>
      </c>
      <c r="AR1348" s="78" t="str">
        <f aca="false">IF(AQ1348=1,SUM(AQ$7:AQ1348),"")</f>
        <v/>
      </c>
    </row>
    <row r="1349" customFormat="false" ht="15" hidden="false" customHeight="false" outlineLevel="0" collapsed="false">
      <c r="A1349" s="78" t="str">
        <f aca="false">IF(E1349="","",ROW()-6)</f>
        <v/>
      </c>
      <c r="B1349" s="79"/>
      <c r="C1349" s="80"/>
      <c r="D1349" s="80"/>
      <c r="E1349" s="80"/>
      <c r="F1349" s="80"/>
      <c r="G1349" s="80"/>
      <c r="H1349" s="80"/>
      <c r="I1349" s="80"/>
      <c r="J1349" s="80"/>
      <c r="K1349" s="80"/>
      <c r="L1349" s="81" t="str">
        <f aca="false">IF(K1349="","",IFERROR(INDEX(BARDAGE!$C$7:$C$1506,MATCH(K1349,BARDAGE!$B$7:$B$1506,0)),"? hors registre"))</f>
        <v/>
      </c>
      <c r="M1349" s="80"/>
      <c r="N1349" s="81" t="str">
        <f aca="false">IF(M1349="","",IFERROR(INDEX(BARDAGE!$C$7:$C$1506,MATCH(M1349,BARDAGE!$B$7:$B$1506,0)),"? hors registre"))</f>
        <v/>
      </c>
      <c r="O1349" s="80"/>
      <c r="P1349" s="80"/>
      <c r="Q1349" s="80"/>
      <c r="R1349" s="82"/>
      <c r="S1349" s="82"/>
      <c r="T1349" s="80"/>
      <c r="U1349" s="80"/>
      <c r="V1349" s="82"/>
      <c r="W1349" s="80"/>
      <c r="X1349" s="80"/>
      <c r="Y1349" s="80"/>
      <c r="Z1349" s="80"/>
      <c r="AA1349" s="82"/>
      <c r="AB1349" s="80"/>
      <c r="AC1349" s="80"/>
      <c r="AD1349" s="80"/>
      <c r="AE1349" s="80"/>
      <c r="AF1349" s="82"/>
      <c r="AG1349" s="80"/>
      <c r="AH1349" s="80"/>
      <c r="AI1349" s="82"/>
      <c r="AJ1349" s="79"/>
      <c r="AK1349" s="78" t="str">
        <f aca="false">IF(E1349="","",(X1349&lt;&gt;"")+(AC1349&lt;&gt;"")+(AH1349&lt;&gt;""))</f>
        <v/>
      </c>
      <c r="AL1349" s="81" t="str">
        <f aca="false">IF(AH1349&lt;&gt;"",AH1349,IF(AC1349&lt;&gt;"",AC1349,IF(X1349&lt;&gt;"",X1349,"")))</f>
        <v/>
      </c>
      <c r="AM1349" s="83" t="str">
        <f aca="false">IF(E1349="","",IF(R1349="","À SOUDER",IF(U1349="","VT EN ATTENTE",IF(U1349="R","VT REJETÉ – À REPRENDRE",IF(AL1349="","À RADIOGRAPHIER",IF(AL1349="A","ACCEPTÉ",IF(AL1349="NX","NX – RT À REFAIRE",IF(IF(AK1349=1,Z1349,IF(AK1349=2,AE1349,""))="A","RÉPARÉ – À RADIOGRAPHIER",IF(IF(AK1349=1,Z1349,IF(AK1349=2,AE1349,""))="R","VT REJETÉ – À REPRENDRE",IF(OR(AL1349="CO",AL1349="NT"),"COUPE – À RESOUDER","À RÉPARER"))))))))))</f>
        <v/>
      </c>
      <c r="AN1349" s="81" t="str">
        <f aca="false">IF(AND(ISNUMBER(R1349),OR(AM1349="À RADIOGRAPHIER",AM1349="RÉPARÉ – À RADIOGRAPHIER",AM1349="NX – RT À REFAIRE",AM1349="À RÉPARER",AM1349="COUPE – À RESOUDER",AM1349="VT REJETÉ – À REPRENDRE")),MAX(0,'PROGRAMME RT'!$C$4-R1349),"")</f>
        <v/>
      </c>
      <c r="AO1349" s="78" t="n">
        <f aca="false">IF(AND(OR(AM1349="À RADIOGRAPHIER",AM1349="RÉPARÉ – À RADIOGRAPHIER",AM1349="NX – RT À REFAIRE"),OR('PROGRAMME RT'!$D$5="TOUTES",B1349='PROGRAMME RT'!$D$5)),1,0)</f>
        <v>0</v>
      </c>
      <c r="AP1349" s="78" t="str">
        <f aca="false">IF(AO1349=1,SUM(AO$7:AO1349),"")</f>
        <v/>
      </c>
      <c r="AQ1349" s="78" t="n">
        <f aca="false">IF(AND(OR(X1349="R",X1349="NX",X1349="NT",X1349="CO"),OR('JOINTS DE RÉPARATION'!$D$5="TOUTES",B1349='JOINTS DE RÉPARATION'!$D$5),OR('JOINTS DE RÉPARATION'!$L$4="TOUS",AM1349&lt;&gt;"ACCEPTÉ")),1,0)</f>
        <v>0</v>
      </c>
      <c r="AR1349" s="78" t="str">
        <f aca="false">IF(AQ1349=1,SUM(AQ$7:AQ1349),"")</f>
        <v/>
      </c>
    </row>
    <row r="1350" customFormat="false" ht="15" hidden="false" customHeight="false" outlineLevel="0" collapsed="false">
      <c r="A1350" s="78" t="str">
        <f aca="false">IF(E1350="","",ROW()-6)</f>
        <v/>
      </c>
      <c r="B1350" s="79"/>
      <c r="C1350" s="80"/>
      <c r="D1350" s="80"/>
      <c r="E1350" s="80"/>
      <c r="F1350" s="80"/>
      <c r="G1350" s="80"/>
      <c r="H1350" s="80"/>
      <c r="I1350" s="80"/>
      <c r="J1350" s="80"/>
      <c r="K1350" s="80"/>
      <c r="L1350" s="81" t="str">
        <f aca="false">IF(K1350="","",IFERROR(INDEX(BARDAGE!$C$7:$C$1506,MATCH(K1350,BARDAGE!$B$7:$B$1506,0)),"? hors registre"))</f>
        <v/>
      </c>
      <c r="M1350" s="80"/>
      <c r="N1350" s="81" t="str">
        <f aca="false">IF(M1350="","",IFERROR(INDEX(BARDAGE!$C$7:$C$1506,MATCH(M1350,BARDAGE!$B$7:$B$1506,0)),"? hors registre"))</f>
        <v/>
      </c>
      <c r="O1350" s="80"/>
      <c r="P1350" s="80"/>
      <c r="Q1350" s="80"/>
      <c r="R1350" s="82"/>
      <c r="S1350" s="82"/>
      <c r="T1350" s="80"/>
      <c r="U1350" s="80"/>
      <c r="V1350" s="82"/>
      <c r="W1350" s="80"/>
      <c r="X1350" s="80"/>
      <c r="Y1350" s="80"/>
      <c r="Z1350" s="80"/>
      <c r="AA1350" s="82"/>
      <c r="AB1350" s="80"/>
      <c r="AC1350" s="80"/>
      <c r="AD1350" s="80"/>
      <c r="AE1350" s="80"/>
      <c r="AF1350" s="82"/>
      <c r="AG1350" s="80"/>
      <c r="AH1350" s="80"/>
      <c r="AI1350" s="82"/>
      <c r="AJ1350" s="79"/>
      <c r="AK1350" s="78" t="str">
        <f aca="false">IF(E1350="","",(X1350&lt;&gt;"")+(AC1350&lt;&gt;"")+(AH1350&lt;&gt;""))</f>
        <v/>
      </c>
      <c r="AL1350" s="81" t="str">
        <f aca="false">IF(AH1350&lt;&gt;"",AH1350,IF(AC1350&lt;&gt;"",AC1350,IF(X1350&lt;&gt;"",X1350,"")))</f>
        <v/>
      </c>
      <c r="AM1350" s="83" t="str">
        <f aca="false">IF(E1350="","",IF(R1350="","À SOUDER",IF(U1350="","VT EN ATTENTE",IF(U1350="R","VT REJETÉ – À REPRENDRE",IF(AL1350="","À RADIOGRAPHIER",IF(AL1350="A","ACCEPTÉ",IF(AL1350="NX","NX – RT À REFAIRE",IF(IF(AK1350=1,Z1350,IF(AK1350=2,AE1350,""))="A","RÉPARÉ – À RADIOGRAPHIER",IF(IF(AK1350=1,Z1350,IF(AK1350=2,AE1350,""))="R","VT REJETÉ – À REPRENDRE",IF(OR(AL1350="CO",AL1350="NT"),"COUPE – À RESOUDER","À RÉPARER"))))))))))</f>
        <v/>
      </c>
      <c r="AN1350" s="81" t="str">
        <f aca="false">IF(AND(ISNUMBER(R1350),OR(AM1350="À RADIOGRAPHIER",AM1350="RÉPARÉ – À RADIOGRAPHIER",AM1350="NX – RT À REFAIRE",AM1350="À RÉPARER",AM1350="COUPE – À RESOUDER",AM1350="VT REJETÉ – À REPRENDRE")),MAX(0,'PROGRAMME RT'!$C$4-R1350),"")</f>
        <v/>
      </c>
      <c r="AO1350" s="78" t="n">
        <f aca="false">IF(AND(OR(AM1350="À RADIOGRAPHIER",AM1350="RÉPARÉ – À RADIOGRAPHIER",AM1350="NX – RT À REFAIRE"),OR('PROGRAMME RT'!$D$5="TOUTES",B1350='PROGRAMME RT'!$D$5)),1,0)</f>
        <v>0</v>
      </c>
      <c r="AP1350" s="78" t="str">
        <f aca="false">IF(AO1350=1,SUM(AO$7:AO1350),"")</f>
        <v/>
      </c>
      <c r="AQ1350" s="78" t="n">
        <f aca="false">IF(AND(OR(X1350="R",X1350="NX",X1350="NT",X1350="CO"),OR('JOINTS DE RÉPARATION'!$D$5="TOUTES",B1350='JOINTS DE RÉPARATION'!$D$5),OR('JOINTS DE RÉPARATION'!$L$4="TOUS",AM1350&lt;&gt;"ACCEPTÉ")),1,0)</f>
        <v>0</v>
      </c>
      <c r="AR1350" s="78" t="str">
        <f aca="false">IF(AQ1350=1,SUM(AQ$7:AQ1350),"")</f>
        <v/>
      </c>
    </row>
    <row r="1351" customFormat="false" ht="15" hidden="false" customHeight="false" outlineLevel="0" collapsed="false">
      <c r="A1351" s="78" t="str">
        <f aca="false">IF(E1351="","",ROW()-6)</f>
        <v/>
      </c>
      <c r="B1351" s="79"/>
      <c r="C1351" s="80"/>
      <c r="D1351" s="80"/>
      <c r="E1351" s="80"/>
      <c r="F1351" s="80"/>
      <c r="G1351" s="80"/>
      <c r="H1351" s="80"/>
      <c r="I1351" s="80"/>
      <c r="J1351" s="80"/>
      <c r="K1351" s="80"/>
      <c r="L1351" s="81" t="str">
        <f aca="false">IF(K1351="","",IFERROR(INDEX(BARDAGE!$C$7:$C$1506,MATCH(K1351,BARDAGE!$B$7:$B$1506,0)),"? hors registre"))</f>
        <v/>
      </c>
      <c r="M1351" s="80"/>
      <c r="N1351" s="81" t="str">
        <f aca="false">IF(M1351="","",IFERROR(INDEX(BARDAGE!$C$7:$C$1506,MATCH(M1351,BARDAGE!$B$7:$B$1506,0)),"? hors registre"))</f>
        <v/>
      </c>
      <c r="O1351" s="80"/>
      <c r="P1351" s="80"/>
      <c r="Q1351" s="80"/>
      <c r="R1351" s="82"/>
      <c r="S1351" s="82"/>
      <c r="T1351" s="80"/>
      <c r="U1351" s="80"/>
      <c r="V1351" s="82"/>
      <c r="W1351" s="80"/>
      <c r="X1351" s="80"/>
      <c r="Y1351" s="80"/>
      <c r="Z1351" s="80"/>
      <c r="AA1351" s="82"/>
      <c r="AB1351" s="80"/>
      <c r="AC1351" s="80"/>
      <c r="AD1351" s="80"/>
      <c r="AE1351" s="80"/>
      <c r="AF1351" s="82"/>
      <c r="AG1351" s="80"/>
      <c r="AH1351" s="80"/>
      <c r="AI1351" s="82"/>
      <c r="AJ1351" s="79"/>
      <c r="AK1351" s="78" t="str">
        <f aca="false">IF(E1351="","",(X1351&lt;&gt;"")+(AC1351&lt;&gt;"")+(AH1351&lt;&gt;""))</f>
        <v/>
      </c>
      <c r="AL1351" s="81" t="str">
        <f aca="false">IF(AH1351&lt;&gt;"",AH1351,IF(AC1351&lt;&gt;"",AC1351,IF(X1351&lt;&gt;"",X1351,"")))</f>
        <v/>
      </c>
      <c r="AM1351" s="83" t="str">
        <f aca="false">IF(E1351="","",IF(R1351="","À SOUDER",IF(U1351="","VT EN ATTENTE",IF(U1351="R","VT REJETÉ – À REPRENDRE",IF(AL1351="","À RADIOGRAPHIER",IF(AL1351="A","ACCEPTÉ",IF(AL1351="NX","NX – RT À REFAIRE",IF(IF(AK1351=1,Z1351,IF(AK1351=2,AE1351,""))="A","RÉPARÉ – À RADIOGRAPHIER",IF(IF(AK1351=1,Z1351,IF(AK1351=2,AE1351,""))="R","VT REJETÉ – À REPRENDRE",IF(OR(AL1351="CO",AL1351="NT"),"COUPE – À RESOUDER","À RÉPARER"))))))))))</f>
        <v/>
      </c>
      <c r="AN1351" s="81" t="str">
        <f aca="false">IF(AND(ISNUMBER(R1351),OR(AM1351="À RADIOGRAPHIER",AM1351="RÉPARÉ – À RADIOGRAPHIER",AM1351="NX – RT À REFAIRE",AM1351="À RÉPARER",AM1351="COUPE – À RESOUDER",AM1351="VT REJETÉ – À REPRENDRE")),MAX(0,'PROGRAMME RT'!$C$4-R1351),"")</f>
        <v/>
      </c>
      <c r="AO1351" s="78" t="n">
        <f aca="false">IF(AND(OR(AM1351="À RADIOGRAPHIER",AM1351="RÉPARÉ – À RADIOGRAPHIER",AM1351="NX – RT À REFAIRE"),OR('PROGRAMME RT'!$D$5="TOUTES",B1351='PROGRAMME RT'!$D$5)),1,0)</f>
        <v>0</v>
      </c>
      <c r="AP1351" s="78" t="str">
        <f aca="false">IF(AO1351=1,SUM(AO$7:AO1351),"")</f>
        <v/>
      </c>
      <c r="AQ1351" s="78" t="n">
        <f aca="false">IF(AND(OR(X1351="R",X1351="NX",X1351="NT",X1351="CO"),OR('JOINTS DE RÉPARATION'!$D$5="TOUTES",B1351='JOINTS DE RÉPARATION'!$D$5),OR('JOINTS DE RÉPARATION'!$L$4="TOUS",AM1351&lt;&gt;"ACCEPTÉ")),1,0)</f>
        <v>0</v>
      </c>
      <c r="AR1351" s="78" t="str">
        <f aca="false">IF(AQ1351=1,SUM(AQ$7:AQ1351),"")</f>
        <v/>
      </c>
    </row>
    <row r="1352" customFormat="false" ht="15" hidden="false" customHeight="false" outlineLevel="0" collapsed="false">
      <c r="A1352" s="78" t="str">
        <f aca="false">IF(E1352="","",ROW()-6)</f>
        <v/>
      </c>
      <c r="B1352" s="79"/>
      <c r="C1352" s="80"/>
      <c r="D1352" s="80"/>
      <c r="E1352" s="80"/>
      <c r="F1352" s="80"/>
      <c r="G1352" s="80"/>
      <c r="H1352" s="80"/>
      <c r="I1352" s="80"/>
      <c r="J1352" s="80"/>
      <c r="K1352" s="80"/>
      <c r="L1352" s="81" t="str">
        <f aca="false">IF(K1352="","",IFERROR(INDEX(BARDAGE!$C$7:$C$1506,MATCH(K1352,BARDAGE!$B$7:$B$1506,0)),"? hors registre"))</f>
        <v/>
      </c>
      <c r="M1352" s="80"/>
      <c r="N1352" s="81" t="str">
        <f aca="false">IF(M1352="","",IFERROR(INDEX(BARDAGE!$C$7:$C$1506,MATCH(M1352,BARDAGE!$B$7:$B$1506,0)),"? hors registre"))</f>
        <v/>
      </c>
      <c r="O1352" s="80"/>
      <c r="P1352" s="80"/>
      <c r="Q1352" s="80"/>
      <c r="R1352" s="82"/>
      <c r="S1352" s="82"/>
      <c r="T1352" s="80"/>
      <c r="U1352" s="80"/>
      <c r="V1352" s="82"/>
      <c r="W1352" s="80"/>
      <c r="X1352" s="80"/>
      <c r="Y1352" s="80"/>
      <c r="Z1352" s="80"/>
      <c r="AA1352" s="82"/>
      <c r="AB1352" s="80"/>
      <c r="AC1352" s="80"/>
      <c r="AD1352" s="80"/>
      <c r="AE1352" s="80"/>
      <c r="AF1352" s="82"/>
      <c r="AG1352" s="80"/>
      <c r="AH1352" s="80"/>
      <c r="AI1352" s="82"/>
      <c r="AJ1352" s="79"/>
      <c r="AK1352" s="78" t="str">
        <f aca="false">IF(E1352="","",(X1352&lt;&gt;"")+(AC1352&lt;&gt;"")+(AH1352&lt;&gt;""))</f>
        <v/>
      </c>
      <c r="AL1352" s="81" t="str">
        <f aca="false">IF(AH1352&lt;&gt;"",AH1352,IF(AC1352&lt;&gt;"",AC1352,IF(X1352&lt;&gt;"",X1352,"")))</f>
        <v/>
      </c>
      <c r="AM1352" s="83" t="str">
        <f aca="false">IF(E1352="","",IF(R1352="","À SOUDER",IF(U1352="","VT EN ATTENTE",IF(U1352="R","VT REJETÉ – À REPRENDRE",IF(AL1352="","À RADIOGRAPHIER",IF(AL1352="A","ACCEPTÉ",IF(AL1352="NX","NX – RT À REFAIRE",IF(IF(AK1352=1,Z1352,IF(AK1352=2,AE1352,""))="A","RÉPARÉ – À RADIOGRAPHIER",IF(IF(AK1352=1,Z1352,IF(AK1352=2,AE1352,""))="R","VT REJETÉ – À REPRENDRE",IF(OR(AL1352="CO",AL1352="NT"),"COUPE – À RESOUDER","À RÉPARER"))))))))))</f>
        <v/>
      </c>
      <c r="AN1352" s="81" t="str">
        <f aca="false">IF(AND(ISNUMBER(R1352),OR(AM1352="À RADIOGRAPHIER",AM1352="RÉPARÉ – À RADIOGRAPHIER",AM1352="NX – RT À REFAIRE",AM1352="À RÉPARER",AM1352="COUPE – À RESOUDER",AM1352="VT REJETÉ – À REPRENDRE")),MAX(0,'PROGRAMME RT'!$C$4-R1352),"")</f>
        <v/>
      </c>
      <c r="AO1352" s="78" t="n">
        <f aca="false">IF(AND(OR(AM1352="À RADIOGRAPHIER",AM1352="RÉPARÉ – À RADIOGRAPHIER",AM1352="NX – RT À REFAIRE"),OR('PROGRAMME RT'!$D$5="TOUTES",B1352='PROGRAMME RT'!$D$5)),1,0)</f>
        <v>0</v>
      </c>
      <c r="AP1352" s="78" t="str">
        <f aca="false">IF(AO1352=1,SUM(AO$7:AO1352),"")</f>
        <v/>
      </c>
      <c r="AQ1352" s="78" t="n">
        <f aca="false">IF(AND(OR(X1352="R",X1352="NX",X1352="NT",X1352="CO"),OR('JOINTS DE RÉPARATION'!$D$5="TOUTES",B1352='JOINTS DE RÉPARATION'!$D$5),OR('JOINTS DE RÉPARATION'!$L$4="TOUS",AM1352&lt;&gt;"ACCEPTÉ")),1,0)</f>
        <v>0</v>
      </c>
      <c r="AR1352" s="78" t="str">
        <f aca="false">IF(AQ1352=1,SUM(AQ$7:AQ1352),"")</f>
        <v/>
      </c>
    </row>
    <row r="1353" customFormat="false" ht="15" hidden="false" customHeight="false" outlineLevel="0" collapsed="false">
      <c r="A1353" s="78" t="str">
        <f aca="false">IF(E1353="","",ROW()-6)</f>
        <v/>
      </c>
      <c r="B1353" s="79"/>
      <c r="C1353" s="80"/>
      <c r="D1353" s="80"/>
      <c r="E1353" s="80"/>
      <c r="F1353" s="80"/>
      <c r="G1353" s="80"/>
      <c r="H1353" s="80"/>
      <c r="I1353" s="80"/>
      <c r="J1353" s="80"/>
      <c r="K1353" s="80"/>
      <c r="L1353" s="81" t="str">
        <f aca="false">IF(K1353="","",IFERROR(INDEX(BARDAGE!$C$7:$C$1506,MATCH(K1353,BARDAGE!$B$7:$B$1506,0)),"? hors registre"))</f>
        <v/>
      </c>
      <c r="M1353" s="80"/>
      <c r="N1353" s="81" t="str">
        <f aca="false">IF(M1353="","",IFERROR(INDEX(BARDAGE!$C$7:$C$1506,MATCH(M1353,BARDAGE!$B$7:$B$1506,0)),"? hors registre"))</f>
        <v/>
      </c>
      <c r="O1353" s="80"/>
      <c r="P1353" s="80"/>
      <c r="Q1353" s="80"/>
      <c r="R1353" s="82"/>
      <c r="S1353" s="82"/>
      <c r="T1353" s="80"/>
      <c r="U1353" s="80"/>
      <c r="V1353" s="82"/>
      <c r="W1353" s="80"/>
      <c r="X1353" s="80"/>
      <c r="Y1353" s="80"/>
      <c r="Z1353" s="80"/>
      <c r="AA1353" s="82"/>
      <c r="AB1353" s="80"/>
      <c r="AC1353" s="80"/>
      <c r="AD1353" s="80"/>
      <c r="AE1353" s="80"/>
      <c r="AF1353" s="82"/>
      <c r="AG1353" s="80"/>
      <c r="AH1353" s="80"/>
      <c r="AI1353" s="82"/>
      <c r="AJ1353" s="79"/>
      <c r="AK1353" s="78" t="str">
        <f aca="false">IF(E1353="","",(X1353&lt;&gt;"")+(AC1353&lt;&gt;"")+(AH1353&lt;&gt;""))</f>
        <v/>
      </c>
      <c r="AL1353" s="81" t="str">
        <f aca="false">IF(AH1353&lt;&gt;"",AH1353,IF(AC1353&lt;&gt;"",AC1353,IF(X1353&lt;&gt;"",X1353,"")))</f>
        <v/>
      </c>
      <c r="AM1353" s="83" t="str">
        <f aca="false">IF(E1353="","",IF(R1353="","À SOUDER",IF(U1353="","VT EN ATTENTE",IF(U1353="R","VT REJETÉ – À REPRENDRE",IF(AL1353="","À RADIOGRAPHIER",IF(AL1353="A","ACCEPTÉ",IF(AL1353="NX","NX – RT À REFAIRE",IF(IF(AK1353=1,Z1353,IF(AK1353=2,AE1353,""))="A","RÉPARÉ – À RADIOGRAPHIER",IF(IF(AK1353=1,Z1353,IF(AK1353=2,AE1353,""))="R","VT REJETÉ – À REPRENDRE",IF(OR(AL1353="CO",AL1353="NT"),"COUPE – À RESOUDER","À RÉPARER"))))))))))</f>
        <v/>
      </c>
      <c r="AN1353" s="81" t="str">
        <f aca="false">IF(AND(ISNUMBER(R1353),OR(AM1353="À RADIOGRAPHIER",AM1353="RÉPARÉ – À RADIOGRAPHIER",AM1353="NX – RT À REFAIRE",AM1353="À RÉPARER",AM1353="COUPE – À RESOUDER",AM1353="VT REJETÉ – À REPRENDRE")),MAX(0,'PROGRAMME RT'!$C$4-R1353),"")</f>
        <v/>
      </c>
      <c r="AO1353" s="78" t="n">
        <f aca="false">IF(AND(OR(AM1353="À RADIOGRAPHIER",AM1353="RÉPARÉ – À RADIOGRAPHIER",AM1353="NX – RT À REFAIRE"),OR('PROGRAMME RT'!$D$5="TOUTES",B1353='PROGRAMME RT'!$D$5)),1,0)</f>
        <v>0</v>
      </c>
      <c r="AP1353" s="78" t="str">
        <f aca="false">IF(AO1353=1,SUM(AO$7:AO1353),"")</f>
        <v/>
      </c>
      <c r="AQ1353" s="78" t="n">
        <f aca="false">IF(AND(OR(X1353="R",X1353="NX",X1353="NT",X1353="CO"),OR('JOINTS DE RÉPARATION'!$D$5="TOUTES",B1353='JOINTS DE RÉPARATION'!$D$5),OR('JOINTS DE RÉPARATION'!$L$4="TOUS",AM1353&lt;&gt;"ACCEPTÉ")),1,0)</f>
        <v>0</v>
      </c>
      <c r="AR1353" s="78" t="str">
        <f aca="false">IF(AQ1353=1,SUM(AQ$7:AQ1353),"")</f>
        <v/>
      </c>
    </row>
    <row r="1354" customFormat="false" ht="15" hidden="false" customHeight="false" outlineLevel="0" collapsed="false">
      <c r="A1354" s="78" t="str">
        <f aca="false">IF(E1354="","",ROW()-6)</f>
        <v/>
      </c>
      <c r="B1354" s="79"/>
      <c r="C1354" s="80"/>
      <c r="D1354" s="80"/>
      <c r="E1354" s="80"/>
      <c r="F1354" s="80"/>
      <c r="G1354" s="80"/>
      <c r="H1354" s="80"/>
      <c r="I1354" s="80"/>
      <c r="J1354" s="80"/>
      <c r="K1354" s="80"/>
      <c r="L1354" s="81" t="str">
        <f aca="false">IF(K1354="","",IFERROR(INDEX(BARDAGE!$C$7:$C$1506,MATCH(K1354,BARDAGE!$B$7:$B$1506,0)),"? hors registre"))</f>
        <v/>
      </c>
      <c r="M1354" s="80"/>
      <c r="N1354" s="81" t="str">
        <f aca="false">IF(M1354="","",IFERROR(INDEX(BARDAGE!$C$7:$C$1506,MATCH(M1354,BARDAGE!$B$7:$B$1506,0)),"? hors registre"))</f>
        <v/>
      </c>
      <c r="O1354" s="80"/>
      <c r="P1354" s="80"/>
      <c r="Q1354" s="80"/>
      <c r="R1354" s="82"/>
      <c r="S1354" s="82"/>
      <c r="T1354" s="80"/>
      <c r="U1354" s="80"/>
      <c r="V1354" s="82"/>
      <c r="W1354" s="80"/>
      <c r="X1354" s="80"/>
      <c r="Y1354" s="80"/>
      <c r="Z1354" s="80"/>
      <c r="AA1354" s="82"/>
      <c r="AB1354" s="80"/>
      <c r="AC1354" s="80"/>
      <c r="AD1354" s="80"/>
      <c r="AE1354" s="80"/>
      <c r="AF1354" s="82"/>
      <c r="AG1354" s="80"/>
      <c r="AH1354" s="80"/>
      <c r="AI1354" s="82"/>
      <c r="AJ1354" s="79"/>
      <c r="AK1354" s="78" t="str">
        <f aca="false">IF(E1354="","",(X1354&lt;&gt;"")+(AC1354&lt;&gt;"")+(AH1354&lt;&gt;""))</f>
        <v/>
      </c>
      <c r="AL1354" s="81" t="str">
        <f aca="false">IF(AH1354&lt;&gt;"",AH1354,IF(AC1354&lt;&gt;"",AC1354,IF(X1354&lt;&gt;"",X1354,"")))</f>
        <v/>
      </c>
      <c r="AM1354" s="83" t="str">
        <f aca="false">IF(E1354="","",IF(R1354="","À SOUDER",IF(U1354="","VT EN ATTENTE",IF(U1354="R","VT REJETÉ – À REPRENDRE",IF(AL1354="","À RADIOGRAPHIER",IF(AL1354="A","ACCEPTÉ",IF(AL1354="NX","NX – RT À REFAIRE",IF(IF(AK1354=1,Z1354,IF(AK1354=2,AE1354,""))="A","RÉPARÉ – À RADIOGRAPHIER",IF(IF(AK1354=1,Z1354,IF(AK1354=2,AE1354,""))="R","VT REJETÉ – À REPRENDRE",IF(OR(AL1354="CO",AL1354="NT"),"COUPE – À RESOUDER","À RÉPARER"))))))))))</f>
        <v/>
      </c>
      <c r="AN1354" s="81" t="str">
        <f aca="false">IF(AND(ISNUMBER(R1354),OR(AM1354="À RADIOGRAPHIER",AM1354="RÉPARÉ – À RADIOGRAPHIER",AM1354="NX – RT À REFAIRE",AM1354="À RÉPARER",AM1354="COUPE – À RESOUDER",AM1354="VT REJETÉ – À REPRENDRE")),MAX(0,'PROGRAMME RT'!$C$4-R1354),"")</f>
        <v/>
      </c>
      <c r="AO1354" s="78" t="n">
        <f aca="false">IF(AND(OR(AM1354="À RADIOGRAPHIER",AM1354="RÉPARÉ – À RADIOGRAPHIER",AM1354="NX – RT À REFAIRE"),OR('PROGRAMME RT'!$D$5="TOUTES",B1354='PROGRAMME RT'!$D$5)),1,0)</f>
        <v>0</v>
      </c>
      <c r="AP1354" s="78" t="str">
        <f aca="false">IF(AO1354=1,SUM(AO$7:AO1354),"")</f>
        <v/>
      </c>
      <c r="AQ1354" s="78" t="n">
        <f aca="false">IF(AND(OR(X1354="R",X1354="NX",X1354="NT",X1354="CO"),OR('JOINTS DE RÉPARATION'!$D$5="TOUTES",B1354='JOINTS DE RÉPARATION'!$D$5),OR('JOINTS DE RÉPARATION'!$L$4="TOUS",AM1354&lt;&gt;"ACCEPTÉ")),1,0)</f>
        <v>0</v>
      </c>
      <c r="AR1354" s="78" t="str">
        <f aca="false">IF(AQ1354=1,SUM(AQ$7:AQ1354),"")</f>
        <v/>
      </c>
    </row>
    <row r="1355" customFormat="false" ht="15" hidden="false" customHeight="false" outlineLevel="0" collapsed="false">
      <c r="A1355" s="78" t="str">
        <f aca="false">IF(E1355="","",ROW()-6)</f>
        <v/>
      </c>
      <c r="B1355" s="79"/>
      <c r="C1355" s="80"/>
      <c r="D1355" s="80"/>
      <c r="E1355" s="80"/>
      <c r="F1355" s="80"/>
      <c r="G1355" s="80"/>
      <c r="H1355" s="80"/>
      <c r="I1355" s="80"/>
      <c r="J1355" s="80"/>
      <c r="K1355" s="80"/>
      <c r="L1355" s="81" t="str">
        <f aca="false">IF(K1355="","",IFERROR(INDEX(BARDAGE!$C$7:$C$1506,MATCH(K1355,BARDAGE!$B$7:$B$1506,0)),"? hors registre"))</f>
        <v/>
      </c>
      <c r="M1355" s="80"/>
      <c r="N1355" s="81" t="str">
        <f aca="false">IF(M1355="","",IFERROR(INDEX(BARDAGE!$C$7:$C$1506,MATCH(M1355,BARDAGE!$B$7:$B$1506,0)),"? hors registre"))</f>
        <v/>
      </c>
      <c r="O1355" s="80"/>
      <c r="P1355" s="80"/>
      <c r="Q1355" s="80"/>
      <c r="R1355" s="82"/>
      <c r="S1355" s="82"/>
      <c r="T1355" s="80"/>
      <c r="U1355" s="80"/>
      <c r="V1355" s="82"/>
      <c r="W1355" s="80"/>
      <c r="X1355" s="80"/>
      <c r="Y1355" s="80"/>
      <c r="Z1355" s="80"/>
      <c r="AA1355" s="82"/>
      <c r="AB1355" s="80"/>
      <c r="AC1355" s="80"/>
      <c r="AD1355" s="80"/>
      <c r="AE1355" s="80"/>
      <c r="AF1355" s="82"/>
      <c r="AG1355" s="80"/>
      <c r="AH1355" s="80"/>
      <c r="AI1355" s="82"/>
      <c r="AJ1355" s="79"/>
      <c r="AK1355" s="78" t="str">
        <f aca="false">IF(E1355="","",(X1355&lt;&gt;"")+(AC1355&lt;&gt;"")+(AH1355&lt;&gt;""))</f>
        <v/>
      </c>
      <c r="AL1355" s="81" t="str">
        <f aca="false">IF(AH1355&lt;&gt;"",AH1355,IF(AC1355&lt;&gt;"",AC1355,IF(X1355&lt;&gt;"",X1355,"")))</f>
        <v/>
      </c>
      <c r="AM1355" s="83" t="str">
        <f aca="false">IF(E1355="","",IF(R1355="","À SOUDER",IF(U1355="","VT EN ATTENTE",IF(U1355="R","VT REJETÉ – À REPRENDRE",IF(AL1355="","À RADIOGRAPHIER",IF(AL1355="A","ACCEPTÉ",IF(AL1355="NX","NX – RT À REFAIRE",IF(IF(AK1355=1,Z1355,IF(AK1355=2,AE1355,""))="A","RÉPARÉ – À RADIOGRAPHIER",IF(IF(AK1355=1,Z1355,IF(AK1355=2,AE1355,""))="R","VT REJETÉ – À REPRENDRE",IF(OR(AL1355="CO",AL1355="NT"),"COUPE – À RESOUDER","À RÉPARER"))))))))))</f>
        <v/>
      </c>
      <c r="AN1355" s="81" t="str">
        <f aca="false">IF(AND(ISNUMBER(R1355),OR(AM1355="À RADIOGRAPHIER",AM1355="RÉPARÉ – À RADIOGRAPHIER",AM1355="NX – RT À REFAIRE",AM1355="À RÉPARER",AM1355="COUPE – À RESOUDER",AM1355="VT REJETÉ – À REPRENDRE")),MAX(0,'PROGRAMME RT'!$C$4-R1355),"")</f>
        <v/>
      </c>
      <c r="AO1355" s="78" t="n">
        <f aca="false">IF(AND(OR(AM1355="À RADIOGRAPHIER",AM1355="RÉPARÉ – À RADIOGRAPHIER",AM1355="NX – RT À REFAIRE"),OR('PROGRAMME RT'!$D$5="TOUTES",B1355='PROGRAMME RT'!$D$5)),1,0)</f>
        <v>0</v>
      </c>
      <c r="AP1355" s="78" t="str">
        <f aca="false">IF(AO1355=1,SUM(AO$7:AO1355),"")</f>
        <v/>
      </c>
      <c r="AQ1355" s="78" t="n">
        <f aca="false">IF(AND(OR(X1355="R",X1355="NX",X1355="NT",X1355="CO"),OR('JOINTS DE RÉPARATION'!$D$5="TOUTES",B1355='JOINTS DE RÉPARATION'!$D$5),OR('JOINTS DE RÉPARATION'!$L$4="TOUS",AM1355&lt;&gt;"ACCEPTÉ")),1,0)</f>
        <v>0</v>
      </c>
      <c r="AR1355" s="78" t="str">
        <f aca="false">IF(AQ1355=1,SUM(AQ$7:AQ1355),"")</f>
        <v/>
      </c>
    </row>
    <row r="1356" customFormat="false" ht="15" hidden="false" customHeight="false" outlineLevel="0" collapsed="false">
      <c r="A1356" s="78" t="str">
        <f aca="false">IF(E1356="","",ROW()-6)</f>
        <v/>
      </c>
      <c r="B1356" s="79"/>
      <c r="C1356" s="80"/>
      <c r="D1356" s="80"/>
      <c r="E1356" s="80"/>
      <c r="F1356" s="80"/>
      <c r="G1356" s="80"/>
      <c r="H1356" s="80"/>
      <c r="I1356" s="80"/>
      <c r="J1356" s="80"/>
      <c r="K1356" s="80"/>
      <c r="L1356" s="81" t="str">
        <f aca="false">IF(K1356="","",IFERROR(INDEX(BARDAGE!$C$7:$C$1506,MATCH(K1356,BARDAGE!$B$7:$B$1506,0)),"? hors registre"))</f>
        <v/>
      </c>
      <c r="M1356" s="80"/>
      <c r="N1356" s="81" t="str">
        <f aca="false">IF(M1356="","",IFERROR(INDEX(BARDAGE!$C$7:$C$1506,MATCH(M1356,BARDAGE!$B$7:$B$1506,0)),"? hors registre"))</f>
        <v/>
      </c>
      <c r="O1356" s="80"/>
      <c r="P1356" s="80"/>
      <c r="Q1356" s="80"/>
      <c r="R1356" s="82"/>
      <c r="S1356" s="82"/>
      <c r="T1356" s="80"/>
      <c r="U1356" s="80"/>
      <c r="V1356" s="82"/>
      <c r="W1356" s="80"/>
      <c r="X1356" s="80"/>
      <c r="Y1356" s="80"/>
      <c r="Z1356" s="80"/>
      <c r="AA1356" s="82"/>
      <c r="AB1356" s="80"/>
      <c r="AC1356" s="80"/>
      <c r="AD1356" s="80"/>
      <c r="AE1356" s="80"/>
      <c r="AF1356" s="82"/>
      <c r="AG1356" s="80"/>
      <c r="AH1356" s="80"/>
      <c r="AI1356" s="82"/>
      <c r="AJ1356" s="79"/>
      <c r="AK1356" s="78" t="str">
        <f aca="false">IF(E1356="","",(X1356&lt;&gt;"")+(AC1356&lt;&gt;"")+(AH1356&lt;&gt;""))</f>
        <v/>
      </c>
      <c r="AL1356" s="81" t="str">
        <f aca="false">IF(AH1356&lt;&gt;"",AH1356,IF(AC1356&lt;&gt;"",AC1356,IF(X1356&lt;&gt;"",X1356,"")))</f>
        <v/>
      </c>
      <c r="AM1356" s="83" t="str">
        <f aca="false">IF(E1356="","",IF(R1356="","À SOUDER",IF(U1356="","VT EN ATTENTE",IF(U1356="R","VT REJETÉ – À REPRENDRE",IF(AL1356="","À RADIOGRAPHIER",IF(AL1356="A","ACCEPTÉ",IF(AL1356="NX","NX – RT À REFAIRE",IF(IF(AK1356=1,Z1356,IF(AK1356=2,AE1356,""))="A","RÉPARÉ – À RADIOGRAPHIER",IF(IF(AK1356=1,Z1356,IF(AK1356=2,AE1356,""))="R","VT REJETÉ – À REPRENDRE",IF(OR(AL1356="CO",AL1356="NT"),"COUPE – À RESOUDER","À RÉPARER"))))))))))</f>
        <v/>
      </c>
      <c r="AN1356" s="81" t="str">
        <f aca="false">IF(AND(ISNUMBER(R1356),OR(AM1356="À RADIOGRAPHIER",AM1356="RÉPARÉ – À RADIOGRAPHIER",AM1356="NX – RT À REFAIRE",AM1356="À RÉPARER",AM1356="COUPE – À RESOUDER",AM1356="VT REJETÉ – À REPRENDRE")),MAX(0,'PROGRAMME RT'!$C$4-R1356),"")</f>
        <v/>
      </c>
      <c r="AO1356" s="78" t="n">
        <f aca="false">IF(AND(OR(AM1356="À RADIOGRAPHIER",AM1356="RÉPARÉ – À RADIOGRAPHIER",AM1356="NX – RT À REFAIRE"),OR('PROGRAMME RT'!$D$5="TOUTES",B1356='PROGRAMME RT'!$D$5)),1,0)</f>
        <v>0</v>
      </c>
      <c r="AP1356" s="78" t="str">
        <f aca="false">IF(AO1356=1,SUM(AO$7:AO1356),"")</f>
        <v/>
      </c>
      <c r="AQ1356" s="78" t="n">
        <f aca="false">IF(AND(OR(X1356="R",X1356="NX",X1356="NT",X1356="CO"),OR('JOINTS DE RÉPARATION'!$D$5="TOUTES",B1356='JOINTS DE RÉPARATION'!$D$5),OR('JOINTS DE RÉPARATION'!$L$4="TOUS",AM1356&lt;&gt;"ACCEPTÉ")),1,0)</f>
        <v>0</v>
      </c>
      <c r="AR1356" s="78" t="str">
        <f aca="false">IF(AQ1356=1,SUM(AQ$7:AQ1356),"")</f>
        <v/>
      </c>
    </row>
    <row r="1357" customFormat="false" ht="15" hidden="false" customHeight="false" outlineLevel="0" collapsed="false">
      <c r="A1357" s="78" t="str">
        <f aca="false">IF(E1357="","",ROW()-6)</f>
        <v/>
      </c>
      <c r="B1357" s="79"/>
      <c r="C1357" s="80"/>
      <c r="D1357" s="80"/>
      <c r="E1357" s="80"/>
      <c r="F1357" s="80"/>
      <c r="G1357" s="80"/>
      <c r="H1357" s="80"/>
      <c r="I1357" s="80"/>
      <c r="J1357" s="80"/>
      <c r="K1357" s="80"/>
      <c r="L1357" s="81" t="str">
        <f aca="false">IF(K1357="","",IFERROR(INDEX(BARDAGE!$C$7:$C$1506,MATCH(K1357,BARDAGE!$B$7:$B$1506,0)),"? hors registre"))</f>
        <v/>
      </c>
      <c r="M1357" s="80"/>
      <c r="N1357" s="81" t="str">
        <f aca="false">IF(M1357="","",IFERROR(INDEX(BARDAGE!$C$7:$C$1506,MATCH(M1357,BARDAGE!$B$7:$B$1506,0)),"? hors registre"))</f>
        <v/>
      </c>
      <c r="O1357" s="80"/>
      <c r="P1357" s="80"/>
      <c r="Q1357" s="80"/>
      <c r="R1357" s="82"/>
      <c r="S1357" s="82"/>
      <c r="T1357" s="80"/>
      <c r="U1357" s="80"/>
      <c r="V1357" s="82"/>
      <c r="W1357" s="80"/>
      <c r="X1357" s="80"/>
      <c r="Y1357" s="80"/>
      <c r="Z1357" s="80"/>
      <c r="AA1357" s="82"/>
      <c r="AB1357" s="80"/>
      <c r="AC1357" s="80"/>
      <c r="AD1357" s="80"/>
      <c r="AE1357" s="80"/>
      <c r="AF1357" s="82"/>
      <c r="AG1357" s="80"/>
      <c r="AH1357" s="80"/>
      <c r="AI1357" s="82"/>
      <c r="AJ1357" s="79"/>
      <c r="AK1357" s="78" t="str">
        <f aca="false">IF(E1357="","",(X1357&lt;&gt;"")+(AC1357&lt;&gt;"")+(AH1357&lt;&gt;""))</f>
        <v/>
      </c>
      <c r="AL1357" s="81" t="str">
        <f aca="false">IF(AH1357&lt;&gt;"",AH1357,IF(AC1357&lt;&gt;"",AC1357,IF(X1357&lt;&gt;"",X1357,"")))</f>
        <v/>
      </c>
      <c r="AM1357" s="83" t="str">
        <f aca="false">IF(E1357="","",IF(R1357="","À SOUDER",IF(U1357="","VT EN ATTENTE",IF(U1357="R","VT REJETÉ – À REPRENDRE",IF(AL1357="","À RADIOGRAPHIER",IF(AL1357="A","ACCEPTÉ",IF(AL1357="NX","NX – RT À REFAIRE",IF(IF(AK1357=1,Z1357,IF(AK1357=2,AE1357,""))="A","RÉPARÉ – À RADIOGRAPHIER",IF(IF(AK1357=1,Z1357,IF(AK1357=2,AE1357,""))="R","VT REJETÉ – À REPRENDRE",IF(OR(AL1357="CO",AL1357="NT"),"COUPE – À RESOUDER","À RÉPARER"))))))))))</f>
        <v/>
      </c>
      <c r="AN1357" s="81" t="str">
        <f aca="false">IF(AND(ISNUMBER(R1357),OR(AM1357="À RADIOGRAPHIER",AM1357="RÉPARÉ – À RADIOGRAPHIER",AM1357="NX – RT À REFAIRE",AM1357="À RÉPARER",AM1357="COUPE – À RESOUDER",AM1357="VT REJETÉ – À REPRENDRE")),MAX(0,'PROGRAMME RT'!$C$4-R1357),"")</f>
        <v/>
      </c>
      <c r="AO1357" s="78" t="n">
        <f aca="false">IF(AND(OR(AM1357="À RADIOGRAPHIER",AM1357="RÉPARÉ – À RADIOGRAPHIER",AM1357="NX – RT À REFAIRE"),OR('PROGRAMME RT'!$D$5="TOUTES",B1357='PROGRAMME RT'!$D$5)),1,0)</f>
        <v>0</v>
      </c>
      <c r="AP1357" s="78" t="str">
        <f aca="false">IF(AO1357=1,SUM(AO$7:AO1357),"")</f>
        <v/>
      </c>
      <c r="AQ1357" s="78" t="n">
        <f aca="false">IF(AND(OR(X1357="R",X1357="NX",X1357="NT",X1357="CO"),OR('JOINTS DE RÉPARATION'!$D$5="TOUTES",B1357='JOINTS DE RÉPARATION'!$D$5),OR('JOINTS DE RÉPARATION'!$L$4="TOUS",AM1357&lt;&gt;"ACCEPTÉ")),1,0)</f>
        <v>0</v>
      </c>
      <c r="AR1357" s="78" t="str">
        <f aca="false">IF(AQ1357=1,SUM(AQ$7:AQ1357),"")</f>
        <v/>
      </c>
    </row>
    <row r="1358" customFormat="false" ht="15" hidden="false" customHeight="false" outlineLevel="0" collapsed="false">
      <c r="A1358" s="78" t="str">
        <f aca="false">IF(E1358="","",ROW()-6)</f>
        <v/>
      </c>
      <c r="B1358" s="79"/>
      <c r="C1358" s="80"/>
      <c r="D1358" s="80"/>
      <c r="E1358" s="80"/>
      <c r="F1358" s="80"/>
      <c r="G1358" s="80"/>
      <c r="H1358" s="80"/>
      <c r="I1358" s="80"/>
      <c r="J1358" s="80"/>
      <c r="K1358" s="80"/>
      <c r="L1358" s="81" t="str">
        <f aca="false">IF(K1358="","",IFERROR(INDEX(BARDAGE!$C$7:$C$1506,MATCH(K1358,BARDAGE!$B$7:$B$1506,0)),"? hors registre"))</f>
        <v/>
      </c>
      <c r="M1358" s="80"/>
      <c r="N1358" s="81" t="str">
        <f aca="false">IF(M1358="","",IFERROR(INDEX(BARDAGE!$C$7:$C$1506,MATCH(M1358,BARDAGE!$B$7:$B$1506,0)),"? hors registre"))</f>
        <v/>
      </c>
      <c r="O1358" s="80"/>
      <c r="P1358" s="80"/>
      <c r="Q1358" s="80"/>
      <c r="R1358" s="82"/>
      <c r="S1358" s="82"/>
      <c r="T1358" s="80"/>
      <c r="U1358" s="80"/>
      <c r="V1358" s="82"/>
      <c r="W1358" s="80"/>
      <c r="X1358" s="80"/>
      <c r="Y1358" s="80"/>
      <c r="Z1358" s="80"/>
      <c r="AA1358" s="82"/>
      <c r="AB1358" s="80"/>
      <c r="AC1358" s="80"/>
      <c r="AD1358" s="80"/>
      <c r="AE1358" s="80"/>
      <c r="AF1358" s="82"/>
      <c r="AG1358" s="80"/>
      <c r="AH1358" s="80"/>
      <c r="AI1358" s="82"/>
      <c r="AJ1358" s="79"/>
      <c r="AK1358" s="78" t="str">
        <f aca="false">IF(E1358="","",(X1358&lt;&gt;"")+(AC1358&lt;&gt;"")+(AH1358&lt;&gt;""))</f>
        <v/>
      </c>
      <c r="AL1358" s="81" t="str">
        <f aca="false">IF(AH1358&lt;&gt;"",AH1358,IF(AC1358&lt;&gt;"",AC1358,IF(X1358&lt;&gt;"",X1358,"")))</f>
        <v/>
      </c>
      <c r="AM1358" s="83" t="str">
        <f aca="false">IF(E1358="","",IF(R1358="","À SOUDER",IF(U1358="","VT EN ATTENTE",IF(U1358="R","VT REJETÉ – À REPRENDRE",IF(AL1358="","À RADIOGRAPHIER",IF(AL1358="A","ACCEPTÉ",IF(AL1358="NX","NX – RT À REFAIRE",IF(IF(AK1358=1,Z1358,IF(AK1358=2,AE1358,""))="A","RÉPARÉ – À RADIOGRAPHIER",IF(IF(AK1358=1,Z1358,IF(AK1358=2,AE1358,""))="R","VT REJETÉ – À REPRENDRE",IF(OR(AL1358="CO",AL1358="NT"),"COUPE – À RESOUDER","À RÉPARER"))))))))))</f>
        <v/>
      </c>
      <c r="AN1358" s="81" t="str">
        <f aca="false">IF(AND(ISNUMBER(R1358),OR(AM1358="À RADIOGRAPHIER",AM1358="RÉPARÉ – À RADIOGRAPHIER",AM1358="NX – RT À REFAIRE",AM1358="À RÉPARER",AM1358="COUPE – À RESOUDER",AM1358="VT REJETÉ – À REPRENDRE")),MAX(0,'PROGRAMME RT'!$C$4-R1358),"")</f>
        <v/>
      </c>
      <c r="AO1358" s="78" t="n">
        <f aca="false">IF(AND(OR(AM1358="À RADIOGRAPHIER",AM1358="RÉPARÉ – À RADIOGRAPHIER",AM1358="NX – RT À REFAIRE"),OR('PROGRAMME RT'!$D$5="TOUTES",B1358='PROGRAMME RT'!$D$5)),1,0)</f>
        <v>0</v>
      </c>
      <c r="AP1358" s="78" t="str">
        <f aca="false">IF(AO1358=1,SUM(AO$7:AO1358),"")</f>
        <v/>
      </c>
      <c r="AQ1358" s="78" t="n">
        <f aca="false">IF(AND(OR(X1358="R",X1358="NX",X1358="NT",X1358="CO"),OR('JOINTS DE RÉPARATION'!$D$5="TOUTES",B1358='JOINTS DE RÉPARATION'!$D$5),OR('JOINTS DE RÉPARATION'!$L$4="TOUS",AM1358&lt;&gt;"ACCEPTÉ")),1,0)</f>
        <v>0</v>
      </c>
      <c r="AR1358" s="78" t="str">
        <f aca="false">IF(AQ1358=1,SUM(AQ$7:AQ1358),"")</f>
        <v/>
      </c>
    </row>
    <row r="1359" customFormat="false" ht="15" hidden="false" customHeight="false" outlineLevel="0" collapsed="false">
      <c r="A1359" s="78" t="str">
        <f aca="false">IF(E1359="","",ROW()-6)</f>
        <v/>
      </c>
      <c r="B1359" s="79"/>
      <c r="C1359" s="80"/>
      <c r="D1359" s="80"/>
      <c r="E1359" s="80"/>
      <c r="F1359" s="80"/>
      <c r="G1359" s="80"/>
      <c r="H1359" s="80"/>
      <c r="I1359" s="80"/>
      <c r="J1359" s="80"/>
      <c r="K1359" s="80"/>
      <c r="L1359" s="81" t="str">
        <f aca="false">IF(K1359="","",IFERROR(INDEX(BARDAGE!$C$7:$C$1506,MATCH(K1359,BARDAGE!$B$7:$B$1506,0)),"? hors registre"))</f>
        <v/>
      </c>
      <c r="M1359" s="80"/>
      <c r="N1359" s="81" t="str">
        <f aca="false">IF(M1359="","",IFERROR(INDEX(BARDAGE!$C$7:$C$1506,MATCH(M1359,BARDAGE!$B$7:$B$1506,0)),"? hors registre"))</f>
        <v/>
      </c>
      <c r="O1359" s="80"/>
      <c r="P1359" s="80"/>
      <c r="Q1359" s="80"/>
      <c r="R1359" s="82"/>
      <c r="S1359" s="82"/>
      <c r="T1359" s="80"/>
      <c r="U1359" s="80"/>
      <c r="V1359" s="82"/>
      <c r="W1359" s="80"/>
      <c r="X1359" s="80"/>
      <c r="Y1359" s="80"/>
      <c r="Z1359" s="80"/>
      <c r="AA1359" s="82"/>
      <c r="AB1359" s="80"/>
      <c r="AC1359" s="80"/>
      <c r="AD1359" s="80"/>
      <c r="AE1359" s="80"/>
      <c r="AF1359" s="82"/>
      <c r="AG1359" s="80"/>
      <c r="AH1359" s="80"/>
      <c r="AI1359" s="82"/>
      <c r="AJ1359" s="79"/>
      <c r="AK1359" s="78" t="str">
        <f aca="false">IF(E1359="","",(X1359&lt;&gt;"")+(AC1359&lt;&gt;"")+(AH1359&lt;&gt;""))</f>
        <v/>
      </c>
      <c r="AL1359" s="81" t="str">
        <f aca="false">IF(AH1359&lt;&gt;"",AH1359,IF(AC1359&lt;&gt;"",AC1359,IF(X1359&lt;&gt;"",X1359,"")))</f>
        <v/>
      </c>
      <c r="AM1359" s="83" t="str">
        <f aca="false">IF(E1359="","",IF(R1359="","À SOUDER",IF(U1359="","VT EN ATTENTE",IF(U1359="R","VT REJETÉ – À REPRENDRE",IF(AL1359="","À RADIOGRAPHIER",IF(AL1359="A","ACCEPTÉ",IF(AL1359="NX","NX – RT À REFAIRE",IF(IF(AK1359=1,Z1359,IF(AK1359=2,AE1359,""))="A","RÉPARÉ – À RADIOGRAPHIER",IF(IF(AK1359=1,Z1359,IF(AK1359=2,AE1359,""))="R","VT REJETÉ – À REPRENDRE",IF(OR(AL1359="CO",AL1359="NT"),"COUPE – À RESOUDER","À RÉPARER"))))))))))</f>
        <v/>
      </c>
      <c r="AN1359" s="81" t="str">
        <f aca="false">IF(AND(ISNUMBER(R1359),OR(AM1359="À RADIOGRAPHIER",AM1359="RÉPARÉ – À RADIOGRAPHIER",AM1359="NX – RT À REFAIRE",AM1359="À RÉPARER",AM1359="COUPE – À RESOUDER",AM1359="VT REJETÉ – À REPRENDRE")),MAX(0,'PROGRAMME RT'!$C$4-R1359),"")</f>
        <v/>
      </c>
      <c r="AO1359" s="78" t="n">
        <f aca="false">IF(AND(OR(AM1359="À RADIOGRAPHIER",AM1359="RÉPARÉ – À RADIOGRAPHIER",AM1359="NX – RT À REFAIRE"),OR('PROGRAMME RT'!$D$5="TOUTES",B1359='PROGRAMME RT'!$D$5)),1,0)</f>
        <v>0</v>
      </c>
      <c r="AP1359" s="78" t="str">
        <f aca="false">IF(AO1359=1,SUM(AO$7:AO1359),"")</f>
        <v/>
      </c>
      <c r="AQ1359" s="78" t="n">
        <f aca="false">IF(AND(OR(X1359="R",X1359="NX",X1359="NT",X1359="CO"),OR('JOINTS DE RÉPARATION'!$D$5="TOUTES",B1359='JOINTS DE RÉPARATION'!$D$5),OR('JOINTS DE RÉPARATION'!$L$4="TOUS",AM1359&lt;&gt;"ACCEPTÉ")),1,0)</f>
        <v>0</v>
      </c>
      <c r="AR1359" s="78" t="str">
        <f aca="false">IF(AQ1359=1,SUM(AQ$7:AQ1359),"")</f>
        <v/>
      </c>
    </row>
    <row r="1360" customFormat="false" ht="15" hidden="false" customHeight="false" outlineLevel="0" collapsed="false">
      <c r="A1360" s="78" t="str">
        <f aca="false">IF(E1360="","",ROW()-6)</f>
        <v/>
      </c>
      <c r="B1360" s="79"/>
      <c r="C1360" s="80"/>
      <c r="D1360" s="80"/>
      <c r="E1360" s="80"/>
      <c r="F1360" s="80"/>
      <c r="G1360" s="80"/>
      <c r="H1360" s="80"/>
      <c r="I1360" s="80"/>
      <c r="J1360" s="80"/>
      <c r="K1360" s="80"/>
      <c r="L1360" s="81" t="str">
        <f aca="false">IF(K1360="","",IFERROR(INDEX(BARDAGE!$C$7:$C$1506,MATCH(K1360,BARDAGE!$B$7:$B$1506,0)),"? hors registre"))</f>
        <v/>
      </c>
      <c r="M1360" s="80"/>
      <c r="N1360" s="81" t="str">
        <f aca="false">IF(M1360="","",IFERROR(INDEX(BARDAGE!$C$7:$C$1506,MATCH(M1360,BARDAGE!$B$7:$B$1506,0)),"? hors registre"))</f>
        <v/>
      </c>
      <c r="O1360" s="80"/>
      <c r="P1360" s="80"/>
      <c r="Q1360" s="80"/>
      <c r="R1360" s="82"/>
      <c r="S1360" s="82"/>
      <c r="T1360" s="80"/>
      <c r="U1360" s="80"/>
      <c r="V1360" s="82"/>
      <c r="W1360" s="80"/>
      <c r="X1360" s="80"/>
      <c r="Y1360" s="80"/>
      <c r="Z1360" s="80"/>
      <c r="AA1360" s="82"/>
      <c r="AB1360" s="80"/>
      <c r="AC1360" s="80"/>
      <c r="AD1360" s="80"/>
      <c r="AE1360" s="80"/>
      <c r="AF1360" s="82"/>
      <c r="AG1360" s="80"/>
      <c r="AH1360" s="80"/>
      <c r="AI1360" s="82"/>
      <c r="AJ1360" s="79"/>
      <c r="AK1360" s="78" t="str">
        <f aca="false">IF(E1360="","",(X1360&lt;&gt;"")+(AC1360&lt;&gt;"")+(AH1360&lt;&gt;""))</f>
        <v/>
      </c>
      <c r="AL1360" s="81" t="str">
        <f aca="false">IF(AH1360&lt;&gt;"",AH1360,IF(AC1360&lt;&gt;"",AC1360,IF(X1360&lt;&gt;"",X1360,"")))</f>
        <v/>
      </c>
      <c r="AM1360" s="83" t="str">
        <f aca="false">IF(E1360="","",IF(R1360="","À SOUDER",IF(U1360="","VT EN ATTENTE",IF(U1360="R","VT REJETÉ – À REPRENDRE",IF(AL1360="","À RADIOGRAPHIER",IF(AL1360="A","ACCEPTÉ",IF(AL1360="NX","NX – RT À REFAIRE",IF(IF(AK1360=1,Z1360,IF(AK1360=2,AE1360,""))="A","RÉPARÉ – À RADIOGRAPHIER",IF(IF(AK1360=1,Z1360,IF(AK1360=2,AE1360,""))="R","VT REJETÉ – À REPRENDRE",IF(OR(AL1360="CO",AL1360="NT"),"COUPE – À RESOUDER","À RÉPARER"))))))))))</f>
        <v/>
      </c>
      <c r="AN1360" s="81" t="str">
        <f aca="false">IF(AND(ISNUMBER(R1360),OR(AM1360="À RADIOGRAPHIER",AM1360="RÉPARÉ – À RADIOGRAPHIER",AM1360="NX – RT À REFAIRE",AM1360="À RÉPARER",AM1360="COUPE – À RESOUDER",AM1360="VT REJETÉ – À REPRENDRE")),MAX(0,'PROGRAMME RT'!$C$4-R1360),"")</f>
        <v/>
      </c>
      <c r="AO1360" s="78" t="n">
        <f aca="false">IF(AND(OR(AM1360="À RADIOGRAPHIER",AM1360="RÉPARÉ – À RADIOGRAPHIER",AM1360="NX – RT À REFAIRE"),OR('PROGRAMME RT'!$D$5="TOUTES",B1360='PROGRAMME RT'!$D$5)),1,0)</f>
        <v>0</v>
      </c>
      <c r="AP1360" s="78" t="str">
        <f aca="false">IF(AO1360=1,SUM(AO$7:AO1360),"")</f>
        <v/>
      </c>
      <c r="AQ1360" s="78" t="n">
        <f aca="false">IF(AND(OR(X1360="R",X1360="NX",X1360="NT",X1360="CO"),OR('JOINTS DE RÉPARATION'!$D$5="TOUTES",B1360='JOINTS DE RÉPARATION'!$D$5),OR('JOINTS DE RÉPARATION'!$L$4="TOUS",AM1360&lt;&gt;"ACCEPTÉ")),1,0)</f>
        <v>0</v>
      </c>
      <c r="AR1360" s="78" t="str">
        <f aca="false">IF(AQ1360=1,SUM(AQ$7:AQ1360),"")</f>
        <v/>
      </c>
    </row>
    <row r="1361" customFormat="false" ht="15" hidden="false" customHeight="false" outlineLevel="0" collapsed="false">
      <c r="A1361" s="78" t="str">
        <f aca="false">IF(E1361="","",ROW()-6)</f>
        <v/>
      </c>
      <c r="B1361" s="79"/>
      <c r="C1361" s="80"/>
      <c r="D1361" s="80"/>
      <c r="E1361" s="80"/>
      <c r="F1361" s="80"/>
      <c r="G1361" s="80"/>
      <c r="H1361" s="80"/>
      <c r="I1361" s="80"/>
      <c r="J1361" s="80"/>
      <c r="K1361" s="80"/>
      <c r="L1361" s="81" t="str">
        <f aca="false">IF(K1361="","",IFERROR(INDEX(BARDAGE!$C$7:$C$1506,MATCH(K1361,BARDAGE!$B$7:$B$1506,0)),"? hors registre"))</f>
        <v/>
      </c>
      <c r="M1361" s="80"/>
      <c r="N1361" s="81" t="str">
        <f aca="false">IF(M1361="","",IFERROR(INDEX(BARDAGE!$C$7:$C$1506,MATCH(M1361,BARDAGE!$B$7:$B$1506,0)),"? hors registre"))</f>
        <v/>
      </c>
      <c r="O1361" s="80"/>
      <c r="P1361" s="80"/>
      <c r="Q1361" s="80"/>
      <c r="R1361" s="82"/>
      <c r="S1361" s="82"/>
      <c r="T1361" s="80"/>
      <c r="U1361" s="80"/>
      <c r="V1361" s="82"/>
      <c r="W1361" s="80"/>
      <c r="X1361" s="80"/>
      <c r="Y1361" s="80"/>
      <c r="Z1361" s="80"/>
      <c r="AA1361" s="82"/>
      <c r="AB1361" s="80"/>
      <c r="AC1361" s="80"/>
      <c r="AD1361" s="80"/>
      <c r="AE1361" s="80"/>
      <c r="AF1361" s="82"/>
      <c r="AG1361" s="80"/>
      <c r="AH1361" s="80"/>
      <c r="AI1361" s="82"/>
      <c r="AJ1361" s="79"/>
      <c r="AK1361" s="78" t="str">
        <f aca="false">IF(E1361="","",(X1361&lt;&gt;"")+(AC1361&lt;&gt;"")+(AH1361&lt;&gt;""))</f>
        <v/>
      </c>
      <c r="AL1361" s="81" t="str">
        <f aca="false">IF(AH1361&lt;&gt;"",AH1361,IF(AC1361&lt;&gt;"",AC1361,IF(X1361&lt;&gt;"",X1361,"")))</f>
        <v/>
      </c>
      <c r="AM1361" s="83" t="str">
        <f aca="false">IF(E1361="","",IF(R1361="","À SOUDER",IF(U1361="","VT EN ATTENTE",IF(U1361="R","VT REJETÉ – À REPRENDRE",IF(AL1361="","À RADIOGRAPHIER",IF(AL1361="A","ACCEPTÉ",IF(AL1361="NX","NX – RT À REFAIRE",IF(IF(AK1361=1,Z1361,IF(AK1361=2,AE1361,""))="A","RÉPARÉ – À RADIOGRAPHIER",IF(IF(AK1361=1,Z1361,IF(AK1361=2,AE1361,""))="R","VT REJETÉ – À REPRENDRE",IF(OR(AL1361="CO",AL1361="NT"),"COUPE – À RESOUDER","À RÉPARER"))))))))))</f>
        <v/>
      </c>
      <c r="AN1361" s="81" t="str">
        <f aca="false">IF(AND(ISNUMBER(R1361),OR(AM1361="À RADIOGRAPHIER",AM1361="RÉPARÉ – À RADIOGRAPHIER",AM1361="NX – RT À REFAIRE",AM1361="À RÉPARER",AM1361="COUPE – À RESOUDER",AM1361="VT REJETÉ – À REPRENDRE")),MAX(0,'PROGRAMME RT'!$C$4-R1361),"")</f>
        <v/>
      </c>
      <c r="AO1361" s="78" t="n">
        <f aca="false">IF(AND(OR(AM1361="À RADIOGRAPHIER",AM1361="RÉPARÉ – À RADIOGRAPHIER",AM1361="NX – RT À REFAIRE"),OR('PROGRAMME RT'!$D$5="TOUTES",B1361='PROGRAMME RT'!$D$5)),1,0)</f>
        <v>0</v>
      </c>
      <c r="AP1361" s="78" t="str">
        <f aca="false">IF(AO1361=1,SUM(AO$7:AO1361),"")</f>
        <v/>
      </c>
      <c r="AQ1361" s="78" t="n">
        <f aca="false">IF(AND(OR(X1361="R",X1361="NX",X1361="NT",X1361="CO"),OR('JOINTS DE RÉPARATION'!$D$5="TOUTES",B1361='JOINTS DE RÉPARATION'!$D$5),OR('JOINTS DE RÉPARATION'!$L$4="TOUS",AM1361&lt;&gt;"ACCEPTÉ")),1,0)</f>
        <v>0</v>
      </c>
      <c r="AR1361" s="78" t="str">
        <f aca="false">IF(AQ1361=1,SUM(AQ$7:AQ1361),"")</f>
        <v/>
      </c>
    </row>
    <row r="1362" customFormat="false" ht="15" hidden="false" customHeight="false" outlineLevel="0" collapsed="false">
      <c r="A1362" s="78" t="str">
        <f aca="false">IF(E1362="","",ROW()-6)</f>
        <v/>
      </c>
      <c r="B1362" s="79"/>
      <c r="C1362" s="80"/>
      <c r="D1362" s="80"/>
      <c r="E1362" s="80"/>
      <c r="F1362" s="80"/>
      <c r="G1362" s="80"/>
      <c r="H1362" s="80"/>
      <c r="I1362" s="80"/>
      <c r="J1362" s="80"/>
      <c r="K1362" s="80"/>
      <c r="L1362" s="81" t="str">
        <f aca="false">IF(K1362="","",IFERROR(INDEX(BARDAGE!$C$7:$C$1506,MATCH(K1362,BARDAGE!$B$7:$B$1506,0)),"? hors registre"))</f>
        <v/>
      </c>
      <c r="M1362" s="80"/>
      <c r="N1362" s="81" t="str">
        <f aca="false">IF(M1362="","",IFERROR(INDEX(BARDAGE!$C$7:$C$1506,MATCH(M1362,BARDAGE!$B$7:$B$1506,0)),"? hors registre"))</f>
        <v/>
      </c>
      <c r="O1362" s="80"/>
      <c r="P1362" s="80"/>
      <c r="Q1362" s="80"/>
      <c r="R1362" s="82"/>
      <c r="S1362" s="82"/>
      <c r="T1362" s="80"/>
      <c r="U1362" s="80"/>
      <c r="V1362" s="82"/>
      <c r="W1362" s="80"/>
      <c r="X1362" s="80"/>
      <c r="Y1362" s="80"/>
      <c r="Z1362" s="80"/>
      <c r="AA1362" s="82"/>
      <c r="AB1362" s="80"/>
      <c r="AC1362" s="80"/>
      <c r="AD1362" s="80"/>
      <c r="AE1362" s="80"/>
      <c r="AF1362" s="82"/>
      <c r="AG1362" s="80"/>
      <c r="AH1362" s="80"/>
      <c r="AI1362" s="82"/>
      <c r="AJ1362" s="79"/>
      <c r="AK1362" s="78" t="str">
        <f aca="false">IF(E1362="","",(X1362&lt;&gt;"")+(AC1362&lt;&gt;"")+(AH1362&lt;&gt;""))</f>
        <v/>
      </c>
      <c r="AL1362" s="81" t="str">
        <f aca="false">IF(AH1362&lt;&gt;"",AH1362,IF(AC1362&lt;&gt;"",AC1362,IF(X1362&lt;&gt;"",X1362,"")))</f>
        <v/>
      </c>
      <c r="AM1362" s="83" t="str">
        <f aca="false">IF(E1362="","",IF(R1362="","À SOUDER",IF(U1362="","VT EN ATTENTE",IF(U1362="R","VT REJETÉ – À REPRENDRE",IF(AL1362="","À RADIOGRAPHIER",IF(AL1362="A","ACCEPTÉ",IF(AL1362="NX","NX – RT À REFAIRE",IF(IF(AK1362=1,Z1362,IF(AK1362=2,AE1362,""))="A","RÉPARÉ – À RADIOGRAPHIER",IF(IF(AK1362=1,Z1362,IF(AK1362=2,AE1362,""))="R","VT REJETÉ – À REPRENDRE",IF(OR(AL1362="CO",AL1362="NT"),"COUPE – À RESOUDER","À RÉPARER"))))))))))</f>
        <v/>
      </c>
      <c r="AN1362" s="81" t="str">
        <f aca="false">IF(AND(ISNUMBER(R1362),OR(AM1362="À RADIOGRAPHIER",AM1362="RÉPARÉ – À RADIOGRAPHIER",AM1362="NX – RT À REFAIRE",AM1362="À RÉPARER",AM1362="COUPE – À RESOUDER",AM1362="VT REJETÉ – À REPRENDRE")),MAX(0,'PROGRAMME RT'!$C$4-R1362),"")</f>
        <v/>
      </c>
      <c r="AO1362" s="78" t="n">
        <f aca="false">IF(AND(OR(AM1362="À RADIOGRAPHIER",AM1362="RÉPARÉ – À RADIOGRAPHIER",AM1362="NX – RT À REFAIRE"),OR('PROGRAMME RT'!$D$5="TOUTES",B1362='PROGRAMME RT'!$D$5)),1,0)</f>
        <v>0</v>
      </c>
      <c r="AP1362" s="78" t="str">
        <f aca="false">IF(AO1362=1,SUM(AO$7:AO1362),"")</f>
        <v/>
      </c>
      <c r="AQ1362" s="78" t="n">
        <f aca="false">IF(AND(OR(X1362="R",X1362="NX",X1362="NT",X1362="CO"),OR('JOINTS DE RÉPARATION'!$D$5="TOUTES",B1362='JOINTS DE RÉPARATION'!$D$5),OR('JOINTS DE RÉPARATION'!$L$4="TOUS",AM1362&lt;&gt;"ACCEPTÉ")),1,0)</f>
        <v>0</v>
      </c>
      <c r="AR1362" s="78" t="str">
        <f aca="false">IF(AQ1362=1,SUM(AQ$7:AQ1362),"")</f>
        <v/>
      </c>
    </row>
    <row r="1363" customFormat="false" ht="15" hidden="false" customHeight="false" outlineLevel="0" collapsed="false">
      <c r="A1363" s="78" t="str">
        <f aca="false">IF(E1363="","",ROW()-6)</f>
        <v/>
      </c>
      <c r="B1363" s="79"/>
      <c r="C1363" s="80"/>
      <c r="D1363" s="80"/>
      <c r="E1363" s="80"/>
      <c r="F1363" s="80"/>
      <c r="G1363" s="80"/>
      <c r="H1363" s="80"/>
      <c r="I1363" s="80"/>
      <c r="J1363" s="80"/>
      <c r="K1363" s="80"/>
      <c r="L1363" s="81" t="str">
        <f aca="false">IF(K1363="","",IFERROR(INDEX(BARDAGE!$C$7:$C$1506,MATCH(K1363,BARDAGE!$B$7:$B$1506,0)),"? hors registre"))</f>
        <v/>
      </c>
      <c r="M1363" s="80"/>
      <c r="N1363" s="81" t="str">
        <f aca="false">IF(M1363="","",IFERROR(INDEX(BARDAGE!$C$7:$C$1506,MATCH(M1363,BARDAGE!$B$7:$B$1506,0)),"? hors registre"))</f>
        <v/>
      </c>
      <c r="O1363" s="80"/>
      <c r="P1363" s="80"/>
      <c r="Q1363" s="80"/>
      <c r="R1363" s="82"/>
      <c r="S1363" s="82"/>
      <c r="T1363" s="80"/>
      <c r="U1363" s="80"/>
      <c r="V1363" s="82"/>
      <c r="W1363" s="80"/>
      <c r="X1363" s="80"/>
      <c r="Y1363" s="80"/>
      <c r="Z1363" s="80"/>
      <c r="AA1363" s="82"/>
      <c r="AB1363" s="80"/>
      <c r="AC1363" s="80"/>
      <c r="AD1363" s="80"/>
      <c r="AE1363" s="80"/>
      <c r="AF1363" s="82"/>
      <c r="AG1363" s="80"/>
      <c r="AH1363" s="80"/>
      <c r="AI1363" s="82"/>
      <c r="AJ1363" s="79"/>
      <c r="AK1363" s="78" t="str">
        <f aca="false">IF(E1363="","",(X1363&lt;&gt;"")+(AC1363&lt;&gt;"")+(AH1363&lt;&gt;""))</f>
        <v/>
      </c>
      <c r="AL1363" s="81" t="str">
        <f aca="false">IF(AH1363&lt;&gt;"",AH1363,IF(AC1363&lt;&gt;"",AC1363,IF(X1363&lt;&gt;"",X1363,"")))</f>
        <v/>
      </c>
      <c r="AM1363" s="83" t="str">
        <f aca="false">IF(E1363="","",IF(R1363="","À SOUDER",IF(U1363="","VT EN ATTENTE",IF(U1363="R","VT REJETÉ – À REPRENDRE",IF(AL1363="","À RADIOGRAPHIER",IF(AL1363="A","ACCEPTÉ",IF(AL1363="NX","NX – RT À REFAIRE",IF(IF(AK1363=1,Z1363,IF(AK1363=2,AE1363,""))="A","RÉPARÉ – À RADIOGRAPHIER",IF(IF(AK1363=1,Z1363,IF(AK1363=2,AE1363,""))="R","VT REJETÉ – À REPRENDRE",IF(OR(AL1363="CO",AL1363="NT"),"COUPE – À RESOUDER","À RÉPARER"))))))))))</f>
        <v/>
      </c>
      <c r="AN1363" s="81" t="str">
        <f aca="false">IF(AND(ISNUMBER(R1363),OR(AM1363="À RADIOGRAPHIER",AM1363="RÉPARÉ – À RADIOGRAPHIER",AM1363="NX – RT À REFAIRE",AM1363="À RÉPARER",AM1363="COUPE – À RESOUDER",AM1363="VT REJETÉ – À REPRENDRE")),MAX(0,'PROGRAMME RT'!$C$4-R1363),"")</f>
        <v/>
      </c>
      <c r="AO1363" s="78" t="n">
        <f aca="false">IF(AND(OR(AM1363="À RADIOGRAPHIER",AM1363="RÉPARÉ – À RADIOGRAPHIER",AM1363="NX – RT À REFAIRE"),OR('PROGRAMME RT'!$D$5="TOUTES",B1363='PROGRAMME RT'!$D$5)),1,0)</f>
        <v>0</v>
      </c>
      <c r="AP1363" s="78" t="str">
        <f aca="false">IF(AO1363=1,SUM(AO$7:AO1363),"")</f>
        <v/>
      </c>
      <c r="AQ1363" s="78" t="n">
        <f aca="false">IF(AND(OR(X1363="R",X1363="NX",X1363="NT",X1363="CO"),OR('JOINTS DE RÉPARATION'!$D$5="TOUTES",B1363='JOINTS DE RÉPARATION'!$D$5),OR('JOINTS DE RÉPARATION'!$L$4="TOUS",AM1363&lt;&gt;"ACCEPTÉ")),1,0)</f>
        <v>0</v>
      </c>
      <c r="AR1363" s="78" t="str">
        <f aca="false">IF(AQ1363=1,SUM(AQ$7:AQ1363),"")</f>
        <v/>
      </c>
    </row>
    <row r="1364" customFormat="false" ht="15" hidden="false" customHeight="false" outlineLevel="0" collapsed="false">
      <c r="A1364" s="78" t="str">
        <f aca="false">IF(E1364="","",ROW()-6)</f>
        <v/>
      </c>
      <c r="B1364" s="79"/>
      <c r="C1364" s="80"/>
      <c r="D1364" s="80"/>
      <c r="E1364" s="80"/>
      <c r="F1364" s="80"/>
      <c r="G1364" s="80"/>
      <c r="H1364" s="80"/>
      <c r="I1364" s="80"/>
      <c r="J1364" s="80"/>
      <c r="K1364" s="80"/>
      <c r="L1364" s="81" t="str">
        <f aca="false">IF(K1364="","",IFERROR(INDEX(BARDAGE!$C$7:$C$1506,MATCH(K1364,BARDAGE!$B$7:$B$1506,0)),"? hors registre"))</f>
        <v/>
      </c>
      <c r="M1364" s="80"/>
      <c r="N1364" s="81" t="str">
        <f aca="false">IF(M1364="","",IFERROR(INDEX(BARDAGE!$C$7:$C$1506,MATCH(M1364,BARDAGE!$B$7:$B$1506,0)),"? hors registre"))</f>
        <v/>
      </c>
      <c r="O1364" s="80"/>
      <c r="P1364" s="80"/>
      <c r="Q1364" s="80"/>
      <c r="R1364" s="82"/>
      <c r="S1364" s="82"/>
      <c r="T1364" s="80"/>
      <c r="U1364" s="80"/>
      <c r="V1364" s="82"/>
      <c r="W1364" s="80"/>
      <c r="X1364" s="80"/>
      <c r="Y1364" s="80"/>
      <c r="Z1364" s="80"/>
      <c r="AA1364" s="82"/>
      <c r="AB1364" s="80"/>
      <c r="AC1364" s="80"/>
      <c r="AD1364" s="80"/>
      <c r="AE1364" s="80"/>
      <c r="AF1364" s="82"/>
      <c r="AG1364" s="80"/>
      <c r="AH1364" s="80"/>
      <c r="AI1364" s="82"/>
      <c r="AJ1364" s="79"/>
      <c r="AK1364" s="78" t="str">
        <f aca="false">IF(E1364="","",(X1364&lt;&gt;"")+(AC1364&lt;&gt;"")+(AH1364&lt;&gt;""))</f>
        <v/>
      </c>
      <c r="AL1364" s="81" t="str">
        <f aca="false">IF(AH1364&lt;&gt;"",AH1364,IF(AC1364&lt;&gt;"",AC1364,IF(X1364&lt;&gt;"",X1364,"")))</f>
        <v/>
      </c>
      <c r="AM1364" s="83" t="str">
        <f aca="false">IF(E1364="","",IF(R1364="","À SOUDER",IF(U1364="","VT EN ATTENTE",IF(U1364="R","VT REJETÉ – À REPRENDRE",IF(AL1364="","À RADIOGRAPHIER",IF(AL1364="A","ACCEPTÉ",IF(AL1364="NX","NX – RT À REFAIRE",IF(IF(AK1364=1,Z1364,IF(AK1364=2,AE1364,""))="A","RÉPARÉ – À RADIOGRAPHIER",IF(IF(AK1364=1,Z1364,IF(AK1364=2,AE1364,""))="R","VT REJETÉ – À REPRENDRE",IF(OR(AL1364="CO",AL1364="NT"),"COUPE – À RESOUDER","À RÉPARER"))))))))))</f>
        <v/>
      </c>
      <c r="AN1364" s="81" t="str">
        <f aca="false">IF(AND(ISNUMBER(R1364),OR(AM1364="À RADIOGRAPHIER",AM1364="RÉPARÉ – À RADIOGRAPHIER",AM1364="NX – RT À REFAIRE",AM1364="À RÉPARER",AM1364="COUPE – À RESOUDER",AM1364="VT REJETÉ – À REPRENDRE")),MAX(0,'PROGRAMME RT'!$C$4-R1364),"")</f>
        <v/>
      </c>
      <c r="AO1364" s="78" t="n">
        <f aca="false">IF(AND(OR(AM1364="À RADIOGRAPHIER",AM1364="RÉPARÉ – À RADIOGRAPHIER",AM1364="NX – RT À REFAIRE"),OR('PROGRAMME RT'!$D$5="TOUTES",B1364='PROGRAMME RT'!$D$5)),1,0)</f>
        <v>0</v>
      </c>
      <c r="AP1364" s="78" t="str">
        <f aca="false">IF(AO1364=1,SUM(AO$7:AO1364),"")</f>
        <v/>
      </c>
      <c r="AQ1364" s="78" t="n">
        <f aca="false">IF(AND(OR(X1364="R",X1364="NX",X1364="NT",X1364="CO"),OR('JOINTS DE RÉPARATION'!$D$5="TOUTES",B1364='JOINTS DE RÉPARATION'!$D$5),OR('JOINTS DE RÉPARATION'!$L$4="TOUS",AM1364&lt;&gt;"ACCEPTÉ")),1,0)</f>
        <v>0</v>
      </c>
      <c r="AR1364" s="78" t="str">
        <f aca="false">IF(AQ1364=1,SUM(AQ$7:AQ1364),"")</f>
        <v/>
      </c>
    </row>
    <row r="1365" customFormat="false" ht="15" hidden="false" customHeight="false" outlineLevel="0" collapsed="false">
      <c r="A1365" s="78" t="str">
        <f aca="false">IF(E1365="","",ROW()-6)</f>
        <v/>
      </c>
      <c r="B1365" s="79"/>
      <c r="C1365" s="80"/>
      <c r="D1365" s="80"/>
      <c r="E1365" s="80"/>
      <c r="F1365" s="80"/>
      <c r="G1365" s="80"/>
      <c r="H1365" s="80"/>
      <c r="I1365" s="80"/>
      <c r="J1365" s="80"/>
      <c r="K1365" s="80"/>
      <c r="L1365" s="81" t="str">
        <f aca="false">IF(K1365="","",IFERROR(INDEX(BARDAGE!$C$7:$C$1506,MATCH(K1365,BARDAGE!$B$7:$B$1506,0)),"? hors registre"))</f>
        <v/>
      </c>
      <c r="M1365" s="80"/>
      <c r="N1365" s="81" t="str">
        <f aca="false">IF(M1365="","",IFERROR(INDEX(BARDAGE!$C$7:$C$1506,MATCH(M1365,BARDAGE!$B$7:$B$1506,0)),"? hors registre"))</f>
        <v/>
      </c>
      <c r="O1365" s="80"/>
      <c r="P1365" s="80"/>
      <c r="Q1365" s="80"/>
      <c r="R1365" s="82"/>
      <c r="S1365" s="82"/>
      <c r="T1365" s="80"/>
      <c r="U1365" s="80"/>
      <c r="V1365" s="82"/>
      <c r="W1365" s="80"/>
      <c r="X1365" s="80"/>
      <c r="Y1365" s="80"/>
      <c r="Z1365" s="80"/>
      <c r="AA1365" s="82"/>
      <c r="AB1365" s="80"/>
      <c r="AC1365" s="80"/>
      <c r="AD1365" s="80"/>
      <c r="AE1365" s="80"/>
      <c r="AF1365" s="82"/>
      <c r="AG1365" s="80"/>
      <c r="AH1365" s="80"/>
      <c r="AI1365" s="82"/>
      <c r="AJ1365" s="79"/>
      <c r="AK1365" s="78" t="str">
        <f aca="false">IF(E1365="","",(X1365&lt;&gt;"")+(AC1365&lt;&gt;"")+(AH1365&lt;&gt;""))</f>
        <v/>
      </c>
      <c r="AL1365" s="81" t="str">
        <f aca="false">IF(AH1365&lt;&gt;"",AH1365,IF(AC1365&lt;&gt;"",AC1365,IF(X1365&lt;&gt;"",X1365,"")))</f>
        <v/>
      </c>
      <c r="AM1365" s="83" t="str">
        <f aca="false">IF(E1365="","",IF(R1365="","À SOUDER",IF(U1365="","VT EN ATTENTE",IF(U1365="R","VT REJETÉ – À REPRENDRE",IF(AL1365="","À RADIOGRAPHIER",IF(AL1365="A","ACCEPTÉ",IF(AL1365="NX","NX – RT À REFAIRE",IF(IF(AK1365=1,Z1365,IF(AK1365=2,AE1365,""))="A","RÉPARÉ – À RADIOGRAPHIER",IF(IF(AK1365=1,Z1365,IF(AK1365=2,AE1365,""))="R","VT REJETÉ – À REPRENDRE",IF(OR(AL1365="CO",AL1365="NT"),"COUPE – À RESOUDER","À RÉPARER"))))))))))</f>
        <v/>
      </c>
      <c r="AN1365" s="81" t="str">
        <f aca="false">IF(AND(ISNUMBER(R1365),OR(AM1365="À RADIOGRAPHIER",AM1365="RÉPARÉ – À RADIOGRAPHIER",AM1365="NX – RT À REFAIRE",AM1365="À RÉPARER",AM1365="COUPE – À RESOUDER",AM1365="VT REJETÉ – À REPRENDRE")),MAX(0,'PROGRAMME RT'!$C$4-R1365),"")</f>
        <v/>
      </c>
      <c r="AO1365" s="78" t="n">
        <f aca="false">IF(AND(OR(AM1365="À RADIOGRAPHIER",AM1365="RÉPARÉ – À RADIOGRAPHIER",AM1365="NX – RT À REFAIRE"),OR('PROGRAMME RT'!$D$5="TOUTES",B1365='PROGRAMME RT'!$D$5)),1,0)</f>
        <v>0</v>
      </c>
      <c r="AP1365" s="78" t="str">
        <f aca="false">IF(AO1365=1,SUM(AO$7:AO1365),"")</f>
        <v/>
      </c>
      <c r="AQ1365" s="78" t="n">
        <f aca="false">IF(AND(OR(X1365="R",X1365="NX",X1365="NT",X1365="CO"),OR('JOINTS DE RÉPARATION'!$D$5="TOUTES",B1365='JOINTS DE RÉPARATION'!$D$5),OR('JOINTS DE RÉPARATION'!$L$4="TOUS",AM1365&lt;&gt;"ACCEPTÉ")),1,0)</f>
        <v>0</v>
      </c>
      <c r="AR1365" s="78" t="str">
        <f aca="false">IF(AQ1365=1,SUM(AQ$7:AQ1365),"")</f>
        <v/>
      </c>
    </row>
    <row r="1366" customFormat="false" ht="15" hidden="false" customHeight="false" outlineLevel="0" collapsed="false">
      <c r="A1366" s="78" t="str">
        <f aca="false">IF(E1366="","",ROW()-6)</f>
        <v/>
      </c>
      <c r="B1366" s="79"/>
      <c r="C1366" s="80"/>
      <c r="D1366" s="80"/>
      <c r="E1366" s="80"/>
      <c r="F1366" s="80"/>
      <c r="G1366" s="80"/>
      <c r="H1366" s="80"/>
      <c r="I1366" s="80"/>
      <c r="J1366" s="80"/>
      <c r="K1366" s="80"/>
      <c r="L1366" s="81" t="str">
        <f aca="false">IF(K1366="","",IFERROR(INDEX(BARDAGE!$C$7:$C$1506,MATCH(K1366,BARDAGE!$B$7:$B$1506,0)),"? hors registre"))</f>
        <v/>
      </c>
      <c r="M1366" s="80"/>
      <c r="N1366" s="81" t="str">
        <f aca="false">IF(M1366="","",IFERROR(INDEX(BARDAGE!$C$7:$C$1506,MATCH(M1366,BARDAGE!$B$7:$B$1506,0)),"? hors registre"))</f>
        <v/>
      </c>
      <c r="O1366" s="80"/>
      <c r="P1366" s="80"/>
      <c r="Q1366" s="80"/>
      <c r="R1366" s="82"/>
      <c r="S1366" s="82"/>
      <c r="T1366" s="80"/>
      <c r="U1366" s="80"/>
      <c r="V1366" s="82"/>
      <c r="W1366" s="80"/>
      <c r="X1366" s="80"/>
      <c r="Y1366" s="80"/>
      <c r="Z1366" s="80"/>
      <c r="AA1366" s="82"/>
      <c r="AB1366" s="80"/>
      <c r="AC1366" s="80"/>
      <c r="AD1366" s="80"/>
      <c r="AE1366" s="80"/>
      <c r="AF1366" s="82"/>
      <c r="AG1366" s="80"/>
      <c r="AH1366" s="80"/>
      <c r="AI1366" s="82"/>
      <c r="AJ1366" s="79"/>
      <c r="AK1366" s="78" t="str">
        <f aca="false">IF(E1366="","",(X1366&lt;&gt;"")+(AC1366&lt;&gt;"")+(AH1366&lt;&gt;""))</f>
        <v/>
      </c>
      <c r="AL1366" s="81" t="str">
        <f aca="false">IF(AH1366&lt;&gt;"",AH1366,IF(AC1366&lt;&gt;"",AC1366,IF(X1366&lt;&gt;"",X1366,"")))</f>
        <v/>
      </c>
      <c r="AM1366" s="83" t="str">
        <f aca="false">IF(E1366="","",IF(R1366="","À SOUDER",IF(U1366="","VT EN ATTENTE",IF(U1366="R","VT REJETÉ – À REPRENDRE",IF(AL1366="","À RADIOGRAPHIER",IF(AL1366="A","ACCEPTÉ",IF(AL1366="NX","NX – RT À REFAIRE",IF(IF(AK1366=1,Z1366,IF(AK1366=2,AE1366,""))="A","RÉPARÉ – À RADIOGRAPHIER",IF(IF(AK1366=1,Z1366,IF(AK1366=2,AE1366,""))="R","VT REJETÉ – À REPRENDRE",IF(OR(AL1366="CO",AL1366="NT"),"COUPE – À RESOUDER","À RÉPARER"))))))))))</f>
        <v/>
      </c>
      <c r="AN1366" s="81" t="str">
        <f aca="false">IF(AND(ISNUMBER(R1366),OR(AM1366="À RADIOGRAPHIER",AM1366="RÉPARÉ – À RADIOGRAPHIER",AM1366="NX – RT À REFAIRE",AM1366="À RÉPARER",AM1366="COUPE – À RESOUDER",AM1366="VT REJETÉ – À REPRENDRE")),MAX(0,'PROGRAMME RT'!$C$4-R1366),"")</f>
        <v/>
      </c>
      <c r="AO1366" s="78" t="n">
        <f aca="false">IF(AND(OR(AM1366="À RADIOGRAPHIER",AM1366="RÉPARÉ – À RADIOGRAPHIER",AM1366="NX – RT À REFAIRE"),OR('PROGRAMME RT'!$D$5="TOUTES",B1366='PROGRAMME RT'!$D$5)),1,0)</f>
        <v>0</v>
      </c>
      <c r="AP1366" s="78" t="str">
        <f aca="false">IF(AO1366=1,SUM(AO$7:AO1366),"")</f>
        <v/>
      </c>
      <c r="AQ1366" s="78" t="n">
        <f aca="false">IF(AND(OR(X1366="R",X1366="NX",X1366="NT",X1366="CO"),OR('JOINTS DE RÉPARATION'!$D$5="TOUTES",B1366='JOINTS DE RÉPARATION'!$D$5),OR('JOINTS DE RÉPARATION'!$L$4="TOUS",AM1366&lt;&gt;"ACCEPTÉ")),1,0)</f>
        <v>0</v>
      </c>
      <c r="AR1366" s="78" t="str">
        <f aca="false">IF(AQ1366=1,SUM(AQ$7:AQ1366),"")</f>
        <v/>
      </c>
    </row>
    <row r="1367" customFormat="false" ht="15" hidden="false" customHeight="false" outlineLevel="0" collapsed="false">
      <c r="A1367" s="78" t="str">
        <f aca="false">IF(E1367="","",ROW()-6)</f>
        <v/>
      </c>
      <c r="B1367" s="79"/>
      <c r="C1367" s="80"/>
      <c r="D1367" s="80"/>
      <c r="E1367" s="80"/>
      <c r="F1367" s="80"/>
      <c r="G1367" s="80"/>
      <c r="H1367" s="80"/>
      <c r="I1367" s="80"/>
      <c r="J1367" s="80"/>
      <c r="K1367" s="80"/>
      <c r="L1367" s="81" t="str">
        <f aca="false">IF(K1367="","",IFERROR(INDEX(BARDAGE!$C$7:$C$1506,MATCH(K1367,BARDAGE!$B$7:$B$1506,0)),"? hors registre"))</f>
        <v/>
      </c>
      <c r="M1367" s="80"/>
      <c r="N1367" s="81" t="str">
        <f aca="false">IF(M1367="","",IFERROR(INDEX(BARDAGE!$C$7:$C$1506,MATCH(M1367,BARDAGE!$B$7:$B$1506,0)),"? hors registre"))</f>
        <v/>
      </c>
      <c r="O1367" s="80"/>
      <c r="P1367" s="80"/>
      <c r="Q1367" s="80"/>
      <c r="R1367" s="82"/>
      <c r="S1367" s="82"/>
      <c r="T1367" s="80"/>
      <c r="U1367" s="80"/>
      <c r="V1367" s="82"/>
      <c r="W1367" s="80"/>
      <c r="X1367" s="80"/>
      <c r="Y1367" s="80"/>
      <c r="Z1367" s="80"/>
      <c r="AA1367" s="82"/>
      <c r="AB1367" s="80"/>
      <c r="AC1367" s="80"/>
      <c r="AD1367" s="80"/>
      <c r="AE1367" s="80"/>
      <c r="AF1367" s="82"/>
      <c r="AG1367" s="80"/>
      <c r="AH1367" s="80"/>
      <c r="AI1367" s="82"/>
      <c r="AJ1367" s="79"/>
      <c r="AK1367" s="78" t="str">
        <f aca="false">IF(E1367="","",(X1367&lt;&gt;"")+(AC1367&lt;&gt;"")+(AH1367&lt;&gt;""))</f>
        <v/>
      </c>
      <c r="AL1367" s="81" t="str">
        <f aca="false">IF(AH1367&lt;&gt;"",AH1367,IF(AC1367&lt;&gt;"",AC1367,IF(X1367&lt;&gt;"",X1367,"")))</f>
        <v/>
      </c>
      <c r="AM1367" s="83" t="str">
        <f aca="false">IF(E1367="","",IF(R1367="","À SOUDER",IF(U1367="","VT EN ATTENTE",IF(U1367="R","VT REJETÉ – À REPRENDRE",IF(AL1367="","À RADIOGRAPHIER",IF(AL1367="A","ACCEPTÉ",IF(AL1367="NX","NX – RT À REFAIRE",IF(IF(AK1367=1,Z1367,IF(AK1367=2,AE1367,""))="A","RÉPARÉ – À RADIOGRAPHIER",IF(IF(AK1367=1,Z1367,IF(AK1367=2,AE1367,""))="R","VT REJETÉ – À REPRENDRE",IF(OR(AL1367="CO",AL1367="NT"),"COUPE – À RESOUDER","À RÉPARER"))))))))))</f>
        <v/>
      </c>
      <c r="AN1367" s="81" t="str">
        <f aca="false">IF(AND(ISNUMBER(R1367),OR(AM1367="À RADIOGRAPHIER",AM1367="RÉPARÉ – À RADIOGRAPHIER",AM1367="NX – RT À REFAIRE",AM1367="À RÉPARER",AM1367="COUPE – À RESOUDER",AM1367="VT REJETÉ – À REPRENDRE")),MAX(0,'PROGRAMME RT'!$C$4-R1367),"")</f>
        <v/>
      </c>
      <c r="AO1367" s="78" t="n">
        <f aca="false">IF(AND(OR(AM1367="À RADIOGRAPHIER",AM1367="RÉPARÉ – À RADIOGRAPHIER",AM1367="NX – RT À REFAIRE"),OR('PROGRAMME RT'!$D$5="TOUTES",B1367='PROGRAMME RT'!$D$5)),1,0)</f>
        <v>0</v>
      </c>
      <c r="AP1367" s="78" t="str">
        <f aca="false">IF(AO1367=1,SUM(AO$7:AO1367),"")</f>
        <v/>
      </c>
      <c r="AQ1367" s="78" t="n">
        <f aca="false">IF(AND(OR(X1367="R",X1367="NX",X1367="NT",X1367="CO"),OR('JOINTS DE RÉPARATION'!$D$5="TOUTES",B1367='JOINTS DE RÉPARATION'!$D$5),OR('JOINTS DE RÉPARATION'!$L$4="TOUS",AM1367&lt;&gt;"ACCEPTÉ")),1,0)</f>
        <v>0</v>
      </c>
      <c r="AR1367" s="78" t="str">
        <f aca="false">IF(AQ1367=1,SUM(AQ$7:AQ1367),"")</f>
        <v/>
      </c>
    </row>
    <row r="1368" customFormat="false" ht="15" hidden="false" customHeight="false" outlineLevel="0" collapsed="false">
      <c r="A1368" s="78" t="str">
        <f aca="false">IF(E1368="","",ROW()-6)</f>
        <v/>
      </c>
      <c r="B1368" s="79"/>
      <c r="C1368" s="80"/>
      <c r="D1368" s="80"/>
      <c r="E1368" s="80"/>
      <c r="F1368" s="80"/>
      <c r="G1368" s="80"/>
      <c r="H1368" s="80"/>
      <c r="I1368" s="80"/>
      <c r="J1368" s="80"/>
      <c r="K1368" s="80"/>
      <c r="L1368" s="81" t="str">
        <f aca="false">IF(K1368="","",IFERROR(INDEX(BARDAGE!$C$7:$C$1506,MATCH(K1368,BARDAGE!$B$7:$B$1506,0)),"? hors registre"))</f>
        <v/>
      </c>
      <c r="M1368" s="80"/>
      <c r="N1368" s="81" t="str">
        <f aca="false">IF(M1368="","",IFERROR(INDEX(BARDAGE!$C$7:$C$1506,MATCH(M1368,BARDAGE!$B$7:$B$1506,0)),"? hors registre"))</f>
        <v/>
      </c>
      <c r="O1368" s="80"/>
      <c r="P1368" s="80"/>
      <c r="Q1368" s="80"/>
      <c r="R1368" s="82"/>
      <c r="S1368" s="82"/>
      <c r="T1368" s="80"/>
      <c r="U1368" s="80"/>
      <c r="V1368" s="82"/>
      <c r="W1368" s="80"/>
      <c r="X1368" s="80"/>
      <c r="Y1368" s="80"/>
      <c r="Z1368" s="80"/>
      <c r="AA1368" s="82"/>
      <c r="AB1368" s="80"/>
      <c r="AC1368" s="80"/>
      <c r="AD1368" s="80"/>
      <c r="AE1368" s="80"/>
      <c r="AF1368" s="82"/>
      <c r="AG1368" s="80"/>
      <c r="AH1368" s="80"/>
      <c r="AI1368" s="82"/>
      <c r="AJ1368" s="79"/>
      <c r="AK1368" s="78" t="str">
        <f aca="false">IF(E1368="","",(X1368&lt;&gt;"")+(AC1368&lt;&gt;"")+(AH1368&lt;&gt;""))</f>
        <v/>
      </c>
      <c r="AL1368" s="81" t="str">
        <f aca="false">IF(AH1368&lt;&gt;"",AH1368,IF(AC1368&lt;&gt;"",AC1368,IF(X1368&lt;&gt;"",X1368,"")))</f>
        <v/>
      </c>
      <c r="AM1368" s="83" t="str">
        <f aca="false">IF(E1368="","",IF(R1368="","À SOUDER",IF(U1368="","VT EN ATTENTE",IF(U1368="R","VT REJETÉ – À REPRENDRE",IF(AL1368="","À RADIOGRAPHIER",IF(AL1368="A","ACCEPTÉ",IF(AL1368="NX","NX – RT À REFAIRE",IF(IF(AK1368=1,Z1368,IF(AK1368=2,AE1368,""))="A","RÉPARÉ – À RADIOGRAPHIER",IF(IF(AK1368=1,Z1368,IF(AK1368=2,AE1368,""))="R","VT REJETÉ – À REPRENDRE",IF(OR(AL1368="CO",AL1368="NT"),"COUPE – À RESOUDER","À RÉPARER"))))))))))</f>
        <v/>
      </c>
      <c r="AN1368" s="81" t="str">
        <f aca="false">IF(AND(ISNUMBER(R1368),OR(AM1368="À RADIOGRAPHIER",AM1368="RÉPARÉ – À RADIOGRAPHIER",AM1368="NX – RT À REFAIRE",AM1368="À RÉPARER",AM1368="COUPE – À RESOUDER",AM1368="VT REJETÉ – À REPRENDRE")),MAX(0,'PROGRAMME RT'!$C$4-R1368),"")</f>
        <v/>
      </c>
      <c r="AO1368" s="78" t="n">
        <f aca="false">IF(AND(OR(AM1368="À RADIOGRAPHIER",AM1368="RÉPARÉ – À RADIOGRAPHIER",AM1368="NX – RT À REFAIRE"),OR('PROGRAMME RT'!$D$5="TOUTES",B1368='PROGRAMME RT'!$D$5)),1,0)</f>
        <v>0</v>
      </c>
      <c r="AP1368" s="78" t="str">
        <f aca="false">IF(AO1368=1,SUM(AO$7:AO1368),"")</f>
        <v/>
      </c>
      <c r="AQ1368" s="78" t="n">
        <f aca="false">IF(AND(OR(X1368="R",X1368="NX",X1368="NT",X1368="CO"),OR('JOINTS DE RÉPARATION'!$D$5="TOUTES",B1368='JOINTS DE RÉPARATION'!$D$5),OR('JOINTS DE RÉPARATION'!$L$4="TOUS",AM1368&lt;&gt;"ACCEPTÉ")),1,0)</f>
        <v>0</v>
      </c>
      <c r="AR1368" s="78" t="str">
        <f aca="false">IF(AQ1368=1,SUM(AQ$7:AQ1368),"")</f>
        <v/>
      </c>
    </row>
    <row r="1369" customFormat="false" ht="15" hidden="false" customHeight="false" outlineLevel="0" collapsed="false">
      <c r="A1369" s="78" t="str">
        <f aca="false">IF(E1369="","",ROW()-6)</f>
        <v/>
      </c>
      <c r="B1369" s="79"/>
      <c r="C1369" s="80"/>
      <c r="D1369" s="80"/>
      <c r="E1369" s="80"/>
      <c r="F1369" s="80"/>
      <c r="G1369" s="80"/>
      <c r="H1369" s="80"/>
      <c r="I1369" s="80"/>
      <c r="J1369" s="80"/>
      <c r="K1369" s="80"/>
      <c r="L1369" s="81" t="str">
        <f aca="false">IF(K1369="","",IFERROR(INDEX(BARDAGE!$C$7:$C$1506,MATCH(K1369,BARDAGE!$B$7:$B$1506,0)),"? hors registre"))</f>
        <v/>
      </c>
      <c r="M1369" s="80"/>
      <c r="N1369" s="81" t="str">
        <f aca="false">IF(M1369="","",IFERROR(INDEX(BARDAGE!$C$7:$C$1506,MATCH(M1369,BARDAGE!$B$7:$B$1506,0)),"? hors registre"))</f>
        <v/>
      </c>
      <c r="O1369" s="80"/>
      <c r="P1369" s="80"/>
      <c r="Q1369" s="80"/>
      <c r="R1369" s="82"/>
      <c r="S1369" s="82"/>
      <c r="T1369" s="80"/>
      <c r="U1369" s="80"/>
      <c r="V1369" s="82"/>
      <c r="W1369" s="80"/>
      <c r="X1369" s="80"/>
      <c r="Y1369" s="80"/>
      <c r="Z1369" s="80"/>
      <c r="AA1369" s="82"/>
      <c r="AB1369" s="80"/>
      <c r="AC1369" s="80"/>
      <c r="AD1369" s="80"/>
      <c r="AE1369" s="80"/>
      <c r="AF1369" s="82"/>
      <c r="AG1369" s="80"/>
      <c r="AH1369" s="80"/>
      <c r="AI1369" s="82"/>
      <c r="AJ1369" s="79"/>
      <c r="AK1369" s="78" t="str">
        <f aca="false">IF(E1369="","",(X1369&lt;&gt;"")+(AC1369&lt;&gt;"")+(AH1369&lt;&gt;""))</f>
        <v/>
      </c>
      <c r="AL1369" s="81" t="str">
        <f aca="false">IF(AH1369&lt;&gt;"",AH1369,IF(AC1369&lt;&gt;"",AC1369,IF(X1369&lt;&gt;"",X1369,"")))</f>
        <v/>
      </c>
      <c r="AM1369" s="83" t="str">
        <f aca="false">IF(E1369="","",IF(R1369="","À SOUDER",IF(U1369="","VT EN ATTENTE",IF(U1369="R","VT REJETÉ – À REPRENDRE",IF(AL1369="","À RADIOGRAPHIER",IF(AL1369="A","ACCEPTÉ",IF(AL1369="NX","NX – RT À REFAIRE",IF(IF(AK1369=1,Z1369,IF(AK1369=2,AE1369,""))="A","RÉPARÉ – À RADIOGRAPHIER",IF(IF(AK1369=1,Z1369,IF(AK1369=2,AE1369,""))="R","VT REJETÉ – À REPRENDRE",IF(OR(AL1369="CO",AL1369="NT"),"COUPE – À RESOUDER","À RÉPARER"))))))))))</f>
        <v/>
      </c>
      <c r="AN1369" s="81" t="str">
        <f aca="false">IF(AND(ISNUMBER(R1369),OR(AM1369="À RADIOGRAPHIER",AM1369="RÉPARÉ – À RADIOGRAPHIER",AM1369="NX – RT À REFAIRE",AM1369="À RÉPARER",AM1369="COUPE – À RESOUDER",AM1369="VT REJETÉ – À REPRENDRE")),MAX(0,'PROGRAMME RT'!$C$4-R1369),"")</f>
        <v/>
      </c>
      <c r="AO1369" s="78" t="n">
        <f aca="false">IF(AND(OR(AM1369="À RADIOGRAPHIER",AM1369="RÉPARÉ – À RADIOGRAPHIER",AM1369="NX – RT À REFAIRE"),OR('PROGRAMME RT'!$D$5="TOUTES",B1369='PROGRAMME RT'!$D$5)),1,0)</f>
        <v>0</v>
      </c>
      <c r="AP1369" s="78" t="str">
        <f aca="false">IF(AO1369=1,SUM(AO$7:AO1369),"")</f>
        <v/>
      </c>
      <c r="AQ1369" s="78" t="n">
        <f aca="false">IF(AND(OR(X1369="R",X1369="NX",X1369="NT",X1369="CO"),OR('JOINTS DE RÉPARATION'!$D$5="TOUTES",B1369='JOINTS DE RÉPARATION'!$D$5),OR('JOINTS DE RÉPARATION'!$L$4="TOUS",AM1369&lt;&gt;"ACCEPTÉ")),1,0)</f>
        <v>0</v>
      </c>
      <c r="AR1369" s="78" t="str">
        <f aca="false">IF(AQ1369=1,SUM(AQ$7:AQ1369),"")</f>
        <v/>
      </c>
    </row>
    <row r="1370" customFormat="false" ht="15" hidden="false" customHeight="false" outlineLevel="0" collapsed="false">
      <c r="A1370" s="78" t="str">
        <f aca="false">IF(E1370="","",ROW()-6)</f>
        <v/>
      </c>
      <c r="B1370" s="79"/>
      <c r="C1370" s="80"/>
      <c r="D1370" s="80"/>
      <c r="E1370" s="80"/>
      <c r="F1370" s="80"/>
      <c r="G1370" s="80"/>
      <c r="H1370" s="80"/>
      <c r="I1370" s="80"/>
      <c r="J1370" s="80"/>
      <c r="K1370" s="80"/>
      <c r="L1370" s="81" t="str">
        <f aca="false">IF(K1370="","",IFERROR(INDEX(BARDAGE!$C$7:$C$1506,MATCH(K1370,BARDAGE!$B$7:$B$1506,0)),"? hors registre"))</f>
        <v/>
      </c>
      <c r="M1370" s="80"/>
      <c r="N1370" s="81" t="str">
        <f aca="false">IF(M1370="","",IFERROR(INDEX(BARDAGE!$C$7:$C$1506,MATCH(M1370,BARDAGE!$B$7:$B$1506,0)),"? hors registre"))</f>
        <v/>
      </c>
      <c r="O1370" s="80"/>
      <c r="P1370" s="80"/>
      <c r="Q1370" s="80"/>
      <c r="R1370" s="82"/>
      <c r="S1370" s="82"/>
      <c r="T1370" s="80"/>
      <c r="U1370" s="80"/>
      <c r="V1370" s="82"/>
      <c r="W1370" s="80"/>
      <c r="X1370" s="80"/>
      <c r="Y1370" s="80"/>
      <c r="Z1370" s="80"/>
      <c r="AA1370" s="82"/>
      <c r="AB1370" s="80"/>
      <c r="AC1370" s="80"/>
      <c r="AD1370" s="80"/>
      <c r="AE1370" s="80"/>
      <c r="AF1370" s="82"/>
      <c r="AG1370" s="80"/>
      <c r="AH1370" s="80"/>
      <c r="AI1370" s="82"/>
      <c r="AJ1370" s="79"/>
      <c r="AK1370" s="78" t="str">
        <f aca="false">IF(E1370="","",(X1370&lt;&gt;"")+(AC1370&lt;&gt;"")+(AH1370&lt;&gt;""))</f>
        <v/>
      </c>
      <c r="AL1370" s="81" t="str">
        <f aca="false">IF(AH1370&lt;&gt;"",AH1370,IF(AC1370&lt;&gt;"",AC1370,IF(X1370&lt;&gt;"",X1370,"")))</f>
        <v/>
      </c>
      <c r="AM1370" s="83" t="str">
        <f aca="false">IF(E1370="","",IF(R1370="","À SOUDER",IF(U1370="","VT EN ATTENTE",IF(U1370="R","VT REJETÉ – À REPRENDRE",IF(AL1370="","À RADIOGRAPHIER",IF(AL1370="A","ACCEPTÉ",IF(AL1370="NX","NX – RT À REFAIRE",IF(IF(AK1370=1,Z1370,IF(AK1370=2,AE1370,""))="A","RÉPARÉ – À RADIOGRAPHIER",IF(IF(AK1370=1,Z1370,IF(AK1370=2,AE1370,""))="R","VT REJETÉ – À REPRENDRE",IF(OR(AL1370="CO",AL1370="NT"),"COUPE – À RESOUDER","À RÉPARER"))))))))))</f>
        <v/>
      </c>
      <c r="AN1370" s="81" t="str">
        <f aca="false">IF(AND(ISNUMBER(R1370),OR(AM1370="À RADIOGRAPHIER",AM1370="RÉPARÉ – À RADIOGRAPHIER",AM1370="NX – RT À REFAIRE",AM1370="À RÉPARER",AM1370="COUPE – À RESOUDER",AM1370="VT REJETÉ – À REPRENDRE")),MAX(0,'PROGRAMME RT'!$C$4-R1370),"")</f>
        <v/>
      </c>
      <c r="AO1370" s="78" t="n">
        <f aca="false">IF(AND(OR(AM1370="À RADIOGRAPHIER",AM1370="RÉPARÉ – À RADIOGRAPHIER",AM1370="NX – RT À REFAIRE"),OR('PROGRAMME RT'!$D$5="TOUTES",B1370='PROGRAMME RT'!$D$5)),1,0)</f>
        <v>0</v>
      </c>
      <c r="AP1370" s="78" t="str">
        <f aca="false">IF(AO1370=1,SUM(AO$7:AO1370),"")</f>
        <v/>
      </c>
      <c r="AQ1370" s="78" t="n">
        <f aca="false">IF(AND(OR(X1370="R",X1370="NX",X1370="NT",X1370="CO"),OR('JOINTS DE RÉPARATION'!$D$5="TOUTES",B1370='JOINTS DE RÉPARATION'!$D$5),OR('JOINTS DE RÉPARATION'!$L$4="TOUS",AM1370&lt;&gt;"ACCEPTÉ")),1,0)</f>
        <v>0</v>
      </c>
      <c r="AR1370" s="78" t="str">
        <f aca="false">IF(AQ1370=1,SUM(AQ$7:AQ1370),"")</f>
        <v/>
      </c>
    </row>
    <row r="1371" customFormat="false" ht="15" hidden="false" customHeight="false" outlineLevel="0" collapsed="false">
      <c r="A1371" s="78" t="str">
        <f aca="false">IF(E1371="","",ROW()-6)</f>
        <v/>
      </c>
      <c r="B1371" s="79"/>
      <c r="C1371" s="80"/>
      <c r="D1371" s="80"/>
      <c r="E1371" s="80"/>
      <c r="F1371" s="80"/>
      <c r="G1371" s="80"/>
      <c r="H1371" s="80"/>
      <c r="I1371" s="80"/>
      <c r="J1371" s="80"/>
      <c r="K1371" s="80"/>
      <c r="L1371" s="81" t="str">
        <f aca="false">IF(K1371="","",IFERROR(INDEX(BARDAGE!$C$7:$C$1506,MATCH(K1371,BARDAGE!$B$7:$B$1506,0)),"? hors registre"))</f>
        <v/>
      </c>
      <c r="M1371" s="80"/>
      <c r="N1371" s="81" t="str">
        <f aca="false">IF(M1371="","",IFERROR(INDEX(BARDAGE!$C$7:$C$1506,MATCH(M1371,BARDAGE!$B$7:$B$1506,0)),"? hors registre"))</f>
        <v/>
      </c>
      <c r="O1371" s="80"/>
      <c r="P1371" s="80"/>
      <c r="Q1371" s="80"/>
      <c r="R1371" s="82"/>
      <c r="S1371" s="82"/>
      <c r="T1371" s="80"/>
      <c r="U1371" s="80"/>
      <c r="V1371" s="82"/>
      <c r="W1371" s="80"/>
      <c r="X1371" s="80"/>
      <c r="Y1371" s="80"/>
      <c r="Z1371" s="80"/>
      <c r="AA1371" s="82"/>
      <c r="AB1371" s="80"/>
      <c r="AC1371" s="80"/>
      <c r="AD1371" s="80"/>
      <c r="AE1371" s="80"/>
      <c r="AF1371" s="82"/>
      <c r="AG1371" s="80"/>
      <c r="AH1371" s="80"/>
      <c r="AI1371" s="82"/>
      <c r="AJ1371" s="79"/>
      <c r="AK1371" s="78" t="str">
        <f aca="false">IF(E1371="","",(X1371&lt;&gt;"")+(AC1371&lt;&gt;"")+(AH1371&lt;&gt;""))</f>
        <v/>
      </c>
      <c r="AL1371" s="81" t="str">
        <f aca="false">IF(AH1371&lt;&gt;"",AH1371,IF(AC1371&lt;&gt;"",AC1371,IF(X1371&lt;&gt;"",X1371,"")))</f>
        <v/>
      </c>
      <c r="AM1371" s="83" t="str">
        <f aca="false">IF(E1371="","",IF(R1371="","À SOUDER",IF(U1371="","VT EN ATTENTE",IF(U1371="R","VT REJETÉ – À REPRENDRE",IF(AL1371="","À RADIOGRAPHIER",IF(AL1371="A","ACCEPTÉ",IF(AL1371="NX","NX – RT À REFAIRE",IF(IF(AK1371=1,Z1371,IF(AK1371=2,AE1371,""))="A","RÉPARÉ – À RADIOGRAPHIER",IF(IF(AK1371=1,Z1371,IF(AK1371=2,AE1371,""))="R","VT REJETÉ – À REPRENDRE",IF(OR(AL1371="CO",AL1371="NT"),"COUPE – À RESOUDER","À RÉPARER"))))))))))</f>
        <v/>
      </c>
      <c r="AN1371" s="81" t="str">
        <f aca="false">IF(AND(ISNUMBER(R1371),OR(AM1371="À RADIOGRAPHIER",AM1371="RÉPARÉ – À RADIOGRAPHIER",AM1371="NX – RT À REFAIRE",AM1371="À RÉPARER",AM1371="COUPE – À RESOUDER",AM1371="VT REJETÉ – À REPRENDRE")),MAX(0,'PROGRAMME RT'!$C$4-R1371),"")</f>
        <v/>
      </c>
      <c r="AO1371" s="78" t="n">
        <f aca="false">IF(AND(OR(AM1371="À RADIOGRAPHIER",AM1371="RÉPARÉ – À RADIOGRAPHIER",AM1371="NX – RT À REFAIRE"),OR('PROGRAMME RT'!$D$5="TOUTES",B1371='PROGRAMME RT'!$D$5)),1,0)</f>
        <v>0</v>
      </c>
      <c r="AP1371" s="78" t="str">
        <f aca="false">IF(AO1371=1,SUM(AO$7:AO1371),"")</f>
        <v/>
      </c>
      <c r="AQ1371" s="78" t="n">
        <f aca="false">IF(AND(OR(X1371="R",X1371="NX",X1371="NT",X1371="CO"),OR('JOINTS DE RÉPARATION'!$D$5="TOUTES",B1371='JOINTS DE RÉPARATION'!$D$5),OR('JOINTS DE RÉPARATION'!$L$4="TOUS",AM1371&lt;&gt;"ACCEPTÉ")),1,0)</f>
        <v>0</v>
      </c>
      <c r="AR1371" s="78" t="str">
        <f aca="false">IF(AQ1371=1,SUM(AQ$7:AQ1371),"")</f>
        <v/>
      </c>
    </row>
    <row r="1372" customFormat="false" ht="15" hidden="false" customHeight="false" outlineLevel="0" collapsed="false">
      <c r="A1372" s="78" t="str">
        <f aca="false">IF(E1372="","",ROW()-6)</f>
        <v/>
      </c>
      <c r="B1372" s="79"/>
      <c r="C1372" s="80"/>
      <c r="D1372" s="80"/>
      <c r="E1372" s="80"/>
      <c r="F1372" s="80"/>
      <c r="G1372" s="80"/>
      <c r="H1372" s="80"/>
      <c r="I1372" s="80"/>
      <c r="J1372" s="80"/>
      <c r="K1372" s="80"/>
      <c r="L1372" s="81" t="str">
        <f aca="false">IF(K1372="","",IFERROR(INDEX(BARDAGE!$C$7:$C$1506,MATCH(K1372,BARDAGE!$B$7:$B$1506,0)),"? hors registre"))</f>
        <v/>
      </c>
      <c r="M1372" s="80"/>
      <c r="N1372" s="81" t="str">
        <f aca="false">IF(M1372="","",IFERROR(INDEX(BARDAGE!$C$7:$C$1506,MATCH(M1372,BARDAGE!$B$7:$B$1506,0)),"? hors registre"))</f>
        <v/>
      </c>
      <c r="O1372" s="80"/>
      <c r="P1372" s="80"/>
      <c r="Q1372" s="80"/>
      <c r="R1372" s="82"/>
      <c r="S1372" s="82"/>
      <c r="T1372" s="80"/>
      <c r="U1372" s="80"/>
      <c r="V1372" s="82"/>
      <c r="W1372" s="80"/>
      <c r="X1372" s="80"/>
      <c r="Y1372" s="80"/>
      <c r="Z1372" s="80"/>
      <c r="AA1372" s="82"/>
      <c r="AB1372" s="80"/>
      <c r="AC1372" s="80"/>
      <c r="AD1372" s="80"/>
      <c r="AE1372" s="80"/>
      <c r="AF1372" s="82"/>
      <c r="AG1372" s="80"/>
      <c r="AH1372" s="80"/>
      <c r="AI1372" s="82"/>
      <c r="AJ1372" s="79"/>
      <c r="AK1372" s="78" t="str">
        <f aca="false">IF(E1372="","",(X1372&lt;&gt;"")+(AC1372&lt;&gt;"")+(AH1372&lt;&gt;""))</f>
        <v/>
      </c>
      <c r="AL1372" s="81" t="str">
        <f aca="false">IF(AH1372&lt;&gt;"",AH1372,IF(AC1372&lt;&gt;"",AC1372,IF(X1372&lt;&gt;"",X1372,"")))</f>
        <v/>
      </c>
      <c r="AM1372" s="83" t="str">
        <f aca="false">IF(E1372="","",IF(R1372="","À SOUDER",IF(U1372="","VT EN ATTENTE",IF(U1372="R","VT REJETÉ – À REPRENDRE",IF(AL1372="","À RADIOGRAPHIER",IF(AL1372="A","ACCEPTÉ",IF(AL1372="NX","NX – RT À REFAIRE",IF(IF(AK1372=1,Z1372,IF(AK1372=2,AE1372,""))="A","RÉPARÉ – À RADIOGRAPHIER",IF(IF(AK1372=1,Z1372,IF(AK1372=2,AE1372,""))="R","VT REJETÉ – À REPRENDRE",IF(OR(AL1372="CO",AL1372="NT"),"COUPE – À RESOUDER","À RÉPARER"))))))))))</f>
        <v/>
      </c>
      <c r="AN1372" s="81" t="str">
        <f aca="false">IF(AND(ISNUMBER(R1372),OR(AM1372="À RADIOGRAPHIER",AM1372="RÉPARÉ – À RADIOGRAPHIER",AM1372="NX – RT À REFAIRE",AM1372="À RÉPARER",AM1372="COUPE – À RESOUDER",AM1372="VT REJETÉ – À REPRENDRE")),MAX(0,'PROGRAMME RT'!$C$4-R1372),"")</f>
        <v/>
      </c>
      <c r="AO1372" s="78" t="n">
        <f aca="false">IF(AND(OR(AM1372="À RADIOGRAPHIER",AM1372="RÉPARÉ – À RADIOGRAPHIER",AM1372="NX – RT À REFAIRE"),OR('PROGRAMME RT'!$D$5="TOUTES",B1372='PROGRAMME RT'!$D$5)),1,0)</f>
        <v>0</v>
      </c>
      <c r="AP1372" s="78" t="str">
        <f aca="false">IF(AO1372=1,SUM(AO$7:AO1372),"")</f>
        <v/>
      </c>
      <c r="AQ1372" s="78" t="n">
        <f aca="false">IF(AND(OR(X1372="R",X1372="NX",X1372="NT",X1372="CO"),OR('JOINTS DE RÉPARATION'!$D$5="TOUTES",B1372='JOINTS DE RÉPARATION'!$D$5),OR('JOINTS DE RÉPARATION'!$L$4="TOUS",AM1372&lt;&gt;"ACCEPTÉ")),1,0)</f>
        <v>0</v>
      </c>
      <c r="AR1372" s="78" t="str">
        <f aca="false">IF(AQ1372=1,SUM(AQ$7:AQ1372),"")</f>
        <v/>
      </c>
    </row>
    <row r="1373" customFormat="false" ht="15" hidden="false" customHeight="false" outlineLevel="0" collapsed="false">
      <c r="A1373" s="78" t="str">
        <f aca="false">IF(E1373="","",ROW()-6)</f>
        <v/>
      </c>
      <c r="B1373" s="79"/>
      <c r="C1373" s="80"/>
      <c r="D1373" s="80"/>
      <c r="E1373" s="80"/>
      <c r="F1373" s="80"/>
      <c r="G1373" s="80"/>
      <c r="H1373" s="80"/>
      <c r="I1373" s="80"/>
      <c r="J1373" s="80"/>
      <c r="K1373" s="80"/>
      <c r="L1373" s="81" t="str">
        <f aca="false">IF(K1373="","",IFERROR(INDEX(BARDAGE!$C$7:$C$1506,MATCH(K1373,BARDAGE!$B$7:$B$1506,0)),"? hors registre"))</f>
        <v/>
      </c>
      <c r="M1373" s="80"/>
      <c r="N1373" s="81" t="str">
        <f aca="false">IF(M1373="","",IFERROR(INDEX(BARDAGE!$C$7:$C$1506,MATCH(M1373,BARDAGE!$B$7:$B$1506,0)),"? hors registre"))</f>
        <v/>
      </c>
      <c r="O1373" s="80"/>
      <c r="P1373" s="80"/>
      <c r="Q1373" s="80"/>
      <c r="R1373" s="82"/>
      <c r="S1373" s="82"/>
      <c r="T1373" s="80"/>
      <c r="U1373" s="80"/>
      <c r="V1373" s="82"/>
      <c r="W1373" s="80"/>
      <c r="X1373" s="80"/>
      <c r="Y1373" s="80"/>
      <c r="Z1373" s="80"/>
      <c r="AA1373" s="82"/>
      <c r="AB1373" s="80"/>
      <c r="AC1373" s="80"/>
      <c r="AD1373" s="80"/>
      <c r="AE1373" s="80"/>
      <c r="AF1373" s="82"/>
      <c r="AG1373" s="80"/>
      <c r="AH1373" s="80"/>
      <c r="AI1373" s="82"/>
      <c r="AJ1373" s="79"/>
      <c r="AK1373" s="78" t="str">
        <f aca="false">IF(E1373="","",(X1373&lt;&gt;"")+(AC1373&lt;&gt;"")+(AH1373&lt;&gt;""))</f>
        <v/>
      </c>
      <c r="AL1373" s="81" t="str">
        <f aca="false">IF(AH1373&lt;&gt;"",AH1373,IF(AC1373&lt;&gt;"",AC1373,IF(X1373&lt;&gt;"",X1373,"")))</f>
        <v/>
      </c>
      <c r="AM1373" s="83" t="str">
        <f aca="false">IF(E1373="","",IF(R1373="","À SOUDER",IF(U1373="","VT EN ATTENTE",IF(U1373="R","VT REJETÉ – À REPRENDRE",IF(AL1373="","À RADIOGRAPHIER",IF(AL1373="A","ACCEPTÉ",IF(AL1373="NX","NX – RT À REFAIRE",IF(IF(AK1373=1,Z1373,IF(AK1373=2,AE1373,""))="A","RÉPARÉ – À RADIOGRAPHIER",IF(IF(AK1373=1,Z1373,IF(AK1373=2,AE1373,""))="R","VT REJETÉ – À REPRENDRE",IF(OR(AL1373="CO",AL1373="NT"),"COUPE – À RESOUDER","À RÉPARER"))))))))))</f>
        <v/>
      </c>
      <c r="AN1373" s="81" t="str">
        <f aca="false">IF(AND(ISNUMBER(R1373),OR(AM1373="À RADIOGRAPHIER",AM1373="RÉPARÉ – À RADIOGRAPHIER",AM1373="NX – RT À REFAIRE",AM1373="À RÉPARER",AM1373="COUPE – À RESOUDER",AM1373="VT REJETÉ – À REPRENDRE")),MAX(0,'PROGRAMME RT'!$C$4-R1373),"")</f>
        <v/>
      </c>
      <c r="AO1373" s="78" t="n">
        <f aca="false">IF(AND(OR(AM1373="À RADIOGRAPHIER",AM1373="RÉPARÉ – À RADIOGRAPHIER",AM1373="NX – RT À REFAIRE"),OR('PROGRAMME RT'!$D$5="TOUTES",B1373='PROGRAMME RT'!$D$5)),1,0)</f>
        <v>0</v>
      </c>
      <c r="AP1373" s="78" t="str">
        <f aca="false">IF(AO1373=1,SUM(AO$7:AO1373),"")</f>
        <v/>
      </c>
      <c r="AQ1373" s="78" t="n">
        <f aca="false">IF(AND(OR(X1373="R",X1373="NX",X1373="NT",X1373="CO"),OR('JOINTS DE RÉPARATION'!$D$5="TOUTES",B1373='JOINTS DE RÉPARATION'!$D$5),OR('JOINTS DE RÉPARATION'!$L$4="TOUS",AM1373&lt;&gt;"ACCEPTÉ")),1,0)</f>
        <v>0</v>
      </c>
      <c r="AR1373" s="78" t="str">
        <f aca="false">IF(AQ1373=1,SUM(AQ$7:AQ1373),"")</f>
        <v/>
      </c>
    </row>
    <row r="1374" customFormat="false" ht="15" hidden="false" customHeight="false" outlineLevel="0" collapsed="false">
      <c r="A1374" s="78" t="str">
        <f aca="false">IF(E1374="","",ROW()-6)</f>
        <v/>
      </c>
      <c r="B1374" s="79"/>
      <c r="C1374" s="80"/>
      <c r="D1374" s="80"/>
      <c r="E1374" s="80"/>
      <c r="F1374" s="80"/>
      <c r="G1374" s="80"/>
      <c r="H1374" s="80"/>
      <c r="I1374" s="80"/>
      <c r="J1374" s="80"/>
      <c r="K1374" s="80"/>
      <c r="L1374" s="81" t="str">
        <f aca="false">IF(K1374="","",IFERROR(INDEX(BARDAGE!$C$7:$C$1506,MATCH(K1374,BARDAGE!$B$7:$B$1506,0)),"? hors registre"))</f>
        <v/>
      </c>
      <c r="M1374" s="80"/>
      <c r="N1374" s="81" t="str">
        <f aca="false">IF(M1374="","",IFERROR(INDEX(BARDAGE!$C$7:$C$1506,MATCH(M1374,BARDAGE!$B$7:$B$1506,0)),"? hors registre"))</f>
        <v/>
      </c>
      <c r="O1374" s="80"/>
      <c r="P1374" s="80"/>
      <c r="Q1374" s="80"/>
      <c r="R1374" s="82"/>
      <c r="S1374" s="82"/>
      <c r="T1374" s="80"/>
      <c r="U1374" s="80"/>
      <c r="V1374" s="82"/>
      <c r="W1374" s="80"/>
      <c r="X1374" s="80"/>
      <c r="Y1374" s="80"/>
      <c r="Z1374" s="80"/>
      <c r="AA1374" s="82"/>
      <c r="AB1374" s="80"/>
      <c r="AC1374" s="80"/>
      <c r="AD1374" s="80"/>
      <c r="AE1374" s="80"/>
      <c r="AF1374" s="82"/>
      <c r="AG1374" s="80"/>
      <c r="AH1374" s="80"/>
      <c r="AI1374" s="82"/>
      <c r="AJ1374" s="79"/>
      <c r="AK1374" s="78" t="str">
        <f aca="false">IF(E1374="","",(X1374&lt;&gt;"")+(AC1374&lt;&gt;"")+(AH1374&lt;&gt;""))</f>
        <v/>
      </c>
      <c r="AL1374" s="81" t="str">
        <f aca="false">IF(AH1374&lt;&gt;"",AH1374,IF(AC1374&lt;&gt;"",AC1374,IF(X1374&lt;&gt;"",X1374,"")))</f>
        <v/>
      </c>
      <c r="AM1374" s="83" t="str">
        <f aca="false">IF(E1374="","",IF(R1374="","À SOUDER",IF(U1374="","VT EN ATTENTE",IF(U1374="R","VT REJETÉ – À REPRENDRE",IF(AL1374="","À RADIOGRAPHIER",IF(AL1374="A","ACCEPTÉ",IF(AL1374="NX","NX – RT À REFAIRE",IF(IF(AK1374=1,Z1374,IF(AK1374=2,AE1374,""))="A","RÉPARÉ – À RADIOGRAPHIER",IF(IF(AK1374=1,Z1374,IF(AK1374=2,AE1374,""))="R","VT REJETÉ – À REPRENDRE",IF(OR(AL1374="CO",AL1374="NT"),"COUPE – À RESOUDER","À RÉPARER"))))))))))</f>
        <v/>
      </c>
      <c r="AN1374" s="81" t="str">
        <f aca="false">IF(AND(ISNUMBER(R1374),OR(AM1374="À RADIOGRAPHIER",AM1374="RÉPARÉ – À RADIOGRAPHIER",AM1374="NX – RT À REFAIRE",AM1374="À RÉPARER",AM1374="COUPE – À RESOUDER",AM1374="VT REJETÉ – À REPRENDRE")),MAX(0,'PROGRAMME RT'!$C$4-R1374),"")</f>
        <v/>
      </c>
      <c r="AO1374" s="78" t="n">
        <f aca="false">IF(AND(OR(AM1374="À RADIOGRAPHIER",AM1374="RÉPARÉ – À RADIOGRAPHIER",AM1374="NX – RT À REFAIRE"),OR('PROGRAMME RT'!$D$5="TOUTES",B1374='PROGRAMME RT'!$D$5)),1,0)</f>
        <v>0</v>
      </c>
      <c r="AP1374" s="78" t="str">
        <f aca="false">IF(AO1374=1,SUM(AO$7:AO1374),"")</f>
        <v/>
      </c>
      <c r="AQ1374" s="78" t="n">
        <f aca="false">IF(AND(OR(X1374="R",X1374="NX",X1374="NT",X1374="CO"),OR('JOINTS DE RÉPARATION'!$D$5="TOUTES",B1374='JOINTS DE RÉPARATION'!$D$5),OR('JOINTS DE RÉPARATION'!$L$4="TOUS",AM1374&lt;&gt;"ACCEPTÉ")),1,0)</f>
        <v>0</v>
      </c>
      <c r="AR1374" s="78" t="str">
        <f aca="false">IF(AQ1374=1,SUM(AQ$7:AQ1374),"")</f>
        <v/>
      </c>
    </row>
    <row r="1375" customFormat="false" ht="15" hidden="false" customHeight="false" outlineLevel="0" collapsed="false">
      <c r="A1375" s="78" t="str">
        <f aca="false">IF(E1375="","",ROW()-6)</f>
        <v/>
      </c>
      <c r="B1375" s="79"/>
      <c r="C1375" s="80"/>
      <c r="D1375" s="80"/>
      <c r="E1375" s="80"/>
      <c r="F1375" s="80"/>
      <c r="G1375" s="80"/>
      <c r="H1375" s="80"/>
      <c r="I1375" s="80"/>
      <c r="J1375" s="80"/>
      <c r="K1375" s="80"/>
      <c r="L1375" s="81" t="str">
        <f aca="false">IF(K1375="","",IFERROR(INDEX(BARDAGE!$C$7:$C$1506,MATCH(K1375,BARDAGE!$B$7:$B$1506,0)),"? hors registre"))</f>
        <v/>
      </c>
      <c r="M1375" s="80"/>
      <c r="N1375" s="81" t="str">
        <f aca="false">IF(M1375="","",IFERROR(INDEX(BARDAGE!$C$7:$C$1506,MATCH(M1375,BARDAGE!$B$7:$B$1506,0)),"? hors registre"))</f>
        <v/>
      </c>
      <c r="O1375" s="80"/>
      <c r="P1375" s="80"/>
      <c r="Q1375" s="80"/>
      <c r="R1375" s="82"/>
      <c r="S1375" s="82"/>
      <c r="T1375" s="80"/>
      <c r="U1375" s="80"/>
      <c r="V1375" s="82"/>
      <c r="W1375" s="80"/>
      <c r="X1375" s="80"/>
      <c r="Y1375" s="80"/>
      <c r="Z1375" s="80"/>
      <c r="AA1375" s="82"/>
      <c r="AB1375" s="80"/>
      <c r="AC1375" s="80"/>
      <c r="AD1375" s="80"/>
      <c r="AE1375" s="80"/>
      <c r="AF1375" s="82"/>
      <c r="AG1375" s="80"/>
      <c r="AH1375" s="80"/>
      <c r="AI1375" s="82"/>
      <c r="AJ1375" s="79"/>
      <c r="AK1375" s="78" t="str">
        <f aca="false">IF(E1375="","",(X1375&lt;&gt;"")+(AC1375&lt;&gt;"")+(AH1375&lt;&gt;""))</f>
        <v/>
      </c>
      <c r="AL1375" s="81" t="str">
        <f aca="false">IF(AH1375&lt;&gt;"",AH1375,IF(AC1375&lt;&gt;"",AC1375,IF(X1375&lt;&gt;"",X1375,"")))</f>
        <v/>
      </c>
      <c r="AM1375" s="83" t="str">
        <f aca="false">IF(E1375="","",IF(R1375="","À SOUDER",IF(U1375="","VT EN ATTENTE",IF(U1375="R","VT REJETÉ – À REPRENDRE",IF(AL1375="","À RADIOGRAPHIER",IF(AL1375="A","ACCEPTÉ",IF(AL1375="NX","NX – RT À REFAIRE",IF(IF(AK1375=1,Z1375,IF(AK1375=2,AE1375,""))="A","RÉPARÉ – À RADIOGRAPHIER",IF(IF(AK1375=1,Z1375,IF(AK1375=2,AE1375,""))="R","VT REJETÉ – À REPRENDRE",IF(OR(AL1375="CO",AL1375="NT"),"COUPE – À RESOUDER","À RÉPARER"))))))))))</f>
        <v/>
      </c>
      <c r="AN1375" s="81" t="str">
        <f aca="false">IF(AND(ISNUMBER(R1375),OR(AM1375="À RADIOGRAPHIER",AM1375="RÉPARÉ – À RADIOGRAPHIER",AM1375="NX – RT À REFAIRE",AM1375="À RÉPARER",AM1375="COUPE – À RESOUDER",AM1375="VT REJETÉ – À REPRENDRE")),MAX(0,'PROGRAMME RT'!$C$4-R1375),"")</f>
        <v/>
      </c>
      <c r="AO1375" s="78" t="n">
        <f aca="false">IF(AND(OR(AM1375="À RADIOGRAPHIER",AM1375="RÉPARÉ – À RADIOGRAPHIER",AM1375="NX – RT À REFAIRE"),OR('PROGRAMME RT'!$D$5="TOUTES",B1375='PROGRAMME RT'!$D$5)),1,0)</f>
        <v>0</v>
      </c>
      <c r="AP1375" s="78" t="str">
        <f aca="false">IF(AO1375=1,SUM(AO$7:AO1375),"")</f>
        <v/>
      </c>
      <c r="AQ1375" s="78" t="n">
        <f aca="false">IF(AND(OR(X1375="R",X1375="NX",X1375="NT",X1375="CO"),OR('JOINTS DE RÉPARATION'!$D$5="TOUTES",B1375='JOINTS DE RÉPARATION'!$D$5),OR('JOINTS DE RÉPARATION'!$L$4="TOUS",AM1375&lt;&gt;"ACCEPTÉ")),1,0)</f>
        <v>0</v>
      </c>
      <c r="AR1375" s="78" t="str">
        <f aca="false">IF(AQ1375=1,SUM(AQ$7:AQ1375),"")</f>
        <v/>
      </c>
    </row>
    <row r="1376" customFormat="false" ht="15" hidden="false" customHeight="false" outlineLevel="0" collapsed="false">
      <c r="A1376" s="78" t="str">
        <f aca="false">IF(E1376="","",ROW()-6)</f>
        <v/>
      </c>
      <c r="B1376" s="79"/>
      <c r="C1376" s="80"/>
      <c r="D1376" s="80"/>
      <c r="E1376" s="80"/>
      <c r="F1376" s="80"/>
      <c r="G1376" s="80"/>
      <c r="H1376" s="80"/>
      <c r="I1376" s="80"/>
      <c r="J1376" s="80"/>
      <c r="K1376" s="80"/>
      <c r="L1376" s="81" t="str">
        <f aca="false">IF(K1376="","",IFERROR(INDEX(BARDAGE!$C$7:$C$1506,MATCH(K1376,BARDAGE!$B$7:$B$1506,0)),"? hors registre"))</f>
        <v/>
      </c>
      <c r="M1376" s="80"/>
      <c r="N1376" s="81" t="str">
        <f aca="false">IF(M1376="","",IFERROR(INDEX(BARDAGE!$C$7:$C$1506,MATCH(M1376,BARDAGE!$B$7:$B$1506,0)),"? hors registre"))</f>
        <v/>
      </c>
      <c r="O1376" s="80"/>
      <c r="P1376" s="80"/>
      <c r="Q1376" s="80"/>
      <c r="R1376" s="82"/>
      <c r="S1376" s="82"/>
      <c r="T1376" s="80"/>
      <c r="U1376" s="80"/>
      <c r="V1376" s="82"/>
      <c r="W1376" s="80"/>
      <c r="X1376" s="80"/>
      <c r="Y1376" s="80"/>
      <c r="Z1376" s="80"/>
      <c r="AA1376" s="82"/>
      <c r="AB1376" s="80"/>
      <c r="AC1376" s="80"/>
      <c r="AD1376" s="80"/>
      <c r="AE1376" s="80"/>
      <c r="AF1376" s="82"/>
      <c r="AG1376" s="80"/>
      <c r="AH1376" s="80"/>
      <c r="AI1376" s="82"/>
      <c r="AJ1376" s="79"/>
      <c r="AK1376" s="78" t="str">
        <f aca="false">IF(E1376="","",(X1376&lt;&gt;"")+(AC1376&lt;&gt;"")+(AH1376&lt;&gt;""))</f>
        <v/>
      </c>
      <c r="AL1376" s="81" t="str">
        <f aca="false">IF(AH1376&lt;&gt;"",AH1376,IF(AC1376&lt;&gt;"",AC1376,IF(X1376&lt;&gt;"",X1376,"")))</f>
        <v/>
      </c>
      <c r="AM1376" s="83" t="str">
        <f aca="false">IF(E1376="","",IF(R1376="","À SOUDER",IF(U1376="","VT EN ATTENTE",IF(U1376="R","VT REJETÉ – À REPRENDRE",IF(AL1376="","À RADIOGRAPHIER",IF(AL1376="A","ACCEPTÉ",IF(AL1376="NX","NX – RT À REFAIRE",IF(IF(AK1376=1,Z1376,IF(AK1376=2,AE1376,""))="A","RÉPARÉ – À RADIOGRAPHIER",IF(IF(AK1376=1,Z1376,IF(AK1376=2,AE1376,""))="R","VT REJETÉ – À REPRENDRE",IF(OR(AL1376="CO",AL1376="NT"),"COUPE – À RESOUDER","À RÉPARER"))))))))))</f>
        <v/>
      </c>
      <c r="AN1376" s="81" t="str">
        <f aca="false">IF(AND(ISNUMBER(R1376),OR(AM1376="À RADIOGRAPHIER",AM1376="RÉPARÉ – À RADIOGRAPHIER",AM1376="NX – RT À REFAIRE",AM1376="À RÉPARER",AM1376="COUPE – À RESOUDER",AM1376="VT REJETÉ – À REPRENDRE")),MAX(0,'PROGRAMME RT'!$C$4-R1376),"")</f>
        <v/>
      </c>
      <c r="AO1376" s="78" t="n">
        <f aca="false">IF(AND(OR(AM1376="À RADIOGRAPHIER",AM1376="RÉPARÉ – À RADIOGRAPHIER",AM1376="NX – RT À REFAIRE"),OR('PROGRAMME RT'!$D$5="TOUTES",B1376='PROGRAMME RT'!$D$5)),1,0)</f>
        <v>0</v>
      </c>
      <c r="AP1376" s="78" t="str">
        <f aca="false">IF(AO1376=1,SUM(AO$7:AO1376),"")</f>
        <v/>
      </c>
      <c r="AQ1376" s="78" t="n">
        <f aca="false">IF(AND(OR(X1376="R",X1376="NX",X1376="NT",X1376="CO"),OR('JOINTS DE RÉPARATION'!$D$5="TOUTES",B1376='JOINTS DE RÉPARATION'!$D$5),OR('JOINTS DE RÉPARATION'!$L$4="TOUS",AM1376&lt;&gt;"ACCEPTÉ")),1,0)</f>
        <v>0</v>
      </c>
      <c r="AR1376" s="78" t="str">
        <f aca="false">IF(AQ1376=1,SUM(AQ$7:AQ1376),"")</f>
        <v/>
      </c>
    </row>
    <row r="1377" customFormat="false" ht="15" hidden="false" customHeight="false" outlineLevel="0" collapsed="false">
      <c r="A1377" s="78" t="str">
        <f aca="false">IF(E1377="","",ROW()-6)</f>
        <v/>
      </c>
      <c r="B1377" s="79"/>
      <c r="C1377" s="80"/>
      <c r="D1377" s="80"/>
      <c r="E1377" s="80"/>
      <c r="F1377" s="80"/>
      <c r="G1377" s="80"/>
      <c r="H1377" s="80"/>
      <c r="I1377" s="80"/>
      <c r="J1377" s="80"/>
      <c r="K1377" s="80"/>
      <c r="L1377" s="81" t="str">
        <f aca="false">IF(K1377="","",IFERROR(INDEX(BARDAGE!$C$7:$C$1506,MATCH(K1377,BARDAGE!$B$7:$B$1506,0)),"? hors registre"))</f>
        <v/>
      </c>
      <c r="M1377" s="80"/>
      <c r="N1377" s="81" t="str">
        <f aca="false">IF(M1377="","",IFERROR(INDEX(BARDAGE!$C$7:$C$1506,MATCH(M1377,BARDAGE!$B$7:$B$1506,0)),"? hors registre"))</f>
        <v/>
      </c>
      <c r="O1377" s="80"/>
      <c r="P1377" s="80"/>
      <c r="Q1377" s="80"/>
      <c r="R1377" s="82"/>
      <c r="S1377" s="82"/>
      <c r="T1377" s="80"/>
      <c r="U1377" s="80"/>
      <c r="V1377" s="82"/>
      <c r="W1377" s="80"/>
      <c r="X1377" s="80"/>
      <c r="Y1377" s="80"/>
      <c r="Z1377" s="80"/>
      <c r="AA1377" s="82"/>
      <c r="AB1377" s="80"/>
      <c r="AC1377" s="80"/>
      <c r="AD1377" s="80"/>
      <c r="AE1377" s="80"/>
      <c r="AF1377" s="82"/>
      <c r="AG1377" s="80"/>
      <c r="AH1377" s="80"/>
      <c r="AI1377" s="82"/>
      <c r="AJ1377" s="79"/>
      <c r="AK1377" s="78" t="str">
        <f aca="false">IF(E1377="","",(X1377&lt;&gt;"")+(AC1377&lt;&gt;"")+(AH1377&lt;&gt;""))</f>
        <v/>
      </c>
      <c r="AL1377" s="81" t="str">
        <f aca="false">IF(AH1377&lt;&gt;"",AH1377,IF(AC1377&lt;&gt;"",AC1377,IF(X1377&lt;&gt;"",X1377,"")))</f>
        <v/>
      </c>
      <c r="AM1377" s="83" t="str">
        <f aca="false">IF(E1377="","",IF(R1377="","À SOUDER",IF(U1377="","VT EN ATTENTE",IF(U1377="R","VT REJETÉ – À REPRENDRE",IF(AL1377="","À RADIOGRAPHIER",IF(AL1377="A","ACCEPTÉ",IF(AL1377="NX","NX – RT À REFAIRE",IF(IF(AK1377=1,Z1377,IF(AK1377=2,AE1377,""))="A","RÉPARÉ – À RADIOGRAPHIER",IF(IF(AK1377=1,Z1377,IF(AK1377=2,AE1377,""))="R","VT REJETÉ – À REPRENDRE",IF(OR(AL1377="CO",AL1377="NT"),"COUPE – À RESOUDER","À RÉPARER"))))))))))</f>
        <v/>
      </c>
      <c r="AN1377" s="81" t="str">
        <f aca="false">IF(AND(ISNUMBER(R1377),OR(AM1377="À RADIOGRAPHIER",AM1377="RÉPARÉ – À RADIOGRAPHIER",AM1377="NX – RT À REFAIRE",AM1377="À RÉPARER",AM1377="COUPE – À RESOUDER",AM1377="VT REJETÉ – À REPRENDRE")),MAX(0,'PROGRAMME RT'!$C$4-R1377),"")</f>
        <v/>
      </c>
      <c r="AO1377" s="78" t="n">
        <f aca="false">IF(AND(OR(AM1377="À RADIOGRAPHIER",AM1377="RÉPARÉ – À RADIOGRAPHIER",AM1377="NX – RT À REFAIRE"),OR('PROGRAMME RT'!$D$5="TOUTES",B1377='PROGRAMME RT'!$D$5)),1,0)</f>
        <v>0</v>
      </c>
      <c r="AP1377" s="78" t="str">
        <f aca="false">IF(AO1377=1,SUM(AO$7:AO1377),"")</f>
        <v/>
      </c>
      <c r="AQ1377" s="78" t="n">
        <f aca="false">IF(AND(OR(X1377="R",X1377="NX",X1377="NT",X1377="CO"),OR('JOINTS DE RÉPARATION'!$D$5="TOUTES",B1377='JOINTS DE RÉPARATION'!$D$5),OR('JOINTS DE RÉPARATION'!$L$4="TOUS",AM1377&lt;&gt;"ACCEPTÉ")),1,0)</f>
        <v>0</v>
      </c>
      <c r="AR1377" s="78" t="str">
        <f aca="false">IF(AQ1377=1,SUM(AQ$7:AQ1377),"")</f>
        <v/>
      </c>
    </row>
    <row r="1378" customFormat="false" ht="15" hidden="false" customHeight="false" outlineLevel="0" collapsed="false">
      <c r="A1378" s="78" t="str">
        <f aca="false">IF(E1378="","",ROW()-6)</f>
        <v/>
      </c>
      <c r="B1378" s="79"/>
      <c r="C1378" s="80"/>
      <c r="D1378" s="80"/>
      <c r="E1378" s="80"/>
      <c r="F1378" s="80"/>
      <c r="G1378" s="80"/>
      <c r="H1378" s="80"/>
      <c r="I1378" s="80"/>
      <c r="J1378" s="80"/>
      <c r="K1378" s="80"/>
      <c r="L1378" s="81" t="str">
        <f aca="false">IF(K1378="","",IFERROR(INDEX(BARDAGE!$C$7:$C$1506,MATCH(K1378,BARDAGE!$B$7:$B$1506,0)),"? hors registre"))</f>
        <v/>
      </c>
      <c r="M1378" s="80"/>
      <c r="N1378" s="81" t="str">
        <f aca="false">IF(M1378="","",IFERROR(INDEX(BARDAGE!$C$7:$C$1506,MATCH(M1378,BARDAGE!$B$7:$B$1506,0)),"? hors registre"))</f>
        <v/>
      </c>
      <c r="O1378" s="80"/>
      <c r="P1378" s="80"/>
      <c r="Q1378" s="80"/>
      <c r="R1378" s="82"/>
      <c r="S1378" s="82"/>
      <c r="T1378" s="80"/>
      <c r="U1378" s="80"/>
      <c r="V1378" s="82"/>
      <c r="W1378" s="80"/>
      <c r="X1378" s="80"/>
      <c r="Y1378" s="80"/>
      <c r="Z1378" s="80"/>
      <c r="AA1378" s="82"/>
      <c r="AB1378" s="80"/>
      <c r="AC1378" s="80"/>
      <c r="AD1378" s="80"/>
      <c r="AE1378" s="80"/>
      <c r="AF1378" s="82"/>
      <c r="AG1378" s="80"/>
      <c r="AH1378" s="80"/>
      <c r="AI1378" s="82"/>
      <c r="AJ1378" s="79"/>
      <c r="AK1378" s="78" t="str">
        <f aca="false">IF(E1378="","",(X1378&lt;&gt;"")+(AC1378&lt;&gt;"")+(AH1378&lt;&gt;""))</f>
        <v/>
      </c>
      <c r="AL1378" s="81" t="str">
        <f aca="false">IF(AH1378&lt;&gt;"",AH1378,IF(AC1378&lt;&gt;"",AC1378,IF(X1378&lt;&gt;"",X1378,"")))</f>
        <v/>
      </c>
      <c r="AM1378" s="83" t="str">
        <f aca="false">IF(E1378="","",IF(R1378="","À SOUDER",IF(U1378="","VT EN ATTENTE",IF(U1378="R","VT REJETÉ – À REPRENDRE",IF(AL1378="","À RADIOGRAPHIER",IF(AL1378="A","ACCEPTÉ",IF(AL1378="NX","NX – RT À REFAIRE",IF(IF(AK1378=1,Z1378,IF(AK1378=2,AE1378,""))="A","RÉPARÉ – À RADIOGRAPHIER",IF(IF(AK1378=1,Z1378,IF(AK1378=2,AE1378,""))="R","VT REJETÉ – À REPRENDRE",IF(OR(AL1378="CO",AL1378="NT"),"COUPE – À RESOUDER","À RÉPARER"))))))))))</f>
        <v/>
      </c>
      <c r="AN1378" s="81" t="str">
        <f aca="false">IF(AND(ISNUMBER(R1378),OR(AM1378="À RADIOGRAPHIER",AM1378="RÉPARÉ – À RADIOGRAPHIER",AM1378="NX – RT À REFAIRE",AM1378="À RÉPARER",AM1378="COUPE – À RESOUDER",AM1378="VT REJETÉ – À REPRENDRE")),MAX(0,'PROGRAMME RT'!$C$4-R1378),"")</f>
        <v/>
      </c>
      <c r="AO1378" s="78" t="n">
        <f aca="false">IF(AND(OR(AM1378="À RADIOGRAPHIER",AM1378="RÉPARÉ – À RADIOGRAPHIER",AM1378="NX – RT À REFAIRE"),OR('PROGRAMME RT'!$D$5="TOUTES",B1378='PROGRAMME RT'!$D$5)),1,0)</f>
        <v>0</v>
      </c>
      <c r="AP1378" s="78" t="str">
        <f aca="false">IF(AO1378=1,SUM(AO$7:AO1378),"")</f>
        <v/>
      </c>
      <c r="AQ1378" s="78" t="n">
        <f aca="false">IF(AND(OR(X1378="R",X1378="NX",X1378="NT",X1378="CO"),OR('JOINTS DE RÉPARATION'!$D$5="TOUTES",B1378='JOINTS DE RÉPARATION'!$D$5),OR('JOINTS DE RÉPARATION'!$L$4="TOUS",AM1378&lt;&gt;"ACCEPTÉ")),1,0)</f>
        <v>0</v>
      </c>
      <c r="AR1378" s="78" t="str">
        <f aca="false">IF(AQ1378=1,SUM(AQ$7:AQ1378),"")</f>
        <v/>
      </c>
    </row>
    <row r="1379" customFormat="false" ht="15" hidden="false" customHeight="false" outlineLevel="0" collapsed="false">
      <c r="A1379" s="78" t="str">
        <f aca="false">IF(E1379="","",ROW()-6)</f>
        <v/>
      </c>
      <c r="B1379" s="79"/>
      <c r="C1379" s="80"/>
      <c r="D1379" s="80"/>
      <c r="E1379" s="80"/>
      <c r="F1379" s="80"/>
      <c r="G1379" s="80"/>
      <c r="H1379" s="80"/>
      <c r="I1379" s="80"/>
      <c r="J1379" s="80"/>
      <c r="K1379" s="80"/>
      <c r="L1379" s="81" t="str">
        <f aca="false">IF(K1379="","",IFERROR(INDEX(BARDAGE!$C$7:$C$1506,MATCH(K1379,BARDAGE!$B$7:$B$1506,0)),"? hors registre"))</f>
        <v/>
      </c>
      <c r="M1379" s="80"/>
      <c r="N1379" s="81" t="str">
        <f aca="false">IF(M1379="","",IFERROR(INDEX(BARDAGE!$C$7:$C$1506,MATCH(M1379,BARDAGE!$B$7:$B$1506,0)),"? hors registre"))</f>
        <v/>
      </c>
      <c r="O1379" s="80"/>
      <c r="P1379" s="80"/>
      <c r="Q1379" s="80"/>
      <c r="R1379" s="82"/>
      <c r="S1379" s="82"/>
      <c r="T1379" s="80"/>
      <c r="U1379" s="80"/>
      <c r="V1379" s="82"/>
      <c r="W1379" s="80"/>
      <c r="X1379" s="80"/>
      <c r="Y1379" s="80"/>
      <c r="Z1379" s="80"/>
      <c r="AA1379" s="82"/>
      <c r="AB1379" s="80"/>
      <c r="AC1379" s="80"/>
      <c r="AD1379" s="80"/>
      <c r="AE1379" s="80"/>
      <c r="AF1379" s="82"/>
      <c r="AG1379" s="80"/>
      <c r="AH1379" s="80"/>
      <c r="AI1379" s="82"/>
      <c r="AJ1379" s="79"/>
      <c r="AK1379" s="78" t="str">
        <f aca="false">IF(E1379="","",(X1379&lt;&gt;"")+(AC1379&lt;&gt;"")+(AH1379&lt;&gt;""))</f>
        <v/>
      </c>
      <c r="AL1379" s="81" t="str">
        <f aca="false">IF(AH1379&lt;&gt;"",AH1379,IF(AC1379&lt;&gt;"",AC1379,IF(X1379&lt;&gt;"",X1379,"")))</f>
        <v/>
      </c>
      <c r="AM1379" s="83" t="str">
        <f aca="false">IF(E1379="","",IF(R1379="","À SOUDER",IF(U1379="","VT EN ATTENTE",IF(U1379="R","VT REJETÉ – À REPRENDRE",IF(AL1379="","À RADIOGRAPHIER",IF(AL1379="A","ACCEPTÉ",IF(AL1379="NX","NX – RT À REFAIRE",IF(IF(AK1379=1,Z1379,IF(AK1379=2,AE1379,""))="A","RÉPARÉ – À RADIOGRAPHIER",IF(IF(AK1379=1,Z1379,IF(AK1379=2,AE1379,""))="R","VT REJETÉ – À REPRENDRE",IF(OR(AL1379="CO",AL1379="NT"),"COUPE – À RESOUDER","À RÉPARER"))))))))))</f>
        <v/>
      </c>
      <c r="AN1379" s="81" t="str">
        <f aca="false">IF(AND(ISNUMBER(R1379),OR(AM1379="À RADIOGRAPHIER",AM1379="RÉPARÉ – À RADIOGRAPHIER",AM1379="NX – RT À REFAIRE",AM1379="À RÉPARER",AM1379="COUPE – À RESOUDER",AM1379="VT REJETÉ – À REPRENDRE")),MAX(0,'PROGRAMME RT'!$C$4-R1379),"")</f>
        <v/>
      </c>
      <c r="AO1379" s="78" t="n">
        <f aca="false">IF(AND(OR(AM1379="À RADIOGRAPHIER",AM1379="RÉPARÉ – À RADIOGRAPHIER",AM1379="NX – RT À REFAIRE"),OR('PROGRAMME RT'!$D$5="TOUTES",B1379='PROGRAMME RT'!$D$5)),1,0)</f>
        <v>0</v>
      </c>
      <c r="AP1379" s="78" t="str">
        <f aca="false">IF(AO1379=1,SUM(AO$7:AO1379),"")</f>
        <v/>
      </c>
      <c r="AQ1379" s="78" t="n">
        <f aca="false">IF(AND(OR(X1379="R",X1379="NX",X1379="NT",X1379="CO"),OR('JOINTS DE RÉPARATION'!$D$5="TOUTES",B1379='JOINTS DE RÉPARATION'!$D$5),OR('JOINTS DE RÉPARATION'!$L$4="TOUS",AM1379&lt;&gt;"ACCEPTÉ")),1,0)</f>
        <v>0</v>
      </c>
      <c r="AR1379" s="78" t="str">
        <f aca="false">IF(AQ1379=1,SUM(AQ$7:AQ1379),"")</f>
        <v/>
      </c>
    </row>
    <row r="1380" customFormat="false" ht="15" hidden="false" customHeight="false" outlineLevel="0" collapsed="false">
      <c r="A1380" s="78" t="str">
        <f aca="false">IF(E1380="","",ROW()-6)</f>
        <v/>
      </c>
      <c r="B1380" s="79"/>
      <c r="C1380" s="80"/>
      <c r="D1380" s="80"/>
      <c r="E1380" s="80"/>
      <c r="F1380" s="80"/>
      <c r="G1380" s="80"/>
      <c r="H1380" s="80"/>
      <c r="I1380" s="80"/>
      <c r="J1380" s="80"/>
      <c r="K1380" s="80"/>
      <c r="L1380" s="81" t="str">
        <f aca="false">IF(K1380="","",IFERROR(INDEX(BARDAGE!$C$7:$C$1506,MATCH(K1380,BARDAGE!$B$7:$B$1506,0)),"? hors registre"))</f>
        <v/>
      </c>
      <c r="M1380" s="80"/>
      <c r="N1380" s="81" t="str">
        <f aca="false">IF(M1380="","",IFERROR(INDEX(BARDAGE!$C$7:$C$1506,MATCH(M1380,BARDAGE!$B$7:$B$1506,0)),"? hors registre"))</f>
        <v/>
      </c>
      <c r="O1380" s="80"/>
      <c r="P1380" s="80"/>
      <c r="Q1380" s="80"/>
      <c r="R1380" s="82"/>
      <c r="S1380" s="82"/>
      <c r="T1380" s="80"/>
      <c r="U1380" s="80"/>
      <c r="V1380" s="82"/>
      <c r="W1380" s="80"/>
      <c r="X1380" s="80"/>
      <c r="Y1380" s="80"/>
      <c r="Z1380" s="80"/>
      <c r="AA1380" s="82"/>
      <c r="AB1380" s="80"/>
      <c r="AC1380" s="80"/>
      <c r="AD1380" s="80"/>
      <c r="AE1380" s="80"/>
      <c r="AF1380" s="82"/>
      <c r="AG1380" s="80"/>
      <c r="AH1380" s="80"/>
      <c r="AI1380" s="82"/>
      <c r="AJ1380" s="79"/>
      <c r="AK1380" s="78" t="str">
        <f aca="false">IF(E1380="","",(X1380&lt;&gt;"")+(AC1380&lt;&gt;"")+(AH1380&lt;&gt;""))</f>
        <v/>
      </c>
      <c r="AL1380" s="81" t="str">
        <f aca="false">IF(AH1380&lt;&gt;"",AH1380,IF(AC1380&lt;&gt;"",AC1380,IF(X1380&lt;&gt;"",X1380,"")))</f>
        <v/>
      </c>
      <c r="AM1380" s="83" t="str">
        <f aca="false">IF(E1380="","",IF(R1380="","À SOUDER",IF(U1380="","VT EN ATTENTE",IF(U1380="R","VT REJETÉ – À REPRENDRE",IF(AL1380="","À RADIOGRAPHIER",IF(AL1380="A","ACCEPTÉ",IF(AL1380="NX","NX – RT À REFAIRE",IF(IF(AK1380=1,Z1380,IF(AK1380=2,AE1380,""))="A","RÉPARÉ – À RADIOGRAPHIER",IF(IF(AK1380=1,Z1380,IF(AK1380=2,AE1380,""))="R","VT REJETÉ – À REPRENDRE",IF(OR(AL1380="CO",AL1380="NT"),"COUPE – À RESOUDER","À RÉPARER"))))))))))</f>
        <v/>
      </c>
      <c r="AN1380" s="81" t="str">
        <f aca="false">IF(AND(ISNUMBER(R1380),OR(AM1380="À RADIOGRAPHIER",AM1380="RÉPARÉ – À RADIOGRAPHIER",AM1380="NX – RT À REFAIRE",AM1380="À RÉPARER",AM1380="COUPE – À RESOUDER",AM1380="VT REJETÉ – À REPRENDRE")),MAX(0,'PROGRAMME RT'!$C$4-R1380),"")</f>
        <v/>
      </c>
      <c r="AO1380" s="78" t="n">
        <f aca="false">IF(AND(OR(AM1380="À RADIOGRAPHIER",AM1380="RÉPARÉ – À RADIOGRAPHIER",AM1380="NX – RT À REFAIRE"),OR('PROGRAMME RT'!$D$5="TOUTES",B1380='PROGRAMME RT'!$D$5)),1,0)</f>
        <v>0</v>
      </c>
      <c r="AP1380" s="78" t="str">
        <f aca="false">IF(AO1380=1,SUM(AO$7:AO1380),"")</f>
        <v/>
      </c>
      <c r="AQ1380" s="78" t="n">
        <f aca="false">IF(AND(OR(X1380="R",X1380="NX",X1380="NT",X1380="CO"),OR('JOINTS DE RÉPARATION'!$D$5="TOUTES",B1380='JOINTS DE RÉPARATION'!$D$5),OR('JOINTS DE RÉPARATION'!$L$4="TOUS",AM1380&lt;&gt;"ACCEPTÉ")),1,0)</f>
        <v>0</v>
      </c>
      <c r="AR1380" s="78" t="str">
        <f aca="false">IF(AQ1380=1,SUM(AQ$7:AQ1380),"")</f>
        <v/>
      </c>
    </row>
    <row r="1381" customFormat="false" ht="15" hidden="false" customHeight="false" outlineLevel="0" collapsed="false">
      <c r="A1381" s="78" t="str">
        <f aca="false">IF(E1381="","",ROW()-6)</f>
        <v/>
      </c>
      <c r="B1381" s="79"/>
      <c r="C1381" s="80"/>
      <c r="D1381" s="80"/>
      <c r="E1381" s="80"/>
      <c r="F1381" s="80"/>
      <c r="G1381" s="80"/>
      <c r="H1381" s="80"/>
      <c r="I1381" s="80"/>
      <c r="J1381" s="80"/>
      <c r="K1381" s="80"/>
      <c r="L1381" s="81" t="str">
        <f aca="false">IF(K1381="","",IFERROR(INDEX(BARDAGE!$C$7:$C$1506,MATCH(K1381,BARDAGE!$B$7:$B$1506,0)),"? hors registre"))</f>
        <v/>
      </c>
      <c r="M1381" s="80"/>
      <c r="N1381" s="81" t="str">
        <f aca="false">IF(M1381="","",IFERROR(INDEX(BARDAGE!$C$7:$C$1506,MATCH(M1381,BARDAGE!$B$7:$B$1506,0)),"? hors registre"))</f>
        <v/>
      </c>
      <c r="O1381" s="80"/>
      <c r="P1381" s="80"/>
      <c r="Q1381" s="80"/>
      <c r="R1381" s="82"/>
      <c r="S1381" s="82"/>
      <c r="T1381" s="80"/>
      <c r="U1381" s="80"/>
      <c r="V1381" s="82"/>
      <c r="W1381" s="80"/>
      <c r="X1381" s="80"/>
      <c r="Y1381" s="80"/>
      <c r="Z1381" s="80"/>
      <c r="AA1381" s="82"/>
      <c r="AB1381" s="80"/>
      <c r="AC1381" s="80"/>
      <c r="AD1381" s="80"/>
      <c r="AE1381" s="80"/>
      <c r="AF1381" s="82"/>
      <c r="AG1381" s="80"/>
      <c r="AH1381" s="80"/>
      <c r="AI1381" s="82"/>
      <c r="AJ1381" s="79"/>
      <c r="AK1381" s="78" t="str">
        <f aca="false">IF(E1381="","",(X1381&lt;&gt;"")+(AC1381&lt;&gt;"")+(AH1381&lt;&gt;""))</f>
        <v/>
      </c>
      <c r="AL1381" s="81" t="str">
        <f aca="false">IF(AH1381&lt;&gt;"",AH1381,IF(AC1381&lt;&gt;"",AC1381,IF(X1381&lt;&gt;"",X1381,"")))</f>
        <v/>
      </c>
      <c r="AM1381" s="83" t="str">
        <f aca="false">IF(E1381="","",IF(R1381="","À SOUDER",IF(U1381="","VT EN ATTENTE",IF(U1381="R","VT REJETÉ – À REPRENDRE",IF(AL1381="","À RADIOGRAPHIER",IF(AL1381="A","ACCEPTÉ",IF(AL1381="NX","NX – RT À REFAIRE",IF(IF(AK1381=1,Z1381,IF(AK1381=2,AE1381,""))="A","RÉPARÉ – À RADIOGRAPHIER",IF(IF(AK1381=1,Z1381,IF(AK1381=2,AE1381,""))="R","VT REJETÉ – À REPRENDRE",IF(OR(AL1381="CO",AL1381="NT"),"COUPE – À RESOUDER","À RÉPARER"))))))))))</f>
        <v/>
      </c>
      <c r="AN1381" s="81" t="str">
        <f aca="false">IF(AND(ISNUMBER(R1381),OR(AM1381="À RADIOGRAPHIER",AM1381="RÉPARÉ – À RADIOGRAPHIER",AM1381="NX – RT À REFAIRE",AM1381="À RÉPARER",AM1381="COUPE – À RESOUDER",AM1381="VT REJETÉ – À REPRENDRE")),MAX(0,'PROGRAMME RT'!$C$4-R1381),"")</f>
        <v/>
      </c>
      <c r="AO1381" s="78" t="n">
        <f aca="false">IF(AND(OR(AM1381="À RADIOGRAPHIER",AM1381="RÉPARÉ – À RADIOGRAPHIER",AM1381="NX – RT À REFAIRE"),OR('PROGRAMME RT'!$D$5="TOUTES",B1381='PROGRAMME RT'!$D$5)),1,0)</f>
        <v>0</v>
      </c>
      <c r="AP1381" s="78" t="str">
        <f aca="false">IF(AO1381=1,SUM(AO$7:AO1381),"")</f>
        <v/>
      </c>
      <c r="AQ1381" s="78" t="n">
        <f aca="false">IF(AND(OR(X1381="R",X1381="NX",X1381="NT",X1381="CO"),OR('JOINTS DE RÉPARATION'!$D$5="TOUTES",B1381='JOINTS DE RÉPARATION'!$D$5),OR('JOINTS DE RÉPARATION'!$L$4="TOUS",AM1381&lt;&gt;"ACCEPTÉ")),1,0)</f>
        <v>0</v>
      </c>
      <c r="AR1381" s="78" t="str">
        <f aca="false">IF(AQ1381=1,SUM(AQ$7:AQ1381),"")</f>
        <v/>
      </c>
    </row>
    <row r="1382" customFormat="false" ht="15" hidden="false" customHeight="false" outlineLevel="0" collapsed="false">
      <c r="A1382" s="78" t="str">
        <f aca="false">IF(E1382="","",ROW()-6)</f>
        <v/>
      </c>
      <c r="B1382" s="79"/>
      <c r="C1382" s="80"/>
      <c r="D1382" s="80"/>
      <c r="E1382" s="80"/>
      <c r="F1382" s="80"/>
      <c r="G1382" s="80"/>
      <c r="H1382" s="80"/>
      <c r="I1382" s="80"/>
      <c r="J1382" s="80"/>
      <c r="K1382" s="80"/>
      <c r="L1382" s="81" t="str">
        <f aca="false">IF(K1382="","",IFERROR(INDEX(BARDAGE!$C$7:$C$1506,MATCH(K1382,BARDAGE!$B$7:$B$1506,0)),"? hors registre"))</f>
        <v/>
      </c>
      <c r="M1382" s="80"/>
      <c r="N1382" s="81" t="str">
        <f aca="false">IF(M1382="","",IFERROR(INDEX(BARDAGE!$C$7:$C$1506,MATCH(M1382,BARDAGE!$B$7:$B$1506,0)),"? hors registre"))</f>
        <v/>
      </c>
      <c r="O1382" s="80"/>
      <c r="P1382" s="80"/>
      <c r="Q1382" s="80"/>
      <c r="R1382" s="82"/>
      <c r="S1382" s="82"/>
      <c r="T1382" s="80"/>
      <c r="U1382" s="80"/>
      <c r="V1382" s="82"/>
      <c r="W1382" s="80"/>
      <c r="X1382" s="80"/>
      <c r="Y1382" s="80"/>
      <c r="Z1382" s="80"/>
      <c r="AA1382" s="82"/>
      <c r="AB1382" s="80"/>
      <c r="AC1382" s="80"/>
      <c r="AD1382" s="80"/>
      <c r="AE1382" s="80"/>
      <c r="AF1382" s="82"/>
      <c r="AG1382" s="80"/>
      <c r="AH1382" s="80"/>
      <c r="AI1382" s="82"/>
      <c r="AJ1382" s="79"/>
      <c r="AK1382" s="78" t="str">
        <f aca="false">IF(E1382="","",(X1382&lt;&gt;"")+(AC1382&lt;&gt;"")+(AH1382&lt;&gt;""))</f>
        <v/>
      </c>
      <c r="AL1382" s="81" t="str">
        <f aca="false">IF(AH1382&lt;&gt;"",AH1382,IF(AC1382&lt;&gt;"",AC1382,IF(X1382&lt;&gt;"",X1382,"")))</f>
        <v/>
      </c>
      <c r="AM1382" s="83" t="str">
        <f aca="false">IF(E1382="","",IF(R1382="","À SOUDER",IF(U1382="","VT EN ATTENTE",IF(U1382="R","VT REJETÉ – À REPRENDRE",IF(AL1382="","À RADIOGRAPHIER",IF(AL1382="A","ACCEPTÉ",IF(AL1382="NX","NX – RT À REFAIRE",IF(IF(AK1382=1,Z1382,IF(AK1382=2,AE1382,""))="A","RÉPARÉ – À RADIOGRAPHIER",IF(IF(AK1382=1,Z1382,IF(AK1382=2,AE1382,""))="R","VT REJETÉ – À REPRENDRE",IF(OR(AL1382="CO",AL1382="NT"),"COUPE – À RESOUDER","À RÉPARER"))))))))))</f>
        <v/>
      </c>
      <c r="AN1382" s="81" t="str">
        <f aca="false">IF(AND(ISNUMBER(R1382),OR(AM1382="À RADIOGRAPHIER",AM1382="RÉPARÉ – À RADIOGRAPHIER",AM1382="NX – RT À REFAIRE",AM1382="À RÉPARER",AM1382="COUPE – À RESOUDER",AM1382="VT REJETÉ – À REPRENDRE")),MAX(0,'PROGRAMME RT'!$C$4-R1382),"")</f>
        <v/>
      </c>
      <c r="AO1382" s="78" t="n">
        <f aca="false">IF(AND(OR(AM1382="À RADIOGRAPHIER",AM1382="RÉPARÉ – À RADIOGRAPHIER",AM1382="NX – RT À REFAIRE"),OR('PROGRAMME RT'!$D$5="TOUTES",B1382='PROGRAMME RT'!$D$5)),1,0)</f>
        <v>0</v>
      </c>
      <c r="AP1382" s="78" t="str">
        <f aca="false">IF(AO1382=1,SUM(AO$7:AO1382),"")</f>
        <v/>
      </c>
      <c r="AQ1382" s="78" t="n">
        <f aca="false">IF(AND(OR(X1382="R",X1382="NX",X1382="NT",X1382="CO"),OR('JOINTS DE RÉPARATION'!$D$5="TOUTES",B1382='JOINTS DE RÉPARATION'!$D$5),OR('JOINTS DE RÉPARATION'!$L$4="TOUS",AM1382&lt;&gt;"ACCEPTÉ")),1,0)</f>
        <v>0</v>
      </c>
      <c r="AR1382" s="78" t="str">
        <f aca="false">IF(AQ1382=1,SUM(AQ$7:AQ1382),"")</f>
        <v/>
      </c>
    </row>
    <row r="1383" customFormat="false" ht="15" hidden="false" customHeight="false" outlineLevel="0" collapsed="false">
      <c r="A1383" s="78" t="str">
        <f aca="false">IF(E1383="","",ROW()-6)</f>
        <v/>
      </c>
      <c r="B1383" s="79"/>
      <c r="C1383" s="80"/>
      <c r="D1383" s="80"/>
      <c r="E1383" s="80"/>
      <c r="F1383" s="80"/>
      <c r="G1383" s="80"/>
      <c r="H1383" s="80"/>
      <c r="I1383" s="80"/>
      <c r="J1383" s="80"/>
      <c r="K1383" s="80"/>
      <c r="L1383" s="81" t="str">
        <f aca="false">IF(K1383="","",IFERROR(INDEX(BARDAGE!$C$7:$C$1506,MATCH(K1383,BARDAGE!$B$7:$B$1506,0)),"? hors registre"))</f>
        <v/>
      </c>
      <c r="M1383" s="80"/>
      <c r="N1383" s="81" t="str">
        <f aca="false">IF(M1383="","",IFERROR(INDEX(BARDAGE!$C$7:$C$1506,MATCH(M1383,BARDAGE!$B$7:$B$1506,0)),"? hors registre"))</f>
        <v/>
      </c>
      <c r="O1383" s="80"/>
      <c r="P1383" s="80"/>
      <c r="Q1383" s="80"/>
      <c r="R1383" s="82"/>
      <c r="S1383" s="82"/>
      <c r="T1383" s="80"/>
      <c r="U1383" s="80"/>
      <c r="V1383" s="82"/>
      <c r="W1383" s="80"/>
      <c r="X1383" s="80"/>
      <c r="Y1383" s="80"/>
      <c r="Z1383" s="80"/>
      <c r="AA1383" s="82"/>
      <c r="AB1383" s="80"/>
      <c r="AC1383" s="80"/>
      <c r="AD1383" s="80"/>
      <c r="AE1383" s="80"/>
      <c r="AF1383" s="82"/>
      <c r="AG1383" s="80"/>
      <c r="AH1383" s="80"/>
      <c r="AI1383" s="82"/>
      <c r="AJ1383" s="79"/>
      <c r="AK1383" s="78" t="str">
        <f aca="false">IF(E1383="","",(X1383&lt;&gt;"")+(AC1383&lt;&gt;"")+(AH1383&lt;&gt;""))</f>
        <v/>
      </c>
      <c r="AL1383" s="81" t="str">
        <f aca="false">IF(AH1383&lt;&gt;"",AH1383,IF(AC1383&lt;&gt;"",AC1383,IF(X1383&lt;&gt;"",X1383,"")))</f>
        <v/>
      </c>
      <c r="AM1383" s="83" t="str">
        <f aca="false">IF(E1383="","",IF(R1383="","À SOUDER",IF(U1383="","VT EN ATTENTE",IF(U1383="R","VT REJETÉ – À REPRENDRE",IF(AL1383="","À RADIOGRAPHIER",IF(AL1383="A","ACCEPTÉ",IF(AL1383="NX","NX – RT À REFAIRE",IF(IF(AK1383=1,Z1383,IF(AK1383=2,AE1383,""))="A","RÉPARÉ – À RADIOGRAPHIER",IF(IF(AK1383=1,Z1383,IF(AK1383=2,AE1383,""))="R","VT REJETÉ – À REPRENDRE",IF(OR(AL1383="CO",AL1383="NT"),"COUPE – À RESOUDER","À RÉPARER"))))))))))</f>
        <v/>
      </c>
      <c r="AN1383" s="81" t="str">
        <f aca="false">IF(AND(ISNUMBER(R1383),OR(AM1383="À RADIOGRAPHIER",AM1383="RÉPARÉ – À RADIOGRAPHIER",AM1383="NX – RT À REFAIRE",AM1383="À RÉPARER",AM1383="COUPE – À RESOUDER",AM1383="VT REJETÉ – À REPRENDRE")),MAX(0,'PROGRAMME RT'!$C$4-R1383),"")</f>
        <v/>
      </c>
      <c r="AO1383" s="78" t="n">
        <f aca="false">IF(AND(OR(AM1383="À RADIOGRAPHIER",AM1383="RÉPARÉ – À RADIOGRAPHIER",AM1383="NX – RT À REFAIRE"),OR('PROGRAMME RT'!$D$5="TOUTES",B1383='PROGRAMME RT'!$D$5)),1,0)</f>
        <v>0</v>
      </c>
      <c r="AP1383" s="78" t="str">
        <f aca="false">IF(AO1383=1,SUM(AO$7:AO1383),"")</f>
        <v/>
      </c>
      <c r="AQ1383" s="78" t="n">
        <f aca="false">IF(AND(OR(X1383="R",X1383="NX",X1383="NT",X1383="CO"),OR('JOINTS DE RÉPARATION'!$D$5="TOUTES",B1383='JOINTS DE RÉPARATION'!$D$5),OR('JOINTS DE RÉPARATION'!$L$4="TOUS",AM1383&lt;&gt;"ACCEPTÉ")),1,0)</f>
        <v>0</v>
      </c>
      <c r="AR1383" s="78" t="str">
        <f aca="false">IF(AQ1383=1,SUM(AQ$7:AQ1383),"")</f>
        <v/>
      </c>
    </row>
    <row r="1384" customFormat="false" ht="15" hidden="false" customHeight="false" outlineLevel="0" collapsed="false">
      <c r="A1384" s="78" t="str">
        <f aca="false">IF(E1384="","",ROW()-6)</f>
        <v/>
      </c>
      <c r="B1384" s="79"/>
      <c r="C1384" s="80"/>
      <c r="D1384" s="80"/>
      <c r="E1384" s="80"/>
      <c r="F1384" s="80"/>
      <c r="G1384" s="80"/>
      <c r="H1384" s="80"/>
      <c r="I1384" s="80"/>
      <c r="J1384" s="80"/>
      <c r="K1384" s="80"/>
      <c r="L1384" s="81" t="str">
        <f aca="false">IF(K1384="","",IFERROR(INDEX(BARDAGE!$C$7:$C$1506,MATCH(K1384,BARDAGE!$B$7:$B$1506,0)),"? hors registre"))</f>
        <v/>
      </c>
      <c r="M1384" s="80"/>
      <c r="N1384" s="81" t="str">
        <f aca="false">IF(M1384="","",IFERROR(INDEX(BARDAGE!$C$7:$C$1506,MATCH(M1384,BARDAGE!$B$7:$B$1506,0)),"? hors registre"))</f>
        <v/>
      </c>
      <c r="O1384" s="80"/>
      <c r="P1384" s="80"/>
      <c r="Q1384" s="80"/>
      <c r="R1384" s="82"/>
      <c r="S1384" s="82"/>
      <c r="T1384" s="80"/>
      <c r="U1384" s="80"/>
      <c r="V1384" s="82"/>
      <c r="W1384" s="80"/>
      <c r="X1384" s="80"/>
      <c r="Y1384" s="80"/>
      <c r="Z1384" s="80"/>
      <c r="AA1384" s="82"/>
      <c r="AB1384" s="80"/>
      <c r="AC1384" s="80"/>
      <c r="AD1384" s="80"/>
      <c r="AE1384" s="80"/>
      <c r="AF1384" s="82"/>
      <c r="AG1384" s="80"/>
      <c r="AH1384" s="80"/>
      <c r="AI1384" s="82"/>
      <c r="AJ1384" s="79"/>
      <c r="AK1384" s="78" t="str">
        <f aca="false">IF(E1384="","",(X1384&lt;&gt;"")+(AC1384&lt;&gt;"")+(AH1384&lt;&gt;""))</f>
        <v/>
      </c>
      <c r="AL1384" s="81" t="str">
        <f aca="false">IF(AH1384&lt;&gt;"",AH1384,IF(AC1384&lt;&gt;"",AC1384,IF(X1384&lt;&gt;"",X1384,"")))</f>
        <v/>
      </c>
      <c r="AM1384" s="83" t="str">
        <f aca="false">IF(E1384="","",IF(R1384="","À SOUDER",IF(U1384="","VT EN ATTENTE",IF(U1384="R","VT REJETÉ – À REPRENDRE",IF(AL1384="","À RADIOGRAPHIER",IF(AL1384="A","ACCEPTÉ",IF(AL1384="NX","NX – RT À REFAIRE",IF(IF(AK1384=1,Z1384,IF(AK1384=2,AE1384,""))="A","RÉPARÉ – À RADIOGRAPHIER",IF(IF(AK1384=1,Z1384,IF(AK1384=2,AE1384,""))="R","VT REJETÉ – À REPRENDRE",IF(OR(AL1384="CO",AL1384="NT"),"COUPE – À RESOUDER","À RÉPARER"))))))))))</f>
        <v/>
      </c>
      <c r="AN1384" s="81" t="str">
        <f aca="false">IF(AND(ISNUMBER(R1384),OR(AM1384="À RADIOGRAPHIER",AM1384="RÉPARÉ – À RADIOGRAPHIER",AM1384="NX – RT À REFAIRE",AM1384="À RÉPARER",AM1384="COUPE – À RESOUDER",AM1384="VT REJETÉ – À REPRENDRE")),MAX(0,'PROGRAMME RT'!$C$4-R1384),"")</f>
        <v/>
      </c>
      <c r="AO1384" s="78" t="n">
        <f aca="false">IF(AND(OR(AM1384="À RADIOGRAPHIER",AM1384="RÉPARÉ – À RADIOGRAPHIER",AM1384="NX – RT À REFAIRE"),OR('PROGRAMME RT'!$D$5="TOUTES",B1384='PROGRAMME RT'!$D$5)),1,0)</f>
        <v>0</v>
      </c>
      <c r="AP1384" s="78" t="str">
        <f aca="false">IF(AO1384=1,SUM(AO$7:AO1384),"")</f>
        <v/>
      </c>
      <c r="AQ1384" s="78" t="n">
        <f aca="false">IF(AND(OR(X1384="R",X1384="NX",X1384="NT",X1384="CO"),OR('JOINTS DE RÉPARATION'!$D$5="TOUTES",B1384='JOINTS DE RÉPARATION'!$D$5),OR('JOINTS DE RÉPARATION'!$L$4="TOUS",AM1384&lt;&gt;"ACCEPTÉ")),1,0)</f>
        <v>0</v>
      </c>
      <c r="AR1384" s="78" t="str">
        <f aca="false">IF(AQ1384=1,SUM(AQ$7:AQ1384),"")</f>
        <v/>
      </c>
    </row>
    <row r="1385" customFormat="false" ht="15" hidden="false" customHeight="false" outlineLevel="0" collapsed="false">
      <c r="A1385" s="78" t="str">
        <f aca="false">IF(E1385="","",ROW()-6)</f>
        <v/>
      </c>
      <c r="B1385" s="79"/>
      <c r="C1385" s="80"/>
      <c r="D1385" s="80"/>
      <c r="E1385" s="80"/>
      <c r="F1385" s="80"/>
      <c r="G1385" s="80"/>
      <c r="H1385" s="80"/>
      <c r="I1385" s="80"/>
      <c r="J1385" s="80"/>
      <c r="K1385" s="80"/>
      <c r="L1385" s="81" t="str">
        <f aca="false">IF(K1385="","",IFERROR(INDEX(BARDAGE!$C$7:$C$1506,MATCH(K1385,BARDAGE!$B$7:$B$1506,0)),"? hors registre"))</f>
        <v/>
      </c>
      <c r="M1385" s="80"/>
      <c r="N1385" s="81" t="str">
        <f aca="false">IF(M1385="","",IFERROR(INDEX(BARDAGE!$C$7:$C$1506,MATCH(M1385,BARDAGE!$B$7:$B$1506,0)),"? hors registre"))</f>
        <v/>
      </c>
      <c r="O1385" s="80"/>
      <c r="P1385" s="80"/>
      <c r="Q1385" s="80"/>
      <c r="R1385" s="82"/>
      <c r="S1385" s="82"/>
      <c r="T1385" s="80"/>
      <c r="U1385" s="80"/>
      <c r="V1385" s="82"/>
      <c r="W1385" s="80"/>
      <c r="X1385" s="80"/>
      <c r="Y1385" s="80"/>
      <c r="Z1385" s="80"/>
      <c r="AA1385" s="82"/>
      <c r="AB1385" s="80"/>
      <c r="AC1385" s="80"/>
      <c r="AD1385" s="80"/>
      <c r="AE1385" s="80"/>
      <c r="AF1385" s="82"/>
      <c r="AG1385" s="80"/>
      <c r="AH1385" s="80"/>
      <c r="AI1385" s="82"/>
      <c r="AJ1385" s="79"/>
      <c r="AK1385" s="78" t="str">
        <f aca="false">IF(E1385="","",(X1385&lt;&gt;"")+(AC1385&lt;&gt;"")+(AH1385&lt;&gt;""))</f>
        <v/>
      </c>
      <c r="AL1385" s="81" t="str">
        <f aca="false">IF(AH1385&lt;&gt;"",AH1385,IF(AC1385&lt;&gt;"",AC1385,IF(X1385&lt;&gt;"",X1385,"")))</f>
        <v/>
      </c>
      <c r="AM1385" s="83" t="str">
        <f aca="false">IF(E1385="","",IF(R1385="","À SOUDER",IF(U1385="","VT EN ATTENTE",IF(U1385="R","VT REJETÉ – À REPRENDRE",IF(AL1385="","À RADIOGRAPHIER",IF(AL1385="A","ACCEPTÉ",IF(AL1385="NX","NX – RT À REFAIRE",IF(IF(AK1385=1,Z1385,IF(AK1385=2,AE1385,""))="A","RÉPARÉ – À RADIOGRAPHIER",IF(IF(AK1385=1,Z1385,IF(AK1385=2,AE1385,""))="R","VT REJETÉ – À REPRENDRE",IF(OR(AL1385="CO",AL1385="NT"),"COUPE – À RESOUDER","À RÉPARER"))))))))))</f>
        <v/>
      </c>
      <c r="AN1385" s="81" t="str">
        <f aca="false">IF(AND(ISNUMBER(R1385),OR(AM1385="À RADIOGRAPHIER",AM1385="RÉPARÉ – À RADIOGRAPHIER",AM1385="NX – RT À REFAIRE",AM1385="À RÉPARER",AM1385="COUPE – À RESOUDER",AM1385="VT REJETÉ – À REPRENDRE")),MAX(0,'PROGRAMME RT'!$C$4-R1385),"")</f>
        <v/>
      </c>
      <c r="AO1385" s="78" t="n">
        <f aca="false">IF(AND(OR(AM1385="À RADIOGRAPHIER",AM1385="RÉPARÉ – À RADIOGRAPHIER",AM1385="NX – RT À REFAIRE"),OR('PROGRAMME RT'!$D$5="TOUTES",B1385='PROGRAMME RT'!$D$5)),1,0)</f>
        <v>0</v>
      </c>
      <c r="AP1385" s="78" t="str">
        <f aca="false">IF(AO1385=1,SUM(AO$7:AO1385),"")</f>
        <v/>
      </c>
      <c r="AQ1385" s="78" t="n">
        <f aca="false">IF(AND(OR(X1385="R",X1385="NX",X1385="NT",X1385="CO"),OR('JOINTS DE RÉPARATION'!$D$5="TOUTES",B1385='JOINTS DE RÉPARATION'!$D$5),OR('JOINTS DE RÉPARATION'!$L$4="TOUS",AM1385&lt;&gt;"ACCEPTÉ")),1,0)</f>
        <v>0</v>
      </c>
      <c r="AR1385" s="78" t="str">
        <f aca="false">IF(AQ1385=1,SUM(AQ$7:AQ1385),"")</f>
        <v/>
      </c>
    </row>
    <row r="1386" customFormat="false" ht="15" hidden="false" customHeight="false" outlineLevel="0" collapsed="false">
      <c r="A1386" s="78" t="str">
        <f aca="false">IF(E1386="","",ROW()-6)</f>
        <v/>
      </c>
      <c r="B1386" s="79"/>
      <c r="C1386" s="80"/>
      <c r="D1386" s="80"/>
      <c r="E1386" s="80"/>
      <c r="F1386" s="80"/>
      <c r="G1386" s="80"/>
      <c r="H1386" s="80"/>
      <c r="I1386" s="80"/>
      <c r="J1386" s="80"/>
      <c r="K1386" s="80"/>
      <c r="L1386" s="81" t="str">
        <f aca="false">IF(K1386="","",IFERROR(INDEX(BARDAGE!$C$7:$C$1506,MATCH(K1386,BARDAGE!$B$7:$B$1506,0)),"? hors registre"))</f>
        <v/>
      </c>
      <c r="M1386" s="80"/>
      <c r="N1386" s="81" t="str">
        <f aca="false">IF(M1386="","",IFERROR(INDEX(BARDAGE!$C$7:$C$1506,MATCH(M1386,BARDAGE!$B$7:$B$1506,0)),"? hors registre"))</f>
        <v/>
      </c>
      <c r="O1386" s="80"/>
      <c r="P1386" s="80"/>
      <c r="Q1386" s="80"/>
      <c r="R1386" s="82"/>
      <c r="S1386" s="82"/>
      <c r="T1386" s="80"/>
      <c r="U1386" s="80"/>
      <c r="V1386" s="82"/>
      <c r="W1386" s="80"/>
      <c r="X1386" s="80"/>
      <c r="Y1386" s="80"/>
      <c r="Z1386" s="80"/>
      <c r="AA1386" s="82"/>
      <c r="AB1386" s="80"/>
      <c r="AC1386" s="80"/>
      <c r="AD1386" s="80"/>
      <c r="AE1386" s="80"/>
      <c r="AF1386" s="82"/>
      <c r="AG1386" s="80"/>
      <c r="AH1386" s="80"/>
      <c r="AI1386" s="82"/>
      <c r="AJ1386" s="79"/>
      <c r="AK1386" s="78" t="str">
        <f aca="false">IF(E1386="","",(X1386&lt;&gt;"")+(AC1386&lt;&gt;"")+(AH1386&lt;&gt;""))</f>
        <v/>
      </c>
      <c r="AL1386" s="81" t="str">
        <f aca="false">IF(AH1386&lt;&gt;"",AH1386,IF(AC1386&lt;&gt;"",AC1386,IF(X1386&lt;&gt;"",X1386,"")))</f>
        <v/>
      </c>
      <c r="AM1386" s="83" t="str">
        <f aca="false">IF(E1386="","",IF(R1386="","À SOUDER",IF(U1386="","VT EN ATTENTE",IF(U1386="R","VT REJETÉ – À REPRENDRE",IF(AL1386="","À RADIOGRAPHIER",IF(AL1386="A","ACCEPTÉ",IF(AL1386="NX","NX – RT À REFAIRE",IF(IF(AK1386=1,Z1386,IF(AK1386=2,AE1386,""))="A","RÉPARÉ – À RADIOGRAPHIER",IF(IF(AK1386=1,Z1386,IF(AK1386=2,AE1386,""))="R","VT REJETÉ – À REPRENDRE",IF(OR(AL1386="CO",AL1386="NT"),"COUPE – À RESOUDER","À RÉPARER"))))))))))</f>
        <v/>
      </c>
      <c r="AN1386" s="81" t="str">
        <f aca="false">IF(AND(ISNUMBER(R1386),OR(AM1386="À RADIOGRAPHIER",AM1386="RÉPARÉ – À RADIOGRAPHIER",AM1386="NX – RT À REFAIRE",AM1386="À RÉPARER",AM1386="COUPE – À RESOUDER",AM1386="VT REJETÉ – À REPRENDRE")),MAX(0,'PROGRAMME RT'!$C$4-R1386),"")</f>
        <v/>
      </c>
      <c r="AO1386" s="78" t="n">
        <f aca="false">IF(AND(OR(AM1386="À RADIOGRAPHIER",AM1386="RÉPARÉ – À RADIOGRAPHIER",AM1386="NX – RT À REFAIRE"),OR('PROGRAMME RT'!$D$5="TOUTES",B1386='PROGRAMME RT'!$D$5)),1,0)</f>
        <v>0</v>
      </c>
      <c r="AP1386" s="78" t="str">
        <f aca="false">IF(AO1386=1,SUM(AO$7:AO1386),"")</f>
        <v/>
      </c>
      <c r="AQ1386" s="78" t="n">
        <f aca="false">IF(AND(OR(X1386="R",X1386="NX",X1386="NT",X1386="CO"),OR('JOINTS DE RÉPARATION'!$D$5="TOUTES",B1386='JOINTS DE RÉPARATION'!$D$5),OR('JOINTS DE RÉPARATION'!$L$4="TOUS",AM1386&lt;&gt;"ACCEPTÉ")),1,0)</f>
        <v>0</v>
      </c>
      <c r="AR1386" s="78" t="str">
        <f aca="false">IF(AQ1386=1,SUM(AQ$7:AQ1386),"")</f>
        <v/>
      </c>
    </row>
    <row r="1387" customFormat="false" ht="15" hidden="false" customHeight="false" outlineLevel="0" collapsed="false">
      <c r="A1387" s="78" t="str">
        <f aca="false">IF(E1387="","",ROW()-6)</f>
        <v/>
      </c>
      <c r="B1387" s="79"/>
      <c r="C1387" s="80"/>
      <c r="D1387" s="80"/>
      <c r="E1387" s="80"/>
      <c r="F1387" s="80"/>
      <c r="G1387" s="80"/>
      <c r="H1387" s="80"/>
      <c r="I1387" s="80"/>
      <c r="J1387" s="80"/>
      <c r="K1387" s="80"/>
      <c r="L1387" s="81" t="str">
        <f aca="false">IF(K1387="","",IFERROR(INDEX(BARDAGE!$C$7:$C$1506,MATCH(K1387,BARDAGE!$B$7:$B$1506,0)),"? hors registre"))</f>
        <v/>
      </c>
      <c r="M1387" s="80"/>
      <c r="N1387" s="81" t="str">
        <f aca="false">IF(M1387="","",IFERROR(INDEX(BARDAGE!$C$7:$C$1506,MATCH(M1387,BARDAGE!$B$7:$B$1506,0)),"? hors registre"))</f>
        <v/>
      </c>
      <c r="O1387" s="80"/>
      <c r="P1387" s="80"/>
      <c r="Q1387" s="80"/>
      <c r="R1387" s="82"/>
      <c r="S1387" s="82"/>
      <c r="T1387" s="80"/>
      <c r="U1387" s="80"/>
      <c r="V1387" s="82"/>
      <c r="W1387" s="80"/>
      <c r="X1387" s="80"/>
      <c r="Y1387" s="80"/>
      <c r="Z1387" s="80"/>
      <c r="AA1387" s="82"/>
      <c r="AB1387" s="80"/>
      <c r="AC1387" s="80"/>
      <c r="AD1387" s="80"/>
      <c r="AE1387" s="80"/>
      <c r="AF1387" s="82"/>
      <c r="AG1387" s="80"/>
      <c r="AH1387" s="80"/>
      <c r="AI1387" s="82"/>
      <c r="AJ1387" s="79"/>
      <c r="AK1387" s="78" t="str">
        <f aca="false">IF(E1387="","",(X1387&lt;&gt;"")+(AC1387&lt;&gt;"")+(AH1387&lt;&gt;""))</f>
        <v/>
      </c>
      <c r="AL1387" s="81" t="str">
        <f aca="false">IF(AH1387&lt;&gt;"",AH1387,IF(AC1387&lt;&gt;"",AC1387,IF(X1387&lt;&gt;"",X1387,"")))</f>
        <v/>
      </c>
      <c r="AM1387" s="83" t="str">
        <f aca="false">IF(E1387="","",IF(R1387="","À SOUDER",IF(U1387="","VT EN ATTENTE",IF(U1387="R","VT REJETÉ – À REPRENDRE",IF(AL1387="","À RADIOGRAPHIER",IF(AL1387="A","ACCEPTÉ",IF(AL1387="NX","NX – RT À REFAIRE",IF(IF(AK1387=1,Z1387,IF(AK1387=2,AE1387,""))="A","RÉPARÉ – À RADIOGRAPHIER",IF(IF(AK1387=1,Z1387,IF(AK1387=2,AE1387,""))="R","VT REJETÉ – À REPRENDRE",IF(OR(AL1387="CO",AL1387="NT"),"COUPE – À RESOUDER","À RÉPARER"))))))))))</f>
        <v/>
      </c>
      <c r="AN1387" s="81" t="str">
        <f aca="false">IF(AND(ISNUMBER(R1387),OR(AM1387="À RADIOGRAPHIER",AM1387="RÉPARÉ – À RADIOGRAPHIER",AM1387="NX – RT À REFAIRE",AM1387="À RÉPARER",AM1387="COUPE – À RESOUDER",AM1387="VT REJETÉ – À REPRENDRE")),MAX(0,'PROGRAMME RT'!$C$4-R1387),"")</f>
        <v/>
      </c>
      <c r="AO1387" s="78" t="n">
        <f aca="false">IF(AND(OR(AM1387="À RADIOGRAPHIER",AM1387="RÉPARÉ – À RADIOGRAPHIER",AM1387="NX – RT À REFAIRE"),OR('PROGRAMME RT'!$D$5="TOUTES",B1387='PROGRAMME RT'!$D$5)),1,0)</f>
        <v>0</v>
      </c>
      <c r="AP1387" s="78" t="str">
        <f aca="false">IF(AO1387=1,SUM(AO$7:AO1387),"")</f>
        <v/>
      </c>
      <c r="AQ1387" s="78" t="n">
        <f aca="false">IF(AND(OR(X1387="R",X1387="NX",X1387="NT",X1387="CO"),OR('JOINTS DE RÉPARATION'!$D$5="TOUTES",B1387='JOINTS DE RÉPARATION'!$D$5),OR('JOINTS DE RÉPARATION'!$L$4="TOUS",AM1387&lt;&gt;"ACCEPTÉ")),1,0)</f>
        <v>0</v>
      </c>
      <c r="AR1387" s="78" t="str">
        <f aca="false">IF(AQ1387=1,SUM(AQ$7:AQ1387),"")</f>
        <v/>
      </c>
    </row>
    <row r="1388" customFormat="false" ht="15" hidden="false" customHeight="false" outlineLevel="0" collapsed="false">
      <c r="A1388" s="78" t="str">
        <f aca="false">IF(E1388="","",ROW()-6)</f>
        <v/>
      </c>
      <c r="B1388" s="79"/>
      <c r="C1388" s="80"/>
      <c r="D1388" s="80"/>
      <c r="E1388" s="80"/>
      <c r="F1388" s="80"/>
      <c r="G1388" s="80"/>
      <c r="H1388" s="80"/>
      <c r="I1388" s="80"/>
      <c r="J1388" s="80"/>
      <c r="K1388" s="80"/>
      <c r="L1388" s="81" t="str">
        <f aca="false">IF(K1388="","",IFERROR(INDEX(BARDAGE!$C$7:$C$1506,MATCH(K1388,BARDAGE!$B$7:$B$1506,0)),"? hors registre"))</f>
        <v/>
      </c>
      <c r="M1388" s="80"/>
      <c r="N1388" s="81" t="str">
        <f aca="false">IF(M1388="","",IFERROR(INDEX(BARDAGE!$C$7:$C$1506,MATCH(M1388,BARDAGE!$B$7:$B$1506,0)),"? hors registre"))</f>
        <v/>
      </c>
      <c r="O1388" s="80"/>
      <c r="P1388" s="80"/>
      <c r="Q1388" s="80"/>
      <c r="R1388" s="82"/>
      <c r="S1388" s="82"/>
      <c r="T1388" s="80"/>
      <c r="U1388" s="80"/>
      <c r="V1388" s="82"/>
      <c r="W1388" s="80"/>
      <c r="X1388" s="80"/>
      <c r="Y1388" s="80"/>
      <c r="Z1388" s="80"/>
      <c r="AA1388" s="82"/>
      <c r="AB1388" s="80"/>
      <c r="AC1388" s="80"/>
      <c r="AD1388" s="80"/>
      <c r="AE1388" s="80"/>
      <c r="AF1388" s="82"/>
      <c r="AG1388" s="80"/>
      <c r="AH1388" s="80"/>
      <c r="AI1388" s="82"/>
      <c r="AJ1388" s="79"/>
      <c r="AK1388" s="78" t="str">
        <f aca="false">IF(E1388="","",(X1388&lt;&gt;"")+(AC1388&lt;&gt;"")+(AH1388&lt;&gt;""))</f>
        <v/>
      </c>
      <c r="AL1388" s="81" t="str">
        <f aca="false">IF(AH1388&lt;&gt;"",AH1388,IF(AC1388&lt;&gt;"",AC1388,IF(X1388&lt;&gt;"",X1388,"")))</f>
        <v/>
      </c>
      <c r="AM1388" s="83" t="str">
        <f aca="false">IF(E1388="","",IF(R1388="","À SOUDER",IF(U1388="","VT EN ATTENTE",IF(U1388="R","VT REJETÉ – À REPRENDRE",IF(AL1388="","À RADIOGRAPHIER",IF(AL1388="A","ACCEPTÉ",IF(AL1388="NX","NX – RT À REFAIRE",IF(IF(AK1388=1,Z1388,IF(AK1388=2,AE1388,""))="A","RÉPARÉ – À RADIOGRAPHIER",IF(IF(AK1388=1,Z1388,IF(AK1388=2,AE1388,""))="R","VT REJETÉ – À REPRENDRE",IF(OR(AL1388="CO",AL1388="NT"),"COUPE – À RESOUDER","À RÉPARER"))))))))))</f>
        <v/>
      </c>
      <c r="AN1388" s="81" t="str">
        <f aca="false">IF(AND(ISNUMBER(R1388),OR(AM1388="À RADIOGRAPHIER",AM1388="RÉPARÉ – À RADIOGRAPHIER",AM1388="NX – RT À REFAIRE",AM1388="À RÉPARER",AM1388="COUPE – À RESOUDER",AM1388="VT REJETÉ – À REPRENDRE")),MAX(0,'PROGRAMME RT'!$C$4-R1388),"")</f>
        <v/>
      </c>
      <c r="AO1388" s="78" t="n">
        <f aca="false">IF(AND(OR(AM1388="À RADIOGRAPHIER",AM1388="RÉPARÉ – À RADIOGRAPHIER",AM1388="NX – RT À REFAIRE"),OR('PROGRAMME RT'!$D$5="TOUTES",B1388='PROGRAMME RT'!$D$5)),1,0)</f>
        <v>0</v>
      </c>
      <c r="AP1388" s="78" t="str">
        <f aca="false">IF(AO1388=1,SUM(AO$7:AO1388),"")</f>
        <v/>
      </c>
      <c r="AQ1388" s="78" t="n">
        <f aca="false">IF(AND(OR(X1388="R",X1388="NX",X1388="NT",X1388="CO"),OR('JOINTS DE RÉPARATION'!$D$5="TOUTES",B1388='JOINTS DE RÉPARATION'!$D$5),OR('JOINTS DE RÉPARATION'!$L$4="TOUS",AM1388&lt;&gt;"ACCEPTÉ")),1,0)</f>
        <v>0</v>
      </c>
      <c r="AR1388" s="78" t="str">
        <f aca="false">IF(AQ1388=1,SUM(AQ$7:AQ1388),"")</f>
        <v/>
      </c>
    </row>
    <row r="1389" customFormat="false" ht="15" hidden="false" customHeight="false" outlineLevel="0" collapsed="false">
      <c r="A1389" s="78" t="str">
        <f aca="false">IF(E1389="","",ROW()-6)</f>
        <v/>
      </c>
      <c r="B1389" s="79"/>
      <c r="C1389" s="80"/>
      <c r="D1389" s="80"/>
      <c r="E1389" s="80"/>
      <c r="F1389" s="80"/>
      <c r="G1389" s="80"/>
      <c r="H1389" s="80"/>
      <c r="I1389" s="80"/>
      <c r="J1389" s="80"/>
      <c r="K1389" s="80"/>
      <c r="L1389" s="81" t="str">
        <f aca="false">IF(K1389="","",IFERROR(INDEX(BARDAGE!$C$7:$C$1506,MATCH(K1389,BARDAGE!$B$7:$B$1506,0)),"? hors registre"))</f>
        <v/>
      </c>
      <c r="M1389" s="80"/>
      <c r="N1389" s="81" t="str">
        <f aca="false">IF(M1389="","",IFERROR(INDEX(BARDAGE!$C$7:$C$1506,MATCH(M1389,BARDAGE!$B$7:$B$1506,0)),"? hors registre"))</f>
        <v/>
      </c>
      <c r="O1389" s="80"/>
      <c r="P1389" s="80"/>
      <c r="Q1389" s="80"/>
      <c r="R1389" s="82"/>
      <c r="S1389" s="82"/>
      <c r="T1389" s="80"/>
      <c r="U1389" s="80"/>
      <c r="V1389" s="82"/>
      <c r="W1389" s="80"/>
      <c r="X1389" s="80"/>
      <c r="Y1389" s="80"/>
      <c r="Z1389" s="80"/>
      <c r="AA1389" s="82"/>
      <c r="AB1389" s="80"/>
      <c r="AC1389" s="80"/>
      <c r="AD1389" s="80"/>
      <c r="AE1389" s="80"/>
      <c r="AF1389" s="82"/>
      <c r="AG1389" s="80"/>
      <c r="AH1389" s="80"/>
      <c r="AI1389" s="82"/>
      <c r="AJ1389" s="79"/>
      <c r="AK1389" s="78" t="str">
        <f aca="false">IF(E1389="","",(X1389&lt;&gt;"")+(AC1389&lt;&gt;"")+(AH1389&lt;&gt;""))</f>
        <v/>
      </c>
      <c r="AL1389" s="81" t="str">
        <f aca="false">IF(AH1389&lt;&gt;"",AH1389,IF(AC1389&lt;&gt;"",AC1389,IF(X1389&lt;&gt;"",X1389,"")))</f>
        <v/>
      </c>
      <c r="AM1389" s="83" t="str">
        <f aca="false">IF(E1389="","",IF(R1389="","À SOUDER",IF(U1389="","VT EN ATTENTE",IF(U1389="R","VT REJETÉ – À REPRENDRE",IF(AL1389="","À RADIOGRAPHIER",IF(AL1389="A","ACCEPTÉ",IF(AL1389="NX","NX – RT À REFAIRE",IF(IF(AK1389=1,Z1389,IF(AK1389=2,AE1389,""))="A","RÉPARÉ – À RADIOGRAPHIER",IF(IF(AK1389=1,Z1389,IF(AK1389=2,AE1389,""))="R","VT REJETÉ – À REPRENDRE",IF(OR(AL1389="CO",AL1389="NT"),"COUPE – À RESOUDER","À RÉPARER"))))))))))</f>
        <v/>
      </c>
      <c r="AN1389" s="81" t="str">
        <f aca="false">IF(AND(ISNUMBER(R1389),OR(AM1389="À RADIOGRAPHIER",AM1389="RÉPARÉ – À RADIOGRAPHIER",AM1389="NX – RT À REFAIRE",AM1389="À RÉPARER",AM1389="COUPE – À RESOUDER",AM1389="VT REJETÉ – À REPRENDRE")),MAX(0,'PROGRAMME RT'!$C$4-R1389),"")</f>
        <v/>
      </c>
      <c r="AO1389" s="78" t="n">
        <f aca="false">IF(AND(OR(AM1389="À RADIOGRAPHIER",AM1389="RÉPARÉ – À RADIOGRAPHIER",AM1389="NX – RT À REFAIRE"),OR('PROGRAMME RT'!$D$5="TOUTES",B1389='PROGRAMME RT'!$D$5)),1,0)</f>
        <v>0</v>
      </c>
      <c r="AP1389" s="78" t="str">
        <f aca="false">IF(AO1389=1,SUM(AO$7:AO1389),"")</f>
        <v/>
      </c>
      <c r="AQ1389" s="78" t="n">
        <f aca="false">IF(AND(OR(X1389="R",X1389="NX",X1389="NT",X1389="CO"),OR('JOINTS DE RÉPARATION'!$D$5="TOUTES",B1389='JOINTS DE RÉPARATION'!$D$5),OR('JOINTS DE RÉPARATION'!$L$4="TOUS",AM1389&lt;&gt;"ACCEPTÉ")),1,0)</f>
        <v>0</v>
      </c>
      <c r="AR1389" s="78" t="str">
        <f aca="false">IF(AQ1389=1,SUM(AQ$7:AQ1389),"")</f>
        <v/>
      </c>
    </row>
    <row r="1390" customFormat="false" ht="15" hidden="false" customHeight="false" outlineLevel="0" collapsed="false">
      <c r="A1390" s="78" t="str">
        <f aca="false">IF(E1390="","",ROW()-6)</f>
        <v/>
      </c>
      <c r="B1390" s="79"/>
      <c r="C1390" s="80"/>
      <c r="D1390" s="80"/>
      <c r="E1390" s="80"/>
      <c r="F1390" s="80"/>
      <c r="G1390" s="80"/>
      <c r="H1390" s="80"/>
      <c r="I1390" s="80"/>
      <c r="J1390" s="80"/>
      <c r="K1390" s="80"/>
      <c r="L1390" s="81" t="str">
        <f aca="false">IF(K1390="","",IFERROR(INDEX(BARDAGE!$C$7:$C$1506,MATCH(K1390,BARDAGE!$B$7:$B$1506,0)),"? hors registre"))</f>
        <v/>
      </c>
      <c r="M1390" s="80"/>
      <c r="N1390" s="81" t="str">
        <f aca="false">IF(M1390="","",IFERROR(INDEX(BARDAGE!$C$7:$C$1506,MATCH(M1390,BARDAGE!$B$7:$B$1506,0)),"? hors registre"))</f>
        <v/>
      </c>
      <c r="O1390" s="80"/>
      <c r="P1390" s="80"/>
      <c r="Q1390" s="80"/>
      <c r="R1390" s="82"/>
      <c r="S1390" s="82"/>
      <c r="T1390" s="80"/>
      <c r="U1390" s="80"/>
      <c r="V1390" s="82"/>
      <c r="W1390" s="80"/>
      <c r="X1390" s="80"/>
      <c r="Y1390" s="80"/>
      <c r="Z1390" s="80"/>
      <c r="AA1390" s="82"/>
      <c r="AB1390" s="80"/>
      <c r="AC1390" s="80"/>
      <c r="AD1390" s="80"/>
      <c r="AE1390" s="80"/>
      <c r="AF1390" s="82"/>
      <c r="AG1390" s="80"/>
      <c r="AH1390" s="80"/>
      <c r="AI1390" s="82"/>
      <c r="AJ1390" s="79"/>
      <c r="AK1390" s="78" t="str">
        <f aca="false">IF(E1390="","",(X1390&lt;&gt;"")+(AC1390&lt;&gt;"")+(AH1390&lt;&gt;""))</f>
        <v/>
      </c>
      <c r="AL1390" s="81" t="str">
        <f aca="false">IF(AH1390&lt;&gt;"",AH1390,IF(AC1390&lt;&gt;"",AC1390,IF(X1390&lt;&gt;"",X1390,"")))</f>
        <v/>
      </c>
      <c r="AM1390" s="83" t="str">
        <f aca="false">IF(E1390="","",IF(R1390="","À SOUDER",IF(U1390="","VT EN ATTENTE",IF(U1390="R","VT REJETÉ – À REPRENDRE",IF(AL1390="","À RADIOGRAPHIER",IF(AL1390="A","ACCEPTÉ",IF(AL1390="NX","NX – RT À REFAIRE",IF(IF(AK1390=1,Z1390,IF(AK1390=2,AE1390,""))="A","RÉPARÉ – À RADIOGRAPHIER",IF(IF(AK1390=1,Z1390,IF(AK1390=2,AE1390,""))="R","VT REJETÉ – À REPRENDRE",IF(OR(AL1390="CO",AL1390="NT"),"COUPE – À RESOUDER","À RÉPARER"))))))))))</f>
        <v/>
      </c>
      <c r="AN1390" s="81" t="str">
        <f aca="false">IF(AND(ISNUMBER(R1390),OR(AM1390="À RADIOGRAPHIER",AM1390="RÉPARÉ – À RADIOGRAPHIER",AM1390="NX – RT À REFAIRE",AM1390="À RÉPARER",AM1390="COUPE – À RESOUDER",AM1390="VT REJETÉ – À REPRENDRE")),MAX(0,'PROGRAMME RT'!$C$4-R1390),"")</f>
        <v/>
      </c>
      <c r="AO1390" s="78" t="n">
        <f aca="false">IF(AND(OR(AM1390="À RADIOGRAPHIER",AM1390="RÉPARÉ – À RADIOGRAPHIER",AM1390="NX – RT À REFAIRE"),OR('PROGRAMME RT'!$D$5="TOUTES",B1390='PROGRAMME RT'!$D$5)),1,0)</f>
        <v>0</v>
      </c>
      <c r="AP1390" s="78" t="str">
        <f aca="false">IF(AO1390=1,SUM(AO$7:AO1390),"")</f>
        <v/>
      </c>
      <c r="AQ1390" s="78" t="n">
        <f aca="false">IF(AND(OR(X1390="R",X1390="NX",X1390="NT",X1390="CO"),OR('JOINTS DE RÉPARATION'!$D$5="TOUTES",B1390='JOINTS DE RÉPARATION'!$D$5),OR('JOINTS DE RÉPARATION'!$L$4="TOUS",AM1390&lt;&gt;"ACCEPTÉ")),1,0)</f>
        <v>0</v>
      </c>
      <c r="AR1390" s="78" t="str">
        <f aca="false">IF(AQ1390=1,SUM(AQ$7:AQ1390),"")</f>
        <v/>
      </c>
    </row>
    <row r="1391" customFormat="false" ht="15" hidden="false" customHeight="false" outlineLevel="0" collapsed="false">
      <c r="A1391" s="78" t="str">
        <f aca="false">IF(E1391="","",ROW()-6)</f>
        <v/>
      </c>
      <c r="B1391" s="79"/>
      <c r="C1391" s="80"/>
      <c r="D1391" s="80"/>
      <c r="E1391" s="80"/>
      <c r="F1391" s="80"/>
      <c r="G1391" s="80"/>
      <c r="H1391" s="80"/>
      <c r="I1391" s="80"/>
      <c r="J1391" s="80"/>
      <c r="K1391" s="80"/>
      <c r="L1391" s="81" t="str">
        <f aca="false">IF(K1391="","",IFERROR(INDEX(BARDAGE!$C$7:$C$1506,MATCH(K1391,BARDAGE!$B$7:$B$1506,0)),"? hors registre"))</f>
        <v/>
      </c>
      <c r="M1391" s="80"/>
      <c r="N1391" s="81" t="str">
        <f aca="false">IF(M1391="","",IFERROR(INDEX(BARDAGE!$C$7:$C$1506,MATCH(M1391,BARDAGE!$B$7:$B$1506,0)),"? hors registre"))</f>
        <v/>
      </c>
      <c r="O1391" s="80"/>
      <c r="P1391" s="80"/>
      <c r="Q1391" s="80"/>
      <c r="R1391" s="82"/>
      <c r="S1391" s="82"/>
      <c r="T1391" s="80"/>
      <c r="U1391" s="80"/>
      <c r="V1391" s="82"/>
      <c r="W1391" s="80"/>
      <c r="X1391" s="80"/>
      <c r="Y1391" s="80"/>
      <c r="Z1391" s="80"/>
      <c r="AA1391" s="82"/>
      <c r="AB1391" s="80"/>
      <c r="AC1391" s="80"/>
      <c r="AD1391" s="80"/>
      <c r="AE1391" s="80"/>
      <c r="AF1391" s="82"/>
      <c r="AG1391" s="80"/>
      <c r="AH1391" s="80"/>
      <c r="AI1391" s="82"/>
      <c r="AJ1391" s="79"/>
      <c r="AK1391" s="78" t="str">
        <f aca="false">IF(E1391="","",(X1391&lt;&gt;"")+(AC1391&lt;&gt;"")+(AH1391&lt;&gt;""))</f>
        <v/>
      </c>
      <c r="AL1391" s="81" t="str">
        <f aca="false">IF(AH1391&lt;&gt;"",AH1391,IF(AC1391&lt;&gt;"",AC1391,IF(X1391&lt;&gt;"",X1391,"")))</f>
        <v/>
      </c>
      <c r="AM1391" s="83" t="str">
        <f aca="false">IF(E1391="","",IF(R1391="","À SOUDER",IF(U1391="","VT EN ATTENTE",IF(U1391="R","VT REJETÉ – À REPRENDRE",IF(AL1391="","À RADIOGRAPHIER",IF(AL1391="A","ACCEPTÉ",IF(AL1391="NX","NX – RT À REFAIRE",IF(IF(AK1391=1,Z1391,IF(AK1391=2,AE1391,""))="A","RÉPARÉ – À RADIOGRAPHIER",IF(IF(AK1391=1,Z1391,IF(AK1391=2,AE1391,""))="R","VT REJETÉ – À REPRENDRE",IF(OR(AL1391="CO",AL1391="NT"),"COUPE – À RESOUDER","À RÉPARER"))))))))))</f>
        <v/>
      </c>
      <c r="AN1391" s="81" t="str">
        <f aca="false">IF(AND(ISNUMBER(R1391),OR(AM1391="À RADIOGRAPHIER",AM1391="RÉPARÉ – À RADIOGRAPHIER",AM1391="NX – RT À REFAIRE",AM1391="À RÉPARER",AM1391="COUPE – À RESOUDER",AM1391="VT REJETÉ – À REPRENDRE")),MAX(0,'PROGRAMME RT'!$C$4-R1391),"")</f>
        <v/>
      </c>
      <c r="AO1391" s="78" t="n">
        <f aca="false">IF(AND(OR(AM1391="À RADIOGRAPHIER",AM1391="RÉPARÉ – À RADIOGRAPHIER",AM1391="NX – RT À REFAIRE"),OR('PROGRAMME RT'!$D$5="TOUTES",B1391='PROGRAMME RT'!$D$5)),1,0)</f>
        <v>0</v>
      </c>
      <c r="AP1391" s="78" t="str">
        <f aca="false">IF(AO1391=1,SUM(AO$7:AO1391),"")</f>
        <v/>
      </c>
      <c r="AQ1391" s="78" t="n">
        <f aca="false">IF(AND(OR(X1391="R",X1391="NX",X1391="NT",X1391="CO"),OR('JOINTS DE RÉPARATION'!$D$5="TOUTES",B1391='JOINTS DE RÉPARATION'!$D$5),OR('JOINTS DE RÉPARATION'!$L$4="TOUS",AM1391&lt;&gt;"ACCEPTÉ")),1,0)</f>
        <v>0</v>
      </c>
      <c r="AR1391" s="78" t="str">
        <f aca="false">IF(AQ1391=1,SUM(AQ$7:AQ1391),"")</f>
        <v/>
      </c>
    </row>
    <row r="1392" customFormat="false" ht="15" hidden="false" customHeight="false" outlineLevel="0" collapsed="false">
      <c r="A1392" s="78" t="str">
        <f aca="false">IF(E1392="","",ROW()-6)</f>
        <v/>
      </c>
      <c r="B1392" s="79"/>
      <c r="C1392" s="80"/>
      <c r="D1392" s="80"/>
      <c r="E1392" s="80"/>
      <c r="F1392" s="80"/>
      <c r="G1392" s="80"/>
      <c r="H1392" s="80"/>
      <c r="I1392" s="80"/>
      <c r="J1392" s="80"/>
      <c r="K1392" s="80"/>
      <c r="L1392" s="81" t="str">
        <f aca="false">IF(K1392="","",IFERROR(INDEX(BARDAGE!$C$7:$C$1506,MATCH(K1392,BARDAGE!$B$7:$B$1506,0)),"? hors registre"))</f>
        <v/>
      </c>
      <c r="M1392" s="80"/>
      <c r="N1392" s="81" t="str">
        <f aca="false">IF(M1392="","",IFERROR(INDEX(BARDAGE!$C$7:$C$1506,MATCH(M1392,BARDAGE!$B$7:$B$1506,0)),"? hors registre"))</f>
        <v/>
      </c>
      <c r="O1392" s="80"/>
      <c r="P1392" s="80"/>
      <c r="Q1392" s="80"/>
      <c r="R1392" s="82"/>
      <c r="S1392" s="82"/>
      <c r="T1392" s="80"/>
      <c r="U1392" s="80"/>
      <c r="V1392" s="82"/>
      <c r="W1392" s="80"/>
      <c r="X1392" s="80"/>
      <c r="Y1392" s="80"/>
      <c r="Z1392" s="80"/>
      <c r="AA1392" s="82"/>
      <c r="AB1392" s="80"/>
      <c r="AC1392" s="80"/>
      <c r="AD1392" s="80"/>
      <c r="AE1392" s="80"/>
      <c r="AF1392" s="82"/>
      <c r="AG1392" s="80"/>
      <c r="AH1392" s="80"/>
      <c r="AI1392" s="82"/>
      <c r="AJ1392" s="79"/>
      <c r="AK1392" s="78" t="str">
        <f aca="false">IF(E1392="","",(X1392&lt;&gt;"")+(AC1392&lt;&gt;"")+(AH1392&lt;&gt;""))</f>
        <v/>
      </c>
      <c r="AL1392" s="81" t="str">
        <f aca="false">IF(AH1392&lt;&gt;"",AH1392,IF(AC1392&lt;&gt;"",AC1392,IF(X1392&lt;&gt;"",X1392,"")))</f>
        <v/>
      </c>
      <c r="AM1392" s="83" t="str">
        <f aca="false">IF(E1392="","",IF(R1392="","À SOUDER",IF(U1392="","VT EN ATTENTE",IF(U1392="R","VT REJETÉ – À REPRENDRE",IF(AL1392="","À RADIOGRAPHIER",IF(AL1392="A","ACCEPTÉ",IF(AL1392="NX","NX – RT À REFAIRE",IF(IF(AK1392=1,Z1392,IF(AK1392=2,AE1392,""))="A","RÉPARÉ – À RADIOGRAPHIER",IF(IF(AK1392=1,Z1392,IF(AK1392=2,AE1392,""))="R","VT REJETÉ – À REPRENDRE",IF(OR(AL1392="CO",AL1392="NT"),"COUPE – À RESOUDER","À RÉPARER"))))))))))</f>
        <v/>
      </c>
      <c r="AN1392" s="81" t="str">
        <f aca="false">IF(AND(ISNUMBER(R1392),OR(AM1392="À RADIOGRAPHIER",AM1392="RÉPARÉ – À RADIOGRAPHIER",AM1392="NX – RT À REFAIRE",AM1392="À RÉPARER",AM1392="COUPE – À RESOUDER",AM1392="VT REJETÉ – À REPRENDRE")),MAX(0,'PROGRAMME RT'!$C$4-R1392),"")</f>
        <v/>
      </c>
      <c r="AO1392" s="78" t="n">
        <f aca="false">IF(AND(OR(AM1392="À RADIOGRAPHIER",AM1392="RÉPARÉ – À RADIOGRAPHIER",AM1392="NX – RT À REFAIRE"),OR('PROGRAMME RT'!$D$5="TOUTES",B1392='PROGRAMME RT'!$D$5)),1,0)</f>
        <v>0</v>
      </c>
      <c r="AP1392" s="78" t="str">
        <f aca="false">IF(AO1392=1,SUM(AO$7:AO1392),"")</f>
        <v/>
      </c>
      <c r="AQ1392" s="78" t="n">
        <f aca="false">IF(AND(OR(X1392="R",X1392="NX",X1392="NT",X1392="CO"),OR('JOINTS DE RÉPARATION'!$D$5="TOUTES",B1392='JOINTS DE RÉPARATION'!$D$5),OR('JOINTS DE RÉPARATION'!$L$4="TOUS",AM1392&lt;&gt;"ACCEPTÉ")),1,0)</f>
        <v>0</v>
      </c>
      <c r="AR1392" s="78" t="str">
        <f aca="false">IF(AQ1392=1,SUM(AQ$7:AQ1392),"")</f>
        <v/>
      </c>
    </row>
    <row r="1393" customFormat="false" ht="15" hidden="false" customHeight="false" outlineLevel="0" collapsed="false">
      <c r="A1393" s="78" t="str">
        <f aca="false">IF(E1393="","",ROW()-6)</f>
        <v/>
      </c>
      <c r="B1393" s="79"/>
      <c r="C1393" s="80"/>
      <c r="D1393" s="80"/>
      <c r="E1393" s="80"/>
      <c r="F1393" s="80"/>
      <c r="G1393" s="80"/>
      <c r="H1393" s="80"/>
      <c r="I1393" s="80"/>
      <c r="J1393" s="80"/>
      <c r="K1393" s="80"/>
      <c r="L1393" s="81" t="str">
        <f aca="false">IF(K1393="","",IFERROR(INDEX(BARDAGE!$C$7:$C$1506,MATCH(K1393,BARDAGE!$B$7:$B$1506,0)),"? hors registre"))</f>
        <v/>
      </c>
      <c r="M1393" s="80"/>
      <c r="N1393" s="81" t="str">
        <f aca="false">IF(M1393="","",IFERROR(INDEX(BARDAGE!$C$7:$C$1506,MATCH(M1393,BARDAGE!$B$7:$B$1506,0)),"? hors registre"))</f>
        <v/>
      </c>
      <c r="O1393" s="80"/>
      <c r="P1393" s="80"/>
      <c r="Q1393" s="80"/>
      <c r="R1393" s="82"/>
      <c r="S1393" s="82"/>
      <c r="T1393" s="80"/>
      <c r="U1393" s="80"/>
      <c r="V1393" s="82"/>
      <c r="W1393" s="80"/>
      <c r="X1393" s="80"/>
      <c r="Y1393" s="80"/>
      <c r="Z1393" s="80"/>
      <c r="AA1393" s="82"/>
      <c r="AB1393" s="80"/>
      <c r="AC1393" s="80"/>
      <c r="AD1393" s="80"/>
      <c r="AE1393" s="80"/>
      <c r="AF1393" s="82"/>
      <c r="AG1393" s="80"/>
      <c r="AH1393" s="80"/>
      <c r="AI1393" s="82"/>
      <c r="AJ1393" s="79"/>
      <c r="AK1393" s="78" t="str">
        <f aca="false">IF(E1393="","",(X1393&lt;&gt;"")+(AC1393&lt;&gt;"")+(AH1393&lt;&gt;""))</f>
        <v/>
      </c>
      <c r="AL1393" s="81" t="str">
        <f aca="false">IF(AH1393&lt;&gt;"",AH1393,IF(AC1393&lt;&gt;"",AC1393,IF(X1393&lt;&gt;"",X1393,"")))</f>
        <v/>
      </c>
      <c r="AM1393" s="83" t="str">
        <f aca="false">IF(E1393="","",IF(R1393="","À SOUDER",IF(U1393="","VT EN ATTENTE",IF(U1393="R","VT REJETÉ – À REPRENDRE",IF(AL1393="","À RADIOGRAPHIER",IF(AL1393="A","ACCEPTÉ",IF(AL1393="NX","NX – RT À REFAIRE",IF(IF(AK1393=1,Z1393,IF(AK1393=2,AE1393,""))="A","RÉPARÉ – À RADIOGRAPHIER",IF(IF(AK1393=1,Z1393,IF(AK1393=2,AE1393,""))="R","VT REJETÉ – À REPRENDRE",IF(OR(AL1393="CO",AL1393="NT"),"COUPE – À RESOUDER","À RÉPARER"))))))))))</f>
        <v/>
      </c>
      <c r="AN1393" s="81" t="str">
        <f aca="false">IF(AND(ISNUMBER(R1393),OR(AM1393="À RADIOGRAPHIER",AM1393="RÉPARÉ – À RADIOGRAPHIER",AM1393="NX – RT À REFAIRE",AM1393="À RÉPARER",AM1393="COUPE – À RESOUDER",AM1393="VT REJETÉ – À REPRENDRE")),MAX(0,'PROGRAMME RT'!$C$4-R1393),"")</f>
        <v/>
      </c>
      <c r="AO1393" s="78" t="n">
        <f aca="false">IF(AND(OR(AM1393="À RADIOGRAPHIER",AM1393="RÉPARÉ – À RADIOGRAPHIER",AM1393="NX – RT À REFAIRE"),OR('PROGRAMME RT'!$D$5="TOUTES",B1393='PROGRAMME RT'!$D$5)),1,0)</f>
        <v>0</v>
      </c>
      <c r="AP1393" s="78" t="str">
        <f aca="false">IF(AO1393=1,SUM(AO$7:AO1393),"")</f>
        <v/>
      </c>
      <c r="AQ1393" s="78" t="n">
        <f aca="false">IF(AND(OR(X1393="R",X1393="NX",X1393="NT",X1393="CO"),OR('JOINTS DE RÉPARATION'!$D$5="TOUTES",B1393='JOINTS DE RÉPARATION'!$D$5),OR('JOINTS DE RÉPARATION'!$L$4="TOUS",AM1393&lt;&gt;"ACCEPTÉ")),1,0)</f>
        <v>0</v>
      </c>
      <c r="AR1393" s="78" t="str">
        <f aca="false">IF(AQ1393=1,SUM(AQ$7:AQ1393),"")</f>
        <v/>
      </c>
    </row>
    <row r="1394" customFormat="false" ht="15" hidden="false" customHeight="false" outlineLevel="0" collapsed="false">
      <c r="A1394" s="78" t="str">
        <f aca="false">IF(E1394="","",ROW()-6)</f>
        <v/>
      </c>
      <c r="B1394" s="79"/>
      <c r="C1394" s="80"/>
      <c r="D1394" s="80"/>
      <c r="E1394" s="80"/>
      <c r="F1394" s="80"/>
      <c r="G1394" s="80"/>
      <c r="H1394" s="80"/>
      <c r="I1394" s="80"/>
      <c r="J1394" s="80"/>
      <c r="K1394" s="80"/>
      <c r="L1394" s="81" t="str">
        <f aca="false">IF(K1394="","",IFERROR(INDEX(BARDAGE!$C$7:$C$1506,MATCH(K1394,BARDAGE!$B$7:$B$1506,0)),"? hors registre"))</f>
        <v/>
      </c>
      <c r="M1394" s="80"/>
      <c r="N1394" s="81" t="str">
        <f aca="false">IF(M1394="","",IFERROR(INDEX(BARDAGE!$C$7:$C$1506,MATCH(M1394,BARDAGE!$B$7:$B$1506,0)),"? hors registre"))</f>
        <v/>
      </c>
      <c r="O1394" s="80"/>
      <c r="P1394" s="80"/>
      <c r="Q1394" s="80"/>
      <c r="R1394" s="82"/>
      <c r="S1394" s="82"/>
      <c r="T1394" s="80"/>
      <c r="U1394" s="80"/>
      <c r="V1394" s="82"/>
      <c r="W1394" s="80"/>
      <c r="X1394" s="80"/>
      <c r="Y1394" s="80"/>
      <c r="Z1394" s="80"/>
      <c r="AA1394" s="82"/>
      <c r="AB1394" s="80"/>
      <c r="AC1394" s="80"/>
      <c r="AD1394" s="80"/>
      <c r="AE1394" s="80"/>
      <c r="AF1394" s="82"/>
      <c r="AG1394" s="80"/>
      <c r="AH1394" s="80"/>
      <c r="AI1394" s="82"/>
      <c r="AJ1394" s="79"/>
      <c r="AK1394" s="78" t="str">
        <f aca="false">IF(E1394="","",(X1394&lt;&gt;"")+(AC1394&lt;&gt;"")+(AH1394&lt;&gt;""))</f>
        <v/>
      </c>
      <c r="AL1394" s="81" t="str">
        <f aca="false">IF(AH1394&lt;&gt;"",AH1394,IF(AC1394&lt;&gt;"",AC1394,IF(X1394&lt;&gt;"",X1394,"")))</f>
        <v/>
      </c>
      <c r="AM1394" s="83" t="str">
        <f aca="false">IF(E1394="","",IF(R1394="","À SOUDER",IF(U1394="","VT EN ATTENTE",IF(U1394="R","VT REJETÉ – À REPRENDRE",IF(AL1394="","À RADIOGRAPHIER",IF(AL1394="A","ACCEPTÉ",IF(AL1394="NX","NX – RT À REFAIRE",IF(IF(AK1394=1,Z1394,IF(AK1394=2,AE1394,""))="A","RÉPARÉ – À RADIOGRAPHIER",IF(IF(AK1394=1,Z1394,IF(AK1394=2,AE1394,""))="R","VT REJETÉ – À REPRENDRE",IF(OR(AL1394="CO",AL1394="NT"),"COUPE – À RESOUDER","À RÉPARER"))))))))))</f>
        <v/>
      </c>
      <c r="AN1394" s="81" t="str">
        <f aca="false">IF(AND(ISNUMBER(R1394),OR(AM1394="À RADIOGRAPHIER",AM1394="RÉPARÉ – À RADIOGRAPHIER",AM1394="NX – RT À REFAIRE",AM1394="À RÉPARER",AM1394="COUPE – À RESOUDER",AM1394="VT REJETÉ – À REPRENDRE")),MAX(0,'PROGRAMME RT'!$C$4-R1394),"")</f>
        <v/>
      </c>
      <c r="AO1394" s="78" t="n">
        <f aca="false">IF(AND(OR(AM1394="À RADIOGRAPHIER",AM1394="RÉPARÉ – À RADIOGRAPHIER",AM1394="NX – RT À REFAIRE"),OR('PROGRAMME RT'!$D$5="TOUTES",B1394='PROGRAMME RT'!$D$5)),1,0)</f>
        <v>0</v>
      </c>
      <c r="AP1394" s="78" t="str">
        <f aca="false">IF(AO1394=1,SUM(AO$7:AO1394),"")</f>
        <v/>
      </c>
      <c r="AQ1394" s="78" t="n">
        <f aca="false">IF(AND(OR(X1394="R",X1394="NX",X1394="NT",X1394="CO"),OR('JOINTS DE RÉPARATION'!$D$5="TOUTES",B1394='JOINTS DE RÉPARATION'!$D$5),OR('JOINTS DE RÉPARATION'!$L$4="TOUS",AM1394&lt;&gt;"ACCEPTÉ")),1,0)</f>
        <v>0</v>
      </c>
      <c r="AR1394" s="78" t="str">
        <f aca="false">IF(AQ1394=1,SUM(AQ$7:AQ1394),"")</f>
        <v/>
      </c>
    </row>
    <row r="1395" customFormat="false" ht="15" hidden="false" customHeight="false" outlineLevel="0" collapsed="false">
      <c r="A1395" s="78" t="str">
        <f aca="false">IF(E1395="","",ROW()-6)</f>
        <v/>
      </c>
      <c r="B1395" s="79"/>
      <c r="C1395" s="80"/>
      <c r="D1395" s="80"/>
      <c r="E1395" s="80"/>
      <c r="F1395" s="80"/>
      <c r="G1395" s="80"/>
      <c r="H1395" s="80"/>
      <c r="I1395" s="80"/>
      <c r="J1395" s="80"/>
      <c r="K1395" s="80"/>
      <c r="L1395" s="81" t="str">
        <f aca="false">IF(K1395="","",IFERROR(INDEX(BARDAGE!$C$7:$C$1506,MATCH(K1395,BARDAGE!$B$7:$B$1506,0)),"? hors registre"))</f>
        <v/>
      </c>
      <c r="M1395" s="80"/>
      <c r="N1395" s="81" t="str">
        <f aca="false">IF(M1395="","",IFERROR(INDEX(BARDAGE!$C$7:$C$1506,MATCH(M1395,BARDAGE!$B$7:$B$1506,0)),"? hors registre"))</f>
        <v/>
      </c>
      <c r="O1395" s="80"/>
      <c r="P1395" s="80"/>
      <c r="Q1395" s="80"/>
      <c r="R1395" s="82"/>
      <c r="S1395" s="82"/>
      <c r="T1395" s="80"/>
      <c r="U1395" s="80"/>
      <c r="V1395" s="82"/>
      <c r="W1395" s="80"/>
      <c r="X1395" s="80"/>
      <c r="Y1395" s="80"/>
      <c r="Z1395" s="80"/>
      <c r="AA1395" s="82"/>
      <c r="AB1395" s="80"/>
      <c r="AC1395" s="80"/>
      <c r="AD1395" s="80"/>
      <c r="AE1395" s="80"/>
      <c r="AF1395" s="82"/>
      <c r="AG1395" s="80"/>
      <c r="AH1395" s="80"/>
      <c r="AI1395" s="82"/>
      <c r="AJ1395" s="79"/>
      <c r="AK1395" s="78" t="str">
        <f aca="false">IF(E1395="","",(X1395&lt;&gt;"")+(AC1395&lt;&gt;"")+(AH1395&lt;&gt;""))</f>
        <v/>
      </c>
      <c r="AL1395" s="81" t="str">
        <f aca="false">IF(AH1395&lt;&gt;"",AH1395,IF(AC1395&lt;&gt;"",AC1395,IF(X1395&lt;&gt;"",X1395,"")))</f>
        <v/>
      </c>
      <c r="AM1395" s="83" t="str">
        <f aca="false">IF(E1395="","",IF(R1395="","À SOUDER",IF(U1395="","VT EN ATTENTE",IF(U1395="R","VT REJETÉ – À REPRENDRE",IF(AL1395="","À RADIOGRAPHIER",IF(AL1395="A","ACCEPTÉ",IF(AL1395="NX","NX – RT À REFAIRE",IF(IF(AK1395=1,Z1395,IF(AK1395=2,AE1395,""))="A","RÉPARÉ – À RADIOGRAPHIER",IF(IF(AK1395=1,Z1395,IF(AK1395=2,AE1395,""))="R","VT REJETÉ – À REPRENDRE",IF(OR(AL1395="CO",AL1395="NT"),"COUPE – À RESOUDER","À RÉPARER"))))))))))</f>
        <v/>
      </c>
      <c r="AN1395" s="81" t="str">
        <f aca="false">IF(AND(ISNUMBER(R1395),OR(AM1395="À RADIOGRAPHIER",AM1395="RÉPARÉ – À RADIOGRAPHIER",AM1395="NX – RT À REFAIRE",AM1395="À RÉPARER",AM1395="COUPE – À RESOUDER",AM1395="VT REJETÉ – À REPRENDRE")),MAX(0,'PROGRAMME RT'!$C$4-R1395),"")</f>
        <v/>
      </c>
      <c r="AO1395" s="78" t="n">
        <f aca="false">IF(AND(OR(AM1395="À RADIOGRAPHIER",AM1395="RÉPARÉ – À RADIOGRAPHIER",AM1395="NX – RT À REFAIRE"),OR('PROGRAMME RT'!$D$5="TOUTES",B1395='PROGRAMME RT'!$D$5)),1,0)</f>
        <v>0</v>
      </c>
      <c r="AP1395" s="78" t="str">
        <f aca="false">IF(AO1395=1,SUM(AO$7:AO1395),"")</f>
        <v/>
      </c>
      <c r="AQ1395" s="78" t="n">
        <f aca="false">IF(AND(OR(X1395="R",X1395="NX",X1395="NT",X1395="CO"),OR('JOINTS DE RÉPARATION'!$D$5="TOUTES",B1395='JOINTS DE RÉPARATION'!$D$5),OR('JOINTS DE RÉPARATION'!$L$4="TOUS",AM1395&lt;&gt;"ACCEPTÉ")),1,0)</f>
        <v>0</v>
      </c>
      <c r="AR1395" s="78" t="str">
        <f aca="false">IF(AQ1395=1,SUM(AQ$7:AQ1395),"")</f>
        <v/>
      </c>
    </row>
    <row r="1396" customFormat="false" ht="15" hidden="false" customHeight="false" outlineLevel="0" collapsed="false">
      <c r="A1396" s="78" t="str">
        <f aca="false">IF(E1396="","",ROW()-6)</f>
        <v/>
      </c>
      <c r="B1396" s="79"/>
      <c r="C1396" s="80"/>
      <c r="D1396" s="80"/>
      <c r="E1396" s="80"/>
      <c r="F1396" s="80"/>
      <c r="G1396" s="80"/>
      <c r="H1396" s="80"/>
      <c r="I1396" s="80"/>
      <c r="J1396" s="80"/>
      <c r="K1396" s="80"/>
      <c r="L1396" s="81" t="str">
        <f aca="false">IF(K1396="","",IFERROR(INDEX(BARDAGE!$C$7:$C$1506,MATCH(K1396,BARDAGE!$B$7:$B$1506,0)),"? hors registre"))</f>
        <v/>
      </c>
      <c r="M1396" s="80"/>
      <c r="N1396" s="81" t="str">
        <f aca="false">IF(M1396="","",IFERROR(INDEX(BARDAGE!$C$7:$C$1506,MATCH(M1396,BARDAGE!$B$7:$B$1506,0)),"? hors registre"))</f>
        <v/>
      </c>
      <c r="O1396" s="80"/>
      <c r="P1396" s="80"/>
      <c r="Q1396" s="80"/>
      <c r="R1396" s="82"/>
      <c r="S1396" s="82"/>
      <c r="T1396" s="80"/>
      <c r="U1396" s="80"/>
      <c r="V1396" s="82"/>
      <c r="W1396" s="80"/>
      <c r="X1396" s="80"/>
      <c r="Y1396" s="80"/>
      <c r="Z1396" s="80"/>
      <c r="AA1396" s="82"/>
      <c r="AB1396" s="80"/>
      <c r="AC1396" s="80"/>
      <c r="AD1396" s="80"/>
      <c r="AE1396" s="80"/>
      <c r="AF1396" s="82"/>
      <c r="AG1396" s="80"/>
      <c r="AH1396" s="80"/>
      <c r="AI1396" s="82"/>
      <c r="AJ1396" s="79"/>
      <c r="AK1396" s="78" t="str">
        <f aca="false">IF(E1396="","",(X1396&lt;&gt;"")+(AC1396&lt;&gt;"")+(AH1396&lt;&gt;""))</f>
        <v/>
      </c>
      <c r="AL1396" s="81" t="str">
        <f aca="false">IF(AH1396&lt;&gt;"",AH1396,IF(AC1396&lt;&gt;"",AC1396,IF(X1396&lt;&gt;"",X1396,"")))</f>
        <v/>
      </c>
      <c r="AM1396" s="83" t="str">
        <f aca="false">IF(E1396="","",IF(R1396="","À SOUDER",IF(U1396="","VT EN ATTENTE",IF(U1396="R","VT REJETÉ – À REPRENDRE",IF(AL1396="","À RADIOGRAPHIER",IF(AL1396="A","ACCEPTÉ",IF(AL1396="NX","NX – RT À REFAIRE",IF(IF(AK1396=1,Z1396,IF(AK1396=2,AE1396,""))="A","RÉPARÉ – À RADIOGRAPHIER",IF(IF(AK1396=1,Z1396,IF(AK1396=2,AE1396,""))="R","VT REJETÉ – À REPRENDRE",IF(OR(AL1396="CO",AL1396="NT"),"COUPE – À RESOUDER","À RÉPARER"))))))))))</f>
        <v/>
      </c>
      <c r="AN1396" s="81" t="str">
        <f aca="false">IF(AND(ISNUMBER(R1396),OR(AM1396="À RADIOGRAPHIER",AM1396="RÉPARÉ – À RADIOGRAPHIER",AM1396="NX – RT À REFAIRE",AM1396="À RÉPARER",AM1396="COUPE – À RESOUDER",AM1396="VT REJETÉ – À REPRENDRE")),MAX(0,'PROGRAMME RT'!$C$4-R1396),"")</f>
        <v/>
      </c>
      <c r="AO1396" s="78" t="n">
        <f aca="false">IF(AND(OR(AM1396="À RADIOGRAPHIER",AM1396="RÉPARÉ – À RADIOGRAPHIER",AM1396="NX – RT À REFAIRE"),OR('PROGRAMME RT'!$D$5="TOUTES",B1396='PROGRAMME RT'!$D$5)),1,0)</f>
        <v>0</v>
      </c>
      <c r="AP1396" s="78" t="str">
        <f aca="false">IF(AO1396=1,SUM(AO$7:AO1396),"")</f>
        <v/>
      </c>
      <c r="AQ1396" s="78" t="n">
        <f aca="false">IF(AND(OR(X1396="R",X1396="NX",X1396="NT",X1396="CO"),OR('JOINTS DE RÉPARATION'!$D$5="TOUTES",B1396='JOINTS DE RÉPARATION'!$D$5),OR('JOINTS DE RÉPARATION'!$L$4="TOUS",AM1396&lt;&gt;"ACCEPTÉ")),1,0)</f>
        <v>0</v>
      </c>
      <c r="AR1396" s="78" t="str">
        <f aca="false">IF(AQ1396=1,SUM(AQ$7:AQ1396),"")</f>
        <v/>
      </c>
    </row>
    <row r="1397" customFormat="false" ht="15" hidden="false" customHeight="false" outlineLevel="0" collapsed="false">
      <c r="A1397" s="78" t="str">
        <f aca="false">IF(E1397="","",ROW()-6)</f>
        <v/>
      </c>
      <c r="B1397" s="79"/>
      <c r="C1397" s="80"/>
      <c r="D1397" s="80"/>
      <c r="E1397" s="80"/>
      <c r="F1397" s="80"/>
      <c r="G1397" s="80"/>
      <c r="H1397" s="80"/>
      <c r="I1397" s="80"/>
      <c r="J1397" s="80"/>
      <c r="K1397" s="80"/>
      <c r="L1397" s="81" t="str">
        <f aca="false">IF(K1397="","",IFERROR(INDEX(BARDAGE!$C$7:$C$1506,MATCH(K1397,BARDAGE!$B$7:$B$1506,0)),"? hors registre"))</f>
        <v/>
      </c>
      <c r="M1397" s="80"/>
      <c r="N1397" s="81" t="str">
        <f aca="false">IF(M1397="","",IFERROR(INDEX(BARDAGE!$C$7:$C$1506,MATCH(M1397,BARDAGE!$B$7:$B$1506,0)),"? hors registre"))</f>
        <v/>
      </c>
      <c r="O1397" s="80"/>
      <c r="P1397" s="80"/>
      <c r="Q1397" s="80"/>
      <c r="R1397" s="82"/>
      <c r="S1397" s="82"/>
      <c r="T1397" s="80"/>
      <c r="U1397" s="80"/>
      <c r="V1397" s="82"/>
      <c r="W1397" s="80"/>
      <c r="X1397" s="80"/>
      <c r="Y1397" s="80"/>
      <c r="Z1397" s="80"/>
      <c r="AA1397" s="82"/>
      <c r="AB1397" s="80"/>
      <c r="AC1397" s="80"/>
      <c r="AD1397" s="80"/>
      <c r="AE1397" s="80"/>
      <c r="AF1397" s="82"/>
      <c r="AG1397" s="80"/>
      <c r="AH1397" s="80"/>
      <c r="AI1397" s="82"/>
      <c r="AJ1397" s="79"/>
      <c r="AK1397" s="78" t="str">
        <f aca="false">IF(E1397="","",(X1397&lt;&gt;"")+(AC1397&lt;&gt;"")+(AH1397&lt;&gt;""))</f>
        <v/>
      </c>
      <c r="AL1397" s="81" t="str">
        <f aca="false">IF(AH1397&lt;&gt;"",AH1397,IF(AC1397&lt;&gt;"",AC1397,IF(X1397&lt;&gt;"",X1397,"")))</f>
        <v/>
      </c>
      <c r="AM1397" s="83" t="str">
        <f aca="false">IF(E1397="","",IF(R1397="","À SOUDER",IF(U1397="","VT EN ATTENTE",IF(U1397="R","VT REJETÉ – À REPRENDRE",IF(AL1397="","À RADIOGRAPHIER",IF(AL1397="A","ACCEPTÉ",IF(AL1397="NX","NX – RT À REFAIRE",IF(IF(AK1397=1,Z1397,IF(AK1397=2,AE1397,""))="A","RÉPARÉ – À RADIOGRAPHIER",IF(IF(AK1397=1,Z1397,IF(AK1397=2,AE1397,""))="R","VT REJETÉ – À REPRENDRE",IF(OR(AL1397="CO",AL1397="NT"),"COUPE – À RESOUDER","À RÉPARER"))))))))))</f>
        <v/>
      </c>
      <c r="AN1397" s="81" t="str">
        <f aca="false">IF(AND(ISNUMBER(R1397),OR(AM1397="À RADIOGRAPHIER",AM1397="RÉPARÉ – À RADIOGRAPHIER",AM1397="NX – RT À REFAIRE",AM1397="À RÉPARER",AM1397="COUPE – À RESOUDER",AM1397="VT REJETÉ – À REPRENDRE")),MAX(0,'PROGRAMME RT'!$C$4-R1397),"")</f>
        <v/>
      </c>
      <c r="AO1397" s="78" t="n">
        <f aca="false">IF(AND(OR(AM1397="À RADIOGRAPHIER",AM1397="RÉPARÉ – À RADIOGRAPHIER",AM1397="NX – RT À REFAIRE"),OR('PROGRAMME RT'!$D$5="TOUTES",B1397='PROGRAMME RT'!$D$5)),1,0)</f>
        <v>0</v>
      </c>
      <c r="AP1397" s="78" t="str">
        <f aca="false">IF(AO1397=1,SUM(AO$7:AO1397),"")</f>
        <v/>
      </c>
      <c r="AQ1397" s="78" t="n">
        <f aca="false">IF(AND(OR(X1397="R",X1397="NX",X1397="NT",X1397="CO"),OR('JOINTS DE RÉPARATION'!$D$5="TOUTES",B1397='JOINTS DE RÉPARATION'!$D$5),OR('JOINTS DE RÉPARATION'!$L$4="TOUS",AM1397&lt;&gt;"ACCEPTÉ")),1,0)</f>
        <v>0</v>
      </c>
      <c r="AR1397" s="78" t="str">
        <f aca="false">IF(AQ1397=1,SUM(AQ$7:AQ1397),"")</f>
        <v/>
      </c>
    </row>
    <row r="1398" customFormat="false" ht="15" hidden="false" customHeight="false" outlineLevel="0" collapsed="false">
      <c r="A1398" s="78" t="str">
        <f aca="false">IF(E1398="","",ROW()-6)</f>
        <v/>
      </c>
      <c r="B1398" s="79"/>
      <c r="C1398" s="80"/>
      <c r="D1398" s="80"/>
      <c r="E1398" s="80"/>
      <c r="F1398" s="80"/>
      <c r="G1398" s="80"/>
      <c r="H1398" s="80"/>
      <c r="I1398" s="80"/>
      <c r="J1398" s="80"/>
      <c r="K1398" s="80"/>
      <c r="L1398" s="81" t="str">
        <f aca="false">IF(K1398="","",IFERROR(INDEX(BARDAGE!$C$7:$C$1506,MATCH(K1398,BARDAGE!$B$7:$B$1506,0)),"? hors registre"))</f>
        <v/>
      </c>
      <c r="M1398" s="80"/>
      <c r="N1398" s="81" t="str">
        <f aca="false">IF(M1398="","",IFERROR(INDEX(BARDAGE!$C$7:$C$1506,MATCH(M1398,BARDAGE!$B$7:$B$1506,0)),"? hors registre"))</f>
        <v/>
      </c>
      <c r="O1398" s="80"/>
      <c r="P1398" s="80"/>
      <c r="Q1398" s="80"/>
      <c r="R1398" s="82"/>
      <c r="S1398" s="82"/>
      <c r="T1398" s="80"/>
      <c r="U1398" s="80"/>
      <c r="V1398" s="82"/>
      <c r="W1398" s="80"/>
      <c r="X1398" s="80"/>
      <c r="Y1398" s="80"/>
      <c r="Z1398" s="80"/>
      <c r="AA1398" s="82"/>
      <c r="AB1398" s="80"/>
      <c r="AC1398" s="80"/>
      <c r="AD1398" s="80"/>
      <c r="AE1398" s="80"/>
      <c r="AF1398" s="82"/>
      <c r="AG1398" s="80"/>
      <c r="AH1398" s="80"/>
      <c r="AI1398" s="82"/>
      <c r="AJ1398" s="79"/>
      <c r="AK1398" s="78" t="str">
        <f aca="false">IF(E1398="","",(X1398&lt;&gt;"")+(AC1398&lt;&gt;"")+(AH1398&lt;&gt;""))</f>
        <v/>
      </c>
      <c r="AL1398" s="81" t="str">
        <f aca="false">IF(AH1398&lt;&gt;"",AH1398,IF(AC1398&lt;&gt;"",AC1398,IF(X1398&lt;&gt;"",X1398,"")))</f>
        <v/>
      </c>
      <c r="AM1398" s="83" t="str">
        <f aca="false">IF(E1398="","",IF(R1398="","À SOUDER",IF(U1398="","VT EN ATTENTE",IF(U1398="R","VT REJETÉ – À REPRENDRE",IF(AL1398="","À RADIOGRAPHIER",IF(AL1398="A","ACCEPTÉ",IF(AL1398="NX","NX – RT À REFAIRE",IF(IF(AK1398=1,Z1398,IF(AK1398=2,AE1398,""))="A","RÉPARÉ – À RADIOGRAPHIER",IF(IF(AK1398=1,Z1398,IF(AK1398=2,AE1398,""))="R","VT REJETÉ – À REPRENDRE",IF(OR(AL1398="CO",AL1398="NT"),"COUPE – À RESOUDER","À RÉPARER"))))))))))</f>
        <v/>
      </c>
      <c r="AN1398" s="81" t="str">
        <f aca="false">IF(AND(ISNUMBER(R1398),OR(AM1398="À RADIOGRAPHIER",AM1398="RÉPARÉ – À RADIOGRAPHIER",AM1398="NX – RT À REFAIRE",AM1398="À RÉPARER",AM1398="COUPE – À RESOUDER",AM1398="VT REJETÉ – À REPRENDRE")),MAX(0,'PROGRAMME RT'!$C$4-R1398),"")</f>
        <v/>
      </c>
      <c r="AO1398" s="78" t="n">
        <f aca="false">IF(AND(OR(AM1398="À RADIOGRAPHIER",AM1398="RÉPARÉ – À RADIOGRAPHIER",AM1398="NX – RT À REFAIRE"),OR('PROGRAMME RT'!$D$5="TOUTES",B1398='PROGRAMME RT'!$D$5)),1,0)</f>
        <v>0</v>
      </c>
      <c r="AP1398" s="78" t="str">
        <f aca="false">IF(AO1398=1,SUM(AO$7:AO1398),"")</f>
        <v/>
      </c>
      <c r="AQ1398" s="78" t="n">
        <f aca="false">IF(AND(OR(X1398="R",X1398="NX",X1398="NT",X1398="CO"),OR('JOINTS DE RÉPARATION'!$D$5="TOUTES",B1398='JOINTS DE RÉPARATION'!$D$5),OR('JOINTS DE RÉPARATION'!$L$4="TOUS",AM1398&lt;&gt;"ACCEPTÉ")),1,0)</f>
        <v>0</v>
      </c>
      <c r="AR1398" s="78" t="str">
        <f aca="false">IF(AQ1398=1,SUM(AQ$7:AQ1398),"")</f>
        <v/>
      </c>
    </row>
    <row r="1399" customFormat="false" ht="15" hidden="false" customHeight="false" outlineLevel="0" collapsed="false">
      <c r="A1399" s="78" t="str">
        <f aca="false">IF(E1399="","",ROW()-6)</f>
        <v/>
      </c>
      <c r="B1399" s="79"/>
      <c r="C1399" s="80"/>
      <c r="D1399" s="80"/>
      <c r="E1399" s="80"/>
      <c r="F1399" s="80"/>
      <c r="G1399" s="80"/>
      <c r="H1399" s="80"/>
      <c r="I1399" s="80"/>
      <c r="J1399" s="80"/>
      <c r="K1399" s="80"/>
      <c r="L1399" s="81" t="str">
        <f aca="false">IF(K1399="","",IFERROR(INDEX(BARDAGE!$C$7:$C$1506,MATCH(K1399,BARDAGE!$B$7:$B$1506,0)),"? hors registre"))</f>
        <v/>
      </c>
      <c r="M1399" s="80"/>
      <c r="N1399" s="81" t="str">
        <f aca="false">IF(M1399="","",IFERROR(INDEX(BARDAGE!$C$7:$C$1506,MATCH(M1399,BARDAGE!$B$7:$B$1506,0)),"? hors registre"))</f>
        <v/>
      </c>
      <c r="O1399" s="80"/>
      <c r="P1399" s="80"/>
      <c r="Q1399" s="80"/>
      <c r="R1399" s="82"/>
      <c r="S1399" s="82"/>
      <c r="T1399" s="80"/>
      <c r="U1399" s="80"/>
      <c r="V1399" s="82"/>
      <c r="W1399" s="80"/>
      <c r="X1399" s="80"/>
      <c r="Y1399" s="80"/>
      <c r="Z1399" s="80"/>
      <c r="AA1399" s="82"/>
      <c r="AB1399" s="80"/>
      <c r="AC1399" s="80"/>
      <c r="AD1399" s="80"/>
      <c r="AE1399" s="80"/>
      <c r="AF1399" s="82"/>
      <c r="AG1399" s="80"/>
      <c r="AH1399" s="80"/>
      <c r="AI1399" s="82"/>
      <c r="AJ1399" s="79"/>
      <c r="AK1399" s="78" t="str">
        <f aca="false">IF(E1399="","",(X1399&lt;&gt;"")+(AC1399&lt;&gt;"")+(AH1399&lt;&gt;""))</f>
        <v/>
      </c>
      <c r="AL1399" s="81" t="str">
        <f aca="false">IF(AH1399&lt;&gt;"",AH1399,IF(AC1399&lt;&gt;"",AC1399,IF(X1399&lt;&gt;"",X1399,"")))</f>
        <v/>
      </c>
      <c r="AM1399" s="83" t="str">
        <f aca="false">IF(E1399="","",IF(R1399="","À SOUDER",IF(U1399="","VT EN ATTENTE",IF(U1399="R","VT REJETÉ – À REPRENDRE",IF(AL1399="","À RADIOGRAPHIER",IF(AL1399="A","ACCEPTÉ",IF(AL1399="NX","NX – RT À REFAIRE",IF(IF(AK1399=1,Z1399,IF(AK1399=2,AE1399,""))="A","RÉPARÉ – À RADIOGRAPHIER",IF(IF(AK1399=1,Z1399,IF(AK1399=2,AE1399,""))="R","VT REJETÉ – À REPRENDRE",IF(OR(AL1399="CO",AL1399="NT"),"COUPE – À RESOUDER","À RÉPARER"))))))))))</f>
        <v/>
      </c>
      <c r="AN1399" s="81" t="str">
        <f aca="false">IF(AND(ISNUMBER(R1399),OR(AM1399="À RADIOGRAPHIER",AM1399="RÉPARÉ – À RADIOGRAPHIER",AM1399="NX – RT À REFAIRE",AM1399="À RÉPARER",AM1399="COUPE – À RESOUDER",AM1399="VT REJETÉ – À REPRENDRE")),MAX(0,'PROGRAMME RT'!$C$4-R1399),"")</f>
        <v/>
      </c>
      <c r="AO1399" s="78" t="n">
        <f aca="false">IF(AND(OR(AM1399="À RADIOGRAPHIER",AM1399="RÉPARÉ – À RADIOGRAPHIER",AM1399="NX – RT À REFAIRE"),OR('PROGRAMME RT'!$D$5="TOUTES",B1399='PROGRAMME RT'!$D$5)),1,0)</f>
        <v>0</v>
      </c>
      <c r="AP1399" s="78" t="str">
        <f aca="false">IF(AO1399=1,SUM(AO$7:AO1399),"")</f>
        <v/>
      </c>
      <c r="AQ1399" s="78" t="n">
        <f aca="false">IF(AND(OR(X1399="R",X1399="NX",X1399="NT",X1399="CO"),OR('JOINTS DE RÉPARATION'!$D$5="TOUTES",B1399='JOINTS DE RÉPARATION'!$D$5),OR('JOINTS DE RÉPARATION'!$L$4="TOUS",AM1399&lt;&gt;"ACCEPTÉ")),1,0)</f>
        <v>0</v>
      </c>
      <c r="AR1399" s="78" t="str">
        <f aca="false">IF(AQ1399=1,SUM(AQ$7:AQ1399),"")</f>
        <v/>
      </c>
    </row>
    <row r="1400" customFormat="false" ht="15" hidden="false" customHeight="false" outlineLevel="0" collapsed="false">
      <c r="A1400" s="78" t="str">
        <f aca="false">IF(E1400="","",ROW()-6)</f>
        <v/>
      </c>
      <c r="B1400" s="79"/>
      <c r="C1400" s="80"/>
      <c r="D1400" s="80"/>
      <c r="E1400" s="80"/>
      <c r="F1400" s="80"/>
      <c r="G1400" s="80"/>
      <c r="H1400" s="80"/>
      <c r="I1400" s="80"/>
      <c r="J1400" s="80"/>
      <c r="K1400" s="80"/>
      <c r="L1400" s="81" t="str">
        <f aca="false">IF(K1400="","",IFERROR(INDEX(BARDAGE!$C$7:$C$1506,MATCH(K1400,BARDAGE!$B$7:$B$1506,0)),"? hors registre"))</f>
        <v/>
      </c>
      <c r="M1400" s="80"/>
      <c r="N1400" s="81" t="str">
        <f aca="false">IF(M1400="","",IFERROR(INDEX(BARDAGE!$C$7:$C$1506,MATCH(M1400,BARDAGE!$B$7:$B$1506,0)),"? hors registre"))</f>
        <v/>
      </c>
      <c r="O1400" s="80"/>
      <c r="P1400" s="80"/>
      <c r="Q1400" s="80"/>
      <c r="R1400" s="82"/>
      <c r="S1400" s="82"/>
      <c r="T1400" s="80"/>
      <c r="U1400" s="80"/>
      <c r="V1400" s="82"/>
      <c r="W1400" s="80"/>
      <c r="X1400" s="80"/>
      <c r="Y1400" s="80"/>
      <c r="Z1400" s="80"/>
      <c r="AA1400" s="82"/>
      <c r="AB1400" s="80"/>
      <c r="AC1400" s="80"/>
      <c r="AD1400" s="80"/>
      <c r="AE1400" s="80"/>
      <c r="AF1400" s="82"/>
      <c r="AG1400" s="80"/>
      <c r="AH1400" s="80"/>
      <c r="AI1400" s="82"/>
      <c r="AJ1400" s="79"/>
      <c r="AK1400" s="78" t="str">
        <f aca="false">IF(E1400="","",(X1400&lt;&gt;"")+(AC1400&lt;&gt;"")+(AH1400&lt;&gt;""))</f>
        <v/>
      </c>
      <c r="AL1400" s="81" t="str">
        <f aca="false">IF(AH1400&lt;&gt;"",AH1400,IF(AC1400&lt;&gt;"",AC1400,IF(X1400&lt;&gt;"",X1400,"")))</f>
        <v/>
      </c>
      <c r="AM1400" s="83" t="str">
        <f aca="false">IF(E1400="","",IF(R1400="","À SOUDER",IF(U1400="","VT EN ATTENTE",IF(U1400="R","VT REJETÉ – À REPRENDRE",IF(AL1400="","À RADIOGRAPHIER",IF(AL1400="A","ACCEPTÉ",IF(AL1400="NX","NX – RT À REFAIRE",IF(IF(AK1400=1,Z1400,IF(AK1400=2,AE1400,""))="A","RÉPARÉ – À RADIOGRAPHIER",IF(IF(AK1400=1,Z1400,IF(AK1400=2,AE1400,""))="R","VT REJETÉ – À REPRENDRE",IF(OR(AL1400="CO",AL1400="NT"),"COUPE – À RESOUDER","À RÉPARER"))))))))))</f>
        <v/>
      </c>
      <c r="AN1400" s="81" t="str">
        <f aca="false">IF(AND(ISNUMBER(R1400),OR(AM1400="À RADIOGRAPHIER",AM1400="RÉPARÉ – À RADIOGRAPHIER",AM1400="NX – RT À REFAIRE",AM1400="À RÉPARER",AM1400="COUPE – À RESOUDER",AM1400="VT REJETÉ – À REPRENDRE")),MAX(0,'PROGRAMME RT'!$C$4-R1400),"")</f>
        <v/>
      </c>
      <c r="AO1400" s="78" t="n">
        <f aca="false">IF(AND(OR(AM1400="À RADIOGRAPHIER",AM1400="RÉPARÉ – À RADIOGRAPHIER",AM1400="NX – RT À REFAIRE"),OR('PROGRAMME RT'!$D$5="TOUTES",B1400='PROGRAMME RT'!$D$5)),1,0)</f>
        <v>0</v>
      </c>
      <c r="AP1400" s="78" t="str">
        <f aca="false">IF(AO1400=1,SUM(AO$7:AO1400),"")</f>
        <v/>
      </c>
      <c r="AQ1400" s="78" t="n">
        <f aca="false">IF(AND(OR(X1400="R",X1400="NX",X1400="NT",X1400="CO"),OR('JOINTS DE RÉPARATION'!$D$5="TOUTES",B1400='JOINTS DE RÉPARATION'!$D$5),OR('JOINTS DE RÉPARATION'!$L$4="TOUS",AM1400&lt;&gt;"ACCEPTÉ")),1,0)</f>
        <v>0</v>
      </c>
      <c r="AR1400" s="78" t="str">
        <f aca="false">IF(AQ1400=1,SUM(AQ$7:AQ1400),"")</f>
        <v/>
      </c>
    </row>
    <row r="1401" customFormat="false" ht="15" hidden="false" customHeight="false" outlineLevel="0" collapsed="false">
      <c r="A1401" s="78" t="str">
        <f aca="false">IF(E1401="","",ROW()-6)</f>
        <v/>
      </c>
      <c r="B1401" s="79"/>
      <c r="C1401" s="80"/>
      <c r="D1401" s="80"/>
      <c r="E1401" s="80"/>
      <c r="F1401" s="80"/>
      <c r="G1401" s="80"/>
      <c r="H1401" s="80"/>
      <c r="I1401" s="80"/>
      <c r="J1401" s="80"/>
      <c r="K1401" s="80"/>
      <c r="L1401" s="81" t="str">
        <f aca="false">IF(K1401="","",IFERROR(INDEX(BARDAGE!$C$7:$C$1506,MATCH(K1401,BARDAGE!$B$7:$B$1506,0)),"? hors registre"))</f>
        <v/>
      </c>
      <c r="M1401" s="80"/>
      <c r="N1401" s="81" t="str">
        <f aca="false">IF(M1401="","",IFERROR(INDEX(BARDAGE!$C$7:$C$1506,MATCH(M1401,BARDAGE!$B$7:$B$1506,0)),"? hors registre"))</f>
        <v/>
      </c>
      <c r="O1401" s="80"/>
      <c r="P1401" s="80"/>
      <c r="Q1401" s="80"/>
      <c r="R1401" s="82"/>
      <c r="S1401" s="82"/>
      <c r="T1401" s="80"/>
      <c r="U1401" s="80"/>
      <c r="V1401" s="82"/>
      <c r="W1401" s="80"/>
      <c r="X1401" s="80"/>
      <c r="Y1401" s="80"/>
      <c r="Z1401" s="80"/>
      <c r="AA1401" s="82"/>
      <c r="AB1401" s="80"/>
      <c r="AC1401" s="80"/>
      <c r="AD1401" s="80"/>
      <c r="AE1401" s="80"/>
      <c r="AF1401" s="82"/>
      <c r="AG1401" s="80"/>
      <c r="AH1401" s="80"/>
      <c r="AI1401" s="82"/>
      <c r="AJ1401" s="79"/>
      <c r="AK1401" s="78" t="str">
        <f aca="false">IF(E1401="","",(X1401&lt;&gt;"")+(AC1401&lt;&gt;"")+(AH1401&lt;&gt;""))</f>
        <v/>
      </c>
      <c r="AL1401" s="81" t="str">
        <f aca="false">IF(AH1401&lt;&gt;"",AH1401,IF(AC1401&lt;&gt;"",AC1401,IF(X1401&lt;&gt;"",X1401,"")))</f>
        <v/>
      </c>
      <c r="AM1401" s="83" t="str">
        <f aca="false">IF(E1401="","",IF(R1401="","À SOUDER",IF(U1401="","VT EN ATTENTE",IF(U1401="R","VT REJETÉ – À REPRENDRE",IF(AL1401="","À RADIOGRAPHIER",IF(AL1401="A","ACCEPTÉ",IF(AL1401="NX","NX – RT À REFAIRE",IF(IF(AK1401=1,Z1401,IF(AK1401=2,AE1401,""))="A","RÉPARÉ – À RADIOGRAPHIER",IF(IF(AK1401=1,Z1401,IF(AK1401=2,AE1401,""))="R","VT REJETÉ – À REPRENDRE",IF(OR(AL1401="CO",AL1401="NT"),"COUPE – À RESOUDER","À RÉPARER"))))))))))</f>
        <v/>
      </c>
      <c r="AN1401" s="81" t="str">
        <f aca="false">IF(AND(ISNUMBER(R1401),OR(AM1401="À RADIOGRAPHIER",AM1401="RÉPARÉ – À RADIOGRAPHIER",AM1401="NX – RT À REFAIRE",AM1401="À RÉPARER",AM1401="COUPE – À RESOUDER",AM1401="VT REJETÉ – À REPRENDRE")),MAX(0,'PROGRAMME RT'!$C$4-R1401),"")</f>
        <v/>
      </c>
      <c r="AO1401" s="78" t="n">
        <f aca="false">IF(AND(OR(AM1401="À RADIOGRAPHIER",AM1401="RÉPARÉ – À RADIOGRAPHIER",AM1401="NX – RT À REFAIRE"),OR('PROGRAMME RT'!$D$5="TOUTES",B1401='PROGRAMME RT'!$D$5)),1,0)</f>
        <v>0</v>
      </c>
      <c r="AP1401" s="78" t="str">
        <f aca="false">IF(AO1401=1,SUM(AO$7:AO1401),"")</f>
        <v/>
      </c>
      <c r="AQ1401" s="78" t="n">
        <f aca="false">IF(AND(OR(X1401="R",X1401="NX",X1401="NT",X1401="CO"),OR('JOINTS DE RÉPARATION'!$D$5="TOUTES",B1401='JOINTS DE RÉPARATION'!$D$5),OR('JOINTS DE RÉPARATION'!$L$4="TOUS",AM1401&lt;&gt;"ACCEPTÉ")),1,0)</f>
        <v>0</v>
      </c>
      <c r="AR1401" s="78" t="str">
        <f aca="false">IF(AQ1401=1,SUM(AQ$7:AQ1401),"")</f>
        <v/>
      </c>
    </row>
    <row r="1402" customFormat="false" ht="15" hidden="false" customHeight="false" outlineLevel="0" collapsed="false">
      <c r="A1402" s="78" t="str">
        <f aca="false">IF(E1402="","",ROW()-6)</f>
        <v/>
      </c>
      <c r="B1402" s="79"/>
      <c r="C1402" s="80"/>
      <c r="D1402" s="80"/>
      <c r="E1402" s="80"/>
      <c r="F1402" s="80"/>
      <c r="G1402" s="80"/>
      <c r="H1402" s="80"/>
      <c r="I1402" s="80"/>
      <c r="J1402" s="80"/>
      <c r="K1402" s="80"/>
      <c r="L1402" s="81" t="str">
        <f aca="false">IF(K1402="","",IFERROR(INDEX(BARDAGE!$C$7:$C$1506,MATCH(K1402,BARDAGE!$B$7:$B$1506,0)),"? hors registre"))</f>
        <v/>
      </c>
      <c r="M1402" s="80"/>
      <c r="N1402" s="81" t="str">
        <f aca="false">IF(M1402="","",IFERROR(INDEX(BARDAGE!$C$7:$C$1506,MATCH(M1402,BARDAGE!$B$7:$B$1506,0)),"? hors registre"))</f>
        <v/>
      </c>
      <c r="O1402" s="80"/>
      <c r="P1402" s="80"/>
      <c r="Q1402" s="80"/>
      <c r="R1402" s="82"/>
      <c r="S1402" s="82"/>
      <c r="T1402" s="80"/>
      <c r="U1402" s="80"/>
      <c r="V1402" s="82"/>
      <c r="W1402" s="80"/>
      <c r="X1402" s="80"/>
      <c r="Y1402" s="80"/>
      <c r="Z1402" s="80"/>
      <c r="AA1402" s="82"/>
      <c r="AB1402" s="80"/>
      <c r="AC1402" s="80"/>
      <c r="AD1402" s="80"/>
      <c r="AE1402" s="80"/>
      <c r="AF1402" s="82"/>
      <c r="AG1402" s="80"/>
      <c r="AH1402" s="80"/>
      <c r="AI1402" s="82"/>
      <c r="AJ1402" s="79"/>
      <c r="AK1402" s="78" t="str">
        <f aca="false">IF(E1402="","",(X1402&lt;&gt;"")+(AC1402&lt;&gt;"")+(AH1402&lt;&gt;""))</f>
        <v/>
      </c>
      <c r="AL1402" s="81" t="str">
        <f aca="false">IF(AH1402&lt;&gt;"",AH1402,IF(AC1402&lt;&gt;"",AC1402,IF(X1402&lt;&gt;"",X1402,"")))</f>
        <v/>
      </c>
      <c r="AM1402" s="83" t="str">
        <f aca="false">IF(E1402="","",IF(R1402="","À SOUDER",IF(U1402="","VT EN ATTENTE",IF(U1402="R","VT REJETÉ – À REPRENDRE",IF(AL1402="","À RADIOGRAPHIER",IF(AL1402="A","ACCEPTÉ",IF(AL1402="NX","NX – RT À REFAIRE",IF(IF(AK1402=1,Z1402,IF(AK1402=2,AE1402,""))="A","RÉPARÉ – À RADIOGRAPHIER",IF(IF(AK1402=1,Z1402,IF(AK1402=2,AE1402,""))="R","VT REJETÉ – À REPRENDRE",IF(OR(AL1402="CO",AL1402="NT"),"COUPE – À RESOUDER","À RÉPARER"))))))))))</f>
        <v/>
      </c>
      <c r="AN1402" s="81" t="str">
        <f aca="false">IF(AND(ISNUMBER(R1402),OR(AM1402="À RADIOGRAPHIER",AM1402="RÉPARÉ – À RADIOGRAPHIER",AM1402="NX – RT À REFAIRE",AM1402="À RÉPARER",AM1402="COUPE – À RESOUDER",AM1402="VT REJETÉ – À REPRENDRE")),MAX(0,'PROGRAMME RT'!$C$4-R1402),"")</f>
        <v/>
      </c>
      <c r="AO1402" s="78" t="n">
        <f aca="false">IF(AND(OR(AM1402="À RADIOGRAPHIER",AM1402="RÉPARÉ – À RADIOGRAPHIER",AM1402="NX – RT À REFAIRE"),OR('PROGRAMME RT'!$D$5="TOUTES",B1402='PROGRAMME RT'!$D$5)),1,0)</f>
        <v>0</v>
      </c>
      <c r="AP1402" s="78" t="str">
        <f aca="false">IF(AO1402=1,SUM(AO$7:AO1402),"")</f>
        <v/>
      </c>
      <c r="AQ1402" s="78" t="n">
        <f aca="false">IF(AND(OR(X1402="R",X1402="NX",X1402="NT",X1402="CO"),OR('JOINTS DE RÉPARATION'!$D$5="TOUTES",B1402='JOINTS DE RÉPARATION'!$D$5),OR('JOINTS DE RÉPARATION'!$L$4="TOUS",AM1402&lt;&gt;"ACCEPTÉ")),1,0)</f>
        <v>0</v>
      </c>
      <c r="AR1402" s="78" t="str">
        <f aca="false">IF(AQ1402=1,SUM(AQ$7:AQ1402),"")</f>
        <v/>
      </c>
    </row>
    <row r="1403" customFormat="false" ht="15" hidden="false" customHeight="false" outlineLevel="0" collapsed="false">
      <c r="A1403" s="78" t="str">
        <f aca="false">IF(E1403="","",ROW()-6)</f>
        <v/>
      </c>
      <c r="B1403" s="79"/>
      <c r="C1403" s="80"/>
      <c r="D1403" s="80"/>
      <c r="E1403" s="80"/>
      <c r="F1403" s="80"/>
      <c r="G1403" s="80"/>
      <c r="H1403" s="80"/>
      <c r="I1403" s="80"/>
      <c r="J1403" s="80"/>
      <c r="K1403" s="80"/>
      <c r="L1403" s="81" t="str">
        <f aca="false">IF(K1403="","",IFERROR(INDEX(BARDAGE!$C$7:$C$1506,MATCH(K1403,BARDAGE!$B$7:$B$1506,0)),"? hors registre"))</f>
        <v/>
      </c>
      <c r="M1403" s="80"/>
      <c r="N1403" s="81" t="str">
        <f aca="false">IF(M1403="","",IFERROR(INDEX(BARDAGE!$C$7:$C$1506,MATCH(M1403,BARDAGE!$B$7:$B$1506,0)),"? hors registre"))</f>
        <v/>
      </c>
      <c r="O1403" s="80"/>
      <c r="P1403" s="80"/>
      <c r="Q1403" s="80"/>
      <c r="R1403" s="82"/>
      <c r="S1403" s="82"/>
      <c r="T1403" s="80"/>
      <c r="U1403" s="80"/>
      <c r="V1403" s="82"/>
      <c r="W1403" s="80"/>
      <c r="X1403" s="80"/>
      <c r="Y1403" s="80"/>
      <c r="Z1403" s="80"/>
      <c r="AA1403" s="82"/>
      <c r="AB1403" s="80"/>
      <c r="AC1403" s="80"/>
      <c r="AD1403" s="80"/>
      <c r="AE1403" s="80"/>
      <c r="AF1403" s="82"/>
      <c r="AG1403" s="80"/>
      <c r="AH1403" s="80"/>
      <c r="AI1403" s="82"/>
      <c r="AJ1403" s="79"/>
      <c r="AK1403" s="78" t="str">
        <f aca="false">IF(E1403="","",(X1403&lt;&gt;"")+(AC1403&lt;&gt;"")+(AH1403&lt;&gt;""))</f>
        <v/>
      </c>
      <c r="AL1403" s="81" t="str">
        <f aca="false">IF(AH1403&lt;&gt;"",AH1403,IF(AC1403&lt;&gt;"",AC1403,IF(X1403&lt;&gt;"",X1403,"")))</f>
        <v/>
      </c>
      <c r="AM1403" s="83" t="str">
        <f aca="false">IF(E1403="","",IF(R1403="","À SOUDER",IF(U1403="","VT EN ATTENTE",IF(U1403="R","VT REJETÉ – À REPRENDRE",IF(AL1403="","À RADIOGRAPHIER",IF(AL1403="A","ACCEPTÉ",IF(AL1403="NX","NX – RT À REFAIRE",IF(IF(AK1403=1,Z1403,IF(AK1403=2,AE1403,""))="A","RÉPARÉ – À RADIOGRAPHIER",IF(IF(AK1403=1,Z1403,IF(AK1403=2,AE1403,""))="R","VT REJETÉ – À REPRENDRE",IF(OR(AL1403="CO",AL1403="NT"),"COUPE – À RESOUDER","À RÉPARER"))))))))))</f>
        <v/>
      </c>
      <c r="AN1403" s="81" t="str">
        <f aca="false">IF(AND(ISNUMBER(R1403),OR(AM1403="À RADIOGRAPHIER",AM1403="RÉPARÉ – À RADIOGRAPHIER",AM1403="NX – RT À REFAIRE",AM1403="À RÉPARER",AM1403="COUPE – À RESOUDER",AM1403="VT REJETÉ – À REPRENDRE")),MAX(0,'PROGRAMME RT'!$C$4-R1403),"")</f>
        <v/>
      </c>
      <c r="AO1403" s="78" t="n">
        <f aca="false">IF(AND(OR(AM1403="À RADIOGRAPHIER",AM1403="RÉPARÉ – À RADIOGRAPHIER",AM1403="NX – RT À REFAIRE"),OR('PROGRAMME RT'!$D$5="TOUTES",B1403='PROGRAMME RT'!$D$5)),1,0)</f>
        <v>0</v>
      </c>
      <c r="AP1403" s="78" t="str">
        <f aca="false">IF(AO1403=1,SUM(AO$7:AO1403),"")</f>
        <v/>
      </c>
      <c r="AQ1403" s="78" t="n">
        <f aca="false">IF(AND(OR(X1403="R",X1403="NX",X1403="NT",X1403="CO"),OR('JOINTS DE RÉPARATION'!$D$5="TOUTES",B1403='JOINTS DE RÉPARATION'!$D$5),OR('JOINTS DE RÉPARATION'!$L$4="TOUS",AM1403&lt;&gt;"ACCEPTÉ")),1,0)</f>
        <v>0</v>
      </c>
      <c r="AR1403" s="78" t="str">
        <f aca="false">IF(AQ1403=1,SUM(AQ$7:AQ1403),"")</f>
        <v/>
      </c>
    </row>
    <row r="1404" customFormat="false" ht="15" hidden="false" customHeight="false" outlineLevel="0" collapsed="false">
      <c r="A1404" s="78" t="str">
        <f aca="false">IF(E1404="","",ROW()-6)</f>
        <v/>
      </c>
      <c r="B1404" s="79"/>
      <c r="C1404" s="80"/>
      <c r="D1404" s="80"/>
      <c r="E1404" s="80"/>
      <c r="F1404" s="80"/>
      <c r="G1404" s="80"/>
      <c r="H1404" s="80"/>
      <c r="I1404" s="80"/>
      <c r="J1404" s="80"/>
      <c r="K1404" s="80"/>
      <c r="L1404" s="81" t="str">
        <f aca="false">IF(K1404="","",IFERROR(INDEX(BARDAGE!$C$7:$C$1506,MATCH(K1404,BARDAGE!$B$7:$B$1506,0)),"? hors registre"))</f>
        <v/>
      </c>
      <c r="M1404" s="80"/>
      <c r="N1404" s="81" t="str">
        <f aca="false">IF(M1404="","",IFERROR(INDEX(BARDAGE!$C$7:$C$1506,MATCH(M1404,BARDAGE!$B$7:$B$1506,0)),"? hors registre"))</f>
        <v/>
      </c>
      <c r="O1404" s="80"/>
      <c r="P1404" s="80"/>
      <c r="Q1404" s="80"/>
      <c r="R1404" s="82"/>
      <c r="S1404" s="82"/>
      <c r="T1404" s="80"/>
      <c r="U1404" s="80"/>
      <c r="V1404" s="82"/>
      <c r="W1404" s="80"/>
      <c r="X1404" s="80"/>
      <c r="Y1404" s="80"/>
      <c r="Z1404" s="80"/>
      <c r="AA1404" s="82"/>
      <c r="AB1404" s="80"/>
      <c r="AC1404" s="80"/>
      <c r="AD1404" s="80"/>
      <c r="AE1404" s="80"/>
      <c r="AF1404" s="82"/>
      <c r="AG1404" s="80"/>
      <c r="AH1404" s="80"/>
      <c r="AI1404" s="82"/>
      <c r="AJ1404" s="79"/>
      <c r="AK1404" s="78" t="str">
        <f aca="false">IF(E1404="","",(X1404&lt;&gt;"")+(AC1404&lt;&gt;"")+(AH1404&lt;&gt;""))</f>
        <v/>
      </c>
      <c r="AL1404" s="81" t="str">
        <f aca="false">IF(AH1404&lt;&gt;"",AH1404,IF(AC1404&lt;&gt;"",AC1404,IF(X1404&lt;&gt;"",X1404,"")))</f>
        <v/>
      </c>
      <c r="AM1404" s="83" t="str">
        <f aca="false">IF(E1404="","",IF(R1404="","À SOUDER",IF(U1404="","VT EN ATTENTE",IF(U1404="R","VT REJETÉ – À REPRENDRE",IF(AL1404="","À RADIOGRAPHIER",IF(AL1404="A","ACCEPTÉ",IF(AL1404="NX","NX – RT À REFAIRE",IF(IF(AK1404=1,Z1404,IF(AK1404=2,AE1404,""))="A","RÉPARÉ – À RADIOGRAPHIER",IF(IF(AK1404=1,Z1404,IF(AK1404=2,AE1404,""))="R","VT REJETÉ – À REPRENDRE",IF(OR(AL1404="CO",AL1404="NT"),"COUPE – À RESOUDER","À RÉPARER"))))))))))</f>
        <v/>
      </c>
      <c r="AN1404" s="81" t="str">
        <f aca="false">IF(AND(ISNUMBER(R1404),OR(AM1404="À RADIOGRAPHIER",AM1404="RÉPARÉ – À RADIOGRAPHIER",AM1404="NX – RT À REFAIRE",AM1404="À RÉPARER",AM1404="COUPE – À RESOUDER",AM1404="VT REJETÉ – À REPRENDRE")),MAX(0,'PROGRAMME RT'!$C$4-R1404),"")</f>
        <v/>
      </c>
      <c r="AO1404" s="78" t="n">
        <f aca="false">IF(AND(OR(AM1404="À RADIOGRAPHIER",AM1404="RÉPARÉ – À RADIOGRAPHIER",AM1404="NX – RT À REFAIRE"),OR('PROGRAMME RT'!$D$5="TOUTES",B1404='PROGRAMME RT'!$D$5)),1,0)</f>
        <v>0</v>
      </c>
      <c r="AP1404" s="78" t="str">
        <f aca="false">IF(AO1404=1,SUM(AO$7:AO1404),"")</f>
        <v/>
      </c>
      <c r="AQ1404" s="78" t="n">
        <f aca="false">IF(AND(OR(X1404="R",X1404="NX",X1404="NT",X1404="CO"),OR('JOINTS DE RÉPARATION'!$D$5="TOUTES",B1404='JOINTS DE RÉPARATION'!$D$5),OR('JOINTS DE RÉPARATION'!$L$4="TOUS",AM1404&lt;&gt;"ACCEPTÉ")),1,0)</f>
        <v>0</v>
      </c>
      <c r="AR1404" s="78" t="str">
        <f aca="false">IF(AQ1404=1,SUM(AQ$7:AQ1404),"")</f>
        <v/>
      </c>
    </row>
    <row r="1405" customFormat="false" ht="15" hidden="false" customHeight="false" outlineLevel="0" collapsed="false">
      <c r="A1405" s="78" t="str">
        <f aca="false">IF(E1405="","",ROW()-6)</f>
        <v/>
      </c>
      <c r="B1405" s="79"/>
      <c r="C1405" s="80"/>
      <c r="D1405" s="80"/>
      <c r="E1405" s="80"/>
      <c r="F1405" s="80"/>
      <c r="G1405" s="80"/>
      <c r="H1405" s="80"/>
      <c r="I1405" s="80"/>
      <c r="J1405" s="80"/>
      <c r="K1405" s="80"/>
      <c r="L1405" s="81" t="str">
        <f aca="false">IF(K1405="","",IFERROR(INDEX(BARDAGE!$C$7:$C$1506,MATCH(K1405,BARDAGE!$B$7:$B$1506,0)),"? hors registre"))</f>
        <v/>
      </c>
      <c r="M1405" s="80"/>
      <c r="N1405" s="81" t="str">
        <f aca="false">IF(M1405="","",IFERROR(INDEX(BARDAGE!$C$7:$C$1506,MATCH(M1405,BARDAGE!$B$7:$B$1506,0)),"? hors registre"))</f>
        <v/>
      </c>
      <c r="O1405" s="80"/>
      <c r="P1405" s="80"/>
      <c r="Q1405" s="80"/>
      <c r="R1405" s="82"/>
      <c r="S1405" s="82"/>
      <c r="T1405" s="80"/>
      <c r="U1405" s="80"/>
      <c r="V1405" s="82"/>
      <c r="W1405" s="80"/>
      <c r="X1405" s="80"/>
      <c r="Y1405" s="80"/>
      <c r="Z1405" s="80"/>
      <c r="AA1405" s="82"/>
      <c r="AB1405" s="80"/>
      <c r="AC1405" s="80"/>
      <c r="AD1405" s="80"/>
      <c r="AE1405" s="80"/>
      <c r="AF1405" s="82"/>
      <c r="AG1405" s="80"/>
      <c r="AH1405" s="80"/>
      <c r="AI1405" s="82"/>
      <c r="AJ1405" s="79"/>
      <c r="AK1405" s="78" t="str">
        <f aca="false">IF(E1405="","",(X1405&lt;&gt;"")+(AC1405&lt;&gt;"")+(AH1405&lt;&gt;""))</f>
        <v/>
      </c>
      <c r="AL1405" s="81" t="str">
        <f aca="false">IF(AH1405&lt;&gt;"",AH1405,IF(AC1405&lt;&gt;"",AC1405,IF(X1405&lt;&gt;"",X1405,"")))</f>
        <v/>
      </c>
      <c r="AM1405" s="83" t="str">
        <f aca="false">IF(E1405="","",IF(R1405="","À SOUDER",IF(U1405="","VT EN ATTENTE",IF(U1405="R","VT REJETÉ – À REPRENDRE",IF(AL1405="","À RADIOGRAPHIER",IF(AL1405="A","ACCEPTÉ",IF(AL1405="NX","NX – RT À REFAIRE",IF(IF(AK1405=1,Z1405,IF(AK1405=2,AE1405,""))="A","RÉPARÉ – À RADIOGRAPHIER",IF(IF(AK1405=1,Z1405,IF(AK1405=2,AE1405,""))="R","VT REJETÉ – À REPRENDRE",IF(OR(AL1405="CO",AL1405="NT"),"COUPE – À RESOUDER","À RÉPARER"))))))))))</f>
        <v/>
      </c>
      <c r="AN1405" s="81" t="str">
        <f aca="false">IF(AND(ISNUMBER(R1405),OR(AM1405="À RADIOGRAPHIER",AM1405="RÉPARÉ – À RADIOGRAPHIER",AM1405="NX – RT À REFAIRE",AM1405="À RÉPARER",AM1405="COUPE – À RESOUDER",AM1405="VT REJETÉ – À REPRENDRE")),MAX(0,'PROGRAMME RT'!$C$4-R1405),"")</f>
        <v/>
      </c>
      <c r="AO1405" s="78" t="n">
        <f aca="false">IF(AND(OR(AM1405="À RADIOGRAPHIER",AM1405="RÉPARÉ – À RADIOGRAPHIER",AM1405="NX – RT À REFAIRE"),OR('PROGRAMME RT'!$D$5="TOUTES",B1405='PROGRAMME RT'!$D$5)),1,0)</f>
        <v>0</v>
      </c>
      <c r="AP1405" s="78" t="str">
        <f aca="false">IF(AO1405=1,SUM(AO$7:AO1405),"")</f>
        <v/>
      </c>
      <c r="AQ1405" s="78" t="n">
        <f aca="false">IF(AND(OR(X1405="R",X1405="NX",X1405="NT",X1405="CO"),OR('JOINTS DE RÉPARATION'!$D$5="TOUTES",B1405='JOINTS DE RÉPARATION'!$D$5),OR('JOINTS DE RÉPARATION'!$L$4="TOUS",AM1405&lt;&gt;"ACCEPTÉ")),1,0)</f>
        <v>0</v>
      </c>
      <c r="AR1405" s="78" t="str">
        <f aca="false">IF(AQ1405=1,SUM(AQ$7:AQ1405),"")</f>
        <v/>
      </c>
    </row>
    <row r="1406" customFormat="false" ht="15" hidden="false" customHeight="false" outlineLevel="0" collapsed="false">
      <c r="A1406" s="78" t="str">
        <f aca="false">IF(E1406="","",ROW()-6)</f>
        <v/>
      </c>
      <c r="B1406" s="79"/>
      <c r="C1406" s="80"/>
      <c r="D1406" s="80"/>
      <c r="E1406" s="80"/>
      <c r="F1406" s="80"/>
      <c r="G1406" s="80"/>
      <c r="H1406" s="80"/>
      <c r="I1406" s="80"/>
      <c r="J1406" s="80"/>
      <c r="K1406" s="80"/>
      <c r="L1406" s="81" t="str">
        <f aca="false">IF(K1406="","",IFERROR(INDEX(BARDAGE!$C$7:$C$1506,MATCH(K1406,BARDAGE!$B$7:$B$1506,0)),"? hors registre"))</f>
        <v/>
      </c>
      <c r="M1406" s="80"/>
      <c r="N1406" s="81" t="str">
        <f aca="false">IF(M1406="","",IFERROR(INDEX(BARDAGE!$C$7:$C$1506,MATCH(M1406,BARDAGE!$B$7:$B$1506,0)),"? hors registre"))</f>
        <v/>
      </c>
      <c r="O1406" s="80"/>
      <c r="P1406" s="80"/>
      <c r="Q1406" s="80"/>
      <c r="R1406" s="82"/>
      <c r="S1406" s="82"/>
      <c r="T1406" s="80"/>
      <c r="U1406" s="80"/>
      <c r="V1406" s="82"/>
      <c r="W1406" s="80"/>
      <c r="X1406" s="80"/>
      <c r="Y1406" s="80"/>
      <c r="Z1406" s="80"/>
      <c r="AA1406" s="82"/>
      <c r="AB1406" s="80"/>
      <c r="AC1406" s="80"/>
      <c r="AD1406" s="80"/>
      <c r="AE1406" s="80"/>
      <c r="AF1406" s="82"/>
      <c r="AG1406" s="80"/>
      <c r="AH1406" s="80"/>
      <c r="AI1406" s="82"/>
      <c r="AJ1406" s="79"/>
      <c r="AK1406" s="78" t="str">
        <f aca="false">IF(E1406="","",(X1406&lt;&gt;"")+(AC1406&lt;&gt;"")+(AH1406&lt;&gt;""))</f>
        <v/>
      </c>
      <c r="AL1406" s="81" t="str">
        <f aca="false">IF(AH1406&lt;&gt;"",AH1406,IF(AC1406&lt;&gt;"",AC1406,IF(X1406&lt;&gt;"",X1406,"")))</f>
        <v/>
      </c>
      <c r="AM1406" s="83" t="str">
        <f aca="false">IF(E1406="","",IF(R1406="","À SOUDER",IF(U1406="","VT EN ATTENTE",IF(U1406="R","VT REJETÉ – À REPRENDRE",IF(AL1406="","À RADIOGRAPHIER",IF(AL1406="A","ACCEPTÉ",IF(AL1406="NX","NX – RT À REFAIRE",IF(IF(AK1406=1,Z1406,IF(AK1406=2,AE1406,""))="A","RÉPARÉ – À RADIOGRAPHIER",IF(IF(AK1406=1,Z1406,IF(AK1406=2,AE1406,""))="R","VT REJETÉ – À REPRENDRE",IF(OR(AL1406="CO",AL1406="NT"),"COUPE – À RESOUDER","À RÉPARER"))))))))))</f>
        <v/>
      </c>
      <c r="AN1406" s="81" t="str">
        <f aca="false">IF(AND(ISNUMBER(R1406),OR(AM1406="À RADIOGRAPHIER",AM1406="RÉPARÉ – À RADIOGRAPHIER",AM1406="NX – RT À REFAIRE",AM1406="À RÉPARER",AM1406="COUPE – À RESOUDER",AM1406="VT REJETÉ – À REPRENDRE")),MAX(0,'PROGRAMME RT'!$C$4-R1406),"")</f>
        <v/>
      </c>
      <c r="AO1406" s="78" t="n">
        <f aca="false">IF(AND(OR(AM1406="À RADIOGRAPHIER",AM1406="RÉPARÉ – À RADIOGRAPHIER",AM1406="NX – RT À REFAIRE"),OR('PROGRAMME RT'!$D$5="TOUTES",B1406='PROGRAMME RT'!$D$5)),1,0)</f>
        <v>0</v>
      </c>
      <c r="AP1406" s="78" t="str">
        <f aca="false">IF(AO1406=1,SUM(AO$7:AO1406),"")</f>
        <v/>
      </c>
      <c r="AQ1406" s="78" t="n">
        <f aca="false">IF(AND(OR(X1406="R",X1406="NX",X1406="NT",X1406="CO"),OR('JOINTS DE RÉPARATION'!$D$5="TOUTES",B1406='JOINTS DE RÉPARATION'!$D$5),OR('JOINTS DE RÉPARATION'!$L$4="TOUS",AM1406&lt;&gt;"ACCEPTÉ")),1,0)</f>
        <v>0</v>
      </c>
      <c r="AR1406" s="78" t="str">
        <f aca="false">IF(AQ1406=1,SUM(AQ$7:AQ1406),"")</f>
        <v/>
      </c>
    </row>
    <row r="1407" customFormat="false" ht="15" hidden="false" customHeight="false" outlineLevel="0" collapsed="false">
      <c r="A1407" s="78" t="str">
        <f aca="false">IF(E1407="","",ROW()-6)</f>
        <v/>
      </c>
      <c r="B1407" s="79"/>
      <c r="C1407" s="80"/>
      <c r="D1407" s="80"/>
      <c r="E1407" s="80"/>
      <c r="F1407" s="80"/>
      <c r="G1407" s="80"/>
      <c r="H1407" s="80"/>
      <c r="I1407" s="80"/>
      <c r="J1407" s="80"/>
      <c r="K1407" s="80"/>
      <c r="L1407" s="81" t="str">
        <f aca="false">IF(K1407="","",IFERROR(INDEX(BARDAGE!$C$7:$C$1506,MATCH(K1407,BARDAGE!$B$7:$B$1506,0)),"? hors registre"))</f>
        <v/>
      </c>
      <c r="M1407" s="80"/>
      <c r="N1407" s="81" t="str">
        <f aca="false">IF(M1407="","",IFERROR(INDEX(BARDAGE!$C$7:$C$1506,MATCH(M1407,BARDAGE!$B$7:$B$1506,0)),"? hors registre"))</f>
        <v/>
      </c>
      <c r="O1407" s="80"/>
      <c r="P1407" s="80"/>
      <c r="Q1407" s="80"/>
      <c r="R1407" s="82"/>
      <c r="S1407" s="82"/>
      <c r="T1407" s="80"/>
      <c r="U1407" s="80"/>
      <c r="V1407" s="82"/>
      <c r="W1407" s="80"/>
      <c r="X1407" s="80"/>
      <c r="Y1407" s="80"/>
      <c r="Z1407" s="80"/>
      <c r="AA1407" s="82"/>
      <c r="AB1407" s="80"/>
      <c r="AC1407" s="80"/>
      <c r="AD1407" s="80"/>
      <c r="AE1407" s="80"/>
      <c r="AF1407" s="82"/>
      <c r="AG1407" s="80"/>
      <c r="AH1407" s="80"/>
      <c r="AI1407" s="82"/>
      <c r="AJ1407" s="79"/>
      <c r="AK1407" s="78" t="str">
        <f aca="false">IF(E1407="","",(X1407&lt;&gt;"")+(AC1407&lt;&gt;"")+(AH1407&lt;&gt;""))</f>
        <v/>
      </c>
      <c r="AL1407" s="81" t="str">
        <f aca="false">IF(AH1407&lt;&gt;"",AH1407,IF(AC1407&lt;&gt;"",AC1407,IF(X1407&lt;&gt;"",X1407,"")))</f>
        <v/>
      </c>
      <c r="AM1407" s="83" t="str">
        <f aca="false">IF(E1407="","",IF(R1407="","À SOUDER",IF(U1407="","VT EN ATTENTE",IF(U1407="R","VT REJETÉ – À REPRENDRE",IF(AL1407="","À RADIOGRAPHIER",IF(AL1407="A","ACCEPTÉ",IF(AL1407="NX","NX – RT À REFAIRE",IF(IF(AK1407=1,Z1407,IF(AK1407=2,AE1407,""))="A","RÉPARÉ – À RADIOGRAPHIER",IF(IF(AK1407=1,Z1407,IF(AK1407=2,AE1407,""))="R","VT REJETÉ – À REPRENDRE",IF(OR(AL1407="CO",AL1407="NT"),"COUPE – À RESOUDER","À RÉPARER"))))))))))</f>
        <v/>
      </c>
      <c r="AN1407" s="81" t="str">
        <f aca="false">IF(AND(ISNUMBER(R1407),OR(AM1407="À RADIOGRAPHIER",AM1407="RÉPARÉ – À RADIOGRAPHIER",AM1407="NX – RT À REFAIRE",AM1407="À RÉPARER",AM1407="COUPE – À RESOUDER",AM1407="VT REJETÉ – À REPRENDRE")),MAX(0,'PROGRAMME RT'!$C$4-R1407),"")</f>
        <v/>
      </c>
      <c r="AO1407" s="78" t="n">
        <f aca="false">IF(AND(OR(AM1407="À RADIOGRAPHIER",AM1407="RÉPARÉ – À RADIOGRAPHIER",AM1407="NX – RT À REFAIRE"),OR('PROGRAMME RT'!$D$5="TOUTES",B1407='PROGRAMME RT'!$D$5)),1,0)</f>
        <v>0</v>
      </c>
      <c r="AP1407" s="78" t="str">
        <f aca="false">IF(AO1407=1,SUM(AO$7:AO1407),"")</f>
        <v/>
      </c>
      <c r="AQ1407" s="78" t="n">
        <f aca="false">IF(AND(OR(X1407="R",X1407="NX",X1407="NT",X1407="CO"),OR('JOINTS DE RÉPARATION'!$D$5="TOUTES",B1407='JOINTS DE RÉPARATION'!$D$5),OR('JOINTS DE RÉPARATION'!$L$4="TOUS",AM1407&lt;&gt;"ACCEPTÉ")),1,0)</f>
        <v>0</v>
      </c>
      <c r="AR1407" s="78" t="str">
        <f aca="false">IF(AQ1407=1,SUM(AQ$7:AQ1407),"")</f>
        <v/>
      </c>
    </row>
    <row r="1408" customFormat="false" ht="15" hidden="false" customHeight="false" outlineLevel="0" collapsed="false">
      <c r="A1408" s="78" t="str">
        <f aca="false">IF(E1408="","",ROW()-6)</f>
        <v/>
      </c>
      <c r="B1408" s="79"/>
      <c r="C1408" s="80"/>
      <c r="D1408" s="80"/>
      <c r="E1408" s="80"/>
      <c r="F1408" s="80"/>
      <c r="G1408" s="80"/>
      <c r="H1408" s="80"/>
      <c r="I1408" s="80"/>
      <c r="J1408" s="80"/>
      <c r="K1408" s="80"/>
      <c r="L1408" s="81" t="str">
        <f aca="false">IF(K1408="","",IFERROR(INDEX(BARDAGE!$C$7:$C$1506,MATCH(K1408,BARDAGE!$B$7:$B$1506,0)),"? hors registre"))</f>
        <v/>
      </c>
      <c r="M1408" s="80"/>
      <c r="N1408" s="81" t="str">
        <f aca="false">IF(M1408="","",IFERROR(INDEX(BARDAGE!$C$7:$C$1506,MATCH(M1408,BARDAGE!$B$7:$B$1506,0)),"? hors registre"))</f>
        <v/>
      </c>
      <c r="O1408" s="80"/>
      <c r="P1408" s="80"/>
      <c r="Q1408" s="80"/>
      <c r="R1408" s="82"/>
      <c r="S1408" s="82"/>
      <c r="T1408" s="80"/>
      <c r="U1408" s="80"/>
      <c r="V1408" s="82"/>
      <c r="W1408" s="80"/>
      <c r="X1408" s="80"/>
      <c r="Y1408" s="80"/>
      <c r="Z1408" s="80"/>
      <c r="AA1408" s="82"/>
      <c r="AB1408" s="80"/>
      <c r="AC1408" s="80"/>
      <c r="AD1408" s="80"/>
      <c r="AE1408" s="80"/>
      <c r="AF1408" s="82"/>
      <c r="AG1408" s="80"/>
      <c r="AH1408" s="80"/>
      <c r="AI1408" s="82"/>
      <c r="AJ1408" s="79"/>
      <c r="AK1408" s="78" t="str">
        <f aca="false">IF(E1408="","",(X1408&lt;&gt;"")+(AC1408&lt;&gt;"")+(AH1408&lt;&gt;""))</f>
        <v/>
      </c>
      <c r="AL1408" s="81" t="str">
        <f aca="false">IF(AH1408&lt;&gt;"",AH1408,IF(AC1408&lt;&gt;"",AC1408,IF(X1408&lt;&gt;"",X1408,"")))</f>
        <v/>
      </c>
      <c r="AM1408" s="83" t="str">
        <f aca="false">IF(E1408="","",IF(R1408="","À SOUDER",IF(U1408="","VT EN ATTENTE",IF(U1408="R","VT REJETÉ – À REPRENDRE",IF(AL1408="","À RADIOGRAPHIER",IF(AL1408="A","ACCEPTÉ",IF(AL1408="NX","NX – RT À REFAIRE",IF(IF(AK1408=1,Z1408,IF(AK1408=2,AE1408,""))="A","RÉPARÉ – À RADIOGRAPHIER",IF(IF(AK1408=1,Z1408,IF(AK1408=2,AE1408,""))="R","VT REJETÉ – À REPRENDRE",IF(OR(AL1408="CO",AL1408="NT"),"COUPE – À RESOUDER","À RÉPARER"))))))))))</f>
        <v/>
      </c>
      <c r="AN1408" s="81" t="str">
        <f aca="false">IF(AND(ISNUMBER(R1408),OR(AM1408="À RADIOGRAPHIER",AM1408="RÉPARÉ – À RADIOGRAPHIER",AM1408="NX – RT À REFAIRE",AM1408="À RÉPARER",AM1408="COUPE – À RESOUDER",AM1408="VT REJETÉ – À REPRENDRE")),MAX(0,'PROGRAMME RT'!$C$4-R1408),"")</f>
        <v/>
      </c>
      <c r="AO1408" s="78" t="n">
        <f aca="false">IF(AND(OR(AM1408="À RADIOGRAPHIER",AM1408="RÉPARÉ – À RADIOGRAPHIER",AM1408="NX – RT À REFAIRE"),OR('PROGRAMME RT'!$D$5="TOUTES",B1408='PROGRAMME RT'!$D$5)),1,0)</f>
        <v>0</v>
      </c>
      <c r="AP1408" s="78" t="str">
        <f aca="false">IF(AO1408=1,SUM(AO$7:AO1408),"")</f>
        <v/>
      </c>
      <c r="AQ1408" s="78" t="n">
        <f aca="false">IF(AND(OR(X1408="R",X1408="NX",X1408="NT",X1408="CO"),OR('JOINTS DE RÉPARATION'!$D$5="TOUTES",B1408='JOINTS DE RÉPARATION'!$D$5),OR('JOINTS DE RÉPARATION'!$L$4="TOUS",AM1408&lt;&gt;"ACCEPTÉ")),1,0)</f>
        <v>0</v>
      </c>
      <c r="AR1408" s="78" t="str">
        <f aca="false">IF(AQ1408=1,SUM(AQ$7:AQ1408),"")</f>
        <v/>
      </c>
    </row>
    <row r="1409" customFormat="false" ht="15" hidden="false" customHeight="false" outlineLevel="0" collapsed="false">
      <c r="A1409" s="78" t="str">
        <f aca="false">IF(E1409="","",ROW()-6)</f>
        <v/>
      </c>
      <c r="B1409" s="79"/>
      <c r="C1409" s="80"/>
      <c r="D1409" s="80"/>
      <c r="E1409" s="80"/>
      <c r="F1409" s="80"/>
      <c r="G1409" s="80"/>
      <c r="H1409" s="80"/>
      <c r="I1409" s="80"/>
      <c r="J1409" s="80"/>
      <c r="K1409" s="80"/>
      <c r="L1409" s="81" t="str">
        <f aca="false">IF(K1409="","",IFERROR(INDEX(BARDAGE!$C$7:$C$1506,MATCH(K1409,BARDAGE!$B$7:$B$1506,0)),"? hors registre"))</f>
        <v/>
      </c>
      <c r="M1409" s="80"/>
      <c r="N1409" s="81" t="str">
        <f aca="false">IF(M1409="","",IFERROR(INDEX(BARDAGE!$C$7:$C$1506,MATCH(M1409,BARDAGE!$B$7:$B$1506,0)),"? hors registre"))</f>
        <v/>
      </c>
      <c r="O1409" s="80"/>
      <c r="P1409" s="80"/>
      <c r="Q1409" s="80"/>
      <c r="R1409" s="82"/>
      <c r="S1409" s="82"/>
      <c r="T1409" s="80"/>
      <c r="U1409" s="80"/>
      <c r="V1409" s="82"/>
      <c r="W1409" s="80"/>
      <c r="X1409" s="80"/>
      <c r="Y1409" s="80"/>
      <c r="Z1409" s="80"/>
      <c r="AA1409" s="82"/>
      <c r="AB1409" s="80"/>
      <c r="AC1409" s="80"/>
      <c r="AD1409" s="80"/>
      <c r="AE1409" s="80"/>
      <c r="AF1409" s="82"/>
      <c r="AG1409" s="80"/>
      <c r="AH1409" s="80"/>
      <c r="AI1409" s="82"/>
      <c r="AJ1409" s="79"/>
      <c r="AK1409" s="78" t="str">
        <f aca="false">IF(E1409="","",(X1409&lt;&gt;"")+(AC1409&lt;&gt;"")+(AH1409&lt;&gt;""))</f>
        <v/>
      </c>
      <c r="AL1409" s="81" t="str">
        <f aca="false">IF(AH1409&lt;&gt;"",AH1409,IF(AC1409&lt;&gt;"",AC1409,IF(X1409&lt;&gt;"",X1409,"")))</f>
        <v/>
      </c>
      <c r="AM1409" s="83" t="str">
        <f aca="false">IF(E1409="","",IF(R1409="","À SOUDER",IF(U1409="","VT EN ATTENTE",IF(U1409="R","VT REJETÉ – À REPRENDRE",IF(AL1409="","À RADIOGRAPHIER",IF(AL1409="A","ACCEPTÉ",IF(AL1409="NX","NX – RT À REFAIRE",IF(IF(AK1409=1,Z1409,IF(AK1409=2,AE1409,""))="A","RÉPARÉ – À RADIOGRAPHIER",IF(IF(AK1409=1,Z1409,IF(AK1409=2,AE1409,""))="R","VT REJETÉ – À REPRENDRE",IF(OR(AL1409="CO",AL1409="NT"),"COUPE – À RESOUDER","À RÉPARER"))))))))))</f>
        <v/>
      </c>
      <c r="AN1409" s="81" t="str">
        <f aca="false">IF(AND(ISNUMBER(R1409),OR(AM1409="À RADIOGRAPHIER",AM1409="RÉPARÉ – À RADIOGRAPHIER",AM1409="NX – RT À REFAIRE",AM1409="À RÉPARER",AM1409="COUPE – À RESOUDER",AM1409="VT REJETÉ – À REPRENDRE")),MAX(0,'PROGRAMME RT'!$C$4-R1409),"")</f>
        <v/>
      </c>
      <c r="AO1409" s="78" t="n">
        <f aca="false">IF(AND(OR(AM1409="À RADIOGRAPHIER",AM1409="RÉPARÉ – À RADIOGRAPHIER",AM1409="NX – RT À REFAIRE"),OR('PROGRAMME RT'!$D$5="TOUTES",B1409='PROGRAMME RT'!$D$5)),1,0)</f>
        <v>0</v>
      </c>
      <c r="AP1409" s="78" t="str">
        <f aca="false">IF(AO1409=1,SUM(AO$7:AO1409),"")</f>
        <v/>
      </c>
      <c r="AQ1409" s="78" t="n">
        <f aca="false">IF(AND(OR(X1409="R",X1409="NX",X1409="NT",X1409="CO"),OR('JOINTS DE RÉPARATION'!$D$5="TOUTES",B1409='JOINTS DE RÉPARATION'!$D$5),OR('JOINTS DE RÉPARATION'!$L$4="TOUS",AM1409&lt;&gt;"ACCEPTÉ")),1,0)</f>
        <v>0</v>
      </c>
      <c r="AR1409" s="78" t="str">
        <f aca="false">IF(AQ1409=1,SUM(AQ$7:AQ1409),"")</f>
        <v/>
      </c>
    </row>
    <row r="1410" customFormat="false" ht="15" hidden="false" customHeight="false" outlineLevel="0" collapsed="false">
      <c r="A1410" s="78" t="str">
        <f aca="false">IF(E1410="","",ROW()-6)</f>
        <v/>
      </c>
      <c r="B1410" s="79"/>
      <c r="C1410" s="80"/>
      <c r="D1410" s="80"/>
      <c r="E1410" s="80"/>
      <c r="F1410" s="80"/>
      <c r="G1410" s="80"/>
      <c r="H1410" s="80"/>
      <c r="I1410" s="80"/>
      <c r="J1410" s="80"/>
      <c r="K1410" s="80"/>
      <c r="L1410" s="81" t="str">
        <f aca="false">IF(K1410="","",IFERROR(INDEX(BARDAGE!$C$7:$C$1506,MATCH(K1410,BARDAGE!$B$7:$B$1506,0)),"? hors registre"))</f>
        <v/>
      </c>
      <c r="M1410" s="80"/>
      <c r="N1410" s="81" t="str">
        <f aca="false">IF(M1410="","",IFERROR(INDEX(BARDAGE!$C$7:$C$1506,MATCH(M1410,BARDAGE!$B$7:$B$1506,0)),"? hors registre"))</f>
        <v/>
      </c>
      <c r="O1410" s="80"/>
      <c r="P1410" s="80"/>
      <c r="Q1410" s="80"/>
      <c r="R1410" s="82"/>
      <c r="S1410" s="82"/>
      <c r="T1410" s="80"/>
      <c r="U1410" s="80"/>
      <c r="V1410" s="82"/>
      <c r="W1410" s="80"/>
      <c r="X1410" s="80"/>
      <c r="Y1410" s="80"/>
      <c r="Z1410" s="80"/>
      <c r="AA1410" s="82"/>
      <c r="AB1410" s="80"/>
      <c r="AC1410" s="80"/>
      <c r="AD1410" s="80"/>
      <c r="AE1410" s="80"/>
      <c r="AF1410" s="82"/>
      <c r="AG1410" s="80"/>
      <c r="AH1410" s="80"/>
      <c r="AI1410" s="82"/>
      <c r="AJ1410" s="79"/>
      <c r="AK1410" s="78" t="str">
        <f aca="false">IF(E1410="","",(X1410&lt;&gt;"")+(AC1410&lt;&gt;"")+(AH1410&lt;&gt;""))</f>
        <v/>
      </c>
      <c r="AL1410" s="81" t="str">
        <f aca="false">IF(AH1410&lt;&gt;"",AH1410,IF(AC1410&lt;&gt;"",AC1410,IF(X1410&lt;&gt;"",X1410,"")))</f>
        <v/>
      </c>
      <c r="AM1410" s="83" t="str">
        <f aca="false">IF(E1410="","",IF(R1410="","À SOUDER",IF(U1410="","VT EN ATTENTE",IF(U1410="R","VT REJETÉ – À REPRENDRE",IF(AL1410="","À RADIOGRAPHIER",IF(AL1410="A","ACCEPTÉ",IF(AL1410="NX","NX – RT À REFAIRE",IF(IF(AK1410=1,Z1410,IF(AK1410=2,AE1410,""))="A","RÉPARÉ – À RADIOGRAPHIER",IF(IF(AK1410=1,Z1410,IF(AK1410=2,AE1410,""))="R","VT REJETÉ – À REPRENDRE",IF(OR(AL1410="CO",AL1410="NT"),"COUPE – À RESOUDER","À RÉPARER"))))))))))</f>
        <v/>
      </c>
      <c r="AN1410" s="81" t="str">
        <f aca="false">IF(AND(ISNUMBER(R1410),OR(AM1410="À RADIOGRAPHIER",AM1410="RÉPARÉ – À RADIOGRAPHIER",AM1410="NX – RT À REFAIRE",AM1410="À RÉPARER",AM1410="COUPE – À RESOUDER",AM1410="VT REJETÉ – À REPRENDRE")),MAX(0,'PROGRAMME RT'!$C$4-R1410),"")</f>
        <v/>
      </c>
      <c r="AO1410" s="78" t="n">
        <f aca="false">IF(AND(OR(AM1410="À RADIOGRAPHIER",AM1410="RÉPARÉ – À RADIOGRAPHIER",AM1410="NX – RT À REFAIRE"),OR('PROGRAMME RT'!$D$5="TOUTES",B1410='PROGRAMME RT'!$D$5)),1,0)</f>
        <v>0</v>
      </c>
      <c r="AP1410" s="78" t="str">
        <f aca="false">IF(AO1410=1,SUM(AO$7:AO1410),"")</f>
        <v/>
      </c>
      <c r="AQ1410" s="78" t="n">
        <f aca="false">IF(AND(OR(X1410="R",X1410="NX",X1410="NT",X1410="CO"),OR('JOINTS DE RÉPARATION'!$D$5="TOUTES",B1410='JOINTS DE RÉPARATION'!$D$5),OR('JOINTS DE RÉPARATION'!$L$4="TOUS",AM1410&lt;&gt;"ACCEPTÉ")),1,0)</f>
        <v>0</v>
      </c>
      <c r="AR1410" s="78" t="str">
        <f aca="false">IF(AQ1410=1,SUM(AQ$7:AQ1410),"")</f>
        <v/>
      </c>
    </row>
    <row r="1411" customFormat="false" ht="15" hidden="false" customHeight="false" outlineLevel="0" collapsed="false">
      <c r="A1411" s="78" t="str">
        <f aca="false">IF(E1411="","",ROW()-6)</f>
        <v/>
      </c>
      <c r="B1411" s="79"/>
      <c r="C1411" s="80"/>
      <c r="D1411" s="80"/>
      <c r="E1411" s="80"/>
      <c r="F1411" s="80"/>
      <c r="G1411" s="80"/>
      <c r="H1411" s="80"/>
      <c r="I1411" s="80"/>
      <c r="J1411" s="80"/>
      <c r="K1411" s="80"/>
      <c r="L1411" s="81" t="str">
        <f aca="false">IF(K1411="","",IFERROR(INDEX(BARDAGE!$C$7:$C$1506,MATCH(K1411,BARDAGE!$B$7:$B$1506,0)),"? hors registre"))</f>
        <v/>
      </c>
      <c r="M1411" s="80"/>
      <c r="N1411" s="81" t="str">
        <f aca="false">IF(M1411="","",IFERROR(INDEX(BARDAGE!$C$7:$C$1506,MATCH(M1411,BARDAGE!$B$7:$B$1506,0)),"? hors registre"))</f>
        <v/>
      </c>
      <c r="O1411" s="80"/>
      <c r="P1411" s="80"/>
      <c r="Q1411" s="80"/>
      <c r="R1411" s="82"/>
      <c r="S1411" s="82"/>
      <c r="T1411" s="80"/>
      <c r="U1411" s="80"/>
      <c r="V1411" s="82"/>
      <c r="W1411" s="80"/>
      <c r="X1411" s="80"/>
      <c r="Y1411" s="80"/>
      <c r="Z1411" s="80"/>
      <c r="AA1411" s="82"/>
      <c r="AB1411" s="80"/>
      <c r="AC1411" s="80"/>
      <c r="AD1411" s="80"/>
      <c r="AE1411" s="80"/>
      <c r="AF1411" s="82"/>
      <c r="AG1411" s="80"/>
      <c r="AH1411" s="80"/>
      <c r="AI1411" s="82"/>
      <c r="AJ1411" s="79"/>
      <c r="AK1411" s="78" t="str">
        <f aca="false">IF(E1411="","",(X1411&lt;&gt;"")+(AC1411&lt;&gt;"")+(AH1411&lt;&gt;""))</f>
        <v/>
      </c>
      <c r="AL1411" s="81" t="str">
        <f aca="false">IF(AH1411&lt;&gt;"",AH1411,IF(AC1411&lt;&gt;"",AC1411,IF(X1411&lt;&gt;"",X1411,"")))</f>
        <v/>
      </c>
      <c r="AM1411" s="83" t="str">
        <f aca="false">IF(E1411="","",IF(R1411="","À SOUDER",IF(U1411="","VT EN ATTENTE",IF(U1411="R","VT REJETÉ – À REPRENDRE",IF(AL1411="","À RADIOGRAPHIER",IF(AL1411="A","ACCEPTÉ",IF(AL1411="NX","NX – RT À REFAIRE",IF(IF(AK1411=1,Z1411,IF(AK1411=2,AE1411,""))="A","RÉPARÉ – À RADIOGRAPHIER",IF(IF(AK1411=1,Z1411,IF(AK1411=2,AE1411,""))="R","VT REJETÉ – À REPRENDRE",IF(OR(AL1411="CO",AL1411="NT"),"COUPE – À RESOUDER","À RÉPARER"))))))))))</f>
        <v/>
      </c>
      <c r="AN1411" s="81" t="str">
        <f aca="false">IF(AND(ISNUMBER(R1411),OR(AM1411="À RADIOGRAPHIER",AM1411="RÉPARÉ – À RADIOGRAPHIER",AM1411="NX – RT À REFAIRE",AM1411="À RÉPARER",AM1411="COUPE – À RESOUDER",AM1411="VT REJETÉ – À REPRENDRE")),MAX(0,'PROGRAMME RT'!$C$4-R1411),"")</f>
        <v/>
      </c>
      <c r="AO1411" s="78" t="n">
        <f aca="false">IF(AND(OR(AM1411="À RADIOGRAPHIER",AM1411="RÉPARÉ – À RADIOGRAPHIER",AM1411="NX – RT À REFAIRE"),OR('PROGRAMME RT'!$D$5="TOUTES",B1411='PROGRAMME RT'!$D$5)),1,0)</f>
        <v>0</v>
      </c>
      <c r="AP1411" s="78" t="str">
        <f aca="false">IF(AO1411=1,SUM(AO$7:AO1411),"")</f>
        <v/>
      </c>
      <c r="AQ1411" s="78" t="n">
        <f aca="false">IF(AND(OR(X1411="R",X1411="NX",X1411="NT",X1411="CO"),OR('JOINTS DE RÉPARATION'!$D$5="TOUTES",B1411='JOINTS DE RÉPARATION'!$D$5),OR('JOINTS DE RÉPARATION'!$L$4="TOUS",AM1411&lt;&gt;"ACCEPTÉ")),1,0)</f>
        <v>0</v>
      </c>
      <c r="AR1411" s="78" t="str">
        <f aca="false">IF(AQ1411=1,SUM(AQ$7:AQ1411),"")</f>
        <v/>
      </c>
    </row>
    <row r="1412" customFormat="false" ht="15" hidden="false" customHeight="false" outlineLevel="0" collapsed="false">
      <c r="A1412" s="78" t="str">
        <f aca="false">IF(E1412="","",ROW()-6)</f>
        <v/>
      </c>
      <c r="B1412" s="79"/>
      <c r="C1412" s="80"/>
      <c r="D1412" s="80"/>
      <c r="E1412" s="80"/>
      <c r="F1412" s="80"/>
      <c r="G1412" s="80"/>
      <c r="H1412" s="80"/>
      <c r="I1412" s="80"/>
      <c r="J1412" s="80"/>
      <c r="K1412" s="80"/>
      <c r="L1412" s="81" t="str">
        <f aca="false">IF(K1412="","",IFERROR(INDEX(BARDAGE!$C$7:$C$1506,MATCH(K1412,BARDAGE!$B$7:$B$1506,0)),"? hors registre"))</f>
        <v/>
      </c>
      <c r="M1412" s="80"/>
      <c r="N1412" s="81" t="str">
        <f aca="false">IF(M1412="","",IFERROR(INDEX(BARDAGE!$C$7:$C$1506,MATCH(M1412,BARDAGE!$B$7:$B$1506,0)),"? hors registre"))</f>
        <v/>
      </c>
      <c r="O1412" s="80"/>
      <c r="P1412" s="80"/>
      <c r="Q1412" s="80"/>
      <c r="R1412" s="82"/>
      <c r="S1412" s="82"/>
      <c r="T1412" s="80"/>
      <c r="U1412" s="80"/>
      <c r="V1412" s="82"/>
      <c r="W1412" s="80"/>
      <c r="X1412" s="80"/>
      <c r="Y1412" s="80"/>
      <c r="Z1412" s="80"/>
      <c r="AA1412" s="82"/>
      <c r="AB1412" s="80"/>
      <c r="AC1412" s="80"/>
      <c r="AD1412" s="80"/>
      <c r="AE1412" s="80"/>
      <c r="AF1412" s="82"/>
      <c r="AG1412" s="80"/>
      <c r="AH1412" s="80"/>
      <c r="AI1412" s="82"/>
      <c r="AJ1412" s="79"/>
      <c r="AK1412" s="78" t="str">
        <f aca="false">IF(E1412="","",(X1412&lt;&gt;"")+(AC1412&lt;&gt;"")+(AH1412&lt;&gt;""))</f>
        <v/>
      </c>
      <c r="AL1412" s="81" t="str">
        <f aca="false">IF(AH1412&lt;&gt;"",AH1412,IF(AC1412&lt;&gt;"",AC1412,IF(X1412&lt;&gt;"",X1412,"")))</f>
        <v/>
      </c>
      <c r="AM1412" s="83" t="str">
        <f aca="false">IF(E1412="","",IF(R1412="","À SOUDER",IF(U1412="","VT EN ATTENTE",IF(U1412="R","VT REJETÉ – À REPRENDRE",IF(AL1412="","À RADIOGRAPHIER",IF(AL1412="A","ACCEPTÉ",IF(AL1412="NX","NX – RT À REFAIRE",IF(IF(AK1412=1,Z1412,IF(AK1412=2,AE1412,""))="A","RÉPARÉ – À RADIOGRAPHIER",IF(IF(AK1412=1,Z1412,IF(AK1412=2,AE1412,""))="R","VT REJETÉ – À REPRENDRE",IF(OR(AL1412="CO",AL1412="NT"),"COUPE – À RESOUDER","À RÉPARER"))))))))))</f>
        <v/>
      </c>
      <c r="AN1412" s="81" t="str">
        <f aca="false">IF(AND(ISNUMBER(R1412),OR(AM1412="À RADIOGRAPHIER",AM1412="RÉPARÉ – À RADIOGRAPHIER",AM1412="NX – RT À REFAIRE",AM1412="À RÉPARER",AM1412="COUPE – À RESOUDER",AM1412="VT REJETÉ – À REPRENDRE")),MAX(0,'PROGRAMME RT'!$C$4-R1412),"")</f>
        <v/>
      </c>
      <c r="AO1412" s="78" t="n">
        <f aca="false">IF(AND(OR(AM1412="À RADIOGRAPHIER",AM1412="RÉPARÉ – À RADIOGRAPHIER",AM1412="NX – RT À REFAIRE"),OR('PROGRAMME RT'!$D$5="TOUTES",B1412='PROGRAMME RT'!$D$5)),1,0)</f>
        <v>0</v>
      </c>
      <c r="AP1412" s="78" t="str">
        <f aca="false">IF(AO1412=1,SUM(AO$7:AO1412),"")</f>
        <v/>
      </c>
      <c r="AQ1412" s="78" t="n">
        <f aca="false">IF(AND(OR(X1412="R",X1412="NX",X1412="NT",X1412="CO"),OR('JOINTS DE RÉPARATION'!$D$5="TOUTES",B1412='JOINTS DE RÉPARATION'!$D$5),OR('JOINTS DE RÉPARATION'!$L$4="TOUS",AM1412&lt;&gt;"ACCEPTÉ")),1,0)</f>
        <v>0</v>
      </c>
      <c r="AR1412" s="78" t="str">
        <f aca="false">IF(AQ1412=1,SUM(AQ$7:AQ1412),"")</f>
        <v/>
      </c>
    </row>
    <row r="1413" customFormat="false" ht="15" hidden="false" customHeight="false" outlineLevel="0" collapsed="false">
      <c r="A1413" s="78" t="str">
        <f aca="false">IF(E1413="","",ROW()-6)</f>
        <v/>
      </c>
      <c r="B1413" s="79"/>
      <c r="C1413" s="80"/>
      <c r="D1413" s="80"/>
      <c r="E1413" s="80"/>
      <c r="F1413" s="80"/>
      <c r="G1413" s="80"/>
      <c r="H1413" s="80"/>
      <c r="I1413" s="80"/>
      <c r="J1413" s="80"/>
      <c r="K1413" s="80"/>
      <c r="L1413" s="81" t="str">
        <f aca="false">IF(K1413="","",IFERROR(INDEX(BARDAGE!$C$7:$C$1506,MATCH(K1413,BARDAGE!$B$7:$B$1506,0)),"? hors registre"))</f>
        <v/>
      </c>
      <c r="M1413" s="80"/>
      <c r="N1413" s="81" t="str">
        <f aca="false">IF(M1413="","",IFERROR(INDEX(BARDAGE!$C$7:$C$1506,MATCH(M1413,BARDAGE!$B$7:$B$1506,0)),"? hors registre"))</f>
        <v/>
      </c>
      <c r="O1413" s="80"/>
      <c r="P1413" s="80"/>
      <c r="Q1413" s="80"/>
      <c r="R1413" s="82"/>
      <c r="S1413" s="82"/>
      <c r="T1413" s="80"/>
      <c r="U1413" s="80"/>
      <c r="V1413" s="82"/>
      <c r="W1413" s="80"/>
      <c r="X1413" s="80"/>
      <c r="Y1413" s="80"/>
      <c r="Z1413" s="80"/>
      <c r="AA1413" s="82"/>
      <c r="AB1413" s="80"/>
      <c r="AC1413" s="80"/>
      <c r="AD1413" s="80"/>
      <c r="AE1413" s="80"/>
      <c r="AF1413" s="82"/>
      <c r="AG1413" s="80"/>
      <c r="AH1413" s="80"/>
      <c r="AI1413" s="82"/>
      <c r="AJ1413" s="79"/>
      <c r="AK1413" s="78" t="str">
        <f aca="false">IF(E1413="","",(X1413&lt;&gt;"")+(AC1413&lt;&gt;"")+(AH1413&lt;&gt;""))</f>
        <v/>
      </c>
      <c r="AL1413" s="81" t="str">
        <f aca="false">IF(AH1413&lt;&gt;"",AH1413,IF(AC1413&lt;&gt;"",AC1413,IF(X1413&lt;&gt;"",X1413,"")))</f>
        <v/>
      </c>
      <c r="AM1413" s="83" t="str">
        <f aca="false">IF(E1413="","",IF(R1413="","À SOUDER",IF(U1413="","VT EN ATTENTE",IF(U1413="R","VT REJETÉ – À REPRENDRE",IF(AL1413="","À RADIOGRAPHIER",IF(AL1413="A","ACCEPTÉ",IF(AL1413="NX","NX – RT À REFAIRE",IF(IF(AK1413=1,Z1413,IF(AK1413=2,AE1413,""))="A","RÉPARÉ – À RADIOGRAPHIER",IF(IF(AK1413=1,Z1413,IF(AK1413=2,AE1413,""))="R","VT REJETÉ – À REPRENDRE",IF(OR(AL1413="CO",AL1413="NT"),"COUPE – À RESOUDER","À RÉPARER"))))))))))</f>
        <v/>
      </c>
      <c r="AN1413" s="81" t="str">
        <f aca="false">IF(AND(ISNUMBER(R1413),OR(AM1413="À RADIOGRAPHIER",AM1413="RÉPARÉ – À RADIOGRAPHIER",AM1413="NX – RT À REFAIRE",AM1413="À RÉPARER",AM1413="COUPE – À RESOUDER",AM1413="VT REJETÉ – À REPRENDRE")),MAX(0,'PROGRAMME RT'!$C$4-R1413),"")</f>
        <v/>
      </c>
      <c r="AO1413" s="78" t="n">
        <f aca="false">IF(AND(OR(AM1413="À RADIOGRAPHIER",AM1413="RÉPARÉ – À RADIOGRAPHIER",AM1413="NX – RT À REFAIRE"),OR('PROGRAMME RT'!$D$5="TOUTES",B1413='PROGRAMME RT'!$D$5)),1,0)</f>
        <v>0</v>
      </c>
      <c r="AP1413" s="78" t="str">
        <f aca="false">IF(AO1413=1,SUM(AO$7:AO1413),"")</f>
        <v/>
      </c>
      <c r="AQ1413" s="78" t="n">
        <f aca="false">IF(AND(OR(X1413="R",X1413="NX",X1413="NT",X1413="CO"),OR('JOINTS DE RÉPARATION'!$D$5="TOUTES",B1413='JOINTS DE RÉPARATION'!$D$5),OR('JOINTS DE RÉPARATION'!$L$4="TOUS",AM1413&lt;&gt;"ACCEPTÉ")),1,0)</f>
        <v>0</v>
      </c>
      <c r="AR1413" s="78" t="str">
        <f aca="false">IF(AQ1413=1,SUM(AQ$7:AQ1413),"")</f>
        <v/>
      </c>
    </row>
    <row r="1414" customFormat="false" ht="15" hidden="false" customHeight="false" outlineLevel="0" collapsed="false">
      <c r="A1414" s="78" t="str">
        <f aca="false">IF(E1414="","",ROW()-6)</f>
        <v/>
      </c>
      <c r="B1414" s="79"/>
      <c r="C1414" s="80"/>
      <c r="D1414" s="80"/>
      <c r="E1414" s="80"/>
      <c r="F1414" s="80"/>
      <c r="G1414" s="80"/>
      <c r="H1414" s="80"/>
      <c r="I1414" s="80"/>
      <c r="J1414" s="80"/>
      <c r="K1414" s="80"/>
      <c r="L1414" s="81" t="str">
        <f aca="false">IF(K1414="","",IFERROR(INDEX(BARDAGE!$C$7:$C$1506,MATCH(K1414,BARDAGE!$B$7:$B$1506,0)),"? hors registre"))</f>
        <v/>
      </c>
      <c r="M1414" s="80"/>
      <c r="N1414" s="81" t="str">
        <f aca="false">IF(M1414="","",IFERROR(INDEX(BARDAGE!$C$7:$C$1506,MATCH(M1414,BARDAGE!$B$7:$B$1506,0)),"? hors registre"))</f>
        <v/>
      </c>
      <c r="O1414" s="80"/>
      <c r="P1414" s="80"/>
      <c r="Q1414" s="80"/>
      <c r="R1414" s="82"/>
      <c r="S1414" s="82"/>
      <c r="T1414" s="80"/>
      <c r="U1414" s="80"/>
      <c r="V1414" s="82"/>
      <c r="W1414" s="80"/>
      <c r="X1414" s="80"/>
      <c r="Y1414" s="80"/>
      <c r="Z1414" s="80"/>
      <c r="AA1414" s="82"/>
      <c r="AB1414" s="80"/>
      <c r="AC1414" s="80"/>
      <c r="AD1414" s="80"/>
      <c r="AE1414" s="80"/>
      <c r="AF1414" s="82"/>
      <c r="AG1414" s="80"/>
      <c r="AH1414" s="80"/>
      <c r="AI1414" s="82"/>
      <c r="AJ1414" s="79"/>
      <c r="AK1414" s="78" t="str">
        <f aca="false">IF(E1414="","",(X1414&lt;&gt;"")+(AC1414&lt;&gt;"")+(AH1414&lt;&gt;""))</f>
        <v/>
      </c>
      <c r="AL1414" s="81" t="str">
        <f aca="false">IF(AH1414&lt;&gt;"",AH1414,IF(AC1414&lt;&gt;"",AC1414,IF(X1414&lt;&gt;"",X1414,"")))</f>
        <v/>
      </c>
      <c r="AM1414" s="83" t="str">
        <f aca="false">IF(E1414="","",IF(R1414="","À SOUDER",IF(U1414="","VT EN ATTENTE",IF(U1414="R","VT REJETÉ – À REPRENDRE",IF(AL1414="","À RADIOGRAPHIER",IF(AL1414="A","ACCEPTÉ",IF(AL1414="NX","NX – RT À REFAIRE",IF(IF(AK1414=1,Z1414,IF(AK1414=2,AE1414,""))="A","RÉPARÉ – À RADIOGRAPHIER",IF(IF(AK1414=1,Z1414,IF(AK1414=2,AE1414,""))="R","VT REJETÉ – À REPRENDRE",IF(OR(AL1414="CO",AL1414="NT"),"COUPE – À RESOUDER","À RÉPARER"))))))))))</f>
        <v/>
      </c>
      <c r="AN1414" s="81" t="str">
        <f aca="false">IF(AND(ISNUMBER(R1414),OR(AM1414="À RADIOGRAPHIER",AM1414="RÉPARÉ – À RADIOGRAPHIER",AM1414="NX – RT À REFAIRE",AM1414="À RÉPARER",AM1414="COUPE – À RESOUDER",AM1414="VT REJETÉ – À REPRENDRE")),MAX(0,'PROGRAMME RT'!$C$4-R1414),"")</f>
        <v/>
      </c>
      <c r="AO1414" s="78" t="n">
        <f aca="false">IF(AND(OR(AM1414="À RADIOGRAPHIER",AM1414="RÉPARÉ – À RADIOGRAPHIER",AM1414="NX – RT À REFAIRE"),OR('PROGRAMME RT'!$D$5="TOUTES",B1414='PROGRAMME RT'!$D$5)),1,0)</f>
        <v>0</v>
      </c>
      <c r="AP1414" s="78" t="str">
        <f aca="false">IF(AO1414=1,SUM(AO$7:AO1414),"")</f>
        <v/>
      </c>
      <c r="AQ1414" s="78" t="n">
        <f aca="false">IF(AND(OR(X1414="R",X1414="NX",X1414="NT",X1414="CO"),OR('JOINTS DE RÉPARATION'!$D$5="TOUTES",B1414='JOINTS DE RÉPARATION'!$D$5),OR('JOINTS DE RÉPARATION'!$L$4="TOUS",AM1414&lt;&gt;"ACCEPTÉ")),1,0)</f>
        <v>0</v>
      </c>
      <c r="AR1414" s="78" t="str">
        <f aca="false">IF(AQ1414=1,SUM(AQ$7:AQ1414),"")</f>
        <v/>
      </c>
    </row>
    <row r="1415" customFormat="false" ht="15" hidden="false" customHeight="false" outlineLevel="0" collapsed="false">
      <c r="A1415" s="78" t="str">
        <f aca="false">IF(E1415="","",ROW()-6)</f>
        <v/>
      </c>
      <c r="B1415" s="79"/>
      <c r="C1415" s="80"/>
      <c r="D1415" s="80"/>
      <c r="E1415" s="80"/>
      <c r="F1415" s="80"/>
      <c r="G1415" s="80"/>
      <c r="H1415" s="80"/>
      <c r="I1415" s="80"/>
      <c r="J1415" s="80"/>
      <c r="K1415" s="80"/>
      <c r="L1415" s="81" t="str">
        <f aca="false">IF(K1415="","",IFERROR(INDEX(BARDAGE!$C$7:$C$1506,MATCH(K1415,BARDAGE!$B$7:$B$1506,0)),"? hors registre"))</f>
        <v/>
      </c>
      <c r="M1415" s="80"/>
      <c r="N1415" s="81" t="str">
        <f aca="false">IF(M1415="","",IFERROR(INDEX(BARDAGE!$C$7:$C$1506,MATCH(M1415,BARDAGE!$B$7:$B$1506,0)),"? hors registre"))</f>
        <v/>
      </c>
      <c r="O1415" s="80"/>
      <c r="P1415" s="80"/>
      <c r="Q1415" s="80"/>
      <c r="R1415" s="82"/>
      <c r="S1415" s="82"/>
      <c r="T1415" s="80"/>
      <c r="U1415" s="80"/>
      <c r="V1415" s="82"/>
      <c r="W1415" s="80"/>
      <c r="X1415" s="80"/>
      <c r="Y1415" s="80"/>
      <c r="Z1415" s="80"/>
      <c r="AA1415" s="82"/>
      <c r="AB1415" s="80"/>
      <c r="AC1415" s="80"/>
      <c r="AD1415" s="80"/>
      <c r="AE1415" s="80"/>
      <c r="AF1415" s="82"/>
      <c r="AG1415" s="80"/>
      <c r="AH1415" s="80"/>
      <c r="AI1415" s="82"/>
      <c r="AJ1415" s="79"/>
      <c r="AK1415" s="78" t="str">
        <f aca="false">IF(E1415="","",(X1415&lt;&gt;"")+(AC1415&lt;&gt;"")+(AH1415&lt;&gt;""))</f>
        <v/>
      </c>
      <c r="AL1415" s="81" t="str">
        <f aca="false">IF(AH1415&lt;&gt;"",AH1415,IF(AC1415&lt;&gt;"",AC1415,IF(X1415&lt;&gt;"",X1415,"")))</f>
        <v/>
      </c>
      <c r="AM1415" s="83" t="str">
        <f aca="false">IF(E1415="","",IF(R1415="","À SOUDER",IF(U1415="","VT EN ATTENTE",IF(U1415="R","VT REJETÉ – À REPRENDRE",IF(AL1415="","À RADIOGRAPHIER",IF(AL1415="A","ACCEPTÉ",IF(AL1415="NX","NX – RT À REFAIRE",IF(IF(AK1415=1,Z1415,IF(AK1415=2,AE1415,""))="A","RÉPARÉ – À RADIOGRAPHIER",IF(IF(AK1415=1,Z1415,IF(AK1415=2,AE1415,""))="R","VT REJETÉ – À REPRENDRE",IF(OR(AL1415="CO",AL1415="NT"),"COUPE – À RESOUDER","À RÉPARER"))))))))))</f>
        <v/>
      </c>
      <c r="AN1415" s="81" t="str">
        <f aca="false">IF(AND(ISNUMBER(R1415),OR(AM1415="À RADIOGRAPHIER",AM1415="RÉPARÉ – À RADIOGRAPHIER",AM1415="NX – RT À REFAIRE",AM1415="À RÉPARER",AM1415="COUPE – À RESOUDER",AM1415="VT REJETÉ – À REPRENDRE")),MAX(0,'PROGRAMME RT'!$C$4-R1415),"")</f>
        <v/>
      </c>
      <c r="AO1415" s="78" t="n">
        <f aca="false">IF(AND(OR(AM1415="À RADIOGRAPHIER",AM1415="RÉPARÉ – À RADIOGRAPHIER",AM1415="NX – RT À REFAIRE"),OR('PROGRAMME RT'!$D$5="TOUTES",B1415='PROGRAMME RT'!$D$5)),1,0)</f>
        <v>0</v>
      </c>
      <c r="AP1415" s="78" t="str">
        <f aca="false">IF(AO1415=1,SUM(AO$7:AO1415),"")</f>
        <v/>
      </c>
      <c r="AQ1415" s="78" t="n">
        <f aca="false">IF(AND(OR(X1415="R",X1415="NX",X1415="NT",X1415="CO"),OR('JOINTS DE RÉPARATION'!$D$5="TOUTES",B1415='JOINTS DE RÉPARATION'!$D$5),OR('JOINTS DE RÉPARATION'!$L$4="TOUS",AM1415&lt;&gt;"ACCEPTÉ")),1,0)</f>
        <v>0</v>
      </c>
      <c r="AR1415" s="78" t="str">
        <f aca="false">IF(AQ1415=1,SUM(AQ$7:AQ1415),"")</f>
        <v/>
      </c>
    </row>
    <row r="1416" customFormat="false" ht="15" hidden="false" customHeight="false" outlineLevel="0" collapsed="false">
      <c r="A1416" s="78" t="str">
        <f aca="false">IF(E1416="","",ROW()-6)</f>
        <v/>
      </c>
      <c r="B1416" s="79"/>
      <c r="C1416" s="80"/>
      <c r="D1416" s="80"/>
      <c r="E1416" s="80"/>
      <c r="F1416" s="80"/>
      <c r="G1416" s="80"/>
      <c r="H1416" s="80"/>
      <c r="I1416" s="80"/>
      <c r="J1416" s="80"/>
      <c r="K1416" s="80"/>
      <c r="L1416" s="81" t="str">
        <f aca="false">IF(K1416="","",IFERROR(INDEX(BARDAGE!$C$7:$C$1506,MATCH(K1416,BARDAGE!$B$7:$B$1506,0)),"? hors registre"))</f>
        <v/>
      </c>
      <c r="M1416" s="80"/>
      <c r="N1416" s="81" t="str">
        <f aca="false">IF(M1416="","",IFERROR(INDEX(BARDAGE!$C$7:$C$1506,MATCH(M1416,BARDAGE!$B$7:$B$1506,0)),"? hors registre"))</f>
        <v/>
      </c>
      <c r="O1416" s="80"/>
      <c r="P1416" s="80"/>
      <c r="Q1416" s="80"/>
      <c r="R1416" s="82"/>
      <c r="S1416" s="82"/>
      <c r="T1416" s="80"/>
      <c r="U1416" s="80"/>
      <c r="V1416" s="82"/>
      <c r="W1416" s="80"/>
      <c r="X1416" s="80"/>
      <c r="Y1416" s="80"/>
      <c r="Z1416" s="80"/>
      <c r="AA1416" s="82"/>
      <c r="AB1416" s="80"/>
      <c r="AC1416" s="80"/>
      <c r="AD1416" s="80"/>
      <c r="AE1416" s="80"/>
      <c r="AF1416" s="82"/>
      <c r="AG1416" s="80"/>
      <c r="AH1416" s="80"/>
      <c r="AI1416" s="82"/>
      <c r="AJ1416" s="79"/>
      <c r="AK1416" s="78" t="str">
        <f aca="false">IF(E1416="","",(X1416&lt;&gt;"")+(AC1416&lt;&gt;"")+(AH1416&lt;&gt;""))</f>
        <v/>
      </c>
      <c r="AL1416" s="81" t="str">
        <f aca="false">IF(AH1416&lt;&gt;"",AH1416,IF(AC1416&lt;&gt;"",AC1416,IF(X1416&lt;&gt;"",X1416,"")))</f>
        <v/>
      </c>
      <c r="AM1416" s="83" t="str">
        <f aca="false">IF(E1416="","",IF(R1416="","À SOUDER",IF(U1416="","VT EN ATTENTE",IF(U1416="R","VT REJETÉ – À REPRENDRE",IF(AL1416="","À RADIOGRAPHIER",IF(AL1416="A","ACCEPTÉ",IF(AL1416="NX","NX – RT À REFAIRE",IF(IF(AK1416=1,Z1416,IF(AK1416=2,AE1416,""))="A","RÉPARÉ – À RADIOGRAPHIER",IF(IF(AK1416=1,Z1416,IF(AK1416=2,AE1416,""))="R","VT REJETÉ – À REPRENDRE",IF(OR(AL1416="CO",AL1416="NT"),"COUPE – À RESOUDER","À RÉPARER"))))))))))</f>
        <v/>
      </c>
      <c r="AN1416" s="81" t="str">
        <f aca="false">IF(AND(ISNUMBER(R1416),OR(AM1416="À RADIOGRAPHIER",AM1416="RÉPARÉ – À RADIOGRAPHIER",AM1416="NX – RT À REFAIRE",AM1416="À RÉPARER",AM1416="COUPE – À RESOUDER",AM1416="VT REJETÉ – À REPRENDRE")),MAX(0,'PROGRAMME RT'!$C$4-R1416),"")</f>
        <v/>
      </c>
      <c r="AO1416" s="78" t="n">
        <f aca="false">IF(AND(OR(AM1416="À RADIOGRAPHIER",AM1416="RÉPARÉ – À RADIOGRAPHIER",AM1416="NX – RT À REFAIRE"),OR('PROGRAMME RT'!$D$5="TOUTES",B1416='PROGRAMME RT'!$D$5)),1,0)</f>
        <v>0</v>
      </c>
      <c r="AP1416" s="78" t="str">
        <f aca="false">IF(AO1416=1,SUM(AO$7:AO1416),"")</f>
        <v/>
      </c>
      <c r="AQ1416" s="78" t="n">
        <f aca="false">IF(AND(OR(X1416="R",X1416="NX",X1416="NT",X1416="CO"),OR('JOINTS DE RÉPARATION'!$D$5="TOUTES",B1416='JOINTS DE RÉPARATION'!$D$5),OR('JOINTS DE RÉPARATION'!$L$4="TOUS",AM1416&lt;&gt;"ACCEPTÉ")),1,0)</f>
        <v>0</v>
      </c>
      <c r="AR1416" s="78" t="str">
        <f aca="false">IF(AQ1416=1,SUM(AQ$7:AQ1416),"")</f>
        <v/>
      </c>
    </row>
    <row r="1417" customFormat="false" ht="15" hidden="false" customHeight="false" outlineLevel="0" collapsed="false">
      <c r="A1417" s="78" t="str">
        <f aca="false">IF(E1417="","",ROW()-6)</f>
        <v/>
      </c>
      <c r="B1417" s="79"/>
      <c r="C1417" s="80"/>
      <c r="D1417" s="80"/>
      <c r="E1417" s="80"/>
      <c r="F1417" s="80"/>
      <c r="G1417" s="80"/>
      <c r="H1417" s="80"/>
      <c r="I1417" s="80"/>
      <c r="J1417" s="80"/>
      <c r="K1417" s="80"/>
      <c r="L1417" s="81" t="str">
        <f aca="false">IF(K1417="","",IFERROR(INDEX(BARDAGE!$C$7:$C$1506,MATCH(K1417,BARDAGE!$B$7:$B$1506,0)),"? hors registre"))</f>
        <v/>
      </c>
      <c r="M1417" s="80"/>
      <c r="N1417" s="81" t="str">
        <f aca="false">IF(M1417="","",IFERROR(INDEX(BARDAGE!$C$7:$C$1506,MATCH(M1417,BARDAGE!$B$7:$B$1506,0)),"? hors registre"))</f>
        <v/>
      </c>
      <c r="O1417" s="80"/>
      <c r="P1417" s="80"/>
      <c r="Q1417" s="80"/>
      <c r="R1417" s="82"/>
      <c r="S1417" s="82"/>
      <c r="T1417" s="80"/>
      <c r="U1417" s="80"/>
      <c r="V1417" s="82"/>
      <c r="W1417" s="80"/>
      <c r="X1417" s="80"/>
      <c r="Y1417" s="80"/>
      <c r="Z1417" s="80"/>
      <c r="AA1417" s="82"/>
      <c r="AB1417" s="80"/>
      <c r="AC1417" s="80"/>
      <c r="AD1417" s="80"/>
      <c r="AE1417" s="80"/>
      <c r="AF1417" s="82"/>
      <c r="AG1417" s="80"/>
      <c r="AH1417" s="80"/>
      <c r="AI1417" s="82"/>
      <c r="AJ1417" s="79"/>
      <c r="AK1417" s="78" t="str">
        <f aca="false">IF(E1417="","",(X1417&lt;&gt;"")+(AC1417&lt;&gt;"")+(AH1417&lt;&gt;""))</f>
        <v/>
      </c>
      <c r="AL1417" s="81" t="str">
        <f aca="false">IF(AH1417&lt;&gt;"",AH1417,IF(AC1417&lt;&gt;"",AC1417,IF(X1417&lt;&gt;"",X1417,"")))</f>
        <v/>
      </c>
      <c r="AM1417" s="83" t="str">
        <f aca="false">IF(E1417="","",IF(R1417="","À SOUDER",IF(U1417="","VT EN ATTENTE",IF(U1417="R","VT REJETÉ – À REPRENDRE",IF(AL1417="","À RADIOGRAPHIER",IF(AL1417="A","ACCEPTÉ",IF(AL1417="NX","NX – RT À REFAIRE",IF(IF(AK1417=1,Z1417,IF(AK1417=2,AE1417,""))="A","RÉPARÉ – À RADIOGRAPHIER",IF(IF(AK1417=1,Z1417,IF(AK1417=2,AE1417,""))="R","VT REJETÉ – À REPRENDRE",IF(OR(AL1417="CO",AL1417="NT"),"COUPE – À RESOUDER","À RÉPARER"))))))))))</f>
        <v/>
      </c>
      <c r="AN1417" s="81" t="str">
        <f aca="false">IF(AND(ISNUMBER(R1417),OR(AM1417="À RADIOGRAPHIER",AM1417="RÉPARÉ – À RADIOGRAPHIER",AM1417="NX – RT À REFAIRE",AM1417="À RÉPARER",AM1417="COUPE – À RESOUDER",AM1417="VT REJETÉ – À REPRENDRE")),MAX(0,'PROGRAMME RT'!$C$4-R1417),"")</f>
        <v/>
      </c>
      <c r="AO1417" s="78" t="n">
        <f aca="false">IF(AND(OR(AM1417="À RADIOGRAPHIER",AM1417="RÉPARÉ – À RADIOGRAPHIER",AM1417="NX – RT À REFAIRE"),OR('PROGRAMME RT'!$D$5="TOUTES",B1417='PROGRAMME RT'!$D$5)),1,0)</f>
        <v>0</v>
      </c>
      <c r="AP1417" s="78" t="str">
        <f aca="false">IF(AO1417=1,SUM(AO$7:AO1417),"")</f>
        <v/>
      </c>
      <c r="AQ1417" s="78" t="n">
        <f aca="false">IF(AND(OR(X1417="R",X1417="NX",X1417="NT",X1417="CO"),OR('JOINTS DE RÉPARATION'!$D$5="TOUTES",B1417='JOINTS DE RÉPARATION'!$D$5),OR('JOINTS DE RÉPARATION'!$L$4="TOUS",AM1417&lt;&gt;"ACCEPTÉ")),1,0)</f>
        <v>0</v>
      </c>
      <c r="AR1417" s="78" t="str">
        <f aca="false">IF(AQ1417=1,SUM(AQ$7:AQ1417),"")</f>
        <v/>
      </c>
    </row>
    <row r="1418" customFormat="false" ht="15" hidden="false" customHeight="false" outlineLevel="0" collapsed="false">
      <c r="A1418" s="78" t="str">
        <f aca="false">IF(E1418="","",ROW()-6)</f>
        <v/>
      </c>
      <c r="B1418" s="79"/>
      <c r="C1418" s="80"/>
      <c r="D1418" s="80"/>
      <c r="E1418" s="80"/>
      <c r="F1418" s="80"/>
      <c r="G1418" s="80"/>
      <c r="H1418" s="80"/>
      <c r="I1418" s="80"/>
      <c r="J1418" s="80"/>
      <c r="K1418" s="80"/>
      <c r="L1418" s="81" t="str">
        <f aca="false">IF(K1418="","",IFERROR(INDEX(BARDAGE!$C$7:$C$1506,MATCH(K1418,BARDAGE!$B$7:$B$1506,0)),"? hors registre"))</f>
        <v/>
      </c>
      <c r="M1418" s="80"/>
      <c r="N1418" s="81" t="str">
        <f aca="false">IF(M1418="","",IFERROR(INDEX(BARDAGE!$C$7:$C$1506,MATCH(M1418,BARDAGE!$B$7:$B$1506,0)),"? hors registre"))</f>
        <v/>
      </c>
      <c r="O1418" s="80"/>
      <c r="P1418" s="80"/>
      <c r="Q1418" s="80"/>
      <c r="R1418" s="82"/>
      <c r="S1418" s="82"/>
      <c r="T1418" s="80"/>
      <c r="U1418" s="80"/>
      <c r="V1418" s="82"/>
      <c r="W1418" s="80"/>
      <c r="X1418" s="80"/>
      <c r="Y1418" s="80"/>
      <c r="Z1418" s="80"/>
      <c r="AA1418" s="82"/>
      <c r="AB1418" s="80"/>
      <c r="AC1418" s="80"/>
      <c r="AD1418" s="80"/>
      <c r="AE1418" s="80"/>
      <c r="AF1418" s="82"/>
      <c r="AG1418" s="80"/>
      <c r="AH1418" s="80"/>
      <c r="AI1418" s="82"/>
      <c r="AJ1418" s="79"/>
      <c r="AK1418" s="78" t="str">
        <f aca="false">IF(E1418="","",(X1418&lt;&gt;"")+(AC1418&lt;&gt;"")+(AH1418&lt;&gt;""))</f>
        <v/>
      </c>
      <c r="AL1418" s="81" t="str">
        <f aca="false">IF(AH1418&lt;&gt;"",AH1418,IF(AC1418&lt;&gt;"",AC1418,IF(X1418&lt;&gt;"",X1418,"")))</f>
        <v/>
      </c>
      <c r="AM1418" s="83" t="str">
        <f aca="false">IF(E1418="","",IF(R1418="","À SOUDER",IF(U1418="","VT EN ATTENTE",IF(U1418="R","VT REJETÉ – À REPRENDRE",IF(AL1418="","À RADIOGRAPHIER",IF(AL1418="A","ACCEPTÉ",IF(AL1418="NX","NX – RT À REFAIRE",IF(IF(AK1418=1,Z1418,IF(AK1418=2,AE1418,""))="A","RÉPARÉ – À RADIOGRAPHIER",IF(IF(AK1418=1,Z1418,IF(AK1418=2,AE1418,""))="R","VT REJETÉ – À REPRENDRE",IF(OR(AL1418="CO",AL1418="NT"),"COUPE – À RESOUDER","À RÉPARER"))))))))))</f>
        <v/>
      </c>
      <c r="AN1418" s="81" t="str">
        <f aca="false">IF(AND(ISNUMBER(R1418),OR(AM1418="À RADIOGRAPHIER",AM1418="RÉPARÉ – À RADIOGRAPHIER",AM1418="NX – RT À REFAIRE",AM1418="À RÉPARER",AM1418="COUPE – À RESOUDER",AM1418="VT REJETÉ – À REPRENDRE")),MAX(0,'PROGRAMME RT'!$C$4-R1418),"")</f>
        <v/>
      </c>
      <c r="AO1418" s="78" t="n">
        <f aca="false">IF(AND(OR(AM1418="À RADIOGRAPHIER",AM1418="RÉPARÉ – À RADIOGRAPHIER",AM1418="NX – RT À REFAIRE"),OR('PROGRAMME RT'!$D$5="TOUTES",B1418='PROGRAMME RT'!$D$5)),1,0)</f>
        <v>0</v>
      </c>
      <c r="AP1418" s="78" t="str">
        <f aca="false">IF(AO1418=1,SUM(AO$7:AO1418),"")</f>
        <v/>
      </c>
      <c r="AQ1418" s="78" t="n">
        <f aca="false">IF(AND(OR(X1418="R",X1418="NX",X1418="NT",X1418="CO"),OR('JOINTS DE RÉPARATION'!$D$5="TOUTES",B1418='JOINTS DE RÉPARATION'!$D$5),OR('JOINTS DE RÉPARATION'!$L$4="TOUS",AM1418&lt;&gt;"ACCEPTÉ")),1,0)</f>
        <v>0</v>
      </c>
      <c r="AR1418" s="78" t="str">
        <f aca="false">IF(AQ1418=1,SUM(AQ$7:AQ1418),"")</f>
        <v/>
      </c>
    </row>
    <row r="1419" customFormat="false" ht="15" hidden="false" customHeight="false" outlineLevel="0" collapsed="false">
      <c r="A1419" s="78" t="str">
        <f aca="false">IF(E1419="","",ROW()-6)</f>
        <v/>
      </c>
      <c r="B1419" s="79"/>
      <c r="C1419" s="80"/>
      <c r="D1419" s="80"/>
      <c r="E1419" s="80"/>
      <c r="F1419" s="80"/>
      <c r="G1419" s="80"/>
      <c r="H1419" s="80"/>
      <c r="I1419" s="80"/>
      <c r="J1419" s="80"/>
      <c r="K1419" s="80"/>
      <c r="L1419" s="81" t="str">
        <f aca="false">IF(K1419="","",IFERROR(INDEX(BARDAGE!$C$7:$C$1506,MATCH(K1419,BARDAGE!$B$7:$B$1506,0)),"? hors registre"))</f>
        <v/>
      </c>
      <c r="M1419" s="80"/>
      <c r="N1419" s="81" t="str">
        <f aca="false">IF(M1419="","",IFERROR(INDEX(BARDAGE!$C$7:$C$1506,MATCH(M1419,BARDAGE!$B$7:$B$1506,0)),"? hors registre"))</f>
        <v/>
      </c>
      <c r="O1419" s="80"/>
      <c r="P1419" s="80"/>
      <c r="Q1419" s="80"/>
      <c r="R1419" s="82"/>
      <c r="S1419" s="82"/>
      <c r="T1419" s="80"/>
      <c r="U1419" s="80"/>
      <c r="V1419" s="82"/>
      <c r="W1419" s="80"/>
      <c r="X1419" s="80"/>
      <c r="Y1419" s="80"/>
      <c r="Z1419" s="80"/>
      <c r="AA1419" s="82"/>
      <c r="AB1419" s="80"/>
      <c r="AC1419" s="80"/>
      <c r="AD1419" s="80"/>
      <c r="AE1419" s="80"/>
      <c r="AF1419" s="82"/>
      <c r="AG1419" s="80"/>
      <c r="AH1419" s="80"/>
      <c r="AI1419" s="82"/>
      <c r="AJ1419" s="79"/>
      <c r="AK1419" s="78" t="str">
        <f aca="false">IF(E1419="","",(X1419&lt;&gt;"")+(AC1419&lt;&gt;"")+(AH1419&lt;&gt;""))</f>
        <v/>
      </c>
      <c r="AL1419" s="81" t="str">
        <f aca="false">IF(AH1419&lt;&gt;"",AH1419,IF(AC1419&lt;&gt;"",AC1419,IF(X1419&lt;&gt;"",X1419,"")))</f>
        <v/>
      </c>
      <c r="AM1419" s="83" t="str">
        <f aca="false">IF(E1419="","",IF(R1419="","À SOUDER",IF(U1419="","VT EN ATTENTE",IF(U1419="R","VT REJETÉ – À REPRENDRE",IF(AL1419="","À RADIOGRAPHIER",IF(AL1419="A","ACCEPTÉ",IF(AL1419="NX","NX – RT À REFAIRE",IF(IF(AK1419=1,Z1419,IF(AK1419=2,AE1419,""))="A","RÉPARÉ – À RADIOGRAPHIER",IF(IF(AK1419=1,Z1419,IF(AK1419=2,AE1419,""))="R","VT REJETÉ – À REPRENDRE",IF(OR(AL1419="CO",AL1419="NT"),"COUPE – À RESOUDER","À RÉPARER"))))))))))</f>
        <v/>
      </c>
      <c r="AN1419" s="81" t="str">
        <f aca="false">IF(AND(ISNUMBER(R1419),OR(AM1419="À RADIOGRAPHIER",AM1419="RÉPARÉ – À RADIOGRAPHIER",AM1419="NX – RT À REFAIRE",AM1419="À RÉPARER",AM1419="COUPE – À RESOUDER",AM1419="VT REJETÉ – À REPRENDRE")),MAX(0,'PROGRAMME RT'!$C$4-R1419),"")</f>
        <v/>
      </c>
      <c r="AO1419" s="78" t="n">
        <f aca="false">IF(AND(OR(AM1419="À RADIOGRAPHIER",AM1419="RÉPARÉ – À RADIOGRAPHIER",AM1419="NX – RT À REFAIRE"),OR('PROGRAMME RT'!$D$5="TOUTES",B1419='PROGRAMME RT'!$D$5)),1,0)</f>
        <v>0</v>
      </c>
      <c r="AP1419" s="78" t="str">
        <f aca="false">IF(AO1419=1,SUM(AO$7:AO1419),"")</f>
        <v/>
      </c>
      <c r="AQ1419" s="78" t="n">
        <f aca="false">IF(AND(OR(X1419="R",X1419="NX",X1419="NT",X1419="CO"),OR('JOINTS DE RÉPARATION'!$D$5="TOUTES",B1419='JOINTS DE RÉPARATION'!$D$5),OR('JOINTS DE RÉPARATION'!$L$4="TOUS",AM1419&lt;&gt;"ACCEPTÉ")),1,0)</f>
        <v>0</v>
      </c>
      <c r="AR1419" s="78" t="str">
        <f aca="false">IF(AQ1419=1,SUM(AQ$7:AQ1419),"")</f>
        <v/>
      </c>
    </row>
    <row r="1420" customFormat="false" ht="15" hidden="false" customHeight="false" outlineLevel="0" collapsed="false">
      <c r="A1420" s="78" t="str">
        <f aca="false">IF(E1420="","",ROW()-6)</f>
        <v/>
      </c>
      <c r="B1420" s="79"/>
      <c r="C1420" s="80"/>
      <c r="D1420" s="80"/>
      <c r="E1420" s="80"/>
      <c r="F1420" s="80"/>
      <c r="G1420" s="80"/>
      <c r="H1420" s="80"/>
      <c r="I1420" s="80"/>
      <c r="J1420" s="80"/>
      <c r="K1420" s="80"/>
      <c r="L1420" s="81" t="str">
        <f aca="false">IF(K1420="","",IFERROR(INDEX(BARDAGE!$C$7:$C$1506,MATCH(K1420,BARDAGE!$B$7:$B$1506,0)),"? hors registre"))</f>
        <v/>
      </c>
      <c r="M1420" s="80"/>
      <c r="N1420" s="81" t="str">
        <f aca="false">IF(M1420="","",IFERROR(INDEX(BARDAGE!$C$7:$C$1506,MATCH(M1420,BARDAGE!$B$7:$B$1506,0)),"? hors registre"))</f>
        <v/>
      </c>
      <c r="O1420" s="80"/>
      <c r="P1420" s="80"/>
      <c r="Q1420" s="80"/>
      <c r="R1420" s="82"/>
      <c r="S1420" s="82"/>
      <c r="T1420" s="80"/>
      <c r="U1420" s="80"/>
      <c r="V1420" s="82"/>
      <c r="W1420" s="80"/>
      <c r="X1420" s="80"/>
      <c r="Y1420" s="80"/>
      <c r="Z1420" s="80"/>
      <c r="AA1420" s="82"/>
      <c r="AB1420" s="80"/>
      <c r="AC1420" s="80"/>
      <c r="AD1420" s="80"/>
      <c r="AE1420" s="80"/>
      <c r="AF1420" s="82"/>
      <c r="AG1420" s="80"/>
      <c r="AH1420" s="80"/>
      <c r="AI1420" s="82"/>
      <c r="AJ1420" s="79"/>
      <c r="AK1420" s="78" t="str">
        <f aca="false">IF(E1420="","",(X1420&lt;&gt;"")+(AC1420&lt;&gt;"")+(AH1420&lt;&gt;""))</f>
        <v/>
      </c>
      <c r="AL1420" s="81" t="str">
        <f aca="false">IF(AH1420&lt;&gt;"",AH1420,IF(AC1420&lt;&gt;"",AC1420,IF(X1420&lt;&gt;"",X1420,"")))</f>
        <v/>
      </c>
      <c r="AM1420" s="83" t="str">
        <f aca="false">IF(E1420="","",IF(R1420="","À SOUDER",IF(U1420="","VT EN ATTENTE",IF(U1420="R","VT REJETÉ – À REPRENDRE",IF(AL1420="","À RADIOGRAPHIER",IF(AL1420="A","ACCEPTÉ",IF(AL1420="NX","NX – RT À REFAIRE",IF(IF(AK1420=1,Z1420,IF(AK1420=2,AE1420,""))="A","RÉPARÉ – À RADIOGRAPHIER",IF(IF(AK1420=1,Z1420,IF(AK1420=2,AE1420,""))="R","VT REJETÉ – À REPRENDRE",IF(OR(AL1420="CO",AL1420="NT"),"COUPE – À RESOUDER","À RÉPARER"))))))))))</f>
        <v/>
      </c>
      <c r="AN1420" s="81" t="str">
        <f aca="false">IF(AND(ISNUMBER(R1420),OR(AM1420="À RADIOGRAPHIER",AM1420="RÉPARÉ – À RADIOGRAPHIER",AM1420="NX – RT À REFAIRE",AM1420="À RÉPARER",AM1420="COUPE – À RESOUDER",AM1420="VT REJETÉ – À REPRENDRE")),MAX(0,'PROGRAMME RT'!$C$4-R1420),"")</f>
        <v/>
      </c>
      <c r="AO1420" s="78" t="n">
        <f aca="false">IF(AND(OR(AM1420="À RADIOGRAPHIER",AM1420="RÉPARÉ – À RADIOGRAPHIER",AM1420="NX – RT À REFAIRE"),OR('PROGRAMME RT'!$D$5="TOUTES",B1420='PROGRAMME RT'!$D$5)),1,0)</f>
        <v>0</v>
      </c>
      <c r="AP1420" s="78" t="str">
        <f aca="false">IF(AO1420=1,SUM(AO$7:AO1420),"")</f>
        <v/>
      </c>
      <c r="AQ1420" s="78" t="n">
        <f aca="false">IF(AND(OR(X1420="R",X1420="NX",X1420="NT",X1420="CO"),OR('JOINTS DE RÉPARATION'!$D$5="TOUTES",B1420='JOINTS DE RÉPARATION'!$D$5),OR('JOINTS DE RÉPARATION'!$L$4="TOUS",AM1420&lt;&gt;"ACCEPTÉ")),1,0)</f>
        <v>0</v>
      </c>
      <c r="AR1420" s="78" t="str">
        <f aca="false">IF(AQ1420=1,SUM(AQ$7:AQ1420),"")</f>
        <v/>
      </c>
    </row>
    <row r="1421" customFormat="false" ht="15" hidden="false" customHeight="false" outlineLevel="0" collapsed="false">
      <c r="A1421" s="78" t="str">
        <f aca="false">IF(E1421="","",ROW()-6)</f>
        <v/>
      </c>
      <c r="B1421" s="79"/>
      <c r="C1421" s="80"/>
      <c r="D1421" s="80"/>
      <c r="E1421" s="80"/>
      <c r="F1421" s="80"/>
      <c r="G1421" s="80"/>
      <c r="H1421" s="80"/>
      <c r="I1421" s="80"/>
      <c r="J1421" s="80"/>
      <c r="K1421" s="80"/>
      <c r="L1421" s="81" t="str">
        <f aca="false">IF(K1421="","",IFERROR(INDEX(BARDAGE!$C$7:$C$1506,MATCH(K1421,BARDAGE!$B$7:$B$1506,0)),"? hors registre"))</f>
        <v/>
      </c>
      <c r="M1421" s="80"/>
      <c r="N1421" s="81" t="str">
        <f aca="false">IF(M1421="","",IFERROR(INDEX(BARDAGE!$C$7:$C$1506,MATCH(M1421,BARDAGE!$B$7:$B$1506,0)),"? hors registre"))</f>
        <v/>
      </c>
      <c r="O1421" s="80"/>
      <c r="P1421" s="80"/>
      <c r="Q1421" s="80"/>
      <c r="R1421" s="82"/>
      <c r="S1421" s="82"/>
      <c r="T1421" s="80"/>
      <c r="U1421" s="80"/>
      <c r="V1421" s="82"/>
      <c r="W1421" s="80"/>
      <c r="X1421" s="80"/>
      <c r="Y1421" s="80"/>
      <c r="Z1421" s="80"/>
      <c r="AA1421" s="82"/>
      <c r="AB1421" s="80"/>
      <c r="AC1421" s="80"/>
      <c r="AD1421" s="80"/>
      <c r="AE1421" s="80"/>
      <c r="AF1421" s="82"/>
      <c r="AG1421" s="80"/>
      <c r="AH1421" s="80"/>
      <c r="AI1421" s="82"/>
      <c r="AJ1421" s="79"/>
      <c r="AK1421" s="78" t="str">
        <f aca="false">IF(E1421="","",(X1421&lt;&gt;"")+(AC1421&lt;&gt;"")+(AH1421&lt;&gt;""))</f>
        <v/>
      </c>
      <c r="AL1421" s="81" t="str">
        <f aca="false">IF(AH1421&lt;&gt;"",AH1421,IF(AC1421&lt;&gt;"",AC1421,IF(X1421&lt;&gt;"",X1421,"")))</f>
        <v/>
      </c>
      <c r="AM1421" s="83" t="str">
        <f aca="false">IF(E1421="","",IF(R1421="","À SOUDER",IF(U1421="","VT EN ATTENTE",IF(U1421="R","VT REJETÉ – À REPRENDRE",IF(AL1421="","À RADIOGRAPHIER",IF(AL1421="A","ACCEPTÉ",IF(AL1421="NX","NX – RT À REFAIRE",IF(IF(AK1421=1,Z1421,IF(AK1421=2,AE1421,""))="A","RÉPARÉ – À RADIOGRAPHIER",IF(IF(AK1421=1,Z1421,IF(AK1421=2,AE1421,""))="R","VT REJETÉ – À REPRENDRE",IF(OR(AL1421="CO",AL1421="NT"),"COUPE – À RESOUDER","À RÉPARER"))))))))))</f>
        <v/>
      </c>
      <c r="AN1421" s="81" t="str">
        <f aca="false">IF(AND(ISNUMBER(R1421),OR(AM1421="À RADIOGRAPHIER",AM1421="RÉPARÉ – À RADIOGRAPHIER",AM1421="NX – RT À REFAIRE",AM1421="À RÉPARER",AM1421="COUPE – À RESOUDER",AM1421="VT REJETÉ – À REPRENDRE")),MAX(0,'PROGRAMME RT'!$C$4-R1421),"")</f>
        <v/>
      </c>
      <c r="AO1421" s="78" t="n">
        <f aca="false">IF(AND(OR(AM1421="À RADIOGRAPHIER",AM1421="RÉPARÉ – À RADIOGRAPHIER",AM1421="NX – RT À REFAIRE"),OR('PROGRAMME RT'!$D$5="TOUTES",B1421='PROGRAMME RT'!$D$5)),1,0)</f>
        <v>0</v>
      </c>
      <c r="AP1421" s="78" t="str">
        <f aca="false">IF(AO1421=1,SUM(AO$7:AO1421),"")</f>
        <v/>
      </c>
      <c r="AQ1421" s="78" t="n">
        <f aca="false">IF(AND(OR(X1421="R",X1421="NX",X1421="NT",X1421="CO"),OR('JOINTS DE RÉPARATION'!$D$5="TOUTES",B1421='JOINTS DE RÉPARATION'!$D$5),OR('JOINTS DE RÉPARATION'!$L$4="TOUS",AM1421&lt;&gt;"ACCEPTÉ")),1,0)</f>
        <v>0</v>
      </c>
      <c r="AR1421" s="78" t="str">
        <f aca="false">IF(AQ1421=1,SUM(AQ$7:AQ1421),"")</f>
        <v/>
      </c>
    </row>
    <row r="1422" customFormat="false" ht="15" hidden="false" customHeight="false" outlineLevel="0" collapsed="false">
      <c r="A1422" s="78" t="str">
        <f aca="false">IF(E1422="","",ROW()-6)</f>
        <v/>
      </c>
      <c r="B1422" s="79"/>
      <c r="C1422" s="80"/>
      <c r="D1422" s="80"/>
      <c r="E1422" s="80"/>
      <c r="F1422" s="80"/>
      <c r="G1422" s="80"/>
      <c r="H1422" s="80"/>
      <c r="I1422" s="80"/>
      <c r="J1422" s="80"/>
      <c r="K1422" s="80"/>
      <c r="L1422" s="81" t="str">
        <f aca="false">IF(K1422="","",IFERROR(INDEX(BARDAGE!$C$7:$C$1506,MATCH(K1422,BARDAGE!$B$7:$B$1506,0)),"? hors registre"))</f>
        <v/>
      </c>
      <c r="M1422" s="80"/>
      <c r="N1422" s="81" t="str">
        <f aca="false">IF(M1422="","",IFERROR(INDEX(BARDAGE!$C$7:$C$1506,MATCH(M1422,BARDAGE!$B$7:$B$1506,0)),"? hors registre"))</f>
        <v/>
      </c>
      <c r="O1422" s="80"/>
      <c r="P1422" s="80"/>
      <c r="Q1422" s="80"/>
      <c r="R1422" s="82"/>
      <c r="S1422" s="82"/>
      <c r="T1422" s="80"/>
      <c r="U1422" s="80"/>
      <c r="V1422" s="82"/>
      <c r="W1422" s="80"/>
      <c r="X1422" s="80"/>
      <c r="Y1422" s="80"/>
      <c r="Z1422" s="80"/>
      <c r="AA1422" s="82"/>
      <c r="AB1422" s="80"/>
      <c r="AC1422" s="80"/>
      <c r="AD1422" s="80"/>
      <c r="AE1422" s="80"/>
      <c r="AF1422" s="82"/>
      <c r="AG1422" s="80"/>
      <c r="AH1422" s="80"/>
      <c r="AI1422" s="82"/>
      <c r="AJ1422" s="79"/>
      <c r="AK1422" s="78" t="str">
        <f aca="false">IF(E1422="","",(X1422&lt;&gt;"")+(AC1422&lt;&gt;"")+(AH1422&lt;&gt;""))</f>
        <v/>
      </c>
      <c r="AL1422" s="81" t="str">
        <f aca="false">IF(AH1422&lt;&gt;"",AH1422,IF(AC1422&lt;&gt;"",AC1422,IF(X1422&lt;&gt;"",X1422,"")))</f>
        <v/>
      </c>
      <c r="AM1422" s="83" t="str">
        <f aca="false">IF(E1422="","",IF(R1422="","À SOUDER",IF(U1422="","VT EN ATTENTE",IF(U1422="R","VT REJETÉ – À REPRENDRE",IF(AL1422="","À RADIOGRAPHIER",IF(AL1422="A","ACCEPTÉ",IF(AL1422="NX","NX – RT À REFAIRE",IF(IF(AK1422=1,Z1422,IF(AK1422=2,AE1422,""))="A","RÉPARÉ – À RADIOGRAPHIER",IF(IF(AK1422=1,Z1422,IF(AK1422=2,AE1422,""))="R","VT REJETÉ – À REPRENDRE",IF(OR(AL1422="CO",AL1422="NT"),"COUPE – À RESOUDER","À RÉPARER"))))))))))</f>
        <v/>
      </c>
      <c r="AN1422" s="81" t="str">
        <f aca="false">IF(AND(ISNUMBER(R1422),OR(AM1422="À RADIOGRAPHIER",AM1422="RÉPARÉ – À RADIOGRAPHIER",AM1422="NX – RT À REFAIRE",AM1422="À RÉPARER",AM1422="COUPE – À RESOUDER",AM1422="VT REJETÉ – À REPRENDRE")),MAX(0,'PROGRAMME RT'!$C$4-R1422),"")</f>
        <v/>
      </c>
      <c r="AO1422" s="78" t="n">
        <f aca="false">IF(AND(OR(AM1422="À RADIOGRAPHIER",AM1422="RÉPARÉ – À RADIOGRAPHIER",AM1422="NX – RT À REFAIRE"),OR('PROGRAMME RT'!$D$5="TOUTES",B1422='PROGRAMME RT'!$D$5)),1,0)</f>
        <v>0</v>
      </c>
      <c r="AP1422" s="78" t="str">
        <f aca="false">IF(AO1422=1,SUM(AO$7:AO1422),"")</f>
        <v/>
      </c>
      <c r="AQ1422" s="78" t="n">
        <f aca="false">IF(AND(OR(X1422="R",X1422="NX",X1422="NT",X1422="CO"),OR('JOINTS DE RÉPARATION'!$D$5="TOUTES",B1422='JOINTS DE RÉPARATION'!$D$5),OR('JOINTS DE RÉPARATION'!$L$4="TOUS",AM1422&lt;&gt;"ACCEPTÉ")),1,0)</f>
        <v>0</v>
      </c>
      <c r="AR1422" s="78" t="str">
        <f aca="false">IF(AQ1422=1,SUM(AQ$7:AQ1422),"")</f>
        <v/>
      </c>
    </row>
    <row r="1423" customFormat="false" ht="15" hidden="false" customHeight="false" outlineLevel="0" collapsed="false">
      <c r="A1423" s="78" t="str">
        <f aca="false">IF(E1423="","",ROW()-6)</f>
        <v/>
      </c>
      <c r="B1423" s="79"/>
      <c r="C1423" s="80"/>
      <c r="D1423" s="80"/>
      <c r="E1423" s="80"/>
      <c r="F1423" s="80"/>
      <c r="G1423" s="80"/>
      <c r="H1423" s="80"/>
      <c r="I1423" s="80"/>
      <c r="J1423" s="80"/>
      <c r="K1423" s="80"/>
      <c r="L1423" s="81" t="str">
        <f aca="false">IF(K1423="","",IFERROR(INDEX(BARDAGE!$C$7:$C$1506,MATCH(K1423,BARDAGE!$B$7:$B$1506,0)),"? hors registre"))</f>
        <v/>
      </c>
      <c r="M1423" s="80"/>
      <c r="N1423" s="81" t="str">
        <f aca="false">IF(M1423="","",IFERROR(INDEX(BARDAGE!$C$7:$C$1506,MATCH(M1423,BARDAGE!$B$7:$B$1506,0)),"? hors registre"))</f>
        <v/>
      </c>
      <c r="O1423" s="80"/>
      <c r="P1423" s="80"/>
      <c r="Q1423" s="80"/>
      <c r="R1423" s="82"/>
      <c r="S1423" s="82"/>
      <c r="T1423" s="80"/>
      <c r="U1423" s="80"/>
      <c r="V1423" s="82"/>
      <c r="W1423" s="80"/>
      <c r="X1423" s="80"/>
      <c r="Y1423" s="80"/>
      <c r="Z1423" s="80"/>
      <c r="AA1423" s="82"/>
      <c r="AB1423" s="80"/>
      <c r="AC1423" s="80"/>
      <c r="AD1423" s="80"/>
      <c r="AE1423" s="80"/>
      <c r="AF1423" s="82"/>
      <c r="AG1423" s="80"/>
      <c r="AH1423" s="80"/>
      <c r="AI1423" s="82"/>
      <c r="AJ1423" s="79"/>
      <c r="AK1423" s="78" t="str">
        <f aca="false">IF(E1423="","",(X1423&lt;&gt;"")+(AC1423&lt;&gt;"")+(AH1423&lt;&gt;""))</f>
        <v/>
      </c>
      <c r="AL1423" s="81" t="str">
        <f aca="false">IF(AH1423&lt;&gt;"",AH1423,IF(AC1423&lt;&gt;"",AC1423,IF(X1423&lt;&gt;"",X1423,"")))</f>
        <v/>
      </c>
      <c r="AM1423" s="83" t="str">
        <f aca="false">IF(E1423="","",IF(R1423="","À SOUDER",IF(U1423="","VT EN ATTENTE",IF(U1423="R","VT REJETÉ – À REPRENDRE",IF(AL1423="","À RADIOGRAPHIER",IF(AL1423="A","ACCEPTÉ",IF(AL1423="NX","NX – RT À REFAIRE",IF(IF(AK1423=1,Z1423,IF(AK1423=2,AE1423,""))="A","RÉPARÉ – À RADIOGRAPHIER",IF(IF(AK1423=1,Z1423,IF(AK1423=2,AE1423,""))="R","VT REJETÉ – À REPRENDRE",IF(OR(AL1423="CO",AL1423="NT"),"COUPE – À RESOUDER","À RÉPARER"))))))))))</f>
        <v/>
      </c>
      <c r="AN1423" s="81" t="str">
        <f aca="false">IF(AND(ISNUMBER(R1423),OR(AM1423="À RADIOGRAPHIER",AM1423="RÉPARÉ – À RADIOGRAPHIER",AM1423="NX – RT À REFAIRE",AM1423="À RÉPARER",AM1423="COUPE – À RESOUDER",AM1423="VT REJETÉ – À REPRENDRE")),MAX(0,'PROGRAMME RT'!$C$4-R1423),"")</f>
        <v/>
      </c>
      <c r="AO1423" s="78" t="n">
        <f aca="false">IF(AND(OR(AM1423="À RADIOGRAPHIER",AM1423="RÉPARÉ – À RADIOGRAPHIER",AM1423="NX – RT À REFAIRE"),OR('PROGRAMME RT'!$D$5="TOUTES",B1423='PROGRAMME RT'!$D$5)),1,0)</f>
        <v>0</v>
      </c>
      <c r="AP1423" s="78" t="str">
        <f aca="false">IF(AO1423=1,SUM(AO$7:AO1423),"")</f>
        <v/>
      </c>
      <c r="AQ1423" s="78" t="n">
        <f aca="false">IF(AND(OR(X1423="R",X1423="NX",X1423="NT",X1423="CO"),OR('JOINTS DE RÉPARATION'!$D$5="TOUTES",B1423='JOINTS DE RÉPARATION'!$D$5),OR('JOINTS DE RÉPARATION'!$L$4="TOUS",AM1423&lt;&gt;"ACCEPTÉ")),1,0)</f>
        <v>0</v>
      </c>
      <c r="AR1423" s="78" t="str">
        <f aca="false">IF(AQ1423=1,SUM(AQ$7:AQ1423),"")</f>
        <v/>
      </c>
    </row>
    <row r="1424" customFormat="false" ht="15" hidden="false" customHeight="false" outlineLevel="0" collapsed="false">
      <c r="A1424" s="78" t="str">
        <f aca="false">IF(E1424="","",ROW()-6)</f>
        <v/>
      </c>
      <c r="B1424" s="79"/>
      <c r="C1424" s="80"/>
      <c r="D1424" s="80"/>
      <c r="E1424" s="80"/>
      <c r="F1424" s="80"/>
      <c r="G1424" s="80"/>
      <c r="H1424" s="80"/>
      <c r="I1424" s="80"/>
      <c r="J1424" s="80"/>
      <c r="K1424" s="80"/>
      <c r="L1424" s="81" t="str">
        <f aca="false">IF(K1424="","",IFERROR(INDEX(BARDAGE!$C$7:$C$1506,MATCH(K1424,BARDAGE!$B$7:$B$1506,0)),"? hors registre"))</f>
        <v/>
      </c>
      <c r="M1424" s="80"/>
      <c r="N1424" s="81" t="str">
        <f aca="false">IF(M1424="","",IFERROR(INDEX(BARDAGE!$C$7:$C$1506,MATCH(M1424,BARDAGE!$B$7:$B$1506,0)),"? hors registre"))</f>
        <v/>
      </c>
      <c r="O1424" s="80"/>
      <c r="P1424" s="80"/>
      <c r="Q1424" s="80"/>
      <c r="R1424" s="82"/>
      <c r="S1424" s="82"/>
      <c r="T1424" s="80"/>
      <c r="U1424" s="80"/>
      <c r="V1424" s="82"/>
      <c r="W1424" s="80"/>
      <c r="X1424" s="80"/>
      <c r="Y1424" s="80"/>
      <c r="Z1424" s="80"/>
      <c r="AA1424" s="82"/>
      <c r="AB1424" s="80"/>
      <c r="AC1424" s="80"/>
      <c r="AD1424" s="80"/>
      <c r="AE1424" s="80"/>
      <c r="AF1424" s="82"/>
      <c r="AG1424" s="80"/>
      <c r="AH1424" s="80"/>
      <c r="AI1424" s="82"/>
      <c r="AJ1424" s="79"/>
      <c r="AK1424" s="78" t="str">
        <f aca="false">IF(E1424="","",(X1424&lt;&gt;"")+(AC1424&lt;&gt;"")+(AH1424&lt;&gt;""))</f>
        <v/>
      </c>
      <c r="AL1424" s="81" t="str">
        <f aca="false">IF(AH1424&lt;&gt;"",AH1424,IF(AC1424&lt;&gt;"",AC1424,IF(X1424&lt;&gt;"",X1424,"")))</f>
        <v/>
      </c>
      <c r="AM1424" s="83" t="str">
        <f aca="false">IF(E1424="","",IF(R1424="","À SOUDER",IF(U1424="","VT EN ATTENTE",IF(U1424="R","VT REJETÉ – À REPRENDRE",IF(AL1424="","À RADIOGRAPHIER",IF(AL1424="A","ACCEPTÉ",IF(AL1424="NX","NX – RT À REFAIRE",IF(IF(AK1424=1,Z1424,IF(AK1424=2,AE1424,""))="A","RÉPARÉ – À RADIOGRAPHIER",IF(IF(AK1424=1,Z1424,IF(AK1424=2,AE1424,""))="R","VT REJETÉ – À REPRENDRE",IF(OR(AL1424="CO",AL1424="NT"),"COUPE – À RESOUDER","À RÉPARER"))))))))))</f>
        <v/>
      </c>
      <c r="AN1424" s="81" t="str">
        <f aca="false">IF(AND(ISNUMBER(R1424),OR(AM1424="À RADIOGRAPHIER",AM1424="RÉPARÉ – À RADIOGRAPHIER",AM1424="NX – RT À REFAIRE",AM1424="À RÉPARER",AM1424="COUPE – À RESOUDER",AM1424="VT REJETÉ – À REPRENDRE")),MAX(0,'PROGRAMME RT'!$C$4-R1424),"")</f>
        <v/>
      </c>
      <c r="AO1424" s="78" t="n">
        <f aca="false">IF(AND(OR(AM1424="À RADIOGRAPHIER",AM1424="RÉPARÉ – À RADIOGRAPHIER",AM1424="NX – RT À REFAIRE"),OR('PROGRAMME RT'!$D$5="TOUTES",B1424='PROGRAMME RT'!$D$5)),1,0)</f>
        <v>0</v>
      </c>
      <c r="AP1424" s="78" t="str">
        <f aca="false">IF(AO1424=1,SUM(AO$7:AO1424),"")</f>
        <v/>
      </c>
      <c r="AQ1424" s="78" t="n">
        <f aca="false">IF(AND(OR(X1424="R",X1424="NX",X1424="NT",X1424="CO"),OR('JOINTS DE RÉPARATION'!$D$5="TOUTES",B1424='JOINTS DE RÉPARATION'!$D$5),OR('JOINTS DE RÉPARATION'!$L$4="TOUS",AM1424&lt;&gt;"ACCEPTÉ")),1,0)</f>
        <v>0</v>
      </c>
      <c r="AR1424" s="78" t="str">
        <f aca="false">IF(AQ1424=1,SUM(AQ$7:AQ1424),"")</f>
        <v/>
      </c>
    </row>
    <row r="1425" customFormat="false" ht="15" hidden="false" customHeight="false" outlineLevel="0" collapsed="false">
      <c r="A1425" s="78" t="str">
        <f aca="false">IF(E1425="","",ROW()-6)</f>
        <v/>
      </c>
      <c r="B1425" s="79"/>
      <c r="C1425" s="80"/>
      <c r="D1425" s="80"/>
      <c r="E1425" s="80"/>
      <c r="F1425" s="80"/>
      <c r="G1425" s="80"/>
      <c r="H1425" s="80"/>
      <c r="I1425" s="80"/>
      <c r="J1425" s="80"/>
      <c r="K1425" s="80"/>
      <c r="L1425" s="81" t="str">
        <f aca="false">IF(K1425="","",IFERROR(INDEX(BARDAGE!$C$7:$C$1506,MATCH(K1425,BARDAGE!$B$7:$B$1506,0)),"? hors registre"))</f>
        <v/>
      </c>
      <c r="M1425" s="80"/>
      <c r="N1425" s="81" t="str">
        <f aca="false">IF(M1425="","",IFERROR(INDEX(BARDAGE!$C$7:$C$1506,MATCH(M1425,BARDAGE!$B$7:$B$1506,0)),"? hors registre"))</f>
        <v/>
      </c>
      <c r="O1425" s="80"/>
      <c r="P1425" s="80"/>
      <c r="Q1425" s="80"/>
      <c r="R1425" s="82"/>
      <c r="S1425" s="82"/>
      <c r="T1425" s="80"/>
      <c r="U1425" s="80"/>
      <c r="V1425" s="82"/>
      <c r="W1425" s="80"/>
      <c r="X1425" s="80"/>
      <c r="Y1425" s="80"/>
      <c r="Z1425" s="80"/>
      <c r="AA1425" s="82"/>
      <c r="AB1425" s="80"/>
      <c r="AC1425" s="80"/>
      <c r="AD1425" s="80"/>
      <c r="AE1425" s="80"/>
      <c r="AF1425" s="82"/>
      <c r="AG1425" s="80"/>
      <c r="AH1425" s="80"/>
      <c r="AI1425" s="82"/>
      <c r="AJ1425" s="79"/>
      <c r="AK1425" s="78" t="str">
        <f aca="false">IF(E1425="","",(X1425&lt;&gt;"")+(AC1425&lt;&gt;"")+(AH1425&lt;&gt;""))</f>
        <v/>
      </c>
      <c r="AL1425" s="81" t="str">
        <f aca="false">IF(AH1425&lt;&gt;"",AH1425,IF(AC1425&lt;&gt;"",AC1425,IF(X1425&lt;&gt;"",X1425,"")))</f>
        <v/>
      </c>
      <c r="AM1425" s="83" t="str">
        <f aca="false">IF(E1425="","",IF(R1425="","À SOUDER",IF(U1425="","VT EN ATTENTE",IF(U1425="R","VT REJETÉ – À REPRENDRE",IF(AL1425="","À RADIOGRAPHIER",IF(AL1425="A","ACCEPTÉ",IF(AL1425="NX","NX – RT À REFAIRE",IF(IF(AK1425=1,Z1425,IF(AK1425=2,AE1425,""))="A","RÉPARÉ – À RADIOGRAPHIER",IF(IF(AK1425=1,Z1425,IF(AK1425=2,AE1425,""))="R","VT REJETÉ – À REPRENDRE",IF(OR(AL1425="CO",AL1425="NT"),"COUPE – À RESOUDER","À RÉPARER"))))))))))</f>
        <v/>
      </c>
      <c r="AN1425" s="81" t="str">
        <f aca="false">IF(AND(ISNUMBER(R1425),OR(AM1425="À RADIOGRAPHIER",AM1425="RÉPARÉ – À RADIOGRAPHIER",AM1425="NX – RT À REFAIRE",AM1425="À RÉPARER",AM1425="COUPE – À RESOUDER",AM1425="VT REJETÉ – À REPRENDRE")),MAX(0,'PROGRAMME RT'!$C$4-R1425),"")</f>
        <v/>
      </c>
      <c r="AO1425" s="78" t="n">
        <f aca="false">IF(AND(OR(AM1425="À RADIOGRAPHIER",AM1425="RÉPARÉ – À RADIOGRAPHIER",AM1425="NX – RT À REFAIRE"),OR('PROGRAMME RT'!$D$5="TOUTES",B1425='PROGRAMME RT'!$D$5)),1,0)</f>
        <v>0</v>
      </c>
      <c r="AP1425" s="78" t="str">
        <f aca="false">IF(AO1425=1,SUM(AO$7:AO1425),"")</f>
        <v/>
      </c>
      <c r="AQ1425" s="78" t="n">
        <f aca="false">IF(AND(OR(X1425="R",X1425="NX",X1425="NT",X1425="CO"),OR('JOINTS DE RÉPARATION'!$D$5="TOUTES",B1425='JOINTS DE RÉPARATION'!$D$5),OR('JOINTS DE RÉPARATION'!$L$4="TOUS",AM1425&lt;&gt;"ACCEPTÉ")),1,0)</f>
        <v>0</v>
      </c>
      <c r="AR1425" s="78" t="str">
        <f aca="false">IF(AQ1425=1,SUM(AQ$7:AQ1425),"")</f>
        <v/>
      </c>
    </row>
    <row r="1426" customFormat="false" ht="15" hidden="false" customHeight="false" outlineLevel="0" collapsed="false">
      <c r="A1426" s="78" t="str">
        <f aca="false">IF(E1426="","",ROW()-6)</f>
        <v/>
      </c>
      <c r="B1426" s="79"/>
      <c r="C1426" s="80"/>
      <c r="D1426" s="80"/>
      <c r="E1426" s="80"/>
      <c r="F1426" s="80"/>
      <c r="G1426" s="80"/>
      <c r="H1426" s="80"/>
      <c r="I1426" s="80"/>
      <c r="J1426" s="80"/>
      <c r="K1426" s="80"/>
      <c r="L1426" s="81" t="str">
        <f aca="false">IF(K1426="","",IFERROR(INDEX(BARDAGE!$C$7:$C$1506,MATCH(K1426,BARDAGE!$B$7:$B$1506,0)),"? hors registre"))</f>
        <v/>
      </c>
      <c r="M1426" s="80"/>
      <c r="N1426" s="81" t="str">
        <f aca="false">IF(M1426="","",IFERROR(INDEX(BARDAGE!$C$7:$C$1506,MATCH(M1426,BARDAGE!$B$7:$B$1506,0)),"? hors registre"))</f>
        <v/>
      </c>
      <c r="O1426" s="80"/>
      <c r="P1426" s="80"/>
      <c r="Q1426" s="80"/>
      <c r="R1426" s="82"/>
      <c r="S1426" s="82"/>
      <c r="T1426" s="80"/>
      <c r="U1426" s="80"/>
      <c r="V1426" s="82"/>
      <c r="W1426" s="80"/>
      <c r="X1426" s="80"/>
      <c r="Y1426" s="80"/>
      <c r="Z1426" s="80"/>
      <c r="AA1426" s="82"/>
      <c r="AB1426" s="80"/>
      <c r="AC1426" s="80"/>
      <c r="AD1426" s="80"/>
      <c r="AE1426" s="80"/>
      <c r="AF1426" s="82"/>
      <c r="AG1426" s="80"/>
      <c r="AH1426" s="80"/>
      <c r="AI1426" s="82"/>
      <c r="AJ1426" s="79"/>
      <c r="AK1426" s="78" t="str">
        <f aca="false">IF(E1426="","",(X1426&lt;&gt;"")+(AC1426&lt;&gt;"")+(AH1426&lt;&gt;""))</f>
        <v/>
      </c>
      <c r="AL1426" s="81" t="str">
        <f aca="false">IF(AH1426&lt;&gt;"",AH1426,IF(AC1426&lt;&gt;"",AC1426,IF(X1426&lt;&gt;"",X1426,"")))</f>
        <v/>
      </c>
      <c r="AM1426" s="83" t="str">
        <f aca="false">IF(E1426="","",IF(R1426="","À SOUDER",IF(U1426="","VT EN ATTENTE",IF(U1426="R","VT REJETÉ – À REPRENDRE",IF(AL1426="","À RADIOGRAPHIER",IF(AL1426="A","ACCEPTÉ",IF(AL1426="NX","NX – RT À REFAIRE",IF(IF(AK1426=1,Z1426,IF(AK1426=2,AE1426,""))="A","RÉPARÉ – À RADIOGRAPHIER",IF(IF(AK1426=1,Z1426,IF(AK1426=2,AE1426,""))="R","VT REJETÉ – À REPRENDRE",IF(OR(AL1426="CO",AL1426="NT"),"COUPE – À RESOUDER","À RÉPARER"))))))))))</f>
        <v/>
      </c>
      <c r="AN1426" s="81" t="str">
        <f aca="false">IF(AND(ISNUMBER(R1426),OR(AM1426="À RADIOGRAPHIER",AM1426="RÉPARÉ – À RADIOGRAPHIER",AM1426="NX – RT À REFAIRE",AM1426="À RÉPARER",AM1426="COUPE – À RESOUDER",AM1426="VT REJETÉ – À REPRENDRE")),MAX(0,'PROGRAMME RT'!$C$4-R1426),"")</f>
        <v/>
      </c>
      <c r="AO1426" s="78" t="n">
        <f aca="false">IF(AND(OR(AM1426="À RADIOGRAPHIER",AM1426="RÉPARÉ – À RADIOGRAPHIER",AM1426="NX – RT À REFAIRE"),OR('PROGRAMME RT'!$D$5="TOUTES",B1426='PROGRAMME RT'!$D$5)),1,0)</f>
        <v>0</v>
      </c>
      <c r="AP1426" s="78" t="str">
        <f aca="false">IF(AO1426=1,SUM(AO$7:AO1426),"")</f>
        <v/>
      </c>
      <c r="AQ1426" s="78" t="n">
        <f aca="false">IF(AND(OR(X1426="R",X1426="NX",X1426="NT",X1426="CO"),OR('JOINTS DE RÉPARATION'!$D$5="TOUTES",B1426='JOINTS DE RÉPARATION'!$D$5),OR('JOINTS DE RÉPARATION'!$L$4="TOUS",AM1426&lt;&gt;"ACCEPTÉ")),1,0)</f>
        <v>0</v>
      </c>
      <c r="AR1426" s="78" t="str">
        <f aca="false">IF(AQ1426=1,SUM(AQ$7:AQ1426),"")</f>
        <v/>
      </c>
    </row>
    <row r="1427" customFormat="false" ht="15" hidden="false" customHeight="false" outlineLevel="0" collapsed="false">
      <c r="A1427" s="78" t="str">
        <f aca="false">IF(E1427="","",ROW()-6)</f>
        <v/>
      </c>
      <c r="B1427" s="79"/>
      <c r="C1427" s="80"/>
      <c r="D1427" s="80"/>
      <c r="E1427" s="80"/>
      <c r="F1427" s="80"/>
      <c r="G1427" s="80"/>
      <c r="H1427" s="80"/>
      <c r="I1427" s="80"/>
      <c r="J1427" s="80"/>
      <c r="K1427" s="80"/>
      <c r="L1427" s="81" t="str">
        <f aca="false">IF(K1427="","",IFERROR(INDEX(BARDAGE!$C$7:$C$1506,MATCH(K1427,BARDAGE!$B$7:$B$1506,0)),"? hors registre"))</f>
        <v/>
      </c>
      <c r="M1427" s="80"/>
      <c r="N1427" s="81" t="str">
        <f aca="false">IF(M1427="","",IFERROR(INDEX(BARDAGE!$C$7:$C$1506,MATCH(M1427,BARDAGE!$B$7:$B$1506,0)),"? hors registre"))</f>
        <v/>
      </c>
      <c r="O1427" s="80"/>
      <c r="P1427" s="80"/>
      <c r="Q1427" s="80"/>
      <c r="R1427" s="82"/>
      <c r="S1427" s="82"/>
      <c r="T1427" s="80"/>
      <c r="U1427" s="80"/>
      <c r="V1427" s="82"/>
      <c r="W1427" s="80"/>
      <c r="X1427" s="80"/>
      <c r="Y1427" s="80"/>
      <c r="Z1427" s="80"/>
      <c r="AA1427" s="82"/>
      <c r="AB1427" s="80"/>
      <c r="AC1427" s="80"/>
      <c r="AD1427" s="80"/>
      <c r="AE1427" s="80"/>
      <c r="AF1427" s="82"/>
      <c r="AG1427" s="80"/>
      <c r="AH1427" s="80"/>
      <c r="AI1427" s="82"/>
      <c r="AJ1427" s="79"/>
      <c r="AK1427" s="78" t="str">
        <f aca="false">IF(E1427="","",(X1427&lt;&gt;"")+(AC1427&lt;&gt;"")+(AH1427&lt;&gt;""))</f>
        <v/>
      </c>
      <c r="AL1427" s="81" t="str">
        <f aca="false">IF(AH1427&lt;&gt;"",AH1427,IF(AC1427&lt;&gt;"",AC1427,IF(X1427&lt;&gt;"",X1427,"")))</f>
        <v/>
      </c>
      <c r="AM1427" s="83" t="str">
        <f aca="false">IF(E1427="","",IF(R1427="","À SOUDER",IF(U1427="","VT EN ATTENTE",IF(U1427="R","VT REJETÉ – À REPRENDRE",IF(AL1427="","À RADIOGRAPHIER",IF(AL1427="A","ACCEPTÉ",IF(AL1427="NX","NX – RT À REFAIRE",IF(IF(AK1427=1,Z1427,IF(AK1427=2,AE1427,""))="A","RÉPARÉ – À RADIOGRAPHIER",IF(IF(AK1427=1,Z1427,IF(AK1427=2,AE1427,""))="R","VT REJETÉ – À REPRENDRE",IF(OR(AL1427="CO",AL1427="NT"),"COUPE – À RESOUDER","À RÉPARER"))))))))))</f>
        <v/>
      </c>
      <c r="AN1427" s="81" t="str">
        <f aca="false">IF(AND(ISNUMBER(R1427),OR(AM1427="À RADIOGRAPHIER",AM1427="RÉPARÉ – À RADIOGRAPHIER",AM1427="NX – RT À REFAIRE",AM1427="À RÉPARER",AM1427="COUPE – À RESOUDER",AM1427="VT REJETÉ – À REPRENDRE")),MAX(0,'PROGRAMME RT'!$C$4-R1427),"")</f>
        <v/>
      </c>
      <c r="AO1427" s="78" t="n">
        <f aca="false">IF(AND(OR(AM1427="À RADIOGRAPHIER",AM1427="RÉPARÉ – À RADIOGRAPHIER",AM1427="NX – RT À REFAIRE"),OR('PROGRAMME RT'!$D$5="TOUTES",B1427='PROGRAMME RT'!$D$5)),1,0)</f>
        <v>0</v>
      </c>
      <c r="AP1427" s="78" t="str">
        <f aca="false">IF(AO1427=1,SUM(AO$7:AO1427),"")</f>
        <v/>
      </c>
      <c r="AQ1427" s="78" t="n">
        <f aca="false">IF(AND(OR(X1427="R",X1427="NX",X1427="NT",X1427="CO"),OR('JOINTS DE RÉPARATION'!$D$5="TOUTES",B1427='JOINTS DE RÉPARATION'!$D$5),OR('JOINTS DE RÉPARATION'!$L$4="TOUS",AM1427&lt;&gt;"ACCEPTÉ")),1,0)</f>
        <v>0</v>
      </c>
      <c r="AR1427" s="78" t="str">
        <f aca="false">IF(AQ1427=1,SUM(AQ$7:AQ1427),"")</f>
        <v/>
      </c>
    </row>
    <row r="1428" customFormat="false" ht="15" hidden="false" customHeight="false" outlineLevel="0" collapsed="false">
      <c r="A1428" s="78" t="str">
        <f aca="false">IF(E1428="","",ROW()-6)</f>
        <v/>
      </c>
      <c r="B1428" s="79"/>
      <c r="C1428" s="80"/>
      <c r="D1428" s="80"/>
      <c r="E1428" s="80"/>
      <c r="F1428" s="80"/>
      <c r="G1428" s="80"/>
      <c r="H1428" s="80"/>
      <c r="I1428" s="80"/>
      <c r="J1428" s="80"/>
      <c r="K1428" s="80"/>
      <c r="L1428" s="81" t="str">
        <f aca="false">IF(K1428="","",IFERROR(INDEX(BARDAGE!$C$7:$C$1506,MATCH(K1428,BARDAGE!$B$7:$B$1506,0)),"? hors registre"))</f>
        <v/>
      </c>
      <c r="M1428" s="80"/>
      <c r="N1428" s="81" t="str">
        <f aca="false">IF(M1428="","",IFERROR(INDEX(BARDAGE!$C$7:$C$1506,MATCH(M1428,BARDAGE!$B$7:$B$1506,0)),"? hors registre"))</f>
        <v/>
      </c>
      <c r="O1428" s="80"/>
      <c r="P1428" s="80"/>
      <c r="Q1428" s="80"/>
      <c r="R1428" s="82"/>
      <c r="S1428" s="82"/>
      <c r="T1428" s="80"/>
      <c r="U1428" s="80"/>
      <c r="V1428" s="82"/>
      <c r="W1428" s="80"/>
      <c r="X1428" s="80"/>
      <c r="Y1428" s="80"/>
      <c r="Z1428" s="80"/>
      <c r="AA1428" s="82"/>
      <c r="AB1428" s="80"/>
      <c r="AC1428" s="80"/>
      <c r="AD1428" s="80"/>
      <c r="AE1428" s="80"/>
      <c r="AF1428" s="82"/>
      <c r="AG1428" s="80"/>
      <c r="AH1428" s="80"/>
      <c r="AI1428" s="82"/>
      <c r="AJ1428" s="79"/>
      <c r="AK1428" s="78" t="str">
        <f aca="false">IF(E1428="","",(X1428&lt;&gt;"")+(AC1428&lt;&gt;"")+(AH1428&lt;&gt;""))</f>
        <v/>
      </c>
      <c r="AL1428" s="81" t="str">
        <f aca="false">IF(AH1428&lt;&gt;"",AH1428,IF(AC1428&lt;&gt;"",AC1428,IF(X1428&lt;&gt;"",X1428,"")))</f>
        <v/>
      </c>
      <c r="AM1428" s="83" t="str">
        <f aca="false">IF(E1428="","",IF(R1428="","À SOUDER",IF(U1428="","VT EN ATTENTE",IF(U1428="R","VT REJETÉ – À REPRENDRE",IF(AL1428="","À RADIOGRAPHIER",IF(AL1428="A","ACCEPTÉ",IF(AL1428="NX","NX – RT À REFAIRE",IF(IF(AK1428=1,Z1428,IF(AK1428=2,AE1428,""))="A","RÉPARÉ – À RADIOGRAPHIER",IF(IF(AK1428=1,Z1428,IF(AK1428=2,AE1428,""))="R","VT REJETÉ – À REPRENDRE",IF(OR(AL1428="CO",AL1428="NT"),"COUPE – À RESOUDER","À RÉPARER"))))))))))</f>
        <v/>
      </c>
      <c r="AN1428" s="81" t="str">
        <f aca="false">IF(AND(ISNUMBER(R1428),OR(AM1428="À RADIOGRAPHIER",AM1428="RÉPARÉ – À RADIOGRAPHIER",AM1428="NX – RT À REFAIRE",AM1428="À RÉPARER",AM1428="COUPE – À RESOUDER",AM1428="VT REJETÉ – À REPRENDRE")),MAX(0,'PROGRAMME RT'!$C$4-R1428),"")</f>
        <v/>
      </c>
      <c r="AO1428" s="78" t="n">
        <f aca="false">IF(AND(OR(AM1428="À RADIOGRAPHIER",AM1428="RÉPARÉ – À RADIOGRAPHIER",AM1428="NX – RT À REFAIRE"),OR('PROGRAMME RT'!$D$5="TOUTES",B1428='PROGRAMME RT'!$D$5)),1,0)</f>
        <v>0</v>
      </c>
      <c r="AP1428" s="78" t="str">
        <f aca="false">IF(AO1428=1,SUM(AO$7:AO1428),"")</f>
        <v/>
      </c>
      <c r="AQ1428" s="78" t="n">
        <f aca="false">IF(AND(OR(X1428="R",X1428="NX",X1428="NT",X1428="CO"),OR('JOINTS DE RÉPARATION'!$D$5="TOUTES",B1428='JOINTS DE RÉPARATION'!$D$5),OR('JOINTS DE RÉPARATION'!$L$4="TOUS",AM1428&lt;&gt;"ACCEPTÉ")),1,0)</f>
        <v>0</v>
      </c>
      <c r="AR1428" s="78" t="str">
        <f aca="false">IF(AQ1428=1,SUM(AQ$7:AQ1428),"")</f>
        <v/>
      </c>
    </row>
    <row r="1429" customFormat="false" ht="15" hidden="false" customHeight="false" outlineLevel="0" collapsed="false">
      <c r="A1429" s="78" t="str">
        <f aca="false">IF(E1429="","",ROW()-6)</f>
        <v/>
      </c>
      <c r="B1429" s="79"/>
      <c r="C1429" s="80"/>
      <c r="D1429" s="80"/>
      <c r="E1429" s="80"/>
      <c r="F1429" s="80"/>
      <c r="G1429" s="80"/>
      <c r="H1429" s="80"/>
      <c r="I1429" s="80"/>
      <c r="J1429" s="80"/>
      <c r="K1429" s="80"/>
      <c r="L1429" s="81" t="str">
        <f aca="false">IF(K1429="","",IFERROR(INDEX(BARDAGE!$C$7:$C$1506,MATCH(K1429,BARDAGE!$B$7:$B$1506,0)),"? hors registre"))</f>
        <v/>
      </c>
      <c r="M1429" s="80"/>
      <c r="N1429" s="81" t="str">
        <f aca="false">IF(M1429="","",IFERROR(INDEX(BARDAGE!$C$7:$C$1506,MATCH(M1429,BARDAGE!$B$7:$B$1506,0)),"? hors registre"))</f>
        <v/>
      </c>
      <c r="O1429" s="80"/>
      <c r="P1429" s="80"/>
      <c r="Q1429" s="80"/>
      <c r="R1429" s="82"/>
      <c r="S1429" s="82"/>
      <c r="T1429" s="80"/>
      <c r="U1429" s="80"/>
      <c r="V1429" s="82"/>
      <c r="W1429" s="80"/>
      <c r="X1429" s="80"/>
      <c r="Y1429" s="80"/>
      <c r="Z1429" s="80"/>
      <c r="AA1429" s="82"/>
      <c r="AB1429" s="80"/>
      <c r="AC1429" s="80"/>
      <c r="AD1429" s="80"/>
      <c r="AE1429" s="80"/>
      <c r="AF1429" s="82"/>
      <c r="AG1429" s="80"/>
      <c r="AH1429" s="80"/>
      <c r="AI1429" s="82"/>
      <c r="AJ1429" s="79"/>
      <c r="AK1429" s="78" t="str">
        <f aca="false">IF(E1429="","",(X1429&lt;&gt;"")+(AC1429&lt;&gt;"")+(AH1429&lt;&gt;""))</f>
        <v/>
      </c>
      <c r="AL1429" s="81" t="str">
        <f aca="false">IF(AH1429&lt;&gt;"",AH1429,IF(AC1429&lt;&gt;"",AC1429,IF(X1429&lt;&gt;"",X1429,"")))</f>
        <v/>
      </c>
      <c r="AM1429" s="83" t="str">
        <f aca="false">IF(E1429="","",IF(R1429="","À SOUDER",IF(U1429="","VT EN ATTENTE",IF(U1429="R","VT REJETÉ – À REPRENDRE",IF(AL1429="","À RADIOGRAPHIER",IF(AL1429="A","ACCEPTÉ",IF(AL1429="NX","NX – RT À REFAIRE",IF(IF(AK1429=1,Z1429,IF(AK1429=2,AE1429,""))="A","RÉPARÉ – À RADIOGRAPHIER",IF(IF(AK1429=1,Z1429,IF(AK1429=2,AE1429,""))="R","VT REJETÉ – À REPRENDRE",IF(OR(AL1429="CO",AL1429="NT"),"COUPE – À RESOUDER","À RÉPARER"))))))))))</f>
        <v/>
      </c>
      <c r="AN1429" s="81" t="str">
        <f aca="false">IF(AND(ISNUMBER(R1429),OR(AM1429="À RADIOGRAPHIER",AM1429="RÉPARÉ – À RADIOGRAPHIER",AM1429="NX – RT À REFAIRE",AM1429="À RÉPARER",AM1429="COUPE – À RESOUDER",AM1429="VT REJETÉ – À REPRENDRE")),MAX(0,'PROGRAMME RT'!$C$4-R1429),"")</f>
        <v/>
      </c>
      <c r="AO1429" s="78" t="n">
        <f aca="false">IF(AND(OR(AM1429="À RADIOGRAPHIER",AM1429="RÉPARÉ – À RADIOGRAPHIER",AM1429="NX – RT À REFAIRE"),OR('PROGRAMME RT'!$D$5="TOUTES",B1429='PROGRAMME RT'!$D$5)),1,0)</f>
        <v>0</v>
      </c>
      <c r="AP1429" s="78" t="str">
        <f aca="false">IF(AO1429=1,SUM(AO$7:AO1429),"")</f>
        <v/>
      </c>
      <c r="AQ1429" s="78" t="n">
        <f aca="false">IF(AND(OR(X1429="R",X1429="NX",X1429="NT",X1429="CO"),OR('JOINTS DE RÉPARATION'!$D$5="TOUTES",B1429='JOINTS DE RÉPARATION'!$D$5),OR('JOINTS DE RÉPARATION'!$L$4="TOUS",AM1429&lt;&gt;"ACCEPTÉ")),1,0)</f>
        <v>0</v>
      </c>
      <c r="AR1429" s="78" t="str">
        <f aca="false">IF(AQ1429=1,SUM(AQ$7:AQ1429),"")</f>
        <v/>
      </c>
    </row>
    <row r="1430" customFormat="false" ht="15" hidden="false" customHeight="false" outlineLevel="0" collapsed="false">
      <c r="A1430" s="78" t="str">
        <f aca="false">IF(E1430="","",ROW()-6)</f>
        <v/>
      </c>
      <c r="B1430" s="79"/>
      <c r="C1430" s="80"/>
      <c r="D1430" s="80"/>
      <c r="E1430" s="80"/>
      <c r="F1430" s="80"/>
      <c r="G1430" s="80"/>
      <c r="H1430" s="80"/>
      <c r="I1430" s="80"/>
      <c r="J1430" s="80"/>
      <c r="K1430" s="80"/>
      <c r="L1430" s="81" t="str">
        <f aca="false">IF(K1430="","",IFERROR(INDEX(BARDAGE!$C$7:$C$1506,MATCH(K1430,BARDAGE!$B$7:$B$1506,0)),"? hors registre"))</f>
        <v/>
      </c>
      <c r="M1430" s="80"/>
      <c r="N1430" s="81" t="str">
        <f aca="false">IF(M1430="","",IFERROR(INDEX(BARDAGE!$C$7:$C$1506,MATCH(M1430,BARDAGE!$B$7:$B$1506,0)),"? hors registre"))</f>
        <v/>
      </c>
      <c r="O1430" s="80"/>
      <c r="P1430" s="80"/>
      <c r="Q1430" s="80"/>
      <c r="R1430" s="82"/>
      <c r="S1430" s="82"/>
      <c r="T1430" s="80"/>
      <c r="U1430" s="80"/>
      <c r="V1430" s="82"/>
      <c r="W1430" s="80"/>
      <c r="X1430" s="80"/>
      <c r="Y1430" s="80"/>
      <c r="Z1430" s="80"/>
      <c r="AA1430" s="82"/>
      <c r="AB1430" s="80"/>
      <c r="AC1430" s="80"/>
      <c r="AD1430" s="80"/>
      <c r="AE1430" s="80"/>
      <c r="AF1430" s="82"/>
      <c r="AG1430" s="80"/>
      <c r="AH1430" s="80"/>
      <c r="AI1430" s="82"/>
      <c r="AJ1430" s="79"/>
      <c r="AK1430" s="78" t="str">
        <f aca="false">IF(E1430="","",(X1430&lt;&gt;"")+(AC1430&lt;&gt;"")+(AH1430&lt;&gt;""))</f>
        <v/>
      </c>
      <c r="AL1430" s="81" t="str">
        <f aca="false">IF(AH1430&lt;&gt;"",AH1430,IF(AC1430&lt;&gt;"",AC1430,IF(X1430&lt;&gt;"",X1430,"")))</f>
        <v/>
      </c>
      <c r="AM1430" s="83" t="str">
        <f aca="false">IF(E1430="","",IF(R1430="","À SOUDER",IF(U1430="","VT EN ATTENTE",IF(U1430="R","VT REJETÉ – À REPRENDRE",IF(AL1430="","À RADIOGRAPHIER",IF(AL1430="A","ACCEPTÉ",IF(AL1430="NX","NX – RT À REFAIRE",IF(IF(AK1430=1,Z1430,IF(AK1430=2,AE1430,""))="A","RÉPARÉ – À RADIOGRAPHIER",IF(IF(AK1430=1,Z1430,IF(AK1430=2,AE1430,""))="R","VT REJETÉ – À REPRENDRE",IF(OR(AL1430="CO",AL1430="NT"),"COUPE – À RESOUDER","À RÉPARER"))))))))))</f>
        <v/>
      </c>
      <c r="AN1430" s="81" t="str">
        <f aca="false">IF(AND(ISNUMBER(R1430),OR(AM1430="À RADIOGRAPHIER",AM1430="RÉPARÉ – À RADIOGRAPHIER",AM1430="NX – RT À REFAIRE",AM1430="À RÉPARER",AM1430="COUPE – À RESOUDER",AM1430="VT REJETÉ – À REPRENDRE")),MAX(0,'PROGRAMME RT'!$C$4-R1430),"")</f>
        <v/>
      </c>
      <c r="AO1430" s="78" t="n">
        <f aca="false">IF(AND(OR(AM1430="À RADIOGRAPHIER",AM1430="RÉPARÉ – À RADIOGRAPHIER",AM1430="NX – RT À REFAIRE"),OR('PROGRAMME RT'!$D$5="TOUTES",B1430='PROGRAMME RT'!$D$5)),1,0)</f>
        <v>0</v>
      </c>
      <c r="AP1430" s="78" t="str">
        <f aca="false">IF(AO1430=1,SUM(AO$7:AO1430),"")</f>
        <v/>
      </c>
      <c r="AQ1430" s="78" t="n">
        <f aca="false">IF(AND(OR(X1430="R",X1430="NX",X1430="NT",X1430="CO"),OR('JOINTS DE RÉPARATION'!$D$5="TOUTES",B1430='JOINTS DE RÉPARATION'!$D$5),OR('JOINTS DE RÉPARATION'!$L$4="TOUS",AM1430&lt;&gt;"ACCEPTÉ")),1,0)</f>
        <v>0</v>
      </c>
      <c r="AR1430" s="78" t="str">
        <f aca="false">IF(AQ1430=1,SUM(AQ$7:AQ1430),"")</f>
        <v/>
      </c>
    </row>
    <row r="1431" customFormat="false" ht="15" hidden="false" customHeight="false" outlineLevel="0" collapsed="false">
      <c r="A1431" s="78" t="str">
        <f aca="false">IF(E1431="","",ROW()-6)</f>
        <v/>
      </c>
      <c r="B1431" s="79"/>
      <c r="C1431" s="80"/>
      <c r="D1431" s="80"/>
      <c r="E1431" s="80"/>
      <c r="F1431" s="80"/>
      <c r="G1431" s="80"/>
      <c r="H1431" s="80"/>
      <c r="I1431" s="80"/>
      <c r="J1431" s="80"/>
      <c r="K1431" s="80"/>
      <c r="L1431" s="81" t="str">
        <f aca="false">IF(K1431="","",IFERROR(INDEX(BARDAGE!$C$7:$C$1506,MATCH(K1431,BARDAGE!$B$7:$B$1506,0)),"? hors registre"))</f>
        <v/>
      </c>
      <c r="M1431" s="80"/>
      <c r="N1431" s="81" t="str">
        <f aca="false">IF(M1431="","",IFERROR(INDEX(BARDAGE!$C$7:$C$1506,MATCH(M1431,BARDAGE!$B$7:$B$1506,0)),"? hors registre"))</f>
        <v/>
      </c>
      <c r="O1431" s="80"/>
      <c r="P1431" s="80"/>
      <c r="Q1431" s="80"/>
      <c r="R1431" s="82"/>
      <c r="S1431" s="82"/>
      <c r="T1431" s="80"/>
      <c r="U1431" s="80"/>
      <c r="V1431" s="82"/>
      <c r="W1431" s="80"/>
      <c r="X1431" s="80"/>
      <c r="Y1431" s="80"/>
      <c r="Z1431" s="80"/>
      <c r="AA1431" s="82"/>
      <c r="AB1431" s="80"/>
      <c r="AC1431" s="80"/>
      <c r="AD1431" s="80"/>
      <c r="AE1431" s="80"/>
      <c r="AF1431" s="82"/>
      <c r="AG1431" s="80"/>
      <c r="AH1431" s="80"/>
      <c r="AI1431" s="82"/>
      <c r="AJ1431" s="79"/>
      <c r="AK1431" s="78" t="str">
        <f aca="false">IF(E1431="","",(X1431&lt;&gt;"")+(AC1431&lt;&gt;"")+(AH1431&lt;&gt;""))</f>
        <v/>
      </c>
      <c r="AL1431" s="81" t="str">
        <f aca="false">IF(AH1431&lt;&gt;"",AH1431,IF(AC1431&lt;&gt;"",AC1431,IF(X1431&lt;&gt;"",X1431,"")))</f>
        <v/>
      </c>
      <c r="AM1431" s="83" t="str">
        <f aca="false">IF(E1431="","",IF(R1431="","À SOUDER",IF(U1431="","VT EN ATTENTE",IF(U1431="R","VT REJETÉ – À REPRENDRE",IF(AL1431="","À RADIOGRAPHIER",IF(AL1431="A","ACCEPTÉ",IF(AL1431="NX","NX – RT À REFAIRE",IF(IF(AK1431=1,Z1431,IF(AK1431=2,AE1431,""))="A","RÉPARÉ – À RADIOGRAPHIER",IF(IF(AK1431=1,Z1431,IF(AK1431=2,AE1431,""))="R","VT REJETÉ – À REPRENDRE",IF(OR(AL1431="CO",AL1431="NT"),"COUPE – À RESOUDER","À RÉPARER"))))))))))</f>
        <v/>
      </c>
      <c r="AN1431" s="81" t="str">
        <f aca="false">IF(AND(ISNUMBER(R1431),OR(AM1431="À RADIOGRAPHIER",AM1431="RÉPARÉ – À RADIOGRAPHIER",AM1431="NX – RT À REFAIRE",AM1431="À RÉPARER",AM1431="COUPE – À RESOUDER",AM1431="VT REJETÉ – À REPRENDRE")),MAX(0,'PROGRAMME RT'!$C$4-R1431),"")</f>
        <v/>
      </c>
      <c r="AO1431" s="78" t="n">
        <f aca="false">IF(AND(OR(AM1431="À RADIOGRAPHIER",AM1431="RÉPARÉ – À RADIOGRAPHIER",AM1431="NX – RT À REFAIRE"),OR('PROGRAMME RT'!$D$5="TOUTES",B1431='PROGRAMME RT'!$D$5)),1,0)</f>
        <v>0</v>
      </c>
      <c r="AP1431" s="78" t="str">
        <f aca="false">IF(AO1431=1,SUM(AO$7:AO1431),"")</f>
        <v/>
      </c>
      <c r="AQ1431" s="78" t="n">
        <f aca="false">IF(AND(OR(X1431="R",X1431="NX",X1431="NT",X1431="CO"),OR('JOINTS DE RÉPARATION'!$D$5="TOUTES",B1431='JOINTS DE RÉPARATION'!$D$5),OR('JOINTS DE RÉPARATION'!$L$4="TOUS",AM1431&lt;&gt;"ACCEPTÉ")),1,0)</f>
        <v>0</v>
      </c>
      <c r="AR1431" s="78" t="str">
        <f aca="false">IF(AQ1431=1,SUM(AQ$7:AQ1431),"")</f>
        <v/>
      </c>
    </row>
    <row r="1432" customFormat="false" ht="15" hidden="false" customHeight="false" outlineLevel="0" collapsed="false">
      <c r="A1432" s="78" t="str">
        <f aca="false">IF(E1432="","",ROW()-6)</f>
        <v/>
      </c>
      <c r="B1432" s="79"/>
      <c r="C1432" s="80"/>
      <c r="D1432" s="80"/>
      <c r="E1432" s="80"/>
      <c r="F1432" s="80"/>
      <c r="G1432" s="80"/>
      <c r="H1432" s="80"/>
      <c r="I1432" s="80"/>
      <c r="J1432" s="80"/>
      <c r="K1432" s="80"/>
      <c r="L1432" s="81" t="str">
        <f aca="false">IF(K1432="","",IFERROR(INDEX(BARDAGE!$C$7:$C$1506,MATCH(K1432,BARDAGE!$B$7:$B$1506,0)),"? hors registre"))</f>
        <v/>
      </c>
      <c r="M1432" s="80"/>
      <c r="N1432" s="81" t="str">
        <f aca="false">IF(M1432="","",IFERROR(INDEX(BARDAGE!$C$7:$C$1506,MATCH(M1432,BARDAGE!$B$7:$B$1506,0)),"? hors registre"))</f>
        <v/>
      </c>
      <c r="O1432" s="80"/>
      <c r="P1432" s="80"/>
      <c r="Q1432" s="80"/>
      <c r="R1432" s="82"/>
      <c r="S1432" s="82"/>
      <c r="T1432" s="80"/>
      <c r="U1432" s="80"/>
      <c r="V1432" s="82"/>
      <c r="W1432" s="80"/>
      <c r="X1432" s="80"/>
      <c r="Y1432" s="80"/>
      <c r="Z1432" s="80"/>
      <c r="AA1432" s="82"/>
      <c r="AB1432" s="80"/>
      <c r="AC1432" s="80"/>
      <c r="AD1432" s="80"/>
      <c r="AE1432" s="80"/>
      <c r="AF1432" s="82"/>
      <c r="AG1432" s="80"/>
      <c r="AH1432" s="80"/>
      <c r="AI1432" s="82"/>
      <c r="AJ1432" s="79"/>
      <c r="AK1432" s="78" t="str">
        <f aca="false">IF(E1432="","",(X1432&lt;&gt;"")+(AC1432&lt;&gt;"")+(AH1432&lt;&gt;""))</f>
        <v/>
      </c>
      <c r="AL1432" s="81" t="str">
        <f aca="false">IF(AH1432&lt;&gt;"",AH1432,IF(AC1432&lt;&gt;"",AC1432,IF(X1432&lt;&gt;"",X1432,"")))</f>
        <v/>
      </c>
      <c r="AM1432" s="83" t="str">
        <f aca="false">IF(E1432="","",IF(R1432="","À SOUDER",IF(U1432="","VT EN ATTENTE",IF(U1432="R","VT REJETÉ – À REPRENDRE",IF(AL1432="","À RADIOGRAPHIER",IF(AL1432="A","ACCEPTÉ",IF(AL1432="NX","NX – RT À REFAIRE",IF(IF(AK1432=1,Z1432,IF(AK1432=2,AE1432,""))="A","RÉPARÉ – À RADIOGRAPHIER",IF(IF(AK1432=1,Z1432,IF(AK1432=2,AE1432,""))="R","VT REJETÉ – À REPRENDRE",IF(OR(AL1432="CO",AL1432="NT"),"COUPE – À RESOUDER","À RÉPARER"))))))))))</f>
        <v/>
      </c>
      <c r="AN1432" s="81" t="str">
        <f aca="false">IF(AND(ISNUMBER(R1432),OR(AM1432="À RADIOGRAPHIER",AM1432="RÉPARÉ – À RADIOGRAPHIER",AM1432="NX – RT À REFAIRE",AM1432="À RÉPARER",AM1432="COUPE – À RESOUDER",AM1432="VT REJETÉ – À REPRENDRE")),MAX(0,'PROGRAMME RT'!$C$4-R1432),"")</f>
        <v/>
      </c>
      <c r="AO1432" s="78" t="n">
        <f aca="false">IF(AND(OR(AM1432="À RADIOGRAPHIER",AM1432="RÉPARÉ – À RADIOGRAPHIER",AM1432="NX – RT À REFAIRE"),OR('PROGRAMME RT'!$D$5="TOUTES",B1432='PROGRAMME RT'!$D$5)),1,0)</f>
        <v>0</v>
      </c>
      <c r="AP1432" s="78" t="str">
        <f aca="false">IF(AO1432=1,SUM(AO$7:AO1432),"")</f>
        <v/>
      </c>
      <c r="AQ1432" s="78" t="n">
        <f aca="false">IF(AND(OR(X1432="R",X1432="NX",X1432="NT",X1432="CO"),OR('JOINTS DE RÉPARATION'!$D$5="TOUTES",B1432='JOINTS DE RÉPARATION'!$D$5),OR('JOINTS DE RÉPARATION'!$L$4="TOUS",AM1432&lt;&gt;"ACCEPTÉ")),1,0)</f>
        <v>0</v>
      </c>
      <c r="AR1432" s="78" t="str">
        <f aca="false">IF(AQ1432=1,SUM(AQ$7:AQ1432),"")</f>
        <v/>
      </c>
    </row>
    <row r="1433" customFormat="false" ht="15" hidden="false" customHeight="false" outlineLevel="0" collapsed="false">
      <c r="A1433" s="78" t="str">
        <f aca="false">IF(E1433="","",ROW()-6)</f>
        <v/>
      </c>
      <c r="B1433" s="79"/>
      <c r="C1433" s="80"/>
      <c r="D1433" s="80"/>
      <c r="E1433" s="80"/>
      <c r="F1433" s="80"/>
      <c r="G1433" s="80"/>
      <c r="H1433" s="80"/>
      <c r="I1433" s="80"/>
      <c r="J1433" s="80"/>
      <c r="K1433" s="80"/>
      <c r="L1433" s="81" t="str">
        <f aca="false">IF(K1433="","",IFERROR(INDEX(BARDAGE!$C$7:$C$1506,MATCH(K1433,BARDAGE!$B$7:$B$1506,0)),"? hors registre"))</f>
        <v/>
      </c>
      <c r="M1433" s="80"/>
      <c r="N1433" s="81" t="str">
        <f aca="false">IF(M1433="","",IFERROR(INDEX(BARDAGE!$C$7:$C$1506,MATCH(M1433,BARDAGE!$B$7:$B$1506,0)),"? hors registre"))</f>
        <v/>
      </c>
      <c r="O1433" s="80"/>
      <c r="P1433" s="80"/>
      <c r="Q1433" s="80"/>
      <c r="R1433" s="82"/>
      <c r="S1433" s="82"/>
      <c r="T1433" s="80"/>
      <c r="U1433" s="80"/>
      <c r="V1433" s="82"/>
      <c r="W1433" s="80"/>
      <c r="X1433" s="80"/>
      <c r="Y1433" s="80"/>
      <c r="Z1433" s="80"/>
      <c r="AA1433" s="82"/>
      <c r="AB1433" s="80"/>
      <c r="AC1433" s="80"/>
      <c r="AD1433" s="80"/>
      <c r="AE1433" s="80"/>
      <c r="AF1433" s="82"/>
      <c r="AG1433" s="80"/>
      <c r="AH1433" s="80"/>
      <c r="AI1433" s="82"/>
      <c r="AJ1433" s="79"/>
      <c r="AK1433" s="78" t="str">
        <f aca="false">IF(E1433="","",(X1433&lt;&gt;"")+(AC1433&lt;&gt;"")+(AH1433&lt;&gt;""))</f>
        <v/>
      </c>
      <c r="AL1433" s="81" t="str">
        <f aca="false">IF(AH1433&lt;&gt;"",AH1433,IF(AC1433&lt;&gt;"",AC1433,IF(X1433&lt;&gt;"",X1433,"")))</f>
        <v/>
      </c>
      <c r="AM1433" s="83" t="str">
        <f aca="false">IF(E1433="","",IF(R1433="","À SOUDER",IF(U1433="","VT EN ATTENTE",IF(U1433="R","VT REJETÉ – À REPRENDRE",IF(AL1433="","À RADIOGRAPHIER",IF(AL1433="A","ACCEPTÉ",IF(AL1433="NX","NX – RT À REFAIRE",IF(IF(AK1433=1,Z1433,IF(AK1433=2,AE1433,""))="A","RÉPARÉ – À RADIOGRAPHIER",IF(IF(AK1433=1,Z1433,IF(AK1433=2,AE1433,""))="R","VT REJETÉ – À REPRENDRE",IF(OR(AL1433="CO",AL1433="NT"),"COUPE – À RESOUDER","À RÉPARER"))))))))))</f>
        <v/>
      </c>
      <c r="AN1433" s="81" t="str">
        <f aca="false">IF(AND(ISNUMBER(R1433),OR(AM1433="À RADIOGRAPHIER",AM1433="RÉPARÉ – À RADIOGRAPHIER",AM1433="NX – RT À REFAIRE",AM1433="À RÉPARER",AM1433="COUPE – À RESOUDER",AM1433="VT REJETÉ – À REPRENDRE")),MAX(0,'PROGRAMME RT'!$C$4-R1433),"")</f>
        <v/>
      </c>
      <c r="AO1433" s="78" t="n">
        <f aca="false">IF(AND(OR(AM1433="À RADIOGRAPHIER",AM1433="RÉPARÉ – À RADIOGRAPHIER",AM1433="NX – RT À REFAIRE"),OR('PROGRAMME RT'!$D$5="TOUTES",B1433='PROGRAMME RT'!$D$5)),1,0)</f>
        <v>0</v>
      </c>
      <c r="AP1433" s="78" t="str">
        <f aca="false">IF(AO1433=1,SUM(AO$7:AO1433),"")</f>
        <v/>
      </c>
      <c r="AQ1433" s="78" t="n">
        <f aca="false">IF(AND(OR(X1433="R",X1433="NX",X1433="NT",X1433="CO"),OR('JOINTS DE RÉPARATION'!$D$5="TOUTES",B1433='JOINTS DE RÉPARATION'!$D$5),OR('JOINTS DE RÉPARATION'!$L$4="TOUS",AM1433&lt;&gt;"ACCEPTÉ")),1,0)</f>
        <v>0</v>
      </c>
      <c r="AR1433" s="78" t="str">
        <f aca="false">IF(AQ1433=1,SUM(AQ$7:AQ1433),"")</f>
        <v/>
      </c>
    </row>
    <row r="1434" customFormat="false" ht="15" hidden="false" customHeight="false" outlineLevel="0" collapsed="false">
      <c r="A1434" s="78" t="str">
        <f aca="false">IF(E1434="","",ROW()-6)</f>
        <v/>
      </c>
      <c r="B1434" s="79"/>
      <c r="C1434" s="80"/>
      <c r="D1434" s="80"/>
      <c r="E1434" s="80"/>
      <c r="F1434" s="80"/>
      <c r="G1434" s="80"/>
      <c r="H1434" s="80"/>
      <c r="I1434" s="80"/>
      <c r="J1434" s="80"/>
      <c r="K1434" s="80"/>
      <c r="L1434" s="81" t="str">
        <f aca="false">IF(K1434="","",IFERROR(INDEX(BARDAGE!$C$7:$C$1506,MATCH(K1434,BARDAGE!$B$7:$B$1506,0)),"? hors registre"))</f>
        <v/>
      </c>
      <c r="M1434" s="80"/>
      <c r="N1434" s="81" t="str">
        <f aca="false">IF(M1434="","",IFERROR(INDEX(BARDAGE!$C$7:$C$1506,MATCH(M1434,BARDAGE!$B$7:$B$1506,0)),"? hors registre"))</f>
        <v/>
      </c>
      <c r="O1434" s="80"/>
      <c r="P1434" s="80"/>
      <c r="Q1434" s="80"/>
      <c r="R1434" s="82"/>
      <c r="S1434" s="82"/>
      <c r="T1434" s="80"/>
      <c r="U1434" s="80"/>
      <c r="V1434" s="82"/>
      <c r="W1434" s="80"/>
      <c r="X1434" s="80"/>
      <c r="Y1434" s="80"/>
      <c r="Z1434" s="80"/>
      <c r="AA1434" s="82"/>
      <c r="AB1434" s="80"/>
      <c r="AC1434" s="80"/>
      <c r="AD1434" s="80"/>
      <c r="AE1434" s="80"/>
      <c r="AF1434" s="82"/>
      <c r="AG1434" s="80"/>
      <c r="AH1434" s="80"/>
      <c r="AI1434" s="82"/>
      <c r="AJ1434" s="79"/>
      <c r="AK1434" s="78" t="str">
        <f aca="false">IF(E1434="","",(X1434&lt;&gt;"")+(AC1434&lt;&gt;"")+(AH1434&lt;&gt;""))</f>
        <v/>
      </c>
      <c r="AL1434" s="81" t="str">
        <f aca="false">IF(AH1434&lt;&gt;"",AH1434,IF(AC1434&lt;&gt;"",AC1434,IF(X1434&lt;&gt;"",X1434,"")))</f>
        <v/>
      </c>
      <c r="AM1434" s="83" t="str">
        <f aca="false">IF(E1434="","",IF(R1434="","À SOUDER",IF(U1434="","VT EN ATTENTE",IF(U1434="R","VT REJETÉ – À REPRENDRE",IF(AL1434="","À RADIOGRAPHIER",IF(AL1434="A","ACCEPTÉ",IF(AL1434="NX","NX – RT À REFAIRE",IF(IF(AK1434=1,Z1434,IF(AK1434=2,AE1434,""))="A","RÉPARÉ – À RADIOGRAPHIER",IF(IF(AK1434=1,Z1434,IF(AK1434=2,AE1434,""))="R","VT REJETÉ – À REPRENDRE",IF(OR(AL1434="CO",AL1434="NT"),"COUPE – À RESOUDER","À RÉPARER"))))))))))</f>
        <v/>
      </c>
      <c r="AN1434" s="81" t="str">
        <f aca="false">IF(AND(ISNUMBER(R1434),OR(AM1434="À RADIOGRAPHIER",AM1434="RÉPARÉ – À RADIOGRAPHIER",AM1434="NX – RT À REFAIRE",AM1434="À RÉPARER",AM1434="COUPE – À RESOUDER",AM1434="VT REJETÉ – À REPRENDRE")),MAX(0,'PROGRAMME RT'!$C$4-R1434),"")</f>
        <v/>
      </c>
      <c r="AO1434" s="78" t="n">
        <f aca="false">IF(AND(OR(AM1434="À RADIOGRAPHIER",AM1434="RÉPARÉ – À RADIOGRAPHIER",AM1434="NX – RT À REFAIRE"),OR('PROGRAMME RT'!$D$5="TOUTES",B1434='PROGRAMME RT'!$D$5)),1,0)</f>
        <v>0</v>
      </c>
      <c r="AP1434" s="78" t="str">
        <f aca="false">IF(AO1434=1,SUM(AO$7:AO1434),"")</f>
        <v/>
      </c>
      <c r="AQ1434" s="78" t="n">
        <f aca="false">IF(AND(OR(X1434="R",X1434="NX",X1434="NT",X1434="CO"),OR('JOINTS DE RÉPARATION'!$D$5="TOUTES",B1434='JOINTS DE RÉPARATION'!$D$5),OR('JOINTS DE RÉPARATION'!$L$4="TOUS",AM1434&lt;&gt;"ACCEPTÉ")),1,0)</f>
        <v>0</v>
      </c>
      <c r="AR1434" s="78" t="str">
        <f aca="false">IF(AQ1434=1,SUM(AQ$7:AQ1434),"")</f>
        <v/>
      </c>
    </row>
    <row r="1435" customFormat="false" ht="15" hidden="false" customHeight="false" outlineLevel="0" collapsed="false">
      <c r="A1435" s="78" t="str">
        <f aca="false">IF(E1435="","",ROW()-6)</f>
        <v/>
      </c>
      <c r="B1435" s="79"/>
      <c r="C1435" s="80"/>
      <c r="D1435" s="80"/>
      <c r="E1435" s="80"/>
      <c r="F1435" s="80"/>
      <c r="G1435" s="80"/>
      <c r="H1435" s="80"/>
      <c r="I1435" s="80"/>
      <c r="J1435" s="80"/>
      <c r="K1435" s="80"/>
      <c r="L1435" s="81" t="str">
        <f aca="false">IF(K1435="","",IFERROR(INDEX(BARDAGE!$C$7:$C$1506,MATCH(K1435,BARDAGE!$B$7:$B$1506,0)),"? hors registre"))</f>
        <v/>
      </c>
      <c r="M1435" s="80"/>
      <c r="N1435" s="81" t="str">
        <f aca="false">IF(M1435="","",IFERROR(INDEX(BARDAGE!$C$7:$C$1506,MATCH(M1435,BARDAGE!$B$7:$B$1506,0)),"? hors registre"))</f>
        <v/>
      </c>
      <c r="O1435" s="80"/>
      <c r="P1435" s="80"/>
      <c r="Q1435" s="80"/>
      <c r="R1435" s="82"/>
      <c r="S1435" s="82"/>
      <c r="T1435" s="80"/>
      <c r="U1435" s="80"/>
      <c r="V1435" s="82"/>
      <c r="W1435" s="80"/>
      <c r="X1435" s="80"/>
      <c r="Y1435" s="80"/>
      <c r="Z1435" s="80"/>
      <c r="AA1435" s="82"/>
      <c r="AB1435" s="80"/>
      <c r="AC1435" s="80"/>
      <c r="AD1435" s="80"/>
      <c r="AE1435" s="80"/>
      <c r="AF1435" s="82"/>
      <c r="AG1435" s="80"/>
      <c r="AH1435" s="80"/>
      <c r="AI1435" s="82"/>
      <c r="AJ1435" s="79"/>
      <c r="AK1435" s="78" t="str">
        <f aca="false">IF(E1435="","",(X1435&lt;&gt;"")+(AC1435&lt;&gt;"")+(AH1435&lt;&gt;""))</f>
        <v/>
      </c>
      <c r="AL1435" s="81" t="str">
        <f aca="false">IF(AH1435&lt;&gt;"",AH1435,IF(AC1435&lt;&gt;"",AC1435,IF(X1435&lt;&gt;"",X1435,"")))</f>
        <v/>
      </c>
      <c r="AM1435" s="83" t="str">
        <f aca="false">IF(E1435="","",IF(R1435="","À SOUDER",IF(U1435="","VT EN ATTENTE",IF(U1435="R","VT REJETÉ – À REPRENDRE",IF(AL1435="","À RADIOGRAPHIER",IF(AL1435="A","ACCEPTÉ",IF(AL1435="NX","NX – RT À REFAIRE",IF(IF(AK1435=1,Z1435,IF(AK1435=2,AE1435,""))="A","RÉPARÉ – À RADIOGRAPHIER",IF(IF(AK1435=1,Z1435,IF(AK1435=2,AE1435,""))="R","VT REJETÉ – À REPRENDRE",IF(OR(AL1435="CO",AL1435="NT"),"COUPE – À RESOUDER","À RÉPARER"))))))))))</f>
        <v/>
      </c>
      <c r="AN1435" s="81" t="str">
        <f aca="false">IF(AND(ISNUMBER(R1435),OR(AM1435="À RADIOGRAPHIER",AM1435="RÉPARÉ – À RADIOGRAPHIER",AM1435="NX – RT À REFAIRE",AM1435="À RÉPARER",AM1435="COUPE – À RESOUDER",AM1435="VT REJETÉ – À REPRENDRE")),MAX(0,'PROGRAMME RT'!$C$4-R1435),"")</f>
        <v/>
      </c>
      <c r="AO1435" s="78" t="n">
        <f aca="false">IF(AND(OR(AM1435="À RADIOGRAPHIER",AM1435="RÉPARÉ – À RADIOGRAPHIER",AM1435="NX – RT À REFAIRE"),OR('PROGRAMME RT'!$D$5="TOUTES",B1435='PROGRAMME RT'!$D$5)),1,0)</f>
        <v>0</v>
      </c>
      <c r="AP1435" s="78" t="str">
        <f aca="false">IF(AO1435=1,SUM(AO$7:AO1435),"")</f>
        <v/>
      </c>
      <c r="AQ1435" s="78" t="n">
        <f aca="false">IF(AND(OR(X1435="R",X1435="NX",X1435="NT",X1435="CO"),OR('JOINTS DE RÉPARATION'!$D$5="TOUTES",B1435='JOINTS DE RÉPARATION'!$D$5),OR('JOINTS DE RÉPARATION'!$L$4="TOUS",AM1435&lt;&gt;"ACCEPTÉ")),1,0)</f>
        <v>0</v>
      </c>
      <c r="AR1435" s="78" t="str">
        <f aca="false">IF(AQ1435=1,SUM(AQ$7:AQ1435),"")</f>
        <v/>
      </c>
    </row>
    <row r="1436" customFormat="false" ht="15" hidden="false" customHeight="false" outlineLevel="0" collapsed="false">
      <c r="A1436" s="78" t="str">
        <f aca="false">IF(E1436="","",ROW()-6)</f>
        <v/>
      </c>
      <c r="B1436" s="79"/>
      <c r="C1436" s="80"/>
      <c r="D1436" s="80"/>
      <c r="E1436" s="80"/>
      <c r="F1436" s="80"/>
      <c r="G1436" s="80"/>
      <c r="H1436" s="80"/>
      <c r="I1436" s="80"/>
      <c r="J1436" s="80"/>
      <c r="K1436" s="80"/>
      <c r="L1436" s="81" t="str">
        <f aca="false">IF(K1436="","",IFERROR(INDEX(BARDAGE!$C$7:$C$1506,MATCH(K1436,BARDAGE!$B$7:$B$1506,0)),"? hors registre"))</f>
        <v/>
      </c>
      <c r="M1436" s="80"/>
      <c r="N1436" s="81" t="str">
        <f aca="false">IF(M1436="","",IFERROR(INDEX(BARDAGE!$C$7:$C$1506,MATCH(M1436,BARDAGE!$B$7:$B$1506,0)),"? hors registre"))</f>
        <v/>
      </c>
      <c r="O1436" s="80"/>
      <c r="P1436" s="80"/>
      <c r="Q1436" s="80"/>
      <c r="R1436" s="82"/>
      <c r="S1436" s="82"/>
      <c r="T1436" s="80"/>
      <c r="U1436" s="80"/>
      <c r="V1436" s="82"/>
      <c r="W1436" s="80"/>
      <c r="X1436" s="80"/>
      <c r="Y1436" s="80"/>
      <c r="Z1436" s="80"/>
      <c r="AA1436" s="82"/>
      <c r="AB1436" s="80"/>
      <c r="AC1436" s="80"/>
      <c r="AD1436" s="80"/>
      <c r="AE1436" s="80"/>
      <c r="AF1436" s="82"/>
      <c r="AG1436" s="80"/>
      <c r="AH1436" s="80"/>
      <c r="AI1436" s="82"/>
      <c r="AJ1436" s="79"/>
      <c r="AK1436" s="78" t="str">
        <f aca="false">IF(E1436="","",(X1436&lt;&gt;"")+(AC1436&lt;&gt;"")+(AH1436&lt;&gt;""))</f>
        <v/>
      </c>
      <c r="AL1436" s="81" t="str">
        <f aca="false">IF(AH1436&lt;&gt;"",AH1436,IF(AC1436&lt;&gt;"",AC1436,IF(X1436&lt;&gt;"",X1436,"")))</f>
        <v/>
      </c>
      <c r="AM1436" s="83" t="str">
        <f aca="false">IF(E1436="","",IF(R1436="","À SOUDER",IF(U1436="","VT EN ATTENTE",IF(U1436="R","VT REJETÉ – À REPRENDRE",IF(AL1436="","À RADIOGRAPHIER",IF(AL1436="A","ACCEPTÉ",IF(AL1436="NX","NX – RT À REFAIRE",IF(IF(AK1436=1,Z1436,IF(AK1436=2,AE1436,""))="A","RÉPARÉ – À RADIOGRAPHIER",IF(IF(AK1436=1,Z1436,IF(AK1436=2,AE1436,""))="R","VT REJETÉ – À REPRENDRE",IF(OR(AL1436="CO",AL1436="NT"),"COUPE – À RESOUDER","À RÉPARER"))))))))))</f>
        <v/>
      </c>
      <c r="AN1436" s="81" t="str">
        <f aca="false">IF(AND(ISNUMBER(R1436),OR(AM1436="À RADIOGRAPHIER",AM1436="RÉPARÉ – À RADIOGRAPHIER",AM1436="NX – RT À REFAIRE",AM1436="À RÉPARER",AM1436="COUPE – À RESOUDER",AM1436="VT REJETÉ – À REPRENDRE")),MAX(0,'PROGRAMME RT'!$C$4-R1436),"")</f>
        <v/>
      </c>
      <c r="AO1436" s="78" t="n">
        <f aca="false">IF(AND(OR(AM1436="À RADIOGRAPHIER",AM1436="RÉPARÉ – À RADIOGRAPHIER",AM1436="NX – RT À REFAIRE"),OR('PROGRAMME RT'!$D$5="TOUTES",B1436='PROGRAMME RT'!$D$5)),1,0)</f>
        <v>0</v>
      </c>
      <c r="AP1436" s="78" t="str">
        <f aca="false">IF(AO1436=1,SUM(AO$7:AO1436),"")</f>
        <v/>
      </c>
      <c r="AQ1436" s="78" t="n">
        <f aca="false">IF(AND(OR(X1436="R",X1436="NX",X1436="NT",X1436="CO"),OR('JOINTS DE RÉPARATION'!$D$5="TOUTES",B1436='JOINTS DE RÉPARATION'!$D$5),OR('JOINTS DE RÉPARATION'!$L$4="TOUS",AM1436&lt;&gt;"ACCEPTÉ")),1,0)</f>
        <v>0</v>
      </c>
      <c r="AR1436" s="78" t="str">
        <f aca="false">IF(AQ1436=1,SUM(AQ$7:AQ1436),"")</f>
        <v/>
      </c>
    </row>
    <row r="1437" customFormat="false" ht="15" hidden="false" customHeight="false" outlineLevel="0" collapsed="false">
      <c r="A1437" s="78" t="str">
        <f aca="false">IF(E1437="","",ROW()-6)</f>
        <v/>
      </c>
      <c r="B1437" s="79"/>
      <c r="C1437" s="80"/>
      <c r="D1437" s="80"/>
      <c r="E1437" s="80"/>
      <c r="F1437" s="80"/>
      <c r="G1437" s="80"/>
      <c r="H1437" s="80"/>
      <c r="I1437" s="80"/>
      <c r="J1437" s="80"/>
      <c r="K1437" s="80"/>
      <c r="L1437" s="81" t="str">
        <f aca="false">IF(K1437="","",IFERROR(INDEX(BARDAGE!$C$7:$C$1506,MATCH(K1437,BARDAGE!$B$7:$B$1506,0)),"? hors registre"))</f>
        <v/>
      </c>
      <c r="M1437" s="80"/>
      <c r="N1437" s="81" t="str">
        <f aca="false">IF(M1437="","",IFERROR(INDEX(BARDAGE!$C$7:$C$1506,MATCH(M1437,BARDAGE!$B$7:$B$1506,0)),"? hors registre"))</f>
        <v/>
      </c>
      <c r="O1437" s="80"/>
      <c r="P1437" s="80"/>
      <c r="Q1437" s="80"/>
      <c r="R1437" s="82"/>
      <c r="S1437" s="82"/>
      <c r="T1437" s="80"/>
      <c r="U1437" s="80"/>
      <c r="V1437" s="82"/>
      <c r="W1437" s="80"/>
      <c r="X1437" s="80"/>
      <c r="Y1437" s="80"/>
      <c r="Z1437" s="80"/>
      <c r="AA1437" s="82"/>
      <c r="AB1437" s="80"/>
      <c r="AC1437" s="80"/>
      <c r="AD1437" s="80"/>
      <c r="AE1437" s="80"/>
      <c r="AF1437" s="82"/>
      <c r="AG1437" s="80"/>
      <c r="AH1437" s="80"/>
      <c r="AI1437" s="82"/>
      <c r="AJ1437" s="79"/>
      <c r="AK1437" s="78" t="str">
        <f aca="false">IF(E1437="","",(X1437&lt;&gt;"")+(AC1437&lt;&gt;"")+(AH1437&lt;&gt;""))</f>
        <v/>
      </c>
      <c r="AL1437" s="81" t="str">
        <f aca="false">IF(AH1437&lt;&gt;"",AH1437,IF(AC1437&lt;&gt;"",AC1437,IF(X1437&lt;&gt;"",X1437,"")))</f>
        <v/>
      </c>
      <c r="AM1437" s="83" t="str">
        <f aca="false">IF(E1437="","",IF(R1437="","À SOUDER",IF(U1437="","VT EN ATTENTE",IF(U1437="R","VT REJETÉ – À REPRENDRE",IF(AL1437="","À RADIOGRAPHIER",IF(AL1437="A","ACCEPTÉ",IF(AL1437="NX","NX – RT À REFAIRE",IF(IF(AK1437=1,Z1437,IF(AK1437=2,AE1437,""))="A","RÉPARÉ – À RADIOGRAPHIER",IF(IF(AK1437=1,Z1437,IF(AK1437=2,AE1437,""))="R","VT REJETÉ – À REPRENDRE",IF(OR(AL1437="CO",AL1437="NT"),"COUPE – À RESOUDER","À RÉPARER"))))))))))</f>
        <v/>
      </c>
      <c r="AN1437" s="81" t="str">
        <f aca="false">IF(AND(ISNUMBER(R1437),OR(AM1437="À RADIOGRAPHIER",AM1437="RÉPARÉ – À RADIOGRAPHIER",AM1437="NX – RT À REFAIRE",AM1437="À RÉPARER",AM1437="COUPE – À RESOUDER",AM1437="VT REJETÉ – À REPRENDRE")),MAX(0,'PROGRAMME RT'!$C$4-R1437),"")</f>
        <v/>
      </c>
      <c r="AO1437" s="78" t="n">
        <f aca="false">IF(AND(OR(AM1437="À RADIOGRAPHIER",AM1437="RÉPARÉ – À RADIOGRAPHIER",AM1437="NX – RT À REFAIRE"),OR('PROGRAMME RT'!$D$5="TOUTES",B1437='PROGRAMME RT'!$D$5)),1,0)</f>
        <v>0</v>
      </c>
      <c r="AP1437" s="78" t="str">
        <f aca="false">IF(AO1437=1,SUM(AO$7:AO1437),"")</f>
        <v/>
      </c>
      <c r="AQ1437" s="78" t="n">
        <f aca="false">IF(AND(OR(X1437="R",X1437="NX",X1437="NT",X1437="CO"),OR('JOINTS DE RÉPARATION'!$D$5="TOUTES",B1437='JOINTS DE RÉPARATION'!$D$5),OR('JOINTS DE RÉPARATION'!$L$4="TOUS",AM1437&lt;&gt;"ACCEPTÉ")),1,0)</f>
        <v>0</v>
      </c>
      <c r="AR1437" s="78" t="str">
        <f aca="false">IF(AQ1437=1,SUM(AQ$7:AQ1437),"")</f>
        <v/>
      </c>
    </row>
    <row r="1438" customFormat="false" ht="15" hidden="false" customHeight="false" outlineLevel="0" collapsed="false">
      <c r="A1438" s="78" t="str">
        <f aca="false">IF(E1438="","",ROW()-6)</f>
        <v/>
      </c>
      <c r="B1438" s="79"/>
      <c r="C1438" s="80"/>
      <c r="D1438" s="80"/>
      <c r="E1438" s="80"/>
      <c r="F1438" s="80"/>
      <c r="G1438" s="80"/>
      <c r="H1438" s="80"/>
      <c r="I1438" s="80"/>
      <c r="J1438" s="80"/>
      <c r="K1438" s="80"/>
      <c r="L1438" s="81" t="str">
        <f aca="false">IF(K1438="","",IFERROR(INDEX(BARDAGE!$C$7:$C$1506,MATCH(K1438,BARDAGE!$B$7:$B$1506,0)),"? hors registre"))</f>
        <v/>
      </c>
      <c r="M1438" s="80"/>
      <c r="N1438" s="81" t="str">
        <f aca="false">IF(M1438="","",IFERROR(INDEX(BARDAGE!$C$7:$C$1506,MATCH(M1438,BARDAGE!$B$7:$B$1506,0)),"? hors registre"))</f>
        <v/>
      </c>
      <c r="O1438" s="80"/>
      <c r="P1438" s="80"/>
      <c r="Q1438" s="80"/>
      <c r="R1438" s="82"/>
      <c r="S1438" s="82"/>
      <c r="T1438" s="80"/>
      <c r="U1438" s="80"/>
      <c r="V1438" s="82"/>
      <c r="W1438" s="80"/>
      <c r="X1438" s="80"/>
      <c r="Y1438" s="80"/>
      <c r="Z1438" s="80"/>
      <c r="AA1438" s="82"/>
      <c r="AB1438" s="80"/>
      <c r="AC1438" s="80"/>
      <c r="AD1438" s="80"/>
      <c r="AE1438" s="80"/>
      <c r="AF1438" s="82"/>
      <c r="AG1438" s="80"/>
      <c r="AH1438" s="80"/>
      <c r="AI1438" s="82"/>
      <c r="AJ1438" s="79"/>
      <c r="AK1438" s="78" t="str">
        <f aca="false">IF(E1438="","",(X1438&lt;&gt;"")+(AC1438&lt;&gt;"")+(AH1438&lt;&gt;""))</f>
        <v/>
      </c>
      <c r="AL1438" s="81" t="str">
        <f aca="false">IF(AH1438&lt;&gt;"",AH1438,IF(AC1438&lt;&gt;"",AC1438,IF(X1438&lt;&gt;"",X1438,"")))</f>
        <v/>
      </c>
      <c r="AM1438" s="83" t="str">
        <f aca="false">IF(E1438="","",IF(R1438="","À SOUDER",IF(U1438="","VT EN ATTENTE",IF(U1438="R","VT REJETÉ – À REPRENDRE",IF(AL1438="","À RADIOGRAPHIER",IF(AL1438="A","ACCEPTÉ",IF(AL1438="NX","NX – RT À REFAIRE",IF(IF(AK1438=1,Z1438,IF(AK1438=2,AE1438,""))="A","RÉPARÉ – À RADIOGRAPHIER",IF(IF(AK1438=1,Z1438,IF(AK1438=2,AE1438,""))="R","VT REJETÉ – À REPRENDRE",IF(OR(AL1438="CO",AL1438="NT"),"COUPE – À RESOUDER","À RÉPARER"))))))))))</f>
        <v/>
      </c>
      <c r="AN1438" s="81" t="str">
        <f aca="false">IF(AND(ISNUMBER(R1438),OR(AM1438="À RADIOGRAPHIER",AM1438="RÉPARÉ – À RADIOGRAPHIER",AM1438="NX – RT À REFAIRE",AM1438="À RÉPARER",AM1438="COUPE – À RESOUDER",AM1438="VT REJETÉ – À REPRENDRE")),MAX(0,'PROGRAMME RT'!$C$4-R1438),"")</f>
        <v/>
      </c>
      <c r="AO1438" s="78" t="n">
        <f aca="false">IF(AND(OR(AM1438="À RADIOGRAPHIER",AM1438="RÉPARÉ – À RADIOGRAPHIER",AM1438="NX – RT À REFAIRE"),OR('PROGRAMME RT'!$D$5="TOUTES",B1438='PROGRAMME RT'!$D$5)),1,0)</f>
        <v>0</v>
      </c>
      <c r="AP1438" s="78" t="str">
        <f aca="false">IF(AO1438=1,SUM(AO$7:AO1438),"")</f>
        <v/>
      </c>
      <c r="AQ1438" s="78" t="n">
        <f aca="false">IF(AND(OR(X1438="R",X1438="NX",X1438="NT",X1438="CO"),OR('JOINTS DE RÉPARATION'!$D$5="TOUTES",B1438='JOINTS DE RÉPARATION'!$D$5),OR('JOINTS DE RÉPARATION'!$L$4="TOUS",AM1438&lt;&gt;"ACCEPTÉ")),1,0)</f>
        <v>0</v>
      </c>
      <c r="AR1438" s="78" t="str">
        <f aca="false">IF(AQ1438=1,SUM(AQ$7:AQ1438),"")</f>
        <v/>
      </c>
    </row>
    <row r="1439" customFormat="false" ht="15" hidden="false" customHeight="false" outlineLevel="0" collapsed="false">
      <c r="A1439" s="78" t="str">
        <f aca="false">IF(E1439="","",ROW()-6)</f>
        <v/>
      </c>
      <c r="B1439" s="79"/>
      <c r="C1439" s="80"/>
      <c r="D1439" s="80"/>
      <c r="E1439" s="80"/>
      <c r="F1439" s="80"/>
      <c r="G1439" s="80"/>
      <c r="H1439" s="80"/>
      <c r="I1439" s="80"/>
      <c r="J1439" s="80"/>
      <c r="K1439" s="80"/>
      <c r="L1439" s="81" t="str">
        <f aca="false">IF(K1439="","",IFERROR(INDEX(BARDAGE!$C$7:$C$1506,MATCH(K1439,BARDAGE!$B$7:$B$1506,0)),"? hors registre"))</f>
        <v/>
      </c>
      <c r="M1439" s="80"/>
      <c r="N1439" s="81" t="str">
        <f aca="false">IF(M1439="","",IFERROR(INDEX(BARDAGE!$C$7:$C$1506,MATCH(M1439,BARDAGE!$B$7:$B$1506,0)),"? hors registre"))</f>
        <v/>
      </c>
      <c r="O1439" s="80"/>
      <c r="P1439" s="80"/>
      <c r="Q1439" s="80"/>
      <c r="R1439" s="82"/>
      <c r="S1439" s="82"/>
      <c r="T1439" s="80"/>
      <c r="U1439" s="80"/>
      <c r="V1439" s="82"/>
      <c r="W1439" s="80"/>
      <c r="X1439" s="80"/>
      <c r="Y1439" s="80"/>
      <c r="Z1439" s="80"/>
      <c r="AA1439" s="82"/>
      <c r="AB1439" s="80"/>
      <c r="AC1439" s="80"/>
      <c r="AD1439" s="80"/>
      <c r="AE1439" s="80"/>
      <c r="AF1439" s="82"/>
      <c r="AG1439" s="80"/>
      <c r="AH1439" s="80"/>
      <c r="AI1439" s="82"/>
      <c r="AJ1439" s="79"/>
      <c r="AK1439" s="78" t="str">
        <f aca="false">IF(E1439="","",(X1439&lt;&gt;"")+(AC1439&lt;&gt;"")+(AH1439&lt;&gt;""))</f>
        <v/>
      </c>
      <c r="AL1439" s="81" t="str">
        <f aca="false">IF(AH1439&lt;&gt;"",AH1439,IF(AC1439&lt;&gt;"",AC1439,IF(X1439&lt;&gt;"",X1439,"")))</f>
        <v/>
      </c>
      <c r="AM1439" s="83" t="str">
        <f aca="false">IF(E1439="","",IF(R1439="","À SOUDER",IF(U1439="","VT EN ATTENTE",IF(U1439="R","VT REJETÉ – À REPRENDRE",IF(AL1439="","À RADIOGRAPHIER",IF(AL1439="A","ACCEPTÉ",IF(AL1439="NX","NX – RT À REFAIRE",IF(IF(AK1439=1,Z1439,IF(AK1439=2,AE1439,""))="A","RÉPARÉ – À RADIOGRAPHIER",IF(IF(AK1439=1,Z1439,IF(AK1439=2,AE1439,""))="R","VT REJETÉ – À REPRENDRE",IF(OR(AL1439="CO",AL1439="NT"),"COUPE – À RESOUDER","À RÉPARER"))))))))))</f>
        <v/>
      </c>
      <c r="AN1439" s="81" t="str">
        <f aca="false">IF(AND(ISNUMBER(R1439),OR(AM1439="À RADIOGRAPHIER",AM1439="RÉPARÉ – À RADIOGRAPHIER",AM1439="NX – RT À REFAIRE",AM1439="À RÉPARER",AM1439="COUPE – À RESOUDER",AM1439="VT REJETÉ – À REPRENDRE")),MAX(0,'PROGRAMME RT'!$C$4-R1439),"")</f>
        <v/>
      </c>
      <c r="AO1439" s="78" t="n">
        <f aca="false">IF(AND(OR(AM1439="À RADIOGRAPHIER",AM1439="RÉPARÉ – À RADIOGRAPHIER",AM1439="NX – RT À REFAIRE"),OR('PROGRAMME RT'!$D$5="TOUTES",B1439='PROGRAMME RT'!$D$5)),1,0)</f>
        <v>0</v>
      </c>
      <c r="AP1439" s="78" t="str">
        <f aca="false">IF(AO1439=1,SUM(AO$7:AO1439),"")</f>
        <v/>
      </c>
      <c r="AQ1439" s="78" t="n">
        <f aca="false">IF(AND(OR(X1439="R",X1439="NX",X1439="NT",X1439="CO"),OR('JOINTS DE RÉPARATION'!$D$5="TOUTES",B1439='JOINTS DE RÉPARATION'!$D$5),OR('JOINTS DE RÉPARATION'!$L$4="TOUS",AM1439&lt;&gt;"ACCEPTÉ")),1,0)</f>
        <v>0</v>
      </c>
      <c r="AR1439" s="78" t="str">
        <f aca="false">IF(AQ1439=1,SUM(AQ$7:AQ1439),"")</f>
        <v/>
      </c>
    </row>
    <row r="1440" customFormat="false" ht="15" hidden="false" customHeight="false" outlineLevel="0" collapsed="false">
      <c r="A1440" s="78" t="str">
        <f aca="false">IF(E1440="","",ROW()-6)</f>
        <v/>
      </c>
      <c r="B1440" s="79"/>
      <c r="C1440" s="80"/>
      <c r="D1440" s="80"/>
      <c r="E1440" s="80"/>
      <c r="F1440" s="80"/>
      <c r="G1440" s="80"/>
      <c r="H1440" s="80"/>
      <c r="I1440" s="80"/>
      <c r="J1440" s="80"/>
      <c r="K1440" s="80"/>
      <c r="L1440" s="81" t="str">
        <f aca="false">IF(K1440="","",IFERROR(INDEX(BARDAGE!$C$7:$C$1506,MATCH(K1440,BARDAGE!$B$7:$B$1506,0)),"? hors registre"))</f>
        <v/>
      </c>
      <c r="M1440" s="80"/>
      <c r="N1440" s="81" t="str">
        <f aca="false">IF(M1440="","",IFERROR(INDEX(BARDAGE!$C$7:$C$1506,MATCH(M1440,BARDAGE!$B$7:$B$1506,0)),"? hors registre"))</f>
        <v/>
      </c>
      <c r="O1440" s="80"/>
      <c r="P1440" s="80"/>
      <c r="Q1440" s="80"/>
      <c r="R1440" s="82"/>
      <c r="S1440" s="82"/>
      <c r="T1440" s="80"/>
      <c r="U1440" s="80"/>
      <c r="V1440" s="82"/>
      <c r="W1440" s="80"/>
      <c r="X1440" s="80"/>
      <c r="Y1440" s="80"/>
      <c r="Z1440" s="80"/>
      <c r="AA1440" s="82"/>
      <c r="AB1440" s="80"/>
      <c r="AC1440" s="80"/>
      <c r="AD1440" s="80"/>
      <c r="AE1440" s="80"/>
      <c r="AF1440" s="82"/>
      <c r="AG1440" s="80"/>
      <c r="AH1440" s="80"/>
      <c r="AI1440" s="82"/>
      <c r="AJ1440" s="79"/>
      <c r="AK1440" s="78" t="str">
        <f aca="false">IF(E1440="","",(X1440&lt;&gt;"")+(AC1440&lt;&gt;"")+(AH1440&lt;&gt;""))</f>
        <v/>
      </c>
      <c r="AL1440" s="81" t="str">
        <f aca="false">IF(AH1440&lt;&gt;"",AH1440,IF(AC1440&lt;&gt;"",AC1440,IF(X1440&lt;&gt;"",X1440,"")))</f>
        <v/>
      </c>
      <c r="AM1440" s="83" t="str">
        <f aca="false">IF(E1440="","",IF(R1440="","À SOUDER",IF(U1440="","VT EN ATTENTE",IF(U1440="R","VT REJETÉ – À REPRENDRE",IF(AL1440="","À RADIOGRAPHIER",IF(AL1440="A","ACCEPTÉ",IF(AL1440="NX","NX – RT À REFAIRE",IF(IF(AK1440=1,Z1440,IF(AK1440=2,AE1440,""))="A","RÉPARÉ – À RADIOGRAPHIER",IF(IF(AK1440=1,Z1440,IF(AK1440=2,AE1440,""))="R","VT REJETÉ – À REPRENDRE",IF(OR(AL1440="CO",AL1440="NT"),"COUPE – À RESOUDER","À RÉPARER"))))))))))</f>
        <v/>
      </c>
      <c r="AN1440" s="81" t="str">
        <f aca="false">IF(AND(ISNUMBER(R1440),OR(AM1440="À RADIOGRAPHIER",AM1440="RÉPARÉ – À RADIOGRAPHIER",AM1440="NX – RT À REFAIRE",AM1440="À RÉPARER",AM1440="COUPE – À RESOUDER",AM1440="VT REJETÉ – À REPRENDRE")),MAX(0,'PROGRAMME RT'!$C$4-R1440),"")</f>
        <v/>
      </c>
      <c r="AO1440" s="78" t="n">
        <f aca="false">IF(AND(OR(AM1440="À RADIOGRAPHIER",AM1440="RÉPARÉ – À RADIOGRAPHIER",AM1440="NX – RT À REFAIRE"),OR('PROGRAMME RT'!$D$5="TOUTES",B1440='PROGRAMME RT'!$D$5)),1,0)</f>
        <v>0</v>
      </c>
      <c r="AP1440" s="78" t="str">
        <f aca="false">IF(AO1440=1,SUM(AO$7:AO1440),"")</f>
        <v/>
      </c>
      <c r="AQ1440" s="78" t="n">
        <f aca="false">IF(AND(OR(X1440="R",X1440="NX",X1440="NT",X1440="CO"),OR('JOINTS DE RÉPARATION'!$D$5="TOUTES",B1440='JOINTS DE RÉPARATION'!$D$5),OR('JOINTS DE RÉPARATION'!$L$4="TOUS",AM1440&lt;&gt;"ACCEPTÉ")),1,0)</f>
        <v>0</v>
      </c>
      <c r="AR1440" s="78" t="str">
        <f aca="false">IF(AQ1440=1,SUM(AQ$7:AQ1440),"")</f>
        <v/>
      </c>
    </row>
    <row r="1441" customFormat="false" ht="15" hidden="false" customHeight="false" outlineLevel="0" collapsed="false">
      <c r="A1441" s="78" t="str">
        <f aca="false">IF(E1441="","",ROW()-6)</f>
        <v/>
      </c>
      <c r="B1441" s="79"/>
      <c r="C1441" s="80"/>
      <c r="D1441" s="80"/>
      <c r="E1441" s="80"/>
      <c r="F1441" s="80"/>
      <c r="G1441" s="80"/>
      <c r="H1441" s="80"/>
      <c r="I1441" s="80"/>
      <c r="J1441" s="80"/>
      <c r="K1441" s="80"/>
      <c r="L1441" s="81" t="str">
        <f aca="false">IF(K1441="","",IFERROR(INDEX(BARDAGE!$C$7:$C$1506,MATCH(K1441,BARDAGE!$B$7:$B$1506,0)),"? hors registre"))</f>
        <v/>
      </c>
      <c r="M1441" s="80"/>
      <c r="N1441" s="81" t="str">
        <f aca="false">IF(M1441="","",IFERROR(INDEX(BARDAGE!$C$7:$C$1506,MATCH(M1441,BARDAGE!$B$7:$B$1506,0)),"? hors registre"))</f>
        <v/>
      </c>
      <c r="O1441" s="80"/>
      <c r="P1441" s="80"/>
      <c r="Q1441" s="80"/>
      <c r="R1441" s="82"/>
      <c r="S1441" s="82"/>
      <c r="T1441" s="80"/>
      <c r="U1441" s="80"/>
      <c r="V1441" s="82"/>
      <c r="W1441" s="80"/>
      <c r="X1441" s="80"/>
      <c r="Y1441" s="80"/>
      <c r="Z1441" s="80"/>
      <c r="AA1441" s="82"/>
      <c r="AB1441" s="80"/>
      <c r="AC1441" s="80"/>
      <c r="AD1441" s="80"/>
      <c r="AE1441" s="80"/>
      <c r="AF1441" s="82"/>
      <c r="AG1441" s="80"/>
      <c r="AH1441" s="80"/>
      <c r="AI1441" s="82"/>
      <c r="AJ1441" s="79"/>
      <c r="AK1441" s="78" t="str">
        <f aca="false">IF(E1441="","",(X1441&lt;&gt;"")+(AC1441&lt;&gt;"")+(AH1441&lt;&gt;""))</f>
        <v/>
      </c>
      <c r="AL1441" s="81" t="str">
        <f aca="false">IF(AH1441&lt;&gt;"",AH1441,IF(AC1441&lt;&gt;"",AC1441,IF(X1441&lt;&gt;"",X1441,"")))</f>
        <v/>
      </c>
      <c r="AM1441" s="83" t="str">
        <f aca="false">IF(E1441="","",IF(R1441="","À SOUDER",IF(U1441="","VT EN ATTENTE",IF(U1441="R","VT REJETÉ – À REPRENDRE",IF(AL1441="","À RADIOGRAPHIER",IF(AL1441="A","ACCEPTÉ",IF(AL1441="NX","NX – RT À REFAIRE",IF(IF(AK1441=1,Z1441,IF(AK1441=2,AE1441,""))="A","RÉPARÉ – À RADIOGRAPHIER",IF(IF(AK1441=1,Z1441,IF(AK1441=2,AE1441,""))="R","VT REJETÉ – À REPRENDRE",IF(OR(AL1441="CO",AL1441="NT"),"COUPE – À RESOUDER","À RÉPARER"))))))))))</f>
        <v/>
      </c>
      <c r="AN1441" s="81" t="str">
        <f aca="false">IF(AND(ISNUMBER(R1441),OR(AM1441="À RADIOGRAPHIER",AM1441="RÉPARÉ – À RADIOGRAPHIER",AM1441="NX – RT À REFAIRE",AM1441="À RÉPARER",AM1441="COUPE – À RESOUDER",AM1441="VT REJETÉ – À REPRENDRE")),MAX(0,'PROGRAMME RT'!$C$4-R1441),"")</f>
        <v/>
      </c>
      <c r="AO1441" s="78" t="n">
        <f aca="false">IF(AND(OR(AM1441="À RADIOGRAPHIER",AM1441="RÉPARÉ – À RADIOGRAPHIER",AM1441="NX – RT À REFAIRE"),OR('PROGRAMME RT'!$D$5="TOUTES",B1441='PROGRAMME RT'!$D$5)),1,0)</f>
        <v>0</v>
      </c>
      <c r="AP1441" s="78" t="str">
        <f aca="false">IF(AO1441=1,SUM(AO$7:AO1441),"")</f>
        <v/>
      </c>
      <c r="AQ1441" s="78" t="n">
        <f aca="false">IF(AND(OR(X1441="R",X1441="NX",X1441="NT",X1441="CO"),OR('JOINTS DE RÉPARATION'!$D$5="TOUTES",B1441='JOINTS DE RÉPARATION'!$D$5),OR('JOINTS DE RÉPARATION'!$L$4="TOUS",AM1441&lt;&gt;"ACCEPTÉ")),1,0)</f>
        <v>0</v>
      </c>
      <c r="AR1441" s="78" t="str">
        <f aca="false">IF(AQ1441=1,SUM(AQ$7:AQ1441),"")</f>
        <v/>
      </c>
    </row>
    <row r="1442" customFormat="false" ht="15" hidden="false" customHeight="false" outlineLevel="0" collapsed="false">
      <c r="A1442" s="78" t="str">
        <f aca="false">IF(E1442="","",ROW()-6)</f>
        <v/>
      </c>
      <c r="B1442" s="79"/>
      <c r="C1442" s="80"/>
      <c r="D1442" s="80"/>
      <c r="E1442" s="80"/>
      <c r="F1442" s="80"/>
      <c r="G1442" s="80"/>
      <c r="H1442" s="80"/>
      <c r="I1442" s="80"/>
      <c r="J1442" s="80"/>
      <c r="K1442" s="80"/>
      <c r="L1442" s="81" t="str">
        <f aca="false">IF(K1442="","",IFERROR(INDEX(BARDAGE!$C$7:$C$1506,MATCH(K1442,BARDAGE!$B$7:$B$1506,0)),"? hors registre"))</f>
        <v/>
      </c>
      <c r="M1442" s="80"/>
      <c r="N1442" s="81" t="str">
        <f aca="false">IF(M1442="","",IFERROR(INDEX(BARDAGE!$C$7:$C$1506,MATCH(M1442,BARDAGE!$B$7:$B$1506,0)),"? hors registre"))</f>
        <v/>
      </c>
      <c r="O1442" s="80"/>
      <c r="P1442" s="80"/>
      <c r="Q1442" s="80"/>
      <c r="R1442" s="82"/>
      <c r="S1442" s="82"/>
      <c r="T1442" s="80"/>
      <c r="U1442" s="80"/>
      <c r="V1442" s="82"/>
      <c r="W1442" s="80"/>
      <c r="X1442" s="80"/>
      <c r="Y1442" s="80"/>
      <c r="Z1442" s="80"/>
      <c r="AA1442" s="82"/>
      <c r="AB1442" s="80"/>
      <c r="AC1442" s="80"/>
      <c r="AD1442" s="80"/>
      <c r="AE1442" s="80"/>
      <c r="AF1442" s="82"/>
      <c r="AG1442" s="80"/>
      <c r="AH1442" s="80"/>
      <c r="AI1442" s="82"/>
      <c r="AJ1442" s="79"/>
      <c r="AK1442" s="78" t="str">
        <f aca="false">IF(E1442="","",(X1442&lt;&gt;"")+(AC1442&lt;&gt;"")+(AH1442&lt;&gt;""))</f>
        <v/>
      </c>
      <c r="AL1442" s="81" t="str">
        <f aca="false">IF(AH1442&lt;&gt;"",AH1442,IF(AC1442&lt;&gt;"",AC1442,IF(X1442&lt;&gt;"",X1442,"")))</f>
        <v/>
      </c>
      <c r="AM1442" s="83" t="str">
        <f aca="false">IF(E1442="","",IF(R1442="","À SOUDER",IF(U1442="","VT EN ATTENTE",IF(U1442="R","VT REJETÉ – À REPRENDRE",IF(AL1442="","À RADIOGRAPHIER",IF(AL1442="A","ACCEPTÉ",IF(AL1442="NX","NX – RT À REFAIRE",IF(IF(AK1442=1,Z1442,IF(AK1442=2,AE1442,""))="A","RÉPARÉ – À RADIOGRAPHIER",IF(IF(AK1442=1,Z1442,IF(AK1442=2,AE1442,""))="R","VT REJETÉ – À REPRENDRE",IF(OR(AL1442="CO",AL1442="NT"),"COUPE – À RESOUDER","À RÉPARER"))))))))))</f>
        <v/>
      </c>
      <c r="AN1442" s="81" t="str">
        <f aca="false">IF(AND(ISNUMBER(R1442),OR(AM1442="À RADIOGRAPHIER",AM1442="RÉPARÉ – À RADIOGRAPHIER",AM1442="NX – RT À REFAIRE",AM1442="À RÉPARER",AM1442="COUPE – À RESOUDER",AM1442="VT REJETÉ – À REPRENDRE")),MAX(0,'PROGRAMME RT'!$C$4-R1442),"")</f>
        <v/>
      </c>
      <c r="AO1442" s="78" t="n">
        <f aca="false">IF(AND(OR(AM1442="À RADIOGRAPHIER",AM1442="RÉPARÉ – À RADIOGRAPHIER",AM1442="NX – RT À REFAIRE"),OR('PROGRAMME RT'!$D$5="TOUTES",B1442='PROGRAMME RT'!$D$5)),1,0)</f>
        <v>0</v>
      </c>
      <c r="AP1442" s="78" t="str">
        <f aca="false">IF(AO1442=1,SUM(AO$7:AO1442),"")</f>
        <v/>
      </c>
      <c r="AQ1442" s="78" t="n">
        <f aca="false">IF(AND(OR(X1442="R",X1442="NX",X1442="NT",X1442="CO"),OR('JOINTS DE RÉPARATION'!$D$5="TOUTES",B1442='JOINTS DE RÉPARATION'!$D$5),OR('JOINTS DE RÉPARATION'!$L$4="TOUS",AM1442&lt;&gt;"ACCEPTÉ")),1,0)</f>
        <v>0</v>
      </c>
      <c r="AR1442" s="78" t="str">
        <f aca="false">IF(AQ1442=1,SUM(AQ$7:AQ1442),"")</f>
        <v/>
      </c>
    </row>
    <row r="1443" customFormat="false" ht="15" hidden="false" customHeight="false" outlineLevel="0" collapsed="false">
      <c r="A1443" s="78" t="str">
        <f aca="false">IF(E1443="","",ROW()-6)</f>
        <v/>
      </c>
      <c r="B1443" s="79"/>
      <c r="C1443" s="80"/>
      <c r="D1443" s="80"/>
      <c r="E1443" s="80"/>
      <c r="F1443" s="80"/>
      <c r="G1443" s="80"/>
      <c r="H1443" s="80"/>
      <c r="I1443" s="80"/>
      <c r="J1443" s="80"/>
      <c r="K1443" s="80"/>
      <c r="L1443" s="81" t="str">
        <f aca="false">IF(K1443="","",IFERROR(INDEX(BARDAGE!$C$7:$C$1506,MATCH(K1443,BARDAGE!$B$7:$B$1506,0)),"? hors registre"))</f>
        <v/>
      </c>
      <c r="M1443" s="80"/>
      <c r="N1443" s="81" t="str">
        <f aca="false">IF(M1443="","",IFERROR(INDEX(BARDAGE!$C$7:$C$1506,MATCH(M1443,BARDAGE!$B$7:$B$1506,0)),"? hors registre"))</f>
        <v/>
      </c>
      <c r="O1443" s="80"/>
      <c r="P1443" s="80"/>
      <c r="Q1443" s="80"/>
      <c r="R1443" s="82"/>
      <c r="S1443" s="82"/>
      <c r="T1443" s="80"/>
      <c r="U1443" s="80"/>
      <c r="V1443" s="82"/>
      <c r="W1443" s="80"/>
      <c r="X1443" s="80"/>
      <c r="Y1443" s="80"/>
      <c r="Z1443" s="80"/>
      <c r="AA1443" s="82"/>
      <c r="AB1443" s="80"/>
      <c r="AC1443" s="80"/>
      <c r="AD1443" s="80"/>
      <c r="AE1443" s="80"/>
      <c r="AF1443" s="82"/>
      <c r="AG1443" s="80"/>
      <c r="AH1443" s="80"/>
      <c r="AI1443" s="82"/>
      <c r="AJ1443" s="79"/>
      <c r="AK1443" s="78" t="str">
        <f aca="false">IF(E1443="","",(X1443&lt;&gt;"")+(AC1443&lt;&gt;"")+(AH1443&lt;&gt;""))</f>
        <v/>
      </c>
      <c r="AL1443" s="81" t="str">
        <f aca="false">IF(AH1443&lt;&gt;"",AH1443,IF(AC1443&lt;&gt;"",AC1443,IF(X1443&lt;&gt;"",X1443,"")))</f>
        <v/>
      </c>
      <c r="AM1443" s="83" t="str">
        <f aca="false">IF(E1443="","",IF(R1443="","À SOUDER",IF(U1443="","VT EN ATTENTE",IF(U1443="R","VT REJETÉ – À REPRENDRE",IF(AL1443="","À RADIOGRAPHIER",IF(AL1443="A","ACCEPTÉ",IF(AL1443="NX","NX – RT À REFAIRE",IF(IF(AK1443=1,Z1443,IF(AK1443=2,AE1443,""))="A","RÉPARÉ – À RADIOGRAPHIER",IF(IF(AK1443=1,Z1443,IF(AK1443=2,AE1443,""))="R","VT REJETÉ – À REPRENDRE",IF(OR(AL1443="CO",AL1443="NT"),"COUPE – À RESOUDER","À RÉPARER"))))))))))</f>
        <v/>
      </c>
      <c r="AN1443" s="81" t="str">
        <f aca="false">IF(AND(ISNUMBER(R1443),OR(AM1443="À RADIOGRAPHIER",AM1443="RÉPARÉ – À RADIOGRAPHIER",AM1443="NX – RT À REFAIRE",AM1443="À RÉPARER",AM1443="COUPE – À RESOUDER",AM1443="VT REJETÉ – À REPRENDRE")),MAX(0,'PROGRAMME RT'!$C$4-R1443),"")</f>
        <v/>
      </c>
      <c r="AO1443" s="78" t="n">
        <f aca="false">IF(AND(OR(AM1443="À RADIOGRAPHIER",AM1443="RÉPARÉ – À RADIOGRAPHIER",AM1443="NX – RT À REFAIRE"),OR('PROGRAMME RT'!$D$5="TOUTES",B1443='PROGRAMME RT'!$D$5)),1,0)</f>
        <v>0</v>
      </c>
      <c r="AP1443" s="78" t="str">
        <f aca="false">IF(AO1443=1,SUM(AO$7:AO1443),"")</f>
        <v/>
      </c>
      <c r="AQ1443" s="78" t="n">
        <f aca="false">IF(AND(OR(X1443="R",X1443="NX",X1443="NT",X1443="CO"),OR('JOINTS DE RÉPARATION'!$D$5="TOUTES",B1443='JOINTS DE RÉPARATION'!$D$5),OR('JOINTS DE RÉPARATION'!$L$4="TOUS",AM1443&lt;&gt;"ACCEPTÉ")),1,0)</f>
        <v>0</v>
      </c>
      <c r="AR1443" s="78" t="str">
        <f aca="false">IF(AQ1443=1,SUM(AQ$7:AQ1443),"")</f>
        <v/>
      </c>
    </row>
    <row r="1444" customFormat="false" ht="15" hidden="false" customHeight="false" outlineLevel="0" collapsed="false">
      <c r="A1444" s="78" t="str">
        <f aca="false">IF(E1444="","",ROW()-6)</f>
        <v/>
      </c>
      <c r="B1444" s="79"/>
      <c r="C1444" s="80"/>
      <c r="D1444" s="80"/>
      <c r="E1444" s="80"/>
      <c r="F1444" s="80"/>
      <c r="G1444" s="80"/>
      <c r="H1444" s="80"/>
      <c r="I1444" s="80"/>
      <c r="J1444" s="80"/>
      <c r="K1444" s="80"/>
      <c r="L1444" s="81" t="str">
        <f aca="false">IF(K1444="","",IFERROR(INDEX(BARDAGE!$C$7:$C$1506,MATCH(K1444,BARDAGE!$B$7:$B$1506,0)),"? hors registre"))</f>
        <v/>
      </c>
      <c r="M1444" s="80"/>
      <c r="N1444" s="81" t="str">
        <f aca="false">IF(M1444="","",IFERROR(INDEX(BARDAGE!$C$7:$C$1506,MATCH(M1444,BARDAGE!$B$7:$B$1506,0)),"? hors registre"))</f>
        <v/>
      </c>
      <c r="O1444" s="80"/>
      <c r="P1444" s="80"/>
      <c r="Q1444" s="80"/>
      <c r="R1444" s="82"/>
      <c r="S1444" s="82"/>
      <c r="T1444" s="80"/>
      <c r="U1444" s="80"/>
      <c r="V1444" s="82"/>
      <c r="W1444" s="80"/>
      <c r="X1444" s="80"/>
      <c r="Y1444" s="80"/>
      <c r="Z1444" s="80"/>
      <c r="AA1444" s="82"/>
      <c r="AB1444" s="80"/>
      <c r="AC1444" s="80"/>
      <c r="AD1444" s="80"/>
      <c r="AE1444" s="80"/>
      <c r="AF1444" s="82"/>
      <c r="AG1444" s="80"/>
      <c r="AH1444" s="80"/>
      <c r="AI1444" s="82"/>
      <c r="AJ1444" s="79"/>
      <c r="AK1444" s="78" t="str">
        <f aca="false">IF(E1444="","",(X1444&lt;&gt;"")+(AC1444&lt;&gt;"")+(AH1444&lt;&gt;""))</f>
        <v/>
      </c>
      <c r="AL1444" s="81" t="str">
        <f aca="false">IF(AH1444&lt;&gt;"",AH1444,IF(AC1444&lt;&gt;"",AC1444,IF(X1444&lt;&gt;"",X1444,"")))</f>
        <v/>
      </c>
      <c r="AM1444" s="83" t="str">
        <f aca="false">IF(E1444="","",IF(R1444="","À SOUDER",IF(U1444="","VT EN ATTENTE",IF(U1444="R","VT REJETÉ – À REPRENDRE",IF(AL1444="","À RADIOGRAPHIER",IF(AL1444="A","ACCEPTÉ",IF(AL1444="NX","NX – RT À REFAIRE",IF(IF(AK1444=1,Z1444,IF(AK1444=2,AE1444,""))="A","RÉPARÉ – À RADIOGRAPHIER",IF(IF(AK1444=1,Z1444,IF(AK1444=2,AE1444,""))="R","VT REJETÉ – À REPRENDRE",IF(OR(AL1444="CO",AL1444="NT"),"COUPE – À RESOUDER","À RÉPARER"))))))))))</f>
        <v/>
      </c>
      <c r="AN1444" s="81" t="str">
        <f aca="false">IF(AND(ISNUMBER(R1444),OR(AM1444="À RADIOGRAPHIER",AM1444="RÉPARÉ – À RADIOGRAPHIER",AM1444="NX – RT À REFAIRE",AM1444="À RÉPARER",AM1444="COUPE – À RESOUDER",AM1444="VT REJETÉ – À REPRENDRE")),MAX(0,'PROGRAMME RT'!$C$4-R1444),"")</f>
        <v/>
      </c>
      <c r="AO1444" s="78" t="n">
        <f aca="false">IF(AND(OR(AM1444="À RADIOGRAPHIER",AM1444="RÉPARÉ – À RADIOGRAPHIER",AM1444="NX – RT À REFAIRE"),OR('PROGRAMME RT'!$D$5="TOUTES",B1444='PROGRAMME RT'!$D$5)),1,0)</f>
        <v>0</v>
      </c>
      <c r="AP1444" s="78" t="str">
        <f aca="false">IF(AO1444=1,SUM(AO$7:AO1444),"")</f>
        <v/>
      </c>
      <c r="AQ1444" s="78" t="n">
        <f aca="false">IF(AND(OR(X1444="R",X1444="NX",X1444="NT",X1444="CO"),OR('JOINTS DE RÉPARATION'!$D$5="TOUTES",B1444='JOINTS DE RÉPARATION'!$D$5),OR('JOINTS DE RÉPARATION'!$L$4="TOUS",AM1444&lt;&gt;"ACCEPTÉ")),1,0)</f>
        <v>0</v>
      </c>
      <c r="AR1444" s="78" t="str">
        <f aca="false">IF(AQ1444=1,SUM(AQ$7:AQ1444),"")</f>
        <v/>
      </c>
    </row>
    <row r="1445" customFormat="false" ht="15" hidden="false" customHeight="false" outlineLevel="0" collapsed="false">
      <c r="A1445" s="78" t="str">
        <f aca="false">IF(E1445="","",ROW()-6)</f>
        <v/>
      </c>
      <c r="B1445" s="79"/>
      <c r="C1445" s="80"/>
      <c r="D1445" s="80"/>
      <c r="E1445" s="80"/>
      <c r="F1445" s="80"/>
      <c r="G1445" s="80"/>
      <c r="H1445" s="80"/>
      <c r="I1445" s="80"/>
      <c r="J1445" s="80"/>
      <c r="K1445" s="80"/>
      <c r="L1445" s="81" t="str">
        <f aca="false">IF(K1445="","",IFERROR(INDEX(BARDAGE!$C$7:$C$1506,MATCH(K1445,BARDAGE!$B$7:$B$1506,0)),"? hors registre"))</f>
        <v/>
      </c>
      <c r="M1445" s="80"/>
      <c r="N1445" s="81" t="str">
        <f aca="false">IF(M1445="","",IFERROR(INDEX(BARDAGE!$C$7:$C$1506,MATCH(M1445,BARDAGE!$B$7:$B$1506,0)),"? hors registre"))</f>
        <v/>
      </c>
      <c r="O1445" s="80"/>
      <c r="P1445" s="80"/>
      <c r="Q1445" s="80"/>
      <c r="R1445" s="82"/>
      <c r="S1445" s="82"/>
      <c r="T1445" s="80"/>
      <c r="U1445" s="80"/>
      <c r="V1445" s="82"/>
      <c r="W1445" s="80"/>
      <c r="X1445" s="80"/>
      <c r="Y1445" s="80"/>
      <c r="Z1445" s="80"/>
      <c r="AA1445" s="82"/>
      <c r="AB1445" s="80"/>
      <c r="AC1445" s="80"/>
      <c r="AD1445" s="80"/>
      <c r="AE1445" s="80"/>
      <c r="AF1445" s="82"/>
      <c r="AG1445" s="80"/>
      <c r="AH1445" s="80"/>
      <c r="AI1445" s="82"/>
      <c r="AJ1445" s="79"/>
      <c r="AK1445" s="78" t="str">
        <f aca="false">IF(E1445="","",(X1445&lt;&gt;"")+(AC1445&lt;&gt;"")+(AH1445&lt;&gt;""))</f>
        <v/>
      </c>
      <c r="AL1445" s="81" t="str">
        <f aca="false">IF(AH1445&lt;&gt;"",AH1445,IF(AC1445&lt;&gt;"",AC1445,IF(X1445&lt;&gt;"",X1445,"")))</f>
        <v/>
      </c>
      <c r="AM1445" s="83" t="str">
        <f aca="false">IF(E1445="","",IF(R1445="","À SOUDER",IF(U1445="","VT EN ATTENTE",IF(U1445="R","VT REJETÉ – À REPRENDRE",IF(AL1445="","À RADIOGRAPHIER",IF(AL1445="A","ACCEPTÉ",IF(AL1445="NX","NX – RT À REFAIRE",IF(IF(AK1445=1,Z1445,IF(AK1445=2,AE1445,""))="A","RÉPARÉ – À RADIOGRAPHIER",IF(IF(AK1445=1,Z1445,IF(AK1445=2,AE1445,""))="R","VT REJETÉ – À REPRENDRE",IF(OR(AL1445="CO",AL1445="NT"),"COUPE – À RESOUDER","À RÉPARER"))))))))))</f>
        <v/>
      </c>
      <c r="AN1445" s="81" t="str">
        <f aca="false">IF(AND(ISNUMBER(R1445),OR(AM1445="À RADIOGRAPHIER",AM1445="RÉPARÉ – À RADIOGRAPHIER",AM1445="NX – RT À REFAIRE",AM1445="À RÉPARER",AM1445="COUPE – À RESOUDER",AM1445="VT REJETÉ – À REPRENDRE")),MAX(0,'PROGRAMME RT'!$C$4-R1445),"")</f>
        <v/>
      </c>
      <c r="AO1445" s="78" t="n">
        <f aca="false">IF(AND(OR(AM1445="À RADIOGRAPHIER",AM1445="RÉPARÉ – À RADIOGRAPHIER",AM1445="NX – RT À REFAIRE"),OR('PROGRAMME RT'!$D$5="TOUTES",B1445='PROGRAMME RT'!$D$5)),1,0)</f>
        <v>0</v>
      </c>
      <c r="AP1445" s="78" t="str">
        <f aca="false">IF(AO1445=1,SUM(AO$7:AO1445),"")</f>
        <v/>
      </c>
      <c r="AQ1445" s="78" t="n">
        <f aca="false">IF(AND(OR(X1445="R",X1445="NX",X1445="NT",X1445="CO"),OR('JOINTS DE RÉPARATION'!$D$5="TOUTES",B1445='JOINTS DE RÉPARATION'!$D$5),OR('JOINTS DE RÉPARATION'!$L$4="TOUS",AM1445&lt;&gt;"ACCEPTÉ")),1,0)</f>
        <v>0</v>
      </c>
      <c r="AR1445" s="78" t="str">
        <f aca="false">IF(AQ1445=1,SUM(AQ$7:AQ1445),"")</f>
        <v/>
      </c>
    </row>
    <row r="1446" customFormat="false" ht="15" hidden="false" customHeight="false" outlineLevel="0" collapsed="false">
      <c r="A1446" s="78" t="str">
        <f aca="false">IF(E1446="","",ROW()-6)</f>
        <v/>
      </c>
      <c r="B1446" s="79"/>
      <c r="C1446" s="80"/>
      <c r="D1446" s="80"/>
      <c r="E1446" s="80"/>
      <c r="F1446" s="80"/>
      <c r="G1446" s="80"/>
      <c r="H1446" s="80"/>
      <c r="I1446" s="80"/>
      <c r="J1446" s="80"/>
      <c r="K1446" s="80"/>
      <c r="L1446" s="81" t="str">
        <f aca="false">IF(K1446="","",IFERROR(INDEX(BARDAGE!$C$7:$C$1506,MATCH(K1446,BARDAGE!$B$7:$B$1506,0)),"? hors registre"))</f>
        <v/>
      </c>
      <c r="M1446" s="80"/>
      <c r="N1446" s="81" t="str">
        <f aca="false">IF(M1446="","",IFERROR(INDEX(BARDAGE!$C$7:$C$1506,MATCH(M1446,BARDAGE!$B$7:$B$1506,0)),"? hors registre"))</f>
        <v/>
      </c>
      <c r="O1446" s="80"/>
      <c r="P1446" s="80"/>
      <c r="Q1446" s="80"/>
      <c r="R1446" s="82"/>
      <c r="S1446" s="82"/>
      <c r="T1446" s="80"/>
      <c r="U1446" s="80"/>
      <c r="V1446" s="82"/>
      <c r="W1446" s="80"/>
      <c r="X1446" s="80"/>
      <c r="Y1446" s="80"/>
      <c r="Z1446" s="80"/>
      <c r="AA1446" s="82"/>
      <c r="AB1446" s="80"/>
      <c r="AC1446" s="80"/>
      <c r="AD1446" s="80"/>
      <c r="AE1446" s="80"/>
      <c r="AF1446" s="82"/>
      <c r="AG1446" s="80"/>
      <c r="AH1446" s="80"/>
      <c r="AI1446" s="82"/>
      <c r="AJ1446" s="79"/>
      <c r="AK1446" s="78" t="str">
        <f aca="false">IF(E1446="","",(X1446&lt;&gt;"")+(AC1446&lt;&gt;"")+(AH1446&lt;&gt;""))</f>
        <v/>
      </c>
      <c r="AL1446" s="81" t="str">
        <f aca="false">IF(AH1446&lt;&gt;"",AH1446,IF(AC1446&lt;&gt;"",AC1446,IF(X1446&lt;&gt;"",X1446,"")))</f>
        <v/>
      </c>
      <c r="AM1446" s="83" t="str">
        <f aca="false">IF(E1446="","",IF(R1446="","À SOUDER",IF(U1446="","VT EN ATTENTE",IF(U1446="R","VT REJETÉ – À REPRENDRE",IF(AL1446="","À RADIOGRAPHIER",IF(AL1446="A","ACCEPTÉ",IF(AL1446="NX","NX – RT À REFAIRE",IF(IF(AK1446=1,Z1446,IF(AK1446=2,AE1446,""))="A","RÉPARÉ – À RADIOGRAPHIER",IF(IF(AK1446=1,Z1446,IF(AK1446=2,AE1446,""))="R","VT REJETÉ – À REPRENDRE",IF(OR(AL1446="CO",AL1446="NT"),"COUPE – À RESOUDER","À RÉPARER"))))))))))</f>
        <v/>
      </c>
      <c r="AN1446" s="81" t="str">
        <f aca="false">IF(AND(ISNUMBER(R1446),OR(AM1446="À RADIOGRAPHIER",AM1446="RÉPARÉ – À RADIOGRAPHIER",AM1446="NX – RT À REFAIRE",AM1446="À RÉPARER",AM1446="COUPE – À RESOUDER",AM1446="VT REJETÉ – À REPRENDRE")),MAX(0,'PROGRAMME RT'!$C$4-R1446),"")</f>
        <v/>
      </c>
      <c r="AO1446" s="78" t="n">
        <f aca="false">IF(AND(OR(AM1446="À RADIOGRAPHIER",AM1446="RÉPARÉ – À RADIOGRAPHIER",AM1446="NX – RT À REFAIRE"),OR('PROGRAMME RT'!$D$5="TOUTES",B1446='PROGRAMME RT'!$D$5)),1,0)</f>
        <v>0</v>
      </c>
      <c r="AP1446" s="78" t="str">
        <f aca="false">IF(AO1446=1,SUM(AO$7:AO1446),"")</f>
        <v/>
      </c>
      <c r="AQ1446" s="78" t="n">
        <f aca="false">IF(AND(OR(X1446="R",X1446="NX",X1446="NT",X1446="CO"),OR('JOINTS DE RÉPARATION'!$D$5="TOUTES",B1446='JOINTS DE RÉPARATION'!$D$5),OR('JOINTS DE RÉPARATION'!$L$4="TOUS",AM1446&lt;&gt;"ACCEPTÉ")),1,0)</f>
        <v>0</v>
      </c>
      <c r="AR1446" s="78" t="str">
        <f aca="false">IF(AQ1446=1,SUM(AQ$7:AQ1446),"")</f>
        <v/>
      </c>
    </row>
    <row r="1447" customFormat="false" ht="15" hidden="false" customHeight="false" outlineLevel="0" collapsed="false">
      <c r="A1447" s="78" t="str">
        <f aca="false">IF(E1447="","",ROW()-6)</f>
        <v/>
      </c>
      <c r="B1447" s="79"/>
      <c r="C1447" s="80"/>
      <c r="D1447" s="80"/>
      <c r="E1447" s="80"/>
      <c r="F1447" s="80"/>
      <c r="G1447" s="80"/>
      <c r="H1447" s="80"/>
      <c r="I1447" s="80"/>
      <c r="J1447" s="80"/>
      <c r="K1447" s="80"/>
      <c r="L1447" s="81" t="str">
        <f aca="false">IF(K1447="","",IFERROR(INDEX(BARDAGE!$C$7:$C$1506,MATCH(K1447,BARDAGE!$B$7:$B$1506,0)),"? hors registre"))</f>
        <v/>
      </c>
      <c r="M1447" s="80"/>
      <c r="N1447" s="81" t="str">
        <f aca="false">IF(M1447="","",IFERROR(INDEX(BARDAGE!$C$7:$C$1506,MATCH(M1447,BARDAGE!$B$7:$B$1506,0)),"? hors registre"))</f>
        <v/>
      </c>
      <c r="O1447" s="80"/>
      <c r="P1447" s="80"/>
      <c r="Q1447" s="80"/>
      <c r="R1447" s="82"/>
      <c r="S1447" s="82"/>
      <c r="T1447" s="80"/>
      <c r="U1447" s="80"/>
      <c r="V1447" s="82"/>
      <c r="W1447" s="80"/>
      <c r="X1447" s="80"/>
      <c r="Y1447" s="80"/>
      <c r="Z1447" s="80"/>
      <c r="AA1447" s="82"/>
      <c r="AB1447" s="80"/>
      <c r="AC1447" s="80"/>
      <c r="AD1447" s="80"/>
      <c r="AE1447" s="80"/>
      <c r="AF1447" s="82"/>
      <c r="AG1447" s="80"/>
      <c r="AH1447" s="80"/>
      <c r="AI1447" s="82"/>
      <c r="AJ1447" s="79"/>
      <c r="AK1447" s="78" t="str">
        <f aca="false">IF(E1447="","",(X1447&lt;&gt;"")+(AC1447&lt;&gt;"")+(AH1447&lt;&gt;""))</f>
        <v/>
      </c>
      <c r="AL1447" s="81" t="str">
        <f aca="false">IF(AH1447&lt;&gt;"",AH1447,IF(AC1447&lt;&gt;"",AC1447,IF(X1447&lt;&gt;"",X1447,"")))</f>
        <v/>
      </c>
      <c r="AM1447" s="83" t="str">
        <f aca="false">IF(E1447="","",IF(R1447="","À SOUDER",IF(U1447="","VT EN ATTENTE",IF(U1447="R","VT REJETÉ – À REPRENDRE",IF(AL1447="","À RADIOGRAPHIER",IF(AL1447="A","ACCEPTÉ",IF(AL1447="NX","NX – RT À REFAIRE",IF(IF(AK1447=1,Z1447,IF(AK1447=2,AE1447,""))="A","RÉPARÉ – À RADIOGRAPHIER",IF(IF(AK1447=1,Z1447,IF(AK1447=2,AE1447,""))="R","VT REJETÉ – À REPRENDRE",IF(OR(AL1447="CO",AL1447="NT"),"COUPE – À RESOUDER","À RÉPARER"))))))))))</f>
        <v/>
      </c>
      <c r="AN1447" s="81" t="str">
        <f aca="false">IF(AND(ISNUMBER(R1447),OR(AM1447="À RADIOGRAPHIER",AM1447="RÉPARÉ – À RADIOGRAPHIER",AM1447="NX – RT À REFAIRE",AM1447="À RÉPARER",AM1447="COUPE – À RESOUDER",AM1447="VT REJETÉ – À REPRENDRE")),MAX(0,'PROGRAMME RT'!$C$4-R1447),"")</f>
        <v/>
      </c>
      <c r="AO1447" s="78" t="n">
        <f aca="false">IF(AND(OR(AM1447="À RADIOGRAPHIER",AM1447="RÉPARÉ – À RADIOGRAPHIER",AM1447="NX – RT À REFAIRE"),OR('PROGRAMME RT'!$D$5="TOUTES",B1447='PROGRAMME RT'!$D$5)),1,0)</f>
        <v>0</v>
      </c>
      <c r="AP1447" s="78" t="str">
        <f aca="false">IF(AO1447=1,SUM(AO$7:AO1447),"")</f>
        <v/>
      </c>
      <c r="AQ1447" s="78" t="n">
        <f aca="false">IF(AND(OR(X1447="R",X1447="NX",X1447="NT",X1447="CO"),OR('JOINTS DE RÉPARATION'!$D$5="TOUTES",B1447='JOINTS DE RÉPARATION'!$D$5),OR('JOINTS DE RÉPARATION'!$L$4="TOUS",AM1447&lt;&gt;"ACCEPTÉ")),1,0)</f>
        <v>0</v>
      </c>
      <c r="AR1447" s="78" t="str">
        <f aca="false">IF(AQ1447=1,SUM(AQ$7:AQ1447),"")</f>
        <v/>
      </c>
    </row>
    <row r="1448" customFormat="false" ht="15" hidden="false" customHeight="false" outlineLevel="0" collapsed="false">
      <c r="A1448" s="78" t="str">
        <f aca="false">IF(E1448="","",ROW()-6)</f>
        <v/>
      </c>
      <c r="B1448" s="79"/>
      <c r="C1448" s="80"/>
      <c r="D1448" s="80"/>
      <c r="E1448" s="80"/>
      <c r="F1448" s="80"/>
      <c r="G1448" s="80"/>
      <c r="H1448" s="80"/>
      <c r="I1448" s="80"/>
      <c r="J1448" s="80"/>
      <c r="K1448" s="80"/>
      <c r="L1448" s="81" t="str">
        <f aca="false">IF(K1448="","",IFERROR(INDEX(BARDAGE!$C$7:$C$1506,MATCH(K1448,BARDAGE!$B$7:$B$1506,0)),"? hors registre"))</f>
        <v/>
      </c>
      <c r="M1448" s="80"/>
      <c r="N1448" s="81" t="str">
        <f aca="false">IF(M1448="","",IFERROR(INDEX(BARDAGE!$C$7:$C$1506,MATCH(M1448,BARDAGE!$B$7:$B$1506,0)),"? hors registre"))</f>
        <v/>
      </c>
      <c r="O1448" s="80"/>
      <c r="P1448" s="80"/>
      <c r="Q1448" s="80"/>
      <c r="R1448" s="82"/>
      <c r="S1448" s="82"/>
      <c r="T1448" s="80"/>
      <c r="U1448" s="80"/>
      <c r="V1448" s="82"/>
      <c r="W1448" s="80"/>
      <c r="X1448" s="80"/>
      <c r="Y1448" s="80"/>
      <c r="Z1448" s="80"/>
      <c r="AA1448" s="82"/>
      <c r="AB1448" s="80"/>
      <c r="AC1448" s="80"/>
      <c r="AD1448" s="80"/>
      <c r="AE1448" s="80"/>
      <c r="AF1448" s="82"/>
      <c r="AG1448" s="80"/>
      <c r="AH1448" s="80"/>
      <c r="AI1448" s="82"/>
      <c r="AJ1448" s="79"/>
      <c r="AK1448" s="78" t="str">
        <f aca="false">IF(E1448="","",(X1448&lt;&gt;"")+(AC1448&lt;&gt;"")+(AH1448&lt;&gt;""))</f>
        <v/>
      </c>
      <c r="AL1448" s="81" t="str">
        <f aca="false">IF(AH1448&lt;&gt;"",AH1448,IF(AC1448&lt;&gt;"",AC1448,IF(X1448&lt;&gt;"",X1448,"")))</f>
        <v/>
      </c>
      <c r="AM1448" s="83" t="str">
        <f aca="false">IF(E1448="","",IF(R1448="","À SOUDER",IF(U1448="","VT EN ATTENTE",IF(U1448="R","VT REJETÉ – À REPRENDRE",IF(AL1448="","À RADIOGRAPHIER",IF(AL1448="A","ACCEPTÉ",IF(AL1448="NX","NX – RT À REFAIRE",IF(IF(AK1448=1,Z1448,IF(AK1448=2,AE1448,""))="A","RÉPARÉ – À RADIOGRAPHIER",IF(IF(AK1448=1,Z1448,IF(AK1448=2,AE1448,""))="R","VT REJETÉ – À REPRENDRE",IF(OR(AL1448="CO",AL1448="NT"),"COUPE – À RESOUDER","À RÉPARER"))))))))))</f>
        <v/>
      </c>
      <c r="AN1448" s="81" t="str">
        <f aca="false">IF(AND(ISNUMBER(R1448),OR(AM1448="À RADIOGRAPHIER",AM1448="RÉPARÉ – À RADIOGRAPHIER",AM1448="NX – RT À REFAIRE",AM1448="À RÉPARER",AM1448="COUPE – À RESOUDER",AM1448="VT REJETÉ – À REPRENDRE")),MAX(0,'PROGRAMME RT'!$C$4-R1448),"")</f>
        <v/>
      </c>
      <c r="AO1448" s="78" t="n">
        <f aca="false">IF(AND(OR(AM1448="À RADIOGRAPHIER",AM1448="RÉPARÉ – À RADIOGRAPHIER",AM1448="NX – RT À REFAIRE"),OR('PROGRAMME RT'!$D$5="TOUTES",B1448='PROGRAMME RT'!$D$5)),1,0)</f>
        <v>0</v>
      </c>
      <c r="AP1448" s="78" t="str">
        <f aca="false">IF(AO1448=1,SUM(AO$7:AO1448),"")</f>
        <v/>
      </c>
      <c r="AQ1448" s="78" t="n">
        <f aca="false">IF(AND(OR(X1448="R",X1448="NX",X1448="NT",X1448="CO"),OR('JOINTS DE RÉPARATION'!$D$5="TOUTES",B1448='JOINTS DE RÉPARATION'!$D$5),OR('JOINTS DE RÉPARATION'!$L$4="TOUS",AM1448&lt;&gt;"ACCEPTÉ")),1,0)</f>
        <v>0</v>
      </c>
      <c r="AR1448" s="78" t="str">
        <f aca="false">IF(AQ1448=1,SUM(AQ$7:AQ1448),"")</f>
        <v/>
      </c>
    </row>
    <row r="1449" customFormat="false" ht="15" hidden="false" customHeight="false" outlineLevel="0" collapsed="false">
      <c r="A1449" s="78" t="str">
        <f aca="false">IF(E1449="","",ROW()-6)</f>
        <v/>
      </c>
      <c r="B1449" s="79"/>
      <c r="C1449" s="80"/>
      <c r="D1449" s="80"/>
      <c r="E1449" s="80"/>
      <c r="F1449" s="80"/>
      <c r="G1449" s="80"/>
      <c r="H1449" s="80"/>
      <c r="I1449" s="80"/>
      <c r="J1449" s="80"/>
      <c r="K1449" s="80"/>
      <c r="L1449" s="81" t="str">
        <f aca="false">IF(K1449="","",IFERROR(INDEX(BARDAGE!$C$7:$C$1506,MATCH(K1449,BARDAGE!$B$7:$B$1506,0)),"? hors registre"))</f>
        <v/>
      </c>
      <c r="M1449" s="80"/>
      <c r="N1449" s="81" t="str">
        <f aca="false">IF(M1449="","",IFERROR(INDEX(BARDAGE!$C$7:$C$1506,MATCH(M1449,BARDAGE!$B$7:$B$1506,0)),"? hors registre"))</f>
        <v/>
      </c>
      <c r="O1449" s="80"/>
      <c r="P1449" s="80"/>
      <c r="Q1449" s="80"/>
      <c r="R1449" s="82"/>
      <c r="S1449" s="82"/>
      <c r="T1449" s="80"/>
      <c r="U1449" s="80"/>
      <c r="V1449" s="82"/>
      <c r="W1449" s="80"/>
      <c r="X1449" s="80"/>
      <c r="Y1449" s="80"/>
      <c r="Z1449" s="80"/>
      <c r="AA1449" s="82"/>
      <c r="AB1449" s="80"/>
      <c r="AC1449" s="80"/>
      <c r="AD1449" s="80"/>
      <c r="AE1449" s="80"/>
      <c r="AF1449" s="82"/>
      <c r="AG1449" s="80"/>
      <c r="AH1449" s="80"/>
      <c r="AI1449" s="82"/>
      <c r="AJ1449" s="79"/>
      <c r="AK1449" s="78" t="str">
        <f aca="false">IF(E1449="","",(X1449&lt;&gt;"")+(AC1449&lt;&gt;"")+(AH1449&lt;&gt;""))</f>
        <v/>
      </c>
      <c r="AL1449" s="81" t="str">
        <f aca="false">IF(AH1449&lt;&gt;"",AH1449,IF(AC1449&lt;&gt;"",AC1449,IF(X1449&lt;&gt;"",X1449,"")))</f>
        <v/>
      </c>
      <c r="AM1449" s="83" t="str">
        <f aca="false">IF(E1449="","",IF(R1449="","À SOUDER",IF(U1449="","VT EN ATTENTE",IF(U1449="R","VT REJETÉ – À REPRENDRE",IF(AL1449="","À RADIOGRAPHIER",IF(AL1449="A","ACCEPTÉ",IF(AL1449="NX","NX – RT À REFAIRE",IF(IF(AK1449=1,Z1449,IF(AK1449=2,AE1449,""))="A","RÉPARÉ – À RADIOGRAPHIER",IF(IF(AK1449=1,Z1449,IF(AK1449=2,AE1449,""))="R","VT REJETÉ – À REPRENDRE",IF(OR(AL1449="CO",AL1449="NT"),"COUPE – À RESOUDER","À RÉPARER"))))))))))</f>
        <v/>
      </c>
      <c r="AN1449" s="81" t="str">
        <f aca="false">IF(AND(ISNUMBER(R1449),OR(AM1449="À RADIOGRAPHIER",AM1449="RÉPARÉ – À RADIOGRAPHIER",AM1449="NX – RT À REFAIRE",AM1449="À RÉPARER",AM1449="COUPE – À RESOUDER",AM1449="VT REJETÉ – À REPRENDRE")),MAX(0,'PROGRAMME RT'!$C$4-R1449),"")</f>
        <v/>
      </c>
      <c r="AO1449" s="78" t="n">
        <f aca="false">IF(AND(OR(AM1449="À RADIOGRAPHIER",AM1449="RÉPARÉ – À RADIOGRAPHIER",AM1449="NX – RT À REFAIRE"),OR('PROGRAMME RT'!$D$5="TOUTES",B1449='PROGRAMME RT'!$D$5)),1,0)</f>
        <v>0</v>
      </c>
      <c r="AP1449" s="78" t="str">
        <f aca="false">IF(AO1449=1,SUM(AO$7:AO1449),"")</f>
        <v/>
      </c>
      <c r="AQ1449" s="78" t="n">
        <f aca="false">IF(AND(OR(X1449="R",X1449="NX",X1449="NT",X1449="CO"),OR('JOINTS DE RÉPARATION'!$D$5="TOUTES",B1449='JOINTS DE RÉPARATION'!$D$5),OR('JOINTS DE RÉPARATION'!$L$4="TOUS",AM1449&lt;&gt;"ACCEPTÉ")),1,0)</f>
        <v>0</v>
      </c>
      <c r="AR1449" s="78" t="str">
        <f aca="false">IF(AQ1449=1,SUM(AQ$7:AQ1449),"")</f>
        <v/>
      </c>
    </row>
    <row r="1450" customFormat="false" ht="15" hidden="false" customHeight="false" outlineLevel="0" collapsed="false">
      <c r="A1450" s="78" t="str">
        <f aca="false">IF(E1450="","",ROW()-6)</f>
        <v/>
      </c>
      <c r="B1450" s="79"/>
      <c r="C1450" s="80"/>
      <c r="D1450" s="80"/>
      <c r="E1450" s="80"/>
      <c r="F1450" s="80"/>
      <c r="G1450" s="80"/>
      <c r="H1450" s="80"/>
      <c r="I1450" s="80"/>
      <c r="J1450" s="80"/>
      <c r="K1450" s="80"/>
      <c r="L1450" s="81" t="str">
        <f aca="false">IF(K1450="","",IFERROR(INDEX(BARDAGE!$C$7:$C$1506,MATCH(K1450,BARDAGE!$B$7:$B$1506,0)),"? hors registre"))</f>
        <v/>
      </c>
      <c r="M1450" s="80"/>
      <c r="N1450" s="81" t="str">
        <f aca="false">IF(M1450="","",IFERROR(INDEX(BARDAGE!$C$7:$C$1506,MATCH(M1450,BARDAGE!$B$7:$B$1506,0)),"? hors registre"))</f>
        <v/>
      </c>
      <c r="O1450" s="80"/>
      <c r="P1450" s="80"/>
      <c r="Q1450" s="80"/>
      <c r="R1450" s="82"/>
      <c r="S1450" s="82"/>
      <c r="T1450" s="80"/>
      <c r="U1450" s="80"/>
      <c r="V1450" s="82"/>
      <c r="W1450" s="80"/>
      <c r="X1450" s="80"/>
      <c r="Y1450" s="80"/>
      <c r="Z1450" s="80"/>
      <c r="AA1450" s="82"/>
      <c r="AB1450" s="80"/>
      <c r="AC1450" s="80"/>
      <c r="AD1450" s="80"/>
      <c r="AE1450" s="80"/>
      <c r="AF1450" s="82"/>
      <c r="AG1450" s="80"/>
      <c r="AH1450" s="80"/>
      <c r="AI1450" s="82"/>
      <c r="AJ1450" s="79"/>
      <c r="AK1450" s="78" t="str">
        <f aca="false">IF(E1450="","",(X1450&lt;&gt;"")+(AC1450&lt;&gt;"")+(AH1450&lt;&gt;""))</f>
        <v/>
      </c>
      <c r="AL1450" s="81" t="str">
        <f aca="false">IF(AH1450&lt;&gt;"",AH1450,IF(AC1450&lt;&gt;"",AC1450,IF(X1450&lt;&gt;"",X1450,"")))</f>
        <v/>
      </c>
      <c r="AM1450" s="83" t="str">
        <f aca="false">IF(E1450="","",IF(R1450="","À SOUDER",IF(U1450="","VT EN ATTENTE",IF(U1450="R","VT REJETÉ – À REPRENDRE",IF(AL1450="","À RADIOGRAPHIER",IF(AL1450="A","ACCEPTÉ",IF(AL1450="NX","NX – RT À REFAIRE",IF(IF(AK1450=1,Z1450,IF(AK1450=2,AE1450,""))="A","RÉPARÉ – À RADIOGRAPHIER",IF(IF(AK1450=1,Z1450,IF(AK1450=2,AE1450,""))="R","VT REJETÉ – À REPRENDRE",IF(OR(AL1450="CO",AL1450="NT"),"COUPE – À RESOUDER","À RÉPARER"))))))))))</f>
        <v/>
      </c>
      <c r="AN1450" s="81" t="str">
        <f aca="false">IF(AND(ISNUMBER(R1450),OR(AM1450="À RADIOGRAPHIER",AM1450="RÉPARÉ – À RADIOGRAPHIER",AM1450="NX – RT À REFAIRE",AM1450="À RÉPARER",AM1450="COUPE – À RESOUDER",AM1450="VT REJETÉ – À REPRENDRE")),MAX(0,'PROGRAMME RT'!$C$4-R1450),"")</f>
        <v/>
      </c>
      <c r="AO1450" s="78" t="n">
        <f aca="false">IF(AND(OR(AM1450="À RADIOGRAPHIER",AM1450="RÉPARÉ – À RADIOGRAPHIER",AM1450="NX – RT À REFAIRE"),OR('PROGRAMME RT'!$D$5="TOUTES",B1450='PROGRAMME RT'!$D$5)),1,0)</f>
        <v>0</v>
      </c>
      <c r="AP1450" s="78" t="str">
        <f aca="false">IF(AO1450=1,SUM(AO$7:AO1450),"")</f>
        <v/>
      </c>
      <c r="AQ1450" s="78" t="n">
        <f aca="false">IF(AND(OR(X1450="R",X1450="NX",X1450="NT",X1450="CO"),OR('JOINTS DE RÉPARATION'!$D$5="TOUTES",B1450='JOINTS DE RÉPARATION'!$D$5),OR('JOINTS DE RÉPARATION'!$L$4="TOUS",AM1450&lt;&gt;"ACCEPTÉ")),1,0)</f>
        <v>0</v>
      </c>
      <c r="AR1450" s="78" t="str">
        <f aca="false">IF(AQ1450=1,SUM(AQ$7:AQ1450),"")</f>
        <v/>
      </c>
    </row>
    <row r="1451" customFormat="false" ht="15" hidden="false" customHeight="false" outlineLevel="0" collapsed="false">
      <c r="A1451" s="78" t="str">
        <f aca="false">IF(E1451="","",ROW()-6)</f>
        <v/>
      </c>
      <c r="B1451" s="79"/>
      <c r="C1451" s="80"/>
      <c r="D1451" s="80"/>
      <c r="E1451" s="80"/>
      <c r="F1451" s="80"/>
      <c r="G1451" s="80"/>
      <c r="H1451" s="80"/>
      <c r="I1451" s="80"/>
      <c r="J1451" s="80"/>
      <c r="K1451" s="80"/>
      <c r="L1451" s="81" t="str">
        <f aca="false">IF(K1451="","",IFERROR(INDEX(BARDAGE!$C$7:$C$1506,MATCH(K1451,BARDAGE!$B$7:$B$1506,0)),"? hors registre"))</f>
        <v/>
      </c>
      <c r="M1451" s="80"/>
      <c r="N1451" s="81" t="str">
        <f aca="false">IF(M1451="","",IFERROR(INDEX(BARDAGE!$C$7:$C$1506,MATCH(M1451,BARDAGE!$B$7:$B$1506,0)),"? hors registre"))</f>
        <v/>
      </c>
      <c r="O1451" s="80"/>
      <c r="P1451" s="80"/>
      <c r="Q1451" s="80"/>
      <c r="R1451" s="82"/>
      <c r="S1451" s="82"/>
      <c r="T1451" s="80"/>
      <c r="U1451" s="80"/>
      <c r="V1451" s="82"/>
      <c r="W1451" s="80"/>
      <c r="X1451" s="80"/>
      <c r="Y1451" s="80"/>
      <c r="Z1451" s="80"/>
      <c r="AA1451" s="82"/>
      <c r="AB1451" s="80"/>
      <c r="AC1451" s="80"/>
      <c r="AD1451" s="80"/>
      <c r="AE1451" s="80"/>
      <c r="AF1451" s="82"/>
      <c r="AG1451" s="80"/>
      <c r="AH1451" s="80"/>
      <c r="AI1451" s="82"/>
      <c r="AJ1451" s="79"/>
      <c r="AK1451" s="78" t="str">
        <f aca="false">IF(E1451="","",(X1451&lt;&gt;"")+(AC1451&lt;&gt;"")+(AH1451&lt;&gt;""))</f>
        <v/>
      </c>
      <c r="AL1451" s="81" t="str">
        <f aca="false">IF(AH1451&lt;&gt;"",AH1451,IF(AC1451&lt;&gt;"",AC1451,IF(X1451&lt;&gt;"",X1451,"")))</f>
        <v/>
      </c>
      <c r="AM1451" s="83" t="str">
        <f aca="false">IF(E1451="","",IF(R1451="","À SOUDER",IF(U1451="","VT EN ATTENTE",IF(U1451="R","VT REJETÉ – À REPRENDRE",IF(AL1451="","À RADIOGRAPHIER",IF(AL1451="A","ACCEPTÉ",IF(AL1451="NX","NX – RT À REFAIRE",IF(IF(AK1451=1,Z1451,IF(AK1451=2,AE1451,""))="A","RÉPARÉ – À RADIOGRAPHIER",IF(IF(AK1451=1,Z1451,IF(AK1451=2,AE1451,""))="R","VT REJETÉ – À REPRENDRE",IF(OR(AL1451="CO",AL1451="NT"),"COUPE – À RESOUDER","À RÉPARER"))))))))))</f>
        <v/>
      </c>
      <c r="AN1451" s="81" t="str">
        <f aca="false">IF(AND(ISNUMBER(R1451),OR(AM1451="À RADIOGRAPHIER",AM1451="RÉPARÉ – À RADIOGRAPHIER",AM1451="NX – RT À REFAIRE",AM1451="À RÉPARER",AM1451="COUPE – À RESOUDER",AM1451="VT REJETÉ – À REPRENDRE")),MAX(0,'PROGRAMME RT'!$C$4-R1451),"")</f>
        <v/>
      </c>
      <c r="AO1451" s="78" t="n">
        <f aca="false">IF(AND(OR(AM1451="À RADIOGRAPHIER",AM1451="RÉPARÉ – À RADIOGRAPHIER",AM1451="NX – RT À REFAIRE"),OR('PROGRAMME RT'!$D$5="TOUTES",B1451='PROGRAMME RT'!$D$5)),1,0)</f>
        <v>0</v>
      </c>
      <c r="AP1451" s="78" t="str">
        <f aca="false">IF(AO1451=1,SUM(AO$7:AO1451),"")</f>
        <v/>
      </c>
      <c r="AQ1451" s="78" t="n">
        <f aca="false">IF(AND(OR(X1451="R",X1451="NX",X1451="NT",X1451="CO"),OR('JOINTS DE RÉPARATION'!$D$5="TOUTES",B1451='JOINTS DE RÉPARATION'!$D$5),OR('JOINTS DE RÉPARATION'!$L$4="TOUS",AM1451&lt;&gt;"ACCEPTÉ")),1,0)</f>
        <v>0</v>
      </c>
      <c r="AR1451" s="78" t="str">
        <f aca="false">IF(AQ1451=1,SUM(AQ$7:AQ1451),"")</f>
        <v/>
      </c>
    </row>
    <row r="1452" customFormat="false" ht="15" hidden="false" customHeight="false" outlineLevel="0" collapsed="false">
      <c r="A1452" s="78" t="str">
        <f aca="false">IF(E1452="","",ROW()-6)</f>
        <v/>
      </c>
      <c r="B1452" s="79"/>
      <c r="C1452" s="80"/>
      <c r="D1452" s="80"/>
      <c r="E1452" s="80"/>
      <c r="F1452" s="80"/>
      <c r="G1452" s="80"/>
      <c r="H1452" s="80"/>
      <c r="I1452" s="80"/>
      <c r="J1452" s="80"/>
      <c r="K1452" s="80"/>
      <c r="L1452" s="81" t="str">
        <f aca="false">IF(K1452="","",IFERROR(INDEX(BARDAGE!$C$7:$C$1506,MATCH(K1452,BARDAGE!$B$7:$B$1506,0)),"? hors registre"))</f>
        <v/>
      </c>
      <c r="M1452" s="80"/>
      <c r="N1452" s="81" t="str">
        <f aca="false">IF(M1452="","",IFERROR(INDEX(BARDAGE!$C$7:$C$1506,MATCH(M1452,BARDAGE!$B$7:$B$1506,0)),"? hors registre"))</f>
        <v/>
      </c>
      <c r="O1452" s="80"/>
      <c r="P1452" s="80"/>
      <c r="Q1452" s="80"/>
      <c r="R1452" s="82"/>
      <c r="S1452" s="82"/>
      <c r="T1452" s="80"/>
      <c r="U1452" s="80"/>
      <c r="V1452" s="82"/>
      <c r="W1452" s="80"/>
      <c r="X1452" s="80"/>
      <c r="Y1452" s="80"/>
      <c r="Z1452" s="80"/>
      <c r="AA1452" s="82"/>
      <c r="AB1452" s="80"/>
      <c r="AC1452" s="80"/>
      <c r="AD1452" s="80"/>
      <c r="AE1452" s="80"/>
      <c r="AF1452" s="82"/>
      <c r="AG1452" s="80"/>
      <c r="AH1452" s="80"/>
      <c r="AI1452" s="82"/>
      <c r="AJ1452" s="79"/>
      <c r="AK1452" s="78" t="str">
        <f aca="false">IF(E1452="","",(X1452&lt;&gt;"")+(AC1452&lt;&gt;"")+(AH1452&lt;&gt;""))</f>
        <v/>
      </c>
      <c r="AL1452" s="81" t="str">
        <f aca="false">IF(AH1452&lt;&gt;"",AH1452,IF(AC1452&lt;&gt;"",AC1452,IF(X1452&lt;&gt;"",X1452,"")))</f>
        <v/>
      </c>
      <c r="AM1452" s="83" t="str">
        <f aca="false">IF(E1452="","",IF(R1452="","À SOUDER",IF(U1452="","VT EN ATTENTE",IF(U1452="R","VT REJETÉ – À REPRENDRE",IF(AL1452="","À RADIOGRAPHIER",IF(AL1452="A","ACCEPTÉ",IF(AL1452="NX","NX – RT À REFAIRE",IF(IF(AK1452=1,Z1452,IF(AK1452=2,AE1452,""))="A","RÉPARÉ – À RADIOGRAPHIER",IF(IF(AK1452=1,Z1452,IF(AK1452=2,AE1452,""))="R","VT REJETÉ – À REPRENDRE",IF(OR(AL1452="CO",AL1452="NT"),"COUPE – À RESOUDER","À RÉPARER"))))))))))</f>
        <v/>
      </c>
      <c r="AN1452" s="81" t="str">
        <f aca="false">IF(AND(ISNUMBER(R1452),OR(AM1452="À RADIOGRAPHIER",AM1452="RÉPARÉ – À RADIOGRAPHIER",AM1452="NX – RT À REFAIRE",AM1452="À RÉPARER",AM1452="COUPE – À RESOUDER",AM1452="VT REJETÉ – À REPRENDRE")),MAX(0,'PROGRAMME RT'!$C$4-R1452),"")</f>
        <v/>
      </c>
      <c r="AO1452" s="78" t="n">
        <f aca="false">IF(AND(OR(AM1452="À RADIOGRAPHIER",AM1452="RÉPARÉ – À RADIOGRAPHIER",AM1452="NX – RT À REFAIRE"),OR('PROGRAMME RT'!$D$5="TOUTES",B1452='PROGRAMME RT'!$D$5)),1,0)</f>
        <v>0</v>
      </c>
      <c r="AP1452" s="78" t="str">
        <f aca="false">IF(AO1452=1,SUM(AO$7:AO1452),"")</f>
        <v/>
      </c>
      <c r="AQ1452" s="78" t="n">
        <f aca="false">IF(AND(OR(X1452="R",X1452="NX",X1452="NT",X1452="CO"),OR('JOINTS DE RÉPARATION'!$D$5="TOUTES",B1452='JOINTS DE RÉPARATION'!$D$5),OR('JOINTS DE RÉPARATION'!$L$4="TOUS",AM1452&lt;&gt;"ACCEPTÉ")),1,0)</f>
        <v>0</v>
      </c>
      <c r="AR1452" s="78" t="str">
        <f aca="false">IF(AQ1452=1,SUM(AQ$7:AQ1452),"")</f>
        <v/>
      </c>
    </row>
    <row r="1453" customFormat="false" ht="15" hidden="false" customHeight="false" outlineLevel="0" collapsed="false">
      <c r="A1453" s="78" t="str">
        <f aca="false">IF(E1453="","",ROW()-6)</f>
        <v/>
      </c>
      <c r="B1453" s="79"/>
      <c r="C1453" s="80"/>
      <c r="D1453" s="80"/>
      <c r="E1453" s="80"/>
      <c r="F1453" s="80"/>
      <c r="G1453" s="80"/>
      <c r="H1453" s="80"/>
      <c r="I1453" s="80"/>
      <c r="J1453" s="80"/>
      <c r="K1453" s="80"/>
      <c r="L1453" s="81" t="str">
        <f aca="false">IF(K1453="","",IFERROR(INDEX(BARDAGE!$C$7:$C$1506,MATCH(K1453,BARDAGE!$B$7:$B$1506,0)),"? hors registre"))</f>
        <v/>
      </c>
      <c r="M1453" s="80"/>
      <c r="N1453" s="81" t="str">
        <f aca="false">IF(M1453="","",IFERROR(INDEX(BARDAGE!$C$7:$C$1506,MATCH(M1453,BARDAGE!$B$7:$B$1506,0)),"? hors registre"))</f>
        <v/>
      </c>
      <c r="O1453" s="80"/>
      <c r="P1453" s="80"/>
      <c r="Q1453" s="80"/>
      <c r="R1453" s="82"/>
      <c r="S1453" s="82"/>
      <c r="T1453" s="80"/>
      <c r="U1453" s="80"/>
      <c r="V1453" s="82"/>
      <c r="W1453" s="80"/>
      <c r="X1453" s="80"/>
      <c r="Y1453" s="80"/>
      <c r="Z1453" s="80"/>
      <c r="AA1453" s="82"/>
      <c r="AB1453" s="80"/>
      <c r="AC1453" s="80"/>
      <c r="AD1453" s="80"/>
      <c r="AE1453" s="80"/>
      <c r="AF1453" s="82"/>
      <c r="AG1453" s="80"/>
      <c r="AH1453" s="80"/>
      <c r="AI1453" s="82"/>
      <c r="AJ1453" s="79"/>
      <c r="AK1453" s="78" t="str">
        <f aca="false">IF(E1453="","",(X1453&lt;&gt;"")+(AC1453&lt;&gt;"")+(AH1453&lt;&gt;""))</f>
        <v/>
      </c>
      <c r="AL1453" s="81" t="str">
        <f aca="false">IF(AH1453&lt;&gt;"",AH1453,IF(AC1453&lt;&gt;"",AC1453,IF(X1453&lt;&gt;"",X1453,"")))</f>
        <v/>
      </c>
      <c r="AM1453" s="83" t="str">
        <f aca="false">IF(E1453="","",IF(R1453="","À SOUDER",IF(U1453="","VT EN ATTENTE",IF(U1453="R","VT REJETÉ – À REPRENDRE",IF(AL1453="","À RADIOGRAPHIER",IF(AL1453="A","ACCEPTÉ",IF(AL1453="NX","NX – RT À REFAIRE",IF(IF(AK1453=1,Z1453,IF(AK1453=2,AE1453,""))="A","RÉPARÉ – À RADIOGRAPHIER",IF(IF(AK1453=1,Z1453,IF(AK1453=2,AE1453,""))="R","VT REJETÉ – À REPRENDRE",IF(OR(AL1453="CO",AL1453="NT"),"COUPE – À RESOUDER","À RÉPARER"))))))))))</f>
        <v/>
      </c>
      <c r="AN1453" s="81" t="str">
        <f aca="false">IF(AND(ISNUMBER(R1453),OR(AM1453="À RADIOGRAPHIER",AM1453="RÉPARÉ – À RADIOGRAPHIER",AM1453="NX – RT À REFAIRE",AM1453="À RÉPARER",AM1453="COUPE – À RESOUDER",AM1453="VT REJETÉ – À REPRENDRE")),MAX(0,'PROGRAMME RT'!$C$4-R1453),"")</f>
        <v/>
      </c>
      <c r="AO1453" s="78" t="n">
        <f aca="false">IF(AND(OR(AM1453="À RADIOGRAPHIER",AM1453="RÉPARÉ – À RADIOGRAPHIER",AM1453="NX – RT À REFAIRE"),OR('PROGRAMME RT'!$D$5="TOUTES",B1453='PROGRAMME RT'!$D$5)),1,0)</f>
        <v>0</v>
      </c>
      <c r="AP1453" s="78" t="str">
        <f aca="false">IF(AO1453=1,SUM(AO$7:AO1453),"")</f>
        <v/>
      </c>
      <c r="AQ1453" s="78" t="n">
        <f aca="false">IF(AND(OR(X1453="R",X1453="NX",X1453="NT",X1453="CO"),OR('JOINTS DE RÉPARATION'!$D$5="TOUTES",B1453='JOINTS DE RÉPARATION'!$D$5),OR('JOINTS DE RÉPARATION'!$L$4="TOUS",AM1453&lt;&gt;"ACCEPTÉ")),1,0)</f>
        <v>0</v>
      </c>
      <c r="AR1453" s="78" t="str">
        <f aca="false">IF(AQ1453=1,SUM(AQ$7:AQ1453),"")</f>
        <v/>
      </c>
    </row>
    <row r="1454" customFormat="false" ht="15" hidden="false" customHeight="false" outlineLevel="0" collapsed="false">
      <c r="A1454" s="78" t="str">
        <f aca="false">IF(E1454="","",ROW()-6)</f>
        <v/>
      </c>
      <c r="B1454" s="79"/>
      <c r="C1454" s="80"/>
      <c r="D1454" s="80"/>
      <c r="E1454" s="80"/>
      <c r="F1454" s="80"/>
      <c r="G1454" s="80"/>
      <c r="H1454" s="80"/>
      <c r="I1454" s="80"/>
      <c r="J1454" s="80"/>
      <c r="K1454" s="80"/>
      <c r="L1454" s="81" t="str">
        <f aca="false">IF(K1454="","",IFERROR(INDEX(BARDAGE!$C$7:$C$1506,MATCH(K1454,BARDAGE!$B$7:$B$1506,0)),"? hors registre"))</f>
        <v/>
      </c>
      <c r="M1454" s="80"/>
      <c r="N1454" s="81" t="str">
        <f aca="false">IF(M1454="","",IFERROR(INDEX(BARDAGE!$C$7:$C$1506,MATCH(M1454,BARDAGE!$B$7:$B$1506,0)),"? hors registre"))</f>
        <v/>
      </c>
      <c r="O1454" s="80"/>
      <c r="P1454" s="80"/>
      <c r="Q1454" s="80"/>
      <c r="R1454" s="82"/>
      <c r="S1454" s="82"/>
      <c r="T1454" s="80"/>
      <c r="U1454" s="80"/>
      <c r="V1454" s="82"/>
      <c r="W1454" s="80"/>
      <c r="X1454" s="80"/>
      <c r="Y1454" s="80"/>
      <c r="Z1454" s="80"/>
      <c r="AA1454" s="82"/>
      <c r="AB1454" s="80"/>
      <c r="AC1454" s="80"/>
      <c r="AD1454" s="80"/>
      <c r="AE1454" s="80"/>
      <c r="AF1454" s="82"/>
      <c r="AG1454" s="80"/>
      <c r="AH1454" s="80"/>
      <c r="AI1454" s="82"/>
      <c r="AJ1454" s="79"/>
      <c r="AK1454" s="78" t="str">
        <f aca="false">IF(E1454="","",(X1454&lt;&gt;"")+(AC1454&lt;&gt;"")+(AH1454&lt;&gt;""))</f>
        <v/>
      </c>
      <c r="AL1454" s="81" t="str">
        <f aca="false">IF(AH1454&lt;&gt;"",AH1454,IF(AC1454&lt;&gt;"",AC1454,IF(X1454&lt;&gt;"",X1454,"")))</f>
        <v/>
      </c>
      <c r="AM1454" s="83" t="str">
        <f aca="false">IF(E1454="","",IF(R1454="","À SOUDER",IF(U1454="","VT EN ATTENTE",IF(U1454="R","VT REJETÉ – À REPRENDRE",IF(AL1454="","À RADIOGRAPHIER",IF(AL1454="A","ACCEPTÉ",IF(AL1454="NX","NX – RT À REFAIRE",IF(IF(AK1454=1,Z1454,IF(AK1454=2,AE1454,""))="A","RÉPARÉ – À RADIOGRAPHIER",IF(IF(AK1454=1,Z1454,IF(AK1454=2,AE1454,""))="R","VT REJETÉ – À REPRENDRE",IF(OR(AL1454="CO",AL1454="NT"),"COUPE – À RESOUDER","À RÉPARER"))))))))))</f>
        <v/>
      </c>
      <c r="AN1454" s="81" t="str">
        <f aca="false">IF(AND(ISNUMBER(R1454),OR(AM1454="À RADIOGRAPHIER",AM1454="RÉPARÉ – À RADIOGRAPHIER",AM1454="NX – RT À REFAIRE",AM1454="À RÉPARER",AM1454="COUPE – À RESOUDER",AM1454="VT REJETÉ – À REPRENDRE")),MAX(0,'PROGRAMME RT'!$C$4-R1454),"")</f>
        <v/>
      </c>
      <c r="AO1454" s="78" t="n">
        <f aca="false">IF(AND(OR(AM1454="À RADIOGRAPHIER",AM1454="RÉPARÉ – À RADIOGRAPHIER",AM1454="NX – RT À REFAIRE"),OR('PROGRAMME RT'!$D$5="TOUTES",B1454='PROGRAMME RT'!$D$5)),1,0)</f>
        <v>0</v>
      </c>
      <c r="AP1454" s="78" t="str">
        <f aca="false">IF(AO1454=1,SUM(AO$7:AO1454),"")</f>
        <v/>
      </c>
      <c r="AQ1454" s="78" t="n">
        <f aca="false">IF(AND(OR(X1454="R",X1454="NX",X1454="NT",X1454="CO"),OR('JOINTS DE RÉPARATION'!$D$5="TOUTES",B1454='JOINTS DE RÉPARATION'!$D$5),OR('JOINTS DE RÉPARATION'!$L$4="TOUS",AM1454&lt;&gt;"ACCEPTÉ")),1,0)</f>
        <v>0</v>
      </c>
      <c r="AR1454" s="78" t="str">
        <f aca="false">IF(AQ1454=1,SUM(AQ$7:AQ1454),"")</f>
        <v/>
      </c>
    </row>
    <row r="1455" customFormat="false" ht="15" hidden="false" customHeight="false" outlineLevel="0" collapsed="false">
      <c r="A1455" s="78" t="str">
        <f aca="false">IF(E1455="","",ROW()-6)</f>
        <v/>
      </c>
      <c r="B1455" s="79"/>
      <c r="C1455" s="80"/>
      <c r="D1455" s="80"/>
      <c r="E1455" s="80"/>
      <c r="F1455" s="80"/>
      <c r="G1455" s="80"/>
      <c r="H1455" s="80"/>
      <c r="I1455" s="80"/>
      <c r="J1455" s="80"/>
      <c r="K1455" s="80"/>
      <c r="L1455" s="81" t="str">
        <f aca="false">IF(K1455="","",IFERROR(INDEX(BARDAGE!$C$7:$C$1506,MATCH(K1455,BARDAGE!$B$7:$B$1506,0)),"? hors registre"))</f>
        <v/>
      </c>
      <c r="M1455" s="80"/>
      <c r="N1455" s="81" t="str">
        <f aca="false">IF(M1455="","",IFERROR(INDEX(BARDAGE!$C$7:$C$1506,MATCH(M1455,BARDAGE!$B$7:$B$1506,0)),"? hors registre"))</f>
        <v/>
      </c>
      <c r="O1455" s="80"/>
      <c r="P1455" s="80"/>
      <c r="Q1455" s="80"/>
      <c r="R1455" s="82"/>
      <c r="S1455" s="82"/>
      <c r="T1455" s="80"/>
      <c r="U1455" s="80"/>
      <c r="V1455" s="82"/>
      <c r="W1455" s="80"/>
      <c r="X1455" s="80"/>
      <c r="Y1455" s="80"/>
      <c r="Z1455" s="80"/>
      <c r="AA1455" s="82"/>
      <c r="AB1455" s="80"/>
      <c r="AC1455" s="80"/>
      <c r="AD1455" s="80"/>
      <c r="AE1455" s="80"/>
      <c r="AF1455" s="82"/>
      <c r="AG1455" s="80"/>
      <c r="AH1455" s="80"/>
      <c r="AI1455" s="82"/>
      <c r="AJ1455" s="79"/>
      <c r="AK1455" s="78" t="str">
        <f aca="false">IF(E1455="","",(X1455&lt;&gt;"")+(AC1455&lt;&gt;"")+(AH1455&lt;&gt;""))</f>
        <v/>
      </c>
      <c r="AL1455" s="81" t="str">
        <f aca="false">IF(AH1455&lt;&gt;"",AH1455,IF(AC1455&lt;&gt;"",AC1455,IF(X1455&lt;&gt;"",X1455,"")))</f>
        <v/>
      </c>
      <c r="AM1455" s="83" t="str">
        <f aca="false">IF(E1455="","",IF(R1455="","À SOUDER",IF(U1455="","VT EN ATTENTE",IF(U1455="R","VT REJETÉ – À REPRENDRE",IF(AL1455="","À RADIOGRAPHIER",IF(AL1455="A","ACCEPTÉ",IF(AL1455="NX","NX – RT À REFAIRE",IF(IF(AK1455=1,Z1455,IF(AK1455=2,AE1455,""))="A","RÉPARÉ – À RADIOGRAPHIER",IF(IF(AK1455=1,Z1455,IF(AK1455=2,AE1455,""))="R","VT REJETÉ – À REPRENDRE",IF(OR(AL1455="CO",AL1455="NT"),"COUPE – À RESOUDER","À RÉPARER"))))))))))</f>
        <v/>
      </c>
      <c r="AN1455" s="81" t="str">
        <f aca="false">IF(AND(ISNUMBER(R1455),OR(AM1455="À RADIOGRAPHIER",AM1455="RÉPARÉ – À RADIOGRAPHIER",AM1455="NX – RT À REFAIRE",AM1455="À RÉPARER",AM1455="COUPE – À RESOUDER",AM1455="VT REJETÉ – À REPRENDRE")),MAX(0,'PROGRAMME RT'!$C$4-R1455),"")</f>
        <v/>
      </c>
      <c r="AO1455" s="78" t="n">
        <f aca="false">IF(AND(OR(AM1455="À RADIOGRAPHIER",AM1455="RÉPARÉ – À RADIOGRAPHIER",AM1455="NX – RT À REFAIRE"),OR('PROGRAMME RT'!$D$5="TOUTES",B1455='PROGRAMME RT'!$D$5)),1,0)</f>
        <v>0</v>
      </c>
      <c r="AP1455" s="78" t="str">
        <f aca="false">IF(AO1455=1,SUM(AO$7:AO1455),"")</f>
        <v/>
      </c>
      <c r="AQ1455" s="78" t="n">
        <f aca="false">IF(AND(OR(X1455="R",X1455="NX",X1455="NT",X1455="CO"),OR('JOINTS DE RÉPARATION'!$D$5="TOUTES",B1455='JOINTS DE RÉPARATION'!$D$5),OR('JOINTS DE RÉPARATION'!$L$4="TOUS",AM1455&lt;&gt;"ACCEPTÉ")),1,0)</f>
        <v>0</v>
      </c>
      <c r="AR1455" s="78" t="str">
        <f aca="false">IF(AQ1455=1,SUM(AQ$7:AQ1455),"")</f>
        <v/>
      </c>
    </row>
    <row r="1456" customFormat="false" ht="15" hidden="false" customHeight="false" outlineLevel="0" collapsed="false">
      <c r="A1456" s="78" t="str">
        <f aca="false">IF(E1456="","",ROW()-6)</f>
        <v/>
      </c>
      <c r="B1456" s="79"/>
      <c r="C1456" s="80"/>
      <c r="D1456" s="80"/>
      <c r="E1456" s="80"/>
      <c r="F1456" s="80"/>
      <c r="G1456" s="80"/>
      <c r="H1456" s="80"/>
      <c r="I1456" s="80"/>
      <c r="J1456" s="80"/>
      <c r="K1456" s="80"/>
      <c r="L1456" s="81" t="str">
        <f aca="false">IF(K1456="","",IFERROR(INDEX(BARDAGE!$C$7:$C$1506,MATCH(K1456,BARDAGE!$B$7:$B$1506,0)),"? hors registre"))</f>
        <v/>
      </c>
      <c r="M1456" s="80"/>
      <c r="N1456" s="81" t="str">
        <f aca="false">IF(M1456="","",IFERROR(INDEX(BARDAGE!$C$7:$C$1506,MATCH(M1456,BARDAGE!$B$7:$B$1506,0)),"? hors registre"))</f>
        <v/>
      </c>
      <c r="O1456" s="80"/>
      <c r="P1456" s="80"/>
      <c r="Q1456" s="80"/>
      <c r="R1456" s="82"/>
      <c r="S1456" s="82"/>
      <c r="T1456" s="80"/>
      <c r="U1456" s="80"/>
      <c r="V1456" s="82"/>
      <c r="W1456" s="80"/>
      <c r="X1456" s="80"/>
      <c r="Y1456" s="80"/>
      <c r="Z1456" s="80"/>
      <c r="AA1456" s="82"/>
      <c r="AB1456" s="80"/>
      <c r="AC1456" s="80"/>
      <c r="AD1456" s="80"/>
      <c r="AE1456" s="80"/>
      <c r="AF1456" s="82"/>
      <c r="AG1456" s="80"/>
      <c r="AH1456" s="80"/>
      <c r="AI1456" s="82"/>
      <c r="AJ1456" s="79"/>
      <c r="AK1456" s="78" t="str">
        <f aca="false">IF(E1456="","",(X1456&lt;&gt;"")+(AC1456&lt;&gt;"")+(AH1456&lt;&gt;""))</f>
        <v/>
      </c>
      <c r="AL1456" s="81" t="str">
        <f aca="false">IF(AH1456&lt;&gt;"",AH1456,IF(AC1456&lt;&gt;"",AC1456,IF(X1456&lt;&gt;"",X1456,"")))</f>
        <v/>
      </c>
      <c r="AM1456" s="83" t="str">
        <f aca="false">IF(E1456="","",IF(R1456="","À SOUDER",IF(U1456="","VT EN ATTENTE",IF(U1456="R","VT REJETÉ – À REPRENDRE",IF(AL1456="","À RADIOGRAPHIER",IF(AL1456="A","ACCEPTÉ",IF(AL1456="NX","NX – RT À REFAIRE",IF(IF(AK1456=1,Z1456,IF(AK1456=2,AE1456,""))="A","RÉPARÉ – À RADIOGRAPHIER",IF(IF(AK1456=1,Z1456,IF(AK1456=2,AE1456,""))="R","VT REJETÉ – À REPRENDRE",IF(OR(AL1456="CO",AL1456="NT"),"COUPE – À RESOUDER","À RÉPARER"))))))))))</f>
        <v/>
      </c>
      <c r="AN1456" s="81" t="str">
        <f aca="false">IF(AND(ISNUMBER(R1456),OR(AM1456="À RADIOGRAPHIER",AM1456="RÉPARÉ – À RADIOGRAPHIER",AM1456="NX – RT À REFAIRE",AM1456="À RÉPARER",AM1456="COUPE – À RESOUDER",AM1456="VT REJETÉ – À REPRENDRE")),MAX(0,'PROGRAMME RT'!$C$4-R1456),"")</f>
        <v/>
      </c>
      <c r="AO1456" s="78" t="n">
        <f aca="false">IF(AND(OR(AM1456="À RADIOGRAPHIER",AM1456="RÉPARÉ – À RADIOGRAPHIER",AM1456="NX – RT À REFAIRE"),OR('PROGRAMME RT'!$D$5="TOUTES",B1456='PROGRAMME RT'!$D$5)),1,0)</f>
        <v>0</v>
      </c>
      <c r="AP1456" s="78" t="str">
        <f aca="false">IF(AO1456=1,SUM(AO$7:AO1456),"")</f>
        <v/>
      </c>
      <c r="AQ1456" s="78" t="n">
        <f aca="false">IF(AND(OR(X1456="R",X1456="NX",X1456="NT",X1456="CO"),OR('JOINTS DE RÉPARATION'!$D$5="TOUTES",B1456='JOINTS DE RÉPARATION'!$D$5),OR('JOINTS DE RÉPARATION'!$L$4="TOUS",AM1456&lt;&gt;"ACCEPTÉ")),1,0)</f>
        <v>0</v>
      </c>
      <c r="AR1456" s="78" t="str">
        <f aca="false">IF(AQ1456=1,SUM(AQ$7:AQ1456),"")</f>
        <v/>
      </c>
    </row>
    <row r="1457" customFormat="false" ht="15" hidden="false" customHeight="false" outlineLevel="0" collapsed="false">
      <c r="A1457" s="78" t="str">
        <f aca="false">IF(E1457="","",ROW()-6)</f>
        <v/>
      </c>
      <c r="B1457" s="79"/>
      <c r="C1457" s="80"/>
      <c r="D1457" s="80"/>
      <c r="E1457" s="80"/>
      <c r="F1457" s="80"/>
      <c r="G1457" s="80"/>
      <c r="H1457" s="80"/>
      <c r="I1457" s="80"/>
      <c r="J1457" s="80"/>
      <c r="K1457" s="80"/>
      <c r="L1457" s="81" t="str">
        <f aca="false">IF(K1457="","",IFERROR(INDEX(BARDAGE!$C$7:$C$1506,MATCH(K1457,BARDAGE!$B$7:$B$1506,0)),"? hors registre"))</f>
        <v/>
      </c>
      <c r="M1457" s="80"/>
      <c r="N1457" s="81" t="str">
        <f aca="false">IF(M1457="","",IFERROR(INDEX(BARDAGE!$C$7:$C$1506,MATCH(M1457,BARDAGE!$B$7:$B$1506,0)),"? hors registre"))</f>
        <v/>
      </c>
      <c r="O1457" s="80"/>
      <c r="P1457" s="80"/>
      <c r="Q1457" s="80"/>
      <c r="R1457" s="82"/>
      <c r="S1457" s="82"/>
      <c r="T1457" s="80"/>
      <c r="U1457" s="80"/>
      <c r="V1457" s="82"/>
      <c r="W1457" s="80"/>
      <c r="X1457" s="80"/>
      <c r="Y1457" s="80"/>
      <c r="Z1457" s="80"/>
      <c r="AA1457" s="82"/>
      <c r="AB1457" s="80"/>
      <c r="AC1457" s="80"/>
      <c r="AD1457" s="80"/>
      <c r="AE1457" s="80"/>
      <c r="AF1457" s="82"/>
      <c r="AG1457" s="80"/>
      <c r="AH1457" s="80"/>
      <c r="AI1457" s="82"/>
      <c r="AJ1457" s="79"/>
      <c r="AK1457" s="78" t="str">
        <f aca="false">IF(E1457="","",(X1457&lt;&gt;"")+(AC1457&lt;&gt;"")+(AH1457&lt;&gt;""))</f>
        <v/>
      </c>
      <c r="AL1457" s="81" t="str">
        <f aca="false">IF(AH1457&lt;&gt;"",AH1457,IF(AC1457&lt;&gt;"",AC1457,IF(X1457&lt;&gt;"",X1457,"")))</f>
        <v/>
      </c>
      <c r="AM1457" s="83" t="str">
        <f aca="false">IF(E1457="","",IF(R1457="","À SOUDER",IF(U1457="","VT EN ATTENTE",IF(U1457="R","VT REJETÉ – À REPRENDRE",IF(AL1457="","À RADIOGRAPHIER",IF(AL1457="A","ACCEPTÉ",IF(AL1457="NX","NX – RT À REFAIRE",IF(IF(AK1457=1,Z1457,IF(AK1457=2,AE1457,""))="A","RÉPARÉ – À RADIOGRAPHIER",IF(IF(AK1457=1,Z1457,IF(AK1457=2,AE1457,""))="R","VT REJETÉ – À REPRENDRE",IF(OR(AL1457="CO",AL1457="NT"),"COUPE – À RESOUDER","À RÉPARER"))))))))))</f>
        <v/>
      </c>
      <c r="AN1457" s="81" t="str">
        <f aca="false">IF(AND(ISNUMBER(R1457),OR(AM1457="À RADIOGRAPHIER",AM1457="RÉPARÉ – À RADIOGRAPHIER",AM1457="NX – RT À REFAIRE",AM1457="À RÉPARER",AM1457="COUPE – À RESOUDER",AM1457="VT REJETÉ – À REPRENDRE")),MAX(0,'PROGRAMME RT'!$C$4-R1457),"")</f>
        <v/>
      </c>
      <c r="AO1457" s="78" t="n">
        <f aca="false">IF(AND(OR(AM1457="À RADIOGRAPHIER",AM1457="RÉPARÉ – À RADIOGRAPHIER",AM1457="NX – RT À REFAIRE"),OR('PROGRAMME RT'!$D$5="TOUTES",B1457='PROGRAMME RT'!$D$5)),1,0)</f>
        <v>0</v>
      </c>
      <c r="AP1457" s="78" t="str">
        <f aca="false">IF(AO1457=1,SUM(AO$7:AO1457),"")</f>
        <v/>
      </c>
      <c r="AQ1457" s="78" t="n">
        <f aca="false">IF(AND(OR(X1457="R",X1457="NX",X1457="NT",X1457="CO"),OR('JOINTS DE RÉPARATION'!$D$5="TOUTES",B1457='JOINTS DE RÉPARATION'!$D$5),OR('JOINTS DE RÉPARATION'!$L$4="TOUS",AM1457&lt;&gt;"ACCEPTÉ")),1,0)</f>
        <v>0</v>
      </c>
      <c r="AR1457" s="78" t="str">
        <f aca="false">IF(AQ1457=1,SUM(AQ$7:AQ1457),"")</f>
        <v/>
      </c>
    </row>
    <row r="1458" customFormat="false" ht="15" hidden="false" customHeight="false" outlineLevel="0" collapsed="false">
      <c r="A1458" s="78" t="str">
        <f aca="false">IF(E1458="","",ROW()-6)</f>
        <v/>
      </c>
      <c r="B1458" s="79"/>
      <c r="C1458" s="80"/>
      <c r="D1458" s="80"/>
      <c r="E1458" s="80"/>
      <c r="F1458" s="80"/>
      <c r="G1458" s="80"/>
      <c r="H1458" s="80"/>
      <c r="I1458" s="80"/>
      <c r="J1458" s="80"/>
      <c r="K1458" s="80"/>
      <c r="L1458" s="81" t="str">
        <f aca="false">IF(K1458="","",IFERROR(INDEX(BARDAGE!$C$7:$C$1506,MATCH(K1458,BARDAGE!$B$7:$B$1506,0)),"? hors registre"))</f>
        <v/>
      </c>
      <c r="M1458" s="80"/>
      <c r="N1458" s="81" t="str">
        <f aca="false">IF(M1458="","",IFERROR(INDEX(BARDAGE!$C$7:$C$1506,MATCH(M1458,BARDAGE!$B$7:$B$1506,0)),"? hors registre"))</f>
        <v/>
      </c>
      <c r="O1458" s="80"/>
      <c r="P1458" s="80"/>
      <c r="Q1458" s="80"/>
      <c r="R1458" s="82"/>
      <c r="S1458" s="82"/>
      <c r="T1458" s="80"/>
      <c r="U1458" s="80"/>
      <c r="V1458" s="82"/>
      <c r="W1458" s="80"/>
      <c r="X1458" s="80"/>
      <c r="Y1458" s="80"/>
      <c r="Z1458" s="80"/>
      <c r="AA1458" s="82"/>
      <c r="AB1458" s="80"/>
      <c r="AC1458" s="80"/>
      <c r="AD1458" s="80"/>
      <c r="AE1458" s="80"/>
      <c r="AF1458" s="82"/>
      <c r="AG1458" s="80"/>
      <c r="AH1458" s="80"/>
      <c r="AI1458" s="82"/>
      <c r="AJ1458" s="79"/>
      <c r="AK1458" s="78" t="str">
        <f aca="false">IF(E1458="","",(X1458&lt;&gt;"")+(AC1458&lt;&gt;"")+(AH1458&lt;&gt;""))</f>
        <v/>
      </c>
      <c r="AL1458" s="81" t="str">
        <f aca="false">IF(AH1458&lt;&gt;"",AH1458,IF(AC1458&lt;&gt;"",AC1458,IF(X1458&lt;&gt;"",X1458,"")))</f>
        <v/>
      </c>
      <c r="AM1458" s="83" t="str">
        <f aca="false">IF(E1458="","",IF(R1458="","À SOUDER",IF(U1458="","VT EN ATTENTE",IF(U1458="R","VT REJETÉ – À REPRENDRE",IF(AL1458="","À RADIOGRAPHIER",IF(AL1458="A","ACCEPTÉ",IF(AL1458="NX","NX – RT À REFAIRE",IF(IF(AK1458=1,Z1458,IF(AK1458=2,AE1458,""))="A","RÉPARÉ – À RADIOGRAPHIER",IF(IF(AK1458=1,Z1458,IF(AK1458=2,AE1458,""))="R","VT REJETÉ – À REPRENDRE",IF(OR(AL1458="CO",AL1458="NT"),"COUPE – À RESOUDER","À RÉPARER"))))))))))</f>
        <v/>
      </c>
      <c r="AN1458" s="81" t="str">
        <f aca="false">IF(AND(ISNUMBER(R1458),OR(AM1458="À RADIOGRAPHIER",AM1458="RÉPARÉ – À RADIOGRAPHIER",AM1458="NX – RT À REFAIRE",AM1458="À RÉPARER",AM1458="COUPE – À RESOUDER",AM1458="VT REJETÉ – À REPRENDRE")),MAX(0,'PROGRAMME RT'!$C$4-R1458),"")</f>
        <v/>
      </c>
      <c r="AO1458" s="78" t="n">
        <f aca="false">IF(AND(OR(AM1458="À RADIOGRAPHIER",AM1458="RÉPARÉ – À RADIOGRAPHIER",AM1458="NX – RT À REFAIRE"),OR('PROGRAMME RT'!$D$5="TOUTES",B1458='PROGRAMME RT'!$D$5)),1,0)</f>
        <v>0</v>
      </c>
      <c r="AP1458" s="78" t="str">
        <f aca="false">IF(AO1458=1,SUM(AO$7:AO1458),"")</f>
        <v/>
      </c>
      <c r="AQ1458" s="78" t="n">
        <f aca="false">IF(AND(OR(X1458="R",X1458="NX",X1458="NT",X1458="CO"),OR('JOINTS DE RÉPARATION'!$D$5="TOUTES",B1458='JOINTS DE RÉPARATION'!$D$5),OR('JOINTS DE RÉPARATION'!$L$4="TOUS",AM1458&lt;&gt;"ACCEPTÉ")),1,0)</f>
        <v>0</v>
      </c>
      <c r="AR1458" s="78" t="str">
        <f aca="false">IF(AQ1458=1,SUM(AQ$7:AQ1458),"")</f>
        <v/>
      </c>
    </row>
    <row r="1459" customFormat="false" ht="15" hidden="false" customHeight="false" outlineLevel="0" collapsed="false">
      <c r="A1459" s="78" t="str">
        <f aca="false">IF(E1459="","",ROW()-6)</f>
        <v/>
      </c>
      <c r="B1459" s="79"/>
      <c r="C1459" s="80"/>
      <c r="D1459" s="80"/>
      <c r="E1459" s="80"/>
      <c r="F1459" s="80"/>
      <c r="G1459" s="80"/>
      <c r="H1459" s="80"/>
      <c r="I1459" s="80"/>
      <c r="J1459" s="80"/>
      <c r="K1459" s="80"/>
      <c r="L1459" s="81" t="str">
        <f aca="false">IF(K1459="","",IFERROR(INDEX(BARDAGE!$C$7:$C$1506,MATCH(K1459,BARDAGE!$B$7:$B$1506,0)),"? hors registre"))</f>
        <v/>
      </c>
      <c r="M1459" s="80"/>
      <c r="N1459" s="81" t="str">
        <f aca="false">IF(M1459="","",IFERROR(INDEX(BARDAGE!$C$7:$C$1506,MATCH(M1459,BARDAGE!$B$7:$B$1506,0)),"? hors registre"))</f>
        <v/>
      </c>
      <c r="O1459" s="80"/>
      <c r="P1459" s="80"/>
      <c r="Q1459" s="80"/>
      <c r="R1459" s="82"/>
      <c r="S1459" s="82"/>
      <c r="T1459" s="80"/>
      <c r="U1459" s="80"/>
      <c r="V1459" s="82"/>
      <c r="W1459" s="80"/>
      <c r="X1459" s="80"/>
      <c r="Y1459" s="80"/>
      <c r="Z1459" s="80"/>
      <c r="AA1459" s="82"/>
      <c r="AB1459" s="80"/>
      <c r="AC1459" s="80"/>
      <c r="AD1459" s="80"/>
      <c r="AE1459" s="80"/>
      <c r="AF1459" s="82"/>
      <c r="AG1459" s="80"/>
      <c r="AH1459" s="80"/>
      <c r="AI1459" s="82"/>
      <c r="AJ1459" s="79"/>
      <c r="AK1459" s="78" t="str">
        <f aca="false">IF(E1459="","",(X1459&lt;&gt;"")+(AC1459&lt;&gt;"")+(AH1459&lt;&gt;""))</f>
        <v/>
      </c>
      <c r="AL1459" s="81" t="str">
        <f aca="false">IF(AH1459&lt;&gt;"",AH1459,IF(AC1459&lt;&gt;"",AC1459,IF(X1459&lt;&gt;"",X1459,"")))</f>
        <v/>
      </c>
      <c r="AM1459" s="83" t="str">
        <f aca="false">IF(E1459="","",IF(R1459="","À SOUDER",IF(U1459="","VT EN ATTENTE",IF(U1459="R","VT REJETÉ – À REPRENDRE",IF(AL1459="","À RADIOGRAPHIER",IF(AL1459="A","ACCEPTÉ",IF(AL1459="NX","NX – RT À REFAIRE",IF(IF(AK1459=1,Z1459,IF(AK1459=2,AE1459,""))="A","RÉPARÉ – À RADIOGRAPHIER",IF(IF(AK1459=1,Z1459,IF(AK1459=2,AE1459,""))="R","VT REJETÉ – À REPRENDRE",IF(OR(AL1459="CO",AL1459="NT"),"COUPE – À RESOUDER","À RÉPARER"))))))))))</f>
        <v/>
      </c>
      <c r="AN1459" s="81" t="str">
        <f aca="false">IF(AND(ISNUMBER(R1459),OR(AM1459="À RADIOGRAPHIER",AM1459="RÉPARÉ – À RADIOGRAPHIER",AM1459="NX – RT À REFAIRE",AM1459="À RÉPARER",AM1459="COUPE – À RESOUDER",AM1459="VT REJETÉ – À REPRENDRE")),MAX(0,'PROGRAMME RT'!$C$4-R1459),"")</f>
        <v/>
      </c>
      <c r="AO1459" s="78" t="n">
        <f aca="false">IF(AND(OR(AM1459="À RADIOGRAPHIER",AM1459="RÉPARÉ – À RADIOGRAPHIER",AM1459="NX – RT À REFAIRE"),OR('PROGRAMME RT'!$D$5="TOUTES",B1459='PROGRAMME RT'!$D$5)),1,0)</f>
        <v>0</v>
      </c>
      <c r="AP1459" s="78" t="str">
        <f aca="false">IF(AO1459=1,SUM(AO$7:AO1459),"")</f>
        <v/>
      </c>
      <c r="AQ1459" s="78" t="n">
        <f aca="false">IF(AND(OR(X1459="R",X1459="NX",X1459="NT",X1459="CO"),OR('JOINTS DE RÉPARATION'!$D$5="TOUTES",B1459='JOINTS DE RÉPARATION'!$D$5),OR('JOINTS DE RÉPARATION'!$L$4="TOUS",AM1459&lt;&gt;"ACCEPTÉ")),1,0)</f>
        <v>0</v>
      </c>
      <c r="AR1459" s="78" t="str">
        <f aca="false">IF(AQ1459=1,SUM(AQ$7:AQ1459),"")</f>
        <v/>
      </c>
    </row>
    <row r="1460" customFormat="false" ht="15" hidden="false" customHeight="false" outlineLevel="0" collapsed="false">
      <c r="A1460" s="78" t="str">
        <f aca="false">IF(E1460="","",ROW()-6)</f>
        <v/>
      </c>
      <c r="B1460" s="79"/>
      <c r="C1460" s="80"/>
      <c r="D1460" s="80"/>
      <c r="E1460" s="80"/>
      <c r="F1460" s="80"/>
      <c r="G1460" s="80"/>
      <c r="H1460" s="80"/>
      <c r="I1460" s="80"/>
      <c r="J1460" s="80"/>
      <c r="K1460" s="80"/>
      <c r="L1460" s="81" t="str">
        <f aca="false">IF(K1460="","",IFERROR(INDEX(BARDAGE!$C$7:$C$1506,MATCH(K1460,BARDAGE!$B$7:$B$1506,0)),"? hors registre"))</f>
        <v/>
      </c>
      <c r="M1460" s="80"/>
      <c r="N1460" s="81" t="str">
        <f aca="false">IF(M1460="","",IFERROR(INDEX(BARDAGE!$C$7:$C$1506,MATCH(M1460,BARDAGE!$B$7:$B$1506,0)),"? hors registre"))</f>
        <v/>
      </c>
      <c r="O1460" s="80"/>
      <c r="P1460" s="80"/>
      <c r="Q1460" s="80"/>
      <c r="R1460" s="82"/>
      <c r="S1460" s="82"/>
      <c r="T1460" s="80"/>
      <c r="U1460" s="80"/>
      <c r="V1460" s="82"/>
      <c r="W1460" s="80"/>
      <c r="X1460" s="80"/>
      <c r="Y1460" s="80"/>
      <c r="Z1460" s="80"/>
      <c r="AA1460" s="82"/>
      <c r="AB1460" s="80"/>
      <c r="AC1460" s="80"/>
      <c r="AD1460" s="80"/>
      <c r="AE1460" s="80"/>
      <c r="AF1460" s="82"/>
      <c r="AG1460" s="80"/>
      <c r="AH1460" s="80"/>
      <c r="AI1460" s="82"/>
      <c r="AJ1460" s="79"/>
      <c r="AK1460" s="78" t="str">
        <f aca="false">IF(E1460="","",(X1460&lt;&gt;"")+(AC1460&lt;&gt;"")+(AH1460&lt;&gt;""))</f>
        <v/>
      </c>
      <c r="AL1460" s="81" t="str">
        <f aca="false">IF(AH1460&lt;&gt;"",AH1460,IF(AC1460&lt;&gt;"",AC1460,IF(X1460&lt;&gt;"",X1460,"")))</f>
        <v/>
      </c>
      <c r="AM1460" s="83" t="str">
        <f aca="false">IF(E1460="","",IF(R1460="","À SOUDER",IF(U1460="","VT EN ATTENTE",IF(U1460="R","VT REJETÉ – À REPRENDRE",IF(AL1460="","À RADIOGRAPHIER",IF(AL1460="A","ACCEPTÉ",IF(AL1460="NX","NX – RT À REFAIRE",IF(IF(AK1460=1,Z1460,IF(AK1460=2,AE1460,""))="A","RÉPARÉ – À RADIOGRAPHIER",IF(IF(AK1460=1,Z1460,IF(AK1460=2,AE1460,""))="R","VT REJETÉ – À REPRENDRE",IF(OR(AL1460="CO",AL1460="NT"),"COUPE – À RESOUDER","À RÉPARER"))))))))))</f>
        <v/>
      </c>
      <c r="AN1460" s="81" t="str">
        <f aca="false">IF(AND(ISNUMBER(R1460),OR(AM1460="À RADIOGRAPHIER",AM1460="RÉPARÉ – À RADIOGRAPHIER",AM1460="NX – RT À REFAIRE",AM1460="À RÉPARER",AM1460="COUPE – À RESOUDER",AM1460="VT REJETÉ – À REPRENDRE")),MAX(0,'PROGRAMME RT'!$C$4-R1460),"")</f>
        <v/>
      </c>
      <c r="AO1460" s="78" t="n">
        <f aca="false">IF(AND(OR(AM1460="À RADIOGRAPHIER",AM1460="RÉPARÉ – À RADIOGRAPHIER",AM1460="NX – RT À REFAIRE"),OR('PROGRAMME RT'!$D$5="TOUTES",B1460='PROGRAMME RT'!$D$5)),1,0)</f>
        <v>0</v>
      </c>
      <c r="AP1460" s="78" t="str">
        <f aca="false">IF(AO1460=1,SUM(AO$7:AO1460),"")</f>
        <v/>
      </c>
      <c r="AQ1460" s="78" t="n">
        <f aca="false">IF(AND(OR(X1460="R",X1460="NX",X1460="NT",X1460="CO"),OR('JOINTS DE RÉPARATION'!$D$5="TOUTES",B1460='JOINTS DE RÉPARATION'!$D$5),OR('JOINTS DE RÉPARATION'!$L$4="TOUS",AM1460&lt;&gt;"ACCEPTÉ")),1,0)</f>
        <v>0</v>
      </c>
      <c r="AR1460" s="78" t="str">
        <f aca="false">IF(AQ1460=1,SUM(AQ$7:AQ1460),"")</f>
        <v/>
      </c>
    </row>
    <row r="1461" customFormat="false" ht="15" hidden="false" customHeight="false" outlineLevel="0" collapsed="false">
      <c r="A1461" s="78" t="str">
        <f aca="false">IF(E1461="","",ROW()-6)</f>
        <v/>
      </c>
      <c r="B1461" s="79"/>
      <c r="C1461" s="80"/>
      <c r="D1461" s="80"/>
      <c r="E1461" s="80"/>
      <c r="F1461" s="80"/>
      <c r="G1461" s="80"/>
      <c r="H1461" s="80"/>
      <c r="I1461" s="80"/>
      <c r="J1461" s="80"/>
      <c r="K1461" s="80"/>
      <c r="L1461" s="81" t="str">
        <f aca="false">IF(K1461="","",IFERROR(INDEX(BARDAGE!$C$7:$C$1506,MATCH(K1461,BARDAGE!$B$7:$B$1506,0)),"? hors registre"))</f>
        <v/>
      </c>
      <c r="M1461" s="80"/>
      <c r="N1461" s="81" t="str">
        <f aca="false">IF(M1461="","",IFERROR(INDEX(BARDAGE!$C$7:$C$1506,MATCH(M1461,BARDAGE!$B$7:$B$1506,0)),"? hors registre"))</f>
        <v/>
      </c>
      <c r="O1461" s="80"/>
      <c r="P1461" s="80"/>
      <c r="Q1461" s="80"/>
      <c r="R1461" s="82"/>
      <c r="S1461" s="82"/>
      <c r="T1461" s="80"/>
      <c r="U1461" s="80"/>
      <c r="V1461" s="82"/>
      <c r="W1461" s="80"/>
      <c r="X1461" s="80"/>
      <c r="Y1461" s="80"/>
      <c r="Z1461" s="80"/>
      <c r="AA1461" s="82"/>
      <c r="AB1461" s="80"/>
      <c r="AC1461" s="80"/>
      <c r="AD1461" s="80"/>
      <c r="AE1461" s="80"/>
      <c r="AF1461" s="82"/>
      <c r="AG1461" s="80"/>
      <c r="AH1461" s="80"/>
      <c r="AI1461" s="82"/>
      <c r="AJ1461" s="79"/>
      <c r="AK1461" s="78" t="str">
        <f aca="false">IF(E1461="","",(X1461&lt;&gt;"")+(AC1461&lt;&gt;"")+(AH1461&lt;&gt;""))</f>
        <v/>
      </c>
      <c r="AL1461" s="81" t="str">
        <f aca="false">IF(AH1461&lt;&gt;"",AH1461,IF(AC1461&lt;&gt;"",AC1461,IF(X1461&lt;&gt;"",X1461,"")))</f>
        <v/>
      </c>
      <c r="AM1461" s="83" t="str">
        <f aca="false">IF(E1461="","",IF(R1461="","À SOUDER",IF(U1461="","VT EN ATTENTE",IF(U1461="R","VT REJETÉ – À REPRENDRE",IF(AL1461="","À RADIOGRAPHIER",IF(AL1461="A","ACCEPTÉ",IF(AL1461="NX","NX – RT À REFAIRE",IF(IF(AK1461=1,Z1461,IF(AK1461=2,AE1461,""))="A","RÉPARÉ – À RADIOGRAPHIER",IF(IF(AK1461=1,Z1461,IF(AK1461=2,AE1461,""))="R","VT REJETÉ – À REPRENDRE",IF(OR(AL1461="CO",AL1461="NT"),"COUPE – À RESOUDER","À RÉPARER"))))))))))</f>
        <v/>
      </c>
      <c r="AN1461" s="81" t="str">
        <f aca="false">IF(AND(ISNUMBER(R1461),OR(AM1461="À RADIOGRAPHIER",AM1461="RÉPARÉ – À RADIOGRAPHIER",AM1461="NX – RT À REFAIRE",AM1461="À RÉPARER",AM1461="COUPE – À RESOUDER",AM1461="VT REJETÉ – À REPRENDRE")),MAX(0,'PROGRAMME RT'!$C$4-R1461),"")</f>
        <v/>
      </c>
      <c r="AO1461" s="78" t="n">
        <f aca="false">IF(AND(OR(AM1461="À RADIOGRAPHIER",AM1461="RÉPARÉ – À RADIOGRAPHIER",AM1461="NX – RT À REFAIRE"),OR('PROGRAMME RT'!$D$5="TOUTES",B1461='PROGRAMME RT'!$D$5)),1,0)</f>
        <v>0</v>
      </c>
      <c r="AP1461" s="78" t="str">
        <f aca="false">IF(AO1461=1,SUM(AO$7:AO1461),"")</f>
        <v/>
      </c>
      <c r="AQ1461" s="78" t="n">
        <f aca="false">IF(AND(OR(X1461="R",X1461="NX",X1461="NT",X1461="CO"),OR('JOINTS DE RÉPARATION'!$D$5="TOUTES",B1461='JOINTS DE RÉPARATION'!$D$5),OR('JOINTS DE RÉPARATION'!$L$4="TOUS",AM1461&lt;&gt;"ACCEPTÉ")),1,0)</f>
        <v>0</v>
      </c>
      <c r="AR1461" s="78" t="str">
        <f aca="false">IF(AQ1461=1,SUM(AQ$7:AQ1461),"")</f>
        <v/>
      </c>
    </row>
    <row r="1462" customFormat="false" ht="15" hidden="false" customHeight="false" outlineLevel="0" collapsed="false">
      <c r="A1462" s="78" t="str">
        <f aca="false">IF(E1462="","",ROW()-6)</f>
        <v/>
      </c>
      <c r="B1462" s="79"/>
      <c r="C1462" s="80"/>
      <c r="D1462" s="80"/>
      <c r="E1462" s="80"/>
      <c r="F1462" s="80"/>
      <c r="G1462" s="80"/>
      <c r="H1462" s="80"/>
      <c r="I1462" s="80"/>
      <c r="J1462" s="80"/>
      <c r="K1462" s="80"/>
      <c r="L1462" s="81" t="str">
        <f aca="false">IF(K1462="","",IFERROR(INDEX(BARDAGE!$C$7:$C$1506,MATCH(K1462,BARDAGE!$B$7:$B$1506,0)),"? hors registre"))</f>
        <v/>
      </c>
      <c r="M1462" s="80"/>
      <c r="N1462" s="81" t="str">
        <f aca="false">IF(M1462="","",IFERROR(INDEX(BARDAGE!$C$7:$C$1506,MATCH(M1462,BARDAGE!$B$7:$B$1506,0)),"? hors registre"))</f>
        <v/>
      </c>
      <c r="O1462" s="80"/>
      <c r="P1462" s="80"/>
      <c r="Q1462" s="80"/>
      <c r="R1462" s="82"/>
      <c r="S1462" s="82"/>
      <c r="T1462" s="80"/>
      <c r="U1462" s="80"/>
      <c r="V1462" s="82"/>
      <c r="W1462" s="80"/>
      <c r="X1462" s="80"/>
      <c r="Y1462" s="80"/>
      <c r="Z1462" s="80"/>
      <c r="AA1462" s="82"/>
      <c r="AB1462" s="80"/>
      <c r="AC1462" s="80"/>
      <c r="AD1462" s="80"/>
      <c r="AE1462" s="80"/>
      <c r="AF1462" s="82"/>
      <c r="AG1462" s="80"/>
      <c r="AH1462" s="80"/>
      <c r="AI1462" s="82"/>
      <c r="AJ1462" s="79"/>
      <c r="AK1462" s="78" t="str">
        <f aca="false">IF(E1462="","",(X1462&lt;&gt;"")+(AC1462&lt;&gt;"")+(AH1462&lt;&gt;""))</f>
        <v/>
      </c>
      <c r="AL1462" s="81" t="str">
        <f aca="false">IF(AH1462&lt;&gt;"",AH1462,IF(AC1462&lt;&gt;"",AC1462,IF(X1462&lt;&gt;"",X1462,"")))</f>
        <v/>
      </c>
      <c r="AM1462" s="83" t="str">
        <f aca="false">IF(E1462="","",IF(R1462="","À SOUDER",IF(U1462="","VT EN ATTENTE",IF(U1462="R","VT REJETÉ – À REPRENDRE",IF(AL1462="","À RADIOGRAPHIER",IF(AL1462="A","ACCEPTÉ",IF(AL1462="NX","NX – RT À REFAIRE",IF(IF(AK1462=1,Z1462,IF(AK1462=2,AE1462,""))="A","RÉPARÉ – À RADIOGRAPHIER",IF(IF(AK1462=1,Z1462,IF(AK1462=2,AE1462,""))="R","VT REJETÉ – À REPRENDRE",IF(OR(AL1462="CO",AL1462="NT"),"COUPE – À RESOUDER","À RÉPARER"))))))))))</f>
        <v/>
      </c>
      <c r="AN1462" s="81" t="str">
        <f aca="false">IF(AND(ISNUMBER(R1462),OR(AM1462="À RADIOGRAPHIER",AM1462="RÉPARÉ – À RADIOGRAPHIER",AM1462="NX – RT À REFAIRE",AM1462="À RÉPARER",AM1462="COUPE – À RESOUDER",AM1462="VT REJETÉ – À REPRENDRE")),MAX(0,'PROGRAMME RT'!$C$4-R1462),"")</f>
        <v/>
      </c>
      <c r="AO1462" s="78" t="n">
        <f aca="false">IF(AND(OR(AM1462="À RADIOGRAPHIER",AM1462="RÉPARÉ – À RADIOGRAPHIER",AM1462="NX – RT À REFAIRE"),OR('PROGRAMME RT'!$D$5="TOUTES",B1462='PROGRAMME RT'!$D$5)),1,0)</f>
        <v>0</v>
      </c>
      <c r="AP1462" s="78" t="str">
        <f aca="false">IF(AO1462=1,SUM(AO$7:AO1462),"")</f>
        <v/>
      </c>
      <c r="AQ1462" s="78" t="n">
        <f aca="false">IF(AND(OR(X1462="R",X1462="NX",X1462="NT",X1462="CO"),OR('JOINTS DE RÉPARATION'!$D$5="TOUTES",B1462='JOINTS DE RÉPARATION'!$D$5),OR('JOINTS DE RÉPARATION'!$L$4="TOUS",AM1462&lt;&gt;"ACCEPTÉ")),1,0)</f>
        <v>0</v>
      </c>
      <c r="AR1462" s="78" t="str">
        <f aca="false">IF(AQ1462=1,SUM(AQ$7:AQ1462),"")</f>
        <v/>
      </c>
    </row>
    <row r="1463" customFormat="false" ht="15" hidden="false" customHeight="false" outlineLevel="0" collapsed="false">
      <c r="A1463" s="78" t="str">
        <f aca="false">IF(E1463="","",ROW()-6)</f>
        <v/>
      </c>
      <c r="B1463" s="79"/>
      <c r="C1463" s="80"/>
      <c r="D1463" s="80"/>
      <c r="E1463" s="80"/>
      <c r="F1463" s="80"/>
      <c r="G1463" s="80"/>
      <c r="H1463" s="80"/>
      <c r="I1463" s="80"/>
      <c r="J1463" s="80"/>
      <c r="K1463" s="80"/>
      <c r="L1463" s="81" t="str">
        <f aca="false">IF(K1463="","",IFERROR(INDEX(BARDAGE!$C$7:$C$1506,MATCH(K1463,BARDAGE!$B$7:$B$1506,0)),"? hors registre"))</f>
        <v/>
      </c>
      <c r="M1463" s="80"/>
      <c r="N1463" s="81" t="str">
        <f aca="false">IF(M1463="","",IFERROR(INDEX(BARDAGE!$C$7:$C$1506,MATCH(M1463,BARDAGE!$B$7:$B$1506,0)),"? hors registre"))</f>
        <v/>
      </c>
      <c r="O1463" s="80"/>
      <c r="P1463" s="80"/>
      <c r="Q1463" s="80"/>
      <c r="R1463" s="82"/>
      <c r="S1463" s="82"/>
      <c r="T1463" s="80"/>
      <c r="U1463" s="80"/>
      <c r="V1463" s="82"/>
      <c r="W1463" s="80"/>
      <c r="X1463" s="80"/>
      <c r="Y1463" s="80"/>
      <c r="Z1463" s="80"/>
      <c r="AA1463" s="82"/>
      <c r="AB1463" s="80"/>
      <c r="AC1463" s="80"/>
      <c r="AD1463" s="80"/>
      <c r="AE1463" s="80"/>
      <c r="AF1463" s="82"/>
      <c r="AG1463" s="80"/>
      <c r="AH1463" s="80"/>
      <c r="AI1463" s="82"/>
      <c r="AJ1463" s="79"/>
      <c r="AK1463" s="78" t="str">
        <f aca="false">IF(E1463="","",(X1463&lt;&gt;"")+(AC1463&lt;&gt;"")+(AH1463&lt;&gt;""))</f>
        <v/>
      </c>
      <c r="AL1463" s="81" t="str">
        <f aca="false">IF(AH1463&lt;&gt;"",AH1463,IF(AC1463&lt;&gt;"",AC1463,IF(X1463&lt;&gt;"",X1463,"")))</f>
        <v/>
      </c>
      <c r="AM1463" s="83" t="str">
        <f aca="false">IF(E1463="","",IF(R1463="","À SOUDER",IF(U1463="","VT EN ATTENTE",IF(U1463="R","VT REJETÉ – À REPRENDRE",IF(AL1463="","À RADIOGRAPHIER",IF(AL1463="A","ACCEPTÉ",IF(AL1463="NX","NX – RT À REFAIRE",IF(IF(AK1463=1,Z1463,IF(AK1463=2,AE1463,""))="A","RÉPARÉ – À RADIOGRAPHIER",IF(IF(AK1463=1,Z1463,IF(AK1463=2,AE1463,""))="R","VT REJETÉ – À REPRENDRE",IF(OR(AL1463="CO",AL1463="NT"),"COUPE – À RESOUDER","À RÉPARER"))))))))))</f>
        <v/>
      </c>
      <c r="AN1463" s="81" t="str">
        <f aca="false">IF(AND(ISNUMBER(R1463),OR(AM1463="À RADIOGRAPHIER",AM1463="RÉPARÉ – À RADIOGRAPHIER",AM1463="NX – RT À REFAIRE",AM1463="À RÉPARER",AM1463="COUPE – À RESOUDER",AM1463="VT REJETÉ – À REPRENDRE")),MAX(0,'PROGRAMME RT'!$C$4-R1463),"")</f>
        <v/>
      </c>
      <c r="AO1463" s="78" t="n">
        <f aca="false">IF(AND(OR(AM1463="À RADIOGRAPHIER",AM1463="RÉPARÉ – À RADIOGRAPHIER",AM1463="NX – RT À REFAIRE"),OR('PROGRAMME RT'!$D$5="TOUTES",B1463='PROGRAMME RT'!$D$5)),1,0)</f>
        <v>0</v>
      </c>
      <c r="AP1463" s="78" t="str">
        <f aca="false">IF(AO1463=1,SUM(AO$7:AO1463),"")</f>
        <v/>
      </c>
      <c r="AQ1463" s="78" t="n">
        <f aca="false">IF(AND(OR(X1463="R",X1463="NX",X1463="NT",X1463="CO"),OR('JOINTS DE RÉPARATION'!$D$5="TOUTES",B1463='JOINTS DE RÉPARATION'!$D$5),OR('JOINTS DE RÉPARATION'!$L$4="TOUS",AM1463&lt;&gt;"ACCEPTÉ")),1,0)</f>
        <v>0</v>
      </c>
      <c r="AR1463" s="78" t="str">
        <f aca="false">IF(AQ1463=1,SUM(AQ$7:AQ1463),"")</f>
        <v/>
      </c>
    </row>
    <row r="1464" customFormat="false" ht="15" hidden="false" customHeight="false" outlineLevel="0" collapsed="false">
      <c r="A1464" s="78" t="str">
        <f aca="false">IF(E1464="","",ROW()-6)</f>
        <v/>
      </c>
      <c r="B1464" s="79"/>
      <c r="C1464" s="80"/>
      <c r="D1464" s="80"/>
      <c r="E1464" s="80"/>
      <c r="F1464" s="80"/>
      <c r="G1464" s="80"/>
      <c r="H1464" s="80"/>
      <c r="I1464" s="80"/>
      <c r="J1464" s="80"/>
      <c r="K1464" s="80"/>
      <c r="L1464" s="81" t="str">
        <f aca="false">IF(K1464="","",IFERROR(INDEX(BARDAGE!$C$7:$C$1506,MATCH(K1464,BARDAGE!$B$7:$B$1506,0)),"? hors registre"))</f>
        <v/>
      </c>
      <c r="M1464" s="80"/>
      <c r="N1464" s="81" t="str">
        <f aca="false">IF(M1464="","",IFERROR(INDEX(BARDAGE!$C$7:$C$1506,MATCH(M1464,BARDAGE!$B$7:$B$1506,0)),"? hors registre"))</f>
        <v/>
      </c>
      <c r="O1464" s="80"/>
      <c r="P1464" s="80"/>
      <c r="Q1464" s="80"/>
      <c r="R1464" s="82"/>
      <c r="S1464" s="82"/>
      <c r="T1464" s="80"/>
      <c r="U1464" s="80"/>
      <c r="V1464" s="82"/>
      <c r="W1464" s="80"/>
      <c r="X1464" s="80"/>
      <c r="Y1464" s="80"/>
      <c r="Z1464" s="80"/>
      <c r="AA1464" s="82"/>
      <c r="AB1464" s="80"/>
      <c r="AC1464" s="80"/>
      <c r="AD1464" s="80"/>
      <c r="AE1464" s="80"/>
      <c r="AF1464" s="82"/>
      <c r="AG1464" s="80"/>
      <c r="AH1464" s="80"/>
      <c r="AI1464" s="82"/>
      <c r="AJ1464" s="79"/>
      <c r="AK1464" s="78" t="str">
        <f aca="false">IF(E1464="","",(X1464&lt;&gt;"")+(AC1464&lt;&gt;"")+(AH1464&lt;&gt;""))</f>
        <v/>
      </c>
      <c r="AL1464" s="81" t="str">
        <f aca="false">IF(AH1464&lt;&gt;"",AH1464,IF(AC1464&lt;&gt;"",AC1464,IF(X1464&lt;&gt;"",X1464,"")))</f>
        <v/>
      </c>
      <c r="AM1464" s="83" t="str">
        <f aca="false">IF(E1464="","",IF(R1464="","À SOUDER",IF(U1464="","VT EN ATTENTE",IF(U1464="R","VT REJETÉ – À REPRENDRE",IF(AL1464="","À RADIOGRAPHIER",IF(AL1464="A","ACCEPTÉ",IF(AL1464="NX","NX – RT À REFAIRE",IF(IF(AK1464=1,Z1464,IF(AK1464=2,AE1464,""))="A","RÉPARÉ – À RADIOGRAPHIER",IF(IF(AK1464=1,Z1464,IF(AK1464=2,AE1464,""))="R","VT REJETÉ – À REPRENDRE",IF(OR(AL1464="CO",AL1464="NT"),"COUPE – À RESOUDER","À RÉPARER"))))))))))</f>
        <v/>
      </c>
      <c r="AN1464" s="81" t="str">
        <f aca="false">IF(AND(ISNUMBER(R1464),OR(AM1464="À RADIOGRAPHIER",AM1464="RÉPARÉ – À RADIOGRAPHIER",AM1464="NX – RT À REFAIRE",AM1464="À RÉPARER",AM1464="COUPE – À RESOUDER",AM1464="VT REJETÉ – À REPRENDRE")),MAX(0,'PROGRAMME RT'!$C$4-R1464),"")</f>
        <v/>
      </c>
      <c r="AO1464" s="78" t="n">
        <f aca="false">IF(AND(OR(AM1464="À RADIOGRAPHIER",AM1464="RÉPARÉ – À RADIOGRAPHIER",AM1464="NX – RT À REFAIRE"),OR('PROGRAMME RT'!$D$5="TOUTES",B1464='PROGRAMME RT'!$D$5)),1,0)</f>
        <v>0</v>
      </c>
      <c r="AP1464" s="78" t="str">
        <f aca="false">IF(AO1464=1,SUM(AO$7:AO1464),"")</f>
        <v/>
      </c>
      <c r="AQ1464" s="78" t="n">
        <f aca="false">IF(AND(OR(X1464="R",X1464="NX",X1464="NT",X1464="CO"),OR('JOINTS DE RÉPARATION'!$D$5="TOUTES",B1464='JOINTS DE RÉPARATION'!$D$5),OR('JOINTS DE RÉPARATION'!$L$4="TOUS",AM1464&lt;&gt;"ACCEPTÉ")),1,0)</f>
        <v>0</v>
      </c>
      <c r="AR1464" s="78" t="str">
        <f aca="false">IF(AQ1464=1,SUM(AQ$7:AQ1464),"")</f>
        <v/>
      </c>
    </row>
    <row r="1465" customFormat="false" ht="15" hidden="false" customHeight="false" outlineLevel="0" collapsed="false">
      <c r="A1465" s="78" t="str">
        <f aca="false">IF(E1465="","",ROW()-6)</f>
        <v/>
      </c>
      <c r="B1465" s="79"/>
      <c r="C1465" s="80"/>
      <c r="D1465" s="80"/>
      <c r="E1465" s="80"/>
      <c r="F1465" s="80"/>
      <c r="G1465" s="80"/>
      <c r="H1465" s="80"/>
      <c r="I1465" s="80"/>
      <c r="J1465" s="80"/>
      <c r="K1465" s="80"/>
      <c r="L1465" s="81" t="str">
        <f aca="false">IF(K1465="","",IFERROR(INDEX(BARDAGE!$C$7:$C$1506,MATCH(K1465,BARDAGE!$B$7:$B$1506,0)),"? hors registre"))</f>
        <v/>
      </c>
      <c r="M1465" s="80"/>
      <c r="N1465" s="81" t="str">
        <f aca="false">IF(M1465="","",IFERROR(INDEX(BARDAGE!$C$7:$C$1506,MATCH(M1465,BARDAGE!$B$7:$B$1506,0)),"? hors registre"))</f>
        <v/>
      </c>
      <c r="O1465" s="80"/>
      <c r="P1465" s="80"/>
      <c r="Q1465" s="80"/>
      <c r="R1465" s="82"/>
      <c r="S1465" s="82"/>
      <c r="T1465" s="80"/>
      <c r="U1465" s="80"/>
      <c r="V1465" s="82"/>
      <c r="W1465" s="80"/>
      <c r="X1465" s="80"/>
      <c r="Y1465" s="80"/>
      <c r="Z1465" s="80"/>
      <c r="AA1465" s="82"/>
      <c r="AB1465" s="80"/>
      <c r="AC1465" s="80"/>
      <c r="AD1465" s="80"/>
      <c r="AE1465" s="80"/>
      <c r="AF1465" s="82"/>
      <c r="AG1465" s="80"/>
      <c r="AH1465" s="80"/>
      <c r="AI1465" s="82"/>
      <c r="AJ1465" s="79"/>
      <c r="AK1465" s="78" t="str">
        <f aca="false">IF(E1465="","",(X1465&lt;&gt;"")+(AC1465&lt;&gt;"")+(AH1465&lt;&gt;""))</f>
        <v/>
      </c>
      <c r="AL1465" s="81" t="str">
        <f aca="false">IF(AH1465&lt;&gt;"",AH1465,IF(AC1465&lt;&gt;"",AC1465,IF(X1465&lt;&gt;"",X1465,"")))</f>
        <v/>
      </c>
      <c r="AM1465" s="83" t="str">
        <f aca="false">IF(E1465="","",IF(R1465="","À SOUDER",IF(U1465="","VT EN ATTENTE",IF(U1465="R","VT REJETÉ – À REPRENDRE",IF(AL1465="","À RADIOGRAPHIER",IF(AL1465="A","ACCEPTÉ",IF(AL1465="NX","NX – RT À REFAIRE",IF(IF(AK1465=1,Z1465,IF(AK1465=2,AE1465,""))="A","RÉPARÉ – À RADIOGRAPHIER",IF(IF(AK1465=1,Z1465,IF(AK1465=2,AE1465,""))="R","VT REJETÉ – À REPRENDRE",IF(OR(AL1465="CO",AL1465="NT"),"COUPE – À RESOUDER","À RÉPARER"))))))))))</f>
        <v/>
      </c>
      <c r="AN1465" s="81" t="str">
        <f aca="false">IF(AND(ISNUMBER(R1465),OR(AM1465="À RADIOGRAPHIER",AM1465="RÉPARÉ – À RADIOGRAPHIER",AM1465="NX – RT À REFAIRE",AM1465="À RÉPARER",AM1465="COUPE – À RESOUDER",AM1465="VT REJETÉ – À REPRENDRE")),MAX(0,'PROGRAMME RT'!$C$4-R1465),"")</f>
        <v/>
      </c>
      <c r="AO1465" s="78" t="n">
        <f aca="false">IF(AND(OR(AM1465="À RADIOGRAPHIER",AM1465="RÉPARÉ – À RADIOGRAPHIER",AM1465="NX – RT À REFAIRE"),OR('PROGRAMME RT'!$D$5="TOUTES",B1465='PROGRAMME RT'!$D$5)),1,0)</f>
        <v>0</v>
      </c>
      <c r="AP1465" s="78" t="str">
        <f aca="false">IF(AO1465=1,SUM(AO$7:AO1465),"")</f>
        <v/>
      </c>
      <c r="AQ1465" s="78" t="n">
        <f aca="false">IF(AND(OR(X1465="R",X1465="NX",X1465="NT",X1465="CO"),OR('JOINTS DE RÉPARATION'!$D$5="TOUTES",B1465='JOINTS DE RÉPARATION'!$D$5),OR('JOINTS DE RÉPARATION'!$L$4="TOUS",AM1465&lt;&gt;"ACCEPTÉ")),1,0)</f>
        <v>0</v>
      </c>
      <c r="AR1465" s="78" t="str">
        <f aca="false">IF(AQ1465=1,SUM(AQ$7:AQ1465),"")</f>
        <v/>
      </c>
    </row>
    <row r="1466" customFormat="false" ht="15" hidden="false" customHeight="false" outlineLevel="0" collapsed="false">
      <c r="A1466" s="78" t="str">
        <f aca="false">IF(E1466="","",ROW()-6)</f>
        <v/>
      </c>
      <c r="B1466" s="79"/>
      <c r="C1466" s="80"/>
      <c r="D1466" s="80"/>
      <c r="E1466" s="80"/>
      <c r="F1466" s="80"/>
      <c r="G1466" s="80"/>
      <c r="H1466" s="80"/>
      <c r="I1466" s="80"/>
      <c r="J1466" s="80"/>
      <c r="K1466" s="80"/>
      <c r="L1466" s="81" t="str">
        <f aca="false">IF(K1466="","",IFERROR(INDEX(BARDAGE!$C$7:$C$1506,MATCH(K1466,BARDAGE!$B$7:$B$1506,0)),"? hors registre"))</f>
        <v/>
      </c>
      <c r="M1466" s="80"/>
      <c r="N1466" s="81" t="str">
        <f aca="false">IF(M1466="","",IFERROR(INDEX(BARDAGE!$C$7:$C$1506,MATCH(M1466,BARDAGE!$B$7:$B$1506,0)),"? hors registre"))</f>
        <v/>
      </c>
      <c r="O1466" s="80"/>
      <c r="P1466" s="80"/>
      <c r="Q1466" s="80"/>
      <c r="R1466" s="82"/>
      <c r="S1466" s="82"/>
      <c r="T1466" s="80"/>
      <c r="U1466" s="80"/>
      <c r="V1466" s="82"/>
      <c r="W1466" s="80"/>
      <c r="X1466" s="80"/>
      <c r="Y1466" s="80"/>
      <c r="Z1466" s="80"/>
      <c r="AA1466" s="82"/>
      <c r="AB1466" s="80"/>
      <c r="AC1466" s="80"/>
      <c r="AD1466" s="80"/>
      <c r="AE1466" s="80"/>
      <c r="AF1466" s="82"/>
      <c r="AG1466" s="80"/>
      <c r="AH1466" s="80"/>
      <c r="AI1466" s="82"/>
      <c r="AJ1466" s="79"/>
      <c r="AK1466" s="78" t="str">
        <f aca="false">IF(E1466="","",(X1466&lt;&gt;"")+(AC1466&lt;&gt;"")+(AH1466&lt;&gt;""))</f>
        <v/>
      </c>
      <c r="AL1466" s="81" t="str">
        <f aca="false">IF(AH1466&lt;&gt;"",AH1466,IF(AC1466&lt;&gt;"",AC1466,IF(X1466&lt;&gt;"",X1466,"")))</f>
        <v/>
      </c>
      <c r="AM1466" s="83" t="str">
        <f aca="false">IF(E1466="","",IF(R1466="","À SOUDER",IF(U1466="","VT EN ATTENTE",IF(U1466="R","VT REJETÉ – À REPRENDRE",IF(AL1466="","À RADIOGRAPHIER",IF(AL1466="A","ACCEPTÉ",IF(AL1466="NX","NX – RT À REFAIRE",IF(IF(AK1466=1,Z1466,IF(AK1466=2,AE1466,""))="A","RÉPARÉ – À RADIOGRAPHIER",IF(IF(AK1466=1,Z1466,IF(AK1466=2,AE1466,""))="R","VT REJETÉ – À REPRENDRE",IF(OR(AL1466="CO",AL1466="NT"),"COUPE – À RESOUDER","À RÉPARER"))))))))))</f>
        <v/>
      </c>
      <c r="AN1466" s="81" t="str">
        <f aca="false">IF(AND(ISNUMBER(R1466),OR(AM1466="À RADIOGRAPHIER",AM1466="RÉPARÉ – À RADIOGRAPHIER",AM1466="NX – RT À REFAIRE",AM1466="À RÉPARER",AM1466="COUPE – À RESOUDER",AM1466="VT REJETÉ – À REPRENDRE")),MAX(0,'PROGRAMME RT'!$C$4-R1466),"")</f>
        <v/>
      </c>
      <c r="AO1466" s="78" t="n">
        <f aca="false">IF(AND(OR(AM1466="À RADIOGRAPHIER",AM1466="RÉPARÉ – À RADIOGRAPHIER",AM1466="NX – RT À REFAIRE"),OR('PROGRAMME RT'!$D$5="TOUTES",B1466='PROGRAMME RT'!$D$5)),1,0)</f>
        <v>0</v>
      </c>
      <c r="AP1466" s="78" t="str">
        <f aca="false">IF(AO1466=1,SUM(AO$7:AO1466),"")</f>
        <v/>
      </c>
      <c r="AQ1466" s="78" t="n">
        <f aca="false">IF(AND(OR(X1466="R",X1466="NX",X1466="NT",X1466="CO"),OR('JOINTS DE RÉPARATION'!$D$5="TOUTES",B1466='JOINTS DE RÉPARATION'!$D$5),OR('JOINTS DE RÉPARATION'!$L$4="TOUS",AM1466&lt;&gt;"ACCEPTÉ")),1,0)</f>
        <v>0</v>
      </c>
      <c r="AR1466" s="78" t="str">
        <f aca="false">IF(AQ1466=1,SUM(AQ$7:AQ1466),"")</f>
        <v/>
      </c>
    </row>
    <row r="1467" customFormat="false" ht="15" hidden="false" customHeight="false" outlineLevel="0" collapsed="false">
      <c r="A1467" s="78" t="str">
        <f aca="false">IF(E1467="","",ROW()-6)</f>
        <v/>
      </c>
      <c r="B1467" s="79"/>
      <c r="C1467" s="80"/>
      <c r="D1467" s="80"/>
      <c r="E1467" s="80"/>
      <c r="F1467" s="80"/>
      <c r="G1467" s="80"/>
      <c r="H1467" s="80"/>
      <c r="I1467" s="80"/>
      <c r="J1467" s="80"/>
      <c r="K1467" s="80"/>
      <c r="L1467" s="81" t="str">
        <f aca="false">IF(K1467="","",IFERROR(INDEX(BARDAGE!$C$7:$C$1506,MATCH(K1467,BARDAGE!$B$7:$B$1506,0)),"? hors registre"))</f>
        <v/>
      </c>
      <c r="M1467" s="80"/>
      <c r="N1467" s="81" t="str">
        <f aca="false">IF(M1467="","",IFERROR(INDEX(BARDAGE!$C$7:$C$1506,MATCH(M1467,BARDAGE!$B$7:$B$1506,0)),"? hors registre"))</f>
        <v/>
      </c>
      <c r="O1467" s="80"/>
      <c r="P1467" s="80"/>
      <c r="Q1467" s="80"/>
      <c r="R1467" s="82"/>
      <c r="S1467" s="82"/>
      <c r="T1467" s="80"/>
      <c r="U1467" s="80"/>
      <c r="V1467" s="82"/>
      <c r="W1467" s="80"/>
      <c r="X1467" s="80"/>
      <c r="Y1467" s="80"/>
      <c r="Z1467" s="80"/>
      <c r="AA1467" s="82"/>
      <c r="AB1467" s="80"/>
      <c r="AC1467" s="80"/>
      <c r="AD1467" s="80"/>
      <c r="AE1467" s="80"/>
      <c r="AF1467" s="82"/>
      <c r="AG1467" s="80"/>
      <c r="AH1467" s="80"/>
      <c r="AI1467" s="82"/>
      <c r="AJ1467" s="79"/>
      <c r="AK1467" s="78" t="str">
        <f aca="false">IF(E1467="","",(X1467&lt;&gt;"")+(AC1467&lt;&gt;"")+(AH1467&lt;&gt;""))</f>
        <v/>
      </c>
      <c r="AL1467" s="81" t="str">
        <f aca="false">IF(AH1467&lt;&gt;"",AH1467,IF(AC1467&lt;&gt;"",AC1467,IF(X1467&lt;&gt;"",X1467,"")))</f>
        <v/>
      </c>
      <c r="AM1467" s="83" t="str">
        <f aca="false">IF(E1467="","",IF(R1467="","À SOUDER",IF(U1467="","VT EN ATTENTE",IF(U1467="R","VT REJETÉ – À REPRENDRE",IF(AL1467="","À RADIOGRAPHIER",IF(AL1467="A","ACCEPTÉ",IF(AL1467="NX","NX – RT À REFAIRE",IF(IF(AK1467=1,Z1467,IF(AK1467=2,AE1467,""))="A","RÉPARÉ – À RADIOGRAPHIER",IF(IF(AK1467=1,Z1467,IF(AK1467=2,AE1467,""))="R","VT REJETÉ – À REPRENDRE",IF(OR(AL1467="CO",AL1467="NT"),"COUPE – À RESOUDER","À RÉPARER"))))))))))</f>
        <v/>
      </c>
      <c r="AN1467" s="81" t="str">
        <f aca="false">IF(AND(ISNUMBER(R1467),OR(AM1467="À RADIOGRAPHIER",AM1467="RÉPARÉ – À RADIOGRAPHIER",AM1467="NX – RT À REFAIRE",AM1467="À RÉPARER",AM1467="COUPE – À RESOUDER",AM1467="VT REJETÉ – À REPRENDRE")),MAX(0,'PROGRAMME RT'!$C$4-R1467),"")</f>
        <v/>
      </c>
      <c r="AO1467" s="78" t="n">
        <f aca="false">IF(AND(OR(AM1467="À RADIOGRAPHIER",AM1467="RÉPARÉ – À RADIOGRAPHIER",AM1467="NX – RT À REFAIRE"),OR('PROGRAMME RT'!$D$5="TOUTES",B1467='PROGRAMME RT'!$D$5)),1,0)</f>
        <v>0</v>
      </c>
      <c r="AP1467" s="78" t="str">
        <f aca="false">IF(AO1467=1,SUM(AO$7:AO1467),"")</f>
        <v/>
      </c>
      <c r="AQ1467" s="78" t="n">
        <f aca="false">IF(AND(OR(X1467="R",X1467="NX",X1467="NT",X1467="CO"),OR('JOINTS DE RÉPARATION'!$D$5="TOUTES",B1467='JOINTS DE RÉPARATION'!$D$5),OR('JOINTS DE RÉPARATION'!$L$4="TOUS",AM1467&lt;&gt;"ACCEPTÉ")),1,0)</f>
        <v>0</v>
      </c>
      <c r="AR1467" s="78" t="str">
        <f aca="false">IF(AQ1467=1,SUM(AQ$7:AQ1467),"")</f>
        <v/>
      </c>
    </row>
    <row r="1468" customFormat="false" ht="15" hidden="false" customHeight="false" outlineLevel="0" collapsed="false">
      <c r="A1468" s="78" t="str">
        <f aca="false">IF(E1468="","",ROW()-6)</f>
        <v/>
      </c>
      <c r="B1468" s="79"/>
      <c r="C1468" s="80"/>
      <c r="D1468" s="80"/>
      <c r="E1468" s="80"/>
      <c r="F1468" s="80"/>
      <c r="G1468" s="80"/>
      <c r="H1468" s="80"/>
      <c r="I1468" s="80"/>
      <c r="J1468" s="80"/>
      <c r="K1468" s="80"/>
      <c r="L1468" s="81" t="str">
        <f aca="false">IF(K1468="","",IFERROR(INDEX(BARDAGE!$C$7:$C$1506,MATCH(K1468,BARDAGE!$B$7:$B$1506,0)),"? hors registre"))</f>
        <v/>
      </c>
      <c r="M1468" s="80"/>
      <c r="N1468" s="81" t="str">
        <f aca="false">IF(M1468="","",IFERROR(INDEX(BARDAGE!$C$7:$C$1506,MATCH(M1468,BARDAGE!$B$7:$B$1506,0)),"? hors registre"))</f>
        <v/>
      </c>
      <c r="O1468" s="80"/>
      <c r="P1468" s="80"/>
      <c r="Q1468" s="80"/>
      <c r="R1468" s="82"/>
      <c r="S1468" s="82"/>
      <c r="T1468" s="80"/>
      <c r="U1468" s="80"/>
      <c r="V1468" s="82"/>
      <c r="W1468" s="80"/>
      <c r="X1468" s="80"/>
      <c r="Y1468" s="80"/>
      <c r="Z1468" s="80"/>
      <c r="AA1468" s="82"/>
      <c r="AB1468" s="80"/>
      <c r="AC1468" s="80"/>
      <c r="AD1468" s="80"/>
      <c r="AE1468" s="80"/>
      <c r="AF1468" s="82"/>
      <c r="AG1468" s="80"/>
      <c r="AH1468" s="80"/>
      <c r="AI1468" s="82"/>
      <c r="AJ1468" s="79"/>
      <c r="AK1468" s="78" t="str">
        <f aca="false">IF(E1468="","",(X1468&lt;&gt;"")+(AC1468&lt;&gt;"")+(AH1468&lt;&gt;""))</f>
        <v/>
      </c>
      <c r="AL1468" s="81" t="str">
        <f aca="false">IF(AH1468&lt;&gt;"",AH1468,IF(AC1468&lt;&gt;"",AC1468,IF(X1468&lt;&gt;"",X1468,"")))</f>
        <v/>
      </c>
      <c r="AM1468" s="83" t="str">
        <f aca="false">IF(E1468="","",IF(R1468="","À SOUDER",IF(U1468="","VT EN ATTENTE",IF(U1468="R","VT REJETÉ – À REPRENDRE",IF(AL1468="","À RADIOGRAPHIER",IF(AL1468="A","ACCEPTÉ",IF(AL1468="NX","NX – RT À REFAIRE",IF(IF(AK1468=1,Z1468,IF(AK1468=2,AE1468,""))="A","RÉPARÉ – À RADIOGRAPHIER",IF(IF(AK1468=1,Z1468,IF(AK1468=2,AE1468,""))="R","VT REJETÉ – À REPRENDRE",IF(OR(AL1468="CO",AL1468="NT"),"COUPE – À RESOUDER","À RÉPARER"))))))))))</f>
        <v/>
      </c>
      <c r="AN1468" s="81" t="str">
        <f aca="false">IF(AND(ISNUMBER(R1468),OR(AM1468="À RADIOGRAPHIER",AM1468="RÉPARÉ – À RADIOGRAPHIER",AM1468="NX – RT À REFAIRE",AM1468="À RÉPARER",AM1468="COUPE – À RESOUDER",AM1468="VT REJETÉ – À REPRENDRE")),MAX(0,'PROGRAMME RT'!$C$4-R1468),"")</f>
        <v/>
      </c>
      <c r="AO1468" s="78" t="n">
        <f aca="false">IF(AND(OR(AM1468="À RADIOGRAPHIER",AM1468="RÉPARÉ – À RADIOGRAPHIER",AM1468="NX – RT À REFAIRE"),OR('PROGRAMME RT'!$D$5="TOUTES",B1468='PROGRAMME RT'!$D$5)),1,0)</f>
        <v>0</v>
      </c>
      <c r="AP1468" s="78" t="str">
        <f aca="false">IF(AO1468=1,SUM(AO$7:AO1468),"")</f>
        <v/>
      </c>
      <c r="AQ1468" s="78" t="n">
        <f aca="false">IF(AND(OR(X1468="R",X1468="NX",X1468="NT",X1468="CO"),OR('JOINTS DE RÉPARATION'!$D$5="TOUTES",B1468='JOINTS DE RÉPARATION'!$D$5),OR('JOINTS DE RÉPARATION'!$L$4="TOUS",AM1468&lt;&gt;"ACCEPTÉ")),1,0)</f>
        <v>0</v>
      </c>
      <c r="AR1468" s="78" t="str">
        <f aca="false">IF(AQ1468=1,SUM(AQ$7:AQ1468),"")</f>
        <v/>
      </c>
    </row>
    <row r="1469" customFormat="false" ht="15" hidden="false" customHeight="false" outlineLevel="0" collapsed="false">
      <c r="A1469" s="78" t="str">
        <f aca="false">IF(E1469="","",ROW()-6)</f>
        <v/>
      </c>
      <c r="B1469" s="79"/>
      <c r="C1469" s="80"/>
      <c r="D1469" s="80"/>
      <c r="E1469" s="80"/>
      <c r="F1469" s="80"/>
      <c r="G1469" s="80"/>
      <c r="H1469" s="80"/>
      <c r="I1469" s="80"/>
      <c r="J1469" s="80"/>
      <c r="K1469" s="80"/>
      <c r="L1469" s="81" t="str">
        <f aca="false">IF(K1469="","",IFERROR(INDEX(BARDAGE!$C$7:$C$1506,MATCH(K1469,BARDAGE!$B$7:$B$1506,0)),"? hors registre"))</f>
        <v/>
      </c>
      <c r="M1469" s="80"/>
      <c r="N1469" s="81" t="str">
        <f aca="false">IF(M1469="","",IFERROR(INDEX(BARDAGE!$C$7:$C$1506,MATCH(M1469,BARDAGE!$B$7:$B$1506,0)),"? hors registre"))</f>
        <v/>
      </c>
      <c r="O1469" s="80"/>
      <c r="P1469" s="80"/>
      <c r="Q1469" s="80"/>
      <c r="R1469" s="82"/>
      <c r="S1469" s="82"/>
      <c r="T1469" s="80"/>
      <c r="U1469" s="80"/>
      <c r="V1469" s="82"/>
      <c r="W1469" s="80"/>
      <c r="X1469" s="80"/>
      <c r="Y1469" s="80"/>
      <c r="Z1469" s="80"/>
      <c r="AA1469" s="82"/>
      <c r="AB1469" s="80"/>
      <c r="AC1469" s="80"/>
      <c r="AD1469" s="80"/>
      <c r="AE1469" s="80"/>
      <c r="AF1469" s="82"/>
      <c r="AG1469" s="80"/>
      <c r="AH1469" s="80"/>
      <c r="AI1469" s="82"/>
      <c r="AJ1469" s="79"/>
      <c r="AK1469" s="78" t="str">
        <f aca="false">IF(E1469="","",(X1469&lt;&gt;"")+(AC1469&lt;&gt;"")+(AH1469&lt;&gt;""))</f>
        <v/>
      </c>
      <c r="AL1469" s="81" t="str">
        <f aca="false">IF(AH1469&lt;&gt;"",AH1469,IF(AC1469&lt;&gt;"",AC1469,IF(X1469&lt;&gt;"",X1469,"")))</f>
        <v/>
      </c>
      <c r="AM1469" s="83" t="str">
        <f aca="false">IF(E1469="","",IF(R1469="","À SOUDER",IF(U1469="","VT EN ATTENTE",IF(U1469="R","VT REJETÉ – À REPRENDRE",IF(AL1469="","À RADIOGRAPHIER",IF(AL1469="A","ACCEPTÉ",IF(AL1469="NX","NX – RT À REFAIRE",IF(IF(AK1469=1,Z1469,IF(AK1469=2,AE1469,""))="A","RÉPARÉ – À RADIOGRAPHIER",IF(IF(AK1469=1,Z1469,IF(AK1469=2,AE1469,""))="R","VT REJETÉ – À REPRENDRE",IF(OR(AL1469="CO",AL1469="NT"),"COUPE – À RESOUDER","À RÉPARER"))))))))))</f>
        <v/>
      </c>
      <c r="AN1469" s="81" t="str">
        <f aca="false">IF(AND(ISNUMBER(R1469),OR(AM1469="À RADIOGRAPHIER",AM1469="RÉPARÉ – À RADIOGRAPHIER",AM1469="NX – RT À REFAIRE",AM1469="À RÉPARER",AM1469="COUPE – À RESOUDER",AM1469="VT REJETÉ – À REPRENDRE")),MAX(0,'PROGRAMME RT'!$C$4-R1469),"")</f>
        <v/>
      </c>
      <c r="AO1469" s="78" t="n">
        <f aca="false">IF(AND(OR(AM1469="À RADIOGRAPHIER",AM1469="RÉPARÉ – À RADIOGRAPHIER",AM1469="NX – RT À REFAIRE"),OR('PROGRAMME RT'!$D$5="TOUTES",B1469='PROGRAMME RT'!$D$5)),1,0)</f>
        <v>0</v>
      </c>
      <c r="AP1469" s="78" t="str">
        <f aca="false">IF(AO1469=1,SUM(AO$7:AO1469),"")</f>
        <v/>
      </c>
      <c r="AQ1469" s="78" t="n">
        <f aca="false">IF(AND(OR(X1469="R",X1469="NX",X1469="NT",X1469="CO"),OR('JOINTS DE RÉPARATION'!$D$5="TOUTES",B1469='JOINTS DE RÉPARATION'!$D$5),OR('JOINTS DE RÉPARATION'!$L$4="TOUS",AM1469&lt;&gt;"ACCEPTÉ")),1,0)</f>
        <v>0</v>
      </c>
      <c r="AR1469" s="78" t="str">
        <f aca="false">IF(AQ1469=1,SUM(AQ$7:AQ1469),"")</f>
        <v/>
      </c>
    </row>
    <row r="1470" customFormat="false" ht="15" hidden="false" customHeight="false" outlineLevel="0" collapsed="false">
      <c r="A1470" s="78" t="str">
        <f aca="false">IF(E1470="","",ROW()-6)</f>
        <v/>
      </c>
      <c r="B1470" s="79"/>
      <c r="C1470" s="80"/>
      <c r="D1470" s="80"/>
      <c r="E1470" s="80"/>
      <c r="F1470" s="80"/>
      <c r="G1470" s="80"/>
      <c r="H1470" s="80"/>
      <c r="I1470" s="80"/>
      <c r="J1470" s="80"/>
      <c r="K1470" s="80"/>
      <c r="L1470" s="81" t="str">
        <f aca="false">IF(K1470="","",IFERROR(INDEX(BARDAGE!$C$7:$C$1506,MATCH(K1470,BARDAGE!$B$7:$B$1506,0)),"? hors registre"))</f>
        <v/>
      </c>
      <c r="M1470" s="80"/>
      <c r="N1470" s="81" t="str">
        <f aca="false">IF(M1470="","",IFERROR(INDEX(BARDAGE!$C$7:$C$1506,MATCH(M1470,BARDAGE!$B$7:$B$1506,0)),"? hors registre"))</f>
        <v/>
      </c>
      <c r="O1470" s="80"/>
      <c r="P1470" s="80"/>
      <c r="Q1470" s="80"/>
      <c r="R1470" s="82"/>
      <c r="S1470" s="82"/>
      <c r="T1470" s="80"/>
      <c r="U1470" s="80"/>
      <c r="V1470" s="82"/>
      <c r="W1470" s="80"/>
      <c r="X1470" s="80"/>
      <c r="Y1470" s="80"/>
      <c r="Z1470" s="80"/>
      <c r="AA1470" s="82"/>
      <c r="AB1470" s="80"/>
      <c r="AC1470" s="80"/>
      <c r="AD1470" s="80"/>
      <c r="AE1470" s="80"/>
      <c r="AF1470" s="82"/>
      <c r="AG1470" s="80"/>
      <c r="AH1470" s="80"/>
      <c r="AI1470" s="82"/>
      <c r="AJ1470" s="79"/>
      <c r="AK1470" s="78" t="str">
        <f aca="false">IF(E1470="","",(X1470&lt;&gt;"")+(AC1470&lt;&gt;"")+(AH1470&lt;&gt;""))</f>
        <v/>
      </c>
      <c r="AL1470" s="81" t="str">
        <f aca="false">IF(AH1470&lt;&gt;"",AH1470,IF(AC1470&lt;&gt;"",AC1470,IF(X1470&lt;&gt;"",X1470,"")))</f>
        <v/>
      </c>
      <c r="AM1470" s="83" t="str">
        <f aca="false">IF(E1470="","",IF(R1470="","À SOUDER",IF(U1470="","VT EN ATTENTE",IF(U1470="R","VT REJETÉ – À REPRENDRE",IF(AL1470="","À RADIOGRAPHIER",IF(AL1470="A","ACCEPTÉ",IF(AL1470="NX","NX – RT À REFAIRE",IF(IF(AK1470=1,Z1470,IF(AK1470=2,AE1470,""))="A","RÉPARÉ – À RADIOGRAPHIER",IF(IF(AK1470=1,Z1470,IF(AK1470=2,AE1470,""))="R","VT REJETÉ – À REPRENDRE",IF(OR(AL1470="CO",AL1470="NT"),"COUPE – À RESOUDER","À RÉPARER"))))))))))</f>
        <v/>
      </c>
      <c r="AN1470" s="81" t="str">
        <f aca="false">IF(AND(ISNUMBER(R1470),OR(AM1470="À RADIOGRAPHIER",AM1470="RÉPARÉ – À RADIOGRAPHIER",AM1470="NX – RT À REFAIRE",AM1470="À RÉPARER",AM1470="COUPE – À RESOUDER",AM1470="VT REJETÉ – À REPRENDRE")),MAX(0,'PROGRAMME RT'!$C$4-R1470),"")</f>
        <v/>
      </c>
      <c r="AO1470" s="78" t="n">
        <f aca="false">IF(AND(OR(AM1470="À RADIOGRAPHIER",AM1470="RÉPARÉ – À RADIOGRAPHIER",AM1470="NX – RT À REFAIRE"),OR('PROGRAMME RT'!$D$5="TOUTES",B1470='PROGRAMME RT'!$D$5)),1,0)</f>
        <v>0</v>
      </c>
      <c r="AP1470" s="78" t="str">
        <f aca="false">IF(AO1470=1,SUM(AO$7:AO1470),"")</f>
        <v/>
      </c>
      <c r="AQ1470" s="78" t="n">
        <f aca="false">IF(AND(OR(X1470="R",X1470="NX",X1470="NT",X1470="CO"),OR('JOINTS DE RÉPARATION'!$D$5="TOUTES",B1470='JOINTS DE RÉPARATION'!$D$5),OR('JOINTS DE RÉPARATION'!$L$4="TOUS",AM1470&lt;&gt;"ACCEPTÉ")),1,0)</f>
        <v>0</v>
      </c>
      <c r="AR1470" s="78" t="str">
        <f aca="false">IF(AQ1470=1,SUM(AQ$7:AQ1470),"")</f>
        <v/>
      </c>
    </row>
    <row r="1471" customFormat="false" ht="15" hidden="false" customHeight="false" outlineLevel="0" collapsed="false">
      <c r="A1471" s="78" t="str">
        <f aca="false">IF(E1471="","",ROW()-6)</f>
        <v/>
      </c>
      <c r="B1471" s="79"/>
      <c r="C1471" s="80"/>
      <c r="D1471" s="80"/>
      <c r="E1471" s="80"/>
      <c r="F1471" s="80"/>
      <c r="G1471" s="80"/>
      <c r="H1471" s="80"/>
      <c r="I1471" s="80"/>
      <c r="J1471" s="80"/>
      <c r="K1471" s="80"/>
      <c r="L1471" s="81" t="str">
        <f aca="false">IF(K1471="","",IFERROR(INDEX(BARDAGE!$C$7:$C$1506,MATCH(K1471,BARDAGE!$B$7:$B$1506,0)),"? hors registre"))</f>
        <v/>
      </c>
      <c r="M1471" s="80"/>
      <c r="N1471" s="81" t="str">
        <f aca="false">IF(M1471="","",IFERROR(INDEX(BARDAGE!$C$7:$C$1506,MATCH(M1471,BARDAGE!$B$7:$B$1506,0)),"? hors registre"))</f>
        <v/>
      </c>
      <c r="O1471" s="80"/>
      <c r="P1471" s="80"/>
      <c r="Q1471" s="80"/>
      <c r="R1471" s="82"/>
      <c r="S1471" s="82"/>
      <c r="T1471" s="80"/>
      <c r="U1471" s="80"/>
      <c r="V1471" s="82"/>
      <c r="W1471" s="80"/>
      <c r="X1471" s="80"/>
      <c r="Y1471" s="80"/>
      <c r="Z1471" s="80"/>
      <c r="AA1471" s="82"/>
      <c r="AB1471" s="80"/>
      <c r="AC1471" s="80"/>
      <c r="AD1471" s="80"/>
      <c r="AE1471" s="80"/>
      <c r="AF1471" s="82"/>
      <c r="AG1471" s="80"/>
      <c r="AH1471" s="80"/>
      <c r="AI1471" s="82"/>
      <c r="AJ1471" s="79"/>
      <c r="AK1471" s="78" t="str">
        <f aca="false">IF(E1471="","",(X1471&lt;&gt;"")+(AC1471&lt;&gt;"")+(AH1471&lt;&gt;""))</f>
        <v/>
      </c>
      <c r="AL1471" s="81" t="str">
        <f aca="false">IF(AH1471&lt;&gt;"",AH1471,IF(AC1471&lt;&gt;"",AC1471,IF(X1471&lt;&gt;"",X1471,"")))</f>
        <v/>
      </c>
      <c r="AM1471" s="83" t="str">
        <f aca="false">IF(E1471="","",IF(R1471="","À SOUDER",IF(U1471="","VT EN ATTENTE",IF(U1471="R","VT REJETÉ – À REPRENDRE",IF(AL1471="","À RADIOGRAPHIER",IF(AL1471="A","ACCEPTÉ",IF(AL1471="NX","NX – RT À REFAIRE",IF(IF(AK1471=1,Z1471,IF(AK1471=2,AE1471,""))="A","RÉPARÉ – À RADIOGRAPHIER",IF(IF(AK1471=1,Z1471,IF(AK1471=2,AE1471,""))="R","VT REJETÉ – À REPRENDRE",IF(OR(AL1471="CO",AL1471="NT"),"COUPE – À RESOUDER","À RÉPARER"))))))))))</f>
        <v/>
      </c>
      <c r="AN1471" s="81" t="str">
        <f aca="false">IF(AND(ISNUMBER(R1471),OR(AM1471="À RADIOGRAPHIER",AM1471="RÉPARÉ – À RADIOGRAPHIER",AM1471="NX – RT À REFAIRE",AM1471="À RÉPARER",AM1471="COUPE – À RESOUDER",AM1471="VT REJETÉ – À REPRENDRE")),MAX(0,'PROGRAMME RT'!$C$4-R1471),"")</f>
        <v/>
      </c>
      <c r="AO1471" s="78" t="n">
        <f aca="false">IF(AND(OR(AM1471="À RADIOGRAPHIER",AM1471="RÉPARÉ – À RADIOGRAPHIER",AM1471="NX – RT À REFAIRE"),OR('PROGRAMME RT'!$D$5="TOUTES",B1471='PROGRAMME RT'!$D$5)),1,0)</f>
        <v>0</v>
      </c>
      <c r="AP1471" s="78" t="str">
        <f aca="false">IF(AO1471=1,SUM(AO$7:AO1471),"")</f>
        <v/>
      </c>
      <c r="AQ1471" s="78" t="n">
        <f aca="false">IF(AND(OR(X1471="R",X1471="NX",X1471="NT",X1471="CO"),OR('JOINTS DE RÉPARATION'!$D$5="TOUTES",B1471='JOINTS DE RÉPARATION'!$D$5),OR('JOINTS DE RÉPARATION'!$L$4="TOUS",AM1471&lt;&gt;"ACCEPTÉ")),1,0)</f>
        <v>0</v>
      </c>
      <c r="AR1471" s="78" t="str">
        <f aca="false">IF(AQ1471=1,SUM(AQ$7:AQ1471),"")</f>
        <v/>
      </c>
    </row>
    <row r="1472" customFormat="false" ht="15" hidden="false" customHeight="false" outlineLevel="0" collapsed="false">
      <c r="A1472" s="78" t="str">
        <f aca="false">IF(E1472="","",ROW()-6)</f>
        <v/>
      </c>
      <c r="B1472" s="79"/>
      <c r="C1472" s="80"/>
      <c r="D1472" s="80"/>
      <c r="E1472" s="80"/>
      <c r="F1472" s="80"/>
      <c r="G1472" s="80"/>
      <c r="H1472" s="80"/>
      <c r="I1472" s="80"/>
      <c r="J1472" s="80"/>
      <c r="K1472" s="80"/>
      <c r="L1472" s="81" t="str">
        <f aca="false">IF(K1472="","",IFERROR(INDEX(BARDAGE!$C$7:$C$1506,MATCH(K1472,BARDAGE!$B$7:$B$1506,0)),"? hors registre"))</f>
        <v/>
      </c>
      <c r="M1472" s="80"/>
      <c r="N1472" s="81" t="str">
        <f aca="false">IF(M1472="","",IFERROR(INDEX(BARDAGE!$C$7:$C$1506,MATCH(M1472,BARDAGE!$B$7:$B$1506,0)),"? hors registre"))</f>
        <v/>
      </c>
      <c r="O1472" s="80"/>
      <c r="P1472" s="80"/>
      <c r="Q1472" s="80"/>
      <c r="R1472" s="82"/>
      <c r="S1472" s="82"/>
      <c r="T1472" s="80"/>
      <c r="U1472" s="80"/>
      <c r="V1472" s="82"/>
      <c r="W1472" s="80"/>
      <c r="X1472" s="80"/>
      <c r="Y1472" s="80"/>
      <c r="Z1472" s="80"/>
      <c r="AA1472" s="82"/>
      <c r="AB1472" s="80"/>
      <c r="AC1472" s="80"/>
      <c r="AD1472" s="80"/>
      <c r="AE1472" s="80"/>
      <c r="AF1472" s="82"/>
      <c r="AG1472" s="80"/>
      <c r="AH1472" s="80"/>
      <c r="AI1472" s="82"/>
      <c r="AJ1472" s="79"/>
      <c r="AK1472" s="78" t="str">
        <f aca="false">IF(E1472="","",(X1472&lt;&gt;"")+(AC1472&lt;&gt;"")+(AH1472&lt;&gt;""))</f>
        <v/>
      </c>
      <c r="AL1472" s="81" t="str">
        <f aca="false">IF(AH1472&lt;&gt;"",AH1472,IF(AC1472&lt;&gt;"",AC1472,IF(X1472&lt;&gt;"",X1472,"")))</f>
        <v/>
      </c>
      <c r="AM1472" s="83" t="str">
        <f aca="false">IF(E1472="","",IF(R1472="","À SOUDER",IF(U1472="","VT EN ATTENTE",IF(U1472="R","VT REJETÉ – À REPRENDRE",IF(AL1472="","À RADIOGRAPHIER",IF(AL1472="A","ACCEPTÉ",IF(AL1472="NX","NX – RT À REFAIRE",IF(IF(AK1472=1,Z1472,IF(AK1472=2,AE1472,""))="A","RÉPARÉ – À RADIOGRAPHIER",IF(IF(AK1472=1,Z1472,IF(AK1472=2,AE1472,""))="R","VT REJETÉ – À REPRENDRE",IF(OR(AL1472="CO",AL1472="NT"),"COUPE – À RESOUDER","À RÉPARER"))))))))))</f>
        <v/>
      </c>
      <c r="AN1472" s="81" t="str">
        <f aca="false">IF(AND(ISNUMBER(R1472),OR(AM1472="À RADIOGRAPHIER",AM1472="RÉPARÉ – À RADIOGRAPHIER",AM1472="NX – RT À REFAIRE",AM1472="À RÉPARER",AM1472="COUPE – À RESOUDER",AM1472="VT REJETÉ – À REPRENDRE")),MAX(0,'PROGRAMME RT'!$C$4-R1472),"")</f>
        <v/>
      </c>
      <c r="AO1472" s="78" t="n">
        <f aca="false">IF(AND(OR(AM1472="À RADIOGRAPHIER",AM1472="RÉPARÉ – À RADIOGRAPHIER",AM1472="NX – RT À REFAIRE"),OR('PROGRAMME RT'!$D$5="TOUTES",B1472='PROGRAMME RT'!$D$5)),1,0)</f>
        <v>0</v>
      </c>
      <c r="AP1472" s="78" t="str">
        <f aca="false">IF(AO1472=1,SUM(AO$7:AO1472),"")</f>
        <v/>
      </c>
      <c r="AQ1472" s="78" t="n">
        <f aca="false">IF(AND(OR(X1472="R",X1472="NX",X1472="NT",X1472="CO"),OR('JOINTS DE RÉPARATION'!$D$5="TOUTES",B1472='JOINTS DE RÉPARATION'!$D$5),OR('JOINTS DE RÉPARATION'!$L$4="TOUS",AM1472&lt;&gt;"ACCEPTÉ")),1,0)</f>
        <v>0</v>
      </c>
      <c r="AR1472" s="78" t="str">
        <f aca="false">IF(AQ1472=1,SUM(AQ$7:AQ1472),"")</f>
        <v/>
      </c>
    </row>
    <row r="1473" customFormat="false" ht="15" hidden="false" customHeight="false" outlineLevel="0" collapsed="false">
      <c r="A1473" s="78" t="str">
        <f aca="false">IF(E1473="","",ROW()-6)</f>
        <v/>
      </c>
      <c r="B1473" s="79"/>
      <c r="C1473" s="80"/>
      <c r="D1473" s="80"/>
      <c r="E1473" s="80"/>
      <c r="F1473" s="80"/>
      <c r="G1473" s="80"/>
      <c r="H1473" s="80"/>
      <c r="I1473" s="80"/>
      <c r="J1473" s="80"/>
      <c r="K1473" s="80"/>
      <c r="L1473" s="81" t="str">
        <f aca="false">IF(K1473="","",IFERROR(INDEX(BARDAGE!$C$7:$C$1506,MATCH(K1473,BARDAGE!$B$7:$B$1506,0)),"? hors registre"))</f>
        <v/>
      </c>
      <c r="M1473" s="80"/>
      <c r="N1473" s="81" t="str">
        <f aca="false">IF(M1473="","",IFERROR(INDEX(BARDAGE!$C$7:$C$1506,MATCH(M1473,BARDAGE!$B$7:$B$1506,0)),"? hors registre"))</f>
        <v/>
      </c>
      <c r="O1473" s="80"/>
      <c r="P1473" s="80"/>
      <c r="Q1473" s="80"/>
      <c r="R1473" s="82"/>
      <c r="S1473" s="82"/>
      <c r="T1473" s="80"/>
      <c r="U1473" s="80"/>
      <c r="V1473" s="82"/>
      <c r="W1473" s="80"/>
      <c r="X1473" s="80"/>
      <c r="Y1473" s="80"/>
      <c r="Z1473" s="80"/>
      <c r="AA1473" s="82"/>
      <c r="AB1473" s="80"/>
      <c r="AC1473" s="80"/>
      <c r="AD1473" s="80"/>
      <c r="AE1473" s="80"/>
      <c r="AF1473" s="82"/>
      <c r="AG1473" s="80"/>
      <c r="AH1473" s="80"/>
      <c r="AI1473" s="82"/>
      <c r="AJ1473" s="79"/>
      <c r="AK1473" s="78" t="str">
        <f aca="false">IF(E1473="","",(X1473&lt;&gt;"")+(AC1473&lt;&gt;"")+(AH1473&lt;&gt;""))</f>
        <v/>
      </c>
      <c r="AL1473" s="81" t="str">
        <f aca="false">IF(AH1473&lt;&gt;"",AH1473,IF(AC1473&lt;&gt;"",AC1473,IF(X1473&lt;&gt;"",X1473,"")))</f>
        <v/>
      </c>
      <c r="AM1473" s="83" t="str">
        <f aca="false">IF(E1473="","",IF(R1473="","À SOUDER",IF(U1473="","VT EN ATTENTE",IF(U1473="R","VT REJETÉ – À REPRENDRE",IF(AL1473="","À RADIOGRAPHIER",IF(AL1473="A","ACCEPTÉ",IF(AL1473="NX","NX – RT À REFAIRE",IF(IF(AK1473=1,Z1473,IF(AK1473=2,AE1473,""))="A","RÉPARÉ – À RADIOGRAPHIER",IF(IF(AK1473=1,Z1473,IF(AK1473=2,AE1473,""))="R","VT REJETÉ – À REPRENDRE",IF(OR(AL1473="CO",AL1473="NT"),"COUPE – À RESOUDER","À RÉPARER"))))))))))</f>
        <v/>
      </c>
      <c r="AN1473" s="81" t="str">
        <f aca="false">IF(AND(ISNUMBER(R1473),OR(AM1473="À RADIOGRAPHIER",AM1473="RÉPARÉ – À RADIOGRAPHIER",AM1473="NX – RT À REFAIRE",AM1473="À RÉPARER",AM1473="COUPE – À RESOUDER",AM1473="VT REJETÉ – À REPRENDRE")),MAX(0,'PROGRAMME RT'!$C$4-R1473),"")</f>
        <v/>
      </c>
      <c r="AO1473" s="78" t="n">
        <f aca="false">IF(AND(OR(AM1473="À RADIOGRAPHIER",AM1473="RÉPARÉ – À RADIOGRAPHIER",AM1473="NX – RT À REFAIRE"),OR('PROGRAMME RT'!$D$5="TOUTES",B1473='PROGRAMME RT'!$D$5)),1,0)</f>
        <v>0</v>
      </c>
      <c r="AP1473" s="78" t="str">
        <f aca="false">IF(AO1473=1,SUM(AO$7:AO1473),"")</f>
        <v/>
      </c>
      <c r="AQ1473" s="78" t="n">
        <f aca="false">IF(AND(OR(X1473="R",X1473="NX",X1473="NT",X1473="CO"),OR('JOINTS DE RÉPARATION'!$D$5="TOUTES",B1473='JOINTS DE RÉPARATION'!$D$5),OR('JOINTS DE RÉPARATION'!$L$4="TOUS",AM1473&lt;&gt;"ACCEPTÉ")),1,0)</f>
        <v>0</v>
      </c>
      <c r="AR1473" s="78" t="str">
        <f aca="false">IF(AQ1473=1,SUM(AQ$7:AQ1473),"")</f>
        <v/>
      </c>
    </row>
    <row r="1474" customFormat="false" ht="15" hidden="false" customHeight="false" outlineLevel="0" collapsed="false">
      <c r="A1474" s="78" t="str">
        <f aca="false">IF(E1474="","",ROW()-6)</f>
        <v/>
      </c>
      <c r="B1474" s="79"/>
      <c r="C1474" s="80"/>
      <c r="D1474" s="80"/>
      <c r="E1474" s="80"/>
      <c r="F1474" s="80"/>
      <c r="G1474" s="80"/>
      <c r="H1474" s="80"/>
      <c r="I1474" s="80"/>
      <c r="J1474" s="80"/>
      <c r="K1474" s="80"/>
      <c r="L1474" s="81" t="str">
        <f aca="false">IF(K1474="","",IFERROR(INDEX(BARDAGE!$C$7:$C$1506,MATCH(K1474,BARDAGE!$B$7:$B$1506,0)),"? hors registre"))</f>
        <v/>
      </c>
      <c r="M1474" s="80"/>
      <c r="N1474" s="81" t="str">
        <f aca="false">IF(M1474="","",IFERROR(INDEX(BARDAGE!$C$7:$C$1506,MATCH(M1474,BARDAGE!$B$7:$B$1506,0)),"? hors registre"))</f>
        <v/>
      </c>
      <c r="O1474" s="80"/>
      <c r="P1474" s="80"/>
      <c r="Q1474" s="80"/>
      <c r="R1474" s="82"/>
      <c r="S1474" s="82"/>
      <c r="T1474" s="80"/>
      <c r="U1474" s="80"/>
      <c r="V1474" s="82"/>
      <c r="W1474" s="80"/>
      <c r="X1474" s="80"/>
      <c r="Y1474" s="80"/>
      <c r="Z1474" s="80"/>
      <c r="AA1474" s="82"/>
      <c r="AB1474" s="80"/>
      <c r="AC1474" s="80"/>
      <c r="AD1474" s="80"/>
      <c r="AE1474" s="80"/>
      <c r="AF1474" s="82"/>
      <c r="AG1474" s="80"/>
      <c r="AH1474" s="80"/>
      <c r="AI1474" s="82"/>
      <c r="AJ1474" s="79"/>
      <c r="AK1474" s="78" t="str">
        <f aca="false">IF(E1474="","",(X1474&lt;&gt;"")+(AC1474&lt;&gt;"")+(AH1474&lt;&gt;""))</f>
        <v/>
      </c>
      <c r="AL1474" s="81" t="str">
        <f aca="false">IF(AH1474&lt;&gt;"",AH1474,IF(AC1474&lt;&gt;"",AC1474,IF(X1474&lt;&gt;"",X1474,"")))</f>
        <v/>
      </c>
      <c r="AM1474" s="83" t="str">
        <f aca="false">IF(E1474="","",IF(R1474="","À SOUDER",IF(U1474="","VT EN ATTENTE",IF(U1474="R","VT REJETÉ – À REPRENDRE",IF(AL1474="","À RADIOGRAPHIER",IF(AL1474="A","ACCEPTÉ",IF(AL1474="NX","NX – RT À REFAIRE",IF(IF(AK1474=1,Z1474,IF(AK1474=2,AE1474,""))="A","RÉPARÉ – À RADIOGRAPHIER",IF(IF(AK1474=1,Z1474,IF(AK1474=2,AE1474,""))="R","VT REJETÉ – À REPRENDRE",IF(OR(AL1474="CO",AL1474="NT"),"COUPE – À RESOUDER","À RÉPARER"))))))))))</f>
        <v/>
      </c>
      <c r="AN1474" s="81" t="str">
        <f aca="false">IF(AND(ISNUMBER(R1474),OR(AM1474="À RADIOGRAPHIER",AM1474="RÉPARÉ – À RADIOGRAPHIER",AM1474="NX – RT À REFAIRE",AM1474="À RÉPARER",AM1474="COUPE – À RESOUDER",AM1474="VT REJETÉ – À REPRENDRE")),MAX(0,'PROGRAMME RT'!$C$4-R1474),"")</f>
        <v/>
      </c>
      <c r="AO1474" s="78" t="n">
        <f aca="false">IF(AND(OR(AM1474="À RADIOGRAPHIER",AM1474="RÉPARÉ – À RADIOGRAPHIER",AM1474="NX – RT À REFAIRE"),OR('PROGRAMME RT'!$D$5="TOUTES",B1474='PROGRAMME RT'!$D$5)),1,0)</f>
        <v>0</v>
      </c>
      <c r="AP1474" s="78" t="str">
        <f aca="false">IF(AO1474=1,SUM(AO$7:AO1474),"")</f>
        <v/>
      </c>
      <c r="AQ1474" s="78" t="n">
        <f aca="false">IF(AND(OR(X1474="R",X1474="NX",X1474="NT",X1474="CO"),OR('JOINTS DE RÉPARATION'!$D$5="TOUTES",B1474='JOINTS DE RÉPARATION'!$D$5),OR('JOINTS DE RÉPARATION'!$L$4="TOUS",AM1474&lt;&gt;"ACCEPTÉ")),1,0)</f>
        <v>0</v>
      </c>
      <c r="AR1474" s="78" t="str">
        <f aca="false">IF(AQ1474=1,SUM(AQ$7:AQ1474),"")</f>
        <v/>
      </c>
    </row>
    <row r="1475" customFormat="false" ht="15" hidden="false" customHeight="false" outlineLevel="0" collapsed="false">
      <c r="A1475" s="78" t="str">
        <f aca="false">IF(E1475="","",ROW()-6)</f>
        <v/>
      </c>
      <c r="B1475" s="79"/>
      <c r="C1475" s="80"/>
      <c r="D1475" s="80"/>
      <c r="E1475" s="80"/>
      <c r="F1475" s="80"/>
      <c r="G1475" s="80"/>
      <c r="H1475" s="80"/>
      <c r="I1475" s="80"/>
      <c r="J1475" s="80"/>
      <c r="K1475" s="80"/>
      <c r="L1475" s="81" t="str">
        <f aca="false">IF(K1475="","",IFERROR(INDEX(BARDAGE!$C$7:$C$1506,MATCH(K1475,BARDAGE!$B$7:$B$1506,0)),"? hors registre"))</f>
        <v/>
      </c>
      <c r="M1475" s="80"/>
      <c r="N1475" s="81" t="str">
        <f aca="false">IF(M1475="","",IFERROR(INDEX(BARDAGE!$C$7:$C$1506,MATCH(M1475,BARDAGE!$B$7:$B$1506,0)),"? hors registre"))</f>
        <v/>
      </c>
      <c r="O1475" s="80"/>
      <c r="P1475" s="80"/>
      <c r="Q1475" s="80"/>
      <c r="R1475" s="82"/>
      <c r="S1475" s="82"/>
      <c r="T1475" s="80"/>
      <c r="U1475" s="80"/>
      <c r="V1475" s="82"/>
      <c r="W1475" s="80"/>
      <c r="X1475" s="80"/>
      <c r="Y1475" s="80"/>
      <c r="Z1475" s="80"/>
      <c r="AA1475" s="82"/>
      <c r="AB1475" s="80"/>
      <c r="AC1475" s="80"/>
      <c r="AD1475" s="80"/>
      <c r="AE1475" s="80"/>
      <c r="AF1475" s="82"/>
      <c r="AG1475" s="80"/>
      <c r="AH1475" s="80"/>
      <c r="AI1475" s="82"/>
      <c r="AJ1475" s="79"/>
      <c r="AK1475" s="78" t="str">
        <f aca="false">IF(E1475="","",(X1475&lt;&gt;"")+(AC1475&lt;&gt;"")+(AH1475&lt;&gt;""))</f>
        <v/>
      </c>
      <c r="AL1475" s="81" t="str">
        <f aca="false">IF(AH1475&lt;&gt;"",AH1475,IF(AC1475&lt;&gt;"",AC1475,IF(X1475&lt;&gt;"",X1475,"")))</f>
        <v/>
      </c>
      <c r="AM1475" s="83" t="str">
        <f aca="false">IF(E1475="","",IF(R1475="","À SOUDER",IF(U1475="","VT EN ATTENTE",IF(U1475="R","VT REJETÉ – À REPRENDRE",IF(AL1475="","À RADIOGRAPHIER",IF(AL1475="A","ACCEPTÉ",IF(AL1475="NX","NX – RT À REFAIRE",IF(IF(AK1475=1,Z1475,IF(AK1475=2,AE1475,""))="A","RÉPARÉ – À RADIOGRAPHIER",IF(IF(AK1475=1,Z1475,IF(AK1475=2,AE1475,""))="R","VT REJETÉ – À REPRENDRE",IF(OR(AL1475="CO",AL1475="NT"),"COUPE – À RESOUDER","À RÉPARER"))))))))))</f>
        <v/>
      </c>
      <c r="AN1475" s="81" t="str">
        <f aca="false">IF(AND(ISNUMBER(R1475),OR(AM1475="À RADIOGRAPHIER",AM1475="RÉPARÉ – À RADIOGRAPHIER",AM1475="NX – RT À REFAIRE",AM1475="À RÉPARER",AM1475="COUPE – À RESOUDER",AM1475="VT REJETÉ – À REPRENDRE")),MAX(0,'PROGRAMME RT'!$C$4-R1475),"")</f>
        <v/>
      </c>
      <c r="AO1475" s="78" t="n">
        <f aca="false">IF(AND(OR(AM1475="À RADIOGRAPHIER",AM1475="RÉPARÉ – À RADIOGRAPHIER",AM1475="NX – RT À REFAIRE"),OR('PROGRAMME RT'!$D$5="TOUTES",B1475='PROGRAMME RT'!$D$5)),1,0)</f>
        <v>0</v>
      </c>
      <c r="AP1475" s="78" t="str">
        <f aca="false">IF(AO1475=1,SUM(AO$7:AO1475),"")</f>
        <v/>
      </c>
      <c r="AQ1475" s="78" t="n">
        <f aca="false">IF(AND(OR(X1475="R",X1475="NX",X1475="NT",X1475="CO"),OR('JOINTS DE RÉPARATION'!$D$5="TOUTES",B1475='JOINTS DE RÉPARATION'!$D$5),OR('JOINTS DE RÉPARATION'!$L$4="TOUS",AM1475&lt;&gt;"ACCEPTÉ")),1,0)</f>
        <v>0</v>
      </c>
      <c r="AR1475" s="78" t="str">
        <f aca="false">IF(AQ1475=1,SUM(AQ$7:AQ1475),"")</f>
        <v/>
      </c>
    </row>
    <row r="1476" customFormat="false" ht="15" hidden="false" customHeight="false" outlineLevel="0" collapsed="false">
      <c r="A1476" s="78" t="str">
        <f aca="false">IF(E1476="","",ROW()-6)</f>
        <v/>
      </c>
      <c r="B1476" s="79"/>
      <c r="C1476" s="80"/>
      <c r="D1476" s="80"/>
      <c r="E1476" s="80"/>
      <c r="F1476" s="80"/>
      <c r="G1476" s="80"/>
      <c r="H1476" s="80"/>
      <c r="I1476" s="80"/>
      <c r="J1476" s="80"/>
      <c r="K1476" s="80"/>
      <c r="L1476" s="81" t="str">
        <f aca="false">IF(K1476="","",IFERROR(INDEX(BARDAGE!$C$7:$C$1506,MATCH(K1476,BARDAGE!$B$7:$B$1506,0)),"? hors registre"))</f>
        <v/>
      </c>
      <c r="M1476" s="80"/>
      <c r="N1476" s="81" t="str">
        <f aca="false">IF(M1476="","",IFERROR(INDEX(BARDAGE!$C$7:$C$1506,MATCH(M1476,BARDAGE!$B$7:$B$1506,0)),"? hors registre"))</f>
        <v/>
      </c>
      <c r="O1476" s="80"/>
      <c r="P1476" s="80"/>
      <c r="Q1476" s="80"/>
      <c r="R1476" s="82"/>
      <c r="S1476" s="82"/>
      <c r="T1476" s="80"/>
      <c r="U1476" s="80"/>
      <c r="V1476" s="82"/>
      <c r="W1476" s="80"/>
      <c r="X1476" s="80"/>
      <c r="Y1476" s="80"/>
      <c r="Z1476" s="80"/>
      <c r="AA1476" s="82"/>
      <c r="AB1476" s="80"/>
      <c r="AC1476" s="80"/>
      <c r="AD1476" s="80"/>
      <c r="AE1476" s="80"/>
      <c r="AF1476" s="82"/>
      <c r="AG1476" s="80"/>
      <c r="AH1476" s="80"/>
      <c r="AI1476" s="82"/>
      <c r="AJ1476" s="79"/>
      <c r="AK1476" s="78" t="str">
        <f aca="false">IF(E1476="","",(X1476&lt;&gt;"")+(AC1476&lt;&gt;"")+(AH1476&lt;&gt;""))</f>
        <v/>
      </c>
      <c r="AL1476" s="81" t="str">
        <f aca="false">IF(AH1476&lt;&gt;"",AH1476,IF(AC1476&lt;&gt;"",AC1476,IF(X1476&lt;&gt;"",X1476,"")))</f>
        <v/>
      </c>
      <c r="AM1476" s="83" t="str">
        <f aca="false">IF(E1476="","",IF(R1476="","À SOUDER",IF(U1476="","VT EN ATTENTE",IF(U1476="R","VT REJETÉ – À REPRENDRE",IF(AL1476="","À RADIOGRAPHIER",IF(AL1476="A","ACCEPTÉ",IF(AL1476="NX","NX – RT À REFAIRE",IF(IF(AK1476=1,Z1476,IF(AK1476=2,AE1476,""))="A","RÉPARÉ – À RADIOGRAPHIER",IF(IF(AK1476=1,Z1476,IF(AK1476=2,AE1476,""))="R","VT REJETÉ – À REPRENDRE",IF(OR(AL1476="CO",AL1476="NT"),"COUPE – À RESOUDER","À RÉPARER"))))))))))</f>
        <v/>
      </c>
      <c r="AN1476" s="81" t="str">
        <f aca="false">IF(AND(ISNUMBER(R1476),OR(AM1476="À RADIOGRAPHIER",AM1476="RÉPARÉ – À RADIOGRAPHIER",AM1476="NX – RT À REFAIRE",AM1476="À RÉPARER",AM1476="COUPE – À RESOUDER",AM1476="VT REJETÉ – À REPRENDRE")),MAX(0,'PROGRAMME RT'!$C$4-R1476),"")</f>
        <v/>
      </c>
      <c r="AO1476" s="78" t="n">
        <f aca="false">IF(AND(OR(AM1476="À RADIOGRAPHIER",AM1476="RÉPARÉ – À RADIOGRAPHIER",AM1476="NX – RT À REFAIRE"),OR('PROGRAMME RT'!$D$5="TOUTES",B1476='PROGRAMME RT'!$D$5)),1,0)</f>
        <v>0</v>
      </c>
      <c r="AP1476" s="78" t="str">
        <f aca="false">IF(AO1476=1,SUM(AO$7:AO1476),"")</f>
        <v/>
      </c>
      <c r="AQ1476" s="78" t="n">
        <f aca="false">IF(AND(OR(X1476="R",X1476="NX",X1476="NT",X1476="CO"),OR('JOINTS DE RÉPARATION'!$D$5="TOUTES",B1476='JOINTS DE RÉPARATION'!$D$5),OR('JOINTS DE RÉPARATION'!$L$4="TOUS",AM1476&lt;&gt;"ACCEPTÉ")),1,0)</f>
        <v>0</v>
      </c>
      <c r="AR1476" s="78" t="str">
        <f aca="false">IF(AQ1476=1,SUM(AQ$7:AQ1476),"")</f>
        <v/>
      </c>
    </row>
    <row r="1477" customFormat="false" ht="15" hidden="false" customHeight="false" outlineLevel="0" collapsed="false">
      <c r="A1477" s="78" t="str">
        <f aca="false">IF(E1477="","",ROW()-6)</f>
        <v/>
      </c>
      <c r="B1477" s="79"/>
      <c r="C1477" s="80"/>
      <c r="D1477" s="80"/>
      <c r="E1477" s="80"/>
      <c r="F1477" s="80"/>
      <c r="G1477" s="80"/>
      <c r="H1477" s="80"/>
      <c r="I1477" s="80"/>
      <c r="J1477" s="80"/>
      <c r="K1477" s="80"/>
      <c r="L1477" s="81" t="str">
        <f aca="false">IF(K1477="","",IFERROR(INDEX(BARDAGE!$C$7:$C$1506,MATCH(K1477,BARDAGE!$B$7:$B$1506,0)),"? hors registre"))</f>
        <v/>
      </c>
      <c r="M1477" s="80"/>
      <c r="N1477" s="81" t="str">
        <f aca="false">IF(M1477="","",IFERROR(INDEX(BARDAGE!$C$7:$C$1506,MATCH(M1477,BARDAGE!$B$7:$B$1506,0)),"? hors registre"))</f>
        <v/>
      </c>
      <c r="O1477" s="80"/>
      <c r="P1477" s="80"/>
      <c r="Q1477" s="80"/>
      <c r="R1477" s="82"/>
      <c r="S1477" s="82"/>
      <c r="T1477" s="80"/>
      <c r="U1477" s="80"/>
      <c r="V1477" s="82"/>
      <c r="W1477" s="80"/>
      <c r="X1477" s="80"/>
      <c r="Y1477" s="80"/>
      <c r="Z1477" s="80"/>
      <c r="AA1477" s="82"/>
      <c r="AB1477" s="80"/>
      <c r="AC1477" s="80"/>
      <c r="AD1477" s="80"/>
      <c r="AE1477" s="80"/>
      <c r="AF1477" s="82"/>
      <c r="AG1477" s="80"/>
      <c r="AH1477" s="80"/>
      <c r="AI1477" s="82"/>
      <c r="AJ1477" s="79"/>
      <c r="AK1477" s="78" t="str">
        <f aca="false">IF(E1477="","",(X1477&lt;&gt;"")+(AC1477&lt;&gt;"")+(AH1477&lt;&gt;""))</f>
        <v/>
      </c>
      <c r="AL1477" s="81" t="str">
        <f aca="false">IF(AH1477&lt;&gt;"",AH1477,IF(AC1477&lt;&gt;"",AC1477,IF(X1477&lt;&gt;"",X1477,"")))</f>
        <v/>
      </c>
      <c r="AM1477" s="83" t="str">
        <f aca="false">IF(E1477="","",IF(R1477="","À SOUDER",IF(U1477="","VT EN ATTENTE",IF(U1477="R","VT REJETÉ – À REPRENDRE",IF(AL1477="","À RADIOGRAPHIER",IF(AL1477="A","ACCEPTÉ",IF(AL1477="NX","NX – RT À REFAIRE",IF(IF(AK1477=1,Z1477,IF(AK1477=2,AE1477,""))="A","RÉPARÉ – À RADIOGRAPHIER",IF(IF(AK1477=1,Z1477,IF(AK1477=2,AE1477,""))="R","VT REJETÉ – À REPRENDRE",IF(OR(AL1477="CO",AL1477="NT"),"COUPE – À RESOUDER","À RÉPARER"))))))))))</f>
        <v/>
      </c>
      <c r="AN1477" s="81" t="str">
        <f aca="false">IF(AND(ISNUMBER(R1477),OR(AM1477="À RADIOGRAPHIER",AM1477="RÉPARÉ – À RADIOGRAPHIER",AM1477="NX – RT À REFAIRE",AM1477="À RÉPARER",AM1477="COUPE – À RESOUDER",AM1477="VT REJETÉ – À REPRENDRE")),MAX(0,'PROGRAMME RT'!$C$4-R1477),"")</f>
        <v/>
      </c>
      <c r="AO1477" s="78" t="n">
        <f aca="false">IF(AND(OR(AM1477="À RADIOGRAPHIER",AM1477="RÉPARÉ – À RADIOGRAPHIER",AM1477="NX – RT À REFAIRE"),OR('PROGRAMME RT'!$D$5="TOUTES",B1477='PROGRAMME RT'!$D$5)),1,0)</f>
        <v>0</v>
      </c>
      <c r="AP1477" s="78" t="str">
        <f aca="false">IF(AO1477=1,SUM(AO$7:AO1477),"")</f>
        <v/>
      </c>
      <c r="AQ1477" s="78" t="n">
        <f aca="false">IF(AND(OR(X1477="R",X1477="NX",X1477="NT",X1477="CO"),OR('JOINTS DE RÉPARATION'!$D$5="TOUTES",B1477='JOINTS DE RÉPARATION'!$D$5),OR('JOINTS DE RÉPARATION'!$L$4="TOUS",AM1477&lt;&gt;"ACCEPTÉ")),1,0)</f>
        <v>0</v>
      </c>
      <c r="AR1477" s="78" t="str">
        <f aca="false">IF(AQ1477=1,SUM(AQ$7:AQ1477),"")</f>
        <v/>
      </c>
    </row>
    <row r="1478" customFormat="false" ht="15" hidden="false" customHeight="false" outlineLevel="0" collapsed="false">
      <c r="A1478" s="78" t="str">
        <f aca="false">IF(E1478="","",ROW()-6)</f>
        <v/>
      </c>
      <c r="B1478" s="79"/>
      <c r="C1478" s="80"/>
      <c r="D1478" s="80"/>
      <c r="E1478" s="80"/>
      <c r="F1478" s="80"/>
      <c r="G1478" s="80"/>
      <c r="H1478" s="80"/>
      <c r="I1478" s="80"/>
      <c r="J1478" s="80"/>
      <c r="K1478" s="80"/>
      <c r="L1478" s="81" t="str">
        <f aca="false">IF(K1478="","",IFERROR(INDEX(BARDAGE!$C$7:$C$1506,MATCH(K1478,BARDAGE!$B$7:$B$1506,0)),"? hors registre"))</f>
        <v/>
      </c>
      <c r="M1478" s="80"/>
      <c r="N1478" s="81" t="str">
        <f aca="false">IF(M1478="","",IFERROR(INDEX(BARDAGE!$C$7:$C$1506,MATCH(M1478,BARDAGE!$B$7:$B$1506,0)),"? hors registre"))</f>
        <v/>
      </c>
      <c r="O1478" s="80"/>
      <c r="P1478" s="80"/>
      <c r="Q1478" s="80"/>
      <c r="R1478" s="82"/>
      <c r="S1478" s="82"/>
      <c r="T1478" s="80"/>
      <c r="U1478" s="80"/>
      <c r="V1478" s="82"/>
      <c r="W1478" s="80"/>
      <c r="X1478" s="80"/>
      <c r="Y1478" s="80"/>
      <c r="Z1478" s="80"/>
      <c r="AA1478" s="82"/>
      <c r="AB1478" s="80"/>
      <c r="AC1478" s="80"/>
      <c r="AD1478" s="80"/>
      <c r="AE1478" s="80"/>
      <c r="AF1478" s="82"/>
      <c r="AG1478" s="80"/>
      <c r="AH1478" s="80"/>
      <c r="AI1478" s="82"/>
      <c r="AJ1478" s="79"/>
      <c r="AK1478" s="78" t="str">
        <f aca="false">IF(E1478="","",(X1478&lt;&gt;"")+(AC1478&lt;&gt;"")+(AH1478&lt;&gt;""))</f>
        <v/>
      </c>
      <c r="AL1478" s="81" t="str">
        <f aca="false">IF(AH1478&lt;&gt;"",AH1478,IF(AC1478&lt;&gt;"",AC1478,IF(X1478&lt;&gt;"",X1478,"")))</f>
        <v/>
      </c>
      <c r="AM1478" s="83" t="str">
        <f aca="false">IF(E1478="","",IF(R1478="","À SOUDER",IF(U1478="","VT EN ATTENTE",IF(U1478="R","VT REJETÉ – À REPRENDRE",IF(AL1478="","À RADIOGRAPHIER",IF(AL1478="A","ACCEPTÉ",IF(AL1478="NX","NX – RT À REFAIRE",IF(IF(AK1478=1,Z1478,IF(AK1478=2,AE1478,""))="A","RÉPARÉ – À RADIOGRAPHIER",IF(IF(AK1478=1,Z1478,IF(AK1478=2,AE1478,""))="R","VT REJETÉ – À REPRENDRE",IF(OR(AL1478="CO",AL1478="NT"),"COUPE – À RESOUDER","À RÉPARER"))))))))))</f>
        <v/>
      </c>
      <c r="AN1478" s="81" t="str">
        <f aca="false">IF(AND(ISNUMBER(R1478),OR(AM1478="À RADIOGRAPHIER",AM1478="RÉPARÉ – À RADIOGRAPHIER",AM1478="NX – RT À REFAIRE",AM1478="À RÉPARER",AM1478="COUPE – À RESOUDER",AM1478="VT REJETÉ – À REPRENDRE")),MAX(0,'PROGRAMME RT'!$C$4-R1478),"")</f>
        <v/>
      </c>
      <c r="AO1478" s="78" t="n">
        <f aca="false">IF(AND(OR(AM1478="À RADIOGRAPHIER",AM1478="RÉPARÉ – À RADIOGRAPHIER",AM1478="NX – RT À REFAIRE"),OR('PROGRAMME RT'!$D$5="TOUTES",B1478='PROGRAMME RT'!$D$5)),1,0)</f>
        <v>0</v>
      </c>
      <c r="AP1478" s="78" t="str">
        <f aca="false">IF(AO1478=1,SUM(AO$7:AO1478),"")</f>
        <v/>
      </c>
      <c r="AQ1478" s="78" t="n">
        <f aca="false">IF(AND(OR(X1478="R",X1478="NX",X1478="NT",X1478="CO"),OR('JOINTS DE RÉPARATION'!$D$5="TOUTES",B1478='JOINTS DE RÉPARATION'!$D$5),OR('JOINTS DE RÉPARATION'!$L$4="TOUS",AM1478&lt;&gt;"ACCEPTÉ")),1,0)</f>
        <v>0</v>
      </c>
      <c r="AR1478" s="78" t="str">
        <f aca="false">IF(AQ1478=1,SUM(AQ$7:AQ1478),"")</f>
        <v/>
      </c>
    </row>
    <row r="1479" customFormat="false" ht="15" hidden="false" customHeight="false" outlineLevel="0" collapsed="false">
      <c r="A1479" s="78" t="str">
        <f aca="false">IF(E1479="","",ROW()-6)</f>
        <v/>
      </c>
      <c r="B1479" s="79"/>
      <c r="C1479" s="80"/>
      <c r="D1479" s="80"/>
      <c r="E1479" s="80"/>
      <c r="F1479" s="80"/>
      <c r="G1479" s="80"/>
      <c r="H1479" s="80"/>
      <c r="I1479" s="80"/>
      <c r="J1479" s="80"/>
      <c r="K1479" s="80"/>
      <c r="L1479" s="81" t="str">
        <f aca="false">IF(K1479="","",IFERROR(INDEX(BARDAGE!$C$7:$C$1506,MATCH(K1479,BARDAGE!$B$7:$B$1506,0)),"? hors registre"))</f>
        <v/>
      </c>
      <c r="M1479" s="80"/>
      <c r="N1479" s="81" t="str">
        <f aca="false">IF(M1479="","",IFERROR(INDEX(BARDAGE!$C$7:$C$1506,MATCH(M1479,BARDAGE!$B$7:$B$1506,0)),"? hors registre"))</f>
        <v/>
      </c>
      <c r="O1479" s="80"/>
      <c r="P1479" s="80"/>
      <c r="Q1479" s="80"/>
      <c r="R1479" s="82"/>
      <c r="S1479" s="82"/>
      <c r="T1479" s="80"/>
      <c r="U1479" s="80"/>
      <c r="V1479" s="82"/>
      <c r="W1479" s="80"/>
      <c r="X1479" s="80"/>
      <c r="Y1479" s="80"/>
      <c r="Z1479" s="80"/>
      <c r="AA1479" s="82"/>
      <c r="AB1479" s="80"/>
      <c r="AC1479" s="80"/>
      <c r="AD1479" s="80"/>
      <c r="AE1479" s="80"/>
      <c r="AF1479" s="82"/>
      <c r="AG1479" s="80"/>
      <c r="AH1479" s="80"/>
      <c r="AI1479" s="82"/>
      <c r="AJ1479" s="79"/>
      <c r="AK1479" s="78" t="str">
        <f aca="false">IF(E1479="","",(X1479&lt;&gt;"")+(AC1479&lt;&gt;"")+(AH1479&lt;&gt;""))</f>
        <v/>
      </c>
      <c r="AL1479" s="81" t="str">
        <f aca="false">IF(AH1479&lt;&gt;"",AH1479,IF(AC1479&lt;&gt;"",AC1479,IF(X1479&lt;&gt;"",X1479,"")))</f>
        <v/>
      </c>
      <c r="AM1479" s="83" t="str">
        <f aca="false">IF(E1479="","",IF(R1479="","À SOUDER",IF(U1479="","VT EN ATTENTE",IF(U1479="R","VT REJETÉ – À REPRENDRE",IF(AL1479="","À RADIOGRAPHIER",IF(AL1479="A","ACCEPTÉ",IF(AL1479="NX","NX – RT À REFAIRE",IF(IF(AK1479=1,Z1479,IF(AK1479=2,AE1479,""))="A","RÉPARÉ – À RADIOGRAPHIER",IF(IF(AK1479=1,Z1479,IF(AK1479=2,AE1479,""))="R","VT REJETÉ – À REPRENDRE",IF(OR(AL1479="CO",AL1479="NT"),"COUPE – À RESOUDER","À RÉPARER"))))))))))</f>
        <v/>
      </c>
      <c r="AN1479" s="81" t="str">
        <f aca="false">IF(AND(ISNUMBER(R1479),OR(AM1479="À RADIOGRAPHIER",AM1479="RÉPARÉ – À RADIOGRAPHIER",AM1479="NX – RT À REFAIRE",AM1479="À RÉPARER",AM1479="COUPE – À RESOUDER",AM1479="VT REJETÉ – À REPRENDRE")),MAX(0,'PROGRAMME RT'!$C$4-R1479),"")</f>
        <v/>
      </c>
      <c r="AO1479" s="78" t="n">
        <f aca="false">IF(AND(OR(AM1479="À RADIOGRAPHIER",AM1479="RÉPARÉ – À RADIOGRAPHIER",AM1479="NX – RT À REFAIRE"),OR('PROGRAMME RT'!$D$5="TOUTES",B1479='PROGRAMME RT'!$D$5)),1,0)</f>
        <v>0</v>
      </c>
      <c r="AP1479" s="78" t="str">
        <f aca="false">IF(AO1479=1,SUM(AO$7:AO1479),"")</f>
        <v/>
      </c>
      <c r="AQ1479" s="78" t="n">
        <f aca="false">IF(AND(OR(X1479="R",X1479="NX",X1479="NT",X1479="CO"),OR('JOINTS DE RÉPARATION'!$D$5="TOUTES",B1479='JOINTS DE RÉPARATION'!$D$5),OR('JOINTS DE RÉPARATION'!$L$4="TOUS",AM1479&lt;&gt;"ACCEPTÉ")),1,0)</f>
        <v>0</v>
      </c>
      <c r="AR1479" s="78" t="str">
        <f aca="false">IF(AQ1479=1,SUM(AQ$7:AQ1479),"")</f>
        <v/>
      </c>
    </row>
    <row r="1480" customFormat="false" ht="15" hidden="false" customHeight="false" outlineLevel="0" collapsed="false">
      <c r="A1480" s="78" t="str">
        <f aca="false">IF(E1480="","",ROW()-6)</f>
        <v/>
      </c>
      <c r="B1480" s="79"/>
      <c r="C1480" s="80"/>
      <c r="D1480" s="80"/>
      <c r="E1480" s="80"/>
      <c r="F1480" s="80"/>
      <c r="G1480" s="80"/>
      <c r="H1480" s="80"/>
      <c r="I1480" s="80"/>
      <c r="J1480" s="80"/>
      <c r="K1480" s="80"/>
      <c r="L1480" s="81" t="str">
        <f aca="false">IF(K1480="","",IFERROR(INDEX(BARDAGE!$C$7:$C$1506,MATCH(K1480,BARDAGE!$B$7:$B$1506,0)),"? hors registre"))</f>
        <v/>
      </c>
      <c r="M1480" s="80"/>
      <c r="N1480" s="81" t="str">
        <f aca="false">IF(M1480="","",IFERROR(INDEX(BARDAGE!$C$7:$C$1506,MATCH(M1480,BARDAGE!$B$7:$B$1506,0)),"? hors registre"))</f>
        <v/>
      </c>
      <c r="O1480" s="80"/>
      <c r="P1480" s="80"/>
      <c r="Q1480" s="80"/>
      <c r="R1480" s="82"/>
      <c r="S1480" s="82"/>
      <c r="T1480" s="80"/>
      <c r="U1480" s="80"/>
      <c r="V1480" s="82"/>
      <c r="W1480" s="80"/>
      <c r="X1480" s="80"/>
      <c r="Y1480" s="80"/>
      <c r="Z1480" s="80"/>
      <c r="AA1480" s="82"/>
      <c r="AB1480" s="80"/>
      <c r="AC1480" s="80"/>
      <c r="AD1480" s="80"/>
      <c r="AE1480" s="80"/>
      <c r="AF1480" s="82"/>
      <c r="AG1480" s="80"/>
      <c r="AH1480" s="80"/>
      <c r="AI1480" s="82"/>
      <c r="AJ1480" s="79"/>
      <c r="AK1480" s="78" t="str">
        <f aca="false">IF(E1480="","",(X1480&lt;&gt;"")+(AC1480&lt;&gt;"")+(AH1480&lt;&gt;""))</f>
        <v/>
      </c>
      <c r="AL1480" s="81" t="str">
        <f aca="false">IF(AH1480&lt;&gt;"",AH1480,IF(AC1480&lt;&gt;"",AC1480,IF(X1480&lt;&gt;"",X1480,"")))</f>
        <v/>
      </c>
      <c r="AM1480" s="83" t="str">
        <f aca="false">IF(E1480="","",IF(R1480="","À SOUDER",IF(U1480="","VT EN ATTENTE",IF(U1480="R","VT REJETÉ – À REPRENDRE",IF(AL1480="","À RADIOGRAPHIER",IF(AL1480="A","ACCEPTÉ",IF(AL1480="NX","NX – RT À REFAIRE",IF(IF(AK1480=1,Z1480,IF(AK1480=2,AE1480,""))="A","RÉPARÉ – À RADIOGRAPHIER",IF(IF(AK1480=1,Z1480,IF(AK1480=2,AE1480,""))="R","VT REJETÉ – À REPRENDRE",IF(OR(AL1480="CO",AL1480="NT"),"COUPE – À RESOUDER","À RÉPARER"))))))))))</f>
        <v/>
      </c>
      <c r="AN1480" s="81" t="str">
        <f aca="false">IF(AND(ISNUMBER(R1480),OR(AM1480="À RADIOGRAPHIER",AM1480="RÉPARÉ – À RADIOGRAPHIER",AM1480="NX – RT À REFAIRE",AM1480="À RÉPARER",AM1480="COUPE – À RESOUDER",AM1480="VT REJETÉ – À REPRENDRE")),MAX(0,'PROGRAMME RT'!$C$4-R1480),"")</f>
        <v/>
      </c>
      <c r="AO1480" s="78" t="n">
        <f aca="false">IF(AND(OR(AM1480="À RADIOGRAPHIER",AM1480="RÉPARÉ – À RADIOGRAPHIER",AM1480="NX – RT À REFAIRE"),OR('PROGRAMME RT'!$D$5="TOUTES",B1480='PROGRAMME RT'!$D$5)),1,0)</f>
        <v>0</v>
      </c>
      <c r="AP1480" s="78" t="str">
        <f aca="false">IF(AO1480=1,SUM(AO$7:AO1480),"")</f>
        <v/>
      </c>
      <c r="AQ1480" s="78" t="n">
        <f aca="false">IF(AND(OR(X1480="R",X1480="NX",X1480="NT",X1480="CO"),OR('JOINTS DE RÉPARATION'!$D$5="TOUTES",B1480='JOINTS DE RÉPARATION'!$D$5),OR('JOINTS DE RÉPARATION'!$L$4="TOUS",AM1480&lt;&gt;"ACCEPTÉ")),1,0)</f>
        <v>0</v>
      </c>
      <c r="AR1480" s="78" t="str">
        <f aca="false">IF(AQ1480=1,SUM(AQ$7:AQ1480),"")</f>
        <v/>
      </c>
    </row>
    <row r="1481" customFormat="false" ht="15" hidden="false" customHeight="false" outlineLevel="0" collapsed="false">
      <c r="A1481" s="78" t="str">
        <f aca="false">IF(E1481="","",ROW()-6)</f>
        <v/>
      </c>
      <c r="B1481" s="79"/>
      <c r="C1481" s="80"/>
      <c r="D1481" s="80"/>
      <c r="E1481" s="80"/>
      <c r="F1481" s="80"/>
      <c r="G1481" s="80"/>
      <c r="H1481" s="80"/>
      <c r="I1481" s="80"/>
      <c r="J1481" s="80"/>
      <c r="K1481" s="80"/>
      <c r="L1481" s="81" t="str">
        <f aca="false">IF(K1481="","",IFERROR(INDEX(BARDAGE!$C$7:$C$1506,MATCH(K1481,BARDAGE!$B$7:$B$1506,0)),"? hors registre"))</f>
        <v/>
      </c>
      <c r="M1481" s="80"/>
      <c r="N1481" s="81" t="str">
        <f aca="false">IF(M1481="","",IFERROR(INDEX(BARDAGE!$C$7:$C$1506,MATCH(M1481,BARDAGE!$B$7:$B$1506,0)),"? hors registre"))</f>
        <v/>
      </c>
      <c r="O1481" s="80"/>
      <c r="P1481" s="80"/>
      <c r="Q1481" s="80"/>
      <c r="R1481" s="82"/>
      <c r="S1481" s="82"/>
      <c r="T1481" s="80"/>
      <c r="U1481" s="80"/>
      <c r="V1481" s="82"/>
      <c r="W1481" s="80"/>
      <c r="X1481" s="80"/>
      <c r="Y1481" s="80"/>
      <c r="Z1481" s="80"/>
      <c r="AA1481" s="82"/>
      <c r="AB1481" s="80"/>
      <c r="AC1481" s="80"/>
      <c r="AD1481" s="80"/>
      <c r="AE1481" s="80"/>
      <c r="AF1481" s="82"/>
      <c r="AG1481" s="80"/>
      <c r="AH1481" s="80"/>
      <c r="AI1481" s="82"/>
      <c r="AJ1481" s="79"/>
      <c r="AK1481" s="78" t="str">
        <f aca="false">IF(E1481="","",(X1481&lt;&gt;"")+(AC1481&lt;&gt;"")+(AH1481&lt;&gt;""))</f>
        <v/>
      </c>
      <c r="AL1481" s="81" t="str">
        <f aca="false">IF(AH1481&lt;&gt;"",AH1481,IF(AC1481&lt;&gt;"",AC1481,IF(X1481&lt;&gt;"",X1481,"")))</f>
        <v/>
      </c>
      <c r="AM1481" s="83" t="str">
        <f aca="false">IF(E1481="","",IF(R1481="","À SOUDER",IF(U1481="","VT EN ATTENTE",IF(U1481="R","VT REJETÉ – À REPRENDRE",IF(AL1481="","À RADIOGRAPHIER",IF(AL1481="A","ACCEPTÉ",IF(AL1481="NX","NX – RT À REFAIRE",IF(IF(AK1481=1,Z1481,IF(AK1481=2,AE1481,""))="A","RÉPARÉ – À RADIOGRAPHIER",IF(IF(AK1481=1,Z1481,IF(AK1481=2,AE1481,""))="R","VT REJETÉ – À REPRENDRE",IF(OR(AL1481="CO",AL1481="NT"),"COUPE – À RESOUDER","À RÉPARER"))))))))))</f>
        <v/>
      </c>
      <c r="AN1481" s="81" t="str">
        <f aca="false">IF(AND(ISNUMBER(R1481),OR(AM1481="À RADIOGRAPHIER",AM1481="RÉPARÉ – À RADIOGRAPHIER",AM1481="NX – RT À REFAIRE",AM1481="À RÉPARER",AM1481="COUPE – À RESOUDER",AM1481="VT REJETÉ – À REPRENDRE")),MAX(0,'PROGRAMME RT'!$C$4-R1481),"")</f>
        <v/>
      </c>
      <c r="AO1481" s="78" t="n">
        <f aca="false">IF(AND(OR(AM1481="À RADIOGRAPHIER",AM1481="RÉPARÉ – À RADIOGRAPHIER",AM1481="NX – RT À REFAIRE"),OR('PROGRAMME RT'!$D$5="TOUTES",B1481='PROGRAMME RT'!$D$5)),1,0)</f>
        <v>0</v>
      </c>
      <c r="AP1481" s="78" t="str">
        <f aca="false">IF(AO1481=1,SUM(AO$7:AO1481),"")</f>
        <v/>
      </c>
      <c r="AQ1481" s="78" t="n">
        <f aca="false">IF(AND(OR(X1481="R",X1481="NX",X1481="NT",X1481="CO"),OR('JOINTS DE RÉPARATION'!$D$5="TOUTES",B1481='JOINTS DE RÉPARATION'!$D$5),OR('JOINTS DE RÉPARATION'!$L$4="TOUS",AM1481&lt;&gt;"ACCEPTÉ")),1,0)</f>
        <v>0</v>
      </c>
      <c r="AR1481" s="78" t="str">
        <f aca="false">IF(AQ1481=1,SUM(AQ$7:AQ1481),"")</f>
        <v/>
      </c>
    </row>
    <row r="1482" customFormat="false" ht="15" hidden="false" customHeight="false" outlineLevel="0" collapsed="false">
      <c r="A1482" s="78" t="str">
        <f aca="false">IF(E1482="","",ROW()-6)</f>
        <v/>
      </c>
      <c r="B1482" s="79"/>
      <c r="C1482" s="80"/>
      <c r="D1482" s="80"/>
      <c r="E1482" s="80"/>
      <c r="F1482" s="80"/>
      <c r="G1482" s="80"/>
      <c r="H1482" s="80"/>
      <c r="I1482" s="80"/>
      <c r="J1482" s="80"/>
      <c r="K1482" s="80"/>
      <c r="L1482" s="81" t="str">
        <f aca="false">IF(K1482="","",IFERROR(INDEX(BARDAGE!$C$7:$C$1506,MATCH(K1482,BARDAGE!$B$7:$B$1506,0)),"? hors registre"))</f>
        <v/>
      </c>
      <c r="M1482" s="80"/>
      <c r="N1482" s="81" t="str">
        <f aca="false">IF(M1482="","",IFERROR(INDEX(BARDAGE!$C$7:$C$1506,MATCH(M1482,BARDAGE!$B$7:$B$1506,0)),"? hors registre"))</f>
        <v/>
      </c>
      <c r="O1482" s="80"/>
      <c r="P1482" s="80"/>
      <c r="Q1482" s="80"/>
      <c r="R1482" s="82"/>
      <c r="S1482" s="82"/>
      <c r="T1482" s="80"/>
      <c r="U1482" s="80"/>
      <c r="V1482" s="82"/>
      <c r="W1482" s="80"/>
      <c r="X1482" s="80"/>
      <c r="Y1482" s="80"/>
      <c r="Z1482" s="80"/>
      <c r="AA1482" s="82"/>
      <c r="AB1482" s="80"/>
      <c r="AC1482" s="80"/>
      <c r="AD1482" s="80"/>
      <c r="AE1482" s="80"/>
      <c r="AF1482" s="82"/>
      <c r="AG1482" s="80"/>
      <c r="AH1482" s="80"/>
      <c r="AI1482" s="82"/>
      <c r="AJ1482" s="79"/>
      <c r="AK1482" s="78" t="str">
        <f aca="false">IF(E1482="","",(X1482&lt;&gt;"")+(AC1482&lt;&gt;"")+(AH1482&lt;&gt;""))</f>
        <v/>
      </c>
      <c r="AL1482" s="81" t="str">
        <f aca="false">IF(AH1482&lt;&gt;"",AH1482,IF(AC1482&lt;&gt;"",AC1482,IF(X1482&lt;&gt;"",X1482,"")))</f>
        <v/>
      </c>
      <c r="AM1482" s="83" t="str">
        <f aca="false">IF(E1482="","",IF(R1482="","À SOUDER",IF(U1482="","VT EN ATTENTE",IF(U1482="R","VT REJETÉ – À REPRENDRE",IF(AL1482="","À RADIOGRAPHIER",IF(AL1482="A","ACCEPTÉ",IF(AL1482="NX","NX – RT À REFAIRE",IF(IF(AK1482=1,Z1482,IF(AK1482=2,AE1482,""))="A","RÉPARÉ – À RADIOGRAPHIER",IF(IF(AK1482=1,Z1482,IF(AK1482=2,AE1482,""))="R","VT REJETÉ – À REPRENDRE",IF(OR(AL1482="CO",AL1482="NT"),"COUPE – À RESOUDER","À RÉPARER"))))))))))</f>
        <v/>
      </c>
      <c r="AN1482" s="81" t="str">
        <f aca="false">IF(AND(ISNUMBER(R1482),OR(AM1482="À RADIOGRAPHIER",AM1482="RÉPARÉ – À RADIOGRAPHIER",AM1482="NX – RT À REFAIRE",AM1482="À RÉPARER",AM1482="COUPE – À RESOUDER",AM1482="VT REJETÉ – À REPRENDRE")),MAX(0,'PROGRAMME RT'!$C$4-R1482),"")</f>
        <v/>
      </c>
      <c r="AO1482" s="78" t="n">
        <f aca="false">IF(AND(OR(AM1482="À RADIOGRAPHIER",AM1482="RÉPARÉ – À RADIOGRAPHIER",AM1482="NX – RT À REFAIRE"),OR('PROGRAMME RT'!$D$5="TOUTES",B1482='PROGRAMME RT'!$D$5)),1,0)</f>
        <v>0</v>
      </c>
      <c r="AP1482" s="78" t="str">
        <f aca="false">IF(AO1482=1,SUM(AO$7:AO1482),"")</f>
        <v/>
      </c>
      <c r="AQ1482" s="78" t="n">
        <f aca="false">IF(AND(OR(X1482="R",X1482="NX",X1482="NT",X1482="CO"),OR('JOINTS DE RÉPARATION'!$D$5="TOUTES",B1482='JOINTS DE RÉPARATION'!$D$5),OR('JOINTS DE RÉPARATION'!$L$4="TOUS",AM1482&lt;&gt;"ACCEPTÉ")),1,0)</f>
        <v>0</v>
      </c>
      <c r="AR1482" s="78" t="str">
        <f aca="false">IF(AQ1482=1,SUM(AQ$7:AQ1482),"")</f>
        <v/>
      </c>
    </row>
    <row r="1483" customFormat="false" ht="15" hidden="false" customHeight="false" outlineLevel="0" collapsed="false">
      <c r="A1483" s="78" t="str">
        <f aca="false">IF(E1483="","",ROW()-6)</f>
        <v/>
      </c>
      <c r="B1483" s="79"/>
      <c r="C1483" s="80"/>
      <c r="D1483" s="80"/>
      <c r="E1483" s="80"/>
      <c r="F1483" s="80"/>
      <c r="G1483" s="80"/>
      <c r="H1483" s="80"/>
      <c r="I1483" s="80"/>
      <c r="J1483" s="80"/>
      <c r="K1483" s="80"/>
      <c r="L1483" s="81" t="str">
        <f aca="false">IF(K1483="","",IFERROR(INDEX(BARDAGE!$C$7:$C$1506,MATCH(K1483,BARDAGE!$B$7:$B$1506,0)),"? hors registre"))</f>
        <v/>
      </c>
      <c r="M1483" s="80"/>
      <c r="N1483" s="81" t="str">
        <f aca="false">IF(M1483="","",IFERROR(INDEX(BARDAGE!$C$7:$C$1506,MATCH(M1483,BARDAGE!$B$7:$B$1506,0)),"? hors registre"))</f>
        <v/>
      </c>
      <c r="O1483" s="80"/>
      <c r="P1483" s="80"/>
      <c r="Q1483" s="80"/>
      <c r="R1483" s="82"/>
      <c r="S1483" s="82"/>
      <c r="T1483" s="80"/>
      <c r="U1483" s="80"/>
      <c r="V1483" s="82"/>
      <c r="W1483" s="80"/>
      <c r="X1483" s="80"/>
      <c r="Y1483" s="80"/>
      <c r="Z1483" s="80"/>
      <c r="AA1483" s="82"/>
      <c r="AB1483" s="80"/>
      <c r="AC1483" s="80"/>
      <c r="AD1483" s="80"/>
      <c r="AE1483" s="80"/>
      <c r="AF1483" s="82"/>
      <c r="AG1483" s="80"/>
      <c r="AH1483" s="80"/>
      <c r="AI1483" s="82"/>
      <c r="AJ1483" s="79"/>
      <c r="AK1483" s="78" t="str">
        <f aca="false">IF(E1483="","",(X1483&lt;&gt;"")+(AC1483&lt;&gt;"")+(AH1483&lt;&gt;""))</f>
        <v/>
      </c>
      <c r="AL1483" s="81" t="str">
        <f aca="false">IF(AH1483&lt;&gt;"",AH1483,IF(AC1483&lt;&gt;"",AC1483,IF(X1483&lt;&gt;"",X1483,"")))</f>
        <v/>
      </c>
      <c r="AM1483" s="83" t="str">
        <f aca="false">IF(E1483="","",IF(R1483="","À SOUDER",IF(U1483="","VT EN ATTENTE",IF(U1483="R","VT REJETÉ – À REPRENDRE",IF(AL1483="","À RADIOGRAPHIER",IF(AL1483="A","ACCEPTÉ",IF(AL1483="NX","NX – RT À REFAIRE",IF(IF(AK1483=1,Z1483,IF(AK1483=2,AE1483,""))="A","RÉPARÉ – À RADIOGRAPHIER",IF(IF(AK1483=1,Z1483,IF(AK1483=2,AE1483,""))="R","VT REJETÉ – À REPRENDRE",IF(OR(AL1483="CO",AL1483="NT"),"COUPE – À RESOUDER","À RÉPARER"))))))))))</f>
        <v/>
      </c>
      <c r="AN1483" s="81" t="str">
        <f aca="false">IF(AND(ISNUMBER(R1483),OR(AM1483="À RADIOGRAPHIER",AM1483="RÉPARÉ – À RADIOGRAPHIER",AM1483="NX – RT À REFAIRE",AM1483="À RÉPARER",AM1483="COUPE – À RESOUDER",AM1483="VT REJETÉ – À REPRENDRE")),MAX(0,'PROGRAMME RT'!$C$4-R1483),"")</f>
        <v/>
      </c>
      <c r="AO1483" s="78" t="n">
        <f aca="false">IF(AND(OR(AM1483="À RADIOGRAPHIER",AM1483="RÉPARÉ – À RADIOGRAPHIER",AM1483="NX – RT À REFAIRE"),OR('PROGRAMME RT'!$D$5="TOUTES",B1483='PROGRAMME RT'!$D$5)),1,0)</f>
        <v>0</v>
      </c>
      <c r="AP1483" s="78" t="str">
        <f aca="false">IF(AO1483=1,SUM(AO$7:AO1483),"")</f>
        <v/>
      </c>
      <c r="AQ1483" s="78" t="n">
        <f aca="false">IF(AND(OR(X1483="R",X1483="NX",X1483="NT",X1483="CO"),OR('JOINTS DE RÉPARATION'!$D$5="TOUTES",B1483='JOINTS DE RÉPARATION'!$D$5),OR('JOINTS DE RÉPARATION'!$L$4="TOUS",AM1483&lt;&gt;"ACCEPTÉ")),1,0)</f>
        <v>0</v>
      </c>
      <c r="AR1483" s="78" t="str">
        <f aca="false">IF(AQ1483=1,SUM(AQ$7:AQ1483),"")</f>
        <v/>
      </c>
    </row>
    <row r="1484" customFormat="false" ht="15" hidden="false" customHeight="false" outlineLevel="0" collapsed="false">
      <c r="A1484" s="78" t="str">
        <f aca="false">IF(E1484="","",ROW()-6)</f>
        <v/>
      </c>
      <c r="B1484" s="79"/>
      <c r="C1484" s="80"/>
      <c r="D1484" s="80"/>
      <c r="E1484" s="80"/>
      <c r="F1484" s="80"/>
      <c r="G1484" s="80"/>
      <c r="H1484" s="80"/>
      <c r="I1484" s="80"/>
      <c r="J1484" s="80"/>
      <c r="K1484" s="80"/>
      <c r="L1484" s="81" t="str">
        <f aca="false">IF(K1484="","",IFERROR(INDEX(BARDAGE!$C$7:$C$1506,MATCH(K1484,BARDAGE!$B$7:$B$1506,0)),"? hors registre"))</f>
        <v/>
      </c>
      <c r="M1484" s="80"/>
      <c r="N1484" s="81" t="str">
        <f aca="false">IF(M1484="","",IFERROR(INDEX(BARDAGE!$C$7:$C$1506,MATCH(M1484,BARDAGE!$B$7:$B$1506,0)),"? hors registre"))</f>
        <v/>
      </c>
      <c r="O1484" s="80"/>
      <c r="P1484" s="80"/>
      <c r="Q1484" s="80"/>
      <c r="R1484" s="82"/>
      <c r="S1484" s="82"/>
      <c r="T1484" s="80"/>
      <c r="U1484" s="80"/>
      <c r="V1484" s="82"/>
      <c r="W1484" s="80"/>
      <c r="X1484" s="80"/>
      <c r="Y1484" s="80"/>
      <c r="Z1484" s="80"/>
      <c r="AA1484" s="82"/>
      <c r="AB1484" s="80"/>
      <c r="AC1484" s="80"/>
      <c r="AD1484" s="80"/>
      <c r="AE1484" s="80"/>
      <c r="AF1484" s="82"/>
      <c r="AG1484" s="80"/>
      <c r="AH1484" s="80"/>
      <c r="AI1484" s="82"/>
      <c r="AJ1484" s="79"/>
      <c r="AK1484" s="78" t="str">
        <f aca="false">IF(E1484="","",(X1484&lt;&gt;"")+(AC1484&lt;&gt;"")+(AH1484&lt;&gt;""))</f>
        <v/>
      </c>
      <c r="AL1484" s="81" t="str">
        <f aca="false">IF(AH1484&lt;&gt;"",AH1484,IF(AC1484&lt;&gt;"",AC1484,IF(X1484&lt;&gt;"",X1484,"")))</f>
        <v/>
      </c>
      <c r="AM1484" s="83" t="str">
        <f aca="false">IF(E1484="","",IF(R1484="","À SOUDER",IF(U1484="","VT EN ATTENTE",IF(U1484="R","VT REJETÉ – À REPRENDRE",IF(AL1484="","À RADIOGRAPHIER",IF(AL1484="A","ACCEPTÉ",IF(AL1484="NX","NX – RT À REFAIRE",IF(IF(AK1484=1,Z1484,IF(AK1484=2,AE1484,""))="A","RÉPARÉ – À RADIOGRAPHIER",IF(IF(AK1484=1,Z1484,IF(AK1484=2,AE1484,""))="R","VT REJETÉ – À REPRENDRE",IF(OR(AL1484="CO",AL1484="NT"),"COUPE – À RESOUDER","À RÉPARER"))))))))))</f>
        <v/>
      </c>
      <c r="AN1484" s="81" t="str">
        <f aca="false">IF(AND(ISNUMBER(R1484),OR(AM1484="À RADIOGRAPHIER",AM1484="RÉPARÉ – À RADIOGRAPHIER",AM1484="NX – RT À REFAIRE",AM1484="À RÉPARER",AM1484="COUPE – À RESOUDER",AM1484="VT REJETÉ – À REPRENDRE")),MAX(0,'PROGRAMME RT'!$C$4-R1484),"")</f>
        <v/>
      </c>
      <c r="AO1484" s="78" t="n">
        <f aca="false">IF(AND(OR(AM1484="À RADIOGRAPHIER",AM1484="RÉPARÉ – À RADIOGRAPHIER",AM1484="NX – RT À REFAIRE"),OR('PROGRAMME RT'!$D$5="TOUTES",B1484='PROGRAMME RT'!$D$5)),1,0)</f>
        <v>0</v>
      </c>
      <c r="AP1484" s="78" t="str">
        <f aca="false">IF(AO1484=1,SUM(AO$7:AO1484),"")</f>
        <v/>
      </c>
      <c r="AQ1484" s="78" t="n">
        <f aca="false">IF(AND(OR(X1484="R",X1484="NX",X1484="NT",X1484="CO"),OR('JOINTS DE RÉPARATION'!$D$5="TOUTES",B1484='JOINTS DE RÉPARATION'!$D$5),OR('JOINTS DE RÉPARATION'!$L$4="TOUS",AM1484&lt;&gt;"ACCEPTÉ")),1,0)</f>
        <v>0</v>
      </c>
      <c r="AR1484" s="78" t="str">
        <f aca="false">IF(AQ1484=1,SUM(AQ$7:AQ1484),"")</f>
        <v/>
      </c>
    </row>
    <row r="1485" customFormat="false" ht="15" hidden="false" customHeight="false" outlineLevel="0" collapsed="false">
      <c r="A1485" s="78" t="str">
        <f aca="false">IF(E1485="","",ROW()-6)</f>
        <v/>
      </c>
      <c r="B1485" s="79"/>
      <c r="C1485" s="80"/>
      <c r="D1485" s="80"/>
      <c r="E1485" s="80"/>
      <c r="F1485" s="80"/>
      <c r="G1485" s="80"/>
      <c r="H1485" s="80"/>
      <c r="I1485" s="80"/>
      <c r="J1485" s="80"/>
      <c r="K1485" s="80"/>
      <c r="L1485" s="81" t="str">
        <f aca="false">IF(K1485="","",IFERROR(INDEX(BARDAGE!$C$7:$C$1506,MATCH(K1485,BARDAGE!$B$7:$B$1506,0)),"? hors registre"))</f>
        <v/>
      </c>
      <c r="M1485" s="80"/>
      <c r="N1485" s="81" t="str">
        <f aca="false">IF(M1485="","",IFERROR(INDEX(BARDAGE!$C$7:$C$1506,MATCH(M1485,BARDAGE!$B$7:$B$1506,0)),"? hors registre"))</f>
        <v/>
      </c>
      <c r="O1485" s="80"/>
      <c r="P1485" s="80"/>
      <c r="Q1485" s="80"/>
      <c r="R1485" s="82"/>
      <c r="S1485" s="82"/>
      <c r="T1485" s="80"/>
      <c r="U1485" s="80"/>
      <c r="V1485" s="82"/>
      <c r="W1485" s="80"/>
      <c r="X1485" s="80"/>
      <c r="Y1485" s="80"/>
      <c r="Z1485" s="80"/>
      <c r="AA1485" s="82"/>
      <c r="AB1485" s="80"/>
      <c r="AC1485" s="80"/>
      <c r="AD1485" s="80"/>
      <c r="AE1485" s="80"/>
      <c r="AF1485" s="82"/>
      <c r="AG1485" s="80"/>
      <c r="AH1485" s="80"/>
      <c r="AI1485" s="82"/>
      <c r="AJ1485" s="79"/>
      <c r="AK1485" s="78" t="str">
        <f aca="false">IF(E1485="","",(X1485&lt;&gt;"")+(AC1485&lt;&gt;"")+(AH1485&lt;&gt;""))</f>
        <v/>
      </c>
      <c r="AL1485" s="81" t="str">
        <f aca="false">IF(AH1485&lt;&gt;"",AH1485,IF(AC1485&lt;&gt;"",AC1485,IF(X1485&lt;&gt;"",X1485,"")))</f>
        <v/>
      </c>
      <c r="AM1485" s="83" t="str">
        <f aca="false">IF(E1485="","",IF(R1485="","À SOUDER",IF(U1485="","VT EN ATTENTE",IF(U1485="R","VT REJETÉ – À REPRENDRE",IF(AL1485="","À RADIOGRAPHIER",IF(AL1485="A","ACCEPTÉ",IF(AL1485="NX","NX – RT À REFAIRE",IF(IF(AK1485=1,Z1485,IF(AK1485=2,AE1485,""))="A","RÉPARÉ – À RADIOGRAPHIER",IF(IF(AK1485=1,Z1485,IF(AK1485=2,AE1485,""))="R","VT REJETÉ – À REPRENDRE",IF(OR(AL1485="CO",AL1485="NT"),"COUPE – À RESOUDER","À RÉPARER"))))))))))</f>
        <v/>
      </c>
      <c r="AN1485" s="81" t="str">
        <f aca="false">IF(AND(ISNUMBER(R1485),OR(AM1485="À RADIOGRAPHIER",AM1485="RÉPARÉ – À RADIOGRAPHIER",AM1485="NX – RT À REFAIRE",AM1485="À RÉPARER",AM1485="COUPE – À RESOUDER",AM1485="VT REJETÉ – À REPRENDRE")),MAX(0,'PROGRAMME RT'!$C$4-R1485),"")</f>
        <v/>
      </c>
      <c r="AO1485" s="78" t="n">
        <f aca="false">IF(AND(OR(AM1485="À RADIOGRAPHIER",AM1485="RÉPARÉ – À RADIOGRAPHIER",AM1485="NX – RT À REFAIRE"),OR('PROGRAMME RT'!$D$5="TOUTES",B1485='PROGRAMME RT'!$D$5)),1,0)</f>
        <v>0</v>
      </c>
      <c r="AP1485" s="78" t="str">
        <f aca="false">IF(AO1485=1,SUM(AO$7:AO1485),"")</f>
        <v/>
      </c>
      <c r="AQ1485" s="78" t="n">
        <f aca="false">IF(AND(OR(X1485="R",X1485="NX",X1485="NT",X1485="CO"),OR('JOINTS DE RÉPARATION'!$D$5="TOUTES",B1485='JOINTS DE RÉPARATION'!$D$5),OR('JOINTS DE RÉPARATION'!$L$4="TOUS",AM1485&lt;&gt;"ACCEPTÉ")),1,0)</f>
        <v>0</v>
      </c>
      <c r="AR1485" s="78" t="str">
        <f aca="false">IF(AQ1485=1,SUM(AQ$7:AQ1485),"")</f>
        <v/>
      </c>
    </row>
    <row r="1486" customFormat="false" ht="15" hidden="false" customHeight="false" outlineLevel="0" collapsed="false">
      <c r="A1486" s="78" t="str">
        <f aca="false">IF(E1486="","",ROW()-6)</f>
        <v/>
      </c>
      <c r="B1486" s="79"/>
      <c r="C1486" s="80"/>
      <c r="D1486" s="80"/>
      <c r="E1486" s="80"/>
      <c r="F1486" s="80"/>
      <c r="G1486" s="80"/>
      <c r="H1486" s="80"/>
      <c r="I1486" s="80"/>
      <c r="J1486" s="80"/>
      <c r="K1486" s="80"/>
      <c r="L1486" s="81" t="str">
        <f aca="false">IF(K1486="","",IFERROR(INDEX(BARDAGE!$C$7:$C$1506,MATCH(K1486,BARDAGE!$B$7:$B$1506,0)),"? hors registre"))</f>
        <v/>
      </c>
      <c r="M1486" s="80"/>
      <c r="N1486" s="81" t="str">
        <f aca="false">IF(M1486="","",IFERROR(INDEX(BARDAGE!$C$7:$C$1506,MATCH(M1486,BARDAGE!$B$7:$B$1506,0)),"? hors registre"))</f>
        <v/>
      </c>
      <c r="O1486" s="80"/>
      <c r="P1486" s="80"/>
      <c r="Q1486" s="80"/>
      <c r="R1486" s="82"/>
      <c r="S1486" s="82"/>
      <c r="T1486" s="80"/>
      <c r="U1486" s="80"/>
      <c r="V1486" s="82"/>
      <c r="W1486" s="80"/>
      <c r="X1486" s="80"/>
      <c r="Y1486" s="80"/>
      <c r="Z1486" s="80"/>
      <c r="AA1486" s="82"/>
      <c r="AB1486" s="80"/>
      <c r="AC1486" s="80"/>
      <c r="AD1486" s="80"/>
      <c r="AE1486" s="80"/>
      <c r="AF1486" s="82"/>
      <c r="AG1486" s="80"/>
      <c r="AH1486" s="80"/>
      <c r="AI1486" s="82"/>
      <c r="AJ1486" s="79"/>
      <c r="AK1486" s="78" t="str">
        <f aca="false">IF(E1486="","",(X1486&lt;&gt;"")+(AC1486&lt;&gt;"")+(AH1486&lt;&gt;""))</f>
        <v/>
      </c>
      <c r="AL1486" s="81" t="str">
        <f aca="false">IF(AH1486&lt;&gt;"",AH1486,IF(AC1486&lt;&gt;"",AC1486,IF(X1486&lt;&gt;"",X1486,"")))</f>
        <v/>
      </c>
      <c r="AM1486" s="83" t="str">
        <f aca="false">IF(E1486="","",IF(R1486="","À SOUDER",IF(U1486="","VT EN ATTENTE",IF(U1486="R","VT REJETÉ – À REPRENDRE",IF(AL1486="","À RADIOGRAPHIER",IF(AL1486="A","ACCEPTÉ",IF(AL1486="NX","NX – RT À REFAIRE",IF(IF(AK1486=1,Z1486,IF(AK1486=2,AE1486,""))="A","RÉPARÉ – À RADIOGRAPHIER",IF(IF(AK1486=1,Z1486,IF(AK1486=2,AE1486,""))="R","VT REJETÉ – À REPRENDRE",IF(OR(AL1486="CO",AL1486="NT"),"COUPE – À RESOUDER","À RÉPARER"))))))))))</f>
        <v/>
      </c>
      <c r="AN1486" s="81" t="str">
        <f aca="false">IF(AND(ISNUMBER(R1486),OR(AM1486="À RADIOGRAPHIER",AM1486="RÉPARÉ – À RADIOGRAPHIER",AM1486="NX – RT À REFAIRE",AM1486="À RÉPARER",AM1486="COUPE – À RESOUDER",AM1486="VT REJETÉ – À REPRENDRE")),MAX(0,'PROGRAMME RT'!$C$4-R1486),"")</f>
        <v/>
      </c>
      <c r="AO1486" s="78" t="n">
        <f aca="false">IF(AND(OR(AM1486="À RADIOGRAPHIER",AM1486="RÉPARÉ – À RADIOGRAPHIER",AM1486="NX – RT À REFAIRE"),OR('PROGRAMME RT'!$D$5="TOUTES",B1486='PROGRAMME RT'!$D$5)),1,0)</f>
        <v>0</v>
      </c>
      <c r="AP1486" s="78" t="str">
        <f aca="false">IF(AO1486=1,SUM(AO$7:AO1486),"")</f>
        <v/>
      </c>
      <c r="AQ1486" s="78" t="n">
        <f aca="false">IF(AND(OR(X1486="R",X1486="NX",X1486="NT",X1486="CO"),OR('JOINTS DE RÉPARATION'!$D$5="TOUTES",B1486='JOINTS DE RÉPARATION'!$D$5),OR('JOINTS DE RÉPARATION'!$L$4="TOUS",AM1486&lt;&gt;"ACCEPTÉ")),1,0)</f>
        <v>0</v>
      </c>
      <c r="AR1486" s="78" t="str">
        <f aca="false">IF(AQ1486=1,SUM(AQ$7:AQ1486),"")</f>
        <v/>
      </c>
    </row>
    <row r="1487" customFormat="false" ht="15" hidden="false" customHeight="false" outlineLevel="0" collapsed="false">
      <c r="A1487" s="78" t="str">
        <f aca="false">IF(E1487="","",ROW()-6)</f>
        <v/>
      </c>
      <c r="B1487" s="79"/>
      <c r="C1487" s="80"/>
      <c r="D1487" s="80"/>
      <c r="E1487" s="80"/>
      <c r="F1487" s="80"/>
      <c r="G1487" s="80"/>
      <c r="H1487" s="80"/>
      <c r="I1487" s="80"/>
      <c r="J1487" s="80"/>
      <c r="K1487" s="80"/>
      <c r="L1487" s="81" t="str">
        <f aca="false">IF(K1487="","",IFERROR(INDEX(BARDAGE!$C$7:$C$1506,MATCH(K1487,BARDAGE!$B$7:$B$1506,0)),"? hors registre"))</f>
        <v/>
      </c>
      <c r="M1487" s="80"/>
      <c r="N1487" s="81" t="str">
        <f aca="false">IF(M1487="","",IFERROR(INDEX(BARDAGE!$C$7:$C$1506,MATCH(M1487,BARDAGE!$B$7:$B$1506,0)),"? hors registre"))</f>
        <v/>
      </c>
      <c r="O1487" s="80"/>
      <c r="P1487" s="80"/>
      <c r="Q1487" s="80"/>
      <c r="R1487" s="82"/>
      <c r="S1487" s="82"/>
      <c r="T1487" s="80"/>
      <c r="U1487" s="80"/>
      <c r="V1487" s="82"/>
      <c r="W1487" s="80"/>
      <c r="X1487" s="80"/>
      <c r="Y1487" s="80"/>
      <c r="Z1487" s="80"/>
      <c r="AA1487" s="82"/>
      <c r="AB1487" s="80"/>
      <c r="AC1487" s="80"/>
      <c r="AD1487" s="80"/>
      <c r="AE1487" s="80"/>
      <c r="AF1487" s="82"/>
      <c r="AG1487" s="80"/>
      <c r="AH1487" s="80"/>
      <c r="AI1487" s="82"/>
      <c r="AJ1487" s="79"/>
      <c r="AK1487" s="78" t="str">
        <f aca="false">IF(E1487="","",(X1487&lt;&gt;"")+(AC1487&lt;&gt;"")+(AH1487&lt;&gt;""))</f>
        <v/>
      </c>
      <c r="AL1487" s="81" t="str">
        <f aca="false">IF(AH1487&lt;&gt;"",AH1487,IF(AC1487&lt;&gt;"",AC1487,IF(X1487&lt;&gt;"",X1487,"")))</f>
        <v/>
      </c>
      <c r="AM1487" s="83" t="str">
        <f aca="false">IF(E1487="","",IF(R1487="","À SOUDER",IF(U1487="","VT EN ATTENTE",IF(U1487="R","VT REJETÉ – À REPRENDRE",IF(AL1487="","À RADIOGRAPHIER",IF(AL1487="A","ACCEPTÉ",IF(AL1487="NX","NX – RT À REFAIRE",IF(IF(AK1487=1,Z1487,IF(AK1487=2,AE1487,""))="A","RÉPARÉ – À RADIOGRAPHIER",IF(IF(AK1487=1,Z1487,IF(AK1487=2,AE1487,""))="R","VT REJETÉ – À REPRENDRE",IF(OR(AL1487="CO",AL1487="NT"),"COUPE – À RESOUDER","À RÉPARER"))))))))))</f>
        <v/>
      </c>
      <c r="AN1487" s="81" t="str">
        <f aca="false">IF(AND(ISNUMBER(R1487),OR(AM1487="À RADIOGRAPHIER",AM1487="RÉPARÉ – À RADIOGRAPHIER",AM1487="NX – RT À REFAIRE",AM1487="À RÉPARER",AM1487="COUPE – À RESOUDER",AM1487="VT REJETÉ – À REPRENDRE")),MAX(0,'PROGRAMME RT'!$C$4-R1487),"")</f>
        <v/>
      </c>
      <c r="AO1487" s="78" t="n">
        <f aca="false">IF(AND(OR(AM1487="À RADIOGRAPHIER",AM1487="RÉPARÉ – À RADIOGRAPHIER",AM1487="NX – RT À REFAIRE"),OR('PROGRAMME RT'!$D$5="TOUTES",B1487='PROGRAMME RT'!$D$5)),1,0)</f>
        <v>0</v>
      </c>
      <c r="AP1487" s="78" t="str">
        <f aca="false">IF(AO1487=1,SUM(AO$7:AO1487),"")</f>
        <v/>
      </c>
      <c r="AQ1487" s="78" t="n">
        <f aca="false">IF(AND(OR(X1487="R",X1487="NX",X1487="NT",X1487="CO"),OR('JOINTS DE RÉPARATION'!$D$5="TOUTES",B1487='JOINTS DE RÉPARATION'!$D$5),OR('JOINTS DE RÉPARATION'!$L$4="TOUS",AM1487&lt;&gt;"ACCEPTÉ")),1,0)</f>
        <v>0</v>
      </c>
      <c r="AR1487" s="78" t="str">
        <f aca="false">IF(AQ1487=1,SUM(AQ$7:AQ1487),"")</f>
        <v/>
      </c>
    </row>
    <row r="1488" customFormat="false" ht="15" hidden="false" customHeight="false" outlineLevel="0" collapsed="false">
      <c r="A1488" s="78" t="str">
        <f aca="false">IF(E1488="","",ROW()-6)</f>
        <v/>
      </c>
      <c r="B1488" s="79"/>
      <c r="C1488" s="80"/>
      <c r="D1488" s="80"/>
      <c r="E1488" s="80"/>
      <c r="F1488" s="80"/>
      <c r="G1488" s="80"/>
      <c r="H1488" s="80"/>
      <c r="I1488" s="80"/>
      <c r="J1488" s="80"/>
      <c r="K1488" s="80"/>
      <c r="L1488" s="81" t="str">
        <f aca="false">IF(K1488="","",IFERROR(INDEX(BARDAGE!$C$7:$C$1506,MATCH(K1488,BARDAGE!$B$7:$B$1506,0)),"? hors registre"))</f>
        <v/>
      </c>
      <c r="M1488" s="80"/>
      <c r="N1488" s="81" t="str">
        <f aca="false">IF(M1488="","",IFERROR(INDEX(BARDAGE!$C$7:$C$1506,MATCH(M1488,BARDAGE!$B$7:$B$1506,0)),"? hors registre"))</f>
        <v/>
      </c>
      <c r="O1488" s="80"/>
      <c r="P1488" s="80"/>
      <c r="Q1488" s="80"/>
      <c r="R1488" s="82"/>
      <c r="S1488" s="82"/>
      <c r="T1488" s="80"/>
      <c r="U1488" s="80"/>
      <c r="V1488" s="82"/>
      <c r="W1488" s="80"/>
      <c r="X1488" s="80"/>
      <c r="Y1488" s="80"/>
      <c r="Z1488" s="80"/>
      <c r="AA1488" s="82"/>
      <c r="AB1488" s="80"/>
      <c r="AC1488" s="80"/>
      <c r="AD1488" s="80"/>
      <c r="AE1488" s="80"/>
      <c r="AF1488" s="82"/>
      <c r="AG1488" s="80"/>
      <c r="AH1488" s="80"/>
      <c r="AI1488" s="82"/>
      <c r="AJ1488" s="79"/>
      <c r="AK1488" s="78" t="str">
        <f aca="false">IF(E1488="","",(X1488&lt;&gt;"")+(AC1488&lt;&gt;"")+(AH1488&lt;&gt;""))</f>
        <v/>
      </c>
      <c r="AL1488" s="81" t="str">
        <f aca="false">IF(AH1488&lt;&gt;"",AH1488,IF(AC1488&lt;&gt;"",AC1488,IF(X1488&lt;&gt;"",X1488,"")))</f>
        <v/>
      </c>
      <c r="AM1488" s="83" t="str">
        <f aca="false">IF(E1488="","",IF(R1488="","À SOUDER",IF(U1488="","VT EN ATTENTE",IF(U1488="R","VT REJETÉ – À REPRENDRE",IF(AL1488="","À RADIOGRAPHIER",IF(AL1488="A","ACCEPTÉ",IF(AL1488="NX","NX – RT À REFAIRE",IF(IF(AK1488=1,Z1488,IF(AK1488=2,AE1488,""))="A","RÉPARÉ – À RADIOGRAPHIER",IF(IF(AK1488=1,Z1488,IF(AK1488=2,AE1488,""))="R","VT REJETÉ – À REPRENDRE",IF(OR(AL1488="CO",AL1488="NT"),"COUPE – À RESOUDER","À RÉPARER"))))))))))</f>
        <v/>
      </c>
      <c r="AN1488" s="81" t="str">
        <f aca="false">IF(AND(ISNUMBER(R1488),OR(AM1488="À RADIOGRAPHIER",AM1488="RÉPARÉ – À RADIOGRAPHIER",AM1488="NX – RT À REFAIRE",AM1488="À RÉPARER",AM1488="COUPE – À RESOUDER",AM1488="VT REJETÉ – À REPRENDRE")),MAX(0,'PROGRAMME RT'!$C$4-R1488),"")</f>
        <v/>
      </c>
      <c r="AO1488" s="78" t="n">
        <f aca="false">IF(AND(OR(AM1488="À RADIOGRAPHIER",AM1488="RÉPARÉ – À RADIOGRAPHIER",AM1488="NX – RT À REFAIRE"),OR('PROGRAMME RT'!$D$5="TOUTES",B1488='PROGRAMME RT'!$D$5)),1,0)</f>
        <v>0</v>
      </c>
      <c r="AP1488" s="78" t="str">
        <f aca="false">IF(AO1488=1,SUM(AO$7:AO1488),"")</f>
        <v/>
      </c>
      <c r="AQ1488" s="78" t="n">
        <f aca="false">IF(AND(OR(X1488="R",X1488="NX",X1488="NT",X1488="CO"),OR('JOINTS DE RÉPARATION'!$D$5="TOUTES",B1488='JOINTS DE RÉPARATION'!$D$5),OR('JOINTS DE RÉPARATION'!$L$4="TOUS",AM1488&lt;&gt;"ACCEPTÉ")),1,0)</f>
        <v>0</v>
      </c>
      <c r="AR1488" s="78" t="str">
        <f aca="false">IF(AQ1488=1,SUM(AQ$7:AQ1488),"")</f>
        <v/>
      </c>
    </row>
    <row r="1489" customFormat="false" ht="15" hidden="false" customHeight="false" outlineLevel="0" collapsed="false">
      <c r="A1489" s="78" t="str">
        <f aca="false">IF(E1489="","",ROW()-6)</f>
        <v/>
      </c>
      <c r="B1489" s="79"/>
      <c r="C1489" s="80"/>
      <c r="D1489" s="80"/>
      <c r="E1489" s="80"/>
      <c r="F1489" s="80"/>
      <c r="G1489" s="80"/>
      <c r="H1489" s="80"/>
      <c r="I1489" s="80"/>
      <c r="J1489" s="80"/>
      <c r="K1489" s="80"/>
      <c r="L1489" s="81" t="str">
        <f aca="false">IF(K1489="","",IFERROR(INDEX(BARDAGE!$C$7:$C$1506,MATCH(K1489,BARDAGE!$B$7:$B$1506,0)),"? hors registre"))</f>
        <v/>
      </c>
      <c r="M1489" s="80"/>
      <c r="N1489" s="81" t="str">
        <f aca="false">IF(M1489="","",IFERROR(INDEX(BARDAGE!$C$7:$C$1506,MATCH(M1489,BARDAGE!$B$7:$B$1506,0)),"? hors registre"))</f>
        <v/>
      </c>
      <c r="O1489" s="80"/>
      <c r="P1489" s="80"/>
      <c r="Q1489" s="80"/>
      <c r="R1489" s="82"/>
      <c r="S1489" s="82"/>
      <c r="T1489" s="80"/>
      <c r="U1489" s="80"/>
      <c r="V1489" s="82"/>
      <c r="W1489" s="80"/>
      <c r="X1489" s="80"/>
      <c r="Y1489" s="80"/>
      <c r="Z1489" s="80"/>
      <c r="AA1489" s="82"/>
      <c r="AB1489" s="80"/>
      <c r="AC1489" s="80"/>
      <c r="AD1489" s="80"/>
      <c r="AE1489" s="80"/>
      <c r="AF1489" s="82"/>
      <c r="AG1489" s="80"/>
      <c r="AH1489" s="80"/>
      <c r="AI1489" s="82"/>
      <c r="AJ1489" s="79"/>
      <c r="AK1489" s="78" t="str">
        <f aca="false">IF(E1489="","",(X1489&lt;&gt;"")+(AC1489&lt;&gt;"")+(AH1489&lt;&gt;""))</f>
        <v/>
      </c>
      <c r="AL1489" s="81" t="str">
        <f aca="false">IF(AH1489&lt;&gt;"",AH1489,IF(AC1489&lt;&gt;"",AC1489,IF(X1489&lt;&gt;"",X1489,"")))</f>
        <v/>
      </c>
      <c r="AM1489" s="83" t="str">
        <f aca="false">IF(E1489="","",IF(R1489="","À SOUDER",IF(U1489="","VT EN ATTENTE",IF(U1489="R","VT REJETÉ – À REPRENDRE",IF(AL1489="","À RADIOGRAPHIER",IF(AL1489="A","ACCEPTÉ",IF(AL1489="NX","NX – RT À REFAIRE",IF(IF(AK1489=1,Z1489,IF(AK1489=2,AE1489,""))="A","RÉPARÉ – À RADIOGRAPHIER",IF(IF(AK1489=1,Z1489,IF(AK1489=2,AE1489,""))="R","VT REJETÉ – À REPRENDRE",IF(OR(AL1489="CO",AL1489="NT"),"COUPE – À RESOUDER","À RÉPARER"))))))))))</f>
        <v/>
      </c>
      <c r="AN1489" s="81" t="str">
        <f aca="false">IF(AND(ISNUMBER(R1489),OR(AM1489="À RADIOGRAPHIER",AM1489="RÉPARÉ – À RADIOGRAPHIER",AM1489="NX – RT À REFAIRE",AM1489="À RÉPARER",AM1489="COUPE – À RESOUDER",AM1489="VT REJETÉ – À REPRENDRE")),MAX(0,'PROGRAMME RT'!$C$4-R1489),"")</f>
        <v/>
      </c>
      <c r="AO1489" s="78" t="n">
        <f aca="false">IF(AND(OR(AM1489="À RADIOGRAPHIER",AM1489="RÉPARÉ – À RADIOGRAPHIER",AM1489="NX – RT À REFAIRE"),OR('PROGRAMME RT'!$D$5="TOUTES",B1489='PROGRAMME RT'!$D$5)),1,0)</f>
        <v>0</v>
      </c>
      <c r="AP1489" s="78" t="str">
        <f aca="false">IF(AO1489=1,SUM(AO$7:AO1489),"")</f>
        <v/>
      </c>
      <c r="AQ1489" s="78" t="n">
        <f aca="false">IF(AND(OR(X1489="R",X1489="NX",X1489="NT",X1489="CO"),OR('JOINTS DE RÉPARATION'!$D$5="TOUTES",B1489='JOINTS DE RÉPARATION'!$D$5),OR('JOINTS DE RÉPARATION'!$L$4="TOUS",AM1489&lt;&gt;"ACCEPTÉ")),1,0)</f>
        <v>0</v>
      </c>
      <c r="AR1489" s="78" t="str">
        <f aca="false">IF(AQ1489=1,SUM(AQ$7:AQ1489),"")</f>
        <v/>
      </c>
    </row>
    <row r="1490" customFormat="false" ht="15" hidden="false" customHeight="false" outlineLevel="0" collapsed="false">
      <c r="A1490" s="78" t="str">
        <f aca="false">IF(E1490="","",ROW()-6)</f>
        <v/>
      </c>
      <c r="B1490" s="79"/>
      <c r="C1490" s="80"/>
      <c r="D1490" s="80"/>
      <c r="E1490" s="80"/>
      <c r="F1490" s="80"/>
      <c r="G1490" s="80"/>
      <c r="H1490" s="80"/>
      <c r="I1490" s="80"/>
      <c r="J1490" s="80"/>
      <c r="K1490" s="80"/>
      <c r="L1490" s="81" t="str">
        <f aca="false">IF(K1490="","",IFERROR(INDEX(BARDAGE!$C$7:$C$1506,MATCH(K1490,BARDAGE!$B$7:$B$1506,0)),"? hors registre"))</f>
        <v/>
      </c>
      <c r="M1490" s="80"/>
      <c r="N1490" s="81" t="str">
        <f aca="false">IF(M1490="","",IFERROR(INDEX(BARDAGE!$C$7:$C$1506,MATCH(M1490,BARDAGE!$B$7:$B$1506,0)),"? hors registre"))</f>
        <v/>
      </c>
      <c r="O1490" s="80"/>
      <c r="P1490" s="80"/>
      <c r="Q1490" s="80"/>
      <c r="R1490" s="82"/>
      <c r="S1490" s="82"/>
      <c r="T1490" s="80"/>
      <c r="U1490" s="80"/>
      <c r="V1490" s="82"/>
      <c r="W1490" s="80"/>
      <c r="X1490" s="80"/>
      <c r="Y1490" s="80"/>
      <c r="Z1490" s="80"/>
      <c r="AA1490" s="82"/>
      <c r="AB1490" s="80"/>
      <c r="AC1490" s="80"/>
      <c r="AD1490" s="80"/>
      <c r="AE1490" s="80"/>
      <c r="AF1490" s="82"/>
      <c r="AG1490" s="80"/>
      <c r="AH1490" s="80"/>
      <c r="AI1490" s="82"/>
      <c r="AJ1490" s="79"/>
      <c r="AK1490" s="78" t="str">
        <f aca="false">IF(E1490="","",(X1490&lt;&gt;"")+(AC1490&lt;&gt;"")+(AH1490&lt;&gt;""))</f>
        <v/>
      </c>
      <c r="AL1490" s="81" t="str">
        <f aca="false">IF(AH1490&lt;&gt;"",AH1490,IF(AC1490&lt;&gt;"",AC1490,IF(X1490&lt;&gt;"",X1490,"")))</f>
        <v/>
      </c>
      <c r="AM1490" s="83" t="str">
        <f aca="false">IF(E1490="","",IF(R1490="","À SOUDER",IF(U1490="","VT EN ATTENTE",IF(U1490="R","VT REJETÉ – À REPRENDRE",IF(AL1490="","À RADIOGRAPHIER",IF(AL1490="A","ACCEPTÉ",IF(AL1490="NX","NX – RT À REFAIRE",IF(IF(AK1490=1,Z1490,IF(AK1490=2,AE1490,""))="A","RÉPARÉ – À RADIOGRAPHIER",IF(IF(AK1490=1,Z1490,IF(AK1490=2,AE1490,""))="R","VT REJETÉ – À REPRENDRE",IF(OR(AL1490="CO",AL1490="NT"),"COUPE – À RESOUDER","À RÉPARER"))))))))))</f>
        <v/>
      </c>
      <c r="AN1490" s="81" t="str">
        <f aca="false">IF(AND(ISNUMBER(R1490),OR(AM1490="À RADIOGRAPHIER",AM1490="RÉPARÉ – À RADIOGRAPHIER",AM1490="NX – RT À REFAIRE",AM1490="À RÉPARER",AM1490="COUPE – À RESOUDER",AM1490="VT REJETÉ – À REPRENDRE")),MAX(0,'PROGRAMME RT'!$C$4-R1490),"")</f>
        <v/>
      </c>
      <c r="AO1490" s="78" t="n">
        <f aca="false">IF(AND(OR(AM1490="À RADIOGRAPHIER",AM1490="RÉPARÉ – À RADIOGRAPHIER",AM1490="NX – RT À REFAIRE"),OR('PROGRAMME RT'!$D$5="TOUTES",B1490='PROGRAMME RT'!$D$5)),1,0)</f>
        <v>0</v>
      </c>
      <c r="AP1490" s="78" t="str">
        <f aca="false">IF(AO1490=1,SUM(AO$7:AO1490),"")</f>
        <v/>
      </c>
      <c r="AQ1490" s="78" t="n">
        <f aca="false">IF(AND(OR(X1490="R",X1490="NX",X1490="NT",X1490="CO"),OR('JOINTS DE RÉPARATION'!$D$5="TOUTES",B1490='JOINTS DE RÉPARATION'!$D$5),OR('JOINTS DE RÉPARATION'!$L$4="TOUS",AM1490&lt;&gt;"ACCEPTÉ")),1,0)</f>
        <v>0</v>
      </c>
      <c r="AR1490" s="78" t="str">
        <f aca="false">IF(AQ1490=1,SUM(AQ$7:AQ1490),"")</f>
        <v/>
      </c>
    </row>
    <row r="1491" customFormat="false" ht="15" hidden="false" customHeight="false" outlineLevel="0" collapsed="false">
      <c r="A1491" s="78" t="str">
        <f aca="false">IF(E1491="","",ROW()-6)</f>
        <v/>
      </c>
      <c r="B1491" s="79"/>
      <c r="C1491" s="80"/>
      <c r="D1491" s="80"/>
      <c r="E1491" s="80"/>
      <c r="F1491" s="80"/>
      <c r="G1491" s="80"/>
      <c r="H1491" s="80"/>
      <c r="I1491" s="80"/>
      <c r="J1491" s="80"/>
      <c r="K1491" s="80"/>
      <c r="L1491" s="81" t="str">
        <f aca="false">IF(K1491="","",IFERROR(INDEX(BARDAGE!$C$7:$C$1506,MATCH(K1491,BARDAGE!$B$7:$B$1506,0)),"? hors registre"))</f>
        <v/>
      </c>
      <c r="M1491" s="80"/>
      <c r="N1491" s="81" t="str">
        <f aca="false">IF(M1491="","",IFERROR(INDEX(BARDAGE!$C$7:$C$1506,MATCH(M1491,BARDAGE!$B$7:$B$1506,0)),"? hors registre"))</f>
        <v/>
      </c>
      <c r="O1491" s="80"/>
      <c r="P1491" s="80"/>
      <c r="Q1491" s="80"/>
      <c r="R1491" s="82"/>
      <c r="S1491" s="82"/>
      <c r="T1491" s="80"/>
      <c r="U1491" s="80"/>
      <c r="V1491" s="82"/>
      <c r="W1491" s="80"/>
      <c r="X1491" s="80"/>
      <c r="Y1491" s="80"/>
      <c r="Z1491" s="80"/>
      <c r="AA1491" s="82"/>
      <c r="AB1491" s="80"/>
      <c r="AC1491" s="80"/>
      <c r="AD1491" s="80"/>
      <c r="AE1491" s="80"/>
      <c r="AF1491" s="82"/>
      <c r="AG1491" s="80"/>
      <c r="AH1491" s="80"/>
      <c r="AI1491" s="82"/>
      <c r="AJ1491" s="79"/>
      <c r="AK1491" s="78" t="str">
        <f aca="false">IF(E1491="","",(X1491&lt;&gt;"")+(AC1491&lt;&gt;"")+(AH1491&lt;&gt;""))</f>
        <v/>
      </c>
      <c r="AL1491" s="81" t="str">
        <f aca="false">IF(AH1491&lt;&gt;"",AH1491,IF(AC1491&lt;&gt;"",AC1491,IF(X1491&lt;&gt;"",X1491,"")))</f>
        <v/>
      </c>
      <c r="AM1491" s="83" t="str">
        <f aca="false">IF(E1491="","",IF(R1491="","À SOUDER",IF(U1491="","VT EN ATTENTE",IF(U1491="R","VT REJETÉ – À REPRENDRE",IF(AL1491="","À RADIOGRAPHIER",IF(AL1491="A","ACCEPTÉ",IF(AL1491="NX","NX – RT À REFAIRE",IF(IF(AK1491=1,Z1491,IF(AK1491=2,AE1491,""))="A","RÉPARÉ – À RADIOGRAPHIER",IF(IF(AK1491=1,Z1491,IF(AK1491=2,AE1491,""))="R","VT REJETÉ – À REPRENDRE",IF(OR(AL1491="CO",AL1491="NT"),"COUPE – À RESOUDER","À RÉPARER"))))))))))</f>
        <v/>
      </c>
      <c r="AN1491" s="81" t="str">
        <f aca="false">IF(AND(ISNUMBER(R1491),OR(AM1491="À RADIOGRAPHIER",AM1491="RÉPARÉ – À RADIOGRAPHIER",AM1491="NX – RT À REFAIRE",AM1491="À RÉPARER",AM1491="COUPE – À RESOUDER",AM1491="VT REJETÉ – À REPRENDRE")),MAX(0,'PROGRAMME RT'!$C$4-R1491),"")</f>
        <v/>
      </c>
      <c r="AO1491" s="78" t="n">
        <f aca="false">IF(AND(OR(AM1491="À RADIOGRAPHIER",AM1491="RÉPARÉ – À RADIOGRAPHIER",AM1491="NX – RT À REFAIRE"),OR('PROGRAMME RT'!$D$5="TOUTES",B1491='PROGRAMME RT'!$D$5)),1,0)</f>
        <v>0</v>
      </c>
      <c r="AP1491" s="78" t="str">
        <f aca="false">IF(AO1491=1,SUM(AO$7:AO1491),"")</f>
        <v/>
      </c>
      <c r="AQ1491" s="78" t="n">
        <f aca="false">IF(AND(OR(X1491="R",X1491="NX",X1491="NT",X1491="CO"),OR('JOINTS DE RÉPARATION'!$D$5="TOUTES",B1491='JOINTS DE RÉPARATION'!$D$5),OR('JOINTS DE RÉPARATION'!$L$4="TOUS",AM1491&lt;&gt;"ACCEPTÉ")),1,0)</f>
        <v>0</v>
      </c>
      <c r="AR1491" s="78" t="str">
        <f aca="false">IF(AQ1491=1,SUM(AQ$7:AQ1491),"")</f>
        <v/>
      </c>
    </row>
    <row r="1492" customFormat="false" ht="15" hidden="false" customHeight="false" outlineLevel="0" collapsed="false">
      <c r="A1492" s="78" t="str">
        <f aca="false">IF(E1492="","",ROW()-6)</f>
        <v/>
      </c>
      <c r="B1492" s="79"/>
      <c r="C1492" s="80"/>
      <c r="D1492" s="80"/>
      <c r="E1492" s="80"/>
      <c r="F1492" s="80"/>
      <c r="G1492" s="80"/>
      <c r="H1492" s="80"/>
      <c r="I1492" s="80"/>
      <c r="J1492" s="80"/>
      <c r="K1492" s="80"/>
      <c r="L1492" s="81" t="str">
        <f aca="false">IF(K1492="","",IFERROR(INDEX(BARDAGE!$C$7:$C$1506,MATCH(K1492,BARDAGE!$B$7:$B$1506,0)),"? hors registre"))</f>
        <v/>
      </c>
      <c r="M1492" s="80"/>
      <c r="N1492" s="81" t="str">
        <f aca="false">IF(M1492="","",IFERROR(INDEX(BARDAGE!$C$7:$C$1506,MATCH(M1492,BARDAGE!$B$7:$B$1506,0)),"? hors registre"))</f>
        <v/>
      </c>
      <c r="O1492" s="80"/>
      <c r="P1492" s="80"/>
      <c r="Q1492" s="80"/>
      <c r="R1492" s="82"/>
      <c r="S1492" s="82"/>
      <c r="T1492" s="80"/>
      <c r="U1492" s="80"/>
      <c r="V1492" s="82"/>
      <c r="W1492" s="80"/>
      <c r="X1492" s="80"/>
      <c r="Y1492" s="80"/>
      <c r="Z1492" s="80"/>
      <c r="AA1492" s="82"/>
      <c r="AB1492" s="80"/>
      <c r="AC1492" s="80"/>
      <c r="AD1492" s="80"/>
      <c r="AE1492" s="80"/>
      <c r="AF1492" s="82"/>
      <c r="AG1492" s="80"/>
      <c r="AH1492" s="80"/>
      <c r="AI1492" s="82"/>
      <c r="AJ1492" s="79"/>
      <c r="AK1492" s="78" t="str">
        <f aca="false">IF(E1492="","",(X1492&lt;&gt;"")+(AC1492&lt;&gt;"")+(AH1492&lt;&gt;""))</f>
        <v/>
      </c>
      <c r="AL1492" s="81" t="str">
        <f aca="false">IF(AH1492&lt;&gt;"",AH1492,IF(AC1492&lt;&gt;"",AC1492,IF(X1492&lt;&gt;"",X1492,"")))</f>
        <v/>
      </c>
      <c r="AM1492" s="83" t="str">
        <f aca="false">IF(E1492="","",IF(R1492="","À SOUDER",IF(U1492="","VT EN ATTENTE",IF(U1492="R","VT REJETÉ – À REPRENDRE",IF(AL1492="","À RADIOGRAPHIER",IF(AL1492="A","ACCEPTÉ",IF(AL1492="NX","NX – RT À REFAIRE",IF(IF(AK1492=1,Z1492,IF(AK1492=2,AE1492,""))="A","RÉPARÉ – À RADIOGRAPHIER",IF(IF(AK1492=1,Z1492,IF(AK1492=2,AE1492,""))="R","VT REJETÉ – À REPRENDRE",IF(OR(AL1492="CO",AL1492="NT"),"COUPE – À RESOUDER","À RÉPARER"))))))))))</f>
        <v/>
      </c>
      <c r="AN1492" s="81" t="str">
        <f aca="false">IF(AND(ISNUMBER(R1492),OR(AM1492="À RADIOGRAPHIER",AM1492="RÉPARÉ – À RADIOGRAPHIER",AM1492="NX – RT À REFAIRE",AM1492="À RÉPARER",AM1492="COUPE – À RESOUDER",AM1492="VT REJETÉ – À REPRENDRE")),MAX(0,'PROGRAMME RT'!$C$4-R1492),"")</f>
        <v/>
      </c>
      <c r="AO1492" s="78" t="n">
        <f aca="false">IF(AND(OR(AM1492="À RADIOGRAPHIER",AM1492="RÉPARÉ – À RADIOGRAPHIER",AM1492="NX – RT À REFAIRE"),OR('PROGRAMME RT'!$D$5="TOUTES",B1492='PROGRAMME RT'!$D$5)),1,0)</f>
        <v>0</v>
      </c>
      <c r="AP1492" s="78" t="str">
        <f aca="false">IF(AO1492=1,SUM(AO$7:AO1492),"")</f>
        <v/>
      </c>
      <c r="AQ1492" s="78" t="n">
        <f aca="false">IF(AND(OR(X1492="R",X1492="NX",X1492="NT",X1492="CO"),OR('JOINTS DE RÉPARATION'!$D$5="TOUTES",B1492='JOINTS DE RÉPARATION'!$D$5),OR('JOINTS DE RÉPARATION'!$L$4="TOUS",AM1492&lt;&gt;"ACCEPTÉ")),1,0)</f>
        <v>0</v>
      </c>
      <c r="AR1492" s="78" t="str">
        <f aca="false">IF(AQ1492=1,SUM(AQ$7:AQ1492),"")</f>
        <v/>
      </c>
    </row>
    <row r="1493" customFormat="false" ht="15" hidden="false" customHeight="false" outlineLevel="0" collapsed="false">
      <c r="A1493" s="78" t="str">
        <f aca="false">IF(E1493="","",ROW()-6)</f>
        <v/>
      </c>
      <c r="B1493" s="79"/>
      <c r="C1493" s="80"/>
      <c r="D1493" s="80"/>
      <c r="E1493" s="80"/>
      <c r="F1493" s="80"/>
      <c r="G1493" s="80"/>
      <c r="H1493" s="80"/>
      <c r="I1493" s="80"/>
      <c r="J1493" s="80"/>
      <c r="K1493" s="80"/>
      <c r="L1493" s="81" t="str">
        <f aca="false">IF(K1493="","",IFERROR(INDEX(BARDAGE!$C$7:$C$1506,MATCH(K1493,BARDAGE!$B$7:$B$1506,0)),"? hors registre"))</f>
        <v/>
      </c>
      <c r="M1493" s="80"/>
      <c r="N1493" s="81" t="str">
        <f aca="false">IF(M1493="","",IFERROR(INDEX(BARDAGE!$C$7:$C$1506,MATCH(M1493,BARDAGE!$B$7:$B$1506,0)),"? hors registre"))</f>
        <v/>
      </c>
      <c r="O1493" s="80"/>
      <c r="P1493" s="80"/>
      <c r="Q1493" s="80"/>
      <c r="R1493" s="82"/>
      <c r="S1493" s="82"/>
      <c r="T1493" s="80"/>
      <c r="U1493" s="80"/>
      <c r="V1493" s="82"/>
      <c r="W1493" s="80"/>
      <c r="X1493" s="80"/>
      <c r="Y1493" s="80"/>
      <c r="Z1493" s="80"/>
      <c r="AA1493" s="82"/>
      <c r="AB1493" s="80"/>
      <c r="AC1493" s="80"/>
      <c r="AD1493" s="80"/>
      <c r="AE1493" s="80"/>
      <c r="AF1493" s="82"/>
      <c r="AG1493" s="80"/>
      <c r="AH1493" s="80"/>
      <c r="AI1493" s="82"/>
      <c r="AJ1493" s="79"/>
      <c r="AK1493" s="78" t="str">
        <f aca="false">IF(E1493="","",(X1493&lt;&gt;"")+(AC1493&lt;&gt;"")+(AH1493&lt;&gt;""))</f>
        <v/>
      </c>
      <c r="AL1493" s="81" t="str">
        <f aca="false">IF(AH1493&lt;&gt;"",AH1493,IF(AC1493&lt;&gt;"",AC1493,IF(X1493&lt;&gt;"",X1493,"")))</f>
        <v/>
      </c>
      <c r="AM1493" s="83" t="str">
        <f aca="false">IF(E1493="","",IF(R1493="","À SOUDER",IF(U1493="","VT EN ATTENTE",IF(U1493="R","VT REJETÉ – À REPRENDRE",IF(AL1493="","À RADIOGRAPHIER",IF(AL1493="A","ACCEPTÉ",IF(AL1493="NX","NX – RT À REFAIRE",IF(IF(AK1493=1,Z1493,IF(AK1493=2,AE1493,""))="A","RÉPARÉ – À RADIOGRAPHIER",IF(IF(AK1493=1,Z1493,IF(AK1493=2,AE1493,""))="R","VT REJETÉ – À REPRENDRE",IF(OR(AL1493="CO",AL1493="NT"),"COUPE – À RESOUDER","À RÉPARER"))))))))))</f>
        <v/>
      </c>
      <c r="AN1493" s="81" t="str">
        <f aca="false">IF(AND(ISNUMBER(R1493),OR(AM1493="À RADIOGRAPHIER",AM1493="RÉPARÉ – À RADIOGRAPHIER",AM1493="NX – RT À REFAIRE",AM1493="À RÉPARER",AM1493="COUPE – À RESOUDER",AM1493="VT REJETÉ – À REPRENDRE")),MAX(0,'PROGRAMME RT'!$C$4-R1493),"")</f>
        <v/>
      </c>
      <c r="AO1493" s="78" t="n">
        <f aca="false">IF(AND(OR(AM1493="À RADIOGRAPHIER",AM1493="RÉPARÉ – À RADIOGRAPHIER",AM1493="NX – RT À REFAIRE"),OR('PROGRAMME RT'!$D$5="TOUTES",B1493='PROGRAMME RT'!$D$5)),1,0)</f>
        <v>0</v>
      </c>
      <c r="AP1493" s="78" t="str">
        <f aca="false">IF(AO1493=1,SUM(AO$7:AO1493),"")</f>
        <v/>
      </c>
      <c r="AQ1493" s="78" t="n">
        <f aca="false">IF(AND(OR(X1493="R",X1493="NX",X1493="NT",X1493="CO"),OR('JOINTS DE RÉPARATION'!$D$5="TOUTES",B1493='JOINTS DE RÉPARATION'!$D$5),OR('JOINTS DE RÉPARATION'!$L$4="TOUS",AM1493&lt;&gt;"ACCEPTÉ")),1,0)</f>
        <v>0</v>
      </c>
      <c r="AR1493" s="78" t="str">
        <f aca="false">IF(AQ1493=1,SUM(AQ$7:AQ1493),"")</f>
        <v/>
      </c>
    </row>
    <row r="1494" customFormat="false" ht="15" hidden="false" customHeight="false" outlineLevel="0" collapsed="false">
      <c r="A1494" s="78" t="str">
        <f aca="false">IF(E1494="","",ROW()-6)</f>
        <v/>
      </c>
      <c r="B1494" s="79"/>
      <c r="C1494" s="80"/>
      <c r="D1494" s="80"/>
      <c r="E1494" s="80"/>
      <c r="F1494" s="80"/>
      <c r="G1494" s="80"/>
      <c r="H1494" s="80"/>
      <c r="I1494" s="80"/>
      <c r="J1494" s="80"/>
      <c r="K1494" s="80"/>
      <c r="L1494" s="81" t="str">
        <f aca="false">IF(K1494="","",IFERROR(INDEX(BARDAGE!$C$7:$C$1506,MATCH(K1494,BARDAGE!$B$7:$B$1506,0)),"? hors registre"))</f>
        <v/>
      </c>
      <c r="M1494" s="80"/>
      <c r="N1494" s="81" t="str">
        <f aca="false">IF(M1494="","",IFERROR(INDEX(BARDAGE!$C$7:$C$1506,MATCH(M1494,BARDAGE!$B$7:$B$1506,0)),"? hors registre"))</f>
        <v/>
      </c>
      <c r="O1494" s="80"/>
      <c r="P1494" s="80"/>
      <c r="Q1494" s="80"/>
      <c r="R1494" s="82"/>
      <c r="S1494" s="82"/>
      <c r="T1494" s="80"/>
      <c r="U1494" s="80"/>
      <c r="V1494" s="82"/>
      <c r="W1494" s="80"/>
      <c r="X1494" s="80"/>
      <c r="Y1494" s="80"/>
      <c r="Z1494" s="80"/>
      <c r="AA1494" s="82"/>
      <c r="AB1494" s="80"/>
      <c r="AC1494" s="80"/>
      <c r="AD1494" s="80"/>
      <c r="AE1494" s="80"/>
      <c r="AF1494" s="82"/>
      <c r="AG1494" s="80"/>
      <c r="AH1494" s="80"/>
      <c r="AI1494" s="82"/>
      <c r="AJ1494" s="79"/>
      <c r="AK1494" s="78" t="str">
        <f aca="false">IF(E1494="","",(X1494&lt;&gt;"")+(AC1494&lt;&gt;"")+(AH1494&lt;&gt;""))</f>
        <v/>
      </c>
      <c r="AL1494" s="81" t="str">
        <f aca="false">IF(AH1494&lt;&gt;"",AH1494,IF(AC1494&lt;&gt;"",AC1494,IF(X1494&lt;&gt;"",X1494,"")))</f>
        <v/>
      </c>
      <c r="AM1494" s="83" t="str">
        <f aca="false">IF(E1494="","",IF(R1494="","À SOUDER",IF(U1494="","VT EN ATTENTE",IF(U1494="R","VT REJETÉ – À REPRENDRE",IF(AL1494="","À RADIOGRAPHIER",IF(AL1494="A","ACCEPTÉ",IF(AL1494="NX","NX – RT À REFAIRE",IF(IF(AK1494=1,Z1494,IF(AK1494=2,AE1494,""))="A","RÉPARÉ – À RADIOGRAPHIER",IF(IF(AK1494=1,Z1494,IF(AK1494=2,AE1494,""))="R","VT REJETÉ – À REPRENDRE",IF(OR(AL1494="CO",AL1494="NT"),"COUPE – À RESOUDER","À RÉPARER"))))))))))</f>
        <v/>
      </c>
      <c r="AN1494" s="81" t="str">
        <f aca="false">IF(AND(ISNUMBER(R1494),OR(AM1494="À RADIOGRAPHIER",AM1494="RÉPARÉ – À RADIOGRAPHIER",AM1494="NX – RT À REFAIRE",AM1494="À RÉPARER",AM1494="COUPE – À RESOUDER",AM1494="VT REJETÉ – À REPRENDRE")),MAX(0,'PROGRAMME RT'!$C$4-R1494),"")</f>
        <v/>
      </c>
      <c r="AO1494" s="78" t="n">
        <f aca="false">IF(AND(OR(AM1494="À RADIOGRAPHIER",AM1494="RÉPARÉ – À RADIOGRAPHIER",AM1494="NX – RT À REFAIRE"),OR('PROGRAMME RT'!$D$5="TOUTES",B1494='PROGRAMME RT'!$D$5)),1,0)</f>
        <v>0</v>
      </c>
      <c r="AP1494" s="78" t="str">
        <f aca="false">IF(AO1494=1,SUM(AO$7:AO1494),"")</f>
        <v/>
      </c>
      <c r="AQ1494" s="78" t="n">
        <f aca="false">IF(AND(OR(X1494="R",X1494="NX",X1494="NT",X1494="CO"),OR('JOINTS DE RÉPARATION'!$D$5="TOUTES",B1494='JOINTS DE RÉPARATION'!$D$5),OR('JOINTS DE RÉPARATION'!$L$4="TOUS",AM1494&lt;&gt;"ACCEPTÉ")),1,0)</f>
        <v>0</v>
      </c>
      <c r="AR1494" s="78" t="str">
        <f aca="false">IF(AQ1494=1,SUM(AQ$7:AQ1494),"")</f>
        <v/>
      </c>
    </row>
    <row r="1495" customFormat="false" ht="15" hidden="false" customHeight="false" outlineLevel="0" collapsed="false">
      <c r="A1495" s="78" t="str">
        <f aca="false">IF(E1495="","",ROW()-6)</f>
        <v/>
      </c>
      <c r="B1495" s="79"/>
      <c r="C1495" s="80"/>
      <c r="D1495" s="80"/>
      <c r="E1495" s="80"/>
      <c r="F1495" s="80"/>
      <c r="G1495" s="80"/>
      <c r="H1495" s="80"/>
      <c r="I1495" s="80"/>
      <c r="J1495" s="80"/>
      <c r="K1495" s="80"/>
      <c r="L1495" s="81" t="str">
        <f aca="false">IF(K1495="","",IFERROR(INDEX(BARDAGE!$C$7:$C$1506,MATCH(K1495,BARDAGE!$B$7:$B$1506,0)),"? hors registre"))</f>
        <v/>
      </c>
      <c r="M1495" s="80"/>
      <c r="N1495" s="81" t="str">
        <f aca="false">IF(M1495="","",IFERROR(INDEX(BARDAGE!$C$7:$C$1506,MATCH(M1495,BARDAGE!$B$7:$B$1506,0)),"? hors registre"))</f>
        <v/>
      </c>
      <c r="O1495" s="80"/>
      <c r="P1495" s="80"/>
      <c r="Q1495" s="80"/>
      <c r="R1495" s="82"/>
      <c r="S1495" s="82"/>
      <c r="T1495" s="80"/>
      <c r="U1495" s="80"/>
      <c r="V1495" s="82"/>
      <c r="W1495" s="80"/>
      <c r="X1495" s="80"/>
      <c r="Y1495" s="80"/>
      <c r="Z1495" s="80"/>
      <c r="AA1495" s="82"/>
      <c r="AB1495" s="80"/>
      <c r="AC1495" s="80"/>
      <c r="AD1495" s="80"/>
      <c r="AE1495" s="80"/>
      <c r="AF1495" s="82"/>
      <c r="AG1495" s="80"/>
      <c r="AH1495" s="80"/>
      <c r="AI1495" s="82"/>
      <c r="AJ1495" s="79"/>
      <c r="AK1495" s="78" t="str">
        <f aca="false">IF(E1495="","",(X1495&lt;&gt;"")+(AC1495&lt;&gt;"")+(AH1495&lt;&gt;""))</f>
        <v/>
      </c>
      <c r="AL1495" s="81" t="str">
        <f aca="false">IF(AH1495&lt;&gt;"",AH1495,IF(AC1495&lt;&gt;"",AC1495,IF(X1495&lt;&gt;"",X1495,"")))</f>
        <v/>
      </c>
      <c r="AM1495" s="83" t="str">
        <f aca="false">IF(E1495="","",IF(R1495="","À SOUDER",IF(U1495="","VT EN ATTENTE",IF(U1495="R","VT REJETÉ – À REPRENDRE",IF(AL1495="","À RADIOGRAPHIER",IF(AL1495="A","ACCEPTÉ",IF(AL1495="NX","NX – RT À REFAIRE",IF(IF(AK1495=1,Z1495,IF(AK1495=2,AE1495,""))="A","RÉPARÉ – À RADIOGRAPHIER",IF(IF(AK1495=1,Z1495,IF(AK1495=2,AE1495,""))="R","VT REJETÉ – À REPRENDRE",IF(OR(AL1495="CO",AL1495="NT"),"COUPE – À RESOUDER","À RÉPARER"))))))))))</f>
        <v/>
      </c>
      <c r="AN1495" s="81" t="str">
        <f aca="false">IF(AND(ISNUMBER(R1495),OR(AM1495="À RADIOGRAPHIER",AM1495="RÉPARÉ – À RADIOGRAPHIER",AM1495="NX – RT À REFAIRE",AM1495="À RÉPARER",AM1495="COUPE – À RESOUDER",AM1495="VT REJETÉ – À REPRENDRE")),MAX(0,'PROGRAMME RT'!$C$4-R1495),"")</f>
        <v/>
      </c>
      <c r="AO1495" s="78" t="n">
        <f aca="false">IF(AND(OR(AM1495="À RADIOGRAPHIER",AM1495="RÉPARÉ – À RADIOGRAPHIER",AM1495="NX – RT À REFAIRE"),OR('PROGRAMME RT'!$D$5="TOUTES",B1495='PROGRAMME RT'!$D$5)),1,0)</f>
        <v>0</v>
      </c>
      <c r="AP1495" s="78" t="str">
        <f aca="false">IF(AO1495=1,SUM(AO$7:AO1495),"")</f>
        <v/>
      </c>
      <c r="AQ1495" s="78" t="n">
        <f aca="false">IF(AND(OR(X1495="R",X1495="NX",X1495="NT",X1495="CO"),OR('JOINTS DE RÉPARATION'!$D$5="TOUTES",B1495='JOINTS DE RÉPARATION'!$D$5),OR('JOINTS DE RÉPARATION'!$L$4="TOUS",AM1495&lt;&gt;"ACCEPTÉ")),1,0)</f>
        <v>0</v>
      </c>
      <c r="AR1495" s="78" t="str">
        <f aca="false">IF(AQ1495=1,SUM(AQ$7:AQ1495),"")</f>
        <v/>
      </c>
    </row>
    <row r="1496" customFormat="false" ht="15" hidden="false" customHeight="false" outlineLevel="0" collapsed="false">
      <c r="A1496" s="78" t="str">
        <f aca="false">IF(E1496="","",ROW()-6)</f>
        <v/>
      </c>
      <c r="B1496" s="79"/>
      <c r="C1496" s="80"/>
      <c r="D1496" s="80"/>
      <c r="E1496" s="80"/>
      <c r="F1496" s="80"/>
      <c r="G1496" s="80"/>
      <c r="H1496" s="80"/>
      <c r="I1496" s="80"/>
      <c r="J1496" s="80"/>
      <c r="K1496" s="80"/>
      <c r="L1496" s="81" t="str">
        <f aca="false">IF(K1496="","",IFERROR(INDEX(BARDAGE!$C$7:$C$1506,MATCH(K1496,BARDAGE!$B$7:$B$1506,0)),"? hors registre"))</f>
        <v/>
      </c>
      <c r="M1496" s="80"/>
      <c r="N1496" s="81" t="str">
        <f aca="false">IF(M1496="","",IFERROR(INDEX(BARDAGE!$C$7:$C$1506,MATCH(M1496,BARDAGE!$B$7:$B$1506,0)),"? hors registre"))</f>
        <v/>
      </c>
      <c r="O1496" s="80"/>
      <c r="P1496" s="80"/>
      <c r="Q1496" s="80"/>
      <c r="R1496" s="82"/>
      <c r="S1496" s="82"/>
      <c r="T1496" s="80"/>
      <c r="U1496" s="80"/>
      <c r="V1496" s="82"/>
      <c r="W1496" s="80"/>
      <c r="X1496" s="80"/>
      <c r="Y1496" s="80"/>
      <c r="Z1496" s="80"/>
      <c r="AA1496" s="82"/>
      <c r="AB1496" s="80"/>
      <c r="AC1496" s="80"/>
      <c r="AD1496" s="80"/>
      <c r="AE1496" s="80"/>
      <c r="AF1496" s="82"/>
      <c r="AG1496" s="80"/>
      <c r="AH1496" s="80"/>
      <c r="AI1496" s="82"/>
      <c r="AJ1496" s="79"/>
      <c r="AK1496" s="78" t="str">
        <f aca="false">IF(E1496="","",(X1496&lt;&gt;"")+(AC1496&lt;&gt;"")+(AH1496&lt;&gt;""))</f>
        <v/>
      </c>
      <c r="AL1496" s="81" t="str">
        <f aca="false">IF(AH1496&lt;&gt;"",AH1496,IF(AC1496&lt;&gt;"",AC1496,IF(X1496&lt;&gt;"",X1496,"")))</f>
        <v/>
      </c>
      <c r="AM1496" s="83" t="str">
        <f aca="false">IF(E1496="","",IF(R1496="","À SOUDER",IF(U1496="","VT EN ATTENTE",IF(U1496="R","VT REJETÉ – À REPRENDRE",IF(AL1496="","À RADIOGRAPHIER",IF(AL1496="A","ACCEPTÉ",IF(AL1496="NX","NX – RT À REFAIRE",IF(IF(AK1496=1,Z1496,IF(AK1496=2,AE1496,""))="A","RÉPARÉ – À RADIOGRAPHIER",IF(IF(AK1496=1,Z1496,IF(AK1496=2,AE1496,""))="R","VT REJETÉ – À REPRENDRE",IF(OR(AL1496="CO",AL1496="NT"),"COUPE – À RESOUDER","À RÉPARER"))))))))))</f>
        <v/>
      </c>
      <c r="AN1496" s="81" t="str">
        <f aca="false">IF(AND(ISNUMBER(R1496),OR(AM1496="À RADIOGRAPHIER",AM1496="RÉPARÉ – À RADIOGRAPHIER",AM1496="NX – RT À REFAIRE",AM1496="À RÉPARER",AM1496="COUPE – À RESOUDER",AM1496="VT REJETÉ – À REPRENDRE")),MAX(0,'PROGRAMME RT'!$C$4-R1496),"")</f>
        <v/>
      </c>
      <c r="AO1496" s="78" t="n">
        <f aca="false">IF(AND(OR(AM1496="À RADIOGRAPHIER",AM1496="RÉPARÉ – À RADIOGRAPHIER",AM1496="NX – RT À REFAIRE"),OR('PROGRAMME RT'!$D$5="TOUTES",B1496='PROGRAMME RT'!$D$5)),1,0)</f>
        <v>0</v>
      </c>
      <c r="AP1496" s="78" t="str">
        <f aca="false">IF(AO1496=1,SUM(AO$7:AO1496),"")</f>
        <v/>
      </c>
      <c r="AQ1496" s="78" t="n">
        <f aca="false">IF(AND(OR(X1496="R",X1496="NX",X1496="NT",X1496="CO"),OR('JOINTS DE RÉPARATION'!$D$5="TOUTES",B1496='JOINTS DE RÉPARATION'!$D$5),OR('JOINTS DE RÉPARATION'!$L$4="TOUS",AM1496&lt;&gt;"ACCEPTÉ")),1,0)</f>
        <v>0</v>
      </c>
      <c r="AR1496" s="78" t="str">
        <f aca="false">IF(AQ1496=1,SUM(AQ$7:AQ1496),"")</f>
        <v/>
      </c>
    </row>
    <row r="1497" customFormat="false" ht="15" hidden="false" customHeight="false" outlineLevel="0" collapsed="false">
      <c r="A1497" s="78" t="str">
        <f aca="false">IF(E1497="","",ROW()-6)</f>
        <v/>
      </c>
      <c r="B1497" s="79"/>
      <c r="C1497" s="80"/>
      <c r="D1497" s="80"/>
      <c r="E1497" s="80"/>
      <c r="F1497" s="80"/>
      <c r="G1497" s="80"/>
      <c r="H1497" s="80"/>
      <c r="I1497" s="80"/>
      <c r="J1497" s="80"/>
      <c r="K1497" s="80"/>
      <c r="L1497" s="81" t="str">
        <f aca="false">IF(K1497="","",IFERROR(INDEX(BARDAGE!$C$7:$C$1506,MATCH(K1497,BARDAGE!$B$7:$B$1506,0)),"? hors registre"))</f>
        <v/>
      </c>
      <c r="M1497" s="80"/>
      <c r="N1497" s="81" t="str">
        <f aca="false">IF(M1497="","",IFERROR(INDEX(BARDAGE!$C$7:$C$1506,MATCH(M1497,BARDAGE!$B$7:$B$1506,0)),"? hors registre"))</f>
        <v/>
      </c>
      <c r="O1497" s="80"/>
      <c r="P1497" s="80"/>
      <c r="Q1497" s="80"/>
      <c r="R1497" s="82"/>
      <c r="S1497" s="82"/>
      <c r="T1497" s="80"/>
      <c r="U1497" s="80"/>
      <c r="V1497" s="82"/>
      <c r="W1497" s="80"/>
      <c r="X1497" s="80"/>
      <c r="Y1497" s="80"/>
      <c r="Z1497" s="80"/>
      <c r="AA1497" s="82"/>
      <c r="AB1497" s="80"/>
      <c r="AC1497" s="80"/>
      <c r="AD1497" s="80"/>
      <c r="AE1497" s="80"/>
      <c r="AF1497" s="82"/>
      <c r="AG1497" s="80"/>
      <c r="AH1497" s="80"/>
      <c r="AI1497" s="82"/>
      <c r="AJ1497" s="79"/>
      <c r="AK1497" s="78" t="str">
        <f aca="false">IF(E1497="","",(X1497&lt;&gt;"")+(AC1497&lt;&gt;"")+(AH1497&lt;&gt;""))</f>
        <v/>
      </c>
      <c r="AL1497" s="81" t="str">
        <f aca="false">IF(AH1497&lt;&gt;"",AH1497,IF(AC1497&lt;&gt;"",AC1497,IF(X1497&lt;&gt;"",X1497,"")))</f>
        <v/>
      </c>
      <c r="AM1497" s="83" t="str">
        <f aca="false">IF(E1497="","",IF(R1497="","À SOUDER",IF(U1497="","VT EN ATTENTE",IF(U1497="R","VT REJETÉ – À REPRENDRE",IF(AL1497="","À RADIOGRAPHIER",IF(AL1497="A","ACCEPTÉ",IF(AL1497="NX","NX – RT À REFAIRE",IF(IF(AK1497=1,Z1497,IF(AK1497=2,AE1497,""))="A","RÉPARÉ – À RADIOGRAPHIER",IF(IF(AK1497=1,Z1497,IF(AK1497=2,AE1497,""))="R","VT REJETÉ – À REPRENDRE",IF(OR(AL1497="CO",AL1497="NT"),"COUPE – À RESOUDER","À RÉPARER"))))))))))</f>
        <v/>
      </c>
      <c r="AN1497" s="81" t="str">
        <f aca="false">IF(AND(ISNUMBER(R1497),OR(AM1497="À RADIOGRAPHIER",AM1497="RÉPARÉ – À RADIOGRAPHIER",AM1497="NX – RT À REFAIRE",AM1497="À RÉPARER",AM1497="COUPE – À RESOUDER",AM1497="VT REJETÉ – À REPRENDRE")),MAX(0,'PROGRAMME RT'!$C$4-R1497),"")</f>
        <v/>
      </c>
      <c r="AO1497" s="78" t="n">
        <f aca="false">IF(AND(OR(AM1497="À RADIOGRAPHIER",AM1497="RÉPARÉ – À RADIOGRAPHIER",AM1497="NX – RT À REFAIRE"),OR('PROGRAMME RT'!$D$5="TOUTES",B1497='PROGRAMME RT'!$D$5)),1,0)</f>
        <v>0</v>
      </c>
      <c r="AP1497" s="78" t="str">
        <f aca="false">IF(AO1497=1,SUM(AO$7:AO1497),"")</f>
        <v/>
      </c>
      <c r="AQ1497" s="78" t="n">
        <f aca="false">IF(AND(OR(X1497="R",X1497="NX",X1497="NT",X1497="CO"),OR('JOINTS DE RÉPARATION'!$D$5="TOUTES",B1497='JOINTS DE RÉPARATION'!$D$5),OR('JOINTS DE RÉPARATION'!$L$4="TOUS",AM1497&lt;&gt;"ACCEPTÉ")),1,0)</f>
        <v>0</v>
      </c>
      <c r="AR1497" s="78" t="str">
        <f aca="false">IF(AQ1497=1,SUM(AQ$7:AQ1497),"")</f>
        <v/>
      </c>
    </row>
    <row r="1498" customFormat="false" ht="15" hidden="false" customHeight="false" outlineLevel="0" collapsed="false">
      <c r="A1498" s="78" t="str">
        <f aca="false">IF(E1498="","",ROW()-6)</f>
        <v/>
      </c>
      <c r="B1498" s="79"/>
      <c r="C1498" s="80"/>
      <c r="D1498" s="80"/>
      <c r="E1498" s="80"/>
      <c r="F1498" s="80"/>
      <c r="G1498" s="80"/>
      <c r="H1498" s="80"/>
      <c r="I1498" s="80"/>
      <c r="J1498" s="80"/>
      <c r="K1498" s="80"/>
      <c r="L1498" s="81" t="str">
        <f aca="false">IF(K1498="","",IFERROR(INDEX(BARDAGE!$C$7:$C$1506,MATCH(K1498,BARDAGE!$B$7:$B$1506,0)),"? hors registre"))</f>
        <v/>
      </c>
      <c r="M1498" s="80"/>
      <c r="N1498" s="81" t="str">
        <f aca="false">IF(M1498="","",IFERROR(INDEX(BARDAGE!$C$7:$C$1506,MATCH(M1498,BARDAGE!$B$7:$B$1506,0)),"? hors registre"))</f>
        <v/>
      </c>
      <c r="O1498" s="80"/>
      <c r="P1498" s="80"/>
      <c r="Q1498" s="80"/>
      <c r="R1498" s="82"/>
      <c r="S1498" s="82"/>
      <c r="T1498" s="80"/>
      <c r="U1498" s="80"/>
      <c r="V1498" s="82"/>
      <c r="W1498" s="80"/>
      <c r="X1498" s="80"/>
      <c r="Y1498" s="80"/>
      <c r="Z1498" s="80"/>
      <c r="AA1498" s="82"/>
      <c r="AB1498" s="80"/>
      <c r="AC1498" s="80"/>
      <c r="AD1498" s="80"/>
      <c r="AE1498" s="80"/>
      <c r="AF1498" s="82"/>
      <c r="AG1498" s="80"/>
      <c r="AH1498" s="80"/>
      <c r="AI1498" s="82"/>
      <c r="AJ1498" s="79"/>
      <c r="AK1498" s="78" t="str">
        <f aca="false">IF(E1498="","",(X1498&lt;&gt;"")+(AC1498&lt;&gt;"")+(AH1498&lt;&gt;""))</f>
        <v/>
      </c>
      <c r="AL1498" s="81" t="str">
        <f aca="false">IF(AH1498&lt;&gt;"",AH1498,IF(AC1498&lt;&gt;"",AC1498,IF(X1498&lt;&gt;"",X1498,"")))</f>
        <v/>
      </c>
      <c r="AM1498" s="83" t="str">
        <f aca="false">IF(E1498="","",IF(R1498="","À SOUDER",IF(U1498="","VT EN ATTENTE",IF(U1498="R","VT REJETÉ – À REPRENDRE",IF(AL1498="","À RADIOGRAPHIER",IF(AL1498="A","ACCEPTÉ",IF(AL1498="NX","NX – RT À REFAIRE",IF(IF(AK1498=1,Z1498,IF(AK1498=2,AE1498,""))="A","RÉPARÉ – À RADIOGRAPHIER",IF(IF(AK1498=1,Z1498,IF(AK1498=2,AE1498,""))="R","VT REJETÉ – À REPRENDRE",IF(OR(AL1498="CO",AL1498="NT"),"COUPE – À RESOUDER","À RÉPARER"))))))))))</f>
        <v/>
      </c>
      <c r="AN1498" s="81" t="str">
        <f aca="false">IF(AND(ISNUMBER(R1498),OR(AM1498="À RADIOGRAPHIER",AM1498="RÉPARÉ – À RADIOGRAPHIER",AM1498="NX – RT À REFAIRE",AM1498="À RÉPARER",AM1498="COUPE – À RESOUDER",AM1498="VT REJETÉ – À REPRENDRE")),MAX(0,'PROGRAMME RT'!$C$4-R1498),"")</f>
        <v/>
      </c>
      <c r="AO1498" s="78" t="n">
        <f aca="false">IF(AND(OR(AM1498="À RADIOGRAPHIER",AM1498="RÉPARÉ – À RADIOGRAPHIER",AM1498="NX – RT À REFAIRE"),OR('PROGRAMME RT'!$D$5="TOUTES",B1498='PROGRAMME RT'!$D$5)),1,0)</f>
        <v>0</v>
      </c>
      <c r="AP1498" s="78" t="str">
        <f aca="false">IF(AO1498=1,SUM(AO$7:AO1498),"")</f>
        <v/>
      </c>
      <c r="AQ1498" s="78" t="n">
        <f aca="false">IF(AND(OR(X1498="R",X1498="NX",X1498="NT",X1498="CO"),OR('JOINTS DE RÉPARATION'!$D$5="TOUTES",B1498='JOINTS DE RÉPARATION'!$D$5),OR('JOINTS DE RÉPARATION'!$L$4="TOUS",AM1498&lt;&gt;"ACCEPTÉ")),1,0)</f>
        <v>0</v>
      </c>
      <c r="AR1498" s="78" t="str">
        <f aca="false">IF(AQ1498=1,SUM(AQ$7:AQ1498),"")</f>
        <v/>
      </c>
    </row>
    <row r="1499" customFormat="false" ht="15" hidden="false" customHeight="false" outlineLevel="0" collapsed="false">
      <c r="A1499" s="78" t="str">
        <f aca="false">IF(E1499="","",ROW()-6)</f>
        <v/>
      </c>
      <c r="B1499" s="79"/>
      <c r="C1499" s="80"/>
      <c r="D1499" s="80"/>
      <c r="E1499" s="80"/>
      <c r="F1499" s="80"/>
      <c r="G1499" s="80"/>
      <c r="H1499" s="80"/>
      <c r="I1499" s="80"/>
      <c r="J1499" s="80"/>
      <c r="K1499" s="80"/>
      <c r="L1499" s="81" t="str">
        <f aca="false">IF(K1499="","",IFERROR(INDEX(BARDAGE!$C$7:$C$1506,MATCH(K1499,BARDAGE!$B$7:$B$1506,0)),"? hors registre"))</f>
        <v/>
      </c>
      <c r="M1499" s="80"/>
      <c r="N1499" s="81" t="str">
        <f aca="false">IF(M1499="","",IFERROR(INDEX(BARDAGE!$C$7:$C$1506,MATCH(M1499,BARDAGE!$B$7:$B$1506,0)),"? hors registre"))</f>
        <v/>
      </c>
      <c r="O1499" s="80"/>
      <c r="P1499" s="80"/>
      <c r="Q1499" s="80"/>
      <c r="R1499" s="82"/>
      <c r="S1499" s="82"/>
      <c r="T1499" s="80"/>
      <c r="U1499" s="80"/>
      <c r="V1499" s="82"/>
      <c r="W1499" s="80"/>
      <c r="X1499" s="80"/>
      <c r="Y1499" s="80"/>
      <c r="Z1499" s="80"/>
      <c r="AA1499" s="82"/>
      <c r="AB1499" s="80"/>
      <c r="AC1499" s="80"/>
      <c r="AD1499" s="80"/>
      <c r="AE1499" s="80"/>
      <c r="AF1499" s="82"/>
      <c r="AG1499" s="80"/>
      <c r="AH1499" s="80"/>
      <c r="AI1499" s="82"/>
      <c r="AJ1499" s="79"/>
      <c r="AK1499" s="78" t="str">
        <f aca="false">IF(E1499="","",(X1499&lt;&gt;"")+(AC1499&lt;&gt;"")+(AH1499&lt;&gt;""))</f>
        <v/>
      </c>
      <c r="AL1499" s="81" t="str">
        <f aca="false">IF(AH1499&lt;&gt;"",AH1499,IF(AC1499&lt;&gt;"",AC1499,IF(X1499&lt;&gt;"",X1499,"")))</f>
        <v/>
      </c>
      <c r="AM1499" s="83" t="str">
        <f aca="false">IF(E1499="","",IF(R1499="","À SOUDER",IF(U1499="","VT EN ATTENTE",IF(U1499="R","VT REJETÉ – À REPRENDRE",IF(AL1499="","À RADIOGRAPHIER",IF(AL1499="A","ACCEPTÉ",IF(AL1499="NX","NX – RT À REFAIRE",IF(IF(AK1499=1,Z1499,IF(AK1499=2,AE1499,""))="A","RÉPARÉ – À RADIOGRAPHIER",IF(IF(AK1499=1,Z1499,IF(AK1499=2,AE1499,""))="R","VT REJETÉ – À REPRENDRE",IF(OR(AL1499="CO",AL1499="NT"),"COUPE – À RESOUDER","À RÉPARER"))))))))))</f>
        <v/>
      </c>
      <c r="AN1499" s="81" t="str">
        <f aca="false">IF(AND(ISNUMBER(R1499),OR(AM1499="À RADIOGRAPHIER",AM1499="RÉPARÉ – À RADIOGRAPHIER",AM1499="NX – RT À REFAIRE",AM1499="À RÉPARER",AM1499="COUPE – À RESOUDER",AM1499="VT REJETÉ – À REPRENDRE")),MAX(0,'PROGRAMME RT'!$C$4-R1499),"")</f>
        <v/>
      </c>
      <c r="AO1499" s="78" t="n">
        <f aca="false">IF(AND(OR(AM1499="À RADIOGRAPHIER",AM1499="RÉPARÉ – À RADIOGRAPHIER",AM1499="NX – RT À REFAIRE"),OR('PROGRAMME RT'!$D$5="TOUTES",B1499='PROGRAMME RT'!$D$5)),1,0)</f>
        <v>0</v>
      </c>
      <c r="AP1499" s="78" t="str">
        <f aca="false">IF(AO1499=1,SUM(AO$7:AO1499),"")</f>
        <v/>
      </c>
      <c r="AQ1499" s="78" t="n">
        <f aca="false">IF(AND(OR(X1499="R",X1499="NX",X1499="NT",X1499="CO"),OR('JOINTS DE RÉPARATION'!$D$5="TOUTES",B1499='JOINTS DE RÉPARATION'!$D$5),OR('JOINTS DE RÉPARATION'!$L$4="TOUS",AM1499&lt;&gt;"ACCEPTÉ")),1,0)</f>
        <v>0</v>
      </c>
      <c r="AR1499" s="78" t="str">
        <f aca="false">IF(AQ1499=1,SUM(AQ$7:AQ1499),"")</f>
        <v/>
      </c>
    </row>
    <row r="1500" customFormat="false" ht="15" hidden="false" customHeight="false" outlineLevel="0" collapsed="false">
      <c r="A1500" s="78" t="str">
        <f aca="false">IF(E1500="","",ROW()-6)</f>
        <v/>
      </c>
      <c r="B1500" s="79"/>
      <c r="C1500" s="80"/>
      <c r="D1500" s="80"/>
      <c r="E1500" s="80"/>
      <c r="F1500" s="80"/>
      <c r="G1500" s="80"/>
      <c r="H1500" s="80"/>
      <c r="I1500" s="80"/>
      <c r="J1500" s="80"/>
      <c r="K1500" s="80"/>
      <c r="L1500" s="81" t="str">
        <f aca="false">IF(K1500="","",IFERROR(INDEX(BARDAGE!$C$7:$C$1506,MATCH(K1500,BARDAGE!$B$7:$B$1506,0)),"? hors registre"))</f>
        <v/>
      </c>
      <c r="M1500" s="80"/>
      <c r="N1500" s="81" t="str">
        <f aca="false">IF(M1500="","",IFERROR(INDEX(BARDAGE!$C$7:$C$1506,MATCH(M1500,BARDAGE!$B$7:$B$1506,0)),"? hors registre"))</f>
        <v/>
      </c>
      <c r="O1500" s="80"/>
      <c r="P1500" s="80"/>
      <c r="Q1500" s="80"/>
      <c r="R1500" s="82"/>
      <c r="S1500" s="82"/>
      <c r="T1500" s="80"/>
      <c r="U1500" s="80"/>
      <c r="V1500" s="82"/>
      <c r="W1500" s="80"/>
      <c r="X1500" s="80"/>
      <c r="Y1500" s="80"/>
      <c r="Z1500" s="80"/>
      <c r="AA1500" s="82"/>
      <c r="AB1500" s="80"/>
      <c r="AC1500" s="80"/>
      <c r="AD1500" s="80"/>
      <c r="AE1500" s="80"/>
      <c r="AF1500" s="82"/>
      <c r="AG1500" s="80"/>
      <c r="AH1500" s="80"/>
      <c r="AI1500" s="82"/>
      <c r="AJ1500" s="79"/>
      <c r="AK1500" s="78" t="str">
        <f aca="false">IF(E1500="","",(X1500&lt;&gt;"")+(AC1500&lt;&gt;"")+(AH1500&lt;&gt;""))</f>
        <v/>
      </c>
      <c r="AL1500" s="81" t="str">
        <f aca="false">IF(AH1500&lt;&gt;"",AH1500,IF(AC1500&lt;&gt;"",AC1500,IF(X1500&lt;&gt;"",X1500,"")))</f>
        <v/>
      </c>
      <c r="AM1500" s="83" t="str">
        <f aca="false">IF(E1500="","",IF(R1500="","À SOUDER",IF(U1500="","VT EN ATTENTE",IF(U1500="R","VT REJETÉ – À REPRENDRE",IF(AL1500="","À RADIOGRAPHIER",IF(AL1500="A","ACCEPTÉ",IF(AL1500="NX","NX – RT À REFAIRE",IF(IF(AK1500=1,Z1500,IF(AK1500=2,AE1500,""))="A","RÉPARÉ – À RADIOGRAPHIER",IF(IF(AK1500=1,Z1500,IF(AK1500=2,AE1500,""))="R","VT REJETÉ – À REPRENDRE",IF(OR(AL1500="CO",AL1500="NT"),"COUPE – À RESOUDER","À RÉPARER"))))))))))</f>
        <v/>
      </c>
      <c r="AN1500" s="81" t="str">
        <f aca="false">IF(AND(ISNUMBER(R1500),OR(AM1500="À RADIOGRAPHIER",AM1500="RÉPARÉ – À RADIOGRAPHIER",AM1500="NX – RT À REFAIRE",AM1500="À RÉPARER",AM1500="COUPE – À RESOUDER",AM1500="VT REJETÉ – À REPRENDRE")),MAX(0,'PROGRAMME RT'!$C$4-R1500),"")</f>
        <v/>
      </c>
      <c r="AO1500" s="78" t="n">
        <f aca="false">IF(AND(OR(AM1500="À RADIOGRAPHIER",AM1500="RÉPARÉ – À RADIOGRAPHIER",AM1500="NX – RT À REFAIRE"),OR('PROGRAMME RT'!$D$5="TOUTES",B1500='PROGRAMME RT'!$D$5)),1,0)</f>
        <v>0</v>
      </c>
      <c r="AP1500" s="78" t="str">
        <f aca="false">IF(AO1500=1,SUM(AO$7:AO1500),"")</f>
        <v/>
      </c>
      <c r="AQ1500" s="78" t="n">
        <f aca="false">IF(AND(OR(X1500="R",X1500="NX",X1500="NT",X1500="CO"),OR('JOINTS DE RÉPARATION'!$D$5="TOUTES",B1500='JOINTS DE RÉPARATION'!$D$5),OR('JOINTS DE RÉPARATION'!$L$4="TOUS",AM1500&lt;&gt;"ACCEPTÉ")),1,0)</f>
        <v>0</v>
      </c>
      <c r="AR1500" s="78" t="str">
        <f aca="false">IF(AQ1500=1,SUM(AQ$7:AQ1500),"")</f>
        <v/>
      </c>
    </row>
    <row r="1501" customFormat="false" ht="15" hidden="false" customHeight="false" outlineLevel="0" collapsed="false">
      <c r="A1501" s="78" t="str">
        <f aca="false">IF(E1501="","",ROW()-6)</f>
        <v/>
      </c>
      <c r="B1501" s="79"/>
      <c r="C1501" s="80"/>
      <c r="D1501" s="80"/>
      <c r="E1501" s="80"/>
      <c r="F1501" s="80"/>
      <c r="G1501" s="80"/>
      <c r="H1501" s="80"/>
      <c r="I1501" s="80"/>
      <c r="J1501" s="80"/>
      <c r="K1501" s="80"/>
      <c r="L1501" s="81" t="str">
        <f aca="false">IF(K1501="","",IFERROR(INDEX(BARDAGE!$C$7:$C$1506,MATCH(K1501,BARDAGE!$B$7:$B$1506,0)),"? hors registre"))</f>
        <v/>
      </c>
      <c r="M1501" s="80"/>
      <c r="N1501" s="81" t="str">
        <f aca="false">IF(M1501="","",IFERROR(INDEX(BARDAGE!$C$7:$C$1506,MATCH(M1501,BARDAGE!$B$7:$B$1506,0)),"? hors registre"))</f>
        <v/>
      </c>
      <c r="O1501" s="80"/>
      <c r="P1501" s="80"/>
      <c r="Q1501" s="80"/>
      <c r="R1501" s="82"/>
      <c r="S1501" s="82"/>
      <c r="T1501" s="80"/>
      <c r="U1501" s="80"/>
      <c r="V1501" s="82"/>
      <c r="W1501" s="80"/>
      <c r="X1501" s="80"/>
      <c r="Y1501" s="80"/>
      <c r="Z1501" s="80"/>
      <c r="AA1501" s="82"/>
      <c r="AB1501" s="80"/>
      <c r="AC1501" s="80"/>
      <c r="AD1501" s="80"/>
      <c r="AE1501" s="80"/>
      <c r="AF1501" s="82"/>
      <c r="AG1501" s="80"/>
      <c r="AH1501" s="80"/>
      <c r="AI1501" s="82"/>
      <c r="AJ1501" s="79"/>
      <c r="AK1501" s="78" t="str">
        <f aca="false">IF(E1501="","",(X1501&lt;&gt;"")+(AC1501&lt;&gt;"")+(AH1501&lt;&gt;""))</f>
        <v/>
      </c>
      <c r="AL1501" s="81" t="str">
        <f aca="false">IF(AH1501&lt;&gt;"",AH1501,IF(AC1501&lt;&gt;"",AC1501,IF(X1501&lt;&gt;"",X1501,"")))</f>
        <v/>
      </c>
      <c r="AM1501" s="83" t="str">
        <f aca="false">IF(E1501="","",IF(R1501="","À SOUDER",IF(U1501="","VT EN ATTENTE",IF(U1501="R","VT REJETÉ – À REPRENDRE",IF(AL1501="","À RADIOGRAPHIER",IF(AL1501="A","ACCEPTÉ",IF(AL1501="NX","NX – RT À REFAIRE",IF(IF(AK1501=1,Z1501,IF(AK1501=2,AE1501,""))="A","RÉPARÉ – À RADIOGRAPHIER",IF(IF(AK1501=1,Z1501,IF(AK1501=2,AE1501,""))="R","VT REJETÉ – À REPRENDRE",IF(OR(AL1501="CO",AL1501="NT"),"COUPE – À RESOUDER","À RÉPARER"))))))))))</f>
        <v/>
      </c>
      <c r="AN1501" s="81" t="str">
        <f aca="false">IF(AND(ISNUMBER(R1501),OR(AM1501="À RADIOGRAPHIER",AM1501="RÉPARÉ – À RADIOGRAPHIER",AM1501="NX – RT À REFAIRE",AM1501="À RÉPARER",AM1501="COUPE – À RESOUDER",AM1501="VT REJETÉ – À REPRENDRE")),MAX(0,'PROGRAMME RT'!$C$4-R1501),"")</f>
        <v/>
      </c>
      <c r="AO1501" s="78" t="n">
        <f aca="false">IF(AND(OR(AM1501="À RADIOGRAPHIER",AM1501="RÉPARÉ – À RADIOGRAPHIER",AM1501="NX – RT À REFAIRE"),OR('PROGRAMME RT'!$D$5="TOUTES",B1501='PROGRAMME RT'!$D$5)),1,0)</f>
        <v>0</v>
      </c>
      <c r="AP1501" s="78" t="str">
        <f aca="false">IF(AO1501=1,SUM(AO$7:AO1501),"")</f>
        <v/>
      </c>
      <c r="AQ1501" s="78" t="n">
        <f aca="false">IF(AND(OR(X1501="R",X1501="NX",X1501="NT",X1501="CO"),OR('JOINTS DE RÉPARATION'!$D$5="TOUTES",B1501='JOINTS DE RÉPARATION'!$D$5),OR('JOINTS DE RÉPARATION'!$L$4="TOUS",AM1501&lt;&gt;"ACCEPTÉ")),1,0)</f>
        <v>0</v>
      </c>
      <c r="AR1501" s="78" t="str">
        <f aca="false">IF(AQ1501=1,SUM(AQ$7:AQ1501),"")</f>
        <v/>
      </c>
    </row>
    <row r="1502" customFormat="false" ht="15" hidden="false" customHeight="false" outlineLevel="0" collapsed="false">
      <c r="A1502" s="78" t="str">
        <f aca="false">IF(E1502="","",ROW()-6)</f>
        <v/>
      </c>
      <c r="B1502" s="79"/>
      <c r="C1502" s="80"/>
      <c r="D1502" s="80"/>
      <c r="E1502" s="80"/>
      <c r="F1502" s="80"/>
      <c r="G1502" s="80"/>
      <c r="H1502" s="80"/>
      <c r="I1502" s="80"/>
      <c r="J1502" s="80"/>
      <c r="K1502" s="80"/>
      <c r="L1502" s="81" t="str">
        <f aca="false">IF(K1502="","",IFERROR(INDEX(BARDAGE!$C$7:$C$1506,MATCH(K1502,BARDAGE!$B$7:$B$1506,0)),"? hors registre"))</f>
        <v/>
      </c>
      <c r="M1502" s="80"/>
      <c r="N1502" s="81" t="str">
        <f aca="false">IF(M1502="","",IFERROR(INDEX(BARDAGE!$C$7:$C$1506,MATCH(M1502,BARDAGE!$B$7:$B$1506,0)),"? hors registre"))</f>
        <v/>
      </c>
      <c r="O1502" s="80"/>
      <c r="P1502" s="80"/>
      <c r="Q1502" s="80"/>
      <c r="R1502" s="82"/>
      <c r="S1502" s="82"/>
      <c r="T1502" s="80"/>
      <c r="U1502" s="80"/>
      <c r="V1502" s="82"/>
      <c r="W1502" s="80"/>
      <c r="X1502" s="80"/>
      <c r="Y1502" s="80"/>
      <c r="Z1502" s="80"/>
      <c r="AA1502" s="82"/>
      <c r="AB1502" s="80"/>
      <c r="AC1502" s="80"/>
      <c r="AD1502" s="80"/>
      <c r="AE1502" s="80"/>
      <c r="AF1502" s="82"/>
      <c r="AG1502" s="80"/>
      <c r="AH1502" s="80"/>
      <c r="AI1502" s="82"/>
      <c r="AJ1502" s="79"/>
      <c r="AK1502" s="78" t="str">
        <f aca="false">IF(E1502="","",(X1502&lt;&gt;"")+(AC1502&lt;&gt;"")+(AH1502&lt;&gt;""))</f>
        <v/>
      </c>
      <c r="AL1502" s="81" t="str">
        <f aca="false">IF(AH1502&lt;&gt;"",AH1502,IF(AC1502&lt;&gt;"",AC1502,IF(X1502&lt;&gt;"",X1502,"")))</f>
        <v/>
      </c>
      <c r="AM1502" s="83" t="str">
        <f aca="false">IF(E1502="","",IF(R1502="","À SOUDER",IF(U1502="","VT EN ATTENTE",IF(U1502="R","VT REJETÉ – À REPRENDRE",IF(AL1502="","À RADIOGRAPHIER",IF(AL1502="A","ACCEPTÉ",IF(AL1502="NX","NX – RT À REFAIRE",IF(IF(AK1502=1,Z1502,IF(AK1502=2,AE1502,""))="A","RÉPARÉ – À RADIOGRAPHIER",IF(IF(AK1502=1,Z1502,IF(AK1502=2,AE1502,""))="R","VT REJETÉ – À REPRENDRE",IF(OR(AL1502="CO",AL1502="NT"),"COUPE – À RESOUDER","À RÉPARER"))))))))))</f>
        <v/>
      </c>
      <c r="AN1502" s="81" t="str">
        <f aca="false">IF(AND(ISNUMBER(R1502),OR(AM1502="À RADIOGRAPHIER",AM1502="RÉPARÉ – À RADIOGRAPHIER",AM1502="NX – RT À REFAIRE",AM1502="À RÉPARER",AM1502="COUPE – À RESOUDER",AM1502="VT REJETÉ – À REPRENDRE")),MAX(0,'PROGRAMME RT'!$C$4-R1502),"")</f>
        <v/>
      </c>
      <c r="AO1502" s="78" t="n">
        <f aca="false">IF(AND(OR(AM1502="À RADIOGRAPHIER",AM1502="RÉPARÉ – À RADIOGRAPHIER",AM1502="NX – RT À REFAIRE"),OR('PROGRAMME RT'!$D$5="TOUTES",B1502='PROGRAMME RT'!$D$5)),1,0)</f>
        <v>0</v>
      </c>
      <c r="AP1502" s="78" t="str">
        <f aca="false">IF(AO1502=1,SUM(AO$7:AO1502),"")</f>
        <v/>
      </c>
      <c r="AQ1502" s="78" t="n">
        <f aca="false">IF(AND(OR(X1502="R",X1502="NX",X1502="NT",X1502="CO"),OR('JOINTS DE RÉPARATION'!$D$5="TOUTES",B1502='JOINTS DE RÉPARATION'!$D$5),OR('JOINTS DE RÉPARATION'!$L$4="TOUS",AM1502&lt;&gt;"ACCEPTÉ")),1,0)</f>
        <v>0</v>
      </c>
      <c r="AR1502" s="78" t="str">
        <f aca="false">IF(AQ1502=1,SUM(AQ$7:AQ1502),"")</f>
        <v/>
      </c>
    </row>
    <row r="1503" customFormat="false" ht="15" hidden="false" customHeight="false" outlineLevel="0" collapsed="false">
      <c r="A1503" s="78" t="str">
        <f aca="false">IF(E1503="","",ROW()-6)</f>
        <v/>
      </c>
      <c r="B1503" s="79"/>
      <c r="C1503" s="80"/>
      <c r="D1503" s="80"/>
      <c r="E1503" s="80"/>
      <c r="F1503" s="80"/>
      <c r="G1503" s="80"/>
      <c r="H1503" s="80"/>
      <c r="I1503" s="80"/>
      <c r="J1503" s="80"/>
      <c r="K1503" s="80"/>
      <c r="L1503" s="81" t="str">
        <f aca="false">IF(K1503="","",IFERROR(INDEX(BARDAGE!$C$7:$C$1506,MATCH(K1503,BARDAGE!$B$7:$B$1506,0)),"? hors registre"))</f>
        <v/>
      </c>
      <c r="M1503" s="80"/>
      <c r="N1503" s="81" t="str">
        <f aca="false">IF(M1503="","",IFERROR(INDEX(BARDAGE!$C$7:$C$1506,MATCH(M1503,BARDAGE!$B$7:$B$1506,0)),"? hors registre"))</f>
        <v/>
      </c>
      <c r="O1503" s="80"/>
      <c r="P1503" s="80"/>
      <c r="Q1503" s="80"/>
      <c r="R1503" s="82"/>
      <c r="S1503" s="82"/>
      <c r="T1503" s="80"/>
      <c r="U1503" s="80"/>
      <c r="V1503" s="82"/>
      <c r="W1503" s="80"/>
      <c r="X1503" s="80"/>
      <c r="Y1503" s="80"/>
      <c r="Z1503" s="80"/>
      <c r="AA1503" s="82"/>
      <c r="AB1503" s="80"/>
      <c r="AC1503" s="80"/>
      <c r="AD1503" s="80"/>
      <c r="AE1503" s="80"/>
      <c r="AF1503" s="82"/>
      <c r="AG1503" s="80"/>
      <c r="AH1503" s="80"/>
      <c r="AI1503" s="82"/>
      <c r="AJ1503" s="79"/>
      <c r="AK1503" s="78" t="str">
        <f aca="false">IF(E1503="","",(X1503&lt;&gt;"")+(AC1503&lt;&gt;"")+(AH1503&lt;&gt;""))</f>
        <v/>
      </c>
      <c r="AL1503" s="81" t="str">
        <f aca="false">IF(AH1503&lt;&gt;"",AH1503,IF(AC1503&lt;&gt;"",AC1503,IF(X1503&lt;&gt;"",X1503,"")))</f>
        <v/>
      </c>
      <c r="AM1503" s="83" t="str">
        <f aca="false">IF(E1503="","",IF(R1503="","À SOUDER",IF(U1503="","VT EN ATTENTE",IF(U1503="R","VT REJETÉ – À REPRENDRE",IF(AL1503="","À RADIOGRAPHIER",IF(AL1503="A","ACCEPTÉ",IF(AL1503="NX","NX – RT À REFAIRE",IF(IF(AK1503=1,Z1503,IF(AK1503=2,AE1503,""))="A","RÉPARÉ – À RADIOGRAPHIER",IF(IF(AK1503=1,Z1503,IF(AK1503=2,AE1503,""))="R","VT REJETÉ – À REPRENDRE",IF(OR(AL1503="CO",AL1503="NT"),"COUPE – À RESOUDER","À RÉPARER"))))))))))</f>
        <v/>
      </c>
      <c r="AN1503" s="81" t="str">
        <f aca="false">IF(AND(ISNUMBER(R1503),OR(AM1503="À RADIOGRAPHIER",AM1503="RÉPARÉ – À RADIOGRAPHIER",AM1503="NX – RT À REFAIRE",AM1503="À RÉPARER",AM1503="COUPE – À RESOUDER",AM1503="VT REJETÉ – À REPRENDRE")),MAX(0,'PROGRAMME RT'!$C$4-R1503),"")</f>
        <v/>
      </c>
      <c r="AO1503" s="78" t="n">
        <f aca="false">IF(AND(OR(AM1503="À RADIOGRAPHIER",AM1503="RÉPARÉ – À RADIOGRAPHIER",AM1503="NX – RT À REFAIRE"),OR('PROGRAMME RT'!$D$5="TOUTES",B1503='PROGRAMME RT'!$D$5)),1,0)</f>
        <v>0</v>
      </c>
      <c r="AP1503" s="78" t="str">
        <f aca="false">IF(AO1503=1,SUM(AO$7:AO1503),"")</f>
        <v/>
      </c>
      <c r="AQ1503" s="78" t="n">
        <f aca="false">IF(AND(OR(X1503="R",X1503="NX",X1503="NT",X1503="CO"),OR('JOINTS DE RÉPARATION'!$D$5="TOUTES",B1503='JOINTS DE RÉPARATION'!$D$5),OR('JOINTS DE RÉPARATION'!$L$4="TOUS",AM1503&lt;&gt;"ACCEPTÉ")),1,0)</f>
        <v>0</v>
      </c>
      <c r="AR1503" s="78" t="str">
        <f aca="false">IF(AQ1503=1,SUM(AQ$7:AQ1503),"")</f>
        <v/>
      </c>
    </row>
    <row r="1504" customFormat="false" ht="15" hidden="false" customHeight="false" outlineLevel="0" collapsed="false">
      <c r="A1504" s="78" t="str">
        <f aca="false">IF(E1504="","",ROW()-6)</f>
        <v/>
      </c>
      <c r="B1504" s="79"/>
      <c r="C1504" s="80"/>
      <c r="D1504" s="80"/>
      <c r="E1504" s="80"/>
      <c r="F1504" s="80"/>
      <c r="G1504" s="80"/>
      <c r="H1504" s="80"/>
      <c r="I1504" s="80"/>
      <c r="J1504" s="80"/>
      <c r="K1504" s="80"/>
      <c r="L1504" s="81" t="str">
        <f aca="false">IF(K1504="","",IFERROR(INDEX(BARDAGE!$C$7:$C$1506,MATCH(K1504,BARDAGE!$B$7:$B$1506,0)),"? hors registre"))</f>
        <v/>
      </c>
      <c r="M1504" s="80"/>
      <c r="N1504" s="81" t="str">
        <f aca="false">IF(M1504="","",IFERROR(INDEX(BARDAGE!$C$7:$C$1506,MATCH(M1504,BARDAGE!$B$7:$B$1506,0)),"? hors registre"))</f>
        <v/>
      </c>
      <c r="O1504" s="80"/>
      <c r="P1504" s="80"/>
      <c r="Q1504" s="80"/>
      <c r="R1504" s="82"/>
      <c r="S1504" s="82"/>
      <c r="T1504" s="80"/>
      <c r="U1504" s="80"/>
      <c r="V1504" s="82"/>
      <c r="W1504" s="80"/>
      <c r="X1504" s="80"/>
      <c r="Y1504" s="80"/>
      <c r="Z1504" s="80"/>
      <c r="AA1504" s="82"/>
      <c r="AB1504" s="80"/>
      <c r="AC1504" s="80"/>
      <c r="AD1504" s="80"/>
      <c r="AE1504" s="80"/>
      <c r="AF1504" s="82"/>
      <c r="AG1504" s="80"/>
      <c r="AH1504" s="80"/>
      <c r="AI1504" s="82"/>
      <c r="AJ1504" s="79"/>
      <c r="AK1504" s="78" t="str">
        <f aca="false">IF(E1504="","",(X1504&lt;&gt;"")+(AC1504&lt;&gt;"")+(AH1504&lt;&gt;""))</f>
        <v/>
      </c>
      <c r="AL1504" s="81" t="str">
        <f aca="false">IF(AH1504&lt;&gt;"",AH1504,IF(AC1504&lt;&gt;"",AC1504,IF(X1504&lt;&gt;"",X1504,"")))</f>
        <v/>
      </c>
      <c r="AM1504" s="83" t="str">
        <f aca="false">IF(E1504="","",IF(R1504="","À SOUDER",IF(U1504="","VT EN ATTENTE",IF(U1504="R","VT REJETÉ – À REPRENDRE",IF(AL1504="","À RADIOGRAPHIER",IF(AL1504="A","ACCEPTÉ",IF(AL1504="NX","NX – RT À REFAIRE",IF(IF(AK1504=1,Z1504,IF(AK1504=2,AE1504,""))="A","RÉPARÉ – À RADIOGRAPHIER",IF(IF(AK1504=1,Z1504,IF(AK1504=2,AE1504,""))="R","VT REJETÉ – À REPRENDRE",IF(OR(AL1504="CO",AL1504="NT"),"COUPE – À RESOUDER","À RÉPARER"))))))))))</f>
        <v/>
      </c>
      <c r="AN1504" s="81" t="str">
        <f aca="false">IF(AND(ISNUMBER(R1504),OR(AM1504="À RADIOGRAPHIER",AM1504="RÉPARÉ – À RADIOGRAPHIER",AM1504="NX – RT À REFAIRE",AM1504="À RÉPARER",AM1504="COUPE – À RESOUDER",AM1504="VT REJETÉ – À REPRENDRE")),MAX(0,'PROGRAMME RT'!$C$4-R1504),"")</f>
        <v/>
      </c>
      <c r="AO1504" s="78" t="n">
        <f aca="false">IF(AND(OR(AM1504="À RADIOGRAPHIER",AM1504="RÉPARÉ – À RADIOGRAPHIER",AM1504="NX – RT À REFAIRE"),OR('PROGRAMME RT'!$D$5="TOUTES",B1504='PROGRAMME RT'!$D$5)),1,0)</f>
        <v>0</v>
      </c>
      <c r="AP1504" s="78" t="str">
        <f aca="false">IF(AO1504=1,SUM(AO$7:AO1504),"")</f>
        <v/>
      </c>
      <c r="AQ1504" s="78" t="n">
        <f aca="false">IF(AND(OR(X1504="R",X1504="NX",X1504="NT",X1504="CO"),OR('JOINTS DE RÉPARATION'!$D$5="TOUTES",B1504='JOINTS DE RÉPARATION'!$D$5),OR('JOINTS DE RÉPARATION'!$L$4="TOUS",AM1504&lt;&gt;"ACCEPTÉ")),1,0)</f>
        <v>0</v>
      </c>
      <c r="AR1504" s="78" t="str">
        <f aca="false">IF(AQ1504=1,SUM(AQ$7:AQ1504),"")</f>
        <v/>
      </c>
    </row>
    <row r="1505" customFormat="false" ht="15" hidden="false" customHeight="false" outlineLevel="0" collapsed="false">
      <c r="A1505" s="78" t="str">
        <f aca="false">IF(E1505="","",ROW()-6)</f>
        <v/>
      </c>
      <c r="B1505" s="79"/>
      <c r="C1505" s="80"/>
      <c r="D1505" s="80"/>
      <c r="E1505" s="80"/>
      <c r="F1505" s="80"/>
      <c r="G1505" s="80"/>
      <c r="H1505" s="80"/>
      <c r="I1505" s="80"/>
      <c r="J1505" s="80"/>
      <c r="K1505" s="80"/>
      <c r="L1505" s="81" t="str">
        <f aca="false">IF(K1505="","",IFERROR(INDEX(BARDAGE!$C$7:$C$1506,MATCH(K1505,BARDAGE!$B$7:$B$1506,0)),"? hors registre"))</f>
        <v/>
      </c>
      <c r="M1505" s="80"/>
      <c r="N1505" s="81" t="str">
        <f aca="false">IF(M1505="","",IFERROR(INDEX(BARDAGE!$C$7:$C$1506,MATCH(M1505,BARDAGE!$B$7:$B$1506,0)),"? hors registre"))</f>
        <v/>
      </c>
      <c r="O1505" s="80"/>
      <c r="P1505" s="80"/>
      <c r="Q1505" s="80"/>
      <c r="R1505" s="82"/>
      <c r="S1505" s="82"/>
      <c r="T1505" s="80"/>
      <c r="U1505" s="80"/>
      <c r="V1505" s="82"/>
      <c r="W1505" s="80"/>
      <c r="X1505" s="80"/>
      <c r="Y1505" s="80"/>
      <c r="Z1505" s="80"/>
      <c r="AA1505" s="82"/>
      <c r="AB1505" s="80"/>
      <c r="AC1505" s="80"/>
      <c r="AD1505" s="80"/>
      <c r="AE1505" s="80"/>
      <c r="AF1505" s="82"/>
      <c r="AG1505" s="80"/>
      <c r="AH1505" s="80"/>
      <c r="AI1505" s="82"/>
      <c r="AJ1505" s="79"/>
      <c r="AK1505" s="78" t="str">
        <f aca="false">IF(E1505="","",(X1505&lt;&gt;"")+(AC1505&lt;&gt;"")+(AH1505&lt;&gt;""))</f>
        <v/>
      </c>
      <c r="AL1505" s="81" t="str">
        <f aca="false">IF(AH1505&lt;&gt;"",AH1505,IF(AC1505&lt;&gt;"",AC1505,IF(X1505&lt;&gt;"",X1505,"")))</f>
        <v/>
      </c>
      <c r="AM1505" s="83" t="str">
        <f aca="false">IF(E1505="","",IF(R1505="","À SOUDER",IF(U1505="","VT EN ATTENTE",IF(U1505="R","VT REJETÉ – À REPRENDRE",IF(AL1505="","À RADIOGRAPHIER",IF(AL1505="A","ACCEPTÉ",IF(AL1505="NX","NX – RT À REFAIRE",IF(IF(AK1505=1,Z1505,IF(AK1505=2,AE1505,""))="A","RÉPARÉ – À RADIOGRAPHIER",IF(IF(AK1505=1,Z1505,IF(AK1505=2,AE1505,""))="R","VT REJETÉ – À REPRENDRE",IF(OR(AL1505="CO",AL1505="NT"),"COUPE – À RESOUDER","À RÉPARER"))))))))))</f>
        <v/>
      </c>
      <c r="AN1505" s="81" t="str">
        <f aca="false">IF(AND(ISNUMBER(R1505),OR(AM1505="À RADIOGRAPHIER",AM1505="RÉPARÉ – À RADIOGRAPHIER",AM1505="NX – RT À REFAIRE",AM1505="À RÉPARER",AM1505="COUPE – À RESOUDER",AM1505="VT REJETÉ – À REPRENDRE")),MAX(0,'PROGRAMME RT'!$C$4-R1505),"")</f>
        <v/>
      </c>
      <c r="AO1505" s="78" t="n">
        <f aca="false">IF(AND(OR(AM1505="À RADIOGRAPHIER",AM1505="RÉPARÉ – À RADIOGRAPHIER",AM1505="NX – RT À REFAIRE"),OR('PROGRAMME RT'!$D$5="TOUTES",B1505='PROGRAMME RT'!$D$5)),1,0)</f>
        <v>0</v>
      </c>
      <c r="AP1505" s="78" t="str">
        <f aca="false">IF(AO1505=1,SUM(AO$7:AO1505),"")</f>
        <v/>
      </c>
      <c r="AQ1505" s="78" t="n">
        <f aca="false">IF(AND(OR(X1505="R",X1505="NX",X1505="NT",X1505="CO"),OR('JOINTS DE RÉPARATION'!$D$5="TOUTES",B1505='JOINTS DE RÉPARATION'!$D$5),OR('JOINTS DE RÉPARATION'!$L$4="TOUS",AM1505&lt;&gt;"ACCEPTÉ")),1,0)</f>
        <v>0</v>
      </c>
      <c r="AR1505" s="78" t="str">
        <f aca="false">IF(AQ1505=1,SUM(AQ$7:AQ1505),"")</f>
        <v/>
      </c>
    </row>
    <row r="1506" customFormat="false" ht="15" hidden="false" customHeight="false" outlineLevel="0" collapsed="false">
      <c r="A1506" s="78" t="str">
        <f aca="false">IF(E1506="","",ROW()-6)</f>
        <v/>
      </c>
      <c r="B1506" s="79"/>
      <c r="C1506" s="80"/>
      <c r="D1506" s="80"/>
      <c r="E1506" s="80"/>
      <c r="F1506" s="80"/>
      <c r="G1506" s="80"/>
      <c r="H1506" s="80"/>
      <c r="I1506" s="80"/>
      <c r="J1506" s="80"/>
      <c r="K1506" s="80"/>
      <c r="L1506" s="81" t="str">
        <f aca="false">IF(K1506="","",IFERROR(INDEX(BARDAGE!$C$7:$C$1506,MATCH(K1506,BARDAGE!$B$7:$B$1506,0)),"? hors registre"))</f>
        <v/>
      </c>
      <c r="M1506" s="80"/>
      <c r="N1506" s="81" t="str">
        <f aca="false">IF(M1506="","",IFERROR(INDEX(BARDAGE!$C$7:$C$1506,MATCH(M1506,BARDAGE!$B$7:$B$1506,0)),"? hors registre"))</f>
        <v/>
      </c>
      <c r="O1506" s="80"/>
      <c r="P1506" s="80"/>
      <c r="Q1506" s="80"/>
      <c r="R1506" s="82"/>
      <c r="S1506" s="82"/>
      <c r="T1506" s="80"/>
      <c r="U1506" s="80"/>
      <c r="V1506" s="82"/>
      <c r="W1506" s="80"/>
      <c r="X1506" s="80"/>
      <c r="Y1506" s="80"/>
      <c r="Z1506" s="80"/>
      <c r="AA1506" s="82"/>
      <c r="AB1506" s="80"/>
      <c r="AC1506" s="80"/>
      <c r="AD1506" s="80"/>
      <c r="AE1506" s="80"/>
      <c r="AF1506" s="82"/>
      <c r="AG1506" s="80"/>
      <c r="AH1506" s="80"/>
      <c r="AI1506" s="82"/>
      <c r="AJ1506" s="79"/>
      <c r="AK1506" s="78" t="str">
        <f aca="false">IF(E1506="","",(X1506&lt;&gt;"")+(AC1506&lt;&gt;"")+(AH1506&lt;&gt;""))</f>
        <v/>
      </c>
      <c r="AL1506" s="81" t="str">
        <f aca="false">IF(AH1506&lt;&gt;"",AH1506,IF(AC1506&lt;&gt;"",AC1506,IF(X1506&lt;&gt;"",X1506,"")))</f>
        <v/>
      </c>
      <c r="AM1506" s="83" t="str">
        <f aca="false">IF(E1506="","",IF(R1506="","À SOUDER",IF(U1506="","VT EN ATTENTE",IF(U1506="R","VT REJETÉ – À REPRENDRE",IF(AL1506="","À RADIOGRAPHIER",IF(AL1506="A","ACCEPTÉ",IF(AL1506="NX","NX – RT À REFAIRE",IF(IF(AK1506=1,Z1506,IF(AK1506=2,AE1506,""))="A","RÉPARÉ – À RADIOGRAPHIER",IF(IF(AK1506=1,Z1506,IF(AK1506=2,AE1506,""))="R","VT REJETÉ – À REPRENDRE",IF(OR(AL1506="CO",AL1506="NT"),"COUPE – À RESOUDER","À RÉPARER"))))))))))</f>
        <v/>
      </c>
      <c r="AN1506" s="81" t="str">
        <f aca="false">IF(AND(ISNUMBER(R1506),OR(AM1506="À RADIOGRAPHIER",AM1506="RÉPARÉ – À RADIOGRAPHIER",AM1506="NX – RT À REFAIRE",AM1506="À RÉPARER",AM1506="COUPE – À RESOUDER",AM1506="VT REJETÉ – À REPRENDRE")),MAX(0,'PROGRAMME RT'!$C$4-R1506),"")</f>
        <v/>
      </c>
      <c r="AO1506" s="78" t="n">
        <f aca="false">IF(AND(OR(AM1506="À RADIOGRAPHIER",AM1506="RÉPARÉ – À RADIOGRAPHIER",AM1506="NX – RT À REFAIRE"),OR('PROGRAMME RT'!$D$5="TOUTES",B1506='PROGRAMME RT'!$D$5)),1,0)</f>
        <v>0</v>
      </c>
      <c r="AP1506" s="78" t="str">
        <f aca="false">IF(AO1506=1,SUM(AO$7:AO1506),"")</f>
        <v/>
      </c>
      <c r="AQ1506" s="78" t="n">
        <f aca="false">IF(AND(OR(X1506="R",X1506="NX",X1506="NT",X1506="CO"),OR('JOINTS DE RÉPARATION'!$D$5="TOUTES",B1506='JOINTS DE RÉPARATION'!$D$5),OR('JOINTS DE RÉPARATION'!$L$4="TOUS",AM1506&lt;&gt;"ACCEPTÉ")),1,0)</f>
        <v>0</v>
      </c>
      <c r="AR1506" s="78" t="str">
        <f aca="false">IF(AQ1506=1,SUM(AQ$7:AQ1506),"")</f>
        <v/>
      </c>
    </row>
  </sheetData>
  <mergeCells count="12">
    <mergeCell ref="A1:AN1"/>
    <mergeCell ref="A2:AN2"/>
    <mergeCell ref="M3:O3"/>
    <mergeCell ref="S3:U3"/>
    <mergeCell ref="A5:N5"/>
    <mergeCell ref="O5:R5"/>
    <mergeCell ref="S5:U5"/>
    <mergeCell ref="V5:X5"/>
    <mergeCell ref="Y5:AC5"/>
    <mergeCell ref="AD5:AH5"/>
    <mergeCell ref="AI5:AN5"/>
    <mergeCell ref="AO5:AR5"/>
  </mergeCells>
  <conditionalFormatting sqref="U7:U1506">
    <cfRule type="cellIs" priority="2" operator="equal" aboveAverage="0" equalAverage="0" bottom="0" percent="0" rank="0" text="" dxfId="1">
      <formula>"A"</formula>
    </cfRule>
    <cfRule type="cellIs" priority="3" operator="equal" aboveAverage="0" equalAverage="0" bottom="0" percent="0" rank="0" text="" dxfId="0">
      <formula>"R"</formula>
    </cfRule>
    <cfRule type="cellIs" priority="4" operator="equal" aboveAverage="0" equalAverage="0" bottom="0" percent="0" rank="0" text="" dxfId="24">
      <formula>"NX"</formula>
    </cfRule>
    <cfRule type="cellIs" priority="5" operator="equal" aboveAverage="0" equalAverage="0" bottom="0" percent="0" rank="0" text="" dxfId="25">
      <formula>"NT"</formula>
    </cfRule>
    <cfRule type="cellIs" priority="6" operator="equal" aboveAverage="0" equalAverage="0" bottom="0" percent="0" rank="0" text="" dxfId="26">
      <formula>"CO"</formula>
    </cfRule>
  </conditionalFormatting>
  <conditionalFormatting sqref="X7:X1506">
    <cfRule type="cellIs" priority="7" operator="equal" aboveAverage="0" equalAverage="0" bottom="0" percent="0" rank="0" text="" dxfId="1">
      <formula>"A"</formula>
    </cfRule>
    <cfRule type="cellIs" priority="8" operator="equal" aboveAverage="0" equalAverage="0" bottom="0" percent="0" rank="0" text="" dxfId="0">
      <formula>"R"</formula>
    </cfRule>
    <cfRule type="cellIs" priority="9" operator="equal" aboveAverage="0" equalAverage="0" bottom="0" percent="0" rank="0" text="" dxfId="24">
      <formula>"NX"</formula>
    </cfRule>
    <cfRule type="cellIs" priority="10" operator="equal" aboveAverage="0" equalAverage="0" bottom="0" percent="0" rank="0" text="" dxfId="25">
      <formula>"NT"</formula>
    </cfRule>
    <cfRule type="cellIs" priority="11" operator="equal" aboveAverage="0" equalAverage="0" bottom="0" percent="0" rank="0" text="" dxfId="26">
      <formula>"CO"</formula>
    </cfRule>
  </conditionalFormatting>
  <conditionalFormatting sqref="Z7:Z1506">
    <cfRule type="cellIs" priority="12" operator="equal" aboveAverage="0" equalAverage="0" bottom="0" percent="0" rank="0" text="" dxfId="1">
      <formula>"A"</formula>
    </cfRule>
    <cfRule type="cellIs" priority="13" operator="equal" aboveAverage="0" equalAverage="0" bottom="0" percent="0" rank="0" text="" dxfId="0">
      <formula>"R"</formula>
    </cfRule>
    <cfRule type="cellIs" priority="14" operator="equal" aboveAverage="0" equalAverage="0" bottom="0" percent="0" rank="0" text="" dxfId="24">
      <formula>"NX"</formula>
    </cfRule>
    <cfRule type="cellIs" priority="15" operator="equal" aboveAverage="0" equalAverage="0" bottom="0" percent="0" rank="0" text="" dxfId="25">
      <formula>"NT"</formula>
    </cfRule>
    <cfRule type="cellIs" priority="16" operator="equal" aboveAverage="0" equalAverage="0" bottom="0" percent="0" rank="0" text="" dxfId="26">
      <formula>"CO"</formula>
    </cfRule>
  </conditionalFormatting>
  <conditionalFormatting sqref="AC7:AC1506">
    <cfRule type="cellIs" priority="17" operator="equal" aboveAverage="0" equalAverage="0" bottom="0" percent="0" rank="0" text="" dxfId="1">
      <formula>"A"</formula>
    </cfRule>
    <cfRule type="cellIs" priority="18" operator="equal" aboveAverage="0" equalAverage="0" bottom="0" percent="0" rank="0" text="" dxfId="0">
      <formula>"R"</formula>
    </cfRule>
    <cfRule type="cellIs" priority="19" operator="equal" aboveAverage="0" equalAverage="0" bottom="0" percent="0" rank="0" text="" dxfId="24">
      <formula>"NX"</formula>
    </cfRule>
    <cfRule type="cellIs" priority="20" operator="equal" aboveAverage="0" equalAverage="0" bottom="0" percent="0" rank="0" text="" dxfId="25">
      <formula>"NT"</formula>
    </cfRule>
    <cfRule type="cellIs" priority="21" operator="equal" aboveAverage="0" equalAverage="0" bottom="0" percent="0" rank="0" text="" dxfId="26">
      <formula>"CO"</formula>
    </cfRule>
  </conditionalFormatting>
  <conditionalFormatting sqref="AE7:AE1506">
    <cfRule type="cellIs" priority="22" operator="equal" aboveAverage="0" equalAverage="0" bottom="0" percent="0" rank="0" text="" dxfId="1">
      <formula>"A"</formula>
    </cfRule>
    <cfRule type="cellIs" priority="23" operator="equal" aboveAverage="0" equalAverage="0" bottom="0" percent="0" rank="0" text="" dxfId="0">
      <formula>"R"</formula>
    </cfRule>
    <cfRule type="cellIs" priority="24" operator="equal" aboveAverage="0" equalAverage="0" bottom="0" percent="0" rank="0" text="" dxfId="24">
      <formula>"NX"</formula>
    </cfRule>
    <cfRule type="cellIs" priority="25" operator="equal" aboveAverage="0" equalAverage="0" bottom="0" percent="0" rank="0" text="" dxfId="25">
      <formula>"NT"</formula>
    </cfRule>
    <cfRule type="cellIs" priority="26" operator="equal" aboveAverage="0" equalAverage="0" bottom="0" percent="0" rank="0" text="" dxfId="26">
      <formula>"CO"</formula>
    </cfRule>
  </conditionalFormatting>
  <conditionalFormatting sqref="AH7:AH1506">
    <cfRule type="cellIs" priority="27" operator="equal" aboveAverage="0" equalAverage="0" bottom="0" percent="0" rank="0" text="" dxfId="1">
      <formula>"A"</formula>
    </cfRule>
    <cfRule type="cellIs" priority="28" operator="equal" aboveAverage="0" equalAverage="0" bottom="0" percent="0" rank="0" text="" dxfId="0">
      <formula>"R"</formula>
    </cfRule>
    <cfRule type="cellIs" priority="29" operator="equal" aboveAverage="0" equalAverage="0" bottom="0" percent="0" rank="0" text="" dxfId="24">
      <formula>"NX"</formula>
    </cfRule>
    <cfRule type="cellIs" priority="30" operator="equal" aboveAverage="0" equalAverage="0" bottom="0" percent="0" rank="0" text="" dxfId="25">
      <formula>"NT"</formula>
    </cfRule>
    <cfRule type="cellIs" priority="31" operator="equal" aboveAverage="0" equalAverage="0" bottom="0" percent="0" rank="0" text="" dxfId="26">
      <formula>"CO"</formula>
    </cfRule>
  </conditionalFormatting>
  <conditionalFormatting sqref="AL7:AL1506">
    <cfRule type="cellIs" priority="32" operator="equal" aboveAverage="0" equalAverage="0" bottom="0" percent="0" rank="0" text="" dxfId="1">
      <formula>"A"</formula>
    </cfRule>
    <cfRule type="cellIs" priority="33" operator="equal" aboveAverage="0" equalAverage="0" bottom="0" percent="0" rank="0" text="" dxfId="0">
      <formula>"R"</formula>
    </cfRule>
    <cfRule type="cellIs" priority="34" operator="equal" aboveAverage="0" equalAverage="0" bottom="0" percent="0" rank="0" text="" dxfId="24">
      <formula>"NX"</formula>
    </cfRule>
    <cfRule type="cellIs" priority="35" operator="equal" aboveAverage="0" equalAverage="0" bottom="0" percent="0" rank="0" text="" dxfId="25">
      <formula>"NT"</formula>
    </cfRule>
    <cfRule type="cellIs" priority="36" operator="equal" aboveAverage="0" equalAverage="0" bottom="0" percent="0" rank="0" text="" dxfId="26">
      <formula>"CO"</formula>
    </cfRule>
  </conditionalFormatting>
  <conditionalFormatting sqref="AM7:AM1506">
    <cfRule type="cellIs" priority="37" operator="equal" aboveAverage="0" equalAverage="0" bottom="0" percent="0" rank="0" text="" dxfId="1">
      <formula>"ACCEPTÉ"</formula>
    </cfRule>
    <cfRule type="cellIs" priority="38" operator="equal" aboveAverage="0" equalAverage="0" bottom="0" percent="0" rank="0" text="" dxfId="27">
      <formula>"À RADIOGRAPHIER"</formula>
    </cfRule>
    <cfRule type="cellIs" priority="39" operator="equal" aboveAverage="0" equalAverage="0" bottom="0" percent="0" rank="0" text="" dxfId="27">
      <formula>"RÉPARÉ – À RADIOGRAPHIER"</formula>
    </cfRule>
    <cfRule type="cellIs" priority="40" operator="equal" aboveAverage="0" equalAverage="0" bottom="0" percent="0" rank="0" text="" dxfId="24">
      <formula>"NX – RT À REFAIRE"</formula>
    </cfRule>
    <cfRule type="cellIs" priority="41" operator="equal" aboveAverage="0" equalAverage="0" bottom="0" percent="0" rank="0" text="" dxfId="0">
      <formula>"À RÉPARER"</formula>
    </cfRule>
    <cfRule type="cellIs" priority="42" operator="equal" aboveAverage="0" equalAverage="0" bottom="0" percent="0" rank="0" text="" dxfId="26">
      <formula>"COUPE – À RESOUDER"</formula>
    </cfRule>
    <cfRule type="cellIs" priority="43" operator="equal" aboveAverage="0" equalAverage="0" bottom="0" percent="0" rank="0" text="" dxfId="0">
      <formula>"VT REJETÉ – À REPRENDRE"</formula>
    </cfRule>
    <cfRule type="cellIs" priority="44" operator="equal" aboveAverage="0" equalAverage="0" bottom="0" percent="0" rank="0" text="" dxfId="28">
      <formula>"VT EN ATTENTE"</formula>
    </cfRule>
    <cfRule type="cellIs" priority="45" operator="equal" aboveAverage="0" equalAverage="0" bottom="0" percent="0" rank="0" text="" dxfId="29">
      <formula>"À SOUDER"</formula>
    </cfRule>
  </conditionalFormatting>
  <conditionalFormatting sqref="AN7:AN1506">
    <cfRule type="expression" priority="46" aboveAverage="0" equalAverage="0" bottom="0" percent="0" rank="0" text="" dxfId="0">
      <formula>AND(ISNUMBER(AN7),AN7&gt;3)</formula>
    </cfRule>
  </conditionalFormatting>
  <conditionalFormatting sqref="A7:E1506">
    <cfRule type="expression" priority="47" aboveAverage="0" equalAverage="0" bottom="0" percent="0" rank="0" text="" dxfId="30">
      <formula>$AM7="ACCEPTÉ"</formula>
    </cfRule>
  </conditionalFormatting>
  <conditionalFormatting sqref="E7:E1506">
    <cfRule type="expression" priority="48" aboveAverage="0" equalAverage="0" bottom="0" percent="0" rank="0" text="" dxfId="31">
      <formula>AND(E7&lt;&gt;"",COUNTIFS($B$7:$B$1506,B7,$E$7:$E$1506,E7)&gt;1)</formula>
    </cfRule>
  </conditionalFormatting>
  <conditionalFormatting sqref="L7:L1506">
    <cfRule type="cellIs" priority="49" operator="equal" aboveAverage="0" equalAverage="0" bottom="0" percent="0" rank="0" text="" dxfId="24">
      <formula>"? hors registre"</formula>
    </cfRule>
  </conditionalFormatting>
  <conditionalFormatting sqref="N7:N1506">
    <cfRule type="cellIs" priority="50" operator="equal" aboveAverage="0" equalAverage="0" bottom="0" percent="0" rank="0" text="" dxfId="24">
      <formula>"? hors registre"</formula>
    </cfRule>
  </conditionalFormatting>
  <dataValidations count="5">
    <dataValidation allowBlank="true" error="Choisir la ligne dans la liste (PARAMÈTRES)" errorStyle="stop" errorTitle="Valeur non valide" operator="between" prompt="Choisir la ligne dans la liste (PARAMÈTRES)" showDropDown="false" showErrorMessage="true" showInputMessage="true" sqref="B7:B1506" type="list">
      <formula1>PARAMÈTRES!$B$12:$B$19</formula1>
      <formula2>0</formula2>
    </dataValidation>
    <dataValidation allowBlank="true" error="Choisir le repère soudeur (WR) — liste SOUDEURS" errorStyle="stop" errorTitle="Valeur non valide" operator="between" prompt="Choisir le repère soudeur (WR) — liste SOUDEURS" showDropDown="false" showErrorMessage="true" showInputMessage="true" sqref="O7:Q1506 Y7:Y1506 AD7:AD1506" type="list">
      <formula1>SOUDEURS!$B$6:$B$20</formula1>
      <formula2>0</formula2>
    </dataValidation>
    <dataValidation allowBlank="true" error="VT : A = Accepté, R = Rejeté" errorStyle="stop" errorTitle="Valeur non valide" operator="between" prompt="VT : A = Accepté, R = Rejeté" showDropDown="false" showErrorMessage="true" showInputMessage="true" sqref="U7:U1506 Z7:Z1506 AE7:AE1506" type="list">
      <formula1>PARAMÈTRES!$C$32:$C$33</formula1>
      <formula2>0</formula2>
    </dataValidation>
    <dataValidation allowBlank="true" error="RT : A = Accepté, R = À réparer, NX = Reprise de film, NT / CO = À couper" errorStyle="stop" errorTitle="Valeur non valide" operator="between" prompt="RT : A = Accepté, R = À réparer, NX = Reprise de film, NT / CO = À couper" showDropDown="false" showErrorMessage="true" showInputMessage="true" sqref="X7:X1506 AC7:AC1506 AH7:AH1506" type="list">
      <formula1>PARAMÈTRES!$D$32:$D$36</formula1>
      <formula2>0</formula2>
    </dataValidation>
    <dataValidation allowBlank="true" error="Saisir une date valide (jj/mm/aaaa)" errorStyle="stop" errorTitle="Date" operator="between" showDropDown="false" showErrorMessage="true" showInputMessage="false" sqref="R7:S1506 V7:V1506 AA7:AA1506 AF7:AF1506 AI7:AI1506" type="date">
      <formula1>DATE(2020,1,1)</formula1>
      <formula2>DATE(2040,12,31)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6000"/>
    <pageSetUpPr fitToPage="true"/>
  </sheetPr>
  <dimension ref="A1:O15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20"/>
    <col collapsed="false" customWidth="true" hidden="false" outlineLevel="0" max="11" min="10" style="0" width="12"/>
    <col collapsed="false" customWidth="true" hidden="false" outlineLevel="0" max="12" min="12" style="0" width="8"/>
    <col collapsed="false" customWidth="true" hidden="false" outlineLevel="0" max="13" min="13" style="0" width="16"/>
    <col collapsed="false" customWidth="true" hidden="false" outlineLevel="0" max="14" min="14" style="0" width="22"/>
  </cols>
  <sheetData>
    <row r="1" customFormat="false" ht="33.75" hidden="false" customHeight="true" outlineLevel="0" collapsed="false">
      <c r="A1" s="85" t="s">
        <v>587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</row>
    <row r="2" customFormat="false" ht="15" hidden="false" customHeight="true" outlineLevel="0" collapsed="false">
      <c r="A2" s="60" t="s">
        <v>588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</row>
    <row r="3" customFormat="false" ht="21.75" hidden="false" customHeight="true" outlineLevel="0" collapsed="false">
      <c r="A3" s="86" t="s">
        <v>589</v>
      </c>
      <c r="B3" s="86"/>
      <c r="C3" s="87" t="n">
        <f aca="false">COUNTA(B7:B1506)</f>
        <v>215</v>
      </c>
      <c r="D3" s="86" t="s">
        <v>590</v>
      </c>
      <c r="E3" s="86"/>
      <c r="F3" s="88" t="n">
        <f aca="false">SUM(F7:F1506)</f>
        <v>2579.5</v>
      </c>
      <c r="G3" s="86" t="s">
        <v>591</v>
      </c>
      <c r="H3" s="86"/>
      <c r="I3" s="87" t="n">
        <f aca="false">COUNTIF(M7:M1506,"POSÉ EN LIGNE")</f>
        <v>193</v>
      </c>
      <c r="J3" s="86" t="s">
        <v>592</v>
      </c>
      <c r="K3" s="86"/>
      <c r="L3" s="87" t="n">
        <f aca="false">COUNTIF(M7:M1506,"BARDÉ")</f>
        <v>0</v>
      </c>
      <c r="M3" s="86" t="s">
        <v>593</v>
      </c>
      <c r="N3" s="86"/>
      <c r="O3" s="87" t="n">
        <f aca="false">COUNTIF(M7:M1506,"EN STOCK")</f>
        <v>22</v>
      </c>
    </row>
    <row r="6" customFormat="false" ht="30" hidden="false" customHeight="true" outlineLevel="0" collapsed="false">
      <c r="A6" s="37" t="s">
        <v>59</v>
      </c>
      <c r="B6" s="89" t="s">
        <v>594</v>
      </c>
      <c r="C6" s="89" t="s">
        <v>595</v>
      </c>
      <c r="D6" s="89" t="s">
        <v>596</v>
      </c>
      <c r="E6" s="89" t="s">
        <v>597</v>
      </c>
      <c r="F6" s="89" t="s">
        <v>598</v>
      </c>
      <c r="G6" s="89" t="s">
        <v>599</v>
      </c>
      <c r="H6" s="89" t="s">
        <v>600</v>
      </c>
      <c r="I6" s="37" t="s">
        <v>17</v>
      </c>
      <c r="J6" s="37" t="s">
        <v>601</v>
      </c>
      <c r="K6" s="37" t="s">
        <v>602</v>
      </c>
      <c r="L6" s="37" t="s">
        <v>61</v>
      </c>
      <c r="M6" s="37" t="s">
        <v>603</v>
      </c>
      <c r="N6" s="89" t="s">
        <v>604</v>
      </c>
    </row>
    <row r="7" customFormat="false" ht="15" hidden="false" customHeight="false" outlineLevel="0" collapsed="false">
      <c r="A7" s="78" t="n">
        <f aca="false">IF(B7="","",ROW()-6)</f>
        <v>1</v>
      </c>
      <c r="B7" s="90" t="s">
        <v>175</v>
      </c>
      <c r="C7" s="91" t="n">
        <v>852405000415</v>
      </c>
      <c r="D7" s="91" t="n">
        <v>924054031</v>
      </c>
      <c r="E7" s="80" t="n">
        <v>2</v>
      </c>
      <c r="F7" s="92" t="n">
        <v>12.39</v>
      </c>
      <c r="G7" s="79" t="s">
        <v>605</v>
      </c>
      <c r="H7" s="82"/>
      <c r="I7" s="93" t="str">
        <f aca="false">IF(B7="","",IFERROR(INDEX('CARNET DE SOUDURE'!$B$7:$B$1506,MATCH(B7,'CARNET DE SOUDURE'!$K$7:$K$1506,0)),IFERROR(INDEX('CARNET DE SOUDURE'!$B$7:$B$1506,MATCH(B7,'CARNET DE SOUDURE'!$M$7:$M$1506,0)),"")))</f>
        <v>TFT 716 → TL7-MMFW2</v>
      </c>
      <c r="J7" s="78" t="str">
        <f aca="false">IF(B7="","",IFERROR(INDEX('CARNET DE SOUDURE'!$E$7:$E$1506,MATCH(B7,'CARNET DE SOUDURE'!$M$7:$M$1506,0)),""))</f>
        <v>JN°024</v>
      </c>
      <c r="K7" s="78" t="str">
        <f aca="false">IF(B7="","",IFERROR(INDEX('CARNET DE SOUDURE'!$E$7:$E$1506,MATCH(B7,'CARNET DE SOUDURE'!$K$7:$K$1506,0)),""))</f>
        <v>JN°025</v>
      </c>
      <c r="L7" s="78" t="str">
        <f aca="false">IF(B7="","",IFERROR(INDEX('CARNET DE SOUDURE'!$D$7:$D$1506,MATCH(B7,'CARNET DE SOUDURE'!$K$7:$K$1506,0)),IFERROR(INDEX('CARNET DE SOUDURE'!$D$7:$D$1506,MATCH(B7,'CARNET DE SOUDURE'!$M$7:$M$1506,0)),"")))</f>
        <v>0.00</v>
      </c>
      <c r="M7" s="81" t="str">
        <f aca="false">IF(B7="","",IF(OR(J7&lt;&gt;"",K7&lt;&gt;""),"POSÉ EN LIGNE",IF(H7&lt;&gt;"","BARDÉ","EN STOCK")))</f>
        <v>POSÉ EN LIGNE</v>
      </c>
      <c r="N7" s="79"/>
    </row>
    <row r="8" customFormat="false" ht="15" hidden="false" customHeight="false" outlineLevel="0" collapsed="false">
      <c r="A8" s="78" t="n">
        <f aca="false">IF(B8="","",ROW()-6)</f>
        <v>2</v>
      </c>
      <c r="B8" s="90" t="s">
        <v>179</v>
      </c>
      <c r="C8" s="91" t="n">
        <v>852405000415</v>
      </c>
      <c r="D8" s="91" t="n">
        <v>924054031</v>
      </c>
      <c r="E8" s="80" t="n">
        <v>5</v>
      </c>
      <c r="F8" s="92" t="n">
        <v>12.4</v>
      </c>
      <c r="G8" s="79" t="s">
        <v>605</v>
      </c>
      <c r="H8" s="82"/>
      <c r="I8" s="93" t="str">
        <f aca="false">IF(B8="","",IFERROR(INDEX('CARNET DE SOUDURE'!$B$7:$B$1506,MATCH(B8,'CARNET DE SOUDURE'!$K$7:$K$1506,0)),IFERROR(INDEX('CARNET DE SOUDURE'!$B$7:$B$1506,MATCH(B8,'CARNET DE SOUDURE'!$M$7:$M$1506,0)),"")))</f>
        <v>TFT 716 → TL7-MMFW2</v>
      </c>
      <c r="J8" s="78" t="str">
        <f aca="false">IF(B8="","",IFERROR(INDEX('CARNET DE SOUDURE'!$E$7:$E$1506,MATCH(B8,'CARNET DE SOUDURE'!$M$7:$M$1506,0)),""))</f>
        <v>JN°026</v>
      </c>
      <c r="K8" s="78" t="str">
        <f aca="false">IF(B8="","",IFERROR(INDEX('CARNET DE SOUDURE'!$E$7:$E$1506,MATCH(B8,'CARNET DE SOUDURE'!$K$7:$K$1506,0)),""))</f>
        <v>JN°027</v>
      </c>
      <c r="L8" s="78" t="str">
        <f aca="false">IF(B8="","",IFERROR(INDEX('CARNET DE SOUDURE'!$D$7:$D$1506,MATCH(B8,'CARNET DE SOUDURE'!$K$7:$K$1506,0)),IFERROR(INDEX('CARNET DE SOUDURE'!$D$7:$D$1506,MATCH(B8,'CARNET DE SOUDURE'!$M$7:$M$1506,0)),"")))</f>
        <v>0.00</v>
      </c>
      <c r="M8" s="81" t="str">
        <f aca="false">IF(B8="","",IF(OR(J8&lt;&gt;"",K8&lt;&gt;""),"POSÉ EN LIGNE",IF(H8&lt;&gt;"","BARDÉ","EN STOCK")))</f>
        <v>POSÉ EN LIGNE</v>
      </c>
      <c r="N8" s="79"/>
    </row>
    <row r="9" customFormat="false" ht="15" hidden="false" customHeight="false" outlineLevel="0" collapsed="false">
      <c r="A9" s="78" t="n">
        <f aca="false">IF(B9="","",ROW()-6)</f>
        <v>3</v>
      </c>
      <c r="B9" s="90" t="s">
        <v>211</v>
      </c>
      <c r="C9" s="91" t="n">
        <v>852404002201</v>
      </c>
      <c r="D9" s="91" t="n">
        <v>924043080</v>
      </c>
      <c r="E9" s="80" t="n">
        <v>26</v>
      </c>
      <c r="F9" s="92" t="n">
        <v>12.21</v>
      </c>
      <c r="G9" s="79" t="s">
        <v>605</v>
      </c>
      <c r="H9" s="82"/>
      <c r="I9" s="93" t="str">
        <f aca="false">IF(B9="","",IFERROR(INDEX('CARNET DE SOUDURE'!$B$7:$B$1506,MATCH(B9,'CARNET DE SOUDURE'!$K$7:$K$1506,0)),IFERROR(INDEX('CARNET DE SOUDURE'!$B$7:$B$1506,MATCH(B9,'CARNET DE SOUDURE'!$M$7:$M$1506,0)),"")))</f>
        <v>TFT 716 → TL7-MMFW2</v>
      </c>
      <c r="J9" s="78" t="str">
        <f aca="false">IF(B9="","",IFERROR(INDEX('CARNET DE SOUDURE'!$E$7:$E$1506,MATCH(B9,'CARNET DE SOUDURE'!$M$7:$M$1506,0)),""))</f>
        <v>JN°039</v>
      </c>
      <c r="K9" s="78" t="str">
        <f aca="false">IF(B9="","",IFERROR(INDEX('CARNET DE SOUDURE'!$E$7:$E$1506,MATCH(B9,'CARNET DE SOUDURE'!$K$7:$K$1506,0)),""))</f>
        <v>JN°040</v>
      </c>
      <c r="L9" s="78" t="str">
        <f aca="false">IF(B9="","",IFERROR(INDEX('CARNET DE SOUDURE'!$D$7:$D$1506,MATCH(B9,'CARNET DE SOUDURE'!$K$7:$K$1506,0)),IFERROR(INDEX('CARNET DE SOUDURE'!$D$7:$D$1506,MATCH(B9,'CARNET DE SOUDURE'!$M$7:$M$1506,0)),"")))</f>
        <v>0.00</v>
      </c>
      <c r="M9" s="81" t="str">
        <f aca="false">IF(B9="","",IF(OR(J9&lt;&gt;"",K9&lt;&gt;""),"POSÉ EN LIGNE",IF(H9&lt;&gt;"","BARDÉ","EN STOCK")))</f>
        <v>POSÉ EN LIGNE</v>
      </c>
      <c r="N9" s="79"/>
    </row>
    <row r="10" customFormat="false" ht="15" hidden="false" customHeight="false" outlineLevel="0" collapsed="false">
      <c r="A10" s="78" t="n">
        <f aca="false">IF(B10="","",ROW()-6)</f>
        <v>4</v>
      </c>
      <c r="B10" s="90" t="s">
        <v>216</v>
      </c>
      <c r="C10" s="91" t="n">
        <v>852404002201</v>
      </c>
      <c r="D10" s="91" t="n">
        <v>924043080</v>
      </c>
      <c r="E10" s="80" t="n">
        <v>27</v>
      </c>
      <c r="F10" s="92" t="n">
        <v>12.21</v>
      </c>
      <c r="G10" s="79" t="s">
        <v>605</v>
      </c>
      <c r="H10" s="82"/>
      <c r="I10" s="93" t="str">
        <f aca="false">IF(B10="","",IFERROR(INDEX('CARNET DE SOUDURE'!$B$7:$B$1506,MATCH(B10,'CARNET DE SOUDURE'!$K$7:$K$1506,0)),IFERROR(INDEX('CARNET DE SOUDURE'!$B$7:$B$1506,MATCH(B10,'CARNET DE SOUDURE'!$M$7:$M$1506,0)),"")))</f>
        <v>TFT 716 → TL7-MMFW2</v>
      </c>
      <c r="J10" s="78" t="str">
        <f aca="false">IF(B10="","",IFERROR(INDEX('CARNET DE SOUDURE'!$E$7:$E$1506,MATCH(B10,'CARNET DE SOUDURE'!$M$7:$M$1506,0)),""))</f>
        <v>JN°042</v>
      </c>
      <c r="K10" s="78" t="str">
        <f aca="false">IF(B10="","",IFERROR(INDEX('CARNET DE SOUDURE'!$E$7:$E$1506,MATCH(B10,'CARNET DE SOUDURE'!$K$7:$K$1506,0)),""))</f>
        <v>JN°043</v>
      </c>
      <c r="L10" s="78" t="str">
        <f aca="false">IF(B10="","",IFERROR(INDEX('CARNET DE SOUDURE'!$D$7:$D$1506,MATCH(B10,'CARNET DE SOUDURE'!$K$7:$K$1506,0)),IFERROR(INDEX('CARNET DE SOUDURE'!$D$7:$D$1506,MATCH(B10,'CARNET DE SOUDURE'!$M$7:$M$1506,0)),"")))</f>
        <v>0.00</v>
      </c>
      <c r="M10" s="81" t="str">
        <f aca="false">IF(B10="","",IF(OR(J10&lt;&gt;"",K10&lt;&gt;""),"POSÉ EN LIGNE",IF(H10&lt;&gt;"","BARDÉ","EN STOCK")))</f>
        <v>POSÉ EN LIGNE</v>
      </c>
      <c r="N10" s="79"/>
    </row>
    <row r="11" customFormat="false" ht="15" hidden="false" customHeight="false" outlineLevel="0" collapsed="false">
      <c r="A11" s="78" t="n">
        <f aca="false">IF(B11="","",ROW()-6)</f>
        <v>5</v>
      </c>
      <c r="B11" s="90" t="s">
        <v>196</v>
      </c>
      <c r="C11" s="91" t="n">
        <v>852404002201</v>
      </c>
      <c r="D11" s="91" t="n">
        <v>924043080</v>
      </c>
      <c r="E11" s="80" t="n">
        <v>28</v>
      </c>
      <c r="F11" s="92" t="n">
        <v>12.21</v>
      </c>
      <c r="G11" s="79" t="s">
        <v>605</v>
      </c>
      <c r="H11" s="82"/>
      <c r="I11" s="93" t="str">
        <f aca="false">IF(B11="","",IFERROR(INDEX('CARNET DE SOUDURE'!$B$7:$B$1506,MATCH(B11,'CARNET DE SOUDURE'!$K$7:$K$1506,0)),IFERROR(INDEX('CARNET DE SOUDURE'!$B$7:$B$1506,MATCH(B11,'CARNET DE SOUDURE'!$M$7:$M$1506,0)),"")))</f>
        <v>TFT 716 → TL7-MMFW2</v>
      </c>
      <c r="J11" s="78" t="str">
        <f aca="false">IF(B11="","",IFERROR(INDEX('CARNET DE SOUDURE'!$E$7:$E$1506,MATCH(B11,'CARNET DE SOUDURE'!$M$7:$M$1506,0)),""))</f>
        <v>JN°033</v>
      </c>
      <c r="K11" s="78" t="str">
        <f aca="false">IF(B11="","",IFERROR(INDEX('CARNET DE SOUDURE'!$E$7:$E$1506,MATCH(B11,'CARNET DE SOUDURE'!$K$7:$K$1506,0)),""))</f>
        <v>JN°034</v>
      </c>
      <c r="L11" s="78" t="str">
        <f aca="false">IF(B11="","",IFERROR(INDEX('CARNET DE SOUDURE'!$D$7:$D$1506,MATCH(B11,'CARNET DE SOUDURE'!$K$7:$K$1506,0)),IFERROR(INDEX('CARNET DE SOUDURE'!$D$7:$D$1506,MATCH(B11,'CARNET DE SOUDURE'!$M$7:$M$1506,0)),"")))</f>
        <v>0.00</v>
      </c>
      <c r="M11" s="81" t="str">
        <f aca="false">IF(B11="","",IF(OR(J11&lt;&gt;"",K11&lt;&gt;""),"POSÉ EN LIGNE",IF(H11&lt;&gt;"","BARDÉ","EN STOCK")))</f>
        <v>POSÉ EN LIGNE</v>
      </c>
      <c r="N11" s="79"/>
    </row>
    <row r="12" customFormat="false" ht="15" hidden="false" customHeight="false" outlineLevel="0" collapsed="false">
      <c r="A12" s="78" t="n">
        <f aca="false">IF(B12="","",ROW()-6)</f>
        <v>6</v>
      </c>
      <c r="B12" s="90" t="s">
        <v>140</v>
      </c>
      <c r="C12" s="91" t="n">
        <v>852404002201</v>
      </c>
      <c r="D12" s="91" t="n">
        <v>924043080</v>
      </c>
      <c r="E12" s="80" t="n">
        <v>29</v>
      </c>
      <c r="F12" s="92" t="n">
        <v>12.21</v>
      </c>
      <c r="G12" s="79" t="s">
        <v>605</v>
      </c>
      <c r="H12" s="82"/>
      <c r="I12" s="93" t="str">
        <f aca="false">IF(B12="","",IFERROR(INDEX('CARNET DE SOUDURE'!$B$7:$B$1506,MATCH(B12,'CARNET DE SOUDURE'!$K$7:$K$1506,0)),IFERROR(INDEX('CARNET DE SOUDURE'!$B$7:$B$1506,MATCH(B12,'CARNET DE SOUDURE'!$M$7:$M$1506,0)),"")))</f>
        <v>TFT 716 → TL7-MMFW2</v>
      </c>
      <c r="J12" s="78" t="str">
        <f aca="false">IF(B12="","",IFERROR(INDEX('CARNET DE SOUDURE'!$E$7:$E$1506,MATCH(B12,'CARNET DE SOUDURE'!$M$7:$M$1506,0)),""))</f>
        <v>JN°012</v>
      </c>
      <c r="K12" s="78" t="str">
        <f aca="false">IF(B12="","",IFERROR(INDEX('CARNET DE SOUDURE'!$E$7:$E$1506,MATCH(B12,'CARNET DE SOUDURE'!$K$7:$K$1506,0)),""))</f>
        <v>JN°013</v>
      </c>
      <c r="L12" s="78" t="str">
        <f aca="false">IF(B12="","",IFERROR(INDEX('CARNET DE SOUDURE'!$D$7:$D$1506,MATCH(B12,'CARNET DE SOUDURE'!$K$7:$K$1506,0)),IFERROR(INDEX('CARNET DE SOUDURE'!$D$7:$D$1506,MATCH(B12,'CARNET DE SOUDURE'!$M$7:$M$1506,0)),"")))</f>
        <v>0.00</v>
      </c>
      <c r="M12" s="81" t="str">
        <f aca="false">IF(B12="","",IF(OR(J12&lt;&gt;"",K12&lt;&gt;""),"POSÉ EN LIGNE",IF(H12&lt;&gt;"","BARDÉ","EN STOCK")))</f>
        <v>POSÉ EN LIGNE</v>
      </c>
      <c r="N12" s="79"/>
    </row>
    <row r="13" customFormat="false" ht="15" hidden="false" customHeight="false" outlineLevel="0" collapsed="false">
      <c r="A13" s="78" t="n">
        <f aca="false">IF(B13="","",ROW()-6)</f>
        <v>7</v>
      </c>
      <c r="B13" s="90" t="s">
        <v>191</v>
      </c>
      <c r="C13" s="91" t="n">
        <v>852405000564</v>
      </c>
      <c r="D13" s="91" t="n">
        <v>924054021</v>
      </c>
      <c r="E13" s="80" t="n">
        <v>31</v>
      </c>
      <c r="F13" s="92" t="n">
        <v>12.45</v>
      </c>
      <c r="G13" s="79" t="s">
        <v>605</v>
      </c>
      <c r="H13" s="82"/>
      <c r="I13" s="93" t="str">
        <f aca="false">IF(B13="","",IFERROR(INDEX('CARNET DE SOUDURE'!$B$7:$B$1506,MATCH(B13,'CARNET DE SOUDURE'!$K$7:$K$1506,0)),IFERROR(INDEX('CARNET DE SOUDURE'!$B$7:$B$1506,MATCH(B13,'CARNET DE SOUDURE'!$M$7:$M$1506,0)),"")))</f>
        <v>TFT 716 → TL7-MMFW2</v>
      </c>
      <c r="J13" s="78" t="str">
        <f aca="false">IF(B13="","",IFERROR(INDEX('CARNET DE SOUDURE'!$E$7:$E$1506,MATCH(B13,'CARNET DE SOUDURE'!$M$7:$M$1506,0)),""))</f>
        <v>JN°031</v>
      </c>
      <c r="K13" s="78" t="str">
        <f aca="false">IF(B13="","",IFERROR(INDEX('CARNET DE SOUDURE'!$E$7:$E$1506,MATCH(B13,'CARNET DE SOUDURE'!$K$7:$K$1506,0)),""))</f>
        <v>JN°032</v>
      </c>
      <c r="L13" s="78" t="str">
        <f aca="false">IF(B13="","",IFERROR(INDEX('CARNET DE SOUDURE'!$D$7:$D$1506,MATCH(B13,'CARNET DE SOUDURE'!$K$7:$K$1506,0)),IFERROR(INDEX('CARNET DE SOUDURE'!$D$7:$D$1506,MATCH(B13,'CARNET DE SOUDURE'!$M$7:$M$1506,0)),"")))</f>
        <v>0.00</v>
      </c>
      <c r="M13" s="81" t="str">
        <f aca="false">IF(B13="","",IF(OR(J13&lt;&gt;"",K13&lt;&gt;""),"POSÉ EN LIGNE",IF(H13&lt;&gt;"","BARDÉ","EN STOCK")))</f>
        <v>POSÉ EN LIGNE</v>
      </c>
      <c r="N13" s="79"/>
    </row>
    <row r="14" customFormat="false" ht="15" hidden="false" customHeight="false" outlineLevel="0" collapsed="false">
      <c r="A14" s="78" t="n">
        <f aca="false">IF(B14="","",ROW()-6)</f>
        <v>8</v>
      </c>
      <c r="B14" s="90" t="s">
        <v>170</v>
      </c>
      <c r="C14" s="91" t="n">
        <v>852405000564</v>
      </c>
      <c r="D14" s="91" t="n">
        <v>924054021</v>
      </c>
      <c r="E14" s="80" t="n">
        <v>32</v>
      </c>
      <c r="F14" s="92" t="n">
        <v>12.45</v>
      </c>
      <c r="G14" s="79" t="s">
        <v>605</v>
      </c>
      <c r="H14" s="82"/>
      <c r="I14" s="93" t="str">
        <f aca="false">IF(B14="","",IFERROR(INDEX('CARNET DE SOUDURE'!$B$7:$B$1506,MATCH(B14,'CARNET DE SOUDURE'!$K$7:$K$1506,0)),IFERROR(INDEX('CARNET DE SOUDURE'!$B$7:$B$1506,MATCH(B14,'CARNET DE SOUDURE'!$M$7:$M$1506,0)),"")))</f>
        <v>TFT 716 → TL7-MMFW2</v>
      </c>
      <c r="J14" s="78" t="str">
        <f aca="false">IF(B14="","",IFERROR(INDEX('CARNET DE SOUDURE'!$E$7:$E$1506,MATCH(B14,'CARNET DE SOUDURE'!$M$7:$M$1506,0)),""))</f>
        <v>JN°022</v>
      </c>
      <c r="K14" s="78" t="str">
        <f aca="false">IF(B14="","",IFERROR(INDEX('CARNET DE SOUDURE'!$E$7:$E$1506,MATCH(B14,'CARNET DE SOUDURE'!$K$7:$K$1506,0)),""))</f>
        <v>JN°023</v>
      </c>
      <c r="L14" s="78" t="str">
        <f aca="false">IF(B14="","",IFERROR(INDEX('CARNET DE SOUDURE'!$D$7:$D$1506,MATCH(B14,'CARNET DE SOUDURE'!$K$7:$K$1506,0)),IFERROR(INDEX('CARNET DE SOUDURE'!$D$7:$D$1506,MATCH(B14,'CARNET DE SOUDURE'!$M$7:$M$1506,0)),"")))</f>
        <v>0.00</v>
      </c>
      <c r="M14" s="81" t="str">
        <f aca="false">IF(B14="","",IF(OR(J14&lt;&gt;"",K14&lt;&gt;""),"POSÉ EN LIGNE",IF(H14&lt;&gt;"","BARDÉ","EN STOCK")))</f>
        <v>POSÉ EN LIGNE</v>
      </c>
      <c r="N14" s="79"/>
    </row>
    <row r="15" customFormat="false" ht="15" hidden="false" customHeight="false" outlineLevel="0" collapsed="false">
      <c r="A15" s="78" t="n">
        <f aca="false">IF(B15="","",ROW()-6)</f>
        <v>9</v>
      </c>
      <c r="B15" s="90" t="s">
        <v>187</v>
      </c>
      <c r="C15" s="91" t="n">
        <v>852405000564</v>
      </c>
      <c r="D15" s="91" t="n">
        <v>924054021</v>
      </c>
      <c r="E15" s="80" t="n">
        <v>33</v>
      </c>
      <c r="F15" s="92" t="n">
        <v>12.46</v>
      </c>
      <c r="G15" s="79" t="s">
        <v>605</v>
      </c>
      <c r="H15" s="82"/>
      <c r="I15" s="93" t="str">
        <f aca="false">IF(B15="","",IFERROR(INDEX('CARNET DE SOUDURE'!$B$7:$B$1506,MATCH(B15,'CARNET DE SOUDURE'!$K$7:$K$1506,0)),IFERROR(INDEX('CARNET DE SOUDURE'!$B$7:$B$1506,MATCH(B15,'CARNET DE SOUDURE'!$M$7:$M$1506,0)),"")))</f>
        <v>TFT 716 → TL7-MMFW2</v>
      </c>
      <c r="J15" s="78" t="str">
        <f aca="false">IF(B15="","",IFERROR(INDEX('CARNET DE SOUDURE'!$E$7:$E$1506,MATCH(B15,'CARNET DE SOUDURE'!$M$7:$M$1506,0)),""))</f>
        <v>JN°029</v>
      </c>
      <c r="K15" s="78" t="str">
        <f aca="false">IF(B15="","",IFERROR(INDEX('CARNET DE SOUDURE'!$E$7:$E$1506,MATCH(B15,'CARNET DE SOUDURE'!$K$7:$K$1506,0)),""))</f>
        <v>JN°030</v>
      </c>
      <c r="L15" s="78" t="str">
        <f aca="false">IF(B15="","",IFERROR(INDEX('CARNET DE SOUDURE'!$D$7:$D$1506,MATCH(B15,'CARNET DE SOUDURE'!$K$7:$K$1506,0)),IFERROR(INDEX('CARNET DE SOUDURE'!$D$7:$D$1506,MATCH(B15,'CARNET DE SOUDURE'!$M$7:$M$1506,0)),"")))</f>
        <v>0.00</v>
      </c>
      <c r="M15" s="81" t="str">
        <f aca="false">IF(B15="","",IF(OR(J15&lt;&gt;"",K15&lt;&gt;""),"POSÉ EN LIGNE",IF(H15&lt;&gt;"","BARDÉ","EN STOCK")))</f>
        <v>POSÉ EN LIGNE</v>
      </c>
      <c r="N15" s="79"/>
    </row>
    <row r="16" customFormat="false" ht="15" hidden="false" customHeight="false" outlineLevel="0" collapsed="false">
      <c r="A16" s="78" t="n">
        <f aca="false">IF(B16="","",ROW()-6)</f>
        <v>10</v>
      </c>
      <c r="B16" s="90" t="s">
        <v>149</v>
      </c>
      <c r="C16" s="91" t="n">
        <v>852405000564</v>
      </c>
      <c r="D16" s="91" t="n">
        <v>924054021</v>
      </c>
      <c r="E16" s="80" t="n">
        <v>34</v>
      </c>
      <c r="F16" s="92" t="n">
        <v>12.45</v>
      </c>
      <c r="G16" s="79" t="s">
        <v>605</v>
      </c>
      <c r="H16" s="82"/>
      <c r="I16" s="93" t="str">
        <f aca="false">IF(B16="","",IFERROR(INDEX('CARNET DE SOUDURE'!$B$7:$B$1506,MATCH(B16,'CARNET DE SOUDURE'!$K$7:$K$1506,0)),IFERROR(INDEX('CARNET DE SOUDURE'!$B$7:$B$1506,MATCH(B16,'CARNET DE SOUDURE'!$M$7:$M$1506,0)),"")))</f>
        <v>TFT 716 → TL7-MMFW2</v>
      </c>
      <c r="J16" s="78" t="str">
        <f aca="false">IF(B16="","",IFERROR(INDEX('CARNET DE SOUDURE'!$E$7:$E$1506,MATCH(B16,'CARNET DE SOUDURE'!$M$7:$M$1506,0)),""))</f>
        <v>JN°015</v>
      </c>
      <c r="K16" s="78" t="str">
        <f aca="false">IF(B16="","",IFERROR(INDEX('CARNET DE SOUDURE'!$E$7:$E$1506,MATCH(B16,'CARNET DE SOUDURE'!$K$7:$K$1506,0)),""))</f>
        <v>JN°016</v>
      </c>
      <c r="L16" s="78" t="str">
        <f aca="false">IF(B16="","",IFERROR(INDEX('CARNET DE SOUDURE'!$D$7:$D$1506,MATCH(B16,'CARNET DE SOUDURE'!$K$7:$K$1506,0)),IFERROR(INDEX('CARNET DE SOUDURE'!$D$7:$D$1506,MATCH(B16,'CARNET DE SOUDURE'!$M$7:$M$1506,0)),"")))</f>
        <v>0.00</v>
      </c>
      <c r="M16" s="81" t="str">
        <f aca="false">IF(B16="","",IF(OR(J16&lt;&gt;"",K16&lt;&gt;""),"POSÉ EN LIGNE",IF(H16&lt;&gt;"","BARDÉ","EN STOCK")))</f>
        <v>POSÉ EN LIGNE</v>
      </c>
      <c r="N16" s="79"/>
    </row>
    <row r="17" customFormat="false" ht="15" hidden="false" customHeight="false" outlineLevel="0" collapsed="false">
      <c r="A17" s="78" t="n">
        <f aca="false">IF(B17="","",ROW()-6)</f>
        <v>11</v>
      </c>
      <c r="B17" s="90" t="s">
        <v>152</v>
      </c>
      <c r="C17" s="91" t="n">
        <v>852405000564</v>
      </c>
      <c r="D17" s="91" t="n">
        <v>924054021</v>
      </c>
      <c r="E17" s="80" t="n">
        <v>35</v>
      </c>
      <c r="F17" s="92" t="n">
        <v>12.46</v>
      </c>
      <c r="G17" s="79" t="s">
        <v>605</v>
      </c>
      <c r="H17" s="82"/>
      <c r="I17" s="93" t="str">
        <f aca="false">IF(B17="","",IFERROR(INDEX('CARNET DE SOUDURE'!$B$7:$B$1506,MATCH(B17,'CARNET DE SOUDURE'!$K$7:$K$1506,0)),IFERROR(INDEX('CARNET DE SOUDURE'!$B$7:$B$1506,MATCH(B17,'CARNET DE SOUDURE'!$M$7:$M$1506,0)),"")))</f>
        <v>TFT 716 → TL7-MMFW2</v>
      </c>
      <c r="J17" s="78" t="str">
        <f aca="false">IF(B17="","",IFERROR(INDEX('CARNET DE SOUDURE'!$E$7:$E$1506,MATCH(B17,'CARNET DE SOUDURE'!$M$7:$M$1506,0)),""))</f>
        <v>JN°016</v>
      </c>
      <c r="K17" s="78" t="str">
        <f aca="false">IF(B17="","",IFERROR(INDEX('CARNET DE SOUDURE'!$E$7:$E$1506,MATCH(B17,'CARNET DE SOUDURE'!$K$7:$K$1506,0)),""))</f>
        <v>JN°017</v>
      </c>
      <c r="L17" s="78" t="str">
        <f aca="false">IF(B17="","",IFERROR(INDEX('CARNET DE SOUDURE'!$D$7:$D$1506,MATCH(B17,'CARNET DE SOUDURE'!$K$7:$K$1506,0)),IFERROR(INDEX('CARNET DE SOUDURE'!$D$7:$D$1506,MATCH(B17,'CARNET DE SOUDURE'!$M$7:$M$1506,0)),"")))</f>
        <v>0.00</v>
      </c>
      <c r="M17" s="81" t="str">
        <f aca="false">IF(B17="","",IF(OR(J17&lt;&gt;"",K17&lt;&gt;""),"POSÉ EN LIGNE",IF(H17&lt;&gt;"","BARDÉ","EN STOCK")))</f>
        <v>POSÉ EN LIGNE</v>
      </c>
      <c r="N17" s="79"/>
    </row>
    <row r="18" customFormat="false" ht="15" hidden="false" customHeight="false" outlineLevel="0" collapsed="false">
      <c r="A18" s="78" t="n">
        <f aca="false">IF(B18="","",ROW()-6)</f>
        <v>12</v>
      </c>
      <c r="B18" s="90" t="s">
        <v>138</v>
      </c>
      <c r="C18" s="91" t="n">
        <v>852405000610</v>
      </c>
      <c r="D18" s="91" t="n">
        <v>924054017</v>
      </c>
      <c r="E18" s="80" t="n">
        <v>36</v>
      </c>
      <c r="F18" s="92" t="n">
        <v>12.4</v>
      </c>
      <c r="G18" s="79" t="s">
        <v>605</v>
      </c>
      <c r="H18" s="82"/>
      <c r="I18" s="93" t="str">
        <f aca="false">IF(B18="","",IFERROR(INDEX('CARNET DE SOUDURE'!$B$7:$B$1506,MATCH(B18,'CARNET DE SOUDURE'!$K$7:$K$1506,0)),IFERROR(INDEX('CARNET DE SOUDURE'!$B$7:$B$1506,MATCH(B18,'CARNET DE SOUDURE'!$M$7:$M$1506,0)),"")))</f>
        <v>TFT 716 → TL7-MMFW2</v>
      </c>
      <c r="J18" s="78" t="str">
        <f aca="false">IF(B18="","",IFERROR(INDEX('CARNET DE SOUDURE'!$E$7:$E$1506,MATCH(B18,'CARNET DE SOUDURE'!$M$7:$M$1506,0)),""))</f>
        <v>JN°011</v>
      </c>
      <c r="K18" s="78" t="str">
        <f aca="false">IF(B18="","",IFERROR(INDEX('CARNET DE SOUDURE'!$E$7:$E$1506,MATCH(B18,'CARNET DE SOUDURE'!$K$7:$K$1506,0)),""))</f>
        <v>JN°012</v>
      </c>
      <c r="L18" s="78" t="str">
        <f aca="false">IF(B18="","",IFERROR(INDEX('CARNET DE SOUDURE'!$D$7:$D$1506,MATCH(B18,'CARNET DE SOUDURE'!$K$7:$K$1506,0)),IFERROR(INDEX('CARNET DE SOUDURE'!$D$7:$D$1506,MATCH(B18,'CARNET DE SOUDURE'!$M$7:$M$1506,0)),"")))</f>
        <v>0.00</v>
      </c>
      <c r="M18" s="81" t="str">
        <f aca="false">IF(B18="","",IF(OR(J18&lt;&gt;"",K18&lt;&gt;""),"POSÉ EN LIGNE",IF(H18&lt;&gt;"","BARDÉ","EN STOCK")))</f>
        <v>POSÉ EN LIGNE</v>
      </c>
      <c r="N18" s="79"/>
    </row>
    <row r="19" customFormat="false" ht="15" hidden="false" customHeight="false" outlineLevel="0" collapsed="false">
      <c r="A19" s="78" t="n">
        <f aca="false">IF(B19="","",ROW()-6)</f>
        <v>13</v>
      </c>
      <c r="B19" s="90" t="s">
        <v>209</v>
      </c>
      <c r="C19" s="91" t="n">
        <v>852405000610</v>
      </c>
      <c r="D19" s="91" t="n">
        <v>924054017</v>
      </c>
      <c r="E19" s="80" t="n">
        <v>37</v>
      </c>
      <c r="F19" s="92" t="n">
        <v>12.41</v>
      </c>
      <c r="G19" s="79" t="s">
        <v>605</v>
      </c>
      <c r="H19" s="82"/>
      <c r="I19" s="93" t="str">
        <f aca="false">IF(B19="","",IFERROR(INDEX('CARNET DE SOUDURE'!$B$7:$B$1506,MATCH(B19,'CARNET DE SOUDURE'!$K$7:$K$1506,0)),IFERROR(INDEX('CARNET DE SOUDURE'!$B$7:$B$1506,MATCH(B19,'CARNET DE SOUDURE'!$M$7:$M$1506,0)),"")))</f>
        <v>TFT 716 → TL7-MMFW2</v>
      </c>
      <c r="J19" s="78" t="str">
        <f aca="false">IF(B19="","",IFERROR(INDEX('CARNET DE SOUDURE'!$E$7:$E$1506,MATCH(B19,'CARNET DE SOUDURE'!$M$7:$M$1506,0)),""))</f>
        <v>JN°038</v>
      </c>
      <c r="K19" s="78" t="str">
        <f aca="false">IF(B19="","",IFERROR(INDEX('CARNET DE SOUDURE'!$E$7:$E$1506,MATCH(B19,'CARNET DE SOUDURE'!$K$7:$K$1506,0)),""))</f>
        <v>JN°039</v>
      </c>
      <c r="L19" s="78" t="str">
        <f aca="false">IF(B19="","",IFERROR(INDEX('CARNET DE SOUDURE'!$D$7:$D$1506,MATCH(B19,'CARNET DE SOUDURE'!$K$7:$K$1506,0)),IFERROR(INDEX('CARNET DE SOUDURE'!$D$7:$D$1506,MATCH(B19,'CARNET DE SOUDURE'!$M$7:$M$1506,0)),"")))</f>
        <v>0.00</v>
      </c>
      <c r="M19" s="81" t="str">
        <f aca="false">IF(B19="","",IF(OR(J19&lt;&gt;"",K19&lt;&gt;""),"POSÉ EN LIGNE",IF(H19&lt;&gt;"","BARDÉ","EN STOCK")))</f>
        <v>POSÉ EN LIGNE</v>
      </c>
      <c r="N19" s="79"/>
    </row>
    <row r="20" customFormat="false" ht="15" hidden="false" customHeight="false" outlineLevel="0" collapsed="false">
      <c r="A20" s="78" t="n">
        <f aca="false">IF(B20="","",ROW()-6)</f>
        <v>14</v>
      </c>
      <c r="B20" s="90" t="s">
        <v>206</v>
      </c>
      <c r="C20" s="91" t="n">
        <v>852405000610</v>
      </c>
      <c r="D20" s="91" t="n">
        <v>924054017</v>
      </c>
      <c r="E20" s="80" t="n">
        <v>38</v>
      </c>
      <c r="F20" s="92" t="n">
        <v>12.41</v>
      </c>
      <c r="G20" s="79" t="s">
        <v>605</v>
      </c>
      <c r="H20" s="82"/>
      <c r="I20" s="93" t="str">
        <f aca="false">IF(B20="","",IFERROR(INDEX('CARNET DE SOUDURE'!$B$7:$B$1506,MATCH(B20,'CARNET DE SOUDURE'!$K$7:$K$1506,0)),IFERROR(INDEX('CARNET DE SOUDURE'!$B$7:$B$1506,MATCH(B20,'CARNET DE SOUDURE'!$M$7:$M$1506,0)),"")))</f>
        <v>TFT 716 → TL7-MMFW2</v>
      </c>
      <c r="J20" s="78" t="str">
        <f aca="false">IF(B20="","",IFERROR(INDEX('CARNET DE SOUDURE'!$E$7:$E$1506,MATCH(B20,'CARNET DE SOUDURE'!$M$7:$M$1506,0)),""))</f>
        <v>JN°040</v>
      </c>
      <c r="K20" s="78" t="str">
        <f aca="false">IF(B20="","",IFERROR(INDEX('CARNET DE SOUDURE'!$E$7:$E$1506,MATCH(B20,'CARNET DE SOUDURE'!$K$7:$K$1506,0)),""))</f>
        <v>JN°037</v>
      </c>
      <c r="L20" s="78" t="str">
        <f aca="false">IF(B20="","",IFERROR(INDEX('CARNET DE SOUDURE'!$D$7:$D$1506,MATCH(B20,'CARNET DE SOUDURE'!$K$7:$K$1506,0)),IFERROR(INDEX('CARNET DE SOUDURE'!$D$7:$D$1506,MATCH(B20,'CARNET DE SOUDURE'!$M$7:$M$1506,0)),"")))</f>
        <v>0.00</v>
      </c>
      <c r="M20" s="81" t="str">
        <f aca="false">IF(B20="","",IF(OR(J20&lt;&gt;"",K20&lt;&gt;""),"POSÉ EN LIGNE",IF(H20&lt;&gt;"","BARDÉ","EN STOCK")))</f>
        <v>POSÉ EN LIGNE</v>
      </c>
      <c r="N20" s="79"/>
    </row>
    <row r="21" customFormat="false" ht="15" hidden="false" customHeight="false" outlineLevel="0" collapsed="false">
      <c r="A21" s="78" t="n">
        <f aca="false">IF(B21="","",ROW()-6)</f>
        <v>15</v>
      </c>
      <c r="B21" s="90" t="s">
        <v>181</v>
      </c>
      <c r="C21" s="91" t="n">
        <v>852405000610</v>
      </c>
      <c r="D21" s="91" t="n">
        <v>924054017</v>
      </c>
      <c r="E21" s="80" t="n">
        <v>39</v>
      </c>
      <c r="F21" s="92" t="n">
        <v>12.4</v>
      </c>
      <c r="G21" s="79" t="s">
        <v>605</v>
      </c>
      <c r="H21" s="82"/>
      <c r="I21" s="93" t="str">
        <f aca="false">IF(B21="","",IFERROR(INDEX('CARNET DE SOUDURE'!$B$7:$B$1506,MATCH(B21,'CARNET DE SOUDURE'!$K$7:$K$1506,0)),IFERROR(INDEX('CARNET DE SOUDURE'!$B$7:$B$1506,MATCH(B21,'CARNET DE SOUDURE'!$M$7:$M$1506,0)),"")))</f>
        <v>TFT 716 → TL7-MMFW2</v>
      </c>
      <c r="J21" s="78" t="str">
        <f aca="false">IF(B21="","",IFERROR(INDEX('CARNET DE SOUDURE'!$E$7:$E$1506,MATCH(B21,'CARNET DE SOUDURE'!$M$7:$M$1506,0)),""))</f>
        <v>JN°027</v>
      </c>
      <c r="K21" s="78" t="str">
        <f aca="false">IF(B21="","",IFERROR(INDEX('CARNET DE SOUDURE'!$E$7:$E$1506,MATCH(B21,'CARNET DE SOUDURE'!$K$7:$K$1506,0)),""))</f>
        <v>JN°028</v>
      </c>
      <c r="L21" s="78" t="str">
        <f aca="false">IF(B21="","",IFERROR(INDEX('CARNET DE SOUDURE'!$D$7:$D$1506,MATCH(B21,'CARNET DE SOUDURE'!$K$7:$K$1506,0)),IFERROR(INDEX('CARNET DE SOUDURE'!$D$7:$D$1506,MATCH(B21,'CARNET DE SOUDURE'!$M$7:$M$1506,0)),"")))</f>
        <v>0.00</v>
      </c>
      <c r="M21" s="81" t="str">
        <f aca="false">IF(B21="","",IF(OR(J21&lt;&gt;"",K21&lt;&gt;""),"POSÉ EN LIGNE",IF(H21&lt;&gt;"","BARDÉ","EN STOCK")))</f>
        <v>POSÉ EN LIGNE</v>
      </c>
      <c r="N21" s="79"/>
    </row>
    <row r="22" customFormat="false" ht="15" hidden="false" customHeight="false" outlineLevel="0" collapsed="false">
      <c r="A22" s="78" t="n">
        <f aca="false">IF(B22="","",ROW()-6)</f>
        <v>16</v>
      </c>
      <c r="B22" s="90" t="s">
        <v>143</v>
      </c>
      <c r="C22" s="91" t="n">
        <v>852405000610</v>
      </c>
      <c r="D22" s="91" t="n">
        <v>924054017</v>
      </c>
      <c r="E22" s="80" t="n">
        <v>40</v>
      </c>
      <c r="F22" s="92" t="n">
        <v>12.4</v>
      </c>
      <c r="G22" s="79" t="s">
        <v>605</v>
      </c>
      <c r="H22" s="82"/>
      <c r="I22" s="93" t="str">
        <f aca="false">IF(B22="","",IFERROR(INDEX('CARNET DE SOUDURE'!$B$7:$B$1506,MATCH(B22,'CARNET DE SOUDURE'!$K$7:$K$1506,0)),IFERROR(INDEX('CARNET DE SOUDURE'!$B$7:$B$1506,MATCH(B22,'CARNET DE SOUDURE'!$M$7:$M$1506,0)),"")))</f>
        <v>TFT 716 → TL7-MMFW2</v>
      </c>
      <c r="J22" s="78" t="str">
        <f aca="false">IF(B22="","",IFERROR(INDEX('CARNET DE SOUDURE'!$E$7:$E$1506,MATCH(B22,'CARNET DE SOUDURE'!$M$7:$M$1506,0)),""))</f>
        <v>JN°013</v>
      </c>
      <c r="K22" s="78" t="str">
        <f aca="false">IF(B22="","",IFERROR(INDEX('CARNET DE SOUDURE'!$E$7:$E$1506,MATCH(B22,'CARNET DE SOUDURE'!$K$7:$K$1506,0)),""))</f>
        <v>JN°014</v>
      </c>
      <c r="L22" s="78" t="str">
        <f aca="false">IF(B22="","",IFERROR(INDEX('CARNET DE SOUDURE'!$D$7:$D$1506,MATCH(B22,'CARNET DE SOUDURE'!$K$7:$K$1506,0)),IFERROR(INDEX('CARNET DE SOUDURE'!$D$7:$D$1506,MATCH(B22,'CARNET DE SOUDURE'!$M$7:$M$1506,0)),"")))</f>
        <v>0.00</v>
      </c>
      <c r="M22" s="81" t="str">
        <f aca="false">IF(B22="","",IF(OR(J22&lt;&gt;"",K22&lt;&gt;""),"POSÉ EN LIGNE",IF(H22&lt;&gt;"","BARDÉ","EN STOCK")))</f>
        <v>POSÉ EN LIGNE</v>
      </c>
      <c r="N22" s="79"/>
    </row>
    <row r="23" customFormat="false" ht="15" hidden="false" customHeight="false" outlineLevel="0" collapsed="false">
      <c r="A23" s="78" t="n">
        <f aca="false">IF(B23="","",ROW()-6)</f>
        <v>17</v>
      </c>
      <c r="B23" s="90" t="s">
        <v>124</v>
      </c>
      <c r="C23" s="91" t="n">
        <v>852404002201</v>
      </c>
      <c r="D23" s="91" t="n">
        <v>924043080</v>
      </c>
      <c r="E23" s="80" t="n">
        <v>41</v>
      </c>
      <c r="F23" s="92" t="n">
        <v>12.21</v>
      </c>
      <c r="G23" s="79" t="s">
        <v>605</v>
      </c>
      <c r="H23" s="82"/>
      <c r="I23" s="93" t="str">
        <f aca="false">IF(B23="","",IFERROR(INDEX('CARNET DE SOUDURE'!$B$7:$B$1506,MATCH(B23,'CARNET DE SOUDURE'!$K$7:$K$1506,0)),IFERROR(INDEX('CARNET DE SOUDURE'!$B$7:$B$1506,MATCH(B23,'CARNET DE SOUDURE'!$M$7:$M$1506,0)),"")))</f>
        <v>TFT 716 → TL7-MMFW2</v>
      </c>
      <c r="J23" s="78" t="str">
        <f aca="false">IF(B23="","",IFERROR(INDEX('CARNET DE SOUDURE'!$E$7:$E$1506,MATCH(B23,'CARNET DE SOUDURE'!$M$7:$M$1506,0)),""))</f>
        <v>JN°008</v>
      </c>
      <c r="K23" s="78" t="str">
        <f aca="false">IF(B23="","",IFERROR(INDEX('CARNET DE SOUDURE'!$E$7:$E$1506,MATCH(B23,'CARNET DE SOUDURE'!$K$7:$K$1506,0)),""))</f>
        <v>JN°009</v>
      </c>
      <c r="L23" s="78" t="str">
        <f aca="false">IF(B23="","",IFERROR(INDEX('CARNET DE SOUDURE'!$D$7:$D$1506,MATCH(B23,'CARNET DE SOUDURE'!$K$7:$K$1506,0)),IFERROR(INDEX('CARNET DE SOUDURE'!$D$7:$D$1506,MATCH(B23,'CARNET DE SOUDURE'!$M$7:$M$1506,0)),"")))</f>
        <v>0.00</v>
      </c>
      <c r="M23" s="81" t="str">
        <f aca="false">IF(B23="","",IF(OR(J23&lt;&gt;"",K23&lt;&gt;""),"POSÉ EN LIGNE",IF(H23&lt;&gt;"","BARDÉ","EN STOCK")))</f>
        <v>POSÉ EN LIGNE</v>
      </c>
      <c r="N23" s="79"/>
    </row>
    <row r="24" customFormat="false" ht="15" hidden="false" customHeight="false" outlineLevel="0" collapsed="false">
      <c r="A24" s="78" t="n">
        <f aca="false">IF(B24="","",ROW()-6)</f>
        <v>18</v>
      </c>
      <c r="B24" s="90" t="s">
        <v>207</v>
      </c>
      <c r="C24" s="91" t="n">
        <v>852404002201</v>
      </c>
      <c r="D24" s="91" t="n">
        <v>924043080</v>
      </c>
      <c r="E24" s="80" t="n">
        <v>42</v>
      </c>
      <c r="F24" s="92" t="n">
        <v>12.21</v>
      </c>
      <c r="G24" s="79" t="s">
        <v>605</v>
      </c>
      <c r="H24" s="82"/>
      <c r="I24" s="93" t="str">
        <f aca="false">IF(B24="","",IFERROR(INDEX('CARNET DE SOUDURE'!$B$7:$B$1506,MATCH(B24,'CARNET DE SOUDURE'!$K$7:$K$1506,0)),IFERROR(INDEX('CARNET DE SOUDURE'!$B$7:$B$1506,MATCH(B24,'CARNET DE SOUDURE'!$M$7:$M$1506,0)),"")))</f>
        <v>TFT 716 → TL7-MMFW2</v>
      </c>
      <c r="J24" s="78" t="str">
        <f aca="false">IF(B24="","",IFERROR(INDEX('CARNET DE SOUDURE'!$E$7:$E$1506,MATCH(B24,'CARNET DE SOUDURE'!$M$7:$M$1506,0)),""))</f>
        <v>JN°037</v>
      </c>
      <c r="K24" s="78" t="str">
        <f aca="false">IF(B24="","",IFERROR(INDEX('CARNET DE SOUDURE'!$E$7:$E$1506,MATCH(B24,'CARNET DE SOUDURE'!$K$7:$K$1506,0)),""))</f>
        <v>JN°038</v>
      </c>
      <c r="L24" s="78" t="str">
        <f aca="false">IF(B24="","",IFERROR(INDEX('CARNET DE SOUDURE'!$D$7:$D$1506,MATCH(B24,'CARNET DE SOUDURE'!$K$7:$K$1506,0)),IFERROR(INDEX('CARNET DE SOUDURE'!$D$7:$D$1506,MATCH(B24,'CARNET DE SOUDURE'!$M$7:$M$1506,0)),"")))</f>
        <v>0.00</v>
      </c>
      <c r="M24" s="81" t="str">
        <f aca="false">IF(B24="","",IF(OR(J24&lt;&gt;"",K24&lt;&gt;""),"POSÉ EN LIGNE",IF(H24&lt;&gt;"","BARDÉ","EN STOCK")))</f>
        <v>POSÉ EN LIGNE</v>
      </c>
      <c r="N24" s="79"/>
    </row>
    <row r="25" customFormat="false" ht="15" hidden="false" customHeight="false" outlineLevel="0" collapsed="false">
      <c r="A25" s="78" t="n">
        <f aca="false">IF(B25="","",ROW()-6)</f>
        <v>19</v>
      </c>
      <c r="B25" s="90" t="s">
        <v>198</v>
      </c>
      <c r="C25" s="91" t="n">
        <v>852404002201</v>
      </c>
      <c r="D25" s="91" t="n">
        <v>924043080</v>
      </c>
      <c r="E25" s="80" t="n">
        <v>43</v>
      </c>
      <c r="F25" s="92" t="n">
        <v>12.21</v>
      </c>
      <c r="G25" s="79" t="s">
        <v>605</v>
      </c>
      <c r="H25" s="82"/>
      <c r="I25" s="93" t="str">
        <f aca="false">IF(B25="","",IFERROR(INDEX('CARNET DE SOUDURE'!$B$7:$B$1506,MATCH(B25,'CARNET DE SOUDURE'!$K$7:$K$1506,0)),IFERROR(INDEX('CARNET DE SOUDURE'!$B$7:$B$1506,MATCH(B25,'CARNET DE SOUDURE'!$M$7:$M$1506,0)),"")))</f>
        <v>TFT 716 → TL7-MMFW2</v>
      </c>
      <c r="J25" s="78" t="str">
        <f aca="false">IF(B25="","",IFERROR(INDEX('CARNET DE SOUDURE'!$E$7:$E$1506,MATCH(B25,'CARNET DE SOUDURE'!$M$7:$M$1506,0)),""))</f>
        <v>JN°034</v>
      </c>
      <c r="K25" s="78" t="str">
        <f aca="false">IF(B25="","",IFERROR(INDEX('CARNET DE SOUDURE'!$E$7:$E$1506,MATCH(B25,'CARNET DE SOUDURE'!$K$7:$K$1506,0)),""))</f>
        <v>JN°035</v>
      </c>
      <c r="L25" s="78" t="str">
        <f aca="false">IF(B25="","",IFERROR(INDEX('CARNET DE SOUDURE'!$D$7:$D$1506,MATCH(B25,'CARNET DE SOUDURE'!$K$7:$K$1506,0)),IFERROR(INDEX('CARNET DE SOUDURE'!$D$7:$D$1506,MATCH(B25,'CARNET DE SOUDURE'!$M$7:$M$1506,0)),"")))</f>
        <v>0.00</v>
      </c>
      <c r="M25" s="81" t="str">
        <f aca="false">IF(B25="","",IF(OR(J25&lt;&gt;"",K25&lt;&gt;""),"POSÉ EN LIGNE",IF(H25&lt;&gt;"","BARDÉ","EN STOCK")))</f>
        <v>POSÉ EN LIGNE</v>
      </c>
      <c r="N25" s="79"/>
    </row>
    <row r="26" customFormat="false" ht="15" hidden="false" customHeight="false" outlineLevel="0" collapsed="false">
      <c r="A26" s="78" t="n">
        <f aca="false">IF(B26="","",ROW()-6)</f>
        <v>20</v>
      </c>
      <c r="B26" s="90" t="s">
        <v>189</v>
      </c>
      <c r="C26" s="91" t="n">
        <v>852404002201</v>
      </c>
      <c r="D26" s="91" t="n">
        <v>924043080</v>
      </c>
      <c r="E26" s="80" t="n">
        <v>44</v>
      </c>
      <c r="F26" s="92" t="n">
        <v>12.21</v>
      </c>
      <c r="G26" s="79" t="s">
        <v>605</v>
      </c>
      <c r="H26" s="82"/>
      <c r="I26" s="93" t="str">
        <f aca="false">IF(B26="","",IFERROR(INDEX('CARNET DE SOUDURE'!$B$7:$B$1506,MATCH(B26,'CARNET DE SOUDURE'!$K$7:$K$1506,0)),IFERROR(INDEX('CARNET DE SOUDURE'!$B$7:$B$1506,MATCH(B26,'CARNET DE SOUDURE'!$M$7:$M$1506,0)),"")))</f>
        <v>TFT 716 → TL7-MMFW2</v>
      </c>
      <c r="J26" s="78" t="str">
        <f aca="false">IF(B26="","",IFERROR(INDEX('CARNET DE SOUDURE'!$E$7:$E$1506,MATCH(B26,'CARNET DE SOUDURE'!$M$7:$M$1506,0)),""))</f>
        <v>JN°030</v>
      </c>
      <c r="K26" s="78" t="str">
        <f aca="false">IF(B26="","",IFERROR(INDEX('CARNET DE SOUDURE'!$E$7:$E$1506,MATCH(B26,'CARNET DE SOUDURE'!$K$7:$K$1506,0)),""))</f>
        <v>JN°031</v>
      </c>
      <c r="L26" s="78" t="str">
        <f aca="false">IF(B26="","",IFERROR(INDEX('CARNET DE SOUDURE'!$D$7:$D$1506,MATCH(B26,'CARNET DE SOUDURE'!$K$7:$K$1506,0)),IFERROR(INDEX('CARNET DE SOUDURE'!$D$7:$D$1506,MATCH(B26,'CARNET DE SOUDURE'!$M$7:$M$1506,0)),"")))</f>
        <v>0.00</v>
      </c>
      <c r="M26" s="81" t="str">
        <f aca="false">IF(B26="","",IF(OR(J26&lt;&gt;"",K26&lt;&gt;""),"POSÉ EN LIGNE",IF(H26&lt;&gt;"","BARDÉ","EN STOCK")))</f>
        <v>POSÉ EN LIGNE</v>
      </c>
      <c r="N26" s="79"/>
    </row>
    <row r="27" customFormat="false" ht="15" hidden="false" customHeight="false" outlineLevel="0" collapsed="false">
      <c r="A27" s="78" t="n">
        <f aca="false">IF(B27="","",ROW()-6)</f>
        <v>21</v>
      </c>
      <c r="B27" s="90" t="s">
        <v>158</v>
      </c>
      <c r="C27" s="91" t="n">
        <v>852404002201</v>
      </c>
      <c r="D27" s="91" t="n">
        <v>924043080</v>
      </c>
      <c r="E27" s="80" t="n">
        <v>45</v>
      </c>
      <c r="F27" s="92" t="n">
        <v>12.22</v>
      </c>
      <c r="G27" s="79" t="s">
        <v>605</v>
      </c>
      <c r="H27" s="82"/>
      <c r="I27" s="93" t="str">
        <f aca="false">IF(B27="","",IFERROR(INDEX('CARNET DE SOUDURE'!$B$7:$B$1506,MATCH(B27,'CARNET DE SOUDURE'!$K$7:$K$1506,0)),IFERROR(INDEX('CARNET DE SOUDURE'!$B$7:$B$1506,MATCH(B27,'CARNET DE SOUDURE'!$M$7:$M$1506,0)),"")))</f>
        <v>TFT 716 → TL7-MMFW2</v>
      </c>
      <c r="J27" s="78" t="str">
        <f aca="false">IF(B27="","",IFERROR(INDEX('CARNET DE SOUDURE'!$E$7:$E$1506,MATCH(B27,'CARNET DE SOUDURE'!$M$7:$M$1506,0)),""))</f>
        <v>JN°019</v>
      </c>
      <c r="K27" s="78" t="str">
        <f aca="false">IF(B27="","",IFERROR(INDEX('CARNET DE SOUDURE'!$E$7:$E$1506,MATCH(B27,'CARNET DE SOUDURE'!$K$7:$K$1506,0)),""))</f>
        <v>JN°019A</v>
      </c>
      <c r="L27" s="78" t="str">
        <f aca="false">IF(B27="","",IFERROR(INDEX('CARNET DE SOUDURE'!$D$7:$D$1506,MATCH(B27,'CARNET DE SOUDURE'!$K$7:$K$1506,0)),IFERROR(INDEX('CARNET DE SOUDURE'!$D$7:$D$1506,MATCH(B27,'CARNET DE SOUDURE'!$M$7:$M$1506,0)),"")))</f>
        <v>0.00</v>
      </c>
      <c r="M27" s="81" t="str">
        <f aca="false">IF(B27="","",IF(OR(J27&lt;&gt;"",K27&lt;&gt;""),"POSÉ EN LIGNE",IF(H27&lt;&gt;"","BARDÉ","EN STOCK")))</f>
        <v>POSÉ EN LIGNE</v>
      </c>
      <c r="N27" s="79"/>
    </row>
    <row r="28" customFormat="false" ht="15" hidden="false" customHeight="false" outlineLevel="0" collapsed="false">
      <c r="A28" s="78" t="n">
        <f aca="false">IF(B28="","",ROW()-6)</f>
        <v>22</v>
      </c>
      <c r="B28" s="90" t="s">
        <v>214</v>
      </c>
      <c r="C28" s="91" t="n">
        <v>852404000882</v>
      </c>
      <c r="D28" s="91" t="n">
        <v>924044051</v>
      </c>
      <c r="E28" s="80" t="n">
        <v>46</v>
      </c>
      <c r="F28" s="92" t="n">
        <v>12.21</v>
      </c>
      <c r="G28" s="79" t="s">
        <v>605</v>
      </c>
      <c r="H28" s="82"/>
      <c r="I28" s="93" t="str">
        <f aca="false">IF(B28="","",IFERROR(INDEX('CARNET DE SOUDURE'!$B$7:$B$1506,MATCH(B28,'CARNET DE SOUDURE'!$K$7:$K$1506,0)),IFERROR(INDEX('CARNET DE SOUDURE'!$B$7:$B$1506,MATCH(B28,'CARNET DE SOUDURE'!$M$7:$M$1506,0)),"")))</f>
        <v>TFT 716 → TL7-MMFW2</v>
      </c>
      <c r="J28" s="78" t="str">
        <f aca="false">IF(B28="","",IFERROR(INDEX('CARNET DE SOUDURE'!$E$7:$E$1506,MATCH(B28,'CARNET DE SOUDURE'!$M$7:$M$1506,0)),""))</f>
        <v>JN°041</v>
      </c>
      <c r="K28" s="78" t="str">
        <f aca="false">IF(B28="","",IFERROR(INDEX('CARNET DE SOUDURE'!$E$7:$E$1506,MATCH(B28,'CARNET DE SOUDURE'!$K$7:$K$1506,0)),""))</f>
        <v>JN°042</v>
      </c>
      <c r="L28" s="78" t="str">
        <f aca="false">IF(B28="","",IFERROR(INDEX('CARNET DE SOUDURE'!$D$7:$D$1506,MATCH(B28,'CARNET DE SOUDURE'!$K$7:$K$1506,0)),IFERROR(INDEX('CARNET DE SOUDURE'!$D$7:$D$1506,MATCH(B28,'CARNET DE SOUDURE'!$M$7:$M$1506,0)),"")))</f>
        <v>0.00</v>
      </c>
      <c r="M28" s="81" t="str">
        <f aca="false">IF(B28="","",IF(OR(J28&lt;&gt;"",K28&lt;&gt;""),"POSÉ EN LIGNE",IF(H28&lt;&gt;"","BARDÉ","EN STOCK")))</f>
        <v>POSÉ EN LIGNE</v>
      </c>
      <c r="N28" s="79"/>
    </row>
    <row r="29" customFormat="false" ht="15" hidden="false" customHeight="false" outlineLevel="0" collapsed="false">
      <c r="A29" s="78" t="n">
        <f aca="false">IF(B29="","",ROW()-6)</f>
        <v>23</v>
      </c>
      <c r="B29" s="90" t="s">
        <v>127</v>
      </c>
      <c r="C29" s="91" t="n">
        <v>852404000882</v>
      </c>
      <c r="D29" s="91" t="n">
        <v>924044051</v>
      </c>
      <c r="E29" s="80" t="n">
        <v>47</v>
      </c>
      <c r="F29" s="92" t="n">
        <v>12.22</v>
      </c>
      <c r="G29" s="79" t="s">
        <v>605</v>
      </c>
      <c r="H29" s="82"/>
      <c r="I29" s="93" t="str">
        <f aca="false">IF(B29="","",IFERROR(INDEX('CARNET DE SOUDURE'!$B$7:$B$1506,MATCH(B29,'CARNET DE SOUDURE'!$K$7:$K$1506,0)),IFERROR(INDEX('CARNET DE SOUDURE'!$B$7:$B$1506,MATCH(B29,'CARNET DE SOUDURE'!$M$7:$M$1506,0)),"")))</f>
        <v>TFT 716 → TL7-MMFW2</v>
      </c>
      <c r="J29" s="78" t="str">
        <f aca="false">IF(B29="","",IFERROR(INDEX('CARNET DE SOUDURE'!$E$7:$E$1506,MATCH(B29,'CARNET DE SOUDURE'!$M$7:$M$1506,0)),""))</f>
        <v>JN°009</v>
      </c>
      <c r="K29" s="78" t="str">
        <f aca="false">IF(B29="","",IFERROR(INDEX('CARNET DE SOUDURE'!$E$7:$E$1506,MATCH(B29,'CARNET DE SOUDURE'!$K$7:$K$1506,0)),""))</f>
        <v>JN°010</v>
      </c>
      <c r="L29" s="78" t="str">
        <f aca="false">IF(B29="","",IFERROR(INDEX('CARNET DE SOUDURE'!$D$7:$D$1506,MATCH(B29,'CARNET DE SOUDURE'!$K$7:$K$1506,0)),IFERROR(INDEX('CARNET DE SOUDURE'!$D$7:$D$1506,MATCH(B29,'CARNET DE SOUDURE'!$M$7:$M$1506,0)),"")))</f>
        <v>0.00</v>
      </c>
      <c r="M29" s="81" t="str">
        <f aca="false">IF(B29="","",IF(OR(J29&lt;&gt;"",K29&lt;&gt;""),"POSÉ EN LIGNE",IF(H29&lt;&gt;"","BARDÉ","EN STOCK")))</f>
        <v>POSÉ EN LIGNE</v>
      </c>
      <c r="N29" s="79"/>
    </row>
    <row r="30" customFormat="false" ht="15" hidden="false" customHeight="false" outlineLevel="0" collapsed="false">
      <c r="A30" s="78" t="n">
        <f aca="false">IF(B30="","",ROW()-6)</f>
        <v>24</v>
      </c>
      <c r="B30" s="90" t="s">
        <v>145</v>
      </c>
      <c r="C30" s="91" t="n">
        <v>852404000882</v>
      </c>
      <c r="D30" s="91" t="n">
        <v>924044051</v>
      </c>
      <c r="E30" s="80" t="n">
        <v>48</v>
      </c>
      <c r="F30" s="92" t="n">
        <v>12.21</v>
      </c>
      <c r="G30" s="79" t="s">
        <v>605</v>
      </c>
      <c r="H30" s="82"/>
      <c r="I30" s="93" t="str">
        <f aca="false">IF(B30="","",IFERROR(INDEX('CARNET DE SOUDURE'!$B$7:$B$1506,MATCH(B30,'CARNET DE SOUDURE'!$K$7:$K$1506,0)),IFERROR(INDEX('CARNET DE SOUDURE'!$B$7:$B$1506,MATCH(B30,'CARNET DE SOUDURE'!$M$7:$M$1506,0)),"")))</f>
        <v>TFT 716 → TL7-MMFW2</v>
      </c>
      <c r="J30" s="78" t="str">
        <f aca="false">IF(B30="","",IFERROR(INDEX('CARNET DE SOUDURE'!$E$7:$E$1506,MATCH(B30,'CARNET DE SOUDURE'!$M$7:$M$1506,0)),""))</f>
        <v>JN°014</v>
      </c>
      <c r="K30" s="78" t="str">
        <f aca="false">IF(B30="","",IFERROR(INDEX('CARNET DE SOUDURE'!$E$7:$E$1506,MATCH(B30,'CARNET DE SOUDURE'!$K$7:$K$1506,0)),""))</f>
        <v>JN°015</v>
      </c>
      <c r="L30" s="78" t="str">
        <f aca="false">IF(B30="","",IFERROR(INDEX('CARNET DE SOUDURE'!$D$7:$D$1506,MATCH(B30,'CARNET DE SOUDURE'!$K$7:$K$1506,0)),IFERROR(INDEX('CARNET DE SOUDURE'!$D$7:$D$1506,MATCH(B30,'CARNET DE SOUDURE'!$M$7:$M$1506,0)),"")))</f>
        <v>0.00</v>
      </c>
      <c r="M30" s="81" t="str">
        <f aca="false">IF(B30="","",IF(OR(J30&lt;&gt;"",K30&lt;&gt;""),"POSÉ EN LIGNE",IF(H30&lt;&gt;"","BARDÉ","EN STOCK")))</f>
        <v>POSÉ EN LIGNE</v>
      </c>
      <c r="N30" s="79"/>
    </row>
    <row r="31" customFormat="false" ht="15" hidden="false" customHeight="false" outlineLevel="0" collapsed="false">
      <c r="A31" s="78" t="n">
        <f aca="false">IF(B31="","",ROW()-6)</f>
        <v>25</v>
      </c>
      <c r="B31" s="90" t="s">
        <v>133</v>
      </c>
      <c r="C31" s="91" t="n">
        <v>852404000882</v>
      </c>
      <c r="D31" s="91" t="n">
        <v>924044051</v>
      </c>
      <c r="E31" s="80" t="n">
        <v>49</v>
      </c>
      <c r="F31" s="92" t="n">
        <v>12.23</v>
      </c>
      <c r="G31" s="79" t="s">
        <v>605</v>
      </c>
      <c r="H31" s="82"/>
      <c r="I31" s="93" t="str">
        <f aca="false">IF(B31="","",IFERROR(INDEX('CARNET DE SOUDURE'!$B$7:$B$1506,MATCH(B31,'CARNET DE SOUDURE'!$K$7:$K$1506,0)),IFERROR(INDEX('CARNET DE SOUDURE'!$B$7:$B$1506,MATCH(B31,'CARNET DE SOUDURE'!$M$7:$M$1506,0)),"")))</f>
        <v>TFT 716 → TL7-MMFW2</v>
      </c>
      <c r="J31" s="78" t="str">
        <f aca="false">IF(B31="","",IFERROR(INDEX('CARNET DE SOUDURE'!$E$7:$E$1506,MATCH(B31,'CARNET DE SOUDURE'!$M$7:$M$1506,0)),""))</f>
        <v>JN°010</v>
      </c>
      <c r="K31" s="78" t="str">
        <f aca="false">IF(B31="","",IFERROR(INDEX('CARNET DE SOUDURE'!$E$7:$E$1506,MATCH(B31,'CARNET DE SOUDURE'!$K$7:$K$1506,0)),""))</f>
        <v>JN°011</v>
      </c>
      <c r="L31" s="78" t="str">
        <f aca="false">IF(B31="","",IFERROR(INDEX('CARNET DE SOUDURE'!$D$7:$D$1506,MATCH(B31,'CARNET DE SOUDURE'!$K$7:$K$1506,0)),IFERROR(INDEX('CARNET DE SOUDURE'!$D$7:$D$1506,MATCH(B31,'CARNET DE SOUDURE'!$M$7:$M$1506,0)),"")))</f>
        <v>0.00</v>
      </c>
      <c r="M31" s="81" t="str">
        <f aca="false">IF(B31="","",IF(OR(J31&lt;&gt;"",K31&lt;&gt;""),"POSÉ EN LIGNE",IF(H31&lt;&gt;"","BARDÉ","EN STOCK")))</f>
        <v>POSÉ EN LIGNE</v>
      </c>
      <c r="N31" s="79"/>
    </row>
    <row r="32" customFormat="false" ht="15" hidden="false" customHeight="false" outlineLevel="0" collapsed="false">
      <c r="A32" s="78" t="n">
        <f aca="false">IF(B32="","",ROW()-6)</f>
        <v>26</v>
      </c>
      <c r="B32" s="90" t="s">
        <v>193</v>
      </c>
      <c r="C32" s="91" t="n">
        <v>852404000882</v>
      </c>
      <c r="D32" s="91" t="n">
        <v>924044051</v>
      </c>
      <c r="E32" s="80" t="n">
        <v>50</v>
      </c>
      <c r="F32" s="92" t="n">
        <v>12.21</v>
      </c>
      <c r="G32" s="79" t="s">
        <v>605</v>
      </c>
      <c r="H32" s="82"/>
      <c r="I32" s="93" t="str">
        <f aca="false">IF(B32="","",IFERROR(INDEX('CARNET DE SOUDURE'!$B$7:$B$1506,MATCH(B32,'CARNET DE SOUDURE'!$K$7:$K$1506,0)),IFERROR(INDEX('CARNET DE SOUDURE'!$B$7:$B$1506,MATCH(B32,'CARNET DE SOUDURE'!$M$7:$M$1506,0)),"")))</f>
        <v>TFT 716 → TL7-MMFW2</v>
      </c>
      <c r="J32" s="78" t="str">
        <f aca="false">IF(B32="","",IFERROR(INDEX('CARNET DE SOUDURE'!$E$7:$E$1506,MATCH(B32,'CARNET DE SOUDURE'!$M$7:$M$1506,0)),""))</f>
        <v>JN°032</v>
      </c>
      <c r="K32" s="78" t="str">
        <f aca="false">IF(B32="","",IFERROR(INDEX('CARNET DE SOUDURE'!$E$7:$E$1506,MATCH(B32,'CARNET DE SOUDURE'!$K$7:$K$1506,0)),""))</f>
        <v>JN°033</v>
      </c>
      <c r="L32" s="78" t="str">
        <f aca="false">IF(B32="","",IFERROR(INDEX('CARNET DE SOUDURE'!$D$7:$D$1506,MATCH(B32,'CARNET DE SOUDURE'!$K$7:$K$1506,0)),IFERROR(INDEX('CARNET DE SOUDURE'!$D$7:$D$1506,MATCH(B32,'CARNET DE SOUDURE'!$M$7:$M$1506,0)),"")))</f>
        <v>0.00</v>
      </c>
      <c r="M32" s="81" t="str">
        <f aca="false">IF(B32="","",IF(OR(J32&lt;&gt;"",K32&lt;&gt;""),"POSÉ EN LIGNE",IF(H32&lt;&gt;"","BARDÉ","EN STOCK")))</f>
        <v>POSÉ EN LIGNE</v>
      </c>
      <c r="N32" s="79"/>
    </row>
    <row r="33" customFormat="false" ht="15" hidden="false" customHeight="false" outlineLevel="0" collapsed="false">
      <c r="A33" s="78" t="n">
        <f aca="false">IF(B33="","",ROW()-6)</f>
        <v>27</v>
      </c>
      <c r="B33" s="90" t="s">
        <v>203</v>
      </c>
      <c r="C33" s="91" t="n">
        <v>852405000610</v>
      </c>
      <c r="D33" s="91" t="n">
        <v>924044052</v>
      </c>
      <c r="E33" s="80" t="n">
        <v>52</v>
      </c>
      <c r="F33" s="92" t="n">
        <v>12.23</v>
      </c>
      <c r="G33" s="79" t="s">
        <v>605</v>
      </c>
      <c r="H33" s="82"/>
      <c r="I33" s="93" t="str">
        <f aca="false">IF(B33="","",IFERROR(INDEX('CARNET DE SOUDURE'!$B$7:$B$1506,MATCH(B33,'CARNET DE SOUDURE'!$K$7:$K$1506,0)),IFERROR(INDEX('CARNET DE SOUDURE'!$B$7:$B$1506,MATCH(B33,'CARNET DE SOUDURE'!$M$7:$M$1506,0)),"")))</f>
        <v>TFT 716 → TL7-MMFW2</v>
      </c>
      <c r="J33" s="78" t="str">
        <f aca="false">IF(B33="","",IFERROR(INDEX('CARNET DE SOUDURE'!$E$7:$E$1506,MATCH(B33,'CARNET DE SOUDURE'!$M$7:$M$1506,0)),""))</f>
        <v>JN°036</v>
      </c>
      <c r="K33" s="78" t="str">
        <f aca="false">IF(B33="","",IFERROR(INDEX('CARNET DE SOUDURE'!$E$7:$E$1506,MATCH(B33,'CARNET DE SOUDURE'!$K$7:$K$1506,0)),""))</f>
        <v/>
      </c>
      <c r="L33" s="78" t="str">
        <f aca="false">IF(B33="","",IFERROR(INDEX('CARNET DE SOUDURE'!$D$7:$D$1506,MATCH(B33,'CARNET DE SOUDURE'!$K$7:$K$1506,0)),IFERROR(INDEX('CARNET DE SOUDURE'!$D$7:$D$1506,MATCH(B33,'CARNET DE SOUDURE'!$M$7:$M$1506,0)),"")))</f>
        <v>0.00</v>
      </c>
      <c r="M33" s="81" t="str">
        <f aca="false">IF(B33="","",IF(OR(J33&lt;&gt;"",K33&lt;&gt;""),"POSÉ EN LIGNE",IF(H33&lt;&gt;"","BARDÉ","EN STOCK")))</f>
        <v>POSÉ EN LIGNE</v>
      </c>
      <c r="N33" s="79"/>
    </row>
    <row r="34" customFormat="false" ht="15" hidden="false" customHeight="false" outlineLevel="0" collapsed="false">
      <c r="A34" s="78" t="n">
        <f aca="false">IF(B34="","",ROW()-6)</f>
        <v>28</v>
      </c>
      <c r="B34" s="90" t="s">
        <v>274</v>
      </c>
      <c r="C34" s="91" t="n">
        <v>852405000610</v>
      </c>
      <c r="D34" s="91" t="n">
        <v>924044052</v>
      </c>
      <c r="E34" s="80" t="n">
        <v>53</v>
      </c>
      <c r="F34" s="92" t="n">
        <v>12.22</v>
      </c>
      <c r="G34" s="79" t="s">
        <v>605</v>
      </c>
      <c r="H34" s="82"/>
      <c r="I34" s="93" t="str">
        <f aca="false">IF(B34="","",IFERROR(INDEX('CARNET DE SOUDURE'!$B$7:$B$1506,MATCH(B34,'CARNET DE SOUDURE'!$K$7:$K$1506,0)),IFERROR(INDEX('CARNET DE SOUDURE'!$B$7:$B$1506,MATCH(B34,'CARNET DE SOUDURE'!$M$7:$M$1506,0)),"")))</f>
        <v>TFT 716 → TL7-MMFW2</v>
      </c>
      <c r="J34" s="78" t="str">
        <f aca="false">IF(B34="","",IFERROR(INDEX('CARNET DE SOUDURE'!$E$7:$E$1506,MATCH(B34,'CARNET DE SOUDURE'!$M$7:$M$1506,0)),""))</f>
        <v>JN°067</v>
      </c>
      <c r="K34" s="78" t="str">
        <f aca="false">IF(B34="","",IFERROR(INDEX('CARNET DE SOUDURE'!$E$7:$E$1506,MATCH(B34,'CARNET DE SOUDURE'!$K$7:$K$1506,0)),""))</f>
        <v>JN°068</v>
      </c>
      <c r="L34" s="78" t="str">
        <f aca="false">IF(B34="","",IFERROR(INDEX('CARNET DE SOUDURE'!$D$7:$D$1506,MATCH(B34,'CARNET DE SOUDURE'!$K$7:$K$1506,0)),IFERROR(INDEX('CARNET DE SOUDURE'!$D$7:$D$1506,MATCH(B34,'CARNET DE SOUDURE'!$M$7:$M$1506,0)),"")))</f>
        <v>0.00</v>
      </c>
      <c r="M34" s="81" t="str">
        <f aca="false">IF(B34="","",IF(OR(J34&lt;&gt;"",K34&lt;&gt;""),"POSÉ EN LIGNE",IF(H34&lt;&gt;"","BARDÉ","EN STOCK")))</f>
        <v>POSÉ EN LIGNE</v>
      </c>
      <c r="N34" s="79"/>
    </row>
    <row r="35" customFormat="false" ht="15" hidden="false" customHeight="false" outlineLevel="0" collapsed="false">
      <c r="A35" s="78" t="n">
        <f aca="false">IF(B35="","",ROW()-6)</f>
        <v>29</v>
      </c>
      <c r="B35" s="90" t="s">
        <v>164</v>
      </c>
      <c r="C35" s="91" t="n">
        <v>852405000610</v>
      </c>
      <c r="D35" s="91" t="n">
        <v>924044052</v>
      </c>
      <c r="E35" s="80" t="n">
        <v>54</v>
      </c>
      <c r="F35" s="92" t="n">
        <v>12.22</v>
      </c>
      <c r="G35" s="79" t="s">
        <v>605</v>
      </c>
      <c r="H35" s="82"/>
      <c r="I35" s="93" t="str">
        <f aca="false">IF(B35="","",IFERROR(INDEX('CARNET DE SOUDURE'!$B$7:$B$1506,MATCH(B35,'CARNET DE SOUDURE'!$K$7:$K$1506,0)),IFERROR(INDEX('CARNET DE SOUDURE'!$B$7:$B$1506,MATCH(B35,'CARNET DE SOUDURE'!$M$7:$M$1506,0)),"")))</f>
        <v>TFT 716 → TL7-MMFW2</v>
      </c>
      <c r="J35" s="78" t="str">
        <f aca="false">IF(B35="","",IFERROR(INDEX('CARNET DE SOUDURE'!$E$7:$E$1506,MATCH(B35,'CARNET DE SOUDURE'!$M$7:$M$1506,0)),""))</f>
        <v>JN°020</v>
      </c>
      <c r="K35" s="78" t="str">
        <f aca="false">IF(B35="","",IFERROR(INDEX('CARNET DE SOUDURE'!$E$7:$E$1506,MATCH(B35,'CARNET DE SOUDURE'!$K$7:$K$1506,0)),""))</f>
        <v>JN°021Racc</v>
      </c>
      <c r="L35" s="78" t="str">
        <f aca="false">IF(B35="","",IFERROR(INDEX('CARNET DE SOUDURE'!$D$7:$D$1506,MATCH(B35,'CARNET DE SOUDURE'!$K$7:$K$1506,0)),IFERROR(INDEX('CARNET DE SOUDURE'!$D$7:$D$1506,MATCH(B35,'CARNET DE SOUDURE'!$M$7:$M$1506,0)),"")))</f>
        <v>0.00</v>
      </c>
      <c r="M35" s="81" t="str">
        <f aca="false">IF(B35="","",IF(OR(J35&lt;&gt;"",K35&lt;&gt;""),"POSÉ EN LIGNE",IF(H35&lt;&gt;"","BARDÉ","EN STOCK")))</f>
        <v>POSÉ EN LIGNE</v>
      </c>
      <c r="N35" s="79"/>
    </row>
    <row r="36" customFormat="false" ht="15" hidden="false" customHeight="false" outlineLevel="0" collapsed="false">
      <c r="A36" s="78" t="n">
        <f aca="false">IF(B36="","",ROW()-6)</f>
        <v>30</v>
      </c>
      <c r="B36" s="90" t="s">
        <v>173</v>
      </c>
      <c r="C36" s="91" t="n">
        <v>852405000610</v>
      </c>
      <c r="D36" s="91" t="n">
        <v>924044052</v>
      </c>
      <c r="E36" s="80" t="n">
        <v>55</v>
      </c>
      <c r="F36" s="92" t="n">
        <v>12.22</v>
      </c>
      <c r="G36" s="79" t="s">
        <v>605</v>
      </c>
      <c r="H36" s="82"/>
      <c r="I36" s="93" t="str">
        <f aca="false">IF(B36="","",IFERROR(INDEX('CARNET DE SOUDURE'!$B$7:$B$1506,MATCH(B36,'CARNET DE SOUDURE'!$K$7:$K$1506,0)),IFERROR(INDEX('CARNET DE SOUDURE'!$B$7:$B$1506,MATCH(B36,'CARNET DE SOUDURE'!$M$7:$M$1506,0)),"")))</f>
        <v>TFT 716 → TL7-MMFW2</v>
      </c>
      <c r="J36" s="78" t="str">
        <f aca="false">IF(B36="","",IFERROR(INDEX('CARNET DE SOUDURE'!$E$7:$E$1506,MATCH(B36,'CARNET DE SOUDURE'!$M$7:$M$1506,0)),""))</f>
        <v>JN°023</v>
      </c>
      <c r="K36" s="78" t="str">
        <f aca="false">IF(B36="","",IFERROR(INDEX('CARNET DE SOUDURE'!$E$7:$E$1506,MATCH(B36,'CARNET DE SOUDURE'!$K$7:$K$1506,0)),""))</f>
        <v>JN°024</v>
      </c>
      <c r="L36" s="78" t="str">
        <f aca="false">IF(B36="","",IFERROR(INDEX('CARNET DE SOUDURE'!$D$7:$D$1506,MATCH(B36,'CARNET DE SOUDURE'!$K$7:$K$1506,0)),IFERROR(INDEX('CARNET DE SOUDURE'!$D$7:$D$1506,MATCH(B36,'CARNET DE SOUDURE'!$M$7:$M$1506,0)),"")))</f>
        <v>0.00</v>
      </c>
      <c r="M36" s="81" t="str">
        <f aca="false">IF(B36="","",IF(OR(J36&lt;&gt;"",K36&lt;&gt;""),"POSÉ EN LIGNE",IF(H36&lt;&gt;"","BARDÉ","EN STOCK")))</f>
        <v>POSÉ EN LIGNE</v>
      </c>
      <c r="N36" s="79"/>
    </row>
    <row r="37" customFormat="false" ht="15" hidden="false" customHeight="false" outlineLevel="0" collapsed="false">
      <c r="A37" s="78" t="n">
        <f aca="false">IF(B37="","",ROW()-6)</f>
        <v>31</v>
      </c>
      <c r="B37" s="90" t="s">
        <v>200</v>
      </c>
      <c r="C37" s="91" t="n">
        <v>852405000610</v>
      </c>
      <c r="D37" s="91" t="n">
        <v>924043057</v>
      </c>
      <c r="E37" s="80" t="n">
        <v>56</v>
      </c>
      <c r="F37" s="92" t="n">
        <v>12.22</v>
      </c>
      <c r="G37" s="79" t="s">
        <v>605</v>
      </c>
      <c r="H37" s="82"/>
      <c r="I37" s="93" t="str">
        <f aca="false">IF(B37="","",IFERROR(INDEX('CARNET DE SOUDURE'!$B$7:$B$1506,MATCH(B37,'CARNET DE SOUDURE'!$K$7:$K$1506,0)),IFERROR(INDEX('CARNET DE SOUDURE'!$B$7:$B$1506,MATCH(B37,'CARNET DE SOUDURE'!$M$7:$M$1506,0)),"")))</f>
        <v>TFT 716 → TL7-MMFW2</v>
      </c>
      <c r="J37" s="78" t="str">
        <f aca="false">IF(B37="","",IFERROR(INDEX('CARNET DE SOUDURE'!$E$7:$E$1506,MATCH(B37,'CARNET DE SOUDURE'!$M$7:$M$1506,0)),""))</f>
        <v>JN°035</v>
      </c>
      <c r="K37" s="78" t="str">
        <f aca="false">IF(B37="","",IFERROR(INDEX('CARNET DE SOUDURE'!$E$7:$E$1506,MATCH(B37,'CARNET DE SOUDURE'!$K$7:$K$1506,0)),""))</f>
        <v>JN°036</v>
      </c>
      <c r="L37" s="78" t="str">
        <f aca="false">IF(B37="","",IFERROR(INDEX('CARNET DE SOUDURE'!$D$7:$D$1506,MATCH(B37,'CARNET DE SOUDURE'!$K$7:$K$1506,0)),IFERROR(INDEX('CARNET DE SOUDURE'!$D$7:$D$1506,MATCH(B37,'CARNET DE SOUDURE'!$M$7:$M$1506,0)),"")))</f>
        <v>0.00</v>
      </c>
      <c r="M37" s="81" t="str">
        <f aca="false">IF(B37="","",IF(OR(J37&lt;&gt;"",K37&lt;&gt;""),"POSÉ EN LIGNE",IF(H37&lt;&gt;"","BARDÉ","EN STOCK")))</f>
        <v>POSÉ EN LIGNE</v>
      </c>
      <c r="N37" s="79"/>
    </row>
    <row r="38" customFormat="false" ht="15" hidden="false" customHeight="false" outlineLevel="0" collapsed="false">
      <c r="A38" s="78" t="n">
        <f aca="false">IF(B38="","",ROW()-6)</f>
        <v>32</v>
      </c>
      <c r="B38" s="90" t="s">
        <v>606</v>
      </c>
      <c r="C38" s="91" t="n">
        <v>852405000610</v>
      </c>
      <c r="D38" s="91" t="n">
        <v>924043057</v>
      </c>
      <c r="E38" s="80" t="n">
        <v>57</v>
      </c>
      <c r="F38" s="92" t="n">
        <v>12.21</v>
      </c>
      <c r="G38" s="79" t="s">
        <v>605</v>
      </c>
      <c r="H38" s="82"/>
      <c r="I38" s="93" t="str">
        <f aca="false">IF(B38="","",IFERROR(INDEX('CARNET DE SOUDURE'!$B$7:$B$1506,MATCH(B38,'CARNET DE SOUDURE'!$K$7:$K$1506,0)),IFERROR(INDEX('CARNET DE SOUDURE'!$B$7:$B$1506,MATCH(B38,'CARNET DE SOUDURE'!$M$7:$M$1506,0)),"")))</f>
        <v/>
      </c>
      <c r="J38" s="78" t="str">
        <f aca="false">IF(B38="","",IFERROR(INDEX('CARNET DE SOUDURE'!$E$7:$E$1506,MATCH(B38,'CARNET DE SOUDURE'!$M$7:$M$1506,0)),""))</f>
        <v/>
      </c>
      <c r="K38" s="78" t="str">
        <f aca="false">IF(B38="","",IFERROR(INDEX('CARNET DE SOUDURE'!$E$7:$E$1506,MATCH(B38,'CARNET DE SOUDURE'!$K$7:$K$1506,0)),""))</f>
        <v/>
      </c>
      <c r="L38" s="78" t="str">
        <f aca="false">IF(B38="","",IFERROR(INDEX('CARNET DE SOUDURE'!$D$7:$D$1506,MATCH(B38,'CARNET DE SOUDURE'!$K$7:$K$1506,0)),IFERROR(INDEX('CARNET DE SOUDURE'!$D$7:$D$1506,MATCH(B38,'CARNET DE SOUDURE'!$M$7:$M$1506,0)),"")))</f>
        <v/>
      </c>
      <c r="M38" s="81" t="str">
        <f aca="false">IF(B38="","",IF(OR(J38&lt;&gt;"",K38&lt;&gt;""),"POSÉ EN LIGNE",IF(H38&lt;&gt;"","BARDÉ","EN STOCK")))</f>
        <v>EN STOCK</v>
      </c>
      <c r="N38" s="79"/>
    </row>
    <row r="39" customFormat="false" ht="15" hidden="false" customHeight="false" outlineLevel="0" collapsed="false">
      <c r="A39" s="78" t="n">
        <f aca="false">IF(B39="","",ROW()-6)</f>
        <v>33</v>
      </c>
      <c r="B39" s="90" t="s">
        <v>183</v>
      </c>
      <c r="C39" s="91" t="n">
        <v>852405000610</v>
      </c>
      <c r="D39" s="91" t="n">
        <v>924043057</v>
      </c>
      <c r="E39" s="80" t="n">
        <v>58</v>
      </c>
      <c r="F39" s="92" t="n">
        <v>12.22</v>
      </c>
      <c r="G39" s="79" t="s">
        <v>605</v>
      </c>
      <c r="H39" s="82"/>
      <c r="I39" s="93" t="str">
        <f aca="false">IF(B39="","",IFERROR(INDEX('CARNET DE SOUDURE'!$B$7:$B$1506,MATCH(B39,'CARNET DE SOUDURE'!$K$7:$K$1506,0)),IFERROR(INDEX('CARNET DE SOUDURE'!$B$7:$B$1506,MATCH(B39,'CARNET DE SOUDURE'!$M$7:$M$1506,0)),"")))</f>
        <v>TFT 716 → TL7-MMFW2</v>
      </c>
      <c r="J39" s="78" t="str">
        <f aca="false">IF(B39="","",IFERROR(INDEX('CARNET DE SOUDURE'!$E$7:$E$1506,MATCH(B39,'CARNET DE SOUDURE'!$M$7:$M$1506,0)),""))</f>
        <v>JN°028</v>
      </c>
      <c r="K39" s="78" t="str">
        <f aca="false">IF(B39="","",IFERROR(INDEX('CARNET DE SOUDURE'!$E$7:$E$1506,MATCH(B39,'CARNET DE SOUDURE'!$K$7:$K$1506,0)),""))</f>
        <v>JN°029</v>
      </c>
      <c r="L39" s="78" t="str">
        <f aca="false">IF(B39="","",IFERROR(INDEX('CARNET DE SOUDURE'!$D$7:$D$1506,MATCH(B39,'CARNET DE SOUDURE'!$K$7:$K$1506,0)),IFERROR(INDEX('CARNET DE SOUDURE'!$D$7:$D$1506,MATCH(B39,'CARNET DE SOUDURE'!$M$7:$M$1506,0)),"")))</f>
        <v>0.00</v>
      </c>
      <c r="M39" s="81" t="str">
        <f aca="false">IF(B39="","",IF(OR(J39&lt;&gt;"",K39&lt;&gt;""),"POSÉ EN LIGNE",IF(H39&lt;&gt;"","BARDÉ","EN STOCK")))</f>
        <v>POSÉ EN LIGNE</v>
      </c>
      <c r="N39" s="79"/>
    </row>
    <row r="40" customFormat="false" ht="15" hidden="false" customHeight="false" outlineLevel="0" collapsed="false">
      <c r="A40" s="78" t="n">
        <f aca="false">IF(B40="","",ROW()-6)</f>
        <v>34</v>
      </c>
      <c r="B40" s="90" t="s">
        <v>160</v>
      </c>
      <c r="C40" s="91" t="n">
        <v>852405000610</v>
      </c>
      <c r="D40" s="91" t="n">
        <v>924043057</v>
      </c>
      <c r="E40" s="80" t="n">
        <v>59</v>
      </c>
      <c r="F40" s="92" t="n">
        <v>12.22</v>
      </c>
      <c r="G40" s="79" t="s">
        <v>605</v>
      </c>
      <c r="H40" s="82"/>
      <c r="I40" s="93" t="str">
        <f aca="false">IF(B40="","",IFERROR(INDEX('CARNET DE SOUDURE'!$B$7:$B$1506,MATCH(B40,'CARNET DE SOUDURE'!$K$7:$K$1506,0)),IFERROR(INDEX('CARNET DE SOUDURE'!$B$7:$B$1506,MATCH(B40,'CARNET DE SOUDURE'!$M$7:$M$1506,0)),"")))</f>
        <v>TFT 716 → TL7-MMFW2</v>
      </c>
      <c r="J40" s="78" t="str">
        <f aca="false">IF(B40="","",IFERROR(INDEX('CARNET DE SOUDURE'!$E$7:$E$1506,MATCH(B40,'CARNET DE SOUDURE'!$M$7:$M$1506,0)),""))</f>
        <v>JN°019A</v>
      </c>
      <c r="K40" s="78" t="str">
        <f aca="false">IF(B40="","",IFERROR(INDEX('CARNET DE SOUDURE'!$E$7:$E$1506,MATCH(B40,'CARNET DE SOUDURE'!$K$7:$K$1506,0)),""))</f>
        <v>JN°020</v>
      </c>
      <c r="L40" s="78" t="str">
        <f aca="false">IF(B40="","",IFERROR(INDEX('CARNET DE SOUDURE'!$D$7:$D$1506,MATCH(B40,'CARNET DE SOUDURE'!$K$7:$K$1506,0)),IFERROR(INDEX('CARNET DE SOUDURE'!$D$7:$D$1506,MATCH(B40,'CARNET DE SOUDURE'!$M$7:$M$1506,0)),"")))</f>
        <v>0.00</v>
      </c>
      <c r="M40" s="81" t="str">
        <f aca="false">IF(B40="","",IF(OR(J40&lt;&gt;"",K40&lt;&gt;""),"POSÉ EN LIGNE",IF(H40&lt;&gt;"","BARDÉ","EN STOCK")))</f>
        <v>POSÉ EN LIGNE</v>
      </c>
      <c r="N40" s="79"/>
    </row>
    <row r="41" customFormat="false" ht="15" hidden="false" customHeight="false" outlineLevel="0" collapsed="false">
      <c r="A41" s="78" t="n">
        <f aca="false">IF(B41="","",ROW()-6)</f>
        <v>35</v>
      </c>
      <c r="B41" s="90" t="s">
        <v>177</v>
      </c>
      <c r="C41" s="91" t="n">
        <v>852405000610</v>
      </c>
      <c r="D41" s="91" t="n">
        <v>924043057</v>
      </c>
      <c r="E41" s="80" t="n">
        <v>60</v>
      </c>
      <c r="F41" s="92" t="n">
        <v>12.22</v>
      </c>
      <c r="G41" s="79" t="s">
        <v>605</v>
      </c>
      <c r="H41" s="82"/>
      <c r="I41" s="93" t="str">
        <f aca="false">IF(B41="","",IFERROR(INDEX('CARNET DE SOUDURE'!$B$7:$B$1506,MATCH(B41,'CARNET DE SOUDURE'!$K$7:$K$1506,0)),IFERROR(INDEX('CARNET DE SOUDURE'!$B$7:$B$1506,MATCH(B41,'CARNET DE SOUDURE'!$M$7:$M$1506,0)),"")))</f>
        <v>TFT 716 → TL7-MMFW2</v>
      </c>
      <c r="J41" s="78" t="str">
        <f aca="false">IF(B41="","",IFERROR(INDEX('CARNET DE SOUDURE'!$E$7:$E$1506,MATCH(B41,'CARNET DE SOUDURE'!$M$7:$M$1506,0)),""))</f>
        <v>JN°025</v>
      </c>
      <c r="K41" s="78" t="str">
        <f aca="false">IF(B41="","",IFERROR(INDEX('CARNET DE SOUDURE'!$E$7:$E$1506,MATCH(B41,'CARNET DE SOUDURE'!$K$7:$K$1506,0)),""))</f>
        <v>JN°026</v>
      </c>
      <c r="L41" s="78" t="str">
        <f aca="false">IF(B41="","",IFERROR(INDEX('CARNET DE SOUDURE'!$D$7:$D$1506,MATCH(B41,'CARNET DE SOUDURE'!$K$7:$K$1506,0)),IFERROR(INDEX('CARNET DE SOUDURE'!$D$7:$D$1506,MATCH(B41,'CARNET DE SOUDURE'!$M$7:$M$1506,0)),"")))</f>
        <v>0.00</v>
      </c>
      <c r="M41" s="81" t="str">
        <f aca="false">IF(B41="","",IF(OR(J41&lt;&gt;"",K41&lt;&gt;""),"POSÉ EN LIGNE",IF(H41&lt;&gt;"","BARDÉ","EN STOCK")))</f>
        <v>POSÉ EN LIGNE</v>
      </c>
      <c r="N41" s="79"/>
    </row>
    <row r="42" customFormat="false" ht="22.35" hidden="false" customHeight="false" outlineLevel="0" collapsed="false">
      <c r="A42" s="78" t="n">
        <f aca="false">IF(B42="","",ROW()-6)</f>
        <v>36</v>
      </c>
      <c r="B42" s="90" t="s">
        <v>607</v>
      </c>
      <c r="C42" s="91" t="s">
        <v>608</v>
      </c>
      <c r="D42" s="91" t="s">
        <v>609</v>
      </c>
      <c r="E42" s="80" t="s">
        <v>610</v>
      </c>
      <c r="F42" s="92" t="s">
        <v>611</v>
      </c>
      <c r="G42" s="79" t="s">
        <v>612</v>
      </c>
      <c r="H42" s="82"/>
      <c r="I42" s="93" t="str">
        <f aca="false">IF(B42="","",IFERROR(INDEX('CARNET DE SOUDURE'!$B$7:$B$1506,MATCH(B42,'CARNET DE SOUDURE'!$K$7:$K$1506,0)),IFERROR(INDEX('CARNET DE SOUDURE'!$B$7:$B$1506,MATCH(B42,'CARNET DE SOUDURE'!$M$7:$M$1506,0)),"")))</f>
        <v/>
      </c>
      <c r="J42" s="78" t="str">
        <f aca="false">IF(B42="","",IFERROR(INDEX('CARNET DE SOUDURE'!$E$7:$E$1506,MATCH(B42,'CARNET DE SOUDURE'!$M$7:$M$1506,0)),""))</f>
        <v/>
      </c>
      <c r="K42" s="78" t="str">
        <f aca="false">IF(B42="","",IFERROR(INDEX('CARNET DE SOUDURE'!$E$7:$E$1506,MATCH(B42,'CARNET DE SOUDURE'!$K$7:$K$1506,0)),""))</f>
        <v/>
      </c>
      <c r="L42" s="78" t="str">
        <f aca="false">IF(B42="","",IFERROR(INDEX('CARNET DE SOUDURE'!$D$7:$D$1506,MATCH(B42,'CARNET DE SOUDURE'!$K$7:$K$1506,0)),IFERROR(INDEX('CARNET DE SOUDURE'!$D$7:$D$1506,MATCH(B42,'CARNET DE SOUDURE'!$M$7:$M$1506,0)),"")))</f>
        <v/>
      </c>
      <c r="M42" s="81" t="str">
        <f aca="false">IF(B42="","",IF(OR(J42&lt;&gt;"",K42&lt;&gt;""),"POSÉ EN LIGNE",IF(H42&lt;&gt;"","BARDÉ","EN STOCK")))</f>
        <v>EN STOCK</v>
      </c>
      <c r="N42" s="79"/>
    </row>
    <row r="43" customFormat="false" ht="15" hidden="false" customHeight="false" outlineLevel="0" collapsed="false">
      <c r="A43" s="78" t="n">
        <f aca="false">IF(B43="","",ROW()-6)</f>
        <v>37</v>
      </c>
      <c r="B43" s="90" t="s">
        <v>377</v>
      </c>
      <c r="C43" s="91" t="n">
        <v>852405000449</v>
      </c>
      <c r="D43" s="91" t="n">
        <v>924054020</v>
      </c>
      <c r="E43" s="80" t="n">
        <v>7</v>
      </c>
      <c r="F43" s="92" t="n">
        <v>12.44</v>
      </c>
      <c r="G43" s="79" t="s">
        <v>605</v>
      </c>
      <c r="H43" s="82"/>
      <c r="I43" s="93" t="str">
        <f aca="false">IF(B43="","",IFERROR(INDEX('CARNET DE SOUDURE'!$B$7:$B$1506,MATCH(B43,'CARNET DE SOUDURE'!$K$7:$K$1506,0)),IFERROR(INDEX('CARNET DE SOUDURE'!$B$7:$B$1506,MATCH(B43,'CARNET DE SOUDURE'!$M$7:$M$1506,0)),"")))</f>
        <v>TFT 716 → TL7-MMFW2</v>
      </c>
      <c r="J43" s="78" t="str">
        <f aca="false">IF(B43="","",IFERROR(INDEX('CARNET DE SOUDURE'!$E$7:$E$1506,MATCH(B43,'CARNET DE SOUDURE'!$M$7:$M$1506,0)),""))</f>
        <v>JN°114</v>
      </c>
      <c r="K43" s="78" t="str">
        <f aca="false">IF(B43="","",IFERROR(INDEX('CARNET DE SOUDURE'!$E$7:$E$1506,MATCH(B43,'CARNET DE SOUDURE'!$K$7:$K$1506,0)),""))</f>
        <v>JN°115</v>
      </c>
      <c r="L43" s="78" t="str">
        <f aca="false">IF(B43="","",IFERROR(INDEX('CARNET DE SOUDURE'!$D$7:$D$1506,MATCH(B43,'CARNET DE SOUDURE'!$K$7:$K$1506,0)),IFERROR(INDEX('CARNET DE SOUDURE'!$D$7:$D$1506,MATCH(B43,'CARNET DE SOUDURE'!$M$7:$M$1506,0)),"")))</f>
        <v>1.00</v>
      </c>
      <c r="M43" s="81" t="str">
        <f aca="false">IF(B43="","",IF(OR(J43&lt;&gt;"",K43&lt;&gt;""),"POSÉ EN LIGNE",IF(H43&lt;&gt;"","BARDÉ","EN STOCK")))</f>
        <v>POSÉ EN LIGNE</v>
      </c>
      <c r="N43" s="79"/>
    </row>
    <row r="44" customFormat="false" ht="15" hidden="false" customHeight="false" outlineLevel="0" collapsed="false">
      <c r="A44" s="78" t="n">
        <f aca="false">IF(B44="","",ROW()-6)</f>
        <v>38</v>
      </c>
      <c r="B44" s="90" t="s">
        <v>360</v>
      </c>
      <c r="C44" s="91" t="n">
        <v>852405000576</v>
      </c>
      <c r="D44" s="91" t="n">
        <v>924054023</v>
      </c>
      <c r="E44" s="80" t="n">
        <v>13</v>
      </c>
      <c r="F44" s="92" t="n">
        <v>12.46</v>
      </c>
      <c r="G44" s="79" t="s">
        <v>605</v>
      </c>
      <c r="H44" s="82"/>
      <c r="I44" s="93" t="str">
        <f aca="false">IF(B44="","",IFERROR(INDEX('CARNET DE SOUDURE'!$B$7:$B$1506,MATCH(B44,'CARNET DE SOUDURE'!$K$7:$K$1506,0)),IFERROR(INDEX('CARNET DE SOUDURE'!$B$7:$B$1506,MATCH(B44,'CARNET DE SOUDURE'!$M$7:$M$1506,0)),"")))</f>
        <v>TFT 716 → TL7-MMFW2</v>
      </c>
      <c r="J44" s="78" t="str">
        <f aca="false">IF(B44="","",IFERROR(INDEX('CARNET DE SOUDURE'!$E$7:$E$1506,MATCH(B44,'CARNET DE SOUDURE'!$M$7:$M$1506,0)),""))</f>
        <v>JN°106</v>
      </c>
      <c r="K44" s="78" t="str">
        <f aca="false">IF(B44="","",IFERROR(INDEX('CARNET DE SOUDURE'!$E$7:$E$1506,MATCH(B44,'CARNET DE SOUDURE'!$K$7:$K$1506,0)),""))</f>
        <v>JN°107</v>
      </c>
      <c r="L44" s="78" t="str">
        <f aca="false">IF(B44="","",IFERROR(INDEX('CARNET DE SOUDURE'!$D$7:$D$1506,MATCH(B44,'CARNET DE SOUDURE'!$K$7:$K$1506,0)),IFERROR(INDEX('CARNET DE SOUDURE'!$D$7:$D$1506,MATCH(B44,'CARNET DE SOUDURE'!$M$7:$M$1506,0)),"")))</f>
        <v>1.00</v>
      </c>
      <c r="M44" s="81" t="str">
        <f aca="false">IF(B44="","",IF(OR(J44&lt;&gt;"",K44&lt;&gt;""),"POSÉ EN LIGNE",IF(H44&lt;&gt;"","BARDÉ","EN STOCK")))</f>
        <v>POSÉ EN LIGNE</v>
      </c>
      <c r="N44" s="79"/>
    </row>
    <row r="45" customFormat="false" ht="15" hidden="false" customHeight="false" outlineLevel="0" collapsed="false">
      <c r="A45" s="78" t="n">
        <f aca="false">IF(B45="","",ROW()-6)</f>
        <v>39</v>
      </c>
      <c r="B45" s="90" t="s">
        <v>351</v>
      </c>
      <c r="C45" s="91" t="n">
        <v>85240400216</v>
      </c>
      <c r="D45" s="91" t="n">
        <v>924043083</v>
      </c>
      <c r="E45" s="80" t="n">
        <v>14</v>
      </c>
      <c r="F45" s="92" t="n">
        <v>12.21</v>
      </c>
      <c r="G45" s="79" t="s">
        <v>605</v>
      </c>
      <c r="H45" s="82"/>
      <c r="I45" s="93" t="str">
        <f aca="false">IF(B45="","",IFERROR(INDEX('CARNET DE SOUDURE'!$B$7:$B$1506,MATCH(B45,'CARNET DE SOUDURE'!$K$7:$K$1506,0)),IFERROR(INDEX('CARNET DE SOUDURE'!$B$7:$B$1506,MATCH(B45,'CARNET DE SOUDURE'!$M$7:$M$1506,0)),"")))</f>
        <v>TFT 716 → TL7-MMFW2</v>
      </c>
      <c r="J45" s="78" t="str">
        <f aca="false">IF(B45="","",IFERROR(INDEX('CARNET DE SOUDURE'!$E$7:$E$1506,MATCH(B45,'CARNET DE SOUDURE'!$M$7:$M$1506,0)),""))</f>
        <v>JN°102</v>
      </c>
      <c r="K45" s="78" t="str">
        <f aca="false">IF(B45="","",IFERROR(INDEX('CARNET DE SOUDURE'!$E$7:$E$1506,MATCH(B45,'CARNET DE SOUDURE'!$K$7:$K$1506,0)),""))</f>
        <v>JN°103</v>
      </c>
      <c r="L45" s="78" t="str">
        <f aca="false">IF(B45="","",IFERROR(INDEX('CARNET DE SOUDURE'!$D$7:$D$1506,MATCH(B45,'CARNET DE SOUDURE'!$K$7:$K$1506,0)),IFERROR(INDEX('CARNET DE SOUDURE'!$D$7:$D$1506,MATCH(B45,'CARNET DE SOUDURE'!$M$7:$M$1506,0)),"")))</f>
        <v>1.00</v>
      </c>
      <c r="M45" s="81" t="str">
        <f aca="false">IF(B45="","",IF(OR(J45&lt;&gt;"",K45&lt;&gt;""),"POSÉ EN LIGNE",IF(H45&lt;&gt;"","BARDÉ","EN STOCK")))</f>
        <v>POSÉ EN LIGNE</v>
      </c>
      <c r="N45" s="79"/>
    </row>
    <row r="46" customFormat="false" ht="15" hidden="false" customHeight="false" outlineLevel="0" collapsed="false">
      <c r="A46" s="78" t="n">
        <f aca="false">IF(B46="","",ROW()-6)</f>
        <v>40</v>
      </c>
      <c r="B46" s="90" t="s">
        <v>364</v>
      </c>
      <c r="C46" s="91" t="n">
        <v>24102487</v>
      </c>
      <c r="D46" s="91" t="n">
        <v>924054023</v>
      </c>
      <c r="E46" s="80" t="n">
        <v>90</v>
      </c>
      <c r="F46" s="92" t="n">
        <v>12.46</v>
      </c>
      <c r="G46" s="79" t="s">
        <v>605</v>
      </c>
      <c r="H46" s="82"/>
      <c r="I46" s="93" t="str">
        <f aca="false">IF(B46="","",IFERROR(INDEX('CARNET DE SOUDURE'!$B$7:$B$1506,MATCH(B46,'CARNET DE SOUDURE'!$K$7:$K$1506,0)),IFERROR(INDEX('CARNET DE SOUDURE'!$B$7:$B$1506,MATCH(B46,'CARNET DE SOUDURE'!$M$7:$M$1506,0)),"")))</f>
        <v>TFT 716 → TL7-MMFW2</v>
      </c>
      <c r="J46" s="78" t="str">
        <f aca="false">IF(B46="","",IFERROR(INDEX('CARNET DE SOUDURE'!$E$7:$E$1506,MATCH(B46,'CARNET DE SOUDURE'!$M$7:$M$1506,0)),""))</f>
        <v>JN°108</v>
      </c>
      <c r="K46" s="78" t="str">
        <f aca="false">IF(B46="","",IFERROR(INDEX('CARNET DE SOUDURE'!$E$7:$E$1506,MATCH(B46,'CARNET DE SOUDURE'!$K$7:$K$1506,0)),""))</f>
        <v>JN°109</v>
      </c>
      <c r="L46" s="78" t="str">
        <f aca="false">IF(B46="","",IFERROR(INDEX('CARNET DE SOUDURE'!$D$7:$D$1506,MATCH(B46,'CARNET DE SOUDURE'!$K$7:$K$1506,0)),IFERROR(INDEX('CARNET DE SOUDURE'!$D$7:$D$1506,MATCH(B46,'CARNET DE SOUDURE'!$M$7:$M$1506,0)),"")))</f>
        <v>1.00</v>
      </c>
      <c r="M46" s="81" t="str">
        <f aca="false">IF(B46="","",IF(OR(J46&lt;&gt;"",K46&lt;&gt;""),"POSÉ EN LIGNE",IF(H46&lt;&gt;"","BARDÉ","EN STOCK")))</f>
        <v>POSÉ EN LIGNE</v>
      </c>
      <c r="N46" s="79"/>
    </row>
    <row r="47" customFormat="false" ht="15" hidden="false" customHeight="false" outlineLevel="0" collapsed="false">
      <c r="A47" s="78" t="n">
        <f aca="false">IF(B47="","",ROW()-6)</f>
        <v>41</v>
      </c>
      <c r="B47" s="90" t="s">
        <v>339</v>
      </c>
      <c r="C47" s="91" t="n">
        <v>24102489</v>
      </c>
      <c r="D47" s="91" t="n">
        <v>924054026</v>
      </c>
      <c r="E47" s="80" t="n">
        <v>92</v>
      </c>
      <c r="F47" s="92" t="n">
        <v>12.45</v>
      </c>
      <c r="G47" s="79" t="s">
        <v>605</v>
      </c>
      <c r="H47" s="82"/>
      <c r="I47" s="93" t="str">
        <f aca="false">IF(B47="","",IFERROR(INDEX('CARNET DE SOUDURE'!$B$7:$B$1506,MATCH(B47,'CARNET DE SOUDURE'!$K$7:$K$1506,0)),IFERROR(INDEX('CARNET DE SOUDURE'!$B$7:$B$1506,MATCH(B47,'CARNET DE SOUDURE'!$M$7:$M$1506,0)),"")))</f>
        <v>TFT 716 → TL7-MMFW2</v>
      </c>
      <c r="J47" s="78" t="str">
        <f aca="false">IF(B47="","",IFERROR(INDEX('CARNET DE SOUDURE'!$E$7:$E$1506,MATCH(B47,'CARNET DE SOUDURE'!$M$7:$M$1506,0)),""))</f>
        <v>JN°097</v>
      </c>
      <c r="K47" s="78" t="str">
        <f aca="false">IF(B47="","",IFERROR(INDEX('CARNET DE SOUDURE'!$E$7:$E$1506,MATCH(B47,'CARNET DE SOUDURE'!$K$7:$K$1506,0)),""))</f>
        <v>JN°098</v>
      </c>
      <c r="L47" s="78" t="str">
        <f aca="false">IF(B47="","",IFERROR(INDEX('CARNET DE SOUDURE'!$D$7:$D$1506,MATCH(B47,'CARNET DE SOUDURE'!$K$7:$K$1506,0)),IFERROR(INDEX('CARNET DE SOUDURE'!$D$7:$D$1506,MATCH(B47,'CARNET DE SOUDURE'!$M$7:$M$1506,0)),"")))</f>
        <v>1.00</v>
      </c>
      <c r="M47" s="81" t="str">
        <f aca="false">IF(B47="","",IF(OR(J47&lt;&gt;"",K47&lt;&gt;""),"POSÉ EN LIGNE",IF(H47&lt;&gt;"","BARDÉ","EN STOCK")))</f>
        <v>POSÉ EN LIGNE</v>
      </c>
      <c r="N47" s="79"/>
    </row>
    <row r="48" customFormat="false" ht="15" hidden="false" customHeight="false" outlineLevel="0" collapsed="false">
      <c r="A48" s="78" t="n">
        <f aca="false">IF(B48="","",ROW()-6)</f>
        <v>42</v>
      </c>
      <c r="B48" s="90" t="s">
        <v>368</v>
      </c>
      <c r="C48" s="91" t="n">
        <v>24102489</v>
      </c>
      <c r="D48" s="91" t="n">
        <v>924054026</v>
      </c>
      <c r="E48" s="80" t="n">
        <v>93</v>
      </c>
      <c r="F48" s="92" t="n">
        <v>12.15</v>
      </c>
      <c r="G48" s="79" t="s">
        <v>605</v>
      </c>
      <c r="H48" s="82"/>
      <c r="I48" s="93" t="str">
        <f aca="false">IF(B48="","",IFERROR(INDEX('CARNET DE SOUDURE'!$B$7:$B$1506,MATCH(B48,'CARNET DE SOUDURE'!$K$7:$K$1506,0)),IFERROR(INDEX('CARNET DE SOUDURE'!$B$7:$B$1506,MATCH(B48,'CARNET DE SOUDURE'!$M$7:$M$1506,0)),"")))</f>
        <v>TFT 716 → TL7-MMFW2</v>
      </c>
      <c r="J48" s="78" t="str">
        <f aca="false">IF(B48="","",IFERROR(INDEX('CARNET DE SOUDURE'!$E$7:$E$1506,MATCH(B48,'CARNET DE SOUDURE'!$M$7:$M$1506,0)),""))</f>
        <v>JN°110</v>
      </c>
      <c r="K48" s="78" t="str">
        <f aca="false">IF(B48="","",IFERROR(INDEX('CARNET DE SOUDURE'!$E$7:$E$1506,MATCH(B48,'CARNET DE SOUDURE'!$K$7:$K$1506,0)),""))</f>
        <v>JN°111</v>
      </c>
      <c r="L48" s="78" t="str">
        <f aca="false">IF(B48="","",IFERROR(INDEX('CARNET DE SOUDURE'!$D$7:$D$1506,MATCH(B48,'CARNET DE SOUDURE'!$K$7:$K$1506,0)),IFERROR(INDEX('CARNET DE SOUDURE'!$D$7:$D$1506,MATCH(B48,'CARNET DE SOUDURE'!$M$7:$M$1506,0)),"")))</f>
        <v>1.00</v>
      </c>
      <c r="M48" s="81" t="str">
        <f aca="false">IF(B48="","",IF(OR(J48&lt;&gt;"",K48&lt;&gt;""),"POSÉ EN LIGNE",IF(H48&lt;&gt;"","BARDÉ","EN STOCK")))</f>
        <v>POSÉ EN LIGNE</v>
      </c>
      <c r="N48" s="79"/>
    </row>
    <row r="49" customFormat="false" ht="15" hidden="false" customHeight="false" outlineLevel="0" collapsed="false">
      <c r="A49" s="78" t="n">
        <f aca="false">IF(B49="","",ROW()-6)</f>
        <v>43</v>
      </c>
      <c r="B49" s="90" t="s">
        <v>362</v>
      </c>
      <c r="C49" s="91" t="n">
        <v>24102489</v>
      </c>
      <c r="D49" s="91" t="n">
        <v>924054026</v>
      </c>
      <c r="E49" s="80" t="n">
        <v>94</v>
      </c>
      <c r="F49" s="92" t="n">
        <v>12.17</v>
      </c>
      <c r="G49" s="79" t="s">
        <v>605</v>
      </c>
      <c r="H49" s="82"/>
      <c r="I49" s="93" t="str">
        <f aca="false">IF(B49="","",IFERROR(INDEX('CARNET DE SOUDURE'!$B$7:$B$1506,MATCH(B49,'CARNET DE SOUDURE'!$K$7:$K$1506,0)),IFERROR(INDEX('CARNET DE SOUDURE'!$B$7:$B$1506,MATCH(B49,'CARNET DE SOUDURE'!$M$7:$M$1506,0)),"")))</f>
        <v>TFT 716 → TL7-MMFW2</v>
      </c>
      <c r="J49" s="78" t="str">
        <f aca="false">IF(B49="","",IFERROR(INDEX('CARNET DE SOUDURE'!$E$7:$E$1506,MATCH(B49,'CARNET DE SOUDURE'!$M$7:$M$1506,0)),""))</f>
        <v>JN°107</v>
      </c>
      <c r="K49" s="78" t="str">
        <f aca="false">IF(B49="","",IFERROR(INDEX('CARNET DE SOUDURE'!$E$7:$E$1506,MATCH(B49,'CARNET DE SOUDURE'!$K$7:$K$1506,0)),""))</f>
        <v>JN°108</v>
      </c>
      <c r="L49" s="78" t="str">
        <f aca="false">IF(B49="","",IFERROR(INDEX('CARNET DE SOUDURE'!$D$7:$D$1506,MATCH(B49,'CARNET DE SOUDURE'!$K$7:$K$1506,0)),IFERROR(INDEX('CARNET DE SOUDURE'!$D$7:$D$1506,MATCH(B49,'CARNET DE SOUDURE'!$M$7:$M$1506,0)),"")))</f>
        <v>1.00</v>
      </c>
      <c r="M49" s="81" t="str">
        <f aca="false">IF(B49="","",IF(OR(J49&lt;&gt;"",K49&lt;&gt;""),"POSÉ EN LIGNE",IF(H49&lt;&gt;"","BARDÉ","EN STOCK")))</f>
        <v>POSÉ EN LIGNE</v>
      </c>
      <c r="N49" s="79"/>
    </row>
    <row r="50" customFormat="false" ht="15" hidden="false" customHeight="false" outlineLevel="0" collapsed="false">
      <c r="A50" s="78" t="n">
        <f aca="false">IF(B50="","",ROW()-6)</f>
        <v>44</v>
      </c>
      <c r="B50" s="90" t="s">
        <v>370</v>
      </c>
      <c r="C50" s="91" t="n">
        <v>24102489</v>
      </c>
      <c r="D50" s="91" t="n">
        <v>924054026</v>
      </c>
      <c r="E50" s="80" t="n">
        <v>95</v>
      </c>
      <c r="F50" s="92" t="n">
        <v>12.39</v>
      </c>
      <c r="G50" s="79" t="s">
        <v>605</v>
      </c>
      <c r="H50" s="82"/>
      <c r="I50" s="93" t="str">
        <f aca="false">IF(B50="","",IFERROR(INDEX('CARNET DE SOUDURE'!$B$7:$B$1506,MATCH(B50,'CARNET DE SOUDURE'!$K$7:$K$1506,0)),IFERROR(INDEX('CARNET DE SOUDURE'!$B$7:$B$1506,MATCH(B50,'CARNET DE SOUDURE'!$M$7:$M$1506,0)),"")))</f>
        <v>TFT 716 → TL7-MMFW2</v>
      </c>
      <c r="J50" s="78" t="str">
        <f aca="false">IF(B50="","",IFERROR(INDEX('CARNET DE SOUDURE'!$E$7:$E$1506,MATCH(B50,'CARNET DE SOUDURE'!$M$7:$M$1506,0)),""))</f>
        <v>JN°111</v>
      </c>
      <c r="K50" s="78" t="str">
        <f aca="false">IF(B50="","",IFERROR(INDEX('CARNET DE SOUDURE'!$E$7:$E$1506,MATCH(B50,'CARNET DE SOUDURE'!$K$7:$K$1506,0)),""))</f>
        <v>JN°112</v>
      </c>
      <c r="L50" s="78" t="str">
        <f aca="false">IF(B50="","",IFERROR(INDEX('CARNET DE SOUDURE'!$D$7:$D$1506,MATCH(B50,'CARNET DE SOUDURE'!$K$7:$K$1506,0)),IFERROR(INDEX('CARNET DE SOUDURE'!$D$7:$D$1506,MATCH(B50,'CARNET DE SOUDURE'!$M$7:$M$1506,0)),"")))</f>
        <v>1.00</v>
      </c>
      <c r="M50" s="81" t="str">
        <f aca="false">IF(B50="","",IF(OR(J50&lt;&gt;"",K50&lt;&gt;""),"POSÉ EN LIGNE",IF(H50&lt;&gt;"","BARDÉ","EN STOCK")))</f>
        <v>POSÉ EN LIGNE</v>
      </c>
      <c r="N50" s="79"/>
    </row>
    <row r="51" customFormat="false" ht="15" hidden="false" customHeight="false" outlineLevel="0" collapsed="false">
      <c r="A51" s="78" t="n">
        <f aca="false">IF(B51="","",ROW()-6)</f>
        <v>45</v>
      </c>
      <c r="B51" s="90" t="s">
        <v>375</v>
      </c>
      <c r="C51" s="91" t="n">
        <v>24212237</v>
      </c>
      <c r="D51" s="91" t="n">
        <v>924044426</v>
      </c>
      <c r="E51" s="80" t="n">
        <v>96</v>
      </c>
      <c r="F51" s="92" t="n">
        <v>12.45</v>
      </c>
      <c r="G51" s="79" t="s">
        <v>605</v>
      </c>
      <c r="H51" s="82"/>
      <c r="I51" s="93" t="str">
        <f aca="false">IF(B51="","",IFERROR(INDEX('CARNET DE SOUDURE'!$B$7:$B$1506,MATCH(B51,'CARNET DE SOUDURE'!$K$7:$K$1506,0)),IFERROR(INDEX('CARNET DE SOUDURE'!$B$7:$B$1506,MATCH(B51,'CARNET DE SOUDURE'!$M$7:$M$1506,0)),"")))</f>
        <v>TFT 716 → TL7-MMFW2</v>
      </c>
      <c r="J51" s="78" t="str">
        <f aca="false">IF(B51="","",IFERROR(INDEX('CARNET DE SOUDURE'!$E$7:$E$1506,MATCH(B51,'CARNET DE SOUDURE'!$M$7:$M$1506,0)),""))</f>
        <v>JN°113</v>
      </c>
      <c r="K51" s="78" t="str">
        <f aca="false">IF(B51="","",IFERROR(INDEX('CARNET DE SOUDURE'!$E$7:$E$1506,MATCH(B51,'CARNET DE SOUDURE'!$K$7:$K$1506,0)),""))</f>
        <v>JN°114</v>
      </c>
      <c r="L51" s="78" t="str">
        <f aca="false">IF(B51="","",IFERROR(INDEX('CARNET DE SOUDURE'!$D$7:$D$1506,MATCH(B51,'CARNET DE SOUDURE'!$K$7:$K$1506,0)),IFERROR(INDEX('CARNET DE SOUDURE'!$D$7:$D$1506,MATCH(B51,'CARNET DE SOUDURE'!$M$7:$M$1506,0)),"")))</f>
        <v>1.00</v>
      </c>
      <c r="M51" s="81" t="str">
        <f aca="false">IF(B51="","",IF(OR(J51&lt;&gt;"",K51&lt;&gt;""),"POSÉ EN LIGNE",IF(H51&lt;&gt;"","BARDÉ","EN STOCK")))</f>
        <v>POSÉ EN LIGNE</v>
      </c>
      <c r="N51" s="79"/>
    </row>
    <row r="52" customFormat="false" ht="15" hidden="false" customHeight="false" outlineLevel="0" collapsed="false">
      <c r="A52" s="78" t="n">
        <f aca="false">IF(B52="","",ROW()-6)</f>
        <v>46</v>
      </c>
      <c r="B52" s="90" t="s">
        <v>325</v>
      </c>
      <c r="C52" s="91" t="n">
        <v>24212237</v>
      </c>
      <c r="D52" s="91" t="n">
        <v>924044426</v>
      </c>
      <c r="E52" s="80" t="n">
        <v>97</v>
      </c>
      <c r="F52" s="92" t="n">
        <v>12.46</v>
      </c>
      <c r="G52" s="79" t="s">
        <v>605</v>
      </c>
      <c r="H52" s="82"/>
      <c r="I52" s="93" t="str">
        <f aca="false">IF(B52="","",IFERROR(INDEX('CARNET DE SOUDURE'!$B$7:$B$1506,MATCH(B52,'CARNET DE SOUDURE'!$K$7:$K$1506,0)),IFERROR(INDEX('CARNET DE SOUDURE'!$B$7:$B$1506,MATCH(B52,'CARNET DE SOUDURE'!$M$7:$M$1506,0)),"")))</f>
        <v>TFT 716 → TL7-MMFW2</v>
      </c>
      <c r="J52" s="78" t="str">
        <f aca="false">IF(B52="","",IFERROR(INDEX('CARNET DE SOUDURE'!$E$7:$E$1506,MATCH(B52,'CARNET DE SOUDURE'!$M$7:$M$1506,0)),""))</f>
        <v>JN°090</v>
      </c>
      <c r="K52" s="78" t="str">
        <f aca="false">IF(B52="","",IFERROR(INDEX('CARNET DE SOUDURE'!$E$7:$E$1506,MATCH(B52,'CARNET DE SOUDURE'!$K$7:$K$1506,0)),""))</f>
        <v>JN°091</v>
      </c>
      <c r="L52" s="78" t="str">
        <f aca="false">IF(B52="","",IFERROR(INDEX('CARNET DE SOUDURE'!$D$7:$D$1506,MATCH(B52,'CARNET DE SOUDURE'!$K$7:$K$1506,0)),IFERROR(INDEX('CARNET DE SOUDURE'!$D$7:$D$1506,MATCH(B52,'CARNET DE SOUDURE'!$M$7:$M$1506,0)),"")))</f>
        <v>1.00</v>
      </c>
      <c r="M52" s="81" t="str">
        <f aca="false">IF(B52="","",IF(OR(J52&lt;&gt;"",K52&lt;&gt;""),"POSÉ EN LIGNE",IF(H52&lt;&gt;"","BARDÉ","EN STOCK")))</f>
        <v>POSÉ EN LIGNE</v>
      </c>
      <c r="N52" s="79"/>
    </row>
    <row r="53" customFormat="false" ht="15" hidden="false" customHeight="false" outlineLevel="0" collapsed="false">
      <c r="A53" s="78" t="n">
        <f aca="false">IF(B53="","",ROW()-6)</f>
        <v>47</v>
      </c>
      <c r="B53" s="90" t="s">
        <v>358</v>
      </c>
      <c r="C53" s="91" t="n">
        <v>24212237</v>
      </c>
      <c r="D53" s="91" t="n">
        <v>924044426</v>
      </c>
      <c r="E53" s="80" t="n">
        <v>98</v>
      </c>
      <c r="F53" s="92" t="n">
        <v>12.45</v>
      </c>
      <c r="G53" s="79" t="s">
        <v>605</v>
      </c>
      <c r="H53" s="82"/>
      <c r="I53" s="93" t="str">
        <f aca="false">IF(B53="","",IFERROR(INDEX('CARNET DE SOUDURE'!$B$7:$B$1506,MATCH(B53,'CARNET DE SOUDURE'!$K$7:$K$1506,0)),IFERROR(INDEX('CARNET DE SOUDURE'!$B$7:$B$1506,MATCH(B53,'CARNET DE SOUDURE'!$M$7:$M$1506,0)),"")))</f>
        <v>TFT 716 → TL7-MMFW2</v>
      </c>
      <c r="J53" s="78" t="str">
        <f aca="false">IF(B53="","",IFERROR(INDEX('CARNET DE SOUDURE'!$E$7:$E$1506,MATCH(B53,'CARNET DE SOUDURE'!$M$7:$M$1506,0)),""))</f>
        <v>JN°105</v>
      </c>
      <c r="K53" s="78" t="str">
        <f aca="false">IF(B53="","",IFERROR(INDEX('CARNET DE SOUDURE'!$E$7:$E$1506,MATCH(B53,'CARNET DE SOUDURE'!$K$7:$K$1506,0)),""))</f>
        <v>JN°106</v>
      </c>
      <c r="L53" s="78" t="str">
        <f aca="false">IF(B53="","",IFERROR(INDEX('CARNET DE SOUDURE'!$D$7:$D$1506,MATCH(B53,'CARNET DE SOUDURE'!$K$7:$K$1506,0)),IFERROR(INDEX('CARNET DE SOUDURE'!$D$7:$D$1506,MATCH(B53,'CARNET DE SOUDURE'!$M$7:$M$1506,0)),"")))</f>
        <v>1.00</v>
      </c>
      <c r="M53" s="81" t="str">
        <f aca="false">IF(B53="","",IF(OR(J53&lt;&gt;"",K53&lt;&gt;""),"POSÉ EN LIGNE",IF(H53&lt;&gt;"","BARDÉ","EN STOCK")))</f>
        <v>POSÉ EN LIGNE</v>
      </c>
      <c r="N53" s="79"/>
    </row>
    <row r="54" customFormat="false" ht="15" hidden="false" customHeight="false" outlineLevel="0" collapsed="false">
      <c r="A54" s="78" t="n">
        <f aca="false">IF(B54="","",ROW()-6)</f>
        <v>48</v>
      </c>
      <c r="B54" s="90" t="s">
        <v>366</v>
      </c>
      <c r="C54" s="91" t="n">
        <v>24212237</v>
      </c>
      <c r="D54" s="91" t="n">
        <v>924044426</v>
      </c>
      <c r="E54" s="80" t="n">
        <v>99</v>
      </c>
      <c r="F54" s="92" t="n">
        <v>12.16</v>
      </c>
      <c r="G54" s="79" t="s">
        <v>605</v>
      </c>
      <c r="H54" s="82"/>
      <c r="I54" s="93" t="str">
        <f aca="false">IF(B54="","",IFERROR(INDEX('CARNET DE SOUDURE'!$B$7:$B$1506,MATCH(B54,'CARNET DE SOUDURE'!$K$7:$K$1506,0)),IFERROR(INDEX('CARNET DE SOUDURE'!$B$7:$B$1506,MATCH(B54,'CARNET DE SOUDURE'!$M$7:$M$1506,0)),"")))</f>
        <v>TFT 716 → TL7-MMFW2</v>
      </c>
      <c r="J54" s="78" t="str">
        <f aca="false">IF(B54="","",IFERROR(INDEX('CARNET DE SOUDURE'!$E$7:$E$1506,MATCH(B54,'CARNET DE SOUDURE'!$M$7:$M$1506,0)),""))</f>
        <v>JN°109</v>
      </c>
      <c r="K54" s="78" t="str">
        <f aca="false">IF(B54="","",IFERROR(INDEX('CARNET DE SOUDURE'!$E$7:$E$1506,MATCH(B54,'CARNET DE SOUDURE'!$K$7:$K$1506,0)),""))</f>
        <v>JN°110</v>
      </c>
      <c r="L54" s="78" t="str">
        <f aca="false">IF(B54="","",IFERROR(INDEX('CARNET DE SOUDURE'!$D$7:$D$1506,MATCH(B54,'CARNET DE SOUDURE'!$K$7:$K$1506,0)),IFERROR(INDEX('CARNET DE SOUDURE'!$D$7:$D$1506,MATCH(B54,'CARNET DE SOUDURE'!$M$7:$M$1506,0)),"")))</f>
        <v>1.00</v>
      </c>
      <c r="M54" s="81" t="str">
        <f aca="false">IF(B54="","",IF(OR(J54&lt;&gt;"",K54&lt;&gt;""),"POSÉ EN LIGNE",IF(H54&lt;&gt;"","BARDÉ","EN STOCK")))</f>
        <v>POSÉ EN LIGNE</v>
      </c>
      <c r="N54" s="79"/>
    </row>
    <row r="55" customFormat="false" ht="15" hidden="false" customHeight="false" outlineLevel="0" collapsed="false">
      <c r="A55" s="78" t="n">
        <f aca="false">IF(B55="","",ROW()-6)</f>
        <v>49</v>
      </c>
      <c r="B55" s="90" t="s">
        <v>346</v>
      </c>
      <c r="C55" s="91" t="n">
        <v>24212237</v>
      </c>
      <c r="D55" s="91" t="n">
        <v>924044426</v>
      </c>
      <c r="E55" s="80" t="n">
        <v>100</v>
      </c>
      <c r="F55" s="92" t="n">
        <v>12.45</v>
      </c>
      <c r="G55" s="79" t="s">
        <v>605</v>
      </c>
      <c r="H55" s="82"/>
      <c r="I55" s="93" t="str">
        <f aca="false">IF(B55="","",IFERROR(INDEX('CARNET DE SOUDURE'!$B$7:$B$1506,MATCH(B55,'CARNET DE SOUDURE'!$K$7:$K$1506,0)),IFERROR(INDEX('CARNET DE SOUDURE'!$B$7:$B$1506,MATCH(B55,'CARNET DE SOUDURE'!$M$7:$M$1506,0)),"")))</f>
        <v>TFT 716 → TL7-MMFW2</v>
      </c>
      <c r="J55" s="78" t="str">
        <f aca="false">IF(B55="","",IFERROR(INDEX('CARNET DE SOUDURE'!$E$7:$E$1506,MATCH(B55,'CARNET DE SOUDURE'!$M$7:$M$1506,0)),""))</f>
        <v>JN°100</v>
      </c>
      <c r="K55" s="78" t="str">
        <f aca="false">IF(B55="","",IFERROR(INDEX('CARNET DE SOUDURE'!$E$7:$E$1506,MATCH(B55,'CARNET DE SOUDURE'!$K$7:$K$1506,0)),""))</f>
        <v>JN°101</v>
      </c>
      <c r="L55" s="78" t="str">
        <f aca="false">IF(B55="","",IFERROR(INDEX('CARNET DE SOUDURE'!$D$7:$D$1506,MATCH(B55,'CARNET DE SOUDURE'!$K$7:$K$1506,0)),IFERROR(INDEX('CARNET DE SOUDURE'!$D$7:$D$1506,MATCH(B55,'CARNET DE SOUDURE'!$M$7:$M$1506,0)),"")))</f>
        <v>1.00</v>
      </c>
      <c r="M55" s="81" t="str">
        <f aca="false">IF(B55="","",IF(OR(J55&lt;&gt;"",K55&lt;&gt;""),"POSÉ EN LIGNE",IF(H55&lt;&gt;"","BARDÉ","EN STOCK")))</f>
        <v>POSÉ EN LIGNE</v>
      </c>
      <c r="N55" s="79"/>
    </row>
    <row r="56" customFormat="false" ht="15" hidden="false" customHeight="false" outlineLevel="0" collapsed="false">
      <c r="A56" s="78" t="n">
        <f aca="false">IF(B56="","",ROW()-6)</f>
        <v>50</v>
      </c>
      <c r="B56" s="90" t="s">
        <v>353</v>
      </c>
      <c r="C56" s="91" t="n">
        <v>24803579</v>
      </c>
      <c r="D56" s="91" t="n">
        <v>924043060</v>
      </c>
      <c r="E56" s="80" t="n">
        <v>101</v>
      </c>
      <c r="F56" s="92" t="n">
        <v>12.2</v>
      </c>
      <c r="G56" s="79" t="s">
        <v>605</v>
      </c>
      <c r="H56" s="82"/>
      <c r="I56" s="93" t="str">
        <f aca="false">IF(B56="","",IFERROR(INDEX('CARNET DE SOUDURE'!$B$7:$B$1506,MATCH(B56,'CARNET DE SOUDURE'!$K$7:$K$1506,0)),IFERROR(INDEX('CARNET DE SOUDURE'!$B$7:$B$1506,MATCH(B56,'CARNET DE SOUDURE'!$M$7:$M$1506,0)),"")))</f>
        <v>TFT 716 → TL7-MMFW2</v>
      </c>
      <c r="J56" s="78" t="str">
        <f aca="false">IF(B56="","",IFERROR(INDEX('CARNET DE SOUDURE'!$E$7:$E$1506,MATCH(B56,'CARNET DE SOUDURE'!$M$7:$M$1506,0)),""))</f>
        <v>JN°103</v>
      </c>
      <c r="K56" s="78" t="str">
        <f aca="false">IF(B56="","",IFERROR(INDEX('CARNET DE SOUDURE'!$E$7:$E$1506,MATCH(B56,'CARNET DE SOUDURE'!$K$7:$K$1506,0)),""))</f>
        <v>JN°104 NX</v>
      </c>
      <c r="L56" s="78" t="str">
        <f aca="false">IF(B56="","",IFERROR(INDEX('CARNET DE SOUDURE'!$D$7:$D$1506,MATCH(B56,'CARNET DE SOUDURE'!$K$7:$K$1506,0)),IFERROR(INDEX('CARNET DE SOUDURE'!$D$7:$D$1506,MATCH(B56,'CARNET DE SOUDURE'!$M$7:$M$1506,0)),"")))</f>
        <v>1.00</v>
      </c>
      <c r="M56" s="81" t="str">
        <f aca="false">IF(B56="","",IF(OR(J56&lt;&gt;"",K56&lt;&gt;""),"POSÉ EN LIGNE",IF(H56&lt;&gt;"","BARDÉ","EN STOCK")))</f>
        <v>POSÉ EN LIGNE</v>
      </c>
      <c r="N56" s="79"/>
    </row>
    <row r="57" customFormat="false" ht="15" hidden="false" customHeight="false" outlineLevel="0" collapsed="false">
      <c r="A57" s="78" t="n">
        <f aca="false">IF(B57="","",ROW()-6)</f>
        <v>51</v>
      </c>
      <c r="B57" s="90" t="s">
        <v>314</v>
      </c>
      <c r="C57" s="91" t="n">
        <v>24803579</v>
      </c>
      <c r="D57" s="91" t="n">
        <v>924043060</v>
      </c>
      <c r="E57" s="80" t="n">
        <v>102</v>
      </c>
      <c r="F57" s="92" t="n">
        <v>12.2</v>
      </c>
      <c r="G57" s="79" t="s">
        <v>605</v>
      </c>
      <c r="H57" s="82"/>
      <c r="I57" s="93" t="str">
        <f aca="false">IF(B57="","",IFERROR(INDEX('CARNET DE SOUDURE'!$B$7:$B$1506,MATCH(B57,'CARNET DE SOUDURE'!$K$7:$K$1506,0)),IFERROR(INDEX('CARNET DE SOUDURE'!$B$7:$B$1506,MATCH(B57,'CARNET DE SOUDURE'!$M$7:$M$1506,0)),"")))</f>
        <v>TFT 716 → TL7-MMFW2</v>
      </c>
      <c r="J57" s="78" t="str">
        <f aca="false">IF(B57="","",IFERROR(INDEX('CARNET DE SOUDURE'!$E$7:$E$1506,MATCH(B57,'CARNET DE SOUDURE'!$M$7:$M$1506,0)),""))</f>
        <v>JN°086</v>
      </c>
      <c r="K57" s="78" t="str">
        <f aca="false">IF(B57="","",IFERROR(INDEX('CARNET DE SOUDURE'!$E$7:$E$1506,MATCH(B57,'CARNET DE SOUDURE'!$K$7:$K$1506,0)),""))</f>
        <v>JN°087</v>
      </c>
      <c r="L57" s="78" t="str">
        <f aca="false">IF(B57="","",IFERROR(INDEX('CARNET DE SOUDURE'!$D$7:$D$1506,MATCH(B57,'CARNET DE SOUDURE'!$K$7:$K$1506,0)),IFERROR(INDEX('CARNET DE SOUDURE'!$D$7:$D$1506,MATCH(B57,'CARNET DE SOUDURE'!$M$7:$M$1506,0)),"")))</f>
        <v>0.00</v>
      </c>
      <c r="M57" s="81" t="str">
        <f aca="false">IF(B57="","",IF(OR(J57&lt;&gt;"",K57&lt;&gt;""),"POSÉ EN LIGNE",IF(H57&lt;&gt;"","BARDÉ","EN STOCK")))</f>
        <v>POSÉ EN LIGNE</v>
      </c>
      <c r="N57" s="79"/>
    </row>
    <row r="58" customFormat="false" ht="15" hidden="false" customHeight="false" outlineLevel="0" collapsed="false">
      <c r="A58" s="78" t="n">
        <f aca="false">IF(B58="","",ROW()-6)</f>
        <v>52</v>
      </c>
      <c r="B58" s="90" t="s">
        <v>320</v>
      </c>
      <c r="C58" s="91" t="n">
        <v>24803579</v>
      </c>
      <c r="D58" s="91" t="n">
        <v>924043060</v>
      </c>
      <c r="E58" s="80" t="n">
        <v>103</v>
      </c>
      <c r="F58" s="92" t="n">
        <v>12.2</v>
      </c>
      <c r="G58" s="79" t="s">
        <v>605</v>
      </c>
      <c r="H58" s="82"/>
      <c r="I58" s="93" t="str">
        <f aca="false">IF(B58="","",IFERROR(INDEX('CARNET DE SOUDURE'!$B$7:$B$1506,MATCH(B58,'CARNET DE SOUDURE'!$K$7:$K$1506,0)),IFERROR(INDEX('CARNET DE SOUDURE'!$B$7:$B$1506,MATCH(B58,'CARNET DE SOUDURE'!$M$7:$M$1506,0)),"")))</f>
        <v>TFT 716 → TL7-MMFW2</v>
      </c>
      <c r="J58" s="78" t="str">
        <f aca="false">IF(B58="","",IFERROR(INDEX('CARNET DE SOUDURE'!$E$7:$E$1506,MATCH(B58,'CARNET DE SOUDURE'!$M$7:$M$1506,0)),""))</f>
        <v>JN°088</v>
      </c>
      <c r="K58" s="78" t="str">
        <f aca="false">IF(B58="","",IFERROR(INDEX('CARNET DE SOUDURE'!$E$7:$E$1506,MATCH(B58,'CARNET DE SOUDURE'!$K$7:$K$1506,0)),""))</f>
        <v>JN°089</v>
      </c>
      <c r="L58" s="78" t="str">
        <f aca="false">IF(B58="","",IFERROR(INDEX('CARNET DE SOUDURE'!$D$7:$D$1506,MATCH(B58,'CARNET DE SOUDURE'!$K$7:$K$1506,0)),IFERROR(INDEX('CARNET DE SOUDURE'!$D$7:$D$1506,MATCH(B58,'CARNET DE SOUDURE'!$M$7:$M$1506,0)),"")))</f>
        <v>1.00</v>
      </c>
      <c r="M58" s="81" t="str">
        <f aca="false">IF(B58="","",IF(OR(J58&lt;&gt;"",K58&lt;&gt;""),"POSÉ EN LIGNE",IF(H58&lt;&gt;"","BARDÉ","EN STOCK")))</f>
        <v>POSÉ EN LIGNE</v>
      </c>
      <c r="N58" s="79"/>
    </row>
    <row r="59" customFormat="false" ht="15" hidden="false" customHeight="false" outlineLevel="0" collapsed="false">
      <c r="A59" s="78" t="n">
        <f aca="false">IF(B59="","",ROW()-6)</f>
        <v>53</v>
      </c>
      <c r="B59" s="90" t="s">
        <v>116</v>
      </c>
      <c r="C59" s="91" t="n">
        <v>24803579</v>
      </c>
      <c r="D59" s="91" t="n">
        <v>924043060</v>
      </c>
      <c r="E59" s="80" t="n">
        <v>104</v>
      </c>
      <c r="F59" s="92" t="n">
        <v>12.21</v>
      </c>
      <c r="G59" s="79" t="s">
        <v>605</v>
      </c>
      <c r="H59" s="82"/>
      <c r="I59" s="93" t="str">
        <f aca="false">IF(B59="","",IFERROR(INDEX('CARNET DE SOUDURE'!$B$7:$B$1506,MATCH(B59,'CARNET DE SOUDURE'!$K$7:$K$1506,0)),IFERROR(INDEX('CARNET DE SOUDURE'!$B$7:$B$1506,MATCH(B59,'CARNET DE SOUDURE'!$M$7:$M$1506,0)),"")))</f>
        <v>TFT 716 → TL7-MMFW2</v>
      </c>
      <c r="J59" s="78" t="str">
        <f aca="false">IF(B59="","",IFERROR(INDEX('CARNET DE SOUDURE'!$E$7:$E$1506,MATCH(B59,'CARNET DE SOUDURE'!$M$7:$M$1506,0)),""))</f>
        <v>JN°006</v>
      </c>
      <c r="K59" s="78" t="str">
        <f aca="false">IF(B59="","",IFERROR(INDEX('CARNET DE SOUDURE'!$E$7:$E$1506,MATCH(B59,'CARNET DE SOUDURE'!$K$7:$K$1506,0)),""))</f>
        <v>JN°007</v>
      </c>
      <c r="L59" s="78" t="str">
        <f aca="false">IF(B59="","",IFERROR(INDEX('CARNET DE SOUDURE'!$D$7:$D$1506,MATCH(B59,'CARNET DE SOUDURE'!$K$7:$K$1506,0)),IFERROR(INDEX('CARNET DE SOUDURE'!$D$7:$D$1506,MATCH(B59,'CARNET DE SOUDURE'!$M$7:$M$1506,0)),"")))</f>
        <v>0.00</v>
      </c>
      <c r="M59" s="81" t="str">
        <f aca="false">IF(B59="","",IF(OR(J59&lt;&gt;"",K59&lt;&gt;""),"POSÉ EN LIGNE",IF(H59&lt;&gt;"","BARDÉ","EN STOCK")))</f>
        <v>POSÉ EN LIGNE</v>
      </c>
      <c r="N59" s="79"/>
    </row>
    <row r="60" customFormat="false" ht="15" hidden="false" customHeight="false" outlineLevel="0" collapsed="false">
      <c r="A60" s="78" t="n">
        <f aca="false">IF(B60="","",ROW()-6)</f>
        <v>54</v>
      </c>
      <c r="B60" s="90" t="s">
        <v>329</v>
      </c>
      <c r="C60" s="91" t="n">
        <v>24803579</v>
      </c>
      <c r="D60" s="91" t="n">
        <v>924043060</v>
      </c>
      <c r="E60" s="80" t="n">
        <v>105</v>
      </c>
      <c r="F60" s="92" t="n">
        <v>12.2</v>
      </c>
      <c r="G60" s="79" t="s">
        <v>605</v>
      </c>
      <c r="H60" s="82"/>
      <c r="I60" s="93" t="str">
        <f aca="false">IF(B60="","",IFERROR(INDEX('CARNET DE SOUDURE'!$B$7:$B$1506,MATCH(B60,'CARNET DE SOUDURE'!$K$7:$K$1506,0)),IFERROR(INDEX('CARNET DE SOUDURE'!$B$7:$B$1506,MATCH(B60,'CARNET DE SOUDURE'!$M$7:$M$1506,0)),"")))</f>
        <v>TFT 716 → TL7-MMFW2</v>
      </c>
      <c r="J60" s="78" t="str">
        <f aca="false">IF(B60="","",IFERROR(INDEX('CARNET DE SOUDURE'!$E$7:$E$1506,MATCH(B60,'CARNET DE SOUDURE'!$M$7:$M$1506,0)),""))</f>
        <v>JN°092</v>
      </c>
      <c r="K60" s="78" t="str">
        <f aca="false">IF(B60="","",IFERROR(INDEX('CARNET DE SOUDURE'!$E$7:$E$1506,MATCH(B60,'CARNET DE SOUDURE'!$K$7:$K$1506,0)),""))</f>
        <v>JN°093</v>
      </c>
      <c r="L60" s="78" t="str">
        <f aca="false">IF(B60="","",IFERROR(INDEX('CARNET DE SOUDURE'!$D$7:$D$1506,MATCH(B60,'CARNET DE SOUDURE'!$K$7:$K$1506,0)),IFERROR(INDEX('CARNET DE SOUDURE'!$D$7:$D$1506,MATCH(B60,'CARNET DE SOUDURE'!$M$7:$M$1506,0)),"")))</f>
        <v>1.00</v>
      </c>
      <c r="M60" s="81" t="str">
        <f aca="false">IF(B60="","",IF(OR(J60&lt;&gt;"",K60&lt;&gt;""),"POSÉ EN LIGNE",IF(H60&lt;&gt;"","BARDÉ","EN STOCK")))</f>
        <v>POSÉ EN LIGNE</v>
      </c>
      <c r="N60" s="79"/>
    </row>
    <row r="61" customFormat="false" ht="15" hidden="false" customHeight="false" outlineLevel="0" collapsed="false">
      <c r="A61" s="78" t="n">
        <f aca="false">IF(B61="","",ROW()-6)</f>
        <v>55</v>
      </c>
      <c r="B61" s="90" t="s">
        <v>342</v>
      </c>
      <c r="C61" s="91" t="n">
        <v>24102493</v>
      </c>
      <c r="D61" s="91" t="n">
        <v>924054021</v>
      </c>
      <c r="E61" s="80" t="n">
        <v>106</v>
      </c>
      <c r="F61" s="92" t="n">
        <v>12.45</v>
      </c>
      <c r="G61" s="79" t="s">
        <v>605</v>
      </c>
      <c r="H61" s="82"/>
      <c r="I61" s="93" t="str">
        <f aca="false">IF(B61="","",IFERROR(INDEX('CARNET DE SOUDURE'!$B$7:$B$1506,MATCH(B61,'CARNET DE SOUDURE'!$K$7:$K$1506,0)),IFERROR(INDEX('CARNET DE SOUDURE'!$B$7:$B$1506,MATCH(B61,'CARNET DE SOUDURE'!$M$7:$M$1506,0)),"")))</f>
        <v>TFT 716 → TL7-MMFW2</v>
      </c>
      <c r="J61" s="78" t="str">
        <f aca="false">IF(B61="","",IFERROR(INDEX('CARNET DE SOUDURE'!$E$7:$E$1506,MATCH(B61,'CARNET DE SOUDURE'!$M$7:$M$1506,0)),""))</f>
        <v>JN°098</v>
      </c>
      <c r="K61" s="78" t="str">
        <f aca="false">IF(B61="","",IFERROR(INDEX('CARNET DE SOUDURE'!$E$7:$E$1506,MATCH(B61,'CARNET DE SOUDURE'!$K$7:$K$1506,0)),""))</f>
        <v>JN°099</v>
      </c>
      <c r="L61" s="78" t="str">
        <f aca="false">IF(B61="","",IFERROR(INDEX('CARNET DE SOUDURE'!$D$7:$D$1506,MATCH(B61,'CARNET DE SOUDURE'!$K$7:$K$1506,0)),IFERROR(INDEX('CARNET DE SOUDURE'!$D$7:$D$1506,MATCH(B61,'CARNET DE SOUDURE'!$M$7:$M$1506,0)),"")))</f>
        <v>1.00</v>
      </c>
      <c r="M61" s="81" t="str">
        <f aca="false">IF(B61="","",IF(OR(J61&lt;&gt;"",K61&lt;&gt;""),"POSÉ EN LIGNE",IF(H61&lt;&gt;"","BARDÉ","EN STOCK")))</f>
        <v>POSÉ EN LIGNE</v>
      </c>
      <c r="N61" s="79"/>
    </row>
    <row r="62" customFormat="false" ht="15" hidden="false" customHeight="false" outlineLevel="0" collapsed="false">
      <c r="A62" s="78" t="n">
        <f aca="false">IF(B62="","",ROW()-6)</f>
        <v>56</v>
      </c>
      <c r="B62" s="90" t="s">
        <v>337</v>
      </c>
      <c r="C62" s="91" t="n">
        <v>24102493</v>
      </c>
      <c r="D62" s="91" t="n">
        <v>924054021</v>
      </c>
      <c r="E62" s="80" t="n">
        <v>107</v>
      </c>
      <c r="F62" s="92" t="n">
        <v>12.46</v>
      </c>
      <c r="G62" s="79" t="s">
        <v>605</v>
      </c>
      <c r="H62" s="82"/>
      <c r="I62" s="93" t="str">
        <f aca="false">IF(B62="","",IFERROR(INDEX('CARNET DE SOUDURE'!$B$7:$B$1506,MATCH(B62,'CARNET DE SOUDURE'!$K$7:$K$1506,0)),IFERROR(INDEX('CARNET DE SOUDURE'!$B$7:$B$1506,MATCH(B62,'CARNET DE SOUDURE'!$M$7:$M$1506,0)),"")))</f>
        <v>TFT 716 → TL7-MMFW2</v>
      </c>
      <c r="J62" s="78" t="str">
        <f aca="false">IF(B62="","",IFERROR(INDEX('CARNET DE SOUDURE'!$E$7:$E$1506,MATCH(B62,'CARNET DE SOUDURE'!$M$7:$M$1506,0)),""))</f>
        <v>JN°096</v>
      </c>
      <c r="K62" s="78" t="str">
        <f aca="false">IF(B62="","",IFERROR(INDEX('CARNET DE SOUDURE'!$E$7:$E$1506,MATCH(B62,'CARNET DE SOUDURE'!$K$7:$K$1506,0)),""))</f>
        <v>JN°097</v>
      </c>
      <c r="L62" s="78" t="str">
        <f aca="false">IF(B62="","",IFERROR(INDEX('CARNET DE SOUDURE'!$D$7:$D$1506,MATCH(B62,'CARNET DE SOUDURE'!$K$7:$K$1506,0)),IFERROR(INDEX('CARNET DE SOUDURE'!$D$7:$D$1506,MATCH(B62,'CARNET DE SOUDURE'!$M$7:$M$1506,0)),"")))</f>
        <v>1.00</v>
      </c>
      <c r="M62" s="81" t="str">
        <f aca="false">IF(B62="","",IF(OR(J62&lt;&gt;"",K62&lt;&gt;""),"POSÉ EN LIGNE",IF(H62&lt;&gt;"","BARDÉ","EN STOCK")))</f>
        <v>POSÉ EN LIGNE</v>
      </c>
      <c r="N62" s="79"/>
    </row>
    <row r="63" customFormat="false" ht="15" hidden="false" customHeight="false" outlineLevel="0" collapsed="false">
      <c r="A63" s="78" t="n">
        <f aca="false">IF(B63="","",ROW()-6)</f>
        <v>57</v>
      </c>
      <c r="B63" s="90" t="s">
        <v>344</v>
      </c>
      <c r="C63" s="91" t="n">
        <v>24102493</v>
      </c>
      <c r="D63" s="91" t="n">
        <v>924054021</v>
      </c>
      <c r="E63" s="80" t="n">
        <v>108</v>
      </c>
      <c r="F63" s="92" t="n">
        <v>12.46</v>
      </c>
      <c r="G63" s="79" t="s">
        <v>605</v>
      </c>
      <c r="H63" s="82"/>
      <c r="I63" s="93" t="str">
        <f aca="false">IF(B63="","",IFERROR(INDEX('CARNET DE SOUDURE'!$B$7:$B$1506,MATCH(B63,'CARNET DE SOUDURE'!$K$7:$K$1506,0)),IFERROR(INDEX('CARNET DE SOUDURE'!$B$7:$B$1506,MATCH(B63,'CARNET DE SOUDURE'!$M$7:$M$1506,0)),"")))</f>
        <v>TFT 716 → TL7-MMFW2</v>
      </c>
      <c r="J63" s="78" t="str">
        <f aca="false">IF(B63="","",IFERROR(INDEX('CARNET DE SOUDURE'!$E$7:$E$1506,MATCH(B63,'CARNET DE SOUDURE'!$M$7:$M$1506,0)),""))</f>
        <v>JN°099</v>
      </c>
      <c r="K63" s="78" t="str">
        <f aca="false">IF(B63="","",IFERROR(INDEX('CARNET DE SOUDURE'!$E$7:$E$1506,MATCH(B63,'CARNET DE SOUDURE'!$K$7:$K$1506,0)),""))</f>
        <v>JN°100</v>
      </c>
      <c r="L63" s="78" t="str">
        <f aca="false">IF(B63="","",IFERROR(INDEX('CARNET DE SOUDURE'!$D$7:$D$1506,MATCH(B63,'CARNET DE SOUDURE'!$K$7:$K$1506,0)),IFERROR(INDEX('CARNET DE SOUDURE'!$D$7:$D$1506,MATCH(B63,'CARNET DE SOUDURE'!$M$7:$M$1506,0)),"")))</f>
        <v>1.00</v>
      </c>
      <c r="M63" s="81" t="str">
        <f aca="false">IF(B63="","",IF(OR(J63&lt;&gt;"",K63&lt;&gt;""),"POSÉ EN LIGNE",IF(H63&lt;&gt;"","BARDÉ","EN STOCK")))</f>
        <v>POSÉ EN LIGNE</v>
      </c>
      <c r="N63" s="79"/>
    </row>
    <row r="64" customFormat="false" ht="15" hidden="false" customHeight="false" outlineLevel="0" collapsed="false">
      <c r="A64" s="78" t="n">
        <f aca="false">IF(B64="","",ROW()-6)</f>
        <v>58</v>
      </c>
      <c r="B64" s="90" t="s">
        <v>304</v>
      </c>
      <c r="C64" s="91" t="n">
        <v>24102493</v>
      </c>
      <c r="D64" s="91" t="n">
        <v>924054021</v>
      </c>
      <c r="E64" s="80" t="n">
        <v>109</v>
      </c>
      <c r="F64" s="92" t="n">
        <v>12.45</v>
      </c>
      <c r="G64" s="79" t="s">
        <v>605</v>
      </c>
      <c r="H64" s="82"/>
      <c r="I64" s="93" t="str">
        <f aca="false">IF(B64="","",IFERROR(INDEX('CARNET DE SOUDURE'!$B$7:$B$1506,MATCH(B64,'CARNET DE SOUDURE'!$K$7:$K$1506,0)),IFERROR(INDEX('CARNET DE SOUDURE'!$B$7:$B$1506,MATCH(B64,'CARNET DE SOUDURE'!$M$7:$M$1506,0)),"")))</f>
        <v>TFT 716 → TL7-MMFW2</v>
      </c>
      <c r="J64" s="78" t="str">
        <f aca="false">IF(B64="","",IFERROR(INDEX('CARNET DE SOUDURE'!$E$7:$E$1506,MATCH(B64,'CARNET DE SOUDURE'!$M$7:$M$1506,0)),""))</f>
        <v>JN°081</v>
      </c>
      <c r="K64" s="78" t="str">
        <f aca="false">IF(B64="","",IFERROR(INDEX('CARNET DE SOUDURE'!$E$7:$E$1506,MATCH(B64,'CARNET DE SOUDURE'!$K$7:$K$1506,0)),""))</f>
        <v>JN°082</v>
      </c>
      <c r="L64" s="78" t="str">
        <f aca="false">IF(B64="","",IFERROR(INDEX('CARNET DE SOUDURE'!$D$7:$D$1506,MATCH(B64,'CARNET DE SOUDURE'!$K$7:$K$1506,0)),IFERROR(INDEX('CARNET DE SOUDURE'!$D$7:$D$1506,MATCH(B64,'CARNET DE SOUDURE'!$M$7:$M$1506,0)),"")))</f>
        <v>0.00</v>
      </c>
      <c r="M64" s="81" t="str">
        <f aca="false">IF(B64="","",IF(OR(J64&lt;&gt;"",K64&lt;&gt;""),"POSÉ EN LIGNE",IF(H64&lt;&gt;"","BARDÉ","EN STOCK")))</f>
        <v>POSÉ EN LIGNE</v>
      </c>
      <c r="N64" s="79"/>
    </row>
    <row r="65" customFormat="false" ht="15" hidden="false" customHeight="false" outlineLevel="0" collapsed="false">
      <c r="A65" s="78" t="n">
        <f aca="false">IF(B65="","",ROW()-6)</f>
        <v>59</v>
      </c>
      <c r="B65" s="90" t="s">
        <v>312</v>
      </c>
      <c r="C65" s="91" t="n">
        <v>24102493</v>
      </c>
      <c r="D65" s="91" t="n">
        <v>924054021</v>
      </c>
      <c r="E65" s="80" t="n">
        <v>110</v>
      </c>
      <c r="F65" s="92" t="n">
        <v>12.46</v>
      </c>
      <c r="G65" s="79" t="s">
        <v>605</v>
      </c>
      <c r="H65" s="82"/>
      <c r="I65" s="93" t="str">
        <f aca="false">IF(B65="","",IFERROR(INDEX('CARNET DE SOUDURE'!$B$7:$B$1506,MATCH(B65,'CARNET DE SOUDURE'!$K$7:$K$1506,0)),IFERROR(INDEX('CARNET DE SOUDURE'!$B$7:$B$1506,MATCH(B65,'CARNET DE SOUDURE'!$M$7:$M$1506,0)),"")))</f>
        <v>TFT 716 → TL7-MMFW2</v>
      </c>
      <c r="J65" s="78" t="str">
        <f aca="false">IF(B65="","",IFERROR(INDEX('CARNET DE SOUDURE'!$E$7:$E$1506,MATCH(B65,'CARNET DE SOUDURE'!$M$7:$M$1506,0)),""))</f>
        <v>JN°085</v>
      </c>
      <c r="K65" s="78" t="str">
        <f aca="false">IF(B65="","",IFERROR(INDEX('CARNET DE SOUDURE'!$E$7:$E$1506,MATCH(B65,'CARNET DE SOUDURE'!$K$7:$K$1506,0)),""))</f>
        <v>JN°086</v>
      </c>
      <c r="L65" s="78" t="str">
        <f aca="false">IF(B65="","",IFERROR(INDEX('CARNET DE SOUDURE'!$D$7:$D$1506,MATCH(B65,'CARNET DE SOUDURE'!$K$7:$K$1506,0)),IFERROR(INDEX('CARNET DE SOUDURE'!$D$7:$D$1506,MATCH(B65,'CARNET DE SOUDURE'!$M$7:$M$1506,0)),"")))</f>
        <v>0.00</v>
      </c>
      <c r="M65" s="81" t="str">
        <f aca="false">IF(B65="","",IF(OR(J65&lt;&gt;"",K65&lt;&gt;""),"POSÉ EN LIGNE",IF(H65&lt;&gt;"","BARDÉ","EN STOCK")))</f>
        <v>POSÉ EN LIGNE</v>
      </c>
      <c r="N65" s="79"/>
    </row>
    <row r="66" customFormat="false" ht="15" hidden="false" customHeight="false" outlineLevel="0" collapsed="false">
      <c r="A66" s="78" t="n">
        <f aca="false">IF(B66="","",ROW()-6)</f>
        <v>60</v>
      </c>
      <c r="B66" s="90" t="s">
        <v>323</v>
      </c>
      <c r="C66" s="91" t="n">
        <v>24703643</v>
      </c>
      <c r="D66" s="91" t="n">
        <v>924043072</v>
      </c>
      <c r="E66" s="80" t="n">
        <v>111</v>
      </c>
      <c r="F66" s="92" t="n">
        <v>12.12</v>
      </c>
      <c r="G66" s="79" t="s">
        <v>605</v>
      </c>
      <c r="H66" s="82"/>
      <c r="I66" s="93" t="str">
        <f aca="false">IF(B66="","",IFERROR(INDEX('CARNET DE SOUDURE'!$B$7:$B$1506,MATCH(B66,'CARNET DE SOUDURE'!$K$7:$K$1506,0)),IFERROR(INDEX('CARNET DE SOUDURE'!$B$7:$B$1506,MATCH(B66,'CARNET DE SOUDURE'!$M$7:$M$1506,0)),"")))</f>
        <v>TFT 716 → TL7-MMFW2</v>
      </c>
      <c r="J66" s="78" t="str">
        <f aca="false">IF(B66="","",IFERROR(INDEX('CARNET DE SOUDURE'!$E$7:$E$1506,MATCH(B66,'CARNET DE SOUDURE'!$M$7:$M$1506,0)),""))</f>
        <v>JN°089</v>
      </c>
      <c r="K66" s="78" t="str">
        <f aca="false">IF(B66="","",IFERROR(INDEX('CARNET DE SOUDURE'!$E$7:$E$1506,MATCH(B66,'CARNET DE SOUDURE'!$K$7:$K$1506,0)),""))</f>
        <v>JN°090</v>
      </c>
      <c r="L66" s="78" t="str">
        <f aca="false">IF(B66="","",IFERROR(INDEX('CARNET DE SOUDURE'!$D$7:$D$1506,MATCH(B66,'CARNET DE SOUDURE'!$K$7:$K$1506,0)),IFERROR(INDEX('CARNET DE SOUDURE'!$D$7:$D$1506,MATCH(B66,'CARNET DE SOUDURE'!$M$7:$M$1506,0)),"")))</f>
        <v>1.00</v>
      </c>
      <c r="M66" s="81" t="str">
        <f aca="false">IF(B66="","",IF(OR(J66&lt;&gt;"",K66&lt;&gt;""),"POSÉ EN LIGNE",IF(H66&lt;&gt;"","BARDÉ","EN STOCK")))</f>
        <v>POSÉ EN LIGNE</v>
      </c>
      <c r="N66" s="79"/>
    </row>
    <row r="67" customFormat="false" ht="15" hidden="false" customHeight="false" outlineLevel="0" collapsed="false">
      <c r="A67" s="78" t="n">
        <f aca="false">IF(B67="","",ROW()-6)</f>
        <v>61</v>
      </c>
      <c r="B67" s="90" t="s">
        <v>331</v>
      </c>
      <c r="C67" s="91" t="n">
        <v>24703643</v>
      </c>
      <c r="D67" s="91" t="n">
        <v>924043072</v>
      </c>
      <c r="E67" s="80" t="n">
        <v>112</v>
      </c>
      <c r="F67" s="92" t="n">
        <v>12.21</v>
      </c>
      <c r="G67" s="79" t="s">
        <v>605</v>
      </c>
      <c r="H67" s="82"/>
      <c r="I67" s="93" t="str">
        <f aca="false">IF(B67="","",IFERROR(INDEX('CARNET DE SOUDURE'!$B$7:$B$1506,MATCH(B67,'CARNET DE SOUDURE'!$K$7:$K$1506,0)),IFERROR(INDEX('CARNET DE SOUDURE'!$B$7:$B$1506,MATCH(B67,'CARNET DE SOUDURE'!$M$7:$M$1506,0)),"")))</f>
        <v>TFT 716 → TL7-MMFW2</v>
      </c>
      <c r="J67" s="78" t="str">
        <f aca="false">IF(B67="","",IFERROR(INDEX('CARNET DE SOUDURE'!$E$7:$E$1506,MATCH(B67,'CARNET DE SOUDURE'!$M$7:$M$1506,0)),""))</f>
        <v>JN°093</v>
      </c>
      <c r="K67" s="78" t="str">
        <f aca="false">IF(B67="","",IFERROR(INDEX('CARNET DE SOUDURE'!$E$7:$E$1506,MATCH(B67,'CARNET DE SOUDURE'!$K$7:$K$1506,0)),""))</f>
        <v>JN°094</v>
      </c>
      <c r="L67" s="78" t="str">
        <f aca="false">IF(B67="","",IFERROR(INDEX('CARNET DE SOUDURE'!$D$7:$D$1506,MATCH(B67,'CARNET DE SOUDURE'!$K$7:$K$1506,0)),IFERROR(INDEX('CARNET DE SOUDURE'!$D$7:$D$1506,MATCH(B67,'CARNET DE SOUDURE'!$M$7:$M$1506,0)),"")))</f>
        <v>1.00</v>
      </c>
      <c r="M67" s="81" t="str">
        <f aca="false">IF(B67="","",IF(OR(J67&lt;&gt;"",K67&lt;&gt;""),"POSÉ EN LIGNE",IF(H67&lt;&gt;"","BARDÉ","EN STOCK")))</f>
        <v>POSÉ EN LIGNE</v>
      </c>
      <c r="N67" s="79"/>
    </row>
    <row r="68" customFormat="false" ht="15" hidden="false" customHeight="false" outlineLevel="0" collapsed="false">
      <c r="A68" s="78" t="n">
        <f aca="false">IF(B68="","",ROW()-6)</f>
        <v>62</v>
      </c>
      <c r="B68" s="90" t="s">
        <v>333</v>
      </c>
      <c r="C68" s="91" t="n">
        <v>24703643</v>
      </c>
      <c r="D68" s="91" t="n">
        <v>924043072</v>
      </c>
      <c r="E68" s="80" t="n">
        <v>113</v>
      </c>
      <c r="F68" s="92" t="n">
        <v>12.21</v>
      </c>
      <c r="G68" s="79" t="s">
        <v>605</v>
      </c>
      <c r="H68" s="82"/>
      <c r="I68" s="93" t="str">
        <f aca="false">IF(B68="","",IFERROR(INDEX('CARNET DE SOUDURE'!$B$7:$B$1506,MATCH(B68,'CARNET DE SOUDURE'!$K$7:$K$1506,0)),IFERROR(INDEX('CARNET DE SOUDURE'!$B$7:$B$1506,MATCH(B68,'CARNET DE SOUDURE'!$M$7:$M$1506,0)),"")))</f>
        <v>TFT 716 → TL7-MMFW2</v>
      </c>
      <c r="J68" s="78" t="str">
        <f aca="false">IF(B68="","",IFERROR(INDEX('CARNET DE SOUDURE'!$E$7:$E$1506,MATCH(B68,'CARNET DE SOUDURE'!$M$7:$M$1506,0)),""))</f>
        <v>JN°094</v>
      </c>
      <c r="K68" s="78" t="str">
        <f aca="false">IF(B68="","",IFERROR(INDEX('CARNET DE SOUDURE'!$E$7:$E$1506,MATCH(B68,'CARNET DE SOUDURE'!$K$7:$K$1506,0)),""))</f>
        <v>JN°095</v>
      </c>
      <c r="L68" s="78" t="str">
        <f aca="false">IF(B68="","",IFERROR(INDEX('CARNET DE SOUDURE'!$D$7:$D$1506,MATCH(B68,'CARNET DE SOUDURE'!$K$7:$K$1506,0)),IFERROR(INDEX('CARNET DE SOUDURE'!$D$7:$D$1506,MATCH(B68,'CARNET DE SOUDURE'!$M$7:$M$1506,0)),"")))</f>
        <v>1.00</v>
      </c>
      <c r="M68" s="81" t="str">
        <f aca="false">IF(B68="","",IF(OR(J68&lt;&gt;"",K68&lt;&gt;""),"POSÉ EN LIGNE",IF(H68&lt;&gt;"","BARDÉ","EN STOCK")))</f>
        <v>POSÉ EN LIGNE</v>
      </c>
      <c r="N68" s="79"/>
    </row>
    <row r="69" customFormat="false" ht="15" hidden="false" customHeight="false" outlineLevel="0" collapsed="false">
      <c r="A69" s="78" t="n">
        <f aca="false">IF(B69="","",ROW()-6)</f>
        <v>63</v>
      </c>
      <c r="B69" s="90" t="s">
        <v>327</v>
      </c>
      <c r="C69" s="91" t="n">
        <v>24703643</v>
      </c>
      <c r="D69" s="91" t="n">
        <v>924043072</v>
      </c>
      <c r="E69" s="80" t="n">
        <v>114</v>
      </c>
      <c r="F69" s="92" t="n">
        <v>12.21</v>
      </c>
      <c r="G69" s="79" t="s">
        <v>605</v>
      </c>
      <c r="H69" s="82"/>
      <c r="I69" s="93" t="str">
        <f aca="false">IF(B69="","",IFERROR(INDEX('CARNET DE SOUDURE'!$B$7:$B$1506,MATCH(B69,'CARNET DE SOUDURE'!$K$7:$K$1506,0)),IFERROR(INDEX('CARNET DE SOUDURE'!$B$7:$B$1506,MATCH(B69,'CARNET DE SOUDURE'!$M$7:$M$1506,0)),"")))</f>
        <v>TFT 716 → TL7-MMFW2</v>
      </c>
      <c r="J69" s="78" t="str">
        <f aca="false">IF(B69="","",IFERROR(INDEX('CARNET DE SOUDURE'!$E$7:$E$1506,MATCH(B69,'CARNET DE SOUDURE'!$M$7:$M$1506,0)),""))</f>
        <v>JN°091</v>
      </c>
      <c r="K69" s="78" t="str">
        <f aca="false">IF(B69="","",IFERROR(INDEX('CARNET DE SOUDURE'!$E$7:$E$1506,MATCH(B69,'CARNET DE SOUDURE'!$K$7:$K$1506,0)),""))</f>
        <v>JN°092</v>
      </c>
      <c r="L69" s="78" t="str">
        <f aca="false">IF(B69="","",IFERROR(INDEX('CARNET DE SOUDURE'!$D$7:$D$1506,MATCH(B69,'CARNET DE SOUDURE'!$K$7:$K$1506,0)),IFERROR(INDEX('CARNET DE SOUDURE'!$D$7:$D$1506,MATCH(B69,'CARNET DE SOUDURE'!$M$7:$M$1506,0)),"")))</f>
        <v>1.00</v>
      </c>
      <c r="M69" s="81" t="str">
        <f aca="false">IF(B69="","",IF(OR(J69&lt;&gt;"",K69&lt;&gt;""),"POSÉ EN LIGNE",IF(H69&lt;&gt;"","BARDÉ","EN STOCK")))</f>
        <v>POSÉ EN LIGNE</v>
      </c>
      <c r="N69" s="79"/>
    </row>
    <row r="70" customFormat="false" ht="15" hidden="false" customHeight="false" outlineLevel="0" collapsed="false">
      <c r="A70" s="78" t="n">
        <f aca="false">IF(B70="","",ROW()-6)</f>
        <v>64</v>
      </c>
      <c r="B70" s="90" t="s">
        <v>317</v>
      </c>
      <c r="C70" s="91" t="n">
        <v>24703643</v>
      </c>
      <c r="D70" s="91" t="n">
        <v>924043072</v>
      </c>
      <c r="E70" s="80" t="n">
        <v>115</v>
      </c>
      <c r="F70" s="92" t="n">
        <v>12.21</v>
      </c>
      <c r="G70" s="79" t="s">
        <v>605</v>
      </c>
      <c r="H70" s="82"/>
      <c r="I70" s="93" t="str">
        <f aca="false">IF(B70="","",IFERROR(INDEX('CARNET DE SOUDURE'!$B$7:$B$1506,MATCH(B70,'CARNET DE SOUDURE'!$K$7:$K$1506,0)),IFERROR(INDEX('CARNET DE SOUDURE'!$B$7:$B$1506,MATCH(B70,'CARNET DE SOUDURE'!$M$7:$M$1506,0)),"")))</f>
        <v>TFT 716 → TL7-MMFW2</v>
      </c>
      <c r="J70" s="78" t="str">
        <f aca="false">IF(B70="","",IFERROR(INDEX('CARNET DE SOUDURE'!$E$7:$E$1506,MATCH(B70,'CARNET DE SOUDURE'!$M$7:$M$1506,0)),""))</f>
        <v>JN°087</v>
      </c>
      <c r="K70" s="78" t="str">
        <f aca="false">IF(B70="","",IFERROR(INDEX('CARNET DE SOUDURE'!$E$7:$E$1506,MATCH(B70,'CARNET DE SOUDURE'!$K$7:$K$1506,0)),""))</f>
        <v>JN°088</v>
      </c>
      <c r="L70" s="78" t="str">
        <f aca="false">IF(B70="","",IFERROR(INDEX('CARNET DE SOUDURE'!$D$7:$D$1506,MATCH(B70,'CARNET DE SOUDURE'!$K$7:$K$1506,0)),IFERROR(INDEX('CARNET DE SOUDURE'!$D$7:$D$1506,MATCH(B70,'CARNET DE SOUDURE'!$M$7:$M$1506,0)),"")))</f>
        <v>1.00</v>
      </c>
      <c r="M70" s="81" t="str">
        <f aca="false">IF(B70="","",IF(OR(J70&lt;&gt;"",K70&lt;&gt;""),"POSÉ EN LIGNE",IF(H70&lt;&gt;"","BARDÉ","EN STOCK")))</f>
        <v>POSÉ EN LIGNE</v>
      </c>
      <c r="N70" s="79"/>
    </row>
    <row r="71" customFormat="false" ht="15" hidden="false" customHeight="false" outlineLevel="0" collapsed="false">
      <c r="A71" s="78" t="n">
        <f aca="false">IF(B71="","",ROW()-6)</f>
        <v>65</v>
      </c>
      <c r="B71" s="90" t="s">
        <v>349</v>
      </c>
      <c r="C71" s="91" t="n">
        <v>24703645</v>
      </c>
      <c r="D71" s="91" t="n">
        <v>924043080</v>
      </c>
      <c r="E71" s="80" t="n">
        <v>116</v>
      </c>
      <c r="F71" s="92" t="n">
        <v>12.21</v>
      </c>
      <c r="G71" s="79" t="s">
        <v>605</v>
      </c>
      <c r="H71" s="82"/>
      <c r="I71" s="93" t="str">
        <f aca="false">IF(B71="","",IFERROR(INDEX('CARNET DE SOUDURE'!$B$7:$B$1506,MATCH(B71,'CARNET DE SOUDURE'!$K$7:$K$1506,0)),IFERROR(INDEX('CARNET DE SOUDURE'!$B$7:$B$1506,MATCH(B71,'CARNET DE SOUDURE'!$M$7:$M$1506,0)),"")))</f>
        <v>TFT 716 → TL7-MMFW2</v>
      </c>
      <c r="J71" s="78" t="str">
        <f aca="false">IF(B71="","",IFERROR(INDEX('CARNET DE SOUDURE'!$E$7:$E$1506,MATCH(B71,'CARNET DE SOUDURE'!$M$7:$M$1506,0)),""))</f>
        <v>JN°101</v>
      </c>
      <c r="K71" s="78" t="str">
        <f aca="false">IF(B71="","",IFERROR(INDEX('CARNET DE SOUDURE'!$E$7:$E$1506,MATCH(B71,'CARNET DE SOUDURE'!$K$7:$K$1506,0)),""))</f>
        <v>JN°102</v>
      </c>
      <c r="L71" s="78" t="str">
        <f aca="false">IF(B71="","",IFERROR(INDEX('CARNET DE SOUDURE'!$D$7:$D$1506,MATCH(B71,'CARNET DE SOUDURE'!$K$7:$K$1506,0)),IFERROR(INDEX('CARNET DE SOUDURE'!$D$7:$D$1506,MATCH(B71,'CARNET DE SOUDURE'!$M$7:$M$1506,0)),"")))</f>
        <v>1.00</v>
      </c>
      <c r="M71" s="81" t="str">
        <f aca="false">IF(B71="","",IF(OR(J71&lt;&gt;"",K71&lt;&gt;""),"POSÉ EN LIGNE",IF(H71&lt;&gt;"","BARDÉ","EN STOCK")))</f>
        <v>POSÉ EN LIGNE</v>
      </c>
      <c r="N71" s="79"/>
    </row>
    <row r="72" customFormat="false" ht="15" hidden="false" customHeight="false" outlineLevel="0" collapsed="false">
      <c r="A72" s="78" t="n">
        <f aca="false">IF(B72="","",ROW()-6)</f>
        <v>66</v>
      </c>
      <c r="B72" s="90" t="s">
        <v>308</v>
      </c>
      <c r="C72" s="91" t="n">
        <v>24703645</v>
      </c>
      <c r="D72" s="91" t="n">
        <v>924043080</v>
      </c>
      <c r="E72" s="80" t="n">
        <v>118</v>
      </c>
      <c r="F72" s="92" t="n">
        <v>12.21</v>
      </c>
      <c r="G72" s="79" t="s">
        <v>605</v>
      </c>
      <c r="H72" s="82"/>
      <c r="I72" s="93" t="str">
        <f aca="false">IF(B72="","",IFERROR(INDEX('CARNET DE SOUDURE'!$B$7:$B$1506,MATCH(B72,'CARNET DE SOUDURE'!$K$7:$K$1506,0)),IFERROR(INDEX('CARNET DE SOUDURE'!$B$7:$B$1506,MATCH(B72,'CARNET DE SOUDURE'!$M$7:$M$1506,0)),"")))</f>
        <v>TFT 716 → TL7-MMFW2</v>
      </c>
      <c r="J72" s="78" t="str">
        <f aca="false">IF(B72="","",IFERROR(INDEX('CARNET DE SOUDURE'!$E$7:$E$1506,MATCH(B72,'CARNET DE SOUDURE'!$M$7:$M$1506,0)),""))</f>
        <v>JN°083</v>
      </c>
      <c r="K72" s="78" t="str">
        <f aca="false">IF(B72="","",IFERROR(INDEX('CARNET DE SOUDURE'!$E$7:$E$1506,MATCH(B72,'CARNET DE SOUDURE'!$K$7:$K$1506,0)),""))</f>
        <v>JN°084</v>
      </c>
      <c r="L72" s="78" t="str">
        <f aca="false">IF(B72="","",IFERROR(INDEX('CARNET DE SOUDURE'!$D$7:$D$1506,MATCH(B72,'CARNET DE SOUDURE'!$K$7:$K$1506,0)),IFERROR(INDEX('CARNET DE SOUDURE'!$D$7:$D$1506,MATCH(B72,'CARNET DE SOUDURE'!$M$7:$M$1506,0)),"")))</f>
        <v>0.00</v>
      </c>
      <c r="M72" s="81" t="str">
        <f aca="false">IF(B72="","",IF(OR(J72&lt;&gt;"",K72&lt;&gt;""),"POSÉ EN LIGNE",IF(H72&lt;&gt;"","BARDÉ","EN STOCK")))</f>
        <v>POSÉ EN LIGNE</v>
      </c>
      <c r="N72" s="79"/>
    </row>
    <row r="73" customFormat="false" ht="15" hidden="false" customHeight="false" outlineLevel="0" collapsed="false">
      <c r="A73" s="78" t="n">
        <f aca="false">IF(B73="","",ROW()-6)</f>
        <v>67</v>
      </c>
      <c r="B73" s="90" t="s">
        <v>310</v>
      </c>
      <c r="C73" s="91" t="n">
        <v>24703645</v>
      </c>
      <c r="D73" s="91" t="n">
        <v>924043080</v>
      </c>
      <c r="E73" s="80" t="n">
        <v>119</v>
      </c>
      <c r="F73" s="92" t="n">
        <v>12.2</v>
      </c>
      <c r="G73" s="79" t="s">
        <v>605</v>
      </c>
      <c r="H73" s="82"/>
      <c r="I73" s="93" t="str">
        <f aca="false">IF(B73="","",IFERROR(INDEX('CARNET DE SOUDURE'!$B$7:$B$1506,MATCH(B73,'CARNET DE SOUDURE'!$K$7:$K$1506,0)),IFERROR(INDEX('CARNET DE SOUDURE'!$B$7:$B$1506,MATCH(B73,'CARNET DE SOUDURE'!$M$7:$M$1506,0)),"")))</f>
        <v>TFT 716 → TL7-MMFW2</v>
      </c>
      <c r="J73" s="78" t="str">
        <f aca="false">IF(B73="","",IFERROR(INDEX('CARNET DE SOUDURE'!$E$7:$E$1506,MATCH(B73,'CARNET DE SOUDURE'!$M$7:$M$1506,0)),""))</f>
        <v>JN°084</v>
      </c>
      <c r="K73" s="78" t="str">
        <f aca="false">IF(B73="","",IFERROR(INDEX('CARNET DE SOUDURE'!$E$7:$E$1506,MATCH(B73,'CARNET DE SOUDURE'!$K$7:$K$1506,0)),""))</f>
        <v>JN°085</v>
      </c>
      <c r="L73" s="78" t="str">
        <f aca="false">IF(B73="","",IFERROR(INDEX('CARNET DE SOUDURE'!$D$7:$D$1506,MATCH(B73,'CARNET DE SOUDURE'!$K$7:$K$1506,0)),IFERROR(INDEX('CARNET DE SOUDURE'!$D$7:$D$1506,MATCH(B73,'CARNET DE SOUDURE'!$M$7:$M$1506,0)),"")))</f>
        <v>0.00</v>
      </c>
      <c r="M73" s="81" t="str">
        <f aca="false">IF(B73="","",IF(OR(J73&lt;&gt;"",K73&lt;&gt;""),"POSÉ EN LIGNE",IF(H73&lt;&gt;"","BARDÉ","EN STOCK")))</f>
        <v>POSÉ EN LIGNE</v>
      </c>
      <c r="N73" s="79"/>
    </row>
    <row r="74" customFormat="false" ht="15" hidden="false" customHeight="false" outlineLevel="0" collapsed="false">
      <c r="A74" s="78" t="n">
        <f aca="false">IF(B74="","",ROW()-6)</f>
        <v>68</v>
      </c>
      <c r="B74" s="90" t="s">
        <v>306</v>
      </c>
      <c r="C74" s="91" t="n">
        <v>24703645</v>
      </c>
      <c r="D74" s="91" t="n">
        <v>924043080</v>
      </c>
      <c r="E74" s="80" t="n">
        <v>120</v>
      </c>
      <c r="F74" s="92" t="n">
        <v>12.21</v>
      </c>
      <c r="G74" s="79" t="s">
        <v>605</v>
      </c>
      <c r="H74" s="82"/>
      <c r="I74" s="93" t="str">
        <f aca="false">IF(B74="","",IFERROR(INDEX('CARNET DE SOUDURE'!$B$7:$B$1506,MATCH(B74,'CARNET DE SOUDURE'!$K$7:$K$1506,0)),IFERROR(INDEX('CARNET DE SOUDURE'!$B$7:$B$1506,MATCH(B74,'CARNET DE SOUDURE'!$M$7:$M$1506,0)),"")))</f>
        <v>TFT 716 → TL7-MMFW2</v>
      </c>
      <c r="J74" s="78" t="str">
        <f aca="false">IF(B74="","",IFERROR(INDEX('CARNET DE SOUDURE'!$E$7:$E$1506,MATCH(B74,'CARNET DE SOUDURE'!$M$7:$M$1506,0)),""))</f>
        <v>JN°082</v>
      </c>
      <c r="K74" s="78" t="str">
        <f aca="false">IF(B74="","",IFERROR(INDEX('CARNET DE SOUDURE'!$E$7:$E$1506,MATCH(B74,'CARNET DE SOUDURE'!$K$7:$K$1506,0)),""))</f>
        <v>JN°083</v>
      </c>
      <c r="L74" s="78" t="str">
        <f aca="false">IF(B74="","",IFERROR(INDEX('CARNET DE SOUDURE'!$D$7:$D$1506,MATCH(B74,'CARNET DE SOUDURE'!$K$7:$K$1506,0)),IFERROR(INDEX('CARNET DE SOUDURE'!$D$7:$D$1506,MATCH(B74,'CARNET DE SOUDURE'!$M$7:$M$1506,0)),"")))</f>
        <v>0.00</v>
      </c>
      <c r="M74" s="81" t="str">
        <f aca="false">IF(B74="","",IF(OR(J74&lt;&gt;"",K74&lt;&gt;""),"POSÉ EN LIGNE",IF(H74&lt;&gt;"","BARDÉ","EN STOCK")))</f>
        <v>POSÉ EN LIGNE</v>
      </c>
      <c r="N74" s="79"/>
    </row>
    <row r="75" customFormat="false" ht="15" hidden="false" customHeight="false" outlineLevel="0" collapsed="false">
      <c r="A75" s="78" t="n">
        <f aca="false">IF(B75="","",ROW()-6)</f>
        <v>69</v>
      </c>
      <c r="B75" s="90" t="s">
        <v>355</v>
      </c>
      <c r="C75" s="91" t="n">
        <v>24803598</v>
      </c>
      <c r="D75" s="91" t="n">
        <v>924043096</v>
      </c>
      <c r="E75" s="80" t="n">
        <v>121</v>
      </c>
      <c r="F75" s="92" t="n">
        <v>12.21</v>
      </c>
      <c r="G75" s="79" t="s">
        <v>605</v>
      </c>
      <c r="H75" s="82"/>
      <c r="I75" s="93" t="str">
        <f aca="false">IF(B75="","",IFERROR(INDEX('CARNET DE SOUDURE'!$B$7:$B$1506,MATCH(B75,'CARNET DE SOUDURE'!$K$7:$K$1506,0)),IFERROR(INDEX('CARNET DE SOUDURE'!$B$7:$B$1506,MATCH(B75,'CARNET DE SOUDURE'!$M$7:$M$1506,0)),"")))</f>
        <v>TFT 716 → TL7-MMFW2</v>
      </c>
      <c r="J75" s="78" t="str">
        <f aca="false">IF(B75="","",IFERROR(INDEX('CARNET DE SOUDURE'!$E$7:$E$1506,MATCH(B75,'CARNET DE SOUDURE'!$M$7:$M$1506,0)),""))</f>
        <v>JN°104 NX</v>
      </c>
      <c r="K75" s="78" t="str">
        <f aca="false">IF(B75="","",IFERROR(INDEX('CARNET DE SOUDURE'!$E$7:$E$1506,MATCH(B75,'CARNET DE SOUDURE'!$K$7:$K$1506,0)),""))</f>
        <v>JN°105</v>
      </c>
      <c r="L75" s="78" t="str">
        <f aca="false">IF(B75="","",IFERROR(INDEX('CARNET DE SOUDURE'!$D$7:$D$1506,MATCH(B75,'CARNET DE SOUDURE'!$K$7:$K$1506,0)),IFERROR(INDEX('CARNET DE SOUDURE'!$D$7:$D$1506,MATCH(B75,'CARNET DE SOUDURE'!$M$7:$M$1506,0)),"")))</f>
        <v>1.00</v>
      </c>
      <c r="M75" s="81" t="str">
        <f aca="false">IF(B75="","",IF(OR(J75&lt;&gt;"",K75&lt;&gt;""),"POSÉ EN LIGNE",IF(H75&lt;&gt;"","BARDÉ","EN STOCK")))</f>
        <v>POSÉ EN LIGNE</v>
      </c>
      <c r="N75" s="79"/>
    </row>
    <row r="76" customFormat="false" ht="15" hidden="false" customHeight="false" outlineLevel="0" collapsed="false">
      <c r="A76" s="78" t="n">
        <f aca="false">IF(B76="","",ROW()-6)</f>
        <v>70</v>
      </c>
      <c r="B76" s="90" t="s">
        <v>335</v>
      </c>
      <c r="C76" s="91" t="n">
        <v>24803598</v>
      </c>
      <c r="D76" s="91" t="n">
        <v>924043096</v>
      </c>
      <c r="E76" s="80" t="n">
        <v>122</v>
      </c>
      <c r="F76" s="92" t="n">
        <v>12.21</v>
      </c>
      <c r="G76" s="79" t="s">
        <v>605</v>
      </c>
      <c r="H76" s="82"/>
      <c r="I76" s="93" t="str">
        <f aca="false">IF(B76="","",IFERROR(INDEX('CARNET DE SOUDURE'!$B$7:$B$1506,MATCH(B76,'CARNET DE SOUDURE'!$K$7:$K$1506,0)),IFERROR(INDEX('CARNET DE SOUDURE'!$B$7:$B$1506,MATCH(B76,'CARNET DE SOUDURE'!$M$7:$M$1506,0)),"")))</f>
        <v>TFT 716 → TL7-MMFW2</v>
      </c>
      <c r="J76" s="78" t="str">
        <f aca="false">IF(B76="","",IFERROR(INDEX('CARNET DE SOUDURE'!$E$7:$E$1506,MATCH(B76,'CARNET DE SOUDURE'!$M$7:$M$1506,0)),""))</f>
        <v>JN°095</v>
      </c>
      <c r="K76" s="78" t="str">
        <f aca="false">IF(B76="","",IFERROR(INDEX('CARNET DE SOUDURE'!$E$7:$E$1506,MATCH(B76,'CARNET DE SOUDURE'!$K$7:$K$1506,0)),""))</f>
        <v>JN°096</v>
      </c>
      <c r="L76" s="78" t="str">
        <f aca="false">IF(B76="","",IFERROR(INDEX('CARNET DE SOUDURE'!$D$7:$D$1506,MATCH(B76,'CARNET DE SOUDURE'!$K$7:$K$1506,0)),IFERROR(INDEX('CARNET DE SOUDURE'!$D$7:$D$1506,MATCH(B76,'CARNET DE SOUDURE'!$M$7:$M$1506,0)),"")))</f>
        <v>1.00</v>
      </c>
      <c r="M76" s="81" t="str">
        <f aca="false">IF(B76="","",IF(OR(J76&lt;&gt;"",K76&lt;&gt;""),"POSÉ EN LIGNE",IF(H76&lt;&gt;"","BARDÉ","EN STOCK")))</f>
        <v>POSÉ EN LIGNE</v>
      </c>
      <c r="N76" s="79"/>
    </row>
    <row r="77" customFormat="false" ht="15" hidden="false" customHeight="false" outlineLevel="0" collapsed="false">
      <c r="A77" s="78" t="n">
        <f aca="false">IF(B77="","",ROW()-6)</f>
        <v>71</v>
      </c>
      <c r="B77" s="90" t="s">
        <v>373</v>
      </c>
      <c r="C77" s="91" t="n">
        <v>852404002574</v>
      </c>
      <c r="D77" s="91" t="n">
        <v>924043252</v>
      </c>
      <c r="E77" s="80" t="n">
        <v>19</v>
      </c>
      <c r="F77" s="92" t="n">
        <v>12.19</v>
      </c>
      <c r="G77" s="79" t="s">
        <v>605</v>
      </c>
      <c r="H77" s="82"/>
      <c r="I77" s="93" t="str">
        <f aca="false">IF(B77="","",IFERROR(INDEX('CARNET DE SOUDURE'!$B$7:$B$1506,MATCH(B77,'CARNET DE SOUDURE'!$K$7:$K$1506,0)),IFERROR(INDEX('CARNET DE SOUDURE'!$B$7:$B$1506,MATCH(B77,'CARNET DE SOUDURE'!$M$7:$M$1506,0)),"")))</f>
        <v>TFT 716 → TL7-MMFW2</v>
      </c>
      <c r="J77" s="78" t="str">
        <f aca="false">IF(B77="","",IFERROR(INDEX('CARNET DE SOUDURE'!$E$7:$E$1506,MATCH(B77,'CARNET DE SOUDURE'!$M$7:$M$1506,0)),""))</f>
        <v>JN°112</v>
      </c>
      <c r="K77" s="78" t="str">
        <f aca="false">IF(B77="","",IFERROR(INDEX('CARNET DE SOUDURE'!$E$7:$E$1506,MATCH(B77,'CARNET DE SOUDURE'!$K$7:$K$1506,0)),""))</f>
        <v>JN°113</v>
      </c>
      <c r="L77" s="78" t="str">
        <f aca="false">IF(B77="","",IFERROR(INDEX('CARNET DE SOUDURE'!$D$7:$D$1506,MATCH(B77,'CARNET DE SOUDURE'!$K$7:$K$1506,0)),IFERROR(INDEX('CARNET DE SOUDURE'!$D$7:$D$1506,MATCH(B77,'CARNET DE SOUDURE'!$M$7:$M$1506,0)),"")))</f>
        <v>1.00</v>
      </c>
      <c r="M77" s="81" t="str">
        <f aca="false">IF(B77="","",IF(OR(J77&lt;&gt;"",K77&lt;&gt;""),"POSÉ EN LIGNE",IF(H77&lt;&gt;"","BARDÉ","EN STOCK")))</f>
        <v>POSÉ EN LIGNE</v>
      </c>
      <c r="N77" s="79"/>
    </row>
    <row r="78" customFormat="false" ht="22.35" hidden="false" customHeight="false" outlineLevel="0" collapsed="false">
      <c r="A78" s="78" t="n">
        <f aca="false">IF(B78="","",ROW()-6)</f>
        <v>72</v>
      </c>
      <c r="B78" s="90" t="s">
        <v>607</v>
      </c>
      <c r="C78" s="91" t="s">
        <v>608</v>
      </c>
      <c r="D78" s="91" t="s">
        <v>609</v>
      </c>
      <c r="E78" s="80" t="s">
        <v>610</v>
      </c>
      <c r="F78" s="92" t="s">
        <v>611</v>
      </c>
      <c r="G78" s="79" t="s">
        <v>612</v>
      </c>
      <c r="H78" s="82"/>
      <c r="I78" s="93" t="str">
        <f aca="false">IF(B78="","",IFERROR(INDEX('CARNET DE SOUDURE'!$B$7:$B$1506,MATCH(B78,'CARNET DE SOUDURE'!$K$7:$K$1506,0)),IFERROR(INDEX('CARNET DE SOUDURE'!$B$7:$B$1506,MATCH(B78,'CARNET DE SOUDURE'!$M$7:$M$1506,0)),"")))</f>
        <v/>
      </c>
      <c r="J78" s="78" t="str">
        <f aca="false">IF(B78="","",IFERROR(INDEX('CARNET DE SOUDURE'!$E$7:$E$1506,MATCH(B78,'CARNET DE SOUDURE'!$M$7:$M$1506,0)),""))</f>
        <v/>
      </c>
      <c r="K78" s="78" t="str">
        <f aca="false">IF(B78="","",IFERROR(INDEX('CARNET DE SOUDURE'!$E$7:$E$1506,MATCH(B78,'CARNET DE SOUDURE'!$K$7:$K$1506,0)),""))</f>
        <v/>
      </c>
      <c r="L78" s="78" t="str">
        <f aca="false">IF(B78="","",IFERROR(INDEX('CARNET DE SOUDURE'!$D$7:$D$1506,MATCH(B78,'CARNET DE SOUDURE'!$K$7:$K$1506,0)),IFERROR(INDEX('CARNET DE SOUDURE'!$D$7:$D$1506,MATCH(B78,'CARNET DE SOUDURE'!$M$7:$M$1506,0)),"")))</f>
        <v/>
      </c>
      <c r="M78" s="81" t="str">
        <f aca="false">IF(B78="","",IF(OR(J78&lt;&gt;"",K78&lt;&gt;""),"POSÉ EN LIGNE",IF(H78&lt;&gt;"","BARDÉ","EN STOCK")))</f>
        <v>EN STOCK</v>
      </c>
      <c r="N78" s="79"/>
    </row>
    <row r="79" customFormat="false" ht="15" hidden="false" customHeight="false" outlineLevel="0" collapsed="false">
      <c r="A79" s="78" t="n">
        <f aca="false">IF(B79="","",ROW()-6)</f>
        <v>73</v>
      </c>
      <c r="B79" s="90" t="s">
        <v>241</v>
      </c>
      <c r="C79" s="91" t="n">
        <v>852405000415</v>
      </c>
      <c r="D79" s="91" t="n">
        <v>924054031</v>
      </c>
      <c r="E79" s="80" t="n">
        <v>1</v>
      </c>
      <c r="F79" s="92" t="n">
        <v>12.39</v>
      </c>
      <c r="G79" s="79" t="s">
        <v>605</v>
      </c>
      <c r="H79" s="82"/>
      <c r="I79" s="93" t="str">
        <f aca="false">IF(B79="","",IFERROR(INDEX('CARNET DE SOUDURE'!$B$7:$B$1506,MATCH(B79,'CARNET DE SOUDURE'!$K$7:$K$1506,0)),IFERROR(INDEX('CARNET DE SOUDURE'!$B$7:$B$1506,MATCH(B79,'CARNET DE SOUDURE'!$M$7:$M$1506,0)),"")))</f>
        <v>TFT 716 → TL7-MMFW2</v>
      </c>
      <c r="J79" s="78" t="str">
        <f aca="false">IF(B79="","",IFERROR(INDEX('CARNET DE SOUDURE'!$E$7:$E$1506,MATCH(B79,'CARNET DE SOUDURE'!$M$7:$M$1506,0)),""))</f>
        <v>JN°053</v>
      </c>
      <c r="K79" s="78" t="str">
        <f aca="false">IF(B79="","",IFERROR(INDEX('CARNET DE SOUDURE'!$E$7:$E$1506,MATCH(B79,'CARNET DE SOUDURE'!$K$7:$K$1506,0)),""))</f>
        <v>JN°054</v>
      </c>
      <c r="L79" s="78" t="str">
        <f aca="false">IF(B79="","",IFERROR(INDEX('CARNET DE SOUDURE'!$D$7:$D$1506,MATCH(B79,'CARNET DE SOUDURE'!$K$7:$K$1506,0)),IFERROR(INDEX('CARNET DE SOUDURE'!$D$7:$D$1506,MATCH(B79,'CARNET DE SOUDURE'!$M$7:$M$1506,0)),"")))</f>
        <v>0.00</v>
      </c>
      <c r="M79" s="81" t="str">
        <f aca="false">IF(B79="","",IF(OR(J79&lt;&gt;"",K79&lt;&gt;""),"POSÉ EN LIGNE",IF(H79&lt;&gt;"","BARDÉ","EN STOCK")))</f>
        <v>POSÉ EN LIGNE</v>
      </c>
      <c r="N79" s="79"/>
    </row>
    <row r="80" customFormat="false" ht="15" hidden="false" customHeight="false" outlineLevel="0" collapsed="false">
      <c r="A80" s="78" t="n">
        <f aca="false">IF(B80="","",ROW()-6)</f>
        <v>74</v>
      </c>
      <c r="B80" s="90" t="s">
        <v>302</v>
      </c>
      <c r="C80" s="91" t="n">
        <v>852405000449</v>
      </c>
      <c r="D80" s="91" t="n">
        <v>924054020</v>
      </c>
      <c r="E80" s="80" t="n">
        <v>12</v>
      </c>
      <c r="F80" s="92" t="n">
        <v>12.44</v>
      </c>
      <c r="G80" s="79" t="s">
        <v>605</v>
      </c>
      <c r="H80" s="82"/>
      <c r="I80" s="93" t="str">
        <f aca="false">IF(B80="","",IFERROR(INDEX('CARNET DE SOUDURE'!$B$7:$B$1506,MATCH(B80,'CARNET DE SOUDURE'!$K$7:$K$1506,0)),IFERROR(INDEX('CARNET DE SOUDURE'!$B$7:$B$1506,MATCH(B80,'CARNET DE SOUDURE'!$M$7:$M$1506,0)),"")))</f>
        <v>TFT 716 → TL7-MMFW2</v>
      </c>
      <c r="J80" s="78" t="str">
        <f aca="false">IF(B80="","",IFERROR(INDEX('CARNET DE SOUDURE'!$E$7:$E$1506,MATCH(B80,'CARNET DE SOUDURE'!$M$7:$M$1506,0)),""))</f>
        <v>JN°080</v>
      </c>
      <c r="K80" s="78" t="str">
        <f aca="false">IF(B80="","",IFERROR(INDEX('CARNET DE SOUDURE'!$E$7:$E$1506,MATCH(B80,'CARNET DE SOUDURE'!$K$7:$K$1506,0)),""))</f>
        <v>JN°081</v>
      </c>
      <c r="L80" s="78" t="str">
        <f aca="false">IF(B80="","",IFERROR(INDEX('CARNET DE SOUDURE'!$D$7:$D$1506,MATCH(B80,'CARNET DE SOUDURE'!$K$7:$K$1506,0)),IFERROR(INDEX('CARNET DE SOUDURE'!$D$7:$D$1506,MATCH(B80,'CARNET DE SOUDURE'!$M$7:$M$1506,0)),"")))</f>
        <v>0.00</v>
      </c>
      <c r="M80" s="81" t="str">
        <f aca="false">IF(B80="","",IF(OR(J80&lt;&gt;"",K80&lt;&gt;""),"POSÉ EN LIGNE",IF(H80&lt;&gt;"","BARDÉ","EN STOCK")))</f>
        <v>POSÉ EN LIGNE</v>
      </c>
      <c r="N80" s="79"/>
    </row>
    <row r="81" customFormat="false" ht="15" hidden="false" customHeight="false" outlineLevel="0" collapsed="false">
      <c r="A81" s="78" t="n">
        <f aca="false">IF(B81="","",ROW()-6)</f>
        <v>75</v>
      </c>
      <c r="B81" s="90" t="s">
        <v>239</v>
      </c>
      <c r="C81" s="91" t="n">
        <v>24803598</v>
      </c>
      <c r="D81" s="91" t="n">
        <v>924043096</v>
      </c>
      <c r="E81" s="80" t="n">
        <v>123</v>
      </c>
      <c r="F81" s="92" t="n">
        <v>12.21</v>
      </c>
      <c r="G81" s="79" t="s">
        <v>605</v>
      </c>
      <c r="H81" s="82"/>
      <c r="I81" s="93" t="str">
        <f aca="false">IF(B81="","",IFERROR(INDEX('CARNET DE SOUDURE'!$B$7:$B$1506,MATCH(B81,'CARNET DE SOUDURE'!$K$7:$K$1506,0)),IFERROR(INDEX('CARNET DE SOUDURE'!$B$7:$B$1506,MATCH(B81,'CARNET DE SOUDURE'!$M$7:$M$1506,0)),"")))</f>
        <v>TFT 716 → TL7-MMFW2</v>
      </c>
      <c r="J81" s="78" t="str">
        <f aca="false">IF(B81="","",IFERROR(INDEX('CARNET DE SOUDURE'!$E$7:$E$1506,MATCH(B81,'CARNET DE SOUDURE'!$M$7:$M$1506,0)),""))</f>
        <v>JN°052</v>
      </c>
      <c r="K81" s="78" t="str">
        <f aca="false">IF(B81="","",IFERROR(INDEX('CARNET DE SOUDURE'!$E$7:$E$1506,MATCH(B81,'CARNET DE SOUDURE'!$K$7:$K$1506,0)),""))</f>
        <v>JN°053</v>
      </c>
      <c r="L81" s="78" t="str">
        <f aca="false">IF(B81="","",IFERROR(INDEX('CARNET DE SOUDURE'!$D$7:$D$1506,MATCH(B81,'CARNET DE SOUDURE'!$K$7:$K$1506,0)),IFERROR(INDEX('CARNET DE SOUDURE'!$D$7:$D$1506,MATCH(B81,'CARNET DE SOUDURE'!$M$7:$M$1506,0)),"")))</f>
        <v>0.00</v>
      </c>
      <c r="M81" s="81" t="str">
        <f aca="false">IF(B81="","",IF(OR(J81&lt;&gt;"",K81&lt;&gt;""),"POSÉ EN LIGNE",IF(H81&lt;&gt;"","BARDÉ","EN STOCK")))</f>
        <v>POSÉ EN LIGNE</v>
      </c>
      <c r="N81" s="79"/>
    </row>
    <row r="82" customFormat="false" ht="15" hidden="false" customHeight="false" outlineLevel="0" collapsed="false">
      <c r="A82" s="78" t="n">
        <f aca="false">IF(B82="","",ROW()-6)</f>
        <v>76</v>
      </c>
      <c r="B82" s="90" t="s">
        <v>282</v>
      </c>
      <c r="C82" s="91" t="n">
        <v>24803598</v>
      </c>
      <c r="D82" s="91" t="n">
        <v>924043096</v>
      </c>
      <c r="E82" s="80" t="n">
        <v>124</v>
      </c>
      <c r="F82" s="92" t="n">
        <v>12.21</v>
      </c>
      <c r="G82" s="79" t="s">
        <v>605</v>
      </c>
      <c r="H82" s="82"/>
      <c r="I82" s="93" t="str">
        <f aca="false">IF(B82="","",IFERROR(INDEX('CARNET DE SOUDURE'!$B$7:$B$1506,MATCH(B82,'CARNET DE SOUDURE'!$K$7:$K$1506,0)),IFERROR(INDEX('CARNET DE SOUDURE'!$B$7:$B$1506,MATCH(B82,'CARNET DE SOUDURE'!$M$7:$M$1506,0)),"")))</f>
        <v>TFT 716 → TL7-MMFW2</v>
      </c>
      <c r="J82" s="78" t="str">
        <f aca="false">IF(B82="","",IFERROR(INDEX('CARNET DE SOUDURE'!$E$7:$E$1506,MATCH(B82,'CARNET DE SOUDURE'!$M$7:$M$1506,0)),""))</f>
        <v>JN°071</v>
      </c>
      <c r="K82" s="78" t="str">
        <f aca="false">IF(B82="","",IFERROR(INDEX('CARNET DE SOUDURE'!$E$7:$E$1506,MATCH(B82,'CARNET DE SOUDURE'!$K$7:$K$1506,0)),""))</f>
        <v>JN°072</v>
      </c>
      <c r="L82" s="78" t="str">
        <f aca="false">IF(B82="","",IFERROR(INDEX('CARNET DE SOUDURE'!$D$7:$D$1506,MATCH(B82,'CARNET DE SOUDURE'!$K$7:$K$1506,0)),IFERROR(INDEX('CARNET DE SOUDURE'!$D$7:$D$1506,MATCH(B82,'CARNET DE SOUDURE'!$M$7:$M$1506,0)),"")))</f>
        <v>0.00</v>
      </c>
      <c r="M82" s="81" t="str">
        <f aca="false">IF(B82="","",IF(OR(J82&lt;&gt;"",K82&lt;&gt;""),"POSÉ EN LIGNE",IF(H82&lt;&gt;"","BARDÉ","EN STOCK")))</f>
        <v>POSÉ EN LIGNE</v>
      </c>
      <c r="N82" s="79"/>
    </row>
    <row r="83" customFormat="false" ht="15" hidden="false" customHeight="false" outlineLevel="0" collapsed="false">
      <c r="A83" s="78" t="n">
        <f aca="false">IF(B83="","",ROW()-6)</f>
        <v>77</v>
      </c>
      <c r="B83" s="90" t="s">
        <v>284</v>
      </c>
      <c r="C83" s="91" t="n">
        <v>24803598</v>
      </c>
      <c r="D83" s="91" t="n">
        <v>924043096</v>
      </c>
      <c r="E83" s="80" t="n">
        <v>125</v>
      </c>
      <c r="F83" s="92" t="n">
        <v>12.22</v>
      </c>
      <c r="G83" s="79" t="s">
        <v>605</v>
      </c>
      <c r="H83" s="82"/>
      <c r="I83" s="93" t="str">
        <f aca="false">IF(B83="","",IFERROR(INDEX('CARNET DE SOUDURE'!$B$7:$B$1506,MATCH(B83,'CARNET DE SOUDURE'!$K$7:$K$1506,0)),IFERROR(INDEX('CARNET DE SOUDURE'!$B$7:$B$1506,MATCH(B83,'CARNET DE SOUDURE'!$M$7:$M$1506,0)),"")))</f>
        <v>TFT 716 → TL7-MMFW2</v>
      </c>
      <c r="J83" s="78" t="str">
        <f aca="false">IF(B83="","",IFERROR(INDEX('CARNET DE SOUDURE'!$E$7:$E$1506,MATCH(B83,'CARNET DE SOUDURE'!$M$7:$M$1506,0)),""))</f>
        <v>JN°072</v>
      </c>
      <c r="K83" s="78" t="str">
        <f aca="false">IF(B83="","",IFERROR(INDEX('CARNET DE SOUDURE'!$E$7:$E$1506,MATCH(B83,'CARNET DE SOUDURE'!$K$7:$K$1506,0)),""))</f>
        <v>JN°073</v>
      </c>
      <c r="L83" s="78" t="str">
        <f aca="false">IF(B83="","",IFERROR(INDEX('CARNET DE SOUDURE'!$D$7:$D$1506,MATCH(B83,'CARNET DE SOUDURE'!$K$7:$K$1506,0)),IFERROR(INDEX('CARNET DE SOUDURE'!$D$7:$D$1506,MATCH(B83,'CARNET DE SOUDURE'!$M$7:$M$1506,0)),"")))</f>
        <v>0.00</v>
      </c>
      <c r="M83" s="81" t="str">
        <f aca="false">IF(B83="","",IF(OR(J83&lt;&gt;"",K83&lt;&gt;""),"POSÉ EN LIGNE",IF(H83&lt;&gt;"","BARDÉ","EN STOCK")))</f>
        <v>POSÉ EN LIGNE</v>
      </c>
      <c r="N83" s="79"/>
    </row>
    <row r="84" customFormat="false" ht="15" hidden="false" customHeight="false" outlineLevel="0" collapsed="false">
      <c r="A84" s="78" t="n">
        <f aca="false">IF(B84="","",ROW()-6)</f>
        <v>78</v>
      </c>
      <c r="B84" s="90" t="s">
        <v>278</v>
      </c>
      <c r="C84" s="91" t="n">
        <v>24703643</v>
      </c>
      <c r="D84" s="91" t="n">
        <v>924043071</v>
      </c>
      <c r="E84" s="80" t="n">
        <v>126</v>
      </c>
      <c r="F84" s="92" t="n">
        <v>12.21</v>
      </c>
      <c r="G84" s="79" t="s">
        <v>605</v>
      </c>
      <c r="H84" s="82"/>
      <c r="I84" s="93" t="str">
        <f aca="false">IF(B84="","",IFERROR(INDEX('CARNET DE SOUDURE'!$B$7:$B$1506,MATCH(B84,'CARNET DE SOUDURE'!$K$7:$K$1506,0)),IFERROR(INDEX('CARNET DE SOUDURE'!$B$7:$B$1506,MATCH(B84,'CARNET DE SOUDURE'!$M$7:$M$1506,0)),"")))</f>
        <v>TFT 716 → TL7-MMFW2</v>
      </c>
      <c r="J84" s="78" t="str">
        <f aca="false">IF(B84="","",IFERROR(INDEX('CARNET DE SOUDURE'!$E$7:$E$1506,MATCH(B84,'CARNET DE SOUDURE'!$M$7:$M$1506,0)),""))</f>
        <v>JN°069</v>
      </c>
      <c r="K84" s="78" t="str">
        <f aca="false">IF(B84="","",IFERROR(INDEX('CARNET DE SOUDURE'!$E$7:$E$1506,MATCH(B84,'CARNET DE SOUDURE'!$K$7:$K$1506,0)),""))</f>
        <v>JN°070</v>
      </c>
      <c r="L84" s="78" t="str">
        <f aca="false">IF(B84="","",IFERROR(INDEX('CARNET DE SOUDURE'!$D$7:$D$1506,MATCH(B84,'CARNET DE SOUDURE'!$K$7:$K$1506,0)),IFERROR(INDEX('CARNET DE SOUDURE'!$D$7:$D$1506,MATCH(B84,'CARNET DE SOUDURE'!$M$7:$M$1506,0)),"")))</f>
        <v>0.00</v>
      </c>
      <c r="M84" s="81" t="str">
        <f aca="false">IF(B84="","",IF(OR(J84&lt;&gt;"",K84&lt;&gt;""),"POSÉ EN LIGNE",IF(H84&lt;&gt;"","BARDÉ","EN STOCK")))</f>
        <v>POSÉ EN LIGNE</v>
      </c>
      <c r="N84" s="79"/>
    </row>
    <row r="85" customFormat="false" ht="15" hidden="false" customHeight="false" outlineLevel="0" collapsed="false">
      <c r="A85" s="78" t="n">
        <f aca="false">IF(B85="","",ROW()-6)</f>
        <v>79</v>
      </c>
      <c r="B85" s="90" t="s">
        <v>267</v>
      </c>
      <c r="C85" s="91" t="n">
        <v>24703643</v>
      </c>
      <c r="D85" s="91" t="n">
        <v>924043071</v>
      </c>
      <c r="E85" s="80" t="n">
        <v>127</v>
      </c>
      <c r="F85" s="92" t="n">
        <v>12.21</v>
      </c>
      <c r="G85" s="79" t="s">
        <v>605</v>
      </c>
      <c r="H85" s="82"/>
      <c r="I85" s="93" t="str">
        <f aca="false">IF(B85="","",IFERROR(INDEX('CARNET DE SOUDURE'!$B$7:$B$1506,MATCH(B85,'CARNET DE SOUDURE'!$K$7:$K$1506,0)),IFERROR(INDEX('CARNET DE SOUDURE'!$B$7:$B$1506,MATCH(B85,'CARNET DE SOUDURE'!$M$7:$M$1506,0)),"")))</f>
        <v>TFT 716 → TL7-MMFW2</v>
      </c>
      <c r="J85" s="78" t="str">
        <f aca="false">IF(B85="","",IFERROR(INDEX('CARNET DE SOUDURE'!$E$7:$E$1506,MATCH(B85,'CARNET DE SOUDURE'!$M$7:$M$1506,0)),""))</f>
        <v>JN°064</v>
      </c>
      <c r="K85" s="78" t="str">
        <f aca="false">IF(B85="","",IFERROR(INDEX('CARNET DE SOUDURE'!$E$7:$E$1506,MATCH(B85,'CARNET DE SOUDURE'!$K$7:$K$1506,0)),""))</f>
        <v>JN°065</v>
      </c>
      <c r="L85" s="78" t="str">
        <f aca="false">IF(B85="","",IFERROR(INDEX('CARNET DE SOUDURE'!$D$7:$D$1506,MATCH(B85,'CARNET DE SOUDURE'!$K$7:$K$1506,0)),IFERROR(INDEX('CARNET DE SOUDURE'!$D$7:$D$1506,MATCH(B85,'CARNET DE SOUDURE'!$M$7:$M$1506,0)),"")))</f>
        <v>0.00</v>
      </c>
      <c r="M85" s="81" t="str">
        <f aca="false">IF(B85="","",IF(OR(J85&lt;&gt;"",K85&lt;&gt;""),"POSÉ EN LIGNE",IF(H85&lt;&gt;"","BARDÉ","EN STOCK")))</f>
        <v>POSÉ EN LIGNE</v>
      </c>
      <c r="N85" s="79"/>
    </row>
    <row r="86" customFormat="false" ht="15" hidden="false" customHeight="false" outlineLevel="0" collapsed="false">
      <c r="A86" s="78" t="n">
        <f aca="false">IF(B86="","",ROW()-6)</f>
        <v>80</v>
      </c>
      <c r="B86" s="90" t="s">
        <v>248</v>
      </c>
      <c r="C86" s="91" t="n">
        <v>24703643</v>
      </c>
      <c r="D86" s="91" t="n">
        <v>924043071</v>
      </c>
      <c r="E86" s="80" t="n">
        <v>129</v>
      </c>
      <c r="F86" s="92" t="n">
        <v>12.21</v>
      </c>
      <c r="G86" s="79" t="s">
        <v>605</v>
      </c>
      <c r="H86" s="82"/>
      <c r="I86" s="93" t="str">
        <f aca="false">IF(B86="","",IFERROR(INDEX('CARNET DE SOUDURE'!$B$7:$B$1506,MATCH(B86,'CARNET DE SOUDURE'!$K$7:$K$1506,0)),IFERROR(INDEX('CARNET DE SOUDURE'!$B$7:$B$1506,MATCH(B86,'CARNET DE SOUDURE'!$M$7:$M$1506,0)),"")))</f>
        <v>TFT 716 → TL7-MMFW2</v>
      </c>
      <c r="J86" s="78" t="str">
        <f aca="false">IF(B86="","",IFERROR(INDEX('CARNET DE SOUDURE'!$E$7:$E$1506,MATCH(B86,'CARNET DE SOUDURE'!$M$7:$M$1506,0)),""))</f>
        <v>JN°056</v>
      </c>
      <c r="K86" s="78" t="str">
        <f aca="false">IF(B86="","",IFERROR(INDEX('CARNET DE SOUDURE'!$E$7:$E$1506,MATCH(B86,'CARNET DE SOUDURE'!$K$7:$K$1506,0)),""))</f>
        <v>JN°057</v>
      </c>
      <c r="L86" s="78" t="str">
        <f aca="false">IF(B86="","",IFERROR(INDEX('CARNET DE SOUDURE'!$D$7:$D$1506,MATCH(B86,'CARNET DE SOUDURE'!$K$7:$K$1506,0)),IFERROR(INDEX('CARNET DE SOUDURE'!$D$7:$D$1506,MATCH(B86,'CARNET DE SOUDURE'!$M$7:$M$1506,0)),"")))</f>
        <v>0.00</v>
      </c>
      <c r="M86" s="81" t="str">
        <f aca="false">IF(B86="","",IF(OR(J86&lt;&gt;"",K86&lt;&gt;""),"POSÉ EN LIGNE",IF(H86&lt;&gt;"","BARDÉ","EN STOCK")))</f>
        <v>POSÉ EN LIGNE</v>
      </c>
      <c r="N86" s="79"/>
    </row>
    <row r="87" customFormat="false" ht="15" hidden="false" customHeight="false" outlineLevel="0" collapsed="false">
      <c r="A87" s="78" t="n">
        <f aca="false">IF(B87="","",ROW()-6)</f>
        <v>81</v>
      </c>
      <c r="B87" s="90" t="s">
        <v>218</v>
      </c>
      <c r="C87" s="91" t="n">
        <v>24703643</v>
      </c>
      <c r="D87" s="91" t="n">
        <v>924043071</v>
      </c>
      <c r="E87" s="80" t="n">
        <v>130</v>
      </c>
      <c r="F87" s="92" t="n">
        <v>12.21</v>
      </c>
      <c r="G87" s="79" t="s">
        <v>605</v>
      </c>
      <c r="H87" s="82"/>
      <c r="I87" s="93" t="str">
        <f aca="false">IF(B87="","",IFERROR(INDEX('CARNET DE SOUDURE'!$B$7:$B$1506,MATCH(B87,'CARNET DE SOUDURE'!$K$7:$K$1506,0)),IFERROR(INDEX('CARNET DE SOUDURE'!$B$7:$B$1506,MATCH(B87,'CARNET DE SOUDURE'!$M$7:$M$1506,0)),"")))</f>
        <v>TFT 716 → TL7-MMFW2</v>
      </c>
      <c r="J87" s="78" t="str">
        <f aca="false">IF(B87="","",IFERROR(INDEX('CARNET DE SOUDURE'!$E$7:$E$1506,MATCH(B87,'CARNET DE SOUDURE'!$M$7:$M$1506,0)),""))</f>
        <v>JN°043</v>
      </c>
      <c r="K87" s="78" t="str">
        <f aca="false">IF(B87="","",IFERROR(INDEX('CARNET DE SOUDURE'!$E$7:$E$1506,MATCH(B87,'CARNET DE SOUDURE'!$K$7:$K$1506,0)),""))</f>
        <v>JN°044</v>
      </c>
      <c r="L87" s="78" t="str">
        <f aca="false">IF(B87="","",IFERROR(INDEX('CARNET DE SOUDURE'!$D$7:$D$1506,MATCH(B87,'CARNET DE SOUDURE'!$K$7:$K$1506,0)),IFERROR(INDEX('CARNET DE SOUDURE'!$D$7:$D$1506,MATCH(B87,'CARNET DE SOUDURE'!$M$7:$M$1506,0)),"")))</f>
        <v>0.00</v>
      </c>
      <c r="M87" s="81" t="str">
        <f aca="false">IF(B87="","",IF(OR(J87&lt;&gt;"",K87&lt;&gt;""),"POSÉ EN LIGNE",IF(H87&lt;&gt;"","BARDÉ","EN STOCK")))</f>
        <v>POSÉ EN LIGNE</v>
      </c>
      <c r="N87" s="79"/>
    </row>
    <row r="88" customFormat="false" ht="15" hidden="false" customHeight="false" outlineLevel="0" collapsed="false">
      <c r="A88" s="78" t="n">
        <f aca="false">IF(B88="","",ROW()-6)</f>
        <v>82</v>
      </c>
      <c r="B88" s="90" t="s">
        <v>407</v>
      </c>
      <c r="C88" s="91" t="n">
        <v>24803600</v>
      </c>
      <c r="D88" s="91" t="n">
        <v>924043076</v>
      </c>
      <c r="E88" s="80" t="n">
        <v>131</v>
      </c>
      <c r="F88" s="92" t="n">
        <v>12.22</v>
      </c>
      <c r="G88" s="79" t="s">
        <v>605</v>
      </c>
      <c r="H88" s="82"/>
      <c r="I88" s="93" t="str">
        <f aca="false">IF(B88="","",IFERROR(INDEX('CARNET DE SOUDURE'!$B$7:$B$1506,MATCH(B88,'CARNET DE SOUDURE'!$K$7:$K$1506,0)),IFERROR(INDEX('CARNET DE SOUDURE'!$B$7:$B$1506,MATCH(B88,'CARNET DE SOUDURE'!$M$7:$M$1506,0)),"")))</f>
        <v>TFT 716 → TL7-MMFW2</v>
      </c>
      <c r="J88" s="78" t="str">
        <f aca="false">IF(B88="","",IFERROR(INDEX('CARNET DE SOUDURE'!$E$7:$E$1506,MATCH(B88,'CARNET DE SOUDURE'!$M$7:$M$1506,0)),""))</f>
        <v>JN°127</v>
      </c>
      <c r="K88" s="78" t="str">
        <f aca="false">IF(B88="","",IFERROR(INDEX('CARNET DE SOUDURE'!$E$7:$E$1506,MATCH(B88,'CARNET DE SOUDURE'!$K$7:$K$1506,0)),""))</f>
        <v>JN°128</v>
      </c>
      <c r="L88" s="78" t="str">
        <f aca="false">IF(B88="","",IFERROR(INDEX('CARNET DE SOUDURE'!$D$7:$D$1506,MATCH(B88,'CARNET DE SOUDURE'!$K$7:$K$1506,0)),IFERROR(INDEX('CARNET DE SOUDURE'!$D$7:$D$1506,MATCH(B88,'CARNET DE SOUDURE'!$M$7:$M$1506,0)),"")))</f>
        <v>1.00</v>
      </c>
      <c r="M88" s="81" t="str">
        <f aca="false">IF(B88="","",IF(OR(J88&lt;&gt;"",K88&lt;&gt;""),"POSÉ EN LIGNE",IF(H88&lt;&gt;"","BARDÉ","EN STOCK")))</f>
        <v>POSÉ EN LIGNE</v>
      </c>
      <c r="N88" s="79"/>
    </row>
    <row r="89" customFormat="false" ht="15" hidden="false" customHeight="false" outlineLevel="0" collapsed="false">
      <c r="A89" s="78" t="n">
        <f aca="false">IF(B89="","",ROW()-6)</f>
        <v>83</v>
      </c>
      <c r="B89" s="90" t="s">
        <v>262</v>
      </c>
      <c r="C89" s="91" t="n">
        <v>24803600</v>
      </c>
      <c r="D89" s="91" t="n">
        <v>924043076</v>
      </c>
      <c r="E89" s="80" t="n">
        <v>134</v>
      </c>
      <c r="F89" s="92" t="n">
        <v>12.21</v>
      </c>
      <c r="G89" s="79" t="s">
        <v>605</v>
      </c>
      <c r="H89" s="82"/>
      <c r="I89" s="93" t="str">
        <f aca="false">IF(B89="","",IFERROR(INDEX('CARNET DE SOUDURE'!$B$7:$B$1506,MATCH(B89,'CARNET DE SOUDURE'!$K$7:$K$1506,0)),IFERROR(INDEX('CARNET DE SOUDURE'!$B$7:$B$1506,MATCH(B89,'CARNET DE SOUDURE'!$M$7:$M$1506,0)),"")))</f>
        <v>TFT 716 → TL7-MMFW2</v>
      </c>
      <c r="J89" s="78" t="str">
        <f aca="false">IF(B89="","",IFERROR(INDEX('CARNET DE SOUDURE'!$E$7:$E$1506,MATCH(B89,'CARNET DE SOUDURE'!$M$7:$M$1506,0)),""))</f>
        <v>JN°062</v>
      </c>
      <c r="K89" s="78" t="str">
        <f aca="false">IF(B89="","",IFERROR(INDEX('CARNET DE SOUDURE'!$E$7:$E$1506,MATCH(B89,'CARNET DE SOUDURE'!$K$7:$K$1506,0)),""))</f>
        <v>JN°063/R</v>
      </c>
      <c r="L89" s="78" t="str">
        <f aca="false">IF(B89="","",IFERROR(INDEX('CARNET DE SOUDURE'!$D$7:$D$1506,MATCH(B89,'CARNET DE SOUDURE'!$K$7:$K$1506,0)),IFERROR(INDEX('CARNET DE SOUDURE'!$D$7:$D$1506,MATCH(B89,'CARNET DE SOUDURE'!$M$7:$M$1506,0)),"")))</f>
        <v>0.00</v>
      </c>
      <c r="M89" s="81" t="str">
        <f aca="false">IF(B89="","",IF(OR(J89&lt;&gt;"",K89&lt;&gt;""),"POSÉ EN LIGNE",IF(H89&lt;&gt;"","BARDÉ","EN STOCK")))</f>
        <v>POSÉ EN LIGNE</v>
      </c>
      <c r="N89" s="79"/>
    </row>
    <row r="90" customFormat="false" ht="15" hidden="false" customHeight="false" outlineLevel="0" collapsed="false">
      <c r="A90" s="78" t="n">
        <f aca="false">IF(B90="","",ROW()-6)</f>
        <v>84</v>
      </c>
      <c r="B90" s="90" t="s">
        <v>257</v>
      </c>
      <c r="C90" s="91" t="n">
        <v>24803600</v>
      </c>
      <c r="D90" s="91" t="n">
        <v>924043076</v>
      </c>
      <c r="E90" s="80" t="n">
        <v>135</v>
      </c>
      <c r="F90" s="92" t="n">
        <v>12.21</v>
      </c>
      <c r="G90" s="79" t="s">
        <v>605</v>
      </c>
      <c r="H90" s="82"/>
      <c r="I90" s="93" t="str">
        <f aca="false">IF(B90="","",IFERROR(INDEX('CARNET DE SOUDURE'!$B$7:$B$1506,MATCH(B90,'CARNET DE SOUDURE'!$K$7:$K$1506,0)),IFERROR(INDEX('CARNET DE SOUDURE'!$B$7:$B$1506,MATCH(B90,'CARNET DE SOUDURE'!$M$7:$M$1506,0)),"")))</f>
        <v>TFT 716 → TL7-MMFW2</v>
      </c>
      <c r="J90" s="78" t="str">
        <f aca="false">IF(B90="","",IFERROR(INDEX('CARNET DE SOUDURE'!$E$7:$E$1506,MATCH(B90,'CARNET DE SOUDURE'!$M$7:$M$1506,0)),""))</f>
        <v>JN°060</v>
      </c>
      <c r="K90" s="78" t="str">
        <f aca="false">IF(B90="","",IFERROR(INDEX('CARNET DE SOUDURE'!$E$7:$E$1506,MATCH(B90,'CARNET DE SOUDURE'!$K$7:$K$1506,0)),""))</f>
        <v>JN°061</v>
      </c>
      <c r="L90" s="78" t="str">
        <f aca="false">IF(B90="","",IFERROR(INDEX('CARNET DE SOUDURE'!$D$7:$D$1506,MATCH(B90,'CARNET DE SOUDURE'!$K$7:$K$1506,0)),IFERROR(INDEX('CARNET DE SOUDURE'!$D$7:$D$1506,MATCH(B90,'CARNET DE SOUDURE'!$M$7:$M$1506,0)),"")))</f>
        <v>0.00</v>
      </c>
      <c r="M90" s="81" t="str">
        <f aca="false">IF(B90="","",IF(OR(J90&lt;&gt;"",K90&lt;&gt;""),"POSÉ EN LIGNE",IF(H90&lt;&gt;"","BARDÉ","EN STOCK")))</f>
        <v>POSÉ EN LIGNE</v>
      </c>
      <c r="N90" s="79"/>
    </row>
    <row r="91" customFormat="false" ht="15" hidden="false" customHeight="false" outlineLevel="0" collapsed="false">
      <c r="A91" s="78" t="n">
        <f aca="false">IF(B91="","",ROW()-6)</f>
        <v>85</v>
      </c>
      <c r="B91" s="90" t="s">
        <v>280</v>
      </c>
      <c r="C91" s="91" t="n">
        <v>24102307</v>
      </c>
      <c r="D91" s="91" t="n">
        <v>924044432</v>
      </c>
      <c r="E91" s="80" t="n">
        <v>136</v>
      </c>
      <c r="F91" s="92" t="n">
        <v>12.45</v>
      </c>
      <c r="G91" s="79" t="s">
        <v>605</v>
      </c>
      <c r="H91" s="82"/>
      <c r="I91" s="93" t="str">
        <f aca="false">IF(B91="","",IFERROR(INDEX('CARNET DE SOUDURE'!$B$7:$B$1506,MATCH(B91,'CARNET DE SOUDURE'!$K$7:$K$1506,0)),IFERROR(INDEX('CARNET DE SOUDURE'!$B$7:$B$1506,MATCH(B91,'CARNET DE SOUDURE'!$M$7:$M$1506,0)),"")))</f>
        <v>TFT 716 → TL7-MMFW2</v>
      </c>
      <c r="J91" s="78" t="str">
        <f aca="false">IF(B91="","",IFERROR(INDEX('CARNET DE SOUDURE'!$E$7:$E$1506,MATCH(B91,'CARNET DE SOUDURE'!$M$7:$M$1506,0)),""))</f>
        <v>JN°070</v>
      </c>
      <c r="K91" s="78" t="str">
        <f aca="false">IF(B91="","",IFERROR(INDEX('CARNET DE SOUDURE'!$E$7:$E$1506,MATCH(B91,'CARNET DE SOUDURE'!$K$7:$K$1506,0)),""))</f>
        <v>JN°071</v>
      </c>
      <c r="L91" s="78" t="str">
        <f aca="false">IF(B91="","",IFERROR(INDEX('CARNET DE SOUDURE'!$D$7:$D$1506,MATCH(B91,'CARNET DE SOUDURE'!$K$7:$K$1506,0)),IFERROR(INDEX('CARNET DE SOUDURE'!$D$7:$D$1506,MATCH(B91,'CARNET DE SOUDURE'!$M$7:$M$1506,0)),"")))</f>
        <v>0.00</v>
      </c>
      <c r="M91" s="81" t="str">
        <f aca="false">IF(B91="","",IF(OR(J91&lt;&gt;"",K91&lt;&gt;""),"POSÉ EN LIGNE",IF(H91&lt;&gt;"","BARDÉ","EN STOCK")))</f>
        <v>POSÉ EN LIGNE</v>
      </c>
      <c r="N91" s="79"/>
    </row>
    <row r="92" customFormat="false" ht="15" hidden="false" customHeight="false" outlineLevel="0" collapsed="false">
      <c r="A92" s="78" t="n">
        <f aca="false">IF(B92="","",ROW()-6)</f>
        <v>86</v>
      </c>
      <c r="B92" s="90" t="s">
        <v>298</v>
      </c>
      <c r="C92" s="91" t="n">
        <v>24102307</v>
      </c>
      <c r="D92" s="91" t="n">
        <v>924044432</v>
      </c>
      <c r="E92" s="80" t="n">
        <v>139</v>
      </c>
      <c r="F92" s="92" t="n">
        <v>12.43</v>
      </c>
      <c r="G92" s="79" t="s">
        <v>605</v>
      </c>
      <c r="H92" s="82"/>
      <c r="I92" s="93" t="str">
        <f aca="false">IF(B92="","",IFERROR(INDEX('CARNET DE SOUDURE'!$B$7:$B$1506,MATCH(B92,'CARNET DE SOUDURE'!$K$7:$K$1506,0)),IFERROR(INDEX('CARNET DE SOUDURE'!$B$7:$B$1506,MATCH(B92,'CARNET DE SOUDURE'!$M$7:$M$1506,0)),"")))</f>
        <v>TFT 716 → TL7-MMFW2</v>
      </c>
      <c r="J92" s="78" t="str">
        <f aca="false">IF(B92="","",IFERROR(INDEX('CARNET DE SOUDURE'!$E$7:$E$1506,MATCH(B92,'CARNET DE SOUDURE'!$M$7:$M$1506,0)),""))</f>
        <v>JN°078</v>
      </c>
      <c r="K92" s="78" t="str">
        <f aca="false">IF(B92="","",IFERROR(INDEX('CARNET DE SOUDURE'!$E$7:$E$1506,MATCH(B92,'CARNET DE SOUDURE'!$K$7:$K$1506,0)),""))</f>
        <v>JN°079</v>
      </c>
      <c r="L92" s="78" t="str">
        <f aca="false">IF(B92="","",IFERROR(INDEX('CARNET DE SOUDURE'!$D$7:$D$1506,MATCH(B92,'CARNET DE SOUDURE'!$K$7:$K$1506,0)),IFERROR(INDEX('CARNET DE SOUDURE'!$D$7:$D$1506,MATCH(B92,'CARNET DE SOUDURE'!$M$7:$M$1506,0)),"")))</f>
        <v>0.00</v>
      </c>
      <c r="M92" s="81" t="str">
        <f aca="false">IF(B92="","",IF(OR(J92&lt;&gt;"",K92&lt;&gt;""),"POSÉ EN LIGNE",IF(H92&lt;&gt;"","BARDÉ","EN STOCK")))</f>
        <v>POSÉ EN LIGNE</v>
      </c>
      <c r="N92" s="79"/>
    </row>
    <row r="93" customFormat="false" ht="15" hidden="false" customHeight="false" outlineLevel="0" collapsed="false">
      <c r="A93" s="78" t="n">
        <f aca="false">IF(B93="","",ROW()-6)</f>
        <v>87</v>
      </c>
      <c r="B93" s="90" t="s">
        <v>288</v>
      </c>
      <c r="C93" s="91" t="n">
        <v>24102307</v>
      </c>
      <c r="D93" s="91" t="n">
        <v>924044432</v>
      </c>
      <c r="E93" s="80" t="n">
        <v>140</v>
      </c>
      <c r="F93" s="92" t="n">
        <v>12.43</v>
      </c>
      <c r="G93" s="79" t="s">
        <v>605</v>
      </c>
      <c r="H93" s="82"/>
      <c r="I93" s="93" t="str">
        <f aca="false">IF(B93="","",IFERROR(INDEX('CARNET DE SOUDURE'!$B$7:$B$1506,MATCH(B93,'CARNET DE SOUDURE'!$K$7:$K$1506,0)),IFERROR(INDEX('CARNET DE SOUDURE'!$B$7:$B$1506,MATCH(B93,'CARNET DE SOUDURE'!$M$7:$M$1506,0)),"")))</f>
        <v>TFT 716 → TL7-MMFW2</v>
      </c>
      <c r="J93" s="78" t="str">
        <f aca="false">IF(B93="","",IFERROR(INDEX('CARNET DE SOUDURE'!$E$7:$E$1506,MATCH(B93,'CARNET DE SOUDURE'!$M$7:$M$1506,0)),""))</f>
        <v>JN°074</v>
      </c>
      <c r="K93" s="78" t="str">
        <f aca="false">IF(B93="","",IFERROR(INDEX('CARNET DE SOUDURE'!$E$7:$E$1506,MATCH(B93,'CARNET DE SOUDURE'!$K$7:$K$1506,0)),""))</f>
        <v>JN°075</v>
      </c>
      <c r="L93" s="78" t="str">
        <f aca="false">IF(B93="","",IFERROR(INDEX('CARNET DE SOUDURE'!$D$7:$D$1506,MATCH(B93,'CARNET DE SOUDURE'!$K$7:$K$1506,0)),IFERROR(INDEX('CARNET DE SOUDURE'!$D$7:$D$1506,MATCH(B93,'CARNET DE SOUDURE'!$M$7:$M$1506,0)),"")))</f>
        <v>0.00</v>
      </c>
      <c r="M93" s="81" t="str">
        <f aca="false">IF(B93="","",IF(OR(J93&lt;&gt;"",K93&lt;&gt;""),"POSÉ EN LIGNE",IF(H93&lt;&gt;"","BARDÉ","EN STOCK")))</f>
        <v>POSÉ EN LIGNE</v>
      </c>
      <c r="N93" s="79"/>
    </row>
    <row r="94" customFormat="false" ht="15" hidden="false" customHeight="false" outlineLevel="0" collapsed="false">
      <c r="A94" s="78" t="n">
        <f aca="false">IF(B94="","",ROW()-6)</f>
        <v>88</v>
      </c>
      <c r="B94" s="90" t="s">
        <v>294</v>
      </c>
      <c r="C94" s="91" t="n">
        <v>24803600</v>
      </c>
      <c r="D94" s="91" t="n">
        <v>924043075</v>
      </c>
      <c r="E94" s="80" t="n">
        <v>141</v>
      </c>
      <c r="F94" s="92" t="n">
        <v>12.21</v>
      </c>
      <c r="G94" s="79" t="s">
        <v>605</v>
      </c>
      <c r="H94" s="82"/>
      <c r="I94" s="93" t="str">
        <f aca="false">IF(B94="","",IFERROR(INDEX('CARNET DE SOUDURE'!$B$7:$B$1506,MATCH(B94,'CARNET DE SOUDURE'!$K$7:$K$1506,0)),IFERROR(INDEX('CARNET DE SOUDURE'!$B$7:$B$1506,MATCH(B94,'CARNET DE SOUDURE'!$M$7:$M$1506,0)),"")))</f>
        <v>TFT 716 → TL7-MMFW2</v>
      </c>
      <c r="J94" s="78" t="str">
        <f aca="false">IF(B94="","",IFERROR(INDEX('CARNET DE SOUDURE'!$E$7:$E$1506,MATCH(B94,'CARNET DE SOUDURE'!$M$7:$M$1506,0)),""))</f>
        <v>JN°076</v>
      </c>
      <c r="K94" s="78" t="str">
        <f aca="false">IF(B94="","",IFERROR(INDEX('CARNET DE SOUDURE'!$E$7:$E$1506,MATCH(B94,'CARNET DE SOUDURE'!$K$7:$K$1506,0)),""))</f>
        <v>JN°077</v>
      </c>
      <c r="L94" s="78" t="str">
        <f aca="false">IF(B94="","",IFERROR(INDEX('CARNET DE SOUDURE'!$D$7:$D$1506,MATCH(B94,'CARNET DE SOUDURE'!$K$7:$K$1506,0)),IFERROR(INDEX('CARNET DE SOUDURE'!$D$7:$D$1506,MATCH(B94,'CARNET DE SOUDURE'!$M$7:$M$1506,0)),"")))</f>
        <v>0.00</v>
      </c>
      <c r="M94" s="81" t="str">
        <f aca="false">IF(B94="","",IF(OR(J94&lt;&gt;"",K94&lt;&gt;""),"POSÉ EN LIGNE",IF(H94&lt;&gt;"","BARDÉ","EN STOCK")))</f>
        <v>POSÉ EN LIGNE</v>
      </c>
      <c r="N94" s="79"/>
    </row>
    <row r="95" customFormat="false" ht="15" hidden="false" customHeight="false" outlineLevel="0" collapsed="false">
      <c r="A95" s="78" t="n">
        <f aca="false">IF(B95="","",ROW()-6)</f>
        <v>89</v>
      </c>
      <c r="B95" s="90" t="s">
        <v>220</v>
      </c>
      <c r="C95" s="91" t="n">
        <v>24803600</v>
      </c>
      <c r="D95" s="91" t="n">
        <v>924043075</v>
      </c>
      <c r="E95" s="80" t="n">
        <v>142</v>
      </c>
      <c r="F95" s="92" t="n">
        <v>12.21</v>
      </c>
      <c r="G95" s="79" t="s">
        <v>605</v>
      </c>
      <c r="H95" s="82"/>
      <c r="I95" s="93" t="str">
        <f aca="false">IF(B95="","",IFERROR(INDEX('CARNET DE SOUDURE'!$B$7:$B$1506,MATCH(B95,'CARNET DE SOUDURE'!$K$7:$K$1506,0)),IFERROR(INDEX('CARNET DE SOUDURE'!$B$7:$B$1506,MATCH(B95,'CARNET DE SOUDURE'!$M$7:$M$1506,0)),"")))</f>
        <v>TFT 716 → TL7-MMFW2</v>
      </c>
      <c r="J95" s="78" t="str">
        <f aca="false">IF(B95="","",IFERROR(INDEX('CARNET DE SOUDURE'!$E$7:$E$1506,MATCH(B95,'CARNET DE SOUDURE'!$M$7:$M$1506,0)),""))</f>
        <v>JN°044</v>
      </c>
      <c r="K95" s="78" t="str">
        <f aca="false">IF(B95="","",IFERROR(INDEX('CARNET DE SOUDURE'!$E$7:$E$1506,MATCH(B95,'CARNET DE SOUDURE'!$K$7:$K$1506,0)),""))</f>
        <v>JN°045Racc</v>
      </c>
      <c r="L95" s="78" t="str">
        <f aca="false">IF(B95="","",IFERROR(INDEX('CARNET DE SOUDURE'!$D$7:$D$1506,MATCH(B95,'CARNET DE SOUDURE'!$K$7:$K$1506,0)),IFERROR(INDEX('CARNET DE SOUDURE'!$D$7:$D$1506,MATCH(B95,'CARNET DE SOUDURE'!$M$7:$M$1506,0)),"")))</f>
        <v>0.00</v>
      </c>
      <c r="M95" s="81" t="str">
        <f aca="false">IF(B95="","",IF(OR(J95&lt;&gt;"",K95&lt;&gt;""),"POSÉ EN LIGNE",IF(H95&lt;&gt;"","BARDÉ","EN STOCK")))</f>
        <v>POSÉ EN LIGNE</v>
      </c>
      <c r="N95" s="79"/>
    </row>
    <row r="96" customFormat="false" ht="15" hidden="false" customHeight="false" outlineLevel="0" collapsed="false">
      <c r="A96" s="78" t="n">
        <f aca="false">IF(B96="","",ROW()-6)</f>
        <v>90</v>
      </c>
      <c r="B96" s="90" t="s">
        <v>227</v>
      </c>
      <c r="C96" s="91" t="n">
        <v>24803600</v>
      </c>
      <c r="D96" s="91" t="n">
        <v>924043075</v>
      </c>
      <c r="E96" s="80" t="n">
        <v>143</v>
      </c>
      <c r="F96" s="92" t="n">
        <v>12.21</v>
      </c>
      <c r="G96" s="79" t="s">
        <v>605</v>
      </c>
      <c r="H96" s="82"/>
      <c r="I96" s="93" t="str">
        <f aca="false">IF(B96="","",IFERROR(INDEX('CARNET DE SOUDURE'!$B$7:$B$1506,MATCH(B96,'CARNET DE SOUDURE'!$K$7:$K$1506,0)),IFERROR(INDEX('CARNET DE SOUDURE'!$B$7:$B$1506,MATCH(B96,'CARNET DE SOUDURE'!$M$7:$M$1506,0)),"")))</f>
        <v>TFT 716 → TL7-MMFW2</v>
      </c>
      <c r="J96" s="78" t="str">
        <f aca="false">IF(B96="","",IFERROR(INDEX('CARNET DE SOUDURE'!$E$7:$E$1506,MATCH(B96,'CARNET DE SOUDURE'!$M$7:$M$1506,0)),""))</f>
        <v>JN°047</v>
      </c>
      <c r="K96" s="78" t="str">
        <f aca="false">IF(B96="","",IFERROR(INDEX('CARNET DE SOUDURE'!$E$7:$E$1506,MATCH(B96,'CARNET DE SOUDURE'!$K$7:$K$1506,0)),""))</f>
        <v>JN°049</v>
      </c>
      <c r="L96" s="78" t="str">
        <f aca="false">IF(B96="","",IFERROR(INDEX('CARNET DE SOUDURE'!$D$7:$D$1506,MATCH(B96,'CARNET DE SOUDURE'!$K$7:$K$1506,0)),IFERROR(INDEX('CARNET DE SOUDURE'!$D$7:$D$1506,MATCH(B96,'CARNET DE SOUDURE'!$M$7:$M$1506,0)),"")))</f>
        <v>0.00</v>
      </c>
      <c r="M96" s="81" t="str">
        <f aca="false">IF(B96="","",IF(OR(J96&lt;&gt;"",K96&lt;&gt;""),"POSÉ EN LIGNE",IF(H96&lt;&gt;"","BARDÉ","EN STOCK")))</f>
        <v>POSÉ EN LIGNE</v>
      </c>
      <c r="N96" s="79"/>
    </row>
    <row r="97" customFormat="false" ht="15" hidden="false" customHeight="false" outlineLevel="0" collapsed="false">
      <c r="A97" s="78" t="n">
        <f aca="false">IF(B97="","",ROW()-6)</f>
        <v>91</v>
      </c>
      <c r="B97" s="90" t="s">
        <v>255</v>
      </c>
      <c r="C97" s="91" t="n">
        <v>24803600</v>
      </c>
      <c r="D97" s="91" t="n">
        <v>924043075</v>
      </c>
      <c r="E97" s="80" t="n">
        <v>144</v>
      </c>
      <c r="F97" s="92" t="n">
        <v>12.21</v>
      </c>
      <c r="G97" s="79" t="s">
        <v>605</v>
      </c>
      <c r="H97" s="82"/>
      <c r="I97" s="93" t="str">
        <f aca="false">IF(B97="","",IFERROR(INDEX('CARNET DE SOUDURE'!$B$7:$B$1506,MATCH(B97,'CARNET DE SOUDURE'!$K$7:$K$1506,0)),IFERROR(INDEX('CARNET DE SOUDURE'!$B$7:$B$1506,MATCH(B97,'CARNET DE SOUDURE'!$M$7:$M$1506,0)),"")))</f>
        <v>TFT 716 → TL7-MMFW2</v>
      </c>
      <c r="J97" s="78" t="str">
        <f aca="false">IF(B97="","",IFERROR(INDEX('CARNET DE SOUDURE'!$E$7:$E$1506,MATCH(B97,'CARNET DE SOUDURE'!$M$7:$M$1506,0)),""))</f>
        <v>JN°059</v>
      </c>
      <c r="K97" s="78" t="str">
        <f aca="false">IF(B97="","",IFERROR(INDEX('CARNET DE SOUDURE'!$E$7:$E$1506,MATCH(B97,'CARNET DE SOUDURE'!$K$7:$K$1506,0)),""))</f>
        <v>JN°060</v>
      </c>
      <c r="L97" s="78" t="str">
        <f aca="false">IF(B97="","",IFERROR(INDEX('CARNET DE SOUDURE'!$D$7:$D$1506,MATCH(B97,'CARNET DE SOUDURE'!$K$7:$K$1506,0)),IFERROR(INDEX('CARNET DE SOUDURE'!$D$7:$D$1506,MATCH(B97,'CARNET DE SOUDURE'!$M$7:$M$1506,0)),"")))</f>
        <v>0.00</v>
      </c>
      <c r="M97" s="81" t="str">
        <f aca="false">IF(B97="","",IF(OR(J97&lt;&gt;"",K97&lt;&gt;""),"POSÉ EN LIGNE",IF(H97&lt;&gt;"","BARDÉ","EN STOCK")))</f>
        <v>POSÉ EN LIGNE</v>
      </c>
      <c r="N97" s="79"/>
    </row>
    <row r="98" customFormat="false" ht="15" hidden="false" customHeight="false" outlineLevel="0" collapsed="false">
      <c r="A98" s="78" t="n">
        <f aca="false">IF(B98="","",ROW()-6)</f>
        <v>92</v>
      </c>
      <c r="B98" s="90" t="s">
        <v>244</v>
      </c>
      <c r="C98" s="91" t="n">
        <v>24803600</v>
      </c>
      <c r="D98" s="91" t="n">
        <v>924043075</v>
      </c>
      <c r="E98" s="80" t="n">
        <v>145</v>
      </c>
      <c r="F98" s="92" t="n">
        <v>12.21</v>
      </c>
      <c r="G98" s="79" t="s">
        <v>605</v>
      </c>
      <c r="H98" s="82"/>
      <c r="I98" s="93" t="str">
        <f aca="false">IF(B98="","",IFERROR(INDEX('CARNET DE SOUDURE'!$B$7:$B$1506,MATCH(B98,'CARNET DE SOUDURE'!$K$7:$K$1506,0)),IFERROR(INDEX('CARNET DE SOUDURE'!$B$7:$B$1506,MATCH(B98,'CARNET DE SOUDURE'!$M$7:$M$1506,0)),"")))</f>
        <v>TFT 716 → TL7-MMFW2</v>
      </c>
      <c r="J98" s="78" t="str">
        <f aca="false">IF(B98="","",IFERROR(INDEX('CARNET DE SOUDURE'!$E$7:$E$1506,MATCH(B98,'CARNET DE SOUDURE'!$M$7:$M$1506,0)),""))</f>
        <v>JN°054</v>
      </c>
      <c r="K98" s="78" t="str">
        <f aca="false">IF(B98="","",IFERROR(INDEX('CARNET DE SOUDURE'!$E$7:$E$1506,MATCH(B98,'CARNET DE SOUDURE'!$K$7:$K$1506,0)),""))</f>
        <v>JN°055</v>
      </c>
      <c r="L98" s="78" t="str">
        <f aca="false">IF(B98="","",IFERROR(INDEX('CARNET DE SOUDURE'!$D$7:$D$1506,MATCH(B98,'CARNET DE SOUDURE'!$K$7:$K$1506,0)),IFERROR(INDEX('CARNET DE SOUDURE'!$D$7:$D$1506,MATCH(B98,'CARNET DE SOUDURE'!$M$7:$M$1506,0)),"")))</f>
        <v>0.00</v>
      </c>
      <c r="M98" s="81" t="str">
        <f aca="false">IF(B98="","",IF(OR(J98&lt;&gt;"",K98&lt;&gt;""),"POSÉ EN LIGNE",IF(H98&lt;&gt;"","BARDÉ","EN STOCK")))</f>
        <v>POSÉ EN LIGNE</v>
      </c>
      <c r="N98" s="79"/>
    </row>
    <row r="99" customFormat="false" ht="15" hidden="false" customHeight="false" outlineLevel="0" collapsed="false">
      <c r="A99" s="78" t="n">
        <f aca="false">IF(B99="","",ROW()-6)</f>
        <v>93</v>
      </c>
      <c r="B99" s="90" t="s">
        <v>264</v>
      </c>
      <c r="C99" s="91" t="n">
        <v>24703643</v>
      </c>
      <c r="D99" s="91" t="n">
        <v>924043071</v>
      </c>
      <c r="E99" s="80" t="n">
        <v>146</v>
      </c>
      <c r="F99" s="92" t="n">
        <v>12.21</v>
      </c>
      <c r="G99" s="79" t="s">
        <v>605</v>
      </c>
      <c r="H99" s="82"/>
      <c r="I99" s="93" t="str">
        <f aca="false">IF(B99="","",IFERROR(INDEX('CARNET DE SOUDURE'!$B$7:$B$1506,MATCH(B99,'CARNET DE SOUDURE'!$K$7:$K$1506,0)),IFERROR(INDEX('CARNET DE SOUDURE'!$B$7:$B$1506,MATCH(B99,'CARNET DE SOUDURE'!$M$7:$M$1506,0)),"")))</f>
        <v>TFT 716 → TL7-MMFW2</v>
      </c>
      <c r="J99" s="78" t="str">
        <f aca="false">IF(B99="","",IFERROR(INDEX('CARNET DE SOUDURE'!$E$7:$E$1506,MATCH(B99,'CARNET DE SOUDURE'!$M$7:$M$1506,0)),""))</f>
        <v>JN°063/R</v>
      </c>
      <c r="K99" s="78" t="str">
        <f aca="false">IF(B99="","",IFERROR(INDEX('CARNET DE SOUDURE'!$E$7:$E$1506,MATCH(B99,'CARNET DE SOUDURE'!$K$7:$K$1506,0)),""))</f>
        <v>JN°064</v>
      </c>
      <c r="L99" s="78" t="str">
        <f aca="false">IF(B99="","",IFERROR(INDEX('CARNET DE SOUDURE'!$D$7:$D$1506,MATCH(B99,'CARNET DE SOUDURE'!$K$7:$K$1506,0)),IFERROR(INDEX('CARNET DE SOUDURE'!$D$7:$D$1506,MATCH(B99,'CARNET DE SOUDURE'!$M$7:$M$1506,0)),"")))</f>
        <v>0.00</v>
      </c>
      <c r="M99" s="81" t="str">
        <f aca="false">IF(B99="","",IF(OR(J99&lt;&gt;"",K99&lt;&gt;""),"POSÉ EN LIGNE",IF(H99&lt;&gt;"","BARDÉ","EN STOCK")))</f>
        <v>POSÉ EN LIGNE</v>
      </c>
      <c r="N99" s="79"/>
    </row>
    <row r="100" customFormat="false" ht="15" hidden="false" customHeight="false" outlineLevel="0" collapsed="false">
      <c r="A100" s="78" t="n">
        <f aca="false">IF(B100="","",ROW()-6)</f>
        <v>94</v>
      </c>
      <c r="B100" s="90" t="s">
        <v>300</v>
      </c>
      <c r="C100" s="91" t="n">
        <v>24703643</v>
      </c>
      <c r="D100" s="91" t="n">
        <v>924043071</v>
      </c>
      <c r="E100" s="80" t="n">
        <v>147</v>
      </c>
      <c r="F100" s="92" t="n">
        <v>12.21</v>
      </c>
      <c r="G100" s="79" t="s">
        <v>605</v>
      </c>
      <c r="H100" s="82"/>
      <c r="I100" s="93" t="str">
        <f aca="false">IF(B100="","",IFERROR(INDEX('CARNET DE SOUDURE'!$B$7:$B$1506,MATCH(B100,'CARNET DE SOUDURE'!$K$7:$K$1506,0)),IFERROR(INDEX('CARNET DE SOUDURE'!$B$7:$B$1506,MATCH(B100,'CARNET DE SOUDURE'!$M$7:$M$1506,0)),"")))</f>
        <v>TFT 716 → TL7-MMFW2</v>
      </c>
      <c r="J100" s="78" t="str">
        <f aca="false">IF(B100="","",IFERROR(INDEX('CARNET DE SOUDURE'!$E$7:$E$1506,MATCH(B100,'CARNET DE SOUDURE'!$M$7:$M$1506,0)),""))</f>
        <v>JN°079</v>
      </c>
      <c r="K100" s="78" t="str">
        <f aca="false">IF(B100="","",IFERROR(INDEX('CARNET DE SOUDURE'!$E$7:$E$1506,MATCH(B100,'CARNET DE SOUDURE'!$K$7:$K$1506,0)),""))</f>
        <v>JN°080</v>
      </c>
      <c r="L100" s="78" t="str">
        <f aca="false">IF(B100="","",IFERROR(INDEX('CARNET DE SOUDURE'!$D$7:$D$1506,MATCH(B100,'CARNET DE SOUDURE'!$K$7:$K$1506,0)),IFERROR(INDEX('CARNET DE SOUDURE'!$D$7:$D$1506,MATCH(B100,'CARNET DE SOUDURE'!$M$7:$M$1506,0)),"")))</f>
        <v>0.00</v>
      </c>
      <c r="M100" s="81" t="str">
        <f aca="false">IF(B100="","",IF(OR(J100&lt;&gt;"",K100&lt;&gt;""),"POSÉ EN LIGNE",IF(H100&lt;&gt;"","BARDÉ","EN STOCK")))</f>
        <v>POSÉ EN LIGNE</v>
      </c>
      <c r="N100" s="79"/>
    </row>
    <row r="101" customFormat="false" ht="15" hidden="false" customHeight="false" outlineLevel="0" collapsed="false">
      <c r="A101" s="78" t="n">
        <f aca="false">IF(B101="","",ROW()-6)</f>
        <v>95</v>
      </c>
      <c r="B101" s="90" t="s">
        <v>286</v>
      </c>
      <c r="C101" s="91" t="n">
        <v>24703643</v>
      </c>
      <c r="D101" s="91" t="n">
        <v>924043071</v>
      </c>
      <c r="E101" s="80" t="n">
        <v>148</v>
      </c>
      <c r="F101" s="92" t="n">
        <v>12.21</v>
      </c>
      <c r="G101" s="79" t="s">
        <v>605</v>
      </c>
      <c r="H101" s="82"/>
      <c r="I101" s="93" t="str">
        <f aca="false">IF(B101="","",IFERROR(INDEX('CARNET DE SOUDURE'!$B$7:$B$1506,MATCH(B101,'CARNET DE SOUDURE'!$K$7:$K$1506,0)),IFERROR(INDEX('CARNET DE SOUDURE'!$B$7:$B$1506,MATCH(B101,'CARNET DE SOUDURE'!$M$7:$M$1506,0)),"")))</f>
        <v>TFT 716 → TL7-MMFW2</v>
      </c>
      <c r="J101" s="78" t="str">
        <f aca="false">IF(B101="","",IFERROR(INDEX('CARNET DE SOUDURE'!$E$7:$E$1506,MATCH(B101,'CARNET DE SOUDURE'!$M$7:$M$1506,0)),""))</f>
        <v>JN°073</v>
      </c>
      <c r="K101" s="78" t="str">
        <f aca="false">IF(B101="","",IFERROR(INDEX('CARNET DE SOUDURE'!$E$7:$E$1506,MATCH(B101,'CARNET DE SOUDURE'!$K$7:$K$1506,0)),""))</f>
        <v>JN°074</v>
      </c>
      <c r="L101" s="78" t="str">
        <f aca="false">IF(B101="","",IFERROR(INDEX('CARNET DE SOUDURE'!$D$7:$D$1506,MATCH(B101,'CARNET DE SOUDURE'!$K$7:$K$1506,0)),IFERROR(INDEX('CARNET DE SOUDURE'!$D$7:$D$1506,MATCH(B101,'CARNET DE SOUDURE'!$M$7:$M$1506,0)),"")))</f>
        <v>0.00</v>
      </c>
      <c r="M101" s="81" t="str">
        <f aca="false">IF(B101="","",IF(OR(J101&lt;&gt;"",K101&lt;&gt;""),"POSÉ EN LIGNE",IF(H101&lt;&gt;"","BARDÉ","EN STOCK")))</f>
        <v>POSÉ EN LIGNE</v>
      </c>
      <c r="N101" s="79"/>
    </row>
    <row r="102" customFormat="false" ht="15" hidden="false" customHeight="false" outlineLevel="0" collapsed="false">
      <c r="A102" s="78" t="n">
        <f aca="false">IF(B102="","",ROW()-6)</f>
        <v>96</v>
      </c>
      <c r="B102" s="90" t="s">
        <v>272</v>
      </c>
      <c r="C102" s="91" t="n">
        <v>24703643</v>
      </c>
      <c r="D102" s="91" t="n">
        <v>924043071</v>
      </c>
      <c r="E102" s="80" t="n">
        <v>149</v>
      </c>
      <c r="F102" s="92" t="n">
        <v>12.21</v>
      </c>
      <c r="G102" s="79" t="s">
        <v>605</v>
      </c>
      <c r="H102" s="82"/>
      <c r="I102" s="93" t="str">
        <f aca="false">IF(B102="","",IFERROR(INDEX('CARNET DE SOUDURE'!$B$7:$B$1506,MATCH(B102,'CARNET DE SOUDURE'!$K$7:$K$1506,0)),IFERROR(INDEX('CARNET DE SOUDURE'!$B$7:$B$1506,MATCH(B102,'CARNET DE SOUDURE'!$M$7:$M$1506,0)),"")))</f>
        <v>TFT 716 → TL7-MMFW2</v>
      </c>
      <c r="J102" s="78" t="str">
        <f aca="false">IF(B102="","",IFERROR(INDEX('CARNET DE SOUDURE'!$E$7:$E$1506,MATCH(B102,'CARNET DE SOUDURE'!$M$7:$M$1506,0)),""))</f>
        <v>JN°066</v>
      </c>
      <c r="K102" s="78" t="str">
        <f aca="false">IF(B102="","",IFERROR(INDEX('CARNET DE SOUDURE'!$E$7:$E$1506,MATCH(B102,'CARNET DE SOUDURE'!$K$7:$K$1506,0)),""))</f>
        <v>JN°067</v>
      </c>
      <c r="L102" s="78" t="str">
        <f aca="false">IF(B102="","",IFERROR(INDEX('CARNET DE SOUDURE'!$D$7:$D$1506,MATCH(B102,'CARNET DE SOUDURE'!$K$7:$K$1506,0)),IFERROR(INDEX('CARNET DE SOUDURE'!$D$7:$D$1506,MATCH(B102,'CARNET DE SOUDURE'!$M$7:$M$1506,0)),"")))</f>
        <v>0.00</v>
      </c>
      <c r="M102" s="81" t="str">
        <f aca="false">IF(B102="","",IF(OR(J102&lt;&gt;"",K102&lt;&gt;""),"POSÉ EN LIGNE",IF(H102&lt;&gt;"","BARDÉ","EN STOCK")))</f>
        <v>POSÉ EN LIGNE</v>
      </c>
      <c r="N102" s="79"/>
    </row>
    <row r="103" customFormat="false" ht="15" hidden="false" customHeight="false" outlineLevel="0" collapsed="false">
      <c r="A103" s="78" t="n">
        <f aca="false">IF(B103="","",ROW()-6)</f>
        <v>97</v>
      </c>
      <c r="B103" s="90" t="s">
        <v>276</v>
      </c>
      <c r="C103" s="91" t="n">
        <v>24703643</v>
      </c>
      <c r="D103" s="91" t="n">
        <v>924043071</v>
      </c>
      <c r="E103" s="80" t="n">
        <v>150</v>
      </c>
      <c r="F103" s="92" t="n">
        <v>11.7</v>
      </c>
      <c r="G103" s="79" t="s">
        <v>605</v>
      </c>
      <c r="H103" s="82"/>
      <c r="I103" s="93" t="str">
        <f aca="false">IF(B103="","",IFERROR(INDEX('CARNET DE SOUDURE'!$B$7:$B$1506,MATCH(B103,'CARNET DE SOUDURE'!$K$7:$K$1506,0)),IFERROR(INDEX('CARNET DE SOUDURE'!$B$7:$B$1506,MATCH(B103,'CARNET DE SOUDURE'!$M$7:$M$1506,0)),"")))</f>
        <v>TFT 716 → TL7-MMFW2</v>
      </c>
      <c r="J103" s="78" t="str">
        <f aca="false">IF(B103="","",IFERROR(INDEX('CARNET DE SOUDURE'!$E$7:$E$1506,MATCH(B103,'CARNET DE SOUDURE'!$M$7:$M$1506,0)),""))</f>
        <v>JN°068</v>
      </c>
      <c r="K103" s="78" t="str">
        <f aca="false">IF(B103="","",IFERROR(INDEX('CARNET DE SOUDURE'!$E$7:$E$1506,MATCH(B103,'CARNET DE SOUDURE'!$K$7:$K$1506,0)),""))</f>
        <v>JN°069</v>
      </c>
      <c r="L103" s="78" t="str">
        <f aca="false">IF(B103="","",IFERROR(INDEX('CARNET DE SOUDURE'!$D$7:$D$1506,MATCH(B103,'CARNET DE SOUDURE'!$K$7:$K$1506,0)),IFERROR(INDEX('CARNET DE SOUDURE'!$D$7:$D$1506,MATCH(B103,'CARNET DE SOUDURE'!$M$7:$M$1506,0)),"")))</f>
        <v>0.00</v>
      </c>
      <c r="M103" s="81" t="str">
        <f aca="false">IF(B103="","",IF(OR(J103&lt;&gt;"",K103&lt;&gt;""),"POSÉ EN LIGNE",IF(H103&lt;&gt;"","BARDÉ","EN STOCK")))</f>
        <v>POSÉ EN LIGNE</v>
      </c>
      <c r="N103" s="79"/>
    </row>
    <row r="104" customFormat="false" ht="15" hidden="false" customHeight="false" outlineLevel="0" collapsed="false">
      <c r="A104" s="78" t="n">
        <f aca="false">IF(B104="","",ROW()-6)</f>
        <v>98</v>
      </c>
      <c r="B104" s="90" t="s">
        <v>251</v>
      </c>
      <c r="C104" s="91" t="n">
        <v>24703643</v>
      </c>
      <c r="D104" s="91" t="n">
        <v>924043079</v>
      </c>
      <c r="E104" s="80" t="n">
        <v>151</v>
      </c>
      <c r="F104" s="92" t="n">
        <v>12.21</v>
      </c>
      <c r="G104" s="79" t="s">
        <v>605</v>
      </c>
      <c r="H104" s="82"/>
      <c r="I104" s="93" t="str">
        <f aca="false">IF(B104="","",IFERROR(INDEX('CARNET DE SOUDURE'!$B$7:$B$1506,MATCH(B104,'CARNET DE SOUDURE'!$K$7:$K$1506,0)),IFERROR(INDEX('CARNET DE SOUDURE'!$B$7:$B$1506,MATCH(B104,'CARNET DE SOUDURE'!$M$7:$M$1506,0)),"")))</f>
        <v>TFT 716 → TL7-MMFW2</v>
      </c>
      <c r="J104" s="78" t="str">
        <f aca="false">IF(B104="","",IFERROR(INDEX('CARNET DE SOUDURE'!$E$7:$E$1506,MATCH(B104,'CARNET DE SOUDURE'!$M$7:$M$1506,0)),""))</f>
        <v>JN°057</v>
      </c>
      <c r="K104" s="78" t="str">
        <f aca="false">IF(B104="","",IFERROR(INDEX('CARNET DE SOUDURE'!$E$7:$E$1506,MATCH(B104,'CARNET DE SOUDURE'!$K$7:$K$1506,0)),""))</f>
        <v>JN°058</v>
      </c>
      <c r="L104" s="78" t="str">
        <f aca="false">IF(B104="","",IFERROR(INDEX('CARNET DE SOUDURE'!$D$7:$D$1506,MATCH(B104,'CARNET DE SOUDURE'!$K$7:$K$1506,0)),IFERROR(INDEX('CARNET DE SOUDURE'!$D$7:$D$1506,MATCH(B104,'CARNET DE SOUDURE'!$M$7:$M$1506,0)),"")))</f>
        <v>0.00</v>
      </c>
      <c r="M104" s="81" t="str">
        <f aca="false">IF(B104="","",IF(OR(J104&lt;&gt;"",K104&lt;&gt;""),"POSÉ EN LIGNE",IF(H104&lt;&gt;"","BARDÉ","EN STOCK")))</f>
        <v>POSÉ EN LIGNE</v>
      </c>
      <c r="N104" s="79"/>
    </row>
    <row r="105" customFormat="false" ht="15" hidden="false" customHeight="false" outlineLevel="0" collapsed="false">
      <c r="A105" s="78" t="n">
        <f aca="false">IF(B105="","",ROW()-6)</f>
        <v>99</v>
      </c>
      <c r="B105" s="90" t="s">
        <v>246</v>
      </c>
      <c r="C105" s="91" t="n">
        <v>24703643</v>
      </c>
      <c r="D105" s="91" t="n">
        <v>924043079</v>
      </c>
      <c r="E105" s="80" t="n">
        <v>152</v>
      </c>
      <c r="F105" s="92" t="n">
        <v>12.21</v>
      </c>
      <c r="G105" s="79" t="s">
        <v>605</v>
      </c>
      <c r="H105" s="82"/>
      <c r="I105" s="93" t="str">
        <f aca="false">IF(B105="","",IFERROR(INDEX('CARNET DE SOUDURE'!$B$7:$B$1506,MATCH(B105,'CARNET DE SOUDURE'!$K$7:$K$1506,0)),IFERROR(INDEX('CARNET DE SOUDURE'!$B$7:$B$1506,MATCH(B105,'CARNET DE SOUDURE'!$M$7:$M$1506,0)),"")))</f>
        <v>TFT 716 → TL7-MMFW2</v>
      </c>
      <c r="J105" s="78" t="str">
        <f aca="false">IF(B105="","",IFERROR(INDEX('CARNET DE SOUDURE'!$E$7:$E$1506,MATCH(B105,'CARNET DE SOUDURE'!$M$7:$M$1506,0)),""))</f>
        <v>JN°055</v>
      </c>
      <c r="K105" s="78" t="str">
        <f aca="false">IF(B105="","",IFERROR(INDEX('CARNET DE SOUDURE'!$E$7:$E$1506,MATCH(B105,'CARNET DE SOUDURE'!$K$7:$K$1506,0)),""))</f>
        <v>JN°056</v>
      </c>
      <c r="L105" s="78" t="str">
        <f aca="false">IF(B105="","",IFERROR(INDEX('CARNET DE SOUDURE'!$D$7:$D$1506,MATCH(B105,'CARNET DE SOUDURE'!$K$7:$K$1506,0)),IFERROR(INDEX('CARNET DE SOUDURE'!$D$7:$D$1506,MATCH(B105,'CARNET DE SOUDURE'!$M$7:$M$1506,0)),"")))</f>
        <v>0.00</v>
      </c>
      <c r="M105" s="81" t="str">
        <f aca="false">IF(B105="","",IF(OR(J105&lt;&gt;"",K105&lt;&gt;""),"POSÉ EN LIGNE",IF(H105&lt;&gt;"","BARDÉ","EN STOCK")))</f>
        <v>POSÉ EN LIGNE</v>
      </c>
      <c r="N105" s="79"/>
    </row>
    <row r="106" customFormat="false" ht="15" hidden="false" customHeight="false" outlineLevel="0" collapsed="false">
      <c r="A106" s="78" t="n">
        <f aca="false">IF(B106="","",ROW()-6)</f>
        <v>100</v>
      </c>
      <c r="B106" s="90" t="s">
        <v>237</v>
      </c>
      <c r="C106" s="91" t="n">
        <v>24703643</v>
      </c>
      <c r="D106" s="91" t="n">
        <v>924043079</v>
      </c>
      <c r="E106" s="80" t="n">
        <v>153</v>
      </c>
      <c r="F106" s="92" t="n">
        <v>12.22</v>
      </c>
      <c r="G106" s="79" t="s">
        <v>605</v>
      </c>
      <c r="H106" s="82"/>
      <c r="I106" s="93" t="str">
        <f aca="false">IF(B106="","",IFERROR(INDEX('CARNET DE SOUDURE'!$B$7:$B$1506,MATCH(B106,'CARNET DE SOUDURE'!$K$7:$K$1506,0)),IFERROR(INDEX('CARNET DE SOUDURE'!$B$7:$B$1506,MATCH(B106,'CARNET DE SOUDURE'!$M$7:$M$1506,0)),"")))</f>
        <v>TFT 716 → TL7-MMFW2</v>
      </c>
      <c r="J106" s="78" t="str">
        <f aca="false">IF(B106="","",IFERROR(INDEX('CARNET DE SOUDURE'!$E$7:$E$1506,MATCH(B106,'CARNET DE SOUDURE'!$M$7:$M$1506,0)),""))</f>
        <v>JN°051</v>
      </c>
      <c r="K106" s="78" t="str">
        <f aca="false">IF(B106="","",IFERROR(INDEX('CARNET DE SOUDURE'!$E$7:$E$1506,MATCH(B106,'CARNET DE SOUDURE'!$K$7:$K$1506,0)),""))</f>
        <v>JN°052</v>
      </c>
      <c r="L106" s="78" t="str">
        <f aca="false">IF(B106="","",IFERROR(INDEX('CARNET DE SOUDURE'!$D$7:$D$1506,MATCH(B106,'CARNET DE SOUDURE'!$K$7:$K$1506,0)),IFERROR(INDEX('CARNET DE SOUDURE'!$D$7:$D$1506,MATCH(B106,'CARNET DE SOUDURE'!$M$7:$M$1506,0)),"")))</f>
        <v>0.00</v>
      </c>
      <c r="M106" s="81" t="str">
        <f aca="false">IF(B106="","",IF(OR(J106&lt;&gt;"",K106&lt;&gt;""),"POSÉ EN LIGNE",IF(H106&lt;&gt;"","BARDÉ","EN STOCK")))</f>
        <v>POSÉ EN LIGNE</v>
      </c>
      <c r="N106" s="79"/>
    </row>
    <row r="107" customFormat="false" ht="15" hidden="false" customHeight="false" outlineLevel="0" collapsed="false">
      <c r="A107" s="78" t="n">
        <f aca="false">IF(B107="","",ROW()-6)</f>
        <v>101</v>
      </c>
      <c r="B107" s="90" t="s">
        <v>270</v>
      </c>
      <c r="C107" s="91" t="n">
        <v>24703643</v>
      </c>
      <c r="D107" s="91" t="n">
        <v>924043079</v>
      </c>
      <c r="E107" s="80" t="n">
        <v>154</v>
      </c>
      <c r="F107" s="92" t="n">
        <v>12.21</v>
      </c>
      <c r="G107" s="79" t="s">
        <v>605</v>
      </c>
      <c r="H107" s="82"/>
      <c r="I107" s="93" t="str">
        <f aca="false">IF(B107="","",IFERROR(INDEX('CARNET DE SOUDURE'!$B$7:$B$1506,MATCH(B107,'CARNET DE SOUDURE'!$K$7:$K$1506,0)),IFERROR(INDEX('CARNET DE SOUDURE'!$B$7:$B$1506,MATCH(B107,'CARNET DE SOUDURE'!$M$7:$M$1506,0)),"")))</f>
        <v>TFT 716 → TL7-MMFW2</v>
      </c>
      <c r="J107" s="78" t="str">
        <f aca="false">IF(B107="","",IFERROR(INDEX('CARNET DE SOUDURE'!$E$7:$E$1506,MATCH(B107,'CARNET DE SOUDURE'!$M$7:$M$1506,0)),""))</f>
        <v>JN°065</v>
      </c>
      <c r="K107" s="78" t="str">
        <f aca="false">IF(B107="","",IFERROR(INDEX('CARNET DE SOUDURE'!$E$7:$E$1506,MATCH(B107,'CARNET DE SOUDURE'!$K$7:$K$1506,0)),""))</f>
        <v>JN°066</v>
      </c>
      <c r="L107" s="78" t="str">
        <f aca="false">IF(B107="","",IFERROR(INDEX('CARNET DE SOUDURE'!$D$7:$D$1506,MATCH(B107,'CARNET DE SOUDURE'!$K$7:$K$1506,0)),IFERROR(INDEX('CARNET DE SOUDURE'!$D$7:$D$1506,MATCH(B107,'CARNET DE SOUDURE'!$M$7:$M$1506,0)),"")))</f>
        <v>0.00</v>
      </c>
      <c r="M107" s="81" t="str">
        <f aca="false">IF(B107="","",IF(OR(J107&lt;&gt;"",K107&lt;&gt;""),"POSÉ EN LIGNE",IF(H107&lt;&gt;"","BARDÉ","EN STOCK")))</f>
        <v>POSÉ EN LIGNE</v>
      </c>
      <c r="N107" s="79"/>
    </row>
    <row r="108" customFormat="false" ht="15" hidden="false" customHeight="false" outlineLevel="0" collapsed="false">
      <c r="A108" s="78" t="n">
        <f aca="false">IF(B108="","",ROW()-6)</f>
        <v>102</v>
      </c>
      <c r="B108" s="90" t="s">
        <v>296</v>
      </c>
      <c r="C108" s="91" t="n">
        <v>24703643</v>
      </c>
      <c r="D108" s="91" t="n">
        <v>924043079</v>
      </c>
      <c r="E108" s="80" t="n">
        <v>155</v>
      </c>
      <c r="F108" s="92" t="n">
        <v>12.21</v>
      </c>
      <c r="G108" s="79" t="s">
        <v>605</v>
      </c>
      <c r="H108" s="82"/>
      <c r="I108" s="93" t="str">
        <f aca="false">IF(B108="","",IFERROR(INDEX('CARNET DE SOUDURE'!$B$7:$B$1506,MATCH(B108,'CARNET DE SOUDURE'!$K$7:$K$1506,0)),IFERROR(INDEX('CARNET DE SOUDURE'!$B$7:$B$1506,MATCH(B108,'CARNET DE SOUDURE'!$M$7:$M$1506,0)),"")))</f>
        <v>TFT 716 → TL7-MMFW2</v>
      </c>
      <c r="J108" s="78" t="str">
        <f aca="false">IF(B108="","",IFERROR(INDEX('CARNET DE SOUDURE'!$E$7:$E$1506,MATCH(B108,'CARNET DE SOUDURE'!$M$7:$M$1506,0)),""))</f>
        <v>JN°077</v>
      </c>
      <c r="K108" s="78" t="str">
        <f aca="false">IF(B108="","",IFERROR(INDEX('CARNET DE SOUDURE'!$E$7:$E$1506,MATCH(B108,'CARNET DE SOUDURE'!$K$7:$K$1506,0)),""))</f>
        <v>JN°078</v>
      </c>
      <c r="L108" s="78" t="str">
        <f aca="false">IF(B108="","",IFERROR(INDEX('CARNET DE SOUDURE'!$D$7:$D$1506,MATCH(B108,'CARNET DE SOUDURE'!$K$7:$K$1506,0)),IFERROR(INDEX('CARNET DE SOUDURE'!$D$7:$D$1506,MATCH(B108,'CARNET DE SOUDURE'!$M$7:$M$1506,0)),"")))</f>
        <v>0.00</v>
      </c>
      <c r="M108" s="81" t="str">
        <f aca="false">IF(B108="","",IF(OR(J108&lt;&gt;"",K108&lt;&gt;""),"POSÉ EN LIGNE",IF(H108&lt;&gt;"","BARDÉ","EN STOCK")))</f>
        <v>POSÉ EN LIGNE</v>
      </c>
      <c r="N108" s="79"/>
    </row>
    <row r="109" customFormat="false" ht="15" hidden="false" customHeight="false" outlineLevel="0" collapsed="false">
      <c r="A109" s="78" t="n">
        <f aca="false">IF(B109="","",ROW()-6)</f>
        <v>103</v>
      </c>
      <c r="B109" s="90" t="s">
        <v>291</v>
      </c>
      <c r="C109" s="91" t="n">
        <v>24703636</v>
      </c>
      <c r="D109" s="91" t="n">
        <v>924043252</v>
      </c>
      <c r="E109" s="80" t="n">
        <v>156</v>
      </c>
      <c r="F109" s="92" t="n">
        <v>12.19</v>
      </c>
      <c r="G109" s="79" t="s">
        <v>605</v>
      </c>
      <c r="H109" s="82"/>
      <c r="I109" s="93" t="str">
        <f aca="false">IF(B109="","",IFERROR(INDEX('CARNET DE SOUDURE'!$B$7:$B$1506,MATCH(B109,'CARNET DE SOUDURE'!$K$7:$K$1506,0)),IFERROR(INDEX('CARNET DE SOUDURE'!$B$7:$B$1506,MATCH(B109,'CARNET DE SOUDURE'!$M$7:$M$1506,0)),"")))</f>
        <v>TFT 716 → TL7-MMFW2</v>
      </c>
      <c r="J109" s="78" t="str">
        <f aca="false">IF(B109="","",IFERROR(INDEX('CARNET DE SOUDURE'!$E$7:$E$1506,MATCH(B109,'CARNET DE SOUDURE'!$M$7:$M$1506,0)),""))</f>
        <v>JN°075</v>
      </c>
      <c r="K109" s="78" t="str">
        <f aca="false">IF(B109="","",IFERROR(INDEX('CARNET DE SOUDURE'!$E$7:$E$1506,MATCH(B109,'CARNET DE SOUDURE'!$K$7:$K$1506,0)),""))</f>
        <v>JN°076</v>
      </c>
      <c r="L109" s="78" t="str">
        <f aca="false">IF(B109="","",IFERROR(INDEX('CARNET DE SOUDURE'!$D$7:$D$1506,MATCH(B109,'CARNET DE SOUDURE'!$K$7:$K$1506,0)),IFERROR(INDEX('CARNET DE SOUDURE'!$D$7:$D$1506,MATCH(B109,'CARNET DE SOUDURE'!$M$7:$M$1506,0)),"")))</f>
        <v>0.00</v>
      </c>
      <c r="M109" s="81" t="str">
        <f aca="false">IF(B109="","",IF(OR(J109&lt;&gt;"",K109&lt;&gt;""),"POSÉ EN LIGNE",IF(H109&lt;&gt;"","BARDÉ","EN STOCK")))</f>
        <v>POSÉ EN LIGNE</v>
      </c>
      <c r="N109" s="79"/>
    </row>
    <row r="110" customFormat="false" ht="15" hidden="false" customHeight="false" outlineLevel="0" collapsed="false">
      <c r="A110" s="78" t="n">
        <f aca="false">IF(B110="","",ROW()-6)</f>
        <v>104</v>
      </c>
      <c r="B110" s="90" t="s">
        <v>233</v>
      </c>
      <c r="C110" s="91" t="n">
        <v>24703636</v>
      </c>
      <c r="D110" s="91" t="n">
        <v>924043252</v>
      </c>
      <c r="E110" s="80" t="n">
        <v>157</v>
      </c>
      <c r="F110" s="92" t="n">
        <v>12.19</v>
      </c>
      <c r="G110" s="79" t="s">
        <v>605</v>
      </c>
      <c r="H110" s="82"/>
      <c r="I110" s="93" t="str">
        <f aca="false">IF(B110="","",IFERROR(INDEX('CARNET DE SOUDURE'!$B$7:$B$1506,MATCH(B110,'CARNET DE SOUDURE'!$K$7:$K$1506,0)),IFERROR(INDEX('CARNET DE SOUDURE'!$B$7:$B$1506,MATCH(B110,'CARNET DE SOUDURE'!$M$7:$M$1506,0)),"")))</f>
        <v>TFT 716 → TL7-MMFW2</v>
      </c>
      <c r="J110" s="78" t="str">
        <f aca="false">IF(B110="","",IFERROR(INDEX('CARNET DE SOUDURE'!$E$7:$E$1506,MATCH(B110,'CARNET DE SOUDURE'!$M$7:$M$1506,0)),""))</f>
        <v>JN°049</v>
      </c>
      <c r="K110" s="78" t="str">
        <f aca="false">IF(B110="","",IFERROR(INDEX('CARNET DE SOUDURE'!$E$7:$E$1506,MATCH(B110,'CARNET DE SOUDURE'!$K$7:$K$1506,0)),""))</f>
        <v>JN°050</v>
      </c>
      <c r="L110" s="78" t="str">
        <f aca="false">IF(B110="","",IFERROR(INDEX('CARNET DE SOUDURE'!$D$7:$D$1506,MATCH(B110,'CARNET DE SOUDURE'!$K$7:$K$1506,0)),IFERROR(INDEX('CARNET DE SOUDURE'!$D$7:$D$1506,MATCH(B110,'CARNET DE SOUDURE'!$M$7:$M$1506,0)),"")))</f>
        <v>0.00</v>
      </c>
      <c r="M110" s="81" t="str">
        <f aca="false">IF(B110="","",IF(OR(J110&lt;&gt;"",K110&lt;&gt;""),"POSÉ EN LIGNE",IF(H110&lt;&gt;"","BARDÉ","EN STOCK")))</f>
        <v>POSÉ EN LIGNE</v>
      </c>
      <c r="N110" s="79"/>
    </row>
    <row r="111" customFormat="false" ht="15" hidden="false" customHeight="false" outlineLevel="0" collapsed="false">
      <c r="A111" s="78" t="n">
        <f aca="false">IF(B111="","",ROW()-6)</f>
        <v>105</v>
      </c>
      <c r="B111" s="90" t="s">
        <v>235</v>
      </c>
      <c r="C111" s="91" t="n">
        <v>24703636</v>
      </c>
      <c r="D111" s="91" t="n">
        <v>924043252</v>
      </c>
      <c r="E111" s="80" t="n">
        <v>158</v>
      </c>
      <c r="F111" s="92" t="n">
        <v>12.2</v>
      </c>
      <c r="G111" s="79" t="s">
        <v>605</v>
      </c>
      <c r="H111" s="82"/>
      <c r="I111" s="93" t="str">
        <f aca="false">IF(B111="","",IFERROR(INDEX('CARNET DE SOUDURE'!$B$7:$B$1506,MATCH(B111,'CARNET DE SOUDURE'!$K$7:$K$1506,0)),IFERROR(INDEX('CARNET DE SOUDURE'!$B$7:$B$1506,MATCH(B111,'CARNET DE SOUDURE'!$M$7:$M$1506,0)),"")))</f>
        <v>TFT 716 → TL7-MMFW2</v>
      </c>
      <c r="J111" s="78" t="str">
        <f aca="false">IF(B111="","",IFERROR(INDEX('CARNET DE SOUDURE'!$E$7:$E$1506,MATCH(B111,'CARNET DE SOUDURE'!$M$7:$M$1506,0)),""))</f>
        <v>JN°050</v>
      </c>
      <c r="K111" s="78" t="str">
        <f aca="false">IF(B111="","",IFERROR(INDEX('CARNET DE SOUDURE'!$E$7:$E$1506,MATCH(B111,'CARNET DE SOUDURE'!$K$7:$K$1506,0)),""))</f>
        <v>JN°051</v>
      </c>
      <c r="L111" s="78" t="str">
        <f aca="false">IF(B111="","",IFERROR(INDEX('CARNET DE SOUDURE'!$D$7:$D$1506,MATCH(B111,'CARNET DE SOUDURE'!$K$7:$K$1506,0)),IFERROR(INDEX('CARNET DE SOUDURE'!$D$7:$D$1506,MATCH(B111,'CARNET DE SOUDURE'!$M$7:$M$1506,0)),"")))</f>
        <v>0.00</v>
      </c>
      <c r="M111" s="81" t="str">
        <f aca="false">IF(B111="","",IF(OR(J111&lt;&gt;"",K111&lt;&gt;""),"POSÉ EN LIGNE",IF(H111&lt;&gt;"","BARDÉ","EN STOCK")))</f>
        <v>POSÉ EN LIGNE</v>
      </c>
      <c r="N111" s="79"/>
    </row>
    <row r="112" customFormat="false" ht="15" hidden="false" customHeight="false" outlineLevel="0" collapsed="false">
      <c r="A112" s="78" t="n">
        <f aca="false">IF(B112="","",ROW()-6)</f>
        <v>106</v>
      </c>
      <c r="B112" s="90" t="s">
        <v>260</v>
      </c>
      <c r="C112" s="91" t="n">
        <v>24703636</v>
      </c>
      <c r="D112" s="91" t="n">
        <v>924043252</v>
      </c>
      <c r="E112" s="80" t="n">
        <v>159</v>
      </c>
      <c r="F112" s="92" t="n">
        <v>12.19</v>
      </c>
      <c r="G112" s="79" t="s">
        <v>605</v>
      </c>
      <c r="H112" s="82"/>
      <c r="I112" s="93" t="str">
        <f aca="false">IF(B112="","",IFERROR(INDEX('CARNET DE SOUDURE'!$B$7:$B$1506,MATCH(B112,'CARNET DE SOUDURE'!$K$7:$K$1506,0)),IFERROR(INDEX('CARNET DE SOUDURE'!$B$7:$B$1506,MATCH(B112,'CARNET DE SOUDURE'!$M$7:$M$1506,0)),"")))</f>
        <v>TFT 716 → TL7-MMFW2</v>
      </c>
      <c r="J112" s="78" t="str">
        <f aca="false">IF(B112="","",IFERROR(INDEX('CARNET DE SOUDURE'!$E$7:$E$1506,MATCH(B112,'CARNET DE SOUDURE'!$M$7:$M$1506,0)),""))</f>
        <v>JN°061</v>
      </c>
      <c r="K112" s="78" t="str">
        <f aca="false">IF(B112="","",IFERROR(INDEX('CARNET DE SOUDURE'!$E$7:$E$1506,MATCH(B112,'CARNET DE SOUDURE'!$K$7:$K$1506,0)),""))</f>
        <v>JN°062</v>
      </c>
      <c r="L112" s="78" t="str">
        <f aca="false">IF(B112="","",IFERROR(INDEX('CARNET DE SOUDURE'!$D$7:$D$1506,MATCH(B112,'CARNET DE SOUDURE'!$K$7:$K$1506,0)),IFERROR(INDEX('CARNET DE SOUDURE'!$D$7:$D$1506,MATCH(B112,'CARNET DE SOUDURE'!$M$7:$M$1506,0)),"")))</f>
        <v>0.00</v>
      </c>
      <c r="M112" s="81" t="str">
        <f aca="false">IF(B112="","",IF(OR(J112&lt;&gt;"",K112&lt;&gt;""),"POSÉ EN LIGNE",IF(H112&lt;&gt;"","BARDÉ","EN STOCK")))</f>
        <v>POSÉ EN LIGNE</v>
      </c>
      <c r="N112" s="79"/>
    </row>
    <row r="113" customFormat="false" ht="15" hidden="false" customHeight="false" outlineLevel="0" collapsed="false">
      <c r="A113" s="78" t="n">
        <f aca="false">IF(B113="","",ROW()-6)</f>
        <v>107</v>
      </c>
      <c r="B113" s="90" t="s">
        <v>253</v>
      </c>
      <c r="C113" s="91" t="n">
        <v>24703645</v>
      </c>
      <c r="D113" s="91" t="n">
        <v>924043080</v>
      </c>
      <c r="E113" s="80" t="n">
        <v>161</v>
      </c>
      <c r="F113" s="92" t="n">
        <v>12.21</v>
      </c>
      <c r="G113" s="79" t="s">
        <v>605</v>
      </c>
      <c r="H113" s="82"/>
      <c r="I113" s="93" t="str">
        <f aca="false">IF(B113="","",IFERROR(INDEX('CARNET DE SOUDURE'!$B$7:$B$1506,MATCH(B113,'CARNET DE SOUDURE'!$K$7:$K$1506,0)),IFERROR(INDEX('CARNET DE SOUDURE'!$B$7:$B$1506,MATCH(B113,'CARNET DE SOUDURE'!$M$7:$M$1506,0)),"")))</f>
        <v>TFT 716 → TL7-MMFW2</v>
      </c>
      <c r="J113" s="78" t="str">
        <f aca="false">IF(B113="","",IFERROR(INDEX('CARNET DE SOUDURE'!$E$7:$E$1506,MATCH(B113,'CARNET DE SOUDURE'!$M$7:$M$1506,0)),""))</f>
        <v>JN°058</v>
      </c>
      <c r="K113" s="78" t="str">
        <f aca="false">IF(B113="","",IFERROR(INDEX('CARNET DE SOUDURE'!$E$7:$E$1506,MATCH(B113,'CARNET DE SOUDURE'!$K$7:$K$1506,0)),""))</f>
        <v>JN°059</v>
      </c>
      <c r="L113" s="78" t="str">
        <f aca="false">IF(B113="","",IFERROR(INDEX('CARNET DE SOUDURE'!$D$7:$D$1506,MATCH(B113,'CARNET DE SOUDURE'!$K$7:$K$1506,0)),IFERROR(INDEX('CARNET DE SOUDURE'!$D$7:$D$1506,MATCH(B113,'CARNET DE SOUDURE'!$M$7:$M$1506,0)),"")))</f>
        <v>0.00</v>
      </c>
      <c r="M113" s="81" t="str">
        <f aca="false">IF(B113="","",IF(OR(J113&lt;&gt;"",K113&lt;&gt;""),"POSÉ EN LIGNE",IF(H113&lt;&gt;"","BARDÉ","EN STOCK")))</f>
        <v>POSÉ EN LIGNE</v>
      </c>
      <c r="N113" s="79"/>
    </row>
    <row r="114" customFormat="false" ht="22.35" hidden="false" customHeight="false" outlineLevel="0" collapsed="false">
      <c r="A114" s="78" t="n">
        <f aca="false">IF(B114="","",ROW()-6)</f>
        <v>108</v>
      </c>
      <c r="B114" s="90" t="s">
        <v>607</v>
      </c>
      <c r="C114" s="91" t="s">
        <v>608</v>
      </c>
      <c r="D114" s="91" t="s">
        <v>609</v>
      </c>
      <c r="E114" s="80" t="s">
        <v>610</v>
      </c>
      <c r="F114" s="92" t="s">
        <v>611</v>
      </c>
      <c r="G114" s="79" t="s">
        <v>612</v>
      </c>
      <c r="H114" s="82"/>
      <c r="I114" s="93" t="str">
        <f aca="false">IF(B114="","",IFERROR(INDEX('CARNET DE SOUDURE'!$B$7:$B$1506,MATCH(B114,'CARNET DE SOUDURE'!$K$7:$K$1506,0)),IFERROR(INDEX('CARNET DE SOUDURE'!$B$7:$B$1506,MATCH(B114,'CARNET DE SOUDURE'!$M$7:$M$1506,0)),"")))</f>
        <v/>
      </c>
      <c r="J114" s="78" t="str">
        <f aca="false">IF(B114="","",IFERROR(INDEX('CARNET DE SOUDURE'!$E$7:$E$1506,MATCH(B114,'CARNET DE SOUDURE'!$M$7:$M$1506,0)),""))</f>
        <v/>
      </c>
      <c r="K114" s="78" t="str">
        <f aca="false">IF(B114="","",IFERROR(INDEX('CARNET DE SOUDURE'!$E$7:$E$1506,MATCH(B114,'CARNET DE SOUDURE'!$K$7:$K$1506,0)),""))</f>
        <v/>
      </c>
      <c r="L114" s="78" t="str">
        <f aca="false">IF(B114="","",IFERROR(INDEX('CARNET DE SOUDURE'!$D$7:$D$1506,MATCH(B114,'CARNET DE SOUDURE'!$K$7:$K$1506,0)),IFERROR(INDEX('CARNET DE SOUDURE'!$D$7:$D$1506,MATCH(B114,'CARNET DE SOUDURE'!$M$7:$M$1506,0)),"")))</f>
        <v/>
      </c>
      <c r="M114" s="81" t="str">
        <f aca="false">IF(B114="","",IF(OR(J114&lt;&gt;"",K114&lt;&gt;""),"POSÉ EN LIGNE",IF(H114&lt;&gt;"","BARDÉ","EN STOCK")))</f>
        <v>EN STOCK</v>
      </c>
      <c r="N114" s="79"/>
    </row>
    <row r="115" customFormat="false" ht="15" hidden="false" customHeight="false" outlineLevel="0" collapsed="false">
      <c r="A115" s="78" t="n">
        <f aca="false">IF(B115="","",ROW()-6)</f>
        <v>109</v>
      </c>
      <c r="B115" s="90" t="s">
        <v>491</v>
      </c>
      <c r="C115" s="91" t="n">
        <v>24102487</v>
      </c>
      <c r="D115" s="91" t="n">
        <v>924054023</v>
      </c>
      <c r="E115" s="80" t="n">
        <v>89</v>
      </c>
      <c r="F115" s="92" t="n">
        <v>12.46</v>
      </c>
      <c r="G115" s="79" t="s">
        <v>605</v>
      </c>
      <c r="H115" s="82"/>
      <c r="I115" s="93" t="str">
        <f aca="false">IF(B115="","",IFERROR(INDEX('CARNET DE SOUDURE'!$B$7:$B$1506,MATCH(B115,'CARNET DE SOUDURE'!$K$7:$K$1506,0)),IFERROR(INDEX('CARNET DE SOUDURE'!$B$7:$B$1506,MATCH(B115,'CARNET DE SOUDURE'!$M$7:$M$1506,0)),"")))</f>
        <v>TFT 716 → TL7-MMFW2</v>
      </c>
      <c r="J115" s="78" t="str">
        <f aca="false">IF(B115="","",IFERROR(INDEX('CARNET DE SOUDURE'!$E$7:$E$1506,MATCH(B115,'CARNET DE SOUDURE'!$M$7:$M$1506,0)),""))</f>
        <v>JN°163</v>
      </c>
      <c r="K115" s="78" t="str">
        <f aca="false">IF(B115="","",IFERROR(INDEX('CARNET DE SOUDURE'!$E$7:$E$1506,MATCH(B115,'CARNET DE SOUDURE'!$K$7:$K$1506,0)),""))</f>
        <v>JN°164</v>
      </c>
      <c r="L115" s="78" t="str">
        <f aca="false">IF(B115="","",IFERROR(INDEX('CARNET DE SOUDURE'!$D$7:$D$1506,MATCH(B115,'CARNET DE SOUDURE'!$K$7:$K$1506,0)),IFERROR(INDEX('CARNET DE SOUDURE'!$D$7:$D$1506,MATCH(B115,'CARNET DE SOUDURE'!$M$7:$M$1506,0)),"")))</f>
        <v>1.00</v>
      </c>
      <c r="M115" s="81" t="str">
        <f aca="false">IF(B115="","",IF(OR(J115&lt;&gt;"",K115&lt;&gt;""),"POSÉ EN LIGNE",IF(H115&lt;&gt;"","BARDÉ","EN STOCK")))</f>
        <v>POSÉ EN LIGNE</v>
      </c>
      <c r="N115" s="79"/>
    </row>
    <row r="116" customFormat="false" ht="15" hidden="false" customHeight="false" outlineLevel="0" collapsed="false">
      <c r="A116" s="78" t="n">
        <f aca="false">IF(B116="","",ROW()-6)</f>
        <v>110</v>
      </c>
      <c r="B116" s="90" t="s">
        <v>225</v>
      </c>
      <c r="C116" s="91" t="n">
        <v>24703645</v>
      </c>
      <c r="D116" s="91" t="n">
        <v>924043080</v>
      </c>
      <c r="E116" s="80" t="n">
        <v>162</v>
      </c>
      <c r="F116" s="92" t="n">
        <v>12.21</v>
      </c>
      <c r="G116" s="79" t="s">
        <v>605</v>
      </c>
      <c r="H116" s="82"/>
      <c r="I116" s="93" t="str">
        <f aca="false">IF(B116="","",IFERROR(INDEX('CARNET DE SOUDURE'!$B$7:$B$1506,MATCH(B116,'CARNET DE SOUDURE'!$K$7:$K$1506,0)),IFERROR(INDEX('CARNET DE SOUDURE'!$B$7:$B$1506,MATCH(B116,'CARNET DE SOUDURE'!$M$7:$M$1506,0)),"")))</f>
        <v>TFT 716 → TL7-MMFW2</v>
      </c>
      <c r="J116" s="78" t="str">
        <f aca="false">IF(B116="","",IFERROR(INDEX('CARNET DE SOUDURE'!$E$7:$E$1506,MATCH(B116,'CARNET DE SOUDURE'!$M$7:$M$1506,0)),""))</f>
        <v>JN°046</v>
      </c>
      <c r="K116" s="78" t="str">
        <f aca="false">IF(B116="","",IFERROR(INDEX('CARNET DE SOUDURE'!$E$7:$E$1506,MATCH(B116,'CARNET DE SOUDURE'!$K$7:$K$1506,0)),""))</f>
        <v>JN°047</v>
      </c>
      <c r="L116" s="78" t="str">
        <f aca="false">IF(B116="","",IFERROR(INDEX('CARNET DE SOUDURE'!$D$7:$D$1506,MATCH(B116,'CARNET DE SOUDURE'!$K$7:$K$1506,0)),IFERROR(INDEX('CARNET DE SOUDURE'!$D$7:$D$1506,MATCH(B116,'CARNET DE SOUDURE'!$M$7:$M$1506,0)),"")))</f>
        <v>0.00</v>
      </c>
      <c r="M116" s="81" t="str">
        <f aca="false">IF(B116="","",IF(OR(J116&lt;&gt;"",K116&lt;&gt;""),"POSÉ EN LIGNE",IF(H116&lt;&gt;"","BARDÉ","EN STOCK")))</f>
        <v>POSÉ EN LIGNE</v>
      </c>
      <c r="N116" s="79"/>
    </row>
    <row r="117" customFormat="false" ht="15" hidden="false" customHeight="false" outlineLevel="0" collapsed="false">
      <c r="A117" s="78" t="n">
        <f aca="false">IF(B117="","",ROW()-6)</f>
        <v>111</v>
      </c>
      <c r="B117" s="90" t="s">
        <v>121</v>
      </c>
      <c r="C117" s="91" t="n">
        <v>24703645</v>
      </c>
      <c r="D117" s="91" t="n">
        <v>924043080</v>
      </c>
      <c r="E117" s="80" t="n">
        <v>163</v>
      </c>
      <c r="F117" s="92" t="n">
        <v>12.21</v>
      </c>
      <c r="G117" s="79" t="s">
        <v>605</v>
      </c>
      <c r="H117" s="82"/>
      <c r="I117" s="93" t="str">
        <f aca="false">IF(B117="","",IFERROR(INDEX('CARNET DE SOUDURE'!$B$7:$B$1506,MATCH(B117,'CARNET DE SOUDURE'!$K$7:$K$1506,0)),IFERROR(INDEX('CARNET DE SOUDURE'!$B$7:$B$1506,MATCH(B117,'CARNET DE SOUDURE'!$M$7:$M$1506,0)),"")))</f>
        <v>TFT 716 → TL7-MMFW2</v>
      </c>
      <c r="J117" s="78" t="str">
        <f aca="false">IF(B117="","",IFERROR(INDEX('CARNET DE SOUDURE'!$E$7:$E$1506,MATCH(B117,'CARNET DE SOUDURE'!$M$7:$M$1506,0)),""))</f>
        <v>JN°007</v>
      </c>
      <c r="K117" s="78" t="str">
        <f aca="false">IF(B117="","",IFERROR(INDEX('CARNET DE SOUDURE'!$E$7:$E$1506,MATCH(B117,'CARNET DE SOUDURE'!$K$7:$K$1506,0)),""))</f>
        <v>JN°008</v>
      </c>
      <c r="L117" s="78" t="str">
        <f aca="false">IF(B117="","",IFERROR(INDEX('CARNET DE SOUDURE'!$D$7:$D$1506,MATCH(B117,'CARNET DE SOUDURE'!$K$7:$K$1506,0)),IFERROR(INDEX('CARNET DE SOUDURE'!$D$7:$D$1506,MATCH(B117,'CARNET DE SOUDURE'!$M$7:$M$1506,0)),"")))</f>
        <v>0.00</v>
      </c>
      <c r="M117" s="81" t="str">
        <f aca="false">IF(B117="","",IF(OR(J117&lt;&gt;"",K117&lt;&gt;""),"POSÉ EN LIGNE",IF(H117&lt;&gt;"","BARDÉ","EN STOCK")))</f>
        <v>POSÉ EN LIGNE</v>
      </c>
      <c r="N117" s="79"/>
    </row>
    <row r="118" customFormat="false" ht="15" hidden="false" customHeight="false" outlineLevel="0" collapsed="false">
      <c r="A118" s="78" t="n">
        <f aca="false">IF(B118="","",ROW()-6)</f>
        <v>112</v>
      </c>
      <c r="B118" s="90" t="s">
        <v>508</v>
      </c>
      <c r="C118" s="91" t="n">
        <v>24703645</v>
      </c>
      <c r="D118" s="91" t="n">
        <v>924043080</v>
      </c>
      <c r="E118" s="80" t="n">
        <v>164</v>
      </c>
      <c r="F118" s="92" t="n">
        <v>11.88</v>
      </c>
      <c r="G118" s="79" t="s">
        <v>605</v>
      </c>
      <c r="H118" s="82"/>
      <c r="I118" s="93" t="str">
        <f aca="false">IF(B118="","",IFERROR(INDEX('CARNET DE SOUDURE'!$B$7:$B$1506,MATCH(B118,'CARNET DE SOUDURE'!$K$7:$K$1506,0)),IFERROR(INDEX('CARNET DE SOUDURE'!$B$7:$B$1506,MATCH(B118,'CARNET DE SOUDURE'!$M$7:$M$1506,0)),"")))</f>
        <v>TFT 716 → TL7-MMFW2</v>
      </c>
      <c r="J118" s="78" t="str">
        <f aca="false">IF(B118="","",IFERROR(INDEX('CARNET DE SOUDURE'!$E$7:$E$1506,MATCH(B118,'CARNET DE SOUDURE'!$M$7:$M$1506,0)),""))</f>
        <v>JN°170</v>
      </c>
      <c r="K118" s="78" t="str">
        <f aca="false">IF(B118="","",IFERROR(INDEX('CARNET DE SOUDURE'!$E$7:$E$1506,MATCH(B118,'CARNET DE SOUDURE'!$K$7:$K$1506,0)),""))</f>
        <v>JN°171</v>
      </c>
      <c r="L118" s="78" t="str">
        <f aca="false">IF(B118="","",IFERROR(INDEX('CARNET DE SOUDURE'!$D$7:$D$1506,MATCH(B118,'CARNET DE SOUDURE'!$K$7:$K$1506,0)),IFERROR(INDEX('CARNET DE SOUDURE'!$D$7:$D$1506,MATCH(B118,'CARNET DE SOUDURE'!$M$7:$M$1506,0)),"")))</f>
        <v>2.00</v>
      </c>
      <c r="M118" s="81" t="str">
        <f aca="false">IF(B118="","",IF(OR(J118&lt;&gt;"",K118&lt;&gt;""),"POSÉ EN LIGNE",IF(H118&lt;&gt;"","BARDÉ","EN STOCK")))</f>
        <v>POSÉ EN LIGNE</v>
      </c>
      <c r="N118" s="79"/>
    </row>
    <row r="119" customFormat="false" ht="15" hidden="false" customHeight="false" outlineLevel="0" collapsed="false">
      <c r="A119" s="78" t="n">
        <f aca="false">IF(B119="","",ROW()-6)</f>
        <v>113</v>
      </c>
      <c r="B119" s="90" t="s">
        <v>571</v>
      </c>
      <c r="C119" s="91" t="n">
        <v>24703645</v>
      </c>
      <c r="D119" s="91" t="n">
        <v>924043080</v>
      </c>
      <c r="E119" s="80" t="n">
        <v>165</v>
      </c>
      <c r="F119" s="92" t="n">
        <v>12.21</v>
      </c>
      <c r="G119" s="79" t="s">
        <v>605</v>
      </c>
      <c r="H119" s="82"/>
      <c r="I119" s="93" t="str">
        <f aca="false">IF(B119="","",IFERROR(INDEX('CARNET DE SOUDURE'!$B$7:$B$1506,MATCH(B119,'CARNET DE SOUDURE'!$K$7:$K$1506,0)),IFERROR(INDEX('CARNET DE SOUDURE'!$B$7:$B$1506,MATCH(B119,'CARNET DE SOUDURE'!$M$7:$M$1506,0)),"")))</f>
        <v>TFT 716 → TL7-MMFW2</v>
      </c>
      <c r="J119" s="78" t="str">
        <f aca="false">IF(B119="","",IFERROR(INDEX('CARNET DE SOUDURE'!$E$7:$E$1506,MATCH(B119,'CARNET DE SOUDURE'!$M$7:$M$1506,0)),""))</f>
        <v>JN°200</v>
      </c>
      <c r="K119" s="78" t="str">
        <f aca="false">IF(B119="","",IFERROR(INDEX('CARNET DE SOUDURE'!$E$7:$E$1506,MATCH(B119,'CARNET DE SOUDURE'!$K$7:$K$1506,0)),""))</f>
        <v>JN°201</v>
      </c>
      <c r="L119" s="78" t="str">
        <f aca="false">IF(B119="","",IFERROR(INDEX('CARNET DE SOUDURE'!$D$7:$D$1506,MATCH(B119,'CARNET DE SOUDURE'!$K$7:$K$1506,0)),IFERROR(INDEX('CARNET DE SOUDURE'!$D$7:$D$1506,MATCH(B119,'CARNET DE SOUDURE'!$M$7:$M$1506,0)),"")))</f>
        <v>2.00</v>
      </c>
      <c r="M119" s="81" t="str">
        <f aca="false">IF(B119="","",IF(OR(J119&lt;&gt;"",K119&lt;&gt;""),"POSÉ EN LIGNE",IF(H119&lt;&gt;"","BARDÉ","EN STOCK")))</f>
        <v>POSÉ EN LIGNE</v>
      </c>
      <c r="N119" s="79"/>
    </row>
    <row r="120" customFormat="false" ht="15" hidden="false" customHeight="false" outlineLevel="0" collapsed="false">
      <c r="A120" s="78" t="n">
        <f aca="false">IF(B120="","",ROW()-6)</f>
        <v>114</v>
      </c>
      <c r="B120" s="90" t="s">
        <v>468</v>
      </c>
      <c r="C120" s="91" t="n">
        <v>24102495</v>
      </c>
      <c r="D120" s="91" t="n">
        <v>924054018</v>
      </c>
      <c r="E120" s="80" t="n">
        <v>166</v>
      </c>
      <c r="F120" s="92" t="n">
        <v>12.44</v>
      </c>
      <c r="G120" s="79" t="s">
        <v>605</v>
      </c>
      <c r="H120" s="82"/>
      <c r="I120" s="93" t="str">
        <f aca="false">IF(B120="","",IFERROR(INDEX('CARNET DE SOUDURE'!$B$7:$B$1506,MATCH(B120,'CARNET DE SOUDURE'!$K$7:$K$1506,0)),IFERROR(INDEX('CARNET DE SOUDURE'!$B$7:$B$1506,MATCH(B120,'CARNET DE SOUDURE'!$M$7:$M$1506,0)),"")))</f>
        <v>TFT 716 → TL7-MMFW2</v>
      </c>
      <c r="J120" s="78" t="str">
        <f aca="false">IF(B120="","",IFERROR(INDEX('CARNET DE SOUDURE'!$E$7:$E$1506,MATCH(B120,'CARNET DE SOUDURE'!$M$7:$M$1506,0)),""))</f>
        <v>JN°152</v>
      </c>
      <c r="K120" s="78" t="str">
        <f aca="false">IF(B120="","",IFERROR(INDEX('CARNET DE SOUDURE'!$E$7:$E$1506,MATCH(B120,'CARNET DE SOUDURE'!$K$7:$K$1506,0)),""))</f>
        <v>JN°153</v>
      </c>
      <c r="L120" s="78" t="str">
        <f aca="false">IF(B120="","",IFERROR(INDEX('CARNET DE SOUDURE'!$D$7:$D$1506,MATCH(B120,'CARNET DE SOUDURE'!$K$7:$K$1506,0)),IFERROR(INDEX('CARNET DE SOUDURE'!$D$7:$D$1506,MATCH(B120,'CARNET DE SOUDURE'!$M$7:$M$1506,0)),"")))</f>
        <v>1.00</v>
      </c>
      <c r="M120" s="81" t="str">
        <f aca="false">IF(B120="","",IF(OR(J120&lt;&gt;"",K120&lt;&gt;""),"POSÉ EN LIGNE",IF(H120&lt;&gt;"","BARDÉ","EN STOCK")))</f>
        <v>POSÉ EN LIGNE</v>
      </c>
      <c r="N120" s="79"/>
    </row>
    <row r="121" customFormat="false" ht="15" hidden="false" customHeight="false" outlineLevel="0" collapsed="false">
      <c r="A121" s="78" t="n">
        <f aca="false">IF(B121="","",ROW()-6)</f>
        <v>115</v>
      </c>
      <c r="B121" s="90" t="s">
        <v>462</v>
      </c>
      <c r="C121" s="91" t="n">
        <v>24102495</v>
      </c>
      <c r="D121" s="91" t="n">
        <v>924054018</v>
      </c>
      <c r="E121" s="80" t="n">
        <v>167</v>
      </c>
      <c r="F121" s="92" t="n">
        <v>12.45</v>
      </c>
      <c r="G121" s="79" t="s">
        <v>605</v>
      </c>
      <c r="H121" s="82"/>
      <c r="I121" s="93" t="str">
        <f aca="false">IF(B121="","",IFERROR(INDEX('CARNET DE SOUDURE'!$B$7:$B$1506,MATCH(B121,'CARNET DE SOUDURE'!$K$7:$K$1506,0)),IFERROR(INDEX('CARNET DE SOUDURE'!$B$7:$B$1506,MATCH(B121,'CARNET DE SOUDURE'!$M$7:$M$1506,0)),"")))</f>
        <v>TFT 716 → TL7-MMFW2</v>
      </c>
      <c r="J121" s="78" t="str">
        <f aca="false">IF(B121="","",IFERROR(INDEX('CARNET DE SOUDURE'!$E$7:$E$1506,MATCH(B121,'CARNET DE SOUDURE'!$M$7:$M$1506,0)),""))</f>
        <v>JN°149</v>
      </c>
      <c r="K121" s="78" t="str">
        <f aca="false">IF(B121="","",IFERROR(INDEX('CARNET DE SOUDURE'!$E$7:$E$1506,MATCH(B121,'CARNET DE SOUDURE'!$K$7:$K$1506,0)),""))</f>
        <v>JN°150</v>
      </c>
      <c r="L121" s="78" t="str">
        <f aca="false">IF(B121="","",IFERROR(INDEX('CARNET DE SOUDURE'!$D$7:$D$1506,MATCH(B121,'CARNET DE SOUDURE'!$K$7:$K$1506,0)),IFERROR(INDEX('CARNET DE SOUDURE'!$D$7:$D$1506,MATCH(B121,'CARNET DE SOUDURE'!$M$7:$M$1506,0)),"")))</f>
        <v>1.00</v>
      </c>
      <c r="M121" s="81" t="str">
        <f aca="false">IF(B121="","",IF(OR(J121&lt;&gt;"",K121&lt;&gt;""),"POSÉ EN LIGNE",IF(H121&lt;&gt;"","BARDÉ","EN STOCK")))</f>
        <v>POSÉ EN LIGNE</v>
      </c>
      <c r="N121" s="79"/>
    </row>
    <row r="122" customFormat="false" ht="15" hidden="false" customHeight="false" outlineLevel="0" collapsed="false">
      <c r="A122" s="78" t="n">
        <f aca="false">IF(B122="","",ROW()-6)</f>
        <v>116</v>
      </c>
      <c r="B122" s="90" t="s">
        <v>497</v>
      </c>
      <c r="C122" s="91" t="n">
        <v>24102495</v>
      </c>
      <c r="D122" s="91" t="n">
        <v>924054018</v>
      </c>
      <c r="E122" s="80" t="n">
        <v>168</v>
      </c>
      <c r="F122" s="92" t="n">
        <v>12.29</v>
      </c>
      <c r="G122" s="79" t="s">
        <v>605</v>
      </c>
      <c r="H122" s="82"/>
      <c r="I122" s="93" t="str">
        <f aca="false">IF(B122="","",IFERROR(INDEX('CARNET DE SOUDURE'!$B$7:$B$1506,MATCH(B122,'CARNET DE SOUDURE'!$K$7:$K$1506,0)),IFERROR(INDEX('CARNET DE SOUDURE'!$B$7:$B$1506,MATCH(B122,'CARNET DE SOUDURE'!$M$7:$M$1506,0)),"")))</f>
        <v>TFT 716 → TL7-MMFW2</v>
      </c>
      <c r="J122" s="78" t="str">
        <f aca="false">IF(B122="","",IFERROR(INDEX('CARNET DE SOUDURE'!$E$7:$E$1506,MATCH(B122,'CARNET DE SOUDURE'!$M$7:$M$1506,0)),""))</f>
        <v>JN°166</v>
      </c>
      <c r="K122" s="78" t="str">
        <f aca="false">IF(B122="","",IFERROR(INDEX('CARNET DE SOUDURE'!$E$7:$E$1506,MATCH(B122,'CARNET DE SOUDURE'!$K$7:$K$1506,0)),""))</f>
        <v>JN°167</v>
      </c>
      <c r="L122" s="78" t="str">
        <f aca="false">IF(B122="","",IFERROR(INDEX('CARNET DE SOUDURE'!$D$7:$D$1506,MATCH(B122,'CARNET DE SOUDURE'!$K$7:$K$1506,0)),IFERROR(INDEX('CARNET DE SOUDURE'!$D$7:$D$1506,MATCH(B122,'CARNET DE SOUDURE'!$M$7:$M$1506,0)),"")))</f>
        <v>1.00</v>
      </c>
      <c r="M122" s="81" t="str">
        <f aca="false">IF(B122="","",IF(OR(J122&lt;&gt;"",K122&lt;&gt;""),"POSÉ EN LIGNE",IF(H122&lt;&gt;"","BARDÉ","EN STOCK")))</f>
        <v>POSÉ EN LIGNE</v>
      </c>
      <c r="N122" s="79"/>
    </row>
    <row r="123" customFormat="false" ht="15" hidden="false" customHeight="false" outlineLevel="0" collapsed="false">
      <c r="A123" s="78" t="n">
        <f aca="false">IF(B123="","",ROW()-6)</f>
        <v>117</v>
      </c>
      <c r="B123" s="90" t="s">
        <v>510</v>
      </c>
      <c r="C123" s="91" t="n">
        <v>24102495</v>
      </c>
      <c r="D123" s="91" t="n">
        <v>924054018</v>
      </c>
      <c r="E123" s="80" t="n">
        <v>169</v>
      </c>
      <c r="F123" s="92" t="n">
        <v>12.45</v>
      </c>
      <c r="G123" s="79" t="s">
        <v>605</v>
      </c>
      <c r="H123" s="82"/>
      <c r="I123" s="93" t="str">
        <f aca="false">IF(B123="","",IFERROR(INDEX('CARNET DE SOUDURE'!$B$7:$B$1506,MATCH(B123,'CARNET DE SOUDURE'!$K$7:$K$1506,0)),IFERROR(INDEX('CARNET DE SOUDURE'!$B$7:$B$1506,MATCH(B123,'CARNET DE SOUDURE'!$M$7:$M$1506,0)),"")))</f>
        <v>TFT 716 → TL7-MMFW2</v>
      </c>
      <c r="J123" s="78" t="str">
        <f aca="false">IF(B123="","",IFERROR(INDEX('CARNET DE SOUDURE'!$E$7:$E$1506,MATCH(B123,'CARNET DE SOUDURE'!$M$7:$M$1506,0)),""))</f>
        <v>JN°171</v>
      </c>
      <c r="K123" s="78" t="str">
        <f aca="false">IF(B123="","",IFERROR(INDEX('CARNET DE SOUDURE'!$E$7:$E$1506,MATCH(B123,'CARNET DE SOUDURE'!$K$7:$K$1506,0)),""))</f>
        <v>JN°172</v>
      </c>
      <c r="L123" s="78" t="str">
        <f aca="false">IF(B123="","",IFERROR(INDEX('CARNET DE SOUDURE'!$D$7:$D$1506,MATCH(B123,'CARNET DE SOUDURE'!$K$7:$K$1506,0)),IFERROR(INDEX('CARNET DE SOUDURE'!$D$7:$D$1506,MATCH(B123,'CARNET DE SOUDURE'!$M$7:$M$1506,0)),"")))</f>
        <v>2.00</v>
      </c>
      <c r="M123" s="81" t="str">
        <f aca="false">IF(B123="","",IF(OR(J123&lt;&gt;"",K123&lt;&gt;""),"POSÉ EN LIGNE",IF(H123&lt;&gt;"","BARDÉ","EN STOCK")))</f>
        <v>POSÉ EN LIGNE</v>
      </c>
      <c r="N123" s="79"/>
    </row>
    <row r="124" customFormat="false" ht="15" hidden="false" customHeight="false" outlineLevel="0" collapsed="false">
      <c r="A124" s="78" t="n">
        <f aca="false">IF(B124="","",ROW()-6)</f>
        <v>118</v>
      </c>
      <c r="B124" s="90" t="s">
        <v>495</v>
      </c>
      <c r="C124" s="91" t="n">
        <v>24102495</v>
      </c>
      <c r="D124" s="91" t="n">
        <v>924054018</v>
      </c>
      <c r="E124" s="80" t="n">
        <v>170</v>
      </c>
      <c r="F124" s="92" t="n">
        <v>12.44</v>
      </c>
      <c r="G124" s="79" t="s">
        <v>605</v>
      </c>
      <c r="H124" s="82"/>
      <c r="I124" s="93" t="str">
        <f aca="false">IF(B124="","",IFERROR(INDEX('CARNET DE SOUDURE'!$B$7:$B$1506,MATCH(B124,'CARNET DE SOUDURE'!$K$7:$K$1506,0)),IFERROR(INDEX('CARNET DE SOUDURE'!$B$7:$B$1506,MATCH(B124,'CARNET DE SOUDURE'!$M$7:$M$1506,0)),"")))</f>
        <v>TFT 716 → TL7-MMFW2</v>
      </c>
      <c r="J124" s="78" t="str">
        <f aca="false">IF(B124="","",IFERROR(INDEX('CARNET DE SOUDURE'!$E$7:$E$1506,MATCH(B124,'CARNET DE SOUDURE'!$M$7:$M$1506,0)),""))</f>
        <v>JN°165</v>
      </c>
      <c r="K124" s="78" t="str">
        <f aca="false">IF(B124="","",IFERROR(INDEX('CARNET DE SOUDURE'!$E$7:$E$1506,MATCH(B124,'CARNET DE SOUDURE'!$K$7:$K$1506,0)),""))</f>
        <v>JN°166</v>
      </c>
      <c r="L124" s="78" t="str">
        <f aca="false">IF(B124="","",IFERROR(INDEX('CARNET DE SOUDURE'!$D$7:$D$1506,MATCH(B124,'CARNET DE SOUDURE'!$K$7:$K$1506,0)),IFERROR(INDEX('CARNET DE SOUDURE'!$D$7:$D$1506,MATCH(B124,'CARNET DE SOUDURE'!$M$7:$M$1506,0)),"")))</f>
        <v>1.00</v>
      </c>
      <c r="M124" s="81" t="str">
        <f aca="false">IF(B124="","",IF(OR(J124&lt;&gt;"",K124&lt;&gt;""),"POSÉ EN LIGNE",IF(H124&lt;&gt;"","BARDÉ","EN STOCK")))</f>
        <v>POSÉ EN LIGNE</v>
      </c>
      <c r="N124" s="79"/>
    </row>
    <row r="125" customFormat="false" ht="15" hidden="false" customHeight="false" outlineLevel="0" collapsed="false">
      <c r="A125" s="78" t="n">
        <f aca="false">IF(B125="","",ROW()-6)</f>
        <v>119</v>
      </c>
      <c r="B125" s="90" t="s">
        <v>486</v>
      </c>
      <c r="C125" s="91" t="n">
        <v>24803579</v>
      </c>
      <c r="D125" s="91" t="n">
        <v>924043067</v>
      </c>
      <c r="E125" s="80" t="n">
        <v>171</v>
      </c>
      <c r="F125" s="92" t="n">
        <v>12.21</v>
      </c>
      <c r="G125" s="79" t="s">
        <v>605</v>
      </c>
      <c r="H125" s="82"/>
      <c r="I125" s="93" t="str">
        <f aca="false">IF(B125="","",IFERROR(INDEX('CARNET DE SOUDURE'!$B$7:$B$1506,MATCH(B125,'CARNET DE SOUDURE'!$K$7:$K$1506,0)),IFERROR(INDEX('CARNET DE SOUDURE'!$B$7:$B$1506,MATCH(B125,'CARNET DE SOUDURE'!$M$7:$M$1506,0)),"")))</f>
        <v>TFT 716 → TL7-MMFW2</v>
      </c>
      <c r="J125" s="78" t="str">
        <f aca="false">IF(B125="","",IFERROR(INDEX('CARNET DE SOUDURE'!$E$7:$E$1506,MATCH(B125,'CARNET DE SOUDURE'!$M$7:$M$1506,0)),""))</f>
        <v>JN°160</v>
      </c>
      <c r="K125" s="78" t="str">
        <f aca="false">IF(B125="","",IFERROR(INDEX('CARNET DE SOUDURE'!$E$7:$E$1506,MATCH(B125,'CARNET DE SOUDURE'!$K$7:$K$1506,0)),""))</f>
        <v>JN°161</v>
      </c>
      <c r="L125" s="78" t="str">
        <f aca="false">IF(B125="","",IFERROR(INDEX('CARNET DE SOUDURE'!$D$7:$D$1506,MATCH(B125,'CARNET DE SOUDURE'!$K$7:$K$1506,0)),IFERROR(INDEX('CARNET DE SOUDURE'!$D$7:$D$1506,MATCH(B125,'CARNET DE SOUDURE'!$M$7:$M$1506,0)),"")))</f>
        <v>1.00</v>
      </c>
      <c r="M125" s="81" t="str">
        <f aca="false">IF(B125="","",IF(OR(J125&lt;&gt;"",K125&lt;&gt;""),"POSÉ EN LIGNE",IF(H125&lt;&gt;"","BARDÉ","EN STOCK")))</f>
        <v>POSÉ EN LIGNE</v>
      </c>
      <c r="N125" s="79"/>
    </row>
    <row r="126" customFormat="false" ht="15" hidden="false" customHeight="false" outlineLevel="0" collapsed="false">
      <c r="A126" s="78" t="n">
        <f aca="false">IF(B126="","",ROW()-6)</f>
        <v>120</v>
      </c>
      <c r="B126" s="90" t="s">
        <v>499</v>
      </c>
      <c r="C126" s="91" t="n">
        <v>24803579</v>
      </c>
      <c r="D126" s="91" t="n">
        <v>924043067</v>
      </c>
      <c r="E126" s="80" t="n">
        <v>175</v>
      </c>
      <c r="F126" s="92" t="n">
        <v>12.21</v>
      </c>
      <c r="G126" s="79" t="s">
        <v>605</v>
      </c>
      <c r="H126" s="82"/>
      <c r="I126" s="93" t="str">
        <f aca="false">IF(B126="","",IFERROR(INDEX('CARNET DE SOUDURE'!$B$7:$B$1506,MATCH(B126,'CARNET DE SOUDURE'!$K$7:$K$1506,0)),IFERROR(INDEX('CARNET DE SOUDURE'!$B$7:$B$1506,MATCH(B126,'CARNET DE SOUDURE'!$M$7:$M$1506,0)),"")))</f>
        <v>TFT 716 → TL7-MMFW2</v>
      </c>
      <c r="J126" s="78" t="str">
        <f aca="false">IF(B126="","",IFERROR(INDEX('CARNET DE SOUDURE'!$E$7:$E$1506,MATCH(B126,'CARNET DE SOUDURE'!$M$7:$M$1506,0)),""))</f>
        <v>JN°167</v>
      </c>
      <c r="K126" s="78" t="str">
        <f aca="false">IF(B126="","",IFERROR(INDEX('CARNET DE SOUDURE'!$E$7:$E$1506,MATCH(B126,'CARNET DE SOUDURE'!$K$7:$K$1506,0)),""))</f>
        <v>JN°168</v>
      </c>
      <c r="L126" s="78" t="str">
        <f aca="false">IF(B126="","",IFERROR(INDEX('CARNET DE SOUDURE'!$D$7:$D$1506,MATCH(B126,'CARNET DE SOUDURE'!$K$7:$K$1506,0)),IFERROR(INDEX('CARNET DE SOUDURE'!$D$7:$D$1506,MATCH(B126,'CARNET DE SOUDURE'!$M$7:$M$1506,0)),"")))</f>
        <v>2.00</v>
      </c>
      <c r="M126" s="81" t="str">
        <f aca="false">IF(B126="","",IF(OR(J126&lt;&gt;"",K126&lt;&gt;""),"POSÉ EN LIGNE",IF(H126&lt;&gt;"","BARDÉ","EN STOCK")))</f>
        <v>POSÉ EN LIGNE</v>
      </c>
      <c r="N126" s="79"/>
    </row>
    <row r="127" customFormat="false" ht="15" hidden="false" customHeight="false" outlineLevel="0" collapsed="false">
      <c r="A127" s="78" t="n">
        <f aca="false">IF(B127="","",ROW()-6)</f>
        <v>121</v>
      </c>
      <c r="B127" s="90" t="s">
        <v>506</v>
      </c>
      <c r="C127" s="91" t="n">
        <v>24803596</v>
      </c>
      <c r="D127" s="91" t="n">
        <v>924044059</v>
      </c>
      <c r="E127" s="80" t="n">
        <v>176</v>
      </c>
      <c r="F127" s="92" t="n">
        <v>12.23</v>
      </c>
      <c r="G127" s="79" t="s">
        <v>605</v>
      </c>
      <c r="H127" s="82"/>
      <c r="I127" s="93" t="str">
        <f aca="false">IF(B127="","",IFERROR(INDEX('CARNET DE SOUDURE'!$B$7:$B$1506,MATCH(B127,'CARNET DE SOUDURE'!$K$7:$K$1506,0)),IFERROR(INDEX('CARNET DE SOUDURE'!$B$7:$B$1506,MATCH(B127,'CARNET DE SOUDURE'!$M$7:$M$1506,0)),"")))</f>
        <v>TFT 716 → TL7-MMFW2</v>
      </c>
      <c r="J127" s="78" t="str">
        <f aca="false">IF(B127="","",IFERROR(INDEX('CARNET DE SOUDURE'!$E$7:$E$1506,MATCH(B127,'CARNET DE SOUDURE'!$M$7:$M$1506,0)),""))</f>
        <v>JN°169</v>
      </c>
      <c r="K127" s="78" t="str">
        <f aca="false">IF(B127="","",IFERROR(INDEX('CARNET DE SOUDURE'!$E$7:$E$1506,MATCH(B127,'CARNET DE SOUDURE'!$K$7:$K$1506,0)),""))</f>
        <v>JN°170</v>
      </c>
      <c r="L127" s="78" t="str">
        <f aca="false">IF(B127="","",IFERROR(INDEX('CARNET DE SOUDURE'!$D$7:$D$1506,MATCH(B127,'CARNET DE SOUDURE'!$K$7:$K$1506,0)),IFERROR(INDEX('CARNET DE SOUDURE'!$D$7:$D$1506,MATCH(B127,'CARNET DE SOUDURE'!$M$7:$M$1506,0)),"")))</f>
        <v>2.00</v>
      </c>
      <c r="M127" s="81" t="str">
        <f aca="false">IF(B127="","",IF(OR(J127&lt;&gt;"",K127&lt;&gt;""),"POSÉ EN LIGNE",IF(H127&lt;&gt;"","BARDÉ","EN STOCK")))</f>
        <v>POSÉ EN LIGNE</v>
      </c>
      <c r="N127" s="79"/>
    </row>
    <row r="128" customFormat="false" ht="15" hidden="false" customHeight="false" outlineLevel="0" collapsed="false">
      <c r="A128" s="78" t="n">
        <f aca="false">IF(B128="","",ROW()-6)</f>
        <v>122</v>
      </c>
      <c r="B128" s="90" t="s">
        <v>573</v>
      </c>
      <c r="C128" s="91" t="n">
        <v>24803596</v>
      </c>
      <c r="D128" s="91" t="n">
        <v>924044059</v>
      </c>
      <c r="E128" s="80" t="n">
        <v>177</v>
      </c>
      <c r="F128" s="92" t="n">
        <v>12.22</v>
      </c>
      <c r="G128" s="79" t="s">
        <v>605</v>
      </c>
      <c r="H128" s="82"/>
      <c r="I128" s="93" t="str">
        <f aca="false">IF(B128="","",IFERROR(INDEX('CARNET DE SOUDURE'!$B$7:$B$1506,MATCH(B128,'CARNET DE SOUDURE'!$K$7:$K$1506,0)),IFERROR(INDEX('CARNET DE SOUDURE'!$B$7:$B$1506,MATCH(B128,'CARNET DE SOUDURE'!$M$7:$M$1506,0)),"")))</f>
        <v>TFT 716 → TL7-MMFW2</v>
      </c>
      <c r="J128" s="78" t="str">
        <f aca="false">IF(B128="","",IFERROR(INDEX('CARNET DE SOUDURE'!$E$7:$E$1506,MATCH(B128,'CARNET DE SOUDURE'!$M$7:$M$1506,0)),""))</f>
        <v>JN°201</v>
      </c>
      <c r="K128" s="78" t="str">
        <f aca="false">IF(B128="","",IFERROR(INDEX('CARNET DE SOUDURE'!$E$7:$E$1506,MATCH(B128,'CARNET DE SOUDURE'!$K$7:$K$1506,0)),""))</f>
        <v>JN°202</v>
      </c>
      <c r="L128" s="78" t="str">
        <f aca="false">IF(B128="","",IFERROR(INDEX('CARNET DE SOUDURE'!$D$7:$D$1506,MATCH(B128,'CARNET DE SOUDURE'!$K$7:$K$1506,0)),IFERROR(INDEX('CARNET DE SOUDURE'!$D$7:$D$1506,MATCH(B128,'CARNET DE SOUDURE'!$M$7:$M$1506,0)),"")))</f>
        <v>2.000</v>
      </c>
      <c r="M128" s="81" t="str">
        <f aca="false">IF(B128="","",IF(OR(J128&lt;&gt;"",K128&lt;&gt;""),"POSÉ EN LIGNE",IF(H128&lt;&gt;"","BARDÉ","EN STOCK")))</f>
        <v>POSÉ EN LIGNE</v>
      </c>
      <c r="N128" s="79"/>
    </row>
    <row r="129" customFormat="false" ht="15" hidden="false" customHeight="false" outlineLevel="0" collapsed="false">
      <c r="A129" s="78" t="n">
        <f aca="false">IF(B129="","",ROW()-6)</f>
        <v>123</v>
      </c>
      <c r="B129" s="90" t="s">
        <v>446</v>
      </c>
      <c r="C129" s="91" t="n">
        <v>24803596</v>
      </c>
      <c r="D129" s="91" t="n">
        <v>924044059</v>
      </c>
      <c r="E129" s="80" t="n">
        <v>178</v>
      </c>
      <c r="F129" s="92" t="n">
        <v>12.23</v>
      </c>
      <c r="G129" s="79" t="s">
        <v>605</v>
      </c>
      <c r="H129" s="82"/>
      <c r="I129" s="93" t="str">
        <f aca="false">IF(B129="","",IFERROR(INDEX('CARNET DE SOUDURE'!$B$7:$B$1506,MATCH(B129,'CARNET DE SOUDURE'!$K$7:$K$1506,0)),IFERROR(INDEX('CARNET DE SOUDURE'!$B$7:$B$1506,MATCH(B129,'CARNET DE SOUDURE'!$M$7:$M$1506,0)),"")))</f>
        <v>TFT 716 → TL7-MMFW2</v>
      </c>
      <c r="J129" s="78" t="str">
        <f aca="false">IF(B129="","",IFERROR(INDEX('CARNET DE SOUDURE'!$E$7:$E$1506,MATCH(B129,'CARNET DE SOUDURE'!$M$7:$M$1506,0)),""))</f>
        <v>JN°142 A</v>
      </c>
      <c r="K129" s="78" t="str">
        <f aca="false">IF(B129="","",IFERROR(INDEX('CARNET DE SOUDURE'!$E$7:$E$1506,MATCH(B129,'CARNET DE SOUDURE'!$K$7:$K$1506,0)),""))</f>
        <v>JN°142 B</v>
      </c>
      <c r="L129" s="78" t="str">
        <f aca="false">IF(B129="","",IFERROR(INDEX('CARNET DE SOUDURE'!$D$7:$D$1506,MATCH(B129,'CARNET DE SOUDURE'!$K$7:$K$1506,0)),IFERROR(INDEX('CARNET DE SOUDURE'!$D$7:$D$1506,MATCH(B129,'CARNET DE SOUDURE'!$M$7:$M$1506,0)),"")))</f>
        <v>1.00</v>
      </c>
      <c r="M129" s="81" t="str">
        <f aca="false">IF(B129="","",IF(OR(J129&lt;&gt;"",K129&lt;&gt;""),"POSÉ EN LIGNE",IF(H129&lt;&gt;"","BARDÉ","EN STOCK")))</f>
        <v>POSÉ EN LIGNE</v>
      </c>
      <c r="N129" s="79"/>
    </row>
    <row r="130" customFormat="false" ht="15" hidden="false" customHeight="false" outlineLevel="0" collapsed="false">
      <c r="A130" s="78" t="n">
        <f aca="false">IF(B130="","",ROW()-6)</f>
        <v>124</v>
      </c>
      <c r="B130" s="90" t="s">
        <v>222</v>
      </c>
      <c r="C130" s="91" t="n">
        <v>24803596</v>
      </c>
      <c r="D130" s="91" t="n">
        <v>924044059</v>
      </c>
      <c r="E130" s="80" t="n">
        <v>179</v>
      </c>
      <c r="F130" s="92" t="n">
        <v>12.22</v>
      </c>
      <c r="G130" s="79" t="s">
        <v>605</v>
      </c>
      <c r="H130" s="82"/>
      <c r="I130" s="93" t="str">
        <f aca="false">IF(B130="","",IFERROR(INDEX('CARNET DE SOUDURE'!$B$7:$B$1506,MATCH(B130,'CARNET DE SOUDURE'!$K$7:$K$1506,0)),IFERROR(INDEX('CARNET DE SOUDURE'!$B$7:$B$1506,MATCH(B130,'CARNET DE SOUDURE'!$M$7:$M$1506,0)),"")))</f>
        <v>TFT 716 → TL7-MMFW2</v>
      </c>
      <c r="J130" s="78" t="str">
        <f aca="false">IF(B130="","",IFERROR(INDEX('CARNET DE SOUDURE'!$E$7:$E$1506,MATCH(B130,'CARNET DE SOUDURE'!$M$7:$M$1506,0)),""))</f>
        <v>JN°045Racc</v>
      </c>
      <c r="K130" s="78" t="str">
        <f aca="false">IF(B130="","",IFERROR(INDEX('CARNET DE SOUDURE'!$E$7:$E$1506,MATCH(B130,'CARNET DE SOUDURE'!$K$7:$K$1506,0)),""))</f>
        <v>JN°046</v>
      </c>
      <c r="L130" s="78" t="str">
        <f aca="false">IF(B130="","",IFERROR(INDEX('CARNET DE SOUDURE'!$D$7:$D$1506,MATCH(B130,'CARNET DE SOUDURE'!$K$7:$K$1506,0)),IFERROR(INDEX('CARNET DE SOUDURE'!$D$7:$D$1506,MATCH(B130,'CARNET DE SOUDURE'!$M$7:$M$1506,0)),"")))</f>
        <v>0.00</v>
      </c>
      <c r="M130" s="81" t="str">
        <f aca="false">IF(B130="","",IF(OR(J130&lt;&gt;"",K130&lt;&gt;""),"POSÉ EN LIGNE",IF(H130&lt;&gt;"","BARDÉ","EN STOCK")))</f>
        <v>POSÉ EN LIGNE</v>
      </c>
      <c r="N130" s="79"/>
    </row>
    <row r="131" customFormat="false" ht="15" hidden="false" customHeight="false" outlineLevel="0" collapsed="false">
      <c r="A131" s="78" t="n">
        <f aca="false">IF(B131="","",ROW()-6)</f>
        <v>125</v>
      </c>
      <c r="B131" s="90" t="s">
        <v>482</v>
      </c>
      <c r="C131" s="91" t="n">
        <v>24803596</v>
      </c>
      <c r="D131" s="91" t="n">
        <v>924044059</v>
      </c>
      <c r="E131" s="80" t="n">
        <v>180</v>
      </c>
      <c r="F131" s="92" t="n">
        <v>12.22</v>
      </c>
      <c r="G131" s="79" t="s">
        <v>605</v>
      </c>
      <c r="H131" s="82"/>
      <c r="I131" s="93" t="str">
        <f aca="false">IF(B131="","",IFERROR(INDEX('CARNET DE SOUDURE'!$B$7:$B$1506,MATCH(B131,'CARNET DE SOUDURE'!$K$7:$K$1506,0)),IFERROR(INDEX('CARNET DE SOUDURE'!$B$7:$B$1506,MATCH(B131,'CARNET DE SOUDURE'!$M$7:$M$1506,0)),"")))</f>
        <v>TFT 716 → TL7-MMFW2</v>
      </c>
      <c r="J131" s="78" t="str">
        <f aca="false">IF(B131="","",IFERROR(INDEX('CARNET DE SOUDURE'!$E$7:$E$1506,MATCH(B131,'CARNET DE SOUDURE'!$M$7:$M$1506,0)),""))</f>
        <v>JN°158</v>
      </c>
      <c r="K131" s="78" t="str">
        <f aca="false">IF(B131="","",IFERROR(INDEX('CARNET DE SOUDURE'!$E$7:$E$1506,MATCH(B131,'CARNET DE SOUDURE'!$K$7:$K$1506,0)),""))</f>
        <v>JN°159</v>
      </c>
      <c r="L131" s="78" t="str">
        <f aca="false">IF(B131="","",IFERROR(INDEX('CARNET DE SOUDURE'!$D$7:$D$1506,MATCH(B131,'CARNET DE SOUDURE'!$K$7:$K$1506,0)),IFERROR(INDEX('CARNET DE SOUDURE'!$D$7:$D$1506,MATCH(B131,'CARNET DE SOUDURE'!$M$7:$M$1506,0)),"")))</f>
        <v>1.00</v>
      </c>
      <c r="M131" s="81" t="str">
        <f aca="false">IF(B131="","",IF(OR(J131&lt;&gt;"",K131&lt;&gt;""),"POSÉ EN LIGNE",IF(H131&lt;&gt;"","BARDÉ","EN STOCK")))</f>
        <v>POSÉ EN LIGNE</v>
      </c>
      <c r="N131" s="79"/>
    </row>
    <row r="132" customFormat="false" ht="15" hidden="false" customHeight="false" outlineLevel="0" collapsed="false">
      <c r="A132" s="78" t="n">
        <f aca="false">IF(B132="","",ROW()-6)</f>
        <v>126</v>
      </c>
      <c r="B132" s="90" t="s">
        <v>503</v>
      </c>
      <c r="C132" s="91" t="n">
        <v>24102488</v>
      </c>
      <c r="D132" s="91" t="n">
        <v>924054017</v>
      </c>
      <c r="E132" s="80" t="n">
        <v>181</v>
      </c>
      <c r="F132" s="92" t="n">
        <v>12.41</v>
      </c>
      <c r="G132" s="79" t="s">
        <v>605</v>
      </c>
      <c r="H132" s="82"/>
      <c r="I132" s="93" t="str">
        <f aca="false">IF(B132="","",IFERROR(INDEX('CARNET DE SOUDURE'!$B$7:$B$1506,MATCH(B132,'CARNET DE SOUDURE'!$K$7:$K$1506,0)),IFERROR(INDEX('CARNET DE SOUDURE'!$B$7:$B$1506,MATCH(B132,'CARNET DE SOUDURE'!$M$7:$M$1506,0)),"")))</f>
        <v>TFT 716 → TL7-MMFW2</v>
      </c>
      <c r="J132" s="78" t="str">
        <f aca="false">IF(B132="","",IFERROR(INDEX('CARNET DE SOUDURE'!$E$7:$E$1506,MATCH(B132,'CARNET DE SOUDURE'!$M$7:$M$1506,0)),""))</f>
        <v>JN°168</v>
      </c>
      <c r="K132" s="78" t="str">
        <f aca="false">IF(B132="","",IFERROR(INDEX('CARNET DE SOUDURE'!$E$7:$E$1506,MATCH(B132,'CARNET DE SOUDURE'!$K$7:$K$1506,0)),""))</f>
        <v>JN°169</v>
      </c>
      <c r="L132" s="78" t="str">
        <f aca="false">IF(B132="","",IFERROR(INDEX('CARNET DE SOUDURE'!$D$7:$D$1506,MATCH(B132,'CARNET DE SOUDURE'!$K$7:$K$1506,0)),IFERROR(INDEX('CARNET DE SOUDURE'!$D$7:$D$1506,MATCH(B132,'CARNET DE SOUDURE'!$M$7:$M$1506,0)),"")))</f>
        <v>2.00</v>
      </c>
      <c r="M132" s="81" t="str">
        <f aca="false">IF(B132="","",IF(OR(J132&lt;&gt;"",K132&lt;&gt;""),"POSÉ EN LIGNE",IF(H132&lt;&gt;"","BARDÉ","EN STOCK")))</f>
        <v>POSÉ EN LIGNE</v>
      </c>
      <c r="N132" s="79"/>
    </row>
    <row r="133" customFormat="false" ht="15" hidden="false" customHeight="false" outlineLevel="0" collapsed="false">
      <c r="A133" s="78" t="n">
        <f aca="false">IF(B133="","",ROW()-6)</f>
        <v>127</v>
      </c>
      <c r="B133" s="90" t="s">
        <v>514</v>
      </c>
      <c r="C133" s="91" t="n">
        <v>24102488</v>
      </c>
      <c r="D133" s="91" t="n">
        <v>924054017</v>
      </c>
      <c r="E133" s="80" t="n">
        <v>182</v>
      </c>
      <c r="F133" s="92" t="n">
        <v>12.4</v>
      </c>
      <c r="G133" s="79" t="s">
        <v>605</v>
      </c>
      <c r="H133" s="82"/>
      <c r="I133" s="93" t="str">
        <f aca="false">IF(B133="","",IFERROR(INDEX('CARNET DE SOUDURE'!$B$7:$B$1506,MATCH(B133,'CARNET DE SOUDURE'!$K$7:$K$1506,0)),IFERROR(INDEX('CARNET DE SOUDURE'!$B$7:$B$1506,MATCH(B133,'CARNET DE SOUDURE'!$M$7:$M$1506,0)),"")))</f>
        <v>TFT 716 → TL7-MMFW2</v>
      </c>
      <c r="J133" s="78" t="str">
        <f aca="false">IF(B133="","",IFERROR(INDEX('CARNET DE SOUDURE'!$E$7:$E$1506,MATCH(B133,'CARNET DE SOUDURE'!$M$7:$M$1506,0)),""))</f>
        <v>JN°173</v>
      </c>
      <c r="K133" s="78" t="str">
        <f aca="false">IF(B133="","",IFERROR(INDEX('CARNET DE SOUDURE'!$E$7:$E$1506,MATCH(B133,'CARNET DE SOUDURE'!$K$7:$K$1506,0)),""))</f>
        <v>JN°174</v>
      </c>
      <c r="L133" s="78" t="str">
        <f aca="false">IF(B133="","",IFERROR(INDEX('CARNET DE SOUDURE'!$D$7:$D$1506,MATCH(B133,'CARNET DE SOUDURE'!$K$7:$K$1506,0)),IFERROR(INDEX('CARNET DE SOUDURE'!$D$7:$D$1506,MATCH(B133,'CARNET DE SOUDURE'!$M$7:$M$1506,0)),"")))</f>
        <v>2.00</v>
      </c>
      <c r="M133" s="81" t="str">
        <f aca="false">IF(B133="","",IF(OR(J133&lt;&gt;"",K133&lt;&gt;""),"POSÉ EN LIGNE",IF(H133&lt;&gt;"","BARDÉ","EN STOCK")))</f>
        <v>POSÉ EN LIGNE</v>
      </c>
      <c r="N133" s="79"/>
    </row>
    <row r="134" customFormat="false" ht="15" hidden="false" customHeight="false" outlineLevel="0" collapsed="false">
      <c r="A134" s="78" t="n">
        <f aca="false">IF(B134="","",ROW()-6)</f>
        <v>128</v>
      </c>
      <c r="B134" s="90" t="s">
        <v>466</v>
      </c>
      <c r="C134" s="91" t="n">
        <v>24102488</v>
      </c>
      <c r="D134" s="91" t="n">
        <v>924054017</v>
      </c>
      <c r="E134" s="80" t="n">
        <v>184</v>
      </c>
      <c r="F134" s="92" t="n">
        <v>12.4</v>
      </c>
      <c r="G134" s="79" t="s">
        <v>605</v>
      </c>
      <c r="H134" s="82"/>
      <c r="I134" s="93" t="str">
        <f aca="false">IF(B134="","",IFERROR(INDEX('CARNET DE SOUDURE'!$B$7:$B$1506,MATCH(B134,'CARNET DE SOUDURE'!$K$7:$K$1506,0)),IFERROR(INDEX('CARNET DE SOUDURE'!$B$7:$B$1506,MATCH(B134,'CARNET DE SOUDURE'!$M$7:$M$1506,0)),"")))</f>
        <v>TFT 716 → TL7-MMFW2</v>
      </c>
      <c r="J134" s="78" t="str">
        <f aca="false">IF(B134="","",IFERROR(INDEX('CARNET DE SOUDURE'!$E$7:$E$1506,MATCH(B134,'CARNET DE SOUDURE'!$M$7:$M$1506,0)),""))</f>
        <v>JN°151</v>
      </c>
      <c r="K134" s="78" t="str">
        <f aca="false">IF(B134="","",IFERROR(INDEX('CARNET DE SOUDURE'!$E$7:$E$1506,MATCH(B134,'CARNET DE SOUDURE'!$K$7:$K$1506,0)),""))</f>
        <v>JN°152</v>
      </c>
      <c r="L134" s="78" t="str">
        <f aca="false">IF(B134="","",IFERROR(INDEX('CARNET DE SOUDURE'!$D$7:$D$1506,MATCH(B134,'CARNET DE SOUDURE'!$K$7:$K$1506,0)),IFERROR(INDEX('CARNET DE SOUDURE'!$D$7:$D$1506,MATCH(B134,'CARNET DE SOUDURE'!$M$7:$M$1506,0)),"")))</f>
        <v>1.00</v>
      </c>
      <c r="M134" s="81" t="str">
        <f aca="false">IF(B134="","",IF(OR(J134&lt;&gt;"",K134&lt;&gt;""),"POSÉ EN LIGNE",IF(H134&lt;&gt;"","BARDÉ","EN STOCK")))</f>
        <v>POSÉ EN LIGNE</v>
      </c>
      <c r="N134" s="79"/>
    </row>
    <row r="135" customFormat="false" ht="15" hidden="false" customHeight="false" outlineLevel="0" collapsed="false">
      <c r="A135" s="78" t="n">
        <f aca="false">IF(B135="","",ROW()-6)</f>
        <v>129</v>
      </c>
      <c r="B135" s="90" t="s">
        <v>464</v>
      </c>
      <c r="C135" s="91" t="n">
        <v>24102488</v>
      </c>
      <c r="D135" s="91" t="n">
        <v>924054017</v>
      </c>
      <c r="E135" s="80" t="n">
        <v>185</v>
      </c>
      <c r="F135" s="92" t="n">
        <v>12.41</v>
      </c>
      <c r="G135" s="79" t="s">
        <v>605</v>
      </c>
      <c r="H135" s="82"/>
      <c r="I135" s="93" t="str">
        <f aca="false">IF(B135="","",IFERROR(INDEX('CARNET DE SOUDURE'!$B$7:$B$1506,MATCH(B135,'CARNET DE SOUDURE'!$K$7:$K$1506,0)),IFERROR(INDEX('CARNET DE SOUDURE'!$B$7:$B$1506,MATCH(B135,'CARNET DE SOUDURE'!$M$7:$M$1506,0)),"")))</f>
        <v>TFT 716 → TL7-MMFW2</v>
      </c>
      <c r="J135" s="78" t="str">
        <f aca="false">IF(B135="","",IFERROR(INDEX('CARNET DE SOUDURE'!$E$7:$E$1506,MATCH(B135,'CARNET DE SOUDURE'!$M$7:$M$1506,0)),""))</f>
        <v>JN°150</v>
      </c>
      <c r="K135" s="78" t="str">
        <f aca="false">IF(B135="","",IFERROR(INDEX('CARNET DE SOUDURE'!$E$7:$E$1506,MATCH(B135,'CARNET DE SOUDURE'!$K$7:$K$1506,0)),""))</f>
        <v>JN°151</v>
      </c>
      <c r="L135" s="78" t="str">
        <f aca="false">IF(B135="","",IFERROR(INDEX('CARNET DE SOUDURE'!$D$7:$D$1506,MATCH(B135,'CARNET DE SOUDURE'!$K$7:$K$1506,0)),IFERROR(INDEX('CARNET DE SOUDURE'!$D$7:$D$1506,MATCH(B135,'CARNET DE SOUDURE'!$M$7:$M$1506,0)),"")))</f>
        <v>1.00</v>
      </c>
      <c r="M135" s="81" t="str">
        <f aca="false">IF(B135="","",IF(OR(J135&lt;&gt;"",K135&lt;&gt;""),"POSÉ EN LIGNE",IF(H135&lt;&gt;"","BARDÉ","EN STOCK")))</f>
        <v>POSÉ EN LIGNE</v>
      </c>
      <c r="N135" s="79"/>
    </row>
    <row r="136" customFormat="false" ht="15" hidden="false" customHeight="false" outlineLevel="0" collapsed="false">
      <c r="A136" s="78" t="n">
        <f aca="false">IF(B136="","",ROW()-6)</f>
        <v>130</v>
      </c>
      <c r="B136" s="90" t="s">
        <v>613</v>
      </c>
      <c r="C136" s="91" t="n">
        <v>24102495</v>
      </c>
      <c r="D136" s="91" t="n">
        <v>92405418</v>
      </c>
      <c r="E136" s="80" t="n">
        <v>186</v>
      </c>
      <c r="F136" s="92" t="n">
        <v>12.44</v>
      </c>
      <c r="G136" s="79" t="s">
        <v>605</v>
      </c>
      <c r="H136" s="82"/>
      <c r="I136" s="93" t="str">
        <f aca="false">IF(B136="","",IFERROR(INDEX('CARNET DE SOUDURE'!$B$7:$B$1506,MATCH(B136,'CARNET DE SOUDURE'!$K$7:$K$1506,0)),IFERROR(INDEX('CARNET DE SOUDURE'!$B$7:$B$1506,MATCH(B136,'CARNET DE SOUDURE'!$M$7:$M$1506,0)),"")))</f>
        <v/>
      </c>
      <c r="J136" s="78" t="str">
        <f aca="false">IF(B136="","",IFERROR(INDEX('CARNET DE SOUDURE'!$E$7:$E$1506,MATCH(B136,'CARNET DE SOUDURE'!$M$7:$M$1506,0)),""))</f>
        <v/>
      </c>
      <c r="K136" s="78" t="str">
        <f aca="false">IF(B136="","",IFERROR(INDEX('CARNET DE SOUDURE'!$E$7:$E$1506,MATCH(B136,'CARNET DE SOUDURE'!$K$7:$K$1506,0)),""))</f>
        <v/>
      </c>
      <c r="L136" s="78" t="str">
        <f aca="false">IF(B136="","",IFERROR(INDEX('CARNET DE SOUDURE'!$D$7:$D$1506,MATCH(B136,'CARNET DE SOUDURE'!$K$7:$K$1506,0)),IFERROR(INDEX('CARNET DE SOUDURE'!$D$7:$D$1506,MATCH(B136,'CARNET DE SOUDURE'!$M$7:$M$1506,0)),"")))</f>
        <v/>
      </c>
      <c r="M136" s="81" t="str">
        <f aca="false">IF(B136="","",IF(OR(J136&lt;&gt;"",K136&lt;&gt;""),"POSÉ EN LIGNE",IF(H136&lt;&gt;"","BARDÉ","EN STOCK")))</f>
        <v>EN STOCK</v>
      </c>
      <c r="N136" s="79"/>
    </row>
    <row r="137" customFormat="false" ht="15" hidden="false" customHeight="false" outlineLevel="0" collapsed="false">
      <c r="A137" s="78" t="n">
        <f aca="false">IF(B137="","",ROW()-6)</f>
        <v>131</v>
      </c>
      <c r="B137" s="90" t="s">
        <v>516</v>
      </c>
      <c r="C137" s="91" t="n">
        <v>24102495</v>
      </c>
      <c r="D137" s="91" t="n">
        <v>92405418</v>
      </c>
      <c r="E137" s="80" t="n">
        <v>187</v>
      </c>
      <c r="F137" s="92" t="n">
        <v>12.44</v>
      </c>
      <c r="G137" s="79" t="s">
        <v>605</v>
      </c>
      <c r="H137" s="82"/>
      <c r="I137" s="93" t="str">
        <f aca="false">IF(B137="","",IFERROR(INDEX('CARNET DE SOUDURE'!$B$7:$B$1506,MATCH(B137,'CARNET DE SOUDURE'!$K$7:$K$1506,0)),IFERROR(INDEX('CARNET DE SOUDURE'!$B$7:$B$1506,MATCH(B137,'CARNET DE SOUDURE'!$M$7:$M$1506,0)),"")))</f>
        <v>TFT 716 → TL7-MMFW2</v>
      </c>
      <c r="J137" s="78" t="str">
        <f aca="false">IF(B137="","",IFERROR(INDEX('CARNET DE SOUDURE'!$E$7:$E$1506,MATCH(B137,'CARNET DE SOUDURE'!$M$7:$M$1506,0)),""))</f>
        <v>JN°174</v>
      </c>
      <c r="K137" s="78" t="str">
        <f aca="false">IF(B137="","",IFERROR(INDEX('CARNET DE SOUDURE'!$E$7:$E$1506,MATCH(B137,'CARNET DE SOUDURE'!$K$7:$K$1506,0)),""))</f>
        <v>JN°175</v>
      </c>
      <c r="L137" s="78" t="str">
        <f aca="false">IF(B137="","",IFERROR(INDEX('CARNET DE SOUDURE'!$D$7:$D$1506,MATCH(B137,'CARNET DE SOUDURE'!$K$7:$K$1506,0)),IFERROR(INDEX('CARNET DE SOUDURE'!$D$7:$D$1506,MATCH(B137,'CARNET DE SOUDURE'!$M$7:$M$1506,0)),"")))</f>
        <v>2.00</v>
      </c>
      <c r="M137" s="81" t="str">
        <f aca="false">IF(B137="","",IF(OR(J137&lt;&gt;"",K137&lt;&gt;""),"POSÉ EN LIGNE",IF(H137&lt;&gt;"","BARDÉ","EN STOCK")))</f>
        <v>POSÉ EN LIGNE</v>
      </c>
      <c r="N137" s="79"/>
    </row>
    <row r="138" customFormat="false" ht="15" hidden="false" customHeight="false" outlineLevel="0" collapsed="false">
      <c r="A138" s="78" t="n">
        <f aca="false">IF(B138="","",ROW()-6)</f>
        <v>132</v>
      </c>
      <c r="B138" s="90" t="s">
        <v>167</v>
      </c>
      <c r="C138" s="91" t="n">
        <v>24102495</v>
      </c>
      <c r="D138" s="91" t="n">
        <v>92405418</v>
      </c>
      <c r="E138" s="80" t="n">
        <v>188</v>
      </c>
      <c r="F138" s="92" t="n">
        <v>12.44</v>
      </c>
      <c r="G138" s="79" t="s">
        <v>605</v>
      </c>
      <c r="H138" s="82"/>
      <c r="I138" s="93" t="str">
        <f aca="false">IF(B138="","",IFERROR(INDEX('CARNET DE SOUDURE'!$B$7:$B$1506,MATCH(B138,'CARNET DE SOUDURE'!$K$7:$K$1506,0)),IFERROR(INDEX('CARNET DE SOUDURE'!$B$7:$B$1506,MATCH(B138,'CARNET DE SOUDURE'!$M$7:$M$1506,0)),"")))</f>
        <v>TFT 716 → TL7-MMFW2</v>
      </c>
      <c r="J138" s="78" t="str">
        <f aca="false">IF(B138="","",IFERROR(INDEX('CARNET DE SOUDURE'!$E$7:$E$1506,MATCH(B138,'CARNET DE SOUDURE'!$M$7:$M$1506,0)),""))</f>
        <v>JN°021Racc</v>
      </c>
      <c r="K138" s="78" t="str">
        <f aca="false">IF(B138="","",IFERROR(INDEX('CARNET DE SOUDURE'!$E$7:$E$1506,MATCH(B138,'CARNET DE SOUDURE'!$K$7:$K$1506,0)),""))</f>
        <v>JN°022</v>
      </c>
      <c r="L138" s="78" t="str">
        <f aca="false">IF(B138="","",IFERROR(INDEX('CARNET DE SOUDURE'!$D$7:$D$1506,MATCH(B138,'CARNET DE SOUDURE'!$K$7:$K$1506,0)),IFERROR(INDEX('CARNET DE SOUDURE'!$D$7:$D$1506,MATCH(B138,'CARNET DE SOUDURE'!$M$7:$M$1506,0)),"")))</f>
        <v>0.00</v>
      </c>
      <c r="M138" s="81" t="str">
        <f aca="false">IF(B138="","",IF(OR(J138&lt;&gt;"",K138&lt;&gt;""),"POSÉ EN LIGNE",IF(H138&lt;&gt;"","BARDÉ","EN STOCK")))</f>
        <v>POSÉ EN LIGNE</v>
      </c>
      <c r="N138" s="79"/>
    </row>
    <row r="139" customFormat="false" ht="15" hidden="false" customHeight="false" outlineLevel="0" collapsed="false">
      <c r="A139" s="78" t="n">
        <f aca="false">IF(B139="","",ROW()-6)</f>
        <v>133</v>
      </c>
      <c r="B139" s="90" t="s">
        <v>476</v>
      </c>
      <c r="C139" s="91" t="n">
        <v>24102495</v>
      </c>
      <c r="D139" s="91" t="n">
        <v>92405418</v>
      </c>
      <c r="E139" s="80" t="n">
        <v>189</v>
      </c>
      <c r="F139" s="92" t="n">
        <v>12.45</v>
      </c>
      <c r="G139" s="79" t="s">
        <v>605</v>
      </c>
      <c r="H139" s="82"/>
      <c r="I139" s="93" t="str">
        <f aca="false">IF(B139="","",IFERROR(INDEX('CARNET DE SOUDURE'!$B$7:$B$1506,MATCH(B139,'CARNET DE SOUDURE'!$K$7:$K$1506,0)),IFERROR(INDEX('CARNET DE SOUDURE'!$B$7:$B$1506,MATCH(B139,'CARNET DE SOUDURE'!$M$7:$M$1506,0)),"")))</f>
        <v>TFT 716 → TL7-MMFW2</v>
      </c>
      <c r="J139" s="78" t="str">
        <f aca="false">IF(B139="","",IFERROR(INDEX('CARNET DE SOUDURE'!$E$7:$E$1506,MATCH(B139,'CARNET DE SOUDURE'!$M$7:$M$1506,0)),""))</f>
        <v>JN°155</v>
      </c>
      <c r="K139" s="78" t="str">
        <f aca="false">IF(B139="","",IFERROR(INDEX('CARNET DE SOUDURE'!$E$7:$E$1506,MATCH(B139,'CARNET DE SOUDURE'!$K$7:$K$1506,0)),""))</f>
        <v>JN°156</v>
      </c>
      <c r="L139" s="78" t="str">
        <f aca="false">IF(B139="","",IFERROR(INDEX('CARNET DE SOUDURE'!$D$7:$D$1506,MATCH(B139,'CARNET DE SOUDURE'!$K$7:$K$1506,0)),IFERROR(INDEX('CARNET DE SOUDURE'!$D$7:$D$1506,MATCH(B139,'CARNET DE SOUDURE'!$M$7:$M$1506,0)),"")))</f>
        <v>1.00</v>
      </c>
      <c r="M139" s="81" t="str">
        <f aca="false">IF(B139="","",IF(OR(J139&lt;&gt;"",K139&lt;&gt;""),"POSÉ EN LIGNE",IF(H139&lt;&gt;"","BARDÉ","EN STOCK")))</f>
        <v>POSÉ EN LIGNE</v>
      </c>
      <c r="N139" s="79"/>
    </row>
    <row r="140" customFormat="false" ht="15" hidden="false" customHeight="false" outlineLevel="0" collapsed="false">
      <c r="A140" s="78" t="n">
        <f aca="false">IF(B140="","",ROW()-6)</f>
        <v>134</v>
      </c>
      <c r="B140" s="90" t="s">
        <v>471</v>
      </c>
      <c r="C140" s="91" t="n">
        <v>24102495</v>
      </c>
      <c r="D140" s="91" t="n">
        <v>92405418</v>
      </c>
      <c r="E140" s="80" t="n">
        <v>190</v>
      </c>
      <c r="F140" s="92" t="n">
        <v>12.45</v>
      </c>
      <c r="G140" s="79" t="s">
        <v>605</v>
      </c>
      <c r="H140" s="82"/>
      <c r="I140" s="93" t="str">
        <f aca="false">IF(B140="","",IFERROR(INDEX('CARNET DE SOUDURE'!$B$7:$B$1506,MATCH(B140,'CARNET DE SOUDURE'!$K$7:$K$1506,0)),IFERROR(INDEX('CARNET DE SOUDURE'!$B$7:$B$1506,MATCH(B140,'CARNET DE SOUDURE'!$M$7:$M$1506,0)),"")))</f>
        <v>TFT 716 → TL7-MMFW2</v>
      </c>
      <c r="J140" s="78" t="str">
        <f aca="false">IF(B140="","",IFERROR(INDEX('CARNET DE SOUDURE'!$E$7:$E$1506,MATCH(B140,'CARNET DE SOUDURE'!$M$7:$M$1506,0)),""))</f>
        <v>JN°153</v>
      </c>
      <c r="K140" s="78" t="str">
        <f aca="false">IF(B140="","",IFERROR(INDEX('CARNET DE SOUDURE'!$E$7:$E$1506,MATCH(B140,'CARNET DE SOUDURE'!$K$7:$K$1506,0)),""))</f>
        <v>JN°154</v>
      </c>
      <c r="L140" s="78" t="str">
        <f aca="false">IF(B140="","",IFERROR(INDEX('CARNET DE SOUDURE'!$D$7:$D$1506,MATCH(B140,'CARNET DE SOUDURE'!$K$7:$K$1506,0)),IFERROR(INDEX('CARNET DE SOUDURE'!$D$7:$D$1506,MATCH(B140,'CARNET DE SOUDURE'!$M$7:$M$1506,0)),"")))</f>
        <v>1.00</v>
      </c>
      <c r="M140" s="81" t="str">
        <f aca="false">IF(B140="","",IF(OR(J140&lt;&gt;"",K140&lt;&gt;""),"POSÉ EN LIGNE",IF(H140&lt;&gt;"","BARDÉ","EN STOCK")))</f>
        <v>POSÉ EN LIGNE</v>
      </c>
      <c r="N140" s="79"/>
    </row>
    <row r="141" customFormat="false" ht="15" hidden="false" customHeight="false" outlineLevel="0" collapsed="false">
      <c r="A141" s="78" t="n">
        <f aca="false">IF(B141="","",ROW()-6)</f>
        <v>135</v>
      </c>
      <c r="B141" s="90" t="s">
        <v>493</v>
      </c>
      <c r="C141" s="91" t="n">
        <v>24703643</v>
      </c>
      <c r="D141" s="91" t="n">
        <v>924043071</v>
      </c>
      <c r="E141" s="80" t="n">
        <v>191</v>
      </c>
      <c r="F141" s="92" t="n">
        <v>12.21</v>
      </c>
      <c r="G141" s="79" t="s">
        <v>605</v>
      </c>
      <c r="H141" s="82"/>
      <c r="I141" s="93" t="str">
        <f aca="false">IF(B141="","",IFERROR(INDEX('CARNET DE SOUDURE'!$B$7:$B$1506,MATCH(B141,'CARNET DE SOUDURE'!$K$7:$K$1506,0)),IFERROR(INDEX('CARNET DE SOUDURE'!$B$7:$B$1506,MATCH(B141,'CARNET DE SOUDURE'!$M$7:$M$1506,0)),"")))</f>
        <v>TFT 716 → TL7-MMFW2</v>
      </c>
      <c r="J141" s="78" t="str">
        <f aca="false">IF(B141="","",IFERROR(INDEX('CARNET DE SOUDURE'!$E$7:$E$1506,MATCH(B141,'CARNET DE SOUDURE'!$M$7:$M$1506,0)),""))</f>
        <v>JN°164</v>
      </c>
      <c r="K141" s="78" t="str">
        <f aca="false">IF(B141="","",IFERROR(INDEX('CARNET DE SOUDURE'!$E$7:$E$1506,MATCH(B141,'CARNET DE SOUDURE'!$K$7:$K$1506,0)),""))</f>
        <v>JN°165</v>
      </c>
      <c r="L141" s="78" t="str">
        <f aca="false">IF(B141="","",IFERROR(INDEX('CARNET DE SOUDURE'!$D$7:$D$1506,MATCH(B141,'CARNET DE SOUDURE'!$K$7:$K$1506,0)),IFERROR(INDEX('CARNET DE SOUDURE'!$D$7:$D$1506,MATCH(B141,'CARNET DE SOUDURE'!$M$7:$M$1506,0)),"")))</f>
        <v>1.00</v>
      </c>
      <c r="M141" s="81" t="str">
        <f aca="false">IF(B141="","",IF(OR(J141&lt;&gt;"",K141&lt;&gt;""),"POSÉ EN LIGNE",IF(H141&lt;&gt;"","BARDÉ","EN STOCK")))</f>
        <v>POSÉ EN LIGNE</v>
      </c>
      <c r="N141" s="79"/>
    </row>
    <row r="142" customFormat="false" ht="15" hidden="false" customHeight="false" outlineLevel="0" collapsed="false">
      <c r="A142" s="78" t="n">
        <f aca="false">IF(B142="","",ROW()-6)</f>
        <v>136</v>
      </c>
      <c r="B142" s="90" t="s">
        <v>518</v>
      </c>
      <c r="C142" s="91" t="n">
        <v>24703643</v>
      </c>
      <c r="D142" s="91" t="n">
        <v>924043071</v>
      </c>
      <c r="E142" s="80" t="n">
        <v>192</v>
      </c>
      <c r="F142" s="92" t="n">
        <v>11.7</v>
      </c>
      <c r="G142" s="79" t="s">
        <v>605</v>
      </c>
      <c r="H142" s="82"/>
      <c r="I142" s="93" t="str">
        <f aca="false">IF(B142="","",IFERROR(INDEX('CARNET DE SOUDURE'!$B$7:$B$1506,MATCH(B142,'CARNET DE SOUDURE'!$K$7:$K$1506,0)),IFERROR(INDEX('CARNET DE SOUDURE'!$B$7:$B$1506,MATCH(B142,'CARNET DE SOUDURE'!$M$7:$M$1506,0)),"")))</f>
        <v>TFT 716 → TL7-MMFW2</v>
      </c>
      <c r="J142" s="78" t="str">
        <f aca="false">IF(B142="","",IFERROR(INDEX('CARNET DE SOUDURE'!$E$7:$E$1506,MATCH(B142,'CARNET DE SOUDURE'!$M$7:$M$1506,0)),""))</f>
        <v>JN°175</v>
      </c>
      <c r="K142" s="78" t="str">
        <f aca="false">IF(B142="","",IFERROR(INDEX('CARNET DE SOUDURE'!$E$7:$E$1506,MATCH(B142,'CARNET DE SOUDURE'!$K$7:$K$1506,0)),""))</f>
        <v>JN°176</v>
      </c>
      <c r="L142" s="78" t="str">
        <f aca="false">IF(B142="","",IFERROR(INDEX('CARNET DE SOUDURE'!$D$7:$D$1506,MATCH(B142,'CARNET DE SOUDURE'!$K$7:$K$1506,0)),IFERROR(INDEX('CARNET DE SOUDURE'!$D$7:$D$1506,MATCH(B142,'CARNET DE SOUDURE'!$M$7:$M$1506,0)),"")))</f>
        <v>2.00</v>
      </c>
      <c r="M142" s="81" t="str">
        <f aca="false">IF(B142="","",IF(OR(J142&lt;&gt;"",K142&lt;&gt;""),"POSÉ EN LIGNE",IF(H142&lt;&gt;"","BARDÉ","EN STOCK")))</f>
        <v>POSÉ EN LIGNE</v>
      </c>
      <c r="N142" s="79"/>
    </row>
    <row r="143" customFormat="false" ht="15" hidden="false" customHeight="false" outlineLevel="0" collapsed="false">
      <c r="A143" s="78" t="n">
        <f aca="false">IF(B143="","",ROW()-6)</f>
        <v>137</v>
      </c>
      <c r="B143" s="90" t="s">
        <v>512</v>
      </c>
      <c r="C143" s="91" t="n">
        <v>24703643</v>
      </c>
      <c r="D143" s="91" t="n">
        <v>924043071</v>
      </c>
      <c r="E143" s="80" t="n">
        <v>193</v>
      </c>
      <c r="F143" s="92" t="n">
        <v>12.21</v>
      </c>
      <c r="G143" s="79" t="s">
        <v>605</v>
      </c>
      <c r="H143" s="82"/>
      <c r="I143" s="93" t="str">
        <f aca="false">IF(B143="","",IFERROR(INDEX('CARNET DE SOUDURE'!$B$7:$B$1506,MATCH(B143,'CARNET DE SOUDURE'!$K$7:$K$1506,0)),IFERROR(INDEX('CARNET DE SOUDURE'!$B$7:$B$1506,MATCH(B143,'CARNET DE SOUDURE'!$M$7:$M$1506,0)),"")))</f>
        <v>TFT 716 → TL7-MMFW2</v>
      </c>
      <c r="J143" s="78" t="str">
        <f aca="false">IF(B143="","",IFERROR(INDEX('CARNET DE SOUDURE'!$E$7:$E$1506,MATCH(B143,'CARNET DE SOUDURE'!$M$7:$M$1506,0)),""))</f>
        <v>JN°172</v>
      </c>
      <c r="K143" s="78" t="str">
        <f aca="false">IF(B143="","",IFERROR(INDEX('CARNET DE SOUDURE'!$E$7:$E$1506,MATCH(B143,'CARNET DE SOUDURE'!$K$7:$K$1506,0)),""))</f>
        <v>JN°173</v>
      </c>
      <c r="L143" s="78" t="str">
        <f aca="false">IF(B143="","",IFERROR(INDEX('CARNET DE SOUDURE'!$D$7:$D$1506,MATCH(B143,'CARNET DE SOUDURE'!$K$7:$K$1506,0)),IFERROR(INDEX('CARNET DE SOUDURE'!$D$7:$D$1506,MATCH(B143,'CARNET DE SOUDURE'!$M$7:$M$1506,0)),"")))</f>
        <v>2.00</v>
      </c>
      <c r="M143" s="81" t="str">
        <f aca="false">IF(B143="","",IF(OR(J143&lt;&gt;"",K143&lt;&gt;""),"POSÉ EN LIGNE",IF(H143&lt;&gt;"","BARDÉ","EN STOCK")))</f>
        <v>POSÉ EN LIGNE</v>
      </c>
      <c r="N143" s="79"/>
    </row>
    <row r="144" customFormat="false" ht="15" hidden="false" customHeight="false" outlineLevel="0" collapsed="false">
      <c r="A144" s="78" t="n">
        <f aca="false">IF(B144="","",ROW()-6)</f>
        <v>138</v>
      </c>
      <c r="B144" s="90" t="s">
        <v>478</v>
      </c>
      <c r="C144" s="91" t="n">
        <v>24703643</v>
      </c>
      <c r="D144" s="91" t="n">
        <v>924043071</v>
      </c>
      <c r="E144" s="80" t="n">
        <v>194</v>
      </c>
      <c r="F144" s="92" t="n">
        <v>12.2</v>
      </c>
      <c r="G144" s="79" t="s">
        <v>605</v>
      </c>
      <c r="H144" s="82"/>
      <c r="I144" s="93" t="str">
        <f aca="false">IF(B144="","",IFERROR(INDEX('CARNET DE SOUDURE'!$B$7:$B$1506,MATCH(B144,'CARNET DE SOUDURE'!$K$7:$K$1506,0)),IFERROR(INDEX('CARNET DE SOUDURE'!$B$7:$B$1506,MATCH(B144,'CARNET DE SOUDURE'!$M$7:$M$1506,0)),"")))</f>
        <v>TFT 716 → TL7-MMFW2</v>
      </c>
      <c r="J144" s="78" t="str">
        <f aca="false">IF(B144="","",IFERROR(INDEX('CARNET DE SOUDURE'!$E$7:$E$1506,MATCH(B144,'CARNET DE SOUDURE'!$M$7:$M$1506,0)),""))</f>
        <v>JN°156</v>
      </c>
      <c r="K144" s="78" t="str">
        <f aca="false">IF(B144="","",IFERROR(INDEX('CARNET DE SOUDURE'!$E$7:$E$1506,MATCH(B144,'CARNET DE SOUDURE'!$K$7:$K$1506,0)),""))</f>
        <v>JN°157</v>
      </c>
      <c r="L144" s="78" t="str">
        <f aca="false">IF(B144="","",IFERROR(INDEX('CARNET DE SOUDURE'!$D$7:$D$1506,MATCH(B144,'CARNET DE SOUDURE'!$K$7:$K$1506,0)),IFERROR(INDEX('CARNET DE SOUDURE'!$D$7:$D$1506,MATCH(B144,'CARNET DE SOUDURE'!$M$7:$M$1506,0)),"")))</f>
        <v>1.00</v>
      </c>
      <c r="M144" s="81" t="str">
        <f aca="false">IF(B144="","",IF(OR(J144&lt;&gt;"",K144&lt;&gt;""),"POSÉ EN LIGNE",IF(H144&lt;&gt;"","BARDÉ","EN STOCK")))</f>
        <v>POSÉ EN LIGNE</v>
      </c>
      <c r="N144" s="79"/>
    </row>
    <row r="145" customFormat="false" ht="15" hidden="false" customHeight="false" outlineLevel="0" collapsed="false">
      <c r="A145" s="78" t="n">
        <f aca="false">IF(B145="","",ROW()-6)</f>
        <v>139</v>
      </c>
      <c r="B145" s="90" t="s">
        <v>480</v>
      </c>
      <c r="C145" s="91" t="n">
        <v>24703643</v>
      </c>
      <c r="D145" s="91" t="n">
        <v>924043071</v>
      </c>
      <c r="E145" s="80" t="n">
        <v>195</v>
      </c>
      <c r="F145" s="92" t="n">
        <v>12.2</v>
      </c>
      <c r="G145" s="79" t="s">
        <v>605</v>
      </c>
      <c r="H145" s="82"/>
      <c r="I145" s="93" t="str">
        <f aca="false">IF(B145="","",IFERROR(INDEX('CARNET DE SOUDURE'!$B$7:$B$1506,MATCH(B145,'CARNET DE SOUDURE'!$K$7:$K$1506,0)),IFERROR(INDEX('CARNET DE SOUDURE'!$B$7:$B$1506,MATCH(B145,'CARNET DE SOUDURE'!$M$7:$M$1506,0)),"")))</f>
        <v>TFT 716 → TL7-MMFW2</v>
      </c>
      <c r="J145" s="78" t="str">
        <f aca="false">IF(B145="","",IFERROR(INDEX('CARNET DE SOUDURE'!$E$7:$E$1506,MATCH(B145,'CARNET DE SOUDURE'!$M$7:$M$1506,0)),""))</f>
        <v>JN°157</v>
      </c>
      <c r="K145" s="78" t="str">
        <f aca="false">IF(B145="","",IFERROR(INDEX('CARNET DE SOUDURE'!$E$7:$E$1506,MATCH(B145,'CARNET DE SOUDURE'!$K$7:$K$1506,0)),""))</f>
        <v>JN°158</v>
      </c>
      <c r="L145" s="78" t="str">
        <f aca="false">IF(B145="","",IFERROR(INDEX('CARNET DE SOUDURE'!$D$7:$D$1506,MATCH(B145,'CARNET DE SOUDURE'!$K$7:$K$1506,0)),IFERROR(INDEX('CARNET DE SOUDURE'!$D$7:$D$1506,MATCH(B145,'CARNET DE SOUDURE'!$M$7:$M$1506,0)),"")))</f>
        <v>1.00</v>
      </c>
      <c r="M145" s="81" t="str">
        <f aca="false">IF(B145="","",IF(OR(J145&lt;&gt;"",K145&lt;&gt;""),"POSÉ EN LIGNE",IF(H145&lt;&gt;"","BARDÉ","EN STOCK")))</f>
        <v>POSÉ EN LIGNE</v>
      </c>
      <c r="N145" s="79"/>
    </row>
    <row r="146" customFormat="false" ht="15" hidden="false" customHeight="false" outlineLevel="0" collapsed="false">
      <c r="A146" s="78" t="n">
        <f aca="false">IF(B146="","",ROW()-6)</f>
        <v>140</v>
      </c>
      <c r="B146" s="90" t="s">
        <v>488</v>
      </c>
      <c r="C146" s="91" t="n">
        <v>24803581</v>
      </c>
      <c r="D146" s="91" t="n">
        <v>924044065</v>
      </c>
      <c r="E146" s="80" t="n">
        <v>196</v>
      </c>
      <c r="F146" s="92" t="n">
        <v>12.23</v>
      </c>
      <c r="G146" s="79" t="s">
        <v>605</v>
      </c>
      <c r="H146" s="82"/>
      <c r="I146" s="93" t="str">
        <f aca="false">IF(B146="","",IFERROR(INDEX('CARNET DE SOUDURE'!$B$7:$B$1506,MATCH(B146,'CARNET DE SOUDURE'!$K$7:$K$1506,0)),IFERROR(INDEX('CARNET DE SOUDURE'!$B$7:$B$1506,MATCH(B146,'CARNET DE SOUDURE'!$M$7:$M$1506,0)),"")))</f>
        <v>TFT 716 → TL7-MMFW2</v>
      </c>
      <c r="J146" s="78" t="str">
        <f aca="false">IF(B146="","",IFERROR(INDEX('CARNET DE SOUDURE'!$E$7:$E$1506,MATCH(B146,'CARNET DE SOUDURE'!$M$7:$M$1506,0)),""))</f>
        <v>JN°161</v>
      </c>
      <c r="K146" s="78" t="str">
        <f aca="false">IF(B146="","",IFERROR(INDEX('CARNET DE SOUDURE'!$E$7:$E$1506,MATCH(B146,'CARNET DE SOUDURE'!$K$7:$K$1506,0)),""))</f>
        <v>JN°162</v>
      </c>
      <c r="L146" s="78" t="str">
        <f aca="false">IF(B146="","",IFERROR(INDEX('CARNET DE SOUDURE'!$D$7:$D$1506,MATCH(B146,'CARNET DE SOUDURE'!$K$7:$K$1506,0)),IFERROR(INDEX('CARNET DE SOUDURE'!$D$7:$D$1506,MATCH(B146,'CARNET DE SOUDURE'!$M$7:$M$1506,0)),"")))</f>
        <v>1.00</v>
      </c>
      <c r="M146" s="81" t="str">
        <f aca="false">IF(B146="","",IF(OR(J146&lt;&gt;"",K146&lt;&gt;""),"POSÉ EN LIGNE",IF(H146&lt;&gt;"","BARDÉ","EN STOCK")))</f>
        <v>POSÉ EN LIGNE</v>
      </c>
      <c r="N146" s="79"/>
    </row>
    <row r="147" customFormat="false" ht="15" hidden="false" customHeight="false" outlineLevel="0" collapsed="false">
      <c r="A147" s="78" t="n">
        <f aca="false">IF(B147="","",ROW()-6)</f>
        <v>141</v>
      </c>
      <c r="B147" s="90" t="s">
        <v>473</v>
      </c>
      <c r="C147" s="91" t="n">
        <v>24803581</v>
      </c>
      <c r="D147" s="91" t="n">
        <v>924044065</v>
      </c>
      <c r="E147" s="80" t="n">
        <v>197</v>
      </c>
      <c r="F147" s="92" t="n">
        <v>12.22</v>
      </c>
      <c r="G147" s="79" t="s">
        <v>605</v>
      </c>
      <c r="H147" s="82"/>
      <c r="I147" s="93" t="str">
        <f aca="false">IF(B147="","",IFERROR(INDEX('CARNET DE SOUDURE'!$B$7:$B$1506,MATCH(B147,'CARNET DE SOUDURE'!$K$7:$K$1506,0)),IFERROR(INDEX('CARNET DE SOUDURE'!$B$7:$B$1506,MATCH(B147,'CARNET DE SOUDURE'!$M$7:$M$1506,0)),"")))</f>
        <v>TFT 716 → TL7-MMFW2</v>
      </c>
      <c r="J147" s="78" t="str">
        <f aca="false">IF(B147="","",IFERROR(INDEX('CARNET DE SOUDURE'!$E$7:$E$1506,MATCH(B147,'CARNET DE SOUDURE'!$M$7:$M$1506,0)),""))</f>
        <v>JN°154</v>
      </c>
      <c r="K147" s="78" t="str">
        <f aca="false">IF(B147="","",IFERROR(INDEX('CARNET DE SOUDURE'!$E$7:$E$1506,MATCH(B147,'CARNET DE SOUDURE'!$K$7:$K$1506,0)),""))</f>
        <v>JN°155</v>
      </c>
      <c r="L147" s="78" t="str">
        <f aca="false">IF(B147="","",IFERROR(INDEX('CARNET DE SOUDURE'!$D$7:$D$1506,MATCH(B147,'CARNET DE SOUDURE'!$K$7:$K$1506,0)),IFERROR(INDEX('CARNET DE SOUDURE'!$D$7:$D$1506,MATCH(B147,'CARNET DE SOUDURE'!$M$7:$M$1506,0)),"")))</f>
        <v>1.00</v>
      </c>
      <c r="M147" s="81" t="str">
        <f aca="false">IF(B147="","",IF(OR(J147&lt;&gt;"",K147&lt;&gt;""),"POSÉ EN LIGNE",IF(H147&lt;&gt;"","BARDÉ","EN STOCK")))</f>
        <v>POSÉ EN LIGNE</v>
      </c>
      <c r="N147" s="79"/>
    </row>
    <row r="148" customFormat="false" ht="15" hidden="false" customHeight="false" outlineLevel="0" collapsed="false">
      <c r="A148" s="78" t="n">
        <f aca="false">IF(B148="","",ROW()-6)</f>
        <v>142</v>
      </c>
      <c r="B148" s="90" t="s">
        <v>484</v>
      </c>
      <c r="C148" s="91" t="n">
        <v>24803581</v>
      </c>
      <c r="D148" s="91" t="n">
        <v>924044065</v>
      </c>
      <c r="E148" s="80" t="n">
        <v>198</v>
      </c>
      <c r="F148" s="92" t="n">
        <v>12.22</v>
      </c>
      <c r="G148" s="79" t="s">
        <v>605</v>
      </c>
      <c r="H148" s="82"/>
      <c r="I148" s="93" t="str">
        <f aca="false">IF(B148="","",IFERROR(INDEX('CARNET DE SOUDURE'!$B$7:$B$1506,MATCH(B148,'CARNET DE SOUDURE'!$K$7:$K$1506,0)),IFERROR(INDEX('CARNET DE SOUDURE'!$B$7:$B$1506,MATCH(B148,'CARNET DE SOUDURE'!$M$7:$M$1506,0)),"")))</f>
        <v>TFT 716 → TL7-MMFW2</v>
      </c>
      <c r="J148" s="78" t="str">
        <f aca="false">IF(B148="","",IFERROR(INDEX('CARNET DE SOUDURE'!$E$7:$E$1506,MATCH(B148,'CARNET DE SOUDURE'!$M$7:$M$1506,0)),""))</f>
        <v>JN°159</v>
      </c>
      <c r="K148" s="78" t="str">
        <f aca="false">IF(B148="","",IFERROR(INDEX('CARNET DE SOUDURE'!$E$7:$E$1506,MATCH(B148,'CARNET DE SOUDURE'!$K$7:$K$1506,0)),""))</f>
        <v>JN°160</v>
      </c>
      <c r="L148" s="78" t="str">
        <f aca="false">IF(B148="","",IFERROR(INDEX('CARNET DE SOUDURE'!$D$7:$D$1506,MATCH(B148,'CARNET DE SOUDURE'!$K$7:$K$1506,0)),IFERROR(INDEX('CARNET DE SOUDURE'!$D$7:$D$1506,MATCH(B148,'CARNET DE SOUDURE'!$M$7:$M$1506,0)),"")))</f>
        <v>1.00</v>
      </c>
      <c r="M148" s="81" t="str">
        <f aca="false">IF(B148="","",IF(OR(J148&lt;&gt;"",K148&lt;&gt;""),"POSÉ EN LIGNE",IF(H148&lt;&gt;"","BARDÉ","EN STOCK")))</f>
        <v>POSÉ EN LIGNE</v>
      </c>
      <c r="N148" s="79"/>
    </row>
    <row r="149" customFormat="false" ht="15" hidden="false" customHeight="false" outlineLevel="0" collapsed="false">
      <c r="A149" s="78" t="n">
        <f aca="false">IF(B149="","",ROW()-6)</f>
        <v>143</v>
      </c>
      <c r="B149" s="90" t="s">
        <v>484</v>
      </c>
      <c r="C149" s="91" t="n">
        <v>24803581</v>
      </c>
      <c r="D149" s="91" t="n">
        <v>924044065</v>
      </c>
      <c r="E149" s="80" t="n">
        <v>199</v>
      </c>
      <c r="F149" s="92" t="n">
        <v>12.22</v>
      </c>
      <c r="G149" s="79" t="s">
        <v>605</v>
      </c>
      <c r="H149" s="82"/>
      <c r="I149" s="93" t="str">
        <f aca="false">IF(B149="","",IFERROR(INDEX('CARNET DE SOUDURE'!$B$7:$B$1506,MATCH(B149,'CARNET DE SOUDURE'!$K$7:$K$1506,0)),IFERROR(INDEX('CARNET DE SOUDURE'!$B$7:$B$1506,MATCH(B149,'CARNET DE SOUDURE'!$M$7:$M$1506,0)),"")))</f>
        <v>TFT 716 → TL7-MMFW2</v>
      </c>
      <c r="J149" s="78" t="str">
        <f aca="false">IF(B149="","",IFERROR(INDEX('CARNET DE SOUDURE'!$E$7:$E$1506,MATCH(B149,'CARNET DE SOUDURE'!$M$7:$M$1506,0)),""))</f>
        <v>JN°159</v>
      </c>
      <c r="K149" s="78" t="str">
        <f aca="false">IF(B149="","",IFERROR(INDEX('CARNET DE SOUDURE'!$E$7:$E$1506,MATCH(B149,'CARNET DE SOUDURE'!$K$7:$K$1506,0)),""))</f>
        <v>JN°160</v>
      </c>
      <c r="L149" s="78" t="str">
        <f aca="false">IF(B149="","",IFERROR(INDEX('CARNET DE SOUDURE'!$D$7:$D$1506,MATCH(B149,'CARNET DE SOUDURE'!$K$7:$K$1506,0)),IFERROR(INDEX('CARNET DE SOUDURE'!$D$7:$D$1506,MATCH(B149,'CARNET DE SOUDURE'!$M$7:$M$1506,0)),"")))</f>
        <v>1.00</v>
      </c>
      <c r="M149" s="81" t="str">
        <f aca="false">IF(B149="","",IF(OR(J149&lt;&gt;"",K149&lt;&gt;""),"POSÉ EN LIGNE",IF(H149&lt;&gt;"","BARDÉ","EN STOCK")))</f>
        <v>POSÉ EN LIGNE</v>
      </c>
      <c r="N149" s="79"/>
    </row>
    <row r="150" customFormat="false" ht="22.35" hidden="false" customHeight="false" outlineLevel="0" collapsed="false">
      <c r="A150" s="78" t="n">
        <f aca="false">IF(B150="","",ROW()-6)</f>
        <v>144</v>
      </c>
      <c r="B150" s="90" t="s">
        <v>607</v>
      </c>
      <c r="C150" s="91" t="s">
        <v>608</v>
      </c>
      <c r="D150" s="91" t="s">
        <v>609</v>
      </c>
      <c r="E150" s="80" t="s">
        <v>610</v>
      </c>
      <c r="F150" s="92" t="s">
        <v>611</v>
      </c>
      <c r="G150" s="79" t="s">
        <v>612</v>
      </c>
      <c r="H150" s="82"/>
      <c r="I150" s="93" t="str">
        <f aca="false">IF(B150="","",IFERROR(INDEX('CARNET DE SOUDURE'!$B$7:$B$1506,MATCH(B150,'CARNET DE SOUDURE'!$K$7:$K$1506,0)),IFERROR(INDEX('CARNET DE SOUDURE'!$B$7:$B$1506,MATCH(B150,'CARNET DE SOUDURE'!$M$7:$M$1506,0)),"")))</f>
        <v/>
      </c>
      <c r="J150" s="78" t="str">
        <f aca="false">IF(B150="","",IFERROR(INDEX('CARNET DE SOUDURE'!$E$7:$E$1506,MATCH(B150,'CARNET DE SOUDURE'!$M$7:$M$1506,0)),""))</f>
        <v/>
      </c>
      <c r="K150" s="78" t="str">
        <f aca="false">IF(B150="","",IFERROR(INDEX('CARNET DE SOUDURE'!$E$7:$E$1506,MATCH(B150,'CARNET DE SOUDURE'!$K$7:$K$1506,0)),""))</f>
        <v/>
      </c>
      <c r="L150" s="78" t="str">
        <f aca="false">IF(B150="","",IFERROR(INDEX('CARNET DE SOUDURE'!$D$7:$D$1506,MATCH(B150,'CARNET DE SOUDURE'!$K$7:$K$1506,0)),IFERROR(INDEX('CARNET DE SOUDURE'!$D$7:$D$1506,MATCH(B150,'CARNET DE SOUDURE'!$M$7:$M$1506,0)),"")))</f>
        <v/>
      </c>
      <c r="M150" s="81" t="str">
        <f aca="false">IF(B150="","",IF(OR(J150&lt;&gt;"",K150&lt;&gt;""),"POSÉ EN LIGNE",IF(H150&lt;&gt;"","BARDÉ","EN STOCK")))</f>
        <v>EN STOCK</v>
      </c>
      <c r="N150" s="79"/>
    </row>
    <row r="151" customFormat="false" ht="15" hidden="false" customHeight="false" outlineLevel="0" collapsed="false">
      <c r="A151" s="78" t="n">
        <f aca="false">IF(B151="","",ROW()-6)</f>
        <v>145</v>
      </c>
      <c r="B151" s="90" t="s">
        <v>614</v>
      </c>
      <c r="C151" s="91" t="n">
        <v>24102494</v>
      </c>
      <c r="D151" s="91" t="n">
        <v>924054020</v>
      </c>
      <c r="E151" s="80" t="n">
        <v>8</v>
      </c>
      <c r="F151" s="92" t="n">
        <v>12.44</v>
      </c>
      <c r="G151" s="79" t="s">
        <v>605</v>
      </c>
      <c r="H151" s="82"/>
      <c r="I151" s="93" t="str">
        <f aca="false">IF(B151="","",IFERROR(INDEX('CARNET DE SOUDURE'!$B$7:$B$1506,MATCH(B151,'CARNET DE SOUDURE'!$K$7:$K$1506,0)),IFERROR(INDEX('CARNET DE SOUDURE'!$B$7:$B$1506,MATCH(B151,'CARNET DE SOUDURE'!$M$7:$M$1506,0)),"")))</f>
        <v/>
      </c>
      <c r="J151" s="78" t="str">
        <f aca="false">IF(B151="","",IFERROR(INDEX('CARNET DE SOUDURE'!$E$7:$E$1506,MATCH(B151,'CARNET DE SOUDURE'!$M$7:$M$1506,0)),""))</f>
        <v/>
      </c>
      <c r="K151" s="78" t="str">
        <f aca="false">IF(B151="","",IFERROR(INDEX('CARNET DE SOUDURE'!$E$7:$E$1506,MATCH(B151,'CARNET DE SOUDURE'!$K$7:$K$1506,0)),""))</f>
        <v/>
      </c>
      <c r="L151" s="78" t="str">
        <f aca="false">IF(B151="","",IFERROR(INDEX('CARNET DE SOUDURE'!$D$7:$D$1506,MATCH(B151,'CARNET DE SOUDURE'!$K$7:$K$1506,0)),IFERROR(INDEX('CARNET DE SOUDURE'!$D$7:$D$1506,MATCH(B151,'CARNET DE SOUDURE'!$M$7:$M$1506,0)),"")))</f>
        <v/>
      </c>
      <c r="M151" s="81" t="str">
        <f aca="false">IF(B151="","",IF(OR(J151&lt;&gt;"",K151&lt;&gt;""),"POSÉ EN LIGNE",IF(H151&lt;&gt;"","BARDÉ","EN STOCK")))</f>
        <v>EN STOCK</v>
      </c>
      <c r="N151" s="79"/>
    </row>
    <row r="152" customFormat="false" ht="15" hidden="false" customHeight="false" outlineLevel="0" collapsed="false">
      <c r="A152" s="78" t="n">
        <f aca="false">IF(B152="","",ROW()-6)</f>
        <v>146</v>
      </c>
      <c r="B152" s="90" t="s">
        <v>405</v>
      </c>
      <c r="C152" s="91" t="n">
        <v>24102487</v>
      </c>
      <c r="D152" s="91" t="n">
        <v>924054023</v>
      </c>
      <c r="E152" s="80" t="n">
        <v>15</v>
      </c>
      <c r="F152" s="92" t="n">
        <v>12.46</v>
      </c>
      <c r="G152" s="79" t="s">
        <v>605</v>
      </c>
      <c r="H152" s="82"/>
      <c r="I152" s="93" t="str">
        <f aca="false">IF(B152="","",IFERROR(INDEX('CARNET DE SOUDURE'!$B$7:$B$1506,MATCH(B152,'CARNET DE SOUDURE'!$K$7:$K$1506,0)),IFERROR(INDEX('CARNET DE SOUDURE'!$B$7:$B$1506,MATCH(B152,'CARNET DE SOUDURE'!$M$7:$M$1506,0)),"")))</f>
        <v>TFT 716 → TL7-MMFW2</v>
      </c>
      <c r="J152" s="78" t="str">
        <f aca="false">IF(B152="","",IFERROR(INDEX('CARNET DE SOUDURE'!$E$7:$E$1506,MATCH(B152,'CARNET DE SOUDURE'!$M$7:$M$1506,0)),""))</f>
        <v>JN°126</v>
      </c>
      <c r="K152" s="78" t="str">
        <f aca="false">IF(B152="","",IFERROR(INDEX('CARNET DE SOUDURE'!$E$7:$E$1506,MATCH(B152,'CARNET DE SOUDURE'!$K$7:$K$1506,0)),""))</f>
        <v>JN°127</v>
      </c>
      <c r="L152" s="78" t="str">
        <f aca="false">IF(B152="","",IFERROR(INDEX('CARNET DE SOUDURE'!$D$7:$D$1506,MATCH(B152,'CARNET DE SOUDURE'!$K$7:$K$1506,0)),IFERROR(INDEX('CARNET DE SOUDURE'!$D$7:$D$1506,MATCH(B152,'CARNET DE SOUDURE'!$M$7:$M$1506,0)),"")))</f>
        <v>1.00</v>
      </c>
      <c r="M152" s="81" t="str">
        <f aca="false">IF(B152="","",IF(OR(J152&lt;&gt;"",K152&lt;&gt;""),"POSÉ EN LIGNE",IF(H152&lt;&gt;"","BARDÉ","EN STOCK")))</f>
        <v>POSÉ EN LIGNE</v>
      </c>
      <c r="N152" s="79"/>
    </row>
    <row r="153" customFormat="false" ht="15" hidden="false" customHeight="false" outlineLevel="0" collapsed="false">
      <c r="A153" s="78" t="n">
        <f aca="false">IF(B153="","",ROW()-6)</f>
        <v>147</v>
      </c>
      <c r="B153" s="90" t="s">
        <v>453</v>
      </c>
      <c r="C153" s="91" t="n">
        <v>24803581</v>
      </c>
      <c r="D153" s="91" t="n">
        <v>924044065</v>
      </c>
      <c r="E153" s="80" t="n">
        <v>200</v>
      </c>
      <c r="F153" s="92" t="n">
        <v>12.22</v>
      </c>
      <c r="G153" s="79" t="s">
        <v>605</v>
      </c>
      <c r="H153" s="82"/>
      <c r="I153" s="93" t="str">
        <f aca="false">IF(B153="","",IFERROR(INDEX('CARNET DE SOUDURE'!$B$7:$B$1506,MATCH(B153,'CARNET DE SOUDURE'!$K$7:$K$1506,0)),IFERROR(INDEX('CARNET DE SOUDURE'!$B$7:$B$1506,MATCH(B153,'CARNET DE SOUDURE'!$M$7:$M$1506,0)),"")))</f>
        <v>TFT 716 → TL7-MMFW2</v>
      </c>
      <c r="J153" s="78" t="str">
        <f aca="false">IF(B153="","",IFERROR(INDEX('CARNET DE SOUDURE'!$E$7:$E$1506,MATCH(B153,'CARNET DE SOUDURE'!$M$7:$M$1506,0)),""))</f>
        <v>JN°144</v>
      </c>
      <c r="K153" s="78" t="str">
        <f aca="false">IF(B153="","",IFERROR(INDEX('CARNET DE SOUDURE'!$E$7:$E$1506,MATCH(B153,'CARNET DE SOUDURE'!$K$7:$K$1506,0)),""))</f>
        <v>JN°145</v>
      </c>
      <c r="L153" s="78" t="str">
        <f aca="false">IF(B153="","",IFERROR(INDEX('CARNET DE SOUDURE'!$D$7:$D$1506,MATCH(B153,'CARNET DE SOUDURE'!$K$7:$K$1506,0)),IFERROR(INDEX('CARNET DE SOUDURE'!$D$7:$D$1506,MATCH(B153,'CARNET DE SOUDURE'!$M$7:$M$1506,0)),"")))</f>
        <v>1.00</v>
      </c>
      <c r="M153" s="81" t="str">
        <f aca="false">IF(B153="","",IF(OR(J153&lt;&gt;"",K153&lt;&gt;""),"POSÉ EN LIGNE",IF(H153&lt;&gt;"","BARDÉ","EN STOCK")))</f>
        <v>POSÉ EN LIGNE</v>
      </c>
      <c r="N153" s="79"/>
    </row>
    <row r="154" customFormat="false" ht="15" hidden="false" customHeight="false" outlineLevel="0" collapsed="false">
      <c r="A154" s="78" t="n">
        <f aca="false">IF(B154="","",ROW()-6)</f>
        <v>148</v>
      </c>
      <c r="B154" s="90" t="s">
        <v>460</v>
      </c>
      <c r="C154" s="91" t="n">
        <v>24803578</v>
      </c>
      <c r="D154" s="91" t="n">
        <v>924044062</v>
      </c>
      <c r="E154" s="80" t="n">
        <v>201</v>
      </c>
      <c r="F154" s="92" t="n">
        <v>12.23</v>
      </c>
      <c r="G154" s="79" t="s">
        <v>605</v>
      </c>
      <c r="H154" s="82"/>
      <c r="I154" s="93" t="str">
        <f aca="false">IF(B154="","",IFERROR(INDEX('CARNET DE SOUDURE'!$B$7:$B$1506,MATCH(B154,'CARNET DE SOUDURE'!$K$7:$K$1506,0)),IFERROR(INDEX('CARNET DE SOUDURE'!$B$7:$B$1506,MATCH(B154,'CARNET DE SOUDURE'!$M$7:$M$1506,0)),"")))</f>
        <v>TFT 716 → TL7-MMFW2</v>
      </c>
      <c r="J154" s="78" t="str">
        <f aca="false">IF(B154="","",IFERROR(INDEX('CARNET DE SOUDURE'!$E$7:$E$1506,MATCH(B154,'CARNET DE SOUDURE'!$M$7:$M$1506,0)),""))</f>
        <v>JN°148</v>
      </c>
      <c r="K154" s="78" t="str">
        <f aca="false">IF(B154="","",IFERROR(INDEX('CARNET DE SOUDURE'!$E$7:$E$1506,MATCH(B154,'CARNET DE SOUDURE'!$K$7:$K$1506,0)),""))</f>
        <v>JN°149</v>
      </c>
      <c r="L154" s="78" t="str">
        <f aca="false">IF(B154="","",IFERROR(INDEX('CARNET DE SOUDURE'!$D$7:$D$1506,MATCH(B154,'CARNET DE SOUDURE'!$K$7:$K$1506,0)),IFERROR(INDEX('CARNET DE SOUDURE'!$D$7:$D$1506,MATCH(B154,'CARNET DE SOUDURE'!$M$7:$M$1506,0)),"")))</f>
        <v>1.00</v>
      </c>
      <c r="M154" s="81" t="str">
        <f aca="false">IF(B154="","",IF(OR(J154&lt;&gt;"",K154&lt;&gt;""),"POSÉ EN LIGNE",IF(H154&lt;&gt;"","BARDÉ","EN STOCK")))</f>
        <v>POSÉ EN LIGNE</v>
      </c>
      <c r="N154" s="79"/>
    </row>
    <row r="155" customFormat="false" ht="15" hidden="false" customHeight="false" outlineLevel="0" collapsed="false">
      <c r="A155" s="78" t="n">
        <f aca="false">IF(B155="","",ROW()-6)</f>
        <v>149</v>
      </c>
      <c r="B155" s="90" t="s">
        <v>434</v>
      </c>
      <c r="C155" s="91" t="n">
        <v>24803578</v>
      </c>
      <c r="D155" s="91" t="n">
        <v>924044062</v>
      </c>
      <c r="E155" s="80" t="n">
        <v>202</v>
      </c>
      <c r="F155" s="92" t="n">
        <v>12.22</v>
      </c>
      <c r="G155" s="79" t="s">
        <v>605</v>
      </c>
      <c r="H155" s="82"/>
      <c r="I155" s="93" t="str">
        <f aca="false">IF(B155="","",IFERROR(INDEX('CARNET DE SOUDURE'!$B$7:$B$1506,MATCH(B155,'CARNET DE SOUDURE'!$K$7:$K$1506,0)),IFERROR(INDEX('CARNET DE SOUDURE'!$B$7:$B$1506,MATCH(B155,'CARNET DE SOUDURE'!$M$7:$M$1506,0)),"")))</f>
        <v>TFT 716 → TL7-MMFW2</v>
      </c>
      <c r="J155" s="78" t="str">
        <f aca="false">IF(B155="","",IFERROR(INDEX('CARNET DE SOUDURE'!$E$7:$E$1506,MATCH(B155,'CARNET DE SOUDURE'!$M$7:$M$1506,0)),""))</f>
        <v>JN°138</v>
      </c>
      <c r="K155" s="78" t="str">
        <f aca="false">IF(B155="","",IFERROR(INDEX('CARNET DE SOUDURE'!$E$7:$E$1506,MATCH(B155,'CARNET DE SOUDURE'!$K$7:$K$1506,0)),""))</f>
        <v>JN°139</v>
      </c>
      <c r="L155" s="78" t="str">
        <f aca="false">IF(B155="","",IFERROR(INDEX('CARNET DE SOUDURE'!$D$7:$D$1506,MATCH(B155,'CARNET DE SOUDURE'!$K$7:$K$1506,0)),IFERROR(INDEX('CARNET DE SOUDURE'!$D$7:$D$1506,MATCH(B155,'CARNET DE SOUDURE'!$M$7:$M$1506,0)),"")))</f>
        <v>1.00</v>
      </c>
      <c r="M155" s="81" t="str">
        <f aca="false">IF(B155="","",IF(OR(J155&lt;&gt;"",K155&lt;&gt;""),"POSÉ EN LIGNE",IF(H155&lt;&gt;"","BARDÉ","EN STOCK")))</f>
        <v>POSÉ EN LIGNE</v>
      </c>
      <c r="N155" s="79"/>
    </row>
    <row r="156" customFormat="false" ht="15" hidden="false" customHeight="false" outlineLevel="0" collapsed="false">
      <c r="A156" s="78" t="n">
        <f aca="false">IF(B156="","",ROW()-6)</f>
        <v>150</v>
      </c>
      <c r="B156" s="90" t="s">
        <v>615</v>
      </c>
      <c r="C156" s="91" t="n">
        <v>24803578</v>
      </c>
      <c r="D156" s="91" t="n">
        <v>924044062</v>
      </c>
      <c r="E156" s="80" t="n">
        <v>203</v>
      </c>
      <c r="F156" s="92" t="n">
        <v>12.22</v>
      </c>
      <c r="G156" s="79" t="s">
        <v>605</v>
      </c>
      <c r="H156" s="82"/>
      <c r="I156" s="93" t="str">
        <f aca="false">IF(B156="","",IFERROR(INDEX('CARNET DE SOUDURE'!$B$7:$B$1506,MATCH(B156,'CARNET DE SOUDURE'!$K$7:$K$1506,0)),IFERROR(INDEX('CARNET DE SOUDURE'!$B$7:$B$1506,MATCH(B156,'CARNET DE SOUDURE'!$M$7:$M$1506,0)),"")))</f>
        <v/>
      </c>
      <c r="J156" s="78" t="str">
        <f aca="false">IF(B156="","",IFERROR(INDEX('CARNET DE SOUDURE'!$E$7:$E$1506,MATCH(B156,'CARNET DE SOUDURE'!$M$7:$M$1506,0)),""))</f>
        <v/>
      </c>
      <c r="K156" s="78" t="str">
        <f aca="false">IF(B156="","",IFERROR(INDEX('CARNET DE SOUDURE'!$E$7:$E$1506,MATCH(B156,'CARNET DE SOUDURE'!$K$7:$K$1506,0)),""))</f>
        <v/>
      </c>
      <c r="L156" s="78" t="str">
        <f aca="false">IF(B156="","",IFERROR(INDEX('CARNET DE SOUDURE'!$D$7:$D$1506,MATCH(B156,'CARNET DE SOUDURE'!$K$7:$K$1506,0)),IFERROR(INDEX('CARNET DE SOUDURE'!$D$7:$D$1506,MATCH(B156,'CARNET DE SOUDURE'!$M$7:$M$1506,0)),"")))</f>
        <v/>
      </c>
      <c r="M156" s="81" t="str">
        <f aca="false">IF(B156="","",IF(OR(J156&lt;&gt;"",K156&lt;&gt;""),"POSÉ EN LIGNE",IF(H156&lt;&gt;"","BARDÉ","EN STOCK")))</f>
        <v>EN STOCK</v>
      </c>
      <c r="N156" s="79"/>
    </row>
    <row r="157" customFormat="false" ht="15" hidden="false" customHeight="false" outlineLevel="0" collapsed="false">
      <c r="A157" s="78" t="n">
        <f aca="false">IF(B157="","",ROW()-6)</f>
        <v>151</v>
      </c>
      <c r="B157" s="90" t="s">
        <v>382</v>
      </c>
      <c r="C157" s="91" t="n">
        <v>24803578</v>
      </c>
      <c r="D157" s="91" t="n">
        <v>924044062</v>
      </c>
      <c r="E157" s="80" t="n">
        <v>205</v>
      </c>
      <c r="F157" s="92" t="n">
        <v>12.22</v>
      </c>
      <c r="G157" s="79" t="s">
        <v>605</v>
      </c>
      <c r="H157" s="82"/>
      <c r="I157" s="93" t="str">
        <f aca="false">IF(B157="","",IFERROR(INDEX('CARNET DE SOUDURE'!$B$7:$B$1506,MATCH(B157,'CARNET DE SOUDURE'!$K$7:$K$1506,0)),IFERROR(INDEX('CARNET DE SOUDURE'!$B$7:$B$1506,MATCH(B157,'CARNET DE SOUDURE'!$M$7:$M$1506,0)),"")))</f>
        <v>TFT 716 → TL7-MMFW2</v>
      </c>
      <c r="J157" s="78" t="str">
        <f aca="false">IF(B157="","",IFERROR(INDEX('CARNET DE SOUDURE'!$E$7:$E$1506,MATCH(B157,'CARNET DE SOUDURE'!$M$7:$M$1506,0)),""))</f>
        <v>JN°116</v>
      </c>
      <c r="K157" s="78" t="str">
        <f aca="false">IF(B157="","",IFERROR(INDEX('CARNET DE SOUDURE'!$E$7:$E$1506,MATCH(B157,'CARNET DE SOUDURE'!$K$7:$K$1506,0)),""))</f>
        <v>JN°117</v>
      </c>
      <c r="L157" s="78" t="str">
        <f aca="false">IF(B157="","",IFERROR(INDEX('CARNET DE SOUDURE'!$D$7:$D$1506,MATCH(B157,'CARNET DE SOUDURE'!$K$7:$K$1506,0)),IFERROR(INDEX('CARNET DE SOUDURE'!$D$7:$D$1506,MATCH(B157,'CARNET DE SOUDURE'!$M$7:$M$1506,0)),"")))</f>
        <v>1.00</v>
      </c>
      <c r="M157" s="81" t="str">
        <f aca="false">IF(B157="","",IF(OR(J157&lt;&gt;"",K157&lt;&gt;""),"POSÉ EN LIGNE",IF(H157&lt;&gt;"","BARDÉ","EN STOCK")))</f>
        <v>POSÉ EN LIGNE</v>
      </c>
      <c r="N157" s="79"/>
    </row>
    <row r="158" customFormat="false" ht="15" hidden="false" customHeight="false" outlineLevel="0" collapsed="false">
      <c r="A158" s="78" t="n">
        <f aca="false">IF(B158="","",ROW()-6)</f>
        <v>152</v>
      </c>
      <c r="B158" s="90" t="s">
        <v>458</v>
      </c>
      <c r="C158" s="91" t="n">
        <v>24803578</v>
      </c>
      <c r="D158" s="91" t="n">
        <v>924044062</v>
      </c>
      <c r="E158" s="80" t="n">
        <v>206</v>
      </c>
      <c r="F158" s="92" t="n">
        <v>12.22</v>
      </c>
      <c r="G158" s="79" t="s">
        <v>605</v>
      </c>
      <c r="H158" s="82"/>
      <c r="I158" s="93" t="str">
        <f aca="false">IF(B158="","",IFERROR(INDEX('CARNET DE SOUDURE'!$B$7:$B$1506,MATCH(B158,'CARNET DE SOUDURE'!$K$7:$K$1506,0)),IFERROR(INDEX('CARNET DE SOUDURE'!$B$7:$B$1506,MATCH(B158,'CARNET DE SOUDURE'!$M$7:$M$1506,0)),"")))</f>
        <v>TFT 716 → TL7-MMFW2</v>
      </c>
      <c r="J158" s="78" t="str">
        <f aca="false">IF(B158="","",IFERROR(INDEX('CARNET DE SOUDURE'!$E$7:$E$1506,MATCH(B158,'CARNET DE SOUDURE'!$M$7:$M$1506,0)),""))</f>
        <v>JN°147</v>
      </c>
      <c r="K158" s="78" t="str">
        <f aca="false">IF(B158="","",IFERROR(INDEX('CARNET DE SOUDURE'!$E$7:$E$1506,MATCH(B158,'CARNET DE SOUDURE'!$K$7:$K$1506,0)),""))</f>
        <v>JN°148</v>
      </c>
      <c r="L158" s="78" t="str">
        <f aca="false">IF(B158="","",IFERROR(INDEX('CARNET DE SOUDURE'!$D$7:$D$1506,MATCH(B158,'CARNET DE SOUDURE'!$K$7:$K$1506,0)),IFERROR(INDEX('CARNET DE SOUDURE'!$D$7:$D$1506,MATCH(B158,'CARNET DE SOUDURE'!$M$7:$M$1506,0)),"")))</f>
        <v>1.00</v>
      </c>
      <c r="M158" s="81" t="str">
        <f aca="false">IF(B158="","",IF(OR(J158&lt;&gt;"",K158&lt;&gt;""),"POSÉ EN LIGNE",IF(H158&lt;&gt;"","BARDÉ","EN STOCK")))</f>
        <v>POSÉ EN LIGNE</v>
      </c>
      <c r="N158" s="79"/>
    </row>
    <row r="159" customFormat="false" ht="15" hidden="false" customHeight="false" outlineLevel="0" collapsed="false">
      <c r="A159" s="78" t="n">
        <f aca="false">IF(B159="","",ROW()-6)</f>
        <v>153</v>
      </c>
      <c r="B159" s="90" t="s">
        <v>449</v>
      </c>
      <c r="C159" s="91" t="n">
        <v>24803578</v>
      </c>
      <c r="D159" s="91" t="n">
        <v>924044062</v>
      </c>
      <c r="E159" s="80" t="n">
        <v>207</v>
      </c>
      <c r="F159" s="92" t="n">
        <v>12.23</v>
      </c>
      <c r="G159" s="79" t="s">
        <v>605</v>
      </c>
      <c r="H159" s="82"/>
      <c r="I159" s="93" t="str">
        <f aca="false">IF(B159="","",IFERROR(INDEX('CARNET DE SOUDURE'!$B$7:$B$1506,MATCH(B159,'CARNET DE SOUDURE'!$K$7:$K$1506,0)),IFERROR(INDEX('CARNET DE SOUDURE'!$B$7:$B$1506,MATCH(B159,'CARNET DE SOUDURE'!$M$7:$M$1506,0)),"")))</f>
        <v>TFT 716 → TL7-MMFW2</v>
      </c>
      <c r="J159" s="78" t="str">
        <f aca="false">IF(B159="","",IFERROR(INDEX('CARNET DE SOUDURE'!$E$7:$E$1506,MATCH(B159,'CARNET DE SOUDURE'!$M$7:$M$1506,0)),""))</f>
        <v>JN°142 B</v>
      </c>
      <c r="K159" s="78" t="str">
        <f aca="false">IF(B159="","",IFERROR(INDEX('CARNET DE SOUDURE'!$E$7:$E$1506,MATCH(B159,'CARNET DE SOUDURE'!$K$7:$K$1506,0)),""))</f>
        <v>JN°143Racc</v>
      </c>
      <c r="L159" s="78" t="str">
        <f aca="false">IF(B159="","",IFERROR(INDEX('CARNET DE SOUDURE'!$D$7:$D$1506,MATCH(B159,'CARNET DE SOUDURE'!$K$7:$K$1506,0)),IFERROR(INDEX('CARNET DE SOUDURE'!$D$7:$D$1506,MATCH(B159,'CARNET DE SOUDURE'!$M$7:$M$1506,0)),"")))</f>
        <v>1.00</v>
      </c>
      <c r="M159" s="81" t="str">
        <f aca="false">IF(B159="","",IF(OR(J159&lt;&gt;"",K159&lt;&gt;""),"POSÉ EN LIGNE",IF(H159&lt;&gt;"","BARDÉ","EN STOCK")))</f>
        <v>POSÉ EN LIGNE</v>
      </c>
      <c r="N159" s="79"/>
    </row>
    <row r="160" customFormat="false" ht="15" hidden="false" customHeight="false" outlineLevel="0" collapsed="false">
      <c r="A160" s="78" t="n">
        <f aca="false">IF(B160="","",ROW()-6)</f>
        <v>154</v>
      </c>
      <c r="B160" s="90" t="s">
        <v>430</v>
      </c>
      <c r="C160" s="91" t="n">
        <v>24803578</v>
      </c>
      <c r="D160" s="91" t="n">
        <v>924044062</v>
      </c>
      <c r="E160" s="80" t="n">
        <v>208</v>
      </c>
      <c r="F160" s="92" t="n">
        <v>12.22</v>
      </c>
      <c r="G160" s="79" t="s">
        <v>605</v>
      </c>
      <c r="H160" s="82"/>
      <c r="I160" s="93" t="str">
        <f aca="false">IF(B160="","",IFERROR(INDEX('CARNET DE SOUDURE'!$B$7:$B$1506,MATCH(B160,'CARNET DE SOUDURE'!$K$7:$K$1506,0)),IFERROR(INDEX('CARNET DE SOUDURE'!$B$7:$B$1506,MATCH(B160,'CARNET DE SOUDURE'!$M$7:$M$1506,0)),"")))</f>
        <v>TFT 716 → TL7-MMFW2</v>
      </c>
      <c r="J160" s="78" t="str">
        <f aca="false">IF(B160="","",IFERROR(INDEX('CARNET DE SOUDURE'!$E$7:$E$1506,MATCH(B160,'CARNET DE SOUDURE'!$M$7:$M$1506,0)),""))</f>
        <v>JN°137</v>
      </c>
      <c r="K160" s="78" t="str">
        <f aca="false">IF(B160="","",IFERROR(INDEX('CARNET DE SOUDURE'!$E$7:$E$1506,MATCH(B160,'CARNET DE SOUDURE'!$K$7:$K$1506,0)),""))</f>
        <v>JN°138</v>
      </c>
      <c r="L160" s="78" t="str">
        <f aca="false">IF(B160="","",IFERROR(INDEX('CARNET DE SOUDURE'!$D$7:$D$1506,MATCH(B160,'CARNET DE SOUDURE'!$K$7:$K$1506,0)),IFERROR(INDEX('CARNET DE SOUDURE'!$D$7:$D$1506,MATCH(B160,'CARNET DE SOUDURE'!$M$7:$M$1506,0)),"")))</f>
        <v>1.00</v>
      </c>
      <c r="M160" s="81" t="str">
        <f aca="false">IF(B160="","",IF(OR(J160&lt;&gt;"",K160&lt;&gt;""),"POSÉ EN LIGNE",IF(H160&lt;&gt;"","BARDÉ","EN STOCK")))</f>
        <v>POSÉ EN LIGNE</v>
      </c>
      <c r="N160" s="79"/>
    </row>
    <row r="161" customFormat="false" ht="15" hidden="false" customHeight="false" outlineLevel="0" collapsed="false">
      <c r="A161" s="78" t="n">
        <f aca="false">IF(B161="","",ROW()-6)</f>
        <v>155</v>
      </c>
      <c r="B161" s="90" t="s">
        <v>616</v>
      </c>
      <c r="C161" s="91" t="n">
        <v>24803578</v>
      </c>
      <c r="D161" s="91" t="n">
        <v>924044062</v>
      </c>
      <c r="E161" s="80" t="n">
        <v>209</v>
      </c>
      <c r="F161" s="92" t="n">
        <v>11.89</v>
      </c>
      <c r="G161" s="79" t="s">
        <v>605</v>
      </c>
      <c r="H161" s="82"/>
      <c r="I161" s="93" t="str">
        <f aca="false">IF(B161="","",IFERROR(INDEX('CARNET DE SOUDURE'!$B$7:$B$1506,MATCH(B161,'CARNET DE SOUDURE'!$K$7:$K$1506,0)),IFERROR(INDEX('CARNET DE SOUDURE'!$B$7:$B$1506,MATCH(B161,'CARNET DE SOUDURE'!$M$7:$M$1506,0)),"")))</f>
        <v/>
      </c>
      <c r="J161" s="78" t="str">
        <f aca="false">IF(B161="","",IFERROR(INDEX('CARNET DE SOUDURE'!$E$7:$E$1506,MATCH(B161,'CARNET DE SOUDURE'!$M$7:$M$1506,0)),""))</f>
        <v/>
      </c>
      <c r="K161" s="78" t="str">
        <f aca="false">IF(B161="","",IFERROR(INDEX('CARNET DE SOUDURE'!$E$7:$E$1506,MATCH(B161,'CARNET DE SOUDURE'!$K$7:$K$1506,0)),""))</f>
        <v/>
      </c>
      <c r="L161" s="78" t="str">
        <f aca="false">IF(B161="","",IFERROR(INDEX('CARNET DE SOUDURE'!$D$7:$D$1506,MATCH(B161,'CARNET DE SOUDURE'!$K$7:$K$1506,0)),IFERROR(INDEX('CARNET DE SOUDURE'!$D$7:$D$1506,MATCH(B161,'CARNET DE SOUDURE'!$M$7:$M$1506,0)),"")))</f>
        <v/>
      </c>
      <c r="M161" s="81" t="str">
        <f aca="false">IF(B161="","",IF(OR(J161&lt;&gt;"",K161&lt;&gt;""),"POSÉ EN LIGNE",IF(H161&lt;&gt;"","BARDÉ","EN STOCK")))</f>
        <v>EN STOCK</v>
      </c>
      <c r="N161" s="79"/>
    </row>
    <row r="162" customFormat="false" ht="15" hidden="false" customHeight="false" outlineLevel="0" collapsed="false">
      <c r="A162" s="78" t="n">
        <f aca="false">IF(B162="","",ROW()-6)</f>
        <v>156</v>
      </c>
      <c r="B162" s="90" t="s">
        <v>455</v>
      </c>
      <c r="C162" s="91" t="n">
        <v>24803578</v>
      </c>
      <c r="D162" s="91" t="n">
        <v>924044062</v>
      </c>
      <c r="E162" s="80" t="n">
        <v>210</v>
      </c>
      <c r="F162" s="92" t="n">
        <v>12.23</v>
      </c>
      <c r="G162" s="79" t="s">
        <v>605</v>
      </c>
      <c r="H162" s="82"/>
      <c r="I162" s="93" t="str">
        <f aca="false">IF(B162="","",IFERROR(INDEX('CARNET DE SOUDURE'!$B$7:$B$1506,MATCH(B162,'CARNET DE SOUDURE'!$K$7:$K$1506,0)),IFERROR(INDEX('CARNET DE SOUDURE'!$B$7:$B$1506,MATCH(B162,'CARNET DE SOUDURE'!$M$7:$M$1506,0)),"")))</f>
        <v>TFT 716 → TL7-MMFW2</v>
      </c>
      <c r="J162" s="78" t="str">
        <f aca="false">IF(B162="","",IFERROR(INDEX('CARNET DE SOUDURE'!$E$7:$E$1506,MATCH(B162,'CARNET DE SOUDURE'!$M$7:$M$1506,0)),""))</f>
        <v>JN°145</v>
      </c>
      <c r="K162" s="78" t="str">
        <f aca="false">IF(B162="","",IFERROR(INDEX('CARNET DE SOUDURE'!$E$7:$E$1506,MATCH(B162,'CARNET DE SOUDURE'!$K$7:$K$1506,0)),""))</f>
        <v>JN°146</v>
      </c>
      <c r="L162" s="78" t="str">
        <f aca="false">IF(B162="","",IFERROR(INDEX('CARNET DE SOUDURE'!$D$7:$D$1506,MATCH(B162,'CARNET DE SOUDURE'!$K$7:$K$1506,0)),IFERROR(INDEX('CARNET DE SOUDURE'!$D$7:$D$1506,MATCH(B162,'CARNET DE SOUDURE'!$M$7:$M$1506,0)),"")))</f>
        <v>1.00</v>
      </c>
      <c r="M162" s="81" t="str">
        <f aca="false">IF(B162="","",IF(OR(J162&lt;&gt;"",K162&lt;&gt;""),"POSÉ EN LIGNE",IF(H162&lt;&gt;"","BARDÉ","EN STOCK")))</f>
        <v>POSÉ EN LIGNE</v>
      </c>
      <c r="N162" s="79"/>
    </row>
    <row r="163" customFormat="false" ht="15" hidden="false" customHeight="false" outlineLevel="0" collapsed="false">
      <c r="A163" s="78" t="n">
        <f aca="false">IF(B163="","",ROW()-6)</f>
        <v>157</v>
      </c>
      <c r="B163" s="90" t="s">
        <v>442</v>
      </c>
      <c r="C163" s="91" t="n">
        <v>24803579</v>
      </c>
      <c r="D163" s="91" t="n">
        <v>924043067</v>
      </c>
      <c r="E163" s="80" t="n">
        <v>211</v>
      </c>
      <c r="F163" s="92" t="n">
        <v>12.21</v>
      </c>
      <c r="G163" s="79" t="s">
        <v>605</v>
      </c>
      <c r="H163" s="82"/>
      <c r="I163" s="93" t="str">
        <f aca="false">IF(B163="","",IFERROR(INDEX('CARNET DE SOUDURE'!$B$7:$B$1506,MATCH(B163,'CARNET DE SOUDURE'!$K$7:$K$1506,0)),IFERROR(INDEX('CARNET DE SOUDURE'!$B$7:$B$1506,MATCH(B163,'CARNET DE SOUDURE'!$M$7:$M$1506,0)),"")))</f>
        <v>TFT 716 → TL7-MMFW2</v>
      </c>
      <c r="J163" s="78" t="str">
        <f aca="false">IF(B163="","",IFERROR(INDEX('CARNET DE SOUDURE'!$E$7:$E$1506,MATCH(B163,'CARNET DE SOUDURE'!$M$7:$M$1506,0)),""))</f>
        <v>JN°141</v>
      </c>
      <c r="K163" s="78" t="str">
        <f aca="false">IF(B163="","",IFERROR(INDEX('CARNET DE SOUDURE'!$E$7:$E$1506,MATCH(B163,'CARNET DE SOUDURE'!$K$7:$K$1506,0)),""))</f>
        <v>JN°142</v>
      </c>
      <c r="L163" s="78" t="str">
        <f aca="false">IF(B163="","",IFERROR(INDEX('CARNET DE SOUDURE'!$D$7:$D$1506,MATCH(B163,'CARNET DE SOUDURE'!$K$7:$K$1506,0)),IFERROR(INDEX('CARNET DE SOUDURE'!$D$7:$D$1506,MATCH(B163,'CARNET DE SOUDURE'!$M$7:$M$1506,0)),"")))</f>
        <v>1.00</v>
      </c>
      <c r="M163" s="81" t="str">
        <f aca="false">IF(B163="","",IF(OR(J163&lt;&gt;"",K163&lt;&gt;""),"POSÉ EN LIGNE",IF(H163&lt;&gt;"","BARDÉ","EN STOCK")))</f>
        <v>POSÉ EN LIGNE</v>
      </c>
      <c r="N163" s="79"/>
    </row>
    <row r="164" customFormat="false" ht="15" hidden="false" customHeight="false" outlineLevel="0" collapsed="false">
      <c r="A164" s="78" t="n">
        <f aca="false">IF(B164="","",ROW()-6)</f>
        <v>158</v>
      </c>
      <c r="B164" s="90" t="s">
        <v>413</v>
      </c>
      <c r="C164" s="91" t="n">
        <v>24803579</v>
      </c>
      <c r="D164" s="91" t="n">
        <v>924043067</v>
      </c>
      <c r="E164" s="80" t="n">
        <v>212</v>
      </c>
      <c r="F164" s="92" t="n">
        <v>12.21</v>
      </c>
      <c r="G164" s="79" t="s">
        <v>605</v>
      </c>
      <c r="H164" s="82"/>
      <c r="I164" s="93" t="str">
        <f aca="false">IF(B164="","",IFERROR(INDEX('CARNET DE SOUDURE'!$B$7:$B$1506,MATCH(B164,'CARNET DE SOUDURE'!$K$7:$K$1506,0)),IFERROR(INDEX('CARNET DE SOUDURE'!$B$7:$B$1506,MATCH(B164,'CARNET DE SOUDURE'!$M$7:$M$1506,0)),"")))</f>
        <v>TFT 716 → TL7-MMFW2</v>
      </c>
      <c r="J164" s="78" t="str">
        <f aca="false">IF(B164="","",IFERROR(INDEX('CARNET DE SOUDURE'!$E$7:$E$1506,MATCH(B164,'CARNET DE SOUDURE'!$M$7:$M$1506,0)),""))</f>
        <v>JN°130</v>
      </c>
      <c r="K164" s="78" t="str">
        <f aca="false">IF(B164="","",IFERROR(INDEX('CARNET DE SOUDURE'!$E$7:$E$1506,MATCH(B164,'CARNET DE SOUDURE'!$K$7:$K$1506,0)),""))</f>
        <v>JN°131</v>
      </c>
      <c r="L164" s="78" t="str">
        <f aca="false">IF(B164="","",IFERROR(INDEX('CARNET DE SOUDURE'!$D$7:$D$1506,MATCH(B164,'CARNET DE SOUDURE'!$K$7:$K$1506,0)),IFERROR(INDEX('CARNET DE SOUDURE'!$D$7:$D$1506,MATCH(B164,'CARNET DE SOUDURE'!$M$7:$M$1506,0)),"")))</f>
        <v>1.00</v>
      </c>
      <c r="M164" s="81" t="str">
        <f aca="false">IF(B164="","",IF(OR(J164&lt;&gt;"",K164&lt;&gt;""),"POSÉ EN LIGNE",IF(H164&lt;&gt;"","BARDÉ","EN STOCK")))</f>
        <v>POSÉ EN LIGNE</v>
      </c>
      <c r="N164" s="79"/>
    </row>
    <row r="165" customFormat="false" ht="15" hidden="false" customHeight="false" outlineLevel="0" collapsed="false">
      <c r="A165" s="78" t="n">
        <f aca="false">IF(B165="","",ROW()-6)</f>
        <v>159</v>
      </c>
      <c r="B165" s="90" t="s">
        <v>393</v>
      </c>
      <c r="C165" s="91" t="n">
        <v>24803579</v>
      </c>
      <c r="D165" s="91" t="n">
        <v>924043067</v>
      </c>
      <c r="E165" s="80" t="n">
        <v>213</v>
      </c>
      <c r="F165" s="92" t="n">
        <v>12.21</v>
      </c>
      <c r="G165" s="79" t="s">
        <v>605</v>
      </c>
      <c r="H165" s="82"/>
      <c r="I165" s="93" t="str">
        <f aca="false">IF(B165="","",IFERROR(INDEX('CARNET DE SOUDURE'!$B$7:$B$1506,MATCH(B165,'CARNET DE SOUDURE'!$K$7:$K$1506,0)),IFERROR(INDEX('CARNET DE SOUDURE'!$B$7:$B$1506,MATCH(B165,'CARNET DE SOUDURE'!$M$7:$M$1506,0)),"")))</f>
        <v>TFT 716 → TL7-MMFW2</v>
      </c>
      <c r="J165" s="78" t="str">
        <f aca="false">IF(B165="","",IFERROR(INDEX('CARNET DE SOUDURE'!$E$7:$E$1506,MATCH(B165,'CARNET DE SOUDURE'!$M$7:$M$1506,0)),""))</f>
        <v>JN°121</v>
      </c>
      <c r="K165" s="78" t="str">
        <f aca="false">IF(B165="","",IFERROR(INDEX('CARNET DE SOUDURE'!$E$7:$E$1506,MATCH(B165,'CARNET DE SOUDURE'!$K$7:$K$1506,0)),""))</f>
        <v>JN°122R</v>
      </c>
      <c r="L165" s="78" t="str">
        <f aca="false">IF(B165="","",IFERROR(INDEX('CARNET DE SOUDURE'!$D$7:$D$1506,MATCH(B165,'CARNET DE SOUDURE'!$K$7:$K$1506,0)),IFERROR(INDEX('CARNET DE SOUDURE'!$D$7:$D$1506,MATCH(B165,'CARNET DE SOUDURE'!$M$7:$M$1506,0)),"")))</f>
        <v>1.00</v>
      </c>
      <c r="M165" s="81" t="str">
        <f aca="false">IF(B165="","",IF(OR(J165&lt;&gt;"",K165&lt;&gt;""),"POSÉ EN LIGNE",IF(H165&lt;&gt;"","BARDÉ","EN STOCK")))</f>
        <v>POSÉ EN LIGNE</v>
      </c>
      <c r="N165" s="79"/>
    </row>
    <row r="166" customFormat="false" ht="15" hidden="false" customHeight="false" outlineLevel="0" collapsed="false">
      <c r="A166" s="78" t="n">
        <f aca="false">IF(B166="","",ROW()-6)</f>
        <v>160</v>
      </c>
      <c r="B166" s="90" t="s">
        <v>419</v>
      </c>
      <c r="C166" s="91" t="n">
        <v>24803579</v>
      </c>
      <c r="D166" s="91" t="n">
        <v>924043067</v>
      </c>
      <c r="E166" s="80" t="n">
        <v>214</v>
      </c>
      <c r="F166" s="92" t="n">
        <v>12.21</v>
      </c>
      <c r="G166" s="79" t="s">
        <v>605</v>
      </c>
      <c r="H166" s="82"/>
      <c r="I166" s="93" t="str">
        <f aca="false">IF(B166="","",IFERROR(INDEX('CARNET DE SOUDURE'!$B$7:$B$1506,MATCH(B166,'CARNET DE SOUDURE'!$K$7:$K$1506,0)),IFERROR(INDEX('CARNET DE SOUDURE'!$B$7:$B$1506,MATCH(B166,'CARNET DE SOUDURE'!$M$7:$M$1506,0)),"")))</f>
        <v>TFT 716 → TL7-MMFW2</v>
      </c>
      <c r="J166" s="78" t="str">
        <f aca="false">IF(B166="","",IFERROR(INDEX('CARNET DE SOUDURE'!$E$7:$E$1506,MATCH(B166,'CARNET DE SOUDURE'!$M$7:$M$1506,0)),""))</f>
        <v>JN°133</v>
      </c>
      <c r="K166" s="78" t="str">
        <f aca="false">IF(B166="","",IFERROR(INDEX('CARNET DE SOUDURE'!$E$7:$E$1506,MATCH(B166,'CARNET DE SOUDURE'!$K$7:$K$1506,0)),""))</f>
        <v>JN°134</v>
      </c>
      <c r="L166" s="78" t="str">
        <f aca="false">IF(B166="","",IFERROR(INDEX('CARNET DE SOUDURE'!$D$7:$D$1506,MATCH(B166,'CARNET DE SOUDURE'!$K$7:$K$1506,0)),IFERROR(INDEX('CARNET DE SOUDURE'!$D$7:$D$1506,MATCH(B166,'CARNET DE SOUDURE'!$M$7:$M$1506,0)),"")))</f>
        <v>1.00</v>
      </c>
      <c r="M166" s="81" t="str">
        <f aca="false">IF(B166="","",IF(OR(J166&lt;&gt;"",K166&lt;&gt;""),"POSÉ EN LIGNE",IF(H166&lt;&gt;"","BARDÉ","EN STOCK")))</f>
        <v>POSÉ EN LIGNE</v>
      </c>
      <c r="N166" s="79"/>
    </row>
    <row r="167" customFormat="false" ht="15" hidden="false" customHeight="false" outlineLevel="0" collapsed="false">
      <c r="A167" s="78" t="n">
        <f aca="false">IF(B167="","",ROW()-6)</f>
        <v>161</v>
      </c>
      <c r="B167" s="90" t="s">
        <v>111</v>
      </c>
      <c r="C167" s="91" t="n">
        <v>24803579</v>
      </c>
      <c r="D167" s="91" t="n">
        <v>924043067</v>
      </c>
      <c r="E167" s="80" t="n">
        <v>215</v>
      </c>
      <c r="F167" s="92" t="n">
        <v>12.21</v>
      </c>
      <c r="G167" s="79" t="s">
        <v>605</v>
      </c>
      <c r="H167" s="82"/>
      <c r="I167" s="93" t="str">
        <f aca="false">IF(B167="","",IFERROR(INDEX('CARNET DE SOUDURE'!$B$7:$B$1506,MATCH(B167,'CARNET DE SOUDURE'!$K$7:$K$1506,0)),IFERROR(INDEX('CARNET DE SOUDURE'!$B$7:$B$1506,MATCH(B167,'CARNET DE SOUDURE'!$M$7:$M$1506,0)),"")))</f>
        <v>TFT 716 → TL7-MMFW2</v>
      </c>
      <c r="J167" s="78" t="str">
        <f aca="false">IF(B167="","",IFERROR(INDEX('CARNET DE SOUDURE'!$E$7:$E$1506,MATCH(B167,'CARNET DE SOUDURE'!$M$7:$M$1506,0)),""))</f>
        <v>JN°005</v>
      </c>
      <c r="K167" s="78" t="str">
        <f aca="false">IF(B167="","",IFERROR(INDEX('CARNET DE SOUDURE'!$E$7:$E$1506,MATCH(B167,'CARNET DE SOUDURE'!$K$7:$K$1506,0)),""))</f>
        <v>JN°006</v>
      </c>
      <c r="L167" s="78" t="str">
        <f aca="false">IF(B167="","",IFERROR(INDEX('CARNET DE SOUDURE'!$D$7:$D$1506,MATCH(B167,'CARNET DE SOUDURE'!$K$7:$K$1506,0)),IFERROR(INDEX('CARNET DE SOUDURE'!$D$7:$D$1506,MATCH(B167,'CARNET DE SOUDURE'!$M$7:$M$1506,0)),"")))</f>
        <v>0.00</v>
      </c>
      <c r="M167" s="81" t="str">
        <f aca="false">IF(B167="","",IF(OR(J167&lt;&gt;"",K167&lt;&gt;""),"POSÉ EN LIGNE",IF(H167&lt;&gt;"","BARDÉ","EN STOCK")))</f>
        <v>POSÉ EN LIGNE</v>
      </c>
      <c r="N167" s="79"/>
    </row>
    <row r="168" customFormat="false" ht="15" hidden="false" customHeight="false" outlineLevel="0" collapsed="false">
      <c r="A168" s="78" t="n">
        <f aca="false">IF(B168="","",ROW()-6)</f>
        <v>162</v>
      </c>
      <c r="B168" s="90" t="s">
        <v>422</v>
      </c>
      <c r="C168" s="91" t="n">
        <v>24703653</v>
      </c>
      <c r="D168" s="91" t="n">
        <v>924044052</v>
      </c>
      <c r="E168" s="80" t="n">
        <v>216</v>
      </c>
      <c r="F168" s="92" t="n">
        <v>12.23</v>
      </c>
      <c r="G168" s="79" t="s">
        <v>605</v>
      </c>
      <c r="H168" s="82"/>
      <c r="I168" s="93" t="str">
        <f aca="false">IF(B168="","",IFERROR(INDEX('CARNET DE SOUDURE'!$B$7:$B$1506,MATCH(B168,'CARNET DE SOUDURE'!$K$7:$K$1506,0)),IFERROR(INDEX('CARNET DE SOUDURE'!$B$7:$B$1506,MATCH(B168,'CARNET DE SOUDURE'!$M$7:$M$1506,0)),"")))</f>
        <v>TFT 716 → TL7-MMFW2</v>
      </c>
      <c r="J168" s="78" t="str">
        <f aca="false">IF(B168="","",IFERROR(INDEX('CARNET DE SOUDURE'!$E$7:$E$1506,MATCH(B168,'CARNET DE SOUDURE'!$M$7:$M$1506,0)),""))</f>
        <v>JN°134</v>
      </c>
      <c r="K168" s="78" t="str">
        <f aca="false">IF(B168="","",IFERROR(INDEX('CARNET DE SOUDURE'!$E$7:$E$1506,MATCH(B168,'CARNET DE SOUDURE'!$K$7:$K$1506,0)),""))</f>
        <v>JN°135</v>
      </c>
      <c r="L168" s="78" t="str">
        <f aca="false">IF(B168="","",IFERROR(INDEX('CARNET DE SOUDURE'!$D$7:$D$1506,MATCH(B168,'CARNET DE SOUDURE'!$K$7:$K$1506,0)),IFERROR(INDEX('CARNET DE SOUDURE'!$D$7:$D$1506,MATCH(B168,'CARNET DE SOUDURE'!$M$7:$M$1506,0)),"")))</f>
        <v>1.00</v>
      </c>
      <c r="M168" s="81" t="str">
        <f aca="false">IF(B168="","",IF(OR(J168&lt;&gt;"",K168&lt;&gt;""),"POSÉ EN LIGNE",IF(H168&lt;&gt;"","BARDÉ","EN STOCK")))</f>
        <v>POSÉ EN LIGNE</v>
      </c>
      <c r="N168" s="79"/>
    </row>
    <row r="169" customFormat="false" ht="15" hidden="false" customHeight="false" outlineLevel="0" collapsed="false">
      <c r="A169" s="78" t="n">
        <f aca="false">IF(B169="","",ROW()-6)</f>
        <v>163</v>
      </c>
      <c r="B169" s="90" t="s">
        <v>409</v>
      </c>
      <c r="C169" s="91" t="n">
        <v>24703653</v>
      </c>
      <c r="D169" s="91" t="n">
        <v>924044052</v>
      </c>
      <c r="E169" s="80" t="n">
        <v>217</v>
      </c>
      <c r="F169" s="92" t="n">
        <v>12.23</v>
      </c>
      <c r="G169" s="79" t="s">
        <v>605</v>
      </c>
      <c r="H169" s="82"/>
      <c r="I169" s="93" t="str">
        <f aca="false">IF(B169="","",IFERROR(INDEX('CARNET DE SOUDURE'!$B$7:$B$1506,MATCH(B169,'CARNET DE SOUDURE'!$K$7:$K$1506,0)),IFERROR(INDEX('CARNET DE SOUDURE'!$B$7:$B$1506,MATCH(B169,'CARNET DE SOUDURE'!$M$7:$M$1506,0)),"")))</f>
        <v>TFT 716 → TL7-MMFW2</v>
      </c>
      <c r="J169" s="78" t="str">
        <f aca="false">IF(B169="","",IFERROR(INDEX('CARNET DE SOUDURE'!$E$7:$E$1506,MATCH(B169,'CARNET DE SOUDURE'!$M$7:$M$1506,0)),""))</f>
        <v>JN°128</v>
      </c>
      <c r="K169" s="78" t="str">
        <f aca="false">IF(B169="","",IFERROR(INDEX('CARNET DE SOUDURE'!$E$7:$E$1506,MATCH(B169,'CARNET DE SOUDURE'!$K$7:$K$1506,0)),""))</f>
        <v>JN°129</v>
      </c>
      <c r="L169" s="78" t="str">
        <f aca="false">IF(B169="","",IFERROR(INDEX('CARNET DE SOUDURE'!$D$7:$D$1506,MATCH(B169,'CARNET DE SOUDURE'!$K$7:$K$1506,0)),IFERROR(INDEX('CARNET DE SOUDURE'!$D$7:$D$1506,MATCH(B169,'CARNET DE SOUDURE'!$M$7:$M$1506,0)),"")))</f>
        <v>1.00</v>
      </c>
      <c r="M169" s="81" t="str">
        <f aca="false">IF(B169="","",IF(OR(J169&lt;&gt;"",K169&lt;&gt;""),"POSÉ EN LIGNE",IF(H169&lt;&gt;"","BARDÉ","EN STOCK")))</f>
        <v>POSÉ EN LIGNE</v>
      </c>
      <c r="N169" s="79"/>
    </row>
    <row r="170" customFormat="false" ht="15" hidden="false" customHeight="false" outlineLevel="0" collapsed="false">
      <c r="A170" s="78" t="n">
        <f aca="false">IF(B170="","",ROW()-6)</f>
        <v>164</v>
      </c>
      <c r="B170" s="90" t="s">
        <v>417</v>
      </c>
      <c r="C170" s="91" t="n">
        <v>24703653</v>
      </c>
      <c r="D170" s="91" t="n">
        <v>924044052</v>
      </c>
      <c r="E170" s="80" t="n">
        <v>219</v>
      </c>
      <c r="F170" s="92" t="n">
        <v>12.23</v>
      </c>
      <c r="G170" s="79" t="s">
        <v>605</v>
      </c>
      <c r="H170" s="82"/>
      <c r="I170" s="93" t="str">
        <f aca="false">IF(B170="","",IFERROR(INDEX('CARNET DE SOUDURE'!$B$7:$B$1506,MATCH(B170,'CARNET DE SOUDURE'!$K$7:$K$1506,0)),IFERROR(INDEX('CARNET DE SOUDURE'!$B$7:$B$1506,MATCH(B170,'CARNET DE SOUDURE'!$M$7:$M$1506,0)),"")))</f>
        <v>TFT 716 → TL7-MMFW2</v>
      </c>
      <c r="J170" s="78" t="str">
        <f aca="false">IF(B170="","",IFERROR(INDEX('CARNET DE SOUDURE'!$E$7:$E$1506,MATCH(B170,'CARNET DE SOUDURE'!$M$7:$M$1506,0)),""))</f>
        <v>JN°132</v>
      </c>
      <c r="K170" s="78" t="str">
        <f aca="false">IF(B170="","",IFERROR(INDEX('CARNET DE SOUDURE'!$E$7:$E$1506,MATCH(B170,'CARNET DE SOUDURE'!$K$7:$K$1506,0)),""))</f>
        <v>JN°133</v>
      </c>
      <c r="L170" s="78" t="str">
        <f aca="false">IF(B170="","",IFERROR(INDEX('CARNET DE SOUDURE'!$D$7:$D$1506,MATCH(B170,'CARNET DE SOUDURE'!$K$7:$K$1506,0)),IFERROR(INDEX('CARNET DE SOUDURE'!$D$7:$D$1506,MATCH(B170,'CARNET DE SOUDURE'!$M$7:$M$1506,0)),"")))</f>
        <v>1.00</v>
      </c>
      <c r="M170" s="81" t="str">
        <f aca="false">IF(B170="","",IF(OR(J170&lt;&gt;"",K170&lt;&gt;""),"POSÉ EN LIGNE",IF(H170&lt;&gt;"","BARDÉ","EN STOCK")))</f>
        <v>POSÉ EN LIGNE</v>
      </c>
      <c r="N170" s="79"/>
    </row>
    <row r="171" customFormat="false" ht="15" hidden="false" customHeight="false" outlineLevel="0" collapsed="false">
      <c r="A171" s="78" t="n">
        <f aca="false">IF(B171="","",ROW()-6)</f>
        <v>165</v>
      </c>
      <c r="B171" s="90" t="s">
        <v>415</v>
      </c>
      <c r="C171" s="91" t="n">
        <v>24703653</v>
      </c>
      <c r="D171" s="91" t="n">
        <v>924044052</v>
      </c>
      <c r="E171" s="80" t="n">
        <v>220</v>
      </c>
      <c r="F171" s="92" t="n">
        <v>12.22</v>
      </c>
      <c r="G171" s="79" t="s">
        <v>605</v>
      </c>
      <c r="H171" s="82"/>
      <c r="I171" s="93" t="str">
        <f aca="false">IF(B171="","",IFERROR(INDEX('CARNET DE SOUDURE'!$B$7:$B$1506,MATCH(B171,'CARNET DE SOUDURE'!$K$7:$K$1506,0)),IFERROR(INDEX('CARNET DE SOUDURE'!$B$7:$B$1506,MATCH(B171,'CARNET DE SOUDURE'!$M$7:$M$1506,0)),"")))</f>
        <v>TFT 716 → TL7-MMFW2</v>
      </c>
      <c r="J171" s="78" t="str">
        <f aca="false">IF(B171="","",IFERROR(INDEX('CARNET DE SOUDURE'!$E$7:$E$1506,MATCH(B171,'CARNET DE SOUDURE'!$M$7:$M$1506,0)),""))</f>
        <v>JN°131</v>
      </c>
      <c r="K171" s="78" t="str">
        <f aca="false">IF(B171="","",IFERROR(INDEX('CARNET DE SOUDURE'!$E$7:$E$1506,MATCH(B171,'CARNET DE SOUDURE'!$K$7:$K$1506,0)),""))</f>
        <v>JN°132</v>
      </c>
      <c r="L171" s="78" t="str">
        <f aca="false">IF(B171="","",IFERROR(INDEX('CARNET DE SOUDURE'!$D$7:$D$1506,MATCH(B171,'CARNET DE SOUDURE'!$K$7:$K$1506,0)),IFERROR(INDEX('CARNET DE SOUDURE'!$D$7:$D$1506,MATCH(B171,'CARNET DE SOUDURE'!$M$7:$M$1506,0)),"")))</f>
        <v>1.00</v>
      </c>
      <c r="M171" s="81" t="str">
        <f aca="false">IF(B171="","",IF(OR(J171&lt;&gt;"",K171&lt;&gt;""),"POSÉ EN LIGNE",IF(H171&lt;&gt;"","BARDÉ","EN STOCK")))</f>
        <v>POSÉ EN LIGNE</v>
      </c>
      <c r="N171" s="79"/>
    </row>
    <row r="172" customFormat="false" ht="15" hidden="false" customHeight="false" outlineLevel="0" collapsed="false">
      <c r="A172" s="78" t="n">
        <f aca="false">IF(B172="","",ROW()-6)</f>
        <v>166</v>
      </c>
      <c r="B172" s="90" t="s">
        <v>617</v>
      </c>
      <c r="C172" s="91" t="n">
        <v>24212332</v>
      </c>
      <c r="D172" s="91" t="n">
        <v>924044428</v>
      </c>
      <c r="E172" s="80" t="n">
        <v>221</v>
      </c>
      <c r="F172" s="92" t="n">
        <v>12.45</v>
      </c>
      <c r="G172" s="79" t="s">
        <v>605</v>
      </c>
      <c r="H172" s="82"/>
      <c r="I172" s="93" t="str">
        <f aca="false">IF(B172="","",IFERROR(INDEX('CARNET DE SOUDURE'!$B$7:$B$1506,MATCH(B172,'CARNET DE SOUDURE'!$K$7:$K$1506,0)),IFERROR(INDEX('CARNET DE SOUDURE'!$B$7:$B$1506,MATCH(B172,'CARNET DE SOUDURE'!$M$7:$M$1506,0)),"")))</f>
        <v/>
      </c>
      <c r="J172" s="78" t="str">
        <f aca="false">IF(B172="","",IFERROR(INDEX('CARNET DE SOUDURE'!$E$7:$E$1506,MATCH(B172,'CARNET DE SOUDURE'!$M$7:$M$1506,0)),""))</f>
        <v/>
      </c>
      <c r="K172" s="78" t="str">
        <f aca="false">IF(B172="","",IFERROR(INDEX('CARNET DE SOUDURE'!$E$7:$E$1506,MATCH(B172,'CARNET DE SOUDURE'!$K$7:$K$1506,0)),""))</f>
        <v/>
      </c>
      <c r="L172" s="78" t="str">
        <f aca="false">IF(B172="","",IFERROR(INDEX('CARNET DE SOUDURE'!$D$7:$D$1506,MATCH(B172,'CARNET DE SOUDURE'!$K$7:$K$1506,0)),IFERROR(INDEX('CARNET DE SOUDURE'!$D$7:$D$1506,MATCH(B172,'CARNET DE SOUDURE'!$M$7:$M$1506,0)),"")))</f>
        <v/>
      </c>
      <c r="M172" s="81" t="str">
        <f aca="false">IF(B172="","",IF(OR(J172&lt;&gt;"",K172&lt;&gt;""),"POSÉ EN LIGNE",IF(H172&lt;&gt;"","BARDÉ","EN STOCK")))</f>
        <v>EN STOCK</v>
      </c>
      <c r="N172" s="79"/>
    </row>
    <row r="173" customFormat="false" ht="15" hidden="false" customHeight="false" outlineLevel="0" collapsed="false">
      <c r="A173" s="78" t="n">
        <f aca="false">IF(B173="","",ROW()-6)</f>
        <v>167</v>
      </c>
      <c r="B173" s="90" t="s">
        <v>444</v>
      </c>
      <c r="C173" s="91" t="n">
        <v>24212332</v>
      </c>
      <c r="D173" s="91" t="n">
        <v>924044428</v>
      </c>
      <c r="E173" s="80" t="n">
        <v>222</v>
      </c>
      <c r="F173" s="92" t="n">
        <v>12.45</v>
      </c>
      <c r="G173" s="79" t="s">
        <v>605</v>
      </c>
      <c r="H173" s="82"/>
      <c r="I173" s="93" t="str">
        <f aca="false">IF(B173="","",IFERROR(INDEX('CARNET DE SOUDURE'!$B$7:$B$1506,MATCH(B173,'CARNET DE SOUDURE'!$K$7:$K$1506,0)),IFERROR(INDEX('CARNET DE SOUDURE'!$B$7:$B$1506,MATCH(B173,'CARNET DE SOUDURE'!$M$7:$M$1506,0)),"")))</f>
        <v>TFT 716 → TL7-MMFW2</v>
      </c>
      <c r="J173" s="78" t="str">
        <f aca="false">IF(B173="","",IFERROR(INDEX('CARNET DE SOUDURE'!$E$7:$E$1506,MATCH(B173,'CARNET DE SOUDURE'!$M$7:$M$1506,0)),""))</f>
        <v>JN°142</v>
      </c>
      <c r="K173" s="78" t="str">
        <f aca="false">IF(B173="","",IFERROR(INDEX('CARNET DE SOUDURE'!$E$7:$E$1506,MATCH(B173,'CARNET DE SOUDURE'!$K$7:$K$1506,0)),""))</f>
        <v>JN°142 A</v>
      </c>
      <c r="L173" s="78" t="str">
        <f aca="false">IF(B173="","",IFERROR(INDEX('CARNET DE SOUDURE'!$D$7:$D$1506,MATCH(B173,'CARNET DE SOUDURE'!$K$7:$K$1506,0)),IFERROR(INDEX('CARNET DE SOUDURE'!$D$7:$D$1506,MATCH(B173,'CARNET DE SOUDURE'!$M$7:$M$1506,0)),"")))</f>
        <v>1.00</v>
      </c>
      <c r="M173" s="81" t="str">
        <f aca="false">IF(B173="","",IF(OR(J173&lt;&gt;"",K173&lt;&gt;""),"POSÉ EN LIGNE",IF(H173&lt;&gt;"","BARDÉ","EN STOCK")))</f>
        <v>POSÉ EN LIGNE</v>
      </c>
      <c r="N173" s="79"/>
    </row>
    <row r="174" customFormat="false" ht="15" hidden="false" customHeight="false" outlineLevel="0" collapsed="false">
      <c r="A174" s="78" t="n">
        <f aca="false">IF(B174="","",ROW()-6)</f>
        <v>168</v>
      </c>
      <c r="B174" s="90" t="s">
        <v>436</v>
      </c>
      <c r="C174" s="91" t="n">
        <v>24212332</v>
      </c>
      <c r="D174" s="91" t="n">
        <v>924044428</v>
      </c>
      <c r="E174" s="80" t="n">
        <v>223</v>
      </c>
      <c r="F174" s="92" t="n">
        <v>12.46</v>
      </c>
      <c r="G174" s="79" t="s">
        <v>605</v>
      </c>
      <c r="H174" s="82"/>
      <c r="I174" s="93" t="str">
        <f aca="false">IF(B174="","",IFERROR(INDEX('CARNET DE SOUDURE'!$B$7:$B$1506,MATCH(B174,'CARNET DE SOUDURE'!$K$7:$K$1506,0)),IFERROR(INDEX('CARNET DE SOUDURE'!$B$7:$B$1506,MATCH(B174,'CARNET DE SOUDURE'!$M$7:$M$1506,0)),"")))</f>
        <v>TFT 716 → TL7-MMFW2</v>
      </c>
      <c r="J174" s="78" t="str">
        <f aca="false">IF(B174="","",IFERROR(INDEX('CARNET DE SOUDURE'!$E$7:$E$1506,MATCH(B174,'CARNET DE SOUDURE'!$M$7:$M$1506,0)),""))</f>
        <v>JN°139</v>
      </c>
      <c r="K174" s="78" t="str">
        <f aca="false">IF(B174="","",IFERROR(INDEX('CARNET DE SOUDURE'!$E$7:$E$1506,MATCH(B174,'CARNET DE SOUDURE'!$K$7:$K$1506,0)),""))</f>
        <v>JN°140Racc</v>
      </c>
      <c r="L174" s="78" t="str">
        <f aca="false">IF(B174="","",IFERROR(INDEX('CARNET DE SOUDURE'!$D$7:$D$1506,MATCH(B174,'CARNET DE SOUDURE'!$K$7:$K$1506,0)),IFERROR(INDEX('CARNET DE SOUDURE'!$D$7:$D$1506,MATCH(B174,'CARNET DE SOUDURE'!$M$7:$M$1506,0)),"")))</f>
        <v>1.00</v>
      </c>
      <c r="M174" s="81" t="str">
        <f aca="false">IF(B174="","",IF(OR(J174&lt;&gt;"",K174&lt;&gt;""),"POSÉ EN LIGNE",IF(H174&lt;&gt;"","BARDÉ","EN STOCK")))</f>
        <v>POSÉ EN LIGNE</v>
      </c>
      <c r="N174" s="79"/>
    </row>
    <row r="175" customFormat="false" ht="15" hidden="false" customHeight="false" outlineLevel="0" collapsed="false">
      <c r="A175" s="78" t="n">
        <f aca="false">IF(B175="","",ROW()-6)</f>
        <v>169</v>
      </c>
      <c r="B175" s="90" t="s">
        <v>403</v>
      </c>
      <c r="C175" s="91" t="n">
        <v>24212332</v>
      </c>
      <c r="D175" s="91" t="n">
        <v>924044428</v>
      </c>
      <c r="E175" s="80" t="n">
        <v>224</v>
      </c>
      <c r="F175" s="92" t="n">
        <v>12.48</v>
      </c>
      <c r="G175" s="79" t="s">
        <v>605</v>
      </c>
      <c r="H175" s="82"/>
      <c r="I175" s="93" t="str">
        <f aca="false">IF(B175="","",IFERROR(INDEX('CARNET DE SOUDURE'!$B$7:$B$1506,MATCH(B175,'CARNET DE SOUDURE'!$K$7:$K$1506,0)),IFERROR(INDEX('CARNET DE SOUDURE'!$B$7:$B$1506,MATCH(B175,'CARNET DE SOUDURE'!$M$7:$M$1506,0)),"")))</f>
        <v>TFT 716 → TL7-MMFW2</v>
      </c>
      <c r="J175" s="78" t="str">
        <f aca="false">IF(B175="","",IFERROR(INDEX('CARNET DE SOUDURE'!$E$7:$E$1506,MATCH(B175,'CARNET DE SOUDURE'!$M$7:$M$1506,0)),""))</f>
        <v>JN°125</v>
      </c>
      <c r="K175" s="78" t="str">
        <f aca="false">IF(B175="","",IFERROR(INDEX('CARNET DE SOUDURE'!$E$7:$E$1506,MATCH(B175,'CARNET DE SOUDURE'!$K$7:$K$1506,0)),""))</f>
        <v>JN°126</v>
      </c>
      <c r="L175" s="78" t="str">
        <f aca="false">IF(B175="","",IFERROR(INDEX('CARNET DE SOUDURE'!$D$7:$D$1506,MATCH(B175,'CARNET DE SOUDURE'!$K$7:$K$1506,0)),IFERROR(INDEX('CARNET DE SOUDURE'!$D$7:$D$1506,MATCH(B175,'CARNET DE SOUDURE'!$M$7:$M$1506,0)),"")))</f>
        <v>1.00</v>
      </c>
      <c r="M175" s="81" t="str">
        <f aca="false">IF(B175="","",IF(OR(J175&lt;&gt;"",K175&lt;&gt;""),"POSÉ EN LIGNE",IF(H175&lt;&gt;"","BARDÉ","EN STOCK")))</f>
        <v>POSÉ EN LIGNE</v>
      </c>
      <c r="N175" s="79"/>
    </row>
    <row r="176" customFormat="false" ht="15" hidden="false" customHeight="false" outlineLevel="0" collapsed="false">
      <c r="A176" s="78" t="n">
        <f aca="false">IF(B176="","",ROW()-6)</f>
        <v>170</v>
      </c>
      <c r="B176" s="90" t="s">
        <v>395</v>
      </c>
      <c r="C176" s="91" t="n">
        <v>24212332</v>
      </c>
      <c r="D176" s="91" t="n">
        <v>924044428</v>
      </c>
      <c r="E176" s="80" t="n">
        <v>225</v>
      </c>
      <c r="F176" s="92" t="n">
        <v>12.45</v>
      </c>
      <c r="G176" s="79" t="s">
        <v>605</v>
      </c>
      <c r="H176" s="82"/>
      <c r="I176" s="93" t="str">
        <f aca="false">IF(B176="","",IFERROR(INDEX('CARNET DE SOUDURE'!$B$7:$B$1506,MATCH(B176,'CARNET DE SOUDURE'!$K$7:$K$1506,0)),IFERROR(INDEX('CARNET DE SOUDURE'!$B$7:$B$1506,MATCH(B176,'CARNET DE SOUDURE'!$M$7:$M$1506,0)),"")))</f>
        <v>TFT 716 → TL7-MMFW2</v>
      </c>
      <c r="J176" s="78" t="str">
        <f aca="false">IF(B176="","",IFERROR(INDEX('CARNET DE SOUDURE'!$E$7:$E$1506,MATCH(B176,'CARNET DE SOUDURE'!$M$7:$M$1506,0)),""))</f>
        <v>JN°122R</v>
      </c>
      <c r="K176" s="78" t="str">
        <f aca="false">IF(B176="","",IFERROR(INDEX('CARNET DE SOUDURE'!$E$7:$E$1506,MATCH(B176,'CARNET DE SOUDURE'!$K$7:$K$1506,0)),""))</f>
        <v>JN°123</v>
      </c>
      <c r="L176" s="78" t="str">
        <f aca="false">IF(B176="","",IFERROR(INDEX('CARNET DE SOUDURE'!$D$7:$D$1506,MATCH(B176,'CARNET DE SOUDURE'!$K$7:$K$1506,0)),IFERROR(INDEX('CARNET DE SOUDURE'!$D$7:$D$1506,MATCH(B176,'CARNET DE SOUDURE'!$M$7:$M$1506,0)),"")))</f>
        <v>1.00</v>
      </c>
      <c r="M176" s="81" t="str">
        <f aca="false">IF(B176="","",IF(OR(J176&lt;&gt;"",K176&lt;&gt;""),"POSÉ EN LIGNE",IF(H176&lt;&gt;"","BARDÉ","EN STOCK")))</f>
        <v>POSÉ EN LIGNE</v>
      </c>
      <c r="N176" s="79"/>
    </row>
    <row r="177" customFormat="false" ht="15" hidden="false" customHeight="false" outlineLevel="0" collapsed="false">
      <c r="A177" s="78" t="n">
        <f aca="false">IF(B177="","",ROW()-6)</f>
        <v>171</v>
      </c>
      <c r="B177" s="90" t="s">
        <v>386</v>
      </c>
      <c r="C177" s="91" t="n">
        <v>24803590</v>
      </c>
      <c r="D177" s="91" t="n">
        <v>924043261</v>
      </c>
      <c r="E177" s="80" t="n">
        <v>226</v>
      </c>
      <c r="F177" s="92" t="n">
        <v>12.22</v>
      </c>
      <c r="G177" s="79" t="s">
        <v>605</v>
      </c>
      <c r="H177" s="82"/>
      <c r="I177" s="93" t="str">
        <f aca="false">IF(B177="","",IFERROR(INDEX('CARNET DE SOUDURE'!$B$7:$B$1506,MATCH(B177,'CARNET DE SOUDURE'!$K$7:$K$1506,0)),IFERROR(INDEX('CARNET DE SOUDURE'!$B$7:$B$1506,MATCH(B177,'CARNET DE SOUDURE'!$M$7:$M$1506,0)),"")))</f>
        <v>TFT 716 → TL7-MMFW2</v>
      </c>
      <c r="J177" s="78" t="str">
        <f aca="false">IF(B177="","",IFERROR(INDEX('CARNET DE SOUDURE'!$E$7:$E$1506,MATCH(B177,'CARNET DE SOUDURE'!$M$7:$M$1506,0)),""))</f>
        <v>JN°118</v>
      </c>
      <c r="K177" s="78" t="str">
        <f aca="false">IF(B177="","",IFERROR(INDEX('CARNET DE SOUDURE'!$E$7:$E$1506,MATCH(B177,'CARNET DE SOUDURE'!$K$7:$K$1506,0)),""))</f>
        <v>JN°119</v>
      </c>
      <c r="L177" s="78" t="str">
        <f aca="false">IF(B177="","",IFERROR(INDEX('CARNET DE SOUDURE'!$D$7:$D$1506,MATCH(B177,'CARNET DE SOUDURE'!$K$7:$K$1506,0)),IFERROR(INDEX('CARNET DE SOUDURE'!$D$7:$D$1506,MATCH(B177,'CARNET DE SOUDURE'!$M$7:$M$1506,0)),"")))</f>
        <v>1.00</v>
      </c>
      <c r="M177" s="81" t="str">
        <f aca="false">IF(B177="","",IF(OR(J177&lt;&gt;"",K177&lt;&gt;""),"POSÉ EN LIGNE",IF(H177&lt;&gt;"","BARDÉ","EN STOCK")))</f>
        <v>POSÉ EN LIGNE</v>
      </c>
      <c r="N177" s="79"/>
    </row>
    <row r="178" customFormat="false" ht="15" hidden="false" customHeight="false" outlineLevel="0" collapsed="false">
      <c r="A178" s="78" t="n">
        <f aca="false">IF(B178="","",ROW()-6)</f>
        <v>172</v>
      </c>
      <c r="B178" s="90" t="s">
        <v>411</v>
      </c>
      <c r="C178" s="91" t="n">
        <v>24803590</v>
      </c>
      <c r="D178" s="91" t="n">
        <v>924043261</v>
      </c>
      <c r="E178" s="80" t="n">
        <v>227</v>
      </c>
      <c r="F178" s="92" t="n">
        <v>12.22</v>
      </c>
      <c r="G178" s="79" t="s">
        <v>605</v>
      </c>
      <c r="H178" s="82"/>
      <c r="I178" s="93" t="str">
        <f aca="false">IF(B178="","",IFERROR(INDEX('CARNET DE SOUDURE'!$B$7:$B$1506,MATCH(B178,'CARNET DE SOUDURE'!$K$7:$K$1506,0)),IFERROR(INDEX('CARNET DE SOUDURE'!$B$7:$B$1506,MATCH(B178,'CARNET DE SOUDURE'!$M$7:$M$1506,0)),"")))</f>
        <v>TFT 716 → TL7-MMFW2</v>
      </c>
      <c r="J178" s="78" t="str">
        <f aca="false">IF(B178="","",IFERROR(INDEX('CARNET DE SOUDURE'!$E$7:$E$1506,MATCH(B178,'CARNET DE SOUDURE'!$M$7:$M$1506,0)),""))</f>
        <v>JN°129</v>
      </c>
      <c r="K178" s="78" t="str">
        <f aca="false">IF(B178="","",IFERROR(INDEX('CARNET DE SOUDURE'!$E$7:$E$1506,MATCH(B178,'CARNET DE SOUDURE'!$K$7:$K$1506,0)),""))</f>
        <v>JN°130</v>
      </c>
      <c r="L178" s="78" t="str">
        <f aca="false">IF(B178="","",IFERROR(INDEX('CARNET DE SOUDURE'!$D$7:$D$1506,MATCH(B178,'CARNET DE SOUDURE'!$K$7:$K$1506,0)),IFERROR(INDEX('CARNET DE SOUDURE'!$D$7:$D$1506,MATCH(B178,'CARNET DE SOUDURE'!$M$7:$M$1506,0)),"")))</f>
        <v>1.00</v>
      </c>
      <c r="M178" s="81" t="str">
        <f aca="false">IF(B178="","",IF(OR(J178&lt;&gt;"",K178&lt;&gt;""),"POSÉ EN LIGNE",IF(H178&lt;&gt;"","BARDÉ","EN STOCK")))</f>
        <v>POSÉ EN LIGNE</v>
      </c>
      <c r="N178" s="79"/>
    </row>
    <row r="179" customFormat="false" ht="15" hidden="false" customHeight="false" outlineLevel="0" collapsed="false">
      <c r="A179" s="78" t="n">
        <f aca="false">IF(B179="","",ROW()-6)</f>
        <v>173</v>
      </c>
      <c r="B179" s="90" t="s">
        <v>424</v>
      </c>
      <c r="C179" s="91" t="n">
        <v>24803590</v>
      </c>
      <c r="D179" s="91" t="n">
        <v>924043261</v>
      </c>
      <c r="E179" s="80" t="n">
        <v>229</v>
      </c>
      <c r="F179" s="92" t="n">
        <v>12.22</v>
      </c>
      <c r="G179" s="79" t="s">
        <v>605</v>
      </c>
      <c r="H179" s="82"/>
      <c r="I179" s="93" t="str">
        <f aca="false">IF(B179="","",IFERROR(INDEX('CARNET DE SOUDURE'!$B$7:$B$1506,MATCH(B179,'CARNET DE SOUDURE'!$K$7:$K$1506,0)),IFERROR(INDEX('CARNET DE SOUDURE'!$B$7:$B$1506,MATCH(B179,'CARNET DE SOUDURE'!$M$7:$M$1506,0)),"")))</f>
        <v>TFT 716 → TL7-MMFW2</v>
      </c>
      <c r="J179" s="78" t="str">
        <f aca="false">IF(B179="","",IFERROR(INDEX('CARNET DE SOUDURE'!$E$7:$E$1506,MATCH(B179,'CARNET DE SOUDURE'!$M$7:$M$1506,0)),""))</f>
        <v>JN°135</v>
      </c>
      <c r="K179" s="78" t="str">
        <f aca="false">IF(B179="","",IFERROR(INDEX('CARNET DE SOUDURE'!$E$7:$E$1506,MATCH(B179,'CARNET DE SOUDURE'!$K$7:$K$1506,0)),""))</f>
        <v>JN°136Racc</v>
      </c>
      <c r="L179" s="78" t="str">
        <f aca="false">IF(B179="","",IFERROR(INDEX('CARNET DE SOUDURE'!$D$7:$D$1506,MATCH(B179,'CARNET DE SOUDURE'!$K$7:$K$1506,0)),IFERROR(INDEX('CARNET DE SOUDURE'!$D$7:$D$1506,MATCH(B179,'CARNET DE SOUDURE'!$M$7:$M$1506,0)),"")))</f>
        <v>1.00</v>
      </c>
      <c r="M179" s="81" t="str">
        <f aca="false">IF(B179="","",IF(OR(J179&lt;&gt;"",K179&lt;&gt;""),"POSÉ EN LIGNE",IF(H179&lt;&gt;"","BARDÉ","EN STOCK")))</f>
        <v>POSÉ EN LIGNE</v>
      </c>
      <c r="N179" s="79"/>
    </row>
    <row r="180" customFormat="false" ht="15" hidden="false" customHeight="false" outlineLevel="0" collapsed="false">
      <c r="A180" s="78" t="n">
        <f aca="false">IF(B180="","",ROW()-6)</f>
        <v>174</v>
      </c>
      <c r="B180" s="90" t="s">
        <v>391</v>
      </c>
      <c r="C180" s="91" t="n">
        <v>24803590</v>
      </c>
      <c r="D180" s="91" t="n">
        <v>924043261</v>
      </c>
      <c r="E180" s="80" t="n">
        <v>230</v>
      </c>
      <c r="F180" s="92" t="n">
        <v>12.22</v>
      </c>
      <c r="G180" s="79" t="s">
        <v>605</v>
      </c>
      <c r="H180" s="82"/>
      <c r="I180" s="93" t="str">
        <f aca="false">IF(B180="","",IFERROR(INDEX('CARNET DE SOUDURE'!$B$7:$B$1506,MATCH(B180,'CARNET DE SOUDURE'!$K$7:$K$1506,0)),IFERROR(INDEX('CARNET DE SOUDURE'!$B$7:$B$1506,MATCH(B180,'CARNET DE SOUDURE'!$M$7:$M$1506,0)),"")))</f>
        <v>TFT 716 → TL7-MMFW2</v>
      </c>
      <c r="J180" s="78" t="str">
        <f aca="false">IF(B180="","",IFERROR(INDEX('CARNET DE SOUDURE'!$E$7:$E$1506,MATCH(B180,'CARNET DE SOUDURE'!$M$7:$M$1506,0)),""))</f>
        <v>JN°120</v>
      </c>
      <c r="K180" s="78" t="str">
        <f aca="false">IF(B180="","",IFERROR(INDEX('CARNET DE SOUDURE'!$E$7:$E$1506,MATCH(B180,'CARNET DE SOUDURE'!$K$7:$K$1506,0)),""))</f>
        <v>JN°121</v>
      </c>
      <c r="L180" s="78" t="str">
        <f aca="false">IF(B180="","",IFERROR(INDEX('CARNET DE SOUDURE'!$D$7:$D$1506,MATCH(B180,'CARNET DE SOUDURE'!$K$7:$K$1506,0)),IFERROR(INDEX('CARNET DE SOUDURE'!$D$7:$D$1506,MATCH(B180,'CARNET DE SOUDURE'!$M$7:$M$1506,0)),"")))</f>
        <v>1.00</v>
      </c>
      <c r="M180" s="81" t="str">
        <f aca="false">IF(B180="","",IF(OR(J180&lt;&gt;"",K180&lt;&gt;""),"POSÉ EN LIGNE",IF(H180&lt;&gt;"","BARDÉ","EN STOCK")))</f>
        <v>POSÉ EN LIGNE</v>
      </c>
      <c r="N180" s="79"/>
    </row>
    <row r="181" customFormat="false" ht="15" hidden="false" customHeight="false" outlineLevel="0" collapsed="false">
      <c r="A181" s="78" t="n">
        <f aca="false">IF(B181="","",ROW()-6)</f>
        <v>175</v>
      </c>
      <c r="B181" s="90" t="s">
        <v>388</v>
      </c>
      <c r="C181" s="91" t="n">
        <v>21212327</v>
      </c>
      <c r="D181" s="91" t="n">
        <v>924044426</v>
      </c>
      <c r="E181" s="80" t="n">
        <v>231</v>
      </c>
      <c r="F181" s="92" t="n">
        <v>12.45</v>
      </c>
      <c r="G181" s="79" t="s">
        <v>605</v>
      </c>
      <c r="H181" s="82"/>
      <c r="I181" s="93" t="str">
        <f aca="false">IF(B181="","",IFERROR(INDEX('CARNET DE SOUDURE'!$B$7:$B$1506,MATCH(B181,'CARNET DE SOUDURE'!$K$7:$K$1506,0)),IFERROR(INDEX('CARNET DE SOUDURE'!$B$7:$B$1506,MATCH(B181,'CARNET DE SOUDURE'!$M$7:$M$1506,0)),"")))</f>
        <v>TFT 716 → TL7-MMFW2</v>
      </c>
      <c r="J181" s="78" t="str">
        <f aca="false">IF(B181="","",IFERROR(INDEX('CARNET DE SOUDURE'!$E$7:$E$1506,MATCH(B181,'CARNET DE SOUDURE'!$M$7:$M$1506,0)),""))</f>
        <v>JN°119</v>
      </c>
      <c r="K181" s="78" t="str">
        <f aca="false">IF(B181="","",IFERROR(INDEX('CARNET DE SOUDURE'!$E$7:$E$1506,MATCH(B181,'CARNET DE SOUDURE'!$K$7:$K$1506,0)),""))</f>
        <v>JN°120</v>
      </c>
      <c r="L181" s="78" t="str">
        <f aca="false">IF(B181="","",IFERROR(INDEX('CARNET DE SOUDURE'!$D$7:$D$1506,MATCH(B181,'CARNET DE SOUDURE'!$K$7:$K$1506,0)),IFERROR(INDEX('CARNET DE SOUDURE'!$D$7:$D$1506,MATCH(B181,'CARNET DE SOUDURE'!$M$7:$M$1506,0)),"")))</f>
        <v>1.00</v>
      </c>
      <c r="M181" s="81" t="str">
        <f aca="false">IF(B181="","",IF(OR(J181&lt;&gt;"",K181&lt;&gt;""),"POSÉ EN LIGNE",IF(H181&lt;&gt;"","BARDÉ","EN STOCK")))</f>
        <v>POSÉ EN LIGNE</v>
      </c>
      <c r="N181" s="79"/>
    </row>
    <row r="182" customFormat="false" ht="15" hidden="false" customHeight="false" outlineLevel="0" collapsed="false">
      <c r="A182" s="78" t="n">
        <f aca="false">IF(B182="","",ROW()-6)</f>
        <v>176</v>
      </c>
      <c r="B182" s="90" t="s">
        <v>398</v>
      </c>
      <c r="C182" s="91" t="n">
        <v>21212327</v>
      </c>
      <c r="D182" s="91" t="n">
        <v>924044426</v>
      </c>
      <c r="E182" s="80" t="n">
        <v>232</v>
      </c>
      <c r="F182" s="92" t="n">
        <v>12.45</v>
      </c>
      <c r="G182" s="79" t="s">
        <v>605</v>
      </c>
      <c r="H182" s="82"/>
      <c r="I182" s="93" t="str">
        <f aca="false">IF(B182="","",IFERROR(INDEX('CARNET DE SOUDURE'!$B$7:$B$1506,MATCH(B182,'CARNET DE SOUDURE'!$K$7:$K$1506,0)),IFERROR(INDEX('CARNET DE SOUDURE'!$B$7:$B$1506,MATCH(B182,'CARNET DE SOUDURE'!$M$7:$M$1506,0)),"")))</f>
        <v>TFT 716 → TL7-MMFW2</v>
      </c>
      <c r="J182" s="78" t="str">
        <f aca="false">IF(B182="","",IFERROR(INDEX('CARNET DE SOUDURE'!$E$7:$E$1506,MATCH(B182,'CARNET DE SOUDURE'!$M$7:$M$1506,0)),""))</f>
        <v>JN°123</v>
      </c>
      <c r="K182" s="78" t="str">
        <f aca="false">IF(B182="","",IFERROR(INDEX('CARNET DE SOUDURE'!$E$7:$E$1506,MATCH(B182,'CARNET DE SOUDURE'!$K$7:$K$1506,0)),""))</f>
        <v>JN°124</v>
      </c>
      <c r="L182" s="78" t="str">
        <f aca="false">IF(B182="","",IFERROR(INDEX('CARNET DE SOUDURE'!$D$7:$D$1506,MATCH(B182,'CARNET DE SOUDURE'!$K$7:$K$1506,0)),IFERROR(INDEX('CARNET DE SOUDURE'!$D$7:$D$1506,MATCH(B182,'CARNET DE SOUDURE'!$M$7:$M$1506,0)),"")))</f>
        <v>1.00</v>
      </c>
      <c r="M182" s="81" t="str">
        <f aca="false">IF(B182="","",IF(OR(J182&lt;&gt;"",K182&lt;&gt;""),"POSÉ EN LIGNE",IF(H182&lt;&gt;"","BARDÉ","EN STOCK")))</f>
        <v>POSÉ EN LIGNE</v>
      </c>
      <c r="N182" s="79"/>
    </row>
    <row r="183" customFormat="false" ht="15" hidden="false" customHeight="false" outlineLevel="0" collapsed="false">
      <c r="A183" s="78" t="n">
        <f aca="false">IF(B183="","",ROW()-6)</f>
        <v>177</v>
      </c>
      <c r="B183" s="90" t="s">
        <v>380</v>
      </c>
      <c r="C183" s="91" t="n">
        <v>21212327</v>
      </c>
      <c r="D183" s="91" t="n">
        <v>924044426</v>
      </c>
      <c r="E183" s="80" t="n">
        <v>233</v>
      </c>
      <c r="F183" s="92" t="n">
        <v>12.45</v>
      </c>
      <c r="G183" s="79" t="s">
        <v>605</v>
      </c>
      <c r="H183" s="82"/>
      <c r="I183" s="93" t="str">
        <f aca="false">IF(B183="","",IFERROR(INDEX('CARNET DE SOUDURE'!$B$7:$B$1506,MATCH(B183,'CARNET DE SOUDURE'!$K$7:$K$1506,0)),IFERROR(INDEX('CARNET DE SOUDURE'!$B$7:$B$1506,MATCH(B183,'CARNET DE SOUDURE'!$M$7:$M$1506,0)),"")))</f>
        <v>TFT 716 → TL7-MMFW2</v>
      </c>
      <c r="J183" s="78" t="str">
        <f aca="false">IF(B183="","",IFERROR(INDEX('CARNET DE SOUDURE'!$E$7:$E$1506,MATCH(B183,'CARNET DE SOUDURE'!$M$7:$M$1506,0)),""))</f>
        <v>JN°115</v>
      </c>
      <c r="K183" s="78" t="str">
        <f aca="false">IF(B183="","",IFERROR(INDEX('CARNET DE SOUDURE'!$E$7:$E$1506,MATCH(B183,'CARNET DE SOUDURE'!$K$7:$K$1506,0)),""))</f>
        <v>JN°116</v>
      </c>
      <c r="L183" s="78" t="str">
        <f aca="false">IF(B183="","",IFERROR(INDEX('CARNET DE SOUDURE'!$D$7:$D$1506,MATCH(B183,'CARNET DE SOUDURE'!$K$7:$K$1506,0)),IFERROR(INDEX('CARNET DE SOUDURE'!$D$7:$D$1506,MATCH(B183,'CARNET DE SOUDURE'!$M$7:$M$1506,0)),"")))</f>
        <v>1.00</v>
      </c>
      <c r="M183" s="81" t="str">
        <f aca="false">IF(B183="","",IF(OR(J183&lt;&gt;"",K183&lt;&gt;""),"POSÉ EN LIGNE",IF(H183&lt;&gt;"","BARDÉ","EN STOCK")))</f>
        <v>POSÉ EN LIGNE</v>
      </c>
      <c r="N183" s="79"/>
    </row>
    <row r="184" customFormat="false" ht="15" hidden="false" customHeight="false" outlineLevel="0" collapsed="false">
      <c r="A184" s="78" t="n">
        <f aca="false">IF(B184="","",ROW()-6)</f>
        <v>178</v>
      </c>
      <c r="B184" s="90" t="s">
        <v>384</v>
      </c>
      <c r="C184" s="91" t="n">
        <v>21212327</v>
      </c>
      <c r="D184" s="91" t="n">
        <v>924044426</v>
      </c>
      <c r="E184" s="80" t="n">
        <v>234</v>
      </c>
      <c r="F184" s="92" t="n">
        <v>12.44</v>
      </c>
      <c r="G184" s="79" t="s">
        <v>605</v>
      </c>
      <c r="H184" s="82"/>
      <c r="I184" s="93" t="str">
        <f aca="false">IF(B184="","",IFERROR(INDEX('CARNET DE SOUDURE'!$B$7:$B$1506,MATCH(B184,'CARNET DE SOUDURE'!$K$7:$K$1506,0)),IFERROR(INDEX('CARNET DE SOUDURE'!$B$7:$B$1506,MATCH(B184,'CARNET DE SOUDURE'!$M$7:$M$1506,0)),"")))</f>
        <v>TFT 716 → TL7-MMFW2</v>
      </c>
      <c r="J184" s="78" t="str">
        <f aca="false">IF(B184="","",IFERROR(INDEX('CARNET DE SOUDURE'!$E$7:$E$1506,MATCH(B184,'CARNET DE SOUDURE'!$M$7:$M$1506,0)),""))</f>
        <v>JN°117</v>
      </c>
      <c r="K184" s="78" t="str">
        <f aca="false">IF(B184="","",IFERROR(INDEX('CARNET DE SOUDURE'!$E$7:$E$1506,MATCH(B184,'CARNET DE SOUDURE'!$K$7:$K$1506,0)),""))</f>
        <v>JN°118</v>
      </c>
      <c r="L184" s="78" t="str">
        <f aca="false">IF(B184="","",IFERROR(INDEX('CARNET DE SOUDURE'!$D$7:$D$1506,MATCH(B184,'CARNET DE SOUDURE'!$K$7:$K$1506,0)),IFERROR(INDEX('CARNET DE SOUDURE'!$D$7:$D$1506,MATCH(B184,'CARNET DE SOUDURE'!$M$7:$M$1506,0)),"")))</f>
        <v>1.00</v>
      </c>
      <c r="M184" s="81" t="str">
        <f aca="false">IF(B184="","",IF(OR(J184&lt;&gt;"",K184&lt;&gt;""),"POSÉ EN LIGNE",IF(H184&lt;&gt;"","BARDÉ","EN STOCK")))</f>
        <v>POSÉ EN LIGNE</v>
      </c>
      <c r="N184" s="79"/>
    </row>
    <row r="185" customFormat="false" ht="15" hidden="false" customHeight="false" outlineLevel="0" collapsed="false">
      <c r="A185" s="78" t="n">
        <f aca="false">IF(B185="","",ROW()-6)</f>
        <v>179</v>
      </c>
      <c r="B185" s="90" t="s">
        <v>438</v>
      </c>
      <c r="C185" s="91" t="n">
        <v>21212327</v>
      </c>
      <c r="D185" s="91" t="n">
        <v>924044426</v>
      </c>
      <c r="E185" s="80" t="n">
        <v>235</v>
      </c>
      <c r="F185" s="92" t="n">
        <v>12.44</v>
      </c>
      <c r="G185" s="79" t="s">
        <v>605</v>
      </c>
      <c r="H185" s="82"/>
      <c r="I185" s="93" t="str">
        <f aca="false">IF(B185="","",IFERROR(INDEX('CARNET DE SOUDURE'!$B$7:$B$1506,MATCH(B185,'CARNET DE SOUDURE'!$K$7:$K$1506,0)),IFERROR(INDEX('CARNET DE SOUDURE'!$B$7:$B$1506,MATCH(B185,'CARNET DE SOUDURE'!$M$7:$M$1506,0)),"")))</f>
        <v>TFT 716 → TL7-MMFW2</v>
      </c>
      <c r="J185" s="78" t="str">
        <f aca="false">IF(B185="","",IFERROR(INDEX('CARNET DE SOUDURE'!$E$7:$E$1506,MATCH(B185,'CARNET DE SOUDURE'!$M$7:$M$1506,0)),""))</f>
        <v>JN°140Racc</v>
      </c>
      <c r="K185" s="78" t="str">
        <f aca="false">IF(B185="","",IFERROR(INDEX('CARNET DE SOUDURE'!$E$7:$E$1506,MATCH(B185,'CARNET DE SOUDURE'!$K$7:$K$1506,0)),""))</f>
        <v>JN°141</v>
      </c>
      <c r="L185" s="78" t="str">
        <f aca="false">IF(B185="","",IFERROR(INDEX('CARNET DE SOUDURE'!$D$7:$D$1506,MATCH(B185,'CARNET DE SOUDURE'!$K$7:$K$1506,0)),IFERROR(INDEX('CARNET DE SOUDURE'!$D$7:$D$1506,MATCH(B185,'CARNET DE SOUDURE'!$M$7:$M$1506,0)),"")))</f>
        <v>1.00</v>
      </c>
      <c r="M185" s="81" t="str">
        <f aca="false">IF(B185="","",IF(OR(J185&lt;&gt;"",K185&lt;&gt;""),"POSÉ EN LIGNE",IF(H185&lt;&gt;"","BARDÉ","EN STOCK")))</f>
        <v>POSÉ EN LIGNE</v>
      </c>
      <c r="N185" s="79"/>
    </row>
    <row r="186" customFormat="false" ht="22.35" hidden="false" customHeight="false" outlineLevel="0" collapsed="false">
      <c r="A186" s="78" t="n">
        <f aca="false">IF(B186="","",ROW()-6)</f>
        <v>180</v>
      </c>
      <c r="B186" s="90" t="s">
        <v>618</v>
      </c>
      <c r="C186" s="91" t="s">
        <v>608</v>
      </c>
      <c r="D186" s="91" t="s">
        <v>609</v>
      </c>
      <c r="E186" s="80" t="s">
        <v>610</v>
      </c>
      <c r="F186" s="92" t="s">
        <v>611</v>
      </c>
      <c r="G186" s="79" t="s">
        <v>619</v>
      </c>
      <c r="H186" s="82"/>
      <c r="I186" s="93" t="str">
        <f aca="false">IF(B186="","",IFERROR(INDEX('CARNET DE SOUDURE'!$B$7:$B$1506,MATCH(B186,'CARNET DE SOUDURE'!$K$7:$K$1506,0)),IFERROR(INDEX('CARNET DE SOUDURE'!$B$7:$B$1506,MATCH(B186,'CARNET DE SOUDURE'!$M$7:$M$1506,0)),"")))</f>
        <v/>
      </c>
      <c r="J186" s="78" t="str">
        <f aca="false">IF(B186="","",IFERROR(INDEX('CARNET DE SOUDURE'!$E$7:$E$1506,MATCH(B186,'CARNET DE SOUDURE'!$M$7:$M$1506,0)),""))</f>
        <v/>
      </c>
      <c r="K186" s="78" t="str">
        <f aca="false">IF(B186="","",IFERROR(INDEX('CARNET DE SOUDURE'!$E$7:$E$1506,MATCH(B186,'CARNET DE SOUDURE'!$K$7:$K$1506,0)),""))</f>
        <v/>
      </c>
      <c r="L186" s="78" t="str">
        <f aca="false">IF(B186="","",IFERROR(INDEX('CARNET DE SOUDURE'!$D$7:$D$1506,MATCH(B186,'CARNET DE SOUDURE'!$K$7:$K$1506,0)),IFERROR(INDEX('CARNET DE SOUDURE'!$D$7:$D$1506,MATCH(B186,'CARNET DE SOUDURE'!$M$7:$M$1506,0)),"")))</f>
        <v/>
      </c>
      <c r="M186" s="81" t="str">
        <f aca="false">IF(B186="","",IF(OR(J186&lt;&gt;"",K186&lt;&gt;""),"POSÉ EN LIGNE",IF(H186&lt;&gt;"","BARDÉ","EN STOCK")))</f>
        <v>EN STOCK</v>
      </c>
      <c r="N186" s="79"/>
    </row>
    <row r="187" customFormat="false" ht="15" hidden="false" customHeight="false" outlineLevel="0" collapsed="false">
      <c r="A187" s="78" t="n">
        <f aca="false">IF(B187="","",ROW()-6)</f>
        <v>181</v>
      </c>
      <c r="B187" s="90" t="s">
        <v>554</v>
      </c>
      <c r="C187" s="91" t="n">
        <v>852404002574</v>
      </c>
      <c r="D187" s="91" t="n">
        <v>924043252</v>
      </c>
      <c r="E187" s="80" t="n">
        <v>10</v>
      </c>
      <c r="F187" s="92" t="n">
        <v>12.18</v>
      </c>
      <c r="G187" s="79" t="s">
        <v>605</v>
      </c>
      <c r="H187" s="82"/>
      <c r="I187" s="93" t="str">
        <f aca="false">IF(B187="","",IFERROR(INDEX('CARNET DE SOUDURE'!$B$7:$B$1506,MATCH(B187,'CARNET DE SOUDURE'!$K$7:$K$1506,0)),IFERROR(INDEX('CARNET DE SOUDURE'!$B$7:$B$1506,MATCH(B187,'CARNET DE SOUDURE'!$M$7:$M$1506,0)),"")))</f>
        <v>TFT 716 → TL7-MMFW2</v>
      </c>
      <c r="J187" s="78" t="str">
        <f aca="false">IF(B187="","",IFERROR(INDEX('CARNET DE SOUDURE'!$E$7:$E$1506,MATCH(B187,'CARNET DE SOUDURE'!$M$7:$M$1506,0)),""))</f>
        <v>JN°192</v>
      </c>
      <c r="K187" s="78" t="str">
        <f aca="false">IF(B187="","",IFERROR(INDEX('CARNET DE SOUDURE'!$E$7:$E$1506,MATCH(B187,'CARNET DE SOUDURE'!$K$7:$K$1506,0)),""))</f>
        <v>JN°193</v>
      </c>
      <c r="L187" s="78" t="str">
        <f aca="false">IF(B187="","",IFERROR(INDEX('CARNET DE SOUDURE'!$D$7:$D$1506,MATCH(B187,'CARNET DE SOUDURE'!$K$7:$K$1506,0)),IFERROR(INDEX('CARNET DE SOUDURE'!$D$7:$D$1506,MATCH(B187,'CARNET DE SOUDURE'!$M$7:$M$1506,0)),"")))</f>
        <v>2.00</v>
      </c>
      <c r="M187" s="81" t="str">
        <f aca="false">IF(B187="","",IF(OR(J187&lt;&gt;"",K187&lt;&gt;""),"POSÉ EN LIGNE",IF(H187&lt;&gt;"","BARDÉ","EN STOCK")))</f>
        <v>POSÉ EN LIGNE</v>
      </c>
      <c r="N187" s="79"/>
    </row>
    <row r="188" customFormat="false" ht="15" hidden="false" customHeight="false" outlineLevel="0" collapsed="false">
      <c r="A188" s="78" t="n">
        <f aca="false">IF(B188="","",ROW()-6)</f>
        <v>182</v>
      </c>
      <c r="B188" s="90" t="s">
        <v>620</v>
      </c>
      <c r="C188" s="91" t="n">
        <v>852404002574</v>
      </c>
      <c r="D188" s="91" t="n">
        <v>924043252</v>
      </c>
      <c r="E188" s="80" t="n">
        <v>17</v>
      </c>
      <c r="F188" s="92" t="n">
        <v>12.08</v>
      </c>
      <c r="G188" s="79" t="s">
        <v>605</v>
      </c>
      <c r="H188" s="82"/>
      <c r="I188" s="93" t="str">
        <f aca="false">IF(B188="","",IFERROR(INDEX('CARNET DE SOUDURE'!$B$7:$B$1506,MATCH(B188,'CARNET DE SOUDURE'!$K$7:$K$1506,0)),IFERROR(INDEX('CARNET DE SOUDURE'!$B$7:$B$1506,MATCH(B188,'CARNET DE SOUDURE'!$M$7:$M$1506,0)),"")))</f>
        <v/>
      </c>
      <c r="J188" s="78" t="str">
        <f aca="false">IF(B188="","",IFERROR(INDEX('CARNET DE SOUDURE'!$E$7:$E$1506,MATCH(B188,'CARNET DE SOUDURE'!$M$7:$M$1506,0)),""))</f>
        <v/>
      </c>
      <c r="K188" s="78" t="str">
        <f aca="false">IF(B188="","",IFERROR(INDEX('CARNET DE SOUDURE'!$E$7:$E$1506,MATCH(B188,'CARNET DE SOUDURE'!$K$7:$K$1506,0)),""))</f>
        <v/>
      </c>
      <c r="L188" s="78" t="str">
        <f aca="false">IF(B188="","",IFERROR(INDEX('CARNET DE SOUDURE'!$D$7:$D$1506,MATCH(B188,'CARNET DE SOUDURE'!$K$7:$K$1506,0)),IFERROR(INDEX('CARNET DE SOUDURE'!$D$7:$D$1506,MATCH(B188,'CARNET DE SOUDURE'!$M$7:$M$1506,0)),"")))</f>
        <v/>
      </c>
      <c r="M188" s="81" t="str">
        <f aca="false">IF(B188="","",IF(OR(J188&lt;&gt;"",K188&lt;&gt;""),"POSÉ EN LIGNE",IF(H188&lt;&gt;"","BARDÉ","EN STOCK")))</f>
        <v>EN STOCK</v>
      </c>
      <c r="N188" s="79"/>
    </row>
    <row r="189" customFormat="false" ht="15" hidden="false" customHeight="false" outlineLevel="0" collapsed="false">
      <c r="A189" s="78" t="n">
        <f aca="false">IF(B189="","",ROW()-6)</f>
        <v>183</v>
      </c>
      <c r="B189" s="90" t="s">
        <v>621</v>
      </c>
      <c r="C189" s="91" t="n">
        <v>852405000449</v>
      </c>
      <c r="D189" s="91" t="n">
        <v>924054020</v>
      </c>
      <c r="E189" s="80" t="n">
        <v>20</v>
      </c>
      <c r="F189" s="92" t="n">
        <v>12.44</v>
      </c>
      <c r="G189" s="79" t="s">
        <v>605</v>
      </c>
      <c r="H189" s="82"/>
      <c r="I189" s="93" t="str">
        <f aca="false">IF(B189="","",IFERROR(INDEX('CARNET DE SOUDURE'!$B$7:$B$1506,MATCH(B189,'CARNET DE SOUDURE'!$K$7:$K$1506,0)),IFERROR(INDEX('CARNET DE SOUDURE'!$B$7:$B$1506,MATCH(B189,'CARNET DE SOUDURE'!$M$7:$M$1506,0)),"")))</f>
        <v/>
      </c>
      <c r="J189" s="78" t="str">
        <f aca="false">IF(B189="","",IFERROR(INDEX('CARNET DE SOUDURE'!$E$7:$E$1506,MATCH(B189,'CARNET DE SOUDURE'!$M$7:$M$1506,0)),""))</f>
        <v/>
      </c>
      <c r="K189" s="78" t="str">
        <f aca="false">IF(B189="","",IFERROR(INDEX('CARNET DE SOUDURE'!$E$7:$E$1506,MATCH(B189,'CARNET DE SOUDURE'!$K$7:$K$1506,0)),""))</f>
        <v/>
      </c>
      <c r="L189" s="78" t="str">
        <f aca="false">IF(B189="","",IFERROR(INDEX('CARNET DE SOUDURE'!$D$7:$D$1506,MATCH(B189,'CARNET DE SOUDURE'!$K$7:$K$1506,0)),IFERROR(INDEX('CARNET DE SOUDURE'!$D$7:$D$1506,MATCH(B189,'CARNET DE SOUDURE'!$M$7:$M$1506,0)),"")))</f>
        <v/>
      </c>
      <c r="M189" s="81" t="str">
        <f aca="false">IF(B189="","",IF(OR(J189&lt;&gt;"",K189&lt;&gt;""),"POSÉ EN LIGNE",IF(H189&lt;&gt;"","BARDÉ","EN STOCK")))</f>
        <v>EN STOCK</v>
      </c>
      <c r="N189" s="79"/>
    </row>
    <row r="190" customFormat="false" ht="15" hidden="false" customHeight="false" outlineLevel="0" collapsed="false">
      <c r="A190" s="78" t="n">
        <f aca="false">IF(B190="","",ROW()-6)</f>
        <v>184</v>
      </c>
      <c r="B190" s="90" t="s">
        <v>622</v>
      </c>
      <c r="C190" s="91" t="n">
        <v>852404002165</v>
      </c>
      <c r="D190" s="91" t="n">
        <v>924043083</v>
      </c>
      <c r="E190" s="80" t="n">
        <v>21</v>
      </c>
      <c r="F190" s="92" t="n">
        <v>12.14</v>
      </c>
      <c r="G190" s="79" t="s">
        <v>605</v>
      </c>
      <c r="H190" s="82"/>
      <c r="I190" s="93" t="str">
        <f aca="false">IF(B190="","",IFERROR(INDEX('CARNET DE SOUDURE'!$B$7:$B$1506,MATCH(B190,'CARNET DE SOUDURE'!$K$7:$K$1506,0)),IFERROR(INDEX('CARNET DE SOUDURE'!$B$7:$B$1506,MATCH(B190,'CARNET DE SOUDURE'!$M$7:$M$1506,0)),"")))</f>
        <v/>
      </c>
      <c r="J190" s="78" t="str">
        <f aca="false">IF(B190="","",IFERROR(INDEX('CARNET DE SOUDURE'!$E$7:$E$1506,MATCH(B190,'CARNET DE SOUDURE'!$M$7:$M$1506,0)),""))</f>
        <v/>
      </c>
      <c r="K190" s="78" t="str">
        <f aca="false">IF(B190="","",IFERROR(INDEX('CARNET DE SOUDURE'!$E$7:$E$1506,MATCH(B190,'CARNET DE SOUDURE'!$K$7:$K$1506,0)),""))</f>
        <v/>
      </c>
      <c r="L190" s="78" t="str">
        <f aca="false">IF(B190="","",IFERROR(INDEX('CARNET DE SOUDURE'!$D$7:$D$1506,MATCH(B190,'CARNET DE SOUDURE'!$K$7:$K$1506,0)),IFERROR(INDEX('CARNET DE SOUDURE'!$D$7:$D$1506,MATCH(B190,'CARNET DE SOUDURE'!$M$7:$M$1506,0)),"")))</f>
        <v/>
      </c>
      <c r="M190" s="81" t="str">
        <f aca="false">IF(B190="","",IF(OR(J190&lt;&gt;"",K190&lt;&gt;""),"POSÉ EN LIGNE",IF(H190&lt;&gt;"","BARDÉ","EN STOCK")))</f>
        <v>EN STOCK</v>
      </c>
      <c r="N190" s="79"/>
    </row>
    <row r="191" customFormat="false" ht="15" hidden="false" customHeight="false" outlineLevel="0" collapsed="false">
      <c r="A191" s="78" t="n">
        <f aca="false">IF(B191="","",ROW()-6)</f>
        <v>185</v>
      </c>
      <c r="B191" s="90" t="s">
        <v>541</v>
      </c>
      <c r="C191" s="91" t="n">
        <v>852405000610</v>
      </c>
      <c r="D191" s="91" t="n">
        <v>924044052</v>
      </c>
      <c r="E191" s="80" t="n">
        <v>51</v>
      </c>
      <c r="F191" s="92" t="n">
        <v>12.22</v>
      </c>
      <c r="G191" s="79" t="s">
        <v>605</v>
      </c>
      <c r="H191" s="82"/>
      <c r="I191" s="93" t="str">
        <f aca="false">IF(B191="","",IFERROR(INDEX('CARNET DE SOUDURE'!$B$7:$B$1506,MATCH(B191,'CARNET DE SOUDURE'!$K$7:$K$1506,0)),IFERROR(INDEX('CARNET DE SOUDURE'!$B$7:$B$1506,MATCH(B191,'CARNET DE SOUDURE'!$M$7:$M$1506,0)),"")))</f>
        <v>TFT 716 → TL7-MMFW2</v>
      </c>
      <c r="J191" s="78" t="str">
        <f aca="false">IF(B191="","",IFERROR(INDEX('CARNET DE SOUDURE'!$E$7:$E$1506,MATCH(B191,'CARNET DE SOUDURE'!$M$7:$M$1506,0)),""))</f>
        <v>JN°186</v>
      </c>
      <c r="K191" s="78" t="str">
        <f aca="false">IF(B191="","",IFERROR(INDEX('CARNET DE SOUDURE'!$E$7:$E$1506,MATCH(B191,'CARNET DE SOUDURE'!$K$7:$K$1506,0)),""))</f>
        <v>JN°187</v>
      </c>
      <c r="L191" s="78" t="str">
        <f aca="false">IF(B191="","",IFERROR(INDEX('CARNET DE SOUDURE'!$D$7:$D$1506,MATCH(B191,'CARNET DE SOUDURE'!$K$7:$K$1506,0)),IFERROR(INDEX('CARNET DE SOUDURE'!$D$7:$D$1506,MATCH(B191,'CARNET DE SOUDURE'!$M$7:$M$1506,0)),"")))</f>
        <v>2.00</v>
      </c>
      <c r="M191" s="81" t="str">
        <f aca="false">IF(B191="","",IF(OR(J191&lt;&gt;"",K191&lt;&gt;""),"POSÉ EN LIGNE",IF(H191&lt;&gt;"","BARDÉ","EN STOCK")))</f>
        <v>POSÉ EN LIGNE</v>
      </c>
      <c r="N191" s="79"/>
    </row>
    <row r="192" customFormat="false" ht="15" hidden="false" customHeight="false" outlineLevel="0" collapsed="false">
      <c r="A192" s="78" t="n">
        <f aca="false">IF(B192="","",ROW()-6)</f>
        <v>186</v>
      </c>
      <c r="B192" s="90" t="s">
        <v>543</v>
      </c>
      <c r="C192" s="91" t="n">
        <v>24102307</v>
      </c>
      <c r="D192" s="91" t="n">
        <v>924044432</v>
      </c>
      <c r="E192" s="80" t="n">
        <v>61</v>
      </c>
      <c r="F192" s="92" t="n">
        <v>12.47</v>
      </c>
      <c r="G192" s="79" t="s">
        <v>605</v>
      </c>
      <c r="H192" s="82"/>
      <c r="I192" s="93" t="str">
        <f aca="false">IF(B192="","",IFERROR(INDEX('CARNET DE SOUDURE'!$B$7:$B$1506,MATCH(B192,'CARNET DE SOUDURE'!$K$7:$K$1506,0)),IFERROR(INDEX('CARNET DE SOUDURE'!$B$7:$B$1506,MATCH(B192,'CARNET DE SOUDURE'!$M$7:$M$1506,0)),"")))</f>
        <v>TFT 716 → TL7-MMFW2</v>
      </c>
      <c r="J192" s="78" t="str">
        <f aca="false">IF(B192="","",IFERROR(INDEX('CARNET DE SOUDURE'!$E$7:$E$1506,MATCH(B192,'CARNET DE SOUDURE'!$M$7:$M$1506,0)),""))</f>
        <v>JN°187</v>
      </c>
      <c r="K192" s="78" t="str">
        <f aca="false">IF(B192="","",IFERROR(INDEX('CARNET DE SOUDURE'!$E$7:$E$1506,MATCH(B192,'CARNET DE SOUDURE'!$K$7:$K$1506,0)),""))</f>
        <v>JN°188</v>
      </c>
      <c r="L192" s="78" t="str">
        <f aca="false">IF(B192="","",IFERROR(INDEX('CARNET DE SOUDURE'!$D$7:$D$1506,MATCH(B192,'CARNET DE SOUDURE'!$K$7:$K$1506,0)),IFERROR(INDEX('CARNET DE SOUDURE'!$D$7:$D$1506,MATCH(B192,'CARNET DE SOUDURE'!$M$7:$M$1506,0)),"")))</f>
        <v>2.00</v>
      </c>
      <c r="M192" s="81" t="str">
        <f aca="false">IF(B192="","",IF(OR(J192&lt;&gt;"",K192&lt;&gt;""),"POSÉ EN LIGNE",IF(H192&lt;&gt;"","BARDÉ","EN STOCK")))</f>
        <v>POSÉ EN LIGNE</v>
      </c>
      <c r="N192" s="79"/>
    </row>
    <row r="193" customFormat="false" ht="15" hidden="false" customHeight="false" outlineLevel="0" collapsed="false">
      <c r="A193" s="78" t="n">
        <f aca="false">IF(B193="","",ROW()-6)</f>
        <v>187</v>
      </c>
      <c r="B193" s="90" t="s">
        <v>528</v>
      </c>
      <c r="C193" s="91" t="n">
        <v>24102307</v>
      </c>
      <c r="D193" s="91" t="n">
        <v>924044432</v>
      </c>
      <c r="E193" s="80" t="n">
        <v>62</v>
      </c>
      <c r="F193" s="92" t="n">
        <v>12.46</v>
      </c>
      <c r="G193" s="79" t="s">
        <v>605</v>
      </c>
      <c r="H193" s="82"/>
      <c r="I193" s="93" t="str">
        <f aca="false">IF(B193="","",IFERROR(INDEX('CARNET DE SOUDURE'!$B$7:$B$1506,MATCH(B193,'CARNET DE SOUDURE'!$K$7:$K$1506,0)),IFERROR(INDEX('CARNET DE SOUDURE'!$B$7:$B$1506,MATCH(B193,'CARNET DE SOUDURE'!$M$7:$M$1506,0)),"")))</f>
        <v>TFT 716 → TL7-MMFW2</v>
      </c>
      <c r="J193" s="78" t="str">
        <f aca="false">IF(B193="","",IFERROR(INDEX('CARNET DE SOUDURE'!$E$7:$E$1506,MATCH(B193,'CARNET DE SOUDURE'!$M$7:$M$1506,0)),""))</f>
        <v>JN°180</v>
      </c>
      <c r="K193" s="78" t="str">
        <f aca="false">IF(B193="","",IFERROR(INDEX('CARNET DE SOUDURE'!$E$7:$E$1506,MATCH(B193,'CARNET DE SOUDURE'!$K$7:$K$1506,0)),""))</f>
        <v>JN°181</v>
      </c>
      <c r="L193" s="78" t="str">
        <f aca="false">IF(B193="","",IFERROR(INDEX('CARNET DE SOUDURE'!$D$7:$D$1506,MATCH(B193,'CARNET DE SOUDURE'!$K$7:$K$1506,0)),IFERROR(INDEX('CARNET DE SOUDURE'!$D$7:$D$1506,MATCH(B193,'CARNET DE SOUDURE'!$M$7:$M$1506,0)),"")))</f>
        <v>2.00</v>
      </c>
      <c r="M193" s="81" t="str">
        <f aca="false">IF(B193="","",IF(OR(J193&lt;&gt;"",K193&lt;&gt;""),"POSÉ EN LIGNE",IF(H193&lt;&gt;"","BARDÉ","EN STOCK")))</f>
        <v>POSÉ EN LIGNE</v>
      </c>
      <c r="N193" s="79"/>
    </row>
    <row r="194" customFormat="false" ht="15" hidden="false" customHeight="false" outlineLevel="0" collapsed="false">
      <c r="A194" s="78" t="n">
        <f aca="false">IF(B194="","",ROW()-6)</f>
        <v>188</v>
      </c>
      <c r="B194" s="90" t="s">
        <v>524</v>
      </c>
      <c r="C194" s="91" t="n">
        <v>24102307</v>
      </c>
      <c r="D194" s="91" t="n">
        <v>924044432</v>
      </c>
      <c r="E194" s="80" t="n">
        <v>63</v>
      </c>
      <c r="F194" s="92" t="n">
        <v>12.45</v>
      </c>
      <c r="G194" s="79" t="s">
        <v>605</v>
      </c>
      <c r="H194" s="82"/>
      <c r="I194" s="93" t="str">
        <f aca="false">IF(B194="","",IFERROR(INDEX('CARNET DE SOUDURE'!$B$7:$B$1506,MATCH(B194,'CARNET DE SOUDURE'!$K$7:$K$1506,0)),IFERROR(INDEX('CARNET DE SOUDURE'!$B$7:$B$1506,MATCH(B194,'CARNET DE SOUDURE'!$M$7:$M$1506,0)),"")))</f>
        <v>TFT 716 → TL7-MMFW2</v>
      </c>
      <c r="J194" s="78" t="str">
        <f aca="false">IF(B194="","",IFERROR(INDEX('CARNET DE SOUDURE'!$E$7:$E$1506,MATCH(B194,'CARNET DE SOUDURE'!$M$7:$M$1506,0)),""))</f>
        <v>JN°178</v>
      </c>
      <c r="K194" s="78" t="str">
        <f aca="false">IF(B194="","",IFERROR(INDEX('CARNET DE SOUDURE'!$E$7:$E$1506,MATCH(B194,'CARNET DE SOUDURE'!$K$7:$K$1506,0)),""))</f>
        <v>JN°179</v>
      </c>
      <c r="L194" s="78" t="str">
        <f aca="false">IF(B194="","",IFERROR(INDEX('CARNET DE SOUDURE'!$D$7:$D$1506,MATCH(B194,'CARNET DE SOUDURE'!$K$7:$K$1506,0)),IFERROR(INDEX('CARNET DE SOUDURE'!$D$7:$D$1506,MATCH(B194,'CARNET DE SOUDURE'!$M$7:$M$1506,0)),"")))</f>
        <v>2.00</v>
      </c>
      <c r="M194" s="81" t="str">
        <f aca="false">IF(B194="","",IF(OR(J194&lt;&gt;"",K194&lt;&gt;""),"POSÉ EN LIGNE",IF(H194&lt;&gt;"","BARDÉ","EN STOCK")))</f>
        <v>POSÉ EN LIGNE</v>
      </c>
      <c r="N194" s="79"/>
    </row>
    <row r="195" customFormat="false" ht="15" hidden="false" customHeight="false" outlineLevel="0" collapsed="false">
      <c r="A195" s="78" t="n">
        <f aca="false">IF(B195="","",ROW()-6)</f>
        <v>189</v>
      </c>
      <c r="B195" s="90" t="s">
        <v>623</v>
      </c>
      <c r="C195" s="91" t="n">
        <v>24102307</v>
      </c>
      <c r="D195" s="91" t="n">
        <v>924044432</v>
      </c>
      <c r="E195" s="80" t="n">
        <v>64</v>
      </c>
      <c r="F195" s="92" t="n">
        <v>12.47</v>
      </c>
      <c r="G195" s="79" t="s">
        <v>605</v>
      </c>
      <c r="H195" s="82"/>
      <c r="I195" s="93" t="str">
        <f aca="false">IF(B195="","",IFERROR(INDEX('CARNET DE SOUDURE'!$B$7:$B$1506,MATCH(B195,'CARNET DE SOUDURE'!$K$7:$K$1506,0)),IFERROR(INDEX('CARNET DE SOUDURE'!$B$7:$B$1506,MATCH(B195,'CARNET DE SOUDURE'!$M$7:$M$1506,0)),"")))</f>
        <v/>
      </c>
      <c r="J195" s="78" t="str">
        <f aca="false">IF(B195="","",IFERROR(INDEX('CARNET DE SOUDURE'!$E$7:$E$1506,MATCH(B195,'CARNET DE SOUDURE'!$M$7:$M$1506,0)),""))</f>
        <v/>
      </c>
      <c r="K195" s="78" t="str">
        <f aca="false">IF(B195="","",IFERROR(INDEX('CARNET DE SOUDURE'!$E$7:$E$1506,MATCH(B195,'CARNET DE SOUDURE'!$K$7:$K$1506,0)),""))</f>
        <v/>
      </c>
      <c r="L195" s="78" t="str">
        <f aca="false">IF(B195="","",IFERROR(INDEX('CARNET DE SOUDURE'!$D$7:$D$1506,MATCH(B195,'CARNET DE SOUDURE'!$K$7:$K$1506,0)),IFERROR(INDEX('CARNET DE SOUDURE'!$D$7:$D$1506,MATCH(B195,'CARNET DE SOUDURE'!$M$7:$M$1506,0)),"")))</f>
        <v/>
      </c>
      <c r="M195" s="81" t="str">
        <f aca="false">IF(B195="","",IF(OR(J195&lt;&gt;"",K195&lt;&gt;""),"POSÉ EN LIGNE",IF(H195&lt;&gt;"","BARDÉ","EN STOCK")))</f>
        <v>EN STOCK</v>
      </c>
      <c r="N195" s="79"/>
    </row>
    <row r="196" customFormat="false" ht="15" hidden="false" customHeight="false" outlineLevel="0" collapsed="false">
      <c r="A196" s="78" t="n">
        <f aca="false">IF(B196="","",ROW()-6)</f>
        <v>190</v>
      </c>
      <c r="B196" s="90" t="s">
        <v>530</v>
      </c>
      <c r="C196" s="91" t="n">
        <v>24102307</v>
      </c>
      <c r="D196" s="91" t="n">
        <v>924044432</v>
      </c>
      <c r="E196" s="80" t="n">
        <v>65</v>
      </c>
      <c r="F196" s="92" t="n">
        <v>12.45</v>
      </c>
      <c r="G196" s="79" t="s">
        <v>605</v>
      </c>
      <c r="H196" s="82"/>
      <c r="I196" s="93" t="str">
        <f aca="false">IF(B196="","",IFERROR(INDEX('CARNET DE SOUDURE'!$B$7:$B$1506,MATCH(B196,'CARNET DE SOUDURE'!$K$7:$K$1506,0)),IFERROR(INDEX('CARNET DE SOUDURE'!$B$7:$B$1506,MATCH(B196,'CARNET DE SOUDURE'!$M$7:$M$1506,0)),"")))</f>
        <v>TFT 716 → TL7-MMFW2</v>
      </c>
      <c r="J196" s="78" t="str">
        <f aca="false">IF(B196="","",IFERROR(INDEX('CARNET DE SOUDURE'!$E$7:$E$1506,MATCH(B196,'CARNET DE SOUDURE'!$M$7:$M$1506,0)),""))</f>
        <v>JN°181</v>
      </c>
      <c r="K196" s="78" t="str">
        <f aca="false">IF(B196="","",IFERROR(INDEX('CARNET DE SOUDURE'!$E$7:$E$1506,MATCH(B196,'CARNET DE SOUDURE'!$K$7:$K$1506,0)),""))</f>
        <v>JN°182</v>
      </c>
      <c r="L196" s="78" t="str">
        <f aca="false">IF(B196="","",IFERROR(INDEX('CARNET DE SOUDURE'!$D$7:$D$1506,MATCH(B196,'CARNET DE SOUDURE'!$K$7:$K$1506,0)),IFERROR(INDEX('CARNET DE SOUDURE'!$D$7:$D$1506,MATCH(B196,'CARNET DE SOUDURE'!$M$7:$M$1506,0)),"")))</f>
        <v>2.00</v>
      </c>
      <c r="M196" s="81" t="str">
        <f aca="false">IF(B196="","",IF(OR(J196&lt;&gt;"",K196&lt;&gt;""),"POSÉ EN LIGNE",IF(H196&lt;&gt;"","BARDÉ","EN STOCK")))</f>
        <v>POSÉ EN LIGNE</v>
      </c>
      <c r="N196" s="79"/>
    </row>
    <row r="197" customFormat="false" ht="15" hidden="false" customHeight="false" outlineLevel="0" collapsed="false">
      <c r="A197" s="78" t="n">
        <f aca="false">IF(B197="","",ROW()-6)</f>
        <v>191</v>
      </c>
      <c r="B197" s="90" t="s">
        <v>545</v>
      </c>
      <c r="C197" s="91" t="n">
        <v>582404002186</v>
      </c>
      <c r="D197" s="91" t="n">
        <v>924054031</v>
      </c>
      <c r="E197" s="80" t="n">
        <v>66</v>
      </c>
      <c r="F197" s="92" t="n">
        <v>12.39</v>
      </c>
      <c r="G197" s="79" t="s">
        <v>605</v>
      </c>
      <c r="H197" s="82"/>
      <c r="I197" s="93" t="str">
        <f aca="false">IF(B197="","",IFERROR(INDEX('CARNET DE SOUDURE'!$B$7:$B$1506,MATCH(B197,'CARNET DE SOUDURE'!$K$7:$K$1506,0)),IFERROR(INDEX('CARNET DE SOUDURE'!$B$7:$B$1506,MATCH(B197,'CARNET DE SOUDURE'!$M$7:$M$1506,0)),"")))</f>
        <v>TFT 716 → TL7-MMFW2</v>
      </c>
      <c r="J197" s="78" t="str">
        <f aca="false">IF(B197="","",IFERROR(INDEX('CARNET DE SOUDURE'!$E$7:$E$1506,MATCH(B197,'CARNET DE SOUDURE'!$M$7:$M$1506,0)),""))</f>
        <v>JN°188</v>
      </c>
      <c r="K197" s="78" t="str">
        <f aca="false">IF(B197="","",IFERROR(INDEX('CARNET DE SOUDURE'!$E$7:$E$1506,MATCH(B197,'CARNET DE SOUDURE'!$K$7:$K$1506,0)),""))</f>
        <v>JN°189</v>
      </c>
      <c r="L197" s="78" t="str">
        <f aca="false">IF(B197="","",IFERROR(INDEX('CARNET DE SOUDURE'!$D$7:$D$1506,MATCH(B197,'CARNET DE SOUDURE'!$K$7:$K$1506,0)),IFERROR(INDEX('CARNET DE SOUDURE'!$D$7:$D$1506,MATCH(B197,'CARNET DE SOUDURE'!$M$7:$M$1506,0)),"")))</f>
        <v>2.00</v>
      </c>
      <c r="M197" s="81" t="str">
        <f aca="false">IF(B197="","",IF(OR(J197&lt;&gt;"",K197&lt;&gt;""),"POSÉ EN LIGNE",IF(H197&lt;&gt;"","BARDÉ","EN STOCK")))</f>
        <v>POSÉ EN LIGNE</v>
      </c>
      <c r="N197" s="79"/>
    </row>
    <row r="198" customFormat="false" ht="15" hidden="false" customHeight="false" outlineLevel="0" collapsed="false">
      <c r="A198" s="78" t="n">
        <f aca="false">IF(B198="","",ROW()-6)</f>
        <v>192</v>
      </c>
      <c r="B198" s="90" t="s">
        <v>624</v>
      </c>
      <c r="C198" s="91" t="n">
        <v>582404002186</v>
      </c>
      <c r="D198" s="91" t="n">
        <v>924054031</v>
      </c>
      <c r="E198" s="80" t="n">
        <v>67</v>
      </c>
      <c r="F198" s="92" t="n">
        <v>12.46</v>
      </c>
      <c r="G198" s="79" t="s">
        <v>605</v>
      </c>
      <c r="H198" s="82"/>
      <c r="I198" s="93" t="str">
        <f aca="false">IF(B198="","",IFERROR(INDEX('CARNET DE SOUDURE'!$B$7:$B$1506,MATCH(B198,'CARNET DE SOUDURE'!$K$7:$K$1506,0)),IFERROR(INDEX('CARNET DE SOUDURE'!$B$7:$B$1506,MATCH(B198,'CARNET DE SOUDURE'!$M$7:$M$1506,0)),"")))</f>
        <v/>
      </c>
      <c r="J198" s="78" t="str">
        <f aca="false">IF(B198="","",IFERROR(INDEX('CARNET DE SOUDURE'!$E$7:$E$1506,MATCH(B198,'CARNET DE SOUDURE'!$M$7:$M$1506,0)),""))</f>
        <v/>
      </c>
      <c r="K198" s="78" t="str">
        <f aca="false">IF(B198="","",IFERROR(INDEX('CARNET DE SOUDURE'!$E$7:$E$1506,MATCH(B198,'CARNET DE SOUDURE'!$K$7:$K$1506,0)),""))</f>
        <v/>
      </c>
      <c r="L198" s="78" t="str">
        <f aca="false">IF(B198="","",IFERROR(INDEX('CARNET DE SOUDURE'!$D$7:$D$1506,MATCH(B198,'CARNET DE SOUDURE'!$K$7:$K$1506,0)),IFERROR(INDEX('CARNET DE SOUDURE'!$D$7:$D$1506,MATCH(B198,'CARNET DE SOUDURE'!$M$7:$M$1506,0)),"")))</f>
        <v/>
      </c>
      <c r="M198" s="81" t="str">
        <f aca="false">IF(B198="","",IF(OR(J198&lt;&gt;"",K198&lt;&gt;""),"POSÉ EN LIGNE",IF(H198&lt;&gt;"","BARDÉ","EN STOCK")))</f>
        <v>EN STOCK</v>
      </c>
      <c r="N198" s="79"/>
    </row>
    <row r="199" customFormat="false" ht="15" hidden="false" customHeight="false" outlineLevel="0" collapsed="false">
      <c r="A199" s="78" t="n">
        <f aca="false">IF(B199="","",ROW()-6)</f>
        <v>193</v>
      </c>
      <c r="B199" s="90" t="s">
        <v>532</v>
      </c>
      <c r="C199" s="91" t="n">
        <v>582404002186</v>
      </c>
      <c r="D199" s="91" t="n">
        <v>924054031</v>
      </c>
      <c r="E199" s="80" t="n">
        <v>68</v>
      </c>
      <c r="F199" s="92" t="n">
        <v>12.39</v>
      </c>
      <c r="G199" s="79" t="s">
        <v>605</v>
      </c>
      <c r="H199" s="82"/>
      <c r="I199" s="93" t="str">
        <f aca="false">IF(B199="","",IFERROR(INDEX('CARNET DE SOUDURE'!$B$7:$B$1506,MATCH(B199,'CARNET DE SOUDURE'!$K$7:$K$1506,0)),IFERROR(INDEX('CARNET DE SOUDURE'!$B$7:$B$1506,MATCH(B199,'CARNET DE SOUDURE'!$M$7:$M$1506,0)),"")))</f>
        <v>TFT 716 → TL7-MMFW2</v>
      </c>
      <c r="J199" s="78" t="str">
        <f aca="false">IF(B199="","",IFERROR(INDEX('CARNET DE SOUDURE'!$E$7:$E$1506,MATCH(B199,'CARNET DE SOUDURE'!$M$7:$M$1506,0)),""))</f>
        <v>JN°182</v>
      </c>
      <c r="K199" s="78" t="str">
        <f aca="false">IF(B199="","",IFERROR(INDEX('CARNET DE SOUDURE'!$E$7:$E$1506,MATCH(B199,'CARNET DE SOUDURE'!$K$7:$K$1506,0)),""))</f>
        <v>JN°183</v>
      </c>
      <c r="L199" s="78" t="str">
        <f aca="false">IF(B199="","",IFERROR(INDEX('CARNET DE SOUDURE'!$D$7:$D$1506,MATCH(B199,'CARNET DE SOUDURE'!$K$7:$K$1506,0)),IFERROR(INDEX('CARNET DE SOUDURE'!$D$7:$D$1506,MATCH(B199,'CARNET DE SOUDURE'!$M$7:$M$1506,0)),"")))</f>
        <v>2.00</v>
      </c>
      <c r="M199" s="81" t="str">
        <f aca="false">IF(B199="","",IF(OR(J199&lt;&gt;"",K199&lt;&gt;""),"POSÉ EN LIGNE",IF(H199&lt;&gt;"","BARDÉ","EN STOCK")))</f>
        <v>POSÉ EN LIGNE</v>
      </c>
      <c r="N199" s="79"/>
    </row>
    <row r="200" customFormat="false" ht="15" hidden="false" customHeight="false" outlineLevel="0" collapsed="false">
      <c r="A200" s="78" t="n">
        <f aca="false">IF(B200="","",ROW()-6)</f>
        <v>194</v>
      </c>
      <c r="B200" s="90" t="s">
        <v>537</v>
      </c>
      <c r="C200" s="91" t="n">
        <v>582404002186</v>
      </c>
      <c r="D200" s="91" t="n">
        <v>924054031</v>
      </c>
      <c r="E200" s="80" t="n">
        <v>69</v>
      </c>
      <c r="F200" s="92" t="n">
        <v>12.4</v>
      </c>
      <c r="G200" s="79" t="s">
        <v>605</v>
      </c>
      <c r="H200" s="82"/>
      <c r="I200" s="93" t="str">
        <f aca="false">IF(B200="","",IFERROR(INDEX('CARNET DE SOUDURE'!$B$7:$B$1506,MATCH(B200,'CARNET DE SOUDURE'!$K$7:$K$1506,0)),IFERROR(INDEX('CARNET DE SOUDURE'!$B$7:$B$1506,MATCH(B200,'CARNET DE SOUDURE'!$M$7:$M$1506,0)),"")))</f>
        <v>TFT 716 → TL7-MMFW2</v>
      </c>
      <c r="J200" s="78" t="str">
        <f aca="false">IF(B200="","",IFERROR(INDEX('CARNET DE SOUDURE'!$E$7:$E$1506,MATCH(B200,'CARNET DE SOUDURE'!$M$7:$M$1506,0)),""))</f>
        <v>JN°184</v>
      </c>
      <c r="K200" s="78" t="str">
        <f aca="false">IF(B200="","",IFERROR(INDEX('CARNET DE SOUDURE'!$E$7:$E$1506,MATCH(B200,'CARNET DE SOUDURE'!$K$7:$K$1506,0)),""))</f>
        <v>JN°185</v>
      </c>
      <c r="L200" s="78" t="str">
        <f aca="false">IF(B200="","",IFERROR(INDEX('CARNET DE SOUDURE'!$D$7:$D$1506,MATCH(B200,'CARNET DE SOUDURE'!$K$7:$K$1506,0)),IFERROR(INDEX('CARNET DE SOUDURE'!$D$7:$D$1506,MATCH(B200,'CARNET DE SOUDURE'!$M$7:$M$1506,0)),"")))</f>
        <v>2.00</v>
      </c>
      <c r="M200" s="81" t="str">
        <f aca="false">IF(B200="","",IF(OR(J200&lt;&gt;"",K200&lt;&gt;""),"POSÉ EN LIGNE",IF(H200&lt;&gt;"","BARDÉ","EN STOCK")))</f>
        <v>POSÉ EN LIGNE</v>
      </c>
      <c r="N200" s="79"/>
    </row>
    <row r="201" customFormat="false" ht="15" hidden="false" customHeight="false" outlineLevel="0" collapsed="false">
      <c r="A201" s="78" t="n">
        <f aca="false">IF(B201="","",ROW()-6)</f>
        <v>195</v>
      </c>
      <c r="B201" s="90" t="s">
        <v>564</v>
      </c>
      <c r="C201" s="91" t="n">
        <v>582404002186</v>
      </c>
      <c r="D201" s="91" t="n">
        <v>924054031</v>
      </c>
      <c r="E201" s="80" t="n">
        <v>70</v>
      </c>
      <c r="F201" s="92" t="n">
        <v>12.4</v>
      </c>
      <c r="G201" s="79" t="s">
        <v>605</v>
      </c>
      <c r="H201" s="82"/>
      <c r="I201" s="93" t="str">
        <f aca="false">IF(B201="","",IFERROR(INDEX('CARNET DE SOUDURE'!$B$7:$B$1506,MATCH(B201,'CARNET DE SOUDURE'!$K$7:$K$1506,0)),IFERROR(INDEX('CARNET DE SOUDURE'!$B$7:$B$1506,MATCH(B201,'CARNET DE SOUDURE'!$M$7:$M$1506,0)),"")))</f>
        <v>TFT 716 → TL7-MMFW2</v>
      </c>
      <c r="J201" s="78" t="str">
        <f aca="false">IF(B201="","",IFERROR(INDEX('CARNET DE SOUDURE'!$E$7:$E$1506,MATCH(B201,'CARNET DE SOUDURE'!$M$7:$M$1506,0)),""))</f>
        <v>JN°197</v>
      </c>
      <c r="K201" s="78" t="str">
        <f aca="false">IF(B201="","",IFERROR(INDEX('CARNET DE SOUDURE'!$E$7:$E$1506,MATCH(B201,'CARNET DE SOUDURE'!$K$7:$K$1506,0)),""))</f>
        <v>JN°198</v>
      </c>
      <c r="L201" s="78" t="str">
        <f aca="false">IF(B201="","",IFERROR(INDEX('CARNET DE SOUDURE'!$D$7:$D$1506,MATCH(B201,'CARNET DE SOUDURE'!$K$7:$K$1506,0)),IFERROR(INDEX('CARNET DE SOUDURE'!$D$7:$D$1506,MATCH(B201,'CARNET DE SOUDURE'!$M$7:$M$1506,0)),"")))</f>
        <v>2.00</v>
      </c>
      <c r="M201" s="81" t="str">
        <f aca="false">IF(B201="","",IF(OR(J201&lt;&gt;"",K201&lt;&gt;""),"POSÉ EN LIGNE",IF(H201&lt;&gt;"","BARDÉ","EN STOCK")))</f>
        <v>POSÉ EN LIGNE</v>
      </c>
      <c r="N201" s="79"/>
    </row>
    <row r="202" customFormat="false" ht="15" hidden="false" customHeight="false" outlineLevel="0" collapsed="false">
      <c r="A202" s="78" t="n">
        <f aca="false">IF(B202="","",ROW()-6)</f>
        <v>196</v>
      </c>
      <c r="B202" s="90" t="s">
        <v>625</v>
      </c>
      <c r="C202" s="91" t="n">
        <v>24803598</v>
      </c>
      <c r="D202" s="91" t="n">
        <v>924043056</v>
      </c>
      <c r="E202" s="80" t="n">
        <v>71</v>
      </c>
      <c r="F202" s="92" t="n">
        <v>12.22</v>
      </c>
      <c r="G202" s="79" t="s">
        <v>605</v>
      </c>
      <c r="H202" s="82"/>
      <c r="I202" s="93" t="str">
        <f aca="false">IF(B202="","",IFERROR(INDEX('CARNET DE SOUDURE'!$B$7:$B$1506,MATCH(B202,'CARNET DE SOUDURE'!$K$7:$K$1506,0)),IFERROR(INDEX('CARNET DE SOUDURE'!$B$7:$B$1506,MATCH(B202,'CARNET DE SOUDURE'!$M$7:$M$1506,0)),"")))</f>
        <v/>
      </c>
      <c r="J202" s="78" t="str">
        <f aca="false">IF(B202="","",IFERROR(INDEX('CARNET DE SOUDURE'!$E$7:$E$1506,MATCH(B202,'CARNET DE SOUDURE'!$M$7:$M$1506,0)),""))</f>
        <v/>
      </c>
      <c r="K202" s="78" t="str">
        <f aca="false">IF(B202="","",IFERROR(INDEX('CARNET DE SOUDURE'!$E$7:$E$1506,MATCH(B202,'CARNET DE SOUDURE'!$K$7:$K$1506,0)),""))</f>
        <v/>
      </c>
      <c r="L202" s="78" t="str">
        <f aca="false">IF(B202="","",IFERROR(INDEX('CARNET DE SOUDURE'!$D$7:$D$1506,MATCH(B202,'CARNET DE SOUDURE'!$K$7:$K$1506,0)),IFERROR(INDEX('CARNET DE SOUDURE'!$D$7:$D$1506,MATCH(B202,'CARNET DE SOUDURE'!$M$7:$M$1506,0)),"")))</f>
        <v/>
      </c>
      <c r="M202" s="81" t="str">
        <f aca="false">IF(B202="","",IF(OR(J202&lt;&gt;"",K202&lt;&gt;""),"POSÉ EN LIGNE",IF(H202&lt;&gt;"","BARDÉ","EN STOCK")))</f>
        <v>EN STOCK</v>
      </c>
      <c r="N202" s="79"/>
    </row>
    <row r="203" customFormat="false" ht="15" hidden="false" customHeight="false" outlineLevel="0" collapsed="false">
      <c r="A203" s="78" t="n">
        <f aca="false">IF(B203="","",ROW()-6)</f>
        <v>197</v>
      </c>
      <c r="B203" s="90" t="s">
        <v>626</v>
      </c>
      <c r="C203" s="91" t="n">
        <v>24803598</v>
      </c>
      <c r="D203" s="91" t="n">
        <v>924043056</v>
      </c>
      <c r="E203" s="80" t="n">
        <v>72</v>
      </c>
      <c r="F203" s="92" t="n">
        <v>12.21</v>
      </c>
      <c r="G203" s="79" t="s">
        <v>605</v>
      </c>
      <c r="H203" s="82"/>
      <c r="I203" s="93" t="str">
        <f aca="false">IF(B203="","",IFERROR(INDEX('CARNET DE SOUDURE'!$B$7:$B$1506,MATCH(B203,'CARNET DE SOUDURE'!$K$7:$K$1506,0)),IFERROR(INDEX('CARNET DE SOUDURE'!$B$7:$B$1506,MATCH(B203,'CARNET DE SOUDURE'!$M$7:$M$1506,0)),"")))</f>
        <v/>
      </c>
      <c r="J203" s="78" t="str">
        <f aca="false">IF(B203="","",IFERROR(INDEX('CARNET DE SOUDURE'!$E$7:$E$1506,MATCH(B203,'CARNET DE SOUDURE'!$M$7:$M$1506,0)),""))</f>
        <v/>
      </c>
      <c r="K203" s="78" t="str">
        <f aca="false">IF(B203="","",IFERROR(INDEX('CARNET DE SOUDURE'!$E$7:$E$1506,MATCH(B203,'CARNET DE SOUDURE'!$K$7:$K$1506,0)),""))</f>
        <v/>
      </c>
      <c r="L203" s="78" t="str">
        <f aca="false">IF(B203="","",IFERROR(INDEX('CARNET DE SOUDURE'!$D$7:$D$1506,MATCH(B203,'CARNET DE SOUDURE'!$K$7:$K$1506,0)),IFERROR(INDEX('CARNET DE SOUDURE'!$D$7:$D$1506,MATCH(B203,'CARNET DE SOUDURE'!$M$7:$M$1506,0)),"")))</f>
        <v/>
      </c>
      <c r="M203" s="81" t="str">
        <f aca="false">IF(B203="","",IF(OR(J203&lt;&gt;"",K203&lt;&gt;""),"POSÉ EN LIGNE",IF(H203&lt;&gt;"","BARDÉ","EN STOCK")))</f>
        <v>EN STOCK</v>
      </c>
      <c r="N203" s="79"/>
    </row>
    <row r="204" customFormat="false" ht="15" hidden="false" customHeight="false" outlineLevel="0" collapsed="false">
      <c r="A204" s="78" t="n">
        <f aca="false">IF(B204="","",ROW()-6)</f>
        <v>198</v>
      </c>
      <c r="B204" s="90" t="s">
        <v>560</v>
      </c>
      <c r="C204" s="91" t="n">
        <v>24803598</v>
      </c>
      <c r="D204" s="91" t="n">
        <v>924043056</v>
      </c>
      <c r="E204" s="80" t="n">
        <v>73</v>
      </c>
      <c r="F204" s="92" t="n">
        <v>12.21</v>
      </c>
      <c r="G204" s="79" t="s">
        <v>605</v>
      </c>
      <c r="H204" s="82"/>
      <c r="I204" s="93" t="str">
        <f aca="false">IF(B204="","",IFERROR(INDEX('CARNET DE SOUDURE'!$B$7:$B$1506,MATCH(B204,'CARNET DE SOUDURE'!$K$7:$K$1506,0)),IFERROR(INDEX('CARNET DE SOUDURE'!$B$7:$B$1506,MATCH(B204,'CARNET DE SOUDURE'!$M$7:$M$1506,0)),"")))</f>
        <v>TFT 716 → TL7-MMFW2</v>
      </c>
      <c r="J204" s="78" t="str">
        <f aca="false">IF(B204="","",IFERROR(INDEX('CARNET DE SOUDURE'!$E$7:$E$1506,MATCH(B204,'CARNET DE SOUDURE'!$M$7:$M$1506,0)),""))</f>
        <v>JN°195</v>
      </c>
      <c r="K204" s="78" t="str">
        <f aca="false">IF(B204="","",IFERROR(INDEX('CARNET DE SOUDURE'!$E$7:$E$1506,MATCH(B204,'CARNET DE SOUDURE'!$K$7:$K$1506,0)),""))</f>
        <v>JN°196</v>
      </c>
      <c r="L204" s="78" t="str">
        <f aca="false">IF(B204="","",IFERROR(INDEX('CARNET DE SOUDURE'!$D$7:$D$1506,MATCH(B204,'CARNET DE SOUDURE'!$K$7:$K$1506,0)),IFERROR(INDEX('CARNET DE SOUDURE'!$D$7:$D$1506,MATCH(B204,'CARNET DE SOUDURE'!$M$7:$M$1506,0)),"")))</f>
        <v>2.00</v>
      </c>
      <c r="M204" s="81" t="str">
        <f aca="false">IF(B204="","",IF(OR(J204&lt;&gt;"",K204&lt;&gt;""),"POSÉ EN LIGNE",IF(H204&lt;&gt;"","BARDÉ","EN STOCK")))</f>
        <v>POSÉ EN LIGNE</v>
      </c>
      <c r="N204" s="79"/>
    </row>
    <row r="205" customFormat="false" ht="15" hidden="false" customHeight="false" outlineLevel="0" collapsed="false">
      <c r="A205" s="78" t="n">
        <f aca="false">IF(B205="","",ROW()-6)</f>
        <v>199</v>
      </c>
      <c r="B205" s="90" t="s">
        <v>552</v>
      </c>
      <c r="C205" s="91" t="n">
        <v>24803598</v>
      </c>
      <c r="D205" s="91" t="n">
        <v>924043056</v>
      </c>
      <c r="E205" s="80" t="n">
        <v>74</v>
      </c>
      <c r="F205" s="92" t="n">
        <v>12.22</v>
      </c>
      <c r="G205" s="79" t="s">
        <v>605</v>
      </c>
      <c r="H205" s="82"/>
      <c r="I205" s="93" t="str">
        <f aca="false">IF(B205="","",IFERROR(INDEX('CARNET DE SOUDURE'!$B$7:$B$1506,MATCH(B205,'CARNET DE SOUDURE'!$K$7:$K$1506,0)),IFERROR(INDEX('CARNET DE SOUDURE'!$B$7:$B$1506,MATCH(B205,'CARNET DE SOUDURE'!$M$7:$M$1506,0)),"")))</f>
        <v>TFT 716 → TL7-MMFW2</v>
      </c>
      <c r="J205" s="78" t="str">
        <f aca="false">IF(B205="","",IFERROR(INDEX('CARNET DE SOUDURE'!$E$7:$E$1506,MATCH(B205,'CARNET DE SOUDURE'!$M$7:$M$1506,0)),""))</f>
        <v>JN°191</v>
      </c>
      <c r="K205" s="78" t="str">
        <f aca="false">IF(B205="","",IFERROR(INDEX('CARNET DE SOUDURE'!$E$7:$E$1506,MATCH(B205,'CARNET DE SOUDURE'!$K$7:$K$1506,0)),""))</f>
        <v>JN°192</v>
      </c>
      <c r="L205" s="78" t="str">
        <f aca="false">IF(B205="","",IFERROR(INDEX('CARNET DE SOUDURE'!$D$7:$D$1506,MATCH(B205,'CARNET DE SOUDURE'!$K$7:$K$1506,0)),IFERROR(INDEX('CARNET DE SOUDURE'!$D$7:$D$1506,MATCH(B205,'CARNET DE SOUDURE'!$M$7:$M$1506,0)),"")))</f>
        <v>2.00</v>
      </c>
      <c r="M205" s="81" t="str">
        <f aca="false">IF(B205="","",IF(OR(J205&lt;&gt;"",K205&lt;&gt;""),"POSÉ EN LIGNE",IF(H205&lt;&gt;"","BARDÉ","EN STOCK")))</f>
        <v>POSÉ EN LIGNE</v>
      </c>
      <c r="N205" s="79"/>
    </row>
    <row r="206" customFormat="false" ht="15" hidden="false" customHeight="false" outlineLevel="0" collapsed="false">
      <c r="A206" s="78" t="n">
        <f aca="false">IF(B206="","",ROW()-6)</f>
        <v>200</v>
      </c>
      <c r="B206" s="90" t="s">
        <v>156</v>
      </c>
      <c r="C206" s="91" t="n">
        <v>24803598</v>
      </c>
      <c r="D206" s="91" t="n">
        <v>924043056</v>
      </c>
      <c r="E206" s="80" t="n">
        <v>75</v>
      </c>
      <c r="F206" s="92" t="n">
        <v>12.22</v>
      </c>
      <c r="G206" s="79" t="s">
        <v>605</v>
      </c>
      <c r="H206" s="82"/>
      <c r="I206" s="93" t="str">
        <f aca="false">IF(B206="","",IFERROR(INDEX('CARNET DE SOUDURE'!$B$7:$B$1506,MATCH(B206,'CARNET DE SOUDURE'!$K$7:$K$1506,0)),IFERROR(INDEX('CARNET DE SOUDURE'!$B$7:$B$1506,MATCH(B206,'CARNET DE SOUDURE'!$M$7:$M$1506,0)),"")))</f>
        <v>TFT 716 → TL7-MMFW2</v>
      </c>
      <c r="J206" s="78" t="str">
        <f aca="false">IF(B206="","",IFERROR(INDEX('CARNET DE SOUDURE'!$E$7:$E$1506,MATCH(B206,'CARNET DE SOUDURE'!$M$7:$M$1506,0)),""))</f>
        <v>JN°018Racc</v>
      </c>
      <c r="K206" s="78" t="str">
        <f aca="false">IF(B206="","",IFERROR(INDEX('CARNET DE SOUDURE'!$E$7:$E$1506,MATCH(B206,'CARNET DE SOUDURE'!$K$7:$K$1506,0)),""))</f>
        <v>JN°019</v>
      </c>
      <c r="L206" s="78" t="str">
        <f aca="false">IF(B206="","",IFERROR(INDEX('CARNET DE SOUDURE'!$D$7:$D$1506,MATCH(B206,'CARNET DE SOUDURE'!$K$7:$K$1506,0)),IFERROR(INDEX('CARNET DE SOUDURE'!$D$7:$D$1506,MATCH(B206,'CARNET DE SOUDURE'!$M$7:$M$1506,0)),"")))</f>
        <v>0.00</v>
      </c>
      <c r="M206" s="81" t="str">
        <f aca="false">IF(B206="","",IF(OR(J206&lt;&gt;"",K206&lt;&gt;""),"POSÉ EN LIGNE",IF(H206&lt;&gt;"","BARDÉ","EN STOCK")))</f>
        <v>POSÉ EN LIGNE</v>
      </c>
      <c r="N206" s="79"/>
    </row>
    <row r="207" customFormat="false" ht="15" hidden="false" customHeight="false" outlineLevel="0" collapsed="false">
      <c r="A207" s="78" t="n">
        <f aca="false">IF(B207="","",ROW()-6)</f>
        <v>201</v>
      </c>
      <c r="B207" s="90" t="s">
        <v>627</v>
      </c>
      <c r="C207" s="91" t="n">
        <v>24703643</v>
      </c>
      <c r="D207" s="91" t="n">
        <v>924043071</v>
      </c>
      <c r="E207" s="80" t="n">
        <v>76</v>
      </c>
      <c r="F207" s="92" t="n">
        <v>12.2</v>
      </c>
      <c r="G207" s="79" t="s">
        <v>605</v>
      </c>
      <c r="H207" s="82"/>
      <c r="I207" s="93" t="str">
        <f aca="false">IF(B207="","",IFERROR(INDEX('CARNET DE SOUDURE'!$B$7:$B$1506,MATCH(B207,'CARNET DE SOUDURE'!$K$7:$K$1506,0)),IFERROR(INDEX('CARNET DE SOUDURE'!$B$7:$B$1506,MATCH(B207,'CARNET DE SOUDURE'!$M$7:$M$1506,0)),"")))</f>
        <v/>
      </c>
      <c r="J207" s="78" t="str">
        <f aca="false">IF(B207="","",IFERROR(INDEX('CARNET DE SOUDURE'!$E$7:$E$1506,MATCH(B207,'CARNET DE SOUDURE'!$M$7:$M$1506,0)),""))</f>
        <v/>
      </c>
      <c r="K207" s="78" t="str">
        <f aca="false">IF(B207="","",IFERROR(INDEX('CARNET DE SOUDURE'!$E$7:$E$1506,MATCH(B207,'CARNET DE SOUDURE'!$K$7:$K$1506,0)),""))</f>
        <v/>
      </c>
      <c r="L207" s="78" t="str">
        <f aca="false">IF(B207="","",IFERROR(INDEX('CARNET DE SOUDURE'!$D$7:$D$1506,MATCH(B207,'CARNET DE SOUDURE'!$K$7:$K$1506,0)),IFERROR(INDEX('CARNET DE SOUDURE'!$D$7:$D$1506,MATCH(B207,'CARNET DE SOUDURE'!$M$7:$M$1506,0)),"")))</f>
        <v/>
      </c>
      <c r="M207" s="81" t="str">
        <f aca="false">IF(B207="","",IF(OR(J207&lt;&gt;"",K207&lt;&gt;""),"POSÉ EN LIGNE",IF(H207&lt;&gt;"","BARDÉ","EN STOCK")))</f>
        <v>EN STOCK</v>
      </c>
      <c r="N207" s="79"/>
    </row>
    <row r="208" customFormat="false" ht="15" hidden="false" customHeight="false" outlineLevel="0" collapsed="false">
      <c r="A208" s="78" t="n">
        <f aca="false">IF(B208="","",ROW()-6)</f>
        <v>202</v>
      </c>
      <c r="B208" s="90" t="s">
        <v>628</v>
      </c>
      <c r="C208" s="91" t="n">
        <v>24703643</v>
      </c>
      <c r="D208" s="91" t="n">
        <v>924043071</v>
      </c>
      <c r="E208" s="80" t="n">
        <v>77</v>
      </c>
      <c r="F208" s="92" t="n">
        <v>12.21</v>
      </c>
      <c r="G208" s="79" t="s">
        <v>605</v>
      </c>
      <c r="H208" s="82"/>
      <c r="I208" s="93" t="str">
        <f aca="false">IF(B208="","",IFERROR(INDEX('CARNET DE SOUDURE'!$B$7:$B$1506,MATCH(B208,'CARNET DE SOUDURE'!$K$7:$K$1506,0)),IFERROR(INDEX('CARNET DE SOUDURE'!$B$7:$B$1506,MATCH(B208,'CARNET DE SOUDURE'!$M$7:$M$1506,0)),"")))</f>
        <v/>
      </c>
      <c r="J208" s="78" t="str">
        <f aca="false">IF(B208="","",IFERROR(INDEX('CARNET DE SOUDURE'!$E$7:$E$1506,MATCH(B208,'CARNET DE SOUDURE'!$M$7:$M$1506,0)),""))</f>
        <v/>
      </c>
      <c r="K208" s="78" t="str">
        <f aca="false">IF(B208="","",IFERROR(INDEX('CARNET DE SOUDURE'!$E$7:$E$1506,MATCH(B208,'CARNET DE SOUDURE'!$K$7:$K$1506,0)),""))</f>
        <v/>
      </c>
      <c r="L208" s="78" t="str">
        <f aca="false">IF(B208="","",IFERROR(INDEX('CARNET DE SOUDURE'!$D$7:$D$1506,MATCH(B208,'CARNET DE SOUDURE'!$K$7:$K$1506,0)),IFERROR(INDEX('CARNET DE SOUDURE'!$D$7:$D$1506,MATCH(B208,'CARNET DE SOUDURE'!$M$7:$M$1506,0)),"")))</f>
        <v/>
      </c>
      <c r="M208" s="81" t="str">
        <f aca="false">IF(B208="","",IF(OR(J208&lt;&gt;"",K208&lt;&gt;""),"POSÉ EN LIGNE",IF(H208&lt;&gt;"","BARDÉ","EN STOCK")))</f>
        <v>EN STOCK</v>
      </c>
      <c r="N208" s="79"/>
    </row>
    <row r="209" customFormat="false" ht="15" hidden="false" customHeight="false" outlineLevel="0" collapsed="false">
      <c r="A209" s="78" t="n">
        <f aca="false">IF(B209="","",ROW()-6)</f>
        <v>203</v>
      </c>
      <c r="B209" s="90" t="s">
        <v>568</v>
      </c>
      <c r="C209" s="91" t="n">
        <v>24703643</v>
      </c>
      <c r="D209" s="91" t="n">
        <v>924043071</v>
      </c>
      <c r="E209" s="80" t="n">
        <v>80</v>
      </c>
      <c r="F209" s="92" t="n">
        <v>12.21</v>
      </c>
      <c r="G209" s="79" t="s">
        <v>605</v>
      </c>
      <c r="H209" s="82"/>
      <c r="I209" s="93" t="str">
        <f aca="false">IF(B209="","",IFERROR(INDEX('CARNET DE SOUDURE'!$B$7:$B$1506,MATCH(B209,'CARNET DE SOUDURE'!$K$7:$K$1506,0)),IFERROR(INDEX('CARNET DE SOUDURE'!$B$7:$B$1506,MATCH(B209,'CARNET DE SOUDURE'!$M$7:$M$1506,0)),"")))</f>
        <v>TFT 716 → TL7-MMFW2</v>
      </c>
      <c r="J209" s="78" t="str">
        <f aca="false">IF(B209="","",IFERROR(INDEX('CARNET DE SOUDURE'!$E$7:$E$1506,MATCH(B209,'CARNET DE SOUDURE'!$M$7:$M$1506,0)),""))</f>
        <v>JN°199</v>
      </c>
      <c r="K209" s="78" t="str">
        <f aca="false">IF(B209="","",IFERROR(INDEX('CARNET DE SOUDURE'!$E$7:$E$1506,MATCH(B209,'CARNET DE SOUDURE'!$K$7:$K$1506,0)),""))</f>
        <v>JN°200</v>
      </c>
      <c r="L209" s="78" t="str">
        <f aca="false">IF(B209="","",IFERROR(INDEX('CARNET DE SOUDURE'!$D$7:$D$1506,MATCH(B209,'CARNET DE SOUDURE'!$K$7:$K$1506,0)),IFERROR(INDEX('CARNET DE SOUDURE'!$D$7:$D$1506,MATCH(B209,'CARNET DE SOUDURE'!$M$7:$M$1506,0)),"")))</f>
        <v>2.000</v>
      </c>
      <c r="M209" s="81" t="str">
        <f aca="false">IF(B209="","",IF(OR(J209&lt;&gt;"",K209&lt;&gt;""),"POSÉ EN LIGNE",IF(H209&lt;&gt;"","BARDÉ","EN STOCK")))</f>
        <v>POSÉ EN LIGNE</v>
      </c>
      <c r="N209" s="79"/>
    </row>
    <row r="210" customFormat="false" ht="15" hidden="false" customHeight="false" outlineLevel="0" collapsed="false">
      <c r="A210" s="78" t="n">
        <f aca="false">IF(B210="","",ROW()-6)</f>
        <v>204</v>
      </c>
      <c r="B210" s="90" t="s">
        <v>547</v>
      </c>
      <c r="C210" s="91" t="n">
        <v>24102484</v>
      </c>
      <c r="D210" s="91" t="n">
        <v>924054019</v>
      </c>
      <c r="E210" s="80" t="n">
        <v>81</v>
      </c>
      <c r="F210" s="92" t="n">
        <v>12.46</v>
      </c>
      <c r="G210" s="79" t="s">
        <v>605</v>
      </c>
      <c r="H210" s="82"/>
      <c r="I210" s="93" t="str">
        <f aca="false">IF(B210="","",IFERROR(INDEX('CARNET DE SOUDURE'!$B$7:$B$1506,MATCH(B210,'CARNET DE SOUDURE'!$K$7:$K$1506,0)),IFERROR(INDEX('CARNET DE SOUDURE'!$B$7:$B$1506,MATCH(B210,'CARNET DE SOUDURE'!$M$7:$M$1506,0)),"")))</f>
        <v>TFT 716 → TL7-MMFW2</v>
      </c>
      <c r="J210" s="78" t="str">
        <f aca="false">IF(B210="","",IFERROR(INDEX('CARNET DE SOUDURE'!$E$7:$E$1506,MATCH(B210,'CARNET DE SOUDURE'!$M$7:$M$1506,0)),""))</f>
        <v>JN°189</v>
      </c>
      <c r="K210" s="78" t="str">
        <f aca="false">IF(B210="","",IFERROR(INDEX('CARNET DE SOUDURE'!$E$7:$E$1506,MATCH(B210,'CARNET DE SOUDURE'!$K$7:$K$1506,0)),""))</f>
        <v>JN°190</v>
      </c>
      <c r="L210" s="78" t="str">
        <f aca="false">IF(B210="","",IFERROR(INDEX('CARNET DE SOUDURE'!$D$7:$D$1506,MATCH(B210,'CARNET DE SOUDURE'!$K$7:$K$1506,0)),IFERROR(INDEX('CARNET DE SOUDURE'!$D$7:$D$1506,MATCH(B210,'CARNET DE SOUDURE'!$M$7:$M$1506,0)),"")))</f>
        <v>2.00</v>
      </c>
      <c r="M210" s="81" t="str">
        <f aca="false">IF(B210="","",IF(OR(J210&lt;&gt;"",K210&lt;&gt;""),"POSÉ EN LIGNE",IF(H210&lt;&gt;"","BARDÉ","EN STOCK")))</f>
        <v>POSÉ EN LIGNE</v>
      </c>
      <c r="N210" s="79"/>
    </row>
    <row r="211" customFormat="false" ht="15" hidden="false" customHeight="false" outlineLevel="0" collapsed="false">
      <c r="A211" s="78" t="n">
        <f aca="false">IF(B211="","",ROW()-6)</f>
        <v>205</v>
      </c>
      <c r="B211" s="90" t="s">
        <v>539</v>
      </c>
      <c r="C211" s="91" t="n">
        <v>24102484</v>
      </c>
      <c r="D211" s="91" t="n">
        <v>924054019</v>
      </c>
      <c r="E211" s="80" t="n">
        <v>82</v>
      </c>
      <c r="F211" s="92" t="n">
        <v>12.46</v>
      </c>
      <c r="G211" s="79" t="s">
        <v>605</v>
      </c>
      <c r="H211" s="82"/>
      <c r="I211" s="93" t="str">
        <f aca="false">IF(B211="","",IFERROR(INDEX('CARNET DE SOUDURE'!$B$7:$B$1506,MATCH(B211,'CARNET DE SOUDURE'!$K$7:$K$1506,0)),IFERROR(INDEX('CARNET DE SOUDURE'!$B$7:$B$1506,MATCH(B211,'CARNET DE SOUDURE'!$M$7:$M$1506,0)),"")))</f>
        <v>TFT 716 → TL7-MMFW2</v>
      </c>
      <c r="J211" s="78" t="str">
        <f aca="false">IF(B211="","",IFERROR(INDEX('CARNET DE SOUDURE'!$E$7:$E$1506,MATCH(B211,'CARNET DE SOUDURE'!$M$7:$M$1506,0)),""))</f>
        <v>JN°185</v>
      </c>
      <c r="K211" s="78" t="str">
        <f aca="false">IF(B211="","",IFERROR(INDEX('CARNET DE SOUDURE'!$E$7:$E$1506,MATCH(B211,'CARNET DE SOUDURE'!$K$7:$K$1506,0)),""))</f>
        <v>JN°186</v>
      </c>
      <c r="L211" s="78" t="str">
        <f aca="false">IF(B211="","",IFERROR(INDEX('CARNET DE SOUDURE'!$D$7:$D$1506,MATCH(B211,'CARNET DE SOUDURE'!$K$7:$K$1506,0)),IFERROR(INDEX('CARNET DE SOUDURE'!$D$7:$D$1506,MATCH(B211,'CARNET DE SOUDURE'!$M$7:$M$1506,0)),"")))</f>
        <v>2.00</v>
      </c>
      <c r="M211" s="81" t="str">
        <f aca="false">IF(B211="","",IF(OR(J211&lt;&gt;"",K211&lt;&gt;""),"POSÉ EN LIGNE",IF(H211&lt;&gt;"","BARDÉ","EN STOCK")))</f>
        <v>POSÉ EN LIGNE</v>
      </c>
      <c r="N211" s="79"/>
    </row>
    <row r="212" customFormat="false" ht="15" hidden="false" customHeight="false" outlineLevel="0" collapsed="false">
      <c r="A212" s="78" t="n">
        <f aca="false">IF(B212="","",ROW()-6)</f>
        <v>206</v>
      </c>
      <c r="B212" s="90" t="s">
        <v>520</v>
      </c>
      <c r="C212" s="91" t="n">
        <v>24102484</v>
      </c>
      <c r="D212" s="91" t="n">
        <v>924054019</v>
      </c>
      <c r="E212" s="80" t="n">
        <v>83</v>
      </c>
      <c r="F212" s="92" t="n">
        <v>12.45</v>
      </c>
      <c r="G212" s="79" t="s">
        <v>605</v>
      </c>
      <c r="H212" s="82"/>
      <c r="I212" s="93" t="str">
        <f aca="false">IF(B212="","",IFERROR(INDEX('CARNET DE SOUDURE'!$B$7:$B$1506,MATCH(B212,'CARNET DE SOUDURE'!$K$7:$K$1506,0)),IFERROR(INDEX('CARNET DE SOUDURE'!$B$7:$B$1506,MATCH(B212,'CARNET DE SOUDURE'!$M$7:$M$1506,0)),"")))</f>
        <v>TFT 716 → TL7-MMFW2</v>
      </c>
      <c r="J212" s="78" t="str">
        <f aca="false">IF(B212="","",IFERROR(INDEX('CARNET DE SOUDURE'!$E$7:$E$1506,MATCH(B212,'CARNET DE SOUDURE'!$M$7:$M$1506,0)),""))</f>
        <v>JN°176</v>
      </c>
      <c r="K212" s="78" t="str">
        <f aca="false">IF(B212="","",IFERROR(INDEX('CARNET DE SOUDURE'!$E$7:$E$1506,MATCH(B212,'CARNET DE SOUDURE'!$K$7:$K$1506,0)),""))</f>
        <v>JN°177</v>
      </c>
      <c r="L212" s="78" t="str">
        <f aca="false">IF(B212="","",IFERROR(INDEX('CARNET DE SOUDURE'!$D$7:$D$1506,MATCH(B212,'CARNET DE SOUDURE'!$K$7:$K$1506,0)),IFERROR(INDEX('CARNET DE SOUDURE'!$D$7:$D$1506,MATCH(B212,'CARNET DE SOUDURE'!$M$7:$M$1506,0)),"")))</f>
        <v>2.00</v>
      </c>
      <c r="M212" s="81" t="str">
        <f aca="false">IF(B212="","",IF(OR(J212&lt;&gt;"",K212&lt;&gt;""),"POSÉ EN LIGNE",IF(H212&lt;&gt;"","BARDÉ","EN STOCK")))</f>
        <v>POSÉ EN LIGNE</v>
      </c>
      <c r="N212" s="79"/>
    </row>
    <row r="213" customFormat="false" ht="15" hidden="false" customHeight="false" outlineLevel="0" collapsed="false">
      <c r="A213" s="78" t="n">
        <f aca="false">IF(B213="","",ROW()-6)</f>
        <v>207</v>
      </c>
      <c r="B213" s="90" t="s">
        <v>550</v>
      </c>
      <c r="C213" s="91" t="n">
        <v>24102484</v>
      </c>
      <c r="D213" s="91" t="n">
        <v>924054019</v>
      </c>
      <c r="E213" s="80" t="n">
        <v>84</v>
      </c>
      <c r="F213" s="92" t="n">
        <v>12.46</v>
      </c>
      <c r="G213" s="79" t="s">
        <v>605</v>
      </c>
      <c r="H213" s="82"/>
      <c r="I213" s="93" t="str">
        <f aca="false">IF(B213="","",IFERROR(INDEX('CARNET DE SOUDURE'!$B$7:$B$1506,MATCH(B213,'CARNET DE SOUDURE'!$K$7:$K$1506,0)),IFERROR(INDEX('CARNET DE SOUDURE'!$B$7:$B$1506,MATCH(B213,'CARNET DE SOUDURE'!$M$7:$M$1506,0)),"")))</f>
        <v>TFT 716 → TL7-MMFW2</v>
      </c>
      <c r="J213" s="78" t="str">
        <f aca="false">IF(B213="","",IFERROR(INDEX('CARNET DE SOUDURE'!$E$7:$E$1506,MATCH(B213,'CARNET DE SOUDURE'!$M$7:$M$1506,0)),""))</f>
        <v>JN°190</v>
      </c>
      <c r="K213" s="78" t="str">
        <f aca="false">IF(B213="","",IFERROR(INDEX('CARNET DE SOUDURE'!$E$7:$E$1506,MATCH(B213,'CARNET DE SOUDURE'!$K$7:$K$1506,0)),""))</f>
        <v>JN°191</v>
      </c>
      <c r="L213" s="78" t="str">
        <f aca="false">IF(B213="","",IFERROR(INDEX('CARNET DE SOUDURE'!$D$7:$D$1506,MATCH(B213,'CARNET DE SOUDURE'!$K$7:$K$1506,0)),IFERROR(INDEX('CARNET DE SOUDURE'!$D$7:$D$1506,MATCH(B213,'CARNET DE SOUDURE'!$M$7:$M$1506,0)),"")))</f>
        <v>2.00</v>
      </c>
      <c r="M213" s="81" t="str">
        <f aca="false">IF(B213="","",IF(OR(J213&lt;&gt;"",K213&lt;&gt;""),"POSÉ EN LIGNE",IF(H213&lt;&gt;"","BARDÉ","EN STOCK")))</f>
        <v>POSÉ EN LIGNE</v>
      </c>
      <c r="N213" s="79"/>
    </row>
    <row r="214" customFormat="false" ht="15" hidden="false" customHeight="false" outlineLevel="0" collapsed="false">
      <c r="A214" s="78" t="n">
        <f aca="false">IF(B214="","",ROW()-6)</f>
        <v>208</v>
      </c>
      <c r="B214" s="90" t="s">
        <v>562</v>
      </c>
      <c r="C214" s="91" t="n">
        <v>24102484</v>
      </c>
      <c r="D214" s="91" t="n">
        <v>924054019</v>
      </c>
      <c r="E214" s="80" t="n">
        <v>85</v>
      </c>
      <c r="F214" s="92" t="n">
        <v>12.46</v>
      </c>
      <c r="G214" s="79" t="s">
        <v>605</v>
      </c>
      <c r="H214" s="82"/>
      <c r="I214" s="93" t="str">
        <f aca="false">IF(B214="","",IFERROR(INDEX('CARNET DE SOUDURE'!$B$7:$B$1506,MATCH(B214,'CARNET DE SOUDURE'!$K$7:$K$1506,0)),IFERROR(INDEX('CARNET DE SOUDURE'!$B$7:$B$1506,MATCH(B214,'CARNET DE SOUDURE'!$M$7:$M$1506,0)),"")))</f>
        <v>TFT 716 → TL7-MMFW2</v>
      </c>
      <c r="J214" s="78" t="str">
        <f aca="false">IF(B214="","",IFERROR(INDEX('CARNET DE SOUDURE'!$E$7:$E$1506,MATCH(B214,'CARNET DE SOUDURE'!$M$7:$M$1506,0)),""))</f>
        <v>JN°196</v>
      </c>
      <c r="K214" s="78" t="str">
        <f aca="false">IF(B214="","",IFERROR(INDEX('CARNET DE SOUDURE'!$E$7:$E$1506,MATCH(B214,'CARNET DE SOUDURE'!$K$7:$K$1506,0)),""))</f>
        <v>JN°197</v>
      </c>
      <c r="L214" s="78" t="str">
        <f aca="false">IF(B214="","",IFERROR(INDEX('CARNET DE SOUDURE'!$D$7:$D$1506,MATCH(B214,'CARNET DE SOUDURE'!$K$7:$K$1506,0)),IFERROR(INDEX('CARNET DE SOUDURE'!$D$7:$D$1506,MATCH(B214,'CARNET DE SOUDURE'!$M$7:$M$1506,0)),"")))</f>
        <v>2.00</v>
      </c>
      <c r="M214" s="81" t="str">
        <f aca="false">IF(B214="","",IF(OR(J214&lt;&gt;"",K214&lt;&gt;""),"POSÉ EN LIGNE",IF(H214&lt;&gt;"","BARDÉ","EN STOCK")))</f>
        <v>POSÉ EN LIGNE</v>
      </c>
      <c r="N214" s="79"/>
    </row>
    <row r="215" customFormat="false" ht="15" hidden="false" customHeight="false" outlineLevel="0" collapsed="false">
      <c r="A215" s="78" t="n">
        <f aca="false">IF(B215="","",ROW()-6)</f>
        <v>209</v>
      </c>
      <c r="B215" s="90" t="s">
        <v>566</v>
      </c>
      <c r="C215" s="91" t="n">
        <v>24102487</v>
      </c>
      <c r="D215" s="91" t="n">
        <v>924054023</v>
      </c>
      <c r="E215" s="80" t="n">
        <v>86</v>
      </c>
      <c r="F215" s="92" t="n">
        <v>12.46</v>
      </c>
      <c r="G215" s="79" t="s">
        <v>605</v>
      </c>
      <c r="H215" s="82"/>
      <c r="I215" s="93" t="str">
        <f aca="false">IF(B215="","",IFERROR(INDEX('CARNET DE SOUDURE'!$B$7:$B$1506,MATCH(B215,'CARNET DE SOUDURE'!$K$7:$K$1506,0)),IFERROR(INDEX('CARNET DE SOUDURE'!$B$7:$B$1506,MATCH(B215,'CARNET DE SOUDURE'!$M$7:$M$1506,0)),"")))</f>
        <v>TFT 716 → TL7-MMFW2</v>
      </c>
      <c r="J215" s="78" t="str">
        <f aca="false">IF(B215="","",IFERROR(INDEX('CARNET DE SOUDURE'!$E$7:$E$1506,MATCH(B215,'CARNET DE SOUDURE'!$M$7:$M$1506,0)),""))</f>
        <v>JN°198</v>
      </c>
      <c r="K215" s="78" t="str">
        <f aca="false">IF(B215="","",IFERROR(INDEX('CARNET DE SOUDURE'!$E$7:$E$1506,MATCH(B215,'CARNET DE SOUDURE'!$K$7:$K$1506,0)),""))</f>
        <v>JN°199</v>
      </c>
      <c r="L215" s="78" t="str">
        <f aca="false">IF(B215="","",IFERROR(INDEX('CARNET DE SOUDURE'!$D$7:$D$1506,MATCH(B215,'CARNET DE SOUDURE'!$K$7:$K$1506,0)),IFERROR(INDEX('CARNET DE SOUDURE'!$D$7:$D$1506,MATCH(B215,'CARNET DE SOUDURE'!$M$7:$M$1506,0)),"")))</f>
        <v>2.00</v>
      </c>
      <c r="M215" s="81" t="str">
        <f aca="false">IF(B215="","",IF(OR(J215&lt;&gt;"",K215&lt;&gt;""),"POSÉ EN LIGNE",IF(H215&lt;&gt;"","BARDÉ","EN STOCK")))</f>
        <v>POSÉ EN LIGNE</v>
      </c>
      <c r="N215" s="79"/>
    </row>
    <row r="216" customFormat="false" ht="15" hidden="false" customHeight="false" outlineLevel="0" collapsed="false">
      <c r="A216" s="78" t="n">
        <f aca="false">IF(B216="","",ROW()-6)</f>
        <v>210</v>
      </c>
      <c r="B216" s="90" t="s">
        <v>556</v>
      </c>
      <c r="C216" s="91" t="n">
        <v>24102487</v>
      </c>
      <c r="D216" s="91" t="n">
        <v>924054023</v>
      </c>
      <c r="E216" s="80" t="n">
        <v>87</v>
      </c>
      <c r="F216" s="92" t="n">
        <v>12.07</v>
      </c>
      <c r="G216" s="79" t="s">
        <v>605</v>
      </c>
      <c r="H216" s="82"/>
      <c r="I216" s="93" t="str">
        <f aca="false">IF(B216="","",IFERROR(INDEX('CARNET DE SOUDURE'!$B$7:$B$1506,MATCH(B216,'CARNET DE SOUDURE'!$K$7:$K$1506,0)),IFERROR(INDEX('CARNET DE SOUDURE'!$B$7:$B$1506,MATCH(B216,'CARNET DE SOUDURE'!$M$7:$M$1506,0)),"")))</f>
        <v>TFT 716 → TL7-MMFW2</v>
      </c>
      <c r="J216" s="78" t="str">
        <f aca="false">IF(B216="","",IFERROR(INDEX('CARNET DE SOUDURE'!$E$7:$E$1506,MATCH(B216,'CARNET DE SOUDURE'!$M$7:$M$1506,0)),""))</f>
        <v>JN°193</v>
      </c>
      <c r="K216" s="78" t="str">
        <f aca="false">IF(B216="","",IFERROR(INDEX('CARNET DE SOUDURE'!$E$7:$E$1506,MATCH(B216,'CARNET DE SOUDURE'!$K$7:$K$1506,0)),""))</f>
        <v>JN°194</v>
      </c>
      <c r="L216" s="78" t="str">
        <f aca="false">IF(B216="","",IFERROR(INDEX('CARNET DE SOUDURE'!$D$7:$D$1506,MATCH(B216,'CARNET DE SOUDURE'!$K$7:$K$1506,0)),IFERROR(INDEX('CARNET DE SOUDURE'!$D$7:$D$1506,MATCH(B216,'CARNET DE SOUDURE'!$M$7:$M$1506,0)),"")))</f>
        <v>2.00</v>
      </c>
      <c r="M216" s="81" t="str">
        <f aca="false">IF(B216="","",IF(OR(J216&lt;&gt;"",K216&lt;&gt;""),"POSÉ EN LIGNE",IF(H216&lt;&gt;"","BARDÉ","EN STOCK")))</f>
        <v>POSÉ EN LIGNE</v>
      </c>
      <c r="N216" s="79"/>
    </row>
    <row r="217" customFormat="false" ht="15" hidden="false" customHeight="false" outlineLevel="0" collapsed="false">
      <c r="A217" s="78" t="n">
        <f aca="false">IF(B217="","",ROW()-6)</f>
        <v>211</v>
      </c>
      <c r="B217" s="90" t="s">
        <v>526</v>
      </c>
      <c r="C217" s="91" t="n">
        <v>24803600</v>
      </c>
      <c r="D217" s="91" t="n">
        <v>924043076</v>
      </c>
      <c r="E217" s="80" t="n">
        <v>132</v>
      </c>
      <c r="F217" s="92" t="n">
        <v>12.21</v>
      </c>
      <c r="G217" s="79" t="s">
        <v>605</v>
      </c>
      <c r="H217" s="82"/>
      <c r="I217" s="93" t="str">
        <f aca="false">IF(B217="","",IFERROR(INDEX('CARNET DE SOUDURE'!$B$7:$B$1506,MATCH(B217,'CARNET DE SOUDURE'!$K$7:$K$1506,0)),IFERROR(INDEX('CARNET DE SOUDURE'!$B$7:$B$1506,MATCH(B217,'CARNET DE SOUDURE'!$M$7:$M$1506,0)),"")))</f>
        <v>TFT 716 → TL7-MMFW2</v>
      </c>
      <c r="J217" s="78" t="str">
        <f aca="false">IF(B217="","",IFERROR(INDEX('CARNET DE SOUDURE'!$E$7:$E$1506,MATCH(B217,'CARNET DE SOUDURE'!$M$7:$M$1506,0)),""))</f>
        <v>JN°179</v>
      </c>
      <c r="K217" s="78" t="str">
        <f aca="false">IF(B217="","",IFERROR(INDEX('CARNET DE SOUDURE'!$E$7:$E$1506,MATCH(B217,'CARNET DE SOUDURE'!$K$7:$K$1506,0)),""))</f>
        <v>JN°180</v>
      </c>
      <c r="L217" s="78" t="str">
        <f aca="false">IF(B217="","",IFERROR(INDEX('CARNET DE SOUDURE'!$D$7:$D$1506,MATCH(B217,'CARNET DE SOUDURE'!$K$7:$K$1506,0)),IFERROR(INDEX('CARNET DE SOUDURE'!$D$7:$D$1506,MATCH(B217,'CARNET DE SOUDURE'!$M$7:$M$1506,0)),"")))</f>
        <v>2.00</v>
      </c>
      <c r="M217" s="81" t="str">
        <f aca="false">IF(B217="","",IF(OR(J217&lt;&gt;"",K217&lt;&gt;""),"POSÉ EN LIGNE",IF(H217&lt;&gt;"","BARDÉ","EN STOCK")))</f>
        <v>POSÉ EN LIGNE</v>
      </c>
      <c r="N217" s="79"/>
    </row>
    <row r="218" customFormat="false" ht="15" hidden="false" customHeight="false" outlineLevel="0" collapsed="false">
      <c r="A218" s="78" t="n">
        <f aca="false">IF(B218="","",ROW()-6)</f>
        <v>212</v>
      </c>
      <c r="B218" s="90" t="s">
        <v>629</v>
      </c>
      <c r="C218" s="91" t="n">
        <v>24803600</v>
      </c>
      <c r="D218" s="91" t="n">
        <v>924043076</v>
      </c>
      <c r="E218" s="80" t="n">
        <v>133</v>
      </c>
      <c r="F218" s="92" t="n">
        <v>12.21</v>
      </c>
      <c r="G218" s="79" t="s">
        <v>605</v>
      </c>
      <c r="H218" s="82"/>
      <c r="I218" s="93" t="str">
        <f aca="false">IF(B218="","",IFERROR(INDEX('CARNET DE SOUDURE'!$B$7:$B$1506,MATCH(B218,'CARNET DE SOUDURE'!$K$7:$K$1506,0)),IFERROR(INDEX('CARNET DE SOUDURE'!$B$7:$B$1506,MATCH(B218,'CARNET DE SOUDURE'!$M$7:$M$1506,0)),"")))</f>
        <v/>
      </c>
      <c r="J218" s="78" t="str">
        <f aca="false">IF(B218="","",IFERROR(INDEX('CARNET DE SOUDURE'!$E$7:$E$1506,MATCH(B218,'CARNET DE SOUDURE'!$M$7:$M$1506,0)),""))</f>
        <v/>
      </c>
      <c r="K218" s="78" t="str">
        <f aca="false">IF(B218="","",IFERROR(INDEX('CARNET DE SOUDURE'!$E$7:$E$1506,MATCH(B218,'CARNET DE SOUDURE'!$K$7:$K$1506,0)),""))</f>
        <v/>
      </c>
      <c r="L218" s="78" t="str">
        <f aca="false">IF(B218="","",IFERROR(INDEX('CARNET DE SOUDURE'!$D$7:$D$1506,MATCH(B218,'CARNET DE SOUDURE'!$K$7:$K$1506,0)),IFERROR(INDEX('CARNET DE SOUDURE'!$D$7:$D$1506,MATCH(B218,'CARNET DE SOUDURE'!$M$7:$M$1506,0)),"")))</f>
        <v/>
      </c>
      <c r="M218" s="81" t="str">
        <f aca="false">IF(B218="","",IF(OR(J218&lt;&gt;"",K218&lt;&gt;""),"POSÉ EN LIGNE",IF(H218&lt;&gt;"","BARDÉ","EN STOCK")))</f>
        <v>EN STOCK</v>
      </c>
      <c r="N218" s="79"/>
    </row>
    <row r="219" customFormat="false" ht="15" hidden="false" customHeight="false" outlineLevel="0" collapsed="false">
      <c r="A219" s="78" t="n">
        <f aca="false">IF(B219="","",ROW()-6)</f>
        <v>213</v>
      </c>
      <c r="B219" s="90" t="s">
        <v>630</v>
      </c>
      <c r="C219" s="91" t="n">
        <v>24102307</v>
      </c>
      <c r="D219" s="91" t="n">
        <v>924044432</v>
      </c>
      <c r="E219" s="80" t="n">
        <v>137</v>
      </c>
      <c r="F219" s="92" t="n">
        <v>12.45</v>
      </c>
      <c r="G219" s="79" t="s">
        <v>605</v>
      </c>
      <c r="H219" s="82"/>
      <c r="I219" s="93" t="str">
        <f aca="false">IF(B219="","",IFERROR(INDEX('CARNET DE SOUDURE'!$B$7:$B$1506,MATCH(B219,'CARNET DE SOUDURE'!$K$7:$K$1506,0)),IFERROR(INDEX('CARNET DE SOUDURE'!$B$7:$B$1506,MATCH(B219,'CARNET DE SOUDURE'!$M$7:$M$1506,0)),"")))</f>
        <v/>
      </c>
      <c r="J219" s="78" t="str">
        <f aca="false">IF(B219="","",IFERROR(INDEX('CARNET DE SOUDURE'!$E$7:$E$1506,MATCH(B219,'CARNET DE SOUDURE'!$M$7:$M$1506,0)),""))</f>
        <v/>
      </c>
      <c r="K219" s="78" t="str">
        <f aca="false">IF(B219="","",IFERROR(INDEX('CARNET DE SOUDURE'!$E$7:$E$1506,MATCH(B219,'CARNET DE SOUDURE'!$K$7:$K$1506,0)),""))</f>
        <v/>
      </c>
      <c r="L219" s="78" t="str">
        <f aca="false">IF(B219="","",IFERROR(INDEX('CARNET DE SOUDURE'!$D$7:$D$1506,MATCH(B219,'CARNET DE SOUDURE'!$K$7:$K$1506,0)),IFERROR(INDEX('CARNET DE SOUDURE'!$D$7:$D$1506,MATCH(B219,'CARNET DE SOUDURE'!$M$7:$M$1506,0)),"")))</f>
        <v/>
      </c>
      <c r="M219" s="81" t="str">
        <f aca="false">IF(B219="","",IF(OR(J219&lt;&gt;"",K219&lt;&gt;""),"POSÉ EN LIGNE",IF(H219&lt;&gt;"","BARDÉ","EN STOCK")))</f>
        <v>EN STOCK</v>
      </c>
      <c r="N219" s="79"/>
    </row>
    <row r="220" customFormat="false" ht="15" hidden="false" customHeight="false" outlineLevel="0" collapsed="false">
      <c r="A220" s="78" t="n">
        <f aca="false">IF(B220="","",ROW()-6)</f>
        <v>214</v>
      </c>
      <c r="B220" s="90" t="s">
        <v>535</v>
      </c>
      <c r="C220" s="91" t="n">
        <v>24703636</v>
      </c>
      <c r="D220" s="91" t="n">
        <v>924043252</v>
      </c>
      <c r="E220" s="80" t="n">
        <v>160</v>
      </c>
      <c r="F220" s="92" t="n">
        <v>12.19</v>
      </c>
      <c r="G220" s="79" t="s">
        <v>605</v>
      </c>
      <c r="H220" s="82"/>
      <c r="I220" s="93" t="str">
        <f aca="false">IF(B220="","",IFERROR(INDEX('CARNET DE SOUDURE'!$B$7:$B$1506,MATCH(B220,'CARNET DE SOUDURE'!$K$7:$K$1506,0)),IFERROR(INDEX('CARNET DE SOUDURE'!$B$7:$B$1506,MATCH(B220,'CARNET DE SOUDURE'!$M$7:$M$1506,0)),"")))</f>
        <v>TFT 716 → TL7-MMFW2</v>
      </c>
      <c r="J220" s="78" t="str">
        <f aca="false">IF(B220="","",IFERROR(INDEX('CARNET DE SOUDURE'!$E$7:$E$1506,MATCH(B220,'CARNET DE SOUDURE'!$M$7:$M$1506,0)),""))</f>
        <v>JN°183</v>
      </c>
      <c r="K220" s="78" t="str">
        <f aca="false">IF(B220="","",IFERROR(INDEX('CARNET DE SOUDURE'!$E$7:$E$1506,MATCH(B220,'CARNET DE SOUDURE'!$K$7:$K$1506,0)),""))</f>
        <v>JN°184</v>
      </c>
      <c r="L220" s="78" t="str">
        <f aca="false">IF(B220="","",IFERROR(INDEX('CARNET DE SOUDURE'!$D$7:$D$1506,MATCH(B220,'CARNET DE SOUDURE'!$K$7:$K$1506,0)),IFERROR(INDEX('CARNET DE SOUDURE'!$D$7:$D$1506,MATCH(B220,'CARNET DE SOUDURE'!$M$7:$M$1506,0)),"")))</f>
        <v>2.00</v>
      </c>
      <c r="M220" s="81" t="str">
        <f aca="false">IF(B220="","",IF(OR(J220&lt;&gt;"",K220&lt;&gt;""),"POSÉ EN LIGNE",IF(H220&lt;&gt;"","BARDÉ","EN STOCK")))</f>
        <v>POSÉ EN LIGNE</v>
      </c>
      <c r="N220" s="79"/>
    </row>
    <row r="221" customFormat="false" ht="15" hidden="false" customHeight="false" outlineLevel="0" collapsed="false">
      <c r="A221" s="78" t="n">
        <f aca="false">IF(B221="","",ROW()-6)</f>
        <v>215</v>
      </c>
      <c r="B221" s="90" t="s">
        <v>558</v>
      </c>
      <c r="C221" s="91" t="n">
        <v>24803579</v>
      </c>
      <c r="D221" s="91" t="n">
        <v>924043067</v>
      </c>
      <c r="E221" s="80" t="n">
        <v>172</v>
      </c>
      <c r="F221" s="92" t="n">
        <v>12.21</v>
      </c>
      <c r="G221" s="79" t="s">
        <v>605</v>
      </c>
      <c r="H221" s="82"/>
      <c r="I221" s="93" t="str">
        <f aca="false">IF(B221="","",IFERROR(INDEX('CARNET DE SOUDURE'!$B$7:$B$1506,MATCH(B221,'CARNET DE SOUDURE'!$K$7:$K$1506,0)),IFERROR(INDEX('CARNET DE SOUDURE'!$B$7:$B$1506,MATCH(B221,'CARNET DE SOUDURE'!$M$7:$M$1506,0)),"")))</f>
        <v>TFT 716 → TL7-MMFW2</v>
      </c>
      <c r="J221" s="78" t="str">
        <f aca="false">IF(B221="","",IFERROR(INDEX('CARNET DE SOUDURE'!$E$7:$E$1506,MATCH(B221,'CARNET DE SOUDURE'!$M$7:$M$1506,0)),""))</f>
        <v>JN°194</v>
      </c>
      <c r="K221" s="78" t="str">
        <f aca="false">IF(B221="","",IFERROR(INDEX('CARNET DE SOUDURE'!$E$7:$E$1506,MATCH(B221,'CARNET DE SOUDURE'!$K$7:$K$1506,0)),""))</f>
        <v>JN°195</v>
      </c>
      <c r="L221" s="78" t="str">
        <f aca="false">IF(B221="","",IFERROR(INDEX('CARNET DE SOUDURE'!$D$7:$D$1506,MATCH(B221,'CARNET DE SOUDURE'!$K$7:$K$1506,0)),IFERROR(INDEX('CARNET DE SOUDURE'!$D$7:$D$1506,MATCH(B221,'CARNET DE SOUDURE'!$M$7:$M$1506,0)),"")))</f>
        <v>2.00</v>
      </c>
      <c r="M221" s="81" t="str">
        <f aca="false">IF(B221="","",IF(OR(J221&lt;&gt;"",K221&lt;&gt;""),"POSÉ EN LIGNE",IF(H221&lt;&gt;"","BARDÉ","EN STOCK")))</f>
        <v>POSÉ EN LIGNE</v>
      </c>
      <c r="N221" s="79"/>
    </row>
    <row r="222" customFormat="false" ht="15" hidden="false" customHeight="false" outlineLevel="0" collapsed="false">
      <c r="A222" s="78" t="str">
        <f aca="false">IF(B222="","",ROW()-6)</f>
        <v/>
      </c>
      <c r="B222" s="90"/>
      <c r="C222" s="91"/>
      <c r="D222" s="91"/>
      <c r="E222" s="80"/>
      <c r="F222" s="92"/>
      <c r="G222" s="79"/>
      <c r="H222" s="82"/>
      <c r="I222" s="93" t="str">
        <f aca="false">IF(B222="","",IFERROR(INDEX('CARNET DE SOUDURE'!$B$7:$B$1506,MATCH(B222,'CARNET DE SOUDURE'!$K$7:$K$1506,0)),IFERROR(INDEX('CARNET DE SOUDURE'!$B$7:$B$1506,MATCH(B222,'CARNET DE SOUDURE'!$M$7:$M$1506,0)),"")))</f>
        <v/>
      </c>
      <c r="J222" s="78" t="str">
        <f aca="false">IF(B222="","",IFERROR(INDEX('CARNET DE SOUDURE'!$E$7:$E$1506,MATCH(B222,'CARNET DE SOUDURE'!$M$7:$M$1506,0)),""))</f>
        <v/>
      </c>
      <c r="K222" s="78" t="str">
        <f aca="false">IF(B222="","",IFERROR(INDEX('CARNET DE SOUDURE'!$E$7:$E$1506,MATCH(B222,'CARNET DE SOUDURE'!$K$7:$K$1506,0)),""))</f>
        <v/>
      </c>
      <c r="L222" s="78" t="str">
        <f aca="false">IF(B222="","",IFERROR(INDEX('CARNET DE SOUDURE'!$D$7:$D$1506,MATCH(B222,'CARNET DE SOUDURE'!$K$7:$K$1506,0)),IFERROR(INDEX('CARNET DE SOUDURE'!$D$7:$D$1506,MATCH(B222,'CARNET DE SOUDURE'!$M$7:$M$1506,0)),"")))</f>
        <v/>
      </c>
      <c r="M222" s="81" t="str">
        <f aca="false">IF(B222="","",IF(OR(J222&lt;&gt;"",K222&lt;&gt;""),"POSÉ EN LIGNE",IF(H222&lt;&gt;"","BARDÉ","EN STOCK")))</f>
        <v/>
      </c>
      <c r="N222" s="79"/>
    </row>
    <row r="223" customFormat="false" ht="15" hidden="false" customHeight="false" outlineLevel="0" collapsed="false">
      <c r="A223" s="78" t="str">
        <f aca="false">IF(B223="","",ROW()-6)</f>
        <v/>
      </c>
      <c r="B223" s="90"/>
      <c r="C223" s="91"/>
      <c r="D223" s="91"/>
      <c r="E223" s="80"/>
      <c r="F223" s="92"/>
      <c r="G223" s="79"/>
      <c r="H223" s="82"/>
      <c r="I223" s="93" t="str">
        <f aca="false">IF(B223="","",IFERROR(INDEX('CARNET DE SOUDURE'!$B$7:$B$1506,MATCH(B223,'CARNET DE SOUDURE'!$K$7:$K$1506,0)),IFERROR(INDEX('CARNET DE SOUDURE'!$B$7:$B$1506,MATCH(B223,'CARNET DE SOUDURE'!$M$7:$M$1506,0)),"")))</f>
        <v/>
      </c>
      <c r="J223" s="78" t="str">
        <f aca="false">IF(B223="","",IFERROR(INDEX('CARNET DE SOUDURE'!$E$7:$E$1506,MATCH(B223,'CARNET DE SOUDURE'!$M$7:$M$1506,0)),""))</f>
        <v/>
      </c>
      <c r="K223" s="78" t="str">
        <f aca="false">IF(B223="","",IFERROR(INDEX('CARNET DE SOUDURE'!$E$7:$E$1506,MATCH(B223,'CARNET DE SOUDURE'!$K$7:$K$1506,0)),""))</f>
        <v/>
      </c>
      <c r="L223" s="78" t="str">
        <f aca="false">IF(B223="","",IFERROR(INDEX('CARNET DE SOUDURE'!$D$7:$D$1506,MATCH(B223,'CARNET DE SOUDURE'!$K$7:$K$1506,0)),IFERROR(INDEX('CARNET DE SOUDURE'!$D$7:$D$1506,MATCH(B223,'CARNET DE SOUDURE'!$M$7:$M$1506,0)),"")))</f>
        <v/>
      </c>
      <c r="M223" s="81" t="str">
        <f aca="false">IF(B223="","",IF(OR(J223&lt;&gt;"",K223&lt;&gt;""),"POSÉ EN LIGNE",IF(H223&lt;&gt;"","BARDÉ","EN STOCK")))</f>
        <v/>
      </c>
      <c r="N223" s="79"/>
    </row>
    <row r="224" customFormat="false" ht="15" hidden="false" customHeight="false" outlineLevel="0" collapsed="false">
      <c r="A224" s="78" t="str">
        <f aca="false">IF(B224="","",ROW()-6)</f>
        <v/>
      </c>
      <c r="B224" s="90"/>
      <c r="C224" s="91"/>
      <c r="D224" s="91"/>
      <c r="E224" s="80"/>
      <c r="F224" s="92"/>
      <c r="G224" s="79"/>
      <c r="H224" s="82"/>
      <c r="I224" s="93" t="str">
        <f aca="false">IF(B224="","",IFERROR(INDEX('CARNET DE SOUDURE'!$B$7:$B$1506,MATCH(B224,'CARNET DE SOUDURE'!$K$7:$K$1506,0)),IFERROR(INDEX('CARNET DE SOUDURE'!$B$7:$B$1506,MATCH(B224,'CARNET DE SOUDURE'!$M$7:$M$1506,0)),"")))</f>
        <v/>
      </c>
      <c r="J224" s="78" t="str">
        <f aca="false">IF(B224="","",IFERROR(INDEX('CARNET DE SOUDURE'!$E$7:$E$1506,MATCH(B224,'CARNET DE SOUDURE'!$M$7:$M$1506,0)),""))</f>
        <v/>
      </c>
      <c r="K224" s="78" t="str">
        <f aca="false">IF(B224="","",IFERROR(INDEX('CARNET DE SOUDURE'!$E$7:$E$1506,MATCH(B224,'CARNET DE SOUDURE'!$K$7:$K$1506,0)),""))</f>
        <v/>
      </c>
      <c r="L224" s="78" t="str">
        <f aca="false">IF(B224="","",IFERROR(INDEX('CARNET DE SOUDURE'!$D$7:$D$1506,MATCH(B224,'CARNET DE SOUDURE'!$K$7:$K$1506,0)),IFERROR(INDEX('CARNET DE SOUDURE'!$D$7:$D$1506,MATCH(B224,'CARNET DE SOUDURE'!$M$7:$M$1506,0)),"")))</f>
        <v/>
      </c>
      <c r="M224" s="81" t="str">
        <f aca="false">IF(B224="","",IF(OR(J224&lt;&gt;"",K224&lt;&gt;""),"POSÉ EN LIGNE",IF(H224&lt;&gt;"","BARDÉ","EN STOCK")))</f>
        <v/>
      </c>
      <c r="N224" s="79"/>
    </row>
    <row r="225" customFormat="false" ht="15" hidden="false" customHeight="false" outlineLevel="0" collapsed="false">
      <c r="A225" s="78" t="str">
        <f aca="false">IF(B225="","",ROW()-6)</f>
        <v/>
      </c>
      <c r="B225" s="90"/>
      <c r="C225" s="91"/>
      <c r="D225" s="91"/>
      <c r="E225" s="80"/>
      <c r="F225" s="92"/>
      <c r="G225" s="79"/>
      <c r="H225" s="82"/>
      <c r="I225" s="93" t="str">
        <f aca="false">IF(B225="","",IFERROR(INDEX('CARNET DE SOUDURE'!$B$7:$B$1506,MATCH(B225,'CARNET DE SOUDURE'!$K$7:$K$1506,0)),IFERROR(INDEX('CARNET DE SOUDURE'!$B$7:$B$1506,MATCH(B225,'CARNET DE SOUDURE'!$M$7:$M$1506,0)),"")))</f>
        <v/>
      </c>
      <c r="J225" s="78" t="str">
        <f aca="false">IF(B225="","",IFERROR(INDEX('CARNET DE SOUDURE'!$E$7:$E$1506,MATCH(B225,'CARNET DE SOUDURE'!$M$7:$M$1506,0)),""))</f>
        <v/>
      </c>
      <c r="K225" s="78" t="str">
        <f aca="false">IF(B225="","",IFERROR(INDEX('CARNET DE SOUDURE'!$E$7:$E$1506,MATCH(B225,'CARNET DE SOUDURE'!$K$7:$K$1506,0)),""))</f>
        <v/>
      </c>
      <c r="L225" s="78" t="str">
        <f aca="false">IF(B225="","",IFERROR(INDEX('CARNET DE SOUDURE'!$D$7:$D$1506,MATCH(B225,'CARNET DE SOUDURE'!$K$7:$K$1506,0)),IFERROR(INDEX('CARNET DE SOUDURE'!$D$7:$D$1506,MATCH(B225,'CARNET DE SOUDURE'!$M$7:$M$1506,0)),"")))</f>
        <v/>
      </c>
      <c r="M225" s="81" t="str">
        <f aca="false">IF(B225="","",IF(OR(J225&lt;&gt;"",K225&lt;&gt;""),"POSÉ EN LIGNE",IF(H225&lt;&gt;"","BARDÉ","EN STOCK")))</f>
        <v/>
      </c>
      <c r="N225" s="79"/>
    </row>
    <row r="226" customFormat="false" ht="15" hidden="false" customHeight="false" outlineLevel="0" collapsed="false">
      <c r="A226" s="78" t="str">
        <f aca="false">IF(B226="","",ROW()-6)</f>
        <v/>
      </c>
      <c r="B226" s="90"/>
      <c r="C226" s="91"/>
      <c r="D226" s="91"/>
      <c r="E226" s="80"/>
      <c r="F226" s="92"/>
      <c r="G226" s="79"/>
      <c r="H226" s="82"/>
      <c r="I226" s="93" t="str">
        <f aca="false">IF(B226="","",IFERROR(INDEX('CARNET DE SOUDURE'!$B$7:$B$1506,MATCH(B226,'CARNET DE SOUDURE'!$K$7:$K$1506,0)),IFERROR(INDEX('CARNET DE SOUDURE'!$B$7:$B$1506,MATCH(B226,'CARNET DE SOUDURE'!$M$7:$M$1506,0)),"")))</f>
        <v/>
      </c>
      <c r="J226" s="78" t="str">
        <f aca="false">IF(B226="","",IFERROR(INDEX('CARNET DE SOUDURE'!$E$7:$E$1506,MATCH(B226,'CARNET DE SOUDURE'!$M$7:$M$1506,0)),""))</f>
        <v/>
      </c>
      <c r="K226" s="78" t="str">
        <f aca="false">IF(B226="","",IFERROR(INDEX('CARNET DE SOUDURE'!$E$7:$E$1506,MATCH(B226,'CARNET DE SOUDURE'!$K$7:$K$1506,0)),""))</f>
        <v/>
      </c>
      <c r="L226" s="78" t="str">
        <f aca="false">IF(B226="","",IFERROR(INDEX('CARNET DE SOUDURE'!$D$7:$D$1506,MATCH(B226,'CARNET DE SOUDURE'!$K$7:$K$1506,0)),IFERROR(INDEX('CARNET DE SOUDURE'!$D$7:$D$1506,MATCH(B226,'CARNET DE SOUDURE'!$M$7:$M$1506,0)),"")))</f>
        <v/>
      </c>
      <c r="M226" s="81" t="str">
        <f aca="false">IF(B226="","",IF(OR(J226&lt;&gt;"",K226&lt;&gt;""),"POSÉ EN LIGNE",IF(H226&lt;&gt;"","BARDÉ","EN STOCK")))</f>
        <v/>
      </c>
      <c r="N226" s="79"/>
    </row>
    <row r="227" customFormat="false" ht="15" hidden="false" customHeight="false" outlineLevel="0" collapsed="false">
      <c r="A227" s="78" t="str">
        <f aca="false">IF(B227="","",ROW()-6)</f>
        <v/>
      </c>
      <c r="B227" s="90"/>
      <c r="C227" s="91"/>
      <c r="D227" s="91"/>
      <c r="E227" s="80"/>
      <c r="F227" s="92"/>
      <c r="G227" s="79"/>
      <c r="H227" s="82"/>
      <c r="I227" s="93" t="str">
        <f aca="false">IF(B227="","",IFERROR(INDEX('CARNET DE SOUDURE'!$B$7:$B$1506,MATCH(B227,'CARNET DE SOUDURE'!$K$7:$K$1506,0)),IFERROR(INDEX('CARNET DE SOUDURE'!$B$7:$B$1506,MATCH(B227,'CARNET DE SOUDURE'!$M$7:$M$1506,0)),"")))</f>
        <v/>
      </c>
      <c r="J227" s="78" t="str">
        <f aca="false">IF(B227="","",IFERROR(INDEX('CARNET DE SOUDURE'!$E$7:$E$1506,MATCH(B227,'CARNET DE SOUDURE'!$M$7:$M$1506,0)),""))</f>
        <v/>
      </c>
      <c r="K227" s="78" t="str">
        <f aca="false">IF(B227="","",IFERROR(INDEX('CARNET DE SOUDURE'!$E$7:$E$1506,MATCH(B227,'CARNET DE SOUDURE'!$K$7:$K$1506,0)),""))</f>
        <v/>
      </c>
      <c r="L227" s="78" t="str">
        <f aca="false">IF(B227="","",IFERROR(INDEX('CARNET DE SOUDURE'!$D$7:$D$1506,MATCH(B227,'CARNET DE SOUDURE'!$K$7:$K$1506,0)),IFERROR(INDEX('CARNET DE SOUDURE'!$D$7:$D$1506,MATCH(B227,'CARNET DE SOUDURE'!$M$7:$M$1506,0)),"")))</f>
        <v/>
      </c>
      <c r="M227" s="81" t="str">
        <f aca="false">IF(B227="","",IF(OR(J227&lt;&gt;"",K227&lt;&gt;""),"POSÉ EN LIGNE",IF(H227&lt;&gt;"","BARDÉ","EN STOCK")))</f>
        <v/>
      </c>
      <c r="N227" s="79"/>
    </row>
    <row r="228" customFormat="false" ht="15" hidden="false" customHeight="false" outlineLevel="0" collapsed="false">
      <c r="A228" s="78" t="str">
        <f aca="false">IF(B228="","",ROW()-6)</f>
        <v/>
      </c>
      <c r="B228" s="90"/>
      <c r="C228" s="91"/>
      <c r="D228" s="91"/>
      <c r="E228" s="80"/>
      <c r="F228" s="92"/>
      <c r="G228" s="79"/>
      <c r="H228" s="82"/>
      <c r="I228" s="93" t="str">
        <f aca="false">IF(B228="","",IFERROR(INDEX('CARNET DE SOUDURE'!$B$7:$B$1506,MATCH(B228,'CARNET DE SOUDURE'!$K$7:$K$1506,0)),IFERROR(INDEX('CARNET DE SOUDURE'!$B$7:$B$1506,MATCH(B228,'CARNET DE SOUDURE'!$M$7:$M$1506,0)),"")))</f>
        <v/>
      </c>
      <c r="J228" s="78" t="str">
        <f aca="false">IF(B228="","",IFERROR(INDEX('CARNET DE SOUDURE'!$E$7:$E$1506,MATCH(B228,'CARNET DE SOUDURE'!$M$7:$M$1506,0)),""))</f>
        <v/>
      </c>
      <c r="K228" s="78" t="str">
        <f aca="false">IF(B228="","",IFERROR(INDEX('CARNET DE SOUDURE'!$E$7:$E$1506,MATCH(B228,'CARNET DE SOUDURE'!$K$7:$K$1506,0)),""))</f>
        <v/>
      </c>
      <c r="L228" s="78" t="str">
        <f aca="false">IF(B228="","",IFERROR(INDEX('CARNET DE SOUDURE'!$D$7:$D$1506,MATCH(B228,'CARNET DE SOUDURE'!$K$7:$K$1506,0)),IFERROR(INDEX('CARNET DE SOUDURE'!$D$7:$D$1506,MATCH(B228,'CARNET DE SOUDURE'!$M$7:$M$1506,0)),"")))</f>
        <v/>
      </c>
      <c r="M228" s="81" t="str">
        <f aca="false">IF(B228="","",IF(OR(J228&lt;&gt;"",K228&lt;&gt;""),"POSÉ EN LIGNE",IF(H228&lt;&gt;"","BARDÉ","EN STOCK")))</f>
        <v/>
      </c>
      <c r="N228" s="79"/>
    </row>
    <row r="229" customFormat="false" ht="15" hidden="false" customHeight="false" outlineLevel="0" collapsed="false">
      <c r="A229" s="78" t="str">
        <f aca="false">IF(B229="","",ROW()-6)</f>
        <v/>
      </c>
      <c r="B229" s="90"/>
      <c r="C229" s="91"/>
      <c r="D229" s="91"/>
      <c r="E229" s="80"/>
      <c r="F229" s="92"/>
      <c r="G229" s="79"/>
      <c r="H229" s="82"/>
      <c r="I229" s="93" t="str">
        <f aca="false">IF(B229="","",IFERROR(INDEX('CARNET DE SOUDURE'!$B$7:$B$1506,MATCH(B229,'CARNET DE SOUDURE'!$K$7:$K$1506,0)),IFERROR(INDEX('CARNET DE SOUDURE'!$B$7:$B$1506,MATCH(B229,'CARNET DE SOUDURE'!$M$7:$M$1506,0)),"")))</f>
        <v/>
      </c>
      <c r="J229" s="78" t="str">
        <f aca="false">IF(B229="","",IFERROR(INDEX('CARNET DE SOUDURE'!$E$7:$E$1506,MATCH(B229,'CARNET DE SOUDURE'!$M$7:$M$1506,0)),""))</f>
        <v/>
      </c>
      <c r="K229" s="78" t="str">
        <f aca="false">IF(B229="","",IFERROR(INDEX('CARNET DE SOUDURE'!$E$7:$E$1506,MATCH(B229,'CARNET DE SOUDURE'!$K$7:$K$1506,0)),""))</f>
        <v/>
      </c>
      <c r="L229" s="78" t="str">
        <f aca="false">IF(B229="","",IFERROR(INDEX('CARNET DE SOUDURE'!$D$7:$D$1506,MATCH(B229,'CARNET DE SOUDURE'!$K$7:$K$1506,0)),IFERROR(INDEX('CARNET DE SOUDURE'!$D$7:$D$1506,MATCH(B229,'CARNET DE SOUDURE'!$M$7:$M$1506,0)),"")))</f>
        <v/>
      </c>
      <c r="M229" s="81" t="str">
        <f aca="false">IF(B229="","",IF(OR(J229&lt;&gt;"",K229&lt;&gt;""),"POSÉ EN LIGNE",IF(H229&lt;&gt;"","BARDÉ","EN STOCK")))</f>
        <v/>
      </c>
      <c r="N229" s="79"/>
    </row>
    <row r="230" customFormat="false" ht="15" hidden="false" customHeight="false" outlineLevel="0" collapsed="false">
      <c r="A230" s="78" t="str">
        <f aca="false">IF(B230="","",ROW()-6)</f>
        <v/>
      </c>
      <c r="B230" s="90"/>
      <c r="C230" s="91"/>
      <c r="D230" s="91"/>
      <c r="E230" s="80"/>
      <c r="F230" s="92"/>
      <c r="G230" s="79"/>
      <c r="H230" s="82"/>
      <c r="I230" s="93" t="str">
        <f aca="false">IF(B230="","",IFERROR(INDEX('CARNET DE SOUDURE'!$B$7:$B$1506,MATCH(B230,'CARNET DE SOUDURE'!$K$7:$K$1506,0)),IFERROR(INDEX('CARNET DE SOUDURE'!$B$7:$B$1506,MATCH(B230,'CARNET DE SOUDURE'!$M$7:$M$1506,0)),"")))</f>
        <v/>
      </c>
      <c r="J230" s="78" t="str">
        <f aca="false">IF(B230="","",IFERROR(INDEX('CARNET DE SOUDURE'!$E$7:$E$1506,MATCH(B230,'CARNET DE SOUDURE'!$M$7:$M$1506,0)),""))</f>
        <v/>
      </c>
      <c r="K230" s="78" t="str">
        <f aca="false">IF(B230="","",IFERROR(INDEX('CARNET DE SOUDURE'!$E$7:$E$1506,MATCH(B230,'CARNET DE SOUDURE'!$K$7:$K$1506,0)),""))</f>
        <v/>
      </c>
      <c r="L230" s="78" t="str">
        <f aca="false">IF(B230="","",IFERROR(INDEX('CARNET DE SOUDURE'!$D$7:$D$1506,MATCH(B230,'CARNET DE SOUDURE'!$K$7:$K$1506,0)),IFERROR(INDEX('CARNET DE SOUDURE'!$D$7:$D$1506,MATCH(B230,'CARNET DE SOUDURE'!$M$7:$M$1506,0)),"")))</f>
        <v/>
      </c>
      <c r="M230" s="81" t="str">
        <f aca="false">IF(B230="","",IF(OR(J230&lt;&gt;"",K230&lt;&gt;""),"POSÉ EN LIGNE",IF(H230&lt;&gt;"","BARDÉ","EN STOCK")))</f>
        <v/>
      </c>
      <c r="N230" s="79"/>
    </row>
    <row r="231" customFormat="false" ht="15" hidden="false" customHeight="false" outlineLevel="0" collapsed="false">
      <c r="A231" s="78" t="str">
        <f aca="false">IF(B231="","",ROW()-6)</f>
        <v/>
      </c>
      <c r="B231" s="90"/>
      <c r="C231" s="91"/>
      <c r="D231" s="91"/>
      <c r="E231" s="80"/>
      <c r="F231" s="92"/>
      <c r="G231" s="79"/>
      <c r="H231" s="82"/>
      <c r="I231" s="93" t="str">
        <f aca="false">IF(B231="","",IFERROR(INDEX('CARNET DE SOUDURE'!$B$7:$B$1506,MATCH(B231,'CARNET DE SOUDURE'!$K$7:$K$1506,0)),IFERROR(INDEX('CARNET DE SOUDURE'!$B$7:$B$1506,MATCH(B231,'CARNET DE SOUDURE'!$M$7:$M$1506,0)),"")))</f>
        <v/>
      </c>
      <c r="J231" s="78" t="str">
        <f aca="false">IF(B231="","",IFERROR(INDEX('CARNET DE SOUDURE'!$E$7:$E$1506,MATCH(B231,'CARNET DE SOUDURE'!$M$7:$M$1506,0)),""))</f>
        <v/>
      </c>
      <c r="K231" s="78" t="str">
        <f aca="false">IF(B231="","",IFERROR(INDEX('CARNET DE SOUDURE'!$E$7:$E$1506,MATCH(B231,'CARNET DE SOUDURE'!$K$7:$K$1506,0)),""))</f>
        <v/>
      </c>
      <c r="L231" s="78" t="str">
        <f aca="false">IF(B231="","",IFERROR(INDEX('CARNET DE SOUDURE'!$D$7:$D$1506,MATCH(B231,'CARNET DE SOUDURE'!$K$7:$K$1506,0)),IFERROR(INDEX('CARNET DE SOUDURE'!$D$7:$D$1506,MATCH(B231,'CARNET DE SOUDURE'!$M$7:$M$1506,0)),"")))</f>
        <v/>
      </c>
      <c r="M231" s="81" t="str">
        <f aca="false">IF(B231="","",IF(OR(J231&lt;&gt;"",K231&lt;&gt;""),"POSÉ EN LIGNE",IF(H231&lt;&gt;"","BARDÉ","EN STOCK")))</f>
        <v/>
      </c>
      <c r="N231" s="79"/>
    </row>
    <row r="232" customFormat="false" ht="15" hidden="false" customHeight="false" outlineLevel="0" collapsed="false">
      <c r="A232" s="78" t="str">
        <f aca="false">IF(B232="","",ROW()-6)</f>
        <v/>
      </c>
      <c r="B232" s="90"/>
      <c r="C232" s="91"/>
      <c r="D232" s="91"/>
      <c r="E232" s="80"/>
      <c r="F232" s="92"/>
      <c r="G232" s="79"/>
      <c r="H232" s="82"/>
      <c r="I232" s="93" t="str">
        <f aca="false">IF(B232="","",IFERROR(INDEX('CARNET DE SOUDURE'!$B$7:$B$1506,MATCH(B232,'CARNET DE SOUDURE'!$K$7:$K$1506,0)),IFERROR(INDEX('CARNET DE SOUDURE'!$B$7:$B$1506,MATCH(B232,'CARNET DE SOUDURE'!$M$7:$M$1506,0)),"")))</f>
        <v/>
      </c>
      <c r="J232" s="78" t="str">
        <f aca="false">IF(B232="","",IFERROR(INDEX('CARNET DE SOUDURE'!$E$7:$E$1506,MATCH(B232,'CARNET DE SOUDURE'!$M$7:$M$1506,0)),""))</f>
        <v/>
      </c>
      <c r="K232" s="78" t="str">
        <f aca="false">IF(B232="","",IFERROR(INDEX('CARNET DE SOUDURE'!$E$7:$E$1506,MATCH(B232,'CARNET DE SOUDURE'!$K$7:$K$1506,0)),""))</f>
        <v/>
      </c>
      <c r="L232" s="78" t="str">
        <f aca="false">IF(B232="","",IFERROR(INDEX('CARNET DE SOUDURE'!$D$7:$D$1506,MATCH(B232,'CARNET DE SOUDURE'!$K$7:$K$1506,0)),IFERROR(INDEX('CARNET DE SOUDURE'!$D$7:$D$1506,MATCH(B232,'CARNET DE SOUDURE'!$M$7:$M$1506,0)),"")))</f>
        <v/>
      </c>
      <c r="M232" s="81" t="str">
        <f aca="false">IF(B232="","",IF(OR(J232&lt;&gt;"",K232&lt;&gt;""),"POSÉ EN LIGNE",IF(H232&lt;&gt;"","BARDÉ","EN STOCK")))</f>
        <v/>
      </c>
      <c r="N232" s="79"/>
    </row>
    <row r="233" customFormat="false" ht="15" hidden="false" customHeight="false" outlineLevel="0" collapsed="false">
      <c r="A233" s="78" t="str">
        <f aca="false">IF(B233="","",ROW()-6)</f>
        <v/>
      </c>
      <c r="B233" s="90"/>
      <c r="C233" s="91"/>
      <c r="D233" s="91"/>
      <c r="E233" s="80"/>
      <c r="F233" s="92"/>
      <c r="G233" s="79"/>
      <c r="H233" s="82"/>
      <c r="I233" s="93" t="str">
        <f aca="false">IF(B233="","",IFERROR(INDEX('CARNET DE SOUDURE'!$B$7:$B$1506,MATCH(B233,'CARNET DE SOUDURE'!$K$7:$K$1506,0)),IFERROR(INDEX('CARNET DE SOUDURE'!$B$7:$B$1506,MATCH(B233,'CARNET DE SOUDURE'!$M$7:$M$1506,0)),"")))</f>
        <v/>
      </c>
      <c r="J233" s="78" t="str">
        <f aca="false">IF(B233="","",IFERROR(INDEX('CARNET DE SOUDURE'!$E$7:$E$1506,MATCH(B233,'CARNET DE SOUDURE'!$M$7:$M$1506,0)),""))</f>
        <v/>
      </c>
      <c r="K233" s="78" t="str">
        <f aca="false">IF(B233="","",IFERROR(INDEX('CARNET DE SOUDURE'!$E$7:$E$1506,MATCH(B233,'CARNET DE SOUDURE'!$K$7:$K$1506,0)),""))</f>
        <v/>
      </c>
      <c r="L233" s="78" t="str">
        <f aca="false">IF(B233="","",IFERROR(INDEX('CARNET DE SOUDURE'!$D$7:$D$1506,MATCH(B233,'CARNET DE SOUDURE'!$K$7:$K$1506,0)),IFERROR(INDEX('CARNET DE SOUDURE'!$D$7:$D$1506,MATCH(B233,'CARNET DE SOUDURE'!$M$7:$M$1506,0)),"")))</f>
        <v/>
      </c>
      <c r="M233" s="81" t="str">
        <f aca="false">IF(B233="","",IF(OR(J233&lt;&gt;"",K233&lt;&gt;""),"POSÉ EN LIGNE",IF(H233&lt;&gt;"","BARDÉ","EN STOCK")))</f>
        <v/>
      </c>
      <c r="N233" s="79"/>
    </row>
    <row r="234" customFormat="false" ht="15" hidden="false" customHeight="false" outlineLevel="0" collapsed="false">
      <c r="A234" s="78" t="str">
        <f aca="false">IF(B234="","",ROW()-6)</f>
        <v/>
      </c>
      <c r="B234" s="90"/>
      <c r="C234" s="91"/>
      <c r="D234" s="91"/>
      <c r="E234" s="80"/>
      <c r="F234" s="92"/>
      <c r="G234" s="79"/>
      <c r="H234" s="82"/>
      <c r="I234" s="93" t="str">
        <f aca="false">IF(B234="","",IFERROR(INDEX('CARNET DE SOUDURE'!$B$7:$B$1506,MATCH(B234,'CARNET DE SOUDURE'!$K$7:$K$1506,0)),IFERROR(INDEX('CARNET DE SOUDURE'!$B$7:$B$1506,MATCH(B234,'CARNET DE SOUDURE'!$M$7:$M$1506,0)),"")))</f>
        <v/>
      </c>
      <c r="J234" s="78" t="str">
        <f aca="false">IF(B234="","",IFERROR(INDEX('CARNET DE SOUDURE'!$E$7:$E$1506,MATCH(B234,'CARNET DE SOUDURE'!$M$7:$M$1506,0)),""))</f>
        <v/>
      </c>
      <c r="K234" s="78" t="str">
        <f aca="false">IF(B234="","",IFERROR(INDEX('CARNET DE SOUDURE'!$E$7:$E$1506,MATCH(B234,'CARNET DE SOUDURE'!$K$7:$K$1506,0)),""))</f>
        <v/>
      </c>
      <c r="L234" s="78" t="str">
        <f aca="false">IF(B234="","",IFERROR(INDEX('CARNET DE SOUDURE'!$D$7:$D$1506,MATCH(B234,'CARNET DE SOUDURE'!$K$7:$K$1506,0)),IFERROR(INDEX('CARNET DE SOUDURE'!$D$7:$D$1506,MATCH(B234,'CARNET DE SOUDURE'!$M$7:$M$1506,0)),"")))</f>
        <v/>
      </c>
      <c r="M234" s="81" t="str">
        <f aca="false">IF(B234="","",IF(OR(J234&lt;&gt;"",K234&lt;&gt;""),"POSÉ EN LIGNE",IF(H234&lt;&gt;"","BARDÉ","EN STOCK")))</f>
        <v/>
      </c>
      <c r="N234" s="79"/>
    </row>
    <row r="235" customFormat="false" ht="15" hidden="false" customHeight="false" outlineLevel="0" collapsed="false">
      <c r="A235" s="78" t="str">
        <f aca="false">IF(B235="","",ROW()-6)</f>
        <v/>
      </c>
      <c r="B235" s="90"/>
      <c r="C235" s="91"/>
      <c r="D235" s="91"/>
      <c r="E235" s="80"/>
      <c r="F235" s="92"/>
      <c r="G235" s="79"/>
      <c r="H235" s="82"/>
      <c r="I235" s="93" t="str">
        <f aca="false">IF(B235="","",IFERROR(INDEX('CARNET DE SOUDURE'!$B$7:$B$1506,MATCH(B235,'CARNET DE SOUDURE'!$K$7:$K$1506,0)),IFERROR(INDEX('CARNET DE SOUDURE'!$B$7:$B$1506,MATCH(B235,'CARNET DE SOUDURE'!$M$7:$M$1506,0)),"")))</f>
        <v/>
      </c>
      <c r="J235" s="78" t="str">
        <f aca="false">IF(B235="","",IFERROR(INDEX('CARNET DE SOUDURE'!$E$7:$E$1506,MATCH(B235,'CARNET DE SOUDURE'!$M$7:$M$1506,0)),""))</f>
        <v/>
      </c>
      <c r="K235" s="78" t="str">
        <f aca="false">IF(B235="","",IFERROR(INDEX('CARNET DE SOUDURE'!$E$7:$E$1506,MATCH(B235,'CARNET DE SOUDURE'!$K$7:$K$1506,0)),""))</f>
        <v/>
      </c>
      <c r="L235" s="78" t="str">
        <f aca="false">IF(B235="","",IFERROR(INDEX('CARNET DE SOUDURE'!$D$7:$D$1506,MATCH(B235,'CARNET DE SOUDURE'!$K$7:$K$1506,0)),IFERROR(INDEX('CARNET DE SOUDURE'!$D$7:$D$1506,MATCH(B235,'CARNET DE SOUDURE'!$M$7:$M$1506,0)),"")))</f>
        <v/>
      </c>
      <c r="M235" s="81" t="str">
        <f aca="false">IF(B235="","",IF(OR(J235&lt;&gt;"",K235&lt;&gt;""),"POSÉ EN LIGNE",IF(H235&lt;&gt;"","BARDÉ","EN STOCK")))</f>
        <v/>
      </c>
      <c r="N235" s="79"/>
    </row>
    <row r="236" customFormat="false" ht="15" hidden="false" customHeight="false" outlineLevel="0" collapsed="false">
      <c r="A236" s="78" t="str">
        <f aca="false">IF(B236="","",ROW()-6)</f>
        <v/>
      </c>
      <c r="B236" s="90"/>
      <c r="C236" s="91"/>
      <c r="D236" s="91"/>
      <c r="E236" s="80"/>
      <c r="F236" s="92"/>
      <c r="G236" s="79"/>
      <c r="H236" s="82"/>
      <c r="I236" s="93" t="str">
        <f aca="false">IF(B236="","",IFERROR(INDEX('CARNET DE SOUDURE'!$B$7:$B$1506,MATCH(B236,'CARNET DE SOUDURE'!$K$7:$K$1506,0)),IFERROR(INDEX('CARNET DE SOUDURE'!$B$7:$B$1506,MATCH(B236,'CARNET DE SOUDURE'!$M$7:$M$1506,0)),"")))</f>
        <v/>
      </c>
      <c r="J236" s="78" t="str">
        <f aca="false">IF(B236="","",IFERROR(INDEX('CARNET DE SOUDURE'!$E$7:$E$1506,MATCH(B236,'CARNET DE SOUDURE'!$M$7:$M$1506,0)),""))</f>
        <v/>
      </c>
      <c r="K236" s="78" t="str">
        <f aca="false">IF(B236="","",IFERROR(INDEX('CARNET DE SOUDURE'!$E$7:$E$1506,MATCH(B236,'CARNET DE SOUDURE'!$K$7:$K$1506,0)),""))</f>
        <v/>
      </c>
      <c r="L236" s="78" t="str">
        <f aca="false">IF(B236="","",IFERROR(INDEX('CARNET DE SOUDURE'!$D$7:$D$1506,MATCH(B236,'CARNET DE SOUDURE'!$K$7:$K$1506,0)),IFERROR(INDEX('CARNET DE SOUDURE'!$D$7:$D$1506,MATCH(B236,'CARNET DE SOUDURE'!$M$7:$M$1506,0)),"")))</f>
        <v/>
      </c>
      <c r="M236" s="81" t="str">
        <f aca="false">IF(B236="","",IF(OR(J236&lt;&gt;"",K236&lt;&gt;""),"POSÉ EN LIGNE",IF(H236&lt;&gt;"","BARDÉ","EN STOCK")))</f>
        <v/>
      </c>
      <c r="N236" s="79"/>
    </row>
    <row r="237" customFormat="false" ht="15" hidden="false" customHeight="false" outlineLevel="0" collapsed="false">
      <c r="A237" s="78" t="str">
        <f aca="false">IF(B237="","",ROW()-6)</f>
        <v/>
      </c>
      <c r="B237" s="90"/>
      <c r="C237" s="91"/>
      <c r="D237" s="91"/>
      <c r="E237" s="80"/>
      <c r="F237" s="92"/>
      <c r="G237" s="79"/>
      <c r="H237" s="82"/>
      <c r="I237" s="93" t="str">
        <f aca="false">IF(B237="","",IFERROR(INDEX('CARNET DE SOUDURE'!$B$7:$B$1506,MATCH(B237,'CARNET DE SOUDURE'!$K$7:$K$1506,0)),IFERROR(INDEX('CARNET DE SOUDURE'!$B$7:$B$1506,MATCH(B237,'CARNET DE SOUDURE'!$M$7:$M$1506,0)),"")))</f>
        <v/>
      </c>
      <c r="J237" s="78" t="str">
        <f aca="false">IF(B237="","",IFERROR(INDEX('CARNET DE SOUDURE'!$E$7:$E$1506,MATCH(B237,'CARNET DE SOUDURE'!$M$7:$M$1506,0)),""))</f>
        <v/>
      </c>
      <c r="K237" s="78" t="str">
        <f aca="false">IF(B237="","",IFERROR(INDEX('CARNET DE SOUDURE'!$E$7:$E$1506,MATCH(B237,'CARNET DE SOUDURE'!$K$7:$K$1506,0)),""))</f>
        <v/>
      </c>
      <c r="L237" s="78" t="str">
        <f aca="false">IF(B237="","",IFERROR(INDEX('CARNET DE SOUDURE'!$D$7:$D$1506,MATCH(B237,'CARNET DE SOUDURE'!$K$7:$K$1506,0)),IFERROR(INDEX('CARNET DE SOUDURE'!$D$7:$D$1506,MATCH(B237,'CARNET DE SOUDURE'!$M$7:$M$1506,0)),"")))</f>
        <v/>
      </c>
      <c r="M237" s="81" t="str">
        <f aca="false">IF(B237="","",IF(OR(J237&lt;&gt;"",K237&lt;&gt;""),"POSÉ EN LIGNE",IF(H237&lt;&gt;"","BARDÉ","EN STOCK")))</f>
        <v/>
      </c>
      <c r="N237" s="79"/>
    </row>
    <row r="238" customFormat="false" ht="15" hidden="false" customHeight="false" outlineLevel="0" collapsed="false">
      <c r="A238" s="78" t="str">
        <f aca="false">IF(B238="","",ROW()-6)</f>
        <v/>
      </c>
      <c r="B238" s="90"/>
      <c r="C238" s="91"/>
      <c r="D238" s="91"/>
      <c r="E238" s="80"/>
      <c r="F238" s="92"/>
      <c r="G238" s="79"/>
      <c r="H238" s="82"/>
      <c r="I238" s="93" t="str">
        <f aca="false">IF(B238="","",IFERROR(INDEX('CARNET DE SOUDURE'!$B$7:$B$1506,MATCH(B238,'CARNET DE SOUDURE'!$K$7:$K$1506,0)),IFERROR(INDEX('CARNET DE SOUDURE'!$B$7:$B$1506,MATCH(B238,'CARNET DE SOUDURE'!$M$7:$M$1506,0)),"")))</f>
        <v/>
      </c>
      <c r="J238" s="78" t="str">
        <f aca="false">IF(B238="","",IFERROR(INDEX('CARNET DE SOUDURE'!$E$7:$E$1506,MATCH(B238,'CARNET DE SOUDURE'!$M$7:$M$1506,0)),""))</f>
        <v/>
      </c>
      <c r="K238" s="78" t="str">
        <f aca="false">IF(B238="","",IFERROR(INDEX('CARNET DE SOUDURE'!$E$7:$E$1506,MATCH(B238,'CARNET DE SOUDURE'!$K$7:$K$1506,0)),""))</f>
        <v/>
      </c>
      <c r="L238" s="78" t="str">
        <f aca="false">IF(B238="","",IFERROR(INDEX('CARNET DE SOUDURE'!$D$7:$D$1506,MATCH(B238,'CARNET DE SOUDURE'!$K$7:$K$1506,0)),IFERROR(INDEX('CARNET DE SOUDURE'!$D$7:$D$1506,MATCH(B238,'CARNET DE SOUDURE'!$M$7:$M$1506,0)),"")))</f>
        <v/>
      </c>
      <c r="M238" s="81" t="str">
        <f aca="false">IF(B238="","",IF(OR(J238&lt;&gt;"",K238&lt;&gt;""),"POSÉ EN LIGNE",IF(H238&lt;&gt;"","BARDÉ","EN STOCK")))</f>
        <v/>
      </c>
      <c r="N238" s="79"/>
    </row>
    <row r="239" customFormat="false" ht="15" hidden="false" customHeight="false" outlineLevel="0" collapsed="false">
      <c r="A239" s="78" t="str">
        <f aca="false">IF(B239="","",ROW()-6)</f>
        <v/>
      </c>
      <c r="B239" s="90"/>
      <c r="C239" s="91"/>
      <c r="D239" s="91"/>
      <c r="E239" s="80"/>
      <c r="F239" s="92"/>
      <c r="G239" s="79"/>
      <c r="H239" s="82"/>
      <c r="I239" s="93" t="str">
        <f aca="false">IF(B239="","",IFERROR(INDEX('CARNET DE SOUDURE'!$B$7:$B$1506,MATCH(B239,'CARNET DE SOUDURE'!$K$7:$K$1506,0)),IFERROR(INDEX('CARNET DE SOUDURE'!$B$7:$B$1506,MATCH(B239,'CARNET DE SOUDURE'!$M$7:$M$1506,0)),"")))</f>
        <v/>
      </c>
      <c r="J239" s="78" t="str">
        <f aca="false">IF(B239="","",IFERROR(INDEX('CARNET DE SOUDURE'!$E$7:$E$1506,MATCH(B239,'CARNET DE SOUDURE'!$M$7:$M$1506,0)),""))</f>
        <v/>
      </c>
      <c r="K239" s="78" t="str">
        <f aca="false">IF(B239="","",IFERROR(INDEX('CARNET DE SOUDURE'!$E$7:$E$1506,MATCH(B239,'CARNET DE SOUDURE'!$K$7:$K$1506,0)),""))</f>
        <v/>
      </c>
      <c r="L239" s="78" t="str">
        <f aca="false">IF(B239="","",IFERROR(INDEX('CARNET DE SOUDURE'!$D$7:$D$1506,MATCH(B239,'CARNET DE SOUDURE'!$K$7:$K$1506,0)),IFERROR(INDEX('CARNET DE SOUDURE'!$D$7:$D$1506,MATCH(B239,'CARNET DE SOUDURE'!$M$7:$M$1506,0)),"")))</f>
        <v/>
      </c>
      <c r="M239" s="81" t="str">
        <f aca="false">IF(B239="","",IF(OR(J239&lt;&gt;"",K239&lt;&gt;""),"POSÉ EN LIGNE",IF(H239&lt;&gt;"","BARDÉ","EN STOCK")))</f>
        <v/>
      </c>
      <c r="N239" s="79"/>
    </row>
    <row r="240" customFormat="false" ht="15" hidden="false" customHeight="false" outlineLevel="0" collapsed="false">
      <c r="A240" s="78" t="str">
        <f aca="false">IF(B240="","",ROW()-6)</f>
        <v/>
      </c>
      <c r="B240" s="90"/>
      <c r="C240" s="91"/>
      <c r="D240" s="91"/>
      <c r="E240" s="80"/>
      <c r="F240" s="92"/>
      <c r="G240" s="79"/>
      <c r="H240" s="82"/>
      <c r="I240" s="93" t="str">
        <f aca="false">IF(B240="","",IFERROR(INDEX('CARNET DE SOUDURE'!$B$7:$B$1506,MATCH(B240,'CARNET DE SOUDURE'!$K$7:$K$1506,0)),IFERROR(INDEX('CARNET DE SOUDURE'!$B$7:$B$1506,MATCH(B240,'CARNET DE SOUDURE'!$M$7:$M$1506,0)),"")))</f>
        <v/>
      </c>
      <c r="J240" s="78" t="str">
        <f aca="false">IF(B240="","",IFERROR(INDEX('CARNET DE SOUDURE'!$E$7:$E$1506,MATCH(B240,'CARNET DE SOUDURE'!$M$7:$M$1506,0)),""))</f>
        <v/>
      </c>
      <c r="K240" s="78" t="str">
        <f aca="false">IF(B240="","",IFERROR(INDEX('CARNET DE SOUDURE'!$E$7:$E$1506,MATCH(B240,'CARNET DE SOUDURE'!$K$7:$K$1506,0)),""))</f>
        <v/>
      </c>
      <c r="L240" s="78" t="str">
        <f aca="false">IF(B240="","",IFERROR(INDEX('CARNET DE SOUDURE'!$D$7:$D$1506,MATCH(B240,'CARNET DE SOUDURE'!$K$7:$K$1506,0)),IFERROR(INDEX('CARNET DE SOUDURE'!$D$7:$D$1506,MATCH(B240,'CARNET DE SOUDURE'!$M$7:$M$1506,0)),"")))</f>
        <v/>
      </c>
      <c r="M240" s="81" t="str">
        <f aca="false">IF(B240="","",IF(OR(J240&lt;&gt;"",K240&lt;&gt;""),"POSÉ EN LIGNE",IF(H240&lt;&gt;"","BARDÉ","EN STOCK")))</f>
        <v/>
      </c>
      <c r="N240" s="79"/>
    </row>
    <row r="241" customFormat="false" ht="15" hidden="false" customHeight="false" outlineLevel="0" collapsed="false">
      <c r="A241" s="78" t="str">
        <f aca="false">IF(B241="","",ROW()-6)</f>
        <v/>
      </c>
      <c r="B241" s="90"/>
      <c r="C241" s="91"/>
      <c r="D241" s="91"/>
      <c r="E241" s="80"/>
      <c r="F241" s="92"/>
      <c r="G241" s="79"/>
      <c r="H241" s="82"/>
      <c r="I241" s="93" t="str">
        <f aca="false">IF(B241="","",IFERROR(INDEX('CARNET DE SOUDURE'!$B$7:$B$1506,MATCH(B241,'CARNET DE SOUDURE'!$K$7:$K$1506,0)),IFERROR(INDEX('CARNET DE SOUDURE'!$B$7:$B$1506,MATCH(B241,'CARNET DE SOUDURE'!$M$7:$M$1506,0)),"")))</f>
        <v/>
      </c>
      <c r="J241" s="78" t="str">
        <f aca="false">IF(B241="","",IFERROR(INDEX('CARNET DE SOUDURE'!$E$7:$E$1506,MATCH(B241,'CARNET DE SOUDURE'!$M$7:$M$1506,0)),""))</f>
        <v/>
      </c>
      <c r="K241" s="78" t="str">
        <f aca="false">IF(B241="","",IFERROR(INDEX('CARNET DE SOUDURE'!$E$7:$E$1506,MATCH(B241,'CARNET DE SOUDURE'!$K$7:$K$1506,0)),""))</f>
        <v/>
      </c>
      <c r="L241" s="78" t="str">
        <f aca="false">IF(B241="","",IFERROR(INDEX('CARNET DE SOUDURE'!$D$7:$D$1506,MATCH(B241,'CARNET DE SOUDURE'!$K$7:$K$1506,0)),IFERROR(INDEX('CARNET DE SOUDURE'!$D$7:$D$1506,MATCH(B241,'CARNET DE SOUDURE'!$M$7:$M$1506,0)),"")))</f>
        <v/>
      </c>
      <c r="M241" s="81" t="str">
        <f aca="false">IF(B241="","",IF(OR(J241&lt;&gt;"",K241&lt;&gt;""),"POSÉ EN LIGNE",IF(H241&lt;&gt;"","BARDÉ","EN STOCK")))</f>
        <v/>
      </c>
      <c r="N241" s="79"/>
    </row>
    <row r="242" customFormat="false" ht="15" hidden="false" customHeight="false" outlineLevel="0" collapsed="false">
      <c r="A242" s="78" t="str">
        <f aca="false">IF(B242="","",ROW()-6)</f>
        <v/>
      </c>
      <c r="B242" s="90"/>
      <c r="C242" s="91"/>
      <c r="D242" s="91"/>
      <c r="E242" s="80"/>
      <c r="F242" s="92"/>
      <c r="G242" s="79"/>
      <c r="H242" s="82"/>
      <c r="I242" s="93" t="str">
        <f aca="false">IF(B242="","",IFERROR(INDEX('CARNET DE SOUDURE'!$B$7:$B$1506,MATCH(B242,'CARNET DE SOUDURE'!$K$7:$K$1506,0)),IFERROR(INDEX('CARNET DE SOUDURE'!$B$7:$B$1506,MATCH(B242,'CARNET DE SOUDURE'!$M$7:$M$1506,0)),"")))</f>
        <v/>
      </c>
      <c r="J242" s="78" t="str">
        <f aca="false">IF(B242="","",IFERROR(INDEX('CARNET DE SOUDURE'!$E$7:$E$1506,MATCH(B242,'CARNET DE SOUDURE'!$M$7:$M$1506,0)),""))</f>
        <v/>
      </c>
      <c r="K242" s="78" t="str">
        <f aca="false">IF(B242="","",IFERROR(INDEX('CARNET DE SOUDURE'!$E$7:$E$1506,MATCH(B242,'CARNET DE SOUDURE'!$K$7:$K$1506,0)),""))</f>
        <v/>
      </c>
      <c r="L242" s="78" t="str">
        <f aca="false">IF(B242="","",IFERROR(INDEX('CARNET DE SOUDURE'!$D$7:$D$1506,MATCH(B242,'CARNET DE SOUDURE'!$K$7:$K$1506,0)),IFERROR(INDEX('CARNET DE SOUDURE'!$D$7:$D$1506,MATCH(B242,'CARNET DE SOUDURE'!$M$7:$M$1506,0)),"")))</f>
        <v/>
      </c>
      <c r="M242" s="81" t="str">
        <f aca="false">IF(B242="","",IF(OR(J242&lt;&gt;"",K242&lt;&gt;""),"POSÉ EN LIGNE",IF(H242&lt;&gt;"","BARDÉ","EN STOCK")))</f>
        <v/>
      </c>
      <c r="N242" s="79"/>
    </row>
    <row r="243" customFormat="false" ht="15" hidden="false" customHeight="false" outlineLevel="0" collapsed="false">
      <c r="A243" s="78" t="str">
        <f aca="false">IF(B243="","",ROW()-6)</f>
        <v/>
      </c>
      <c r="B243" s="90"/>
      <c r="C243" s="91"/>
      <c r="D243" s="91"/>
      <c r="E243" s="80"/>
      <c r="F243" s="92"/>
      <c r="G243" s="79"/>
      <c r="H243" s="82"/>
      <c r="I243" s="93" t="str">
        <f aca="false">IF(B243="","",IFERROR(INDEX('CARNET DE SOUDURE'!$B$7:$B$1506,MATCH(B243,'CARNET DE SOUDURE'!$K$7:$K$1506,0)),IFERROR(INDEX('CARNET DE SOUDURE'!$B$7:$B$1506,MATCH(B243,'CARNET DE SOUDURE'!$M$7:$M$1506,0)),"")))</f>
        <v/>
      </c>
      <c r="J243" s="78" t="str">
        <f aca="false">IF(B243="","",IFERROR(INDEX('CARNET DE SOUDURE'!$E$7:$E$1506,MATCH(B243,'CARNET DE SOUDURE'!$M$7:$M$1506,0)),""))</f>
        <v/>
      </c>
      <c r="K243" s="78" t="str">
        <f aca="false">IF(B243="","",IFERROR(INDEX('CARNET DE SOUDURE'!$E$7:$E$1506,MATCH(B243,'CARNET DE SOUDURE'!$K$7:$K$1506,0)),""))</f>
        <v/>
      </c>
      <c r="L243" s="78" t="str">
        <f aca="false">IF(B243="","",IFERROR(INDEX('CARNET DE SOUDURE'!$D$7:$D$1506,MATCH(B243,'CARNET DE SOUDURE'!$K$7:$K$1506,0)),IFERROR(INDEX('CARNET DE SOUDURE'!$D$7:$D$1506,MATCH(B243,'CARNET DE SOUDURE'!$M$7:$M$1506,0)),"")))</f>
        <v/>
      </c>
      <c r="M243" s="81" t="str">
        <f aca="false">IF(B243="","",IF(OR(J243&lt;&gt;"",K243&lt;&gt;""),"POSÉ EN LIGNE",IF(H243&lt;&gt;"","BARDÉ","EN STOCK")))</f>
        <v/>
      </c>
      <c r="N243" s="79"/>
    </row>
    <row r="244" customFormat="false" ht="15" hidden="false" customHeight="false" outlineLevel="0" collapsed="false">
      <c r="A244" s="78" t="str">
        <f aca="false">IF(B244="","",ROW()-6)</f>
        <v/>
      </c>
      <c r="B244" s="90"/>
      <c r="C244" s="91"/>
      <c r="D244" s="91"/>
      <c r="E244" s="80"/>
      <c r="F244" s="92"/>
      <c r="G244" s="79"/>
      <c r="H244" s="82"/>
      <c r="I244" s="93" t="str">
        <f aca="false">IF(B244="","",IFERROR(INDEX('CARNET DE SOUDURE'!$B$7:$B$1506,MATCH(B244,'CARNET DE SOUDURE'!$K$7:$K$1506,0)),IFERROR(INDEX('CARNET DE SOUDURE'!$B$7:$B$1506,MATCH(B244,'CARNET DE SOUDURE'!$M$7:$M$1506,0)),"")))</f>
        <v/>
      </c>
      <c r="J244" s="78" t="str">
        <f aca="false">IF(B244="","",IFERROR(INDEX('CARNET DE SOUDURE'!$E$7:$E$1506,MATCH(B244,'CARNET DE SOUDURE'!$M$7:$M$1506,0)),""))</f>
        <v/>
      </c>
      <c r="K244" s="78" t="str">
        <f aca="false">IF(B244="","",IFERROR(INDEX('CARNET DE SOUDURE'!$E$7:$E$1506,MATCH(B244,'CARNET DE SOUDURE'!$K$7:$K$1506,0)),""))</f>
        <v/>
      </c>
      <c r="L244" s="78" t="str">
        <f aca="false">IF(B244="","",IFERROR(INDEX('CARNET DE SOUDURE'!$D$7:$D$1506,MATCH(B244,'CARNET DE SOUDURE'!$K$7:$K$1506,0)),IFERROR(INDEX('CARNET DE SOUDURE'!$D$7:$D$1506,MATCH(B244,'CARNET DE SOUDURE'!$M$7:$M$1506,0)),"")))</f>
        <v/>
      </c>
      <c r="M244" s="81" t="str">
        <f aca="false">IF(B244="","",IF(OR(J244&lt;&gt;"",K244&lt;&gt;""),"POSÉ EN LIGNE",IF(H244&lt;&gt;"","BARDÉ","EN STOCK")))</f>
        <v/>
      </c>
      <c r="N244" s="79"/>
    </row>
    <row r="245" customFormat="false" ht="15" hidden="false" customHeight="false" outlineLevel="0" collapsed="false">
      <c r="A245" s="78" t="str">
        <f aca="false">IF(B245="","",ROW()-6)</f>
        <v/>
      </c>
      <c r="B245" s="90"/>
      <c r="C245" s="91"/>
      <c r="D245" s="91"/>
      <c r="E245" s="80"/>
      <c r="F245" s="92"/>
      <c r="G245" s="79"/>
      <c r="H245" s="82"/>
      <c r="I245" s="93" t="str">
        <f aca="false">IF(B245="","",IFERROR(INDEX('CARNET DE SOUDURE'!$B$7:$B$1506,MATCH(B245,'CARNET DE SOUDURE'!$K$7:$K$1506,0)),IFERROR(INDEX('CARNET DE SOUDURE'!$B$7:$B$1506,MATCH(B245,'CARNET DE SOUDURE'!$M$7:$M$1506,0)),"")))</f>
        <v/>
      </c>
      <c r="J245" s="78" t="str">
        <f aca="false">IF(B245="","",IFERROR(INDEX('CARNET DE SOUDURE'!$E$7:$E$1506,MATCH(B245,'CARNET DE SOUDURE'!$M$7:$M$1506,0)),""))</f>
        <v/>
      </c>
      <c r="K245" s="78" t="str">
        <f aca="false">IF(B245="","",IFERROR(INDEX('CARNET DE SOUDURE'!$E$7:$E$1506,MATCH(B245,'CARNET DE SOUDURE'!$K$7:$K$1506,0)),""))</f>
        <v/>
      </c>
      <c r="L245" s="78" t="str">
        <f aca="false">IF(B245="","",IFERROR(INDEX('CARNET DE SOUDURE'!$D$7:$D$1506,MATCH(B245,'CARNET DE SOUDURE'!$K$7:$K$1506,0)),IFERROR(INDEX('CARNET DE SOUDURE'!$D$7:$D$1506,MATCH(B245,'CARNET DE SOUDURE'!$M$7:$M$1506,0)),"")))</f>
        <v/>
      </c>
      <c r="M245" s="81" t="str">
        <f aca="false">IF(B245="","",IF(OR(J245&lt;&gt;"",K245&lt;&gt;""),"POSÉ EN LIGNE",IF(H245&lt;&gt;"","BARDÉ","EN STOCK")))</f>
        <v/>
      </c>
      <c r="N245" s="79"/>
    </row>
    <row r="246" customFormat="false" ht="15" hidden="false" customHeight="false" outlineLevel="0" collapsed="false">
      <c r="A246" s="78" t="str">
        <f aca="false">IF(B246="","",ROW()-6)</f>
        <v/>
      </c>
      <c r="B246" s="90"/>
      <c r="C246" s="91"/>
      <c r="D246" s="91"/>
      <c r="E246" s="80"/>
      <c r="F246" s="92"/>
      <c r="G246" s="79"/>
      <c r="H246" s="82"/>
      <c r="I246" s="93" t="str">
        <f aca="false">IF(B246="","",IFERROR(INDEX('CARNET DE SOUDURE'!$B$7:$B$1506,MATCH(B246,'CARNET DE SOUDURE'!$K$7:$K$1506,0)),IFERROR(INDEX('CARNET DE SOUDURE'!$B$7:$B$1506,MATCH(B246,'CARNET DE SOUDURE'!$M$7:$M$1506,0)),"")))</f>
        <v/>
      </c>
      <c r="J246" s="78" t="str">
        <f aca="false">IF(B246="","",IFERROR(INDEX('CARNET DE SOUDURE'!$E$7:$E$1506,MATCH(B246,'CARNET DE SOUDURE'!$M$7:$M$1506,0)),""))</f>
        <v/>
      </c>
      <c r="K246" s="78" t="str">
        <f aca="false">IF(B246="","",IFERROR(INDEX('CARNET DE SOUDURE'!$E$7:$E$1506,MATCH(B246,'CARNET DE SOUDURE'!$K$7:$K$1506,0)),""))</f>
        <v/>
      </c>
      <c r="L246" s="78" t="str">
        <f aca="false">IF(B246="","",IFERROR(INDEX('CARNET DE SOUDURE'!$D$7:$D$1506,MATCH(B246,'CARNET DE SOUDURE'!$K$7:$K$1506,0)),IFERROR(INDEX('CARNET DE SOUDURE'!$D$7:$D$1506,MATCH(B246,'CARNET DE SOUDURE'!$M$7:$M$1506,0)),"")))</f>
        <v/>
      </c>
      <c r="M246" s="81" t="str">
        <f aca="false">IF(B246="","",IF(OR(J246&lt;&gt;"",K246&lt;&gt;""),"POSÉ EN LIGNE",IF(H246&lt;&gt;"","BARDÉ","EN STOCK")))</f>
        <v/>
      </c>
      <c r="N246" s="79"/>
    </row>
    <row r="247" customFormat="false" ht="15" hidden="false" customHeight="false" outlineLevel="0" collapsed="false">
      <c r="A247" s="78" t="str">
        <f aca="false">IF(B247="","",ROW()-6)</f>
        <v/>
      </c>
      <c r="B247" s="90"/>
      <c r="C247" s="91"/>
      <c r="D247" s="91"/>
      <c r="E247" s="80"/>
      <c r="F247" s="92"/>
      <c r="G247" s="79"/>
      <c r="H247" s="82"/>
      <c r="I247" s="93" t="str">
        <f aca="false">IF(B247="","",IFERROR(INDEX('CARNET DE SOUDURE'!$B$7:$B$1506,MATCH(B247,'CARNET DE SOUDURE'!$K$7:$K$1506,0)),IFERROR(INDEX('CARNET DE SOUDURE'!$B$7:$B$1506,MATCH(B247,'CARNET DE SOUDURE'!$M$7:$M$1506,0)),"")))</f>
        <v/>
      </c>
      <c r="J247" s="78" t="str">
        <f aca="false">IF(B247="","",IFERROR(INDEX('CARNET DE SOUDURE'!$E$7:$E$1506,MATCH(B247,'CARNET DE SOUDURE'!$M$7:$M$1506,0)),""))</f>
        <v/>
      </c>
      <c r="K247" s="78" t="str">
        <f aca="false">IF(B247="","",IFERROR(INDEX('CARNET DE SOUDURE'!$E$7:$E$1506,MATCH(B247,'CARNET DE SOUDURE'!$K$7:$K$1506,0)),""))</f>
        <v/>
      </c>
      <c r="L247" s="78" t="str">
        <f aca="false">IF(B247="","",IFERROR(INDEX('CARNET DE SOUDURE'!$D$7:$D$1506,MATCH(B247,'CARNET DE SOUDURE'!$K$7:$K$1506,0)),IFERROR(INDEX('CARNET DE SOUDURE'!$D$7:$D$1506,MATCH(B247,'CARNET DE SOUDURE'!$M$7:$M$1506,0)),"")))</f>
        <v/>
      </c>
      <c r="M247" s="81" t="str">
        <f aca="false">IF(B247="","",IF(OR(J247&lt;&gt;"",K247&lt;&gt;""),"POSÉ EN LIGNE",IF(H247&lt;&gt;"","BARDÉ","EN STOCK")))</f>
        <v/>
      </c>
      <c r="N247" s="79"/>
    </row>
    <row r="248" customFormat="false" ht="15" hidden="false" customHeight="false" outlineLevel="0" collapsed="false">
      <c r="A248" s="78" t="str">
        <f aca="false">IF(B248="","",ROW()-6)</f>
        <v/>
      </c>
      <c r="B248" s="90"/>
      <c r="C248" s="91"/>
      <c r="D248" s="91"/>
      <c r="E248" s="80"/>
      <c r="F248" s="92"/>
      <c r="G248" s="79"/>
      <c r="H248" s="82"/>
      <c r="I248" s="93" t="str">
        <f aca="false">IF(B248="","",IFERROR(INDEX('CARNET DE SOUDURE'!$B$7:$B$1506,MATCH(B248,'CARNET DE SOUDURE'!$K$7:$K$1506,0)),IFERROR(INDEX('CARNET DE SOUDURE'!$B$7:$B$1506,MATCH(B248,'CARNET DE SOUDURE'!$M$7:$M$1506,0)),"")))</f>
        <v/>
      </c>
      <c r="J248" s="78" t="str">
        <f aca="false">IF(B248="","",IFERROR(INDEX('CARNET DE SOUDURE'!$E$7:$E$1506,MATCH(B248,'CARNET DE SOUDURE'!$M$7:$M$1506,0)),""))</f>
        <v/>
      </c>
      <c r="K248" s="78" t="str">
        <f aca="false">IF(B248="","",IFERROR(INDEX('CARNET DE SOUDURE'!$E$7:$E$1506,MATCH(B248,'CARNET DE SOUDURE'!$K$7:$K$1506,0)),""))</f>
        <v/>
      </c>
      <c r="L248" s="78" t="str">
        <f aca="false">IF(B248="","",IFERROR(INDEX('CARNET DE SOUDURE'!$D$7:$D$1506,MATCH(B248,'CARNET DE SOUDURE'!$K$7:$K$1506,0)),IFERROR(INDEX('CARNET DE SOUDURE'!$D$7:$D$1506,MATCH(B248,'CARNET DE SOUDURE'!$M$7:$M$1506,0)),"")))</f>
        <v/>
      </c>
      <c r="M248" s="81" t="str">
        <f aca="false">IF(B248="","",IF(OR(J248&lt;&gt;"",K248&lt;&gt;""),"POSÉ EN LIGNE",IF(H248&lt;&gt;"","BARDÉ","EN STOCK")))</f>
        <v/>
      </c>
      <c r="N248" s="79"/>
    </row>
    <row r="249" customFormat="false" ht="15" hidden="false" customHeight="false" outlineLevel="0" collapsed="false">
      <c r="A249" s="78" t="str">
        <f aca="false">IF(B249="","",ROW()-6)</f>
        <v/>
      </c>
      <c r="B249" s="90"/>
      <c r="C249" s="91"/>
      <c r="D249" s="91"/>
      <c r="E249" s="80"/>
      <c r="F249" s="92"/>
      <c r="G249" s="79"/>
      <c r="H249" s="82"/>
      <c r="I249" s="93" t="str">
        <f aca="false">IF(B249="","",IFERROR(INDEX('CARNET DE SOUDURE'!$B$7:$B$1506,MATCH(B249,'CARNET DE SOUDURE'!$K$7:$K$1506,0)),IFERROR(INDEX('CARNET DE SOUDURE'!$B$7:$B$1506,MATCH(B249,'CARNET DE SOUDURE'!$M$7:$M$1506,0)),"")))</f>
        <v/>
      </c>
      <c r="J249" s="78" t="str">
        <f aca="false">IF(B249="","",IFERROR(INDEX('CARNET DE SOUDURE'!$E$7:$E$1506,MATCH(B249,'CARNET DE SOUDURE'!$M$7:$M$1506,0)),""))</f>
        <v/>
      </c>
      <c r="K249" s="78" t="str">
        <f aca="false">IF(B249="","",IFERROR(INDEX('CARNET DE SOUDURE'!$E$7:$E$1506,MATCH(B249,'CARNET DE SOUDURE'!$K$7:$K$1506,0)),""))</f>
        <v/>
      </c>
      <c r="L249" s="78" t="str">
        <f aca="false">IF(B249="","",IFERROR(INDEX('CARNET DE SOUDURE'!$D$7:$D$1506,MATCH(B249,'CARNET DE SOUDURE'!$K$7:$K$1506,0)),IFERROR(INDEX('CARNET DE SOUDURE'!$D$7:$D$1506,MATCH(B249,'CARNET DE SOUDURE'!$M$7:$M$1506,0)),"")))</f>
        <v/>
      </c>
      <c r="M249" s="81" t="str">
        <f aca="false">IF(B249="","",IF(OR(J249&lt;&gt;"",K249&lt;&gt;""),"POSÉ EN LIGNE",IF(H249&lt;&gt;"","BARDÉ","EN STOCK")))</f>
        <v/>
      </c>
      <c r="N249" s="79"/>
    </row>
    <row r="250" customFormat="false" ht="15" hidden="false" customHeight="false" outlineLevel="0" collapsed="false">
      <c r="A250" s="78" t="str">
        <f aca="false">IF(B250="","",ROW()-6)</f>
        <v/>
      </c>
      <c r="B250" s="90"/>
      <c r="C250" s="91"/>
      <c r="D250" s="91"/>
      <c r="E250" s="80"/>
      <c r="F250" s="92"/>
      <c r="G250" s="79"/>
      <c r="H250" s="82"/>
      <c r="I250" s="93" t="str">
        <f aca="false">IF(B250="","",IFERROR(INDEX('CARNET DE SOUDURE'!$B$7:$B$1506,MATCH(B250,'CARNET DE SOUDURE'!$K$7:$K$1506,0)),IFERROR(INDEX('CARNET DE SOUDURE'!$B$7:$B$1506,MATCH(B250,'CARNET DE SOUDURE'!$M$7:$M$1506,0)),"")))</f>
        <v/>
      </c>
      <c r="J250" s="78" t="str">
        <f aca="false">IF(B250="","",IFERROR(INDEX('CARNET DE SOUDURE'!$E$7:$E$1506,MATCH(B250,'CARNET DE SOUDURE'!$M$7:$M$1506,0)),""))</f>
        <v/>
      </c>
      <c r="K250" s="78" t="str">
        <f aca="false">IF(B250="","",IFERROR(INDEX('CARNET DE SOUDURE'!$E$7:$E$1506,MATCH(B250,'CARNET DE SOUDURE'!$K$7:$K$1506,0)),""))</f>
        <v/>
      </c>
      <c r="L250" s="78" t="str">
        <f aca="false">IF(B250="","",IFERROR(INDEX('CARNET DE SOUDURE'!$D$7:$D$1506,MATCH(B250,'CARNET DE SOUDURE'!$K$7:$K$1506,0)),IFERROR(INDEX('CARNET DE SOUDURE'!$D$7:$D$1506,MATCH(B250,'CARNET DE SOUDURE'!$M$7:$M$1506,0)),"")))</f>
        <v/>
      </c>
      <c r="M250" s="81" t="str">
        <f aca="false">IF(B250="","",IF(OR(J250&lt;&gt;"",K250&lt;&gt;""),"POSÉ EN LIGNE",IF(H250&lt;&gt;"","BARDÉ","EN STOCK")))</f>
        <v/>
      </c>
      <c r="N250" s="79"/>
    </row>
    <row r="251" customFormat="false" ht="15" hidden="false" customHeight="false" outlineLevel="0" collapsed="false">
      <c r="A251" s="78" t="str">
        <f aca="false">IF(B251="","",ROW()-6)</f>
        <v/>
      </c>
      <c r="B251" s="90"/>
      <c r="C251" s="91"/>
      <c r="D251" s="91"/>
      <c r="E251" s="80"/>
      <c r="F251" s="92"/>
      <c r="G251" s="79"/>
      <c r="H251" s="82"/>
      <c r="I251" s="93" t="str">
        <f aca="false">IF(B251="","",IFERROR(INDEX('CARNET DE SOUDURE'!$B$7:$B$1506,MATCH(B251,'CARNET DE SOUDURE'!$K$7:$K$1506,0)),IFERROR(INDEX('CARNET DE SOUDURE'!$B$7:$B$1506,MATCH(B251,'CARNET DE SOUDURE'!$M$7:$M$1506,0)),"")))</f>
        <v/>
      </c>
      <c r="J251" s="78" t="str">
        <f aca="false">IF(B251="","",IFERROR(INDEX('CARNET DE SOUDURE'!$E$7:$E$1506,MATCH(B251,'CARNET DE SOUDURE'!$M$7:$M$1506,0)),""))</f>
        <v/>
      </c>
      <c r="K251" s="78" t="str">
        <f aca="false">IF(B251="","",IFERROR(INDEX('CARNET DE SOUDURE'!$E$7:$E$1506,MATCH(B251,'CARNET DE SOUDURE'!$K$7:$K$1506,0)),""))</f>
        <v/>
      </c>
      <c r="L251" s="78" t="str">
        <f aca="false">IF(B251="","",IFERROR(INDEX('CARNET DE SOUDURE'!$D$7:$D$1506,MATCH(B251,'CARNET DE SOUDURE'!$K$7:$K$1506,0)),IFERROR(INDEX('CARNET DE SOUDURE'!$D$7:$D$1506,MATCH(B251,'CARNET DE SOUDURE'!$M$7:$M$1506,0)),"")))</f>
        <v/>
      </c>
      <c r="M251" s="81" t="str">
        <f aca="false">IF(B251="","",IF(OR(J251&lt;&gt;"",K251&lt;&gt;""),"POSÉ EN LIGNE",IF(H251&lt;&gt;"","BARDÉ","EN STOCK")))</f>
        <v/>
      </c>
      <c r="N251" s="79"/>
    </row>
    <row r="252" customFormat="false" ht="15" hidden="false" customHeight="false" outlineLevel="0" collapsed="false">
      <c r="A252" s="78" t="str">
        <f aca="false">IF(B252="","",ROW()-6)</f>
        <v/>
      </c>
      <c r="B252" s="90"/>
      <c r="C252" s="91"/>
      <c r="D252" s="91"/>
      <c r="E252" s="80"/>
      <c r="F252" s="92"/>
      <c r="G252" s="79"/>
      <c r="H252" s="82"/>
      <c r="I252" s="93" t="str">
        <f aca="false">IF(B252="","",IFERROR(INDEX('CARNET DE SOUDURE'!$B$7:$B$1506,MATCH(B252,'CARNET DE SOUDURE'!$K$7:$K$1506,0)),IFERROR(INDEX('CARNET DE SOUDURE'!$B$7:$B$1506,MATCH(B252,'CARNET DE SOUDURE'!$M$7:$M$1506,0)),"")))</f>
        <v/>
      </c>
      <c r="J252" s="78" t="str">
        <f aca="false">IF(B252="","",IFERROR(INDEX('CARNET DE SOUDURE'!$E$7:$E$1506,MATCH(B252,'CARNET DE SOUDURE'!$M$7:$M$1506,0)),""))</f>
        <v/>
      </c>
      <c r="K252" s="78" t="str">
        <f aca="false">IF(B252="","",IFERROR(INDEX('CARNET DE SOUDURE'!$E$7:$E$1506,MATCH(B252,'CARNET DE SOUDURE'!$K$7:$K$1506,0)),""))</f>
        <v/>
      </c>
      <c r="L252" s="78" t="str">
        <f aca="false">IF(B252="","",IFERROR(INDEX('CARNET DE SOUDURE'!$D$7:$D$1506,MATCH(B252,'CARNET DE SOUDURE'!$K$7:$K$1506,0)),IFERROR(INDEX('CARNET DE SOUDURE'!$D$7:$D$1506,MATCH(B252,'CARNET DE SOUDURE'!$M$7:$M$1506,0)),"")))</f>
        <v/>
      </c>
      <c r="M252" s="81" t="str">
        <f aca="false">IF(B252="","",IF(OR(J252&lt;&gt;"",K252&lt;&gt;""),"POSÉ EN LIGNE",IF(H252&lt;&gt;"","BARDÉ","EN STOCK")))</f>
        <v/>
      </c>
      <c r="N252" s="79"/>
    </row>
    <row r="253" customFormat="false" ht="15" hidden="false" customHeight="false" outlineLevel="0" collapsed="false">
      <c r="A253" s="78" t="str">
        <f aca="false">IF(B253="","",ROW()-6)</f>
        <v/>
      </c>
      <c r="B253" s="90"/>
      <c r="C253" s="91"/>
      <c r="D253" s="91"/>
      <c r="E253" s="80"/>
      <c r="F253" s="92"/>
      <c r="G253" s="79"/>
      <c r="H253" s="82"/>
      <c r="I253" s="93" t="str">
        <f aca="false">IF(B253="","",IFERROR(INDEX('CARNET DE SOUDURE'!$B$7:$B$1506,MATCH(B253,'CARNET DE SOUDURE'!$K$7:$K$1506,0)),IFERROR(INDEX('CARNET DE SOUDURE'!$B$7:$B$1506,MATCH(B253,'CARNET DE SOUDURE'!$M$7:$M$1506,0)),"")))</f>
        <v/>
      </c>
      <c r="J253" s="78" t="str">
        <f aca="false">IF(B253="","",IFERROR(INDEX('CARNET DE SOUDURE'!$E$7:$E$1506,MATCH(B253,'CARNET DE SOUDURE'!$M$7:$M$1506,0)),""))</f>
        <v/>
      </c>
      <c r="K253" s="78" t="str">
        <f aca="false">IF(B253="","",IFERROR(INDEX('CARNET DE SOUDURE'!$E$7:$E$1506,MATCH(B253,'CARNET DE SOUDURE'!$K$7:$K$1506,0)),""))</f>
        <v/>
      </c>
      <c r="L253" s="78" t="str">
        <f aca="false">IF(B253="","",IFERROR(INDEX('CARNET DE SOUDURE'!$D$7:$D$1506,MATCH(B253,'CARNET DE SOUDURE'!$K$7:$K$1506,0)),IFERROR(INDEX('CARNET DE SOUDURE'!$D$7:$D$1506,MATCH(B253,'CARNET DE SOUDURE'!$M$7:$M$1506,0)),"")))</f>
        <v/>
      </c>
      <c r="M253" s="81" t="str">
        <f aca="false">IF(B253="","",IF(OR(J253&lt;&gt;"",K253&lt;&gt;""),"POSÉ EN LIGNE",IF(H253&lt;&gt;"","BARDÉ","EN STOCK")))</f>
        <v/>
      </c>
      <c r="N253" s="79"/>
    </row>
    <row r="254" customFormat="false" ht="15" hidden="false" customHeight="false" outlineLevel="0" collapsed="false">
      <c r="A254" s="78" t="str">
        <f aca="false">IF(B254="","",ROW()-6)</f>
        <v/>
      </c>
      <c r="B254" s="90"/>
      <c r="C254" s="91"/>
      <c r="D254" s="91"/>
      <c r="E254" s="80"/>
      <c r="F254" s="92"/>
      <c r="G254" s="79"/>
      <c r="H254" s="82"/>
      <c r="I254" s="93" t="str">
        <f aca="false">IF(B254="","",IFERROR(INDEX('CARNET DE SOUDURE'!$B$7:$B$1506,MATCH(B254,'CARNET DE SOUDURE'!$K$7:$K$1506,0)),IFERROR(INDEX('CARNET DE SOUDURE'!$B$7:$B$1506,MATCH(B254,'CARNET DE SOUDURE'!$M$7:$M$1506,0)),"")))</f>
        <v/>
      </c>
      <c r="J254" s="78" t="str">
        <f aca="false">IF(B254="","",IFERROR(INDEX('CARNET DE SOUDURE'!$E$7:$E$1506,MATCH(B254,'CARNET DE SOUDURE'!$M$7:$M$1506,0)),""))</f>
        <v/>
      </c>
      <c r="K254" s="78" t="str">
        <f aca="false">IF(B254="","",IFERROR(INDEX('CARNET DE SOUDURE'!$E$7:$E$1506,MATCH(B254,'CARNET DE SOUDURE'!$K$7:$K$1506,0)),""))</f>
        <v/>
      </c>
      <c r="L254" s="78" t="str">
        <f aca="false">IF(B254="","",IFERROR(INDEX('CARNET DE SOUDURE'!$D$7:$D$1506,MATCH(B254,'CARNET DE SOUDURE'!$K$7:$K$1506,0)),IFERROR(INDEX('CARNET DE SOUDURE'!$D$7:$D$1506,MATCH(B254,'CARNET DE SOUDURE'!$M$7:$M$1506,0)),"")))</f>
        <v/>
      </c>
      <c r="M254" s="81" t="str">
        <f aca="false">IF(B254="","",IF(OR(J254&lt;&gt;"",K254&lt;&gt;""),"POSÉ EN LIGNE",IF(H254&lt;&gt;"","BARDÉ","EN STOCK")))</f>
        <v/>
      </c>
      <c r="N254" s="79"/>
    </row>
    <row r="255" customFormat="false" ht="15" hidden="false" customHeight="false" outlineLevel="0" collapsed="false">
      <c r="A255" s="78" t="str">
        <f aca="false">IF(B255="","",ROW()-6)</f>
        <v/>
      </c>
      <c r="B255" s="90"/>
      <c r="C255" s="91"/>
      <c r="D255" s="91"/>
      <c r="E255" s="80"/>
      <c r="F255" s="92"/>
      <c r="G255" s="79"/>
      <c r="H255" s="82"/>
      <c r="I255" s="93" t="str">
        <f aca="false">IF(B255="","",IFERROR(INDEX('CARNET DE SOUDURE'!$B$7:$B$1506,MATCH(B255,'CARNET DE SOUDURE'!$K$7:$K$1506,0)),IFERROR(INDEX('CARNET DE SOUDURE'!$B$7:$B$1506,MATCH(B255,'CARNET DE SOUDURE'!$M$7:$M$1506,0)),"")))</f>
        <v/>
      </c>
      <c r="J255" s="78" t="str">
        <f aca="false">IF(B255="","",IFERROR(INDEX('CARNET DE SOUDURE'!$E$7:$E$1506,MATCH(B255,'CARNET DE SOUDURE'!$M$7:$M$1506,0)),""))</f>
        <v/>
      </c>
      <c r="K255" s="78" t="str">
        <f aca="false">IF(B255="","",IFERROR(INDEX('CARNET DE SOUDURE'!$E$7:$E$1506,MATCH(B255,'CARNET DE SOUDURE'!$K$7:$K$1506,0)),""))</f>
        <v/>
      </c>
      <c r="L255" s="78" t="str">
        <f aca="false">IF(B255="","",IFERROR(INDEX('CARNET DE SOUDURE'!$D$7:$D$1506,MATCH(B255,'CARNET DE SOUDURE'!$K$7:$K$1506,0)),IFERROR(INDEX('CARNET DE SOUDURE'!$D$7:$D$1506,MATCH(B255,'CARNET DE SOUDURE'!$M$7:$M$1506,0)),"")))</f>
        <v/>
      </c>
      <c r="M255" s="81" t="str">
        <f aca="false">IF(B255="","",IF(OR(J255&lt;&gt;"",K255&lt;&gt;""),"POSÉ EN LIGNE",IF(H255&lt;&gt;"","BARDÉ","EN STOCK")))</f>
        <v/>
      </c>
      <c r="N255" s="79"/>
    </row>
    <row r="256" customFormat="false" ht="15" hidden="false" customHeight="false" outlineLevel="0" collapsed="false">
      <c r="A256" s="78" t="str">
        <f aca="false">IF(B256="","",ROW()-6)</f>
        <v/>
      </c>
      <c r="B256" s="90"/>
      <c r="C256" s="91"/>
      <c r="D256" s="91"/>
      <c r="E256" s="80"/>
      <c r="F256" s="92"/>
      <c r="G256" s="79"/>
      <c r="H256" s="82"/>
      <c r="I256" s="93" t="str">
        <f aca="false">IF(B256="","",IFERROR(INDEX('CARNET DE SOUDURE'!$B$7:$B$1506,MATCH(B256,'CARNET DE SOUDURE'!$K$7:$K$1506,0)),IFERROR(INDEX('CARNET DE SOUDURE'!$B$7:$B$1506,MATCH(B256,'CARNET DE SOUDURE'!$M$7:$M$1506,0)),"")))</f>
        <v/>
      </c>
      <c r="J256" s="78" t="str">
        <f aca="false">IF(B256="","",IFERROR(INDEX('CARNET DE SOUDURE'!$E$7:$E$1506,MATCH(B256,'CARNET DE SOUDURE'!$M$7:$M$1506,0)),""))</f>
        <v/>
      </c>
      <c r="K256" s="78" t="str">
        <f aca="false">IF(B256="","",IFERROR(INDEX('CARNET DE SOUDURE'!$E$7:$E$1506,MATCH(B256,'CARNET DE SOUDURE'!$K$7:$K$1506,0)),""))</f>
        <v/>
      </c>
      <c r="L256" s="78" t="str">
        <f aca="false">IF(B256="","",IFERROR(INDEX('CARNET DE SOUDURE'!$D$7:$D$1506,MATCH(B256,'CARNET DE SOUDURE'!$K$7:$K$1506,0)),IFERROR(INDEX('CARNET DE SOUDURE'!$D$7:$D$1506,MATCH(B256,'CARNET DE SOUDURE'!$M$7:$M$1506,0)),"")))</f>
        <v/>
      </c>
      <c r="M256" s="81" t="str">
        <f aca="false">IF(B256="","",IF(OR(J256&lt;&gt;"",K256&lt;&gt;""),"POSÉ EN LIGNE",IF(H256&lt;&gt;"","BARDÉ","EN STOCK")))</f>
        <v/>
      </c>
      <c r="N256" s="79"/>
    </row>
    <row r="257" customFormat="false" ht="15" hidden="false" customHeight="false" outlineLevel="0" collapsed="false">
      <c r="A257" s="78" t="str">
        <f aca="false">IF(B257="","",ROW()-6)</f>
        <v/>
      </c>
      <c r="B257" s="90"/>
      <c r="C257" s="91"/>
      <c r="D257" s="91"/>
      <c r="E257" s="80"/>
      <c r="F257" s="92"/>
      <c r="G257" s="79"/>
      <c r="H257" s="82"/>
      <c r="I257" s="93" t="str">
        <f aca="false">IF(B257="","",IFERROR(INDEX('CARNET DE SOUDURE'!$B$7:$B$1506,MATCH(B257,'CARNET DE SOUDURE'!$K$7:$K$1506,0)),IFERROR(INDEX('CARNET DE SOUDURE'!$B$7:$B$1506,MATCH(B257,'CARNET DE SOUDURE'!$M$7:$M$1506,0)),"")))</f>
        <v/>
      </c>
      <c r="J257" s="78" t="str">
        <f aca="false">IF(B257="","",IFERROR(INDEX('CARNET DE SOUDURE'!$E$7:$E$1506,MATCH(B257,'CARNET DE SOUDURE'!$M$7:$M$1506,0)),""))</f>
        <v/>
      </c>
      <c r="K257" s="78" t="str">
        <f aca="false">IF(B257="","",IFERROR(INDEX('CARNET DE SOUDURE'!$E$7:$E$1506,MATCH(B257,'CARNET DE SOUDURE'!$K$7:$K$1506,0)),""))</f>
        <v/>
      </c>
      <c r="L257" s="78" t="str">
        <f aca="false">IF(B257="","",IFERROR(INDEX('CARNET DE SOUDURE'!$D$7:$D$1506,MATCH(B257,'CARNET DE SOUDURE'!$K$7:$K$1506,0)),IFERROR(INDEX('CARNET DE SOUDURE'!$D$7:$D$1506,MATCH(B257,'CARNET DE SOUDURE'!$M$7:$M$1506,0)),"")))</f>
        <v/>
      </c>
      <c r="M257" s="81" t="str">
        <f aca="false">IF(B257="","",IF(OR(J257&lt;&gt;"",K257&lt;&gt;""),"POSÉ EN LIGNE",IF(H257&lt;&gt;"","BARDÉ","EN STOCK")))</f>
        <v/>
      </c>
      <c r="N257" s="79"/>
    </row>
    <row r="258" customFormat="false" ht="15" hidden="false" customHeight="false" outlineLevel="0" collapsed="false">
      <c r="A258" s="78" t="str">
        <f aca="false">IF(B258="","",ROW()-6)</f>
        <v/>
      </c>
      <c r="B258" s="90"/>
      <c r="C258" s="91"/>
      <c r="D258" s="91"/>
      <c r="E258" s="80"/>
      <c r="F258" s="92"/>
      <c r="G258" s="79"/>
      <c r="H258" s="82"/>
      <c r="I258" s="93" t="str">
        <f aca="false">IF(B258="","",IFERROR(INDEX('CARNET DE SOUDURE'!$B$7:$B$1506,MATCH(B258,'CARNET DE SOUDURE'!$K$7:$K$1506,0)),IFERROR(INDEX('CARNET DE SOUDURE'!$B$7:$B$1506,MATCH(B258,'CARNET DE SOUDURE'!$M$7:$M$1506,0)),"")))</f>
        <v/>
      </c>
      <c r="J258" s="78" t="str">
        <f aca="false">IF(B258="","",IFERROR(INDEX('CARNET DE SOUDURE'!$E$7:$E$1506,MATCH(B258,'CARNET DE SOUDURE'!$M$7:$M$1506,0)),""))</f>
        <v/>
      </c>
      <c r="K258" s="78" t="str">
        <f aca="false">IF(B258="","",IFERROR(INDEX('CARNET DE SOUDURE'!$E$7:$E$1506,MATCH(B258,'CARNET DE SOUDURE'!$K$7:$K$1506,0)),""))</f>
        <v/>
      </c>
      <c r="L258" s="78" t="str">
        <f aca="false">IF(B258="","",IFERROR(INDEX('CARNET DE SOUDURE'!$D$7:$D$1506,MATCH(B258,'CARNET DE SOUDURE'!$K$7:$K$1506,0)),IFERROR(INDEX('CARNET DE SOUDURE'!$D$7:$D$1506,MATCH(B258,'CARNET DE SOUDURE'!$M$7:$M$1506,0)),"")))</f>
        <v/>
      </c>
      <c r="M258" s="81" t="str">
        <f aca="false">IF(B258="","",IF(OR(J258&lt;&gt;"",K258&lt;&gt;""),"POSÉ EN LIGNE",IF(H258&lt;&gt;"","BARDÉ","EN STOCK")))</f>
        <v/>
      </c>
      <c r="N258" s="79"/>
    </row>
    <row r="259" customFormat="false" ht="15" hidden="false" customHeight="false" outlineLevel="0" collapsed="false">
      <c r="A259" s="78" t="str">
        <f aca="false">IF(B259="","",ROW()-6)</f>
        <v/>
      </c>
      <c r="B259" s="90"/>
      <c r="C259" s="91"/>
      <c r="D259" s="91"/>
      <c r="E259" s="80"/>
      <c r="F259" s="92"/>
      <c r="G259" s="79"/>
      <c r="H259" s="82"/>
      <c r="I259" s="93" t="str">
        <f aca="false">IF(B259="","",IFERROR(INDEX('CARNET DE SOUDURE'!$B$7:$B$1506,MATCH(B259,'CARNET DE SOUDURE'!$K$7:$K$1506,0)),IFERROR(INDEX('CARNET DE SOUDURE'!$B$7:$B$1506,MATCH(B259,'CARNET DE SOUDURE'!$M$7:$M$1506,0)),"")))</f>
        <v/>
      </c>
      <c r="J259" s="78" t="str">
        <f aca="false">IF(B259="","",IFERROR(INDEX('CARNET DE SOUDURE'!$E$7:$E$1506,MATCH(B259,'CARNET DE SOUDURE'!$M$7:$M$1506,0)),""))</f>
        <v/>
      </c>
      <c r="K259" s="78" t="str">
        <f aca="false">IF(B259="","",IFERROR(INDEX('CARNET DE SOUDURE'!$E$7:$E$1506,MATCH(B259,'CARNET DE SOUDURE'!$K$7:$K$1506,0)),""))</f>
        <v/>
      </c>
      <c r="L259" s="78" t="str">
        <f aca="false">IF(B259="","",IFERROR(INDEX('CARNET DE SOUDURE'!$D$7:$D$1506,MATCH(B259,'CARNET DE SOUDURE'!$K$7:$K$1506,0)),IFERROR(INDEX('CARNET DE SOUDURE'!$D$7:$D$1506,MATCH(B259,'CARNET DE SOUDURE'!$M$7:$M$1506,0)),"")))</f>
        <v/>
      </c>
      <c r="M259" s="81" t="str">
        <f aca="false">IF(B259="","",IF(OR(J259&lt;&gt;"",K259&lt;&gt;""),"POSÉ EN LIGNE",IF(H259&lt;&gt;"","BARDÉ","EN STOCK")))</f>
        <v/>
      </c>
      <c r="N259" s="79"/>
    </row>
    <row r="260" customFormat="false" ht="15" hidden="false" customHeight="false" outlineLevel="0" collapsed="false">
      <c r="A260" s="78" t="str">
        <f aca="false">IF(B260="","",ROW()-6)</f>
        <v/>
      </c>
      <c r="B260" s="90"/>
      <c r="C260" s="91"/>
      <c r="D260" s="91"/>
      <c r="E260" s="80"/>
      <c r="F260" s="92"/>
      <c r="G260" s="79"/>
      <c r="H260" s="82"/>
      <c r="I260" s="93" t="str">
        <f aca="false">IF(B260="","",IFERROR(INDEX('CARNET DE SOUDURE'!$B$7:$B$1506,MATCH(B260,'CARNET DE SOUDURE'!$K$7:$K$1506,0)),IFERROR(INDEX('CARNET DE SOUDURE'!$B$7:$B$1506,MATCH(B260,'CARNET DE SOUDURE'!$M$7:$M$1506,0)),"")))</f>
        <v/>
      </c>
      <c r="J260" s="78" t="str">
        <f aca="false">IF(B260="","",IFERROR(INDEX('CARNET DE SOUDURE'!$E$7:$E$1506,MATCH(B260,'CARNET DE SOUDURE'!$M$7:$M$1506,0)),""))</f>
        <v/>
      </c>
      <c r="K260" s="78" t="str">
        <f aca="false">IF(B260="","",IFERROR(INDEX('CARNET DE SOUDURE'!$E$7:$E$1506,MATCH(B260,'CARNET DE SOUDURE'!$K$7:$K$1506,0)),""))</f>
        <v/>
      </c>
      <c r="L260" s="78" t="str">
        <f aca="false">IF(B260="","",IFERROR(INDEX('CARNET DE SOUDURE'!$D$7:$D$1506,MATCH(B260,'CARNET DE SOUDURE'!$K$7:$K$1506,0)),IFERROR(INDEX('CARNET DE SOUDURE'!$D$7:$D$1506,MATCH(B260,'CARNET DE SOUDURE'!$M$7:$M$1506,0)),"")))</f>
        <v/>
      </c>
      <c r="M260" s="81" t="str">
        <f aca="false">IF(B260="","",IF(OR(J260&lt;&gt;"",K260&lt;&gt;""),"POSÉ EN LIGNE",IF(H260&lt;&gt;"","BARDÉ","EN STOCK")))</f>
        <v/>
      </c>
      <c r="N260" s="79"/>
    </row>
    <row r="261" customFormat="false" ht="15" hidden="false" customHeight="false" outlineLevel="0" collapsed="false">
      <c r="A261" s="78" t="str">
        <f aca="false">IF(B261="","",ROW()-6)</f>
        <v/>
      </c>
      <c r="B261" s="90"/>
      <c r="C261" s="91"/>
      <c r="D261" s="91"/>
      <c r="E261" s="80"/>
      <c r="F261" s="92"/>
      <c r="G261" s="79"/>
      <c r="H261" s="82"/>
      <c r="I261" s="93" t="str">
        <f aca="false">IF(B261="","",IFERROR(INDEX('CARNET DE SOUDURE'!$B$7:$B$1506,MATCH(B261,'CARNET DE SOUDURE'!$K$7:$K$1506,0)),IFERROR(INDEX('CARNET DE SOUDURE'!$B$7:$B$1506,MATCH(B261,'CARNET DE SOUDURE'!$M$7:$M$1506,0)),"")))</f>
        <v/>
      </c>
      <c r="J261" s="78" t="str">
        <f aca="false">IF(B261="","",IFERROR(INDEX('CARNET DE SOUDURE'!$E$7:$E$1506,MATCH(B261,'CARNET DE SOUDURE'!$M$7:$M$1506,0)),""))</f>
        <v/>
      </c>
      <c r="K261" s="78" t="str">
        <f aca="false">IF(B261="","",IFERROR(INDEX('CARNET DE SOUDURE'!$E$7:$E$1506,MATCH(B261,'CARNET DE SOUDURE'!$K$7:$K$1506,0)),""))</f>
        <v/>
      </c>
      <c r="L261" s="78" t="str">
        <f aca="false">IF(B261="","",IFERROR(INDEX('CARNET DE SOUDURE'!$D$7:$D$1506,MATCH(B261,'CARNET DE SOUDURE'!$K$7:$K$1506,0)),IFERROR(INDEX('CARNET DE SOUDURE'!$D$7:$D$1506,MATCH(B261,'CARNET DE SOUDURE'!$M$7:$M$1506,0)),"")))</f>
        <v/>
      </c>
      <c r="M261" s="81" t="str">
        <f aca="false">IF(B261="","",IF(OR(J261&lt;&gt;"",K261&lt;&gt;""),"POSÉ EN LIGNE",IF(H261&lt;&gt;"","BARDÉ","EN STOCK")))</f>
        <v/>
      </c>
      <c r="N261" s="79"/>
    </row>
    <row r="262" customFormat="false" ht="15" hidden="false" customHeight="false" outlineLevel="0" collapsed="false">
      <c r="A262" s="78" t="str">
        <f aca="false">IF(B262="","",ROW()-6)</f>
        <v/>
      </c>
      <c r="B262" s="90"/>
      <c r="C262" s="91"/>
      <c r="D262" s="91"/>
      <c r="E262" s="80"/>
      <c r="F262" s="92"/>
      <c r="G262" s="79"/>
      <c r="H262" s="82"/>
      <c r="I262" s="93" t="str">
        <f aca="false">IF(B262="","",IFERROR(INDEX('CARNET DE SOUDURE'!$B$7:$B$1506,MATCH(B262,'CARNET DE SOUDURE'!$K$7:$K$1506,0)),IFERROR(INDEX('CARNET DE SOUDURE'!$B$7:$B$1506,MATCH(B262,'CARNET DE SOUDURE'!$M$7:$M$1506,0)),"")))</f>
        <v/>
      </c>
      <c r="J262" s="78" t="str">
        <f aca="false">IF(B262="","",IFERROR(INDEX('CARNET DE SOUDURE'!$E$7:$E$1506,MATCH(B262,'CARNET DE SOUDURE'!$M$7:$M$1506,0)),""))</f>
        <v/>
      </c>
      <c r="K262" s="78" t="str">
        <f aca="false">IF(B262="","",IFERROR(INDEX('CARNET DE SOUDURE'!$E$7:$E$1506,MATCH(B262,'CARNET DE SOUDURE'!$K$7:$K$1506,0)),""))</f>
        <v/>
      </c>
      <c r="L262" s="78" t="str">
        <f aca="false">IF(B262="","",IFERROR(INDEX('CARNET DE SOUDURE'!$D$7:$D$1506,MATCH(B262,'CARNET DE SOUDURE'!$K$7:$K$1506,0)),IFERROR(INDEX('CARNET DE SOUDURE'!$D$7:$D$1506,MATCH(B262,'CARNET DE SOUDURE'!$M$7:$M$1506,0)),"")))</f>
        <v/>
      </c>
      <c r="M262" s="81" t="str">
        <f aca="false">IF(B262="","",IF(OR(J262&lt;&gt;"",K262&lt;&gt;""),"POSÉ EN LIGNE",IF(H262&lt;&gt;"","BARDÉ","EN STOCK")))</f>
        <v/>
      </c>
      <c r="N262" s="79"/>
    </row>
    <row r="263" customFormat="false" ht="15" hidden="false" customHeight="false" outlineLevel="0" collapsed="false">
      <c r="A263" s="78" t="str">
        <f aca="false">IF(B263="","",ROW()-6)</f>
        <v/>
      </c>
      <c r="B263" s="90"/>
      <c r="C263" s="91"/>
      <c r="D263" s="91"/>
      <c r="E263" s="80"/>
      <c r="F263" s="92"/>
      <c r="G263" s="79"/>
      <c r="H263" s="82"/>
      <c r="I263" s="93" t="str">
        <f aca="false">IF(B263="","",IFERROR(INDEX('CARNET DE SOUDURE'!$B$7:$B$1506,MATCH(B263,'CARNET DE SOUDURE'!$K$7:$K$1506,0)),IFERROR(INDEX('CARNET DE SOUDURE'!$B$7:$B$1506,MATCH(B263,'CARNET DE SOUDURE'!$M$7:$M$1506,0)),"")))</f>
        <v/>
      </c>
      <c r="J263" s="78" t="str">
        <f aca="false">IF(B263="","",IFERROR(INDEX('CARNET DE SOUDURE'!$E$7:$E$1506,MATCH(B263,'CARNET DE SOUDURE'!$M$7:$M$1506,0)),""))</f>
        <v/>
      </c>
      <c r="K263" s="78" t="str">
        <f aca="false">IF(B263="","",IFERROR(INDEX('CARNET DE SOUDURE'!$E$7:$E$1506,MATCH(B263,'CARNET DE SOUDURE'!$K$7:$K$1506,0)),""))</f>
        <v/>
      </c>
      <c r="L263" s="78" t="str">
        <f aca="false">IF(B263="","",IFERROR(INDEX('CARNET DE SOUDURE'!$D$7:$D$1506,MATCH(B263,'CARNET DE SOUDURE'!$K$7:$K$1506,0)),IFERROR(INDEX('CARNET DE SOUDURE'!$D$7:$D$1506,MATCH(B263,'CARNET DE SOUDURE'!$M$7:$M$1506,0)),"")))</f>
        <v/>
      </c>
      <c r="M263" s="81" t="str">
        <f aca="false">IF(B263="","",IF(OR(J263&lt;&gt;"",K263&lt;&gt;""),"POSÉ EN LIGNE",IF(H263&lt;&gt;"","BARDÉ","EN STOCK")))</f>
        <v/>
      </c>
      <c r="N263" s="79"/>
    </row>
    <row r="264" customFormat="false" ht="15" hidden="false" customHeight="false" outlineLevel="0" collapsed="false">
      <c r="A264" s="78" t="str">
        <f aca="false">IF(B264="","",ROW()-6)</f>
        <v/>
      </c>
      <c r="B264" s="90"/>
      <c r="C264" s="91"/>
      <c r="D264" s="91"/>
      <c r="E264" s="80"/>
      <c r="F264" s="92"/>
      <c r="G264" s="79"/>
      <c r="H264" s="82"/>
      <c r="I264" s="93" t="str">
        <f aca="false">IF(B264="","",IFERROR(INDEX('CARNET DE SOUDURE'!$B$7:$B$1506,MATCH(B264,'CARNET DE SOUDURE'!$K$7:$K$1506,0)),IFERROR(INDEX('CARNET DE SOUDURE'!$B$7:$B$1506,MATCH(B264,'CARNET DE SOUDURE'!$M$7:$M$1506,0)),"")))</f>
        <v/>
      </c>
      <c r="J264" s="78" t="str">
        <f aca="false">IF(B264="","",IFERROR(INDEX('CARNET DE SOUDURE'!$E$7:$E$1506,MATCH(B264,'CARNET DE SOUDURE'!$M$7:$M$1506,0)),""))</f>
        <v/>
      </c>
      <c r="K264" s="78" t="str">
        <f aca="false">IF(B264="","",IFERROR(INDEX('CARNET DE SOUDURE'!$E$7:$E$1506,MATCH(B264,'CARNET DE SOUDURE'!$K$7:$K$1506,0)),""))</f>
        <v/>
      </c>
      <c r="L264" s="78" t="str">
        <f aca="false">IF(B264="","",IFERROR(INDEX('CARNET DE SOUDURE'!$D$7:$D$1506,MATCH(B264,'CARNET DE SOUDURE'!$K$7:$K$1506,0)),IFERROR(INDEX('CARNET DE SOUDURE'!$D$7:$D$1506,MATCH(B264,'CARNET DE SOUDURE'!$M$7:$M$1506,0)),"")))</f>
        <v/>
      </c>
      <c r="M264" s="81" t="str">
        <f aca="false">IF(B264="","",IF(OR(J264&lt;&gt;"",K264&lt;&gt;""),"POSÉ EN LIGNE",IF(H264&lt;&gt;"","BARDÉ","EN STOCK")))</f>
        <v/>
      </c>
      <c r="N264" s="79"/>
    </row>
    <row r="265" customFormat="false" ht="15" hidden="false" customHeight="false" outlineLevel="0" collapsed="false">
      <c r="A265" s="78" t="str">
        <f aca="false">IF(B265="","",ROW()-6)</f>
        <v/>
      </c>
      <c r="B265" s="90"/>
      <c r="C265" s="91"/>
      <c r="D265" s="91"/>
      <c r="E265" s="80"/>
      <c r="F265" s="92"/>
      <c r="G265" s="79"/>
      <c r="H265" s="82"/>
      <c r="I265" s="93" t="str">
        <f aca="false">IF(B265="","",IFERROR(INDEX('CARNET DE SOUDURE'!$B$7:$B$1506,MATCH(B265,'CARNET DE SOUDURE'!$K$7:$K$1506,0)),IFERROR(INDEX('CARNET DE SOUDURE'!$B$7:$B$1506,MATCH(B265,'CARNET DE SOUDURE'!$M$7:$M$1506,0)),"")))</f>
        <v/>
      </c>
      <c r="J265" s="78" t="str">
        <f aca="false">IF(B265="","",IFERROR(INDEX('CARNET DE SOUDURE'!$E$7:$E$1506,MATCH(B265,'CARNET DE SOUDURE'!$M$7:$M$1506,0)),""))</f>
        <v/>
      </c>
      <c r="K265" s="78" t="str">
        <f aca="false">IF(B265="","",IFERROR(INDEX('CARNET DE SOUDURE'!$E$7:$E$1506,MATCH(B265,'CARNET DE SOUDURE'!$K$7:$K$1506,0)),""))</f>
        <v/>
      </c>
      <c r="L265" s="78" t="str">
        <f aca="false">IF(B265="","",IFERROR(INDEX('CARNET DE SOUDURE'!$D$7:$D$1506,MATCH(B265,'CARNET DE SOUDURE'!$K$7:$K$1506,0)),IFERROR(INDEX('CARNET DE SOUDURE'!$D$7:$D$1506,MATCH(B265,'CARNET DE SOUDURE'!$M$7:$M$1506,0)),"")))</f>
        <v/>
      </c>
      <c r="M265" s="81" t="str">
        <f aca="false">IF(B265="","",IF(OR(J265&lt;&gt;"",K265&lt;&gt;""),"POSÉ EN LIGNE",IF(H265&lt;&gt;"","BARDÉ","EN STOCK")))</f>
        <v/>
      </c>
      <c r="N265" s="79"/>
    </row>
    <row r="266" customFormat="false" ht="15" hidden="false" customHeight="false" outlineLevel="0" collapsed="false">
      <c r="A266" s="78" t="str">
        <f aca="false">IF(B266="","",ROW()-6)</f>
        <v/>
      </c>
      <c r="B266" s="90"/>
      <c r="C266" s="91"/>
      <c r="D266" s="91"/>
      <c r="E266" s="80"/>
      <c r="F266" s="92"/>
      <c r="G266" s="79"/>
      <c r="H266" s="82"/>
      <c r="I266" s="93" t="str">
        <f aca="false">IF(B266="","",IFERROR(INDEX('CARNET DE SOUDURE'!$B$7:$B$1506,MATCH(B266,'CARNET DE SOUDURE'!$K$7:$K$1506,0)),IFERROR(INDEX('CARNET DE SOUDURE'!$B$7:$B$1506,MATCH(B266,'CARNET DE SOUDURE'!$M$7:$M$1506,0)),"")))</f>
        <v/>
      </c>
      <c r="J266" s="78" t="str">
        <f aca="false">IF(B266="","",IFERROR(INDEX('CARNET DE SOUDURE'!$E$7:$E$1506,MATCH(B266,'CARNET DE SOUDURE'!$M$7:$M$1506,0)),""))</f>
        <v/>
      </c>
      <c r="K266" s="78" t="str">
        <f aca="false">IF(B266="","",IFERROR(INDEX('CARNET DE SOUDURE'!$E$7:$E$1506,MATCH(B266,'CARNET DE SOUDURE'!$K$7:$K$1506,0)),""))</f>
        <v/>
      </c>
      <c r="L266" s="78" t="str">
        <f aca="false">IF(B266="","",IFERROR(INDEX('CARNET DE SOUDURE'!$D$7:$D$1506,MATCH(B266,'CARNET DE SOUDURE'!$K$7:$K$1506,0)),IFERROR(INDEX('CARNET DE SOUDURE'!$D$7:$D$1506,MATCH(B266,'CARNET DE SOUDURE'!$M$7:$M$1506,0)),"")))</f>
        <v/>
      </c>
      <c r="M266" s="81" t="str">
        <f aca="false">IF(B266="","",IF(OR(J266&lt;&gt;"",K266&lt;&gt;""),"POSÉ EN LIGNE",IF(H266&lt;&gt;"","BARDÉ","EN STOCK")))</f>
        <v/>
      </c>
      <c r="N266" s="79"/>
    </row>
    <row r="267" customFormat="false" ht="15" hidden="false" customHeight="false" outlineLevel="0" collapsed="false">
      <c r="A267" s="78" t="str">
        <f aca="false">IF(B267="","",ROW()-6)</f>
        <v/>
      </c>
      <c r="B267" s="90"/>
      <c r="C267" s="91"/>
      <c r="D267" s="91"/>
      <c r="E267" s="80"/>
      <c r="F267" s="92"/>
      <c r="G267" s="79"/>
      <c r="H267" s="82"/>
      <c r="I267" s="93" t="str">
        <f aca="false">IF(B267="","",IFERROR(INDEX('CARNET DE SOUDURE'!$B$7:$B$1506,MATCH(B267,'CARNET DE SOUDURE'!$K$7:$K$1506,0)),IFERROR(INDEX('CARNET DE SOUDURE'!$B$7:$B$1506,MATCH(B267,'CARNET DE SOUDURE'!$M$7:$M$1506,0)),"")))</f>
        <v/>
      </c>
      <c r="J267" s="78" t="str">
        <f aca="false">IF(B267="","",IFERROR(INDEX('CARNET DE SOUDURE'!$E$7:$E$1506,MATCH(B267,'CARNET DE SOUDURE'!$M$7:$M$1506,0)),""))</f>
        <v/>
      </c>
      <c r="K267" s="78" t="str">
        <f aca="false">IF(B267="","",IFERROR(INDEX('CARNET DE SOUDURE'!$E$7:$E$1506,MATCH(B267,'CARNET DE SOUDURE'!$K$7:$K$1506,0)),""))</f>
        <v/>
      </c>
      <c r="L267" s="78" t="str">
        <f aca="false">IF(B267="","",IFERROR(INDEX('CARNET DE SOUDURE'!$D$7:$D$1506,MATCH(B267,'CARNET DE SOUDURE'!$K$7:$K$1506,0)),IFERROR(INDEX('CARNET DE SOUDURE'!$D$7:$D$1506,MATCH(B267,'CARNET DE SOUDURE'!$M$7:$M$1506,0)),"")))</f>
        <v/>
      </c>
      <c r="M267" s="81" t="str">
        <f aca="false">IF(B267="","",IF(OR(J267&lt;&gt;"",K267&lt;&gt;""),"POSÉ EN LIGNE",IF(H267&lt;&gt;"","BARDÉ","EN STOCK")))</f>
        <v/>
      </c>
      <c r="N267" s="79"/>
    </row>
    <row r="268" customFormat="false" ht="15" hidden="false" customHeight="false" outlineLevel="0" collapsed="false">
      <c r="A268" s="78" t="str">
        <f aca="false">IF(B268="","",ROW()-6)</f>
        <v/>
      </c>
      <c r="B268" s="90"/>
      <c r="C268" s="91"/>
      <c r="D268" s="91"/>
      <c r="E268" s="80"/>
      <c r="F268" s="92"/>
      <c r="G268" s="79"/>
      <c r="H268" s="82"/>
      <c r="I268" s="93" t="str">
        <f aca="false">IF(B268="","",IFERROR(INDEX('CARNET DE SOUDURE'!$B$7:$B$1506,MATCH(B268,'CARNET DE SOUDURE'!$K$7:$K$1506,0)),IFERROR(INDEX('CARNET DE SOUDURE'!$B$7:$B$1506,MATCH(B268,'CARNET DE SOUDURE'!$M$7:$M$1506,0)),"")))</f>
        <v/>
      </c>
      <c r="J268" s="78" t="str">
        <f aca="false">IF(B268="","",IFERROR(INDEX('CARNET DE SOUDURE'!$E$7:$E$1506,MATCH(B268,'CARNET DE SOUDURE'!$M$7:$M$1506,0)),""))</f>
        <v/>
      </c>
      <c r="K268" s="78" t="str">
        <f aca="false">IF(B268="","",IFERROR(INDEX('CARNET DE SOUDURE'!$E$7:$E$1506,MATCH(B268,'CARNET DE SOUDURE'!$K$7:$K$1506,0)),""))</f>
        <v/>
      </c>
      <c r="L268" s="78" t="str">
        <f aca="false">IF(B268="","",IFERROR(INDEX('CARNET DE SOUDURE'!$D$7:$D$1506,MATCH(B268,'CARNET DE SOUDURE'!$K$7:$K$1506,0)),IFERROR(INDEX('CARNET DE SOUDURE'!$D$7:$D$1506,MATCH(B268,'CARNET DE SOUDURE'!$M$7:$M$1506,0)),"")))</f>
        <v/>
      </c>
      <c r="M268" s="81" t="str">
        <f aca="false">IF(B268="","",IF(OR(J268&lt;&gt;"",K268&lt;&gt;""),"POSÉ EN LIGNE",IF(H268&lt;&gt;"","BARDÉ","EN STOCK")))</f>
        <v/>
      </c>
      <c r="N268" s="79"/>
    </row>
    <row r="269" customFormat="false" ht="15" hidden="false" customHeight="false" outlineLevel="0" collapsed="false">
      <c r="A269" s="78" t="str">
        <f aca="false">IF(B269="","",ROW()-6)</f>
        <v/>
      </c>
      <c r="B269" s="90"/>
      <c r="C269" s="91"/>
      <c r="D269" s="91"/>
      <c r="E269" s="80"/>
      <c r="F269" s="92"/>
      <c r="G269" s="79"/>
      <c r="H269" s="82"/>
      <c r="I269" s="93" t="str">
        <f aca="false">IF(B269="","",IFERROR(INDEX('CARNET DE SOUDURE'!$B$7:$B$1506,MATCH(B269,'CARNET DE SOUDURE'!$K$7:$K$1506,0)),IFERROR(INDEX('CARNET DE SOUDURE'!$B$7:$B$1506,MATCH(B269,'CARNET DE SOUDURE'!$M$7:$M$1506,0)),"")))</f>
        <v/>
      </c>
      <c r="J269" s="78" t="str">
        <f aca="false">IF(B269="","",IFERROR(INDEX('CARNET DE SOUDURE'!$E$7:$E$1506,MATCH(B269,'CARNET DE SOUDURE'!$M$7:$M$1506,0)),""))</f>
        <v/>
      </c>
      <c r="K269" s="78" t="str">
        <f aca="false">IF(B269="","",IFERROR(INDEX('CARNET DE SOUDURE'!$E$7:$E$1506,MATCH(B269,'CARNET DE SOUDURE'!$K$7:$K$1506,0)),""))</f>
        <v/>
      </c>
      <c r="L269" s="78" t="str">
        <f aca="false">IF(B269="","",IFERROR(INDEX('CARNET DE SOUDURE'!$D$7:$D$1506,MATCH(B269,'CARNET DE SOUDURE'!$K$7:$K$1506,0)),IFERROR(INDEX('CARNET DE SOUDURE'!$D$7:$D$1506,MATCH(B269,'CARNET DE SOUDURE'!$M$7:$M$1506,0)),"")))</f>
        <v/>
      </c>
      <c r="M269" s="81" t="str">
        <f aca="false">IF(B269="","",IF(OR(J269&lt;&gt;"",K269&lt;&gt;""),"POSÉ EN LIGNE",IF(H269&lt;&gt;"","BARDÉ","EN STOCK")))</f>
        <v/>
      </c>
      <c r="N269" s="79"/>
    </row>
    <row r="270" customFormat="false" ht="15" hidden="false" customHeight="false" outlineLevel="0" collapsed="false">
      <c r="A270" s="78" t="str">
        <f aca="false">IF(B270="","",ROW()-6)</f>
        <v/>
      </c>
      <c r="B270" s="90"/>
      <c r="C270" s="91"/>
      <c r="D270" s="91"/>
      <c r="E270" s="80"/>
      <c r="F270" s="92"/>
      <c r="G270" s="79"/>
      <c r="H270" s="82"/>
      <c r="I270" s="93" t="str">
        <f aca="false">IF(B270="","",IFERROR(INDEX('CARNET DE SOUDURE'!$B$7:$B$1506,MATCH(B270,'CARNET DE SOUDURE'!$K$7:$K$1506,0)),IFERROR(INDEX('CARNET DE SOUDURE'!$B$7:$B$1506,MATCH(B270,'CARNET DE SOUDURE'!$M$7:$M$1506,0)),"")))</f>
        <v/>
      </c>
      <c r="J270" s="78" t="str">
        <f aca="false">IF(B270="","",IFERROR(INDEX('CARNET DE SOUDURE'!$E$7:$E$1506,MATCH(B270,'CARNET DE SOUDURE'!$M$7:$M$1506,0)),""))</f>
        <v/>
      </c>
      <c r="K270" s="78" t="str">
        <f aca="false">IF(B270="","",IFERROR(INDEX('CARNET DE SOUDURE'!$E$7:$E$1506,MATCH(B270,'CARNET DE SOUDURE'!$K$7:$K$1506,0)),""))</f>
        <v/>
      </c>
      <c r="L270" s="78" t="str">
        <f aca="false">IF(B270="","",IFERROR(INDEX('CARNET DE SOUDURE'!$D$7:$D$1506,MATCH(B270,'CARNET DE SOUDURE'!$K$7:$K$1506,0)),IFERROR(INDEX('CARNET DE SOUDURE'!$D$7:$D$1506,MATCH(B270,'CARNET DE SOUDURE'!$M$7:$M$1506,0)),"")))</f>
        <v/>
      </c>
      <c r="M270" s="81" t="str">
        <f aca="false">IF(B270="","",IF(OR(J270&lt;&gt;"",K270&lt;&gt;""),"POSÉ EN LIGNE",IF(H270&lt;&gt;"","BARDÉ","EN STOCK")))</f>
        <v/>
      </c>
      <c r="N270" s="79"/>
    </row>
    <row r="271" customFormat="false" ht="15" hidden="false" customHeight="false" outlineLevel="0" collapsed="false">
      <c r="A271" s="78" t="str">
        <f aca="false">IF(B271="","",ROW()-6)</f>
        <v/>
      </c>
      <c r="B271" s="90"/>
      <c r="C271" s="91"/>
      <c r="D271" s="91"/>
      <c r="E271" s="80"/>
      <c r="F271" s="92"/>
      <c r="G271" s="79"/>
      <c r="H271" s="82"/>
      <c r="I271" s="93" t="str">
        <f aca="false">IF(B271="","",IFERROR(INDEX('CARNET DE SOUDURE'!$B$7:$B$1506,MATCH(B271,'CARNET DE SOUDURE'!$K$7:$K$1506,0)),IFERROR(INDEX('CARNET DE SOUDURE'!$B$7:$B$1506,MATCH(B271,'CARNET DE SOUDURE'!$M$7:$M$1506,0)),"")))</f>
        <v/>
      </c>
      <c r="J271" s="78" t="str">
        <f aca="false">IF(B271="","",IFERROR(INDEX('CARNET DE SOUDURE'!$E$7:$E$1506,MATCH(B271,'CARNET DE SOUDURE'!$M$7:$M$1506,0)),""))</f>
        <v/>
      </c>
      <c r="K271" s="78" t="str">
        <f aca="false">IF(B271="","",IFERROR(INDEX('CARNET DE SOUDURE'!$E$7:$E$1506,MATCH(B271,'CARNET DE SOUDURE'!$K$7:$K$1506,0)),""))</f>
        <v/>
      </c>
      <c r="L271" s="78" t="str">
        <f aca="false">IF(B271="","",IFERROR(INDEX('CARNET DE SOUDURE'!$D$7:$D$1506,MATCH(B271,'CARNET DE SOUDURE'!$K$7:$K$1506,0)),IFERROR(INDEX('CARNET DE SOUDURE'!$D$7:$D$1506,MATCH(B271,'CARNET DE SOUDURE'!$M$7:$M$1506,0)),"")))</f>
        <v/>
      </c>
      <c r="M271" s="81" t="str">
        <f aca="false">IF(B271="","",IF(OR(J271&lt;&gt;"",K271&lt;&gt;""),"POSÉ EN LIGNE",IF(H271&lt;&gt;"","BARDÉ","EN STOCK")))</f>
        <v/>
      </c>
      <c r="N271" s="79"/>
    </row>
    <row r="272" customFormat="false" ht="15" hidden="false" customHeight="false" outlineLevel="0" collapsed="false">
      <c r="A272" s="78" t="str">
        <f aca="false">IF(B272="","",ROW()-6)</f>
        <v/>
      </c>
      <c r="B272" s="90"/>
      <c r="C272" s="91"/>
      <c r="D272" s="91"/>
      <c r="E272" s="80"/>
      <c r="F272" s="92"/>
      <c r="G272" s="79"/>
      <c r="H272" s="82"/>
      <c r="I272" s="93" t="str">
        <f aca="false">IF(B272="","",IFERROR(INDEX('CARNET DE SOUDURE'!$B$7:$B$1506,MATCH(B272,'CARNET DE SOUDURE'!$K$7:$K$1506,0)),IFERROR(INDEX('CARNET DE SOUDURE'!$B$7:$B$1506,MATCH(B272,'CARNET DE SOUDURE'!$M$7:$M$1506,0)),"")))</f>
        <v/>
      </c>
      <c r="J272" s="78" t="str">
        <f aca="false">IF(B272="","",IFERROR(INDEX('CARNET DE SOUDURE'!$E$7:$E$1506,MATCH(B272,'CARNET DE SOUDURE'!$M$7:$M$1506,0)),""))</f>
        <v/>
      </c>
      <c r="K272" s="78" t="str">
        <f aca="false">IF(B272="","",IFERROR(INDEX('CARNET DE SOUDURE'!$E$7:$E$1506,MATCH(B272,'CARNET DE SOUDURE'!$K$7:$K$1506,0)),""))</f>
        <v/>
      </c>
      <c r="L272" s="78" t="str">
        <f aca="false">IF(B272="","",IFERROR(INDEX('CARNET DE SOUDURE'!$D$7:$D$1506,MATCH(B272,'CARNET DE SOUDURE'!$K$7:$K$1506,0)),IFERROR(INDEX('CARNET DE SOUDURE'!$D$7:$D$1506,MATCH(B272,'CARNET DE SOUDURE'!$M$7:$M$1506,0)),"")))</f>
        <v/>
      </c>
      <c r="M272" s="81" t="str">
        <f aca="false">IF(B272="","",IF(OR(J272&lt;&gt;"",K272&lt;&gt;""),"POSÉ EN LIGNE",IF(H272&lt;&gt;"","BARDÉ","EN STOCK")))</f>
        <v/>
      </c>
      <c r="N272" s="79"/>
    </row>
    <row r="273" customFormat="false" ht="15" hidden="false" customHeight="false" outlineLevel="0" collapsed="false">
      <c r="A273" s="78" t="str">
        <f aca="false">IF(B273="","",ROW()-6)</f>
        <v/>
      </c>
      <c r="B273" s="90"/>
      <c r="C273" s="91"/>
      <c r="D273" s="91"/>
      <c r="E273" s="80"/>
      <c r="F273" s="92"/>
      <c r="G273" s="79"/>
      <c r="H273" s="82"/>
      <c r="I273" s="93" t="str">
        <f aca="false">IF(B273="","",IFERROR(INDEX('CARNET DE SOUDURE'!$B$7:$B$1506,MATCH(B273,'CARNET DE SOUDURE'!$K$7:$K$1506,0)),IFERROR(INDEX('CARNET DE SOUDURE'!$B$7:$B$1506,MATCH(B273,'CARNET DE SOUDURE'!$M$7:$M$1506,0)),"")))</f>
        <v/>
      </c>
      <c r="J273" s="78" t="str">
        <f aca="false">IF(B273="","",IFERROR(INDEX('CARNET DE SOUDURE'!$E$7:$E$1506,MATCH(B273,'CARNET DE SOUDURE'!$M$7:$M$1506,0)),""))</f>
        <v/>
      </c>
      <c r="K273" s="78" t="str">
        <f aca="false">IF(B273="","",IFERROR(INDEX('CARNET DE SOUDURE'!$E$7:$E$1506,MATCH(B273,'CARNET DE SOUDURE'!$K$7:$K$1506,0)),""))</f>
        <v/>
      </c>
      <c r="L273" s="78" t="str">
        <f aca="false">IF(B273="","",IFERROR(INDEX('CARNET DE SOUDURE'!$D$7:$D$1506,MATCH(B273,'CARNET DE SOUDURE'!$K$7:$K$1506,0)),IFERROR(INDEX('CARNET DE SOUDURE'!$D$7:$D$1506,MATCH(B273,'CARNET DE SOUDURE'!$M$7:$M$1506,0)),"")))</f>
        <v/>
      </c>
      <c r="M273" s="81" t="str">
        <f aca="false">IF(B273="","",IF(OR(J273&lt;&gt;"",K273&lt;&gt;""),"POSÉ EN LIGNE",IF(H273&lt;&gt;"","BARDÉ","EN STOCK")))</f>
        <v/>
      </c>
      <c r="N273" s="79"/>
    </row>
    <row r="274" customFormat="false" ht="15" hidden="false" customHeight="false" outlineLevel="0" collapsed="false">
      <c r="A274" s="78" t="str">
        <f aca="false">IF(B274="","",ROW()-6)</f>
        <v/>
      </c>
      <c r="B274" s="90"/>
      <c r="C274" s="91"/>
      <c r="D274" s="91"/>
      <c r="E274" s="80"/>
      <c r="F274" s="92"/>
      <c r="G274" s="79"/>
      <c r="H274" s="82"/>
      <c r="I274" s="93" t="str">
        <f aca="false">IF(B274="","",IFERROR(INDEX('CARNET DE SOUDURE'!$B$7:$B$1506,MATCH(B274,'CARNET DE SOUDURE'!$K$7:$K$1506,0)),IFERROR(INDEX('CARNET DE SOUDURE'!$B$7:$B$1506,MATCH(B274,'CARNET DE SOUDURE'!$M$7:$M$1506,0)),"")))</f>
        <v/>
      </c>
      <c r="J274" s="78" t="str">
        <f aca="false">IF(B274="","",IFERROR(INDEX('CARNET DE SOUDURE'!$E$7:$E$1506,MATCH(B274,'CARNET DE SOUDURE'!$M$7:$M$1506,0)),""))</f>
        <v/>
      </c>
      <c r="K274" s="78" t="str">
        <f aca="false">IF(B274="","",IFERROR(INDEX('CARNET DE SOUDURE'!$E$7:$E$1506,MATCH(B274,'CARNET DE SOUDURE'!$K$7:$K$1506,0)),""))</f>
        <v/>
      </c>
      <c r="L274" s="78" t="str">
        <f aca="false">IF(B274="","",IFERROR(INDEX('CARNET DE SOUDURE'!$D$7:$D$1506,MATCH(B274,'CARNET DE SOUDURE'!$K$7:$K$1506,0)),IFERROR(INDEX('CARNET DE SOUDURE'!$D$7:$D$1506,MATCH(B274,'CARNET DE SOUDURE'!$M$7:$M$1506,0)),"")))</f>
        <v/>
      </c>
      <c r="M274" s="81" t="str">
        <f aca="false">IF(B274="","",IF(OR(J274&lt;&gt;"",K274&lt;&gt;""),"POSÉ EN LIGNE",IF(H274&lt;&gt;"","BARDÉ","EN STOCK")))</f>
        <v/>
      </c>
      <c r="N274" s="79"/>
    </row>
    <row r="275" customFormat="false" ht="15" hidden="false" customHeight="false" outlineLevel="0" collapsed="false">
      <c r="A275" s="78" t="str">
        <f aca="false">IF(B275="","",ROW()-6)</f>
        <v/>
      </c>
      <c r="B275" s="90"/>
      <c r="C275" s="91"/>
      <c r="D275" s="91"/>
      <c r="E275" s="80"/>
      <c r="F275" s="92"/>
      <c r="G275" s="79"/>
      <c r="H275" s="82"/>
      <c r="I275" s="93" t="str">
        <f aca="false">IF(B275="","",IFERROR(INDEX('CARNET DE SOUDURE'!$B$7:$B$1506,MATCH(B275,'CARNET DE SOUDURE'!$K$7:$K$1506,0)),IFERROR(INDEX('CARNET DE SOUDURE'!$B$7:$B$1506,MATCH(B275,'CARNET DE SOUDURE'!$M$7:$M$1506,0)),"")))</f>
        <v/>
      </c>
      <c r="J275" s="78" t="str">
        <f aca="false">IF(B275="","",IFERROR(INDEX('CARNET DE SOUDURE'!$E$7:$E$1506,MATCH(B275,'CARNET DE SOUDURE'!$M$7:$M$1506,0)),""))</f>
        <v/>
      </c>
      <c r="K275" s="78" t="str">
        <f aca="false">IF(B275="","",IFERROR(INDEX('CARNET DE SOUDURE'!$E$7:$E$1506,MATCH(B275,'CARNET DE SOUDURE'!$K$7:$K$1506,0)),""))</f>
        <v/>
      </c>
      <c r="L275" s="78" t="str">
        <f aca="false">IF(B275="","",IFERROR(INDEX('CARNET DE SOUDURE'!$D$7:$D$1506,MATCH(B275,'CARNET DE SOUDURE'!$K$7:$K$1506,0)),IFERROR(INDEX('CARNET DE SOUDURE'!$D$7:$D$1506,MATCH(B275,'CARNET DE SOUDURE'!$M$7:$M$1506,0)),"")))</f>
        <v/>
      </c>
      <c r="M275" s="81" t="str">
        <f aca="false">IF(B275="","",IF(OR(J275&lt;&gt;"",K275&lt;&gt;""),"POSÉ EN LIGNE",IF(H275&lt;&gt;"","BARDÉ","EN STOCK")))</f>
        <v/>
      </c>
      <c r="N275" s="79"/>
    </row>
    <row r="276" customFormat="false" ht="15" hidden="false" customHeight="false" outlineLevel="0" collapsed="false">
      <c r="A276" s="78" t="str">
        <f aca="false">IF(B276="","",ROW()-6)</f>
        <v/>
      </c>
      <c r="B276" s="90"/>
      <c r="C276" s="91"/>
      <c r="D276" s="91"/>
      <c r="E276" s="80"/>
      <c r="F276" s="92"/>
      <c r="G276" s="79"/>
      <c r="H276" s="82"/>
      <c r="I276" s="93" t="str">
        <f aca="false">IF(B276="","",IFERROR(INDEX('CARNET DE SOUDURE'!$B$7:$B$1506,MATCH(B276,'CARNET DE SOUDURE'!$K$7:$K$1506,0)),IFERROR(INDEX('CARNET DE SOUDURE'!$B$7:$B$1506,MATCH(B276,'CARNET DE SOUDURE'!$M$7:$M$1506,0)),"")))</f>
        <v/>
      </c>
      <c r="J276" s="78" t="str">
        <f aca="false">IF(B276="","",IFERROR(INDEX('CARNET DE SOUDURE'!$E$7:$E$1506,MATCH(B276,'CARNET DE SOUDURE'!$M$7:$M$1506,0)),""))</f>
        <v/>
      </c>
      <c r="K276" s="78" t="str">
        <f aca="false">IF(B276="","",IFERROR(INDEX('CARNET DE SOUDURE'!$E$7:$E$1506,MATCH(B276,'CARNET DE SOUDURE'!$K$7:$K$1506,0)),""))</f>
        <v/>
      </c>
      <c r="L276" s="78" t="str">
        <f aca="false">IF(B276="","",IFERROR(INDEX('CARNET DE SOUDURE'!$D$7:$D$1506,MATCH(B276,'CARNET DE SOUDURE'!$K$7:$K$1506,0)),IFERROR(INDEX('CARNET DE SOUDURE'!$D$7:$D$1506,MATCH(B276,'CARNET DE SOUDURE'!$M$7:$M$1506,0)),"")))</f>
        <v/>
      </c>
      <c r="M276" s="81" t="str">
        <f aca="false">IF(B276="","",IF(OR(J276&lt;&gt;"",K276&lt;&gt;""),"POSÉ EN LIGNE",IF(H276&lt;&gt;"","BARDÉ","EN STOCK")))</f>
        <v/>
      </c>
      <c r="N276" s="79"/>
    </row>
    <row r="277" customFormat="false" ht="15" hidden="false" customHeight="false" outlineLevel="0" collapsed="false">
      <c r="A277" s="78" t="str">
        <f aca="false">IF(B277="","",ROW()-6)</f>
        <v/>
      </c>
      <c r="B277" s="90"/>
      <c r="C277" s="91"/>
      <c r="D277" s="91"/>
      <c r="E277" s="80"/>
      <c r="F277" s="92"/>
      <c r="G277" s="79"/>
      <c r="H277" s="82"/>
      <c r="I277" s="93" t="str">
        <f aca="false">IF(B277="","",IFERROR(INDEX('CARNET DE SOUDURE'!$B$7:$B$1506,MATCH(B277,'CARNET DE SOUDURE'!$K$7:$K$1506,0)),IFERROR(INDEX('CARNET DE SOUDURE'!$B$7:$B$1506,MATCH(B277,'CARNET DE SOUDURE'!$M$7:$M$1506,0)),"")))</f>
        <v/>
      </c>
      <c r="J277" s="78" t="str">
        <f aca="false">IF(B277="","",IFERROR(INDEX('CARNET DE SOUDURE'!$E$7:$E$1506,MATCH(B277,'CARNET DE SOUDURE'!$M$7:$M$1506,0)),""))</f>
        <v/>
      </c>
      <c r="K277" s="78" t="str">
        <f aca="false">IF(B277="","",IFERROR(INDEX('CARNET DE SOUDURE'!$E$7:$E$1506,MATCH(B277,'CARNET DE SOUDURE'!$K$7:$K$1506,0)),""))</f>
        <v/>
      </c>
      <c r="L277" s="78" t="str">
        <f aca="false">IF(B277="","",IFERROR(INDEX('CARNET DE SOUDURE'!$D$7:$D$1506,MATCH(B277,'CARNET DE SOUDURE'!$K$7:$K$1506,0)),IFERROR(INDEX('CARNET DE SOUDURE'!$D$7:$D$1506,MATCH(B277,'CARNET DE SOUDURE'!$M$7:$M$1506,0)),"")))</f>
        <v/>
      </c>
      <c r="M277" s="81" t="str">
        <f aca="false">IF(B277="","",IF(OR(J277&lt;&gt;"",K277&lt;&gt;""),"POSÉ EN LIGNE",IF(H277&lt;&gt;"","BARDÉ","EN STOCK")))</f>
        <v/>
      </c>
      <c r="N277" s="79"/>
    </row>
    <row r="278" customFormat="false" ht="15" hidden="false" customHeight="false" outlineLevel="0" collapsed="false">
      <c r="A278" s="78" t="str">
        <f aca="false">IF(B278="","",ROW()-6)</f>
        <v/>
      </c>
      <c r="B278" s="90"/>
      <c r="C278" s="91"/>
      <c r="D278" s="91"/>
      <c r="E278" s="80"/>
      <c r="F278" s="92"/>
      <c r="G278" s="79"/>
      <c r="H278" s="82"/>
      <c r="I278" s="93" t="str">
        <f aca="false">IF(B278="","",IFERROR(INDEX('CARNET DE SOUDURE'!$B$7:$B$1506,MATCH(B278,'CARNET DE SOUDURE'!$K$7:$K$1506,0)),IFERROR(INDEX('CARNET DE SOUDURE'!$B$7:$B$1506,MATCH(B278,'CARNET DE SOUDURE'!$M$7:$M$1506,0)),"")))</f>
        <v/>
      </c>
      <c r="J278" s="78" t="str">
        <f aca="false">IF(B278="","",IFERROR(INDEX('CARNET DE SOUDURE'!$E$7:$E$1506,MATCH(B278,'CARNET DE SOUDURE'!$M$7:$M$1506,0)),""))</f>
        <v/>
      </c>
      <c r="K278" s="78" t="str">
        <f aca="false">IF(B278="","",IFERROR(INDEX('CARNET DE SOUDURE'!$E$7:$E$1506,MATCH(B278,'CARNET DE SOUDURE'!$K$7:$K$1506,0)),""))</f>
        <v/>
      </c>
      <c r="L278" s="78" t="str">
        <f aca="false">IF(B278="","",IFERROR(INDEX('CARNET DE SOUDURE'!$D$7:$D$1506,MATCH(B278,'CARNET DE SOUDURE'!$K$7:$K$1506,0)),IFERROR(INDEX('CARNET DE SOUDURE'!$D$7:$D$1506,MATCH(B278,'CARNET DE SOUDURE'!$M$7:$M$1506,0)),"")))</f>
        <v/>
      </c>
      <c r="M278" s="81" t="str">
        <f aca="false">IF(B278="","",IF(OR(J278&lt;&gt;"",K278&lt;&gt;""),"POSÉ EN LIGNE",IF(H278&lt;&gt;"","BARDÉ","EN STOCK")))</f>
        <v/>
      </c>
      <c r="N278" s="79"/>
    </row>
    <row r="279" customFormat="false" ht="15" hidden="false" customHeight="false" outlineLevel="0" collapsed="false">
      <c r="A279" s="78" t="str">
        <f aca="false">IF(B279="","",ROW()-6)</f>
        <v/>
      </c>
      <c r="B279" s="90"/>
      <c r="C279" s="91"/>
      <c r="D279" s="91"/>
      <c r="E279" s="80"/>
      <c r="F279" s="92"/>
      <c r="G279" s="79"/>
      <c r="H279" s="82"/>
      <c r="I279" s="93" t="str">
        <f aca="false">IF(B279="","",IFERROR(INDEX('CARNET DE SOUDURE'!$B$7:$B$1506,MATCH(B279,'CARNET DE SOUDURE'!$K$7:$K$1506,0)),IFERROR(INDEX('CARNET DE SOUDURE'!$B$7:$B$1506,MATCH(B279,'CARNET DE SOUDURE'!$M$7:$M$1506,0)),"")))</f>
        <v/>
      </c>
      <c r="J279" s="78" t="str">
        <f aca="false">IF(B279="","",IFERROR(INDEX('CARNET DE SOUDURE'!$E$7:$E$1506,MATCH(B279,'CARNET DE SOUDURE'!$M$7:$M$1506,0)),""))</f>
        <v/>
      </c>
      <c r="K279" s="78" t="str">
        <f aca="false">IF(B279="","",IFERROR(INDEX('CARNET DE SOUDURE'!$E$7:$E$1506,MATCH(B279,'CARNET DE SOUDURE'!$K$7:$K$1506,0)),""))</f>
        <v/>
      </c>
      <c r="L279" s="78" t="str">
        <f aca="false">IF(B279="","",IFERROR(INDEX('CARNET DE SOUDURE'!$D$7:$D$1506,MATCH(B279,'CARNET DE SOUDURE'!$K$7:$K$1506,0)),IFERROR(INDEX('CARNET DE SOUDURE'!$D$7:$D$1506,MATCH(B279,'CARNET DE SOUDURE'!$M$7:$M$1506,0)),"")))</f>
        <v/>
      </c>
      <c r="M279" s="81" t="str">
        <f aca="false">IF(B279="","",IF(OR(J279&lt;&gt;"",K279&lt;&gt;""),"POSÉ EN LIGNE",IF(H279&lt;&gt;"","BARDÉ","EN STOCK")))</f>
        <v/>
      </c>
      <c r="N279" s="79"/>
    </row>
    <row r="280" customFormat="false" ht="15" hidden="false" customHeight="false" outlineLevel="0" collapsed="false">
      <c r="A280" s="78" t="str">
        <f aca="false">IF(B280="","",ROW()-6)</f>
        <v/>
      </c>
      <c r="B280" s="90"/>
      <c r="C280" s="91"/>
      <c r="D280" s="91"/>
      <c r="E280" s="80"/>
      <c r="F280" s="92"/>
      <c r="G280" s="79"/>
      <c r="H280" s="82"/>
      <c r="I280" s="93" t="str">
        <f aca="false">IF(B280="","",IFERROR(INDEX('CARNET DE SOUDURE'!$B$7:$B$1506,MATCH(B280,'CARNET DE SOUDURE'!$K$7:$K$1506,0)),IFERROR(INDEX('CARNET DE SOUDURE'!$B$7:$B$1506,MATCH(B280,'CARNET DE SOUDURE'!$M$7:$M$1506,0)),"")))</f>
        <v/>
      </c>
      <c r="J280" s="78" t="str">
        <f aca="false">IF(B280="","",IFERROR(INDEX('CARNET DE SOUDURE'!$E$7:$E$1506,MATCH(B280,'CARNET DE SOUDURE'!$M$7:$M$1506,0)),""))</f>
        <v/>
      </c>
      <c r="K280" s="78" t="str">
        <f aca="false">IF(B280="","",IFERROR(INDEX('CARNET DE SOUDURE'!$E$7:$E$1506,MATCH(B280,'CARNET DE SOUDURE'!$K$7:$K$1506,0)),""))</f>
        <v/>
      </c>
      <c r="L280" s="78" t="str">
        <f aca="false">IF(B280="","",IFERROR(INDEX('CARNET DE SOUDURE'!$D$7:$D$1506,MATCH(B280,'CARNET DE SOUDURE'!$K$7:$K$1506,0)),IFERROR(INDEX('CARNET DE SOUDURE'!$D$7:$D$1506,MATCH(B280,'CARNET DE SOUDURE'!$M$7:$M$1506,0)),"")))</f>
        <v/>
      </c>
      <c r="M280" s="81" t="str">
        <f aca="false">IF(B280="","",IF(OR(J280&lt;&gt;"",K280&lt;&gt;""),"POSÉ EN LIGNE",IF(H280&lt;&gt;"","BARDÉ","EN STOCK")))</f>
        <v/>
      </c>
      <c r="N280" s="79"/>
    </row>
    <row r="281" customFormat="false" ht="15" hidden="false" customHeight="false" outlineLevel="0" collapsed="false">
      <c r="A281" s="78" t="str">
        <f aca="false">IF(B281="","",ROW()-6)</f>
        <v/>
      </c>
      <c r="B281" s="90"/>
      <c r="C281" s="91"/>
      <c r="D281" s="91"/>
      <c r="E281" s="80"/>
      <c r="F281" s="92"/>
      <c r="G281" s="79"/>
      <c r="H281" s="82"/>
      <c r="I281" s="93" t="str">
        <f aca="false">IF(B281="","",IFERROR(INDEX('CARNET DE SOUDURE'!$B$7:$B$1506,MATCH(B281,'CARNET DE SOUDURE'!$K$7:$K$1506,0)),IFERROR(INDEX('CARNET DE SOUDURE'!$B$7:$B$1506,MATCH(B281,'CARNET DE SOUDURE'!$M$7:$M$1506,0)),"")))</f>
        <v/>
      </c>
      <c r="J281" s="78" t="str">
        <f aca="false">IF(B281="","",IFERROR(INDEX('CARNET DE SOUDURE'!$E$7:$E$1506,MATCH(B281,'CARNET DE SOUDURE'!$M$7:$M$1506,0)),""))</f>
        <v/>
      </c>
      <c r="K281" s="78" t="str">
        <f aca="false">IF(B281="","",IFERROR(INDEX('CARNET DE SOUDURE'!$E$7:$E$1506,MATCH(B281,'CARNET DE SOUDURE'!$K$7:$K$1506,0)),""))</f>
        <v/>
      </c>
      <c r="L281" s="78" t="str">
        <f aca="false">IF(B281="","",IFERROR(INDEX('CARNET DE SOUDURE'!$D$7:$D$1506,MATCH(B281,'CARNET DE SOUDURE'!$K$7:$K$1506,0)),IFERROR(INDEX('CARNET DE SOUDURE'!$D$7:$D$1506,MATCH(B281,'CARNET DE SOUDURE'!$M$7:$M$1506,0)),"")))</f>
        <v/>
      </c>
      <c r="M281" s="81" t="str">
        <f aca="false">IF(B281="","",IF(OR(J281&lt;&gt;"",K281&lt;&gt;""),"POSÉ EN LIGNE",IF(H281&lt;&gt;"","BARDÉ","EN STOCK")))</f>
        <v/>
      </c>
      <c r="N281" s="79"/>
    </row>
    <row r="282" customFormat="false" ht="15" hidden="false" customHeight="false" outlineLevel="0" collapsed="false">
      <c r="A282" s="78" t="str">
        <f aca="false">IF(B282="","",ROW()-6)</f>
        <v/>
      </c>
      <c r="B282" s="90"/>
      <c r="C282" s="91"/>
      <c r="D282" s="91"/>
      <c r="E282" s="80"/>
      <c r="F282" s="92"/>
      <c r="G282" s="79"/>
      <c r="H282" s="82"/>
      <c r="I282" s="93" t="str">
        <f aca="false">IF(B282="","",IFERROR(INDEX('CARNET DE SOUDURE'!$B$7:$B$1506,MATCH(B282,'CARNET DE SOUDURE'!$K$7:$K$1506,0)),IFERROR(INDEX('CARNET DE SOUDURE'!$B$7:$B$1506,MATCH(B282,'CARNET DE SOUDURE'!$M$7:$M$1506,0)),"")))</f>
        <v/>
      </c>
      <c r="J282" s="78" t="str">
        <f aca="false">IF(B282="","",IFERROR(INDEX('CARNET DE SOUDURE'!$E$7:$E$1506,MATCH(B282,'CARNET DE SOUDURE'!$M$7:$M$1506,0)),""))</f>
        <v/>
      </c>
      <c r="K282" s="78" t="str">
        <f aca="false">IF(B282="","",IFERROR(INDEX('CARNET DE SOUDURE'!$E$7:$E$1506,MATCH(B282,'CARNET DE SOUDURE'!$K$7:$K$1506,0)),""))</f>
        <v/>
      </c>
      <c r="L282" s="78" t="str">
        <f aca="false">IF(B282="","",IFERROR(INDEX('CARNET DE SOUDURE'!$D$7:$D$1506,MATCH(B282,'CARNET DE SOUDURE'!$K$7:$K$1506,0)),IFERROR(INDEX('CARNET DE SOUDURE'!$D$7:$D$1506,MATCH(B282,'CARNET DE SOUDURE'!$M$7:$M$1506,0)),"")))</f>
        <v/>
      </c>
      <c r="M282" s="81" t="str">
        <f aca="false">IF(B282="","",IF(OR(J282&lt;&gt;"",K282&lt;&gt;""),"POSÉ EN LIGNE",IF(H282&lt;&gt;"","BARDÉ","EN STOCK")))</f>
        <v/>
      </c>
      <c r="N282" s="79"/>
    </row>
    <row r="283" customFormat="false" ht="15" hidden="false" customHeight="false" outlineLevel="0" collapsed="false">
      <c r="A283" s="78" t="str">
        <f aca="false">IF(B283="","",ROW()-6)</f>
        <v/>
      </c>
      <c r="B283" s="90"/>
      <c r="C283" s="91"/>
      <c r="D283" s="91"/>
      <c r="E283" s="80"/>
      <c r="F283" s="92"/>
      <c r="G283" s="79"/>
      <c r="H283" s="82"/>
      <c r="I283" s="93" t="str">
        <f aca="false">IF(B283="","",IFERROR(INDEX('CARNET DE SOUDURE'!$B$7:$B$1506,MATCH(B283,'CARNET DE SOUDURE'!$K$7:$K$1506,0)),IFERROR(INDEX('CARNET DE SOUDURE'!$B$7:$B$1506,MATCH(B283,'CARNET DE SOUDURE'!$M$7:$M$1506,0)),"")))</f>
        <v/>
      </c>
      <c r="J283" s="78" t="str">
        <f aca="false">IF(B283="","",IFERROR(INDEX('CARNET DE SOUDURE'!$E$7:$E$1506,MATCH(B283,'CARNET DE SOUDURE'!$M$7:$M$1506,0)),""))</f>
        <v/>
      </c>
      <c r="K283" s="78" t="str">
        <f aca="false">IF(B283="","",IFERROR(INDEX('CARNET DE SOUDURE'!$E$7:$E$1506,MATCH(B283,'CARNET DE SOUDURE'!$K$7:$K$1506,0)),""))</f>
        <v/>
      </c>
      <c r="L283" s="78" t="str">
        <f aca="false">IF(B283="","",IFERROR(INDEX('CARNET DE SOUDURE'!$D$7:$D$1506,MATCH(B283,'CARNET DE SOUDURE'!$K$7:$K$1506,0)),IFERROR(INDEX('CARNET DE SOUDURE'!$D$7:$D$1506,MATCH(B283,'CARNET DE SOUDURE'!$M$7:$M$1506,0)),"")))</f>
        <v/>
      </c>
      <c r="M283" s="81" t="str">
        <f aca="false">IF(B283="","",IF(OR(J283&lt;&gt;"",K283&lt;&gt;""),"POSÉ EN LIGNE",IF(H283&lt;&gt;"","BARDÉ","EN STOCK")))</f>
        <v/>
      </c>
      <c r="N283" s="79"/>
    </row>
    <row r="284" customFormat="false" ht="15" hidden="false" customHeight="false" outlineLevel="0" collapsed="false">
      <c r="A284" s="78" t="str">
        <f aca="false">IF(B284="","",ROW()-6)</f>
        <v/>
      </c>
      <c r="B284" s="90"/>
      <c r="C284" s="91"/>
      <c r="D284" s="91"/>
      <c r="E284" s="80"/>
      <c r="F284" s="92"/>
      <c r="G284" s="79"/>
      <c r="H284" s="82"/>
      <c r="I284" s="93" t="str">
        <f aca="false">IF(B284="","",IFERROR(INDEX('CARNET DE SOUDURE'!$B$7:$B$1506,MATCH(B284,'CARNET DE SOUDURE'!$K$7:$K$1506,0)),IFERROR(INDEX('CARNET DE SOUDURE'!$B$7:$B$1506,MATCH(B284,'CARNET DE SOUDURE'!$M$7:$M$1506,0)),"")))</f>
        <v/>
      </c>
      <c r="J284" s="78" t="str">
        <f aca="false">IF(B284="","",IFERROR(INDEX('CARNET DE SOUDURE'!$E$7:$E$1506,MATCH(B284,'CARNET DE SOUDURE'!$M$7:$M$1506,0)),""))</f>
        <v/>
      </c>
      <c r="K284" s="78" t="str">
        <f aca="false">IF(B284="","",IFERROR(INDEX('CARNET DE SOUDURE'!$E$7:$E$1506,MATCH(B284,'CARNET DE SOUDURE'!$K$7:$K$1506,0)),""))</f>
        <v/>
      </c>
      <c r="L284" s="78" t="str">
        <f aca="false">IF(B284="","",IFERROR(INDEX('CARNET DE SOUDURE'!$D$7:$D$1506,MATCH(B284,'CARNET DE SOUDURE'!$K$7:$K$1506,0)),IFERROR(INDEX('CARNET DE SOUDURE'!$D$7:$D$1506,MATCH(B284,'CARNET DE SOUDURE'!$M$7:$M$1506,0)),"")))</f>
        <v/>
      </c>
      <c r="M284" s="81" t="str">
        <f aca="false">IF(B284="","",IF(OR(J284&lt;&gt;"",K284&lt;&gt;""),"POSÉ EN LIGNE",IF(H284&lt;&gt;"","BARDÉ","EN STOCK")))</f>
        <v/>
      </c>
      <c r="N284" s="79"/>
    </row>
    <row r="285" customFormat="false" ht="15" hidden="false" customHeight="false" outlineLevel="0" collapsed="false">
      <c r="A285" s="78" t="str">
        <f aca="false">IF(B285="","",ROW()-6)</f>
        <v/>
      </c>
      <c r="B285" s="90"/>
      <c r="C285" s="91"/>
      <c r="D285" s="91"/>
      <c r="E285" s="80"/>
      <c r="F285" s="92"/>
      <c r="G285" s="79"/>
      <c r="H285" s="82"/>
      <c r="I285" s="93" t="str">
        <f aca="false">IF(B285="","",IFERROR(INDEX('CARNET DE SOUDURE'!$B$7:$B$1506,MATCH(B285,'CARNET DE SOUDURE'!$K$7:$K$1506,0)),IFERROR(INDEX('CARNET DE SOUDURE'!$B$7:$B$1506,MATCH(B285,'CARNET DE SOUDURE'!$M$7:$M$1506,0)),"")))</f>
        <v/>
      </c>
      <c r="J285" s="78" t="str">
        <f aca="false">IF(B285="","",IFERROR(INDEX('CARNET DE SOUDURE'!$E$7:$E$1506,MATCH(B285,'CARNET DE SOUDURE'!$M$7:$M$1506,0)),""))</f>
        <v/>
      </c>
      <c r="K285" s="78" t="str">
        <f aca="false">IF(B285="","",IFERROR(INDEX('CARNET DE SOUDURE'!$E$7:$E$1506,MATCH(B285,'CARNET DE SOUDURE'!$K$7:$K$1506,0)),""))</f>
        <v/>
      </c>
      <c r="L285" s="78" t="str">
        <f aca="false">IF(B285="","",IFERROR(INDEX('CARNET DE SOUDURE'!$D$7:$D$1506,MATCH(B285,'CARNET DE SOUDURE'!$K$7:$K$1506,0)),IFERROR(INDEX('CARNET DE SOUDURE'!$D$7:$D$1506,MATCH(B285,'CARNET DE SOUDURE'!$M$7:$M$1506,0)),"")))</f>
        <v/>
      </c>
      <c r="M285" s="81" t="str">
        <f aca="false">IF(B285="","",IF(OR(J285&lt;&gt;"",K285&lt;&gt;""),"POSÉ EN LIGNE",IF(H285&lt;&gt;"","BARDÉ","EN STOCK")))</f>
        <v/>
      </c>
      <c r="N285" s="79"/>
    </row>
    <row r="286" customFormat="false" ht="15" hidden="false" customHeight="false" outlineLevel="0" collapsed="false">
      <c r="A286" s="78" t="str">
        <f aca="false">IF(B286="","",ROW()-6)</f>
        <v/>
      </c>
      <c r="B286" s="90"/>
      <c r="C286" s="91"/>
      <c r="D286" s="91"/>
      <c r="E286" s="80"/>
      <c r="F286" s="92"/>
      <c r="G286" s="79"/>
      <c r="H286" s="82"/>
      <c r="I286" s="93" t="str">
        <f aca="false">IF(B286="","",IFERROR(INDEX('CARNET DE SOUDURE'!$B$7:$B$1506,MATCH(B286,'CARNET DE SOUDURE'!$K$7:$K$1506,0)),IFERROR(INDEX('CARNET DE SOUDURE'!$B$7:$B$1506,MATCH(B286,'CARNET DE SOUDURE'!$M$7:$M$1506,0)),"")))</f>
        <v/>
      </c>
      <c r="J286" s="78" t="str">
        <f aca="false">IF(B286="","",IFERROR(INDEX('CARNET DE SOUDURE'!$E$7:$E$1506,MATCH(B286,'CARNET DE SOUDURE'!$M$7:$M$1506,0)),""))</f>
        <v/>
      </c>
      <c r="K286" s="78" t="str">
        <f aca="false">IF(B286="","",IFERROR(INDEX('CARNET DE SOUDURE'!$E$7:$E$1506,MATCH(B286,'CARNET DE SOUDURE'!$K$7:$K$1506,0)),""))</f>
        <v/>
      </c>
      <c r="L286" s="78" t="str">
        <f aca="false">IF(B286="","",IFERROR(INDEX('CARNET DE SOUDURE'!$D$7:$D$1506,MATCH(B286,'CARNET DE SOUDURE'!$K$7:$K$1506,0)),IFERROR(INDEX('CARNET DE SOUDURE'!$D$7:$D$1506,MATCH(B286,'CARNET DE SOUDURE'!$M$7:$M$1506,0)),"")))</f>
        <v/>
      </c>
      <c r="M286" s="81" t="str">
        <f aca="false">IF(B286="","",IF(OR(J286&lt;&gt;"",K286&lt;&gt;""),"POSÉ EN LIGNE",IF(H286&lt;&gt;"","BARDÉ","EN STOCK")))</f>
        <v/>
      </c>
      <c r="N286" s="79"/>
    </row>
    <row r="287" customFormat="false" ht="15" hidden="false" customHeight="false" outlineLevel="0" collapsed="false">
      <c r="A287" s="78" t="str">
        <f aca="false">IF(B287="","",ROW()-6)</f>
        <v/>
      </c>
      <c r="B287" s="90"/>
      <c r="C287" s="91"/>
      <c r="D287" s="91"/>
      <c r="E287" s="80"/>
      <c r="F287" s="92"/>
      <c r="G287" s="79"/>
      <c r="H287" s="82"/>
      <c r="I287" s="93" t="str">
        <f aca="false">IF(B287="","",IFERROR(INDEX('CARNET DE SOUDURE'!$B$7:$B$1506,MATCH(B287,'CARNET DE SOUDURE'!$K$7:$K$1506,0)),IFERROR(INDEX('CARNET DE SOUDURE'!$B$7:$B$1506,MATCH(B287,'CARNET DE SOUDURE'!$M$7:$M$1506,0)),"")))</f>
        <v/>
      </c>
      <c r="J287" s="78" t="str">
        <f aca="false">IF(B287="","",IFERROR(INDEX('CARNET DE SOUDURE'!$E$7:$E$1506,MATCH(B287,'CARNET DE SOUDURE'!$M$7:$M$1506,0)),""))</f>
        <v/>
      </c>
      <c r="K287" s="78" t="str">
        <f aca="false">IF(B287="","",IFERROR(INDEX('CARNET DE SOUDURE'!$E$7:$E$1506,MATCH(B287,'CARNET DE SOUDURE'!$K$7:$K$1506,0)),""))</f>
        <v/>
      </c>
      <c r="L287" s="78" t="str">
        <f aca="false">IF(B287="","",IFERROR(INDEX('CARNET DE SOUDURE'!$D$7:$D$1506,MATCH(B287,'CARNET DE SOUDURE'!$K$7:$K$1506,0)),IFERROR(INDEX('CARNET DE SOUDURE'!$D$7:$D$1506,MATCH(B287,'CARNET DE SOUDURE'!$M$7:$M$1506,0)),"")))</f>
        <v/>
      </c>
      <c r="M287" s="81" t="str">
        <f aca="false">IF(B287="","",IF(OR(J287&lt;&gt;"",K287&lt;&gt;""),"POSÉ EN LIGNE",IF(H287&lt;&gt;"","BARDÉ","EN STOCK")))</f>
        <v/>
      </c>
      <c r="N287" s="79"/>
    </row>
    <row r="288" customFormat="false" ht="15" hidden="false" customHeight="false" outlineLevel="0" collapsed="false">
      <c r="A288" s="78" t="str">
        <f aca="false">IF(B288="","",ROW()-6)</f>
        <v/>
      </c>
      <c r="B288" s="90"/>
      <c r="C288" s="91"/>
      <c r="D288" s="91"/>
      <c r="E288" s="80"/>
      <c r="F288" s="92"/>
      <c r="G288" s="79"/>
      <c r="H288" s="82"/>
      <c r="I288" s="93" t="str">
        <f aca="false">IF(B288="","",IFERROR(INDEX('CARNET DE SOUDURE'!$B$7:$B$1506,MATCH(B288,'CARNET DE SOUDURE'!$K$7:$K$1506,0)),IFERROR(INDEX('CARNET DE SOUDURE'!$B$7:$B$1506,MATCH(B288,'CARNET DE SOUDURE'!$M$7:$M$1506,0)),"")))</f>
        <v/>
      </c>
      <c r="J288" s="78" t="str">
        <f aca="false">IF(B288="","",IFERROR(INDEX('CARNET DE SOUDURE'!$E$7:$E$1506,MATCH(B288,'CARNET DE SOUDURE'!$M$7:$M$1506,0)),""))</f>
        <v/>
      </c>
      <c r="K288" s="78" t="str">
        <f aca="false">IF(B288="","",IFERROR(INDEX('CARNET DE SOUDURE'!$E$7:$E$1506,MATCH(B288,'CARNET DE SOUDURE'!$K$7:$K$1506,0)),""))</f>
        <v/>
      </c>
      <c r="L288" s="78" t="str">
        <f aca="false">IF(B288="","",IFERROR(INDEX('CARNET DE SOUDURE'!$D$7:$D$1506,MATCH(B288,'CARNET DE SOUDURE'!$K$7:$K$1506,0)),IFERROR(INDEX('CARNET DE SOUDURE'!$D$7:$D$1506,MATCH(B288,'CARNET DE SOUDURE'!$M$7:$M$1506,0)),"")))</f>
        <v/>
      </c>
      <c r="M288" s="81" t="str">
        <f aca="false">IF(B288="","",IF(OR(J288&lt;&gt;"",K288&lt;&gt;""),"POSÉ EN LIGNE",IF(H288&lt;&gt;"","BARDÉ","EN STOCK")))</f>
        <v/>
      </c>
      <c r="N288" s="79"/>
    </row>
    <row r="289" customFormat="false" ht="15" hidden="false" customHeight="false" outlineLevel="0" collapsed="false">
      <c r="A289" s="78" t="str">
        <f aca="false">IF(B289="","",ROW()-6)</f>
        <v/>
      </c>
      <c r="B289" s="90"/>
      <c r="C289" s="91"/>
      <c r="D289" s="91"/>
      <c r="E289" s="80"/>
      <c r="F289" s="92"/>
      <c r="G289" s="79"/>
      <c r="H289" s="82"/>
      <c r="I289" s="93" t="str">
        <f aca="false">IF(B289="","",IFERROR(INDEX('CARNET DE SOUDURE'!$B$7:$B$1506,MATCH(B289,'CARNET DE SOUDURE'!$K$7:$K$1506,0)),IFERROR(INDEX('CARNET DE SOUDURE'!$B$7:$B$1506,MATCH(B289,'CARNET DE SOUDURE'!$M$7:$M$1506,0)),"")))</f>
        <v/>
      </c>
      <c r="J289" s="78" t="str">
        <f aca="false">IF(B289="","",IFERROR(INDEX('CARNET DE SOUDURE'!$E$7:$E$1506,MATCH(B289,'CARNET DE SOUDURE'!$M$7:$M$1506,0)),""))</f>
        <v/>
      </c>
      <c r="K289" s="78" t="str">
        <f aca="false">IF(B289="","",IFERROR(INDEX('CARNET DE SOUDURE'!$E$7:$E$1506,MATCH(B289,'CARNET DE SOUDURE'!$K$7:$K$1506,0)),""))</f>
        <v/>
      </c>
      <c r="L289" s="78" t="str">
        <f aca="false">IF(B289="","",IFERROR(INDEX('CARNET DE SOUDURE'!$D$7:$D$1506,MATCH(B289,'CARNET DE SOUDURE'!$K$7:$K$1506,0)),IFERROR(INDEX('CARNET DE SOUDURE'!$D$7:$D$1506,MATCH(B289,'CARNET DE SOUDURE'!$M$7:$M$1506,0)),"")))</f>
        <v/>
      </c>
      <c r="M289" s="81" t="str">
        <f aca="false">IF(B289="","",IF(OR(J289&lt;&gt;"",K289&lt;&gt;""),"POSÉ EN LIGNE",IF(H289&lt;&gt;"","BARDÉ","EN STOCK")))</f>
        <v/>
      </c>
      <c r="N289" s="79"/>
    </row>
    <row r="290" customFormat="false" ht="15" hidden="false" customHeight="false" outlineLevel="0" collapsed="false">
      <c r="A290" s="78" t="str">
        <f aca="false">IF(B290="","",ROW()-6)</f>
        <v/>
      </c>
      <c r="B290" s="90"/>
      <c r="C290" s="91"/>
      <c r="D290" s="91"/>
      <c r="E290" s="80"/>
      <c r="F290" s="92"/>
      <c r="G290" s="79"/>
      <c r="H290" s="82"/>
      <c r="I290" s="93" t="str">
        <f aca="false">IF(B290="","",IFERROR(INDEX('CARNET DE SOUDURE'!$B$7:$B$1506,MATCH(B290,'CARNET DE SOUDURE'!$K$7:$K$1506,0)),IFERROR(INDEX('CARNET DE SOUDURE'!$B$7:$B$1506,MATCH(B290,'CARNET DE SOUDURE'!$M$7:$M$1506,0)),"")))</f>
        <v/>
      </c>
      <c r="J290" s="78" t="str">
        <f aca="false">IF(B290="","",IFERROR(INDEX('CARNET DE SOUDURE'!$E$7:$E$1506,MATCH(B290,'CARNET DE SOUDURE'!$M$7:$M$1506,0)),""))</f>
        <v/>
      </c>
      <c r="K290" s="78" t="str">
        <f aca="false">IF(B290="","",IFERROR(INDEX('CARNET DE SOUDURE'!$E$7:$E$1506,MATCH(B290,'CARNET DE SOUDURE'!$K$7:$K$1506,0)),""))</f>
        <v/>
      </c>
      <c r="L290" s="78" t="str">
        <f aca="false">IF(B290="","",IFERROR(INDEX('CARNET DE SOUDURE'!$D$7:$D$1506,MATCH(B290,'CARNET DE SOUDURE'!$K$7:$K$1506,0)),IFERROR(INDEX('CARNET DE SOUDURE'!$D$7:$D$1506,MATCH(B290,'CARNET DE SOUDURE'!$M$7:$M$1506,0)),"")))</f>
        <v/>
      </c>
      <c r="M290" s="81" t="str">
        <f aca="false">IF(B290="","",IF(OR(J290&lt;&gt;"",K290&lt;&gt;""),"POSÉ EN LIGNE",IF(H290&lt;&gt;"","BARDÉ","EN STOCK")))</f>
        <v/>
      </c>
      <c r="N290" s="79"/>
    </row>
    <row r="291" customFormat="false" ht="15" hidden="false" customHeight="false" outlineLevel="0" collapsed="false">
      <c r="A291" s="78" t="str">
        <f aca="false">IF(B291="","",ROW()-6)</f>
        <v/>
      </c>
      <c r="B291" s="90"/>
      <c r="C291" s="91"/>
      <c r="D291" s="91"/>
      <c r="E291" s="80"/>
      <c r="F291" s="92"/>
      <c r="G291" s="79"/>
      <c r="H291" s="82"/>
      <c r="I291" s="93" t="str">
        <f aca="false">IF(B291="","",IFERROR(INDEX('CARNET DE SOUDURE'!$B$7:$B$1506,MATCH(B291,'CARNET DE SOUDURE'!$K$7:$K$1506,0)),IFERROR(INDEX('CARNET DE SOUDURE'!$B$7:$B$1506,MATCH(B291,'CARNET DE SOUDURE'!$M$7:$M$1506,0)),"")))</f>
        <v/>
      </c>
      <c r="J291" s="78" t="str">
        <f aca="false">IF(B291="","",IFERROR(INDEX('CARNET DE SOUDURE'!$E$7:$E$1506,MATCH(B291,'CARNET DE SOUDURE'!$M$7:$M$1506,0)),""))</f>
        <v/>
      </c>
      <c r="K291" s="78" t="str">
        <f aca="false">IF(B291="","",IFERROR(INDEX('CARNET DE SOUDURE'!$E$7:$E$1506,MATCH(B291,'CARNET DE SOUDURE'!$K$7:$K$1506,0)),""))</f>
        <v/>
      </c>
      <c r="L291" s="78" t="str">
        <f aca="false">IF(B291="","",IFERROR(INDEX('CARNET DE SOUDURE'!$D$7:$D$1506,MATCH(B291,'CARNET DE SOUDURE'!$K$7:$K$1506,0)),IFERROR(INDEX('CARNET DE SOUDURE'!$D$7:$D$1506,MATCH(B291,'CARNET DE SOUDURE'!$M$7:$M$1506,0)),"")))</f>
        <v/>
      </c>
      <c r="M291" s="81" t="str">
        <f aca="false">IF(B291="","",IF(OR(J291&lt;&gt;"",K291&lt;&gt;""),"POSÉ EN LIGNE",IF(H291&lt;&gt;"","BARDÉ","EN STOCK")))</f>
        <v/>
      </c>
      <c r="N291" s="79"/>
    </row>
    <row r="292" customFormat="false" ht="15" hidden="false" customHeight="false" outlineLevel="0" collapsed="false">
      <c r="A292" s="78" t="str">
        <f aca="false">IF(B292="","",ROW()-6)</f>
        <v/>
      </c>
      <c r="B292" s="90"/>
      <c r="C292" s="91"/>
      <c r="D292" s="91"/>
      <c r="E292" s="80"/>
      <c r="F292" s="92"/>
      <c r="G292" s="79"/>
      <c r="H292" s="82"/>
      <c r="I292" s="93" t="str">
        <f aca="false">IF(B292="","",IFERROR(INDEX('CARNET DE SOUDURE'!$B$7:$B$1506,MATCH(B292,'CARNET DE SOUDURE'!$K$7:$K$1506,0)),IFERROR(INDEX('CARNET DE SOUDURE'!$B$7:$B$1506,MATCH(B292,'CARNET DE SOUDURE'!$M$7:$M$1506,0)),"")))</f>
        <v/>
      </c>
      <c r="J292" s="78" t="str">
        <f aca="false">IF(B292="","",IFERROR(INDEX('CARNET DE SOUDURE'!$E$7:$E$1506,MATCH(B292,'CARNET DE SOUDURE'!$M$7:$M$1506,0)),""))</f>
        <v/>
      </c>
      <c r="K292" s="78" t="str">
        <f aca="false">IF(B292="","",IFERROR(INDEX('CARNET DE SOUDURE'!$E$7:$E$1506,MATCH(B292,'CARNET DE SOUDURE'!$K$7:$K$1506,0)),""))</f>
        <v/>
      </c>
      <c r="L292" s="78" t="str">
        <f aca="false">IF(B292="","",IFERROR(INDEX('CARNET DE SOUDURE'!$D$7:$D$1506,MATCH(B292,'CARNET DE SOUDURE'!$K$7:$K$1506,0)),IFERROR(INDEX('CARNET DE SOUDURE'!$D$7:$D$1506,MATCH(B292,'CARNET DE SOUDURE'!$M$7:$M$1506,0)),"")))</f>
        <v/>
      </c>
      <c r="M292" s="81" t="str">
        <f aca="false">IF(B292="","",IF(OR(J292&lt;&gt;"",K292&lt;&gt;""),"POSÉ EN LIGNE",IF(H292&lt;&gt;"","BARDÉ","EN STOCK")))</f>
        <v/>
      </c>
      <c r="N292" s="79"/>
    </row>
    <row r="293" customFormat="false" ht="15" hidden="false" customHeight="false" outlineLevel="0" collapsed="false">
      <c r="A293" s="78" t="str">
        <f aca="false">IF(B293="","",ROW()-6)</f>
        <v/>
      </c>
      <c r="B293" s="90"/>
      <c r="C293" s="91"/>
      <c r="D293" s="91"/>
      <c r="E293" s="80"/>
      <c r="F293" s="92"/>
      <c r="G293" s="79"/>
      <c r="H293" s="82"/>
      <c r="I293" s="93" t="str">
        <f aca="false">IF(B293="","",IFERROR(INDEX('CARNET DE SOUDURE'!$B$7:$B$1506,MATCH(B293,'CARNET DE SOUDURE'!$K$7:$K$1506,0)),IFERROR(INDEX('CARNET DE SOUDURE'!$B$7:$B$1506,MATCH(B293,'CARNET DE SOUDURE'!$M$7:$M$1506,0)),"")))</f>
        <v/>
      </c>
      <c r="J293" s="78" t="str">
        <f aca="false">IF(B293="","",IFERROR(INDEX('CARNET DE SOUDURE'!$E$7:$E$1506,MATCH(B293,'CARNET DE SOUDURE'!$M$7:$M$1506,0)),""))</f>
        <v/>
      </c>
      <c r="K293" s="78" t="str">
        <f aca="false">IF(B293="","",IFERROR(INDEX('CARNET DE SOUDURE'!$E$7:$E$1506,MATCH(B293,'CARNET DE SOUDURE'!$K$7:$K$1506,0)),""))</f>
        <v/>
      </c>
      <c r="L293" s="78" t="str">
        <f aca="false">IF(B293="","",IFERROR(INDEX('CARNET DE SOUDURE'!$D$7:$D$1506,MATCH(B293,'CARNET DE SOUDURE'!$K$7:$K$1506,0)),IFERROR(INDEX('CARNET DE SOUDURE'!$D$7:$D$1506,MATCH(B293,'CARNET DE SOUDURE'!$M$7:$M$1506,0)),"")))</f>
        <v/>
      </c>
      <c r="M293" s="81" t="str">
        <f aca="false">IF(B293="","",IF(OR(J293&lt;&gt;"",K293&lt;&gt;""),"POSÉ EN LIGNE",IF(H293&lt;&gt;"","BARDÉ","EN STOCK")))</f>
        <v/>
      </c>
      <c r="N293" s="79"/>
    </row>
    <row r="294" customFormat="false" ht="15" hidden="false" customHeight="false" outlineLevel="0" collapsed="false">
      <c r="A294" s="78" t="str">
        <f aca="false">IF(B294="","",ROW()-6)</f>
        <v/>
      </c>
      <c r="B294" s="90"/>
      <c r="C294" s="91"/>
      <c r="D294" s="91"/>
      <c r="E294" s="80"/>
      <c r="F294" s="92"/>
      <c r="G294" s="79"/>
      <c r="H294" s="82"/>
      <c r="I294" s="93" t="str">
        <f aca="false">IF(B294="","",IFERROR(INDEX('CARNET DE SOUDURE'!$B$7:$B$1506,MATCH(B294,'CARNET DE SOUDURE'!$K$7:$K$1506,0)),IFERROR(INDEX('CARNET DE SOUDURE'!$B$7:$B$1506,MATCH(B294,'CARNET DE SOUDURE'!$M$7:$M$1506,0)),"")))</f>
        <v/>
      </c>
      <c r="J294" s="78" t="str">
        <f aca="false">IF(B294="","",IFERROR(INDEX('CARNET DE SOUDURE'!$E$7:$E$1506,MATCH(B294,'CARNET DE SOUDURE'!$M$7:$M$1506,0)),""))</f>
        <v/>
      </c>
      <c r="K294" s="78" t="str">
        <f aca="false">IF(B294="","",IFERROR(INDEX('CARNET DE SOUDURE'!$E$7:$E$1506,MATCH(B294,'CARNET DE SOUDURE'!$K$7:$K$1506,0)),""))</f>
        <v/>
      </c>
      <c r="L294" s="78" t="str">
        <f aca="false">IF(B294="","",IFERROR(INDEX('CARNET DE SOUDURE'!$D$7:$D$1506,MATCH(B294,'CARNET DE SOUDURE'!$K$7:$K$1506,0)),IFERROR(INDEX('CARNET DE SOUDURE'!$D$7:$D$1506,MATCH(B294,'CARNET DE SOUDURE'!$M$7:$M$1506,0)),"")))</f>
        <v/>
      </c>
      <c r="M294" s="81" t="str">
        <f aca="false">IF(B294="","",IF(OR(J294&lt;&gt;"",K294&lt;&gt;""),"POSÉ EN LIGNE",IF(H294&lt;&gt;"","BARDÉ","EN STOCK")))</f>
        <v/>
      </c>
      <c r="N294" s="79"/>
    </row>
    <row r="295" customFormat="false" ht="15" hidden="false" customHeight="false" outlineLevel="0" collapsed="false">
      <c r="A295" s="78" t="str">
        <f aca="false">IF(B295="","",ROW()-6)</f>
        <v/>
      </c>
      <c r="B295" s="90"/>
      <c r="C295" s="91"/>
      <c r="D295" s="91"/>
      <c r="E295" s="80"/>
      <c r="F295" s="92"/>
      <c r="G295" s="79"/>
      <c r="H295" s="82"/>
      <c r="I295" s="93" t="str">
        <f aca="false">IF(B295="","",IFERROR(INDEX('CARNET DE SOUDURE'!$B$7:$B$1506,MATCH(B295,'CARNET DE SOUDURE'!$K$7:$K$1506,0)),IFERROR(INDEX('CARNET DE SOUDURE'!$B$7:$B$1506,MATCH(B295,'CARNET DE SOUDURE'!$M$7:$M$1506,0)),"")))</f>
        <v/>
      </c>
      <c r="J295" s="78" t="str">
        <f aca="false">IF(B295="","",IFERROR(INDEX('CARNET DE SOUDURE'!$E$7:$E$1506,MATCH(B295,'CARNET DE SOUDURE'!$M$7:$M$1506,0)),""))</f>
        <v/>
      </c>
      <c r="K295" s="78" t="str">
        <f aca="false">IF(B295="","",IFERROR(INDEX('CARNET DE SOUDURE'!$E$7:$E$1506,MATCH(B295,'CARNET DE SOUDURE'!$K$7:$K$1506,0)),""))</f>
        <v/>
      </c>
      <c r="L295" s="78" t="str">
        <f aca="false">IF(B295="","",IFERROR(INDEX('CARNET DE SOUDURE'!$D$7:$D$1506,MATCH(B295,'CARNET DE SOUDURE'!$K$7:$K$1506,0)),IFERROR(INDEX('CARNET DE SOUDURE'!$D$7:$D$1506,MATCH(B295,'CARNET DE SOUDURE'!$M$7:$M$1506,0)),"")))</f>
        <v/>
      </c>
      <c r="M295" s="81" t="str">
        <f aca="false">IF(B295="","",IF(OR(J295&lt;&gt;"",K295&lt;&gt;""),"POSÉ EN LIGNE",IF(H295&lt;&gt;"","BARDÉ","EN STOCK")))</f>
        <v/>
      </c>
      <c r="N295" s="79"/>
    </row>
    <row r="296" customFormat="false" ht="15" hidden="false" customHeight="false" outlineLevel="0" collapsed="false">
      <c r="A296" s="78" t="str">
        <f aca="false">IF(B296="","",ROW()-6)</f>
        <v/>
      </c>
      <c r="B296" s="90"/>
      <c r="C296" s="91"/>
      <c r="D296" s="91"/>
      <c r="E296" s="80"/>
      <c r="F296" s="92"/>
      <c r="G296" s="79"/>
      <c r="H296" s="82"/>
      <c r="I296" s="93" t="str">
        <f aca="false">IF(B296="","",IFERROR(INDEX('CARNET DE SOUDURE'!$B$7:$B$1506,MATCH(B296,'CARNET DE SOUDURE'!$K$7:$K$1506,0)),IFERROR(INDEX('CARNET DE SOUDURE'!$B$7:$B$1506,MATCH(B296,'CARNET DE SOUDURE'!$M$7:$M$1506,0)),"")))</f>
        <v/>
      </c>
      <c r="J296" s="78" t="str">
        <f aca="false">IF(B296="","",IFERROR(INDEX('CARNET DE SOUDURE'!$E$7:$E$1506,MATCH(B296,'CARNET DE SOUDURE'!$M$7:$M$1506,0)),""))</f>
        <v/>
      </c>
      <c r="K296" s="78" t="str">
        <f aca="false">IF(B296="","",IFERROR(INDEX('CARNET DE SOUDURE'!$E$7:$E$1506,MATCH(B296,'CARNET DE SOUDURE'!$K$7:$K$1506,0)),""))</f>
        <v/>
      </c>
      <c r="L296" s="78" t="str">
        <f aca="false">IF(B296="","",IFERROR(INDEX('CARNET DE SOUDURE'!$D$7:$D$1506,MATCH(B296,'CARNET DE SOUDURE'!$K$7:$K$1506,0)),IFERROR(INDEX('CARNET DE SOUDURE'!$D$7:$D$1506,MATCH(B296,'CARNET DE SOUDURE'!$M$7:$M$1506,0)),"")))</f>
        <v/>
      </c>
      <c r="M296" s="81" t="str">
        <f aca="false">IF(B296="","",IF(OR(J296&lt;&gt;"",K296&lt;&gt;""),"POSÉ EN LIGNE",IF(H296&lt;&gt;"","BARDÉ","EN STOCK")))</f>
        <v/>
      </c>
      <c r="N296" s="79"/>
    </row>
    <row r="297" customFormat="false" ht="15" hidden="false" customHeight="false" outlineLevel="0" collapsed="false">
      <c r="A297" s="78" t="str">
        <f aca="false">IF(B297="","",ROW()-6)</f>
        <v/>
      </c>
      <c r="B297" s="90"/>
      <c r="C297" s="91"/>
      <c r="D297" s="91"/>
      <c r="E297" s="80"/>
      <c r="F297" s="92"/>
      <c r="G297" s="79"/>
      <c r="H297" s="82"/>
      <c r="I297" s="93" t="str">
        <f aca="false">IF(B297="","",IFERROR(INDEX('CARNET DE SOUDURE'!$B$7:$B$1506,MATCH(B297,'CARNET DE SOUDURE'!$K$7:$K$1506,0)),IFERROR(INDEX('CARNET DE SOUDURE'!$B$7:$B$1506,MATCH(B297,'CARNET DE SOUDURE'!$M$7:$M$1506,0)),"")))</f>
        <v/>
      </c>
      <c r="J297" s="78" t="str">
        <f aca="false">IF(B297="","",IFERROR(INDEX('CARNET DE SOUDURE'!$E$7:$E$1506,MATCH(B297,'CARNET DE SOUDURE'!$M$7:$M$1506,0)),""))</f>
        <v/>
      </c>
      <c r="K297" s="78" t="str">
        <f aca="false">IF(B297="","",IFERROR(INDEX('CARNET DE SOUDURE'!$E$7:$E$1506,MATCH(B297,'CARNET DE SOUDURE'!$K$7:$K$1506,0)),""))</f>
        <v/>
      </c>
      <c r="L297" s="78" t="str">
        <f aca="false">IF(B297="","",IFERROR(INDEX('CARNET DE SOUDURE'!$D$7:$D$1506,MATCH(B297,'CARNET DE SOUDURE'!$K$7:$K$1506,0)),IFERROR(INDEX('CARNET DE SOUDURE'!$D$7:$D$1506,MATCH(B297,'CARNET DE SOUDURE'!$M$7:$M$1506,0)),"")))</f>
        <v/>
      </c>
      <c r="M297" s="81" t="str">
        <f aca="false">IF(B297="","",IF(OR(J297&lt;&gt;"",K297&lt;&gt;""),"POSÉ EN LIGNE",IF(H297&lt;&gt;"","BARDÉ","EN STOCK")))</f>
        <v/>
      </c>
      <c r="N297" s="79"/>
    </row>
    <row r="298" customFormat="false" ht="15" hidden="false" customHeight="false" outlineLevel="0" collapsed="false">
      <c r="A298" s="78" t="str">
        <f aca="false">IF(B298="","",ROW()-6)</f>
        <v/>
      </c>
      <c r="B298" s="90"/>
      <c r="C298" s="91"/>
      <c r="D298" s="91"/>
      <c r="E298" s="80"/>
      <c r="F298" s="92"/>
      <c r="G298" s="79"/>
      <c r="H298" s="82"/>
      <c r="I298" s="93" t="str">
        <f aca="false">IF(B298="","",IFERROR(INDEX('CARNET DE SOUDURE'!$B$7:$B$1506,MATCH(B298,'CARNET DE SOUDURE'!$K$7:$K$1506,0)),IFERROR(INDEX('CARNET DE SOUDURE'!$B$7:$B$1506,MATCH(B298,'CARNET DE SOUDURE'!$M$7:$M$1506,0)),"")))</f>
        <v/>
      </c>
      <c r="J298" s="78" t="str">
        <f aca="false">IF(B298="","",IFERROR(INDEX('CARNET DE SOUDURE'!$E$7:$E$1506,MATCH(B298,'CARNET DE SOUDURE'!$M$7:$M$1506,0)),""))</f>
        <v/>
      </c>
      <c r="K298" s="78" t="str">
        <f aca="false">IF(B298="","",IFERROR(INDEX('CARNET DE SOUDURE'!$E$7:$E$1506,MATCH(B298,'CARNET DE SOUDURE'!$K$7:$K$1506,0)),""))</f>
        <v/>
      </c>
      <c r="L298" s="78" t="str">
        <f aca="false">IF(B298="","",IFERROR(INDEX('CARNET DE SOUDURE'!$D$7:$D$1506,MATCH(B298,'CARNET DE SOUDURE'!$K$7:$K$1506,0)),IFERROR(INDEX('CARNET DE SOUDURE'!$D$7:$D$1506,MATCH(B298,'CARNET DE SOUDURE'!$M$7:$M$1506,0)),"")))</f>
        <v/>
      </c>
      <c r="M298" s="81" t="str">
        <f aca="false">IF(B298="","",IF(OR(J298&lt;&gt;"",K298&lt;&gt;""),"POSÉ EN LIGNE",IF(H298&lt;&gt;"","BARDÉ","EN STOCK")))</f>
        <v/>
      </c>
      <c r="N298" s="79"/>
    </row>
    <row r="299" customFormat="false" ht="15" hidden="false" customHeight="false" outlineLevel="0" collapsed="false">
      <c r="A299" s="78" t="str">
        <f aca="false">IF(B299="","",ROW()-6)</f>
        <v/>
      </c>
      <c r="B299" s="90"/>
      <c r="C299" s="91"/>
      <c r="D299" s="91"/>
      <c r="E299" s="80"/>
      <c r="F299" s="92"/>
      <c r="G299" s="79"/>
      <c r="H299" s="82"/>
      <c r="I299" s="93" t="str">
        <f aca="false">IF(B299="","",IFERROR(INDEX('CARNET DE SOUDURE'!$B$7:$B$1506,MATCH(B299,'CARNET DE SOUDURE'!$K$7:$K$1506,0)),IFERROR(INDEX('CARNET DE SOUDURE'!$B$7:$B$1506,MATCH(B299,'CARNET DE SOUDURE'!$M$7:$M$1506,0)),"")))</f>
        <v/>
      </c>
      <c r="J299" s="78" t="str">
        <f aca="false">IF(B299="","",IFERROR(INDEX('CARNET DE SOUDURE'!$E$7:$E$1506,MATCH(B299,'CARNET DE SOUDURE'!$M$7:$M$1506,0)),""))</f>
        <v/>
      </c>
      <c r="K299" s="78" t="str">
        <f aca="false">IF(B299="","",IFERROR(INDEX('CARNET DE SOUDURE'!$E$7:$E$1506,MATCH(B299,'CARNET DE SOUDURE'!$K$7:$K$1506,0)),""))</f>
        <v/>
      </c>
      <c r="L299" s="78" t="str">
        <f aca="false">IF(B299="","",IFERROR(INDEX('CARNET DE SOUDURE'!$D$7:$D$1506,MATCH(B299,'CARNET DE SOUDURE'!$K$7:$K$1506,0)),IFERROR(INDEX('CARNET DE SOUDURE'!$D$7:$D$1506,MATCH(B299,'CARNET DE SOUDURE'!$M$7:$M$1506,0)),"")))</f>
        <v/>
      </c>
      <c r="M299" s="81" t="str">
        <f aca="false">IF(B299="","",IF(OR(J299&lt;&gt;"",K299&lt;&gt;""),"POSÉ EN LIGNE",IF(H299&lt;&gt;"","BARDÉ","EN STOCK")))</f>
        <v/>
      </c>
      <c r="N299" s="79"/>
    </row>
    <row r="300" customFormat="false" ht="15" hidden="false" customHeight="false" outlineLevel="0" collapsed="false">
      <c r="A300" s="78" t="str">
        <f aca="false">IF(B300="","",ROW()-6)</f>
        <v/>
      </c>
      <c r="B300" s="90"/>
      <c r="C300" s="91"/>
      <c r="D300" s="91"/>
      <c r="E300" s="80"/>
      <c r="F300" s="92"/>
      <c r="G300" s="79"/>
      <c r="H300" s="82"/>
      <c r="I300" s="93" t="str">
        <f aca="false">IF(B300="","",IFERROR(INDEX('CARNET DE SOUDURE'!$B$7:$B$1506,MATCH(B300,'CARNET DE SOUDURE'!$K$7:$K$1506,0)),IFERROR(INDEX('CARNET DE SOUDURE'!$B$7:$B$1506,MATCH(B300,'CARNET DE SOUDURE'!$M$7:$M$1506,0)),"")))</f>
        <v/>
      </c>
      <c r="J300" s="78" t="str">
        <f aca="false">IF(B300="","",IFERROR(INDEX('CARNET DE SOUDURE'!$E$7:$E$1506,MATCH(B300,'CARNET DE SOUDURE'!$M$7:$M$1506,0)),""))</f>
        <v/>
      </c>
      <c r="K300" s="78" t="str">
        <f aca="false">IF(B300="","",IFERROR(INDEX('CARNET DE SOUDURE'!$E$7:$E$1506,MATCH(B300,'CARNET DE SOUDURE'!$K$7:$K$1506,0)),""))</f>
        <v/>
      </c>
      <c r="L300" s="78" t="str">
        <f aca="false">IF(B300="","",IFERROR(INDEX('CARNET DE SOUDURE'!$D$7:$D$1506,MATCH(B300,'CARNET DE SOUDURE'!$K$7:$K$1506,0)),IFERROR(INDEX('CARNET DE SOUDURE'!$D$7:$D$1506,MATCH(B300,'CARNET DE SOUDURE'!$M$7:$M$1506,0)),"")))</f>
        <v/>
      </c>
      <c r="M300" s="81" t="str">
        <f aca="false">IF(B300="","",IF(OR(J300&lt;&gt;"",K300&lt;&gt;""),"POSÉ EN LIGNE",IF(H300&lt;&gt;"","BARDÉ","EN STOCK")))</f>
        <v/>
      </c>
      <c r="N300" s="79"/>
    </row>
    <row r="301" customFormat="false" ht="15" hidden="false" customHeight="false" outlineLevel="0" collapsed="false">
      <c r="A301" s="78" t="str">
        <f aca="false">IF(B301="","",ROW()-6)</f>
        <v/>
      </c>
      <c r="B301" s="90"/>
      <c r="C301" s="91"/>
      <c r="D301" s="91"/>
      <c r="E301" s="80"/>
      <c r="F301" s="92"/>
      <c r="G301" s="79"/>
      <c r="H301" s="82"/>
      <c r="I301" s="93" t="str">
        <f aca="false">IF(B301="","",IFERROR(INDEX('CARNET DE SOUDURE'!$B$7:$B$1506,MATCH(B301,'CARNET DE SOUDURE'!$K$7:$K$1506,0)),IFERROR(INDEX('CARNET DE SOUDURE'!$B$7:$B$1506,MATCH(B301,'CARNET DE SOUDURE'!$M$7:$M$1506,0)),"")))</f>
        <v/>
      </c>
      <c r="J301" s="78" t="str">
        <f aca="false">IF(B301="","",IFERROR(INDEX('CARNET DE SOUDURE'!$E$7:$E$1506,MATCH(B301,'CARNET DE SOUDURE'!$M$7:$M$1506,0)),""))</f>
        <v/>
      </c>
      <c r="K301" s="78" t="str">
        <f aca="false">IF(B301="","",IFERROR(INDEX('CARNET DE SOUDURE'!$E$7:$E$1506,MATCH(B301,'CARNET DE SOUDURE'!$K$7:$K$1506,0)),""))</f>
        <v/>
      </c>
      <c r="L301" s="78" t="str">
        <f aca="false">IF(B301="","",IFERROR(INDEX('CARNET DE SOUDURE'!$D$7:$D$1506,MATCH(B301,'CARNET DE SOUDURE'!$K$7:$K$1506,0)),IFERROR(INDEX('CARNET DE SOUDURE'!$D$7:$D$1506,MATCH(B301,'CARNET DE SOUDURE'!$M$7:$M$1506,0)),"")))</f>
        <v/>
      </c>
      <c r="M301" s="81" t="str">
        <f aca="false">IF(B301="","",IF(OR(J301&lt;&gt;"",K301&lt;&gt;""),"POSÉ EN LIGNE",IF(H301&lt;&gt;"","BARDÉ","EN STOCK")))</f>
        <v/>
      </c>
      <c r="N301" s="79"/>
    </row>
    <row r="302" customFormat="false" ht="15" hidden="false" customHeight="false" outlineLevel="0" collapsed="false">
      <c r="A302" s="78" t="str">
        <f aca="false">IF(B302="","",ROW()-6)</f>
        <v/>
      </c>
      <c r="B302" s="90"/>
      <c r="C302" s="91"/>
      <c r="D302" s="91"/>
      <c r="E302" s="80"/>
      <c r="F302" s="92"/>
      <c r="G302" s="79"/>
      <c r="H302" s="82"/>
      <c r="I302" s="93" t="str">
        <f aca="false">IF(B302="","",IFERROR(INDEX('CARNET DE SOUDURE'!$B$7:$B$1506,MATCH(B302,'CARNET DE SOUDURE'!$K$7:$K$1506,0)),IFERROR(INDEX('CARNET DE SOUDURE'!$B$7:$B$1506,MATCH(B302,'CARNET DE SOUDURE'!$M$7:$M$1506,0)),"")))</f>
        <v/>
      </c>
      <c r="J302" s="78" t="str">
        <f aca="false">IF(B302="","",IFERROR(INDEX('CARNET DE SOUDURE'!$E$7:$E$1506,MATCH(B302,'CARNET DE SOUDURE'!$M$7:$M$1506,0)),""))</f>
        <v/>
      </c>
      <c r="K302" s="78" t="str">
        <f aca="false">IF(B302="","",IFERROR(INDEX('CARNET DE SOUDURE'!$E$7:$E$1506,MATCH(B302,'CARNET DE SOUDURE'!$K$7:$K$1506,0)),""))</f>
        <v/>
      </c>
      <c r="L302" s="78" t="str">
        <f aca="false">IF(B302="","",IFERROR(INDEX('CARNET DE SOUDURE'!$D$7:$D$1506,MATCH(B302,'CARNET DE SOUDURE'!$K$7:$K$1506,0)),IFERROR(INDEX('CARNET DE SOUDURE'!$D$7:$D$1506,MATCH(B302,'CARNET DE SOUDURE'!$M$7:$M$1506,0)),"")))</f>
        <v/>
      </c>
      <c r="M302" s="81" t="str">
        <f aca="false">IF(B302="","",IF(OR(J302&lt;&gt;"",K302&lt;&gt;""),"POSÉ EN LIGNE",IF(H302&lt;&gt;"","BARDÉ","EN STOCK")))</f>
        <v/>
      </c>
      <c r="N302" s="79"/>
    </row>
    <row r="303" customFormat="false" ht="15" hidden="false" customHeight="false" outlineLevel="0" collapsed="false">
      <c r="A303" s="78" t="str">
        <f aca="false">IF(B303="","",ROW()-6)</f>
        <v/>
      </c>
      <c r="B303" s="90"/>
      <c r="C303" s="91"/>
      <c r="D303" s="91"/>
      <c r="E303" s="80"/>
      <c r="F303" s="92"/>
      <c r="G303" s="79"/>
      <c r="H303" s="82"/>
      <c r="I303" s="93" t="str">
        <f aca="false">IF(B303="","",IFERROR(INDEX('CARNET DE SOUDURE'!$B$7:$B$1506,MATCH(B303,'CARNET DE SOUDURE'!$K$7:$K$1506,0)),IFERROR(INDEX('CARNET DE SOUDURE'!$B$7:$B$1506,MATCH(B303,'CARNET DE SOUDURE'!$M$7:$M$1506,0)),"")))</f>
        <v/>
      </c>
      <c r="J303" s="78" t="str">
        <f aca="false">IF(B303="","",IFERROR(INDEX('CARNET DE SOUDURE'!$E$7:$E$1506,MATCH(B303,'CARNET DE SOUDURE'!$M$7:$M$1506,0)),""))</f>
        <v/>
      </c>
      <c r="K303" s="78" t="str">
        <f aca="false">IF(B303="","",IFERROR(INDEX('CARNET DE SOUDURE'!$E$7:$E$1506,MATCH(B303,'CARNET DE SOUDURE'!$K$7:$K$1506,0)),""))</f>
        <v/>
      </c>
      <c r="L303" s="78" t="str">
        <f aca="false">IF(B303="","",IFERROR(INDEX('CARNET DE SOUDURE'!$D$7:$D$1506,MATCH(B303,'CARNET DE SOUDURE'!$K$7:$K$1506,0)),IFERROR(INDEX('CARNET DE SOUDURE'!$D$7:$D$1506,MATCH(B303,'CARNET DE SOUDURE'!$M$7:$M$1506,0)),"")))</f>
        <v/>
      </c>
      <c r="M303" s="81" t="str">
        <f aca="false">IF(B303="","",IF(OR(J303&lt;&gt;"",K303&lt;&gt;""),"POSÉ EN LIGNE",IF(H303&lt;&gt;"","BARDÉ","EN STOCK")))</f>
        <v/>
      </c>
      <c r="N303" s="79"/>
    </row>
    <row r="304" customFormat="false" ht="15" hidden="false" customHeight="false" outlineLevel="0" collapsed="false">
      <c r="A304" s="78" t="str">
        <f aca="false">IF(B304="","",ROW()-6)</f>
        <v/>
      </c>
      <c r="B304" s="90"/>
      <c r="C304" s="91"/>
      <c r="D304" s="91"/>
      <c r="E304" s="80"/>
      <c r="F304" s="92"/>
      <c r="G304" s="79"/>
      <c r="H304" s="82"/>
      <c r="I304" s="93" t="str">
        <f aca="false">IF(B304="","",IFERROR(INDEX('CARNET DE SOUDURE'!$B$7:$B$1506,MATCH(B304,'CARNET DE SOUDURE'!$K$7:$K$1506,0)),IFERROR(INDEX('CARNET DE SOUDURE'!$B$7:$B$1506,MATCH(B304,'CARNET DE SOUDURE'!$M$7:$M$1506,0)),"")))</f>
        <v/>
      </c>
      <c r="J304" s="78" t="str">
        <f aca="false">IF(B304="","",IFERROR(INDEX('CARNET DE SOUDURE'!$E$7:$E$1506,MATCH(B304,'CARNET DE SOUDURE'!$M$7:$M$1506,0)),""))</f>
        <v/>
      </c>
      <c r="K304" s="78" t="str">
        <f aca="false">IF(B304="","",IFERROR(INDEX('CARNET DE SOUDURE'!$E$7:$E$1506,MATCH(B304,'CARNET DE SOUDURE'!$K$7:$K$1506,0)),""))</f>
        <v/>
      </c>
      <c r="L304" s="78" t="str">
        <f aca="false">IF(B304="","",IFERROR(INDEX('CARNET DE SOUDURE'!$D$7:$D$1506,MATCH(B304,'CARNET DE SOUDURE'!$K$7:$K$1506,0)),IFERROR(INDEX('CARNET DE SOUDURE'!$D$7:$D$1506,MATCH(B304,'CARNET DE SOUDURE'!$M$7:$M$1506,0)),"")))</f>
        <v/>
      </c>
      <c r="M304" s="81" t="str">
        <f aca="false">IF(B304="","",IF(OR(J304&lt;&gt;"",K304&lt;&gt;""),"POSÉ EN LIGNE",IF(H304&lt;&gt;"","BARDÉ","EN STOCK")))</f>
        <v/>
      </c>
      <c r="N304" s="79"/>
    </row>
    <row r="305" customFormat="false" ht="15" hidden="false" customHeight="false" outlineLevel="0" collapsed="false">
      <c r="A305" s="78" t="str">
        <f aca="false">IF(B305="","",ROW()-6)</f>
        <v/>
      </c>
      <c r="B305" s="90"/>
      <c r="C305" s="91"/>
      <c r="D305" s="91"/>
      <c r="E305" s="80"/>
      <c r="F305" s="92"/>
      <c r="G305" s="79"/>
      <c r="H305" s="82"/>
      <c r="I305" s="93" t="str">
        <f aca="false">IF(B305="","",IFERROR(INDEX('CARNET DE SOUDURE'!$B$7:$B$1506,MATCH(B305,'CARNET DE SOUDURE'!$K$7:$K$1506,0)),IFERROR(INDEX('CARNET DE SOUDURE'!$B$7:$B$1506,MATCH(B305,'CARNET DE SOUDURE'!$M$7:$M$1506,0)),"")))</f>
        <v/>
      </c>
      <c r="J305" s="78" t="str">
        <f aca="false">IF(B305="","",IFERROR(INDEX('CARNET DE SOUDURE'!$E$7:$E$1506,MATCH(B305,'CARNET DE SOUDURE'!$M$7:$M$1506,0)),""))</f>
        <v/>
      </c>
      <c r="K305" s="78" t="str">
        <f aca="false">IF(B305="","",IFERROR(INDEX('CARNET DE SOUDURE'!$E$7:$E$1506,MATCH(B305,'CARNET DE SOUDURE'!$K$7:$K$1506,0)),""))</f>
        <v/>
      </c>
      <c r="L305" s="78" t="str">
        <f aca="false">IF(B305="","",IFERROR(INDEX('CARNET DE SOUDURE'!$D$7:$D$1506,MATCH(B305,'CARNET DE SOUDURE'!$K$7:$K$1506,0)),IFERROR(INDEX('CARNET DE SOUDURE'!$D$7:$D$1506,MATCH(B305,'CARNET DE SOUDURE'!$M$7:$M$1506,0)),"")))</f>
        <v/>
      </c>
      <c r="M305" s="81" t="str">
        <f aca="false">IF(B305="","",IF(OR(J305&lt;&gt;"",K305&lt;&gt;""),"POSÉ EN LIGNE",IF(H305&lt;&gt;"","BARDÉ","EN STOCK")))</f>
        <v/>
      </c>
      <c r="N305" s="79"/>
    </row>
    <row r="306" customFormat="false" ht="15" hidden="false" customHeight="false" outlineLevel="0" collapsed="false">
      <c r="A306" s="78" t="str">
        <f aca="false">IF(B306="","",ROW()-6)</f>
        <v/>
      </c>
      <c r="B306" s="90"/>
      <c r="C306" s="91"/>
      <c r="D306" s="91"/>
      <c r="E306" s="80"/>
      <c r="F306" s="92"/>
      <c r="G306" s="79"/>
      <c r="H306" s="82"/>
      <c r="I306" s="93" t="str">
        <f aca="false">IF(B306="","",IFERROR(INDEX('CARNET DE SOUDURE'!$B$7:$B$1506,MATCH(B306,'CARNET DE SOUDURE'!$K$7:$K$1506,0)),IFERROR(INDEX('CARNET DE SOUDURE'!$B$7:$B$1506,MATCH(B306,'CARNET DE SOUDURE'!$M$7:$M$1506,0)),"")))</f>
        <v/>
      </c>
      <c r="J306" s="78" t="str">
        <f aca="false">IF(B306="","",IFERROR(INDEX('CARNET DE SOUDURE'!$E$7:$E$1506,MATCH(B306,'CARNET DE SOUDURE'!$M$7:$M$1506,0)),""))</f>
        <v/>
      </c>
      <c r="K306" s="78" t="str">
        <f aca="false">IF(B306="","",IFERROR(INDEX('CARNET DE SOUDURE'!$E$7:$E$1506,MATCH(B306,'CARNET DE SOUDURE'!$K$7:$K$1506,0)),""))</f>
        <v/>
      </c>
      <c r="L306" s="78" t="str">
        <f aca="false">IF(B306="","",IFERROR(INDEX('CARNET DE SOUDURE'!$D$7:$D$1506,MATCH(B306,'CARNET DE SOUDURE'!$K$7:$K$1506,0)),IFERROR(INDEX('CARNET DE SOUDURE'!$D$7:$D$1506,MATCH(B306,'CARNET DE SOUDURE'!$M$7:$M$1506,0)),"")))</f>
        <v/>
      </c>
      <c r="M306" s="81" t="str">
        <f aca="false">IF(B306="","",IF(OR(J306&lt;&gt;"",K306&lt;&gt;""),"POSÉ EN LIGNE",IF(H306&lt;&gt;"","BARDÉ","EN STOCK")))</f>
        <v/>
      </c>
      <c r="N306" s="79"/>
    </row>
    <row r="307" customFormat="false" ht="15" hidden="false" customHeight="false" outlineLevel="0" collapsed="false">
      <c r="A307" s="78" t="str">
        <f aca="false">IF(B307="","",ROW()-6)</f>
        <v/>
      </c>
      <c r="B307" s="90"/>
      <c r="C307" s="91"/>
      <c r="D307" s="91"/>
      <c r="E307" s="80"/>
      <c r="F307" s="92"/>
      <c r="G307" s="79"/>
      <c r="H307" s="82"/>
      <c r="I307" s="93" t="str">
        <f aca="false">IF(B307="","",IFERROR(INDEX('CARNET DE SOUDURE'!$B$7:$B$1506,MATCH(B307,'CARNET DE SOUDURE'!$K$7:$K$1506,0)),IFERROR(INDEX('CARNET DE SOUDURE'!$B$7:$B$1506,MATCH(B307,'CARNET DE SOUDURE'!$M$7:$M$1506,0)),"")))</f>
        <v/>
      </c>
      <c r="J307" s="78" t="str">
        <f aca="false">IF(B307="","",IFERROR(INDEX('CARNET DE SOUDURE'!$E$7:$E$1506,MATCH(B307,'CARNET DE SOUDURE'!$M$7:$M$1506,0)),""))</f>
        <v/>
      </c>
      <c r="K307" s="78" t="str">
        <f aca="false">IF(B307="","",IFERROR(INDEX('CARNET DE SOUDURE'!$E$7:$E$1506,MATCH(B307,'CARNET DE SOUDURE'!$K$7:$K$1506,0)),""))</f>
        <v/>
      </c>
      <c r="L307" s="78" t="str">
        <f aca="false">IF(B307="","",IFERROR(INDEX('CARNET DE SOUDURE'!$D$7:$D$1506,MATCH(B307,'CARNET DE SOUDURE'!$K$7:$K$1506,0)),IFERROR(INDEX('CARNET DE SOUDURE'!$D$7:$D$1506,MATCH(B307,'CARNET DE SOUDURE'!$M$7:$M$1506,0)),"")))</f>
        <v/>
      </c>
      <c r="M307" s="81" t="str">
        <f aca="false">IF(B307="","",IF(OR(J307&lt;&gt;"",K307&lt;&gt;""),"POSÉ EN LIGNE",IF(H307&lt;&gt;"","BARDÉ","EN STOCK")))</f>
        <v/>
      </c>
      <c r="N307" s="79"/>
    </row>
    <row r="308" customFormat="false" ht="15" hidden="false" customHeight="false" outlineLevel="0" collapsed="false">
      <c r="A308" s="78" t="str">
        <f aca="false">IF(B308="","",ROW()-6)</f>
        <v/>
      </c>
      <c r="B308" s="90"/>
      <c r="C308" s="91"/>
      <c r="D308" s="91"/>
      <c r="E308" s="80"/>
      <c r="F308" s="92"/>
      <c r="G308" s="79"/>
      <c r="H308" s="82"/>
      <c r="I308" s="93" t="str">
        <f aca="false">IF(B308="","",IFERROR(INDEX('CARNET DE SOUDURE'!$B$7:$B$1506,MATCH(B308,'CARNET DE SOUDURE'!$K$7:$K$1506,0)),IFERROR(INDEX('CARNET DE SOUDURE'!$B$7:$B$1506,MATCH(B308,'CARNET DE SOUDURE'!$M$7:$M$1506,0)),"")))</f>
        <v/>
      </c>
      <c r="J308" s="78" t="str">
        <f aca="false">IF(B308="","",IFERROR(INDEX('CARNET DE SOUDURE'!$E$7:$E$1506,MATCH(B308,'CARNET DE SOUDURE'!$M$7:$M$1506,0)),""))</f>
        <v/>
      </c>
      <c r="K308" s="78" t="str">
        <f aca="false">IF(B308="","",IFERROR(INDEX('CARNET DE SOUDURE'!$E$7:$E$1506,MATCH(B308,'CARNET DE SOUDURE'!$K$7:$K$1506,0)),""))</f>
        <v/>
      </c>
      <c r="L308" s="78" t="str">
        <f aca="false">IF(B308="","",IFERROR(INDEX('CARNET DE SOUDURE'!$D$7:$D$1506,MATCH(B308,'CARNET DE SOUDURE'!$K$7:$K$1506,0)),IFERROR(INDEX('CARNET DE SOUDURE'!$D$7:$D$1506,MATCH(B308,'CARNET DE SOUDURE'!$M$7:$M$1506,0)),"")))</f>
        <v/>
      </c>
      <c r="M308" s="81" t="str">
        <f aca="false">IF(B308="","",IF(OR(J308&lt;&gt;"",K308&lt;&gt;""),"POSÉ EN LIGNE",IF(H308&lt;&gt;"","BARDÉ","EN STOCK")))</f>
        <v/>
      </c>
      <c r="N308" s="79"/>
    </row>
    <row r="309" customFormat="false" ht="15" hidden="false" customHeight="false" outlineLevel="0" collapsed="false">
      <c r="A309" s="78" t="str">
        <f aca="false">IF(B309="","",ROW()-6)</f>
        <v/>
      </c>
      <c r="B309" s="90"/>
      <c r="C309" s="91"/>
      <c r="D309" s="91"/>
      <c r="E309" s="80"/>
      <c r="F309" s="92"/>
      <c r="G309" s="79"/>
      <c r="H309" s="82"/>
      <c r="I309" s="93" t="str">
        <f aca="false">IF(B309="","",IFERROR(INDEX('CARNET DE SOUDURE'!$B$7:$B$1506,MATCH(B309,'CARNET DE SOUDURE'!$K$7:$K$1506,0)),IFERROR(INDEX('CARNET DE SOUDURE'!$B$7:$B$1506,MATCH(B309,'CARNET DE SOUDURE'!$M$7:$M$1506,0)),"")))</f>
        <v/>
      </c>
      <c r="J309" s="78" t="str">
        <f aca="false">IF(B309="","",IFERROR(INDEX('CARNET DE SOUDURE'!$E$7:$E$1506,MATCH(B309,'CARNET DE SOUDURE'!$M$7:$M$1506,0)),""))</f>
        <v/>
      </c>
      <c r="K309" s="78" t="str">
        <f aca="false">IF(B309="","",IFERROR(INDEX('CARNET DE SOUDURE'!$E$7:$E$1506,MATCH(B309,'CARNET DE SOUDURE'!$K$7:$K$1506,0)),""))</f>
        <v/>
      </c>
      <c r="L309" s="78" t="str">
        <f aca="false">IF(B309="","",IFERROR(INDEX('CARNET DE SOUDURE'!$D$7:$D$1506,MATCH(B309,'CARNET DE SOUDURE'!$K$7:$K$1506,0)),IFERROR(INDEX('CARNET DE SOUDURE'!$D$7:$D$1506,MATCH(B309,'CARNET DE SOUDURE'!$M$7:$M$1506,0)),"")))</f>
        <v/>
      </c>
      <c r="M309" s="81" t="str">
        <f aca="false">IF(B309="","",IF(OR(J309&lt;&gt;"",K309&lt;&gt;""),"POSÉ EN LIGNE",IF(H309&lt;&gt;"","BARDÉ","EN STOCK")))</f>
        <v/>
      </c>
      <c r="N309" s="79"/>
    </row>
    <row r="310" customFormat="false" ht="15" hidden="false" customHeight="false" outlineLevel="0" collapsed="false">
      <c r="A310" s="78" t="str">
        <f aca="false">IF(B310="","",ROW()-6)</f>
        <v/>
      </c>
      <c r="B310" s="90"/>
      <c r="C310" s="91"/>
      <c r="D310" s="91"/>
      <c r="E310" s="80"/>
      <c r="F310" s="92"/>
      <c r="G310" s="79"/>
      <c r="H310" s="82"/>
      <c r="I310" s="93" t="str">
        <f aca="false">IF(B310="","",IFERROR(INDEX('CARNET DE SOUDURE'!$B$7:$B$1506,MATCH(B310,'CARNET DE SOUDURE'!$K$7:$K$1506,0)),IFERROR(INDEX('CARNET DE SOUDURE'!$B$7:$B$1506,MATCH(B310,'CARNET DE SOUDURE'!$M$7:$M$1506,0)),"")))</f>
        <v/>
      </c>
      <c r="J310" s="78" t="str">
        <f aca="false">IF(B310="","",IFERROR(INDEX('CARNET DE SOUDURE'!$E$7:$E$1506,MATCH(B310,'CARNET DE SOUDURE'!$M$7:$M$1506,0)),""))</f>
        <v/>
      </c>
      <c r="K310" s="78" t="str">
        <f aca="false">IF(B310="","",IFERROR(INDEX('CARNET DE SOUDURE'!$E$7:$E$1506,MATCH(B310,'CARNET DE SOUDURE'!$K$7:$K$1506,0)),""))</f>
        <v/>
      </c>
      <c r="L310" s="78" t="str">
        <f aca="false">IF(B310="","",IFERROR(INDEX('CARNET DE SOUDURE'!$D$7:$D$1506,MATCH(B310,'CARNET DE SOUDURE'!$K$7:$K$1506,0)),IFERROR(INDEX('CARNET DE SOUDURE'!$D$7:$D$1506,MATCH(B310,'CARNET DE SOUDURE'!$M$7:$M$1506,0)),"")))</f>
        <v/>
      </c>
      <c r="M310" s="81" t="str">
        <f aca="false">IF(B310="","",IF(OR(J310&lt;&gt;"",K310&lt;&gt;""),"POSÉ EN LIGNE",IF(H310&lt;&gt;"","BARDÉ","EN STOCK")))</f>
        <v/>
      </c>
      <c r="N310" s="79"/>
    </row>
    <row r="311" customFormat="false" ht="15" hidden="false" customHeight="false" outlineLevel="0" collapsed="false">
      <c r="A311" s="78" t="str">
        <f aca="false">IF(B311="","",ROW()-6)</f>
        <v/>
      </c>
      <c r="B311" s="90"/>
      <c r="C311" s="91"/>
      <c r="D311" s="91"/>
      <c r="E311" s="80"/>
      <c r="F311" s="92"/>
      <c r="G311" s="79"/>
      <c r="H311" s="82"/>
      <c r="I311" s="93" t="str">
        <f aca="false">IF(B311="","",IFERROR(INDEX('CARNET DE SOUDURE'!$B$7:$B$1506,MATCH(B311,'CARNET DE SOUDURE'!$K$7:$K$1506,0)),IFERROR(INDEX('CARNET DE SOUDURE'!$B$7:$B$1506,MATCH(B311,'CARNET DE SOUDURE'!$M$7:$M$1506,0)),"")))</f>
        <v/>
      </c>
      <c r="J311" s="78" t="str">
        <f aca="false">IF(B311="","",IFERROR(INDEX('CARNET DE SOUDURE'!$E$7:$E$1506,MATCH(B311,'CARNET DE SOUDURE'!$M$7:$M$1506,0)),""))</f>
        <v/>
      </c>
      <c r="K311" s="78" t="str">
        <f aca="false">IF(B311="","",IFERROR(INDEX('CARNET DE SOUDURE'!$E$7:$E$1506,MATCH(B311,'CARNET DE SOUDURE'!$K$7:$K$1506,0)),""))</f>
        <v/>
      </c>
      <c r="L311" s="78" t="str">
        <f aca="false">IF(B311="","",IFERROR(INDEX('CARNET DE SOUDURE'!$D$7:$D$1506,MATCH(B311,'CARNET DE SOUDURE'!$K$7:$K$1506,0)),IFERROR(INDEX('CARNET DE SOUDURE'!$D$7:$D$1506,MATCH(B311,'CARNET DE SOUDURE'!$M$7:$M$1506,0)),"")))</f>
        <v/>
      </c>
      <c r="M311" s="81" t="str">
        <f aca="false">IF(B311="","",IF(OR(J311&lt;&gt;"",K311&lt;&gt;""),"POSÉ EN LIGNE",IF(H311&lt;&gt;"","BARDÉ","EN STOCK")))</f>
        <v/>
      </c>
      <c r="N311" s="79"/>
    </row>
    <row r="312" customFormat="false" ht="15" hidden="false" customHeight="false" outlineLevel="0" collapsed="false">
      <c r="A312" s="78" t="str">
        <f aca="false">IF(B312="","",ROW()-6)</f>
        <v/>
      </c>
      <c r="B312" s="90"/>
      <c r="C312" s="91"/>
      <c r="D312" s="91"/>
      <c r="E312" s="80"/>
      <c r="F312" s="92"/>
      <c r="G312" s="79"/>
      <c r="H312" s="82"/>
      <c r="I312" s="93" t="str">
        <f aca="false">IF(B312="","",IFERROR(INDEX('CARNET DE SOUDURE'!$B$7:$B$1506,MATCH(B312,'CARNET DE SOUDURE'!$K$7:$K$1506,0)),IFERROR(INDEX('CARNET DE SOUDURE'!$B$7:$B$1506,MATCH(B312,'CARNET DE SOUDURE'!$M$7:$M$1506,0)),"")))</f>
        <v/>
      </c>
      <c r="J312" s="78" t="str">
        <f aca="false">IF(B312="","",IFERROR(INDEX('CARNET DE SOUDURE'!$E$7:$E$1506,MATCH(B312,'CARNET DE SOUDURE'!$M$7:$M$1506,0)),""))</f>
        <v/>
      </c>
      <c r="K312" s="78" t="str">
        <f aca="false">IF(B312="","",IFERROR(INDEX('CARNET DE SOUDURE'!$E$7:$E$1506,MATCH(B312,'CARNET DE SOUDURE'!$K$7:$K$1506,0)),""))</f>
        <v/>
      </c>
      <c r="L312" s="78" t="str">
        <f aca="false">IF(B312="","",IFERROR(INDEX('CARNET DE SOUDURE'!$D$7:$D$1506,MATCH(B312,'CARNET DE SOUDURE'!$K$7:$K$1506,0)),IFERROR(INDEX('CARNET DE SOUDURE'!$D$7:$D$1506,MATCH(B312,'CARNET DE SOUDURE'!$M$7:$M$1506,0)),"")))</f>
        <v/>
      </c>
      <c r="M312" s="81" t="str">
        <f aca="false">IF(B312="","",IF(OR(J312&lt;&gt;"",K312&lt;&gt;""),"POSÉ EN LIGNE",IF(H312&lt;&gt;"","BARDÉ","EN STOCK")))</f>
        <v/>
      </c>
      <c r="N312" s="79"/>
    </row>
    <row r="313" customFormat="false" ht="15" hidden="false" customHeight="false" outlineLevel="0" collapsed="false">
      <c r="A313" s="78" t="str">
        <f aca="false">IF(B313="","",ROW()-6)</f>
        <v/>
      </c>
      <c r="B313" s="90"/>
      <c r="C313" s="91"/>
      <c r="D313" s="91"/>
      <c r="E313" s="80"/>
      <c r="F313" s="92"/>
      <c r="G313" s="79"/>
      <c r="H313" s="82"/>
      <c r="I313" s="93" t="str">
        <f aca="false">IF(B313="","",IFERROR(INDEX('CARNET DE SOUDURE'!$B$7:$B$1506,MATCH(B313,'CARNET DE SOUDURE'!$K$7:$K$1506,0)),IFERROR(INDEX('CARNET DE SOUDURE'!$B$7:$B$1506,MATCH(B313,'CARNET DE SOUDURE'!$M$7:$M$1506,0)),"")))</f>
        <v/>
      </c>
      <c r="J313" s="78" t="str">
        <f aca="false">IF(B313="","",IFERROR(INDEX('CARNET DE SOUDURE'!$E$7:$E$1506,MATCH(B313,'CARNET DE SOUDURE'!$M$7:$M$1506,0)),""))</f>
        <v/>
      </c>
      <c r="K313" s="78" t="str">
        <f aca="false">IF(B313="","",IFERROR(INDEX('CARNET DE SOUDURE'!$E$7:$E$1506,MATCH(B313,'CARNET DE SOUDURE'!$K$7:$K$1506,0)),""))</f>
        <v/>
      </c>
      <c r="L313" s="78" t="str">
        <f aca="false">IF(B313="","",IFERROR(INDEX('CARNET DE SOUDURE'!$D$7:$D$1506,MATCH(B313,'CARNET DE SOUDURE'!$K$7:$K$1506,0)),IFERROR(INDEX('CARNET DE SOUDURE'!$D$7:$D$1506,MATCH(B313,'CARNET DE SOUDURE'!$M$7:$M$1506,0)),"")))</f>
        <v/>
      </c>
      <c r="M313" s="81" t="str">
        <f aca="false">IF(B313="","",IF(OR(J313&lt;&gt;"",K313&lt;&gt;""),"POSÉ EN LIGNE",IF(H313&lt;&gt;"","BARDÉ","EN STOCK")))</f>
        <v/>
      </c>
      <c r="N313" s="79"/>
    </row>
    <row r="314" customFormat="false" ht="15" hidden="false" customHeight="false" outlineLevel="0" collapsed="false">
      <c r="A314" s="78" t="str">
        <f aca="false">IF(B314="","",ROW()-6)</f>
        <v/>
      </c>
      <c r="B314" s="90"/>
      <c r="C314" s="91"/>
      <c r="D314" s="91"/>
      <c r="E314" s="80"/>
      <c r="F314" s="92"/>
      <c r="G314" s="79"/>
      <c r="H314" s="82"/>
      <c r="I314" s="93" t="str">
        <f aca="false">IF(B314="","",IFERROR(INDEX('CARNET DE SOUDURE'!$B$7:$B$1506,MATCH(B314,'CARNET DE SOUDURE'!$K$7:$K$1506,0)),IFERROR(INDEX('CARNET DE SOUDURE'!$B$7:$B$1506,MATCH(B314,'CARNET DE SOUDURE'!$M$7:$M$1506,0)),"")))</f>
        <v/>
      </c>
      <c r="J314" s="78" t="str">
        <f aca="false">IF(B314="","",IFERROR(INDEX('CARNET DE SOUDURE'!$E$7:$E$1506,MATCH(B314,'CARNET DE SOUDURE'!$M$7:$M$1506,0)),""))</f>
        <v/>
      </c>
      <c r="K314" s="78" t="str">
        <f aca="false">IF(B314="","",IFERROR(INDEX('CARNET DE SOUDURE'!$E$7:$E$1506,MATCH(B314,'CARNET DE SOUDURE'!$K$7:$K$1506,0)),""))</f>
        <v/>
      </c>
      <c r="L314" s="78" t="str">
        <f aca="false">IF(B314="","",IFERROR(INDEX('CARNET DE SOUDURE'!$D$7:$D$1506,MATCH(B314,'CARNET DE SOUDURE'!$K$7:$K$1506,0)),IFERROR(INDEX('CARNET DE SOUDURE'!$D$7:$D$1506,MATCH(B314,'CARNET DE SOUDURE'!$M$7:$M$1506,0)),"")))</f>
        <v/>
      </c>
      <c r="M314" s="81" t="str">
        <f aca="false">IF(B314="","",IF(OR(J314&lt;&gt;"",K314&lt;&gt;""),"POSÉ EN LIGNE",IF(H314&lt;&gt;"","BARDÉ","EN STOCK")))</f>
        <v/>
      </c>
      <c r="N314" s="79"/>
    </row>
    <row r="315" customFormat="false" ht="15" hidden="false" customHeight="false" outlineLevel="0" collapsed="false">
      <c r="A315" s="78" t="str">
        <f aca="false">IF(B315="","",ROW()-6)</f>
        <v/>
      </c>
      <c r="B315" s="90"/>
      <c r="C315" s="91"/>
      <c r="D315" s="91"/>
      <c r="E315" s="80"/>
      <c r="F315" s="92"/>
      <c r="G315" s="79"/>
      <c r="H315" s="82"/>
      <c r="I315" s="93" t="str">
        <f aca="false">IF(B315="","",IFERROR(INDEX('CARNET DE SOUDURE'!$B$7:$B$1506,MATCH(B315,'CARNET DE SOUDURE'!$K$7:$K$1506,0)),IFERROR(INDEX('CARNET DE SOUDURE'!$B$7:$B$1506,MATCH(B315,'CARNET DE SOUDURE'!$M$7:$M$1506,0)),"")))</f>
        <v/>
      </c>
      <c r="J315" s="78" t="str">
        <f aca="false">IF(B315="","",IFERROR(INDEX('CARNET DE SOUDURE'!$E$7:$E$1506,MATCH(B315,'CARNET DE SOUDURE'!$M$7:$M$1506,0)),""))</f>
        <v/>
      </c>
      <c r="K315" s="78" t="str">
        <f aca="false">IF(B315="","",IFERROR(INDEX('CARNET DE SOUDURE'!$E$7:$E$1506,MATCH(B315,'CARNET DE SOUDURE'!$K$7:$K$1506,0)),""))</f>
        <v/>
      </c>
      <c r="L315" s="78" t="str">
        <f aca="false">IF(B315="","",IFERROR(INDEX('CARNET DE SOUDURE'!$D$7:$D$1506,MATCH(B315,'CARNET DE SOUDURE'!$K$7:$K$1506,0)),IFERROR(INDEX('CARNET DE SOUDURE'!$D$7:$D$1506,MATCH(B315,'CARNET DE SOUDURE'!$M$7:$M$1506,0)),"")))</f>
        <v/>
      </c>
      <c r="M315" s="81" t="str">
        <f aca="false">IF(B315="","",IF(OR(J315&lt;&gt;"",K315&lt;&gt;""),"POSÉ EN LIGNE",IF(H315&lt;&gt;"","BARDÉ","EN STOCK")))</f>
        <v/>
      </c>
      <c r="N315" s="79"/>
    </row>
    <row r="316" customFormat="false" ht="15" hidden="false" customHeight="false" outlineLevel="0" collapsed="false">
      <c r="A316" s="78" t="str">
        <f aca="false">IF(B316="","",ROW()-6)</f>
        <v/>
      </c>
      <c r="B316" s="90"/>
      <c r="C316" s="91"/>
      <c r="D316" s="91"/>
      <c r="E316" s="80"/>
      <c r="F316" s="92"/>
      <c r="G316" s="79"/>
      <c r="H316" s="82"/>
      <c r="I316" s="93" t="str">
        <f aca="false">IF(B316="","",IFERROR(INDEX('CARNET DE SOUDURE'!$B$7:$B$1506,MATCH(B316,'CARNET DE SOUDURE'!$K$7:$K$1506,0)),IFERROR(INDEX('CARNET DE SOUDURE'!$B$7:$B$1506,MATCH(B316,'CARNET DE SOUDURE'!$M$7:$M$1506,0)),"")))</f>
        <v/>
      </c>
      <c r="J316" s="78" t="str">
        <f aca="false">IF(B316="","",IFERROR(INDEX('CARNET DE SOUDURE'!$E$7:$E$1506,MATCH(B316,'CARNET DE SOUDURE'!$M$7:$M$1506,0)),""))</f>
        <v/>
      </c>
      <c r="K316" s="78" t="str">
        <f aca="false">IF(B316="","",IFERROR(INDEX('CARNET DE SOUDURE'!$E$7:$E$1506,MATCH(B316,'CARNET DE SOUDURE'!$K$7:$K$1506,0)),""))</f>
        <v/>
      </c>
      <c r="L316" s="78" t="str">
        <f aca="false">IF(B316="","",IFERROR(INDEX('CARNET DE SOUDURE'!$D$7:$D$1506,MATCH(B316,'CARNET DE SOUDURE'!$K$7:$K$1506,0)),IFERROR(INDEX('CARNET DE SOUDURE'!$D$7:$D$1506,MATCH(B316,'CARNET DE SOUDURE'!$M$7:$M$1506,0)),"")))</f>
        <v/>
      </c>
      <c r="M316" s="81" t="str">
        <f aca="false">IF(B316="","",IF(OR(J316&lt;&gt;"",K316&lt;&gt;""),"POSÉ EN LIGNE",IF(H316&lt;&gt;"","BARDÉ","EN STOCK")))</f>
        <v/>
      </c>
      <c r="N316" s="79"/>
    </row>
    <row r="317" customFormat="false" ht="15" hidden="false" customHeight="false" outlineLevel="0" collapsed="false">
      <c r="A317" s="78" t="str">
        <f aca="false">IF(B317="","",ROW()-6)</f>
        <v/>
      </c>
      <c r="B317" s="90"/>
      <c r="C317" s="91"/>
      <c r="D317" s="91"/>
      <c r="E317" s="80"/>
      <c r="F317" s="92"/>
      <c r="G317" s="79"/>
      <c r="H317" s="82"/>
      <c r="I317" s="93" t="str">
        <f aca="false">IF(B317="","",IFERROR(INDEX('CARNET DE SOUDURE'!$B$7:$B$1506,MATCH(B317,'CARNET DE SOUDURE'!$K$7:$K$1506,0)),IFERROR(INDEX('CARNET DE SOUDURE'!$B$7:$B$1506,MATCH(B317,'CARNET DE SOUDURE'!$M$7:$M$1506,0)),"")))</f>
        <v/>
      </c>
      <c r="J317" s="78" t="str">
        <f aca="false">IF(B317="","",IFERROR(INDEX('CARNET DE SOUDURE'!$E$7:$E$1506,MATCH(B317,'CARNET DE SOUDURE'!$M$7:$M$1506,0)),""))</f>
        <v/>
      </c>
      <c r="K317" s="78" t="str">
        <f aca="false">IF(B317="","",IFERROR(INDEX('CARNET DE SOUDURE'!$E$7:$E$1506,MATCH(B317,'CARNET DE SOUDURE'!$K$7:$K$1506,0)),""))</f>
        <v/>
      </c>
      <c r="L317" s="78" t="str">
        <f aca="false">IF(B317="","",IFERROR(INDEX('CARNET DE SOUDURE'!$D$7:$D$1506,MATCH(B317,'CARNET DE SOUDURE'!$K$7:$K$1506,0)),IFERROR(INDEX('CARNET DE SOUDURE'!$D$7:$D$1506,MATCH(B317,'CARNET DE SOUDURE'!$M$7:$M$1506,0)),"")))</f>
        <v/>
      </c>
      <c r="M317" s="81" t="str">
        <f aca="false">IF(B317="","",IF(OR(J317&lt;&gt;"",K317&lt;&gt;""),"POSÉ EN LIGNE",IF(H317&lt;&gt;"","BARDÉ","EN STOCK")))</f>
        <v/>
      </c>
      <c r="N317" s="79"/>
    </row>
    <row r="318" customFormat="false" ht="15" hidden="false" customHeight="false" outlineLevel="0" collapsed="false">
      <c r="A318" s="78" t="str">
        <f aca="false">IF(B318="","",ROW()-6)</f>
        <v/>
      </c>
      <c r="B318" s="90"/>
      <c r="C318" s="91"/>
      <c r="D318" s="91"/>
      <c r="E318" s="80"/>
      <c r="F318" s="92"/>
      <c r="G318" s="79"/>
      <c r="H318" s="82"/>
      <c r="I318" s="93" t="str">
        <f aca="false">IF(B318="","",IFERROR(INDEX('CARNET DE SOUDURE'!$B$7:$B$1506,MATCH(B318,'CARNET DE SOUDURE'!$K$7:$K$1506,0)),IFERROR(INDEX('CARNET DE SOUDURE'!$B$7:$B$1506,MATCH(B318,'CARNET DE SOUDURE'!$M$7:$M$1506,0)),"")))</f>
        <v/>
      </c>
      <c r="J318" s="78" t="str">
        <f aca="false">IF(B318="","",IFERROR(INDEX('CARNET DE SOUDURE'!$E$7:$E$1506,MATCH(B318,'CARNET DE SOUDURE'!$M$7:$M$1506,0)),""))</f>
        <v/>
      </c>
      <c r="K318" s="78" t="str">
        <f aca="false">IF(B318="","",IFERROR(INDEX('CARNET DE SOUDURE'!$E$7:$E$1506,MATCH(B318,'CARNET DE SOUDURE'!$K$7:$K$1506,0)),""))</f>
        <v/>
      </c>
      <c r="L318" s="78" t="str">
        <f aca="false">IF(B318="","",IFERROR(INDEX('CARNET DE SOUDURE'!$D$7:$D$1506,MATCH(B318,'CARNET DE SOUDURE'!$K$7:$K$1506,0)),IFERROR(INDEX('CARNET DE SOUDURE'!$D$7:$D$1506,MATCH(B318,'CARNET DE SOUDURE'!$M$7:$M$1506,0)),"")))</f>
        <v/>
      </c>
      <c r="M318" s="81" t="str">
        <f aca="false">IF(B318="","",IF(OR(J318&lt;&gt;"",K318&lt;&gt;""),"POSÉ EN LIGNE",IF(H318&lt;&gt;"","BARDÉ","EN STOCK")))</f>
        <v/>
      </c>
      <c r="N318" s="79"/>
    </row>
    <row r="319" customFormat="false" ht="15" hidden="false" customHeight="false" outlineLevel="0" collapsed="false">
      <c r="A319" s="78" t="str">
        <f aca="false">IF(B319="","",ROW()-6)</f>
        <v/>
      </c>
      <c r="B319" s="90"/>
      <c r="C319" s="91"/>
      <c r="D319" s="91"/>
      <c r="E319" s="80"/>
      <c r="F319" s="92"/>
      <c r="G319" s="79"/>
      <c r="H319" s="82"/>
      <c r="I319" s="93" t="str">
        <f aca="false">IF(B319="","",IFERROR(INDEX('CARNET DE SOUDURE'!$B$7:$B$1506,MATCH(B319,'CARNET DE SOUDURE'!$K$7:$K$1506,0)),IFERROR(INDEX('CARNET DE SOUDURE'!$B$7:$B$1506,MATCH(B319,'CARNET DE SOUDURE'!$M$7:$M$1506,0)),"")))</f>
        <v/>
      </c>
      <c r="J319" s="78" t="str">
        <f aca="false">IF(B319="","",IFERROR(INDEX('CARNET DE SOUDURE'!$E$7:$E$1506,MATCH(B319,'CARNET DE SOUDURE'!$M$7:$M$1506,0)),""))</f>
        <v/>
      </c>
      <c r="K319" s="78" t="str">
        <f aca="false">IF(B319="","",IFERROR(INDEX('CARNET DE SOUDURE'!$E$7:$E$1506,MATCH(B319,'CARNET DE SOUDURE'!$K$7:$K$1506,0)),""))</f>
        <v/>
      </c>
      <c r="L319" s="78" t="str">
        <f aca="false">IF(B319="","",IFERROR(INDEX('CARNET DE SOUDURE'!$D$7:$D$1506,MATCH(B319,'CARNET DE SOUDURE'!$K$7:$K$1506,0)),IFERROR(INDEX('CARNET DE SOUDURE'!$D$7:$D$1506,MATCH(B319,'CARNET DE SOUDURE'!$M$7:$M$1506,0)),"")))</f>
        <v/>
      </c>
      <c r="M319" s="81" t="str">
        <f aca="false">IF(B319="","",IF(OR(J319&lt;&gt;"",K319&lt;&gt;""),"POSÉ EN LIGNE",IF(H319&lt;&gt;"","BARDÉ","EN STOCK")))</f>
        <v/>
      </c>
      <c r="N319" s="79"/>
    </row>
    <row r="320" customFormat="false" ht="15" hidden="false" customHeight="false" outlineLevel="0" collapsed="false">
      <c r="A320" s="78" t="str">
        <f aca="false">IF(B320="","",ROW()-6)</f>
        <v/>
      </c>
      <c r="B320" s="90"/>
      <c r="C320" s="91"/>
      <c r="D320" s="91"/>
      <c r="E320" s="80"/>
      <c r="F320" s="92"/>
      <c r="G320" s="79"/>
      <c r="H320" s="82"/>
      <c r="I320" s="93" t="str">
        <f aca="false">IF(B320="","",IFERROR(INDEX('CARNET DE SOUDURE'!$B$7:$B$1506,MATCH(B320,'CARNET DE SOUDURE'!$K$7:$K$1506,0)),IFERROR(INDEX('CARNET DE SOUDURE'!$B$7:$B$1506,MATCH(B320,'CARNET DE SOUDURE'!$M$7:$M$1506,0)),"")))</f>
        <v/>
      </c>
      <c r="J320" s="78" t="str">
        <f aca="false">IF(B320="","",IFERROR(INDEX('CARNET DE SOUDURE'!$E$7:$E$1506,MATCH(B320,'CARNET DE SOUDURE'!$M$7:$M$1506,0)),""))</f>
        <v/>
      </c>
      <c r="K320" s="78" t="str">
        <f aca="false">IF(B320="","",IFERROR(INDEX('CARNET DE SOUDURE'!$E$7:$E$1506,MATCH(B320,'CARNET DE SOUDURE'!$K$7:$K$1506,0)),""))</f>
        <v/>
      </c>
      <c r="L320" s="78" t="str">
        <f aca="false">IF(B320="","",IFERROR(INDEX('CARNET DE SOUDURE'!$D$7:$D$1506,MATCH(B320,'CARNET DE SOUDURE'!$K$7:$K$1506,0)),IFERROR(INDEX('CARNET DE SOUDURE'!$D$7:$D$1506,MATCH(B320,'CARNET DE SOUDURE'!$M$7:$M$1506,0)),"")))</f>
        <v/>
      </c>
      <c r="M320" s="81" t="str">
        <f aca="false">IF(B320="","",IF(OR(J320&lt;&gt;"",K320&lt;&gt;""),"POSÉ EN LIGNE",IF(H320&lt;&gt;"","BARDÉ","EN STOCK")))</f>
        <v/>
      </c>
      <c r="N320" s="79"/>
    </row>
    <row r="321" customFormat="false" ht="15" hidden="false" customHeight="false" outlineLevel="0" collapsed="false">
      <c r="A321" s="78" t="str">
        <f aca="false">IF(B321="","",ROW()-6)</f>
        <v/>
      </c>
      <c r="B321" s="90"/>
      <c r="C321" s="91"/>
      <c r="D321" s="91"/>
      <c r="E321" s="80"/>
      <c r="F321" s="92"/>
      <c r="G321" s="79"/>
      <c r="H321" s="82"/>
      <c r="I321" s="93" t="str">
        <f aca="false">IF(B321="","",IFERROR(INDEX('CARNET DE SOUDURE'!$B$7:$B$1506,MATCH(B321,'CARNET DE SOUDURE'!$K$7:$K$1506,0)),IFERROR(INDEX('CARNET DE SOUDURE'!$B$7:$B$1506,MATCH(B321,'CARNET DE SOUDURE'!$M$7:$M$1506,0)),"")))</f>
        <v/>
      </c>
      <c r="J321" s="78" t="str">
        <f aca="false">IF(B321="","",IFERROR(INDEX('CARNET DE SOUDURE'!$E$7:$E$1506,MATCH(B321,'CARNET DE SOUDURE'!$M$7:$M$1506,0)),""))</f>
        <v/>
      </c>
      <c r="K321" s="78" t="str">
        <f aca="false">IF(B321="","",IFERROR(INDEX('CARNET DE SOUDURE'!$E$7:$E$1506,MATCH(B321,'CARNET DE SOUDURE'!$K$7:$K$1506,0)),""))</f>
        <v/>
      </c>
      <c r="L321" s="78" t="str">
        <f aca="false">IF(B321="","",IFERROR(INDEX('CARNET DE SOUDURE'!$D$7:$D$1506,MATCH(B321,'CARNET DE SOUDURE'!$K$7:$K$1506,0)),IFERROR(INDEX('CARNET DE SOUDURE'!$D$7:$D$1506,MATCH(B321,'CARNET DE SOUDURE'!$M$7:$M$1506,0)),"")))</f>
        <v/>
      </c>
      <c r="M321" s="81" t="str">
        <f aca="false">IF(B321="","",IF(OR(J321&lt;&gt;"",K321&lt;&gt;""),"POSÉ EN LIGNE",IF(H321&lt;&gt;"","BARDÉ","EN STOCK")))</f>
        <v/>
      </c>
      <c r="N321" s="79"/>
    </row>
    <row r="322" customFormat="false" ht="15" hidden="false" customHeight="false" outlineLevel="0" collapsed="false">
      <c r="A322" s="78" t="str">
        <f aca="false">IF(B322="","",ROW()-6)</f>
        <v/>
      </c>
      <c r="B322" s="90"/>
      <c r="C322" s="91"/>
      <c r="D322" s="91"/>
      <c r="E322" s="80"/>
      <c r="F322" s="92"/>
      <c r="G322" s="79"/>
      <c r="H322" s="82"/>
      <c r="I322" s="93" t="str">
        <f aca="false">IF(B322="","",IFERROR(INDEX('CARNET DE SOUDURE'!$B$7:$B$1506,MATCH(B322,'CARNET DE SOUDURE'!$K$7:$K$1506,0)),IFERROR(INDEX('CARNET DE SOUDURE'!$B$7:$B$1506,MATCH(B322,'CARNET DE SOUDURE'!$M$7:$M$1506,0)),"")))</f>
        <v/>
      </c>
      <c r="J322" s="78" t="str">
        <f aca="false">IF(B322="","",IFERROR(INDEX('CARNET DE SOUDURE'!$E$7:$E$1506,MATCH(B322,'CARNET DE SOUDURE'!$M$7:$M$1506,0)),""))</f>
        <v/>
      </c>
      <c r="K322" s="78" t="str">
        <f aca="false">IF(B322="","",IFERROR(INDEX('CARNET DE SOUDURE'!$E$7:$E$1506,MATCH(B322,'CARNET DE SOUDURE'!$K$7:$K$1506,0)),""))</f>
        <v/>
      </c>
      <c r="L322" s="78" t="str">
        <f aca="false">IF(B322="","",IFERROR(INDEX('CARNET DE SOUDURE'!$D$7:$D$1506,MATCH(B322,'CARNET DE SOUDURE'!$K$7:$K$1506,0)),IFERROR(INDEX('CARNET DE SOUDURE'!$D$7:$D$1506,MATCH(B322,'CARNET DE SOUDURE'!$M$7:$M$1506,0)),"")))</f>
        <v/>
      </c>
      <c r="M322" s="81" t="str">
        <f aca="false">IF(B322="","",IF(OR(J322&lt;&gt;"",K322&lt;&gt;""),"POSÉ EN LIGNE",IF(H322&lt;&gt;"","BARDÉ","EN STOCK")))</f>
        <v/>
      </c>
      <c r="N322" s="79"/>
    </row>
    <row r="323" customFormat="false" ht="15" hidden="false" customHeight="false" outlineLevel="0" collapsed="false">
      <c r="A323" s="78" t="str">
        <f aca="false">IF(B323="","",ROW()-6)</f>
        <v/>
      </c>
      <c r="B323" s="90"/>
      <c r="C323" s="91"/>
      <c r="D323" s="91"/>
      <c r="E323" s="80"/>
      <c r="F323" s="92"/>
      <c r="G323" s="79"/>
      <c r="H323" s="82"/>
      <c r="I323" s="93" t="str">
        <f aca="false">IF(B323="","",IFERROR(INDEX('CARNET DE SOUDURE'!$B$7:$B$1506,MATCH(B323,'CARNET DE SOUDURE'!$K$7:$K$1506,0)),IFERROR(INDEX('CARNET DE SOUDURE'!$B$7:$B$1506,MATCH(B323,'CARNET DE SOUDURE'!$M$7:$M$1506,0)),"")))</f>
        <v/>
      </c>
      <c r="J323" s="78" t="str">
        <f aca="false">IF(B323="","",IFERROR(INDEX('CARNET DE SOUDURE'!$E$7:$E$1506,MATCH(B323,'CARNET DE SOUDURE'!$M$7:$M$1506,0)),""))</f>
        <v/>
      </c>
      <c r="K323" s="78" t="str">
        <f aca="false">IF(B323="","",IFERROR(INDEX('CARNET DE SOUDURE'!$E$7:$E$1506,MATCH(B323,'CARNET DE SOUDURE'!$K$7:$K$1506,0)),""))</f>
        <v/>
      </c>
      <c r="L323" s="78" t="str">
        <f aca="false">IF(B323="","",IFERROR(INDEX('CARNET DE SOUDURE'!$D$7:$D$1506,MATCH(B323,'CARNET DE SOUDURE'!$K$7:$K$1506,0)),IFERROR(INDEX('CARNET DE SOUDURE'!$D$7:$D$1506,MATCH(B323,'CARNET DE SOUDURE'!$M$7:$M$1506,0)),"")))</f>
        <v/>
      </c>
      <c r="M323" s="81" t="str">
        <f aca="false">IF(B323="","",IF(OR(J323&lt;&gt;"",K323&lt;&gt;""),"POSÉ EN LIGNE",IF(H323&lt;&gt;"","BARDÉ","EN STOCK")))</f>
        <v/>
      </c>
      <c r="N323" s="79"/>
    </row>
    <row r="324" customFormat="false" ht="15" hidden="false" customHeight="false" outlineLevel="0" collapsed="false">
      <c r="A324" s="78" t="str">
        <f aca="false">IF(B324="","",ROW()-6)</f>
        <v/>
      </c>
      <c r="B324" s="90"/>
      <c r="C324" s="91"/>
      <c r="D324" s="91"/>
      <c r="E324" s="80"/>
      <c r="F324" s="92"/>
      <c r="G324" s="79"/>
      <c r="H324" s="82"/>
      <c r="I324" s="93" t="str">
        <f aca="false">IF(B324="","",IFERROR(INDEX('CARNET DE SOUDURE'!$B$7:$B$1506,MATCH(B324,'CARNET DE SOUDURE'!$K$7:$K$1506,0)),IFERROR(INDEX('CARNET DE SOUDURE'!$B$7:$B$1506,MATCH(B324,'CARNET DE SOUDURE'!$M$7:$M$1506,0)),"")))</f>
        <v/>
      </c>
      <c r="J324" s="78" t="str">
        <f aca="false">IF(B324="","",IFERROR(INDEX('CARNET DE SOUDURE'!$E$7:$E$1506,MATCH(B324,'CARNET DE SOUDURE'!$M$7:$M$1506,0)),""))</f>
        <v/>
      </c>
      <c r="K324" s="78" t="str">
        <f aca="false">IF(B324="","",IFERROR(INDEX('CARNET DE SOUDURE'!$E$7:$E$1506,MATCH(B324,'CARNET DE SOUDURE'!$K$7:$K$1506,0)),""))</f>
        <v/>
      </c>
      <c r="L324" s="78" t="str">
        <f aca="false">IF(B324="","",IFERROR(INDEX('CARNET DE SOUDURE'!$D$7:$D$1506,MATCH(B324,'CARNET DE SOUDURE'!$K$7:$K$1506,0)),IFERROR(INDEX('CARNET DE SOUDURE'!$D$7:$D$1506,MATCH(B324,'CARNET DE SOUDURE'!$M$7:$M$1506,0)),"")))</f>
        <v/>
      </c>
      <c r="M324" s="81" t="str">
        <f aca="false">IF(B324="","",IF(OR(J324&lt;&gt;"",K324&lt;&gt;""),"POSÉ EN LIGNE",IF(H324&lt;&gt;"","BARDÉ","EN STOCK")))</f>
        <v/>
      </c>
      <c r="N324" s="79"/>
    </row>
    <row r="325" customFormat="false" ht="15" hidden="false" customHeight="false" outlineLevel="0" collapsed="false">
      <c r="A325" s="78" t="str">
        <f aca="false">IF(B325="","",ROW()-6)</f>
        <v/>
      </c>
      <c r="B325" s="90"/>
      <c r="C325" s="91"/>
      <c r="D325" s="91"/>
      <c r="E325" s="80"/>
      <c r="F325" s="92"/>
      <c r="G325" s="79"/>
      <c r="H325" s="82"/>
      <c r="I325" s="93" t="str">
        <f aca="false">IF(B325="","",IFERROR(INDEX('CARNET DE SOUDURE'!$B$7:$B$1506,MATCH(B325,'CARNET DE SOUDURE'!$K$7:$K$1506,0)),IFERROR(INDEX('CARNET DE SOUDURE'!$B$7:$B$1506,MATCH(B325,'CARNET DE SOUDURE'!$M$7:$M$1506,0)),"")))</f>
        <v/>
      </c>
      <c r="J325" s="78" t="str">
        <f aca="false">IF(B325="","",IFERROR(INDEX('CARNET DE SOUDURE'!$E$7:$E$1506,MATCH(B325,'CARNET DE SOUDURE'!$M$7:$M$1506,0)),""))</f>
        <v/>
      </c>
      <c r="K325" s="78" t="str">
        <f aca="false">IF(B325="","",IFERROR(INDEX('CARNET DE SOUDURE'!$E$7:$E$1506,MATCH(B325,'CARNET DE SOUDURE'!$K$7:$K$1506,0)),""))</f>
        <v/>
      </c>
      <c r="L325" s="78" t="str">
        <f aca="false">IF(B325="","",IFERROR(INDEX('CARNET DE SOUDURE'!$D$7:$D$1506,MATCH(B325,'CARNET DE SOUDURE'!$K$7:$K$1506,0)),IFERROR(INDEX('CARNET DE SOUDURE'!$D$7:$D$1506,MATCH(B325,'CARNET DE SOUDURE'!$M$7:$M$1506,0)),"")))</f>
        <v/>
      </c>
      <c r="M325" s="81" t="str">
        <f aca="false">IF(B325="","",IF(OR(J325&lt;&gt;"",K325&lt;&gt;""),"POSÉ EN LIGNE",IF(H325&lt;&gt;"","BARDÉ","EN STOCK")))</f>
        <v/>
      </c>
      <c r="N325" s="79"/>
    </row>
    <row r="326" customFormat="false" ht="15" hidden="false" customHeight="false" outlineLevel="0" collapsed="false">
      <c r="A326" s="78" t="str">
        <f aca="false">IF(B326="","",ROW()-6)</f>
        <v/>
      </c>
      <c r="B326" s="90"/>
      <c r="C326" s="91"/>
      <c r="D326" s="91"/>
      <c r="E326" s="80"/>
      <c r="F326" s="92"/>
      <c r="G326" s="79"/>
      <c r="H326" s="82"/>
      <c r="I326" s="93" t="str">
        <f aca="false">IF(B326="","",IFERROR(INDEX('CARNET DE SOUDURE'!$B$7:$B$1506,MATCH(B326,'CARNET DE SOUDURE'!$K$7:$K$1506,0)),IFERROR(INDEX('CARNET DE SOUDURE'!$B$7:$B$1506,MATCH(B326,'CARNET DE SOUDURE'!$M$7:$M$1506,0)),"")))</f>
        <v/>
      </c>
      <c r="J326" s="78" t="str">
        <f aca="false">IF(B326="","",IFERROR(INDEX('CARNET DE SOUDURE'!$E$7:$E$1506,MATCH(B326,'CARNET DE SOUDURE'!$M$7:$M$1506,0)),""))</f>
        <v/>
      </c>
      <c r="K326" s="78" t="str">
        <f aca="false">IF(B326="","",IFERROR(INDEX('CARNET DE SOUDURE'!$E$7:$E$1506,MATCH(B326,'CARNET DE SOUDURE'!$K$7:$K$1506,0)),""))</f>
        <v/>
      </c>
      <c r="L326" s="78" t="str">
        <f aca="false">IF(B326="","",IFERROR(INDEX('CARNET DE SOUDURE'!$D$7:$D$1506,MATCH(B326,'CARNET DE SOUDURE'!$K$7:$K$1506,0)),IFERROR(INDEX('CARNET DE SOUDURE'!$D$7:$D$1506,MATCH(B326,'CARNET DE SOUDURE'!$M$7:$M$1506,0)),"")))</f>
        <v/>
      </c>
      <c r="M326" s="81" t="str">
        <f aca="false">IF(B326="","",IF(OR(J326&lt;&gt;"",K326&lt;&gt;""),"POSÉ EN LIGNE",IF(H326&lt;&gt;"","BARDÉ","EN STOCK")))</f>
        <v/>
      </c>
      <c r="N326" s="79"/>
    </row>
    <row r="327" customFormat="false" ht="15" hidden="false" customHeight="false" outlineLevel="0" collapsed="false">
      <c r="A327" s="78" t="str">
        <f aca="false">IF(B327="","",ROW()-6)</f>
        <v/>
      </c>
      <c r="B327" s="90"/>
      <c r="C327" s="91"/>
      <c r="D327" s="91"/>
      <c r="E327" s="80"/>
      <c r="F327" s="92"/>
      <c r="G327" s="79"/>
      <c r="H327" s="82"/>
      <c r="I327" s="93" t="str">
        <f aca="false">IF(B327="","",IFERROR(INDEX('CARNET DE SOUDURE'!$B$7:$B$1506,MATCH(B327,'CARNET DE SOUDURE'!$K$7:$K$1506,0)),IFERROR(INDEX('CARNET DE SOUDURE'!$B$7:$B$1506,MATCH(B327,'CARNET DE SOUDURE'!$M$7:$M$1506,0)),"")))</f>
        <v/>
      </c>
      <c r="J327" s="78" t="str">
        <f aca="false">IF(B327="","",IFERROR(INDEX('CARNET DE SOUDURE'!$E$7:$E$1506,MATCH(B327,'CARNET DE SOUDURE'!$M$7:$M$1506,0)),""))</f>
        <v/>
      </c>
      <c r="K327" s="78" t="str">
        <f aca="false">IF(B327="","",IFERROR(INDEX('CARNET DE SOUDURE'!$E$7:$E$1506,MATCH(B327,'CARNET DE SOUDURE'!$K$7:$K$1506,0)),""))</f>
        <v/>
      </c>
      <c r="L327" s="78" t="str">
        <f aca="false">IF(B327="","",IFERROR(INDEX('CARNET DE SOUDURE'!$D$7:$D$1506,MATCH(B327,'CARNET DE SOUDURE'!$K$7:$K$1506,0)),IFERROR(INDEX('CARNET DE SOUDURE'!$D$7:$D$1506,MATCH(B327,'CARNET DE SOUDURE'!$M$7:$M$1506,0)),"")))</f>
        <v/>
      </c>
      <c r="M327" s="81" t="str">
        <f aca="false">IF(B327="","",IF(OR(J327&lt;&gt;"",K327&lt;&gt;""),"POSÉ EN LIGNE",IF(H327&lt;&gt;"","BARDÉ","EN STOCK")))</f>
        <v/>
      </c>
      <c r="N327" s="79"/>
    </row>
    <row r="328" customFormat="false" ht="15" hidden="false" customHeight="false" outlineLevel="0" collapsed="false">
      <c r="A328" s="78" t="str">
        <f aca="false">IF(B328="","",ROW()-6)</f>
        <v/>
      </c>
      <c r="B328" s="90"/>
      <c r="C328" s="91"/>
      <c r="D328" s="91"/>
      <c r="E328" s="80"/>
      <c r="F328" s="92"/>
      <c r="G328" s="79"/>
      <c r="H328" s="82"/>
      <c r="I328" s="93" t="str">
        <f aca="false">IF(B328="","",IFERROR(INDEX('CARNET DE SOUDURE'!$B$7:$B$1506,MATCH(B328,'CARNET DE SOUDURE'!$K$7:$K$1506,0)),IFERROR(INDEX('CARNET DE SOUDURE'!$B$7:$B$1506,MATCH(B328,'CARNET DE SOUDURE'!$M$7:$M$1506,0)),"")))</f>
        <v/>
      </c>
      <c r="J328" s="78" t="str">
        <f aca="false">IF(B328="","",IFERROR(INDEX('CARNET DE SOUDURE'!$E$7:$E$1506,MATCH(B328,'CARNET DE SOUDURE'!$M$7:$M$1506,0)),""))</f>
        <v/>
      </c>
      <c r="K328" s="78" t="str">
        <f aca="false">IF(B328="","",IFERROR(INDEX('CARNET DE SOUDURE'!$E$7:$E$1506,MATCH(B328,'CARNET DE SOUDURE'!$K$7:$K$1506,0)),""))</f>
        <v/>
      </c>
      <c r="L328" s="78" t="str">
        <f aca="false">IF(B328="","",IFERROR(INDEX('CARNET DE SOUDURE'!$D$7:$D$1506,MATCH(B328,'CARNET DE SOUDURE'!$K$7:$K$1506,0)),IFERROR(INDEX('CARNET DE SOUDURE'!$D$7:$D$1506,MATCH(B328,'CARNET DE SOUDURE'!$M$7:$M$1506,0)),"")))</f>
        <v/>
      </c>
      <c r="M328" s="81" t="str">
        <f aca="false">IF(B328="","",IF(OR(J328&lt;&gt;"",K328&lt;&gt;""),"POSÉ EN LIGNE",IF(H328&lt;&gt;"","BARDÉ","EN STOCK")))</f>
        <v/>
      </c>
      <c r="N328" s="79"/>
    </row>
    <row r="329" customFormat="false" ht="15" hidden="false" customHeight="false" outlineLevel="0" collapsed="false">
      <c r="A329" s="78" t="str">
        <f aca="false">IF(B329="","",ROW()-6)</f>
        <v/>
      </c>
      <c r="B329" s="90"/>
      <c r="C329" s="91"/>
      <c r="D329" s="91"/>
      <c r="E329" s="80"/>
      <c r="F329" s="92"/>
      <c r="G329" s="79"/>
      <c r="H329" s="82"/>
      <c r="I329" s="93" t="str">
        <f aca="false">IF(B329="","",IFERROR(INDEX('CARNET DE SOUDURE'!$B$7:$B$1506,MATCH(B329,'CARNET DE SOUDURE'!$K$7:$K$1506,0)),IFERROR(INDEX('CARNET DE SOUDURE'!$B$7:$B$1506,MATCH(B329,'CARNET DE SOUDURE'!$M$7:$M$1506,0)),"")))</f>
        <v/>
      </c>
      <c r="J329" s="78" t="str">
        <f aca="false">IF(B329="","",IFERROR(INDEX('CARNET DE SOUDURE'!$E$7:$E$1506,MATCH(B329,'CARNET DE SOUDURE'!$M$7:$M$1506,0)),""))</f>
        <v/>
      </c>
      <c r="K329" s="78" t="str">
        <f aca="false">IF(B329="","",IFERROR(INDEX('CARNET DE SOUDURE'!$E$7:$E$1506,MATCH(B329,'CARNET DE SOUDURE'!$K$7:$K$1506,0)),""))</f>
        <v/>
      </c>
      <c r="L329" s="78" t="str">
        <f aca="false">IF(B329="","",IFERROR(INDEX('CARNET DE SOUDURE'!$D$7:$D$1506,MATCH(B329,'CARNET DE SOUDURE'!$K$7:$K$1506,0)),IFERROR(INDEX('CARNET DE SOUDURE'!$D$7:$D$1506,MATCH(B329,'CARNET DE SOUDURE'!$M$7:$M$1506,0)),"")))</f>
        <v/>
      </c>
      <c r="M329" s="81" t="str">
        <f aca="false">IF(B329="","",IF(OR(J329&lt;&gt;"",K329&lt;&gt;""),"POSÉ EN LIGNE",IF(H329&lt;&gt;"","BARDÉ","EN STOCK")))</f>
        <v/>
      </c>
      <c r="N329" s="79"/>
    </row>
    <row r="330" customFormat="false" ht="15" hidden="false" customHeight="false" outlineLevel="0" collapsed="false">
      <c r="A330" s="78" t="str">
        <f aca="false">IF(B330="","",ROW()-6)</f>
        <v/>
      </c>
      <c r="B330" s="90"/>
      <c r="C330" s="91"/>
      <c r="D330" s="91"/>
      <c r="E330" s="80"/>
      <c r="F330" s="92"/>
      <c r="G330" s="79"/>
      <c r="H330" s="82"/>
      <c r="I330" s="93" t="str">
        <f aca="false">IF(B330="","",IFERROR(INDEX('CARNET DE SOUDURE'!$B$7:$B$1506,MATCH(B330,'CARNET DE SOUDURE'!$K$7:$K$1506,0)),IFERROR(INDEX('CARNET DE SOUDURE'!$B$7:$B$1506,MATCH(B330,'CARNET DE SOUDURE'!$M$7:$M$1506,0)),"")))</f>
        <v/>
      </c>
      <c r="J330" s="78" t="str">
        <f aca="false">IF(B330="","",IFERROR(INDEX('CARNET DE SOUDURE'!$E$7:$E$1506,MATCH(B330,'CARNET DE SOUDURE'!$M$7:$M$1506,0)),""))</f>
        <v/>
      </c>
      <c r="K330" s="78" t="str">
        <f aca="false">IF(B330="","",IFERROR(INDEX('CARNET DE SOUDURE'!$E$7:$E$1506,MATCH(B330,'CARNET DE SOUDURE'!$K$7:$K$1506,0)),""))</f>
        <v/>
      </c>
      <c r="L330" s="78" t="str">
        <f aca="false">IF(B330="","",IFERROR(INDEX('CARNET DE SOUDURE'!$D$7:$D$1506,MATCH(B330,'CARNET DE SOUDURE'!$K$7:$K$1506,0)),IFERROR(INDEX('CARNET DE SOUDURE'!$D$7:$D$1506,MATCH(B330,'CARNET DE SOUDURE'!$M$7:$M$1506,0)),"")))</f>
        <v/>
      </c>
      <c r="M330" s="81" t="str">
        <f aca="false">IF(B330="","",IF(OR(J330&lt;&gt;"",K330&lt;&gt;""),"POSÉ EN LIGNE",IF(H330&lt;&gt;"","BARDÉ","EN STOCK")))</f>
        <v/>
      </c>
      <c r="N330" s="79"/>
    </row>
    <row r="331" customFormat="false" ht="15" hidden="false" customHeight="false" outlineLevel="0" collapsed="false">
      <c r="A331" s="78" t="str">
        <f aca="false">IF(B331="","",ROW()-6)</f>
        <v/>
      </c>
      <c r="B331" s="90"/>
      <c r="C331" s="91"/>
      <c r="D331" s="91"/>
      <c r="E331" s="80"/>
      <c r="F331" s="92"/>
      <c r="G331" s="79"/>
      <c r="H331" s="82"/>
      <c r="I331" s="93" t="str">
        <f aca="false">IF(B331="","",IFERROR(INDEX('CARNET DE SOUDURE'!$B$7:$B$1506,MATCH(B331,'CARNET DE SOUDURE'!$K$7:$K$1506,0)),IFERROR(INDEX('CARNET DE SOUDURE'!$B$7:$B$1506,MATCH(B331,'CARNET DE SOUDURE'!$M$7:$M$1506,0)),"")))</f>
        <v/>
      </c>
      <c r="J331" s="78" t="str">
        <f aca="false">IF(B331="","",IFERROR(INDEX('CARNET DE SOUDURE'!$E$7:$E$1506,MATCH(B331,'CARNET DE SOUDURE'!$M$7:$M$1506,0)),""))</f>
        <v/>
      </c>
      <c r="K331" s="78" t="str">
        <f aca="false">IF(B331="","",IFERROR(INDEX('CARNET DE SOUDURE'!$E$7:$E$1506,MATCH(B331,'CARNET DE SOUDURE'!$K$7:$K$1506,0)),""))</f>
        <v/>
      </c>
      <c r="L331" s="78" t="str">
        <f aca="false">IF(B331="","",IFERROR(INDEX('CARNET DE SOUDURE'!$D$7:$D$1506,MATCH(B331,'CARNET DE SOUDURE'!$K$7:$K$1506,0)),IFERROR(INDEX('CARNET DE SOUDURE'!$D$7:$D$1506,MATCH(B331,'CARNET DE SOUDURE'!$M$7:$M$1506,0)),"")))</f>
        <v/>
      </c>
      <c r="M331" s="81" t="str">
        <f aca="false">IF(B331="","",IF(OR(J331&lt;&gt;"",K331&lt;&gt;""),"POSÉ EN LIGNE",IF(H331&lt;&gt;"","BARDÉ","EN STOCK")))</f>
        <v/>
      </c>
      <c r="N331" s="79"/>
    </row>
    <row r="332" customFormat="false" ht="15" hidden="false" customHeight="false" outlineLevel="0" collapsed="false">
      <c r="A332" s="78" t="str">
        <f aca="false">IF(B332="","",ROW()-6)</f>
        <v/>
      </c>
      <c r="B332" s="90"/>
      <c r="C332" s="91"/>
      <c r="D332" s="91"/>
      <c r="E332" s="80"/>
      <c r="F332" s="92"/>
      <c r="G332" s="79"/>
      <c r="H332" s="82"/>
      <c r="I332" s="93" t="str">
        <f aca="false">IF(B332="","",IFERROR(INDEX('CARNET DE SOUDURE'!$B$7:$B$1506,MATCH(B332,'CARNET DE SOUDURE'!$K$7:$K$1506,0)),IFERROR(INDEX('CARNET DE SOUDURE'!$B$7:$B$1506,MATCH(B332,'CARNET DE SOUDURE'!$M$7:$M$1506,0)),"")))</f>
        <v/>
      </c>
      <c r="J332" s="78" t="str">
        <f aca="false">IF(B332="","",IFERROR(INDEX('CARNET DE SOUDURE'!$E$7:$E$1506,MATCH(B332,'CARNET DE SOUDURE'!$M$7:$M$1506,0)),""))</f>
        <v/>
      </c>
      <c r="K332" s="78" t="str">
        <f aca="false">IF(B332="","",IFERROR(INDEX('CARNET DE SOUDURE'!$E$7:$E$1506,MATCH(B332,'CARNET DE SOUDURE'!$K$7:$K$1506,0)),""))</f>
        <v/>
      </c>
      <c r="L332" s="78" t="str">
        <f aca="false">IF(B332="","",IFERROR(INDEX('CARNET DE SOUDURE'!$D$7:$D$1506,MATCH(B332,'CARNET DE SOUDURE'!$K$7:$K$1506,0)),IFERROR(INDEX('CARNET DE SOUDURE'!$D$7:$D$1506,MATCH(B332,'CARNET DE SOUDURE'!$M$7:$M$1506,0)),"")))</f>
        <v/>
      </c>
      <c r="M332" s="81" t="str">
        <f aca="false">IF(B332="","",IF(OR(J332&lt;&gt;"",K332&lt;&gt;""),"POSÉ EN LIGNE",IF(H332&lt;&gt;"","BARDÉ","EN STOCK")))</f>
        <v/>
      </c>
      <c r="N332" s="79"/>
    </row>
    <row r="333" customFormat="false" ht="15" hidden="false" customHeight="false" outlineLevel="0" collapsed="false">
      <c r="A333" s="78" t="str">
        <f aca="false">IF(B333="","",ROW()-6)</f>
        <v/>
      </c>
      <c r="B333" s="90"/>
      <c r="C333" s="91"/>
      <c r="D333" s="91"/>
      <c r="E333" s="80"/>
      <c r="F333" s="92"/>
      <c r="G333" s="79"/>
      <c r="H333" s="82"/>
      <c r="I333" s="93" t="str">
        <f aca="false">IF(B333="","",IFERROR(INDEX('CARNET DE SOUDURE'!$B$7:$B$1506,MATCH(B333,'CARNET DE SOUDURE'!$K$7:$K$1506,0)),IFERROR(INDEX('CARNET DE SOUDURE'!$B$7:$B$1506,MATCH(B333,'CARNET DE SOUDURE'!$M$7:$M$1506,0)),"")))</f>
        <v/>
      </c>
      <c r="J333" s="78" t="str">
        <f aca="false">IF(B333="","",IFERROR(INDEX('CARNET DE SOUDURE'!$E$7:$E$1506,MATCH(B333,'CARNET DE SOUDURE'!$M$7:$M$1506,0)),""))</f>
        <v/>
      </c>
      <c r="K333" s="78" t="str">
        <f aca="false">IF(B333="","",IFERROR(INDEX('CARNET DE SOUDURE'!$E$7:$E$1506,MATCH(B333,'CARNET DE SOUDURE'!$K$7:$K$1506,0)),""))</f>
        <v/>
      </c>
      <c r="L333" s="78" t="str">
        <f aca="false">IF(B333="","",IFERROR(INDEX('CARNET DE SOUDURE'!$D$7:$D$1506,MATCH(B333,'CARNET DE SOUDURE'!$K$7:$K$1506,0)),IFERROR(INDEX('CARNET DE SOUDURE'!$D$7:$D$1506,MATCH(B333,'CARNET DE SOUDURE'!$M$7:$M$1506,0)),"")))</f>
        <v/>
      </c>
      <c r="M333" s="81" t="str">
        <f aca="false">IF(B333="","",IF(OR(J333&lt;&gt;"",K333&lt;&gt;""),"POSÉ EN LIGNE",IF(H333&lt;&gt;"","BARDÉ","EN STOCK")))</f>
        <v/>
      </c>
      <c r="N333" s="79"/>
    </row>
    <row r="334" customFormat="false" ht="15" hidden="false" customHeight="false" outlineLevel="0" collapsed="false">
      <c r="A334" s="78" t="str">
        <f aca="false">IF(B334="","",ROW()-6)</f>
        <v/>
      </c>
      <c r="B334" s="90"/>
      <c r="C334" s="91"/>
      <c r="D334" s="91"/>
      <c r="E334" s="80"/>
      <c r="F334" s="92"/>
      <c r="G334" s="79"/>
      <c r="H334" s="82"/>
      <c r="I334" s="93" t="str">
        <f aca="false">IF(B334="","",IFERROR(INDEX('CARNET DE SOUDURE'!$B$7:$B$1506,MATCH(B334,'CARNET DE SOUDURE'!$K$7:$K$1506,0)),IFERROR(INDEX('CARNET DE SOUDURE'!$B$7:$B$1506,MATCH(B334,'CARNET DE SOUDURE'!$M$7:$M$1506,0)),"")))</f>
        <v/>
      </c>
      <c r="J334" s="78" t="str">
        <f aca="false">IF(B334="","",IFERROR(INDEX('CARNET DE SOUDURE'!$E$7:$E$1506,MATCH(B334,'CARNET DE SOUDURE'!$M$7:$M$1506,0)),""))</f>
        <v/>
      </c>
      <c r="K334" s="78" t="str">
        <f aca="false">IF(B334="","",IFERROR(INDEX('CARNET DE SOUDURE'!$E$7:$E$1506,MATCH(B334,'CARNET DE SOUDURE'!$K$7:$K$1506,0)),""))</f>
        <v/>
      </c>
      <c r="L334" s="78" t="str">
        <f aca="false">IF(B334="","",IFERROR(INDEX('CARNET DE SOUDURE'!$D$7:$D$1506,MATCH(B334,'CARNET DE SOUDURE'!$K$7:$K$1506,0)),IFERROR(INDEX('CARNET DE SOUDURE'!$D$7:$D$1506,MATCH(B334,'CARNET DE SOUDURE'!$M$7:$M$1506,0)),"")))</f>
        <v/>
      </c>
      <c r="M334" s="81" t="str">
        <f aca="false">IF(B334="","",IF(OR(J334&lt;&gt;"",K334&lt;&gt;""),"POSÉ EN LIGNE",IF(H334&lt;&gt;"","BARDÉ","EN STOCK")))</f>
        <v/>
      </c>
      <c r="N334" s="79"/>
    </row>
    <row r="335" customFormat="false" ht="15" hidden="false" customHeight="false" outlineLevel="0" collapsed="false">
      <c r="A335" s="78" t="str">
        <f aca="false">IF(B335="","",ROW()-6)</f>
        <v/>
      </c>
      <c r="B335" s="90"/>
      <c r="C335" s="91"/>
      <c r="D335" s="91"/>
      <c r="E335" s="80"/>
      <c r="F335" s="92"/>
      <c r="G335" s="79"/>
      <c r="H335" s="82"/>
      <c r="I335" s="93" t="str">
        <f aca="false">IF(B335="","",IFERROR(INDEX('CARNET DE SOUDURE'!$B$7:$B$1506,MATCH(B335,'CARNET DE SOUDURE'!$K$7:$K$1506,0)),IFERROR(INDEX('CARNET DE SOUDURE'!$B$7:$B$1506,MATCH(B335,'CARNET DE SOUDURE'!$M$7:$M$1506,0)),"")))</f>
        <v/>
      </c>
      <c r="J335" s="78" t="str">
        <f aca="false">IF(B335="","",IFERROR(INDEX('CARNET DE SOUDURE'!$E$7:$E$1506,MATCH(B335,'CARNET DE SOUDURE'!$M$7:$M$1506,0)),""))</f>
        <v/>
      </c>
      <c r="K335" s="78" t="str">
        <f aca="false">IF(B335="","",IFERROR(INDEX('CARNET DE SOUDURE'!$E$7:$E$1506,MATCH(B335,'CARNET DE SOUDURE'!$K$7:$K$1506,0)),""))</f>
        <v/>
      </c>
      <c r="L335" s="78" t="str">
        <f aca="false">IF(B335="","",IFERROR(INDEX('CARNET DE SOUDURE'!$D$7:$D$1506,MATCH(B335,'CARNET DE SOUDURE'!$K$7:$K$1506,0)),IFERROR(INDEX('CARNET DE SOUDURE'!$D$7:$D$1506,MATCH(B335,'CARNET DE SOUDURE'!$M$7:$M$1506,0)),"")))</f>
        <v/>
      </c>
      <c r="M335" s="81" t="str">
        <f aca="false">IF(B335="","",IF(OR(J335&lt;&gt;"",K335&lt;&gt;""),"POSÉ EN LIGNE",IF(H335&lt;&gt;"","BARDÉ","EN STOCK")))</f>
        <v/>
      </c>
      <c r="N335" s="79"/>
    </row>
    <row r="336" customFormat="false" ht="15" hidden="false" customHeight="false" outlineLevel="0" collapsed="false">
      <c r="A336" s="78" t="str">
        <f aca="false">IF(B336="","",ROW()-6)</f>
        <v/>
      </c>
      <c r="B336" s="90"/>
      <c r="C336" s="91"/>
      <c r="D336" s="91"/>
      <c r="E336" s="80"/>
      <c r="F336" s="92"/>
      <c r="G336" s="79"/>
      <c r="H336" s="82"/>
      <c r="I336" s="93" t="str">
        <f aca="false">IF(B336="","",IFERROR(INDEX('CARNET DE SOUDURE'!$B$7:$B$1506,MATCH(B336,'CARNET DE SOUDURE'!$K$7:$K$1506,0)),IFERROR(INDEX('CARNET DE SOUDURE'!$B$7:$B$1506,MATCH(B336,'CARNET DE SOUDURE'!$M$7:$M$1506,0)),"")))</f>
        <v/>
      </c>
      <c r="J336" s="78" t="str">
        <f aca="false">IF(B336="","",IFERROR(INDEX('CARNET DE SOUDURE'!$E$7:$E$1506,MATCH(B336,'CARNET DE SOUDURE'!$M$7:$M$1506,0)),""))</f>
        <v/>
      </c>
      <c r="K336" s="78" t="str">
        <f aca="false">IF(B336="","",IFERROR(INDEX('CARNET DE SOUDURE'!$E$7:$E$1506,MATCH(B336,'CARNET DE SOUDURE'!$K$7:$K$1506,0)),""))</f>
        <v/>
      </c>
      <c r="L336" s="78" t="str">
        <f aca="false">IF(B336="","",IFERROR(INDEX('CARNET DE SOUDURE'!$D$7:$D$1506,MATCH(B336,'CARNET DE SOUDURE'!$K$7:$K$1506,0)),IFERROR(INDEX('CARNET DE SOUDURE'!$D$7:$D$1506,MATCH(B336,'CARNET DE SOUDURE'!$M$7:$M$1506,0)),"")))</f>
        <v/>
      </c>
      <c r="M336" s="81" t="str">
        <f aca="false">IF(B336="","",IF(OR(J336&lt;&gt;"",K336&lt;&gt;""),"POSÉ EN LIGNE",IF(H336&lt;&gt;"","BARDÉ","EN STOCK")))</f>
        <v/>
      </c>
      <c r="N336" s="79"/>
    </row>
    <row r="337" customFormat="false" ht="15" hidden="false" customHeight="false" outlineLevel="0" collapsed="false">
      <c r="A337" s="78" t="str">
        <f aca="false">IF(B337="","",ROW()-6)</f>
        <v/>
      </c>
      <c r="B337" s="90"/>
      <c r="C337" s="91"/>
      <c r="D337" s="91"/>
      <c r="E337" s="80"/>
      <c r="F337" s="92"/>
      <c r="G337" s="79"/>
      <c r="H337" s="82"/>
      <c r="I337" s="93" t="str">
        <f aca="false">IF(B337="","",IFERROR(INDEX('CARNET DE SOUDURE'!$B$7:$B$1506,MATCH(B337,'CARNET DE SOUDURE'!$K$7:$K$1506,0)),IFERROR(INDEX('CARNET DE SOUDURE'!$B$7:$B$1506,MATCH(B337,'CARNET DE SOUDURE'!$M$7:$M$1506,0)),"")))</f>
        <v/>
      </c>
      <c r="J337" s="78" t="str">
        <f aca="false">IF(B337="","",IFERROR(INDEX('CARNET DE SOUDURE'!$E$7:$E$1506,MATCH(B337,'CARNET DE SOUDURE'!$M$7:$M$1506,0)),""))</f>
        <v/>
      </c>
      <c r="K337" s="78" t="str">
        <f aca="false">IF(B337="","",IFERROR(INDEX('CARNET DE SOUDURE'!$E$7:$E$1506,MATCH(B337,'CARNET DE SOUDURE'!$K$7:$K$1506,0)),""))</f>
        <v/>
      </c>
      <c r="L337" s="78" t="str">
        <f aca="false">IF(B337="","",IFERROR(INDEX('CARNET DE SOUDURE'!$D$7:$D$1506,MATCH(B337,'CARNET DE SOUDURE'!$K$7:$K$1506,0)),IFERROR(INDEX('CARNET DE SOUDURE'!$D$7:$D$1506,MATCH(B337,'CARNET DE SOUDURE'!$M$7:$M$1506,0)),"")))</f>
        <v/>
      </c>
      <c r="M337" s="81" t="str">
        <f aca="false">IF(B337="","",IF(OR(J337&lt;&gt;"",K337&lt;&gt;""),"POSÉ EN LIGNE",IF(H337&lt;&gt;"","BARDÉ","EN STOCK")))</f>
        <v/>
      </c>
      <c r="N337" s="79"/>
    </row>
    <row r="338" customFormat="false" ht="15" hidden="false" customHeight="false" outlineLevel="0" collapsed="false">
      <c r="A338" s="78" t="str">
        <f aca="false">IF(B338="","",ROW()-6)</f>
        <v/>
      </c>
      <c r="B338" s="90"/>
      <c r="C338" s="91"/>
      <c r="D338" s="91"/>
      <c r="E338" s="80"/>
      <c r="F338" s="92"/>
      <c r="G338" s="79"/>
      <c r="H338" s="82"/>
      <c r="I338" s="93" t="str">
        <f aca="false">IF(B338="","",IFERROR(INDEX('CARNET DE SOUDURE'!$B$7:$B$1506,MATCH(B338,'CARNET DE SOUDURE'!$K$7:$K$1506,0)),IFERROR(INDEX('CARNET DE SOUDURE'!$B$7:$B$1506,MATCH(B338,'CARNET DE SOUDURE'!$M$7:$M$1506,0)),"")))</f>
        <v/>
      </c>
      <c r="J338" s="78" t="str">
        <f aca="false">IF(B338="","",IFERROR(INDEX('CARNET DE SOUDURE'!$E$7:$E$1506,MATCH(B338,'CARNET DE SOUDURE'!$M$7:$M$1506,0)),""))</f>
        <v/>
      </c>
      <c r="K338" s="78" t="str">
        <f aca="false">IF(B338="","",IFERROR(INDEX('CARNET DE SOUDURE'!$E$7:$E$1506,MATCH(B338,'CARNET DE SOUDURE'!$K$7:$K$1506,0)),""))</f>
        <v/>
      </c>
      <c r="L338" s="78" t="str">
        <f aca="false">IF(B338="","",IFERROR(INDEX('CARNET DE SOUDURE'!$D$7:$D$1506,MATCH(B338,'CARNET DE SOUDURE'!$K$7:$K$1506,0)),IFERROR(INDEX('CARNET DE SOUDURE'!$D$7:$D$1506,MATCH(B338,'CARNET DE SOUDURE'!$M$7:$M$1506,0)),"")))</f>
        <v/>
      </c>
      <c r="M338" s="81" t="str">
        <f aca="false">IF(B338="","",IF(OR(J338&lt;&gt;"",K338&lt;&gt;""),"POSÉ EN LIGNE",IF(H338&lt;&gt;"","BARDÉ","EN STOCK")))</f>
        <v/>
      </c>
      <c r="N338" s="79"/>
    </row>
    <row r="339" customFormat="false" ht="15" hidden="false" customHeight="false" outlineLevel="0" collapsed="false">
      <c r="A339" s="78" t="str">
        <f aca="false">IF(B339="","",ROW()-6)</f>
        <v/>
      </c>
      <c r="B339" s="90"/>
      <c r="C339" s="91"/>
      <c r="D339" s="91"/>
      <c r="E339" s="80"/>
      <c r="F339" s="92"/>
      <c r="G339" s="79"/>
      <c r="H339" s="82"/>
      <c r="I339" s="93" t="str">
        <f aca="false">IF(B339="","",IFERROR(INDEX('CARNET DE SOUDURE'!$B$7:$B$1506,MATCH(B339,'CARNET DE SOUDURE'!$K$7:$K$1506,0)),IFERROR(INDEX('CARNET DE SOUDURE'!$B$7:$B$1506,MATCH(B339,'CARNET DE SOUDURE'!$M$7:$M$1506,0)),"")))</f>
        <v/>
      </c>
      <c r="J339" s="78" t="str">
        <f aca="false">IF(B339="","",IFERROR(INDEX('CARNET DE SOUDURE'!$E$7:$E$1506,MATCH(B339,'CARNET DE SOUDURE'!$M$7:$M$1506,0)),""))</f>
        <v/>
      </c>
      <c r="K339" s="78" t="str">
        <f aca="false">IF(B339="","",IFERROR(INDEX('CARNET DE SOUDURE'!$E$7:$E$1506,MATCH(B339,'CARNET DE SOUDURE'!$K$7:$K$1506,0)),""))</f>
        <v/>
      </c>
      <c r="L339" s="78" t="str">
        <f aca="false">IF(B339="","",IFERROR(INDEX('CARNET DE SOUDURE'!$D$7:$D$1506,MATCH(B339,'CARNET DE SOUDURE'!$K$7:$K$1506,0)),IFERROR(INDEX('CARNET DE SOUDURE'!$D$7:$D$1506,MATCH(B339,'CARNET DE SOUDURE'!$M$7:$M$1506,0)),"")))</f>
        <v/>
      </c>
      <c r="M339" s="81" t="str">
        <f aca="false">IF(B339="","",IF(OR(J339&lt;&gt;"",K339&lt;&gt;""),"POSÉ EN LIGNE",IF(H339&lt;&gt;"","BARDÉ","EN STOCK")))</f>
        <v/>
      </c>
      <c r="N339" s="79"/>
    </row>
    <row r="340" customFormat="false" ht="15" hidden="false" customHeight="false" outlineLevel="0" collapsed="false">
      <c r="A340" s="78" t="str">
        <f aca="false">IF(B340="","",ROW()-6)</f>
        <v/>
      </c>
      <c r="B340" s="90"/>
      <c r="C340" s="91"/>
      <c r="D340" s="91"/>
      <c r="E340" s="80"/>
      <c r="F340" s="92"/>
      <c r="G340" s="79"/>
      <c r="H340" s="82"/>
      <c r="I340" s="93" t="str">
        <f aca="false">IF(B340="","",IFERROR(INDEX('CARNET DE SOUDURE'!$B$7:$B$1506,MATCH(B340,'CARNET DE SOUDURE'!$K$7:$K$1506,0)),IFERROR(INDEX('CARNET DE SOUDURE'!$B$7:$B$1506,MATCH(B340,'CARNET DE SOUDURE'!$M$7:$M$1506,0)),"")))</f>
        <v/>
      </c>
      <c r="J340" s="78" t="str">
        <f aca="false">IF(B340="","",IFERROR(INDEX('CARNET DE SOUDURE'!$E$7:$E$1506,MATCH(B340,'CARNET DE SOUDURE'!$M$7:$M$1506,0)),""))</f>
        <v/>
      </c>
      <c r="K340" s="78" t="str">
        <f aca="false">IF(B340="","",IFERROR(INDEX('CARNET DE SOUDURE'!$E$7:$E$1506,MATCH(B340,'CARNET DE SOUDURE'!$K$7:$K$1506,0)),""))</f>
        <v/>
      </c>
      <c r="L340" s="78" t="str">
        <f aca="false">IF(B340="","",IFERROR(INDEX('CARNET DE SOUDURE'!$D$7:$D$1506,MATCH(B340,'CARNET DE SOUDURE'!$K$7:$K$1506,0)),IFERROR(INDEX('CARNET DE SOUDURE'!$D$7:$D$1506,MATCH(B340,'CARNET DE SOUDURE'!$M$7:$M$1506,0)),"")))</f>
        <v/>
      </c>
      <c r="M340" s="81" t="str">
        <f aca="false">IF(B340="","",IF(OR(J340&lt;&gt;"",K340&lt;&gt;""),"POSÉ EN LIGNE",IF(H340&lt;&gt;"","BARDÉ","EN STOCK")))</f>
        <v/>
      </c>
      <c r="N340" s="79"/>
    </row>
    <row r="341" customFormat="false" ht="15" hidden="false" customHeight="false" outlineLevel="0" collapsed="false">
      <c r="A341" s="78" t="str">
        <f aca="false">IF(B341="","",ROW()-6)</f>
        <v/>
      </c>
      <c r="B341" s="90"/>
      <c r="C341" s="91"/>
      <c r="D341" s="91"/>
      <c r="E341" s="80"/>
      <c r="F341" s="92"/>
      <c r="G341" s="79"/>
      <c r="H341" s="82"/>
      <c r="I341" s="93" t="str">
        <f aca="false">IF(B341="","",IFERROR(INDEX('CARNET DE SOUDURE'!$B$7:$B$1506,MATCH(B341,'CARNET DE SOUDURE'!$K$7:$K$1506,0)),IFERROR(INDEX('CARNET DE SOUDURE'!$B$7:$B$1506,MATCH(B341,'CARNET DE SOUDURE'!$M$7:$M$1506,0)),"")))</f>
        <v/>
      </c>
      <c r="J341" s="78" t="str">
        <f aca="false">IF(B341="","",IFERROR(INDEX('CARNET DE SOUDURE'!$E$7:$E$1506,MATCH(B341,'CARNET DE SOUDURE'!$M$7:$M$1506,0)),""))</f>
        <v/>
      </c>
      <c r="K341" s="78" t="str">
        <f aca="false">IF(B341="","",IFERROR(INDEX('CARNET DE SOUDURE'!$E$7:$E$1506,MATCH(B341,'CARNET DE SOUDURE'!$K$7:$K$1506,0)),""))</f>
        <v/>
      </c>
      <c r="L341" s="78" t="str">
        <f aca="false">IF(B341="","",IFERROR(INDEX('CARNET DE SOUDURE'!$D$7:$D$1506,MATCH(B341,'CARNET DE SOUDURE'!$K$7:$K$1506,0)),IFERROR(INDEX('CARNET DE SOUDURE'!$D$7:$D$1506,MATCH(B341,'CARNET DE SOUDURE'!$M$7:$M$1506,0)),"")))</f>
        <v/>
      </c>
      <c r="M341" s="81" t="str">
        <f aca="false">IF(B341="","",IF(OR(J341&lt;&gt;"",K341&lt;&gt;""),"POSÉ EN LIGNE",IF(H341&lt;&gt;"","BARDÉ","EN STOCK")))</f>
        <v/>
      </c>
      <c r="N341" s="79"/>
    </row>
    <row r="342" customFormat="false" ht="15" hidden="false" customHeight="false" outlineLevel="0" collapsed="false">
      <c r="A342" s="78" t="str">
        <f aca="false">IF(B342="","",ROW()-6)</f>
        <v/>
      </c>
      <c r="B342" s="90"/>
      <c r="C342" s="91"/>
      <c r="D342" s="91"/>
      <c r="E342" s="80"/>
      <c r="F342" s="92"/>
      <c r="G342" s="79"/>
      <c r="H342" s="82"/>
      <c r="I342" s="93" t="str">
        <f aca="false">IF(B342="","",IFERROR(INDEX('CARNET DE SOUDURE'!$B$7:$B$1506,MATCH(B342,'CARNET DE SOUDURE'!$K$7:$K$1506,0)),IFERROR(INDEX('CARNET DE SOUDURE'!$B$7:$B$1506,MATCH(B342,'CARNET DE SOUDURE'!$M$7:$M$1506,0)),"")))</f>
        <v/>
      </c>
      <c r="J342" s="78" t="str">
        <f aca="false">IF(B342="","",IFERROR(INDEX('CARNET DE SOUDURE'!$E$7:$E$1506,MATCH(B342,'CARNET DE SOUDURE'!$M$7:$M$1506,0)),""))</f>
        <v/>
      </c>
      <c r="K342" s="78" t="str">
        <f aca="false">IF(B342="","",IFERROR(INDEX('CARNET DE SOUDURE'!$E$7:$E$1506,MATCH(B342,'CARNET DE SOUDURE'!$K$7:$K$1506,0)),""))</f>
        <v/>
      </c>
      <c r="L342" s="78" t="str">
        <f aca="false">IF(B342="","",IFERROR(INDEX('CARNET DE SOUDURE'!$D$7:$D$1506,MATCH(B342,'CARNET DE SOUDURE'!$K$7:$K$1506,0)),IFERROR(INDEX('CARNET DE SOUDURE'!$D$7:$D$1506,MATCH(B342,'CARNET DE SOUDURE'!$M$7:$M$1506,0)),"")))</f>
        <v/>
      </c>
      <c r="M342" s="81" t="str">
        <f aca="false">IF(B342="","",IF(OR(J342&lt;&gt;"",K342&lt;&gt;""),"POSÉ EN LIGNE",IF(H342&lt;&gt;"","BARDÉ","EN STOCK")))</f>
        <v/>
      </c>
      <c r="N342" s="79"/>
    </row>
    <row r="343" customFormat="false" ht="15" hidden="false" customHeight="false" outlineLevel="0" collapsed="false">
      <c r="A343" s="78" t="str">
        <f aca="false">IF(B343="","",ROW()-6)</f>
        <v/>
      </c>
      <c r="B343" s="90"/>
      <c r="C343" s="91"/>
      <c r="D343" s="91"/>
      <c r="E343" s="80"/>
      <c r="F343" s="92"/>
      <c r="G343" s="79"/>
      <c r="H343" s="82"/>
      <c r="I343" s="93" t="str">
        <f aca="false">IF(B343="","",IFERROR(INDEX('CARNET DE SOUDURE'!$B$7:$B$1506,MATCH(B343,'CARNET DE SOUDURE'!$K$7:$K$1506,0)),IFERROR(INDEX('CARNET DE SOUDURE'!$B$7:$B$1506,MATCH(B343,'CARNET DE SOUDURE'!$M$7:$M$1506,0)),"")))</f>
        <v/>
      </c>
      <c r="J343" s="78" t="str">
        <f aca="false">IF(B343="","",IFERROR(INDEX('CARNET DE SOUDURE'!$E$7:$E$1506,MATCH(B343,'CARNET DE SOUDURE'!$M$7:$M$1506,0)),""))</f>
        <v/>
      </c>
      <c r="K343" s="78" t="str">
        <f aca="false">IF(B343="","",IFERROR(INDEX('CARNET DE SOUDURE'!$E$7:$E$1506,MATCH(B343,'CARNET DE SOUDURE'!$K$7:$K$1506,0)),""))</f>
        <v/>
      </c>
      <c r="L343" s="78" t="str">
        <f aca="false">IF(B343="","",IFERROR(INDEX('CARNET DE SOUDURE'!$D$7:$D$1506,MATCH(B343,'CARNET DE SOUDURE'!$K$7:$K$1506,0)),IFERROR(INDEX('CARNET DE SOUDURE'!$D$7:$D$1506,MATCH(B343,'CARNET DE SOUDURE'!$M$7:$M$1506,0)),"")))</f>
        <v/>
      </c>
      <c r="M343" s="81" t="str">
        <f aca="false">IF(B343="","",IF(OR(J343&lt;&gt;"",K343&lt;&gt;""),"POSÉ EN LIGNE",IF(H343&lt;&gt;"","BARDÉ","EN STOCK")))</f>
        <v/>
      </c>
      <c r="N343" s="79"/>
    </row>
    <row r="344" customFormat="false" ht="15" hidden="false" customHeight="false" outlineLevel="0" collapsed="false">
      <c r="A344" s="78" t="str">
        <f aca="false">IF(B344="","",ROW()-6)</f>
        <v/>
      </c>
      <c r="B344" s="90"/>
      <c r="C344" s="91"/>
      <c r="D344" s="91"/>
      <c r="E344" s="80"/>
      <c r="F344" s="92"/>
      <c r="G344" s="79"/>
      <c r="H344" s="82"/>
      <c r="I344" s="93" t="str">
        <f aca="false">IF(B344="","",IFERROR(INDEX('CARNET DE SOUDURE'!$B$7:$B$1506,MATCH(B344,'CARNET DE SOUDURE'!$K$7:$K$1506,0)),IFERROR(INDEX('CARNET DE SOUDURE'!$B$7:$B$1506,MATCH(B344,'CARNET DE SOUDURE'!$M$7:$M$1506,0)),"")))</f>
        <v/>
      </c>
      <c r="J344" s="78" t="str">
        <f aca="false">IF(B344="","",IFERROR(INDEX('CARNET DE SOUDURE'!$E$7:$E$1506,MATCH(B344,'CARNET DE SOUDURE'!$M$7:$M$1506,0)),""))</f>
        <v/>
      </c>
      <c r="K344" s="78" t="str">
        <f aca="false">IF(B344="","",IFERROR(INDEX('CARNET DE SOUDURE'!$E$7:$E$1506,MATCH(B344,'CARNET DE SOUDURE'!$K$7:$K$1506,0)),""))</f>
        <v/>
      </c>
      <c r="L344" s="78" t="str">
        <f aca="false">IF(B344="","",IFERROR(INDEX('CARNET DE SOUDURE'!$D$7:$D$1506,MATCH(B344,'CARNET DE SOUDURE'!$K$7:$K$1506,0)),IFERROR(INDEX('CARNET DE SOUDURE'!$D$7:$D$1506,MATCH(B344,'CARNET DE SOUDURE'!$M$7:$M$1506,0)),"")))</f>
        <v/>
      </c>
      <c r="M344" s="81" t="str">
        <f aca="false">IF(B344="","",IF(OR(J344&lt;&gt;"",K344&lt;&gt;""),"POSÉ EN LIGNE",IF(H344&lt;&gt;"","BARDÉ","EN STOCK")))</f>
        <v/>
      </c>
      <c r="N344" s="79"/>
    </row>
    <row r="345" customFormat="false" ht="15" hidden="false" customHeight="false" outlineLevel="0" collapsed="false">
      <c r="A345" s="78" t="str">
        <f aca="false">IF(B345="","",ROW()-6)</f>
        <v/>
      </c>
      <c r="B345" s="90"/>
      <c r="C345" s="91"/>
      <c r="D345" s="91"/>
      <c r="E345" s="80"/>
      <c r="F345" s="92"/>
      <c r="G345" s="79"/>
      <c r="H345" s="82"/>
      <c r="I345" s="93" t="str">
        <f aca="false">IF(B345="","",IFERROR(INDEX('CARNET DE SOUDURE'!$B$7:$B$1506,MATCH(B345,'CARNET DE SOUDURE'!$K$7:$K$1506,0)),IFERROR(INDEX('CARNET DE SOUDURE'!$B$7:$B$1506,MATCH(B345,'CARNET DE SOUDURE'!$M$7:$M$1506,0)),"")))</f>
        <v/>
      </c>
      <c r="J345" s="78" t="str">
        <f aca="false">IF(B345="","",IFERROR(INDEX('CARNET DE SOUDURE'!$E$7:$E$1506,MATCH(B345,'CARNET DE SOUDURE'!$M$7:$M$1506,0)),""))</f>
        <v/>
      </c>
      <c r="K345" s="78" t="str">
        <f aca="false">IF(B345="","",IFERROR(INDEX('CARNET DE SOUDURE'!$E$7:$E$1506,MATCH(B345,'CARNET DE SOUDURE'!$K$7:$K$1506,0)),""))</f>
        <v/>
      </c>
      <c r="L345" s="78" t="str">
        <f aca="false">IF(B345="","",IFERROR(INDEX('CARNET DE SOUDURE'!$D$7:$D$1506,MATCH(B345,'CARNET DE SOUDURE'!$K$7:$K$1506,0)),IFERROR(INDEX('CARNET DE SOUDURE'!$D$7:$D$1506,MATCH(B345,'CARNET DE SOUDURE'!$M$7:$M$1506,0)),"")))</f>
        <v/>
      </c>
      <c r="M345" s="81" t="str">
        <f aca="false">IF(B345="","",IF(OR(J345&lt;&gt;"",K345&lt;&gt;""),"POSÉ EN LIGNE",IF(H345&lt;&gt;"","BARDÉ","EN STOCK")))</f>
        <v/>
      </c>
      <c r="N345" s="79"/>
    </row>
    <row r="346" customFormat="false" ht="15" hidden="false" customHeight="false" outlineLevel="0" collapsed="false">
      <c r="A346" s="78" t="str">
        <f aca="false">IF(B346="","",ROW()-6)</f>
        <v/>
      </c>
      <c r="B346" s="90"/>
      <c r="C346" s="91"/>
      <c r="D346" s="91"/>
      <c r="E346" s="80"/>
      <c r="F346" s="92"/>
      <c r="G346" s="79"/>
      <c r="H346" s="82"/>
      <c r="I346" s="93" t="str">
        <f aca="false">IF(B346="","",IFERROR(INDEX('CARNET DE SOUDURE'!$B$7:$B$1506,MATCH(B346,'CARNET DE SOUDURE'!$K$7:$K$1506,0)),IFERROR(INDEX('CARNET DE SOUDURE'!$B$7:$B$1506,MATCH(B346,'CARNET DE SOUDURE'!$M$7:$M$1506,0)),"")))</f>
        <v/>
      </c>
      <c r="J346" s="78" t="str">
        <f aca="false">IF(B346="","",IFERROR(INDEX('CARNET DE SOUDURE'!$E$7:$E$1506,MATCH(B346,'CARNET DE SOUDURE'!$M$7:$M$1506,0)),""))</f>
        <v/>
      </c>
      <c r="K346" s="78" t="str">
        <f aca="false">IF(B346="","",IFERROR(INDEX('CARNET DE SOUDURE'!$E$7:$E$1506,MATCH(B346,'CARNET DE SOUDURE'!$K$7:$K$1506,0)),""))</f>
        <v/>
      </c>
      <c r="L346" s="78" t="str">
        <f aca="false">IF(B346="","",IFERROR(INDEX('CARNET DE SOUDURE'!$D$7:$D$1506,MATCH(B346,'CARNET DE SOUDURE'!$K$7:$K$1506,0)),IFERROR(INDEX('CARNET DE SOUDURE'!$D$7:$D$1506,MATCH(B346,'CARNET DE SOUDURE'!$M$7:$M$1506,0)),"")))</f>
        <v/>
      </c>
      <c r="M346" s="81" t="str">
        <f aca="false">IF(B346="","",IF(OR(J346&lt;&gt;"",K346&lt;&gt;""),"POSÉ EN LIGNE",IF(H346&lt;&gt;"","BARDÉ","EN STOCK")))</f>
        <v/>
      </c>
      <c r="N346" s="79"/>
    </row>
    <row r="347" customFormat="false" ht="15" hidden="false" customHeight="false" outlineLevel="0" collapsed="false">
      <c r="A347" s="78" t="str">
        <f aca="false">IF(B347="","",ROW()-6)</f>
        <v/>
      </c>
      <c r="B347" s="90"/>
      <c r="C347" s="91"/>
      <c r="D347" s="91"/>
      <c r="E347" s="80"/>
      <c r="F347" s="92"/>
      <c r="G347" s="79"/>
      <c r="H347" s="82"/>
      <c r="I347" s="93" t="str">
        <f aca="false">IF(B347="","",IFERROR(INDEX('CARNET DE SOUDURE'!$B$7:$B$1506,MATCH(B347,'CARNET DE SOUDURE'!$K$7:$K$1506,0)),IFERROR(INDEX('CARNET DE SOUDURE'!$B$7:$B$1506,MATCH(B347,'CARNET DE SOUDURE'!$M$7:$M$1506,0)),"")))</f>
        <v/>
      </c>
      <c r="J347" s="78" t="str">
        <f aca="false">IF(B347="","",IFERROR(INDEX('CARNET DE SOUDURE'!$E$7:$E$1506,MATCH(B347,'CARNET DE SOUDURE'!$M$7:$M$1506,0)),""))</f>
        <v/>
      </c>
      <c r="K347" s="78" t="str">
        <f aca="false">IF(B347="","",IFERROR(INDEX('CARNET DE SOUDURE'!$E$7:$E$1506,MATCH(B347,'CARNET DE SOUDURE'!$K$7:$K$1506,0)),""))</f>
        <v/>
      </c>
      <c r="L347" s="78" t="str">
        <f aca="false">IF(B347="","",IFERROR(INDEX('CARNET DE SOUDURE'!$D$7:$D$1506,MATCH(B347,'CARNET DE SOUDURE'!$K$7:$K$1506,0)),IFERROR(INDEX('CARNET DE SOUDURE'!$D$7:$D$1506,MATCH(B347,'CARNET DE SOUDURE'!$M$7:$M$1506,0)),"")))</f>
        <v/>
      </c>
      <c r="M347" s="81" t="str">
        <f aca="false">IF(B347="","",IF(OR(J347&lt;&gt;"",K347&lt;&gt;""),"POSÉ EN LIGNE",IF(H347&lt;&gt;"","BARDÉ","EN STOCK")))</f>
        <v/>
      </c>
      <c r="N347" s="79"/>
    </row>
    <row r="348" customFormat="false" ht="15" hidden="false" customHeight="false" outlineLevel="0" collapsed="false">
      <c r="A348" s="78" t="str">
        <f aca="false">IF(B348="","",ROW()-6)</f>
        <v/>
      </c>
      <c r="B348" s="90"/>
      <c r="C348" s="91"/>
      <c r="D348" s="91"/>
      <c r="E348" s="80"/>
      <c r="F348" s="92"/>
      <c r="G348" s="79"/>
      <c r="H348" s="82"/>
      <c r="I348" s="93" t="str">
        <f aca="false">IF(B348="","",IFERROR(INDEX('CARNET DE SOUDURE'!$B$7:$B$1506,MATCH(B348,'CARNET DE SOUDURE'!$K$7:$K$1506,0)),IFERROR(INDEX('CARNET DE SOUDURE'!$B$7:$B$1506,MATCH(B348,'CARNET DE SOUDURE'!$M$7:$M$1506,0)),"")))</f>
        <v/>
      </c>
      <c r="J348" s="78" t="str">
        <f aca="false">IF(B348="","",IFERROR(INDEX('CARNET DE SOUDURE'!$E$7:$E$1506,MATCH(B348,'CARNET DE SOUDURE'!$M$7:$M$1506,0)),""))</f>
        <v/>
      </c>
      <c r="K348" s="78" t="str">
        <f aca="false">IF(B348="","",IFERROR(INDEX('CARNET DE SOUDURE'!$E$7:$E$1506,MATCH(B348,'CARNET DE SOUDURE'!$K$7:$K$1506,0)),""))</f>
        <v/>
      </c>
      <c r="L348" s="78" t="str">
        <f aca="false">IF(B348="","",IFERROR(INDEX('CARNET DE SOUDURE'!$D$7:$D$1506,MATCH(B348,'CARNET DE SOUDURE'!$K$7:$K$1506,0)),IFERROR(INDEX('CARNET DE SOUDURE'!$D$7:$D$1506,MATCH(B348,'CARNET DE SOUDURE'!$M$7:$M$1506,0)),"")))</f>
        <v/>
      </c>
      <c r="M348" s="81" t="str">
        <f aca="false">IF(B348="","",IF(OR(J348&lt;&gt;"",K348&lt;&gt;""),"POSÉ EN LIGNE",IF(H348&lt;&gt;"","BARDÉ","EN STOCK")))</f>
        <v/>
      </c>
      <c r="N348" s="79"/>
    </row>
    <row r="349" customFormat="false" ht="15" hidden="false" customHeight="false" outlineLevel="0" collapsed="false">
      <c r="A349" s="78" t="str">
        <f aca="false">IF(B349="","",ROW()-6)</f>
        <v/>
      </c>
      <c r="B349" s="90"/>
      <c r="C349" s="91"/>
      <c r="D349" s="91"/>
      <c r="E349" s="80"/>
      <c r="F349" s="92"/>
      <c r="G349" s="79"/>
      <c r="H349" s="82"/>
      <c r="I349" s="93" t="str">
        <f aca="false">IF(B349="","",IFERROR(INDEX('CARNET DE SOUDURE'!$B$7:$B$1506,MATCH(B349,'CARNET DE SOUDURE'!$K$7:$K$1506,0)),IFERROR(INDEX('CARNET DE SOUDURE'!$B$7:$B$1506,MATCH(B349,'CARNET DE SOUDURE'!$M$7:$M$1506,0)),"")))</f>
        <v/>
      </c>
      <c r="J349" s="78" t="str">
        <f aca="false">IF(B349="","",IFERROR(INDEX('CARNET DE SOUDURE'!$E$7:$E$1506,MATCH(B349,'CARNET DE SOUDURE'!$M$7:$M$1506,0)),""))</f>
        <v/>
      </c>
      <c r="K349" s="78" t="str">
        <f aca="false">IF(B349="","",IFERROR(INDEX('CARNET DE SOUDURE'!$E$7:$E$1506,MATCH(B349,'CARNET DE SOUDURE'!$K$7:$K$1506,0)),""))</f>
        <v/>
      </c>
      <c r="L349" s="78" t="str">
        <f aca="false">IF(B349="","",IFERROR(INDEX('CARNET DE SOUDURE'!$D$7:$D$1506,MATCH(B349,'CARNET DE SOUDURE'!$K$7:$K$1506,0)),IFERROR(INDEX('CARNET DE SOUDURE'!$D$7:$D$1506,MATCH(B349,'CARNET DE SOUDURE'!$M$7:$M$1506,0)),"")))</f>
        <v/>
      </c>
      <c r="M349" s="81" t="str">
        <f aca="false">IF(B349="","",IF(OR(J349&lt;&gt;"",K349&lt;&gt;""),"POSÉ EN LIGNE",IF(H349&lt;&gt;"","BARDÉ","EN STOCK")))</f>
        <v/>
      </c>
      <c r="N349" s="79"/>
    </row>
    <row r="350" customFormat="false" ht="15" hidden="false" customHeight="false" outlineLevel="0" collapsed="false">
      <c r="A350" s="78" t="str">
        <f aca="false">IF(B350="","",ROW()-6)</f>
        <v/>
      </c>
      <c r="B350" s="90"/>
      <c r="C350" s="91"/>
      <c r="D350" s="91"/>
      <c r="E350" s="80"/>
      <c r="F350" s="92"/>
      <c r="G350" s="79"/>
      <c r="H350" s="82"/>
      <c r="I350" s="93" t="str">
        <f aca="false">IF(B350="","",IFERROR(INDEX('CARNET DE SOUDURE'!$B$7:$B$1506,MATCH(B350,'CARNET DE SOUDURE'!$K$7:$K$1506,0)),IFERROR(INDEX('CARNET DE SOUDURE'!$B$7:$B$1506,MATCH(B350,'CARNET DE SOUDURE'!$M$7:$M$1506,0)),"")))</f>
        <v/>
      </c>
      <c r="J350" s="78" t="str">
        <f aca="false">IF(B350="","",IFERROR(INDEX('CARNET DE SOUDURE'!$E$7:$E$1506,MATCH(B350,'CARNET DE SOUDURE'!$M$7:$M$1506,0)),""))</f>
        <v/>
      </c>
      <c r="K350" s="78" t="str">
        <f aca="false">IF(B350="","",IFERROR(INDEX('CARNET DE SOUDURE'!$E$7:$E$1506,MATCH(B350,'CARNET DE SOUDURE'!$K$7:$K$1506,0)),""))</f>
        <v/>
      </c>
      <c r="L350" s="78" t="str">
        <f aca="false">IF(B350="","",IFERROR(INDEX('CARNET DE SOUDURE'!$D$7:$D$1506,MATCH(B350,'CARNET DE SOUDURE'!$K$7:$K$1506,0)),IFERROR(INDEX('CARNET DE SOUDURE'!$D$7:$D$1506,MATCH(B350,'CARNET DE SOUDURE'!$M$7:$M$1506,0)),"")))</f>
        <v/>
      </c>
      <c r="M350" s="81" t="str">
        <f aca="false">IF(B350="","",IF(OR(J350&lt;&gt;"",K350&lt;&gt;""),"POSÉ EN LIGNE",IF(H350&lt;&gt;"","BARDÉ","EN STOCK")))</f>
        <v/>
      </c>
      <c r="N350" s="79"/>
    </row>
    <row r="351" customFormat="false" ht="15" hidden="false" customHeight="false" outlineLevel="0" collapsed="false">
      <c r="A351" s="78" t="str">
        <f aca="false">IF(B351="","",ROW()-6)</f>
        <v/>
      </c>
      <c r="B351" s="90"/>
      <c r="C351" s="91"/>
      <c r="D351" s="91"/>
      <c r="E351" s="80"/>
      <c r="F351" s="92"/>
      <c r="G351" s="79"/>
      <c r="H351" s="82"/>
      <c r="I351" s="93" t="str">
        <f aca="false">IF(B351="","",IFERROR(INDEX('CARNET DE SOUDURE'!$B$7:$B$1506,MATCH(B351,'CARNET DE SOUDURE'!$K$7:$K$1506,0)),IFERROR(INDEX('CARNET DE SOUDURE'!$B$7:$B$1506,MATCH(B351,'CARNET DE SOUDURE'!$M$7:$M$1506,0)),"")))</f>
        <v/>
      </c>
      <c r="J351" s="78" t="str">
        <f aca="false">IF(B351="","",IFERROR(INDEX('CARNET DE SOUDURE'!$E$7:$E$1506,MATCH(B351,'CARNET DE SOUDURE'!$M$7:$M$1506,0)),""))</f>
        <v/>
      </c>
      <c r="K351" s="78" t="str">
        <f aca="false">IF(B351="","",IFERROR(INDEX('CARNET DE SOUDURE'!$E$7:$E$1506,MATCH(B351,'CARNET DE SOUDURE'!$K$7:$K$1506,0)),""))</f>
        <v/>
      </c>
      <c r="L351" s="78" t="str">
        <f aca="false">IF(B351="","",IFERROR(INDEX('CARNET DE SOUDURE'!$D$7:$D$1506,MATCH(B351,'CARNET DE SOUDURE'!$K$7:$K$1506,0)),IFERROR(INDEX('CARNET DE SOUDURE'!$D$7:$D$1506,MATCH(B351,'CARNET DE SOUDURE'!$M$7:$M$1506,0)),"")))</f>
        <v/>
      </c>
      <c r="M351" s="81" t="str">
        <f aca="false">IF(B351="","",IF(OR(J351&lt;&gt;"",K351&lt;&gt;""),"POSÉ EN LIGNE",IF(H351&lt;&gt;"","BARDÉ","EN STOCK")))</f>
        <v/>
      </c>
      <c r="N351" s="79"/>
    </row>
    <row r="352" customFormat="false" ht="15" hidden="false" customHeight="false" outlineLevel="0" collapsed="false">
      <c r="A352" s="78" t="str">
        <f aca="false">IF(B352="","",ROW()-6)</f>
        <v/>
      </c>
      <c r="B352" s="90"/>
      <c r="C352" s="91"/>
      <c r="D352" s="91"/>
      <c r="E352" s="80"/>
      <c r="F352" s="92"/>
      <c r="G352" s="79"/>
      <c r="H352" s="82"/>
      <c r="I352" s="93" t="str">
        <f aca="false">IF(B352="","",IFERROR(INDEX('CARNET DE SOUDURE'!$B$7:$B$1506,MATCH(B352,'CARNET DE SOUDURE'!$K$7:$K$1506,0)),IFERROR(INDEX('CARNET DE SOUDURE'!$B$7:$B$1506,MATCH(B352,'CARNET DE SOUDURE'!$M$7:$M$1506,0)),"")))</f>
        <v/>
      </c>
      <c r="J352" s="78" t="str">
        <f aca="false">IF(B352="","",IFERROR(INDEX('CARNET DE SOUDURE'!$E$7:$E$1506,MATCH(B352,'CARNET DE SOUDURE'!$M$7:$M$1506,0)),""))</f>
        <v/>
      </c>
      <c r="K352" s="78" t="str">
        <f aca="false">IF(B352="","",IFERROR(INDEX('CARNET DE SOUDURE'!$E$7:$E$1506,MATCH(B352,'CARNET DE SOUDURE'!$K$7:$K$1506,0)),""))</f>
        <v/>
      </c>
      <c r="L352" s="78" t="str">
        <f aca="false">IF(B352="","",IFERROR(INDEX('CARNET DE SOUDURE'!$D$7:$D$1506,MATCH(B352,'CARNET DE SOUDURE'!$K$7:$K$1506,0)),IFERROR(INDEX('CARNET DE SOUDURE'!$D$7:$D$1506,MATCH(B352,'CARNET DE SOUDURE'!$M$7:$M$1506,0)),"")))</f>
        <v/>
      </c>
      <c r="M352" s="81" t="str">
        <f aca="false">IF(B352="","",IF(OR(J352&lt;&gt;"",K352&lt;&gt;""),"POSÉ EN LIGNE",IF(H352&lt;&gt;"","BARDÉ","EN STOCK")))</f>
        <v/>
      </c>
      <c r="N352" s="79"/>
    </row>
    <row r="353" customFormat="false" ht="15" hidden="false" customHeight="false" outlineLevel="0" collapsed="false">
      <c r="A353" s="78" t="str">
        <f aca="false">IF(B353="","",ROW()-6)</f>
        <v/>
      </c>
      <c r="B353" s="90"/>
      <c r="C353" s="91"/>
      <c r="D353" s="91"/>
      <c r="E353" s="80"/>
      <c r="F353" s="92"/>
      <c r="G353" s="79"/>
      <c r="H353" s="82"/>
      <c r="I353" s="93" t="str">
        <f aca="false">IF(B353="","",IFERROR(INDEX('CARNET DE SOUDURE'!$B$7:$B$1506,MATCH(B353,'CARNET DE SOUDURE'!$K$7:$K$1506,0)),IFERROR(INDEX('CARNET DE SOUDURE'!$B$7:$B$1506,MATCH(B353,'CARNET DE SOUDURE'!$M$7:$M$1506,0)),"")))</f>
        <v/>
      </c>
      <c r="J353" s="78" t="str">
        <f aca="false">IF(B353="","",IFERROR(INDEX('CARNET DE SOUDURE'!$E$7:$E$1506,MATCH(B353,'CARNET DE SOUDURE'!$M$7:$M$1506,0)),""))</f>
        <v/>
      </c>
      <c r="K353" s="78" t="str">
        <f aca="false">IF(B353="","",IFERROR(INDEX('CARNET DE SOUDURE'!$E$7:$E$1506,MATCH(B353,'CARNET DE SOUDURE'!$K$7:$K$1506,0)),""))</f>
        <v/>
      </c>
      <c r="L353" s="78" t="str">
        <f aca="false">IF(B353="","",IFERROR(INDEX('CARNET DE SOUDURE'!$D$7:$D$1506,MATCH(B353,'CARNET DE SOUDURE'!$K$7:$K$1506,0)),IFERROR(INDEX('CARNET DE SOUDURE'!$D$7:$D$1506,MATCH(B353,'CARNET DE SOUDURE'!$M$7:$M$1506,0)),"")))</f>
        <v/>
      </c>
      <c r="M353" s="81" t="str">
        <f aca="false">IF(B353="","",IF(OR(J353&lt;&gt;"",K353&lt;&gt;""),"POSÉ EN LIGNE",IF(H353&lt;&gt;"","BARDÉ","EN STOCK")))</f>
        <v/>
      </c>
      <c r="N353" s="79"/>
    </row>
    <row r="354" customFormat="false" ht="15" hidden="false" customHeight="false" outlineLevel="0" collapsed="false">
      <c r="A354" s="78" t="str">
        <f aca="false">IF(B354="","",ROW()-6)</f>
        <v/>
      </c>
      <c r="B354" s="90"/>
      <c r="C354" s="91"/>
      <c r="D354" s="91"/>
      <c r="E354" s="80"/>
      <c r="F354" s="92"/>
      <c r="G354" s="79"/>
      <c r="H354" s="82"/>
      <c r="I354" s="93" t="str">
        <f aca="false">IF(B354="","",IFERROR(INDEX('CARNET DE SOUDURE'!$B$7:$B$1506,MATCH(B354,'CARNET DE SOUDURE'!$K$7:$K$1506,0)),IFERROR(INDEX('CARNET DE SOUDURE'!$B$7:$B$1506,MATCH(B354,'CARNET DE SOUDURE'!$M$7:$M$1506,0)),"")))</f>
        <v/>
      </c>
      <c r="J354" s="78" t="str">
        <f aca="false">IF(B354="","",IFERROR(INDEX('CARNET DE SOUDURE'!$E$7:$E$1506,MATCH(B354,'CARNET DE SOUDURE'!$M$7:$M$1506,0)),""))</f>
        <v/>
      </c>
      <c r="K354" s="78" t="str">
        <f aca="false">IF(B354="","",IFERROR(INDEX('CARNET DE SOUDURE'!$E$7:$E$1506,MATCH(B354,'CARNET DE SOUDURE'!$K$7:$K$1506,0)),""))</f>
        <v/>
      </c>
      <c r="L354" s="78" t="str">
        <f aca="false">IF(B354="","",IFERROR(INDEX('CARNET DE SOUDURE'!$D$7:$D$1506,MATCH(B354,'CARNET DE SOUDURE'!$K$7:$K$1506,0)),IFERROR(INDEX('CARNET DE SOUDURE'!$D$7:$D$1506,MATCH(B354,'CARNET DE SOUDURE'!$M$7:$M$1506,0)),"")))</f>
        <v/>
      </c>
      <c r="M354" s="81" t="str">
        <f aca="false">IF(B354="","",IF(OR(J354&lt;&gt;"",K354&lt;&gt;""),"POSÉ EN LIGNE",IF(H354&lt;&gt;"","BARDÉ","EN STOCK")))</f>
        <v/>
      </c>
      <c r="N354" s="79"/>
    </row>
    <row r="355" customFormat="false" ht="15" hidden="false" customHeight="false" outlineLevel="0" collapsed="false">
      <c r="A355" s="78" t="str">
        <f aca="false">IF(B355="","",ROW()-6)</f>
        <v/>
      </c>
      <c r="B355" s="90"/>
      <c r="C355" s="91"/>
      <c r="D355" s="91"/>
      <c r="E355" s="80"/>
      <c r="F355" s="92"/>
      <c r="G355" s="79"/>
      <c r="H355" s="82"/>
      <c r="I355" s="93" t="str">
        <f aca="false">IF(B355="","",IFERROR(INDEX('CARNET DE SOUDURE'!$B$7:$B$1506,MATCH(B355,'CARNET DE SOUDURE'!$K$7:$K$1506,0)),IFERROR(INDEX('CARNET DE SOUDURE'!$B$7:$B$1506,MATCH(B355,'CARNET DE SOUDURE'!$M$7:$M$1506,0)),"")))</f>
        <v/>
      </c>
      <c r="J355" s="78" t="str">
        <f aca="false">IF(B355="","",IFERROR(INDEX('CARNET DE SOUDURE'!$E$7:$E$1506,MATCH(B355,'CARNET DE SOUDURE'!$M$7:$M$1506,0)),""))</f>
        <v/>
      </c>
      <c r="K355" s="78" t="str">
        <f aca="false">IF(B355="","",IFERROR(INDEX('CARNET DE SOUDURE'!$E$7:$E$1506,MATCH(B355,'CARNET DE SOUDURE'!$K$7:$K$1506,0)),""))</f>
        <v/>
      </c>
      <c r="L355" s="78" t="str">
        <f aca="false">IF(B355="","",IFERROR(INDEX('CARNET DE SOUDURE'!$D$7:$D$1506,MATCH(B355,'CARNET DE SOUDURE'!$K$7:$K$1506,0)),IFERROR(INDEX('CARNET DE SOUDURE'!$D$7:$D$1506,MATCH(B355,'CARNET DE SOUDURE'!$M$7:$M$1506,0)),"")))</f>
        <v/>
      </c>
      <c r="M355" s="81" t="str">
        <f aca="false">IF(B355="","",IF(OR(J355&lt;&gt;"",K355&lt;&gt;""),"POSÉ EN LIGNE",IF(H355&lt;&gt;"","BARDÉ","EN STOCK")))</f>
        <v/>
      </c>
      <c r="N355" s="79"/>
    </row>
    <row r="356" customFormat="false" ht="15" hidden="false" customHeight="false" outlineLevel="0" collapsed="false">
      <c r="A356" s="78" t="str">
        <f aca="false">IF(B356="","",ROW()-6)</f>
        <v/>
      </c>
      <c r="B356" s="90"/>
      <c r="C356" s="91"/>
      <c r="D356" s="91"/>
      <c r="E356" s="80"/>
      <c r="F356" s="92"/>
      <c r="G356" s="79"/>
      <c r="H356" s="82"/>
      <c r="I356" s="93" t="str">
        <f aca="false">IF(B356="","",IFERROR(INDEX('CARNET DE SOUDURE'!$B$7:$B$1506,MATCH(B356,'CARNET DE SOUDURE'!$K$7:$K$1506,0)),IFERROR(INDEX('CARNET DE SOUDURE'!$B$7:$B$1506,MATCH(B356,'CARNET DE SOUDURE'!$M$7:$M$1506,0)),"")))</f>
        <v/>
      </c>
      <c r="J356" s="78" t="str">
        <f aca="false">IF(B356="","",IFERROR(INDEX('CARNET DE SOUDURE'!$E$7:$E$1506,MATCH(B356,'CARNET DE SOUDURE'!$M$7:$M$1506,0)),""))</f>
        <v/>
      </c>
      <c r="K356" s="78" t="str">
        <f aca="false">IF(B356="","",IFERROR(INDEX('CARNET DE SOUDURE'!$E$7:$E$1506,MATCH(B356,'CARNET DE SOUDURE'!$K$7:$K$1506,0)),""))</f>
        <v/>
      </c>
      <c r="L356" s="78" t="str">
        <f aca="false">IF(B356="","",IFERROR(INDEX('CARNET DE SOUDURE'!$D$7:$D$1506,MATCH(B356,'CARNET DE SOUDURE'!$K$7:$K$1506,0)),IFERROR(INDEX('CARNET DE SOUDURE'!$D$7:$D$1506,MATCH(B356,'CARNET DE SOUDURE'!$M$7:$M$1506,0)),"")))</f>
        <v/>
      </c>
      <c r="M356" s="81" t="str">
        <f aca="false">IF(B356="","",IF(OR(J356&lt;&gt;"",K356&lt;&gt;""),"POSÉ EN LIGNE",IF(H356&lt;&gt;"","BARDÉ","EN STOCK")))</f>
        <v/>
      </c>
      <c r="N356" s="79"/>
    </row>
    <row r="357" customFormat="false" ht="15" hidden="false" customHeight="false" outlineLevel="0" collapsed="false">
      <c r="A357" s="78" t="str">
        <f aca="false">IF(B357="","",ROW()-6)</f>
        <v/>
      </c>
      <c r="B357" s="90"/>
      <c r="C357" s="91"/>
      <c r="D357" s="91"/>
      <c r="E357" s="80"/>
      <c r="F357" s="92"/>
      <c r="G357" s="79"/>
      <c r="H357" s="82"/>
      <c r="I357" s="93" t="str">
        <f aca="false">IF(B357="","",IFERROR(INDEX('CARNET DE SOUDURE'!$B$7:$B$1506,MATCH(B357,'CARNET DE SOUDURE'!$K$7:$K$1506,0)),IFERROR(INDEX('CARNET DE SOUDURE'!$B$7:$B$1506,MATCH(B357,'CARNET DE SOUDURE'!$M$7:$M$1506,0)),"")))</f>
        <v/>
      </c>
      <c r="J357" s="78" t="str">
        <f aca="false">IF(B357="","",IFERROR(INDEX('CARNET DE SOUDURE'!$E$7:$E$1506,MATCH(B357,'CARNET DE SOUDURE'!$M$7:$M$1506,0)),""))</f>
        <v/>
      </c>
      <c r="K357" s="78" t="str">
        <f aca="false">IF(B357="","",IFERROR(INDEX('CARNET DE SOUDURE'!$E$7:$E$1506,MATCH(B357,'CARNET DE SOUDURE'!$K$7:$K$1506,0)),""))</f>
        <v/>
      </c>
      <c r="L357" s="78" t="str">
        <f aca="false">IF(B357="","",IFERROR(INDEX('CARNET DE SOUDURE'!$D$7:$D$1506,MATCH(B357,'CARNET DE SOUDURE'!$K$7:$K$1506,0)),IFERROR(INDEX('CARNET DE SOUDURE'!$D$7:$D$1506,MATCH(B357,'CARNET DE SOUDURE'!$M$7:$M$1506,0)),"")))</f>
        <v/>
      </c>
      <c r="M357" s="81" t="str">
        <f aca="false">IF(B357="","",IF(OR(J357&lt;&gt;"",K357&lt;&gt;""),"POSÉ EN LIGNE",IF(H357&lt;&gt;"","BARDÉ","EN STOCK")))</f>
        <v/>
      </c>
      <c r="N357" s="79"/>
    </row>
    <row r="358" customFormat="false" ht="15" hidden="false" customHeight="false" outlineLevel="0" collapsed="false">
      <c r="A358" s="78" t="str">
        <f aca="false">IF(B358="","",ROW()-6)</f>
        <v/>
      </c>
      <c r="B358" s="90"/>
      <c r="C358" s="91"/>
      <c r="D358" s="91"/>
      <c r="E358" s="80"/>
      <c r="F358" s="92"/>
      <c r="G358" s="79"/>
      <c r="H358" s="82"/>
      <c r="I358" s="93" t="str">
        <f aca="false">IF(B358="","",IFERROR(INDEX('CARNET DE SOUDURE'!$B$7:$B$1506,MATCH(B358,'CARNET DE SOUDURE'!$K$7:$K$1506,0)),IFERROR(INDEX('CARNET DE SOUDURE'!$B$7:$B$1506,MATCH(B358,'CARNET DE SOUDURE'!$M$7:$M$1506,0)),"")))</f>
        <v/>
      </c>
      <c r="J358" s="78" t="str">
        <f aca="false">IF(B358="","",IFERROR(INDEX('CARNET DE SOUDURE'!$E$7:$E$1506,MATCH(B358,'CARNET DE SOUDURE'!$M$7:$M$1506,0)),""))</f>
        <v/>
      </c>
      <c r="K358" s="78" t="str">
        <f aca="false">IF(B358="","",IFERROR(INDEX('CARNET DE SOUDURE'!$E$7:$E$1506,MATCH(B358,'CARNET DE SOUDURE'!$K$7:$K$1506,0)),""))</f>
        <v/>
      </c>
      <c r="L358" s="78" t="str">
        <f aca="false">IF(B358="","",IFERROR(INDEX('CARNET DE SOUDURE'!$D$7:$D$1506,MATCH(B358,'CARNET DE SOUDURE'!$K$7:$K$1506,0)),IFERROR(INDEX('CARNET DE SOUDURE'!$D$7:$D$1506,MATCH(B358,'CARNET DE SOUDURE'!$M$7:$M$1506,0)),"")))</f>
        <v/>
      </c>
      <c r="M358" s="81" t="str">
        <f aca="false">IF(B358="","",IF(OR(J358&lt;&gt;"",K358&lt;&gt;""),"POSÉ EN LIGNE",IF(H358&lt;&gt;"","BARDÉ","EN STOCK")))</f>
        <v/>
      </c>
      <c r="N358" s="79"/>
    </row>
    <row r="359" customFormat="false" ht="15" hidden="false" customHeight="false" outlineLevel="0" collapsed="false">
      <c r="A359" s="78" t="str">
        <f aca="false">IF(B359="","",ROW()-6)</f>
        <v/>
      </c>
      <c r="B359" s="90"/>
      <c r="C359" s="91"/>
      <c r="D359" s="91"/>
      <c r="E359" s="80"/>
      <c r="F359" s="92"/>
      <c r="G359" s="79"/>
      <c r="H359" s="82"/>
      <c r="I359" s="93" t="str">
        <f aca="false">IF(B359="","",IFERROR(INDEX('CARNET DE SOUDURE'!$B$7:$B$1506,MATCH(B359,'CARNET DE SOUDURE'!$K$7:$K$1506,0)),IFERROR(INDEX('CARNET DE SOUDURE'!$B$7:$B$1506,MATCH(B359,'CARNET DE SOUDURE'!$M$7:$M$1506,0)),"")))</f>
        <v/>
      </c>
      <c r="J359" s="78" t="str">
        <f aca="false">IF(B359="","",IFERROR(INDEX('CARNET DE SOUDURE'!$E$7:$E$1506,MATCH(B359,'CARNET DE SOUDURE'!$M$7:$M$1506,0)),""))</f>
        <v/>
      </c>
      <c r="K359" s="78" t="str">
        <f aca="false">IF(B359="","",IFERROR(INDEX('CARNET DE SOUDURE'!$E$7:$E$1506,MATCH(B359,'CARNET DE SOUDURE'!$K$7:$K$1506,0)),""))</f>
        <v/>
      </c>
      <c r="L359" s="78" t="str">
        <f aca="false">IF(B359="","",IFERROR(INDEX('CARNET DE SOUDURE'!$D$7:$D$1506,MATCH(B359,'CARNET DE SOUDURE'!$K$7:$K$1506,0)),IFERROR(INDEX('CARNET DE SOUDURE'!$D$7:$D$1506,MATCH(B359,'CARNET DE SOUDURE'!$M$7:$M$1506,0)),"")))</f>
        <v/>
      </c>
      <c r="M359" s="81" t="str">
        <f aca="false">IF(B359="","",IF(OR(J359&lt;&gt;"",K359&lt;&gt;""),"POSÉ EN LIGNE",IF(H359&lt;&gt;"","BARDÉ","EN STOCK")))</f>
        <v/>
      </c>
      <c r="N359" s="79"/>
    </row>
    <row r="360" customFormat="false" ht="15" hidden="false" customHeight="false" outlineLevel="0" collapsed="false">
      <c r="A360" s="78" t="str">
        <f aca="false">IF(B360="","",ROW()-6)</f>
        <v/>
      </c>
      <c r="B360" s="90"/>
      <c r="C360" s="91"/>
      <c r="D360" s="91"/>
      <c r="E360" s="80"/>
      <c r="F360" s="92"/>
      <c r="G360" s="79"/>
      <c r="H360" s="82"/>
      <c r="I360" s="93" t="str">
        <f aca="false">IF(B360="","",IFERROR(INDEX('CARNET DE SOUDURE'!$B$7:$B$1506,MATCH(B360,'CARNET DE SOUDURE'!$K$7:$K$1506,0)),IFERROR(INDEX('CARNET DE SOUDURE'!$B$7:$B$1506,MATCH(B360,'CARNET DE SOUDURE'!$M$7:$M$1506,0)),"")))</f>
        <v/>
      </c>
      <c r="J360" s="78" t="str">
        <f aca="false">IF(B360="","",IFERROR(INDEX('CARNET DE SOUDURE'!$E$7:$E$1506,MATCH(B360,'CARNET DE SOUDURE'!$M$7:$M$1506,0)),""))</f>
        <v/>
      </c>
      <c r="K360" s="78" t="str">
        <f aca="false">IF(B360="","",IFERROR(INDEX('CARNET DE SOUDURE'!$E$7:$E$1506,MATCH(B360,'CARNET DE SOUDURE'!$K$7:$K$1506,0)),""))</f>
        <v/>
      </c>
      <c r="L360" s="78" t="str">
        <f aca="false">IF(B360="","",IFERROR(INDEX('CARNET DE SOUDURE'!$D$7:$D$1506,MATCH(B360,'CARNET DE SOUDURE'!$K$7:$K$1506,0)),IFERROR(INDEX('CARNET DE SOUDURE'!$D$7:$D$1506,MATCH(B360,'CARNET DE SOUDURE'!$M$7:$M$1506,0)),"")))</f>
        <v/>
      </c>
      <c r="M360" s="81" t="str">
        <f aca="false">IF(B360="","",IF(OR(J360&lt;&gt;"",K360&lt;&gt;""),"POSÉ EN LIGNE",IF(H360&lt;&gt;"","BARDÉ","EN STOCK")))</f>
        <v/>
      </c>
      <c r="N360" s="79"/>
    </row>
    <row r="361" customFormat="false" ht="15" hidden="false" customHeight="false" outlineLevel="0" collapsed="false">
      <c r="A361" s="78" t="str">
        <f aca="false">IF(B361="","",ROW()-6)</f>
        <v/>
      </c>
      <c r="B361" s="90"/>
      <c r="C361" s="91"/>
      <c r="D361" s="91"/>
      <c r="E361" s="80"/>
      <c r="F361" s="92"/>
      <c r="G361" s="79"/>
      <c r="H361" s="82"/>
      <c r="I361" s="93" t="str">
        <f aca="false">IF(B361="","",IFERROR(INDEX('CARNET DE SOUDURE'!$B$7:$B$1506,MATCH(B361,'CARNET DE SOUDURE'!$K$7:$K$1506,0)),IFERROR(INDEX('CARNET DE SOUDURE'!$B$7:$B$1506,MATCH(B361,'CARNET DE SOUDURE'!$M$7:$M$1506,0)),"")))</f>
        <v/>
      </c>
      <c r="J361" s="78" t="str">
        <f aca="false">IF(B361="","",IFERROR(INDEX('CARNET DE SOUDURE'!$E$7:$E$1506,MATCH(B361,'CARNET DE SOUDURE'!$M$7:$M$1506,0)),""))</f>
        <v/>
      </c>
      <c r="K361" s="78" t="str">
        <f aca="false">IF(B361="","",IFERROR(INDEX('CARNET DE SOUDURE'!$E$7:$E$1506,MATCH(B361,'CARNET DE SOUDURE'!$K$7:$K$1506,0)),""))</f>
        <v/>
      </c>
      <c r="L361" s="78" t="str">
        <f aca="false">IF(B361="","",IFERROR(INDEX('CARNET DE SOUDURE'!$D$7:$D$1506,MATCH(B361,'CARNET DE SOUDURE'!$K$7:$K$1506,0)),IFERROR(INDEX('CARNET DE SOUDURE'!$D$7:$D$1506,MATCH(B361,'CARNET DE SOUDURE'!$M$7:$M$1506,0)),"")))</f>
        <v/>
      </c>
      <c r="M361" s="81" t="str">
        <f aca="false">IF(B361="","",IF(OR(J361&lt;&gt;"",K361&lt;&gt;""),"POSÉ EN LIGNE",IF(H361&lt;&gt;"","BARDÉ","EN STOCK")))</f>
        <v/>
      </c>
      <c r="N361" s="79"/>
    </row>
    <row r="362" customFormat="false" ht="15" hidden="false" customHeight="false" outlineLevel="0" collapsed="false">
      <c r="A362" s="78" t="str">
        <f aca="false">IF(B362="","",ROW()-6)</f>
        <v/>
      </c>
      <c r="B362" s="90"/>
      <c r="C362" s="91"/>
      <c r="D362" s="91"/>
      <c r="E362" s="80"/>
      <c r="F362" s="92"/>
      <c r="G362" s="79"/>
      <c r="H362" s="82"/>
      <c r="I362" s="93" t="str">
        <f aca="false">IF(B362="","",IFERROR(INDEX('CARNET DE SOUDURE'!$B$7:$B$1506,MATCH(B362,'CARNET DE SOUDURE'!$K$7:$K$1506,0)),IFERROR(INDEX('CARNET DE SOUDURE'!$B$7:$B$1506,MATCH(B362,'CARNET DE SOUDURE'!$M$7:$M$1506,0)),"")))</f>
        <v/>
      </c>
      <c r="J362" s="78" t="str">
        <f aca="false">IF(B362="","",IFERROR(INDEX('CARNET DE SOUDURE'!$E$7:$E$1506,MATCH(B362,'CARNET DE SOUDURE'!$M$7:$M$1506,0)),""))</f>
        <v/>
      </c>
      <c r="K362" s="78" t="str">
        <f aca="false">IF(B362="","",IFERROR(INDEX('CARNET DE SOUDURE'!$E$7:$E$1506,MATCH(B362,'CARNET DE SOUDURE'!$K$7:$K$1506,0)),""))</f>
        <v/>
      </c>
      <c r="L362" s="78" t="str">
        <f aca="false">IF(B362="","",IFERROR(INDEX('CARNET DE SOUDURE'!$D$7:$D$1506,MATCH(B362,'CARNET DE SOUDURE'!$K$7:$K$1506,0)),IFERROR(INDEX('CARNET DE SOUDURE'!$D$7:$D$1506,MATCH(B362,'CARNET DE SOUDURE'!$M$7:$M$1506,0)),"")))</f>
        <v/>
      </c>
      <c r="M362" s="81" t="str">
        <f aca="false">IF(B362="","",IF(OR(J362&lt;&gt;"",K362&lt;&gt;""),"POSÉ EN LIGNE",IF(H362&lt;&gt;"","BARDÉ","EN STOCK")))</f>
        <v/>
      </c>
      <c r="N362" s="79"/>
    </row>
    <row r="363" customFormat="false" ht="15" hidden="false" customHeight="false" outlineLevel="0" collapsed="false">
      <c r="A363" s="78" t="str">
        <f aca="false">IF(B363="","",ROW()-6)</f>
        <v/>
      </c>
      <c r="B363" s="90"/>
      <c r="C363" s="91"/>
      <c r="D363" s="91"/>
      <c r="E363" s="80"/>
      <c r="F363" s="92"/>
      <c r="G363" s="79"/>
      <c r="H363" s="82"/>
      <c r="I363" s="93" t="str">
        <f aca="false">IF(B363="","",IFERROR(INDEX('CARNET DE SOUDURE'!$B$7:$B$1506,MATCH(B363,'CARNET DE SOUDURE'!$K$7:$K$1506,0)),IFERROR(INDEX('CARNET DE SOUDURE'!$B$7:$B$1506,MATCH(B363,'CARNET DE SOUDURE'!$M$7:$M$1506,0)),"")))</f>
        <v/>
      </c>
      <c r="J363" s="78" t="str">
        <f aca="false">IF(B363="","",IFERROR(INDEX('CARNET DE SOUDURE'!$E$7:$E$1506,MATCH(B363,'CARNET DE SOUDURE'!$M$7:$M$1506,0)),""))</f>
        <v/>
      </c>
      <c r="K363" s="78" t="str">
        <f aca="false">IF(B363="","",IFERROR(INDEX('CARNET DE SOUDURE'!$E$7:$E$1506,MATCH(B363,'CARNET DE SOUDURE'!$K$7:$K$1506,0)),""))</f>
        <v/>
      </c>
      <c r="L363" s="78" t="str">
        <f aca="false">IF(B363="","",IFERROR(INDEX('CARNET DE SOUDURE'!$D$7:$D$1506,MATCH(B363,'CARNET DE SOUDURE'!$K$7:$K$1506,0)),IFERROR(INDEX('CARNET DE SOUDURE'!$D$7:$D$1506,MATCH(B363,'CARNET DE SOUDURE'!$M$7:$M$1506,0)),"")))</f>
        <v/>
      </c>
      <c r="M363" s="81" t="str">
        <f aca="false">IF(B363="","",IF(OR(J363&lt;&gt;"",K363&lt;&gt;""),"POSÉ EN LIGNE",IF(H363&lt;&gt;"","BARDÉ","EN STOCK")))</f>
        <v/>
      </c>
      <c r="N363" s="79"/>
    </row>
    <row r="364" customFormat="false" ht="15" hidden="false" customHeight="false" outlineLevel="0" collapsed="false">
      <c r="A364" s="78" t="str">
        <f aca="false">IF(B364="","",ROW()-6)</f>
        <v/>
      </c>
      <c r="B364" s="90"/>
      <c r="C364" s="91"/>
      <c r="D364" s="91"/>
      <c r="E364" s="80"/>
      <c r="F364" s="92"/>
      <c r="G364" s="79"/>
      <c r="H364" s="82"/>
      <c r="I364" s="93" t="str">
        <f aca="false">IF(B364="","",IFERROR(INDEX('CARNET DE SOUDURE'!$B$7:$B$1506,MATCH(B364,'CARNET DE SOUDURE'!$K$7:$K$1506,0)),IFERROR(INDEX('CARNET DE SOUDURE'!$B$7:$B$1506,MATCH(B364,'CARNET DE SOUDURE'!$M$7:$M$1506,0)),"")))</f>
        <v/>
      </c>
      <c r="J364" s="78" t="str">
        <f aca="false">IF(B364="","",IFERROR(INDEX('CARNET DE SOUDURE'!$E$7:$E$1506,MATCH(B364,'CARNET DE SOUDURE'!$M$7:$M$1506,0)),""))</f>
        <v/>
      </c>
      <c r="K364" s="78" t="str">
        <f aca="false">IF(B364="","",IFERROR(INDEX('CARNET DE SOUDURE'!$E$7:$E$1506,MATCH(B364,'CARNET DE SOUDURE'!$K$7:$K$1506,0)),""))</f>
        <v/>
      </c>
      <c r="L364" s="78" t="str">
        <f aca="false">IF(B364="","",IFERROR(INDEX('CARNET DE SOUDURE'!$D$7:$D$1506,MATCH(B364,'CARNET DE SOUDURE'!$K$7:$K$1506,0)),IFERROR(INDEX('CARNET DE SOUDURE'!$D$7:$D$1506,MATCH(B364,'CARNET DE SOUDURE'!$M$7:$M$1506,0)),"")))</f>
        <v/>
      </c>
      <c r="M364" s="81" t="str">
        <f aca="false">IF(B364="","",IF(OR(J364&lt;&gt;"",K364&lt;&gt;""),"POSÉ EN LIGNE",IF(H364&lt;&gt;"","BARDÉ","EN STOCK")))</f>
        <v/>
      </c>
      <c r="N364" s="79"/>
    </row>
    <row r="365" customFormat="false" ht="15" hidden="false" customHeight="false" outlineLevel="0" collapsed="false">
      <c r="A365" s="78" t="str">
        <f aca="false">IF(B365="","",ROW()-6)</f>
        <v/>
      </c>
      <c r="B365" s="90"/>
      <c r="C365" s="91"/>
      <c r="D365" s="91"/>
      <c r="E365" s="80"/>
      <c r="F365" s="92"/>
      <c r="G365" s="79"/>
      <c r="H365" s="82"/>
      <c r="I365" s="93" t="str">
        <f aca="false">IF(B365="","",IFERROR(INDEX('CARNET DE SOUDURE'!$B$7:$B$1506,MATCH(B365,'CARNET DE SOUDURE'!$K$7:$K$1506,0)),IFERROR(INDEX('CARNET DE SOUDURE'!$B$7:$B$1506,MATCH(B365,'CARNET DE SOUDURE'!$M$7:$M$1506,0)),"")))</f>
        <v/>
      </c>
      <c r="J365" s="78" t="str">
        <f aca="false">IF(B365="","",IFERROR(INDEX('CARNET DE SOUDURE'!$E$7:$E$1506,MATCH(B365,'CARNET DE SOUDURE'!$M$7:$M$1506,0)),""))</f>
        <v/>
      </c>
      <c r="K365" s="78" t="str">
        <f aca="false">IF(B365="","",IFERROR(INDEX('CARNET DE SOUDURE'!$E$7:$E$1506,MATCH(B365,'CARNET DE SOUDURE'!$K$7:$K$1506,0)),""))</f>
        <v/>
      </c>
      <c r="L365" s="78" t="str">
        <f aca="false">IF(B365="","",IFERROR(INDEX('CARNET DE SOUDURE'!$D$7:$D$1506,MATCH(B365,'CARNET DE SOUDURE'!$K$7:$K$1506,0)),IFERROR(INDEX('CARNET DE SOUDURE'!$D$7:$D$1506,MATCH(B365,'CARNET DE SOUDURE'!$M$7:$M$1506,0)),"")))</f>
        <v/>
      </c>
      <c r="M365" s="81" t="str">
        <f aca="false">IF(B365="","",IF(OR(J365&lt;&gt;"",K365&lt;&gt;""),"POSÉ EN LIGNE",IF(H365&lt;&gt;"","BARDÉ","EN STOCK")))</f>
        <v/>
      </c>
      <c r="N365" s="79"/>
    </row>
    <row r="366" customFormat="false" ht="15" hidden="false" customHeight="false" outlineLevel="0" collapsed="false">
      <c r="A366" s="78" t="str">
        <f aca="false">IF(B366="","",ROW()-6)</f>
        <v/>
      </c>
      <c r="B366" s="90"/>
      <c r="C366" s="91"/>
      <c r="D366" s="91"/>
      <c r="E366" s="80"/>
      <c r="F366" s="92"/>
      <c r="G366" s="79"/>
      <c r="H366" s="82"/>
      <c r="I366" s="93" t="str">
        <f aca="false">IF(B366="","",IFERROR(INDEX('CARNET DE SOUDURE'!$B$7:$B$1506,MATCH(B366,'CARNET DE SOUDURE'!$K$7:$K$1506,0)),IFERROR(INDEX('CARNET DE SOUDURE'!$B$7:$B$1506,MATCH(B366,'CARNET DE SOUDURE'!$M$7:$M$1506,0)),"")))</f>
        <v/>
      </c>
      <c r="J366" s="78" t="str">
        <f aca="false">IF(B366="","",IFERROR(INDEX('CARNET DE SOUDURE'!$E$7:$E$1506,MATCH(B366,'CARNET DE SOUDURE'!$M$7:$M$1506,0)),""))</f>
        <v/>
      </c>
      <c r="K366" s="78" t="str">
        <f aca="false">IF(B366="","",IFERROR(INDEX('CARNET DE SOUDURE'!$E$7:$E$1506,MATCH(B366,'CARNET DE SOUDURE'!$K$7:$K$1506,0)),""))</f>
        <v/>
      </c>
      <c r="L366" s="78" t="str">
        <f aca="false">IF(B366="","",IFERROR(INDEX('CARNET DE SOUDURE'!$D$7:$D$1506,MATCH(B366,'CARNET DE SOUDURE'!$K$7:$K$1506,0)),IFERROR(INDEX('CARNET DE SOUDURE'!$D$7:$D$1506,MATCH(B366,'CARNET DE SOUDURE'!$M$7:$M$1506,0)),"")))</f>
        <v/>
      </c>
      <c r="M366" s="81" t="str">
        <f aca="false">IF(B366="","",IF(OR(J366&lt;&gt;"",K366&lt;&gt;""),"POSÉ EN LIGNE",IF(H366&lt;&gt;"","BARDÉ","EN STOCK")))</f>
        <v/>
      </c>
      <c r="N366" s="79"/>
    </row>
    <row r="367" customFormat="false" ht="15" hidden="false" customHeight="false" outlineLevel="0" collapsed="false">
      <c r="A367" s="78" t="str">
        <f aca="false">IF(B367="","",ROW()-6)</f>
        <v/>
      </c>
      <c r="B367" s="90"/>
      <c r="C367" s="91"/>
      <c r="D367" s="91"/>
      <c r="E367" s="80"/>
      <c r="F367" s="92"/>
      <c r="G367" s="79"/>
      <c r="H367" s="82"/>
      <c r="I367" s="93" t="str">
        <f aca="false">IF(B367="","",IFERROR(INDEX('CARNET DE SOUDURE'!$B$7:$B$1506,MATCH(B367,'CARNET DE SOUDURE'!$K$7:$K$1506,0)),IFERROR(INDEX('CARNET DE SOUDURE'!$B$7:$B$1506,MATCH(B367,'CARNET DE SOUDURE'!$M$7:$M$1506,0)),"")))</f>
        <v/>
      </c>
      <c r="J367" s="78" t="str">
        <f aca="false">IF(B367="","",IFERROR(INDEX('CARNET DE SOUDURE'!$E$7:$E$1506,MATCH(B367,'CARNET DE SOUDURE'!$M$7:$M$1506,0)),""))</f>
        <v/>
      </c>
      <c r="K367" s="78" t="str">
        <f aca="false">IF(B367="","",IFERROR(INDEX('CARNET DE SOUDURE'!$E$7:$E$1506,MATCH(B367,'CARNET DE SOUDURE'!$K$7:$K$1506,0)),""))</f>
        <v/>
      </c>
      <c r="L367" s="78" t="str">
        <f aca="false">IF(B367="","",IFERROR(INDEX('CARNET DE SOUDURE'!$D$7:$D$1506,MATCH(B367,'CARNET DE SOUDURE'!$K$7:$K$1506,0)),IFERROR(INDEX('CARNET DE SOUDURE'!$D$7:$D$1506,MATCH(B367,'CARNET DE SOUDURE'!$M$7:$M$1506,0)),"")))</f>
        <v/>
      </c>
      <c r="M367" s="81" t="str">
        <f aca="false">IF(B367="","",IF(OR(J367&lt;&gt;"",K367&lt;&gt;""),"POSÉ EN LIGNE",IF(H367&lt;&gt;"","BARDÉ","EN STOCK")))</f>
        <v/>
      </c>
      <c r="N367" s="79"/>
    </row>
    <row r="368" customFormat="false" ht="15" hidden="false" customHeight="false" outlineLevel="0" collapsed="false">
      <c r="A368" s="78" t="str">
        <f aca="false">IF(B368="","",ROW()-6)</f>
        <v/>
      </c>
      <c r="B368" s="90"/>
      <c r="C368" s="91"/>
      <c r="D368" s="91"/>
      <c r="E368" s="80"/>
      <c r="F368" s="92"/>
      <c r="G368" s="79"/>
      <c r="H368" s="82"/>
      <c r="I368" s="93" t="str">
        <f aca="false">IF(B368="","",IFERROR(INDEX('CARNET DE SOUDURE'!$B$7:$B$1506,MATCH(B368,'CARNET DE SOUDURE'!$K$7:$K$1506,0)),IFERROR(INDEX('CARNET DE SOUDURE'!$B$7:$B$1506,MATCH(B368,'CARNET DE SOUDURE'!$M$7:$M$1506,0)),"")))</f>
        <v/>
      </c>
      <c r="J368" s="78" t="str">
        <f aca="false">IF(B368="","",IFERROR(INDEX('CARNET DE SOUDURE'!$E$7:$E$1506,MATCH(B368,'CARNET DE SOUDURE'!$M$7:$M$1506,0)),""))</f>
        <v/>
      </c>
      <c r="K368" s="78" t="str">
        <f aca="false">IF(B368="","",IFERROR(INDEX('CARNET DE SOUDURE'!$E$7:$E$1506,MATCH(B368,'CARNET DE SOUDURE'!$K$7:$K$1506,0)),""))</f>
        <v/>
      </c>
      <c r="L368" s="78" t="str">
        <f aca="false">IF(B368="","",IFERROR(INDEX('CARNET DE SOUDURE'!$D$7:$D$1506,MATCH(B368,'CARNET DE SOUDURE'!$K$7:$K$1506,0)),IFERROR(INDEX('CARNET DE SOUDURE'!$D$7:$D$1506,MATCH(B368,'CARNET DE SOUDURE'!$M$7:$M$1506,0)),"")))</f>
        <v/>
      </c>
      <c r="M368" s="81" t="str">
        <f aca="false">IF(B368="","",IF(OR(J368&lt;&gt;"",K368&lt;&gt;""),"POSÉ EN LIGNE",IF(H368&lt;&gt;"","BARDÉ","EN STOCK")))</f>
        <v/>
      </c>
      <c r="N368" s="79"/>
    </row>
    <row r="369" customFormat="false" ht="15" hidden="false" customHeight="false" outlineLevel="0" collapsed="false">
      <c r="A369" s="78" t="str">
        <f aca="false">IF(B369="","",ROW()-6)</f>
        <v/>
      </c>
      <c r="B369" s="90"/>
      <c r="C369" s="91"/>
      <c r="D369" s="91"/>
      <c r="E369" s="80"/>
      <c r="F369" s="92"/>
      <c r="G369" s="79"/>
      <c r="H369" s="82"/>
      <c r="I369" s="93" t="str">
        <f aca="false">IF(B369="","",IFERROR(INDEX('CARNET DE SOUDURE'!$B$7:$B$1506,MATCH(B369,'CARNET DE SOUDURE'!$K$7:$K$1506,0)),IFERROR(INDEX('CARNET DE SOUDURE'!$B$7:$B$1506,MATCH(B369,'CARNET DE SOUDURE'!$M$7:$M$1506,0)),"")))</f>
        <v/>
      </c>
      <c r="J369" s="78" t="str">
        <f aca="false">IF(B369="","",IFERROR(INDEX('CARNET DE SOUDURE'!$E$7:$E$1506,MATCH(B369,'CARNET DE SOUDURE'!$M$7:$M$1506,0)),""))</f>
        <v/>
      </c>
      <c r="K369" s="78" t="str">
        <f aca="false">IF(B369="","",IFERROR(INDEX('CARNET DE SOUDURE'!$E$7:$E$1506,MATCH(B369,'CARNET DE SOUDURE'!$K$7:$K$1506,0)),""))</f>
        <v/>
      </c>
      <c r="L369" s="78" t="str">
        <f aca="false">IF(B369="","",IFERROR(INDEX('CARNET DE SOUDURE'!$D$7:$D$1506,MATCH(B369,'CARNET DE SOUDURE'!$K$7:$K$1506,0)),IFERROR(INDEX('CARNET DE SOUDURE'!$D$7:$D$1506,MATCH(B369,'CARNET DE SOUDURE'!$M$7:$M$1506,0)),"")))</f>
        <v/>
      </c>
      <c r="M369" s="81" t="str">
        <f aca="false">IF(B369="","",IF(OR(J369&lt;&gt;"",K369&lt;&gt;""),"POSÉ EN LIGNE",IF(H369&lt;&gt;"","BARDÉ","EN STOCK")))</f>
        <v/>
      </c>
      <c r="N369" s="79"/>
    </row>
    <row r="370" customFormat="false" ht="15" hidden="false" customHeight="false" outlineLevel="0" collapsed="false">
      <c r="A370" s="78" t="str">
        <f aca="false">IF(B370="","",ROW()-6)</f>
        <v/>
      </c>
      <c r="B370" s="90"/>
      <c r="C370" s="91"/>
      <c r="D370" s="91"/>
      <c r="E370" s="80"/>
      <c r="F370" s="92"/>
      <c r="G370" s="79"/>
      <c r="H370" s="82"/>
      <c r="I370" s="93" t="str">
        <f aca="false">IF(B370="","",IFERROR(INDEX('CARNET DE SOUDURE'!$B$7:$B$1506,MATCH(B370,'CARNET DE SOUDURE'!$K$7:$K$1506,0)),IFERROR(INDEX('CARNET DE SOUDURE'!$B$7:$B$1506,MATCH(B370,'CARNET DE SOUDURE'!$M$7:$M$1506,0)),"")))</f>
        <v/>
      </c>
      <c r="J370" s="78" t="str">
        <f aca="false">IF(B370="","",IFERROR(INDEX('CARNET DE SOUDURE'!$E$7:$E$1506,MATCH(B370,'CARNET DE SOUDURE'!$M$7:$M$1506,0)),""))</f>
        <v/>
      </c>
      <c r="K370" s="78" t="str">
        <f aca="false">IF(B370="","",IFERROR(INDEX('CARNET DE SOUDURE'!$E$7:$E$1506,MATCH(B370,'CARNET DE SOUDURE'!$K$7:$K$1506,0)),""))</f>
        <v/>
      </c>
      <c r="L370" s="78" t="str">
        <f aca="false">IF(B370="","",IFERROR(INDEX('CARNET DE SOUDURE'!$D$7:$D$1506,MATCH(B370,'CARNET DE SOUDURE'!$K$7:$K$1506,0)),IFERROR(INDEX('CARNET DE SOUDURE'!$D$7:$D$1506,MATCH(B370,'CARNET DE SOUDURE'!$M$7:$M$1506,0)),"")))</f>
        <v/>
      </c>
      <c r="M370" s="81" t="str">
        <f aca="false">IF(B370="","",IF(OR(J370&lt;&gt;"",K370&lt;&gt;""),"POSÉ EN LIGNE",IF(H370&lt;&gt;"","BARDÉ","EN STOCK")))</f>
        <v/>
      </c>
      <c r="N370" s="79"/>
    </row>
    <row r="371" customFormat="false" ht="15" hidden="false" customHeight="false" outlineLevel="0" collapsed="false">
      <c r="A371" s="78" t="str">
        <f aca="false">IF(B371="","",ROW()-6)</f>
        <v/>
      </c>
      <c r="B371" s="90"/>
      <c r="C371" s="91"/>
      <c r="D371" s="91"/>
      <c r="E371" s="80"/>
      <c r="F371" s="92"/>
      <c r="G371" s="79"/>
      <c r="H371" s="82"/>
      <c r="I371" s="93" t="str">
        <f aca="false">IF(B371="","",IFERROR(INDEX('CARNET DE SOUDURE'!$B$7:$B$1506,MATCH(B371,'CARNET DE SOUDURE'!$K$7:$K$1506,0)),IFERROR(INDEX('CARNET DE SOUDURE'!$B$7:$B$1506,MATCH(B371,'CARNET DE SOUDURE'!$M$7:$M$1506,0)),"")))</f>
        <v/>
      </c>
      <c r="J371" s="78" t="str">
        <f aca="false">IF(B371="","",IFERROR(INDEX('CARNET DE SOUDURE'!$E$7:$E$1506,MATCH(B371,'CARNET DE SOUDURE'!$M$7:$M$1506,0)),""))</f>
        <v/>
      </c>
      <c r="K371" s="78" t="str">
        <f aca="false">IF(B371="","",IFERROR(INDEX('CARNET DE SOUDURE'!$E$7:$E$1506,MATCH(B371,'CARNET DE SOUDURE'!$K$7:$K$1506,0)),""))</f>
        <v/>
      </c>
      <c r="L371" s="78" t="str">
        <f aca="false">IF(B371="","",IFERROR(INDEX('CARNET DE SOUDURE'!$D$7:$D$1506,MATCH(B371,'CARNET DE SOUDURE'!$K$7:$K$1506,0)),IFERROR(INDEX('CARNET DE SOUDURE'!$D$7:$D$1506,MATCH(B371,'CARNET DE SOUDURE'!$M$7:$M$1506,0)),"")))</f>
        <v/>
      </c>
      <c r="M371" s="81" t="str">
        <f aca="false">IF(B371="","",IF(OR(J371&lt;&gt;"",K371&lt;&gt;""),"POSÉ EN LIGNE",IF(H371&lt;&gt;"","BARDÉ","EN STOCK")))</f>
        <v/>
      </c>
      <c r="N371" s="79"/>
    </row>
    <row r="372" customFormat="false" ht="15" hidden="false" customHeight="false" outlineLevel="0" collapsed="false">
      <c r="A372" s="78" t="str">
        <f aca="false">IF(B372="","",ROW()-6)</f>
        <v/>
      </c>
      <c r="B372" s="90"/>
      <c r="C372" s="91"/>
      <c r="D372" s="91"/>
      <c r="E372" s="80"/>
      <c r="F372" s="92"/>
      <c r="G372" s="79"/>
      <c r="H372" s="82"/>
      <c r="I372" s="93" t="str">
        <f aca="false">IF(B372="","",IFERROR(INDEX('CARNET DE SOUDURE'!$B$7:$B$1506,MATCH(B372,'CARNET DE SOUDURE'!$K$7:$K$1506,0)),IFERROR(INDEX('CARNET DE SOUDURE'!$B$7:$B$1506,MATCH(B372,'CARNET DE SOUDURE'!$M$7:$M$1506,0)),"")))</f>
        <v/>
      </c>
      <c r="J372" s="78" t="str">
        <f aca="false">IF(B372="","",IFERROR(INDEX('CARNET DE SOUDURE'!$E$7:$E$1506,MATCH(B372,'CARNET DE SOUDURE'!$M$7:$M$1506,0)),""))</f>
        <v/>
      </c>
      <c r="K372" s="78" t="str">
        <f aca="false">IF(B372="","",IFERROR(INDEX('CARNET DE SOUDURE'!$E$7:$E$1506,MATCH(B372,'CARNET DE SOUDURE'!$K$7:$K$1506,0)),""))</f>
        <v/>
      </c>
      <c r="L372" s="78" t="str">
        <f aca="false">IF(B372="","",IFERROR(INDEX('CARNET DE SOUDURE'!$D$7:$D$1506,MATCH(B372,'CARNET DE SOUDURE'!$K$7:$K$1506,0)),IFERROR(INDEX('CARNET DE SOUDURE'!$D$7:$D$1506,MATCH(B372,'CARNET DE SOUDURE'!$M$7:$M$1506,0)),"")))</f>
        <v/>
      </c>
      <c r="M372" s="81" t="str">
        <f aca="false">IF(B372="","",IF(OR(J372&lt;&gt;"",K372&lt;&gt;""),"POSÉ EN LIGNE",IF(H372&lt;&gt;"","BARDÉ","EN STOCK")))</f>
        <v/>
      </c>
      <c r="N372" s="79"/>
    </row>
    <row r="373" customFormat="false" ht="15" hidden="false" customHeight="false" outlineLevel="0" collapsed="false">
      <c r="A373" s="78" t="str">
        <f aca="false">IF(B373="","",ROW()-6)</f>
        <v/>
      </c>
      <c r="B373" s="90"/>
      <c r="C373" s="91"/>
      <c r="D373" s="91"/>
      <c r="E373" s="80"/>
      <c r="F373" s="92"/>
      <c r="G373" s="79"/>
      <c r="H373" s="82"/>
      <c r="I373" s="93" t="str">
        <f aca="false">IF(B373="","",IFERROR(INDEX('CARNET DE SOUDURE'!$B$7:$B$1506,MATCH(B373,'CARNET DE SOUDURE'!$K$7:$K$1506,0)),IFERROR(INDEX('CARNET DE SOUDURE'!$B$7:$B$1506,MATCH(B373,'CARNET DE SOUDURE'!$M$7:$M$1506,0)),"")))</f>
        <v/>
      </c>
      <c r="J373" s="78" t="str">
        <f aca="false">IF(B373="","",IFERROR(INDEX('CARNET DE SOUDURE'!$E$7:$E$1506,MATCH(B373,'CARNET DE SOUDURE'!$M$7:$M$1506,0)),""))</f>
        <v/>
      </c>
      <c r="K373" s="78" t="str">
        <f aca="false">IF(B373="","",IFERROR(INDEX('CARNET DE SOUDURE'!$E$7:$E$1506,MATCH(B373,'CARNET DE SOUDURE'!$K$7:$K$1506,0)),""))</f>
        <v/>
      </c>
      <c r="L373" s="78" t="str">
        <f aca="false">IF(B373="","",IFERROR(INDEX('CARNET DE SOUDURE'!$D$7:$D$1506,MATCH(B373,'CARNET DE SOUDURE'!$K$7:$K$1506,0)),IFERROR(INDEX('CARNET DE SOUDURE'!$D$7:$D$1506,MATCH(B373,'CARNET DE SOUDURE'!$M$7:$M$1506,0)),"")))</f>
        <v/>
      </c>
      <c r="M373" s="81" t="str">
        <f aca="false">IF(B373="","",IF(OR(J373&lt;&gt;"",K373&lt;&gt;""),"POSÉ EN LIGNE",IF(H373&lt;&gt;"","BARDÉ","EN STOCK")))</f>
        <v/>
      </c>
      <c r="N373" s="79"/>
    </row>
    <row r="374" customFormat="false" ht="15" hidden="false" customHeight="false" outlineLevel="0" collapsed="false">
      <c r="A374" s="78" t="str">
        <f aca="false">IF(B374="","",ROW()-6)</f>
        <v/>
      </c>
      <c r="B374" s="90"/>
      <c r="C374" s="91"/>
      <c r="D374" s="91"/>
      <c r="E374" s="80"/>
      <c r="F374" s="92"/>
      <c r="G374" s="79"/>
      <c r="H374" s="82"/>
      <c r="I374" s="93" t="str">
        <f aca="false">IF(B374="","",IFERROR(INDEX('CARNET DE SOUDURE'!$B$7:$B$1506,MATCH(B374,'CARNET DE SOUDURE'!$K$7:$K$1506,0)),IFERROR(INDEX('CARNET DE SOUDURE'!$B$7:$B$1506,MATCH(B374,'CARNET DE SOUDURE'!$M$7:$M$1506,0)),"")))</f>
        <v/>
      </c>
      <c r="J374" s="78" t="str">
        <f aca="false">IF(B374="","",IFERROR(INDEX('CARNET DE SOUDURE'!$E$7:$E$1506,MATCH(B374,'CARNET DE SOUDURE'!$M$7:$M$1506,0)),""))</f>
        <v/>
      </c>
      <c r="K374" s="78" t="str">
        <f aca="false">IF(B374="","",IFERROR(INDEX('CARNET DE SOUDURE'!$E$7:$E$1506,MATCH(B374,'CARNET DE SOUDURE'!$K$7:$K$1506,0)),""))</f>
        <v/>
      </c>
      <c r="L374" s="78" t="str">
        <f aca="false">IF(B374="","",IFERROR(INDEX('CARNET DE SOUDURE'!$D$7:$D$1506,MATCH(B374,'CARNET DE SOUDURE'!$K$7:$K$1506,0)),IFERROR(INDEX('CARNET DE SOUDURE'!$D$7:$D$1506,MATCH(B374,'CARNET DE SOUDURE'!$M$7:$M$1506,0)),"")))</f>
        <v/>
      </c>
      <c r="M374" s="81" t="str">
        <f aca="false">IF(B374="","",IF(OR(J374&lt;&gt;"",K374&lt;&gt;""),"POSÉ EN LIGNE",IF(H374&lt;&gt;"","BARDÉ","EN STOCK")))</f>
        <v/>
      </c>
      <c r="N374" s="79"/>
    </row>
    <row r="375" customFormat="false" ht="15" hidden="false" customHeight="false" outlineLevel="0" collapsed="false">
      <c r="A375" s="78" t="str">
        <f aca="false">IF(B375="","",ROW()-6)</f>
        <v/>
      </c>
      <c r="B375" s="90"/>
      <c r="C375" s="91"/>
      <c r="D375" s="91"/>
      <c r="E375" s="80"/>
      <c r="F375" s="92"/>
      <c r="G375" s="79"/>
      <c r="H375" s="82"/>
      <c r="I375" s="93" t="str">
        <f aca="false">IF(B375="","",IFERROR(INDEX('CARNET DE SOUDURE'!$B$7:$B$1506,MATCH(B375,'CARNET DE SOUDURE'!$K$7:$K$1506,0)),IFERROR(INDEX('CARNET DE SOUDURE'!$B$7:$B$1506,MATCH(B375,'CARNET DE SOUDURE'!$M$7:$M$1506,0)),"")))</f>
        <v/>
      </c>
      <c r="J375" s="78" t="str">
        <f aca="false">IF(B375="","",IFERROR(INDEX('CARNET DE SOUDURE'!$E$7:$E$1506,MATCH(B375,'CARNET DE SOUDURE'!$M$7:$M$1506,0)),""))</f>
        <v/>
      </c>
      <c r="K375" s="78" t="str">
        <f aca="false">IF(B375="","",IFERROR(INDEX('CARNET DE SOUDURE'!$E$7:$E$1506,MATCH(B375,'CARNET DE SOUDURE'!$K$7:$K$1506,0)),""))</f>
        <v/>
      </c>
      <c r="L375" s="78" t="str">
        <f aca="false">IF(B375="","",IFERROR(INDEX('CARNET DE SOUDURE'!$D$7:$D$1506,MATCH(B375,'CARNET DE SOUDURE'!$K$7:$K$1506,0)),IFERROR(INDEX('CARNET DE SOUDURE'!$D$7:$D$1506,MATCH(B375,'CARNET DE SOUDURE'!$M$7:$M$1506,0)),"")))</f>
        <v/>
      </c>
      <c r="M375" s="81" t="str">
        <f aca="false">IF(B375="","",IF(OR(J375&lt;&gt;"",K375&lt;&gt;""),"POSÉ EN LIGNE",IF(H375&lt;&gt;"","BARDÉ","EN STOCK")))</f>
        <v/>
      </c>
      <c r="N375" s="79"/>
    </row>
    <row r="376" customFormat="false" ht="15" hidden="false" customHeight="false" outlineLevel="0" collapsed="false">
      <c r="A376" s="78" t="str">
        <f aca="false">IF(B376="","",ROW()-6)</f>
        <v/>
      </c>
      <c r="B376" s="90"/>
      <c r="C376" s="91"/>
      <c r="D376" s="91"/>
      <c r="E376" s="80"/>
      <c r="F376" s="92"/>
      <c r="G376" s="79"/>
      <c r="H376" s="82"/>
      <c r="I376" s="93" t="str">
        <f aca="false">IF(B376="","",IFERROR(INDEX('CARNET DE SOUDURE'!$B$7:$B$1506,MATCH(B376,'CARNET DE SOUDURE'!$K$7:$K$1506,0)),IFERROR(INDEX('CARNET DE SOUDURE'!$B$7:$B$1506,MATCH(B376,'CARNET DE SOUDURE'!$M$7:$M$1506,0)),"")))</f>
        <v/>
      </c>
      <c r="J376" s="78" t="str">
        <f aca="false">IF(B376="","",IFERROR(INDEX('CARNET DE SOUDURE'!$E$7:$E$1506,MATCH(B376,'CARNET DE SOUDURE'!$M$7:$M$1506,0)),""))</f>
        <v/>
      </c>
      <c r="K376" s="78" t="str">
        <f aca="false">IF(B376="","",IFERROR(INDEX('CARNET DE SOUDURE'!$E$7:$E$1506,MATCH(B376,'CARNET DE SOUDURE'!$K$7:$K$1506,0)),""))</f>
        <v/>
      </c>
      <c r="L376" s="78" t="str">
        <f aca="false">IF(B376="","",IFERROR(INDEX('CARNET DE SOUDURE'!$D$7:$D$1506,MATCH(B376,'CARNET DE SOUDURE'!$K$7:$K$1506,0)),IFERROR(INDEX('CARNET DE SOUDURE'!$D$7:$D$1506,MATCH(B376,'CARNET DE SOUDURE'!$M$7:$M$1506,0)),"")))</f>
        <v/>
      </c>
      <c r="M376" s="81" t="str">
        <f aca="false">IF(B376="","",IF(OR(J376&lt;&gt;"",K376&lt;&gt;""),"POSÉ EN LIGNE",IF(H376&lt;&gt;"","BARDÉ","EN STOCK")))</f>
        <v/>
      </c>
      <c r="N376" s="79"/>
    </row>
    <row r="377" customFormat="false" ht="15" hidden="false" customHeight="false" outlineLevel="0" collapsed="false">
      <c r="A377" s="78" t="str">
        <f aca="false">IF(B377="","",ROW()-6)</f>
        <v/>
      </c>
      <c r="B377" s="90"/>
      <c r="C377" s="91"/>
      <c r="D377" s="91"/>
      <c r="E377" s="80"/>
      <c r="F377" s="92"/>
      <c r="G377" s="79"/>
      <c r="H377" s="82"/>
      <c r="I377" s="93" t="str">
        <f aca="false">IF(B377="","",IFERROR(INDEX('CARNET DE SOUDURE'!$B$7:$B$1506,MATCH(B377,'CARNET DE SOUDURE'!$K$7:$K$1506,0)),IFERROR(INDEX('CARNET DE SOUDURE'!$B$7:$B$1506,MATCH(B377,'CARNET DE SOUDURE'!$M$7:$M$1506,0)),"")))</f>
        <v/>
      </c>
      <c r="J377" s="78" t="str">
        <f aca="false">IF(B377="","",IFERROR(INDEX('CARNET DE SOUDURE'!$E$7:$E$1506,MATCH(B377,'CARNET DE SOUDURE'!$M$7:$M$1506,0)),""))</f>
        <v/>
      </c>
      <c r="K377" s="78" t="str">
        <f aca="false">IF(B377="","",IFERROR(INDEX('CARNET DE SOUDURE'!$E$7:$E$1506,MATCH(B377,'CARNET DE SOUDURE'!$K$7:$K$1506,0)),""))</f>
        <v/>
      </c>
      <c r="L377" s="78" t="str">
        <f aca="false">IF(B377="","",IFERROR(INDEX('CARNET DE SOUDURE'!$D$7:$D$1506,MATCH(B377,'CARNET DE SOUDURE'!$K$7:$K$1506,0)),IFERROR(INDEX('CARNET DE SOUDURE'!$D$7:$D$1506,MATCH(B377,'CARNET DE SOUDURE'!$M$7:$M$1506,0)),"")))</f>
        <v/>
      </c>
      <c r="M377" s="81" t="str">
        <f aca="false">IF(B377="","",IF(OR(J377&lt;&gt;"",K377&lt;&gt;""),"POSÉ EN LIGNE",IF(H377&lt;&gt;"","BARDÉ","EN STOCK")))</f>
        <v/>
      </c>
      <c r="N377" s="79"/>
    </row>
    <row r="378" customFormat="false" ht="15" hidden="false" customHeight="false" outlineLevel="0" collapsed="false">
      <c r="A378" s="78" t="str">
        <f aca="false">IF(B378="","",ROW()-6)</f>
        <v/>
      </c>
      <c r="B378" s="90"/>
      <c r="C378" s="91"/>
      <c r="D378" s="91"/>
      <c r="E378" s="80"/>
      <c r="F378" s="92"/>
      <c r="G378" s="79"/>
      <c r="H378" s="82"/>
      <c r="I378" s="93" t="str">
        <f aca="false">IF(B378="","",IFERROR(INDEX('CARNET DE SOUDURE'!$B$7:$B$1506,MATCH(B378,'CARNET DE SOUDURE'!$K$7:$K$1506,0)),IFERROR(INDEX('CARNET DE SOUDURE'!$B$7:$B$1506,MATCH(B378,'CARNET DE SOUDURE'!$M$7:$M$1506,0)),"")))</f>
        <v/>
      </c>
      <c r="J378" s="78" t="str">
        <f aca="false">IF(B378="","",IFERROR(INDEX('CARNET DE SOUDURE'!$E$7:$E$1506,MATCH(B378,'CARNET DE SOUDURE'!$M$7:$M$1506,0)),""))</f>
        <v/>
      </c>
      <c r="K378" s="78" t="str">
        <f aca="false">IF(B378="","",IFERROR(INDEX('CARNET DE SOUDURE'!$E$7:$E$1506,MATCH(B378,'CARNET DE SOUDURE'!$K$7:$K$1506,0)),""))</f>
        <v/>
      </c>
      <c r="L378" s="78" t="str">
        <f aca="false">IF(B378="","",IFERROR(INDEX('CARNET DE SOUDURE'!$D$7:$D$1506,MATCH(B378,'CARNET DE SOUDURE'!$K$7:$K$1506,0)),IFERROR(INDEX('CARNET DE SOUDURE'!$D$7:$D$1506,MATCH(B378,'CARNET DE SOUDURE'!$M$7:$M$1506,0)),"")))</f>
        <v/>
      </c>
      <c r="M378" s="81" t="str">
        <f aca="false">IF(B378="","",IF(OR(J378&lt;&gt;"",K378&lt;&gt;""),"POSÉ EN LIGNE",IF(H378&lt;&gt;"","BARDÉ","EN STOCK")))</f>
        <v/>
      </c>
      <c r="N378" s="79"/>
    </row>
    <row r="379" customFormat="false" ht="15" hidden="false" customHeight="false" outlineLevel="0" collapsed="false">
      <c r="A379" s="78" t="str">
        <f aca="false">IF(B379="","",ROW()-6)</f>
        <v/>
      </c>
      <c r="B379" s="90"/>
      <c r="C379" s="91"/>
      <c r="D379" s="91"/>
      <c r="E379" s="80"/>
      <c r="F379" s="92"/>
      <c r="G379" s="79"/>
      <c r="H379" s="82"/>
      <c r="I379" s="93" t="str">
        <f aca="false">IF(B379="","",IFERROR(INDEX('CARNET DE SOUDURE'!$B$7:$B$1506,MATCH(B379,'CARNET DE SOUDURE'!$K$7:$K$1506,0)),IFERROR(INDEX('CARNET DE SOUDURE'!$B$7:$B$1506,MATCH(B379,'CARNET DE SOUDURE'!$M$7:$M$1506,0)),"")))</f>
        <v/>
      </c>
      <c r="J379" s="78" t="str">
        <f aca="false">IF(B379="","",IFERROR(INDEX('CARNET DE SOUDURE'!$E$7:$E$1506,MATCH(B379,'CARNET DE SOUDURE'!$M$7:$M$1506,0)),""))</f>
        <v/>
      </c>
      <c r="K379" s="78" t="str">
        <f aca="false">IF(B379="","",IFERROR(INDEX('CARNET DE SOUDURE'!$E$7:$E$1506,MATCH(B379,'CARNET DE SOUDURE'!$K$7:$K$1506,0)),""))</f>
        <v/>
      </c>
      <c r="L379" s="78" t="str">
        <f aca="false">IF(B379="","",IFERROR(INDEX('CARNET DE SOUDURE'!$D$7:$D$1506,MATCH(B379,'CARNET DE SOUDURE'!$K$7:$K$1506,0)),IFERROR(INDEX('CARNET DE SOUDURE'!$D$7:$D$1506,MATCH(B379,'CARNET DE SOUDURE'!$M$7:$M$1506,0)),"")))</f>
        <v/>
      </c>
      <c r="M379" s="81" t="str">
        <f aca="false">IF(B379="","",IF(OR(J379&lt;&gt;"",K379&lt;&gt;""),"POSÉ EN LIGNE",IF(H379&lt;&gt;"","BARDÉ","EN STOCK")))</f>
        <v/>
      </c>
      <c r="N379" s="79"/>
    </row>
    <row r="380" customFormat="false" ht="15" hidden="false" customHeight="false" outlineLevel="0" collapsed="false">
      <c r="A380" s="78" t="str">
        <f aca="false">IF(B380="","",ROW()-6)</f>
        <v/>
      </c>
      <c r="B380" s="90"/>
      <c r="C380" s="91"/>
      <c r="D380" s="91"/>
      <c r="E380" s="80"/>
      <c r="F380" s="92"/>
      <c r="G380" s="79"/>
      <c r="H380" s="82"/>
      <c r="I380" s="93" t="str">
        <f aca="false">IF(B380="","",IFERROR(INDEX('CARNET DE SOUDURE'!$B$7:$B$1506,MATCH(B380,'CARNET DE SOUDURE'!$K$7:$K$1506,0)),IFERROR(INDEX('CARNET DE SOUDURE'!$B$7:$B$1506,MATCH(B380,'CARNET DE SOUDURE'!$M$7:$M$1506,0)),"")))</f>
        <v/>
      </c>
      <c r="J380" s="78" t="str">
        <f aca="false">IF(B380="","",IFERROR(INDEX('CARNET DE SOUDURE'!$E$7:$E$1506,MATCH(B380,'CARNET DE SOUDURE'!$M$7:$M$1506,0)),""))</f>
        <v/>
      </c>
      <c r="K380" s="78" t="str">
        <f aca="false">IF(B380="","",IFERROR(INDEX('CARNET DE SOUDURE'!$E$7:$E$1506,MATCH(B380,'CARNET DE SOUDURE'!$K$7:$K$1506,0)),""))</f>
        <v/>
      </c>
      <c r="L380" s="78" t="str">
        <f aca="false">IF(B380="","",IFERROR(INDEX('CARNET DE SOUDURE'!$D$7:$D$1506,MATCH(B380,'CARNET DE SOUDURE'!$K$7:$K$1506,0)),IFERROR(INDEX('CARNET DE SOUDURE'!$D$7:$D$1506,MATCH(B380,'CARNET DE SOUDURE'!$M$7:$M$1506,0)),"")))</f>
        <v/>
      </c>
      <c r="M380" s="81" t="str">
        <f aca="false">IF(B380="","",IF(OR(J380&lt;&gt;"",K380&lt;&gt;""),"POSÉ EN LIGNE",IF(H380&lt;&gt;"","BARDÉ","EN STOCK")))</f>
        <v/>
      </c>
      <c r="N380" s="79"/>
    </row>
    <row r="381" customFormat="false" ht="15" hidden="false" customHeight="false" outlineLevel="0" collapsed="false">
      <c r="A381" s="78" t="str">
        <f aca="false">IF(B381="","",ROW()-6)</f>
        <v/>
      </c>
      <c r="B381" s="90"/>
      <c r="C381" s="91"/>
      <c r="D381" s="91"/>
      <c r="E381" s="80"/>
      <c r="F381" s="92"/>
      <c r="G381" s="79"/>
      <c r="H381" s="82"/>
      <c r="I381" s="93" t="str">
        <f aca="false">IF(B381="","",IFERROR(INDEX('CARNET DE SOUDURE'!$B$7:$B$1506,MATCH(B381,'CARNET DE SOUDURE'!$K$7:$K$1506,0)),IFERROR(INDEX('CARNET DE SOUDURE'!$B$7:$B$1506,MATCH(B381,'CARNET DE SOUDURE'!$M$7:$M$1506,0)),"")))</f>
        <v/>
      </c>
      <c r="J381" s="78" t="str">
        <f aca="false">IF(B381="","",IFERROR(INDEX('CARNET DE SOUDURE'!$E$7:$E$1506,MATCH(B381,'CARNET DE SOUDURE'!$M$7:$M$1506,0)),""))</f>
        <v/>
      </c>
      <c r="K381" s="78" t="str">
        <f aca="false">IF(B381="","",IFERROR(INDEX('CARNET DE SOUDURE'!$E$7:$E$1506,MATCH(B381,'CARNET DE SOUDURE'!$K$7:$K$1506,0)),""))</f>
        <v/>
      </c>
      <c r="L381" s="78" t="str">
        <f aca="false">IF(B381="","",IFERROR(INDEX('CARNET DE SOUDURE'!$D$7:$D$1506,MATCH(B381,'CARNET DE SOUDURE'!$K$7:$K$1506,0)),IFERROR(INDEX('CARNET DE SOUDURE'!$D$7:$D$1506,MATCH(B381,'CARNET DE SOUDURE'!$M$7:$M$1506,0)),"")))</f>
        <v/>
      </c>
      <c r="M381" s="81" t="str">
        <f aca="false">IF(B381="","",IF(OR(J381&lt;&gt;"",K381&lt;&gt;""),"POSÉ EN LIGNE",IF(H381&lt;&gt;"","BARDÉ","EN STOCK")))</f>
        <v/>
      </c>
      <c r="N381" s="79"/>
    </row>
    <row r="382" customFormat="false" ht="15" hidden="false" customHeight="false" outlineLevel="0" collapsed="false">
      <c r="A382" s="78" t="str">
        <f aca="false">IF(B382="","",ROW()-6)</f>
        <v/>
      </c>
      <c r="B382" s="90"/>
      <c r="C382" s="91"/>
      <c r="D382" s="91"/>
      <c r="E382" s="80"/>
      <c r="F382" s="92"/>
      <c r="G382" s="79"/>
      <c r="H382" s="82"/>
      <c r="I382" s="93" t="str">
        <f aca="false">IF(B382="","",IFERROR(INDEX('CARNET DE SOUDURE'!$B$7:$B$1506,MATCH(B382,'CARNET DE SOUDURE'!$K$7:$K$1506,0)),IFERROR(INDEX('CARNET DE SOUDURE'!$B$7:$B$1506,MATCH(B382,'CARNET DE SOUDURE'!$M$7:$M$1506,0)),"")))</f>
        <v/>
      </c>
      <c r="J382" s="78" t="str">
        <f aca="false">IF(B382="","",IFERROR(INDEX('CARNET DE SOUDURE'!$E$7:$E$1506,MATCH(B382,'CARNET DE SOUDURE'!$M$7:$M$1506,0)),""))</f>
        <v/>
      </c>
      <c r="K382" s="78" t="str">
        <f aca="false">IF(B382="","",IFERROR(INDEX('CARNET DE SOUDURE'!$E$7:$E$1506,MATCH(B382,'CARNET DE SOUDURE'!$K$7:$K$1506,0)),""))</f>
        <v/>
      </c>
      <c r="L382" s="78" t="str">
        <f aca="false">IF(B382="","",IFERROR(INDEX('CARNET DE SOUDURE'!$D$7:$D$1506,MATCH(B382,'CARNET DE SOUDURE'!$K$7:$K$1506,0)),IFERROR(INDEX('CARNET DE SOUDURE'!$D$7:$D$1506,MATCH(B382,'CARNET DE SOUDURE'!$M$7:$M$1506,0)),"")))</f>
        <v/>
      </c>
      <c r="M382" s="81" t="str">
        <f aca="false">IF(B382="","",IF(OR(J382&lt;&gt;"",K382&lt;&gt;""),"POSÉ EN LIGNE",IF(H382&lt;&gt;"","BARDÉ","EN STOCK")))</f>
        <v/>
      </c>
      <c r="N382" s="79"/>
    </row>
    <row r="383" customFormat="false" ht="15" hidden="false" customHeight="false" outlineLevel="0" collapsed="false">
      <c r="A383" s="78" t="str">
        <f aca="false">IF(B383="","",ROW()-6)</f>
        <v/>
      </c>
      <c r="B383" s="90"/>
      <c r="C383" s="91"/>
      <c r="D383" s="91"/>
      <c r="E383" s="80"/>
      <c r="F383" s="92"/>
      <c r="G383" s="79"/>
      <c r="H383" s="82"/>
      <c r="I383" s="93" t="str">
        <f aca="false">IF(B383="","",IFERROR(INDEX('CARNET DE SOUDURE'!$B$7:$B$1506,MATCH(B383,'CARNET DE SOUDURE'!$K$7:$K$1506,0)),IFERROR(INDEX('CARNET DE SOUDURE'!$B$7:$B$1506,MATCH(B383,'CARNET DE SOUDURE'!$M$7:$M$1506,0)),"")))</f>
        <v/>
      </c>
      <c r="J383" s="78" t="str">
        <f aca="false">IF(B383="","",IFERROR(INDEX('CARNET DE SOUDURE'!$E$7:$E$1506,MATCH(B383,'CARNET DE SOUDURE'!$M$7:$M$1506,0)),""))</f>
        <v/>
      </c>
      <c r="K383" s="78" t="str">
        <f aca="false">IF(B383="","",IFERROR(INDEX('CARNET DE SOUDURE'!$E$7:$E$1506,MATCH(B383,'CARNET DE SOUDURE'!$K$7:$K$1506,0)),""))</f>
        <v/>
      </c>
      <c r="L383" s="78" t="str">
        <f aca="false">IF(B383="","",IFERROR(INDEX('CARNET DE SOUDURE'!$D$7:$D$1506,MATCH(B383,'CARNET DE SOUDURE'!$K$7:$K$1506,0)),IFERROR(INDEX('CARNET DE SOUDURE'!$D$7:$D$1506,MATCH(B383,'CARNET DE SOUDURE'!$M$7:$M$1506,0)),"")))</f>
        <v/>
      </c>
      <c r="M383" s="81" t="str">
        <f aca="false">IF(B383="","",IF(OR(J383&lt;&gt;"",K383&lt;&gt;""),"POSÉ EN LIGNE",IF(H383&lt;&gt;"","BARDÉ","EN STOCK")))</f>
        <v/>
      </c>
      <c r="N383" s="79"/>
    </row>
    <row r="384" customFormat="false" ht="15" hidden="false" customHeight="false" outlineLevel="0" collapsed="false">
      <c r="A384" s="78" t="str">
        <f aca="false">IF(B384="","",ROW()-6)</f>
        <v/>
      </c>
      <c r="B384" s="90"/>
      <c r="C384" s="91"/>
      <c r="D384" s="91"/>
      <c r="E384" s="80"/>
      <c r="F384" s="92"/>
      <c r="G384" s="79"/>
      <c r="H384" s="82"/>
      <c r="I384" s="93" t="str">
        <f aca="false">IF(B384="","",IFERROR(INDEX('CARNET DE SOUDURE'!$B$7:$B$1506,MATCH(B384,'CARNET DE SOUDURE'!$K$7:$K$1506,0)),IFERROR(INDEX('CARNET DE SOUDURE'!$B$7:$B$1506,MATCH(B384,'CARNET DE SOUDURE'!$M$7:$M$1506,0)),"")))</f>
        <v/>
      </c>
      <c r="J384" s="78" t="str">
        <f aca="false">IF(B384="","",IFERROR(INDEX('CARNET DE SOUDURE'!$E$7:$E$1506,MATCH(B384,'CARNET DE SOUDURE'!$M$7:$M$1506,0)),""))</f>
        <v/>
      </c>
      <c r="K384" s="78" t="str">
        <f aca="false">IF(B384="","",IFERROR(INDEX('CARNET DE SOUDURE'!$E$7:$E$1506,MATCH(B384,'CARNET DE SOUDURE'!$K$7:$K$1506,0)),""))</f>
        <v/>
      </c>
      <c r="L384" s="78" t="str">
        <f aca="false">IF(B384="","",IFERROR(INDEX('CARNET DE SOUDURE'!$D$7:$D$1506,MATCH(B384,'CARNET DE SOUDURE'!$K$7:$K$1506,0)),IFERROR(INDEX('CARNET DE SOUDURE'!$D$7:$D$1506,MATCH(B384,'CARNET DE SOUDURE'!$M$7:$M$1506,0)),"")))</f>
        <v/>
      </c>
      <c r="M384" s="81" t="str">
        <f aca="false">IF(B384="","",IF(OR(J384&lt;&gt;"",K384&lt;&gt;""),"POSÉ EN LIGNE",IF(H384&lt;&gt;"","BARDÉ","EN STOCK")))</f>
        <v/>
      </c>
      <c r="N384" s="79"/>
    </row>
    <row r="385" customFormat="false" ht="15" hidden="false" customHeight="false" outlineLevel="0" collapsed="false">
      <c r="A385" s="78" t="str">
        <f aca="false">IF(B385="","",ROW()-6)</f>
        <v/>
      </c>
      <c r="B385" s="90"/>
      <c r="C385" s="91"/>
      <c r="D385" s="91"/>
      <c r="E385" s="80"/>
      <c r="F385" s="92"/>
      <c r="G385" s="79"/>
      <c r="H385" s="82"/>
      <c r="I385" s="93" t="str">
        <f aca="false">IF(B385="","",IFERROR(INDEX('CARNET DE SOUDURE'!$B$7:$B$1506,MATCH(B385,'CARNET DE SOUDURE'!$K$7:$K$1506,0)),IFERROR(INDEX('CARNET DE SOUDURE'!$B$7:$B$1506,MATCH(B385,'CARNET DE SOUDURE'!$M$7:$M$1506,0)),"")))</f>
        <v/>
      </c>
      <c r="J385" s="78" t="str">
        <f aca="false">IF(B385="","",IFERROR(INDEX('CARNET DE SOUDURE'!$E$7:$E$1506,MATCH(B385,'CARNET DE SOUDURE'!$M$7:$M$1506,0)),""))</f>
        <v/>
      </c>
      <c r="K385" s="78" t="str">
        <f aca="false">IF(B385="","",IFERROR(INDEX('CARNET DE SOUDURE'!$E$7:$E$1506,MATCH(B385,'CARNET DE SOUDURE'!$K$7:$K$1506,0)),""))</f>
        <v/>
      </c>
      <c r="L385" s="78" t="str">
        <f aca="false">IF(B385="","",IFERROR(INDEX('CARNET DE SOUDURE'!$D$7:$D$1506,MATCH(B385,'CARNET DE SOUDURE'!$K$7:$K$1506,0)),IFERROR(INDEX('CARNET DE SOUDURE'!$D$7:$D$1506,MATCH(B385,'CARNET DE SOUDURE'!$M$7:$M$1506,0)),"")))</f>
        <v/>
      </c>
      <c r="M385" s="81" t="str">
        <f aca="false">IF(B385="","",IF(OR(J385&lt;&gt;"",K385&lt;&gt;""),"POSÉ EN LIGNE",IF(H385&lt;&gt;"","BARDÉ","EN STOCK")))</f>
        <v/>
      </c>
      <c r="N385" s="79"/>
    </row>
    <row r="386" customFormat="false" ht="15" hidden="false" customHeight="false" outlineLevel="0" collapsed="false">
      <c r="A386" s="78" t="str">
        <f aca="false">IF(B386="","",ROW()-6)</f>
        <v/>
      </c>
      <c r="B386" s="90"/>
      <c r="C386" s="91"/>
      <c r="D386" s="91"/>
      <c r="E386" s="80"/>
      <c r="F386" s="92"/>
      <c r="G386" s="79"/>
      <c r="H386" s="82"/>
      <c r="I386" s="93" t="str">
        <f aca="false">IF(B386="","",IFERROR(INDEX('CARNET DE SOUDURE'!$B$7:$B$1506,MATCH(B386,'CARNET DE SOUDURE'!$K$7:$K$1506,0)),IFERROR(INDEX('CARNET DE SOUDURE'!$B$7:$B$1506,MATCH(B386,'CARNET DE SOUDURE'!$M$7:$M$1506,0)),"")))</f>
        <v/>
      </c>
      <c r="J386" s="78" t="str">
        <f aca="false">IF(B386="","",IFERROR(INDEX('CARNET DE SOUDURE'!$E$7:$E$1506,MATCH(B386,'CARNET DE SOUDURE'!$M$7:$M$1506,0)),""))</f>
        <v/>
      </c>
      <c r="K386" s="78" t="str">
        <f aca="false">IF(B386="","",IFERROR(INDEX('CARNET DE SOUDURE'!$E$7:$E$1506,MATCH(B386,'CARNET DE SOUDURE'!$K$7:$K$1506,0)),""))</f>
        <v/>
      </c>
      <c r="L386" s="78" t="str">
        <f aca="false">IF(B386="","",IFERROR(INDEX('CARNET DE SOUDURE'!$D$7:$D$1506,MATCH(B386,'CARNET DE SOUDURE'!$K$7:$K$1506,0)),IFERROR(INDEX('CARNET DE SOUDURE'!$D$7:$D$1506,MATCH(B386,'CARNET DE SOUDURE'!$M$7:$M$1506,0)),"")))</f>
        <v/>
      </c>
      <c r="M386" s="81" t="str">
        <f aca="false">IF(B386="","",IF(OR(J386&lt;&gt;"",K386&lt;&gt;""),"POSÉ EN LIGNE",IF(H386&lt;&gt;"","BARDÉ","EN STOCK")))</f>
        <v/>
      </c>
      <c r="N386" s="79"/>
    </row>
    <row r="387" customFormat="false" ht="15" hidden="false" customHeight="false" outlineLevel="0" collapsed="false">
      <c r="A387" s="78" t="str">
        <f aca="false">IF(B387="","",ROW()-6)</f>
        <v/>
      </c>
      <c r="B387" s="90"/>
      <c r="C387" s="91"/>
      <c r="D387" s="91"/>
      <c r="E387" s="80"/>
      <c r="F387" s="92"/>
      <c r="G387" s="79"/>
      <c r="H387" s="82"/>
      <c r="I387" s="93" t="str">
        <f aca="false">IF(B387="","",IFERROR(INDEX('CARNET DE SOUDURE'!$B$7:$B$1506,MATCH(B387,'CARNET DE SOUDURE'!$K$7:$K$1506,0)),IFERROR(INDEX('CARNET DE SOUDURE'!$B$7:$B$1506,MATCH(B387,'CARNET DE SOUDURE'!$M$7:$M$1506,0)),"")))</f>
        <v/>
      </c>
      <c r="J387" s="78" t="str">
        <f aca="false">IF(B387="","",IFERROR(INDEX('CARNET DE SOUDURE'!$E$7:$E$1506,MATCH(B387,'CARNET DE SOUDURE'!$M$7:$M$1506,0)),""))</f>
        <v/>
      </c>
      <c r="K387" s="78" t="str">
        <f aca="false">IF(B387="","",IFERROR(INDEX('CARNET DE SOUDURE'!$E$7:$E$1506,MATCH(B387,'CARNET DE SOUDURE'!$K$7:$K$1506,0)),""))</f>
        <v/>
      </c>
      <c r="L387" s="78" t="str">
        <f aca="false">IF(B387="","",IFERROR(INDEX('CARNET DE SOUDURE'!$D$7:$D$1506,MATCH(B387,'CARNET DE SOUDURE'!$K$7:$K$1506,0)),IFERROR(INDEX('CARNET DE SOUDURE'!$D$7:$D$1506,MATCH(B387,'CARNET DE SOUDURE'!$M$7:$M$1506,0)),"")))</f>
        <v/>
      </c>
      <c r="M387" s="81" t="str">
        <f aca="false">IF(B387="","",IF(OR(J387&lt;&gt;"",K387&lt;&gt;""),"POSÉ EN LIGNE",IF(H387&lt;&gt;"","BARDÉ","EN STOCK")))</f>
        <v/>
      </c>
      <c r="N387" s="79"/>
    </row>
    <row r="388" customFormat="false" ht="15" hidden="false" customHeight="false" outlineLevel="0" collapsed="false">
      <c r="A388" s="78" t="str">
        <f aca="false">IF(B388="","",ROW()-6)</f>
        <v/>
      </c>
      <c r="B388" s="90"/>
      <c r="C388" s="91"/>
      <c r="D388" s="91"/>
      <c r="E388" s="80"/>
      <c r="F388" s="92"/>
      <c r="G388" s="79"/>
      <c r="H388" s="82"/>
      <c r="I388" s="93" t="str">
        <f aca="false">IF(B388="","",IFERROR(INDEX('CARNET DE SOUDURE'!$B$7:$B$1506,MATCH(B388,'CARNET DE SOUDURE'!$K$7:$K$1506,0)),IFERROR(INDEX('CARNET DE SOUDURE'!$B$7:$B$1506,MATCH(B388,'CARNET DE SOUDURE'!$M$7:$M$1506,0)),"")))</f>
        <v/>
      </c>
      <c r="J388" s="78" t="str">
        <f aca="false">IF(B388="","",IFERROR(INDEX('CARNET DE SOUDURE'!$E$7:$E$1506,MATCH(B388,'CARNET DE SOUDURE'!$M$7:$M$1506,0)),""))</f>
        <v/>
      </c>
      <c r="K388" s="78" t="str">
        <f aca="false">IF(B388="","",IFERROR(INDEX('CARNET DE SOUDURE'!$E$7:$E$1506,MATCH(B388,'CARNET DE SOUDURE'!$K$7:$K$1506,0)),""))</f>
        <v/>
      </c>
      <c r="L388" s="78" t="str">
        <f aca="false">IF(B388="","",IFERROR(INDEX('CARNET DE SOUDURE'!$D$7:$D$1506,MATCH(B388,'CARNET DE SOUDURE'!$K$7:$K$1506,0)),IFERROR(INDEX('CARNET DE SOUDURE'!$D$7:$D$1506,MATCH(B388,'CARNET DE SOUDURE'!$M$7:$M$1506,0)),"")))</f>
        <v/>
      </c>
      <c r="M388" s="81" t="str">
        <f aca="false">IF(B388="","",IF(OR(J388&lt;&gt;"",K388&lt;&gt;""),"POSÉ EN LIGNE",IF(H388&lt;&gt;"","BARDÉ","EN STOCK")))</f>
        <v/>
      </c>
      <c r="N388" s="79"/>
    </row>
    <row r="389" customFormat="false" ht="15" hidden="false" customHeight="false" outlineLevel="0" collapsed="false">
      <c r="A389" s="78" t="str">
        <f aca="false">IF(B389="","",ROW()-6)</f>
        <v/>
      </c>
      <c r="B389" s="90"/>
      <c r="C389" s="91"/>
      <c r="D389" s="91"/>
      <c r="E389" s="80"/>
      <c r="F389" s="92"/>
      <c r="G389" s="79"/>
      <c r="H389" s="82"/>
      <c r="I389" s="93" t="str">
        <f aca="false">IF(B389="","",IFERROR(INDEX('CARNET DE SOUDURE'!$B$7:$B$1506,MATCH(B389,'CARNET DE SOUDURE'!$K$7:$K$1506,0)),IFERROR(INDEX('CARNET DE SOUDURE'!$B$7:$B$1506,MATCH(B389,'CARNET DE SOUDURE'!$M$7:$M$1506,0)),"")))</f>
        <v/>
      </c>
      <c r="J389" s="78" t="str">
        <f aca="false">IF(B389="","",IFERROR(INDEX('CARNET DE SOUDURE'!$E$7:$E$1506,MATCH(B389,'CARNET DE SOUDURE'!$M$7:$M$1506,0)),""))</f>
        <v/>
      </c>
      <c r="K389" s="78" t="str">
        <f aca="false">IF(B389="","",IFERROR(INDEX('CARNET DE SOUDURE'!$E$7:$E$1506,MATCH(B389,'CARNET DE SOUDURE'!$K$7:$K$1506,0)),""))</f>
        <v/>
      </c>
      <c r="L389" s="78" t="str">
        <f aca="false">IF(B389="","",IFERROR(INDEX('CARNET DE SOUDURE'!$D$7:$D$1506,MATCH(B389,'CARNET DE SOUDURE'!$K$7:$K$1506,0)),IFERROR(INDEX('CARNET DE SOUDURE'!$D$7:$D$1506,MATCH(B389,'CARNET DE SOUDURE'!$M$7:$M$1506,0)),"")))</f>
        <v/>
      </c>
      <c r="M389" s="81" t="str">
        <f aca="false">IF(B389="","",IF(OR(J389&lt;&gt;"",K389&lt;&gt;""),"POSÉ EN LIGNE",IF(H389&lt;&gt;"","BARDÉ","EN STOCK")))</f>
        <v/>
      </c>
      <c r="N389" s="79"/>
    </row>
    <row r="390" customFormat="false" ht="15" hidden="false" customHeight="false" outlineLevel="0" collapsed="false">
      <c r="A390" s="78" t="str">
        <f aca="false">IF(B390="","",ROW()-6)</f>
        <v/>
      </c>
      <c r="B390" s="90"/>
      <c r="C390" s="91"/>
      <c r="D390" s="91"/>
      <c r="E390" s="80"/>
      <c r="F390" s="92"/>
      <c r="G390" s="79"/>
      <c r="H390" s="82"/>
      <c r="I390" s="93" t="str">
        <f aca="false">IF(B390="","",IFERROR(INDEX('CARNET DE SOUDURE'!$B$7:$B$1506,MATCH(B390,'CARNET DE SOUDURE'!$K$7:$K$1506,0)),IFERROR(INDEX('CARNET DE SOUDURE'!$B$7:$B$1506,MATCH(B390,'CARNET DE SOUDURE'!$M$7:$M$1506,0)),"")))</f>
        <v/>
      </c>
      <c r="J390" s="78" t="str">
        <f aca="false">IF(B390="","",IFERROR(INDEX('CARNET DE SOUDURE'!$E$7:$E$1506,MATCH(B390,'CARNET DE SOUDURE'!$M$7:$M$1506,0)),""))</f>
        <v/>
      </c>
      <c r="K390" s="78" t="str">
        <f aca="false">IF(B390="","",IFERROR(INDEX('CARNET DE SOUDURE'!$E$7:$E$1506,MATCH(B390,'CARNET DE SOUDURE'!$K$7:$K$1506,0)),""))</f>
        <v/>
      </c>
      <c r="L390" s="78" t="str">
        <f aca="false">IF(B390="","",IFERROR(INDEX('CARNET DE SOUDURE'!$D$7:$D$1506,MATCH(B390,'CARNET DE SOUDURE'!$K$7:$K$1506,0)),IFERROR(INDEX('CARNET DE SOUDURE'!$D$7:$D$1506,MATCH(B390,'CARNET DE SOUDURE'!$M$7:$M$1506,0)),"")))</f>
        <v/>
      </c>
      <c r="M390" s="81" t="str">
        <f aca="false">IF(B390="","",IF(OR(J390&lt;&gt;"",K390&lt;&gt;""),"POSÉ EN LIGNE",IF(H390&lt;&gt;"","BARDÉ","EN STOCK")))</f>
        <v/>
      </c>
      <c r="N390" s="79"/>
    </row>
    <row r="391" customFormat="false" ht="15" hidden="false" customHeight="false" outlineLevel="0" collapsed="false">
      <c r="A391" s="78" t="str">
        <f aca="false">IF(B391="","",ROW()-6)</f>
        <v/>
      </c>
      <c r="B391" s="90"/>
      <c r="C391" s="91"/>
      <c r="D391" s="91"/>
      <c r="E391" s="80"/>
      <c r="F391" s="92"/>
      <c r="G391" s="79"/>
      <c r="H391" s="82"/>
      <c r="I391" s="93" t="str">
        <f aca="false">IF(B391="","",IFERROR(INDEX('CARNET DE SOUDURE'!$B$7:$B$1506,MATCH(B391,'CARNET DE SOUDURE'!$K$7:$K$1506,0)),IFERROR(INDEX('CARNET DE SOUDURE'!$B$7:$B$1506,MATCH(B391,'CARNET DE SOUDURE'!$M$7:$M$1506,0)),"")))</f>
        <v/>
      </c>
      <c r="J391" s="78" t="str">
        <f aca="false">IF(B391="","",IFERROR(INDEX('CARNET DE SOUDURE'!$E$7:$E$1506,MATCH(B391,'CARNET DE SOUDURE'!$M$7:$M$1506,0)),""))</f>
        <v/>
      </c>
      <c r="K391" s="78" t="str">
        <f aca="false">IF(B391="","",IFERROR(INDEX('CARNET DE SOUDURE'!$E$7:$E$1506,MATCH(B391,'CARNET DE SOUDURE'!$K$7:$K$1506,0)),""))</f>
        <v/>
      </c>
      <c r="L391" s="78" t="str">
        <f aca="false">IF(B391="","",IFERROR(INDEX('CARNET DE SOUDURE'!$D$7:$D$1506,MATCH(B391,'CARNET DE SOUDURE'!$K$7:$K$1506,0)),IFERROR(INDEX('CARNET DE SOUDURE'!$D$7:$D$1506,MATCH(B391,'CARNET DE SOUDURE'!$M$7:$M$1506,0)),"")))</f>
        <v/>
      </c>
      <c r="M391" s="81" t="str">
        <f aca="false">IF(B391="","",IF(OR(J391&lt;&gt;"",K391&lt;&gt;""),"POSÉ EN LIGNE",IF(H391&lt;&gt;"","BARDÉ","EN STOCK")))</f>
        <v/>
      </c>
      <c r="N391" s="79"/>
    </row>
    <row r="392" customFormat="false" ht="15" hidden="false" customHeight="false" outlineLevel="0" collapsed="false">
      <c r="A392" s="78" t="str">
        <f aca="false">IF(B392="","",ROW()-6)</f>
        <v/>
      </c>
      <c r="B392" s="90"/>
      <c r="C392" s="91"/>
      <c r="D392" s="91"/>
      <c r="E392" s="80"/>
      <c r="F392" s="92"/>
      <c r="G392" s="79"/>
      <c r="H392" s="82"/>
      <c r="I392" s="93" t="str">
        <f aca="false">IF(B392="","",IFERROR(INDEX('CARNET DE SOUDURE'!$B$7:$B$1506,MATCH(B392,'CARNET DE SOUDURE'!$K$7:$K$1506,0)),IFERROR(INDEX('CARNET DE SOUDURE'!$B$7:$B$1506,MATCH(B392,'CARNET DE SOUDURE'!$M$7:$M$1506,0)),"")))</f>
        <v/>
      </c>
      <c r="J392" s="78" t="str">
        <f aca="false">IF(B392="","",IFERROR(INDEX('CARNET DE SOUDURE'!$E$7:$E$1506,MATCH(B392,'CARNET DE SOUDURE'!$M$7:$M$1506,0)),""))</f>
        <v/>
      </c>
      <c r="K392" s="78" t="str">
        <f aca="false">IF(B392="","",IFERROR(INDEX('CARNET DE SOUDURE'!$E$7:$E$1506,MATCH(B392,'CARNET DE SOUDURE'!$K$7:$K$1506,0)),""))</f>
        <v/>
      </c>
      <c r="L392" s="78" t="str">
        <f aca="false">IF(B392="","",IFERROR(INDEX('CARNET DE SOUDURE'!$D$7:$D$1506,MATCH(B392,'CARNET DE SOUDURE'!$K$7:$K$1506,0)),IFERROR(INDEX('CARNET DE SOUDURE'!$D$7:$D$1506,MATCH(B392,'CARNET DE SOUDURE'!$M$7:$M$1506,0)),"")))</f>
        <v/>
      </c>
      <c r="M392" s="81" t="str">
        <f aca="false">IF(B392="","",IF(OR(J392&lt;&gt;"",K392&lt;&gt;""),"POSÉ EN LIGNE",IF(H392&lt;&gt;"","BARDÉ","EN STOCK")))</f>
        <v/>
      </c>
      <c r="N392" s="79"/>
    </row>
    <row r="393" customFormat="false" ht="15" hidden="false" customHeight="false" outlineLevel="0" collapsed="false">
      <c r="A393" s="78" t="str">
        <f aca="false">IF(B393="","",ROW()-6)</f>
        <v/>
      </c>
      <c r="B393" s="90"/>
      <c r="C393" s="91"/>
      <c r="D393" s="91"/>
      <c r="E393" s="80"/>
      <c r="F393" s="92"/>
      <c r="G393" s="79"/>
      <c r="H393" s="82"/>
      <c r="I393" s="93" t="str">
        <f aca="false">IF(B393="","",IFERROR(INDEX('CARNET DE SOUDURE'!$B$7:$B$1506,MATCH(B393,'CARNET DE SOUDURE'!$K$7:$K$1506,0)),IFERROR(INDEX('CARNET DE SOUDURE'!$B$7:$B$1506,MATCH(B393,'CARNET DE SOUDURE'!$M$7:$M$1506,0)),"")))</f>
        <v/>
      </c>
      <c r="J393" s="78" t="str">
        <f aca="false">IF(B393="","",IFERROR(INDEX('CARNET DE SOUDURE'!$E$7:$E$1506,MATCH(B393,'CARNET DE SOUDURE'!$M$7:$M$1506,0)),""))</f>
        <v/>
      </c>
      <c r="K393" s="78" t="str">
        <f aca="false">IF(B393="","",IFERROR(INDEX('CARNET DE SOUDURE'!$E$7:$E$1506,MATCH(B393,'CARNET DE SOUDURE'!$K$7:$K$1506,0)),""))</f>
        <v/>
      </c>
      <c r="L393" s="78" t="str">
        <f aca="false">IF(B393="","",IFERROR(INDEX('CARNET DE SOUDURE'!$D$7:$D$1506,MATCH(B393,'CARNET DE SOUDURE'!$K$7:$K$1506,0)),IFERROR(INDEX('CARNET DE SOUDURE'!$D$7:$D$1506,MATCH(B393,'CARNET DE SOUDURE'!$M$7:$M$1506,0)),"")))</f>
        <v/>
      </c>
      <c r="M393" s="81" t="str">
        <f aca="false">IF(B393="","",IF(OR(J393&lt;&gt;"",K393&lt;&gt;""),"POSÉ EN LIGNE",IF(H393&lt;&gt;"","BARDÉ","EN STOCK")))</f>
        <v/>
      </c>
      <c r="N393" s="79"/>
    </row>
    <row r="394" customFormat="false" ht="15" hidden="false" customHeight="false" outlineLevel="0" collapsed="false">
      <c r="A394" s="78" t="str">
        <f aca="false">IF(B394="","",ROW()-6)</f>
        <v/>
      </c>
      <c r="B394" s="90"/>
      <c r="C394" s="91"/>
      <c r="D394" s="91"/>
      <c r="E394" s="80"/>
      <c r="F394" s="92"/>
      <c r="G394" s="79"/>
      <c r="H394" s="82"/>
      <c r="I394" s="93" t="str">
        <f aca="false">IF(B394="","",IFERROR(INDEX('CARNET DE SOUDURE'!$B$7:$B$1506,MATCH(B394,'CARNET DE SOUDURE'!$K$7:$K$1506,0)),IFERROR(INDEX('CARNET DE SOUDURE'!$B$7:$B$1506,MATCH(B394,'CARNET DE SOUDURE'!$M$7:$M$1506,0)),"")))</f>
        <v/>
      </c>
      <c r="J394" s="78" t="str">
        <f aca="false">IF(B394="","",IFERROR(INDEX('CARNET DE SOUDURE'!$E$7:$E$1506,MATCH(B394,'CARNET DE SOUDURE'!$M$7:$M$1506,0)),""))</f>
        <v/>
      </c>
      <c r="K394" s="78" t="str">
        <f aca="false">IF(B394="","",IFERROR(INDEX('CARNET DE SOUDURE'!$E$7:$E$1506,MATCH(B394,'CARNET DE SOUDURE'!$K$7:$K$1506,0)),""))</f>
        <v/>
      </c>
      <c r="L394" s="78" t="str">
        <f aca="false">IF(B394="","",IFERROR(INDEX('CARNET DE SOUDURE'!$D$7:$D$1506,MATCH(B394,'CARNET DE SOUDURE'!$K$7:$K$1506,0)),IFERROR(INDEX('CARNET DE SOUDURE'!$D$7:$D$1506,MATCH(B394,'CARNET DE SOUDURE'!$M$7:$M$1506,0)),"")))</f>
        <v/>
      </c>
      <c r="M394" s="81" t="str">
        <f aca="false">IF(B394="","",IF(OR(J394&lt;&gt;"",K394&lt;&gt;""),"POSÉ EN LIGNE",IF(H394&lt;&gt;"","BARDÉ","EN STOCK")))</f>
        <v/>
      </c>
      <c r="N394" s="79"/>
    </row>
    <row r="395" customFormat="false" ht="15" hidden="false" customHeight="false" outlineLevel="0" collapsed="false">
      <c r="A395" s="78" t="str">
        <f aca="false">IF(B395="","",ROW()-6)</f>
        <v/>
      </c>
      <c r="B395" s="90"/>
      <c r="C395" s="91"/>
      <c r="D395" s="91"/>
      <c r="E395" s="80"/>
      <c r="F395" s="92"/>
      <c r="G395" s="79"/>
      <c r="H395" s="82"/>
      <c r="I395" s="93" t="str">
        <f aca="false">IF(B395="","",IFERROR(INDEX('CARNET DE SOUDURE'!$B$7:$B$1506,MATCH(B395,'CARNET DE SOUDURE'!$K$7:$K$1506,0)),IFERROR(INDEX('CARNET DE SOUDURE'!$B$7:$B$1506,MATCH(B395,'CARNET DE SOUDURE'!$M$7:$M$1506,0)),"")))</f>
        <v/>
      </c>
      <c r="J395" s="78" t="str">
        <f aca="false">IF(B395="","",IFERROR(INDEX('CARNET DE SOUDURE'!$E$7:$E$1506,MATCH(B395,'CARNET DE SOUDURE'!$M$7:$M$1506,0)),""))</f>
        <v/>
      </c>
      <c r="K395" s="78" t="str">
        <f aca="false">IF(B395="","",IFERROR(INDEX('CARNET DE SOUDURE'!$E$7:$E$1506,MATCH(B395,'CARNET DE SOUDURE'!$K$7:$K$1506,0)),""))</f>
        <v/>
      </c>
      <c r="L395" s="78" t="str">
        <f aca="false">IF(B395="","",IFERROR(INDEX('CARNET DE SOUDURE'!$D$7:$D$1506,MATCH(B395,'CARNET DE SOUDURE'!$K$7:$K$1506,0)),IFERROR(INDEX('CARNET DE SOUDURE'!$D$7:$D$1506,MATCH(B395,'CARNET DE SOUDURE'!$M$7:$M$1506,0)),"")))</f>
        <v/>
      </c>
      <c r="M395" s="81" t="str">
        <f aca="false">IF(B395="","",IF(OR(J395&lt;&gt;"",K395&lt;&gt;""),"POSÉ EN LIGNE",IF(H395&lt;&gt;"","BARDÉ","EN STOCK")))</f>
        <v/>
      </c>
      <c r="N395" s="79"/>
    </row>
    <row r="396" customFormat="false" ht="15" hidden="false" customHeight="false" outlineLevel="0" collapsed="false">
      <c r="A396" s="78" t="str">
        <f aca="false">IF(B396="","",ROW()-6)</f>
        <v/>
      </c>
      <c r="B396" s="90"/>
      <c r="C396" s="91"/>
      <c r="D396" s="91"/>
      <c r="E396" s="80"/>
      <c r="F396" s="92"/>
      <c r="G396" s="79"/>
      <c r="H396" s="82"/>
      <c r="I396" s="93" t="str">
        <f aca="false">IF(B396="","",IFERROR(INDEX('CARNET DE SOUDURE'!$B$7:$B$1506,MATCH(B396,'CARNET DE SOUDURE'!$K$7:$K$1506,0)),IFERROR(INDEX('CARNET DE SOUDURE'!$B$7:$B$1506,MATCH(B396,'CARNET DE SOUDURE'!$M$7:$M$1506,0)),"")))</f>
        <v/>
      </c>
      <c r="J396" s="78" t="str">
        <f aca="false">IF(B396="","",IFERROR(INDEX('CARNET DE SOUDURE'!$E$7:$E$1506,MATCH(B396,'CARNET DE SOUDURE'!$M$7:$M$1506,0)),""))</f>
        <v/>
      </c>
      <c r="K396" s="78" t="str">
        <f aca="false">IF(B396="","",IFERROR(INDEX('CARNET DE SOUDURE'!$E$7:$E$1506,MATCH(B396,'CARNET DE SOUDURE'!$K$7:$K$1506,0)),""))</f>
        <v/>
      </c>
      <c r="L396" s="78" t="str">
        <f aca="false">IF(B396="","",IFERROR(INDEX('CARNET DE SOUDURE'!$D$7:$D$1506,MATCH(B396,'CARNET DE SOUDURE'!$K$7:$K$1506,0)),IFERROR(INDEX('CARNET DE SOUDURE'!$D$7:$D$1506,MATCH(B396,'CARNET DE SOUDURE'!$M$7:$M$1506,0)),"")))</f>
        <v/>
      </c>
      <c r="M396" s="81" t="str">
        <f aca="false">IF(B396="","",IF(OR(J396&lt;&gt;"",K396&lt;&gt;""),"POSÉ EN LIGNE",IF(H396&lt;&gt;"","BARDÉ","EN STOCK")))</f>
        <v/>
      </c>
      <c r="N396" s="79"/>
    </row>
    <row r="397" customFormat="false" ht="15" hidden="false" customHeight="false" outlineLevel="0" collapsed="false">
      <c r="A397" s="78" t="str">
        <f aca="false">IF(B397="","",ROW()-6)</f>
        <v/>
      </c>
      <c r="B397" s="90"/>
      <c r="C397" s="91"/>
      <c r="D397" s="91"/>
      <c r="E397" s="80"/>
      <c r="F397" s="92"/>
      <c r="G397" s="79"/>
      <c r="H397" s="82"/>
      <c r="I397" s="93" t="str">
        <f aca="false">IF(B397="","",IFERROR(INDEX('CARNET DE SOUDURE'!$B$7:$B$1506,MATCH(B397,'CARNET DE SOUDURE'!$K$7:$K$1506,0)),IFERROR(INDEX('CARNET DE SOUDURE'!$B$7:$B$1506,MATCH(B397,'CARNET DE SOUDURE'!$M$7:$M$1506,0)),"")))</f>
        <v/>
      </c>
      <c r="J397" s="78" t="str">
        <f aca="false">IF(B397="","",IFERROR(INDEX('CARNET DE SOUDURE'!$E$7:$E$1506,MATCH(B397,'CARNET DE SOUDURE'!$M$7:$M$1506,0)),""))</f>
        <v/>
      </c>
      <c r="K397" s="78" t="str">
        <f aca="false">IF(B397="","",IFERROR(INDEX('CARNET DE SOUDURE'!$E$7:$E$1506,MATCH(B397,'CARNET DE SOUDURE'!$K$7:$K$1506,0)),""))</f>
        <v/>
      </c>
      <c r="L397" s="78" t="str">
        <f aca="false">IF(B397="","",IFERROR(INDEX('CARNET DE SOUDURE'!$D$7:$D$1506,MATCH(B397,'CARNET DE SOUDURE'!$K$7:$K$1506,0)),IFERROR(INDEX('CARNET DE SOUDURE'!$D$7:$D$1506,MATCH(B397,'CARNET DE SOUDURE'!$M$7:$M$1506,0)),"")))</f>
        <v/>
      </c>
      <c r="M397" s="81" t="str">
        <f aca="false">IF(B397="","",IF(OR(J397&lt;&gt;"",K397&lt;&gt;""),"POSÉ EN LIGNE",IF(H397&lt;&gt;"","BARDÉ","EN STOCK")))</f>
        <v/>
      </c>
      <c r="N397" s="79"/>
    </row>
    <row r="398" customFormat="false" ht="15" hidden="false" customHeight="false" outlineLevel="0" collapsed="false">
      <c r="A398" s="78" t="str">
        <f aca="false">IF(B398="","",ROW()-6)</f>
        <v/>
      </c>
      <c r="B398" s="90"/>
      <c r="C398" s="91"/>
      <c r="D398" s="91"/>
      <c r="E398" s="80"/>
      <c r="F398" s="92"/>
      <c r="G398" s="79"/>
      <c r="H398" s="82"/>
      <c r="I398" s="93" t="str">
        <f aca="false">IF(B398="","",IFERROR(INDEX('CARNET DE SOUDURE'!$B$7:$B$1506,MATCH(B398,'CARNET DE SOUDURE'!$K$7:$K$1506,0)),IFERROR(INDEX('CARNET DE SOUDURE'!$B$7:$B$1506,MATCH(B398,'CARNET DE SOUDURE'!$M$7:$M$1506,0)),"")))</f>
        <v/>
      </c>
      <c r="J398" s="78" t="str">
        <f aca="false">IF(B398="","",IFERROR(INDEX('CARNET DE SOUDURE'!$E$7:$E$1506,MATCH(B398,'CARNET DE SOUDURE'!$M$7:$M$1506,0)),""))</f>
        <v/>
      </c>
      <c r="K398" s="78" t="str">
        <f aca="false">IF(B398="","",IFERROR(INDEX('CARNET DE SOUDURE'!$E$7:$E$1506,MATCH(B398,'CARNET DE SOUDURE'!$K$7:$K$1506,0)),""))</f>
        <v/>
      </c>
      <c r="L398" s="78" t="str">
        <f aca="false">IF(B398="","",IFERROR(INDEX('CARNET DE SOUDURE'!$D$7:$D$1506,MATCH(B398,'CARNET DE SOUDURE'!$K$7:$K$1506,0)),IFERROR(INDEX('CARNET DE SOUDURE'!$D$7:$D$1506,MATCH(B398,'CARNET DE SOUDURE'!$M$7:$M$1506,0)),"")))</f>
        <v/>
      </c>
      <c r="M398" s="81" t="str">
        <f aca="false">IF(B398="","",IF(OR(J398&lt;&gt;"",K398&lt;&gt;""),"POSÉ EN LIGNE",IF(H398&lt;&gt;"","BARDÉ","EN STOCK")))</f>
        <v/>
      </c>
      <c r="N398" s="79"/>
    </row>
    <row r="399" customFormat="false" ht="15" hidden="false" customHeight="false" outlineLevel="0" collapsed="false">
      <c r="A399" s="78" t="str">
        <f aca="false">IF(B399="","",ROW()-6)</f>
        <v/>
      </c>
      <c r="B399" s="90"/>
      <c r="C399" s="91"/>
      <c r="D399" s="91"/>
      <c r="E399" s="80"/>
      <c r="F399" s="92"/>
      <c r="G399" s="79"/>
      <c r="H399" s="82"/>
      <c r="I399" s="93" t="str">
        <f aca="false">IF(B399="","",IFERROR(INDEX('CARNET DE SOUDURE'!$B$7:$B$1506,MATCH(B399,'CARNET DE SOUDURE'!$K$7:$K$1506,0)),IFERROR(INDEX('CARNET DE SOUDURE'!$B$7:$B$1506,MATCH(B399,'CARNET DE SOUDURE'!$M$7:$M$1506,0)),"")))</f>
        <v/>
      </c>
      <c r="J399" s="78" t="str">
        <f aca="false">IF(B399="","",IFERROR(INDEX('CARNET DE SOUDURE'!$E$7:$E$1506,MATCH(B399,'CARNET DE SOUDURE'!$M$7:$M$1506,0)),""))</f>
        <v/>
      </c>
      <c r="K399" s="78" t="str">
        <f aca="false">IF(B399="","",IFERROR(INDEX('CARNET DE SOUDURE'!$E$7:$E$1506,MATCH(B399,'CARNET DE SOUDURE'!$K$7:$K$1506,0)),""))</f>
        <v/>
      </c>
      <c r="L399" s="78" t="str">
        <f aca="false">IF(B399="","",IFERROR(INDEX('CARNET DE SOUDURE'!$D$7:$D$1506,MATCH(B399,'CARNET DE SOUDURE'!$K$7:$K$1506,0)),IFERROR(INDEX('CARNET DE SOUDURE'!$D$7:$D$1506,MATCH(B399,'CARNET DE SOUDURE'!$M$7:$M$1506,0)),"")))</f>
        <v/>
      </c>
      <c r="M399" s="81" t="str">
        <f aca="false">IF(B399="","",IF(OR(J399&lt;&gt;"",K399&lt;&gt;""),"POSÉ EN LIGNE",IF(H399&lt;&gt;"","BARDÉ","EN STOCK")))</f>
        <v/>
      </c>
      <c r="N399" s="79"/>
    </row>
    <row r="400" customFormat="false" ht="15" hidden="false" customHeight="false" outlineLevel="0" collapsed="false">
      <c r="A400" s="78" t="str">
        <f aca="false">IF(B400="","",ROW()-6)</f>
        <v/>
      </c>
      <c r="B400" s="90"/>
      <c r="C400" s="91"/>
      <c r="D400" s="91"/>
      <c r="E400" s="80"/>
      <c r="F400" s="92"/>
      <c r="G400" s="79"/>
      <c r="H400" s="82"/>
      <c r="I400" s="93" t="str">
        <f aca="false">IF(B400="","",IFERROR(INDEX('CARNET DE SOUDURE'!$B$7:$B$1506,MATCH(B400,'CARNET DE SOUDURE'!$K$7:$K$1506,0)),IFERROR(INDEX('CARNET DE SOUDURE'!$B$7:$B$1506,MATCH(B400,'CARNET DE SOUDURE'!$M$7:$M$1506,0)),"")))</f>
        <v/>
      </c>
      <c r="J400" s="78" t="str">
        <f aca="false">IF(B400="","",IFERROR(INDEX('CARNET DE SOUDURE'!$E$7:$E$1506,MATCH(B400,'CARNET DE SOUDURE'!$M$7:$M$1506,0)),""))</f>
        <v/>
      </c>
      <c r="K400" s="78" t="str">
        <f aca="false">IF(B400="","",IFERROR(INDEX('CARNET DE SOUDURE'!$E$7:$E$1506,MATCH(B400,'CARNET DE SOUDURE'!$K$7:$K$1506,0)),""))</f>
        <v/>
      </c>
      <c r="L400" s="78" t="str">
        <f aca="false">IF(B400="","",IFERROR(INDEX('CARNET DE SOUDURE'!$D$7:$D$1506,MATCH(B400,'CARNET DE SOUDURE'!$K$7:$K$1506,0)),IFERROR(INDEX('CARNET DE SOUDURE'!$D$7:$D$1506,MATCH(B400,'CARNET DE SOUDURE'!$M$7:$M$1506,0)),"")))</f>
        <v/>
      </c>
      <c r="M400" s="81" t="str">
        <f aca="false">IF(B400="","",IF(OR(J400&lt;&gt;"",K400&lt;&gt;""),"POSÉ EN LIGNE",IF(H400&lt;&gt;"","BARDÉ","EN STOCK")))</f>
        <v/>
      </c>
      <c r="N400" s="79"/>
    </row>
    <row r="401" customFormat="false" ht="15" hidden="false" customHeight="false" outlineLevel="0" collapsed="false">
      <c r="A401" s="78" t="str">
        <f aca="false">IF(B401="","",ROW()-6)</f>
        <v/>
      </c>
      <c r="B401" s="90"/>
      <c r="C401" s="91"/>
      <c r="D401" s="91"/>
      <c r="E401" s="80"/>
      <c r="F401" s="92"/>
      <c r="G401" s="79"/>
      <c r="H401" s="82"/>
      <c r="I401" s="93" t="str">
        <f aca="false">IF(B401="","",IFERROR(INDEX('CARNET DE SOUDURE'!$B$7:$B$1506,MATCH(B401,'CARNET DE SOUDURE'!$K$7:$K$1506,0)),IFERROR(INDEX('CARNET DE SOUDURE'!$B$7:$B$1506,MATCH(B401,'CARNET DE SOUDURE'!$M$7:$M$1506,0)),"")))</f>
        <v/>
      </c>
      <c r="J401" s="78" t="str">
        <f aca="false">IF(B401="","",IFERROR(INDEX('CARNET DE SOUDURE'!$E$7:$E$1506,MATCH(B401,'CARNET DE SOUDURE'!$M$7:$M$1506,0)),""))</f>
        <v/>
      </c>
      <c r="K401" s="78" t="str">
        <f aca="false">IF(B401="","",IFERROR(INDEX('CARNET DE SOUDURE'!$E$7:$E$1506,MATCH(B401,'CARNET DE SOUDURE'!$K$7:$K$1506,0)),""))</f>
        <v/>
      </c>
      <c r="L401" s="78" t="str">
        <f aca="false">IF(B401="","",IFERROR(INDEX('CARNET DE SOUDURE'!$D$7:$D$1506,MATCH(B401,'CARNET DE SOUDURE'!$K$7:$K$1506,0)),IFERROR(INDEX('CARNET DE SOUDURE'!$D$7:$D$1506,MATCH(B401,'CARNET DE SOUDURE'!$M$7:$M$1506,0)),"")))</f>
        <v/>
      </c>
      <c r="M401" s="81" t="str">
        <f aca="false">IF(B401="","",IF(OR(J401&lt;&gt;"",K401&lt;&gt;""),"POSÉ EN LIGNE",IF(H401&lt;&gt;"","BARDÉ","EN STOCK")))</f>
        <v/>
      </c>
      <c r="N401" s="79"/>
    </row>
    <row r="402" customFormat="false" ht="15" hidden="false" customHeight="false" outlineLevel="0" collapsed="false">
      <c r="A402" s="78" t="str">
        <f aca="false">IF(B402="","",ROW()-6)</f>
        <v/>
      </c>
      <c r="B402" s="90"/>
      <c r="C402" s="91"/>
      <c r="D402" s="91"/>
      <c r="E402" s="80"/>
      <c r="F402" s="92"/>
      <c r="G402" s="79"/>
      <c r="H402" s="82"/>
      <c r="I402" s="93" t="str">
        <f aca="false">IF(B402="","",IFERROR(INDEX('CARNET DE SOUDURE'!$B$7:$B$1506,MATCH(B402,'CARNET DE SOUDURE'!$K$7:$K$1506,0)),IFERROR(INDEX('CARNET DE SOUDURE'!$B$7:$B$1506,MATCH(B402,'CARNET DE SOUDURE'!$M$7:$M$1506,0)),"")))</f>
        <v/>
      </c>
      <c r="J402" s="78" t="str">
        <f aca="false">IF(B402="","",IFERROR(INDEX('CARNET DE SOUDURE'!$E$7:$E$1506,MATCH(B402,'CARNET DE SOUDURE'!$M$7:$M$1506,0)),""))</f>
        <v/>
      </c>
      <c r="K402" s="78" t="str">
        <f aca="false">IF(B402="","",IFERROR(INDEX('CARNET DE SOUDURE'!$E$7:$E$1506,MATCH(B402,'CARNET DE SOUDURE'!$K$7:$K$1506,0)),""))</f>
        <v/>
      </c>
      <c r="L402" s="78" t="str">
        <f aca="false">IF(B402="","",IFERROR(INDEX('CARNET DE SOUDURE'!$D$7:$D$1506,MATCH(B402,'CARNET DE SOUDURE'!$K$7:$K$1506,0)),IFERROR(INDEX('CARNET DE SOUDURE'!$D$7:$D$1506,MATCH(B402,'CARNET DE SOUDURE'!$M$7:$M$1506,0)),"")))</f>
        <v/>
      </c>
      <c r="M402" s="81" t="str">
        <f aca="false">IF(B402="","",IF(OR(J402&lt;&gt;"",K402&lt;&gt;""),"POSÉ EN LIGNE",IF(H402&lt;&gt;"","BARDÉ","EN STOCK")))</f>
        <v/>
      </c>
      <c r="N402" s="79"/>
    </row>
    <row r="403" customFormat="false" ht="15" hidden="false" customHeight="false" outlineLevel="0" collapsed="false">
      <c r="A403" s="78" t="str">
        <f aca="false">IF(B403="","",ROW()-6)</f>
        <v/>
      </c>
      <c r="B403" s="90"/>
      <c r="C403" s="91"/>
      <c r="D403" s="91"/>
      <c r="E403" s="80"/>
      <c r="F403" s="92"/>
      <c r="G403" s="79"/>
      <c r="H403" s="82"/>
      <c r="I403" s="93" t="str">
        <f aca="false">IF(B403="","",IFERROR(INDEX('CARNET DE SOUDURE'!$B$7:$B$1506,MATCH(B403,'CARNET DE SOUDURE'!$K$7:$K$1506,0)),IFERROR(INDEX('CARNET DE SOUDURE'!$B$7:$B$1506,MATCH(B403,'CARNET DE SOUDURE'!$M$7:$M$1506,0)),"")))</f>
        <v/>
      </c>
      <c r="J403" s="78" t="str">
        <f aca="false">IF(B403="","",IFERROR(INDEX('CARNET DE SOUDURE'!$E$7:$E$1506,MATCH(B403,'CARNET DE SOUDURE'!$M$7:$M$1506,0)),""))</f>
        <v/>
      </c>
      <c r="K403" s="78" t="str">
        <f aca="false">IF(B403="","",IFERROR(INDEX('CARNET DE SOUDURE'!$E$7:$E$1506,MATCH(B403,'CARNET DE SOUDURE'!$K$7:$K$1506,0)),""))</f>
        <v/>
      </c>
      <c r="L403" s="78" t="str">
        <f aca="false">IF(B403="","",IFERROR(INDEX('CARNET DE SOUDURE'!$D$7:$D$1506,MATCH(B403,'CARNET DE SOUDURE'!$K$7:$K$1506,0)),IFERROR(INDEX('CARNET DE SOUDURE'!$D$7:$D$1506,MATCH(B403,'CARNET DE SOUDURE'!$M$7:$M$1506,0)),"")))</f>
        <v/>
      </c>
      <c r="M403" s="81" t="str">
        <f aca="false">IF(B403="","",IF(OR(J403&lt;&gt;"",K403&lt;&gt;""),"POSÉ EN LIGNE",IF(H403&lt;&gt;"","BARDÉ","EN STOCK")))</f>
        <v/>
      </c>
      <c r="N403" s="79"/>
    </row>
    <row r="404" customFormat="false" ht="15" hidden="false" customHeight="false" outlineLevel="0" collapsed="false">
      <c r="A404" s="78" t="str">
        <f aca="false">IF(B404="","",ROW()-6)</f>
        <v/>
      </c>
      <c r="B404" s="90"/>
      <c r="C404" s="91"/>
      <c r="D404" s="91"/>
      <c r="E404" s="80"/>
      <c r="F404" s="92"/>
      <c r="G404" s="79"/>
      <c r="H404" s="82"/>
      <c r="I404" s="93" t="str">
        <f aca="false">IF(B404="","",IFERROR(INDEX('CARNET DE SOUDURE'!$B$7:$B$1506,MATCH(B404,'CARNET DE SOUDURE'!$K$7:$K$1506,0)),IFERROR(INDEX('CARNET DE SOUDURE'!$B$7:$B$1506,MATCH(B404,'CARNET DE SOUDURE'!$M$7:$M$1506,0)),"")))</f>
        <v/>
      </c>
      <c r="J404" s="78" t="str">
        <f aca="false">IF(B404="","",IFERROR(INDEX('CARNET DE SOUDURE'!$E$7:$E$1506,MATCH(B404,'CARNET DE SOUDURE'!$M$7:$M$1506,0)),""))</f>
        <v/>
      </c>
      <c r="K404" s="78" t="str">
        <f aca="false">IF(B404="","",IFERROR(INDEX('CARNET DE SOUDURE'!$E$7:$E$1506,MATCH(B404,'CARNET DE SOUDURE'!$K$7:$K$1506,0)),""))</f>
        <v/>
      </c>
      <c r="L404" s="78" t="str">
        <f aca="false">IF(B404="","",IFERROR(INDEX('CARNET DE SOUDURE'!$D$7:$D$1506,MATCH(B404,'CARNET DE SOUDURE'!$K$7:$K$1506,0)),IFERROR(INDEX('CARNET DE SOUDURE'!$D$7:$D$1506,MATCH(B404,'CARNET DE SOUDURE'!$M$7:$M$1506,0)),"")))</f>
        <v/>
      </c>
      <c r="M404" s="81" t="str">
        <f aca="false">IF(B404="","",IF(OR(J404&lt;&gt;"",K404&lt;&gt;""),"POSÉ EN LIGNE",IF(H404&lt;&gt;"","BARDÉ","EN STOCK")))</f>
        <v/>
      </c>
      <c r="N404" s="79"/>
    </row>
    <row r="405" customFormat="false" ht="15" hidden="false" customHeight="false" outlineLevel="0" collapsed="false">
      <c r="A405" s="78" t="str">
        <f aca="false">IF(B405="","",ROW()-6)</f>
        <v/>
      </c>
      <c r="B405" s="90"/>
      <c r="C405" s="91"/>
      <c r="D405" s="91"/>
      <c r="E405" s="80"/>
      <c r="F405" s="92"/>
      <c r="G405" s="79"/>
      <c r="H405" s="82"/>
      <c r="I405" s="93" t="str">
        <f aca="false">IF(B405="","",IFERROR(INDEX('CARNET DE SOUDURE'!$B$7:$B$1506,MATCH(B405,'CARNET DE SOUDURE'!$K$7:$K$1506,0)),IFERROR(INDEX('CARNET DE SOUDURE'!$B$7:$B$1506,MATCH(B405,'CARNET DE SOUDURE'!$M$7:$M$1506,0)),"")))</f>
        <v/>
      </c>
      <c r="J405" s="78" t="str">
        <f aca="false">IF(B405="","",IFERROR(INDEX('CARNET DE SOUDURE'!$E$7:$E$1506,MATCH(B405,'CARNET DE SOUDURE'!$M$7:$M$1506,0)),""))</f>
        <v/>
      </c>
      <c r="K405" s="78" t="str">
        <f aca="false">IF(B405="","",IFERROR(INDEX('CARNET DE SOUDURE'!$E$7:$E$1506,MATCH(B405,'CARNET DE SOUDURE'!$K$7:$K$1506,0)),""))</f>
        <v/>
      </c>
      <c r="L405" s="78" t="str">
        <f aca="false">IF(B405="","",IFERROR(INDEX('CARNET DE SOUDURE'!$D$7:$D$1506,MATCH(B405,'CARNET DE SOUDURE'!$K$7:$K$1506,0)),IFERROR(INDEX('CARNET DE SOUDURE'!$D$7:$D$1506,MATCH(B405,'CARNET DE SOUDURE'!$M$7:$M$1506,0)),"")))</f>
        <v/>
      </c>
      <c r="M405" s="81" t="str">
        <f aca="false">IF(B405="","",IF(OR(J405&lt;&gt;"",K405&lt;&gt;""),"POSÉ EN LIGNE",IF(H405&lt;&gt;"","BARDÉ","EN STOCK")))</f>
        <v/>
      </c>
      <c r="N405" s="79"/>
    </row>
    <row r="406" customFormat="false" ht="15" hidden="false" customHeight="false" outlineLevel="0" collapsed="false">
      <c r="A406" s="78" t="str">
        <f aca="false">IF(B406="","",ROW()-6)</f>
        <v/>
      </c>
      <c r="B406" s="90"/>
      <c r="C406" s="91"/>
      <c r="D406" s="91"/>
      <c r="E406" s="80"/>
      <c r="F406" s="92"/>
      <c r="G406" s="79"/>
      <c r="H406" s="82"/>
      <c r="I406" s="93" t="str">
        <f aca="false">IF(B406="","",IFERROR(INDEX('CARNET DE SOUDURE'!$B$7:$B$1506,MATCH(B406,'CARNET DE SOUDURE'!$K$7:$K$1506,0)),IFERROR(INDEX('CARNET DE SOUDURE'!$B$7:$B$1506,MATCH(B406,'CARNET DE SOUDURE'!$M$7:$M$1506,0)),"")))</f>
        <v/>
      </c>
      <c r="J406" s="78" t="str">
        <f aca="false">IF(B406="","",IFERROR(INDEX('CARNET DE SOUDURE'!$E$7:$E$1506,MATCH(B406,'CARNET DE SOUDURE'!$M$7:$M$1506,0)),""))</f>
        <v/>
      </c>
      <c r="K406" s="78" t="str">
        <f aca="false">IF(B406="","",IFERROR(INDEX('CARNET DE SOUDURE'!$E$7:$E$1506,MATCH(B406,'CARNET DE SOUDURE'!$K$7:$K$1506,0)),""))</f>
        <v/>
      </c>
      <c r="L406" s="78" t="str">
        <f aca="false">IF(B406="","",IFERROR(INDEX('CARNET DE SOUDURE'!$D$7:$D$1506,MATCH(B406,'CARNET DE SOUDURE'!$K$7:$K$1506,0)),IFERROR(INDEX('CARNET DE SOUDURE'!$D$7:$D$1506,MATCH(B406,'CARNET DE SOUDURE'!$M$7:$M$1506,0)),"")))</f>
        <v/>
      </c>
      <c r="M406" s="81" t="str">
        <f aca="false">IF(B406="","",IF(OR(J406&lt;&gt;"",K406&lt;&gt;""),"POSÉ EN LIGNE",IF(H406&lt;&gt;"","BARDÉ","EN STOCK")))</f>
        <v/>
      </c>
      <c r="N406" s="79"/>
    </row>
    <row r="407" customFormat="false" ht="15" hidden="false" customHeight="false" outlineLevel="0" collapsed="false">
      <c r="A407" s="78" t="str">
        <f aca="false">IF(B407="","",ROW()-6)</f>
        <v/>
      </c>
      <c r="B407" s="90"/>
      <c r="C407" s="91"/>
      <c r="D407" s="91"/>
      <c r="E407" s="80"/>
      <c r="F407" s="92"/>
      <c r="G407" s="79"/>
      <c r="H407" s="82"/>
      <c r="I407" s="93" t="str">
        <f aca="false">IF(B407="","",IFERROR(INDEX('CARNET DE SOUDURE'!$B$7:$B$1506,MATCH(B407,'CARNET DE SOUDURE'!$K$7:$K$1506,0)),IFERROR(INDEX('CARNET DE SOUDURE'!$B$7:$B$1506,MATCH(B407,'CARNET DE SOUDURE'!$M$7:$M$1506,0)),"")))</f>
        <v/>
      </c>
      <c r="J407" s="78" t="str">
        <f aca="false">IF(B407="","",IFERROR(INDEX('CARNET DE SOUDURE'!$E$7:$E$1506,MATCH(B407,'CARNET DE SOUDURE'!$M$7:$M$1506,0)),""))</f>
        <v/>
      </c>
      <c r="K407" s="78" t="str">
        <f aca="false">IF(B407="","",IFERROR(INDEX('CARNET DE SOUDURE'!$E$7:$E$1506,MATCH(B407,'CARNET DE SOUDURE'!$K$7:$K$1506,0)),""))</f>
        <v/>
      </c>
      <c r="L407" s="78" t="str">
        <f aca="false">IF(B407="","",IFERROR(INDEX('CARNET DE SOUDURE'!$D$7:$D$1506,MATCH(B407,'CARNET DE SOUDURE'!$K$7:$K$1506,0)),IFERROR(INDEX('CARNET DE SOUDURE'!$D$7:$D$1506,MATCH(B407,'CARNET DE SOUDURE'!$M$7:$M$1506,0)),"")))</f>
        <v/>
      </c>
      <c r="M407" s="81" t="str">
        <f aca="false">IF(B407="","",IF(OR(J407&lt;&gt;"",K407&lt;&gt;""),"POSÉ EN LIGNE",IF(H407&lt;&gt;"","BARDÉ","EN STOCK")))</f>
        <v/>
      </c>
      <c r="N407" s="79"/>
    </row>
    <row r="408" customFormat="false" ht="15" hidden="false" customHeight="false" outlineLevel="0" collapsed="false">
      <c r="A408" s="78" t="str">
        <f aca="false">IF(B408="","",ROW()-6)</f>
        <v/>
      </c>
      <c r="B408" s="90"/>
      <c r="C408" s="91"/>
      <c r="D408" s="91"/>
      <c r="E408" s="80"/>
      <c r="F408" s="92"/>
      <c r="G408" s="79"/>
      <c r="H408" s="82"/>
      <c r="I408" s="93" t="str">
        <f aca="false">IF(B408="","",IFERROR(INDEX('CARNET DE SOUDURE'!$B$7:$B$1506,MATCH(B408,'CARNET DE SOUDURE'!$K$7:$K$1506,0)),IFERROR(INDEX('CARNET DE SOUDURE'!$B$7:$B$1506,MATCH(B408,'CARNET DE SOUDURE'!$M$7:$M$1506,0)),"")))</f>
        <v/>
      </c>
      <c r="J408" s="78" t="str">
        <f aca="false">IF(B408="","",IFERROR(INDEX('CARNET DE SOUDURE'!$E$7:$E$1506,MATCH(B408,'CARNET DE SOUDURE'!$M$7:$M$1506,0)),""))</f>
        <v/>
      </c>
      <c r="K408" s="78" t="str">
        <f aca="false">IF(B408="","",IFERROR(INDEX('CARNET DE SOUDURE'!$E$7:$E$1506,MATCH(B408,'CARNET DE SOUDURE'!$K$7:$K$1506,0)),""))</f>
        <v/>
      </c>
      <c r="L408" s="78" t="str">
        <f aca="false">IF(B408="","",IFERROR(INDEX('CARNET DE SOUDURE'!$D$7:$D$1506,MATCH(B408,'CARNET DE SOUDURE'!$K$7:$K$1506,0)),IFERROR(INDEX('CARNET DE SOUDURE'!$D$7:$D$1506,MATCH(B408,'CARNET DE SOUDURE'!$M$7:$M$1506,0)),"")))</f>
        <v/>
      </c>
      <c r="M408" s="81" t="str">
        <f aca="false">IF(B408="","",IF(OR(J408&lt;&gt;"",K408&lt;&gt;""),"POSÉ EN LIGNE",IF(H408&lt;&gt;"","BARDÉ","EN STOCK")))</f>
        <v/>
      </c>
      <c r="N408" s="79"/>
    </row>
    <row r="409" customFormat="false" ht="15" hidden="false" customHeight="false" outlineLevel="0" collapsed="false">
      <c r="A409" s="78" t="str">
        <f aca="false">IF(B409="","",ROW()-6)</f>
        <v/>
      </c>
      <c r="B409" s="90"/>
      <c r="C409" s="91"/>
      <c r="D409" s="91"/>
      <c r="E409" s="80"/>
      <c r="F409" s="92"/>
      <c r="G409" s="79"/>
      <c r="H409" s="82"/>
      <c r="I409" s="93" t="str">
        <f aca="false">IF(B409="","",IFERROR(INDEX('CARNET DE SOUDURE'!$B$7:$B$1506,MATCH(B409,'CARNET DE SOUDURE'!$K$7:$K$1506,0)),IFERROR(INDEX('CARNET DE SOUDURE'!$B$7:$B$1506,MATCH(B409,'CARNET DE SOUDURE'!$M$7:$M$1506,0)),"")))</f>
        <v/>
      </c>
      <c r="J409" s="78" t="str">
        <f aca="false">IF(B409="","",IFERROR(INDEX('CARNET DE SOUDURE'!$E$7:$E$1506,MATCH(B409,'CARNET DE SOUDURE'!$M$7:$M$1506,0)),""))</f>
        <v/>
      </c>
      <c r="K409" s="78" t="str">
        <f aca="false">IF(B409="","",IFERROR(INDEX('CARNET DE SOUDURE'!$E$7:$E$1506,MATCH(B409,'CARNET DE SOUDURE'!$K$7:$K$1506,0)),""))</f>
        <v/>
      </c>
      <c r="L409" s="78" t="str">
        <f aca="false">IF(B409="","",IFERROR(INDEX('CARNET DE SOUDURE'!$D$7:$D$1506,MATCH(B409,'CARNET DE SOUDURE'!$K$7:$K$1506,0)),IFERROR(INDEX('CARNET DE SOUDURE'!$D$7:$D$1506,MATCH(B409,'CARNET DE SOUDURE'!$M$7:$M$1506,0)),"")))</f>
        <v/>
      </c>
      <c r="M409" s="81" t="str">
        <f aca="false">IF(B409="","",IF(OR(J409&lt;&gt;"",K409&lt;&gt;""),"POSÉ EN LIGNE",IF(H409&lt;&gt;"","BARDÉ","EN STOCK")))</f>
        <v/>
      </c>
      <c r="N409" s="79"/>
    </row>
    <row r="410" customFormat="false" ht="15" hidden="false" customHeight="false" outlineLevel="0" collapsed="false">
      <c r="A410" s="78" t="str">
        <f aca="false">IF(B410="","",ROW()-6)</f>
        <v/>
      </c>
      <c r="B410" s="90"/>
      <c r="C410" s="91"/>
      <c r="D410" s="91"/>
      <c r="E410" s="80"/>
      <c r="F410" s="92"/>
      <c r="G410" s="79"/>
      <c r="H410" s="82"/>
      <c r="I410" s="93" t="str">
        <f aca="false">IF(B410="","",IFERROR(INDEX('CARNET DE SOUDURE'!$B$7:$B$1506,MATCH(B410,'CARNET DE SOUDURE'!$K$7:$K$1506,0)),IFERROR(INDEX('CARNET DE SOUDURE'!$B$7:$B$1506,MATCH(B410,'CARNET DE SOUDURE'!$M$7:$M$1506,0)),"")))</f>
        <v/>
      </c>
      <c r="J410" s="78" t="str">
        <f aca="false">IF(B410="","",IFERROR(INDEX('CARNET DE SOUDURE'!$E$7:$E$1506,MATCH(B410,'CARNET DE SOUDURE'!$M$7:$M$1506,0)),""))</f>
        <v/>
      </c>
      <c r="K410" s="78" t="str">
        <f aca="false">IF(B410="","",IFERROR(INDEX('CARNET DE SOUDURE'!$E$7:$E$1506,MATCH(B410,'CARNET DE SOUDURE'!$K$7:$K$1506,0)),""))</f>
        <v/>
      </c>
      <c r="L410" s="78" t="str">
        <f aca="false">IF(B410="","",IFERROR(INDEX('CARNET DE SOUDURE'!$D$7:$D$1506,MATCH(B410,'CARNET DE SOUDURE'!$K$7:$K$1506,0)),IFERROR(INDEX('CARNET DE SOUDURE'!$D$7:$D$1506,MATCH(B410,'CARNET DE SOUDURE'!$M$7:$M$1506,0)),"")))</f>
        <v/>
      </c>
      <c r="M410" s="81" t="str">
        <f aca="false">IF(B410="","",IF(OR(J410&lt;&gt;"",K410&lt;&gt;""),"POSÉ EN LIGNE",IF(H410&lt;&gt;"","BARDÉ","EN STOCK")))</f>
        <v/>
      </c>
      <c r="N410" s="79"/>
    </row>
    <row r="411" customFormat="false" ht="15" hidden="false" customHeight="false" outlineLevel="0" collapsed="false">
      <c r="A411" s="78" t="str">
        <f aca="false">IF(B411="","",ROW()-6)</f>
        <v/>
      </c>
      <c r="B411" s="90"/>
      <c r="C411" s="91"/>
      <c r="D411" s="91"/>
      <c r="E411" s="80"/>
      <c r="F411" s="92"/>
      <c r="G411" s="79"/>
      <c r="H411" s="82"/>
      <c r="I411" s="93" t="str">
        <f aca="false">IF(B411="","",IFERROR(INDEX('CARNET DE SOUDURE'!$B$7:$B$1506,MATCH(B411,'CARNET DE SOUDURE'!$K$7:$K$1506,0)),IFERROR(INDEX('CARNET DE SOUDURE'!$B$7:$B$1506,MATCH(B411,'CARNET DE SOUDURE'!$M$7:$M$1506,0)),"")))</f>
        <v/>
      </c>
      <c r="J411" s="78" t="str">
        <f aca="false">IF(B411="","",IFERROR(INDEX('CARNET DE SOUDURE'!$E$7:$E$1506,MATCH(B411,'CARNET DE SOUDURE'!$M$7:$M$1506,0)),""))</f>
        <v/>
      </c>
      <c r="K411" s="78" t="str">
        <f aca="false">IF(B411="","",IFERROR(INDEX('CARNET DE SOUDURE'!$E$7:$E$1506,MATCH(B411,'CARNET DE SOUDURE'!$K$7:$K$1506,0)),""))</f>
        <v/>
      </c>
      <c r="L411" s="78" t="str">
        <f aca="false">IF(B411="","",IFERROR(INDEX('CARNET DE SOUDURE'!$D$7:$D$1506,MATCH(B411,'CARNET DE SOUDURE'!$K$7:$K$1506,0)),IFERROR(INDEX('CARNET DE SOUDURE'!$D$7:$D$1506,MATCH(B411,'CARNET DE SOUDURE'!$M$7:$M$1506,0)),"")))</f>
        <v/>
      </c>
      <c r="M411" s="81" t="str">
        <f aca="false">IF(B411="","",IF(OR(J411&lt;&gt;"",K411&lt;&gt;""),"POSÉ EN LIGNE",IF(H411&lt;&gt;"","BARDÉ","EN STOCK")))</f>
        <v/>
      </c>
      <c r="N411" s="79"/>
    </row>
    <row r="412" customFormat="false" ht="15" hidden="false" customHeight="false" outlineLevel="0" collapsed="false">
      <c r="A412" s="78" t="str">
        <f aca="false">IF(B412="","",ROW()-6)</f>
        <v/>
      </c>
      <c r="B412" s="90"/>
      <c r="C412" s="91"/>
      <c r="D412" s="91"/>
      <c r="E412" s="80"/>
      <c r="F412" s="92"/>
      <c r="G412" s="79"/>
      <c r="H412" s="82"/>
      <c r="I412" s="93" t="str">
        <f aca="false">IF(B412="","",IFERROR(INDEX('CARNET DE SOUDURE'!$B$7:$B$1506,MATCH(B412,'CARNET DE SOUDURE'!$K$7:$K$1506,0)),IFERROR(INDEX('CARNET DE SOUDURE'!$B$7:$B$1506,MATCH(B412,'CARNET DE SOUDURE'!$M$7:$M$1506,0)),"")))</f>
        <v/>
      </c>
      <c r="J412" s="78" t="str">
        <f aca="false">IF(B412="","",IFERROR(INDEX('CARNET DE SOUDURE'!$E$7:$E$1506,MATCH(B412,'CARNET DE SOUDURE'!$M$7:$M$1506,0)),""))</f>
        <v/>
      </c>
      <c r="K412" s="78" t="str">
        <f aca="false">IF(B412="","",IFERROR(INDEX('CARNET DE SOUDURE'!$E$7:$E$1506,MATCH(B412,'CARNET DE SOUDURE'!$K$7:$K$1506,0)),""))</f>
        <v/>
      </c>
      <c r="L412" s="78" t="str">
        <f aca="false">IF(B412="","",IFERROR(INDEX('CARNET DE SOUDURE'!$D$7:$D$1506,MATCH(B412,'CARNET DE SOUDURE'!$K$7:$K$1506,0)),IFERROR(INDEX('CARNET DE SOUDURE'!$D$7:$D$1506,MATCH(B412,'CARNET DE SOUDURE'!$M$7:$M$1506,0)),"")))</f>
        <v/>
      </c>
      <c r="M412" s="81" t="str">
        <f aca="false">IF(B412="","",IF(OR(J412&lt;&gt;"",K412&lt;&gt;""),"POSÉ EN LIGNE",IF(H412&lt;&gt;"","BARDÉ","EN STOCK")))</f>
        <v/>
      </c>
      <c r="N412" s="79"/>
    </row>
    <row r="413" customFormat="false" ht="15" hidden="false" customHeight="false" outlineLevel="0" collapsed="false">
      <c r="A413" s="78" t="str">
        <f aca="false">IF(B413="","",ROW()-6)</f>
        <v/>
      </c>
      <c r="B413" s="90"/>
      <c r="C413" s="91"/>
      <c r="D413" s="91"/>
      <c r="E413" s="80"/>
      <c r="F413" s="92"/>
      <c r="G413" s="79"/>
      <c r="H413" s="82"/>
      <c r="I413" s="93" t="str">
        <f aca="false">IF(B413="","",IFERROR(INDEX('CARNET DE SOUDURE'!$B$7:$B$1506,MATCH(B413,'CARNET DE SOUDURE'!$K$7:$K$1506,0)),IFERROR(INDEX('CARNET DE SOUDURE'!$B$7:$B$1506,MATCH(B413,'CARNET DE SOUDURE'!$M$7:$M$1506,0)),"")))</f>
        <v/>
      </c>
      <c r="J413" s="78" t="str">
        <f aca="false">IF(B413="","",IFERROR(INDEX('CARNET DE SOUDURE'!$E$7:$E$1506,MATCH(B413,'CARNET DE SOUDURE'!$M$7:$M$1506,0)),""))</f>
        <v/>
      </c>
      <c r="K413" s="78" t="str">
        <f aca="false">IF(B413="","",IFERROR(INDEX('CARNET DE SOUDURE'!$E$7:$E$1506,MATCH(B413,'CARNET DE SOUDURE'!$K$7:$K$1506,0)),""))</f>
        <v/>
      </c>
      <c r="L413" s="78" t="str">
        <f aca="false">IF(B413="","",IFERROR(INDEX('CARNET DE SOUDURE'!$D$7:$D$1506,MATCH(B413,'CARNET DE SOUDURE'!$K$7:$K$1506,0)),IFERROR(INDEX('CARNET DE SOUDURE'!$D$7:$D$1506,MATCH(B413,'CARNET DE SOUDURE'!$M$7:$M$1506,0)),"")))</f>
        <v/>
      </c>
      <c r="M413" s="81" t="str">
        <f aca="false">IF(B413="","",IF(OR(J413&lt;&gt;"",K413&lt;&gt;""),"POSÉ EN LIGNE",IF(H413&lt;&gt;"","BARDÉ","EN STOCK")))</f>
        <v/>
      </c>
      <c r="N413" s="79"/>
    </row>
    <row r="414" customFormat="false" ht="15" hidden="false" customHeight="false" outlineLevel="0" collapsed="false">
      <c r="A414" s="78" t="str">
        <f aca="false">IF(B414="","",ROW()-6)</f>
        <v/>
      </c>
      <c r="B414" s="90"/>
      <c r="C414" s="91"/>
      <c r="D414" s="91"/>
      <c r="E414" s="80"/>
      <c r="F414" s="92"/>
      <c r="G414" s="79"/>
      <c r="H414" s="82"/>
      <c r="I414" s="93" t="str">
        <f aca="false">IF(B414="","",IFERROR(INDEX('CARNET DE SOUDURE'!$B$7:$B$1506,MATCH(B414,'CARNET DE SOUDURE'!$K$7:$K$1506,0)),IFERROR(INDEX('CARNET DE SOUDURE'!$B$7:$B$1506,MATCH(B414,'CARNET DE SOUDURE'!$M$7:$M$1506,0)),"")))</f>
        <v/>
      </c>
      <c r="J414" s="78" t="str">
        <f aca="false">IF(B414="","",IFERROR(INDEX('CARNET DE SOUDURE'!$E$7:$E$1506,MATCH(B414,'CARNET DE SOUDURE'!$M$7:$M$1506,0)),""))</f>
        <v/>
      </c>
      <c r="K414" s="78" t="str">
        <f aca="false">IF(B414="","",IFERROR(INDEX('CARNET DE SOUDURE'!$E$7:$E$1506,MATCH(B414,'CARNET DE SOUDURE'!$K$7:$K$1506,0)),""))</f>
        <v/>
      </c>
      <c r="L414" s="78" t="str">
        <f aca="false">IF(B414="","",IFERROR(INDEX('CARNET DE SOUDURE'!$D$7:$D$1506,MATCH(B414,'CARNET DE SOUDURE'!$K$7:$K$1506,0)),IFERROR(INDEX('CARNET DE SOUDURE'!$D$7:$D$1506,MATCH(B414,'CARNET DE SOUDURE'!$M$7:$M$1506,0)),"")))</f>
        <v/>
      </c>
      <c r="M414" s="81" t="str">
        <f aca="false">IF(B414="","",IF(OR(J414&lt;&gt;"",K414&lt;&gt;""),"POSÉ EN LIGNE",IF(H414&lt;&gt;"","BARDÉ","EN STOCK")))</f>
        <v/>
      </c>
      <c r="N414" s="79"/>
    </row>
    <row r="415" customFormat="false" ht="15" hidden="false" customHeight="false" outlineLevel="0" collapsed="false">
      <c r="A415" s="78" t="str">
        <f aca="false">IF(B415="","",ROW()-6)</f>
        <v/>
      </c>
      <c r="B415" s="90"/>
      <c r="C415" s="91"/>
      <c r="D415" s="91"/>
      <c r="E415" s="80"/>
      <c r="F415" s="92"/>
      <c r="G415" s="79"/>
      <c r="H415" s="82"/>
      <c r="I415" s="93" t="str">
        <f aca="false">IF(B415="","",IFERROR(INDEX('CARNET DE SOUDURE'!$B$7:$B$1506,MATCH(B415,'CARNET DE SOUDURE'!$K$7:$K$1506,0)),IFERROR(INDEX('CARNET DE SOUDURE'!$B$7:$B$1506,MATCH(B415,'CARNET DE SOUDURE'!$M$7:$M$1506,0)),"")))</f>
        <v/>
      </c>
      <c r="J415" s="78" t="str">
        <f aca="false">IF(B415="","",IFERROR(INDEX('CARNET DE SOUDURE'!$E$7:$E$1506,MATCH(B415,'CARNET DE SOUDURE'!$M$7:$M$1506,0)),""))</f>
        <v/>
      </c>
      <c r="K415" s="78" t="str">
        <f aca="false">IF(B415="","",IFERROR(INDEX('CARNET DE SOUDURE'!$E$7:$E$1506,MATCH(B415,'CARNET DE SOUDURE'!$K$7:$K$1506,0)),""))</f>
        <v/>
      </c>
      <c r="L415" s="78" t="str">
        <f aca="false">IF(B415="","",IFERROR(INDEX('CARNET DE SOUDURE'!$D$7:$D$1506,MATCH(B415,'CARNET DE SOUDURE'!$K$7:$K$1506,0)),IFERROR(INDEX('CARNET DE SOUDURE'!$D$7:$D$1506,MATCH(B415,'CARNET DE SOUDURE'!$M$7:$M$1506,0)),"")))</f>
        <v/>
      </c>
      <c r="M415" s="81" t="str">
        <f aca="false">IF(B415="","",IF(OR(J415&lt;&gt;"",K415&lt;&gt;""),"POSÉ EN LIGNE",IF(H415&lt;&gt;"","BARDÉ","EN STOCK")))</f>
        <v/>
      </c>
      <c r="N415" s="79"/>
    </row>
    <row r="416" customFormat="false" ht="15" hidden="false" customHeight="false" outlineLevel="0" collapsed="false">
      <c r="A416" s="78" t="str">
        <f aca="false">IF(B416="","",ROW()-6)</f>
        <v/>
      </c>
      <c r="B416" s="90"/>
      <c r="C416" s="91"/>
      <c r="D416" s="91"/>
      <c r="E416" s="80"/>
      <c r="F416" s="92"/>
      <c r="G416" s="79"/>
      <c r="H416" s="82"/>
      <c r="I416" s="93" t="str">
        <f aca="false">IF(B416="","",IFERROR(INDEX('CARNET DE SOUDURE'!$B$7:$B$1506,MATCH(B416,'CARNET DE SOUDURE'!$K$7:$K$1506,0)),IFERROR(INDEX('CARNET DE SOUDURE'!$B$7:$B$1506,MATCH(B416,'CARNET DE SOUDURE'!$M$7:$M$1506,0)),"")))</f>
        <v/>
      </c>
      <c r="J416" s="78" t="str">
        <f aca="false">IF(B416="","",IFERROR(INDEX('CARNET DE SOUDURE'!$E$7:$E$1506,MATCH(B416,'CARNET DE SOUDURE'!$M$7:$M$1506,0)),""))</f>
        <v/>
      </c>
      <c r="K416" s="78" t="str">
        <f aca="false">IF(B416="","",IFERROR(INDEX('CARNET DE SOUDURE'!$E$7:$E$1506,MATCH(B416,'CARNET DE SOUDURE'!$K$7:$K$1506,0)),""))</f>
        <v/>
      </c>
      <c r="L416" s="78" t="str">
        <f aca="false">IF(B416="","",IFERROR(INDEX('CARNET DE SOUDURE'!$D$7:$D$1506,MATCH(B416,'CARNET DE SOUDURE'!$K$7:$K$1506,0)),IFERROR(INDEX('CARNET DE SOUDURE'!$D$7:$D$1506,MATCH(B416,'CARNET DE SOUDURE'!$M$7:$M$1506,0)),"")))</f>
        <v/>
      </c>
      <c r="M416" s="81" t="str">
        <f aca="false">IF(B416="","",IF(OR(J416&lt;&gt;"",K416&lt;&gt;""),"POSÉ EN LIGNE",IF(H416&lt;&gt;"","BARDÉ","EN STOCK")))</f>
        <v/>
      </c>
      <c r="N416" s="79"/>
    </row>
    <row r="417" customFormat="false" ht="15" hidden="false" customHeight="false" outlineLevel="0" collapsed="false">
      <c r="A417" s="78" t="str">
        <f aca="false">IF(B417="","",ROW()-6)</f>
        <v/>
      </c>
      <c r="B417" s="90"/>
      <c r="C417" s="91"/>
      <c r="D417" s="91"/>
      <c r="E417" s="80"/>
      <c r="F417" s="92"/>
      <c r="G417" s="79"/>
      <c r="H417" s="82"/>
      <c r="I417" s="93" t="str">
        <f aca="false">IF(B417="","",IFERROR(INDEX('CARNET DE SOUDURE'!$B$7:$B$1506,MATCH(B417,'CARNET DE SOUDURE'!$K$7:$K$1506,0)),IFERROR(INDEX('CARNET DE SOUDURE'!$B$7:$B$1506,MATCH(B417,'CARNET DE SOUDURE'!$M$7:$M$1506,0)),"")))</f>
        <v/>
      </c>
      <c r="J417" s="78" t="str">
        <f aca="false">IF(B417="","",IFERROR(INDEX('CARNET DE SOUDURE'!$E$7:$E$1506,MATCH(B417,'CARNET DE SOUDURE'!$M$7:$M$1506,0)),""))</f>
        <v/>
      </c>
      <c r="K417" s="78" t="str">
        <f aca="false">IF(B417="","",IFERROR(INDEX('CARNET DE SOUDURE'!$E$7:$E$1506,MATCH(B417,'CARNET DE SOUDURE'!$K$7:$K$1506,0)),""))</f>
        <v/>
      </c>
      <c r="L417" s="78" t="str">
        <f aca="false">IF(B417="","",IFERROR(INDEX('CARNET DE SOUDURE'!$D$7:$D$1506,MATCH(B417,'CARNET DE SOUDURE'!$K$7:$K$1506,0)),IFERROR(INDEX('CARNET DE SOUDURE'!$D$7:$D$1506,MATCH(B417,'CARNET DE SOUDURE'!$M$7:$M$1506,0)),"")))</f>
        <v/>
      </c>
      <c r="M417" s="81" t="str">
        <f aca="false">IF(B417="","",IF(OR(J417&lt;&gt;"",K417&lt;&gt;""),"POSÉ EN LIGNE",IF(H417&lt;&gt;"","BARDÉ","EN STOCK")))</f>
        <v/>
      </c>
      <c r="N417" s="79"/>
    </row>
    <row r="418" customFormat="false" ht="15" hidden="false" customHeight="false" outlineLevel="0" collapsed="false">
      <c r="A418" s="78" t="str">
        <f aca="false">IF(B418="","",ROW()-6)</f>
        <v/>
      </c>
      <c r="B418" s="90"/>
      <c r="C418" s="91"/>
      <c r="D418" s="91"/>
      <c r="E418" s="80"/>
      <c r="F418" s="92"/>
      <c r="G418" s="79"/>
      <c r="H418" s="82"/>
      <c r="I418" s="93" t="str">
        <f aca="false">IF(B418="","",IFERROR(INDEX('CARNET DE SOUDURE'!$B$7:$B$1506,MATCH(B418,'CARNET DE SOUDURE'!$K$7:$K$1506,0)),IFERROR(INDEX('CARNET DE SOUDURE'!$B$7:$B$1506,MATCH(B418,'CARNET DE SOUDURE'!$M$7:$M$1506,0)),"")))</f>
        <v/>
      </c>
      <c r="J418" s="78" t="str">
        <f aca="false">IF(B418="","",IFERROR(INDEX('CARNET DE SOUDURE'!$E$7:$E$1506,MATCH(B418,'CARNET DE SOUDURE'!$M$7:$M$1506,0)),""))</f>
        <v/>
      </c>
      <c r="K418" s="78" t="str">
        <f aca="false">IF(B418="","",IFERROR(INDEX('CARNET DE SOUDURE'!$E$7:$E$1506,MATCH(B418,'CARNET DE SOUDURE'!$K$7:$K$1506,0)),""))</f>
        <v/>
      </c>
      <c r="L418" s="78" t="str">
        <f aca="false">IF(B418="","",IFERROR(INDEX('CARNET DE SOUDURE'!$D$7:$D$1506,MATCH(B418,'CARNET DE SOUDURE'!$K$7:$K$1506,0)),IFERROR(INDEX('CARNET DE SOUDURE'!$D$7:$D$1506,MATCH(B418,'CARNET DE SOUDURE'!$M$7:$M$1506,0)),"")))</f>
        <v/>
      </c>
      <c r="M418" s="81" t="str">
        <f aca="false">IF(B418="","",IF(OR(J418&lt;&gt;"",K418&lt;&gt;""),"POSÉ EN LIGNE",IF(H418&lt;&gt;"","BARDÉ","EN STOCK")))</f>
        <v/>
      </c>
      <c r="N418" s="79"/>
    </row>
    <row r="419" customFormat="false" ht="15" hidden="false" customHeight="false" outlineLevel="0" collapsed="false">
      <c r="A419" s="78" t="str">
        <f aca="false">IF(B419="","",ROW()-6)</f>
        <v/>
      </c>
      <c r="B419" s="90"/>
      <c r="C419" s="91"/>
      <c r="D419" s="91"/>
      <c r="E419" s="80"/>
      <c r="F419" s="92"/>
      <c r="G419" s="79"/>
      <c r="H419" s="82"/>
      <c r="I419" s="93" t="str">
        <f aca="false">IF(B419="","",IFERROR(INDEX('CARNET DE SOUDURE'!$B$7:$B$1506,MATCH(B419,'CARNET DE SOUDURE'!$K$7:$K$1506,0)),IFERROR(INDEX('CARNET DE SOUDURE'!$B$7:$B$1506,MATCH(B419,'CARNET DE SOUDURE'!$M$7:$M$1506,0)),"")))</f>
        <v/>
      </c>
      <c r="J419" s="78" t="str">
        <f aca="false">IF(B419="","",IFERROR(INDEX('CARNET DE SOUDURE'!$E$7:$E$1506,MATCH(B419,'CARNET DE SOUDURE'!$M$7:$M$1506,0)),""))</f>
        <v/>
      </c>
      <c r="K419" s="78" t="str">
        <f aca="false">IF(B419="","",IFERROR(INDEX('CARNET DE SOUDURE'!$E$7:$E$1506,MATCH(B419,'CARNET DE SOUDURE'!$K$7:$K$1506,0)),""))</f>
        <v/>
      </c>
      <c r="L419" s="78" t="str">
        <f aca="false">IF(B419="","",IFERROR(INDEX('CARNET DE SOUDURE'!$D$7:$D$1506,MATCH(B419,'CARNET DE SOUDURE'!$K$7:$K$1506,0)),IFERROR(INDEX('CARNET DE SOUDURE'!$D$7:$D$1506,MATCH(B419,'CARNET DE SOUDURE'!$M$7:$M$1506,0)),"")))</f>
        <v/>
      </c>
      <c r="M419" s="81" t="str">
        <f aca="false">IF(B419="","",IF(OR(J419&lt;&gt;"",K419&lt;&gt;""),"POSÉ EN LIGNE",IF(H419&lt;&gt;"","BARDÉ","EN STOCK")))</f>
        <v/>
      </c>
      <c r="N419" s="79"/>
    </row>
    <row r="420" customFormat="false" ht="15" hidden="false" customHeight="false" outlineLevel="0" collapsed="false">
      <c r="A420" s="78" t="str">
        <f aca="false">IF(B420="","",ROW()-6)</f>
        <v/>
      </c>
      <c r="B420" s="90"/>
      <c r="C420" s="91"/>
      <c r="D420" s="91"/>
      <c r="E420" s="80"/>
      <c r="F420" s="92"/>
      <c r="G420" s="79"/>
      <c r="H420" s="82"/>
      <c r="I420" s="93" t="str">
        <f aca="false">IF(B420="","",IFERROR(INDEX('CARNET DE SOUDURE'!$B$7:$B$1506,MATCH(B420,'CARNET DE SOUDURE'!$K$7:$K$1506,0)),IFERROR(INDEX('CARNET DE SOUDURE'!$B$7:$B$1506,MATCH(B420,'CARNET DE SOUDURE'!$M$7:$M$1506,0)),"")))</f>
        <v/>
      </c>
      <c r="J420" s="78" t="str">
        <f aca="false">IF(B420="","",IFERROR(INDEX('CARNET DE SOUDURE'!$E$7:$E$1506,MATCH(B420,'CARNET DE SOUDURE'!$M$7:$M$1506,0)),""))</f>
        <v/>
      </c>
      <c r="K420" s="78" t="str">
        <f aca="false">IF(B420="","",IFERROR(INDEX('CARNET DE SOUDURE'!$E$7:$E$1506,MATCH(B420,'CARNET DE SOUDURE'!$K$7:$K$1506,0)),""))</f>
        <v/>
      </c>
      <c r="L420" s="78" t="str">
        <f aca="false">IF(B420="","",IFERROR(INDEX('CARNET DE SOUDURE'!$D$7:$D$1506,MATCH(B420,'CARNET DE SOUDURE'!$K$7:$K$1506,0)),IFERROR(INDEX('CARNET DE SOUDURE'!$D$7:$D$1506,MATCH(B420,'CARNET DE SOUDURE'!$M$7:$M$1506,0)),"")))</f>
        <v/>
      </c>
      <c r="M420" s="81" t="str">
        <f aca="false">IF(B420="","",IF(OR(J420&lt;&gt;"",K420&lt;&gt;""),"POSÉ EN LIGNE",IF(H420&lt;&gt;"","BARDÉ","EN STOCK")))</f>
        <v/>
      </c>
      <c r="N420" s="79"/>
    </row>
    <row r="421" customFormat="false" ht="15" hidden="false" customHeight="false" outlineLevel="0" collapsed="false">
      <c r="A421" s="78" t="str">
        <f aca="false">IF(B421="","",ROW()-6)</f>
        <v/>
      </c>
      <c r="B421" s="90"/>
      <c r="C421" s="91"/>
      <c r="D421" s="91"/>
      <c r="E421" s="80"/>
      <c r="F421" s="92"/>
      <c r="G421" s="79"/>
      <c r="H421" s="82"/>
      <c r="I421" s="93" t="str">
        <f aca="false">IF(B421="","",IFERROR(INDEX('CARNET DE SOUDURE'!$B$7:$B$1506,MATCH(B421,'CARNET DE SOUDURE'!$K$7:$K$1506,0)),IFERROR(INDEX('CARNET DE SOUDURE'!$B$7:$B$1506,MATCH(B421,'CARNET DE SOUDURE'!$M$7:$M$1506,0)),"")))</f>
        <v/>
      </c>
      <c r="J421" s="78" t="str">
        <f aca="false">IF(B421="","",IFERROR(INDEX('CARNET DE SOUDURE'!$E$7:$E$1506,MATCH(B421,'CARNET DE SOUDURE'!$M$7:$M$1506,0)),""))</f>
        <v/>
      </c>
      <c r="K421" s="78" t="str">
        <f aca="false">IF(B421="","",IFERROR(INDEX('CARNET DE SOUDURE'!$E$7:$E$1506,MATCH(B421,'CARNET DE SOUDURE'!$K$7:$K$1506,0)),""))</f>
        <v/>
      </c>
      <c r="L421" s="78" t="str">
        <f aca="false">IF(B421="","",IFERROR(INDEX('CARNET DE SOUDURE'!$D$7:$D$1506,MATCH(B421,'CARNET DE SOUDURE'!$K$7:$K$1506,0)),IFERROR(INDEX('CARNET DE SOUDURE'!$D$7:$D$1506,MATCH(B421,'CARNET DE SOUDURE'!$M$7:$M$1506,0)),"")))</f>
        <v/>
      </c>
      <c r="M421" s="81" t="str">
        <f aca="false">IF(B421="","",IF(OR(J421&lt;&gt;"",K421&lt;&gt;""),"POSÉ EN LIGNE",IF(H421&lt;&gt;"","BARDÉ","EN STOCK")))</f>
        <v/>
      </c>
      <c r="N421" s="79"/>
    </row>
    <row r="422" customFormat="false" ht="15" hidden="false" customHeight="false" outlineLevel="0" collapsed="false">
      <c r="A422" s="78" t="str">
        <f aca="false">IF(B422="","",ROW()-6)</f>
        <v/>
      </c>
      <c r="B422" s="90"/>
      <c r="C422" s="91"/>
      <c r="D422" s="91"/>
      <c r="E422" s="80"/>
      <c r="F422" s="92"/>
      <c r="G422" s="79"/>
      <c r="H422" s="82"/>
      <c r="I422" s="93" t="str">
        <f aca="false">IF(B422="","",IFERROR(INDEX('CARNET DE SOUDURE'!$B$7:$B$1506,MATCH(B422,'CARNET DE SOUDURE'!$K$7:$K$1506,0)),IFERROR(INDEX('CARNET DE SOUDURE'!$B$7:$B$1506,MATCH(B422,'CARNET DE SOUDURE'!$M$7:$M$1506,0)),"")))</f>
        <v/>
      </c>
      <c r="J422" s="78" t="str">
        <f aca="false">IF(B422="","",IFERROR(INDEX('CARNET DE SOUDURE'!$E$7:$E$1506,MATCH(B422,'CARNET DE SOUDURE'!$M$7:$M$1506,0)),""))</f>
        <v/>
      </c>
      <c r="K422" s="78" t="str">
        <f aca="false">IF(B422="","",IFERROR(INDEX('CARNET DE SOUDURE'!$E$7:$E$1506,MATCH(B422,'CARNET DE SOUDURE'!$K$7:$K$1506,0)),""))</f>
        <v/>
      </c>
      <c r="L422" s="78" t="str">
        <f aca="false">IF(B422="","",IFERROR(INDEX('CARNET DE SOUDURE'!$D$7:$D$1506,MATCH(B422,'CARNET DE SOUDURE'!$K$7:$K$1506,0)),IFERROR(INDEX('CARNET DE SOUDURE'!$D$7:$D$1506,MATCH(B422,'CARNET DE SOUDURE'!$M$7:$M$1506,0)),"")))</f>
        <v/>
      </c>
      <c r="M422" s="81" t="str">
        <f aca="false">IF(B422="","",IF(OR(J422&lt;&gt;"",K422&lt;&gt;""),"POSÉ EN LIGNE",IF(H422&lt;&gt;"","BARDÉ","EN STOCK")))</f>
        <v/>
      </c>
      <c r="N422" s="79"/>
    </row>
    <row r="423" customFormat="false" ht="15" hidden="false" customHeight="false" outlineLevel="0" collapsed="false">
      <c r="A423" s="78" t="str">
        <f aca="false">IF(B423="","",ROW()-6)</f>
        <v/>
      </c>
      <c r="B423" s="90"/>
      <c r="C423" s="91"/>
      <c r="D423" s="91"/>
      <c r="E423" s="80"/>
      <c r="F423" s="92"/>
      <c r="G423" s="79"/>
      <c r="H423" s="82"/>
      <c r="I423" s="93" t="str">
        <f aca="false">IF(B423="","",IFERROR(INDEX('CARNET DE SOUDURE'!$B$7:$B$1506,MATCH(B423,'CARNET DE SOUDURE'!$K$7:$K$1506,0)),IFERROR(INDEX('CARNET DE SOUDURE'!$B$7:$B$1506,MATCH(B423,'CARNET DE SOUDURE'!$M$7:$M$1506,0)),"")))</f>
        <v/>
      </c>
      <c r="J423" s="78" t="str">
        <f aca="false">IF(B423="","",IFERROR(INDEX('CARNET DE SOUDURE'!$E$7:$E$1506,MATCH(B423,'CARNET DE SOUDURE'!$M$7:$M$1506,0)),""))</f>
        <v/>
      </c>
      <c r="K423" s="78" t="str">
        <f aca="false">IF(B423="","",IFERROR(INDEX('CARNET DE SOUDURE'!$E$7:$E$1506,MATCH(B423,'CARNET DE SOUDURE'!$K$7:$K$1506,0)),""))</f>
        <v/>
      </c>
      <c r="L423" s="78" t="str">
        <f aca="false">IF(B423="","",IFERROR(INDEX('CARNET DE SOUDURE'!$D$7:$D$1506,MATCH(B423,'CARNET DE SOUDURE'!$K$7:$K$1506,0)),IFERROR(INDEX('CARNET DE SOUDURE'!$D$7:$D$1506,MATCH(B423,'CARNET DE SOUDURE'!$M$7:$M$1506,0)),"")))</f>
        <v/>
      </c>
      <c r="M423" s="81" t="str">
        <f aca="false">IF(B423="","",IF(OR(J423&lt;&gt;"",K423&lt;&gt;""),"POSÉ EN LIGNE",IF(H423&lt;&gt;"","BARDÉ","EN STOCK")))</f>
        <v/>
      </c>
      <c r="N423" s="79"/>
    </row>
    <row r="424" customFormat="false" ht="15" hidden="false" customHeight="false" outlineLevel="0" collapsed="false">
      <c r="A424" s="78" t="str">
        <f aca="false">IF(B424="","",ROW()-6)</f>
        <v/>
      </c>
      <c r="B424" s="90"/>
      <c r="C424" s="91"/>
      <c r="D424" s="91"/>
      <c r="E424" s="80"/>
      <c r="F424" s="92"/>
      <c r="G424" s="79"/>
      <c r="H424" s="82"/>
      <c r="I424" s="93" t="str">
        <f aca="false">IF(B424="","",IFERROR(INDEX('CARNET DE SOUDURE'!$B$7:$B$1506,MATCH(B424,'CARNET DE SOUDURE'!$K$7:$K$1506,0)),IFERROR(INDEX('CARNET DE SOUDURE'!$B$7:$B$1506,MATCH(B424,'CARNET DE SOUDURE'!$M$7:$M$1506,0)),"")))</f>
        <v/>
      </c>
      <c r="J424" s="78" t="str">
        <f aca="false">IF(B424="","",IFERROR(INDEX('CARNET DE SOUDURE'!$E$7:$E$1506,MATCH(B424,'CARNET DE SOUDURE'!$M$7:$M$1506,0)),""))</f>
        <v/>
      </c>
      <c r="K424" s="78" t="str">
        <f aca="false">IF(B424="","",IFERROR(INDEX('CARNET DE SOUDURE'!$E$7:$E$1506,MATCH(B424,'CARNET DE SOUDURE'!$K$7:$K$1506,0)),""))</f>
        <v/>
      </c>
      <c r="L424" s="78" t="str">
        <f aca="false">IF(B424="","",IFERROR(INDEX('CARNET DE SOUDURE'!$D$7:$D$1506,MATCH(B424,'CARNET DE SOUDURE'!$K$7:$K$1506,0)),IFERROR(INDEX('CARNET DE SOUDURE'!$D$7:$D$1506,MATCH(B424,'CARNET DE SOUDURE'!$M$7:$M$1506,0)),"")))</f>
        <v/>
      </c>
      <c r="M424" s="81" t="str">
        <f aca="false">IF(B424="","",IF(OR(J424&lt;&gt;"",K424&lt;&gt;""),"POSÉ EN LIGNE",IF(H424&lt;&gt;"","BARDÉ","EN STOCK")))</f>
        <v/>
      </c>
      <c r="N424" s="79"/>
    </row>
    <row r="425" customFormat="false" ht="15" hidden="false" customHeight="false" outlineLevel="0" collapsed="false">
      <c r="A425" s="78" t="str">
        <f aca="false">IF(B425="","",ROW()-6)</f>
        <v/>
      </c>
      <c r="B425" s="90"/>
      <c r="C425" s="91"/>
      <c r="D425" s="91"/>
      <c r="E425" s="80"/>
      <c r="F425" s="92"/>
      <c r="G425" s="79"/>
      <c r="H425" s="82"/>
      <c r="I425" s="93" t="str">
        <f aca="false">IF(B425="","",IFERROR(INDEX('CARNET DE SOUDURE'!$B$7:$B$1506,MATCH(B425,'CARNET DE SOUDURE'!$K$7:$K$1506,0)),IFERROR(INDEX('CARNET DE SOUDURE'!$B$7:$B$1506,MATCH(B425,'CARNET DE SOUDURE'!$M$7:$M$1506,0)),"")))</f>
        <v/>
      </c>
      <c r="J425" s="78" t="str">
        <f aca="false">IF(B425="","",IFERROR(INDEX('CARNET DE SOUDURE'!$E$7:$E$1506,MATCH(B425,'CARNET DE SOUDURE'!$M$7:$M$1506,0)),""))</f>
        <v/>
      </c>
      <c r="K425" s="78" t="str">
        <f aca="false">IF(B425="","",IFERROR(INDEX('CARNET DE SOUDURE'!$E$7:$E$1506,MATCH(B425,'CARNET DE SOUDURE'!$K$7:$K$1506,0)),""))</f>
        <v/>
      </c>
      <c r="L425" s="78" t="str">
        <f aca="false">IF(B425="","",IFERROR(INDEX('CARNET DE SOUDURE'!$D$7:$D$1506,MATCH(B425,'CARNET DE SOUDURE'!$K$7:$K$1506,0)),IFERROR(INDEX('CARNET DE SOUDURE'!$D$7:$D$1506,MATCH(B425,'CARNET DE SOUDURE'!$M$7:$M$1506,0)),"")))</f>
        <v/>
      </c>
      <c r="M425" s="81" t="str">
        <f aca="false">IF(B425="","",IF(OR(J425&lt;&gt;"",K425&lt;&gt;""),"POSÉ EN LIGNE",IF(H425&lt;&gt;"","BARDÉ","EN STOCK")))</f>
        <v/>
      </c>
      <c r="N425" s="79"/>
    </row>
    <row r="426" customFormat="false" ht="15" hidden="false" customHeight="false" outlineLevel="0" collapsed="false">
      <c r="A426" s="78" t="str">
        <f aca="false">IF(B426="","",ROW()-6)</f>
        <v/>
      </c>
      <c r="B426" s="90"/>
      <c r="C426" s="91"/>
      <c r="D426" s="91"/>
      <c r="E426" s="80"/>
      <c r="F426" s="92"/>
      <c r="G426" s="79"/>
      <c r="H426" s="82"/>
      <c r="I426" s="93" t="str">
        <f aca="false">IF(B426="","",IFERROR(INDEX('CARNET DE SOUDURE'!$B$7:$B$1506,MATCH(B426,'CARNET DE SOUDURE'!$K$7:$K$1506,0)),IFERROR(INDEX('CARNET DE SOUDURE'!$B$7:$B$1506,MATCH(B426,'CARNET DE SOUDURE'!$M$7:$M$1506,0)),"")))</f>
        <v/>
      </c>
      <c r="J426" s="78" t="str">
        <f aca="false">IF(B426="","",IFERROR(INDEX('CARNET DE SOUDURE'!$E$7:$E$1506,MATCH(B426,'CARNET DE SOUDURE'!$M$7:$M$1506,0)),""))</f>
        <v/>
      </c>
      <c r="K426" s="78" t="str">
        <f aca="false">IF(B426="","",IFERROR(INDEX('CARNET DE SOUDURE'!$E$7:$E$1506,MATCH(B426,'CARNET DE SOUDURE'!$K$7:$K$1506,0)),""))</f>
        <v/>
      </c>
      <c r="L426" s="78" t="str">
        <f aca="false">IF(B426="","",IFERROR(INDEX('CARNET DE SOUDURE'!$D$7:$D$1506,MATCH(B426,'CARNET DE SOUDURE'!$K$7:$K$1506,0)),IFERROR(INDEX('CARNET DE SOUDURE'!$D$7:$D$1506,MATCH(B426,'CARNET DE SOUDURE'!$M$7:$M$1506,0)),"")))</f>
        <v/>
      </c>
      <c r="M426" s="81" t="str">
        <f aca="false">IF(B426="","",IF(OR(J426&lt;&gt;"",K426&lt;&gt;""),"POSÉ EN LIGNE",IF(H426&lt;&gt;"","BARDÉ","EN STOCK")))</f>
        <v/>
      </c>
      <c r="N426" s="79"/>
    </row>
    <row r="427" customFormat="false" ht="15" hidden="false" customHeight="false" outlineLevel="0" collapsed="false">
      <c r="A427" s="78" t="str">
        <f aca="false">IF(B427="","",ROW()-6)</f>
        <v/>
      </c>
      <c r="B427" s="90"/>
      <c r="C427" s="91"/>
      <c r="D427" s="91"/>
      <c r="E427" s="80"/>
      <c r="F427" s="92"/>
      <c r="G427" s="79"/>
      <c r="H427" s="82"/>
      <c r="I427" s="93" t="str">
        <f aca="false">IF(B427="","",IFERROR(INDEX('CARNET DE SOUDURE'!$B$7:$B$1506,MATCH(B427,'CARNET DE SOUDURE'!$K$7:$K$1506,0)),IFERROR(INDEX('CARNET DE SOUDURE'!$B$7:$B$1506,MATCH(B427,'CARNET DE SOUDURE'!$M$7:$M$1506,0)),"")))</f>
        <v/>
      </c>
      <c r="J427" s="78" t="str">
        <f aca="false">IF(B427="","",IFERROR(INDEX('CARNET DE SOUDURE'!$E$7:$E$1506,MATCH(B427,'CARNET DE SOUDURE'!$M$7:$M$1506,0)),""))</f>
        <v/>
      </c>
      <c r="K427" s="78" t="str">
        <f aca="false">IF(B427="","",IFERROR(INDEX('CARNET DE SOUDURE'!$E$7:$E$1506,MATCH(B427,'CARNET DE SOUDURE'!$K$7:$K$1506,0)),""))</f>
        <v/>
      </c>
      <c r="L427" s="78" t="str">
        <f aca="false">IF(B427="","",IFERROR(INDEX('CARNET DE SOUDURE'!$D$7:$D$1506,MATCH(B427,'CARNET DE SOUDURE'!$K$7:$K$1506,0)),IFERROR(INDEX('CARNET DE SOUDURE'!$D$7:$D$1506,MATCH(B427,'CARNET DE SOUDURE'!$M$7:$M$1506,0)),"")))</f>
        <v/>
      </c>
      <c r="M427" s="81" t="str">
        <f aca="false">IF(B427="","",IF(OR(J427&lt;&gt;"",K427&lt;&gt;""),"POSÉ EN LIGNE",IF(H427&lt;&gt;"","BARDÉ","EN STOCK")))</f>
        <v/>
      </c>
      <c r="N427" s="79"/>
    </row>
    <row r="428" customFormat="false" ht="15" hidden="false" customHeight="false" outlineLevel="0" collapsed="false">
      <c r="A428" s="78" t="str">
        <f aca="false">IF(B428="","",ROW()-6)</f>
        <v/>
      </c>
      <c r="B428" s="90"/>
      <c r="C428" s="91"/>
      <c r="D428" s="91"/>
      <c r="E428" s="80"/>
      <c r="F428" s="92"/>
      <c r="G428" s="79"/>
      <c r="H428" s="82"/>
      <c r="I428" s="93" t="str">
        <f aca="false">IF(B428="","",IFERROR(INDEX('CARNET DE SOUDURE'!$B$7:$B$1506,MATCH(B428,'CARNET DE SOUDURE'!$K$7:$K$1506,0)),IFERROR(INDEX('CARNET DE SOUDURE'!$B$7:$B$1506,MATCH(B428,'CARNET DE SOUDURE'!$M$7:$M$1506,0)),"")))</f>
        <v/>
      </c>
      <c r="J428" s="78" t="str">
        <f aca="false">IF(B428="","",IFERROR(INDEX('CARNET DE SOUDURE'!$E$7:$E$1506,MATCH(B428,'CARNET DE SOUDURE'!$M$7:$M$1506,0)),""))</f>
        <v/>
      </c>
      <c r="K428" s="78" t="str">
        <f aca="false">IF(B428="","",IFERROR(INDEX('CARNET DE SOUDURE'!$E$7:$E$1506,MATCH(B428,'CARNET DE SOUDURE'!$K$7:$K$1506,0)),""))</f>
        <v/>
      </c>
      <c r="L428" s="78" t="str">
        <f aca="false">IF(B428="","",IFERROR(INDEX('CARNET DE SOUDURE'!$D$7:$D$1506,MATCH(B428,'CARNET DE SOUDURE'!$K$7:$K$1506,0)),IFERROR(INDEX('CARNET DE SOUDURE'!$D$7:$D$1506,MATCH(B428,'CARNET DE SOUDURE'!$M$7:$M$1506,0)),"")))</f>
        <v/>
      </c>
      <c r="M428" s="81" t="str">
        <f aca="false">IF(B428="","",IF(OR(J428&lt;&gt;"",K428&lt;&gt;""),"POSÉ EN LIGNE",IF(H428&lt;&gt;"","BARDÉ","EN STOCK")))</f>
        <v/>
      </c>
      <c r="N428" s="79"/>
    </row>
    <row r="429" customFormat="false" ht="15" hidden="false" customHeight="false" outlineLevel="0" collapsed="false">
      <c r="A429" s="78" t="str">
        <f aca="false">IF(B429="","",ROW()-6)</f>
        <v/>
      </c>
      <c r="B429" s="90"/>
      <c r="C429" s="91"/>
      <c r="D429" s="91"/>
      <c r="E429" s="80"/>
      <c r="F429" s="92"/>
      <c r="G429" s="79"/>
      <c r="H429" s="82"/>
      <c r="I429" s="93" t="str">
        <f aca="false">IF(B429="","",IFERROR(INDEX('CARNET DE SOUDURE'!$B$7:$B$1506,MATCH(B429,'CARNET DE SOUDURE'!$K$7:$K$1506,0)),IFERROR(INDEX('CARNET DE SOUDURE'!$B$7:$B$1506,MATCH(B429,'CARNET DE SOUDURE'!$M$7:$M$1506,0)),"")))</f>
        <v/>
      </c>
      <c r="J429" s="78" t="str">
        <f aca="false">IF(B429="","",IFERROR(INDEX('CARNET DE SOUDURE'!$E$7:$E$1506,MATCH(B429,'CARNET DE SOUDURE'!$M$7:$M$1506,0)),""))</f>
        <v/>
      </c>
      <c r="K429" s="78" t="str">
        <f aca="false">IF(B429="","",IFERROR(INDEX('CARNET DE SOUDURE'!$E$7:$E$1506,MATCH(B429,'CARNET DE SOUDURE'!$K$7:$K$1506,0)),""))</f>
        <v/>
      </c>
      <c r="L429" s="78" t="str">
        <f aca="false">IF(B429="","",IFERROR(INDEX('CARNET DE SOUDURE'!$D$7:$D$1506,MATCH(B429,'CARNET DE SOUDURE'!$K$7:$K$1506,0)),IFERROR(INDEX('CARNET DE SOUDURE'!$D$7:$D$1506,MATCH(B429,'CARNET DE SOUDURE'!$M$7:$M$1506,0)),"")))</f>
        <v/>
      </c>
      <c r="M429" s="81" t="str">
        <f aca="false">IF(B429="","",IF(OR(J429&lt;&gt;"",K429&lt;&gt;""),"POSÉ EN LIGNE",IF(H429&lt;&gt;"","BARDÉ","EN STOCK")))</f>
        <v/>
      </c>
      <c r="N429" s="79"/>
    </row>
    <row r="430" customFormat="false" ht="15" hidden="false" customHeight="false" outlineLevel="0" collapsed="false">
      <c r="A430" s="78" t="str">
        <f aca="false">IF(B430="","",ROW()-6)</f>
        <v/>
      </c>
      <c r="B430" s="90"/>
      <c r="C430" s="91"/>
      <c r="D430" s="91"/>
      <c r="E430" s="80"/>
      <c r="F430" s="92"/>
      <c r="G430" s="79"/>
      <c r="H430" s="82"/>
      <c r="I430" s="93" t="str">
        <f aca="false">IF(B430="","",IFERROR(INDEX('CARNET DE SOUDURE'!$B$7:$B$1506,MATCH(B430,'CARNET DE SOUDURE'!$K$7:$K$1506,0)),IFERROR(INDEX('CARNET DE SOUDURE'!$B$7:$B$1506,MATCH(B430,'CARNET DE SOUDURE'!$M$7:$M$1506,0)),"")))</f>
        <v/>
      </c>
      <c r="J430" s="78" t="str">
        <f aca="false">IF(B430="","",IFERROR(INDEX('CARNET DE SOUDURE'!$E$7:$E$1506,MATCH(B430,'CARNET DE SOUDURE'!$M$7:$M$1506,0)),""))</f>
        <v/>
      </c>
      <c r="K430" s="78" t="str">
        <f aca="false">IF(B430="","",IFERROR(INDEX('CARNET DE SOUDURE'!$E$7:$E$1506,MATCH(B430,'CARNET DE SOUDURE'!$K$7:$K$1506,0)),""))</f>
        <v/>
      </c>
      <c r="L430" s="78" t="str">
        <f aca="false">IF(B430="","",IFERROR(INDEX('CARNET DE SOUDURE'!$D$7:$D$1506,MATCH(B430,'CARNET DE SOUDURE'!$K$7:$K$1506,0)),IFERROR(INDEX('CARNET DE SOUDURE'!$D$7:$D$1506,MATCH(B430,'CARNET DE SOUDURE'!$M$7:$M$1506,0)),"")))</f>
        <v/>
      </c>
      <c r="M430" s="81" t="str">
        <f aca="false">IF(B430="","",IF(OR(J430&lt;&gt;"",K430&lt;&gt;""),"POSÉ EN LIGNE",IF(H430&lt;&gt;"","BARDÉ","EN STOCK")))</f>
        <v/>
      </c>
      <c r="N430" s="79"/>
    </row>
    <row r="431" customFormat="false" ht="15" hidden="false" customHeight="false" outlineLevel="0" collapsed="false">
      <c r="A431" s="78" t="str">
        <f aca="false">IF(B431="","",ROW()-6)</f>
        <v/>
      </c>
      <c r="B431" s="90"/>
      <c r="C431" s="91"/>
      <c r="D431" s="91"/>
      <c r="E431" s="80"/>
      <c r="F431" s="92"/>
      <c r="G431" s="79"/>
      <c r="H431" s="82"/>
      <c r="I431" s="93" t="str">
        <f aca="false">IF(B431="","",IFERROR(INDEX('CARNET DE SOUDURE'!$B$7:$B$1506,MATCH(B431,'CARNET DE SOUDURE'!$K$7:$K$1506,0)),IFERROR(INDEX('CARNET DE SOUDURE'!$B$7:$B$1506,MATCH(B431,'CARNET DE SOUDURE'!$M$7:$M$1506,0)),"")))</f>
        <v/>
      </c>
      <c r="J431" s="78" t="str">
        <f aca="false">IF(B431="","",IFERROR(INDEX('CARNET DE SOUDURE'!$E$7:$E$1506,MATCH(B431,'CARNET DE SOUDURE'!$M$7:$M$1506,0)),""))</f>
        <v/>
      </c>
      <c r="K431" s="78" t="str">
        <f aca="false">IF(B431="","",IFERROR(INDEX('CARNET DE SOUDURE'!$E$7:$E$1506,MATCH(B431,'CARNET DE SOUDURE'!$K$7:$K$1506,0)),""))</f>
        <v/>
      </c>
      <c r="L431" s="78" t="str">
        <f aca="false">IF(B431="","",IFERROR(INDEX('CARNET DE SOUDURE'!$D$7:$D$1506,MATCH(B431,'CARNET DE SOUDURE'!$K$7:$K$1506,0)),IFERROR(INDEX('CARNET DE SOUDURE'!$D$7:$D$1506,MATCH(B431,'CARNET DE SOUDURE'!$M$7:$M$1506,0)),"")))</f>
        <v/>
      </c>
      <c r="M431" s="81" t="str">
        <f aca="false">IF(B431="","",IF(OR(J431&lt;&gt;"",K431&lt;&gt;""),"POSÉ EN LIGNE",IF(H431&lt;&gt;"","BARDÉ","EN STOCK")))</f>
        <v/>
      </c>
      <c r="N431" s="79"/>
    </row>
    <row r="432" customFormat="false" ht="15" hidden="false" customHeight="false" outlineLevel="0" collapsed="false">
      <c r="A432" s="78" t="str">
        <f aca="false">IF(B432="","",ROW()-6)</f>
        <v/>
      </c>
      <c r="B432" s="90"/>
      <c r="C432" s="91"/>
      <c r="D432" s="91"/>
      <c r="E432" s="80"/>
      <c r="F432" s="92"/>
      <c r="G432" s="79"/>
      <c r="H432" s="82"/>
      <c r="I432" s="93" t="str">
        <f aca="false">IF(B432="","",IFERROR(INDEX('CARNET DE SOUDURE'!$B$7:$B$1506,MATCH(B432,'CARNET DE SOUDURE'!$K$7:$K$1506,0)),IFERROR(INDEX('CARNET DE SOUDURE'!$B$7:$B$1506,MATCH(B432,'CARNET DE SOUDURE'!$M$7:$M$1506,0)),"")))</f>
        <v/>
      </c>
      <c r="J432" s="78" t="str">
        <f aca="false">IF(B432="","",IFERROR(INDEX('CARNET DE SOUDURE'!$E$7:$E$1506,MATCH(B432,'CARNET DE SOUDURE'!$M$7:$M$1506,0)),""))</f>
        <v/>
      </c>
      <c r="K432" s="78" t="str">
        <f aca="false">IF(B432="","",IFERROR(INDEX('CARNET DE SOUDURE'!$E$7:$E$1506,MATCH(B432,'CARNET DE SOUDURE'!$K$7:$K$1506,0)),""))</f>
        <v/>
      </c>
      <c r="L432" s="78" t="str">
        <f aca="false">IF(B432="","",IFERROR(INDEX('CARNET DE SOUDURE'!$D$7:$D$1506,MATCH(B432,'CARNET DE SOUDURE'!$K$7:$K$1506,0)),IFERROR(INDEX('CARNET DE SOUDURE'!$D$7:$D$1506,MATCH(B432,'CARNET DE SOUDURE'!$M$7:$M$1506,0)),"")))</f>
        <v/>
      </c>
      <c r="M432" s="81" t="str">
        <f aca="false">IF(B432="","",IF(OR(J432&lt;&gt;"",K432&lt;&gt;""),"POSÉ EN LIGNE",IF(H432&lt;&gt;"","BARDÉ","EN STOCK")))</f>
        <v/>
      </c>
      <c r="N432" s="79"/>
    </row>
    <row r="433" customFormat="false" ht="15" hidden="false" customHeight="false" outlineLevel="0" collapsed="false">
      <c r="A433" s="78" t="str">
        <f aca="false">IF(B433="","",ROW()-6)</f>
        <v/>
      </c>
      <c r="B433" s="90"/>
      <c r="C433" s="91"/>
      <c r="D433" s="91"/>
      <c r="E433" s="80"/>
      <c r="F433" s="92"/>
      <c r="G433" s="79"/>
      <c r="H433" s="82"/>
      <c r="I433" s="93" t="str">
        <f aca="false">IF(B433="","",IFERROR(INDEX('CARNET DE SOUDURE'!$B$7:$B$1506,MATCH(B433,'CARNET DE SOUDURE'!$K$7:$K$1506,0)),IFERROR(INDEX('CARNET DE SOUDURE'!$B$7:$B$1506,MATCH(B433,'CARNET DE SOUDURE'!$M$7:$M$1506,0)),"")))</f>
        <v/>
      </c>
      <c r="J433" s="78" t="str">
        <f aca="false">IF(B433="","",IFERROR(INDEX('CARNET DE SOUDURE'!$E$7:$E$1506,MATCH(B433,'CARNET DE SOUDURE'!$M$7:$M$1506,0)),""))</f>
        <v/>
      </c>
      <c r="K433" s="78" t="str">
        <f aca="false">IF(B433="","",IFERROR(INDEX('CARNET DE SOUDURE'!$E$7:$E$1506,MATCH(B433,'CARNET DE SOUDURE'!$K$7:$K$1506,0)),""))</f>
        <v/>
      </c>
      <c r="L433" s="78" t="str">
        <f aca="false">IF(B433="","",IFERROR(INDEX('CARNET DE SOUDURE'!$D$7:$D$1506,MATCH(B433,'CARNET DE SOUDURE'!$K$7:$K$1506,0)),IFERROR(INDEX('CARNET DE SOUDURE'!$D$7:$D$1506,MATCH(B433,'CARNET DE SOUDURE'!$M$7:$M$1506,0)),"")))</f>
        <v/>
      </c>
      <c r="M433" s="81" t="str">
        <f aca="false">IF(B433="","",IF(OR(J433&lt;&gt;"",K433&lt;&gt;""),"POSÉ EN LIGNE",IF(H433&lt;&gt;"","BARDÉ","EN STOCK")))</f>
        <v/>
      </c>
      <c r="N433" s="79"/>
    </row>
    <row r="434" customFormat="false" ht="15" hidden="false" customHeight="false" outlineLevel="0" collapsed="false">
      <c r="A434" s="78" t="str">
        <f aca="false">IF(B434="","",ROW()-6)</f>
        <v/>
      </c>
      <c r="B434" s="90"/>
      <c r="C434" s="91"/>
      <c r="D434" s="91"/>
      <c r="E434" s="80"/>
      <c r="F434" s="92"/>
      <c r="G434" s="79"/>
      <c r="H434" s="82"/>
      <c r="I434" s="93" t="str">
        <f aca="false">IF(B434="","",IFERROR(INDEX('CARNET DE SOUDURE'!$B$7:$B$1506,MATCH(B434,'CARNET DE SOUDURE'!$K$7:$K$1506,0)),IFERROR(INDEX('CARNET DE SOUDURE'!$B$7:$B$1506,MATCH(B434,'CARNET DE SOUDURE'!$M$7:$M$1506,0)),"")))</f>
        <v/>
      </c>
      <c r="J434" s="78" t="str">
        <f aca="false">IF(B434="","",IFERROR(INDEX('CARNET DE SOUDURE'!$E$7:$E$1506,MATCH(B434,'CARNET DE SOUDURE'!$M$7:$M$1506,0)),""))</f>
        <v/>
      </c>
      <c r="K434" s="78" t="str">
        <f aca="false">IF(B434="","",IFERROR(INDEX('CARNET DE SOUDURE'!$E$7:$E$1506,MATCH(B434,'CARNET DE SOUDURE'!$K$7:$K$1506,0)),""))</f>
        <v/>
      </c>
      <c r="L434" s="78" t="str">
        <f aca="false">IF(B434="","",IFERROR(INDEX('CARNET DE SOUDURE'!$D$7:$D$1506,MATCH(B434,'CARNET DE SOUDURE'!$K$7:$K$1506,0)),IFERROR(INDEX('CARNET DE SOUDURE'!$D$7:$D$1506,MATCH(B434,'CARNET DE SOUDURE'!$M$7:$M$1506,0)),"")))</f>
        <v/>
      </c>
      <c r="M434" s="81" t="str">
        <f aca="false">IF(B434="","",IF(OR(J434&lt;&gt;"",K434&lt;&gt;""),"POSÉ EN LIGNE",IF(H434&lt;&gt;"","BARDÉ","EN STOCK")))</f>
        <v/>
      </c>
      <c r="N434" s="79"/>
    </row>
    <row r="435" customFormat="false" ht="15" hidden="false" customHeight="false" outlineLevel="0" collapsed="false">
      <c r="A435" s="78" t="str">
        <f aca="false">IF(B435="","",ROW()-6)</f>
        <v/>
      </c>
      <c r="B435" s="90"/>
      <c r="C435" s="91"/>
      <c r="D435" s="91"/>
      <c r="E435" s="80"/>
      <c r="F435" s="92"/>
      <c r="G435" s="79"/>
      <c r="H435" s="82"/>
      <c r="I435" s="93" t="str">
        <f aca="false">IF(B435="","",IFERROR(INDEX('CARNET DE SOUDURE'!$B$7:$B$1506,MATCH(B435,'CARNET DE SOUDURE'!$K$7:$K$1506,0)),IFERROR(INDEX('CARNET DE SOUDURE'!$B$7:$B$1506,MATCH(B435,'CARNET DE SOUDURE'!$M$7:$M$1506,0)),"")))</f>
        <v/>
      </c>
      <c r="J435" s="78" t="str">
        <f aca="false">IF(B435="","",IFERROR(INDEX('CARNET DE SOUDURE'!$E$7:$E$1506,MATCH(B435,'CARNET DE SOUDURE'!$M$7:$M$1506,0)),""))</f>
        <v/>
      </c>
      <c r="K435" s="78" t="str">
        <f aca="false">IF(B435="","",IFERROR(INDEX('CARNET DE SOUDURE'!$E$7:$E$1506,MATCH(B435,'CARNET DE SOUDURE'!$K$7:$K$1506,0)),""))</f>
        <v/>
      </c>
      <c r="L435" s="78" t="str">
        <f aca="false">IF(B435="","",IFERROR(INDEX('CARNET DE SOUDURE'!$D$7:$D$1506,MATCH(B435,'CARNET DE SOUDURE'!$K$7:$K$1506,0)),IFERROR(INDEX('CARNET DE SOUDURE'!$D$7:$D$1506,MATCH(B435,'CARNET DE SOUDURE'!$M$7:$M$1506,0)),"")))</f>
        <v/>
      </c>
      <c r="M435" s="81" t="str">
        <f aca="false">IF(B435="","",IF(OR(J435&lt;&gt;"",K435&lt;&gt;""),"POSÉ EN LIGNE",IF(H435&lt;&gt;"","BARDÉ","EN STOCK")))</f>
        <v/>
      </c>
      <c r="N435" s="79"/>
    </row>
    <row r="436" customFormat="false" ht="15" hidden="false" customHeight="false" outlineLevel="0" collapsed="false">
      <c r="A436" s="78" t="str">
        <f aca="false">IF(B436="","",ROW()-6)</f>
        <v/>
      </c>
      <c r="B436" s="90"/>
      <c r="C436" s="91"/>
      <c r="D436" s="91"/>
      <c r="E436" s="80"/>
      <c r="F436" s="92"/>
      <c r="G436" s="79"/>
      <c r="H436" s="82"/>
      <c r="I436" s="93" t="str">
        <f aca="false">IF(B436="","",IFERROR(INDEX('CARNET DE SOUDURE'!$B$7:$B$1506,MATCH(B436,'CARNET DE SOUDURE'!$K$7:$K$1506,0)),IFERROR(INDEX('CARNET DE SOUDURE'!$B$7:$B$1506,MATCH(B436,'CARNET DE SOUDURE'!$M$7:$M$1506,0)),"")))</f>
        <v/>
      </c>
      <c r="J436" s="78" t="str">
        <f aca="false">IF(B436="","",IFERROR(INDEX('CARNET DE SOUDURE'!$E$7:$E$1506,MATCH(B436,'CARNET DE SOUDURE'!$M$7:$M$1506,0)),""))</f>
        <v/>
      </c>
      <c r="K436" s="78" t="str">
        <f aca="false">IF(B436="","",IFERROR(INDEX('CARNET DE SOUDURE'!$E$7:$E$1506,MATCH(B436,'CARNET DE SOUDURE'!$K$7:$K$1506,0)),""))</f>
        <v/>
      </c>
      <c r="L436" s="78" t="str">
        <f aca="false">IF(B436="","",IFERROR(INDEX('CARNET DE SOUDURE'!$D$7:$D$1506,MATCH(B436,'CARNET DE SOUDURE'!$K$7:$K$1506,0)),IFERROR(INDEX('CARNET DE SOUDURE'!$D$7:$D$1506,MATCH(B436,'CARNET DE SOUDURE'!$M$7:$M$1506,0)),"")))</f>
        <v/>
      </c>
      <c r="M436" s="81" t="str">
        <f aca="false">IF(B436="","",IF(OR(J436&lt;&gt;"",K436&lt;&gt;""),"POSÉ EN LIGNE",IF(H436&lt;&gt;"","BARDÉ","EN STOCK")))</f>
        <v/>
      </c>
      <c r="N436" s="79"/>
    </row>
    <row r="437" customFormat="false" ht="15" hidden="false" customHeight="false" outlineLevel="0" collapsed="false">
      <c r="A437" s="78" t="str">
        <f aca="false">IF(B437="","",ROW()-6)</f>
        <v/>
      </c>
      <c r="B437" s="90"/>
      <c r="C437" s="91"/>
      <c r="D437" s="91"/>
      <c r="E437" s="80"/>
      <c r="F437" s="92"/>
      <c r="G437" s="79"/>
      <c r="H437" s="82"/>
      <c r="I437" s="93" t="str">
        <f aca="false">IF(B437="","",IFERROR(INDEX('CARNET DE SOUDURE'!$B$7:$B$1506,MATCH(B437,'CARNET DE SOUDURE'!$K$7:$K$1506,0)),IFERROR(INDEX('CARNET DE SOUDURE'!$B$7:$B$1506,MATCH(B437,'CARNET DE SOUDURE'!$M$7:$M$1506,0)),"")))</f>
        <v/>
      </c>
      <c r="J437" s="78" t="str">
        <f aca="false">IF(B437="","",IFERROR(INDEX('CARNET DE SOUDURE'!$E$7:$E$1506,MATCH(B437,'CARNET DE SOUDURE'!$M$7:$M$1506,0)),""))</f>
        <v/>
      </c>
      <c r="K437" s="78" t="str">
        <f aca="false">IF(B437="","",IFERROR(INDEX('CARNET DE SOUDURE'!$E$7:$E$1506,MATCH(B437,'CARNET DE SOUDURE'!$K$7:$K$1506,0)),""))</f>
        <v/>
      </c>
      <c r="L437" s="78" t="str">
        <f aca="false">IF(B437="","",IFERROR(INDEX('CARNET DE SOUDURE'!$D$7:$D$1506,MATCH(B437,'CARNET DE SOUDURE'!$K$7:$K$1506,0)),IFERROR(INDEX('CARNET DE SOUDURE'!$D$7:$D$1506,MATCH(B437,'CARNET DE SOUDURE'!$M$7:$M$1506,0)),"")))</f>
        <v/>
      </c>
      <c r="M437" s="81" t="str">
        <f aca="false">IF(B437="","",IF(OR(J437&lt;&gt;"",K437&lt;&gt;""),"POSÉ EN LIGNE",IF(H437&lt;&gt;"","BARDÉ","EN STOCK")))</f>
        <v/>
      </c>
      <c r="N437" s="79"/>
    </row>
    <row r="438" customFormat="false" ht="15" hidden="false" customHeight="false" outlineLevel="0" collapsed="false">
      <c r="A438" s="78" t="str">
        <f aca="false">IF(B438="","",ROW()-6)</f>
        <v/>
      </c>
      <c r="B438" s="90"/>
      <c r="C438" s="91"/>
      <c r="D438" s="91"/>
      <c r="E438" s="80"/>
      <c r="F438" s="92"/>
      <c r="G438" s="79"/>
      <c r="H438" s="82"/>
      <c r="I438" s="93" t="str">
        <f aca="false">IF(B438="","",IFERROR(INDEX('CARNET DE SOUDURE'!$B$7:$B$1506,MATCH(B438,'CARNET DE SOUDURE'!$K$7:$K$1506,0)),IFERROR(INDEX('CARNET DE SOUDURE'!$B$7:$B$1506,MATCH(B438,'CARNET DE SOUDURE'!$M$7:$M$1506,0)),"")))</f>
        <v/>
      </c>
      <c r="J438" s="78" t="str">
        <f aca="false">IF(B438="","",IFERROR(INDEX('CARNET DE SOUDURE'!$E$7:$E$1506,MATCH(B438,'CARNET DE SOUDURE'!$M$7:$M$1506,0)),""))</f>
        <v/>
      </c>
      <c r="K438" s="78" t="str">
        <f aca="false">IF(B438="","",IFERROR(INDEX('CARNET DE SOUDURE'!$E$7:$E$1506,MATCH(B438,'CARNET DE SOUDURE'!$K$7:$K$1506,0)),""))</f>
        <v/>
      </c>
      <c r="L438" s="78" t="str">
        <f aca="false">IF(B438="","",IFERROR(INDEX('CARNET DE SOUDURE'!$D$7:$D$1506,MATCH(B438,'CARNET DE SOUDURE'!$K$7:$K$1506,0)),IFERROR(INDEX('CARNET DE SOUDURE'!$D$7:$D$1506,MATCH(B438,'CARNET DE SOUDURE'!$M$7:$M$1506,0)),"")))</f>
        <v/>
      </c>
      <c r="M438" s="81" t="str">
        <f aca="false">IF(B438="","",IF(OR(J438&lt;&gt;"",K438&lt;&gt;""),"POSÉ EN LIGNE",IF(H438&lt;&gt;"","BARDÉ","EN STOCK")))</f>
        <v/>
      </c>
      <c r="N438" s="79"/>
    </row>
    <row r="439" customFormat="false" ht="15" hidden="false" customHeight="false" outlineLevel="0" collapsed="false">
      <c r="A439" s="78" t="str">
        <f aca="false">IF(B439="","",ROW()-6)</f>
        <v/>
      </c>
      <c r="B439" s="90"/>
      <c r="C439" s="91"/>
      <c r="D439" s="91"/>
      <c r="E439" s="80"/>
      <c r="F439" s="92"/>
      <c r="G439" s="79"/>
      <c r="H439" s="82"/>
      <c r="I439" s="93" t="str">
        <f aca="false">IF(B439="","",IFERROR(INDEX('CARNET DE SOUDURE'!$B$7:$B$1506,MATCH(B439,'CARNET DE SOUDURE'!$K$7:$K$1506,0)),IFERROR(INDEX('CARNET DE SOUDURE'!$B$7:$B$1506,MATCH(B439,'CARNET DE SOUDURE'!$M$7:$M$1506,0)),"")))</f>
        <v/>
      </c>
      <c r="J439" s="78" t="str">
        <f aca="false">IF(B439="","",IFERROR(INDEX('CARNET DE SOUDURE'!$E$7:$E$1506,MATCH(B439,'CARNET DE SOUDURE'!$M$7:$M$1506,0)),""))</f>
        <v/>
      </c>
      <c r="K439" s="78" t="str">
        <f aca="false">IF(B439="","",IFERROR(INDEX('CARNET DE SOUDURE'!$E$7:$E$1506,MATCH(B439,'CARNET DE SOUDURE'!$K$7:$K$1506,0)),""))</f>
        <v/>
      </c>
      <c r="L439" s="78" t="str">
        <f aca="false">IF(B439="","",IFERROR(INDEX('CARNET DE SOUDURE'!$D$7:$D$1506,MATCH(B439,'CARNET DE SOUDURE'!$K$7:$K$1506,0)),IFERROR(INDEX('CARNET DE SOUDURE'!$D$7:$D$1506,MATCH(B439,'CARNET DE SOUDURE'!$M$7:$M$1506,0)),"")))</f>
        <v/>
      </c>
      <c r="M439" s="81" t="str">
        <f aca="false">IF(B439="","",IF(OR(J439&lt;&gt;"",K439&lt;&gt;""),"POSÉ EN LIGNE",IF(H439&lt;&gt;"","BARDÉ","EN STOCK")))</f>
        <v/>
      </c>
      <c r="N439" s="79"/>
    </row>
    <row r="440" customFormat="false" ht="15" hidden="false" customHeight="false" outlineLevel="0" collapsed="false">
      <c r="A440" s="78" t="str">
        <f aca="false">IF(B440="","",ROW()-6)</f>
        <v/>
      </c>
      <c r="B440" s="90"/>
      <c r="C440" s="91"/>
      <c r="D440" s="91"/>
      <c r="E440" s="80"/>
      <c r="F440" s="92"/>
      <c r="G440" s="79"/>
      <c r="H440" s="82"/>
      <c r="I440" s="93" t="str">
        <f aca="false">IF(B440="","",IFERROR(INDEX('CARNET DE SOUDURE'!$B$7:$B$1506,MATCH(B440,'CARNET DE SOUDURE'!$K$7:$K$1506,0)),IFERROR(INDEX('CARNET DE SOUDURE'!$B$7:$B$1506,MATCH(B440,'CARNET DE SOUDURE'!$M$7:$M$1506,0)),"")))</f>
        <v/>
      </c>
      <c r="J440" s="78" t="str">
        <f aca="false">IF(B440="","",IFERROR(INDEX('CARNET DE SOUDURE'!$E$7:$E$1506,MATCH(B440,'CARNET DE SOUDURE'!$M$7:$M$1506,0)),""))</f>
        <v/>
      </c>
      <c r="K440" s="78" t="str">
        <f aca="false">IF(B440="","",IFERROR(INDEX('CARNET DE SOUDURE'!$E$7:$E$1506,MATCH(B440,'CARNET DE SOUDURE'!$K$7:$K$1506,0)),""))</f>
        <v/>
      </c>
      <c r="L440" s="78" t="str">
        <f aca="false">IF(B440="","",IFERROR(INDEX('CARNET DE SOUDURE'!$D$7:$D$1506,MATCH(B440,'CARNET DE SOUDURE'!$K$7:$K$1506,0)),IFERROR(INDEX('CARNET DE SOUDURE'!$D$7:$D$1506,MATCH(B440,'CARNET DE SOUDURE'!$M$7:$M$1506,0)),"")))</f>
        <v/>
      </c>
      <c r="M440" s="81" t="str">
        <f aca="false">IF(B440="","",IF(OR(J440&lt;&gt;"",K440&lt;&gt;""),"POSÉ EN LIGNE",IF(H440&lt;&gt;"","BARDÉ","EN STOCK")))</f>
        <v/>
      </c>
      <c r="N440" s="79"/>
    </row>
    <row r="441" customFormat="false" ht="15" hidden="false" customHeight="false" outlineLevel="0" collapsed="false">
      <c r="A441" s="78" t="str">
        <f aca="false">IF(B441="","",ROW()-6)</f>
        <v/>
      </c>
      <c r="B441" s="90"/>
      <c r="C441" s="91"/>
      <c r="D441" s="91"/>
      <c r="E441" s="80"/>
      <c r="F441" s="92"/>
      <c r="G441" s="79"/>
      <c r="H441" s="82"/>
      <c r="I441" s="93" t="str">
        <f aca="false">IF(B441="","",IFERROR(INDEX('CARNET DE SOUDURE'!$B$7:$B$1506,MATCH(B441,'CARNET DE SOUDURE'!$K$7:$K$1506,0)),IFERROR(INDEX('CARNET DE SOUDURE'!$B$7:$B$1506,MATCH(B441,'CARNET DE SOUDURE'!$M$7:$M$1506,0)),"")))</f>
        <v/>
      </c>
      <c r="J441" s="78" t="str">
        <f aca="false">IF(B441="","",IFERROR(INDEX('CARNET DE SOUDURE'!$E$7:$E$1506,MATCH(B441,'CARNET DE SOUDURE'!$M$7:$M$1506,0)),""))</f>
        <v/>
      </c>
      <c r="K441" s="78" t="str">
        <f aca="false">IF(B441="","",IFERROR(INDEX('CARNET DE SOUDURE'!$E$7:$E$1506,MATCH(B441,'CARNET DE SOUDURE'!$K$7:$K$1506,0)),""))</f>
        <v/>
      </c>
      <c r="L441" s="78" t="str">
        <f aca="false">IF(B441="","",IFERROR(INDEX('CARNET DE SOUDURE'!$D$7:$D$1506,MATCH(B441,'CARNET DE SOUDURE'!$K$7:$K$1506,0)),IFERROR(INDEX('CARNET DE SOUDURE'!$D$7:$D$1506,MATCH(B441,'CARNET DE SOUDURE'!$M$7:$M$1506,0)),"")))</f>
        <v/>
      </c>
      <c r="M441" s="81" t="str">
        <f aca="false">IF(B441="","",IF(OR(J441&lt;&gt;"",K441&lt;&gt;""),"POSÉ EN LIGNE",IF(H441&lt;&gt;"","BARDÉ","EN STOCK")))</f>
        <v/>
      </c>
      <c r="N441" s="79"/>
    </row>
    <row r="442" customFormat="false" ht="15" hidden="false" customHeight="false" outlineLevel="0" collapsed="false">
      <c r="A442" s="78" t="str">
        <f aca="false">IF(B442="","",ROW()-6)</f>
        <v/>
      </c>
      <c r="B442" s="90"/>
      <c r="C442" s="91"/>
      <c r="D442" s="91"/>
      <c r="E442" s="80"/>
      <c r="F442" s="92"/>
      <c r="G442" s="79"/>
      <c r="H442" s="82"/>
      <c r="I442" s="93" t="str">
        <f aca="false">IF(B442="","",IFERROR(INDEX('CARNET DE SOUDURE'!$B$7:$B$1506,MATCH(B442,'CARNET DE SOUDURE'!$K$7:$K$1506,0)),IFERROR(INDEX('CARNET DE SOUDURE'!$B$7:$B$1506,MATCH(B442,'CARNET DE SOUDURE'!$M$7:$M$1506,0)),"")))</f>
        <v/>
      </c>
      <c r="J442" s="78" t="str">
        <f aca="false">IF(B442="","",IFERROR(INDEX('CARNET DE SOUDURE'!$E$7:$E$1506,MATCH(B442,'CARNET DE SOUDURE'!$M$7:$M$1506,0)),""))</f>
        <v/>
      </c>
      <c r="K442" s="78" t="str">
        <f aca="false">IF(B442="","",IFERROR(INDEX('CARNET DE SOUDURE'!$E$7:$E$1506,MATCH(B442,'CARNET DE SOUDURE'!$K$7:$K$1506,0)),""))</f>
        <v/>
      </c>
      <c r="L442" s="78" t="str">
        <f aca="false">IF(B442="","",IFERROR(INDEX('CARNET DE SOUDURE'!$D$7:$D$1506,MATCH(B442,'CARNET DE SOUDURE'!$K$7:$K$1506,0)),IFERROR(INDEX('CARNET DE SOUDURE'!$D$7:$D$1506,MATCH(B442,'CARNET DE SOUDURE'!$M$7:$M$1506,0)),"")))</f>
        <v/>
      </c>
      <c r="M442" s="81" t="str">
        <f aca="false">IF(B442="","",IF(OR(J442&lt;&gt;"",K442&lt;&gt;""),"POSÉ EN LIGNE",IF(H442&lt;&gt;"","BARDÉ","EN STOCK")))</f>
        <v/>
      </c>
      <c r="N442" s="79"/>
    </row>
    <row r="443" customFormat="false" ht="15" hidden="false" customHeight="false" outlineLevel="0" collapsed="false">
      <c r="A443" s="78" t="str">
        <f aca="false">IF(B443="","",ROW()-6)</f>
        <v/>
      </c>
      <c r="B443" s="90"/>
      <c r="C443" s="91"/>
      <c r="D443" s="91"/>
      <c r="E443" s="80"/>
      <c r="F443" s="92"/>
      <c r="G443" s="79"/>
      <c r="H443" s="82"/>
      <c r="I443" s="93" t="str">
        <f aca="false">IF(B443="","",IFERROR(INDEX('CARNET DE SOUDURE'!$B$7:$B$1506,MATCH(B443,'CARNET DE SOUDURE'!$K$7:$K$1506,0)),IFERROR(INDEX('CARNET DE SOUDURE'!$B$7:$B$1506,MATCH(B443,'CARNET DE SOUDURE'!$M$7:$M$1506,0)),"")))</f>
        <v/>
      </c>
      <c r="J443" s="78" t="str">
        <f aca="false">IF(B443="","",IFERROR(INDEX('CARNET DE SOUDURE'!$E$7:$E$1506,MATCH(B443,'CARNET DE SOUDURE'!$M$7:$M$1506,0)),""))</f>
        <v/>
      </c>
      <c r="K443" s="78" t="str">
        <f aca="false">IF(B443="","",IFERROR(INDEX('CARNET DE SOUDURE'!$E$7:$E$1506,MATCH(B443,'CARNET DE SOUDURE'!$K$7:$K$1506,0)),""))</f>
        <v/>
      </c>
      <c r="L443" s="78" t="str">
        <f aca="false">IF(B443="","",IFERROR(INDEX('CARNET DE SOUDURE'!$D$7:$D$1506,MATCH(B443,'CARNET DE SOUDURE'!$K$7:$K$1506,0)),IFERROR(INDEX('CARNET DE SOUDURE'!$D$7:$D$1506,MATCH(B443,'CARNET DE SOUDURE'!$M$7:$M$1506,0)),"")))</f>
        <v/>
      </c>
      <c r="M443" s="81" t="str">
        <f aca="false">IF(B443="","",IF(OR(J443&lt;&gt;"",K443&lt;&gt;""),"POSÉ EN LIGNE",IF(H443&lt;&gt;"","BARDÉ","EN STOCK")))</f>
        <v/>
      </c>
      <c r="N443" s="79"/>
    </row>
    <row r="444" customFormat="false" ht="15" hidden="false" customHeight="false" outlineLevel="0" collapsed="false">
      <c r="A444" s="78" t="str">
        <f aca="false">IF(B444="","",ROW()-6)</f>
        <v/>
      </c>
      <c r="B444" s="90"/>
      <c r="C444" s="91"/>
      <c r="D444" s="91"/>
      <c r="E444" s="80"/>
      <c r="F444" s="92"/>
      <c r="G444" s="79"/>
      <c r="H444" s="82"/>
      <c r="I444" s="93" t="str">
        <f aca="false">IF(B444="","",IFERROR(INDEX('CARNET DE SOUDURE'!$B$7:$B$1506,MATCH(B444,'CARNET DE SOUDURE'!$K$7:$K$1506,0)),IFERROR(INDEX('CARNET DE SOUDURE'!$B$7:$B$1506,MATCH(B444,'CARNET DE SOUDURE'!$M$7:$M$1506,0)),"")))</f>
        <v/>
      </c>
      <c r="J444" s="78" t="str">
        <f aca="false">IF(B444="","",IFERROR(INDEX('CARNET DE SOUDURE'!$E$7:$E$1506,MATCH(B444,'CARNET DE SOUDURE'!$M$7:$M$1506,0)),""))</f>
        <v/>
      </c>
      <c r="K444" s="78" t="str">
        <f aca="false">IF(B444="","",IFERROR(INDEX('CARNET DE SOUDURE'!$E$7:$E$1506,MATCH(B444,'CARNET DE SOUDURE'!$K$7:$K$1506,0)),""))</f>
        <v/>
      </c>
      <c r="L444" s="78" t="str">
        <f aca="false">IF(B444="","",IFERROR(INDEX('CARNET DE SOUDURE'!$D$7:$D$1506,MATCH(B444,'CARNET DE SOUDURE'!$K$7:$K$1506,0)),IFERROR(INDEX('CARNET DE SOUDURE'!$D$7:$D$1506,MATCH(B444,'CARNET DE SOUDURE'!$M$7:$M$1506,0)),"")))</f>
        <v/>
      </c>
      <c r="M444" s="81" t="str">
        <f aca="false">IF(B444="","",IF(OR(J444&lt;&gt;"",K444&lt;&gt;""),"POSÉ EN LIGNE",IF(H444&lt;&gt;"","BARDÉ","EN STOCK")))</f>
        <v/>
      </c>
      <c r="N444" s="79"/>
    </row>
    <row r="445" customFormat="false" ht="15" hidden="false" customHeight="false" outlineLevel="0" collapsed="false">
      <c r="A445" s="78" t="str">
        <f aca="false">IF(B445="","",ROW()-6)</f>
        <v/>
      </c>
      <c r="B445" s="90"/>
      <c r="C445" s="91"/>
      <c r="D445" s="91"/>
      <c r="E445" s="80"/>
      <c r="F445" s="92"/>
      <c r="G445" s="79"/>
      <c r="H445" s="82"/>
      <c r="I445" s="93" t="str">
        <f aca="false">IF(B445="","",IFERROR(INDEX('CARNET DE SOUDURE'!$B$7:$B$1506,MATCH(B445,'CARNET DE SOUDURE'!$K$7:$K$1506,0)),IFERROR(INDEX('CARNET DE SOUDURE'!$B$7:$B$1506,MATCH(B445,'CARNET DE SOUDURE'!$M$7:$M$1506,0)),"")))</f>
        <v/>
      </c>
      <c r="J445" s="78" t="str">
        <f aca="false">IF(B445="","",IFERROR(INDEX('CARNET DE SOUDURE'!$E$7:$E$1506,MATCH(B445,'CARNET DE SOUDURE'!$M$7:$M$1506,0)),""))</f>
        <v/>
      </c>
      <c r="K445" s="78" t="str">
        <f aca="false">IF(B445="","",IFERROR(INDEX('CARNET DE SOUDURE'!$E$7:$E$1506,MATCH(B445,'CARNET DE SOUDURE'!$K$7:$K$1506,0)),""))</f>
        <v/>
      </c>
      <c r="L445" s="78" t="str">
        <f aca="false">IF(B445="","",IFERROR(INDEX('CARNET DE SOUDURE'!$D$7:$D$1506,MATCH(B445,'CARNET DE SOUDURE'!$K$7:$K$1506,0)),IFERROR(INDEX('CARNET DE SOUDURE'!$D$7:$D$1506,MATCH(B445,'CARNET DE SOUDURE'!$M$7:$M$1506,0)),"")))</f>
        <v/>
      </c>
      <c r="M445" s="81" t="str">
        <f aca="false">IF(B445="","",IF(OR(J445&lt;&gt;"",K445&lt;&gt;""),"POSÉ EN LIGNE",IF(H445&lt;&gt;"","BARDÉ","EN STOCK")))</f>
        <v/>
      </c>
      <c r="N445" s="79"/>
    </row>
    <row r="446" customFormat="false" ht="15" hidden="false" customHeight="false" outlineLevel="0" collapsed="false">
      <c r="A446" s="78" t="str">
        <f aca="false">IF(B446="","",ROW()-6)</f>
        <v/>
      </c>
      <c r="B446" s="90"/>
      <c r="C446" s="91"/>
      <c r="D446" s="91"/>
      <c r="E446" s="80"/>
      <c r="F446" s="92"/>
      <c r="G446" s="79"/>
      <c r="H446" s="82"/>
      <c r="I446" s="93" t="str">
        <f aca="false">IF(B446="","",IFERROR(INDEX('CARNET DE SOUDURE'!$B$7:$B$1506,MATCH(B446,'CARNET DE SOUDURE'!$K$7:$K$1506,0)),IFERROR(INDEX('CARNET DE SOUDURE'!$B$7:$B$1506,MATCH(B446,'CARNET DE SOUDURE'!$M$7:$M$1506,0)),"")))</f>
        <v/>
      </c>
      <c r="J446" s="78" t="str">
        <f aca="false">IF(B446="","",IFERROR(INDEX('CARNET DE SOUDURE'!$E$7:$E$1506,MATCH(B446,'CARNET DE SOUDURE'!$M$7:$M$1506,0)),""))</f>
        <v/>
      </c>
      <c r="K446" s="78" t="str">
        <f aca="false">IF(B446="","",IFERROR(INDEX('CARNET DE SOUDURE'!$E$7:$E$1506,MATCH(B446,'CARNET DE SOUDURE'!$K$7:$K$1506,0)),""))</f>
        <v/>
      </c>
      <c r="L446" s="78" t="str">
        <f aca="false">IF(B446="","",IFERROR(INDEX('CARNET DE SOUDURE'!$D$7:$D$1506,MATCH(B446,'CARNET DE SOUDURE'!$K$7:$K$1506,0)),IFERROR(INDEX('CARNET DE SOUDURE'!$D$7:$D$1506,MATCH(B446,'CARNET DE SOUDURE'!$M$7:$M$1506,0)),"")))</f>
        <v/>
      </c>
      <c r="M446" s="81" t="str">
        <f aca="false">IF(B446="","",IF(OR(J446&lt;&gt;"",K446&lt;&gt;""),"POSÉ EN LIGNE",IF(H446&lt;&gt;"","BARDÉ","EN STOCK")))</f>
        <v/>
      </c>
      <c r="N446" s="79"/>
    </row>
    <row r="447" customFormat="false" ht="15" hidden="false" customHeight="false" outlineLevel="0" collapsed="false">
      <c r="A447" s="78" t="str">
        <f aca="false">IF(B447="","",ROW()-6)</f>
        <v/>
      </c>
      <c r="B447" s="90"/>
      <c r="C447" s="91"/>
      <c r="D447" s="91"/>
      <c r="E447" s="80"/>
      <c r="F447" s="92"/>
      <c r="G447" s="79"/>
      <c r="H447" s="82"/>
      <c r="I447" s="93" t="str">
        <f aca="false">IF(B447="","",IFERROR(INDEX('CARNET DE SOUDURE'!$B$7:$B$1506,MATCH(B447,'CARNET DE SOUDURE'!$K$7:$K$1506,0)),IFERROR(INDEX('CARNET DE SOUDURE'!$B$7:$B$1506,MATCH(B447,'CARNET DE SOUDURE'!$M$7:$M$1506,0)),"")))</f>
        <v/>
      </c>
      <c r="J447" s="78" t="str">
        <f aca="false">IF(B447="","",IFERROR(INDEX('CARNET DE SOUDURE'!$E$7:$E$1506,MATCH(B447,'CARNET DE SOUDURE'!$M$7:$M$1506,0)),""))</f>
        <v/>
      </c>
      <c r="K447" s="78" t="str">
        <f aca="false">IF(B447="","",IFERROR(INDEX('CARNET DE SOUDURE'!$E$7:$E$1506,MATCH(B447,'CARNET DE SOUDURE'!$K$7:$K$1506,0)),""))</f>
        <v/>
      </c>
      <c r="L447" s="78" t="str">
        <f aca="false">IF(B447="","",IFERROR(INDEX('CARNET DE SOUDURE'!$D$7:$D$1506,MATCH(B447,'CARNET DE SOUDURE'!$K$7:$K$1506,0)),IFERROR(INDEX('CARNET DE SOUDURE'!$D$7:$D$1506,MATCH(B447,'CARNET DE SOUDURE'!$M$7:$M$1506,0)),"")))</f>
        <v/>
      </c>
      <c r="M447" s="81" t="str">
        <f aca="false">IF(B447="","",IF(OR(J447&lt;&gt;"",K447&lt;&gt;""),"POSÉ EN LIGNE",IF(H447&lt;&gt;"","BARDÉ","EN STOCK")))</f>
        <v/>
      </c>
      <c r="N447" s="79"/>
    </row>
    <row r="448" customFormat="false" ht="15" hidden="false" customHeight="false" outlineLevel="0" collapsed="false">
      <c r="A448" s="78" t="str">
        <f aca="false">IF(B448="","",ROW()-6)</f>
        <v/>
      </c>
      <c r="B448" s="90"/>
      <c r="C448" s="91"/>
      <c r="D448" s="91"/>
      <c r="E448" s="80"/>
      <c r="F448" s="92"/>
      <c r="G448" s="79"/>
      <c r="H448" s="82"/>
      <c r="I448" s="93" t="str">
        <f aca="false">IF(B448="","",IFERROR(INDEX('CARNET DE SOUDURE'!$B$7:$B$1506,MATCH(B448,'CARNET DE SOUDURE'!$K$7:$K$1506,0)),IFERROR(INDEX('CARNET DE SOUDURE'!$B$7:$B$1506,MATCH(B448,'CARNET DE SOUDURE'!$M$7:$M$1506,0)),"")))</f>
        <v/>
      </c>
      <c r="J448" s="78" t="str">
        <f aca="false">IF(B448="","",IFERROR(INDEX('CARNET DE SOUDURE'!$E$7:$E$1506,MATCH(B448,'CARNET DE SOUDURE'!$M$7:$M$1506,0)),""))</f>
        <v/>
      </c>
      <c r="K448" s="78" t="str">
        <f aca="false">IF(B448="","",IFERROR(INDEX('CARNET DE SOUDURE'!$E$7:$E$1506,MATCH(B448,'CARNET DE SOUDURE'!$K$7:$K$1506,0)),""))</f>
        <v/>
      </c>
      <c r="L448" s="78" t="str">
        <f aca="false">IF(B448="","",IFERROR(INDEX('CARNET DE SOUDURE'!$D$7:$D$1506,MATCH(B448,'CARNET DE SOUDURE'!$K$7:$K$1506,0)),IFERROR(INDEX('CARNET DE SOUDURE'!$D$7:$D$1506,MATCH(B448,'CARNET DE SOUDURE'!$M$7:$M$1506,0)),"")))</f>
        <v/>
      </c>
      <c r="M448" s="81" t="str">
        <f aca="false">IF(B448="","",IF(OR(J448&lt;&gt;"",K448&lt;&gt;""),"POSÉ EN LIGNE",IF(H448&lt;&gt;"","BARDÉ","EN STOCK")))</f>
        <v/>
      </c>
      <c r="N448" s="79"/>
    </row>
    <row r="449" customFormat="false" ht="15" hidden="false" customHeight="false" outlineLevel="0" collapsed="false">
      <c r="A449" s="78" t="str">
        <f aca="false">IF(B449="","",ROW()-6)</f>
        <v/>
      </c>
      <c r="B449" s="90"/>
      <c r="C449" s="91"/>
      <c r="D449" s="91"/>
      <c r="E449" s="80"/>
      <c r="F449" s="92"/>
      <c r="G449" s="79"/>
      <c r="H449" s="82"/>
      <c r="I449" s="93" t="str">
        <f aca="false">IF(B449="","",IFERROR(INDEX('CARNET DE SOUDURE'!$B$7:$B$1506,MATCH(B449,'CARNET DE SOUDURE'!$K$7:$K$1506,0)),IFERROR(INDEX('CARNET DE SOUDURE'!$B$7:$B$1506,MATCH(B449,'CARNET DE SOUDURE'!$M$7:$M$1506,0)),"")))</f>
        <v/>
      </c>
      <c r="J449" s="78" t="str">
        <f aca="false">IF(B449="","",IFERROR(INDEX('CARNET DE SOUDURE'!$E$7:$E$1506,MATCH(B449,'CARNET DE SOUDURE'!$M$7:$M$1506,0)),""))</f>
        <v/>
      </c>
      <c r="K449" s="78" t="str">
        <f aca="false">IF(B449="","",IFERROR(INDEX('CARNET DE SOUDURE'!$E$7:$E$1506,MATCH(B449,'CARNET DE SOUDURE'!$K$7:$K$1506,0)),""))</f>
        <v/>
      </c>
      <c r="L449" s="78" t="str">
        <f aca="false">IF(B449="","",IFERROR(INDEX('CARNET DE SOUDURE'!$D$7:$D$1506,MATCH(B449,'CARNET DE SOUDURE'!$K$7:$K$1506,0)),IFERROR(INDEX('CARNET DE SOUDURE'!$D$7:$D$1506,MATCH(B449,'CARNET DE SOUDURE'!$M$7:$M$1506,0)),"")))</f>
        <v/>
      </c>
      <c r="M449" s="81" t="str">
        <f aca="false">IF(B449="","",IF(OR(J449&lt;&gt;"",K449&lt;&gt;""),"POSÉ EN LIGNE",IF(H449&lt;&gt;"","BARDÉ","EN STOCK")))</f>
        <v/>
      </c>
      <c r="N449" s="79"/>
    </row>
    <row r="450" customFormat="false" ht="15" hidden="false" customHeight="false" outlineLevel="0" collapsed="false">
      <c r="A450" s="78" t="str">
        <f aca="false">IF(B450="","",ROW()-6)</f>
        <v/>
      </c>
      <c r="B450" s="90"/>
      <c r="C450" s="91"/>
      <c r="D450" s="91"/>
      <c r="E450" s="80"/>
      <c r="F450" s="92"/>
      <c r="G450" s="79"/>
      <c r="H450" s="82"/>
      <c r="I450" s="93" t="str">
        <f aca="false">IF(B450="","",IFERROR(INDEX('CARNET DE SOUDURE'!$B$7:$B$1506,MATCH(B450,'CARNET DE SOUDURE'!$K$7:$K$1506,0)),IFERROR(INDEX('CARNET DE SOUDURE'!$B$7:$B$1506,MATCH(B450,'CARNET DE SOUDURE'!$M$7:$M$1506,0)),"")))</f>
        <v/>
      </c>
      <c r="J450" s="78" t="str">
        <f aca="false">IF(B450="","",IFERROR(INDEX('CARNET DE SOUDURE'!$E$7:$E$1506,MATCH(B450,'CARNET DE SOUDURE'!$M$7:$M$1506,0)),""))</f>
        <v/>
      </c>
      <c r="K450" s="78" t="str">
        <f aca="false">IF(B450="","",IFERROR(INDEX('CARNET DE SOUDURE'!$E$7:$E$1506,MATCH(B450,'CARNET DE SOUDURE'!$K$7:$K$1506,0)),""))</f>
        <v/>
      </c>
      <c r="L450" s="78" t="str">
        <f aca="false">IF(B450="","",IFERROR(INDEX('CARNET DE SOUDURE'!$D$7:$D$1506,MATCH(B450,'CARNET DE SOUDURE'!$K$7:$K$1506,0)),IFERROR(INDEX('CARNET DE SOUDURE'!$D$7:$D$1506,MATCH(B450,'CARNET DE SOUDURE'!$M$7:$M$1506,0)),"")))</f>
        <v/>
      </c>
      <c r="M450" s="81" t="str">
        <f aca="false">IF(B450="","",IF(OR(J450&lt;&gt;"",K450&lt;&gt;""),"POSÉ EN LIGNE",IF(H450&lt;&gt;"","BARDÉ","EN STOCK")))</f>
        <v/>
      </c>
      <c r="N450" s="79"/>
    </row>
    <row r="451" customFormat="false" ht="15" hidden="false" customHeight="false" outlineLevel="0" collapsed="false">
      <c r="A451" s="78" t="str">
        <f aca="false">IF(B451="","",ROW()-6)</f>
        <v/>
      </c>
      <c r="B451" s="90"/>
      <c r="C451" s="91"/>
      <c r="D451" s="91"/>
      <c r="E451" s="80"/>
      <c r="F451" s="92"/>
      <c r="G451" s="79"/>
      <c r="H451" s="82"/>
      <c r="I451" s="93" t="str">
        <f aca="false">IF(B451="","",IFERROR(INDEX('CARNET DE SOUDURE'!$B$7:$B$1506,MATCH(B451,'CARNET DE SOUDURE'!$K$7:$K$1506,0)),IFERROR(INDEX('CARNET DE SOUDURE'!$B$7:$B$1506,MATCH(B451,'CARNET DE SOUDURE'!$M$7:$M$1506,0)),"")))</f>
        <v/>
      </c>
      <c r="J451" s="78" t="str">
        <f aca="false">IF(B451="","",IFERROR(INDEX('CARNET DE SOUDURE'!$E$7:$E$1506,MATCH(B451,'CARNET DE SOUDURE'!$M$7:$M$1506,0)),""))</f>
        <v/>
      </c>
      <c r="K451" s="78" t="str">
        <f aca="false">IF(B451="","",IFERROR(INDEX('CARNET DE SOUDURE'!$E$7:$E$1506,MATCH(B451,'CARNET DE SOUDURE'!$K$7:$K$1506,0)),""))</f>
        <v/>
      </c>
      <c r="L451" s="78" t="str">
        <f aca="false">IF(B451="","",IFERROR(INDEX('CARNET DE SOUDURE'!$D$7:$D$1506,MATCH(B451,'CARNET DE SOUDURE'!$K$7:$K$1506,0)),IFERROR(INDEX('CARNET DE SOUDURE'!$D$7:$D$1506,MATCH(B451,'CARNET DE SOUDURE'!$M$7:$M$1506,0)),"")))</f>
        <v/>
      </c>
      <c r="M451" s="81" t="str">
        <f aca="false">IF(B451="","",IF(OR(J451&lt;&gt;"",K451&lt;&gt;""),"POSÉ EN LIGNE",IF(H451&lt;&gt;"","BARDÉ","EN STOCK")))</f>
        <v/>
      </c>
      <c r="N451" s="79"/>
    </row>
    <row r="452" customFormat="false" ht="15" hidden="false" customHeight="false" outlineLevel="0" collapsed="false">
      <c r="A452" s="78" t="str">
        <f aca="false">IF(B452="","",ROW()-6)</f>
        <v/>
      </c>
      <c r="B452" s="90"/>
      <c r="C452" s="91"/>
      <c r="D452" s="91"/>
      <c r="E452" s="80"/>
      <c r="F452" s="92"/>
      <c r="G452" s="79"/>
      <c r="H452" s="82"/>
      <c r="I452" s="93" t="str">
        <f aca="false">IF(B452="","",IFERROR(INDEX('CARNET DE SOUDURE'!$B$7:$B$1506,MATCH(B452,'CARNET DE SOUDURE'!$K$7:$K$1506,0)),IFERROR(INDEX('CARNET DE SOUDURE'!$B$7:$B$1506,MATCH(B452,'CARNET DE SOUDURE'!$M$7:$M$1506,0)),"")))</f>
        <v/>
      </c>
      <c r="J452" s="78" t="str">
        <f aca="false">IF(B452="","",IFERROR(INDEX('CARNET DE SOUDURE'!$E$7:$E$1506,MATCH(B452,'CARNET DE SOUDURE'!$M$7:$M$1506,0)),""))</f>
        <v/>
      </c>
      <c r="K452" s="78" t="str">
        <f aca="false">IF(B452="","",IFERROR(INDEX('CARNET DE SOUDURE'!$E$7:$E$1506,MATCH(B452,'CARNET DE SOUDURE'!$K$7:$K$1506,0)),""))</f>
        <v/>
      </c>
      <c r="L452" s="78" t="str">
        <f aca="false">IF(B452="","",IFERROR(INDEX('CARNET DE SOUDURE'!$D$7:$D$1506,MATCH(B452,'CARNET DE SOUDURE'!$K$7:$K$1506,0)),IFERROR(INDEX('CARNET DE SOUDURE'!$D$7:$D$1506,MATCH(B452,'CARNET DE SOUDURE'!$M$7:$M$1506,0)),"")))</f>
        <v/>
      </c>
      <c r="M452" s="81" t="str">
        <f aca="false">IF(B452="","",IF(OR(J452&lt;&gt;"",K452&lt;&gt;""),"POSÉ EN LIGNE",IF(H452&lt;&gt;"","BARDÉ","EN STOCK")))</f>
        <v/>
      </c>
      <c r="N452" s="79"/>
    </row>
    <row r="453" customFormat="false" ht="15" hidden="false" customHeight="false" outlineLevel="0" collapsed="false">
      <c r="A453" s="78" t="str">
        <f aca="false">IF(B453="","",ROW()-6)</f>
        <v/>
      </c>
      <c r="B453" s="90"/>
      <c r="C453" s="91"/>
      <c r="D453" s="91"/>
      <c r="E453" s="80"/>
      <c r="F453" s="92"/>
      <c r="G453" s="79"/>
      <c r="H453" s="82"/>
      <c r="I453" s="93" t="str">
        <f aca="false">IF(B453="","",IFERROR(INDEX('CARNET DE SOUDURE'!$B$7:$B$1506,MATCH(B453,'CARNET DE SOUDURE'!$K$7:$K$1506,0)),IFERROR(INDEX('CARNET DE SOUDURE'!$B$7:$B$1506,MATCH(B453,'CARNET DE SOUDURE'!$M$7:$M$1506,0)),"")))</f>
        <v/>
      </c>
      <c r="J453" s="78" t="str">
        <f aca="false">IF(B453="","",IFERROR(INDEX('CARNET DE SOUDURE'!$E$7:$E$1506,MATCH(B453,'CARNET DE SOUDURE'!$M$7:$M$1506,0)),""))</f>
        <v/>
      </c>
      <c r="K453" s="78" t="str">
        <f aca="false">IF(B453="","",IFERROR(INDEX('CARNET DE SOUDURE'!$E$7:$E$1506,MATCH(B453,'CARNET DE SOUDURE'!$K$7:$K$1506,0)),""))</f>
        <v/>
      </c>
      <c r="L453" s="78" t="str">
        <f aca="false">IF(B453="","",IFERROR(INDEX('CARNET DE SOUDURE'!$D$7:$D$1506,MATCH(B453,'CARNET DE SOUDURE'!$K$7:$K$1506,0)),IFERROR(INDEX('CARNET DE SOUDURE'!$D$7:$D$1506,MATCH(B453,'CARNET DE SOUDURE'!$M$7:$M$1506,0)),"")))</f>
        <v/>
      </c>
      <c r="M453" s="81" t="str">
        <f aca="false">IF(B453="","",IF(OR(J453&lt;&gt;"",K453&lt;&gt;""),"POSÉ EN LIGNE",IF(H453&lt;&gt;"","BARDÉ","EN STOCK")))</f>
        <v/>
      </c>
      <c r="N453" s="79"/>
    </row>
    <row r="454" customFormat="false" ht="15" hidden="false" customHeight="false" outlineLevel="0" collapsed="false">
      <c r="A454" s="78" t="str">
        <f aca="false">IF(B454="","",ROW()-6)</f>
        <v/>
      </c>
      <c r="B454" s="90"/>
      <c r="C454" s="91"/>
      <c r="D454" s="91"/>
      <c r="E454" s="80"/>
      <c r="F454" s="92"/>
      <c r="G454" s="79"/>
      <c r="H454" s="82"/>
      <c r="I454" s="93" t="str">
        <f aca="false">IF(B454="","",IFERROR(INDEX('CARNET DE SOUDURE'!$B$7:$B$1506,MATCH(B454,'CARNET DE SOUDURE'!$K$7:$K$1506,0)),IFERROR(INDEX('CARNET DE SOUDURE'!$B$7:$B$1506,MATCH(B454,'CARNET DE SOUDURE'!$M$7:$M$1506,0)),"")))</f>
        <v/>
      </c>
      <c r="J454" s="78" t="str">
        <f aca="false">IF(B454="","",IFERROR(INDEX('CARNET DE SOUDURE'!$E$7:$E$1506,MATCH(B454,'CARNET DE SOUDURE'!$M$7:$M$1506,0)),""))</f>
        <v/>
      </c>
      <c r="K454" s="78" t="str">
        <f aca="false">IF(B454="","",IFERROR(INDEX('CARNET DE SOUDURE'!$E$7:$E$1506,MATCH(B454,'CARNET DE SOUDURE'!$K$7:$K$1506,0)),""))</f>
        <v/>
      </c>
      <c r="L454" s="78" t="str">
        <f aca="false">IF(B454="","",IFERROR(INDEX('CARNET DE SOUDURE'!$D$7:$D$1506,MATCH(B454,'CARNET DE SOUDURE'!$K$7:$K$1506,0)),IFERROR(INDEX('CARNET DE SOUDURE'!$D$7:$D$1506,MATCH(B454,'CARNET DE SOUDURE'!$M$7:$M$1506,0)),"")))</f>
        <v/>
      </c>
      <c r="M454" s="81" t="str">
        <f aca="false">IF(B454="","",IF(OR(J454&lt;&gt;"",K454&lt;&gt;""),"POSÉ EN LIGNE",IF(H454&lt;&gt;"","BARDÉ","EN STOCK")))</f>
        <v/>
      </c>
      <c r="N454" s="79"/>
    </row>
    <row r="455" customFormat="false" ht="15" hidden="false" customHeight="false" outlineLevel="0" collapsed="false">
      <c r="A455" s="78" t="str">
        <f aca="false">IF(B455="","",ROW()-6)</f>
        <v/>
      </c>
      <c r="B455" s="90"/>
      <c r="C455" s="91"/>
      <c r="D455" s="91"/>
      <c r="E455" s="80"/>
      <c r="F455" s="92"/>
      <c r="G455" s="79"/>
      <c r="H455" s="82"/>
      <c r="I455" s="93" t="str">
        <f aca="false">IF(B455="","",IFERROR(INDEX('CARNET DE SOUDURE'!$B$7:$B$1506,MATCH(B455,'CARNET DE SOUDURE'!$K$7:$K$1506,0)),IFERROR(INDEX('CARNET DE SOUDURE'!$B$7:$B$1506,MATCH(B455,'CARNET DE SOUDURE'!$M$7:$M$1506,0)),"")))</f>
        <v/>
      </c>
      <c r="J455" s="78" t="str">
        <f aca="false">IF(B455="","",IFERROR(INDEX('CARNET DE SOUDURE'!$E$7:$E$1506,MATCH(B455,'CARNET DE SOUDURE'!$M$7:$M$1506,0)),""))</f>
        <v/>
      </c>
      <c r="K455" s="78" t="str">
        <f aca="false">IF(B455="","",IFERROR(INDEX('CARNET DE SOUDURE'!$E$7:$E$1506,MATCH(B455,'CARNET DE SOUDURE'!$K$7:$K$1506,0)),""))</f>
        <v/>
      </c>
      <c r="L455" s="78" t="str">
        <f aca="false">IF(B455="","",IFERROR(INDEX('CARNET DE SOUDURE'!$D$7:$D$1506,MATCH(B455,'CARNET DE SOUDURE'!$K$7:$K$1506,0)),IFERROR(INDEX('CARNET DE SOUDURE'!$D$7:$D$1506,MATCH(B455,'CARNET DE SOUDURE'!$M$7:$M$1506,0)),"")))</f>
        <v/>
      </c>
      <c r="M455" s="81" t="str">
        <f aca="false">IF(B455="","",IF(OR(J455&lt;&gt;"",K455&lt;&gt;""),"POSÉ EN LIGNE",IF(H455&lt;&gt;"","BARDÉ","EN STOCK")))</f>
        <v/>
      </c>
      <c r="N455" s="79"/>
    </row>
    <row r="456" customFormat="false" ht="15" hidden="false" customHeight="false" outlineLevel="0" collapsed="false">
      <c r="A456" s="78" t="str">
        <f aca="false">IF(B456="","",ROW()-6)</f>
        <v/>
      </c>
      <c r="B456" s="90"/>
      <c r="C456" s="91"/>
      <c r="D456" s="91"/>
      <c r="E456" s="80"/>
      <c r="F456" s="92"/>
      <c r="G456" s="79"/>
      <c r="H456" s="82"/>
      <c r="I456" s="93" t="str">
        <f aca="false">IF(B456="","",IFERROR(INDEX('CARNET DE SOUDURE'!$B$7:$B$1506,MATCH(B456,'CARNET DE SOUDURE'!$K$7:$K$1506,0)),IFERROR(INDEX('CARNET DE SOUDURE'!$B$7:$B$1506,MATCH(B456,'CARNET DE SOUDURE'!$M$7:$M$1506,0)),"")))</f>
        <v/>
      </c>
      <c r="J456" s="78" t="str">
        <f aca="false">IF(B456="","",IFERROR(INDEX('CARNET DE SOUDURE'!$E$7:$E$1506,MATCH(B456,'CARNET DE SOUDURE'!$M$7:$M$1506,0)),""))</f>
        <v/>
      </c>
      <c r="K456" s="78" t="str">
        <f aca="false">IF(B456="","",IFERROR(INDEX('CARNET DE SOUDURE'!$E$7:$E$1506,MATCH(B456,'CARNET DE SOUDURE'!$K$7:$K$1506,0)),""))</f>
        <v/>
      </c>
      <c r="L456" s="78" t="str">
        <f aca="false">IF(B456="","",IFERROR(INDEX('CARNET DE SOUDURE'!$D$7:$D$1506,MATCH(B456,'CARNET DE SOUDURE'!$K$7:$K$1506,0)),IFERROR(INDEX('CARNET DE SOUDURE'!$D$7:$D$1506,MATCH(B456,'CARNET DE SOUDURE'!$M$7:$M$1506,0)),"")))</f>
        <v/>
      </c>
      <c r="M456" s="81" t="str">
        <f aca="false">IF(B456="","",IF(OR(J456&lt;&gt;"",K456&lt;&gt;""),"POSÉ EN LIGNE",IF(H456&lt;&gt;"","BARDÉ","EN STOCK")))</f>
        <v/>
      </c>
      <c r="N456" s="79"/>
    </row>
    <row r="457" customFormat="false" ht="15" hidden="false" customHeight="false" outlineLevel="0" collapsed="false">
      <c r="A457" s="78" t="str">
        <f aca="false">IF(B457="","",ROW()-6)</f>
        <v/>
      </c>
      <c r="B457" s="90"/>
      <c r="C457" s="91"/>
      <c r="D457" s="91"/>
      <c r="E457" s="80"/>
      <c r="F457" s="92"/>
      <c r="G457" s="79"/>
      <c r="H457" s="82"/>
      <c r="I457" s="93" t="str">
        <f aca="false">IF(B457="","",IFERROR(INDEX('CARNET DE SOUDURE'!$B$7:$B$1506,MATCH(B457,'CARNET DE SOUDURE'!$K$7:$K$1506,0)),IFERROR(INDEX('CARNET DE SOUDURE'!$B$7:$B$1506,MATCH(B457,'CARNET DE SOUDURE'!$M$7:$M$1506,0)),"")))</f>
        <v/>
      </c>
      <c r="J457" s="78" t="str">
        <f aca="false">IF(B457="","",IFERROR(INDEX('CARNET DE SOUDURE'!$E$7:$E$1506,MATCH(B457,'CARNET DE SOUDURE'!$M$7:$M$1506,0)),""))</f>
        <v/>
      </c>
      <c r="K457" s="78" t="str">
        <f aca="false">IF(B457="","",IFERROR(INDEX('CARNET DE SOUDURE'!$E$7:$E$1506,MATCH(B457,'CARNET DE SOUDURE'!$K$7:$K$1506,0)),""))</f>
        <v/>
      </c>
      <c r="L457" s="78" t="str">
        <f aca="false">IF(B457="","",IFERROR(INDEX('CARNET DE SOUDURE'!$D$7:$D$1506,MATCH(B457,'CARNET DE SOUDURE'!$K$7:$K$1506,0)),IFERROR(INDEX('CARNET DE SOUDURE'!$D$7:$D$1506,MATCH(B457,'CARNET DE SOUDURE'!$M$7:$M$1506,0)),"")))</f>
        <v/>
      </c>
      <c r="M457" s="81" t="str">
        <f aca="false">IF(B457="","",IF(OR(J457&lt;&gt;"",K457&lt;&gt;""),"POSÉ EN LIGNE",IF(H457&lt;&gt;"","BARDÉ","EN STOCK")))</f>
        <v/>
      </c>
      <c r="N457" s="79"/>
    </row>
    <row r="458" customFormat="false" ht="15" hidden="false" customHeight="false" outlineLevel="0" collapsed="false">
      <c r="A458" s="78" t="str">
        <f aca="false">IF(B458="","",ROW()-6)</f>
        <v/>
      </c>
      <c r="B458" s="90"/>
      <c r="C458" s="91"/>
      <c r="D458" s="91"/>
      <c r="E458" s="80"/>
      <c r="F458" s="92"/>
      <c r="G458" s="79"/>
      <c r="H458" s="82"/>
      <c r="I458" s="93" t="str">
        <f aca="false">IF(B458="","",IFERROR(INDEX('CARNET DE SOUDURE'!$B$7:$B$1506,MATCH(B458,'CARNET DE SOUDURE'!$K$7:$K$1506,0)),IFERROR(INDEX('CARNET DE SOUDURE'!$B$7:$B$1506,MATCH(B458,'CARNET DE SOUDURE'!$M$7:$M$1506,0)),"")))</f>
        <v/>
      </c>
      <c r="J458" s="78" t="str">
        <f aca="false">IF(B458="","",IFERROR(INDEX('CARNET DE SOUDURE'!$E$7:$E$1506,MATCH(B458,'CARNET DE SOUDURE'!$M$7:$M$1506,0)),""))</f>
        <v/>
      </c>
      <c r="K458" s="78" t="str">
        <f aca="false">IF(B458="","",IFERROR(INDEX('CARNET DE SOUDURE'!$E$7:$E$1506,MATCH(B458,'CARNET DE SOUDURE'!$K$7:$K$1506,0)),""))</f>
        <v/>
      </c>
      <c r="L458" s="78" t="str">
        <f aca="false">IF(B458="","",IFERROR(INDEX('CARNET DE SOUDURE'!$D$7:$D$1506,MATCH(B458,'CARNET DE SOUDURE'!$K$7:$K$1506,0)),IFERROR(INDEX('CARNET DE SOUDURE'!$D$7:$D$1506,MATCH(B458,'CARNET DE SOUDURE'!$M$7:$M$1506,0)),"")))</f>
        <v/>
      </c>
      <c r="M458" s="81" t="str">
        <f aca="false">IF(B458="","",IF(OR(J458&lt;&gt;"",K458&lt;&gt;""),"POSÉ EN LIGNE",IF(H458&lt;&gt;"","BARDÉ","EN STOCK")))</f>
        <v/>
      </c>
      <c r="N458" s="79"/>
    </row>
    <row r="459" customFormat="false" ht="15" hidden="false" customHeight="false" outlineLevel="0" collapsed="false">
      <c r="A459" s="78" t="str">
        <f aca="false">IF(B459="","",ROW()-6)</f>
        <v/>
      </c>
      <c r="B459" s="90"/>
      <c r="C459" s="91"/>
      <c r="D459" s="91"/>
      <c r="E459" s="80"/>
      <c r="F459" s="92"/>
      <c r="G459" s="79"/>
      <c r="H459" s="82"/>
      <c r="I459" s="93" t="str">
        <f aca="false">IF(B459="","",IFERROR(INDEX('CARNET DE SOUDURE'!$B$7:$B$1506,MATCH(B459,'CARNET DE SOUDURE'!$K$7:$K$1506,0)),IFERROR(INDEX('CARNET DE SOUDURE'!$B$7:$B$1506,MATCH(B459,'CARNET DE SOUDURE'!$M$7:$M$1506,0)),"")))</f>
        <v/>
      </c>
      <c r="J459" s="78" t="str">
        <f aca="false">IF(B459="","",IFERROR(INDEX('CARNET DE SOUDURE'!$E$7:$E$1506,MATCH(B459,'CARNET DE SOUDURE'!$M$7:$M$1506,0)),""))</f>
        <v/>
      </c>
      <c r="K459" s="78" t="str">
        <f aca="false">IF(B459="","",IFERROR(INDEX('CARNET DE SOUDURE'!$E$7:$E$1506,MATCH(B459,'CARNET DE SOUDURE'!$K$7:$K$1506,0)),""))</f>
        <v/>
      </c>
      <c r="L459" s="78" t="str">
        <f aca="false">IF(B459="","",IFERROR(INDEX('CARNET DE SOUDURE'!$D$7:$D$1506,MATCH(B459,'CARNET DE SOUDURE'!$K$7:$K$1506,0)),IFERROR(INDEX('CARNET DE SOUDURE'!$D$7:$D$1506,MATCH(B459,'CARNET DE SOUDURE'!$M$7:$M$1506,0)),"")))</f>
        <v/>
      </c>
      <c r="M459" s="81" t="str">
        <f aca="false">IF(B459="","",IF(OR(J459&lt;&gt;"",K459&lt;&gt;""),"POSÉ EN LIGNE",IF(H459&lt;&gt;"","BARDÉ","EN STOCK")))</f>
        <v/>
      </c>
      <c r="N459" s="79"/>
    </row>
    <row r="460" customFormat="false" ht="15" hidden="false" customHeight="false" outlineLevel="0" collapsed="false">
      <c r="A460" s="78" t="str">
        <f aca="false">IF(B460="","",ROW()-6)</f>
        <v/>
      </c>
      <c r="B460" s="90"/>
      <c r="C460" s="91"/>
      <c r="D460" s="91"/>
      <c r="E460" s="80"/>
      <c r="F460" s="92"/>
      <c r="G460" s="79"/>
      <c r="H460" s="82"/>
      <c r="I460" s="93" t="str">
        <f aca="false">IF(B460="","",IFERROR(INDEX('CARNET DE SOUDURE'!$B$7:$B$1506,MATCH(B460,'CARNET DE SOUDURE'!$K$7:$K$1506,0)),IFERROR(INDEX('CARNET DE SOUDURE'!$B$7:$B$1506,MATCH(B460,'CARNET DE SOUDURE'!$M$7:$M$1506,0)),"")))</f>
        <v/>
      </c>
      <c r="J460" s="78" t="str">
        <f aca="false">IF(B460="","",IFERROR(INDEX('CARNET DE SOUDURE'!$E$7:$E$1506,MATCH(B460,'CARNET DE SOUDURE'!$M$7:$M$1506,0)),""))</f>
        <v/>
      </c>
      <c r="K460" s="78" t="str">
        <f aca="false">IF(B460="","",IFERROR(INDEX('CARNET DE SOUDURE'!$E$7:$E$1506,MATCH(B460,'CARNET DE SOUDURE'!$K$7:$K$1506,0)),""))</f>
        <v/>
      </c>
      <c r="L460" s="78" t="str">
        <f aca="false">IF(B460="","",IFERROR(INDEX('CARNET DE SOUDURE'!$D$7:$D$1506,MATCH(B460,'CARNET DE SOUDURE'!$K$7:$K$1506,0)),IFERROR(INDEX('CARNET DE SOUDURE'!$D$7:$D$1506,MATCH(B460,'CARNET DE SOUDURE'!$M$7:$M$1506,0)),"")))</f>
        <v/>
      </c>
      <c r="M460" s="81" t="str">
        <f aca="false">IF(B460="","",IF(OR(J460&lt;&gt;"",K460&lt;&gt;""),"POSÉ EN LIGNE",IF(H460&lt;&gt;"","BARDÉ","EN STOCK")))</f>
        <v/>
      </c>
      <c r="N460" s="79"/>
    </row>
    <row r="461" customFormat="false" ht="15" hidden="false" customHeight="false" outlineLevel="0" collapsed="false">
      <c r="A461" s="78" t="str">
        <f aca="false">IF(B461="","",ROW()-6)</f>
        <v/>
      </c>
      <c r="B461" s="90"/>
      <c r="C461" s="91"/>
      <c r="D461" s="91"/>
      <c r="E461" s="80"/>
      <c r="F461" s="92"/>
      <c r="G461" s="79"/>
      <c r="H461" s="82"/>
      <c r="I461" s="93" t="str">
        <f aca="false">IF(B461="","",IFERROR(INDEX('CARNET DE SOUDURE'!$B$7:$B$1506,MATCH(B461,'CARNET DE SOUDURE'!$K$7:$K$1506,0)),IFERROR(INDEX('CARNET DE SOUDURE'!$B$7:$B$1506,MATCH(B461,'CARNET DE SOUDURE'!$M$7:$M$1506,0)),"")))</f>
        <v/>
      </c>
      <c r="J461" s="78" t="str">
        <f aca="false">IF(B461="","",IFERROR(INDEX('CARNET DE SOUDURE'!$E$7:$E$1506,MATCH(B461,'CARNET DE SOUDURE'!$M$7:$M$1506,0)),""))</f>
        <v/>
      </c>
      <c r="K461" s="78" t="str">
        <f aca="false">IF(B461="","",IFERROR(INDEX('CARNET DE SOUDURE'!$E$7:$E$1506,MATCH(B461,'CARNET DE SOUDURE'!$K$7:$K$1506,0)),""))</f>
        <v/>
      </c>
      <c r="L461" s="78" t="str">
        <f aca="false">IF(B461="","",IFERROR(INDEX('CARNET DE SOUDURE'!$D$7:$D$1506,MATCH(B461,'CARNET DE SOUDURE'!$K$7:$K$1506,0)),IFERROR(INDEX('CARNET DE SOUDURE'!$D$7:$D$1506,MATCH(B461,'CARNET DE SOUDURE'!$M$7:$M$1506,0)),"")))</f>
        <v/>
      </c>
      <c r="M461" s="81" t="str">
        <f aca="false">IF(B461="","",IF(OR(J461&lt;&gt;"",K461&lt;&gt;""),"POSÉ EN LIGNE",IF(H461&lt;&gt;"","BARDÉ","EN STOCK")))</f>
        <v/>
      </c>
      <c r="N461" s="79"/>
    </row>
    <row r="462" customFormat="false" ht="15" hidden="false" customHeight="false" outlineLevel="0" collapsed="false">
      <c r="A462" s="78" t="str">
        <f aca="false">IF(B462="","",ROW()-6)</f>
        <v/>
      </c>
      <c r="B462" s="90"/>
      <c r="C462" s="91"/>
      <c r="D462" s="91"/>
      <c r="E462" s="80"/>
      <c r="F462" s="92"/>
      <c r="G462" s="79"/>
      <c r="H462" s="82"/>
      <c r="I462" s="93" t="str">
        <f aca="false">IF(B462="","",IFERROR(INDEX('CARNET DE SOUDURE'!$B$7:$B$1506,MATCH(B462,'CARNET DE SOUDURE'!$K$7:$K$1506,0)),IFERROR(INDEX('CARNET DE SOUDURE'!$B$7:$B$1506,MATCH(B462,'CARNET DE SOUDURE'!$M$7:$M$1506,0)),"")))</f>
        <v/>
      </c>
      <c r="J462" s="78" t="str">
        <f aca="false">IF(B462="","",IFERROR(INDEX('CARNET DE SOUDURE'!$E$7:$E$1506,MATCH(B462,'CARNET DE SOUDURE'!$M$7:$M$1506,0)),""))</f>
        <v/>
      </c>
      <c r="K462" s="78" t="str">
        <f aca="false">IF(B462="","",IFERROR(INDEX('CARNET DE SOUDURE'!$E$7:$E$1506,MATCH(B462,'CARNET DE SOUDURE'!$K$7:$K$1506,0)),""))</f>
        <v/>
      </c>
      <c r="L462" s="78" t="str">
        <f aca="false">IF(B462="","",IFERROR(INDEX('CARNET DE SOUDURE'!$D$7:$D$1506,MATCH(B462,'CARNET DE SOUDURE'!$K$7:$K$1506,0)),IFERROR(INDEX('CARNET DE SOUDURE'!$D$7:$D$1506,MATCH(B462,'CARNET DE SOUDURE'!$M$7:$M$1506,0)),"")))</f>
        <v/>
      </c>
      <c r="M462" s="81" t="str">
        <f aca="false">IF(B462="","",IF(OR(J462&lt;&gt;"",K462&lt;&gt;""),"POSÉ EN LIGNE",IF(H462&lt;&gt;"","BARDÉ","EN STOCK")))</f>
        <v/>
      </c>
      <c r="N462" s="79"/>
    </row>
    <row r="463" customFormat="false" ht="15" hidden="false" customHeight="false" outlineLevel="0" collapsed="false">
      <c r="A463" s="78" t="str">
        <f aca="false">IF(B463="","",ROW()-6)</f>
        <v/>
      </c>
      <c r="B463" s="90"/>
      <c r="C463" s="91"/>
      <c r="D463" s="91"/>
      <c r="E463" s="80"/>
      <c r="F463" s="92"/>
      <c r="G463" s="79"/>
      <c r="H463" s="82"/>
      <c r="I463" s="93" t="str">
        <f aca="false">IF(B463="","",IFERROR(INDEX('CARNET DE SOUDURE'!$B$7:$B$1506,MATCH(B463,'CARNET DE SOUDURE'!$K$7:$K$1506,0)),IFERROR(INDEX('CARNET DE SOUDURE'!$B$7:$B$1506,MATCH(B463,'CARNET DE SOUDURE'!$M$7:$M$1506,0)),"")))</f>
        <v/>
      </c>
      <c r="J463" s="78" t="str">
        <f aca="false">IF(B463="","",IFERROR(INDEX('CARNET DE SOUDURE'!$E$7:$E$1506,MATCH(B463,'CARNET DE SOUDURE'!$M$7:$M$1506,0)),""))</f>
        <v/>
      </c>
      <c r="K463" s="78" t="str">
        <f aca="false">IF(B463="","",IFERROR(INDEX('CARNET DE SOUDURE'!$E$7:$E$1506,MATCH(B463,'CARNET DE SOUDURE'!$K$7:$K$1506,0)),""))</f>
        <v/>
      </c>
      <c r="L463" s="78" t="str">
        <f aca="false">IF(B463="","",IFERROR(INDEX('CARNET DE SOUDURE'!$D$7:$D$1506,MATCH(B463,'CARNET DE SOUDURE'!$K$7:$K$1506,0)),IFERROR(INDEX('CARNET DE SOUDURE'!$D$7:$D$1506,MATCH(B463,'CARNET DE SOUDURE'!$M$7:$M$1506,0)),"")))</f>
        <v/>
      </c>
      <c r="M463" s="81" t="str">
        <f aca="false">IF(B463="","",IF(OR(J463&lt;&gt;"",K463&lt;&gt;""),"POSÉ EN LIGNE",IF(H463&lt;&gt;"","BARDÉ","EN STOCK")))</f>
        <v/>
      </c>
      <c r="N463" s="79"/>
    </row>
    <row r="464" customFormat="false" ht="15" hidden="false" customHeight="false" outlineLevel="0" collapsed="false">
      <c r="A464" s="78" t="str">
        <f aca="false">IF(B464="","",ROW()-6)</f>
        <v/>
      </c>
      <c r="B464" s="90"/>
      <c r="C464" s="91"/>
      <c r="D464" s="91"/>
      <c r="E464" s="80"/>
      <c r="F464" s="92"/>
      <c r="G464" s="79"/>
      <c r="H464" s="82"/>
      <c r="I464" s="93" t="str">
        <f aca="false">IF(B464="","",IFERROR(INDEX('CARNET DE SOUDURE'!$B$7:$B$1506,MATCH(B464,'CARNET DE SOUDURE'!$K$7:$K$1506,0)),IFERROR(INDEX('CARNET DE SOUDURE'!$B$7:$B$1506,MATCH(B464,'CARNET DE SOUDURE'!$M$7:$M$1506,0)),"")))</f>
        <v/>
      </c>
      <c r="J464" s="78" t="str">
        <f aca="false">IF(B464="","",IFERROR(INDEX('CARNET DE SOUDURE'!$E$7:$E$1506,MATCH(B464,'CARNET DE SOUDURE'!$M$7:$M$1506,0)),""))</f>
        <v/>
      </c>
      <c r="K464" s="78" t="str">
        <f aca="false">IF(B464="","",IFERROR(INDEX('CARNET DE SOUDURE'!$E$7:$E$1506,MATCH(B464,'CARNET DE SOUDURE'!$K$7:$K$1506,0)),""))</f>
        <v/>
      </c>
      <c r="L464" s="78" t="str">
        <f aca="false">IF(B464="","",IFERROR(INDEX('CARNET DE SOUDURE'!$D$7:$D$1506,MATCH(B464,'CARNET DE SOUDURE'!$K$7:$K$1506,0)),IFERROR(INDEX('CARNET DE SOUDURE'!$D$7:$D$1506,MATCH(B464,'CARNET DE SOUDURE'!$M$7:$M$1506,0)),"")))</f>
        <v/>
      </c>
      <c r="M464" s="81" t="str">
        <f aca="false">IF(B464="","",IF(OR(J464&lt;&gt;"",K464&lt;&gt;""),"POSÉ EN LIGNE",IF(H464&lt;&gt;"","BARDÉ","EN STOCK")))</f>
        <v/>
      </c>
      <c r="N464" s="79"/>
    </row>
    <row r="465" customFormat="false" ht="15" hidden="false" customHeight="false" outlineLevel="0" collapsed="false">
      <c r="A465" s="78" t="str">
        <f aca="false">IF(B465="","",ROW()-6)</f>
        <v/>
      </c>
      <c r="B465" s="90"/>
      <c r="C465" s="91"/>
      <c r="D465" s="91"/>
      <c r="E465" s="80"/>
      <c r="F465" s="92"/>
      <c r="G465" s="79"/>
      <c r="H465" s="82"/>
      <c r="I465" s="93" t="str">
        <f aca="false">IF(B465="","",IFERROR(INDEX('CARNET DE SOUDURE'!$B$7:$B$1506,MATCH(B465,'CARNET DE SOUDURE'!$K$7:$K$1506,0)),IFERROR(INDEX('CARNET DE SOUDURE'!$B$7:$B$1506,MATCH(B465,'CARNET DE SOUDURE'!$M$7:$M$1506,0)),"")))</f>
        <v/>
      </c>
      <c r="J465" s="78" t="str">
        <f aca="false">IF(B465="","",IFERROR(INDEX('CARNET DE SOUDURE'!$E$7:$E$1506,MATCH(B465,'CARNET DE SOUDURE'!$M$7:$M$1506,0)),""))</f>
        <v/>
      </c>
      <c r="K465" s="78" t="str">
        <f aca="false">IF(B465="","",IFERROR(INDEX('CARNET DE SOUDURE'!$E$7:$E$1506,MATCH(B465,'CARNET DE SOUDURE'!$K$7:$K$1506,0)),""))</f>
        <v/>
      </c>
      <c r="L465" s="78" t="str">
        <f aca="false">IF(B465="","",IFERROR(INDEX('CARNET DE SOUDURE'!$D$7:$D$1506,MATCH(B465,'CARNET DE SOUDURE'!$K$7:$K$1506,0)),IFERROR(INDEX('CARNET DE SOUDURE'!$D$7:$D$1506,MATCH(B465,'CARNET DE SOUDURE'!$M$7:$M$1506,0)),"")))</f>
        <v/>
      </c>
      <c r="M465" s="81" t="str">
        <f aca="false">IF(B465="","",IF(OR(J465&lt;&gt;"",K465&lt;&gt;""),"POSÉ EN LIGNE",IF(H465&lt;&gt;"","BARDÉ","EN STOCK")))</f>
        <v/>
      </c>
      <c r="N465" s="79"/>
    </row>
    <row r="466" customFormat="false" ht="15" hidden="false" customHeight="false" outlineLevel="0" collapsed="false">
      <c r="A466" s="78" t="str">
        <f aca="false">IF(B466="","",ROW()-6)</f>
        <v/>
      </c>
      <c r="B466" s="90"/>
      <c r="C466" s="91"/>
      <c r="D466" s="91"/>
      <c r="E466" s="80"/>
      <c r="F466" s="92"/>
      <c r="G466" s="79"/>
      <c r="H466" s="82"/>
      <c r="I466" s="93" t="str">
        <f aca="false">IF(B466="","",IFERROR(INDEX('CARNET DE SOUDURE'!$B$7:$B$1506,MATCH(B466,'CARNET DE SOUDURE'!$K$7:$K$1506,0)),IFERROR(INDEX('CARNET DE SOUDURE'!$B$7:$B$1506,MATCH(B466,'CARNET DE SOUDURE'!$M$7:$M$1506,0)),"")))</f>
        <v/>
      </c>
      <c r="J466" s="78" t="str">
        <f aca="false">IF(B466="","",IFERROR(INDEX('CARNET DE SOUDURE'!$E$7:$E$1506,MATCH(B466,'CARNET DE SOUDURE'!$M$7:$M$1506,0)),""))</f>
        <v/>
      </c>
      <c r="K466" s="78" t="str">
        <f aca="false">IF(B466="","",IFERROR(INDEX('CARNET DE SOUDURE'!$E$7:$E$1506,MATCH(B466,'CARNET DE SOUDURE'!$K$7:$K$1506,0)),""))</f>
        <v/>
      </c>
      <c r="L466" s="78" t="str">
        <f aca="false">IF(B466="","",IFERROR(INDEX('CARNET DE SOUDURE'!$D$7:$D$1506,MATCH(B466,'CARNET DE SOUDURE'!$K$7:$K$1506,0)),IFERROR(INDEX('CARNET DE SOUDURE'!$D$7:$D$1506,MATCH(B466,'CARNET DE SOUDURE'!$M$7:$M$1506,0)),"")))</f>
        <v/>
      </c>
      <c r="M466" s="81" t="str">
        <f aca="false">IF(B466="","",IF(OR(J466&lt;&gt;"",K466&lt;&gt;""),"POSÉ EN LIGNE",IF(H466&lt;&gt;"","BARDÉ","EN STOCK")))</f>
        <v/>
      </c>
      <c r="N466" s="79"/>
    </row>
    <row r="467" customFormat="false" ht="15" hidden="false" customHeight="false" outlineLevel="0" collapsed="false">
      <c r="A467" s="78" t="str">
        <f aca="false">IF(B467="","",ROW()-6)</f>
        <v/>
      </c>
      <c r="B467" s="90"/>
      <c r="C467" s="91"/>
      <c r="D467" s="91"/>
      <c r="E467" s="80"/>
      <c r="F467" s="92"/>
      <c r="G467" s="79"/>
      <c r="H467" s="82"/>
      <c r="I467" s="93" t="str">
        <f aca="false">IF(B467="","",IFERROR(INDEX('CARNET DE SOUDURE'!$B$7:$B$1506,MATCH(B467,'CARNET DE SOUDURE'!$K$7:$K$1506,0)),IFERROR(INDEX('CARNET DE SOUDURE'!$B$7:$B$1506,MATCH(B467,'CARNET DE SOUDURE'!$M$7:$M$1506,0)),"")))</f>
        <v/>
      </c>
      <c r="J467" s="78" t="str">
        <f aca="false">IF(B467="","",IFERROR(INDEX('CARNET DE SOUDURE'!$E$7:$E$1506,MATCH(B467,'CARNET DE SOUDURE'!$M$7:$M$1506,0)),""))</f>
        <v/>
      </c>
      <c r="K467" s="78" t="str">
        <f aca="false">IF(B467="","",IFERROR(INDEX('CARNET DE SOUDURE'!$E$7:$E$1506,MATCH(B467,'CARNET DE SOUDURE'!$K$7:$K$1506,0)),""))</f>
        <v/>
      </c>
      <c r="L467" s="78" t="str">
        <f aca="false">IF(B467="","",IFERROR(INDEX('CARNET DE SOUDURE'!$D$7:$D$1506,MATCH(B467,'CARNET DE SOUDURE'!$K$7:$K$1506,0)),IFERROR(INDEX('CARNET DE SOUDURE'!$D$7:$D$1506,MATCH(B467,'CARNET DE SOUDURE'!$M$7:$M$1506,0)),"")))</f>
        <v/>
      </c>
      <c r="M467" s="81" t="str">
        <f aca="false">IF(B467="","",IF(OR(J467&lt;&gt;"",K467&lt;&gt;""),"POSÉ EN LIGNE",IF(H467&lt;&gt;"","BARDÉ","EN STOCK")))</f>
        <v/>
      </c>
      <c r="N467" s="79"/>
    </row>
    <row r="468" customFormat="false" ht="15" hidden="false" customHeight="false" outlineLevel="0" collapsed="false">
      <c r="A468" s="78" t="str">
        <f aca="false">IF(B468="","",ROW()-6)</f>
        <v/>
      </c>
      <c r="B468" s="90"/>
      <c r="C468" s="91"/>
      <c r="D468" s="91"/>
      <c r="E468" s="80"/>
      <c r="F468" s="92"/>
      <c r="G468" s="79"/>
      <c r="H468" s="82"/>
      <c r="I468" s="93" t="str">
        <f aca="false">IF(B468="","",IFERROR(INDEX('CARNET DE SOUDURE'!$B$7:$B$1506,MATCH(B468,'CARNET DE SOUDURE'!$K$7:$K$1506,0)),IFERROR(INDEX('CARNET DE SOUDURE'!$B$7:$B$1506,MATCH(B468,'CARNET DE SOUDURE'!$M$7:$M$1506,0)),"")))</f>
        <v/>
      </c>
      <c r="J468" s="78" t="str">
        <f aca="false">IF(B468="","",IFERROR(INDEX('CARNET DE SOUDURE'!$E$7:$E$1506,MATCH(B468,'CARNET DE SOUDURE'!$M$7:$M$1506,0)),""))</f>
        <v/>
      </c>
      <c r="K468" s="78" t="str">
        <f aca="false">IF(B468="","",IFERROR(INDEX('CARNET DE SOUDURE'!$E$7:$E$1506,MATCH(B468,'CARNET DE SOUDURE'!$K$7:$K$1506,0)),""))</f>
        <v/>
      </c>
      <c r="L468" s="78" t="str">
        <f aca="false">IF(B468="","",IFERROR(INDEX('CARNET DE SOUDURE'!$D$7:$D$1506,MATCH(B468,'CARNET DE SOUDURE'!$K$7:$K$1506,0)),IFERROR(INDEX('CARNET DE SOUDURE'!$D$7:$D$1506,MATCH(B468,'CARNET DE SOUDURE'!$M$7:$M$1506,0)),"")))</f>
        <v/>
      </c>
      <c r="M468" s="81" t="str">
        <f aca="false">IF(B468="","",IF(OR(J468&lt;&gt;"",K468&lt;&gt;""),"POSÉ EN LIGNE",IF(H468&lt;&gt;"","BARDÉ","EN STOCK")))</f>
        <v/>
      </c>
      <c r="N468" s="79"/>
    </row>
    <row r="469" customFormat="false" ht="15" hidden="false" customHeight="false" outlineLevel="0" collapsed="false">
      <c r="A469" s="78" t="str">
        <f aca="false">IF(B469="","",ROW()-6)</f>
        <v/>
      </c>
      <c r="B469" s="90"/>
      <c r="C469" s="91"/>
      <c r="D469" s="91"/>
      <c r="E469" s="80"/>
      <c r="F469" s="92"/>
      <c r="G469" s="79"/>
      <c r="H469" s="82"/>
      <c r="I469" s="93" t="str">
        <f aca="false">IF(B469="","",IFERROR(INDEX('CARNET DE SOUDURE'!$B$7:$B$1506,MATCH(B469,'CARNET DE SOUDURE'!$K$7:$K$1506,0)),IFERROR(INDEX('CARNET DE SOUDURE'!$B$7:$B$1506,MATCH(B469,'CARNET DE SOUDURE'!$M$7:$M$1506,0)),"")))</f>
        <v/>
      </c>
      <c r="J469" s="78" t="str">
        <f aca="false">IF(B469="","",IFERROR(INDEX('CARNET DE SOUDURE'!$E$7:$E$1506,MATCH(B469,'CARNET DE SOUDURE'!$M$7:$M$1506,0)),""))</f>
        <v/>
      </c>
      <c r="K469" s="78" t="str">
        <f aca="false">IF(B469="","",IFERROR(INDEX('CARNET DE SOUDURE'!$E$7:$E$1506,MATCH(B469,'CARNET DE SOUDURE'!$K$7:$K$1506,0)),""))</f>
        <v/>
      </c>
      <c r="L469" s="78" t="str">
        <f aca="false">IF(B469="","",IFERROR(INDEX('CARNET DE SOUDURE'!$D$7:$D$1506,MATCH(B469,'CARNET DE SOUDURE'!$K$7:$K$1506,0)),IFERROR(INDEX('CARNET DE SOUDURE'!$D$7:$D$1506,MATCH(B469,'CARNET DE SOUDURE'!$M$7:$M$1506,0)),"")))</f>
        <v/>
      </c>
      <c r="M469" s="81" t="str">
        <f aca="false">IF(B469="","",IF(OR(J469&lt;&gt;"",K469&lt;&gt;""),"POSÉ EN LIGNE",IF(H469&lt;&gt;"","BARDÉ","EN STOCK")))</f>
        <v/>
      </c>
      <c r="N469" s="79"/>
    </row>
    <row r="470" customFormat="false" ht="15" hidden="false" customHeight="false" outlineLevel="0" collapsed="false">
      <c r="A470" s="78" t="str">
        <f aca="false">IF(B470="","",ROW()-6)</f>
        <v/>
      </c>
      <c r="B470" s="90"/>
      <c r="C470" s="91"/>
      <c r="D470" s="91"/>
      <c r="E470" s="80"/>
      <c r="F470" s="92"/>
      <c r="G470" s="79"/>
      <c r="H470" s="82"/>
      <c r="I470" s="93" t="str">
        <f aca="false">IF(B470="","",IFERROR(INDEX('CARNET DE SOUDURE'!$B$7:$B$1506,MATCH(B470,'CARNET DE SOUDURE'!$K$7:$K$1506,0)),IFERROR(INDEX('CARNET DE SOUDURE'!$B$7:$B$1506,MATCH(B470,'CARNET DE SOUDURE'!$M$7:$M$1506,0)),"")))</f>
        <v/>
      </c>
      <c r="J470" s="78" t="str">
        <f aca="false">IF(B470="","",IFERROR(INDEX('CARNET DE SOUDURE'!$E$7:$E$1506,MATCH(B470,'CARNET DE SOUDURE'!$M$7:$M$1506,0)),""))</f>
        <v/>
      </c>
      <c r="K470" s="78" t="str">
        <f aca="false">IF(B470="","",IFERROR(INDEX('CARNET DE SOUDURE'!$E$7:$E$1506,MATCH(B470,'CARNET DE SOUDURE'!$K$7:$K$1506,0)),""))</f>
        <v/>
      </c>
      <c r="L470" s="78" t="str">
        <f aca="false">IF(B470="","",IFERROR(INDEX('CARNET DE SOUDURE'!$D$7:$D$1506,MATCH(B470,'CARNET DE SOUDURE'!$K$7:$K$1506,0)),IFERROR(INDEX('CARNET DE SOUDURE'!$D$7:$D$1506,MATCH(B470,'CARNET DE SOUDURE'!$M$7:$M$1506,0)),"")))</f>
        <v/>
      </c>
      <c r="M470" s="81" t="str">
        <f aca="false">IF(B470="","",IF(OR(J470&lt;&gt;"",K470&lt;&gt;""),"POSÉ EN LIGNE",IF(H470&lt;&gt;"","BARDÉ","EN STOCK")))</f>
        <v/>
      </c>
      <c r="N470" s="79"/>
    </row>
    <row r="471" customFormat="false" ht="15" hidden="false" customHeight="false" outlineLevel="0" collapsed="false">
      <c r="A471" s="78" t="str">
        <f aca="false">IF(B471="","",ROW()-6)</f>
        <v/>
      </c>
      <c r="B471" s="90"/>
      <c r="C471" s="91"/>
      <c r="D471" s="91"/>
      <c r="E471" s="80"/>
      <c r="F471" s="92"/>
      <c r="G471" s="79"/>
      <c r="H471" s="82"/>
      <c r="I471" s="93" t="str">
        <f aca="false">IF(B471="","",IFERROR(INDEX('CARNET DE SOUDURE'!$B$7:$B$1506,MATCH(B471,'CARNET DE SOUDURE'!$K$7:$K$1506,0)),IFERROR(INDEX('CARNET DE SOUDURE'!$B$7:$B$1506,MATCH(B471,'CARNET DE SOUDURE'!$M$7:$M$1506,0)),"")))</f>
        <v/>
      </c>
      <c r="J471" s="78" t="str">
        <f aca="false">IF(B471="","",IFERROR(INDEX('CARNET DE SOUDURE'!$E$7:$E$1506,MATCH(B471,'CARNET DE SOUDURE'!$M$7:$M$1506,0)),""))</f>
        <v/>
      </c>
      <c r="K471" s="78" t="str">
        <f aca="false">IF(B471="","",IFERROR(INDEX('CARNET DE SOUDURE'!$E$7:$E$1506,MATCH(B471,'CARNET DE SOUDURE'!$K$7:$K$1506,0)),""))</f>
        <v/>
      </c>
      <c r="L471" s="78" t="str">
        <f aca="false">IF(B471="","",IFERROR(INDEX('CARNET DE SOUDURE'!$D$7:$D$1506,MATCH(B471,'CARNET DE SOUDURE'!$K$7:$K$1506,0)),IFERROR(INDEX('CARNET DE SOUDURE'!$D$7:$D$1506,MATCH(B471,'CARNET DE SOUDURE'!$M$7:$M$1506,0)),"")))</f>
        <v/>
      </c>
      <c r="M471" s="81" t="str">
        <f aca="false">IF(B471="","",IF(OR(J471&lt;&gt;"",K471&lt;&gt;""),"POSÉ EN LIGNE",IF(H471&lt;&gt;"","BARDÉ","EN STOCK")))</f>
        <v/>
      </c>
      <c r="N471" s="79"/>
    </row>
    <row r="472" customFormat="false" ht="15" hidden="false" customHeight="false" outlineLevel="0" collapsed="false">
      <c r="A472" s="78" t="str">
        <f aca="false">IF(B472="","",ROW()-6)</f>
        <v/>
      </c>
      <c r="B472" s="90"/>
      <c r="C472" s="91"/>
      <c r="D472" s="91"/>
      <c r="E472" s="80"/>
      <c r="F472" s="92"/>
      <c r="G472" s="79"/>
      <c r="H472" s="82"/>
      <c r="I472" s="93" t="str">
        <f aca="false">IF(B472="","",IFERROR(INDEX('CARNET DE SOUDURE'!$B$7:$B$1506,MATCH(B472,'CARNET DE SOUDURE'!$K$7:$K$1506,0)),IFERROR(INDEX('CARNET DE SOUDURE'!$B$7:$B$1506,MATCH(B472,'CARNET DE SOUDURE'!$M$7:$M$1506,0)),"")))</f>
        <v/>
      </c>
      <c r="J472" s="78" t="str">
        <f aca="false">IF(B472="","",IFERROR(INDEX('CARNET DE SOUDURE'!$E$7:$E$1506,MATCH(B472,'CARNET DE SOUDURE'!$M$7:$M$1506,0)),""))</f>
        <v/>
      </c>
      <c r="K472" s="78" t="str">
        <f aca="false">IF(B472="","",IFERROR(INDEX('CARNET DE SOUDURE'!$E$7:$E$1506,MATCH(B472,'CARNET DE SOUDURE'!$K$7:$K$1506,0)),""))</f>
        <v/>
      </c>
      <c r="L472" s="78" t="str">
        <f aca="false">IF(B472="","",IFERROR(INDEX('CARNET DE SOUDURE'!$D$7:$D$1506,MATCH(B472,'CARNET DE SOUDURE'!$K$7:$K$1506,0)),IFERROR(INDEX('CARNET DE SOUDURE'!$D$7:$D$1506,MATCH(B472,'CARNET DE SOUDURE'!$M$7:$M$1506,0)),"")))</f>
        <v/>
      </c>
      <c r="M472" s="81" t="str">
        <f aca="false">IF(B472="","",IF(OR(J472&lt;&gt;"",K472&lt;&gt;""),"POSÉ EN LIGNE",IF(H472&lt;&gt;"","BARDÉ","EN STOCK")))</f>
        <v/>
      </c>
      <c r="N472" s="79"/>
    </row>
    <row r="473" customFormat="false" ht="15" hidden="false" customHeight="false" outlineLevel="0" collapsed="false">
      <c r="A473" s="78" t="str">
        <f aca="false">IF(B473="","",ROW()-6)</f>
        <v/>
      </c>
      <c r="B473" s="90"/>
      <c r="C473" s="91"/>
      <c r="D473" s="91"/>
      <c r="E473" s="80"/>
      <c r="F473" s="92"/>
      <c r="G473" s="79"/>
      <c r="H473" s="82"/>
      <c r="I473" s="93" t="str">
        <f aca="false">IF(B473="","",IFERROR(INDEX('CARNET DE SOUDURE'!$B$7:$B$1506,MATCH(B473,'CARNET DE SOUDURE'!$K$7:$K$1506,0)),IFERROR(INDEX('CARNET DE SOUDURE'!$B$7:$B$1506,MATCH(B473,'CARNET DE SOUDURE'!$M$7:$M$1506,0)),"")))</f>
        <v/>
      </c>
      <c r="J473" s="78" t="str">
        <f aca="false">IF(B473="","",IFERROR(INDEX('CARNET DE SOUDURE'!$E$7:$E$1506,MATCH(B473,'CARNET DE SOUDURE'!$M$7:$M$1506,0)),""))</f>
        <v/>
      </c>
      <c r="K473" s="78" t="str">
        <f aca="false">IF(B473="","",IFERROR(INDEX('CARNET DE SOUDURE'!$E$7:$E$1506,MATCH(B473,'CARNET DE SOUDURE'!$K$7:$K$1506,0)),""))</f>
        <v/>
      </c>
      <c r="L473" s="78" t="str">
        <f aca="false">IF(B473="","",IFERROR(INDEX('CARNET DE SOUDURE'!$D$7:$D$1506,MATCH(B473,'CARNET DE SOUDURE'!$K$7:$K$1506,0)),IFERROR(INDEX('CARNET DE SOUDURE'!$D$7:$D$1506,MATCH(B473,'CARNET DE SOUDURE'!$M$7:$M$1506,0)),"")))</f>
        <v/>
      </c>
      <c r="M473" s="81" t="str">
        <f aca="false">IF(B473="","",IF(OR(J473&lt;&gt;"",K473&lt;&gt;""),"POSÉ EN LIGNE",IF(H473&lt;&gt;"","BARDÉ","EN STOCK")))</f>
        <v/>
      </c>
      <c r="N473" s="79"/>
    </row>
    <row r="474" customFormat="false" ht="15" hidden="false" customHeight="false" outlineLevel="0" collapsed="false">
      <c r="A474" s="78" t="str">
        <f aca="false">IF(B474="","",ROW()-6)</f>
        <v/>
      </c>
      <c r="B474" s="90"/>
      <c r="C474" s="91"/>
      <c r="D474" s="91"/>
      <c r="E474" s="80"/>
      <c r="F474" s="92"/>
      <c r="G474" s="79"/>
      <c r="H474" s="82"/>
      <c r="I474" s="93" t="str">
        <f aca="false">IF(B474="","",IFERROR(INDEX('CARNET DE SOUDURE'!$B$7:$B$1506,MATCH(B474,'CARNET DE SOUDURE'!$K$7:$K$1506,0)),IFERROR(INDEX('CARNET DE SOUDURE'!$B$7:$B$1506,MATCH(B474,'CARNET DE SOUDURE'!$M$7:$M$1506,0)),"")))</f>
        <v/>
      </c>
      <c r="J474" s="78" t="str">
        <f aca="false">IF(B474="","",IFERROR(INDEX('CARNET DE SOUDURE'!$E$7:$E$1506,MATCH(B474,'CARNET DE SOUDURE'!$M$7:$M$1506,0)),""))</f>
        <v/>
      </c>
      <c r="K474" s="78" t="str">
        <f aca="false">IF(B474="","",IFERROR(INDEX('CARNET DE SOUDURE'!$E$7:$E$1506,MATCH(B474,'CARNET DE SOUDURE'!$K$7:$K$1506,0)),""))</f>
        <v/>
      </c>
      <c r="L474" s="78" t="str">
        <f aca="false">IF(B474="","",IFERROR(INDEX('CARNET DE SOUDURE'!$D$7:$D$1506,MATCH(B474,'CARNET DE SOUDURE'!$K$7:$K$1506,0)),IFERROR(INDEX('CARNET DE SOUDURE'!$D$7:$D$1506,MATCH(B474,'CARNET DE SOUDURE'!$M$7:$M$1506,0)),"")))</f>
        <v/>
      </c>
      <c r="M474" s="81" t="str">
        <f aca="false">IF(B474="","",IF(OR(J474&lt;&gt;"",K474&lt;&gt;""),"POSÉ EN LIGNE",IF(H474&lt;&gt;"","BARDÉ","EN STOCK")))</f>
        <v/>
      </c>
      <c r="N474" s="79"/>
    </row>
    <row r="475" customFormat="false" ht="15" hidden="false" customHeight="false" outlineLevel="0" collapsed="false">
      <c r="A475" s="78" t="str">
        <f aca="false">IF(B475="","",ROW()-6)</f>
        <v/>
      </c>
      <c r="B475" s="90"/>
      <c r="C475" s="91"/>
      <c r="D475" s="91"/>
      <c r="E475" s="80"/>
      <c r="F475" s="92"/>
      <c r="G475" s="79"/>
      <c r="H475" s="82"/>
      <c r="I475" s="93" t="str">
        <f aca="false">IF(B475="","",IFERROR(INDEX('CARNET DE SOUDURE'!$B$7:$B$1506,MATCH(B475,'CARNET DE SOUDURE'!$K$7:$K$1506,0)),IFERROR(INDEX('CARNET DE SOUDURE'!$B$7:$B$1506,MATCH(B475,'CARNET DE SOUDURE'!$M$7:$M$1506,0)),"")))</f>
        <v/>
      </c>
      <c r="J475" s="78" t="str">
        <f aca="false">IF(B475="","",IFERROR(INDEX('CARNET DE SOUDURE'!$E$7:$E$1506,MATCH(B475,'CARNET DE SOUDURE'!$M$7:$M$1506,0)),""))</f>
        <v/>
      </c>
      <c r="K475" s="78" t="str">
        <f aca="false">IF(B475="","",IFERROR(INDEX('CARNET DE SOUDURE'!$E$7:$E$1506,MATCH(B475,'CARNET DE SOUDURE'!$K$7:$K$1506,0)),""))</f>
        <v/>
      </c>
      <c r="L475" s="78" t="str">
        <f aca="false">IF(B475="","",IFERROR(INDEX('CARNET DE SOUDURE'!$D$7:$D$1506,MATCH(B475,'CARNET DE SOUDURE'!$K$7:$K$1506,0)),IFERROR(INDEX('CARNET DE SOUDURE'!$D$7:$D$1506,MATCH(B475,'CARNET DE SOUDURE'!$M$7:$M$1506,0)),"")))</f>
        <v/>
      </c>
      <c r="M475" s="81" t="str">
        <f aca="false">IF(B475="","",IF(OR(J475&lt;&gt;"",K475&lt;&gt;""),"POSÉ EN LIGNE",IF(H475&lt;&gt;"","BARDÉ","EN STOCK")))</f>
        <v/>
      </c>
      <c r="N475" s="79"/>
    </row>
    <row r="476" customFormat="false" ht="15" hidden="false" customHeight="false" outlineLevel="0" collapsed="false">
      <c r="A476" s="78" t="str">
        <f aca="false">IF(B476="","",ROW()-6)</f>
        <v/>
      </c>
      <c r="B476" s="90"/>
      <c r="C476" s="91"/>
      <c r="D476" s="91"/>
      <c r="E476" s="80"/>
      <c r="F476" s="92"/>
      <c r="G476" s="79"/>
      <c r="H476" s="82"/>
      <c r="I476" s="93" t="str">
        <f aca="false">IF(B476="","",IFERROR(INDEX('CARNET DE SOUDURE'!$B$7:$B$1506,MATCH(B476,'CARNET DE SOUDURE'!$K$7:$K$1506,0)),IFERROR(INDEX('CARNET DE SOUDURE'!$B$7:$B$1506,MATCH(B476,'CARNET DE SOUDURE'!$M$7:$M$1506,0)),"")))</f>
        <v/>
      </c>
      <c r="J476" s="78" t="str">
        <f aca="false">IF(B476="","",IFERROR(INDEX('CARNET DE SOUDURE'!$E$7:$E$1506,MATCH(B476,'CARNET DE SOUDURE'!$M$7:$M$1506,0)),""))</f>
        <v/>
      </c>
      <c r="K476" s="78" t="str">
        <f aca="false">IF(B476="","",IFERROR(INDEX('CARNET DE SOUDURE'!$E$7:$E$1506,MATCH(B476,'CARNET DE SOUDURE'!$K$7:$K$1506,0)),""))</f>
        <v/>
      </c>
      <c r="L476" s="78" t="str">
        <f aca="false">IF(B476="","",IFERROR(INDEX('CARNET DE SOUDURE'!$D$7:$D$1506,MATCH(B476,'CARNET DE SOUDURE'!$K$7:$K$1506,0)),IFERROR(INDEX('CARNET DE SOUDURE'!$D$7:$D$1506,MATCH(B476,'CARNET DE SOUDURE'!$M$7:$M$1506,0)),"")))</f>
        <v/>
      </c>
      <c r="M476" s="81" t="str">
        <f aca="false">IF(B476="","",IF(OR(J476&lt;&gt;"",K476&lt;&gt;""),"POSÉ EN LIGNE",IF(H476&lt;&gt;"","BARDÉ","EN STOCK")))</f>
        <v/>
      </c>
      <c r="N476" s="79"/>
    </row>
    <row r="477" customFormat="false" ht="15" hidden="false" customHeight="false" outlineLevel="0" collapsed="false">
      <c r="A477" s="78" t="str">
        <f aca="false">IF(B477="","",ROW()-6)</f>
        <v/>
      </c>
      <c r="B477" s="90"/>
      <c r="C477" s="91"/>
      <c r="D477" s="91"/>
      <c r="E477" s="80"/>
      <c r="F477" s="92"/>
      <c r="G477" s="79"/>
      <c r="H477" s="82"/>
      <c r="I477" s="93" t="str">
        <f aca="false">IF(B477="","",IFERROR(INDEX('CARNET DE SOUDURE'!$B$7:$B$1506,MATCH(B477,'CARNET DE SOUDURE'!$K$7:$K$1506,0)),IFERROR(INDEX('CARNET DE SOUDURE'!$B$7:$B$1506,MATCH(B477,'CARNET DE SOUDURE'!$M$7:$M$1506,0)),"")))</f>
        <v/>
      </c>
      <c r="J477" s="78" t="str">
        <f aca="false">IF(B477="","",IFERROR(INDEX('CARNET DE SOUDURE'!$E$7:$E$1506,MATCH(B477,'CARNET DE SOUDURE'!$M$7:$M$1506,0)),""))</f>
        <v/>
      </c>
      <c r="K477" s="78" t="str">
        <f aca="false">IF(B477="","",IFERROR(INDEX('CARNET DE SOUDURE'!$E$7:$E$1506,MATCH(B477,'CARNET DE SOUDURE'!$K$7:$K$1506,0)),""))</f>
        <v/>
      </c>
      <c r="L477" s="78" t="str">
        <f aca="false">IF(B477="","",IFERROR(INDEX('CARNET DE SOUDURE'!$D$7:$D$1506,MATCH(B477,'CARNET DE SOUDURE'!$K$7:$K$1506,0)),IFERROR(INDEX('CARNET DE SOUDURE'!$D$7:$D$1506,MATCH(B477,'CARNET DE SOUDURE'!$M$7:$M$1506,0)),"")))</f>
        <v/>
      </c>
      <c r="M477" s="81" t="str">
        <f aca="false">IF(B477="","",IF(OR(J477&lt;&gt;"",K477&lt;&gt;""),"POSÉ EN LIGNE",IF(H477&lt;&gt;"","BARDÉ","EN STOCK")))</f>
        <v/>
      </c>
      <c r="N477" s="79"/>
    </row>
    <row r="478" customFormat="false" ht="15" hidden="false" customHeight="false" outlineLevel="0" collapsed="false">
      <c r="A478" s="78" t="str">
        <f aca="false">IF(B478="","",ROW()-6)</f>
        <v/>
      </c>
      <c r="B478" s="90"/>
      <c r="C478" s="91"/>
      <c r="D478" s="91"/>
      <c r="E478" s="80"/>
      <c r="F478" s="92"/>
      <c r="G478" s="79"/>
      <c r="H478" s="82"/>
      <c r="I478" s="93" t="str">
        <f aca="false">IF(B478="","",IFERROR(INDEX('CARNET DE SOUDURE'!$B$7:$B$1506,MATCH(B478,'CARNET DE SOUDURE'!$K$7:$K$1506,0)),IFERROR(INDEX('CARNET DE SOUDURE'!$B$7:$B$1506,MATCH(B478,'CARNET DE SOUDURE'!$M$7:$M$1506,0)),"")))</f>
        <v/>
      </c>
      <c r="J478" s="78" t="str">
        <f aca="false">IF(B478="","",IFERROR(INDEX('CARNET DE SOUDURE'!$E$7:$E$1506,MATCH(B478,'CARNET DE SOUDURE'!$M$7:$M$1506,0)),""))</f>
        <v/>
      </c>
      <c r="K478" s="78" t="str">
        <f aca="false">IF(B478="","",IFERROR(INDEX('CARNET DE SOUDURE'!$E$7:$E$1506,MATCH(B478,'CARNET DE SOUDURE'!$K$7:$K$1506,0)),""))</f>
        <v/>
      </c>
      <c r="L478" s="78" t="str">
        <f aca="false">IF(B478="","",IFERROR(INDEX('CARNET DE SOUDURE'!$D$7:$D$1506,MATCH(B478,'CARNET DE SOUDURE'!$K$7:$K$1506,0)),IFERROR(INDEX('CARNET DE SOUDURE'!$D$7:$D$1506,MATCH(B478,'CARNET DE SOUDURE'!$M$7:$M$1506,0)),"")))</f>
        <v/>
      </c>
      <c r="M478" s="81" t="str">
        <f aca="false">IF(B478="","",IF(OR(J478&lt;&gt;"",K478&lt;&gt;""),"POSÉ EN LIGNE",IF(H478&lt;&gt;"","BARDÉ","EN STOCK")))</f>
        <v/>
      </c>
      <c r="N478" s="79"/>
    </row>
    <row r="479" customFormat="false" ht="15" hidden="false" customHeight="false" outlineLevel="0" collapsed="false">
      <c r="A479" s="78" t="str">
        <f aca="false">IF(B479="","",ROW()-6)</f>
        <v/>
      </c>
      <c r="B479" s="90"/>
      <c r="C479" s="91"/>
      <c r="D479" s="91"/>
      <c r="E479" s="80"/>
      <c r="F479" s="92"/>
      <c r="G479" s="79"/>
      <c r="H479" s="82"/>
      <c r="I479" s="93" t="str">
        <f aca="false">IF(B479="","",IFERROR(INDEX('CARNET DE SOUDURE'!$B$7:$B$1506,MATCH(B479,'CARNET DE SOUDURE'!$K$7:$K$1506,0)),IFERROR(INDEX('CARNET DE SOUDURE'!$B$7:$B$1506,MATCH(B479,'CARNET DE SOUDURE'!$M$7:$M$1506,0)),"")))</f>
        <v/>
      </c>
      <c r="J479" s="78" t="str">
        <f aca="false">IF(B479="","",IFERROR(INDEX('CARNET DE SOUDURE'!$E$7:$E$1506,MATCH(B479,'CARNET DE SOUDURE'!$M$7:$M$1506,0)),""))</f>
        <v/>
      </c>
      <c r="K479" s="78" t="str">
        <f aca="false">IF(B479="","",IFERROR(INDEX('CARNET DE SOUDURE'!$E$7:$E$1506,MATCH(B479,'CARNET DE SOUDURE'!$K$7:$K$1506,0)),""))</f>
        <v/>
      </c>
      <c r="L479" s="78" t="str">
        <f aca="false">IF(B479="","",IFERROR(INDEX('CARNET DE SOUDURE'!$D$7:$D$1506,MATCH(B479,'CARNET DE SOUDURE'!$K$7:$K$1506,0)),IFERROR(INDEX('CARNET DE SOUDURE'!$D$7:$D$1506,MATCH(B479,'CARNET DE SOUDURE'!$M$7:$M$1506,0)),"")))</f>
        <v/>
      </c>
      <c r="M479" s="81" t="str">
        <f aca="false">IF(B479="","",IF(OR(J479&lt;&gt;"",K479&lt;&gt;""),"POSÉ EN LIGNE",IF(H479&lt;&gt;"","BARDÉ","EN STOCK")))</f>
        <v/>
      </c>
      <c r="N479" s="79"/>
    </row>
    <row r="480" customFormat="false" ht="15" hidden="false" customHeight="false" outlineLevel="0" collapsed="false">
      <c r="A480" s="78" t="str">
        <f aca="false">IF(B480="","",ROW()-6)</f>
        <v/>
      </c>
      <c r="B480" s="90"/>
      <c r="C480" s="91"/>
      <c r="D480" s="91"/>
      <c r="E480" s="80"/>
      <c r="F480" s="92"/>
      <c r="G480" s="79"/>
      <c r="H480" s="82"/>
      <c r="I480" s="93" t="str">
        <f aca="false">IF(B480="","",IFERROR(INDEX('CARNET DE SOUDURE'!$B$7:$B$1506,MATCH(B480,'CARNET DE SOUDURE'!$K$7:$K$1506,0)),IFERROR(INDEX('CARNET DE SOUDURE'!$B$7:$B$1506,MATCH(B480,'CARNET DE SOUDURE'!$M$7:$M$1506,0)),"")))</f>
        <v/>
      </c>
      <c r="J480" s="78" t="str">
        <f aca="false">IF(B480="","",IFERROR(INDEX('CARNET DE SOUDURE'!$E$7:$E$1506,MATCH(B480,'CARNET DE SOUDURE'!$M$7:$M$1506,0)),""))</f>
        <v/>
      </c>
      <c r="K480" s="78" t="str">
        <f aca="false">IF(B480="","",IFERROR(INDEX('CARNET DE SOUDURE'!$E$7:$E$1506,MATCH(B480,'CARNET DE SOUDURE'!$K$7:$K$1506,0)),""))</f>
        <v/>
      </c>
      <c r="L480" s="78" t="str">
        <f aca="false">IF(B480="","",IFERROR(INDEX('CARNET DE SOUDURE'!$D$7:$D$1506,MATCH(B480,'CARNET DE SOUDURE'!$K$7:$K$1506,0)),IFERROR(INDEX('CARNET DE SOUDURE'!$D$7:$D$1506,MATCH(B480,'CARNET DE SOUDURE'!$M$7:$M$1506,0)),"")))</f>
        <v/>
      </c>
      <c r="M480" s="81" t="str">
        <f aca="false">IF(B480="","",IF(OR(J480&lt;&gt;"",K480&lt;&gt;""),"POSÉ EN LIGNE",IF(H480&lt;&gt;"","BARDÉ","EN STOCK")))</f>
        <v/>
      </c>
      <c r="N480" s="79"/>
    </row>
    <row r="481" customFormat="false" ht="15" hidden="false" customHeight="false" outlineLevel="0" collapsed="false">
      <c r="A481" s="78" t="str">
        <f aca="false">IF(B481="","",ROW()-6)</f>
        <v/>
      </c>
      <c r="B481" s="90"/>
      <c r="C481" s="91"/>
      <c r="D481" s="91"/>
      <c r="E481" s="80"/>
      <c r="F481" s="92"/>
      <c r="G481" s="79"/>
      <c r="H481" s="82"/>
      <c r="I481" s="93" t="str">
        <f aca="false">IF(B481="","",IFERROR(INDEX('CARNET DE SOUDURE'!$B$7:$B$1506,MATCH(B481,'CARNET DE SOUDURE'!$K$7:$K$1506,0)),IFERROR(INDEX('CARNET DE SOUDURE'!$B$7:$B$1506,MATCH(B481,'CARNET DE SOUDURE'!$M$7:$M$1506,0)),"")))</f>
        <v/>
      </c>
      <c r="J481" s="78" t="str">
        <f aca="false">IF(B481="","",IFERROR(INDEX('CARNET DE SOUDURE'!$E$7:$E$1506,MATCH(B481,'CARNET DE SOUDURE'!$M$7:$M$1506,0)),""))</f>
        <v/>
      </c>
      <c r="K481" s="78" t="str">
        <f aca="false">IF(B481="","",IFERROR(INDEX('CARNET DE SOUDURE'!$E$7:$E$1506,MATCH(B481,'CARNET DE SOUDURE'!$K$7:$K$1506,0)),""))</f>
        <v/>
      </c>
      <c r="L481" s="78" t="str">
        <f aca="false">IF(B481="","",IFERROR(INDEX('CARNET DE SOUDURE'!$D$7:$D$1506,MATCH(B481,'CARNET DE SOUDURE'!$K$7:$K$1506,0)),IFERROR(INDEX('CARNET DE SOUDURE'!$D$7:$D$1506,MATCH(B481,'CARNET DE SOUDURE'!$M$7:$M$1506,0)),"")))</f>
        <v/>
      </c>
      <c r="M481" s="81" t="str">
        <f aca="false">IF(B481="","",IF(OR(J481&lt;&gt;"",K481&lt;&gt;""),"POSÉ EN LIGNE",IF(H481&lt;&gt;"","BARDÉ","EN STOCK")))</f>
        <v/>
      </c>
      <c r="N481" s="79"/>
    </row>
    <row r="482" customFormat="false" ht="15" hidden="false" customHeight="false" outlineLevel="0" collapsed="false">
      <c r="A482" s="78" t="str">
        <f aca="false">IF(B482="","",ROW()-6)</f>
        <v/>
      </c>
      <c r="B482" s="90"/>
      <c r="C482" s="91"/>
      <c r="D482" s="91"/>
      <c r="E482" s="80"/>
      <c r="F482" s="92"/>
      <c r="G482" s="79"/>
      <c r="H482" s="82"/>
      <c r="I482" s="93" t="str">
        <f aca="false">IF(B482="","",IFERROR(INDEX('CARNET DE SOUDURE'!$B$7:$B$1506,MATCH(B482,'CARNET DE SOUDURE'!$K$7:$K$1506,0)),IFERROR(INDEX('CARNET DE SOUDURE'!$B$7:$B$1506,MATCH(B482,'CARNET DE SOUDURE'!$M$7:$M$1506,0)),"")))</f>
        <v/>
      </c>
      <c r="J482" s="78" t="str">
        <f aca="false">IF(B482="","",IFERROR(INDEX('CARNET DE SOUDURE'!$E$7:$E$1506,MATCH(B482,'CARNET DE SOUDURE'!$M$7:$M$1506,0)),""))</f>
        <v/>
      </c>
      <c r="K482" s="78" t="str">
        <f aca="false">IF(B482="","",IFERROR(INDEX('CARNET DE SOUDURE'!$E$7:$E$1506,MATCH(B482,'CARNET DE SOUDURE'!$K$7:$K$1506,0)),""))</f>
        <v/>
      </c>
      <c r="L482" s="78" t="str">
        <f aca="false">IF(B482="","",IFERROR(INDEX('CARNET DE SOUDURE'!$D$7:$D$1506,MATCH(B482,'CARNET DE SOUDURE'!$K$7:$K$1506,0)),IFERROR(INDEX('CARNET DE SOUDURE'!$D$7:$D$1506,MATCH(B482,'CARNET DE SOUDURE'!$M$7:$M$1506,0)),"")))</f>
        <v/>
      </c>
      <c r="M482" s="81" t="str">
        <f aca="false">IF(B482="","",IF(OR(J482&lt;&gt;"",K482&lt;&gt;""),"POSÉ EN LIGNE",IF(H482&lt;&gt;"","BARDÉ","EN STOCK")))</f>
        <v/>
      </c>
      <c r="N482" s="79"/>
    </row>
    <row r="483" customFormat="false" ht="15" hidden="false" customHeight="false" outlineLevel="0" collapsed="false">
      <c r="A483" s="78" t="str">
        <f aca="false">IF(B483="","",ROW()-6)</f>
        <v/>
      </c>
      <c r="B483" s="90"/>
      <c r="C483" s="91"/>
      <c r="D483" s="91"/>
      <c r="E483" s="80"/>
      <c r="F483" s="92"/>
      <c r="G483" s="79"/>
      <c r="H483" s="82"/>
      <c r="I483" s="93" t="str">
        <f aca="false">IF(B483="","",IFERROR(INDEX('CARNET DE SOUDURE'!$B$7:$B$1506,MATCH(B483,'CARNET DE SOUDURE'!$K$7:$K$1506,0)),IFERROR(INDEX('CARNET DE SOUDURE'!$B$7:$B$1506,MATCH(B483,'CARNET DE SOUDURE'!$M$7:$M$1506,0)),"")))</f>
        <v/>
      </c>
      <c r="J483" s="78" t="str">
        <f aca="false">IF(B483="","",IFERROR(INDEX('CARNET DE SOUDURE'!$E$7:$E$1506,MATCH(B483,'CARNET DE SOUDURE'!$M$7:$M$1506,0)),""))</f>
        <v/>
      </c>
      <c r="K483" s="78" t="str">
        <f aca="false">IF(B483="","",IFERROR(INDEX('CARNET DE SOUDURE'!$E$7:$E$1506,MATCH(B483,'CARNET DE SOUDURE'!$K$7:$K$1506,0)),""))</f>
        <v/>
      </c>
      <c r="L483" s="78" t="str">
        <f aca="false">IF(B483="","",IFERROR(INDEX('CARNET DE SOUDURE'!$D$7:$D$1506,MATCH(B483,'CARNET DE SOUDURE'!$K$7:$K$1506,0)),IFERROR(INDEX('CARNET DE SOUDURE'!$D$7:$D$1506,MATCH(B483,'CARNET DE SOUDURE'!$M$7:$M$1506,0)),"")))</f>
        <v/>
      </c>
      <c r="M483" s="81" t="str">
        <f aca="false">IF(B483="","",IF(OR(J483&lt;&gt;"",K483&lt;&gt;""),"POSÉ EN LIGNE",IF(H483&lt;&gt;"","BARDÉ","EN STOCK")))</f>
        <v/>
      </c>
      <c r="N483" s="79"/>
    </row>
    <row r="484" customFormat="false" ht="15" hidden="false" customHeight="false" outlineLevel="0" collapsed="false">
      <c r="A484" s="78" t="str">
        <f aca="false">IF(B484="","",ROW()-6)</f>
        <v/>
      </c>
      <c r="B484" s="90"/>
      <c r="C484" s="91"/>
      <c r="D484" s="91"/>
      <c r="E484" s="80"/>
      <c r="F484" s="92"/>
      <c r="G484" s="79"/>
      <c r="H484" s="82"/>
      <c r="I484" s="93" t="str">
        <f aca="false">IF(B484="","",IFERROR(INDEX('CARNET DE SOUDURE'!$B$7:$B$1506,MATCH(B484,'CARNET DE SOUDURE'!$K$7:$K$1506,0)),IFERROR(INDEX('CARNET DE SOUDURE'!$B$7:$B$1506,MATCH(B484,'CARNET DE SOUDURE'!$M$7:$M$1506,0)),"")))</f>
        <v/>
      </c>
      <c r="J484" s="78" t="str">
        <f aca="false">IF(B484="","",IFERROR(INDEX('CARNET DE SOUDURE'!$E$7:$E$1506,MATCH(B484,'CARNET DE SOUDURE'!$M$7:$M$1506,0)),""))</f>
        <v/>
      </c>
      <c r="K484" s="78" t="str">
        <f aca="false">IF(B484="","",IFERROR(INDEX('CARNET DE SOUDURE'!$E$7:$E$1506,MATCH(B484,'CARNET DE SOUDURE'!$K$7:$K$1506,0)),""))</f>
        <v/>
      </c>
      <c r="L484" s="78" t="str">
        <f aca="false">IF(B484="","",IFERROR(INDEX('CARNET DE SOUDURE'!$D$7:$D$1506,MATCH(B484,'CARNET DE SOUDURE'!$K$7:$K$1506,0)),IFERROR(INDEX('CARNET DE SOUDURE'!$D$7:$D$1506,MATCH(B484,'CARNET DE SOUDURE'!$M$7:$M$1506,0)),"")))</f>
        <v/>
      </c>
      <c r="M484" s="81" t="str">
        <f aca="false">IF(B484="","",IF(OR(J484&lt;&gt;"",K484&lt;&gt;""),"POSÉ EN LIGNE",IF(H484&lt;&gt;"","BARDÉ","EN STOCK")))</f>
        <v/>
      </c>
      <c r="N484" s="79"/>
    </row>
    <row r="485" customFormat="false" ht="15" hidden="false" customHeight="false" outlineLevel="0" collapsed="false">
      <c r="A485" s="78" t="str">
        <f aca="false">IF(B485="","",ROW()-6)</f>
        <v/>
      </c>
      <c r="B485" s="90"/>
      <c r="C485" s="91"/>
      <c r="D485" s="91"/>
      <c r="E485" s="80"/>
      <c r="F485" s="92"/>
      <c r="G485" s="79"/>
      <c r="H485" s="82"/>
      <c r="I485" s="93" t="str">
        <f aca="false">IF(B485="","",IFERROR(INDEX('CARNET DE SOUDURE'!$B$7:$B$1506,MATCH(B485,'CARNET DE SOUDURE'!$K$7:$K$1506,0)),IFERROR(INDEX('CARNET DE SOUDURE'!$B$7:$B$1506,MATCH(B485,'CARNET DE SOUDURE'!$M$7:$M$1506,0)),"")))</f>
        <v/>
      </c>
      <c r="J485" s="78" t="str">
        <f aca="false">IF(B485="","",IFERROR(INDEX('CARNET DE SOUDURE'!$E$7:$E$1506,MATCH(B485,'CARNET DE SOUDURE'!$M$7:$M$1506,0)),""))</f>
        <v/>
      </c>
      <c r="K485" s="78" t="str">
        <f aca="false">IF(B485="","",IFERROR(INDEX('CARNET DE SOUDURE'!$E$7:$E$1506,MATCH(B485,'CARNET DE SOUDURE'!$K$7:$K$1506,0)),""))</f>
        <v/>
      </c>
      <c r="L485" s="78" t="str">
        <f aca="false">IF(B485="","",IFERROR(INDEX('CARNET DE SOUDURE'!$D$7:$D$1506,MATCH(B485,'CARNET DE SOUDURE'!$K$7:$K$1506,0)),IFERROR(INDEX('CARNET DE SOUDURE'!$D$7:$D$1506,MATCH(B485,'CARNET DE SOUDURE'!$M$7:$M$1506,0)),"")))</f>
        <v/>
      </c>
      <c r="M485" s="81" t="str">
        <f aca="false">IF(B485="","",IF(OR(J485&lt;&gt;"",K485&lt;&gt;""),"POSÉ EN LIGNE",IF(H485&lt;&gt;"","BARDÉ","EN STOCK")))</f>
        <v/>
      </c>
      <c r="N485" s="79"/>
    </row>
    <row r="486" customFormat="false" ht="15" hidden="false" customHeight="false" outlineLevel="0" collapsed="false">
      <c r="A486" s="78" t="str">
        <f aca="false">IF(B486="","",ROW()-6)</f>
        <v/>
      </c>
      <c r="B486" s="90"/>
      <c r="C486" s="91"/>
      <c r="D486" s="91"/>
      <c r="E486" s="80"/>
      <c r="F486" s="92"/>
      <c r="G486" s="79"/>
      <c r="H486" s="82"/>
      <c r="I486" s="93" t="str">
        <f aca="false">IF(B486="","",IFERROR(INDEX('CARNET DE SOUDURE'!$B$7:$B$1506,MATCH(B486,'CARNET DE SOUDURE'!$K$7:$K$1506,0)),IFERROR(INDEX('CARNET DE SOUDURE'!$B$7:$B$1506,MATCH(B486,'CARNET DE SOUDURE'!$M$7:$M$1506,0)),"")))</f>
        <v/>
      </c>
      <c r="J486" s="78" t="str">
        <f aca="false">IF(B486="","",IFERROR(INDEX('CARNET DE SOUDURE'!$E$7:$E$1506,MATCH(B486,'CARNET DE SOUDURE'!$M$7:$M$1506,0)),""))</f>
        <v/>
      </c>
      <c r="K486" s="78" t="str">
        <f aca="false">IF(B486="","",IFERROR(INDEX('CARNET DE SOUDURE'!$E$7:$E$1506,MATCH(B486,'CARNET DE SOUDURE'!$K$7:$K$1506,0)),""))</f>
        <v/>
      </c>
      <c r="L486" s="78" t="str">
        <f aca="false">IF(B486="","",IFERROR(INDEX('CARNET DE SOUDURE'!$D$7:$D$1506,MATCH(B486,'CARNET DE SOUDURE'!$K$7:$K$1506,0)),IFERROR(INDEX('CARNET DE SOUDURE'!$D$7:$D$1506,MATCH(B486,'CARNET DE SOUDURE'!$M$7:$M$1506,0)),"")))</f>
        <v/>
      </c>
      <c r="M486" s="81" t="str">
        <f aca="false">IF(B486="","",IF(OR(J486&lt;&gt;"",K486&lt;&gt;""),"POSÉ EN LIGNE",IF(H486&lt;&gt;"","BARDÉ","EN STOCK")))</f>
        <v/>
      </c>
      <c r="N486" s="79"/>
    </row>
    <row r="487" customFormat="false" ht="15" hidden="false" customHeight="false" outlineLevel="0" collapsed="false">
      <c r="A487" s="78" t="str">
        <f aca="false">IF(B487="","",ROW()-6)</f>
        <v/>
      </c>
      <c r="B487" s="90"/>
      <c r="C487" s="91"/>
      <c r="D487" s="91"/>
      <c r="E487" s="80"/>
      <c r="F487" s="92"/>
      <c r="G487" s="79"/>
      <c r="H487" s="82"/>
      <c r="I487" s="93" t="str">
        <f aca="false">IF(B487="","",IFERROR(INDEX('CARNET DE SOUDURE'!$B$7:$B$1506,MATCH(B487,'CARNET DE SOUDURE'!$K$7:$K$1506,0)),IFERROR(INDEX('CARNET DE SOUDURE'!$B$7:$B$1506,MATCH(B487,'CARNET DE SOUDURE'!$M$7:$M$1506,0)),"")))</f>
        <v/>
      </c>
      <c r="J487" s="78" t="str">
        <f aca="false">IF(B487="","",IFERROR(INDEX('CARNET DE SOUDURE'!$E$7:$E$1506,MATCH(B487,'CARNET DE SOUDURE'!$M$7:$M$1506,0)),""))</f>
        <v/>
      </c>
      <c r="K487" s="78" t="str">
        <f aca="false">IF(B487="","",IFERROR(INDEX('CARNET DE SOUDURE'!$E$7:$E$1506,MATCH(B487,'CARNET DE SOUDURE'!$K$7:$K$1506,0)),""))</f>
        <v/>
      </c>
      <c r="L487" s="78" t="str">
        <f aca="false">IF(B487="","",IFERROR(INDEX('CARNET DE SOUDURE'!$D$7:$D$1506,MATCH(B487,'CARNET DE SOUDURE'!$K$7:$K$1506,0)),IFERROR(INDEX('CARNET DE SOUDURE'!$D$7:$D$1506,MATCH(B487,'CARNET DE SOUDURE'!$M$7:$M$1506,0)),"")))</f>
        <v/>
      </c>
      <c r="M487" s="81" t="str">
        <f aca="false">IF(B487="","",IF(OR(J487&lt;&gt;"",K487&lt;&gt;""),"POSÉ EN LIGNE",IF(H487&lt;&gt;"","BARDÉ","EN STOCK")))</f>
        <v/>
      </c>
      <c r="N487" s="79"/>
    </row>
    <row r="488" customFormat="false" ht="15" hidden="false" customHeight="false" outlineLevel="0" collapsed="false">
      <c r="A488" s="78" t="str">
        <f aca="false">IF(B488="","",ROW()-6)</f>
        <v/>
      </c>
      <c r="B488" s="90"/>
      <c r="C488" s="91"/>
      <c r="D488" s="91"/>
      <c r="E488" s="80"/>
      <c r="F488" s="92"/>
      <c r="G488" s="79"/>
      <c r="H488" s="82"/>
      <c r="I488" s="93" t="str">
        <f aca="false">IF(B488="","",IFERROR(INDEX('CARNET DE SOUDURE'!$B$7:$B$1506,MATCH(B488,'CARNET DE SOUDURE'!$K$7:$K$1506,0)),IFERROR(INDEX('CARNET DE SOUDURE'!$B$7:$B$1506,MATCH(B488,'CARNET DE SOUDURE'!$M$7:$M$1506,0)),"")))</f>
        <v/>
      </c>
      <c r="J488" s="78" t="str">
        <f aca="false">IF(B488="","",IFERROR(INDEX('CARNET DE SOUDURE'!$E$7:$E$1506,MATCH(B488,'CARNET DE SOUDURE'!$M$7:$M$1506,0)),""))</f>
        <v/>
      </c>
      <c r="K488" s="78" t="str">
        <f aca="false">IF(B488="","",IFERROR(INDEX('CARNET DE SOUDURE'!$E$7:$E$1506,MATCH(B488,'CARNET DE SOUDURE'!$K$7:$K$1506,0)),""))</f>
        <v/>
      </c>
      <c r="L488" s="78" t="str">
        <f aca="false">IF(B488="","",IFERROR(INDEX('CARNET DE SOUDURE'!$D$7:$D$1506,MATCH(B488,'CARNET DE SOUDURE'!$K$7:$K$1506,0)),IFERROR(INDEX('CARNET DE SOUDURE'!$D$7:$D$1506,MATCH(B488,'CARNET DE SOUDURE'!$M$7:$M$1506,0)),"")))</f>
        <v/>
      </c>
      <c r="M488" s="81" t="str">
        <f aca="false">IF(B488="","",IF(OR(J488&lt;&gt;"",K488&lt;&gt;""),"POSÉ EN LIGNE",IF(H488&lt;&gt;"","BARDÉ","EN STOCK")))</f>
        <v/>
      </c>
      <c r="N488" s="79"/>
    </row>
    <row r="489" customFormat="false" ht="15" hidden="false" customHeight="false" outlineLevel="0" collapsed="false">
      <c r="A489" s="78" t="str">
        <f aca="false">IF(B489="","",ROW()-6)</f>
        <v/>
      </c>
      <c r="B489" s="90"/>
      <c r="C489" s="91"/>
      <c r="D489" s="91"/>
      <c r="E489" s="80"/>
      <c r="F489" s="92"/>
      <c r="G489" s="79"/>
      <c r="H489" s="82"/>
      <c r="I489" s="93" t="str">
        <f aca="false">IF(B489="","",IFERROR(INDEX('CARNET DE SOUDURE'!$B$7:$B$1506,MATCH(B489,'CARNET DE SOUDURE'!$K$7:$K$1506,0)),IFERROR(INDEX('CARNET DE SOUDURE'!$B$7:$B$1506,MATCH(B489,'CARNET DE SOUDURE'!$M$7:$M$1506,0)),"")))</f>
        <v/>
      </c>
      <c r="J489" s="78" t="str">
        <f aca="false">IF(B489="","",IFERROR(INDEX('CARNET DE SOUDURE'!$E$7:$E$1506,MATCH(B489,'CARNET DE SOUDURE'!$M$7:$M$1506,0)),""))</f>
        <v/>
      </c>
      <c r="K489" s="78" t="str">
        <f aca="false">IF(B489="","",IFERROR(INDEX('CARNET DE SOUDURE'!$E$7:$E$1506,MATCH(B489,'CARNET DE SOUDURE'!$K$7:$K$1506,0)),""))</f>
        <v/>
      </c>
      <c r="L489" s="78" t="str">
        <f aca="false">IF(B489="","",IFERROR(INDEX('CARNET DE SOUDURE'!$D$7:$D$1506,MATCH(B489,'CARNET DE SOUDURE'!$K$7:$K$1506,0)),IFERROR(INDEX('CARNET DE SOUDURE'!$D$7:$D$1506,MATCH(B489,'CARNET DE SOUDURE'!$M$7:$M$1506,0)),"")))</f>
        <v/>
      </c>
      <c r="M489" s="81" t="str">
        <f aca="false">IF(B489="","",IF(OR(J489&lt;&gt;"",K489&lt;&gt;""),"POSÉ EN LIGNE",IF(H489&lt;&gt;"","BARDÉ","EN STOCK")))</f>
        <v/>
      </c>
      <c r="N489" s="79"/>
    </row>
    <row r="490" customFormat="false" ht="15" hidden="false" customHeight="false" outlineLevel="0" collapsed="false">
      <c r="A490" s="78" t="str">
        <f aca="false">IF(B490="","",ROW()-6)</f>
        <v/>
      </c>
      <c r="B490" s="90"/>
      <c r="C490" s="91"/>
      <c r="D490" s="91"/>
      <c r="E490" s="80"/>
      <c r="F490" s="92"/>
      <c r="G490" s="79"/>
      <c r="H490" s="82"/>
      <c r="I490" s="93" t="str">
        <f aca="false">IF(B490="","",IFERROR(INDEX('CARNET DE SOUDURE'!$B$7:$B$1506,MATCH(B490,'CARNET DE SOUDURE'!$K$7:$K$1506,0)),IFERROR(INDEX('CARNET DE SOUDURE'!$B$7:$B$1506,MATCH(B490,'CARNET DE SOUDURE'!$M$7:$M$1506,0)),"")))</f>
        <v/>
      </c>
      <c r="J490" s="78" t="str">
        <f aca="false">IF(B490="","",IFERROR(INDEX('CARNET DE SOUDURE'!$E$7:$E$1506,MATCH(B490,'CARNET DE SOUDURE'!$M$7:$M$1506,0)),""))</f>
        <v/>
      </c>
      <c r="K490" s="78" t="str">
        <f aca="false">IF(B490="","",IFERROR(INDEX('CARNET DE SOUDURE'!$E$7:$E$1506,MATCH(B490,'CARNET DE SOUDURE'!$K$7:$K$1506,0)),""))</f>
        <v/>
      </c>
      <c r="L490" s="78" t="str">
        <f aca="false">IF(B490="","",IFERROR(INDEX('CARNET DE SOUDURE'!$D$7:$D$1506,MATCH(B490,'CARNET DE SOUDURE'!$K$7:$K$1506,0)),IFERROR(INDEX('CARNET DE SOUDURE'!$D$7:$D$1506,MATCH(B490,'CARNET DE SOUDURE'!$M$7:$M$1506,0)),"")))</f>
        <v/>
      </c>
      <c r="M490" s="81" t="str">
        <f aca="false">IF(B490="","",IF(OR(J490&lt;&gt;"",K490&lt;&gt;""),"POSÉ EN LIGNE",IF(H490&lt;&gt;"","BARDÉ","EN STOCK")))</f>
        <v/>
      </c>
      <c r="N490" s="79"/>
    </row>
    <row r="491" customFormat="false" ht="15" hidden="false" customHeight="false" outlineLevel="0" collapsed="false">
      <c r="A491" s="78" t="str">
        <f aca="false">IF(B491="","",ROW()-6)</f>
        <v/>
      </c>
      <c r="B491" s="90"/>
      <c r="C491" s="91"/>
      <c r="D491" s="91"/>
      <c r="E491" s="80"/>
      <c r="F491" s="92"/>
      <c r="G491" s="79"/>
      <c r="H491" s="82"/>
      <c r="I491" s="93" t="str">
        <f aca="false">IF(B491="","",IFERROR(INDEX('CARNET DE SOUDURE'!$B$7:$B$1506,MATCH(B491,'CARNET DE SOUDURE'!$K$7:$K$1506,0)),IFERROR(INDEX('CARNET DE SOUDURE'!$B$7:$B$1506,MATCH(B491,'CARNET DE SOUDURE'!$M$7:$M$1506,0)),"")))</f>
        <v/>
      </c>
      <c r="J491" s="78" t="str">
        <f aca="false">IF(B491="","",IFERROR(INDEX('CARNET DE SOUDURE'!$E$7:$E$1506,MATCH(B491,'CARNET DE SOUDURE'!$M$7:$M$1506,0)),""))</f>
        <v/>
      </c>
      <c r="K491" s="78" t="str">
        <f aca="false">IF(B491="","",IFERROR(INDEX('CARNET DE SOUDURE'!$E$7:$E$1506,MATCH(B491,'CARNET DE SOUDURE'!$K$7:$K$1506,0)),""))</f>
        <v/>
      </c>
      <c r="L491" s="78" t="str">
        <f aca="false">IF(B491="","",IFERROR(INDEX('CARNET DE SOUDURE'!$D$7:$D$1506,MATCH(B491,'CARNET DE SOUDURE'!$K$7:$K$1506,0)),IFERROR(INDEX('CARNET DE SOUDURE'!$D$7:$D$1506,MATCH(B491,'CARNET DE SOUDURE'!$M$7:$M$1506,0)),"")))</f>
        <v/>
      </c>
      <c r="M491" s="81" t="str">
        <f aca="false">IF(B491="","",IF(OR(J491&lt;&gt;"",K491&lt;&gt;""),"POSÉ EN LIGNE",IF(H491&lt;&gt;"","BARDÉ","EN STOCK")))</f>
        <v/>
      </c>
      <c r="N491" s="79"/>
    </row>
    <row r="492" customFormat="false" ht="15" hidden="false" customHeight="false" outlineLevel="0" collapsed="false">
      <c r="A492" s="78" t="str">
        <f aca="false">IF(B492="","",ROW()-6)</f>
        <v/>
      </c>
      <c r="B492" s="90"/>
      <c r="C492" s="91"/>
      <c r="D492" s="91"/>
      <c r="E492" s="80"/>
      <c r="F492" s="92"/>
      <c r="G492" s="79"/>
      <c r="H492" s="82"/>
      <c r="I492" s="93" t="str">
        <f aca="false">IF(B492="","",IFERROR(INDEX('CARNET DE SOUDURE'!$B$7:$B$1506,MATCH(B492,'CARNET DE SOUDURE'!$K$7:$K$1506,0)),IFERROR(INDEX('CARNET DE SOUDURE'!$B$7:$B$1506,MATCH(B492,'CARNET DE SOUDURE'!$M$7:$M$1506,0)),"")))</f>
        <v/>
      </c>
      <c r="J492" s="78" t="str">
        <f aca="false">IF(B492="","",IFERROR(INDEX('CARNET DE SOUDURE'!$E$7:$E$1506,MATCH(B492,'CARNET DE SOUDURE'!$M$7:$M$1506,0)),""))</f>
        <v/>
      </c>
      <c r="K492" s="78" t="str">
        <f aca="false">IF(B492="","",IFERROR(INDEX('CARNET DE SOUDURE'!$E$7:$E$1506,MATCH(B492,'CARNET DE SOUDURE'!$K$7:$K$1506,0)),""))</f>
        <v/>
      </c>
      <c r="L492" s="78" t="str">
        <f aca="false">IF(B492="","",IFERROR(INDEX('CARNET DE SOUDURE'!$D$7:$D$1506,MATCH(B492,'CARNET DE SOUDURE'!$K$7:$K$1506,0)),IFERROR(INDEX('CARNET DE SOUDURE'!$D$7:$D$1506,MATCH(B492,'CARNET DE SOUDURE'!$M$7:$M$1506,0)),"")))</f>
        <v/>
      </c>
      <c r="M492" s="81" t="str">
        <f aca="false">IF(B492="","",IF(OR(J492&lt;&gt;"",K492&lt;&gt;""),"POSÉ EN LIGNE",IF(H492&lt;&gt;"","BARDÉ","EN STOCK")))</f>
        <v/>
      </c>
      <c r="N492" s="79"/>
    </row>
    <row r="493" customFormat="false" ht="15" hidden="false" customHeight="false" outlineLevel="0" collapsed="false">
      <c r="A493" s="78" t="str">
        <f aca="false">IF(B493="","",ROW()-6)</f>
        <v/>
      </c>
      <c r="B493" s="90"/>
      <c r="C493" s="91"/>
      <c r="D493" s="91"/>
      <c r="E493" s="80"/>
      <c r="F493" s="92"/>
      <c r="G493" s="79"/>
      <c r="H493" s="82"/>
      <c r="I493" s="93" t="str">
        <f aca="false">IF(B493="","",IFERROR(INDEX('CARNET DE SOUDURE'!$B$7:$B$1506,MATCH(B493,'CARNET DE SOUDURE'!$K$7:$K$1506,0)),IFERROR(INDEX('CARNET DE SOUDURE'!$B$7:$B$1506,MATCH(B493,'CARNET DE SOUDURE'!$M$7:$M$1506,0)),"")))</f>
        <v/>
      </c>
      <c r="J493" s="78" t="str">
        <f aca="false">IF(B493="","",IFERROR(INDEX('CARNET DE SOUDURE'!$E$7:$E$1506,MATCH(B493,'CARNET DE SOUDURE'!$M$7:$M$1506,0)),""))</f>
        <v/>
      </c>
      <c r="K493" s="78" t="str">
        <f aca="false">IF(B493="","",IFERROR(INDEX('CARNET DE SOUDURE'!$E$7:$E$1506,MATCH(B493,'CARNET DE SOUDURE'!$K$7:$K$1506,0)),""))</f>
        <v/>
      </c>
      <c r="L493" s="78" t="str">
        <f aca="false">IF(B493="","",IFERROR(INDEX('CARNET DE SOUDURE'!$D$7:$D$1506,MATCH(B493,'CARNET DE SOUDURE'!$K$7:$K$1506,0)),IFERROR(INDEX('CARNET DE SOUDURE'!$D$7:$D$1506,MATCH(B493,'CARNET DE SOUDURE'!$M$7:$M$1506,0)),"")))</f>
        <v/>
      </c>
      <c r="M493" s="81" t="str">
        <f aca="false">IF(B493="","",IF(OR(J493&lt;&gt;"",K493&lt;&gt;""),"POSÉ EN LIGNE",IF(H493&lt;&gt;"","BARDÉ","EN STOCK")))</f>
        <v/>
      </c>
      <c r="N493" s="79"/>
    </row>
    <row r="494" customFormat="false" ht="15" hidden="false" customHeight="false" outlineLevel="0" collapsed="false">
      <c r="A494" s="78" t="str">
        <f aca="false">IF(B494="","",ROW()-6)</f>
        <v/>
      </c>
      <c r="B494" s="90"/>
      <c r="C494" s="91"/>
      <c r="D494" s="91"/>
      <c r="E494" s="80"/>
      <c r="F494" s="92"/>
      <c r="G494" s="79"/>
      <c r="H494" s="82"/>
      <c r="I494" s="93" t="str">
        <f aca="false">IF(B494="","",IFERROR(INDEX('CARNET DE SOUDURE'!$B$7:$B$1506,MATCH(B494,'CARNET DE SOUDURE'!$K$7:$K$1506,0)),IFERROR(INDEX('CARNET DE SOUDURE'!$B$7:$B$1506,MATCH(B494,'CARNET DE SOUDURE'!$M$7:$M$1506,0)),"")))</f>
        <v/>
      </c>
      <c r="J494" s="78" t="str">
        <f aca="false">IF(B494="","",IFERROR(INDEX('CARNET DE SOUDURE'!$E$7:$E$1506,MATCH(B494,'CARNET DE SOUDURE'!$M$7:$M$1506,0)),""))</f>
        <v/>
      </c>
      <c r="K494" s="78" t="str">
        <f aca="false">IF(B494="","",IFERROR(INDEX('CARNET DE SOUDURE'!$E$7:$E$1506,MATCH(B494,'CARNET DE SOUDURE'!$K$7:$K$1506,0)),""))</f>
        <v/>
      </c>
      <c r="L494" s="78" t="str">
        <f aca="false">IF(B494="","",IFERROR(INDEX('CARNET DE SOUDURE'!$D$7:$D$1506,MATCH(B494,'CARNET DE SOUDURE'!$K$7:$K$1506,0)),IFERROR(INDEX('CARNET DE SOUDURE'!$D$7:$D$1506,MATCH(B494,'CARNET DE SOUDURE'!$M$7:$M$1506,0)),"")))</f>
        <v/>
      </c>
      <c r="M494" s="81" t="str">
        <f aca="false">IF(B494="","",IF(OR(J494&lt;&gt;"",K494&lt;&gt;""),"POSÉ EN LIGNE",IF(H494&lt;&gt;"","BARDÉ","EN STOCK")))</f>
        <v/>
      </c>
      <c r="N494" s="79"/>
    </row>
    <row r="495" customFormat="false" ht="15" hidden="false" customHeight="false" outlineLevel="0" collapsed="false">
      <c r="A495" s="78" t="str">
        <f aca="false">IF(B495="","",ROW()-6)</f>
        <v/>
      </c>
      <c r="B495" s="90"/>
      <c r="C495" s="91"/>
      <c r="D495" s="91"/>
      <c r="E495" s="80"/>
      <c r="F495" s="92"/>
      <c r="G495" s="79"/>
      <c r="H495" s="82"/>
      <c r="I495" s="93" t="str">
        <f aca="false">IF(B495="","",IFERROR(INDEX('CARNET DE SOUDURE'!$B$7:$B$1506,MATCH(B495,'CARNET DE SOUDURE'!$K$7:$K$1506,0)),IFERROR(INDEX('CARNET DE SOUDURE'!$B$7:$B$1506,MATCH(B495,'CARNET DE SOUDURE'!$M$7:$M$1506,0)),"")))</f>
        <v/>
      </c>
      <c r="J495" s="78" t="str">
        <f aca="false">IF(B495="","",IFERROR(INDEX('CARNET DE SOUDURE'!$E$7:$E$1506,MATCH(B495,'CARNET DE SOUDURE'!$M$7:$M$1506,0)),""))</f>
        <v/>
      </c>
      <c r="K495" s="78" t="str">
        <f aca="false">IF(B495="","",IFERROR(INDEX('CARNET DE SOUDURE'!$E$7:$E$1506,MATCH(B495,'CARNET DE SOUDURE'!$K$7:$K$1506,0)),""))</f>
        <v/>
      </c>
      <c r="L495" s="78" t="str">
        <f aca="false">IF(B495="","",IFERROR(INDEX('CARNET DE SOUDURE'!$D$7:$D$1506,MATCH(B495,'CARNET DE SOUDURE'!$K$7:$K$1506,0)),IFERROR(INDEX('CARNET DE SOUDURE'!$D$7:$D$1506,MATCH(B495,'CARNET DE SOUDURE'!$M$7:$M$1506,0)),"")))</f>
        <v/>
      </c>
      <c r="M495" s="81" t="str">
        <f aca="false">IF(B495="","",IF(OR(J495&lt;&gt;"",K495&lt;&gt;""),"POSÉ EN LIGNE",IF(H495&lt;&gt;"","BARDÉ","EN STOCK")))</f>
        <v/>
      </c>
      <c r="N495" s="79"/>
    </row>
    <row r="496" customFormat="false" ht="15" hidden="false" customHeight="false" outlineLevel="0" collapsed="false">
      <c r="A496" s="78" t="str">
        <f aca="false">IF(B496="","",ROW()-6)</f>
        <v/>
      </c>
      <c r="B496" s="90"/>
      <c r="C496" s="91"/>
      <c r="D496" s="91"/>
      <c r="E496" s="80"/>
      <c r="F496" s="92"/>
      <c r="G496" s="79"/>
      <c r="H496" s="82"/>
      <c r="I496" s="93" t="str">
        <f aca="false">IF(B496="","",IFERROR(INDEX('CARNET DE SOUDURE'!$B$7:$B$1506,MATCH(B496,'CARNET DE SOUDURE'!$K$7:$K$1506,0)),IFERROR(INDEX('CARNET DE SOUDURE'!$B$7:$B$1506,MATCH(B496,'CARNET DE SOUDURE'!$M$7:$M$1506,0)),"")))</f>
        <v/>
      </c>
      <c r="J496" s="78" t="str">
        <f aca="false">IF(B496="","",IFERROR(INDEX('CARNET DE SOUDURE'!$E$7:$E$1506,MATCH(B496,'CARNET DE SOUDURE'!$M$7:$M$1506,0)),""))</f>
        <v/>
      </c>
      <c r="K496" s="78" t="str">
        <f aca="false">IF(B496="","",IFERROR(INDEX('CARNET DE SOUDURE'!$E$7:$E$1506,MATCH(B496,'CARNET DE SOUDURE'!$K$7:$K$1506,0)),""))</f>
        <v/>
      </c>
      <c r="L496" s="78" t="str">
        <f aca="false">IF(B496="","",IFERROR(INDEX('CARNET DE SOUDURE'!$D$7:$D$1506,MATCH(B496,'CARNET DE SOUDURE'!$K$7:$K$1506,0)),IFERROR(INDEX('CARNET DE SOUDURE'!$D$7:$D$1506,MATCH(B496,'CARNET DE SOUDURE'!$M$7:$M$1506,0)),"")))</f>
        <v/>
      </c>
      <c r="M496" s="81" t="str">
        <f aca="false">IF(B496="","",IF(OR(J496&lt;&gt;"",K496&lt;&gt;""),"POSÉ EN LIGNE",IF(H496&lt;&gt;"","BARDÉ","EN STOCK")))</f>
        <v/>
      </c>
      <c r="N496" s="79"/>
    </row>
    <row r="497" customFormat="false" ht="15" hidden="false" customHeight="false" outlineLevel="0" collapsed="false">
      <c r="A497" s="78" t="str">
        <f aca="false">IF(B497="","",ROW()-6)</f>
        <v/>
      </c>
      <c r="B497" s="90"/>
      <c r="C497" s="91"/>
      <c r="D497" s="91"/>
      <c r="E497" s="80"/>
      <c r="F497" s="92"/>
      <c r="G497" s="79"/>
      <c r="H497" s="82"/>
      <c r="I497" s="93" t="str">
        <f aca="false">IF(B497="","",IFERROR(INDEX('CARNET DE SOUDURE'!$B$7:$B$1506,MATCH(B497,'CARNET DE SOUDURE'!$K$7:$K$1506,0)),IFERROR(INDEX('CARNET DE SOUDURE'!$B$7:$B$1506,MATCH(B497,'CARNET DE SOUDURE'!$M$7:$M$1506,0)),"")))</f>
        <v/>
      </c>
      <c r="J497" s="78" t="str">
        <f aca="false">IF(B497="","",IFERROR(INDEX('CARNET DE SOUDURE'!$E$7:$E$1506,MATCH(B497,'CARNET DE SOUDURE'!$M$7:$M$1506,0)),""))</f>
        <v/>
      </c>
      <c r="K497" s="78" t="str">
        <f aca="false">IF(B497="","",IFERROR(INDEX('CARNET DE SOUDURE'!$E$7:$E$1506,MATCH(B497,'CARNET DE SOUDURE'!$K$7:$K$1506,0)),""))</f>
        <v/>
      </c>
      <c r="L497" s="78" t="str">
        <f aca="false">IF(B497="","",IFERROR(INDEX('CARNET DE SOUDURE'!$D$7:$D$1506,MATCH(B497,'CARNET DE SOUDURE'!$K$7:$K$1506,0)),IFERROR(INDEX('CARNET DE SOUDURE'!$D$7:$D$1506,MATCH(B497,'CARNET DE SOUDURE'!$M$7:$M$1506,0)),"")))</f>
        <v/>
      </c>
      <c r="M497" s="81" t="str">
        <f aca="false">IF(B497="","",IF(OR(J497&lt;&gt;"",K497&lt;&gt;""),"POSÉ EN LIGNE",IF(H497&lt;&gt;"","BARDÉ","EN STOCK")))</f>
        <v/>
      </c>
      <c r="N497" s="79"/>
    </row>
    <row r="498" customFormat="false" ht="15" hidden="false" customHeight="false" outlineLevel="0" collapsed="false">
      <c r="A498" s="78" t="str">
        <f aca="false">IF(B498="","",ROW()-6)</f>
        <v/>
      </c>
      <c r="B498" s="90"/>
      <c r="C498" s="91"/>
      <c r="D498" s="91"/>
      <c r="E498" s="80"/>
      <c r="F498" s="92"/>
      <c r="G498" s="79"/>
      <c r="H498" s="82"/>
      <c r="I498" s="93" t="str">
        <f aca="false">IF(B498="","",IFERROR(INDEX('CARNET DE SOUDURE'!$B$7:$B$1506,MATCH(B498,'CARNET DE SOUDURE'!$K$7:$K$1506,0)),IFERROR(INDEX('CARNET DE SOUDURE'!$B$7:$B$1506,MATCH(B498,'CARNET DE SOUDURE'!$M$7:$M$1506,0)),"")))</f>
        <v/>
      </c>
      <c r="J498" s="78" t="str">
        <f aca="false">IF(B498="","",IFERROR(INDEX('CARNET DE SOUDURE'!$E$7:$E$1506,MATCH(B498,'CARNET DE SOUDURE'!$M$7:$M$1506,0)),""))</f>
        <v/>
      </c>
      <c r="K498" s="78" t="str">
        <f aca="false">IF(B498="","",IFERROR(INDEX('CARNET DE SOUDURE'!$E$7:$E$1506,MATCH(B498,'CARNET DE SOUDURE'!$K$7:$K$1506,0)),""))</f>
        <v/>
      </c>
      <c r="L498" s="78" t="str">
        <f aca="false">IF(B498="","",IFERROR(INDEX('CARNET DE SOUDURE'!$D$7:$D$1506,MATCH(B498,'CARNET DE SOUDURE'!$K$7:$K$1506,0)),IFERROR(INDEX('CARNET DE SOUDURE'!$D$7:$D$1506,MATCH(B498,'CARNET DE SOUDURE'!$M$7:$M$1506,0)),"")))</f>
        <v/>
      </c>
      <c r="M498" s="81" t="str">
        <f aca="false">IF(B498="","",IF(OR(J498&lt;&gt;"",K498&lt;&gt;""),"POSÉ EN LIGNE",IF(H498&lt;&gt;"","BARDÉ","EN STOCK")))</f>
        <v/>
      </c>
      <c r="N498" s="79"/>
    </row>
    <row r="499" customFormat="false" ht="15" hidden="false" customHeight="false" outlineLevel="0" collapsed="false">
      <c r="A499" s="78" t="str">
        <f aca="false">IF(B499="","",ROW()-6)</f>
        <v/>
      </c>
      <c r="B499" s="90"/>
      <c r="C499" s="91"/>
      <c r="D499" s="91"/>
      <c r="E499" s="80"/>
      <c r="F499" s="92"/>
      <c r="G499" s="79"/>
      <c r="H499" s="82"/>
      <c r="I499" s="93" t="str">
        <f aca="false">IF(B499="","",IFERROR(INDEX('CARNET DE SOUDURE'!$B$7:$B$1506,MATCH(B499,'CARNET DE SOUDURE'!$K$7:$K$1506,0)),IFERROR(INDEX('CARNET DE SOUDURE'!$B$7:$B$1506,MATCH(B499,'CARNET DE SOUDURE'!$M$7:$M$1506,0)),"")))</f>
        <v/>
      </c>
      <c r="J499" s="78" t="str">
        <f aca="false">IF(B499="","",IFERROR(INDEX('CARNET DE SOUDURE'!$E$7:$E$1506,MATCH(B499,'CARNET DE SOUDURE'!$M$7:$M$1506,0)),""))</f>
        <v/>
      </c>
      <c r="K499" s="78" t="str">
        <f aca="false">IF(B499="","",IFERROR(INDEX('CARNET DE SOUDURE'!$E$7:$E$1506,MATCH(B499,'CARNET DE SOUDURE'!$K$7:$K$1506,0)),""))</f>
        <v/>
      </c>
      <c r="L499" s="78" t="str">
        <f aca="false">IF(B499="","",IFERROR(INDEX('CARNET DE SOUDURE'!$D$7:$D$1506,MATCH(B499,'CARNET DE SOUDURE'!$K$7:$K$1506,0)),IFERROR(INDEX('CARNET DE SOUDURE'!$D$7:$D$1506,MATCH(B499,'CARNET DE SOUDURE'!$M$7:$M$1506,0)),"")))</f>
        <v/>
      </c>
      <c r="M499" s="81" t="str">
        <f aca="false">IF(B499="","",IF(OR(J499&lt;&gt;"",K499&lt;&gt;""),"POSÉ EN LIGNE",IF(H499&lt;&gt;"","BARDÉ","EN STOCK")))</f>
        <v/>
      </c>
      <c r="N499" s="79"/>
    </row>
    <row r="500" customFormat="false" ht="15" hidden="false" customHeight="false" outlineLevel="0" collapsed="false">
      <c r="A500" s="78" t="str">
        <f aca="false">IF(B500="","",ROW()-6)</f>
        <v/>
      </c>
      <c r="B500" s="90"/>
      <c r="C500" s="91"/>
      <c r="D500" s="91"/>
      <c r="E500" s="80"/>
      <c r="F500" s="92"/>
      <c r="G500" s="79"/>
      <c r="H500" s="82"/>
      <c r="I500" s="93" t="str">
        <f aca="false">IF(B500="","",IFERROR(INDEX('CARNET DE SOUDURE'!$B$7:$B$1506,MATCH(B500,'CARNET DE SOUDURE'!$K$7:$K$1506,0)),IFERROR(INDEX('CARNET DE SOUDURE'!$B$7:$B$1506,MATCH(B500,'CARNET DE SOUDURE'!$M$7:$M$1506,0)),"")))</f>
        <v/>
      </c>
      <c r="J500" s="78" t="str">
        <f aca="false">IF(B500="","",IFERROR(INDEX('CARNET DE SOUDURE'!$E$7:$E$1506,MATCH(B500,'CARNET DE SOUDURE'!$M$7:$M$1506,0)),""))</f>
        <v/>
      </c>
      <c r="K500" s="78" t="str">
        <f aca="false">IF(B500="","",IFERROR(INDEX('CARNET DE SOUDURE'!$E$7:$E$1506,MATCH(B500,'CARNET DE SOUDURE'!$K$7:$K$1506,0)),""))</f>
        <v/>
      </c>
      <c r="L500" s="78" t="str">
        <f aca="false">IF(B500="","",IFERROR(INDEX('CARNET DE SOUDURE'!$D$7:$D$1506,MATCH(B500,'CARNET DE SOUDURE'!$K$7:$K$1506,0)),IFERROR(INDEX('CARNET DE SOUDURE'!$D$7:$D$1506,MATCH(B500,'CARNET DE SOUDURE'!$M$7:$M$1506,0)),"")))</f>
        <v/>
      </c>
      <c r="M500" s="81" t="str">
        <f aca="false">IF(B500="","",IF(OR(J500&lt;&gt;"",K500&lt;&gt;""),"POSÉ EN LIGNE",IF(H500&lt;&gt;"","BARDÉ","EN STOCK")))</f>
        <v/>
      </c>
      <c r="N500" s="79"/>
    </row>
    <row r="501" customFormat="false" ht="15" hidden="false" customHeight="false" outlineLevel="0" collapsed="false">
      <c r="A501" s="78" t="str">
        <f aca="false">IF(B501="","",ROW()-6)</f>
        <v/>
      </c>
      <c r="B501" s="90"/>
      <c r="C501" s="91"/>
      <c r="D501" s="91"/>
      <c r="E501" s="80"/>
      <c r="F501" s="92"/>
      <c r="G501" s="79"/>
      <c r="H501" s="82"/>
      <c r="I501" s="93" t="str">
        <f aca="false">IF(B501="","",IFERROR(INDEX('CARNET DE SOUDURE'!$B$7:$B$1506,MATCH(B501,'CARNET DE SOUDURE'!$K$7:$K$1506,0)),IFERROR(INDEX('CARNET DE SOUDURE'!$B$7:$B$1506,MATCH(B501,'CARNET DE SOUDURE'!$M$7:$M$1506,0)),"")))</f>
        <v/>
      </c>
      <c r="J501" s="78" t="str">
        <f aca="false">IF(B501="","",IFERROR(INDEX('CARNET DE SOUDURE'!$E$7:$E$1506,MATCH(B501,'CARNET DE SOUDURE'!$M$7:$M$1506,0)),""))</f>
        <v/>
      </c>
      <c r="K501" s="78" t="str">
        <f aca="false">IF(B501="","",IFERROR(INDEX('CARNET DE SOUDURE'!$E$7:$E$1506,MATCH(B501,'CARNET DE SOUDURE'!$K$7:$K$1506,0)),""))</f>
        <v/>
      </c>
      <c r="L501" s="78" t="str">
        <f aca="false">IF(B501="","",IFERROR(INDEX('CARNET DE SOUDURE'!$D$7:$D$1506,MATCH(B501,'CARNET DE SOUDURE'!$K$7:$K$1506,0)),IFERROR(INDEX('CARNET DE SOUDURE'!$D$7:$D$1506,MATCH(B501,'CARNET DE SOUDURE'!$M$7:$M$1506,0)),"")))</f>
        <v/>
      </c>
      <c r="M501" s="81" t="str">
        <f aca="false">IF(B501="","",IF(OR(J501&lt;&gt;"",K501&lt;&gt;""),"POSÉ EN LIGNE",IF(H501&lt;&gt;"","BARDÉ","EN STOCK")))</f>
        <v/>
      </c>
      <c r="N501" s="79"/>
    </row>
    <row r="502" customFormat="false" ht="15" hidden="false" customHeight="false" outlineLevel="0" collapsed="false">
      <c r="A502" s="78" t="str">
        <f aca="false">IF(B502="","",ROW()-6)</f>
        <v/>
      </c>
      <c r="B502" s="90"/>
      <c r="C502" s="91"/>
      <c r="D502" s="91"/>
      <c r="E502" s="80"/>
      <c r="F502" s="92"/>
      <c r="G502" s="79"/>
      <c r="H502" s="82"/>
      <c r="I502" s="93" t="str">
        <f aca="false">IF(B502="","",IFERROR(INDEX('CARNET DE SOUDURE'!$B$7:$B$1506,MATCH(B502,'CARNET DE SOUDURE'!$K$7:$K$1506,0)),IFERROR(INDEX('CARNET DE SOUDURE'!$B$7:$B$1506,MATCH(B502,'CARNET DE SOUDURE'!$M$7:$M$1506,0)),"")))</f>
        <v/>
      </c>
      <c r="J502" s="78" t="str">
        <f aca="false">IF(B502="","",IFERROR(INDEX('CARNET DE SOUDURE'!$E$7:$E$1506,MATCH(B502,'CARNET DE SOUDURE'!$M$7:$M$1506,0)),""))</f>
        <v/>
      </c>
      <c r="K502" s="78" t="str">
        <f aca="false">IF(B502="","",IFERROR(INDEX('CARNET DE SOUDURE'!$E$7:$E$1506,MATCH(B502,'CARNET DE SOUDURE'!$K$7:$K$1506,0)),""))</f>
        <v/>
      </c>
      <c r="L502" s="78" t="str">
        <f aca="false">IF(B502="","",IFERROR(INDEX('CARNET DE SOUDURE'!$D$7:$D$1506,MATCH(B502,'CARNET DE SOUDURE'!$K$7:$K$1506,0)),IFERROR(INDEX('CARNET DE SOUDURE'!$D$7:$D$1506,MATCH(B502,'CARNET DE SOUDURE'!$M$7:$M$1506,0)),"")))</f>
        <v/>
      </c>
      <c r="M502" s="81" t="str">
        <f aca="false">IF(B502="","",IF(OR(J502&lt;&gt;"",K502&lt;&gt;""),"POSÉ EN LIGNE",IF(H502&lt;&gt;"","BARDÉ","EN STOCK")))</f>
        <v/>
      </c>
      <c r="N502" s="79"/>
    </row>
    <row r="503" customFormat="false" ht="15" hidden="false" customHeight="false" outlineLevel="0" collapsed="false">
      <c r="A503" s="78" t="str">
        <f aca="false">IF(B503="","",ROW()-6)</f>
        <v/>
      </c>
      <c r="B503" s="90"/>
      <c r="C503" s="91"/>
      <c r="D503" s="91"/>
      <c r="E503" s="80"/>
      <c r="F503" s="92"/>
      <c r="G503" s="79"/>
      <c r="H503" s="82"/>
      <c r="I503" s="93" t="str">
        <f aca="false">IF(B503="","",IFERROR(INDEX('CARNET DE SOUDURE'!$B$7:$B$1506,MATCH(B503,'CARNET DE SOUDURE'!$K$7:$K$1506,0)),IFERROR(INDEX('CARNET DE SOUDURE'!$B$7:$B$1506,MATCH(B503,'CARNET DE SOUDURE'!$M$7:$M$1506,0)),"")))</f>
        <v/>
      </c>
      <c r="J503" s="78" t="str">
        <f aca="false">IF(B503="","",IFERROR(INDEX('CARNET DE SOUDURE'!$E$7:$E$1506,MATCH(B503,'CARNET DE SOUDURE'!$M$7:$M$1506,0)),""))</f>
        <v/>
      </c>
      <c r="K503" s="78" t="str">
        <f aca="false">IF(B503="","",IFERROR(INDEX('CARNET DE SOUDURE'!$E$7:$E$1506,MATCH(B503,'CARNET DE SOUDURE'!$K$7:$K$1506,0)),""))</f>
        <v/>
      </c>
      <c r="L503" s="78" t="str">
        <f aca="false">IF(B503="","",IFERROR(INDEX('CARNET DE SOUDURE'!$D$7:$D$1506,MATCH(B503,'CARNET DE SOUDURE'!$K$7:$K$1506,0)),IFERROR(INDEX('CARNET DE SOUDURE'!$D$7:$D$1506,MATCH(B503,'CARNET DE SOUDURE'!$M$7:$M$1506,0)),"")))</f>
        <v/>
      </c>
      <c r="M503" s="81" t="str">
        <f aca="false">IF(B503="","",IF(OR(J503&lt;&gt;"",K503&lt;&gt;""),"POSÉ EN LIGNE",IF(H503&lt;&gt;"","BARDÉ","EN STOCK")))</f>
        <v/>
      </c>
      <c r="N503" s="79"/>
    </row>
    <row r="504" customFormat="false" ht="15" hidden="false" customHeight="false" outlineLevel="0" collapsed="false">
      <c r="A504" s="78" t="str">
        <f aca="false">IF(B504="","",ROW()-6)</f>
        <v/>
      </c>
      <c r="B504" s="90"/>
      <c r="C504" s="91"/>
      <c r="D504" s="91"/>
      <c r="E504" s="80"/>
      <c r="F504" s="92"/>
      <c r="G504" s="79"/>
      <c r="H504" s="82"/>
      <c r="I504" s="93" t="str">
        <f aca="false">IF(B504="","",IFERROR(INDEX('CARNET DE SOUDURE'!$B$7:$B$1506,MATCH(B504,'CARNET DE SOUDURE'!$K$7:$K$1506,0)),IFERROR(INDEX('CARNET DE SOUDURE'!$B$7:$B$1506,MATCH(B504,'CARNET DE SOUDURE'!$M$7:$M$1506,0)),"")))</f>
        <v/>
      </c>
      <c r="J504" s="78" t="str">
        <f aca="false">IF(B504="","",IFERROR(INDEX('CARNET DE SOUDURE'!$E$7:$E$1506,MATCH(B504,'CARNET DE SOUDURE'!$M$7:$M$1506,0)),""))</f>
        <v/>
      </c>
      <c r="K504" s="78" t="str">
        <f aca="false">IF(B504="","",IFERROR(INDEX('CARNET DE SOUDURE'!$E$7:$E$1506,MATCH(B504,'CARNET DE SOUDURE'!$K$7:$K$1506,0)),""))</f>
        <v/>
      </c>
      <c r="L504" s="78" t="str">
        <f aca="false">IF(B504="","",IFERROR(INDEX('CARNET DE SOUDURE'!$D$7:$D$1506,MATCH(B504,'CARNET DE SOUDURE'!$K$7:$K$1506,0)),IFERROR(INDEX('CARNET DE SOUDURE'!$D$7:$D$1506,MATCH(B504,'CARNET DE SOUDURE'!$M$7:$M$1506,0)),"")))</f>
        <v/>
      </c>
      <c r="M504" s="81" t="str">
        <f aca="false">IF(B504="","",IF(OR(J504&lt;&gt;"",K504&lt;&gt;""),"POSÉ EN LIGNE",IF(H504&lt;&gt;"","BARDÉ","EN STOCK")))</f>
        <v/>
      </c>
      <c r="N504" s="79"/>
    </row>
    <row r="505" customFormat="false" ht="15" hidden="false" customHeight="false" outlineLevel="0" collapsed="false">
      <c r="A505" s="78" t="str">
        <f aca="false">IF(B505="","",ROW()-6)</f>
        <v/>
      </c>
      <c r="B505" s="90"/>
      <c r="C505" s="91"/>
      <c r="D505" s="91"/>
      <c r="E505" s="80"/>
      <c r="F505" s="92"/>
      <c r="G505" s="79"/>
      <c r="H505" s="82"/>
      <c r="I505" s="93" t="str">
        <f aca="false">IF(B505="","",IFERROR(INDEX('CARNET DE SOUDURE'!$B$7:$B$1506,MATCH(B505,'CARNET DE SOUDURE'!$K$7:$K$1506,0)),IFERROR(INDEX('CARNET DE SOUDURE'!$B$7:$B$1506,MATCH(B505,'CARNET DE SOUDURE'!$M$7:$M$1506,0)),"")))</f>
        <v/>
      </c>
      <c r="J505" s="78" t="str">
        <f aca="false">IF(B505="","",IFERROR(INDEX('CARNET DE SOUDURE'!$E$7:$E$1506,MATCH(B505,'CARNET DE SOUDURE'!$M$7:$M$1506,0)),""))</f>
        <v/>
      </c>
      <c r="K505" s="78" t="str">
        <f aca="false">IF(B505="","",IFERROR(INDEX('CARNET DE SOUDURE'!$E$7:$E$1506,MATCH(B505,'CARNET DE SOUDURE'!$K$7:$K$1506,0)),""))</f>
        <v/>
      </c>
      <c r="L505" s="78" t="str">
        <f aca="false">IF(B505="","",IFERROR(INDEX('CARNET DE SOUDURE'!$D$7:$D$1506,MATCH(B505,'CARNET DE SOUDURE'!$K$7:$K$1506,0)),IFERROR(INDEX('CARNET DE SOUDURE'!$D$7:$D$1506,MATCH(B505,'CARNET DE SOUDURE'!$M$7:$M$1506,0)),"")))</f>
        <v/>
      </c>
      <c r="M505" s="81" t="str">
        <f aca="false">IF(B505="","",IF(OR(J505&lt;&gt;"",K505&lt;&gt;""),"POSÉ EN LIGNE",IF(H505&lt;&gt;"","BARDÉ","EN STOCK")))</f>
        <v/>
      </c>
      <c r="N505" s="79"/>
    </row>
    <row r="506" customFormat="false" ht="15" hidden="false" customHeight="false" outlineLevel="0" collapsed="false">
      <c r="A506" s="78" t="str">
        <f aca="false">IF(B506="","",ROW()-6)</f>
        <v/>
      </c>
      <c r="B506" s="90"/>
      <c r="C506" s="91"/>
      <c r="D506" s="91"/>
      <c r="E506" s="80"/>
      <c r="F506" s="92"/>
      <c r="G506" s="79"/>
      <c r="H506" s="82"/>
      <c r="I506" s="93" t="str">
        <f aca="false">IF(B506="","",IFERROR(INDEX('CARNET DE SOUDURE'!$B$7:$B$1506,MATCH(B506,'CARNET DE SOUDURE'!$K$7:$K$1506,0)),IFERROR(INDEX('CARNET DE SOUDURE'!$B$7:$B$1506,MATCH(B506,'CARNET DE SOUDURE'!$M$7:$M$1506,0)),"")))</f>
        <v/>
      </c>
      <c r="J506" s="78" t="str">
        <f aca="false">IF(B506="","",IFERROR(INDEX('CARNET DE SOUDURE'!$E$7:$E$1506,MATCH(B506,'CARNET DE SOUDURE'!$M$7:$M$1506,0)),""))</f>
        <v/>
      </c>
      <c r="K506" s="78" t="str">
        <f aca="false">IF(B506="","",IFERROR(INDEX('CARNET DE SOUDURE'!$E$7:$E$1506,MATCH(B506,'CARNET DE SOUDURE'!$K$7:$K$1506,0)),""))</f>
        <v/>
      </c>
      <c r="L506" s="78" t="str">
        <f aca="false">IF(B506="","",IFERROR(INDEX('CARNET DE SOUDURE'!$D$7:$D$1506,MATCH(B506,'CARNET DE SOUDURE'!$K$7:$K$1506,0)),IFERROR(INDEX('CARNET DE SOUDURE'!$D$7:$D$1506,MATCH(B506,'CARNET DE SOUDURE'!$M$7:$M$1506,0)),"")))</f>
        <v/>
      </c>
      <c r="M506" s="81" t="str">
        <f aca="false">IF(B506="","",IF(OR(J506&lt;&gt;"",K506&lt;&gt;""),"POSÉ EN LIGNE",IF(H506&lt;&gt;"","BARDÉ","EN STOCK")))</f>
        <v/>
      </c>
      <c r="N506" s="79"/>
    </row>
    <row r="507" customFormat="false" ht="15" hidden="false" customHeight="false" outlineLevel="0" collapsed="false">
      <c r="A507" s="78" t="str">
        <f aca="false">IF(B507="","",ROW()-6)</f>
        <v/>
      </c>
      <c r="B507" s="90"/>
      <c r="C507" s="91"/>
      <c r="D507" s="91"/>
      <c r="E507" s="80"/>
      <c r="F507" s="92"/>
      <c r="G507" s="79"/>
      <c r="H507" s="82"/>
      <c r="I507" s="93" t="str">
        <f aca="false">IF(B507="","",IFERROR(INDEX('CARNET DE SOUDURE'!$B$7:$B$1506,MATCH(B507,'CARNET DE SOUDURE'!$K$7:$K$1506,0)),IFERROR(INDEX('CARNET DE SOUDURE'!$B$7:$B$1506,MATCH(B507,'CARNET DE SOUDURE'!$M$7:$M$1506,0)),"")))</f>
        <v/>
      </c>
      <c r="J507" s="78" t="str">
        <f aca="false">IF(B507="","",IFERROR(INDEX('CARNET DE SOUDURE'!$E$7:$E$1506,MATCH(B507,'CARNET DE SOUDURE'!$M$7:$M$1506,0)),""))</f>
        <v/>
      </c>
      <c r="K507" s="78" t="str">
        <f aca="false">IF(B507="","",IFERROR(INDEX('CARNET DE SOUDURE'!$E$7:$E$1506,MATCH(B507,'CARNET DE SOUDURE'!$K$7:$K$1506,0)),""))</f>
        <v/>
      </c>
      <c r="L507" s="78" t="str">
        <f aca="false">IF(B507="","",IFERROR(INDEX('CARNET DE SOUDURE'!$D$7:$D$1506,MATCH(B507,'CARNET DE SOUDURE'!$K$7:$K$1506,0)),IFERROR(INDEX('CARNET DE SOUDURE'!$D$7:$D$1506,MATCH(B507,'CARNET DE SOUDURE'!$M$7:$M$1506,0)),"")))</f>
        <v/>
      </c>
      <c r="M507" s="81" t="str">
        <f aca="false">IF(B507="","",IF(OR(J507&lt;&gt;"",K507&lt;&gt;""),"POSÉ EN LIGNE",IF(H507&lt;&gt;"","BARDÉ","EN STOCK")))</f>
        <v/>
      </c>
      <c r="N507" s="79"/>
    </row>
    <row r="508" customFormat="false" ht="15" hidden="false" customHeight="false" outlineLevel="0" collapsed="false">
      <c r="A508" s="78" t="str">
        <f aca="false">IF(B508="","",ROW()-6)</f>
        <v/>
      </c>
      <c r="B508" s="90"/>
      <c r="C508" s="91"/>
      <c r="D508" s="91"/>
      <c r="E508" s="80"/>
      <c r="F508" s="92"/>
      <c r="G508" s="79"/>
      <c r="H508" s="82"/>
      <c r="I508" s="93" t="str">
        <f aca="false">IF(B508="","",IFERROR(INDEX('CARNET DE SOUDURE'!$B$7:$B$1506,MATCH(B508,'CARNET DE SOUDURE'!$K$7:$K$1506,0)),IFERROR(INDEX('CARNET DE SOUDURE'!$B$7:$B$1506,MATCH(B508,'CARNET DE SOUDURE'!$M$7:$M$1506,0)),"")))</f>
        <v/>
      </c>
      <c r="J508" s="78" t="str">
        <f aca="false">IF(B508="","",IFERROR(INDEX('CARNET DE SOUDURE'!$E$7:$E$1506,MATCH(B508,'CARNET DE SOUDURE'!$M$7:$M$1506,0)),""))</f>
        <v/>
      </c>
      <c r="K508" s="78" t="str">
        <f aca="false">IF(B508="","",IFERROR(INDEX('CARNET DE SOUDURE'!$E$7:$E$1506,MATCH(B508,'CARNET DE SOUDURE'!$K$7:$K$1506,0)),""))</f>
        <v/>
      </c>
      <c r="L508" s="78" t="str">
        <f aca="false">IF(B508="","",IFERROR(INDEX('CARNET DE SOUDURE'!$D$7:$D$1506,MATCH(B508,'CARNET DE SOUDURE'!$K$7:$K$1506,0)),IFERROR(INDEX('CARNET DE SOUDURE'!$D$7:$D$1506,MATCH(B508,'CARNET DE SOUDURE'!$M$7:$M$1506,0)),"")))</f>
        <v/>
      </c>
      <c r="M508" s="81" t="str">
        <f aca="false">IF(B508="","",IF(OR(J508&lt;&gt;"",K508&lt;&gt;""),"POSÉ EN LIGNE",IF(H508&lt;&gt;"","BARDÉ","EN STOCK")))</f>
        <v/>
      </c>
      <c r="N508" s="79"/>
    </row>
    <row r="509" customFormat="false" ht="15" hidden="false" customHeight="false" outlineLevel="0" collapsed="false">
      <c r="A509" s="78" t="str">
        <f aca="false">IF(B509="","",ROW()-6)</f>
        <v/>
      </c>
      <c r="B509" s="90"/>
      <c r="C509" s="91"/>
      <c r="D509" s="91"/>
      <c r="E509" s="80"/>
      <c r="F509" s="92"/>
      <c r="G509" s="79"/>
      <c r="H509" s="82"/>
      <c r="I509" s="93" t="str">
        <f aca="false">IF(B509="","",IFERROR(INDEX('CARNET DE SOUDURE'!$B$7:$B$1506,MATCH(B509,'CARNET DE SOUDURE'!$K$7:$K$1506,0)),IFERROR(INDEX('CARNET DE SOUDURE'!$B$7:$B$1506,MATCH(B509,'CARNET DE SOUDURE'!$M$7:$M$1506,0)),"")))</f>
        <v/>
      </c>
      <c r="J509" s="78" t="str">
        <f aca="false">IF(B509="","",IFERROR(INDEX('CARNET DE SOUDURE'!$E$7:$E$1506,MATCH(B509,'CARNET DE SOUDURE'!$M$7:$M$1506,0)),""))</f>
        <v/>
      </c>
      <c r="K509" s="78" t="str">
        <f aca="false">IF(B509="","",IFERROR(INDEX('CARNET DE SOUDURE'!$E$7:$E$1506,MATCH(B509,'CARNET DE SOUDURE'!$K$7:$K$1506,0)),""))</f>
        <v/>
      </c>
      <c r="L509" s="78" t="str">
        <f aca="false">IF(B509="","",IFERROR(INDEX('CARNET DE SOUDURE'!$D$7:$D$1506,MATCH(B509,'CARNET DE SOUDURE'!$K$7:$K$1506,0)),IFERROR(INDEX('CARNET DE SOUDURE'!$D$7:$D$1506,MATCH(B509,'CARNET DE SOUDURE'!$M$7:$M$1506,0)),"")))</f>
        <v/>
      </c>
      <c r="M509" s="81" t="str">
        <f aca="false">IF(B509="","",IF(OR(J509&lt;&gt;"",K509&lt;&gt;""),"POSÉ EN LIGNE",IF(H509&lt;&gt;"","BARDÉ","EN STOCK")))</f>
        <v/>
      </c>
      <c r="N509" s="79"/>
    </row>
    <row r="510" customFormat="false" ht="15" hidden="false" customHeight="false" outlineLevel="0" collapsed="false">
      <c r="A510" s="78" t="str">
        <f aca="false">IF(B510="","",ROW()-6)</f>
        <v/>
      </c>
      <c r="B510" s="90"/>
      <c r="C510" s="91"/>
      <c r="D510" s="91"/>
      <c r="E510" s="80"/>
      <c r="F510" s="92"/>
      <c r="G510" s="79"/>
      <c r="H510" s="82"/>
      <c r="I510" s="93" t="str">
        <f aca="false">IF(B510="","",IFERROR(INDEX('CARNET DE SOUDURE'!$B$7:$B$1506,MATCH(B510,'CARNET DE SOUDURE'!$K$7:$K$1506,0)),IFERROR(INDEX('CARNET DE SOUDURE'!$B$7:$B$1506,MATCH(B510,'CARNET DE SOUDURE'!$M$7:$M$1506,0)),"")))</f>
        <v/>
      </c>
      <c r="J510" s="78" t="str">
        <f aca="false">IF(B510="","",IFERROR(INDEX('CARNET DE SOUDURE'!$E$7:$E$1506,MATCH(B510,'CARNET DE SOUDURE'!$M$7:$M$1506,0)),""))</f>
        <v/>
      </c>
      <c r="K510" s="78" t="str">
        <f aca="false">IF(B510="","",IFERROR(INDEX('CARNET DE SOUDURE'!$E$7:$E$1506,MATCH(B510,'CARNET DE SOUDURE'!$K$7:$K$1506,0)),""))</f>
        <v/>
      </c>
      <c r="L510" s="78" t="str">
        <f aca="false">IF(B510="","",IFERROR(INDEX('CARNET DE SOUDURE'!$D$7:$D$1506,MATCH(B510,'CARNET DE SOUDURE'!$K$7:$K$1506,0)),IFERROR(INDEX('CARNET DE SOUDURE'!$D$7:$D$1506,MATCH(B510,'CARNET DE SOUDURE'!$M$7:$M$1506,0)),"")))</f>
        <v/>
      </c>
      <c r="M510" s="81" t="str">
        <f aca="false">IF(B510="","",IF(OR(J510&lt;&gt;"",K510&lt;&gt;""),"POSÉ EN LIGNE",IF(H510&lt;&gt;"","BARDÉ","EN STOCK")))</f>
        <v/>
      </c>
      <c r="N510" s="79"/>
    </row>
    <row r="511" customFormat="false" ht="15" hidden="false" customHeight="false" outlineLevel="0" collapsed="false">
      <c r="A511" s="78" t="str">
        <f aca="false">IF(B511="","",ROW()-6)</f>
        <v/>
      </c>
      <c r="B511" s="90"/>
      <c r="C511" s="91"/>
      <c r="D511" s="91"/>
      <c r="E511" s="80"/>
      <c r="F511" s="92"/>
      <c r="G511" s="79"/>
      <c r="H511" s="82"/>
      <c r="I511" s="93" t="str">
        <f aca="false">IF(B511="","",IFERROR(INDEX('CARNET DE SOUDURE'!$B$7:$B$1506,MATCH(B511,'CARNET DE SOUDURE'!$K$7:$K$1506,0)),IFERROR(INDEX('CARNET DE SOUDURE'!$B$7:$B$1506,MATCH(B511,'CARNET DE SOUDURE'!$M$7:$M$1506,0)),"")))</f>
        <v/>
      </c>
      <c r="J511" s="78" t="str">
        <f aca="false">IF(B511="","",IFERROR(INDEX('CARNET DE SOUDURE'!$E$7:$E$1506,MATCH(B511,'CARNET DE SOUDURE'!$M$7:$M$1506,0)),""))</f>
        <v/>
      </c>
      <c r="K511" s="78" t="str">
        <f aca="false">IF(B511="","",IFERROR(INDEX('CARNET DE SOUDURE'!$E$7:$E$1506,MATCH(B511,'CARNET DE SOUDURE'!$K$7:$K$1506,0)),""))</f>
        <v/>
      </c>
      <c r="L511" s="78" t="str">
        <f aca="false">IF(B511="","",IFERROR(INDEX('CARNET DE SOUDURE'!$D$7:$D$1506,MATCH(B511,'CARNET DE SOUDURE'!$K$7:$K$1506,0)),IFERROR(INDEX('CARNET DE SOUDURE'!$D$7:$D$1506,MATCH(B511,'CARNET DE SOUDURE'!$M$7:$M$1506,0)),"")))</f>
        <v/>
      </c>
      <c r="M511" s="81" t="str">
        <f aca="false">IF(B511="","",IF(OR(J511&lt;&gt;"",K511&lt;&gt;""),"POSÉ EN LIGNE",IF(H511&lt;&gt;"","BARDÉ","EN STOCK")))</f>
        <v/>
      </c>
      <c r="N511" s="79"/>
    </row>
    <row r="512" customFormat="false" ht="15" hidden="false" customHeight="false" outlineLevel="0" collapsed="false">
      <c r="A512" s="78" t="str">
        <f aca="false">IF(B512="","",ROW()-6)</f>
        <v/>
      </c>
      <c r="B512" s="90"/>
      <c r="C512" s="91"/>
      <c r="D512" s="91"/>
      <c r="E512" s="80"/>
      <c r="F512" s="92"/>
      <c r="G512" s="79"/>
      <c r="H512" s="82"/>
      <c r="I512" s="93" t="str">
        <f aca="false">IF(B512="","",IFERROR(INDEX('CARNET DE SOUDURE'!$B$7:$B$1506,MATCH(B512,'CARNET DE SOUDURE'!$K$7:$K$1506,0)),IFERROR(INDEX('CARNET DE SOUDURE'!$B$7:$B$1506,MATCH(B512,'CARNET DE SOUDURE'!$M$7:$M$1506,0)),"")))</f>
        <v/>
      </c>
      <c r="J512" s="78" t="str">
        <f aca="false">IF(B512="","",IFERROR(INDEX('CARNET DE SOUDURE'!$E$7:$E$1506,MATCH(B512,'CARNET DE SOUDURE'!$M$7:$M$1506,0)),""))</f>
        <v/>
      </c>
      <c r="K512" s="78" t="str">
        <f aca="false">IF(B512="","",IFERROR(INDEX('CARNET DE SOUDURE'!$E$7:$E$1506,MATCH(B512,'CARNET DE SOUDURE'!$K$7:$K$1506,0)),""))</f>
        <v/>
      </c>
      <c r="L512" s="78" t="str">
        <f aca="false">IF(B512="","",IFERROR(INDEX('CARNET DE SOUDURE'!$D$7:$D$1506,MATCH(B512,'CARNET DE SOUDURE'!$K$7:$K$1506,0)),IFERROR(INDEX('CARNET DE SOUDURE'!$D$7:$D$1506,MATCH(B512,'CARNET DE SOUDURE'!$M$7:$M$1506,0)),"")))</f>
        <v/>
      </c>
      <c r="M512" s="81" t="str">
        <f aca="false">IF(B512="","",IF(OR(J512&lt;&gt;"",K512&lt;&gt;""),"POSÉ EN LIGNE",IF(H512&lt;&gt;"","BARDÉ","EN STOCK")))</f>
        <v/>
      </c>
      <c r="N512" s="79"/>
    </row>
    <row r="513" customFormat="false" ht="15" hidden="false" customHeight="false" outlineLevel="0" collapsed="false">
      <c r="A513" s="78" t="str">
        <f aca="false">IF(B513="","",ROW()-6)</f>
        <v/>
      </c>
      <c r="B513" s="90"/>
      <c r="C513" s="91"/>
      <c r="D513" s="91"/>
      <c r="E513" s="80"/>
      <c r="F513" s="92"/>
      <c r="G513" s="79"/>
      <c r="H513" s="82"/>
      <c r="I513" s="93" t="str">
        <f aca="false">IF(B513="","",IFERROR(INDEX('CARNET DE SOUDURE'!$B$7:$B$1506,MATCH(B513,'CARNET DE SOUDURE'!$K$7:$K$1506,0)),IFERROR(INDEX('CARNET DE SOUDURE'!$B$7:$B$1506,MATCH(B513,'CARNET DE SOUDURE'!$M$7:$M$1506,0)),"")))</f>
        <v/>
      </c>
      <c r="J513" s="78" t="str">
        <f aca="false">IF(B513="","",IFERROR(INDEX('CARNET DE SOUDURE'!$E$7:$E$1506,MATCH(B513,'CARNET DE SOUDURE'!$M$7:$M$1506,0)),""))</f>
        <v/>
      </c>
      <c r="K513" s="78" t="str">
        <f aca="false">IF(B513="","",IFERROR(INDEX('CARNET DE SOUDURE'!$E$7:$E$1506,MATCH(B513,'CARNET DE SOUDURE'!$K$7:$K$1506,0)),""))</f>
        <v/>
      </c>
      <c r="L513" s="78" t="str">
        <f aca="false">IF(B513="","",IFERROR(INDEX('CARNET DE SOUDURE'!$D$7:$D$1506,MATCH(B513,'CARNET DE SOUDURE'!$K$7:$K$1506,0)),IFERROR(INDEX('CARNET DE SOUDURE'!$D$7:$D$1506,MATCH(B513,'CARNET DE SOUDURE'!$M$7:$M$1506,0)),"")))</f>
        <v/>
      </c>
      <c r="M513" s="81" t="str">
        <f aca="false">IF(B513="","",IF(OR(J513&lt;&gt;"",K513&lt;&gt;""),"POSÉ EN LIGNE",IF(H513&lt;&gt;"","BARDÉ","EN STOCK")))</f>
        <v/>
      </c>
      <c r="N513" s="79"/>
    </row>
    <row r="514" customFormat="false" ht="15" hidden="false" customHeight="false" outlineLevel="0" collapsed="false">
      <c r="A514" s="78" t="str">
        <f aca="false">IF(B514="","",ROW()-6)</f>
        <v/>
      </c>
      <c r="B514" s="90"/>
      <c r="C514" s="91"/>
      <c r="D514" s="91"/>
      <c r="E514" s="80"/>
      <c r="F514" s="92"/>
      <c r="G514" s="79"/>
      <c r="H514" s="82"/>
      <c r="I514" s="93" t="str">
        <f aca="false">IF(B514="","",IFERROR(INDEX('CARNET DE SOUDURE'!$B$7:$B$1506,MATCH(B514,'CARNET DE SOUDURE'!$K$7:$K$1506,0)),IFERROR(INDEX('CARNET DE SOUDURE'!$B$7:$B$1506,MATCH(B514,'CARNET DE SOUDURE'!$M$7:$M$1506,0)),"")))</f>
        <v/>
      </c>
      <c r="J514" s="78" t="str">
        <f aca="false">IF(B514="","",IFERROR(INDEX('CARNET DE SOUDURE'!$E$7:$E$1506,MATCH(B514,'CARNET DE SOUDURE'!$M$7:$M$1506,0)),""))</f>
        <v/>
      </c>
      <c r="K514" s="78" t="str">
        <f aca="false">IF(B514="","",IFERROR(INDEX('CARNET DE SOUDURE'!$E$7:$E$1506,MATCH(B514,'CARNET DE SOUDURE'!$K$7:$K$1506,0)),""))</f>
        <v/>
      </c>
      <c r="L514" s="78" t="str">
        <f aca="false">IF(B514="","",IFERROR(INDEX('CARNET DE SOUDURE'!$D$7:$D$1506,MATCH(B514,'CARNET DE SOUDURE'!$K$7:$K$1506,0)),IFERROR(INDEX('CARNET DE SOUDURE'!$D$7:$D$1506,MATCH(B514,'CARNET DE SOUDURE'!$M$7:$M$1506,0)),"")))</f>
        <v/>
      </c>
      <c r="M514" s="81" t="str">
        <f aca="false">IF(B514="","",IF(OR(J514&lt;&gt;"",K514&lt;&gt;""),"POSÉ EN LIGNE",IF(H514&lt;&gt;"","BARDÉ","EN STOCK")))</f>
        <v/>
      </c>
      <c r="N514" s="79"/>
    </row>
    <row r="515" customFormat="false" ht="15" hidden="false" customHeight="false" outlineLevel="0" collapsed="false">
      <c r="A515" s="78" t="str">
        <f aca="false">IF(B515="","",ROW()-6)</f>
        <v/>
      </c>
      <c r="B515" s="90"/>
      <c r="C515" s="91"/>
      <c r="D515" s="91"/>
      <c r="E515" s="80"/>
      <c r="F515" s="92"/>
      <c r="G515" s="79"/>
      <c r="H515" s="82"/>
      <c r="I515" s="93" t="str">
        <f aca="false">IF(B515="","",IFERROR(INDEX('CARNET DE SOUDURE'!$B$7:$B$1506,MATCH(B515,'CARNET DE SOUDURE'!$K$7:$K$1506,0)),IFERROR(INDEX('CARNET DE SOUDURE'!$B$7:$B$1506,MATCH(B515,'CARNET DE SOUDURE'!$M$7:$M$1506,0)),"")))</f>
        <v/>
      </c>
      <c r="J515" s="78" t="str">
        <f aca="false">IF(B515="","",IFERROR(INDEX('CARNET DE SOUDURE'!$E$7:$E$1506,MATCH(B515,'CARNET DE SOUDURE'!$M$7:$M$1506,0)),""))</f>
        <v/>
      </c>
      <c r="K515" s="78" t="str">
        <f aca="false">IF(B515="","",IFERROR(INDEX('CARNET DE SOUDURE'!$E$7:$E$1506,MATCH(B515,'CARNET DE SOUDURE'!$K$7:$K$1506,0)),""))</f>
        <v/>
      </c>
      <c r="L515" s="78" t="str">
        <f aca="false">IF(B515="","",IFERROR(INDEX('CARNET DE SOUDURE'!$D$7:$D$1506,MATCH(B515,'CARNET DE SOUDURE'!$K$7:$K$1506,0)),IFERROR(INDEX('CARNET DE SOUDURE'!$D$7:$D$1506,MATCH(B515,'CARNET DE SOUDURE'!$M$7:$M$1506,0)),"")))</f>
        <v/>
      </c>
      <c r="M515" s="81" t="str">
        <f aca="false">IF(B515="","",IF(OR(J515&lt;&gt;"",K515&lt;&gt;""),"POSÉ EN LIGNE",IF(H515&lt;&gt;"","BARDÉ","EN STOCK")))</f>
        <v/>
      </c>
      <c r="N515" s="79"/>
    </row>
    <row r="516" customFormat="false" ht="15" hidden="false" customHeight="false" outlineLevel="0" collapsed="false">
      <c r="A516" s="78" t="str">
        <f aca="false">IF(B516="","",ROW()-6)</f>
        <v/>
      </c>
      <c r="B516" s="90"/>
      <c r="C516" s="91"/>
      <c r="D516" s="91"/>
      <c r="E516" s="80"/>
      <c r="F516" s="92"/>
      <c r="G516" s="79"/>
      <c r="H516" s="82"/>
      <c r="I516" s="93" t="str">
        <f aca="false">IF(B516="","",IFERROR(INDEX('CARNET DE SOUDURE'!$B$7:$B$1506,MATCH(B516,'CARNET DE SOUDURE'!$K$7:$K$1506,0)),IFERROR(INDEX('CARNET DE SOUDURE'!$B$7:$B$1506,MATCH(B516,'CARNET DE SOUDURE'!$M$7:$M$1506,0)),"")))</f>
        <v/>
      </c>
      <c r="J516" s="78" t="str">
        <f aca="false">IF(B516="","",IFERROR(INDEX('CARNET DE SOUDURE'!$E$7:$E$1506,MATCH(B516,'CARNET DE SOUDURE'!$M$7:$M$1506,0)),""))</f>
        <v/>
      </c>
      <c r="K516" s="78" t="str">
        <f aca="false">IF(B516="","",IFERROR(INDEX('CARNET DE SOUDURE'!$E$7:$E$1506,MATCH(B516,'CARNET DE SOUDURE'!$K$7:$K$1506,0)),""))</f>
        <v/>
      </c>
      <c r="L516" s="78" t="str">
        <f aca="false">IF(B516="","",IFERROR(INDEX('CARNET DE SOUDURE'!$D$7:$D$1506,MATCH(B516,'CARNET DE SOUDURE'!$K$7:$K$1506,0)),IFERROR(INDEX('CARNET DE SOUDURE'!$D$7:$D$1506,MATCH(B516,'CARNET DE SOUDURE'!$M$7:$M$1506,0)),"")))</f>
        <v/>
      </c>
      <c r="M516" s="81" t="str">
        <f aca="false">IF(B516="","",IF(OR(J516&lt;&gt;"",K516&lt;&gt;""),"POSÉ EN LIGNE",IF(H516&lt;&gt;"","BARDÉ","EN STOCK")))</f>
        <v/>
      </c>
      <c r="N516" s="79"/>
    </row>
    <row r="517" customFormat="false" ht="15" hidden="false" customHeight="false" outlineLevel="0" collapsed="false">
      <c r="A517" s="78" t="str">
        <f aca="false">IF(B517="","",ROW()-6)</f>
        <v/>
      </c>
      <c r="B517" s="90"/>
      <c r="C517" s="91"/>
      <c r="D517" s="91"/>
      <c r="E517" s="80"/>
      <c r="F517" s="92"/>
      <c r="G517" s="79"/>
      <c r="H517" s="82"/>
      <c r="I517" s="93" t="str">
        <f aca="false">IF(B517="","",IFERROR(INDEX('CARNET DE SOUDURE'!$B$7:$B$1506,MATCH(B517,'CARNET DE SOUDURE'!$K$7:$K$1506,0)),IFERROR(INDEX('CARNET DE SOUDURE'!$B$7:$B$1506,MATCH(B517,'CARNET DE SOUDURE'!$M$7:$M$1506,0)),"")))</f>
        <v/>
      </c>
      <c r="J517" s="78" t="str">
        <f aca="false">IF(B517="","",IFERROR(INDEX('CARNET DE SOUDURE'!$E$7:$E$1506,MATCH(B517,'CARNET DE SOUDURE'!$M$7:$M$1506,0)),""))</f>
        <v/>
      </c>
      <c r="K517" s="78" t="str">
        <f aca="false">IF(B517="","",IFERROR(INDEX('CARNET DE SOUDURE'!$E$7:$E$1506,MATCH(B517,'CARNET DE SOUDURE'!$K$7:$K$1506,0)),""))</f>
        <v/>
      </c>
      <c r="L517" s="78" t="str">
        <f aca="false">IF(B517="","",IFERROR(INDEX('CARNET DE SOUDURE'!$D$7:$D$1506,MATCH(B517,'CARNET DE SOUDURE'!$K$7:$K$1506,0)),IFERROR(INDEX('CARNET DE SOUDURE'!$D$7:$D$1506,MATCH(B517,'CARNET DE SOUDURE'!$M$7:$M$1506,0)),"")))</f>
        <v/>
      </c>
      <c r="M517" s="81" t="str">
        <f aca="false">IF(B517="","",IF(OR(J517&lt;&gt;"",K517&lt;&gt;""),"POSÉ EN LIGNE",IF(H517&lt;&gt;"","BARDÉ","EN STOCK")))</f>
        <v/>
      </c>
      <c r="N517" s="79"/>
    </row>
    <row r="518" customFormat="false" ht="15" hidden="false" customHeight="false" outlineLevel="0" collapsed="false">
      <c r="A518" s="78" t="str">
        <f aca="false">IF(B518="","",ROW()-6)</f>
        <v/>
      </c>
      <c r="B518" s="90"/>
      <c r="C518" s="91"/>
      <c r="D518" s="91"/>
      <c r="E518" s="80"/>
      <c r="F518" s="92"/>
      <c r="G518" s="79"/>
      <c r="H518" s="82"/>
      <c r="I518" s="93" t="str">
        <f aca="false">IF(B518="","",IFERROR(INDEX('CARNET DE SOUDURE'!$B$7:$B$1506,MATCH(B518,'CARNET DE SOUDURE'!$K$7:$K$1506,0)),IFERROR(INDEX('CARNET DE SOUDURE'!$B$7:$B$1506,MATCH(B518,'CARNET DE SOUDURE'!$M$7:$M$1506,0)),"")))</f>
        <v/>
      </c>
      <c r="J518" s="78" t="str">
        <f aca="false">IF(B518="","",IFERROR(INDEX('CARNET DE SOUDURE'!$E$7:$E$1506,MATCH(B518,'CARNET DE SOUDURE'!$M$7:$M$1506,0)),""))</f>
        <v/>
      </c>
      <c r="K518" s="78" t="str">
        <f aca="false">IF(B518="","",IFERROR(INDEX('CARNET DE SOUDURE'!$E$7:$E$1506,MATCH(B518,'CARNET DE SOUDURE'!$K$7:$K$1506,0)),""))</f>
        <v/>
      </c>
      <c r="L518" s="78" t="str">
        <f aca="false">IF(B518="","",IFERROR(INDEX('CARNET DE SOUDURE'!$D$7:$D$1506,MATCH(B518,'CARNET DE SOUDURE'!$K$7:$K$1506,0)),IFERROR(INDEX('CARNET DE SOUDURE'!$D$7:$D$1506,MATCH(B518,'CARNET DE SOUDURE'!$M$7:$M$1506,0)),"")))</f>
        <v/>
      </c>
      <c r="M518" s="81" t="str">
        <f aca="false">IF(B518="","",IF(OR(J518&lt;&gt;"",K518&lt;&gt;""),"POSÉ EN LIGNE",IF(H518&lt;&gt;"","BARDÉ","EN STOCK")))</f>
        <v/>
      </c>
      <c r="N518" s="79"/>
    </row>
    <row r="519" customFormat="false" ht="15" hidden="false" customHeight="false" outlineLevel="0" collapsed="false">
      <c r="A519" s="78" t="str">
        <f aca="false">IF(B519="","",ROW()-6)</f>
        <v/>
      </c>
      <c r="B519" s="90"/>
      <c r="C519" s="91"/>
      <c r="D519" s="91"/>
      <c r="E519" s="80"/>
      <c r="F519" s="92"/>
      <c r="G519" s="79"/>
      <c r="H519" s="82"/>
      <c r="I519" s="93" t="str">
        <f aca="false">IF(B519="","",IFERROR(INDEX('CARNET DE SOUDURE'!$B$7:$B$1506,MATCH(B519,'CARNET DE SOUDURE'!$K$7:$K$1506,0)),IFERROR(INDEX('CARNET DE SOUDURE'!$B$7:$B$1506,MATCH(B519,'CARNET DE SOUDURE'!$M$7:$M$1506,0)),"")))</f>
        <v/>
      </c>
      <c r="J519" s="78" t="str">
        <f aca="false">IF(B519="","",IFERROR(INDEX('CARNET DE SOUDURE'!$E$7:$E$1506,MATCH(B519,'CARNET DE SOUDURE'!$M$7:$M$1506,0)),""))</f>
        <v/>
      </c>
      <c r="K519" s="78" t="str">
        <f aca="false">IF(B519="","",IFERROR(INDEX('CARNET DE SOUDURE'!$E$7:$E$1506,MATCH(B519,'CARNET DE SOUDURE'!$K$7:$K$1506,0)),""))</f>
        <v/>
      </c>
      <c r="L519" s="78" t="str">
        <f aca="false">IF(B519="","",IFERROR(INDEX('CARNET DE SOUDURE'!$D$7:$D$1506,MATCH(B519,'CARNET DE SOUDURE'!$K$7:$K$1506,0)),IFERROR(INDEX('CARNET DE SOUDURE'!$D$7:$D$1506,MATCH(B519,'CARNET DE SOUDURE'!$M$7:$M$1506,0)),"")))</f>
        <v/>
      </c>
      <c r="M519" s="81" t="str">
        <f aca="false">IF(B519="","",IF(OR(J519&lt;&gt;"",K519&lt;&gt;""),"POSÉ EN LIGNE",IF(H519&lt;&gt;"","BARDÉ","EN STOCK")))</f>
        <v/>
      </c>
      <c r="N519" s="79"/>
    </row>
    <row r="520" customFormat="false" ht="15" hidden="false" customHeight="false" outlineLevel="0" collapsed="false">
      <c r="A520" s="78" t="str">
        <f aca="false">IF(B520="","",ROW()-6)</f>
        <v/>
      </c>
      <c r="B520" s="90"/>
      <c r="C520" s="91"/>
      <c r="D520" s="91"/>
      <c r="E520" s="80"/>
      <c r="F520" s="92"/>
      <c r="G520" s="79"/>
      <c r="H520" s="82"/>
      <c r="I520" s="93" t="str">
        <f aca="false">IF(B520="","",IFERROR(INDEX('CARNET DE SOUDURE'!$B$7:$B$1506,MATCH(B520,'CARNET DE SOUDURE'!$K$7:$K$1506,0)),IFERROR(INDEX('CARNET DE SOUDURE'!$B$7:$B$1506,MATCH(B520,'CARNET DE SOUDURE'!$M$7:$M$1506,0)),"")))</f>
        <v/>
      </c>
      <c r="J520" s="78" t="str">
        <f aca="false">IF(B520="","",IFERROR(INDEX('CARNET DE SOUDURE'!$E$7:$E$1506,MATCH(B520,'CARNET DE SOUDURE'!$M$7:$M$1506,0)),""))</f>
        <v/>
      </c>
      <c r="K520" s="78" t="str">
        <f aca="false">IF(B520="","",IFERROR(INDEX('CARNET DE SOUDURE'!$E$7:$E$1506,MATCH(B520,'CARNET DE SOUDURE'!$K$7:$K$1506,0)),""))</f>
        <v/>
      </c>
      <c r="L520" s="78" t="str">
        <f aca="false">IF(B520="","",IFERROR(INDEX('CARNET DE SOUDURE'!$D$7:$D$1506,MATCH(B520,'CARNET DE SOUDURE'!$K$7:$K$1506,0)),IFERROR(INDEX('CARNET DE SOUDURE'!$D$7:$D$1506,MATCH(B520,'CARNET DE SOUDURE'!$M$7:$M$1506,0)),"")))</f>
        <v/>
      </c>
      <c r="M520" s="81" t="str">
        <f aca="false">IF(B520="","",IF(OR(J520&lt;&gt;"",K520&lt;&gt;""),"POSÉ EN LIGNE",IF(H520&lt;&gt;"","BARDÉ","EN STOCK")))</f>
        <v/>
      </c>
      <c r="N520" s="79"/>
    </row>
    <row r="521" customFormat="false" ht="15" hidden="false" customHeight="false" outlineLevel="0" collapsed="false">
      <c r="A521" s="78" t="str">
        <f aca="false">IF(B521="","",ROW()-6)</f>
        <v/>
      </c>
      <c r="B521" s="90"/>
      <c r="C521" s="91"/>
      <c r="D521" s="91"/>
      <c r="E521" s="80"/>
      <c r="F521" s="92"/>
      <c r="G521" s="79"/>
      <c r="H521" s="82"/>
      <c r="I521" s="93" t="str">
        <f aca="false">IF(B521="","",IFERROR(INDEX('CARNET DE SOUDURE'!$B$7:$B$1506,MATCH(B521,'CARNET DE SOUDURE'!$K$7:$K$1506,0)),IFERROR(INDEX('CARNET DE SOUDURE'!$B$7:$B$1506,MATCH(B521,'CARNET DE SOUDURE'!$M$7:$M$1506,0)),"")))</f>
        <v/>
      </c>
      <c r="J521" s="78" t="str">
        <f aca="false">IF(B521="","",IFERROR(INDEX('CARNET DE SOUDURE'!$E$7:$E$1506,MATCH(B521,'CARNET DE SOUDURE'!$M$7:$M$1506,0)),""))</f>
        <v/>
      </c>
      <c r="K521" s="78" t="str">
        <f aca="false">IF(B521="","",IFERROR(INDEX('CARNET DE SOUDURE'!$E$7:$E$1506,MATCH(B521,'CARNET DE SOUDURE'!$K$7:$K$1506,0)),""))</f>
        <v/>
      </c>
      <c r="L521" s="78" t="str">
        <f aca="false">IF(B521="","",IFERROR(INDEX('CARNET DE SOUDURE'!$D$7:$D$1506,MATCH(B521,'CARNET DE SOUDURE'!$K$7:$K$1506,0)),IFERROR(INDEX('CARNET DE SOUDURE'!$D$7:$D$1506,MATCH(B521,'CARNET DE SOUDURE'!$M$7:$M$1506,0)),"")))</f>
        <v/>
      </c>
      <c r="M521" s="81" t="str">
        <f aca="false">IF(B521="","",IF(OR(J521&lt;&gt;"",K521&lt;&gt;""),"POSÉ EN LIGNE",IF(H521&lt;&gt;"","BARDÉ","EN STOCK")))</f>
        <v/>
      </c>
      <c r="N521" s="79"/>
    </row>
    <row r="522" customFormat="false" ht="15" hidden="false" customHeight="false" outlineLevel="0" collapsed="false">
      <c r="A522" s="78" t="str">
        <f aca="false">IF(B522="","",ROW()-6)</f>
        <v/>
      </c>
      <c r="B522" s="90"/>
      <c r="C522" s="91"/>
      <c r="D522" s="91"/>
      <c r="E522" s="80"/>
      <c r="F522" s="92"/>
      <c r="G522" s="79"/>
      <c r="H522" s="82"/>
      <c r="I522" s="93" t="str">
        <f aca="false">IF(B522="","",IFERROR(INDEX('CARNET DE SOUDURE'!$B$7:$B$1506,MATCH(B522,'CARNET DE SOUDURE'!$K$7:$K$1506,0)),IFERROR(INDEX('CARNET DE SOUDURE'!$B$7:$B$1506,MATCH(B522,'CARNET DE SOUDURE'!$M$7:$M$1506,0)),"")))</f>
        <v/>
      </c>
      <c r="J522" s="78" t="str">
        <f aca="false">IF(B522="","",IFERROR(INDEX('CARNET DE SOUDURE'!$E$7:$E$1506,MATCH(B522,'CARNET DE SOUDURE'!$M$7:$M$1506,0)),""))</f>
        <v/>
      </c>
      <c r="K522" s="78" t="str">
        <f aca="false">IF(B522="","",IFERROR(INDEX('CARNET DE SOUDURE'!$E$7:$E$1506,MATCH(B522,'CARNET DE SOUDURE'!$K$7:$K$1506,0)),""))</f>
        <v/>
      </c>
      <c r="L522" s="78" t="str">
        <f aca="false">IF(B522="","",IFERROR(INDEX('CARNET DE SOUDURE'!$D$7:$D$1506,MATCH(B522,'CARNET DE SOUDURE'!$K$7:$K$1506,0)),IFERROR(INDEX('CARNET DE SOUDURE'!$D$7:$D$1506,MATCH(B522,'CARNET DE SOUDURE'!$M$7:$M$1506,0)),"")))</f>
        <v/>
      </c>
      <c r="M522" s="81" t="str">
        <f aca="false">IF(B522="","",IF(OR(J522&lt;&gt;"",K522&lt;&gt;""),"POSÉ EN LIGNE",IF(H522&lt;&gt;"","BARDÉ","EN STOCK")))</f>
        <v/>
      </c>
      <c r="N522" s="79"/>
    </row>
    <row r="523" customFormat="false" ht="15" hidden="false" customHeight="false" outlineLevel="0" collapsed="false">
      <c r="A523" s="78" t="str">
        <f aca="false">IF(B523="","",ROW()-6)</f>
        <v/>
      </c>
      <c r="B523" s="90"/>
      <c r="C523" s="91"/>
      <c r="D523" s="91"/>
      <c r="E523" s="80"/>
      <c r="F523" s="92"/>
      <c r="G523" s="79"/>
      <c r="H523" s="82"/>
      <c r="I523" s="93" t="str">
        <f aca="false">IF(B523="","",IFERROR(INDEX('CARNET DE SOUDURE'!$B$7:$B$1506,MATCH(B523,'CARNET DE SOUDURE'!$K$7:$K$1506,0)),IFERROR(INDEX('CARNET DE SOUDURE'!$B$7:$B$1506,MATCH(B523,'CARNET DE SOUDURE'!$M$7:$M$1506,0)),"")))</f>
        <v/>
      </c>
      <c r="J523" s="78" t="str">
        <f aca="false">IF(B523="","",IFERROR(INDEX('CARNET DE SOUDURE'!$E$7:$E$1506,MATCH(B523,'CARNET DE SOUDURE'!$M$7:$M$1506,0)),""))</f>
        <v/>
      </c>
      <c r="K523" s="78" t="str">
        <f aca="false">IF(B523="","",IFERROR(INDEX('CARNET DE SOUDURE'!$E$7:$E$1506,MATCH(B523,'CARNET DE SOUDURE'!$K$7:$K$1506,0)),""))</f>
        <v/>
      </c>
      <c r="L523" s="78" t="str">
        <f aca="false">IF(B523="","",IFERROR(INDEX('CARNET DE SOUDURE'!$D$7:$D$1506,MATCH(B523,'CARNET DE SOUDURE'!$K$7:$K$1506,0)),IFERROR(INDEX('CARNET DE SOUDURE'!$D$7:$D$1506,MATCH(B523,'CARNET DE SOUDURE'!$M$7:$M$1506,0)),"")))</f>
        <v/>
      </c>
      <c r="M523" s="81" t="str">
        <f aca="false">IF(B523="","",IF(OR(J523&lt;&gt;"",K523&lt;&gt;""),"POSÉ EN LIGNE",IF(H523&lt;&gt;"","BARDÉ","EN STOCK")))</f>
        <v/>
      </c>
      <c r="N523" s="79"/>
    </row>
    <row r="524" customFormat="false" ht="15" hidden="false" customHeight="false" outlineLevel="0" collapsed="false">
      <c r="A524" s="78" t="str">
        <f aca="false">IF(B524="","",ROW()-6)</f>
        <v/>
      </c>
      <c r="B524" s="90"/>
      <c r="C524" s="91"/>
      <c r="D524" s="91"/>
      <c r="E524" s="80"/>
      <c r="F524" s="92"/>
      <c r="G524" s="79"/>
      <c r="H524" s="82"/>
      <c r="I524" s="93" t="str">
        <f aca="false">IF(B524="","",IFERROR(INDEX('CARNET DE SOUDURE'!$B$7:$B$1506,MATCH(B524,'CARNET DE SOUDURE'!$K$7:$K$1506,0)),IFERROR(INDEX('CARNET DE SOUDURE'!$B$7:$B$1506,MATCH(B524,'CARNET DE SOUDURE'!$M$7:$M$1506,0)),"")))</f>
        <v/>
      </c>
      <c r="J524" s="78" t="str">
        <f aca="false">IF(B524="","",IFERROR(INDEX('CARNET DE SOUDURE'!$E$7:$E$1506,MATCH(B524,'CARNET DE SOUDURE'!$M$7:$M$1506,0)),""))</f>
        <v/>
      </c>
      <c r="K524" s="78" t="str">
        <f aca="false">IF(B524="","",IFERROR(INDEX('CARNET DE SOUDURE'!$E$7:$E$1506,MATCH(B524,'CARNET DE SOUDURE'!$K$7:$K$1506,0)),""))</f>
        <v/>
      </c>
      <c r="L524" s="78" t="str">
        <f aca="false">IF(B524="","",IFERROR(INDEX('CARNET DE SOUDURE'!$D$7:$D$1506,MATCH(B524,'CARNET DE SOUDURE'!$K$7:$K$1506,0)),IFERROR(INDEX('CARNET DE SOUDURE'!$D$7:$D$1506,MATCH(B524,'CARNET DE SOUDURE'!$M$7:$M$1506,0)),"")))</f>
        <v/>
      </c>
      <c r="M524" s="81" t="str">
        <f aca="false">IF(B524="","",IF(OR(J524&lt;&gt;"",K524&lt;&gt;""),"POSÉ EN LIGNE",IF(H524&lt;&gt;"","BARDÉ","EN STOCK")))</f>
        <v/>
      </c>
      <c r="N524" s="79"/>
    </row>
    <row r="525" customFormat="false" ht="15" hidden="false" customHeight="false" outlineLevel="0" collapsed="false">
      <c r="A525" s="78" t="str">
        <f aca="false">IF(B525="","",ROW()-6)</f>
        <v/>
      </c>
      <c r="B525" s="90"/>
      <c r="C525" s="91"/>
      <c r="D525" s="91"/>
      <c r="E525" s="80"/>
      <c r="F525" s="92"/>
      <c r="G525" s="79"/>
      <c r="H525" s="82"/>
      <c r="I525" s="93" t="str">
        <f aca="false">IF(B525="","",IFERROR(INDEX('CARNET DE SOUDURE'!$B$7:$B$1506,MATCH(B525,'CARNET DE SOUDURE'!$K$7:$K$1506,0)),IFERROR(INDEX('CARNET DE SOUDURE'!$B$7:$B$1506,MATCH(B525,'CARNET DE SOUDURE'!$M$7:$M$1506,0)),"")))</f>
        <v/>
      </c>
      <c r="J525" s="78" t="str">
        <f aca="false">IF(B525="","",IFERROR(INDEX('CARNET DE SOUDURE'!$E$7:$E$1506,MATCH(B525,'CARNET DE SOUDURE'!$M$7:$M$1506,0)),""))</f>
        <v/>
      </c>
      <c r="K525" s="78" t="str">
        <f aca="false">IF(B525="","",IFERROR(INDEX('CARNET DE SOUDURE'!$E$7:$E$1506,MATCH(B525,'CARNET DE SOUDURE'!$K$7:$K$1506,0)),""))</f>
        <v/>
      </c>
      <c r="L525" s="78" t="str">
        <f aca="false">IF(B525="","",IFERROR(INDEX('CARNET DE SOUDURE'!$D$7:$D$1506,MATCH(B525,'CARNET DE SOUDURE'!$K$7:$K$1506,0)),IFERROR(INDEX('CARNET DE SOUDURE'!$D$7:$D$1506,MATCH(B525,'CARNET DE SOUDURE'!$M$7:$M$1506,0)),"")))</f>
        <v/>
      </c>
      <c r="M525" s="81" t="str">
        <f aca="false">IF(B525="","",IF(OR(J525&lt;&gt;"",K525&lt;&gt;""),"POSÉ EN LIGNE",IF(H525&lt;&gt;"","BARDÉ","EN STOCK")))</f>
        <v/>
      </c>
      <c r="N525" s="79"/>
    </row>
    <row r="526" customFormat="false" ht="15" hidden="false" customHeight="false" outlineLevel="0" collapsed="false">
      <c r="A526" s="78" t="str">
        <f aca="false">IF(B526="","",ROW()-6)</f>
        <v/>
      </c>
      <c r="B526" s="90"/>
      <c r="C526" s="91"/>
      <c r="D526" s="91"/>
      <c r="E526" s="80"/>
      <c r="F526" s="92"/>
      <c r="G526" s="79"/>
      <c r="H526" s="82"/>
      <c r="I526" s="93" t="str">
        <f aca="false">IF(B526="","",IFERROR(INDEX('CARNET DE SOUDURE'!$B$7:$B$1506,MATCH(B526,'CARNET DE SOUDURE'!$K$7:$K$1506,0)),IFERROR(INDEX('CARNET DE SOUDURE'!$B$7:$B$1506,MATCH(B526,'CARNET DE SOUDURE'!$M$7:$M$1506,0)),"")))</f>
        <v/>
      </c>
      <c r="J526" s="78" t="str">
        <f aca="false">IF(B526="","",IFERROR(INDEX('CARNET DE SOUDURE'!$E$7:$E$1506,MATCH(B526,'CARNET DE SOUDURE'!$M$7:$M$1506,0)),""))</f>
        <v/>
      </c>
      <c r="K526" s="78" t="str">
        <f aca="false">IF(B526="","",IFERROR(INDEX('CARNET DE SOUDURE'!$E$7:$E$1506,MATCH(B526,'CARNET DE SOUDURE'!$K$7:$K$1506,0)),""))</f>
        <v/>
      </c>
      <c r="L526" s="78" t="str">
        <f aca="false">IF(B526="","",IFERROR(INDEX('CARNET DE SOUDURE'!$D$7:$D$1506,MATCH(B526,'CARNET DE SOUDURE'!$K$7:$K$1506,0)),IFERROR(INDEX('CARNET DE SOUDURE'!$D$7:$D$1506,MATCH(B526,'CARNET DE SOUDURE'!$M$7:$M$1506,0)),"")))</f>
        <v/>
      </c>
      <c r="M526" s="81" t="str">
        <f aca="false">IF(B526="","",IF(OR(J526&lt;&gt;"",K526&lt;&gt;""),"POSÉ EN LIGNE",IF(H526&lt;&gt;"","BARDÉ","EN STOCK")))</f>
        <v/>
      </c>
      <c r="N526" s="79"/>
    </row>
    <row r="527" customFormat="false" ht="15" hidden="false" customHeight="false" outlineLevel="0" collapsed="false">
      <c r="A527" s="78" t="str">
        <f aca="false">IF(B527="","",ROW()-6)</f>
        <v/>
      </c>
      <c r="B527" s="90"/>
      <c r="C527" s="91"/>
      <c r="D527" s="91"/>
      <c r="E527" s="80"/>
      <c r="F527" s="92"/>
      <c r="G527" s="79"/>
      <c r="H527" s="82"/>
      <c r="I527" s="93" t="str">
        <f aca="false">IF(B527="","",IFERROR(INDEX('CARNET DE SOUDURE'!$B$7:$B$1506,MATCH(B527,'CARNET DE SOUDURE'!$K$7:$K$1506,0)),IFERROR(INDEX('CARNET DE SOUDURE'!$B$7:$B$1506,MATCH(B527,'CARNET DE SOUDURE'!$M$7:$M$1506,0)),"")))</f>
        <v/>
      </c>
      <c r="J527" s="78" t="str">
        <f aca="false">IF(B527="","",IFERROR(INDEX('CARNET DE SOUDURE'!$E$7:$E$1506,MATCH(B527,'CARNET DE SOUDURE'!$M$7:$M$1506,0)),""))</f>
        <v/>
      </c>
      <c r="K527" s="78" t="str">
        <f aca="false">IF(B527="","",IFERROR(INDEX('CARNET DE SOUDURE'!$E$7:$E$1506,MATCH(B527,'CARNET DE SOUDURE'!$K$7:$K$1506,0)),""))</f>
        <v/>
      </c>
      <c r="L527" s="78" t="str">
        <f aca="false">IF(B527="","",IFERROR(INDEX('CARNET DE SOUDURE'!$D$7:$D$1506,MATCH(B527,'CARNET DE SOUDURE'!$K$7:$K$1506,0)),IFERROR(INDEX('CARNET DE SOUDURE'!$D$7:$D$1506,MATCH(B527,'CARNET DE SOUDURE'!$M$7:$M$1506,0)),"")))</f>
        <v/>
      </c>
      <c r="M527" s="81" t="str">
        <f aca="false">IF(B527="","",IF(OR(J527&lt;&gt;"",K527&lt;&gt;""),"POSÉ EN LIGNE",IF(H527&lt;&gt;"","BARDÉ","EN STOCK")))</f>
        <v/>
      </c>
      <c r="N527" s="79"/>
    </row>
    <row r="528" customFormat="false" ht="15" hidden="false" customHeight="false" outlineLevel="0" collapsed="false">
      <c r="A528" s="78" t="str">
        <f aca="false">IF(B528="","",ROW()-6)</f>
        <v/>
      </c>
      <c r="B528" s="90"/>
      <c r="C528" s="91"/>
      <c r="D528" s="91"/>
      <c r="E528" s="80"/>
      <c r="F528" s="92"/>
      <c r="G528" s="79"/>
      <c r="H528" s="82"/>
      <c r="I528" s="93" t="str">
        <f aca="false">IF(B528="","",IFERROR(INDEX('CARNET DE SOUDURE'!$B$7:$B$1506,MATCH(B528,'CARNET DE SOUDURE'!$K$7:$K$1506,0)),IFERROR(INDEX('CARNET DE SOUDURE'!$B$7:$B$1506,MATCH(B528,'CARNET DE SOUDURE'!$M$7:$M$1506,0)),"")))</f>
        <v/>
      </c>
      <c r="J528" s="78" t="str">
        <f aca="false">IF(B528="","",IFERROR(INDEX('CARNET DE SOUDURE'!$E$7:$E$1506,MATCH(B528,'CARNET DE SOUDURE'!$M$7:$M$1506,0)),""))</f>
        <v/>
      </c>
      <c r="K528" s="78" t="str">
        <f aca="false">IF(B528="","",IFERROR(INDEX('CARNET DE SOUDURE'!$E$7:$E$1506,MATCH(B528,'CARNET DE SOUDURE'!$K$7:$K$1506,0)),""))</f>
        <v/>
      </c>
      <c r="L528" s="78" t="str">
        <f aca="false">IF(B528="","",IFERROR(INDEX('CARNET DE SOUDURE'!$D$7:$D$1506,MATCH(B528,'CARNET DE SOUDURE'!$K$7:$K$1506,0)),IFERROR(INDEX('CARNET DE SOUDURE'!$D$7:$D$1506,MATCH(B528,'CARNET DE SOUDURE'!$M$7:$M$1506,0)),"")))</f>
        <v/>
      </c>
      <c r="M528" s="81" t="str">
        <f aca="false">IF(B528="","",IF(OR(J528&lt;&gt;"",K528&lt;&gt;""),"POSÉ EN LIGNE",IF(H528&lt;&gt;"","BARDÉ","EN STOCK")))</f>
        <v/>
      </c>
      <c r="N528" s="79"/>
    </row>
    <row r="529" customFormat="false" ht="15" hidden="false" customHeight="false" outlineLevel="0" collapsed="false">
      <c r="A529" s="78" t="str">
        <f aca="false">IF(B529="","",ROW()-6)</f>
        <v/>
      </c>
      <c r="B529" s="90"/>
      <c r="C529" s="91"/>
      <c r="D529" s="91"/>
      <c r="E529" s="80"/>
      <c r="F529" s="92"/>
      <c r="G529" s="79"/>
      <c r="H529" s="82"/>
      <c r="I529" s="93" t="str">
        <f aca="false">IF(B529="","",IFERROR(INDEX('CARNET DE SOUDURE'!$B$7:$B$1506,MATCH(B529,'CARNET DE SOUDURE'!$K$7:$K$1506,0)),IFERROR(INDEX('CARNET DE SOUDURE'!$B$7:$B$1506,MATCH(B529,'CARNET DE SOUDURE'!$M$7:$M$1506,0)),"")))</f>
        <v/>
      </c>
      <c r="J529" s="78" t="str">
        <f aca="false">IF(B529="","",IFERROR(INDEX('CARNET DE SOUDURE'!$E$7:$E$1506,MATCH(B529,'CARNET DE SOUDURE'!$M$7:$M$1506,0)),""))</f>
        <v/>
      </c>
      <c r="K529" s="78" t="str">
        <f aca="false">IF(B529="","",IFERROR(INDEX('CARNET DE SOUDURE'!$E$7:$E$1506,MATCH(B529,'CARNET DE SOUDURE'!$K$7:$K$1506,0)),""))</f>
        <v/>
      </c>
      <c r="L529" s="78" t="str">
        <f aca="false">IF(B529="","",IFERROR(INDEX('CARNET DE SOUDURE'!$D$7:$D$1506,MATCH(B529,'CARNET DE SOUDURE'!$K$7:$K$1506,0)),IFERROR(INDEX('CARNET DE SOUDURE'!$D$7:$D$1506,MATCH(B529,'CARNET DE SOUDURE'!$M$7:$M$1506,0)),"")))</f>
        <v/>
      </c>
      <c r="M529" s="81" t="str">
        <f aca="false">IF(B529="","",IF(OR(J529&lt;&gt;"",K529&lt;&gt;""),"POSÉ EN LIGNE",IF(H529&lt;&gt;"","BARDÉ","EN STOCK")))</f>
        <v/>
      </c>
      <c r="N529" s="79"/>
    </row>
    <row r="530" customFormat="false" ht="15" hidden="false" customHeight="false" outlineLevel="0" collapsed="false">
      <c r="A530" s="78" t="str">
        <f aca="false">IF(B530="","",ROW()-6)</f>
        <v/>
      </c>
      <c r="B530" s="90"/>
      <c r="C530" s="91"/>
      <c r="D530" s="91"/>
      <c r="E530" s="80"/>
      <c r="F530" s="92"/>
      <c r="G530" s="79"/>
      <c r="H530" s="82"/>
      <c r="I530" s="93" t="str">
        <f aca="false">IF(B530="","",IFERROR(INDEX('CARNET DE SOUDURE'!$B$7:$B$1506,MATCH(B530,'CARNET DE SOUDURE'!$K$7:$K$1506,0)),IFERROR(INDEX('CARNET DE SOUDURE'!$B$7:$B$1506,MATCH(B530,'CARNET DE SOUDURE'!$M$7:$M$1506,0)),"")))</f>
        <v/>
      </c>
      <c r="J530" s="78" t="str">
        <f aca="false">IF(B530="","",IFERROR(INDEX('CARNET DE SOUDURE'!$E$7:$E$1506,MATCH(B530,'CARNET DE SOUDURE'!$M$7:$M$1506,0)),""))</f>
        <v/>
      </c>
      <c r="K530" s="78" t="str">
        <f aca="false">IF(B530="","",IFERROR(INDEX('CARNET DE SOUDURE'!$E$7:$E$1506,MATCH(B530,'CARNET DE SOUDURE'!$K$7:$K$1506,0)),""))</f>
        <v/>
      </c>
      <c r="L530" s="78" t="str">
        <f aca="false">IF(B530="","",IFERROR(INDEX('CARNET DE SOUDURE'!$D$7:$D$1506,MATCH(B530,'CARNET DE SOUDURE'!$K$7:$K$1506,0)),IFERROR(INDEX('CARNET DE SOUDURE'!$D$7:$D$1506,MATCH(B530,'CARNET DE SOUDURE'!$M$7:$M$1506,0)),"")))</f>
        <v/>
      </c>
      <c r="M530" s="81" t="str">
        <f aca="false">IF(B530="","",IF(OR(J530&lt;&gt;"",K530&lt;&gt;""),"POSÉ EN LIGNE",IF(H530&lt;&gt;"","BARDÉ","EN STOCK")))</f>
        <v/>
      </c>
      <c r="N530" s="79"/>
    </row>
    <row r="531" customFormat="false" ht="15" hidden="false" customHeight="false" outlineLevel="0" collapsed="false">
      <c r="A531" s="78" t="str">
        <f aca="false">IF(B531="","",ROW()-6)</f>
        <v/>
      </c>
      <c r="B531" s="90"/>
      <c r="C531" s="91"/>
      <c r="D531" s="91"/>
      <c r="E531" s="80"/>
      <c r="F531" s="92"/>
      <c r="G531" s="79"/>
      <c r="H531" s="82"/>
      <c r="I531" s="93" t="str">
        <f aca="false">IF(B531="","",IFERROR(INDEX('CARNET DE SOUDURE'!$B$7:$B$1506,MATCH(B531,'CARNET DE SOUDURE'!$K$7:$K$1506,0)),IFERROR(INDEX('CARNET DE SOUDURE'!$B$7:$B$1506,MATCH(B531,'CARNET DE SOUDURE'!$M$7:$M$1506,0)),"")))</f>
        <v/>
      </c>
      <c r="J531" s="78" t="str">
        <f aca="false">IF(B531="","",IFERROR(INDEX('CARNET DE SOUDURE'!$E$7:$E$1506,MATCH(B531,'CARNET DE SOUDURE'!$M$7:$M$1506,0)),""))</f>
        <v/>
      </c>
      <c r="K531" s="78" t="str">
        <f aca="false">IF(B531="","",IFERROR(INDEX('CARNET DE SOUDURE'!$E$7:$E$1506,MATCH(B531,'CARNET DE SOUDURE'!$K$7:$K$1506,0)),""))</f>
        <v/>
      </c>
      <c r="L531" s="78" t="str">
        <f aca="false">IF(B531="","",IFERROR(INDEX('CARNET DE SOUDURE'!$D$7:$D$1506,MATCH(B531,'CARNET DE SOUDURE'!$K$7:$K$1506,0)),IFERROR(INDEX('CARNET DE SOUDURE'!$D$7:$D$1506,MATCH(B531,'CARNET DE SOUDURE'!$M$7:$M$1506,0)),"")))</f>
        <v/>
      </c>
      <c r="M531" s="81" t="str">
        <f aca="false">IF(B531="","",IF(OR(J531&lt;&gt;"",K531&lt;&gt;""),"POSÉ EN LIGNE",IF(H531&lt;&gt;"","BARDÉ","EN STOCK")))</f>
        <v/>
      </c>
      <c r="N531" s="79"/>
    </row>
    <row r="532" customFormat="false" ht="15" hidden="false" customHeight="false" outlineLevel="0" collapsed="false">
      <c r="A532" s="78" t="str">
        <f aca="false">IF(B532="","",ROW()-6)</f>
        <v/>
      </c>
      <c r="B532" s="90"/>
      <c r="C532" s="91"/>
      <c r="D532" s="91"/>
      <c r="E532" s="80"/>
      <c r="F532" s="92"/>
      <c r="G532" s="79"/>
      <c r="H532" s="82"/>
      <c r="I532" s="93" t="str">
        <f aca="false">IF(B532="","",IFERROR(INDEX('CARNET DE SOUDURE'!$B$7:$B$1506,MATCH(B532,'CARNET DE SOUDURE'!$K$7:$K$1506,0)),IFERROR(INDEX('CARNET DE SOUDURE'!$B$7:$B$1506,MATCH(B532,'CARNET DE SOUDURE'!$M$7:$M$1506,0)),"")))</f>
        <v/>
      </c>
      <c r="J532" s="78" t="str">
        <f aca="false">IF(B532="","",IFERROR(INDEX('CARNET DE SOUDURE'!$E$7:$E$1506,MATCH(B532,'CARNET DE SOUDURE'!$M$7:$M$1506,0)),""))</f>
        <v/>
      </c>
      <c r="K532" s="78" t="str">
        <f aca="false">IF(B532="","",IFERROR(INDEX('CARNET DE SOUDURE'!$E$7:$E$1506,MATCH(B532,'CARNET DE SOUDURE'!$K$7:$K$1506,0)),""))</f>
        <v/>
      </c>
      <c r="L532" s="78" t="str">
        <f aca="false">IF(B532="","",IFERROR(INDEX('CARNET DE SOUDURE'!$D$7:$D$1506,MATCH(B532,'CARNET DE SOUDURE'!$K$7:$K$1506,0)),IFERROR(INDEX('CARNET DE SOUDURE'!$D$7:$D$1506,MATCH(B532,'CARNET DE SOUDURE'!$M$7:$M$1506,0)),"")))</f>
        <v/>
      </c>
      <c r="M532" s="81" t="str">
        <f aca="false">IF(B532="","",IF(OR(J532&lt;&gt;"",K532&lt;&gt;""),"POSÉ EN LIGNE",IF(H532&lt;&gt;"","BARDÉ","EN STOCK")))</f>
        <v/>
      </c>
      <c r="N532" s="79"/>
    </row>
    <row r="533" customFormat="false" ht="15" hidden="false" customHeight="false" outlineLevel="0" collapsed="false">
      <c r="A533" s="78" t="str">
        <f aca="false">IF(B533="","",ROW()-6)</f>
        <v/>
      </c>
      <c r="B533" s="90"/>
      <c r="C533" s="91"/>
      <c r="D533" s="91"/>
      <c r="E533" s="80"/>
      <c r="F533" s="92"/>
      <c r="G533" s="79"/>
      <c r="H533" s="82"/>
      <c r="I533" s="93" t="str">
        <f aca="false">IF(B533="","",IFERROR(INDEX('CARNET DE SOUDURE'!$B$7:$B$1506,MATCH(B533,'CARNET DE SOUDURE'!$K$7:$K$1506,0)),IFERROR(INDEX('CARNET DE SOUDURE'!$B$7:$B$1506,MATCH(B533,'CARNET DE SOUDURE'!$M$7:$M$1506,0)),"")))</f>
        <v/>
      </c>
      <c r="J533" s="78" t="str">
        <f aca="false">IF(B533="","",IFERROR(INDEX('CARNET DE SOUDURE'!$E$7:$E$1506,MATCH(B533,'CARNET DE SOUDURE'!$M$7:$M$1506,0)),""))</f>
        <v/>
      </c>
      <c r="K533" s="78" t="str">
        <f aca="false">IF(B533="","",IFERROR(INDEX('CARNET DE SOUDURE'!$E$7:$E$1506,MATCH(B533,'CARNET DE SOUDURE'!$K$7:$K$1506,0)),""))</f>
        <v/>
      </c>
      <c r="L533" s="78" t="str">
        <f aca="false">IF(B533="","",IFERROR(INDEX('CARNET DE SOUDURE'!$D$7:$D$1506,MATCH(B533,'CARNET DE SOUDURE'!$K$7:$K$1506,0)),IFERROR(INDEX('CARNET DE SOUDURE'!$D$7:$D$1506,MATCH(B533,'CARNET DE SOUDURE'!$M$7:$M$1506,0)),"")))</f>
        <v/>
      </c>
      <c r="M533" s="81" t="str">
        <f aca="false">IF(B533="","",IF(OR(J533&lt;&gt;"",K533&lt;&gt;""),"POSÉ EN LIGNE",IF(H533&lt;&gt;"","BARDÉ","EN STOCK")))</f>
        <v/>
      </c>
      <c r="N533" s="79"/>
    </row>
    <row r="534" customFormat="false" ht="15" hidden="false" customHeight="false" outlineLevel="0" collapsed="false">
      <c r="A534" s="78" t="str">
        <f aca="false">IF(B534="","",ROW()-6)</f>
        <v/>
      </c>
      <c r="B534" s="90"/>
      <c r="C534" s="91"/>
      <c r="D534" s="91"/>
      <c r="E534" s="80"/>
      <c r="F534" s="92"/>
      <c r="G534" s="79"/>
      <c r="H534" s="82"/>
      <c r="I534" s="93" t="str">
        <f aca="false">IF(B534="","",IFERROR(INDEX('CARNET DE SOUDURE'!$B$7:$B$1506,MATCH(B534,'CARNET DE SOUDURE'!$K$7:$K$1506,0)),IFERROR(INDEX('CARNET DE SOUDURE'!$B$7:$B$1506,MATCH(B534,'CARNET DE SOUDURE'!$M$7:$M$1506,0)),"")))</f>
        <v/>
      </c>
      <c r="J534" s="78" t="str">
        <f aca="false">IF(B534="","",IFERROR(INDEX('CARNET DE SOUDURE'!$E$7:$E$1506,MATCH(B534,'CARNET DE SOUDURE'!$M$7:$M$1506,0)),""))</f>
        <v/>
      </c>
      <c r="K534" s="78" t="str">
        <f aca="false">IF(B534="","",IFERROR(INDEX('CARNET DE SOUDURE'!$E$7:$E$1506,MATCH(B534,'CARNET DE SOUDURE'!$K$7:$K$1506,0)),""))</f>
        <v/>
      </c>
      <c r="L534" s="78" t="str">
        <f aca="false">IF(B534="","",IFERROR(INDEX('CARNET DE SOUDURE'!$D$7:$D$1506,MATCH(B534,'CARNET DE SOUDURE'!$K$7:$K$1506,0)),IFERROR(INDEX('CARNET DE SOUDURE'!$D$7:$D$1506,MATCH(B534,'CARNET DE SOUDURE'!$M$7:$M$1506,0)),"")))</f>
        <v/>
      </c>
      <c r="M534" s="81" t="str">
        <f aca="false">IF(B534="","",IF(OR(J534&lt;&gt;"",K534&lt;&gt;""),"POSÉ EN LIGNE",IF(H534&lt;&gt;"","BARDÉ","EN STOCK")))</f>
        <v/>
      </c>
      <c r="N534" s="79"/>
    </row>
    <row r="535" customFormat="false" ht="15" hidden="false" customHeight="false" outlineLevel="0" collapsed="false">
      <c r="A535" s="78" t="str">
        <f aca="false">IF(B535="","",ROW()-6)</f>
        <v/>
      </c>
      <c r="B535" s="90"/>
      <c r="C535" s="91"/>
      <c r="D535" s="91"/>
      <c r="E535" s="80"/>
      <c r="F535" s="92"/>
      <c r="G535" s="79"/>
      <c r="H535" s="82"/>
      <c r="I535" s="93" t="str">
        <f aca="false">IF(B535="","",IFERROR(INDEX('CARNET DE SOUDURE'!$B$7:$B$1506,MATCH(B535,'CARNET DE SOUDURE'!$K$7:$K$1506,0)),IFERROR(INDEX('CARNET DE SOUDURE'!$B$7:$B$1506,MATCH(B535,'CARNET DE SOUDURE'!$M$7:$M$1506,0)),"")))</f>
        <v/>
      </c>
      <c r="J535" s="78" t="str">
        <f aca="false">IF(B535="","",IFERROR(INDEX('CARNET DE SOUDURE'!$E$7:$E$1506,MATCH(B535,'CARNET DE SOUDURE'!$M$7:$M$1506,0)),""))</f>
        <v/>
      </c>
      <c r="K535" s="78" t="str">
        <f aca="false">IF(B535="","",IFERROR(INDEX('CARNET DE SOUDURE'!$E$7:$E$1506,MATCH(B535,'CARNET DE SOUDURE'!$K$7:$K$1506,0)),""))</f>
        <v/>
      </c>
      <c r="L535" s="78" t="str">
        <f aca="false">IF(B535="","",IFERROR(INDEX('CARNET DE SOUDURE'!$D$7:$D$1506,MATCH(B535,'CARNET DE SOUDURE'!$K$7:$K$1506,0)),IFERROR(INDEX('CARNET DE SOUDURE'!$D$7:$D$1506,MATCH(B535,'CARNET DE SOUDURE'!$M$7:$M$1506,0)),"")))</f>
        <v/>
      </c>
      <c r="M535" s="81" t="str">
        <f aca="false">IF(B535="","",IF(OR(J535&lt;&gt;"",K535&lt;&gt;""),"POSÉ EN LIGNE",IF(H535&lt;&gt;"","BARDÉ","EN STOCK")))</f>
        <v/>
      </c>
      <c r="N535" s="79"/>
    </row>
    <row r="536" customFormat="false" ht="15" hidden="false" customHeight="false" outlineLevel="0" collapsed="false">
      <c r="A536" s="78" t="str">
        <f aca="false">IF(B536="","",ROW()-6)</f>
        <v/>
      </c>
      <c r="B536" s="90"/>
      <c r="C536" s="91"/>
      <c r="D536" s="91"/>
      <c r="E536" s="80"/>
      <c r="F536" s="92"/>
      <c r="G536" s="79"/>
      <c r="H536" s="82"/>
      <c r="I536" s="93" t="str">
        <f aca="false">IF(B536="","",IFERROR(INDEX('CARNET DE SOUDURE'!$B$7:$B$1506,MATCH(B536,'CARNET DE SOUDURE'!$K$7:$K$1506,0)),IFERROR(INDEX('CARNET DE SOUDURE'!$B$7:$B$1506,MATCH(B536,'CARNET DE SOUDURE'!$M$7:$M$1506,0)),"")))</f>
        <v/>
      </c>
      <c r="J536" s="78" t="str">
        <f aca="false">IF(B536="","",IFERROR(INDEX('CARNET DE SOUDURE'!$E$7:$E$1506,MATCH(B536,'CARNET DE SOUDURE'!$M$7:$M$1506,0)),""))</f>
        <v/>
      </c>
      <c r="K536" s="78" t="str">
        <f aca="false">IF(B536="","",IFERROR(INDEX('CARNET DE SOUDURE'!$E$7:$E$1506,MATCH(B536,'CARNET DE SOUDURE'!$K$7:$K$1506,0)),""))</f>
        <v/>
      </c>
      <c r="L536" s="78" t="str">
        <f aca="false">IF(B536="","",IFERROR(INDEX('CARNET DE SOUDURE'!$D$7:$D$1506,MATCH(B536,'CARNET DE SOUDURE'!$K$7:$K$1506,0)),IFERROR(INDEX('CARNET DE SOUDURE'!$D$7:$D$1506,MATCH(B536,'CARNET DE SOUDURE'!$M$7:$M$1506,0)),"")))</f>
        <v/>
      </c>
      <c r="M536" s="81" t="str">
        <f aca="false">IF(B536="","",IF(OR(J536&lt;&gt;"",K536&lt;&gt;""),"POSÉ EN LIGNE",IF(H536&lt;&gt;"","BARDÉ","EN STOCK")))</f>
        <v/>
      </c>
      <c r="N536" s="79"/>
    </row>
    <row r="537" customFormat="false" ht="15" hidden="false" customHeight="false" outlineLevel="0" collapsed="false">
      <c r="A537" s="78" t="str">
        <f aca="false">IF(B537="","",ROW()-6)</f>
        <v/>
      </c>
      <c r="B537" s="90"/>
      <c r="C537" s="91"/>
      <c r="D537" s="91"/>
      <c r="E537" s="80"/>
      <c r="F537" s="92"/>
      <c r="G537" s="79"/>
      <c r="H537" s="82"/>
      <c r="I537" s="93" t="str">
        <f aca="false">IF(B537="","",IFERROR(INDEX('CARNET DE SOUDURE'!$B$7:$B$1506,MATCH(B537,'CARNET DE SOUDURE'!$K$7:$K$1506,0)),IFERROR(INDEX('CARNET DE SOUDURE'!$B$7:$B$1506,MATCH(B537,'CARNET DE SOUDURE'!$M$7:$M$1506,0)),"")))</f>
        <v/>
      </c>
      <c r="J537" s="78" t="str">
        <f aca="false">IF(B537="","",IFERROR(INDEX('CARNET DE SOUDURE'!$E$7:$E$1506,MATCH(B537,'CARNET DE SOUDURE'!$M$7:$M$1506,0)),""))</f>
        <v/>
      </c>
      <c r="K537" s="78" t="str">
        <f aca="false">IF(B537="","",IFERROR(INDEX('CARNET DE SOUDURE'!$E$7:$E$1506,MATCH(B537,'CARNET DE SOUDURE'!$K$7:$K$1506,0)),""))</f>
        <v/>
      </c>
      <c r="L537" s="78" t="str">
        <f aca="false">IF(B537="","",IFERROR(INDEX('CARNET DE SOUDURE'!$D$7:$D$1506,MATCH(B537,'CARNET DE SOUDURE'!$K$7:$K$1506,0)),IFERROR(INDEX('CARNET DE SOUDURE'!$D$7:$D$1506,MATCH(B537,'CARNET DE SOUDURE'!$M$7:$M$1506,0)),"")))</f>
        <v/>
      </c>
      <c r="M537" s="81" t="str">
        <f aca="false">IF(B537="","",IF(OR(J537&lt;&gt;"",K537&lt;&gt;""),"POSÉ EN LIGNE",IF(H537&lt;&gt;"","BARDÉ","EN STOCK")))</f>
        <v/>
      </c>
      <c r="N537" s="79"/>
    </row>
    <row r="538" customFormat="false" ht="15" hidden="false" customHeight="false" outlineLevel="0" collapsed="false">
      <c r="A538" s="78" t="str">
        <f aca="false">IF(B538="","",ROW()-6)</f>
        <v/>
      </c>
      <c r="B538" s="90"/>
      <c r="C538" s="91"/>
      <c r="D538" s="91"/>
      <c r="E538" s="80"/>
      <c r="F538" s="92"/>
      <c r="G538" s="79"/>
      <c r="H538" s="82"/>
      <c r="I538" s="93" t="str">
        <f aca="false">IF(B538="","",IFERROR(INDEX('CARNET DE SOUDURE'!$B$7:$B$1506,MATCH(B538,'CARNET DE SOUDURE'!$K$7:$K$1506,0)),IFERROR(INDEX('CARNET DE SOUDURE'!$B$7:$B$1506,MATCH(B538,'CARNET DE SOUDURE'!$M$7:$M$1506,0)),"")))</f>
        <v/>
      </c>
      <c r="J538" s="78" t="str">
        <f aca="false">IF(B538="","",IFERROR(INDEX('CARNET DE SOUDURE'!$E$7:$E$1506,MATCH(B538,'CARNET DE SOUDURE'!$M$7:$M$1506,0)),""))</f>
        <v/>
      </c>
      <c r="K538" s="78" t="str">
        <f aca="false">IF(B538="","",IFERROR(INDEX('CARNET DE SOUDURE'!$E$7:$E$1506,MATCH(B538,'CARNET DE SOUDURE'!$K$7:$K$1506,0)),""))</f>
        <v/>
      </c>
      <c r="L538" s="78" t="str">
        <f aca="false">IF(B538="","",IFERROR(INDEX('CARNET DE SOUDURE'!$D$7:$D$1506,MATCH(B538,'CARNET DE SOUDURE'!$K$7:$K$1506,0)),IFERROR(INDEX('CARNET DE SOUDURE'!$D$7:$D$1506,MATCH(B538,'CARNET DE SOUDURE'!$M$7:$M$1506,0)),"")))</f>
        <v/>
      </c>
      <c r="M538" s="81" t="str">
        <f aca="false">IF(B538="","",IF(OR(J538&lt;&gt;"",K538&lt;&gt;""),"POSÉ EN LIGNE",IF(H538&lt;&gt;"","BARDÉ","EN STOCK")))</f>
        <v/>
      </c>
      <c r="N538" s="79"/>
    </row>
    <row r="539" customFormat="false" ht="15" hidden="false" customHeight="false" outlineLevel="0" collapsed="false">
      <c r="A539" s="78" t="str">
        <f aca="false">IF(B539="","",ROW()-6)</f>
        <v/>
      </c>
      <c r="B539" s="90"/>
      <c r="C539" s="91"/>
      <c r="D539" s="91"/>
      <c r="E539" s="80"/>
      <c r="F539" s="92"/>
      <c r="G539" s="79"/>
      <c r="H539" s="82"/>
      <c r="I539" s="93" t="str">
        <f aca="false">IF(B539="","",IFERROR(INDEX('CARNET DE SOUDURE'!$B$7:$B$1506,MATCH(B539,'CARNET DE SOUDURE'!$K$7:$K$1506,0)),IFERROR(INDEX('CARNET DE SOUDURE'!$B$7:$B$1506,MATCH(B539,'CARNET DE SOUDURE'!$M$7:$M$1506,0)),"")))</f>
        <v/>
      </c>
      <c r="J539" s="78" t="str">
        <f aca="false">IF(B539="","",IFERROR(INDEX('CARNET DE SOUDURE'!$E$7:$E$1506,MATCH(B539,'CARNET DE SOUDURE'!$M$7:$M$1506,0)),""))</f>
        <v/>
      </c>
      <c r="K539" s="78" t="str">
        <f aca="false">IF(B539="","",IFERROR(INDEX('CARNET DE SOUDURE'!$E$7:$E$1506,MATCH(B539,'CARNET DE SOUDURE'!$K$7:$K$1506,0)),""))</f>
        <v/>
      </c>
      <c r="L539" s="78" t="str">
        <f aca="false">IF(B539="","",IFERROR(INDEX('CARNET DE SOUDURE'!$D$7:$D$1506,MATCH(B539,'CARNET DE SOUDURE'!$K$7:$K$1506,0)),IFERROR(INDEX('CARNET DE SOUDURE'!$D$7:$D$1506,MATCH(B539,'CARNET DE SOUDURE'!$M$7:$M$1506,0)),"")))</f>
        <v/>
      </c>
      <c r="M539" s="81" t="str">
        <f aca="false">IF(B539="","",IF(OR(J539&lt;&gt;"",K539&lt;&gt;""),"POSÉ EN LIGNE",IF(H539&lt;&gt;"","BARDÉ","EN STOCK")))</f>
        <v/>
      </c>
      <c r="N539" s="79"/>
    </row>
    <row r="540" customFormat="false" ht="15" hidden="false" customHeight="false" outlineLevel="0" collapsed="false">
      <c r="A540" s="78" t="str">
        <f aca="false">IF(B540="","",ROW()-6)</f>
        <v/>
      </c>
      <c r="B540" s="90"/>
      <c r="C540" s="91"/>
      <c r="D540" s="91"/>
      <c r="E540" s="80"/>
      <c r="F540" s="92"/>
      <c r="G540" s="79"/>
      <c r="H540" s="82"/>
      <c r="I540" s="93" t="str">
        <f aca="false">IF(B540="","",IFERROR(INDEX('CARNET DE SOUDURE'!$B$7:$B$1506,MATCH(B540,'CARNET DE SOUDURE'!$K$7:$K$1506,0)),IFERROR(INDEX('CARNET DE SOUDURE'!$B$7:$B$1506,MATCH(B540,'CARNET DE SOUDURE'!$M$7:$M$1506,0)),"")))</f>
        <v/>
      </c>
      <c r="J540" s="78" t="str">
        <f aca="false">IF(B540="","",IFERROR(INDEX('CARNET DE SOUDURE'!$E$7:$E$1506,MATCH(B540,'CARNET DE SOUDURE'!$M$7:$M$1506,0)),""))</f>
        <v/>
      </c>
      <c r="K540" s="78" t="str">
        <f aca="false">IF(B540="","",IFERROR(INDEX('CARNET DE SOUDURE'!$E$7:$E$1506,MATCH(B540,'CARNET DE SOUDURE'!$K$7:$K$1506,0)),""))</f>
        <v/>
      </c>
      <c r="L540" s="78" t="str">
        <f aca="false">IF(B540="","",IFERROR(INDEX('CARNET DE SOUDURE'!$D$7:$D$1506,MATCH(B540,'CARNET DE SOUDURE'!$K$7:$K$1506,0)),IFERROR(INDEX('CARNET DE SOUDURE'!$D$7:$D$1506,MATCH(B540,'CARNET DE SOUDURE'!$M$7:$M$1506,0)),"")))</f>
        <v/>
      </c>
      <c r="M540" s="81" t="str">
        <f aca="false">IF(B540="","",IF(OR(J540&lt;&gt;"",K540&lt;&gt;""),"POSÉ EN LIGNE",IF(H540&lt;&gt;"","BARDÉ","EN STOCK")))</f>
        <v/>
      </c>
      <c r="N540" s="79"/>
    </row>
    <row r="541" customFormat="false" ht="15" hidden="false" customHeight="false" outlineLevel="0" collapsed="false">
      <c r="A541" s="78" t="str">
        <f aca="false">IF(B541="","",ROW()-6)</f>
        <v/>
      </c>
      <c r="B541" s="90"/>
      <c r="C541" s="91"/>
      <c r="D541" s="91"/>
      <c r="E541" s="80"/>
      <c r="F541" s="92"/>
      <c r="G541" s="79"/>
      <c r="H541" s="82"/>
      <c r="I541" s="93" t="str">
        <f aca="false">IF(B541="","",IFERROR(INDEX('CARNET DE SOUDURE'!$B$7:$B$1506,MATCH(B541,'CARNET DE SOUDURE'!$K$7:$K$1506,0)),IFERROR(INDEX('CARNET DE SOUDURE'!$B$7:$B$1506,MATCH(B541,'CARNET DE SOUDURE'!$M$7:$M$1506,0)),"")))</f>
        <v/>
      </c>
      <c r="J541" s="78" t="str">
        <f aca="false">IF(B541="","",IFERROR(INDEX('CARNET DE SOUDURE'!$E$7:$E$1506,MATCH(B541,'CARNET DE SOUDURE'!$M$7:$M$1506,0)),""))</f>
        <v/>
      </c>
      <c r="K541" s="78" t="str">
        <f aca="false">IF(B541="","",IFERROR(INDEX('CARNET DE SOUDURE'!$E$7:$E$1506,MATCH(B541,'CARNET DE SOUDURE'!$K$7:$K$1506,0)),""))</f>
        <v/>
      </c>
      <c r="L541" s="78" t="str">
        <f aca="false">IF(B541="","",IFERROR(INDEX('CARNET DE SOUDURE'!$D$7:$D$1506,MATCH(B541,'CARNET DE SOUDURE'!$K$7:$K$1506,0)),IFERROR(INDEX('CARNET DE SOUDURE'!$D$7:$D$1506,MATCH(B541,'CARNET DE SOUDURE'!$M$7:$M$1506,0)),"")))</f>
        <v/>
      </c>
      <c r="M541" s="81" t="str">
        <f aca="false">IF(B541="","",IF(OR(J541&lt;&gt;"",K541&lt;&gt;""),"POSÉ EN LIGNE",IF(H541&lt;&gt;"","BARDÉ","EN STOCK")))</f>
        <v/>
      </c>
      <c r="N541" s="79"/>
    </row>
    <row r="542" customFormat="false" ht="15" hidden="false" customHeight="false" outlineLevel="0" collapsed="false">
      <c r="A542" s="78" t="str">
        <f aca="false">IF(B542="","",ROW()-6)</f>
        <v/>
      </c>
      <c r="B542" s="90"/>
      <c r="C542" s="91"/>
      <c r="D542" s="91"/>
      <c r="E542" s="80"/>
      <c r="F542" s="92"/>
      <c r="G542" s="79"/>
      <c r="H542" s="82"/>
      <c r="I542" s="93" t="str">
        <f aca="false">IF(B542="","",IFERROR(INDEX('CARNET DE SOUDURE'!$B$7:$B$1506,MATCH(B542,'CARNET DE SOUDURE'!$K$7:$K$1506,0)),IFERROR(INDEX('CARNET DE SOUDURE'!$B$7:$B$1506,MATCH(B542,'CARNET DE SOUDURE'!$M$7:$M$1506,0)),"")))</f>
        <v/>
      </c>
      <c r="J542" s="78" t="str">
        <f aca="false">IF(B542="","",IFERROR(INDEX('CARNET DE SOUDURE'!$E$7:$E$1506,MATCH(B542,'CARNET DE SOUDURE'!$M$7:$M$1506,0)),""))</f>
        <v/>
      </c>
      <c r="K542" s="78" t="str">
        <f aca="false">IF(B542="","",IFERROR(INDEX('CARNET DE SOUDURE'!$E$7:$E$1506,MATCH(B542,'CARNET DE SOUDURE'!$K$7:$K$1506,0)),""))</f>
        <v/>
      </c>
      <c r="L542" s="78" t="str">
        <f aca="false">IF(B542="","",IFERROR(INDEX('CARNET DE SOUDURE'!$D$7:$D$1506,MATCH(B542,'CARNET DE SOUDURE'!$K$7:$K$1506,0)),IFERROR(INDEX('CARNET DE SOUDURE'!$D$7:$D$1506,MATCH(B542,'CARNET DE SOUDURE'!$M$7:$M$1506,0)),"")))</f>
        <v/>
      </c>
      <c r="M542" s="81" t="str">
        <f aca="false">IF(B542="","",IF(OR(J542&lt;&gt;"",K542&lt;&gt;""),"POSÉ EN LIGNE",IF(H542&lt;&gt;"","BARDÉ","EN STOCK")))</f>
        <v/>
      </c>
      <c r="N542" s="79"/>
    </row>
    <row r="543" customFormat="false" ht="15" hidden="false" customHeight="false" outlineLevel="0" collapsed="false">
      <c r="A543" s="78" t="str">
        <f aca="false">IF(B543="","",ROW()-6)</f>
        <v/>
      </c>
      <c r="B543" s="90"/>
      <c r="C543" s="91"/>
      <c r="D543" s="91"/>
      <c r="E543" s="80"/>
      <c r="F543" s="92"/>
      <c r="G543" s="79"/>
      <c r="H543" s="82"/>
      <c r="I543" s="93" t="str">
        <f aca="false">IF(B543="","",IFERROR(INDEX('CARNET DE SOUDURE'!$B$7:$B$1506,MATCH(B543,'CARNET DE SOUDURE'!$K$7:$K$1506,0)),IFERROR(INDEX('CARNET DE SOUDURE'!$B$7:$B$1506,MATCH(B543,'CARNET DE SOUDURE'!$M$7:$M$1506,0)),"")))</f>
        <v/>
      </c>
      <c r="J543" s="78" t="str">
        <f aca="false">IF(B543="","",IFERROR(INDEX('CARNET DE SOUDURE'!$E$7:$E$1506,MATCH(B543,'CARNET DE SOUDURE'!$M$7:$M$1506,0)),""))</f>
        <v/>
      </c>
      <c r="K543" s="78" t="str">
        <f aca="false">IF(B543="","",IFERROR(INDEX('CARNET DE SOUDURE'!$E$7:$E$1506,MATCH(B543,'CARNET DE SOUDURE'!$K$7:$K$1506,0)),""))</f>
        <v/>
      </c>
      <c r="L543" s="78" t="str">
        <f aca="false">IF(B543="","",IFERROR(INDEX('CARNET DE SOUDURE'!$D$7:$D$1506,MATCH(B543,'CARNET DE SOUDURE'!$K$7:$K$1506,0)),IFERROR(INDEX('CARNET DE SOUDURE'!$D$7:$D$1506,MATCH(B543,'CARNET DE SOUDURE'!$M$7:$M$1506,0)),"")))</f>
        <v/>
      </c>
      <c r="M543" s="81" t="str">
        <f aca="false">IF(B543="","",IF(OR(J543&lt;&gt;"",K543&lt;&gt;""),"POSÉ EN LIGNE",IF(H543&lt;&gt;"","BARDÉ","EN STOCK")))</f>
        <v/>
      </c>
      <c r="N543" s="79"/>
    </row>
    <row r="544" customFormat="false" ht="15" hidden="false" customHeight="false" outlineLevel="0" collapsed="false">
      <c r="A544" s="78" t="str">
        <f aca="false">IF(B544="","",ROW()-6)</f>
        <v/>
      </c>
      <c r="B544" s="90"/>
      <c r="C544" s="91"/>
      <c r="D544" s="91"/>
      <c r="E544" s="80"/>
      <c r="F544" s="92"/>
      <c r="G544" s="79"/>
      <c r="H544" s="82"/>
      <c r="I544" s="93" t="str">
        <f aca="false">IF(B544="","",IFERROR(INDEX('CARNET DE SOUDURE'!$B$7:$B$1506,MATCH(B544,'CARNET DE SOUDURE'!$K$7:$K$1506,0)),IFERROR(INDEX('CARNET DE SOUDURE'!$B$7:$B$1506,MATCH(B544,'CARNET DE SOUDURE'!$M$7:$M$1506,0)),"")))</f>
        <v/>
      </c>
      <c r="J544" s="78" t="str">
        <f aca="false">IF(B544="","",IFERROR(INDEX('CARNET DE SOUDURE'!$E$7:$E$1506,MATCH(B544,'CARNET DE SOUDURE'!$M$7:$M$1506,0)),""))</f>
        <v/>
      </c>
      <c r="K544" s="78" t="str">
        <f aca="false">IF(B544="","",IFERROR(INDEX('CARNET DE SOUDURE'!$E$7:$E$1506,MATCH(B544,'CARNET DE SOUDURE'!$K$7:$K$1506,0)),""))</f>
        <v/>
      </c>
      <c r="L544" s="78" t="str">
        <f aca="false">IF(B544="","",IFERROR(INDEX('CARNET DE SOUDURE'!$D$7:$D$1506,MATCH(B544,'CARNET DE SOUDURE'!$K$7:$K$1506,0)),IFERROR(INDEX('CARNET DE SOUDURE'!$D$7:$D$1506,MATCH(B544,'CARNET DE SOUDURE'!$M$7:$M$1506,0)),"")))</f>
        <v/>
      </c>
      <c r="M544" s="81" t="str">
        <f aca="false">IF(B544="","",IF(OR(J544&lt;&gt;"",K544&lt;&gt;""),"POSÉ EN LIGNE",IF(H544&lt;&gt;"","BARDÉ","EN STOCK")))</f>
        <v/>
      </c>
      <c r="N544" s="79"/>
    </row>
    <row r="545" customFormat="false" ht="15" hidden="false" customHeight="false" outlineLevel="0" collapsed="false">
      <c r="A545" s="78" t="str">
        <f aca="false">IF(B545="","",ROW()-6)</f>
        <v/>
      </c>
      <c r="B545" s="90"/>
      <c r="C545" s="91"/>
      <c r="D545" s="91"/>
      <c r="E545" s="80"/>
      <c r="F545" s="92"/>
      <c r="G545" s="79"/>
      <c r="H545" s="82"/>
      <c r="I545" s="93" t="str">
        <f aca="false">IF(B545="","",IFERROR(INDEX('CARNET DE SOUDURE'!$B$7:$B$1506,MATCH(B545,'CARNET DE SOUDURE'!$K$7:$K$1506,0)),IFERROR(INDEX('CARNET DE SOUDURE'!$B$7:$B$1506,MATCH(B545,'CARNET DE SOUDURE'!$M$7:$M$1506,0)),"")))</f>
        <v/>
      </c>
      <c r="J545" s="78" t="str">
        <f aca="false">IF(B545="","",IFERROR(INDEX('CARNET DE SOUDURE'!$E$7:$E$1506,MATCH(B545,'CARNET DE SOUDURE'!$M$7:$M$1506,0)),""))</f>
        <v/>
      </c>
      <c r="K545" s="78" t="str">
        <f aca="false">IF(B545="","",IFERROR(INDEX('CARNET DE SOUDURE'!$E$7:$E$1506,MATCH(B545,'CARNET DE SOUDURE'!$K$7:$K$1506,0)),""))</f>
        <v/>
      </c>
      <c r="L545" s="78" t="str">
        <f aca="false">IF(B545="","",IFERROR(INDEX('CARNET DE SOUDURE'!$D$7:$D$1506,MATCH(B545,'CARNET DE SOUDURE'!$K$7:$K$1506,0)),IFERROR(INDEX('CARNET DE SOUDURE'!$D$7:$D$1506,MATCH(B545,'CARNET DE SOUDURE'!$M$7:$M$1506,0)),"")))</f>
        <v/>
      </c>
      <c r="M545" s="81" t="str">
        <f aca="false">IF(B545="","",IF(OR(J545&lt;&gt;"",K545&lt;&gt;""),"POSÉ EN LIGNE",IF(H545&lt;&gt;"","BARDÉ","EN STOCK")))</f>
        <v/>
      </c>
      <c r="N545" s="79"/>
    </row>
    <row r="546" customFormat="false" ht="15" hidden="false" customHeight="false" outlineLevel="0" collapsed="false">
      <c r="A546" s="78" t="str">
        <f aca="false">IF(B546="","",ROW()-6)</f>
        <v/>
      </c>
      <c r="B546" s="90"/>
      <c r="C546" s="91"/>
      <c r="D546" s="91"/>
      <c r="E546" s="80"/>
      <c r="F546" s="92"/>
      <c r="G546" s="79"/>
      <c r="H546" s="82"/>
      <c r="I546" s="93" t="str">
        <f aca="false">IF(B546="","",IFERROR(INDEX('CARNET DE SOUDURE'!$B$7:$B$1506,MATCH(B546,'CARNET DE SOUDURE'!$K$7:$K$1506,0)),IFERROR(INDEX('CARNET DE SOUDURE'!$B$7:$B$1506,MATCH(B546,'CARNET DE SOUDURE'!$M$7:$M$1506,0)),"")))</f>
        <v/>
      </c>
      <c r="J546" s="78" t="str">
        <f aca="false">IF(B546="","",IFERROR(INDEX('CARNET DE SOUDURE'!$E$7:$E$1506,MATCH(B546,'CARNET DE SOUDURE'!$M$7:$M$1506,0)),""))</f>
        <v/>
      </c>
      <c r="K546" s="78" t="str">
        <f aca="false">IF(B546="","",IFERROR(INDEX('CARNET DE SOUDURE'!$E$7:$E$1506,MATCH(B546,'CARNET DE SOUDURE'!$K$7:$K$1506,0)),""))</f>
        <v/>
      </c>
      <c r="L546" s="78" t="str">
        <f aca="false">IF(B546="","",IFERROR(INDEX('CARNET DE SOUDURE'!$D$7:$D$1506,MATCH(B546,'CARNET DE SOUDURE'!$K$7:$K$1506,0)),IFERROR(INDEX('CARNET DE SOUDURE'!$D$7:$D$1506,MATCH(B546,'CARNET DE SOUDURE'!$M$7:$M$1506,0)),"")))</f>
        <v/>
      </c>
      <c r="M546" s="81" t="str">
        <f aca="false">IF(B546="","",IF(OR(J546&lt;&gt;"",K546&lt;&gt;""),"POSÉ EN LIGNE",IF(H546&lt;&gt;"","BARDÉ","EN STOCK")))</f>
        <v/>
      </c>
      <c r="N546" s="79"/>
    </row>
    <row r="547" customFormat="false" ht="15" hidden="false" customHeight="false" outlineLevel="0" collapsed="false">
      <c r="A547" s="78" t="str">
        <f aca="false">IF(B547="","",ROW()-6)</f>
        <v/>
      </c>
      <c r="B547" s="90"/>
      <c r="C547" s="91"/>
      <c r="D547" s="91"/>
      <c r="E547" s="80"/>
      <c r="F547" s="92"/>
      <c r="G547" s="79"/>
      <c r="H547" s="82"/>
      <c r="I547" s="93" t="str">
        <f aca="false">IF(B547="","",IFERROR(INDEX('CARNET DE SOUDURE'!$B$7:$B$1506,MATCH(B547,'CARNET DE SOUDURE'!$K$7:$K$1506,0)),IFERROR(INDEX('CARNET DE SOUDURE'!$B$7:$B$1506,MATCH(B547,'CARNET DE SOUDURE'!$M$7:$M$1506,0)),"")))</f>
        <v/>
      </c>
      <c r="J547" s="78" t="str">
        <f aca="false">IF(B547="","",IFERROR(INDEX('CARNET DE SOUDURE'!$E$7:$E$1506,MATCH(B547,'CARNET DE SOUDURE'!$M$7:$M$1506,0)),""))</f>
        <v/>
      </c>
      <c r="K547" s="78" t="str">
        <f aca="false">IF(B547="","",IFERROR(INDEX('CARNET DE SOUDURE'!$E$7:$E$1506,MATCH(B547,'CARNET DE SOUDURE'!$K$7:$K$1506,0)),""))</f>
        <v/>
      </c>
      <c r="L547" s="78" t="str">
        <f aca="false">IF(B547="","",IFERROR(INDEX('CARNET DE SOUDURE'!$D$7:$D$1506,MATCH(B547,'CARNET DE SOUDURE'!$K$7:$K$1506,0)),IFERROR(INDEX('CARNET DE SOUDURE'!$D$7:$D$1506,MATCH(B547,'CARNET DE SOUDURE'!$M$7:$M$1506,0)),"")))</f>
        <v/>
      </c>
      <c r="M547" s="81" t="str">
        <f aca="false">IF(B547="","",IF(OR(J547&lt;&gt;"",K547&lt;&gt;""),"POSÉ EN LIGNE",IF(H547&lt;&gt;"","BARDÉ","EN STOCK")))</f>
        <v/>
      </c>
      <c r="N547" s="79"/>
    </row>
    <row r="548" customFormat="false" ht="15" hidden="false" customHeight="false" outlineLevel="0" collapsed="false">
      <c r="A548" s="78" t="str">
        <f aca="false">IF(B548="","",ROW()-6)</f>
        <v/>
      </c>
      <c r="B548" s="90"/>
      <c r="C548" s="91"/>
      <c r="D548" s="91"/>
      <c r="E548" s="80"/>
      <c r="F548" s="92"/>
      <c r="G548" s="79"/>
      <c r="H548" s="82"/>
      <c r="I548" s="93" t="str">
        <f aca="false">IF(B548="","",IFERROR(INDEX('CARNET DE SOUDURE'!$B$7:$B$1506,MATCH(B548,'CARNET DE SOUDURE'!$K$7:$K$1506,0)),IFERROR(INDEX('CARNET DE SOUDURE'!$B$7:$B$1506,MATCH(B548,'CARNET DE SOUDURE'!$M$7:$M$1506,0)),"")))</f>
        <v/>
      </c>
      <c r="J548" s="78" t="str">
        <f aca="false">IF(B548="","",IFERROR(INDEX('CARNET DE SOUDURE'!$E$7:$E$1506,MATCH(B548,'CARNET DE SOUDURE'!$M$7:$M$1506,0)),""))</f>
        <v/>
      </c>
      <c r="K548" s="78" t="str">
        <f aca="false">IF(B548="","",IFERROR(INDEX('CARNET DE SOUDURE'!$E$7:$E$1506,MATCH(B548,'CARNET DE SOUDURE'!$K$7:$K$1506,0)),""))</f>
        <v/>
      </c>
      <c r="L548" s="78" t="str">
        <f aca="false">IF(B548="","",IFERROR(INDEX('CARNET DE SOUDURE'!$D$7:$D$1506,MATCH(B548,'CARNET DE SOUDURE'!$K$7:$K$1506,0)),IFERROR(INDEX('CARNET DE SOUDURE'!$D$7:$D$1506,MATCH(B548,'CARNET DE SOUDURE'!$M$7:$M$1506,0)),"")))</f>
        <v/>
      </c>
      <c r="M548" s="81" t="str">
        <f aca="false">IF(B548="","",IF(OR(J548&lt;&gt;"",K548&lt;&gt;""),"POSÉ EN LIGNE",IF(H548&lt;&gt;"","BARDÉ","EN STOCK")))</f>
        <v/>
      </c>
      <c r="N548" s="79"/>
    </row>
    <row r="549" customFormat="false" ht="15" hidden="false" customHeight="false" outlineLevel="0" collapsed="false">
      <c r="A549" s="78" t="str">
        <f aca="false">IF(B549="","",ROW()-6)</f>
        <v/>
      </c>
      <c r="B549" s="90"/>
      <c r="C549" s="91"/>
      <c r="D549" s="91"/>
      <c r="E549" s="80"/>
      <c r="F549" s="92"/>
      <c r="G549" s="79"/>
      <c r="H549" s="82"/>
      <c r="I549" s="93" t="str">
        <f aca="false">IF(B549="","",IFERROR(INDEX('CARNET DE SOUDURE'!$B$7:$B$1506,MATCH(B549,'CARNET DE SOUDURE'!$K$7:$K$1506,0)),IFERROR(INDEX('CARNET DE SOUDURE'!$B$7:$B$1506,MATCH(B549,'CARNET DE SOUDURE'!$M$7:$M$1506,0)),"")))</f>
        <v/>
      </c>
      <c r="J549" s="78" t="str">
        <f aca="false">IF(B549="","",IFERROR(INDEX('CARNET DE SOUDURE'!$E$7:$E$1506,MATCH(B549,'CARNET DE SOUDURE'!$M$7:$M$1506,0)),""))</f>
        <v/>
      </c>
      <c r="K549" s="78" t="str">
        <f aca="false">IF(B549="","",IFERROR(INDEX('CARNET DE SOUDURE'!$E$7:$E$1506,MATCH(B549,'CARNET DE SOUDURE'!$K$7:$K$1506,0)),""))</f>
        <v/>
      </c>
      <c r="L549" s="78" t="str">
        <f aca="false">IF(B549="","",IFERROR(INDEX('CARNET DE SOUDURE'!$D$7:$D$1506,MATCH(B549,'CARNET DE SOUDURE'!$K$7:$K$1506,0)),IFERROR(INDEX('CARNET DE SOUDURE'!$D$7:$D$1506,MATCH(B549,'CARNET DE SOUDURE'!$M$7:$M$1506,0)),"")))</f>
        <v/>
      </c>
      <c r="M549" s="81" t="str">
        <f aca="false">IF(B549="","",IF(OR(J549&lt;&gt;"",K549&lt;&gt;""),"POSÉ EN LIGNE",IF(H549&lt;&gt;"","BARDÉ","EN STOCK")))</f>
        <v/>
      </c>
      <c r="N549" s="79"/>
    </row>
    <row r="550" customFormat="false" ht="15" hidden="false" customHeight="false" outlineLevel="0" collapsed="false">
      <c r="A550" s="78" t="str">
        <f aca="false">IF(B550="","",ROW()-6)</f>
        <v/>
      </c>
      <c r="B550" s="90"/>
      <c r="C550" s="91"/>
      <c r="D550" s="91"/>
      <c r="E550" s="80"/>
      <c r="F550" s="92"/>
      <c r="G550" s="79"/>
      <c r="H550" s="82"/>
      <c r="I550" s="93" t="str">
        <f aca="false">IF(B550="","",IFERROR(INDEX('CARNET DE SOUDURE'!$B$7:$B$1506,MATCH(B550,'CARNET DE SOUDURE'!$K$7:$K$1506,0)),IFERROR(INDEX('CARNET DE SOUDURE'!$B$7:$B$1506,MATCH(B550,'CARNET DE SOUDURE'!$M$7:$M$1506,0)),"")))</f>
        <v/>
      </c>
      <c r="J550" s="78" t="str">
        <f aca="false">IF(B550="","",IFERROR(INDEX('CARNET DE SOUDURE'!$E$7:$E$1506,MATCH(B550,'CARNET DE SOUDURE'!$M$7:$M$1506,0)),""))</f>
        <v/>
      </c>
      <c r="K550" s="78" t="str">
        <f aca="false">IF(B550="","",IFERROR(INDEX('CARNET DE SOUDURE'!$E$7:$E$1506,MATCH(B550,'CARNET DE SOUDURE'!$K$7:$K$1506,0)),""))</f>
        <v/>
      </c>
      <c r="L550" s="78" t="str">
        <f aca="false">IF(B550="","",IFERROR(INDEX('CARNET DE SOUDURE'!$D$7:$D$1506,MATCH(B550,'CARNET DE SOUDURE'!$K$7:$K$1506,0)),IFERROR(INDEX('CARNET DE SOUDURE'!$D$7:$D$1506,MATCH(B550,'CARNET DE SOUDURE'!$M$7:$M$1506,0)),"")))</f>
        <v/>
      </c>
      <c r="M550" s="81" t="str">
        <f aca="false">IF(B550="","",IF(OR(J550&lt;&gt;"",K550&lt;&gt;""),"POSÉ EN LIGNE",IF(H550&lt;&gt;"","BARDÉ","EN STOCK")))</f>
        <v/>
      </c>
      <c r="N550" s="79"/>
    </row>
    <row r="551" customFormat="false" ht="15" hidden="false" customHeight="false" outlineLevel="0" collapsed="false">
      <c r="A551" s="78" t="str">
        <f aca="false">IF(B551="","",ROW()-6)</f>
        <v/>
      </c>
      <c r="B551" s="90"/>
      <c r="C551" s="91"/>
      <c r="D551" s="91"/>
      <c r="E551" s="80"/>
      <c r="F551" s="92"/>
      <c r="G551" s="79"/>
      <c r="H551" s="82"/>
      <c r="I551" s="93" t="str">
        <f aca="false">IF(B551="","",IFERROR(INDEX('CARNET DE SOUDURE'!$B$7:$B$1506,MATCH(B551,'CARNET DE SOUDURE'!$K$7:$K$1506,0)),IFERROR(INDEX('CARNET DE SOUDURE'!$B$7:$B$1506,MATCH(B551,'CARNET DE SOUDURE'!$M$7:$M$1506,0)),"")))</f>
        <v/>
      </c>
      <c r="J551" s="78" t="str">
        <f aca="false">IF(B551="","",IFERROR(INDEX('CARNET DE SOUDURE'!$E$7:$E$1506,MATCH(B551,'CARNET DE SOUDURE'!$M$7:$M$1506,0)),""))</f>
        <v/>
      </c>
      <c r="K551" s="78" t="str">
        <f aca="false">IF(B551="","",IFERROR(INDEX('CARNET DE SOUDURE'!$E$7:$E$1506,MATCH(B551,'CARNET DE SOUDURE'!$K$7:$K$1506,0)),""))</f>
        <v/>
      </c>
      <c r="L551" s="78" t="str">
        <f aca="false">IF(B551="","",IFERROR(INDEX('CARNET DE SOUDURE'!$D$7:$D$1506,MATCH(B551,'CARNET DE SOUDURE'!$K$7:$K$1506,0)),IFERROR(INDEX('CARNET DE SOUDURE'!$D$7:$D$1506,MATCH(B551,'CARNET DE SOUDURE'!$M$7:$M$1506,0)),"")))</f>
        <v/>
      </c>
      <c r="M551" s="81" t="str">
        <f aca="false">IF(B551="","",IF(OR(J551&lt;&gt;"",K551&lt;&gt;""),"POSÉ EN LIGNE",IF(H551&lt;&gt;"","BARDÉ","EN STOCK")))</f>
        <v/>
      </c>
      <c r="N551" s="79"/>
    </row>
    <row r="552" customFormat="false" ht="15" hidden="false" customHeight="false" outlineLevel="0" collapsed="false">
      <c r="A552" s="78" t="str">
        <f aca="false">IF(B552="","",ROW()-6)</f>
        <v/>
      </c>
      <c r="B552" s="90"/>
      <c r="C552" s="91"/>
      <c r="D552" s="91"/>
      <c r="E552" s="80"/>
      <c r="F552" s="92"/>
      <c r="G552" s="79"/>
      <c r="H552" s="82"/>
      <c r="I552" s="93" t="str">
        <f aca="false">IF(B552="","",IFERROR(INDEX('CARNET DE SOUDURE'!$B$7:$B$1506,MATCH(B552,'CARNET DE SOUDURE'!$K$7:$K$1506,0)),IFERROR(INDEX('CARNET DE SOUDURE'!$B$7:$B$1506,MATCH(B552,'CARNET DE SOUDURE'!$M$7:$M$1506,0)),"")))</f>
        <v/>
      </c>
      <c r="J552" s="78" t="str">
        <f aca="false">IF(B552="","",IFERROR(INDEX('CARNET DE SOUDURE'!$E$7:$E$1506,MATCH(B552,'CARNET DE SOUDURE'!$M$7:$M$1506,0)),""))</f>
        <v/>
      </c>
      <c r="K552" s="78" t="str">
        <f aca="false">IF(B552="","",IFERROR(INDEX('CARNET DE SOUDURE'!$E$7:$E$1506,MATCH(B552,'CARNET DE SOUDURE'!$K$7:$K$1506,0)),""))</f>
        <v/>
      </c>
      <c r="L552" s="78" t="str">
        <f aca="false">IF(B552="","",IFERROR(INDEX('CARNET DE SOUDURE'!$D$7:$D$1506,MATCH(B552,'CARNET DE SOUDURE'!$K$7:$K$1506,0)),IFERROR(INDEX('CARNET DE SOUDURE'!$D$7:$D$1506,MATCH(B552,'CARNET DE SOUDURE'!$M$7:$M$1506,0)),"")))</f>
        <v/>
      </c>
      <c r="M552" s="81" t="str">
        <f aca="false">IF(B552="","",IF(OR(J552&lt;&gt;"",K552&lt;&gt;""),"POSÉ EN LIGNE",IF(H552&lt;&gt;"","BARDÉ","EN STOCK")))</f>
        <v/>
      </c>
      <c r="N552" s="79"/>
    </row>
    <row r="553" customFormat="false" ht="15" hidden="false" customHeight="false" outlineLevel="0" collapsed="false">
      <c r="A553" s="78" t="str">
        <f aca="false">IF(B553="","",ROW()-6)</f>
        <v/>
      </c>
      <c r="B553" s="90"/>
      <c r="C553" s="91"/>
      <c r="D553" s="91"/>
      <c r="E553" s="80"/>
      <c r="F553" s="92"/>
      <c r="G553" s="79"/>
      <c r="H553" s="82"/>
      <c r="I553" s="93" t="str">
        <f aca="false">IF(B553="","",IFERROR(INDEX('CARNET DE SOUDURE'!$B$7:$B$1506,MATCH(B553,'CARNET DE SOUDURE'!$K$7:$K$1506,0)),IFERROR(INDEX('CARNET DE SOUDURE'!$B$7:$B$1506,MATCH(B553,'CARNET DE SOUDURE'!$M$7:$M$1506,0)),"")))</f>
        <v/>
      </c>
      <c r="J553" s="78" t="str">
        <f aca="false">IF(B553="","",IFERROR(INDEX('CARNET DE SOUDURE'!$E$7:$E$1506,MATCH(B553,'CARNET DE SOUDURE'!$M$7:$M$1506,0)),""))</f>
        <v/>
      </c>
      <c r="K553" s="78" t="str">
        <f aca="false">IF(B553="","",IFERROR(INDEX('CARNET DE SOUDURE'!$E$7:$E$1506,MATCH(B553,'CARNET DE SOUDURE'!$K$7:$K$1506,0)),""))</f>
        <v/>
      </c>
      <c r="L553" s="78" t="str">
        <f aca="false">IF(B553="","",IFERROR(INDEX('CARNET DE SOUDURE'!$D$7:$D$1506,MATCH(B553,'CARNET DE SOUDURE'!$K$7:$K$1506,0)),IFERROR(INDEX('CARNET DE SOUDURE'!$D$7:$D$1506,MATCH(B553,'CARNET DE SOUDURE'!$M$7:$M$1506,0)),"")))</f>
        <v/>
      </c>
      <c r="M553" s="81" t="str">
        <f aca="false">IF(B553="","",IF(OR(J553&lt;&gt;"",K553&lt;&gt;""),"POSÉ EN LIGNE",IF(H553&lt;&gt;"","BARDÉ","EN STOCK")))</f>
        <v/>
      </c>
      <c r="N553" s="79"/>
    </row>
    <row r="554" customFormat="false" ht="15" hidden="false" customHeight="false" outlineLevel="0" collapsed="false">
      <c r="A554" s="78" t="str">
        <f aca="false">IF(B554="","",ROW()-6)</f>
        <v/>
      </c>
      <c r="B554" s="90"/>
      <c r="C554" s="91"/>
      <c r="D554" s="91"/>
      <c r="E554" s="80"/>
      <c r="F554" s="92"/>
      <c r="G554" s="79"/>
      <c r="H554" s="82"/>
      <c r="I554" s="93" t="str">
        <f aca="false">IF(B554="","",IFERROR(INDEX('CARNET DE SOUDURE'!$B$7:$B$1506,MATCH(B554,'CARNET DE SOUDURE'!$K$7:$K$1506,0)),IFERROR(INDEX('CARNET DE SOUDURE'!$B$7:$B$1506,MATCH(B554,'CARNET DE SOUDURE'!$M$7:$M$1506,0)),"")))</f>
        <v/>
      </c>
      <c r="J554" s="78" t="str">
        <f aca="false">IF(B554="","",IFERROR(INDEX('CARNET DE SOUDURE'!$E$7:$E$1506,MATCH(B554,'CARNET DE SOUDURE'!$M$7:$M$1506,0)),""))</f>
        <v/>
      </c>
      <c r="K554" s="78" t="str">
        <f aca="false">IF(B554="","",IFERROR(INDEX('CARNET DE SOUDURE'!$E$7:$E$1506,MATCH(B554,'CARNET DE SOUDURE'!$K$7:$K$1506,0)),""))</f>
        <v/>
      </c>
      <c r="L554" s="78" t="str">
        <f aca="false">IF(B554="","",IFERROR(INDEX('CARNET DE SOUDURE'!$D$7:$D$1506,MATCH(B554,'CARNET DE SOUDURE'!$K$7:$K$1506,0)),IFERROR(INDEX('CARNET DE SOUDURE'!$D$7:$D$1506,MATCH(B554,'CARNET DE SOUDURE'!$M$7:$M$1506,0)),"")))</f>
        <v/>
      </c>
      <c r="M554" s="81" t="str">
        <f aca="false">IF(B554="","",IF(OR(J554&lt;&gt;"",K554&lt;&gt;""),"POSÉ EN LIGNE",IF(H554&lt;&gt;"","BARDÉ","EN STOCK")))</f>
        <v/>
      </c>
      <c r="N554" s="79"/>
    </row>
    <row r="555" customFormat="false" ht="15" hidden="false" customHeight="false" outlineLevel="0" collapsed="false">
      <c r="A555" s="78" t="str">
        <f aca="false">IF(B555="","",ROW()-6)</f>
        <v/>
      </c>
      <c r="B555" s="90"/>
      <c r="C555" s="91"/>
      <c r="D555" s="91"/>
      <c r="E555" s="80"/>
      <c r="F555" s="92"/>
      <c r="G555" s="79"/>
      <c r="H555" s="82"/>
      <c r="I555" s="93" t="str">
        <f aca="false">IF(B555="","",IFERROR(INDEX('CARNET DE SOUDURE'!$B$7:$B$1506,MATCH(B555,'CARNET DE SOUDURE'!$K$7:$K$1506,0)),IFERROR(INDEX('CARNET DE SOUDURE'!$B$7:$B$1506,MATCH(B555,'CARNET DE SOUDURE'!$M$7:$M$1506,0)),"")))</f>
        <v/>
      </c>
      <c r="J555" s="78" t="str">
        <f aca="false">IF(B555="","",IFERROR(INDEX('CARNET DE SOUDURE'!$E$7:$E$1506,MATCH(B555,'CARNET DE SOUDURE'!$M$7:$M$1506,0)),""))</f>
        <v/>
      </c>
      <c r="K555" s="78" t="str">
        <f aca="false">IF(B555="","",IFERROR(INDEX('CARNET DE SOUDURE'!$E$7:$E$1506,MATCH(B555,'CARNET DE SOUDURE'!$K$7:$K$1506,0)),""))</f>
        <v/>
      </c>
      <c r="L555" s="78" t="str">
        <f aca="false">IF(B555="","",IFERROR(INDEX('CARNET DE SOUDURE'!$D$7:$D$1506,MATCH(B555,'CARNET DE SOUDURE'!$K$7:$K$1506,0)),IFERROR(INDEX('CARNET DE SOUDURE'!$D$7:$D$1506,MATCH(B555,'CARNET DE SOUDURE'!$M$7:$M$1506,0)),"")))</f>
        <v/>
      </c>
      <c r="M555" s="81" t="str">
        <f aca="false">IF(B555="","",IF(OR(J555&lt;&gt;"",K555&lt;&gt;""),"POSÉ EN LIGNE",IF(H555&lt;&gt;"","BARDÉ","EN STOCK")))</f>
        <v/>
      </c>
      <c r="N555" s="79"/>
    </row>
    <row r="556" customFormat="false" ht="15" hidden="false" customHeight="false" outlineLevel="0" collapsed="false">
      <c r="A556" s="78" t="str">
        <f aca="false">IF(B556="","",ROW()-6)</f>
        <v/>
      </c>
      <c r="B556" s="90"/>
      <c r="C556" s="91"/>
      <c r="D556" s="91"/>
      <c r="E556" s="80"/>
      <c r="F556" s="92"/>
      <c r="G556" s="79"/>
      <c r="H556" s="82"/>
      <c r="I556" s="93" t="str">
        <f aca="false">IF(B556="","",IFERROR(INDEX('CARNET DE SOUDURE'!$B$7:$B$1506,MATCH(B556,'CARNET DE SOUDURE'!$K$7:$K$1506,0)),IFERROR(INDEX('CARNET DE SOUDURE'!$B$7:$B$1506,MATCH(B556,'CARNET DE SOUDURE'!$M$7:$M$1506,0)),"")))</f>
        <v/>
      </c>
      <c r="J556" s="78" t="str">
        <f aca="false">IF(B556="","",IFERROR(INDEX('CARNET DE SOUDURE'!$E$7:$E$1506,MATCH(B556,'CARNET DE SOUDURE'!$M$7:$M$1506,0)),""))</f>
        <v/>
      </c>
      <c r="K556" s="78" t="str">
        <f aca="false">IF(B556="","",IFERROR(INDEX('CARNET DE SOUDURE'!$E$7:$E$1506,MATCH(B556,'CARNET DE SOUDURE'!$K$7:$K$1506,0)),""))</f>
        <v/>
      </c>
      <c r="L556" s="78" t="str">
        <f aca="false">IF(B556="","",IFERROR(INDEX('CARNET DE SOUDURE'!$D$7:$D$1506,MATCH(B556,'CARNET DE SOUDURE'!$K$7:$K$1506,0)),IFERROR(INDEX('CARNET DE SOUDURE'!$D$7:$D$1506,MATCH(B556,'CARNET DE SOUDURE'!$M$7:$M$1506,0)),"")))</f>
        <v/>
      </c>
      <c r="M556" s="81" t="str">
        <f aca="false">IF(B556="","",IF(OR(J556&lt;&gt;"",K556&lt;&gt;""),"POSÉ EN LIGNE",IF(H556&lt;&gt;"","BARDÉ","EN STOCK")))</f>
        <v/>
      </c>
      <c r="N556" s="79"/>
    </row>
    <row r="557" customFormat="false" ht="15" hidden="false" customHeight="false" outlineLevel="0" collapsed="false">
      <c r="A557" s="78" t="str">
        <f aca="false">IF(B557="","",ROW()-6)</f>
        <v/>
      </c>
      <c r="B557" s="90"/>
      <c r="C557" s="91"/>
      <c r="D557" s="91"/>
      <c r="E557" s="80"/>
      <c r="F557" s="92"/>
      <c r="G557" s="79"/>
      <c r="H557" s="82"/>
      <c r="I557" s="93" t="str">
        <f aca="false">IF(B557="","",IFERROR(INDEX('CARNET DE SOUDURE'!$B$7:$B$1506,MATCH(B557,'CARNET DE SOUDURE'!$K$7:$K$1506,0)),IFERROR(INDEX('CARNET DE SOUDURE'!$B$7:$B$1506,MATCH(B557,'CARNET DE SOUDURE'!$M$7:$M$1506,0)),"")))</f>
        <v/>
      </c>
      <c r="J557" s="78" t="str">
        <f aca="false">IF(B557="","",IFERROR(INDEX('CARNET DE SOUDURE'!$E$7:$E$1506,MATCH(B557,'CARNET DE SOUDURE'!$M$7:$M$1506,0)),""))</f>
        <v/>
      </c>
      <c r="K557" s="78" t="str">
        <f aca="false">IF(B557="","",IFERROR(INDEX('CARNET DE SOUDURE'!$E$7:$E$1506,MATCH(B557,'CARNET DE SOUDURE'!$K$7:$K$1506,0)),""))</f>
        <v/>
      </c>
      <c r="L557" s="78" t="str">
        <f aca="false">IF(B557="","",IFERROR(INDEX('CARNET DE SOUDURE'!$D$7:$D$1506,MATCH(B557,'CARNET DE SOUDURE'!$K$7:$K$1506,0)),IFERROR(INDEX('CARNET DE SOUDURE'!$D$7:$D$1506,MATCH(B557,'CARNET DE SOUDURE'!$M$7:$M$1506,0)),"")))</f>
        <v/>
      </c>
      <c r="M557" s="81" t="str">
        <f aca="false">IF(B557="","",IF(OR(J557&lt;&gt;"",K557&lt;&gt;""),"POSÉ EN LIGNE",IF(H557&lt;&gt;"","BARDÉ","EN STOCK")))</f>
        <v/>
      </c>
      <c r="N557" s="79"/>
    </row>
    <row r="558" customFormat="false" ht="15" hidden="false" customHeight="false" outlineLevel="0" collapsed="false">
      <c r="A558" s="78" t="str">
        <f aca="false">IF(B558="","",ROW()-6)</f>
        <v/>
      </c>
      <c r="B558" s="90"/>
      <c r="C558" s="91"/>
      <c r="D558" s="91"/>
      <c r="E558" s="80"/>
      <c r="F558" s="92"/>
      <c r="G558" s="79"/>
      <c r="H558" s="82"/>
      <c r="I558" s="93" t="str">
        <f aca="false">IF(B558="","",IFERROR(INDEX('CARNET DE SOUDURE'!$B$7:$B$1506,MATCH(B558,'CARNET DE SOUDURE'!$K$7:$K$1506,0)),IFERROR(INDEX('CARNET DE SOUDURE'!$B$7:$B$1506,MATCH(B558,'CARNET DE SOUDURE'!$M$7:$M$1506,0)),"")))</f>
        <v/>
      </c>
      <c r="J558" s="78" t="str">
        <f aca="false">IF(B558="","",IFERROR(INDEX('CARNET DE SOUDURE'!$E$7:$E$1506,MATCH(B558,'CARNET DE SOUDURE'!$M$7:$M$1506,0)),""))</f>
        <v/>
      </c>
      <c r="K558" s="78" t="str">
        <f aca="false">IF(B558="","",IFERROR(INDEX('CARNET DE SOUDURE'!$E$7:$E$1506,MATCH(B558,'CARNET DE SOUDURE'!$K$7:$K$1506,0)),""))</f>
        <v/>
      </c>
      <c r="L558" s="78" t="str">
        <f aca="false">IF(B558="","",IFERROR(INDEX('CARNET DE SOUDURE'!$D$7:$D$1506,MATCH(B558,'CARNET DE SOUDURE'!$K$7:$K$1506,0)),IFERROR(INDEX('CARNET DE SOUDURE'!$D$7:$D$1506,MATCH(B558,'CARNET DE SOUDURE'!$M$7:$M$1506,0)),"")))</f>
        <v/>
      </c>
      <c r="M558" s="81" t="str">
        <f aca="false">IF(B558="","",IF(OR(J558&lt;&gt;"",K558&lt;&gt;""),"POSÉ EN LIGNE",IF(H558&lt;&gt;"","BARDÉ","EN STOCK")))</f>
        <v/>
      </c>
      <c r="N558" s="79"/>
    </row>
    <row r="559" customFormat="false" ht="15" hidden="false" customHeight="false" outlineLevel="0" collapsed="false">
      <c r="A559" s="78" t="str">
        <f aca="false">IF(B559="","",ROW()-6)</f>
        <v/>
      </c>
      <c r="B559" s="90"/>
      <c r="C559" s="91"/>
      <c r="D559" s="91"/>
      <c r="E559" s="80"/>
      <c r="F559" s="92"/>
      <c r="G559" s="79"/>
      <c r="H559" s="82"/>
      <c r="I559" s="93" t="str">
        <f aca="false">IF(B559="","",IFERROR(INDEX('CARNET DE SOUDURE'!$B$7:$B$1506,MATCH(B559,'CARNET DE SOUDURE'!$K$7:$K$1506,0)),IFERROR(INDEX('CARNET DE SOUDURE'!$B$7:$B$1506,MATCH(B559,'CARNET DE SOUDURE'!$M$7:$M$1506,0)),"")))</f>
        <v/>
      </c>
      <c r="J559" s="78" t="str">
        <f aca="false">IF(B559="","",IFERROR(INDEX('CARNET DE SOUDURE'!$E$7:$E$1506,MATCH(B559,'CARNET DE SOUDURE'!$M$7:$M$1506,0)),""))</f>
        <v/>
      </c>
      <c r="K559" s="78" t="str">
        <f aca="false">IF(B559="","",IFERROR(INDEX('CARNET DE SOUDURE'!$E$7:$E$1506,MATCH(B559,'CARNET DE SOUDURE'!$K$7:$K$1506,0)),""))</f>
        <v/>
      </c>
      <c r="L559" s="78" t="str">
        <f aca="false">IF(B559="","",IFERROR(INDEX('CARNET DE SOUDURE'!$D$7:$D$1506,MATCH(B559,'CARNET DE SOUDURE'!$K$7:$K$1506,0)),IFERROR(INDEX('CARNET DE SOUDURE'!$D$7:$D$1506,MATCH(B559,'CARNET DE SOUDURE'!$M$7:$M$1506,0)),"")))</f>
        <v/>
      </c>
      <c r="M559" s="81" t="str">
        <f aca="false">IF(B559="","",IF(OR(J559&lt;&gt;"",K559&lt;&gt;""),"POSÉ EN LIGNE",IF(H559&lt;&gt;"","BARDÉ","EN STOCK")))</f>
        <v/>
      </c>
      <c r="N559" s="79"/>
    </row>
    <row r="560" customFormat="false" ht="15" hidden="false" customHeight="false" outlineLevel="0" collapsed="false">
      <c r="A560" s="78" t="str">
        <f aca="false">IF(B560="","",ROW()-6)</f>
        <v/>
      </c>
      <c r="B560" s="90"/>
      <c r="C560" s="91"/>
      <c r="D560" s="91"/>
      <c r="E560" s="80"/>
      <c r="F560" s="92"/>
      <c r="G560" s="79"/>
      <c r="H560" s="82"/>
      <c r="I560" s="93" t="str">
        <f aca="false">IF(B560="","",IFERROR(INDEX('CARNET DE SOUDURE'!$B$7:$B$1506,MATCH(B560,'CARNET DE SOUDURE'!$K$7:$K$1506,0)),IFERROR(INDEX('CARNET DE SOUDURE'!$B$7:$B$1506,MATCH(B560,'CARNET DE SOUDURE'!$M$7:$M$1506,0)),"")))</f>
        <v/>
      </c>
      <c r="J560" s="78" t="str">
        <f aca="false">IF(B560="","",IFERROR(INDEX('CARNET DE SOUDURE'!$E$7:$E$1506,MATCH(B560,'CARNET DE SOUDURE'!$M$7:$M$1506,0)),""))</f>
        <v/>
      </c>
      <c r="K560" s="78" t="str">
        <f aca="false">IF(B560="","",IFERROR(INDEX('CARNET DE SOUDURE'!$E$7:$E$1506,MATCH(B560,'CARNET DE SOUDURE'!$K$7:$K$1506,0)),""))</f>
        <v/>
      </c>
      <c r="L560" s="78" t="str">
        <f aca="false">IF(B560="","",IFERROR(INDEX('CARNET DE SOUDURE'!$D$7:$D$1506,MATCH(B560,'CARNET DE SOUDURE'!$K$7:$K$1506,0)),IFERROR(INDEX('CARNET DE SOUDURE'!$D$7:$D$1506,MATCH(B560,'CARNET DE SOUDURE'!$M$7:$M$1506,0)),"")))</f>
        <v/>
      </c>
      <c r="M560" s="81" t="str">
        <f aca="false">IF(B560="","",IF(OR(J560&lt;&gt;"",K560&lt;&gt;""),"POSÉ EN LIGNE",IF(H560&lt;&gt;"","BARDÉ","EN STOCK")))</f>
        <v/>
      </c>
      <c r="N560" s="79"/>
    </row>
    <row r="561" customFormat="false" ht="15" hidden="false" customHeight="false" outlineLevel="0" collapsed="false">
      <c r="A561" s="78" t="str">
        <f aca="false">IF(B561="","",ROW()-6)</f>
        <v/>
      </c>
      <c r="B561" s="90"/>
      <c r="C561" s="91"/>
      <c r="D561" s="91"/>
      <c r="E561" s="80"/>
      <c r="F561" s="92"/>
      <c r="G561" s="79"/>
      <c r="H561" s="82"/>
      <c r="I561" s="93" t="str">
        <f aca="false">IF(B561="","",IFERROR(INDEX('CARNET DE SOUDURE'!$B$7:$B$1506,MATCH(B561,'CARNET DE SOUDURE'!$K$7:$K$1506,0)),IFERROR(INDEX('CARNET DE SOUDURE'!$B$7:$B$1506,MATCH(B561,'CARNET DE SOUDURE'!$M$7:$M$1506,0)),"")))</f>
        <v/>
      </c>
      <c r="J561" s="78" t="str">
        <f aca="false">IF(B561="","",IFERROR(INDEX('CARNET DE SOUDURE'!$E$7:$E$1506,MATCH(B561,'CARNET DE SOUDURE'!$M$7:$M$1506,0)),""))</f>
        <v/>
      </c>
      <c r="K561" s="78" t="str">
        <f aca="false">IF(B561="","",IFERROR(INDEX('CARNET DE SOUDURE'!$E$7:$E$1506,MATCH(B561,'CARNET DE SOUDURE'!$K$7:$K$1506,0)),""))</f>
        <v/>
      </c>
      <c r="L561" s="78" t="str">
        <f aca="false">IF(B561="","",IFERROR(INDEX('CARNET DE SOUDURE'!$D$7:$D$1506,MATCH(B561,'CARNET DE SOUDURE'!$K$7:$K$1506,0)),IFERROR(INDEX('CARNET DE SOUDURE'!$D$7:$D$1506,MATCH(B561,'CARNET DE SOUDURE'!$M$7:$M$1506,0)),"")))</f>
        <v/>
      </c>
      <c r="M561" s="81" t="str">
        <f aca="false">IF(B561="","",IF(OR(J561&lt;&gt;"",K561&lt;&gt;""),"POSÉ EN LIGNE",IF(H561&lt;&gt;"","BARDÉ","EN STOCK")))</f>
        <v/>
      </c>
      <c r="N561" s="79"/>
    </row>
    <row r="562" customFormat="false" ht="15" hidden="false" customHeight="false" outlineLevel="0" collapsed="false">
      <c r="A562" s="78" t="str">
        <f aca="false">IF(B562="","",ROW()-6)</f>
        <v/>
      </c>
      <c r="B562" s="90"/>
      <c r="C562" s="91"/>
      <c r="D562" s="91"/>
      <c r="E562" s="80"/>
      <c r="F562" s="92"/>
      <c r="G562" s="79"/>
      <c r="H562" s="82"/>
      <c r="I562" s="93" t="str">
        <f aca="false">IF(B562="","",IFERROR(INDEX('CARNET DE SOUDURE'!$B$7:$B$1506,MATCH(B562,'CARNET DE SOUDURE'!$K$7:$K$1506,0)),IFERROR(INDEX('CARNET DE SOUDURE'!$B$7:$B$1506,MATCH(B562,'CARNET DE SOUDURE'!$M$7:$M$1506,0)),"")))</f>
        <v/>
      </c>
      <c r="J562" s="78" t="str">
        <f aca="false">IF(B562="","",IFERROR(INDEX('CARNET DE SOUDURE'!$E$7:$E$1506,MATCH(B562,'CARNET DE SOUDURE'!$M$7:$M$1506,0)),""))</f>
        <v/>
      </c>
      <c r="K562" s="78" t="str">
        <f aca="false">IF(B562="","",IFERROR(INDEX('CARNET DE SOUDURE'!$E$7:$E$1506,MATCH(B562,'CARNET DE SOUDURE'!$K$7:$K$1506,0)),""))</f>
        <v/>
      </c>
      <c r="L562" s="78" t="str">
        <f aca="false">IF(B562="","",IFERROR(INDEX('CARNET DE SOUDURE'!$D$7:$D$1506,MATCH(B562,'CARNET DE SOUDURE'!$K$7:$K$1506,0)),IFERROR(INDEX('CARNET DE SOUDURE'!$D$7:$D$1506,MATCH(B562,'CARNET DE SOUDURE'!$M$7:$M$1506,0)),"")))</f>
        <v/>
      </c>
      <c r="M562" s="81" t="str">
        <f aca="false">IF(B562="","",IF(OR(J562&lt;&gt;"",K562&lt;&gt;""),"POSÉ EN LIGNE",IF(H562&lt;&gt;"","BARDÉ","EN STOCK")))</f>
        <v/>
      </c>
      <c r="N562" s="79"/>
    </row>
    <row r="563" customFormat="false" ht="15" hidden="false" customHeight="false" outlineLevel="0" collapsed="false">
      <c r="A563" s="78" t="str">
        <f aca="false">IF(B563="","",ROW()-6)</f>
        <v/>
      </c>
      <c r="B563" s="90"/>
      <c r="C563" s="91"/>
      <c r="D563" s="91"/>
      <c r="E563" s="80"/>
      <c r="F563" s="92"/>
      <c r="G563" s="79"/>
      <c r="H563" s="82"/>
      <c r="I563" s="93" t="str">
        <f aca="false">IF(B563="","",IFERROR(INDEX('CARNET DE SOUDURE'!$B$7:$B$1506,MATCH(B563,'CARNET DE SOUDURE'!$K$7:$K$1506,0)),IFERROR(INDEX('CARNET DE SOUDURE'!$B$7:$B$1506,MATCH(B563,'CARNET DE SOUDURE'!$M$7:$M$1506,0)),"")))</f>
        <v/>
      </c>
      <c r="J563" s="78" t="str">
        <f aca="false">IF(B563="","",IFERROR(INDEX('CARNET DE SOUDURE'!$E$7:$E$1506,MATCH(B563,'CARNET DE SOUDURE'!$M$7:$M$1506,0)),""))</f>
        <v/>
      </c>
      <c r="K563" s="78" t="str">
        <f aca="false">IF(B563="","",IFERROR(INDEX('CARNET DE SOUDURE'!$E$7:$E$1506,MATCH(B563,'CARNET DE SOUDURE'!$K$7:$K$1506,0)),""))</f>
        <v/>
      </c>
      <c r="L563" s="78" t="str">
        <f aca="false">IF(B563="","",IFERROR(INDEX('CARNET DE SOUDURE'!$D$7:$D$1506,MATCH(B563,'CARNET DE SOUDURE'!$K$7:$K$1506,0)),IFERROR(INDEX('CARNET DE SOUDURE'!$D$7:$D$1506,MATCH(B563,'CARNET DE SOUDURE'!$M$7:$M$1506,0)),"")))</f>
        <v/>
      </c>
      <c r="M563" s="81" t="str">
        <f aca="false">IF(B563="","",IF(OR(J563&lt;&gt;"",K563&lt;&gt;""),"POSÉ EN LIGNE",IF(H563&lt;&gt;"","BARDÉ","EN STOCK")))</f>
        <v/>
      </c>
      <c r="N563" s="79"/>
    </row>
    <row r="564" customFormat="false" ht="15" hidden="false" customHeight="false" outlineLevel="0" collapsed="false">
      <c r="A564" s="78" t="str">
        <f aca="false">IF(B564="","",ROW()-6)</f>
        <v/>
      </c>
      <c r="B564" s="90"/>
      <c r="C564" s="91"/>
      <c r="D564" s="91"/>
      <c r="E564" s="80"/>
      <c r="F564" s="92"/>
      <c r="G564" s="79"/>
      <c r="H564" s="82"/>
      <c r="I564" s="93" t="str">
        <f aca="false">IF(B564="","",IFERROR(INDEX('CARNET DE SOUDURE'!$B$7:$B$1506,MATCH(B564,'CARNET DE SOUDURE'!$K$7:$K$1506,0)),IFERROR(INDEX('CARNET DE SOUDURE'!$B$7:$B$1506,MATCH(B564,'CARNET DE SOUDURE'!$M$7:$M$1506,0)),"")))</f>
        <v/>
      </c>
      <c r="J564" s="78" t="str">
        <f aca="false">IF(B564="","",IFERROR(INDEX('CARNET DE SOUDURE'!$E$7:$E$1506,MATCH(B564,'CARNET DE SOUDURE'!$M$7:$M$1506,0)),""))</f>
        <v/>
      </c>
      <c r="K564" s="78" t="str">
        <f aca="false">IF(B564="","",IFERROR(INDEX('CARNET DE SOUDURE'!$E$7:$E$1506,MATCH(B564,'CARNET DE SOUDURE'!$K$7:$K$1506,0)),""))</f>
        <v/>
      </c>
      <c r="L564" s="78" t="str">
        <f aca="false">IF(B564="","",IFERROR(INDEX('CARNET DE SOUDURE'!$D$7:$D$1506,MATCH(B564,'CARNET DE SOUDURE'!$K$7:$K$1506,0)),IFERROR(INDEX('CARNET DE SOUDURE'!$D$7:$D$1506,MATCH(B564,'CARNET DE SOUDURE'!$M$7:$M$1506,0)),"")))</f>
        <v/>
      </c>
      <c r="M564" s="81" t="str">
        <f aca="false">IF(B564="","",IF(OR(J564&lt;&gt;"",K564&lt;&gt;""),"POSÉ EN LIGNE",IF(H564&lt;&gt;"","BARDÉ","EN STOCK")))</f>
        <v/>
      </c>
      <c r="N564" s="79"/>
    </row>
    <row r="565" customFormat="false" ht="15" hidden="false" customHeight="false" outlineLevel="0" collapsed="false">
      <c r="A565" s="78" t="str">
        <f aca="false">IF(B565="","",ROW()-6)</f>
        <v/>
      </c>
      <c r="B565" s="90"/>
      <c r="C565" s="91"/>
      <c r="D565" s="91"/>
      <c r="E565" s="80"/>
      <c r="F565" s="92"/>
      <c r="G565" s="79"/>
      <c r="H565" s="82"/>
      <c r="I565" s="93" t="str">
        <f aca="false">IF(B565="","",IFERROR(INDEX('CARNET DE SOUDURE'!$B$7:$B$1506,MATCH(B565,'CARNET DE SOUDURE'!$K$7:$K$1506,0)),IFERROR(INDEX('CARNET DE SOUDURE'!$B$7:$B$1506,MATCH(B565,'CARNET DE SOUDURE'!$M$7:$M$1506,0)),"")))</f>
        <v/>
      </c>
      <c r="J565" s="78" t="str">
        <f aca="false">IF(B565="","",IFERROR(INDEX('CARNET DE SOUDURE'!$E$7:$E$1506,MATCH(B565,'CARNET DE SOUDURE'!$M$7:$M$1506,0)),""))</f>
        <v/>
      </c>
      <c r="K565" s="78" t="str">
        <f aca="false">IF(B565="","",IFERROR(INDEX('CARNET DE SOUDURE'!$E$7:$E$1506,MATCH(B565,'CARNET DE SOUDURE'!$K$7:$K$1506,0)),""))</f>
        <v/>
      </c>
      <c r="L565" s="78" t="str">
        <f aca="false">IF(B565="","",IFERROR(INDEX('CARNET DE SOUDURE'!$D$7:$D$1506,MATCH(B565,'CARNET DE SOUDURE'!$K$7:$K$1506,0)),IFERROR(INDEX('CARNET DE SOUDURE'!$D$7:$D$1506,MATCH(B565,'CARNET DE SOUDURE'!$M$7:$M$1506,0)),"")))</f>
        <v/>
      </c>
      <c r="M565" s="81" t="str">
        <f aca="false">IF(B565="","",IF(OR(J565&lt;&gt;"",K565&lt;&gt;""),"POSÉ EN LIGNE",IF(H565&lt;&gt;"","BARDÉ","EN STOCK")))</f>
        <v/>
      </c>
      <c r="N565" s="79"/>
    </row>
    <row r="566" customFormat="false" ht="15" hidden="false" customHeight="false" outlineLevel="0" collapsed="false">
      <c r="A566" s="78" t="str">
        <f aca="false">IF(B566="","",ROW()-6)</f>
        <v/>
      </c>
      <c r="B566" s="90"/>
      <c r="C566" s="91"/>
      <c r="D566" s="91"/>
      <c r="E566" s="80"/>
      <c r="F566" s="92"/>
      <c r="G566" s="79"/>
      <c r="H566" s="82"/>
      <c r="I566" s="93" t="str">
        <f aca="false">IF(B566="","",IFERROR(INDEX('CARNET DE SOUDURE'!$B$7:$B$1506,MATCH(B566,'CARNET DE SOUDURE'!$K$7:$K$1506,0)),IFERROR(INDEX('CARNET DE SOUDURE'!$B$7:$B$1506,MATCH(B566,'CARNET DE SOUDURE'!$M$7:$M$1506,0)),"")))</f>
        <v/>
      </c>
      <c r="J566" s="78" t="str">
        <f aca="false">IF(B566="","",IFERROR(INDEX('CARNET DE SOUDURE'!$E$7:$E$1506,MATCH(B566,'CARNET DE SOUDURE'!$M$7:$M$1506,0)),""))</f>
        <v/>
      </c>
      <c r="K566" s="78" t="str">
        <f aca="false">IF(B566="","",IFERROR(INDEX('CARNET DE SOUDURE'!$E$7:$E$1506,MATCH(B566,'CARNET DE SOUDURE'!$K$7:$K$1506,0)),""))</f>
        <v/>
      </c>
      <c r="L566" s="78" t="str">
        <f aca="false">IF(B566="","",IFERROR(INDEX('CARNET DE SOUDURE'!$D$7:$D$1506,MATCH(B566,'CARNET DE SOUDURE'!$K$7:$K$1506,0)),IFERROR(INDEX('CARNET DE SOUDURE'!$D$7:$D$1506,MATCH(B566,'CARNET DE SOUDURE'!$M$7:$M$1506,0)),"")))</f>
        <v/>
      </c>
      <c r="M566" s="81" t="str">
        <f aca="false">IF(B566="","",IF(OR(J566&lt;&gt;"",K566&lt;&gt;""),"POSÉ EN LIGNE",IF(H566&lt;&gt;"","BARDÉ","EN STOCK")))</f>
        <v/>
      </c>
      <c r="N566" s="79"/>
    </row>
    <row r="567" customFormat="false" ht="15" hidden="false" customHeight="false" outlineLevel="0" collapsed="false">
      <c r="A567" s="78" t="str">
        <f aca="false">IF(B567="","",ROW()-6)</f>
        <v/>
      </c>
      <c r="B567" s="90"/>
      <c r="C567" s="91"/>
      <c r="D567" s="91"/>
      <c r="E567" s="80"/>
      <c r="F567" s="92"/>
      <c r="G567" s="79"/>
      <c r="H567" s="82"/>
      <c r="I567" s="93" t="str">
        <f aca="false">IF(B567="","",IFERROR(INDEX('CARNET DE SOUDURE'!$B$7:$B$1506,MATCH(B567,'CARNET DE SOUDURE'!$K$7:$K$1506,0)),IFERROR(INDEX('CARNET DE SOUDURE'!$B$7:$B$1506,MATCH(B567,'CARNET DE SOUDURE'!$M$7:$M$1506,0)),"")))</f>
        <v/>
      </c>
      <c r="J567" s="78" t="str">
        <f aca="false">IF(B567="","",IFERROR(INDEX('CARNET DE SOUDURE'!$E$7:$E$1506,MATCH(B567,'CARNET DE SOUDURE'!$M$7:$M$1506,0)),""))</f>
        <v/>
      </c>
      <c r="K567" s="78" t="str">
        <f aca="false">IF(B567="","",IFERROR(INDEX('CARNET DE SOUDURE'!$E$7:$E$1506,MATCH(B567,'CARNET DE SOUDURE'!$K$7:$K$1506,0)),""))</f>
        <v/>
      </c>
      <c r="L567" s="78" t="str">
        <f aca="false">IF(B567="","",IFERROR(INDEX('CARNET DE SOUDURE'!$D$7:$D$1506,MATCH(B567,'CARNET DE SOUDURE'!$K$7:$K$1506,0)),IFERROR(INDEX('CARNET DE SOUDURE'!$D$7:$D$1506,MATCH(B567,'CARNET DE SOUDURE'!$M$7:$M$1506,0)),"")))</f>
        <v/>
      </c>
      <c r="M567" s="81" t="str">
        <f aca="false">IF(B567="","",IF(OR(J567&lt;&gt;"",K567&lt;&gt;""),"POSÉ EN LIGNE",IF(H567&lt;&gt;"","BARDÉ","EN STOCK")))</f>
        <v/>
      </c>
      <c r="N567" s="79"/>
    </row>
    <row r="568" customFormat="false" ht="15" hidden="false" customHeight="false" outlineLevel="0" collapsed="false">
      <c r="A568" s="78" t="str">
        <f aca="false">IF(B568="","",ROW()-6)</f>
        <v/>
      </c>
      <c r="B568" s="90"/>
      <c r="C568" s="91"/>
      <c r="D568" s="91"/>
      <c r="E568" s="80"/>
      <c r="F568" s="92"/>
      <c r="G568" s="79"/>
      <c r="H568" s="82"/>
      <c r="I568" s="93" t="str">
        <f aca="false">IF(B568="","",IFERROR(INDEX('CARNET DE SOUDURE'!$B$7:$B$1506,MATCH(B568,'CARNET DE SOUDURE'!$K$7:$K$1506,0)),IFERROR(INDEX('CARNET DE SOUDURE'!$B$7:$B$1506,MATCH(B568,'CARNET DE SOUDURE'!$M$7:$M$1506,0)),"")))</f>
        <v/>
      </c>
      <c r="J568" s="78" t="str">
        <f aca="false">IF(B568="","",IFERROR(INDEX('CARNET DE SOUDURE'!$E$7:$E$1506,MATCH(B568,'CARNET DE SOUDURE'!$M$7:$M$1506,0)),""))</f>
        <v/>
      </c>
      <c r="K568" s="78" t="str">
        <f aca="false">IF(B568="","",IFERROR(INDEX('CARNET DE SOUDURE'!$E$7:$E$1506,MATCH(B568,'CARNET DE SOUDURE'!$K$7:$K$1506,0)),""))</f>
        <v/>
      </c>
      <c r="L568" s="78" t="str">
        <f aca="false">IF(B568="","",IFERROR(INDEX('CARNET DE SOUDURE'!$D$7:$D$1506,MATCH(B568,'CARNET DE SOUDURE'!$K$7:$K$1506,0)),IFERROR(INDEX('CARNET DE SOUDURE'!$D$7:$D$1506,MATCH(B568,'CARNET DE SOUDURE'!$M$7:$M$1506,0)),"")))</f>
        <v/>
      </c>
      <c r="M568" s="81" t="str">
        <f aca="false">IF(B568="","",IF(OR(J568&lt;&gt;"",K568&lt;&gt;""),"POSÉ EN LIGNE",IF(H568&lt;&gt;"","BARDÉ","EN STOCK")))</f>
        <v/>
      </c>
      <c r="N568" s="79"/>
    </row>
    <row r="569" customFormat="false" ht="15" hidden="false" customHeight="false" outlineLevel="0" collapsed="false">
      <c r="A569" s="78" t="str">
        <f aca="false">IF(B569="","",ROW()-6)</f>
        <v/>
      </c>
      <c r="B569" s="90"/>
      <c r="C569" s="91"/>
      <c r="D569" s="91"/>
      <c r="E569" s="80"/>
      <c r="F569" s="92"/>
      <c r="G569" s="79"/>
      <c r="H569" s="82"/>
      <c r="I569" s="93" t="str">
        <f aca="false">IF(B569="","",IFERROR(INDEX('CARNET DE SOUDURE'!$B$7:$B$1506,MATCH(B569,'CARNET DE SOUDURE'!$K$7:$K$1506,0)),IFERROR(INDEX('CARNET DE SOUDURE'!$B$7:$B$1506,MATCH(B569,'CARNET DE SOUDURE'!$M$7:$M$1506,0)),"")))</f>
        <v/>
      </c>
      <c r="J569" s="78" t="str">
        <f aca="false">IF(B569="","",IFERROR(INDEX('CARNET DE SOUDURE'!$E$7:$E$1506,MATCH(B569,'CARNET DE SOUDURE'!$M$7:$M$1506,0)),""))</f>
        <v/>
      </c>
      <c r="K569" s="78" t="str">
        <f aca="false">IF(B569="","",IFERROR(INDEX('CARNET DE SOUDURE'!$E$7:$E$1506,MATCH(B569,'CARNET DE SOUDURE'!$K$7:$K$1506,0)),""))</f>
        <v/>
      </c>
      <c r="L569" s="78" t="str">
        <f aca="false">IF(B569="","",IFERROR(INDEX('CARNET DE SOUDURE'!$D$7:$D$1506,MATCH(B569,'CARNET DE SOUDURE'!$K$7:$K$1506,0)),IFERROR(INDEX('CARNET DE SOUDURE'!$D$7:$D$1506,MATCH(B569,'CARNET DE SOUDURE'!$M$7:$M$1506,0)),"")))</f>
        <v/>
      </c>
      <c r="M569" s="81" t="str">
        <f aca="false">IF(B569="","",IF(OR(J569&lt;&gt;"",K569&lt;&gt;""),"POSÉ EN LIGNE",IF(H569&lt;&gt;"","BARDÉ","EN STOCK")))</f>
        <v/>
      </c>
      <c r="N569" s="79"/>
    </row>
    <row r="570" customFormat="false" ht="15" hidden="false" customHeight="false" outlineLevel="0" collapsed="false">
      <c r="A570" s="78" t="str">
        <f aca="false">IF(B570="","",ROW()-6)</f>
        <v/>
      </c>
      <c r="B570" s="90"/>
      <c r="C570" s="91"/>
      <c r="D570" s="91"/>
      <c r="E570" s="80"/>
      <c r="F570" s="92"/>
      <c r="G570" s="79"/>
      <c r="H570" s="82"/>
      <c r="I570" s="93" t="str">
        <f aca="false">IF(B570="","",IFERROR(INDEX('CARNET DE SOUDURE'!$B$7:$B$1506,MATCH(B570,'CARNET DE SOUDURE'!$K$7:$K$1506,0)),IFERROR(INDEX('CARNET DE SOUDURE'!$B$7:$B$1506,MATCH(B570,'CARNET DE SOUDURE'!$M$7:$M$1506,0)),"")))</f>
        <v/>
      </c>
      <c r="J570" s="78" t="str">
        <f aca="false">IF(B570="","",IFERROR(INDEX('CARNET DE SOUDURE'!$E$7:$E$1506,MATCH(B570,'CARNET DE SOUDURE'!$M$7:$M$1506,0)),""))</f>
        <v/>
      </c>
      <c r="K570" s="78" t="str">
        <f aca="false">IF(B570="","",IFERROR(INDEX('CARNET DE SOUDURE'!$E$7:$E$1506,MATCH(B570,'CARNET DE SOUDURE'!$K$7:$K$1506,0)),""))</f>
        <v/>
      </c>
      <c r="L570" s="78" t="str">
        <f aca="false">IF(B570="","",IFERROR(INDEX('CARNET DE SOUDURE'!$D$7:$D$1506,MATCH(B570,'CARNET DE SOUDURE'!$K$7:$K$1506,0)),IFERROR(INDEX('CARNET DE SOUDURE'!$D$7:$D$1506,MATCH(B570,'CARNET DE SOUDURE'!$M$7:$M$1506,0)),"")))</f>
        <v/>
      </c>
      <c r="M570" s="81" t="str">
        <f aca="false">IF(B570="","",IF(OR(J570&lt;&gt;"",K570&lt;&gt;""),"POSÉ EN LIGNE",IF(H570&lt;&gt;"","BARDÉ","EN STOCK")))</f>
        <v/>
      </c>
      <c r="N570" s="79"/>
    </row>
    <row r="571" customFormat="false" ht="15" hidden="false" customHeight="false" outlineLevel="0" collapsed="false">
      <c r="A571" s="78" t="str">
        <f aca="false">IF(B571="","",ROW()-6)</f>
        <v/>
      </c>
      <c r="B571" s="90"/>
      <c r="C571" s="91"/>
      <c r="D571" s="91"/>
      <c r="E571" s="80"/>
      <c r="F571" s="92"/>
      <c r="G571" s="79"/>
      <c r="H571" s="82"/>
      <c r="I571" s="93" t="str">
        <f aca="false">IF(B571="","",IFERROR(INDEX('CARNET DE SOUDURE'!$B$7:$B$1506,MATCH(B571,'CARNET DE SOUDURE'!$K$7:$K$1506,0)),IFERROR(INDEX('CARNET DE SOUDURE'!$B$7:$B$1506,MATCH(B571,'CARNET DE SOUDURE'!$M$7:$M$1506,0)),"")))</f>
        <v/>
      </c>
      <c r="J571" s="78" t="str">
        <f aca="false">IF(B571="","",IFERROR(INDEX('CARNET DE SOUDURE'!$E$7:$E$1506,MATCH(B571,'CARNET DE SOUDURE'!$M$7:$M$1506,0)),""))</f>
        <v/>
      </c>
      <c r="K571" s="78" t="str">
        <f aca="false">IF(B571="","",IFERROR(INDEX('CARNET DE SOUDURE'!$E$7:$E$1506,MATCH(B571,'CARNET DE SOUDURE'!$K$7:$K$1506,0)),""))</f>
        <v/>
      </c>
      <c r="L571" s="78" t="str">
        <f aca="false">IF(B571="","",IFERROR(INDEX('CARNET DE SOUDURE'!$D$7:$D$1506,MATCH(B571,'CARNET DE SOUDURE'!$K$7:$K$1506,0)),IFERROR(INDEX('CARNET DE SOUDURE'!$D$7:$D$1506,MATCH(B571,'CARNET DE SOUDURE'!$M$7:$M$1506,0)),"")))</f>
        <v/>
      </c>
      <c r="M571" s="81" t="str">
        <f aca="false">IF(B571="","",IF(OR(J571&lt;&gt;"",K571&lt;&gt;""),"POSÉ EN LIGNE",IF(H571&lt;&gt;"","BARDÉ","EN STOCK")))</f>
        <v/>
      </c>
      <c r="N571" s="79"/>
    </row>
    <row r="572" customFormat="false" ht="15" hidden="false" customHeight="false" outlineLevel="0" collapsed="false">
      <c r="A572" s="78" t="str">
        <f aca="false">IF(B572="","",ROW()-6)</f>
        <v/>
      </c>
      <c r="B572" s="90"/>
      <c r="C572" s="91"/>
      <c r="D572" s="91"/>
      <c r="E572" s="80"/>
      <c r="F572" s="92"/>
      <c r="G572" s="79"/>
      <c r="H572" s="82"/>
      <c r="I572" s="93" t="str">
        <f aca="false">IF(B572="","",IFERROR(INDEX('CARNET DE SOUDURE'!$B$7:$B$1506,MATCH(B572,'CARNET DE SOUDURE'!$K$7:$K$1506,0)),IFERROR(INDEX('CARNET DE SOUDURE'!$B$7:$B$1506,MATCH(B572,'CARNET DE SOUDURE'!$M$7:$M$1506,0)),"")))</f>
        <v/>
      </c>
      <c r="J572" s="78" t="str">
        <f aca="false">IF(B572="","",IFERROR(INDEX('CARNET DE SOUDURE'!$E$7:$E$1506,MATCH(B572,'CARNET DE SOUDURE'!$M$7:$M$1506,0)),""))</f>
        <v/>
      </c>
      <c r="K572" s="78" t="str">
        <f aca="false">IF(B572="","",IFERROR(INDEX('CARNET DE SOUDURE'!$E$7:$E$1506,MATCH(B572,'CARNET DE SOUDURE'!$K$7:$K$1506,0)),""))</f>
        <v/>
      </c>
      <c r="L572" s="78" t="str">
        <f aca="false">IF(B572="","",IFERROR(INDEX('CARNET DE SOUDURE'!$D$7:$D$1506,MATCH(B572,'CARNET DE SOUDURE'!$K$7:$K$1506,0)),IFERROR(INDEX('CARNET DE SOUDURE'!$D$7:$D$1506,MATCH(B572,'CARNET DE SOUDURE'!$M$7:$M$1506,0)),"")))</f>
        <v/>
      </c>
      <c r="M572" s="81" t="str">
        <f aca="false">IF(B572="","",IF(OR(J572&lt;&gt;"",K572&lt;&gt;""),"POSÉ EN LIGNE",IF(H572&lt;&gt;"","BARDÉ","EN STOCK")))</f>
        <v/>
      </c>
      <c r="N572" s="79"/>
    </row>
    <row r="573" customFormat="false" ht="15" hidden="false" customHeight="false" outlineLevel="0" collapsed="false">
      <c r="A573" s="78" t="str">
        <f aca="false">IF(B573="","",ROW()-6)</f>
        <v/>
      </c>
      <c r="B573" s="90"/>
      <c r="C573" s="91"/>
      <c r="D573" s="91"/>
      <c r="E573" s="80"/>
      <c r="F573" s="92"/>
      <c r="G573" s="79"/>
      <c r="H573" s="82"/>
      <c r="I573" s="93" t="str">
        <f aca="false">IF(B573="","",IFERROR(INDEX('CARNET DE SOUDURE'!$B$7:$B$1506,MATCH(B573,'CARNET DE SOUDURE'!$K$7:$K$1506,0)),IFERROR(INDEX('CARNET DE SOUDURE'!$B$7:$B$1506,MATCH(B573,'CARNET DE SOUDURE'!$M$7:$M$1506,0)),"")))</f>
        <v/>
      </c>
      <c r="J573" s="78" t="str">
        <f aca="false">IF(B573="","",IFERROR(INDEX('CARNET DE SOUDURE'!$E$7:$E$1506,MATCH(B573,'CARNET DE SOUDURE'!$M$7:$M$1506,0)),""))</f>
        <v/>
      </c>
      <c r="K573" s="78" t="str">
        <f aca="false">IF(B573="","",IFERROR(INDEX('CARNET DE SOUDURE'!$E$7:$E$1506,MATCH(B573,'CARNET DE SOUDURE'!$K$7:$K$1506,0)),""))</f>
        <v/>
      </c>
      <c r="L573" s="78" t="str">
        <f aca="false">IF(B573="","",IFERROR(INDEX('CARNET DE SOUDURE'!$D$7:$D$1506,MATCH(B573,'CARNET DE SOUDURE'!$K$7:$K$1506,0)),IFERROR(INDEX('CARNET DE SOUDURE'!$D$7:$D$1506,MATCH(B573,'CARNET DE SOUDURE'!$M$7:$M$1506,0)),"")))</f>
        <v/>
      </c>
      <c r="M573" s="81" t="str">
        <f aca="false">IF(B573="","",IF(OR(J573&lt;&gt;"",K573&lt;&gt;""),"POSÉ EN LIGNE",IF(H573&lt;&gt;"","BARDÉ","EN STOCK")))</f>
        <v/>
      </c>
      <c r="N573" s="79"/>
    </row>
    <row r="574" customFormat="false" ht="15" hidden="false" customHeight="false" outlineLevel="0" collapsed="false">
      <c r="A574" s="78" t="str">
        <f aca="false">IF(B574="","",ROW()-6)</f>
        <v/>
      </c>
      <c r="B574" s="90"/>
      <c r="C574" s="91"/>
      <c r="D574" s="91"/>
      <c r="E574" s="80"/>
      <c r="F574" s="92"/>
      <c r="G574" s="79"/>
      <c r="H574" s="82"/>
      <c r="I574" s="93" t="str">
        <f aca="false">IF(B574="","",IFERROR(INDEX('CARNET DE SOUDURE'!$B$7:$B$1506,MATCH(B574,'CARNET DE SOUDURE'!$K$7:$K$1506,0)),IFERROR(INDEX('CARNET DE SOUDURE'!$B$7:$B$1506,MATCH(B574,'CARNET DE SOUDURE'!$M$7:$M$1506,0)),"")))</f>
        <v/>
      </c>
      <c r="J574" s="78" t="str">
        <f aca="false">IF(B574="","",IFERROR(INDEX('CARNET DE SOUDURE'!$E$7:$E$1506,MATCH(B574,'CARNET DE SOUDURE'!$M$7:$M$1506,0)),""))</f>
        <v/>
      </c>
      <c r="K574" s="78" t="str">
        <f aca="false">IF(B574="","",IFERROR(INDEX('CARNET DE SOUDURE'!$E$7:$E$1506,MATCH(B574,'CARNET DE SOUDURE'!$K$7:$K$1506,0)),""))</f>
        <v/>
      </c>
      <c r="L574" s="78" t="str">
        <f aca="false">IF(B574="","",IFERROR(INDEX('CARNET DE SOUDURE'!$D$7:$D$1506,MATCH(B574,'CARNET DE SOUDURE'!$K$7:$K$1506,0)),IFERROR(INDEX('CARNET DE SOUDURE'!$D$7:$D$1506,MATCH(B574,'CARNET DE SOUDURE'!$M$7:$M$1506,0)),"")))</f>
        <v/>
      </c>
      <c r="M574" s="81" t="str">
        <f aca="false">IF(B574="","",IF(OR(J574&lt;&gt;"",K574&lt;&gt;""),"POSÉ EN LIGNE",IF(H574&lt;&gt;"","BARDÉ","EN STOCK")))</f>
        <v/>
      </c>
      <c r="N574" s="79"/>
    </row>
    <row r="575" customFormat="false" ht="15" hidden="false" customHeight="false" outlineLevel="0" collapsed="false">
      <c r="A575" s="78" t="str">
        <f aca="false">IF(B575="","",ROW()-6)</f>
        <v/>
      </c>
      <c r="B575" s="90"/>
      <c r="C575" s="91"/>
      <c r="D575" s="91"/>
      <c r="E575" s="80"/>
      <c r="F575" s="92"/>
      <c r="G575" s="79"/>
      <c r="H575" s="82"/>
      <c r="I575" s="93" t="str">
        <f aca="false">IF(B575="","",IFERROR(INDEX('CARNET DE SOUDURE'!$B$7:$B$1506,MATCH(B575,'CARNET DE SOUDURE'!$K$7:$K$1506,0)),IFERROR(INDEX('CARNET DE SOUDURE'!$B$7:$B$1506,MATCH(B575,'CARNET DE SOUDURE'!$M$7:$M$1506,0)),"")))</f>
        <v/>
      </c>
      <c r="J575" s="78" t="str">
        <f aca="false">IF(B575="","",IFERROR(INDEX('CARNET DE SOUDURE'!$E$7:$E$1506,MATCH(B575,'CARNET DE SOUDURE'!$M$7:$M$1506,0)),""))</f>
        <v/>
      </c>
      <c r="K575" s="78" t="str">
        <f aca="false">IF(B575="","",IFERROR(INDEX('CARNET DE SOUDURE'!$E$7:$E$1506,MATCH(B575,'CARNET DE SOUDURE'!$K$7:$K$1506,0)),""))</f>
        <v/>
      </c>
      <c r="L575" s="78" t="str">
        <f aca="false">IF(B575="","",IFERROR(INDEX('CARNET DE SOUDURE'!$D$7:$D$1506,MATCH(B575,'CARNET DE SOUDURE'!$K$7:$K$1506,0)),IFERROR(INDEX('CARNET DE SOUDURE'!$D$7:$D$1506,MATCH(B575,'CARNET DE SOUDURE'!$M$7:$M$1506,0)),"")))</f>
        <v/>
      </c>
      <c r="M575" s="81" t="str">
        <f aca="false">IF(B575="","",IF(OR(J575&lt;&gt;"",K575&lt;&gt;""),"POSÉ EN LIGNE",IF(H575&lt;&gt;"","BARDÉ","EN STOCK")))</f>
        <v/>
      </c>
      <c r="N575" s="79"/>
    </row>
    <row r="576" customFormat="false" ht="15" hidden="false" customHeight="false" outlineLevel="0" collapsed="false">
      <c r="A576" s="78" t="str">
        <f aca="false">IF(B576="","",ROW()-6)</f>
        <v/>
      </c>
      <c r="B576" s="90"/>
      <c r="C576" s="91"/>
      <c r="D576" s="91"/>
      <c r="E576" s="80"/>
      <c r="F576" s="92"/>
      <c r="G576" s="79"/>
      <c r="H576" s="82"/>
      <c r="I576" s="93" t="str">
        <f aca="false">IF(B576="","",IFERROR(INDEX('CARNET DE SOUDURE'!$B$7:$B$1506,MATCH(B576,'CARNET DE SOUDURE'!$K$7:$K$1506,0)),IFERROR(INDEX('CARNET DE SOUDURE'!$B$7:$B$1506,MATCH(B576,'CARNET DE SOUDURE'!$M$7:$M$1506,0)),"")))</f>
        <v/>
      </c>
      <c r="J576" s="78" t="str">
        <f aca="false">IF(B576="","",IFERROR(INDEX('CARNET DE SOUDURE'!$E$7:$E$1506,MATCH(B576,'CARNET DE SOUDURE'!$M$7:$M$1506,0)),""))</f>
        <v/>
      </c>
      <c r="K576" s="78" t="str">
        <f aca="false">IF(B576="","",IFERROR(INDEX('CARNET DE SOUDURE'!$E$7:$E$1506,MATCH(B576,'CARNET DE SOUDURE'!$K$7:$K$1506,0)),""))</f>
        <v/>
      </c>
      <c r="L576" s="78" t="str">
        <f aca="false">IF(B576="","",IFERROR(INDEX('CARNET DE SOUDURE'!$D$7:$D$1506,MATCH(B576,'CARNET DE SOUDURE'!$K$7:$K$1506,0)),IFERROR(INDEX('CARNET DE SOUDURE'!$D$7:$D$1506,MATCH(B576,'CARNET DE SOUDURE'!$M$7:$M$1506,0)),"")))</f>
        <v/>
      </c>
      <c r="M576" s="81" t="str">
        <f aca="false">IF(B576="","",IF(OR(J576&lt;&gt;"",K576&lt;&gt;""),"POSÉ EN LIGNE",IF(H576&lt;&gt;"","BARDÉ","EN STOCK")))</f>
        <v/>
      </c>
      <c r="N576" s="79"/>
    </row>
    <row r="577" customFormat="false" ht="15" hidden="false" customHeight="false" outlineLevel="0" collapsed="false">
      <c r="A577" s="78" t="str">
        <f aca="false">IF(B577="","",ROW()-6)</f>
        <v/>
      </c>
      <c r="B577" s="90"/>
      <c r="C577" s="91"/>
      <c r="D577" s="91"/>
      <c r="E577" s="80"/>
      <c r="F577" s="92"/>
      <c r="G577" s="79"/>
      <c r="H577" s="82"/>
      <c r="I577" s="93" t="str">
        <f aca="false">IF(B577="","",IFERROR(INDEX('CARNET DE SOUDURE'!$B$7:$B$1506,MATCH(B577,'CARNET DE SOUDURE'!$K$7:$K$1506,0)),IFERROR(INDEX('CARNET DE SOUDURE'!$B$7:$B$1506,MATCH(B577,'CARNET DE SOUDURE'!$M$7:$M$1506,0)),"")))</f>
        <v/>
      </c>
      <c r="J577" s="78" t="str">
        <f aca="false">IF(B577="","",IFERROR(INDEX('CARNET DE SOUDURE'!$E$7:$E$1506,MATCH(B577,'CARNET DE SOUDURE'!$M$7:$M$1506,0)),""))</f>
        <v/>
      </c>
      <c r="K577" s="78" t="str">
        <f aca="false">IF(B577="","",IFERROR(INDEX('CARNET DE SOUDURE'!$E$7:$E$1506,MATCH(B577,'CARNET DE SOUDURE'!$K$7:$K$1506,0)),""))</f>
        <v/>
      </c>
      <c r="L577" s="78" t="str">
        <f aca="false">IF(B577="","",IFERROR(INDEX('CARNET DE SOUDURE'!$D$7:$D$1506,MATCH(B577,'CARNET DE SOUDURE'!$K$7:$K$1506,0)),IFERROR(INDEX('CARNET DE SOUDURE'!$D$7:$D$1506,MATCH(B577,'CARNET DE SOUDURE'!$M$7:$M$1506,0)),"")))</f>
        <v/>
      </c>
      <c r="M577" s="81" t="str">
        <f aca="false">IF(B577="","",IF(OR(J577&lt;&gt;"",K577&lt;&gt;""),"POSÉ EN LIGNE",IF(H577&lt;&gt;"","BARDÉ","EN STOCK")))</f>
        <v/>
      </c>
      <c r="N577" s="79"/>
    </row>
    <row r="578" customFormat="false" ht="15" hidden="false" customHeight="false" outlineLevel="0" collapsed="false">
      <c r="A578" s="78" t="str">
        <f aca="false">IF(B578="","",ROW()-6)</f>
        <v/>
      </c>
      <c r="B578" s="90"/>
      <c r="C578" s="91"/>
      <c r="D578" s="91"/>
      <c r="E578" s="80"/>
      <c r="F578" s="92"/>
      <c r="G578" s="79"/>
      <c r="H578" s="82"/>
      <c r="I578" s="93" t="str">
        <f aca="false">IF(B578="","",IFERROR(INDEX('CARNET DE SOUDURE'!$B$7:$B$1506,MATCH(B578,'CARNET DE SOUDURE'!$K$7:$K$1506,0)),IFERROR(INDEX('CARNET DE SOUDURE'!$B$7:$B$1506,MATCH(B578,'CARNET DE SOUDURE'!$M$7:$M$1506,0)),"")))</f>
        <v/>
      </c>
      <c r="J578" s="78" t="str">
        <f aca="false">IF(B578="","",IFERROR(INDEX('CARNET DE SOUDURE'!$E$7:$E$1506,MATCH(B578,'CARNET DE SOUDURE'!$M$7:$M$1506,0)),""))</f>
        <v/>
      </c>
      <c r="K578" s="78" t="str">
        <f aca="false">IF(B578="","",IFERROR(INDEX('CARNET DE SOUDURE'!$E$7:$E$1506,MATCH(B578,'CARNET DE SOUDURE'!$K$7:$K$1506,0)),""))</f>
        <v/>
      </c>
      <c r="L578" s="78" t="str">
        <f aca="false">IF(B578="","",IFERROR(INDEX('CARNET DE SOUDURE'!$D$7:$D$1506,MATCH(B578,'CARNET DE SOUDURE'!$K$7:$K$1506,0)),IFERROR(INDEX('CARNET DE SOUDURE'!$D$7:$D$1506,MATCH(B578,'CARNET DE SOUDURE'!$M$7:$M$1506,0)),"")))</f>
        <v/>
      </c>
      <c r="M578" s="81" t="str">
        <f aca="false">IF(B578="","",IF(OR(J578&lt;&gt;"",K578&lt;&gt;""),"POSÉ EN LIGNE",IF(H578&lt;&gt;"","BARDÉ","EN STOCK")))</f>
        <v/>
      </c>
      <c r="N578" s="79"/>
    </row>
    <row r="579" customFormat="false" ht="15" hidden="false" customHeight="false" outlineLevel="0" collapsed="false">
      <c r="A579" s="78" t="str">
        <f aca="false">IF(B579="","",ROW()-6)</f>
        <v/>
      </c>
      <c r="B579" s="90"/>
      <c r="C579" s="91"/>
      <c r="D579" s="91"/>
      <c r="E579" s="80"/>
      <c r="F579" s="92"/>
      <c r="G579" s="79"/>
      <c r="H579" s="82"/>
      <c r="I579" s="93" t="str">
        <f aca="false">IF(B579="","",IFERROR(INDEX('CARNET DE SOUDURE'!$B$7:$B$1506,MATCH(B579,'CARNET DE SOUDURE'!$K$7:$K$1506,0)),IFERROR(INDEX('CARNET DE SOUDURE'!$B$7:$B$1506,MATCH(B579,'CARNET DE SOUDURE'!$M$7:$M$1506,0)),"")))</f>
        <v/>
      </c>
      <c r="J579" s="78" t="str">
        <f aca="false">IF(B579="","",IFERROR(INDEX('CARNET DE SOUDURE'!$E$7:$E$1506,MATCH(B579,'CARNET DE SOUDURE'!$M$7:$M$1506,0)),""))</f>
        <v/>
      </c>
      <c r="K579" s="78" t="str">
        <f aca="false">IF(B579="","",IFERROR(INDEX('CARNET DE SOUDURE'!$E$7:$E$1506,MATCH(B579,'CARNET DE SOUDURE'!$K$7:$K$1506,0)),""))</f>
        <v/>
      </c>
      <c r="L579" s="78" t="str">
        <f aca="false">IF(B579="","",IFERROR(INDEX('CARNET DE SOUDURE'!$D$7:$D$1506,MATCH(B579,'CARNET DE SOUDURE'!$K$7:$K$1506,0)),IFERROR(INDEX('CARNET DE SOUDURE'!$D$7:$D$1506,MATCH(B579,'CARNET DE SOUDURE'!$M$7:$M$1506,0)),"")))</f>
        <v/>
      </c>
      <c r="M579" s="81" t="str">
        <f aca="false">IF(B579="","",IF(OR(J579&lt;&gt;"",K579&lt;&gt;""),"POSÉ EN LIGNE",IF(H579&lt;&gt;"","BARDÉ","EN STOCK")))</f>
        <v/>
      </c>
      <c r="N579" s="79"/>
    </row>
    <row r="580" customFormat="false" ht="15" hidden="false" customHeight="false" outlineLevel="0" collapsed="false">
      <c r="A580" s="78" t="str">
        <f aca="false">IF(B580="","",ROW()-6)</f>
        <v/>
      </c>
      <c r="B580" s="90"/>
      <c r="C580" s="91"/>
      <c r="D580" s="91"/>
      <c r="E580" s="80"/>
      <c r="F580" s="92"/>
      <c r="G580" s="79"/>
      <c r="H580" s="82"/>
      <c r="I580" s="93" t="str">
        <f aca="false">IF(B580="","",IFERROR(INDEX('CARNET DE SOUDURE'!$B$7:$B$1506,MATCH(B580,'CARNET DE SOUDURE'!$K$7:$K$1506,0)),IFERROR(INDEX('CARNET DE SOUDURE'!$B$7:$B$1506,MATCH(B580,'CARNET DE SOUDURE'!$M$7:$M$1506,0)),"")))</f>
        <v/>
      </c>
      <c r="J580" s="78" t="str">
        <f aca="false">IF(B580="","",IFERROR(INDEX('CARNET DE SOUDURE'!$E$7:$E$1506,MATCH(B580,'CARNET DE SOUDURE'!$M$7:$M$1506,0)),""))</f>
        <v/>
      </c>
      <c r="K580" s="78" t="str">
        <f aca="false">IF(B580="","",IFERROR(INDEX('CARNET DE SOUDURE'!$E$7:$E$1506,MATCH(B580,'CARNET DE SOUDURE'!$K$7:$K$1506,0)),""))</f>
        <v/>
      </c>
      <c r="L580" s="78" t="str">
        <f aca="false">IF(B580="","",IFERROR(INDEX('CARNET DE SOUDURE'!$D$7:$D$1506,MATCH(B580,'CARNET DE SOUDURE'!$K$7:$K$1506,0)),IFERROR(INDEX('CARNET DE SOUDURE'!$D$7:$D$1506,MATCH(B580,'CARNET DE SOUDURE'!$M$7:$M$1506,0)),"")))</f>
        <v/>
      </c>
      <c r="M580" s="81" t="str">
        <f aca="false">IF(B580="","",IF(OR(J580&lt;&gt;"",K580&lt;&gt;""),"POSÉ EN LIGNE",IF(H580&lt;&gt;"","BARDÉ","EN STOCK")))</f>
        <v/>
      </c>
      <c r="N580" s="79"/>
    </row>
    <row r="581" customFormat="false" ht="15" hidden="false" customHeight="false" outlineLevel="0" collapsed="false">
      <c r="A581" s="78" t="str">
        <f aca="false">IF(B581="","",ROW()-6)</f>
        <v/>
      </c>
      <c r="B581" s="90"/>
      <c r="C581" s="91"/>
      <c r="D581" s="91"/>
      <c r="E581" s="80"/>
      <c r="F581" s="92"/>
      <c r="G581" s="79"/>
      <c r="H581" s="82"/>
      <c r="I581" s="93" t="str">
        <f aca="false">IF(B581="","",IFERROR(INDEX('CARNET DE SOUDURE'!$B$7:$B$1506,MATCH(B581,'CARNET DE SOUDURE'!$K$7:$K$1506,0)),IFERROR(INDEX('CARNET DE SOUDURE'!$B$7:$B$1506,MATCH(B581,'CARNET DE SOUDURE'!$M$7:$M$1506,0)),"")))</f>
        <v/>
      </c>
      <c r="J581" s="78" t="str">
        <f aca="false">IF(B581="","",IFERROR(INDEX('CARNET DE SOUDURE'!$E$7:$E$1506,MATCH(B581,'CARNET DE SOUDURE'!$M$7:$M$1506,0)),""))</f>
        <v/>
      </c>
      <c r="K581" s="78" t="str">
        <f aca="false">IF(B581="","",IFERROR(INDEX('CARNET DE SOUDURE'!$E$7:$E$1506,MATCH(B581,'CARNET DE SOUDURE'!$K$7:$K$1506,0)),""))</f>
        <v/>
      </c>
      <c r="L581" s="78" t="str">
        <f aca="false">IF(B581="","",IFERROR(INDEX('CARNET DE SOUDURE'!$D$7:$D$1506,MATCH(B581,'CARNET DE SOUDURE'!$K$7:$K$1506,0)),IFERROR(INDEX('CARNET DE SOUDURE'!$D$7:$D$1506,MATCH(B581,'CARNET DE SOUDURE'!$M$7:$M$1506,0)),"")))</f>
        <v/>
      </c>
      <c r="M581" s="81" t="str">
        <f aca="false">IF(B581="","",IF(OR(J581&lt;&gt;"",K581&lt;&gt;""),"POSÉ EN LIGNE",IF(H581&lt;&gt;"","BARDÉ","EN STOCK")))</f>
        <v/>
      </c>
      <c r="N581" s="79"/>
    </row>
    <row r="582" customFormat="false" ht="15" hidden="false" customHeight="false" outlineLevel="0" collapsed="false">
      <c r="A582" s="78" t="str">
        <f aca="false">IF(B582="","",ROW()-6)</f>
        <v/>
      </c>
      <c r="B582" s="90"/>
      <c r="C582" s="91"/>
      <c r="D582" s="91"/>
      <c r="E582" s="80"/>
      <c r="F582" s="92"/>
      <c r="G582" s="79"/>
      <c r="H582" s="82"/>
      <c r="I582" s="93" t="str">
        <f aca="false">IF(B582="","",IFERROR(INDEX('CARNET DE SOUDURE'!$B$7:$B$1506,MATCH(B582,'CARNET DE SOUDURE'!$K$7:$K$1506,0)),IFERROR(INDEX('CARNET DE SOUDURE'!$B$7:$B$1506,MATCH(B582,'CARNET DE SOUDURE'!$M$7:$M$1506,0)),"")))</f>
        <v/>
      </c>
      <c r="J582" s="78" t="str">
        <f aca="false">IF(B582="","",IFERROR(INDEX('CARNET DE SOUDURE'!$E$7:$E$1506,MATCH(B582,'CARNET DE SOUDURE'!$M$7:$M$1506,0)),""))</f>
        <v/>
      </c>
      <c r="K582" s="78" t="str">
        <f aca="false">IF(B582="","",IFERROR(INDEX('CARNET DE SOUDURE'!$E$7:$E$1506,MATCH(B582,'CARNET DE SOUDURE'!$K$7:$K$1506,0)),""))</f>
        <v/>
      </c>
      <c r="L582" s="78" t="str">
        <f aca="false">IF(B582="","",IFERROR(INDEX('CARNET DE SOUDURE'!$D$7:$D$1506,MATCH(B582,'CARNET DE SOUDURE'!$K$7:$K$1506,0)),IFERROR(INDEX('CARNET DE SOUDURE'!$D$7:$D$1506,MATCH(B582,'CARNET DE SOUDURE'!$M$7:$M$1506,0)),"")))</f>
        <v/>
      </c>
      <c r="M582" s="81" t="str">
        <f aca="false">IF(B582="","",IF(OR(J582&lt;&gt;"",K582&lt;&gt;""),"POSÉ EN LIGNE",IF(H582&lt;&gt;"","BARDÉ","EN STOCK")))</f>
        <v/>
      </c>
      <c r="N582" s="79"/>
    </row>
    <row r="583" customFormat="false" ht="15" hidden="false" customHeight="false" outlineLevel="0" collapsed="false">
      <c r="A583" s="78" t="str">
        <f aca="false">IF(B583="","",ROW()-6)</f>
        <v/>
      </c>
      <c r="B583" s="90"/>
      <c r="C583" s="91"/>
      <c r="D583" s="91"/>
      <c r="E583" s="80"/>
      <c r="F583" s="92"/>
      <c r="G583" s="79"/>
      <c r="H583" s="82"/>
      <c r="I583" s="93" t="str">
        <f aca="false">IF(B583="","",IFERROR(INDEX('CARNET DE SOUDURE'!$B$7:$B$1506,MATCH(B583,'CARNET DE SOUDURE'!$K$7:$K$1506,0)),IFERROR(INDEX('CARNET DE SOUDURE'!$B$7:$B$1506,MATCH(B583,'CARNET DE SOUDURE'!$M$7:$M$1506,0)),"")))</f>
        <v/>
      </c>
      <c r="J583" s="78" t="str">
        <f aca="false">IF(B583="","",IFERROR(INDEX('CARNET DE SOUDURE'!$E$7:$E$1506,MATCH(B583,'CARNET DE SOUDURE'!$M$7:$M$1506,0)),""))</f>
        <v/>
      </c>
      <c r="K583" s="78" t="str">
        <f aca="false">IF(B583="","",IFERROR(INDEX('CARNET DE SOUDURE'!$E$7:$E$1506,MATCH(B583,'CARNET DE SOUDURE'!$K$7:$K$1506,0)),""))</f>
        <v/>
      </c>
      <c r="L583" s="78" t="str">
        <f aca="false">IF(B583="","",IFERROR(INDEX('CARNET DE SOUDURE'!$D$7:$D$1506,MATCH(B583,'CARNET DE SOUDURE'!$K$7:$K$1506,0)),IFERROR(INDEX('CARNET DE SOUDURE'!$D$7:$D$1506,MATCH(B583,'CARNET DE SOUDURE'!$M$7:$M$1506,0)),"")))</f>
        <v/>
      </c>
      <c r="M583" s="81" t="str">
        <f aca="false">IF(B583="","",IF(OR(J583&lt;&gt;"",K583&lt;&gt;""),"POSÉ EN LIGNE",IF(H583&lt;&gt;"","BARDÉ","EN STOCK")))</f>
        <v/>
      </c>
      <c r="N583" s="79"/>
    </row>
    <row r="584" customFormat="false" ht="15" hidden="false" customHeight="false" outlineLevel="0" collapsed="false">
      <c r="A584" s="78" t="str">
        <f aca="false">IF(B584="","",ROW()-6)</f>
        <v/>
      </c>
      <c r="B584" s="90"/>
      <c r="C584" s="91"/>
      <c r="D584" s="91"/>
      <c r="E584" s="80"/>
      <c r="F584" s="92"/>
      <c r="G584" s="79"/>
      <c r="H584" s="82"/>
      <c r="I584" s="93" t="str">
        <f aca="false">IF(B584="","",IFERROR(INDEX('CARNET DE SOUDURE'!$B$7:$B$1506,MATCH(B584,'CARNET DE SOUDURE'!$K$7:$K$1506,0)),IFERROR(INDEX('CARNET DE SOUDURE'!$B$7:$B$1506,MATCH(B584,'CARNET DE SOUDURE'!$M$7:$M$1506,0)),"")))</f>
        <v/>
      </c>
      <c r="J584" s="78" t="str">
        <f aca="false">IF(B584="","",IFERROR(INDEX('CARNET DE SOUDURE'!$E$7:$E$1506,MATCH(B584,'CARNET DE SOUDURE'!$M$7:$M$1506,0)),""))</f>
        <v/>
      </c>
      <c r="K584" s="78" t="str">
        <f aca="false">IF(B584="","",IFERROR(INDEX('CARNET DE SOUDURE'!$E$7:$E$1506,MATCH(B584,'CARNET DE SOUDURE'!$K$7:$K$1506,0)),""))</f>
        <v/>
      </c>
      <c r="L584" s="78" t="str">
        <f aca="false">IF(B584="","",IFERROR(INDEX('CARNET DE SOUDURE'!$D$7:$D$1506,MATCH(B584,'CARNET DE SOUDURE'!$K$7:$K$1506,0)),IFERROR(INDEX('CARNET DE SOUDURE'!$D$7:$D$1506,MATCH(B584,'CARNET DE SOUDURE'!$M$7:$M$1506,0)),"")))</f>
        <v/>
      </c>
      <c r="M584" s="81" t="str">
        <f aca="false">IF(B584="","",IF(OR(J584&lt;&gt;"",K584&lt;&gt;""),"POSÉ EN LIGNE",IF(H584&lt;&gt;"","BARDÉ","EN STOCK")))</f>
        <v/>
      </c>
      <c r="N584" s="79"/>
    </row>
    <row r="585" customFormat="false" ht="15" hidden="false" customHeight="false" outlineLevel="0" collapsed="false">
      <c r="A585" s="78" t="str">
        <f aca="false">IF(B585="","",ROW()-6)</f>
        <v/>
      </c>
      <c r="B585" s="90"/>
      <c r="C585" s="91"/>
      <c r="D585" s="91"/>
      <c r="E585" s="80"/>
      <c r="F585" s="92"/>
      <c r="G585" s="79"/>
      <c r="H585" s="82"/>
      <c r="I585" s="93" t="str">
        <f aca="false">IF(B585="","",IFERROR(INDEX('CARNET DE SOUDURE'!$B$7:$B$1506,MATCH(B585,'CARNET DE SOUDURE'!$K$7:$K$1506,0)),IFERROR(INDEX('CARNET DE SOUDURE'!$B$7:$B$1506,MATCH(B585,'CARNET DE SOUDURE'!$M$7:$M$1506,0)),"")))</f>
        <v/>
      </c>
      <c r="J585" s="78" t="str">
        <f aca="false">IF(B585="","",IFERROR(INDEX('CARNET DE SOUDURE'!$E$7:$E$1506,MATCH(B585,'CARNET DE SOUDURE'!$M$7:$M$1506,0)),""))</f>
        <v/>
      </c>
      <c r="K585" s="78" t="str">
        <f aca="false">IF(B585="","",IFERROR(INDEX('CARNET DE SOUDURE'!$E$7:$E$1506,MATCH(B585,'CARNET DE SOUDURE'!$K$7:$K$1506,0)),""))</f>
        <v/>
      </c>
      <c r="L585" s="78" t="str">
        <f aca="false">IF(B585="","",IFERROR(INDEX('CARNET DE SOUDURE'!$D$7:$D$1506,MATCH(B585,'CARNET DE SOUDURE'!$K$7:$K$1506,0)),IFERROR(INDEX('CARNET DE SOUDURE'!$D$7:$D$1506,MATCH(B585,'CARNET DE SOUDURE'!$M$7:$M$1506,0)),"")))</f>
        <v/>
      </c>
      <c r="M585" s="81" t="str">
        <f aca="false">IF(B585="","",IF(OR(J585&lt;&gt;"",K585&lt;&gt;""),"POSÉ EN LIGNE",IF(H585&lt;&gt;"","BARDÉ","EN STOCK")))</f>
        <v/>
      </c>
      <c r="N585" s="79"/>
    </row>
    <row r="586" customFormat="false" ht="15" hidden="false" customHeight="false" outlineLevel="0" collapsed="false">
      <c r="A586" s="78" t="str">
        <f aca="false">IF(B586="","",ROW()-6)</f>
        <v/>
      </c>
      <c r="B586" s="90"/>
      <c r="C586" s="91"/>
      <c r="D586" s="91"/>
      <c r="E586" s="80"/>
      <c r="F586" s="92"/>
      <c r="G586" s="79"/>
      <c r="H586" s="82"/>
      <c r="I586" s="93" t="str">
        <f aca="false">IF(B586="","",IFERROR(INDEX('CARNET DE SOUDURE'!$B$7:$B$1506,MATCH(B586,'CARNET DE SOUDURE'!$K$7:$K$1506,0)),IFERROR(INDEX('CARNET DE SOUDURE'!$B$7:$B$1506,MATCH(B586,'CARNET DE SOUDURE'!$M$7:$M$1506,0)),"")))</f>
        <v/>
      </c>
      <c r="J586" s="78" t="str">
        <f aca="false">IF(B586="","",IFERROR(INDEX('CARNET DE SOUDURE'!$E$7:$E$1506,MATCH(B586,'CARNET DE SOUDURE'!$M$7:$M$1506,0)),""))</f>
        <v/>
      </c>
      <c r="K586" s="78" t="str">
        <f aca="false">IF(B586="","",IFERROR(INDEX('CARNET DE SOUDURE'!$E$7:$E$1506,MATCH(B586,'CARNET DE SOUDURE'!$K$7:$K$1506,0)),""))</f>
        <v/>
      </c>
      <c r="L586" s="78" t="str">
        <f aca="false">IF(B586="","",IFERROR(INDEX('CARNET DE SOUDURE'!$D$7:$D$1506,MATCH(B586,'CARNET DE SOUDURE'!$K$7:$K$1506,0)),IFERROR(INDEX('CARNET DE SOUDURE'!$D$7:$D$1506,MATCH(B586,'CARNET DE SOUDURE'!$M$7:$M$1506,0)),"")))</f>
        <v/>
      </c>
      <c r="M586" s="81" t="str">
        <f aca="false">IF(B586="","",IF(OR(J586&lt;&gt;"",K586&lt;&gt;""),"POSÉ EN LIGNE",IF(H586&lt;&gt;"","BARDÉ","EN STOCK")))</f>
        <v/>
      </c>
      <c r="N586" s="79"/>
    </row>
    <row r="587" customFormat="false" ht="15" hidden="false" customHeight="false" outlineLevel="0" collapsed="false">
      <c r="A587" s="78" t="str">
        <f aca="false">IF(B587="","",ROW()-6)</f>
        <v/>
      </c>
      <c r="B587" s="90"/>
      <c r="C587" s="91"/>
      <c r="D587" s="91"/>
      <c r="E587" s="80"/>
      <c r="F587" s="92"/>
      <c r="G587" s="79"/>
      <c r="H587" s="82"/>
      <c r="I587" s="93" t="str">
        <f aca="false">IF(B587="","",IFERROR(INDEX('CARNET DE SOUDURE'!$B$7:$B$1506,MATCH(B587,'CARNET DE SOUDURE'!$K$7:$K$1506,0)),IFERROR(INDEX('CARNET DE SOUDURE'!$B$7:$B$1506,MATCH(B587,'CARNET DE SOUDURE'!$M$7:$M$1506,0)),"")))</f>
        <v/>
      </c>
      <c r="J587" s="78" t="str">
        <f aca="false">IF(B587="","",IFERROR(INDEX('CARNET DE SOUDURE'!$E$7:$E$1506,MATCH(B587,'CARNET DE SOUDURE'!$M$7:$M$1506,0)),""))</f>
        <v/>
      </c>
      <c r="K587" s="78" t="str">
        <f aca="false">IF(B587="","",IFERROR(INDEX('CARNET DE SOUDURE'!$E$7:$E$1506,MATCH(B587,'CARNET DE SOUDURE'!$K$7:$K$1506,0)),""))</f>
        <v/>
      </c>
      <c r="L587" s="78" t="str">
        <f aca="false">IF(B587="","",IFERROR(INDEX('CARNET DE SOUDURE'!$D$7:$D$1506,MATCH(B587,'CARNET DE SOUDURE'!$K$7:$K$1506,0)),IFERROR(INDEX('CARNET DE SOUDURE'!$D$7:$D$1506,MATCH(B587,'CARNET DE SOUDURE'!$M$7:$M$1506,0)),"")))</f>
        <v/>
      </c>
      <c r="M587" s="81" t="str">
        <f aca="false">IF(B587="","",IF(OR(J587&lt;&gt;"",K587&lt;&gt;""),"POSÉ EN LIGNE",IF(H587&lt;&gt;"","BARDÉ","EN STOCK")))</f>
        <v/>
      </c>
      <c r="N587" s="79"/>
    </row>
    <row r="588" customFormat="false" ht="15" hidden="false" customHeight="false" outlineLevel="0" collapsed="false">
      <c r="A588" s="78" t="str">
        <f aca="false">IF(B588="","",ROW()-6)</f>
        <v/>
      </c>
      <c r="B588" s="90"/>
      <c r="C588" s="91"/>
      <c r="D588" s="91"/>
      <c r="E588" s="80"/>
      <c r="F588" s="92"/>
      <c r="G588" s="79"/>
      <c r="H588" s="82"/>
      <c r="I588" s="93" t="str">
        <f aca="false">IF(B588="","",IFERROR(INDEX('CARNET DE SOUDURE'!$B$7:$B$1506,MATCH(B588,'CARNET DE SOUDURE'!$K$7:$K$1506,0)),IFERROR(INDEX('CARNET DE SOUDURE'!$B$7:$B$1506,MATCH(B588,'CARNET DE SOUDURE'!$M$7:$M$1506,0)),"")))</f>
        <v/>
      </c>
      <c r="J588" s="78" t="str">
        <f aca="false">IF(B588="","",IFERROR(INDEX('CARNET DE SOUDURE'!$E$7:$E$1506,MATCH(B588,'CARNET DE SOUDURE'!$M$7:$M$1506,0)),""))</f>
        <v/>
      </c>
      <c r="K588" s="78" t="str">
        <f aca="false">IF(B588="","",IFERROR(INDEX('CARNET DE SOUDURE'!$E$7:$E$1506,MATCH(B588,'CARNET DE SOUDURE'!$K$7:$K$1506,0)),""))</f>
        <v/>
      </c>
      <c r="L588" s="78" t="str">
        <f aca="false">IF(B588="","",IFERROR(INDEX('CARNET DE SOUDURE'!$D$7:$D$1506,MATCH(B588,'CARNET DE SOUDURE'!$K$7:$K$1506,0)),IFERROR(INDEX('CARNET DE SOUDURE'!$D$7:$D$1506,MATCH(B588,'CARNET DE SOUDURE'!$M$7:$M$1506,0)),"")))</f>
        <v/>
      </c>
      <c r="M588" s="81" t="str">
        <f aca="false">IF(B588="","",IF(OR(J588&lt;&gt;"",K588&lt;&gt;""),"POSÉ EN LIGNE",IF(H588&lt;&gt;"","BARDÉ","EN STOCK")))</f>
        <v/>
      </c>
      <c r="N588" s="79"/>
    </row>
    <row r="589" customFormat="false" ht="15" hidden="false" customHeight="false" outlineLevel="0" collapsed="false">
      <c r="A589" s="78" t="str">
        <f aca="false">IF(B589="","",ROW()-6)</f>
        <v/>
      </c>
      <c r="B589" s="90"/>
      <c r="C589" s="91"/>
      <c r="D589" s="91"/>
      <c r="E589" s="80"/>
      <c r="F589" s="92"/>
      <c r="G589" s="79"/>
      <c r="H589" s="82"/>
      <c r="I589" s="93" t="str">
        <f aca="false">IF(B589="","",IFERROR(INDEX('CARNET DE SOUDURE'!$B$7:$B$1506,MATCH(B589,'CARNET DE SOUDURE'!$K$7:$K$1506,0)),IFERROR(INDEX('CARNET DE SOUDURE'!$B$7:$B$1506,MATCH(B589,'CARNET DE SOUDURE'!$M$7:$M$1506,0)),"")))</f>
        <v/>
      </c>
      <c r="J589" s="78" t="str">
        <f aca="false">IF(B589="","",IFERROR(INDEX('CARNET DE SOUDURE'!$E$7:$E$1506,MATCH(B589,'CARNET DE SOUDURE'!$M$7:$M$1506,0)),""))</f>
        <v/>
      </c>
      <c r="K589" s="78" t="str">
        <f aca="false">IF(B589="","",IFERROR(INDEX('CARNET DE SOUDURE'!$E$7:$E$1506,MATCH(B589,'CARNET DE SOUDURE'!$K$7:$K$1506,0)),""))</f>
        <v/>
      </c>
      <c r="L589" s="78" t="str">
        <f aca="false">IF(B589="","",IFERROR(INDEX('CARNET DE SOUDURE'!$D$7:$D$1506,MATCH(B589,'CARNET DE SOUDURE'!$K$7:$K$1506,0)),IFERROR(INDEX('CARNET DE SOUDURE'!$D$7:$D$1506,MATCH(B589,'CARNET DE SOUDURE'!$M$7:$M$1506,0)),"")))</f>
        <v/>
      </c>
      <c r="M589" s="81" t="str">
        <f aca="false">IF(B589="","",IF(OR(J589&lt;&gt;"",K589&lt;&gt;""),"POSÉ EN LIGNE",IF(H589&lt;&gt;"","BARDÉ","EN STOCK")))</f>
        <v/>
      </c>
      <c r="N589" s="79"/>
    </row>
    <row r="590" customFormat="false" ht="15" hidden="false" customHeight="false" outlineLevel="0" collapsed="false">
      <c r="A590" s="78" t="str">
        <f aca="false">IF(B590="","",ROW()-6)</f>
        <v/>
      </c>
      <c r="B590" s="90"/>
      <c r="C590" s="91"/>
      <c r="D590" s="91"/>
      <c r="E590" s="80"/>
      <c r="F590" s="92"/>
      <c r="G590" s="79"/>
      <c r="H590" s="82"/>
      <c r="I590" s="93" t="str">
        <f aca="false">IF(B590="","",IFERROR(INDEX('CARNET DE SOUDURE'!$B$7:$B$1506,MATCH(B590,'CARNET DE SOUDURE'!$K$7:$K$1506,0)),IFERROR(INDEX('CARNET DE SOUDURE'!$B$7:$B$1506,MATCH(B590,'CARNET DE SOUDURE'!$M$7:$M$1506,0)),"")))</f>
        <v/>
      </c>
      <c r="J590" s="78" t="str">
        <f aca="false">IF(B590="","",IFERROR(INDEX('CARNET DE SOUDURE'!$E$7:$E$1506,MATCH(B590,'CARNET DE SOUDURE'!$M$7:$M$1506,0)),""))</f>
        <v/>
      </c>
      <c r="K590" s="78" t="str">
        <f aca="false">IF(B590="","",IFERROR(INDEX('CARNET DE SOUDURE'!$E$7:$E$1506,MATCH(B590,'CARNET DE SOUDURE'!$K$7:$K$1506,0)),""))</f>
        <v/>
      </c>
      <c r="L590" s="78" t="str">
        <f aca="false">IF(B590="","",IFERROR(INDEX('CARNET DE SOUDURE'!$D$7:$D$1506,MATCH(B590,'CARNET DE SOUDURE'!$K$7:$K$1506,0)),IFERROR(INDEX('CARNET DE SOUDURE'!$D$7:$D$1506,MATCH(B590,'CARNET DE SOUDURE'!$M$7:$M$1506,0)),"")))</f>
        <v/>
      </c>
      <c r="M590" s="81" t="str">
        <f aca="false">IF(B590="","",IF(OR(J590&lt;&gt;"",K590&lt;&gt;""),"POSÉ EN LIGNE",IF(H590&lt;&gt;"","BARDÉ","EN STOCK")))</f>
        <v/>
      </c>
      <c r="N590" s="79"/>
    </row>
    <row r="591" customFormat="false" ht="15" hidden="false" customHeight="false" outlineLevel="0" collapsed="false">
      <c r="A591" s="78" t="str">
        <f aca="false">IF(B591="","",ROW()-6)</f>
        <v/>
      </c>
      <c r="B591" s="90"/>
      <c r="C591" s="91"/>
      <c r="D591" s="91"/>
      <c r="E591" s="80"/>
      <c r="F591" s="92"/>
      <c r="G591" s="79"/>
      <c r="H591" s="82"/>
      <c r="I591" s="93" t="str">
        <f aca="false">IF(B591="","",IFERROR(INDEX('CARNET DE SOUDURE'!$B$7:$B$1506,MATCH(B591,'CARNET DE SOUDURE'!$K$7:$K$1506,0)),IFERROR(INDEX('CARNET DE SOUDURE'!$B$7:$B$1506,MATCH(B591,'CARNET DE SOUDURE'!$M$7:$M$1506,0)),"")))</f>
        <v/>
      </c>
      <c r="J591" s="78" t="str">
        <f aca="false">IF(B591="","",IFERROR(INDEX('CARNET DE SOUDURE'!$E$7:$E$1506,MATCH(B591,'CARNET DE SOUDURE'!$M$7:$M$1506,0)),""))</f>
        <v/>
      </c>
      <c r="K591" s="78" t="str">
        <f aca="false">IF(B591="","",IFERROR(INDEX('CARNET DE SOUDURE'!$E$7:$E$1506,MATCH(B591,'CARNET DE SOUDURE'!$K$7:$K$1506,0)),""))</f>
        <v/>
      </c>
      <c r="L591" s="78" t="str">
        <f aca="false">IF(B591="","",IFERROR(INDEX('CARNET DE SOUDURE'!$D$7:$D$1506,MATCH(B591,'CARNET DE SOUDURE'!$K$7:$K$1506,0)),IFERROR(INDEX('CARNET DE SOUDURE'!$D$7:$D$1506,MATCH(B591,'CARNET DE SOUDURE'!$M$7:$M$1506,0)),"")))</f>
        <v/>
      </c>
      <c r="M591" s="81" t="str">
        <f aca="false">IF(B591="","",IF(OR(J591&lt;&gt;"",K591&lt;&gt;""),"POSÉ EN LIGNE",IF(H591&lt;&gt;"","BARDÉ","EN STOCK")))</f>
        <v/>
      </c>
      <c r="N591" s="79"/>
    </row>
    <row r="592" customFormat="false" ht="15" hidden="false" customHeight="false" outlineLevel="0" collapsed="false">
      <c r="A592" s="78" t="str">
        <f aca="false">IF(B592="","",ROW()-6)</f>
        <v/>
      </c>
      <c r="B592" s="90"/>
      <c r="C592" s="91"/>
      <c r="D592" s="91"/>
      <c r="E592" s="80"/>
      <c r="F592" s="92"/>
      <c r="G592" s="79"/>
      <c r="H592" s="82"/>
      <c r="I592" s="93" t="str">
        <f aca="false">IF(B592="","",IFERROR(INDEX('CARNET DE SOUDURE'!$B$7:$B$1506,MATCH(B592,'CARNET DE SOUDURE'!$K$7:$K$1506,0)),IFERROR(INDEX('CARNET DE SOUDURE'!$B$7:$B$1506,MATCH(B592,'CARNET DE SOUDURE'!$M$7:$M$1506,0)),"")))</f>
        <v/>
      </c>
      <c r="J592" s="78" t="str">
        <f aca="false">IF(B592="","",IFERROR(INDEX('CARNET DE SOUDURE'!$E$7:$E$1506,MATCH(B592,'CARNET DE SOUDURE'!$M$7:$M$1506,0)),""))</f>
        <v/>
      </c>
      <c r="K592" s="78" t="str">
        <f aca="false">IF(B592="","",IFERROR(INDEX('CARNET DE SOUDURE'!$E$7:$E$1506,MATCH(B592,'CARNET DE SOUDURE'!$K$7:$K$1506,0)),""))</f>
        <v/>
      </c>
      <c r="L592" s="78" t="str">
        <f aca="false">IF(B592="","",IFERROR(INDEX('CARNET DE SOUDURE'!$D$7:$D$1506,MATCH(B592,'CARNET DE SOUDURE'!$K$7:$K$1506,0)),IFERROR(INDEX('CARNET DE SOUDURE'!$D$7:$D$1506,MATCH(B592,'CARNET DE SOUDURE'!$M$7:$M$1506,0)),"")))</f>
        <v/>
      </c>
      <c r="M592" s="81" t="str">
        <f aca="false">IF(B592="","",IF(OR(J592&lt;&gt;"",K592&lt;&gt;""),"POSÉ EN LIGNE",IF(H592&lt;&gt;"","BARDÉ","EN STOCK")))</f>
        <v/>
      </c>
      <c r="N592" s="79"/>
    </row>
    <row r="593" customFormat="false" ht="15" hidden="false" customHeight="false" outlineLevel="0" collapsed="false">
      <c r="A593" s="78" t="str">
        <f aca="false">IF(B593="","",ROW()-6)</f>
        <v/>
      </c>
      <c r="B593" s="90"/>
      <c r="C593" s="91"/>
      <c r="D593" s="91"/>
      <c r="E593" s="80"/>
      <c r="F593" s="92"/>
      <c r="G593" s="79"/>
      <c r="H593" s="82"/>
      <c r="I593" s="93" t="str">
        <f aca="false">IF(B593="","",IFERROR(INDEX('CARNET DE SOUDURE'!$B$7:$B$1506,MATCH(B593,'CARNET DE SOUDURE'!$K$7:$K$1506,0)),IFERROR(INDEX('CARNET DE SOUDURE'!$B$7:$B$1506,MATCH(B593,'CARNET DE SOUDURE'!$M$7:$M$1506,0)),"")))</f>
        <v/>
      </c>
      <c r="J593" s="78" t="str">
        <f aca="false">IF(B593="","",IFERROR(INDEX('CARNET DE SOUDURE'!$E$7:$E$1506,MATCH(B593,'CARNET DE SOUDURE'!$M$7:$M$1506,0)),""))</f>
        <v/>
      </c>
      <c r="K593" s="78" t="str">
        <f aca="false">IF(B593="","",IFERROR(INDEX('CARNET DE SOUDURE'!$E$7:$E$1506,MATCH(B593,'CARNET DE SOUDURE'!$K$7:$K$1506,0)),""))</f>
        <v/>
      </c>
      <c r="L593" s="78" t="str">
        <f aca="false">IF(B593="","",IFERROR(INDEX('CARNET DE SOUDURE'!$D$7:$D$1506,MATCH(B593,'CARNET DE SOUDURE'!$K$7:$K$1506,0)),IFERROR(INDEX('CARNET DE SOUDURE'!$D$7:$D$1506,MATCH(B593,'CARNET DE SOUDURE'!$M$7:$M$1506,0)),"")))</f>
        <v/>
      </c>
      <c r="M593" s="81" t="str">
        <f aca="false">IF(B593="","",IF(OR(J593&lt;&gt;"",K593&lt;&gt;""),"POSÉ EN LIGNE",IF(H593&lt;&gt;"","BARDÉ","EN STOCK")))</f>
        <v/>
      </c>
      <c r="N593" s="79"/>
    </row>
    <row r="594" customFormat="false" ht="15" hidden="false" customHeight="false" outlineLevel="0" collapsed="false">
      <c r="A594" s="78" t="str">
        <f aca="false">IF(B594="","",ROW()-6)</f>
        <v/>
      </c>
      <c r="B594" s="90"/>
      <c r="C594" s="91"/>
      <c r="D594" s="91"/>
      <c r="E594" s="80"/>
      <c r="F594" s="92"/>
      <c r="G594" s="79"/>
      <c r="H594" s="82"/>
      <c r="I594" s="93" t="str">
        <f aca="false">IF(B594="","",IFERROR(INDEX('CARNET DE SOUDURE'!$B$7:$B$1506,MATCH(B594,'CARNET DE SOUDURE'!$K$7:$K$1506,0)),IFERROR(INDEX('CARNET DE SOUDURE'!$B$7:$B$1506,MATCH(B594,'CARNET DE SOUDURE'!$M$7:$M$1506,0)),"")))</f>
        <v/>
      </c>
      <c r="J594" s="78" t="str">
        <f aca="false">IF(B594="","",IFERROR(INDEX('CARNET DE SOUDURE'!$E$7:$E$1506,MATCH(B594,'CARNET DE SOUDURE'!$M$7:$M$1506,0)),""))</f>
        <v/>
      </c>
      <c r="K594" s="78" t="str">
        <f aca="false">IF(B594="","",IFERROR(INDEX('CARNET DE SOUDURE'!$E$7:$E$1506,MATCH(B594,'CARNET DE SOUDURE'!$K$7:$K$1506,0)),""))</f>
        <v/>
      </c>
      <c r="L594" s="78" t="str">
        <f aca="false">IF(B594="","",IFERROR(INDEX('CARNET DE SOUDURE'!$D$7:$D$1506,MATCH(B594,'CARNET DE SOUDURE'!$K$7:$K$1506,0)),IFERROR(INDEX('CARNET DE SOUDURE'!$D$7:$D$1506,MATCH(B594,'CARNET DE SOUDURE'!$M$7:$M$1506,0)),"")))</f>
        <v/>
      </c>
      <c r="M594" s="81" t="str">
        <f aca="false">IF(B594="","",IF(OR(J594&lt;&gt;"",K594&lt;&gt;""),"POSÉ EN LIGNE",IF(H594&lt;&gt;"","BARDÉ","EN STOCK")))</f>
        <v/>
      </c>
      <c r="N594" s="79"/>
    </row>
    <row r="595" customFormat="false" ht="15" hidden="false" customHeight="false" outlineLevel="0" collapsed="false">
      <c r="A595" s="78" t="str">
        <f aca="false">IF(B595="","",ROW()-6)</f>
        <v/>
      </c>
      <c r="B595" s="90"/>
      <c r="C595" s="91"/>
      <c r="D595" s="91"/>
      <c r="E595" s="80"/>
      <c r="F595" s="92"/>
      <c r="G595" s="79"/>
      <c r="H595" s="82"/>
      <c r="I595" s="93" t="str">
        <f aca="false">IF(B595="","",IFERROR(INDEX('CARNET DE SOUDURE'!$B$7:$B$1506,MATCH(B595,'CARNET DE SOUDURE'!$K$7:$K$1506,0)),IFERROR(INDEX('CARNET DE SOUDURE'!$B$7:$B$1506,MATCH(B595,'CARNET DE SOUDURE'!$M$7:$M$1506,0)),"")))</f>
        <v/>
      </c>
      <c r="J595" s="78" t="str">
        <f aca="false">IF(B595="","",IFERROR(INDEX('CARNET DE SOUDURE'!$E$7:$E$1506,MATCH(B595,'CARNET DE SOUDURE'!$M$7:$M$1506,0)),""))</f>
        <v/>
      </c>
      <c r="K595" s="78" t="str">
        <f aca="false">IF(B595="","",IFERROR(INDEX('CARNET DE SOUDURE'!$E$7:$E$1506,MATCH(B595,'CARNET DE SOUDURE'!$K$7:$K$1506,0)),""))</f>
        <v/>
      </c>
      <c r="L595" s="78" t="str">
        <f aca="false">IF(B595="","",IFERROR(INDEX('CARNET DE SOUDURE'!$D$7:$D$1506,MATCH(B595,'CARNET DE SOUDURE'!$K$7:$K$1506,0)),IFERROR(INDEX('CARNET DE SOUDURE'!$D$7:$D$1506,MATCH(B595,'CARNET DE SOUDURE'!$M$7:$M$1506,0)),"")))</f>
        <v/>
      </c>
      <c r="M595" s="81" t="str">
        <f aca="false">IF(B595="","",IF(OR(J595&lt;&gt;"",K595&lt;&gt;""),"POSÉ EN LIGNE",IF(H595&lt;&gt;"","BARDÉ","EN STOCK")))</f>
        <v/>
      </c>
      <c r="N595" s="79"/>
    </row>
    <row r="596" customFormat="false" ht="15" hidden="false" customHeight="false" outlineLevel="0" collapsed="false">
      <c r="A596" s="78" t="str">
        <f aca="false">IF(B596="","",ROW()-6)</f>
        <v/>
      </c>
      <c r="B596" s="90"/>
      <c r="C596" s="91"/>
      <c r="D596" s="91"/>
      <c r="E596" s="80"/>
      <c r="F596" s="92"/>
      <c r="G596" s="79"/>
      <c r="H596" s="82"/>
      <c r="I596" s="93" t="str">
        <f aca="false">IF(B596="","",IFERROR(INDEX('CARNET DE SOUDURE'!$B$7:$B$1506,MATCH(B596,'CARNET DE SOUDURE'!$K$7:$K$1506,0)),IFERROR(INDEX('CARNET DE SOUDURE'!$B$7:$B$1506,MATCH(B596,'CARNET DE SOUDURE'!$M$7:$M$1506,0)),"")))</f>
        <v/>
      </c>
      <c r="J596" s="78" t="str">
        <f aca="false">IF(B596="","",IFERROR(INDEX('CARNET DE SOUDURE'!$E$7:$E$1506,MATCH(B596,'CARNET DE SOUDURE'!$M$7:$M$1506,0)),""))</f>
        <v/>
      </c>
      <c r="K596" s="78" t="str">
        <f aca="false">IF(B596="","",IFERROR(INDEX('CARNET DE SOUDURE'!$E$7:$E$1506,MATCH(B596,'CARNET DE SOUDURE'!$K$7:$K$1506,0)),""))</f>
        <v/>
      </c>
      <c r="L596" s="78" t="str">
        <f aca="false">IF(B596="","",IFERROR(INDEX('CARNET DE SOUDURE'!$D$7:$D$1506,MATCH(B596,'CARNET DE SOUDURE'!$K$7:$K$1506,0)),IFERROR(INDEX('CARNET DE SOUDURE'!$D$7:$D$1506,MATCH(B596,'CARNET DE SOUDURE'!$M$7:$M$1506,0)),"")))</f>
        <v/>
      </c>
      <c r="M596" s="81" t="str">
        <f aca="false">IF(B596="","",IF(OR(J596&lt;&gt;"",K596&lt;&gt;""),"POSÉ EN LIGNE",IF(H596&lt;&gt;"","BARDÉ","EN STOCK")))</f>
        <v/>
      </c>
      <c r="N596" s="79"/>
    </row>
    <row r="597" customFormat="false" ht="15" hidden="false" customHeight="false" outlineLevel="0" collapsed="false">
      <c r="A597" s="78" t="str">
        <f aca="false">IF(B597="","",ROW()-6)</f>
        <v/>
      </c>
      <c r="B597" s="90"/>
      <c r="C597" s="91"/>
      <c r="D597" s="91"/>
      <c r="E597" s="80"/>
      <c r="F597" s="92"/>
      <c r="G597" s="79"/>
      <c r="H597" s="82"/>
      <c r="I597" s="93" t="str">
        <f aca="false">IF(B597="","",IFERROR(INDEX('CARNET DE SOUDURE'!$B$7:$B$1506,MATCH(B597,'CARNET DE SOUDURE'!$K$7:$K$1506,0)),IFERROR(INDEX('CARNET DE SOUDURE'!$B$7:$B$1506,MATCH(B597,'CARNET DE SOUDURE'!$M$7:$M$1506,0)),"")))</f>
        <v/>
      </c>
      <c r="J597" s="78" t="str">
        <f aca="false">IF(B597="","",IFERROR(INDEX('CARNET DE SOUDURE'!$E$7:$E$1506,MATCH(B597,'CARNET DE SOUDURE'!$M$7:$M$1506,0)),""))</f>
        <v/>
      </c>
      <c r="K597" s="78" t="str">
        <f aca="false">IF(B597="","",IFERROR(INDEX('CARNET DE SOUDURE'!$E$7:$E$1506,MATCH(B597,'CARNET DE SOUDURE'!$K$7:$K$1506,0)),""))</f>
        <v/>
      </c>
      <c r="L597" s="78" t="str">
        <f aca="false">IF(B597="","",IFERROR(INDEX('CARNET DE SOUDURE'!$D$7:$D$1506,MATCH(B597,'CARNET DE SOUDURE'!$K$7:$K$1506,0)),IFERROR(INDEX('CARNET DE SOUDURE'!$D$7:$D$1506,MATCH(B597,'CARNET DE SOUDURE'!$M$7:$M$1506,0)),"")))</f>
        <v/>
      </c>
      <c r="M597" s="81" t="str">
        <f aca="false">IF(B597="","",IF(OR(J597&lt;&gt;"",K597&lt;&gt;""),"POSÉ EN LIGNE",IF(H597&lt;&gt;"","BARDÉ","EN STOCK")))</f>
        <v/>
      </c>
      <c r="N597" s="79"/>
    </row>
    <row r="598" customFormat="false" ht="15" hidden="false" customHeight="false" outlineLevel="0" collapsed="false">
      <c r="A598" s="78" t="str">
        <f aca="false">IF(B598="","",ROW()-6)</f>
        <v/>
      </c>
      <c r="B598" s="90"/>
      <c r="C598" s="91"/>
      <c r="D598" s="91"/>
      <c r="E598" s="80"/>
      <c r="F598" s="92"/>
      <c r="G598" s="79"/>
      <c r="H598" s="82"/>
      <c r="I598" s="93" t="str">
        <f aca="false">IF(B598="","",IFERROR(INDEX('CARNET DE SOUDURE'!$B$7:$B$1506,MATCH(B598,'CARNET DE SOUDURE'!$K$7:$K$1506,0)),IFERROR(INDEX('CARNET DE SOUDURE'!$B$7:$B$1506,MATCH(B598,'CARNET DE SOUDURE'!$M$7:$M$1506,0)),"")))</f>
        <v/>
      </c>
      <c r="J598" s="78" t="str">
        <f aca="false">IF(B598="","",IFERROR(INDEX('CARNET DE SOUDURE'!$E$7:$E$1506,MATCH(B598,'CARNET DE SOUDURE'!$M$7:$M$1506,0)),""))</f>
        <v/>
      </c>
      <c r="K598" s="78" t="str">
        <f aca="false">IF(B598="","",IFERROR(INDEX('CARNET DE SOUDURE'!$E$7:$E$1506,MATCH(B598,'CARNET DE SOUDURE'!$K$7:$K$1506,0)),""))</f>
        <v/>
      </c>
      <c r="L598" s="78" t="str">
        <f aca="false">IF(B598="","",IFERROR(INDEX('CARNET DE SOUDURE'!$D$7:$D$1506,MATCH(B598,'CARNET DE SOUDURE'!$K$7:$K$1506,0)),IFERROR(INDEX('CARNET DE SOUDURE'!$D$7:$D$1506,MATCH(B598,'CARNET DE SOUDURE'!$M$7:$M$1506,0)),"")))</f>
        <v/>
      </c>
      <c r="M598" s="81" t="str">
        <f aca="false">IF(B598="","",IF(OR(J598&lt;&gt;"",K598&lt;&gt;""),"POSÉ EN LIGNE",IF(H598&lt;&gt;"","BARDÉ","EN STOCK")))</f>
        <v/>
      </c>
      <c r="N598" s="79"/>
    </row>
    <row r="599" customFormat="false" ht="15" hidden="false" customHeight="false" outlineLevel="0" collapsed="false">
      <c r="A599" s="78" t="str">
        <f aca="false">IF(B599="","",ROW()-6)</f>
        <v/>
      </c>
      <c r="B599" s="90"/>
      <c r="C599" s="91"/>
      <c r="D599" s="91"/>
      <c r="E599" s="80"/>
      <c r="F599" s="92"/>
      <c r="G599" s="79"/>
      <c r="H599" s="82"/>
      <c r="I599" s="93" t="str">
        <f aca="false">IF(B599="","",IFERROR(INDEX('CARNET DE SOUDURE'!$B$7:$B$1506,MATCH(B599,'CARNET DE SOUDURE'!$K$7:$K$1506,0)),IFERROR(INDEX('CARNET DE SOUDURE'!$B$7:$B$1506,MATCH(B599,'CARNET DE SOUDURE'!$M$7:$M$1506,0)),"")))</f>
        <v/>
      </c>
      <c r="J599" s="78" t="str">
        <f aca="false">IF(B599="","",IFERROR(INDEX('CARNET DE SOUDURE'!$E$7:$E$1506,MATCH(B599,'CARNET DE SOUDURE'!$M$7:$M$1506,0)),""))</f>
        <v/>
      </c>
      <c r="K599" s="78" t="str">
        <f aca="false">IF(B599="","",IFERROR(INDEX('CARNET DE SOUDURE'!$E$7:$E$1506,MATCH(B599,'CARNET DE SOUDURE'!$K$7:$K$1506,0)),""))</f>
        <v/>
      </c>
      <c r="L599" s="78" t="str">
        <f aca="false">IF(B599="","",IFERROR(INDEX('CARNET DE SOUDURE'!$D$7:$D$1506,MATCH(B599,'CARNET DE SOUDURE'!$K$7:$K$1506,0)),IFERROR(INDEX('CARNET DE SOUDURE'!$D$7:$D$1506,MATCH(B599,'CARNET DE SOUDURE'!$M$7:$M$1506,0)),"")))</f>
        <v/>
      </c>
      <c r="M599" s="81" t="str">
        <f aca="false">IF(B599="","",IF(OR(J599&lt;&gt;"",K599&lt;&gt;""),"POSÉ EN LIGNE",IF(H599&lt;&gt;"","BARDÉ","EN STOCK")))</f>
        <v/>
      </c>
      <c r="N599" s="79"/>
    </row>
    <row r="600" customFormat="false" ht="15" hidden="false" customHeight="false" outlineLevel="0" collapsed="false">
      <c r="A600" s="78" t="str">
        <f aca="false">IF(B600="","",ROW()-6)</f>
        <v/>
      </c>
      <c r="B600" s="90"/>
      <c r="C600" s="91"/>
      <c r="D600" s="91"/>
      <c r="E600" s="80"/>
      <c r="F600" s="92"/>
      <c r="G600" s="79"/>
      <c r="H600" s="82"/>
      <c r="I600" s="93" t="str">
        <f aca="false">IF(B600="","",IFERROR(INDEX('CARNET DE SOUDURE'!$B$7:$B$1506,MATCH(B600,'CARNET DE SOUDURE'!$K$7:$K$1506,0)),IFERROR(INDEX('CARNET DE SOUDURE'!$B$7:$B$1506,MATCH(B600,'CARNET DE SOUDURE'!$M$7:$M$1506,0)),"")))</f>
        <v/>
      </c>
      <c r="J600" s="78" t="str">
        <f aca="false">IF(B600="","",IFERROR(INDEX('CARNET DE SOUDURE'!$E$7:$E$1506,MATCH(B600,'CARNET DE SOUDURE'!$M$7:$M$1506,0)),""))</f>
        <v/>
      </c>
      <c r="K600" s="78" t="str">
        <f aca="false">IF(B600="","",IFERROR(INDEX('CARNET DE SOUDURE'!$E$7:$E$1506,MATCH(B600,'CARNET DE SOUDURE'!$K$7:$K$1506,0)),""))</f>
        <v/>
      </c>
      <c r="L600" s="78" t="str">
        <f aca="false">IF(B600="","",IFERROR(INDEX('CARNET DE SOUDURE'!$D$7:$D$1506,MATCH(B600,'CARNET DE SOUDURE'!$K$7:$K$1506,0)),IFERROR(INDEX('CARNET DE SOUDURE'!$D$7:$D$1506,MATCH(B600,'CARNET DE SOUDURE'!$M$7:$M$1506,0)),"")))</f>
        <v/>
      </c>
      <c r="M600" s="81" t="str">
        <f aca="false">IF(B600="","",IF(OR(J600&lt;&gt;"",K600&lt;&gt;""),"POSÉ EN LIGNE",IF(H600&lt;&gt;"","BARDÉ","EN STOCK")))</f>
        <v/>
      </c>
      <c r="N600" s="79"/>
    </row>
    <row r="601" customFormat="false" ht="15" hidden="false" customHeight="false" outlineLevel="0" collapsed="false">
      <c r="A601" s="78" t="str">
        <f aca="false">IF(B601="","",ROW()-6)</f>
        <v/>
      </c>
      <c r="B601" s="90"/>
      <c r="C601" s="91"/>
      <c r="D601" s="91"/>
      <c r="E601" s="80"/>
      <c r="F601" s="92"/>
      <c r="G601" s="79"/>
      <c r="H601" s="82"/>
      <c r="I601" s="93" t="str">
        <f aca="false">IF(B601="","",IFERROR(INDEX('CARNET DE SOUDURE'!$B$7:$B$1506,MATCH(B601,'CARNET DE SOUDURE'!$K$7:$K$1506,0)),IFERROR(INDEX('CARNET DE SOUDURE'!$B$7:$B$1506,MATCH(B601,'CARNET DE SOUDURE'!$M$7:$M$1506,0)),"")))</f>
        <v/>
      </c>
      <c r="J601" s="78" t="str">
        <f aca="false">IF(B601="","",IFERROR(INDEX('CARNET DE SOUDURE'!$E$7:$E$1506,MATCH(B601,'CARNET DE SOUDURE'!$M$7:$M$1506,0)),""))</f>
        <v/>
      </c>
      <c r="K601" s="78" t="str">
        <f aca="false">IF(B601="","",IFERROR(INDEX('CARNET DE SOUDURE'!$E$7:$E$1506,MATCH(B601,'CARNET DE SOUDURE'!$K$7:$K$1506,0)),""))</f>
        <v/>
      </c>
      <c r="L601" s="78" t="str">
        <f aca="false">IF(B601="","",IFERROR(INDEX('CARNET DE SOUDURE'!$D$7:$D$1506,MATCH(B601,'CARNET DE SOUDURE'!$K$7:$K$1506,0)),IFERROR(INDEX('CARNET DE SOUDURE'!$D$7:$D$1506,MATCH(B601,'CARNET DE SOUDURE'!$M$7:$M$1506,0)),"")))</f>
        <v/>
      </c>
      <c r="M601" s="81" t="str">
        <f aca="false">IF(B601="","",IF(OR(J601&lt;&gt;"",K601&lt;&gt;""),"POSÉ EN LIGNE",IF(H601&lt;&gt;"","BARDÉ","EN STOCK")))</f>
        <v/>
      </c>
      <c r="N601" s="79"/>
    </row>
    <row r="602" customFormat="false" ht="15" hidden="false" customHeight="false" outlineLevel="0" collapsed="false">
      <c r="A602" s="78" t="str">
        <f aca="false">IF(B602="","",ROW()-6)</f>
        <v/>
      </c>
      <c r="B602" s="90"/>
      <c r="C602" s="91"/>
      <c r="D602" s="91"/>
      <c r="E602" s="80"/>
      <c r="F602" s="92"/>
      <c r="G602" s="79"/>
      <c r="H602" s="82"/>
      <c r="I602" s="93" t="str">
        <f aca="false">IF(B602="","",IFERROR(INDEX('CARNET DE SOUDURE'!$B$7:$B$1506,MATCH(B602,'CARNET DE SOUDURE'!$K$7:$K$1506,0)),IFERROR(INDEX('CARNET DE SOUDURE'!$B$7:$B$1506,MATCH(B602,'CARNET DE SOUDURE'!$M$7:$M$1506,0)),"")))</f>
        <v/>
      </c>
      <c r="J602" s="78" t="str">
        <f aca="false">IF(B602="","",IFERROR(INDEX('CARNET DE SOUDURE'!$E$7:$E$1506,MATCH(B602,'CARNET DE SOUDURE'!$M$7:$M$1506,0)),""))</f>
        <v/>
      </c>
      <c r="K602" s="78" t="str">
        <f aca="false">IF(B602="","",IFERROR(INDEX('CARNET DE SOUDURE'!$E$7:$E$1506,MATCH(B602,'CARNET DE SOUDURE'!$K$7:$K$1506,0)),""))</f>
        <v/>
      </c>
      <c r="L602" s="78" t="str">
        <f aca="false">IF(B602="","",IFERROR(INDEX('CARNET DE SOUDURE'!$D$7:$D$1506,MATCH(B602,'CARNET DE SOUDURE'!$K$7:$K$1506,0)),IFERROR(INDEX('CARNET DE SOUDURE'!$D$7:$D$1506,MATCH(B602,'CARNET DE SOUDURE'!$M$7:$M$1506,0)),"")))</f>
        <v/>
      </c>
      <c r="M602" s="81" t="str">
        <f aca="false">IF(B602="","",IF(OR(J602&lt;&gt;"",K602&lt;&gt;""),"POSÉ EN LIGNE",IF(H602&lt;&gt;"","BARDÉ","EN STOCK")))</f>
        <v/>
      </c>
      <c r="N602" s="79"/>
    </row>
    <row r="603" customFormat="false" ht="15" hidden="false" customHeight="false" outlineLevel="0" collapsed="false">
      <c r="A603" s="78" t="str">
        <f aca="false">IF(B603="","",ROW()-6)</f>
        <v/>
      </c>
      <c r="B603" s="90"/>
      <c r="C603" s="91"/>
      <c r="D603" s="91"/>
      <c r="E603" s="80"/>
      <c r="F603" s="92"/>
      <c r="G603" s="79"/>
      <c r="H603" s="82"/>
      <c r="I603" s="93" t="str">
        <f aca="false">IF(B603="","",IFERROR(INDEX('CARNET DE SOUDURE'!$B$7:$B$1506,MATCH(B603,'CARNET DE SOUDURE'!$K$7:$K$1506,0)),IFERROR(INDEX('CARNET DE SOUDURE'!$B$7:$B$1506,MATCH(B603,'CARNET DE SOUDURE'!$M$7:$M$1506,0)),"")))</f>
        <v/>
      </c>
      <c r="J603" s="78" t="str">
        <f aca="false">IF(B603="","",IFERROR(INDEX('CARNET DE SOUDURE'!$E$7:$E$1506,MATCH(B603,'CARNET DE SOUDURE'!$M$7:$M$1506,0)),""))</f>
        <v/>
      </c>
      <c r="K603" s="78" t="str">
        <f aca="false">IF(B603="","",IFERROR(INDEX('CARNET DE SOUDURE'!$E$7:$E$1506,MATCH(B603,'CARNET DE SOUDURE'!$K$7:$K$1506,0)),""))</f>
        <v/>
      </c>
      <c r="L603" s="78" t="str">
        <f aca="false">IF(B603="","",IFERROR(INDEX('CARNET DE SOUDURE'!$D$7:$D$1506,MATCH(B603,'CARNET DE SOUDURE'!$K$7:$K$1506,0)),IFERROR(INDEX('CARNET DE SOUDURE'!$D$7:$D$1506,MATCH(B603,'CARNET DE SOUDURE'!$M$7:$M$1506,0)),"")))</f>
        <v/>
      </c>
      <c r="M603" s="81" t="str">
        <f aca="false">IF(B603="","",IF(OR(J603&lt;&gt;"",K603&lt;&gt;""),"POSÉ EN LIGNE",IF(H603&lt;&gt;"","BARDÉ","EN STOCK")))</f>
        <v/>
      </c>
      <c r="N603" s="79"/>
    </row>
    <row r="604" customFormat="false" ht="15" hidden="false" customHeight="false" outlineLevel="0" collapsed="false">
      <c r="A604" s="78" t="str">
        <f aca="false">IF(B604="","",ROW()-6)</f>
        <v/>
      </c>
      <c r="B604" s="90"/>
      <c r="C604" s="91"/>
      <c r="D604" s="91"/>
      <c r="E604" s="80"/>
      <c r="F604" s="92"/>
      <c r="G604" s="79"/>
      <c r="H604" s="82"/>
      <c r="I604" s="93" t="str">
        <f aca="false">IF(B604="","",IFERROR(INDEX('CARNET DE SOUDURE'!$B$7:$B$1506,MATCH(B604,'CARNET DE SOUDURE'!$K$7:$K$1506,0)),IFERROR(INDEX('CARNET DE SOUDURE'!$B$7:$B$1506,MATCH(B604,'CARNET DE SOUDURE'!$M$7:$M$1506,0)),"")))</f>
        <v/>
      </c>
      <c r="J604" s="78" t="str">
        <f aca="false">IF(B604="","",IFERROR(INDEX('CARNET DE SOUDURE'!$E$7:$E$1506,MATCH(B604,'CARNET DE SOUDURE'!$M$7:$M$1506,0)),""))</f>
        <v/>
      </c>
      <c r="K604" s="78" t="str">
        <f aca="false">IF(B604="","",IFERROR(INDEX('CARNET DE SOUDURE'!$E$7:$E$1506,MATCH(B604,'CARNET DE SOUDURE'!$K$7:$K$1506,0)),""))</f>
        <v/>
      </c>
      <c r="L604" s="78" t="str">
        <f aca="false">IF(B604="","",IFERROR(INDEX('CARNET DE SOUDURE'!$D$7:$D$1506,MATCH(B604,'CARNET DE SOUDURE'!$K$7:$K$1506,0)),IFERROR(INDEX('CARNET DE SOUDURE'!$D$7:$D$1506,MATCH(B604,'CARNET DE SOUDURE'!$M$7:$M$1506,0)),"")))</f>
        <v/>
      </c>
      <c r="M604" s="81" t="str">
        <f aca="false">IF(B604="","",IF(OR(J604&lt;&gt;"",K604&lt;&gt;""),"POSÉ EN LIGNE",IF(H604&lt;&gt;"","BARDÉ","EN STOCK")))</f>
        <v/>
      </c>
      <c r="N604" s="79"/>
    </row>
    <row r="605" customFormat="false" ht="15" hidden="false" customHeight="false" outlineLevel="0" collapsed="false">
      <c r="A605" s="78" t="str">
        <f aca="false">IF(B605="","",ROW()-6)</f>
        <v/>
      </c>
      <c r="B605" s="90"/>
      <c r="C605" s="91"/>
      <c r="D605" s="91"/>
      <c r="E605" s="80"/>
      <c r="F605" s="92"/>
      <c r="G605" s="79"/>
      <c r="H605" s="82"/>
      <c r="I605" s="93" t="str">
        <f aca="false">IF(B605="","",IFERROR(INDEX('CARNET DE SOUDURE'!$B$7:$B$1506,MATCH(B605,'CARNET DE SOUDURE'!$K$7:$K$1506,0)),IFERROR(INDEX('CARNET DE SOUDURE'!$B$7:$B$1506,MATCH(B605,'CARNET DE SOUDURE'!$M$7:$M$1506,0)),"")))</f>
        <v/>
      </c>
      <c r="J605" s="78" t="str">
        <f aca="false">IF(B605="","",IFERROR(INDEX('CARNET DE SOUDURE'!$E$7:$E$1506,MATCH(B605,'CARNET DE SOUDURE'!$M$7:$M$1506,0)),""))</f>
        <v/>
      </c>
      <c r="K605" s="78" t="str">
        <f aca="false">IF(B605="","",IFERROR(INDEX('CARNET DE SOUDURE'!$E$7:$E$1506,MATCH(B605,'CARNET DE SOUDURE'!$K$7:$K$1506,0)),""))</f>
        <v/>
      </c>
      <c r="L605" s="78" t="str">
        <f aca="false">IF(B605="","",IFERROR(INDEX('CARNET DE SOUDURE'!$D$7:$D$1506,MATCH(B605,'CARNET DE SOUDURE'!$K$7:$K$1506,0)),IFERROR(INDEX('CARNET DE SOUDURE'!$D$7:$D$1506,MATCH(B605,'CARNET DE SOUDURE'!$M$7:$M$1506,0)),"")))</f>
        <v/>
      </c>
      <c r="M605" s="81" t="str">
        <f aca="false">IF(B605="","",IF(OR(J605&lt;&gt;"",K605&lt;&gt;""),"POSÉ EN LIGNE",IF(H605&lt;&gt;"","BARDÉ","EN STOCK")))</f>
        <v/>
      </c>
      <c r="N605" s="79"/>
    </row>
    <row r="606" customFormat="false" ht="15" hidden="false" customHeight="false" outlineLevel="0" collapsed="false">
      <c r="A606" s="78" t="str">
        <f aca="false">IF(B606="","",ROW()-6)</f>
        <v/>
      </c>
      <c r="B606" s="90"/>
      <c r="C606" s="91"/>
      <c r="D606" s="91"/>
      <c r="E606" s="80"/>
      <c r="F606" s="92"/>
      <c r="G606" s="79"/>
      <c r="H606" s="82"/>
      <c r="I606" s="93" t="str">
        <f aca="false">IF(B606="","",IFERROR(INDEX('CARNET DE SOUDURE'!$B$7:$B$1506,MATCH(B606,'CARNET DE SOUDURE'!$K$7:$K$1506,0)),IFERROR(INDEX('CARNET DE SOUDURE'!$B$7:$B$1506,MATCH(B606,'CARNET DE SOUDURE'!$M$7:$M$1506,0)),"")))</f>
        <v/>
      </c>
      <c r="J606" s="78" t="str">
        <f aca="false">IF(B606="","",IFERROR(INDEX('CARNET DE SOUDURE'!$E$7:$E$1506,MATCH(B606,'CARNET DE SOUDURE'!$M$7:$M$1506,0)),""))</f>
        <v/>
      </c>
      <c r="K606" s="78" t="str">
        <f aca="false">IF(B606="","",IFERROR(INDEX('CARNET DE SOUDURE'!$E$7:$E$1506,MATCH(B606,'CARNET DE SOUDURE'!$K$7:$K$1506,0)),""))</f>
        <v/>
      </c>
      <c r="L606" s="78" t="str">
        <f aca="false">IF(B606="","",IFERROR(INDEX('CARNET DE SOUDURE'!$D$7:$D$1506,MATCH(B606,'CARNET DE SOUDURE'!$K$7:$K$1506,0)),IFERROR(INDEX('CARNET DE SOUDURE'!$D$7:$D$1506,MATCH(B606,'CARNET DE SOUDURE'!$M$7:$M$1506,0)),"")))</f>
        <v/>
      </c>
      <c r="M606" s="81" t="str">
        <f aca="false">IF(B606="","",IF(OR(J606&lt;&gt;"",K606&lt;&gt;""),"POSÉ EN LIGNE",IF(H606&lt;&gt;"","BARDÉ","EN STOCK")))</f>
        <v/>
      </c>
      <c r="N606" s="79"/>
    </row>
    <row r="607" customFormat="false" ht="15" hidden="false" customHeight="false" outlineLevel="0" collapsed="false">
      <c r="A607" s="78" t="str">
        <f aca="false">IF(B607="","",ROW()-6)</f>
        <v/>
      </c>
      <c r="B607" s="90"/>
      <c r="C607" s="91"/>
      <c r="D607" s="91"/>
      <c r="E607" s="80"/>
      <c r="F607" s="92"/>
      <c r="G607" s="79"/>
      <c r="H607" s="82"/>
      <c r="I607" s="93" t="str">
        <f aca="false">IF(B607="","",IFERROR(INDEX('CARNET DE SOUDURE'!$B$7:$B$1506,MATCH(B607,'CARNET DE SOUDURE'!$K$7:$K$1506,0)),IFERROR(INDEX('CARNET DE SOUDURE'!$B$7:$B$1506,MATCH(B607,'CARNET DE SOUDURE'!$M$7:$M$1506,0)),"")))</f>
        <v/>
      </c>
      <c r="J607" s="78" t="str">
        <f aca="false">IF(B607="","",IFERROR(INDEX('CARNET DE SOUDURE'!$E$7:$E$1506,MATCH(B607,'CARNET DE SOUDURE'!$M$7:$M$1506,0)),""))</f>
        <v/>
      </c>
      <c r="K607" s="78" t="str">
        <f aca="false">IF(B607="","",IFERROR(INDEX('CARNET DE SOUDURE'!$E$7:$E$1506,MATCH(B607,'CARNET DE SOUDURE'!$K$7:$K$1506,0)),""))</f>
        <v/>
      </c>
      <c r="L607" s="78" t="str">
        <f aca="false">IF(B607="","",IFERROR(INDEX('CARNET DE SOUDURE'!$D$7:$D$1506,MATCH(B607,'CARNET DE SOUDURE'!$K$7:$K$1506,0)),IFERROR(INDEX('CARNET DE SOUDURE'!$D$7:$D$1506,MATCH(B607,'CARNET DE SOUDURE'!$M$7:$M$1506,0)),"")))</f>
        <v/>
      </c>
      <c r="M607" s="81" t="str">
        <f aca="false">IF(B607="","",IF(OR(J607&lt;&gt;"",K607&lt;&gt;""),"POSÉ EN LIGNE",IF(H607&lt;&gt;"","BARDÉ","EN STOCK")))</f>
        <v/>
      </c>
      <c r="N607" s="79"/>
    </row>
    <row r="608" customFormat="false" ht="15" hidden="false" customHeight="false" outlineLevel="0" collapsed="false">
      <c r="A608" s="78" t="str">
        <f aca="false">IF(B608="","",ROW()-6)</f>
        <v/>
      </c>
      <c r="B608" s="90"/>
      <c r="C608" s="91"/>
      <c r="D608" s="91"/>
      <c r="E608" s="80"/>
      <c r="F608" s="92"/>
      <c r="G608" s="79"/>
      <c r="H608" s="82"/>
      <c r="I608" s="93" t="str">
        <f aca="false">IF(B608="","",IFERROR(INDEX('CARNET DE SOUDURE'!$B$7:$B$1506,MATCH(B608,'CARNET DE SOUDURE'!$K$7:$K$1506,0)),IFERROR(INDEX('CARNET DE SOUDURE'!$B$7:$B$1506,MATCH(B608,'CARNET DE SOUDURE'!$M$7:$M$1506,0)),"")))</f>
        <v/>
      </c>
      <c r="J608" s="78" t="str">
        <f aca="false">IF(B608="","",IFERROR(INDEX('CARNET DE SOUDURE'!$E$7:$E$1506,MATCH(B608,'CARNET DE SOUDURE'!$M$7:$M$1506,0)),""))</f>
        <v/>
      </c>
      <c r="K608" s="78" t="str">
        <f aca="false">IF(B608="","",IFERROR(INDEX('CARNET DE SOUDURE'!$E$7:$E$1506,MATCH(B608,'CARNET DE SOUDURE'!$K$7:$K$1506,0)),""))</f>
        <v/>
      </c>
      <c r="L608" s="78" t="str">
        <f aca="false">IF(B608="","",IFERROR(INDEX('CARNET DE SOUDURE'!$D$7:$D$1506,MATCH(B608,'CARNET DE SOUDURE'!$K$7:$K$1506,0)),IFERROR(INDEX('CARNET DE SOUDURE'!$D$7:$D$1506,MATCH(B608,'CARNET DE SOUDURE'!$M$7:$M$1506,0)),"")))</f>
        <v/>
      </c>
      <c r="M608" s="81" t="str">
        <f aca="false">IF(B608="","",IF(OR(J608&lt;&gt;"",K608&lt;&gt;""),"POSÉ EN LIGNE",IF(H608&lt;&gt;"","BARDÉ","EN STOCK")))</f>
        <v/>
      </c>
      <c r="N608" s="79"/>
    </row>
    <row r="609" customFormat="false" ht="15" hidden="false" customHeight="false" outlineLevel="0" collapsed="false">
      <c r="A609" s="78" t="str">
        <f aca="false">IF(B609="","",ROW()-6)</f>
        <v/>
      </c>
      <c r="B609" s="90"/>
      <c r="C609" s="91"/>
      <c r="D609" s="91"/>
      <c r="E609" s="80"/>
      <c r="F609" s="92"/>
      <c r="G609" s="79"/>
      <c r="H609" s="82"/>
      <c r="I609" s="93" t="str">
        <f aca="false">IF(B609="","",IFERROR(INDEX('CARNET DE SOUDURE'!$B$7:$B$1506,MATCH(B609,'CARNET DE SOUDURE'!$K$7:$K$1506,0)),IFERROR(INDEX('CARNET DE SOUDURE'!$B$7:$B$1506,MATCH(B609,'CARNET DE SOUDURE'!$M$7:$M$1506,0)),"")))</f>
        <v/>
      </c>
      <c r="J609" s="78" t="str">
        <f aca="false">IF(B609="","",IFERROR(INDEX('CARNET DE SOUDURE'!$E$7:$E$1506,MATCH(B609,'CARNET DE SOUDURE'!$M$7:$M$1506,0)),""))</f>
        <v/>
      </c>
      <c r="K609" s="78" t="str">
        <f aca="false">IF(B609="","",IFERROR(INDEX('CARNET DE SOUDURE'!$E$7:$E$1506,MATCH(B609,'CARNET DE SOUDURE'!$K$7:$K$1506,0)),""))</f>
        <v/>
      </c>
      <c r="L609" s="78" t="str">
        <f aca="false">IF(B609="","",IFERROR(INDEX('CARNET DE SOUDURE'!$D$7:$D$1506,MATCH(B609,'CARNET DE SOUDURE'!$K$7:$K$1506,0)),IFERROR(INDEX('CARNET DE SOUDURE'!$D$7:$D$1506,MATCH(B609,'CARNET DE SOUDURE'!$M$7:$M$1506,0)),"")))</f>
        <v/>
      </c>
      <c r="M609" s="81" t="str">
        <f aca="false">IF(B609="","",IF(OR(J609&lt;&gt;"",K609&lt;&gt;""),"POSÉ EN LIGNE",IF(H609&lt;&gt;"","BARDÉ","EN STOCK")))</f>
        <v/>
      </c>
      <c r="N609" s="79"/>
    </row>
    <row r="610" customFormat="false" ht="15" hidden="false" customHeight="false" outlineLevel="0" collapsed="false">
      <c r="A610" s="78" t="str">
        <f aca="false">IF(B610="","",ROW()-6)</f>
        <v/>
      </c>
      <c r="B610" s="90"/>
      <c r="C610" s="91"/>
      <c r="D610" s="91"/>
      <c r="E610" s="80"/>
      <c r="F610" s="92"/>
      <c r="G610" s="79"/>
      <c r="H610" s="82"/>
      <c r="I610" s="93" t="str">
        <f aca="false">IF(B610="","",IFERROR(INDEX('CARNET DE SOUDURE'!$B$7:$B$1506,MATCH(B610,'CARNET DE SOUDURE'!$K$7:$K$1506,0)),IFERROR(INDEX('CARNET DE SOUDURE'!$B$7:$B$1506,MATCH(B610,'CARNET DE SOUDURE'!$M$7:$M$1506,0)),"")))</f>
        <v/>
      </c>
      <c r="J610" s="78" t="str">
        <f aca="false">IF(B610="","",IFERROR(INDEX('CARNET DE SOUDURE'!$E$7:$E$1506,MATCH(B610,'CARNET DE SOUDURE'!$M$7:$M$1506,0)),""))</f>
        <v/>
      </c>
      <c r="K610" s="78" t="str">
        <f aca="false">IF(B610="","",IFERROR(INDEX('CARNET DE SOUDURE'!$E$7:$E$1506,MATCH(B610,'CARNET DE SOUDURE'!$K$7:$K$1506,0)),""))</f>
        <v/>
      </c>
      <c r="L610" s="78" t="str">
        <f aca="false">IF(B610="","",IFERROR(INDEX('CARNET DE SOUDURE'!$D$7:$D$1506,MATCH(B610,'CARNET DE SOUDURE'!$K$7:$K$1506,0)),IFERROR(INDEX('CARNET DE SOUDURE'!$D$7:$D$1506,MATCH(B610,'CARNET DE SOUDURE'!$M$7:$M$1506,0)),"")))</f>
        <v/>
      </c>
      <c r="M610" s="81" t="str">
        <f aca="false">IF(B610="","",IF(OR(J610&lt;&gt;"",K610&lt;&gt;""),"POSÉ EN LIGNE",IF(H610&lt;&gt;"","BARDÉ","EN STOCK")))</f>
        <v/>
      </c>
      <c r="N610" s="79"/>
    </row>
    <row r="611" customFormat="false" ht="15" hidden="false" customHeight="false" outlineLevel="0" collapsed="false">
      <c r="A611" s="78" t="str">
        <f aca="false">IF(B611="","",ROW()-6)</f>
        <v/>
      </c>
      <c r="B611" s="90"/>
      <c r="C611" s="91"/>
      <c r="D611" s="91"/>
      <c r="E611" s="80"/>
      <c r="F611" s="92"/>
      <c r="G611" s="79"/>
      <c r="H611" s="82"/>
      <c r="I611" s="93" t="str">
        <f aca="false">IF(B611="","",IFERROR(INDEX('CARNET DE SOUDURE'!$B$7:$B$1506,MATCH(B611,'CARNET DE SOUDURE'!$K$7:$K$1506,0)),IFERROR(INDEX('CARNET DE SOUDURE'!$B$7:$B$1506,MATCH(B611,'CARNET DE SOUDURE'!$M$7:$M$1506,0)),"")))</f>
        <v/>
      </c>
      <c r="J611" s="78" t="str">
        <f aca="false">IF(B611="","",IFERROR(INDEX('CARNET DE SOUDURE'!$E$7:$E$1506,MATCH(B611,'CARNET DE SOUDURE'!$M$7:$M$1506,0)),""))</f>
        <v/>
      </c>
      <c r="K611" s="78" t="str">
        <f aca="false">IF(B611="","",IFERROR(INDEX('CARNET DE SOUDURE'!$E$7:$E$1506,MATCH(B611,'CARNET DE SOUDURE'!$K$7:$K$1506,0)),""))</f>
        <v/>
      </c>
      <c r="L611" s="78" t="str">
        <f aca="false">IF(B611="","",IFERROR(INDEX('CARNET DE SOUDURE'!$D$7:$D$1506,MATCH(B611,'CARNET DE SOUDURE'!$K$7:$K$1506,0)),IFERROR(INDEX('CARNET DE SOUDURE'!$D$7:$D$1506,MATCH(B611,'CARNET DE SOUDURE'!$M$7:$M$1506,0)),"")))</f>
        <v/>
      </c>
      <c r="M611" s="81" t="str">
        <f aca="false">IF(B611="","",IF(OR(J611&lt;&gt;"",K611&lt;&gt;""),"POSÉ EN LIGNE",IF(H611&lt;&gt;"","BARDÉ","EN STOCK")))</f>
        <v/>
      </c>
      <c r="N611" s="79"/>
    </row>
    <row r="612" customFormat="false" ht="15" hidden="false" customHeight="false" outlineLevel="0" collapsed="false">
      <c r="A612" s="78" t="str">
        <f aca="false">IF(B612="","",ROW()-6)</f>
        <v/>
      </c>
      <c r="B612" s="90"/>
      <c r="C612" s="91"/>
      <c r="D612" s="91"/>
      <c r="E612" s="80"/>
      <c r="F612" s="92"/>
      <c r="G612" s="79"/>
      <c r="H612" s="82"/>
      <c r="I612" s="93" t="str">
        <f aca="false">IF(B612="","",IFERROR(INDEX('CARNET DE SOUDURE'!$B$7:$B$1506,MATCH(B612,'CARNET DE SOUDURE'!$K$7:$K$1506,0)),IFERROR(INDEX('CARNET DE SOUDURE'!$B$7:$B$1506,MATCH(B612,'CARNET DE SOUDURE'!$M$7:$M$1506,0)),"")))</f>
        <v/>
      </c>
      <c r="J612" s="78" t="str">
        <f aca="false">IF(B612="","",IFERROR(INDEX('CARNET DE SOUDURE'!$E$7:$E$1506,MATCH(B612,'CARNET DE SOUDURE'!$M$7:$M$1506,0)),""))</f>
        <v/>
      </c>
      <c r="K612" s="78" t="str">
        <f aca="false">IF(B612="","",IFERROR(INDEX('CARNET DE SOUDURE'!$E$7:$E$1506,MATCH(B612,'CARNET DE SOUDURE'!$K$7:$K$1506,0)),""))</f>
        <v/>
      </c>
      <c r="L612" s="78" t="str">
        <f aca="false">IF(B612="","",IFERROR(INDEX('CARNET DE SOUDURE'!$D$7:$D$1506,MATCH(B612,'CARNET DE SOUDURE'!$K$7:$K$1506,0)),IFERROR(INDEX('CARNET DE SOUDURE'!$D$7:$D$1506,MATCH(B612,'CARNET DE SOUDURE'!$M$7:$M$1506,0)),"")))</f>
        <v/>
      </c>
      <c r="M612" s="81" t="str">
        <f aca="false">IF(B612="","",IF(OR(J612&lt;&gt;"",K612&lt;&gt;""),"POSÉ EN LIGNE",IF(H612&lt;&gt;"","BARDÉ","EN STOCK")))</f>
        <v/>
      </c>
      <c r="N612" s="79"/>
    </row>
    <row r="613" customFormat="false" ht="15" hidden="false" customHeight="false" outlineLevel="0" collapsed="false">
      <c r="A613" s="78" t="str">
        <f aca="false">IF(B613="","",ROW()-6)</f>
        <v/>
      </c>
      <c r="B613" s="90"/>
      <c r="C613" s="91"/>
      <c r="D613" s="91"/>
      <c r="E613" s="80"/>
      <c r="F613" s="92"/>
      <c r="G613" s="79"/>
      <c r="H613" s="82"/>
      <c r="I613" s="93" t="str">
        <f aca="false">IF(B613="","",IFERROR(INDEX('CARNET DE SOUDURE'!$B$7:$B$1506,MATCH(B613,'CARNET DE SOUDURE'!$K$7:$K$1506,0)),IFERROR(INDEX('CARNET DE SOUDURE'!$B$7:$B$1506,MATCH(B613,'CARNET DE SOUDURE'!$M$7:$M$1506,0)),"")))</f>
        <v/>
      </c>
      <c r="J613" s="78" t="str">
        <f aca="false">IF(B613="","",IFERROR(INDEX('CARNET DE SOUDURE'!$E$7:$E$1506,MATCH(B613,'CARNET DE SOUDURE'!$M$7:$M$1506,0)),""))</f>
        <v/>
      </c>
      <c r="K613" s="78" t="str">
        <f aca="false">IF(B613="","",IFERROR(INDEX('CARNET DE SOUDURE'!$E$7:$E$1506,MATCH(B613,'CARNET DE SOUDURE'!$K$7:$K$1506,0)),""))</f>
        <v/>
      </c>
      <c r="L613" s="78" t="str">
        <f aca="false">IF(B613="","",IFERROR(INDEX('CARNET DE SOUDURE'!$D$7:$D$1506,MATCH(B613,'CARNET DE SOUDURE'!$K$7:$K$1506,0)),IFERROR(INDEX('CARNET DE SOUDURE'!$D$7:$D$1506,MATCH(B613,'CARNET DE SOUDURE'!$M$7:$M$1506,0)),"")))</f>
        <v/>
      </c>
      <c r="M613" s="81" t="str">
        <f aca="false">IF(B613="","",IF(OR(J613&lt;&gt;"",K613&lt;&gt;""),"POSÉ EN LIGNE",IF(H613&lt;&gt;"","BARDÉ","EN STOCK")))</f>
        <v/>
      </c>
      <c r="N613" s="79"/>
    </row>
    <row r="614" customFormat="false" ht="15" hidden="false" customHeight="false" outlineLevel="0" collapsed="false">
      <c r="A614" s="78" t="str">
        <f aca="false">IF(B614="","",ROW()-6)</f>
        <v/>
      </c>
      <c r="B614" s="90"/>
      <c r="C614" s="91"/>
      <c r="D614" s="91"/>
      <c r="E614" s="80"/>
      <c r="F614" s="92"/>
      <c r="G614" s="79"/>
      <c r="H614" s="82"/>
      <c r="I614" s="93" t="str">
        <f aca="false">IF(B614="","",IFERROR(INDEX('CARNET DE SOUDURE'!$B$7:$B$1506,MATCH(B614,'CARNET DE SOUDURE'!$K$7:$K$1506,0)),IFERROR(INDEX('CARNET DE SOUDURE'!$B$7:$B$1506,MATCH(B614,'CARNET DE SOUDURE'!$M$7:$M$1506,0)),"")))</f>
        <v/>
      </c>
      <c r="J614" s="78" t="str">
        <f aca="false">IF(B614="","",IFERROR(INDEX('CARNET DE SOUDURE'!$E$7:$E$1506,MATCH(B614,'CARNET DE SOUDURE'!$M$7:$M$1506,0)),""))</f>
        <v/>
      </c>
      <c r="K614" s="78" t="str">
        <f aca="false">IF(B614="","",IFERROR(INDEX('CARNET DE SOUDURE'!$E$7:$E$1506,MATCH(B614,'CARNET DE SOUDURE'!$K$7:$K$1506,0)),""))</f>
        <v/>
      </c>
      <c r="L614" s="78" t="str">
        <f aca="false">IF(B614="","",IFERROR(INDEX('CARNET DE SOUDURE'!$D$7:$D$1506,MATCH(B614,'CARNET DE SOUDURE'!$K$7:$K$1506,0)),IFERROR(INDEX('CARNET DE SOUDURE'!$D$7:$D$1506,MATCH(B614,'CARNET DE SOUDURE'!$M$7:$M$1506,0)),"")))</f>
        <v/>
      </c>
      <c r="M614" s="81" t="str">
        <f aca="false">IF(B614="","",IF(OR(J614&lt;&gt;"",K614&lt;&gt;""),"POSÉ EN LIGNE",IF(H614&lt;&gt;"","BARDÉ","EN STOCK")))</f>
        <v/>
      </c>
      <c r="N614" s="79"/>
    </row>
    <row r="615" customFormat="false" ht="15" hidden="false" customHeight="false" outlineLevel="0" collapsed="false">
      <c r="A615" s="78" t="str">
        <f aca="false">IF(B615="","",ROW()-6)</f>
        <v/>
      </c>
      <c r="B615" s="90"/>
      <c r="C615" s="91"/>
      <c r="D615" s="91"/>
      <c r="E615" s="80"/>
      <c r="F615" s="92"/>
      <c r="G615" s="79"/>
      <c r="H615" s="82"/>
      <c r="I615" s="93" t="str">
        <f aca="false">IF(B615="","",IFERROR(INDEX('CARNET DE SOUDURE'!$B$7:$B$1506,MATCH(B615,'CARNET DE SOUDURE'!$K$7:$K$1506,0)),IFERROR(INDEX('CARNET DE SOUDURE'!$B$7:$B$1506,MATCH(B615,'CARNET DE SOUDURE'!$M$7:$M$1506,0)),"")))</f>
        <v/>
      </c>
      <c r="J615" s="78" t="str">
        <f aca="false">IF(B615="","",IFERROR(INDEX('CARNET DE SOUDURE'!$E$7:$E$1506,MATCH(B615,'CARNET DE SOUDURE'!$M$7:$M$1506,0)),""))</f>
        <v/>
      </c>
      <c r="K615" s="78" t="str">
        <f aca="false">IF(B615="","",IFERROR(INDEX('CARNET DE SOUDURE'!$E$7:$E$1506,MATCH(B615,'CARNET DE SOUDURE'!$K$7:$K$1506,0)),""))</f>
        <v/>
      </c>
      <c r="L615" s="78" t="str">
        <f aca="false">IF(B615="","",IFERROR(INDEX('CARNET DE SOUDURE'!$D$7:$D$1506,MATCH(B615,'CARNET DE SOUDURE'!$K$7:$K$1506,0)),IFERROR(INDEX('CARNET DE SOUDURE'!$D$7:$D$1506,MATCH(B615,'CARNET DE SOUDURE'!$M$7:$M$1506,0)),"")))</f>
        <v/>
      </c>
      <c r="M615" s="81" t="str">
        <f aca="false">IF(B615="","",IF(OR(J615&lt;&gt;"",K615&lt;&gt;""),"POSÉ EN LIGNE",IF(H615&lt;&gt;"","BARDÉ","EN STOCK")))</f>
        <v/>
      </c>
      <c r="N615" s="79"/>
    </row>
    <row r="616" customFormat="false" ht="15" hidden="false" customHeight="false" outlineLevel="0" collapsed="false">
      <c r="A616" s="78" t="str">
        <f aca="false">IF(B616="","",ROW()-6)</f>
        <v/>
      </c>
      <c r="B616" s="90"/>
      <c r="C616" s="91"/>
      <c r="D616" s="91"/>
      <c r="E616" s="80"/>
      <c r="F616" s="92"/>
      <c r="G616" s="79"/>
      <c r="H616" s="82"/>
      <c r="I616" s="93" t="str">
        <f aca="false">IF(B616="","",IFERROR(INDEX('CARNET DE SOUDURE'!$B$7:$B$1506,MATCH(B616,'CARNET DE SOUDURE'!$K$7:$K$1506,0)),IFERROR(INDEX('CARNET DE SOUDURE'!$B$7:$B$1506,MATCH(B616,'CARNET DE SOUDURE'!$M$7:$M$1506,0)),"")))</f>
        <v/>
      </c>
      <c r="J616" s="78" t="str">
        <f aca="false">IF(B616="","",IFERROR(INDEX('CARNET DE SOUDURE'!$E$7:$E$1506,MATCH(B616,'CARNET DE SOUDURE'!$M$7:$M$1506,0)),""))</f>
        <v/>
      </c>
      <c r="K616" s="78" t="str">
        <f aca="false">IF(B616="","",IFERROR(INDEX('CARNET DE SOUDURE'!$E$7:$E$1506,MATCH(B616,'CARNET DE SOUDURE'!$K$7:$K$1506,0)),""))</f>
        <v/>
      </c>
      <c r="L616" s="78" t="str">
        <f aca="false">IF(B616="","",IFERROR(INDEX('CARNET DE SOUDURE'!$D$7:$D$1506,MATCH(B616,'CARNET DE SOUDURE'!$K$7:$K$1506,0)),IFERROR(INDEX('CARNET DE SOUDURE'!$D$7:$D$1506,MATCH(B616,'CARNET DE SOUDURE'!$M$7:$M$1506,0)),"")))</f>
        <v/>
      </c>
      <c r="M616" s="81" t="str">
        <f aca="false">IF(B616="","",IF(OR(J616&lt;&gt;"",K616&lt;&gt;""),"POSÉ EN LIGNE",IF(H616&lt;&gt;"","BARDÉ","EN STOCK")))</f>
        <v/>
      </c>
      <c r="N616" s="79"/>
    </row>
    <row r="617" customFormat="false" ht="15" hidden="false" customHeight="false" outlineLevel="0" collapsed="false">
      <c r="A617" s="78" t="str">
        <f aca="false">IF(B617="","",ROW()-6)</f>
        <v/>
      </c>
      <c r="B617" s="90"/>
      <c r="C617" s="91"/>
      <c r="D617" s="91"/>
      <c r="E617" s="80"/>
      <c r="F617" s="92"/>
      <c r="G617" s="79"/>
      <c r="H617" s="82"/>
      <c r="I617" s="93" t="str">
        <f aca="false">IF(B617="","",IFERROR(INDEX('CARNET DE SOUDURE'!$B$7:$B$1506,MATCH(B617,'CARNET DE SOUDURE'!$K$7:$K$1506,0)),IFERROR(INDEX('CARNET DE SOUDURE'!$B$7:$B$1506,MATCH(B617,'CARNET DE SOUDURE'!$M$7:$M$1506,0)),"")))</f>
        <v/>
      </c>
      <c r="J617" s="78" t="str">
        <f aca="false">IF(B617="","",IFERROR(INDEX('CARNET DE SOUDURE'!$E$7:$E$1506,MATCH(B617,'CARNET DE SOUDURE'!$M$7:$M$1506,0)),""))</f>
        <v/>
      </c>
      <c r="K617" s="78" t="str">
        <f aca="false">IF(B617="","",IFERROR(INDEX('CARNET DE SOUDURE'!$E$7:$E$1506,MATCH(B617,'CARNET DE SOUDURE'!$K$7:$K$1506,0)),""))</f>
        <v/>
      </c>
      <c r="L617" s="78" t="str">
        <f aca="false">IF(B617="","",IFERROR(INDEX('CARNET DE SOUDURE'!$D$7:$D$1506,MATCH(B617,'CARNET DE SOUDURE'!$K$7:$K$1506,0)),IFERROR(INDEX('CARNET DE SOUDURE'!$D$7:$D$1506,MATCH(B617,'CARNET DE SOUDURE'!$M$7:$M$1506,0)),"")))</f>
        <v/>
      </c>
      <c r="M617" s="81" t="str">
        <f aca="false">IF(B617="","",IF(OR(J617&lt;&gt;"",K617&lt;&gt;""),"POSÉ EN LIGNE",IF(H617&lt;&gt;"","BARDÉ","EN STOCK")))</f>
        <v/>
      </c>
      <c r="N617" s="79"/>
    </row>
    <row r="618" customFormat="false" ht="15" hidden="false" customHeight="false" outlineLevel="0" collapsed="false">
      <c r="A618" s="78" t="str">
        <f aca="false">IF(B618="","",ROW()-6)</f>
        <v/>
      </c>
      <c r="B618" s="90"/>
      <c r="C618" s="91"/>
      <c r="D618" s="91"/>
      <c r="E618" s="80"/>
      <c r="F618" s="92"/>
      <c r="G618" s="79"/>
      <c r="H618" s="82"/>
      <c r="I618" s="93" t="str">
        <f aca="false">IF(B618="","",IFERROR(INDEX('CARNET DE SOUDURE'!$B$7:$B$1506,MATCH(B618,'CARNET DE SOUDURE'!$K$7:$K$1506,0)),IFERROR(INDEX('CARNET DE SOUDURE'!$B$7:$B$1506,MATCH(B618,'CARNET DE SOUDURE'!$M$7:$M$1506,0)),"")))</f>
        <v/>
      </c>
      <c r="J618" s="78" t="str">
        <f aca="false">IF(B618="","",IFERROR(INDEX('CARNET DE SOUDURE'!$E$7:$E$1506,MATCH(B618,'CARNET DE SOUDURE'!$M$7:$M$1506,0)),""))</f>
        <v/>
      </c>
      <c r="K618" s="78" t="str">
        <f aca="false">IF(B618="","",IFERROR(INDEX('CARNET DE SOUDURE'!$E$7:$E$1506,MATCH(B618,'CARNET DE SOUDURE'!$K$7:$K$1506,0)),""))</f>
        <v/>
      </c>
      <c r="L618" s="78" t="str">
        <f aca="false">IF(B618="","",IFERROR(INDEX('CARNET DE SOUDURE'!$D$7:$D$1506,MATCH(B618,'CARNET DE SOUDURE'!$K$7:$K$1506,0)),IFERROR(INDEX('CARNET DE SOUDURE'!$D$7:$D$1506,MATCH(B618,'CARNET DE SOUDURE'!$M$7:$M$1506,0)),"")))</f>
        <v/>
      </c>
      <c r="M618" s="81" t="str">
        <f aca="false">IF(B618="","",IF(OR(J618&lt;&gt;"",K618&lt;&gt;""),"POSÉ EN LIGNE",IF(H618&lt;&gt;"","BARDÉ","EN STOCK")))</f>
        <v/>
      </c>
      <c r="N618" s="79"/>
    </row>
    <row r="619" customFormat="false" ht="15" hidden="false" customHeight="false" outlineLevel="0" collapsed="false">
      <c r="A619" s="78" t="str">
        <f aca="false">IF(B619="","",ROW()-6)</f>
        <v/>
      </c>
      <c r="B619" s="90"/>
      <c r="C619" s="91"/>
      <c r="D619" s="91"/>
      <c r="E619" s="80"/>
      <c r="F619" s="92"/>
      <c r="G619" s="79"/>
      <c r="H619" s="82"/>
      <c r="I619" s="93" t="str">
        <f aca="false">IF(B619="","",IFERROR(INDEX('CARNET DE SOUDURE'!$B$7:$B$1506,MATCH(B619,'CARNET DE SOUDURE'!$K$7:$K$1506,0)),IFERROR(INDEX('CARNET DE SOUDURE'!$B$7:$B$1506,MATCH(B619,'CARNET DE SOUDURE'!$M$7:$M$1506,0)),"")))</f>
        <v/>
      </c>
      <c r="J619" s="78" t="str">
        <f aca="false">IF(B619="","",IFERROR(INDEX('CARNET DE SOUDURE'!$E$7:$E$1506,MATCH(B619,'CARNET DE SOUDURE'!$M$7:$M$1506,0)),""))</f>
        <v/>
      </c>
      <c r="K619" s="78" t="str">
        <f aca="false">IF(B619="","",IFERROR(INDEX('CARNET DE SOUDURE'!$E$7:$E$1506,MATCH(B619,'CARNET DE SOUDURE'!$K$7:$K$1506,0)),""))</f>
        <v/>
      </c>
      <c r="L619" s="78" t="str">
        <f aca="false">IF(B619="","",IFERROR(INDEX('CARNET DE SOUDURE'!$D$7:$D$1506,MATCH(B619,'CARNET DE SOUDURE'!$K$7:$K$1506,0)),IFERROR(INDEX('CARNET DE SOUDURE'!$D$7:$D$1506,MATCH(B619,'CARNET DE SOUDURE'!$M$7:$M$1506,0)),"")))</f>
        <v/>
      </c>
      <c r="M619" s="81" t="str">
        <f aca="false">IF(B619="","",IF(OR(J619&lt;&gt;"",K619&lt;&gt;""),"POSÉ EN LIGNE",IF(H619&lt;&gt;"","BARDÉ","EN STOCK")))</f>
        <v/>
      </c>
      <c r="N619" s="79"/>
    </row>
    <row r="620" customFormat="false" ht="15" hidden="false" customHeight="false" outlineLevel="0" collapsed="false">
      <c r="A620" s="78" t="str">
        <f aca="false">IF(B620="","",ROW()-6)</f>
        <v/>
      </c>
      <c r="B620" s="90"/>
      <c r="C620" s="91"/>
      <c r="D620" s="91"/>
      <c r="E620" s="80"/>
      <c r="F620" s="92"/>
      <c r="G620" s="79"/>
      <c r="H620" s="82"/>
      <c r="I620" s="93" t="str">
        <f aca="false">IF(B620="","",IFERROR(INDEX('CARNET DE SOUDURE'!$B$7:$B$1506,MATCH(B620,'CARNET DE SOUDURE'!$K$7:$K$1506,0)),IFERROR(INDEX('CARNET DE SOUDURE'!$B$7:$B$1506,MATCH(B620,'CARNET DE SOUDURE'!$M$7:$M$1506,0)),"")))</f>
        <v/>
      </c>
      <c r="J620" s="78" t="str">
        <f aca="false">IF(B620="","",IFERROR(INDEX('CARNET DE SOUDURE'!$E$7:$E$1506,MATCH(B620,'CARNET DE SOUDURE'!$M$7:$M$1506,0)),""))</f>
        <v/>
      </c>
      <c r="K620" s="78" t="str">
        <f aca="false">IF(B620="","",IFERROR(INDEX('CARNET DE SOUDURE'!$E$7:$E$1506,MATCH(B620,'CARNET DE SOUDURE'!$K$7:$K$1506,0)),""))</f>
        <v/>
      </c>
      <c r="L620" s="78" t="str">
        <f aca="false">IF(B620="","",IFERROR(INDEX('CARNET DE SOUDURE'!$D$7:$D$1506,MATCH(B620,'CARNET DE SOUDURE'!$K$7:$K$1506,0)),IFERROR(INDEX('CARNET DE SOUDURE'!$D$7:$D$1506,MATCH(B620,'CARNET DE SOUDURE'!$M$7:$M$1506,0)),"")))</f>
        <v/>
      </c>
      <c r="M620" s="81" t="str">
        <f aca="false">IF(B620="","",IF(OR(J620&lt;&gt;"",K620&lt;&gt;""),"POSÉ EN LIGNE",IF(H620&lt;&gt;"","BARDÉ","EN STOCK")))</f>
        <v/>
      </c>
      <c r="N620" s="79"/>
    </row>
    <row r="621" customFormat="false" ht="15" hidden="false" customHeight="false" outlineLevel="0" collapsed="false">
      <c r="A621" s="78" t="str">
        <f aca="false">IF(B621="","",ROW()-6)</f>
        <v/>
      </c>
      <c r="B621" s="90"/>
      <c r="C621" s="91"/>
      <c r="D621" s="91"/>
      <c r="E621" s="80"/>
      <c r="F621" s="92"/>
      <c r="G621" s="79"/>
      <c r="H621" s="82"/>
      <c r="I621" s="93" t="str">
        <f aca="false">IF(B621="","",IFERROR(INDEX('CARNET DE SOUDURE'!$B$7:$B$1506,MATCH(B621,'CARNET DE SOUDURE'!$K$7:$K$1506,0)),IFERROR(INDEX('CARNET DE SOUDURE'!$B$7:$B$1506,MATCH(B621,'CARNET DE SOUDURE'!$M$7:$M$1506,0)),"")))</f>
        <v/>
      </c>
      <c r="J621" s="78" t="str">
        <f aca="false">IF(B621="","",IFERROR(INDEX('CARNET DE SOUDURE'!$E$7:$E$1506,MATCH(B621,'CARNET DE SOUDURE'!$M$7:$M$1506,0)),""))</f>
        <v/>
      </c>
      <c r="K621" s="78" t="str">
        <f aca="false">IF(B621="","",IFERROR(INDEX('CARNET DE SOUDURE'!$E$7:$E$1506,MATCH(B621,'CARNET DE SOUDURE'!$K$7:$K$1506,0)),""))</f>
        <v/>
      </c>
      <c r="L621" s="78" t="str">
        <f aca="false">IF(B621="","",IFERROR(INDEX('CARNET DE SOUDURE'!$D$7:$D$1506,MATCH(B621,'CARNET DE SOUDURE'!$K$7:$K$1506,0)),IFERROR(INDEX('CARNET DE SOUDURE'!$D$7:$D$1506,MATCH(B621,'CARNET DE SOUDURE'!$M$7:$M$1506,0)),"")))</f>
        <v/>
      </c>
      <c r="M621" s="81" t="str">
        <f aca="false">IF(B621="","",IF(OR(J621&lt;&gt;"",K621&lt;&gt;""),"POSÉ EN LIGNE",IF(H621&lt;&gt;"","BARDÉ","EN STOCK")))</f>
        <v/>
      </c>
      <c r="N621" s="79"/>
    </row>
    <row r="622" customFormat="false" ht="15" hidden="false" customHeight="false" outlineLevel="0" collapsed="false">
      <c r="A622" s="78" t="str">
        <f aca="false">IF(B622="","",ROW()-6)</f>
        <v/>
      </c>
      <c r="B622" s="90"/>
      <c r="C622" s="91"/>
      <c r="D622" s="91"/>
      <c r="E622" s="80"/>
      <c r="F622" s="92"/>
      <c r="G622" s="79"/>
      <c r="H622" s="82"/>
      <c r="I622" s="93" t="str">
        <f aca="false">IF(B622="","",IFERROR(INDEX('CARNET DE SOUDURE'!$B$7:$B$1506,MATCH(B622,'CARNET DE SOUDURE'!$K$7:$K$1506,0)),IFERROR(INDEX('CARNET DE SOUDURE'!$B$7:$B$1506,MATCH(B622,'CARNET DE SOUDURE'!$M$7:$M$1506,0)),"")))</f>
        <v/>
      </c>
      <c r="J622" s="78" t="str">
        <f aca="false">IF(B622="","",IFERROR(INDEX('CARNET DE SOUDURE'!$E$7:$E$1506,MATCH(B622,'CARNET DE SOUDURE'!$M$7:$M$1506,0)),""))</f>
        <v/>
      </c>
      <c r="K622" s="78" t="str">
        <f aca="false">IF(B622="","",IFERROR(INDEX('CARNET DE SOUDURE'!$E$7:$E$1506,MATCH(B622,'CARNET DE SOUDURE'!$K$7:$K$1506,0)),""))</f>
        <v/>
      </c>
      <c r="L622" s="78" t="str">
        <f aca="false">IF(B622="","",IFERROR(INDEX('CARNET DE SOUDURE'!$D$7:$D$1506,MATCH(B622,'CARNET DE SOUDURE'!$K$7:$K$1506,0)),IFERROR(INDEX('CARNET DE SOUDURE'!$D$7:$D$1506,MATCH(B622,'CARNET DE SOUDURE'!$M$7:$M$1506,0)),"")))</f>
        <v/>
      </c>
      <c r="M622" s="81" t="str">
        <f aca="false">IF(B622="","",IF(OR(J622&lt;&gt;"",K622&lt;&gt;""),"POSÉ EN LIGNE",IF(H622&lt;&gt;"","BARDÉ","EN STOCK")))</f>
        <v/>
      </c>
      <c r="N622" s="79"/>
    </row>
    <row r="623" customFormat="false" ht="15" hidden="false" customHeight="false" outlineLevel="0" collapsed="false">
      <c r="A623" s="78" t="str">
        <f aca="false">IF(B623="","",ROW()-6)</f>
        <v/>
      </c>
      <c r="B623" s="90"/>
      <c r="C623" s="91"/>
      <c r="D623" s="91"/>
      <c r="E623" s="80"/>
      <c r="F623" s="92"/>
      <c r="G623" s="79"/>
      <c r="H623" s="82"/>
      <c r="I623" s="93" t="str">
        <f aca="false">IF(B623="","",IFERROR(INDEX('CARNET DE SOUDURE'!$B$7:$B$1506,MATCH(B623,'CARNET DE SOUDURE'!$K$7:$K$1506,0)),IFERROR(INDEX('CARNET DE SOUDURE'!$B$7:$B$1506,MATCH(B623,'CARNET DE SOUDURE'!$M$7:$M$1506,0)),"")))</f>
        <v/>
      </c>
      <c r="J623" s="78" t="str">
        <f aca="false">IF(B623="","",IFERROR(INDEX('CARNET DE SOUDURE'!$E$7:$E$1506,MATCH(B623,'CARNET DE SOUDURE'!$M$7:$M$1506,0)),""))</f>
        <v/>
      </c>
      <c r="K623" s="78" t="str">
        <f aca="false">IF(B623="","",IFERROR(INDEX('CARNET DE SOUDURE'!$E$7:$E$1506,MATCH(B623,'CARNET DE SOUDURE'!$K$7:$K$1506,0)),""))</f>
        <v/>
      </c>
      <c r="L623" s="78" t="str">
        <f aca="false">IF(B623="","",IFERROR(INDEX('CARNET DE SOUDURE'!$D$7:$D$1506,MATCH(B623,'CARNET DE SOUDURE'!$K$7:$K$1506,0)),IFERROR(INDEX('CARNET DE SOUDURE'!$D$7:$D$1506,MATCH(B623,'CARNET DE SOUDURE'!$M$7:$M$1506,0)),"")))</f>
        <v/>
      </c>
      <c r="M623" s="81" t="str">
        <f aca="false">IF(B623="","",IF(OR(J623&lt;&gt;"",K623&lt;&gt;""),"POSÉ EN LIGNE",IF(H623&lt;&gt;"","BARDÉ","EN STOCK")))</f>
        <v/>
      </c>
      <c r="N623" s="79"/>
    </row>
    <row r="624" customFormat="false" ht="15" hidden="false" customHeight="false" outlineLevel="0" collapsed="false">
      <c r="A624" s="78" t="str">
        <f aca="false">IF(B624="","",ROW()-6)</f>
        <v/>
      </c>
      <c r="B624" s="90"/>
      <c r="C624" s="91"/>
      <c r="D624" s="91"/>
      <c r="E624" s="80"/>
      <c r="F624" s="92"/>
      <c r="G624" s="79"/>
      <c r="H624" s="82"/>
      <c r="I624" s="93" t="str">
        <f aca="false">IF(B624="","",IFERROR(INDEX('CARNET DE SOUDURE'!$B$7:$B$1506,MATCH(B624,'CARNET DE SOUDURE'!$K$7:$K$1506,0)),IFERROR(INDEX('CARNET DE SOUDURE'!$B$7:$B$1506,MATCH(B624,'CARNET DE SOUDURE'!$M$7:$M$1506,0)),"")))</f>
        <v/>
      </c>
      <c r="J624" s="78" t="str">
        <f aca="false">IF(B624="","",IFERROR(INDEX('CARNET DE SOUDURE'!$E$7:$E$1506,MATCH(B624,'CARNET DE SOUDURE'!$M$7:$M$1506,0)),""))</f>
        <v/>
      </c>
      <c r="K624" s="78" t="str">
        <f aca="false">IF(B624="","",IFERROR(INDEX('CARNET DE SOUDURE'!$E$7:$E$1506,MATCH(B624,'CARNET DE SOUDURE'!$K$7:$K$1506,0)),""))</f>
        <v/>
      </c>
      <c r="L624" s="78" t="str">
        <f aca="false">IF(B624="","",IFERROR(INDEX('CARNET DE SOUDURE'!$D$7:$D$1506,MATCH(B624,'CARNET DE SOUDURE'!$K$7:$K$1506,0)),IFERROR(INDEX('CARNET DE SOUDURE'!$D$7:$D$1506,MATCH(B624,'CARNET DE SOUDURE'!$M$7:$M$1506,0)),"")))</f>
        <v/>
      </c>
      <c r="M624" s="81" t="str">
        <f aca="false">IF(B624="","",IF(OR(J624&lt;&gt;"",K624&lt;&gt;""),"POSÉ EN LIGNE",IF(H624&lt;&gt;"","BARDÉ","EN STOCK")))</f>
        <v/>
      </c>
      <c r="N624" s="79"/>
    </row>
    <row r="625" customFormat="false" ht="15" hidden="false" customHeight="false" outlineLevel="0" collapsed="false">
      <c r="A625" s="78" t="str">
        <f aca="false">IF(B625="","",ROW()-6)</f>
        <v/>
      </c>
      <c r="B625" s="90"/>
      <c r="C625" s="91"/>
      <c r="D625" s="91"/>
      <c r="E625" s="80"/>
      <c r="F625" s="92"/>
      <c r="G625" s="79"/>
      <c r="H625" s="82"/>
      <c r="I625" s="93" t="str">
        <f aca="false">IF(B625="","",IFERROR(INDEX('CARNET DE SOUDURE'!$B$7:$B$1506,MATCH(B625,'CARNET DE SOUDURE'!$K$7:$K$1506,0)),IFERROR(INDEX('CARNET DE SOUDURE'!$B$7:$B$1506,MATCH(B625,'CARNET DE SOUDURE'!$M$7:$M$1506,0)),"")))</f>
        <v/>
      </c>
      <c r="J625" s="78" t="str">
        <f aca="false">IF(B625="","",IFERROR(INDEX('CARNET DE SOUDURE'!$E$7:$E$1506,MATCH(B625,'CARNET DE SOUDURE'!$M$7:$M$1506,0)),""))</f>
        <v/>
      </c>
      <c r="K625" s="78" t="str">
        <f aca="false">IF(B625="","",IFERROR(INDEX('CARNET DE SOUDURE'!$E$7:$E$1506,MATCH(B625,'CARNET DE SOUDURE'!$K$7:$K$1506,0)),""))</f>
        <v/>
      </c>
      <c r="L625" s="78" t="str">
        <f aca="false">IF(B625="","",IFERROR(INDEX('CARNET DE SOUDURE'!$D$7:$D$1506,MATCH(B625,'CARNET DE SOUDURE'!$K$7:$K$1506,0)),IFERROR(INDEX('CARNET DE SOUDURE'!$D$7:$D$1506,MATCH(B625,'CARNET DE SOUDURE'!$M$7:$M$1506,0)),"")))</f>
        <v/>
      </c>
      <c r="M625" s="81" t="str">
        <f aca="false">IF(B625="","",IF(OR(J625&lt;&gt;"",K625&lt;&gt;""),"POSÉ EN LIGNE",IF(H625&lt;&gt;"","BARDÉ","EN STOCK")))</f>
        <v/>
      </c>
      <c r="N625" s="79"/>
    </row>
    <row r="626" customFormat="false" ht="15" hidden="false" customHeight="false" outlineLevel="0" collapsed="false">
      <c r="A626" s="78" t="str">
        <f aca="false">IF(B626="","",ROW()-6)</f>
        <v/>
      </c>
      <c r="B626" s="90"/>
      <c r="C626" s="91"/>
      <c r="D626" s="91"/>
      <c r="E626" s="80"/>
      <c r="F626" s="92"/>
      <c r="G626" s="79"/>
      <c r="H626" s="82"/>
      <c r="I626" s="93" t="str">
        <f aca="false">IF(B626="","",IFERROR(INDEX('CARNET DE SOUDURE'!$B$7:$B$1506,MATCH(B626,'CARNET DE SOUDURE'!$K$7:$K$1506,0)),IFERROR(INDEX('CARNET DE SOUDURE'!$B$7:$B$1506,MATCH(B626,'CARNET DE SOUDURE'!$M$7:$M$1506,0)),"")))</f>
        <v/>
      </c>
      <c r="J626" s="78" t="str">
        <f aca="false">IF(B626="","",IFERROR(INDEX('CARNET DE SOUDURE'!$E$7:$E$1506,MATCH(B626,'CARNET DE SOUDURE'!$M$7:$M$1506,0)),""))</f>
        <v/>
      </c>
      <c r="K626" s="78" t="str">
        <f aca="false">IF(B626="","",IFERROR(INDEX('CARNET DE SOUDURE'!$E$7:$E$1506,MATCH(B626,'CARNET DE SOUDURE'!$K$7:$K$1506,0)),""))</f>
        <v/>
      </c>
      <c r="L626" s="78" t="str">
        <f aca="false">IF(B626="","",IFERROR(INDEX('CARNET DE SOUDURE'!$D$7:$D$1506,MATCH(B626,'CARNET DE SOUDURE'!$K$7:$K$1506,0)),IFERROR(INDEX('CARNET DE SOUDURE'!$D$7:$D$1506,MATCH(B626,'CARNET DE SOUDURE'!$M$7:$M$1506,0)),"")))</f>
        <v/>
      </c>
      <c r="M626" s="81" t="str">
        <f aca="false">IF(B626="","",IF(OR(J626&lt;&gt;"",K626&lt;&gt;""),"POSÉ EN LIGNE",IF(H626&lt;&gt;"","BARDÉ","EN STOCK")))</f>
        <v/>
      </c>
      <c r="N626" s="79"/>
    </row>
    <row r="627" customFormat="false" ht="15" hidden="false" customHeight="false" outlineLevel="0" collapsed="false">
      <c r="A627" s="78" t="str">
        <f aca="false">IF(B627="","",ROW()-6)</f>
        <v/>
      </c>
      <c r="B627" s="90"/>
      <c r="C627" s="91"/>
      <c r="D627" s="91"/>
      <c r="E627" s="80"/>
      <c r="F627" s="92"/>
      <c r="G627" s="79"/>
      <c r="H627" s="82"/>
      <c r="I627" s="93" t="str">
        <f aca="false">IF(B627="","",IFERROR(INDEX('CARNET DE SOUDURE'!$B$7:$B$1506,MATCH(B627,'CARNET DE SOUDURE'!$K$7:$K$1506,0)),IFERROR(INDEX('CARNET DE SOUDURE'!$B$7:$B$1506,MATCH(B627,'CARNET DE SOUDURE'!$M$7:$M$1506,0)),"")))</f>
        <v/>
      </c>
      <c r="J627" s="78" t="str">
        <f aca="false">IF(B627="","",IFERROR(INDEX('CARNET DE SOUDURE'!$E$7:$E$1506,MATCH(B627,'CARNET DE SOUDURE'!$M$7:$M$1506,0)),""))</f>
        <v/>
      </c>
      <c r="K627" s="78" t="str">
        <f aca="false">IF(B627="","",IFERROR(INDEX('CARNET DE SOUDURE'!$E$7:$E$1506,MATCH(B627,'CARNET DE SOUDURE'!$K$7:$K$1506,0)),""))</f>
        <v/>
      </c>
      <c r="L627" s="78" t="str">
        <f aca="false">IF(B627="","",IFERROR(INDEX('CARNET DE SOUDURE'!$D$7:$D$1506,MATCH(B627,'CARNET DE SOUDURE'!$K$7:$K$1506,0)),IFERROR(INDEX('CARNET DE SOUDURE'!$D$7:$D$1506,MATCH(B627,'CARNET DE SOUDURE'!$M$7:$M$1506,0)),"")))</f>
        <v/>
      </c>
      <c r="M627" s="81" t="str">
        <f aca="false">IF(B627="","",IF(OR(J627&lt;&gt;"",K627&lt;&gt;""),"POSÉ EN LIGNE",IF(H627&lt;&gt;"","BARDÉ","EN STOCK")))</f>
        <v/>
      </c>
      <c r="N627" s="79"/>
    </row>
    <row r="628" customFormat="false" ht="15" hidden="false" customHeight="false" outlineLevel="0" collapsed="false">
      <c r="A628" s="78" t="str">
        <f aca="false">IF(B628="","",ROW()-6)</f>
        <v/>
      </c>
      <c r="B628" s="90"/>
      <c r="C628" s="91"/>
      <c r="D628" s="91"/>
      <c r="E628" s="80"/>
      <c r="F628" s="92"/>
      <c r="G628" s="79"/>
      <c r="H628" s="82"/>
      <c r="I628" s="93" t="str">
        <f aca="false">IF(B628="","",IFERROR(INDEX('CARNET DE SOUDURE'!$B$7:$B$1506,MATCH(B628,'CARNET DE SOUDURE'!$K$7:$K$1506,0)),IFERROR(INDEX('CARNET DE SOUDURE'!$B$7:$B$1506,MATCH(B628,'CARNET DE SOUDURE'!$M$7:$M$1506,0)),"")))</f>
        <v/>
      </c>
      <c r="J628" s="78" t="str">
        <f aca="false">IF(B628="","",IFERROR(INDEX('CARNET DE SOUDURE'!$E$7:$E$1506,MATCH(B628,'CARNET DE SOUDURE'!$M$7:$M$1506,0)),""))</f>
        <v/>
      </c>
      <c r="K628" s="78" t="str">
        <f aca="false">IF(B628="","",IFERROR(INDEX('CARNET DE SOUDURE'!$E$7:$E$1506,MATCH(B628,'CARNET DE SOUDURE'!$K$7:$K$1506,0)),""))</f>
        <v/>
      </c>
      <c r="L628" s="78" t="str">
        <f aca="false">IF(B628="","",IFERROR(INDEX('CARNET DE SOUDURE'!$D$7:$D$1506,MATCH(B628,'CARNET DE SOUDURE'!$K$7:$K$1506,0)),IFERROR(INDEX('CARNET DE SOUDURE'!$D$7:$D$1506,MATCH(B628,'CARNET DE SOUDURE'!$M$7:$M$1506,0)),"")))</f>
        <v/>
      </c>
      <c r="M628" s="81" t="str">
        <f aca="false">IF(B628="","",IF(OR(J628&lt;&gt;"",K628&lt;&gt;""),"POSÉ EN LIGNE",IF(H628&lt;&gt;"","BARDÉ","EN STOCK")))</f>
        <v/>
      </c>
      <c r="N628" s="79"/>
    </row>
    <row r="629" customFormat="false" ht="15" hidden="false" customHeight="false" outlineLevel="0" collapsed="false">
      <c r="A629" s="78" t="str">
        <f aca="false">IF(B629="","",ROW()-6)</f>
        <v/>
      </c>
      <c r="B629" s="90"/>
      <c r="C629" s="91"/>
      <c r="D629" s="91"/>
      <c r="E629" s="80"/>
      <c r="F629" s="92"/>
      <c r="G629" s="79"/>
      <c r="H629" s="82"/>
      <c r="I629" s="93" t="str">
        <f aca="false">IF(B629="","",IFERROR(INDEX('CARNET DE SOUDURE'!$B$7:$B$1506,MATCH(B629,'CARNET DE SOUDURE'!$K$7:$K$1506,0)),IFERROR(INDEX('CARNET DE SOUDURE'!$B$7:$B$1506,MATCH(B629,'CARNET DE SOUDURE'!$M$7:$M$1506,0)),"")))</f>
        <v/>
      </c>
      <c r="J629" s="78" t="str">
        <f aca="false">IF(B629="","",IFERROR(INDEX('CARNET DE SOUDURE'!$E$7:$E$1506,MATCH(B629,'CARNET DE SOUDURE'!$M$7:$M$1506,0)),""))</f>
        <v/>
      </c>
      <c r="K629" s="78" t="str">
        <f aca="false">IF(B629="","",IFERROR(INDEX('CARNET DE SOUDURE'!$E$7:$E$1506,MATCH(B629,'CARNET DE SOUDURE'!$K$7:$K$1506,0)),""))</f>
        <v/>
      </c>
      <c r="L629" s="78" t="str">
        <f aca="false">IF(B629="","",IFERROR(INDEX('CARNET DE SOUDURE'!$D$7:$D$1506,MATCH(B629,'CARNET DE SOUDURE'!$K$7:$K$1506,0)),IFERROR(INDEX('CARNET DE SOUDURE'!$D$7:$D$1506,MATCH(B629,'CARNET DE SOUDURE'!$M$7:$M$1506,0)),"")))</f>
        <v/>
      </c>
      <c r="M629" s="81" t="str">
        <f aca="false">IF(B629="","",IF(OR(J629&lt;&gt;"",K629&lt;&gt;""),"POSÉ EN LIGNE",IF(H629&lt;&gt;"","BARDÉ","EN STOCK")))</f>
        <v/>
      </c>
      <c r="N629" s="79"/>
    </row>
    <row r="630" customFormat="false" ht="15" hidden="false" customHeight="false" outlineLevel="0" collapsed="false">
      <c r="A630" s="78" t="str">
        <f aca="false">IF(B630="","",ROW()-6)</f>
        <v/>
      </c>
      <c r="B630" s="90"/>
      <c r="C630" s="91"/>
      <c r="D630" s="91"/>
      <c r="E630" s="80"/>
      <c r="F630" s="92"/>
      <c r="G630" s="79"/>
      <c r="H630" s="82"/>
      <c r="I630" s="93" t="str">
        <f aca="false">IF(B630="","",IFERROR(INDEX('CARNET DE SOUDURE'!$B$7:$B$1506,MATCH(B630,'CARNET DE SOUDURE'!$K$7:$K$1506,0)),IFERROR(INDEX('CARNET DE SOUDURE'!$B$7:$B$1506,MATCH(B630,'CARNET DE SOUDURE'!$M$7:$M$1506,0)),"")))</f>
        <v/>
      </c>
      <c r="J630" s="78" t="str">
        <f aca="false">IF(B630="","",IFERROR(INDEX('CARNET DE SOUDURE'!$E$7:$E$1506,MATCH(B630,'CARNET DE SOUDURE'!$M$7:$M$1506,0)),""))</f>
        <v/>
      </c>
      <c r="K630" s="78" t="str">
        <f aca="false">IF(B630="","",IFERROR(INDEX('CARNET DE SOUDURE'!$E$7:$E$1506,MATCH(B630,'CARNET DE SOUDURE'!$K$7:$K$1506,0)),""))</f>
        <v/>
      </c>
      <c r="L630" s="78" t="str">
        <f aca="false">IF(B630="","",IFERROR(INDEX('CARNET DE SOUDURE'!$D$7:$D$1506,MATCH(B630,'CARNET DE SOUDURE'!$K$7:$K$1506,0)),IFERROR(INDEX('CARNET DE SOUDURE'!$D$7:$D$1506,MATCH(B630,'CARNET DE SOUDURE'!$M$7:$M$1506,0)),"")))</f>
        <v/>
      </c>
      <c r="M630" s="81" t="str">
        <f aca="false">IF(B630="","",IF(OR(J630&lt;&gt;"",K630&lt;&gt;""),"POSÉ EN LIGNE",IF(H630&lt;&gt;"","BARDÉ","EN STOCK")))</f>
        <v/>
      </c>
      <c r="N630" s="79"/>
    </row>
    <row r="631" customFormat="false" ht="15" hidden="false" customHeight="false" outlineLevel="0" collapsed="false">
      <c r="A631" s="78" t="str">
        <f aca="false">IF(B631="","",ROW()-6)</f>
        <v/>
      </c>
      <c r="B631" s="90"/>
      <c r="C631" s="91"/>
      <c r="D631" s="91"/>
      <c r="E631" s="80"/>
      <c r="F631" s="92"/>
      <c r="G631" s="79"/>
      <c r="H631" s="82"/>
      <c r="I631" s="93" t="str">
        <f aca="false">IF(B631="","",IFERROR(INDEX('CARNET DE SOUDURE'!$B$7:$B$1506,MATCH(B631,'CARNET DE SOUDURE'!$K$7:$K$1506,0)),IFERROR(INDEX('CARNET DE SOUDURE'!$B$7:$B$1506,MATCH(B631,'CARNET DE SOUDURE'!$M$7:$M$1506,0)),"")))</f>
        <v/>
      </c>
      <c r="J631" s="78" t="str">
        <f aca="false">IF(B631="","",IFERROR(INDEX('CARNET DE SOUDURE'!$E$7:$E$1506,MATCH(B631,'CARNET DE SOUDURE'!$M$7:$M$1506,0)),""))</f>
        <v/>
      </c>
      <c r="K631" s="78" t="str">
        <f aca="false">IF(B631="","",IFERROR(INDEX('CARNET DE SOUDURE'!$E$7:$E$1506,MATCH(B631,'CARNET DE SOUDURE'!$K$7:$K$1506,0)),""))</f>
        <v/>
      </c>
      <c r="L631" s="78" t="str">
        <f aca="false">IF(B631="","",IFERROR(INDEX('CARNET DE SOUDURE'!$D$7:$D$1506,MATCH(B631,'CARNET DE SOUDURE'!$K$7:$K$1506,0)),IFERROR(INDEX('CARNET DE SOUDURE'!$D$7:$D$1506,MATCH(B631,'CARNET DE SOUDURE'!$M$7:$M$1506,0)),"")))</f>
        <v/>
      </c>
      <c r="M631" s="81" t="str">
        <f aca="false">IF(B631="","",IF(OR(J631&lt;&gt;"",K631&lt;&gt;""),"POSÉ EN LIGNE",IF(H631&lt;&gt;"","BARDÉ","EN STOCK")))</f>
        <v/>
      </c>
      <c r="N631" s="79"/>
    </row>
    <row r="632" customFormat="false" ht="15" hidden="false" customHeight="false" outlineLevel="0" collapsed="false">
      <c r="A632" s="78" t="str">
        <f aca="false">IF(B632="","",ROW()-6)</f>
        <v/>
      </c>
      <c r="B632" s="90"/>
      <c r="C632" s="91"/>
      <c r="D632" s="91"/>
      <c r="E632" s="80"/>
      <c r="F632" s="92"/>
      <c r="G632" s="79"/>
      <c r="H632" s="82"/>
      <c r="I632" s="93" t="str">
        <f aca="false">IF(B632="","",IFERROR(INDEX('CARNET DE SOUDURE'!$B$7:$B$1506,MATCH(B632,'CARNET DE SOUDURE'!$K$7:$K$1506,0)),IFERROR(INDEX('CARNET DE SOUDURE'!$B$7:$B$1506,MATCH(B632,'CARNET DE SOUDURE'!$M$7:$M$1506,0)),"")))</f>
        <v/>
      </c>
      <c r="J632" s="78" t="str">
        <f aca="false">IF(B632="","",IFERROR(INDEX('CARNET DE SOUDURE'!$E$7:$E$1506,MATCH(B632,'CARNET DE SOUDURE'!$M$7:$M$1506,0)),""))</f>
        <v/>
      </c>
      <c r="K632" s="78" t="str">
        <f aca="false">IF(B632="","",IFERROR(INDEX('CARNET DE SOUDURE'!$E$7:$E$1506,MATCH(B632,'CARNET DE SOUDURE'!$K$7:$K$1506,0)),""))</f>
        <v/>
      </c>
      <c r="L632" s="78" t="str">
        <f aca="false">IF(B632="","",IFERROR(INDEX('CARNET DE SOUDURE'!$D$7:$D$1506,MATCH(B632,'CARNET DE SOUDURE'!$K$7:$K$1506,0)),IFERROR(INDEX('CARNET DE SOUDURE'!$D$7:$D$1506,MATCH(B632,'CARNET DE SOUDURE'!$M$7:$M$1506,0)),"")))</f>
        <v/>
      </c>
      <c r="M632" s="81" t="str">
        <f aca="false">IF(B632="","",IF(OR(J632&lt;&gt;"",K632&lt;&gt;""),"POSÉ EN LIGNE",IF(H632&lt;&gt;"","BARDÉ","EN STOCK")))</f>
        <v/>
      </c>
      <c r="N632" s="79"/>
    </row>
    <row r="633" customFormat="false" ht="15" hidden="false" customHeight="false" outlineLevel="0" collapsed="false">
      <c r="A633" s="78" t="str">
        <f aca="false">IF(B633="","",ROW()-6)</f>
        <v/>
      </c>
      <c r="B633" s="90"/>
      <c r="C633" s="91"/>
      <c r="D633" s="91"/>
      <c r="E633" s="80"/>
      <c r="F633" s="92"/>
      <c r="G633" s="79"/>
      <c r="H633" s="82"/>
      <c r="I633" s="93" t="str">
        <f aca="false">IF(B633="","",IFERROR(INDEX('CARNET DE SOUDURE'!$B$7:$B$1506,MATCH(B633,'CARNET DE SOUDURE'!$K$7:$K$1506,0)),IFERROR(INDEX('CARNET DE SOUDURE'!$B$7:$B$1506,MATCH(B633,'CARNET DE SOUDURE'!$M$7:$M$1506,0)),"")))</f>
        <v/>
      </c>
      <c r="J633" s="78" t="str">
        <f aca="false">IF(B633="","",IFERROR(INDEX('CARNET DE SOUDURE'!$E$7:$E$1506,MATCH(B633,'CARNET DE SOUDURE'!$M$7:$M$1506,0)),""))</f>
        <v/>
      </c>
      <c r="K633" s="78" t="str">
        <f aca="false">IF(B633="","",IFERROR(INDEX('CARNET DE SOUDURE'!$E$7:$E$1506,MATCH(B633,'CARNET DE SOUDURE'!$K$7:$K$1506,0)),""))</f>
        <v/>
      </c>
      <c r="L633" s="78" t="str">
        <f aca="false">IF(B633="","",IFERROR(INDEX('CARNET DE SOUDURE'!$D$7:$D$1506,MATCH(B633,'CARNET DE SOUDURE'!$K$7:$K$1506,0)),IFERROR(INDEX('CARNET DE SOUDURE'!$D$7:$D$1506,MATCH(B633,'CARNET DE SOUDURE'!$M$7:$M$1506,0)),"")))</f>
        <v/>
      </c>
      <c r="M633" s="81" t="str">
        <f aca="false">IF(B633="","",IF(OR(J633&lt;&gt;"",K633&lt;&gt;""),"POSÉ EN LIGNE",IF(H633&lt;&gt;"","BARDÉ","EN STOCK")))</f>
        <v/>
      </c>
      <c r="N633" s="79"/>
    </row>
    <row r="634" customFormat="false" ht="15" hidden="false" customHeight="false" outlineLevel="0" collapsed="false">
      <c r="A634" s="78" t="str">
        <f aca="false">IF(B634="","",ROW()-6)</f>
        <v/>
      </c>
      <c r="B634" s="90"/>
      <c r="C634" s="91"/>
      <c r="D634" s="91"/>
      <c r="E634" s="80"/>
      <c r="F634" s="92"/>
      <c r="G634" s="79"/>
      <c r="H634" s="82"/>
      <c r="I634" s="93" t="str">
        <f aca="false">IF(B634="","",IFERROR(INDEX('CARNET DE SOUDURE'!$B$7:$B$1506,MATCH(B634,'CARNET DE SOUDURE'!$K$7:$K$1506,0)),IFERROR(INDEX('CARNET DE SOUDURE'!$B$7:$B$1506,MATCH(B634,'CARNET DE SOUDURE'!$M$7:$M$1506,0)),"")))</f>
        <v/>
      </c>
      <c r="J634" s="78" t="str">
        <f aca="false">IF(B634="","",IFERROR(INDEX('CARNET DE SOUDURE'!$E$7:$E$1506,MATCH(B634,'CARNET DE SOUDURE'!$M$7:$M$1506,0)),""))</f>
        <v/>
      </c>
      <c r="K634" s="78" t="str">
        <f aca="false">IF(B634="","",IFERROR(INDEX('CARNET DE SOUDURE'!$E$7:$E$1506,MATCH(B634,'CARNET DE SOUDURE'!$K$7:$K$1506,0)),""))</f>
        <v/>
      </c>
      <c r="L634" s="78" t="str">
        <f aca="false">IF(B634="","",IFERROR(INDEX('CARNET DE SOUDURE'!$D$7:$D$1506,MATCH(B634,'CARNET DE SOUDURE'!$K$7:$K$1506,0)),IFERROR(INDEX('CARNET DE SOUDURE'!$D$7:$D$1506,MATCH(B634,'CARNET DE SOUDURE'!$M$7:$M$1506,0)),"")))</f>
        <v/>
      </c>
      <c r="M634" s="81" t="str">
        <f aca="false">IF(B634="","",IF(OR(J634&lt;&gt;"",K634&lt;&gt;""),"POSÉ EN LIGNE",IF(H634&lt;&gt;"","BARDÉ","EN STOCK")))</f>
        <v/>
      </c>
      <c r="N634" s="79"/>
    </row>
    <row r="635" customFormat="false" ht="15" hidden="false" customHeight="false" outlineLevel="0" collapsed="false">
      <c r="A635" s="78" t="str">
        <f aca="false">IF(B635="","",ROW()-6)</f>
        <v/>
      </c>
      <c r="B635" s="90"/>
      <c r="C635" s="91"/>
      <c r="D635" s="91"/>
      <c r="E635" s="80"/>
      <c r="F635" s="92"/>
      <c r="G635" s="79"/>
      <c r="H635" s="82"/>
      <c r="I635" s="93" t="str">
        <f aca="false">IF(B635="","",IFERROR(INDEX('CARNET DE SOUDURE'!$B$7:$B$1506,MATCH(B635,'CARNET DE SOUDURE'!$K$7:$K$1506,0)),IFERROR(INDEX('CARNET DE SOUDURE'!$B$7:$B$1506,MATCH(B635,'CARNET DE SOUDURE'!$M$7:$M$1506,0)),"")))</f>
        <v/>
      </c>
      <c r="J635" s="78" t="str">
        <f aca="false">IF(B635="","",IFERROR(INDEX('CARNET DE SOUDURE'!$E$7:$E$1506,MATCH(B635,'CARNET DE SOUDURE'!$M$7:$M$1506,0)),""))</f>
        <v/>
      </c>
      <c r="K635" s="78" t="str">
        <f aca="false">IF(B635="","",IFERROR(INDEX('CARNET DE SOUDURE'!$E$7:$E$1506,MATCH(B635,'CARNET DE SOUDURE'!$K$7:$K$1506,0)),""))</f>
        <v/>
      </c>
      <c r="L635" s="78" t="str">
        <f aca="false">IF(B635="","",IFERROR(INDEX('CARNET DE SOUDURE'!$D$7:$D$1506,MATCH(B635,'CARNET DE SOUDURE'!$K$7:$K$1506,0)),IFERROR(INDEX('CARNET DE SOUDURE'!$D$7:$D$1506,MATCH(B635,'CARNET DE SOUDURE'!$M$7:$M$1506,0)),"")))</f>
        <v/>
      </c>
      <c r="M635" s="81" t="str">
        <f aca="false">IF(B635="","",IF(OR(J635&lt;&gt;"",K635&lt;&gt;""),"POSÉ EN LIGNE",IF(H635&lt;&gt;"","BARDÉ","EN STOCK")))</f>
        <v/>
      </c>
      <c r="N635" s="79"/>
    </row>
    <row r="636" customFormat="false" ht="15" hidden="false" customHeight="false" outlineLevel="0" collapsed="false">
      <c r="A636" s="78" t="str">
        <f aca="false">IF(B636="","",ROW()-6)</f>
        <v/>
      </c>
      <c r="B636" s="90"/>
      <c r="C636" s="91"/>
      <c r="D636" s="91"/>
      <c r="E636" s="80"/>
      <c r="F636" s="92"/>
      <c r="G636" s="79"/>
      <c r="H636" s="82"/>
      <c r="I636" s="93" t="str">
        <f aca="false">IF(B636="","",IFERROR(INDEX('CARNET DE SOUDURE'!$B$7:$B$1506,MATCH(B636,'CARNET DE SOUDURE'!$K$7:$K$1506,0)),IFERROR(INDEX('CARNET DE SOUDURE'!$B$7:$B$1506,MATCH(B636,'CARNET DE SOUDURE'!$M$7:$M$1506,0)),"")))</f>
        <v/>
      </c>
      <c r="J636" s="78" t="str">
        <f aca="false">IF(B636="","",IFERROR(INDEX('CARNET DE SOUDURE'!$E$7:$E$1506,MATCH(B636,'CARNET DE SOUDURE'!$M$7:$M$1506,0)),""))</f>
        <v/>
      </c>
      <c r="K636" s="78" t="str">
        <f aca="false">IF(B636="","",IFERROR(INDEX('CARNET DE SOUDURE'!$E$7:$E$1506,MATCH(B636,'CARNET DE SOUDURE'!$K$7:$K$1506,0)),""))</f>
        <v/>
      </c>
      <c r="L636" s="78" t="str">
        <f aca="false">IF(B636="","",IFERROR(INDEX('CARNET DE SOUDURE'!$D$7:$D$1506,MATCH(B636,'CARNET DE SOUDURE'!$K$7:$K$1506,0)),IFERROR(INDEX('CARNET DE SOUDURE'!$D$7:$D$1506,MATCH(B636,'CARNET DE SOUDURE'!$M$7:$M$1506,0)),"")))</f>
        <v/>
      </c>
      <c r="M636" s="81" t="str">
        <f aca="false">IF(B636="","",IF(OR(J636&lt;&gt;"",K636&lt;&gt;""),"POSÉ EN LIGNE",IF(H636&lt;&gt;"","BARDÉ","EN STOCK")))</f>
        <v/>
      </c>
      <c r="N636" s="79"/>
    </row>
    <row r="637" customFormat="false" ht="15" hidden="false" customHeight="false" outlineLevel="0" collapsed="false">
      <c r="A637" s="78" t="str">
        <f aca="false">IF(B637="","",ROW()-6)</f>
        <v/>
      </c>
      <c r="B637" s="90"/>
      <c r="C637" s="91"/>
      <c r="D637" s="91"/>
      <c r="E637" s="80"/>
      <c r="F637" s="92"/>
      <c r="G637" s="79"/>
      <c r="H637" s="82"/>
      <c r="I637" s="93" t="str">
        <f aca="false">IF(B637="","",IFERROR(INDEX('CARNET DE SOUDURE'!$B$7:$B$1506,MATCH(B637,'CARNET DE SOUDURE'!$K$7:$K$1506,0)),IFERROR(INDEX('CARNET DE SOUDURE'!$B$7:$B$1506,MATCH(B637,'CARNET DE SOUDURE'!$M$7:$M$1506,0)),"")))</f>
        <v/>
      </c>
      <c r="J637" s="78" t="str">
        <f aca="false">IF(B637="","",IFERROR(INDEX('CARNET DE SOUDURE'!$E$7:$E$1506,MATCH(B637,'CARNET DE SOUDURE'!$M$7:$M$1506,0)),""))</f>
        <v/>
      </c>
      <c r="K637" s="78" t="str">
        <f aca="false">IF(B637="","",IFERROR(INDEX('CARNET DE SOUDURE'!$E$7:$E$1506,MATCH(B637,'CARNET DE SOUDURE'!$K$7:$K$1506,0)),""))</f>
        <v/>
      </c>
      <c r="L637" s="78" t="str">
        <f aca="false">IF(B637="","",IFERROR(INDEX('CARNET DE SOUDURE'!$D$7:$D$1506,MATCH(B637,'CARNET DE SOUDURE'!$K$7:$K$1506,0)),IFERROR(INDEX('CARNET DE SOUDURE'!$D$7:$D$1506,MATCH(B637,'CARNET DE SOUDURE'!$M$7:$M$1506,0)),"")))</f>
        <v/>
      </c>
      <c r="M637" s="81" t="str">
        <f aca="false">IF(B637="","",IF(OR(J637&lt;&gt;"",K637&lt;&gt;""),"POSÉ EN LIGNE",IF(H637&lt;&gt;"","BARDÉ","EN STOCK")))</f>
        <v/>
      </c>
      <c r="N637" s="79"/>
    </row>
    <row r="638" customFormat="false" ht="15" hidden="false" customHeight="false" outlineLevel="0" collapsed="false">
      <c r="A638" s="78" t="str">
        <f aca="false">IF(B638="","",ROW()-6)</f>
        <v/>
      </c>
      <c r="B638" s="90"/>
      <c r="C638" s="91"/>
      <c r="D638" s="91"/>
      <c r="E638" s="80"/>
      <c r="F638" s="92"/>
      <c r="G638" s="79"/>
      <c r="H638" s="82"/>
      <c r="I638" s="93" t="str">
        <f aca="false">IF(B638="","",IFERROR(INDEX('CARNET DE SOUDURE'!$B$7:$B$1506,MATCH(B638,'CARNET DE SOUDURE'!$K$7:$K$1506,0)),IFERROR(INDEX('CARNET DE SOUDURE'!$B$7:$B$1506,MATCH(B638,'CARNET DE SOUDURE'!$M$7:$M$1506,0)),"")))</f>
        <v/>
      </c>
      <c r="J638" s="78" t="str">
        <f aca="false">IF(B638="","",IFERROR(INDEX('CARNET DE SOUDURE'!$E$7:$E$1506,MATCH(B638,'CARNET DE SOUDURE'!$M$7:$M$1506,0)),""))</f>
        <v/>
      </c>
      <c r="K638" s="78" t="str">
        <f aca="false">IF(B638="","",IFERROR(INDEX('CARNET DE SOUDURE'!$E$7:$E$1506,MATCH(B638,'CARNET DE SOUDURE'!$K$7:$K$1506,0)),""))</f>
        <v/>
      </c>
      <c r="L638" s="78" t="str">
        <f aca="false">IF(B638="","",IFERROR(INDEX('CARNET DE SOUDURE'!$D$7:$D$1506,MATCH(B638,'CARNET DE SOUDURE'!$K$7:$K$1506,0)),IFERROR(INDEX('CARNET DE SOUDURE'!$D$7:$D$1506,MATCH(B638,'CARNET DE SOUDURE'!$M$7:$M$1506,0)),"")))</f>
        <v/>
      </c>
      <c r="M638" s="81" t="str">
        <f aca="false">IF(B638="","",IF(OR(J638&lt;&gt;"",K638&lt;&gt;""),"POSÉ EN LIGNE",IF(H638&lt;&gt;"","BARDÉ","EN STOCK")))</f>
        <v/>
      </c>
      <c r="N638" s="79"/>
    </row>
    <row r="639" customFormat="false" ht="15" hidden="false" customHeight="false" outlineLevel="0" collapsed="false">
      <c r="A639" s="78" t="str">
        <f aca="false">IF(B639="","",ROW()-6)</f>
        <v/>
      </c>
      <c r="B639" s="90"/>
      <c r="C639" s="91"/>
      <c r="D639" s="91"/>
      <c r="E639" s="80"/>
      <c r="F639" s="92"/>
      <c r="G639" s="79"/>
      <c r="H639" s="82"/>
      <c r="I639" s="93" t="str">
        <f aca="false">IF(B639="","",IFERROR(INDEX('CARNET DE SOUDURE'!$B$7:$B$1506,MATCH(B639,'CARNET DE SOUDURE'!$K$7:$K$1506,0)),IFERROR(INDEX('CARNET DE SOUDURE'!$B$7:$B$1506,MATCH(B639,'CARNET DE SOUDURE'!$M$7:$M$1506,0)),"")))</f>
        <v/>
      </c>
      <c r="J639" s="78" t="str">
        <f aca="false">IF(B639="","",IFERROR(INDEX('CARNET DE SOUDURE'!$E$7:$E$1506,MATCH(B639,'CARNET DE SOUDURE'!$M$7:$M$1506,0)),""))</f>
        <v/>
      </c>
      <c r="K639" s="78" t="str">
        <f aca="false">IF(B639="","",IFERROR(INDEX('CARNET DE SOUDURE'!$E$7:$E$1506,MATCH(B639,'CARNET DE SOUDURE'!$K$7:$K$1506,0)),""))</f>
        <v/>
      </c>
      <c r="L639" s="78" t="str">
        <f aca="false">IF(B639="","",IFERROR(INDEX('CARNET DE SOUDURE'!$D$7:$D$1506,MATCH(B639,'CARNET DE SOUDURE'!$K$7:$K$1506,0)),IFERROR(INDEX('CARNET DE SOUDURE'!$D$7:$D$1506,MATCH(B639,'CARNET DE SOUDURE'!$M$7:$M$1506,0)),"")))</f>
        <v/>
      </c>
      <c r="M639" s="81" t="str">
        <f aca="false">IF(B639="","",IF(OR(J639&lt;&gt;"",K639&lt;&gt;""),"POSÉ EN LIGNE",IF(H639&lt;&gt;"","BARDÉ","EN STOCK")))</f>
        <v/>
      </c>
      <c r="N639" s="79"/>
    </row>
    <row r="640" customFormat="false" ht="15" hidden="false" customHeight="false" outlineLevel="0" collapsed="false">
      <c r="A640" s="78" t="str">
        <f aca="false">IF(B640="","",ROW()-6)</f>
        <v/>
      </c>
      <c r="B640" s="90"/>
      <c r="C640" s="91"/>
      <c r="D640" s="91"/>
      <c r="E640" s="80"/>
      <c r="F640" s="92"/>
      <c r="G640" s="79"/>
      <c r="H640" s="82"/>
      <c r="I640" s="93" t="str">
        <f aca="false">IF(B640="","",IFERROR(INDEX('CARNET DE SOUDURE'!$B$7:$B$1506,MATCH(B640,'CARNET DE SOUDURE'!$K$7:$K$1506,0)),IFERROR(INDEX('CARNET DE SOUDURE'!$B$7:$B$1506,MATCH(B640,'CARNET DE SOUDURE'!$M$7:$M$1506,0)),"")))</f>
        <v/>
      </c>
      <c r="J640" s="78" t="str">
        <f aca="false">IF(B640="","",IFERROR(INDEX('CARNET DE SOUDURE'!$E$7:$E$1506,MATCH(B640,'CARNET DE SOUDURE'!$M$7:$M$1506,0)),""))</f>
        <v/>
      </c>
      <c r="K640" s="78" t="str">
        <f aca="false">IF(B640="","",IFERROR(INDEX('CARNET DE SOUDURE'!$E$7:$E$1506,MATCH(B640,'CARNET DE SOUDURE'!$K$7:$K$1506,0)),""))</f>
        <v/>
      </c>
      <c r="L640" s="78" t="str">
        <f aca="false">IF(B640="","",IFERROR(INDEX('CARNET DE SOUDURE'!$D$7:$D$1506,MATCH(B640,'CARNET DE SOUDURE'!$K$7:$K$1506,0)),IFERROR(INDEX('CARNET DE SOUDURE'!$D$7:$D$1506,MATCH(B640,'CARNET DE SOUDURE'!$M$7:$M$1506,0)),"")))</f>
        <v/>
      </c>
      <c r="M640" s="81" t="str">
        <f aca="false">IF(B640="","",IF(OR(J640&lt;&gt;"",K640&lt;&gt;""),"POSÉ EN LIGNE",IF(H640&lt;&gt;"","BARDÉ","EN STOCK")))</f>
        <v/>
      </c>
      <c r="N640" s="79"/>
    </row>
    <row r="641" customFormat="false" ht="15" hidden="false" customHeight="false" outlineLevel="0" collapsed="false">
      <c r="A641" s="78" t="str">
        <f aca="false">IF(B641="","",ROW()-6)</f>
        <v/>
      </c>
      <c r="B641" s="90"/>
      <c r="C641" s="91"/>
      <c r="D641" s="91"/>
      <c r="E641" s="80"/>
      <c r="F641" s="92"/>
      <c r="G641" s="79"/>
      <c r="H641" s="82"/>
      <c r="I641" s="93" t="str">
        <f aca="false">IF(B641="","",IFERROR(INDEX('CARNET DE SOUDURE'!$B$7:$B$1506,MATCH(B641,'CARNET DE SOUDURE'!$K$7:$K$1506,0)),IFERROR(INDEX('CARNET DE SOUDURE'!$B$7:$B$1506,MATCH(B641,'CARNET DE SOUDURE'!$M$7:$M$1506,0)),"")))</f>
        <v/>
      </c>
      <c r="J641" s="78" t="str">
        <f aca="false">IF(B641="","",IFERROR(INDEX('CARNET DE SOUDURE'!$E$7:$E$1506,MATCH(B641,'CARNET DE SOUDURE'!$M$7:$M$1506,0)),""))</f>
        <v/>
      </c>
      <c r="K641" s="78" t="str">
        <f aca="false">IF(B641="","",IFERROR(INDEX('CARNET DE SOUDURE'!$E$7:$E$1506,MATCH(B641,'CARNET DE SOUDURE'!$K$7:$K$1506,0)),""))</f>
        <v/>
      </c>
      <c r="L641" s="78" t="str">
        <f aca="false">IF(B641="","",IFERROR(INDEX('CARNET DE SOUDURE'!$D$7:$D$1506,MATCH(B641,'CARNET DE SOUDURE'!$K$7:$K$1506,0)),IFERROR(INDEX('CARNET DE SOUDURE'!$D$7:$D$1506,MATCH(B641,'CARNET DE SOUDURE'!$M$7:$M$1506,0)),"")))</f>
        <v/>
      </c>
      <c r="M641" s="81" t="str">
        <f aca="false">IF(B641="","",IF(OR(J641&lt;&gt;"",K641&lt;&gt;""),"POSÉ EN LIGNE",IF(H641&lt;&gt;"","BARDÉ","EN STOCK")))</f>
        <v/>
      </c>
      <c r="N641" s="79"/>
    </row>
    <row r="642" customFormat="false" ht="15" hidden="false" customHeight="false" outlineLevel="0" collapsed="false">
      <c r="A642" s="78" t="str">
        <f aca="false">IF(B642="","",ROW()-6)</f>
        <v/>
      </c>
      <c r="B642" s="90"/>
      <c r="C642" s="91"/>
      <c r="D642" s="91"/>
      <c r="E642" s="80"/>
      <c r="F642" s="92"/>
      <c r="G642" s="79"/>
      <c r="H642" s="82"/>
      <c r="I642" s="93" t="str">
        <f aca="false">IF(B642="","",IFERROR(INDEX('CARNET DE SOUDURE'!$B$7:$B$1506,MATCH(B642,'CARNET DE SOUDURE'!$K$7:$K$1506,0)),IFERROR(INDEX('CARNET DE SOUDURE'!$B$7:$B$1506,MATCH(B642,'CARNET DE SOUDURE'!$M$7:$M$1506,0)),"")))</f>
        <v/>
      </c>
      <c r="J642" s="78" t="str">
        <f aca="false">IF(B642="","",IFERROR(INDEX('CARNET DE SOUDURE'!$E$7:$E$1506,MATCH(B642,'CARNET DE SOUDURE'!$M$7:$M$1506,0)),""))</f>
        <v/>
      </c>
      <c r="K642" s="78" t="str">
        <f aca="false">IF(B642="","",IFERROR(INDEX('CARNET DE SOUDURE'!$E$7:$E$1506,MATCH(B642,'CARNET DE SOUDURE'!$K$7:$K$1506,0)),""))</f>
        <v/>
      </c>
      <c r="L642" s="78" t="str">
        <f aca="false">IF(B642="","",IFERROR(INDEX('CARNET DE SOUDURE'!$D$7:$D$1506,MATCH(B642,'CARNET DE SOUDURE'!$K$7:$K$1506,0)),IFERROR(INDEX('CARNET DE SOUDURE'!$D$7:$D$1506,MATCH(B642,'CARNET DE SOUDURE'!$M$7:$M$1506,0)),"")))</f>
        <v/>
      </c>
      <c r="M642" s="81" t="str">
        <f aca="false">IF(B642="","",IF(OR(J642&lt;&gt;"",K642&lt;&gt;""),"POSÉ EN LIGNE",IF(H642&lt;&gt;"","BARDÉ","EN STOCK")))</f>
        <v/>
      </c>
      <c r="N642" s="79"/>
    </row>
    <row r="643" customFormat="false" ht="15" hidden="false" customHeight="false" outlineLevel="0" collapsed="false">
      <c r="A643" s="78" t="str">
        <f aca="false">IF(B643="","",ROW()-6)</f>
        <v/>
      </c>
      <c r="B643" s="90"/>
      <c r="C643" s="91"/>
      <c r="D643" s="91"/>
      <c r="E643" s="80"/>
      <c r="F643" s="92"/>
      <c r="G643" s="79"/>
      <c r="H643" s="82"/>
      <c r="I643" s="93" t="str">
        <f aca="false">IF(B643="","",IFERROR(INDEX('CARNET DE SOUDURE'!$B$7:$B$1506,MATCH(B643,'CARNET DE SOUDURE'!$K$7:$K$1506,0)),IFERROR(INDEX('CARNET DE SOUDURE'!$B$7:$B$1506,MATCH(B643,'CARNET DE SOUDURE'!$M$7:$M$1506,0)),"")))</f>
        <v/>
      </c>
      <c r="J643" s="78" t="str">
        <f aca="false">IF(B643="","",IFERROR(INDEX('CARNET DE SOUDURE'!$E$7:$E$1506,MATCH(B643,'CARNET DE SOUDURE'!$M$7:$M$1506,0)),""))</f>
        <v/>
      </c>
      <c r="K643" s="78" t="str">
        <f aca="false">IF(B643="","",IFERROR(INDEX('CARNET DE SOUDURE'!$E$7:$E$1506,MATCH(B643,'CARNET DE SOUDURE'!$K$7:$K$1506,0)),""))</f>
        <v/>
      </c>
      <c r="L643" s="78" t="str">
        <f aca="false">IF(B643="","",IFERROR(INDEX('CARNET DE SOUDURE'!$D$7:$D$1506,MATCH(B643,'CARNET DE SOUDURE'!$K$7:$K$1506,0)),IFERROR(INDEX('CARNET DE SOUDURE'!$D$7:$D$1506,MATCH(B643,'CARNET DE SOUDURE'!$M$7:$M$1506,0)),"")))</f>
        <v/>
      </c>
      <c r="M643" s="81" t="str">
        <f aca="false">IF(B643="","",IF(OR(J643&lt;&gt;"",K643&lt;&gt;""),"POSÉ EN LIGNE",IF(H643&lt;&gt;"","BARDÉ","EN STOCK")))</f>
        <v/>
      </c>
      <c r="N643" s="79"/>
    </row>
    <row r="644" customFormat="false" ht="15" hidden="false" customHeight="false" outlineLevel="0" collapsed="false">
      <c r="A644" s="78" t="str">
        <f aca="false">IF(B644="","",ROW()-6)</f>
        <v/>
      </c>
      <c r="B644" s="90"/>
      <c r="C644" s="91"/>
      <c r="D644" s="91"/>
      <c r="E644" s="80"/>
      <c r="F644" s="92"/>
      <c r="G644" s="79"/>
      <c r="H644" s="82"/>
      <c r="I644" s="93" t="str">
        <f aca="false">IF(B644="","",IFERROR(INDEX('CARNET DE SOUDURE'!$B$7:$B$1506,MATCH(B644,'CARNET DE SOUDURE'!$K$7:$K$1506,0)),IFERROR(INDEX('CARNET DE SOUDURE'!$B$7:$B$1506,MATCH(B644,'CARNET DE SOUDURE'!$M$7:$M$1506,0)),"")))</f>
        <v/>
      </c>
      <c r="J644" s="78" t="str">
        <f aca="false">IF(B644="","",IFERROR(INDEX('CARNET DE SOUDURE'!$E$7:$E$1506,MATCH(B644,'CARNET DE SOUDURE'!$M$7:$M$1506,0)),""))</f>
        <v/>
      </c>
      <c r="K644" s="78" t="str">
        <f aca="false">IF(B644="","",IFERROR(INDEX('CARNET DE SOUDURE'!$E$7:$E$1506,MATCH(B644,'CARNET DE SOUDURE'!$K$7:$K$1506,0)),""))</f>
        <v/>
      </c>
      <c r="L644" s="78" t="str">
        <f aca="false">IF(B644="","",IFERROR(INDEX('CARNET DE SOUDURE'!$D$7:$D$1506,MATCH(B644,'CARNET DE SOUDURE'!$K$7:$K$1506,0)),IFERROR(INDEX('CARNET DE SOUDURE'!$D$7:$D$1506,MATCH(B644,'CARNET DE SOUDURE'!$M$7:$M$1506,0)),"")))</f>
        <v/>
      </c>
      <c r="M644" s="81" t="str">
        <f aca="false">IF(B644="","",IF(OR(J644&lt;&gt;"",K644&lt;&gt;""),"POSÉ EN LIGNE",IF(H644&lt;&gt;"","BARDÉ","EN STOCK")))</f>
        <v/>
      </c>
      <c r="N644" s="79"/>
    </row>
    <row r="645" customFormat="false" ht="15" hidden="false" customHeight="false" outlineLevel="0" collapsed="false">
      <c r="A645" s="78" t="str">
        <f aca="false">IF(B645="","",ROW()-6)</f>
        <v/>
      </c>
      <c r="B645" s="90"/>
      <c r="C645" s="91"/>
      <c r="D645" s="91"/>
      <c r="E645" s="80"/>
      <c r="F645" s="92"/>
      <c r="G645" s="79"/>
      <c r="H645" s="82"/>
      <c r="I645" s="93" t="str">
        <f aca="false">IF(B645="","",IFERROR(INDEX('CARNET DE SOUDURE'!$B$7:$B$1506,MATCH(B645,'CARNET DE SOUDURE'!$K$7:$K$1506,0)),IFERROR(INDEX('CARNET DE SOUDURE'!$B$7:$B$1506,MATCH(B645,'CARNET DE SOUDURE'!$M$7:$M$1506,0)),"")))</f>
        <v/>
      </c>
      <c r="J645" s="78" t="str">
        <f aca="false">IF(B645="","",IFERROR(INDEX('CARNET DE SOUDURE'!$E$7:$E$1506,MATCH(B645,'CARNET DE SOUDURE'!$M$7:$M$1506,0)),""))</f>
        <v/>
      </c>
      <c r="K645" s="78" t="str">
        <f aca="false">IF(B645="","",IFERROR(INDEX('CARNET DE SOUDURE'!$E$7:$E$1506,MATCH(B645,'CARNET DE SOUDURE'!$K$7:$K$1506,0)),""))</f>
        <v/>
      </c>
      <c r="L645" s="78" t="str">
        <f aca="false">IF(B645="","",IFERROR(INDEX('CARNET DE SOUDURE'!$D$7:$D$1506,MATCH(B645,'CARNET DE SOUDURE'!$K$7:$K$1506,0)),IFERROR(INDEX('CARNET DE SOUDURE'!$D$7:$D$1506,MATCH(B645,'CARNET DE SOUDURE'!$M$7:$M$1506,0)),"")))</f>
        <v/>
      </c>
      <c r="M645" s="81" t="str">
        <f aca="false">IF(B645="","",IF(OR(J645&lt;&gt;"",K645&lt;&gt;""),"POSÉ EN LIGNE",IF(H645&lt;&gt;"","BARDÉ","EN STOCK")))</f>
        <v/>
      </c>
      <c r="N645" s="79"/>
    </row>
    <row r="646" customFormat="false" ht="15" hidden="false" customHeight="false" outlineLevel="0" collapsed="false">
      <c r="A646" s="78" t="str">
        <f aca="false">IF(B646="","",ROW()-6)</f>
        <v/>
      </c>
      <c r="B646" s="90"/>
      <c r="C646" s="91"/>
      <c r="D646" s="91"/>
      <c r="E646" s="80"/>
      <c r="F646" s="92"/>
      <c r="G646" s="79"/>
      <c r="H646" s="82"/>
      <c r="I646" s="93" t="str">
        <f aca="false">IF(B646="","",IFERROR(INDEX('CARNET DE SOUDURE'!$B$7:$B$1506,MATCH(B646,'CARNET DE SOUDURE'!$K$7:$K$1506,0)),IFERROR(INDEX('CARNET DE SOUDURE'!$B$7:$B$1506,MATCH(B646,'CARNET DE SOUDURE'!$M$7:$M$1506,0)),"")))</f>
        <v/>
      </c>
      <c r="J646" s="78" t="str">
        <f aca="false">IF(B646="","",IFERROR(INDEX('CARNET DE SOUDURE'!$E$7:$E$1506,MATCH(B646,'CARNET DE SOUDURE'!$M$7:$M$1506,0)),""))</f>
        <v/>
      </c>
      <c r="K646" s="78" t="str">
        <f aca="false">IF(B646="","",IFERROR(INDEX('CARNET DE SOUDURE'!$E$7:$E$1506,MATCH(B646,'CARNET DE SOUDURE'!$K$7:$K$1506,0)),""))</f>
        <v/>
      </c>
      <c r="L646" s="78" t="str">
        <f aca="false">IF(B646="","",IFERROR(INDEX('CARNET DE SOUDURE'!$D$7:$D$1506,MATCH(B646,'CARNET DE SOUDURE'!$K$7:$K$1506,0)),IFERROR(INDEX('CARNET DE SOUDURE'!$D$7:$D$1506,MATCH(B646,'CARNET DE SOUDURE'!$M$7:$M$1506,0)),"")))</f>
        <v/>
      </c>
      <c r="M646" s="81" t="str">
        <f aca="false">IF(B646="","",IF(OR(J646&lt;&gt;"",K646&lt;&gt;""),"POSÉ EN LIGNE",IF(H646&lt;&gt;"","BARDÉ","EN STOCK")))</f>
        <v/>
      </c>
      <c r="N646" s="79"/>
    </row>
    <row r="647" customFormat="false" ht="15" hidden="false" customHeight="false" outlineLevel="0" collapsed="false">
      <c r="A647" s="78" t="str">
        <f aca="false">IF(B647="","",ROW()-6)</f>
        <v/>
      </c>
      <c r="B647" s="90"/>
      <c r="C647" s="91"/>
      <c r="D647" s="91"/>
      <c r="E647" s="80"/>
      <c r="F647" s="92"/>
      <c r="G647" s="79"/>
      <c r="H647" s="82"/>
      <c r="I647" s="93" t="str">
        <f aca="false">IF(B647="","",IFERROR(INDEX('CARNET DE SOUDURE'!$B$7:$B$1506,MATCH(B647,'CARNET DE SOUDURE'!$K$7:$K$1506,0)),IFERROR(INDEX('CARNET DE SOUDURE'!$B$7:$B$1506,MATCH(B647,'CARNET DE SOUDURE'!$M$7:$M$1506,0)),"")))</f>
        <v/>
      </c>
      <c r="J647" s="78" t="str">
        <f aca="false">IF(B647="","",IFERROR(INDEX('CARNET DE SOUDURE'!$E$7:$E$1506,MATCH(B647,'CARNET DE SOUDURE'!$M$7:$M$1506,0)),""))</f>
        <v/>
      </c>
      <c r="K647" s="78" t="str">
        <f aca="false">IF(B647="","",IFERROR(INDEX('CARNET DE SOUDURE'!$E$7:$E$1506,MATCH(B647,'CARNET DE SOUDURE'!$K$7:$K$1506,0)),""))</f>
        <v/>
      </c>
      <c r="L647" s="78" t="str">
        <f aca="false">IF(B647="","",IFERROR(INDEX('CARNET DE SOUDURE'!$D$7:$D$1506,MATCH(B647,'CARNET DE SOUDURE'!$K$7:$K$1506,0)),IFERROR(INDEX('CARNET DE SOUDURE'!$D$7:$D$1506,MATCH(B647,'CARNET DE SOUDURE'!$M$7:$M$1506,0)),"")))</f>
        <v/>
      </c>
      <c r="M647" s="81" t="str">
        <f aca="false">IF(B647="","",IF(OR(J647&lt;&gt;"",K647&lt;&gt;""),"POSÉ EN LIGNE",IF(H647&lt;&gt;"","BARDÉ","EN STOCK")))</f>
        <v/>
      </c>
      <c r="N647" s="79"/>
    </row>
    <row r="648" customFormat="false" ht="15" hidden="false" customHeight="false" outlineLevel="0" collapsed="false">
      <c r="A648" s="78" t="str">
        <f aca="false">IF(B648="","",ROW()-6)</f>
        <v/>
      </c>
      <c r="B648" s="90"/>
      <c r="C648" s="91"/>
      <c r="D648" s="91"/>
      <c r="E648" s="80"/>
      <c r="F648" s="92"/>
      <c r="G648" s="79"/>
      <c r="H648" s="82"/>
      <c r="I648" s="93" t="str">
        <f aca="false">IF(B648="","",IFERROR(INDEX('CARNET DE SOUDURE'!$B$7:$B$1506,MATCH(B648,'CARNET DE SOUDURE'!$K$7:$K$1506,0)),IFERROR(INDEX('CARNET DE SOUDURE'!$B$7:$B$1506,MATCH(B648,'CARNET DE SOUDURE'!$M$7:$M$1506,0)),"")))</f>
        <v/>
      </c>
      <c r="J648" s="78" t="str">
        <f aca="false">IF(B648="","",IFERROR(INDEX('CARNET DE SOUDURE'!$E$7:$E$1506,MATCH(B648,'CARNET DE SOUDURE'!$M$7:$M$1506,0)),""))</f>
        <v/>
      </c>
      <c r="K648" s="78" t="str">
        <f aca="false">IF(B648="","",IFERROR(INDEX('CARNET DE SOUDURE'!$E$7:$E$1506,MATCH(B648,'CARNET DE SOUDURE'!$K$7:$K$1506,0)),""))</f>
        <v/>
      </c>
      <c r="L648" s="78" t="str">
        <f aca="false">IF(B648="","",IFERROR(INDEX('CARNET DE SOUDURE'!$D$7:$D$1506,MATCH(B648,'CARNET DE SOUDURE'!$K$7:$K$1506,0)),IFERROR(INDEX('CARNET DE SOUDURE'!$D$7:$D$1506,MATCH(B648,'CARNET DE SOUDURE'!$M$7:$M$1506,0)),"")))</f>
        <v/>
      </c>
      <c r="M648" s="81" t="str">
        <f aca="false">IF(B648="","",IF(OR(J648&lt;&gt;"",K648&lt;&gt;""),"POSÉ EN LIGNE",IF(H648&lt;&gt;"","BARDÉ","EN STOCK")))</f>
        <v/>
      </c>
      <c r="N648" s="79"/>
    </row>
    <row r="649" customFormat="false" ht="15" hidden="false" customHeight="false" outlineLevel="0" collapsed="false">
      <c r="A649" s="78" t="str">
        <f aca="false">IF(B649="","",ROW()-6)</f>
        <v/>
      </c>
      <c r="B649" s="90"/>
      <c r="C649" s="91"/>
      <c r="D649" s="91"/>
      <c r="E649" s="80"/>
      <c r="F649" s="92"/>
      <c r="G649" s="79"/>
      <c r="H649" s="82"/>
      <c r="I649" s="93" t="str">
        <f aca="false">IF(B649="","",IFERROR(INDEX('CARNET DE SOUDURE'!$B$7:$B$1506,MATCH(B649,'CARNET DE SOUDURE'!$K$7:$K$1506,0)),IFERROR(INDEX('CARNET DE SOUDURE'!$B$7:$B$1506,MATCH(B649,'CARNET DE SOUDURE'!$M$7:$M$1506,0)),"")))</f>
        <v/>
      </c>
      <c r="J649" s="78" t="str">
        <f aca="false">IF(B649="","",IFERROR(INDEX('CARNET DE SOUDURE'!$E$7:$E$1506,MATCH(B649,'CARNET DE SOUDURE'!$M$7:$M$1506,0)),""))</f>
        <v/>
      </c>
      <c r="K649" s="78" t="str">
        <f aca="false">IF(B649="","",IFERROR(INDEX('CARNET DE SOUDURE'!$E$7:$E$1506,MATCH(B649,'CARNET DE SOUDURE'!$K$7:$K$1506,0)),""))</f>
        <v/>
      </c>
      <c r="L649" s="78" t="str">
        <f aca="false">IF(B649="","",IFERROR(INDEX('CARNET DE SOUDURE'!$D$7:$D$1506,MATCH(B649,'CARNET DE SOUDURE'!$K$7:$K$1506,0)),IFERROR(INDEX('CARNET DE SOUDURE'!$D$7:$D$1506,MATCH(B649,'CARNET DE SOUDURE'!$M$7:$M$1506,0)),"")))</f>
        <v/>
      </c>
      <c r="M649" s="81" t="str">
        <f aca="false">IF(B649="","",IF(OR(J649&lt;&gt;"",K649&lt;&gt;""),"POSÉ EN LIGNE",IF(H649&lt;&gt;"","BARDÉ","EN STOCK")))</f>
        <v/>
      </c>
      <c r="N649" s="79"/>
    </row>
    <row r="650" customFormat="false" ht="15" hidden="false" customHeight="false" outlineLevel="0" collapsed="false">
      <c r="A650" s="78" t="str">
        <f aca="false">IF(B650="","",ROW()-6)</f>
        <v/>
      </c>
      <c r="B650" s="90"/>
      <c r="C650" s="91"/>
      <c r="D650" s="91"/>
      <c r="E650" s="80"/>
      <c r="F650" s="92"/>
      <c r="G650" s="79"/>
      <c r="H650" s="82"/>
      <c r="I650" s="93" t="str">
        <f aca="false">IF(B650="","",IFERROR(INDEX('CARNET DE SOUDURE'!$B$7:$B$1506,MATCH(B650,'CARNET DE SOUDURE'!$K$7:$K$1506,0)),IFERROR(INDEX('CARNET DE SOUDURE'!$B$7:$B$1506,MATCH(B650,'CARNET DE SOUDURE'!$M$7:$M$1506,0)),"")))</f>
        <v/>
      </c>
      <c r="J650" s="78" t="str">
        <f aca="false">IF(B650="","",IFERROR(INDEX('CARNET DE SOUDURE'!$E$7:$E$1506,MATCH(B650,'CARNET DE SOUDURE'!$M$7:$M$1506,0)),""))</f>
        <v/>
      </c>
      <c r="K650" s="78" t="str">
        <f aca="false">IF(B650="","",IFERROR(INDEX('CARNET DE SOUDURE'!$E$7:$E$1506,MATCH(B650,'CARNET DE SOUDURE'!$K$7:$K$1506,0)),""))</f>
        <v/>
      </c>
      <c r="L650" s="78" t="str">
        <f aca="false">IF(B650="","",IFERROR(INDEX('CARNET DE SOUDURE'!$D$7:$D$1506,MATCH(B650,'CARNET DE SOUDURE'!$K$7:$K$1506,0)),IFERROR(INDEX('CARNET DE SOUDURE'!$D$7:$D$1506,MATCH(B650,'CARNET DE SOUDURE'!$M$7:$M$1506,0)),"")))</f>
        <v/>
      </c>
      <c r="M650" s="81" t="str">
        <f aca="false">IF(B650="","",IF(OR(J650&lt;&gt;"",K650&lt;&gt;""),"POSÉ EN LIGNE",IF(H650&lt;&gt;"","BARDÉ","EN STOCK")))</f>
        <v/>
      </c>
      <c r="N650" s="79"/>
    </row>
    <row r="651" customFormat="false" ht="15" hidden="false" customHeight="false" outlineLevel="0" collapsed="false">
      <c r="A651" s="78" t="str">
        <f aca="false">IF(B651="","",ROW()-6)</f>
        <v/>
      </c>
      <c r="B651" s="90"/>
      <c r="C651" s="91"/>
      <c r="D651" s="91"/>
      <c r="E651" s="80"/>
      <c r="F651" s="92"/>
      <c r="G651" s="79"/>
      <c r="H651" s="82"/>
      <c r="I651" s="93" t="str">
        <f aca="false">IF(B651="","",IFERROR(INDEX('CARNET DE SOUDURE'!$B$7:$B$1506,MATCH(B651,'CARNET DE SOUDURE'!$K$7:$K$1506,0)),IFERROR(INDEX('CARNET DE SOUDURE'!$B$7:$B$1506,MATCH(B651,'CARNET DE SOUDURE'!$M$7:$M$1506,0)),"")))</f>
        <v/>
      </c>
      <c r="J651" s="78" t="str">
        <f aca="false">IF(B651="","",IFERROR(INDEX('CARNET DE SOUDURE'!$E$7:$E$1506,MATCH(B651,'CARNET DE SOUDURE'!$M$7:$M$1506,0)),""))</f>
        <v/>
      </c>
      <c r="K651" s="78" t="str">
        <f aca="false">IF(B651="","",IFERROR(INDEX('CARNET DE SOUDURE'!$E$7:$E$1506,MATCH(B651,'CARNET DE SOUDURE'!$K$7:$K$1506,0)),""))</f>
        <v/>
      </c>
      <c r="L651" s="78" t="str">
        <f aca="false">IF(B651="","",IFERROR(INDEX('CARNET DE SOUDURE'!$D$7:$D$1506,MATCH(B651,'CARNET DE SOUDURE'!$K$7:$K$1506,0)),IFERROR(INDEX('CARNET DE SOUDURE'!$D$7:$D$1506,MATCH(B651,'CARNET DE SOUDURE'!$M$7:$M$1506,0)),"")))</f>
        <v/>
      </c>
      <c r="M651" s="81" t="str">
        <f aca="false">IF(B651="","",IF(OR(J651&lt;&gt;"",K651&lt;&gt;""),"POSÉ EN LIGNE",IF(H651&lt;&gt;"","BARDÉ","EN STOCK")))</f>
        <v/>
      </c>
      <c r="N651" s="79"/>
    </row>
    <row r="652" customFormat="false" ht="15" hidden="false" customHeight="false" outlineLevel="0" collapsed="false">
      <c r="A652" s="78" t="str">
        <f aca="false">IF(B652="","",ROW()-6)</f>
        <v/>
      </c>
      <c r="B652" s="90"/>
      <c r="C652" s="91"/>
      <c r="D652" s="91"/>
      <c r="E652" s="80"/>
      <c r="F652" s="92"/>
      <c r="G652" s="79"/>
      <c r="H652" s="82"/>
      <c r="I652" s="93" t="str">
        <f aca="false">IF(B652="","",IFERROR(INDEX('CARNET DE SOUDURE'!$B$7:$B$1506,MATCH(B652,'CARNET DE SOUDURE'!$K$7:$K$1506,0)),IFERROR(INDEX('CARNET DE SOUDURE'!$B$7:$B$1506,MATCH(B652,'CARNET DE SOUDURE'!$M$7:$M$1506,0)),"")))</f>
        <v/>
      </c>
      <c r="J652" s="78" t="str">
        <f aca="false">IF(B652="","",IFERROR(INDEX('CARNET DE SOUDURE'!$E$7:$E$1506,MATCH(B652,'CARNET DE SOUDURE'!$M$7:$M$1506,0)),""))</f>
        <v/>
      </c>
      <c r="K652" s="78" t="str">
        <f aca="false">IF(B652="","",IFERROR(INDEX('CARNET DE SOUDURE'!$E$7:$E$1506,MATCH(B652,'CARNET DE SOUDURE'!$K$7:$K$1506,0)),""))</f>
        <v/>
      </c>
      <c r="L652" s="78" t="str">
        <f aca="false">IF(B652="","",IFERROR(INDEX('CARNET DE SOUDURE'!$D$7:$D$1506,MATCH(B652,'CARNET DE SOUDURE'!$K$7:$K$1506,0)),IFERROR(INDEX('CARNET DE SOUDURE'!$D$7:$D$1506,MATCH(B652,'CARNET DE SOUDURE'!$M$7:$M$1506,0)),"")))</f>
        <v/>
      </c>
      <c r="M652" s="81" t="str">
        <f aca="false">IF(B652="","",IF(OR(J652&lt;&gt;"",K652&lt;&gt;""),"POSÉ EN LIGNE",IF(H652&lt;&gt;"","BARDÉ","EN STOCK")))</f>
        <v/>
      </c>
      <c r="N652" s="79"/>
    </row>
    <row r="653" customFormat="false" ht="15" hidden="false" customHeight="false" outlineLevel="0" collapsed="false">
      <c r="A653" s="78" t="str">
        <f aca="false">IF(B653="","",ROW()-6)</f>
        <v/>
      </c>
      <c r="B653" s="90"/>
      <c r="C653" s="91"/>
      <c r="D653" s="91"/>
      <c r="E653" s="80"/>
      <c r="F653" s="92"/>
      <c r="G653" s="79"/>
      <c r="H653" s="82"/>
      <c r="I653" s="93" t="str">
        <f aca="false">IF(B653="","",IFERROR(INDEX('CARNET DE SOUDURE'!$B$7:$B$1506,MATCH(B653,'CARNET DE SOUDURE'!$K$7:$K$1506,0)),IFERROR(INDEX('CARNET DE SOUDURE'!$B$7:$B$1506,MATCH(B653,'CARNET DE SOUDURE'!$M$7:$M$1506,0)),"")))</f>
        <v/>
      </c>
      <c r="J653" s="78" t="str">
        <f aca="false">IF(B653="","",IFERROR(INDEX('CARNET DE SOUDURE'!$E$7:$E$1506,MATCH(B653,'CARNET DE SOUDURE'!$M$7:$M$1506,0)),""))</f>
        <v/>
      </c>
      <c r="K653" s="78" t="str">
        <f aca="false">IF(B653="","",IFERROR(INDEX('CARNET DE SOUDURE'!$E$7:$E$1506,MATCH(B653,'CARNET DE SOUDURE'!$K$7:$K$1506,0)),""))</f>
        <v/>
      </c>
      <c r="L653" s="78" t="str">
        <f aca="false">IF(B653="","",IFERROR(INDEX('CARNET DE SOUDURE'!$D$7:$D$1506,MATCH(B653,'CARNET DE SOUDURE'!$K$7:$K$1506,0)),IFERROR(INDEX('CARNET DE SOUDURE'!$D$7:$D$1506,MATCH(B653,'CARNET DE SOUDURE'!$M$7:$M$1506,0)),"")))</f>
        <v/>
      </c>
      <c r="M653" s="81" t="str">
        <f aca="false">IF(B653="","",IF(OR(J653&lt;&gt;"",K653&lt;&gt;""),"POSÉ EN LIGNE",IF(H653&lt;&gt;"","BARDÉ","EN STOCK")))</f>
        <v/>
      </c>
      <c r="N653" s="79"/>
    </row>
    <row r="654" customFormat="false" ht="15" hidden="false" customHeight="false" outlineLevel="0" collapsed="false">
      <c r="A654" s="78" t="str">
        <f aca="false">IF(B654="","",ROW()-6)</f>
        <v/>
      </c>
      <c r="B654" s="90"/>
      <c r="C654" s="91"/>
      <c r="D654" s="91"/>
      <c r="E654" s="80"/>
      <c r="F654" s="92"/>
      <c r="G654" s="79"/>
      <c r="H654" s="82"/>
      <c r="I654" s="93" t="str">
        <f aca="false">IF(B654="","",IFERROR(INDEX('CARNET DE SOUDURE'!$B$7:$B$1506,MATCH(B654,'CARNET DE SOUDURE'!$K$7:$K$1506,0)),IFERROR(INDEX('CARNET DE SOUDURE'!$B$7:$B$1506,MATCH(B654,'CARNET DE SOUDURE'!$M$7:$M$1506,0)),"")))</f>
        <v/>
      </c>
      <c r="J654" s="78" t="str">
        <f aca="false">IF(B654="","",IFERROR(INDEX('CARNET DE SOUDURE'!$E$7:$E$1506,MATCH(B654,'CARNET DE SOUDURE'!$M$7:$M$1506,0)),""))</f>
        <v/>
      </c>
      <c r="K654" s="78" t="str">
        <f aca="false">IF(B654="","",IFERROR(INDEX('CARNET DE SOUDURE'!$E$7:$E$1506,MATCH(B654,'CARNET DE SOUDURE'!$K$7:$K$1506,0)),""))</f>
        <v/>
      </c>
      <c r="L654" s="78" t="str">
        <f aca="false">IF(B654="","",IFERROR(INDEX('CARNET DE SOUDURE'!$D$7:$D$1506,MATCH(B654,'CARNET DE SOUDURE'!$K$7:$K$1506,0)),IFERROR(INDEX('CARNET DE SOUDURE'!$D$7:$D$1506,MATCH(B654,'CARNET DE SOUDURE'!$M$7:$M$1506,0)),"")))</f>
        <v/>
      </c>
      <c r="M654" s="81" t="str">
        <f aca="false">IF(B654="","",IF(OR(J654&lt;&gt;"",K654&lt;&gt;""),"POSÉ EN LIGNE",IF(H654&lt;&gt;"","BARDÉ","EN STOCK")))</f>
        <v/>
      </c>
      <c r="N654" s="79"/>
    </row>
    <row r="655" customFormat="false" ht="15" hidden="false" customHeight="false" outlineLevel="0" collapsed="false">
      <c r="A655" s="78" t="str">
        <f aca="false">IF(B655="","",ROW()-6)</f>
        <v/>
      </c>
      <c r="B655" s="90"/>
      <c r="C655" s="91"/>
      <c r="D655" s="91"/>
      <c r="E655" s="80"/>
      <c r="F655" s="92"/>
      <c r="G655" s="79"/>
      <c r="H655" s="82"/>
      <c r="I655" s="93" t="str">
        <f aca="false">IF(B655="","",IFERROR(INDEX('CARNET DE SOUDURE'!$B$7:$B$1506,MATCH(B655,'CARNET DE SOUDURE'!$K$7:$K$1506,0)),IFERROR(INDEX('CARNET DE SOUDURE'!$B$7:$B$1506,MATCH(B655,'CARNET DE SOUDURE'!$M$7:$M$1506,0)),"")))</f>
        <v/>
      </c>
      <c r="J655" s="78" t="str">
        <f aca="false">IF(B655="","",IFERROR(INDEX('CARNET DE SOUDURE'!$E$7:$E$1506,MATCH(B655,'CARNET DE SOUDURE'!$M$7:$M$1506,0)),""))</f>
        <v/>
      </c>
      <c r="K655" s="78" t="str">
        <f aca="false">IF(B655="","",IFERROR(INDEX('CARNET DE SOUDURE'!$E$7:$E$1506,MATCH(B655,'CARNET DE SOUDURE'!$K$7:$K$1506,0)),""))</f>
        <v/>
      </c>
      <c r="L655" s="78" t="str">
        <f aca="false">IF(B655="","",IFERROR(INDEX('CARNET DE SOUDURE'!$D$7:$D$1506,MATCH(B655,'CARNET DE SOUDURE'!$K$7:$K$1506,0)),IFERROR(INDEX('CARNET DE SOUDURE'!$D$7:$D$1506,MATCH(B655,'CARNET DE SOUDURE'!$M$7:$M$1506,0)),"")))</f>
        <v/>
      </c>
      <c r="M655" s="81" t="str">
        <f aca="false">IF(B655="","",IF(OR(J655&lt;&gt;"",K655&lt;&gt;""),"POSÉ EN LIGNE",IF(H655&lt;&gt;"","BARDÉ","EN STOCK")))</f>
        <v/>
      </c>
      <c r="N655" s="79"/>
    </row>
    <row r="656" customFormat="false" ht="15" hidden="false" customHeight="false" outlineLevel="0" collapsed="false">
      <c r="A656" s="78" t="str">
        <f aca="false">IF(B656="","",ROW()-6)</f>
        <v/>
      </c>
      <c r="B656" s="90"/>
      <c r="C656" s="91"/>
      <c r="D656" s="91"/>
      <c r="E656" s="80"/>
      <c r="F656" s="92"/>
      <c r="G656" s="79"/>
      <c r="H656" s="82"/>
      <c r="I656" s="93" t="str">
        <f aca="false">IF(B656="","",IFERROR(INDEX('CARNET DE SOUDURE'!$B$7:$B$1506,MATCH(B656,'CARNET DE SOUDURE'!$K$7:$K$1506,0)),IFERROR(INDEX('CARNET DE SOUDURE'!$B$7:$B$1506,MATCH(B656,'CARNET DE SOUDURE'!$M$7:$M$1506,0)),"")))</f>
        <v/>
      </c>
      <c r="J656" s="78" t="str">
        <f aca="false">IF(B656="","",IFERROR(INDEX('CARNET DE SOUDURE'!$E$7:$E$1506,MATCH(B656,'CARNET DE SOUDURE'!$M$7:$M$1506,0)),""))</f>
        <v/>
      </c>
      <c r="K656" s="78" t="str">
        <f aca="false">IF(B656="","",IFERROR(INDEX('CARNET DE SOUDURE'!$E$7:$E$1506,MATCH(B656,'CARNET DE SOUDURE'!$K$7:$K$1506,0)),""))</f>
        <v/>
      </c>
      <c r="L656" s="78" t="str">
        <f aca="false">IF(B656="","",IFERROR(INDEX('CARNET DE SOUDURE'!$D$7:$D$1506,MATCH(B656,'CARNET DE SOUDURE'!$K$7:$K$1506,0)),IFERROR(INDEX('CARNET DE SOUDURE'!$D$7:$D$1506,MATCH(B656,'CARNET DE SOUDURE'!$M$7:$M$1506,0)),"")))</f>
        <v/>
      </c>
      <c r="M656" s="81" t="str">
        <f aca="false">IF(B656="","",IF(OR(J656&lt;&gt;"",K656&lt;&gt;""),"POSÉ EN LIGNE",IF(H656&lt;&gt;"","BARDÉ","EN STOCK")))</f>
        <v/>
      </c>
      <c r="N656" s="79"/>
    </row>
    <row r="657" customFormat="false" ht="15" hidden="false" customHeight="false" outlineLevel="0" collapsed="false">
      <c r="A657" s="78" t="str">
        <f aca="false">IF(B657="","",ROW()-6)</f>
        <v/>
      </c>
      <c r="B657" s="90"/>
      <c r="C657" s="91"/>
      <c r="D657" s="91"/>
      <c r="E657" s="80"/>
      <c r="F657" s="92"/>
      <c r="G657" s="79"/>
      <c r="H657" s="82"/>
      <c r="I657" s="93" t="str">
        <f aca="false">IF(B657="","",IFERROR(INDEX('CARNET DE SOUDURE'!$B$7:$B$1506,MATCH(B657,'CARNET DE SOUDURE'!$K$7:$K$1506,0)),IFERROR(INDEX('CARNET DE SOUDURE'!$B$7:$B$1506,MATCH(B657,'CARNET DE SOUDURE'!$M$7:$M$1506,0)),"")))</f>
        <v/>
      </c>
      <c r="J657" s="78" t="str">
        <f aca="false">IF(B657="","",IFERROR(INDEX('CARNET DE SOUDURE'!$E$7:$E$1506,MATCH(B657,'CARNET DE SOUDURE'!$M$7:$M$1506,0)),""))</f>
        <v/>
      </c>
      <c r="K657" s="78" t="str">
        <f aca="false">IF(B657="","",IFERROR(INDEX('CARNET DE SOUDURE'!$E$7:$E$1506,MATCH(B657,'CARNET DE SOUDURE'!$K$7:$K$1506,0)),""))</f>
        <v/>
      </c>
      <c r="L657" s="78" t="str">
        <f aca="false">IF(B657="","",IFERROR(INDEX('CARNET DE SOUDURE'!$D$7:$D$1506,MATCH(B657,'CARNET DE SOUDURE'!$K$7:$K$1506,0)),IFERROR(INDEX('CARNET DE SOUDURE'!$D$7:$D$1506,MATCH(B657,'CARNET DE SOUDURE'!$M$7:$M$1506,0)),"")))</f>
        <v/>
      </c>
      <c r="M657" s="81" t="str">
        <f aca="false">IF(B657="","",IF(OR(J657&lt;&gt;"",K657&lt;&gt;""),"POSÉ EN LIGNE",IF(H657&lt;&gt;"","BARDÉ","EN STOCK")))</f>
        <v/>
      </c>
      <c r="N657" s="79"/>
    </row>
    <row r="658" customFormat="false" ht="15" hidden="false" customHeight="false" outlineLevel="0" collapsed="false">
      <c r="A658" s="78" t="str">
        <f aca="false">IF(B658="","",ROW()-6)</f>
        <v/>
      </c>
      <c r="B658" s="90"/>
      <c r="C658" s="91"/>
      <c r="D658" s="91"/>
      <c r="E658" s="80"/>
      <c r="F658" s="92"/>
      <c r="G658" s="79"/>
      <c r="H658" s="82"/>
      <c r="I658" s="93" t="str">
        <f aca="false">IF(B658="","",IFERROR(INDEX('CARNET DE SOUDURE'!$B$7:$B$1506,MATCH(B658,'CARNET DE SOUDURE'!$K$7:$K$1506,0)),IFERROR(INDEX('CARNET DE SOUDURE'!$B$7:$B$1506,MATCH(B658,'CARNET DE SOUDURE'!$M$7:$M$1506,0)),"")))</f>
        <v/>
      </c>
      <c r="J658" s="78" t="str">
        <f aca="false">IF(B658="","",IFERROR(INDEX('CARNET DE SOUDURE'!$E$7:$E$1506,MATCH(B658,'CARNET DE SOUDURE'!$M$7:$M$1506,0)),""))</f>
        <v/>
      </c>
      <c r="K658" s="78" t="str">
        <f aca="false">IF(B658="","",IFERROR(INDEX('CARNET DE SOUDURE'!$E$7:$E$1506,MATCH(B658,'CARNET DE SOUDURE'!$K$7:$K$1506,0)),""))</f>
        <v/>
      </c>
      <c r="L658" s="78" t="str">
        <f aca="false">IF(B658="","",IFERROR(INDEX('CARNET DE SOUDURE'!$D$7:$D$1506,MATCH(B658,'CARNET DE SOUDURE'!$K$7:$K$1506,0)),IFERROR(INDEX('CARNET DE SOUDURE'!$D$7:$D$1506,MATCH(B658,'CARNET DE SOUDURE'!$M$7:$M$1506,0)),"")))</f>
        <v/>
      </c>
      <c r="M658" s="81" t="str">
        <f aca="false">IF(B658="","",IF(OR(J658&lt;&gt;"",K658&lt;&gt;""),"POSÉ EN LIGNE",IF(H658&lt;&gt;"","BARDÉ","EN STOCK")))</f>
        <v/>
      </c>
      <c r="N658" s="79"/>
    </row>
    <row r="659" customFormat="false" ht="15" hidden="false" customHeight="false" outlineLevel="0" collapsed="false">
      <c r="A659" s="78" t="str">
        <f aca="false">IF(B659="","",ROW()-6)</f>
        <v/>
      </c>
      <c r="B659" s="90"/>
      <c r="C659" s="91"/>
      <c r="D659" s="91"/>
      <c r="E659" s="80"/>
      <c r="F659" s="92"/>
      <c r="G659" s="79"/>
      <c r="H659" s="82"/>
      <c r="I659" s="93" t="str">
        <f aca="false">IF(B659="","",IFERROR(INDEX('CARNET DE SOUDURE'!$B$7:$B$1506,MATCH(B659,'CARNET DE SOUDURE'!$K$7:$K$1506,0)),IFERROR(INDEX('CARNET DE SOUDURE'!$B$7:$B$1506,MATCH(B659,'CARNET DE SOUDURE'!$M$7:$M$1506,0)),"")))</f>
        <v/>
      </c>
      <c r="J659" s="78" t="str">
        <f aca="false">IF(B659="","",IFERROR(INDEX('CARNET DE SOUDURE'!$E$7:$E$1506,MATCH(B659,'CARNET DE SOUDURE'!$M$7:$M$1506,0)),""))</f>
        <v/>
      </c>
      <c r="K659" s="78" t="str">
        <f aca="false">IF(B659="","",IFERROR(INDEX('CARNET DE SOUDURE'!$E$7:$E$1506,MATCH(B659,'CARNET DE SOUDURE'!$K$7:$K$1506,0)),""))</f>
        <v/>
      </c>
      <c r="L659" s="78" t="str">
        <f aca="false">IF(B659="","",IFERROR(INDEX('CARNET DE SOUDURE'!$D$7:$D$1506,MATCH(B659,'CARNET DE SOUDURE'!$K$7:$K$1506,0)),IFERROR(INDEX('CARNET DE SOUDURE'!$D$7:$D$1506,MATCH(B659,'CARNET DE SOUDURE'!$M$7:$M$1506,0)),"")))</f>
        <v/>
      </c>
      <c r="M659" s="81" t="str">
        <f aca="false">IF(B659="","",IF(OR(J659&lt;&gt;"",K659&lt;&gt;""),"POSÉ EN LIGNE",IF(H659&lt;&gt;"","BARDÉ","EN STOCK")))</f>
        <v/>
      </c>
      <c r="N659" s="79"/>
    </row>
    <row r="660" customFormat="false" ht="15" hidden="false" customHeight="false" outlineLevel="0" collapsed="false">
      <c r="A660" s="78" t="str">
        <f aca="false">IF(B660="","",ROW()-6)</f>
        <v/>
      </c>
      <c r="B660" s="90"/>
      <c r="C660" s="91"/>
      <c r="D660" s="91"/>
      <c r="E660" s="80"/>
      <c r="F660" s="92"/>
      <c r="G660" s="79"/>
      <c r="H660" s="82"/>
      <c r="I660" s="93" t="str">
        <f aca="false">IF(B660="","",IFERROR(INDEX('CARNET DE SOUDURE'!$B$7:$B$1506,MATCH(B660,'CARNET DE SOUDURE'!$K$7:$K$1506,0)),IFERROR(INDEX('CARNET DE SOUDURE'!$B$7:$B$1506,MATCH(B660,'CARNET DE SOUDURE'!$M$7:$M$1506,0)),"")))</f>
        <v/>
      </c>
      <c r="J660" s="78" t="str">
        <f aca="false">IF(B660="","",IFERROR(INDEX('CARNET DE SOUDURE'!$E$7:$E$1506,MATCH(B660,'CARNET DE SOUDURE'!$M$7:$M$1506,0)),""))</f>
        <v/>
      </c>
      <c r="K660" s="78" t="str">
        <f aca="false">IF(B660="","",IFERROR(INDEX('CARNET DE SOUDURE'!$E$7:$E$1506,MATCH(B660,'CARNET DE SOUDURE'!$K$7:$K$1506,0)),""))</f>
        <v/>
      </c>
      <c r="L660" s="78" t="str">
        <f aca="false">IF(B660="","",IFERROR(INDEX('CARNET DE SOUDURE'!$D$7:$D$1506,MATCH(B660,'CARNET DE SOUDURE'!$K$7:$K$1506,0)),IFERROR(INDEX('CARNET DE SOUDURE'!$D$7:$D$1506,MATCH(B660,'CARNET DE SOUDURE'!$M$7:$M$1506,0)),"")))</f>
        <v/>
      </c>
      <c r="M660" s="81" t="str">
        <f aca="false">IF(B660="","",IF(OR(J660&lt;&gt;"",K660&lt;&gt;""),"POSÉ EN LIGNE",IF(H660&lt;&gt;"","BARDÉ","EN STOCK")))</f>
        <v/>
      </c>
      <c r="N660" s="79"/>
    </row>
    <row r="661" customFormat="false" ht="15" hidden="false" customHeight="false" outlineLevel="0" collapsed="false">
      <c r="A661" s="78" t="str">
        <f aca="false">IF(B661="","",ROW()-6)</f>
        <v/>
      </c>
      <c r="B661" s="90"/>
      <c r="C661" s="91"/>
      <c r="D661" s="91"/>
      <c r="E661" s="80"/>
      <c r="F661" s="92"/>
      <c r="G661" s="79"/>
      <c r="H661" s="82"/>
      <c r="I661" s="93" t="str">
        <f aca="false">IF(B661="","",IFERROR(INDEX('CARNET DE SOUDURE'!$B$7:$B$1506,MATCH(B661,'CARNET DE SOUDURE'!$K$7:$K$1506,0)),IFERROR(INDEX('CARNET DE SOUDURE'!$B$7:$B$1506,MATCH(B661,'CARNET DE SOUDURE'!$M$7:$M$1506,0)),"")))</f>
        <v/>
      </c>
      <c r="J661" s="78" t="str">
        <f aca="false">IF(B661="","",IFERROR(INDEX('CARNET DE SOUDURE'!$E$7:$E$1506,MATCH(B661,'CARNET DE SOUDURE'!$M$7:$M$1506,0)),""))</f>
        <v/>
      </c>
      <c r="K661" s="78" t="str">
        <f aca="false">IF(B661="","",IFERROR(INDEX('CARNET DE SOUDURE'!$E$7:$E$1506,MATCH(B661,'CARNET DE SOUDURE'!$K$7:$K$1506,0)),""))</f>
        <v/>
      </c>
      <c r="L661" s="78" t="str">
        <f aca="false">IF(B661="","",IFERROR(INDEX('CARNET DE SOUDURE'!$D$7:$D$1506,MATCH(B661,'CARNET DE SOUDURE'!$K$7:$K$1506,0)),IFERROR(INDEX('CARNET DE SOUDURE'!$D$7:$D$1506,MATCH(B661,'CARNET DE SOUDURE'!$M$7:$M$1506,0)),"")))</f>
        <v/>
      </c>
      <c r="M661" s="81" t="str">
        <f aca="false">IF(B661="","",IF(OR(J661&lt;&gt;"",K661&lt;&gt;""),"POSÉ EN LIGNE",IF(H661&lt;&gt;"","BARDÉ","EN STOCK")))</f>
        <v/>
      </c>
      <c r="N661" s="79"/>
    </row>
    <row r="662" customFormat="false" ht="15" hidden="false" customHeight="false" outlineLevel="0" collapsed="false">
      <c r="A662" s="78" t="str">
        <f aca="false">IF(B662="","",ROW()-6)</f>
        <v/>
      </c>
      <c r="B662" s="90"/>
      <c r="C662" s="91"/>
      <c r="D662" s="91"/>
      <c r="E662" s="80"/>
      <c r="F662" s="92"/>
      <c r="G662" s="79"/>
      <c r="H662" s="82"/>
      <c r="I662" s="93" t="str">
        <f aca="false">IF(B662="","",IFERROR(INDEX('CARNET DE SOUDURE'!$B$7:$B$1506,MATCH(B662,'CARNET DE SOUDURE'!$K$7:$K$1506,0)),IFERROR(INDEX('CARNET DE SOUDURE'!$B$7:$B$1506,MATCH(B662,'CARNET DE SOUDURE'!$M$7:$M$1506,0)),"")))</f>
        <v/>
      </c>
      <c r="J662" s="78" t="str">
        <f aca="false">IF(B662="","",IFERROR(INDEX('CARNET DE SOUDURE'!$E$7:$E$1506,MATCH(B662,'CARNET DE SOUDURE'!$M$7:$M$1506,0)),""))</f>
        <v/>
      </c>
      <c r="K662" s="78" t="str">
        <f aca="false">IF(B662="","",IFERROR(INDEX('CARNET DE SOUDURE'!$E$7:$E$1506,MATCH(B662,'CARNET DE SOUDURE'!$K$7:$K$1506,0)),""))</f>
        <v/>
      </c>
      <c r="L662" s="78" t="str">
        <f aca="false">IF(B662="","",IFERROR(INDEX('CARNET DE SOUDURE'!$D$7:$D$1506,MATCH(B662,'CARNET DE SOUDURE'!$K$7:$K$1506,0)),IFERROR(INDEX('CARNET DE SOUDURE'!$D$7:$D$1506,MATCH(B662,'CARNET DE SOUDURE'!$M$7:$M$1506,0)),"")))</f>
        <v/>
      </c>
      <c r="M662" s="81" t="str">
        <f aca="false">IF(B662="","",IF(OR(J662&lt;&gt;"",K662&lt;&gt;""),"POSÉ EN LIGNE",IF(H662&lt;&gt;"","BARDÉ","EN STOCK")))</f>
        <v/>
      </c>
      <c r="N662" s="79"/>
    </row>
    <row r="663" customFormat="false" ht="15" hidden="false" customHeight="false" outlineLevel="0" collapsed="false">
      <c r="A663" s="78" t="str">
        <f aca="false">IF(B663="","",ROW()-6)</f>
        <v/>
      </c>
      <c r="B663" s="90"/>
      <c r="C663" s="91"/>
      <c r="D663" s="91"/>
      <c r="E663" s="80"/>
      <c r="F663" s="92"/>
      <c r="G663" s="79"/>
      <c r="H663" s="82"/>
      <c r="I663" s="93" t="str">
        <f aca="false">IF(B663="","",IFERROR(INDEX('CARNET DE SOUDURE'!$B$7:$B$1506,MATCH(B663,'CARNET DE SOUDURE'!$K$7:$K$1506,0)),IFERROR(INDEX('CARNET DE SOUDURE'!$B$7:$B$1506,MATCH(B663,'CARNET DE SOUDURE'!$M$7:$M$1506,0)),"")))</f>
        <v/>
      </c>
      <c r="J663" s="78" t="str">
        <f aca="false">IF(B663="","",IFERROR(INDEX('CARNET DE SOUDURE'!$E$7:$E$1506,MATCH(B663,'CARNET DE SOUDURE'!$M$7:$M$1506,0)),""))</f>
        <v/>
      </c>
      <c r="K663" s="78" t="str">
        <f aca="false">IF(B663="","",IFERROR(INDEX('CARNET DE SOUDURE'!$E$7:$E$1506,MATCH(B663,'CARNET DE SOUDURE'!$K$7:$K$1506,0)),""))</f>
        <v/>
      </c>
      <c r="L663" s="78" t="str">
        <f aca="false">IF(B663="","",IFERROR(INDEX('CARNET DE SOUDURE'!$D$7:$D$1506,MATCH(B663,'CARNET DE SOUDURE'!$K$7:$K$1506,0)),IFERROR(INDEX('CARNET DE SOUDURE'!$D$7:$D$1506,MATCH(B663,'CARNET DE SOUDURE'!$M$7:$M$1506,0)),"")))</f>
        <v/>
      </c>
      <c r="M663" s="81" t="str">
        <f aca="false">IF(B663="","",IF(OR(J663&lt;&gt;"",K663&lt;&gt;""),"POSÉ EN LIGNE",IF(H663&lt;&gt;"","BARDÉ","EN STOCK")))</f>
        <v/>
      </c>
      <c r="N663" s="79"/>
    </row>
    <row r="664" customFormat="false" ht="15" hidden="false" customHeight="false" outlineLevel="0" collapsed="false">
      <c r="A664" s="78" t="str">
        <f aca="false">IF(B664="","",ROW()-6)</f>
        <v/>
      </c>
      <c r="B664" s="90"/>
      <c r="C664" s="91"/>
      <c r="D664" s="91"/>
      <c r="E664" s="80"/>
      <c r="F664" s="92"/>
      <c r="G664" s="79"/>
      <c r="H664" s="82"/>
      <c r="I664" s="93" t="str">
        <f aca="false">IF(B664="","",IFERROR(INDEX('CARNET DE SOUDURE'!$B$7:$B$1506,MATCH(B664,'CARNET DE SOUDURE'!$K$7:$K$1506,0)),IFERROR(INDEX('CARNET DE SOUDURE'!$B$7:$B$1506,MATCH(B664,'CARNET DE SOUDURE'!$M$7:$M$1506,0)),"")))</f>
        <v/>
      </c>
      <c r="J664" s="78" t="str">
        <f aca="false">IF(B664="","",IFERROR(INDEX('CARNET DE SOUDURE'!$E$7:$E$1506,MATCH(B664,'CARNET DE SOUDURE'!$M$7:$M$1506,0)),""))</f>
        <v/>
      </c>
      <c r="K664" s="78" t="str">
        <f aca="false">IF(B664="","",IFERROR(INDEX('CARNET DE SOUDURE'!$E$7:$E$1506,MATCH(B664,'CARNET DE SOUDURE'!$K$7:$K$1506,0)),""))</f>
        <v/>
      </c>
      <c r="L664" s="78" t="str">
        <f aca="false">IF(B664="","",IFERROR(INDEX('CARNET DE SOUDURE'!$D$7:$D$1506,MATCH(B664,'CARNET DE SOUDURE'!$K$7:$K$1506,0)),IFERROR(INDEX('CARNET DE SOUDURE'!$D$7:$D$1506,MATCH(B664,'CARNET DE SOUDURE'!$M$7:$M$1506,0)),"")))</f>
        <v/>
      </c>
      <c r="M664" s="81" t="str">
        <f aca="false">IF(B664="","",IF(OR(J664&lt;&gt;"",K664&lt;&gt;""),"POSÉ EN LIGNE",IF(H664&lt;&gt;"","BARDÉ","EN STOCK")))</f>
        <v/>
      </c>
      <c r="N664" s="79"/>
    </row>
    <row r="665" customFormat="false" ht="15" hidden="false" customHeight="false" outlineLevel="0" collapsed="false">
      <c r="A665" s="78" t="str">
        <f aca="false">IF(B665="","",ROW()-6)</f>
        <v/>
      </c>
      <c r="B665" s="90"/>
      <c r="C665" s="91"/>
      <c r="D665" s="91"/>
      <c r="E665" s="80"/>
      <c r="F665" s="92"/>
      <c r="G665" s="79"/>
      <c r="H665" s="82"/>
      <c r="I665" s="93" t="str">
        <f aca="false">IF(B665="","",IFERROR(INDEX('CARNET DE SOUDURE'!$B$7:$B$1506,MATCH(B665,'CARNET DE SOUDURE'!$K$7:$K$1506,0)),IFERROR(INDEX('CARNET DE SOUDURE'!$B$7:$B$1506,MATCH(B665,'CARNET DE SOUDURE'!$M$7:$M$1506,0)),"")))</f>
        <v/>
      </c>
      <c r="J665" s="78" t="str">
        <f aca="false">IF(B665="","",IFERROR(INDEX('CARNET DE SOUDURE'!$E$7:$E$1506,MATCH(B665,'CARNET DE SOUDURE'!$M$7:$M$1506,0)),""))</f>
        <v/>
      </c>
      <c r="K665" s="78" t="str">
        <f aca="false">IF(B665="","",IFERROR(INDEX('CARNET DE SOUDURE'!$E$7:$E$1506,MATCH(B665,'CARNET DE SOUDURE'!$K$7:$K$1506,0)),""))</f>
        <v/>
      </c>
      <c r="L665" s="78" t="str">
        <f aca="false">IF(B665="","",IFERROR(INDEX('CARNET DE SOUDURE'!$D$7:$D$1506,MATCH(B665,'CARNET DE SOUDURE'!$K$7:$K$1506,0)),IFERROR(INDEX('CARNET DE SOUDURE'!$D$7:$D$1506,MATCH(B665,'CARNET DE SOUDURE'!$M$7:$M$1506,0)),"")))</f>
        <v/>
      </c>
      <c r="M665" s="81" t="str">
        <f aca="false">IF(B665="","",IF(OR(J665&lt;&gt;"",K665&lt;&gt;""),"POSÉ EN LIGNE",IF(H665&lt;&gt;"","BARDÉ","EN STOCK")))</f>
        <v/>
      </c>
      <c r="N665" s="79"/>
    </row>
    <row r="666" customFormat="false" ht="15" hidden="false" customHeight="false" outlineLevel="0" collapsed="false">
      <c r="A666" s="78" t="str">
        <f aca="false">IF(B666="","",ROW()-6)</f>
        <v/>
      </c>
      <c r="B666" s="90"/>
      <c r="C666" s="91"/>
      <c r="D666" s="91"/>
      <c r="E666" s="80"/>
      <c r="F666" s="92"/>
      <c r="G666" s="79"/>
      <c r="H666" s="82"/>
      <c r="I666" s="93" t="str">
        <f aca="false">IF(B666="","",IFERROR(INDEX('CARNET DE SOUDURE'!$B$7:$B$1506,MATCH(B666,'CARNET DE SOUDURE'!$K$7:$K$1506,0)),IFERROR(INDEX('CARNET DE SOUDURE'!$B$7:$B$1506,MATCH(B666,'CARNET DE SOUDURE'!$M$7:$M$1506,0)),"")))</f>
        <v/>
      </c>
      <c r="J666" s="78" t="str">
        <f aca="false">IF(B666="","",IFERROR(INDEX('CARNET DE SOUDURE'!$E$7:$E$1506,MATCH(B666,'CARNET DE SOUDURE'!$M$7:$M$1506,0)),""))</f>
        <v/>
      </c>
      <c r="K666" s="78" t="str">
        <f aca="false">IF(B666="","",IFERROR(INDEX('CARNET DE SOUDURE'!$E$7:$E$1506,MATCH(B666,'CARNET DE SOUDURE'!$K$7:$K$1506,0)),""))</f>
        <v/>
      </c>
      <c r="L666" s="78" t="str">
        <f aca="false">IF(B666="","",IFERROR(INDEX('CARNET DE SOUDURE'!$D$7:$D$1506,MATCH(B666,'CARNET DE SOUDURE'!$K$7:$K$1506,0)),IFERROR(INDEX('CARNET DE SOUDURE'!$D$7:$D$1506,MATCH(B666,'CARNET DE SOUDURE'!$M$7:$M$1506,0)),"")))</f>
        <v/>
      </c>
      <c r="M666" s="81" t="str">
        <f aca="false">IF(B666="","",IF(OR(J666&lt;&gt;"",K666&lt;&gt;""),"POSÉ EN LIGNE",IF(H666&lt;&gt;"","BARDÉ","EN STOCK")))</f>
        <v/>
      </c>
      <c r="N666" s="79"/>
    </row>
    <row r="667" customFormat="false" ht="15" hidden="false" customHeight="false" outlineLevel="0" collapsed="false">
      <c r="A667" s="78" t="str">
        <f aca="false">IF(B667="","",ROW()-6)</f>
        <v/>
      </c>
      <c r="B667" s="90"/>
      <c r="C667" s="91"/>
      <c r="D667" s="91"/>
      <c r="E667" s="80"/>
      <c r="F667" s="92"/>
      <c r="G667" s="79"/>
      <c r="H667" s="82"/>
      <c r="I667" s="93" t="str">
        <f aca="false">IF(B667="","",IFERROR(INDEX('CARNET DE SOUDURE'!$B$7:$B$1506,MATCH(B667,'CARNET DE SOUDURE'!$K$7:$K$1506,0)),IFERROR(INDEX('CARNET DE SOUDURE'!$B$7:$B$1506,MATCH(B667,'CARNET DE SOUDURE'!$M$7:$M$1506,0)),"")))</f>
        <v/>
      </c>
      <c r="J667" s="78" t="str">
        <f aca="false">IF(B667="","",IFERROR(INDEX('CARNET DE SOUDURE'!$E$7:$E$1506,MATCH(B667,'CARNET DE SOUDURE'!$M$7:$M$1506,0)),""))</f>
        <v/>
      </c>
      <c r="K667" s="78" t="str">
        <f aca="false">IF(B667="","",IFERROR(INDEX('CARNET DE SOUDURE'!$E$7:$E$1506,MATCH(B667,'CARNET DE SOUDURE'!$K$7:$K$1506,0)),""))</f>
        <v/>
      </c>
      <c r="L667" s="78" t="str">
        <f aca="false">IF(B667="","",IFERROR(INDEX('CARNET DE SOUDURE'!$D$7:$D$1506,MATCH(B667,'CARNET DE SOUDURE'!$K$7:$K$1506,0)),IFERROR(INDEX('CARNET DE SOUDURE'!$D$7:$D$1506,MATCH(B667,'CARNET DE SOUDURE'!$M$7:$M$1506,0)),"")))</f>
        <v/>
      </c>
      <c r="M667" s="81" t="str">
        <f aca="false">IF(B667="","",IF(OR(J667&lt;&gt;"",K667&lt;&gt;""),"POSÉ EN LIGNE",IF(H667&lt;&gt;"","BARDÉ","EN STOCK")))</f>
        <v/>
      </c>
      <c r="N667" s="79"/>
    </row>
    <row r="668" customFormat="false" ht="15" hidden="false" customHeight="false" outlineLevel="0" collapsed="false">
      <c r="A668" s="78" t="str">
        <f aca="false">IF(B668="","",ROW()-6)</f>
        <v/>
      </c>
      <c r="B668" s="90"/>
      <c r="C668" s="91"/>
      <c r="D668" s="91"/>
      <c r="E668" s="80"/>
      <c r="F668" s="92"/>
      <c r="G668" s="79"/>
      <c r="H668" s="82"/>
      <c r="I668" s="93" t="str">
        <f aca="false">IF(B668="","",IFERROR(INDEX('CARNET DE SOUDURE'!$B$7:$B$1506,MATCH(B668,'CARNET DE SOUDURE'!$K$7:$K$1506,0)),IFERROR(INDEX('CARNET DE SOUDURE'!$B$7:$B$1506,MATCH(B668,'CARNET DE SOUDURE'!$M$7:$M$1506,0)),"")))</f>
        <v/>
      </c>
      <c r="J668" s="78" t="str">
        <f aca="false">IF(B668="","",IFERROR(INDEX('CARNET DE SOUDURE'!$E$7:$E$1506,MATCH(B668,'CARNET DE SOUDURE'!$M$7:$M$1506,0)),""))</f>
        <v/>
      </c>
      <c r="K668" s="78" t="str">
        <f aca="false">IF(B668="","",IFERROR(INDEX('CARNET DE SOUDURE'!$E$7:$E$1506,MATCH(B668,'CARNET DE SOUDURE'!$K$7:$K$1506,0)),""))</f>
        <v/>
      </c>
      <c r="L668" s="78" t="str">
        <f aca="false">IF(B668="","",IFERROR(INDEX('CARNET DE SOUDURE'!$D$7:$D$1506,MATCH(B668,'CARNET DE SOUDURE'!$K$7:$K$1506,0)),IFERROR(INDEX('CARNET DE SOUDURE'!$D$7:$D$1506,MATCH(B668,'CARNET DE SOUDURE'!$M$7:$M$1506,0)),"")))</f>
        <v/>
      </c>
      <c r="M668" s="81" t="str">
        <f aca="false">IF(B668="","",IF(OR(J668&lt;&gt;"",K668&lt;&gt;""),"POSÉ EN LIGNE",IF(H668&lt;&gt;"","BARDÉ","EN STOCK")))</f>
        <v/>
      </c>
      <c r="N668" s="79"/>
    </row>
    <row r="669" customFormat="false" ht="15" hidden="false" customHeight="false" outlineLevel="0" collapsed="false">
      <c r="A669" s="78" t="str">
        <f aca="false">IF(B669="","",ROW()-6)</f>
        <v/>
      </c>
      <c r="B669" s="90"/>
      <c r="C669" s="91"/>
      <c r="D669" s="91"/>
      <c r="E669" s="80"/>
      <c r="F669" s="92"/>
      <c r="G669" s="79"/>
      <c r="H669" s="82"/>
      <c r="I669" s="93" t="str">
        <f aca="false">IF(B669="","",IFERROR(INDEX('CARNET DE SOUDURE'!$B$7:$B$1506,MATCH(B669,'CARNET DE SOUDURE'!$K$7:$K$1506,0)),IFERROR(INDEX('CARNET DE SOUDURE'!$B$7:$B$1506,MATCH(B669,'CARNET DE SOUDURE'!$M$7:$M$1506,0)),"")))</f>
        <v/>
      </c>
      <c r="J669" s="78" t="str">
        <f aca="false">IF(B669="","",IFERROR(INDEX('CARNET DE SOUDURE'!$E$7:$E$1506,MATCH(B669,'CARNET DE SOUDURE'!$M$7:$M$1506,0)),""))</f>
        <v/>
      </c>
      <c r="K669" s="78" t="str">
        <f aca="false">IF(B669="","",IFERROR(INDEX('CARNET DE SOUDURE'!$E$7:$E$1506,MATCH(B669,'CARNET DE SOUDURE'!$K$7:$K$1506,0)),""))</f>
        <v/>
      </c>
      <c r="L669" s="78" t="str">
        <f aca="false">IF(B669="","",IFERROR(INDEX('CARNET DE SOUDURE'!$D$7:$D$1506,MATCH(B669,'CARNET DE SOUDURE'!$K$7:$K$1506,0)),IFERROR(INDEX('CARNET DE SOUDURE'!$D$7:$D$1506,MATCH(B669,'CARNET DE SOUDURE'!$M$7:$M$1506,0)),"")))</f>
        <v/>
      </c>
      <c r="M669" s="81" t="str">
        <f aca="false">IF(B669="","",IF(OR(J669&lt;&gt;"",K669&lt;&gt;""),"POSÉ EN LIGNE",IF(H669&lt;&gt;"","BARDÉ","EN STOCK")))</f>
        <v/>
      </c>
      <c r="N669" s="79"/>
    </row>
    <row r="670" customFormat="false" ht="15" hidden="false" customHeight="false" outlineLevel="0" collapsed="false">
      <c r="A670" s="78" t="str">
        <f aca="false">IF(B670="","",ROW()-6)</f>
        <v/>
      </c>
      <c r="B670" s="90"/>
      <c r="C670" s="91"/>
      <c r="D670" s="91"/>
      <c r="E670" s="80"/>
      <c r="F670" s="92"/>
      <c r="G670" s="79"/>
      <c r="H670" s="82"/>
      <c r="I670" s="93" t="str">
        <f aca="false">IF(B670="","",IFERROR(INDEX('CARNET DE SOUDURE'!$B$7:$B$1506,MATCH(B670,'CARNET DE SOUDURE'!$K$7:$K$1506,0)),IFERROR(INDEX('CARNET DE SOUDURE'!$B$7:$B$1506,MATCH(B670,'CARNET DE SOUDURE'!$M$7:$M$1506,0)),"")))</f>
        <v/>
      </c>
      <c r="J670" s="78" t="str">
        <f aca="false">IF(B670="","",IFERROR(INDEX('CARNET DE SOUDURE'!$E$7:$E$1506,MATCH(B670,'CARNET DE SOUDURE'!$M$7:$M$1506,0)),""))</f>
        <v/>
      </c>
      <c r="K670" s="78" t="str">
        <f aca="false">IF(B670="","",IFERROR(INDEX('CARNET DE SOUDURE'!$E$7:$E$1506,MATCH(B670,'CARNET DE SOUDURE'!$K$7:$K$1506,0)),""))</f>
        <v/>
      </c>
      <c r="L670" s="78" t="str">
        <f aca="false">IF(B670="","",IFERROR(INDEX('CARNET DE SOUDURE'!$D$7:$D$1506,MATCH(B670,'CARNET DE SOUDURE'!$K$7:$K$1506,0)),IFERROR(INDEX('CARNET DE SOUDURE'!$D$7:$D$1506,MATCH(B670,'CARNET DE SOUDURE'!$M$7:$M$1506,0)),"")))</f>
        <v/>
      </c>
      <c r="M670" s="81" t="str">
        <f aca="false">IF(B670="","",IF(OR(J670&lt;&gt;"",K670&lt;&gt;""),"POSÉ EN LIGNE",IF(H670&lt;&gt;"","BARDÉ","EN STOCK")))</f>
        <v/>
      </c>
      <c r="N670" s="79"/>
    </row>
    <row r="671" customFormat="false" ht="15" hidden="false" customHeight="false" outlineLevel="0" collapsed="false">
      <c r="A671" s="78" t="str">
        <f aca="false">IF(B671="","",ROW()-6)</f>
        <v/>
      </c>
      <c r="B671" s="90"/>
      <c r="C671" s="91"/>
      <c r="D671" s="91"/>
      <c r="E671" s="80"/>
      <c r="F671" s="92"/>
      <c r="G671" s="79"/>
      <c r="H671" s="82"/>
      <c r="I671" s="93" t="str">
        <f aca="false">IF(B671="","",IFERROR(INDEX('CARNET DE SOUDURE'!$B$7:$B$1506,MATCH(B671,'CARNET DE SOUDURE'!$K$7:$K$1506,0)),IFERROR(INDEX('CARNET DE SOUDURE'!$B$7:$B$1506,MATCH(B671,'CARNET DE SOUDURE'!$M$7:$M$1506,0)),"")))</f>
        <v/>
      </c>
      <c r="J671" s="78" t="str">
        <f aca="false">IF(B671="","",IFERROR(INDEX('CARNET DE SOUDURE'!$E$7:$E$1506,MATCH(B671,'CARNET DE SOUDURE'!$M$7:$M$1506,0)),""))</f>
        <v/>
      </c>
      <c r="K671" s="78" t="str">
        <f aca="false">IF(B671="","",IFERROR(INDEX('CARNET DE SOUDURE'!$E$7:$E$1506,MATCH(B671,'CARNET DE SOUDURE'!$K$7:$K$1506,0)),""))</f>
        <v/>
      </c>
      <c r="L671" s="78" t="str">
        <f aca="false">IF(B671="","",IFERROR(INDEX('CARNET DE SOUDURE'!$D$7:$D$1506,MATCH(B671,'CARNET DE SOUDURE'!$K$7:$K$1506,0)),IFERROR(INDEX('CARNET DE SOUDURE'!$D$7:$D$1506,MATCH(B671,'CARNET DE SOUDURE'!$M$7:$M$1506,0)),"")))</f>
        <v/>
      </c>
      <c r="M671" s="81" t="str">
        <f aca="false">IF(B671="","",IF(OR(J671&lt;&gt;"",K671&lt;&gt;""),"POSÉ EN LIGNE",IF(H671&lt;&gt;"","BARDÉ","EN STOCK")))</f>
        <v/>
      </c>
      <c r="N671" s="79"/>
    </row>
    <row r="672" customFormat="false" ht="15" hidden="false" customHeight="false" outlineLevel="0" collapsed="false">
      <c r="A672" s="78" t="str">
        <f aca="false">IF(B672="","",ROW()-6)</f>
        <v/>
      </c>
      <c r="B672" s="90"/>
      <c r="C672" s="91"/>
      <c r="D672" s="91"/>
      <c r="E672" s="80"/>
      <c r="F672" s="92"/>
      <c r="G672" s="79"/>
      <c r="H672" s="82"/>
      <c r="I672" s="93" t="str">
        <f aca="false">IF(B672="","",IFERROR(INDEX('CARNET DE SOUDURE'!$B$7:$B$1506,MATCH(B672,'CARNET DE SOUDURE'!$K$7:$K$1506,0)),IFERROR(INDEX('CARNET DE SOUDURE'!$B$7:$B$1506,MATCH(B672,'CARNET DE SOUDURE'!$M$7:$M$1506,0)),"")))</f>
        <v/>
      </c>
      <c r="J672" s="78" t="str">
        <f aca="false">IF(B672="","",IFERROR(INDEX('CARNET DE SOUDURE'!$E$7:$E$1506,MATCH(B672,'CARNET DE SOUDURE'!$M$7:$M$1506,0)),""))</f>
        <v/>
      </c>
      <c r="K672" s="78" t="str">
        <f aca="false">IF(B672="","",IFERROR(INDEX('CARNET DE SOUDURE'!$E$7:$E$1506,MATCH(B672,'CARNET DE SOUDURE'!$K$7:$K$1506,0)),""))</f>
        <v/>
      </c>
      <c r="L672" s="78" t="str">
        <f aca="false">IF(B672="","",IFERROR(INDEX('CARNET DE SOUDURE'!$D$7:$D$1506,MATCH(B672,'CARNET DE SOUDURE'!$K$7:$K$1506,0)),IFERROR(INDEX('CARNET DE SOUDURE'!$D$7:$D$1506,MATCH(B672,'CARNET DE SOUDURE'!$M$7:$M$1506,0)),"")))</f>
        <v/>
      </c>
      <c r="M672" s="81" t="str">
        <f aca="false">IF(B672="","",IF(OR(J672&lt;&gt;"",K672&lt;&gt;""),"POSÉ EN LIGNE",IF(H672&lt;&gt;"","BARDÉ","EN STOCK")))</f>
        <v/>
      </c>
      <c r="N672" s="79"/>
    </row>
    <row r="673" customFormat="false" ht="15" hidden="false" customHeight="false" outlineLevel="0" collapsed="false">
      <c r="A673" s="78" t="str">
        <f aca="false">IF(B673="","",ROW()-6)</f>
        <v/>
      </c>
      <c r="B673" s="90"/>
      <c r="C673" s="91"/>
      <c r="D673" s="91"/>
      <c r="E673" s="80"/>
      <c r="F673" s="92"/>
      <c r="G673" s="79"/>
      <c r="H673" s="82"/>
      <c r="I673" s="93" t="str">
        <f aca="false">IF(B673="","",IFERROR(INDEX('CARNET DE SOUDURE'!$B$7:$B$1506,MATCH(B673,'CARNET DE SOUDURE'!$K$7:$K$1506,0)),IFERROR(INDEX('CARNET DE SOUDURE'!$B$7:$B$1506,MATCH(B673,'CARNET DE SOUDURE'!$M$7:$M$1506,0)),"")))</f>
        <v/>
      </c>
      <c r="J673" s="78" t="str">
        <f aca="false">IF(B673="","",IFERROR(INDEX('CARNET DE SOUDURE'!$E$7:$E$1506,MATCH(B673,'CARNET DE SOUDURE'!$M$7:$M$1506,0)),""))</f>
        <v/>
      </c>
      <c r="K673" s="78" t="str">
        <f aca="false">IF(B673="","",IFERROR(INDEX('CARNET DE SOUDURE'!$E$7:$E$1506,MATCH(B673,'CARNET DE SOUDURE'!$K$7:$K$1506,0)),""))</f>
        <v/>
      </c>
      <c r="L673" s="78" t="str">
        <f aca="false">IF(B673="","",IFERROR(INDEX('CARNET DE SOUDURE'!$D$7:$D$1506,MATCH(B673,'CARNET DE SOUDURE'!$K$7:$K$1506,0)),IFERROR(INDEX('CARNET DE SOUDURE'!$D$7:$D$1506,MATCH(B673,'CARNET DE SOUDURE'!$M$7:$M$1506,0)),"")))</f>
        <v/>
      </c>
      <c r="M673" s="81" t="str">
        <f aca="false">IF(B673="","",IF(OR(J673&lt;&gt;"",K673&lt;&gt;""),"POSÉ EN LIGNE",IF(H673&lt;&gt;"","BARDÉ","EN STOCK")))</f>
        <v/>
      </c>
      <c r="N673" s="79"/>
    </row>
    <row r="674" customFormat="false" ht="15" hidden="false" customHeight="false" outlineLevel="0" collapsed="false">
      <c r="A674" s="78" t="str">
        <f aca="false">IF(B674="","",ROW()-6)</f>
        <v/>
      </c>
      <c r="B674" s="90"/>
      <c r="C674" s="91"/>
      <c r="D674" s="91"/>
      <c r="E674" s="80"/>
      <c r="F674" s="92"/>
      <c r="G674" s="79"/>
      <c r="H674" s="82"/>
      <c r="I674" s="93" t="str">
        <f aca="false">IF(B674="","",IFERROR(INDEX('CARNET DE SOUDURE'!$B$7:$B$1506,MATCH(B674,'CARNET DE SOUDURE'!$K$7:$K$1506,0)),IFERROR(INDEX('CARNET DE SOUDURE'!$B$7:$B$1506,MATCH(B674,'CARNET DE SOUDURE'!$M$7:$M$1506,0)),"")))</f>
        <v/>
      </c>
      <c r="J674" s="78" t="str">
        <f aca="false">IF(B674="","",IFERROR(INDEX('CARNET DE SOUDURE'!$E$7:$E$1506,MATCH(B674,'CARNET DE SOUDURE'!$M$7:$M$1506,0)),""))</f>
        <v/>
      </c>
      <c r="K674" s="78" t="str">
        <f aca="false">IF(B674="","",IFERROR(INDEX('CARNET DE SOUDURE'!$E$7:$E$1506,MATCH(B674,'CARNET DE SOUDURE'!$K$7:$K$1506,0)),""))</f>
        <v/>
      </c>
      <c r="L674" s="78" t="str">
        <f aca="false">IF(B674="","",IFERROR(INDEX('CARNET DE SOUDURE'!$D$7:$D$1506,MATCH(B674,'CARNET DE SOUDURE'!$K$7:$K$1506,0)),IFERROR(INDEX('CARNET DE SOUDURE'!$D$7:$D$1506,MATCH(B674,'CARNET DE SOUDURE'!$M$7:$M$1506,0)),"")))</f>
        <v/>
      </c>
      <c r="M674" s="81" t="str">
        <f aca="false">IF(B674="","",IF(OR(J674&lt;&gt;"",K674&lt;&gt;""),"POSÉ EN LIGNE",IF(H674&lt;&gt;"","BARDÉ","EN STOCK")))</f>
        <v/>
      </c>
      <c r="N674" s="79"/>
    </row>
    <row r="675" customFormat="false" ht="15" hidden="false" customHeight="false" outlineLevel="0" collapsed="false">
      <c r="A675" s="78" t="str">
        <f aca="false">IF(B675="","",ROW()-6)</f>
        <v/>
      </c>
      <c r="B675" s="90"/>
      <c r="C675" s="91"/>
      <c r="D675" s="91"/>
      <c r="E675" s="80"/>
      <c r="F675" s="92"/>
      <c r="G675" s="79"/>
      <c r="H675" s="82"/>
      <c r="I675" s="93" t="str">
        <f aca="false">IF(B675="","",IFERROR(INDEX('CARNET DE SOUDURE'!$B$7:$B$1506,MATCH(B675,'CARNET DE SOUDURE'!$K$7:$K$1506,0)),IFERROR(INDEX('CARNET DE SOUDURE'!$B$7:$B$1506,MATCH(B675,'CARNET DE SOUDURE'!$M$7:$M$1506,0)),"")))</f>
        <v/>
      </c>
      <c r="J675" s="78" t="str">
        <f aca="false">IF(B675="","",IFERROR(INDEX('CARNET DE SOUDURE'!$E$7:$E$1506,MATCH(B675,'CARNET DE SOUDURE'!$M$7:$M$1506,0)),""))</f>
        <v/>
      </c>
      <c r="K675" s="78" t="str">
        <f aca="false">IF(B675="","",IFERROR(INDEX('CARNET DE SOUDURE'!$E$7:$E$1506,MATCH(B675,'CARNET DE SOUDURE'!$K$7:$K$1506,0)),""))</f>
        <v/>
      </c>
      <c r="L675" s="78" t="str">
        <f aca="false">IF(B675="","",IFERROR(INDEX('CARNET DE SOUDURE'!$D$7:$D$1506,MATCH(B675,'CARNET DE SOUDURE'!$K$7:$K$1506,0)),IFERROR(INDEX('CARNET DE SOUDURE'!$D$7:$D$1506,MATCH(B675,'CARNET DE SOUDURE'!$M$7:$M$1506,0)),"")))</f>
        <v/>
      </c>
      <c r="M675" s="81" t="str">
        <f aca="false">IF(B675="","",IF(OR(J675&lt;&gt;"",K675&lt;&gt;""),"POSÉ EN LIGNE",IF(H675&lt;&gt;"","BARDÉ","EN STOCK")))</f>
        <v/>
      </c>
      <c r="N675" s="79"/>
    </row>
    <row r="676" customFormat="false" ht="15" hidden="false" customHeight="false" outlineLevel="0" collapsed="false">
      <c r="A676" s="78" t="str">
        <f aca="false">IF(B676="","",ROW()-6)</f>
        <v/>
      </c>
      <c r="B676" s="90"/>
      <c r="C676" s="91"/>
      <c r="D676" s="91"/>
      <c r="E676" s="80"/>
      <c r="F676" s="92"/>
      <c r="G676" s="79"/>
      <c r="H676" s="82"/>
      <c r="I676" s="93" t="str">
        <f aca="false">IF(B676="","",IFERROR(INDEX('CARNET DE SOUDURE'!$B$7:$B$1506,MATCH(B676,'CARNET DE SOUDURE'!$K$7:$K$1506,0)),IFERROR(INDEX('CARNET DE SOUDURE'!$B$7:$B$1506,MATCH(B676,'CARNET DE SOUDURE'!$M$7:$M$1506,0)),"")))</f>
        <v/>
      </c>
      <c r="J676" s="78" t="str">
        <f aca="false">IF(B676="","",IFERROR(INDEX('CARNET DE SOUDURE'!$E$7:$E$1506,MATCH(B676,'CARNET DE SOUDURE'!$M$7:$M$1506,0)),""))</f>
        <v/>
      </c>
      <c r="K676" s="78" t="str">
        <f aca="false">IF(B676="","",IFERROR(INDEX('CARNET DE SOUDURE'!$E$7:$E$1506,MATCH(B676,'CARNET DE SOUDURE'!$K$7:$K$1506,0)),""))</f>
        <v/>
      </c>
      <c r="L676" s="78" t="str">
        <f aca="false">IF(B676="","",IFERROR(INDEX('CARNET DE SOUDURE'!$D$7:$D$1506,MATCH(B676,'CARNET DE SOUDURE'!$K$7:$K$1506,0)),IFERROR(INDEX('CARNET DE SOUDURE'!$D$7:$D$1506,MATCH(B676,'CARNET DE SOUDURE'!$M$7:$M$1506,0)),"")))</f>
        <v/>
      </c>
      <c r="M676" s="81" t="str">
        <f aca="false">IF(B676="","",IF(OR(J676&lt;&gt;"",K676&lt;&gt;""),"POSÉ EN LIGNE",IF(H676&lt;&gt;"","BARDÉ","EN STOCK")))</f>
        <v/>
      </c>
      <c r="N676" s="79"/>
    </row>
    <row r="677" customFormat="false" ht="15" hidden="false" customHeight="false" outlineLevel="0" collapsed="false">
      <c r="A677" s="78" t="str">
        <f aca="false">IF(B677="","",ROW()-6)</f>
        <v/>
      </c>
      <c r="B677" s="90"/>
      <c r="C677" s="91"/>
      <c r="D677" s="91"/>
      <c r="E677" s="80"/>
      <c r="F677" s="92"/>
      <c r="G677" s="79"/>
      <c r="H677" s="82"/>
      <c r="I677" s="93" t="str">
        <f aca="false">IF(B677="","",IFERROR(INDEX('CARNET DE SOUDURE'!$B$7:$B$1506,MATCH(B677,'CARNET DE SOUDURE'!$K$7:$K$1506,0)),IFERROR(INDEX('CARNET DE SOUDURE'!$B$7:$B$1506,MATCH(B677,'CARNET DE SOUDURE'!$M$7:$M$1506,0)),"")))</f>
        <v/>
      </c>
      <c r="J677" s="78" t="str">
        <f aca="false">IF(B677="","",IFERROR(INDEX('CARNET DE SOUDURE'!$E$7:$E$1506,MATCH(B677,'CARNET DE SOUDURE'!$M$7:$M$1506,0)),""))</f>
        <v/>
      </c>
      <c r="K677" s="78" t="str">
        <f aca="false">IF(B677="","",IFERROR(INDEX('CARNET DE SOUDURE'!$E$7:$E$1506,MATCH(B677,'CARNET DE SOUDURE'!$K$7:$K$1506,0)),""))</f>
        <v/>
      </c>
      <c r="L677" s="78" t="str">
        <f aca="false">IF(B677="","",IFERROR(INDEX('CARNET DE SOUDURE'!$D$7:$D$1506,MATCH(B677,'CARNET DE SOUDURE'!$K$7:$K$1506,0)),IFERROR(INDEX('CARNET DE SOUDURE'!$D$7:$D$1506,MATCH(B677,'CARNET DE SOUDURE'!$M$7:$M$1506,0)),"")))</f>
        <v/>
      </c>
      <c r="M677" s="81" t="str">
        <f aca="false">IF(B677="","",IF(OR(J677&lt;&gt;"",K677&lt;&gt;""),"POSÉ EN LIGNE",IF(H677&lt;&gt;"","BARDÉ","EN STOCK")))</f>
        <v/>
      </c>
      <c r="N677" s="79"/>
    </row>
    <row r="678" customFormat="false" ht="15" hidden="false" customHeight="false" outlineLevel="0" collapsed="false">
      <c r="A678" s="78" t="str">
        <f aca="false">IF(B678="","",ROW()-6)</f>
        <v/>
      </c>
      <c r="B678" s="90"/>
      <c r="C678" s="91"/>
      <c r="D678" s="91"/>
      <c r="E678" s="80"/>
      <c r="F678" s="92"/>
      <c r="G678" s="79"/>
      <c r="H678" s="82"/>
      <c r="I678" s="93" t="str">
        <f aca="false">IF(B678="","",IFERROR(INDEX('CARNET DE SOUDURE'!$B$7:$B$1506,MATCH(B678,'CARNET DE SOUDURE'!$K$7:$K$1506,0)),IFERROR(INDEX('CARNET DE SOUDURE'!$B$7:$B$1506,MATCH(B678,'CARNET DE SOUDURE'!$M$7:$M$1506,0)),"")))</f>
        <v/>
      </c>
      <c r="J678" s="78" t="str">
        <f aca="false">IF(B678="","",IFERROR(INDEX('CARNET DE SOUDURE'!$E$7:$E$1506,MATCH(B678,'CARNET DE SOUDURE'!$M$7:$M$1506,0)),""))</f>
        <v/>
      </c>
      <c r="K678" s="78" t="str">
        <f aca="false">IF(B678="","",IFERROR(INDEX('CARNET DE SOUDURE'!$E$7:$E$1506,MATCH(B678,'CARNET DE SOUDURE'!$K$7:$K$1506,0)),""))</f>
        <v/>
      </c>
      <c r="L678" s="78" t="str">
        <f aca="false">IF(B678="","",IFERROR(INDEX('CARNET DE SOUDURE'!$D$7:$D$1506,MATCH(B678,'CARNET DE SOUDURE'!$K$7:$K$1506,0)),IFERROR(INDEX('CARNET DE SOUDURE'!$D$7:$D$1506,MATCH(B678,'CARNET DE SOUDURE'!$M$7:$M$1506,0)),"")))</f>
        <v/>
      </c>
      <c r="M678" s="81" t="str">
        <f aca="false">IF(B678="","",IF(OR(J678&lt;&gt;"",K678&lt;&gt;""),"POSÉ EN LIGNE",IF(H678&lt;&gt;"","BARDÉ","EN STOCK")))</f>
        <v/>
      </c>
      <c r="N678" s="79"/>
    </row>
    <row r="679" customFormat="false" ht="15" hidden="false" customHeight="false" outlineLevel="0" collapsed="false">
      <c r="A679" s="78" t="str">
        <f aca="false">IF(B679="","",ROW()-6)</f>
        <v/>
      </c>
      <c r="B679" s="90"/>
      <c r="C679" s="91"/>
      <c r="D679" s="91"/>
      <c r="E679" s="80"/>
      <c r="F679" s="92"/>
      <c r="G679" s="79"/>
      <c r="H679" s="82"/>
      <c r="I679" s="93" t="str">
        <f aca="false">IF(B679="","",IFERROR(INDEX('CARNET DE SOUDURE'!$B$7:$B$1506,MATCH(B679,'CARNET DE SOUDURE'!$K$7:$K$1506,0)),IFERROR(INDEX('CARNET DE SOUDURE'!$B$7:$B$1506,MATCH(B679,'CARNET DE SOUDURE'!$M$7:$M$1506,0)),"")))</f>
        <v/>
      </c>
      <c r="J679" s="78" t="str">
        <f aca="false">IF(B679="","",IFERROR(INDEX('CARNET DE SOUDURE'!$E$7:$E$1506,MATCH(B679,'CARNET DE SOUDURE'!$M$7:$M$1506,0)),""))</f>
        <v/>
      </c>
      <c r="K679" s="78" t="str">
        <f aca="false">IF(B679="","",IFERROR(INDEX('CARNET DE SOUDURE'!$E$7:$E$1506,MATCH(B679,'CARNET DE SOUDURE'!$K$7:$K$1506,0)),""))</f>
        <v/>
      </c>
      <c r="L679" s="78" t="str">
        <f aca="false">IF(B679="","",IFERROR(INDEX('CARNET DE SOUDURE'!$D$7:$D$1506,MATCH(B679,'CARNET DE SOUDURE'!$K$7:$K$1506,0)),IFERROR(INDEX('CARNET DE SOUDURE'!$D$7:$D$1506,MATCH(B679,'CARNET DE SOUDURE'!$M$7:$M$1506,0)),"")))</f>
        <v/>
      </c>
      <c r="M679" s="81" t="str">
        <f aca="false">IF(B679="","",IF(OR(J679&lt;&gt;"",K679&lt;&gt;""),"POSÉ EN LIGNE",IF(H679&lt;&gt;"","BARDÉ","EN STOCK")))</f>
        <v/>
      </c>
      <c r="N679" s="79"/>
    </row>
    <row r="680" customFormat="false" ht="15" hidden="false" customHeight="false" outlineLevel="0" collapsed="false">
      <c r="A680" s="78" t="str">
        <f aca="false">IF(B680="","",ROW()-6)</f>
        <v/>
      </c>
      <c r="B680" s="90"/>
      <c r="C680" s="91"/>
      <c r="D680" s="91"/>
      <c r="E680" s="80"/>
      <c r="F680" s="92"/>
      <c r="G680" s="79"/>
      <c r="H680" s="82"/>
      <c r="I680" s="93" t="str">
        <f aca="false">IF(B680="","",IFERROR(INDEX('CARNET DE SOUDURE'!$B$7:$B$1506,MATCH(B680,'CARNET DE SOUDURE'!$K$7:$K$1506,0)),IFERROR(INDEX('CARNET DE SOUDURE'!$B$7:$B$1506,MATCH(B680,'CARNET DE SOUDURE'!$M$7:$M$1506,0)),"")))</f>
        <v/>
      </c>
      <c r="J680" s="78" t="str">
        <f aca="false">IF(B680="","",IFERROR(INDEX('CARNET DE SOUDURE'!$E$7:$E$1506,MATCH(B680,'CARNET DE SOUDURE'!$M$7:$M$1506,0)),""))</f>
        <v/>
      </c>
      <c r="K680" s="78" t="str">
        <f aca="false">IF(B680="","",IFERROR(INDEX('CARNET DE SOUDURE'!$E$7:$E$1506,MATCH(B680,'CARNET DE SOUDURE'!$K$7:$K$1506,0)),""))</f>
        <v/>
      </c>
      <c r="L680" s="78" t="str">
        <f aca="false">IF(B680="","",IFERROR(INDEX('CARNET DE SOUDURE'!$D$7:$D$1506,MATCH(B680,'CARNET DE SOUDURE'!$K$7:$K$1506,0)),IFERROR(INDEX('CARNET DE SOUDURE'!$D$7:$D$1506,MATCH(B680,'CARNET DE SOUDURE'!$M$7:$M$1506,0)),"")))</f>
        <v/>
      </c>
      <c r="M680" s="81" t="str">
        <f aca="false">IF(B680="","",IF(OR(J680&lt;&gt;"",K680&lt;&gt;""),"POSÉ EN LIGNE",IF(H680&lt;&gt;"","BARDÉ","EN STOCK")))</f>
        <v/>
      </c>
      <c r="N680" s="79"/>
    </row>
    <row r="681" customFormat="false" ht="15" hidden="false" customHeight="false" outlineLevel="0" collapsed="false">
      <c r="A681" s="78" t="str">
        <f aca="false">IF(B681="","",ROW()-6)</f>
        <v/>
      </c>
      <c r="B681" s="90"/>
      <c r="C681" s="91"/>
      <c r="D681" s="91"/>
      <c r="E681" s="80"/>
      <c r="F681" s="92"/>
      <c r="G681" s="79"/>
      <c r="H681" s="82"/>
      <c r="I681" s="93" t="str">
        <f aca="false">IF(B681="","",IFERROR(INDEX('CARNET DE SOUDURE'!$B$7:$B$1506,MATCH(B681,'CARNET DE SOUDURE'!$K$7:$K$1506,0)),IFERROR(INDEX('CARNET DE SOUDURE'!$B$7:$B$1506,MATCH(B681,'CARNET DE SOUDURE'!$M$7:$M$1506,0)),"")))</f>
        <v/>
      </c>
      <c r="J681" s="78" t="str">
        <f aca="false">IF(B681="","",IFERROR(INDEX('CARNET DE SOUDURE'!$E$7:$E$1506,MATCH(B681,'CARNET DE SOUDURE'!$M$7:$M$1506,0)),""))</f>
        <v/>
      </c>
      <c r="K681" s="78" t="str">
        <f aca="false">IF(B681="","",IFERROR(INDEX('CARNET DE SOUDURE'!$E$7:$E$1506,MATCH(B681,'CARNET DE SOUDURE'!$K$7:$K$1506,0)),""))</f>
        <v/>
      </c>
      <c r="L681" s="78" t="str">
        <f aca="false">IF(B681="","",IFERROR(INDEX('CARNET DE SOUDURE'!$D$7:$D$1506,MATCH(B681,'CARNET DE SOUDURE'!$K$7:$K$1506,0)),IFERROR(INDEX('CARNET DE SOUDURE'!$D$7:$D$1506,MATCH(B681,'CARNET DE SOUDURE'!$M$7:$M$1506,0)),"")))</f>
        <v/>
      </c>
      <c r="M681" s="81" t="str">
        <f aca="false">IF(B681="","",IF(OR(J681&lt;&gt;"",K681&lt;&gt;""),"POSÉ EN LIGNE",IF(H681&lt;&gt;"","BARDÉ","EN STOCK")))</f>
        <v/>
      </c>
      <c r="N681" s="79"/>
    </row>
    <row r="682" customFormat="false" ht="15" hidden="false" customHeight="false" outlineLevel="0" collapsed="false">
      <c r="A682" s="78" t="str">
        <f aca="false">IF(B682="","",ROW()-6)</f>
        <v/>
      </c>
      <c r="B682" s="90"/>
      <c r="C682" s="91"/>
      <c r="D682" s="91"/>
      <c r="E682" s="80"/>
      <c r="F682" s="92"/>
      <c r="G682" s="79"/>
      <c r="H682" s="82"/>
      <c r="I682" s="93" t="str">
        <f aca="false">IF(B682="","",IFERROR(INDEX('CARNET DE SOUDURE'!$B$7:$B$1506,MATCH(B682,'CARNET DE SOUDURE'!$K$7:$K$1506,0)),IFERROR(INDEX('CARNET DE SOUDURE'!$B$7:$B$1506,MATCH(B682,'CARNET DE SOUDURE'!$M$7:$M$1506,0)),"")))</f>
        <v/>
      </c>
      <c r="J682" s="78" t="str">
        <f aca="false">IF(B682="","",IFERROR(INDEX('CARNET DE SOUDURE'!$E$7:$E$1506,MATCH(B682,'CARNET DE SOUDURE'!$M$7:$M$1506,0)),""))</f>
        <v/>
      </c>
      <c r="K682" s="78" t="str">
        <f aca="false">IF(B682="","",IFERROR(INDEX('CARNET DE SOUDURE'!$E$7:$E$1506,MATCH(B682,'CARNET DE SOUDURE'!$K$7:$K$1506,0)),""))</f>
        <v/>
      </c>
      <c r="L682" s="78" t="str">
        <f aca="false">IF(B682="","",IFERROR(INDEX('CARNET DE SOUDURE'!$D$7:$D$1506,MATCH(B682,'CARNET DE SOUDURE'!$K$7:$K$1506,0)),IFERROR(INDEX('CARNET DE SOUDURE'!$D$7:$D$1506,MATCH(B682,'CARNET DE SOUDURE'!$M$7:$M$1506,0)),"")))</f>
        <v/>
      </c>
      <c r="M682" s="81" t="str">
        <f aca="false">IF(B682="","",IF(OR(J682&lt;&gt;"",K682&lt;&gt;""),"POSÉ EN LIGNE",IF(H682&lt;&gt;"","BARDÉ","EN STOCK")))</f>
        <v/>
      </c>
      <c r="N682" s="79"/>
    </row>
    <row r="683" customFormat="false" ht="15" hidden="false" customHeight="false" outlineLevel="0" collapsed="false">
      <c r="A683" s="78" t="str">
        <f aca="false">IF(B683="","",ROW()-6)</f>
        <v/>
      </c>
      <c r="B683" s="90"/>
      <c r="C683" s="91"/>
      <c r="D683" s="91"/>
      <c r="E683" s="80"/>
      <c r="F683" s="92"/>
      <c r="G683" s="79"/>
      <c r="H683" s="82"/>
      <c r="I683" s="93" t="str">
        <f aca="false">IF(B683="","",IFERROR(INDEX('CARNET DE SOUDURE'!$B$7:$B$1506,MATCH(B683,'CARNET DE SOUDURE'!$K$7:$K$1506,0)),IFERROR(INDEX('CARNET DE SOUDURE'!$B$7:$B$1506,MATCH(B683,'CARNET DE SOUDURE'!$M$7:$M$1506,0)),"")))</f>
        <v/>
      </c>
      <c r="J683" s="78" t="str">
        <f aca="false">IF(B683="","",IFERROR(INDEX('CARNET DE SOUDURE'!$E$7:$E$1506,MATCH(B683,'CARNET DE SOUDURE'!$M$7:$M$1506,0)),""))</f>
        <v/>
      </c>
      <c r="K683" s="78" t="str">
        <f aca="false">IF(B683="","",IFERROR(INDEX('CARNET DE SOUDURE'!$E$7:$E$1506,MATCH(B683,'CARNET DE SOUDURE'!$K$7:$K$1506,0)),""))</f>
        <v/>
      </c>
      <c r="L683" s="78" t="str">
        <f aca="false">IF(B683="","",IFERROR(INDEX('CARNET DE SOUDURE'!$D$7:$D$1506,MATCH(B683,'CARNET DE SOUDURE'!$K$7:$K$1506,0)),IFERROR(INDEX('CARNET DE SOUDURE'!$D$7:$D$1506,MATCH(B683,'CARNET DE SOUDURE'!$M$7:$M$1506,0)),"")))</f>
        <v/>
      </c>
      <c r="M683" s="81" t="str">
        <f aca="false">IF(B683="","",IF(OR(J683&lt;&gt;"",K683&lt;&gt;""),"POSÉ EN LIGNE",IF(H683&lt;&gt;"","BARDÉ","EN STOCK")))</f>
        <v/>
      </c>
      <c r="N683" s="79"/>
    </row>
    <row r="684" customFormat="false" ht="15" hidden="false" customHeight="false" outlineLevel="0" collapsed="false">
      <c r="A684" s="78" t="str">
        <f aca="false">IF(B684="","",ROW()-6)</f>
        <v/>
      </c>
      <c r="B684" s="90"/>
      <c r="C684" s="91"/>
      <c r="D684" s="91"/>
      <c r="E684" s="80"/>
      <c r="F684" s="92"/>
      <c r="G684" s="79"/>
      <c r="H684" s="82"/>
      <c r="I684" s="93" t="str">
        <f aca="false">IF(B684="","",IFERROR(INDEX('CARNET DE SOUDURE'!$B$7:$B$1506,MATCH(B684,'CARNET DE SOUDURE'!$K$7:$K$1506,0)),IFERROR(INDEX('CARNET DE SOUDURE'!$B$7:$B$1506,MATCH(B684,'CARNET DE SOUDURE'!$M$7:$M$1506,0)),"")))</f>
        <v/>
      </c>
      <c r="J684" s="78" t="str">
        <f aca="false">IF(B684="","",IFERROR(INDEX('CARNET DE SOUDURE'!$E$7:$E$1506,MATCH(B684,'CARNET DE SOUDURE'!$M$7:$M$1506,0)),""))</f>
        <v/>
      </c>
      <c r="K684" s="78" t="str">
        <f aca="false">IF(B684="","",IFERROR(INDEX('CARNET DE SOUDURE'!$E$7:$E$1506,MATCH(B684,'CARNET DE SOUDURE'!$K$7:$K$1506,0)),""))</f>
        <v/>
      </c>
      <c r="L684" s="78" t="str">
        <f aca="false">IF(B684="","",IFERROR(INDEX('CARNET DE SOUDURE'!$D$7:$D$1506,MATCH(B684,'CARNET DE SOUDURE'!$K$7:$K$1506,0)),IFERROR(INDEX('CARNET DE SOUDURE'!$D$7:$D$1506,MATCH(B684,'CARNET DE SOUDURE'!$M$7:$M$1506,0)),"")))</f>
        <v/>
      </c>
      <c r="M684" s="81" t="str">
        <f aca="false">IF(B684="","",IF(OR(J684&lt;&gt;"",K684&lt;&gt;""),"POSÉ EN LIGNE",IF(H684&lt;&gt;"","BARDÉ","EN STOCK")))</f>
        <v/>
      </c>
      <c r="N684" s="79"/>
    </row>
    <row r="685" customFormat="false" ht="15" hidden="false" customHeight="false" outlineLevel="0" collapsed="false">
      <c r="A685" s="78" t="str">
        <f aca="false">IF(B685="","",ROW()-6)</f>
        <v/>
      </c>
      <c r="B685" s="90"/>
      <c r="C685" s="91"/>
      <c r="D685" s="91"/>
      <c r="E685" s="80"/>
      <c r="F685" s="92"/>
      <c r="G685" s="79"/>
      <c r="H685" s="82"/>
      <c r="I685" s="93" t="str">
        <f aca="false">IF(B685="","",IFERROR(INDEX('CARNET DE SOUDURE'!$B$7:$B$1506,MATCH(B685,'CARNET DE SOUDURE'!$K$7:$K$1506,0)),IFERROR(INDEX('CARNET DE SOUDURE'!$B$7:$B$1506,MATCH(B685,'CARNET DE SOUDURE'!$M$7:$M$1506,0)),"")))</f>
        <v/>
      </c>
      <c r="J685" s="78" t="str">
        <f aca="false">IF(B685="","",IFERROR(INDEX('CARNET DE SOUDURE'!$E$7:$E$1506,MATCH(B685,'CARNET DE SOUDURE'!$M$7:$M$1506,0)),""))</f>
        <v/>
      </c>
      <c r="K685" s="78" t="str">
        <f aca="false">IF(B685="","",IFERROR(INDEX('CARNET DE SOUDURE'!$E$7:$E$1506,MATCH(B685,'CARNET DE SOUDURE'!$K$7:$K$1506,0)),""))</f>
        <v/>
      </c>
      <c r="L685" s="78" t="str">
        <f aca="false">IF(B685="","",IFERROR(INDEX('CARNET DE SOUDURE'!$D$7:$D$1506,MATCH(B685,'CARNET DE SOUDURE'!$K$7:$K$1506,0)),IFERROR(INDEX('CARNET DE SOUDURE'!$D$7:$D$1506,MATCH(B685,'CARNET DE SOUDURE'!$M$7:$M$1506,0)),"")))</f>
        <v/>
      </c>
      <c r="M685" s="81" t="str">
        <f aca="false">IF(B685="","",IF(OR(J685&lt;&gt;"",K685&lt;&gt;""),"POSÉ EN LIGNE",IF(H685&lt;&gt;"","BARDÉ","EN STOCK")))</f>
        <v/>
      </c>
      <c r="N685" s="79"/>
    </row>
    <row r="686" customFormat="false" ht="15" hidden="false" customHeight="false" outlineLevel="0" collapsed="false">
      <c r="A686" s="78" t="str">
        <f aca="false">IF(B686="","",ROW()-6)</f>
        <v/>
      </c>
      <c r="B686" s="90"/>
      <c r="C686" s="91"/>
      <c r="D686" s="91"/>
      <c r="E686" s="80"/>
      <c r="F686" s="92"/>
      <c r="G686" s="79"/>
      <c r="H686" s="82"/>
      <c r="I686" s="93" t="str">
        <f aca="false">IF(B686="","",IFERROR(INDEX('CARNET DE SOUDURE'!$B$7:$B$1506,MATCH(B686,'CARNET DE SOUDURE'!$K$7:$K$1506,0)),IFERROR(INDEX('CARNET DE SOUDURE'!$B$7:$B$1506,MATCH(B686,'CARNET DE SOUDURE'!$M$7:$M$1506,0)),"")))</f>
        <v/>
      </c>
      <c r="J686" s="78" t="str">
        <f aca="false">IF(B686="","",IFERROR(INDEX('CARNET DE SOUDURE'!$E$7:$E$1506,MATCH(B686,'CARNET DE SOUDURE'!$M$7:$M$1506,0)),""))</f>
        <v/>
      </c>
      <c r="K686" s="78" t="str">
        <f aca="false">IF(B686="","",IFERROR(INDEX('CARNET DE SOUDURE'!$E$7:$E$1506,MATCH(B686,'CARNET DE SOUDURE'!$K$7:$K$1506,0)),""))</f>
        <v/>
      </c>
      <c r="L686" s="78" t="str">
        <f aca="false">IF(B686="","",IFERROR(INDEX('CARNET DE SOUDURE'!$D$7:$D$1506,MATCH(B686,'CARNET DE SOUDURE'!$K$7:$K$1506,0)),IFERROR(INDEX('CARNET DE SOUDURE'!$D$7:$D$1506,MATCH(B686,'CARNET DE SOUDURE'!$M$7:$M$1506,0)),"")))</f>
        <v/>
      </c>
      <c r="M686" s="81" t="str">
        <f aca="false">IF(B686="","",IF(OR(J686&lt;&gt;"",K686&lt;&gt;""),"POSÉ EN LIGNE",IF(H686&lt;&gt;"","BARDÉ","EN STOCK")))</f>
        <v/>
      </c>
      <c r="N686" s="79"/>
    </row>
    <row r="687" customFormat="false" ht="15" hidden="false" customHeight="false" outlineLevel="0" collapsed="false">
      <c r="A687" s="78" t="str">
        <f aca="false">IF(B687="","",ROW()-6)</f>
        <v/>
      </c>
      <c r="B687" s="90"/>
      <c r="C687" s="91"/>
      <c r="D687" s="91"/>
      <c r="E687" s="80"/>
      <c r="F687" s="92"/>
      <c r="G687" s="79"/>
      <c r="H687" s="82"/>
      <c r="I687" s="93" t="str">
        <f aca="false">IF(B687="","",IFERROR(INDEX('CARNET DE SOUDURE'!$B$7:$B$1506,MATCH(B687,'CARNET DE SOUDURE'!$K$7:$K$1506,0)),IFERROR(INDEX('CARNET DE SOUDURE'!$B$7:$B$1506,MATCH(B687,'CARNET DE SOUDURE'!$M$7:$M$1506,0)),"")))</f>
        <v/>
      </c>
      <c r="J687" s="78" t="str">
        <f aca="false">IF(B687="","",IFERROR(INDEX('CARNET DE SOUDURE'!$E$7:$E$1506,MATCH(B687,'CARNET DE SOUDURE'!$M$7:$M$1506,0)),""))</f>
        <v/>
      </c>
      <c r="K687" s="78" t="str">
        <f aca="false">IF(B687="","",IFERROR(INDEX('CARNET DE SOUDURE'!$E$7:$E$1506,MATCH(B687,'CARNET DE SOUDURE'!$K$7:$K$1506,0)),""))</f>
        <v/>
      </c>
      <c r="L687" s="78" t="str">
        <f aca="false">IF(B687="","",IFERROR(INDEX('CARNET DE SOUDURE'!$D$7:$D$1506,MATCH(B687,'CARNET DE SOUDURE'!$K$7:$K$1506,0)),IFERROR(INDEX('CARNET DE SOUDURE'!$D$7:$D$1506,MATCH(B687,'CARNET DE SOUDURE'!$M$7:$M$1506,0)),"")))</f>
        <v/>
      </c>
      <c r="M687" s="81" t="str">
        <f aca="false">IF(B687="","",IF(OR(J687&lt;&gt;"",K687&lt;&gt;""),"POSÉ EN LIGNE",IF(H687&lt;&gt;"","BARDÉ","EN STOCK")))</f>
        <v/>
      </c>
      <c r="N687" s="79"/>
    </row>
    <row r="688" customFormat="false" ht="15" hidden="false" customHeight="false" outlineLevel="0" collapsed="false">
      <c r="A688" s="78" t="str">
        <f aca="false">IF(B688="","",ROW()-6)</f>
        <v/>
      </c>
      <c r="B688" s="90"/>
      <c r="C688" s="91"/>
      <c r="D688" s="91"/>
      <c r="E688" s="80"/>
      <c r="F688" s="92"/>
      <c r="G688" s="79"/>
      <c r="H688" s="82"/>
      <c r="I688" s="93" t="str">
        <f aca="false">IF(B688="","",IFERROR(INDEX('CARNET DE SOUDURE'!$B$7:$B$1506,MATCH(B688,'CARNET DE SOUDURE'!$K$7:$K$1506,0)),IFERROR(INDEX('CARNET DE SOUDURE'!$B$7:$B$1506,MATCH(B688,'CARNET DE SOUDURE'!$M$7:$M$1506,0)),"")))</f>
        <v/>
      </c>
      <c r="J688" s="78" t="str">
        <f aca="false">IF(B688="","",IFERROR(INDEX('CARNET DE SOUDURE'!$E$7:$E$1506,MATCH(B688,'CARNET DE SOUDURE'!$M$7:$M$1506,0)),""))</f>
        <v/>
      </c>
      <c r="K688" s="78" t="str">
        <f aca="false">IF(B688="","",IFERROR(INDEX('CARNET DE SOUDURE'!$E$7:$E$1506,MATCH(B688,'CARNET DE SOUDURE'!$K$7:$K$1506,0)),""))</f>
        <v/>
      </c>
      <c r="L688" s="78" t="str">
        <f aca="false">IF(B688="","",IFERROR(INDEX('CARNET DE SOUDURE'!$D$7:$D$1506,MATCH(B688,'CARNET DE SOUDURE'!$K$7:$K$1506,0)),IFERROR(INDEX('CARNET DE SOUDURE'!$D$7:$D$1506,MATCH(B688,'CARNET DE SOUDURE'!$M$7:$M$1506,0)),"")))</f>
        <v/>
      </c>
      <c r="M688" s="81" t="str">
        <f aca="false">IF(B688="","",IF(OR(J688&lt;&gt;"",K688&lt;&gt;""),"POSÉ EN LIGNE",IF(H688&lt;&gt;"","BARDÉ","EN STOCK")))</f>
        <v/>
      </c>
      <c r="N688" s="79"/>
    </row>
    <row r="689" customFormat="false" ht="15" hidden="false" customHeight="false" outlineLevel="0" collapsed="false">
      <c r="A689" s="78" t="str">
        <f aca="false">IF(B689="","",ROW()-6)</f>
        <v/>
      </c>
      <c r="B689" s="90"/>
      <c r="C689" s="91"/>
      <c r="D689" s="91"/>
      <c r="E689" s="80"/>
      <c r="F689" s="92"/>
      <c r="G689" s="79"/>
      <c r="H689" s="82"/>
      <c r="I689" s="93" t="str">
        <f aca="false">IF(B689="","",IFERROR(INDEX('CARNET DE SOUDURE'!$B$7:$B$1506,MATCH(B689,'CARNET DE SOUDURE'!$K$7:$K$1506,0)),IFERROR(INDEX('CARNET DE SOUDURE'!$B$7:$B$1506,MATCH(B689,'CARNET DE SOUDURE'!$M$7:$M$1506,0)),"")))</f>
        <v/>
      </c>
      <c r="J689" s="78" t="str">
        <f aca="false">IF(B689="","",IFERROR(INDEX('CARNET DE SOUDURE'!$E$7:$E$1506,MATCH(B689,'CARNET DE SOUDURE'!$M$7:$M$1506,0)),""))</f>
        <v/>
      </c>
      <c r="K689" s="78" t="str">
        <f aca="false">IF(B689="","",IFERROR(INDEX('CARNET DE SOUDURE'!$E$7:$E$1506,MATCH(B689,'CARNET DE SOUDURE'!$K$7:$K$1506,0)),""))</f>
        <v/>
      </c>
      <c r="L689" s="78" t="str">
        <f aca="false">IF(B689="","",IFERROR(INDEX('CARNET DE SOUDURE'!$D$7:$D$1506,MATCH(B689,'CARNET DE SOUDURE'!$K$7:$K$1506,0)),IFERROR(INDEX('CARNET DE SOUDURE'!$D$7:$D$1506,MATCH(B689,'CARNET DE SOUDURE'!$M$7:$M$1506,0)),"")))</f>
        <v/>
      </c>
      <c r="M689" s="81" t="str">
        <f aca="false">IF(B689="","",IF(OR(J689&lt;&gt;"",K689&lt;&gt;""),"POSÉ EN LIGNE",IF(H689&lt;&gt;"","BARDÉ","EN STOCK")))</f>
        <v/>
      </c>
      <c r="N689" s="79"/>
    </row>
    <row r="690" customFormat="false" ht="15" hidden="false" customHeight="false" outlineLevel="0" collapsed="false">
      <c r="A690" s="78" t="str">
        <f aca="false">IF(B690="","",ROW()-6)</f>
        <v/>
      </c>
      <c r="B690" s="90"/>
      <c r="C690" s="91"/>
      <c r="D690" s="91"/>
      <c r="E690" s="80"/>
      <c r="F690" s="92"/>
      <c r="G690" s="79"/>
      <c r="H690" s="82"/>
      <c r="I690" s="93" t="str">
        <f aca="false">IF(B690="","",IFERROR(INDEX('CARNET DE SOUDURE'!$B$7:$B$1506,MATCH(B690,'CARNET DE SOUDURE'!$K$7:$K$1506,0)),IFERROR(INDEX('CARNET DE SOUDURE'!$B$7:$B$1506,MATCH(B690,'CARNET DE SOUDURE'!$M$7:$M$1506,0)),"")))</f>
        <v/>
      </c>
      <c r="J690" s="78" t="str">
        <f aca="false">IF(B690="","",IFERROR(INDEX('CARNET DE SOUDURE'!$E$7:$E$1506,MATCH(B690,'CARNET DE SOUDURE'!$M$7:$M$1506,0)),""))</f>
        <v/>
      </c>
      <c r="K690" s="78" t="str">
        <f aca="false">IF(B690="","",IFERROR(INDEX('CARNET DE SOUDURE'!$E$7:$E$1506,MATCH(B690,'CARNET DE SOUDURE'!$K$7:$K$1506,0)),""))</f>
        <v/>
      </c>
      <c r="L690" s="78" t="str">
        <f aca="false">IF(B690="","",IFERROR(INDEX('CARNET DE SOUDURE'!$D$7:$D$1506,MATCH(B690,'CARNET DE SOUDURE'!$K$7:$K$1506,0)),IFERROR(INDEX('CARNET DE SOUDURE'!$D$7:$D$1506,MATCH(B690,'CARNET DE SOUDURE'!$M$7:$M$1506,0)),"")))</f>
        <v/>
      </c>
      <c r="M690" s="81" t="str">
        <f aca="false">IF(B690="","",IF(OR(J690&lt;&gt;"",K690&lt;&gt;""),"POSÉ EN LIGNE",IF(H690&lt;&gt;"","BARDÉ","EN STOCK")))</f>
        <v/>
      </c>
      <c r="N690" s="79"/>
    </row>
    <row r="691" customFormat="false" ht="15" hidden="false" customHeight="false" outlineLevel="0" collapsed="false">
      <c r="A691" s="78" t="str">
        <f aca="false">IF(B691="","",ROW()-6)</f>
        <v/>
      </c>
      <c r="B691" s="90"/>
      <c r="C691" s="91"/>
      <c r="D691" s="91"/>
      <c r="E691" s="80"/>
      <c r="F691" s="92"/>
      <c r="G691" s="79"/>
      <c r="H691" s="82"/>
      <c r="I691" s="93" t="str">
        <f aca="false">IF(B691="","",IFERROR(INDEX('CARNET DE SOUDURE'!$B$7:$B$1506,MATCH(B691,'CARNET DE SOUDURE'!$K$7:$K$1506,0)),IFERROR(INDEX('CARNET DE SOUDURE'!$B$7:$B$1506,MATCH(B691,'CARNET DE SOUDURE'!$M$7:$M$1506,0)),"")))</f>
        <v/>
      </c>
      <c r="J691" s="78" t="str">
        <f aca="false">IF(B691="","",IFERROR(INDEX('CARNET DE SOUDURE'!$E$7:$E$1506,MATCH(B691,'CARNET DE SOUDURE'!$M$7:$M$1506,0)),""))</f>
        <v/>
      </c>
      <c r="K691" s="78" t="str">
        <f aca="false">IF(B691="","",IFERROR(INDEX('CARNET DE SOUDURE'!$E$7:$E$1506,MATCH(B691,'CARNET DE SOUDURE'!$K$7:$K$1506,0)),""))</f>
        <v/>
      </c>
      <c r="L691" s="78" t="str">
        <f aca="false">IF(B691="","",IFERROR(INDEX('CARNET DE SOUDURE'!$D$7:$D$1506,MATCH(B691,'CARNET DE SOUDURE'!$K$7:$K$1506,0)),IFERROR(INDEX('CARNET DE SOUDURE'!$D$7:$D$1506,MATCH(B691,'CARNET DE SOUDURE'!$M$7:$M$1506,0)),"")))</f>
        <v/>
      </c>
      <c r="M691" s="81" t="str">
        <f aca="false">IF(B691="","",IF(OR(J691&lt;&gt;"",K691&lt;&gt;""),"POSÉ EN LIGNE",IF(H691&lt;&gt;"","BARDÉ","EN STOCK")))</f>
        <v/>
      </c>
      <c r="N691" s="79"/>
    </row>
    <row r="692" customFormat="false" ht="15" hidden="false" customHeight="false" outlineLevel="0" collapsed="false">
      <c r="A692" s="78" t="str">
        <f aca="false">IF(B692="","",ROW()-6)</f>
        <v/>
      </c>
      <c r="B692" s="90"/>
      <c r="C692" s="91"/>
      <c r="D692" s="91"/>
      <c r="E692" s="80"/>
      <c r="F692" s="92"/>
      <c r="G692" s="79"/>
      <c r="H692" s="82"/>
      <c r="I692" s="93" t="str">
        <f aca="false">IF(B692="","",IFERROR(INDEX('CARNET DE SOUDURE'!$B$7:$B$1506,MATCH(B692,'CARNET DE SOUDURE'!$K$7:$K$1506,0)),IFERROR(INDEX('CARNET DE SOUDURE'!$B$7:$B$1506,MATCH(B692,'CARNET DE SOUDURE'!$M$7:$M$1506,0)),"")))</f>
        <v/>
      </c>
      <c r="J692" s="78" t="str">
        <f aca="false">IF(B692="","",IFERROR(INDEX('CARNET DE SOUDURE'!$E$7:$E$1506,MATCH(B692,'CARNET DE SOUDURE'!$M$7:$M$1506,0)),""))</f>
        <v/>
      </c>
      <c r="K692" s="78" t="str">
        <f aca="false">IF(B692="","",IFERROR(INDEX('CARNET DE SOUDURE'!$E$7:$E$1506,MATCH(B692,'CARNET DE SOUDURE'!$K$7:$K$1506,0)),""))</f>
        <v/>
      </c>
      <c r="L692" s="78" t="str">
        <f aca="false">IF(B692="","",IFERROR(INDEX('CARNET DE SOUDURE'!$D$7:$D$1506,MATCH(B692,'CARNET DE SOUDURE'!$K$7:$K$1506,0)),IFERROR(INDEX('CARNET DE SOUDURE'!$D$7:$D$1506,MATCH(B692,'CARNET DE SOUDURE'!$M$7:$M$1506,0)),"")))</f>
        <v/>
      </c>
      <c r="M692" s="81" t="str">
        <f aca="false">IF(B692="","",IF(OR(J692&lt;&gt;"",K692&lt;&gt;""),"POSÉ EN LIGNE",IF(H692&lt;&gt;"","BARDÉ","EN STOCK")))</f>
        <v/>
      </c>
      <c r="N692" s="79"/>
    </row>
    <row r="693" customFormat="false" ht="15" hidden="false" customHeight="false" outlineLevel="0" collapsed="false">
      <c r="A693" s="78" t="str">
        <f aca="false">IF(B693="","",ROW()-6)</f>
        <v/>
      </c>
      <c r="B693" s="90"/>
      <c r="C693" s="91"/>
      <c r="D693" s="91"/>
      <c r="E693" s="80"/>
      <c r="F693" s="92"/>
      <c r="G693" s="79"/>
      <c r="H693" s="82"/>
      <c r="I693" s="93" t="str">
        <f aca="false">IF(B693="","",IFERROR(INDEX('CARNET DE SOUDURE'!$B$7:$B$1506,MATCH(B693,'CARNET DE SOUDURE'!$K$7:$K$1506,0)),IFERROR(INDEX('CARNET DE SOUDURE'!$B$7:$B$1506,MATCH(B693,'CARNET DE SOUDURE'!$M$7:$M$1506,0)),"")))</f>
        <v/>
      </c>
      <c r="J693" s="78" t="str">
        <f aca="false">IF(B693="","",IFERROR(INDEX('CARNET DE SOUDURE'!$E$7:$E$1506,MATCH(B693,'CARNET DE SOUDURE'!$M$7:$M$1506,0)),""))</f>
        <v/>
      </c>
      <c r="K693" s="78" t="str">
        <f aca="false">IF(B693="","",IFERROR(INDEX('CARNET DE SOUDURE'!$E$7:$E$1506,MATCH(B693,'CARNET DE SOUDURE'!$K$7:$K$1506,0)),""))</f>
        <v/>
      </c>
      <c r="L693" s="78" t="str">
        <f aca="false">IF(B693="","",IFERROR(INDEX('CARNET DE SOUDURE'!$D$7:$D$1506,MATCH(B693,'CARNET DE SOUDURE'!$K$7:$K$1506,0)),IFERROR(INDEX('CARNET DE SOUDURE'!$D$7:$D$1506,MATCH(B693,'CARNET DE SOUDURE'!$M$7:$M$1506,0)),"")))</f>
        <v/>
      </c>
      <c r="M693" s="81" t="str">
        <f aca="false">IF(B693="","",IF(OR(J693&lt;&gt;"",K693&lt;&gt;""),"POSÉ EN LIGNE",IF(H693&lt;&gt;"","BARDÉ","EN STOCK")))</f>
        <v/>
      </c>
      <c r="N693" s="79"/>
    </row>
    <row r="694" customFormat="false" ht="15" hidden="false" customHeight="false" outlineLevel="0" collapsed="false">
      <c r="A694" s="78" t="str">
        <f aca="false">IF(B694="","",ROW()-6)</f>
        <v/>
      </c>
      <c r="B694" s="90"/>
      <c r="C694" s="91"/>
      <c r="D694" s="91"/>
      <c r="E694" s="80"/>
      <c r="F694" s="92"/>
      <c r="G694" s="79"/>
      <c r="H694" s="82"/>
      <c r="I694" s="93" t="str">
        <f aca="false">IF(B694="","",IFERROR(INDEX('CARNET DE SOUDURE'!$B$7:$B$1506,MATCH(B694,'CARNET DE SOUDURE'!$K$7:$K$1506,0)),IFERROR(INDEX('CARNET DE SOUDURE'!$B$7:$B$1506,MATCH(B694,'CARNET DE SOUDURE'!$M$7:$M$1506,0)),"")))</f>
        <v/>
      </c>
      <c r="J694" s="78" t="str">
        <f aca="false">IF(B694="","",IFERROR(INDEX('CARNET DE SOUDURE'!$E$7:$E$1506,MATCH(B694,'CARNET DE SOUDURE'!$M$7:$M$1506,0)),""))</f>
        <v/>
      </c>
      <c r="K694" s="78" t="str">
        <f aca="false">IF(B694="","",IFERROR(INDEX('CARNET DE SOUDURE'!$E$7:$E$1506,MATCH(B694,'CARNET DE SOUDURE'!$K$7:$K$1506,0)),""))</f>
        <v/>
      </c>
      <c r="L694" s="78" t="str">
        <f aca="false">IF(B694="","",IFERROR(INDEX('CARNET DE SOUDURE'!$D$7:$D$1506,MATCH(B694,'CARNET DE SOUDURE'!$K$7:$K$1506,0)),IFERROR(INDEX('CARNET DE SOUDURE'!$D$7:$D$1506,MATCH(B694,'CARNET DE SOUDURE'!$M$7:$M$1506,0)),"")))</f>
        <v/>
      </c>
      <c r="M694" s="81" t="str">
        <f aca="false">IF(B694="","",IF(OR(J694&lt;&gt;"",K694&lt;&gt;""),"POSÉ EN LIGNE",IF(H694&lt;&gt;"","BARDÉ","EN STOCK")))</f>
        <v/>
      </c>
      <c r="N694" s="79"/>
    </row>
    <row r="695" customFormat="false" ht="15" hidden="false" customHeight="false" outlineLevel="0" collapsed="false">
      <c r="A695" s="78" t="str">
        <f aca="false">IF(B695="","",ROW()-6)</f>
        <v/>
      </c>
      <c r="B695" s="90"/>
      <c r="C695" s="91"/>
      <c r="D695" s="91"/>
      <c r="E695" s="80"/>
      <c r="F695" s="92"/>
      <c r="G695" s="79"/>
      <c r="H695" s="82"/>
      <c r="I695" s="93" t="str">
        <f aca="false">IF(B695="","",IFERROR(INDEX('CARNET DE SOUDURE'!$B$7:$B$1506,MATCH(B695,'CARNET DE SOUDURE'!$K$7:$K$1506,0)),IFERROR(INDEX('CARNET DE SOUDURE'!$B$7:$B$1506,MATCH(B695,'CARNET DE SOUDURE'!$M$7:$M$1506,0)),"")))</f>
        <v/>
      </c>
      <c r="J695" s="78" t="str">
        <f aca="false">IF(B695="","",IFERROR(INDEX('CARNET DE SOUDURE'!$E$7:$E$1506,MATCH(B695,'CARNET DE SOUDURE'!$M$7:$M$1506,0)),""))</f>
        <v/>
      </c>
      <c r="K695" s="78" t="str">
        <f aca="false">IF(B695="","",IFERROR(INDEX('CARNET DE SOUDURE'!$E$7:$E$1506,MATCH(B695,'CARNET DE SOUDURE'!$K$7:$K$1506,0)),""))</f>
        <v/>
      </c>
      <c r="L695" s="78" t="str">
        <f aca="false">IF(B695="","",IFERROR(INDEX('CARNET DE SOUDURE'!$D$7:$D$1506,MATCH(B695,'CARNET DE SOUDURE'!$K$7:$K$1506,0)),IFERROR(INDEX('CARNET DE SOUDURE'!$D$7:$D$1506,MATCH(B695,'CARNET DE SOUDURE'!$M$7:$M$1506,0)),"")))</f>
        <v/>
      </c>
      <c r="M695" s="81" t="str">
        <f aca="false">IF(B695="","",IF(OR(J695&lt;&gt;"",K695&lt;&gt;""),"POSÉ EN LIGNE",IF(H695&lt;&gt;"","BARDÉ","EN STOCK")))</f>
        <v/>
      </c>
      <c r="N695" s="79"/>
    </row>
    <row r="696" customFormat="false" ht="15" hidden="false" customHeight="false" outlineLevel="0" collapsed="false">
      <c r="A696" s="78" t="str">
        <f aca="false">IF(B696="","",ROW()-6)</f>
        <v/>
      </c>
      <c r="B696" s="90"/>
      <c r="C696" s="91"/>
      <c r="D696" s="91"/>
      <c r="E696" s="80"/>
      <c r="F696" s="92"/>
      <c r="G696" s="79"/>
      <c r="H696" s="82"/>
      <c r="I696" s="93" t="str">
        <f aca="false">IF(B696="","",IFERROR(INDEX('CARNET DE SOUDURE'!$B$7:$B$1506,MATCH(B696,'CARNET DE SOUDURE'!$K$7:$K$1506,0)),IFERROR(INDEX('CARNET DE SOUDURE'!$B$7:$B$1506,MATCH(B696,'CARNET DE SOUDURE'!$M$7:$M$1506,0)),"")))</f>
        <v/>
      </c>
      <c r="J696" s="78" t="str">
        <f aca="false">IF(B696="","",IFERROR(INDEX('CARNET DE SOUDURE'!$E$7:$E$1506,MATCH(B696,'CARNET DE SOUDURE'!$M$7:$M$1506,0)),""))</f>
        <v/>
      </c>
      <c r="K696" s="78" t="str">
        <f aca="false">IF(B696="","",IFERROR(INDEX('CARNET DE SOUDURE'!$E$7:$E$1506,MATCH(B696,'CARNET DE SOUDURE'!$K$7:$K$1506,0)),""))</f>
        <v/>
      </c>
      <c r="L696" s="78" t="str">
        <f aca="false">IF(B696="","",IFERROR(INDEX('CARNET DE SOUDURE'!$D$7:$D$1506,MATCH(B696,'CARNET DE SOUDURE'!$K$7:$K$1506,0)),IFERROR(INDEX('CARNET DE SOUDURE'!$D$7:$D$1506,MATCH(B696,'CARNET DE SOUDURE'!$M$7:$M$1506,0)),"")))</f>
        <v/>
      </c>
      <c r="M696" s="81" t="str">
        <f aca="false">IF(B696="","",IF(OR(J696&lt;&gt;"",K696&lt;&gt;""),"POSÉ EN LIGNE",IF(H696&lt;&gt;"","BARDÉ","EN STOCK")))</f>
        <v/>
      </c>
      <c r="N696" s="79"/>
    </row>
    <row r="697" customFormat="false" ht="15" hidden="false" customHeight="false" outlineLevel="0" collapsed="false">
      <c r="A697" s="78" t="str">
        <f aca="false">IF(B697="","",ROW()-6)</f>
        <v/>
      </c>
      <c r="B697" s="90"/>
      <c r="C697" s="91"/>
      <c r="D697" s="91"/>
      <c r="E697" s="80"/>
      <c r="F697" s="92"/>
      <c r="G697" s="79"/>
      <c r="H697" s="82"/>
      <c r="I697" s="93" t="str">
        <f aca="false">IF(B697="","",IFERROR(INDEX('CARNET DE SOUDURE'!$B$7:$B$1506,MATCH(B697,'CARNET DE SOUDURE'!$K$7:$K$1506,0)),IFERROR(INDEX('CARNET DE SOUDURE'!$B$7:$B$1506,MATCH(B697,'CARNET DE SOUDURE'!$M$7:$M$1506,0)),"")))</f>
        <v/>
      </c>
      <c r="J697" s="78" t="str">
        <f aca="false">IF(B697="","",IFERROR(INDEX('CARNET DE SOUDURE'!$E$7:$E$1506,MATCH(B697,'CARNET DE SOUDURE'!$M$7:$M$1506,0)),""))</f>
        <v/>
      </c>
      <c r="K697" s="78" t="str">
        <f aca="false">IF(B697="","",IFERROR(INDEX('CARNET DE SOUDURE'!$E$7:$E$1506,MATCH(B697,'CARNET DE SOUDURE'!$K$7:$K$1506,0)),""))</f>
        <v/>
      </c>
      <c r="L697" s="78" t="str">
        <f aca="false">IF(B697="","",IFERROR(INDEX('CARNET DE SOUDURE'!$D$7:$D$1506,MATCH(B697,'CARNET DE SOUDURE'!$K$7:$K$1506,0)),IFERROR(INDEX('CARNET DE SOUDURE'!$D$7:$D$1506,MATCH(B697,'CARNET DE SOUDURE'!$M$7:$M$1506,0)),"")))</f>
        <v/>
      </c>
      <c r="M697" s="81" t="str">
        <f aca="false">IF(B697="","",IF(OR(J697&lt;&gt;"",K697&lt;&gt;""),"POSÉ EN LIGNE",IF(H697&lt;&gt;"","BARDÉ","EN STOCK")))</f>
        <v/>
      </c>
      <c r="N697" s="79"/>
    </row>
    <row r="698" customFormat="false" ht="15" hidden="false" customHeight="false" outlineLevel="0" collapsed="false">
      <c r="A698" s="78" t="str">
        <f aca="false">IF(B698="","",ROW()-6)</f>
        <v/>
      </c>
      <c r="B698" s="90"/>
      <c r="C698" s="91"/>
      <c r="D698" s="91"/>
      <c r="E698" s="80"/>
      <c r="F698" s="92"/>
      <c r="G698" s="79"/>
      <c r="H698" s="82"/>
      <c r="I698" s="93" t="str">
        <f aca="false">IF(B698="","",IFERROR(INDEX('CARNET DE SOUDURE'!$B$7:$B$1506,MATCH(B698,'CARNET DE SOUDURE'!$K$7:$K$1506,0)),IFERROR(INDEX('CARNET DE SOUDURE'!$B$7:$B$1506,MATCH(B698,'CARNET DE SOUDURE'!$M$7:$M$1506,0)),"")))</f>
        <v/>
      </c>
      <c r="J698" s="78" t="str">
        <f aca="false">IF(B698="","",IFERROR(INDEX('CARNET DE SOUDURE'!$E$7:$E$1506,MATCH(B698,'CARNET DE SOUDURE'!$M$7:$M$1506,0)),""))</f>
        <v/>
      </c>
      <c r="K698" s="78" t="str">
        <f aca="false">IF(B698="","",IFERROR(INDEX('CARNET DE SOUDURE'!$E$7:$E$1506,MATCH(B698,'CARNET DE SOUDURE'!$K$7:$K$1506,0)),""))</f>
        <v/>
      </c>
      <c r="L698" s="78" t="str">
        <f aca="false">IF(B698="","",IFERROR(INDEX('CARNET DE SOUDURE'!$D$7:$D$1506,MATCH(B698,'CARNET DE SOUDURE'!$K$7:$K$1506,0)),IFERROR(INDEX('CARNET DE SOUDURE'!$D$7:$D$1506,MATCH(B698,'CARNET DE SOUDURE'!$M$7:$M$1506,0)),"")))</f>
        <v/>
      </c>
      <c r="M698" s="81" t="str">
        <f aca="false">IF(B698="","",IF(OR(J698&lt;&gt;"",K698&lt;&gt;""),"POSÉ EN LIGNE",IF(H698&lt;&gt;"","BARDÉ","EN STOCK")))</f>
        <v/>
      </c>
      <c r="N698" s="79"/>
    </row>
    <row r="699" customFormat="false" ht="15" hidden="false" customHeight="false" outlineLevel="0" collapsed="false">
      <c r="A699" s="78" t="str">
        <f aca="false">IF(B699="","",ROW()-6)</f>
        <v/>
      </c>
      <c r="B699" s="90"/>
      <c r="C699" s="91"/>
      <c r="D699" s="91"/>
      <c r="E699" s="80"/>
      <c r="F699" s="92"/>
      <c r="G699" s="79"/>
      <c r="H699" s="82"/>
      <c r="I699" s="93" t="str">
        <f aca="false">IF(B699="","",IFERROR(INDEX('CARNET DE SOUDURE'!$B$7:$B$1506,MATCH(B699,'CARNET DE SOUDURE'!$K$7:$K$1506,0)),IFERROR(INDEX('CARNET DE SOUDURE'!$B$7:$B$1506,MATCH(B699,'CARNET DE SOUDURE'!$M$7:$M$1506,0)),"")))</f>
        <v/>
      </c>
      <c r="J699" s="78" t="str">
        <f aca="false">IF(B699="","",IFERROR(INDEX('CARNET DE SOUDURE'!$E$7:$E$1506,MATCH(B699,'CARNET DE SOUDURE'!$M$7:$M$1506,0)),""))</f>
        <v/>
      </c>
      <c r="K699" s="78" t="str">
        <f aca="false">IF(B699="","",IFERROR(INDEX('CARNET DE SOUDURE'!$E$7:$E$1506,MATCH(B699,'CARNET DE SOUDURE'!$K$7:$K$1506,0)),""))</f>
        <v/>
      </c>
      <c r="L699" s="78" t="str">
        <f aca="false">IF(B699="","",IFERROR(INDEX('CARNET DE SOUDURE'!$D$7:$D$1506,MATCH(B699,'CARNET DE SOUDURE'!$K$7:$K$1506,0)),IFERROR(INDEX('CARNET DE SOUDURE'!$D$7:$D$1506,MATCH(B699,'CARNET DE SOUDURE'!$M$7:$M$1506,0)),"")))</f>
        <v/>
      </c>
      <c r="M699" s="81" t="str">
        <f aca="false">IF(B699="","",IF(OR(J699&lt;&gt;"",K699&lt;&gt;""),"POSÉ EN LIGNE",IF(H699&lt;&gt;"","BARDÉ","EN STOCK")))</f>
        <v/>
      </c>
      <c r="N699" s="79"/>
    </row>
    <row r="700" customFormat="false" ht="15" hidden="false" customHeight="false" outlineLevel="0" collapsed="false">
      <c r="A700" s="78" t="str">
        <f aca="false">IF(B700="","",ROW()-6)</f>
        <v/>
      </c>
      <c r="B700" s="90"/>
      <c r="C700" s="91"/>
      <c r="D700" s="91"/>
      <c r="E700" s="80"/>
      <c r="F700" s="92"/>
      <c r="G700" s="79"/>
      <c r="H700" s="82"/>
      <c r="I700" s="93" t="str">
        <f aca="false">IF(B700="","",IFERROR(INDEX('CARNET DE SOUDURE'!$B$7:$B$1506,MATCH(B700,'CARNET DE SOUDURE'!$K$7:$K$1506,0)),IFERROR(INDEX('CARNET DE SOUDURE'!$B$7:$B$1506,MATCH(B700,'CARNET DE SOUDURE'!$M$7:$M$1506,0)),"")))</f>
        <v/>
      </c>
      <c r="J700" s="78" t="str">
        <f aca="false">IF(B700="","",IFERROR(INDEX('CARNET DE SOUDURE'!$E$7:$E$1506,MATCH(B700,'CARNET DE SOUDURE'!$M$7:$M$1506,0)),""))</f>
        <v/>
      </c>
      <c r="K700" s="78" t="str">
        <f aca="false">IF(B700="","",IFERROR(INDEX('CARNET DE SOUDURE'!$E$7:$E$1506,MATCH(B700,'CARNET DE SOUDURE'!$K$7:$K$1506,0)),""))</f>
        <v/>
      </c>
      <c r="L700" s="78" t="str">
        <f aca="false">IF(B700="","",IFERROR(INDEX('CARNET DE SOUDURE'!$D$7:$D$1506,MATCH(B700,'CARNET DE SOUDURE'!$K$7:$K$1506,0)),IFERROR(INDEX('CARNET DE SOUDURE'!$D$7:$D$1506,MATCH(B700,'CARNET DE SOUDURE'!$M$7:$M$1506,0)),"")))</f>
        <v/>
      </c>
      <c r="M700" s="81" t="str">
        <f aca="false">IF(B700="","",IF(OR(J700&lt;&gt;"",K700&lt;&gt;""),"POSÉ EN LIGNE",IF(H700&lt;&gt;"","BARDÉ","EN STOCK")))</f>
        <v/>
      </c>
      <c r="N700" s="79"/>
    </row>
    <row r="701" customFormat="false" ht="15" hidden="false" customHeight="false" outlineLevel="0" collapsed="false">
      <c r="A701" s="78" t="str">
        <f aca="false">IF(B701="","",ROW()-6)</f>
        <v/>
      </c>
      <c r="B701" s="90"/>
      <c r="C701" s="91"/>
      <c r="D701" s="91"/>
      <c r="E701" s="80"/>
      <c r="F701" s="92"/>
      <c r="G701" s="79"/>
      <c r="H701" s="82"/>
      <c r="I701" s="93" t="str">
        <f aca="false">IF(B701="","",IFERROR(INDEX('CARNET DE SOUDURE'!$B$7:$B$1506,MATCH(B701,'CARNET DE SOUDURE'!$K$7:$K$1506,0)),IFERROR(INDEX('CARNET DE SOUDURE'!$B$7:$B$1506,MATCH(B701,'CARNET DE SOUDURE'!$M$7:$M$1506,0)),"")))</f>
        <v/>
      </c>
      <c r="J701" s="78" t="str">
        <f aca="false">IF(B701="","",IFERROR(INDEX('CARNET DE SOUDURE'!$E$7:$E$1506,MATCH(B701,'CARNET DE SOUDURE'!$M$7:$M$1506,0)),""))</f>
        <v/>
      </c>
      <c r="K701" s="78" t="str">
        <f aca="false">IF(B701="","",IFERROR(INDEX('CARNET DE SOUDURE'!$E$7:$E$1506,MATCH(B701,'CARNET DE SOUDURE'!$K$7:$K$1506,0)),""))</f>
        <v/>
      </c>
      <c r="L701" s="78" t="str">
        <f aca="false">IF(B701="","",IFERROR(INDEX('CARNET DE SOUDURE'!$D$7:$D$1506,MATCH(B701,'CARNET DE SOUDURE'!$K$7:$K$1506,0)),IFERROR(INDEX('CARNET DE SOUDURE'!$D$7:$D$1506,MATCH(B701,'CARNET DE SOUDURE'!$M$7:$M$1506,0)),"")))</f>
        <v/>
      </c>
      <c r="M701" s="81" t="str">
        <f aca="false">IF(B701="","",IF(OR(J701&lt;&gt;"",K701&lt;&gt;""),"POSÉ EN LIGNE",IF(H701&lt;&gt;"","BARDÉ","EN STOCK")))</f>
        <v/>
      </c>
      <c r="N701" s="79"/>
    </row>
    <row r="702" customFormat="false" ht="15" hidden="false" customHeight="false" outlineLevel="0" collapsed="false">
      <c r="A702" s="78" t="str">
        <f aca="false">IF(B702="","",ROW()-6)</f>
        <v/>
      </c>
      <c r="B702" s="90"/>
      <c r="C702" s="91"/>
      <c r="D702" s="91"/>
      <c r="E702" s="80"/>
      <c r="F702" s="92"/>
      <c r="G702" s="79"/>
      <c r="H702" s="82"/>
      <c r="I702" s="93" t="str">
        <f aca="false">IF(B702="","",IFERROR(INDEX('CARNET DE SOUDURE'!$B$7:$B$1506,MATCH(B702,'CARNET DE SOUDURE'!$K$7:$K$1506,0)),IFERROR(INDEX('CARNET DE SOUDURE'!$B$7:$B$1506,MATCH(B702,'CARNET DE SOUDURE'!$M$7:$M$1506,0)),"")))</f>
        <v/>
      </c>
      <c r="J702" s="78" t="str">
        <f aca="false">IF(B702="","",IFERROR(INDEX('CARNET DE SOUDURE'!$E$7:$E$1506,MATCH(B702,'CARNET DE SOUDURE'!$M$7:$M$1506,0)),""))</f>
        <v/>
      </c>
      <c r="K702" s="78" t="str">
        <f aca="false">IF(B702="","",IFERROR(INDEX('CARNET DE SOUDURE'!$E$7:$E$1506,MATCH(B702,'CARNET DE SOUDURE'!$K$7:$K$1506,0)),""))</f>
        <v/>
      </c>
      <c r="L702" s="78" t="str">
        <f aca="false">IF(B702="","",IFERROR(INDEX('CARNET DE SOUDURE'!$D$7:$D$1506,MATCH(B702,'CARNET DE SOUDURE'!$K$7:$K$1506,0)),IFERROR(INDEX('CARNET DE SOUDURE'!$D$7:$D$1506,MATCH(B702,'CARNET DE SOUDURE'!$M$7:$M$1506,0)),"")))</f>
        <v/>
      </c>
      <c r="M702" s="81" t="str">
        <f aca="false">IF(B702="","",IF(OR(J702&lt;&gt;"",K702&lt;&gt;""),"POSÉ EN LIGNE",IF(H702&lt;&gt;"","BARDÉ","EN STOCK")))</f>
        <v/>
      </c>
      <c r="N702" s="79"/>
    </row>
    <row r="703" customFormat="false" ht="15" hidden="false" customHeight="false" outlineLevel="0" collapsed="false">
      <c r="A703" s="78" t="str">
        <f aca="false">IF(B703="","",ROW()-6)</f>
        <v/>
      </c>
      <c r="B703" s="90"/>
      <c r="C703" s="91"/>
      <c r="D703" s="91"/>
      <c r="E703" s="80"/>
      <c r="F703" s="92"/>
      <c r="G703" s="79"/>
      <c r="H703" s="82"/>
      <c r="I703" s="93" t="str">
        <f aca="false">IF(B703="","",IFERROR(INDEX('CARNET DE SOUDURE'!$B$7:$B$1506,MATCH(B703,'CARNET DE SOUDURE'!$K$7:$K$1506,0)),IFERROR(INDEX('CARNET DE SOUDURE'!$B$7:$B$1506,MATCH(B703,'CARNET DE SOUDURE'!$M$7:$M$1506,0)),"")))</f>
        <v/>
      </c>
      <c r="J703" s="78" t="str">
        <f aca="false">IF(B703="","",IFERROR(INDEX('CARNET DE SOUDURE'!$E$7:$E$1506,MATCH(B703,'CARNET DE SOUDURE'!$M$7:$M$1506,0)),""))</f>
        <v/>
      </c>
      <c r="K703" s="78" t="str">
        <f aca="false">IF(B703="","",IFERROR(INDEX('CARNET DE SOUDURE'!$E$7:$E$1506,MATCH(B703,'CARNET DE SOUDURE'!$K$7:$K$1506,0)),""))</f>
        <v/>
      </c>
      <c r="L703" s="78" t="str">
        <f aca="false">IF(B703="","",IFERROR(INDEX('CARNET DE SOUDURE'!$D$7:$D$1506,MATCH(B703,'CARNET DE SOUDURE'!$K$7:$K$1506,0)),IFERROR(INDEX('CARNET DE SOUDURE'!$D$7:$D$1506,MATCH(B703,'CARNET DE SOUDURE'!$M$7:$M$1506,0)),"")))</f>
        <v/>
      </c>
      <c r="M703" s="81" t="str">
        <f aca="false">IF(B703="","",IF(OR(J703&lt;&gt;"",K703&lt;&gt;""),"POSÉ EN LIGNE",IF(H703&lt;&gt;"","BARDÉ","EN STOCK")))</f>
        <v/>
      </c>
      <c r="N703" s="79"/>
    </row>
    <row r="704" customFormat="false" ht="15" hidden="false" customHeight="false" outlineLevel="0" collapsed="false">
      <c r="A704" s="78" t="str">
        <f aca="false">IF(B704="","",ROW()-6)</f>
        <v/>
      </c>
      <c r="B704" s="90"/>
      <c r="C704" s="91"/>
      <c r="D704" s="91"/>
      <c r="E704" s="80"/>
      <c r="F704" s="92"/>
      <c r="G704" s="79"/>
      <c r="H704" s="82"/>
      <c r="I704" s="93" t="str">
        <f aca="false">IF(B704="","",IFERROR(INDEX('CARNET DE SOUDURE'!$B$7:$B$1506,MATCH(B704,'CARNET DE SOUDURE'!$K$7:$K$1506,0)),IFERROR(INDEX('CARNET DE SOUDURE'!$B$7:$B$1506,MATCH(B704,'CARNET DE SOUDURE'!$M$7:$M$1506,0)),"")))</f>
        <v/>
      </c>
      <c r="J704" s="78" t="str">
        <f aca="false">IF(B704="","",IFERROR(INDEX('CARNET DE SOUDURE'!$E$7:$E$1506,MATCH(B704,'CARNET DE SOUDURE'!$M$7:$M$1506,0)),""))</f>
        <v/>
      </c>
      <c r="K704" s="78" t="str">
        <f aca="false">IF(B704="","",IFERROR(INDEX('CARNET DE SOUDURE'!$E$7:$E$1506,MATCH(B704,'CARNET DE SOUDURE'!$K$7:$K$1506,0)),""))</f>
        <v/>
      </c>
      <c r="L704" s="78" t="str">
        <f aca="false">IF(B704="","",IFERROR(INDEX('CARNET DE SOUDURE'!$D$7:$D$1506,MATCH(B704,'CARNET DE SOUDURE'!$K$7:$K$1506,0)),IFERROR(INDEX('CARNET DE SOUDURE'!$D$7:$D$1506,MATCH(B704,'CARNET DE SOUDURE'!$M$7:$M$1506,0)),"")))</f>
        <v/>
      </c>
      <c r="M704" s="81" t="str">
        <f aca="false">IF(B704="","",IF(OR(J704&lt;&gt;"",K704&lt;&gt;""),"POSÉ EN LIGNE",IF(H704&lt;&gt;"","BARDÉ","EN STOCK")))</f>
        <v/>
      </c>
      <c r="N704" s="79"/>
    </row>
    <row r="705" customFormat="false" ht="15" hidden="false" customHeight="false" outlineLevel="0" collapsed="false">
      <c r="A705" s="78" t="str">
        <f aca="false">IF(B705="","",ROW()-6)</f>
        <v/>
      </c>
      <c r="B705" s="90"/>
      <c r="C705" s="91"/>
      <c r="D705" s="91"/>
      <c r="E705" s="80"/>
      <c r="F705" s="92"/>
      <c r="G705" s="79"/>
      <c r="H705" s="82"/>
      <c r="I705" s="93" t="str">
        <f aca="false">IF(B705="","",IFERROR(INDEX('CARNET DE SOUDURE'!$B$7:$B$1506,MATCH(B705,'CARNET DE SOUDURE'!$K$7:$K$1506,0)),IFERROR(INDEX('CARNET DE SOUDURE'!$B$7:$B$1506,MATCH(B705,'CARNET DE SOUDURE'!$M$7:$M$1506,0)),"")))</f>
        <v/>
      </c>
      <c r="J705" s="78" t="str">
        <f aca="false">IF(B705="","",IFERROR(INDEX('CARNET DE SOUDURE'!$E$7:$E$1506,MATCH(B705,'CARNET DE SOUDURE'!$M$7:$M$1506,0)),""))</f>
        <v/>
      </c>
      <c r="K705" s="78" t="str">
        <f aca="false">IF(B705="","",IFERROR(INDEX('CARNET DE SOUDURE'!$E$7:$E$1506,MATCH(B705,'CARNET DE SOUDURE'!$K$7:$K$1506,0)),""))</f>
        <v/>
      </c>
      <c r="L705" s="78" t="str">
        <f aca="false">IF(B705="","",IFERROR(INDEX('CARNET DE SOUDURE'!$D$7:$D$1506,MATCH(B705,'CARNET DE SOUDURE'!$K$7:$K$1506,0)),IFERROR(INDEX('CARNET DE SOUDURE'!$D$7:$D$1506,MATCH(B705,'CARNET DE SOUDURE'!$M$7:$M$1506,0)),"")))</f>
        <v/>
      </c>
      <c r="M705" s="81" t="str">
        <f aca="false">IF(B705="","",IF(OR(J705&lt;&gt;"",K705&lt;&gt;""),"POSÉ EN LIGNE",IF(H705&lt;&gt;"","BARDÉ","EN STOCK")))</f>
        <v/>
      </c>
      <c r="N705" s="79"/>
    </row>
    <row r="706" customFormat="false" ht="15" hidden="false" customHeight="false" outlineLevel="0" collapsed="false">
      <c r="A706" s="78" t="str">
        <f aca="false">IF(B706="","",ROW()-6)</f>
        <v/>
      </c>
      <c r="B706" s="90"/>
      <c r="C706" s="91"/>
      <c r="D706" s="91"/>
      <c r="E706" s="80"/>
      <c r="F706" s="92"/>
      <c r="G706" s="79"/>
      <c r="H706" s="82"/>
      <c r="I706" s="93" t="str">
        <f aca="false">IF(B706="","",IFERROR(INDEX('CARNET DE SOUDURE'!$B$7:$B$1506,MATCH(B706,'CARNET DE SOUDURE'!$K$7:$K$1506,0)),IFERROR(INDEX('CARNET DE SOUDURE'!$B$7:$B$1506,MATCH(B706,'CARNET DE SOUDURE'!$M$7:$M$1506,0)),"")))</f>
        <v/>
      </c>
      <c r="J706" s="78" t="str">
        <f aca="false">IF(B706="","",IFERROR(INDEX('CARNET DE SOUDURE'!$E$7:$E$1506,MATCH(B706,'CARNET DE SOUDURE'!$M$7:$M$1506,0)),""))</f>
        <v/>
      </c>
      <c r="K706" s="78" t="str">
        <f aca="false">IF(B706="","",IFERROR(INDEX('CARNET DE SOUDURE'!$E$7:$E$1506,MATCH(B706,'CARNET DE SOUDURE'!$K$7:$K$1506,0)),""))</f>
        <v/>
      </c>
      <c r="L706" s="78" t="str">
        <f aca="false">IF(B706="","",IFERROR(INDEX('CARNET DE SOUDURE'!$D$7:$D$1506,MATCH(B706,'CARNET DE SOUDURE'!$K$7:$K$1506,0)),IFERROR(INDEX('CARNET DE SOUDURE'!$D$7:$D$1506,MATCH(B706,'CARNET DE SOUDURE'!$M$7:$M$1506,0)),"")))</f>
        <v/>
      </c>
      <c r="M706" s="81" t="str">
        <f aca="false">IF(B706="","",IF(OR(J706&lt;&gt;"",K706&lt;&gt;""),"POSÉ EN LIGNE",IF(H706&lt;&gt;"","BARDÉ","EN STOCK")))</f>
        <v/>
      </c>
      <c r="N706" s="79"/>
    </row>
    <row r="707" customFormat="false" ht="15" hidden="false" customHeight="false" outlineLevel="0" collapsed="false">
      <c r="A707" s="78" t="str">
        <f aca="false">IF(B707="","",ROW()-6)</f>
        <v/>
      </c>
      <c r="B707" s="90"/>
      <c r="C707" s="91"/>
      <c r="D707" s="91"/>
      <c r="E707" s="80"/>
      <c r="F707" s="92"/>
      <c r="G707" s="79"/>
      <c r="H707" s="82"/>
      <c r="I707" s="93" t="str">
        <f aca="false">IF(B707="","",IFERROR(INDEX('CARNET DE SOUDURE'!$B$7:$B$1506,MATCH(B707,'CARNET DE SOUDURE'!$K$7:$K$1506,0)),IFERROR(INDEX('CARNET DE SOUDURE'!$B$7:$B$1506,MATCH(B707,'CARNET DE SOUDURE'!$M$7:$M$1506,0)),"")))</f>
        <v/>
      </c>
      <c r="J707" s="78" t="str">
        <f aca="false">IF(B707="","",IFERROR(INDEX('CARNET DE SOUDURE'!$E$7:$E$1506,MATCH(B707,'CARNET DE SOUDURE'!$M$7:$M$1506,0)),""))</f>
        <v/>
      </c>
      <c r="K707" s="78" t="str">
        <f aca="false">IF(B707="","",IFERROR(INDEX('CARNET DE SOUDURE'!$E$7:$E$1506,MATCH(B707,'CARNET DE SOUDURE'!$K$7:$K$1506,0)),""))</f>
        <v/>
      </c>
      <c r="L707" s="78" t="str">
        <f aca="false">IF(B707="","",IFERROR(INDEX('CARNET DE SOUDURE'!$D$7:$D$1506,MATCH(B707,'CARNET DE SOUDURE'!$K$7:$K$1506,0)),IFERROR(INDEX('CARNET DE SOUDURE'!$D$7:$D$1506,MATCH(B707,'CARNET DE SOUDURE'!$M$7:$M$1506,0)),"")))</f>
        <v/>
      </c>
      <c r="M707" s="81" t="str">
        <f aca="false">IF(B707="","",IF(OR(J707&lt;&gt;"",K707&lt;&gt;""),"POSÉ EN LIGNE",IF(H707&lt;&gt;"","BARDÉ","EN STOCK")))</f>
        <v/>
      </c>
      <c r="N707" s="79"/>
    </row>
    <row r="708" customFormat="false" ht="15" hidden="false" customHeight="false" outlineLevel="0" collapsed="false">
      <c r="A708" s="78" t="str">
        <f aca="false">IF(B708="","",ROW()-6)</f>
        <v/>
      </c>
      <c r="B708" s="90"/>
      <c r="C708" s="91"/>
      <c r="D708" s="91"/>
      <c r="E708" s="80"/>
      <c r="F708" s="92"/>
      <c r="G708" s="79"/>
      <c r="H708" s="82"/>
      <c r="I708" s="93" t="str">
        <f aca="false">IF(B708="","",IFERROR(INDEX('CARNET DE SOUDURE'!$B$7:$B$1506,MATCH(B708,'CARNET DE SOUDURE'!$K$7:$K$1506,0)),IFERROR(INDEX('CARNET DE SOUDURE'!$B$7:$B$1506,MATCH(B708,'CARNET DE SOUDURE'!$M$7:$M$1506,0)),"")))</f>
        <v/>
      </c>
      <c r="J708" s="78" t="str">
        <f aca="false">IF(B708="","",IFERROR(INDEX('CARNET DE SOUDURE'!$E$7:$E$1506,MATCH(B708,'CARNET DE SOUDURE'!$M$7:$M$1506,0)),""))</f>
        <v/>
      </c>
      <c r="K708" s="78" t="str">
        <f aca="false">IF(B708="","",IFERROR(INDEX('CARNET DE SOUDURE'!$E$7:$E$1506,MATCH(B708,'CARNET DE SOUDURE'!$K$7:$K$1506,0)),""))</f>
        <v/>
      </c>
      <c r="L708" s="78" t="str">
        <f aca="false">IF(B708="","",IFERROR(INDEX('CARNET DE SOUDURE'!$D$7:$D$1506,MATCH(B708,'CARNET DE SOUDURE'!$K$7:$K$1506,0)),IFERROR(INDEX('CARNET DE SOUDURE'!$D$7:$D$1506,MATCH(B708,'CARNET DE SOUDURE'!$M$7:$M$1506,0)),"")))</f>
        <v/>
      </c>
      <c r="M708" s="81" t="str">
        <f aca="false">IF(B708="","",IF(OR(J708&lt;&gt;"",K708&lt;&gt;""),"POSÉ EN LIGNE",IF(H708&lt;&gt;"","BARDÉ","EN STOCK")))</f>
        <v/>
      </c>
      <c r="N708" s="79"/>
    </row>
    <row r="709" customFormat="false" ht="15" hidden="false" customHeight="false" outlineLevel="0" collapsed="false">
      <c r="A709" s="78" t="str">
        <f aca="false">IF(B709="","",ROW()-6)</f>
        <v/>
      </c>
      <c r="B709" s="90"/>
      <c r="C709" s="91"/>
      <c r="D709" s="91"/>
      <c r="E709" s="80"/>
      <c r="F709" s="92"/>
      <c r="G709" s="79"/>
      <c r="H709" s="82"/>
      <c r="I709" s="93" t="str">
        <f aca="false">IF(B709="","",IFERROR(INDEX('CARNET DE SOUDURE'!$B$7:$B$1506,MATCH(B709,'CARNET DE SOUDURE'!$K$7:$K$1506,0)),IFERROR(INDEX('CARNET DE SOUDURE'!$B$7:$B$1506,MATCH(B709,'CARNET DE SOUDURE'!$M$7:$M$1506,0)),"")))</f>
        <v/>
      </c>
      <c r="J709" s="78" t="str">
        <f aca="false">IF(B709="","",IFERROR(INDEX('CARNET DE SOUDURE'!$E$7:$E$1506,MATCH(B709,'CARNET DE SOUDURE'!$M$7:$M$1506,0)),""))</f>
        <v/>
      </c>
      <c r="K709" s="78" t="str">
        <f aca="false">IF(B709="","",IFERROR(INDEX('CARNET DE SOUDURE'!$E$7:$E$1506,MATCH(B709,'CARNET DE SOUDURE'!$K$7:$K$1506,0)),""))</f>
        <v/>
      </c>
      <c r="L709" s="78" t="str">
        <f aca="false">IF(B709="","",IFERROR(INDEX('CARNET DE SOUDURE'!$D$7:$D$1506,MATCH(B709,'CARNET DE SOUDURE'!$K$7:$K$1506,0)),IFERROR(INDEX('CARNET DE SOUDURE'!$D$7:$D$1506,MATCH(B709,'CARNET DE SOUDURE'!$M$7:$M$1506,0)),"")))</f>
        <v/>
      </c>
      <c r="M709" s="81" t="str">
        <f aca="false">IF(B709="","",IF(OR(J709&lt;&gt;"",K709&lt;&gt;""),"POSÉ EN LIGNE",IF(H709&lt;&gt;"","BARDÉ","EN STOCK")))</f>
        <v/>
      </c>
      <c r="N709" s="79"/>
    </row>
    <row r="710" customFormat="false" ht="15" hidden="false" customHeight="false" outlineLevel="0" collapsed="false">
      <c r="A710" s="78" t="str">
        <f aca="false">IF(B710="","",ROW()-6)</f>
        <v/>
      </c>
      <c r="B710" s="90"/>
      <c r="C710" s="91"/>
      <c r="D710" s="91"/>
      <c r="E710" s="80"/>
      <c r="F710" s="92"/>
      <c r="G710" s="79"/>
      <c r="H710" s="82"/>
      <c r="I710" s="93" t="str">
        <f aca="false">IF(B710="","",IFERROR(INDEX('CARNET DE SOUDURE'!$B$7:$B$1506,MATCH(B710,'CARNET DE SOUDURE'!$K$7:$K$1506,0)),IFERROR(INDEX('CARNET DE SOUDURE'!$B$7:$B$1506,MATCH(B710,'CARNET DE SOUDURE'!$M$7:$M$1506,0)),"")))</f>
        <v/>
      </c>
      <c r="J710" s="78" t="str">
        <f aca="false">IF(B710="","",IFERROR(INDEX('CARNET DE SOUDURE'!$E$7:$E$1506,MATCH(B710,'CARNET DE SOUDURE'!$M$7:$M$1506,0)),""))</f>
        <v/>
      </c>
      <c r="K710" s="78" t="str">
        <f aca="false">IF(B710="","",IFERROR(INDEX('CARNET DE SOUDURE'!$E$7:$E$1506,MATCH(B710,'CARNET DE SOUDURE'!$K$7:$K$1506,0)),""))</f>
        <v/>
      </c>
      <c r="L710" s="78" t="str">
        <f aca="false">IF(B710="","",IFERROR(INDEX('CARNET DE SOUDURE'!$D$7:$D$1506,MATCH(B710,'CARNET DE SOUDURE'!$K$7:$K$1506,0)),IFERROR(INDEX('CARNET DE SOUDURE'!$D$7:$D$1506,MATCH(B710,'CARNET DE SOUDURE'!$M$7:$M$1506,0)),"")))</f>
        <v/>
      </c>
      <c r="M710" s="81" t="str">
        <f aca="false">IF(B710="","",IF(OR(J710&lt;&gt;"",K710&lt;&gt;""),"POSÉ EN LIGNE",IF(H710&lt;&gt;"","BARDÉ","EN STOCK")))</f>
        <v/>
      </c>
      <c r="N710" s="79"/>
    </row>
    <row r="711" customFormat="false" ht="15" hidden="false" customHeight="false" outlineLevel="0" collapsed="false">
      <c r="A711" s="78" t="str">
        <f aca="false">IF(B711="","",ROW()-6)</f>
        <v/>
      </c>
      <c r="B711" s="90"/>
      <c r="C711" s="91"/>
      <c r="D711" s="91"/>
      <c r="E711" s="80"/>
      <c r="F711" s="92"/>
      <c r="G711" s="79"/>
      <c r="H711" s="82"/>
      <c r="I711" s="93" t="str">
        <f aca="false">IF(B711="","",IFERROR(INDEX('CARNET DE SOUDURE'!$B$7:$B$1506,MATCH(B711,'CARNET DE SOUDURE'!$K$7:$K$1506,0)),IFERROR(INDEX('CARNET DE SOUDURE'!$B$7:$B$1506,MATCH(B711,'CARNET DE SOUDURE'!$M$7:$M$1506,0)),"")))</f>
        <v/>
      </c>
      <c r="J711" s="78" t="str">
        <f aca="false">IF(B711="","",IFERROR(INDEX('CARNET DE SOUDURE'!$E$7:$E$1506,MATCH(B711,'CARNET DE SOUDURE'!$M$7:$M$1506,0)),""))</f>
        <v/>
      </c>
      <c r="K711" s="78" t="str">
        <f aca="false">IF(B711="","",IFERROR(INDEX('CARNET DE SOUDURE'!$E$7:$E$1506,MATCH(B711,'CARNET DE SOUDURE'!$K$7:$K$1506,0)),""))</f>
        <v/>
      </c>
      <c r="L711" s="78" t="str">
        <f aca="false">IF(B711="","",IFERROR(INDEX('CARNET DE SOUDURE'!$D$7:$D$1506,MATCH(B711,'CARNET DE SOUDURE'!$K$7:$K$1506,0)),IFERROR(INDEX('CARNET DE SOUDURE'!$D$7:$D$1506,MATCH(B711,'CARNET DE SOUDURE'!$M$7:$M$1506,0)),"")))</f>
        <v/>
      </c>
      <c r="M711" s="81" t="str">
        <f aca="false">IF(B711="","",IF(OR(J711&lt;&gt;"",K711&lt;&gt;""),"POSÉ EN LIGNE",IF(H711&lt;&gt;"","BARDÉ","EN STOCK")))</f>
        <v/>
      </c>
      <c r="N711" s="79"/>
    </row>
    <row r="712" customFormat="false" ht="15" hidden="false" customHeight="false" outlineLevel="0" collapsed="false">
      <c r="A712" s="78" t="str">
        <f aca="false">IF(B712="","",ROW()-6)</f>
        <v/>
      </c>
      <c r="B712" s="90"/>
      <c r="C712" s="91"/>
      <c r="D712" s="91"/>
      <c r="E712" s="80"/>
      <c r="F712" s="92"/>
      <c r="G712" s="79"/>
      <c r="H712" s="82"/>
      <c r="I712" s="93" t="str">
        <f aca="false">IF(B712="","",IFERROR(INDEX('CARNET DE SOUDURE'!$B$7:$B$1506,MATCH(B712,'CARNET DE SOUDURE'!$K$7:$K$1506,0)),IFERROR(INDEX('CARNET DE SOUDURE'!$B$7:$B$1506,MATCH(B712,'CARNET DE SOUDURE'!$M$7:$M$1506,0)),"")))</f>
        <v/>
      </c>
      <c r="J712" s="78" t="str">
        <f aca="false">IF(B712="","",IFERROR(INDEX('CARNET DE SOUDURE'!$E$7:$E$1506,MATCH(B712,'CARNET DE SOUDURE'!$M$7:$M$1506,0)),""))</f>
        <v/>
      </c>
      <c r="K712" s="78" t="str">
        <f aca="false">IF(B712="","",IFERROR(INDEX('CARNET DE SOUDURE'!$E$7:$E$1506,MATCH(B712,'CARNET DE SOUDURE'!$K$7:$K$1506,0)),""))</f>
        <v/>
      </c>
      <c r="L712" s="78" t="str">
        <f aca="false">IF(B712="","",IFERROR(INDEX('CARNET DE SOUDURE'!$D$7:$D$1506,MATCH(B712,'CARNET DE SOUDURE'!$K$7:$K$1506,0)),IFERROR(INDEX('CARNET DE SOUDURE'!$D$7:$D$1506,MATCH(B712,'CARNET DE SOUDURE'!$M$7:$M$1506,0)),"")))</f>
        <v/>
      </c>
      <c r="M712" s="81" t="str">
        <f aca="false">IF(B712="","",IF(OR(J712&lt;&gt;"",K712&lt;&gt;""),"POSÉ EN LIGNE",IF(H712&lt;&gt;"","BARDÉ","EN STOCK")))</f>
        <v/>
      </c>
      <c r="N712" s="79"/>
    </row>
    <row r="713" customFormat="false" ht="15" hidden="false" customHeight="false" outlineLevel="0" collapsed="false">
      <c r="A713" s="78" t="str">
        <f aca="false">IF(B713="","",ROW()-6)</f>
        <v/>
      </c>
      <c r="B713" s="90"/>
      <c r="C713" s="91"/>
      <c r="D713" s="91"/>
      <c r="E713" s="80"/>
      <c r="F713" s="92"/>
      <c r="G713" s="79"/>
      <c r="H713" s="82"/>
      <c r="I713" s="93" t="str">
        <f aca="false">IF(B713="","",IFERROR(INDEX('CARNET DE SOUDURE'!$B$7:$B$1506,MATCH(B713,'CARNET DE SOUDURE'!$K$7:$K$1506,0)),IFERROR(INDEX('CARNET DE SOUDURE'!$B$7:$B$1506,MATCH(B713,'CARNET DE SOUDURE'!$M$7:$M$1506,0)),"")))</f>
        <v/>
      </c>
      <c r="J713" s="78" t="str">
        <f aca="false">IF(B713="","",IFERROR(INDEX('CARNET DE SOUDURE'!$E$7:$E$1506,MATCH(B713,'CARNET DE SOUDURE'!$M$7:$M$1506,0)),""))</f>
        <v/>
      </c>
      <c r="K713" s="78" t="str">
        <f aca="false">IF(B713="","",IFERROR(INDEX('CARNET DE SOUDURE'!$E$7:$E$1506,MATCH(B713,'CARNET DE SOUDURE'!$K$7:$K$1506,0)),""))</f>
        <v/>
      </c>
      <c r="L713" s="78" t="str">
        <f aca="false">IF(B713="","",IFERROR(INDEX('CARNET DE SOUDURE'!$D$7:$D$1506,MATCH(B713,'CARNET DE SOUDURE'!$K$7:$K$1506,0)),IFERROR(INDEX('CARNET DE SOUDURE'!$D$7:$D$1506,MATCH(B713,'CARNET DE SOUDURE'!$M$7:$M$1506,0)),"")))</f>
        <v/>
      </c>
      <c r="M713" s="81" t="str">
        <f aca="false">IF(B713="","",IF(OR(J713&lt;&gt;"",K713&lt;&gt;""),"POSÉ EN LIGNE",IF(H713&lt;&gt;"","BARDÉ","EN STOCK")))</f>
        <v/>
      </c>
      <c r="N713" s="79"/>
    </row>
    <row r="714" customFormat="false" ht="15" hidden="false" customHeight="false" outlineLevel="0" collapsed="false">
      <c r="A714" s="78" t="str">
        <f aca="false">IF(B714="","",ROW()-6)</f>
        <v/>
      </c>
      <c r="B714" s="90"/>
      <c r="C714" s="91"/>
      <c r="D714" s="91"/>
      <c r="E714" s="80"/>
      <c r="F714" s="92"/>
      <c r="G714" s="79"/>
      <c r="H714" s="82"/>
      <c r="I714" s="93" t="str">
        <f aca="false">IF(B714="","",IFERROR(INDEX('CARNET DE SOUDURE'!$B$7:$B$1506,MATCH(B714,'CARNET DE SOUDURE'!$K$7:$K$1506,0)),IFERROR(INDEX('CARNET DE SOUDURE'!$B$7:$B$1506,MATCH(B714,'CARNET DE SOUDURE'!$M$7:$M$1506,0)),"")))</f>
        <v/>
      </c>
      <c r="J714" s="78" t="str">
        <f aca="false">IF(B714="","",IFERROR(INDEX('CARNET DE SOUDURE'!$E$7:$E$1506,MATCH(B714,'CARNET DE SOUDURE'!$M$7:$M$1506,0)),""))</f>
        <v/>
      </c>
      <c r="K714" s="78" t="str">
        <f aca="false">IF(B714="","",IFERROR(INDEX('CARNET DE SOUDURE'!$E$7:$E$1506,MATCH(B714,'CARNET DE SOUDURE'!$K$7:$K$1506,0)),""))</f>
        <v/>
      </c>
      <c r="L714" s="78" t="str">
        <f aca="false">IF(B714="","",IFERROR(INDEX('CARNET DE SOUDURE'!$D$7:$D$1506,MATCH(B714,'CARNET DE SOUDURE'!$K$7:$K$1506,0)),IFERROR(INDEX('CARNET DE SOUDURE'!$D$7:$D$1506,MATCH(B714,'CARNET DE SOUDURE'!$M$7:$M$1506,0)),"")))</f>
        <v/>
      </c>
      <c r="M714" s="81" t="str">
        <f aca="false">IF(B714="","",IF(OR(J714&lt;&gt;"",K714&lt;&gt;""),"POSÉ EN LIGNE",IF(H714&lt;&gt;"","BARDÉ","EN STOCK")))</f>
        <v/>
      </c>
      <c r="N714" s="79"/>
    </row>
    <row r="715" customFormat="false" ht="15" hidden="false" customHeight="false" outlineLevel="0" collapsed="false">
      <c r="A715" s="78" t="str">
        <f aca="false">IF(B715="","",ROW()-6)</f>
        <v/>
      </c>
      <c r="B715" s="90"/>
      <c r="C715" s="91"/>
      <c r="D715" s="91"/>
      <c r="E715" s="80"/>
      <c r="F715" s="92"/>
      <c r="G715" s="79"/>
      <c r="H715" s="82"/>
      <c r="I715" s="93" t="str">
        <f aca="false">IF(B715="","",IFERROR(INDEX('CARNET DE SOUDURE'!$B$7:$B$1506,MATCH(B715,'CARNET DE SOUDURE'!$K$7:$K$1506,0)),IFERROR(INDEX('CARNET DE SOUDURE'!$B$7:$B$1506,MATCH(B715,'CARNET DE SOUDURE'!$M$7:$M$1506,0)),"")))</f>
        <v/>
      </c>
      <c r="J715" s="78" t="str">
        <f aca="false">IF(B715="","",IFERROR(INDEX('CARNET DE SOUDURE'!$E$7:$E$1506,MATCH(B715,'CARNET DE SOUDURE'!$M$7:$M$1506,0)),""))</f>
        <v/>
      </c>
      <c r="K715" s="78" t="str">
        <f aca="false">IF(B715="","",IFERROR(INDEX('CARNET DE SOUDURE'!$E$7:$E$1506,MATCH(B715,'CARNET DE SOUDURE'!$K$7:$K$1506,0)),""))</f>
        <v/>
      </c>
      <c r="L715" s="78" t="str">
        <f aca="false">IF(B715="","",IFERROR(INDEX('CARNET DE SOUDURE'!$D$7:$D$1506,MATCH(B715,'CARNET DE SOUDURE'!$K$7:$K$1506,0)),IFERROR(INDEX('CARNET DE SOUDURE'!$D$7:$D$1506,MATCH(B715,'CARNET DE SOUDURE'!$M$7:$M$1506,0)),"")))</f>
        <v/>
      </c>
      <c r="M715" s="81" t="str">
        <f aca="false">IF(B715="","",IF(OR(J715&lt;&gt;"",K715&lt;&gt;""),"POSÉ EN LIGNE",IF(H715&lt;&gt;"","BARDÉ","EN STOCK")))</f>
        <v/>
      </c>
      <c r="N715" s="79"/>
    </row>
    <row r="716" customFormat="false" ht="15" hidden="false" customHeight="false" outlineLevel="0" collapsed="false">
      <c r="A716" s="78" t="str">
        <f aca="false">IF(B716="","",ROW()-6)</f>
        <v/>
      </c>
      <c r="B716" s="90"/>
      <c r="C716" s="91"/>
      <c r="D716" s="91"/>
      <c r="E716" s="80"/>
      <c r="F716" s="92"/>
      <c r="G716" s="79"/>
      <c r="H716" s="82"/>
      <c r="I716" s="93" t="str">
        <f aca="false">IF(B716="","",IFERROR(INDEX('CARNET DE SOUDURE'!$B$7:$B$1506,MATCH(B716,'CARNET DE SOUDURE'!$K$7:$K$1506,0)),IFERROR(INDEX('CARNET DE SOUDURE'!$B$7:$B$1506,MATCH(B716,'CARNET DE SOUDURE'!$M$7:$M$1506,0)),"")))</f>
        <v/>
      </c>
      <c r="J716" s="78" t="str">
        <f aca="false">IF(B716="","",IFERROR(INDEX('CARNET DE SOUDURE'!$E$7:$E$1506,MATCH(B716,'CARNET DE SOUDURE'!$M$7:$M$1506,0)),""))</f>
        <v/>
      </c>
      <c r="K716" s="78" t="str">
        <f aca="false">IF(B716="","",IFERROR(INDEX('CARNET DE SOUDURE'!$E$7:$E$1506,MATCH(B716,'CARNET DE SOUDURE'!$K$7:$K$1506,0)),""))</f>
        <v/>
      </c>
      <c r="L716" s="78" t="str">
        <f aca="false">IF(B716="","",IFERROR(INDEX('CARNET DE SOUDURE'!$D$7:$D$1506,MATCH(B716,'CARNET DE SOUDURE'!$K$7:$K$1506,0)),IFERROR(INDEX('CARNET DE SOUDURE'!$D$7:$D$1506,MATCH(B716,'CARNET DE SOUDURE'!$M$7:$M$1506,0)),"")))</f>
        <v/>
      </c>
      <c r="M716" s="81" t="str">
        <f aca="false">IF(B716="","",IF(OR(J716&lt;&gt;"",K716&lt;&gt;""),"POSÉ EN LIGNE",IF(H716&lt;&gt;"","BARDÉ","EN STOCK")))</f>
        <v/>
      </c>
      <c r="N716" s="79"/>
    </row>
    <row r="717" customFormat="false" ht="15" hidden="false" customHeight="false" outlineLevel="0" collapsed="false">
      <c r="A717" s="78" t="str">
        <f aca="false">IF(B717="","",ROW()-6)</f>
        <v/>
      </c>
      <c r="B717" s="90"/>
      <c r="C717" s="91"/>
      <c r="D717" s="91"/>
      <c r="E717" s="80"/>
      <c r="F717" s="92"/>
      <c r="G717" s="79"/>
      <c r="H717" s="82"/>
      <c r="I717" s="93" t="str">
        <f aca="false">IF(B717="","",IFERROR(INDEX('CARNET DE SOUDURE'!$B$7:$B$1506,MATCH(B717,'CARNET DE SOUDURE'!$K$7:$K$1506,0)),IFERROR(INDEX('CARNET DE SOUDURE'!$B$7:$B$1506,MATCH(B717,'CARNET DE SOUDURE'!$M$7:$M$1506,0)),"")))</f>
        <v/>
      </c>
      <c r="J717" s="78" t="str">
        <f aca="false">IF(B717="","",IFERROR(INDEX('CARNET DE SOUDURE'!$E$7:$E$1506,MATCH(B717,'CARNET DE SOUDURE'!$M$7:$M$1506,0)),""))</f>
        <v/>
      </c>
      <c r="K717" s="78" t="str">
        <f aca="false">IF(B717="","",IFERROR(INDEX('CARNET DE SOUDURE'!$E$7:$E$1506,MATCH(B717,'CARNET DE SOUDURE'!$K$7:$K$1506,0)),""))</f>
        <v/>
      </c>
      <c r="L717" s="78" t="str">
        <f aca="false">IF(B717="","",IFERROR(INDEX('CARNET DE SOUDURE'!$D$7:$D$1506,MATCH(B717,'CARNET DE SOUDURE'!$K$7:$K$1506,0)),IFERROR(INDEX('CARNET DE SOUDURE'!$D$7:$D$1506,MATCH(B717,'CARNET DE SOUDURE'!$M$7:$M$1506,0)),"")))</f>
        <v/>
      </c>
      <c r="M717" s="81" t="str">
        <f aca="false">IF(B717="","",IF(OR(J717&lt;&gt;"",K717&lt;&gt;""),"POSÉ EN LIGNE",IF(H717&lt;&gt;"","BARDÉ","EN STOCK")))</f>
        <v/>
      </c>
      <c r="N717" s="79"/>
    </row>
    <row r="718" customFormat="false" ht="15" hidden="false" customHeight="false" outlineLevel="0" collapsed="false">
      <c r="A718" s="78" t="str">
        <f aca="false">IF(B718="","",ROW()-6)</f>
        <v/>
      </c>
      <c r="B718" s="90"/>
      <c r="C718" s="91"/>
      <c r="D718" s="91"/>
      <c r="E718" s="80"/>
      <c r="F718" s="92"/>
      <c r="G718" s="79"/>
      <c r="H718" s="82"/>
      <c r="I718" s="93" t="str">
        <f aca="false">IF(B718="","",IFERROR(INDEX('CARNET DE SOUDURE'!$B$7:$B$1506,MATCH(B718,'CARNET DE SOUDURE'!$K$7:$K$1506,0)),IFERROR(INDEX('CARNET DE SOUDURE'!$B$7:$B$1506,MATCH(B718,'CARNET DE SOUDURE'!$M$7:$M$1506,0)),"")))</f>
        <v/>
      </c>
      <c r="J718" s="78" t="str">
        <f aca="false">IF(B718="","",IFERROR(INDEX('CARNET DE SOUDURE'!$E$7:$E$1506,MATCH(B718,'CARNET DE SOUDURE'!$M$7:$M$1506,0)),""))</f>
        <v/>
      </c>
      <c r="K718" s="78" t="str">
        <f aca="false">IF(B718="","",IFERROR(INDEX('CARNET DE SOUDURE'!$E$7:$E$1506,MATCH(B718,'CARNET DE SOUDURE'!$K$7:$K$1506,0)),""))</f>
        <v/>
      </c>
      <c r="L718" s="78" t="str">
        <f aca="false">IF(B718="","",IFERROR(INDEX('CARNET DE SOUDURE'!$D$7:$D$1506,MATCH(B718,'CARNET DE SOUDURE'!$K$7:$K$1506,0)),IFERROR(INDEX('CARNET DE SOUDURE'!$D$7:$D$1506,MATCH(B718,'CARNET DE SOUDURE'!$M$7:$M$1506,0)),"")))</f>
        <v/>
      </c>
      <c r="M718" s="81" t="str">
        <f aca="false">IF(B718="","",IF(OR(J718&lt;&gt;"",K718&lt;&gt;""),"POSÉ EN LIGNE",IF(H718&lt;&gt;"","BARDÉ","EN STOCK")))</f>
        <v/>
      </c>
      <c r="N718" s="79"/>
    </row>
    <row r="719" customFormat="false" ht="15" hidden="false" customHeight="false" outlineLevel="0" collapsed="false">
      <c r="A719" s="78" t="str">
        <f aca="false">IF(B719="","",ROW()-6)</f>
        <v/>
      </c>
      <c r="B719" s="90"/>
      <c r="C719" s="91"/>
      <c r="D719" s="91"/>
      <c r="E719" s="80"/>
      <c r="F719" s="92"/>
      <c r="G719" s="79"/>
      <c r="H719" s="82"/>
      <c r="I719" s="93" t="str">
        <f aca="false">IF(B719="","",IFERROR(INDEX('CARNET DE SOUDURE'!$B$7:$B$1506,MATCH(B719,'CARNET DE SOUDURE'!$K$7:$K$1506,0)),IFERROR(INDEX('CARNET DE SOUDURE'!$B$7:$B$1506,MATCH(B719,'CARNET DE SOUDURE'!$M$7:$M$1506,0)),"")))</f>
        <v/>
      </c>
      <c r="J719" s="78" t="str">
        <f aca="false">IF(B719="","",IFERROR(INDEX('CARNET DE SOUDURE'!$E$7:$E$1506,MATCH(B719,'CARNET DE SOUDURE'!$M$7:$M$1506,0)),""))</f>
        <v/>
      </c>
      <c r="K719" s="78" t="str">
        <f aca="false">IF(B719="","",IFERROR(INDEX('CARNET DE SOUDURE'!$E$7:$E$1506,MATCH(B719,'CARNET DE SOUDURE'!$K$7:$K$1506,0)),""))</f>
        <v/>
      </c>
      <c r="L719" s="78" t="str">
        <f aca="false">IF(B719="","",IFERROR(INDEX('CARNET DE SOUDURE'!$D$7:$D$1506,MATCH(B719,'CARNET DE SOUDURE'!$K$7:$K$1506,0)),IFERROR(INDEX('CARNET DE SOUDURE'!$D$7:$D$1506,MATCH(B719,'CARNET DE SOUDURE'!$M$7:$M$1506,0)),"")))</f>
        <v/>
      </c>
      <c r="M719" s="81" t="str">
        <f aca="false">IF(B719="","",IF(OR(J719&lt;&gt;"",K719&lt;&gt;""),"POSÉ EN LIGNE",IF(H719&lt;&gt;"","BARDÉ","EN STOCK")))</f>
        <v/>
      </c>
      <c r="N719" s="79"/>
    </row>
    <row r="720" customFormat="false" ht="15" hidden="false" customHeight="false" outlineLevel="0" collapsed="false">
      <c r="A720" s="78" t="str">
        <f aca="false">IF(B720="","",ROW()-6)</f>
        <v/>
      </c>
      <c r="B720" s="90"/>
      <c r="C720" s="91"/>
      <c r="D720" s="91"/>
      <c r="E720" s="80"/>
      <c r="F720" s="92"/>
      <c r="G720" s="79"/>
      <c r="H720" s="82"/>
      <c r="I720" s="93" t="str">
        <f aca="false">IF(B720="","",IFERROR(INDEX('CARNET DE SOUDURE'!$B$7:$B$1506,MATCH(B720,'CARNET DE SOUDURE'!$K$7:$K$1506,0)),IFERROR(INDEX('CARNET DE SOUDURE'!$B$7:$B$1506,MATCH(B720,'CARNET DE SOUDURE'!$M$7:$M$1506,0)),"")))</f>
        <v/>
      </c>
      <c r="J720" s="78" t="str">
        <f aca="false">IF(B720="","",IFERROR(INDEX('CARNET DE SOUDURE'!$E$7:$E$1506,MATCH(B720,'CARNET DE SOUDURE'!$M$7:$M$1506,0)),""))</f>
        <v/>
      </c>
      <c r="K720" s="78" t="str">
        <f aca="false">IF(B720="","",IFERROR(INDEX('CARNET DE SOUDURE'!$E$7:$E$1506,MATCH(B720,'CARNET DE SOUDURE'!$K$7:$K$1506,0)),""))</f>
        <v/>
      </c>
      <c r="L720" s="78" t="str">
        <f aca="false">IF(B720="","",IFERROR(INDEX('CARNET DE SOUDURE'!$D$7:$D$1506,MATCH(B720,'CARNET DE SOUDURE'!$K$7:$K$1506,0)),IFERROR(INDEX('CARNET DE SOUDURE'!$D$7:$D$1506,MATCH(B720,'CARNET DE SOUDURE'!$M$7:$M$1506,0)),"")))</f>
        <v/>
      </c>
      <c r="M720" s="81" t="str">
        <f aca="false">IF(B720="","",IF(OR(J720&lt;&gt;"",K720&lt;&gt;""),"POSÉ EN LIGNE",IF(H720&lt;&gt;"","BARDÉ","EN STOCK")))</f>
        <v/>
      </c>
      <c r="N720" s="79"/>
    </row>
    <row r="721" customFormat="false" ht="15" hidden="false" customHeight="false" outlineLevel="0" collapsed="false">
      <c r="A721" s="78" t="str">
        <f aca="false">IF(B721="","",ROW()-6)</f>
        <v/>
      </c>
      <c r="B721" s="90"/>
      <c r="C721" s="91"/>
      <c r="D721" s="91"/>
      <c r="E721" s="80"/>
      <c r="F721" s="92"/>
      <c r="G721" s="79"/>
      <c r="H721" s="82"/>
      <c r="I721" s="93" t="str">
        <f aca="false">IF(B721="","",IFERROR(INDEX('CARNET DE SOUDURE'!$B$7:$B$1506,MATCH(B721,'CARNET DE SOUDURE'!$K$7:$K$1506,0)),IFERROR(INDEX('CARNET DE SOUDURE'!$B$7:$B$1506,MATCH(B721,'CARNET DE SOUDURE'!$M$7:$M$1506,0)),"")))</f>
        <v/>
      </c>
      <c r="J721" s="78" t="str">
        <f aca="false">IF(B721="","",IFERROR(INDEX('CARNET DE SOUDURE'!$E$7:$E$1506,MATCH(B721,'CARNET DE SOUDURE'!$M$7:$M$1506,0)),""))</f>
        <v/>
      </c>
      <c r="K721" s="78" t="str">
        <f aca="false">IF(B721="","",IFERROR(INDEX('CARNET DE SOUDURE'!$E$7:$E$1506,MATCH(B721,'CARNET DE SOUDURE'!$K$7:$K$1506,0)),""))</f>
        <v/>
      </c>
      <c r="L721" s="78" t="str">
        <f aca="false">IF(B721="","",IFERROR(INDEX('CARNET DE SOUDURE'!$D$7:$D$1506,MATCH(B721,'CARNET DE SOUDURE'!$K$7:$K$1506,0)),IFERROR(INDEX('CARNET DE SOUDURE'!$D$7:$D$1506,MATCH(B721,'CARNET DE SOUDURE'!$M$7:$M$1506,0)),"")))</f>
        <v/>
      </c>
      <c r="M721" s="81" t="str">
        <f aca="false">IF(B721="","",IF(OR(J721&lt;&gt;"",K721&lt;&gt;""),"POSÉ EN LIGNE",IF(H721&lt;&gt;"","BARDÉ","EN STOCK")))</f>
        <v/>
      </c>
      <c r="N721" s="79"/>
    </row>
    <row r="722" customFormat="false" ht="15" hidden="false" customHeight="false" outlineLevel="0" collapsed="false">
      <c r="A722" s="78" t="str">
        <f aca="false">IF(B722="","",ROW()-6)</f>
        <v/>
      </c>
      <c r="B722" s="90"/>
      <c r="C722" s="91"/>
      <c r="D722" s="91"/>
      <c r="E722" s="80"/>
      <c r="F722" s="92"/>
      <c r="G722" s="79"/>
      <c r="H722" s="82"/>
      <c r="I722" s="93" t="str">
        <f aca="false">IF(B722="","",IFERROR(INDEX('CARNET DE SOUDURE'!$B$7:$B$1506,MATCH(B722,'CARNET DE SOUDURE'!$K$7:$K$1506,0)),IFERROR(INDEX('CARNET DE SOUDURE'!$B$7:$B$1506,MATCH(B722,'CARNET DE SOUDURE'!$M$7:$M$1506,0)),"")))</f>
        <v/>
      </c>
      <c r="J722" s="78" t="str">
        <f aca="false">IF(B722="","",IFERROR(INDEX('CARNET DE SOUDURE'!$E$7:$E$1506,MATCH(B722,'CARNET DE SOUDURE'!$M$7:$M$1506,0)),""))</f>
        <v/>
      </c>
      <c r="K722" s="78" t="str">
        <f aca="false">IF(B722="","",IFERROR(INDEX('CARNET DE SOUDURE'!$E$7:$E$1506,MATCH(B722,'CARNET DE SOUDURE'!$K$7:$K$1506,0)),""))</f>
        <v/>
      </c>
      <c r="L722" s="78" t="str">
        <f aca="false">IF(B722="","",IFERROR(INDEX('CARNET DE SOUDURE'!$D$7:$D$1506,MATCH(B722,'CARNET DE SOUDURE'!$K$7:$K$1506,0)),IFERROR(INDEX('CARNET DE SOUDURE'!$D$7:$D$1506,MATCH(B722,'CARNET DE SOUDURE'!$M$7:$M$1506,0)),"")))</f>
        <v/>
      </c>
      <c r="M722" s="81" t="str">
        <f aca="false">IF(B722="","",IF(OR(J722&lt;&gt;"",K722&lt;&gt;""),"POSÉ EN LIGNE",IF(H722&lt;&gt;"","BARDÉ","EN STOCK")))</f>
        <v/>
      </c>
      <c r="N722" s="79"/>
    </row>
    <row r="723" customFormat="false" ht="15" hidden="false" customHeight="false" outlineLevel="0" collapsed="false">
      <c r="A723" s="78" t="str">
        <f aca="false">IF(B723="","",ROW()-6)</f>
        <v/>
      </c>
      <c r="B723" s="90"/>
      <c r="C723" s="91"/>
      <c r="D723" s="91"/>
      <c r="E723" s="80"/>
      <c r="F723" s="92"/>
      <c r="G723" s="79"/>
      <c r="H723" s="82"/>
      <c r="I723" s="93" t="str">
        <f aca="false">IF(B723="","",IFERROR(INDEX('CARNET DE SOUDURE'!$B$7:$B$1506,MATCH(B723,'CARNET DE SOUDURE'!$K$7:$K$1506,0)),IFERROR(INDEX('CARNET DE SOUDURE'!$B$7:$B$1506,MATCH(B723,'CARNET DE SOUDURE'!$M$7:$M$1506,0)),"")))</f>
        <v/>
      </c>
      <c r="J723" s="78" t="str">
        <f aca="false">IF(B723="","",IFERROR(INDEX('CARNET DE SOUDURE'!$E$7:$E$1506,MATCH(B723,'CARNET DE SOUDURE'!$M$7:$M$1506,0)),""))</f>
        <v/>
      </c>
      <c r="K723" s="78" t="str">
        <f aca="false">IF(B723="","",IFERROR(INDEX('CARNET DE SOUDURE'!$E$7:$E$1506,MATCH(B723,'CARNET DE SOUDURE'!$K$7:$K$1506,0)),""))</f>
        <v/>
      </c>
      <c r="L723" s="78" t="str">
        <f aca="false">IF(B723="","",IFERROR(INDEX('CARNET DE SOUDURE'!$D$7:$D$1506,MATCH(B723,'CARNET DE SOUDURE'!$K$7:$K$1506,0)),IFERROR(INDEX('CARNET DE SOUDURE'!$D$7:$D$1506,MATCH(B723,'CARNET DE SOUDURE'!$M$7:$M$1506,0)),"")))</f>
        <v/>
      </c>
      <c r="M723" s="81" t="str">
        <f aca="false">IF(B723="","",IF(OR(J723&lt;&gt;"",K723&lt;&gt;""),"POSÉ EN LIGNE",IF(H723&lt;&gt;"","BARDÉ","EN STOCK")))</f>
        <v/>
      </c>
      <c r="N723" s="79"/>
    </row>
    <row r="724" customFormat="false" ht="15" hidden="false" customHeight="false" outlineLevel="0" collapsed="false">
      <c r="A724" s="78" t="str">
        <f aca="false">IF(B724="","",ROW()-6)</f>
        <v/>
      </c>
      <c r="B724" s="90"/>
      <c r="C724" s="91"/>
      <c r="D724" s="91"/>
      <c r="E724" s="80"/>
      <c r="F724" s="92"/>
      <c r="G724" s="79"/>
      <c r="H724" s="82"/>
      <c r="I724" s="93" t="str">
        <f aca="false">IF(B724="","",IFERROR(INDEX('CARNET DE SOUDURE'!$B$7:$B$1506,MATCH(B724,'CARNET DE SOUDURE'!$K$7:$K$1506,0)),IFERROR(INDEX('CARNET DE SOUDURE'!$B$7:$B$1506,MATCH(B724,'CARNET DE SOUDURE'!$M$7:$M$1506,0)),"")))</f>
        <v/>
      </c>
      <c r="J724" s="78" t="str">
        <f aca="false">IF(B724="","",IFERROR(INDEX('CARNET DE SOUDURE'!$E$7:$E$1506,MATCH(B724,'CARNET DE SOUDURE'!$M$7:$M$1506,0)),""))</f>
        <v/>
      </c>
      <c r="K724" s="78" t="str">
        <f aca="false">IF(B724="","",IFERROR(INDEX('CARNET DE SOUDURE'!$E$7:$E$1506,MATCH(B724,'CARNET DE SOUDURE'!$K$7:$K$1506,0)),""))</f>
        <v/>
      </c>
      <c r="L724" s="78" t="str">
        <f aca="false">IF(B724="","",IFERROR(INDEX('CARNET DE SOUDURE'!$D$7:$D$1506,MATCH(B724,'CARNET DE SOUDURE'!$K$7:$K$1506,0)),IFERROR(INDEX('CARNET DE SOUDURE'!$D$7:$D$1506,MATCH(B724,'CARNET DE SOUDURE'!$M$7:$M$1506,0)),"")))</f>
        <v/>
      </c>
      <c r="M724" s="81" t="str">
        <f aca="false">IF(B724="","",IF(OR(J724&lt;&gt;"",K724&lt;&gt;""),"POSÉ EN LIGNE",IF(H724&lt;&gt;"","BARDÉ","EN STOCK")))</f>
        <v/>
      </c>
      <c r="N724" s="79"/>
    </row>
    <row r="725" customFormat="false" ht="15" hidden="false" customHeight="false" outlineLevel="0" collapsed="false">
      <c r="A725" s="78" t="str">
        <f aca="false">IF(B725="","",ROW()-6)</f>
        <v/>
      </c>
      <c r="B725" s="90"/>
      <c r="C725" s="91"/>
      <c r="D725" s="91"/>
      <c r="E725" s="80"/>
      <c r="F725" s="92"/>
      <c r="G725" s="79"/>
      <c r="H725" s="82"/>
      <c r="I725" s="93" t="str">
        <f aca="false">IF(B725="","",IFERROR(INDEX('CARNET DE SOUDURE'!$B$7:$B$1506,MATCH(B725,'CARNET DE SOUDURE'!$K$7:$K$1506,0)),IFERROR(INDEX('CARNET DE SOUDURE'!$B$7:$B$1506,MATCH(B725,'CARNET DE SOUDURE'!$M$7:$M$1506,0)),"")))</f>
        <v/>
      </c>
      <c r="J725" s="78" t="str">
        <f aca="false">IF(B725="","",IFERROR(INDEX('CARNET DE SOUDURE'!$E$7:$E$1506,MATCH(B725,'CARNET DE SOUDURE'!$M$7:$M$1506,0)),""))</f>
        <v/>
      </c>
      <c r="K725" s="78" t="str">
        <f aca="false">IF(B725="","",IFERROR(INDEX('CARNET DE SOUDURE'!$E$7:$E$1506,MATCH(B725,'CARNET DE SOUDURE'!$K$7:$K$1506,0)),""))</f>
        <v/>
      </c>
      <c r="L725" s="78" t="str">
        <f aca="false">IF(B725="","",IFERROR(INDEX('CARNET DE SOUDURE'!$D$7:$D$1506,MATCH(B725,'CARNET DE SOUDURE'!$K$7:$K$1506,0)),IFERROR(INDEX('CARNET DE SOUDURE'!$D$7:$D$1506,MATCH(B725,'CARNET DE SOUDURE'!$M$7:$M$1506,0)),"")))</f>
        <v/>
      </c>
      <c r="M725" s="81" t="str">
        <f aca="false">IF(B725="","",IF(OR(J725&lt;&gt;"",K725&lt;&gt;""),"POSÉ EN LIGNE",IF(H725&lt;&gt;"","BARDÉ","EN STOCK")))</f>
        <v/>
      </c>
      <c r="N725" s="79"/>
    </row>
    <row r="726" customFormat="false" ht="15" hidden="false" customHeight="false" outlineLevel="0" collapsed="false">
      <c r="A726" s="78" t="str">
        <f aca="false">IF(B726="","",ROW()-6)</f>
        <v/>
      </c>
      <c r="B726" s="90"/>
      <c r="C726" s="91"/>
      <c r="D726" s="91"/>
      <c r="E726" s="80"/>
      <c r="F726" s="92"/>
      <c r="G726" s="79"/>
      <c r="H726" s="82"/>
      <c r="I726" s="93" t="str">
        <f aca="false">IF(B726="","",IFERROR(INDEX('CARNET DE SOUDURE'!$B$7:$B$1506,MATCH(B726,'CARNET DE SOUDURE'!$K$7:$K$1506,0)),IFERROR(INDEX('CARNET DE SOUDURE'!$B$7:$B$1506,MATCH(B726,'CARNET DE SOUDURE'!$M$7:$M$1506,0)),"")))</f>
        <v/>
      </c>
      <c r="J726" s="78" t="str">
        <f aca="false">IF(B726="","",IFERROR(INDEX('CARNET DE SOUDURE'!$E$7:$E$1506,MATCH(B726,'CARNET DE SOUDURE'!$M$7:$M$1506,0)),""))</f>
        <v/>
      </c>
      <c r="K726" s="78" t="str">
        <f aca="false">IF(B726="","",IFERROR(INDEX('CARNET DE SOUDURE'!$E$7:$E$1506,MATCH(B726,'CARNET DE SOUDURE'!$K$7:$K$1506,0)),""))</f>
        <v/>
      </c>
      <c r="L726" s="78" t="str">
        <f aca="false">IF(B726="","",IFERROR(INDEX('CARNET DE SOUDURE'!$D$7:$D$1506,MATCH(B726,'CARNET DE SOUDURE'!$K$7:$K$1506,0)),IFERROR(INDEX('CARNET DE SOUDURE'!$D$7:$D$1506,MATCH(B726,'CARNET DE SOUDURE'!$M$7:$M$1506,0)),"")))</f>
        <v/>
      </c>
      <c r="M726" s="81" t="str">
        <f aca="false">IF(B726="","",IF(OR(J726&lt;&gt;"",K726&lt;&gt;""),"POSÉ EN LIGNE",IF(H726&lt;&gt;"","BARDÉ","EN STOCK")))</f>
        <v/>
      </c>
      <c r="N726" s="79"/>
    </row>
    <row r="727" customFormat="false" ht="15" hidden="false" customHeight="false" outlineLevel="0" collapsed="false">
      <c r="A727" s="78" t="str">
        <f aca="false">IF(B727="","",ROW()-6)</f>
        <v/>
      </c>
      <c r="B727" s="90"/>
      <c r="C727" s="91"/>
      <c r="D727" s="91"/>
      <c r="E727" s="80"/>
      <c r="F727" s="92"/>
      <c r="G727" s="79"/>
      <c r="H727" s="82"/>
      <c r="I727" s="93" t="str">
        <f aca="false">IF(B727="","",IFERROR(INDEX('CARNET DE SOUDURE'!$B$7:$B$1506,MATCH(B727,'CARNET DE SOUDURE'!$K$7:$K$1506,0)),IFERROR(INDEX('CARNET DE SOUDURE'!$B$7:$B$1506,MATCH(B727,'CARNET DE SOUDURE'!$M$7:$M$1506,0)),"")))</f>
        <v/>
      </c>
      <c r="J727" s="78" t="str">
        <f aca="false">IF(B727="","",IFERROR(INDEX('CARNET DE SOUDURE'!$E$7:$E$1506,MATCH(B727,'CARNET DE SOUDURE'!$M$7:$M$1506,0)),""))</f>
        <v/>
      </c>
      <c r="K727" s="78" t="str">
        <f aca="false">IF(B727="","",IFERROR(INDEX('CARNET DE SOUDURE'!$E$7:$E$1506,MATCH(B727,'CARNET DE SOUDURE'!$K$7:$K$1506,0)),""))</f>
        <v/>
      </c>
      <c r="L727" s="78" t="str">
        <f aca="false">IF(B727="","",IFERROR(INDEX('CARNET DE SOUDURE'!$D$7:$D$1506,MATCH(B727,'CARNET DE SOUDURE'!$K$7:$K$1506,0)),IFERROR(INDEX('CARNET DE SOUDURE'!$D$7:$D$1506,MATCH(B727,'CARNET DE SOUDURE'!$M$7:$M$1506,0)),"")))</f>
        <v/>
      </c>
      <c r="M727" s="81" t="str">
        <f aca="false">IF(B727="","",IF(OR(J727&lt;&gt;"",K727&lt;&gt;""),"POSÉ EN LIGNE",IF(H727&lt;&gt;"","BARDÉ","EN STOCK")))</f>
        <v/>
      </c>
      <c r="N727" s="79"/>
    </row>
    <row r="728" customFormat="false" ht="15" hidden="false" customHeight="false" outlineLevel="0" collapsed="false">
      <c r="A728" s="78" t="str">
        <f aca="false">IF(B728="","",ROW()-6)</f>
        <v/>
      </c>
      <c r="B728" s="90"/>
      <c r="C728" s="91"/>
      <c r="D728" s="91"/>
      <c r="E728" s="80"/>
      <c r="F728" s="92"/>
      <c r="G728" s="79"/>
      <c r="H728" s="82"/>
      <c r="I728" s="93" t="str">
        <f aca="false">IF(B728="","",IFERROR(INDEX('CARNET DE SOUDURE'!$B$7:$B$1506,MATCH(B728,'CARNET DE SOUDURE'!$K$7:$K$1506,0)),IFERROR(INDEX('CARNET DE SOUDURE'!$B$7:$B$1506,MATCH(B728,'CARNET DE SOUDURE'!$M$7:$M$1506,0)),"")))</f>
        <v/>
      </c>
      <c r="J728" s="78" t="str">
        <f aca="false">IF(B728="","",IFERROR(INDEX('CARNET DE SOUDURE'!$E$7:$E$1506,MATCH(B728,'CARNET DE SOUDURE'!$M$7:$M$1506,0)),""))</f>
        <v/>
      </c>
      <c r="K728" s="78" t="str">
        <f aca="false">IF(B728="","",IFERROR(INDEX('CARNET DE SOUDURE'!$E$7:$E$1506,MATCH(B728,'CARNET DE SOUDURE'!$K$7:$K$1506,0)),""))</f>
        <v/>
      </c>
      <c r="L728" s="78" t="str">
        <f aca="false">IF(B728="","",IFERROR(INDEX('CARNET DE SOUDURE'!$D$7:$D$1506,MATCH(B728,'CARNET DE SOUDURE'!$K$7:$K$1506,0)),IFERROR(INDEX('CARNET DE SOUDURE'!$D$7:$D$1506,MATCH(B728,'CARNET DE SOUDURE'!$M$7:$M$1506,0)),"")))</f>
        <v/>
      </c>
      <c r="M728" s="81" t="str">
        <f aca="false">IF(B728="","",IF(OR(J728&lt;&gt;"",K728&lt;&gt;""),"POSÉ EN LIGNE",IF(H728&lt;&gt;"","BARDÉ","EN STOCK")))</f>
        <v/>
      </c>
      <c r="N728" s="79"/>
    </row>
    <row r="729" customFormat="false" ht="15" hidden="false" customHeight="false" outlineLevel="0" collapsed="false">
      <c r="A729" s="78" t="str">
        <f aca="false">IF(B729="","",ROW()-6)</f>
        <v/>
      </c>
      <c r="B729" s="90"/>
      <c r="C729" s="91"/>
      <c r="D729" s="91"/>
      <c r="E729" s="80"/>
      <c r="F729" s="92"/>
      <c r="G729" s="79"/>
      <c r="H729" s="82"/>
      <c r="I729" s="93" t="str">
        <f aca="false">IF(B729="","",IFERROR(INDEX('CARNET DE SOUDURE'!$B$7:$B$1506,MATCH(B729,'CARNET DE SOUDURE'!$K$7:$K$1506,0)),IFERROR(INDEX('CARNET DE SOUDURE'!$B$7:$B$1506,MATCH(B729,'CARNET DE SOUDURE'!$M$7:$M$1506,0)),"")))</f>
        <v/>
      </c>
      <c r="J729" s="78" t="str">
        <f aca="false">IF(B729="","",IFERROR(INDEX('CARNET DE SOUDURE'!$E$7:$E$1506,MATCH(B729,'CARNET DE SOUDURE'!$M$7:$M$1506,0)),""))</f>
        <v/>
      </c>
      <c r="K729" s="78" t="str">
        <f aca="false">IF(B729="","",IFERROR(INDEX('CARNET DE SOUDURE'!$E$7:$E$1506,MATCH(B729,'CARNET DE SOUDURE'!$K$7:$K$1506,0)),""))</f>
        <v/>
      </c>
      <c r="L729" s="78" t="str">
        <f aca="false">IF(B729="","",IFERROR(INDEX('CARNET DE SOUDURE'!$D$7:$D$1506,MATCH(B729,'CARNET DE SOUDURE'!$K$7:$K$1506,0)),IFERROR(INDEX('CARNET DE SOUDURE'!$D$7:$D$1506,MATCH(B729,'CARNET DE SOUDURE'!$M$7:$M$1506,0)),"")))</f>
        <v/>
      </c>
      <c r="M729" s="81" t="str">
        <f aca="false">IF(B729="","",IF(OR(J729&lt;&gt;"",K729&lt;&gt;""),"POSÉ EN LIGNE",IF(H729&lt;&gt;"","BARDÉ","EN STOCK")))</f>
        <v/>
      </c>
      <c r="N729" s="79"/>
    </row>
    <row r="730" customFormat="false" ht="15" hidden="false" customHeight="false" outlineLevel="0" collapsed="false">
      <c r="A730" s="78" t="str">
        <f aca="false">IF(B730="","",ROW()-6)</f>
        <v/>
      </c>
      <c r="B730" s="90"/>
      <c r="C730" s="91"/>
      <c r="D730" s="91"/>
      <c r="E730" s="80"/>
      <c r="F730" s="92"/>
      <c r="G730" s="79"/>
      <c r="H730" s="82"/>
      <c r="I730" s="93" t="str">
        <f aca="false">IF(B730="","",IFERROR(INDEX('CARNET DE SOUDURE'!$B$7:$B$1506,MATCH(B730,'CARNET DE SOUDURE'!$K$7:$K$1506,0)),IFERROR(INDEX('CARNET DE SOUDURE'!$B$7:$B$1506,MATCH(B730,'CARNET DE SOUDURE'!$M$7:$M$1506,0)),"")))</f>
        <v/>
      </c>
      <c r="J730" s="78" t="str">
        <f aca="false">IF(B730="","",IFERROR(INDEX('CARNET DE SOUDURE'!$E$7:$E$1506,MATCH(B730,'CARNET DE SOUDURE'!$M$7:$M$1506,0)),""))</f>
        <v/>
      </c>
      <c r="K730" s="78" t="str">
        <f aca="false">IF(B730="","",IFERROR(INDEX('CARNET DE SOUDURE'!$E$7:$E$1506,MATCH(B730,'CARNET DE SOUDURE'!$K$7:$K$1506,0)),""))</f>
        <v/>
      </c>
      <c r="L730" s="78" t="str">
        <f aca="false">IF(B730="","",IFERROR(INDEX('CARNET DE SOUDURE'!$D$7:$D$1506,MATCH(B730,'CARNET DE SOUDURE'!$K$7:$K$1506,0)),IFERROR(INDEX('CARNET DE SOUDURE'!$D$7:$D$1506,MATCH(B730,'CARNET DE SOUDURE'!$M$7:$M$1506,0)),"")))</f>
        <v/>
      </c>
      <c r="M730" s="81" t="str">
        <f aca="false">IF(B730="","",IF(OR(J730&lt;&gt;"",K730&lt;&gt;""),"POSÉ EN LIGNE",IF(H730&lt;&gt;"","BARDÉ","EN STOCK")))</f>
        <v/>
      </c>
      <c r="N730" s="79"/>
    </row>
    <row r="731" customFormat="false" ht="15" hidden="false" customHeight="false" outlineLevel="0" collapsed="false">
      <c r="A731" s="78" t="str">
        <f aca="false">IF(B731="","",ROW()-6)</f>
        <v/>
      </c>
      <c r="B731" s="90"/>
      <c r="C731" s="91"/>
      <c r="D731" s="91"/>
      <c r="E731" s="80"/>
      <c r="F731" s="92"/>
      <c r="G731" s="79"/>
      <c r="H731" s="82"/>
      <c r="I731" s="93" t="str">
        <f aca="false">IF(B731="","",IFERROR(INDEX('CARNET DE SOUDURE'!$B$7:$B$1506,MATCH(B731,'CARNET DE SOUDURE'!$K$7:$K$1506,0)),IFERROR(INDEX('CARNET DE SOUDURE'!$B$7:$B$1506,MATCH(B731,'CARNET DE SOUDURE'!$M$7:$M$1506,0)),"")))</f>
        <v/>
      </c>
      <c r="J731" s="78" t="str">
        <f aca="false">IF(B731="","",IFERROR(INDEX('CARNET DE SOUDURE'!$E$7:$E$1506,MATCH(B731,'CARNET DE SOUDURE'!$M$7:$M$1506,0)),""))</f>
        <v/>
      </c>
      <c r="K731" s="78" t="str">
        <f aca="false">IF(B731="","",IFERROR(INDEX('CARNET DE SOUDURE'!$E$7:$E$1506,MATCH(B731,'CARNET DE SOUDURE'!$K$7:$K$1506,0)),""))</f>
        <v/>
      </c>
      <c r="L731" s="78" t="str">
        <f aca="false">IF(B731="","",IFERROR(INDEX('CARNET DE SOUDURE'!$D$7:$D$1506,MATCH(B731,'CARNET DE SOUDURE'!$K$7:$K$1506,0)),IFERROR(INDEX('CARNET DE SOUDURE'!$D$7:$D$1506,MATCH(B731,'CARNET DE SOUDURE'!$M$7:$M$1506,0)),"")))</f>
        <v/>
      </c>
      <c r="M731" s="81" t="str">
        <f aca="false">IF(B731="","",IF(OR(J731&lt;&gt;"",K731&lt;&gt;""),"POSÉ EN LIGNE",IF(H731&lt;&gt;"","BARDÉ","EN STOCK")))</f>
        <v/>
      </c>
      <c r="N731" s="79"/>
    </row>
    <row r="732" customFormat="false" ht="15" hidden="false" customHeight="false" outlineLevel="0" collapsed="false">
      <c r="A732" s="78" t="str">
        <f aca="false">IF(B732="","",ROW()-6)</f>
        <v/>
      </c>
      <c r="B732" s="90"/>
      <c r="C732" s="91"/>
      <c r="D732" s="91"/>
      <c r="E732" s="80"/>
      <c r="F732" s="92"/>
      <c r="G732" s="79"/>
      <c r="H732" s="82"/>
      <c r="I732" s="93" t="str">
        <f aca="false">IF(B732="","",IFERROR(INDEX('CARNET DE SOUDURE'!$B$7:$B$1506,MATCH(B732,'CARNET DE SOUDURE'!$K$7:$K$1506,0)),IFERROR(INDEX('CARNET DE SOUDURE'!$B$7:$B$1506,MATCH(B732,'CARNET DE SOUDURE'!$M$7:$M$1506,0)),"")))</f>
        <v/>
      </c>
      <c r="J732" s="78" t="str">
        <f aca="false">IF(B732="","",IFERROR(INDEX('CARNET DE SOUDURE'!$E$7:$E$1506,MATCH(B732,'CARNET DE SOUDURE'!$M$7:$M$1506,0)),""))</f>
        <v/>
      </c>
      <c r="K732" s="78" t="str">
        <f aca="false">IF(B732="","",IFERROR(INDEX('CARNET DE SOUDURE'!$E$7:$E$1506,MATCH(B732,'CARNET DE SOUDURE'!$K$7:$K$1506,0)),""))</f>
        <v/>
      </c>
      <c r="L732" s="78" t="str">
        <f aca="false">IF(B732="","",IFERROR(INDEX('CARNET DE SOUDURE'!$D$7:$D$1506,MATCH(B732,'CARNET DE SOUDURE'!$K$7:$K$1506,0)),IFERROR(INDEX('CARNET DE SOUDURE'!$D$7:$D$1506,MATCH(B732,'CARNET DE SOUDURE'!$M$7:$M$1506,0)),"")))</f>
        <v/>
      </c>
      <c r="M732" s="81" t="str">
        <f aca="false">IF(B732="","",IF(OR(J732&lt;&gt;"",K732&lt;&gt;""),"POSÉ EN LIGNE",IF(H732&lt;&gt;"","BARDÉ","EN STOCK")))</f>
        <v/>
      </c>
      <c r="N732" s="79"/>
    </row>
    <row r="733" customFormat="false" ht="15" hidden="false" customHeight="false" outlineLevel="0" collapsed="false">
      <c r="A733" s="78" t="str">
        <f aca="false">IF(B733="","",ROW()-6)</f>
        <v/>
      </c>
      <c r="B733" s="90"/>
      <c r="C733" s="91"/>
      <c r="D733" s="91"/>
      <c r="E733" s="80"/>
      <c r="F733" s="92"/>
      <c r="G733" s="79"/>
      <c r="H733" s="82"/>
      <c r="I733" s="93" t="str">
        <f aca="false">IF(B733="","",IFERROR(INDEX('CARNET DE SOUDURE'!$B$7:$B$1506,MATCH(B733,'CARNET DE SOUDURE'!$K$7:$K$1506,0)),IFERROR(INDEX('CARNET DE SOUDURE'!$B$7:$B$1506,MATCH(B733,'CARNET DE SOUDURE'!$M$7:$M$1506,0)),"")))</f>
        <v/>
      </c>
      <c r="J733" s="78" t="str">
        <f aca="false">IF(B733="","",IFERROR(INDEX('CARNET DE SOUDURE'!$E$7:$E$1506,MATCH(B733,'CARNET DE SOUDURE'!$M$7:$M$1506,0)),""))</f>
        <v/>
      </c>
      <c r="K733" s="78" t="str">
        <f aca="false">IF(B733="","",IFERROR(INDEX('CARNET DE SOUDURE'!$E$7:$E$1506,MATCH(B733,'CARNET DE SOUDURE'!$K$7:$K$1506,0)),""))</f>
        <v/>
      </c>
      <c r="L733" s="78" t="str">
        <f aca="false">IF(B733="","",IFERROR(INDEX('CARNET DE SOUDURE'!$D$7:$D$1506,MATCH(B733,'CARNET DE SOUDURE'!$K$7:$K$1506,0)),IFERROR(INDEX('CARNET DE SOUDURE'!$D$7:$D$1506,MATCH(B733,'CARNET DE SOUDURE'!$M$7:$M$1506,0)),"")))</f>
        <v/>
      </c>
      <c r="M733" s="81" t="str">
        <f aca="false">IF(B733="","",IF(OR(J733&lt;&gt;"",K733&lt;&gt;""),"POSÉ EN LIGNE",IF(H733&lt;&gt;"","BARDÉ","EN STOCK")))</f>
        <v/>
      </c>
      <c r="N733" s="79"/>
    </row>
    <row r="734" customFormat="false" ht="15" hidden="false" customHeight="false" outlineLevel="0" collapsed="false">
      <c r="A734" s="78" t="str">
        <f aca="false">IF(B734="","",ROW()-6)</f>
        <v/>
      </c>
      <c r="B734" s="90"/>
      <c r="C734" s="91"/>
      <c r="D734" s="91"/>
      <c r="E734" s="80"/>
      <c r="F734" s="92"/>
      <c r="G734" s="79"/>
      <c r="H734" s="82"/>
      <c r="I734" s="93" t="str">
        <f aca="false">IF(B734="","",IFERROR(INDEX('CARNET DE SOUDURE'!$B$7:$B$1506,MATCH(B734,'CARNET DE SOUDURE'!$K$7:$K$1506,0)),IFERROR(INDEX('CARNET DE SOUDURE'!$B$7:$B$1506,MATCH(B734,'CARNET DE SOUDURE'!$M$7:$M$1506,0)),"")))</f>
        <v/>
      </c>
      <c r="J734" s="78" t="str">
        <f aca="false">IF(B734="","",IFERROR(INDEX('CARNET DE SOUDURE'!$E$7:$E$1506,MATCH(B734,'CARNET DE SOUDURE'!$M$7:$M$1506,0)),""))</f>
        <v/>
      </c>
      <c r="K734" s="78" t="str">
        <f aca="false">IF(B734="","",IFERROR(INDEX('CARNET DE SOUDURE'!$E$7:$E$1506,MATCH(B734,'CARNET DE SOUDURE'!$K$7:$K$1506,0)),""))</f>
        <v/>
      </c>
      <c r="L734" s="78" t="str">
        <f aca="false">IF(B734="","",IFERROR(INDEX('CARNET DE SOUDURE'!$D$7:$D$1506,MATCH(B734,'CARNET DE SOUDURE'!$K$7:$K$1506,0)),IFERROR(INDEX('CARNET DE SOUDURE'!$D$7:$D$1506,MATCH(B734,'CARNET DE SOUDURE'!$M$7:$M$1506,0)),"")))</f>
        <v/>
      </c>
      <c r="M734" s="81" t="str">
        <f aca="false">IF(B734="","",IF(OR(J734&lt;&gt;"",K734&lt;&gt;""),"POSÉ EN LIGNE",IF(H734&lt;&gt;"","BARDÉ","EN STOCK")))</f>
        <v/>
      </c>
      <c r="N734" s="79"/>
    </row>
    <row r="735" customFormat="false" ht="15" hidden="false" customHeight="false" outlineLevel="0" collapsed="false">
      <c r="A735" s="78" t="str">
        <f aca="false">IF(B735="","",ROW()-6)</f>
        <v/>
      </c>
      <c r="B735" s="90"/>
      <c r="C735" s="91"/>
      <c r="D735" s="91"/>
      <c r="E735" s="80"/>
      <c r="F735" s="92"/>
      <c r="G735" s="79"/>
      <c r="H735" s="82"/>
      <c r="I735" s="93" t="str">
        <f aca="false">IF(B735="","",IFERROR(INDEX('CARNET DE SOUDURE'!$B$7:$B$1506,MATCH(B735,'CARNET DE SOUDURE'!$K$7:$K$1506,0)),IFERROR(INDEX('CARNET DE SOUDURE'!$B$7:$B$1506,MATCH(B735,'CARNET DE SOUDURE'!$M$7:$M$1506,0)),"")))</f>
        <v/>
      </c>
      <c r="J735" s="78" t="str">
        <f aca="false">IF(B735="","",IFERROR(INDEX('CARNET DE SOUDURE'!$E$7:$E$1506,MATCH(B735,'CARNET DE SOUDURE'!$M$7:$M$1506,0)),""))</f>
        <v/>
      </c>
      <c r="K735" s="78" t="str">
        <f aca="false">IF(B735="","",IFERROR(INDEX('CARNET DE SOUDURE'!$E$7:$E$1506,MATCH(B735,'CARNET DE SOUDURE'!$K$7:$K$1506,0)),""))</f>
        <v/>
      </c>
      <c r="L735" s="78" t="str">
        <f aca="false">IF(B735="","",IFERROR(INDEX('CARNET DE SOUDURE'!$D$7:$D$1506,MATCH(B735,'CARNET DE SOUDURE'!$K$7:$K$1506,0)),IFERROR(INDEX('CARNET DE SOUDURE'!$D$7:$D$1506,MATCH(B735,'CARNET DE SOUDURE'!$M$7:$M$1506,0)),"")))</f>
        <v/>
      </c>
      <c r="M735" s="81" t="str">
        <f aca="false">IF(B735="","",IF(OR(J735&lt;&gt;"",K735&lt;&gt;""),"POSÉ EN LIGNE",IF(H735&lt;&gt;"","BARDÉ","EN STOCK")))</f>
        <v/>
      </c>
      <c r="N735" s="79"/>
    </row>
    <row r="736" customFormat="false" ht="15" hidden="false" customHeight="false" outlineLevel="0" collapsed="false">
      <c r="A736" s="78" t="str">
        <f aca="false">IF(B736="","",ROW()-6)</f>
        <v/>
      </c>
      <c r="B736" s="90"/>
      <c r="C736" s="91"/>
      <c r="D736" s="91"/>
      <c r="E736" s="80"/>
      <c r="F736" s="92"/>
      <c r="G736" s="79"/>
      <c r="H736" s="82"/>
      <c r="I736" s="93" t="str">
        <f aca="false">IF(B736="","",IFERROR(INDEX('CARNET DE SOUDURE'!$B$7:$B$1506,MATCH(B736,'CARNET DE SOUDURE'!$K$7:$K$1506,0)),IFERROR(INDEX('CARNET DE SOUDURE'!$B$7:$B$1506,MATCH(B736,'CARNET DE SOUDURE'!$M$7:$M$1506,0)),"")))</f>
        <v/>
      </c>
      <c r="J736" s="78" t="str">
        <f aca="false">IF(B736="","",IFERROR(INDEX('CARNET DE SOUDURE'!$E$7:$E$1506,MATCH(B736,'CARNET DE SOUDURE'!$M$7:$M$1506,0)),""))</f>
        <v/>
      </c>
      <c r="K736" s="78" t="str">
        <f aca="false">IF(B736="","",IFERROR(INDEX('CARNET DE SOUDURE'!$E$7:$E$1506,MATCH(B736,'CARNET DE SOUDURE'!$K$7:$K$1506,0)),""))</f>
        <v/>
      </c>
      <c r="L736" s="78" t="str">
        <f aca="false">IF(B736="","",IFERROR(INDEX('CARNET DE SOUDURE'!$D$7:$D$1506,MATCH(B736,'CARNET DE SOUDURE'!$K$7:$K$1506,0)),IFERROR(INDEX('CARNET DE SOUDURE'!$D$7:$D$1506,MATCH(B736,'CARNET DE SOUDURE'!$M$7:$M$1506,0)),"")))</f>
        <v/>
      </c>
      <c r="M736" s="81" t="str">
        <f aca="false">IF(B736="","",IF(OR(J736&lt;&gt;"",K736&lt;&gt;""),"POSÉ EN LIGNE",IF(H736&lt;&gt;"","BARDÉ","EN STOCK")))</f>
        <v/>
      </c>
      <c r="N736" s="79"/>
    </row>
    <row r="737" customFormat="false" ht="15" hidden="false" customHeight="false" outlineLevel="0" collapsed="false">
      <c r="A737" s="78" t="str">
        <f aca="false">IF(B737="","",ROW()-6)</f>
        <v/>
      </c>
      <c r="B737" s="90"/>
      <c r="C737" s="91"/>
      <c r="D737" s="91"/>
      <c r="E737" s="80"/>
      <c r="F737" s="92"/>
      <c r="G737" s="79"/>
      <c r="H737" s="82"/>
      <c r="I737" s="93" t="str">
        <f aca="false">IF(B737="","",IFERROR(INDEX('CARNET DE SOUDURE'!$B$7:$B$1506,MATCH(B737,'CARNET DE SOUDURE'!$K$7:$K$1506,0)),IFERROR(INDEX('CARNET DE SOUDURE'!$B$7:$B$1506,MATCH(B737,'CARNET DE SOUDURE'!$M$7:$M$1506,0)),"")))</f>
        <v/>
      </c>
      <c r="J737" s="78" t="str">
        <f aca="false">IF(B737="","",IFERROR(INDEX('CARNET DE SOUDURE'!$E$7:$E$1506,MATCH(B737,'CARNET DE SOUDURE'!$M$7:$M$1506,0)),""))</f>
        <v/>
      </c>
      <c r="K737" s="78" t="str">
        <f aca="false">IF(B737="","",IFERROR(INDEX('CARNET DE SOUDURE'!$E$7:$E$1506,MATCH(B737,'CARNET DE SOUDURE'!$K$7:$K$1506,0)),""))</f>
        <v/>
      </c>
      <c r="L737" s="78" t="str">
        <f aca="false">IF(B737="","",IFERROR(INDEX('CARNET DE SOUDURE'!$D$7:$D$1506,MATCH(B737,'CARNET DE SOUDURE'!$K$7:$K$1506,0)),IFERROR(INDEX('CARNET DE SOUDURE'!$D$7:$D$1506,MATCH(B737,'CARNET DE SOUDURE'!$M$7:$M$1506,0)),"")))</f>
        <v/>
      </c>
      <c r="M737" s="81" t="str">
        <f aca="false">IF(B737="","",IF(OR(J737&lt;&gt;"",K737&lt;&gt;""),"POSÉ EN LIGNE",IF(H737&lt;&gt;"","BARDÉ","EN STOCK")))</f>
        <v/>
      </c>
      <c r="N737" s="79"/>
    </row>
    <row r="738" customFormat="false" ht="15" hidden="false" customHeight="false" outlineLevel="0" collapsed="false">
      <c r="A738" s="78" t="str">
        <f aca="false">IF(B738="","",ROW()-6)</f>
        <v/>
      </c>
      <c r="B738" s="90"/>
      <c r="C738" s="91"/>
      <c r="D738" s="91"/>
      <c r="E738" s="80"/>
      <c r="F738" s="92"/>
      <c r="G738" s="79"/>
      <c r="H738" s="82"/>
      <c r="I738" s="93" t="str">
        <f aca="false">IF(B738="","",IFERROR(INDEX('CARNET DE SOUDURE'!$B$7:$B$1506,MATCH(B738,'CARNET DE SOUDURE'!$K$7:$K$1506,0)),IFERROR(INDEX('CARNET DE SOUDURE'!$B$7:$B$1506,MATCH(B738,'CARNET DE SOUDURE'!$M$7:$M$1506,0)),"")))</f>
        <v/>
      </c>
      <c r="J738" s="78" t="str">
        <f aca="false">IF(B738="","",IFERROR(INDEX('CARNET DE SOUDURE'!$E$7:$E$1506,MATCH(B738,'CARNET DE SOUDURE'!$M$7:$M$1506,0)),""))</f>
        <v/>
      </c>
      <c r="K738" s="78" t="str">
        <f aca="false">IF(B738="","",IFERROR(INDEX('CARNET DE SOUDURE'!$E$7:$E$1506,MATCH(B738,'CARNET DE SOUDURE'!$K$7:$K$1506,0)),""))</f>
        <v/>
      </c>
      <c r="L738" s="78" t="str">
        <f aca="false">IF(B738="","",IFERROR(INDEX('CARNET DE SOUDURE'!$D$7:$D$1506,MATCH(B738,'CARNET DE SOUDURE'!$K$7:$K$1506,0)),IFERROR(INDEX('CARNET DE SOUDURE'!$D$7:$D$1506,MATCH(B738,'CARNET DE SOUDURE'!$M$7:$M$1506,0)),"")))</f>
        <v/>
      </c>
      <c r="M738" s="81" t="str">
        <f aca="false">IF(B738="","",IF(OR(J738&lt;&gt;"",K738&lt;&gt;""),"POSÉ EN LIGNE",IF(H738&lt;&gt;"","BARDÉ","EN STOCK")))</f>
        <v/>
      </c>
      <c r="N738" s="79"/>
    </row>
    <row r="739" customFormat="false" ht="15" hidden="false" customHeight="false" outlineLevel="0" collapsed="false">
      <c r="A739" s="78" t="str">
        <f aca="false">IF(B739="","",ROW()-6)</f>
        <v/>
      </c>
      <c r="B739" s="90"/>
      <c r="C739" s="91"/>
      <c r="D739" s="91"/>
      <c r="E739" s="80"/>
      <c r="F739" s="92"/>
      <c r="G739" s="79"/>
      <c r="H739" s="82"/>
      <c r="I739" s="93" t="str">
        <f aca="false">IF(B739="","",IFERROR(INDEX('CARNET DE SOUDURE'!$B$7:$B$1506,MATCH(B739,'CARNET DE SOUDURE'!$K$7:$K$1506,0)),IFERROR(INDEX('CARNET DE SOUDURE'!$B$7:$B$1506,MATCH(B739,'CARNET DE SOUDURE'!$M$7:$M$1506,0)),"")))</f>
        <v/>
      </c>
      <c r="J739" s="78" t="str">
        <f aca="false">IF(B739="","",IFERROR(INDEX('CARNET DE SOUDURE'!$E$7:$E$1506,MATCH(B739,'CARNET DE SOUDURE'!$M$7:$M$1506,0)),""))</f>
        <v/>
      </c>
      <c r="K739" s="78" t="str">
        <f aca="false">IF(B739="","",IFERROR(INDEX('CARNET DE SOUDURE'!$E$7:$E$1506,MATCH(B739,'CARNET DE SOUDURE'!$K$7:$K$1506,0)),""))</f>
        <v/>
      </c>
      <c r="L739" s="78" t="str">
        <f aca="false">IF(B739="","",IFERROR(INDEX('CARNET DE SOUDURE'!$D$7:$D$1506,MATCH(B739,'CARNET DE SOUDURE'!$K$7:$K$1506,0)),IFERROR(INDEX('CARNET DE SOUDURE'!$D$7:$D$1506,MATCH(B739,'CARNET DE SOUDURE'!$M$7:$M$1506,0)),"")))</f>
        <v/>
      </c>
      <c r="M739" s="81" t="str">
        <f aca="false">IF(B739="","",IF(OR(J739&lt;&gt;"",K739&lt;&gt;""),"POSÉ EN LIGNE",IF(H739&lt;&gt;"","BARDÉ","EN STOCK")))</f>
        <v/>
      </c>
      <c r="N739" s="79"/>
    </row>
    <row r="740" customFormat="false" ht="15" hidden="false" customHeight="false" outlineLevel="0" collapsed="false">
      <c r="A740" s="78" t="str">
        <f aca="false">IF(B740="","",ROW()-6)</f>
        <v/>
      </c>
      <c r="B740" s="90"/>
      <c r="C740" s="91"/>
      <c r="D740" s="91"/>
      <c r="E740" s="80"/>
      <c r="F740" s="92"/>
      <c r="G740" s="79"/>
      <c r="H740" s="82"/>
      <c r="I740" s="93" t="str">
        <f aca="false">IF(B740="","",IFERROR(INDEX('CARNET DE SOUDURE'!$B$7:$B$1506,MATCH(B740,'CARNET DE SOUDURE'!$K$7:$K$1506,0)),IFERROR(INDEX('CARNET DE SOUDURE'!$B$7:$B$1506,MATCH(B740,'CARNET DE SOUDURE'!$M$7:$M$1506,0)),"")))</f>
        <v/>
      </c>
      <c r="J740" s="78" t="str">
        <f aca="false">IF(B740="","",IFERROR(INDEX('CARNET DE SOUDURE'!$E$7:$E$1506,MATCH(B740,'CARNET DE SOUDURE'!$M$7:$M$1506,0)),""))</f>
        <v/>
      </c>
      <c r="K740" s="78" t="str">
        <f aca="false">IF(B740="","",IFERROR(INDEX('CARNET DE SOUDURE'!$E$7:$E$1506,MATCH(B740,'CARNET DE SOUDURE'!$K$7:$K$1506,0)),""))</f>
        <v/>
      </c>
      <c r="L740" s="78" t="str">
        <f aca="false">IF(B740="","",IFERROR(INDEX('CARNET DE SOUDURE'!$D$7:$D$1506,MATCH(B740,'CARNET DE SOUDURE'!$K$7:$K$1506,0)),IFERROR(INDEX('CARNET DE SOUDURE'!$D$7:$D$1506,MATCH(B740,'CARNET DE SOUDURE'!$M$7:$M$1506,0)),"")))</f>
        <v/>
      </c>
      <c r="M740" s="81" t="str">
        <f aca="false">IF(B740="","",IF(OR(J740&lt;&gt;"",K740&lt;&gt;""),"POSÉ EN LIGNE",IF(H740&lt;&gt;"","BARDÉ","EN STOCK")))</f>
        <v/>
      </c>
      <c r="N740" s="79"/>
    </row>
    <row r="741" customFormat="false" ht="15" hidden="false" customHeight="false" outlineLevel="0" collapsed="false">
      <c r="A741" s="78" t="str">
        <f aca="false">IF(B741="","",ROW()-6)</f>
        <v/>
      </c>
      <c r="B741" s="90"/>
      <c r="C741" s="91"/>
      <c r="D741" s="91"/>
      <c r="E741" s="80"/>
      <c r="F741" s="92"/>
      <c r="G741" s="79"/>
      <c r="H741" s="82"/>
      <c r="I741" s="93" t="str">
        <f aca="false">IF(B741="","",IFERROR(INDEX('CARNET DE SOUDURE'!$B$7:$B$1506,MATCH(B741,'CARNET DE SOUDURE'!$K$7:$K$1506,0)),IFERROR(INDEX('CARNET DE SOUDURE'!$B$7:$B$1506,MATCH(B741,'CARNET DE SOUDURE'!$M$7:$M$1506,0)),"")))</f>
        <v/>
      </c>
      <c r="J741" s="78" t="str">
        <f aca="false">IF(B741="","",IFERROR(INDEX('CARNET DE SOUDURE'!$E$7:$E$1506,MATCH(B741,'CARNET DE SOUDURE'!$M$7:$M$1506,0)),""))</f>
        <v/>
      </c>
      <c r="K741" s="78" t="str">
        <f aca="false">IF(B741="","",IFERROR(INDEX('CARNET DE SOUDURE'!$E$7:$E$1506,MATCH(B741,'CARNET DE SOUDURE'!$K$7:$K$1506,0)),""))</f>
        <v/>
      </c>
      <c r="L741" s="78" t="str">
        <f aca="false">IF(B741="","",IFERROR(INDEX('CARNET DE SOUDURE'!$D$7:$D$1506,MATCH(B741,'CARNET DE SOUDURE'!$K$7:$K$1506,0)),IFERROR(INDEX('CARNET DE SOUDURE'!$D$7:$D$1506,MATCH(B741,'CARNET DE SOUDURE'!$M$7:$M$1506,0)),"")))</f>
        <v/>
      </c>
      <c r="M741" s="81" t="str">
        <f aca="false">IF(B741="","",IF(OR(J741&lt;&gt;"",K741&lt;&gt;""),"POSÉ EN LIGNE",IF(H741&lt;&gt;"","BARDÉ","EN STOCK")))</f>
        <v/>
      </c>
      <c r="N741" s="79"/>
    </row>
    <row r="742" customFormat="false" ht="15" hidden="false" customHeight="false" outlineLevel="0" collapsed="false">
      <c r="A742" s="78" t="str">
        <f aca="false">IF(B742="","",ROW()-6)</f>
        <v/>
      </c>
      <c r="B742" s="90"/>
      <c r="C742" s="91"/>
      <c r="D742" s="91"/>
      <c r="E742" s="80"/>
      <c r="F742" s="92"/>
      <c r="G742" s="79"/>
      <c r="H742" s="82"/>
      <c r="I742" s="93" t="str">
        <f aca="false">IF(B742="","",IFERROR(INDEX('CARNET DE SOUDURE'!$B$7:$B$1506,MATCH(B742,'CARNET DE SOUDURE'!$K$7:$K$1506,0)),IFERROR(INDEX('CARNET DE SOUDURE'!$B$7:$B$1506,MATCH(B742,'CARNET DE SOUDURE'!$M$7:$M$1506,0)),"")))</f>
        <v/>
      </c>
      <c r="J742" s="78" t="str">
        <f aca="false">IF(B742="","",IFERROR(INDEX('CARNET DE SOUDURE'!$E$7:$E$1506,MATCH(B742,'CARNET DE SOUDURE'!$M$7:$M$1506,0)),""))</f>
        <v/>
      </c>
      <c r="K742" s="78" t="str">
        <f aca="false">IF(B742="","",IFERROR(INDEX('CARNET DE SOUDURE'!$E$7:$E$1506,MATCH(B742,'CARNET DE SOUDURE'!$K$7:$K$1506,0)),""))</f>
        <v/>
      </c>
      <c r="L742" s="78" t="str">
        <f aca="false">IF(B742="","",IFERROR(INDEX('CARNET DE SOUDURE'!$D$7:$D$1506,MATCH(B742,'CARNET DE SOUDURE'!$K$7:$K$1506,0)),IFERROR(INDEX('CARNET DE SOUDURE'!$D$7:$D$1506,MATCH(B742,'CARNET DE SOUDURE'!$M$7:$M$1506,0)),"")))</f>
        <v/>
      </c>
      <c r="M742" s="81" t="str">
        <f aca="false">IF(B742="","",IF(OR(J742&lt;&gt;"",K742&lt;&gt;""),"POSÉ EN LIGNE",IF(H742&lt;&gt;"","BARDÉ","EN STOCK")))</f>
        <v/>
      </c>
      <c r="N742" s="79"/>
    </row>
    <row r="743" customFormat="false" ht="15" hidden="false" customHeight="false" outlineLevel="0" collapsed="false">
      <c r="A743" s="78" t="str">
        <f aca="false">IF(B743="","",ROW()-6)</f>
        <v/>
      </c>
      <c r="B743" s="90"/>
      <c r="C743" s="91"/>
      <c r="D743" s="91"/>
      <c r="E743" s="80"/>
      <c r="F743" s="92"/>
      <c r="G743" s="79"/>
      <c r="H743" s="82"/>
      <c r="I743" s="93" t="str">
        <f aca="false">IF(B743="","",IFERROR(INDEX('CARNET DE SOUDURE'!$B$7:$B$1506,MATCH(B743,'CARNET DE SOUDURE'!$K$7:$K$1506,0)),IFERROR(INDEX('CARNET DE SOUDURE'!$B$7:$B$1506,MATCH(B743,'CARNET DE SOUDURE'!$M$7:$M$1506,0)),"")))</f>
        <v/>
      </c>
      <c r="J743" s="78" t="str">
        <f aca="false">IF(B743="","",IFERROR(INDEX('CARNET DE SOUDURE'!$E$7:$E$1506,MATCH(B743,'CARNET DE SOUDURE'!$M$7:$M$1506,0)),""))</f>
        <v/>
      </c>
      <c r="K743" s="78" t="str">
        <f aca="false">IF(B743="","",IFERROR(INDEX('CARNET DE SOUDURE'!$E$7:$E$1506,MATCH(B743,'CARNET DE SOUDURE'!$K$7:$K$1506,0)),""))</f>
        <v/>
      </c>
      <c r="L743" s="78" t="str">
        <f aca="false">IF(B743="","",IFERROR(INDEX('CARNET DE SOUDURE'!$D$7:$D$1506,MATCH(B743,'CARNET DE SOUDURE'!$K$7:$K$1506,0)),IFERROR(INDEX('CARNET DE SOUDURE'!$D$7:$D$1506,MATCH(B743,'CARNET DE SOUDURE'!$M$7:$M$1506,0)),"")))</f>
        <v/>
      </c>
      <c r="M743" s="81" t="str">
        <f aca="false">IF(B743="","",IF(OR(J743&lt;&gt;"",K743&lt;&gt;""),"POSÉ EN LIGNE",IF(H743&lt;&gt;"","BARDÉ","EN STOCK")))</f>
        <v/>
      </c>
      <c r="N743" s="79"/>
    </row>
    <row r="744" customFormat="false" ht="15" hidden="false" customHeight="false" outlineLevel="0" collapsed="false">
      <c r="A744" s="78" t="str">
        <f aca="false">IF(B744="","",ROW()-6)</f>
        <v/>
      </c>
      <c r="B744" s="90"/>
      <c r="C744" s="91"/>
      <c r="D744" s="91"/>
      <c r="E744" s="80"/>
      <c r="F744" s="92"/>
      <c r="G744" s="79"/>
      <c r="H744" s="82"/>
      <c r="I744" s="93" t="str">
        <f aca="false">IF(B744="","",IFERROR(INDEX('CARNET DE SOUDURE'!$B$7:$B$1506,MATCH(B744,'CARNET DE SOUDURE'!$K$7:$K$1506,0)),IFERROR(INDEX('CARNET DE SOUDURE'!$B$7:$B$1506,MATCH(B744,'CARNET DE SOUDURE'!$M$7:$M$1506,0)),"")))</f>
        <v/>
      </c>
      <c r="J744" s="78" t="str">
        <f aca="false">IF(B744="","",IFERROR(INDEX('CARNET DE SOUDURE'!$E$7:$E$1506,MATCH(B744,'CARNET DE SOUDURE'!$M$7:$M$1506,0)),""))</f>
        <v/>
      </c>
      <c r="K744" s="78" t="str">
        <f aca="false">IF(B744="","",IFERROR(INDEX('CARNET DE SOUDURE'!$E$7:$E$1506,MATCH(B744,'CARNET DE SOUDURE'!$K$7:$K$1506,0)),""))</f>
        <v/>
      </c>
      <c r="L744" s="78" t="str">
        <f aca="false">IF(B744="","",IFERROR(INDEX('CARNET DE SOUDURE'!$D$7:$D$1506,MATCH(B744,'CARNET DE SOUDURE'!$K$7:$K$1506,0)),IFERROR(INDEX('CARNET DE SOUDURE'!$D$7:$D$1506,MATCH(B744,'CARNET DE SOUDURE'!$M$7:$M$1506,0)),"")))</f>
        <v/>
      </c>
      <c r="M744" s="81" t="str">
        <f aca="false">IF(B744="","",IF(OR(J744&lt;&gt;"",K744&lt;&gt;""),"POSÉ EN LIGNE",IF(H744&lt;&gt;"","BARDÉ","EN STOCK")))</f>
        <v/>
      </c>
      <c r="N744" s="79"/>
    </row>
    <row r="745" customFormat="false" ht="15" hidden="false" customHeight="false" outlineLevel="0" collapsed="false">
      <c r="A745" s="78" t="str">
        <f aca="false">IF(B745="","",ROW()-6)</f>
        <v/>
      </c>
      <c r="B745" s="90"/>
      <c r="C745" s="91"/>
      <c r="D745" s="91"/>
      <c r="E745" s="80"/>
      <c r="F745" s="92"/>
      <c r="G745" s="79"/>
      <c r="H745" s="82"/>
      <c r="I745" s="93" t="str">
        <f aca="false">IF(B745="","",IFERROR(INDEX('CARNET DE SOUDURE'!$B$7:$B$1506,MATCH(B745,'CARNET DE SOUDURE'!$K$7:$K$1506,0)),IFERROR(INDEX('CARNET DE SOUDURE'!$B$7:$B$1506,MATCH(B745,'CARNET DE SOUDURE'!$M$7:$M$1506,0)),"")))</f>
        <v/>
      </c>
      <c r="J745" s="78" t="str">
        <f aca="false">IF(B745="","",IFERROR(INDEX('CARNET DE SOUDURE'!$E$7:$E$1506,MATCH(B745,'CARNET DE SOUDURE'!$M$7:$M$1506,0)),""))</f>
        <v/>
      </c>
      <c r="K745" s="78" t="str">
        <f aca="false">IF(B745="","",IFERROR(INDEX('CARNET DE SOUDURE'!$E$7:$E$1506,MATCH(B745,'CARNET DE SOUDURE'!$K$7:$K$1506,0)),""))</f>
        <v/>
      </c>
      <c r="L745" s="78" t="str">
        <f aca="false">IF(B745="","",IFERROR(INDEX('CARNET DE SOUDURE'!$D$7:$D$1506,MATCH(B745,'CARNET DE SOUDURE'!$K$7:$K$1506,0)),IFERROR(INDEX('CARNET DE SOUDURE'!$D$7:$D$1506,MATCH(B745,'CARNET DE SOUDURE'!$M$7:$M$1506,0)),"")))</f>
        <v/>
      </c>
      <c r="M745" s="81" t="str">
        <f aca="false">IF(B745="","",IF(OR(J745&lt;&gt;"",K745&lt;&gt;""),"POSÉ EN LIGNE",IF(H745&lt;&gt;"","BARDÉ","EN STOCK")))</f>
        <v/>
      </c>
      <c r="N745" s="79"/>
    </row>
    <row r="746" customFormat="false" ht="15" hidden="false" customHeight="false" outlineLevel="0" collapsed="false">
      <c r="A746" s="78" t="str">
        <f aca="false">IF(B746="","",ROW()-6)</f>
        <v/>
      </c>
      <c r="B746" s="90"/>
      <c r="C746" s="91"/>
      <c r="D746" s="91"/>
      <c r="E746" s="80"/>
      <c r="F746" s="92"/>
      <c r="G746" s="79"/>
      <c r="H746" s="82"/>
      <c r="I746" s="93" t="str">
        <f aca="false">IF(B746="","",IFERROR(INDEX('CARNET DE SOUDURE'!$B$7:$B$1506,MATCH(B746,'CARNET DE SOUDURE'!$K$7:$K$1506,0)),IFERROR(INDEX('CARNET DE SOUDURE'!$B$7:$B$1506,MATCH(B746,'CARNET DE SOUDURE'!$M$7:$M$1506,0)),"")))</f>
        <v/>
      </c>
      <c r="J746" s="78" t="str">
        <f aca="false">IF(B746="","",IFERROR(INDEX('CARNET DE SOUDURE'!$E$7:$E$1506,MATCH(B746,'CARNET DE SOUDURE'!$M$7:$M$1506,0)),""))</f>
        <v/>
      </c>
      <c r="K746" s="78" t="str">
        <f aca="false">IF(B746="","",IFERROR(INDEX('CARNET DE SOUDURE'!$E$7:$E$1506,MATCH(B746,'CARNET DE SOUDURE'!$K$7:$K$1506,0)),""))</f>
        <v/>
      </c>
      <c r="L746" s="78" t="str">
        <f aca="false">IF(B746="","",IFERROR(INDEX('CARNET DE SOUDURE'!$D$7:$D$1506,MATCH(B746,'CARNET DE SOUDURE'!$K$7:$K$1506,0)),IFERROR(INDEX('CARNET DE SOUDURE'!$D$7:$D$1506,MATCH(B746,'CARNET DE SOUDURE'!$M$7:$M$1506,0)),"")))</f>
        <v/>
      </c>
      <c r="M746" s="81" t="str">
        <f aca="false">IF(B746="","",IF(OR(J746&lt;&gt;"",K746&lt;&gt;""),"POSÉ EN LIGNE",IF(H746&lt;&gt;"","BARDÉ","EN STOCK")))</f>
        <v/>
      </c>
      <c r="N746" s="79"/>
    </row>
    <row r="747" customFormat="false" ht="15" hidden="false" customHeight="false" outlineLevel="0" collapsed="false">
      <c r="A747" s="78" t="str">
        <f aca="false">IF(B747="","",ROW()-6)</f>
        <v/>
      </c>
      <c r="B747" s="90"/>
      <c r="C747" s="91"/>
      <c r="D747" s="91"/>
      <c r="E747" s="80"/>
      <c r="F747" s="92"/>
      <c r="G747" s="79"/>
      <c r="H747" s="82"/>
      <c r="I747" s="93" t="str">
        <f aca="false">IF(B747="","",IFERROR(INDEX('CARNET DE SOUDURE'!$B$7:$B$1506,MATCH(B747,'CARNET DE SOUDURE'!$K$7:$K$1506,0)),IFERROR(INDEX('CARNET DE SOUDURE'!$B$7:$B$1506,MATCH(B747,'CARNET DE SOUDURE'!$M$7:$M$1506,0)),"")))</f>
        <v/>
      </c>
      <c r="J747" s="78" t="str">
        <f aca="false">IF(B747="","",IFERROR(INDEX('CARNET DE SOUDURE'!$E$7:$E$1506,MATCH(B747,'CARNET DE SOUDURE'!$M$7:$M$1506,0)),""))</f>
        <v/>
      </c>
      <c r="K747" s="78" t="str">
        <f aca="false">IF(B747="","",IFERROR(INDEX('CARNET DE SOUDURE'!$E$7:$E$1506,MATCH(B747,'CARNET DE SOUDURE'!$K$7:$K$1506,0)),""))</f>
        <v/>
      </c>
      <c r="L747" s="78" t="str">
        <f aca="false">IF(B747="","",IFERROR(INDEX('CARNET DE SOUDURE'!$D$7:$D$1506,MATCH(B747,'CARNET DE SOUDURE'!$K$7:$K$1506,0)),IFERROR(INDEX('CARNET DE SOUDURE'!$D$7:$D$1506,MATCH(B747,'CARNET DE SOUDURE'!$M$7:$M$1506,0)),"")))</f>
        <v/>
      </c>
      <c r="M747" s="81" t="str">
        <f aca="false">IF(B747="","",IF(OR(J747&lt;&gt;"",K747&lt;&gt;""),"POSÉ EN LIGNE",IF(H747&lt;&gt;"","BARDÉ","EN STOCK")))</f>
        <v/>
      </c>
      <c r="N747" s="79"/>
    </row>
    <row r="748" customFormat="false" ht="15" hidden="false" customHeight="false" outlineLevel="0" collapsed="false">
      <c r="A748" s="78" t="str">
        <f aca="false">IF(B748="","",ROW()-6)</f>
        <v/>
      </c>
      <c r="B748" s="90"/>
      <c r="C748" s="91"/>
      <c r="D748" s="91"/>
      <c r="E748" s="80"/>
      <c r="F748" s="92"/>
      <c r="G748" s="79"/>
      <c r="H748" s="82"/>
      <c r="I748" s="93" t="str">
        <f aca="false">IF(B748="","",IFERROR(INDEX('CARNET DE SOUDURE'!$B$7:$B$1506,MATCH(B748,'CARNET DE SOUDURE'!$K$7:$K$1506,0)),IFERROR(INDEX('CARNET DE SOUDURE'!$B$7:$B$1506,MATCH(B748,'CARNET DE SOUDURE'!$M$7:$M$1506,0)),"")))</f>
        <v/>
      </c>
      <c r="J748" s="78" t="str">
        <f aca="false">IF(B748="","",IFERROR(INDEX('CARNET DE SOUDURE'!$E$7:$E$1506,MATCH(B748,'CARNET DE SOUDURE'!$M$7:$M$1506,0)),""))</f>
        <v/>
      </c>
      <c r="K748" s="78" t="str">
        <f aca="false">IF(B748="","",IFERROR(INDEX('CARNET DE SOUDURE'!$E$7:$E$1506,MATCH(B748,'CARNET DE SOUDURE'!$K$7:$K$1506,0)),""))</f>
        <v/>
      </c>
      <c r="L748" s="78" t="str">
        <f aca="false">IF(B748="","",IFERROR(INDEX('CARNET DE SOUDURE'!$D$7:$D$1506,MATCH(B748,'CARNET DE SOUDURE'!$K$7:$K$1506,0)),IFERROR(INDEX('CARNET DE SOUDURE'!$D$7:$D$1506,MATCH(B748,'CARNET DE SOUDURE'!$M$7:$M$1506,0)),"")))</f>
        <v/>
      </c>
      <c r="M748" s="81" t="str">
        <f aca="false">IF(B748="","",IF(OR(J748&lt;&gt;"",K748&lt;&gt;""),"POSÉ EN LIGNE",IF(H748&lt;&gt;"","BARDÉ","EN STOCK")))</f>
        <v/>
      </c>
      <c r="N748" s="79"/>
    </row>
    <row r="749" customFormat="false" ht="15" hidden="false" customHeight="false" outlineLevel="0" collapsed="false">
      <c r="A749" s="78" t="str">
        <f aca="false">IF(B749="","",ROW()-6)</f>
        <v/>
      </c>
      <c r="B749" s="90"/>
      <c r="C749" s="91"/>
      <c r="D749" s="91"/>
      <c r="E749" s="80"/>
      <c r="F749" s="92"/>
      <c r="G749" s="79"/>
      <c r="H749" s="82"/>
      <c r="I749" s="93" t="str">
        <f aca="false">IF(B749="","",IFERROR(INDEX('CARNET DE SOUDURE'!$B$7:$B$1506,MATCH(B749,'CARNET DE SOUDURE'!$K$7:$K$1506,0)),IFERROR(INDEX('CARNET DE SOUDURE'!$B$7:$B$1506,MATCH(B749,'CARNET DE SOUDURE'!$M$7:$M$1506,0)),"")))</f>
        <v/>
      </c>
      <c r="J749" s="78" t="str">
        <f aca="false">IF(B749="","",IFERROR(INDEX('CARNET DE SOUDURE'!$E$7:$E$1506,MATCH(B749,'CARNET DE SOUDURE'!$M$7:$M$1506,0)),""))</f>
        <v/>
      </c>
      <c r="K749" s="78" t="str">
        <f aca="false">IF(B749="","",IFERROR(INDEX('CARNET DE SOUDURE'!$E$7:$E$1506,MATCH(B749,'CARNET DE SOUDURE'!$K$7:$K$1506,0)),""))</f>
        <v/>
      </c>
      <c r="L749" s="78" t="str">
        <f aca="false">IF(B749="","",IFERROR(INDEX('CARNET DE SOUDURE'!$D$7:$D$1506,MATCH(B749,'CARNET DE SOUDURE'!$K$7:$K$1506,0)),IFERROR(INDEX('CARNET DE SOUDURE'!$D$7:$D$1506,MATCH(B749,'CARNET DE SOUDURE'!$M$7:$M$1506,0)),"")))</f>
        <v/>
      </c>
      <c r="M749" s="81" t="str">
        <f aca="false">IF(B749="","",IF(OR(J749&lt;&gt;"",K749&lt;&gt;""),"POSÉ EN LIGNE",IF(H749&lt;&gt;"","BARDÉ","EN STOCK")))</f>
        <v/>
      </c>
      <c r="N749" s="79"/>
    </row>
    <row r="750" customFormat="false" ht="15" hidden="false" customHeight="false" outlineLevel="0" collapsed="false">
      <c r="A750" s="78" t="str">
        <f aca="false">IF(B750="","",ROW()-6)</f>
        <v/>
      </c>
      <c r="B750" s="90"/>
      <c r="C750" s="91"/>
      <c r="D750" s="91"/>
      <c r="E750" s="80"/>
      <c r="F750" s="92"/>
      <c r="G750" s="79"/>
      <c r="H750" s="82"/>
      <c r="I750" s="93" t="str">
        <f aca="false">IF(B750="","",IFERROR(INDEX('CARNET DE SOUDURE'!$B$7:$B$1506,MATCH(B750,'CARNET DE SOUDURE'!$K$7:$K$1506,0)),IFERROR(INDEX('CARNET DE SOUDURE'!$B$7:$B$1506,MATCH(B750,'CARNET DE SOUDURE'!$M$7:$M$1506,0)),"")))</f>
        <v/>
      </c>
      <c r="J750" s="78" t="str">
        <f aca="false">IF(B750="","",IFERROR(INDEX('CARNET DE SOUDURE'!$E$7:$E$1506,MATCH(B750,'CARNET DE SOUDURE'!$M$7:$M$1506,0)),""))</f>
        <v/>
      </c>
      <c r="K750" s="78" t="str">
        <f aca="false">IF(B750="","",IFERROR(INDEX('CARNET DE SOUDURE'!$E$7:$E$1506,MATCH(B750,'CARNET DE SOUDURE'!$K$7:$K$1506,0)),""))</f>
        <v/>
      </c>
      <c r="L750" s="78" t="str">
        <f aca="false">IF(B750="","",IFERROR(INDEX('CARNET DE SOUDURE'!$D$7:$D$1506,MATCH(B750,'CARNET DE SOUDURE'!$K$7:$K$1506,0)),IFERROR(INDEX('CARNET DE SOUDURE'!$D$7:$D$1506,MATCH(B750,'CARNET DE SOUDURE'!$M$7:$M$1506,0)),"")))</f>
        <v/>
      </c>
      <c r="M750" s="81" t="str">
        <f aca="false">IF(B750="","",IF(OR(J750&lt;&gt;"",K750&lt;&gt;""),"POSÉ EN LIGNE",IF(H750&lt;&gt;"","BARDÉ","EN STOCK")))</f>
        <v/>
      </c>
      <c r="N750" s="79"/>
    </row>
    <row r="751" customFormat="false" ht="15" hidden="false" customHeight="false" outlineLevel="0" collapsed="false">
      <c r="A751" s="78" t="str">
        <f aca="false">IF(B751="","",ROW()-6)</f>
        <v/>
      </c>
      <c r="B751" s="90"/>
      <c r="C751" s="91"/>
      <c r="D751" s="91"/>
      <c r="E751" s="80"/>
      <c r="F751" s="92"/>
      <c r="G751" s="79"/>
      <c r="H751" s="82"/>
      <c r="I751" s="93" t="str">
        <f aca="false">IF(B751="","",IFERROR(INDEX('CARNET DE SOUDURE'!$B$7:$B$1506,MATCH(B751,'CARNET DE SOUDURE'!$K$7:$K$1506,0)),IFERROR(INDEX('CARNET DE SOUDURE'!$B$7:$B$1506,MATCH(B751,'CARNET DE SOUDURE'!$M$7:$M$1506,0)),"")))</f>
        <v/>
      </c>
      <c r="J751" s="78" t="str">
        <f aca="false">IF(B751="","",IFERROR(INDEX('CARNET DE SOUDURE'!$E$7:$E$1506,MATCH(B751,'CARNET DE SOUDURE'!$M$7:$M$1506,0)),""))</f>
        <v/>
      </c>
      <c r="K751" s="78" t="str">
        <f aca="false">IF(B751="","",IFERROR(INDEX('CARNET DE SOUDURE'!$E$7:$E$1506,MATCH(B751,'CARNET DE SOUDURE'!$K$7:$K$1506,0)),""))</f>
        <v/>
      </c>
      <c r="L751" s="78" t="str">
        <f aca="false">IF(B751="","",IFERROR(INDEX('CARNET DE SOUDURE'!$D$7:$D$1506,MATCH(B751,'CARNET DE SOUDURE'!$K$7:$K$1506,0)),IFERROR(INDEX('CARNET DE SOUDURE'!$D$7:$D$1506,MATCH(B751,'CARNET DE SOUDURE'!$M$7:$M$1506,0)),"")))</f>
        <v/>
      </c>
      <c r="M751" s="81" t="str">
        <f aca="false">IF(B751="","",IF(OR(J751&lt;&gt;"",K751&lt;&gt;""),"POSÉ EN LIGNE",IF(H751&lt;&gt;"","BARDÉ","EN STOCK")))</f>
        <v/>
      </c>
      <c r="N751" s="79"/>
    </row>
    <row r="752" customFormat="false" ht="15" hidden="false" customHeight="false" outlineLevel="0" collapsed="false">
      <c r="A752" s="78" t="str">
        <f aca="false">IF(B752="","",ROW()-6)</f>
        <v/>
      </c>
      <c r="B752" s="90"/>
      <c r="C752" s="91"/>
      <c r="D752" s="91"/>
      <c r="E752" s="80"/>
      <c r="F752" s="92"/>
      <c r="G752" s="79"/>
      <c r="H752" s="82"/>
      <c r="I752" s="93" t="str">
        <f aca="false">IF(B752="","",IFERROR(INDEX('CARNET DE SOUDURE'!$B$7:$B$1506,MATCH(B752,'CARNET DE SOUDURE'!$K$7:$K$1506,0)),IFERROR(INDEX('CARNET DE SOUDURE'!$B$7:$B$1506,MATCH(B752,'CARNET DE SOUDURE'!$M$7:$M$1506,0)),"")))</f>
        <v/>
      </c>
      <c r="J752" s="78" t="str">
        <f aca="false">IF(B752="","",IFERROR(INDEX('CARNET DE SOUDURE'!$E$7:$E$1506,MATCH(B752,'CARNET DE SOUDURE'!$M$7:$M$1506,0)),""))</f>
        <v/>
      </c>
      <c r="K752" s="78" t="str">
        <f aca="false">IF(B752="","",IFERROR(INDEX('CARNET DE SOUDURE'!$E$7:$E$1506,MATCH(B752,'CARNET DE SOUDURE'!$K$7:$K$1506,0)),""))</f>
        <v/>
      </c>
      <c r="L752" s="78" t="str">
        <f aca="false">IF(B752="","",IFERROR(INDEX('CARNET DE SOUDURE'!$D$7:$D$1506,MATCH(B752,'CARNET DE SOUDURE'!$K$7:$K$1506,0)),IFERROR(INDEX('CARNET DE SOUDURE'!$D$7:$D$1506,MATCH(B752,'CARNET DE SOUDURE'!$M$7:$M$1506,0)),"")))</f>
        <v/>
      </c>
      <c r="M752" s="81" t="str">
        <f aca="false">IF(B752="","",IF(OR(J752&lt;&gt;"",K752&lt;&gt;""),"POSÉ EN LIGNE",IF(H752&lt;&gt;"","BARDÉ","EN STOCK")))</f>
        <v/>
      </c>
      <c r="N752" s="79"/>
    </row>
    <row r="753" customFormat="false" ht="15" hidden="false" customHeight="false" outlineLevel="0" collapsed="false">
      <c r="A753" s="78" t="str">
        <f aca="false">IF(B753="","",ROW()-6)</f>
        <v/>
      </c>
      <c r="B753" s="90"/>
      <c r="C753" s="91"/>
      <c r="D753" s="91"/>
      <c r="E753" s="80"/>
      <c r="F753" s="92"/>
      <c r="G753" s="79"/>
      <c r="H753" s="82"/>
      <c r="I753" s="93" t="str">
        <f aca="false">IF(B753="","",IFERROR(INDEX('CARNET DE SOUDURE'!$B$7:$B$1506,MATCH(B753,'CARNET DE SOUDURE'!$K$7:$K$1506,0)),IFERROR(INDEX('CARNET DE SOUDURE'!$B$7:$B$1506,MATCH(B753,'CARNET DE SOUDURE'!$M$7:$M$1506,0)),"")))</f>
        <v/>
      </c>
      <c r="J753" s="78" t="str">
        <f aca="false">IF(B753="","",IFERROR(INDEX('CARNET DE SOUDURE'!$E$7:$E$1506,MATCH(B753,'CARNET DE SOUDURE'!$M$7:$M$1506,0)),""))</f>
        <v/>
      </c>
      <c r="K753" s="78" t="str">
        <f aca="false">IF(B753="","",IFERROR(INDEX('CARNET DE SOUDURE'!$E$7:$E$1506,MATCH(B753,'CARNET DE SOUDURE'!$K$7:$K$1506,0)),""))</f>
        <v/>
      </c>
      <c r="L753" s="78" t="str">
        <f aca="false">IF(B753="","",IFERROR(INDEX('CARNET DE SOUDURE'!$D$7:$D$1506,MATCH(B753,'CARNET DE SOUDURE'!$K$7:$K$1506,0)),IFERROR(INDEX('CARNET DE SOUDURE'!$D$7:$D$1506,MATCH(B753,'CARNET DE SOUDURE'!$M$7:$M$1506,0)),"")))</f>
        <v/>
      </c>
      <c r="M753" s="81" t="str">
        <f aca="false">IF(B753="","",IF(OR(J753&lt;&gt;"",K753&lt;&gt;""),"POSÉ EN LIGNE",IF(H753&lt;&gt;"","BARDÉ","EN STOCK")))</f>
        <v/>
      </c>
      <c r="N753" s="79"/>
    </row>
    <row r="754" customFormat="false" ht="15" hidden="false" customHeight="false" outlineLevel="0" collapsed="false">
      <c r="A754" s="78" t="str">
        <f aca="false">IF(B754="","",ROW()-6)</f>
        <v/>
      </c>
      <c r="B754" s="90"/>
      <c r="C754" s="91"/>
      <c r="D754" s="91"/>
      <c r="E754" s="80"/>
      <c r="F754" s="92"/>
      <c r="G754" s="79"/>
      <c r="H754" s="82"/>
      <c r="I754" s="93" t="str">
        <f aca="false">IF(B754="","",IFERROR(INDEX('CARNET DE SOUDURE'!$B$7:$B$1506,MATCH(B754,'CARNET DE SOUDURE'!$K$7:$K$1506,0)),IFERROR(INDEX('CARNET DE SOUDURE'!$B$7:$B$1506,MATCH(B754,'CARNET DE SOUDURE'!$M$7:$M$1506,0)),"")))</f>
        <v/>
      </c>
      <c r="J754" s="78" t="str">
        <f aca="false">IF(B754="","",IFERROR(INDEX('CARNET DE SOUDURE'!$E$7:$E$1506,MATCH(B754,'CARNET DE SOUDURE'!$M$7:$M$1506,0)),""))</f>
        <v/>
      </c>
      <c r="K754" s="78" t="str">
        <f aca="false">IF(B754="","",IFERROR(INDEX('CARNET DE SOUDURE'!$E$7:$E$1506,MATCH(B754,'CARNET DE SOUDURE'!$K$7:$K$1506,0)),""))</f>
        <v/>
      </c>
      <c r="L754" s="78" t="str">
        <f aca="false">IF(B754="","",IFERROR(INDEX('CARNET DE SOUDURE'!$D$7:$D$1506,MATCH(B754,'CARNET DE SOUDURE'!$K$7:$K$1506,0)),IFERROR(INDEX('CARNET DE SOUDURE'!$D$7:$D$1506,MATCH(B754,'CARNET DE SOUDURE'!$M$7:$M$1506,0)),"")))</f>
        <v/>
      </c>
      <c r="M754" s="81" t="str">
        <f aca="false">IF(B754="","",IF(OR(J754&lt;&gt;"",K754&lt;&gt;""),"POSÉ EN LIGNE",IF(H754&lt;&gt;"","BARDÉ","EN STOCK")))</f>
        <v/>
      </c>
      <c r="N754" s="79"/>
    </row>
    <row r="755" customFormat="false" ht="15" hidden="false" customHeight="false" outlineLevel="0" collapsed="false">
      <c r="A755" s="78" t="str">
        <f aca="false">IF(B755="","",ROW()-6)</f>
        <v/>
      </c>
      <c r="B755" s="90"/>
      <c r="C755" s="91"/>
      <c r="D755" s="91"/>
      <c r="E755" s="80"/>
      <c r="F755" s="92"/>
      <c r="G755" s="79"/>
      <c r="H755" s="82"/>
      <c r="I755" s="93" t="str">
        <f aca="false">IF(B755="","",IFERROR(INDEX('CARNET DE SOUDURE'!$B$7:$B$1506,MATCH(B755,'CARNET DE SOUDURE'!$K$7:$K$1506,0)),IFERROR(INDEX('CARNET DE SOUDURE'!$B$7:$B$1506,MATCH(B755,'CARNET DE SOUDURE'!$M$7:$M$1506,0)),"")))</f>
        <v/>
      </c>
      <c r="J755" s="78" t="str">
        <f aca="false">IF(B755="","",IFERROR(INDEX('CARNET DE SOUDURE'!$E$7:$E$1506,MATCH(B755,'CARNET DE SOUDURE'!$M$7:$M$1506,0)),""))</f>
        <v/>
      </c>
      <c r="K755" s="78" t="str">
        <f aca="false">IF(B755="","",IFERROR(INDEX('CARNET DE SOUDURE'!$E$7:$E$1506,MATCH(B755,'CARNET DE SOUDURE'!$K$7:$K$1506,0)),""))</f>
        <v/>
      </c>
      <c r="L755" s="78" t="str">
        <f aca="false">IF(B755="","",IFERROR(INDEX('CARNET DE SOUDURE'!$D$7:$D$1506,MATCH(B755,'CARNET DE SOUDURE'!$K$7:$K$1506,0)),IFERROR(INDEX('CARNET DE SOUDURE'!$D$7:$D$1506,MATCH(B755,'CARNET DE SOUDURE'!$M$7:$M$1506,0)),"")))</f>
        <v/>
      </c>
      <c r="M755" s="81" t="str">
        <f aca="false">IF(B755="","",IF(OR(J755&lt;&gt;"",K755&lt;&gt;""),"POSÉ EN LIGNE",IF(H755&lt;&gt;"","BARDÉ","EN STOCK")))</f>
        <v/>
      </c>
      <c r="N755" s="79"/>
    </row>
    <row r="756" customFormat="false" ht="15" hidden="false" customHeight="false" outlineLevel="0" collapsed="false">
      <c r="A756" s="78" t="str">
        <f aca="false">IF(B756="","",ROW()-6)</f>
        <v/>
      </c>
      <c r="B756" s="90"/>
      <c r="C756" s="91"/>
      <c r="D756" s="91"/>
      <c r="E756" s="80"/>
      <c r="F756" s="92"/>
      <c r="G756" s="79"/>
      <c r="H756" s="82"/>
      <c r="I756" s="93" t="str">
        <f aca="false">IF(B756="","",IFERROR(INDEX('CARNET DE SOUDURE'!$B$7:$B$1506,MATCH(B756,'CARNET DE SOUDURE'!$K$7:$K$1506,0)),IFERROR(INDEX('CARNET DE SOUDURE'!$B$7:$B$1506,MATCH(B756,'CARNET DE SOUDURE'!$M$7:$M$1506,0)),"")))</f>
        <v/>
      </c>
      <c r="J756" s="78" t="str">
        <f aca="false">IF(B756="","",IFERROR(INDEX('CARNET DE SOUDURE'!$E$7:$E$1506,MATCH(B756,'CARNET DE SOUDURE'!$M$7:$M$1506,0)),""))</f>
        <v/>
      </c>
      <c r="K756" s="78" t="str">
        <f aca="false">IF(B756="","",IFERROR(INDEX('CARNET DE SOUDURE'!$E$7:$E$1506,MATCH(B756,'CARNET DE SOUDURE'!$K$7:$K$1506,0)),""))</f>
        <v/>
      </c>
      <c r="L756" s="78" t="str">
        <f aca="false">IF(B756="","",IFERROR(INDEX('CARNET DE SOUDURE'!$D$7:$D$1506,MATCH(B756,'CARNET DE SOUDURE'!$K$7:$K$1506,0)),IFERROR(INDEX('CARNET DE SOUDURE'!$D$7:$D$1506,MATCH(B756,'CARNET DE SOUDURE'!$M$7:$M$1506,0)),"")))</f>
        <v/>
      </c>
      <c r="M756" s="81" t="str">
        <f aca="false">IF(B756="","",IF(OR(J756&lt;&gt;"",K756&lt;&gt;""),"POSÉ EN LIGNE",IF(H756&lt;&gt;"","BARDÉ","EN STOCK")))</f>
        <v/>
      </c>
      <c r="N756" s="79"/>
    </row>
    <row r="757" customFormat="false" ht="15" hidden="false" customHeight="false" outlineLevel="0" collapsed="false">
      <c r="A757" s="78" t="str">
        <f aca="false">IF(B757="","",ROW()-6)</f>
        <v/>
      </c>
      <c r="B757" s="90"/>
      <c r="C757" s="91"/>
      <c r="D757" s="91"/>
      <c r="E757" s="80"/>
      <c r="F757" s="92"/>
      <c r="G757" s="79"/>
      <c r="H757" s="82"/>
      <c r="I757" s="93" t="str">
        <f aca="false">IF(B757="","",IFERROR(INDEX('CARNET DE SOUDURE'!$B$7:$B$1506,MATCH(B757,'CARNET DE SOUDURE'!$K$7:$K$1506,0)),IFERROR(INDEX('CARNET DE SOUDURE'!$B$7:$B$1506,MATCH(B757,'CARNET DE SOUDURE'!$M$7:$M$1506,0)),"")))</f>
        <v/>
      </c>
      <c r="J757" s="78" t="str">
        <f aca="false">IF(B757="","",IFERROR(INDEX('CARNET DE SOUDURE'!$E$7:$E$1506,MATCH(B757,'CARNET DE SOUDURE'!$M$7:$M$1506,0)),""))</f>
        <v/>
      </c>
      <c r="K757" s="78" t="str">
        <f aca="false">IF(B757="","",IFERROR(INDEX('CARNET DE SOUDURE'!$E$7:$E$1506,MATCH(B757,'CARNET DE SOUDURE'!$K$7:$K$1506,0)),""))</f>
        <v/>
      </c>
      <c r="L757" s="78" t="str">
        <f aca="false">IF(B757="","",IFERROR(INDEX('CARNET DE SOUDURE'!$D$7:$D$1506,MATCH(B757,'CARNET DE SOUDURE'!$K$7:$K$1506,0)),IFERROR(INDEX('CARNET DE SOUDURE'!$D$7:$D$1506,MATCH(B757,'CARNET DE SOUDURE'!$M$7:$M$1506,0)),"")))</f>
        <v/>
      </c>
      <c r="M757" s="81" t="str">
        <f aca="false">IF(B757="","",IF(OR(J757&lt;&gt;"",K757&lt;&gt;""),"POSÉ EN LIGNE",IF(H757&lt;&gt;"","BARDÉ","EN STOCK")))</f>
        <v/>
      </c>
      <c r="N757" s="79"/>
    </row>
    <row r="758" customFormat="false" ht="15" hidden="false" customHeight="false" outlineLevel="0" collapsed="false">
      <c r="A758" s="78" t="str">
        <f aca="false">IF(B758="","",ROW()-6)</f>
        <v/>
      </c>
      <c r="B758" s="90"/>
      <c r="C758" s="91"/>
      <c r="D758" s="91"/>
      <c r="E758" s="80"/>
      <c r="F758" s="92"/>
      <c r="G758" s="79"/>
      <c r="H758" s="82"/>
      <c r="I758" s="93" t="str">
        <f aca="false">IF(B758="","",IFERROR(INDEX('CARNET DE SOUDURE'!$B$7:$B$1506,MATCH(B758,'CARNET DE SOUDURE'!$K$7:$K$1506,0)),IFERROR(INDEX('CARNET DE SOUDURE'!$B$7:$B$1506,MATCH(B758,'CARNET DE SOUDURE'!$M$7:$M$1506,0)),"")))</f>
        <v/>
      </c>
      <c r="J758" s="78" t="str">
        <f aca="false">IF(B758="","",IFERROR(INDEX('CARNET DE SOUDURE'!$E$7:$E$1506,MATCH(B758,'CARNET DE SOUDURE'!$M$7:$M$1506,0)),""))</f>
        <v/>
      </c>
      <c r="K758" s="78" t="str">
        <f aca="false">IF(B758="","",IFERROR(INDEX('CARNET DE SOUDURE'!$E$7:$E$1506,MATCH(B758,'CARNET DE SOUDURE'!$K$7:$K$1506,0)),""))</f>
        <v/>
      </c>
      <c r="L758" s="78" t="str">
        <f aca="false">IF(B758="","",IFERROR(INDEX('CARNET DE SOUDURE'!$D$7:$D$1506,MATCH(B758,'CARNET DE SOUDURE'!$K$7:$K$1506,0)),IFERROR(INDEX('CARNET DE SOUDURE'!$D$7:$D$1506,MATCH(B758,'CARNET DE SOUDURE'!$M$7:$M$1506,0)),"")))</f>
        <v/>
      </c>
      <c r="M758" s="81" t="str">
        <f aca="false">IF(B758="","",IF(OR(J758&lt;&gt;"",K758&lt;&gt;""),"POSÉ EN LIGNE",IF(H758&lt;&gt;"","BARDÉ","EN STOCK")))</f>
        <v/>
      </c>
      <c r="N758" s="79"/>
    </row>
    <row r="759" customFormat="false" ht="15" hidden="false" customHeight="false" outlineLevel="0" collapsed="false">
      <c r="A759" s="78" t="str">
        <f aca="false">IF(B759="","",ROW()-6)</f>
        <v/>
      </c>
      <c r="B759" s="90"/>
      <c r="C759" s="91"/>
      <c r="D759" s="91"/>
      <c r="E759" s="80"/>
      <c r="F759" s="92"/>
      <c r="G759" s="79"/>
      <c r="H759" s="82"/>
      <c r="I759" s="93" t="str">
        <f aca="false">IF(B759="","",IFERROR(INDEX('CARNET DE SOUDURE'!$B$7:$B$1506,MATCH(B759,'CARNET DE SOUDURE'!$K$7:$K$1506,0)),IFERROR(INDEX('CARNET DE SOUDURE'!$B$7:$B$1506,MATCH(B759,'CARNET DE SOUDURE'!$M$7:$M$1506,0)),"")))</f>
        <v/>
      </c>
      <c r="J759" s="78" t="str">
        <f aca="false">IF(B759="","",IFERROR(INDEX('CARNET DE SOUDURE'!$E$7:$E$1506,MATCH(B759,'CARNET DE SOUDURE'!$M$7:$M$1506,0)),""))</f>
        <v/>
      </c>
      <c r="K759" s="78" t="str">
        <f aca="false">IF(B759="","",IFERROR(INDEX('CARNET DE SOUDURE'!$E$7:$E$1506,MATCH(B759,'CARNET DE SOUDURE'!$K$7:$K$1506,0)),""))</f>
        <v/>
      </c>
      <c r="L759" s="78" t="str">
        <f aca="false">IF(B759="","",IFERROR(INDEX('CARNET DE SOUDURE'!$D$7:$D$1506,MATCH(B759,'CARNET DE SOUDURE'!$K$7:$K$1506,0)),IFERROR(INDEX('CARNET DE SOUDURE'!$D$7:$D$1506,MATCH(B759,'CARNET DE SOUDURE'!$M$7:$M$1506,0)),"")))</f>
        <v/>
      </c>
      <c r="M759" s="81" t="str">
        <f aca="false">IF(B759="","",IF(OR(J759&lt;&gt;"",K759&lt;&gt;""),"POSÉ EN LIGNE",IF(H759&lt;&gt;"","BARDÉ","EN STOCK")))</f>
        <v/>
      </c>
      <c r="N759" s="79"/>
    </row>
    <row r="760" customFormat="false" ht="15" hidden="false" customHeight="false" outlineLevel="0" collapsed="false">
      <c r="A760" s="78" t="str">
        <f aca="false">IF(B760="","",ROW()-6)</f>
        <v/>
      </c>
      <c r="B760" s="90"/>
      <c r="C760" s="91"/>
      <c r="D760" s="91"/>
      <c r="E760" s="80"/>
      <c r="F760" s="92"/>
      <c r="G760" s="79"/>
      <c r="H760" s="82"/>
      <c r="I760" s="93" t="str">
        <f aca="false">IF(B760="","",IFERROR(INDEX('CARNET DE SOUDURE'!$B$7:$B$1506,MATCH(B760,'CARNET DE SOUDURE'!$K$7:$K$1506,0)),IFERROR(INDEX('CARNET DE SOUDURE'!$B$7:$B$1506,MATCH(B760,'CARNET DE SOUDURE'!$M$7:$M$1506,0)),"")))</f>
        <v/>
      </c>
      <c r="J760" s="78" t="str">
        <f aca="false">IF(B760="","",IFERROR(INDEX('CARNET DE SOUDURE'!$E$7:$E$1506,MATCH(B760,'CARNET DE SOUDURE'!$M$7:$M$1506,0)),""))</f>
        <v/>
      </c>
      <c r="K760" s="78" t="str">
        <f aca="false">IF(B760="","",IFERROR(INDEX('CARNET DE SOUDURE'!$E$7:$E$1506,MATCH(B760,'CARNET DE SOUDURE'!$K$7:$K$1506,0)),""))</f>
        <v/>
      </c>
      <c r="L760" s="78" t="str">
        <f aca="false">IF(B760="","",IFERROR(INDEX('CARNET DE SOUDURE'!$D$7:$D$1506,MATCH(B760,'CARNET DE SOUDURE'!$K$7:$K$1506,0)),IFERROR(INDEX('CARNET DE SOUDURE'!$D$7:$D$1506,MATCH(B760,'CARNET DE SOUDURE'!$M$7:$M$1506,0)),"")))</f>
        <v/>
      </c>
      <c r="M760" s="81" t="str">
        <f aca="false">IF(B760="","",IF(OR(J760&lt;&gt;"",K760&lt;&gt;""),"POSÉ EN LIGNE",IF(H760&lt;&gt;"","BARDÉ","EN STOCK")))</f>
        <v/>
      </c>
      <c r="N760" s="79"/>
    </row>
    <row r="761" customFormat="false" ht="15" hidden="false" customHeight="false" outlineLevel="0" collapsed="false">
      <c r="A761" s="78" t="str">
        <f aca="false">IF(B761="","",ROW()-6)</f>
        <v/>
      </c>
      <c r="B761" s="90"/>
      <c r="C761" s="91"/>
      <c r="D761" s="91"/>
      <c r="E761" s="80"/>
      <c r="F761" s="92"/>
      <c r="G761" s="79"/>
      <c r="H761" s="82"/>
      <c r="I761" s="93" t="str">
        <f aca="false">IF(B761="","",IFERROR(INDEX('CARNET DE SOUDURE'!$B$7:$B$1506,MATCH(B761,'CARNET DE SOUDURE'!$K$7:$K$1506,0)),IFERROR(INDEX('CARNET DE SOUDURE'!$B$7:$B$1506,MATCH(B761,'CARNET DE SOUDURE'!$M$7:$M$1506,0)),"")))</f>
        <v/>
      </c>
      <c r="J761" s="78" t="str">
        <f aca="false">IF(B761="","",IFERROR(INDEX('CARNET DE SOUDURE'!$E$7:$E$1506,MATCH(B761,'CARNET DE SOUDURE'!$M$7:$M$1506,0)),""))</f>
        <v/>
      </c>
      <c r="K761" s="78" t="str">
        <f aca="false">IF(B761="","",IFERROR(INDEX('CARNET DE SOUDURE'!$E$7:$E$1506,MATCH(B761,'CARNET DE SOUDURE'!$K$7:$K$1506,0)),""))</f>
        <v/>
      </c>
      <c r="L761" s="78" t="str">
        <f aca="false">IF(B761="","",IFERROR(INDEX('CARNET DE SOUDURE'!$D$7:$D$1506,MATCH(B761,'CARNET DE SOUDURE'!$K$7:$K$1506,0)),IFERROR(INDEX('CARNET DE SOUDURE'!$D$7:$D$1506,MATCH(B761,'CARNET DE SOUDURE'!$M$7:$M$1506,0)),"")))</f>
        <v/>
      </c>
      <c r="M761" s="81" t="str">
        <f aca="false">IF(B761="","",IF(OR(J761&lt;&gt;"",K761&lt;&gt;""),"POSÉ EN LIGNE",IF(H761&lt;&gt;"","BARDÉ","EN STOCK")))</f>
        <v/>
      </c>
      <c r="N761" s="79"/>
    </row>
    <row r="762" customFormat="false" ht="15" hidden="false" customHeight="false" outlineLevel="0" collapsed="false">
      <c r="A762" s="78" t="str">
        <f aca="false">IF(B762="","",ROW()-6)</f>
        <v/>
      </c>
      <c r="B762" s="90"/>
      <c r="C762" s="91"/>
      <c r="D762" s="91"/>
      <c r="E762" s="80"/>
      <c r="F762" s="92"/>
      <c r="G762" s="79"/>
      <c r="H762" s="82"/>
      <c r="I762" s="93" t="str">
        <f aca="false">IF(B762="","",IFERROR(INDEX('CARNET DE SOUDURE'!$B$7:$B$1506,MATCH(B762,'CARNET DE SOUDURE'!$K$7:$K$1506,0)),IFERROR(INDEX('CARNET DE SOUDURE'!$B$7:$B$1506,MATCH(B762,'CARNET DE SOUDURE'!$M$7:$M$1506,0)),"")))</f>
        <v/>
      </c>
      <c r="J762" s="78" t="str">
        <f aca="false">IF(B762="","",IFERROR(INDEX('CARNET DE SOUDURE'!$E$7:$E$1506,MATCH(B762,'CARNET DE SOUDURE'!$M$7:$M$1506,0)),""))</f>
        <v/>
      </c>
      <c r="K762" s="78" t="str">
        <f aca="false">IF(B762="","",IFERROR(INDEX('CARNET DE SOUDURE'!$E$7:$E$1506,MATCH(B762,'CARNET DE SOUDURE'!$K$7:$K$1506,0)),""))</f>
        <v/>
      </c>
      <c r="L762" s="78" t="str">
        <f aca="false">IF(B762="","",IFERROR(INDEX('CARNET DE SOUDURE'!$D$7:$D$1506,MATCH(B762,'CARNET DE SOUDURE'!$K$7:$K$1506,0)),IFERROR(INDEX('CARNET DE SOUDURE'!$D$7:$D$1506,MATCH(B762,'CARNET DE SOUDURE'!$M$7:$M$1506,0)),"")))</f>
        <v/>
      </c>
      <c r="M762" s="81" t="str">
        <f aca="false">IF(B762="","",IF(OR(J762&lt;&gt;"",K762&lt;&gt;""),"POSÉ EN LIGNE",IF(H762&lt;&gt;"","BARDÉ","EN STOCK")))</f>
        <v/>
      </c>
      <c r="N762" s="79"/>
    </row>
    <row r="763" customFormat="false" ht="15" hidden="false" customHeight="false" outlineLevel="0" collapsed="false">
      <c r="A763" s="78" t="str">
        <f aca="false">IF(B763="","",ROW()-6)</f>
        <v/>
      </c>
      <c r="B763" s="90"/>
      <c r="C763" s="91"/>
      <c r="D763" s="91"/>
      <c r="E763" s="80"/>
      <c r="F763" s="92"/>
      <c r="G763" s="79"/>
      <c r="H763" s="82"/>
      <c r="I763" s="93" t="str">
        <f aca="false">IF(B763="","",IFERROR(INDEX('CARNET DE SOUDURE'!$B$7:$B$1506,MATCH(B763,'CARNET DE SOUDURE'!$K$7:$K$1506,0)),IFERROR(INDEX('CARNET DE SOUDURE'!$B$7:$B$1506,MATCH(B763,'CARNET DE SOUDURE'!$M$7:$M$1506,0)),"")))</f>
        <v/>
      </c>
      <c r="J763" s="78" t="str">
        <f aca="false">IF(B763="","",IFERROR(INDEX('CARNET DE SOUDURE'!$E$7:$E$1506,MATCH(B763,'CARNET DE SOUDURE'!$M$7:$M$1506,0)),""))</f>
        <v/>
      </c>
      <c r="K763" s="78" t="str">
        <f aca="false">IF(B763="","",IFERROR(INDEX('CARNET DE SOUDURE'!$E$7:$E$1506,MATCH(B763,'CARNET DE SOUDURE'!$K$7:$K$1506,0)),""))</f>
        <v/>
      </c>
      <c r="L763" s="78" t="str">
        <f aca="false">IF(B763="","",IFERROR(INDEX('CARNET DE SOUDURE'!$D$7:$D$1506,MATCH(B763,'CARNET DE SOUDURE'!$K$7:$K$1506,0)),IFERROR(INDEX('CARNET DE SOUDURE'!$D$7:$D$1506,MATCH(B763,'CARNET DE SOUDURE'!$M$7:$M$1506,0)),"")))</f>
        <v/>
      </c>
      <c r="M763" s="81" t="str">
        <f aca="false">IF(B763="","",IF(OR(J763&lt;&gt;"",K763&lt;&gt;""),"POSÉ EN LIGNE",IF(H763&lt;&gt;"","BARDÉ","EN STOCK")))</f>
        <v/>
      </c>
      <c r="N763" s="79"/>
    </row>
    <row r="764" customFormat="false" ht="15" hidden="false" customHeight="false" outlineLevel="0" collapsed="false">
      <c r="A764" s="78" t="str">
        <f aca="false">IF(B764="","",ROW()-6)</f>
        <v/>
      </c>
      <c r="B764" s="90"/>
      <c r="C764" s="91"/>
      <c r="D764" s="91"/>
      <c r="E764" s="80"/>
      <c r="F764" s="92"/>
      <c r="G764" s="79"/>
      <c r="H764" s="82"/>
      <c r="I764" s="93" t="str">
        <f aca="false">IF(B764="","",IFERROR(INDEX('CARNET DE SOUDURE'!$B$7:$B$1506,MATCH(B764,'CARNET DE SOUDURE'!$K$7:$K$1506,0)),IFERROR(INDEX('CARNET DE SOUDURE'!$B$7:$B$1506,MATCH(B764,'CARNET DE SOUDURE'!$M$7:$M$1506,0)),"")))</f>
        <v/>
      </c>
      <c r="J764" s="78" t="str">
        <f aca="false">IF(B764="","",IFERROR(INDEX('CARNET DE SOUDURE'!$E$7:$E$1506,MATCH(B764,'CARNET DE SOUDURE'!$M$7:$M$1506,0)),""))</f>
        <v/>
      </c>
      <c r="K764" s="78" t="str">
        <f aca="false">IF(B764="","",IFERROR(INDEX('CARNET DE SOUDURE'!$E$7:$E$1506,MATCH(B764,'CARNET DE SOUDURE'!$K$7:$K$1506,0)),""))</f>
        <v/>
      </c>
      <c r="L764" s="78" t="str">
        <f aca="false">IF(B764="","",IFERROR(INDEX('CARNET DE SOUDURE'!$D$7:$D$1506,MATCH(B764,'CARNET DE SOUDURE'!$K$7:$K$1506,0)),IFERROR(INDEX('CARNET DE SOUDURE'!$D$7:$D$1506,MATCH(B764,'CARNET DE SOUDURE'!$M$7:$M$1506,0)),"")))</f>
        <v/>
      </c>
      <c r="M764" s="81" t="str">
        <f aca="false">IF(B764="","",IF(OR(J764&lt;&gt;"",K764&lt;&gt;""),"POSÉ EN LIGNE",IF(H764&lt;&gt;"","BARDÉ","EN STOCK")))</f>
        <v/>
      </c>
      <c r="N764" s="79"/>
    </row>
    <row r="765" customFormat="false" ht="15" hidden="false" customHeight="false" outlineLevel="0" collapsed="false">
      <c r="A765" s="78" t="str">
        <f aca="false">IF(B765="","",ROW()-6)</f>
        <v/>
      </c>
      <c r="B765" s="90"/>
      <c r="C765" s="91"/>
      <c r="D765" s="91"/>
      <c r="E765" s="80"/>
      <c r="F765" s="92"/>
      <c r="G765" s="79"/>
      <c r="H765" s="82"/>
      <c r="I765" s="93" t="str">
        <f aca="false">IF(B765="","",IFERROR(INDEX('CARNET DE SOUDURE'!$B$7:$B$1506,MATCH(B765,'CARNET DE SOUDURE'!$K$7:$K$1506,0)),IFERROR(INDEX('CARNET DE SOUDURE'!$B$7:$B$1506,MATCH(B765,'CARNET DE SOUDURE'!$M$7:$M$1506,0)),"")))</f>
        <v/>
      </c>
      <c r="J765" s="78" t="str">
        <f aca="false">IF(B765="","",IFERROR(INDEX('CARNET DE SOUDURE'!$E$7:$E$1506,MATCH(B765,'CARNET DE SOUDURE'!$M$7:$M$1506,0)),""))</f>
        <v/>
      </c>
      <c r="K765" s="78" t="str">
        <f aca="false">IF(B765="","",IFERROR(INDEX('CARNET DE SOUDURE'!$E$7:$E$1506,MATCH(B765,'CARNET DE SOUDURE'!$K$7:$K$1506,0)),""))</f>
        <v/>
      </c>
      <c r="L765" s="78" t="str">
        <f aca="false">IF(B765="","",IFERROR(INDEX('CARNET DE SOUDURE'!$D$7:$D$1506,MATCH(B765,'CARNET DE SOUDURE'!$K$7:$K$1506,0)),IFERROR(INDEX('CARNET DE SOUDURE'!$D$7:$D$1506,MATCH(B765,'CARNET DE SOUDURE'!$M$7:$M$1506,0)),"")))</f>
        <v/>
      </c>
      <c r="M765" s="81" t="str">
        <f aca="false">IF(B765="","",IF(OR(J765&lt;&gt;"",K765&lt;&gt;""),"POSÉ EN LIGNE",IF(H765&lt;&gt;"","BARDÉ","EN STOCK")))</f>
        <v/>
      </c>
      <c r="N765" s="79"/>
    </row>
    <row r="766" customFormat="false" ht="15" hidden="false" customHeight="false" outlineLevel="0" collapsed="false">
      <c r="A766" s="78" t="str">
        <f aca="false">IF(B766="","",ROW()-6)</f>
        <v/>
      </c>
      <c r="B766" s="90"/>
      <c r="C766" s="91"/>
      <c r="D766" s="91"/>
      <c r="E766" s="80"/>
      <c r="F766" s="92"/>
      <c r="G766" s="79"/>
      <c r="H766" s="82"/>
      <c r="I766" s="93" t="str">
        <f aca="false">IF(B766="","",IFERROR(INDEX('CARNET DE SOUDURE'!$B$7:$B$1506,MATCH(B766,'CARNET DE SOUDURE'!$K$7:$K$1506,0)),IFERROR(INDEX('CARNET DE SOUDURE'!$B$7:$B$1506,MATCH(B766,'CARNET DE SOUDURE'!$M$7:$M$1506,0)),"")))</f>
        <v/>
      </c>
      <c r="J766" s="78" t="str">
        <f aca="false">IF(B766="","",IFERROR(INDEX('CARNET DE SOUDURE'!$E$7:$E$1506,MATCH(B766,'CARNET DE SOUDURE'!$M$7:$M$1506,0)),""))</f>
        <v/>
      </c>
      <c r="K766" s="78" t="str">
        <f aca="false">IF(B766="","",IFERROR(INDEX('CARNET DE SOUDURE'!$E$7:$E$1506,MATCH(B766,'CARNET DE SOUDURE'!$K$7:$K$1506,0)),""))</f>
        <v/>
      </c>
      <c r="L766" s="78" t="str">
        <f aca="false">IF(B766="","",IFERROR(INDEX('CARNET DE SOUDURE'!$D$7:$D$1506,MATCH(B766,'CARNET DE SOUDURE'!$K$7:$K$1506,0)),IFERROR(INDEX('CARNET DE SOUDURE'!$D$7:$D$1506,MATCH(B766,'CARNET DE SOUDURE'!$M$7:$M$1506,0)),"")))</f>
        <v/>
      </c>
      <c r="M766" s="81" t="str">
        <f aca="false">IF(B766="","",IF(OR(J766&lt;&gt;"",K766&lt;&gt;""),"POSÉ EN LIGNE",IF(H766&lt;&gt;"","BARDÉ","EN STOCK")))</f>
        <v/>
      </c>
      <c r="N766" s="79"/>
    </row>
    <row r="767" customFormat="false" ht="15" hidden="false" customHeight="false" outlineLevel="0" collapsed="false">
      <c r="A767" s="78" t="str">
        <f aca="false">IF(B767="","",ROW()-6)</f>
        <v/>
      </c>
      <c r="B767" s="90"/>
      <c r="C767" s="91"/>
      <c r="D767" s="91"/>
      <c r="E767" s="80"/>
      <c r="F767" s="92"/>
      <c r="G767" s="79"/>
      <c r="H767" s="82"/>
      <c r="I767" s="93" t="str">
        <f aca="false">IF(B767="","",IFERROR(INDEX('CARNET DE SOUDURE'!$B$7:$B$1506,MATCH(B767,'CARNET DE SOUDURE'!$K$7:$K$1506,0)),IFERROR(INDEX('CARNET DE SOUDURE'!$B$7:$B$1506,MATCH(B767,'CARNET DE SOUDURE'!$M$7:$M$1506,0)),"")))</f>
        <v/>
      </c>
      <c r="J767" s="78" t="str">
        <f aca="false">IF(B767="","",IFERROR(INDEX('CARNET DE SOUDURE'!$E$7:$E$1506,MATCH(B767,'CARNET DE SOUDURE'!$M$7:$M$1506,0)),""))</f>
        <v/>
      </c>
      <c r="K767" s="78" t="str">
        <f aca="false">IF(B767="","",IFERROR(INDEX('CARNET DE SOUDURE'!$E$7:$E$1506,MATCH(B767,'CARNET DE SOUDURE'!$K$7:$K$1506,0)),""))</f>
        <v/>
      </c>
      <c r="L767" s="78" t="str">
        <f aca="false">IF(B767="","",IFERROR(INDEX('CARNET DE SOUDURE'!$D$7:$D$1506,MATCH(B767,'CARNET DE SOUDURE'!$K$7:$K$1506,0)),IFERROR(INDEX('CARNET DE SOUDURE'!$D$7:$D$1506,MATCH(B767,'CARNET DE SOUDURE'!$M$7:$M$1506,0)),"")))</f>
        <v/>
      </c>
      <c r="M767" s="81" t="str">
        <f aca="false">IF(B767="","",IF(OR(J767&lt;&gt;"",K767&lt;&gt;""),"POSÉ EN LIGNE",IF(H767&lt;&gt;"","BARDÉ","EN STOCK")))</f>
        <v/>
      </c>
      <c r="N767" s="79"/>
    </row>
    <row r="768" customFormat="false" ht="15" hidden="false" customHeight="false" outlineLevel="0" collapsed="false">
      <c r="A768" s="78" t="str">
        <f aca="false">IF(B768="","",ROW()-6)</f>
        <v/>
      </c>
      <c r="B768" s="90"/>
      <c r="C768" s="91"/>
      <c r="D768" s="91"/>
      <c r="E768" s="80"/>
      <c r="F768" s="92"/>
      <c r="G768" s="79"/>
      <c r="H768" s="82"/>
      <c r="I768" s="93" t="str">
        <f aca="false">IF(B768="","",IFERROR(INDEX('CARNET DE SOUDURE'!$B$7:$B$1506,MATCH(B768,'CARNET DE SOUDURE'!$K$7:$K$1506,0)),IFERROR(INDEX('CARNET DE SOUDURE'!$B$7:$B$1506,MATCH(B768,'CARNET DE SOUDURE'!$M$7:$M$1506,0)),"")))</f>
        <v/>
      </c>
      <c r="J768" s="78" t="str">
        <f aca="false">IF(B768="","",IFERROR(INDEX('CARNET DE SOUDURE'!$E$7:$E$1506,MATCH(B768,'CARNET DE SOUDURE'!$M$7:$M$1506,0)),""))</f>
        <v/>
      </c>
      <c r="K768" s="78" t="str">
        <f aca="false">IF(B768="","",IFERROR(INDEX('CARNET DE SOUDURE'!$E$7:$E$1506,MATCH(B768,'CARNET DE SOUDURE'!$K$7:$K$1506,0)),""))</f>
        <v/>
      </c>
      <c r="L768" s="78" t="str">
        <f aca="false">IF(B768="","",IFERROR(INDEX('CARNET DE SOUDURE'!$D$7:$D$1506,MATCH(B768,'CARNET DE SOUDURE'!$K$7:$K$1506,0)),IFERROR(INDEX('CARNET DE SOUDURE'!$D$7:$D$1506,MATCH(B768,'CARNET DE SOUDURE'!$M$7:$M$1506,0)),"")))</f>
        <v/>
      </c>
      <c r="M768" s="81" t="str">
        <f aca="false">IF(B768="","",IF(OR(J768&lt;&gt;"",K768&lt;&gt;""),"POSÉ EN LIGNE",IF(H768&lt;&gt;"","BARDÉ","EN STOCK")))</f>
        <v/>
      </c>
      <c r="N768" s="79"/>
    </row>
    <row r="769" customFormat="false" ht="15" hidden="false" customHeight="false" outlineLevel="0" collapsed="false">
      <c r="A769" s="78" t="str">
        <f aca="false">IF(B769="","",ROW()-6)</f>
        <v/>
      </c>
      <c r="B769" s="90"/>
      <c r="C769" s="91"/>
      <c r="D769" s="91"/>
      <c r="E769" s="80"/>
      <c r="F769" s="92"/>
      <c r="G769" s="79"/>
      <c r="H769" s="82"/>
      <c r="I769" s="93" t="str">
        <f aca="false">IF(B769="","",IFERROR(INDEX('CARNET DE SOUDURE'!$B$7:$B$1506,MATCH(B769,'CARNET DE SOUDURE'!$K$7:$K$1506,0)),IFERROR(INDEX('CARNET DE SOUDURE'!$B$7:$B$1506,MATCH(B769,'CARNET DE SOUDURE'!$M$7:$M$1506,0)),"")))</f>
        <v/>
      </c>
      <c r="J769" s="78" t="str">
        <f aca="false">IF(B769="","",IFERROR(INDEX('CARNET DE SOUDURE'!$E$7:$E$1506,MATCH(B769,'CARNET DE SOUDURE'!$M$7:$M$1506,0)),""))</f>
        <v/>
      </c>
      <c r="K769" s="78" t="str">
        <f aca="false">IF(B769="","",IFERROR(INDEX('CARNET DE SOUDURE'!$E$7:$E$1506,MATCH(B769,'CARNET DE SOUDURE'!$K$7:$K$1506,0)),""))</f>
        <v/>
      </c>
      <c r="L769" s="78" t="str">
        <f aca="false">IF(B769="","",IFERROR(INDEX('CARNET DE SOUDURE'!$D$7:$D$1506,MATCH(B769,'CARNET DE SOUDURE'!$K$7:$K$1506,0)),IFERROR(INDEX('CARNET DE SOUDURE'!$D$7:$D$1506,MATCH(B769,'CARNET DE SOUDURE'!$M$7:$M$1506,0)),"")))</f>
        <v/>
      </c>
      <c r="M769" s="81" t="str">
        <f aca="false">IF(B769="","",IF(OR(J769&lt;&gt;"",K769&lt;&gt;""),"POSÉ EN LIGNE",IF(H769&lt;&gt;"","BARDÉ","EN STOCK")))</f>
        <v/>
      </c>
      <c r="N769" s="79"/>
    </row>
    <row r="770" customFormat="false" ht="15" hidden="false" customHeight="false" outlineLevel="0" collapsed="false">
      <c r="A770" s="78" t="str">
        <f aca="false">IF(B770="","",ROW()-6)</f>
        <v/>
      </c>
      <c r="B770" s="90"/>
      <c r="C770" s="91"/>
      <c r="D770" s="91"/>
      <c r="E770" s="80"/>
      <c r="F770" s="92"/>
      <c r="G770" s="79"/>
      <c r="H770" s="82"/>
      <c r="I770" s="93" t="str">
        <f aca="false">IF(B770="","",IFERROR(INDEX('CARNET DE SOUDURE'!$B$7:$B$1506,MATCH(B770,'CARNET DE SOUDURE'!$K$7:$K$1506,0)),IFERROR(INDEX('CARNET DE SOUDURE'!$B$7:$B$1506,MATCH(B770,'CARNET DE SOUDURE'!$M$7:$M$1506,0)),"")))</f>
        <v/>
      </c>
      <c r="J770" s="78" t="str">
        <f aca="false">IF(B770="","",IFERROR(INDEX('CARNET DE SOUDURE'!$E$7:$E$1506,MATCH(B770,'CARNET DE SOUDURE'!$M$7:$M$1506,0)),""))</f>
        <v/>
      </c>
      <c r="K770" s="78" t="str">
        <f aca="false">IF(B770="","",IFERROR(INDEX('CARNET DE SOUDURE'!$E$7:$E$1506,MATCH(B770,'CARNET DE SOUDURE'!$K$7:$K$1506,0)),""))</f>
        <v/>
      </c>
      <c r="L770" s="78" t="str">
        <f aca="false">IF(B770="","",IFERROR(INDEX('CARNET DE SOUDURE'!$D$7:$D$1506,MATCH(B770,'CARNET DE SOUDURE'!$K$7:$K$1506,0)),IFERROR(INDEX('CARNET DE SOUDURE'!$D$7:$D$1506,MATCH(B770,'CARNET DE SOUDURE'!$M$7:$M$1506,0)),"")))</f>
        <v/>
      </c>
      <c r="M770" s="81" t="str">
        <f aca="false">IF(B770="","",IF(OR(J770&lt;&gt;"",K770&lt;&gt;""),"POSÉ EN LIGNE",IF(H770&lt;&gt;"","BARDÉ","EN STOCK")))</f>
        <v/>
      </c>
      <c r="N770" s="79"/>
    </row>
    <row r="771" customFormat="false" ht="15" hidden="false" customHeight="false" outlineLevel="0" collapsed="false">
      <c r="A771" s="78" t="str">
        <f aca="false">IF(B771="","",ROW()-6)</f>
        <v/>
      </c>
      <c r="B771" s="90"/>
      <c r="C771" s="91"/>
      <c r="D771" s="91"/>
      <c r="E771" s="80"/>
      <c r="F771" s="92"/>
      <c r="G771" s="79"/>
      <c r="H771" s="82"/>
      <c r="I771" s="93" t="str">
        <f aca="false">IF(B771="","",IFERROR(INDEX('CARNET DE SOUDURE'!$B$7:$B$1506,MATCH(B771,'CARNET DE SOUDURE'!$K$7:$K$1506,0)),IFERROR(INDEX('CARNET DE SOUDURE'!$B$7:$B$1506,MATCH(B771,'CARNET DE SOUDURE'!$M$7:$M$1506,0)),"")))</f>
        <v/>
      </c>
      <c r="J771" s="78" t="str">
        <f aca="false">IF(B771="","",IFERROR(INDEX('CARNET DE SOUDURE'!$E$7:$E$1506,MATCH(B771,'CARNET DE SOUDURE'!$M$7:$M$1506,0)),""))</f>
        <v/>
      </c>
      <c r="K771" s="78" t="str">
        <f aca="false">IF(B771="","",IFERROR(INDEX('CARNET DE SOUDURE'!$E$7:$E$1506,MATCH(B771,'CARNET DE SOUDURE'!$K$7:$K$1506,0)),""))</f>
        <v/>
      </c>
      <c r="L771" s="78" t="str">
        <f aca="false">IF(B771="","",IFERROR(INDEX('CARNET DE SOUDURE'!$D$7:$D$1506,MATCH(B771,'CARNET DE SOUDURE'!$K$7:$K$1506,0)),IFERROR(INDEX('CARNET DE SOUDURE'!$D$7:$D$1506,MATCH(B771,'CARNET DE SOUDURE'!$M$7:$M$1506,0)),"")))</f>
        <v/>
      </c>
      <c r="M771" s="81" t="str">
        <f aca="false">IF(B771="","",IF(OR(J771&lt;&gt;"",K771&lt;&gt;""),"POSÉ EN LIGNE",IF(H771&lt;&gt;"","BARDÉ","EN STOCK")))</f>
        <v/>
      </c>
      <c r="N771" s="79"/>
    </row>
    <row r="772" customFormat="false" ht="15" hidden="false" customHeight="false" outlineLevel="0" collapsed="false">
      <c r="A772" s="78" t="str">
        <f aca="false">IF(B772="","",ROW()-6)</f>
        <v/>
      </c>
      <c r="B772" s="90"/>
      <c r="C772" s="91"/>
      <c r="D772" s="91"/>
      <c r="E772" s="80"/>
      <c r="F772" s="92"/>
      <c r="G772" s="79"/>
      <c r="H772" s="82"/>
      <c r="I772" s="93" t="str">
        <f aca="false">IF(B772="","",IFERROR(INDEX('CARNET DE SOUDURE'!$B$7:$B$1506,MATCH(B772,'CARNET DE SOUDURE'!$K$7:$K$1506,0)),IFERROR(INDEX('CARNET DE SOUDURE'!$B$7:$B$1506,MATCH(B772,'CARNET DE SOUDURE'!$M$7:$M$1506,0)),"")))</f>
        <v/>
      </c>
      <c r="J772" s="78" t="str">
        <f aca="false">IF(B772="","",IFERROR(INDEX('CARNET DE SOUDURE'!$E$7:$E$1506,MATCH(B772,'CARNET DE SOUDURE'!$M$7:$M$1506,0)),""))</f>
        <v/>
      </c>
      <c r="K772" s="78" t="str">
        <f aca="false">IF(B772="","",IFERROR(INDEX('CARNET DE SOUDURE'!$E$7:$E$1506,MATCH(B772,'CARNET DE SOUDURE'!$K$7:$K$1506,0)),""))</f>
        <v/>
      </c>
      <c r="L772" s="78" t="str">
        <f aca="false">IF(B772="","",IFERROR(INDEX('CARNET DE SOUDURE'!$D$7:$D$1506,MATCH(B772,'CARNET DE SOUDURE'!$K$7:$K$1506,0)),IFERROR(INDEX('CARNET DE SOUDURE'!$D$7:$D$1506,MATCH(B772,'CARNET DE SOUDURE'!$M$7:$M$1506,0)),"")))</f>
        <v/>
      </c>
      <c r="M772" s="81" t="str">
        <f aca="false">IF(B772="","",IF(OR(J772&lt;&gt;"",K772&lt;&gt;""),"POSÉ EN LIGNE",IF(H772&lt;&gt;"","BARDÉ","EN STOCK")))</f>
        <v/>
      </c>
      <c r="N772" s="79"/>
    </row>
    <row r="773" customFormat="false" ht="15" hidden="false" customHeight="false" outlineLevel="0" collapsed="false">
      <c r="A773" s="78" t="str">
        <f aca="false">IF(B773="","",ROW()-6)</f>
        <v/>
      </c>
      <c r="B773" s="90"/>
      <c r="C773" s="91"/>
      <c r="D773" s="91"/>
      <c r="E773" s="80"/>
      <c r="F773" s="92"/>
      <c r="G773" s="79"/>
      <c r="H773" s="82"/>
      <c r="I773" s="93" t="str">
        <f aca="false">IF(B773="","",IFERROR(INDEX('CARNET DE SOUDURE'!$B$7:$B$1506,MATCH(B773,'CARNET DE SOUDURE'!$K$7:$K$1506,0)),IFERROR(INDEX('CARNET DE SOUDURE'!$B$7:$B$1506,MATCH(B773,'CARNET DE SOUDURE'!$M$7:$M$1506,0)),"")))</f>
        <v/>
      </c>
      <c r="J773" s="78" t="str">
        <f aca="false">IF(B773="","",IFERROR(INDEX('CARNET DE SOUDURE'!$E$7:$E$1506,MATCH(B773,'CARNET DE SOUDURE'!$M$7:$M$1506,0)),""))</f>
        <v/>
      </c>
      <c r="K773" s="78" t="str">
        <f aca="false">IF(B773="","",IFERROR(INDEX('CARNET DE SOUDURE'!$E$7:$E$1506,MATCH(B773,'CARNET DE SOUDURE'!$K$7:$K$1506,0)),""))</f>
        <v/>
      </c>
      <c r="L773" s="78" t="str">
        <f aca="false">IF(B773="","",IFERROR(INDEX('CARNET DE SOUDURE'!$D$7:$D$1506,MATCH(B773,'CARNET DE SOUDURE'!$K$7:$K$1506,0)),IFERROR(INDEX('CARNET DE SOUDURE'!$D$7:$D$1506,MATCH(B773,'CARNET DE SOUDURE'!$M$7:$M$1506,0)),"")))</f>
        <v/>
      </c>
      <c r="M773" s="81" t="str">
        <f aca="false">IF(B773="","",IF(OR(J773&lt;&gt;"",K773&lt;&gt;""),"POSÉ EN LIGNE",IF(H773&lt;&gt;"","BARDÉ","EN STOCK")))</f>
        <v/>
      </c>
      <c r="N773" s="79"/>
    </row>
    <row r="774" customFormat="false" ht="15" hidden="false" customHeight="false" outlineLevel="0" collapsed="false">
      <c r="A774" s="78" t="str">
        <f aca="false">IF(B774="","",ROW()-6)</f>
        <v/>
      </c>
      <c r="B774" s="90"/>
      <c r="C774" s="91"/>
      <c r="D774" s="91"/>
      <c r="E774" s="80"/>
      <c r="F774" s="92"/>
      <c r="G774" s="79"/>
      <c r="H774" s="82"/>
      <c r="I774" s="93" t="str">
        <f aca="false">IF(B774="","",IFERROR(INDEX('CARNET DE SOUDURE'!$B$7:$B$1506,MATCH(B774,'CARNET DE SOUDURE'!$K$7:$K$1506,0)),IFERROR(INDEX('CARNET DE SOUDURE'!$B$7:$B$1506,MATCH(B774,'CARNET DE SOUDURE'!$M$7:$M$1506,0)),"")))</f>
        <v/>
      </c>
      <c r="J774" s="78" t="str">
        <f aca="false">IF(B774="","",IFERROR(INDEX('CARNET DE SOUDURE'!$E$7:$E$1506,MATCH(B774,'CARNET DE SOUDURE'!$M$7:$M$1506,0)),""))</f>
        <v/>
      </c>
      <c r="K774" s="78" t="str">
        <f aca="false">IF(B774="","",IFERROR(INDEX('CARNET DE SOUDURE'!$E$7:$E$1506,MATCH(B774,'CARNET DE SOUDURE'!$K$7:$K$1506,0)),""))</f>
        <v/>
      </c>
      <c r="L774" s="78" t="str">
        <f aca="false">IF(B774="","",IFERROR(INDEX('CARNET DE SOUDURE'!$D$7:$D$1506,MATCH(B774,'CARNET DE SOUDURE'!$K$7:$K$1506,0)),IFERROR(INDEX('CARNET DE SOUDURE'!$D$7:$D$1506,MATCH(B774,'CARNET DE SOUDURE'!$M$7:$M$1506,0)),"")))</f>
        <v/>
      </c>
      <c r="M774" s="81" t="str">
        <f aca="false">IF(B774="","",IF(OR(J774&lt;&gt;"",K774&lt;&gt;""),"POSÉ EN LIGNE",IF(H774&lt;&gt;"","BARDÉ","EN STOCK")))</f>
        <v/>
      </c>
      <c r="N774" s="79"/>
    </row>
    <row r="775" customFormat="false" ht="15" hidden="false" customHeight="false" outlineLevel="0" collapsed="false">
      <c r="A775" s="78" t="str">
        <f aca="false">IF(B775="","",ROW()-6)</f>
        <v/>
      </c>
      <c r="B775" s="90"/>
      <c r="C775" s="91"/>
      <c r="D775" s="91"/>
      <c r="E775" s="80"/>
      <c r="F775" s="92"/>
      <c r="G775" s="79"/>
      <c r="H775" s="82"/>
      <c r="I775" s="93" t="str">
        <f aca="false">IF(B775="","",IFERROR(INDEX('CARNET DE SOUDURE'!$B$7:$B$1506,MATCH(B775,'CARNET DE SOUDURE'!$K$7:$K$1506,0)),IFERROR(INDEX('CARNET DE SOUDURE'!$B$7:$B$1506,MATCH(B775,'CARNET DE SOUDURE'!$M$7:$M$1506,0)),"")))</f>
        <v/>
      </c>
      <c r="J775" s="78" t="str">
        <f aca="false">IF(B775="","",IFERROR(INDEX('CARNET DE SOUDURE'!$E$7:$E$1506,MATCH(B775,'CARNET DE SOUDURE'!$M$7:$M$1506,0)),""))</f>
        <v/>
      </c>
      <c r="K775" s="78" t="str">
        <f aca="false">IF(B775="","",IFERROR(INDEX('CARNET DE SOUDURE'!$E$7:$E$1506,MATCH(B775,'CARNET DE SOUDURE'!$K$7:$K$1506,0)),""))</f>
        <v/>
      </c>
      <c r="L775" s="78" t="str">
        <f aca="false">IF(B775="","",IFERROR(INDEX('CARNET DE SOUDURE'!$D$7:$D$1506,MATCH(B775,'CARNET DE SOUDURE'!$K$7:$K$1506,0)),IFERROR(INDEX('CARNET DE SOUDURE'!$D$7:$D$1506,MATCH(B775,'CARNET DE SOUDURE'!$M$7:$M$1506,0)),"")))</f>
        <v/>
      </c>
      <c r="M775" s="81" t="str">
        <f aca="false">IF(B775="","",IF(OR(J775&lt;&gt;"",K775&lt;&gt;""),"POSÉ EN LIGNE",IF(H775&lt;&gt;"","BARDÉ","EN STOCK")))</f>
        <v/>
      </c>
      <c r="N775" s="79"/>
    </row>
    <row r="776" customFormat="false" ht="15" hidden="false" customHeight="false" outlineLevel="0" collapsed="false">
      <c r="A776" s="78" t="str">
        <f aca="false">IF(B776="","",ROW()-6)</f>
        <v/>
      </c>
      <c r="B776" s="90"/>
      <c r="C776" s="91"/>
      <c r="D776" s="91"/>
      <c r="E776" s="80"/>
      <c r="F776" s="92"/>
      <c r="G776" s="79"/>
      <c r="H776" s="82"/>
      <c r="I776" s="93" t="str">
        <f aca="false">IF(B776="","",IFERROR(INDEX('CARNET DE SOUDURE'!$B$7:$B$1506,MATCH(B776,'CARNET DE SOUDURE'!$K$7:$K$1506,0)),IFERROR(INDEX('CARNET DE SOUDURE'!$B$7:$B$1506,MATCH(B776,'CARNET DE SOUDURE'!$M$7:$M$1506,0)),"")))</f>
        <v/>
      </c>
      <c r="J776" s="78" t="str">
        <f aca="false">IF(B776="","",IFERROR(INDEX('CARNET DE SOUDURE'!$E$7:$E$1506,MATCH(B776,'CARNET DE SOUDURE'!$M$7:$M$1506,0)),""))</f>
        <v/>
      </c>
      <c r="K776" s="78" t="str">
        <f aca="false">IF(B776="","",IFERROR(INDEX('CARNET DE SOUDURE'!$E$7:$E$1506,MATCH(B776,'CARNET DE SOUDURE'!$K$7:$K$1506,0)),""))</f>
        <v/>
      </c>
      <c r="L776" s="78" t="str">
        <f aca="false">IF(B776="","",IFERROR(INDEX('CARNET DE SOUDURE'!$D$7:$D$1506,MATCH(B776,'CARNET DE SOUDURE'!$K$7:$K$1506,0)),IFERROR(INDEX('CARNET DE SOUDURE'!$D$7:$D$1506,MATCH(B776,'CARNET DE SOUDURE'!$M$7:$M$1506,0)),"")))</f>
        <v/>
      </c>
      <c r="M776" s="81" t="str">
        <f aca="false">IF(B776="","",IF(OR(J776&lt;&gt;"",K776&lt;&gt;""),"POSÉ EN LIGNE",IF(H776&lt;&gt;"","BARDÉ","EN STOCK")))</f>
        <v/>
      </c>
      <c r="N776" s="79"/>
    </row>
    <row r="777" customFormat="false" ht="15" hidden="false" customHeight="false" outlineLevel="0" collapsed="false">
      <c r="A777" s="78" t="str">
        <f aca="false">IF(B777="","",ROW()-6)</f>
        <v/>
      </c>
      <c r="B777" s="90"/>
      <c r="C777" s="91"/>
      <c r="D777" s="91"/>
      <c r="E777" s="80"/>
      <c r="F777" s="92"/>
      <c r="G777" s="79"/>
      <c r="H777" s="82"/>
      <c r="I777" s="93" t="str">
        <f aca="false">IF(B777="","",IFERROR(INDEX('CARNET DE SOUDURE'!$B$7:$B$1506,MATCH(B777,'CARNET DE SOUDURE'!$K$7:$K$1506,0)),IFERROR(INDEX('CARNET DE SOUDURE'!$B$7:$B$1506,MATCH(B777,'CARNET DE SOUDURE'!$M$7:$M$1506,0)),"")))</f>
        <v/>
      </c>
      <c r="J777" s="78" t="str">
        <f aca="false">IF(B777="","",IFERROR(INDEX('CARNET DE SOUDURE'!$E$7:$E$1506,MATCH(B777,'CARNET DE SOUDURE'!$M$7:$M$1506,0)),""))</f>
        <v/>
      </c>
      <c r="K777" s="78" t="str">
        <f aca="false">IF(B777="","",IFERROR(INDEX('CARNET DE SOUDURE'!$E$7:$E$1506,MATCH(B777,'CARNET DE SOUDURE'!$K$7:$K$1506,0)),""))</f>
        <v/>
      </c>
      <c r="L777" s="78" t="str">
        <f aca="false">IF(B777="","",IFERROR(INDEX('CARNET DE SOUDURE'!$D$7:$D$1506,MATCH(B777,'CARNET DE SOUDURE'!$K$7:$K$1506,0)),IFERROR(INDEX('CARNET DE SOUDURE'!$D$7:$D$1506,MATCH(B777,'CARNET DE SOUDURE'!$M$7:$M$1506,0)),"")))</f>
        <v/>
      </c>
      <c r="M777" s="81" t="str">
        <f aca="false">IF(B777="","",IF(OR(J777&lt;&gt;"",K777&lt;&gt;""),"POSÉ EN LIGNE",IF(H777&lt;&gt;"","BARDÉ","EN STOCK")))</f>
        <v/>
      </c>
      <c r="N777" s="79"/>
    </row>
    <row r="778" customFormat="false" ht="15" hidden="false" customHeight="false" outlineLevel="0" collapsed="false">
      <c r="A778" s="78" t="str">
        <f aca="false">IF(B778="","",ROW()-6)</f>
        <v/>
      </c>
      <c r="B778" s="90"/>
      <c r="C778" s="91"/>
      <c r="D778" s="91"/>
      <c r="E778" s="80"/>
      <c r="F778" s="92"/>
      <c r="G778" s="79"/>
      <c r="H778" s="82"/>
      <c r="I778" s="93" t="str">
        <f aca="false">IF(B778="","",IFERROR(INDEX('CARNET DE SOUDURE'!$B$7:$B$1506,MATCH(B778,'CARNET DE SOUDURE'!$K$7:$K$1506,0)),IFERROR(INDEX('CARNET DE SOUDURE'!$B$7:$B$1506,MATCH(B778,'CARNET DE SOUDURE'!$M$7:$M$1506,0)),"")))</f>
        <v/>
      </c>
      <c r="J778" s="78" t="str">
        <f aca="false">IF(B778="","",IFERROR(INDEX('CARNET DE SOUDURE'!$E$7:$E$1506,MATCH(B778,'CARNET DE SOUDURE'!$M$7:$M$1506,0)),""))</f>
        <v/>
      </c>
      <c r="K778" s="78" t="str">
        <f aca="false">IF(B778="","",IFERROR(INDEX('CARNET DE SOUDURE'!$E$7:$E$1506,MATCH(B778,'CARNET DE SOUDURE'!$K$7:$K$1506,0)),""))</f>
        <v/>
      </c>
      <c r="L778" s="78" t="str">
        <f aca="false">IF(B778="","",IFERROR(INDEX('CARNET DE SOUDURE'!$D$7:$D$1506,MATCH(B778,'CARNET DE SOUDURE'!$K$7:$K$1506,0)),IFERROR(INDEX('CARNET DE SOUDURE'!$D$7:$D$1506,MATCH(B778,'CARNET DE SOUDURE'!$M$7:$M$1506,0)),"")))</f>
        <v/>
      </c>
      <c r="M778" s="81" t="str">
        <f aca="false">IF(B778="","",IF(OR(J778&lt;&gt;"",K778&lt;&gt;""),"POSÉ EN LIGNE",IF(H778&lt;&gt;"","BARDÉ","EN STOCK")))</f>
        <v/>
      </c>
      <c r="N778" s="79"/>
    </row>
    <row r="779" customFormat="false" ht="15" hidden="false" customHeight="false" outlineLevel="0" collapsed="false">
      <c r="A779" s="78" t="str">
        <f aca="false">IF(B779="","",ROW()-6)</f>
        <v/>
      </c>
      <c r="B779" s="90"/>
      <c r="C779" s="91"/>
      <c r="D779" s="91"/>
      <c r="E779" s="80"/>
      <c r="F779" s="92"/>
      <c r="G779" s="79"/>
      <c r="H779" s="82"/>
      <c r="I779" s="93" t="str">
        <f aca="false">IF(B779="","",IFERROR(INDEX('CARNET DE SOUDURE'!$B$7:$B$1506,MATCH(B779,'CARNET DE SOUDURE'!$K$7:$K$1506,0)),IFERROR(INDEX('CARNET DE SOUDURE'!$B$7:$B$1506,MATCH(B779,'CARNET DE SOUDURE'!$M$7:$M$1506,0)),"")))</f>
        <v/>
      </c>
      <c r="J779" s="78" t="str">
        <f aca="false">IF(B779="","",IFERROR(INDEX('CARNET DE SOUDURE'!$E$7:$E$1506,MATCH(B779,'CARNET DE SOUDURE'!$M$7:$M$1506,0)),""))</f>
        <v/>
      </c>
      <c r="K779" s="78" t="str">
        <f aca="false">IF(B779="","",IFERROR(INDEX('CARNET DE SOUDURE'!$E$7:$E$1506,MATCH(B779,'CARNET DE SOUDURE'!$K$7:$K$1506,0)),""))</f>
        <v/>
      </c>
      <c r="L779" s="78" t="str">
        <f aca="false">IF(B779="","",IFERROR(INDEX('CARNET DE SOUDURE'!$D$7:$D$1506,MATCH(B779,'CARNET DE SOUDURE'!$K$7:$K$1506,0)),IFERROR(INDEX('CARNET DE SOUDURE'!$D$7:$D$1506,MATCH(B779,'CARNET DE SOUDURE'!$M$7:$M$1506,0)),"")))</f>
        <v/>
      </c>
      <c r="M779" s="81" t="str">
        <f aca="false">IF(B779="","",IF(OR(J779&lt;&gt;"",K779&lt;&gt;""),"POSÉ EN LIGNE",IF(H779&lt;&gt;"","BARDÉ","EN STOCK")))</f>
        <v/>
      </c>
      <c r="N779" s="79"/>
    </row>
    <row r="780" customFormat="false" ht="15" hidden="false" customHeight="false" outlineLevel="0" collapsed="false">
      <c r="A780" s="78" t="str">
        <f aca="false">IF(B780="","",ROW()-6)</f>
        <v/>
      </c>
      <c r="B780" s="90"/>
      <c r="C780" s="91"/>
      <c r="D780" s="91"/>
      <c r="E780" s="80"/>
      <c r="F780" s="92"/>
      <c r="G780" s="79"/>
      <c r="H780" s="82"/>
      <c r="I780" s="93" t="str">
        <f aca="false">IF(B780="","",IFERROR(INDEX('CARNET DE SOUDURE'!$B$7:$B$1506,MATCH(B780,'CARNET DE SOUDURE'!$K$7:$K$1506,0)),IFERROR(INDEX('CARNET DE SOUDURE'!$B$7:$B$1506,MATCH(B780,'CARNET DE SOUDURE'!$M$7:$M$1506,0)),"")))</f>
        <v/>
      </c>
      <c r="J780" s="78" t="str">
        <f aca="false">IF(B780="","",IFERROR(INDEX('CARNET DE SOUDURE'!$E$7:$E$1506,MATCH(B780,'CARNET DE SOUDURE'!$M$7:$M$1506,0)),""))</f>
        <v/>
      </c>
      <c r="K780" s="78" t="str">
        <f aca="false">IF(B780="","",IFERROR(INDEX('CARNET DE SOUDURE'!$E$7:$E$1506,MATCH(B780,'CARNET DE SOUDURE'!$K$7:$K$1506,0)),""))</f>
        <v/>
      </c>
      <c r="L780" s="78" t="str">
        <f aca="false">IF(B780="","",IFERROR(INDEX('CARNET DE SOUDURE'!$D$7:$D$1506,MATCH(B780,'CARNET DE SOUDURE'!$K$7:$K$1506,0)),IFERROR(INDEX('CARNET DE SOUDURE'!$D$7:$D$1506,MATCH(B780,'CARNET DE SOUDURE'!$M$7:$M$1506,0)),"")))</f>
        <v/>
      </c>
      <c r="M780" s="81" t="str">
        <f aca="false">IF(B780="","",IF(OR(J780&lt;&gt;"",K780&lt;&gt;""),"POSÉ EN LIGNE",IF(H780&lt;&gt;"","BARDÉ","EN STOCK")))</f>
        <v/>
      </c>
      <c r="N780" s="79"/>
    </row>
    <row r="781" customFormat="false" ht="15" hidden="false" customHeight="false" outlineLevel="0" collapsed="false">
      <c r="A781" s="78" t="str">
        <f aca="false">IF(B781="","",ROW()-6)</f>
        <v/>
      </c>
      <c r="B781" s="90"/>
      <c r="C781" s="91"/>
      <c r="D781" s="91"/>
      <c r="E781" s="80"/>
      <c r="F781" s="92"/>
      <c r="G781" s="79"/>
      <c r="H781" s="82"/>
      <c r="I781" s="93" t="str">
        <f aca="false">IF(B781="","",IFERROR(INDEX('CARNET DE SOUDURE'!$B$7:$B$1506,MATCH(B781,'CARNET DE SOUDURE'!$K$7:$K$1506,0)),IFERROR(INDEX('CARNET DE SOUDURE'!$B$7:$B$1506,MATCH(B781,'CARNET DE SOUDURE'!$M$7:$M$1506,0)),"")))</f>
        <v/>
      </c>
      <c r="J781" s="78" t="str">
        <f aca="false">IF(B781="","",IFERROR(INDEX('CARNET DE SOUDURE'!$E$7:$E$1506,MATCH(B781,'CARNET DE SOUDURE'!$M$7:$M$1506,0)),""))</f>
        <v/>
      </c>
      <c r="K781" s="78" t="str">
        <f aca="false">IF(B781="","",IFERROR(INDEX('CARNET DE SOUDURE'!$E$7:$E$1506,MATCH(B781,'CARNET DE SOUDURE'!$K$7:$K$1506,0)),""))</f>
        <v/>
      </c>
      <c r="L781" s="78" t="str">
        <f aca="false">IF(B781="","",IFERROR(INDEX('CARNET DE SOUDURE'!$D$7:$D$1506,MATCH(B781,'CARNET DE SOUDURE'!$K$7:$K$1506,0)),IFERROR(INDEX('CARNET DE SOUDURE'!$D$7:$D$1506,MATCH(B781,'CARNET DE SOUDURE'!$M$7:$M$1506,0)),"")))</f>
        <v/>
      </c>
      <c r="M781" s="81" t="str">
        <f aca="false">IF(B781="","",IF(OR(J781&lt;&gt;"",K781&lt;&gt;""),"POSÉ EN LIGNE",IF(H781&lt;&gt;"","BARDÉ","EN STOCK")))</f>
        <v/>
      </c>
      <c r="N781" s="79"/>
    </row>
    <row r="782" customFormat="false" ht="15" hidden="false" customHeight="false" outlineLevel="0" collapsed="false">
      <c r="A782" s="78" t="str">
        <f aca="false">IF(B782="","",ROW()-6)</f>
        <v/>
      </c>
      <c r="B782" s="90"/>
      <c r="C782" s="91"/>
      <c r="D782" s="91"/>
      <c r="E782" s="80"/>
      <c r="F782" s="92"/>
      <c r="G782" s="79"/>
      <c r="H782" s="82"/>
      <c r="I782" s="93" t="str">
        <f aca="false">IF(B782="","",IFERROR(INDEX('CARNET DE SOUDURE'!$B$7:$B$1506,MATCH(B782,'CARNET DE SOUDURE'!$K$7:$K$1506,0)),IFERROR(INDEX('CARNET DE SOUDURE'!$B$7:$B$1506,MATCH(B782,'CARNET DE SOUDURE'!$M$7:$M$1506,0)),"")))</f>
        <v/>
      </c>
      <c r="J782" s="78" t="str">
        <f aca="false">IF(B782="","",IFERROR(INDEX('CARNET DE SOUDURE'!$E$7:$E$1506,MATCH(B782,'CARNET DE SOUDURE'!$M$7:$M$1506,0)),""))</f>
        <v/>
      </c>
      <c r="K782" s="78" t="str">
        <f aca="false">IF(B782="","",IFERROR(INDEX('CARNET DE SOUDURE'!$E$7:$E$1506,MATCH(B782,'CARNET DE SOUDURE'!$K$7:$K$1506,0)),""))</f>
        <v/>
      </c>
      <c r="L782" s="78" t="str">
        <f aca="false">IF(B782="","",IFERROR(INDEX('CARNET DE SOUDURE'!$D$7:$D$1506,MATCH(B782,'CARNET DE SOUDURE'!$K$7:$K$1506,0)),IFERROR(INDEX('CARNET DE SOUDURE'!$D$7:$D$1506,MATCH(B782,'CARNET DE SOUDURE'!$M$7:$M$1506,0)),"")))</f>
        <v/>
      </c>
      <c r="M782" s="81" t="str">
        <f aca="false">IF(B782="","",IF(OR(J782&lt;&gt;"",K782&lt;&gt;""),"POSÉ EN LIGNE",IF(H782&lt;&gt;"","BARDÉ","EN STOCK")))</f>
        <v/>
      </c>
      <c r="N782" s="79"/>
    </row>
    <row r="783" customFormat="false" ht="15" hidden="false" customHeight="false" outlineLevel="0" collapsed="false">
      <c r="A783" s="78" t="str">
        <f aca="false">IF(B783="","",ROW()-6)</f>
        <v/>
      </c>
      <c r="B783" s="90"/>
      <c r="C783" s="91"/>
      <c r="D783" s="91"/>
      <c r="E783" s="80"/>
      <c r="F783" s="92"/>
      <c r="G783" s="79"/>
      <c r="H783" s="82"/>
      <c r="I783" s="93" t="str">
        <f aca="false">IF(B783="","",IFERROR(INDEX('CARNET DE SOUDURE'!$B$7:$B$1506,MATCH(B783,'CARNET DE SOUDURE'!$K$7:$K$1506,0)),IFERROR(INDEX('CARNET DE SOUDURE'!$B$7:$B$1506,MATCH(B783,'CARNET DE SOUDURE'!$M$7:$M$1506,0)),"")))</f>
        <v/>
      </c>
      <c r="J783" s="78" t="str">
        <f aca="false">IF(B783="","",IFERROR(INDEX('CARNET DE SOUDURE'!$E$7:$E$1506,MATCH(B783,'CARNET DE SOUDURE'!$M$7:$M$1506,0)),""))</f>
        <v/>
      </c>
      <c r="K783" s="78" t="str">
        <f aca="false">IF(B783="","",IFERROR(INDEX('CARNET DE SOUDURE'!$E$7:$E$1506,MATCH(B783,'CARNET DE SOUDURE'!$K$7:$K$1506,0)),""))</f>
        <v/>
      </c>
      <c r="L783" s="78" t="str">
        <f aca="false">IF(B783="","",IFERROR(INDEX('CARNET DE SOUDURE'!$D$7:$D$1506,MATCH(B783,'CARNET DE SOUDURE'!$K$7:$K$1506,0)),IFERROR(INDEX('CARNET DE SOUDURE'!$D$7:$D$1506,MATCH(B783,'CARNET DE SOUDURE'!$M$7:$M$1506,0)),"")))</f>
        <v/>
      </c>
      <c r="M783" s="81" t="str">
        <f aca="false">IF(B783="","",IF(OR(J783&lt;&gt;"",K783&lt;&gt;""),"POSÉ EN LIGNE",IF(H783&lt;&gt;"","BARDÉ","EN STOCK")))</f>
        <v/>
      </c>
      <c r="N783" s="79"/>
    </row>
    <row r="784" customFormat="false" ht="15" hidden="false" customHeight="false" outlineLevel="0" collapsed="false">
      <c r="A784" s="78" t="str">
        <f aca="false">IF(B784="","",ROW()-6)</f>
        <v/>
      </c>
      <c r="B784" s="90"/>
      <c r="C784" s="91"/>
      <c r="D784" s="91"/>
      <c r="E784" s="80"/>
      <c r="F784" s="92"/>
      <c r="G784" s="79"/>
      <c r="H784" s="82"/>
      <c r="I784" s="93" t="str">
        <f aca="false">IF(B784="","",IFERROR(INDEX('CARNET DE SOUDURE'!$B$7:$B$1506,MATCH(B784,'CARNET DE SOUDURE'!$K$7:$K$1506,0)),IFERROR(INDEX('CARNET DE SOUDURE'!$B$7:$B$1506,MATCH(B784,'CARNET DE SOUDURE'!$M$7:$M$1506,0)),"")))</f>
        <v/>
      </c>
      <c r="J784" s="78" t="str">
        <f aca="false">IF(B784="","",IFERROR(INDEX('CARNET DE SOUDURE'!$E$7:$E$1506,MATCH(B784,'CARNET DE SOUDURE'!$M$7:$M$1506,0)),""))</f>
        <v/>
      </c>
      <c r="K784" s="78" t="str">
        <f aca="false">IF(B784="","",IFERROR(INDEX('CARNET DE SOUDURE'!$E$7:$E$1506,MATCH(B784,'CARNET DE SOUDURE'!$K$7:$K$1506,0)),""))</f>
        <v/>
      </c>
      <c r="L784" s="78" t="str">
        <f aca="false">IF(B784="","",IFERROR(INDEX('CARNET DE SOUDURE'!$D$7:$D$1506,MATCH(B784,'CARNET DE SOUDURE'!$K$7:$K$1506,0)),IFERROR(INDEX('CARNET DE SOUDURE'!$D$7:$D$1506,MATCH(B784,'CARNET DE SOUDURE'!$M$7:$M$1506,0)),"")))</f>
        <v/>
      </c>
      <c r="M784" s="81" t="str">
        <f aca="false">IF(B784="","",IF(OR(J784&lt;&gt;"",K784&lt;&gt;""),"POSÉ EN LIGNE",IF(H784&lt;&gt;"","BARDÉ","EN STOCK")))</f>
        <v/>
      </c>
      <c r="N784" s="79"/>
    </row>
    <row r="785" customFormat="false" ht="15" hidden="false" customHeight="false" outlineLevel="0" collapsed="false">
      <c r="A785" s="78" t="str">
        <f aca="false">IF(B785="","",ROW()-6)</f>
        <v/>
      </c>
      <c r="B785" s="90"/>
      <c r="C785" s="91"/>
      <c r="D785" s="91"/>
      <c r="E785" s="80"/>
      <c r="F785" s="92"/>
      <c r="G785" s="79"/>
      <c r="H785" s="82"/>
      <c r="I785" s="93" t="str">
        <f aca="false">IF(B785="","",IFERROR(INDEX('CARNET DE SOUDURE'!$B$7:$B$1506,MATCH(B785,'CARNET DE SOUDURE'!$K$7:$K$1506,0)),IFERROR(INDEX('CARNET DE SOUDURE'!$B$7:$B$1506,MATCH(B785,'CARNET DE SOUDURE'!$M$7:$M$1506,0)),"")))</f>
        <v/>
      </c>
      <c r="J785" s="78" t="str">
        <f aca="false">IF(B785="","",IFERROR(INDEX('CARNET DE SOUDURE'!$E$7:$E$1506,MATCH(B785,'CARNET DE SOUDURE'!$M$7:$M$1506,0)),""))</f>
        <v/>
      </c>
      <c r="K785" s="78" t="str">
        <f aca="false">IF(B785="","",IFERROR(INDEX('CARNET DE SOUDURE'!$E$7:$E$1506,MATCH(B785,'CARNET DE SOUDURE'!$K$7:$K$1506,0)),""))</f>
        <v/>
      </c>
      <c r="L785" s="78" t="str">
        <f aca="false">IF(B785="","",IFERROR(INDEX('CARNET DE SOUDURE'!$D$7:$D$1506,MATCH(B785,'CARNET DE SOUDURE'!$K$7:$K$1506,0)),IFERROR(INDEX('CARNET DE SOUDURE'!$D$7:$D$1506,MATCH(B785,'CARNET DE SOUDURE'!$M$7:$M$1506,0)),"")))</f>
        <v/>
      </c>
      <c r="M785" s="81" t="str">
        <f aca="false">IF(B785="","",IF(OR(J785&lt;&gt;"",K785&lt;&gt;""),"POSÉ EN LIGNE",IF(H785&lt;&gt;"","BARDÉ","EN STOCK")))</f>
        <v/>
      </c>
      <c r="N785" s="79"/>
    </row>
    <row r="786" customFormat="false" ht="15" hidden="false" customHeight="false" outlineLevel="0" collapsed="false">
      <c r="A786" s="78" t="str">
        <f aca="false">IF(B786="","",ROW()-6)</f>
        <v/>
      </c>
      <c r="B786" s="90"/>
      <c r="C786" s="91"/>
      <c r="D786" s="91"/>
      <c r="E786" s="80"/>
      <c r="F786" s="92"/>
      <c r="G786" s="79"/>
      <c r="H786" s="82"/>
      <c r="I786" s="93" t="str">
        <f aca="false">IF(B786="","",IFERROR(INDEX('CARNET DE SOUDURE'!$B$7:$B$1506,MATCH(B786,'CARNET DE SOUDURE'!$K$7:$K$1506,0)),IFERROR(INDEX('CARNET DE SOUDURE'!$B$7:$B$1506,MATCH(B786,'CARNET DE SOUDURE'!$M$7:$M$1506,0)),"")))</f>
        <v/>
      </c>
      <c r="J786" s="78" t="str">
        <f aca="false">IF(B786="","",IFERROR(INDEX('CARNET DE SOUDURE'!$E$7:$E$1506,MATCH(B786,'CARNET DE SOUDURE'!$M$7:$M$1506,0)),""))</f>
        <v/>
      </c>
      <c r="K786" s="78" t="str">
        <f aca="false">IF(B786="","",IFERROR(INDEX('CARNET DE SOUDURE'!$E$7:$E$1506,MATCH(B786,'CARNET DE SOUDURE'!$K$7:$K$1506,0)),""))</f>
        <v/>
      </c>
      <c r="L786" s="78" t="str">
        <f aca="false">IF(B786="","",IFERROR(INDEX('CARNET DE SOUDURE'!$D$7:$D$1506,MATCH(B786,'CARNET DE SOUDURE'!$K$7:$K$1506,0)),IFERROR(INDEX('CARNET DE SOUDURE'!$D$7:$D$1506,MATCH(B786,'CARNET DE SOUDURE'!$M$7:$M$1506,0)),"")))</f>
        <v/>
      </c>
      <c r="M786" s="81" t="str">
        <f aca="false">IF(B786="","",IF(OR(J786&lt;&gt;"",K786&lt;&gt;""),"POSÉ EN LIGNE",IF(H786&lt;&gt;"","BARDÉ","EN STOCK")))</f>
        <v/>
      </c>
      <c r="N786" s="79"/>
    </row>
    <row r="787" customFormat="false" ht="15" hidden="false" customHeight="false" outlineLevel="0" collapsed="false">
      <c r="A787" s="78" t="str">
        <f aca="false">IF(B787="","",ROW()-6)</f>
        <v/>
      </c>
      <c r="B787" s="90"/>
      <c r="C787" s="91"/>
      <c r="D787" s="91"/>
      <c r="E787" s="80"/>
      <c r="F787" s="92"/>
      <c r="G787" s="79"/>
      <c r="H787" s="82"/>
      <c r="I787" s="93" t="str">
        <f aca="false">IF(B787="","",IFERROR(INDEX('CARNET DE SOUDURE'!$B$7:$B$1506,MATCH(B787,'CARNET DE SOUDURE'!$K$7:$K$1506,0)),IFERROR(INDEX('CARNET DE SOUDURE'!$B$7:$B$1506,MATCH(B787,'CARNET DE SOUDURE'!$M$7:$M$1506,0)),"")))</f>
        <v/>
      </c>
      <c r="J787" s="78" t="str">
        <f aca="false">IF(B787="","",IFERROR(INDEX('CARNET DE SOUDURE'!$E$7:$E$1506,MATCH(B787,'CARNET DE SOUDURE'!$M$7:$M$1506,0)),""))</f>
        <v/>
      </c>
      <c r="K787" s="78" t="str">
        <f aca="false">IF(B787="","",IFERROR(INDEX('CARNET DE SOUDURE'!$E$7:$E$1506,MATCH(B787,'CARNET DE SOUDURE'!$K$7:$K$1506,0)),""))</f>
        <v/>
      </c>
      <c r="L787" s="78" t="str">
        <f aca="false">IF(B787="","",IFERROR(INDEX('CARNET DE SOUDURE'!$D$7:$D$1506,MATCH(B787,'CARNET DE SOUDURE'!$K$7:$K$1506,0)),IFERROR(INDEX('CARNET DE SOUDURE'!$D$7:$D$1506,MATCH(B787,'CARNET DE SOUDURE'!$M$7:$M$1506,0)),"")))</f>
        <v/>
      </c>
      <c r="M787" s="81" t="str">
        <f aca="false">IF(B787="","",IF(OR(J787&lt;&gt;"",K787&lt;&gt;""),"POSÉ EN LIGNE",IF(H787&lt;&gt;"","BARDÉ","EN STOCK")))</f>
        <v/>
      </c>
      <c r="N787" s="79"/>
    </row>
    <row r="788" customFormat="false" ht="15" hidden="false" customHeight="false" outlineLevel="0" collapsed="false">
      <c r="A788" s="78" t="str">
        <f aca="false">IF(B788="","",ROW()-6)</f>
        <v/>
      </c>
      <c r="B788" s="90"/>
      <c r="C788" s="91"/>
      <c r="D788" s="91"/>
      <c r="E788" s="80"/>
      <c r="F788" s="92"/>
      <c r="G788" s="79"/>
      <c r="H788" s="82"/>
      <c r="I788" s="93" t="str">
        <f aca="false">IF(B788="","",IFERROR(INDEX('CARNET DE SOUDURE'!$B$7:$B$1506,MATCH(B788,'CARNET DE SOUDURE'!$K$7:$K$1506,0)),IFERROR(INDEX('CARNET DE SOUDURE'!$B$7:$B$1506,MATCH(B788,'CARNET DE SOUDURE'!$M$7:$M$1506,0)),"")))</f>
        <v/>
      </c>
      <c r="J788" s="78" t="str">
        <f aca="false">IF(B788="","",IFERROR(INDEX('CARNET DE SOUDURE'!$E$7:$E$1506,MATCH(B788,'CARNET DE SOUDURE'!$M$7:$M$1506,0)),""))</f>
        <v/>
      </c>
      <c r="K788" s="78" t="str">
        <f aca="false">IF(B788="","",IFERROR(INDEX('CARNET DE SOUDURE'!$E$7:$E$1506,MATCH(B788,'CARNET DE SOUDURE'!$K$7:$K$1506,0)),""))</f>
        <v/>
      </c>
      <c r="L788" s="78" t="str">
        <f aca="false">IF(B788="","",IFERROR(INDEX('CARNET DE SOUDURE'!$D$7:$D$1506,MATCH(B788,'CARNET DE SOUDURE'!$K$7:$K$1506,0)),IFERROR(INDEX('CARNET DE SOUDURE'!$D$7:$D$1506,MATCH(B788,'CARNET DE SOUDURE'!$M$7:$M$1506,0)),"")))</f>
        <v/>
      </c>
      <c r="M788" s="81" t="str">
        <f aca="false">IF(B788="","",IF(OR(J788&lt;&gt;"",K788&lt;&gt;""),"POSÉ EN LIGNE",IF(H788&lt;&gt;"","BARDÉ","EN STOCK")))</f>
        <v/>
      </c>
      <c r="N788" s="79"/>
    </row>
    <row r="789" customFormat="false" ht="15" hidden="false" customHeight="false" outlineLevel="0" collapsed="false">
      <c r="A789" s="78" t="str">
        <f aca="false">IF(B789="","",ROW()-6)</f>
        <v/>
      </c>
      <c r="B789" s="90"/>
      <c r="C789" s="91"/>
      <c r="D789" s="91"/>
      <c r="E789" s="80"/>
      <c r="F789" s="92"/>
      <c r="G789" s="79"/>
      <c r="H789" s="82"/>
      <c r="I789" s="93" t="str">
        <f aca="false">IF(B789="","",IFERROR(INDEX('CARNET DE SOUDURE'!$B$7:$B$1506,MATCH(B789,'CARNET DE SOUDURE'!$K$7:$K$1506,0)),IFERROR(INDEX('CARNET DE SOUDURE'!$B$7:$B$1506,MATCH(B789,'CARNET DE SOUDURE'!$M$7:$M$1506,0)),"")))</f>
        <v/>
      </c>
      <c r="J789" s="78" t="str">
        <f aca="false">IF(B789="","",IFERROR(INDEX('CARNET DE SOUDURE'!$E$7:$E$1506,MATCH(B789,'CARNET DE SOUDURE'!$M$7:$M$1506,0)),""))</f>
        <v/>
      </c>
      <c r="K789" s="78" t="str">
        <f aca="false">IF(B789="","",IFERROR(INDEX('CARNET DE SOUDURE'!$E$7:$E$1506,MATCH(B789,'CARNET DE SOUDURE'!$K$7:$K$1506,0)),""))</f>
        <v/>
      </c>
      <c r="L789" s="78" t="str">
        <f aca="false">IF(B789="","",IFERROR(INDEX('CARNET DE SOUDURE'!$D$7:$D$1506,MATCH(B789,'CARNET DE SOUDURE'!$K$7:$K$1506,0)),IFERROR(INDEX('CARNET DE SOUDURE'!$D$7:$D$1506,MATCH(B789,'CARNET DE SOUDURE'!$M$7:$M$1506,0)),"")))</f>
        <v/>
      </c>
      <c r="M789" s="81" t="str">
        <f aca="false">IF(B789="","",IF(OR(J789&lt;&gt;"",K789&lt;&gt;""),"POSÉ EN LIGNE",IF(H789&lt;&gt;"","BARDÉ","EN STOCK")))</f>
        <v/>
      </c>
      <c r="N789" s="79"/>
    </row>
    <row r="790" customFormat="false" ht="15" hidden="false" customHeight="false" outlineLevel="0" collapsed="false">
      <c r="A790" s="78" t="str">
        <f aca="false">IF(B790="","",ROW()-6)</f>
        <v/>
      </c>
      <c r="B790" s="90"/>
      <c r="C790" s="91"/>
      <c r="D790" s="91"/>
      <c r="E790" s="80"/>
      <c r="F790" s="92"/>
      <c r="G790" s="79"/>
      <c r="H790" s="82"/>
      <c r="I790" s="93" t="str">
        <f aca="false">IF(B790="","",IFERROR(INDEX('CARNET DE SOUDURE'!$B$7:$B$1506,MATCH(B790,'CARNET DE SOUDURE'!$K$7:$K$1506,0)),IFERROR(INDEX('CARNET DE SOUDURE'!$B$7:$B$1506,MATCH(B790,'CARNET DE SOUDURE'!$M$7:$M$1506,0)),"")))</f>
        <v/>
      </c>
      <c r="J790" s="78" t="str">
        <f aca="false">IF(B790="","",IFERROR(INDEX('CARNET DE SOUDURE'!$E$7:$E$1506,MATCH(B790,'CARNET DE SOUDURE'!$M$7:$M$1506,0)),""))</f>
        <v/>
      </c>
      <c r="K790" s="78" t="str">
        <f aca="false">IF(B790="","",IFERROR(INDEX('CARNET DE SOUDURE'!$E$7:$E$1506,MATCH(B790,'CARNET DE SOUDURE'!$K$7:$K$1506,0)),""))</f>
        <v/>
      </c>
      <c r="L790" s="78" t="str">
        <f aca="false">IF(B790="","",IFERROR(INDEX('CARNET DE SOUDURE'!$D$7:$D$1506,MATCH(B790,'CARNET DE SOUDURE'!$K$7:$K$1506,0)),IFERROR(INDEX('CARNET DE SOUDURE'!$D$7:$D$1506,MATCH(B790,'CARNET DE SOUDURE'!$M$7:$M$1506,0)),"")))</f>
        <v/>
      </c>
      <c r="M790" s="81" t="str">
        <f aca="false">IF(B790="","",IF(OR(J790&lt;&gt;"",K790&lt;&gt;""),"POSÉ EN LIGNE",IF(H790&lt;&gt;"","BARDÉ","EN STOCK")))</f>
        <v/>
      </c>
      <c r="N790" s="79"/>
    </row>
    <row r="791" customFormat="false" ht="15" hidden="false" customHeight="false" outlineLevel="0" collapsed="false">
      <c r="A791" s="78" t="str">
        <f aca="false">IF(B791="","",ROW()-6)</f>
        <v/>
      </c>
      <c r="B791" s="90"/>
      <c r="C791" s="91"/>
      <c r="D791" s="91"/>
      <c r="E791" s="80"/>
      <c r="F791" s="92"/>
      <c r="G791" s="79"/>
      <c r="H791" s="82"/>
      <c r="I791" s="93" t="str">
        <f aca="false">IF(B791="","",IFERROR(INDEX('CARNET DE SOUDURE'!$B$7:$B$1506,MATCH(B791,'CARNET DE SOUDURE'!$K$7:$K$1506,0)),IFERROR(INDEX('CARNET DE SOUDURE'!$B$7:$B$1506,MATCH(B791,'CARNET DE SOUDURE'!$M$7:$M$1506,0)),"")))</f>
        <v/>
      </c>
      <c r="J791" s="78" t="str">
        <f aca="false">IF(B791="","",IFERROR(INDEX('CARNET DE SOUDURE'!$E$7:$E$1506,MATCH(B791,'CARNET DE SOUDURE'!$M$7:$M$1506,0)),""))</f>
        <v/>
      </c>
      <c r="K791" s="78" t="str">
        <f aca="false">IF(B791="","",IFERROR(INDEX('CARNET DE SOUDURE'!$E$7:$E$1506,MATCH(B791,'CARNET DE SOUDURE'!$K$7:$K$1506,0)),""))</f>
        <v/>
      </c>
      <c r="L791" s="78" t="str">
        <f aca="false">IF(B791="","",IFERROR(INDEX('CARNET DE SOUDURE'!$D$7:$D$1506,MATCH(B791,'CARNET DE SOUDURE'!$K$7:$K$1506,0)),IFERROR(INDEX('CARNET DE SOUDURE'!$D$7:$D$1506,MATCH(B791,'CARNET DE SOUDURE'!$M$7:$M$1506,0)),"")))</f>
        <v/>
      </c>
      <c r="M791" s="81" t="str">
        <f aca="false">IF(B791="","",IF(OR(J791&lt;&gt;"",K791&lt;&gt;""),"POSÉ EN LIGNE",IF(H791&lt;&gt;"","BARDÉ","EN STOCK")))</f>
        <v/>
      </c>
      <c r="N791" s="79"/>
    </row>
    <row r="792" customFormat="false" ht="15" hidden="false" customHeight="false" outlineLevel="0" collapsed="false">
      <c r="A792" s="78" t="str">
        <f aca="false">IF(B792="","",ROW()-6)</f>
        <v/>
      </c>
      <c r="B792" s="90"/>
      <c r="C792" s="91"/>
      <c r="D792" s="91"/>
      <c r="E792" s="80"/>
      <c r="F792" s="92"/>
      <c r="G792" s="79"/>
      <c r="H792" s="82"/>
      <c r="I792" s="93" t="str">
        <f aca="false">IF(B792="","",IFERROR(INDEX('CARNET DE SOUDURE'!$B$7:$B$1506,MATCH(B792,'CARNET DE SOUDURE'!$K$7:$K$1506,0)),IFERROR(INDEX('CARNET DE SOUDURE'!$B$7:$B$1506,MATCH(B792,'CARNET DE SOUDURE'!$M$7:$M$1506,0)),"")))</f>
        <v/>
      </c>
      <c r="J792" s="78" t="str">
        <f aca="false">IF(B792="","",IFERROR(INDEX('CARNET DE SOUDURE'!$E$7:$E$1506,MATCH(B792,'CARNET DE SOUDURE'!$M$7:$M$1506,0)),""))</f>
        <v/>
      </c>
      <c r="K792" s="78" t="str">
        <f aca="false">IF(B792="","",IFERROR(INDEX('CARNET DE SOUDURE'!$E$7:$E$1506,MATCH(B792,'CARNET DE SOUDURE'!$K$7:$K$1506,0)),""))</f>
        <v/>
      </c>
      <c r="L792" s="78" t="str">
        <f aca="false">IF(B792="","",IFERROR(INDEX('CARNET DE SOUDURE'!$D$7:$D$1506,MATCH(B792,'CARNET DE SOUDURE'!$K$7:$K$1506,0)),IFERROR(INDEX('CARNET DE SOUDURE'!$D$7:$D$1506,MATCH(B792,'CARNET DE SOUDURE'!$M$7:$M$1506,0)),"")))</f>
        <v/>
      </c>
      <c r="M792" s="81" t="str">
        <f aca="false">IF(B792="","",IF(OR(J792&lt;&gt;"",K792&lt;&gt;""),"POSÉ EN LIGNE",IF(H792&lt;&gt;"","BARDÉ","EN STOCK")))</f>
        <v/>
      </c>
      <c r="N792" s="79"/>
    </row>
    <row r="793" customFormat="false" ht="15" hidden="false" customHeight="false" outlineLevel="0" collapsed="false">
      <c r="A793" s="78" t="str">
        <f aca="false">IF(B793="","",ROW()-6)</f>
        <v/>
      </c>
      <c r="B793" s="90"/>
      <c r="C793" s="91"/>
      <c r="D793" s="91"/>
      <c r="E793" s="80"/>
      <c r="F793" s="92"/>
      <c r="G793" s="79"/>
      <c r="H793" s="82"/>
      <c r="I793" s="93" t="str">
        <f aca="false">IF(B793="","",IFERROR(INDEX('CARNET DE SOUDURE'!$B$7:$B$1506,MATCH(B793,'CARNET DE SOUDURE'!$K$7:$K$1506,0)),IFERROR(INDEX('CARNET DE SOUDURE'!$B$7:$B$1506,MATCH(B793,'CARNET DE SOUDURE'!$M$7:$M$1506,0)),"")))</f>
        <v/>
      </c>
      <c r="J793" s="78" t="str">
        <f aca="false">IF(B793="","",IFERROR(INDEX('CARNET DE SOUDURE'!$E$7:$E$1506,MATCH(B793,'CARNET DE SOUDURE'!$M$7:$M$1506,0)),""))</f>
        <v/>
      </c>
      <c r="K793" s="78" t="str">
        <f aca="false">IF(B793="","",IFERROR(INDEX('CARNET DE SOUDURE'!$E$7:$E$1506,MATCH(B793,'CARNET DE SOUDURE'!$K$7:$K$1506,0)),""))</f>
        <v/>
      </c>
      <c r="L793" s="78" t="str">
        <f aca="false">IF(B793="","",IFERROR(INDEX('CARNET DE SOUDURE'!$D$7:$D$1506,MATCH(B793,'CARNET DE SOUDURE'!$K$7:$K$1506,0)),IFERROR(INDEX('CARNET DE SOUDURE'!$D$7:$D$1506,MATCH(B793,'CARNET DE SOUDURE'!$M$7:$M$1506,0)),"")))</f>
        <v/>
      </c>
      <c r="M793" s="81" t="str">
        <f aca="false">IF(B793="","",IF(OR(J793&lt;&gt;"",K793&lt;&gt;""),"POSÉ EN LIGNE",IF(H793&lt;&gt;"","BARDÉ","EN STOCK")))</f>
        <v/>
      </c>
      <c r="N793" s="79"/>
    </row>
    <row r="794" customFormat="false" ht="15" hidden="false" customHeight="false" outlineLevel="0" collapsed="false">
      <c r="A794" s="78" t="str">
        <f aca="false">IF(B794="","",ROW()-6)</f>
        <v/>
      </c>
      <c r="B794" s="90"/>
      <c r="C794" s="91"/>
      <c r="D794" s="91"/>
      <c r="E794" s="80"/>
      <c r="F794" s="92"/>
      <c r="G794" s="79"/>
      <c r="H794" s="82"/>
      <c r="I794" s="93" t="str">
        <f aca="false">IF(B794="","",IFERROR(INDEX('CARNET DE SOUDURE'!$B$7:$B$1506,MATCH(B794,'CARNET DE SOUDURE'!$K$7:$K$1506,0)),IFERROR(INDEX('CARNET DE SOUDURE'!$B$7:$B$1506,MATCH(B794,'CARNET DE SOUDURE'!$M$7:$M$1506,0)),"")))</f>
        <v/>
      </c>
      <c r="J794" s="78" t="str">
        <f aca="false">IF(B794="","",IFERROR(INDEX('CARNET DE SOUDURE'!$E$7:$E$1506,MATCH(B794,'CARNET DE SOUDURE'!$M$7:$M$1506,0)),""))</f>
        <v/>
      </c>
      <c r="K794" s="78" t="str">
        <f aca="false">IF(B794="","",IFERROR(INDEX('CARNET DE SOUDURE'!$E$7:$E$1506,MATCH(B794,'CARNET DE SOUDURE'!$K$7:$K$1506,0)),""))</f>
        <v/>
      </c>
      <c r="L794" s="78" t="str">
        <f aca="false">IF(B794="","",IFERROR(INDEX('CARNET DE SOUDURE'!$D$7:$D$1506,MATCH(B794,'CARNET DE SOUDURE'!$K$7:$K$1506,0)),IFERROR(INDEX('CARNET DE SOUDURE'!$D$7:$D$1506,MATCH(B794,'CARNET DE SOUDURE'!$M$7:$M$1506,0)),"")))</f>
        <v/>
      </c>
      <c r="M794" s="81" t="str">
        <f aca="false">IF(B794="","",IF(OR(J794&lt;&gt;"",K794&lt;&gt;""),"POSÉ EN LIGNE",IF(H794&lt;&gt;"","BARDÉ","EN STOCK")))</f>
        <v/>
      </c>
      <c r="N794" s="79"/>
    </row>
    <row r="795" customFormat="false" ht="15" hidden="false" customHeight="false" outlineLevel="0" collapsed="false">
      <c r="A795" s="78" t="str">
        <f aca="false">IF(B795="","",ROW()-6)</f>
        <v/>
      </c>
      <c r="B795" s="90"/>
      <c r="C795" s="91"/>
      <c r="D795" s="91"/>
      <c r="E795" s="80"/>
      <c r="F795" s="92"/>
      <c r="G795" s="79"/>
      <c r="H795" s="82"/>
      <c r="I795" s="93" t="str">
        <f aca="false">IF(B795="","",IFERROR(INDEX('CARNET DE SOUDURE'!$B$7:$B$1506,MATCH(B795,'CARNET DE SOUDURE'!$K$7:$K$1506,0)),IFERROR(INDEX('CARNET DE SOUDURE'!$B$7:$B$1506,MATCH(B795,'CARNET DE SOUDURE'!$M$7:$M$1506,0)),"")))</f>
        <v/>
      </c>
      <c r="J795" s="78" t="str">
        <f aca="false">IF(B795="","",IFERROR(INDEX('CARNET DE SOUDURE'!$E$7:$E$1506,MATCH(B795,'CARNET DE SOUDURE'!$M$7:$M$1506,0)),""))</f>
        <v/>
      </c>
      <c r="K795" s="78" t="str">
        <f aca="false">IF(B795="","",IFERROR(INDEX('CARNET DE SOUDURE'!$E$7:$E$1506,MATCH(B795,'CARNET DE SOUDURE'!$K$7:$K$1506,0)),""))</f>
        <v/>
      </c>
      <c r="L795" s="78" t="str">
        <f aca="false">IF(B795="","",IFERROR(INDEX('CARNET DE SOUDURE'!$D$7:$D$1506,MATCH(B795,'CARNET DE SOUDURE'!$K$7:$K$1506,0)),IFERROR(INDEX('CARNET DE SOUDURE'!$D$7:$D$1506,MATCH(B795,'CARNET DE SOUDURE'!$M$7:$M$1506,0)),"")))</f>
        <v/>
      </c>
      <c r="M795" s="81" t="str">
        <f aca="false">IF(B795="","",IF(OR(J795&lt;&gt;"",K795&lt;&gt;""),"POSÉ EN LIGNE",IF(H795&lt;&gt;"","BARDÉ","EN STOCK")))</f>
        <v/>
      </c>
      <c r="N795" s="79"/>
    </row>
    <row r="796" customFormat="false" ht="15" hidden="false" customHeight="false" outlineLevel="0" collapsed="false">
      <c r="A796" s="78" t="str">
        <f aca="false">IF(B796="","",ROW()-6)</f>
        <v/>
      </c>
      <c r="B796" s="90"/>
      <c r="C796" s="91"/>
      <c r="D796" s="91"/>
      <c r="E796" s="80"/>
      <c r="F796" s="92"/>
      <c r="G796" s="79"/>
      <c r="H796" s="82"/>
      <c r="I796" s="93" t="str">
        <f aca="false">IF(B796="","",IFERROR(INDEX('CARNET DE SOUDURE'!$B$7:$B$1506,MATCH(B796,'CARNET DE SOUDURE'!$K$7:$K$1506,0)),IFERROR(INDEX('CARNET DE SOUDURE'!$B$7:$B$1506,MATCH(B796,'CARNET DE SOUDURE'!$M$7:$M$1506,0)),"")))</f>
        <v/>
      </c>
      <c r="J796" s="78" t="str">
        <f aca="false">IF(B796="","",IFERROR(INDEX('CARNET DE SOUDURE'!$E$7:$E$1506,MATCH(B796,'CARNET DE SOUDURE'!$M$7:$M$1506,0)),""))</f>
        <v/>
      </c>
      <c r="K796" s="78" t="str">
        <f aca="false">IF(B796="","",IFERROR(INDEX('CARNET DE SOUDURE'!$E$7:$E$1506,MATCH(B796,'CARNET DE SOUDURE'!$K$7:$K$1506,0)),""))</f>
        <v/>
      </c>
      <c r="L796" s="78" t="str">
        <f aca="false">IF(B796="","",IFERROR(INDEX('CARNET DE SOUDURE'!$D$7:$D$1506,MATCH(B796,'CARNET DE SOUDURE'!$K$7:$K$1506,0)),IFERROR(INDEX('CARNET DE SOUDURE'!$D$7:$D$1506,MATCH(B796,'CARNET DE SOUDURE'!$M$7:$M$1506,0)),"")))</f>
        <v/>
      </c>
      <c r="M796" s="81" t="str">
        <f aca="false">IF(B796="","",IF(OR(J796&lt;&gt;"",K796&lt;&gt;""),"POSÉ EN LIGNE",IF(H796&lt;&gt;"","BARDÉ","EN STOCK")))</f>
        <v/>
      </c>
      <c r="N796" s="79"/>
    </row>
    <row r="797" customFormat="false" ht="15" hidden="false" customHeight="false" outlineLevel="0" collapsed="false">
      <c r="A797" s="78" t="str">
        <f aca="false">IF(B797="","",ROW()-6)</f>
        <v/>
      </c>
      <c r="B797" s="90"/>
      <c r="C797" s="91"/>
      <c r="D797" s="91"/>
      <c r="E797" s="80"/>
      <c r="F797" s="92"/>
      <c r="G797" s="79"/>
      <c r="H797" s="82"/>
      <c r="I797" s="93" t="str">
        <f aca="false">IF(B797="","",IFERROR(INDEX('CARNET DE SOUDURE'!$B$7:$B$1506,MATCH(B797,'CARNET DE SOUDURE'!$K$7:$K$1506,0)),IFERROR(INDEX('CARNET DE SOUDURE'!$B$7:$B$1506,MATCH(B797,'CARNET DE SOUDURE'!$M$7:$M$1506,0)),"")))</f>
        <v/>
      </c>
      <c r="J797" s="78" t="str">
        <f aca="false">IF(B797="","",IFERROR(INDEX('CARNET DE SOUDURE'!$E$7:$E$1506,MATCH(B797,'CARNET DE SOUDURE'!$M$7:$M$1506,0)),""))</f>
        <v/>
      </c>
      <c r="K797" s="78" t="str">
        <f aca="false">IF(B797="","",IFERROR(INDEX('CARNET DE SOUDURE'!$E$7:$E$1506,MATCH(B797,'CARNET DE SOUDURE'!$K$7:$K$1506,0)),""))</f>
        <v/>
      </c>
      <c r="L797" s="78" t="str">
        <f aca="false">IF(B797="","",IFERROR(INDEX('CARNET DE SOUDURE'!$D$7:$D$1506,MATCH(B797,'CARNET DE SOUDURE'!$K$7:$K$1506,0)),IFERROR(INDEX('CARNET DE SOUDURE'!$D$7:$D$1506,MATCH(B797,'CARNET DE SOUDURE'!$M$7:$M$1506,0)),"")))</f>
        <v/>
      </c>
      <c r="M797" s="81" t="str">
        <f aca="false">IF(B797="","",IF(OR(J797&lt;&gt;"",K797&lt;&gt;""),"POSÉ EN LIGNE",IF(H797&lt;&gt;"","BARDÉ","EN STOCK")))</f>
        <v/>
      </c>
      <c r="N797" s="79"/>
    </row>
    <row r="798" customFormat="false" ht="15" hidden="false" customHeight="false" outlineLevel="0" collapsed="false">
      <c r="A798" s="78" t="str">
        <f aca="false">IF(B798="","",ROW()-6)</f>
        <v/>
      </c>
      <c r="B798" s="90"/>
      <c r="C798" s="91"/>
      <c r="D798" s="91"/>
      <c r="E798" s="80"/>
      <c r="F798" s="92"/>
      <c r="G798" s="79"/>
      <c r="H798" s="82"/>
      <c r="I798" s="93" t="str">
        <f aca="false">IF(B798="","",IFERROR(INDEX('CARNET DE SOUDURE'!$B$7:$B$1506,MATCH(B798,'CARNET DE SOUDURE'!$K$7:$K$1506,0)),IFERROR(INDEX('CARNET DE SOUDURE'!$B$7:$B$1506,MATCH(B798,'CARNET DE SOUDURE'!$M$7:$M$1506,0)),"")))</f>
        <v/>
      </c>
      <c r="J798" s="78" t="str">
        <f aca="false">IF(B798="","",IFERROR(INDEX('CARNET DE SOUDURE'!$E$7:$E$1506,MATCH(B798,'CARNET DE SOUDURE'!$M$7:$M$1506,0)),""))</f>
        <v/>
      </c>
      <c r="K798" s="78" t="str">
        <f aca="false">IF(B798="","",IFERROR(INDEX('CARNET DE SOUDURE'!$E$7:$E$1506,MATCH(B798,'CARNET DE SOUDURE'!$K$7:$K$1506,0)),""))</f>
        <v/>
      </c>
      <c r="L798" s="78" t="str">
        <f aca="false">IF(B798="","",IFERROR(INDEX('CARNET DE SOUDURE'!$D$7:$D$1506,MATCH(B798,'CARNET DE SOUDURE'!$K$7:$K$1506,0)),IFERROR(INDEX('CARNET DE SOUDURE'!$D$7:$D$1506,MATCH(B798,'CARNET DE SOUDURE'!$M$7:$M$1506,0)),"")))</f>
        <v/>
      </c>
      <c r="M798" s="81" t="str">
        <f aca="false">IF(B798="","",IF(OR(J798&lt;&gt;"",K798&lt;&gt;""),"POSÉ EN LIGNE",IF(H798&lt;&gt;"","BARDÉ","EN STOCK")))</f>
        <v/>
      </c>
      <c r="N798" s="79"/>
    </row>
    <row r="799" customFormat="false" ht="15" hidden="false" customHeight="false" outlineLevel="0" collapsed="false">
      <c r="A799" s="78" t="str">
        <f aca="false">IF(B799="","",ROW()-6)</f>
        <v/>
      </c>
      <c r="B799" s="90"/>
      <c r="C799" s="91"/>
      <c r="D799" s="91"/>
      <c r="E799" s="80"/>
      <c r="F799" s="92"/>
      <c r="G799" s="79"/>
      <c r="H799" s="82"/>
      <c r="I799" s="93" t="str">
        <f aca="false">IF(B799="","",IFERROR(INDEX('CARNET DE SOUDURE'!$B$7:$B$1506,MATCH(B799,'CARNET DE SOUDURE'!$K$7:$K$1506,0)),IFERROR(INDEX('CARNET DE SOUDURE'!$B$7:$B$1506,MATCH(B799,'CARNET DE SOUDURE'!$M$7:$M$1506,0)),"")))</f>
        <v/>
      </c>
      <c r="J799" s="78" t="str">
        <f aca="false">IF(B799="","",IFERROR(INDEX('CARNET DE SOUDURE'!$E$7:$E$1506,MATCH(B799,'CARNET DE SOUDURE'!$M$7:$M$1506,0)),""))</f>
        <v/>
      </c>
      <c r="K799" s="78" t="str">
        <f aca="false">IF(B799="","",IFERROR(INDEX('CARNET DE SOUDURE'!$E$7:$E$1506,MATCH(B799,'CARNET DE SOUDURE'!$K$7:$K$1506,0)),""))</f>
        <v/>
      </c>
      <c r="L799" s="78" t="str">
        <f aca="false">IF(B799="","",IFERROR(INDEX('CARNET DE SOUDURE'!$D$7:$D$1506,MATCH(B799,'CARNET DE SOUDURE'!$K$7:$K$1506,0)),IFERROR(INDEX('CARNET DE SOUDURE'!$D$7:$D$1506,MATCH(B799,'CARNET DE SOUDURE'!$M$7:$M$1506,0)),"")))</f>
        <v/>
      </c>
      <c r="M799" s="81" t="str">
        <f aca="false">IF(B799="","",IF(OR(J799&lt;&gt;"",K799&lt;&gt;""),"POSÉ EN LIGNE",IF(H799&lt;&gt;"","BARDÉ","EN STOCK")))</f>
        <v/>
      </c>
      <c r="N799" s="79"/>
    </row>
    <row r="800" customFormat="false" ht="15" hidden="false" customHeight="false" outlineLevel="0" collapsed="false">
      <c r="A800" s="78" t="str">
        <f aca="false">IF(B800="","",ROW()-6)</f>
        <v/>
      </c>
      <c r="B800" s="90"/>
      <c r="C800" s="91"/>
      <c r="D800" s="91"/>
      <c r="E800" s="80"/>
      <c r="F800" s="92"/>
      <c r="G800" s="79"/>
      <c r="H800" s="82"/>
      <c r="I800" s="93" t="str">
        <f aca="false">IF(B800="","",IFERROR(INDEX('CARNET DE SOUDURE'!$B$7:$B$1506,MATCH(B800,'CARNET DE SOUDURE'!$K$7:$K$1506,0)),IFERROR(INDEX('CARNET DE SOUDURE'!$B$7:$B$1506,MATCH(B800,'CARNET DE SOUDURE'!$M$7:$M$1506,0)),"")))</f>
        <v/>
      </c>
      <c r="J800" s="78" t="str">
        <f aca="false">IF(B800="","",IFERROR(INDEX('CARNET DE SOUDURE'!$E$7:$E$1506,MATCH(B800,'CARNET DE SOUDURE'!$M$7:$M$1506,0)),""))</f>
        <v/>
      </c>
      <c r="K800" s="78" t="str">
        <f aca="false">IF(B800="","",IFERROR(INDEX('CARNET DE SOUDURE'!$E$7:$E$1506,MATCH(B800,'CARNET DE SOUDURE'!$K$7:$K$1506,0)),""))</f>
        <v/>
      </c>
      <c r="L800" s="78" t="str">
        <f aca="false">IF(B800="","",IFERROR(INDEX('CARNET DE SOUDURE'!$D$7:$D$1506,MATCH(B800,'CARNET DE SOUDURE'!$K$7:$K$1506,0)),IFERROR(INDEX('CARNET DE SOUDURE'!$D$7:$D$1506,MATCH(B800,'CARNET DE SOUDURE'!$M$7:$M$1506,0)),"")))</f>
        <v/>
      </c>
      <c r="M800" s="81" t="str">
        <f aca="false">IF(B800="","",IF(OR(J800&lt;&gt;"",K800&lt;&gt;""),"POSÉ EN LIGNE",IF(H800&lt;&gt;"","BARDÉ","EN STOCK")))</f>
        <v/>
      </c>
      <c r="N800" s="79"/>
    </row>
    <row r="801" customFormat="false" ht="15" hidden="false" customHeight="false" outlineLevel="0" collapsed="false">
      <c r="A801" s="78" t="str">
        <f aca="false">IF(B801="","",ROW()-6)</f>
        <v/>
      </c>
      <c r="B801" s="90"/>
      <c r="C801" s="91"/>
      <c r="D801" s="91"/>
      <c r="E801" s="80"/>
      <c r="F801" s="92"/>
      <c r="G801" s="79"/>
      <c r="H801" s="82"/>
      <c r="I801" s="93" t="str">
        <f aca="false">IF(B801="","",IFERROR(INDEX('CARNET DE SOUDURE'!$B$7:$B$1506,MATCH(B801,'CARNET DE SOUDURE'!$K$7:$K$1506,0)),IFERROR(INDEX('CARNET DE SOUDURE'!$B$7:$B$1506,MATCH(B801,'CARNET DE SOUDURE'!$M$7:$M$1506,0)),"")))</f>
        <v/>
      </c>
      <c r="J801" s="78" t="str">
        <f aca="false">IF(B801="","",IFERROR(INDEX('CARNET DE SOUDURE'!$E$7:$E$1506,MATCH(B801,'CARNET DE SOUDURE'!$M$7:$M$1506,0)),""))</f>
        <v/>
      </c>
      <c r="K801" s="78" t="str">
        <f aca="false">IF(B801="","",IFERROR(INDEX('CARNET DE SOUDURE'!$E$7:$E$1506,MATCH(B801,'CARNET DE SOUDURE'!$K$7:$K$1506,0)),""))</f>
        <v/>
      </c>
      <c r="L801" s="78" t="str">
        <f aca="false">IF(B801="","",IFERROR(INDEX('CARNET DE SOUDURE'!$D$7:$D$1506,MATCH(B801,'CARNET DE SOUDURE'!$K$7:$K$1506,0)),IFERROR(INDEX('CARNET DE SOUDURE'!$D$7:$D$1506,MATCH(B801,'CARNET DE SOUDURE'!$M$7:$M$1506,0)),"")))</f>
        <v/>
      </c>
      <c r="M801" s="81" t="str">
        <f aca="false">IF(B801="","",IF(OR(J801&lt;&gt;"",K801&lt;&gt;""),"POSÉ EN LIGNE",IF(H801&lt;&gt;"","BARDÉ","EN STOCK")))</f>
        <v/>
      </c>
      <c r="N801" s="79"/>
    </row>
    <row r="802" customFormat="false" ht="15" hidden="false" customHeight="false" outlineLevel="0" collapsed="false">
      <c r="A802" s="78" t="str">
        <f aca="false">IF(B802="","",ROW()-6)</f>
        <v/>
      </c>
      <c r="B802" s="90"/>
      <c r="C802" s="91"/>
      <c r="D802" s="91"/>
      <c r="E802" s="80"/>
      <c r="F802" s="92"/>
      <c r="G802" s="79"/>
      <c r="H802" s="82"/>
      <c r="I802" s="93" t="str">
        <f aca="false">IF(B802="","",IFERROR(INDEX('CARNET DE SOUDURE'!$B$7:$B$1506,MATCH(B802,'CARNET DE SOUDURE'!$K$7:$K$1506,0)),IFERROR(INDEX('CARNET DE SOUDURE'!$B$7:$B$1506,MATCH(B802,'CARNET DE SOUDURE'!$M$7:$M$1506,0)),"")))</f>
        <v/>
      </c>
      <c r="J802" s="78" t="str">
        <f aca="false">IF(B802="","",IFERROR(INDEX('CARNET DE SOUDURE'!$E$7:$E$1506,MATCH(B802,'CARNET DE SOUDURE'!$M$7:$M$1506,0)),""))</f>
        <v/>
      </c>
      <c r="K802" s="78" t="str">
        <f aca="false">IF(B802="","",IFERROR(INDEX('CARNET DE SOUDURE'!$E$7:$E$1506,MATCH(B802,'CARNET DE SOUDURE'!$K$7:$K$1506,0)),""))</f>
        <v/>
      </c>
      <c r="L802" s="78" t="str">
        <f aca="false">IF(B802="","",IFERROR(INDEX('CARNET DE SOUDURE'!$D$7:$D$1506,MATCH(B802,'CARNET DE SOUDURE'!$K$7:$K$1506,0)),IFERROR(INDEX('CARNET DE SOUDURE'!$D$7:$D$1506,MATCH(B802,'CARNET DE SOUDURE'!$M$7:$M$1506,0)),"")))</f>
        <v/>
      </c>
      <c r="M802" s="81" t="str">
        <f aca="false">IF(B802="","",IF(OR(J802&lt;&gt;"",K802&lt;&gt;""),"POSÉ EN LIGNE",IF(H802&lt;&gt;"","BARDÉ","EN STOCK")))</f>
        <v/>
      </c>
      <c r="N802" s="79"/>
    </row>
    <row r="803" customFormat="false" ht="15" hidden="false" customHeight="false" outlineLevel="0" collapsed="false">
      <c r="A803" s="78" t="str">
        <f aca="false">IF(B803="","",ROW()-6)</f>
        <v/>
      </c>
      <c r="B803" s="90"/>
      <c r="C803" s="91"/>
      <c r="D803" s="91"/>
      <c r="E803" s="80"/>
      <c r="F803" s="92"/>
      <c r="G803" s="79"/>
      <c r="H803" s="82"/>
      <c r="I803" s="93" t="str">
        <f aca="false">IF(B803="","",IFERROR(INDEX('CARNET DE SOUDURE'!$B$7:$B$1506,MATCH(B803,'CARNET DE SOUDURE'!$K$7:$K$1506,0)),IFERROR(INDEX('CARNET DE SOUDURE'!$B$7:$B$1506,MATCH(B803,'CARNET DE SOUDURE'!$M$7:$M$1506,0)),"")))</f>
        <v/>
      </c>
      <c r="J803" s="78" t="str">
        <f aca="false">IF(B803="","",IFERROR(INDEX('CARNET DE SOUDURE'!$E$7:$E$1506,MATCH(B803,'CARNET DE SOUDURE'!$M$7:$M$1506,0)),""))</f>
        <v/>
      </c>
      <c r="K803" s="78" t="str">
        <f aca="false">IF(B803="","",IFERROR(INDEX('CARNET DE SOUDURE'!$E$7:$E$1506,MATCH(B803,'CARNET DE SOUDURE'!$K$7:$K$1506,0)),""))</f>
        <v/>
      </c>
      <c r="L803" s="78" t="str">
        <f aca="false">IF(B803="","",IFERROR(INDEX('CARNET DE SOUDURE'!$D$7:$D$1506,MATCH(B803,'CARNET DE SOUDURE'!$K$7:$K$1506,0)),IFERROR(INDEX('CARNET DE SOUDURE'!$D$7:$D$1506,MATCH(B803,'CARNET DE SOUDURE'!$M$7:$M$1506,0)),"")))</f>
        <v/>
      </c>
      <c r="M803" s="81" t="str">
        <f aca="false">IF(B803="","",IF(OR(J803&lt;&gt;"",K803&lt;&gt;""),"POSÉ EN LIGNE",IF(H803&lt;&gt;"","BARDÉ","EN STOCK")))</f>
        <v/>
      </c>
      <c r="N803" s="79"/>
    </row>
    <row r="804" customFormat="false" ht="15" hidden="false" customHeight="false" outlineLevel="0" collapsed="false">
      <c r="A804" s="78" t="str">
        <f aca="false">IF(B804="","",ROW()-6)</f>
        <v/>
      </c>
      <c r="B804" s="90"/>
      <c r="C804" s="91"/>
      <c r="D804" s="91"/>
      <c r="E804" s="80"/>
      <c r="F804" s="92"/>
      <c r="G804" s="79"/>
      <c r="H804" s="82"/>
      <c r="I804" s="93" t="str">
        <f aca="false">IF(B804="","",IFERROR(INDEX('CARNET DE SOUDURE'!$B$7:$B$1506,MATCH(B804,'CARNET DE SOUDURE'!$K$7:$K$1506,0)),IFERROR(INDEX('CARNET DE SOUDURE'!$B$7:$B$1506,MATCH(B804,'CARNET DE SOUDURE'!$M$7:$M$1506,0)),"")))</f>
        <v/>
      </c>
      <c r="J804" s="78" t="str">
        <f aca="false">IF(B804="","",IFERROR(INDEX('CARNET DE SOUDURE'!$E$7:$E$1506,MATCH(B804,'CARNET DE SOUDURE'!$M$7:$M$1506,0)),""))</f>
        <v/>
      </c>
      <c r="K804" s="78" t="str">
        <f aca="false">IF(B804="","",IFERROR(INDEX('CARNET DE SOUDURE'!$E$7:$E$1506,MATCH(B804,'CARNET DE SOUDURE'!$K$7:$K$1506,0)),""))</f>
        <v/>
      </c>
      <c r="L804" s="78" t="str">
        <f aca="false">IF(B804="","",IFERROR(INDEX('CARNET DE SOUDURE'!$D$7:$D$1506,MATCH(B804,'CARNET DE SOUDURE'!$K$7:$K$1506,0)),IFERROR(INDEX('CARNET DE SOUDURE'!$D$7:$D$1506,MATCH(B804,'CARNET DE SOUDURE'!$M$7:$M$1506,0)),"")))</f>
        <v/>
      </c>
      <c r="M804" s="81" t="str">
        <f aca="false">IF(B804="","",IF(OR(J804&lt;&gt;"",K804&lt;&gt;""),"POSÉ EN LIGNE",IF(H804&lt;&gt;"","BARDÉ","EN STOCK")))</f>
        <v/>
      </c>
      <c r="N804" s="79"/>
    </row>
    <row r="805" customFormat="false" ht="15" hidden="false" customHeight="false" outlineLevel="0" collapsed="false">
      <c r="A805" s="78" t="str">
        <f aca="false">IF(B805="","",ROW()-6)</f>
        <v/>
      </c>
      <c r="B805" s="90"/>
      <c r="C805" s="91"/>
      <c r="D805" s="91"/>
      <c r="E805" s="80"/>
      <c r="F805" s="92"/>
      <c r="G805" s="79"/>
      <c r="H805" s="82"/>
      <c r="I805" s="93" t="str">
        <f aca="false">IF(B805="","",IFERROR(INDEX('CARNET DE SOUDURE'!$B$7:$B$1506,MATCH(B805,'CARNET DE SOUDURE'!$K$7:$K$1506,0)),IFERROR(INDEX('CARNET DE SOUDURE'!$B$7:$B$1506,MATCH(B805,'CARNET DE SOUDURE'!$M$7:$M$1506,0)),"")))</f>
        <v/>
      </c>
      <c r="J805" s="78" t="str">
        <f aca="false">IF(B805="","",IFERROR(INDEX('CARNET DE SOUDURE'!$E$7:$E$1506,MATCH(B805,'CARNET DE SOUDURE'!$M$7:$M$1506,0)),""))</f>
        <v/>
      </c>
      <c r="K805" s="78" t="str">
        <f aca="false">IF(B805="","",IFERROR(INDEX('CARNET DE SOUDURE'!$E$7:$E$1506,MATCH(B805,'CARNET DE SOUDURE'!$K$7:$K$1506,0)),""))</f>
        <v/>
      </c>
      <c r="L805" s="78" t="str">
        <f aca="false">IF(B805="","",IFERROR(INDEX('CARNET DE SOUDURE'!$D$7:$D$1506,MATCH(B805,'CARNET DE SOUDURE'!$K$7:$K$1506,0)),IFERROR(INDEX('CARNET DE SOUDURE'!$D$7:$D$1506,MATCH(B805,'CARNET DE SOUDURE'!$M$7:$M$1506,0)),"")))</f>
        <v/>
      </c>
      <c r="M805" s="81" t="str">
        <f aca="false">IF(B805="","",IF(OR(J805&lt;&gt;"",K805&lt;&gt;""),"POSÉ EN LIGNE",IF(H805&lt;&gt;"","BARDÉ","EN STOCK")))</f>
        <v/>
      </c>
      <c r="N805" s="79"/>
    </row>
    <row r="806" customFormat="false" ht="15" hidden="false" customHeight="false" outlineLevel="0" collapsed="false">
      <c r="A806" s="78" t="str">
        <f aca="false">IF(B806="","",ROW()-6)</f>
        <v/>
      </c>
      <c r="B806" s="90"/>
      <c r="C806" s="91"/>
      <c r="D806" s="91"/>
      <c r="E806" s="80"/>
      <c r="F806" s="92"/>
      <c r="G806" s="79"/>
      <c r="H806" s="82"/>
      <c r="I806" s="93" t="str">
        <f aca="false">IF(B806="","",IFERROR(INDEX('CARNET DE SOUDURE'!$B$7:$B$1506,MATCH(B806,'CARNET DE SOUDURE'!$K$7:$K$1506,0)),IFERROR(INDEX('CARNET DE SOUDURE'!$B$7:$B$1506,MATCH(B806,'CARNET DE SOUDURE'!$M$7:$M$1506,0)),"")))</f>
        <v/>
      </c>
      <c r="J806" s="78" t="str">
        <f aca="false">IF(B806="","",IFERROR(INDEX('CARNET DE SOUDURE'!$E$7:$E$1506,MATCH(B806,'CARNET DE SOUDURE'!$M$7:$M$1506,0)),""))</f>
        <v/>
      </c>
      <c r="K806" s="78" t="str">
        <f aca="false">IF(B806="","",IFERROR(INDEX('CARNET DE SOUDURE'!$E$7:$E$1506,MATCH(B806,'CARNET DE SOUDURE'!$K$7:$K$1506,0)),""))</f>
        <v/>
      </c>
      <c r="L806" s="78" t="str">
        <f aca="false">IF(B806="","",IFERROR(INDEX('CARNET DE SOUDURE'!$D$7:$D$1506,MATCH(B806,'CARNET DE SOUDURE'!$K$7:$K$1506,0)),IFERROR(INDEX('CARNET DE SOUDURE'!$D$7:$D$1506,MATCH(B806,'CARNET DE SOUDURE'!$M$7:$M$1506,0)),"")))</f>
        <v/>
      </c>
      <c r="M806" s="81" t="str">
        <f aca="false">IF(B806="","",IF(OR(J806&lt;&gt;"",K806&lt;&gt;""),"POSÉ EN LIGNE",IF(H806&lt;&gt;"","BARDÉ","EN STOCK")))</f>
        <v/>
      </c>
      <c r="N806" s="79"/>
    </row>
    <row r="807" customFormat="false" ht="15" hidden="false" customHeight="false" outlineLevel="0" collapsed="false">
      <c r="A807" s="78" t="str">
        <f aca="false">IF(B807="","",ROW()-6)</f>
        <v/>
      </c>
      <c r="B807" s="90"/>
      <c r="C807" s="91"/>
      <c r="D807" s="91"/>
      <c r="E807" s="80"/>
      <c r="F807" s="92"/>
      <c r="G807" s="79"/>
      <c r="H807" s="82"/>
      <c r="I807" s="93" t="str">
        <f aca="false">IF(B807="","",IFERROR(INDEX('CARNET DE SOUDURE'!$B$7:$B$1506,MATCH(B807,'CARNET DE SOUDURE'!$K$7:$K$1506,0)),IFERROR(INDEX('CARNET DE SOUDURE'!$B$7:$B$1506,MATCH(B807,'CARNET DE SOUDURE'!$M$7:$M$1506,0)),"")))</f>
        <v/>
      </c>
      <c r="J807" s="78" t="str">
        <f aca="false">IF(B807="","",IFERROR(INDEX('CARNET DE SOUDURE'!$E$7:$E$1506,MATCH(B807,'CARNET DE SOUDURE'!$M$7:$M$1506,0)),""))</f>
        <v/>
      </c>
      <c r="K807" s="78" t="str">
        <f aca="false">IF(B807="","",IFERROR(INDEX('CARNET DE SOUDURE'!$E$7:$E$1506,MATCH(B807,'CARNET DE SOUDURE'!$K$7:$K$1506,0)),""))</f>
        <v/>
      </c>
      <c r="L807" s="78" t="str">
        <f aca="false">IF(B807="","",IFERROR(INDEX('CARNET DE SOUDURE'!$D$7:$D$1506,MATCH(B807,'CARNET DE SOUDURE'!$K$7:$K$1506,0)),IFERROR(INDEX('CARNET DE SOUDURE'!$D$7:$D$1506,MATCH(B807,'CARNET DE SOUDURE'!$M$7:$M$1506,0)),"")))</f>
        <v/>
      </c>
      <c r="M807" s="81" t="str">
        <f aca="false">IF(B807="","",IF(OR(J807&lt;&gt;"",K807&lt;&gt;""),"POSÉ EN LIGNE",IF(H807&lt;&gt;"","BARDÉ","EN STOCK")))</f>
        <v/>
      </c>
      <c r="N807" s="79"/>
    </row>
    <row r="808" customFormat="false" ht="15" hidden="false" customHeight="false" outlineLevel="0" collapsed="false">
      <c r="A808" s="78" t="str">
        <f aca="false">IF(B808="","",ROW()-6)</f>
        <v/>
      </c>
      <c r="B808" s="90"/>
      <c r="C808" s="91"/>
      <c r="D808" s="91"/>
      <c r="E808" s="80"/>
      <c r="F808" s="92"/>
      <c r="G808" s="79"/>
      <c r="H808" s="82"/>
      <c r="I808" s="93" t="str">
        <f aca="false">IF(B808="","",IFERROR(INDEX('CARNET DE SOUDURE'!$B$7:$B$1506,MATCH(B808,'CARNET DE SOUDURE'!$K$7:$K$1506,0)),IFERROR(INDEX('CARNET DE SOUDURE'!$B$7:$B$1506,MATCH(B808,'CARNET DE SOUDURE'!$M$7:$M$1506,0)),"")))</f>
        <v/>
      </c>
      <c r="J808" s="78" t="str">
        <f aca="false">IF(B808="","",IFERROR(INDEX('CARNET DE SOUDURE'!$E$7:$E$1506,MATCH(B808,'CARNET DE SOUDURE'!$M$7:$M$1506,0)),""))</f>
        <v/>
      </c>
      <c r="K808" s="78" t="str">
        <f aca="false">IF(B808="","",IFERROR(INDEX('CARNET DE SOUDURE'!$E$7:$E$1506,MATCH(B808,'CARNET DE SOUDURE'!$K$7:$K$1506,0)),""))</f>
        <v/>
      </c>
      <c r="L808" s="78" t="str">
        <f aca="false">IF(B808="","",IFERROR(INDEX('CARNET DE SOUDURE'!$D$7:$D$1506,MATCH(B808,'CARNET DE SOUDURE'!$K$7:$K$1506,0)),IFERROR(INDEX('CARNET DE SOUDURE'!$D$7:$D$1506,MATCH(B808,'CARNET DE SOUDURE'!$M$7:$M$1506,0)),"")))</f>
        <v/>
      </c>
      <c r="M808" s="81" t="str">
        <f aca="false">IF(B808="","",IF(OR(J808&lt;&gt;"",K808&lt;&gt;""),"POSÉ EN LIGNE",IF(H808&lt;&gt;"","BARDÉ","EN STOCK")))</f>
        <v/>
      </c>
      <c r="N808" s="79"/>
    </row>
    <row r="809" customFormat="false" ht="15" hidden="false" customHeight="false" outlineLevel="0" collapsed="false">
      <c r="A809" s="78" t="str">
        <f aca="false">IF(B809="","",ROW()-6)</f>
        <v/>
      </c>
      <c r="B809" s="90"/>
      <c r="C809" s="91"/>
      <c r="D809" s="91"/>
      <c r="E809" s="80"/>
      <c r="F809" s="92"/>
      <c r="G809" s="79"/>
      <c r="H809" s="82"/>
      <c r="I809" s="93" t="str">
        <f aca="false">IF(B809="","",IFERROR(INDEX('CARNET DE SOUDURE'!$B$7:$B$1506,MATCH(B809,'CARNET DE SOUDURE'!$K$7:$K$1506,0)),IFERROR(INDEX('CARNET DE SOUDURE'!$B$7:$B$1506,MATCH(B809,'CARNET DE SOUDURE'!$M$7:$M$1506,0)),"")))</f>
        <v/>
      </c>
      <c r="J809" s="78" t="str">
        <f aca="false">IF(B809="","",IFERROR(INDEX('CARNET DE SOUDURE'!$E$7:$E$1506,MATCH(B809,'CARNET DE SOUDURE'!$M$7:$M$1506,0)),""))</f>
        <v/>
      </c>
      <c r="K809" s="78" t="str">
        <f aca="false">IF(B809="","",IFERROR(INDEX('CARNET DE SOUDURE'!$E$7:$E$1506,MATCH(B809,'CARNET DE SOUDURE'!$K$7:$K$1506,0)),""))</f>
        <v/>
      </c>
      <c r="L809" s="78" t="str">
        <f aca="false">IF(B809="","",IFERROR(INDEX('CARNET DE SOUDURE'!$D$7:$D$1506,MATCH(B809,'CARNET DE SOUDURE'!$K$7:$K$1506,0)),IFERROR(INDEX('CARNET DE SOUDURE'!$D$7:$D$1506,MATCH(B809,'CARNET DE SOUDURE'!$M$7:$M$1506,0)),"")))</f>
        <v/>
      </c>
      <c r="M809" s="81" t="str">
        <f aca="false">IF(B809="","",IF(OR(J809&lt;&gt;"",K809&lt;&gt;""),"POSÉ EN LIGNE",IF(H809&lt;&gt;"","BARDÉ","EN STOCK")))</f>
        <v/>
      </c>
      <c r="N809" s="79"/>
    </row>
    <row r="810" customFormat="false" ht="15" hidden="false" customHeight="false" outlineLevel="0" collapsed="false">
      <c r="A810" s="78" t="str">
        <f aca="false">IF(B810="","",ROW()-6)</f>
        <v/>
      </c>
      <c r="B810" s="90"/>
      <c r="C810" s="91"/>
      <c r="D810" s="91"/>
      <c r="E810" s="80"/>
      <c r="F810" s="92"/>
      <c r="G810" s="79"/>
      <c r="H810" s="82"/>
      <c r="I810" s="93" t="str">
        <f aca="false">IF(B810="","",IFERROR(INDEX('CARNET DE SOUDURE'!$B$7:$B$1506,MATCH(B810,'CARNET DE SOUDURE'!$K$7:$K$1506,0)),IFERROR(INDEX('CARNET DE SOUDURE'!$B$7:$B$1506,MATCH(B810,'CARNET DE SOUDURE'!$M$7:$M$1506,0)),"")))</f>
        <v/>
      </c>
      <c r="J810" s="78" t="str">
        <f aca="false">IF(B810="","",IFERROR(INDEX('CARNET DE SOUDURE'!$E$7:$E$1506,MATCH(B810,'CARNET DE SOUDURE'!$M$7:$M$1506,0)),""))</f>
        <v/>
      </c>
      <c r="K810" s="78" t="str">
        <f aca="false">IF(B810="","",IFERROR(INDEX('CARNET DE SOUDURE'!$E$7:$E$1506,MATCH(B810,'CARNET DE SOUDURE'!$K$7:$K$1506,0)),""))</f>
        <v/>
      </c>
      <c r="L810" s="78" t="str">
        <f aca="false">IF(B810="","",IFERROR(INDEX('CARNET DE SOUDURE'!$D$7:$D$1506,MATCH(B810,'CARNET DE SOUDURE'!$K$7:$K$1506,0)),IFERROR(INDEX('CARNET DE SOUDURE'!$D$7:$D$1506,MATCH(B810,'CARNET DE SOUDURE'!$M$7:$M$1506,0)),"")))</f>
        <v/>
      </c>
      <c r="M810" s="81" t="str">
        <f aca="false">IF(B810="","",IF(OR(J810&lt;&gt;"",K810&lt;&gt;""),"POSÉ EN LIGNE",IF(H810&lt;&gt;"","BARDÉ","EN STOCK")))</f>
        <v/>
      </c>
      <c r="N810" s="79"/>
    </row>
    <row r="811" customFormat="false" ht="15" hidden="false" customHeight="false" outlineLevel="0" collapsed="false">
      <c r="A811" s="78" t="str">
        <f aca="false">IF(B811="","",ROW()-6)</f>
        <v/>
      </c>
      <c r="B811" s="90"/>
      <c r="C811" s="91"/>
      <c r="D811" s="91"/>
      <c r="E811" s="80"/>
      <c r="F811" s="92"/>
      <c r="G811" s="79"/>
      <c r="H811" s="82"/>
      <c r="I811" s="93" t="str">
        <f aca="false">IF(B811="","",IFERROR(INDEX('CARNET DE SOUDURE'!$B$7:$B$1506,MATCH(B811,'CARNET DE SOUDURE'!$K$7:$K$1506,0)),IFERROR(INDEX('CARNET DE SOUDURE'!$B$7:$B$1506,MATCH(B811,'CARNET DE SOUDURE'!$M$7:$M$1506,0)),"")))</f>
        <v/>
      </c>
      <c r="J811" s="78" t="str">
        <f aca="false">IF(B811="","",IFERROR(INDEX('CARNET DE SOUDURE'!$E$7:$E$1506,MATCH(B811,'CARNET DE SOUDURE'!$M$7:$M$1506,0)),""))</f>
        <v/>
      </c>
      <c r="K811" s="78" t="str">
        <f aca="false">IF(B811="","",IFERROR(INDEX('CARNET DE SOUDURE'!$E$7:$E$1506,MATCH(B811,'CARNET DE SOUDURE'!$K$7:$K$1506,0)),""))</f>
        <v/>
      </c>
      <c r="L811" s="78" t="str">
        <f aca="false">IF(B811="","",IFERROR(INDEX('CARNET DE SOUDURE'!$D$7:$D$1506,MATCH(B811,'CARNET DE SOUDURE'!$K$7:$K$1506,0)),IFERROR(INDEX('CARNET DE SOUDURE'!$D$7:$D$1506,MATCH(B811,'CARNET DE SOUDURE'!$M$7:$M$1506,0)),"")))</f>
        <v/>
      </c>
      <c r="M811" s="81" t="str">
        <f aca="false">IF(B811="","",IF(OR(J811&lt;&gt;"",K811&lt;&gt;""),"POSÉ EN LIGNE",IF(H811&lt;&gt;"","BARDÉ","EN STOCK")))</f>
        <v/>
      </c>
      <c r="N811" s="79"/>
    </row>
    <row r="812" customFormat="false" ht="15" hidden="false" customHeight="false" outlineLevel="0" collapsed="false">
      <c r="A812" s="78" t="str">
        <f aca="false">IF(B812="","",ROW()-6)</f>
        <v/>
      </c>
      <c r="B812" s="90"/>
      <c r="C812" s="91"/>
      <c r="D812" s="91"/>
      <c r="E812" s="80"/>
      <c r="F812" s="92"/>
      <c r="G812" s="79"/>
      <c r="H812" s="82"/>
      <c r="I812" s="93" t="str">
        <f aca="false">IF(B812="","",IFERROR(INDEX('CARNET DE SOUDURE'!$B$7:$B$1506,MATCH(B812,'CARNET DE SOUDURE'!$K$7:$K$1506,0)),IFERROR(INDEX('CARNET DE SOUDURE'!$B$7:$B$1506,MATCH(B812,'CARNET DE SOUDURE'!$M$7:$M$1506,0)),"")))</f>
        <v/>
      </c>
      <c r="J812" s="78" t="str">
        <f aca="false">IF(B812="","",IFERROR(INDEX('CARNET DE SOUDURE'!$E$7:$E$1506,MATCH(B812,'CARNET DE SOUDURE'!$M$7:$M$1506,0)),""))</f>
        <v/>
      </c>
      <c r="K812" s="78" t="str">
        <f aca="false">IF(B812="","",IFERROR(INDEX('CARNET DE SOUDURE'!$E$7:$E$1506,MATCH(B812,'CARNET DE SOUDURE'!$K$7:$K$1506,0)),""))</f>
        <v/>
      </c>
      <c r="L812" s="78" t="str">
        <f aca="false">IF(B812="","",IFERROR(INDEX('CARNET DE SOUDURE'!$D$7:$D$1506,MATCH(B812,'CARNET DE SOUDURE'!$K$7:$K$1506,0)),IFERROR(INDEX('CARNET DE SOUDURE'!$D$7:$D$1506,MATCH(B812,'CARNET DE SOUDURE'!$M$7:$M$1506,0)),"")))</f>
        <v/>
      </c>
      <c r="M812" s="81" t="str">
        <f aca="false">IF(B812="","",IF(OR(J812&lt;&gt;"",K812&lt;&gt;""),"POSÉ EN LIGNE",IF(H812&lt;&gt;"","BARDÉ","EN STOCK")))</f>
        <v/>
      </c>
      <c r="N812" s="79"/>
    </row>
    <row r="813" customFormat="false" ht="15" hidden="false" customHeight="false" outlineLevel="0" collapsed="false">
      <c r="A813" s="78" t="str">
        <f aca="false">IF(B813="","",ROW()-6)</f>
        <v/>
      </c>
      <c r="B813" s="90"/>
      <c r="C813" s="91"/>
      <c r="D813" s="91"/>
      <c r="E813" s="80"/>
      <c r="F813" s="92"/>
      <c r="G813" s="79"/>
      <c r="H813" s="82"/>
      <c r="I813" s="93" t="str">
        <f aca="false">IF(B813="","",IFERROR(INDEX('CARNET DE SOUDURE'!$B$7:$B$1506,MATCH(B813,'CARNET DE SOUDURE'!$K$7:$K$1506,0)),IFERROR(INDEX('CARNET DE SOUDURE'!$B$7:$B$1506,MATCH(B813,'CARNET DE SOUDURE'!$M$7:$M$1506,0)),"")))</f>
        <v/>
      </c>
      <c r="J813" s="78" t="str">
        <f aca="false">IF(B813="","",IFERROR(INDEX('CARNET DE SOUDURE'!$E$7:$E$1506,MATCH(B813,'CARNET DE SOUDURE'!$M$7:$M$1506,0)),""))</f>
        <v/>
      </c>
      <c r="K813" s="78" t="str">
        <f aca="false">IF(B813="","",IFERROR(INDEX('CARNET DE SOUDURE'!$E$7:$E$1506,MATCH(B813,'CARNET DE SOUDURE'!$K$7:$K$1506,0)),""))</f>
        <v/>
      </c>
      <c r="L813" s="78" t="str">
        <f aca="false">IF(B813="","",IFERROR(INDEX('CARNET DE SOUDURE'!$D$7:$D$1506,MATCH(B813,'CARNET DE SOUDURE'!$K$7:$K$1506,0)),IFERROR(INDEX('CARNET DE SOUDURE'!$D$7:$D$1506,MATCH(B813,'CARNET DE SOUDURE'!$M$7:$M$1506,0)),"")))</f>
        <v/>
      </c>
      <c r="M813" s="81" t="str">
        <f aca="false">IF(B813="","",IF(OR(J813&lt;&gt;"",K813&lt;&gt;""),"POSÉ EN LIGNE",IF(H813&lt;&gt;"","BARDÉ","EN STOCK")))</f>
        <v/>
      </c>
      <c r="N813" s="79"/>
    </row>
    <row r="814" customFormat="false" ht="15" hidden="false" customHeight="false" outlineLevel="0" collapsed="false">
      <c r="A814" s="78" t="str">
        <f aca="false">IF(B814="","",ROW()-6)</f>
        <v/>
      </c>
      <c r="B814" s="90"/>
      <c r="C814" s="91"/>
      <c r="D814" s="91"/>
      <c r="E814" s="80"/>
      <c r="F814" s="92"/>
      <c r="G814" s="79"/>
      <c r="H814" s="82"/>
      <c r="I814" s="93" t="str">
        <f aca="false">IF(B814="","",IFERROR(INDEX('CARNET DE SOUDURE'!$B$7:$B$1506,MATCH(B814,'CARNET DE SOUDURE'!$K$7:$K$1506,0)),IFERROR(INDEX('CARNET DE SOUDURE'!$B$7:$B$1506,MATCH(B814,'CARNET DE SOUDURE'!$M$7:$M$1506,0)),"")))</f>
        <v/>
      </c>
      <c r="J814" s="78" t="str">
        <f aca="false">IF(B814="","",IFERROR(INDEX('CARNET DE SOUDURE'!$E$7:$E$1506,MATCH(B814,'CARNET DE SOUDURE'!$M$7:$M$1506,0)),""))</f>
        <v/>
      </c>
      <c r="K814" s="78" t="str">
        <f aca="false">IF(B814="","",IFERROR(INDEX('CARNET DE SOUDURE'!$E$7:$E$1506,MATCH(B814,'CARNET DE SOUDURE'!$K$7:$K$1506,0)),""))</f>
        <v/>
      </c>
      <c r="L814" s="78" t="str">
        <f aca="false">IF(B814="","",IFERROR(INDEX('CARNET DE SOUDURE'!$D$7:$D$1506,MATCH(B814,'CARNET DE SOUDURE'!$K$7:$K$1506,0)),IFERROR(INDEX('CARNET DE SOUDURE'!$D$7:$D$1506,MATCH(B814,'CARNET DE SOUDURE'!$M$7:$M$1506,0)),"")))</f>
        <v/>
      </c>
      <c r="M814" s="81" t="str">
        <f aca="false">IF(B814="","",IF(OR(J814&lt;&gt;"",K814&lt;&gt;""),"POSÉ EN LIGNE",IF(H814&lt;&gt;"","BARDÉ","EN STOCK")))</f>
        <v/>
      </c>
      <c r="N814" s="79"/>
    </row>
    <row r="815" customFormat="false" ht="15" hidden="false" customHeight="false" outlineLevel="0" collapsed="false">
      <c r="A815" s="78" t="str">
        <f aca="false">IF(B815="","",ROW()-6)</f>
        <v/>
      </c>
      <c r="B815" s="90"/>
      <c r="C815" s="91"/>
      <c r="D815" s="91"/>
      <c r="E815" s="80"/>
      <c r="F815" s="92"/>
      <c r="G815" s="79"/>
      <c r="H815" s="82"/>
      <c r="I815" s="93" t="str">
        <f aca="false">IF(B815="","",IFERROR(INDEX('CARNET DE SOUDURE'!$B$7:$B$1506,MATCH(B815,'CARNET DE SOUDURE'!$K$7:$K$1506,0)),IFERROR(INDEX('CARNET DE SOUDURE'!$B$7:$B$1506,MATCH(B815,'CARNET DE SOUDURE'!$M$7:$M$1506,0)),"")))</f>
        <v/>
      </c>
      <c r="J815" s="78" t="str">
        <f aca="false">IF(B815="","",IFERROR(INDEX('CARNET DE SOUDURE'!$E$7:$E$1506,MATCH(B815,'CARNET DE SOUDURE'!$M$7:$M$1506,0)),""))</f>
        <v/>
      </c>
      <c r="K815" s="78" t="str">
        <f aca="false">IF(B815="","",IFERROR(INDEX('CARNET DE SOUDURE'!$E$7:$E$1506,MATCH(B815,'CARNET DE SOUDURE'!$K$7:$K$1506,0)),""))</f>
        <v/>
      </c>
      <c r="L815" s="78" t="str">
        <f aca="false">IF(B815="","",IFERROR(INDEX('CARNET DE SOUDURE'!$D$7:$D$1506,MATCH(B815,'CARNET DE SOUDURE'!$K$7:$K$1506,0)),IFERROR(INDEX('CARNET DE SOUDURE'!$D$7:$D$1506,MATCH(B815,'CARNET DE SOUDURE'!$M$7:$M$1506,0)),"")))</f>
        <v/>
      </c>
      <c r="M815" s="81" t="str">
        <f aca="false">IF(B815="","",IF(OR(J815&lt;&gt;"",K815&lt;&gt;""),"POSÉ EN LIGNE",IF(H815&lt;&gt;"","BARDÉ","EN STOCK")))</f>
        <v/>
      </c>
      <c r="N815" s="79"/>
    </row>
    <row r="816" customFormat="false" ht="15" hidden="false" customHeight="false" outlineLevel="0" collapsed="false">
      <c r="A816" s="78" t="str">
        <f aca="false">IF(B816="","",ROW()-6)</f>
        <v/>
      </c>
      <c r="B816" s="90"/>
      <c r="C816" s="91"/>
      <c r="D816" s="91"/>
      <c r="E816" s="80"/>
      <c r="F816" s="92"/>
      <c r="G816" s="79"/>
      <c r="H816" s="82"/>
      <c r="I816" s="93" t="str">
        <f aca="false">IF(B816="","",IFERROR(INDEX('CARNET DE SOUDURE'!$B$7:$B$1506,MATCH(B816,'CARNET DE SOUDURE'!$K$7:$K$1506,0)),IFERROR(INDEX('CARNET DE SOUDURE'!$B$7:$B$1506,MATCH(B816,'CARNET DE SOUDURE'!$M$7:$M$1506,0)),"")))</f>
        <v/>
      </c>
      <c r="J816" s="78" t="str">
        <f aca="false">IF(B816="","",IFERROR(INDEX('CARNET DE SOUDURE'!$E$7:$E$1506,MATCH(B816,'CARNET DE SOUDURE'!$M$7:$M$1506,0)),""))</f>
        <v/>
      </c>
      <c r="K816" s="78" t="str">
        <f aca="false">IF(B816="","",IFERROR(INDEX('CARNET DE SOUDURE'!$E$7:$E$1506,MATCH(B816,'CARNET DE SOUDURE'!$K$7:$K$1506,0)),""))</f>
        <v/>
      </c>
      <c r="L816" s="78" t="str">
        <f aca="false">IF(B816="","",IFERROR(INDEX('CARNET DE SOUDURE'!$D$7:$D$1506,MATCH(B816,'CARNET DE SOUDURE'!$K$7:$K$1506,0)),IFERROR(INDEX('CARNET DE SOUDURE'!$D$7:$D$1506,MATCH(B816,'CARNET DE SOUDURE'!$M$7:$M$1506,0)),"")))</f>
        <v/>
      </c>
      <c r="M816" s="81" t="str">
        <f aca="false">IF(B816="","",IF(OR(J816&lt;&gt;"",K816&lt;&gt;""),"POSÉ EN LIGNE",IF(H816&lt;&gt;"","BARDÉ","EN STOCK")))</f>
        <v/>
      </c>
      <c r="N816" s="79"/>
    </row>
    <row r="817" customFormat="false" ht="15" hidden="false" customHeight="false" outlineLevel="0" collapsed="false">
      <c r="A817" s="78" t="str">
        <f aca="false">IF(B817="","",ROW()-6)</f>
        <v/>
      </c>
      <c r="B817" s="90"/>
      <c r="C817" s="91"/>
      <c r="D817" s="91"/>
      <c r="E817" s="80"/>
      <c r="F817" s="92"/>
      <c r="G817" s="79"/>
      <c r="H817" s="82"/>
      <c r="I817" s="93" t="str">
        <f aca="false">IF(B817="","",IFERROR(INDEX('CARNET DE SOUDURE'!$B$7:$B$1506,MATCH(B817,'CARNET DE SOUDURE'!$K$7:$K$1506,0)),IFERROR(INDEX('CARNET DE SOUDURE'!$B$7:$B$1506,MATCH(B817,'CARNET DE SOUDURE'!$M$7:$M$1506,0)),"")))</f>
        <v/>
      </c>
      <c r="J817" s="78" t="str">
        <f aca="false">IF(B817="","",IFERROR(INDEX('CARNET DE SOUDURE'!$E$7:$E$1506,MATCH(B817,'CARNET DE SOUDURE'!$M$7:$M$1506,0)),""))</f>
        <v/>
      </c>
      <c r="K817" s="78" t="str">
        <f aca="false">IF(B817="","",IFERROR(INDEX('CARNET DE SOUDURE'!$E$7:$E$1506,MATCH(B817,'CARNET DE SOUDURE'!$K$7:$K$1506,0)),""))</f>
        <v/>
      </c>
      <c r="L817" s="78" t="str">
        <f aca="false">IF(B817="","",IFERROR(INDEX('CARNET DE SOUDURE'!$D$7:$D$1506,MATCH(B817,'CARNET DE SOUDURE'!$K$7:$K$1506,0)),IFERROR(INDEX('CARNET DE SOUDURE'!$D$7:$D$1506,MATCH(B817,'CARNET DE SOUDURE'!$M$7:$M$1506,0)),"")))</f>
        <v/>
      </c>
      <c r="M817" s="81" t="str">
        <f aca="false">IF(B817="","",IF(OR(J817&lt;&gt;"",K817&lt;&gt;""),"POSÉ EN LIGNE",IF(H817&lt;&gt;"","BARDÉ","EN STOCK")))</f>
        <v/>
      </c>
      <c r="N817" s="79"/>
    </row>
    <row r="818" customFormat="false" ht="15" hidden="false" customHeight="false" outlineLevel="0" collapsed="false">
      <c r="A818" s="78" t="str">
        <f aca="false">IF(B818="","",ROW()-6)</f>
        <v/>
      </c>
      <c r="B818" s="90"/>
      <c r="C818" s="91"/>
      <c r="D818" s="91"/>
      <c r="E818" s="80"/>
      <c r="F818" s="92"/>
      <c r="G818" s="79"/>
      <c r="H818" s="82"/>
      <c r="I818" s="93" t="str">
        <f aca="false">IF(B818="","",IFERROR(INDEX('CARNET DE SOUDURE'!$B$7:$B$1506,MATCH(B818,'CARNET DE SOUDURE'!$K$7:$K$1506,0)),IFERROR(INDEX('CARNET DE SOUDURE'!$B$7:$B$1506,MATCH(B818,'CARNET DE SOUDURE'!$M$7:$M$1506,0)),"")))</f>
        <v/>
      </c>
      <c r="J818" s="78" t="str">
        <f aca="false">IF(B818="","",IFERROR(INDEX('CARNET DE SOUDURE'!$E$7:$E$1506,MATCH(B818,'CARNET DE SOUDURE'!$M$7:$M$1506,0)),""))</f>
        <v/>
      </c>
      <c r="K818" s="78" t="str">
        <f aca="false">IF(B818="","",IFERROR(INDEX('CARNET DE SOUDURE'!$E$7:$E$1506,MATCH(B818,'CARNET DE SOUDURE'!$K$7:$K$1506,0)),""))</f>
        <v/>
      </c>
      <c r="L818" s="78" t="str">
        <f aca="false">IF(B818="","",IFERROR(INDEX('CARNET DE SOUDURE'!$D$7:$D$1506,MATCH(B818,'CARNET DE SOUDURE'!$K$7:$K$1506,0)),IFERROR(INDEX('CARNET DE SOUDURE'!$D$7:$D$1506,MATCH(B818,'CARNET DE SOUDURE'!$M$7:$M$1506,0)),"")))</f>
        <v/>
      </c>
      <c r="M818" s="81" t="str">
        <f aca="false">IF(B818="","",IF(OR(J818&lt;&gt;"",K818&lt;&gt;""),"POSÉ EN LIGNE",IF(H818&lt;&gt;"","BARDÉ","EN STOCK")))</f>
        <v/>
      </c>
      <c r="N818" s="79"/>
    </row>
    <row r="819" customFormat="false" ht="15" hidden="false" customHeight="false" outlineLevel="0" collapsed="false">
      <c r="A819" s="78" t="str">
        <f aca="false">IF(B819="","",ROW()-6)</f>
        <v/>
      </c>
      <c r="B819" s="90"/>
      <c r="C819" s="91"/>
      <c r="D819" s="91"/>
      <c r="E819" s="80"/>
      <c r="F819" s="92"/>
      <c r="G819" s="79"/>
      <c r="H819" s="82"/>
      <c r="I819" s="93" t="str">
        <f aca="false">IF(B819="","",IFERROR(INDEX('CARNET DE SOUDURE'!$B$7:$B$1506,MATCH(B819,'CARNET DE SOUDURE'!$K$7:$K$1506,0)),IFERROR(INDEX('CARNET DE SOUDURE'!$B$7:$B$1506,MATCH(B819,'CARNET DE SOUDURE'!$M$7:$M$1506,0)),"")))</f>
        <v/>
      </c>
      <c r="J819" s="78" t="str">
        <f aca="false">IF(B819="","",IFERROR(INDEX('CARNET DE SOUDURE'!$E$7:$E$1506,MATCH(B819,'CARNET DE SOUDURE'!$M$7:$M$1506,0)),""))</f>
        <v/>
      </c>
      <c r="K819" s="78" t="str">
        <f aca="false">IF(B819="","",IFERROR(INDEX('CARNET DE SOUDURE'!$E$7:$E$1506,MATCH(B819,'CARNET DE SOUDURE'!$K$7:$K$1506,0)),""))</f>
        <v/>
      </c>
      <c r="L819" s="78" t="str">
        <f aca="false">IF(B819="","",IFERROR(INDEX('CARNET DE SOUDURE'!$D$7:$D$1506,MATCH(B819,'CARNET DE SOUDURE'!$K$7:$K$1506,0)),IFERROR(INDEX('CARNET DE SOUDURE'!$D$7:$D$1506,MATCH(B819,'CARNET DE SOUDURE'!$M$7:$M$1506,0)),"")))</f>
        <v/>
      </c>
      <c r="M819" s="81" t="str">
        <f aca="false">IF(B819="","",IF(OR(J819&lt;&gt;"",K819&lt;&gt;""),"POSÉ EN LIGNE",IF(H819&lt;&gt;"","BARDÉ","EN STOCK")))</f>
        <v/>
      </c>
      <c r="N819" s="79"/>
    </row>
    <row r="820" customFormat="false" ht="15" hidden="false" customHeight="false" outlineLevel="0" collapsed="false">
      <c r="A820" s="78" t="str">
        <f aca="false">IF(B820="","",ROW()-6)</f>
        <v/>
      </c>
      <c r="B820" s="90"/>
      <c r="C820" s="91"/>
      <c r="D820" s="91"/>
      <c r="E820" s="80"/>
      <c r="F820" s="92"/>
      <c r="G820" s="79"/>
      <c r="H820" s="82"/>
      <c r="I820" s="93" t="str">
        <f aca="false">IF(B820="","",IFERROR(INDEX('CARNET DE SOUDURE'!$B$7:$B$1506,MATCH(B820,'CARNET DE SOUDURE'!$K$7:$K$1506,0)),IFERROR(INDEX('CARNET DE SOUDURE'!$B$7:$B$1506,MATCH(B820,'CARNET DE SOUDURE'!$M$7:$M$1506,0)),"")))</f>
        <v/>
      </c>
      <c r="J820" s="78" t="str">
        <f aca="false">IF(B820="","",IFERROR(INDEX('CARNET DE SOUDURE'!$E$7:$E$1506,MATCH(B820,'CARNET DE SOUDURE'!$M$7:$M$1506,0)),""))</f>
        <v/>
      </c>
      <c r="K820" s="78" t="str">
        <f aca="false">IF(B820="","",IFERROR(INDEX('CARNET DE SOUDURE'!$E$7:$E$1506,MATCH(B820,'CARNET DE SOUDURE'!$K$7:$K$1506,0)),""))</f>
        <v/>
      </c>
      <c r="L820" s="78" t="str">
        <f aca="false">IF(B820="","",IFERROR(INDEX('CARNET DE SOUDURE'!$D$7:$D$1506,MATCH(B820,'CARNET DE SOUDURE'!$K$7:$K$1506,0)),IFERROR(INDEX('CARNET DE SOUDURE'!$D$7:$D$1506,MATCH(B820,'CARNET DE SOUDURE'!$M$7:$M$1506,0)),"")))</f>
        <v/>
      </c>
      <c r="M820" s="81" t="str">
        <f aca="false">IF(B820="","",IF(OR(J820&lt;&gt;"",K820&lt;&gt;""),"POSÉ EN LIGNE",IF(H820&lt;&gt;"","BARDÉ","EN STOCK")))</f>
        <v/>
      </c>
      <c r="N820" s="79"/>
    </row>
    <row r="821" customFormat="false" ht="15" hidden="false" customHeight="false" outlineLevel="0" collapsed="false">
      <c r="A821" s="78" t="str">
        <f aca="false">IF(B821="","",ROW()-6)</f>
        <v/>
      </c>
      <c r="B821" s="90"/>
      <c r="C821" s="91"/>
      <c r="D821" s="91"/>
      <c r="E821" s="80"/>
      <c r="F821" s="92"/>
      <c r="G821" s="79"/>
      <c r="H821" s="82"/>
      <c r="I821" s="93" t="str">
        <f aca="false">IF(B821="","",IFERROR(INDEX('CARNET DE SOUDURE'!$B$7:$B$1506,MATCH(B821,'CARNET DE SOUDURE'!$K$7:$K$1506,0)),IFERROR(INDEX('CARNET DE SOUDURE'!$B$7:$B$1506,MATCH(B821,'CARNET DE SOUDURE'!$M$7:$M$1506,0)),"")))</f>
        <v/>
      </c>
      <c r="J821" s="78" t="str">
        <f aca="false">IF(B821="","",IFERROR(INDEX('CARNET DE SOUDURE'!$E$7:$E$1506,MATCH(B821,'CARNET DE SOUDURE'!$M$7:$M$1506,0)),""))</f>
        <v/>
      </c>
      <c r="K821" s="78" t="str">
        <f aca="false">IF(B821="","",IFERROR(INDEX('CARNET DE SOUDURE'!$E$7:$E$1506,MATCH(B821,'CARNET DE SOUDURE'!$K$7:$K$1506,0)),""))</f>
        <v/>
      </c>
      <c r="L821" s="78" t="str">
        <f aca="false">IF(B821="","",IFERROR(INDEX('CARNET DE SOUDURE'!$D$7:$D$1506,MATCH(B821,'CARNET DE SOUDURE'!$K$7:$K$1506,0)),IFERROR(INDEX('CARNET DE SOUDURE'!$D$7:$D$1506,MATCH(B821,'CARNET DE SOUDURE'!$M$7:$M$1506,0)),"")))</f>
        <v/>
      </c>
      <c r="M821" s="81" t="str">
        <f aca="false">IF(B821="","",IF(OR(J821&lt;&gt;"",K821&lt;&gt;""),"POSÉ EN LIGNE",IF(H821&lt;&gt;"","BARDÉ","EN STOCK")))</f>
        <v/>
      </c>
      <c r="N821" s="79"/>
    </row>
    <row r="822" customFormat="false" ht="15" hidden="false" customHeight="false" outlineLevel="0" collapsed="false">
      <c r="A822" s="78" t="str">
        <f aca="false">IF(B822="","",ROW()-6)</f>
        <v/>
      </c>
      <c r="B822" s="90"/>
      <c r="C822" s="91"/>
      <c r="D822" s="91"/>
      <c r="E822" s="80"/>
      <c r="F822" s="92"/>
      <c r="G822" s="79"/>
      <c r="H822" s="82"/>
      <c r="I822" s="93" t="str">
        <f aca="false">IF(B822="","",IFERROR(INDEX('CARNET DE SOUDURE'!$B$7:$B$1506,MATCH(B822,'CARNET DE SOUDURE'!$K$7:$K$1506,0)),IFERROR(INDEX('CARNET DE SOUDURE'!$B$7:$B$1506,MATCH(B822,'CARNET DE SOUDURE'!$M$7:$M$1506,0)),"")))</f>
        <v/>
      </c>
      <c r="J822" s="78" t="str">
        <f aca="false">IF(B822="","",IFERROR(INDEX('CARNET DE SOUDURE'!$E$7:$E$1506,MATCH(B822,'CARNET DE SOUDURE'!$M$7:$M$1506,0)),""))</f>
        <v/>
      </c>
      <c r="K822" s="78" t="str">
        <f aca="false">IF(B822="","",IFERROR(INDEX('CARNET DE SOUDURE'!$E$7:$E$1506,MATCH(B822,'CARNET DE SOUDURE'!$K$7:$K$1506,0)),""))</f>
        <v/>
      </c>
      <c r="L822" s="78" t="str">
        <f aca="false">IF(B822="","",IFERROR(INDEX('CARNET DE SOUDURE'!$D$7:$D$1506,MATCH(B822,'CARNET DE SOUDURE'!$K$7:$K$1506,0)),IFERROR(INDEX('CARNET DE SOUDURE'!$D$7:$D$1506,MATCH(B822,'CARNET DE SOUDURE'!$M$7:$M$1506,0)),"")))</f>
        <v/>
      </c>
      <c r="M822" s="81" t="str">
        <f aca="false">IF(B822="","",IF(OR(J822&lt;&gt;"",K822&lt;&gt;""),"POSÉ EN LIGNE",IF(H822&lt;&gt;"","BARDÉ","EN STOCK")))</f>
        <v/>
      </c>
      <c r="N822" s="79"/>
    </row>
    <row r="823" customFormat="false" ht="15" hidden="false" customHeight="false" outlineLevel="0" collapsed="false">
      <c r="A823" s="78" t="str">
        <f aca="false">IF(B823="","",ROW()-6)</f>
        <v/>
      </c>
      <c r="B823" s="90"/>
      <c r="C823" s="91"/>
      <c r="D823" s="91"/>
      <c r="E823" s="80"/>
      <c r="F823" s="92"/>
      <c r="G823" s="79"/>
      <c r="H823" s="82"/>
      <c r="I823" s="93" t="str">
        <f aca="false">IF(B823="","",IFERROR(INDEX('CARNET DE SOUDURE'!$B$7:$B$1506,MATCH(B823,'CARNET DE SOUDURE'!$K$7:$K$1506,0)),IFERROR(INDEX('CARNET DE SOUDURE'!$B$7:$B$1506,MATCH(B823,'CARNET DE SOUDURE'!$M$7:$M$1506,0)),"")))</f>
        <v/>
      </c>
      <c r="J823" s="78" t="str">
        <f aca="false">IF(B823="","",IFERROR(INDEX('CARNET DE SOUDURE'!$E$7:$E$1506,MATCH(B823,'CARNET DE SOUDURE'!$M$7:$M$1506,0)),""))</f>
        <v/>
      </c>
      <c r="K823" s="78" t="str">
        <f aca="false">IF(B823="","",IFERROR(INDEX('CARNET DE SOUDURE'!$E$7:$E$1506,MATCH(B823,'CARNET DE SOUDURE'!$K$7:$K$1506,0)),""))</f>
        <v/>
      </c>
      <c r="L823" s="78" t="str">
        <f aca="false">IF(B823="","",IFERROR(INDEX('CARNET DE SOUDURE'!$D$7:$D$1506,MATCH(B823,'CARNET DE SOUDURE'!$K$7:$K$1506,0)),IFERROR(INDEX('CARNET DE SOUDURE'!$D$7:$D$1506,MATCH(B823,'CARNET DE SOUDURE'!$M$7:$M$1506,0)),"")))</f>
        <v/>
      </c>
      <c r="M823" s="81" t="str">
        <f aca="false">IF(B823="","",IF(OR(J823&lt;&gt;"",K823&lt;&gt;""),"POSÉ EN LIGNE",IF(H823&lt;&gt;"","BARDÉ","EN STOCK")))</f>
        <v/>
      </c>
      <c r="N823" s="79"/>
    </row>
    <row r="824" customFormat="false" ht="15" hidden="false" customHeight="false" outlineLevel="0" collapsed="false">
      <c r="A824" s="78" t="str">
        <f aca="false">IF(B824="","",ROW()-6)</f>
        <v/>
      </c>
      <c r="B824" s="90"/>
      <c r="C824" s="91"/>
      <c r="D824" s="91"/>
      <c r="E824" s="80"/>
      <c r="F824" s="92"/>
      <c r="G824" s="79"/>
      <c r="H824" s="82"/>
      <c r="I824" s="93" t="str">
        <f aca="false">IF(B824="","",IFERROR(INDEX('CARNET DE SOUDURE'!$B$7:$B$1506,MATCH(B824,'CARNET DE SOUDURE'!$K$7:$K$1506,0)),IFERROR(INDEX('CARNET DE SOUDURE'!$B$7:$B$1506,MATCH(B824,'CARNET DE SOUDURE'!$M$7:$M$1506,0)),"")))</f>
        <v/>
      </c>
      <c r="J824" s="78" t="str">
        <f aca="false">IF(B824="","",IFERROR(INDEX('CARNET DE SOUDURE'!$E$7:$E$1506,MATCH(B824,'CARNET DE SOUDURE'!$M$7:$M$1506,0)),""))</f>
        <v/>
      </c>
      <c r="K824" s="78" t="str">
        <f aca="false">IF(B824="","",IFERROR(INDEX('CARNET DE SOUDURE'!$E$7:$E$1506,MATCH(B824,'CARNET DE SOUDURE'!$K$7:$K$1506,0)),""))</f>
        <v/>
      </c>
      <c r="L824" s="78" t="str">
        <f aca="false">IF(B824="","",IFERROR(INDEX('CARNET DE SOUDURE'!$D$7:$D$1506,MATCH(B824,'CARNET DE SOUDURE'!$K$7:$K$1506,0)),IFERROR(INDEX('CARNET DE SOUDURE'!$D$7:$D$1506,MATCH(B824,'CARNET DE SOUDURE'!$M$7:$M$1506,0)),"")))</f>
        <v/>
      </c>
      <c r="M824" s="81" t="str">
        <f aca="false">IF(B824="","",IF(OR(J824&lt;&gt;"",K824&lt;&gt;""),"POSÉ EN LIGNE",IF(H824&lt;&gt;"","BARDÉ","EN STOCK")))</f>
        <v/>
      </c>
      <c r="N824" s="79"/>
    </row>
    <row r="825" customFormat="false" ht="15" hidden="false" customHeight="false" outlineLevel="0" collapsed="false">
      <c r="A825" s="78" t="str">
        <f aca="false">IF(B825="","",ROW()-6)</f>
        <v/>
      </c>
      <c r="B825" s="90"/>
      <c r="C825" s="91"/>
      <c r="D825" s="91"/>
      <c r="E825" s="80"/>
      <c r="F825" s="92"/>
      <c r="G825" s="79"/>
      <c r="H825" s="82"/>
      <c r="I825" s="93" t="str">
        <f aca="false">IF(B825="","",IFERROR(INDEX('CARNET DE SOUDURE'!$B$7:$B$1506,MATCH(B825,'CARNET DE SOUDURE'!$K$7:$K$1506,0)),IFERROR(INDEX('CARNET DE SOUDURE'!$B$7:$B$1506,MATCH(B825,'CARNET DE SOUDURE'!$M$7:$M$1506,0)),"")))</f>
        <v/>
      </c>
      <c r="J825" s="78" t="str">
        <f aca="false">IF(B825="","",IFERROR(INDEX('CARNET DE SOUDURE'!$E$7:$E$1506,MATCH(B825,'CARNET DE SOUDURE'!$M$7:$M$1506,0)),""))</f>
        <v/>
      </c>
      <c r="K825" s="78" t="str">
        <f aca="false">IF(B825="","",IFERROR(INDEX('CARNET DE SOUDURE'!$E$7:$E$1506,MATCH(B825,'CARNET DE SOUDURE'!$K$7:$K$1506,0)),""))</f>
        <v/>
      </c>
      <c r="L825" s="78" t="str">
        <f aca="false">IF(B825="","",IFERROR(INDEX('CARNET DE SOUDURE'!$D$7:$D$1506,MATCH(B825,'CARNET DE SOUDURE'!$K$7:$K$1506,0)),IFERROR(INDEX('CARNET DE SOUDURE'!$D$7:$D$1506,MATCH(B825,'CARNET DE SOUDURE'!$M$7:$M$1506,0)),"")))</f>
        <v/>
      </c>
      <c r="M825" s="81" t="str">
        <f aca="false">IF(B825="","",IF(OR(J825&lt;&gt;"",K825&lt;&gt;""),"POSÉ EN LIGNE",IF(H825&lt;&gt;"","BARDÉ","EN STOCK")))</f>
        <v/>
      </c>
      <c r="N825" s="79"/>
    </row>
    <row r="826" customFormat="false" ht="15" hidden="false" customHeight="false" outlineLevel="0" collapsed="false">
      <c r="A826" s="78" t="str">
        <f aca="false">IF(B826="","",ROW()-6)</f>
        <v/>
      </c>
      <c r="B826" s="90"/>
      <c r="C826" s="91"/>
      <c r="D826" s="91"/>
      <c r="E826" s="80"/>
      <c r="F826" s="92"/>
      <c r="G826" s="79"/>
      <c r="H826" s="82"/>
      <c r="I826" s="93" t="str">
        <f aca="false">IF(B826="","",IFERROR(INDEX('CARNET DE SOUDURE'!$B$7:$B$1506,MATCH(B826,'CARNET DE SOUDURE'!$K$7:$K$1506,0)),IFERROR(INDEX('CARNET DE SOUDURE'!$B$7:$B$1506,MATCH(B826,'CARNET DE SOUDURE'!$M$7:$M$1506,0)),"")))</f>
        <v/>
      </c>
      <c r="J826" s="78" t="str">
        <f aca="false">IF(B826="","",IFERROR(INDEX('CARNET DE SOUDURE'!$E$7:$E$1506,MATCH(B826,'CARNET DE SOUDURE'!$M$7:$M$1506,0)),""))</f>
        <v/>
      </c>
      <c r="K826" s="78" t="str">
        <f aca="false">IF(B826="","",IFERROR(INDEX('CARNET DE SOUDURE'!$E$7:$E$1506,MATCH(B826,'CARNET DE SOUDURE'!$K$7:$K$1506,0)),""))</f>
        <v/>
      </c>
      <c r="L826" s="78" t="str">
        <f aca="false">IF(B826="","",IFERROR(INDEX('CARNET DE SOUDURE'!$D$7:$D$1506,MATCH(B826,'CARNET DE SOUDURE'!$K$7:$K$1506,0)),IFERROR(INDEX('CARNET DE SOUDURE'!$D$7:$D$1506,MATCH(B826,'CARNET DE SOUDURE'!$M$7:$M$1506,0)),"")))</f>
        <v/>
      </c>
      <c r="M826" s="81" t="str">
        <f aca="false">IF(B826="","",IF(OR(J826&lt;&gt;"",K826&lt;&gt;""),"POSÉ EN LIGNE",IF(H826&lt;&gt;"","BARDÉ","EN STOCK")))</f>
        <v/>
      </c>
      <c r="N826" s="79"/>
    </row>
    <row r="827" customFormat="false" ht="15" hidden="false" customHeight="false" outlineLevel="0" collapsed="false">
      <c r="A827" s="78" t="str">
        <f aca="false">IF(B827="","",ROW()-6)</f>
        <v/>
      </c>
      <c r="B827" s="90"/>
      <c r="C827" s="91"/>
      <c r="D827" s="91"/>
      <c r="E827" s="80"/>
      <c r="F827" s="92"/>
      <c r="G827" s="79"/>
      <c r="H827" s="82"/>
      <c r="I827" s="93" t="str">
        <f aca="false">IF(B827="","",IFERROR(INDEX('CARNET DE SOUDURE'!$B$7:$B$1506,MATCH(B827,'CARNET DE SOUDURE'!$K$7:$K$1506,0)),IFERROR(INDEX('CARNET DE SOUDURE'!$B$7:$B$1506,MATCH(B827,'CARNET DE SOUDURE'!$M$7:$M$1506,0)),"")))</f>
        <v/>
      </c>
      <c r="J827" s="78" t="str">
        <f aca="false">IF(B827="","",IFERROR(INDEX('CARNET DE SOUDURE'!$E$7:$E$1506,MATCH(B827,'CARNET DE SOUDURE'!$M$7:$M$1506,0)),""))</f>
        <v/>
      </c>
      <c r="K827" s="78" t="str">
        <f aca="false">IF(B827="","",IFERROR(INDEX('CARNET DE SOUDURE'!$E$7:$E$1506,MATCH(B827,'CARNET DE SOUDURE'!$K$7:$K$1506,0)),""))</f>
        <v/>
      </c>
      <c r="L827" s="78" t="str">
        <f aca="false">IF(B827="","",IFERROR(INDEX('CARNET DE SOUDURE'!$D$7:$D$1506,MATCH(B827,'CARNET DE SOUDURE'!$K$7:$K$1506,0)),IFERROR(INDEX('CARNET DE SOUDURE'!$D$7:$D$1506,MATCH(B827,'CARNET DE SOUDURE'!$M$7:$M$1506,0)),"")))</f>
        <v/>
      </c>
      <c r="M827" s="81" t="str">
        <f aca="false">IF(B827="","",IF(OR(J827&lt;&gt;"",K827&lt;&gt;""),"POSÉ EN LIGNE",IF(H827&lt;&gt;"","BARDÉ","EN STOCK")))</f>
        <v/>
      </c>
      <c r="N827" s="79"/>
    </row>
    <row r="828" customFormat="false" ht="15" hidden="false" customHeight="false" outlineLevel="0" collapsed="false">
      <c r="A828" s="78" t="str">
        <f aca="false">IF(B828="","",ROW()-6)</f>
        <v/>
      </c>
      <c r="B828" s="90"/>
      <c r="C828" s="91"/>
      <c r="D828" s="91"/>
      <c r="E828" s="80"/>
      <c r="F828" s="92"/>
      <c r="G828" s="79"/>
      <c r="H828" s="82"/>
      <c r="I828" s="93" t="str">
        <f aca="false">IF(B828="","",IFERROR(INDEX('CARNET DE SOUDURE'!$B$7:$B$1506,MATCH(B828,'CARNET DE SOUDURE'!$K$7:$K$1506,0)),IFERROR(INDEX('CARNET DE SOUDURE'!$B$7:$B$1506,MATCH(B828,'CARNET DE SOUDURE'!$M$7:$M$1506,0)),"")))</f>
        <v/>
      </c>
      <c r="J828" s="78" t="str">
        <f aca="false">IF(B828="","",IFERROR(INDEX('CARNET DE SOUDURE'!$E$7:$E$1506,MATCH(B828,'CARNET DE SOUDURE'!$M$7:$M$1506,0)),""))</f>
        <v/>
      </c>
      <c r="K828" s="78" t="str">
        <f aca="false">IF(B828="","",IFERROR(INDEX('CARNET DE SOUDURE'!$E$7:$E$1506,MATCH(B828,'CARNET DE SOUDURE'!$K$7:$K$1506,0)),""))</f>
        <v/>
      </c>
      <c r="L828" s="78" t="str">
        <f aca="false">IF(B828="","",IFERROR(INDEX('CARNET DE SOUDURE'!$D$7:$D$1506,MATCH(B828,'CARNET DE SOUDURE'!$K$7:$K$1506,0)),IFERROR(INDEX('CARNET DE SOUDURE'!$D$7:$D$1506,MATCH(B828,'CARNET DE SOUDURE'!$M$7:$M$1506,0)),"")))</f>
        <v/>
      </c>
      <c r="M828" s="81" t="str">
        <f aca="false">IF(B828="","",IF(OR(J828&lt;&gt;"",K828&lt;&gt;""),"POSÉ EN LIGNE",IF(H828&lt;&gt;"","BARDÉ","EN STOCK")))</f>
        <v/>
      </c>
      <c r="N828" s="79"/>
    </row>
    <row r="829" customFormat="false" ht="15" hidden="false" customHeight="false" outlineLevel="0" collapsed="false">
      <c r="A829" s="78" t="str">
        <f aca="false">IF(B829="","",ROW()-6)</f>
        <v/>
      </c>
      <c r="B829" s="90"/>
      <c r="C829" s="91"/>
      <c r="D829" s="91"/>
      <c r="E829" s="80"/>
      <c r="F829" s="92"/>
      <c r="G829" s="79"/>
      <c r="H829" s="82"/>
      <c r="I829" s="93" t="str">
        <f aca="false">IF(B829="","",IFERROR(INDEX('CARNET DE SOUDURE'!$B$7:$B$1506,MATCH(B829,'CARNET DE SOUDURE'!$K$7:$K$1506,0)),IFERROR(INDEX('CARNET DE SOUDURE'!$B$7:$B$1506,MATCH(B829,'CARNET DE SOUDURE'!$M$7:$M$1506,0)),"")))</f>
        <v/>
      </c>
      <c r="J829" s="78" t="str">
        <f aca="false">IF(B829="","",IFERROR(INDEX('CARNET DE SOUDURE'!$E$7:$E$1506,MATCH(B829,'CARNET DE SOUDURE'!$M$7:$M$1506,0)),""))</f>
        <v/>
      </c>
      <c r="K829" s="78" t="str">
        <f aca="false">IF(B829="","",IFERROR(INDEX('CARNET DE SOUDURE'!$E$7:$E$1506,MATCH(B829,'CARNET DE SOUDURE'!$K$7:$K$1506,0)),""))</f>
        <v/>
      </c>
      <c r="L829" s="78" t="str">
        <f aca="false">IF(B829="","",IFERROR(INDEX('CARNET DE SOUDURE'!$D$7:$D$1506,MATCH(B829,'CARNET DE SOUDURE'!$K$7:$K$1506,0)),IFERROR(INDEX('CARNET DE SOUDURE'!$D$7:$D$1506,MATCH(B829,'CARNET DE SOUDURE'!$M$7:$M$1506,0)),"")))</f>
        <v/>
      </c>
      <c r="M829" s="81" t="str">
        <f aca="false">IF(B829="","",IF(OR(J829&lt;&gt;"",K829&lt;&gt;""),"POSÉ EN LIGNE",IF(H829&lt;&gt;"","BARDÉ","EN STOCK")))</f>
        <v/>
      </c>
      <c r="N829" s="79"/>
    </row>
    <row r="830" customFormat="false" ht="15" hidden="false" customHeight="false" outlineLevel="0" collapsed="false">
      <c r="A830" s="78" t="str">
        <f aca="false">IF(B830="","",ROW()-6)</f>
        <v/>
      </c>
      <c r="B830" s="90"/>
      <c r="C830" s="91"/>
      <c r="D830" s="91"/>
      <c r="E830" s="80"/>
      <c r="F830" s="92"/>
      <c r="G830" s="79"/>
      <c r="H830" s="82"/>
      <c r="I830" s="93" t="str">
        <f aca="false">IF(B830="","",IFERROR(INDEX('CARNET DE SOUDURE'!$B$7:$B$1506,MATCH(B830,'CARNET DE SOUDURE'!$K$7:$K$1506,0)),IFERROR(INDEX('CARNET DE SOUDURE'!$B$7:$B$1506,MATCH(B830,'CARNET DE SOUDURE'!$M$7:$M$1506,0)),"")))</f>
        <v/>
      </c>
      <c r="J830" s="78" t="str">
        <f aca="false">IF(B830="","",IFERROR(INDEX('CARNET DE SOUDURE'!$E$7:$E$1506,MATCH(B830,'CARNET DE SOUDURE'!$M$7:$M$1506,0)),""))</f>
        <v/>
      </c>
      <c r="K830" s="78" t="str">
        <f aca="false">IF(B830="","",IFERROR(INDEX('CARNET DE SOUDURE'!$E$7:$E$1506,MATCH(B830,'CARNET DE SOUDURE'!$K$7:$K$1506,0)),""))</f>
        <v/>
      </c>
      <c r="L830" s="78" t="str">
        <f aca="false">IF(B830="","",IFERROR(INDEX('CARNET DE SOUDURE'!$D$7:$D$1506,MATCH(B830,'CARNET DE SOUDURE'!$K$7:$K$1506,0)),IFERROR(INDEX('CARNET DE SOUDURE'!$D$7:$D$1506,MATCH(B830,'CARNET DE SOUDURE'!$M$7:$M$1506,0)),"")))</f>
        <v/>
      </c>
      <c r="M830" s="81" t="str">
        <f aca="false">IF(B830="","",IF(OR(J830&lt;&gt;"",K830&lt;&gt;""),"POSÉ EN LIGNE",IF(H830&lt;&gt;"","BARDÉ","EN STOCK")))</f>
        <v/>
      </c>
      <c r="N830" s="79"/>
    </row>
    <row r="831" customFormat="false" ht="15" hidden="false" customHeight="false" outlineLevel="0" collapsed="false">
      <c r="A831" s="78" t="str">
        <f aca="false">IF(B831="","",ROW()-6)</f>
        <v/>
      </c>
      <c r="B831" s="90"/>
      <c r="C831" s="91"/>
      <c r="D831" s="91"/>
      <c r="E831" s="80"/>
      <c r="F831" s="92"/>
      <c r="G831" s="79"/>
      <c r="H831" s="82"/>
      <c r="I831" s="93" t="str">
        <f aca="false">IF(B831="","",IFERROR(INDEX('CARNET DE SOUDURE'!$B$7:$B$1506,MATCH(B831,'CARNET DE SOUDURE'!$K$7:$K$1506,0)),IFERROR(INDEX('CARNET DE SOUDURE'!$B$7:$B$1506,MATCH(B831,'CARNET DE SOUDURE'!$M$7:$M$1506,0)),"")))</f>
        <v/>
      </c>
      <c r="J831" s="78" t="str">
        <f aca="false">IF(B831="","",IFERROR(INDEX('CARNET DE SOUDURE'!$E$7:$E$1506,MATCH(B831,'CARNET DE SOUDURE'!$M$7:$M$1506,0)),""))</f>
        <v/>
      </c>
      <c r="K831" s="78" t="str">
        <f aca="false">IF(B831="","",IFERROR(INDEX('CARNET DE SOUDURE'!$E$7:$E$1506,MATCH(B831,'CARNET DE SOUDURE'!$K$7:$K$1506,0)),""))</f>
        <v/>
      </c>
      <c r="L831" s="78" t="str">
        <f aca="false">IF(B831="","",IFERROR(INDEX('CARNET DE SOUDURE'!$D$7:$D$1506,MATCH(B831,'CARNET DE SOUDURE'!$K$7:$K$1506,0)),IFERROR(INDEX('CARNET DE SOUDURE'!$D$7:$D$1506,MATCH(B831,'CARNET DE SOUDURE'!$M$7:$M$1506,0)),"")))</f>
        <v/>
      </c>
      <c r="M831" s="81" t="str">
        <f aca="false">IF(B831="","",IF(OR(J831&lt;&gt;"",K831&lt;&gt;""),"POSÉ EN LIGNE",IF(H831&lt;&gt;"","BARDÉ","EN STOCK")))</f>
        <v/>
      </c>
      <c r="N831" s="79"/>
    </row>
    <row r="832" customFormat="false" ht="15" hidden="false" customHeight="false" outlineLevel="0" collapsed="false">
      <c r="A832" s="78" t="str">
        <f aca="false">IF(B832="","",ROW()-6)</f>
        <v/>
      </c>
      <c r="B832" s="90"/>
      <c r="C832" s="91"/>
      <c r="D832" s="91"/>
      <c r="E832" s="80"/>
      <c r="F832" s="92"/>
      <c r="G832" s="79"/>
      <c r="H832" s="82"/>
      <c r="I832" s="93" t="str">
        <f aca="false">IF(B832="","",IFERROR(INDEX('CARNET DE SOUDURE'!$B$7:$B$1506,MATCH(B832,'CARNET DE SOUDURE'!$K$7:$K$1506,0)),IFERROR(INDEX('CARNET DE SOUDURE'!$B$7:$B$1506,MATCH(B832,'CARNET DE SOUDURE'!$M$7:$M$1506,0)),"")))</f>
        <v/>
      </c>
      <c r="J832" s="78" t="str">
        <f aca="false">IF(B832="","",IFERROR(INDEX('CARNET DE SOUDURE'!$E$7:$E$1506,MATCH(B832,'CARNET DE SOUDURE'!$M$7:$M$1506,0)),""))</f>
        <v/>
      </c>
      <c r="K832" s="78" t="str">
        <f aca="false">IF(B832="","",IFERROR(INDEX('CARNET DE SOUDURE'!$E$7:$E$1506,MATCH(B832,'CARNET DE SOUDURE'!$K$7:$K$1506,0)),""))</f>
        <v/>
      </c>
      <c r="L832" s="78" t="str">
        <f aca="false">IF(B832="","",IFERROR(INDEX('CARNET DE SOUDURE'!$D$7:$D$1506,MATCH(B832,'CARNET DE SOUDURE'!$K$7:$K$1506,0)),IFERROR(INDEX('CARNET DE SOUDURE'!$D$7:$D$1506,MATCH(B832,'CARNET DE SOUDURE'!$M$7:$M$1506,0)),"")))</f>
        <v/>
      </c>
      <c r="M832" s="81" t="str">
        <f aca="false">IF(B832="","",IF(OR(J832&lt;&gt;"",K832&lt;&gt;""),"POSÉ EN LIGNE",IF(H832&lt;&gt;"","BARDÉ","EN STOCK")))</f>
        <v/>
      </c>
      <c r="N832" s="79"/>
    </row>
    <row r="833" customFormat="false" ht="15" hidden="false" customHeight="false" outlineLevel="0" collapsed="false">
      <c r="A833" s="78" t="str">
        <f aca="false">IF(B833="","",ROW()-6)</f>
        <v/>
      </c>
      <c r="B833" s="90"/>
      <c r="C833" s="91"/>
      <c r="D833" s="91"/>
      <c r="E833" s="80"/>
      <c r="F833" s="92"/>
      <c r="G833" s="79"/>
      <c r="H833" s="82"/>
      <c r="I833" s="93" t="str">
        <f aca="false">IF(B833="","",IFERROR(INDEX('CARNET DE SOUDURE'!$B$7:$B$1506,MATCH(B833,'CARNET DE SOUDURE'!$K$7:$K$1506,0)),IFERROR(INDEX('CARNET DE SOUDURE'!$B$7:$B$1506,MATCH(B833,'CARNET DE SOUDURE'!$M$7:$M$1506,0)),"")))</f>
        <v/>
      </c>
      <c r="J833" s="78" t="str">
        <f aca="false">IF(B833="","",IFERROR(INDEX('CARNET DE SOUDURE'!$E$7:$E$1506,MATCH(B833,'CARNET DE SOUDURE'!$M$7:$M$1506,0)),""))</f>
        <v/>
      </c>
      <c r="K833" s="78" t="str">
        <f aca="false">IF(B833="","",IFERROR(INDEX('CARNET DE SOUDURE'!$E$7:$E$1506,MATCH(B833,'CARNET DE SOUDURE'!$K$7:$K$1506,0)),""))</f>
        <v/>
      </c>
      <c r="L833" s="78" t="str">
        <f aca="false">IF(B833="","",IFERROR(INDEX('CARNET DE SOUDURE'!$D$7:$D$1506,MATCH(B833,'CARNET DE SOUDURE'!$K$7:$K$1506,0)),IFERROR(INDEX('CARNET DE SOUDURE'!$D$7:$D$1506,MATCH(B833,'CARNET DE SOUDURE'!$M$7:$M$1506,0)),"")))</f>
        <v/>
      </c>
      <c r="M833" s="81" t="str">
        <f aca="false">IF(B833="","",IF(OR(J833&lt;&gt;"",K833&lt;&gt;""),"POSÉ EN LIGNE",IF(H833&lt;&gt;"","BARDÉ","EN STOCK")))</f>
        <v/>
      </c>
      <c r="N833" s="79"/>
    </row>
    <row r="834" customFormat="false" ht="15" hidden="false" customHeight="false" outlineLevel="0" collapsed="false">
      <c r="A834" s="78" t="str">
        <f aca="false">IF(B834="","",ROW()-6)</f>
        <v/>
      </c>
      <c r="B834" s="90"/>
      <c r="C834" s="91"/>
      <c r="D834" s="91"/>
      <c r="E834" s="80"/>
      <c r="F834" s="92"/>
      <c r="G834" s="79"/>
      <c r="H834" s="82"/>
      <c r="I834" s="93" t="str">
        <f aca="false">IF(B834="","",IFERROR(INDEX('CARNET DE SOUDURE'!$B$7:$B$1506,MATCH(B834,'CARNET DE SOUDURE'!$K$7:$K$1506,0)),IFERROR(INDEX('CARNET DE SOUDURE'!$B$7:$B$1506,MATCH(B834,'CARNET DE SOUDURE'!$M$7:$M$1506,0)),"")))</f>
        <v/>
      </c>
      <c r="J834" s="78" t="str">
        <f aca="false">IF(B834="","",IFERROR(INDEX('CARNET DE SOUDURE'!$E$7:$E$1506,MATCH(B834,'CARNET DE SOUDURE'!$M$7:$M$1506,0)),""))</f>
        <v/>
      </c>
      <c r="K834" s="78" t="str">
        <f aca="false">IF(B834="","",IFERROR(INDEX('CARNET DE SOUDURE'!$E$7:$E$1506,MATCH(B834,'CARNET DE SOUDURE'!$K$7:$K$1506,0)),""))</f>
        <v/>
      </c>
      <c r="L834" s="78" t="str">
        <f aca="false">IF(B834="","",IFERROR(INDEX('CARNET DE SOUDURE'!$D$7:$D$1506,MATCH(B834,'CARNET DE SOUDURE'!$K$7:$K$1506,0)),IFERROR(INDEX('CARNET DE SOUDURE'!$D$7:$D$1506,MATCH(B834,'CARNET DE SOUDURE'!$M$7:$M$1506,0)),"")))</f>
        <v/>
      </c>
      <c r="M834" s="81" t="str">
        <f aca="false">IF(B834="","",IF(OR(J834&lt;&gt;"",K834&lt;&gt;""),"POSÉ EN LIGNE",IF(H834&lt;&gt;"","BARDÉ","EN STOCK")))</f>
        <v/>
      </c>
      <c r="N834" s="79"/>
    </row>
    <row r="835" customFormat="false" ht="15" hidden="false" customHeight="false" outlineLevel="0" collapsed="false">
      <c r="A835" s="78" t="str">
        <f aca="false">IF(B835="","",ROW()-6)</f>
        <v/>
      </c>
      <c r="B835" s="90"/>
      <c r="C835" s="91"/>
      <c r="D835" s="91"/>
      <c r="E835" s="80"/>
      <c r="F835" s="92"/>
      <c r="G835" s="79"/>
      <c r="H835" s="82"/>
      <c r="I835" s="93" t="str">
        <f aca="false">IF(B835="","",IFERROR(INDEX('CARNET DE SOUDURE'!$B$7:$B$1506,MATCH(B835,'CARNET DE SOUDURE'!$K$7:$K$1506,0)),IFERROR(INDEX('CARNET DE SOUDURE'!$B$7:$B$1506,MATCH(B835,'CARNET DE SOUDURE'!$M$7:$M$1506,0)),"")))</f>
        <v/>
      </c>
      <c r="J835" s="78" t="str">
        <f aca="false">IF(B835="","",IFERROR(INDEX('CARNET DE SOUDURE'!$E$7:$E$1506,MATCH(B835,'CARNET DE SOUDURE'!$M$7:$M$1506,0)),""))</f>
        <v/>
      </c>
      <c r="K835" s="78" t="str">
        <f aca="false">IF(B835="","",IFERROR(INDEX('CARNET DE SOUDURE'!$E$7:$E$1506,MATCH(B835,'CARNET DE SOUDURE'!$K$7:$K$1506,0)),""))</f>
        <v/>
      </c>
      <c r="L835" s="78" t="str">
        <f aca="false">IF(B835="","",IFERROR(INDEX('CARNET DE SOUDURE'!$D$7:$D$1506,MATCH(B835,'CARNET DE SOUDURE'!$K$7:$K$1506,0)),IFERROR(INDEX('CARNET DE SOUDURE'!$D$7:$D$1506,MATCH(B835,'CARNET DE SOUDURE'!$M$7:$M$1506,0)),"")))</f>
        <v/>
      </c>
      <c r="M835" s="81" t="str">
        <f aca="false">IF(B835="","",IF(OR(J835&lt;&gt;"",K835&lt;&gt;""),"POSÉ EN LIGNE",IF(H835&lt;&gt;"","BARDÉ","EN STOCK")))</f>
        <v/>
      </c>
      <c r="N835" s="79"/>
    </row>
    <row r="836" customFormat="false" ht="15" hidden="false" customHeight="false" outlineLevel="0" collapsed="false">
      <c r="A836" s="78" t="str">
        <f aca="false">IF(B836="","",ROW()-6)</f>
        <v/>
      </c>
      <c r="B836" s="90"/>
      <c r="C836" s="91"/>
      <c r="D836" s="91"/>
      <c r="E836" s="80"/>
      <c r="F836" s="92"/>
      <c r="G836" s="79"/>
      <c r="H836" s="82"/>
      <c r="I836" s="93" t="str">
        <f aca="false">IF(B836="","",IFERROR(INDEX('CARNET DE SOUDURE'!$B$7:$B$1506,MATCH(B836,'CARNET DE SOUDURE'!$K$7:$K$1506,0)),IFERROR(INDEX('CARNET DE SOUDURE'!$B$7:$B$1506,MATCH(B836,'CARNET DE SOUDURE'!$M$7:$M$1506,0)),"")))</f>
        <v/>
      </c>
      <c r="J836" s="78" t="str">
        <f aca="false">IF(B836="","",IFERROR(INDEX('CARNET DE SOUDURE'!$E$7:$E$1506,MATCH(B836,'CARNET DE SOUDURE'!$M$7:$M$1506,0)),""))</f>
        <v/>
      </c>
      <c r="K836" s="78" t="str">
        <f aca="false">IF(B836="","",IFERROR(INDEX('CARNET DE SOUDURE'!$E$7:$E$1506,MATCH(B836,'CARNET DE SOUDURE'!$K$7:$K$1506,0)),""))</f>
        <v/>
      </c>
      <c r="L836" s="78" t="str">
        <f aca="false">IF(B836="","",IFERROR(INDEX('CARNET DE SOUDURE'!$D$7:$D$1506,MATCH(B836,'CARNET DE SOUDURE'!$K$7:$K$1506,0)),IFERROR(INDEX('CARNET DE SOUDURE'!$D$7:$D$1506,MATCH(B836,'CARNET DE SOUDURE'!$M$7:$M$1506,0)),"")))</f>
        <v/>
      </c>
      <c r="M836" s="81" t="str">
        <f aca="false">IF(B836="","",IF(OR(J836&lt;&gt;"",K836&lt;&gt;""),"POSÉ EN LIGNE",IF(H836&lt;&gt;"","BARDÉ","EN STOCK")))</f>
        <v/>
      </c>
      <c r="N836" s="79"/>
    </row>
    <row r="837" customFormat="false" ht="15" hidden="false" customHeight="false" outlineLevel="0" collapsed="false">
      <c r="A837" s="78" t="str">
        <f aca="false">IF(B837="","",ROW()-6)</f>
        <v/>
      </c>
      <c r="B837" s="90"/>
      <c r="C837" s="91"/>
      <c r="D837" s="91"/>
      <c r="E837" s="80"/>
      <c r="F837" s="92"/>
      <c r="G837" s="79"/>
      <c r="H837" s="82"/>
      <c r="I837" s="93" t="str">
        <f aca="false">IF(B837="","",IFERROR(INDEX('CARNET DE SOUDURE'!$B$7:$B$1506,MATCH(B837,'CARNET DE SOUDURE'!$K$7:$K$1506,0)),IFERROR(INDEX('CARNET DE SOUDURE'!$B$7:$B$1506,MATCH(B837,'CARNET DE SOUDURE'!$M$7:$M$1506,0)),"")))</f>
        <v/>
      </c>
      <c r="J837" s="78" t="str">
        <f aca="false">IF(B837="","",IFERROR(INDEX('CARNET DE SOUDURE'!$E$7:$E$1506,MATCH(B837,'CARNET DE SOUDURE'!$M$7:$M$1506,0)),""))</f>
        <v/>
      </c>
      <c r="K837" s="78" t="str">
        <f aca="false">IF(B837="","",IFERROR(INDEX('CARNET DE SOUDURE'!$E$7:$E$1506,MATCH(B837,'CARNET DE SOUDURE'!$K$7:$K$1506,0)),""))</f>
        <v/>
      </c>
      <c r="L837" s="78" t="str">
        <f aca="false">IF(B837="","",IFERROR(INDEX('CARNET DE SOUDURE'!$D$7:$D$1506,MATCH(B837,'CARNET DE SOUDURE'!$K$7:$K$1506,0)),IFERROR(INDEX('CARNET DE SOUDURE'!$D$7:$D$1506,MATCH(B837,'CARNET DE SOUDURE'!$M$7:$M$1506,0)),"")))</f>
        <v/>
      </c>
      <c r="M837" s="81" t="str">
        <f aca="false">IF(B837="","",IF(OR(J837&lt;&gt;"",K837&lt;&gt;""),"POSÉ EN LIGNE",IF(H837&lt;&gt;"","BARDÉ","EN STOCK")))</f>
        <v/>
      </c>
      <c r="N837" s="79"/>
    </row>
    <row r="838" customFormat="false" ht="15" hidden="false" customHeight="false" outlineLevel="0" collapsed="false">
      <c r="A838" s="78" t="str">
        <f aca="false">IF(B838="","",ROW()-6)</f>
        <v/>
      </c>
      <c r="B838" s="90"/>
      <c r="C838" s="91"/>
      <c r="D838" s="91"/>
      <c r="E838" s="80"/>
      <c r="F838" s="92"/>
      <c r="G838" s="79"/>
      <c r="H838" s="82"/>
      <c r="I838" s="93" t="str">
        <f aca="false">IF(B838="","",IFERROR(INDEX('CARNET DE SOUDURE'!$B$7:$B$1506,MATCH(B838,'CARNET DE SOUDURE'!$K$7:$K$1506,0)),IFERROR(INDEX('CARNET DE SOUDURE'!$B$7:$B$1506,MATCH(B838,'CARNET DE SOUDURE'!$M$7:$M$1506,0)),"")))</f>
        <v/>
      </c>
      <c r="J838" s="78" t="str">
        <f aca="false">IF(B838="","",IFERROR(INDEX('CARNET DE SOUDURE'!$E$7:$E$1506,MATCH(B838,'CARNET DE SOUDURE'!$M$7:$M$1506,0)),""))</f>
        <v/>
      </c>
      <c r="K838" s="78" t="str">
        <f aca="false">IF(B838="","",IFERROR(INDEX('CARNET DE SOUDURE'!$E$7:$E$1506,MATCH(B838,'CARNET DE SOUDURE'!$K$7:$K$1506,0)),""))</f>
        <v/>
      </c>
      <c r="L838" s="78" t="str">
        <f aca="false">IF(B838="","",IFERROR(INDEX('CARNET DE SOUDURE'!$D$7:$D$1506,MATCH(B838,'CARNET DE SOUDURE'!$K$7:$K$1506,0)),IFERROR(INDEX('CARNET DE SOUDURE'!$D$7:$D$1506,MATCH(B838,'CARNET DE SOUDURE'!$M$7:$M$1506,0)),"")))</f>
        <v/>
      </c>
      <c r="M838" s="81" t="str">
        <f aca="false">IF(B838="","",IF(OR(J838&lt;&gt;"",K838&lt;&gt;""),"POSÉ EN LIGNE",IF(H838&lt;&gt;"","BARDÉ","EN STOCK")))</f>
        <v/>
      </c>
      <c r="N838" s="79"/>
    </row>
    <row r="839" customFormat="false" ht="15" hidden="false" customHeight="false" outlineLevel="0" collapsed="false">
      <c r="A839" s="78" t="str">
        <f aca="false">IF(B839="","",ROW()-6)</f>
        <v/>
      </c>
      <c r="B839" s="90"/>
      <c r="C839" s="91"/>
      <c r="D839" s="91"/>
      <c r="E839" s="80"/>
      <c r="F839" s="92"/>
      <c r="G839" s="79"/>
      <c r="H839" s="82"/>
      <c r="I839" s="93" t="str">
        <f aca="false">IF(B839="","",IFERROR(INDEX('CARNET DE SOUDURE'!$B$7:$B$1506,MATCH(B839,'CARNET DE SOUDURE'!$K$7:$K$1506,0)),IFERROR(INDEX('CARNET DE SOUDURE'!$B$7:$B$1506,MATCH(B839,'CARNET DE SOUDURE'!$M$7:$M$1506,0)),"")))</f>
        <v/>
      </c>
      <c r="J839" s="78" t="str">
        <f aca="false">IF(B839="","",IFERROR(INDEX('CARNET DE SOUDURE'!$E$7:$E$1506,MATCH(B839,'CARNET DE SOUDURE'!$M$7:$M$1506,0)),""))</f>
        <v/>
      </c>
      <c r="K839" s="78" t="str">
        <f aca="false">IF(B839="","",IFERROR(INDEX('CARNET DE SOUDURE'!$E$7:$E$1506,MATCH(B839,'CARNET DE SOUDURE'!$K$7:$K$1506,0)),""))</f>
        <v/>
      </c>
      <c r="L839" s="78" t="str">
        <f aca="false">IF(B839="","",IFERROR(INDEX('CARNET DE SOUDURE'!$D$7:$D$1506,MATCH(B839,'CARNET DE SOUDURE'!$K$7:$K$1506,0)),IFERROR(INDEX('CARNET DE SOUDURE'!$D$7:$D$1506,MATCH(B839,'CARNET DE SOUDURE'!$M$7:$M$1506,0)),"")))</f>
        <v/>
      </c>
      <c r="M839" s="81" t="str">
        <f aca="false">IF(B839="","",IF(OR(J839&lt;&gt;"",K839&lt;&gt;""),"POSÉ EN LIGNE",IF(H839&lt;&gt;"","BARDÉ","EN STOCK")))</f>
        <v/>
      </c>
      <c r="N839" s="79"/>
    </row>
    <row r="840" customFormat="false" ht="15" hidden="false" customHeight="false" outlineLevel="0" collapsed="false">
      <c r="A840" s="78" t="str">
        <f aca="false">IF(B840="","",ROW()-6)</f>
        <v/>
      </c>
      <c r="B840" s="90"/>
      <c r="C840" s="91"/>
      <c r="D840" s="91"/>
      <c r="E840" s="80"/>
      <c r="F840" s="92"/>
      <c r="G840" s="79"/>
      <c r="H840" s="82"/>
      <c r="I840" s="93" t="str">
        <f aca="false">IF(B840="","",IFERROR(INDEX('CARNET DE SOUDURE'!$B$7:$B$1506,MATCH(B840,'CARNET DE SOUDURE'!$K$7:$K$1506,0)),IFERROR(INDEX('CARNET DE SOUDURE'!$B$7:$B$1506,MATCH(B840,'CARNET DE SOUDURE'!$M$7:$M$1506,0)),"")))</f>
        <v/>
      </c>
      <c r="J840" s="78" t="str">
        <f aca="false">IF(B840="","",IFERROR(INDEX('CARNET DE SOUDURE'!$E$7:$E$1506,MATCH(B840,'CARNET DE SOUDURE'!$M$7:$M$1506,0)),""))</f>
        <v/>
      </c>
      <c r="K840" s="78" t="str">
        <f aca="false">IF(B840="","",IFERROR(INDEX('CARNET DE SOUDURE'!$E$7:$E$1506,MATCH(B840,'CARNET DE SOUDURE'!$K$7:$K$1506,0)),""))</f>
        <v/>
      </c>
      <c r="L840" s="78" t="str">
        <f aca="false">IF(B840="","",IFERROR(INDEX('CARNET DE SOUDURE'!$D$7:$D$1506,MATCH(B840,'CARNET DE SOUDURE'!$K$7:$K$1506,0)),IFERROR(INDEX('CARNET DE SOUDURE'!$D$7:$D$1506,MATCH(B840,'CARNET DE SOUDURE'!$M$7:$M$1506,0)),"")))</f>
        <v/>
      </c>
      <c r="M840" s="81" t="str">
        <f aca="false">IF(B840="","",IF(OR(J840&lt;&gt;"",K840&lt;&gt;""),"POSÉ EN LIGNE",IF(H840&lt;&gt;"","BARDÉ","EN STOCK")))</f>
        <v/>
      </c>
      <c r="N840" s="79"/>
    </row>
    <row r="841" customFormat="false" ht="15" hidden="false" customHeight="false" outlineLevel="0" collapsed="false">
      <c r="A841" s="78" t="str">
        <f aca="false">IF(B841="","",ROW()-6)</f>
        <v/>
      </c>
      <c r="B841" s="90"/>
      <c r="C841" s="91"/>
      <c r="D841" s="91"/>
      <c r="E841" s="80"/>
      <c r="F841" s="92"/>
      <c r="G841" s="79"/>
      <c r="H841" s="82"/>
      <c r="I841" s="93" t="str">
        <f aca="false">IF(B841="","",IFERROR(INDEX('CARNET DE SOUDURE'!$B$7:$B$1506,MATCH(B841,'CARNET DE SOUDURE'!$K$7:$K$1506,0)),IFERROR(INDEX('CARNET DE SOUDURE'!$B$7:$B$1506,MATCH(B841,'CARNET DE SOUDURE'!$M$7:$M$1506,0)),"")))</f>
        <v/>
      </c>
      <c r="J841" s="78" t="str">
        <f aca="false">IF(B841="","",IFERROR(INDEX('CARNET DE SOUDURE'!$E$7:$E$1506,MATCH(B841,'CARNET DE SOUDURE'!$M$7:$M$1506,0)),""))</f>
        <v/>
      </c>
      <c r="K841" s="78" t="str">
        <f aca="false">IF(B841="","",IFERROR(INDEX('CARNET DE SOUDURE'!$E$7:$E$1506,MATCH(B841,'CARNET DE SOUDURE'!$K$7:$K$1506,0)),""))</f>
        <v/>
      </c>
      <c r="L841" s="78" t="str">
        <f aca="false">IF(B841="","",IFERROR(INDEX('CARNET DE SOUDURE'!$D$7:$D$1506,MATCH(B841,'CARNET DE SOUDURE'!$K$7:$K$1506,0)),IFERROR(INDEX('CARNET DE SOUDURE'!$D$7:$D$1506,MATCH(B841,'CARNET DE SOUDURE'!$M$7:$M$1506,0)),"")))</f>
        <v/>
      </c>
      <c r="M841" s="81" t="str">
        <f aca="false">IF(B841="","",IF(OR(J841&lt;&gt;"",K841&lt;&gt;""),"POSÉ EN LIGNE",IF(H841&lt;&gt;"","BARDÉ","EN STOCK")))</f>
        <v/>
      </c>
      <c r="N841" s="79"/>
    </row>
    <row r="842" customFormat="false" ht="15" hidden="false" customHeight="false" outlineLevel="0" collapsed="false">
      <c r="A842" s="78" t="str">
        <f aca="false">IF(B842="","",ROW()-6)</f>
        <v/>
      </c>
      <c r="B842" s="90"/>
      <c r="C842" s="91"/>
      <c r="D842" s="91"/>
      <c r="E842" s="80"/>
      <c r="F842" s="92"/>
      <c r="G842" s="79"/>
      <c r="H842" s="82"/>
      <c r="I842" s="93" t="str">
        <f aca="false">IF(B842="","",IFERROR(INDEX('CARNET DE SOUDURE'!$B$7:$B$1506,MATCH(B842,'CARNET DE SOUDURE'!$K$7:$K$1506,0)),IFERROR(INDEX('CARNET DE SOUDURE'!$B$7:$B$1506,MATCH(B842,'CARNET DE SOUDURE'!$M$7:$M$1506,0)),"")))</f>
        <v/>
      </c>
      <c r="J842" s="78" t="str">
        <f aca="false">IF(B842="","",IFERROR(INDEX('CARNET DE SOUDURE'!$E$7:$E$1506,MATCH(B842,'CARNET DE SOUDURE'!$M$7:$M$1506,0)),""))</f>
        <v/>
      </c>
      <c r="K842" s="78" t="str">
        <f aca="false">IF(B842="","",IFERROR(INDEX('CARNET DE SOUDURE'!$E$7:$E$1506,MATCH(B842,'CARNET DE SOUDURE'!$K$7:$K$1506,0)),""))</f>
        <v/>
      </c>
      <c r="L842" s="78" t="str">
        <f aca="false">IF(B842="","",IFERROR(INDEX('CARNET DE SOUDURE'!$D$7:$D$1506,MATCH(B842,'CARNET DE SOUDURE'!$K$7:$K$1506,0)),IFERROR(INDEX('CARNET DE SOUDURE'!$D$7:$D$1506,MATCH(B842,'CARNET DE SOUDURE'!$M$7:$M$1506,0)),"")))</f>
        <v/>
      </c>
      <c r="M842" s="81" t="str">
        <f aca="false">IF(B842="","",IF(OR(J842&lt;&gt;"",K842&lt;&gt;""),"POSÉ EN LIGNE",IF(H842&lt;&gt;"","BARDÉ","EN STOCK")))</f>
        <v/>
      </c>
      <c r="N842" s="79"/>
    </row>
    <row r="843" customFormat="false" ht="15" hidden="false" customHeight="false" outlineLevel="0" collapsed="false">
      <c r="A843" s="78" t="str">
        <f aca="false">IF(B843="","",ROW()-6)</f>
        <v/>
      </c>
      <c r="B843" s="90"/>
      <c r="C843" s="91"/>
      <c r="D843" s="91"/>
      <c r="E843" s="80"/>
      <c r="F843" s="92"/>
      <c r="G843" s="79"/>
      <c r="H843" s="82"/>
      <c r="I843" s="93" t="str">
        <f aca="false">IF(B843="","",IFERROR(INDEX('CARNET DE SOUDURE'!$B$7:$B$1506,MATCH(B843,'CARNET DE SOUDURE'!$K$7:$K$1506,0)),IFERROR(INDEX('CARNET DE SOUDURE'!$B$7:$B$1506,MATCH(B843,'CARNET DE SOUDURE'!$M$7:$M$1506,0)),"")))</f>
        <v/>
      </c>
      <c r="J843" s="78" t="str">
        <f aca="false">IF(B843="","",IFERROR(INDEX('CARNET DE SOUDURE'!$E$7:$E$1506,MATCH(B843,'CARNET DE SOUDURE'!$M$7:$M$1506,0)),""))</f>
        <v/>
      </c>
      <c r="K843" s="78" t="str">
        <f aca="false">IF(B843="","",IFERROR(INDEX('CARNET DE SOUDURE'!$E$7:$E$1506,MATCH(B843,'CARNET DE SOUDURE'!$K$7:$K$1506,0)),""))</f>
        <v/>
      </c>
      <c r="L843" s="78" t="str">
        <f aca="false">IF(B843="","",IFERROR(INDEX('CARNET DE SOUDURE'!$D$7:$D$1506,MATCH(B843,'CARNET DE SOUDURE'!$K$7:$K$1506,0)),IFERROR(INDEX('CARNET DE SOUDURE'!$D$7:$D$1506,MATCH(B843,'CARNET DE SOUDURE'!$M$7:$M$1506,0)),"")))</f>
        <v/>
      </c>
      <c r="M843" s="81" t="str">
        <f aca="false">IF(B843="","",IF(OR(J843&lt;&gt;"",K843&lt;&gt;""),"POSÉ EN LIGNE",IF(H843&lt;&gt;"","BARDÉ","EN STOCK")))</f>
        <v/>
      </c>
      <c r="N843" s="79"/>
    </row>
    <row r="844" customFormat="false" ht="15" hidden="false" customHeight="false" outlineLevel="0" collapsed="false">
      <c r="A844" s="78" t="str">
        <f aca="false">IF(B844="","",ROW()-6)</f>
        <v/>
      </c>
      <c r="B844" s="90"/>
      <c r="C844" s="91"/>
      <c r="D844" s="91"/>
      <c r="E844" s="80"/>
      <c r="F844" s="92"/>
      <c r="G844" s="79"/>
      <c r="H844" s="82"/>
      <c r="I844" s="93" t="str">
        <f aca="false">IF(B844="","",IFERROR(INDEX('CARNET DE SOUDURE'!$B$7:$B$1506,MATCH(B844,'CARNET DE SOUDURE'!$K$7:$K$1506,0)),IFERROR(INDEX('CARNET DE SOUDURE'!$B$7:$B$1506,MATCH(B844,'CARNET DE SOUDURE'!$M$7:$M$1506,0)),"")))</f>
        <v/>
      </c>
      <c r="J844" s="78" t="str">
        <f aca="false">IF(B844="","",IFERROR(INDEX('CARNET DE SOUDURE'!$E$7:$E$1506,MATCH(B844,'CARNET DE SOUDURE'!$M$7:$M$1506,0)),""))</f>
        <v/>
      </c>
      <c r="K844" s="78" t="str">
        <f aca="false">IF(B844="","",IFERROR(INDEX('CARNET DE SOUDURE'!$E$7:$E$1506,MATCH(B844,'CARNET DE SOUDURE'!$K$7:$K$1506,0)),""))</f>
        <v/>
      </c>
      <c r="L844" s="78" t="str">
        <f aca="false">IF(B844="","",IFERROR(INDEX('CARNET DE SOUDURE'!$D$7:$D$1506,MATCH(B844,'CARNET DE SOUDURE'!$K$7:$K$1506,0)),IFERROR(INDEX('CARNET DE SOUDURE'!$D$7:$D$1506,MATCH(B844,'CARNET DE SOUDURE'!$M$7:$M$1506,0)),"")))</f>
        <v/>
      </c>
      <c r="M844" s="81" t="str">
        <f aca="false">IF(B844="","",IF(OR(J844&lt;&gt;"",K844&lt;&gt;""),"POSÉ EN LIGNE",IF(H844&lt;&gt;"","BARDÉ","EN STOCK")))</f>
        <v/>
      </c>
      <c r="N844" s="79"/>
    </row>
    <row r="845" customFormat="false" ht="15" hidden="false" customHeight="false" outlineLevel="0" collapsed="false">
      <c r="A845" s="78" t="str">
        <f aca="false">IF(B845="","",ROW()-6)</f>
        <v/>
      </c>
      <c r="B845" s="90"/>
      <c r="C845" s="91"/>
      <c r="D845" s="91"/>
      <c r="E845" s="80"/>
      <c r="F845" s="92"/>
      <c r="G845" s="79"/>
      <c r="H845" s="82"/>
      <c r="I845" s="93" t="str">
        <f aca="false">IF(B845="","",IFERROR(INDEX('CARNET DE SOUDURE'!$B$7:$B$1506,MATCH(B845,'CARNET DE SOUDURE'!$K$7:$K$1506,0)),IFERROR(INDEX('CARNET DE SOUDURE'!$B$7:$B$1506,MATCH(B845,'CARNET DE SOUDURE'!$M$7:$M$1506,0)),"")))</f>
        <v/>
      </c>
      <c r="J845" s="78" t="str">
        <f aca="false">IF(B845="","",IFERROR(INDEX('CARNET DE SOUDURE'!$E$7:$E$1506,MATCH(B845,'CARNET DE SOUDURE'!$M$7:$M$1506,0)),""))</f>
        <v/>
      </c>
      <c r="K845" s="78" t="str">
        <f aca="false">IF(B845="","",IFERROR(INDEX('CARNET DE SOUDURE'!$E$7:$E$1506,MATCH(B845,'CARNET DE SOUDURE'!$K$7:$K$1506,0)),""))</f>
        <v/>
      </c>
      <c r="L845" s="78" t="str">
        <f aca="false">IF(B845="","",IFERROR(INDEX('CARNET DE SOUDURE'!$D$7:$D$1506,MATCH(B845,'CARNET DE SOUDURE'!$K$7:$K$1506,0)),IFERROR(INDEX('CARNET DE SOUDURE'!$D$7:$D$1506,MATCH(B845,'CARNET DE SOUDURE'!$M$7:$M$1506,0)),"")))</f>
        <v/>
      </c>
      <c r="M845" s="81" t="str">
        <f aca="false">IF(B845="","",IF(OR(J845&lt;&gt;"",K845&lt;&gt;""),"POSÉ EN LIGNE",IF(H845&lt;&gt;"","BARDÉ","EN STOCK")))</f>
        <v/>
      </c>
      <c r="N845" s="79"/>
    </row>
    <row r="846" customFormat="false" ht="15" hidden="false" customHeight="false" outlineLevel="0" collapsed="false">
      <c r="A846" s="78" t="str">
        <f aca="false">IF(B846="","",ROW()-6)</f>
        <v/>
      </c>
      <c r="B846" s="90"/>
      <c r="C846" s="91"/>
      <c r="D846" s="91"/>
      <c r="E846" s="80"/>
      <c r="F846" s="92"/>
      <c r="G846" s="79"/>
      <c r="H846" s="82"/>
      <c r="I846" s="93" t="str">
        <f aca="false">IF(B846="","",IFERROR(INDEX('CARNET DE SOUDURE'!$B$7:$B$1506,MATCH(B846,'CARNET DE SOUDURE'!$K$7:$K$1506,0)),IFERROR(INDEX('CARNET DE SOUDURE'!$B$7:$B$1506,MATCH(B846,'CARNET DE SOUDURE'!$M$7:$M$1506,0)),"")))</f>
        <v/>
      </c>
      <c r="J846" s="78" t="str">
        <f aca="false">IF(B846="","",IFERROR(INDEX('CARNET DE SOUDURE'!$E$7:$E$1506,MATCH(B846,'CARNET DE SOUDURE'!$M$7:$M$1506,0)),""))</f>
        <v/>
      </c>
      <c r="K846" s="78" t="str">
        <f aca="false">IF(B846="","",IFERROR(INDEX('CARNET DE SOUDURE'!$E$7:$E$1506,MATCH(B846,'CARNET DE SOUDURE'!$K$7:$K$1506,0)),""))</f>
        <v/>
      </c>
      <c r="L846" s="78" t="str">
        <f aca="false">IF(B846="","",IFERROR(INDEX('CARNET DE SOUDURE'!$D$7:$D$1506,MATCH(B846,'CARNET DE SOUDURE'!$K$7:$K$1506,0)),IFERROR(INDEX('CARNET DE SOUDURE'!$D$7:$D$1506,MATCH(B846,'CARNET DE SOUDURE'!$M$7:$M$1506,0)),"")))</f>
        <v/>
      </c>
      <c r="M846" s="81" t="str">
        <f aca="false">IF(B846="","",IF(OR(J846&lt;&gt;"",K846&lt;&gt;""),"POSÉ EN LIGNE",IF(H846&lt;&gt;"","BARDÉ","EN STOCK")))</f>
        <v/>
      </c>
      <c r="N846" s="79"/>
    </row>
    <row r="847" customFormat="false" ht="15" hidden="false" customHeight="false" outlineLevel="0" collapsed="false">
      <c r="A847" s="78" t="str">
        <f aca="false">IF(B847="","",ROW()-6)</f>
        <v/>
      </c>
      <c r="B847" s="90"/>
      <c r="C847" s="91"/>
      <c r="D847" s="91"/>
      <c r="E847" s="80"/>
      <c r="F847" s="92"/>
      <c r="G847" s="79"/>
      <c r="H847" s="82"/>
      <c r="I847" s="93" t="str">
        <f aca="false">IF(B847="","",IFERROR(INDEX('CARNET DE SOUDURE'!$B$7:$B$1506,MATCH(B847,'CARNET DE SOUDURE'!$K$7:$K$1506,0)),IFERROR(INDEX('CARNET DE SOUDURE'!$B$7:$B$1506,MATCH(B847,'CARNET DE SOUDURE'!$M$7:$M$1506,0)),"")))</f>
        <v/>
      </c>
      <c r="J847" s="78" t="str">
        <f aca="false">IF(B847="","",IFERROR(INDEX('CARNET DE SOUDURE'!$E$7:$E$1506,MATCH(B847,'CARNET DE SOUDURE'!$M$7:$M$1506,0)),""))</f>
        <v/>
      </c>
      <c r="K847" s="78" t="str">
        <f aca="false">IF(B847="","",IFERROR(INDEX('CARNET DE SOUDURE'!$E$7:$E$1506,MATCH(B847,'CARNET DE SOUDURE'!$K$7:$K$1506,0)),""))</f>
        <v/>
      </c>
      <c r="L847" s="78" t="str">
        <f aca="false">IF(B847="","",IFERROR(INDEX('CARNET DE SOUDURE'!$D$7:$D$1506,MATCH(B847,'CARNET DE SOUDURE'!$K$7:$K$1506,0)),IFERROR(INDEX('CARNET DE SOUDURE'!$D$7:$D$1506,MATCH(B847,'CARNET DE SOUDURE'!$M$7:$M$1506,0)),"")))</f>
        <v/>
      </c>
      <c r="M847" s="81" t="str">
        <f aca="false">IF(B847="","",IF(OR(J847&lt;&gt;"",K847&lt;&gt;""),"POSÉ EN LIGNE",IF(H847&lt;&gt;"","BARDÉ","EN STOCK")))</f>
        <v/>
      </c>
      <c r="N847" s="79"/>
    </row>
    <row r="848" customFormat="false" ht="15" hidden="false" customHeight="false" outlineLevel="0" collapsed="false">
      <c r="A848" s="78" t="str">
        <f aca="false">IF(B848="","",ROW()-6)</f>
        <v/>
      </c>
      <c r="B848" s="90"/>
      <c r="C848" s="91"/>
      <c r="D848" s="91"/>
      <c r="E848" s="80"/>
      <c r="F848" s="92"/>
      <c r="G848" s="79"/>
      <c r="H848" s="82"/>
      <c r="I848" s="93" t="str">
        <f aca="false">IF(B848="","",IFERROR(INDEX('CARNET DE SOUDURE'!$B$7:$B$1506,MATCH(B848,'CARNET DE SOUDURE'!$K$7:$K$1506,0)),IFERROR(INDEX('CARNET DE SOUDURE'!$B$7:$B$1506,MATCH(B848,'CARNET DE SOUDURE'!$M$7:$M$1506,0)),"")))</f>
        <v/>
      </c>
      <c r="J848" s="78" t="str">
        <f aca="false">IF(B848="","",IFERROR(INDEX('CARNET DE SOUDURE'!$E$7:$E$1506,MATCH(B848,'CARNET DE SOUDURE'!$M$7:$M$1506,0)),""))</f>
        <v/>
      </c>
      <c r="K848" s="78" t="str">
        <f aca="false">IF(B848="","",IFERROR(INDEX('CARNET DE SOUDURE'!$E$7:$E$1506,MATCH(B848,'CARNET DE SOUDURE'!$K$7:$K$1506,0)),""))</f>
        <v/>
      </c>
      <c r="L848" s="78" t="str">
        <f aca="false">IF(B848="","",IFERROR(INDEX('CARNET DE SOUDURE'!$D$7:$D$1506,MATCH(B848,'CARNET DE SOUDURE'!$K$7:$K$1506,0)),IFERROR(INDEX('CARNET DE SOUDURE'!$D$7:$D$1506,MATCH(B848,'CARNET DE SOUDURE'!$M$7:$M$1506,0)),"")))</f>
        <v/>
      </c>
      <c r="M848" s="81" t="str">
        <f aca="false">IF(B848="","",IF(OR(J848&lt;&gt;"",K848&lt;&gt;""),"POSÉ EN LIGNE",IF(H848&lt;&gt;"","BARDÉ","EN STOCK")))</f>
        <v/>
      </c>
      <c r="N848" s="79"/>
    </row>
    <row r="849" customFormat="false" ht="15" hidden="false" customHeight="false" outlineLevel="0" collapsed="false">
      <c r="A849" s="78" t="str">
        <f aca="false">IF(B849="","",ROW()-6)</f>
        <v/>
      </c>
      <c r="B849" s="90"/>
      <c r="C849" s="91"/>
      <c r="D849" s="91"/>
      <c r="E849" s="80"/>
      <c r="F849" s="92"/>
      <c r="G849" s="79"/>
      <c r="H849" s="82"/>
      <c r="I849" s="93" t="str">
        <f aca="false">IF(B849="","",IFERROR(INDEX('CARNET DE SOUDURE'!$B$7:$B$1506,MATCH(B849,'CARNET DE SOUDURE'!$K$7:$K$1506,0)),IFERROR(INDEX('CARNET DE SOUDURE'!$B$7:$B$1506,MATCH(B849,'CARNET DE SOUDURE'!$M$7:$M$1506,0)),"")))</f>
        <v/>
      </c>
      <c r="J849" s="78" t="str">
        <f aca="false">IF(B849="","",IFERROR(INDEX('CARNET DE SOUDURE'!$E$7:$E$1506,MATCH(B849,'CARNET DE SOUDURE'!$M$7:$M$1506,0)),""))</f>
        <v/>
      </c>
      <c r="K849" s="78" t="str">
        <f aca="false">IF(B849="","",IFERROR(INDEX('CARNET DE SOUDURE'!$E$7:$E$1506,MATCH(B849,'CARNET DE SOUDURE'!$K$7:$K$1506,0)),""))</f>
        <v/>
      </c>
      <c r="L849" s="78" t="str">
        <f aca="false">IF(B849="","",IFERROR(INDEX('CARNET DE SOUDURE'!$D$7:$D$1506,MATCH(B849,'CARNET DE SOUDURE'!$K$7:$K$1506,0)),IFERROR(INDEX('CARNET DE SOUDURE'!$D$7:$D$1506,MATCH(B849,'CARNET DE SOUDURE'!$M$7:$M$1506,0)),"")))</f>
        <v/>
      </c>
      <c r="M849" s="81" t="str">
        <f aca="false">IF(B849="","",IF(OR(J849&lt;&gt;"",K849&lt;&gt;""),"POSÉ EN LIGNE",IF(H849&lt;&gt;"","BARDÉ","EN STOCK")))</f>
        <v/>
      </c>
      <c r="N849" s="79"/>
    </row>
    <row r="850" customFormat="false" ht="15" hidden="false" customHeight="false" outlineLevel="0" collapsed="false">
      <c r="A850" s="78" t="str">
        <f aca="false">IF(B850="","",ROW()-6)</f>
        <v/>
      </c>
      <c r="B850" s="90"/>
      <c r="C850" s="91"/>
      <c r="D850" s="91"/>
      <c r="E850" s="80"/>
      <c r="F850" s="92"/>
      <c r="G850" s="79"/>
      <c r="H850" s="82"/>
      <c r="I850" s="93" t="str">
        <f aca="false">IF(B850="","",IFERROR(INDEX('CARNET DE SOUDURE'!$B$7:$B$1506,MATCH(B850,'CARNET DE SOUDURE'!$K$7:$K$1506,0)),IFERROR(INDEX('CARNET DE SOUDURE'!$B$7:$B$1506,MATCH(B850,'CARNET DE SOUDURE'!$M$7:$M$1506,0)),"")))</f>
        <v/>
      </c>
      <c r="J850" s="78" t="str">
        <f aca="false">IF(B850="","",IFERROR(INDEX('CARNET DE SOUDURE'!$E$7:$E$1506,MATCH(B850,'CARNET DE SOUDURE'!$M$7:$M$1506,0)),""))</f>
        <v/>
      </c>
      <c r="K850" s="78" t="str">
        <f aca="false">IF(B850="","",IFERROR(INDEX('CARNET DE SOUDURE'!$E$7:$E$1506,MATCH(B850,'CARNET DE SOUDURE'!$K$7:$K$1506,0)),""))</f>
        <v/>
      </c>
      <c r="L850" s="78" t="str">
        <f aca="false">IF(B850="","",IFERROR(INDEX('CARNET DE SOUDURE'!$D$7:$D$1506,MATCH(B850,'CARNET DE SOUDURE'!$K$7:$K$1506,0)),IFERROR(INDEX('CARNET DE SOUDURE'!$D$7:$D$1506,MATCH(B850,'CARNET DE SOUDURE'!$M$7:$M$1506,0)),"")))</f>
        <v/>
      </c>
      <c r="M850" s="81" t="str">
        <f aca="false">IF(B850="","",IF(OR(J850&lt;&gt;"",K850&lt;&gt;""),"POSÉ EN LIGNE",IF(H850&lt;&gt;"","BARDÉ","EN STOCK")))</f>
        <v/>
      </c>
      <c r="N850" s="79"/>
    </row>
    <row r="851" customFormat="false" ht="15" hidden="false" customHeight="false" outlineLevel="0" collapsed="false">
      <c r="A851" s="78" t="str">
        <f aca="false">IF(B851="","",ROW()-6)</f>
        <v/>
      </c>
      <c r="B851" s="90"/>
      <c r="C851" s="91"/>
      <c r="D851" s="91"/>
      <c r="E851" s="80"/>
      <c r="F851" s="92"/>
      <c r="G851" s="79"/>
      <c r="H851" s="82"/>
      <c r="I851" s="93" t="str">
        <f aca="false">IF(B851="","",IFERROR(INDEX('CARNET DE SOUDURE'!$B$7:$B$1506,MATCH(B851,'CARNET DE SOUDURE'!$K$7:$K$1506,0)),IFERROR(INDEX('CARNET DE SOUDURE'!$B$7:$B$1506,MATCH(B851,'CARNET DE SOUDURE'!$M$7:$M$1506,0)),"")))</f>
        <v/>
      </c>
      <c r="J851" s="78" t="str">
        <f aca="false">IF(B851="","",IFERROR(INDEX('CARNET DE SOUDURE'!$E$7:$E$1506,MATCH(B851,'CARNET DE SOUDURE'!$M$7:$M$1506,0)),""))</f>
        <v/>
      </c>
      <c r="K851" s="78" t="str">
        <f aca="false">IF(B851="","",IFERROR(INDEX('CARNET DE SOUDURE'!$E$7:$E$1506,MATCH(B851,'CARNET DE SOUDURE'!$K$7:$K$1506,0)),""))</f>
        <v/>
      </c>
      <c r="L851" s="78" t="str">
        <f aca="false">IF(B851="","",IFERROR(INDEX('CARNET DE SOUDURE'!$D$7:$D$1506,MATCH(B851,'CARNET DE SOUDURE'!$K$7:$K$1506,0)),IFERROR(INDEX('CARNET DE SOUDURE'!$D$7:$D$1506,MATCH(B851,'CARNET DE SOUDURE'!$M$7:$M$1506,0)),"")))</f>
        <v/>
      </c>
      <c r="M851" s="81" t="str">
        <f aca="false">IF(B851="","",IF(OR(J851&lt;&gt;"",K851&lt;&gt;""),"POSÉ EN LIGNE",IF(H851&lt;&gt;"","BARDÉ","EN STOCK")))</f>
        <v/>
      </c>
      <c r="N851" s="79"/>
    </row>
    <row r="852" customFormat="false" ht="15" hidden="false" customHeight="false" outlineLevel="0" collapsed="false">
      <c r="A852" s="78" t="str">
        <f aca="false">IF(B852="","",ROW()-6)</f>
        <v/>
      </c>
      <c r="B852" s="90"/>
      <c r="C852" s="91"/>
      <c r="D852" s="91"/>
      <c r="E852" s="80"/>
      <c r="F852" s="92"/>
      <c r="G852" s="79"/>
      <c r="H852" s="82"/>
      <c r="I852" s="93" t="str">
        <f aca="false">IF(B852="","",IFERROR(INDEX('CARNET DE SOUDURE'!$B$7:$B$1506,MATCH(B852,'CARNET DE SOUDURE'!$K$7:$K$1506,0)),IFERROR(INDEX('CARNET DE SOUDURE'!$B$7:$B$1506,MATCH(B852,'CARNET DE SOUDURE'!$M$7:$M$1506,0)),"")))</f>
        <v/>
      </c>
      <c r="J852" s="78" t="str">
        <f aca="false">IF(B852="","",IFERROR(INDEX('CARNET DE SOUDURE'!$E$7:$E$1506,MATCH(B852,'CARNET DE SOUDURE'!$M$7:$M$1506,0)),""))</f>
        <v/>
      </c>
      <c r="K852" s="78" t="str">
        <f aca="false">IF(B852="","",IFERROR(INDEX('CARNET DE SOUDURE'!$E$7:$E$1506,MATCH(B852,'CARNET DE SOUDURE'!$K$7:$K$1506,0)),""))</f>
        <v/>
      </c>
      <c r="L852" s="78" t="str">
        <f aca="false">IF(B852="","",IFERROR(INDEX('CARNET DE SOUDURE'!$D$7:$D$1506,MATCH(B852,'CARNET DE SOUDURE'!$K$7:$K$1506,0)),IFERROR(INDEX('CARNET DE SOUDURE'!$D$7:$D$1506,MATCH(B852,'CARNET DE SOUDURE'!$M$7:$M$1506,0)),"")))</f>
        <v/>
      </c>
      <c r="M852" s="81" t="str">
        <f aca="false">IF(B852="","",IF(OR(J852&lt;&gt;"",K852&lt;&gt;""),"POSÉ EN LIGNE",IF(H852&lt;&gt;"","BARDÉ","EN STOCK")))</f>
        <v/>
      </c>
      <c r="N852" s="79"/>
    </row>
    <row r="853" customFormat="false" ht="15" hidden="false" customHeight="false" outlineLevel="0" collapsed="false">
      <c r="A853" s="78" t="str">
        <f aca="false">IF(B853="","",ROW()-6)</f>
        <v/>
      </c>
      <c r="B853" s="90"/>
      <c r="C853" s="91"/>
      <c r="D853" s="91"/>
      <c r="E853" s="80"/>
      <c r="F853" s="92"/>
      <c r="G853" s="79"/>
      <c r="H853" s="82"/>
      <c r="I853" s="93" t="str">
        <f aca="false">IF(B853="","",IFERROR(INDEX('CARNET DE SOUDURE'!$B$7:$B$1506,MATCH(B853,'CARNET DE SOUDURE'!$K$7:$K$1506,0)),IFERROR(INDEX('CARNET DE SOUDURE'!$B$7:$B$1506,MATCH(B853,'CARNET DE SOUDURE'!$M$7:$M$1506,0)),"")))</f>
        <v/>
      </c>
      <c r="J853" s="78" t="str">
        <f aca="false">IF(B853="","",IFERROR(INDEX('CARNET DE SOUDURE'!$E$7:$E$1506,MATCH(B853,'CARNET DE SOUDURE'!$M$7:$M$1506,0)),""))</f>
        <v/>
      </c>
      <c r="K853" s="78" t="str">
        <f aca="false">IF(B853="","",IFERROR(INDEX('CARNET DE SOUDURE'!$E$7:$E$1506,MATCH(B853,'CARNET DE SOUDURE'!$K$7:$K$1506,0)),""))</f>
        <v/>
      </c>
      <c r="L853" s="78" t="str">
        <f aca="false">IF(B853="","",IFERROR(INDEX('CARNET DE SOUDURE'!$D$7:$D$1506,MATCH(B853,'CARNET DE SOUDURE'!$K$7:$K$1506,0)),IFERROR(INDEX('CARNET DE SOUDURE'!$D$7:$D$1506,MATCH(B853,'CARNET DE SOUDURE'!$M$7:$M$1506,0)),"")))</f>
        <v/>
      </c>
      <c r="M853" s="81" t="str">
        <f aca="false">IF(B853="","",IF(OR(J853&lt;&gt;"",K853&lt;&gt;""),"POSÉ EN LIGNE",IF(H853&lt;&gt;"","BARDÉ","EN STOCK")))</f>
        <v/>
      </c>
      <c r="N853" s="79"/>
    </row>
    <row r="854" customFormat="false" ht="15" hidden="false" customHeight="false" outlineLevel="0" collapsed="false">
      <c r="A854" s="78" t="str">
        <f aca="false">IF(B854="","",ROW()-6)</f>
        <v/>
      </c>
      <c r="B854" s="90"/>
      <c r="C854" s="91"/>
      <c r="D854" s="91"/>
      <c r="E854" s="80"/>
      <c r="F854" s="92"/>
      <c r="G854" s="79"/>
      <c r="H854" s="82"/>
      <c r="I854" s="93" t="str">
        <f aca="false">IF(B854="","",IFERROR(INDEX('CARNET DE SOUDURE'!$B$7:$B$1506,MATCH(B854,'CARNET DE SOUDURE'!$K$7:$K$1506,0)),IFERROR(INDEX('CARNET DE SOUDURE'!$B$7:$B$1506,MATCH(B854,'CARNET DE SOUDURE'!$M$7:$M$1506,0)),"")))</f>
        <v/>
      </c>
      <c r="J854" s="78" t="str">
        <f aca="false">IF(B854="","",IFERROR(INDEX('CARNET DE SOUDURE'!$E$7:$E$1506,MATCH(B854,'CARNET DE SOUDURE'!$M$7:$M$1506,0)),""))</f>
        <v/>
      </c>
      <c r="K854" s="78" t="str">
        <f aca="false">IF(B854="","",IFERROR(INDEX('CARNET DE SOUDURE'!$E$7:$E$1506,MATCH(B854,'CARNET DE SOUDURE'!$K$7:$K$1506,0)),""))</f>
        <v/>
      </c>
      <c r="L854" s="78" t="str">
        <f aca="false">IF(B854="","",IFERROR(INDEX('CARNET DE SOUDURE'!$D$7:$D$1506,MATCH(B854,'CARNET DE SOUDURE'!$K$7:$K$1506,0)),IFERROR(INDEX('CARNET DE SOUDURE'!$D$7:$D$1506,MATCH(B854,'CARNET DE SOUDURE'!$M$7:$M$1506,0)),"")))</f>
        <v/>
      </c>
      <c r="M854" s="81" t="str">
        <f aca="false">IF(B854="","",IF(OR(J854&lt;&gt;"",K854&lt;&gt;""),"POSÉ EN LIGNE",IF(H854&lt;&gt;"","BARDÉ","EN STOCK")))</f>
        <v/>
      </c>
      <c r="N854" s="79"/>
    </row>
    <row r="855" customFormat="false" ht="15" hidden="false" customHeight="false" outlineLevel="0" collapsed="false">
      <c r="A855" s="78" t="str">
        <f aca="false">IF(B855="","",ROW()-6)</f>
        <v/>
      </c>
      <c r="B855" s="90"/>
      <c r="C855" s="91"/>
      <c r="D855" s="91"/>
      <c r="E855" s="80"/>
      <c r="F855" s="92"/>
      <c r="G855" s="79"/>
      <c r="H855" s="82"/>
      <c r="I855" s="93" t="str">
        <f aca="false">IF(B855="","",IFERROR(INDEX('CARNET DE SOUDURE'!$B$7:$B$1506,MATCH(B855,'CARNET DE SOUDURE'!$K$7:$K$1506,0)),IFERROR(INDEX('CARNET DE SOUDURE'!$B$7:$B$1506,MATCH(B855,'CARNET DE SOUDURE'!$M$7:$M$1506,0)),"")))</f>
        <v/>
      </c>
      <c r="J855" s="78" t="str">
        <f aca="false">IF(B855="","",IFERROR(INDEX('CARNET DE SOUDURE'!$E$7:$E$1506,MATCH(B855,'CARNET DE SOUDURE'!$M$7:$M$1506,0)),""))</f>
        <v/>
      </c>
      <c r="K855" s="78" t="str">
        <f aca="false">IF(B855="","",IFERROR(INDEX('CARNET DE SOUDURE'!$E$7:$E$1506,MATCH(B855,'CARNET DE SOUDURE'!$K$7:$K$1506,0)),""))</f>
        <v/>
      </c>
      <c r="L855" s="78" t="str">
        <f aca="false">IF(B855="","",IFERROR(INDEX('CARNET DE SOUDURE'!$D$7:$D$1506,MATCH(B855,'CARNET DE SOUDURE'!$K$7:$K$1506,0)),IFERROR(INDEX('CARNET DE SOUDURE'!$D$7:$D$1506,MATCH(B855,'CARNET DE SOUDURE'!$M$7:$M$1506,0)),"")))</f>
        <v/>
      </c>
      <c r="M855" s="81" t="str">
        <f aca="false">IF(B855="","",IF(OR(J855&lt;&gt;"",K855&lt;&gt;""),"POSÉ EN LIGNE",IF(H855&lt;&gt;"","BARDÉ","EN STOCK")))</f>
        <v/>
      </c>
      <c r="N855" s="79"/>
    </row>
    <row r="856" customFormat="false" ht="15" hidden="false" customHeight="false" outlineLevel="0" collapsed="false">
      <c r="A856" s="78" t="str">
        <f aca="false">IF(B856="","",ROW()-6)</f>
        <v/>
      </c>
      <c r="B856" s="90"/>
      <c r="C856" s="91"/>
      <c r="D856" s="91"/>
      <c r="E856" s="80"/>
      <c r="F856" s="92"/>
      <c r="G856" s="79"/>
      <c r="H856" s="82"/>
      <c r="I856" s="93" t="str">
        <f aca="false">IF(B856="","",IFERROR(INDEX('CARNET DE SOUDURE'!$B$7:$B$1506,MATCH(B856,'CARNET DE SOUDURE'!$K$7:$K$1506,0)),IFERROR(INDEX('CARNET DE SOUDURE'!$B$7:$B$1506,MATCH(B856,'CARNET DE SOUDURE'!$M$7:$M$1506,0)),"")))</f>
        <v/>
      </c>
      <c r="J856" s="78" t="str">
        <f aca="false">IF(B856="","",IFERROR(INDEX('CARNET DE SOUDURE'!$E$7:$E$1506,MATCH(B856,'CARNET DE SOUDURE'!$M$7:$M$1506,0)),""))</f>
        <v/>
      </c>
      <c r="K856" s="78" t="str">
        <f aca="false">IF(B856="","",IFERROR(INDEX('CARNET DE SOUDURE'!$E$7:$E$1506,MATCH(B856,'CARNET DE SOUDURE'!$K$7:$K$1506,0)),""))</f>
        <v/>
      </c>
      <c r="L856" s="78" t="str">
        <f aca="false">IF(B856="","",IFERROR(INDEX('CARNET DE SOUDURE'!$D$7:$D$1506,MATCH(B856,'CARNET DE SOUDURE'!$K$7:$K$1506,0)),IFERROR(INDEX('CARNET DE SOUDURE'!$D$7:$D$1506,MATCH(B856,'CARNET DE SOUDURE'!$M$7:$M$1506,0)),"")))</f>
        <v/>
      </c>
      <c r="M856" s="81" t="str">
        <f aca="false">IF(B856="","",IF(OR(J856&lt;&gt;"",K856&lt;&gt;""),"POSÉ EN LIGNE",IF(H856&lt;&gt;"","BARDÉ","EN STOCK")))</f>
        <v/>
      </c>
      <c r="N856" s="79"/>
    </row>
    <row r="857" customFormat="false" ht="15" hidden="false" customHeight="false" outlineLevel="0" collapsed="false">
      <c r="A857" s="78" t="str">
        <f aca="false">IF(B857="","",ROW()-6)</f>
        <v/>
      </c>
      <c r="B857" s="90"/>
      <c r="C857" s="91"/>
      <c r="D857" s="91"/>
      <c r="E857" s="80"/>
      <c r="F857" s="92"/>
      <c r="G857" s="79"/>
      <c r="H857" s="82"/>
      <c r="I857" s="93" t="str">
        <f aca="false">IF(B857="","",IFERROR(INDEX('CARNET DE SOUDURE'!$B$7:$B$1506,MATCH(B857,'CARNET DE SOUDURE'!$K$7:$K$1506,0)),IFERROR(INDEX('CARNET DE SOUDURE'!$B$7:$B$1506,MATCH(B857,'CARNET DE SOUDURE'!$M$7:$M$1506,0)),"")))</f>
        <v/>
      </c>
      <c r="J857" s="78" t="str">
        <f aca="false">IF(B857="","",IFERROR(INDEX('CARNET DE SOUDURE'!$E$7:$E$1506,MATCH(B857,'CARNET DE SOUDURE'!$M$7:$M$1506,0)),""))</f>
        <v/>
      </c>
      <c r="K857" s="78" t="str">
        <f aca="false">IF(B857="","",IFERROR(INDEX('CARNET DE SOUDURE'!$E$7:$E$1506,MATCH(B857,'CARNET DE SOUDURE'!$K$7:$K$1506,0)),""))</f>
        <v/>
      </c>
      <c r="L857" s="78" t="str">
        <f aca="false">IF(B857="","",IFERROR(INDEX('CARNET DE SOUDURE'!$D$7:$D$1506,MATCH(B857,'CARNET DE SOUDURE'!$K$7:$K$1506,0)),IFERROR(INDEX('CARNET DE SOUDURE'!$D$7:$D$1506,MATCH(B857,'CARNET DE SOUDURE'!$M$7:$M$1506,0)),"")))</f>
        <v/>
      </c>
      <c r="M857" s="81" t="str">
        <f aca="false">IF(B857="","",IF(OR(J857&lt;&gt;"",K857&lt;&gt;""),"POSÉ EN LIGNE",IF(H857&lt;&gt;"","BARDÉ","EN STOCK")))</f>
        <v/>
      </c>
      <c r="N857" s="79"/>
    </row>
    <row r="858" customFormat="false" ht="15" hidden="false" customHeight="false" outlineLevel="0" collapsed="false">
      <c r="A858" s="78" t="str">
        <f aca="false">IF(B858="","",ROW()-6)</f>
        <v/>
      </c>
      <c r="B858" s="90"/>
      <c r="C858" s="91"/>
      <c r="D858" s="91"/>
      <c r="E858" s="80"/>
      <c r="F858" s="92"/>
      <c r="G858" s="79"/>
      <c r="H858" s="82"/>
      <c r="I858" s="93" t="str">
        <f aca="false">IF(B858="","",IFERROR(INDEX('CARNET DE SOUDURE'!$B$7:$B$1506,MATCH(B858,'CARNET DE SOUDURE'!$K$7:$K$1506,0)),IFERROR(INDEX('CARNET DE SOUDURE'!$B$7:$B$1506,MATCH(B858,'CARNET DE SOUDURE'!$M$7:$M$1506,0)),"")))</f>
        <v/>
      </c>
      <c r="J858" s="78" t="str">
        <f aca="false">IF(B858="","",IFERROR(INDEX('CARNET DE SOUDURE'!$E$7:$E$1506,MATCH(B858,'CARNET DE SOUDURE'!$M$7:$M$1506,0)),""))</f>
        <v/>
      </c>
      <c r="K858" s="78" t="str">
        <f aca="false">IF(B858="","",IFERROR(INDEX('CARNET DE SOUDURE'!$E$7:$E$1506,MATCH(B858,'CARNET DE SOUDURE'!$K$7:$K$1506,0)),""))</f>
        <v/>
      </c>
      <c r="L858" s="78" t="str">
        <f aca="false">IF(B858="","",IFERROR(INDEX('CARNET DE SOUDURE'!$D$7:$D$1506,MATCH(B858,'CARNET DE SOUDURE'!$K$7:$K$1506,0)),IFERROR(INDEX('CARNET DE SOUDURE'!$D$7:$D$1506,MATCH(B858,'CARNET DE SOUDURE'!$M$7:$M$1506,0)),"")))</f>
        <v/>
      </c>
      <c r="M858" s="81" t="str">
        <f aca="false">IF(B858="","",IF(OR(J858&lt;&gt;"",K858&lt;&gt;""),"POSÉ EN LIGNE",IF(H858&lt;&gt;"","BARDÉ","EN STOCK")))</f>
        <v/>
      </c>
      <c r="N858" s="79"/>
    </row>
    <row r="859" customFormat="false" ht="15" hidden="false" customHeight="false" outlineLevel="0" collapsed="false">
      <c r="A859" s="78" t="str">
        <f aca="false">IF(B859="","",ROW()-6)</f>
        <v/>
      </c>
      <c r="B859" s="90"/>
      <c r="C859" s="91"/>
      <c r="D859" s="91"/>
      <c r="E859" s="80"/>
      <c r="F859" s="92"/>
      <c r="G859" s="79"/>
      <c r="H859" s="82"/>
      <c r="I859" s="93" t="str">
        <f aca="false">IF(B859="","",IFERROR(INDEX('CARNET DE SOUDURE'!$B$7:$B$1506,MATCH(B859,'CARNET DE SOUDURE'!$K$7:$K$1506,0)),IFERROR(INDEX('CARNET DE SOUDURE'!$B$7:$B$1506,MATCH(B859,'CARNET DE SOUDURE'!$M$7:$M$1506,0)),"")))</f>
        <v/>
      </c>
      <c r="J859" s="78" t="str">
        <f aca="false">IF(B859="","",IFERROR(INDEX('CARNET DE SOUDURE'!$E$7:$E$1506,MATCH(B859,'CARNET DE SOUDURE'!$M$7:$M$1506,0)),""))</f>
        <v/>
      </c>
      <c r="K859" s="78" t="str">
        <f aca="false">IF(B859="","",IFERROR(INDEX('CARNET DE SOUDURE'!$E$7:$E$1506,MATCH(B859,'CARNET DE SOUDURE'!$K$7:$K$1506,0)),""))</f>
        <v/>
      </c>
      <c r="L859" s="78" t="str">
        <f aca="false">IF(B859="","",IFERROR(INDEX('CARNET DE SOUDURE'!$D$7:$D$1506,MATCH(B859,'CARNET DE SOUDURE'!$K$7:$K$1506,0)),IFERROR(INDEX('CARNET DE SOUDURE'!$D$7:$D$1506,MATCH(B859,'CARNET DE SOUDURE'!$M$7:$M$1506,0)),"")))</f>
        <v/>
      </c>
      <c r="M859" s="81" t="str">
        <f aca="false">IF(B859="","",IF(OR(J859&lt;&gt;"",K859&lt;&gt;""),"POSÉ EN LIGNE",IF(H859&lt;&gt;"","BARDÉ","EN STOCK")))</f>
        <v/>
      </c>
      <c r="N859" s="79"/>
    </row>
    <row r="860" customFormat="false" ht="15" hidden="false" customHeight="false" outlineLevel="0" collapsed="false">
      <c r="A860" s="78" t="str">
        <f aca="false">IF(B860="","",ROW()-6)</f>
        <v/>
      </c>
      <c r="B860" s="90"/>
      <c r="C860" s="91"/>
      <c r="D860" s="91"/>
      <c r="E860" s="80"/>
      <c r="F860" s="92"/>
      <c r="G860" s="79"/>
      <c r="H860" s="82"/>
      <c r="I860" s="93" t="str">
        <f aca="false">IF(B860="","",IFERROR(INDEX('CARNET DE SOUDURE'!$B$7:$B$1506,MATCH(B860,'CARNET DE SOUDURE'!$K$7:$K$1506,0)),IFERROR(INDEX('CARNET DE SOUDURE'!$B$7:$B$1506,MATCH(B860,'CARNET DE SOUDURE'!$M$7:$M$1506,0)),"")))</f>
        <v/>
      </c>
      <c r="J860" s="78" t="str">
        <f aca="false">IF(B860="","",IFERROR(INDEX('CARNET DE SOUDURE'!$E$7:$E$1506,MATCH(B860,'CARNET DE SOUDURE'!$M$7:$M$1506,0)),""))</f>
        <v/>
      </c>
      <c r="K860" s="78" t="str">
        <f aca="false">IF(B860="","",IFERROR(INDEX('CARNET DE SOUDURE'!$E$7:$E$1506,MATCH(B860,'CARNET DE SOUDURE'!$K$7:$K$1506,0)),""))</f>
        <v/>
      </c>
      <c r="L860" s="78" t="str">
        <f aca="false">IF(B860="","",IFERROR(INDEX('CARNET DE SOUDURE'!$D$7:$D$1506,MATCH(B860,'CARNET DE SOUDURE'!$K$7:$K$1506,0)),IFERROR(INDEX('CARNET DE SOUDURE'!$D$7:$D$1506,MATCH(B860,'CARNET DE SOUDURE'!$M$7:$M$1506,0)),"")))</f>
        <v/>
      </c>
      <c r="M860" s="81" t="str">
        <f aca="false">IF(B860="","",IF(OR(J860&lt;&gt;"",K860&lt;&gt;""),"POSÉ EN LIGNE",IF(H860&lt;&gt;"","BARDÉ","EN STOCK")))</f>
        <v/>
      </c>
      <c r="N860" s="79"/>
    </row>
    <row r="861" customFormat="false" ht="15" hidden="false" customHeight="false" outlineLevel="0" collapsed="false">
      <c r="A861" s="78" t="str">
        <f aca="false">IF(B861="","",ROW()-6)</f>
        <v/>
      </c>
      <c r="B861" s="90"/>
      <c r="C861" s="91"/>
      <c r="D861" s="91"/>
      <c r="E861" s="80"/>
      <c r="F861" s="92"/>
      <c r="G861" s="79"/>
      <c r="H861" s="82"/>
      <c r="I861" s="93" t="str">
        <f aca="false">IF(B861="","",IFERROR(INDEX('CARNET DE SOUDURE'!$B$7:$B$1506,MATCH(B861,'CARNET DE SOUDURE'!$K$7:$K$1506,0)),IFERROR(INDEX('CARNET DE SOUDURE'!$B$7:$B$1506,MATCH(B861,'CARNET DE SOUDURE'!$M$7:$M$1506,0)),"")))</f>
        <v/>
      </c>
      <c r="J861" s="78" t="str">
        <f aca="false">IF(B861="","",IFERROR(INDEX('CARNET DE SOUDURE'!$E$7:$E$1506,MATCH(B861,'CARNET DE SOUDURE'!$M$7:$M$1506,0)),""))</f>
        <v/>
      </c>
      <c r="K861" s="78" t="str">
        <f aca="false">IF(B861="","",IFERROR(INDEX('CARNET DE SOUDURE'!$E$7:$E$1506,MATCH(B861,'CARNET DE SOUDURE'!$K$7:$K$1506,0)),""))</f>
        <v/>
      </c>
      <c r="L861" s="78" t="str">
        <f aca="false">IF(B861="","",IFERROR(INDEX('CARNET DE SOUDURE'!$D$7:$D$1506,MATCH(B861,'CARNET DE SOUDURE'!$K$7:$K$1506,0)),IFERROR(INDEX('CARNET DE SOUDURE'!$D$7:$D$1506,MATCH(B861,'CARNET DE SOUDURE'!$M$7:$M$1506,0)),"")))</f>
        <v/>
      </c>
      <c r="M861" s="81" t="str">
        <f aca="false">IF(B861="","",IF(OR(J861&lt;&gt;"",K861&lt;&gt;""),"POSÉ EN LIGNE",IF(H861&lt;&gt;"","BARDÉ","EN STOCK")))</f>
        <v/>
      </c>
      <c r="N861" s="79"/>
    </row>
    <row r="862" customFormat="false" ht="15" hidden="false" customHeight="false" outlineLevel="0" collapsed="false">
      <c r="A862" s="78" t="str">
        <f aca="false">IF(B862="","",ROW()-6)</f>
        <v/>
      </c>
      <c r="B862" s="90"/>
      <c r="C862" s="91"/>
      <c r="D862" s="91"/>
      <c r="E862" s="80"/>
      <c r="F862" s="92"/>
      <c r="G862" s="79"/>
      <c r="H862" s="82"/>
      <c r="I862" s="93" t="str">
        <f aca="false">IF(B862="","",IFERROR(INDEX('CARNET DE SOUDURE'!$B$7:$B$1506,MATCH(B862,'CARNET DE SOUDURE'!$K$7:$K$1506,0)),IFERROR(INDEX('CARNET DE SOUDURE'!$B$7:$B$1506,MATCH(B862,'CARNET DE SOUDURE'!$M$7:$M$1506,0)),"")))</f>
        <v/>
      </c>
      <c r="J862" s="78" t="str">
        <f aca="false">IF(B862="","",IFERROR(INDEX('CARNET DE SOUDURE'!$E$7:$E$1506,MATCH(B862,'CARNET DE SOUDURE'!$M$7:$M$1506,0)),""))</f>
        <v/>
      </c>
      <c r="K862" s="78" t="str">
        <f aca="false">IF(B862="","",IFERROR(INDEX('CARNET DE SOUDURE'!$E$7:$E$1506,MATCH(B862,'CARNET DE SOUDURE'!$K$7:$K$1506,0)),""))</f>
        <v/>
      </c>
      <c r="L862" s="78" t="str">
        <f aca="false">IF(B862="","",IFERROR(INDEX('CARNET DE SOUDURE'!$D$7:$D$1506,MATCH(B862,'CARNET DE SOUDURE'!$K$7:$K$1506,0)),IFERROR(INDEX('CARNET DE SOUDURE'!$D$7:$D$1506,MATCH(B862,'CARNET DE SOUDURE'!$M$7:$M$1506,0)),"")))</f>
        <v/>
      </c>
      <c r="M862" s="81" t="str">
        <f aca="false">IF(B862="","",IF(OR(J862&lt;&gt;"",K862&lt;&gt;""),"POSÉ EN LIGNE",IF(H862&lt;&gt;"","BARDÉ","EN STOCK")))</f>
        <v/>
      </c>
      <c r="N862" s="79"/>
    </row>
    <row r="863" customFormat="false" ht="15" hidden="false" customHeight="false" outlineLevel="0" collapsed="false">
      <c r="A863" s="78" t="str">
        <f aca="false">IF(B863="","",ROW()-6)</f>
        <v/>
      </c>
      <c r="B863" s="90"/>
      <c r="C863" s="91"/>
      <c r="D863" s="91"/>
      <c r="E863" s="80"/>
      <c r="F863" s="92"/>
      <c r="G863" s="79"/>
      <c r="H863" s="82"/>
      <c r="I863" s="93" t="str">
        <f aca="false">IF(B863="","",IFERROR(INDEX('CARNET DE SOUDURE'!$B$7:$B$1506,MATCH(B863,'CARNET DE SOUDURE'!$K$7:$K$1506,0)),IFERROR(INDEX('CARNET DE SOUDURE'!$B$7:$B$1506,MATCH(B863,'CARNET DE SOUDURE'!$M$7:$M$1506,0)),"")))</f>
        <v/>
      </c>
      <c r="J863" s="78" t="str">
        <f aca="false">IF(B863="","",IFERROR(INDEX('CARNET DE SOUDURE'!$E$7:$E$1506,MATCH(B863,'CARNET DE SOUDURE'!$M$7:$M$1506,0)),""))</f>
        <v/>
      </c>
      <c r="K863" s="78" t="str">
        <f aca="false">IF(B863="","",IFERROR(INDEX('CARNET DE SOUDURE'!$E$7:$E$1506,MATCH(B863,'CARNET DE SOUDURE'!$K$7:$K$1506,0)),""))</f>
        <v/>
      </c>
      <c r="L863" s="78" t="str">
        <f aca="false">IF(B863="","",IFERROR(INDEX('CARNET DE SOUDURE'!$D$7:$D$1506,MATCH(B863,'CARNET DE SOUDURE'!$K$7:$K$1506,0)),IFERROR(INDEX('CARNET DE SOUDURE'!$D$7:$D$1506,MATCH(B863,'CARNET DE SOUDURE'!$M$7:$M$1506,0)),"")))</f>
        <v/>
      </c>
      <c r="M863" s="81" t="str">
        <f aca="false">IF(B863="","",IF(OR(J863&lt;&gt;"",K863&lt;&gt;""),"POSÉ EN LIGNE",IF(H863&lt;&gt;"","BARDÉ","EN STOCK")))</f>
        <v/>
      </c>
      <c r="N863" s="79"/>
    </row>
    <row r="864" customFormat="false" ht="15" hidden="false" customHeight="false" outlineLevel="0" collapsed="false">
      <c r="A864" s="78" t="str">
        <f aca="false">IF(B864="","",ROW()-6)</f>
        <v/>
      </c>
      <c r="B864" s="90"/>
      <c r="C864" s="91"/>
      <c r="D864" s="91"/>
      <c r="E864" s="80"/>
      <c r="F864" s="92"/>
      <c r="G864" s="79"/>
      <c r="H864" s="82"/>
      <c r="I864" s="93" t="str">
        <f aca="false">IF(B864="","",IFERROR(INDEX('CARNET DE SOUDURE'!$B$7:$B$1506,MATCH(B864,'CARNET DE SOUDURE'!$K$7:$K$1506,0)),IFERROR(INDEX('CARNET DE SOUDURE'!$B$7:$B$1506,MATCH(B864,'CARNET DE SOUDURE'!$M$7:$M$1506,0)),"")))</f>
        <v/>
      </c>
      <c r="J864" s="78" t="str">
        <f aca="false">IF(B864="","",IFERROR(INDEX('CARNET DE SOUDURE'!$E$7:$E$1506,MATCH(B864,'CARNET DE SOUDURE'!$M$7:$M$1506,0)),""))</f>
        <v/>
      </c>
      <c r="K864" s="78" t="str">
        <f aca="false">IF(B864="","",IFERROR(INDEX('CARNET DE SOUDURE'!$E$7:$E$1506,MATCH(B864,'CARNET DE SOUDURE'!$K$7:$K$1506,0)),""))</f>
        <v/>
      </c>
      <c r="L864" s="78" t="str">
        <f aca="false">IF(B864="","",IFERROR(INDEX('CARNET DE SOUDURE'!$D$7:$D$1506,MATCH(B864,'CARNET DE SOUDURE'!$K$7:$K$1506,0)),IFERROR(INDEX('CARNET DE SOUDURE'!$D$7:$D$1506,MATCH(B864,'CARNET DE SOUDURE'!$M$7:$M$1506,0)),"")))</f>
        <v/>
      </c>
      <c r="M864" s="81" t="str">
        <f aca="false">IF(B864="","",IF(OR(J864&lt;&gt;"",K864&lt;&gt;""),"POSÉ EN LIGNE",IF(H864&lt;&gt;"","BARDÉ","EN STOCK")))</f>
        <v/>
      </c>
      <c r="N864" s="79"/>
    </row>
    <row r="865" customFormat="false" ht="15" hidden="false" customHeight="false" outlineLevel="0" collapsed="false">
      <c r="A865" s="78" t="str">
        <f aca="false">IF(B865="","",ROW()-6)</f>
        <v/>
      </c>
      <c r="B865" s="90"/>
      <c r="C865" s="91"/>
      <c r="D865" s="91"/>
      <c r="E865" s="80"/>
      <c r="F865" s="92"/>
      <c r="G865" s="79"/>
      <c r="H865" s="82"/>
      <c r="I865" s="93" t="str">
        <f aca="false">IF(B865="","",IFERROR(INDEX('CARNET DE SOUDURE'!$B$7:$B$1506,MATCH(B865,'CARNET DE SOUDURE'!$K$7:$K$1506,0)),IFERROR(INDEX('CARNET DE SOUDURE'!$B$7:$B$1506,MATCH(B865,'CARNET DE SOUDURE'!$M$7:$M$1506,0)),"")))</f>
        <v/>
      </c>
      <c r="J865" s="78" t="str">
        <f aca="false">IF(B865="","",IFERROR(INDEX('CARNET DE SOUDURE'!$E$7:$E$1506,MATCH(B865,'CARNET DE SOUDURE'!$M$7:$M$1506,0)),""))</f>
        <v/>
      </c>
      <c r="K865" s="78" t="str">
        <f aca="false">IF(B865="","",IFERROR(INDEX('CARNET DE SOUDURE'!$E$7:$E$1506,MATCH(B865,'CARNET DE SOUDURE'!$K$7:$K$1506,0)),""))</f>
        <v/>
      </c>
      <c r="L865" s="78" t="str">
        <f aca="false">IF(B865="","",IFERROR(INDEX('CARNET DE SOUDURE'!$D$7:$D$1506,MATCH(B865,'CARNET DE SOUDURE'!$K$7:$K$1506,0)),IFERROR(INDEX('CARNET DE SOUDURE'!$D$7:$D$1506,MATCH(B865,'CARNET DE SOUDURE'!$M$7:$M$1506,0)),"")))</f>
        <v/>
      </c>
      <c r="M865" s="81" t="str">
        <f aca="false">IF(B865="","",IF(OR(J865&lt;&gt;"",K865&lt;&gt;""),"POSÉ EN LIGNE",IF(H865&lt;&gt;"","BARDÉ","EN STOCK")))</f>
        <v/>
      </c>
      <c r="N865" s="79"/>
    </row>
    <row r="866" customFormat="false" ht="15" hidden="false" customHeight="false" outlineLevel="0" collapsed="false">
      <c r="A866" s="78" t="str">
        <f aca="false">IF(B866="","",ROW()-6)</f>
        <v/>
      </c>
      <c r="B866" s="90"/>
      <c r="C866" s="91"/>
      <c r="D866" s="91"/>
      <c r="E866" s="80"/>
      <c r="F866" s="92"/>
      <c r="G866" s="79"/>
      <c r="H866" s="82"/>
      <c r="I866" s="93" t="str">
        <f aca="false">IF(B866="","",IFERROR(INDEX('CARNET DE SOUDURE'!$B$7:$B$1506,MATCH(B866,'CARNET DE SOUDURE'!$K$7:$K$1506,0)),IFERROR(INDEX('CARNET DE SOUDURE'!$B$7:$B$1506,MATCH(B866,'CARNET DE SOUDURE'!$M$7:$M$1506,0)),"")))</f>
        <v/>
      </c>
      <c r="J866" s="78" t="str">
        <f aca="false">IF(B866="","",IFERROR(INDEX('CARNET DE SOUDURE'!$E$7:$E$1506,MATCH(B866,'CARNET DE SOUDURE'!$M$7:$M$1506,0)),""))</f>
        <v/>
      </c>
      <c r="K866" s="78" t="str">
        <f aca="false">IF(B866="","",IFERROR(INDEX('CARNET DE SOUDURE'!$E$7:$E$1506,MATCH(B866,'CARNET DE SOUDURE'!$K$7:$K$1506,0)),""))</f>
        <v/>
      </c>
      <c r="L866" s="78" t="str">
        <f aca="false">IF(B866="","",IFERROR(INDEX('CARNET DE SOUDURE'!$D$7:$D$1506,MATCH(B866,'CARNET DE SOUDURE'!$K$7:$K$1506,0)),IFERROR(INDEX('CARNET DE SOUDURE'!$D$7:$D$1506,MATCH(B866,'CARNET DE SOUDURE'!$M$7:$M$1506,0)),"")))</f>
        <v/>
      </c>
      <c r="M866" s="81" t="str">
        <f aca="false">IF(B866="","",IF(OR(J866&lt;&gt;"",K866&lt;&gt;""),"POSÉ EN LIGNE",IF(H866&lt;&gt;"","BARDÉ","EN STOCK")))</f>
        <v/>
      </c>
      <c r="N866" s="79"/>
    </row>
    <row r="867" customFormat="false" ht="15" hidden="false" customHeight="false" outlineLevel="0" collapsed="false">
      <c r="A867" s="78" t="str">
        <f aca="false">IF(B867="","",ROW()-6)</f>
        <v/>
      </c>
      <c r="B867" s="90"/>
      <c r="C867" s="91"/>
      <c r="D867" s="91"/>
      <c r="E867" s="80"/>
      <c r="F867" s="92"/>
      <c r="G867" s="79"/>
      <c r="H867" s="82"/>
      <c r="I867" s="93" t="str">
        <f aca="false">IF(B867="","",IFERROR(INDEX('CARNET DE SOUDURE'!$B$7:$B$1506,MATCH(B867,'CARNET DE SOUDURE'!$K$7:$K$1506,0)),IFERROR(INDEX('CARNET DE SOUDURE'!$B$7:$B$1506,MATCH(B867,'CARNET DE SOUDURE'!$M$7:$M$1506,0)),"")))</f>
        <v/>
      </c>
      <c r="J867" s="78" t="str">
        <f aca="false">IF(B867="","",IFERROR(INDEX('CARNET DE SOUDURE'!$E$7:$E$1506,MATCH(B867,'CARNET DE SOUDURE'!$M$7:$M$1506,0)),""))</f>
        <v/>
      </c>
      <c r="K867" s="78" t="str">
        <f aca="false">IF(B867="","",IFERROR(INDEX('CARNET DE SOUDURE'!$E$7:$E$1506,MATCH(B867,'CARNET DE SOUDURE'!$K$7:$K$1506,0)),""))</f>
        <v/>
      </c>
      <c r="L867" s="78" t="str">
        <f aca="false">IF(B867="","",IFERROR(INDEX('CARNET DE SOUDURE'!$D$7:$D$1506,MATCH(B867,'CARNET DE SOUDURE'!$K$7:$K$1506,0)),IFERROR(INDEX('CARNET DE SOUDURE'!$D$7:$D$1506,MATCH(B867,'CARNET DE SOUDURE'!$M$7:$M$1506,0)),"")))</f>
        <v/>
      </c>
      <c r="M867" s="81" t="str">
        <f aca="false">IF(B867="","",IF(OR(J867&lt;&gt;"",K867&lt;&gt;""),"POSÉ EN LIGNE",IF(H867&lt;&gt;"","BARDÉ","EN STOCK")))</f>
        <v/>
      </c>
      <c r="N867" s="79"/>
    </row>
    <row r="868" customFormat="false" ht="15" hidden="false" customHeight="false" outlineLevel="0" collapsed="false">
      <c r="A868" s="78" t="str">
        <f aca="false">IF(B868="","",ROW()-6)</f>
        <v/>
      </c>
      <c r="B868" s="90"/>
      <c r="C868" s="91"/>
      <c r="D868" s="91"/>
      <c r="E868" s="80"/>
      <c r="F868" s="92"/>
      <c r="G868" s="79"/>
      <c r="H868" s="82"/>
      <c r="I868" s="93" t="str">
        <f aca="false">IF(B868="","",IFERROR(INDEX('CARNET DE SOUDURE'!$B$7:$B$1506,MATCH(B868,'CARNET DE SOUDURE'!$K$7:$K$1506,0)),IFERROR(INDEX('CARNET DE SOUDURE'!$B$7:$B$1506,MATCH(B868,'CARNET DE SOUDURE'!$M$7:$M$1506,0)),"")))</f>
        <v/>
      </c>
      <c r="J868" s="78" t="str">
        <f aca="false">IF(B868="","",IFERROR(INDEX('CARNET DE SOUDURE'!$E$7:$E$1506,MATCH(B868,'CARNET DE SOUDURE'!$M$7:$M$1506,0)),""))</f>
        <v/>
      </c>
      <c r="K868" s="78" t="str">
        <f aca="false">IF(B868="","",IFERROR(INDEX('CARNET DE SOUDURE'!$E$7:$E$1506,MATCH(B868,'CARNET DE SOUDURE'!$K$7:$K$1506,0)),""))</f>
        <v/>
      </c>
      <c r="L868" s="78" t="str">
        <f aca="false">IF(B868="","",IFERROR(INDEX('CARNET DE SOUDURE'!$D$7:$D$1506,MATCH(B868,'CARNET DE SOUDURE'!$K$7:$K$1506,0)),IFERROR(INDEX('CARNET DE SOUDURE'!$D$7:$D$1506,MATCH(B868,'CARNET DE SOUDURE'!$M$7:$M$1506,0)),"")))</f>
        <v/>
      </c>
      <c r="M868" s="81" t="str">
        <f aca="false">IF(B868="","",IF(OR(J868&lt;&gt;"",K868&lt;&gt;""),"POSÉ EN LIGNE",IF(H868&lt;&gt;"","BARDÉ","EN STOCK")))</f>
        <v/>
      </c>
      <c r="N868" s="79"/>
    </row>
    <row r="869" customFormat="false" ht="15" hidden="false" customHeight="false" outlineLevel="0" collapsed="false">
      <c r="A869" s="78" t="str">
        <f aca="false">IF(B869="","",ROW()-6)</f>
        <v/>
      </c>
      <c r="B869" s="90"/>
      <c r="C869" s="91"/>
      <c r="D869" s="91"/>
      <c r="E869" s="80"/>
      <c r="F869" s="92"/>
      <c r="G869" s="79"/>
      <c r="H869" s="82"/>
      <c r="I869" s="93" t="str">
        <f aca="false">IF(B869="","",IFERROR(INDEX('CARNET DE SOUDURE'!$B$7:$B$1506,MATCH(B869,'CARNET DE SOUDURE'!$K$7:$K$1506,0)),IFERROR(INDEX('CARNET DE SOUDURE'!$B$7:$B$1506,MATCH(B869,'CARNET DE SOUDURE'!$M$7:$M$1506,0)),"")))</f>
        <v/>
      </c>
      <c r="J869" s="78" t="str">
        <f aca="false">IF(B869="","",IFERROR(INDEX('CARNET DE SOUDURE'!$E$7:$E$1506,MATCH(B869,'CARNET DE SOUDURE'!$M$7:$M$1506,0)),""))</f>
        <v/>
      </c>
      <c r="K869" s="78" t="str">
        <f aca="false">IF(B869="","",IFERROR(INDEX('CARNET DE SOUDURE'!$E$7:$E$1506,MATCH(B869,'CARNET DE SOUDURE'!$K$7:$K$1506,0)),""))</f>
        <v/>
      </c>
      <c r="L869" s="78" t="str">
        <f aca="false">IF(B869="","",IFERROR(INDEX('CARNET DE SOUDURE'!$D$7:$D$1506,MATCH(B869,'CARNET DE SOUDURE'!$K$7:$K$1506,0)),IFERROR(INDEX('CARNET DE SOUDURE'!$D$7:$D$1506,MATCH(B869,'CARNET DE SOUDURE'!$M$7:$M$1506,0)),"")))</f>
        <v/>
      </c>
      <c r="M869" s="81" t="str">
        <f aca="false">IF(B869="","",IF(OR(J869&lt;&gt;"",K869&lt;&gt;""),"POSÉ EN LIGNE",IF(H869&lt;&gt;"","BARDÉ","EN STOCK")))</f>
        <v/>
      </c>
      <c r="N869" s="79"/>
    </row>
    <row r="870" customFormat="false" ht="15" hidden="false" customHeight="false" outlineLevel="0" collapsed="false">
      <c r="A870" s="78" t="str">
        <f aca="false">IF(B870="","",ROW()-6)</f>
        <v/>
      </c>
      <c r="B870" s="90"/>
      <c r="C870" s="91"/>
      <c r="D870" s="91"/>
      <c r="E870" s="80"/>
      <c r="F870" s="92"/>
      <c r="G870" s="79"/>
      <c r="H870" s="82"/>
      <c r="I870" s="93" t="str">
        <f aca="false">IF(B870="","",IFERROR(INDEX('CARNET DE SOUDURE'!$B$7:$B$1506,MATCH(B870,'CARNET DE SOUDURE'!$K$7:$K$1506,0)),IFERROR(INDEX('CARNET DE SOUDURE'!$B$7:$B$1506,MATCH(B870,'CARNET DE SOUDURE'!$M$7:$M$1506,0)),"")))</f>
        <v/>
      </c>
      <c r="J870" s="78" t="str">
        <f aca="false">IF(B870="","",IFERROR(INDEX('CARNET DE SOUDURE'!$E$7:$E$1506,MATCH(B870,'CARNET DE SOUDURE'!$M$7:$M$1506,0)),""))</f>
        <v/>
      </c>
      <c r="K870" s="78" t="str">
        <f aca="false">IF(B870="","",IFERROR(INDEX('CARNET DE SOUDURE'!$E$7:$E$1506,MATCH(B870,'CARNET DE SOUDURE'!$K$7:$K$1506,0)),""))</f>
        <v/>
      </c>
      <c r="L870" s="78" t="str">
        <f aca="false">IF(B870="","",IFERROR(INDEX('CARNET DE SOUDURE'!$D$7:$D$1506,MATCH(B870,'CARNET DE SOUDURE'!$K$7:$K$1506,0)),IFERROR(INDEX('CARNET DE SOUDURE'!$D$7:$D$1506,MATCH(B870,'CARNET DE SOUDURE'!$M$7:$M$1506,0)),"")))</f>
        <v/>
      </c>
      <c r="M870" s="81" t="str">
        <f aca="false">IF(B870="","",IF(OR(J870&lt;&gt;"",K870&lt;&gt;""),"POSÉ EN LIGNE",IF(H870&lt;&gt;"","BARDÉ","EN STOCK")))</f>
        <v/>
      </c>
      <c r="N870" s="79"/>
    </row>
    <row r="871" customFormat="false" ht="15" hidden="false" customHeight="false" outlineLevel="0" collapsed="false">
      <c r="A871" s="78" t="str">
        <f aca="false">IF(B871="","",ROW()-6)</f>
        <v/>
      </c>
      <c r="B871" s="90"/>
      <c r="C871" s="91"/>
      <c r="D871" s="91"/>
      <c r="E871" s="80"/>
      <c r="F871" s="92"/>
      <c r="G871" s="79"/>
      <c r="H871" s="82"/>
      <c r="I871" s="93" t="str">
        <f aca="false">IF(B871="","",IFERROR(INDEX('CARNET DE SOUDURE'!$B$7:$B$1506,MATCH(B871,'CARNET DE SOUDURE'!$K$7:$K$1506,0)),IFERROR(INDEX('CARNET DE SOUDURE'!$B$7:$B$1506,MATCH(B871,'CARNET DE SOUDURE'!$M$7:$M$1506,0)),"")))</f>
        <v/>
      </c>
      <c r="J871" s="78" t="str">
        <f aca="false">IF(B871="","",IFERROR(INDEX('CARNET DE SOUDURE'!$E$7:$E$1506,MATCH(B871,'CARNET DE SOUDURE'!$M$7:$M$1506,0)),""))</f>
        <v/>
      </c>
      <c r="K871" s="78" t="str">
        <f aca="false">IF(B871="","",IFERROR(INDEX('CARNET DE SOUDURE'!$E$7:$E$1506,MATCH(B871,'CARNET DE SOUDURE'!$K$7:$K$1506,0)),""))</f>
        <v/>
      </c>
      <c r="L871" s="78" t="str">
        <f aca="false">IF(B871="","",IFERROR(INDEX('CARNET DE SOUDURE'!$D$7:$D$1506,MATCH(B871,'CARNET DE SOUDURE'!$K$7:$K$1506,0)),IFERROR(INDEX('CARNET DE SOUDURE'!$D$7:$D$1506,MATCH(B871,'CARNET DE SOUDURE'!$M$7:$M$1506,0)),"")))</f>
        <v/>
      </c>
      <c r="M871" s="81" t="str">
        <f aca="false">IF(B871="","",IF(OR(J871&lt;&gt;"",K871&lt;&gt;""),"POSÉ EN LIGNE",IF(H871&lt;&gt;"","BARDÉ","EN STOCK")))</f>
        <v/>
      </c>
      <c r="N871" s="79"/>
    </row>
    <row r="872" customFormat="false" ht="15" hidden="false" customHeight="false" outlineLevel="0" collapsed="false">
      <c r="A872" s="78" t="str">
        <f aca="false">IF(B872="","",ROW()-6)</f>
        <v/>
      </c>
      <c r="B872" s="90"/>
      <c r="C872" s="91"/>
      <c r="D872" s="91"/>
      <c r="E872" s="80"/>
      <c r="F872" s="92"/>
      <c r="G872" s="79"/>
      <c r="H872" s="82"/>
      <c r="I872" s="93" t="str">
        <f aca="false">IF(B872="","",IFERROR(INDEX('CARNET DE SOUDURE'!$B$7:$B$1506,MATCH(B872,'CARNET DE SOUDURE'!$K$7:$K$1506,0)),IFERROR(INDEX('CARNET DE SOUDURE'!$B$7:$B$1506,MATCH(B872,'CARNET DE SOUDURE'!$M$7:$M$1506,0)),"")))</f>
        <v/>
      </c>
      <c r="J872" s="78" t="str">
        <f aca="false">IF(B872="","",IFERROR(INDEX('CARNET DE SOUDURE'!$E$7:$E$1506,MATCH(B872,'CARNET DE SOUDURE'!$M$7:$M$1506,0)),""))</f>
        <v/>
      </c>
      <c r="K872" s="78" t="str">
        <f aca="false">IF(B872="","",IFERROR(INDEX('CARNET DE SOUDURE'!$E$7:$E$1506,MATCH(B872,'CARNET DE SOUDURE'!$K$7:$K$1506,0)),""))</f>
        <v/>
      </c>
      <c r="L872" s="78" t="str">
        <f aca="false">IF(B872="","",IFERROR(INDEX('CARNET DE SOUDURE'!$D$7:$D$1506,MATCH(B872,'CARNET DE SOUDURE'!$K$7:$K$1506,0)),IFERROR(INDEX('CARNET DE SOUDURE'!$D$7:$D$1506,MATCH(B872,'CARNET DE SOUDURE'!$M$7:$M$1506,0)),"")))</f>
        <v/>
      </c>
      <c r="M872" s="81" t="str">
        <f aca="false">IF(B872="","",IF(OR(J872&lt;&gt;"",K872&lt;&gt;""),"POSÉ EN LIGNE",IF(H872&lt;&gt;"","BARDÉ","EN STOCK")))</f>
        <v/>
      </c>
      <c r="N872" s="79"/>
    </row>
    <row r="873" customFormat="false" ht="15" hidden="false" customHeight="false" outlineLevel="0" collapsed="false">
      <c r="A873" s="78" t="str">
        <f aca="false">IF(B873="","",ROW()-6)</f>
        <v/>
      </c>
      <c r="B873" s="90"/>
      <c r="C873" s="91"/>
      <c r="D873" s="91"/>
      <c r="E873" s="80"/>
      <c r="F873" s="92"/>
      <c r="G873" s="79"/>
      <c r="H873" s="82"/>
      <c r="I873" s="93" t="str">
        <f aca="false">IF(B873="","",IFERROR(INDEX('CARNET DE SOUDURE'!$B$7:$B$1506,MATCH(B873,'CARNET DE SOUDURE'!$K$7:$K$1506,0)),IFERROR(INDEX('CARNET DE SOUDURE'!$B$7:$B$1506,MATCH(B873,'CARNET DE SOUDURE'!$M$7:$M$1506,0)),"")))</f>
        <v/>
      </c>
      <c r="J873" s="78" t="str">
        <f aca="false">IF(B873="","",IFERROR(INDEX('CARNET DE SOUDURE'!$E$7:$E$1506,MATCH(B873,'CARNET DE SOUDURE'!$M$7:$M$1506,0)),""))</f>
        <v/>
      </c>
      <c r="K873" s="78" t="str">
        <f aca="false">IF(B873="","",IFERROR(INDEX('CARNET DE SOUDURE'!$E$7:$E$1506,MATCH(B873,'CARNET DE SOUDURE'!$K$7:$K$1506,0)),""))</f>
        <v/>
      </c>
      <c r="L873" s="78" t="str">
        <f aca="false">IF(B873="","",IFERROR(INDEX('CARNET DE SOUDURE'!$D$7:$D$1506,MATCH(B873,'CARNET DE SOUDURE'!$K$7:$K$1506,0)),IFERROR(INDEX('CARNET DE SOUDURE'!$D$7:$D$1506,MATCH(B873,'CARNET DE SOUDURE'!$M$7:$M$1506,0)),"")))</f>
        <v/>
      </c>
      <c r="M873" s="81" t="str">
        <f aca="false">IF(B873="","",IF(OR(J873&lt;&gt;"",K873&lt;&gt;""),"POSÉ EN LIGNE",IF(H873&lt;&gt;"","BARDÉ","EN STOCK")))</f>
        <v/>
      </c>
      <c r="N873" s="79"/>
    </row>
    <row r="874" customFormat="false" ht="15" hidden="false" customHeight="false" outlineLevel="0" collapsed="false">
      <c r="A874" s="78" t="str">
        <f aca="false">IF(B874="","",ROW()-6)</f>
        <v/>
      </c>
      <c r="B874" s="90"/>
      <c r="C874" s="91"/>
      <c r="D874" s="91"/>
      <c r="E874" s="80"/>
      <c r="F874" s="92"/>
      <c r="G874" s="79"/>
      <c r="H874" s="82"/>
      <c r="I874" s="93" t="str">
        <f aca="false">IF(B874="","",IFERROR(INDEX('CARNET DE SOUDURE'!$B$7:$B$1506,MATCH(B874,'CARNET DE SOUDURE'!$K$7:$K$1506,0)),IFERROR(INDEX('CARNET DE SOUDURE'!$B$7:$B$1506,MATCH(B874,'CARNET DE SOUDURE'!$M$7:$M$1506,0)),"")))</f>
        <v/>
      </c>
      <c r="J874" s="78" t="str">
        <f aca="false">IF(B874="","",IFERROR(INDEX('CARNET DE SOUDURE'!$E$7:$E$1506,MATCH(B874,'CARNET DE SOUDURE'!$M$7:$M$1506,0)),""))</f>
        <v/>
      </c>
      <c r="K874" s="78" t="str">
        <f aca="false">IF(B874="","",IFERROR(INDEX('CARNET DE SOUDURE'!$E$7:$E$1506,MATCH(B874,'CARNET DE SOUDURE'!$K$7:$K$1506,0)),""))</f>
        <v/>
      </c>
      <c r="L874" s="78" t="str">
        <f aca="false">IF(B874="","",IFERROR(INDEX('CARNET DE SOUDURE'!$D$7:$D$1506,MATCH(B874,'CARNET DE SOUDURE'!$K$7:$K$1506,0)),IFERROR(INDEX('CARNET DE SOUDURE'!$D$7:$D$1506,MATCH(B874,'CARNET DE SOUDURE'!$M$7:$M$1506,0)),"")))</f>
        <v/>
      </c>
      <c r="M874" s="81" t="str">
        <f aca="false">IF(B874="","",IF(OR(J874&lt;&gt;"",K874&lt;&gt;""),"POSÉ EN LIGNE",IF(H874&lt;&gt;"","BARDÉ","EN STOCK")))</f>
        <v/>
      </c>
      <c r="N874" s="79"/>
    </row>
    <row r="875" customFormat="false" ht="15" hidden="false" customHeight="false" outlineLevel="0" collapsed="false">
      <c r="A875" s="78" t="str">
        <f aca="false">IF(B875="","",ROW()-6)</f>
        <v/>
      </c>
      <c r="B875" s="90"/>
      <c r="C875" s="91"/>
      <c r="D875" s="91"/>
      <c r="E875" s="80"/>
      <c r="F875" s="92"/>
      <c r="G875" s="79"/>
      <c r="H875" s="82"/>
      <c r="I875" s="93" t="str">
        <f aca="false">IF(B875="","",IFERROR(INDEX('CARNET DE SOUDURE'!$B$7:$B$1506,MATCH(B875,'CARNET DE SOUDURE'!$K$7:$K$1506,0)),IFERROR(INDEX('CARNET DE SOUDURE'!$B$7:$B$1506,MATCH(B875,'CARNET DE SOUDURE'!$M$7:$M$1506,0)),"")))</f>
        <v/>
      </c>
      <c r="J875" s="78" t="str">
        <f aca="false">IF(B875="","",IFERROR(INDEX('CARNET DE SOUDURE'!$E$7:$E$1506,MATCH(B875,'CARNET DE SOUDURE'!$M$7:$M$1506,0)),""))</f>
        <v/>
      </c>
      <c r="K875" s="78" t="str">
        <f aca="false">IF(B875="","",IFERROR(INDEX('CARNET DE SOUDURE'!$E$7:$E$1506,MATCH(B875,'CARNET DE SOUDURE'!$K$7:$K$1506,0)),""))</f>
        <v/>
      </c>
      <c r="L875" s="78" t="str">
        <f aca="false">IF(B875="","",IFERROR(INDEX('CARNET DE SOUDURE'!$D$7:$D$1506,MATCH(B875,'CARNET DE SOUDURE'!$K$7:$K$1506,0)),IFERROR(INDEX('CARNET DE SOUDURE'!$D$7:$D$1506,MATCH(B875,'CARNET DE SOUDURE'!$M$7:$M$1506,0)),"")))</f>
        <v/>
      </c>
      <c r="M875" s="81" t="str">
        <f aca="false">IF(B875="","",IF(OR(J875&lt;&gt;"",K875&lt;&gt;""),"POSÉ EN LIGNE",IF(H875&lt;&gt;"","BARDÉ","EN STOCK")))</f>
        <v/>
      </c>
      <c r="N875" s="79"/>
    </row>
    <row r="876" customFormat="false" ht="15" hidden="false" customHeight="false" outlineLevel="0" collapsed="false">
      <c r="A876" s="78" t="str">
        <f aca="false">IF(B876="","",ROW()-6)</f>
        <v/>
      </c>
      <c r="B876" s="90"/>
      <c r="C876" s="91"/>
      <c r="D876" s="91"/>
      <c r="E876" s="80"/>
      <c r="F876" s="92"/>
      <c r="G876" s="79"/>
      <c r="H876" s="82"/>
      <c r="I876" s="93" t="str">
        <f aca="false">IF(B876="","",IFERROR(INDEX('CARNET DE SOUDURE'!$B$7:$B$1506,MATCH(B876,'CARNET DE SOUDURE'!$K$7:$K$1506,0)),IFERROR(INDEX('CARNET DE SOUDURE'!$B$7:$B$1506,MATCH(B876,'CARNET DE SOUDURE'!$M$7:$M$1506,0)),"")))</f>
        <v/>
      </c>
      <c r="J876" s="78" t="str">
        <f aca="false">IF(B876="","",IFERROR(INDEX('CARNET DE SOUDURE'!$E$7:$E$1506,MATCH(B876,'CARNET DE SOUDURE'!$M$7:$M$1506,0)),""))</f>
        <v/>
      </c>
      <c r="K876" s="78" t="str">
        <f aca="false">IF(B876="","",IFERROR(INDEX('CARNET DE SOUDURE'!$E$7:$E$1506,MATCH(B876,'CARNET DE SOUDURE'!$K$7:$K$1506,0)),""))</f>
        <v/>
      </c>
      <c r="L876" s="78" t="str">
        <f aca="false">IF(B876="","",IFERROR(INDEX('CARNET DE SOUDURE'!$D$7:$D$1506,MATCH(B876,'CARNET DE SOUDURE'!$K$7:$K$1506,0)),IFERROR(INDEX('CARNET DE SOUDURE'!$D$7:$D$1506,MATCH(B876,'CARNET DE SOUDURE'!$M$7:$M$1506,0)),"")))</f>
        <v/>
      </c>
      <c r="M876" s="81" t="str">
        <f aca="false">IF(B876="","",IF(OR(J876&lt;&gt;"",K876&lt;&gt;""),"POSÉ EN LIGNE",IF(H876&lt;&gt;"","BARDÉ","EN STOCK")))</f>
        <v/>
      </c>
      <c r="N876" s="79"/>
    </row>
    <row r="877" customFormat="false" ht="15" hidden="false" customHeight="false" outlineLevel="0" collapsed="false">
      <c r="A877" s="78" t="str">
        <f aca="false">IF(B877="","",ROW()-6)</f>
        <v/>
      </c>
      <c r="B877" s="90"/>
      <c r="C877" s="91"/>
      <c r="D877" s="91"/>
      <c r="E877" s="80"/>
      <c r="F877" s="92"/>
      <c r="G877" s="79"/>
      <c r="H877" s="82"/>
      <c r="I877" s="93" t="str">
        <f aca="false">IF(B877="","",IFERROR(INDEX('CARNET DE SOUDURE'!$B$7:$B$1506,MATCH(B877,'CARNET DE SOUDURE'!$K$7:$K$1506,0)),IFERROR(INDEX('CARNET DE SOUDURE'!$B$7:$B$1506,MATCH(B877,'CARNET DE SOUDURE'!$M$7:$M$1506,0)),"")))</f>
        <v/>
      </c>
      <c r="J877" s="78" t="str">
        <f aca="false">IF(B877="","",IFERROR(INDEX('CARNET DE SOUDURE'!$E$7:$E$1506,MATCH(B877,'CARNET DE SOUDURE'!$M$7:$M$1506,0)),""))</f>
        <v/>
      </c>
      <c r="K877" s="78" t="str">
        <f aca="false">IF(B877="","",IFERROR(INDEX('CARNET DE SOUDURE'!$E$7:$E$1506,MATCH(B877,'CARNET DE SOUDURE'!$K$7:$K$1506,0)),""))</f>
        <v/>
      </c>
      <c r="L877" s="78" t="str">
        <f aca="false">IF(B877="","",IFERROR(INDEX('CARNET DE SOUDURE'!$D$7:$D$1506,MATCH(B877,'CARNET DE SOUDURE'!$K$7:$K$1506,0)),IFERROR(INDEX('CARNET DE SOUDURE'!$D$7:$D$1506,MATCH(B877,'CARNET DE SOUDURE'!$M$7:$M$1506,0)),"")))</f>
        <v/>
      </c>
      <c r="M877" s="81" t="str">
        <f aca="false">IF(B877="","",IF(OR(J877&lt;&gt;"",K877&lt;&gt;""),"POSÉ EN LIGNE",IF(H877&lt;&gt;"","BARDÉ","EN STOCK")))</f>
        <v/>
      </c>
      <c r="N877" s="79"/>
    </row>
    <row r="878" customFormat="false" ht="15" hidden="false" customHeight="false" outlineLevel="0" collapsed="false">
      <c r="A878" s="78" t="str">
        <f aca="false">IF(B878="","",ROW()-6)</f>
        <v/>
      </c>
      <c r="B878" s="90"/>
      <c r="C878" s="91"/>
      <c r="D878" s="91"/>
      <c r="E878" s="80"/>
      <c r="F878" s="92"/>
      <c r="G878" s="79"/>
      <c r="H878" s="82"/>
      <c r="I878" s="93" t="str">
        <f aca="false">IF(B878="","",IFERROR(INDEX('CARNET DE SOUDURE'!$B$7:$B$1506,MATCH(B878,'CARNET DE SOUDURE'!$K$7:$K$1506,0)),IFERROR(INDEX('CARNET DE SOUDURE'!$B$7:$B$1506,MATCH(B878,'CARNET DE SOUDURE'!$M$7:$M$1506,0)),"")))</f>
        <v/>
      </c>
      <c r="J878" s="78" t="str">
        <f aca="false">IF(B878="","",IFERROR(INDEX('CARNET DE SOUDURE'!$E$7:$E$1506,MATCH(B878,'CARNET DE SOUDURE'!$M$7:$M$1506,0)),""))</f>
        <v/>
      </c>
      <c r="K878" s="78" t="str">
        <f aca="false">IF(B878="","",IFERROR(INDEX('CARNET DE SOUDURE'!$E$7:$E$1506,MATCH(B878,'CARNET DE SOUDURE'!$K$7:$K$1506,0)),""))</f>
        <v/>
      </c>
      <c r="L878" s="78" t="str">
        <f aca="false">IF(B878="","",IFERROR(INDEX('CARNET DE SOUDURE'!$D$7:$D$1506,MATCH(B878,'CARNET DE SOUDURE'!$K$7:$K$1506,0)),IFERROR(INDEX('CARNET DE SOUDURE'!$D$7:$D$1506,MATCH(B878,'CARNET DE SOUDURE'!$M$7:$M$1506,0)),"")))</f>
        <v/>
      </c>
      <c r="M878" s="81" t="str">
        <f aca="false">IF(B878="","",IF(OR(J878&lt;&gt;"",K878&lt;&gt;""),"POSÉ EN LIGNE",IF(H878&lt;&gt;"","BARDÉ","EN STOCK")))</f>
        <v/>
      </c>
      <c r="N878" s="79"/>
    </row>
    <row r="879" customFormat="false" ht="15" hidden="false" customHeight="false" outlineLevel="0" collapsed="false">
      <c r="A879" s="78" t="str">
        <f aca="false">IF(B879="","",ROW()-6)</f>
        <v/>
      </c>
      <c r="B879" s="90"/>
      <c r="C879" s="91"/>
      <c r="D879" s="91"/>
      <c r="E879" s="80"/>
      <c r="F879" s="92"/>
      <c r="G879" s="79"/>
      <c r="H879" s="82"/>
      <c r="I879" s="93" t="str">
        <f aca="false">IF(B879="","",IFERROR(INDEX('CARNET DE SOUDURE'!$B$7:$B$1506,MATCH(B879,'CARNET DE SOUDURE'!$K$7:$K$1506,0)),IFERROR(INDEX('CARNET DE SOUDURE'!$B$7:$B$1506,MATCH(B879,'CARNET DE SOUDURE'!$M$7:$M$1506,0)),"")))</f>
        <v/>
      </c>
      <c r="J879" s="78" t="str">
        <f aca="false">IF(B879="","",IFERROR(INDEX('CARNET DE SOUDURE'!$E$7:$E$1506,MATCH(B879,'CARNET DE SOUDURE'!$M$7:$M$1506,0)),""))</f>
        <v/>
      </c>
      <c r="K879" s="78" t="str">
        <f aca="false">IF(B879="","",IFERROR(INDEX('CARNET DE SOUDURE'!$E$7:$E$1506,MATCH(B879,'CARNET DE SOUDURE'!$K$7:$K$1506,0)),""))</f>
        <v/>
      </c>
      <c r="L879" s="78" t="str">
        <f aca="false">IF(B879="","",IFERROR(INDEX('CARNET DE SOUDURE'!$D$7:$D$1506,MATCH(B879,'CARNET DE SOUDURE'!$K$7:$K$1506,0)),IFERROR(INDEX('CARNET DE SOUDURE'!$D$7:$D$1506,MATCH(B879,'CARNET DE SOUDURE'!$M$7:$M$1506,0)),"")))</f>
        <v/>
      </c>
      <c r="M879" s="81" t="str">
        <f aca="false">IF(B879="","",IF(OR(J879&lt;&gt;"",K879&lt;&gt;""),"POSÉ EN LIGNE",IF(H879&lt;&gt;"","BARDÉ","EN STOCK")))</f>
        <v/>
      </c>
      <c r="N879" s="79"/>
    </row>
    <row r="880" customFormat="false" ht="15" hidden="false" customHeight="false" outlineLevel="0" collapsed="false">
      <c r="A880" s="78" t="str">
        <f aca="false">IF(B880="","",ROW()-6)</f>
        <v/>
      </c>
      <c r="B880" s="90"/>
      <c r="C880" s="91"/>
      <c r="D880" s="91"/>
      <c r="E880" s="80"/>
      <c r="F880" s="92"/>
      <c r="G880" s="79"/>
      <c r="H880" s="82"/>
      <c r="I880" s="93" t="str">
        <f aca="false">IF(B880="","",IFERROR(INDEX('CARNET DE SOUDURE'!$B$7:$B$1506,MATCH(B880,'CARNET DE SOUDURE'!$K$7:$K$1506,0)),IFERROR(INDEX('CARNET DE SOUDURE'!$B$7:$B$1506,MATCH(B880,'CARNET DE SOUDURE'!$M$7:$M$1506,0)),"")))</f>
        <v/>
      </c>
      <c r="J880" s="78" t="str">
        <f aca="false">IF(B880="","",IFERROR(INDEX('CARNET DE SOUDURE'!$E$7:$E$1506,MATCH(B880,'CARNET DE SOUDURE'!$M$7:$M$1506,0)),""))</f>
        <v/>
      </c>
      <c r="K880" s="78" t="str">
        <f aca="false">IF(B880="","",IFERROR(INDEX('CARNET DE SOUDURE'!$E$7:$E$1506,MATCH(B880,'CARNET DE SOUDURE'!$K$7:$K$1506,0)),""))</f>
        <v/>
      </c>
      <c r="L880" s="78" t="str">
        <f aca="false">IF(B880="","",IFERROR(INDEX('CARNET DE SOUDURE'!$D$7:$D$1506,MATCH(B880,'CARNET DE SOUDURE'!$K$7:$K$1506,0)),IFERROR(INDEX('CARNET DE SOUDURE'!$D$7:$D$1506,MATCH(B880,'CARNET DE SOUDURE'!$M$7:$M$1506,0)),"")))</f>
        <v/>
      </c>
      <c r="M880" s="81" t="str">
        <f aca="false">IF(B880="","",IF(OR(J880&lt;&gt;"",K880&lt;&gt;""),"POSÉ EN LIGNE",IF(H880&lt;&gt;"","BARDÉ","EN STOCK")))</f>
        <v/>
      </c>
      <c r="N880" s="79"/>
    </row>
    <row r="881" customFormat="false" ht="15" hidden="false" customHeight="false" outlineLevel="0" collapsed="false">
      <c r="A881" s="78" t="str">
        <f aca="false">IF(B881="","",ROW()-6)</f>
        <v/>
      </c>
      <c r="B881" s="90"/>
      <c r="C881" s="91"/>
      <c r="D881" s="91"/>
      <c r="E881" s="80"/>
      <c r="F881" s="92"/>
      <c r="G881" s="79"/>
      <c r="H881" s="82"/>
      <c r="I881" s="93" t="str">
        <f aca="false">IF(B881="","",IFERROR(INDEX('CARNET DE SOUDURE'!$B$7:$B$1506,MATCH(B881,'CARNET DE SOUDURE'!$K$7:$K$1506,0)),IFERROR(INDEX('CARNET DE SOUDURE'!$B$7:$B$1506,MATCH(B881,'CARNET DE SOUDURE'!$M$7:$M$1506,0)),"")))</f>
        <v/>
      </c>
      <c r="J881" s="78" t="str">
        <f aca="false">IF(B881="","",IFERROR(INDEX('CARNET DE SOUDURE'!$E$7:$E$1506,MATCH(B881,'CARNET DE SOUDURE'!$M$7:$M$1506,0)),""))</f>
        <v/>
      </c>
      <c r="K881" s="78" t="str">
        <f aca="false">IF(B881="","",IFERROR(INDEX('CARNET DE SOUDURE'!$E$7:$E$1506,MATCH(B881,'CARNET DE SOUDURE'!$K$7:$K$1506,0)),""))</f>
        <v/>
      </c>
      <c r="L881" s="78" t="str">
        <f aca="false">IF(B881="","",IFERROR(INDEX('CARNET DE SOUDURE'!$D$7:$D$1506,MATCH(B881,'CARNET DE SOUDURE'!$K$7:$K$1506,0)),IFERROR(INDEX('CARNET DE SOUDURE'!$D$7:$D$1506,MATCH(B881,'CARNET DE SOUDURE'!$M$7:$M$1506,0)),"")))</f>
        <v/>
      </c>
      <c r="M881" s="81" t="str">
        <f aca="false">IF(B881="","",IF(OR(J881&lt;&gt;"",K881&lt;&gt;""),"POSÉ EN LIGNE",IF(H881&lt;&gt;"","BARDÉ","EN STOCK")))</f>
        <v/>
      </c>
      <c r="N881" s="79"/>
    </row>
    <row r="882" customFormat="false" ht="15" hidden="false" customHeight="false" outlineLevel="0" collapsed="false">
      <c r="A882" s="78" t="str">
        <f aca="false">IF(B882="","",ROW()-6)</f>
        <v/>
      </c>
      <c r="B882" s="90"/>
      <c r="C882" s="91"/>
      <c r="D882" s="91"/>
      <c r="E882" s="80"/>
      <c r="F882" s="92"/>
      <c r="G882" s="79"/>
      <c r="H882" s="82"/>
      <c r="I882" s="93" t="str">
        <f aca="false">IF(B882="","",IFERROR(INDEX('CARNET DE SOUDURE'!$B$7:$B$1506,MATCH(B882,'CARNET DE SOUDURE'!$K$7:$K$1506,0)),IFERROR(INDEX('CARNET DE SOUDURE'!$B$7:$B$1506,MATCH(B882,'CARNET DE SOUDURE'!$M$7:$M$1506,0)),"")))</f>
        <v/>
      </c>
      <c r="J882" s="78" t="str">
        <f aca="false">IF(B882="","",IFERROR(INDEX('CARNET DE SOUDURE'!$E$7:$E$1506,MATCH(B882,'CARNET DE SOUDURE'!$M$7:$M$1506,0)),""))</f>
        <v/>
      </c>
      <c r="K882" s="78" t="str">
        <f aca="false">IF(B882="","",IFERROR(INDEX('CARNET DE SOUDURE'!$E$7:$E$1506,MATCH(B882,'CARNET DE SOUDURE'!$K$7:$K$1506,0)),""))</f>
        <v/>
      </c>
      <c r="L882" s="78" t="str">
        <f aca="false">IF(B882="","",IFERROR(INDEX('CARNET DE SOUDURE'!$D$7:$D$1506,MATCH(B882,'CARNET DE SOUDURE'!$K$7:$K$1506,0)),IFERROR(INDEX('CARNET DE SOUDURE'!$D$7:$D$1506,MATCH(B882,'CARNET DE SOUDURE'!$M$7:$M$1506,0)),"")))</f>
        <v/>
      </c>
      <c r="M882" s="81" t="str">
        <f aca="false">IF(B882="","",IF(OR(J882&lt;&gt;"",K882&lt;&gt;""),"POSÉ EN LIGNE",IF(H882&lt;&gt;"","BARDÉ","EN STOCK")))</f>
        <v/>
      </c>
      <c r="N882" s="79"/>
    </row>
    <row r="883" customFormat="false" ht="15" hidden="false" customHeight="false" outlineLevel="0" collapsed="false">
      <c r="A883" s="78" t="str">
        <f aca="false">IF(B883="","",ROW()-6)</f>
        <v/>
      </c>
      <c r="B883" s="90"/>
      <c r="C883" s="91"/>
      <c r="D883" s="91"/>
      <c r="E883" s="80"/>
      <c r="F883" s="92"/>
      <c r="G883" s="79"/>
      <c r="H883" s="82"/>
      <c r="I883" s="93" t="str">
        <f aca="false">IF(B883="","",IFERROR(INDEX('CARNET DE SOUDURE'!$B$7:$B$1506,MATCH(B883,'CARNET DE SOUDURE'!$K$7:$K$1506,0)),IFERROR(INDEX('CARNET DE SOUDURE'!$B$7:$B$1506,MATCH(B883,'CARNET DE SOUDURE'!$M$7:$M$1506,0)),"")))</f>
        <v/>
      </c>
      <c r="J883" s="78" t="str">
        <f aca="false">IF(B883="","",IFERROR(INDEX('CARNET DE SOUDURE'!$E$7:$E$1506,MATCH(B883,'CARNET DE SOUDURE'!$M$7:$M$1506,0)),""))</f>
        <v/>
      </c>
      <c r="K883" s="78" t="str">
        <f aca="false">IF(B883="","",IFERROR(INDEX('CARNET DE SOUDURE'!$E$7:$E$1506,MATCH(B883,'CARNET DE SOUDURE'!$K$7:$K$1506,0)),""))</f>
        <v/>
      </c>
      <c r="L883" s="78" t="str">
        <f aca="false">IF(B883="","",IFERROR(INDEX('CARNET DE SOUDURE'!$D$7:$D$1506,MATCH(B883,'CARNET DE SOUDURE'!$K$7:$K$1506,0)),IFERROR(INDEX('CARNET DE SOUDURE'!$D$7:$D$1506,MATCH(B883,'CARNET DE SOUDURE'!$M$7:$M$1506,0)),"")))</f>
        <v/>
      </c>
      <c r="M883" s="81" t="str">
        <f aca="false">IF(B883="","",IF(OR(J883&lt;&gt;"",K883&lt;&gt;""),"POSÉ EN LIGNE",IF(H883&lt;&gt;"","BARDÉ","EN STOCK")))</f>
        <v/>
      </c>
      <c r="N883" s="79"/>
    </row>
    <row r="884" customFormat="false" ht="15" hidden="false" customHeight="false" outlineLevel="0" collapsed="false">
      <c r="A884" s="78" t="str">
        <f aca="false">IF(B884="","",ROW()-6)</f>
        <v/>
      </c>
      <c r="B884" s="90"/>
      <c r="C884" s="91"/>
      <c r="D884" s="91"/>
      <c r="E884" s="80"/>
      <c r="F884" s="92"/>
      <c r="G884" s="79"/>
      <c r="H884" s="82"/>
      <c r="I884" s="93" t="str">
        <f aca="false">IF(B884="","",IFERROR(INDEX('CARNET DE SOUDURE'!$B$7:$B$1506,MATCH(B884,'CARNET DE SOUDURE'!$K$7:$K$1506,0)),IFERROR(INDEX('CARNET DE SOUDURE'!$B$7:$B$1506,MATCH(B884,'CARNET DE SOUDURE'!$M$7:$M$1506,0)),"")))</f>
        <v/>
      </c>
      <c r="J884" s="78" t="str">
        <f aca="false">IF(B884="","",IFERROR(INDEX('CARNET DE SOUDURE'!$E$7:$E$1506,MATCH(B884,'CARNET DE SOUDURE'!$M$7:$M$1506,0)),""))</f>
        <v/>
      </c>
      <c r="K884" s="78" t="str">
        <f aca="false">IF(B884="","",IFERROR(INDEX('CARNET DE SOUDURE'!$E$7:$E$1506,MATCH(B884,'CARNET DE SOUDURE'!$K$7:$K$1506,0)),""))</f>
        <v/>
      </c>
      <c r="L884" s="78" t="str">
        <f aca="false">IF(B884="","",IFERROR(INDEX('CARNET DE SOUDURE'!$D$7:$D$1506,MATCH(B884,'CARNET DE SOUDURE'!$K$7:$K$1506,0)),IFERROR(INDEX('CARNET DE SOUDURE'!$D$7:$D$1506,MATCH(B884,'CARNET DE SOUDURE'!$M$7:$M$1506,0)),"")))</f>
        <v/>
      </c>
      <c r="M884" s="81" t="str">
        <f aca="false">IF(B884="","",IF(OR(J884&lt;&gt;"",K884&lt;&gt;""),"POSÉ EN LIGNE",IF(H884&lt;&gt;"","BARDÉ","EN STOCK")))</f>
        <v/>
      </c>
      <c r="N884" s="79"/>
    </row>
    <row r="885" customFormat="false" ht="15" hidden="false" customHeight="false" outlineLevel="0" collapsed="false">
      <c r="A885" s="78" t="str">
        <f aca="false">IF(B885="","",ROW()-6)</f>
        <v/>
      </c>
      <c r="B885" s="90"/>
      <c r="C885" s="91"/>
      <c r="D885" s="91"/>
      <c r="E885" s="80"/>
      <c r="F885" s="92"/>
      <c r="G885" s="79"/>
      <c r="H885" s="82"/>
      <c r="I885" s="93" t="str">
        <f aca="false">IF(B885="","",IFERROR(INDEX('CARNET DE SOUDURE'!$B$7:$B$1506,MATCH(B885,'CARNET DE SOUDURE'!$K$7:$K$1506,0)),IFERROR(INDEX('CARNET DE SOUDURE'!$B$7:$B$1506,MATCH(B885,'CARNET DE SOUDURE'!$M$7:$M$1506,0)),"")))</f>
        <v/>
      </c>
      <c r="J885" s="78" t="str">
        <f aca="false">IF(B885="","",IFERROR(INDEX('CARNET DE SOUDURE'!$E$7:$E$1506,MATCH(B885,'CARNET DE SOUDURE'!$M$7:$M$1506,0)),""))</f>
        <v/>
      </c>
      <c r="K885" s="78" t="str">
        <f aca="false">IF(B885="","",IFERROR(INDEX('CARNET DE SOUDURE'!$E$7:$E$1506,MATCH(B885,'CARNET DE SOUDURE'!$K$7:$K$1506,0)),""))</f>
        <v/>
      </c>
      <c r="L885" s="78" t="str">
        <f aca="false">IF(B885="","",IFERROR(INDEX('CARNET DE SOUDURE'!$D$7:$D$1506,MATCH(B885,'CARNET DE SOUDURE'!$K$7:$K$1506,0)),IFERROR(INDEX('CARNET DE SOUDURE'!$D$7:$D$1506,MATCH(B885,'CARNET DE SOUDURE'!$M$7:$M$1506,0)),"")))</f>
        <v/>
      </c>
      <c r="M885" s="81" t="str">
        <f aca="false">IF(B885="","",IF(OR(J885&lt;&gt;"",K885&lt;&gt;""),"POSÉ EN LIGNE",IF(H885&lt;&gt;"","BARDÉ","EN STOCK")))</f>
        <v/>
      </c>
      <c r="N885" s="79"/>
    </row>
    <row r="886" customFormat="false" ht="15" hidden="false" customHeight="false" outlineLevel="0" collapsed="false">
      <c r="A886" s="78" t="str">
        <f aca="false">IF(B886="","",ROW()-6)</f>
        <v/>
      </c>
      <c r="B886" s="90"/>
      <c r="C886" s="91"/>
      <c r="D886" s="91"/>
      <c r="E886" s="80"/>
      <c r="F886" s="92"/>
      <c r="G886" s="79"/>
      <c r="H886" s="82"/>
      <c r="I886" s="93" t="str">
        <f aca="false">IF(B886="","",IFERROR(INDEX('CARNET DE SOUDURE'!$B$7:$B$1506,MATCH(B886,'CARNET DE SOUDURE'!$K$7:$K$1506,0)),IFERROR(INDEX('CARNET DE SOUDURE'!$B$7:$B$1506,MATCH(B886,'CARNET DE SOUDURE'!$M$7:$M$1506,0)),"")))</f>
        <v/>
      </c>
      <c r="J886" s="78" t="str">
        <f aca="false">IF(B886="","",IFERROR(INDEX('CARNET DE SOUDURE'!$E$7:$E$1506,MATCH(B886,'CARNET DE SOUDURE'!$M$7:$M$1506,0)),""))</f>
        <v/>
      </c>
      <c r="K886" s="78" t="str">
        <f aca="false">IF(B886="","",IFERROR(INDEX('CARNET DE SOUDURE'!$E$7:$E$1506,MATCH(B886,'CARNET DE SOUDURE'!$K$7:$K$1506,0)),""))</f>
        <v/>
      </c>
      <c r="L886" s="78" t="str">
        <f aca="false">IF(B886="","",IFERROR(INDEX('CARNET DE SOUDURE'!$D$7:$D$1506,MATCH(B886,'CARNET DE SOUDURE'!$K$7:$K$1506,0)),IFERROR(INDEX('CARNET DE SOUDURE'!$D$7:$D$1506,MATCH(B886,'CARNET DE SOUDURE'!$M$7:$M$1506,0)),"")))</f>
        <v/>
      </c>
      <c r="M886" s="81" t="str">
        <f aca="false">IF(B886="","",IF(OR(J886&lt;&gt;"",K886&lt;&gt;""),"POSÉ EN LIGNE",IF(H886&lt;&gt;"","BARDÉ","EN STOCK")))</f>
        <v/>
      </c>
      <c r="N886" s="79"/>
    </row>
    <row r="887" customFormat="false" ht="15" hidden="false" customHeight="false" outlineLevel="0" collapsed="false">
      <c r="A887" s="78" t="str">
        <f aca="false">IF(B887="","",ROW()-6)</f>
        <v/>
      </c>
      <c r="B887" s="90"/>
      <c r="C887" s="91"/>
      <c r="D887" s="91"/>
      <c r="E887" s="80"/>
      <c r="F887" s="92"/>
      <c r="G887" s="79"/>
      <c r="H887" s="82"/>
      <c r="I887" s="93" t="str">
        <f aca="false">IF(B887="","",IFERROR(INDEX('CARNET DE SOUDURE'!$B$7:$B$1506,MATCH(B887,'CARNET DE SOUDURE'!$K$7:$K$1506,0)),IFERROR(INDEX('CARNET DE SOUDURE'!$B$7:$B$1506,MATCH(B887,'CARNET DE SOUDURE'!$M$7:$M$1506,0)),"")))</f>
        <v/>
      </c>
      <c r="J887" s="78" t="str">
        <f aca="false">IF(B887="","",IFERROR(INDEX('CARNET DE SOUDURE'!$E$7:$E$1506,MATCH(B887,'CARNET DE SOUDURE'!$M$7:$M$1506,0)),""))</f>
        <v/>
      </c>
      <c r="K887" s="78" t="str">
        <f aca="false">IF(B887="","",IFERROR(INDEX('CARNET DE SOUDURE'!$E$7:$E$1506,MATCH(B887,'CARNET DE SOUDURE'!$K$7:$K$1506,0)),""))</f>
        <v/>
      </c>
      <c r="L887" s="78" t="str">
        <f aca="false">IF(B887="","",IFERROR(INDEX('CARNET DE SOUDURE'!$D$7:$D$1506,MATCH(B887,'CARNET DE SOUDURE'!$K$7:$K$1506,0)),IFERROR(INDEX('CARNET DE SOUDURE'!$D$7:$D$1506,MATCH(B887,'CARNET DE SOUDURE'!$M$7:$M$1506,0)),"")))</f>
        <v/>
      </c>
      <c r="M887" s="81" t="str">
        <f aca="false">IF(B887="","",IF(OR(J887&lt;&gt;"",K887&lt;&gt;""),"POSÉ EN LIGNE",IF(H887&lt;&gt;"","BARDÉ","EN STOCK")))</f>
        <v/>
      </c>
      <c r="N887" s="79"/>
    </row>
    <row r="888" customFormat="false" ht="15" hidden="false" customHeight="false" outlineLevel="0" collapsed="false">
      <c r="A888" s="78" t="str">
        <f aca="false">IF(B888="","",ROW()-6)</f>
        <v/>
      </c>
      <c r="B888" s="90"/>
      <c r="C888" s="91"/>
      <c r="D888" s="91"/>
      <c r="E888" s="80"/>
      <c r="F888" s="92"/>
      <c r="G888" s="79"/>
      <c r="H888" s="82"/>
      <c r="I888" s="93" t="str">
        <f aca="false">IF(B888="","",IFERROR(INDEX('CARNET DE SOUDURE'!$B$7:$B$1506,MATCH(B888,'CARNET DE SOUDURE'!$K$7:$K$1506,0)),IFERROR(INDEX('CARNET DE SOUDURE'!$B$7:$B$1506,MATCH(B888,'CARNET DE SOUDURE'!$M$7:$M$1506,0)),"")))</f>
        <v/>
      </c>
      <c r="J888" s="78" t="str">
        <f aca="false">IF(B888="","",IFERROR(INDEX('CARNET DE SOUDURE'!$E$7:$E$1506,MATCH(B888,'CARNET DE SOUDURE'!$M$7:$M$1506,0)),""))</f>
        <v/>
      </c>
      <c r="K888" s="78" t="str">
        <f aca="false">IF(B888="","",IFERROR(INDEX('CARNET DE SOUDURE'!$E$7:$E$1506,MATCH(B888,'CARNET DE SOUDURE'!$K$7:$K$1506,0)),""))</f>
        <v/>
      </c>
      <c r="L888" s="78" t="str">
        <f aca="false">IF(B888="","",IFERROR(INDEX('CARNET DE SOUDURE'!$D$7:$D$1506,MATCH(B888,'CARNET DE SOUDURE'!$K$7:$K$1506,0)),IFERROR(INDEX('CARNET DE SOUDURE'!$D$7:$D$1506,MATCH(B888,'CARNET DE SOUDURE'!$M$7:$M$1506,0)),"")))</f>
        <v/>
      </c>
      <c r="M888" s="81" t="str">
        <f aca="false">IF(B888="","",IF(OR(J888&lt;&gt;"",K888&lt;&gt;""),"POSÉ EN LIGNE",IF(H888&lt;&gt;"","BARDÉ","EN STOCK")))</f>
        <v/>
      </c>
      <c r="N888" s="79"/>
    </row>
    <row r="889" customFormat="false" ht="15" hidden="false" customHeight="false" outlineLevel="0" collapsed="false">
      <c r="A889" s="78" t="str">
        <f aca="false">IF(B889="","",ROW()-6)</f>
        <v/>
      </c>
      <c r="B889" s="90"/>
      <c r="C889" s="91"/>
      <c r="D889" s="91"/>
      <c r="E889" s="80"/>
      <c r="F889" s="92"/>
      <c r="G889" s="79"/>
      <c r="H889" s="82"/>
      <c r="I889" s="93" t="str">
        <f aca="false">IF(B889="","",IFERROR(INDEX('CARNET DE SOUDURE'!$B$7:$B$1506,MATCH(B889,'CARNET DE SOUDURE'!$K$7:$K$1506,0)),IFERROR(INDEX('CARNET DE SOUDURE'!$B$7:$B$1506,MATCH(B889,'CARNET DE SOUDURE'!$M$7:$M$1506,0)),"")))</f>
        <v/>
      </c>
      <c r="J889" s="78" t="str">
        <f aca="false">IF(B889="","",IFERROR(INDEX('CARNET DE SOUDURE'!$E$7:$E$1506,MATCH(B889,'CARNET DE SOUDURE'!$M$7:$M$1506,0)),""))</f>
        <v/>
      </c>
      <c r="K889" s="78" t="str">
        <f aca="false">IF(B889="","",IFERROR(INDEX('CARNET DE SOUDURE'!$E$7:$E$1506,MATCH(B889,'CARNET DE SOUDURE'!$K$7:$K$1506,0)),""))</f>
        <v/>
      </c>
      <c r="L889" s="78" t="str">
        <f aca="false">IF(B889="","",IFERROR(INDEX('CARNET DE SOUDURE'!$D$7:$D$1506,MATCH(B889,'CARNET DE SOUDURE'!$K$7:$K$1506,0)),IFERROR(INDEX('CARNET DE SOUDURE'!$D$7:$D$1506,MATCH(B889,'CARNET DE SOUDURE'!$M$7:$M$1506,0)),"")))</f>
        <v/>
      </c>
      <c r="M889" s="81" t="str">
        <f aca="false">IF(B889="","",IF(OR(J889&lt;&gt;"",K889&lt;&gt;""),"POSÉ EN LIGNE",IF(H889&lt;&gt;"","BARDÉ","EN STOCK")))</f>
        <v/>
      </c>
      <c r="N889" s="79"/>
    </row>
    <row r="890" customFormat="false" ht="15" hidden="false" customHeight="false" outlineLevel="0" collapsed="false">
      <c r="A890" s="78" t="str">
        <f aca="false">IF(B890="","",ROW()-6)</f>
        <v/>
      </c>
      <c r="B890" s="90"/>
      <c r="C890" s="91"/>
      <c r="D890" s="91"/>
      <c r="E890" s="80"/>
      <c r="F890" s="92"/>
      <c r="G890" s="79"/>
      <c r="H890" s="82"/>
      <c r="I890" s="93" t="str">
        <f aca="false">IF(B890="","",IFERROR(INDEX('CARNET DE SOUDURE'!$B$7:$B$1506,MATCH(B890,'CARNET DE SOUDURE'!$K$7:$K$1506,0)),IFERROR(INDEX('CARNET DE SOUDURE'!$B$7:$B$1506,MATCH(B890,'CARNET DE SOUDURE'!$M$7:$M$1506,0)),"")))</f>
        <v/>
      </c>
      <c r="J890" s="78" t="str">
        <f aca="false">IF(B890="","",IFERROR(INDEX('CARNET DE SOUDURE'!$E$7:$E$1506,MATCH(B890,'CARNET DE SOUDURE'!$M$7:$M$1506,0)),""))</f>
        <v/>
      </c>
      <c r="K890" s="78" t="str">
        <f aca="false">IF(B890="","",IFERROR(INDEX('CARNET DE SOUDURE'!$E$7:$E$1506,MATCH(B890,'CARNET DE SOUDURE'!$K$7:$K$1506,0)),""))</f>
        <v/>
      </c>
      <c r="L890" s="78" t="str">
        <f aca="false">IF(B890="","",IFERROR(INDEX('CARNET DE SOUDURE'!$D$7:$D$1506,MATCH(B890,'CARNET DE SOUDURE'!$K$7:$K$1506,0)),IFERROR(INDEX('CARNET DE SOUDURE'!$D$7:$D$1506,MATCH(B890,'CARNET DE SOUDURE'!$M$7:$M$1506,0)),"")))</f>
        <v/>
      </c>
      <c r="M890" s="81" t="str">
        <f aca="false">IF(B890="","",IF(OR(J890&lt;&gt;"",K890&lt;&gt;""),"POSÉ EN LIGNE",IF(H890&lt;&gt;"","BARDÉ","EN STOCK")))</f>
        <v/>
      </c>
      <c r="N890" s="79"/>
    </row>
    <row r="891" customFormat="false" ht="15" hidden="false" customHeight="false" outlineLevel="0" collapsed="false">
      <c r="A891" s="78" t="str">
        <f aca="false">IF(B891="","",ROW()-6)</f>
        <v/>
      </c>
      <c r="B891" s="90"/>
      <c r="C891" s="91"/>
      <c r="D891" s="91"/>
      <c r="E891" s="80"/>
      <c r="F891" s="92"/>
      <c r="G891" s="79"/>
      <c r="H891" s="82"/>
      <c r="I891" s="93" t="str">
        <f aca="false">IF(B891="","",IFERROR(INDEX('CARNET DE SOUDURE'!$B$7:$B$1506,MATCH(B891,'CARNET DE SOUDURE'!$K$7:$K$1506,0)),IFERROR(INDEX('CARNET DE SOUDURE'!$B$7:$B$1506,MATCH(B891,'CARNET DE SOUDURE'!$M$7:$M$1506,0)),"")))</f>
        <v/>
      </c>
      <c r="J891" s="78" t="str">
        <f aca="false">IF(B891="","",IFERROR(INDEX('CARNET DE SOUDURE'!$E$7:$E$1506,MATCH(B891,'CARNET DE SOUDURE'!$M$7:$M$1506,0)),""))</f>
        <v/>
      </c>
      <c r="K891" s="78" t="str">
        <f aca="false">IF(B891="","",IFERROR(INDEX('CARNET DE SOUDURE'!$E$7:$E$1506,MATCH(B891,'CARNET DE SOUDURE'!$K$7:$K$1506,0)),""))</f>
        <v/>
      </c>
      <c r="L891" s="78" t="str">
        <f aca="false">IF(B891="","",IFERROR(INDEX('CARNET DE SOUDURE'!$D$7:$D$1506,MATCH(B891,'CARNET DE SOUDURE'!$K$7:$K$1506,0)),IFERROR(INDEX('CARNET DE SOUDURE'!$D$7:$D$1506,MATCH(B891,'CARNET DE SOUDURE'!$M$7:$M$1506,0)),"")))</f>
        <v/>
      </c>
      <c r="M891" s="81" t="str">
        <f aca="false">IF(B891="","",IF(OR(J891&lt;&gt;"",K891&lt;&gt;""),"POSÉ EN LIGNE",IF(H891&lt;&gt;"","BARDÉ","EN STOCK")))</f>
        <v/>
      </c>
      <c r="N891" s="79"/>
    </row>
    <row r="892" customFormat="false" ht="15" hidden="false" customHeight="false" outlineLevel="0" collapsed="false">
      <c r="A892" s="78" t="str">
        <f aca="false">IF(B892="","",ROW()-6)</f>
        <v/>
      </c>
      <c r="B892" s="90"/>
      <c r="C892" s="91"/>
      <c r="D892" s="91"/>
      <c r="E892" s="80"/>
      <c r="F892" s="92"/>
      <c r="G892" s="79"/>
      <c r="H892" s="82"/>
      <c r="I892" s="93" t="str">
        <f aca="false">IF(B892="","",IFERROR(INDEX('CARNET DE SOUDURE'!$B$7:$B$1506,MATCH(B892,'CARNET DE SOUDURE'!$K$7:$K$1506,0)),IFERROR(INDEX('CARNET DE SOUDURE'!$B$7:$B$1506,MATCH(B892,'CARNET DE SOUDURE'!$M$7:$M$1506,0)),"")))</f>
        <v/>
      </c>
      <c r="J892" s="78" t="str">
        <f aca="false">IF(B892="","",IFERROR(INDEX('CARNET DE SOUDURE'!$E$7:$E$1506,MATCH(B892,'CARNET DE SOUDURE'!$M$7:$M$1506,0)),""))</f>
        <v/>
      </c>
      <c r="K892" s="78" t="str">
        <f aca="false">IF(B892="","",IFERROR(INDEX('CARNET DE SOUDURE'!$E$7:$E$1506,MATCH(B892,'CARNET DE SOUDURE'!$K$7:$K$1506,0)),""))</f>
        <v/>
      </c>
      <c r="L892" s="78" t="str">
        <f aca="false">IF(B892="","",IFERROR(INDEX('CARNET DE SOUDURE'!$D$7:$D$1506,MATCH(B892,'CARNET DE SOUDURE'!$K$7:$K$1506,0)),IFERROR(INDEX('CARNET DE SOUDURE'!$D$7:$D$1506,MATCH(B892,'CARNET DE SOUDURE'!$M$7:$M$1506,0)),"")))</f>
        <v/>
      </c>
      <c r="M892" s="81" t="str">
        <f aca="false">IF(B892="","",IF(OR(J892&lt;&gt;"",K892&lt;&gt;""),"POSÉ EN LIGNE",IF(H892&lt;&gt;"","BARDÉ","EN STOCK")))</f>
        <v/>
      </c>
      <c r="N892" s="79"/>
    </row>
    <row r="893" customFormat="false" ht="15" hidden="false" customHeight="false" outlineLevel="0" collapsed="false">
      <c r="A893" s="78" t="str">
        <f aca="false">IF(B893="","",ROW()-6)</f>
        <v/>
      </c>
      <c r="B893" s="90"/>
      <c r="C893" s="91"/>
      <c r="D893" s="91"/>
      <c r="E893" s="80"/>
      <c r="F893" s="92"/>
      <c r="G893" s="79"/>
      <c r="H893" s="82"/>
      <c r="I893" s="93" t="str">
        <f aca="false">IF(B893="","",IFERROR(INDEX('CARNET DE SOUDURE'!$B$7:$B$1506,MATCH(B893,'CARNET DE SOUDURE'!$K$7:$K$1506,0)),IFERROR(INDEX('CARNET DE SOUDURE'!$B$7:$B$1506,MATCH(B893,'CARNET DE SOUDURE'!$M$7:$M$1506,0)),"")))</f>
        <v/>
      </c>
      <c r="J893" s="78" t="str">
        <f aca="false">IF(B893="","",IFERROR(INDEX('CARNET DE SOUDURE'!$E$7:$E$1506,MATCH(B893,'CARNET DE SOUDURE'!$M$7:$M$1506,0)),""))</f>
        <v/>
      </c>
      <c r="K893" s="78" t="str">
        <f aca="false">IF(B893="","",IFERROR(INDEX('CARNET DE SOUDURE'!$E$7:$E$1506,MATCH(B893,'CARNET DE SOUDURE'!$K$7:$K$1506,0)),""))</f>
        <v/>
      </c>
      <c r="L893" s="78" t="str">
        <f aca="false">IF(B893="","",IFERROR(INDEX('CARNET DE SOUDURE'!$D$7:$D$1506,MATCH(B893,'CARNET DE SOUDURE'!$K$7:$K$1506,0)),IFERROR(INDEX('CARNET DE SOUDURE'!$D$7:$D$1506,MATCH(B893,'CARNET DE SOUDURE'!$M$7:$M$1506,0)),"")))</f>
        <v/>
      </c>
      <c r="M893" s="81" t="str">
        <f aca="false">IF(B893="","",IF(OR(J893&lt;&gt;"",K893&lt;&gt;""),"POSÉ EN LIGNE",IF(H893&lt;&gt;"","BARDÉ","EN STOCK")))</f>
        <v/>
      </c>
      <c r="N893" s="79"/>
    </row>
    <row r="894" customFormat="false" ht="15" hidden="false" customHeight="false" outlineLevel="0" collapsed="false">
      <c r="A894" s="78" t="str">
        <f aca="false">IF(B894="","",ROW()-6)</f>
        <v/>
      </c>
      <c r="B894" s="90"/>
      <c r="C894" s="91"/>
      <c r="D894" s="91"/>
      <c r="E894" s="80"/>
      <c r="F894" s="92"/>
      <c r="G894" s="79"/>
      <c r="H894" s="82"/>
      <c r="I894" s="93" t="str">
        <f aca="false">IF(B894="","",IFERROR(INDEX('CARNET DE SOUDURE'!$B$7:$B$1506,MATCH(B894,'CARNET DE SOUDURE'!$K$7:$K$1506,0)),IFERROR(INDEX('CARNET DE SOUDURE'!$B$7:$B$1506,MATCH(B894,'CARNET DE SOUDURE'!$M$7:$M$1506,0)),"")))</f>
        <v/>
      </c>
      <c r="J894" s="78" t="str">
        <f aca="false">IF(B894="","",IFERROR(INDEX('CARNET DE SOUDURE'!$E$7:$E$1506,MATCH(B894,'CARNET DE SOUDURE'!$M$7:$M$1506,0)),""))</f>
        <v/>
      </c>
      <c r="K894" s="78" t="str">
        <f aca="false">IF(B894="","",IFERROR(INDEX('CARNET DE SOUDURE'!$E$7:$E$1506,MATCH(B894,'CARNET DE SOUDURE'!$K$7:$K$1506,0)),""))</f>
        <v/>
      </c>
      <c r="L894" s="78" t="str">
        <f aca="false">IF(B894="","",IFERROR(INDEX('CARNET DE SOUDURE'!$D$7:$D$1506,MATCH(B894,'CARNET DE SOUDURE'!$K$7:$K$1506,0)),IFERROR(INDEX('CARNET DE SOUDURE'!$D$7:$D$1506,MATCH(B894,'CARNET DE SOUDURE'!$M$7:$M$1506,0)),"")))</f>
        <v/>
      </c>
      <c r="M894" s="81" t="str">
        <f aca="false">IF(B894="","",IF(OR(J894&lt;&gt;"",K894&lt;&gt;""),"POSÉ EN LIGNE",IF(H894&lt;&gt;"","BARDÉ","EN STOCK")))</f>
        <v/>
      </c>
      <c r="N894" s="79"/>
    </row>
    <row r="895" customFormat="false" ht="15" hidden="false" customHeight="false" outlineLevel="0" collapsed="false">
      <c r="A895" s="78" t="str">
        <f aca="false">IF(B895="","",ROW()-6)</f>
        <v/>
      </c>
      <c r="B895" s="90"/>
      <c r="C895" s="91"/>
      <c r="D895" s="91"/>
      <c r="E895" s="80"/>
      <c r="F895" s="92"/>
      <c r="G895" s="79"/>
      <c r="H895" s="82"/>
      <c r="I895" s="93" t="str">
        <f aca="false">IF(B895="","",IFERROR(INDEX('CARNET DE SOUDURE'!$B$7:$B$1506,MATCH(B895,'CARNET DE SOUDURE'!$K$7:$K$1506,0)),IFERROR(INDEX('CARNET DE SOUDURE'!$B$7:$B$1506,MATCH(B895,'CARNET DE SOUDURE'!$M$7:$M$1506,0)),"")))</f>
        <v/>
      </c>
      <c r="J895" s="78" t="str">
        <f aca="false">IF(B895="","",IFERROR(INDEX('CARNET DE SOUDURE'!$E$7:$E$1506,MATCH(B895,'CARNET DE SOUDURE'!$M$7:$M$1506,0)),""))</f>
        <v/>
      </c>
      <c r="K895" s="78" t="str">
        <f aca="false">IF(B895="","",IFERROR(INDEX('CARNET DE SOUDURE'!$E$7:$E$1506,MATCH(B895,'CARNET DE SOUDURE'!$K$7:$K$1506,0)),""))</f>
        <v/>
      </c>
      <c r="L895" s="78" t="str">
        <f aca="false">IF(B895="","",IFERROR(INDEX('CARNET DE SOUDURE'!$D$7:$D$1506,MATCH(B895,'CARNET DE SOUDURE'!$K$7:$K$1506,0)),IFERROR(INDEX('CARNET DE SOUDURE'!$D$7:$D$1506,MATCH(B895,'CARNET DE SOUDURE'!$M$7:$M$1506,0)),"")))</f>
        <v/>
      </c>
      <c r="M895" s="81" t="str">
        <f aca="false">IF(B895="","",IF(OR(J895&lt;&gt;"",K895&lt;&gt;""),"POSÉ EN LIGNE",IF(H895&lt;&gt;"","BARDÉ","EN STOCK")))</f>
        <v/>
      </c>
      <c r="N895" s="79"/>
    </row>
    <row r="896" customFormat="false" ht="15" hidden="false" customHeight="false" outlineLevel="0" collapsed="false">
      <c r="A896" s="78" t="str">
        <f aca="false">IF(B896="","",ROW()-6)</f>
        <v/>
      </c>
      <c r="B896" s="90"/>
      <c r="C896" s="91"/>
      <c r="D896" s="91"/>
      <c r="E896" s="80"/>
      <c r="F896" s="92"/>
      <c r="G896" s="79"/>
      <c r="H896" s="82"/>
      <c r="I896" s="93" t="str">
        <f aca="false">IF(B896="","",IFERROR(INDEX('CARNET DE SOUDURE'!$B$7:$B$1506,MATCH(B896,'CARNET DE SOUDURE'!$K$7:$K$1506,0)),IFERROR(INDEX('CARNET DE SOUDURE'!$B$7:$B$1506,MATCH(B896,'CARNET DE SOUDURE'!$M$7:$M$1506,0)),"")))</f>
        <v/>
      </c>
      <c r="J896" s="78" t="str">
        <f aca="false">IF(B896="","",IFERROR(INDEX('CARNET DE SOUDURE'!$E$7:$E$1506,MATCH(B896,'CARNET DE SOUDURE'!$M$7:$M$1506,0)),""))</f>
        <v/>
      </c>
      <c r="K896" s="78" t="str">
        <f aca="false">IF(B896="","",IFERROR(INDEX('CARNET DE SOUDURE'!$E$7:$E$1506,MATCH(B896,'CARNET DE SOUDURE'!$K$7:$K$1506,0)),""))</f>
        <v/>
      </c>
      <c r="L896" s="78" t="str">
        <f aca="false">IF(B896="","",IFERROR(INDEX('CARNET DE SOUDURE'!$D$7:$D$1506,MATCH(B896,'CARNET DE SOUDURE'!$K$7:$K$1506,0)),IFERROR(INDEX('CARNET DE SOUDURE'!$D$7:$D$1506,MATCH(B896,'CARNET DE SOUDURE'!$M$7:$M$1506,0)),"")))</f>
        <v/>
      </c>
      <c r="M896" s="81" t="str">
        <f aca="false">IF(B896="","",IF(OR(J896&lt;&gt;"",K896&lt;&gt;""),"POSÉ EN LIGNE",IF(H896&lt;&gt;"","BARDÉ","EN STOCK")))</f>
        <v/>
      </c>
      <c r="N896" s="79"/>
    </row>
    <row r="897" customFormat="false" ht="15" hidden="false" customHeight="false" outlineLevel="0" collapsed="false">
      <c r="A897" s="78" t="str">
        <f aca="false">IF(B897="","",ROW()-6)</f>
        <v/>
      </c>
      <c r="B897" s="90"/>
      <c r="C897" s="91"/>
      <c r="D897" s="91"/>
      <c r="E897" s="80"/>
      <c r="F897" s="92"/>
      <c r="G897" s="79"/>
      <c r="H897" s="82"/>
      <c r="I897" s="93" t="str">
        <f aca="false">IF(B897="","",IFERROR(INDEX('CARNET DE SOUDURE'!$B$7:$B$1506,MATCH(B897,'CARNET DE SOUDURE'!$K$7:$K$1506,0)),IFERROR(INDEX('CARNET DE SOUDURE'!$B$7:$B$1506,MATCH(B897,'CARNET DE SOUDURE'!$M$7:$M$1506,0)),"")))</f>
        <v/>
      </c>
      <c r="J897" s="78" t="str">
        <f aca="false">IF(B897="","",IFERROR(INDEX('CARNET DE SOUDURE'!$E$7:$E$1506,MATCH(B897,'CARNET DE SOUDURE'!$M$7:$M$1506,0)),""))</f>
        <v/>
      </c>
      <c r="K897" s="78" t="str">
        <f aca="false">IF(B897="","",IFERROR(INDEX('CARNET DE SOUDURE'!$E$7:$E$1506,MATCH(B897,'CARNET DE SOUDURE'!$K$7:$K$1506,0)),""))</f>
        <v/>
      </c>
      <c r="L897" s="78" t="str">
        <f aca="false">IF(B897="","",IFERROR(INDEX('CARNET DE SOUDURE'!$D$7:$D$1506,MATCH(B897,'CARNET DE SOUDURE'!$K$7:$K$1506,0)),IFERROR(INDEX('CARNET DE SOUDURE'!$D$7:$D$1506,MATCH(B897,'CARNET DE SOUDURE'!$M$7:$M$1506,0)),"")))</f>
        <v/>
      </c>
      <c r="M897" s="81" t="str">
        <f aca="false">IF(B897="","",IF(OR(J897&lt;&gt;"",K897&lt;&gt;""),"POSÉ EN LIGNE",IF(H897&lt;&gt;"","BARDÉ","EN STOCK")))</f>
        <v/>
      </c>
      <c r="N897" s="79"/>
    </row>
    <row r="898" customFormat="false" ht="15" hidden="false" customHeight="false" outlineLevel="0" collapsed="false">
      <c r="A898" s="78" t="str">
        <f aca="false">IF(B898="","",ROW()-6)</f>
        <v/>
      </c>
      <c r="B898" s="90"/>
      <c r="C898" s="91"/>
      <c r="D898" s="91"/>
      <c r="E898" s="80"/>
      <c r="F898" s="92"/>
      <c r="G898" s="79"/>
      <c r="H898" s="82"/>
      <c r="I898" s="93" t="str">
        <f aca="false">IF(B898="","",IFERROR(INDEX('CARNET DE SOUDURE'!$B$7:$B$1506,MATCH(B898,'CARNET DE SOUDURE'!$K$7:$K$1506,0)),IFERROR(INDEX('CARNET DE SOUDURE'!$B$7:$B$1506,MATCH(B898,'CARNET DE SOUDURE'!$M$7:$M$1506,0)),"")))</f>
        <v/>
      </c>
      <c r="J898" s="78" t="str">
        <f aca="false">IF(B898="","",IFERROR(INDEX('CARNET DE SOUDURE'!$E$7:$E$1506,MATCH(B898,'CARNET DE SOUDURE'!$M$7:$M$1506,0)),""))</f>
        <v/>
      </c>
      <c r="K898" s="78" t="str">
        <f aca="false">IF(B898="","",IFERROR(INDEX('CARNET DE SOUDURE'!$E$7:$E$1506,MATCH(B898,'CARNET DE SOUDURE'!$K$7:$K$1506,0)),""))</f>
        <v/>
      </c>
      <c r="L898" s="78" t="str">
        <f aca="false">IF(B898="","",IFERROR(INDEX('CARNET DE SOUDURE'!$D$7:$D$1506,MATCH(B898,'CARNET DE SOUDURE'!$K$7:$K$1506,0)),IFERROR(INDEX('CARNET DE SOUDURE'!$D$7:$D$1506,MATCH(B898,'CARNET DE SOUDURE'!$M$7:$M$1506,0)),"")))</f>
        <v/>
      </c>
      <c r="M898" s="81" t="str">
        <f aca="false">IF(B898="","",IF(OR(J898&lt;&gt;"",K898&lt;&gt;""),"POSÉ EN LIGNE",IF(H898&lt;&gt;"","BARDÉ","EN STOCK")))</f>
        <v/>
      </c>
      <c r="N898" s="79"/>
    </row>
    <row r="899" customFormat="false" ht="15" hidden="false" customHeight="false" outlineLevel="0" collapsed="false">
      <c r="A899" s="78" t="str">
        <f aca="false">IF(B899="","",ROW()-6)</f>
        <v/>
      </c>
      <c r="B899" s="90"/>
      <c r="C899" s="91"/>
      <c r="D899" s="91"/>
      <c r="E899" s="80"/>
      <c r="F899" s="92"/>
      <c r="G899" s="79"/>
      <c r="H899" s="82"/>
      <c r="I899" s="93" t="str">
        <f aca="false">IF(B899="","",IFERROR(INDEX('CARNET DE SOUDURE'!$B$7:$B$1506,MATCH(B899,'CARNET DE SOUDURE'!$K$7:$K$1506,0)),IFERROR(INDEX('CARNET DE SOUDURE'!$B$7:$B$1506,MATCH(B899,'CARNET DE SOUDURE'!$M$7:$M$1506,0)),"")))</f>
        <v/>
      </c>
      <c r="J899" s="78" t="str">
        <f aca="false">IF(B899="","",IFERROR(INDEX('CARNET DE SOUDURE'!$E$7:$E$1506,MATCH(B899,'CARNET DE SOUDURE'!$M$7:$M$1506,0)),""))</f>
        <v/>
      </c>
      <c r="K899" s="78" t="str">
        <f aca="false">IF(B899="","",IFERROR(INDEX('CARNET DE SOUDURE'!$E$7:$E$1506,MATCH(B899,'CARNET DE SOUDURE'!$K$7:$K$1506,0)),""))</f>
        <v/>
      </c>
      <c r="L899" s="78" t="str">
        <f aca="false">IF(B899="","",IFERROR(INDEX('CARNET DE SOUDURE'!$D$7:$D$1506,MATCH(B899,'CARNET DE SOUDURE'!$K$7:$K$1506,0)),IFERROR(INDEX('CARNET DE SOUDURE'!$D$7:$D$1506,MATCH(B899,'CARNET DE SOUDURE'!$M$7:$M$1506,0)),"")))</f>
        <v/>
      </c>
      <c r="M899" s="81" t="str">
        <f aca="false">IF(B899="","",IF(OR(J899&lt;&gt;"",K899&lt;&gt;""),"POSÉ EN LIGNE",IF(H899&lt;&gt;"","BARDÉ","EN STOCK")))</f>
        <v/>
      </c>
      <c r="N899" s="79"/>
    </row>
    <row r="900" customFormat="false" ht="15" hidden="false" customHeight="false" outlineLevel="0" collapsed="false">
      <c r="A900" s="78" t="str">
        <f aca="false">IF(B900="","",ROW()-6)</f>
        <v/>
      </c>
      <c r="B900" s="90"/>
      <c r="C900" s="91"/>
      <c r="D900" s="91"/>
      <c r="E900" s="80"/>
      <c r="F900" s="92"/>
      <c r="G900" s="79"/>
      <c r="H900" s="82"/>
      <c r="I900" s="93" t="str">
        <f aca="false">IF(B900="","",IFERROR(INDEX('CARNET DE SOUDURE'!$B$7:$B$1506,MATCH(B900,'CARNET DE SOUDURE'!$K$7:$K$1506,0)),IFERROR(INDEX('CARNET DE SOUDURE'!$B$7:$B$1506,MATCH(B900,'CARNET DE SOUDURE'!$M$7:$M$1506,0)),"")))</f>
        <v/>
      </c>
      <c r="J900" s="78" t="str">
        <f aca="false">IF(B900="","",IFERROR(INDEX('CARNET DE SOUDURE'!$E$7:$E$1506,MATCH(B900,'CARNET DE SOUDURE'!$M$7:$M$1506,0)),""))</f>
        <v/>
      </c>
      <c r="K900" s="78" t="str">
        <f aca="false">IF(B900="","",IFERROR(INDEX('CARNET DE SOUDURE'!$E$7:$E$1506,MATCH(B900,'CARNET DE SOUDURE'!$K$7:$K$1506,0)),""))</f>
        <v/>
      </c>
      <c r="L900" s="78" t="str">
        <f aca="false">IF(B900="","",IFERROR(INDEX('CARNET DE SOUDURE'!$D$7:$D$1506,MATCH(B900,'CARNET DE SOUDURE'!$K$7:$K$1506,0)),IFERROR(INDEX('CARNET DE SOUDURE'!$D$7:$D$1506,MATCH(B900,'CARNET DE SOUDURE'!$M$7:$M$1506,0)),"")))</f>
        <v/>
      </c>
      <c r="M900" s="81" t="str">
        <f aca="false">IF(B900="","",IF(OR(J900&lt;&gt;"",K900&lt;&gt;""),"POSÉ EN LIGNE",IF(H900&lt;&gt;"","BARDÉ","EN STOCK")))</f>
        <v/>
      </c>
      <c r="N900" s="79"/>
    </row>
    <row r="901" customFormat="false" ht="15" hidden="false" customHeight="false" outlineLevel="0" collapsed="false">
      <c r="A901" s="78" t="str">
        <f aca="false">IF(B901="","",ROW()-6)</f>
        <v/>
      </c>
      <c r="B901" s="90"/>
      <c r="C901" s="91"/>
      <c r="D901" s="91"/>
      <c r="E901" s="80"/>
      <c r="F901" s="92"/>
      <c r="G901" s="79"/>
      <c r="H901" s="82"/>
      <c r="I901" s="93" t="str">
        <f aca="false">IF(B901="","",IFERROR(INDEX('CARNET DE SOUDURE'!$B$7:$B$1506,MATCH(B901,'CARNET DE SOUDURE'!$K$7:$K$1506,0)),IFERROR(INDEX('CARNET DE SOUDURE'!$B$7:$B$1506,MATCH(B901,'CARNET DE SOUDURE'!$M$7:$M$1506,0)),"")))</f>
        <v/>
      </c>
      <c r="J901" s="78" t="str">
        <f aca="false">IF(B901="","",IFERROR(INDEX('CARNET DE SOUDURE'!$E$7:$E$1506,MATCH(B901,'CARNET DE SOUDURE'!$M$7:$M$1506,0)),""))</f>
        <v/>
      </c>
      <c r="K901" s="78" t="str">
        <f aca="false">IF(B901="","",IFERROR(INDEX('CARNET DE SOUDURE'!$E$7:$E$1506,MATCH(B901,'CARNET DE SOUDURE'!$K$7:$K$1506,0)),""))</f>
        <v/>
      </c>
      <c r="L901" s="78" t="str">
        <f aca="false">IF(B901="","",IFERROR(INDEX('CARNET DE SOUDURE'!$D$7:$D$1506,MATCH(B901,'CARNET DE SOUDURE'!$K$7:$K$1506,0)),IFERROR(INDEX('CARNET DE SOUDURE'!$D$7:$D$1506,MATCH(B901,'CARNET DE SOUDURE'!$M$7:$M$1506,0)),"")))</f>
        <v/>
      </c>
      <c r="M901" s="81" t="str">
        <f aca="false">IF(B901="","",IF(OR(J901&lt;&gt;"",K901&lt;&gt;""),"POSÉ EN LIGNE",IF(H901&lt;&gt;"","BARDÉ","EN STOCK")))</f>
        <v/>
      </c>
      <c r="N901" s="79"/>
    </row>
    <row r="902" customFormat="false" ht="15" hidden="false" customHeight="false" outlineLevel="0" collapsed="false">
      <c r="A902" s="78" t="str">
        <f aca="false">IF(B902="","",ROW()-6)</f>
        <v/>
      </c>
      <c r="B902" s="90"/>
      <c r="C902" s="91"/>
      <c r="D902" s="91"/>
      <c r="E902" s="80"/>
      <c r="F902" s="92"/>
      <c r="G902" s="79"/>
      <c r="H902" s="82"/>
      <c r="I902" s="93" t="str">
        <f aca="false">IF(B902="","",IFERROR(INDEX('CARNET DE SOUDURE'!$B$7:$B$1506,MATCH(B902,'CARNET DE SOUDURE'!$K$7:$K$1506,0)),IFERROR(INDEX('CARNET DE SOUDURE'!$B$7:$B$1506,MATCH(B902,'CARNET DE SOUDURE'!$M$7:$M$1506,0)),"")))</f>
        <v/>
      </c>
      <c r="J902" s="78" t="str">
        <f aca="false">IF(B902="","",IFERROR(INDEX('CARNET DE SOUDURE'!$E$7:$E$1506,MATCH(B902,'CARNET DE SOUDURE'!$M$7:$M$1506,0)),""))</f>
        <v/>
      </c>
      <c r="K902" s="78" t="str">
        <f aca="false">IF(B902="","",IFERROR(INDEX('CARNET DE SOUDURE'!$E$7:$E$1506,MATCH(B902,'CARNET DE SOUDURE'!$K$7:$K$1506,0)),""))</f>
        <v/>
      </c>
      <c r="L902" s="78" t="str">
        <f aca="false">IF(B902="","",IFERROR(INDEX('CARNET DE SOUDURE'!$D$7:$D$1506,MATCH(B902,'CARNET DE SOUDURE'!$K$7:$K$1506,0)),IFERROR(INDEX('CARNET DE SOUDURE'!$D$7:$D$1506,MATCH(B902,'CARNET DE SOUDURE'!$M$7:$M$1506,0)),"")))</f>
        <v/>
      </c>
      <c r="M902" s="81" t="str">
        <f aca="false">IF(B902="","",IF(OR(J902&lt;&gt;"",K902&lt;&gt;""),"POSÉ EN LIGNE",IF(H902&lt;&gt;"","BARDÉ","EN STOCK")))</f>
        <v/>
      </c>
      <c r="N902" s="79"/>
    </row>
    <row r="903" customFormat="false" ht="15" hidden="false" customHeight="false" outlineLevel="0" collapsed="false">
      <c r="A903" s="78" t="str">
        <f aca="false">IF(B903="","",ROW()-6)</f>
        <v/>
      </c>
      <c r="B903" s="90"/>
      <c r="C903" s="91"/>
      <c r="D903" s="91"/>
      <c r="E903" s="80"/>
      <c r="F903" s="92"/>
      <c r="G903" s="79"/>
      <c r="H903" s="82"/>
      <c r="I903" s="93" t="str">
        <f aca="false">IF(B903="","",IFERROR(INDEX('CARNET DE SOUDURE'!$B$7:$B$1506,MATCH(B903,'CARNET DE SOUDURE'!$K$7:$K$1506,0)),IFERROR(INDEX('CARNET DE SOUDURE'!$B$7:$B$1506,MATCH(B903,'CARNET DE SOUDURE'!$M$7:$M$1506,0)),"")))</f>
        <v/>
      </c>
      <c r="J903" s="78" t="str">
        <f aca="false">IF(B903="","",IFERROR(INDEX('CARNET DE SOUDURE'!$E$7:$E$1506,MATCH(B903,'CARNET DE SOUDURE'!$M$7:$M$1506,0)),""))</f>
        <v/>
      </c>
      <c r="K903" s="78" t="str">
        <f aca="false">IF(B903="","",IFERROR(INDEX('CARNET DE SOUDURE'!$E$7:$E$1506,MATCH(B903,'CARNET DE SOUDURE'!$K$7:$K$1506,0)),""))</f>
        <v/>
      </c>
      <c r="L903" s="78" t="str">
        <f aca="false">IF(B903="","",IFERROR(INDEX('CARNET DE SOUDURE'!$D$7:$D$1506,MATCH(B903,'CARNET DE SOUDURE'!$K$7:$K$1506,0)),IFERROR(INDEX('CARNET DE SOUDURE'!$D$7:$D$1506,MATCH(B903,'CARNET DE SOUDURE'!$M$7:$M$1506,0)),"")))</f>
        <v/>
      </c>
      <c r="M903" s="81" t="str">
        <f aca="false">IF(B903="","",IF(OR(J903&lt;&gt;"",K903&lt;&gt;""),"POSÉ EN LIGNE",IF(H903&lt;&gt;"","BARDÉ","EN STOCK")))</f>
        <v/>
      </c>
      <c r="N903" s="79"/>
    </row>
    <row r="904" customFormat="false" ht="15" hidden="false" customHeight="false" outlineLevel="0" collapsed="false">
      <c r="A904" s="78" t="str">
        <f aca="false">IF(B904="","",ROW()-6)</f>
        <v/>
      </c>
      <c r="B904" s="90"/>
      <c r="C904" s="91"/>
      <c r="D904" s="91"/>
      <c r="E904" s="80"/>
      <c r="F904" s="92"/>
      <c r="G904" s="79"/>
      <c r="H904" s="82"/>
      <c r="I904" s="93" t="str">
        <f aca="false">IF(B904="","",IFERROR(INDEX('CARNET DE SOUDURE'!$B$7:$B$1506,MATCH(B904,'CARNET DE SOUDURE'!$K$7:$K$1506,0)),IFERROR(INDEX('CARNET DE SOUDURE'!$B$7:$B$1506,MATCH(B904,'CARNET DE SOUDURE'!$M$7:$M$1506,0)),"")))</f>
        <v/>
      </c>
      <c r="J904" s="78" t="str">
        <f aca="false">IF(B904="","",IFERROR(INDEX('CARNET DE SOUDURE'!$E$7:$E$1506,MATCH(B904,'CARNET DE SOUDURE'!$M$7:$M$1506,0)),""))</f>
        <v/>
      </c>
      <c r="K904" s="78" t="str">
        <f aca="false">IF(B904="","",IFERROR(INDEX('CARNET DE SOUDURE'!$E$7:$E$1506,MATCH(B904,'CARNET DE SOUDURE'!$K$7:$K$1506,0)),""))</f>
        <v/>
      </c>
      <c r="L904" s="78" t="str">
        <f aca="false">IF(B904="","",IFERROR(INDEX('CARNET DE SOUDURE'!$D$7:$D$1506,MATCH(B904,'CARNET DE SOUDURE'!$K$7:$K$1506,0)),IFERROR(INDEX('CARNET DE SOUDURE'!$D$7:$D$1506,MATCH(B904,'CARNET DE SOUDURE'!$M$7:$M$1506,0)),"")))</f>
        <v/>
      </c>
      <c r="M904" s="81" t="str">
        <f aca="false">IF(B904="","",IF(OR(J904&lt;&gt;"",K904&lt;&gt;""),"POSÉ EN LIGNE",IF(H904&lt;&gt;"","BARDÉ","EN STOCK")))</f>
        <v/>
      </c>
      <c r="N904" s="79"/>
    </row>
    <row r="905" customFormat="false" ht="15" hidden="false" customHeight="false" outlineLevel="0" collapsed="false">
      <c r="A905" s="78" t="str">
        <f aca="false">IF(B905="","",ROW()-6)</f>
        <v/>
      </c>
      <c r="B905" s="90"/>
      <c r="C905" s="91"/>
      <c r="D905" s="91"/>
      <c r="E905" s="80"/>
      <c r="F905" s="92"/>
      <c r="G905" s="79"/>
      <c r="H905" s="82"/>
      <c r="I905" s="93" t="str">
        <f aca="false">IF(B905="","",IFERROR(INDEX('CARNET DE SOUDURE'!$B$7:$B$1506,MATCH(B905,'CARNET DE SOUDURE'!$K$7:$K$1506,0)),IFERROR(INDEX('CARNET DE SOUDURE'!$B$7:$B$1506,MATCH(B905,'CARNET DE SOUDURE'!$M$7:$M$1506,0)),"")))</f>
        <v/>
      </c>
      <c r="J905" s="78" t="str">
        <f aca="false">IF(B905="","",IFERROR(INDEX('CARNET DE SOUDURE'!$E$7:$E$1506,MATCH(B905,'CARNET DE SOUDURE'!$M$7:$M$1506,0)),""))</f>
        <v/>
      </c>
      <c r="K905" s="78" t="str">
        <f aca="false">IF(B905="","",IFERROR(INDEX('CARNET DE SOUDURE'!$E$7:$E$1506,MATCH(B905,'CARNET DE SOUDURE'!$K$7:$K$1506,0)),""))</f>
        <v/>
      </c>
      <c r="L905" s="78" t="str">
        <f aca="false">IF(B905="","",IFERROR(INDEX('CARNET DE SOUDURE'!$D$7:$D$1506,MATCH(B905,'CARNET DE SOUDURE'!$K$7:$K$1506,0)),IFERROR(INDEX('CARNET DE SOUDURE'!$D$7:$D$1506,MATCH(B905,'CARNET DE SOUDURE'!$M$7:$M$1506,0)),"")))</f>
        <v/>
      </c>
      <c r="M905" s="81" t="str">
        <f aca="false">IF(B905="","",IF(OR(J905&lt;&gt;"",K905&lt;&gt;""),"POSÉ EN LIGNE",IF(H905&lt;&gt;"","BARDÉ","EN STOCK")))</f>
        <v/>
      </c>
      <c r="N905" s="79"/>
    </row>
    <row r="906" customFormat="false" ht="15" hidden="false" customHeight="false" outlineLevel="0" collapsed="false">
      <c r="A906" s="78" t="str">
        <f aca="false">IF(B906="","",ROW()-6)</f>
        <v/>
      </c>
      <c r="B906" s="90"/>
      <c r="C906" s="91"/>
      <c r="D906" s="91"/>
      <c r="E906" s="80"/>
      <c r="F906" s="92"/>
      <c r="G906" s="79"/>
      <c r="H906" s="82"/>
      <c r="I906" s="93" t="str">
        <f aca="false">IF(B906="","",IFERROR(INDEX('CARNET DE SOUDURE'!$B$7:$B$1506,MATCH(B906,'CARNET DE SOUDURE'!$K$7:$K$1506,0)),IFERROR(INDEX('CARNET DE SOUDURE'!$B$7:$B$1506,MATCH(B906,'CARNET DE SOUDURE'!$M$7:$M$1506,0)),"")))</f>
        <v/>
      </c>
      <c r="J906" s="78" t="str">
        <f aca="false">IF(B906="","",IFERROR(INDEX('CARNET DE SOUDURE'!$E$7:$E$1506,MATCH(B906,'CARNET DE SOUDURE'!$M$7:$M$1506,0)),""))</f>
        <v/>
      </c>
      <c r="K906" s="78" t="str">
        <f aca="false">IF(B906="","",IFERROR(INDEX('CARNET DE SOUDURE'!$E$7:$E$1506,MATCH(B906,'CARNET DE SOUDURE'!$K$7:$K$1506,0)),""))</f>
        <v/>
      </c>
      <c r="L906" s="78" t="str">
        <f aca="false">IF(B906="","",IFERROR(INDEX('CARNET DE SOUDURE'!$D$7:$D$1506,MATCH(B906,'CARNET DE SOUDURE'!$K$7:$K$1506,0)),IFERROR(INDEX('CARNET DE SOUDURE'!$D$7:$D$1506,MATCH(B906,'CARNET DE SOUDURE'!$M$7:$M$1506,0)),"")))</f>
        <v/>
      </c>
      <c r="M906" s="81" t="str">
        <f aca="false">IF(B906="","",IF(OR(J906&lt;&gt;"",K906&lt;&gt;""),"POSÉ EN LIGNE",IF(H906&lt;&gt;"","BARDÉ","EN STOCK")))</f>
        <v/>
      </c>
      <c r="N906" s="79"/>
    </row>
    <row r="907" customFormat="false" ht="15" hidden="false" customHeight="false" outlineLevel="0" collapsed="false">
      <c r="A907" s="78" t="str">
        <f aca="false">IF(B907="","",ROW()-6)</f>
        <v/>
      </c>
      <c r="B907" s="90"/>
      <c r="C907" s="91"/>
      <c r="D907" s="91"/>
      <c r="E907" s="80"/>
      <c r="F907" s="92"/>
      <c r="G907" s="79"/>
      <c r="H907" s="82"/>
      <c r="I907" s="93" t="str">
        <f aca="false">IF(B907="","",IFERROR(INDEX('CARNET DE SOUDURE'!$B$7:$B$1506,MATCH(B907,'CARNET DE SOUDURE'!$K$7:$K$1506,0)),IFERROR(INDEX('CARNET DE SOUDURE'!$B$7:$B$1506,MATCH(B907,'CARNET DE SOUDURE'!$M$7:$M$1506,0)),"")))</f>
        <v/>
      </c>
      <c r="J907" s="78" t="str">
        <f aca="false">IF(B907="","",IFERROR(INDEX('CARNET DE SOUDURE'!$E$7:$E$1506,MATCH(B907,'CARNET DE SOUDURE'!$M$7:$M$1506,0)),""))</f>
        <v/>
      </c>
      <c r="K907" s="78" t="str">
        <f aca="false">IF(B907="","",IFERROR(INDEX('CARNET DE SOUDURE'!$E$7:$E$1506,MATCH(B907,'CARNET DE SOUDURE'!$K$7:$K$1506,0)),""))</f>
        <v/>
      </c>
      <c r="L907" s="78" t="str">
        <f aca="false">IF(B907="","",IFERROR(INDEX('CARNET DE SOUDURE'!$D$7:$D$1506,MATCH(B907,'CARNET DE SOUDURE'!$K$7:$K$1506,0)),IFERROR(INDEX('CARNET DE SOUDURE'!$D$7:$D$1506,MATCH(B907,'CARNET DE SOUDURE'!$M$7:$M$1506,0)),"")))</f>
        <v/>
      </c>
      <c r="M907" s="81" t="str">
        <f aca="false">IF(B907="","",IF(OR(J907&lt;&gt;"",K907&lt;&gt;""),"POSÉ EN LIGNE",IF(H907&lt;&gt;"","BARDÉ","EN STOCK")))</f>
        <v/>
      </c>
      <c r="N907" s="79"/>
    </row>
    <row r="908" customFormat="false" ht="15" hidden="false" customHeight="false" outlineLevel="0" collapsed="false">
      <c r="A908" s="78" t="str">
        <f aca="false">IF(B908="","",ROW()-6)</f>
        <v/>
      </c>
      <c r="B908" s="90"/>
      <c r="C908" s="91"/>
      <c r="D908" s="91"/>
      <c r="E908" s="80"/>
      <c r="F908" s="92"/>
      <c r="G908" s="79"/>
      <c r="H908" s="82"/>
      <c r="I908" s="93" t="str">
        <f aca="false">IF(B908="","",IFERROR(INDEX('CARNET DE SOUDURE'!$B$7:$B$1506,MATCH(B908,'CARNET DE SOUDURE'!$K$7:$K$1506,0)),IFERROR(INDEX('CARNET DE SOUDURE'!$B$7:$B$1506,MATCH(B908,'CARNET DE SOUDURE'!$M$7:$M$1506,0)),"")))</f>
        <v/>
      </c>
      <c r="J908" s="78" t="str">
        <f aca="false">IF(B908="","",IFERROR(INDEX('CARNET DE SOUDURE'!$E$7:$E$1506,MATCH(B908,'CARNET DE SOUDURE'!$M$7:$M$1506,0)),""))</f>
        <v/>
      </c>
      <c r="K908" s="78" t="str">
        <f aca="false">IF(B908="","",IFERROR(INDEX('CARNET DE SOUDURE'!$E$7:$E$1506,MATCH(B908,'CARNET DE SOUDURE'!$K$7:$K$1506,0)),""))</f>
        <v/>
      </c>
      <c r="L908" s="78" t="str">
        <f aca="false">IF(B908="","",IFERROR(INDEX('CARNET DE SOUDURE'!$D$7:$D$1506,MATCH(B908,'CARNET DE SOUDURE'!$K$7:$K$1506,0)),IFERROR(INDEX('CARNET DE SOUDURE'!$D$7:$D$1506,MATCH(B908,'CARNET DE SOUDURE'!$M$7:$M$1506,0)),"")))</f>
        <v/>
      </c>
      <c r="M908" s="81" t="str">
        <f aca="false">IF(B908="","",IF(OR(J908&lt;&gt;"",K908&lt;&gt;""),"POSÉ EN LIGNE",IF(H908&lt;&gt;"","BARDÉ","EN STOCK")))</f>
        <v/>
      </c>
      <c r="N908" s="79"/>
    </row>
    <row r="909" customFormat="false" ht="15" hidden="false" customHeight="false" outlineLevel="0" collapsed="false">
      <c r="A909" s="78" t="str">
        <f aca="false">IF(B909="","",ROW()-6)</f>
        <v/>
      </c>
      <c r="B909" s="90"/>
      <c r="C909" s="91"/>
      <c r="D909" s="91"/>
      <c r="E909" s="80"/>
      <c r="F909" s="92"/>
      <c r="G909" s="79"/>
      <c r="H909" s="82"/>
      <c r="I909" s="93" t="str">
        <f aca="false">IF(B909="","",IFERROR(INDEX('CARNET DE SOUDURE'!$B$7:$B$1506,MATCH(B909,'CARNET DE SOUDURE'!$K$7:$K$1506,0)),IFERROR(INDEX('CARNET DE SOUDURE'!$B$7:$B$1506,MATCH(B909,'CARNET DE SOUDURE'!$M$7:$M$1506,0)),"")))</f>
        <v/>
      </c>
      <c r="J909" s="78" t="str">
        <f aca="false">IF(B909="","",IFERROR(INDEX('CARNET DE SOUDURE'!$E$7:$E$1506,MATCH(B909,'CARNET DE SOUDURE'!$M$7:$M$1506,0)),""))</f>
        <v/>
      </c>
      <c r="K909" s="78" t="str">
        <f aca="false">IF(B909="","",IFERROR(INDEX('CARNET DE SOUDURE'!$E$7:$E$1506,MATCH(B909,'CARNET DE SOUDURE'!$K$7:$K$1506,0)),""))</f>
        <v/>
      </c>
      <c r="L909" s="78" t="str">
        <f aca="false">IF(B909="","",IFERROR(INDEX('CARNET DE SOUDURE'!$D$7:$D$1506,MATCH(B909,'CARNET DE SOUDURE'!$K$7:$K$1506,0)),IFERROR(INDEX('CARNET DE SOUDURE'!$D$7:$D$1506,MATCH(B909,'CARNET DE SOUDURE'!$M$7:$M$1506,0)),"")))</f>
        <v/>
      </c>
      <c r="M909" s="81" t="str">
        <f aca="false">IF(B909="","",IF(OR(J909&lt;&gt;"",K909&lt;&gt;""),"POSÉ EN LIGNE",IF(H909&lt;&gt;"","BARDÉ","EN STOCK")))</f>
        <v/>
      </c>
      <c r="N909" s="79"/>
    </row>
    <row r="910" customFormat="false" ht="15" hidden="false" customHeight="false" outlineLevel="0" collapsed="false">
      <c r="A910" s="78" t="str">
        <f aca="false">IF(B910="","",ROW()-6)</f>
        <v/>
      </c>
      <c r="B910" s="90"/>
      <c r="C910" s="91"/>
      <c r="D910" s="91"/>
      <c r="E910" s="80"/>
      <c r="F910" s="92"/>
      <c r="G910" s="79"/>
      <c r="H910" s="82"/>
      <c r="I910" s="93" t="str">
        <f aca="false">IF(B910="","",IFERROR(INDEX('CARNET DE SOUDURE'!$B$7:$B$1506,MATCH(B910,'CARNET DE SOUDURE'!$K$7:$K$1506,0)),IFERROR(INDEX('CARNET DE SOUDURE'!$B$7:$B$1506,MATCH(B910,'CARNET DE SOUDURE'!$M$7:$M$1506,0)),"")))</f>
        <v/>
      </c>
      <c r="J910" s="78" t="str">
        <f aca="false">IF(B910="","",IFERROR(INDEX('CARNET DE SOUDURE'!$E$7:$E$1506,MATCH(B910,'CARNET DE SOUDURE'!$M$7:$M$1506,0)),""))</f>
        <v/>
      </c>
      <c r="K910" s="78" t="str">
        <f aca="false">IF(B910="","",IFERROR(INDEX('CARNET DE SOUDURE'!$E$7:$E$1506,MATCH(B910,'CARNET DE SOUDURE'!$K$7:$K$1506,0)),""))</f>
        <v/>
      </c>
      <c r="L910" s="78" t="str">
        <f aca="false">IF(B910="","",IFERROR(INDEX('CARNET DE SOUDURE'!$D$7:$D$1506,MATCH(B910,'CARNET DE SOUDURE'!$K$7:$K$1506,0)),IFERROR(INDEX('CARNET DE SOUDURE'!$D$7:$D$1506,MATCH(B910,'CARNET DE SOUDURE'!$M$7:$M$1506,0)),"")))</f>
        <v/>
      </c>
      <c r="M910" s="81" t="str">
        <f aca="false">IF(B910="","",IF(OR(J910&lt;&gt;"",K910&lt;&gt;""),"POSÉ EN LIGNE",IF(H910&lt;&gt;"","BARDÉ","EN STOCK")))</f>
        <v/>
      </c>
      <c r="N910" s="79"/>
    </row>
    <row r="911" customFormat="false" ht="15" hidden="false" customHeight="false" outlineLevel="0" collapsed="false">
      <c r="A911" s="78" t="str">
        <f aca="false">IF(B911="","",ROW()-6)</f>
        <v/>
      </c>
      <c r="B911" s="90"/>
      <c r="C911" s="91"/>
      <c r="D911" s="91"/>
      <c r="E911" s="80"/>
      <c r="F911" s="92"/>
      <c r="G911" s="79"/>
      <c r="H911" s="82"/>
      <c r="I911" s="93" t="str">
        <f aca="false">IF(B911="","",IFERROR(INDEX('CARNET DE SOUDURE'!$B$7:$B$1506,MATCH(B911,'CARNET DE SOUDURE'!$K$7:$K$1506,0)),IFERROR(INDEX('CARNET DE SOUDURE'!$B$7:$B$1506,MATCH(B911,'CARNET DE SOUDURE'!$M$7:$M$1506,0)),"")))</f>
        <v/>
      </c>
      <c r="J911" s="78" t="str">
        <f aca="false">IF(B911="","",IFERROR(INDEX('CARNET DE SOUDURE'!$E$7:$E$1506,MATCH(B911,'CARNET DE SOUDURE'!$M$7:$M$1506,0)),""))</f>
        <v/>
      </c>
      <c r="K911" s="78" t="str">
        <f aca="false">IF(B911="","",IFERROR(INDEX('CARNET DE SOUDURE'!$E$7:$E$1506,MATCH(B911,'CARNET DE SOUDURE'!$K$7:$K$1506,0)),""))</f>
        <v/>
      </c>
      <c r="L911" s="78" t="str">
        <f aca="false">IF(B911="","",IFERROR(INDEX('CARNET DE SOUDURE'!$D$7:$D$1506,MATCH(B911,'CARNET DE SOUDURE'!$K$7:$K$1506,0)),IFERROR(INDEX('CARNET DE SOUDURE'!$D$7:$D$1506,MATCH(B911,'CARNET DE SOUDURE'!$M$7:$M$1506,0)),"")))</f>
        <v/>
      </c>
      <c r="M911" s="81" t="str">
        <f aca="false">IF(B911="","",IF(OR(J911&lt;&gt;"",K911&lt;&gt;""),"POSÉ EN LIGNE",IF(H911&lt;&gt;"","BARDÉ","EN STOCK")))</f>
        <v/>
      </c>
      <c r="N911" s="79"/>
    </row>
    <row r="912" customFormat="false" ht="15" hidden="false" customHeight="false" outlineLevel="0" collapsed="false">
      <c r="A912" s="78" t="str">
        <f aca="false">IF(B912="","",ROW()-6)</f>
        <v/>
      </c>
      <c r="B912" s="90"/>
      <c r="C912" s="91"/>
      <c r="D912" s="91"/>
      <c r="E912" s="80"/>
      <c r="F912" s="92"/>
      <c r="G912" s="79"/>
      <c r="H912" s="82"/>
      <c r="I912" s="93" t="str">
        <f aca="false">IF(B912="","",IFERROR(INDEX('CARNET DE SOUDURE'!$B$7:$B$1506,MATCH(B912,'CARNET DE SOUDURE'!$K$7:$K$1506,0)),IFERROR(INDEX('CARNET DE SOUDURE'!$B$7:$B$1506,MATCH(B912,'CARNET DE SOUDURE'!$M$7:$M$1506,0)),"")))</f>
        <v/>
      </c>
      <c r="J912" s="78" t="str">
        <f aca="false">IF(B912="","",IFERROR(INDEX('CARNET DE SOUDURE'!$E$7:$E$1506,MATCH(B912,'CARNET DE SOUDURE'!$M$7:$M$1506,0)),""))</f>
        <v/>
      </c>
      <c r="K912" s="78" t="str">
        <f aca="false">IF(B912="","",IFERROR(INDEX('CARNET DE SOUDURE'!$E$7:$E$1506,MATCH(B912,'CARNET DE SOUDURE'!$K$7:$K$1506,0)),""))</f>
        <v/>
      </c>
      <c r="L912" s="78" t="str">
        <f aca="false">IF(B912="","",IFERROR(INDEX('CARNET DE SOUDURE'!$D$7:$D$1506,MATCH(B912,'CARNET DE SOUDURE'!$K$7:$K$1506,0)),IFERROR(INDEX('CARNET DE SOUDURE'!$D$7:$D$1506,MATCH(B912,'CARNET DE SOUDURE'!$M$7:$M$1506,0)),"")))</f>
        <v/>
      </c>
      <c r="M912" s="81" t="str">
        <f aca="false">IF(B912="","",IF(OR(J912&lt;&gt;"",K912&lt;&gt;""),"POSÉ EN LIGNE",IF(H912&lt;&gt;"","BARDÉ","EN STOCK")))</f>
        <v/>
      </c>
      <c r="N912" s="79"/>
    </row>
    <row r="913" customFormat="false" ht="15" hidden="false" customHeight="false" outlineLevel="0" collapsed="false">
      <c r="A913" s="78" t="str">
        <f aca="false">IF(B913="","",ROW()-6)</f>
        <v/>
      </c>
      <c r="B913" s="90"/>
      <c r="C913" s="91"/>
      <c r="D913" s="91"/>
      <c r="E913" s="80"/>
      <c r="F913" s="92"/>
      <c r="G913" s="79"/>
      <c r="H913" s="82"/>
      <c r="I913" s="93" t="str">
        <f aca="false">IF(B913="","",IFERROR(INDEX('CARNET DE SOUDURE'!$B$7:$B$1506,MATCH(B913,'CARNET DE SOUDURE'!$K$7:$K$1506,0)),IFERROR(INDEX('CARNET DE SOUDURE'!$B$7:$B$1506,MATCH(B913,'CARNET DE SOUDURE'!$M$7:$M$1506,0)),"")))</f>
        <v/>
      </c>
      <c r="J913" s="78" t="str">
        <f aca="false">IF(B913="","",IFERROR(INDEX('CARNET DE SOUDURE'!$E$7:$E$1506,MATCH(B913,'CARNET DE SOUDURE'!$M$7:$M$1506,0)),""))</f>
        <v/>
      </c>
      <c r="K913" s="78" t="str">
        <f aca="false">IF(B913="","",IFERROR(INDEX('CARNET DE SOUDURE'!$E$7:$E$1506,MATCH(B913,'CARNET DE SOUDURE'!$K$7:$K$1506,0)),""))</f>
        <v/>
      </c>
      <c r="L913" s="78" t="str">
        <f aca="false">IF(B913="","",IFERROR(INDEX('CARNET DE SOUDURE'!$D$7:$D$1506,MATCH(B913,'CARNET DE SOUDURE'!$K$7:$K$1506,0)),IFERROR(INDEX('CARNET DE SOUDURE'!$D$7:$D$1506,MATCH(B913,'CARNET DE SOUDURE'!$M$7:$M$1506,0)),"")))</f>
        <v/>
      </c>
      <c r="M913" s="81" t="str">
        <f aca="false">IF(B913="","",IF(OR(J913&lt;&gt;"",K913&lt;&gt;""),"POSÉ EN LIGNE",IF(H913&lt;&gt;"","BARDÉ","EN STOCK")))</f>
        <v/>
      </c>
      <c r="N913" s="79"/>
    </row>
    <row r="914" customFormat="false" ht="15" hidden="false" customHeight="false" outlineLevel="0" collapsed="false">
      <c r="A914" s="78" t="str">
        <f aca="false">IF(B914="","",ROW()-6)</f>
        <v/>
      </c>
      <c r="B914" s="90"/>
      <c r="C914" s="91"/>
      <c r="D914" s="91"/>
      <c r="E914" s="80"/>
      <c r="F914" s="92"/>
      <c r="G914" s="79"/>
      <c r="H914" s="82"/>
      <c r="I914" s="93" t="str">
        <f aca="false">IF(B914="","",IFERROR(INDEX('CARNET DE SOUDURE'!$B$7:$B$1506,MATCH(B914,'CARNET DE SOUDURE'!$K$7:$K$1506,0)),IFERROR(INDEX('CARNET DE SOUDURE'!$B$7:$B$1506,MATCH(B914,'CARNET DE SOUDURE'!$M$7:$M$1506,0)),"")))</f>
        <v/>
      </c>
      <c r="J914" s="78" t="str">
        <f aca="false">IF(B914="","",IFERROR(INDEX('CARNET DE SOUDURE'!$E$7:$E$1506,MATCH(B914,'CARNET DE SOUDURE'!$M$7:$M$1506,0)),""))</f>
        <v/>
      </c>
      <c r="K914" s="78" t="str">
        <f aca="false">IF(B914="","",IFERROR(INDEX('CARNET DE SOUDURE'!$E$7:$E$1506,MATCH(B914,'CARNET DE SOUDURE'!$K$7:$K$1506,0)),""))</f>
        <v/>
      </c>
      <c r="L914" s="78" t="str">
        <f aca="false">IF(B914="","",IFERROR(INDEX('CARNET DE SOUDURE'!$D$7:$D$1506,MATCH(B914,'CARNET DE SOUDURE'!$K$7:$K$1506,0)),IFERROR(INDEX('CARNET DE SOUDURE'!$D$7:$D$1506,MATCH(B914,'CARNET DE SOUDURE'!$M$7:$M$1506,0)),"")))</f>
        <v/>
      </c>
      <c r="M914" s="81" t="str">
        <f aca="false">IF(B914="","",IF(OR(J914&lt;&gt;"",K914&lt;&gt;""),"POSÉ EN LIGNE",IF(H914&lt;&gt;"","BARDÉ","EN STOCK")))</f>
        <v/>
      </c>
      <c r="N914" s="79"/>
    </row>
    <row r="915" customFormat="false" ht="15" hidden="false" customHeight="false" outlineLevel="0" collapsed="false">
      <c r="A915" s="78" t="str">
        <f aca="false">IF(B915="","",ROW()-6)</f>
        <v/>
      </c>
      <c r="B915" s="90"/>
      <c r="C915" s="91"/>
      <c r="D915" s="91"/>
      <c r="E915" s="80"/>
      <c r="F915" s="92"/>
      <c r="G915" s="79"/>
      <c r="H915" s="82"/>
      <c r="I915" s="93" t="str">
        <f aca="false">IF(B915="","",IFERROR(INDEX('CARNET DE SOUDURE'!$B$7:$B$1506,MATCH(B915,'CARNET DE SOUDURE'!$K$7:$K$1506,0)),IFERROR(INDEX('CARNET DE SOUDURE'!$B$7:$B$1506,MATCH(B915,'CARNET DE SOUDURE'!$M$7:$M$1506,0)),"")))</f>
        <v/>
      </c>
      <c r="J915" s="78" t="str">
        <f aca="false">IF(B915="","",IFERROR(INDEX('CARNET DE SOUDURE'!$E$7:$E$1506,MATCH(B915,'CARNET DE SOUDURE'!$M$7:$M$1506,0)),""))</f>
        <v/>
      </c>
      <c r="K915" s="78" t="str">
        <f aca="false">IF(B915="","",IFERROR(INDEX('CARNET DE SOUDURE'!$E$7:$E$1506,MATCH(B915,'CARNET DE SOUDURE'!$K$7:$K$1506,0)),""))</f>
        <v/>
      </c>
      <c r="L915" s="78" t="str">
        <f aca="false">IF(B915="","",IFERROR(INDEX('CARNET DE SOUDURE'!$D$7:$D$1506,MATCH(B915,'CARNET DE SOUDURE'!$K$7:$K$1506,0)),IFERROR(INDEX('CARNET DE SOUDURE'!$D$7:$D$1506,MATCH(B915,'CARNET DE SOUDURE'!$M$7:$M$1506,0)),"")))</f>
        <v/>
      </c>
      <c r="M915" s="81" t="str">
        <f aca="false">IF(B915="","",IF(OR(J915&lt;&gt;"",K915&lt;&gt;""),"POSÉ EN LIGNE",IF(H915&lt;&gt;"","BARDÉ","EN STOCK")))</f>
        <v/>
      </c>
      <c r="N915" s="79"/>
    </row>
    <row r="916" customFormat="false" ht="15" hidden="false" customHeight="false" outlineLevel="0" collapsed="false">
      <c r="A916" s="78" t="str">
        <f aca="false">IF(B916="","",ROW()-6)</f>
        <v/>
      </c>
      <c r="B916" s="90"/>
      <c r="C916" s="91"/>
      <c r="D916" s="91"/>
      <c r="E916" s="80"/>
      <c r="F916" s="92"/>
      <c r="G916" s="79"/>
      <c r="H916" s="82"/>
      <c r="I916" s="93" t="str">
        <f aca="false">IF(B916="","",IFERROR(INDEX('CARNET DE SOUDURE'!$B$7:$B$1506,MATCH(B916,'CARNET DE SOUDURE'!$K$7:$K$1506,0)),IFERROR(INDEX('CARNET DE SOUDURE'!$B$7:$B$1506,MATCH(B916,'CARNET DE SOUDURE'!$M$7:$M$1506,0)),"")))</f>
        <v/>
      </c>
      <c r="J916" s="78" t="str">
        <f aca="false">IF(B916="","",IFERROR(INDEX('CARNET DE SOUDURE'!$E$7:$E$1506,MATCH(B916,'CARNET DE SOUDURE'!$M$7:$M$1506,0)),""))</f>
        <v/>
      </c>
      <c r="K916" s="78" t="str">
        <f aca="false">IF(B916="","",IFERROR(INDEX('CARNET DE SOUDURE'!$E$7:$E$1506,MATCH(B916,'CARNET DE SOUDURE'!$K$7:$K$1506,0)),""))</f>
        <v/>
      </c>
      <c r="L916" s="78" t="str">
        <f aca="false">IF(B916="","",IFERROR(INDEX('CARNET DE SOUDURE'!$D$7:$D$1506,MATCH(B916,'CARNET DE SOUDURE'!$K$7:$K$1506,0)),IFERROR(INDEX('CARNET DE SOUDURE'!$D$7:$D$1506,MATCH(B916,'CARNET DE SOUDURE'!$M$7:$M$1506,0)),"")))</f>
        <v/>
      </c>
      <c r="M916" s="81" t="str">
        <f aca="false">IF(B916="","",IF(OR(J916&lt;&gt;"",K916&lt;&gt;""),"POSÉ EN LIGNE",IF(H916&lt;&gt;"","BARDÉ","EN STOCK")))</f>
        <v/>
      </c>
      <c r="N916" s="79"/>
    </row>
    <row r="917" customFormat="false" ht="15" hidden="false" customHeight="false" outlineLevel="0" collapsed="false">
      <c r="A917" s="78" t="str">
        <f aca="false">IF(B917="","",ROW()-6)</f>
        <v/>
      </c>
      <c r="B917" s="90"/>
      <c r="C917" s="91"/>
      <c r="D917" s="91"/>
      <c r="E917" s="80"/>
      <c r="F917" s="92"/>
      <c r="G917" s="79"/>
      <c r="H917" s="82"/>
      <c r="I917" s="93" t="str">
        <f aca="false">IF(B917="","",IFERROR(INDEX('CARNET DE SOUDURE'!$B$7:$B$1506,MATCH(B917,'CARNET DE SOUDURE'!$K$7:$K$1506,0)),IFERROR(INDEX('CARNET DE SOUDURE'!$B$7:$B$1506,MATCH(B917,'CARNET DE SOUDURE'!$M$7:$M$1506,0)),"")))</f>
        <v/>
      </c>
      <c r="J917" s="78" t="str">
        <f aca="false">IF(B917="","",IFERROR(INDEX('CARNET DE SOUDURE'!$E$7:$E$1506,MATCH(B917,'CARNET DE SOUDURE'!$M$7:$M$1506,0)),""))</f>
        <v/>
      </c>
      <c r="K917" s="78" t="str">
        <f aca="false">IF(B917="","",IFERROR(INDEX('CARNET DE SOUDURE'!$E$7:$E$1506,MATCH(B917,'CARNET DE SOUDURE'!$K$7:$K$1506,0)),""))</f>
        <v/>
      </c>
      <c r="L917" s="78" t="str">
        <f aca="false">IF(B917="","",IFERROR(INDEX('CARNET DE SOUDURE'!$D$7:$D$1506,MATCH(B917,'CARNET DE SOUDURE'!$K$7:$K$1506,0)),IFERROR(INDEX('CARNET DE SOUDURE'!$D$7:$D$1506,MATCH(B917,'CARNET DE SOUDURE'!$M$7:$M$1506,0)),"")))</f>
        <v/>
      </c>
      <c r="M917" s="81" t="str">
        <f aca="false">IF(B917="","",IF(OR(J917&lt;&gt;"",K917&lt;&gt;""),"POSÉ EN LIGNE",IF(H917&lt;&gt;"","BARDÉ","EN STOCK")))</f>
        <v/>
      </c>
      <c r="N917" s="79"/>
    </row>
    <row r="918" customFormat="false" ht="15" hidden="false" customHeight="false" outlineLevel="0" collapsed="false">
      <c r="A918" s="78" t="str">
        <f aca="false">IF(B918="","",ROW()-6)</f>
        <v/>
      </c>
      <c r="B918" s="90"/>
      <c r="C918" s="91"/>
      <c r="D918" s="91"/>
      <c r="E918" s="80"/>
      <c r="F918" s="92"/>
      <c r="G918" s="79"/>
      <c r="H918" s="82"/>
      <c r="I918" s="93" t="str">
        <f aca="false">IF(B918="","",IFERROR(INDEX('CARNET DE SOUDURE'!$B$7:$B$1506,MATCH(B918,'CARNET DE SOUDURE'!$K$7:$K$1506,0)),IFERROR(INDEX('CARNET DE SOUDURE'!$B$7:$B$1506,MATCH(B918,'CARNET DE SOUDURE'!$M$7:$M$1506,0)),"")))</f>
        <v/>
      </c>
      <c r="J918" s="78" t="str">
        <f aca="false">IF(B918="","",IFERROR(INDEX('CARNET DE SOUDURE'!$E$7:$E$1506,MATCH(B918,'CARNET DE SOUDURE'!$M$7:$M$1506,0)),""))</f>
        <v/>
      </c>
      <c r="K918" s="78" t="str">
        <f aca="false">IF(B918="","",IFERROR(INDEX('CARNET DE SOUDURE'!$E$7:$E$1506,MATCH(B918,'CARNET DE SOUDURE'!$K$7:$K$1506,0)),""))</f>
        <v/>
      </c>
      <c r="L918" s="78" t="str">
        <f aca="false">IF(B918="","",IFERROR(INDEX('CARNET DE SOUDURE'!$D$7:$D$1506,MATCH(B918,'CARNET DE SOUDURE'!$K$7:$K$1506,0)),IFERROR(INDEX('CARNET DE SOUDURE'!$D$7:$D$1506,MATCH(B918,'CARNET DE SOUDURE'!$M$7:$M$1506,0)),"")))</f>
        <v/>
      </c>
      <c r="M918" s="81" t="str">
        <f aca="false">IF(B918="","",IF(OR(J918&lt;&gt;"",K918&lt;&gt;""),"POSÉ EN LIGNE",IF(H918&lt;&gt;"","BARDÉ","EN STOCK")))</f>
        <v/>
      </c>
      <c r="N918" s="79"/>
    </row>
    <row r="919" customFormat="false" ht="15" hidden="false" customHeight="false" outlineLevel="0" collapsed="false">
      <c r="A919" s="78" t="str">
        <f aca="false">IF(B919="","",ROW()-6)</f>
        <v/>
      </c>
      <c r="B919" s="90"/>
      <c r="C919" s="91"/>
      <c r="D919" s="91"/>
      <c r="E919" s="80"/>
      <c r="F919" s="92"/>
      <c r="G919" s="79"/>
      <c r="H919" s="82"/>
      <c r="I919" s="93" t="str">
        <f aca="false">IF(B919="","",IFERROR(INDEX('CARNET DE SOUDURE'!$B$7:$B$1506,MATCH(B919,'CARNET DE SOUDURE'!$K$7:$K$1506,0)),IFERROR(INDEX('CARNET DE SOUDURE'!$B$7:$B$1506,MATCH(B919,'CARNET DE SOUDURE'!$M$7:$M$1506,0)),"")))</f>
        <v/>
      </c>
      <c r="J919" s="78" t="str">
        <f aca="false">IF(B919="","",IFERROR(INDEX('CARNET DE SOUDURE'!$E$7:$E$1506,MATCH(B919,'CARNET DE SOUDURE'!$M$7:$M$1506,0)),""))</f>
        <v/>
      </c>
      <c r="K919" s="78" t="str">
        <f aca="false">IF(B919="","",IFERROR(INDEX('CARNET DE SOUDURE'!$E$7:$E$1506,MATCH(B919,'CARNET DE SOUDURE'!$K$7:$K$1506,0)),""))</f>
        <v/>
      </c>
      <c r="L919" s="78" t="str">
        <f aca="false">IF(B919="","",IFERROR(INDEX('CARNET DE SOUDURE'!$D$7:$D$1506,MATCH(B919,'CARNET DE SOUDURE'!$K$7:$K$1506,0)),IFERROR(INDEX('CARNET DE SOUDURE'!$D$7:$D$1506,MATCH(B919,'CARNET DE SOUDURE'!$M$7:$M$1506,0)),"")))</f>
        <v/>
      </c>
      <c r="M919" s="81" t="str">
        <f aca="false">IF(B919="","",IF(OR(J919&lt;&gt;"",K919&lt;&gt;""),"POSÉ EN LIGNE",IF(H919&lt;&gt;"","BARDÉ","EN STOCK")))</f>
        <v/>
      </c>
      <c r="N919" s="79"/>
    </row>
    <row r="920" customFormat="false" ht="15" hidden="false" customHeight="false" outlineLevel="0" collapsed="false">
      <c r="A920" s="78" t="str">
        <f aca="false">IF(B920="","",ROW()-6)</f>
        <v/>
      </c>
      <c r="B920" s="90"/>
      <c r="C920" s="91"/>
      <c r="D920" s="91"/>
      <c r="E920" s="80"/>
      <c r="F920" s="92"/>
      <c r="G920" s="79"/>
      <c r="H920" s="82"/>
      <c r="I920" s="93" t="str">
        <f aca="false">IF(B920="","",IFERROR(INDEX('CARNET DE SOUDURE'!$B$7:$B$1506,MATCH(B920,'CARNET DE SOUDURE'!$K$7:$K$1506,0)),IFERROR(INDEX('CARNET DE SOUDURE'!$B$7:$B$1506,MATCH(B920,'CARNET DE SOUDURE'!$M$7:$M$1506,0)),"")))</f>
        <v/>
      </c>
      <c r="J920" s="78" t="str">
        <f aca="false">IF(B920="","",IFERROR(INDEX('CARNET DE SOUDURE'!$E$7:$E$1506,MATCH(B920,'CARNET DE SOUDURE'!$M$7:$M$1506,0)),""))</f>
        <v/>
      </c>
      <c r="K920" s="78" t="str">
        <f aca="false">IF(B920="","",IFERROR(INDEX('CARNET DE SOUDURE'!$E$7:$E$1506,MATCH(B920,'CARNET DE SOUDURE'!$K$7:$K$1506,0)),""))</f>
        <v/>
      </c>
      <c r="L920" s="78" t="str">
        <f aca="false">IF(B920="","",IFERROR(INDEX('CARNET DE SOUDURE'!$D$7:$D$1506,MATCH(B920,'CARNET DE SOUDURE'!$K$7:$K$1506,0)),IFERROR(INDEX('CARNET DE SOUDURE'!$D$7:$D$1506,MATCH(B920,'CARNET DE SOUDURE'!$M$7:$M$1506,0)),"")))</f>
        <v/>
      </c>
      <c r="M920" s="81" t="str">
        <f aca="false">IF(B920="","",IF(OR(J920&lt;&gt;"",K920&lt;&gt;""),"POSÉ EN LIGNE",IF(H920&lt;&gt;"","BARDÉ","EN STOCK")))</f>
        <v/>
      </c>
      <c r="N920" s="79"/>
    </row>
    <row r="921" customFormat="false" ht="15" hidden="false" customHeight="false" outlineLevel="0" collapsed="false">
      <c r="A921" s="78" t="str">
        <f aca="false">IF(B921="","",ROW()-6)</f>
        <v/>
      </c>
      <c r="B921" s="90"/>
      <c r="C921" s="91"/>
      <c r="D921" s="91"/>
      <c r="E921" s="80"/>
      <c r="F921" s="92"/>
      <c r="G921" s="79"/>
      <c r="H921" s="82"/>
      <c r="I921" s="93" t="str">
        <f aca="false">IF(B921="","",IFERROR(INDEX('CARNET DE SOUDURE'!$B$7:$B$1506,MATCH(B921,'CARNET DE SOUDURE'!$K$7:$K$1506,0)),IFERROR(INDEX('CARNET DE SOUDURE'!$B$7:$B$1506,MATCH(B921,'CARNET DE SOUDURE'!$M$7:$M$1506,0)),"")))</f>
        <v/>
      </c>
      <c r="J921" s="78" t="str">
        <f aca="false">IF(B921="","",IFERROR(INDEX('CARNET DE SOUDURE'!$E$7:$E$1506,MATCH(B921,'CARNET DE SOUDURE'!$M$7:$M$1506,0)),""))</f>
        <v/>
      </c>
      <c r="K921" s="78" t="str">
        <f aca="false">IF(B921="","",IFERROR(INDEX('CARNET DE SOUDURE'!$E$7:$E$1506,MATCH(B921,'CARNET DE SOUDURE'!$K$7:$K$1506,0)),""))</f>
        <v/>
      </c>
      <c r="L921" s="78" t="str">
        <f aca="false">IF(B921="","",IFERROR(INDEX('CARNET DE SOUDURE'!$D$7:$D$1506,MATCH(B921,'CARNET DE SOUDURE'!$K$7:$K$1506,0)),IFERROR(INDEX('CARNET DE SOUDURE'!$D$7:$D$1506,MATCH(B921,'CARNET DE SOUDURE'!$M$7:$M$1506,0)),"")))</f>
        <v/>
      </c>
      <c r="M921" s="81" t="str">
        <f aca="false">IF(B921="","",IF(OR(J921&lt;&gt;"",K921&lt;&gt;""),"POSÉ EN LIGNE",IF(H921&lt;&gt;"","BARDÉ","EN STOCK")))</f>
        <v/>
      </c>
      <c r="N921" s="79"/>
    </row>
    <row r="922" customFormat="false" ht="15" hidden="false" customHeight="false" outlineLevel="0" collapsed="false">
      <c r="A922" s="78" t="str">
        <f aca="false">IF(B922="","",ROW()-6)</f>
        <v/>
      </c>
      <c r="B922" s="90"/>
      <c r="C922" s="91"/>
      <c r="D922" s="91"/>
      <c r="E922" s="80"/>
      <c r="F922" s="92"/>
      <c r="G922" s="79"/>
      <c r="H922" s="82"/>
      <c r="I922" s="93" t="str">
        <f aca="false">IF(B922="","",IFERROR(INDEX('CARNET DE SOUDURE'!$B$7:$B$1506,MATCH(B922,'CARNET DE SOUDURE'!$K$7:$K$1506,0)),IFERROR(INDEX('CARNET DE SOUDURE'!$B$7:$B$1506,MATCH(B922,'CARNET DE SOUDURE'!$M$7:$M$1506,0)),"")))</f>
        <v/>
      </c>
      <c r="J922" s="78" t="str">
        <f aca="false">IF(B922="","",IFERROR(INDEX('CARNET DE SOUDURE'!$E$7:$E$1506,MATCH(B922,'CARNET DE SOUDURE'!$M$7:$M$1506,0)),""))</f>
        <v/>
      </c>
      <c r="K922" s="78" t="str">
        <f aca="false">IF(B922="","",IFERROR(INDEX('CARNET DE SOUDURE'!$E$7:$E$1506,MATCH(B922,'CARNET DE SOUDURE'!$K$7:$K$1506,0)),""))</f>
        <v/>
      </c>
      <c r="L922" s="78" t="str">
        <f aca="false">IF(B922="","",IFERROR(INDEX('CARNET DE SOUDURE'!$D$7:$D$1506,MATCH(B922,'CARNET DE SOUDURE'!$K$7:$K$1506,0)),IFERROR(INDEX('CARNET DE SOUDURE'!$D$7:$D$1506,MATCH(B922,'CARNET DE SOUDURE'!$M$7:$M$1506,0)),"")))</f>
        <v/>
      </c>
      <c r="M922" s="81" t="str">
        <f aca="false">IF(B922="","",IF(OR(J922&lt;&gt;"",K922&lt;&gt;""),"POSÉ EN LIGNE",IF(H922&lt;&gt;"","BARDÉ","EN STOCK")))</f>
        <v/>
      </c>
      <c r="N922" s="79"/>
    </row>
    <row r="923" customFormat="false" ht="15" hidden="false" customHeight="false" outlineLevel="0" collapsed="false">
      <c r="A923" s="78" t="str">
        <f aca="false">IF(B923="","",ROW()-6)</f>
        <v/>
      </c>
      <c r="B923" s="90"/>
      <c r="C923" s="91"/>
      <c r="D923" s="91"/>
      <c r="E923" s="80"/>
      <c r="F923" s="92"/>
      <c r="G923" s="79"/>
      <c r="H923" s="82"/>
      <c r="I923" s="93" t="str">
        <f aca="false">IF(B923="","",IFERROR(INDEX('CARNET DE SOUDURE'!$B$7:$B$1506,MATCH(B923,'CARNET DE SOUDURE'!$K$7:$K$1506,0)),IFERROR(INDEX('CARNET DE SOUDURE'!$B$7:$B$1506,MATCH(B923,'CARNET DE SOUDURE'!$M$7:$M$1506,0)),"")))</f>
        <v/>
      </c>
      <c r="J923" s="78" t="str">
        <f aca="false">IF(B923="","",IFERROR(INDEX('CARNET DE SOUDURE'!$E$7:$E$1506,MATCH(B923,'CARNET DE SOUDURE'!$M$7:$M$1506,0)),""))</f>
        <v/>
      </c>
      <c r="K923" s="78" t="str">
        <f aca="false">IF(B923="","",IFERROR(INDEX('CARNET DE SOUDURE'!$E$7:$E$1506,MATCH(B923,'CARNET DE SOUDURE'!$K$7:$K$1506,0)),""))</f>
        <v/>
      </c>
      <c r="L923" s="78" t="str">
        <f aca="false">IF(B923="","",IFERROR(INDEX('CARNET DE SOUDURE'!$D$7:$D$1506,MATCH(B923,'CARNET DE SOUDURE'!$K$7:$K$1506,0)),IFERROR(INDEX('CARNET DE SOUDURE'!$D$7:$D$1506,MATCH(B923,'CARNET DE SOUDURE'!$M$7:$M$1506,0)),"")))</f>
        <v/>
      </c>
      <c r="M923" s="81" t="str">
        <f aca="false">IF(B923="","",IF(OR(J923&lt;&gt;"",K923&lt;&gt;""),"POSÉ EN LIGNE",IF(H923&lt;&gt;"","BARDÉ","EN STOCK")))</f>
        <v/>
      </c>
      <c r="N923" s="79"/>
    </row>
    <row r="924" customFormat="false" ht="15" hidden="false" customHeight="false" outlineLevel="0" collapsed="false">
      <c r="A924" s="78" t="str">
        <f aca="false">IF(B924="","",ROW()-6)</f>
        <v/>
      </c>
      <c r="B924" s="90"/>
      <c r="C924" s="91"/>
      <c r="D924" s="91"/>
      <c r="E924" s="80"/>
      <c r="F924" s="92"/>
      <c r="G924" s="79"/>
      <c r="H924" s="82"/>
      <c r="I924" s="93" t="str">
        <f aca="false">IF(B924="","",IFERROR(INDEX('CARNET DE SOUDURE'!$B$7:$B$1506,MATCH(B924,'CARNET DE SOUDURE'!$K$7:$K$1506,0)),IFERROR(INDEX('CARNET DE SOUDURE'!$B$7:$B$1506,MATCH(B924,'CARNET DE SOUDURE'!$M$7:$M$1506,0)),"")))</f>
        <v/>
      </c>
      <c r="J924" s="78" t="str">
        <f aca="false">IF(B924="","",IFERROR(INDEX('CARNET DE SOUDURE'!$E$7:$E$1506,MATCH(B924,'CARNET DE SOUDURE'!$M$7:$M$1506,0)),""))</f>
        <v/>
      </c>
      <c r="K924" s="78" t="str">
        <f aca="false">IF(B924="","",IFERROR(INDEX('CARNET DE SOUDURE'!$E$7:$E$1506,MATCH(B924,'CARNET DE SOUDURE'!$K$7:$K$1506,0)),""))</f>
        <v/>
      </c>
      <c r="L924" s="78" t="str">
        <f aca="false">IF(B924="","",IFERROR(INDEX('CARNET DE SOUDURE'!$D$7:$D$1506,MATCH(B924,'CARNET DE SOUDURE'!$K$7:$K$1506,0)),IFERROR(INDEX('CARNET DE SOUDURE'!$D$7:$D$1506,MATCH(B924,'CARNET DE SOUDURE'!$M$7:$M$1506,0)),"")))</f>
        <v/>
      </c>
      <c r="M924" s="81" t="str">
        <f aca="false">IF(B924="","",IF(OR(J924&lt;&gt;"",K924&lt;&gt;""),"POSÉ EN LIGNE",IF(H924&lt;&gt;"","BARDÉ","EN STOCK")))</f>
        <v/>
      </c>
      <c r="N924" s="79"/>
    </row>
    <row r="925" customFormat="false" ht="15" hidden="false" customHeight="false" outlineLevel="0" collapsed="false">
      <c r="A925" s="78" t="str">
        <f aca="false">IF(B925="","",ROW()-6)</f>
        <v/>
      </c>
      <c r="B925" s="90"/>
      <c r="C925" s="91"/>
      <c r="D925" s="91"/>
      <c r="E925" s="80"/>
      <c r="F925" s="92"/>
      <c r="G925" s="79"/>
      <c r="H925" s="82"/>
      <c r="I925" s="93" t="str">
        <f aca="false">IF(B925="","",IFERROR(INDEX('CARNET DE SOUDURE'!$B$7:$B$1506,MATCH(B925,'CARNET DE SOUDURE'!$K$7:$K$1506,0)),IFERROR(INDEX('CARNET DE SOUDURE'!$B$7:$B$1506,MATCH(B925,'CARNET DE SOUDURE'!$M$7:$M$1506,0)),"")))</f>
        <v/>
      </c>
      <c r="J925" s="78" t="str">
        <f aca="false">IF(B925="","",IFERROR(INDEX('CARNET DE SOUDURE'!$E$7:$E$1506,MATCH(B925,'CARNET DE SOUDURE'!$M$7:$M$1506,0)),""))</f>
        <v/>
      </c>
      <c r="K925" s="78" t="str">
        <f aca="false">IF(B925="","",IFERROR(INDEX('CARNET DE SOUDURE'!$E$7:$E$1506,MATCH(B925,'CARNET DE SOUDURE'!$K$7:$K$1506,0)),""))</f>
        <v/>
      </c>
      <c r="L925" s="78" t="str">
        <f aca="false">IF(B925="","",IFERROR(INDEX('CARNET DE SOUDURE'!$D$7:$D$1506,MATCH(B925,'CARNET DE SOUDURE'!$K$7:$K$1506,0)),IFERROR(INDEX('CARNET DE SOUDURE'!$D$7:$D$1506,MATCH(B925,'CARNET DE SOUDURE'!$M$7:$M$1506,0)),"")))</f>
        <v/>
      </c>
      <c r="M925" s="81" t="str">
        <f aca="false">IF(B925="","",IF(OR(J925&lt;&gt;"",K925&lt;&gt;""),"POSÉ EN LIGNE",IF(H925&lt;&gt;"","BARDÉ","EN STOCK")))</f>
        <v/>
      </c>
      <c r="N925" s="79"/>
    </row>
    <row r="926" customFormat="false" ht="15" hidden="false" customHeight="false" outlineLevel="0" collapsed="false">
      <c r="A926" s="78" t="str">
        <f aca="false">IF(B926="","",ROW()-6)</f>
        <v/>
      </c>
      <c r="B926" s="90"/>
      <c r="C926" s="91"/>
      <c r="D926" s="91"/>
      <c r="E926" s="80"/>
      <c r="F926" s="92"/>
      <c r="G926" s="79"/>
      <c r="H926" s="82"/>
      <c r="I926" s="93" t="str">
        <f aca="false">IF(B926="","",IFERROR(INDEX('CARNET DE SOUDURE'!$B$7:$B$1506,MATCH(B926,'CARNET DE SOUDURE'!$K$7:$K$1506,0)),IFERROR(INDEX('CARNET DE SOUDURE'!$B$7:$B$1506,MATCH(B926,'CARNET DE SOUDURE'!$M$7:$M$1506,0)),"")))</f>
        <v/>
      </c>
      <c r="J926" s="78" t="str">
        <f aca="false">IF(B926="","",IFERROR(INDEX('CARNET DE SOUDURE'!$E$7:$E$1506,MATCH(B926,'CARNET DE SOUDURE'!$M$7:$M$1506,0)),""))</f>
        <v/>
      </c>
      <c r="K926" s="78" t="str">
        <f aca="false">IF(B926="","",IFERROR(INDEX('CARNET DE SOUDURE'!$E$7:$E$1506,MATCH(B926,'CARNET DE SOUDURE'!$K$7:$K$1506,0)),""))</f>
        <v/>
      </c>
      <c r="L926" s="78" t="str">
        <f aca="false">IF(B926="","",IFERROR(INDEX('CARNET DE SOUDURE'!$D$7:$D$1506,MATCH(B926,'CARNET DE SOUDURE'!$K$7:$K$1506,0)),IFERROR(INDEX('CARNET DE SOUDURE'!$D$7:$D$1506,MATCH(B926,'CARNET DE SOUDURE'!$M$7:$M$1506,0)),"")))</f>
        <v/>
      </c>
      <c r="M926" s="81" t="str">
        <f aca="false">IF(B926="","",IF(OR(J926&lt;&gt;"",K926&lt;&gt;""),"POSÉ EN LIGNE",IF(H926&lt;&gt;"","BARDÉ","EN STOCK")))</f>
        <v/>
      </c>
      <c r="N926" s="79"/>
    </row>
    <row r="927" customFormat="false" ht="15" hidden="false" customHeight="false" outlineLevel="0" collapsed="false">
      <c r="A927" s="78" t="str">
        <f aca="false">IF(B927="","",ROW()-6)</f>
        <v/>
      </c>
      <c r="B927" s="90"/>
      <c r="C927" s="91"/>
      <c r="D927" s="91"/>
      <c r="E927" s="80"/>
      <c r="F927" s="92"/>
      <c r="G927" s="79"/>
      <c r="H927" s="82"/>
      <c r="I927" s="93" t="str">
        <f aca="false">IF(B927="","",IFERROR(INDEX('CARNET DE SOUDURE'!$B$7:$B$1506,MATCH(B927,'CARNET DE SOUDURE'!$K$7:$K$1506,0)),IFERROR(INDEX('CARNET DE SOUDURE'!$B$7:$B$1506,MATCH(B927,'CARNET DE SOUDURE'!$M$7:$M$1506,0)),"")))</f>
        <v/>
      </c>
      <c r="J927" s="78" t="str">
        <f aca="false">IF(B927="","",IFERROR(INDEX('CARNET DE SOUDURE'!$E$7:$E$1506,MATCH(B927,'CARNET DE SOUDURE'!$M$7:$M$1506,0)),""))</f>
        <v/>
      </c>
      <c r="K927" s="78" t="str">
        <f aca="false">IF(B927="","",IFERROR(INDEX('CARNET DE SOUDURE'!$E$7:$E$1506,MATCH(B927,'CARNET DE SOUDURE'!$K$7:$K$1506,0)),""))</f>
        <v/>
      </c>
      <c r="L927" s="78" t="str">
        <f aca="false">IF(B927="","",IFERROR(INDEX('CARNET DE SOUDURE'!$D$7:$D$1506,MATCH(B927,'CARNET DE SOUDURE'!$K$7:$K$1506,0)),IFERROR(INDEX('CARNET DE SOUDURE'!$D$7:$D$1506,MATCH(B927,'CARNET DE SOUDURE'!$M$7:$M$1506,0)),"")))</f>
        <v/>
      </c>
      <c r="M927" s="81" t="str">
        <f aca="false">IF(B927="","",IF(OR(J927&lt;&gt;"",K927&lt;&gt;""),"POSÉ EN LIGNE",IF(H927&lt;&gt;"","BARDÉ","EN STOCK")))</f>
        <v/>
      </c>
      <c r="N927" s="79"/>
    </row>
    <row r="928" customFormat="false" ht="15" hidden="false" customHeight="false" outlineLevel="0" collapsed="false">
      <c r="A928" s="78" t="str">
        <f aca="false">IF(B928="","",ROW()-6)</f>
        <v/>
      </c>
      <c r="B928" s="90"/>
      <c r="C928" s="91"/>
      <c r="D928" s="91"/>
      <c r="E928" s="80"/>
      <c r="F928" s="92"/>
      <c r="G928" s="79"/>
      <c r="H928" s="82"/>
      <c r="I928" s="93" t="str">
        <f aca="false">IF(B928="","",IFERROR(INDEX('CARNET DE SOUDURE'!$B$7:$B$1506,MATCH(B928,'CARNET DE SOUDURE'!$K$7:$K$1506,0)),IFERROR(INDEX('CARNET DE SOUDURE'!$B$7:$B$1506,MATCH(B928,'CARNET DE SOUDURE'!$M$7:$M$1506,0)),"")))</f>
        <v/>
      </c>
      <c r="J928" s="78" t="str">
        <f aca="false">IF(B928="","",IFERROR(INDEX('CARNET DE SOUDURE'!$E$7:$E$1506,MATCH(B928,'CARNET DE SOUDURE'!$M$7:$M$1506,0)),""))</f>
        <v/>
      </c>
      <c r="K928" s="78" t="str">
        <f aca="false">IF(B928="","",IFERROR(INDEX('CARNET DE SOUDURE'!$E$7:$E$1506,MATCH(B928,'CARNET DE SOUDURE'!$K$7:$K$1506,0)),""))</f>
        <v/>
      </c>
      <c r="L928" s="78" t="str">
        <f aca="false">IF(B928="","",IFERROR(INDEX('CARNET DE SOUDURE'!$D$7:$D$1506,MATCH(B928,'CARNET DE SOUDURE'!$K$7:$K$1506,0)),IFERROR(INDEX('CARNET DE SOUDURE'!$D$7:$D$1506,MATCH(B928,'CARNET DE SOUDURE'!$M$7:$M$1506,0)),"")))</f>
        <v/>
      </c>
      <c r="M928" s="81" t="str">
        <f aca="false">IF(B928="","",IF(OR(J928&lt;&gt;"",K928&lt;&gt;""),"POSÉ EN LIGNE",IF(H928&lt;&gt;"","BARDÉ","EN STOCK")))</f>
        <v/>
      </c>
      <c r="N928" s="79"/>
    </row>
    <row r="929" customFormat="false" ht="15" hidden="false" customHeight="false" outlineLevel="0" collapsed="false">
      <c r="A929" s="78" t="str">
        <f aca="false">IF(B929="","",ROW()-6)</f>
        <v/>
      </c>
      <c r="B929" s="90"/>
      <c r="C929" s="91"/>
      <c r="D929" s="91"/>
      <c r="E929" s="80"/>
      <c r="F929" s="92"/>
      <c r="G929" s="79"/>
      <c r="H929" s="82"/>
      <c r="I929" s="93" t="str">
        <f aca="false">IF(B929="","",IFERROR(INDEX('CARNET DE SOUDURE'!$B$7:$B$1506,MATCH(B929,'CARNET DE SOUDURE'!$K$7:$K$1506,0)),IFERROR(INDEX('CARNET DE SOUDURE'!$B$7:$B$1506,MATCH(B929,'CARNET DE SOUDURE'!$M$7:$M$1506,0)),"")))</f>
        <v/>
      </c>
      <c r="J929" s="78" t="str">
        <f aca="false">IF(B929="","",IFERROR(INDEX('CARNET DE SOUDURE'!$E$7:$E$1506,MATCH(B929,'CARNET DE SOUDURE'!$M$7:$M$1506,0)),""))</f>
        <v/>
      </c>
      <c r="K929" s="78" t="str">
        <f aca="false">IF(B929="","",IFERROR(INDEX('CARNET DE SOUDURE'!$E$7:$E$1506,MATCH(B929,'CARNET DE SOUDURE'!$K$7:$K$1506,0)),""))</f>
        <v/>
      </c>
      <c r="L929" s="78" t="str">
        <f aca="false">IF(B929="","",IFERROR(INDEX('CARNET DE SOUDURE'!$D$7:$D$1506,MATCH(B929,'CARNET DE SOUDURE'!$K$7:$K$1506,0)),IFERROR(INDEX('CARNET DE SOUDURE'!$D$7:$D$1506,MATCH(B929,'CARNET DE SOUDURE'!$M$7:$M$1506,0)),"")))</f>
        <v/>
      </c>
      <c r="M929" s="81" t="str">
        <f aca="false">IF(B929="","",IF(OR(J929&lt;&gt;"",K929&lt;&gt;""),"POSÉ EN LIGNE",IF(H929&lt;&gt;"","BARDÉ","EN STOCK")))</f>
        <v/>
      </c>
      <c r="N929" s="79"/>
    </row>
    <row r="930" customFormat="false" ht="15" hidden="false" customHeight="false" outlineLevel="0" collapsed="false">
      <c r="A930" s="78" t="str">
        <f aca="false">IF(B930="","",ROW()-6)</f>
        <v/>
      </c>
      <c r="B930" s="90"/>
      <c r="C930" s="91"/>
      <c r="D930" s="91"/>
      <c r="E930" s="80"/>
      <c r="F930" s="92"/>
      <c r="G930" s="79"/>
      <c r="H930" s="82"/>
      <c r="I930" s="93" t="str">
        <f aca="false">IF(B930="","",IFERROR(INDEX('CARNET DE SOUDURE'!$B$7:$B$1506,MATCH(B930,'CARNET DE SOUDURE'!$K$7:$K$1506,0)),IFERROR(INDEX('CARNET DE SOUDURE'!$B$7:$B$1506,MATCH(B930,'CARNET DE SOUDURE'!$M$7:$M$1506,0)),"")))</f>
        <v/>
      </c>
      <c r="J930" s="78" t="str">
        <f aca="false">IF(B930="","",IFERROR(INDEX('CARNET DE SOUDURE'!$E$7:$E$1506,MATCH(B930,'CARNET DE SOUDURE'!$M$7:$M$1506,0)),""))</f>
        <v/>
      </c>
      <c r="K930" s="78" t="str">
        <f aca="false">IF(B930="","",IFERROR(INDEX('CARNET DE SOUDURE'!$E$7:$E$1506,MATCH(B930,'CARNET DE SOUDURE'!$K$7:$K$1506,0)),""))</f>
        <v/>
      </c>
      <c r="L930" s="78" t="str">
        <f aca="false">IF(B930="","",IFERROR(INDEX('CARNET DE SOUDURE'!$D$7:$D$1506,MATCH(B930,'CARNET DE SOUDURE'!$K$7:$K$1506,0)),IFERROR(INDEX('CARNET DE SOUDURE'!$D$7:$D$1506,MATCH(B930,'CARNET DE SOUDURE'!$M$7:$M$1506,0)),"")))</f>
        <v/>
      </c>
      <c r="M930" s="81" t="str">
        <f aca="false">IF(B930="","",IF(OR(J930&lt;&gt;"",K930&lt;&gt;""),"POSÉ EN LIGNE",IF(H930&lt;&gt;"","BARDÉ","EN STOCK")))</f>
        <v/>
      </c>
      <c r="N930" s="79"/>
    </row>
    <row r="931" customFormat="false" ht="15" hidden="false" customHeight="false" outlineLevel="0" collapsed="false">
      <c r="A931" s="78" t="str">
        <f aca="false">IF(B931="","",ROW()-6)</f>
        <v/>
      </c>
      <c r="B931" s="90"/>
      <c r="C931" s="91"/>
      <c r="D931" s="91"/>
      <c r="E931" s="80"/>
      <c r="F931" s="92"/>
      <c r="G931" s="79"/>
      <c r="H931" s="82"/>
      <c r="I931" s="93" t="str">
        <f aca="false">IF(B931="","",IFERROR(INDEX('CARNET DE SOUDURE'!$B$7:$B$1506,MATCH(B931,'CARNET DE SOUDURE'!$K$7:$K$1506,0)),IFERROR(INDEX('CARNET DE SOUDURE'!$B$7:$B$1506,MATCH(B931,'CARNET DE SOUDURE'!$M$7:$M$1506,0)),"")))</f>
        <v/>
      </c>
      <c r="J931" s="78" t="str">
        <f aca="false">IF(B931="","",IFERROR(INDEX('CARNET DE SOUDURE'!$E$7:$E$1506,MATCH(B931,'CARNET DE SOUDURE'!$M$7:$M$1506,0)),""))</f>
        <v/>
      </c>
      <c r="K931" s="78" t="str">
        <f aca="false">IF(B931="","",IFERROR(INDEX('CARNET DE SOUDURE'!$E$7:$E$1506,MATCH(B931,'CARNET DE SOUDURE'!$K$7:$K$1506,0)),""))</f>
        <v/>
      </c>
      <c r="L931" s="78" t="str">
        <f aca="false">IF(B931="","",IFERROR(INDEX('CARNET DE SOUDURE'!$D$7:$D$1506,MATCH(B931,'CARNET DE SOUDURE'!$K$7:$K$1506,0)),IFERROR(INDEX('CARNET DE SOUDURE'!$D$7:$D$1506,MATCH(B931,'CARNET DE SOUDURE'!$M$7:$M$1506,0)),"")))</f>
        <v/>
      </c>
      <c r="M931" s="81" t="str">
        <f aca="false">IF(B931="","",IF(OR(J931&lt;&gt;"",K931&lt;&gt;""),"POSÉ EN LIGNE",IF(H931&lt;&gt;"","BARDÉ","EN STOCK")))</f>
        <v/>
      </c>
      <c r="N931" s="79"/>
    </row>
    <row r="932" customFormat="false" ht="15" hidden="false" customHeight="false" outlineLevel="0" collapsed="false">
      <c r="A932" s="78" t="str">
        <f aca="false">IF(B932="","",ROW()-6)</f>
        <v/>
      </c>
      <c r="B932" s="90"/>
      <c r="C932" s="91"/>
      <c r="D932" s="91"/>
      <c r="E932" s="80"/>
      <c r="F932" s="92"/>
      <c r="G932" s="79"/>
      <c r="H932" s="82"/>
      <c r="I932" s="93" t="str">
        <f aca="false">IF(B932="","",IFERROR(INDEX('CARNET DE SOUDURE'!$B$7:$B$1506,MATCH(B932,'CARNET DE SOUDURE'!$K$7:$K$1506,0)),IFERROR(INDEX('CARNET DE SOUDURE'!$B$7:$B$1506,MATCH(B932,'CARNET DE SOUDURE'!$M$7:$M$1506,0)),"")))</f>
        <v/>
      </c>
      <c r="J932" s="78" t="str">
        <f aca="false">IF(B932="","",IFERROR(INDEX('CARNET DE SOUDURE'!$E$7:$E$1506,MATCH(B932,'CARNET DE SOUDURE'!$M$7:$M$1506,0)),""))</f>
        <v/>
      </c>
      <c r="K932" s="78" t="str">
        <f aca="false">IF(B932="","",IFERROR(INDEX('CARNET DE SOUDURE'!$E$7:$E$1506,MATCH(B932,'CARNET DE SOUDURE'!$K$7:$K$1506,0)),""))</f>
        <v/>
      </c>
      <c r="L932" s="78" t="str">
        <f aca="false">IF(B932="","",IFERROR(INDEX('CARNET DE SOUDURE'!$D$7:$D$1506,MATCH(B932,'CARNET DE SOUDURE'!$K$7:$K$1506,0)),IFERROR(INDEX('CARNET DE SOUDURE'!$D$7:$D$1506,MATCH(B932,'CARNET DE SOUDURE'!$M$7:$M$1506,0)),"")))</f>
        <v/>
      </c>
      <c r="M932" s="81" t="str">
        <f aca="false">IF(B932="","",IF(OR(J932&lt;&gt;"",K932&lt;&gt;""),"POSÉ EN LIGNE",IF(H932&lt;&gt;"","BARDÉ","EN STOCK")))</f>
        <v/>
      </c>
      <c r="N932" s="79"/>
    </row>
    <row r="933" customFormat="false" ht="15" hidden="false" customHeight="false" outlineLevel="0" collapsed="false">
      <c r="A933" s="78" t="str">
        <f aca="false">IF(B933="","",ROW()-6)</f>
        <v/>
      </c>
      <c r="B933" s="90"/>
      <c r="C933" s="91"/>
      <c r="D933" s="91"/>
      <c r="E933" s="80"/>
      <c r="F933" s="92"/>
      <c r="G933" s="79"/>
      <c r="H933" s="82"/>
      <c r="I933" s="93" t="str">
        <f aca="false">IF(B933="","",IFERROR(INDEX('CARNET DE SOUDURE'!$B$7:$B$1506,MATCH(B933,'CARNET DE SOUDURE'!$K$7:$K$1506,0)),IFERROR(INDEX('CARNET DE SOUDURE'!$B$7:$B$1506,MATCH(B933,'CARNET DE SOUDURE'!$M$7:$M$1506,0)),"")))</f>
        <v/>
      </c>
      <c r="J933" s="78" t="str">
        <f aca="false">IF(B933="","",IFERROR(INDEX('CARNET DE SOUDURE'!$E$7:$E$1506,MATCH(B933,'CARNET DE SOUDURE'!$M$7:$M$1506,0)),""))</f>
        <v/>
      </c>
      <c r="K933" s="78" t="str">
        <f aca="false">IF(B933="","",IFERROR(INDEX('CARNET DE SOUDURE'!$E$7:$E$1506,MATCH(B933,'CARNET DE SOUDURE'!$K$7:$K$1506,0)),""))</f>
        <v/>
      </c>
      <c r="L933" s="78" t="str">
        <f aca="false">IF(B933="","",IFERROR(INDEX('CARNET DE SOUDURE'!$D$7:$D$1506,MATCH(B933,'CARNET DE SOUDURE'!$K$7:$K$1506,0)),IFERROR(INDEX('CARNET DE SOUDURE'!$D$7:$D$1506,MATCH(B933,'CARNET DE SOUDURE'!$M$7:$M$1506,0)),"")))</f>
        <v/>
      </c>
      <c r="M933" s="81" t="str">
        <f aca="false">IF(B933="","",IF(OR(J933&lt;&gt;"",K933&lt;&gt;""),"POSÉ EN LIGNE",IF(H933&lt;&gt;"","BARDÉ","EN STOCK")))</f>
        <v/>
      </c>
      <c r="N933" s="79"/>
    </row>
    <row r="934" customFormat="false" ht="15" hidden="false" customHeight="false" outlineLevel="0" collapsed="false">
      <c r="A934" s="78" t="str">
        <f aca="false">IF(B934="","",ROW()-6)</f>
        <v/>
      </c>
      <c r="B934" s="90"/>
      <c r="C934" s="91"/>
      <c r="D934" s="91"/>
      <c r="E934" s="80"/>
      <c r="F934" s="92"/>
      <c r="G934" s="79"/>
      <c r="H934" s="82"/>
      <c r="I934" s="93" t="str">
        <f aca="false">IF(B934="","",IFERROR(INDEX('CARNET DE SOUDURE'!$B$7:$B$1506,MATCH(B934,'CARNET DE SOUDURE'!$K$7:$K$1506,0)),IFERROR(INDEX('CARNET DE SOUDURE'!$B$7:$B$1506,MATCH(B934,'CARNET DE SOUDURE'!$M$7:$M$1506,0)),"")))</f>
        <v/>
      </c>
      <c r="J934" s="78" t="str">
        <f aca="false">IF(B934="","",IFERROR(INDEX('CARNET DE SOUDURE'!$E$7:$E$1506,MATCH(B934,'CARNET DE SOUDURE'!$M$7:$M$1506,0)),""))</f>
        <v/>
      </c>
      <c r="K934" s="78" t="str">
        <f aca="false">IF(B934="","",IFERROR(INDEX('CARNET DE SOUDURE'!$E$7:$E$1506,MATCH(B934,'CARNET DE SOUDURE'!$K$7:$K$1506,0)),""))</f>
        <v/>
      </c>
      <c r="L934" s="78" t="str">
        <f aca="false">IF(B934="","",IFERROR(INDEX('CARNET DE SOUDURE'!$D$7:$D$1506,MATCH(B934,'CARNET DE SOUDURE'!$K$7:$K$1506,0)),IFERROR(INDEX('CARNET DE SOUDURE'!$D$7:$D$1506,MATCH(B934,'CARNET DE SOUDURE'!$M$7:$M$1506,0)),"")))</f>
        <v/>
      </c>
      <c r="M934" s="81" t="str">
        <f aca="false">IF(B934="","",IF(OR(J934&lt;&gt;"",K934&lt;&gt;""),"POSÉ EN LIGNE",IF(H934&lt;&gt;"","BARDÉ","EN STOCK")))</f>
        <v/>
      </c>
      <c r="N934" s="79"/>
    </row>
    <row r="935" customFormat="false" ht="15" hidden="false" customHeight="false" outlineLevel="0" collapsed="false">
      <c r="A935" s="78" t="str">
        <f aca="false">IF(B935="","",ROW()-6)</f>
        <v/>
      </c>
      <c r="B935" s="90"/>
      <c r="C935" s="91"/>
      <c r="D935" s="91"/>
      <c r="E935" s="80"/>
      <c r="F935" s="92"/>
      <c r="G935" s="79"/>
      <c r="H935" s="82"/>
      <c r="I935" s="93" t="str">
        <f aca="false">IF(B935="","",IFERROR(INDEX('CARNET DE SOUDURE'!$B$7:$B$1506,MATCH(B935,'CARNET DE SOUDURE'!$K$7:$K$1506,0)),IFERROR(INDEX('CARNET DE SOUDURE'!$B$7:$B$1506,MATCH(B935,'CARNET DE SOUDURE'!$M$7:$M$1506,0)),"")))</f>
        <v/>
      </c>
      <c r="J935" s="78" t="str">
        <f aca="false">IF(B935="","",IFERROR(INDEX('CARNET DE SOUDURE'!$E$7:$E$1506,MATCH(B935,'CARNET DE SOUDURE'!$M$7:$M$1506,0)),""))</f>
        <v/>
      </c>
      <c r="K935" s="78" t="str">
        <f aca="false">IF(B935="","",IFERROR(INDEX('CARNET DE SOUDURE'!$E$7:$E$1506,MATCH(B935,'CARNET DE SOUDURE'!$K$7:$K$1506,0)),""))</f>
        <v/>
      </c>
      <c r="L935" s="78" t="str">
        <f aca="false">IF(B935="","",IFERROR(INDEX('CARNET DE SOUDURE'!$D$7:$D$1506,MATCH(B935,'CARNET DE SOUDURE'!$K$7:$K$1506,0)),IFERROR(INDEX('CARNET DE SOUDURE'!$D$7:$D$1506,MATCH(B935,'CARNET DE SOUDURE'!$M$7:$M$1506,0)),"")))</f>
        <v/>
      </c>
      <c r="M935" s="81" t="str">
        <f aca="false">IF(B935="","",IF(OR(J935&lt;&gt;"",K935&lt;&gt;""),"POSÉ EN LIGNE",IF(H935&lt;&gt;"","BARDÉ","EN STOCK")))</f>
        <v/>
      </c>
      <c r="N935" s="79"/>
    </row>
    <row r="936" customFormat="false" ht="15" hidden="false" customHeight="false" outlineLevel="0" collapsed="false">
      <c r="A936" s="78" t="str">
        <f aca="false">IF(B936="","",ROW()-6)</f>
        <v/>
      </c>
      <c r="B936" s="90"/>
      <c r="C936" s="91"/>
      <c r="D936" s="91"/>
      <c r="E936" s="80"/>
      <c r="F936" s="92"/>
      <c r="G936" s="79"/>
      <c r="H936" s="82"/>
      <c r="I936" s="93" t="str">
        <f aca="false">IF(B936="","",IFERROR(INDEX('CARNET DE SOUDURE'!$B$7:$B$1506,MATCH(B936,'CARNET DE SOUDURE'!$K$7:$K$1506,0)),IFERROR(INDEX('CARNET DE SOUDURE'!$B$7:$B$1506,MATCH(B936,'CARNET DE SOUDURE'!$M$7:$M$1506,0)),"")))</f>
        <v/>
      </c>
      <c r="J936" s="78" t="str">
        <f aca="false">IF(B936="","",IFERROR(INDEX('CARNET DE SOUDURE'!$E$7:$E$1506,MATCH(B936,'CARNET DE SOUDURE'!$M$7:$M$1506,0)),""))</f>
        <v/>
      </c>
      <c r="K936" s="78" t="str">
        <f aca="false">IF(B936="","",IFERROR(INDEX('CARNET DE SOUDURE'!$E$7:$E$1506,MATCH(B936,'CARNET DE SOUDURE'!$K$7:$K$1506,0)),""))</f>
        <v/>
      </c>
      <c r="L936" s="78" t="str">
        <f aca="false">IF(B936="","",IFERROR(INDEX('CARNET DE SOUDURE'!$D$7:$D$1506,MATCH(B936,'CARNET DE SOUDURE'!$K$7:$K$1506,0)),IFERROR(INDEX('CARNET DE SOUDURE'!$D$7:$D$1506,MATCH(B936,'CARNET DE SOUDURE'!$M$7:$M$1506,0)),"")))</f>
        <v/>
      </c>
      <c r="M936" s="81" t="str">
        <f aca="false">IF(B936="","",IF(OR(J936&lt;&gt;"",K936&lt;&gt;""),"POSÉ EN LIGNE",IF(H936&lt;&gt;"","BARDÉ","EN STOCK")))</f>
        <v/>
      </c>
      <c r="N936" s="79"/>
    </row>
    <row r="937" customFormat="false" ht="15" hidden="false" customHeight="false" outlineLevel="0" collapsed="false">
      <c r="A937" s="78" t="str">
        <f aca="false">IF(B937="","",ROW()-6)</f>
        <v/>
      </c>
      <c r="B937" s="90"/>
      <c r="C937" s="91"/>
      <c r="D937" s="91"/>
      <c r="E937" s="80"/>
      <c r="F937" s="92"/>
      <c r="G937" s="79"/>
      <c r="H937" s="82"/>
      <c r="I937" s="93" t="str">
        <f aca="false">IF(B937="","",IFERROR(INDEX('CARNET DE SOUDURE'!$B$7:$B$1506,MATCH(B937,'CARNET DE SOUDURE'!$K$7:$K$1506,0)),IFERROR(INDEX('CARNET DE SOUDURE'!$B$7:$B$1506,MATCH(B937,'CARNET DE SOUDURE'!$M$7:$M$1506,0)),"")))</f>
        <v/>
      </c>
      <c r="J937" s="78" t="str">
        <f aca="false">IF(B937="","",IFERROR(INDEX('CARNET DE SOUDURE'!$E$7:$E$1506,MATCH(B937,'CARNET DE SOUDURE'!$M$7:$M$1506,0)),""))</f>
        <v/>
      </c>
      <c r="K937" s="78" t="str">
        <f aca="false">IF(B937="","",IFERROR(INDEX('CARNET DE SOUDURE'!$E$7:$E$1506,MATCH(B937,'CARNET DE SOUDURE'!$K$7:$K$1506,0)),""))</f>
        <v/>
      </c>
      <c r="L937" s="78" t="str">
        <f aca="false">IF(B937="","",IFERROR(INDEX('CARNET DE SOUDURE'!$D$7:$D$1506,MATCH(B937,'CARNET DE SOUDURE'!$K$7:$K$1506,0)),IFERROR(INDEX('CARNET DE SOUDURE'!$D$7:$D$1506,MATCH(B937,'CARNET DE SOUDURE'!$M$7:$M$1506,0)),"")))</f>
        <v/>
      </c>
      <c r="M937" s="81" t="str">
        <f aca="false">IF(B937="","",IF(OR(J937&lt;&gt;"",K937&lt;&gt;""),"POSÉ EN LIGNE",IF(H937&lt;&gt;"","BARDÉ","EN STOCK")))</f>
        <v/>
      </c>
      <c r="N937" s="79"/>
    </row>
    <row r="938" customFormat="false" ht="15" hidden="false" customHeight="false" outlineLevel="0" collapsed="false">
      <c r="A938" s="78" t="str">
        <f aca="false">IF(B938="","",ROW()-6)</f>
        <v/>
      </c>
      <c r="B938" s="90"/>
      <c r="C938" s="91"/>
      <c r="D938" s="91"/>
      <c r="E938" s="80"/>
      <c r="F938" s="92"/>
      <c r="G938" s="79"/>
      <c r="H938" s="82"/>
      <c r="I938" s="93" t="str">
        <f aca="false">IF(B938="","",IFERROR(INDEX('CARNET DE SOUDURE'!$B$7:$B$1506,MATCH(B938,'CARNET DE SOUDURE'!$K$7:$K$1506,0)),IFERROR(INDEX('CARNET DE SOUDURE'!$B$7:$B$1506,MATCH(B938,'CARNET DE SOUDURE'!$M$7:$M$1506,0)),"")))</f>
        <v/>
      </c>
      <c r="J938" s="78" t="str">
        <f aca="false">IF(B938="","",IFERROR(INDEX('CARNET DE SOUDURE'!$E$7:$E$1506,MATCH(B938,'CARNET DE SOUDURE'!$M$7:$M$1506,0)),""))</f>
        <v/>
      </c>
      <c r="K938" s="78" t="str">
        <f aca="false">IF(B938="","",IFERROR(INDEX('CARNET DE SOUDURE'!$E$7:$E$1506,MATCH(B938,'CARNET DE SOUDURE'!$K$7:$K$1506,0)),""))</f>
        <v/>
      </c>
      <c r="L938" s="78" t="str">
        <f aca="false">IF(B938="","",IFERROR(INDEX('CARNET DE SOUDURE'!$D$7:$D$1506,MATCH(B938,'CARNET DE SOUDURE'!$K$7:$K$1506,0)),IFERROR(INDEX('CARNET DE SOUDURE'!$D$7:$D$1506,MATCH(B938,'CARNET DE SOUDURE'!$M$7:$M$1506,0)),"")))</f>
        <v/>
      </c>
      <c r="M938" s="81" t="str">
        <f aca="false">IF(B938="","",IF(OR(J938&lt;&gt;"",K938&lt;&gt;""),"POSÉ EN LIGNE",IF(H938&lt;&gt;"","BARDÉ","EN STOCK")))</f>
        <v/>
      </c>
      <c r="N938" s="79"/>
    </row>
    <row r="939" customFormat="false" ht="15" hidden="false" customHeight="false" outlineLevel="0" collapsed="false">
      <c r="A939" s="78" t="str">
        <f aca="false">IF(B939="","",ROW()-6)</f>
        <v/>
      </c>
      <c r="B939" s="90"/>
      <c r="C939" s="91"/>
      <c r="D939" s="91"/>
      <c r="E939" s="80"/>
      <c r="F939" s="92"/>
      <c r="G939" s="79"/>
      <c r="H939" s="82"/>
      <c r="I939" s="93" t="str">
        <f aca="false">IF(B939="","",IFERROR(INDEX('CARNET DE SOUDURE'!$B$7:$B$1506,MATCH(B939,'CARNET DE SOUDURE'!$K$7:$K$1506,0)),IFERROR(INDEX('CARNET DE SOUDURE'!$B$7:$B$1506,MATCH(B939,'CARNET DE SOUDURE'!$M$7:$M$1506,0)),"")))</f>
        <v/>
      </c>
      <c r="J939" s="78" t="str">
        <f aca="false">IF(B939="","",IFERROR(INDEX('CARNET DE SOUDURE'!$E$7:$E$1506,MATCH(B939,'CARNET DE SOUDURE'!$M$7:$M$1506,0)),""))</f>
        <v/>
      </c>
      <c r="K939" s="78" t="str">
        <f aca="false">IF(B939="","",IFERROR(INDEX('CARNET DE SOUDURE'!$E$7:$E$1506,MATCH(B939,'CARNET DE SOUDURE'!$K$7:$K$1506,0)),""))</f>
        <v/>
      </c>
      <c r="L939" s="78" t="str">
        <f aca="false">IF(B939="","",IFERROR(INDEX('CARNET DE SOUDURE'!$D$7:$D$1506,MATCH(B939,'CARNET DE SOUDURE'!$K$7:$K$1506,0)),IFERROR(INDEX('CARNET DE SOUDURE'!$D$7:$D$1506,MATCH(B939,'CARNET DE SOUDURE'!$M$7:$M$1506,0)),"")))</f>
        <v/>
      </c>
      <c r="M939" s="81" t="str">
        <f aca="false">IF(B939="","",IF(OR(J939&lt;&gt;"",K939&lt;&gt;""),"POSÉ EN LIGNE",IF(H939&lt;&gt;"","BARDÉ","EN STOCK")))</f>
        <v/>
      </c>
      <c r="N939" s="79"/>
    </row>
    <row r="940" customFormat="false" ht="15" hidden="false" customHeight="false" outlineLevel="0" collapsed="false">
      <c r="A940" s="78" t="str">
        <f aca="false">IF(B940="","",ROW()-6)</f>
        <v/>
      </c>
      <c r="B940" s="90"/>
      <c r="C940" s="91"/>
      <c r="D940" s="91"/>
      <c r="E940" s="80"/>
      <c r="F940" s="92"/>
      <c r="G940" s="79"/>
      <c r="H940" s="82"/>
      <c r="I940" s="93" t="str">
        <f aca="false">IF(B940="","",IFERROR(INDEX('CARNET DE SOUDURE'!$B$7:$B$1506,MATCH(B940,'CARNET DE SOUDURE'!$K$7:$K$1506,0)),IFERROR(INDEX('CARNET DE SOUDURE'!$B$7:$B$1506,MATCH(B940,'CARNET DE SOUDURE'!$M$7:$M$1506,0)),"")))</f>
        <v/>
      </c>
      <c r="J940" s="78" t="str">
        <f aca="false">IF(B940="","",IFERROR(INDEX('CARNET DE SOUDURE'!$E$7:$E$1506,MATCH(B940,'CARNET DE SOUDURE'!$M$7:$M$1506,0)),""))</f>
        <v/>
      </c>
      <c r="K940" s="78" t="str">
        <f aca="false">IF(B940="","",IFERROR(INDEX('CARNET DE SOUDURE'!$E$7:$E$1506,MATCH(B940,'CARNET DE SOUDURE'!$K$7:$K$1506,0)),""))</f>
        <v/>
      </c>
      <c r="L940" s="78" t="str">
        <f aca="false">IF(B940="","",IFERROR(INDEX('CARNET DE SOUDURE'!$D$7:$D$1506,MATCH(B940,'CARNET DE SOUDURE'!$K$7:$K$1506,0)),IFERROR(INDEX('CARNET DE SOUDURE'!$D$7:$D$1506,MATCH(B940,'CARNET DE SOUDURE'!$M$7:$M$1506,0)),"")))</f>
        <v/>
      </c>
      <c r="M940" s="81" t="str">
        <f aca="false">IF(B940="","",IF(OR(J940&lt;&gt;"",K940&lt;&gt;""),"POSÉ EN LIGNE",IF(H940&lt;&gt;"","BARDÉ","EN STOCK")))</f>
        <v/>
      </c>
      <c r="N940" s="79"/>
    </row>
    <row r="941" customFormat="false" ht="15" hidden="false" customHeight="false" outlineLevel="0" collapsed="false">
      <c r="A941" s="78" t="str">
        <f aca="false">IF(B941="","",ROW()-6)</f>
        <v/>
      </c>
      <c r="B941" s="90"/>
      <c r="C941" s="91"/>
      <c r="D941" s="91"/>
      <c r="E941" s="80"/>
      <c r="F941" s="92"/>
      <c r="G941" s="79"/>
      <c r="H941" s="82"/>
      <c r="I941" s="93" t="str">
        <f aca="false">IF(B941="","",IFERROR(INDEX('CARNET DE SOUDURE'!$B$7:$B$1506,MATCH(B941,'CARNET DE SOUDURE'!$K$7:$K$1506,0)),IFERROR(INDEX('CARNET DE SOUDURE'!$B$7:$B$1506,MATCH(B941,'CARNET DE SOUDURE'!$M$7:$M$1506,0)),"")))</f>
        <v/>
      </c>
      <c r="J941" s="78" t="str">
        <f aca="false">IF(B941="","",IFERROR(INDEX('CARNET DE SOUDURE'!$E$7:$E$1506,MATCH(B941,'CARNET DE SOUDURE'!$M$7:$M$1506,0)),""))</f>
        <v/>
      </c>
      <c r="K941" s="78" t="str">
        <f aca="false">IF(B941="","",IFERROR(INDEX('CARNET DE SOUDURE'!$E$7:$E$1506,MATCH(B941,'CARNET DE SOUDURE'!$K$7:$K$1506,0)),""))</f>
        <v/>
      </c>
      <c r="L941" s="78" t="str">
        <f aca="false">IF(B941="","",IFERROR(INDEX('CARNET DE SOUDURE'!$D$7:$D$1506,MATCH(B941,'CARNET DE SOUDURE'!$K$7:$K$1506,0)),IFERROR(INDEX('CARNET DE SOUDURE'!$D$7:$D$1506,MATCH(B941,'CARNET DE SOUDURE'!$M$7:$M$1506,0)),"")))</f>
        <v/>
      </c>
      <c r="M941" s="81" t="str">
        <f aca="false">IF(B941="","",IF(OR(J941&lt;&gt;"",K941&lt;&gt;""),"POSÉ EN LIGNE",IF(H941&lt;&gt;"","BARDÉ","EN STOCK")))</f>
        <v/>
      </c>
      <c r="N941" s="79"/>
    </row>
    <row r="942" customFormat="false" ht="15" hidden="false" customHeight="false" outlineLevel="0" collapsed="false">
      <c r="A942" s="78" t="str">
        <f aca="false">IF(B942="","",ROW()-6)</f>
        <v/>
      </c>
      <c r="B942" s="90"/>
      <c r="C942" s="91"/>
      <c r="D942" s="91"/>
      <c r="E942" s="80"/>
      <c r="F942" s="92"/>
      <c r="G942" s="79"/>
      <c r="H942" s="82"/>
      <c r="I942" s="93" t="str">
        <f aca="false">IF(B942="","",IFERROR(INDEX('CARNET DE SOUDURE'!$B$7:$B$1506,MATCH(B942,'CARNET DE SOUDURE'!$K$7:$K$1506,0)),IFERROR(INDEX('CARNET DE SOUDURE'!$B$7:$B$1506,MATCH(B942,'CARNET DE SOUDURE'!$M$7:$M$1506,0)),"")))</f>
        <v/>
      </c>
      <c r="J942" s="78" t="str">
        <f aca="false">IF(B942="","",IFERROR(INDEX('CARNET DE SOUDURE'!$E$7:$E$1506,MATCH(B942,'CARNET DE SOUDURE'!$M$7:$M$1506,0)),""))</f>
        <v/>
      </c>
      <c r="K942" s="78" t="str">
        <f aca="false">IF(B942="","",IFERROR(INDEX('CARNET DE SOUDURE'!$E$7:$E$1506,MATCH(B942,'CARNET DE SOUDURE'!$K$7:$K$1506,0)),""))</f>
        <v/>
      </c>
      <c r="L942" s="78" t="str">
        <f aca="false">IF(B942="","",IFERROR(INDEX('CARNET DE SOUDURE'!$D$7:$D$1506,MATCH(B942,'CARNET DE SOUDURE'!$K$7:$K$1506,0)),IFERROR(INDEX('CARNET DE SOUDURE'!$D$7:$D$1506,MATCH(B942,'CARNET DE SOUDURE'!$M$7:$M$1506,0)),"")))</f>
        <v/>
      </c>
      <c r="M942" s="81" t="str">
        <f aca="false">IF(B942="","",IF(OR(J942&lt;&gt;"",K942&lt;&gt;""),"POSÉ EN LIGNE",IF(H942&lt;&gt;"","BARDÉ","EN STOCK")))</f>
        <v/>
      </c>
      <c r="N942" s="79"/>
    </row>
    <row r="943" customFormat="false" ht="15" hidden="false" customHeight="false" outlineLevel="0" collapsed="false">
      <c r="A943" s="78" t="str">
        <f aca="false">IF(B943="","",ROW()-6)</f>
        <v/>
      </c>
      <c r="B943" s="90"/>
      <c r="C943" s="91"/>
      <c r="D943" s="91"/>
      <c r="E943" s="80"/>
      <c r="F943" s="92"/>
      <c r="G943" s="79"/>
      <c r="H943" s="82"/>
      <c r="I943" s="93" t="str">
        <f aca="false">IF(B943="","",IFERROR(INDEX('CARNET DE SOUDURE'!$B$7:$B$1506,MATCH(B943,'CARNET DE SOUDURE'!$K$7:$K$1506,0)),IFERROR(INDEX('CARNET DE SOUDURE'!$B$7:$B$1506,MATCH(B943,'CARNET DE SOUDURE'!$M$7:$M$1506,0)),"")))</f>
        <v/>
      </c>
      <c r="J943" s="78" t="str">
        <f aca="false">IF(B943="","",IFERROR(INDEX('CARNET DE SOUDURE'!$E$7:$E$1506,MATCH(B943,'CARNET DE SOUDURE'!$M$7:$M$1506,0)),""))</f>
        <v/>
      </c>
      <c r="K943" s="78" t="str">
        <f aca="false">IF(B943="","",IFERROR(INDEX('CARNET DE SOUDURE'!$E$7:$E$1506,MATCH(B943,'CARNET DE SOUDURE'!$K$7:$K$1506,0)),""))</f>
        <v/>
      </c>
      <c r="L943" s="78" t="str">
        <f aca="false">IF(B943="","",IFERROR(INDEX('CARNET DE SOUDURE'!$D$7:$D$1506,MATCH(B943,'CARNET DE SOUDURE'!$K$7:$K$1506,0)),IFERROR(INDEX('CARNET DE SOUDURE'!$D$7:$D$1506,MATCH(B943,'CARNET DE SOUDURE'!$M$7:$M$1506,0)),"")))</f>
        <v/>
      </c>
      <c r="M943" s="81" t="str">
        <f aca="false">IF(B943="","",IF(OR(J943&lt;&gt;"",K943&lt;&gt;""),"POSÉ EN LIGNE",IF(H943&lt;&gt;"","BARDÉ","EN STOCK")))</f>
        <v/>
      </c>
      <c r="N943" s="79"/>
    </row>
    <row r="944" customFormat="false" ht="15" hidden="false" customHeight="false" outlineLevel="0" collapsed="false">
      <c r="A944" s="78" t="str">
        <f aca="false">IF(B944="","",ROW()-6)</f>
        <v/>
      </c>
      <c r="B944" s="90"/>
      <c r="C944" s="91"/>
      <c r="D944" s="91"/>
      <c r="E944" s="80"/>
      <c r="F944" s="92"/>
      <c r="G944" s="79"/>
      <c r="H944" s="82"/>
      <c r="I944" s="93" t="str">
        <f aca="false">IF(B944="","",IFERROR(INDEX('CARNET DE SOUDURE'!$B$7:$B$1506,MATCH(B944,'CARNET DE SOUDURE'!$K$7:$K$1506,0)),IFERROR(INDEX('CARNET DE SOUDURE'!$B$7:$B$1506,MATCH(B944,'CARNET DE SOUDURE'!$M$7:$M$1506,0)),"")))</f>
        <v/>
      </c>
      <c r="J944" s="78" t="str">
        <f aca="false">IF(B944="","",IFERROR(INDEX('CARNET DE SOUDURE'!$E$7:$E$1506,MATCH(B944,'CARNET DE SOUDURE'!$M$7:$M$1506,0)),""))</f>
        <v/>
      </c>
      <c r="K944" s="78" t="str">
        <f aca="false">IF(B944="","",IFERROR(INDEX('CARNET DE SOUDURE'!$E$7:$E$1506,MATCH(B944,'CARNET DE SOUDURE'!$K$7:$K$1506,0)),""))</f>
        <v/>
      </c>
      <c r="L944" s="78" t="str">
        <f aca="false">IF(B944="","",IFERROR(INDEX('CARNET DE SOUDURE'!$D$7:$D$1506,MATCH(B944,'CARNET DE SOUDURE'!$K$7:$K$1506,0)),IFERROR(INDEX('CARNET DE SOUDURE'!$D$7:$D$1506,MATCH(B944,'CARNET DE SOUDURE'!$M$7:$M$1506,0)),"")))</f>
        <v/>
      </c>
      <c r="M944" s="81" t="str">
        <f aca="false">IF(B944="","",IF(OR(J944&lt;&gt;"",K944&lt;&gt;""),"POSÉ EN LIGNE",IF(H944&lt;&gt;"","BARDÉ","EN STOCK")))</f>
        <v/>
      </c>
      <c r="N944" s="79"/>
    </row>
    <row r="945" customFormat="false" ht="15" hidden="false" customHeight="false" outlineLevel="0" collapsed="false">
      <c r="A945" s="78" t="str">
        <f aca="false">IF(B945="","",ROW()-6)</f>
        <v/>
      </c>
      <c r="B945" s="90"/>
      <c r="C945" s="91"/>
      <c r="D945" s="91"/>
      <c r="E945" s="80"/>
      <c r="F945" s="92"/>
      <c r="G945" s="79"/>
      <c r="H945" s="82"/>
      <c r="I945" s="93" t="str">
        <f aca="false">IF(B945="","",IFERROR(INDEX('CARNET DE SOUDURE'!$B$7:$B$1506,MATCH(B945,'CARNET DE SOUDURE'!$K$7:$K$1506,0)),IFERROR(INDEX('CARNET DE SOUDURE'!$B$7:$B$1506,MATCH(B945,'CARNET DE SOUDURE'!$M$7:$M$1506,0)),"")))</f>
        <v/>
      </c>
      <c r="J945" s="78" t="str">
        <f aca="false">IF(B945="","",IFERROR(INDEX('CARNET DE SOUDURE'!$E$7:$E$1506,MATCH(B945,'CARNET DE SOUDURE'!$M$7:$M$1506,0)),""))</f>
        <v/>
      </c>
      <c r="K945" s="78" t="str">
        <f aca="false">IF(B945="","",IFERROR(INDEX('CARNET DE SOUDURE'!$E$7:$E$1506,MATCH(B945,'CARNET DE SOUDURE'!$K$7:$K$1506,0)),""))</f>
        <v/>
      </c>
      <c r="L945" s="78" t="str">
        <f aca="false">IF(B945="","",IFERROR(INDEX('CARNET DE SOUDURE'!$D$7:$D$1506,MATCH(B945,'CARNET DE SOUDURE'!$K$7:$K$1506,0)),IFERROR(INDEX('CARNET DE SOUDURE'!$D$7:$D$1506,MATCH(B945,'CARNET DE SOUDURE'!$M$7:$M$1506,0)),"")))</f>
        <v/>
      </c>
      <c r="M945" s="81" t="str">
        <f aca="false">IF(B945="","",IF(OR(J945&lt;&gt;"",K945&lt;&gt;""),"POSÉ EN LIGNE",IF(H945&lt;&gt;"","BARDÉ","EN STOCK")))</f>
        <v/>
      </c>
      <c r="N945" s="79"/>
    </row>
    <row r="946" customFormat="false" ht="15" hidden="false" customHeight="false" outlineLevel="0" collapsed="false">
      <c r="A946" s="78" t="str">
        <f aca="false">IF(B946="","",ROW()-6)</f>
        <v/>
      </c>
      <c r="B946" s="90"/>
      <c r="C946" s="91"/>
      <c r="D946" s="91"/>
      <c r="E946" s="80"/>
      <c r="F946" s="92"/>
      <c r="G946" s="79"/>
      <c r="H946" s="82"/>
      <c r="I946" s="93" t="str">
        <f aca="false">IF(B946="","",IFERROR(INDEX('CARNET DE SOUDURE'!$B$7:$B$1506,MATCH(B946,'CARNET DE SOUDURE'!$K$7:$K$1506,0)),IFERROR(INDEX('CARNET DE SOUDURE'!$B$7:$B$1506,MATCH(B946,'CARNET DE SOUDURE'!$M$7:$M$1506,0)),"")))</f>
        <v/>
      </c>
      <c r="J946" s="78" t="str">
        <f aca="false">IF(B946="","",IFERROR(INDEX('CARNET DE SOUDURE'!$E$7:$E$1506,MATCH(B946,'CARNET DE SOUDURE'!$M$7:$M$1506,0)),""))</f>
        <v/>
      </c>
      <c r="K946" s="78" t="str">
        <f aca="false">IF(B946="","",IFERROR(INDEX('CARNET DE SOUDURE'!$E$7:$E$1506,MATCH(B946,'CARNET DE SOUDURE'!$K$7:$K$1506,0)),""))</f>
        <v/>
      </c>
      <c r="L946" s="78" t="str">
        <f aca="false">IF(B946="","",IFERROR(INDEX('CARNET DE SOUDURE'!$D$7:$D$1506,MATCH(B946,'CARNET DE SOUDURE'!$K$7:$K$1506,0)),IFERROR(INDEX('CARNET DE SOUDURE'!$D$7:$D$1506,MATCH(B946,'CARNET DE SOUDURE'!$M$7:$M$1506,0)),"")))</f>
        <v/>
      </c>
      <c r="M946" s="81" t="str">
        <f aca="false">IF(B946="","",IF(OR(J946&lt;&gt;"",K946&lt;&gt;""),"POSÉ EN LIGNE",IF(H946&lt;&gt;"","BARDÉ","EN STOCK")))</f>
        <v/>
      </c>
      <c r="N946" s="79"/>
    </row>
    <row r="947" customFormat="false" ht="15" hidden="false" customHeight="false" outlineLevel="0" collapsed="false">
      <c r="A947" s="78" t="str">
        <f aca="false">IF(B947="","",ROW()-6)</f>
        <v/>
      </c>
      <c r="B947" s="90"/>
      <c r="C947" s="91"/>
      <c r="D947" s="91"/>
      <c r="E947" s="80"/>
      <c r="F947" s="92"/>
      <c r="G947" s="79"/>
      <c r="H947" s="82"/>
      <c r="I947" s="93" t="str">
        <f aca="false">IF(B947="","",IFERROR(INDEX('CARNET DE SOUDURE'!$B$7:$B$1506,MATCH(B947,'CARNET DE SOUDURE'!$K$7:$K$1506,0)),IFERROR(INDEX('CARNET DE SOUDURE'!$B$7:$B$1506,MATCH(B947,'CARNET DE SOUDURE'!$M$7:$M$1506,0)),"")))</f>
        <v/>
      </c>
      <c r="J947" s="78" t="str">
        <f aca="false">IF(B947="","",IFERROR(INDEX('CARNET DE SOUDURE'!$E$7:$E$1506,MATCH(B947,'CARNET DE SOUDURE'!$M$7:$M$1506,0)),""))</f>
        <v/>
      </c>
      <c r="K947" s="78" t="str">
        <f aca="false">IF(B947="","",IFERROR(INDEX('CARNET DE SOUDURE'!$E$7:$E$1506,MATCH(B947,'CARNET DE SOUDURE'!$K$7:$K$1506,0)),""))</f>
        <v/>
      </c>
      <c r="L947" s="78" t="str">
        <f aca="false">IF(B947="","",IFERROR(INDEX('CARNET DE SOUDURE'!$D$7:$D$1506,MATCH(B947,'CARNET DE SOUDURE'!$K$7:$K$1506,0)),IFERROR(INDEX('CARNET DE SOUDURE'!$D$7:$D$1506,MATCH(B947,'CARNET DE SOUDURE'!$M$7:$M$1506,0)),"")))</f>
        <v/>
      </c>
      <c r="M947" s="81" t="str">
        <f aca="false">IF(B947="","",IF(OR(J947&lt;&gt;"",K947&lt;&gt;""),"POSÉ EN LIGNE",IF(H947&lt;&gt;"","BARDÉ","EN STOCK")))</f>
        <v/>
      </c>
      <c r="N947" s="79"/>
    </row>
    <row r="948" customFormat="false" ht="15" hidden="false" customHeight="false" outlineLevel="0" collapsed="false">
      <c r="A948" s="78" t="str">
        <f aca="false">IF(B948="","",ROW()-6)</f>
        <v/>
      </c>
      <c r="B948" s="90"/>
      <c r="C948" s="91"/>
      <c r="D948" s="91"/>
      <c r="E948" s="80"/>
      <c r="F948" s="92"/>
      <c r="G948" s="79"/>
      <c r="H948" s="82"/>
      <c r="I948" s="93" t="str">
        <f aca="false">IF(B948="","",IFERROR(INDEX('CARNET DE SOUDURE'!$B$7:$B$1506,MATCH(B948,'CARNET DE SOUDURE'!$K$7:$K$1506,0)),IFERROR(INDEX('CARNET DE SOUDURE'!$B$7:$B$1506,MATCH(B948,'CARNET DE SOUDURE'!$M$7:$M$1506,0)),"")))</f>
        <v/>
      </c>
      <c r="J948" s="78" t="str">
        <f aca="false">IF(B948="","",IFERROR(INDEX('CARNET DE SOUDURE'!$E$7:$E$1506,MATCH(B948,'CARNET DE SOUDURE'!$M$7:$M$1506,0)),""))</f>
        <v/>
      </c>
      <c r="K948" s="78" t="str">
        <f aca="false">IF(B948="","",IFERROR(INDEX('CARNET DE SOUDURE'!$E$7:$E$1506,MATCH(B948,'CARNET DE SOUDURE'!$K$7:$K$1506,0)),""))</f>
        <v/>
      </c>
      <c r="L948" s="78" t="str">
        <f aca="false">IF(B948="","",IFERROR(INDEX('CARNET DE SOUDURE'!$D$7:$D$1506,MATCH(B948,'CARNET DE SOUDURE'!$K$7:$K$1506,0)),IFERROR(INDEX('CARNET DE SOUDURE'!$D$7:$D$1506,MATCH(B948,'CARNET DE SOUDURE'!$M$7:$M$1506,0)),"")))</f>
        <v/>
      </c>
      <c r="M948" s="81" t="str">
        <f aca="false">IF(B948="","",IF(OR(J948&lt;&gt;"",K948&lt;&gt;""),"POSÉ EN LIGNE",IF(H948&lt;&gt;"","BARDÉ","EN STOCK")))</f>
        <v/>
      </c>
      <c r="N948" s="79"/>
    </row>
    <row r="949" customFormat="false" ht="15" hidden="false" customHeight="false" outlineLevel="0" collapsed="false">
      <c r="A949" s="78" t="str">
        <f aca="false">IF(B949="","",ROW()-6)</f>
        <v/>
      </c>
      <c r="B949" s="90"/>
      <c r="C949" s="91"/>
      <c r="D949" s="91"/>
      <c r="E949" s="80"/>
      <c r="F949" s="92"/>
      <c r="G949" s="79"/>
      <c r="H949" s="82"/>
      <c r="I949" s="93" t="str">
        <f aca="false">IF(B949="","",IFERROR(INDEX('CARNET DE SOUDURE'!$B$7:$B$1506,MATCH(B949,'CARNET DE SOUDURE'!$K$7:$K$1506,0)),IFERROR(INDEX('CARNET DE SOUDURE'!$B$7:$B$1506,MATCH(B949,'CARNET DE SOUDURE'!$M$7:$M$1506,0)),"")))</f>
        <v/>
      </c>
      <c r="J949" s="78" t="str">
        <f aca="false">IF(B949="","",IFERROR(INDEX('CARNET DE SOUDURE'!$E$7:$E$1506,MATCH(B949,'CARNET DE SOUDURE'!$M$7:$M$1506,0)),""))</f>
        <v/>
      </c>
      <c r="K949" s="78" t="str">
        <f aca="false">IF(B949="","",IFERROR(INDEX('CARNET DE SOUDURE'!$E$7:$E$1506,MATCH(B949,'CARNET DE SOUDURE'!$K$7:$K$1506,0)),""))</f>
        <v/>
      </c>
      <c r="L949" s="78" t="str">
        <f aca="false">IF(B949="","",IFERROR(INDEX('CARNET DE SOUDURE'!$D$7:$D$1506,MATCH(B949,'CARNET DE SOUDURE'!$K$7:$K$1506,0)),IFERROR(INDEX('CARNET DE SOUDURE'!$D$7:$D$1506,MATCH(B949,'CARNET DE SOUDURE'!$M$7:$M$1506,0)),"")))</f>
        <v/>
      </c>
      <c r="M949" s="81" t="str">
        <f aca="false">IF(B949="","",IF(OR(J949&lt;&gt;"",K949&lt;&gt;""),"POSÉ EN LIGNE",IF(H949&lt;&gt;"","BARDÉ","EN STOCK")))</f>
        <v/>
      </c>
      <c r="N949" s="79"/>
    </row>
    <row r="950" customFormat="false" ht="15" hidden="false" customHeight="false" outlineLevel="0" collapsed="false">
      <c r="A950" s="78" t="str">
        <f aca="false">IF(B950="","",ROW()-6)</f>
        <v/>
      </c>
      <c r="B950" s="90"/>
      <c r="C950" s="91"/>
      <c r="D950" s="91"/>
      <c r="E950" s="80"/>
      <c r="F950" s="92"/>
      <c r="G950" s="79"/>
      <c r="H950" s="82"/>
      <c r="I950" s="93" t="str">
        <f aca="false">IF(B950="","",IFERROR(INDEX('CARNET DE SOUDURE'!$B$7:$B$1506,MATCH(B950,'CARNET DE SOUDURE'!$K$7:$K$1506,0)),IFERROR(INDEX('CARNET DE SOUDURE'!$B$7:$B$1506,MATCH(B950,'CARNET DE SOUDURE'!$M$7:$M$1506,0)),"")))</f>
        <v/>
      </c>
      <c r="J950" s="78" t="str">
        <f aca="false">IF(B950="","",IFERROR(INDEX('CARNET DE SOUDURE'!$E$7:$E$1506,MATCH(B950,'CARNET DE SOUDURE'!$M$7:$M$1506,0)),""))</f>
        <v/>
      </c>
      <c r="K950" s="78" t="str">
        <f aca="false">IF(B950="","",IFERROR(INDEX('CARNET DE SOUDURE'!$E$7:$E$1506,MATCH(B950,'CARNET DE SOUDURE'!$K$7:$K$1506,0)),""))</f>
        <v/>
      </c>
      <c r="L950" s="78" t="str">
        <f aca="false">IF(B950="","",IFERROR(INDEX('CARNET DE SOUDURE'!$D$7:$D$1506,MATCH(B950,'CARNET DE SOUDURE'!$K$7:$K$1506,0)),IFERROR(INDEX('CARNET DE SOUDURE'!$D$7:$D$1506,MATCH(B950,'CARNET DE SOUDURE'!$M$7:$M$1506,0)),"")))</f>
        <v/>
      </c>
      <c r="M950" s="81" t="str">
        <f aca="false">IF(B950="","",IF(OR(J950&lt;&gt;"",K950&lt;&gt;""),"POSÉ EN LIGNE",IF(H950&lt;&gt;"","BARDÉ","EN STOCK")))</f>
        <v/>
      </c>
      <c r="N950" s="79"/>
    </row>
    <row r="951" customFormat="false" ht="15" hidden="false" customHeight="false" outlineLevel="0" collapsed="false">
      <c r="A951" s="78" t="str">
        <f aca="false">IF(B951="","",ROW()-6)</f>
        <v/>
      </c>
      <c r="B951" s="90"/>
      <c r="C951" s="91"/>
      <c r="D951" s="91"/>
      <c r="E951" s="80"/>
      <c r="F951" s="92"/>
      <c r="G951" s="79"/>
      <c r="H951" s="82"/>
      <c r="I951" s="93" t="str">
        <f aca="false">IF(B951="","",IFERROR(INDEX('CARNET DE SOUDURE'!$B$7:$B$1506,MATCH(B951,'CARNET DE SOUDURE'!$K$7:$K$1506,0)),IFERROR(INDEX('CARNET DE SOUDURE'!$B$7:$B$1506,MATCH(B951,'CARNET DE SOUDURE'!$M$7:$M$1506,0)),"")))</f>
        <v/>
      </c>
      <c r="J951" s="78" t="str">
        <f aca="false">IF(B951="","",IFERROR(INDEX('CARNET DE SOUDURE'!$E$7:$E$1506,MATCH(B951,'CARNET DE SOUDURE'!$M$7:$M$1506,0)),""))</f>
        <v/>
      </c>
      <c r="K951" s="78" t="str">
        <f aca="false">IF(B951="","",IFERROR(INDEX('CARNET DE SOUDURE'!$E$7:$E$1506,MATCH(B951,'CARNET DE SOUDURE'!$K$7:$K$1506,0)),""))</f>
        <v/>
      </c>
      <c r="L951" s="78" t="str">
        <f aca="false">IF(B951="","",IFERROR(INDEX('CARNET DE SOUDURE'!$D$7:$D$1506,MATCH(B951,'CARNET DE SOUDURE'!$K$7:$K$1506,0)),IFERROR(INDEX('CARNET DE SOUDURE'!$D$7:$D$1506,MATCH(B951,'CARNET DE SOUDURE'!$M$7:$M$1506,0)),"")))</f>
        <v/>
      </c>
      <c r="M951" s="81" t="str">
        <f aca="false">IF(B951="","",IF(OR(J951&lt;&gt;"",K951&lt;&gt;""),"POSÉ EN LIGNE",IF(H951&lt;&gt;"","BARDÉ","EN STOCK")))</f>
        <v/>
      </c>
      <c r="N951" s="79"/>
    </row>
    <row r="952" customFormat="false" ht="15" hidden="false" customHeight="false" outlineLevel="0" collapsed="false">
      <c r="A952" s="78" t="str">
        <f aca="false">IF(B952="","",ROW()-6)</f>
        <v/>
      </c>
      <c r="B952" s="90"/>
      <c r="C952" s="91"/>
      <c r="D952" s="91"/>
      <c r="E952" s="80"/>
      <c r="F952" s="92"/>
      <c r="G952" s="79"/>
      <c r="H952" s="82"/>
      <c r="I952" s="93" t="str">
        <f aca="false">IF(B952="","",IFERROR(INDEX('CARNET DE SOUDURE'!$B$7:$B$1506,MATCH(B952,'CARNET DE SOUDURE'!$K$7:$K$1506,0)),IFERROR(INDEX('CARNET DE SOUDURE'!$B$7:$B$1506,MATCH(B952,'CARNET DE SOUDURE'!$M$7:$M$1506,0)),"")))</f>
        <v/>
      </c>
      <c r="J952" s="78" t="str">
        <f aca="false">IF(B952="","",IFERROR(INDEX('CARNET DE SOUDURE'!$E$7:$E$1506,MATCH(B952,'CARNET DE SOUDURE'!$M$7:$M$1506,0)),""))</f>
        <v/>
      </c>
      <c r="K952" s="78" t="str">
        <f aca="false">IF(B952="","",IFERROR(INDEX('CARNET DE SOUDURE'!$E$7:$E$1506,MATCH(B952,'CARNET DE SOUDURE'!$K$7:$K$1506,0)),""))</f>
        <v/>
      </c>
      <c r="L952" s="78" t="str">
        <f aca="false">IF(B952="","",IFERROR(INDEX('CARNET DE SOUDURE'!$D$7:$D$1506,MATCH(B952,'CARNET DE SOUDURE'!$K$7:$K$1506,0)),IFERROR(INDEX('CARNET DE SOUDURE'!$D$7:$D$1506,MATCH(B952,'CARNET DE SOUDURE'!$M$7:$M$1506,0)),"")))</f>
        <v/>
      </c>
      <c r="M952" s="81" t="str">
        <f aca="false">IF(B952="","",IF(OR(J952&lt;&gt;"",K952&lt;&gt;""),"POSÉ EN LIGNE",IF(H952&lt;&gt;"","BARDÉ","EN STOCK")))</f>
        <v/>
      </c>
      <c r="N952" s="79"/>
    </row>
    <row r="953" customFormat="false" ht="15" hidden="false" customHeight="false" outlineLevel="0" collapsed="false">
      <c r="A953" s="78" t="str">
        <f aca="false">IF(B953="","",ROW()-6)</f>
        <v/>
      </c>
      <c r="B953" s="90"/>
      <c r="C953" s="91"/>
      <c r="D953" s="91"/>
      <c r="E953" s="80"/>
      <c r="F953" s="92"/>
      <c r="G953" s="79"/>
      <c r="H953" s="82"/>
      <c r="I953" s="93" t="str">
        <f aca="false">IF(B953="","",IFERROR(INDEX('CARNET DE SOUDURE'!$B$7:$B$1506,MATCH(B953,'CARNET DE SOUDURE'!$K$7:$K$1506,0)),IFERROR(INDEX('CARNET DE SOUDURE'!$B$7:$B$1506,MATCH(B953,'CARNET DE SOUDURE'!$M$7:$M$1506,0)),"")))</f>
        <v/>
      </c>
      <c r="J953" s="78" t="str">
        <f aca="false">IF(B953="","",IFERROR(INDEX('CARNET DE SOUDURE'!$E$7:$E$1506,MATCH(B953,'CARNET DE SOUDURE'!$M$7:$M$1506,0)),""))</f>
        <v/>
      </c>
      <c r="K953" s="78" t="str">
        <f aca="false">IF(B953="","",IFERROR(INDEX('CARNET DE SOUDURE'!$E$7:$E$1506,MATCH(B953,'CARNET DE SOUDURE'!$K$7:$K$1506,0)),""))</f>
        <v/>
      </c>
      <c r="L953" s="78" t="str">
        <f aca="false">IF(B953="","",IFERROR(INDEX('CARNET DE SOUDURE'!$D$7:$D$1506,MATCH(B953,'CARNET DE SOUDURE'!$K$7:$K$1506,0)),IFERROR(INDEX('CARNET DE SOUDURE'!$D$7:$D$1506,MATCH(B953,'CARNET DE SOUDURE'!$M$7:$M$1506,0)),"")))</f>
        <v/>
      </c>
      <c r="M953" s="81" t="str">
        <f aca="false">IF(B953="","",IF(OR(J953&lt;&gt;"",K953&lt;&gt;""),"POSÉ EN LIGNE",IF(H953&lt;&gt;"","BARDÉ","EN STOCK")))</f>
        <v/>
      </c>
      <c r="N953" s="79"/>
    </row>
    <row r="954" customFormat="false" ht="15" hidden="false" customHeight="false" outlineLevel="0" collapsed="false">
      <c r="A954" s="78" t="str">
        <f aca="false">IF(B954="","",ROW()-6)</f>
        <v/>
      </c>
      <c r="B954" s="90"/>
      <c r="C954" s="91"/>
      <c r="D954" s="91"/>
      <c r="E954" s="80"/>
      <c r="F954" s="92"/>
      <c r="G954" s="79"/>
      <c r="H954" s="82"/>
      <c r="I954" s="93" t="str">
        <f aca="false">IF(B954="","",IFERROR(INDEX('CARNET DE SOUDURE'!$B$7:$B$1506,MATCH(B954,'CARNET DE SOUDURE'!$K$7:$K$1506,0)),IFERROR(INDEX('CARNET DE SOUDURE'!$B$7:$B$1506,MATCH(B954,'CARNET DE SOUDURE'!$M$7:$M$1506,0)),"")))</f>
        <v/>
      </c>
      <c r="J954" s="78" t="str">
        <f aca="false">IF(B954="","",IFERROR(INDEX('CARNET DE SOUDURE'!$E$7:$E$1506,MATCH(B954,'CARNET DE SOUDURE'!$M$7:$M$1506,0)),""))</f>
        <v/>
      </c>
      <c r="K954" s="78" t="str">
        <f aca="false">IF(B954="","",IFERROR(INDEX('CARNET DE SOUDURE'!$E$7:$E$1506,MATCH(B954,'CARNET DE SOUDURE'!$K$7:$K$1506,0)),""))</f>
        <v/>
      </c>
      <c r="L954" s="78" t="str">
        <f aca="false">IF(B954="","",IFERROR(INDEX('CARNET DE SOUDURE'!$D$7:$D$1506,MATCH(B954,'CARNET DE SOUDURE'!$K$7:$K$1506,0)),IFERROR(INDEX('CARNET DE SOUDURE'!$D$7:$D$1506,MATCH(B954,'CARNET DE SOUDURE'!$M$7:$M$1506,0)),"")))</f>
        <v/>
      </c>
      <c r="M954" s="81" t="str">
        <f aca="false">IF(B954="","",IF(OR(J954&lt;&gt;"",K954&lt;&gt;""),"POSÉ EN LIGNE",IF(H954&lt;&gt;"","BARDÉ","EN STOCK")))</f>
        <v/>
      </c>
      <c r="N954" s="79"/>
    </row>
    <row r="955" customFormat="false" ht="15" hidden="false" customHeight="false" outlineLevel="0" collapsed="false">
      <c r="A955" s="78" t="str">
        <f aca="false">IF(B955="","",ROW()-6)</f>
        <v/>
      </c>
      <c r="B955" s="90"/>
      <c r="C955" s="91"/>
      <c r="D955" s="91"/>
      <c r="E955" s="80"/>
      <c r="F955" s="92"/>
      <c r="G955" s="79"/>
      <c r="H955" s="82"/>
      <c r="I955" s="93" t="str">
        <f aca="false">IF(B955="","",IFERROR(INDEX('CARNET DE SOUDURE'!$B$7:$B$1506,MATCH(B955,'CARNET DE SOUDURE'!$K$7:$K$1506,0)),IFERROR(INDEX('CARNET DE SOUDURE'!$B$7:$B$1506,MATCH(B955,'CARNET DE SOUDURE'!$M$7:$M$1506,0)),"")))</f>
        <v/>
      </c>
      <c r="J955" s="78" t="str">
        <f aca="false">IF(B955="","",IFERROR(INDEX('CARNET DE SOUDURE'!$E$7:$E$1506,MATCH(B955,'CARNET DE SOUDURE'!$M$7:$M$1506,0)),""))</f>
        <v/>
      </c>
      <c r="K955" s="78" t="str">
        <f aca="false">IF(B955="","",IFERROR(INDEX('CARNET DE SOUDURE'!$E$7:$E$1506,MATCH(B955,'CARNET DE SOUDURE'!$K$7:$K$1506,0)),""))</f>
        <v/>
      </c>
      <c r="L955" s="78" t="str">
        <f aca="false">IF(B955="","",IFERROR(INDEX('CARNET DE SOUDURE'!$D$7:$D$1506,MATCH(B955,'CARNET DE SOUDURE'!$K$7:$K$1506,0)),IFERROR(INDEX('CARNET DE SOUDURE'!$D$7:$D$1506,MATCH(B955,'CARNET DE SOUDURE'!$M$7:$M$1506,0)),"")))</f>
        <v/>
      </c>
      <c r="M955" s="81" t="str">
        <f aca="false">IF(B955="","",IF(OR(J955&lt;&gt;"",K955&lt;&gt;""),"POSÉ EN LIGNE",IF(H955&lt;&gt;"","BARDÉ","EN STOCK")))</f>
        <v/>
      </c>
      <c r="N955" s="79"/>
    </row>
    <row r="956" customFormat="false" ht="15" hidden="false" customHeight="false" outlineLevel="0" collapsed="false">
      <c r="A956" s="78" t="str">
        <f aca="false">IF(B956="","",ROW()-6)</f>
        <v/>
      </c>
      <c r="B956" s="90"/>
      <c r="C956" s="91"/>
      <c r="D956" s="91"/>
      <c r="E956" s="80"/>
      <c r="F956" s="92"/>
      <c r="G956" s="79"/>
      <c r="H956" s="82"/>
      <c r="I956" s="93" t="str">
        <f aca="false">IF(B956="","",IFERROR(INDEX('CARNET DE SOUDURE'!$B$7:$B$1506,MATCH(B956,'CARNET DE SOUDURE'!$K$7:$K$1506,0)),IFERROR(INDEX('CARNET DE SOUDURE'!$B$7:$B$1506,MATCH(B956,'CARNET DE SOUDURE'!$M$7:$M$1506,0)),"")))</f>
        <v/>
      </c>
      <c r="J956" s="78" t="str">
        <f aca="false">IF(B956="","",IFERROR(INDEX('CARNET DE SOUDURE'!$E$7:$E$1506,MATCH(B956,'CARNET DE SOUDURE'!$M$7:$M$1506,0)),""))</f>
        <v/>
      </c>
      <c r="K956" s="78" t="str">
        <f aca="false">IF(B956="","",IFERROR(INDEX('CARNET DE SOUDURE'!$E$7:$E$1506,MATCH(B956,'CARNET DE SOUDURE'!$K$7:$K$1506,0)),""))</f>
        <v/>
      </c>
      <c r="L956" s="78" t="str">
        <f aca="false">IF(B956="","",IFERROR(INDEX('CARNET DE SOUDURE'!$D$7:$D$1506,MATCH(B956,'CARNET DE SOUDURE'!$K$7:$K$1506,0)),IFERROR(INDEX('CARNET DE SOUDURE'!$D$7:$D$1506,MATCH(B956,'CARNET DE SOUDURE'!$M$7:$M$1506,0)),"")))</f>
        <v/>
      </c>
      <c r="M956" s="81" t="str">
        <f aca="false">IF(B956="","",IF(OR(J956&lt;&gt;"",K956&lt;&gt;""),"POSÉ EN LIGNE",IF(H956&lt;&gt;"","BARDÉ","EN STOCK")))</f>
        <v/>
      </c>
      <c r="N956" s="79"/>
    </row>
    <row r="957" customFormat="false" ht="15" hidden="false" customHeight="false" outlineLevel="0" collapsed="false">
      <c r="A957" s="78" t="str">
        <f aca="false">IF(B957="","",ROW()-6)</f>
        <v/>
      </c>
      <c r="B957" s="90"/>
      <c r="C957" s="91"/>
      <c r="D957" s="91"/>
      <c r="E957" s="80"/>
      <c r="F957" s="92"/>
      <c r="G957" s="79"/>
      <c r="H957" s="82"/>
      <c r="I957" s="93" t="str">
        <f aca="false">IF(B957="","",IFERROR(INDEX('CARNET DE SOUDURE'!$B$7:$B$1506,MATCH(B957,'CARNET DE SOUDURE'!$K$7:$K$1506,0)),IFERROR(INDEX('CARNET DE SOUDURE'!$B$7:$B$1506,MATCH(B957,'CARNET DE SOUDURE'!$M$7:$M$1506,0)),"")))</f>
        <v/>
      </c>
      <c r="J957" s="78" t="str">
        <f aca="false">IF(B957="","",IFERROR(INDEX('CARNET DE SOUDURE'!$E$7:$E$1506,MATCH(B957,'CARNET DE SOUDURE'!$M$7:$M$1506,0)),""))</f>
        <v/>
      </c>
      <c r="K957" s="78" t="str">
        <f aca="false">IF(B957="","",IFERROR(INDEX('CARNET DE SOUDURE'!$E$7:$E$1506,MATCH(B957,'CARNET DE SOUDURE'!$K$7:$K$1506,0)),""))</f>
        <v/>
      </c>
      <c r="L957" s="78" t="str">
        <f aca="false">IF(B957="","",IFERROR(INDEX('CARNET DE SOUDURE'!$D$7:$D$1506,MATCH(B957,'CARNET DE SOUDURE'!$K$7:$K$1506,0)),IFERROR(INDEX('CARNET DE SOUDURE'!$D$7:$D$1506,MATCH(B957,'CARNET DE SOUDURE'!$M$7:$M$1506,0)),"")))</f>
        <v/>
      </c>
      <c r="M957" s="81" t="str">
        <f aca="false">IF(B957="","",IF(OR(J957&lt;&gt;"",K957&lt;&gt;""),"POSÉ EN LIGNE",IF(H957&lt;&gt;"","BARDÉ","EN STOCK")))</f>
        <v/>
      </c>
      <c r="N957" s="79"/>
    </row>
    <row r="958" customFormat="false" ht="15" hidden="false" customHeight="false" outlineLevel="0" collapsed="false">
      <c r="A958" s="78" t="str">
        <f aca="false">IF(B958="","",ROW()-6)</f>
        <v/>
      </c>
      <c r="B958" s="90"/>
      <c r="C958" s="91"/>
      <c r="D958" s="91"/>
      <c r="E958" s="80"/>
      <c r="F958" s="92"/>
      <c r="G958" s="79"/>
      <c r="H958" s="82"/>
      <c r="I958" s="93" t="str">
        <f aca="false">IF(B958="","",IFERROR(INDEX('CARNET DE SOUDURE'!$B$7:$B$1506,MATCH(B958,'CARNET DE SOUDURE'!$K$7:$K$1506,0)),IFERROR(INDEX('CARNET DE SOUDURE'!$B$7:$B$1506,MATCH(B958,'CARNET DE SOUDURE'!$M$7:$M$1506,0)),"")))</f>
        <v/>
      </c>
      <c r="J958" s="78" t="str">
        <f aca="false">IF(B958="","",IFERROR(INDEX('CARNET DE SOUDURE'!$E$7:$E$1506,MATCH(B958,'CARNET DE SOUDURE'!$M$7:$M$1506,0)),""))</f>
        <v/>
      </c>
      <c r="K958" s="78" t="str">
        <f aca="false">IF(B958="","",IFERROR(INDEX('CARNET DE SOUDURE'!$E$7:$E$1506,MATCH(B958,'CARNET DE SOUDURE'!$K$7:$K$1506,0)),""))</f>
        <v/>
      </c>
      <c r="L958" s="78" t="str">
        <f aca="false">IF(B958="","",IFERROR(INDEX('CARNET DE SOUDURE'!$D$7:$D$1506,MATCH(B958,'CARNET DE SOUDURE'!$K$7:$K$1506,0)),IFERROR(INDEX('CARNET DE SOUDURE'!$D$7:$D$1506,MATCH(B958,'CARNET DE SOUDURE'!$M$7:$M$1506,0)),"")))</f>
        <v/>
      </c>
      <c r="M958" s="81" t="str">
        <f aca="false">IF(B958="","",IF(OR(J958&lt;&gt;"",K958&lt;&gt;""),"POSÉ EN LIGNE",IF(H958&lt;&gt;"","BARDÉ","EN STOCK")))</f>
        <v/>
      </c>
      <c r="N958" s="79"/>
    </row>
    <row r="959" customFormat="false" ht="15" hidden="false" customHeight="false" outlineLevel="0" collapsed="false">
      <c r="A959" s="78" t="str">
        <f aca="false">IF(B959="","",ROW()-6)</f>
        <v/>
      </c>
      <c r="B959" s="90"/>
      <c r="C959" s="91"/>
      <c r="D959" s="91"/>
      <c r="E959" s="80"/>
      <c r="F959" s="92"/>
      <c r="G959" s="79"/>
      <c r="H959" s="82"/>
      <c r="I959" s="93" t="str">
        <f aca="false">IF(B959="","",IFERROR(INDEX('CARNET DE SOUDURE'!$B$7:$B$1506,MATCH(B959,'CARNET DE SOUDURE'!$K$7:$K$1506,0)),IFERROR(INDEX('CARNET DE SOUDURE'!$B$7:$B$1506,MATCH(B959,'CARNET DE SOUDURE'!$M$7:$M$1506,0)),"")))</f>
        <v/>
      </c>
      <c r="J959" s="78" t="str">
        <f aca="false">IF(B959="","",IFERROR(INDEX('CARNET DE SOUDURE'!$E$7:$E$1506,MATCH(B959,'CARNET DE SOUDURE'!$M$7:$M$1506,0)),""))</f>
        <v/>
      </c>
      <c r="K959" s="78" t="str">
        <f aca="false">IF(B959="","",IFERROR(INDEX('CARNET DE SOUDURE'!$E$7:$E$1506,MATCH(B959,'CARNET DE SOUDURE'!$K$7:$K$1506,0)),""))</f>
        <v/>
      </c>
      <c r="L959" s="78" t="str">
        <f aca="false">IF(B959="","",IFERROR(INDEX('CARNET DE SOUDURE'!$D$7:$D$1506,MATCH(B959,'CARNET DE SOUDURE'!$K$7:$K$1506,0)),IFERROR(INDEX('CARNET DE SOUDURE'!$D$7:$D$1506,MATCH(B959,'CARNET DE SOUDURE'!$M$7:$M$1506,0)),"")))</f>
        <v/>
      </c>
      <c r="M959" s="81" t="str">
        <f aca="false">IF(B959="","",IF(OR(J959&lt;&gt;"",K959&lt;&gt;""),"POSÉ EN LIGNE",IF(H959&lt;&gt;"","BARDÉ","EN STOCK")))</f>
        <v/>
      </c>
      <c r="N959" s="79"/>
    </row>
    <row r="960" customFormat="false" ht="15" hidden="false" customHeight="false" outlineLevel="0" collapsed="false">
      <c r="A960" s="78" t="str">
        <f aca="false">IF(B960="","",ROW()-6)</f>
        <v/>
      </c>
      <c r="B960" s="90"/>
      <c r="C960" s="91"/>
      <c r="D960" s="91"/>
      <c r="E960" s="80"/>
      <c r="F960" s="92"/>
      <c r="G960" s="79"/>
      <c r="H960" s="82"/>
      <c r="I960" s="93" t="str">
        <f aca="false">IF(B960="","",IFERROR(INDEX('CARNET DE SOUDURE'!$B$7:$B$1506,MATCH(B960,'CARNET DE SOUDURE'!$K$7:$K$1506,0)),IFERROR(INDEX('CARNET DE SOUDURE'!$B$7:$B$1506,MATCH(B960,'CARNET DE SOUDURE'!$M$7:$M$1506,0)),"")))</f>
        <v/>
      </c>
      <c r="J960" s="78" t="str">
        <f aca="false">IF(B960="","",IFERROR(INDEX('CARNET DE SOUDURE'!$E$7:$E$1506,MATCH(B960,'CARNET DE SOUDURE'!$M$7:$M$1506,0)),""))</f>
        <v/>
      </c>
      <c r="K960" s="78" t="str">
        <f aca="false">IF(B960="","",IFERROR(INDEX('CARNET DE SOUDURE'!$E$7:$E$1506,MATCH(B960,'CARNET DE SOUDURE'!$K$7:$K$1506,0)),""))</f>
        <v/>
      </c>
      <c r="L960" s="78" t="str">
        <f aca="false">IF(B960="","",IFERROR(INDEX('CARNET DE SOUDURE'!$D$7:$D$1506,MATCH(B960,'CARNET DE SOUDURE'!$K$7:$K$1506,0)),IFERROR(INDEX('CARNET DE SOUDURE'!$D$7:$D$1506,MATCH(B960,'CARNET DE SOUDURE'!$M$7:$M$1506,0)),"")))</f>
        <v/>
      </c>
      <c r="M960" s="81" t="str">
        <f aca="false">IF(B960="","",IF(OR(J960&lt;&gt;"",K960&lt;&gt;""),"POSÉ EN LIGNE",IF(H960&lt;&gt;"","BARDÉ","EN STOCK")))</f>
        <v/>
      </c>
      <c r="N960" s="79"/>
    </row>
    <row r="961" customFormat="false" ht="15" hidden="false" customHeight="false" outlineLevel="0" collapsed="false">
      <c r="A961" s="78" t="str">
        <f aca="false">IF(B961="","",ROW()-6)</f>
        <v/>
      </c>
      <c r="B961" s="90"/>
      <c r="C961" s="91"/>
      <c r="D961" s="91"/>
      <c r="E961" s="80"/>
      <c r="F961" s="92"/>
      <c r="G961" s="79"/>
      <c r="H961" s="82"/>
      <c r="I961" s="93" t="str">
        <f aca="false">IF(B961="","",IFERROR(INDEX('CARNET DE SOUDURE'!$B$7:$B$1506,MATCH(B961,'CARNET DE SOUDURE'!$K$7:$K$1506,0)),IFERROR(INDEX('CARNET DE SOUDURE'!$B$7:$B$1506,MATCH(B961,'CARNET DE SOUDURE'!$M$7:$M$1506,0)),"")))</f>
        <v/>
      </c>
      <c r="J961" s="78" t="str">
        <f aca="false">IF(B961="","",IFERROR(INDEX('CARNET DE SOUDURE'!$E$7:$E$1506,MATCH(B961,'CARNET DE SOUDURE'!$M$7:$M$1506,0)),""))</f>
        <v/>
      </c>
      <c r="K961" s="78" t="str">
        <f aca="false">IF(B961="","",IFERROR(INDEX('CARNET DE SOUDURE'!$E$7:$E$1506,MATCH(B961,'CARNET DE SOUDURE'!$K$7:$K$1506,0)),""))</f>
        <v/>
      </c>
      <c r="L961" s="78" t="str">
        <f aca="false">IF(B961="","",IFERROR(INDEX('CARNET DE SOUDURE'!$D$7:$D$1506,MATCH(B961,'CARNET DE SOUDURE'!$K$7:$K$1506,0)),IFERROR(INDEX('CARNET DE SOUDURE'!$D$7:$D$1506,MATCH(B961,'CARNET DE SOUDURE'!$M$7:$M$1506,0)),"")))</f>
        <v/>
      </c>
      <c r="M961" s="81" t="str">
        <f aca="false">IF(B961="","",IF(OR(J961&lt;&gt;"",K961&lt;&gt;""),"POSÉ EN LIGNE",IF(H961&lt;&gt;"","BARDÉ","EN STOCK")))</f>
        <v/>
      </c>
      <c r="N961" s="79"/>
    </row>
    <row r="962" customFormat="false" ht="15" hidden="false" customHeight="false" outlineLevel="0" collapsed="false">
      <c r="A962" s="78" t="str">
        <f aca="false">IF(B962="","",ROW()-6)</f>
        <v/>
      </c>
      <c r="B962" s="90"/>
      <c r="C962" s="91"/>
      <c r="D962" s="91"/>
      <c r="E962" s="80"/>
      <c r="F962" s="92"/>
      <c r="G962" s="79"/>
      <c r="H962" s="82"/>
      <c r="I962" s="93" t="str">
        <f aca="false">IF(B962="","",IFERROR(INDEX('CARNET DE SOUDURE'!$B$7:$B$1506,MATCH(B962,'CARNET DE SOUDURE'!$K$7:$K$1506,0)),IFERROR(INDEX('CARNET DE SOUDURE'!$B$7:$B$1506,MATCH(B962,'CARNET DE SOUDURE'!$M$7:$M$1506,0)),"")))</f>
        <v/>
      </c>
      <c r="J962" s="78" t="str">
        <f aca="false">IF(B962="","",IFERROR(INDEX('CARNET DE SOUDURE'!$E$7:$E$1506,MATCH(B962,'CARNET DE SOUDURE'!$M$7:$M$1506,0)),""))</f>
        <v/>
      </c>
      <c r="K962" s="78" t="str">
        <f aca="false">IF(B962="","",IFERROR(INDEX('CARNET DE SOUDURE'!$E$7:$E$1506,MATCH(B962,'CARNET DE SOUDURE'!$K$7:$K$1506,0)),""))</f>
        <v/>
      </c>
      <c r="L962" s="78" t="str">
        <f aca="false">IF(B962="","",IFERROR(INDEX('CARNET DE SOUDURE'!$D$7:$D$1506,MATCH(B962,'CARNET DE SOUDURE'!$K$7:$K$1506,0)),IFERROR(INDEX('CARNET DE SOUDURE'!$D$7:$D$1506,MATCH(B962,'CARNET DE SOUDURE'!$M$7:$M$1506,0)),"")))</f>
        <v/>
      </c>
      <c r="M962" s="81" t="str">
        <f aca="false">IF(B962="","",IF(OR(J962&lt;&gt;"",K962&lt;&gt;""),"POSÉ EN LIGNE",IF(H962&lt;&gt;"","BARDÉ","EN STOCK")))</f>
        <v/>
      </c>
      <c r="N962" s="79"/>
    </row>
    <row r="963" customFormat="false" ht="15" hidden="false" customHeight="false" outlineLevel="0" collapsed="false">
      <c r="A963" s="78" t="str">
        <f aca="false">IF(B963="","",ROW()-6)</f>
        <v/>
      </c>
      <c r="B963" s="90"/>
      <c r="C963" s="91"/>
      <c r="D963" s="91"/>
      <c r="E963" s="80"/>
      <c r="F963" s="92"/>
      <c r="G963" s="79"/>
      <c r="H963" s="82"/>
      <c r="I963" s="93" t="str">
        <f aca="false">IF(B963="","",IFERROR(INDEX('CARNET DE SOUDURE'!$B$7:$B$1506,MATCH(B963,'CARNET DE SOUDURE'!$K$7:$K$1506,0)),IFERROR(INDEX('CARNET DE SOUDURE'!$B$7:$B$1506,MATCH(B963,'CARNET DE SOUDURE'!$M$7:$M$1506,0)),"")))</f>
        <v/>
      </c>
      <c r="J963" s="78" t="str">
        <f aca="false">IF(B963="","",IFERROR(INDEX('CARNET DE SOUDURE'!$E$7:$E$1506,MATCH(B963,'CARNET DE SOUDURE'!$M$7:$M$1506,0)),""))</f>
        <v/>
      </c>
      <c r="K963" s="78" t="str">
        <f aca="false">IF(B963="","",IFERROR(INDEX('CARNET DE SOUDURE'!$E$7:$E$1506,MATCH(B963,'CARNET DE SOUDURE'!$K$7:$K$1506,0)),""))</f>
        <v/>
      </c>
      <c r="L963" s="78" t="str">
        <f aca="false">IF(B963="","",IFERROR(INDEX('CARNET DE SOUDURE'!$D$7:$D$1506,MATCH(B963,'CARNET DE SOUDURE'!$K$7:$K$1506,0)),IFERROR(INDEX('CARNET DE SOUDURE'!$D$7:$D$1506,MATCH(B963,'CARNET DE SOUDURE'!$M$7:$M$1506,0)),"")))</f>
        <v/>
      </c>
      <c r="M963" s="81" t="str">
        <f aca="false">IF(B963="","",IF(OR(J963&lt;&gt;"",K963&lt;&gt;""),"POSÉ EN LIGNE",IF(H963&lt;&gt;"","BARDÉ","EN STOCK")))</f>
        <v/>
      </c>
      <c r="N963" s="79"/>
    </row>
    <row r="964" customFormat="false" ht="15" hidden="false" customHeight="false" outlineLevel="0" collapsed="false">
      <c r="A964" s="78" t="str">
        <f aca="false">IF(B964="","",ROW()-6)</f>
        <v/>
      </c>
      <c r="B964" s="90"/>
      <c r="C964" s="91"/>
      <c r="D964" s="91"/>
      <c r="E964" s="80"/>
      <c r="F964" s="92"/>
      <c r="G964" s="79"/>
      <c r="H964" s="82"/>
      <c r="I964" s="93" t="str">
        <f aca="false">IF(B964="","",IFERROR(INDEX('CARNET DE SOUDURE'!$B$7:$B$1506,MATCH(B964,'CARNET DE SOUDURE'!$K$7:$K$1506,0)),IFERROR(INDEX('CARNET DE SOUDURE'!$B$7:$B$1506,MATCH(B964,'CARNET DE SOUDURE'!$M$7:$M$1506,0)),"")))</f>
        <v/>
      </c>
      <c r="J964" s="78" t="str">
        <f aca="false">IF(B964="","",IFERROR(INDEX('CARNET DE SOUDURE'!$E$7:$E$1506,MATCH(B964,'CARNET DE SOUDURE'!$M$7:$M$1506,0)),""))</f>
        <v/>
      </c>
      <c r="K964" s="78" t="str">
        <f aca="false">IF(B964="","",IFERROR(INDEX('CARNET DE SOUDURE'!$E$7:$E$1506,MATCH(B964,'CARNET DE SOUDURE'!$K$7:$K$1506,0)),""))</f>
        <v/>
      </c>
      <c r="L964" s="78" t="str">
        <f aca="false">IF(B964="","",IFERROR(INDEX('CARNET DE SOUDURE'!$D$7:$D$1506,MATCH(B964,'CARNET DE SOUDURE'!$K$7:$K$1506,0)),IFERROR(INDEX('CARNET DE SOUDURE'!$D$7:$D$1506,MATCH(B964,'CARNET DE SOUDURE'!$M$7:$M$1506,0)),"")))</f>
        <v/>
      </c>
      <c r="M964" s="81" t="str">
        <f aca="false">IF(B964="","",IF(OR(J964&lt;&gt;"",K964&lt;&gt;""),"POSÉ EN LIGNE",IF(H964&lt;&gt;"","BARDÉ","EN STOCK")))</f>
        <v/>
      </c>
      <c r="N964" s="79"/>
    </row>
    <row r="965" customFormat="false" ht="15" hidden="false" customHeight="false" outlineLevel="0" collapsed="false">
      <c r="A965" s="78" t="str">
        <f aca="false">IF(B965="","",ROW()-6)</f>
        <v/>
      </c>
      <c r="B965" s="90"/>
      <c r="C965" s="91"/>
      <c r="D965" s="91"/>
      <c r="E965" s="80"/>
      <c r="F965" s="92"/>
      <c r="G965" s="79"/>
      <c r="H965" s="82"/>
      <c r="I965" s="93" t="str">
        <f aca="false">IF(B965="","",IFERROR(INDEX('CARNET DE SOUDURE'!$B$7:$B$1506,MATCH(B965,'CARNET DE SOUDURE'!$K$7:$K$1506,0)),IFERROR(INDEX('CARNET DE SOUDURE'!$B$7:$B$1506,MATCH(B965,'CARNET DE SOUDURE'!$M$7:$M$1506,0)),"")))</f>
        <v/>
      </c>
      <c r="J965" s="78" t="str">
        <f aca="false">IF(B965="","",IFERROR(INDEX('CARNET DE SOUDURE'!$E$7:$E$1506,MATCH(B965,'CARNET DE SOUDURE'!$M$7:$M$1506,0)),""))</f>
        <v/>
      </c>
      <c r="K965" s="78" t="str">
        <f aca="false">IF(B965="","",IFERROR(INDEX('CARNET DE SOUDURE'!$E$7:$E$1506,MATCH(B965,'CARNET DE SOUDURE'!$K$7:$K$1506,0)),""))</f>
        <v/>
      </c>
      <c r="L965" s="78" t="str">
        <f aca="false">IF(B965="","",IFERROR(INDEX('CARNET DE SOUDURE'!$D$7:$D$1506,MATCH(B965,'CARNET DE SOUDURE'!$K$7:$K$1506,0)),IFERROR(INDEX('CARNET DE SOUDURE'!$D$7:$D$1506,MATCH(B965,'CARNET DE SOUDURE'!$M$7:$M$1506,0)),"")))</f>
        <v/>
      </c>
      <c r="M965" s="81" t="str">
        <f aca="false">IF(B965="","",IF(OR(J965&lt;&gt;"",K965&lt;&gt;""),"POSÉ EN LIGNE",IF(H965&lt;&gt;"","BARDÉ","EN STOCK")))</f>
        <v/>
      </c>
      <c r="N965" s="79"/>
    </row>
    <row r="966" customFormat="false" ht="15" hidden="false" customHeight="false" outlineLevel="0" collapsed="false">
      <c r="A966" s="78" t="str">
        <f aca="false">IF(B966="","",ROW()-6)</f>
        <v/>
      </c>
      <c r="B966" s="90"/>
      <c r="C966" s="91"/>
      <c r="D966" s="91"/>
      <c r="E966" s="80"/>
      <c r="F966" s="92"/>
      <c r="G966" s="79"/>
      <c r="H966" s="82"/>
      <c r="I966" s="93" t="str">
        <f aca="false">IF(B966="","",IFERROR(INDEX('CARNET DE SOUDURE'!$B$7:$B$1506,MATCH(B966,'CARNET DE SOUDURE'!$K$7:$K$1506,0)),IFERROR(INDEX('CARNET DE SOUDURE'!$B$7:$B$1506,MATCH(B966,'CARNET DE SOUDURE'!$M$7:$M$1506,0)),"")))</f>
        <v/>
      </c>
      <c r="J966" s="78" t="str">
        <f aca="false">IF(B966="","",IFERROR(INDEX('CARNET DE SOUDURE'!$E$7:$E$1506,MATCH(B966,'CARNET DE SOUDURE'!$M$7:$M$1506,0)),""))</f>
        <v/>
      </c>
      <c r="K966" s="78" t="str">
        <f aca="false">IF(B966="","",IFERROR(INDEX('CARNET DE SOUDURE'!$E$7:$E$1506,MATCH(B966,'CARNET DE SOUDURE'!$K$7:$K$1506,0)),""))</f>
        <v/>
      </c>
      <c r="L966" s="78" t="str">
        <f aca="false">IF(B966="","",IFERROR(INDEX('CARNET DE SOUDURE'!$D$7:$D$1506,MATCH(B966,'CARNET DE SOUDURE'!$K$7:$K$1506,0)),IFERROR(INDEX('CARNET DE SOUDURE'!$D$7:$D$1506,MATCH(B966,'CARNET DE SOUDURE'!$M$7:$M$1506,0)),"")))</f>
        <v/>
      </c>
      <c r="M966" s="81" t="str">
        <f aca="false">IF(B966="","",IF(OR(J966&lt;&gt;"",K966&lt;&gt;""),"POSÉ EN LIGNE",IF(H966&lt;&gt;"","BARDÉ","EN STOCK")))</f>
        <v/>
      </c>
      <c r="N966" s="79"/>
    </row>
    <row r="967" customFormat="false" ht="15" hidden="false" customHeight="false" outlineLevel="0" collapsed="false">
      <c r="A967" s="78" t="str">
        <f aca="false">IF(B967="","",ROW()-6)</f>
        <v/>
      </c>
      <c r="B967" s="90"/>
      <c r="C967" s="91"/>
      <c r="D967" s="91"/>
      <c r="E967" s="80"/>
      <c r="F967" s="92"/>
      <c r="G967" s="79"/>
      <c r="H967" s="82"/>
      <c r="I967" s="93" t="str">
        <f aca="false">IF(B967="","",IFERROR(INDEX('CARNET DE SOUDURE'!$B$7:$B$1506,MATCH(B967,'CARNET DE SOUDURE'!$K$7:$K$1506,0)),IFERROR(INDEX('CARNET DE SOUDURE'!$B$7:$B$1506,MATCH(B967,'CARNET DE SOUDURE'!$M$7:$M$1506,0)),"")))</f>
        <v/>
      </c>
      <c r="J967" s="78" t="str">
        <f aca="false">IF(B967="","",IFERROR(INDEX('CARNET DE SOUDURE'!$E$7:$E$1506,MATCH(B967,'CARNET DE SOUDURE'!$M$7:$M$1506,0)),""))</f>
        <v/>
      </c>
      <c r="K967" s="78" t="str">
        <f aca="false">IF(B967="","",IFERROR(INDEX('CARNET DE SOUDURE'!$E$7:$E$1506,MATCH(B967,'CARNET DE SOUDURE'!$K$7:$K$1506,0)),""))</f>
        <v/>
      </c>
      <c r="L967" s="78" t="str">
        <f aca="false">IF(B967="","",IFERROR(INDEX('CARNET DE SOUDURE'!$D$7:$D$1506,MATCH(B967,'CARNET DE SOUDURE'!$K$7:$K$1506,0)),IFERROR(INDEX('CARNET DE SOUDURE'!$D$7:$D$1506,MATCH(B967,'CARNET DE SOUDURE'!$M$7:$M$1506,0)),"")))</f>
        <v/>
      </c>
      <c r="M967" s="81" t="str">
        <f aca="false">IF(B967="","",IF(OR(J967&lt;&gt;"",K967&lt;&gt;""),"POSÉ EN LIGNE",IF(H967&lt;&gt;"","BARDÉ","EN STOCK")))</f>
        <v/>
      </c>
      <c r="N967" s="79"/>
    </row>
    <row r="968" customFormat="false" ht="15" hidden="false" customHeight="false" outlineLevel="0" collapsed="false">
      <c r="A968" s="78" t="str">
        <f aca="false">IF(B968="","",ROW()-6)</f>
        <v/>
      </c>
      <c r="B968" s="90"/>
      <c r="C968" s="91"/>
      <c r="D968" s="91"/>
      <c r="E968" s="80"/>
      <c r="F968" s="92"/>
      <c r="G968" s="79"/>
      <c r="H968" s="82"/>
      <c r="I968" s="93" t="str">
        <f aca="false">IF(B968="","",IFERROR(INDEX('CARNET DE SOUDURE'!$B$7:$B$1506,MATCH(B968,'CARNET DE SOUDURE'!$K$7:$K$1506,0)),IFERROR(INDEX('CARNET DE SOUDURE'!$B$7:$B$1506,MATCH(B968,'CARNET DE SOUDURE'!$M$7:$M$1506,0)),"")))</f>
        <v/>
      </c>
      <c r="J968" s="78" t="str">
        <f aca="false">IF(B968="","",IFERROR(INDEX('CARNET DE SOUDURE'!$E$7:$E$1506,MATCH(B968,'CARNET DE SOUDURE'!$M$7:$M$1506,0)),""))</f>
        <v/>
      </c>
      <c r="K968" s="78" t="str">
        <f aca="false">IF(B968="","",IFERROR(INDEX('CARNET DE SOUDURE'!$E$7:$E$1506,MATCH(B968,'CARNET DE SOUDURE'!$K$7:$K$1506,0)),""))</f>
        <v/>
      </c>
      <c r="L968" s="78" t="str">
        <f aca="false">IF(B968="","",IFERROR(INDEX('CARNET DE SOUDURE'!$D$7:$D$1506,MATCH(B968,'CARNET DE SOUDURE'!$K$7:$K$1506,0)),IFERROR(INDEX('CARNET DE SOUDURE'!$D$7:$D$1506,MATCH(B968,'CARNET DE SOUDURE'!$M$7:$M$1506,0)),"")))</f>
        <v/>
      </c>
      <c r="M968" s="81" t="str">
        <f aca="false">IF(B968="","",IF(OR(J968&lt;&gt;"",K968&lt;&gt;""),"POSÉ EN LIGNE",IF(H968&lt;&gt;"","BARDÉ","EN STOCK")))</f>
        <v/>
      </c>
      <c r="N968" s="79"/>
    </row>
    <row r="969" customFormat="false" ht="15" hidden="false" customHeight="false" outlineLevel="0" collapsed="false">
      <c r="A969" s="78" t="str">
        <f aca="false">IF(B969="","",ROW()-6)</f>
        <v/>
      </c>
      <c r="B969" s="90"/>
      <c r="C969" s="91"/>
      <c r="D969" s="91"/>
      <c r="E969" s="80"/>
      <c r="F969" s="92"/>
      <c r="G969" s="79"/>
      <c r="H969" s="82"/>
      <c r="I969" s="93" t="str">
        <f aca="false">IF(B969="","",IFERROR(INDEX('CARNET DE SOUDURE'!$B$7:$B$1506,MATCH(B969,'CARNET DE SOUDURE'!$K$7:$K$1506,0)),IFERROR(INDEX('CARNET DE SOUDURE'!$B$7:$B$1506,MATCH(B969,'CARNET DE SOUDURE'!$M$7:$M$1506,0)),"")))</f>
        <v/>
      </c>
      <c r="J969" s="78" t="str">
        <f aca="false">IF(B969="","",IFERROR(INDEX('CARNET DE SOUDURE'!$E$7:$E$1506,MATCH(B969,'CARNET DE SOUDURE'!$M$7:$M$1506,0)),""))</f>
        <v/>
      </c>
      <c r="K969" s="78" t="str">
        <f aca="false">IF(B969="","",IFERROR(INDEX('CARNET DE SOUDURE'!$E$7:$E$1506,MATCH(B969,'CARNET DE SOUDURE'!$K$7:$K$1506,0)),""))</f>
        <v/>
      </c>
      <c r="L969" s="78" t="str">
        <f aca="false">IF(B969="","",IFERROR(INDEX('CARNET DE SOUDURE'!$D$7:$D$1506,MATCH(B969,'CARNET DE SOUDURE'!$K$7:$K$1506,0)),IFERROR(INDEX('CARNET DE SOUDURE'!$D$7:$D$1506,MATCH(B969,'CARNET DE SOUDURE'!$M$7:$M$1506,0)),"")))</f>
        <v/>
      </c>
      <c r="M969" s="81" t="str">
        <f aca="false">IF(B969="","",IF(OR(J969&lt;&gt;"",K969&lt;&gt;""),"POSÉ EN LIGNE",IF(H969&lt;&gt;"","BARDÉ","EN STOCK")))</f>
        <v/>
      </c>
      <c r="N969" s="79"/>
    </row>
    <row r="970" customFormat="false" ht="15" hidden="false" customHeight="false" outlineLevel="0" collapsed="false">
      <c r="A970" s="78" t="str">
        <f aca="false">IF(B970="","",ROW()-6)</f>
        <v/>
      </c>
      <c r="B970" s="90"/>
      <c r="C970" s="91"/>
      <c r="D970" s="91"/>
      <c r="E970" s="80"/>
      <c r="F970" s="92"/>
      <c r="G970" s="79"/>
      <c r="H970" s="82"/>
      <c r="I970" s="93" t="str">
        <f aca="false">IF(B970="","",IFERROR(INDEX('CARNET DE SOUDURE'!$B$7:$B$1506,MATCH(B970,'CARNET DE SOUDURE'!$K$7:$K$1506,0)),IFERROR(INDEX('CARNET DE SOUDURE'!$B$7:$B$1506,MATCH(B970,'CARNET DE SOUDURE'!$M$7:$M$1506,0)),"")))</f>
        <v/>
      </c>
      <c r="J970" s="78" t="str">
        <f aca="false">IF(B970="","",IFERROR(INDEX('CARNET DE SOUDURE'!$E$7:$E$1506,MATCH(B970,'CARNET DE SOUDURE'!$M$7:$M$1506,0)),""))</f>
        <v/>
      </c>
      <c r="K970" s="78" t="str">
        <f aca="false">IF(B970="","",IFERROR(INDEX('CARNET DE SOUDURE'!$E$7:$E$1506,MATCH(B970,'CARNET DE SOUDURE'!$K$7:$K$1506,0)),""))</f>
        <v/>
      </c>
      <c r="L970" s="78" t="str">
        <f aca="false">IF(B970="","",IFERROR(INDEX('CARNET DE SOUDURE'!$D$7:$D$1506,MATCH(B970,'CARNET DE SOUDURE'!$K$7:$K$1506,0)),IFERROR(INDEX('CARNET DE SOUDURE'!$D$7:$D$1506,MATCH(B970,'CARNET DE SOUDURE'!$M$7:$M$1506,0)),"")))</f>
        <v/>
      </c>
      <c r="M970" s="81" t="str">
        <f aca="false">IF(B970="","",IF(OR(J970&lt;&gt;"",K970&lt;&gt;""),"POSÉ EN LIGNE",IF(H970&lt;&gt;"","BARDÉ","EN STOCK")))</f>
        <v/>
      </c>
      <c r="N970" s="79"/>
    </row>
    <row r="971" customFormat="false" ht="15" hidden="false" customHeight="false" outlineLevel="0" collapsed="false">
      <c r="A971" s="78" t="str">
        <f aca="false">IF(B971="","",ROW()-6)</f>
        <v/>
      </c>
      <c r="B971" s="90"/>
      <c r="C971" s="91"/>
      <c r="D971" s="91"/>
      <c r="E971" s="80"/>
      <c r="F971" s="92"/>
      <c r="G971" s="79"/>
      <c r="H971" s="82"/>
      <c r="I971" s="93" t="str">
        <f aca="false">IF(B971="","",IFERROR(INDEX('CARNET DE SOUDURE'!$B$7:$B$1506,MATCH(B971,'CARNET DE SOUDURE'!$K$7:$K$1506,0)),IFERROR(INDEX('CARNET DE SOUDURE'!$B$7:$B$1506,MATCH(B971,'CARNET DE SOUDURE'!$M$7:$M$1506,0)),"")))</f>
        <v/>
      </c>
      <c r="J971" s="78" t="str">
        <f aca="false">IF(B971="","",IFERROR(INDEX('CARNET DE SOUDURE'!$E$7:$E$1506,MATCH(B971,'CARNET DE SOUDURE'!$M$7:$M$1506,0)),""))</f>
        <v/>
      </c>
      <c r="K971" s="78" t="str">
        <f aca="false">IF(B971="","",IFERROR(INDEX('CARNET DE SOUDURE'!$E$7:$E$1506,MATCH(B971,'CARNET DE SOUDURE'!$K$7:$K$1506,0)),""))</f>
        <v/>
      </c>
      <c r="L971" s="78" t="str">
        <f aca="false">IF(B971="","",IFERROR(INDEX('CARNET DE SOUDURE'!$D$7:$D$1506,MATCH(B971,'CARNET DE SOUDURE'!$K$7:$K$1506,0)),IFERROR(INDEX('CARNET DE SOUDURE'!$D$7:$D$1506,MATCH(B971,'CARNET DE SOUDURE'!$M$7:$M$1506,0)),"")))</f>
        <v/>
      </c>
      <c r="M971" s="81" t="str">
        <f aca="false">IF(B971="","",IF(OR(J971&lt;&gt;"",K971&lt;&gt;""),"POSÉ EN LIGNE",IF(H971&lt;&gt;"","BARDÉ","EN STOCK")))</f>
        <v/>
      </c>
      <c r="N971" s="79"/>
    </row>
    <row r="972" customFormat="false" ht="15" hidden="false" customHeight="false" outlineLevel="0" collapsed="false">
      <c r="A972" s="78" t="str">
        <f aca="false">IF(B972="","",ROW()-6)</f>
        <v/>
      </c>
      <c r="B972" s="90"/>
      <c r="C972" s="91"/>
      <c r="D972" s="91"/>
      <c r="E972" s="80"/>
      <c r="F972" s="92"/>
      <c r="G972" s="79"/>
      <c r="H972" s="82"/>
      <c r="I972" s="93" t="str">
        <f aca="false">IF(B972="","",IFERROR(INDEX('CARNET DE SOUDURE'!$B$7:$B$1506,MATCH(B972,'CARNET DE SOUDURE'!$K$7:$K$1506,0)),IFERROR(INDEX('CARNET DE SOUDURE'!$B$7:$B$1506,MATCH(B972,'CARNET DE SOUDURE'!$M$7:$M$1506,0)),"")))</f>
        <v/>
      </c>
      <c r="J972" s="78" t="str">
        <f aca="false">IF(B972="","",IFERROR(INDEX('CARNET DE SOUDURE'!$E$7:$E$1506,MATCH(B972,'CARNET DE SOUDURE'!$M$7:$M$1506,0)),""))</f>
        <v/>
      </c>
      <c r="K972" s="78" t="str">
        <f aca="false">IF(B972="","",IFERROR(INDEX('CARNET DE SOUDURE'!$E$7:$E$1506,MATCH(B972,'CARNET DE SOUDURE'!$K$7:$K$1506,0)),""))</f>
        <v/>
      </c>
      <c r="L972" s="78" t="str">
        <f aca="false">IF(B972="","",IFERROR(INDEX('CARNET DE SOUDURE'!$D$7:$D$1506,MATCH(B972,'CARNET DE SOUDURE'!$K$7:$K$1506,0)),IFERROR(INDEX('CARNET DE SOUDURE'!$D$7:$D$1506,MATCH(B972,'CARNET DE SOUDURE'!$M$7:$M$1506,0)),"")))</f>
        <v/>
      </c>
      <c r="M972" s="81" t="str">
        <f aca="false">IF(B972="","",IF(OR(J972&lt;&gt;"",K972&lt;&gt;""),"POSÉ EN LIGNE",IF(H972&lt;&gt;"","BARDÉ","EN STOCK")))</f>
        <v/>
      </c>
      <c r="N972" s="79"/>
    </row>
    <row r="973" customFormat="false" ht="15" hidden="false" customHeight="false" outlineLevel="0" collapsed="false">
      <c r="A973" s="78" t="str">
        <f aca="false">IF(B973="","",ROW()-6)</f>
        <v/>
      </c>
      <c r="B973" s="90"/>
      <c r="C973" s="91"/>
      <c r="D973" s="91"/>
      <c r="E973" s="80"/>
      <c r="F973" s="92"/>
      <c r="G973" s="79"/>
      <c r="H973" s="82"/>
      <c r="I973" s="93" t="str">
        <f aca="false">IF(B973="","",IFERROR(INDEX('CARNET DE SOUDURE'!$B$7:$B$1506,MATCH(B973,'CARNET DE SOUDURE'!$K$7:$K$1506,0)),IFERROR(INDEX('CARNET DE SOUDURE'!$B$7:$B$1506,MATCH(B973,'CARNET DE SOUDURE'!$M$7:$M$1506,0)),"")))</f>
        <v/>
      </c>
      <c r="J973" s="78" t="str">
        <f aca="false">IF(B973="","",IFERROR(INDEX('CARNET DE SOUDURE'!$E$7:$E$1506,MATCH(B973,'CARNET DE SOUDURE'!$M$7:$M$1506,0)),""))</f>
        <v/>
      </c>
      <c r="K973" s="78" t="str">
        <f aca="false">IF(B973="","",IFERROR(INDEX('CARNET DE SOUDURE'!$E$7:$E$1506,MATCH(B973,'CARNET DE SOUDURE'!$K$7:$K$1506,0)),""))</f>
        <v/>
      </c>
      <c r="L973" s="78" t="str">
        <f aca="false">IF(B973="","",IFERROR(INDEX('CARNET DE SOUDURE'!$D$7:$D$1506,MATCH(B973,'CARNET DE SOUDURE'!$K$7:$K$1506,0)),IFERROR(INDEX('CARNET DE SOUDURE'!$D$7:$D$1506,MATCH(B973,'CARNET DE SOUDURE'!$M$7:$M$1506,0)),"")))</f>
        <v/>
      </c>
      <c r="M973" s="81" t="str">
        <f aca="false">IF(B973="","",IF(OR(J973&lt;&gt;"",K973&lt;&gt;""),"POSÉ EN LIGNE",IF(H973&lt;&gt;"","BARDÉ","EN STOCK")))</f>
        <v/>
      </c>
      <c r="N973" s="79"/>
    </row>
    <row r="974" customFormat="false" ht="15" hidden="false" customHeight="false" outlineLevel="0" collapsed="false">
      <c r="A974" s="78" t="str">
        <f aca="false">IF(B974="","",ROW()-6)</f>
        <v/>
      </c>
      <c r="B974" s="90"/>
      <c r="C974" s="91"/>
      <c r="D974" s="91"/>
      <c r="E974" s="80"/>
      <c r="F974" s="92"/>
      <c r="G974" s="79"/>
      <c r="H974" s="82"/>
      <c r="I974" s="93" t="str">
        <f aca="false">IF(B974="","",IFERROR(INDEX('CARNET DE SOUDURE'!$B$7:$B$1506,MATCH(B974,'CARNET DE SOUDURE'!$K$7:$K$1506,0)),IFERROR(INDEX('CARNET DE SOUDURE'!$B$7:$B$1506,MATCH(B974,'CARNET DE SOUDURE'!$M$7:$M$1506,0)),"")))</f>
        <v/>
      </c>
      <c r="J974" s="78" t="str">
        <f aca="false">IF(B974="","",IFERROR(INDEX('CARNET DE SOUDURE'!$E$7:$E$1506,MATCH(B974,'CARNET DE SOUDURE'!$M$7:$M$1506,0)),""))</f>
        <v/>
      </c>
      <c r="K974" s="78" t="str">
        <f aca="false">IF(B974="","",IFERROR(INDEX('CARNET DE SOUDURE'!$E$7:$E$1506,MATCH(B974,'CARNET DE SOUDURE'!$K$7:$K$1506,0)),""))</f>
        <v/>
      </c>
      <c r="L974" s="78" t="str">
        <f aca="false">IF(B974="","",IFERROR(INDEX('CARNET DE SOUDURE'!$D$7:$D$1506,MATCH(B974,'CARNET DE SOUDURE'!$K$7:$K$1506,0)),IFERROR(INDEX('CARNET DE SOUDURE'!$D$7:$D$1506,MATCH(B974,'CARNET DE SOUDURE'!$M$7:$M$1506,0)),"")))</f>
        <v/>
      </c>
      <c r="M974" s="81" t="str">
        <f aca="false">IF(B974="","",IF(OR(J974&lt;&gt;"",K974&lt;&gt;""),"POSÉ EN LIGNE",IF(H974&lt;&gt;"","BARDÉ","EN STOCK")))</f>
        <v/>
      </c>
      <c r="N974" s="79"/>
    </row>
    <row r="975" customFormat="false" ht="15" hidden="false" customHeight="false" outlineLevel="0" collapsed="false">
      <c r="A975" s="78" t="str">
        <f aca="false">IF(B975="","",ROW()-6)</f>
        <v/>
      </c>
      <c r="B975" s="90"/>
      <c r="C975" s="91"/>
      <c r="D975" s="91"/>
      <c r="E975" s="80"/>
      <c r="F975" s="92"/>
      <c r="G975" s="79"/>
      <c r="H975" s="82"/>
      <c r="I975" s="93" t="str">
        <f aca="false">IF(B975="","",IFERROR(INDEX('CARNET DE SOUDURE'!$B$7:$B$1506,MATCH(B975,'CARNET DE SOUDURE'!$K$7:$K$1506,0)),IFERROR(INDEX('CARNET DE SOUDURE'!$B$7:$B$1506,MATCH(B975,'CARNET DE SOUDURE'!$M$7:$M$1506,0)),"")))</f>
        <v/>
      </c>
      <c r="J975" s="78" t="str">
        <f aca="false">IF(B975="","",IFERROR(INDEX('CARNET DE SOUDURE'!$E$7:$E$1506,MATCH(B975,'CARNET DE SOUDURE'!$M$7:$M$1506,0)),""))</f>
        <v/>
      </c>
      <c r="K975" s="78" t="str">
        <f aca="false">IF(B975="","",IFERROR(INDEX('CARNET DE SOUDURE'!$E$7:$E$1506,MATCH(B975,'CARNET DE SOUDURE'!$K$7:$K$1506,0)),""))</f>
        <v/>
      </c>
      <c r="L975" s="78" t="str">
        <f aca="false">IF(B975="","",IFERROR(INDEX('CARNET DE SOUDURE'!$D$7:$D$1506,MATCH(B975,'CARNET DE SOUDURE'!$K$7:$K$1506,0)),IFERROR(INDEX('CARNET DE SOUDURE'!$D$7:$D$1506,MATCH(B975,'CARNET DE SOUDURE'!$M$7:$M$1506,0)),"")))</f>
        <v/>
      </c>
      <c r="M975" s="81" t="str">
        <f aca="false">IF(B975="","",IF(OR(J975&lt;&gt;"",K975&lt;&gt;""),"POSÉ EN LIGNE",IF(H975&lt;&gt;"","BARDÉ","EN STOCK")))</f>
        <v/>
      </c>
      <c r="N975" s="79"/>
    </row>
    <row r="976" customFormat="false" ht="15" hidden="false" customHeight="false" outlineLevel="0" collapsed="false">
      <c r="A976" s="78" t="str">
        <f aca="false">IF(B976="","",ROW()-6)</f>
        <v/>
      </c>
      <c r="B976" s="90"/>
      <c r="C976" s="91"/>
      <c r="D976" s="91"/>
      <c r="E976" s="80"/>
      <c r="F976" s="92"/>
      <c r="G976" s="79"/>
      <c r="H976" s="82"/>
      <c r="I976" s="93" t="str">
        <f aca="false">IF(B976="","",IFERROR(INDEX('CARNET DE SOUDURE'!$B$7:$B$1506,MATCH(B976,'CARNET DE SOUDURE'!$K$7:$K$1506,0)),IFERROR(INDEX('CARNET DE SOUDURE'!$B$7:$B$1506,MATCH(B976,'CARNET DE SOUDURE'!$M$7:$M$1506,0)),"")))</f>
        <v/>
      </c>
      <c r="J976" s="78" t="str">
        <f aca="false">IF(B976="","",IFERROR(INDEX('CARNET DE SOUDURE'!$E$7:$E$1506,MATCH(B976,'CARNET DE SOUDURE'!$M$7:$M$1506,0)),""))</f>
        <v/>
      </c>
      <c r="K976" s="78" t="str">
        <f aca="false">IF(B976="","",IFERROR(INDEX('CARNET DE SOUDURE'!$E$7:$E$1506,MATCH(B976,'CARNET DE SOUDURE'!$K$7:$K$1506,0)),""))</f>
        <v/>
      </c>
      <c r="L976" s="78" t="str">
        <f aca="false">IF(B976="","",IFERROR(INDEX('CARNET DE SOUDURE'!$D$7:$D$1506,MATCH(B976,'CARNET DE SOUDURE'!$K$7:$K$1506,0)),IFERROR(INDEX('CARNET DE SOUDURE'!$D$7:$D$1506,MATCH(B976,'CARNET DE SOUDURE'!$M$7:$M$1506,0)),"")))</f>
        <v/>
      </c>
      <c r="M976" s="81" t="str">
        <f aca="false">IF(B976="","",IF(OR(J976&lt;&gt;"",K976&lt;&gt;""),"POSÉ EN LIGNE",IF(H976&lt;&gt;"","BARDÉ","EN STOCK")))</f>
        <v/>
      </c>
      <c r="N976" s="79"/>
    </row>
    <row r="977" customFormat="false" ht="15" hidden="false" customHeight="false" outlineLevel="0" collapsed="false">
      <c r="A977" s="78" t="str">
        <f aca="false">IF(B977="","",ROW()-6)</f>
        <v/>
      </c>
      <c r="B977" s="90"/>
      <c r="C977" s="91"/>
      <c r="D977" s="91"/>
      <c r="E977" s="80"/>
      <c r="F977" s="92"/>
      <c r="G977" s="79"/>
      <c r="H977" s="82"/>
      <c r="I977" s="93" t="str">
        <f aca="false">IF(B977="","",IFERROR(INDEX('CARNET DE SOUDURE'!$B$7:$B$1506,MATCH(B977,'CARNET DE SOUDURE'!$K$7:$K$1506,0)),IFERROR(INDEX('CARNET DE SOUDURE'!$B$7:$B$1506,MATCH(B977,'CARNET DE SOUDURE'!$M$7:$M$1506,0)),"")))</f>
        <v/>
      </c>
      <c r="J977" s="78" t="str">
        <f aca="false">IF(B977="","",IFERROR(INDEX('CARNET DE SOUDURE'!$E$7:$E$1506,MATCH(B977,'CARNET DE SOUDURE'!$M$7:$M$1506,0)),""))</f>
        <v/>
      </c>
      <c r="K977" s="78" t="str">
        <f aca="false">IF(B977="","",IFERROR(INDEX('CARNET DE SOUDURE'!$E$7:$E$1506,MATCH(B977,'CARNET DE SOUDURE'!$K$7:$K$1506,0)),""))</f>
        <v/>
      </c>
      <c r="L977" s="78" t="str">
        <f aca="false">IF(B977="","",IFERROR(INDEX('CARNET DE SOUDURE'!$D$7:$D$1506,MATCH(B977,'CARNET DE SOUDURE'!$K$7:$K$1506,0)),IFERROR(INDEX('CARNET DE SOUDURE'!$D$7:$D$1506,MATCH(B977,'CARNET DE SOUDURE'!$M$7:$M$1506,0)),"")))</f>
        <v/>
      </c>
      <c r="M977" s="81" t="str">
        <f aca="false">IF(B977="","",IF(OR(J977&lt;&gt;"",K977&lt;&gt;""),"POSÉ EN LIGNE",IF(H977&lt;&gt;"","BARDÉ","EN STOCK")))</f>
        <v/>
      </c>
      <c r="N977" s="79"/>
    </row>
    <row r="978" customFormat="false" ht="15" hidden="false" customHeight="false" outlineLevel="0" collapsed="false">
      <c r="A978" s="78" t="str">
        <f aca="false">IF(B978="","",ROW()-6)</f>
        <v/>
      </c>
      <c r="B978" s="90"/>
      <c r="C978" s="91"/>
      <c r="D978" s="91"/>
      <c r="E978" s="80"/>
      <c r="F978" s="92"/>
      <c r="G978" s="79"/>
      <c r="H978" s="82"/>
      <c r="I978" s="93" t="str">
        <f aca="false">IF(B978="","",IFERROR(INDEX('CARNET DE SOUDURE'!$B$7:$B$1506,MATCH(B978,'CARNET DE SOUDURE'!$K$7:$K$1506,0)),IFERROR(INDEX('CARNET DE SOUDURE'!$B$7:$B$1506,MATCH(B978,'CARNET DE SOUDURE'!$M$7:$M$1506,0)),"")))</f>
        <v/>
      </c>
      <c r="J978" s="78" t="str">
        <f aca="false">IF(B978="","",IFERROR(INDEX('CARNET DE SOUDURE'!$E$7:$E$1506,MATCH(B978,'CARNET DE SOUDURE'!$M$7:$M$1506,0)),""))</f>
        <v/>
      </c>
      <c r="K978" s="78" t="str">
        <f aca="false">IF(B978="","",IFERROR(INDEX('CARNET DE SOUDURE'!$E$7:$E$1506,MATCH(B978,'CARNET DE SOUDURE'!$K$7:$K$1506,0)),""))</f>
        <v/>
      </c>
      <c r="L978" s="78" t="str">
        <f aca="false">IF(B978="","",IFERROR(INDEX('CARNET DE SOUDURE'!$D$7:$D$1506,MATCH(B978,'CARNET DE SOUDURE'!$K$7:$K$1506,0)),IFERROR(INDEX('CARNET DE SOUDURE'!$D$7:$D$1506,MATCH(B978,'CARNET DE SOUDURE'!$M$7:$M$1506,0)),"")))</f>
        <v/>
      </c>
      <c r="M978" s="81" t="str">
        <f aca="false">IF(B978="","",IF(OR(J978&lt;&gt;"",K978&lt;&gt;""),"POSÉ EN LIGNE",IF(H978&lt;&gt;"","BARDÉ","EN STOCK")))</f>
        <v/>
      </c>
      <c r="N978" s="79"/>
    </row>
    <row r="979" customFormat="false" ht="15" hidden="false" customHeight="false" outlineLevel="0" collapsed="false">
      <c r="A979" s="78" t="str">
        <f aca="false">IF(B979="","",ROW()-6)</f>
        <v/>
      </c>
      <c r="B979" s="90"/>
      <c r="C979" s="91"/>
      <c r="D979" s="91"/>
      <c r="E979" s="80"/>
      <c r="F979" s="92"/>
      <c r="G979" s="79"/>
      <c r="H979" s="82"/>
      <c r="I979" s="93" t="str">
        <f aca="false">IF(B979="","",IFERROR(INDEX('CARNET DE SOUDURE'!$B$7:$B$1506,MATCH(B979,'CARNET DE SOUDURE'!$K$7:$K$1506,0)),IFERROR(INDEX('CARNET DE SOUDURE'!$B$7:$B$1506,MATCH(B979,'CARNET DE SOUDURE'!$M$7:$M$1506,0)),"")))</f>
        <v/>
      </c>
      <c r="J979" s="78" t="str">
        <f aca="false">IF(B979="","",IFERROR(INDEX('CARNET DE SOUDURE'!$E$7:$E$1506,MATCH(B979,'CARNET DE SOUDURE'!$M$7:$M$1506,0)),""))</f>
        <v/>
      </c>
      <c r="K979" s="78" t="str">
        <f aca="false">IF(B979="","",IFERROR(INDEX('CARNET DE SOUDURE'!$E$7:$E$1506,MATCH(B979,'CARNET DE SOUDURE'!$K$7:$K$1506,0)),""))</f>
        <v/>
      </c>
      <c r="L979" s="78" t="str">
        <f aca="false">IF(B979="","",IFERROR(INDEX('CARNET DE SOUDURE'!$D$7:$D$1506,MATCH(B979,'CARNET DE SOUDURE'!$K$7:$K$1506,0)),IFERROR(INDEX('CARNET DE SOUDURE'!$D$7:$D$1506,MATCH(B979,'CARNET DE SOUDURE'!$M$7:$M$1506,0)),"")))</f>
        <v/>
      </c>
      <c r="M979" s="81" t="str">
        <f aca="false">IF(B979="","",IF(OR(J979&lt;&gt;"",K979&lt;&gt;""),"POSÉ EN LIGNE",IF(H979&lt;&gt;"","BARDÉ","EN STOCK")))</f>
        <v/>
      </c>
      <c r="N979" s="79"/>
    </row>
    <row r="980" customFormat="false" ht="15" hidden="false" customHeight="false" outlineLevel="0" collapsed="false">
      <c r="A980" s="78" t="str">
        <f aca="false">IF(B980="","",ROW()-6)</f>
        <v/>
      </c>
      <c r="B980" s="90"/>
      <c r="C980" s="91"/>
      <c r="D980" s="91"/>
      <c r="E980" s="80"/>
      <c r="F980" s="92"/>
      <c r="G980" s="79"/>
      <c r="H980" s="82"/>
      <c r="I980" s="93" t="str">
        <f aca="false">IF(B980="","",IFERROR(INDEX('CARNET DE SOUDURE'!$B$7:$B$1506,MATCH(B980,'CARNET DE SOUDURE'!$K$7:$K$1506,0)),IFERROR(INDEX('CARNET DE SOUDURE'!$B$7:$B$1506,MATCH(B980,'CARNET DE SOUDURE'!$M$7:$M$1506,0)),"")))</f>
        <v/>
      </c>
      <c r="J980" s="78" t="str">
        <f aca="false">IF(B980="","",IFERROR(INDEX('CARNET DE SOUDURE'!$E$7:$E$1506,MATCH(B980,'CARNET DE SOUDURE'!$M$7:$M$1506,0)),""))</f>
        <v/>
      </c>
      <c r="K980" s="78" t="str">
        <f aca="false">IF(B980="","",IFERROR(INDEX('CARNET DE SOUDURE'!$E$7:$E$1506,MATCH(B980,'CARNET DE SOUDURE'!$K$7:$K$1506,0)),""))</f>
        <v/>
      </c>
      <c r="L980" s="78" t="str">
        <f aca="false">IF(B980="","",IFERROR(INDEX('CARNET DE SOUDURE'!$D$7:$D$1506,MATCH(B980,'CARNET DE SOUDURE'!$K$7:$K$1506,0)),IFERROR(INDEX('CARNET DE SOUDURE'!$D$7:$D$1506,MATCH(B980,'CARNET DE SOUDURE'!$M$7:$M$1506,0)),"")))</f>
        <v/>
      </c>
      <c r="M980" s="81" t="str">
        <f aca="false">IF(B980="","",IF(OR(J980&lt;&gt;"",K980&lt;&gt;""),"POSÉ EN LIGNE",IF(H980&lt;&gt;"","BARDÉ","EN STOCK")))</f>
        <v/>
      </c>
      <c r="N980" s="79"/>
    </row>
    <row r="981" customFormat="false" ht="15" hidden="false" customHeight="false" outlineLevel="0" collapsed="false">
      <c r="A981" s="78" t="str">
        <f aca="false">IF(B981="","",ROW()-6)</f>
        <v/>
      </c>
      <c r="B981" s="90"/>
      <c r="C981" s="91"/>
      <c r="D981" s="91"/>
      <c r="E981" s="80"/>
      <c r="F981" s="92"/>
      <c r="G981" s="79"/>
      <c r="H981" s="82"/>
      <c r="I981" s="93" t="str">
        <f aca="false">IF(B981="","",IFERROR(INDEX('CARNET DE SOUDURE'!$B$7:$B$1506,MATCH(B981,'CARNET DE SOUDURE'!$K$7:$K$1506,0)),IFERROR(INDEX('CARNET DE SOUDURE'!$B$7:$B$1506,MATCH(B981,'CARNET DE SOUDURE'!$M$7:$M$1506,0)),"")))</f>
        <v/>
      </c>
      <c r="J981" s="78" t="str">
        <f aca="false">IF(B981="","",IFERROR(INDEX('CARNET DE SOUDURE'!$E$7:$E$1506,MATCH(B981,'CARNET DE SOUDURE'!$M$7:$M$1506,0)),""))</f>
        <v/>
      </c>
      <c r="K981" s="78" t="str">
        <f aca="false">IF(B981="","",IFERROR(INDEX('CARNET DE SOUDURE'!$E$7:$E$1506,MATCH(B981,'CARNET DE SOUDURE'!$K$7:$K$1506,0)),""))</f>
        <v/>
      </c>
      <c r="L981" s="78" t="str">
        <f aca="false">IF(B981="","",IFERROR(INDEX('CARNET DE SOUDURE'!$D$7:$D$1506,MATCH(B981,'CARNET DE SOUDURE'!$K$7:$K$1506,0)),IFERROR(INDEX('CARNET DE SOUDURE'!$D$7:$D$1506,MATCH(B981,'CARNET DE SOUDURE'!$M$7:$M$1506,0)),"")))</f>
        <v/>
      </c>
      <c r="M981" s="81" t="str">
        <f aca="false">IF(B981="","",IF(OR(J981&lt;&gt;"",K981&lt;&gt;""),"POSÉ EN LIGNE",IF(H981&lt;&gt;"","BARDÉ","EN STOCK")))</f>
        <v/>
      </c>
      <c r="N981" s="79"/>
    </row>
    <row r="982" customFormat="false" ht="15" hidden="false" customHeight="false" outlineLevel="0" collapsed="false">
      <c r="A982" s="78" t="str">
        <f aca="false">IF(B982="","",ROW()-6)</f>
        <v/>
      </c>
      <c r="B982" s="90"/>
      <c r="C982" s="91"/>
      <c r="D982" s="91"/>
      <c r="E982" s="80"/>
      <c r="F982" s="92"/>
      <c r="G982" s="79"/>
      <c r="H982" s="82"/>
      <c r="I982" s="93" t="str">
        <f aca="false">IF(B982="","",IFERROR(INDEX('CARNET DE SOUDURE'!$B$7:$B$1506,MATCH(B982,'CARNET DE SOUDURE'!$K$7:$K$1506,0)),IFERROR(INDEX('CARNET DE SOUDURE'!$B$7:$B$1506,MATCH(B982,'CARNET DE SOUDURE'!$M$7:$M$1506,0)),"")))</f>
        <v/>
      </c>
      <c r="J982" s="78" t="str">
        <f aca="false">IF(B982="","",IFERROR(INDEX('CARNET DE SOUDURE'!$E$7:$E$1506,MATCH(B982,'CARNET DE SOUDURE'!$M$7:$M$1506,0)),""))</f>
        <v/>
      </c>
      <c r="K982" s="78" t="str">
        <f aca="false">IF(B982="","",IFERROR(INDEX('CARNET DE SOUDURE'!$E$7:$E$1506,MATCH(B982,'CARNET DE SOUDURE'!$K$7:$K$1506,0)),""))</f>
        <v/>
      </c>
      <c r="L982" s="78" t="str">
        <f aca="false">IF(B982="","",IFERROR(INDEX('CARNET DE SOUDURE'!$D$7:$D$1506,MATCH(B982,'CARNET DE SOUDURE'!$K$7:$K$1506,0)),IFERROR(INDEX('CARNET DE SOUDURE'!$D$7:$D$1506,MATCH(B982,'CARNET DE SOUDURE'!$M$7:$M$1506,0)),"")))</f>
        <v/>
      </c>
      <c r="M982" s="81" t="str">
        <f aca="false">IF(B982="","",IF(OR(J982&lt;&gt;"",K982&lt;&gt;""),"POSÉ EN LIGNE",IF(H982&lt;&gt;"","BARDÉ","EN STOCK")))</f>
        <v/>
      </c>
      <c r="N982" s="79"/>
    </row>
    <row r="983" customFormat="false" ht="15" hidden="false" customHeight="false" outlineLevel="0" collapsed="false">
      <c r="A983" s="78" t="str">
        <f aca="false">IF(B983="","",ROW()-6)</f>
        <v/>
      </c>
      <c r="B983" s="90"/>
      <c r="C983" s="91"/>
      <c r="D983" s="91"/>
      <c r="E983" s="80"/>
      <c r="F983" s="92"/>
      <c r="G983" s="79"/>
      <c r="H983" s="82"/>
      <c r="I983" s="93" t="str">
        <f aca="false">IF(B983="","",IFERROR(INDEX('CARNET DE SOUDURE'!$B$7:$B$1506,MATCH(B983,'CARNET DE SOUDURE'!$K$7:$K$1506,0)),IFERROR(INDEX('CARNET DE SOUDURE'!$B$7:$B$1506,MATCH(B983,'CARNET DE SOUDURE'!$M$7:$M$1506,0)),"")))</f>
        <v/>
      </c>
      <c r="J983" s="78" t="str">
        <f aca="false">IF(B983="","",IFERROR(INDEX('CARNET DE SOUDURE'!$E$7:$E$1506,MATCH(B983,'CARNET DE SOUDURE'!$M$7:$M$1506,0)),""))</f>
        <v/>
      </c>
      <c r="K983" s="78" t="str">
        <f aca="false">IF(B983="","",IFERROR(INDEX('CARNET DE SOUDURE'!$E$7:$E$1506,MATCH(B983,'CARNET DE SOUDURE'!$K$7:$K$1506,0)),""))</f>
        <v/>
      </c>
      <c r="L983" s="78" t="str">
        <f aca="false">IF(B983="","",IFERROR(INDEX('CARNET DE SOUDURE'!$D$7:$D$1506,MATCH(B983,'CARNET DE SOUDURE'!$K$7:$K$1506,0)),IFERROR(INDEX('CARNET DE SOUDURE'!$D$7:$D$1506,MATCH(B983,'CARNET DE SOUDURE'!$M$7:$M$1506,0)),"")))</f>
        <v/>
      </c>
      <c r="M983" s="81" t="str">
        <f aca="false">IF(B983="","",IF(OR(J983&lt;&gt;"",K983&lt;&gt;""),"POSÉ EN LIGNE",IF(H983&lt;&gt;"","BARDÉ","EN STOCK")))</f>
        <v/>
      </c>
      <c r="N983" s="79"/>
    </row>
    <row r="984" customFormat="false" ht="15" hidden="false" customHeight="false" outlineLevel="0" collapsed="false">
      <c r="A984" s="78" t="str">
        <f aca="false">IF(B984="","",ROW()-6)</f>
        <v/>
      </c>
      <c r="B984" s="90"/>
      <c r="C984" s="91"/>
      <c r="D984" s="91"/>
      <c r="E984" s="80"/>
      <c r="F984" s="92"/>
      <c r="G984" s="79"/>
      <c r="H984" s="82"/>
      <c r="I984" s="93" t="str">
        <f aca="false">IF(B984="","",IFERROR(INDEX('CARNET DE SOUDURE'!$B$7:$B$1506,MATCH(B984,'CARNET DE SOUDURE'!$K$7:$K$1506,0)),IFERROR(INDEX('CARNET DE SOUDURE'!$B$7:$B$1506,MATCH(B984,'CARNET DE SOUDURE'!$M$7:$M$1506,0)),"")))</f>
        <v/>
      </c>
      <c r="J984" s="78" t="str">
        <f aca="false">IF(B984="","",IFERROR(INDEX('CARNET DE SOUDURE'!$E$7:$E$1506,MATCH(B984,'CARNET DE SOUDURE'!$M$7:$M$1506,0)),""))</f>
        <v/>
      </c>
      <c r="K984" s="78" t="str">
        <f aca="false">IF(B984="","",IFERROR(INDEX('CARNET DE SOUDURE'!$E$7:$E$1506,MATCH(B984,'CARNET DE SOUDURE'!$K$7:$K$1506,0)),""))</f>
        <v/>
      </c>
      <c r="L984" s="78" t="str">
        <f aca="false">IF(B984="","",IFERROR(INDEX('CARNET DE SOUDURE'!$D$7:$D$1506,MATCH(B984,'CARNET DE SOUDURE'!$K$7:$K$1506,0)),IFERROR(INDEX('CARNET DE SOUDURE'!$D$7:$D$1506,MATCH(B984,'CARNET DE SOUDURE'!$M$7:$M$1506,0)),"")))</f>
        <v/>
      </c>
      <c r="M984" s="81" t="str">
        <f aca="false">IF(B984="","",IF(OR(J984&lt;&gt;"",K984&lt;&gt;""),"POSÉ EN LIGNE",IF(H984&lt;&gt;"","BARDÉ","EN STOCK")))</f>
        <v/>
      </c>
      <c r="N984" s="79"/>
    </row>
    <row r="985" customFormat="false" ht="15" hidden="false" customHeight="false" outlineLevel="0" collapsed="false">
      <c r="A985" s="78" t="str">
        <f aca="false">IF(B985="","",ROW()-6)</f>
        <v/>
      </c>
      <c r="B985" s="90"/>
      <c r="C985" s="91"/>
      <c r="D985" s="91"/>
      <c r="E985" s="80"/>
      <c r="F985" s="92"/>
      <c r="G985" s="79"/>
      <c r="H985" s="82"/>
      <c r="I985" s="93" t="str">
        <f aca="false">IF(B985="","",IFERROR(INDEX('CARNET DE SOUDURE'!$B$7:$B$1506,MATCH(B985,'CARNET DE SOUDURE'!$K$7:$K$1506,0)),IFERROR(INDEX('CARNET DE SOUDURE'!$B$7:$B$1506,MATCH(B985,'CARNET DE SOUDURE'!$M$7:$M$1506,0)),"")))</f>
        <v/>
      </c>
      <c r="J985" s="78" t="str">
        <f aca="false">IF(B985="","",IFERROR(INDEX('CARNET DE SOUDURE'!$E$7:$E$1506,MATCH(B985,'CARNET DE SOUDURE'!$M$7:$M$1506,0)),""))</f>
        <v/>
      </c>
      <c r="K985" s="78" t="str">
        <f aca="false">IF(B985="","",IFERROR(INDEX('CARNET DE SOUDURE'!$E$7:$E$1506,MATCH(B985,'CARNET DE SOUDURE'!$K$7:$K$1506,0)),""))</f>
        <v/>
      </c>
      <c r="L985" s="78" t="str">
        <f aca="false">IF(B985="","",IFERROR(INDEX('CARNET DE SOUDURE'!$D$7:$D$1506,MATCH(B985,'CARNET DE SOUDURE'!$K$7:$K$1506,0)),IFERROR(INDEX('CARNET DE SOUDURE'!$D$7:$D$1506,MATCH(B985,'CARNET DE SOUDURE'!$M$7:$M$1506,0)),"")))</f>
        <v/>
      </c>
      <c r="M985" s="81" t="str">
        <f aca="false">IF(B985="","",IF(OR(J985&lt;&gt;"",K985&lt;&gt;""),"POSÉ EN LIGNE",IF(H985&lt;&gt;"","BARDÉ","EN STOCK")))</f>
        <v/>
      </c>
      <c r="N985" s="79"/>
    </row>
    <row r="986" customFormat="false" ht="15" hidden="false" customHeight="false" outlineLevel="0" collapsed="false">
      <c r="A986" s="78" t="str">
        <f aca="false">IF(B986="","",ROW()-6)</f>
        <v/>
      </c>
      <c r="B986" s="90"/>
      <c r="C986" s="91"/>
      <c r="D986" s="91"/>
      <c r="E986" s="80"/>
      <c r="F986" s="92"/>
      <c r="G986" s="79"/>
      <c r="H986" s="82"/>
      <c r="I986" s="93" t="str">
        <f aca="false">IF(B986="","",IFERROR(INDEX('CARNET DE SOUDURE'!$B$7:$B$1506,MATCH(B986,'CARNET DE SOUDURE'!$K$7:$K$1506,0)),IFERROR(INDEX('CARNET DE SOUDURE'!$B$7:$B$1506,MATCH(B986,'CARNET DE SOUDURE'!$M$7:$M$1506,0)),"")))</f>
        <v/>
      </c>
      <c r="J986" s="78" t="str">
        <f aca="false">IF(B986="","",IFERROR(INDEX('CARNET DE SOUDURE'!$E$7:$E$1506,MATCH(B986,'CARNET DE SOUDURE'!$M$7:$M$1506,0)),""))</f>
        <v/>
      </c>
      <c r="K986" s="78" t="str">
        <f aca="false">IF(B986="","",IFERROR(INDEX('CARNET DE SOUDURE'!$E$7:$E$1506,MATCH(B986,'CARNET DE SOUDURE'!$K$7:$K$1506,0)),""))</f>
        <v/>
      </c>
      <c r="L986" s="78" t="str">
        <f aca="false">IF(B986="","",IFERROR(INDEX('CARNET DE SOUDURE'!$D$7:$D$1506,MATCH(B986,'CARNET DE SOUDURE'!$K$7:$K$1506,0)),IFERROR(INDEX('CARNET DE SOUDURE'!$D$7:$D$1506,MATCH(B986,'CARNET DE SOUDURE'!$M$7:$M$1506,0)),"")))</f>
        <v/>
      </c>
      <c r="M986" s="81" t="str">
        <f aca="false">IF(B986="","",IF(OR(J986&lt;&gt;"",K986&lt;&gt;""),"POSÉ EN LIGNE",IF(H986&lt;&gt;"","BARDÉ","EN STOCK")))</f>
        <v/>
      </c>
      <c r="N986" s="79"/>
    </row>
    <row r="987" customFormat="false" ht="15" hidden="false" customHeight="false" outlineLevel="0" collapsed="false">
      <c r="A987" s="78" t="str">
        <f aca="false">IF(B987="","",ROW()-6)</f>
        <v/>
      </c>
      <c r="B987" s="90"/>
      <c r="C987" s="91"/>
      <c r="D987" s="91"/>
      <c r="E987" s="80"/>
      <c r="F987" s="92"/>
      <c r="G987" s="79"/>
      <c r="H987" s="82"/>
      <c r="I987" s="93" t="str">
        <f aca="false">IF(B987="","",IFERROR(INDEX('CARNET DE SOUDURE'!$B$7:$B$1506,MATCH(B987,'CARNET DE SOUDURE'!$K$7:$K$1506,0)),IFERROR(INDEX('CARNET DE SOUDURE'!$B$7:$B$1506,MATCH(B987,'CARNET DE SOUDURE'!$M$7:$M$1506,0)),"")))</f>
        <v/>
      </c>
      <c r="J987" s="78" t="str">
        <f aca="false">IF(B987="","",IFERROR(INDEX('CARNET DE SOUDURE'!$E$7:$E$1506,MATCH(B987,'CARNET DE SOUDURE'!$M$7:$M$1506,0)),""))</f>
        <v/>
      </c>
      <c r="K987" s="78" t="str">
        <f aca="false">IF(B987="","",IFERROR(INDEX('CARNET DE SOUDURE'!$E$7:$E$1506,MATCH(B987,'CARNET DE SOUDURE'!$K$7:$K$1506,0)),""))</f>
        <v/>
      </c>
      <c r="L987" s="78" t="str">
        <f aca="false">IF(B987="","",IFERROR(INDEX('CARNET DE SOUDURE'!$D$7:$D$1506,MATCH(B987,'CARNET DE SOUDURE'!$K$7:$K$1506,0)),IFERROR(INDEX('CARNET DE SOUDURE'!$D$7:$D$1506,MATCH(B987,'CARNET DE SOUDURE'!$M$7:$M$1506,0)),"")))</f>
        <v/>
      </c>
      <c r="M987" s="81" t="str">
        <f aca="false">IF(B987="","",IF(OR(J987&lt;&gt;"",K987&lt;&gt;""),"POSÉ EN LIGNE",IF(H987&lt;&gt;"","BARDÉ","EN STOCK")))</f>
        <v/>
      </c>
      <c r="N987" s="79"/>
    </row>
    <row r="988" customFormat="false" ht="15" hidden="false" customHeight="false" outlineLevel="0" collapsed="false">
      <c r="A988" s="78" t="str">
        <f aca="false">IF(B988="","",ROW()-6)</f>
        <v/>
      </c>
      <c r="B988" s="90"/>
      <c r="C988" s="91"/>
      <c r="D988" s="91"/>
      <c r="E988" s="80"/>
      <c r="F988" s="92"/>
      <c r="G988" s="79"/>
      <c r="H988" s="82"/>
      <c r="I988" s="93" t="str">
        <f aca="false">IF(B988="","",IFERROR(INDEX('CARNET DE SOUDURE'!$B$7:$B$1506,MATCH(B988,'CARNET DE SOUDURE'!$K$7:$K$1506,0)),IFERROR(INDEX('CARNET DE SOUDURE'!$B$7:$B$1506,MATCH(B988,'CARNET DE SOUDURE'!$M$7:$M$1506,0)),"")))</f>
        <v/>
      </c>
      <c r="J988" s="78" t="str">
        <f aca="false">IF(B988="","",IFERROR(INDEX('CARNET DE SOUDURE'!$E$7:$E$1506,MATCH(B988,'CARNET DE SOUDURE'!$M$7:$M$1506,0)),""))</f>
        <v/>
      </c>
      <c r="K988" s="78" t="str">
        <f aca="false">IF(B988="","",IFERROR(INDEX('CARNET DE SOUDURE'!$E$7:$E$1506,MATCH(B988,'CARNET DE SOUDURE'!$K$7:$K$1506,0)),""))</f>
        <v/>
      </c>
      <c r="L988" s="78" t="str">
        <f aca="false">IF(B988="","",IFERROR(INDEX('CARNET DE SOUDURE'!$D$7:$D$1506,MATCH(B988,'CARNET DE SOUDURE'!$K$7:$K$1506,0)),IFERROR(INDEX('CARNET DE SOUDURE'!$D$7:$D$1506,MATCH(B988,'CARNET DE SOUDURE'!$M$7:$M$1506,0)),"")))</f>
        <v/>
      </c>
      <c r="M988" s="81" t="str">
        <f aca="false">IF(B988="","",IF(OR(J988&lt;&gt;"",K988&lt;&gt;""),"POSÉ EN LIGNE",IF(H988&lt;&gt;"","BARDÉ","EN STOCK")))</f>
        <v/>
      </c>
      <c r="N988" s="79"/>
    </row>
    <row r="989" customFormat="false" ht="15" hidden="false" customHeight="false" outlineLevel="0" collapsed="false">
      <c r="A989" s="78" t="str">
        <f aca="false">IF(B989="","",ROW()-6)</f>
        <v/>
      </c>
      <c r="B989" s="90"/>
      <c r="C989" s="91"/>
      <c r="D989" s="91"/>
      <c r="E989" s="80"/>
      <c r="F989" s="92"/>
      <c r="G989" s="79"/>
      <c r="H989" s="82"/>
      <c r="I989" s="93" t="str">
        <f aca="false">IF(B989="","",IFERROR(INDEX('CARNET DE SOUDURE'!$B$7:$B$1506,MATCH(B989,'CARNET DE SOUDURE'!$K$7:$K$1506,0)),IFERROR(INDEX('CARNET DE SOUDURE'!$B$7:$B$1506,MATCH(B989,'CARNET DE SOUDURE'!$M$7:$M$1506,0)),"")))</f>
        <v/>
      </c>
      <c r="J989" s="78" t="str">
        <f aca="false">IF(B989="","",IFERROR(INDEX('CARNET DE SOUDURE'!$E$7:$E$1506,MATCH(B989,'CARNET DE SOUDURE'!$M$7:$M$1506,0)),""))</f>
        <v/>
      </c>
      <c r="K989" s="78" t="str">
        <f aca="false">IF(B989="","",IFERROR(INDEX('CARNET DE SOUDURE'!$E$7:$E$1506,MATCH(B989,'CARNET DE SOUDURE'!$K$7:$K$1506,0)),""))</f>
        <v/>
      </c>
      <c r="L989" s="78" t="str">
        <f aca="false">IF(B989="","",IFERROR(INDEX('CARNET DE SOUDURE'!$D$7:$D$1506,MATCH(B989,'CARNET DE SOUDURE'!$K$7:$K$1506,0)),IFERROR(INDEX('CARNET DE SOUDURE'!$D$7:$D$1506,MATCH(B989,'CARNET DE SOUDURE'!$M$7:$M$1506,0)),"")))</f>
        <v/>
      </c>
      <c r="M989" s="81" t="str">
        <f aca="false">IF(B989="","",IF(OR(J989&lt;&gt;"",K989&lt;&gt;""),"POSÉ EN LIGNE",IF(H989&lt;&gt;"","BARDÉ","EN STOCK")))</f>
        <v/>
      </c>
      <c r="N989" s="79"/>
    </row>
    <row r="990" customFormat="false" ht="15" hidden="false" customHeight="false" outlineLevel="0" collapsed="false">
      <c r="A990" s="78" t="str">
        <f aca="false">IF(B990="","",ROW()-6)</f>
        <v/>
      </c>
      <c r="B990" s="90"/>
      <c r="C990" s="91"/>
      <c r="D990" s="91"/>
      <c r="E990" s="80"/>
      <c r="F990" s="92"/>
      <c r="G990" s="79"/>
      <c r="H990" s="82"/>
      <c r="I990" s="93" t="str">
        <f aca="false">IF(B990="","",IFERROR(INDEX('CARNET DE SOUDURE'!$B$7:$B$1506,MATCH(B990,'CARNET DE SOUDURE'!$K$7:$K$1506,0)),IFERROR(INDEX('CARNET DE SOUDURE'!$B$7:$B$1506,MATCH(B990,'CARNET DE SOUDURE'!$M$7:$M$1506,0)),"")))</f>
        <v/>
      </c>
      <c r="J990" s="78" t="str">
        <f aca="false">IF(B990="","",IFERROR(INDEX('CARNET DE SOUDURE'!$E$7:$E$1506,MATCH(B990,'CARNET DE SOUDURE'!$M$7:$M$1506,0)),""))</f>
        <v/>
      </c>
      <c r="K990" s="78" t="str">
        <f aca="false">IF(B990="","",IFERROR(INDEX('CARNET DE SOUDURE'!$E$7:$E$1506,MATCH(B990,'CARNET DE SOUDURE'!$K$7:$K$1506,0)),""))</f>
        <v/>
      </c>
      <c r="L990" s="78" t="str">
        <f aca="false">IF(B990="","",IFERROR(INDEX('CARNET DE SOUDURE'!$D$7:$D$1506,MATCH(B990,'CARNET DE SOUDURE'!$K$7:$K$1506,0)),IFERROR(INDEX('CARNET DE SOUDURE'!$D$7:$D$1506,MATCH(B990,'CARNET DE SOUDURE'!$M$7:$M$1506,0)),"")))</f>
        <v/>
      </c>
      <c r="M990" s="81" t="str">
        <f aca="false">IF(B990="","",IF(OR(J990&lt;&gt;"",K990&lt;&gt;""),"POSÉ EN LIGNE",IF(H990&lt;&gt;"","BARDÉ","EN STOCK")))</f>
        <v/>
      </c>
      <c r="N990" s="79"/>
    </row>
    <row r="991" customFormat="false" ht="15" hidden="false" customHeight="false" outlineLevel="0" collapsed="false">
      <c r="A991" s="78" t="str">
        <f aca="false">IF(B991="","",ROW()-6)</f>
        <v/>
      </c>
      <c r="B991" s="90"/>
      <c r="C991" s="91"/>
      <c r="D991" s="91"/>
      <c r="E991" s="80"/>
      <c r="F991" s="92"/>
      <c r="G991" s="79"/>
      <c r="H991" s="82"/>
      <c r="I991" s="93" t="str">
        <f aca="false">IF(B991="","",IFERROR(INDEX('CARNET DE SOUDURE'!$B$7:$B$1506,MATCH(B991,'CARNET DE SOUDURE'!$K$7:$K$1506,0)),IFERROR(INDEX('CARNET DE SOUDURE'!$B$7:$B$1506,MATCH(B991,'CARNET DE SOUDURE'!$M$7:$M$1506,0)),"")))</f>
        <v/>
      </c>
      <c r="J991" s="78" t="str">
        <f aca="false">IF(B991="","",IFERROR(INDEX('CARNET DE SOUDURE'!$E$7:$E$1506,MATCH(B991,'CARNET DE SOUDURE'!$M$7:$M$1506,0)),""))</f>
        <v/>
      </c>
      <c r="K991" s="78" t="str">
        <f aca="false">IF(B991="","",IFERROR(INDEX('CARNET DE SOUDURE'!$E$7:$E$1506,MATCH(B991,'CARNET DE SOUDURE'!$K$7:$K$1506,0)),""))</f>
        <v/>
      </c>
      <c r="L991" s="78" t="str">
        <f aca="false">IF(B991="","",IFERROR(INDEX('CARNET DE SOUDURE'!$D$7:$D$1506,MATCH(B991,'CARNET DE SOUDURE'!$K$7:$K$1506,0)),IFERROR(INDEX('CARNET DE SOUDURE'!$D$7:$D$1506,MATCH(B991,'CARNET DE SOUDURE'!$M$7:$M$1506,0)),"")))</f>
        <v/>
      </c>
      <c r="M991" s="81" t="str">
        <f aca="false">IF(B991="","",IF(OR(J991&lt;&gt;"",K991&lt;&gt;""),"POSÉ EN LIGNE",IF(H991&lt;&gt;"","BARDÉ","EN STOCK")))</f>
        <v/>
      </c>
      <c r="N991" s="79"/>
    </row>
    <row r="992" customFormat="false" ht="15" hidden="false" customHeight="false" outlineLevel="0" collapsed="false">
      <c r="A992" s="78" t="str">
        <f aca="false">IF(B992="","",ROW()-6)</f>
        <v/>
      </c>
      <c r="B992" s="90"/>
      <c r="C992" s="91"/>
      <c r="D992" s="91"/>
      <c r="E992" s="80"/>
      <c r="F992" s="92"/>
      <c r="G992" s="79"/>
      <c r="H992" s="82"/>
      <c r="I992" s="93" t="str">
        <f aca="false">IF(B992="","",IFERROR(INDEX('CARNET DE SOUDURE'!$B$7:$B$1506,MATCH(B992,'CARNET DE SOUDURE'!$K$7:$K$1506,0)),IFERROR(INDEX('CARNET DE SOUDURE'!$B$7:$B$1506,MATCH(B992,'CARNET DE SOUDURE'!$M$7:$M$1506,0)),"")))</f>
        <v/>
      </c>
      <c r="J992" s="78" t="str">
        <f aca="false">IF(B992="","",IFERROR(INDEX('CARNET DE SOUDURE'!$E$7:$E$1506,MATCH(B992,'CARNET DE SOUDURE'!$M$7:$M$1506,0)),""))</f>
        <v/>
      </c>
      <c r="K992" s="78" t="str">
        <f aca="false">IF(B992="","",IFERROR(INDEX('CARNET DE SOUDURE'!$E$7:$E$1506,MATCH(B992,'CARNET DE SOUDURE'!$K$7:$K$1506,0)),""))</f>
        <v/>
      </c>
      <c r="L992" s="78" t="str">
        <f aca="false">IF(B992="","",IFERROR(INDEX('CARNET DE SOUDURE'!$D$7:$D$1506,MATCH(B992,'CARNET DE SOUDURE'!$K$7:$K$1506,0)),IFERROR(INDEX('CARNET DE SOUDURE'!$D$7:$D$1506,MATCH(B992,'CARNET DE SOUDURE'!$M$7:$M$1506,0)),"")))</f>
        <v/>
      </c>
      <c r="M992" s="81" t="str">
        <f aca="false">IF(B992="","",IF(OR(J992&lt;&gt;"",K992&lt;&gt;""),"POSÉ EN LIGNE",IF(H992&lt;&gt;"","BARDÉ","EN STOCK")))</f>
        <v/>
      </c>
      <c r="N992" s="79"/>
    </row>
    <row r="993" customFormat="false" ht="15" hidden="false" customHeight="false" outlineLevel="0" collapsed="false">
      <c r="A993" s="78" t="str">
        <f aca="false">IF(B993="","",ROW()-6)</f>
        <v/>
      </c>
      <c r="B993" s="90"/>
      <c r="C993" s="91"/>
      <c r="D993" s="91"/>
      <c r="E993" s="80"/>
      <c r="F993" s="92"/>
      <c r="G993" s="79"/>
      <c r="H993" s="82"/>
      <c r="I993" s="93" t="str">
        <f aca="false">IF(B993="","",IFERROR(INDEX('CARNET DE SOUDURE'!$B$7:$B$1506,MATCH(B993,'CARNET DE SOUDURE'!$K$7:$K$1506,0)),IFERROR(INDEX('CARNET DE SOUDURE'!$B$7:$B$1506,MATCH(B993,'CARNET DE SOUDURE'!$M$7:$M$1506,0)),"")))</f>
        <v/>
      </c>
      <c r="J993" s="78" t="str">
        <f aca="false">IF(B993="","",IFERROR(INDEX('CARNET DE SOUDURE'!$E$7:$E$1506,MATCH(B993,'CARNET DE SOUDURE'!$M$7:$M$1506,0)),""))</f>
        <v/>
      </c>
      <c r="K993" s="78" t="str">
        <f aca="false">IF(B993="","",IFERROR(INDEX('CARNET DE SOUDURE'!$E$7:$E$1506,MATCH(B993,'CARNET DE SOUDURE'!$K$7:$K$1506,0)),""))</f>
        <v/>
      </c>
      <c r="L993" s="78" t="str">
        <f aca="false">IF(B993="","",IFERROR(INDEX('CARNET DE SOUDURE'!$D$7:$D$1506,MATCH(B993,'CARNET DE SOUDURE'!$K$7:$K$1506,0)),IFERROR(INDEX('CARNET DE SOUDURE'!$D$7:$D$1506,MATCH(B993,'CARNET DE SOUDURE'!$M$7:$M$1506,0)),"")))</f>
        <v/>
      </c>
      <c r="M993" s="81" t="str">
        <f aca="false">IF(B993="","",IF(OR(J993&lt;&gt;"",K993&lt;&gt;""),"POSÉ EN LIGNE",IF(H993&lt;&gt;"","BARDÉ","EN STOCK")))</f>
        <v/>
      </c>
      <c r="N993" s="79"/>
    </row>
    <row r="994" customFormat="false" ht="15" hidden="false" customHeight="false" outlineLevel="0" collapsed="false">
      <c r="A994" s="78" t="str">
        <f aca="false">IF(B994="","",ROW()-6)</f>
        <v/>
      </c>
      <c r="B994" s="90"/>
      <c r="C994" s="91"/>
      <c r="D994" s="91"/>
      <c r="E994" s="80"/>
      <c r="F994" s="92"/>
      <c r="G994" s="79"/>
      <c r="H994" s="82"/>
      <c r="I994" s="93" t="str">
        <f aca="false">IF(B994="","",IFERROR(INDEX('CARNET DE SOUDURE'!$B$7:$B$1506,MATCH(B994,'CARNET DE SOUDURE'!$K$7:$K$1506,0)),IFERROR(INDEX('CARNET DE SOUDURE'!$B$7:$B$1506,MATCH(B994,'CARNET DE SOUDURE'!$M$7:$M$1506,0)),"")))</f>
        <v/>
      </c>
      <c r="J994" s="78" t="str">
        <f aca="false">IF(B994="","",IFERROR(INDEX('CARNET DE SOUDURE'!$E$7:$E$1506,MATCH(B994,'CARNET DE SOUDURE'!$M$7:$M$1506,0)),""))</f>
        <v/>
      </c>
      <c r="K994" s="78" t="str">
        <f aca="false">IF(B994="","",IFERROR(INDEX('CARNET DE SOUDURE'!$E$7:$E$1506,MATCH(B994,'CARNET DE SOUDURE'!$K$7:$K$1506,0)),""))</f>
        <v/>
      </c>
      <c r="L994" s="78" t="str">
        <f aca="false">IF(B994="","",IFERROR(INDEX('CARNET DE SOUDURE'!$D$7:$D$1506,MATCH(B994,'CARNET DE SOUDURE'!$K$7:$K$1506,0)),IFERROR(INDEX('CARNET DE SOUDURE'!$D$7:$D$1506,MATCH(B994,'CARNET DE SOUDURE'!$M$7:$M$1506,0)),"")))</f>
        <v/>
      </c>
      <c r="M994" s="81" t="str">
        <f aca="false">IF(B994="","",IF(OR(J994&lt;&gt;"",K994&lt;&gt;""),"POSÉ EN LIGNE",IF(H994&lt;&gt;"","BARDÉ","EN STOCK")))</f>
        <v/>
      </c>
      <c r="N994" s="79"/>
    </row>
    <row r="995" customFormat="false" ht="15" hidden="false" customHeight="false" outlineLevel="0" collapsed="false">
      <c r="A995" s="78" t="str">
        <f aca="false">IF(B995="","",ROW()-6)</f>
        <v/>
      </c>
      <c r="B995" s="90"/>
      <c r="C995" s="91"/>
      <c r="D995" s="91"/>
      <c r="E995" s="80"/>
      <c r="F995" s="92"/>
      <c r="G995" s="79"/>
      <c r="H995" s="82"/>
      <c r="I995" s="93" t="str">
        <f aca="false">IF(B995="","",IFERROR(INDEX('CARNET DE SOUDURE'!$B$7:$B$1506,MATCH(B995,'CARNET DE SOUDURE'!$K$7:$K$1506,0)),IFERROR(INDEX('CARNET DE SOUDURE'!$B$7:$B$1506,MATCH(B995,'CARNET DE SOUDURE'!$M$7:$M$1506,0)),"")))</f>
        <v/>
      </c>
      <c r="J995" s="78" t="str">
        <f aca="false">IF(B995="","",IFERROR(INDEX('CARNET DE SOUDURE'!$E$7:$E$1506,MATCH(B995,'CARNET DE SOUDURE'!$M$7:$M$1506,0)),""))</f>
        <v/>
      </c>
      <c r="K995" s="78" t="str">
        <f aca="false">IF(B995="","",IFERROR(INDEX('CARNET DE SOUDURE'!$E$7:$E$1506,MATCH(B995,'CARNET DE SOUDURE'!$K$7:$K$1506,0)),""))</f>
        <v/>
      </c>
      <c r="L995" s="78" t="str">
        <f aca="false">IF(B995="","",IFERROR(INDEX('CARNET DE SOUDURE'!$D$7:$D$1506,MATCH(B995,'CARNET DE SOUDURE'!$K$7:$K$1506,0)),IFERROR(INDEX('CARNET DE SOUDURE'!$D$7:$D$1506,MATCH(B995,'CARNET DE SOUDURE'!$M$7:$M$1506,0)),"")))</f>
        <v/>
      </c>
      <c r="M995" s="81" t="str">
        <f aca="false">IF(B995="","",IF(OR(J995&lt;&gt;"",K995&lt;&gt;""),"POSÉ EN LIGNE",IF(H995&lt;&gt;"","BARDÉ","EN STOCK")))</f>
        <v/>
      </c>
      <c r="N995" s="79"/>
    </row>
    <row r="996" customFormat="false" ht="15" hidden="false" customHeight="false" outlineLevel="0" collapsed="false">
      <c r="A996" s="78" t="str">
        <f aca="false">IF(B996="","",ROW()-6)</f>
        <v/>
      </c>
      <c r="B996" s="90"/>
      <c r="C996" s="91"/>
      <c r="D996" s="91"/>
      <c r="E996" s="80"/>
      <c r="F996" s="92"/>
      <c r="G996" s="79"/>
      <c r="H996" s="82"/>
      <c r="I996" s="93" t="str">
        <f aca="false">IF(B996="","",IFERROR(INDEX('CARNET DE SOUDURE'!$B$7:$B$1506,MATCH(B996,'CARNET DE SOUDURE'!$K$7:$K$1506,0)),IFERROR(INDEX('CARNET DE SOUDURE'!$B$7:$B$1506,MATCH(B996,'CARNET DE SOUDURE'!$M$7:$M$1506,0)),"")))</f>
        <v/>
      </c>
      <c r="J996" s="78" t="str">
        <f aca="false">IF(B996="","",IFERROR(INDEX('CARNET DE SOUDURE'!$E$7:$E$1506,MATCH(B996,'CARNET DE SOUDURE'!$M$7:$M$1506,0)),""))</f>
        <v/>
      </c>
      <c r="K996" s="78" t="str">
        <f aca="false">IF(B996="","",IFERROR(INDEX('CARNET DE SOUDURE'!$E$7:$E$1506,MATCH(B996,'CARNET DE SOUDURE'!$K$7:$K$1506,0)),""))</f>
        <v/>
      </c>
      <c r="L996" s="78" t="str">
        <f aca="false">IF(B996="","",IFERROR(INDEX('CARNET DE SOUDURE'!$D$7:$D$1506,MATCH(B996,'CARNET DE SOUDURE'!$K$7:$K$1506,0)),IFERROR(INDEX('CARNET DE SOUDURE'!$D$7:$D$1506,MATCH(B996,'CARNET DE SOUDURE'!$M$7:$M$1506,0)),"")))</f>
        <v/>
      </c>
      <c r="M996" s="81" t="str">
        <f aca="false">IF(B996="","",IF(OR(J996&lt;&gt;"",K996&lt;&gt;""),"POSÉ EN LIGNE",IF(H996&lt;&gt;"","BARDÉ","EN STOCK")))</f>
        <v/>
      </c>
      <c r="N996" s="79"/>
    </row>
    <row r="997" customFormat="false" ht="15" hidden="false" customHeight="false" outlineLevel="0" collapsed="false">
      <c r="A997" s="78" t="str">
        <f aca="false">IF(B997="","",ROW()-6)</f>
        <v/>
      </c>
      <c r="B997" s="90"/>
      <c r="C997" s="91"/>
      <c r="D997" s="91"/>
      <c r="E997" s="80"/>
      <c r="F997" s="92"/>
      <c r="G997" s="79"/>
      <c r="H997" s="82"/>
      <c r="I997" s="93" t="str">
        <f aca="false">IF(B997="","",IFERROR(INDEX('CARNET DE SOUDURE'!$B$7:$B$1506,MATCH(B997,'CARNET DE SOUDURE'!$K$7:$K$1506,0)),IFERROR(INDEX('CARNET DE SOUDURE'!$B$7:$B$1506,MATCH(B997,'CARNET DE SOUDURE'!$M$7:$M$1506,0)),"")))</f>
        <v/>
      </c>
      <c r="J997" s="78" t="str">
        <f aca="false">IF(B997="","",IFERROR(INDEX('CARNET DE SOUDURE'!$E$7:$E$1506,MATCH(B997,'CARNET DE SOUDURE'!$M$7:$M$1506,0)),""))</f>
        <v/>
      </c>
      <c r="K997" s="78" t="str">
        <f aca="false">IF(B997="","",IFERROR(INDEX('CARNET DE SOUDURE'!$E$7:$E$1506,MATCH(B997,'CARNET DE SOUDURE'!$K$7:$K$1506,0)),""))</f>
        <v/>
      </c>
      <c r="L997" s="78" t="str">
        <f aca="false">IF(B997="","",IFERROR(INDEX('CARNET DE SOUDURE'!$D$7:$D$1506,MATCH(B997,'CARNET DE SOUDURE'!$K$7:$K$1506,0)),IFERROR(INDEX('CARNET DE SOUDURE'!$D$7:$D$1506,MATCH(B997,'CARNET DE SOUDURE'!$M$7:$M$1506,0)),"")))</f>
        <v/>
      </c>
      <c r="M997" s="81" t="str">
        <f aca="false">IF(B997="","",IF(OR(J997&lt;&gt;"",K997&lt;&gt;""),"POSÉ EN LIGNE",IF(H997&lt;&gt;"","BARDÉ","EN STOCK")))</f>
        <v/>
      </c>
      <c r="N997" s="79"/>
    </row>
    <row r="998" customFormat="false" ht="15" hidden="false" customHeight="false" outlineLevel="0" collapsed="false">
      <c r="A998" s="78" t="str">
        <f aca="false">IF(B998="","",ROW()-6)</f>
        <v/>
      </c>
      <c r="B998" s="90"/>
      <c r="C998" s="91"/>
      <c r="D998" s="91"/>
      <c r="E998" s="80"/>
      <c r="F998" s="92"/>
      <c r="G998" s="79"/>
      <c r="H998" s="82"/>
      <c r="I998" s="93" t="str">
        <f aca="false">IF(B998="","",IFERROR(INDEX('CARNET DE SOUDURE'!$B$7:$B$1506,MATCH(B998,'CARNET DE SOUDURE'!$K$7:$K$1506,0)),IFERROR(INDEX('CARNET DE SOUDURE'!$B$7:$B$1506,MATCH(B998,'CARNET DE SOUDURE'!$M$7:$M$1506,0)),"")))</f>
        <v/>
      </c>
      <c r="J998" s="78" t="str">
        <f aca="false">IF(B998="","",IFERROR(INDEX('CARNET DE SOUDURE'!$E$7:$E$1506,MATCH(B998,'CARNET DE SOUDURE'!$M$7:$M$1506,0)),""))</f>
        <v/>
      </c>
      <c r="K998" s="78" t="str">
        <f aca="false">IF(B998="","",IFERROR(INDEX('CARNET DE SOUDURE'!$E$7:$E$1506,MATCH(B998,'CARNET DE SOUDURE'!$K$7:$K$1506,0)),""))</f>
        <v/>
      </c>
      <c r="L998" s="78" t="str">
        <f aca="false">IF(B998="","",IFERROR(INDEX('CARNET DE SOUDURE'!$D$7:$D$1506,MATCH(B998,'CARNET DE SOUDURE'!$K$7:$K$1506,0)),IFERROR(INDEX('CARNET DE SOUDURE'!$D$7:$D$1506,MATCH(B998,'CARNET DE SOUDURE'!$M$7:$M$1506,0)),"")))</f>
        <v/>
      </c>
      <c r="M998" s="81" t="str">
        <f aca="false">IF(B998="","",IF(OR(J998&lt;&gt;"",K998&lt;&gt;""),"POSÉ EN LIGNE",IF(H998&lt;&gt;"","BARDÉ","EN STOCK")))</f>
        <v/>
      </c>
      <c r="N998" s="79"/>
    </row>
    <row r="999" customFormat="false" ht="15" hidden="false" customHeight="false" outlineLevel="0" collapsed="false">
      <c r="A999" s="78" t="str">
        <f aca="false">IF(B999="","",ROW()-6)</f>
        <v/>
      </c>
      <c r="B999" s="90"/>
      <c r="C999" s="91"/>
      <c r="D999" s="91"/>
      <c r="E999" s="80"/>
      <c r="F999" s="92"/>
      <c r="G999" s="79"/>
      <c r="H999" s="82"/>
      <c r="I999" s="93" t="str">
        <f aca="false">IF(B999="","",IFERROR(INDEX('CARNET DE SOUDURE'!$B$7:$B$1506,MATCH(B999,'CARNET DE SOUDURE'!$K$7:$K$1506,0)),IFERROR(INDEX('CARNET DE SOUDURE'!$B$7:$B$1506,MATCH(B999,'CARNET DE SOUDURE'!$M$7:$M$1506,0)),"")))</f>
        <v/>
      </c>
      <c r="J999" s="78" t="str">
        <f aca="false">IF(B999="","",IFERROR(INDEX('CARNET DE SOUDURE'!$E$7:$E$1506,MATCH(B999,'CARNET DE SOUDURE'!$M$7:$M$1506,0)),""))</f>
        <v/>
      </c>
      <c r="K999" s="78" t="str">
        <f aca="false">IF(B999="","",IFERROR(INDEX('CARNET DE SOUDURE'!$E$7:$E$1506,MATCH(B999,'CARNET DE SOUDURE'!$K$7:$K$1506,0)),""))</f>
        <v/>
      </c>
      <c r="L999" s="78" t="str">
        <f aca="false">IF(B999="","",IFERROR(INDEX('CARNET DE SOUDURE'!$D$7:$D$1506,MATCH(B999,'CARNET DE SOUDURE'!$K$7:$K$1506,0)),IFERROR(INDEX('CARNET DE SOUDURE'!$D$7:$D$1506,MATCH(B999,'CARNET DE SOUDURE'!$M$7:$M$1506,0)),"")))</f>
        <v/>
      </c>
      <c r="M999" s="81" t="str">
        <f aca="false">IF(B999="","",IF(OR(J999&lt;&gt;"",K999&lt;&gt;""),"POSÉ EN LIGNE",IF(H999&lt;&gt;"","BARDÉ","EN STOCK")))</f>
        <v/>
      </c>
      <c r="N999" s="79"/>
    </row>
    <row r="1000" customFormat="false" ht="15" hidden="false" customHeight="false" outlineLevel="0" collapsed="false">
      <c r="A1000" s="78" t="str">
        <f aca="false">IF(B1000="","",ROW()-6)</f>
        <v/>
      </c>
      <c r="B1000" s="90"/>
      <c r="C1000" s="91"/>
      <c r="D1000" s="91"/>
      <c r="E1000" s="80"/>
      <c r="F1000" s="92"/>
      <c r="G1000" s="79"/>
      <c r="H1000" s="82"/>
      <c r="I1000" s="93" t="str">
        <f aca="false">IF(B1000="","",IFERROR(INDEX('CARNET DE SOUDURE'!$B$7:$B$1506,MATCH(B1000,'CARNET DE SOUDURE'!$K$7:$K$1506,0)),IFERROR(INDEX('CARNET DE SOUDURE'!$B$7:$B$1506,MATCH(B1000,'CARNET DE SOUDURE'!$M$7:$M$1506,0)),"")))</f>
        <v/>
      </c>
      <c r="J1000" s="78" t="str">
        <f aca="false">IF(B1000="","",IFERROR(INDEX('CARNET DE SOUDURE'!$E$7:$E$1506,MATCH(B1000,'CARNET DE SOUDURE'!$M$7:$M$1506,0)),""))</f>
        <v/>
      </c>
      <c r="K1000" s="78" t="str">
        <f aca="false">IF(B1000="","",IFERROR(INDEX('CARNET DE SOUDURE'!$E$7:$E$1506,MATCH(B1000,'CARNET DE SOUDURE'!$K$7:$K$1506,0)),""))</f>
        <v/>
      </c>
      <c r="L1000" s="78" t="str">
        <f aca="false">IF(B1000="","",IFERROR(INDEX('CARNET DE SOUDURE'!$D$7:$D$1506,MATCH(B1000,'CARNET DE SOUDURE'!$K$7:$K$1506,0)),IFERROR(INDEX('CARNET DE SOUDURE'!$D$7:$D$1506,MATCH(B1000,'CARNET DE SOUDURE'!$M$7:$M$1506,0)),"")))</f>
        <v/>
      </c>
      <c r="M1000" s="81" t="str">
        <f aca="false">IF(B1000="","",IF(OR(J1000&lt;&gt;"",K1000&lt;&gt;""),"POSÉ EN LIGNE",IF(H1000&lt;&gt;"","BARDÉ","EN STOCK")))</f>
        <v/>
      </c>
      <c r="N1000" s="79"/>
    </row>
    <row r="1001" customFormat="false" ht="15" hidden="false" customHeight="false" outlineLevel="0" collapsed="false">
      <c r="A1001" s="78" t="str">
        <f aca="false">IF(B1001="","",ROW()-6)</f>
        <v/>
      </c>
      <c r="B1001" s="90"/>
      <c r="C1001" s="91"/>
      <c r="D1001" s="91"/>
      <c r="E1001" s="80"/>
      <c r="F1001" s="92"/>
      <c r="G1001" s="79"/>
      <c r="H1001" s="82"/>
      <c r="I1001" s="93" t="str">
        <f aca="false">IF(B1001="","",IFERROR(INDEX('CARNET DE SOUDURE'!$B$7:$B$1506,MATCH(B1001,'CARNET DE SOUDURE'!$K$7:$K$1506,0)),IFERROR(INDEX('CARNET DE SOUDURE'!$B$7:$B$1506,MATCH(B1001,'CARNET DE SOUDURE'!$M$7:$M$1506,0)),"")))</f>
        <v/>
      </c>
      <c r="J1001" s="78" t="str">
        <f aca="false">IF(B1001="","",IFERROR(INDEX('CARNET DE SOUDURE'!$E$7:$E$1506,MATCH(B1001,'CARNET DE SOUDURE'!$M$7:$M$1506,0)),""))</f>
        <v/>
      </c>
      <c r="K1001" s="78" t="str">
        <f aca="false">IF(B1001="","",IFERROR(INDEX('CARNET DE SOUDURE'!$E$7:$E$1506,MATCH(B1001,'CARNET DE SOUDURE'!$K$7:$K$1506,0)),""))</f>
        <v/>
      </c>
      <c r="L1001" s="78" t="str">
        <f aca="false">IF(B1001="","",IFERROR(INDEX('CARNET DE SOUDURE'!$D$7:$D$1506,MATCH(B1001,'CARNET DE SOUDURE'!$K$7:$K$1506,0)),IFERROR(INDEX('CARNET DE SOUDURE'!$D$7:$D$1506,MATCH(B1001,'CARNET DE SOUDURE'!$M$7:$M$1506,0)),"")))</f>
        <v/>
      </c>
      <c r="M1001" s="81" t="str">
        <f aca="false">IF(B1001="","",IF(OR(J1001&lt;&gt;"",K1001&lt;&gt;""),"POSÉ EN LIGNE",IF(H1001&lt;&gt;"","BARDÉ","EN STOCK")))</f>
        <v/>
      </c>
      <c r="N1001" s="79"/>
    </row>
    <row r="1002" customFormat="false" ht="15" hidden="false" customHeight="false" outlineLevel="0" collapsed="false">
      <c r="A1002" s="78" t="str">
        <f aca="false">IF(B1002="","",ROW()-6)</f>
        <v/>
      </c>
      <c r="B1002" s="90"/>
      <c r="C1002" s="91"/>
      <c r="D1002" s="91"/>
      <c r="E1002" s="80"/>
      <c r="F1002" s="92"/>
      <c r="G1002" s="79"/>
      <c r="H1002" s="82"/>
      <c r="I1002" s="93" t="str">
        <f aca="false">IF(B1002="","",IFERROR(INDEX('CARNET DE SOUDURE'!$B$7:$B$1506,MATCH(B1002,'CARNET DE SOUDURE'!$K$7:$K$1506,0)),IFERROR(INDEX('CARNET DE SOUDURE'!$B$7:$B$1506,MATCH(B1002,'CARNET DE SOUDURE'!$M$7:$M$1506,0)),"")))</f>
        <v/>
      </c>
      <c r="J1002" s="78" t="str">
        <f aca="false">IF(B1002="","",IFERROR(INDEX('CARNET DE SOUDURE'!$E$7:$E$1506,MATCH(B1002,'CARNET DE SOUDURE'!$M$7:$M$1506,0)),""))</f>
        <v/>
      </c>
      <c r="K1002" s="78" t="str">
        <f aca="false">IF(B1002="","",IFERROR(INDEX('CARNET DE SOUDURE'!$E$7:$E$1506,MATCH(B1002,'CARNET DE SOUDURE'!$K$7:$K$1506,0)),""))</f>
        <v/>
      </c>
      <c r="L1002" s="78" t="str">
        <f aca="false">IF(B1002="","",IFERROR(INDEX('CARNET DE SOUDURE'!$D$7:$D$1506,MATCH(B1002,'CARNET DE SOUDURE'!$K$7:$K$1506,0)),IFERROR(INDEX('CARNET DE SOUDURE'!$D$7:$D$1506,MATCH(B1002,'CARNET DE SOUDURE'!$M$7:$M$1506,0)),"")))</f>
        <v/>
      </c>
      <c r="M1002" s="81" t="str">
        <f aca="false">IF(B1002="","",IF(OR(J1002&lt;&gt;"",K1002&lt;&gt;""),"POSÉ EN LIGNE",IF(H1002&lt;&gt;"","BARDÉ","EN STOCK")))</f>
        <v/>
      </c>
      <c r="N1002" s="79"/>
    </row>
    <row r="1003" customFormat="false" ht="15" hidden="false" customHeight="false" outlineLevel="0" collapsed="false">
      <c r="A1003" s="78" t="str">
        <f aca="false">IF(B1003="","",ROW()-6)</f>
        <v/>
      </c>
      <c r="B1003" s="90"/>
      <c r="C1003" s="91"/>
      <c r="D1003" s="91"/>
      <c r="E1003" s="80"/>
      <c r="F1003" s="92"/>
      <c r="G1003" s="79"/>
      <c r="H1003" s="82"/>
      <c r="I1003" s="93" t="str">
        <f aca="false">IF(B1003="","",IFERROR(INDEX('CARNET DE SOUDURE'!$B$7:$B$1506,MATCH(B1003,'CARNET DE SOUDURE'!$K$7:$K$1506,0)),IFERROR(INDEX('CARNET DE SOUDURE'!$B$7:$B$1506,MATCH(B1003,'CARNET DE SOUDURE'!$M$7:$M$1506,0)),"")))</f>
        <v/>
      </c>
      <c r="J1003" s="78" t="str">
        <f aca="false">IF(B1003="","",IFERROR(INDEX('CARNET DE SOUDURE'!$E$7:$E$1506,MATCH(B1003,'CARNET DE SOUDURE'!$M$7:$M$1506,0)),""))</f>
        <v/>
      </c>
      <c r="K1003" s="78" t="str">
        <f aca="false">IF(B1003="","",IFERROR(INDEX('CARNET DE SOUDURE'!$E$7:$E$1506,MATCH(B1003,'CARNET DE SOUDURE'!$K$7:$K$1506,0)),""))</f>
        <v/>
      </c>
      <c r="L1003" s="78" t="str">
        <f aca="false">IF(B1003="","",IFERROR(INDEX('CARNET DE SOUDURE'!$D$7:$D$1506,MATCH(B1003,'CARNET DE SOUDURE'!$K$7:$K$1506,0)),IFERROR(INDEX('CARNET DE SOUDURE'!$D$7:$D$1506,MATCH(B1003,'CARNET DE SOUDURE'!$M$7:$M$1506,0)),"")))</f>
        <v/>
      </c>
      <c r="M1003" s="81" t="str">
        <f aca="false">IF(B1003="","",IF(OR(J1003&lt;&gt;"",K1003&lt;&gt;""),"POSÉ EN LIGNE",IF(H1003&lt;&gt;"","BARDÉ","EN STOCK")))</f>
        <v/>
      </c>
      <c r="N1003" s="79"/>
    </row>
    <row r="1004" customFormat="false" ht="15" hidden="false" customHeight="false" outlineLevel="0" collapsed="false">
      <c r="A1004" s="78" t="str">
        <f aca="false">IF(B1004="","",ROW()-6)</f>
        <v/>
      </c>
      <c r="B1004" s="90"/>
      <c r="C1004" s="91"/>
      <c r="D1004" s="91"/>
      <c r="E1004" s="80"/>
      <c r="F1004" s="92"/>
      <c r="G1004" s="79"/>
      <c r="H1004" s="82"/>
      <c r="I1004" s="93" t="str">
        <f aca="false">IF(B1004="","",IFERROR(INDEX('CARNET DE SOUDURE'!$B$7:$B$1506,MATCH(B1004,'CARNET DE SOUDURE'!$K$7:$K$1506,0)),IFERROR(INDEX('CARNET DE SOUDURE'!$B$7:$B$1506,MATCH(B1004,'CARNET DE SOUDURE'!$M$7:$M$1506,0)),"")))</f>
        <v/>
      </c>
      <c r="J1004" s="78" t="str">
        <f aca="false">IF(B1004="","",IFERROR(INDEX('CARNET DE SOUDURE'!$E$7:$E$1506,MATCH(B1004,'CARNET DE SOUDURE'!$M$7:$M$1506,0)),""))</f>
        <v/>
      </c>
      <c r="K1004" s="78" t="str">
        <f aca="false">IF(B1004="","",IFERROR(INDEX('CARNET DE SOUDURE'!$E$7:$E$1506,MATCH(B1004,'CARNET DE SOUDURE'!$K$7:$K$1506,0)),""))</f>
        <v/>
      </c>
      <c r="L1004" s="78" t="str">
        <f aca="false">IF(B1004="","",IFERROR(INDEX('CARNET DE SOUDURE'!$D$7:$D$1506,MATCH(B1004,'CARNET DE SOUDURE'!$K$7:$K$1506,0)),IFERROR(INDEX('CARNET DE SOUDURE'!$D$7:$D$1506,MATCH(B1004,'CARNET DE SOUDURE'!$M$7:$M$1506,0)),"")))</f>
        <v/>
      </c>
      <c r="M1004" s="81" t="str">
        <f aca="false">IF(B1004="","",IF(OR(J1004&lt;&gt;"",K1004&lt;&gt;""),"POSÉ EN LIGNE",IF(H1004&lt;&gt;"","BARDÉ","EN STOCK")))</f>
        <v/>
      </c>
      <c r="N1004" s="79"/>
    </row>
    <row r="1005" customFormat="false" ht="15" hidden="false" customHeight="false" outlineLevel="0" collapsed="false">
      <c r="A1005" s="78" t="str">
        <f aca="false">IF(B1005="","",ROW()-6)</f>
        <v/>
      </c>
      <c r="B1005" s="90"/>
      <c r="C1005" s="91"/>
      <c r="D1005" s="91"/>
      <c r="E1005" s="80"/>
      <c r="F1005" s="92"/>
      <c r="G1005" s="79"/>
      <c r="H1005" s="82"/>
      <c r="I1005" s="93" t="str">
        <f aca="false">IF(B1005="","",IFERROR(INDEX('CARNET DE SOUDURE'!$B$7:$B$1506,MATCH(B1005,'CARNET DE SOUDURE'!$K$7:$K$1506,0)),IFERROR(INDEX('CARNET DE SOUDURE'!$B$7:$B$1506,MATCH(B1005,'CARNET DE SOUDURE'!$M$7:$M$1506,0)),"")))</f>
        <v/>
      </c>
      <c r="J1005" s="78" t="str">
        <f aca="false">IF(B1005="","",IFERROR(INDEX('CARNET DE SOUDURE'!$E$7:$E$1506,MATCH(B1005,'CARNET DE SOUDURE'!$M$7:$M$1506,0)),""))</f>
        <v/>
      </c>
      <c r="K1005" s="78" t="str">
        <f aca="false">IF(B1005="","",IFERROR(INDEX('CARNET DE SOUDURE'!$E$7:$E$1506,MATCH(B1005,'CARNET DE SOUDURE'!$K$7:$K$1506,0)),""))</f>
        <v/>
      </c>
      <c r="L1005" s="78" t="str">
        <f aca="false">IF(B1005="","",IFERROR(INDEX('CARNET DE SOUDURE'!$D$7:$D$1506,MATCH(B1005,'CARNET DE SOUDURE'!$K$7:$K$1506,0)),IFERROR(INDEX('CARNET DE SOUDURE'!$D$7:$D$1506,MATCH(B1005,'CARNET DE SOUDURE'!$M$7:$M$1506,0)),"")))</f>
        <v/>
      </c>
      <c r="M1005" s="81" t="str">
        <f aca="false">IF(B1005="","",IF(OR(J1005&lt;&gt;"",K1005&lt;&gt;""),"POSÉ EN LIGNE",IF(H1005&lt;&gt;"","BARDÉ","EN STOCK")))</f>
        <v/>
      </c>
      <c r="N1005" s="79"/>
    </row>
    <row r="1006" customFormat="false" ht="15" hidden="false" customHeight="false" outlineLevel="0" collapsed="false">
      <c r="A1006" s="78" t="str">
        <f aca="false">IF(B1006="","",ROW()-6)</f>
        <v/>
      </c>
      <c r="B1006" s="90"/>
      <c r="C1006" s="91"/>
      <c r="D1006" s="91"/>
      <c r="E1006" s="80"/>
      <c r="F1006" s="92"/>
      <c r="G1006" s="79"/>
      <c r="H1006" s="82"/>
      <c r="I1006" s="93" t="str">
        <f aca="false">IF(B1006="","",IFERROR(INDEX('CARNET DE SOUDURE'!$B$7:$B$1506,MATCH(B1006,'CARNET DE SOUDURE'!$K$7:$K$1506,0)),IFERROR(INDEX('CARNET DE SOUDURE'!$B$7:$B$1506,MATCH(B1006,'CARNET DE SOUDURE'!$M$7:$M$1506,0)),"")))</f>
        <v/>
      </c>
      <c r="J1006" s="78" t="str">
        <f aca="false">IF(B1006="","",IFERROR(INDEX('CARNET DE SOUDURE'!$E$7:$E$1506,MATCH(B1006,'CARNET DE SOUDURE'!$M$7:$M$1506,0)),""))</f>
        <v/>
      </c>
      <c r="K1006" s="78" t="str">
        <f aca="false">IF(B1006="","",IFERROR(INDEX('CARNET DE SOUDURE'!$E$7:$E$1506,MATCH(B1006,'CARNET DE SOUDURE'!$K$7:$K$1506,0)),""))</f>
        <v/>
      </c>
      <c r="L1006" s="78" t="str">
        <f aca="false">IF(B1006="","",IFERROR(INDEX('CARNET DE SOUDURE'!$D$7:$D$1506,MATCH(B1006,'CARNET DE SOUDURE'!$K$7:$K$1506,0)),IFERROR(INDEX('CARNET DE SOUDURE'!$D$7:$D$1506,MATCH(B1006,'CARNET DE SOUDURE'!$M$7:$M$1506,0)),"")))</f>
        <v/>
      </c>
      <c r="M1006" s="81" t="str">
        <f aca="false">IF(B1006="","",IF(OR(J1006&lt;&gt;"",K1006&lt;&gt;""),"POSÉ EN LIGNE",IF(H1006&lt;&gt;"","BARDÉ","EN STOCK")))</f>
        <v/>
      </c>
      <c r="N1006" s="79"/>
    </row>
    <row r="1007" customFormat="false" ht="15" hidden="false" customHeight="false" outlineLevel="0" collapsed="false">
      <c r="A1007" s="78" t="str">
        <f aca="false">IF(B1007="","",ROW()-6)</f>
        <v/>
      </c>
      <c r="B1007" s="90"/>
      <c r="C1007" s="91"/>
      <c r="D1007" s="91"/>
      <c r="E1007" s="80"/>
      <c r="F1007" s="92"/>
      <c r="G1007" s="79"/>
      <c r="H1007" s="82"/>
      <c r="I1007" s="93" t="str">
        <f aca="false">IF(B1007="","",IFERROR(INDEX('CARNET DE SOUDURE'!$B$7:$B$1506,MATCH(B1007,'CARNET DE SOUDURE'!$K$7:$K$1506,0)),IFERROR(INDEX('CARNET DE SOUDURE'!$B$7:$B$1506,MATCH(B1007,'CARNET DE SOUDURE'!$M$7:$M$1506,0)),"")))</f>
        <v/>
      </c>
      <c r="J1007" s="78" t="str">
        <f aca="false">IF(B1007="","",IFERROR(INDEX('CARNET DE SOUDURE'!$E$7:$E$1506,MATCH(B1007,'CARNET DE SOUDURE'!$M$7:$M$1506,0)),""))</f>
        <v/>
      </c>
      <c r="K1007" s="78" t="str">
        <f aca="false">IF(B1007="","",IFERROR(INDEX('CARNET DE SOUDURE'!$E$7:$E$1506,MATCH(B1007,'CARNET DE SOUDURE'!$K$7:$K$1506,0)),""))</f>
        <v/>
      </c>
      <c r="L1007" s="78" t="str">
        <f aca="false">IF(B1007="","",IFERROR(INDEX('CARNET DE SOUDURE'!$D$7:$D$1506,MATCH(B1007,'CARNET DE SOUDURE'!$K$7:$K$1506,0)),IFERROR(INDEX('CARNET DE SOUDURE'!$D$7:$D$1506,MATCH(B1007,'CARNET DE SOUDURE'!$M$7:$M$1506,0)),"")))</f>
        <v/>
      </c>
      <c r="M1007" s="81" t="str">
        <f aca="false">IF(B1007="","",IF(OR(J1007&lt;&gt;"",K1007&lt;&gt;""),"POSÉ EN LIGNE",IF(H1007&lt;&gt;"","BARDÉ","EN STOCK")))</f>
        <v/>
      </c>
      <c r="N1007" s="79"/>
    </row>
    <row r="1008" customFormat="false" ht="15" hidden="false" customHeight="false" outlineLevel="0" collapsed="false">
      <c r="A1008" s="78" t="str">
        <f aca="false">IF(B1008="","",ROW()-6)</f>
        <v/>
      </c>
      <c r="B1008" s="90"/>
      <c r="C1008" s="91"/>
      <c r="D1008" s="91"/>
      <c r="E1008" s="80"/>
      <c r="F1008" s="92"/>
      <c r="G1008" s="79"/>
      <c r="H1008" s="82"/>
      <c r="I1008" s="93" t="str">
        <f aca="false">IF(B1008="","",IFERROR(INDEX('CARNET DE SOUDURE'!$B$7:$B$1506,MATCH(B1008,'CARNET DE SOUDURE'!$K$7:$K$1506,0)),IFERROR(INDEX('CARNET DE SOUDURE'!$B$7:$B$1506,MATCH(B1008,'CARNET DE SOUDURE'!$M$7:$M$1506,0)),"")))</f>
        <v/>
      </c>
      <c r="J1008" s="78" t="str">
        <f aca="false">IF(B1008="","",IFERROR(INDEX('CARNET DE SOUDURE'!$E$7:$E$1506,MATCH(B1008,'CARNET DE SOUDURE'!$M$7:$M$1506,0)),""))</f>
        <v/>
      </c>
      <c r="K1008" s="78" t="str">
        <f aca="false">IF(B1008="","",IFERROR(INDEX('CARNET DE SOUDURE'!$E$7:$E$1506,MATCH(B1008,'CARNET DE SOUDURE'!$K$7:$K$1506,0)),""))</f>
        <v/>
      </c>
      <c r="L1008" s="78" t="str">
        <f aca="false">IF(B1008="","",IFERROR(INDEX('CARNET DE SOUDURE'!$D$7:$D$1506,MATCH(B1008,'CARNET DE SOUDURE'!$K$7:$K$1506,0)),IFERROR(INDEX('CARNET DE SOUDURE'!$D$7:$D$1506,MATCH(B1008,'CARNET DE SOUDURE'!$M$7:$M$1506,0)),"")))</f>
        <v/>
      </c>
      <c r="M1008" s="81" t="str">
        <f aca="false">IF(B1008="","",IF(OR(J1008&lt;&gt;"",K1008&lt;&gt;""),"POSÉ EN LIGNE",IF(H1008&lt;&gt;"","BARDÉ","EN STOCK")))</f>
        <v/>
      </c>
      <c r="N1008" s="79"/>
    </row>
    <row r="1009" customFormat="false" ht="15" hidden="false" customHeight="false" outlineLevel="0" collapsed="false">
      <c r="A1009" s="78" t="str">
        <f aca="false">IF(B1009="","",ROW()-6)</f>
        <v/>
      </c>
      <c r="B1009" s="90"/>
      <c r="C1009" s="91"/>
      <c r="D1009" s="91"/>
      <c r="E1009" s="80"/>
      <c r="F1009" s="92"/>
      <c r="G1009" s="79"/>
      <c r="H1009" s="82"/>
      <c r="I1009" s="93" t="str">
        <f aca="false">IF(B1009="","",IFERROR(INDEX('CARNET DE SOUDURE'!$B$7:$B$1506,MATCH(B1009,'CARNET DE SOUDURE'!$K$7:$K$1506,0)),IFERROR(INDEX('CARNET DE SOUDURE'!$B$7:$B$1506,MATCH(B1009,'CARNET DE SOUDURE'!$M$7:$M$1506,0)),"")))</f>
        <v/>
      </c>
      <c r="J1009" s="78" t="str">
        <f aca="false">IF(B1009="","",IFERROR(INDEX('CARNET DE SOUDURE'!$E$7:$E$1506,MATCH(B1009,'CARNET DE SOUDURE'!$M$7:$M$1506,0)),""))</f>
        <v/>
      </c>
      <c r="K1009" s="78" t="str">
        <f aca="false">IF(B1009="","",IFERROR(INDEX('CARNET DE SOUDURE'!$E$7:$E$1506,MATCH(B1009,'CARNET DE SOUDURE'!$K$7:$K$1506,0)),""))</f>
        <v/>
      </c>
      <c r="L1009" s="78" t="str">
        <f aca="false">IF(B1009="","",IFERROR(INDEX('CARNET DE SOUDURE'!$D$7:$D$1506,MATCH(B1009,'CARNET DE SOUDURE'!$K$7:$K$1506,0)),IFERROR(INDEX('CARNET DE SOUDURE'!$D$7:$D$1506,MATCH(B1009,'CARNET DE SOUDURE'!$M$7:$M$1506,0)),"")))</f>
        <v/>
      </c>
      <c r="M1009" s="81" t="str">
        <f aca="false">IF(B1009="","",IF(OR(J1009&lt;&gt;"",K1009&lt;&gt;""),"POSÉ EN LIGNE",IF(H1009&lt;&gt;"","BARDÉ","EN STOCK")))</f>
        <v/>
      </c>
      <c r="N1009" s="79"/>
    </row>
    <row r="1010" customFormat="false" ht="15" hidden="false" customHeight="false" outlineLevel="0" collapsed="false">
      <c r="A1010" s="78" t="str">
        <f aca="false">IF(B1010="","",ROW()-6)</f>
        <v/>
      </c>
      <c r="B1010" s="90"/>
      <c r="C1010" s="91"/>
      <c r="D1010" s="91"/>
      <c r="E1010" s="80"/>
      <c r="F1010" s="92"/>
      <c r="G1010" s="79"/>
      <c r="H1010" s="82"/>
      <c r="I1010" s="93" t="str">
        <f aca="false">IF(B1010="","",IFERROR(INDEX('CARNET DE SOUDURE'!$B$7:$B$1506,MATCH(B1010,'CARNET DE SOUDURE'!$K$7:$K$1506,0)),IFERROR(INDEX('CARNET DE SOUDURE'!$B$7:$B$1506,MATCH(B1010,'CARNET DE SOUDURE'!$M$7:$M$1506,0)),"")))</f>
        <v/>
      </c>
      <c r="J1010" s="78" t="str">
        <f aca="false">IF(B1010="","",IFERROR(INDEX('CARNET DE SOUDURE'!$E$7:$E$1506,MATCH(B1010,'CARNET DE SOUDURE'!$M$7:$M$1506,0)),""))</f>
        <v/>
      </c>
      <c r="K1010" s="78" t="str">
        <f aca="false">IF(B1010="","",IFERROR(INDEX('CARNET DE SOUDURE'!$E$7:$E$1506,MATCH(B1010,'CARNET DE SOUDURE'!$K$7:$K$1506,0)),""))</f>
        <v/>
      </c>
      <c r="L1010" s="78" t="str">
        <f aca="false">IF(B1010="","",IFERROR(INDEX('CARNET DE SOUDURE'!$D$7:$D$1506,MATCH(B1010,'CARNET DE SOUDURE'!$K$7:$K$1506,0)),IFERROR(INDEX('CARNET DE SOUDURE'!$D$7:$D$1506,MATCH(B1010,'CARNET DE SOUDURE'!$M$7:$M$1506,0)),"")))</f>
        <v/>
      </c>
      <c r="M1010" s="81" t="str">
        <f aca="false">IF(B1010="","",IF(OR(J1010&lt;&gt;"",K1010&lt;&gt;""),"POSÉ EN LIGNE",IF(H1010&lt;&gt;"","BARDÉ","EN STOCK")))</f>
        <v/>
      </c>
      <c r="N1010" s="79"/>
    </row>
    <row r="1011" customFormat="false" ht="15" hidden="false" customHeight="false" outlineLevel="0" collapsed="false">
      <c r="A1011" s="78" t="str">
        <f aca="false">IF(B1011="","",ROW()-6)</f>
        <v/>
      </c>
      <c r="B1011" s="90"/>
      <c r="C1011" s="91"/>
      <c r="D1011" s="91"/>
      <c r="E1011" s="80"/>
      <c r="F1011" s="92"/>
      <c r="G1011" s="79"/>
      <c r="H1011" s="82"/>
      <c r="I1011" s="93" t="str">
        <f aca="false">IF(B1011="","",IFERROR(INDEX('CARNET DE SOUDURE'!$B$7:$B$1506,MATCH(B1011,'CARNET DE SOUDURE'!$K$7:$K$1506,0)),IFERROR(INDEX('CARNET DE SOUDURE'!$B$7:$B$1506,MATCH(B1011,'CARNET DE SOUDURE'!$M$7:$M$1506,0)),"")))</f>
        <v/>
      </c>
      <c r="J1011" s="78" t="str">
        <f aca="false">IF(B1011="","",IFERROR(INDEX('CARNET DE SOUDURE'!$E$7:$E$1506,MATCH(B1011,'CARNET DE SOUDURE'!$M$7:$M$1506,0)),""))</f>
        <v/>
      </c>
      <c r="K1011" s="78" t="str">
        <f aca="false">IF(B1011="","",IFERROR(INDEX('CARNET DE SOUDURE'!$E$7:$E$1506,MATCH(B1011,'CARNET DE SOUDURE'!$K$7:$K$1506,0)),""))</f>
        <v/>
      </c>
      <c r="L1011" s="78" t="str">
        <f aca="false">IF(B1011="","",IFERROR(INDEX('CARNET DE SOUDURE'!$D$7:$D$1506,MATCH(B1011,'CARNET DE SOUDURE'!$K$7:$K$1506,0)),IFERROR(INDEX('CARNET DE SOUDURE'!$D$7:$D$1506,MATCH(B1011,'CARNET DE SOUDURE'!$M$7:$M$1506,0)),"")))</f>
        <v/>
      </c>
      <c r="M1011" s="81" t="str">
        <f aca="false">IF(B1011="","",IF(OR(J1011&lt;&gt;"",K1011&lt;&gt;""),"POSÉ EN LIGNE",IF(H1011&lt;&gt;"","BARDÉ","EN STOCK")))</f>
        <v/>
      </c>
      <c r="N1011" s="79"/>
    </row>
    <row r="1012" customFormat="false" ht="15" hidden="false" customHeight="false" outlineLevel="0" collapsed="false">
      <c r="A1012" s="78" t="str">
        <f aca="false">IF(B1012="","",ROW()-6)</f>
        <v/>
      </c>
      <c r="B1012" s="90"/>
      <c r="C1012" s="91"/>
      <c r="D1012" s="91"/>
      <c r="E1012" s="80"/>
      <c r="F1012" s="92"/>
      <c r="G1012" s="79"/>
      <c r="H1012" s="82"/>
      <c r="I1012" s="93" t="str">
        <f aca="false">IF(B1012="","",IFERROR(INDEX('CARNET DE SOUDURE'!$B$7:$B$1506,MATCH(B1012,'CARNET DE SOUDURE'!$K$7:$K$1506,0)),IFERROR(INDEX('CARNET DE SOUDURE'!$B$7:$B$1506,MATCH(B1012,'CARNET DE SOUDURE'!$M$7:$M$1506,0)),"")))</f>
        <v/>
      </c>
      <c r="J1012" s="78" t="str">
        <f aca="false">IF(B1012="","",IFERROR(INDEX('CARNET DE SOUDURE'!$E$7:$E$1506,MATCH(B1012,'CARNET DE SOUDURE'!$M$7:$M$1506,0)),""))</f>
        <v/>
      </c>
      <c r="K1012" s="78" t="str">
        <f aca="false">IF(B1012="","",IFERROR(INDEX('CARNET DE SOUDURE'!$E$7:$E$1506,MATCH(B1012,'CARNET DE SOUDURE'!$K$7:$K$1506,0)),""))</f>
        <v/>
      </c>
      <c r="L1012" s="78" t="str">
        <f aca="false">IF(B1012="","",IFERROR(INDEX('CARNET DE SOUDURE'!$D$7:$D$1506,MATCH(B1012,'CARNET DE SOUDURE'!$K$7:$K$1506,0)),IFERROR(INDEX('CARNET DE SOUDURE'!$D$7:$D$1506,MATCH(B1012,'CARNET DE SOUDURE'!$M$7:$M$1506,0)),"")))</f>
        <v/>
      </c>
      <c r="M1012" s="81" t="str">
        <f aca="false">IF(B1012="","",IF(OR(J1012&lt;&gt;"",K1012&lt;&gt;""),"POSÉ EN LIGNE",IF(H1012&lt;&gt;"","BARDÉ","EN STOCK")))</f>
        <v/>
      </c>
      <c r="N1012" s="79"/>
    </row>
    <row r="1013" customFormat="false" ht="15" hidden="false" customHeight="false" outlineLevel="0" collapsed="false">
      <c r="A1013" s="78" t="str">
        <f aca="false">IF(B1013="","",ROW()-6)</f>
        <v/>
      </c>
      <c r="B1013" s="90"/>
      <c r="C1013" s="91"/>
      <c r="D1013" s="91"/>
      <c r="E1013" s="80"/>
      <c r="F1013" s="92"/>
      <c r="G1013" s="79"/>
      <c r="H1013" s="82"/>
      <c r="I1013" s="93" t="str">
        <f aca="false">IF(B1013="","",IFERROR(INDEX('CARNET DE SOUDURE'!$B$7:$B$1506,MATCH(B1013,'CARNET DE SOUDURE'!$K$7:$K$1506,0)),IFERROR(INDEX('CARNET DE SOUDURE'!$B$7:$B$1506,MATCH(B1013,'CARNET DE SOUDURE'!$M$7:$M$1506,0)),"")))</f>
        <v/>
      </c>
      <c r="J1013" s="78" t="str">
        <f aca="false">IF(B1013="","",IFERROR(INDEX('CARNET DE SOUDURE'!$E$7:$E$1506,MATCH(B1013,'CARNET DE SOUDURE'!$M$7:$M$1506,0)),""))</f>
        <v/>
      </c>
      <c r="K1013" s="78" t="str">
        <f aca="false">IF(B1013="","",IFERROR(INDEX('CARNET DE SOUDURE'!$E$7:$E$1506,MATCH(B1013,'CARNET DE SOUDURE'!$K$7:$K$1506,0)),""))</f>
        <v/>
      </c>
      <c r="L1013" s="78" t="str">
        <f aca="false">IF(B1013="","",IFERROR(INDEX('CARNET DE SOUDURE'!$D$7:$D$1506,MATCH(B1013,'CARNET DE SOUDURE'!$K$7:$K$1506,0)),IFERROR(INDEX('CARNET DE SOUDURE'!$D$7:$D$1506,MATCH(B1013,'CARNET DE SOUDURE'!$M$7:$M$1506,0)),"")))</f>
        <v/>
      </c>
      <c r="M1013" s="81" t="str">
        <f aca="false">IF(B1013="","",IF(OR(J1013&lt;&gt;"",K1013&lt;&gt;""),"POSÉ EN LIGNE",IF(H1013&lt;&gt;"","BARDÉ","EN STOCK")))</f>
        <v/>
      </c>
      <c r="N1013" s="79"/>
    </row>
    <row r="1014" customFormat="false" ht="15" hidden="false" customHeight="false" outlineLevel="0" collapsed="false">
      <c r="A1014" s="78" t="str">
        <f aca="false">IF(B1014="","",ROW()-6)</f>
        <v/>
      </c>
      <c r="B1014" s="90"/>
      <c r="C1014" s="91"/>
      <c r="D1014" s="91"/>
      <c r="E1014" s="80"/>
      <c r="F1014" s="92"/>
      <c r="G1014" s="79"/>
      <c r="H1014" s="82"/>
      <c r="I1014" s="93" t="str">
        <f aca="false">IF(B1014="","",IFERROR(INDEX('CARNET DE SOUDURE'!$B$7:$B$1506,MATCH(B1014,'CARNET DE SOUDURE'!$K$7:$K$1506,0)),IFERROR(INDEX('CARNET DE SOUDURE'!$B$7:$B$1506,MATCH(B1014,'CARNET DE SOUDURE'!$M$7:$M$1506,0)),"")))</f>
        <v/>
      </c>
      <c r="J1014" s="78" t="str">
        <f aca="false">IF(B1014="","",IFERROR(INDEX('CARNET DE SOUDURE'!$E$7:$E$1506,MATCH(B1014,'CARNET DE SOUDURE'!$M$7:$M$1506,0)),""))</f>
        <v/>
      </c>
      <c r="K1014" s="78" t="str">
        <f aca="false">IF(B1014="","",IFERROR(INDEX('CARNET DE SOUDURE'!$E$7:$E$1506,MATCH(B1014,'CARNET DE SOUDURE'!$K$7:$K$1506,0)),""))</f>
        <v/>
      </c>
      <c r="L1014" s="78" t="str">
        <f aca="false">IF(B1014="","",IFERROR(INDEX('CARNET DE SOUDURE'!$D$7:$D$1506,MATCH(B1014,'CARNET DE SOUDURE'!$K$7:$K$1506,0)),IFERROR(INDEX('CARNET DE SOUDURE'!$D$7:$D$1506,MATCH(B1014,'CARNET DE SOUDURE'!$M$7:$M$1506,0)),"")))</f>
        <v/>
      </c>
      <c r="M1014" s="81" t="str">
        <f aca="false">IF(B1014="","",IF(OR(J1014&lt;&gt;"",K1014&lt;&gt;""),"POSÉ EN LIGNE",IF(H1014&lt;&gt;"","BARDÉ","EN STOCK")))</f>
        <v/>
      </c>
      <c r="N1014" s="79"/>
    </row>
    <row r="1015" customFormat="false" ht="15" hidden="false" customHeight="false" outlineLevel="0" collapsed="false">
      <c r="A1015" s="78" t="str">
        <f aca="false">IF(B1015="","",ROW()-6)</f>
        <v/>
      </c>
      <c r="B1015" s="90"/>
      <c r="C1015" s="91"/>
      <c r="D1015" s="91"/>
      <c r="E1015" s="80"/>
      <c r="F1015" s="92"/>
      <c r="G1015" s="79"/>
      <c r="H1015" s="82"/>
      <c r="I1015" s="93" t="str">
        <f aca="false">IF(B1015="","",IFERROR(INDEX('CARNET DE SOUDURE'!$B$7:$B$1506,MATCH(B1015,'CARNET DE SOUDURE'!$K$7:$K$1506,0)),IFERROR(INDEX('CARNET DE SOUDURE'!$B$7:$B$1506,MATCH(B1015,'CARNET DE SOUDURE'!$M$7:$M$1506,0)),"")))</f>
        <v/>
      </c>
      <c r="J1015" s="78" t="str">
        <f aca="false">IF(B1015="","",IFERROR(INDEX('CARNET DE SOUDURE'!$E$7:$E$1506,MATCH(B1015,'CARNET DE SOUDURE'!$M$7:$M$1506,0)),""))</f>
        <v/>
      </c>
      <c r="K1015" s="78" t="str">
        <f aca="false">IF(B1015="","",IFERROR(INDEX('CARNET DE SOUDURE'!$E$7:$E$1506,MATCH(B1015,'CARNET DE SOUDURE'!$K$7:$K$1506,0)),""))</f>
        <v/>
      </c>
      <c r="L1015" s="78" t="str">
        <f aca="false">IF(B1015="","",IFERROR(INDEX('CARNET DE SOUDURE'!$D$7:$D$1506,MATCH(B1015,'CARNET DE SOUDURE'!$K$7:$K$1506,0)),IFERROR(INDEX('CARNET DE SOUDURE'!$D$7:$D$1506,MATCH(B1015,'CARNET DE SOUDURE'!$M$7:$M$1506,0)),"")))</f>
        <v/>
      </c>
      <c r="M1015" s="81" t="str">
        <f aca="false">IF(B1015="","",IF(OR(J1015&lt;&gt;"",K1015&lt;&gt;""),"POSÉ EN LIGNE",IF(H1015&lt;&gt;"","BARDÉ","EN STOCK")))</f>
        <v/>
      </c>
      <c r="N1015" s="79"/>
    </row>
    <row r="1016" customFormat="false" ht="15" hidden="false" customHeight="false" outlineLevel="0" collapsed="false">
      <c r="A1016" s="78" t="str">
        <f aca="false">IF(B1016="","",ROW()-6)</f>
        <v/>
      </c>
      <c r="B1016" s="90"/>
      <c r="C1016" s="91"/>
      <c r="D1016" s="91"/>
      <c r="E1016" s="80"/>
      <c r="F1016" s="92"/>
      <c r="G1016" s="79"/>
      <c r="H1016" s="82"/>
      <c r="I1016" s="93" t="str">
        <f aca="false">IF(B1016="","",IFERROR(INDEX('CARNET DE SOUDURE'!$B$7:$B$1506,MATCH(B1016,'CARNET DE SOUDURE'!$K$7:$K$1506,0)),IFERROR(INDEX('CARNET DE SOUDURE'!$B$7:$B$1506,MATCH(B1016,'CARNET DE SOUDURE'!$M$7:$M$1506,0)),"")))</f>
        <v/>
      </c>
      <c r="J1016" s="78" t="str">
        <f aca="false">IF(B1016="","",IFERROR(INDEX('CARNET DE SOUDURE'!$E$7:$E$1506,MATCH(B1016,'CARNET DE SOUDURE'!$M$7:$M$1506,0)),""))</f>
        <v/>
      </c>
      <c r="K1016" s="78" t="str">
        <f aca="false">IF(B1016="","",IFERROR(INDEX('CARNET DE SOUDURE'!$E$7:$E$1506,MATCH(B1016,'CARNET DE SOUDURE'!$K$7:$K$1506,0)),""))</f>
        <v/>
      </c>
      <c r="L1016" s="78" t="str">
        <f aca="false">IF(B1016="","",IFERROR(INDEX('CARNET DE SOUDURE'!$D$7:$D$1506,MATCH(B1016,'CARNET DE SOUDURE'!$K$7:$K$1506,0)),IFERROR(INDEX('CARNET DE SOUDURE'!$D$7:$D$1506,MATCH(B1016,'CARNET DE SOUDURE'!$M$7:$M$1506,0)),"")))</f>
        <v/>
      </c>
      <c r="M1016" s="81" t="str">
        <f aca="false">IF(B1016="","",IF(OR(J1016&lt;&gt;"",K1016&lt;&gt;""),"POSÉ EN LIGNE",IF(H1016&lt;&gt;"","BARDÉ","EN STOCK")))</f>
        <v/>
      </c>
      <c r="N1016" s="79"/>
    </row>
    <row r="1017" customFormat="false" ht="15" hidden="false" customHeight="false" outlineLevel="0" collapsed="false">
      <c r="A1017" s="78" t="str">
        <f aca="false">IF(B1017="","",ROW()-6)</f>
        <v/>
      </c>
      <c r="B1017" s="90"/>
      <c r="C1017" s="91"/>
      <c r="D1017" s="91"/>
      <c r="E1017" s="80"/>
      <c r="F1017" s="92"/>
      <c r="G1017" s="79"/>
      <c r="H1017" s="82"/>
      <c r="I1017" s="93" t="str">
        <f aca="false">IF(B1017="","",IFERROR(INDEX('CARNET DE SOUDURE'!$B$7:$B$1506,MATCH(B1017,'CARNET DE SOUDURE'!$K$7:$K$1506,0)),IFERROR(INDEX('CARNET DE SOUDURE'!$B$7:$B$1506,MATCH(B1017,'CARNET DE SOUDURE'!$M$7:$M$1506,0)),"")))</f>
        <v/>
      </c>
      <c r="J1017" s="78" t="str">
        <f aca="false">IF(B1017="","",IFERROR(INDEX('CARNET DE SOUDURE'!$E$7:$E$1506,MATCH(B1017,'CARNET DE SOUDURE'!$M$7:$M$1506,0)),""))</f>
        <v/>
      </c>
      <c r="K1017" s="78" t="str">
        <f aca="false">IF(B1017="","",IFERROR(INDEX('CARNET DE SOUDURE'!$E$7:$E$1506,MATCH(B1017,'CARNET DE SOUDURE'!$K$7:$K$1506,0)),""))</f>
        <v/>
      </c>
      <c r="L1017" s="78" t="str">
        <f aca="false">IF(B1017="","",IFERROR(INDEX('CARNET DE SOUDURE'!$D$7:$D$1506,MATCH(B1017,'CARNET DE SOUDURE'!$K$7:$K$1506,0)),IFERROR(INDEX('CARNET DE SOUDURE'!$D$7:$D$1506,MATCH(B1017,'CARNET DE SOUDURE'!$M$7:$M$1506,0)),"")))</f>
        <v/>
      </c>
      <c r="M1017" s="81" t="str">
        <f aca="false">IF(B1017="","",IF(OR(J1017&lt;&gt;"",K1017&lt;&gt;""),"POSÉ EN LIGNE",IF(H1017&lt;&gt;"","BARDÉ","EN STOCK")))</f>
        <v/>
      </c>
      <c r="N1017" s="79"/>
    </row>
    <row r="1018" customFormat="false" ht="15" hidden="false" customHeight="false" outlineLevel="0" collapsed="false">
      <c r="A1018" s="78" t="str">
        <f aca="false">IF(B1018="","",ROW()-6)</f>
        <v/>
      </c>
      <c r="B1018" s="90"/>
      <c r="C1018" s="91"/>
      <c r="D1018" s="91"/>
      <c r="E1018" s="80"/>
      <c r="F1018" s="92"/>
      <c r="G1018" s="79"/>
      <c r="H1018" s="82"/>
      <c r="I1018" s="93" t="str">
        <f aca="false">IF(B1018="","",IFERROR(INDEX('CARNET DE SOUDURE'!$B$7:$B$1506,MATCH(B1018,'CARNET DE SOUDURE'!$K$7:$K$1506,0)),IFERROR(INDEX('CARNET DE SOUDURE'!$B$7:$B$1506,MATCH(B1018,'CARNET DE SOUDURE'!$M$7:$M$1506,0)),"")))</f>
        <v/>
      </c>
      <c r="J1018" s="78" t="str">
        <f aca="false">IF(B1018="","",IFERROR(INDEX('CARNET DE SOUDURE'!$E$7:$E$1506,MATCH(B1018,'CARNET DE SOUDURE'!$M$7:$M$1506,0)),""))</f>
        <v/>
      </c>
      <c r="K1018" s="78" t="str">
        <f aca="false">IF(B1018="","",IFERROR(INDEX('CARNET DE SOUDURE'!$E$7:$E$1506,MATCH(B1018,'CARNET DE SOUDURE'!$K$7:$K$1506,0)),""))</f>
        <v/>
      </c>
      <c r="L1018" s="78" t="str">
        <f aca="false">IF(B1018="","",IFERROR(INDEX('CARNET DE SOUDURE'!$D$7:$D$1506,MATCH(B1018,'CARNET DE SOUDURE'!$K$7:$K$1506,0)),IFERROR(INDEX('CARNET DE SOUDURE'!$D$7:$D$1506,MATCH(B1018,'CARNET DE SOUDURE'!$M$7:$M$1506,0)),"")))</f>
        <v/>
      </c>
      <c r="M1018" s="81" t="str">
        <f aca="false">IF(B1018="","",IF(OR(J1018&lt;&gt;"",K1018&lt;&gt;""),"POSÉ EN LIGNE",IF(H1018&lt;&gt;"","BARDÉ","EN STOCK")))</f>
        <v/>
      </c>
      <c r="N1018" s="79"/>
    </row>
    <row r="1019" customFormat="false" ht="15" hidden="false" customHeight="false" outlineLevel="0" collapsed="false">
      <c r="A1019" s="78" t="str">
        <f aca="false">IF(B1019="","",ROW()-6)</f>
        <v/>
      </c>
      <c r="B1019" s="90"/>
      <c r="C1019" s="91"/>
      <c r="D1019" s="91"/>
      <c r="E1019" s="80"/>
      <c r="F1019" s="92"/>
      <c r="G1019" s="79"/>
      <c r="H1019" s="82"/>
      <c r="I1019" s="93" t="str">
        <f aca="false">IF(B1019="","",IFERROR(INDEX('CARNET DE SOUDURE'!$B$7:$B$1506,MATCH(B1019,'CARNET DE SOUDURE'!$K$7:$K$1506,0)),IFERROR(INDEX('CARNET DE SOUDURE'!$B$7:$B$1506,MATCH(B1019,'CARNET DE SOUDURE'!$M$7:$M$1506,0)),"")))</f>
        <v/>
      </c>
      <c r="J1019" s="78" t="str">
        <f aca="false">IF(B1019="","",IFERROR(INDEX('CARNET DE SOUDURE'!$E$7:$E$1506,MATCH(B1019,'CARNET DE SOUDURE'!$M$7:$M$1506,0)),""))</f>
        <v/>
      </c>
      <c r="K1019" s="78" t="str">
        <f aca="false">IF(B1019="","",IFERROR(INDEX('CARNET DE SOUDURE'!$E$7:$E$1506,MATCH(B1019,'CARNET DE SOUDURE'!$K$7:$K$1506,0)),""))</f>
        <v/>
      </c>
      <c r="L1019" s="78" t="str">
        <f aca="false">IF(B1019="","",IFERROR(INDEX('CARNET DE SOUDURE'!$D$7:$D$1506,MATCH(B1019,'CARNET DE SOUDURE'!$K$7:$K$1506,0)),IFERROR(INDEX('CARNET DE SOUDURE'!$D$7:$D$1506,MATCH(B1019,'CARNET DE SOUDURE'!$M$7:$M$1506,0)),"")))</f>
        <v/>
      </c>
      <c r="M1019" s="81" t="str">
        <f aca="false">IF(B1019="","",IF(OR(J1019&lt;&gt;"",K1019&lt;&gt;""),"POSÉ EN LIGNE",IF(H1019&lt;&gt;"","BARDÉ","EN STOCK")))</f>
        <v/>
      </c>
      <c r="N1019" s="79"/>
    </row>
    <row r="1020" customFormat="false" ht="15" hidden="false" customHeight="false" outlineLevel="0" collapsed="false">
      <c r="A1020" s="78" t="str">
        <f aca="false">IF(B1020="","",ROW()-6)</f>
        <v/>
      </c>
      <c r="B1020" s="90"/>
      <c r="C1020" s="91"/>
      <c r="D1020" s="91"/>
      <c r="E1020" s="80"/>
      <c r="F1020" s="92"/>
      <c r="G1020" s="79"/>
      <c r="H1020" s="82"/>
      <c r="I1020" s="93" t="str">
        <f aca="false">IF(B1020="","",IFERROR(INDEX('CARNET DE SOUDURE'!$B$7:$B$1506,MATCH(B1020,'CARNET DE SOUDURE'!$K$7:$K$1506,0)),IFERROR(INDEX('CARNET DE SOUDURE'!$B$7:$B$1506,MATCH(B1020,'CARNET DE SOUDURE'!$M$7:$M$1506,0)),"")))</f>
        <v/>
      </c>
      <c r="J1020" s="78" t="str">
        <f aca="false">IF(B1020="","",IFERROR(INDEX('CARNET DE SOUDURE'!$E$7:$E$1506,MATCH(B1020,'CARNET DE SOUDURE'!$M$7:$M$1506,0)),""))</f>
        <v/>
      </c>
      <c r="K1020" s="78" t="str">
        <f aca="false">IF(B1020="","",IFERROR(INDEX('CARNET DE SOUDURE'!$E$7:$E$1506,MATCH(B1020,'CARNET DE SOUDURE'!$K$7:$K$1506,0)),""))</f>
        <v/>
      </c>
      <c r="L1020" s="78" t="str">
        <f aca="false">IF(B1020="","",IFERROR(INDEX('CARNET DE SOUDURE'!$D$7:$D$1506,MATCH(B1020,'CARNET DE SOUDURE'!$K$7:$K$1506,0)),IFERROR(INDEX('CARNET DE SOUDURE'!$D$7:$D$1506,MATCH(B1020,'CARNET DE SOUDURE'!$M$7:$M$1506,0)),"")))</f>
        <v/>
      </c>
      <c r="M1020" s="81" t="str">
        <f aca="false">IF(B1020="","",IF(OR(J1020&lt;&gt;"",K1020&lt;&gt;""),"POSÉ EN LIGNE",IF(H1020&lt;&gt;"","BARDÉ","EN STOCK")))</f>
        <v/>
      </c>
      <c r="N1020" s="79"/>
    </row>
    <row r="1021" customFormat="false" ht="15" hidden="false" customHeight="false" outlineLevel="0" collapsed="false">
      <c r="A1021" s="78" t="str">
        <f aca="false">IF(B1021="","",ROW()-6)</f>
        <v/>
      </c>
      <c r="B1021" s="90"/>
      <c r="C1021" s="91"/>
      <c r="D1021" s="91"/>
      <c r="E1021" s="80"/>
      <c r="F1021" s="92"/>
      <c r="G1021" s="79"/>
      <c r="H1021" s="82"/>
      <c r="I1021" s="93" t="str">
        <f aca="false">IF(B1021="","",IFERROR(INDEX('CARNET DE SOUDURE'!$B$7:$B$1506,MATCH(B1021,'CARNET DE SOUDURE'!$K$7:$K$1506,0)),IFERROR(INDEX('CARNET DE SOUDURE'!$B$7:$B$1506,MATCH(B1021,'CARNET DE SOUDURE'!$M$7:$M$1506,0)),"")))</f>
        <v/>
      </c>
      <c r="J1021" s="78" t="str">
        <f aca="false">IF(B1021="","",IFERROR(INDEX('CARNET DE SOUDURE'!$E$7:$E$1506,MATCH(B1021,'CARNET DE SOUDURE'!$M$7:$M$1506,0)),""))</f>
        <v/>
      </c>
      <c r="K1021" s="78" t="str">
        <f aca="false">IF(B1021="","",IFERROR(INDEX('CARNET DE SOUDURE'!$E$7:$E$1506,MATCH(B1021,'CARNET DE SOUDURE'!$K$7:$K$1506,0)),""))</f>
        <v/>
      </c>
      <c r="L1021" s="78" t="str">
        <f aca="false">IF(B1021="","",IFERROR(INDEX('CARNET DE SOUDURE'!$D$7:$D$1506,MATCH(B1021,'CARNET DE SOUDURE'!$K$7:$K$1506,0)),IFERROR(INDEX('CARNET DE SOUDURE'!$D$7:$D$1506,MATCH(B1021,'CARNET DE SOUDURE'!$M$7:$M$1506,0)),"")))</f>
        <v/>
      </c>
      <c r="M1021" s="81" t="str">
        <f aca="false">IF(B1021="","",IF(OR(J1021&lt;&gt;"",K1021&lt;&gt;""),"POSÉ EN LIGNE",IF(H1021&lt;&gt;"","BARDÉ","EN STOCK")))</f>
        <v/>
      </c>
      <c r="N1021" s="79"/>
    </row>
    <row r="1022" customFormat="false" ht="15" hidden="false" customHeight="false" outlineLevel="0" collapsed="false">
      <c r="A1022" s="78" t="str">
        <f aca="false">IF(B1022="","",ROW()-6)</f>
        <v/>
      </c>
      <c r="B1022" s="90"/>
      <c r="C1022" s="91"/>
      <c r="D1022" s="91"/>
      <c r="E1022" s="80"/>
      <c r="F1022" s="92"/>
      <c r="G1022" s="79"/>
      <c r="H1022" s="82"/>
      <c r="I1022" s="93" t="str">
        <f aca="false">IF(B1022="","",IFERROR(INDEX('CARNET DE SOUDURE'!$B$7:$B$1506,MATCH(B1022,'CARNET DE SOUDURE'!$K$7:$K$1506,0)),IFERROR(INDEX('CARNET DE SOUDURE'!$B$7:$B$1506,MATCH(B1022,'CARNET DE SOUDURE'!$M$7:$M$1506,0)),"")))</f>
        <v/>
      </c>
      <c r="J1022" s="78" t="str">
        <f aca="false">IF(B1022="","",IFERROR(INDEX('CARNET DE SOUDURE'!$E$7:$E$1506,MATCH(B1022,'CARNET DE SOUDURE'!$M$7:$M$1506,0)),""))</f>
        <v/>
      </c>
      <c r="K1022" s="78" t="str">
        <f aca="false">IF(B1022="","",IFERROR(INDEX('CARNET DE SOUDURE'!$E$7:$E$1506,MATCH(B1022,'CARNET DE SOUDURE'!$K$7:$K$1506,0)),""))</f>
        <v/>
      </c>
      <c r="L1022" s="78" t="str">
        <f aca="false">IF(B1022="","",IFERROR(INDEX('CARNET DE SOUDURE'!$D$7:$D$1506,MATCH(B1022,'CARNET DE SOUDURE'!$K$7:$K$1506,0)),IFERROR(INDEX('CARNET DE SOUDURE'!$D$7:$D$1506,MATCH(B1022,'CARNET DE SOUDURE'!$M$7:$M$1506,0)),"")))</f>
        <v/>
      </c>
      <c r="M1022" s="81" t="str">
        <f aca="false">IF(B1022="","",IF(OR(J1022&lt;&gt;"",K1022&lt;&gt;""),"POSÉ EN LIGNE",IF(H1022&lt;&gt;"","BARDÉ","EN STOCK")))</f>
        <v/>
      </c>
      <c r="N1022" s="79"/>
    </row>
    <row r="1023" customFormat="false" ht="15" hidden="false" customHeight="false" outlineLevel="0" collapsed="false">
      <c r="A1023" s="78" t="str">
        <f aca="false">IF(B1023="","",ROW()-6)</f>
        <v/>
      </c>
      <c r="B1023" s="90"/>
      <c r="C1023" s="91"/>
      <c r="D1023" s="91"/>
      <c r="E1023" s="80"/>
      <c r="F1023" s="92"/>
      <c r="G1023" s="79"/>
      <c r="H1023" s="82"/>
      <c r="I1023" s="93" t="str">
        <f aca="false">IF(B1023="","",IFERROR(INDEX('CARNET DE SOUDURE'!$B$7:$B$1506,MATCH(B1023,'CARNET DE SOUDURE'!$K$7:$K$1506,0)),IFERROR(INDEX('CARNET DE SOUDURE'!$B$7:$B$1506,MATCH(B1023,'CARNET DE SOUDURE'!$M$7:$M$1506,0)),"")))</f>
        <v/>
      </c>
      <c r="J1023" s="78" t="str">
        <f aca="false">IF(B1023="","",IFERROR(INDEX('CARNET DE SOUDURE'!$E$7:$E$1506,MATCH(B1023,'CARNET DE SOUDURE'!$M$7:$M$1506,0)),""))</f>
        <v/>
      </c>
      <c r="K1023" s="78" t="str">
        <f aca="false">IF(B1023="","",IFERROR(INDEX('CARNET DE SOUDURE'!$E$7:$E$1506,MATCH(B1023,'CARNET DE SOUDURE'!$K$7:$K$1506,0)),""))</f>
        <v/>
      </c>
      <c r="L1023" s="78" t="str">
        <f aca="false">IF(B1023="","",IFERROR(INDEX('CARNET DE SOUDURE'!$D$7:$D$1506,MATCH(B1023,'CARNET DE SOUDURE'!$K$7:$K$1506,0)),IFERROR(INDEX('CARNET DE SOUDURE'!$D$7:$D$1506,MATCH(B1023,'CARNET DE SOUDURE'!$M$7:$M$1506,0)),"")))</f>
        <v/>
      </c>
      <c r="M1023" s="81" t="str">
        <f aca="false">IF(B1023="","",IF(OR(J1023&lt;&gt;"",K1023&lt;&gt;""),"POSÉ EN LIGNE",IF(H1023&lt;&gt;"","BARDÉ","EN STOCK")))</f>
        <v/>
      </c>
      <c r="N1023" s="79"/>
    </row>
    <row r="1024" customFormat="false" ht="15" hidden="false" customHeight="false" outlineLevel="0" collapsed="false">
      <c r="A1024" s="78" t="str">
        <f aca="false">IF(B1024="","",ROW()-6)</f>
        <v/>
      </c>
      <c r="B1024" s="90"/>
      <c r="C1024" s="91"/>
      <c r="D1024" s="91"/>
      <c r="E1024" s="80"/>
      <c r="F1024" s="92"/>
      <c r="G1024" s="79"/>
      <c r="H1024" s="82"/>
      <c r="I1024" s="93" t="str">
        <f aca="false">IF(B1024="","",IFERROR(INDEX('CARNET DE SOUDURE'!$B$7:$B$1506,MATCH(B1024,'CARNET DE SOUDURE'!$K$7:$K$1506,0)),IFERROR(INDEX('CARNET DE SOUDURE'!$B$7:$B$1506,MATCH(B1024,'CARNET DE SOUDURE'!$M$7:$M$1506,0)),"")))</f>
        <v/>
      </c>
      <c r="J1024" s="78" t="str">
        <f aca="false">IF(B1024="","",IFERROR(INDEX('CARNET DE SOUDURE'!$E$7:$E$1506,MATCH(B1024,'CARNET DE SOUDURE'!$M$7:$M$1506,0)),""))</f>
        <v/>
      </c>
      <c r="K1024" s="78" t="str">
        <f aca="false">IF(B1024="","",IFERROR(INDEX('CARNET DE SOUDURE'!$E$7:$E$1506,MATCH(B1024,'CARNET DE SOUDURE'!$K$7:$K$1506,0)),""))</f>
        <v/>
      </c>
      <c r="L1024" s="78" t="str">
        <f aca="false">IF(B1024="","",IFERROR(INDEX('CARNET DE SOUDURE'!$D$7:$D$1506,MATCH(B1024,'CARNET DE SOUDURE'!$K$7:$K$1506,0)),IFERROR(INDEX('CARNET DE SOUDURE'!$D$7:$D$1506,MATCH(B1024,'CARNET DE SOUDURE'!$M$7:$M$1506,0)),"")))</f>
        <v/>
      </c>
      <c r="M1024" s="81" t="str">
        <f aca="false">IF(B1024="","",IF(OR(J1024&lt;&gt;"",K1024&lt;&gt;""),"POSÉ EN LIGNE",IF(H1024&lt;&gt;"","BARDÉ","EN STOCK")))</f>
        <v/>
      </c>
      <c r="N1024" s="79"/>
    </row>
    <row r="1025" customFormat="false" ht="15" hidden="false" customHeight="false" outlineLevel="0" collapsed="false">
      <c r="A1025" s="78" t="str">
        <f aca="false">IF(B1025="","",ROW()-6)</f>
        <v/>
      </c>
      <c r="B1025" s="90"/>
      <c r="C1025" s="91"/>
      <c r="D1025" s="91"/>
      <c r="E1025" s="80"/>
      <c r="F1025" s="92"/>
      <c r="G1025" s="79"/>
      <c r="H1025" s="82"/>
      <c r="I1025" s="93" t="str">
        <f aca="false">IF(B1025="","",IFERROR(INDEX('CARNET DE SOUDURE'!$B$7:$B$1506,MATCH(B1025,'CARNET DE SOUDURE'!$K$7:$K$1506,0)),IFERROR(INDEX('CARNET DE SOUDURE'!$B$7:$B$1506,MATCH(B1025,'CARNET DE SOUDURE'!$M$7:$M$1506,0)),"")))</f>
        <v/>
      </c>
      <c r="J1025" s="78" t="str">
        <f aca="false">IF(B1025="","",IFERROR(INDEX('CARNET DE SOUDURE'!$E$7:$E$1506,MATCH(B1025,'CARNET DE SOUDURE'!$M$7:$M$1506,0)),""))</f>
        <v/>
      </c>
      <c r="K1025" s="78" t="str">
        <f aca="false">IF(B1025="","",IFERROR(INDEX('CARNET DE SOUDURE'!$E$7:$E$1506,MATCH(B1025,'CARNET DE SOUDURE'!$K$7:$K$1506,0)),""))</f>
        <v/>
      </c>
      <c r="L1025" s="78" t="str">
        <f aca="false">IF(B1025="","",IFERROR(INDEX('CARNET DE SOUDURE'!$D$7:$D$1506,MATCH(B1025,'CARNET DE SOUDURE'!$K$7:$K$1506,0)),IFERROR(INDEX('CARNET DE SOUDURE'!$D$7:$D$1506,MATCH(B1025,'CARNET DE SOUDURE'!$M$7:$M$1506,0)),"")))</f>
        <v/>
      </c>
      <c r="M1025" s="81" t="str">
        <f aca="false">IF(B1025="","",IF(OR(J1025&lt;&gt;"",K1025&lt;&gt;""),"POSÉ EN LIGNE",IF(H1025&lt;&gt;"","BARDÉ","EN STOCK")))</f>
        <v/>
      </c>
      <c r="N1025" s="79"/>
    </row>
    <row r="1026" customFormat="false" ht="15" hidden="false" customHeight="false" outlineLevel="0" collapsed="false">
      <c r="A1026" s="78" t="str">
        <f aca="false">IF(B1026="","",ROW()-6)</f>
        <v/>
      </c>
      <c r="B1026" s="90"/>
      <c r="C1026" s="91"/>
      <c r="D1026" s="91"/>
      <c r="E1026" s="80"/>
      <c r="F1026" s="92"/>
      <c r="G1026" s="79"/>
      <c r="H1026" s="82"/>
      <c r="I1026" s="93" t="str">
        <f aca="false">IF(B1026="","",IFERROR(INDEX('CARNET DE SOUDURE'!$B$7:$B$1506,MATCH(B1026,'CARNET DE SOUDURE'!$K$7:$K$1506,0)),IFERROR(INDEX('CARNET DE SOUDURE'!$B$7:$B$1506,MATCH(B1026,'CARNET DE SOUDURE'!$M$7:$M$1506,0)),"")))</f>
        <v/>
      </c>
      <c r="J1026" s="78" t="str">
        <f aca="false">IF(B1026="","",IFERROR(INDEX('CARNET DE SOUDURE'!$E$7:$E$1506,MATCH(B1026,'CARNET DE SOUDURE'!$M$7:$M$1506,0)),""))</f>
        <v/>
      </c>
      <c r="K1026" s="78" t="str">
        <f aca="false">IF(B1026="","",IFERROR(INDEX('CARNET DE SOUDURE'!$E$7:$E$1506,MATCH(B1026,'CARNET DE SOUDURE'!$K$7:$K$1506,0)),""))</f>
        <v/>
      </c>
      <c r="L1026" s="78" t="str">
        <f aca="false">IF(B1026="","",IFERROR(INDEX('CARNET DE SOUDURE'!$D$7:$D$1506,MATCH(B1026,'CARNET DE SOUDURE'!$K$7:$K$1506,0)),IFERROR(INDEX('CARNET DE SOUDURE'!$D$7:$D$1506,MATCH(B1026,'CARNET DE SOUDURE'!$M$7:$M$1506,0)),"")))</f>
        <v/>
      </c>
      <c r="M1026" s="81" t="str">
        <f aca="false">IF(B1026="","",IF(OR(J1026&lt;&gt;"",K1026&lt;&gt;""),"POSÉ EN LIGNE",IF(H1026&lt;&gt;"","BARDÉ","EN STOCK")))</f>
        <v/>
      </c>
      <c r="N1026" s="79"/>
    </row>
    <row r="1027" customFormat="false" ht="15" hidden="false" customHeight="false" outlineLevel="0" collapsed="false">
      <c r="A1027" s="78" t="str">
        <f aca="false">IF(B1027="","",ROW()-6)</f>
        <v/>
      </c>
      <c r="B1027" s="90"/>
      <c r="C1027" s="91"/>
      <c r="D1027" s="91"/>
      <c r="E1027" s="80"/>
      <c r="F1027" s="92"/>
      <c r="G1027" s="79"/>
      <c r="H1027" s="82"/>
      <c r="I1027" s="93" t="str">
        <f aca="false">IF(B1027="","",IFERROR(INDEX('CARNET DE SOUDURE'!$B$7:$B$1506,MATCH(B1027,'CARNET DE SOUDURE'!$K$7:$K$1506,0)),IFERROR(INDEX('CARNET DE SOUDURE'!$B$7:$B$1506,MATCH(B1027,'CARNET DE SOUDURE'!$M$7:$M$1506,0)),"")))</f>
        <v/>
      </c>
      <c r="J1027" s="78" t="str">
        <f aca="false">IF(B1027="","",IFERROR(INDEX('CARNET DE SOUDURE'!$E$7:$E$1506,MATCH(B1027,'CARNET DE SOUDURE'!$M$7:$M$1506,0)),""))</f>
        <v/>
      </c>
      <c r="K1027" s="78" t="str">
        <f aca="false">IF(B1027="","",IFERROR(INDEX('CARNET DE SOUDURE'!$E$7:$E$1506,MATCH(B1027,'CARNET DE SOUDURE'!$K$7:$K$1506,0)),""))</f>
        <v/>
      </c>
      <c r="L1027" s="78" t="str">
        <f aca="false">IF(B1027="","",IFERROR(INDEX('CARNET DE SOUDURE'!$D$7:$D$1506,MATCH(B1027,'CARNET DE SOUDURE'!$K$7:$K$1506,0)),IFERROR(INDEX('CARNET DE SOUDURE'!$D$7:$D$1506,MATCH(B1027,'CARNET DE SOUDURE'!$M$7:$M$1506,0)),"")))</f>
        <v/>
      </c>
      <c r="M1027" s="81" t="str">
        <f aca="false">IF(B1027="","",IF(OR(J1027&lt;&gt;"",K1027&lt;&gt;""),"POSÉ EN LIGNE",IF(H1027&lt;&gt;"","BARDÉ","EN STOCK")))</f>
        <v/>
      </c>
      <c r="N1027" s="79"/>
    </row>
    <row r="1028" customFormat="false" ht="15" hidden="false" customHeight="false" outlineLevel="0" collapsed="false">
      <c r="A1028" s="78" t="str">
        <f aca="false">IF(B1028="","",ROW()-6)</f>
        <v/>
      </c>
      <c r="B1028" s="90"/>
      <c r="C1028" s="91"/>
      <c r="D1028" s="91"/>
      <c r="E1028" s="80"/>
      <c r="F1028" s="92"/>
      <c r="G1028" s="79"/>
      <c r="H1028" s="82"/>
      <c r="I1028" s="93" t="str">
        <f aca="false">IF(B1028="","",IFERROR(INDEX('CARNET DE SOUDURE'!$B$7:$B$1506,MATCH(B1028,'CARNET DE SOUDURE'!$K$7:$K$1506,0)),IFERROR(INDEX('CARNET DE SOUDURE'!$B$7:$B$1506,MATCH(B1028,'CARNET DE SOUDURE'!$M$7:$M$1506,0)),"")))</f>
        <v/>
      </c>
      <c r="J1028" s="78" t="str">
        <f aca="false">IF(B1028="","",IFERROR(INDEX('CARNET DE SOUDURE'!$E$7:$E$1506,MATCH(B1028,'CARNET DE SOUDURE'!$M$7:$M$1506,0)),""))</f>
        <v/>
      </c>
      <c r="K1028" s="78" t="str">
        <f aca="false">IF(B1028="","",IFERROR(INDEX('CARNET DE SOUDURE'!$E$7:$E$1506,MATCH(B1028,'CARNET DE SOUDURE'!$K$7:$K$1506,0)),""))</f>
        <v/>
      </c>
      <c r="L1028" s="78" t="str">
        <f aca="false">IF(B1028="","",IFERROR(INDEX('CARNET DE SOUDURE'!$D$7:$D$1506,MATCH(B1028,'CARNET DE SOUDURE'!$K$7:$K$1506,0)),IFERROR(INDEX('CARNET DE SOUDURE'!$D$7:$D$1506,MATCH(B1028,'CARNET DE SOUDURE'!$M$7:$M$1506,0)),"")))</f>
        <v/>
      </c>
      <c r="M1028" s="81" t="str">
        <f aca="false">IF(B1028="","",IF(OR(J1028&lt;&gt;"",K1028&lt;&gt;""),"POSÉ EN LIGNE",IF(H1028&lt;&gt;"","BARDÉ","EN STOCK")))</f>
        <v/>
      </c>
      <c r="N1028" s="79"/>
    </row>
    <row r="1029" customFormat="false" ht="15" hidden="false" customHeight="false" outlineLevel="0" collapsed="false">
      <c r="A1029" s="78" t="str">
        <f aca="false">IF(B1029="","",ROW()-6)</f>
        <v/>
      </c>
      <c r="B1029" s="90"/>
      <c r="C1029" s="91"/>
      <c r="D1029" s="91"/>
      <c r="E1029" s="80"/>
      <c r="F1029" s="92"/>
      <c r="G1029" s="79"/>
      <c r="H1029" s="82"/>
      <c r="I1029" s="93" t="str">
        <f aca="false">IF(B1029="","",IFERROR(INDEX('CARNET DE SOUDURE'!$B$7:$B$1506,MATCH(B1029,'CARNET DE SOUDURE'!$K$7:$K$1506,0)),IFERROR(INDEX('CARNET DE SOUDURE'!$B$7:$B$1506,MATCH(B1029,'CARNET DE SOUDURE'!$M$7:$M$1506,0)),"")))</f>
        <v/>
      </c>
      <c r="J1029" s="78" t="str">
        <f aca="false">IF(B1029="","",IFERROR(INDEX('CARNET DE SOUDURE'!$E$7:$E$1506,MATCH(B1029,'CARNET DE SOUDURE'!$M$7:$M$1506,0)),""))</f>
        <v/>
      </c>
      <c r="K1029" s="78" t="str">
        <f aca="false">IF(B1029="","",IFERROR(INDEX('CARNET DE SOUDURE'!$E$7:$E$1506,MATCH(B1029,'CARNET DE SOUDURE'!$K$7:$K$1506,0)),""))</f>
        <v/>
      </c>
      <c r="L1029" s="78" t="str">
        <f aca="false">IF(B1029="","",IFERROR(INDEX('CARNET DE SOUDURE'!$D$7:$D$1506,MATCH(B1029,'CARNET DE SOUDURE'!$K$7:$K$1506,0)),IFERROR(INDEX('CARNET DE SOUDURE'!$D$7:$D$1506,MATCH(B1029,'CARNET DE SOUDURE'!$M$7:$M$1506,0)),"")))</f>
        <v/>
      </c>
      <c r="M1029" s="81" t="str">
        <f aca="false">IF(B1029="","",IF(OR(J1029&lt;&gt;"",K1029&lt;&gt;""),"POSÉ EN LIGNE",IF(H1029&lt;&gt;"","BARDÉ","EN STOCK")))</f>
        <v/>
      </c>
      <c r="N1029" s="79"/>
    </row>
    <row r="1030" customFormat="false" ht="15" hidden="false" customHeight="false" outlineLevel="0" collapsed="false">
      <c r="A1030" s="78" t="str">
        <f aca="false">IF(B1030="","",ROW()-6)</f>
        <v/>
      </c>
      <c r="B1030" s="90"/>
      <c r="C1030" s="91"/>
      <c r="D1030" s="91"/>
      <c r="E1030" s="80"/>
      <c r="F1030" s="92"/>
      <c r="G1030" s="79"/>
      <c r="H1030" s="82"/>
      <c r="I1030" s="93" t="str">
        <f aca="false">IF(B1030="","",IFERROR(INDEX('CARNET DE SOUDURE'!$B$7:$B$1506,MATCH(B1030,'CARNET DE SOUDURE'!$K$7:$K$1506,0)),IFERROR(INDEX('CARNET DE SOUDURE'!$B$7:$B$1506,MATCH(B1030,'CARNET DE SOUDURE'!$M$7:$M$1506,0)),"")))</f>
        <v/>
      </c>
      <c r="J1030" s="78" t="str">
        <f aca="false">IF(B1030="","",IFERROR(INDEX('CARNET DE SOUDURE'!$E$7:$E$1506,MATCH(B1030,'CARNET DE SOUDURE'!$M$7:$M$1506,0)),""))</f>
        <v/>
      </c>
      <c r="K1030" s="78" t="str">
        <f aca="false">IF(B1030="","",IFERROR(INDEX('CARNET DE SOUDURE'!$E$7:$E$1506,MATCH(B1030,'CARNET DE SOUDURE'!$K$7:$K$1506,0)),""))</f>
        <v/>
      </c>
      <c r="L1030" s="78" t="str">
        <f aca="false">IF(B1030="","",IFERROR(INDEX('CARNET DE SOUDURE'!$D$7:$D$1506,MATCH(B1030,'CARNET DE SOUDURE'!$K$7:$K$1506,0)),IFERROR(INDEX('CARNET DE SOUDURE'!$D$7:$D$1506,MATCH(B1030,'CARNET DE SOUDURE'!$M$7:$M$1506,0)),"")))</f>
        <v/>
      </c>
      <c r="M1030" s="81" t="str">
        <f aca="false">IF(B1030="","",IF(OR(J1030&lt;&gt;"",K1030&lt;&gt;""),"POSÉ EN LIGNE",IF(H1030&lt;&gt;"","BARDÉ","EN STOCK")))</f>
        <v/>
      </c>
      <c r="N1030" s="79"/>
    </row>
    <row r="1031" customFormat="false" ht="15" hidden="false" customHeight="false" outlineLevel="0" collapsed="false">
      <c r="A1031" s="78" t="str">
        <f aca="false">IF(B1031="","",ROW()-6)</f>
        <v/>
      </c>
      <c r="B1031" s="90"/>
      <c r="C1031" s="91"/>
      <c r="D1031" s="91"/>
      <c r="E1031" s="80"/>
      <c r="F1031" s="92"/>
      <c r="G1031" s="79"/>
      <c r="H1031" s="82"/>
      <c r="I1031" s="93" t="str">
        <f aca="false">IF(B1031="","",IFERROR(INDEX('CARNET DE SOUDURE'!$B$7:$B$1506,MATCH(B1031,'CARNET DE SOUDURE'!$K$7:$K$1506,0)),IFERROR(INDEX('CARNET DE SOUDURE'!$B$7:$B$1506,MATCH(B1031,'CARNET DE SOUDURE'!$M$7:$M$1506,0)),"")))</f>
        <v/>
      </c>
      <c r="J1031" s="78" t="str">
        <f aca="false">IF(B1031="","",IFERROR(INDEX('CARNET DE SOUDURE'!$E$7:$E$1506,MATCH(B1031,'CARNET DE SOUDURE'!$M$7:$M$1506,0)),""))</f>
        <v/>
      </c>
      <c r="K1031" s="78" t="str">
        <f aca="false">IF(B1031="","",IFERROR(INDEX('CARNET DE SOUDURE'!$E$7:$E$1506,MATCH(B1031,'CARNET DE SOUDURE'!$K$7:$K$1506,0)),""))</f>
        <v/>
      </c>
      <c r="L1031" s="78" t="str">
        <f aca="false">IF(B1031="","",IFERROR(INDEX('CARNET DE SOUDURE'!$D$7:$D$1506,MATCH(B1031,'CARNET DE SOUDURE'!$K$7:$K$1506,0)),IFERROR(INDEX('CARNET DE SOUDURE'!$D$7:$D$1506,MATCH(B1031,'CARNET DE SOUDURE'!$M$7:$M$1506,0)),"")))</f>
        <v/>
      </c>
      <c r="M1031" s="81" t="str">
        <f aca="false">IF(B1031="","",IF(OR(J1031&lt;&gt;"",K1031&lt;&gt;""),"POSÉ EN LIGNE",IF(H1031&lt;&gt;"","BARDÉ","EN STOCK")))</f>
        <v/>
      </c>
      <c r="N1031" s="79"/>
    </row>
    <row r="1032" customFormat="false" ht="15" hidden="false" customHeight="false" outlineLevel="0" collapsed="false">
      <c r="A1032" s="78" t="str">
        <f aca="false">IF(B1032="","",ROW()-6)</f>
        <v/>
      </c>
      <c r="B1032" s="90"/>
      <c r="C1032" s="91"/>
      <c r="D1032" s="91"/>
      <c r="E1032" s="80"/>
      <c r="F1032" s="92"/>
      <c r="G1032" s="79"/>
      <c r="H1032" s="82"/>
      <c r="I1032" s="93" t="str">
        <f aca="false">IF(B1032="","",IFERROR(INDEX('CARNET DE SOUDURE'!$B$7:$B$1506,MATCH(B1032,'CARNET DE SOUDURE'!$K$7:$K$1506,0)),IFERROR(INDEX('CARNET DE SOUDURE'!$B$7:$B$1506,MATCH(B1032,'CARNET DE SOUDURE'!$M$7:$M$1506,0)),"")))</f>
        <v/>
      </c>
      <c r="J1032" s="78" t="str">
        <f aca="false">IF(B1032="","",IFERROR(INDEX('CARNET DE SOUDURE'!$E$7:$E$1506,MATCH(B1032,'CARNET DE SOUDURE'!$M$7:$M$1506,0)),""))</f>
        <v/>
      </c>
      <c r="K1032" s="78" t="str">
        <f aca="false">IF(B1032="","",IFERROR(INDEX('CARNET DE SOUDURE'!$E$7:$E$1506,MATCH(B1032,'CARNET DE SOUDURE'!$K$7:$K$1506,0)),""))</f>
        <v/>
      </c>
      <c r="L1032" s="78" t="str">
        <f aca="false">IF(B1032="","",IFERROR(INDEX('CARNET DE SOUDURE'!$D$7:$D$1506,MATCH(B1032,'CARNET DE SOUDURE'!$K$7:$K$1506,0)),IFERROR(INDEX('CARNET DE SOUDURE'!$D$7:$D$1506,MATCH(B1032,'CARNET DE SOUDURE'!$M$7:$M$1506,0)),"")))</f>
        <v/>
      </c>
      <c r="M1032" s="81" t="str">
        <f aca="false">IF(B1032="","",IF(OR(J1032&lt;&gt;"",K1032&lt;&gt;""),"POSÉ EN LIGNE",IF(H1032&lt;&gt;"","BARDÉ","EN STOCK")))</f>
        <v/>
      </c>
      <c r="N1032" s="79"/>
    </row>
    <row r="1033" customFormat="false" ht="15" hidden="false" customHeight="false" outlineLevel="0" collapsed="false">
      <c r="A1033" s="78" t="str">
        <f aca="false">IF(B1033="","",ROW()-6)</f>
        <v/>
      </c>
      <c r="B1033" s="90"/>
      <c r="C1033" s="91"/>
      <c r="D1033" s="91"/>
      <c r="E1033" s="80"/>
      <c r="F1033" s="92"/>
      <c r="G1033" s="79"/>
      <c r="H1033" s="82"/>
      <c r="I1033" s="93" t="str">
        <f aca="false">IF(B1033="","",IFERROR(INDEX('CARNET DE SOUDURE'!$B$7:$B$1506,MATCH(B1033,'CARNET DE SOUDURE'!$K$7:$K$1506,0)),IFERROR(INDEX('CARNET DE SOUDURE'!$B$7:$B$1506,MATCH(B1033,'CARNET DE SOUDURE'!$M$7:$M$1506,0)),"")))</f>
        <v/>
      </c>
      <c r="J1033" s="78" t="str">
        <f aca="false">IF(B1033="","",IFERROR(INDEX('CARNET DE SOUDURE'!$E$7:$E$1506,MATCH(B1033,'CARNET DE SOUDURE'!$M$7:$M$1506,0)),""))</f>
        <v/>
      </c>
      <c r="K1033" s="78" t="str">
        <f aca="false">IF(B1033="","",IFERROR(INDEX('CARNET DE SOUDURE'!$E$7:$E$1506,MATCH(B1033,'CARNET DE SOUDURE'!$K$7:$K$1506,0)),""))</f>
        <v/>
      </c>
      <c r="L1033" s="78" t="str">
        <f aca="false">IF(B1033="","",IFERROR(INDEX('CARNET DE SOUDURE'!$D$7:$D$1506,MATCH(B1033,'CARNET DE SOUDURE'!$K$7:$K$1506,0)),IFERROR(INDEX('CARNET DE SOUDURE'!$D$7:$D$1506,MATCH(B1033,'CARNET DE SOUDURE'!$M$7:$M$1506,0)),"")))</f>
        <v/>
      </c>
      <c r="M1033" s="81" t="str">
        <f aca="false">IF(B1033="","",IF(OR(J1033&lt;&gt;"",K1033&lt;&gt;""),"POSÉ EN LIGNE",IF(H1033&lt;&gt;"","BARDÉ","EN STOCK")))</f>
        <v/>
      </c>
      <c r="N1033" s="79"/>
    </row>
    <row r="1034" customFormat="false" ht="15" hidden="false" customHeight="false" outlineLevel="0" collapsed="false">
      <c r="A1034" s="78" t="str">
        <f aca="false">IF(B1034="","",ROW()-6)</f>
        <v/>
      </c>
      <c r="B1034" s="90"/>
      <c r="C1034" s="91"/>
      <c r="D1034" s="91"/>
      <c r="E1034" s="80"/>
      <c r="F1034" s="92"/>
      <c r="G1034" s="79"/>
      <c r="H1034" s="82"/>
      <c r="I1034" s="93" t="str">
        <f aca="false">IF(B1034="","",IFERROR(INDEX('CARNET DE SOUDURE'!$B$7:$B$1506,MATCH(B1034,'CARNET DE SOUDURE'!$K$7:$K$1506,0)),IFERROR(INDEX('CARNET DE SOUDURE'!$B$7:$B$1506,MATCH(B1034,'CARNET DE SOUDURE'!$M$7:$M$1506,0)),"")))</f>
        <v/>
      </c>
      <c r="J1034" s="78" t="str">
        <f aca="false">IF(B1034="","",IFERROR(INDEX('CARNET DE SOUDURE'!$E$7:$E$1506,MATCH(B1034,'CARNET DE SOUDURE'!$M$7:$M$1506,0)),""))</f>
        <v/>
      </c>
      <c r="K1034" s="78" t="str">
        <f aca="false">IF(B1034="","",IFERROR(INDEX('CARNET DE SOUDURE'!$E$7:$E$1506,MATCH(B1034,'CARNET DE SOUDURE'!$K$7:$K$1506,0)),""))</f>
        <v/>
      </c>
      <c r="L1034" s="78" t="str">
        <f aca="false">IF(B1034="","",IFERROR(INDEX('CARNET DE SOUDURE'!$D$7:$D$1506,MATCH(B1034,'CARNET DE SOUDURE'!$K$7:$K$1506,0)),IFERROR(INDEX('CARNET DE SOUDURE'!$D$7:$D$1506,MATCH(B1034,'CARNET DE SOUDURE'!$M$7:$M$1506,0)),"")))</f>
        <v/>
      </c>
      <c r="M1034" s="81" t="str">
        <f aca="false">IF(B1034="","",IF(OR(J1034&lt;&gt;"",K1034&lt;&gt;""),"POSÉ EN LIGNE",IF(H1034&lt;&gt;"","BARDÉ","EN STOCK")))</f>
        <v/>
      </c>
      <c r="N1034" s="79"/>
    </row>
    <row r="1035" customFormat="false" ht="15" hidden="false" customHeight="false" outlineLevel="0" collapsed="false">
      <c r="A1035" s="78" t="str">
        <f aca="false">IF(B1035="","",ROW()-6)</f>
        <v/>
      </c>
      <c r="B1035" s="90"/>
      <c r="C1035" s="91"/>
      <c r="D1035" s="91"/>
      <c r="E1035" s="80"/>
      <c r="F1035" s="92"/>
      <c r="G1035" s="79"/>
      <c r="H1035" s="82"/>
      <c r="I1035" s="93" t="str">
        <f aca="false">IF(B1035="","",IFERROR(INDEX('CARNET DE SOUDURE'!$B$7:$B$1506,MATCH(B1035,'CARNET DE SOUDURE'!$K$7:$K$1506,0)),IFERROR(INDEX('CARNET DE SOUDURE'!$B$7:$B$1506,MATCH(B1035,'CARNET DE SOUDURE'!$M$7:$M$1506,0)),"")))</f>
        <v/>
      </c>
      <c r="J1035" s="78" t="str">
        <f aca="false">IF(B1035="","",IFERROR(INDEX('CARNET DE SOUDURE'!$E$7:$E$1506,MATCH(B1035,'CARNET DE SOUDURE'!$M$7:$M$1506,0)),""))</f>
        <v/>
      </c>
      <c r="K1035" s="78" t="str">
        <f aca="false">IF(B1035="","",IFERROR(INDEX('CARNET DE SOUDURE'!$E$7:$E$1506,MATCH(B1035,'CARNET DE SOUDURE'!$K$7:$K$1506,0)),""))</f>
        <v/>
      </c>
      <c r="L1035" s="78" t="str">
        <f aca="false">IF(B1035="","",IFERROR(INDEX('CARNET DE SOUDURE'!$D$7:$D$1506,MATCH(B1035,'CARNET DE SOUDURE'!$K$7:$K$1506,0)),IFERROR(INDEX('CARNET DE SOUDURE'!$D$7:$D$1506,MATCH(B1035,'CARNET DE SOUDURE'!$M$7:$M$1506,0)),"")))</f>
        <v/>
      </c>
      <c r="M1035" s="81" t="str">
        <f aca="false">IF(B1035="","",IF(OR(J1035&lt;&gt;"",K1035&lt;&gt;""),"POSÉ EN LIGNE",IF(H1035&lt;&gt;"","BARDÉ","EN STOCK")))</f>
        <v/>
      </c>
      <c r="N1035" s="79"/>
    </row>
    <row r="1036" customFormat="false" ht="15" hidden="false" customHeight="false" outlineLevel="0" collapsed="false">
      <c r="A1036" s="78" t="str">
        <f aca="false">IF(B1036="","",ROW()-6)</f>
        <v/>
      </c>
      <c r="B1036" s="90"/>
      <c r="C1036" s="91"/>
      <c r="D1036" s="91"/>
      <c r="E1036" s="80"/>
      <c r="F1036" s="92"/>
      <c r="G1036" s="79"/>
      <c r="H1036" s="82"/>
      <c r="I1036" s="93" t="str">
        <f aca="false">IF(B1036="","",IFERROR(INDEX('CARNET DE SOUDURE'!$B$7:$B$1506,MATCH(B1036,'CARNET DE SOUDURE'!$K$7:$K$1506,0)),IFERROR(INDEX('CARNET DE SOUDURE'!$B$7:$B$1506,MATCH(B1036,'CARNET DE SOUDURE'!$M$7:$M$1506,0)),"")))</f>
        <v/>
      </c>
      <c r="J1036" s="78" t="str">
        <f aca="false">IF(B1036="","",IFERROR(INDEX('CARNET DE SOUDURE'!$E$7:$E$1506,MATCH(B1036,'CARNET DE SOUDURE'!$M$7:$M$1506,0)),""))</f>
        <v/>
      </c>
      <c r="K1036" s="78" t="str">
        <f aca="false">IF(B1036="","",IFERROR(INDEX('CARNET DE SOUDURE'!$E$7:$E$1506,MATCH(B1036,'CARNET DE SOUDURE'!$K$7:$K$1506,0)),""))</f>
        <v/>
      </c>
      <c r="L1036" s="78" t="str">
        <f aca="false">IF(B1036="","",IFERROR(INDEX('CARNET DE SOUDURE'!$D$7:$D$1506,MATCH(B1036,'CARNET DE SOUDURE'!$K$7:$K$1506,0)),IFERROR(INDEX('CARNET DE SOUDURE'!$D$7:$D$1506,MATCH(B1036,'CARNET DE SOUDURE'!$M$7:$M$1506,0)),"")))</f>
        <v/>
      </c>
      <c r="M1036" s="81" t="str">
        <f aca="false">IF(B1036="","",IF(OR(J1036&lt;&gt;"",K1036&lt;&gt;""),"POSÉ EN LIGNE",IF(H1036&lt;&gt;"","BARDÉ","EN STOCK")))</f>
        <v/>
      </c>
      <c r="N1036" s="79"/>
    </row>
    <row r="1037" customFormat="false" ht="15" hidden="false" customHeight="false" outlineLevel="0" collapsed="false">
      <c r="A1037" s="78" t="str">
        <f aca="false">IF(B1037="","",ROW()-6)</f>
        <v/>
      </c>
      <c r="B1037" s="90"/>
      <c r="C1037" s="91"/>
      <c r="D1037" s="91"/>
      <c r="E1037" s="80"/>
      <c r="F1037" s="92"/>
      <c r="G1037" s="79"/>
      <c r="H1037" s="82"/>
      <c r="I1037" s="93" t="str">
        <f aca="false">IF(B1037="","",IFERROR(INDEX('CARNET DE SOUDURE'!$B$7:$B$1506,MATCH(B1037,'CARNET DE SOUDURE'!$K$7:$K$1506,0)),IFERROR(INDEX('CARNET DE SOUDURE'!$B$7:$B$1506,MATCH(B1037,'CARNET DE SOUDURE'!$M$7:$M$1506,0)),"")))</f>
        <v/>
      </c>
      <c r="J1037" s="78" t="str">
        <f aca="false">IF(B1037="","",IFERROR(INDEX('CARNET DE SOUDURE'!$E$7:$E$1506,MATCH(B1037,'CARNET DE SOUDURE'!$M$7:$M$1506,0)),""))</f>
        <v/>
      </c>
      <c r="K1037" s="78" t="str">
        <f aca="false">IF(B1037="","",IFERROR(INDEX('CARNET DE SOUDURE'!$E$7:$E$1506,MATCH(B1037,'CARNET DE SOUDURE'!$K$7:$K$1506,0)),""))</f>
        <v/>
      </c>
      <c r="L1037" s="78" t="str">
        <f aca="false">IF(B1037="","",IFERROR(INDEX('CARNET DE SOUDURE'!$D$7:$D$1506,MATCH(B1037,'CARNET DE SOUDURE'!$K$7:$K$1506,0)),IFERROR(INDEX('CARNET DE SOUDURE'!$D$7:$D$1506,MATCH(B1037,'CARNET DE SOUDURE'!$M$7:$M$1506,0)),"")))</f>
        <v/>
      </c>
      <c r="M1037" s="81" t="str">
        <f aca="false">IF(B1037="","",IF(OR(J1037&lt;&gt;"",K1037&lt;&gt;""),"POSÉ EN LIGNE",IF(H1037&lt;&gt;"","BARDÉ","EN STOCK")))</f>
        <v/>
      </c>
      <c r="N1037" s="79"/>
    </row>
    <row r="1038" customFormat="false" ht="15" hidden="false" customHeight="false" outlineLevel="0" collapsed="false">
      <c r="A1038" s="78" t="str">
        <f aca="false">IF(B1038="","",ROW()-6)</f>
        <v/>
      </c>
      <c r="B1038" s="90"/>
      <c r="C1038" s="91"/>
      <c r="D1038" s="91"/>
      <c r="E1038" s="80"/>
      <c r="F1038" s="92"/>
      <c r="G1038" s="79"/>
      <c r="H1038" s="82"/>
      <c r="I1038" s="93" t="str">
        <f aca="false">IF(B1038="","",IFERROR(INDEX('CARNET DE SOUDURE'!$B$7:$B$1506,MATCH(B1038,'CARNET DE SOUDURE'!$K$7:$K$1506,0)),IFERROR(INDEX('CARNET DE SOUDURE'!$B$7:$B$1506,MATCH(B1038,'CARNET DE SOUDURE'!$M$7:$M$1506,0)),"")))</f>
        <v/>
      </c>
      <c r="J1038" s="78" t="str">
        <f aca="false">IF(B1038="","",IFERROR(INDEX('CARNET DE SOUDURE'!$E$7:$E$1506,MATCH(B1038,'CARNET DE SOUDURE'!$M$7:$M$1506,0)),""))</f>
        <v/>
      </c>
      <c r="K1038" s="78" t="str">
        <f aca="false">IF(B1038="","",IFERROR(INDEX('CARNET DE SOUDURE'!$E$7:$E$1506,MATCH(B1038,'CARNET DE SOUDURE'!$K$7:$K$1506,0)),""))</f>
        <v/>
      </c>
      <c r="L1038" s="78" t="str">
        <f aca="false">IF(B1038="","",IFERROR(INDEX('CARNET DE SOUDURE'!$D$7:$D$1506,MATCH(B1038,'CARNET DE SOUDURE'!$K$7:$K$1506,0)),IFERROR(INDEX('CARNET DE SOUDURE'!$D$7:$D$1506,MATCH(B1038,'CARNET DE SOUDURE'!$M$7:$M$1506,0)),"")))</f>
        <v/>
      </c>
      <c r="M1038" s="81" t="str">
        <f aca="false">IF(B1038="","",IF(OR(J1038&lt;&gt;"",K1038&lt;&gt;""),"POSÉ EN LIGNE",IF(H1038&lt;&gt;"","BARDÉ","EN STOCK")))</f>
        <v/>
      </c>
      <c r="N1038" s="79"/>
    </row>
    <row r="1039" customFormat="false" ht="15" hidden="false" customHeight="false" outlineLevel="0" collapsed="false">
      <c r="A1039" s="78" t="str">
        <f aca="false">IF(B1039="","",ROW()-6)</f>
        <v/>
      </c>
      <c r="B1039" s="90"/>
      <c r="C1039" s="91"/>
      <c r="D1039" s="91"/>
      <c r="E1039" s="80"/>
      <c r="F1039" s="92"/>
      <c r="G1039" s="79"/>
      <c r="H1039" s="82"/>
      <c r="I1039" s="93" t="str">
        <f aca="false">IF(B1039="","",IFERROR(INDEX('CARNET DE SOUDURE'!$B$7:$B$1506,MATCH(B1039,'CARNET DE SOUDURE'!$K$7:$K$1506,0)),IFERROR(INDEX('CARNET DE SOUDURE'!$B$7:$B$1506,MATCH(B1039,'CARNET DE SOUDURE'!$M$7:$M$1506,0)),"")))</f>
        <v/>
      </c>
      <c r="J1039" s="78" t="str">
        <f aca="false">IF(B1039="","",IFERROR(INDEX('CARNET DE SOUDURE'!$E$7:$E$1506,MATCH(B1039,'CARNET DE SOUDURE'!$M$7:$M$1506,0)),""))</f>
        <v/>
      </c>
      <c r="K1039" s="78" t="str">
        <f aca="false">IF(B1039="","",IFERROR(INDEX('CARNET DE SOUDURE'!$E$7:$E$1506,MATCH(B1039,'CARNET DE SOUDURE'!$K$7:$K$1506,0)),""))</f>
        <v/>
      </c>
      <c r="L1039" s="78" t="str">
        <f aca="false">IF(B1039="","",IFERROR(INDEX('CARNET DE SOUDURE'!$D$7:$D$1506,MATCH(B1039,'CARNET DE SOUDURE'!$K$7:$K$1506,0)),IFERROR(INDEX('CARNET DE SOUDURE'!$D$7:$D$1506,MATCH(B1039,'CARNET DE SOUDURE'!$M$7:$M$1506,0)),"")))</f>
        <v/>
      </c>
      <c r="M1039" s="81" t="str">
        <f aca="false">IF(B1039="","",IF(OR(J1039&lt;&gt;"",K1039&lt;&gt;""),"POSÉ EN LIGNE",IF(H1039&lt;&gt;"","BARDÉ","EN STOCK")))</f>
        <v/>
      </c>
      <c r="N1039" s="79"/>
    </row>
    <row r="1040" customFormat="false" ht="15" hidden="false" customHeight="false" outlineLevel="0" collapsed="false">
      <c r="A1040" s="78" t="str">
        <f aca="false">IF(B1040="","",ROW()-6)</f>
        <v/>
      </c>
      <c r="B1040" s="90"/>
      <c r="C1040" s="91"/>
      <c r="D1040" s="91"/>
      <c r="E1040" s="80"/>
      <c r="F1040" s="92"/>
      <c r="G1040" s="79"/>
      <c r="H1040" s="82"/>
      <c r="I1040" s="93" t="str">
        <f aca="false">IF(B1040="","",IFERROR(INDEX('CARNET DE SOUDURE'!$B$7:$B$1506,MATCH(B1040,'CARNET DE SOUDURE'!$K$7:$K$1506,0)),IFERROR(INDEX('CARNET DE SOUDURE'!$B$7:$B$1506,MATCH(B1040,'CARNET DE SOUDURE'!$M$7:$M$1506,0)),"")))</f>
        <v/>
      </c>
      <c r="J1040" s="78" t="str">
        <f aca="false">IF(B1040="","",IFERROR(INDEX('CARNET DE SOUDURE'!$E$7:$E$1506,MATCH(B1040,'CARNET DE SOUDURE'!$M$7:$M$1506,0)),""))</f>
        <v/>
      </c>
      <c r="K1040" s="78" t="str">
        <f aca="false">IF(B1040="","",IFERROR(INDEX('CARNET DE SOUDURE'!$E$7:$E$1506,MATCH(B1040,'CARNET DE SOUDURE'!$K$7:$K$1506,0)),""))</f>
        <v/>
      </c>
      <c r="L1040" s="78" t="str">
        <f aca="false">IF(B1040="","",IFERROR(INDEX('CARNET DE SOUDURE'!$D$7:$D$1506,MATCH(B1040,'CARNET DE SOUDURE'!$K$7:$K$1506,0)),IFERROR(INDEX('CARNET DE SOUDURE'!$D$7:$D$1506,MATCH(B1040,'CARNET DE SOUDURE'!$M$7:$M$1506,0)),"")))</f>
        <v/>
      </c>
      <c r="M1040" s="81" t="str">
        <f aca="false">IF(B1040="","",IF(OR(J1040&lt;&gt;"",K1040&lt;&gt;""),"POSÉ EN LIGNE",IF(H1040&lt;&gt;"","BARDÉ","EN STOCK")))</f>
        <v/>
      </c>
      <c r="N1040" s="79"/>
    </row>
    <row r="1041" customFormat="false" ht="15" hidden="false" customHeight="false" outlineLevel="0" collapsed="false">
      <c r="A1041" s="78" t="str">
        <f aca="false">IF(B1041="","",ROW()-6)</f>
        <v/>
      </c>
      <c r="B1041" s="90"/>
      <c r="C1041" s="91"/>
      <c r="D1041" s="91"/>
      <c r="E1041" s="80"/>
      <c r="F1041" s="92"/>
      <c r="G1041" s="79"/>
      <c r="H1041" s="82"/>
      <c r="I1041" s="93" t="str">
        <f aca="false">IF(B1041="","",IFERROR(INDEX('CARNET DE SOUDURE'!$B$7:$B$1506,MATCH(B1041,'CARNET DE SOUDURE'!$K$7:$K$1506,0)),IFERROR(INDEX('CARNET DE SOUDURE'!$B$7:$B$1506,MATCH(B1041,'CARNET DE SOUDURE'!$M$7:$M$1506,0)),"")))</f>
        <v/>
      </c>
      <c r="J1041" s="78" t="str">
        <f aca="false">IF(B1041="","",IFERROR(INDEX('CARNET DE SOUDURE'!$E$7:$E$1506,MATCH(B1041,'CARNET DE SOUDURE'!$M$7:$M$1506,0)),""))</f>
        <v/>
      </c>
      <c r="K1041" s="78" t="str">
        <f aca="false">IF(B1041="","",IFERROR(INDEX('CARNET DE SOUDURE'!$E$7:$E$1506,MATCH(B1041,'CARNET DE SOUDURE'!$K$7:$K$1506,0)),""))</f>
        <v/>
      </c>
      <c r="L1041" s="78" t="str">
        <f aca="false">IF(B1041="","",IFERROR(INDEX('CARNET DE SOUDURE'!$D$7:$D$1506,MATCH(B1041,'CARNET DE SOUDURE'!$K$7:$K$1506,0)),IFERROR(INDEX('CARNET DE SOUDURE'!$D$7:$D$1506,MATCH(B1041,'CARNET DE SOUDURE'!$M$7:$M$1506,0)),"")))</f>
        <v/>
      </c>
      <c r="M1041" s="81" t="str">
        <f aca="false">IF(B1041="","",IF(OR(J1041&lt;&gt;"",K1041&lt;&gt;""),"POSÉ EN LIGNE",IF(H1041&lt;&gt;"","BARDÉ","EN STOCK")))</f>
        <v/>
      </c>
      <c r="N1041" s="79"/>
    </row>
    <row r="1042" customFormat="false" ht="15" hidden="false" customHeight="false" outlineLevel="0" collapsed="false">
      <c r="A1042" s="78" t="str">
        <f aca="false">IF(B1042="","",ROW()-6)</f>
        <v/>
      </c>
      <c r="B1042" s="90"/>
      <c r="C1042" s="91"/>
      <c r="D1042" s="91"/>
      <c r="E1042" s="80"/>
      <c r="F1042" s="92"/>
      <c r="G1042" s="79"/>
      <c r="H1042" s="82"/>
      <c r="I1042" s="93" t="str">
        <f aca="false">IF(B1042="","",IFERROR(INDEX('CARNET DE SOUDURE'!$B$7:$B$1506,MATCH(B1042,'CARNET DE SOUDURE'!$K$7:$K$1506,0)),IFERROR(INDEX('CARNET DE SOUDURE'!$B$7:$B$1506,MATCH(B1042,'CARNET DE SOUDURE'!$M$7:$M$1506,0)),"")))</f>
        <v/>
      </c>
      <c r="J1042" s="78" t="str">
        <f aca="false">IF(B1042="","",IFERROR(INDEX('CARNET DE SOUDURE'!$E$7:$E$1506,MATCH(B1042,'CARNET DE SOUDURE'!$M$7:$M$1506,0)),""))</f>
        <v/>
      </c>
      <c r="K1042" s="78" t="str">
        <f aca="false">IF(B1042="","",IFERROR(INDEX('CARNET DE SOUDURE'!$E$7:$E$1506,MATCH(B1042,'CARNET DE SOUDURE'!$K$7:$K$1506,0)),""))</f>
        <v/>
      </c>
      <c r="L1042" s="78" t="str">
        <f aca="false">IF(B1042="","",IFERROR(INDEX('CARNET DE SOUDURE'!$D$7:$D$1506,MATCH(B1042,'CARNET DE SOUDURE'!$K$7:$K$1506,0)),IFERROR(INDEX('CARNET DE SOUDURE'!$D$7:$D$1506,MATCH(B1042,'CARNET DE SOUDURE'!$M$7:$M$1506,0)),"")))</f>
        <v/>
      </c>
      <c r="M1042" s="81" t="str">
        <f aca="false">IF(B1042="","",IF(OR(J1042&lt;&gt;"",K1042&lt;&gt;""),"POSÉ EN LIGNE",IF(H1042&lt;&gt;"","BARDÉ","EN STOCK")))</f>
        <v/>
      </c>
      <c r="N1042" s="79"/>
    </row>
    <row r="1043" customFormat="false" ht="15" hidden="false" customHeight="false" outlineLevel="0" collapsed="false">
      <c r="A1043" s="78" t="str">
        <f aca="false">IF(B1043="","",ROW()-6)</f>
        <v/>
      </c>
      <c r="B1043" s="90"/>
      <c r="C1043" s="91"/>
      <c r="D1043" s="91"/>
      <c r="E1043" s="80"/>
      <c r="F1043" s="92"/>
      <c r="G1043" s="79"/>
      <c r="H1043" s="82"/>
      <c r="I1043" s="93" t="str">
        <f aca="false">IF(B1043="","",IFERROR(INDEX('CARNET DE SOUDURE'!$B$7:$B$1506,MATCH(B1043,'CARNET DE SOUDURE'!$K$7:$K$1506,0)),IFERROR(INDEX('CARNET DE SOUDURE'!$B$7:$B$1506,MATCH(B1043,'CARNET DE SOUDURE'!$M$7:$M$1506,0)),"")))</f>
        <v/>
      </c>
      <c r="J1043" s="78" t="str">
        <f aca="false">IF(B1043="","",IFERROR(INDEX('CARNET DE SOUDURE'!$E$7:$E$1506,MATCH(B1043,'CARNET DE SOUDURE'!$M$7:$M$1506,0)),""))</f>
        <v/>
      </c>
      <c r="K1043" s="78" t="str">
        <f aca="false">IF(B1043="","",IFERROR(INDEX('CARNET DE SOUDURE'!$E$7:$E$1506,MATCH(B1043,'CARNET DE SOUDURE'!$K$7:$K$1506,0)),""))</f>
        <v/>
      </c>
      <c r="L1043" s="78" t="str">
        <f aca="false">IF(B1043="","",IFERROR(INDEX('CARNET DE SOUDURE'!$D$7:$D$1506,MATCH(B1043,'CARNET DE SOUDURE'!$K$7:$K$1506,0)),IFERROR(INDEX('CARNET DE SOUDURE'!$D$7:$D$1506,MATCH(B1043,'CARNET DE SOUDURE'!$M$7:$M$1506,0)),"")))</f>
        <v/>
      </c>
      <c r="M1043" s="81" t="str">
        <f aca="false">IF(B1043="","",IF(OR(J1043&lt;&gt;"",K1043&lt;&gt;""),"POSÉ EN LIGNE",IF(H1043&lt;&gt;"","BARDÉ","EN STOCK")))</f>
        <v/>
      </c>
      <c r="N1043" s="79"/>
    </row>
    <row r="1044" customFormat="false" ht="15" hidden="false" customHeight="false" outlineLevel="0" collapsed="false">
      <c r="A1044" s="78" t="str">
        <f aca="false">IF(B1044="","",ROW()-6)</f>
        <v/>
      </c>
      <c r="B1044" s="90"/>
      <c r="C1044" s="91"/>
      <c r="D1044" s="91"/>
      <c r="E1044" s="80"/>
      <c r="F1044" s="92"/>
      <c r="G1044" s="79"/>
      <c r="H1044" s="82"/>
      <c r="I1044" s="93" t="str">
        <f aca="false">IF(B1044="","",IFERROR(INDEX('CARNET DE SOUDURE'!$B$7:$B$1506,MATCH(B1044,'CARNET DE SOUDURE'!$K$7:$K$1506,0)),IFERROR(INDEX('CARNET DE SOUDURE'!$B$7:$B$1506,MATCH(B1044,'CARNET DE SOUDURE'!$M$7:$M$1506,0)),"")))</f>
        <v/>
      </c>
      <c r="J1044" s="78" t="str">
        <f aca="false">IF(B1044="","",IFERROR(INDEX('CARNET DE SOUDURE'!$E$7:$E$1506,MATCH(B1044,'CARNET DE SOUDURE'!$M$7:$M$1506,0)),""))</f>
        <v/>
      </c>
      <c r="K1044" s="78" t="str">
        <f aca="false">IF(B1044="","",IFERROR(INDEX('CARNET DE SOUDURE'!$E$7:$E$1506,MATCH(B1044,'CARNET DE SOUDURE'!$K$7:$K$1506,0)),""))</f>
        <v/>
      </c>
      <c r="L1044" s="78" t="str">
        <f aca="false">IF(B1044="","",IFERROR(INDEX('CARNET DE SOUDURE'!$D$7:$D$1506,MATCH(B1044,'CARNET DE SOUDURE'!$K$7:$K$1506,0)),IFERROR(INDEX('CARNET DE SOUDURE'!$D$7:$D$1506,MATCH(B1044,'CARNET DE SOUDURE'!$M$7:$M$1506,0)),"")))</f>
        <v/>
      </c>
      <c r="M1044" s="81" t="str">
        <f aca="false">IF(B1044="","",IF(OR(J1044&lt;&gt;"",K1044&lt;&gt;""),"POSÉ EN LIGNE",IF(H1044&lt;&gt;"","BARDÉ","EN STOCK")))</f>
        <v/>
      </c>
      <c r="N1044" s="79"/>
    </row>
    <row r="1045" customFormat="false" ht="15" hidden="false" customHeight="false" outlineLevel="0" collapsed="false">
      <c r="A1045" s="78" t="str">
        <f aca="false">IF(B1045="","",ROW()-6)</f>
        <v/>
      </c>
      <c r="B1045" s="90"/>
      <c r="C1045" s="91"/>
      <c r="D1045" s="91"/>
      <c r="E1045" s="80"/>
      <c r="F1045" s="92"/>
      <c r="G1045" s="79"/>
      <c r="H1045" s="82"/>
      <c r="I1045" s="93" t="str">
        <f aca="false">IF(B1045="","",IFERROR(INDEX('CARNET DE SOUDURE'!$B$7:$B$1506,MATCH(B1045,'CARNET DE SOUDURE'!$K$7:$K$1506,0)),IFERROR(INDEX('CARNET DE SOUDURE'!$B$7:$B$1506,MATCH(B1045,'CARNET DE SOUDURE'!$M$7:$M$1506,0)),"")))</f>
        <v/>
      </c>
      <c r="J1045" s="78" t="str">
        <f aca="false">IF(B1045="","",IFERROR(INDEX('CARNET DE SOUDURE'!$E$7:$E$1506,MATCH(B1045,'CARNET DE SOUDURE'!$M$7:$M$1506,0)),""))</f>
        <v/>
      </c>
      <c r="K1045" s="78" t="str">
        <f aca="false">IF(B1045="","",IFERROR(INDEX('CARNET DE SOUDURE'!$E$7:$E$1506,MATCH(B1045,'CARNET DE SOUDURE'!$K$7:$K$1506,0)),""))</f>
        <v/>
      </c>
      <c r="L1045" s="78" t="str">
        <f aca="false">IF(B1045="","",IFERROR(INDEX('CARNET DE SOUDURE'!$D$7:$D$1506,MATCH(B1045,'CARNET DE SOUDURE'!$K$7:$K$1506,0)),IFERROR(INDEX('CARNET DE SOUDURE'!$D$7:$D$1506,MATCH(B1045,'CARNET DE SOUDURE'!$M$7:$M$1506,0)),"")))</f>
        <v/>
      </c>
      <c r="M1045" s="81" t="str">
        <f aca="false">IF(B1045="","",IF(OR(J1045&lt;&gt;"",K1045&lt;&gt;""),"POSÉ EN LIGNE",IF(H1045&lt;&gt;"","BARDÉ","EN STOCK")))</f>
        <v/>
      </c>
      <c r="N1045" s="79"/>
    </row>
    <row r="1046" customFormat="false" ht="15" hidden="false" customHeight="false" outlineLevel="0" collapsed="false">
      <c r="A1046" s="78" t="str">
        <f aca="false">IF(B1046="","",ROW()-6)</f>
        <v/>
      </c>
      <c r="B1046" s="90"/>
      <c r="C1046" s="91"/>
      <c r="D1046" s="91"/>
      <c r="E1046" s="80"/>
      <c r="F1046" s="92"/>
      <c r="G1046" s="79"/>
      <c r="H1046" s="82"/>
      <c r="I1046" s="93" t="str">
        <f aca="false">IF(B1046="","",IFERROR(INDEX('CARNET DE SOUDURE'!$B$7:$B$1506,MATCH(B1046,'CARNET DE SOUDURE'!$K$7:$K$1506,0)),IFERROR(INDEX('CARNET DE SOUDURE'!$B$7:$B$1506,MATCH(B1046,'CARNET DE SOUDURE'!$M$7:$M$1506,0)),"")))</f>
        <v/>
      </c>
      <c r="J1046" s="78" t="str">
        <f aca="false">IF(B1046="","",IFERROR(INDEX('CARNET DE SOUDURE'!$E$7:$E$1506,MATCH(B1046,'CARNET DE SOUDURE'!$M$7:$M$1506,0)),""))</f>
        <v/>
      </c>
      <c r="K1046" s="78" t="str">
        <f aca="false">IF(B1046="","",IFERROR(INDEX('CARNET DE SOUDURE'!$E$7:$E$1506,MATCH(B1046,'CARNET DE SOUDURE'!$K$7:$K$1506,0)),""))</f>
        <v/>
      </c>
      <c r="L1046" s="78" t="str">
        <f aca="false">IF(B1046="","",IFERROR(INDEX('CARNET DE SOUDURE'!$D$7:$D$1506,MATCH(B1046,'CARNET DE SOUDURE'!$K$7:$K$1506,0)),IFERROR(INDEX('CARNET DE SOUDURE'!$D$7:$D$1506,MATCH(B1046,'CARNET DE SOUDURE'!$M$7:$M$1506,0)),"")))</f>
        <v/>
      </c>
      <c r="M1046" s="81" t="str">
        <f aca="false">IF(B1046="","",IF(OR(J1046&lt;&gt;"",K1046&lt;&gt;""),"POSÉ EN LIGNE",IF(H1046&lt;&gt;"","BARDÉ","EN STOCK")))</f>
        <v/>
      </c>
      <c r="N1046" s="79"/>
    </row>
    <row r="1047" customFormat="false" ht="15" hidden="false" customHeight="false" outlineLevel="0" collapsed="false">
      <c r="A1047" s="78" t="str">
        <f aca="false">IF(B1047="","",ROW()-6)</f>
        <v/>
      </c>
      <c r="B1047" s="90"/>
      <c r="C1047" s="91"/>
      <c r="D1047" s="91"/>
      <c r="E1047" s="80"/>
      <c r="F1047" s="92"/>
      <c r="G1047" s="79"/>
      <c r="H1047" s="82"/>
      <c r="I1047" s="93" t="str">
        <f aca="false">IF(B1047="","",IFERROR(INDEX('CARNET DE SOUDURE'!$B$7:$B$1506,MATCH(B1047,'CARNET DE SOUDURE'!$K$7:$K$1506,0)),IFERROR(INDEX('CARNET DE SOUDURE'!$B$7:$B$1506,MATCH(B1047,'CARNET DE SOUDURE'!$M$7:$M$1506,0)),"")))</f>
        <v/>
      </c>
      <c r="J1047" s="78" t="str">
        <f aca="false">IF(B1047="","",IFERROR(INDEX('CARNET DE SOUDURE'!$E$7:$E$1506,MATCH(B1047,'CARNET DE SOUDURE'!$M$7:$M$1506,0)),""))</f>
        <v/>
      </c>
      <c r="K1047" s="78" t="str">
        <f aca="false">IF(B1047="","",IFERROR(INDEX('CARNET DE SOUDURE'!$E$7:$E$1506,MATCH(B1047,'CARNET DE SOUDURE'!$K$7:$K$1506,0)),""))</f>
        <v/>
      </c>
      <c r="L1047" s="78" t="str">
        <f aca="false">IF(B1047="","",IFERROR(INDEX('CARNET DE SOUDURE'!$D$7:$D$1506,MATCH(B1047,'CARNET DE SOUDURE'!$K$7:$K$1506,0)),IFERROR(INDEX('CARNET DE SOUDURE'!$D$7:$D$1506,MATCH(B1047,'CARNET DE SOUDURE'!$M$7:$M$1506,0)),"")))</f>
        <v/>
      </c>
      <c r="M1047" s="81" t="str">
        <f aca="false">IF(B1047="","",IF(OR(J1047&lt;&gt;"",K1047&lt;&gt;""),"POSÉ EN LIGNE",IF(H1047&lt;&gt;"","BARDÉ","EN STOCK")))</f>
        <v/>
      </c>
      <c r="N1047" s="79"/>
    </row>
    <row r="1048" customFormat="false" ht="15" hidden="false" customHeight="false" outlineLevel="0" collapsed="false">
      <c r="A1048" s="78" t="str">
        <f aca="false">IF(B1048="","",ROW()-6)</f>
        <v/>
      </c>
      <c r="B1048" s="90"/>
      <c r="C1048" s="91"/>
      <c r="D1048" s="91"/>
      <c r="E1048" s="80"/>
      <c r="F1048" s="92"/>
      <c r="G1048" s="79"/>
      <c r="H1048" s="82"/>
      <c r="I1048" s="93" t="str">
        <f aca="false">IF(B1048="","",IFERROR(INDEX('CARNET DE SOUDURE'!$B$7:$B$1506,MATCH(B1048,'CARNET DE SOUDURE'!$K$7:$K$1506,0)),IFERROR(INDEX('CARNET DE SOUDURE'!$B$7:$B$1506,MATCH(B1048,'CARNET DE SOUDURE'!$M$7:$M$1506,0)),"")))</f>
        <v/>
      </c>
      <c r="J1048" s="78" t="str">
        <f aca="false">IF(B1048="","",IFERROR(INDEX('CARNET DE SOUDURE'!$E$7:$E$1506,MATCH(B1048,'CARNET DE SOUDURE'!$M$7:$M$1506,0)),""))</f>
        <v/>
      </c>
      <c r="K1048" s="78" t="str">
        <f aca="false">IF(B1048="","",IFERROR(INDEX('CARNET DE SOUDURE'!$E$7:$E$1506,MATCH(B1048,'CARNET DE SOUDURE'!$K$7:$K$1506,0)),""))</f>
        <v/>
      </c>
      <c r="L1048" s="78" t="str">
        <f aca="false">IF(B1048="","",IFERROR(INDEX('CARNET DE SOUDURE'!$D$7:$D$1506,MATCH(B1048,'CARNET DE SOUDURE'!$K$7:$K$1506,0)),IFERROR(INDEX('CARNET DE SOUDURE'!$D$7:$D$1506,MATCH(B1048,'CARNET DE SOUDURE'!$M$7:$M$1506,0)),"")))</f>
        <v/>
      </c>
      <c r="M1048" s="81" t="str">
        <f aca="false">IF(B1048="","",IF(OR(J1048&lt;&gt;"",K1048&lt;&gt;""),"POSÉ EN LIGNE",IF(H1048&lt;&gt;"","BARDÉ","EN STOCK")))</f>
        <v/>
      </c>
      <c r="N1048" s="79"/>
    </row>
    <row r="1049" customFormat="false" ht="15" hidden="false" customHeight="false" outlineLevel="0" collapsed="false">
      <c r="A1049" s="78" t="str">
        <f aca="false">IF(B1049="","",ROW()-6)</f>
        <v/>
      </c>
      <c r="B1049" s="90"/>
      <c r="C1049" s="91"/>
      <c r="D1049" s="91"/>
      <c r="E1049" s="80"/>
      <c r="F1049" s="92"/>
      <c r="G1049" s="79"/>
      <c r="H1049" s="82"/>
      <c r="I1049" s="93" t="str">
        <f aca="false">IF(B1049="","",IFERROR(INDEX('CARNET DE SOUDURE'!$B$7:$B$1506,MATCH(B1049,'CARNET DE SOUDURE'!$K$7:$K$1506,0)),IFERROR(INDEX('CARNET DE SOUDURE'!$B$7:$B$1506,MATCH(B1049,'CARNET DE SOUDURE'!$M$7:$M$1506,0)),"")))</f>
        <v/>
      </c>
      <c r="J1049" s="78" t="str">
        <f aca="false">IF(B1049="","",IFERROR(INDEX('CARNET DE SOUDURE'!$E$7:$E$1506,MATCH(B1049,'CARNET DE SOUDURE'!$M$7:$M$1506,0)),""))</f>
        <v/>
      </c>
      <c r="K1049" s="78" t="str">
        <f aca="false">IF(B1049="","",IFERROR(INDEX('CARNET DE SOUDURE'!$E$7:$E$1506,MATCH(B1049,'CARNET DE SOUDURE'!$K$7:$K$1506,0)),""))</f>
        <v/>
      </c>
      <c r="L1049" s="78" t="str">
        <f aca="false">IF(B1049="","",IFERROR(INDEX('CARNET DE SOUDURE'!$D$7:$D$1506,MATCH(B1049,'CARNET DE SOUDURE'!$K$7:$K$1506,0)),IFERROR(INDEX('CARNET DE SOUDURE'!$D$7:$D$1506,MATCH(B1049,'CARNET DE SOUDURE'!$M$7:$M$1506,0)),"")))</f>
        <v/>
      </c>
      <c r="M1049" s="81" t="str">
        <f aca="false">IF(B1049="","",IF(OR(J1049&lt;&gt;"",K1049&lt;&gt;""),"POSÉ EN LIGNE",IF(H1049&lt;&gt;"","BARDÉ","EN STOCK")))</f>
        <v/>
      </c>
      <c r="N1049" s="79"/>
    </row>
    <row r="1050" customFormat="false" ht="15" hidden="false" customHeight="false" outlineLevel="0" collapsed="false">
      <c r="A1050" s="78" t="str">
        <f aca="false">IF(B1050="","",ROW()-6)</f>
        <v/>
      </c>
      <c r="B1050" s="90"/>
      <c r="C1050" s="91"/>
      <c r="D1050" s="91"/>
      <c r="E1050" s="80"/>
      <c r="F1050" s="92"/>
      <c r="G1050" s="79"/>
      <c r="H1050" s="82"/>
      <c r="I1050" s="93" t="str">
        <f aca="false">IF(B1050="","",IFERROR(INDEX('CARNET DE SOUDURE'!$B$7:$B$1506,MATCH(B1050,'CARNET DE SOUDURE'!$K$7:$K$1506,0)),IFERROR(INDEX('CARNET DE SOUDURE'!$B$7:$B$1506,MATCH(B1050,'CARNET DE SOUDURE'!$M$7:$M$1506,0)),"")))</f>
        <v/>
      </c>
      <c r="J1050" s="78" t="str">
        <f aca="false">IF(B1050="","",IFERROR(INDEX('CARNET DE SOUDURE'!$E$7:$E$1506,MATCH(B1050,'CARNET DE SOUDURE'!$M$7:$M$1506,0)),""))</f>
        <v/>
      </c>
      <c r="K1050" s="78" t="str">
        <f aca="false">IF(B1050="","",IFERROR(INDEX('CARNET DE SOUDURE'!$E$7:$E$1506,MATCH(B1050,'CARNET DE SOUDURE'!$K$7:$K$1506,0)),""))</f>
        <v/>
      </c>
      <c r="L1050" s="78" t="str">
        <f aca="false">IF(B1050="","",IFERROR(INDEX('CARNET DE SOUDURE'!$D$7:$D$1506,MATCH(B1050,'CARNET DE SOUDURE'!$K$7:$K$1506,0)),IFERROR(INDEX('CARNET DE SOUDURE'!$D$7:$D$1506,MATCH(B1050,'CARNET DE SOUDURE'!$M$7:$M$1506,0)),"")))</f>
        <v/>
      </c>
      <c r="M1050" s="81" t="str">
        <f aca="false">IF(B1050="","",IF(OR(J1050&lt;&gt;"",K1050&lt;&gt;""),"POSÉ EN LIGNE",IF(H1050&lt;&gt;"","BARDÉ","EN STOCK")))</f>
        <v/>
      </c>
      <c r="N1050" s="79"/>
    </row>
    <row r="1051" customFormat="false" ht="15" hidden="false" customHeight="false" outlineLevel="0" collapsed="false">
      <c r="A1051" s="78" t="str">
        <f aca="false">IF(B1051="","",ROW()-6)</f>
        <v/>
      </c>
      <c r="B1051" s="90"/>
      <c r="C1051" s="91"/>
      <c r="D1051" s="91"/>
      <c r="E1051" s="80"/>
      <c r="F1051" s="92"/>
      <c r="G1051" s="79"/>
      <c r="H1051" s="82"/>
      <c r="I1051" s="93" t="str">
        <f aca="false">IF(B1051="","",IFERROR(INDEX('CARNET DE SOUDURE'!$B$7:$B$1506,MATCH(B1051,'CARNET DE SOUDURE'!$K$7:$K$1506,0)),IFERROR(INDEX('CARNET DE SOUDURE'!$B$7:$B$1506,MATCH(B1051,'CARNET DE SOUDURE'!$M$7:$M$1506,0)),"")))</f>
        <v/>
      </c>
      <c r="J1051" s="78" t="str">
        <f aca="false">IF(B1051="","",IFERROR(INDEX('CARNET DE SOUDURE'!$E$7:$E$1506,MATCH(B1051,'CARNET DE SOUDURE'!$M$7:$M$1506,0)),""))</f>
        <v/>
      </c>
      <c r="K1051" s="78" t="str">
        <f aca="false">IF(B1051="","",IFERROR(INDEX('CARNET DE SOUDURE'!$E$7:$E$1506,MATCH(B1051,'CARNET DE SOUDURE'!$K$7:$K$1506,0)),""))</f>
        <v/>
      </c>
      <c r="L1051" s="78" t="str">
        <f aca="false">IF(B1051="","",IFERROR(INDEX('CARNET DE SOUDURE'!$D$7:$D$1506,MATCH(B1051,'CARNET DE SOUDURE'!$K$7:$K$1506,0)),IFERROR(INDEX('CARNET DE SOUDURE'!$D$7:$D$1506,MATCH(B1051,'CARNET DE SOUDURE'!$M$7:$M$1506,0)),"")))</f>
        <v/>
      </c>
      <c r="M1051" s="81" t="str">
        <f aca="false">IF(B1051="","",IF(OR(J1051&lt;&gt;"",K1051&lt;&gt;""),"POSÉ EN LIGNE",IF(H1051&lt;&gt;"","BARDÉ","EN STOCK")))</f>
        <v/>
      </c>
      <c r="N1051" s="79"/>
    </row>
    <row r="1052" customFormat="false" ht="15" hidden="false" customHeight="false" outlineLevel="0" collapsed="false">
      <c r="A1052" s="78" t="str">
        <f aca="false">IF(B1052="","",ROW()-6)</f>
        <v/>
      </c>
      <c r="B1052" s="90"/>
      <c r="C1052" s="91"/>
      <c r="D1052" s="91"/>
      <c r="E1052" s="80"/>
      <c r="F1052" s="92"/>
      <c r="G1052" s="79"/>
      <c r="H1052" s="82"/>
      <c r="I1052" s="93" t="str">
        <f aca="false">IF(B1052="","",IFERROR(INDEX('CARNET DE SOUDURE'!$B$7:$B$1506,MATCH(B1052,'CARNET DE SOUDURE'!$K$7:$K$1506,0)),IFERROR(INDEX('CARNET DE SOUDURE'!$B$7:$B$1506,MATCH(B1052,'CARNET DE SOUDURE'!$M$7:$M$1506,0)),"")))</f>
        <v/>
      </c>
      <c r="J1052" s="78" t="str">
        <f aca="false">IF(B1052="","",IFERROR(INDEX('CARNET DE SOUDURE'!$E$7:$E$1506,MATCH(B1052,'CARNET DE SOUDURE'!$M$7:$M$1506,0)),""))</f>
        <v/>
      </c>
      <c r="K1052" s="78" t="str">
        <f aca="false">IF(B1052="","",IFERROR(INDEX('CARNET DE SOUDURE'!$E$7:$E$1506,MATCH(B1052,'CARNET DE SOUDURE'!$K$7:$K$1506,0)),""))</f>
        <v/>
      </c>
      <c r="L1052" s="78" t="str">
        <f aca="false">IF(B1052="","",IFERROR(INDEX('CARNET DE SOUDURE'!$D$7:$D$1506,MATCH(B1052,'CARNET DE SOUDURE'!$K$7:$K$1506,0)),IFERROR(INDEX('CARNET DE SOUDURE'!$D$7:$D$1506,MATCH(B1052,'CARNET DE SOUDURE'!$M$7:$M$1506,0)),"")))</f>
        <v/>
      </c>
      <c r="M1052" s="81" t="str">
        <f aca="false">IF(B1052="","",IF(OR(J1052&lt;&gt;"",K1052&lt;&gt;""),"POSÉ EN LIGNE",IF(H1052&lt;&gt;"","BARDÉ","EN STOCK")))</f>
        <v/>
      </c>
      <c r="N1052" s="79"/>
    </row>
    <row r="1053" customFormat="false" ht="15" hidden="false" customHeight="false" outlineLevel="0" collapsed="false">
      <c r="A1053" s="78" t="str">
        <f aca="false">IF(B1053="","",ROW()-6)</f>
        <v/>
      </c>
      <c r="B1053" s="90"/>
      <c r="C1053" s="91"/>
      <c r="D1053" s="91"/>
      <c r="E1053" s="80"/>
      <c r="F1053" s="92"/>
      <c r="G1053" s="79"/>
      <c r="H1053" s="82"/>
      <c r="I1053" s="93" t="str">
        <f aca="false">IF(B1053="","",IFERROR(INDEX('CARNET DE SOUDURE'!$B$7:$B$1506,MATCH(B1053,'CARNET DE SOUDURE'!$K$7:$K$1506,0)),IFERROR(INDEX('CARNET DE SOUDURE'!$B$7:$B$1506,MATCH(B1053,'CARNET DE SOUDURE'!$M$7:$M$1506,0)),"")))</f>
        <v/>
      </c>
      <c r="J1053" s="78" t="str">
        <f aca="false">IF(B1053="","",IFERROR(INDEX('CARNET DE SOUDURE'!$E$7:$E$1506,MATCH(B1053,'CARNET DE SOUDURE'!$M$7:$M$1506,0)),""))</f>
        <v/>
      </c>
      <c r="K1053" s="78" t="str">
        <f aca="false">IF(B1053="","",IFERROR(INDEX('CARNET DE SOUDURE'!$E$7:$E$1506,MATCH(B1053,'CARNET DE SOUDURE'!$K$7:$K$1506,0)),""))</f>
        <v/>
      </c>
      <c r="L1053" s="78" t="str">
        <f aca="false">IF(B1053="","",IFERROR(INDEX('CARNET DE SOUDURE'!$D$7:$D$1506,MATCH(B1053,'CARNET DE SOUDURE'!$K$7:$K$1506,0)),IFERROR(INDEX('CARNET DE SOUDURE'!$D$7:$D$1506,MATCH(B1053,'CARNET DE SOUDURE'!$M$7:$M$1506,0)),"")))</f>
        <v/>
      </c>
      <c r="M1053" s="81" t="str">
        <f aca="false">IF(B1053="","",IF(OR(J1053&lt;&gt;"",K1053&lt;&gt;""),"POSÉ EN LIGNE",IF(H1053&lt;&gt;"","BARDÉ","EN STOCK")))</f>
        <v/>
      </c>
      <c r="N1053" s="79"/>
    </row>
    <row r="1054" customFormat="false" ht="15" hidden="false" customHeight="false" outlineLevel="0" collapsed="false">
      <c r="A1054" s="78" t="str">
        <f aca="false">IF(B1054="","",ROW()-6)</f>
        <v/>
      </c>
      <c r="B1054" s="90"/>
      <c r="C1054" s="91"/>
      <c r="D1054" s="91"/>
      <c r="E1054" s="80"/>
      <c r="F1054" s="92"/>
      <c r="G1054" s="79"/>
      <c r="H1054" s="82"/>
      <c r="I1054" s="93" t="str">
        <f aca="false">IF(B1054="","",IFERROR(INDEX('CARNET DE SOUDURE'!$B$7:$B$1506,MATCH(B1054,'CARNET DE SOUDURE'!$K$7:$K$1506,0)),IFERROR(INDEX('CARNET DE SOUDURE'!$B$7:$B$1506,MATCH(B1054,'CARNET DE SOUDURE'!$M$7:$M$1506,0)),"")))</f>
        <v/>
      </c>
      <c r="J1054" s="78" t="str">
        <f aca="false">IF(B1054="","",IFERROR(INDEX('CARNET DE SOUDURE'!$E$7:$E$1506,MATCH(B1054,'CARNET DE SOUDURE'!$M$7:$M$1506,0)),""))</f>
        <v/>
      </c>
      <c r="K1054" s="78" t="str">
        <f aca="false">IF(B1054="","",IFERROR(INDEX('CARNET DE SOUDURE'!$E$7:$E$1506,MATCH(B1054,'CARNET DE SOUDURE'!$K$7:$K$1506,0)),""))</f>
        <v/>
      </c>
      <c r="L1054" s="78" t="str">
        <f aca="false">IF(B1054="","",IFERROR(INDEX('CARNET DE SOUDURE'!$D$7:$D$1506,MATCH(B1054,'CARNET DE SOUDURE'!$K$7:$K$1506,0)),IFERROR(INDEX('CARNET DE SOUDURE'!$D$7:$D$1506,MATCH(B1054,'CARNET DE SOUDURE'!$M$7:$M$1506,0)),"")))</f>
        <v/>
      </c>
      <c r="M1054" s="81" t="str">
        <f aca="false">IF(B1054="","",IF(OR(J1054&lt;&gt;"",K1054&lt;&gt;""),"POSÉ EN LIGNE",IF(H1054&lt;&gt;"","BARDÉ","EN STOCK")))</f>
        <v/>
      </c>
      <c r="N1054" s="79"/>
    </row>
    <row r="1055" customFormat="false" ht="15" hidden="false" customHeight="false" outlineLevel="0" collapsed="false">
      <c r="A1055" s="78" t="str">
        <f aca="false">IF(B1055="","",ROW()-6)</f>
        <v/>
      </c>
      <c r="B1055" s="90"/>
      <c r="C1055" s="91"/>
      <c r="D1055" s="91"/>
      <c r="E1055" s="80"/>
      <c r="F1055" s="92"/>
      <c r="G1055" s="79"/>
      <c r="H1055" s="82"/>
      <c r="I1055" s="93" t="str">
        <f aca="false">IF(B1055="","",IFERROR(INDEX('CARNET DE SOUDURE'!$B$7:$B$1506,MATCH(B1055,'CARNET DE SOUDURE'!$K$7:$K$1506,0)),IFERROR(INDEX('CARNET DE SOUDURE'!$B$7:$B$1506,MATCH(B1055,'CARNET DE SOUDURE'!$M$7:$M$1506,0)),"")))</f>
        <v/>
      </c>
      <c r="J1055" s="78" t="str">
        <f aca="false">IF(B1055="","",IFERROR(INDEX('CARNET DE SOUDURE'!$E$7:$E$1506,MATCH(B1055,'CARNET DE SOUDURE'!$M$7:$M$1506,0)),""))</f>
        <v/>
      </c>
      <c r="K1055" s="78" t="str">
        <f aca="false">IF(B1055="","",IFERROR(INDEX('CARNET DE SOUDURE'!$E$7:$E$1506,MATCH(B1055,'CARNET DE SOUDURE'!$K$7:$K$1506,0)),""))</f>
        <v/>
      </c>
      <c r="L1055" s="78" t="str">
        <f aca="false">IF(B1055="","",IFERROR(INDEX('CARNET DE SOUDURE'!$D$7:$D$1506,MATCH(B1055,'CARNET DE SOUDURE'!$K$7:$K$1506,0)),IFERROR(INDEX('CARNET DE SOUDURE'!$D$7:$D$1506,MATCH(B1055,'CARNET DE SOUDURE'!$M$7:$M$1506,0)),"")))</f>
        <v/>
      </c>
      <c r="M1055" s="81" t="str">
        <f aca="false">IF(B1055="","",IF(OR(J1055&lt;&gt;"",K1055&lt;&gt;""),"POSÉ EN LIGNE",IF(H1055&lt;&gt;"","BARDÉ","EN STOCK")))</f>
        <v/>
      </c>
      <c r="N1055" s="79"/>
    </row>
    <row r="1056" customFormat="false" ht="15" hidden="false" customHeight="false" outlineLevel="0" collapsed="false">
      <c r="A1056" s="78" t="str">
        <f aca="false">IF(B1056="","",ROW()-6)</f>
        <v/>
      </c>
      <c r="B1056" s="90"/>
      <c r="C1056" s="91"/>
      <c r="D1056" s="91"/>
      <c r="E1056" s="80"/>
      <c r="F1056" s="92"/>
      <c r="G1056" s="79"/>
      <c r="H1056" s="82"/>
      <c r="I1056" s="93" t="str">
        <f aca="false">IF(B1056="","",IFERROR(INDEX('CARNET DE SOUDURE'!$B$7:$B$1506,MATCH(B1056,'CARNET DE SOUDURE'!$K$7:$K$1506,0)),IFERROR(INDEX('CARNET DE SOUDURE'!$B$7:$B$1506,MATCH(B1056,'CARNET DE SOUDURE'!$M$7:$M$1506,0)),"")))</f>
        <v/>
      </c>
      <c r="J1056" s="78" t="str">
        <f aca="false">IF(B1056="","",IFERROR(INDEX('CARNET DE SOUDURE'!$E$7:$E$1506,MATCH(B1056,'CARNET DE SOUDURE'!$M$7:$M$1506,0)),""))</f>
        <v/>
      </c>
      <c r="K1056" s="78" t="str">
        <f aca="false">IF(B1056="","",IFERROR(INDEX('CARNET DE SOUDURE'!$E$7:$E$1506,MATCH(B1056,'CARNET DE SOUDURE'!$K$7:$K$1506,0)),""))</f>
        <v/>
      </c>
      <c r="L1056" s="78" t="str">
        <f aca="false">IF(B1056="","",IFERROR(INDEX('CARNET DE SOUDURE'!$D$7:$D$1506,MATCH(B1056,'CARNET DE SOUDURE'!$K$7:$K$1506,0)),IFERROR(INDEX('CARNET DE SOUDURE'!$D$7:$D$1506,MATCH(B1056,'CARNET DE SOUDURE'!$M$7:$M$1506,0)),"")))</f>
        <v/>
      </c>
      <c r="M1056" s="81" t="str">
        <f aca="false">IF(B1056="","",IF(OR(J1056&lt;&gt;"",K1056&lt;&gt;""),"POSÉ EN LIGNE",IF(H1056&lt;&gt;"","BARDÉ","EN STOCK")))</f>
        <v/>
      </c>
      <c r="N1056" s="79"/>
    </row>
    <row r="1057" customFormat="false" ht="15" hidden="false" customHeight="false" outlineLevel="0" collapsed="false">
      <c r="A1057" s="78" t="str">
        <f aca="false">IF(B1057="","",ROW()-6)</f>
        <v/>
      </c>
      <c r="B1057" s="90"/>
      <c r="C1057" s="91"/>
      <c r="D1057" s="91"/>
      <c r="E1057" s="80"/>
      <c r="F1057" s="92"/>
      <c r="G1057" s="79"/>
      <c r="H1057" s="82"/>
      <c r="I1057" s="93" t="str">
        <f aca="false">IF(B1057="","",IFERROR(INDEX('CARNET DE SOUDURE'!$B$7:$B$1506,MATCH(B1057,'CARNET DE SOUDURE'!$K$7:$K$1506,0)),IFERROR(INDEX('CARNET DE SOUDURE'!$B$7:$B$1506,MATCH(B1057,'CARNET DE SOUDURE'!$M$7:$M$1506,0)),"")))</f>
        <v/>
      </c>
      <c r="J1057" s="78" t="str">
        <f aca="false">IF(B1057="","",IFERROR(INDEX('CARNET DE SOUDURE'!$E$7:$E$1506,MATCH(B1057,'CARNET DE SOUDURE'!$M$7:$M$1506,0)),""))</f>
        <v/>
      </c>
      <c r="K1057" s="78" t="str">
        <f aca="false">IF(B1057="","",IFERROR(INDEX('CARNET DE SOUDURE'!$E$7:$E$1506,MATCH(B1057,'CARNET DE SOUDURE'!$K$7:$K$1506,0)),""))</f>
        <v/>
      </c>
      <c r="L1057" s="78" t="str">
        <f aca="false">IF(B1057="","",IFERROR(INDEX('CARNET DE SOUDURE'!$D$7:$D$1506,MATCH(B1057,'CARNET DE SOUDURE'!$K$7:$K$1506,0)),IFERROR(INDEX('CARNET DE SOUDURE'!$D$7:$D$1506,MATCH(B1057,'CARNET DE SOUDURE'!$M$7:$M$1506,0)),"")))</f>
        <v/>
      </c>
      <c r="M1057" s="81" t="str">
        <f aca="false">IF(B1057="","",IF(OR(J1057&lt;&gt;"",K1057&lt;&gt;""),"POSÉ EN LIGNE",IF(H1057&lt;&gt;"","BARDÉ","EN STOCK")))</f>
        <v/>
      </c>
      <c r="N1057" s="79"/>
    </row>
    <row r="1058" customFormat="false" ht="15" hidden="false" customHeight="false" outlineLevel="0" collapsed="false">
      <c r="A1058" s="78" t="str">
        <f aca="false">IF(B1058="","",ROW()-6)</f>
        <v/>
      </c>
      <c r="B1058" s="90"/>
      <c r="C1058" s="91"/>
      <c r="D1058" s="91"/>
      <c r="E1058" s="80"/>
      <c r="F1058" s="92"/>
      <c r="G1058" s="79"/>
      <c r="H1058" s="82"/>
      <c r="I1058" s="93" t="str">
        <f aca="false">IF(B1058="","",IFERROR(INDEX('CARNET DE SOUDURE'!$B$7:$B$1506,MATCH(B1058,'CARNET DE SOUDURE'!$K$7:$K$1506,0)),IFERROR(INDEX('CARNET DE SOUDURE'!$B$7:$B$1506,MATCH(B1058,'CARNET DE SOUDURE'!$M$7:$M$1506,0)),"")))</f>
        <v/>
      </c>
      <c r="J1058" s="78" t="str">
        <f aca="false">IF(B1058="","",IFERROR(INDEX('CARNET DE SOUDURE'!$E$7:$E$1506,MATCH(B1058,'CARNET DE SOUDURE'!$M$7:$M$1506,0)),""))</f>
        <v/>
      </c>
      <c r="K1058" s="78" t="str">
        <f aca="false">IF(B1058="","",IFERROR(INDEX('CARNET DE SOUDURE'!$E$7:$E$1506,MATCH(B1058,'CARNET DE SOUDURE'!$K$7:$K$1506,0)),""))</f>
        <v/>
      </c>
      <c r="L1058" s="78" t="str">
        <f aca="false">IF(B1058="","",IFERROR(INDEX('CARNET DE SOUDURE'!$D$7:$D$1506,MATCH(B1058,'CARNET DE SOUDURE'!$K$7:$K$1506,0)),IFERROR(INDEX('CARNET DE SOUDURE'!$D$7:$D$1506,MATCH(B1058,'CARNET DE SOUDURE'!$M$7:$M$1506,0)),"")))</f>
        <v/>
      </c>
      <c r="M1058" s="81" t="str">
        <f aca="false">IF(B1058="","",IF(OR(J1058&lt;&gt;"",K1058&lt;&gt;""),"POSÉ EN LIGNE",IF(H1058&lt;&gt;"","BARDÉ","EN STOCK")))</f>
        <v/>
      </c>
      <c r="N1058" s="79"/>
    </row>
    <row r="1059" customFormat="false" ht="15" hidden="false" customHeight="false" outlineLevel="0" collapsed="false">
      <c r="A1059" s="78" t="str">
        <f aca="false">IF(B1059="","",ROW()-6)</f>
        <v/>
      </c>
      <c r="B1059" s="90"/>
      <c r="C1059" s="91"/>
      <c r="D1059" s="91"/>
      <c r="E1059" s="80"/>
      <c r="F1059" s="92"/>
      <c r="G1059" s="79"/>
      <c r="H1059" s="82"/>
      <c r="I1059" s="93" t="str">
        <f aca="false">IF(B1059="","",IFERROR(INDEX('CARNET DE SOUDURE'!$B$7:$B$1506,MATCH(B1059,'CARNET DE SOUDURE'!$K$7:$K$1506,0)),IFERROR(INDEX('CARNET DE SOUDURE'!$B$7:$B$1506,MATCH(B1059,'CARNET DE SOUDURE'!$M$7:$M$1506,0)),"")))</f>
        <v/>
      </c>
      <c r="J1059" s="78" t="str">
        <f aca="false">IF(B1059="","",IFERROR(INDEX('CARNET DE SOUDURE'!$E$7:$E$1506,MATCH(B1059,'CARNET DE SOUDURE'!$M$7:$M$1506,0)),""))</f>
        <v/>
      </c>
      <c r="K1059" s="78" t="str">
        <f aca="false">IF(B1059="","",IFERROR(INDEX('CARNET DE SOUDURE'!$E$7:$E$1506,MATCH(B1059,'CARNET DE SOUDURE'!$K$7:$K$1506,0)),""))</f>
        <v/>
      </c>
      <c r="L1059" s="78" t="str">
        <f aca="false">IF(B1059="","",IFERROR(INDEX('CARNET DE SOUDURE'!$D$7:$D$1506,MATCH(B1059,'CARNET DE SOUDURE'!$K$7:$K$1506,0)),IFERROR(INDEX('CARNET DE SOUDURE'!$D$7:$D$1506,MATCH(B1059,'CARNET DE SOUDURE'!$M$7:$M$1506,0)),"")))</f>
        <v/>
      </c>
      <c r="M1059" s="81" t="str">
        <f aca="false">IF(B1059="","",IF(OR(J1059&lt;&gt;"",K1059&lt;&gt;""),"POSÉ EN LIGNE",IF(H1059&lt;&gt;"","BARDÉ","EN STOCK")))</f>
        <v/>
      </c>
      <c r="N1059" s="79"/>
    </row>
    <row r="1060" customFormat="false" ht="15" hidden="false" customHeight="false" outlineLevel="0" collapsed="false">
      <c r="A1060" s="78" t="str">
        <f aca="false">IF(B1060="","",ROW()-6)</f>
        <v/>
      </c>
      <c r="B1060" s="90"/>
      <c r="C1060" s="91"/>
      <c r="D1060" s="91"/>
      <c r="E1060" s="80"/>
      <c r="F1060" s="92"/>
      <c r="G1060" s="79"/>
      <c r="H1060" s="82"/>
      <c r="I1060" s="93" t="str">
        <f aca="false">IF(B1060="","",IFERROR(INDEX('CARNET DE SOUDURE'!$B$7:$B$1506,MATCH(B1060,'CARNET DE SOUDURE'!$K$7:$K$1506,0)),IFERROR(INDEX('CARNET DE SOUDURE'!$B$7:$B$1506,MATCH(B1060,'CARNET DE SOUDURE'!$M$7:$M$1506,0)),"")))</f>
        <v/>
      </c>
      <c r="J1060" s="78" t="str">
        <f aca="false">IF(B1060="","",IFERROR(INDEX('CARNET DE SOUDURE'!$E$7:$E$1506,MATCH(B1060,'CARNET DE SOUDURE'!$M$7:$M$1506,0)),""))</f>
        <v/>
      </c>
      <c r="K1060" s="78" t="str">
        <f aca="false">IF(B1060="","",IFERROR(INDEX('CARNET DE SOUDURE'!$E$7:$E$1506,MATCH(B1060,'CARNET DE SOUDURE'!$K$7:$K$1506,0)),""))</f>
        <v/>
      </c>
      <c r="L1060" s="78" t="str">
        <f aca="false">IF(B1060="","",IFERROR(INDEX('CARNET DE SOUDURE'!$D$7:$D$1506,MATCH(B1060,'CARNET DE SOUDURE'!$K$7:$K$1506,0)),IFERROR(INDEX('CARNET DE SOUDURE'!$D$7:$D$1506,MATCH(B1060,'CARNET DE SOUDURE'!$M$7:$M$1506,0)),"")))</f>
        <v/>
      </c>
      <c r="M1060" s="81" t="str">
        <f aca="false">IF(B1060="","",IF(OR(J1060&lt;&gt;"",K1060&lt;&gt;""),"POSÉ EN LIGNE",IF(H1060&lt;&gt;"","BARDÉ","EN STOCK")))</f>
        <v/>
      </c>
      <c r="N1060" s="79"/>
    </row>
    <row r="1061" customFormat="false" ht="15" hidden="false" customHeight="false" outlineLevel="0" collapsed="false">
      <c r="A1061" s="78" t="str">
        <f aca="false">IF(B1061="","",ROW()-6)</f>
        <v/>
      </c>
      <c r="B1061" s="90"/>
      <c r="C1061" s="91"/>
      <c r="D1061" s="91"/>
      <c r="E1061" s="80"/>
      <c r="F1061" s="92"/>
      <c r="G1061" s="79"/>
      <c r="H1061" s="82"/>
      <c r="I1061" s="93" t="str">
        <f aca="false">IF(B1061="","",IFERROR(INDEX('CARNET DE SOUDURE'!$B$7:$B$1506,MATCH(B1061,'CARNET DE SOUDURE'!$K$7:$K$1506,0)),IFERROR(INDEX('CARNET DE SOUDURE'!$B$7:$B$1506,MATCH(B1061,'CARNET DE SOUDURE'!$M$7:$M$1506,0)),"")))</f>
        <v/>
      </c>
      <c r="J1061" s="78" t="str">
        <f aca="false">IF(B1061="","",IFERROR(INDEX('CARNET DE SOUDURE'!$E$7:$E$1506,MATCH(B1061,'CARNET DE SOUDURE'!$M$7:$M$1506,0)),""))</f>
        <v/>
      </c>
      <c r="K1061" s="78" t="str">
        <f aca="false">IF(B1061="","",IFERROR(INDEX('CARNET DE SOUDURE'!$E$7:$E$1506,MATCH(B1061,'CARNET DE SOUDURE'!$K$7:$K$1506,0)),""))</f>
        <v/>
      </c>
      <c r="L1061" s="78" t="str">
        <f aca="false">IF(B1061="","",IFERROR(INDEX('CARNET DE SOUDURE'!$D$7:$D$1506,MATCH(B1061,'CARNET DE SOUDURE'!$K$7:$K$1506,0)),IFERROR(INDEX('CARNET DE SOUDURE'!$D$7:$D$1506,MATCH(B1061,'CARNET DE SOUDURE'!$M$7:$M$1506,0)),"")))</f>
        <v/>
      </c>
      <c r="M1061" s="81" t="str">
        <f aca="false">IF(B1061="","",IF(OR(J1061&lt;&gt;"",K1061&lt;&gt;""),"POSÉ EN LIGNE",IF(H1061&lt;&gt;"","BARDÉ","EN STOCK")))</f>
        <v/>
      </c>
      <c r="N1061" s="79"/>
    </row>
    <row r="1062" customFormat="false" ht="15" hidden="false" customHeight="false" outlineLevel="0" collapsed="false">
      <c r="A1062" s="78" t="str">
        <f aca="false">IF(B1062="","",ROW()-6)</f>
        <v/>
      </c>
      <c r="B1062" s="90"/>
      <c r="C1062" s="91"/>
      <c r="D1062" s="91"/>
      <c r="E1062" s="80"/>
      <c r="F1062" s="92"/>
      <c r="G1062" s="79"/>
      <c r="H1062" s="82"/>
      <c r="I1062" s="93" t="str">
        <f aca="false">IF(B1062="","",IFERROR(INDEX('CARNET DE SOUDURE'!$B$7:$B$1506,MATCH(B1062,'CARNET DE SOUDURE'!$K$7:$K$1506,0)),IFERROR(INDEX('CARNET DE SOUDURE'!$B$7:$B$1506,MATCH(B1062,'CARNET DE SOUDURE'!$M$7:$M$1506,0)),"")))</f>
        <v/>
      </c>
      <c r="J1062" s="78" t="str">
        <f aca="false">IF(B1062="","",IFERROR(INDEX('CARNET DE SOUDURE'!$E$7:$E$1506,MATCH(B1062,'CARNET DE SOUDURE'!$M$7:$M$1506,0)),""))</f>
        <v/>
      </c>
      <c r="K1062" s="78" t="str">
        <f aca="false">IF(B1062="","",IFERROR(INDEX('CARNET DE SOUDURE'!$E$7:$E$1506,MATCH(B1062,'CARNET DE SOUDURE'!$K$7:$K$1506,0)),""))</f>
        <v/>
      </c>
      <c r="L1062" s="78" t="str">
        <f aca="false">IF(B1062="","",IFERROR(INDEX('CARNET DE SOUDURE'!$D$7:$D$1506,MATCH(B1062,'CARNET DE SOUDURE'!$K$7:$K$1506,0)),IFERROR(INDEX('CARNET DE SOUDURE'!$D$7:$D$1506,MATCH(B1062,'CARNET DE SOUDURE'!$M$7:$M$1506,0)),"")))</f>
        <v/>
      </c>
      <c r="M1062" s="81" t="str">
        <f aca="false">IF(B1062="","",IF(OR(J1062&lt;&gt;"",K1062&lt;&gt;""),"POSÉ EN LIGNE",IF(H1062&lt;&gt;"","BARDÉ","EN STOCK")))</f>
        <v/>
      </c>
      <c r="N1062" s="79"/>
    </row>
    <row r="1063" customFormat="false" ht="15" hidden="false" customHeight="false" outlineLevel="0" collapsed="false">
      <c r="A1063" s="78" t="str">
        <f aca="false">IF(B1063="","",ROW()-6)</f>
        <v/>
      </c>
      <c r="B1063" s="90"/>
      <c r="C1063" s="91"/>
      <c r="D1063" s="91"/>
      <c r="E1063" s="80"/>
      <c r="F1063" s="92"/>
      <c r="G1063" s="79"/>
      <c r="H1063" s="82"/>
      <c r="I1063" s="93" t="str">
        <f aca="false">IF(B1063="","",IFERROR(INDEX('CARNET DE SOUDURE'!$B$7:$B$1506,MATCH(B1063,'CARNET DE SOUDURE'!$K$7:$K$1506,0)),IFERROR(INDEX('CARNET DE SOUDURE'!$B$7:$B$1506,MATCH(B1063,'CARNET DE SOUDURE'!$M$7:$M$1506,0)),"")))</f>
        <v/>
      </c>
      <c r="J1063" s="78" t="str">
        <f aca="false">IF(B1063="","",IFERROR(INDEX('CARNET DE SOUDURE'!$E$7:$E$1506,MATCH(B1063,'CARNET DE SOUDURE'!$M$7:$M$1506,0)),""))</f>
        <v/>
      </c>
      <c r="K1063" s="78" t="str">
        <f aca="false">IF(B1063="","",IFERROR(INDEX('CARNET DE SOUDURE'!$E$7:$E$1506,MATCH(B1063,'CARNET DE SOUDURE'!$K$7:$K$1506,0)),""))</f>
        <v/>
      </c>
      <c r="L1063" s="78" t="str">
        <f aca="false">IF(B1063="","",IFERROR(INDEX('CARNET DE SOUDURE'!$D$7:$D$1506,MATCH(B1063,'CARNET DE SOUDURE'!$K$7:$K$1506,0)),IFERROR(INDEX('CARNET DE SOUDURE'!$D$7:$D$1506,MATCH(B1063,'CARNET DE SOUDURE'!$M$7:$M$1506,0)),"")))</f>
        <v/>
      </c>
      <c r="M1063" s="81" t="str">
        <f aca="false">IF(B1063="","",IF(OR(J1063&lt;&gt;"",K1063&lt;&gt;""),"POSÉ EN LIGNE",IF(H1063&lt;&gt;"","BARDÉ","EN STOCK")))</f>
        <v/>
      </c>
      <c r="N1063" s="79"/>
    </row>
    <row r="1064" customFormat="false" ht="15" hidden="false" customHeight="false" outlineLevel="0" collapsed="false">
      <c r="A1064" s="78" t="str">
        <f aca="false">IF(B1064="","",ROW()-6)</f>
        <v/>
      </c>
      <c r="B1064" s="90"/>
      <c r="C1064" s="91"/>
      <c r="D1064" s="91"/>
      <c r="E1064" s="80"/>
      <c r="F1064" s="92"/>
      <c r="G1064" s="79"/>
      <c r="H1064" s="82"/>
      <c r="I1064" s="93" t="str">
        <f aca="false">IF(B1064="","",IFERROR(INDEX('CARNET DE SOUDURE'!$B$7:$B$1506,MATCH(B1064,'CARNET DE SOUDURE'!$K$7:$K$1506,0)),IFERROR(INDEX('CARNET DE SOUDURE'!$B$7:$B$1506,MATCH(B1064,'CARNET DE SOUDURE'!$M$7:$M$1506,0)),"")))</f>
        <v/>
      </c>
      <c r="J1064" s="78" t="str">
        <f aca="false">IF(B1064="","",IFERROR(INDEX('CARNET DE SOUDURE'!$E$7:$E$1506,MATCH(B1064,'CARNET DE SOUDURE'!$M$7:$M$1506,0)),""))</f>
        <v/>
      </c>
      <c r="K1064" s="78" t="str">
        <f aca="false">IF(B1064="","",IFERROR(INDEX('CARNET DE SOUDURE'!$E$7:$E$1506,MATCH(B1064,'CARNET DE SOUDURE'!$K$7:$K$1506,0)),""))</f>
        <v/>
      </c>
      <c r="L1064" s="78" t="str">
        <f aca="false">IF(B1064="","",IFERROR(INDEX('CARNET DE SOUDURE'!$D$7:$D$1506,MATCH(B1064,'CARNET DE SOUDURE'!$K$7:$K$1506,0)),IFERROR(INDEX('CARNET DE SOUDURE'!$D$7:$D$1506,MATCH(B1064,'CARNET DE SOUDURE'!$M$7:$M$1506,0)),"")))</f>
        <v/>
      </c>
      <c r="M1064" s="81" t="str">
        <f aca="false">IF(B1064="","",IF(OR(J1064&lt;&gt;"",K1064&lt;&gt;""),"POSÉ EN LIGNE",IF(H1064&lt;&gt;"","BARDÉ","EN STOCK")))</f>
        <v/>
      </c>
      <c r="N1064" s="79"/>
    </row>
    <row r="1065" customFormat="false" ht="15" hidden="false" customHeight="false" outlineLevel="0" collapsed="false">
      <c r="A1065" s="78" t="str">
        <f aca="false">IF(B1065="","",ROW()-6)</f>
        <v/>
      </c>
      <c r="B1065" s="90"/>
      <c r="C1065" s="91"/>
      <c r="D1065" s="91"/>
      <c r="E1065" s="80"/>
      <c r="F1065" s="92"/>
      <c r="G1065" s="79"/>
      <c r="H1065" s="82"/>
      <c r="I1065" s="93" t="str">
        <f aca="false">IF(B1065="","",IFERROR(INDEX('CARNET DE SOUDURE'!$B$7:$B$1506,MATCH(B1065,'CARNET DE SOUDURE'!$K$7:$K$1506,0)),IFERROR(INDEX('CARNET DE SOUDURE'!$B$7:$B$1506,MATCH(B1065,'CARNET DE SOUDURE'!$M$7:$M$1506,0)),"")))</f>
        <v/>
      </c>
      <c r="J1065" s="78" t="str">
        <f aca="false">IF(B1065="","",IFERROR(INDEX('CARNET DE SOUDURE'!$E$7:$E$1506,MATCH(B1065,'CARNET DE SOUDURE'!$M$7:$M$1506,0)),""))</f>
        <v/>
      </c>
      <c r="K1065" s="78" t="str">
        <f aca="false">IF(B1065="","",IFERROR(INDEX('CARNET DE SOUDURE'!$E$7:$E$1506,MATCH(B1065,'CARNET DE SOUDURE'!$K$7:$K$1506,0)),""))</f>
        <v/>
      </c>
      <c r="L1065" s="78" t="str">
        <f aca="false">IF(B1065="","",IFERROR(INDEX('CARNET DE SOUDURE'!$D$7:$D$1506,MATCH(B1065,'CARNET DE SOUDURE'!$K$7:$K$1506,0)),IFERROR(INDEX('CARNET DE SOUDURE'!$D$7:$D$1506,MATCH(B1065,'CARNET DE SOUDURE'!$M$7:$M$1506,0)),"")))</f>
        <v/>
      </c>
      <c r="M1065" s="81" t="str">
        <f aca="false">IF(B1065="","",IF(OR(J1065&lt;&gt;"",K1065&lt;&gt;""),"POSÉ EN LIGNE",IF(H1065&lt;&gt;"","BARDÉ","EN STOCK")))</f>
        <v/>
      </c>
      <c r="N1065" s="79"/>
    </row>
    <row r="1066" customFormat="false" ht="15" hidden="false" customHeight="false" outlineLevel="0" collapsed="false">
      <c r="A1066" s="78" t="str">
        <f aca="false">IF(B1066="","",ROW()-6)</f>
        <v/>
      </c>
      <c r="B1066" s="90"/>
      <c r="C1066" s="91"/>
      <c r="D1066" s="91"/>
      <c r="E1066" s="80"/>
      <c r="F1066" s="92"/>
      <c r="G1066" s="79"/>
      <c r="H1066" s="82"/>
      <c r="I1066" s="93" t="str">
        <f aca="false">IF(B1066="","",IFERROR(INDEX('CARNET DE SOUDURE'!$B$7:$B$1506,MATCH(B1066,'CARNET DE SOUDURE'!$K$7:$K$1506,0)),IFERROR(INDEX('CARNET DE SOUDURE'!$B$7:$B$1506,MATCH(B1066,'CARNET DE SOUDURE'!$M$7:$M$1506,0)),"")))</f>
        <v/>
      </c>
      <c r="J1066" s="78" t="str">
        <f aca="false">IF(B1066="","",IFERROR(INDEX('CARNET DE SOUDURE'!$E$7:$E$1506,MATCH(B1066,'CARNET DE SOUDURE'!$M$7:$M$1506,0)),""))</f>
        <v/>
      </c>
      <c r="K1066" s="78" t="str">
        <f aca="false">IF(B1066="","",IFERROR(INDEX('CARNET DE SOUDURE'!$E$7:$E$1506,MATCH(B1066,'CARNET DE SOUDURE'!$K$7:$K$1506,0)),""))</f>
        <v/>
      </c>
      <c r="L1066" s="78" t="str">
        <f aca="false">IF(B1066="","",IFERROR(INDEX('CARNET DE SOUDURE'!$D$7:$D$1506,MATCH(B1066,'CARNET DE SOUDURE'!$K$7:$K$1506,0)),IFERROR(INDEX('CARNET DE SOUDURE'!$D$7:$D$1506,MATCH(B1066,'CARNET DE SOUDURE'!$M$7:$M$1506,0)),"")))</f>
        <v/>
      </c>
      <c r="M1066" s="81" t="str">
        <f aca="false">IF(B1066="","",IF(OR(J1066&lt;&gt;"",K1066&lt;&gt;""),"POSÉ EN LIGNE",IF(H1066&lt;&gt;"","BARDÉ","EN STOCK")))</f>
        <v/>
      </c>
      <c r="N1066" s="79"/>
    </row>
    <row r="1067" customFormat="false" ht="15" hidden="false" customHeight="false" outlineLevel="0" collapsed="false">
      <c r="A1067" s="78" t="str">
        <f aca="false">IF(B1067="","",ROW()-6)</f>
        <v/>
      </c>
      <c r="B1067" s="90"/>
      <c r="C1067" s="91"/>
      <c r="D1067" s="91"/>
      <c r="E1067" s="80"/>
      <c r="F1067" s="92"/>
      <c r="G1067" s="79"/>
      <c r="H1067" s="82"/>
      <c r="I1067" s="93" t="str">
        <f aca="false">IF(B1067="","",IFERROR(INDEX('CARNET DE SOUDURE'!$B$7:$B$1506,MATCH(B1067,'CARNET DE SOUDURE'!$K$7:$K$1506,0)),IFERROR(INDEX('CARNET DE SOUDURE'!$B$7:$B$1506,MATCH(B1067,'CARNET DE SOUDURE'!$M$7:$M$1506,0)),"")))</f>
        <v/>
      </c>
      <c r="J1067" s="78" t="str">
        <f aca="false">IF(B1067="","",IFERROR(INDEX('CARNET DE SOUDURE'!$E$7:$E$1506,MATCH(B1067,'CARNET DE SOUDURE'!$M$7:$M$1506,0)),""))</f>
        <v/>
      </c>
      <c r="K1067" s="78" t="str">
        <f aca="false">IF(B1067="","",IFERROR(INDEX('CARNET DE SOUDURE'!$E$7:$E$1506,MATCH(B1067,'CARNET DE SOUDURE'!$K$7:$K$1506,0)),""))</f>
        <v/>
      </c>
      <c r="L1067" s="78" t="str">
        <f aca="false">IF(B1067="","",IFERROR(INDEX('CARNET DE SOUDURE'!$D$7:$D$1506,MATCH(B1067,'CARNET DE SOUDURE'!$K$7:$K$1506,0)),IFERROR(INDEX('CARNET DE SOUDURE'!$D$7:$D$1506,MATCH(B1067,'CARNET DE SOUDURE'!$M$7:$M$1506,0)),"")))</f>
        <v/>
      </c>
      <c r="M1067" s="81" t="str">
        <f aca="false">IF(B1067="","",IF(OR(J1067&lt;&gt;"",K1067&lt;&gt;""),"POSÉ EN LIGNE",IF(H1067&lt;&gt;"","BARDÉ","EN STOCK")))</f>
        <v/>
      </c>
      <c r="N1067" s="79"/>
    </row>
    <row r="1068" customFormat="false" ht="15" hidden="false" customHeight="false" outlineLevel="0" collapsed="false">
      <c r="A1068" s="78" t="str">
        <f aca="false">IF(B1068="","",ROW()-6)</f>
        <v/>
      </c>
      <c r="B1068" s="90"/>
      <c r="C1068" s="91"/>
      <c r="D1068" s="91"/>
      <c r="E1068" s="80"/>
      <c r="F1068" s="92"/>
      <c r="G1068" s="79"/>
      <c r="H1068" s="82"/>
      <c r="I1068" s="93" t="str">
        <f aca="false">IF(B1068="","",IFERROR(INDEX('CARNET DE SOUDURE'!$B$7:$B$1506,MATCH(B1068,'CARNET DE SOUDURE'!$K$7:$K$1506,0)),IFERROR(INDEX('CARNET DE SOUDURE'!$B$7:$B$1506,MATCH(B1068,'CARNET DE SOUDURE'!$M$7:$M$1506,0)),"")))</f>
        <v/>
      </c>
      <c r="J1068" s="78" t="str">
        <f aca="false">IF(B1068="","",IFERROR(INDEX('CARNET DE SOUDURE'!$E$7:$E$1506,MATCH(B1068,'CARNET DE SOUDURE'!$M$7:$M$1506,0)),""))</f>
        <v/>
      </c>
      <c r="K1068" s="78" t="str">
        <f aca="false">IF(B1068="","",IFERROR(INDEX('CARNET DE SOUDURE'!$E$7:$E$1506,MATCH(B1068,'CARNET DE SOUDURE'!$K$7:$K$1506,0)),""))</f>
        <v/>
      </c>
      <c r="L1068" s="78" t="str">
        <f aca="false">IF(B1068="","",IFERROR(INDEX('CARNET DE SOUDURE'!$D$7:$D$1506,MATCH(B1068,'CARNET DE SOUDURE'!$K$7:$K$1506,0)),IFERROR(INDEX('CARNET DE SOUDURE'!$D$7:$D$1506,MATCH(B1068,'CARNET DE SOUDURE'!$M$7:$M$1506,0)),"")))</f>
        <v/>
      </c>
      <c r="M1068" s="81" t="str">
        <f aca="false">IF(B1068="","",IF(OR(J1068&lt;&gt;"",K1068&lt;&gt;""),"POSÉ EN LIGNE",IF(H1068&lt;&gt;"","BARDÉ","EN STOCK")))</f>
        <v/>
      </c>
      <c r="N1068" s="79"/>
    </row>
    <row r="1069" customFormat="false" ht="15" hidden="false" customHeight="false" outlineLevel="0" collapsed="false">
      <c r="A1069" s="78" t="str">
        <f aca="false">IF(B1069="","",ROW()-6)</f>
        <v/>
      </c>
      <c r="B1069" s="90"/>
      <c r="C1069" s="91"/>
      <c r="D1069" s="91"/>
      <c r="E1069" s="80"/>
      <c r="F1069" s="92"/>
      <c r="G1069" s="79"/>
      <c r="H1069" s="82"/>
      <c r="I1069" s="93" t="str">
        <f aca="false">IF(B1069="","",IFERROR(INDEX('CARNET DE SOUDURE'!$B$7:$B$1506,MATCH(B1069,'CARNET DE SOUDURE'!$K$7:$K$1506,0)),IFERROR(INDEX('CARNET DE SOUDURE'!$B$7:$B$1506,MATCH(B1069,'CARNET DE SOUDURE'!$M$7:$M$1506,0)),"")))</f>
        <v/>
      </c>
      <c r="J1069" s="78" t="str">
        <f aca="false">IF(B1069="","",IFERROR(INDEX('CARNET DE SOUDURE'!$E$7:$E$1506,MATCH(B1069,'CARNET DE SOUDURE'!$M$7:$M$1506,0)),""))</f>
        <v/>
      </c>
      <c r="K1069" s="78" t="str">
        <f aca="false">IF(B1069="","",IFERROR(INDEX('CARNET DE SOUDURE'!$E$7:$E$1506,MATCH(B1069,'CARNET DE SOUDURE'!$K$7:$K$1506,0)),""))</f>
        <v/>
      </c>
      <c r="L1069" s="78" t="str">
        <f aca="false">IF(B1069="","",IFERROR(INDEX('CARNET DE SOUDURE'!$D$7:$D$1506,MATCH(B1069,'CARNET DE SOUDURE'!$K$7:$K$1506,0)),IFERROR(INDEX('CARNET DE SOUDURE'!$D$7:$D$1506,MATCH(B1069,'CARNET DE SOUDURE'!$M$7:$M$1506,0)),"")))</f>
        <v/>
      </c>
      <c r="M1069" s="81" t="str">
        <f aca="false">IF(B1069="","",IF(OR(J1069&lt;&gt;"",K1069&lt;&gt;""),"POSÉ EN LIGNE",IF(H1069&lt;&gt;"","BARDÉ","EN STOCK")))</f>
        <v/>
      </c>
      <c r="N1069" s="79"/>
    </row>
    <row r="1070" customFormat="false" ht="15" hidden="false" customHeight="false" outlineLevel="0" collapsed="false">
      <c r="A1070" s="78" t="str">
        <f aca="false">IF(B1070="","",ROW()-6)</f>
        <v/>
      </c>
      <c r="B1070" s="90"/>
      <c r="C1070" s="91"/>
      <c r="D1070" s="91"/>
      <c r="E1070" s="80"/>
      <c r="F1070" s="92"/>
      <c r="G1070" s="79"/>
      <c r="H1070" s="82"/>
      <c r="I1070" s="93" t="str">
        <f aca="false">IF(B1070="","",IFERROR(INDEX('CARNET DE SOUDURE'!$B$7:$B$1506,MATCH(B1070,'CARNET DE SOUDURE'!$K$7:$K$1506,0)),IFERROR(INDEX('CARNET DE SOUDURE'!$B$7:$B$1506,MATCH(B1070,'CARNET DE SOUDURE'!$M$7:$M$1506,0)),"")))</f>
        <v/>
      </c>
      <c r="J1070" s="78" t="str">
        <f aca="false">IF(B1070="","",IFERROR(INDEX('CARNET DE SOUDURE'!$E$7:$E$1506,MATCH(B1070,'CARNET DE SOUDURE'!$M$7:$M$1506,0)),""))</f>
        <v/>
      </c>
      <c r="K1070" s="78" t="str">
        <f aca="false">IF(B1070="","",IFERROR(INDEX('CARNET DE SOUDURE'!$E$7:$E$1506,MATCH(B1070,'CARNET DE SOUDURE'!$K$7:$K$1506,0)),""))</f>
        <v/>
      </c>
      <c r="L1070" s="78" t="str">
        <f aca="false">IF(B1070="","",IFERROR(INDEX('CARNET DE SOUDURE'!$D$7:$D$1506,MATCH(B1070,'CARNET DE SOUDURE'!$K$7:$K$1506,0)),IFERROR(INDEX('CARNET DE SOUDURE'!$D$7:$D$1506,MATCH(B1070,'CARNET DE SOUDURE'!$M$7:$M$1506,0)),"")))</f>
        <v/>
      </c>
      <c r="M1070" s="81" t="str">
        <f aca="false">IF(B1070="","",IF(OR(J1070&lt;&gt;"",K1070&lt;&gt;""),"POSÉ EN LIGNE",IF(H1070&lt;&gt;"","BARDÉ","EN STOCK")))</f>
        <v/>
      </c>
      <c r="N1070" s="79"/>
    </row>
    <row r="1071" customFormat="false" ht="15" hidden="false" customHeight="false" outlineLevel="0" collapsed="false">
      <c r="A1071" s="78" t="str">
        <f aca="false">IF(B1071="","",ROW()-6)</f>
        <v/>
      </c>
      <c r="B1071" s="90"/>
      <c r="C1071" s="91"/>
      <c r="D1071" s="91"/>
      <c r="E1071" s="80"/>
      <c r="F1071" s="92"/>
      <c r="G1071" s="79"/>
      <c r="H1071" s="82"/>
      <c r="I1071" s="93" t="str">
        <f aca="false">IF(B1071="","",IFERROR(INDEX('CARNET DE SOUDURE'!$B$7:$B$1506,MATCH(B1071,'CARNET DE SOUDURE'!$K$7:$K$1506,0)),IFERROR(INDEX('CARNET DE SOUDURE'!$B$7:$B$1506,MATCH(B1071,'CARNET DE SOUDURE'!$M$7:$M$1506,0)),"")))</f>
        <v/>
      </c>
      <c r="J1071" s="78" t="str">
        <f aca="false">IF(B1071="","",IFERROR(INDEX('CARNET DE SOUDURE'!$E$7:$E$1506,MATCH(B1071,'CARNET DE SOUDURE'!$M$7:$M$1506,0)),""))</f>
        <v/>
      </c>
      <c r="K1071" s="78" t="str">
        <f aca="false">IF(B1071="","",IFERROR(INDEX('CARNET DE SOUDURE'!$E$7:$E$1506,MATCH(B1071,'CARNET DE SOUDURE'!$K$7:$K$1506,0)),""))</f>
        <v/>
      </c>
      <c r="L1071" s="78" t="str">
        <f aca="false">IF(B1071="","",IFERROR(INDEX('CARNET DE SOUDURE'!$D$7:$D$1506,MATCH(B1071,'CARNET DE SOUDURE'!$K$7:$K$1506,0)),IFERROR(INDEX('CARNET DE SOUDURE'!$D$7:$D$1506,MATCH(B1071,'CARNET DE SOUDURE'!$M$7:$M$1506,0)),"")))</f>
        <v/>
      </c>
      <c r="M1071" s="81" t="str">
        <f aca="false">IF(B1071="","",IF(OR(J1071&lt;&gt;"",K1071&lt;&gt;""),"POSÉ EN LIGNE",IF(H1071&lt;&gt;"","BARDÉ","EN STOCK")))</f>
        <v/>
      </c>
      <c r="N1071" s="79"/>
    </row>
    <row r="1072" customFormat="false" ht="15" hidden="false" customHeight="false" outlineLevel="0" collapsed="false">
      <c r="A1072" s="78" t="str">
        <f aca="false">IF(B1072="","",ROW()-6)</f>
        <v/>
      </c>
      <c r="B1072" s="90"/>
      <c r="C1072" s="91"/>
      <c r="D1072" s="91"/>
      <c r="E1072" s="80"/>
      <c r="F1072" s="92"/>
      <c r="G1072" s="79"/>
      <c r="H1072" s="82"/>
      <c r="I1072" s="93" t="str">
        <f aca="false">IF(B1072="","",IFERROR(INDEX('CARNET DE SOUDURE'!$B$7:$B$1506,MATCH(B1072,'CARNET DE SOUDURE'!$K$7:$K$1506,0)),IFERROR(INDEX('CARNET DE SOUDURE'!$B$7:$B$1506,MATCH(B1072,'CARNET DE SOUDURE'!$M$7:$M$1506,0)),"")))</f>
        <v/>
      </c>
      <c r="J1072" s="78" t="str">
        <f aca="false">IF(B1072="","",IFERROR(INDEX('CARNET DE SOUDURE'!$E$7:$E$1506,MATCH(B1072,'CARNET DE SOUDURE'!$M$7:$M$1506,0)),""))</f>
        <v/>
      </c>
      <c r="K1072" s="78" t="str">
        <f aca="false">IF(B1072="","",IFERROR(INDEX('CARNET DE SOUDURE'!$E$7:$E$1506,MATCH(B1072,'CARNET DE SOUDURE'!$K$7:$K$1506,0)),""))</f>
        <v/>
      </c>
      <c r="L1072" s="78" t="str">
        <f aca="false">IF(B1072="","",IFERROR(INDEX('CARNET DE SOUDURE'!$D$7:$D$1506,MATCH(B1072,'CARNET DE SOUDURE'!$K$7:$K$1506,0)),IFERROR(INDEX('CARNET DE SOUDURE'!$D$7:$D$1506,MATCH(B1072,'CARNET DE SOUDURE'!$M$7:$M$1506,0)),"")))</f>
        <v/>
      </c>
      <c r="M1072" s="81" t="str">
        <f aca="false">IF(B1072="","",IF(OR(J1072&lt;&gt;"",K1072&lt;&gt;""),"POSÉ EN LIGNE",IF(H1072&lt;&gt;"","BARDÉ","EN STOCK")))</f>
        <v/>
      </c>
      <c r="N1072" s="79"/>
    </row>
    <row r="1073" customFormat="false" ht="15" hidden="false" customHeight="false" outlineLevel="0" collapsed="false">
      <c r="A1073" s="78" t="str">
        <f aca="false">IF(B1073="","",ROW()-6)</f>
        <v/>
      </c>
      <c r="B1073" s="90"/>
      <c r="C1073" s="91"/>
      <c r="D1073" s="91"/>
      <c r="E1073" s="80"/>
      <c r="F1073" s="92"/>
      <c r="G1073" s="79"/>
      <c r="H1073" s="82"/>
      <c r="I1073" s="93" t="str">
        <f aca="false">IF(B1073="","",IFERROR(INDEX('CARNET DE SOUDURE'!$B$7:$B$1506,MATCH(B1073,'CARNET DE SOUDURE'!$K$7:$K$1506,0)),IFERROR(INDEX('CARNET DE SOUDURE'!$B$7:$B$1506,MATCH(B1073,'CARNET DE SOUDURE'!$M$7:$M$1506,0)),"")))</f>
        <v/>
      </c>
      <c r="J1073" s="78" t="str">
        <f aca="false">IF(B1073="","",IFERROR(INDEX('CARNET DE SOUDURE'!$E$7:$E$1506,MATCH(B1073,'CARNET DE SOUDURE'!$M$7:$M$1506,0)),""))</f>
        <v/>
      </c>
      <c r="K1073" s="78" t="str">
        <f aca="false">IF(B1073="","",IFERROR(INDEX('CARNET DE SOUDURE'!$E$7:$E$1506,MATCH(B1073,'CARNET DE SOUDURE'!$K$7:$K$1506,0)),""))</f>
        <v/>
      </c>
      <c r="L1073" s="78" t="str">
        <f aca="false">IF(B1073="","",IFERROR(INDEX('CARNET DE SOUDURE'!$D$7:$D$1506,MATCH(B1073,'CARNET DE SOUDURE'!$K$7:$K$1506,0)),IFERROR(INDEX('CARNET DE SOUDURE'!$D$7:$D$1506,MATCH(B1073,'CARNET DE SOUDURE'!$M$7:$M$1506,0)),"")))</f>
        <v/>
      </c>
      <c r="M1073" s="81" t="str">
        <f aca="false">IF(B1073="","",IF(OR(J1073&lt;&gt;"",K1073&lt;&gt;""),"POSÉ EN LIGNE",IF(H1073&lt;&gt;"","BARDÉ","EN STOCK")))</f>
        <v/>
      </c>
      <c r="N1073" s="79"/>
    </row>
    <row r="1074" customFormat="false" ht="15" hidden="false" customHeight="false" outlineLevel="0" collapsed="false">
      <c r="A1074" s="78" t="str">
        <f aca="false">IF(B1074="","",ROW()-6)</f>
        <v/>
      </c>
      <c r="B1074" s="90"/>
      <c r="C1074" s="91"/>
      <c r="D1074" s="91"/>
      <c r="E1074" s="80"/>
      <c r="F1074" s="92"/>
      <c r="G1074" s="79"/>
      <c r="H1074" s="82"/>
      <c r="I1074" s="93" t="str">
        <f aca="false">IF(B1074="","",IFERROR(INDEX('CARNET DE SOUDURE'!$B$7:$B$1506,MATCH(B1074,'CARNET DE SOUDURE'!$K$7:$K$1506,0)),IFERROR(INDEX('CARNET DE SOUDURE'!$B$7:$B$1506,MATCH(B1074,'CARNET DE SOUDURE'!$M$7:$M$1506,0)),"")))</f>
        <v/>
      </c>
      <c r="J1074" s="78" t="str">
        <f aca="false">IF(B1074="","",IFERROR(INDEX('CARNET DE SOUDURE'!$E$7:$E$1506,MATCH(B1074,'CARNET DE SOUDURE'!$M$7:$M$1506,0)),""))</f>
        <v/>
      </c>
      <c r="K1074" s="78" t="str">
        <f aca="false">IF(B1074="","",IFERROR(INDEX('CARNET DE SOUDURE'!$E$7:$E$1506,MATCH(B1074,'CARNET DE SOUDURE'!$K$7:$K$1506,0)),""))</f>
        <v/>
      </c>
      <c r="L1074" s="78" t="str">
        <f aca="false">IF(B1074="","",IFERROR(INDEX('CARNET DE SOUDURE'!$D$7:$D$1506,MATCH(B1074,'CARNET DE SOUDURE'!$K$7:$K$1506,0)),IFERROR(INDEX('CARNET DE SOUDURE'!$D$7:$D$1506,MATCH(B1074,'CARNET DE SOUDURE'!$M$7:$M$1506,0)),"")))</f>
        <v/>
      </c>
      <c r="M1074" s="81" t="str">
        <f aca="false">IF(B1074="","",IF(OR(J1074&lt;&gt;"",K1074&lt;&gt;""),"POSÉ EN LIGNE",IF(H1074&lt;&gt;"","BARDÉ","EN STOCK")))</f>
        <v/>
      </c>
      <c r="N1074" s="79"/>
    </row>
    <row r="1075" customFormat="false" ht="15" hidden="false" customHeight="false" outlineLevel="0" collapsed="false">
      <c r="A1075" s="78" t="str">
        <f aca="false">IF(B1075="","",ROW()-6)</f>
        <v/>
      </c>
      <c r="B1075" s="90"/>
      <c r="C1075" s="91"/>
      <c r="D1075" s="91"/>
      <c r="E1075" s="80"/>
      <c r="F1075" s="92"/>
      <c r="G1075" s="79"/>
      <c r="H1075" s="82"/>
      <c r="I1075" s="93" t="str">
        <f aca="false">IF(B1075="","",IFERROR(INDEX('CARNET DE SOUDURE'!$B$7:$B$1506,MATCH(B1075,'CARNET DE SOUDURE'!$K$7:$K$1506,0)),IFERROR(INDEX('CARNET DE SOUDURE'!$B$7:$B$1506,MATCH(B1075,'CARNET DE SOUDURE'!$M$7:$M$1506,0)),"")))</f>
        <v/>
      </c>
      <c r="J1075" s="78" t="str">
        <f aca="false">IF(B1075="","",IFERROR(INDEX('CARNET DE SOUDURE'!$E$7:$E$1506,MATCH(B1075,'CARNET DE SOUDURE'!$M$7:$M$1506,0)),""))</f>
        <v/>
      </c>
      <c r="K1075" s="78" t="str">
        <f aca="false">IF(B1075="","",IFERROR(INDEX('CARNET DE SOUDURE'!$E$7:$E$1506,MATCH(B1075,'CARNET DE SOUDURE'!$K$7:$K$1506,0)),""))</f>
        <v/>
      </c>
      <c r="L1075" s="78" t="str">
        <f aca="false">IF(B1075="","",IFERROR(INDEX('CARNET DE SOUDURE'!$D$7:$D$1506,MATCH(B1075,'CARNET DE SOUDURE'!$K$7:$K$1506,0)),IFERROR(INDEX('CARNET DE SOUDURE'!$D$7:$D$1506,MATCH(B1075,'CARNET DE SOUDURE'!$M$7:$M$1506,0)),"")))</f>
        <v/>
      </c>
      <c r="M1075" s="81" t="str">
        <f aca="false">IF(B1075="","",IF(OR(J1075&lt;&gt;"",K1075&lt;&gt;""),"POSÉ EN LIGNE",IF(H1075&lt;&gt;"","BARDÉ","EN STOCK")))</f>
        <v/>
      </c>
      <c r="N1075" s="79"/>
    </row>
    <row r="1076" customFormat="false" ht="15" hidden="false" customHeight="false" outlineLevel="0" collapsed="false">
      <c r="A1076" s="78" t="str">
        <f aca="false">IF(B1076="","",ROW()-6)</f>
        <v/>
      </c>
      <c r="B1076" s="90"/>
      <c r="C1076" s="91"/>
      <c r="D1076" s="91"/>
      <c r="E1076" s="80"/>
      <c r="F1076" s="92"/>
      <c r="G1076" s="79"/>
      <c r="H1076" s="82"/>
      <c r="I1076" s="93" t="str">
        <f aca="false">IF(B1076="","",IFERROR(INDEX('CARNET DE SOUDURE'!$B$7:$B$1506,MATCH(B1076,'CARNET DE SOUDURE'!$K$7:$K$1506,0)),IFERROR(INDEX('CARNET DE SOUDURE'!$B$7:$B$1506,MATCH(B1076,'CARNET DE SOUDURE'!$M$7:$M$1506,0)),"")))</f>
        <v/>
      </c>
      <c r="J1076" s="78" t="str">
        <f aca="false">IF(B1076="","",IFERROR(INDEX('CARNET DE SOUDURE'!$E$7:$E$1506,MATCH(B1076,'CARNET DE SOUDURE'!$M$7:$M$1506,0)),""))</f>
        <v/>
      </c>
      <c r="K1076" s="78" t="str">
        <f aca="false">IF(B1076="","",IFERROR(INDEX('CARNET DE SOUDURE'!$E$7:$E$1506,MATCH(B1076,'CARNET DE SOUDURE'!$K$7:$K$1506,0)),""))</f>
        <v/>
      </c>
      <c r="L1076" s="78" t="str">
        <f aca="false">IF(B1076="","",IFERROR(INDEX('CARNET DE SOUDURE'!$D$7:$D$1506,MATCH(B1076,'CARNET DE SOUDURE'!$K$7:$K$1506,0)),IFERROR(INDEX('CARNET DE SOUDURE'!$D$7:$D$1506,MATCH(B1076,'CARNET DE SOUDURE'!$M$7:$M$1506,0)),"")))</f>
        <v/>
      </c>
      <c r="M1076" s="81" t="str">
        <f aca="false">IF(B1076="","",IF(OR(J1076&lt;&gt;"",K1076&lt;&gt;""),"POSÉ EN LIGNE",IF(H1076&lt;&gt;"","BARDÉ","EN STOCK")))</f>
        <v/>
      </c>
      <c r="N1076" s="79"/>
    </row>
    <row r="1077" customFormat="false" ht="15" hidden="false" customHeight="false" outlineLevel="0" collapsed="false">
      <c r="A1077" s="78" t="str">
        <f aca="false">IF(B1077="","",ROW()-6)</f>
        <v/>
      </c>
      <c r="B1077" s="90"/>
      <c r="C1077" s="91"/>
      <c r="D1077" s="91"/>
      <c r="E1077" s="80"/>
      <c r="F1077" s="92"/>
      <c r="G1077" s="79"/>
      <c r="H1077" s="82"/>
      <c r="I1077" s="93" t="str">
        <f aca="false">IF(B1077="","",IFERROR(INDEX('CARNET DE SOUDURE'!$B$7:$B$1506,MATCH(B1077,'CARNET DE SOUDURE'!$K$7:$K$1506,0)),IFERROR(INDEX('CARNET DE SOUDURE'!$B$7:$B$1506,MATCH(B1077,'CARNET DE SOUDURE'!$M$7:$M$1506,0)),"")))</f>
        <v/>
      </c>
      <c r="J1077" s="78" t="str">
        <f aca="false">IF(B1077="","",IFERROR(INDEX('CARNET DE SOUDURE'!$E$7:$E$1506,MATCH(B1077,'CARNET DE SOUDURE'!$M$7:$M$1506,0)),""))</f>
        <v/>
      </c>
      <c r="K1077" s="78" t="str">
        <f aca="false">IF(B1077="","",IFERROR(INDEX('CARNET DE SOUDURE'!$E$7:$E$1506,MATCH(B1077,'CARNET DE SOUDURE'!$K$7:$K$1506,0)),""))</f>
        <v/>
      </c>
      <c r="L1077" s="78" t="str">
        <f aca="false">IF(B1077="","",IFERROR(INDEX('CARNET DE SOUDURE'!$D$7:$D$1506,MATCH(B1077,'CARNET DE SOUDURE'!$K$7:$K$1506,0)),IFERROR(INDEX('CARNET DE SOUDURE'!$D$7:$D$1506,MATCH(B1077,'CARNET DE SOUDURE'!$M$7:$M$1506,0)),"")))</f>
        <v/>
      </c>
      <c r="M1077" s="81" t="str">
        <f aca="false">IF(B1077="","",IF(OR(J1077&lt;&gt;"",K1077&lt;&gt;""),"POSÉ EN LIGNE",IF(H1077&lt;&gt;"","BARDÉ","EN STOCK")))</f>
        <v/>
      </c>
      <c r="N1077" s="79"/>
    </row>
    <row r="1078" customFormat="false" ht="15" hidden="false" customHeight="false" outlineLevel="0" collapsed="false">
      <c r="A1078" s="78" t="str">
        <f aca="false">IF(B1078="","",ROW()-6)</f>
        <v/>
      </c>
      <c r="B1078" s="90"/>
      <c r="C1078" s="91"/>
      <c r="D1078" s="91"/>
      <c r="E1078" s="80"/>
      <c r="F1078" s="92"/>
      <c r="G1078" s="79"/>
      <c r="H1078" s="82"/>
      <c r="I1078" s="93" t="str">
        <f aca="false">IF(B1078="","",IFERROR(INDEX('CARNET DE SOUDURE'!$B$7:$B$1506,MATCH(B1078,'CARNET DE SOUDURE'!$K$7:$K$1506,0)),IFERROR(INDEX('CARNET DE SOUDURE'!$B$7:$B$1506,MATCH(B1078,'CARNET DE SOUDURE'!$M$7:$M$1506,0)),"")))</f>
        <v/>
      </c>
      <c r="J1078" s="78" t="str">
        <f aca="false">IF(B1078="","",IFERROR(INDEX('CARNET DE SOUDURE'!$E$7:$E$1506,MATCH(B1078,'CARNET DE SOUDURE'!$M$7:$M$1506,0)),""))</f>
        <v/>
      </c>
      <c r="K1078" s="78" t="str">
        <f aca="false">IF(B1078="","",IFERROR(INDEX('CARNET DE SOUDURE'!$E$7:$E$1506,MATCH(B1078,'CARNET DE SOUDURE'!$K$7:$K$1506,0)),""))</f>
        <v/>
      </c>
      <c r="L1078" s="78" t="str">
        <f aca="false">IF(B1078="","",IFERROR(INDEX('CARNET DE SOUDURE'!$D$7:$D$1506,MATCH(B1078,'CARNET DE SOUDURE'!$K$7:$K$1506,0)),IFERROR(INDEX('CARNET DE SOUDURE'!$D$7:$D$1506,MATCH(B1078,'CARNET DE SOUDURE'!$M$7:$M$1506,0)),"")))</f>
        <v/>
      </c>
      <c r="M1078" s="81" t="str">
        <f aca="false">IF(B1078="","",IF(OR(J1078&lt;&gt;"",K1078&lt;&gt;""),"POSÉ EN LIGNE",IF(H1078&lt;&gt;"","BARDÉ","EN STOCK")))</f>
        <v/>
      </c>
      <c r="N1078" s="79"/>
    </row>
    <row r="1079" customFormat="false" ht="15" hidden="false" customHeight="false" outlineLevel="0" collapsed="false">
      <c r="A1079" s="78" t="str">
        <f aca="false">IF(B1079="","",ROW()-6)</f>
        <v/>
      </c>
      <c r="B1079" s="90"/>
      <c r="C1079" s="91"/>
      <c r="D1079" s="91"/>
      <c r="E1079" s="80"/>
      <c r="F1079" s="92"/>
      <c r="G1079" s="79"/>
      <c r="H1079" s="82"/>
      <c r="I1079" s="93" t="str">
        <f aca="false">IF(B1079="","",IFERROR(INDEX('CARNET DE SOUDURE'!$B$7:$B$1506,MATCH(B1079,'CARNET DE SOUDURE'!$K$7:$K$1506,0)),IFERROR(INDEX('CARNET DE SOUDURE'!$B$7:$B$1506,MATCH(B1079,'CARNET DE SOUDURE'!$M$7:$M$1506,0)),"")))</f>
        <v/>
      </c>
      <c r="J1079" s="78" t="str">
        <f aca="false">IF(B1079="","",IFERROR(INDEX('CARNET DE SOUDURE'!$E$7:$E$1506,MATCH(B1079,'CARNET DE SOUDURE'!$M$7:$M$1506,0)),""))</f>
        <v/>
      </c>
      <c r="K1079" s="78" t="str">
        <f aca="false">IF(B1079="","",IFERROR(INDEX('CARNET DE SOUDURE'!$E$7:$E$1506,MATCH(B1079,'CARNET DE SOUDURE'!$K$7:$K$1506,0)),""))</f>
        <v/>
      </c>
      <c r="L1079" s="78" t="str">
        <f aca="false">IF(B1079="","",IFERROR(INDEX('CARNET DE SOUDURE'!$D$7:$D$1506,MATCH(B1079,'CARNET DE SOUDURE'!$K$7:$K$1506,0)),IFERROR(INDEX('CARNET DE SOUDURE'!$D$7:$D$1506,MATCH(B1079,'CARNET DE SOUDURE'!$M$7:$M$1506,0)),"")))</f>
        <v/>
      </c>
      <c r="M1079" s="81" t="str">
        <f aca="false">IF(B1079="","",IF(OR(J1079&lt;&gt;"",K1079&lt;&gt;""),"POSÉ EN LIGNE",IF(H1079&lt;&gt;"","BARDÉ","EN STOCK")))</f>
        <v/>
      </c>
      <c r="N1079" s="79"/>
    </row>
    <row r="1080" customFormat="false" ht="15" hidden="false" customHeight="false" outlineLevel="0" collapsed="false">
      <c r="A1080" s="78" t="str">
        <f aca="false">IF(B1080="","",ROW()-6)</f>
        <v/>
      </c>
      <c r="B1080" s="90"/>
      <c r="C1080" s="91"/>
      <c r="D1080" s="91"/>
      <c r="E1080" s="80"/>
      <c r="F1080" s="92"/>
      <c r="G1080" s="79"/>
      <c r="H1080" s="82"/>
      <c r="I1080" s="93" t="str">
        <f aca="false">IF(B1080="","",IFERROR(INDEX('CARNET DE SOUDURE'!$B$7:$B$1506,MATCH(B1080,'CARNET DE SOUDURE'!$K$7:$K$1506,0)),IFERROR(INDEX('CARNET DE SOUDURE'!$B$7:$B$1506,MATCH(B1080,'CARNET DE SOUDURE'!$M$7:$M$1506,0)),"")))</f>
        <v/>
      </c>
      <c r="J1080" s="78" t="str">
        <f aca="false">IF(B1080="","",IFERROR(INDEX('CARNET DE SOUDURE'!$E$7:$E$1506,MATCH(B1080,'CARNET DE SOUDURE'!$M$7:$M$1506,0)),""))</f>
        <v/>
      </c>
      <c r="K1080" s="78" t="str">
        <f aca="false">IF(B1080="","",IFERROR(INDEX('CARNET DE SOUDURE'!$E$7:$E$1506,MATCH(B1080,'CARNET DE SOUDURE'!$K$7:$K$1506,0)),""))</f>
        <v/>
      </c>
      <c r="L1080" s="78" t="str">
        <f aca="false">IF(B1080="","",IFERROR(INDEX('CARNET DE SOUDURE'!$D$7:$D$1506,MATCH(B1080,'CARNET DE SOUDURE'!$K$7:$K$1506,0)),IFERROR(INDEX('CARNET DE SOUDURE'!$D$7:$D$1506,MATCH(B1080,'CARNET DE SOUDURE'!$M$7:$M$1506,0)),"")))</f>
        <v/>
      </c>
      <c r="M1080" s="81" t="str">
        <f aca="false">IF(B1080="","",IF(OR(J1080&lt;&gt;"",K1080&lt;&gt;""),"POSÉ EN LIGNE",IF(H1080&lt;&gt;"","BARDÉ","EN STOCK")))</f>
        <v/>
      </c>
      <c r="N1080" s="79"/>
    </row>
    <row r="1081" customFormat="false" ht="15" hidden="false" customHeight="false" outlineLevel="0" collapsed="false">
      <c r="A1081" s="78" t="str">
        <f aca="false">IF(B1081="","",ROW()-6)</f>
        <v/>
      </c>
      <c r="B1081" s="90"/>
      <c r="C1081" s="91"/>
      <c r="D1081" s="91"/>
      <c r="E1081" s="80"/>
      <c r="F1081" s="92"/>
      <c r="G1081" s="79"/>
      <c r="H1081" s="82"/>
      <c r="I1081" s="93" t="str">
        <f aca="false">IF(B1081="","",IFERROR(INDEX('CARNET DE SOUDURE'!$B$7:$B$1506,MATCH(B1081,'CARNET DE SOUDURE'!$K$7:$K$1506,0)),IFERROR(INDEX('CARNET DE SOUDURE'!$B$7:$B$1506,MATCH(B1081,'CARNET DE SOUDURE'!$M$7:$M$1506,0)),"")))</f>
        <v/>
      </c>
      <c r="J1081" s="78" t="str">
        <f aca="false">IF(B1081="","",IFERROR(INDEX('CARNET DE SOUDURE'!$E$7:$E$1506,MATCH(B1081,'CARNET DE SOUDURE'!$M$7:$M$1506,0)),""))</f>
        <v/>
      </c>
      <c r="K1081" s="78" t="str">
        <f aca="false">IF(B1081="","",IFERROR(INDEX('CARNET DE SOUDURE'!$E$7:$E$1506,MATCH(B1081,'CARNET DE SOUDURE'!$K$7:$K$1506,0)),""))</f>
        <v/>
      </c>
      <c r="L1081" s="78" t="str">
        <f aca="false">IF(B1081="","",IFERROR(INDEX('CARNET DE SOUDURE'!$D$7:$D$1506,MATCH(B1081,'CARNET DE SOUDURE'!$K$7:$K$1506,0)),IFERROR(INDEX('CARNET DE SOUDURE'!$D$7:$D$1506,MATCH(B1081,'CARNET DE SOUDURE'!$M$7:$M$1506,0)),"")))</f>
        <v/>
      </c>
      <c r="M1081" s="81" t="str">
        <f aca="false">IF(B1081="","",IF(OR(J1081&lt;&gt;"",K1081&lt;&gt;""),"POSÉ EN LIGNE",IF(H1081&lt;&gt;"","BARDÉ","EN STOCK")))</f>
        <v/>
      </c>
      <c r="N1081" s="79"/>
    </row>
    <row r="1082" customFormat="false" ht="15" hidden="false" customHeight="false" outlineLevel="0" collapsed="false">
      <c r="A1082" s="78" t="str">
        <f aca="false">IF(B1082="","",ROW()-6)</f>
        <v/>
      </c>
      <c r="B1082" s="90"/>
      <c r="C1082" s="91"/>
      <c r="D1082" s="91"/>
      <c r="E1082" s="80"/>
      <c r="F1082" s="92"/>
      <c r="G1082" s="79"/>
      <c r="H1082" s="82"/>
      <c r="I1082" s="93" t="str">
        <f aca="false">IF(B1082="","",IFERROR(INDEX('CARNET DE SOUDURE'!$B$7:$B$1506,MATCH(B1082,'CARNET DE SOUDURE'!$K$7:$K$1506,0)),IFERROR(INDEX('CARNET DE SOUDURE'!$B$7:$B$1506,MATCH(B1082,'CARNET DE SOUDURE'!$M$7:$M$1506,0)),"")))</f>
        <v/>
      </c>
      <c r="J1082" s="78" t="str">
        <f aca="false">IF(B1082="","",IFERROR(INDEX('CARNET DE SOUDURE'!$E$7:$E$1506,MATCH(B1082,'CARNET DE SOUDURE'!$M$7:$M$1506,0)),""))</f>
        <v/>
      </c>
      <c r="K1082" s="78" t="str">
        <f aca="false">IF(B1082="","",IFERROR(INDEX('CARNET DE SOUDURE'!$E$7:$E$1506,MATCH(B1082,'CARNET DE SOUDURE'!$K$7:$K$1506,0)),""))</f>
        <v/>
      </c>
      <c r="L1082" s="78" t="str">
        <f aca="false">IF(B1082="","",IFERROR(INDEX('CARNET DE SOUDURE'!$D$7:$D$1506,MATCH(B1082,'CARNET DE SOUDURE'!$K$7:$K$1506,0)),IFERROR(INDEX('CARNET DE SOUDURE'!$D$7:$D$1506,MATCH(B1082,'CARNET DE SOUDURE'!$M$7:$M$1506,0)),"")))</f>
        <v/>
      </c>
      <c r="M1082" s="81" t="str">
        <f aca="false">IF(B1082="","",IF(OR(J1082&lt;&gt;"",K1082&lt;&gt;""),"POSÉ EN LIGNE",IF(H1082&lt;&gt;"","BARDÉ","EN STOCK")))</f>
        <v/>
      </c>
      <c r="N1082" s="79"/>
    </row>
    <row r="1083" customFormat="false" ht="15" hidden="false" customHeight="false" outlineLevel="0" collapsed="false">
      <c r="A1083" s="78" t="str">
        <f aca="false">IF(B1083="","",ROW()-6)</f>
        <v/>
      </c>
      <c r="B1083" s="90"/>
      <c r="C1083" s="91"/>
      <c r="D1083" s="91"/>
      <c r="E1083" s="80"/>
      <c r="F1083" s="92"/>
      <c r="G1083" s="79"/>
      <c r="H1083" s="82"/>
      <c r="I1083" s="93" t="str">
        <f aca="false">IF(B1083="","",IFERROR(INDEX('CARNET DE SOUDURE'!$B$7:$B$1506,MATCH(B1083,'CARNET DE SOUDURE'!$K$7:$K$1506,0)),IFERROR(INDEX('CARNET DE SOUDURE'!$B$7:$B$1506,MATCH(B1083,'CARNET DE SOUDURE'!$M$7:$M$1506,0)),"")))</f>
        <v/>
      </c>
      <c r="J1083" s="78" t="str">
        <f aca="false">IF(B1083="","",IFERROR(INDEX('CARNET DE SOUDURE'!$E$7:$E$1506,MATCH(B1083,'CARNET DE SOUDURE'!$M$7:$M$1506,0)),""))</f>
        <v/>
      </c>
      <c r="K1083" s="78" t="str">
        <f aca="false">IF(B1083="","",IFERROR(INDEX('CARNET DE SOUDURE'!$E$7:$E$1506,MATCH(B1083,'CARNET DE SOUDURE'!$K$7:$K$1506,0)),""))</f>
        <v/>
      </c>
      <c r="L1083" s="78" t="str">
        <f aca="false">IF(B1083="","",IFERROR(INDEX('CARNET DE SOUDURE'!$D$7:$D$1506,MATCH(B1083,'CARNET DE SOUDURE'!$K$7:$K$1506,0)),IFERROR(INDEX('CARNET DE SOUDURE'!$D$7:$D$1506,MATCH(B1083,'CARNET DE SOUDURE'!$M$7:$M$1506,0)),"")))</f>
        <v/>
      </c>
      <c r="M1083" s="81" t="str">
        <f aca="false">IF(B1083="","",IF(OR(J1083&lt;&gt;"",K1083&lt;&gt;""),"POSÉ EN LIGNE",IF(H1083&lt;&gt;"","BARDÉ","EN STOCK")))</f>
        <v/>
      </c>
      <c r="N1083" s="79"/>
    </row>
    <row r="1084" customFormat="false" ht="15" hidden="false" customHeight="false" outlineLevel="0" collapsed="false">
      <c r="A1084" s="78" t="str">
        <f aca="false">IF(B1084="","",ROW()-6)</f>
        <v/>
      </c>
      <c r="B1084" s="90"/>
      <c r="C1084" s="91"/>
      <c r="D1084" s="91"/>
      <c r="E1084" s="80"/>
      <c r="F1084" s="92"/>
      <c r="G1084" s="79"/>
      <c r="H1084" s="82"/>
      <c r="I1084" s="93" t="str">
        <f aca="false">IF(B1084="","",IFERROR(INDEX('CARNET DE SOUDURE'!$B$7:$B$1506,MATCH(B1084,'CARNET DE SOUDURE'!$K$7:$K$1506,0)),IFERROR(INDEX('CARNET DE SOUDURE'!$B$7:$B$1506,MATCH(B1084,'CARNET DE SOUDURE'!$M$7:$M$1506,0)),"")))</f>
        <v/>
      </c>
      <c r="J1084" s="78" t="str">
        <f aca="false">IF(B1084="","",IFERROR(INDEX('CARNET DE SOUDURE'!$E$7:$E$1506,MATCH(B1084,'CARNET DE SOUDURE'!$M$7:$M$1506,0)),""))</f>
        <v/>
      </c>
      <c r="K1084" s="78" t="str">
        <f aca="false">IF(B1084="","",IFERROR(INDEX('CARNET DE SOUDURE'!$E$7:$E$1506,MATCH(B1084,'CARNET DE SOUDURE'!$K$7:$K$1506,0)),""))</f>
        <v/>
      </c>
      <c r="L1084" s="78" t="str">
        <f aca="false">IF(B1084="","",IFERROR(INDEX('CARNET DE SOUDURE'!$D$7:$D$1506,MATCH(B1084,'CARNET DE SOUDURE'!$K$7:$K$1506,0)),IFERROR(INDEX('CARNET DE SOUDURE'!$D$7:$D$1506,MATCH(B1084,'CARNET DE SOUDURE'!$M$7:$M$1506,0)),"")))</f>
        <v/>
      </c>
      <c r="M1084" s="81" t="str">
        <f aca="false">IF(B1084="","",IF(OR(J1084&lt;&gt;"",K1084&lt;&gt;""),"POSÉ EN LIGNE",IF(H1084&lt;&gt;"","BARDÉ","EN STOCK")))</f>
        <v/>
      </c>
      <c r="N1084" s="79"/>
    </row>
    <row r="1085" customFormat="false" ht="15" hidden="false" customHeight="false" outlineLevel="0" collapsed="false">
      <c r="A1085" s="78" t="str">
        <f aca="false">IF(B1085="","",ROW()-6)</f>
        <v/>
      </c>
      <c r="B1085" s="90"/>
      <c r="C1085" s="91"/>
      <c r="D1085" s="91"/>
      <c r="E1085" s="80"/>
      <c r="F1085" s="92"/>
      <c r="G1085" s="79"/>
      <c r="H1085" s="82"/>
      <c r="I1085" s="93" t="str">
        <f aca="false">IF(B1085="","",IFERROR(INDEX('CARNET DE SOUDURE'!$B$7:$B$1506,MATCH(B1085,'CARNET DE SOUDURE'!$K$7:$K$1506,0)),IFERROR(INDEX('CARNET DE SOUDURE'!$B$7:$B$1506,MATCH(B1085,'CARNET DE SOUDURE'!$M$7:$M$1506,0)),"")))</f>
        <v/>
      </c>
      <c r="J1085" s="78" t="str">
        <f aca="false">IF(B1085="","",IFERROR(INDEX('CARNET DE SOUDURE'!$E$7:$E$1506,MATCH(B1085,'CARNET DE SOUDURE'!$M$7:$M$1506,0)),""))</f>
        <v/>
      </c>
      <c r="K1085" s="78" t="str">
        <f aca="false">IF(B1085="","",IFERROR(INDEX('CARNET DE SOUDURE'!$E$7:$E$1506,MATCH(B1085,'CARNET DE SOUDURE'!$K$7:$K$1506,0)),""))</f>
        <v/>
      </c>
      <c r="L1085" s="78" t="str">
        <f aca="false">IF(B1085="","",IFERROR(INDEX('CARNET DE SOUDURE'!$D$7:$D$1506,MATCH(B1085,'CARNET DE SOUDURE'!$K$7:$K$1506,0)),IFERROR(INDEX('CARNET DE SOUDURE'!$D$7:$D$1506,MATCH(B1085,'CARNET DE SOUDURE'!$M$7:$M$1506,0)),"")))</f>
        <v/>
      </c>
      <c r="M1085" s="81" t="str">
        <f aca="false">IF(B1085="","",IF(OR(J1085&lt;&gt;"",K1085&lt;&gt;""),"POSÉ EN LIGNE",IF(H1085&lt;&gt;"","BARDÉ","EN STOCK")))</f>
        <v/>
      </c>
      <c r="N1085" s="79"/>
    </row>
    <row r="1086" customFormat="false" ht="15" hidden="false" customHeight="false" outlineLevel="0" collapsed="false">
      <c r="A1086" s="78" t="str">
        <f aca="false">IF(B1086="","",ROW()-6)</f>
        <v/>
      </c>
      <c r="B1086" s="90"/>
      <c r="C1086" s="91"/>
      <c r="D1086" s="91"/>
      <c r="E1086" s="80"/>
      <c r="F1086" s="92"/>
      <c r="G1086" s="79"/>
      <c r="H1086" s="82"/>
      <c r="I1086" s="93" t="str">
        <f aca="false">IF(B1086="","",IFERROR(INDEX('CARNET DE SOUDURE'!$B$7:$B$1506,MATCH(B1086,'CARNET DE SOUDURE'!$K$7:$K$1506,0)),IFERROR(INDEX('CARNET DE SOUDURE'!$B$7:$B$1506,MATCH(B1086,'CARNET DE SOUDURE'!$M$7:$M$1506,0)),"")))</f>
        <v/>
      </c>
      <c r="J1086" s="78" t="str">
        <f aca="false">IF(B1086="","",IFERROR(INDEX('CARNET DE SOUDURE'!$E$7:$E$1506,MATCH(B1086,'CARNET DE SOUDURE'!$M$7:$M$1506,0)),""))</f>
        <v/>
      </c>
      <c r="K1086" s="78" t="str">
        <f aca="false">IF(B1086="","",IFERROR(INDEX('CARNET DE SOUDURE'!$E$7:$E$1506,MATCH(B1086,'CARNET DE SOUDURE'!$K$7:$K$1506,0)),""))</f>
        <v/>
      </c>
      <c r="L1086" s="78" t="str">
        <f aca="false">IF(B1086="","",IFERROR(INDEX('CARNET DE SOUDURE'!$D$7:$D$1506,MATCH(B1086,'CARNET DE SOUDURE'!$K$7:$K$1506,0)),IFERROR(INDEX('CARNET DE SOUDURE'!$D$7:$D$1506,MATCH(B1086,'CARNET DE SOUDURE'!$M$7:$M$1506,0)),"")))</f>
        <v/>
      </c>
      <c r="M1086" s="81" t="str">
        <f aca="false">IF(B1086="","",IF(OR(J1086&lt;&gt;"",K1086&lt;&gt;""),"POSÉ EN LIGNE",IF(H1086&lt;&gt;"","BARDÉ","EN STOCK")))</f>
        <v/>
      </c>
      <c r="N1086" s="79"/>
    </row>
    <row r="1087" customFormat="false" ht="15" hidden="false" customHeight="false" outlineLevel="0" collapsed="false">
      <c r="A1087" s="78" t="str">
        <f aca="false">IF(B1087="","",ROW()-6)</f>
        <v/>
      </c>
      <c r="B1087" s="90"/>
      <c r="C1087" s="91"/>
      <c r="D1087" s="91"/>
      <c r="E1087" s="80"/>
      <c r="F1087" s="92"/>
      <c r="G1087" s="79"/>
      <c r="H1087" s="82"/>
      <c r="I1087" s="93" t="str">
        <f aca="false">IF(B1087="","",IFERROR(INDEX('CARNET DE SOUDURE'!$B$7:$B$1506,MATCH(B1087,'CARNET DE SOUDURE'!$K$7:$K$1506,0)),IFERROR(INDEX('CARNET DE SOUDURE'!$B$7:$B$1506,MATCH(B1087,'CARNET DE SOUDURE'!$M$7:$M$1506,0)),"")))</f>
        <v/>
      </c>
      <c r="J1087" s="78" t="str">
        <f aca="false">IF(B1087="","",IFERROR(INDEX('CARNET DE SOUDURE'!$E$7:$E$1506,MATCH(B1087,'CARNET DE SOUDURE'!$M$7:$M$1506,0)),""))</f>
        <v/>
      </c>
      <c r="K1087" s="78" t="str">
        <f aca="false">IF(B1087="","",IFERROR(INDEX('CARNET DE SOUDURE'!$E$7:$E$1506,MATCH(B1087,'CARNET DE SOUDURE'!$K$7:$K$1506,0)),""))</f>
        <v/>
      </c>
      <c r="L1087" s="78" t="str">
        <f aca="false">IF(B1087="","",IFERROR(INDEX('CARNET DE SOUDURE'!$D$7:$D$1506,MATCH(B1087,'CARNET DE SOUDURE'!$K$7:$K$1506,0)),IFERROR(INDEX('CARNET DE SOUDURE'!$D$7:$D$1506,MATCH(B1087,'CARNET DE SOUDURE'!$M$7:$M$1506,0)),"")))</f>
        <v/>
      </c>
      <c r="M1087" s="81" t="str">
        <f aca="false">IF(B1087="","",IF(OR(J1087&lt;&gt;"",K1087&lt;&gt;""),"POSÉ EN LIGNE",IF(H1087&lt;&gt;"","BARDÉ","EN STOCK")))</f>
        <v/>
      </c>
      <c r="N1087" s="79"/>
    </row>
    <row r="1088" customFormat="false" ht="15" hidden="false" customHeight="false" outlineLevel="0" collapsed="false">
      <c r="A1088" s="78" t="str">
        <f aca="false">IF(B1088="","",ROW()-6)</f>
        <v/>
      </c>
      <c r="B1088" s="90"/>
      <c r="C1088" s="91"/>
      <c r="D1088" s="91"/>
      <c r="E1088" s="80"/>
      <c r="F1088" s="92"/>
      <c r="G1088" s="79"/>
      <c r="H1088" s="82"/>
      <c r="I1088" s="93" t="str">
        <f aca="false">IF(B1088="","",IFERROR(INDEX('CARNET DE SOUDURE'!$B$7:$B$1506,MATCH(B1088,'CARNET DE SOUDURE'!$K$7:$K$1506,0)),IFERROR(INDEX('CARNET DE SOUDURE'!$B$7:$B$1506,MATCH(B1088,'CARNET DE SOUDURE'!$M$7:$M$1506,0)),"")))</f>
        <v/>
      </c>
      <c r="J1088" s="78" t="str">
        <f aca="false">IF(B1088="","",IFERROR(INDEX('CARNET DE SOUDURE'!$E$7:$E$1506,MATCH(B1088,'CARNET DE SOUDURE'!$M$7:$M$1506,0)),""))</f>
        <v/>
      </c>
      <c r="K1088" s="78" t="str">
        <f aca="false">IF(B1088="","",IFERROR(INDEX('CARNET DE SOUDURE'!$E$7:$E$1506,MATCH(B1088,'CARNET DE SOUDURE'!$K$7:$K$1506,0)),""))</f>
        <v/>
      </c>
      <c r="L1088" s="78" t="str">
        <f aca="false">IF(B1088="","",IFERROR(INDEX('CARNET DE SOUDURE'!$D$7:$D$1506,MATCH(B1088,'CARNET DE SOUDURE'!$K$7:$K$1506,0)),IFERROR(INDEX('CARNET DE SOUDURE'!$D$7:$D$1506,MATCH(B1088,'CARNET DE SOUDURE'!$M$7:$M$1506,0)),"")))</f>
        <v/>
      </c>
      <c r="M1088" s="81" t="str">
        <f aca="false">IF(B1088="","",IF(OR(J1088&lt;&gt;"",K1088&lt;&gt;""),"POSÉ EN LIGNE",IF(H1088&lt;&gt;"","BARDÉ","EN STOCK")))</f>
        <v/>
      </c>
      <c r="N1088" s="79"/>
    </row>
    <row r="1089" customFormat="false" ht="15" hidden="false" customHeight="false" outlineLevel="0" collapsed="false">
      <c r="A1089" s="78" t="str">
        <f aca="false">IF(B1089="","",ROW()-6)</f>
        <v/>
      </c>
      <c r="B1089" s="90"/>
      <c r="C1089" s="91"/>
      <c r="D1089" s="91"/>
      <c r="E1089" s="80"/>
      <c r="F1089" s="92"/>
      <c r="G1089" s="79"/>
      <c r="H1089" s="82"/>
      <c r="I1089" s="93" t="str">
        <f aca="false">IF(B1089="","",IFERROR(INDEX('CARNET DE SOUDURE'!$B$7:$B$1506,MATCH(B1089,'CARNET DE SOUDURE'!$K$7:$K$1506,0)),IFERROR(INDEX('CARNET DE SOUDURE'!$B$7:$B$1506,MATCH(B1089,'CARNET DE SOUDURE'!$M$7:$M$1506,0)),"")))</f>
        <v/>
      </c>
      <c r="J1089" s="78" t="str">
        <f aca="false">IF(B1089="","",IFERROR(INDEX('CARNET DE SOUDURE'!$E$7:$E$1506,MATCH(B1089,'CARNET DE SOUDURE'!$M$7:$M$1506,0)),""))</f>
        <v/>
      </c>
      <c r="K1089" s="78" t="str">
        <f aca="false">IF(B1089="","",IFERROR(INDEX('CARNET DE SOUDURE'!$E$7:$E$1506,MATCH(B1089,'CARNET DE SOUDURE'!$K$7:$K$1506,0)),""))</f>
        <v/>
      </c>
      <c r="L1089" s="78" t="str">
        <f aca="false">IF(B1089="","",IFERROR(INDEX('CARNET DE SOUDURE'!$D$7:$D$1506,MATCH(B1089,'CARNET DE SOUDURE'!$K$7:$K$1506,0)),IFERROR(INDEX('CARNET DE SOUDURE'!$D$7:$D$1506,MATCH(B1089,'CARNET DE SOUDURE'!$M$7:$M$1506,0)),"")))</f>
        <v/>
      </c>
      <c r="M1089" s="81" t="str">
        <f aca="false">IF(B1089="","",IF(OR(J1089&lt;&gt;"",K1089&lt;&gt;""),"POSÉ EN LIGNE",IF(H1089&lt;&gt;"","BARDÉ","EN STOCK")))</f>
        <v/>
      </c>
      <c r="N1089" s="79"/>
    </row>
    <row r="1090" customFormat="false" ht="15" hidden="false" customHeight="false" outlineLevel="0" collapsed="false">
      <c r="A1090" s="78" t="str">
        <f aca="false">IF(B1090="","",ROW()-6)</f>
        <v/>
      </c>
      <c r="B1090" s="90"/>
      <c r="C1090" s="91"/>
      <c r="D1090" s="91"/>
      <c r="E1090" s="80"/>
      <c r="F1090" s="92"/>
      <c r="G1090" s="79"/>
      <c r="H1090" s="82"/>
      <c r="I1090" s="93" t="str">
        <f aca="false">IF(B1090="","",IFERROR(INDEX('CARNET DE SOUDURE'!$B$7:$B$1506,MATCH(B1090,'CARNET DE SOUDURE'!$K$7:$K$1506,0)),IFERROR(INDEX('CARNET DE SOUDURE'!$B$7:$B$1506,MATCH(B1090,'CARNET DE SOUDURE'!$M$7:$M$1506,0)),"")))</f>
        <v/>
      </c>
      <c r="J1090" s="78" t="str">
        <f aca="false">IF(B1090="","",IFERROR(INDEX('CARNET DE SOUDURE'!$E$7:$E$1506,MATCH(B1090,'CARNET DE SOUDURE'!$M$7:$M$1506,0)),""))</f>
        <v/>
      </c>
      <c r="K1090" s="78" t="str">
        <f aca="false">IF(B1090="","",IFERROR(INDEX('CARNET DE SOUDURE'!$E$7:$E$1506,MATCH(B1090,'CARNET DE SOUDURE'!$K$7:$K$1506,0)),""))</f>
        <v/>
      </c>
      <c r="L1090" s="78" t="str">
        <f aca="false">IF(B1090="","",IFERROR(INDEX('CARNET DE SOUDURE'!$D$7:$D$1506,MATCH(B1090,'CARNET DE SOUDURE'!$K$7:$K$1506,0)),IFERROR(INDEX('CARNET DE SOUDURE'!$D$7:$D$1506,MATCH(B1090,'CARNET DE SOUDURE'!$M$7:$M$1506,0)),"")))</f>
        <v/>
      </c>
      <c r="M1090" s="81" t="str">
        <f aca="false">IF(B1090="","",IF(OR(J1090&lt;&gt;"",K1090&lt;&gt;""),"POSÉ EN LIGNE",IF(H1090&lt;&gt;"","BARDÉ","EN STOCK")))</f>
        <v/>
      </c>
      <c r="N1090" s="79"/>
    </row>
    <row r="1091" customFormat="false" ht="15" hidden="false" customHeight="false" outlineLevel="0" collapsed="false">
      <c r="A1091" s="78" t="str">
        <f aca="false">IF(B1091="","",ROW()-6)</f>
        <v/>
      </c>
      <c r="B1091" s="90"/>
      <c r="C1091" s="91"/>
      <c r="D1091" s="91"/>
      <c r="E1091" s="80"/>
      <c r="F1091" s="92"/>
      <c r="G1091" s="79"/>
      <c r="H1091" s="82"/>
      <c r="I1091" s="93" t="str">
        <f aca="false">IF(B1091="","",IFERROR(INDEX('CARNET DE SOUDURE'!$B$7:$B$1506,MATCH(B1091,'CARNET DE SOUDURE'!$K$7:$K$1506,0)),IFERROR(INDEX('CARNET DE SOUDURE'!$B$7:$B$1506,MATCH(B1091,'CARNET DE SOUDURE'!$M$7:$M$1506,0)),"")))</f>
        <v/>
      </c>
      <c r="J1091" s="78" t="str">
        <f aca="false">IF(B1091="","",IFERROR(INDEX('CARNET DE SOUDURE'!$E$7:$E$1506,MATCH(B1091,'CARNET DE SOUDURE'!$M$7:$M$1506,0)),""))</f>
        <v/>
      </c>
      <c r="K1091" s="78" t="str">
        <f aca="false">IF(B1091="","",IFERROR(INDEX('CARNET DE SOUDURE'!$E$7:$E$1506,MATCH(B1091,'CARNET DE SOUDURE'!$K$7:$K$1506,0)),""))</f>
        <v/>
      </c>
      <c r="L1091" s="78" t="str">
        <f aca="false">IF(B1091="","",IFERROR(INDEX('CARNET DE SOUDURE'!$D$7:$D$1506,MATCH(B1091,'CARNET DE SOUDURE'!$K$7:$K$1506,0)),IFERROR(INDEX('CARNET DE SOUDURE'!$D$7:$D$1506,MATCH(B1091,'CARNET DE SOUDURE'!$M$7:$M$1506,0)),"")))</f>
        <v/>
      </c>
      <c r="M1091" s="81" t="str">
        <f aca="false">IF(B1091="","",IF(OR(J1091&lt;&gt;"",K1091&lt;&gt;""),"POSÉ EN LIGNE",IF(H1091&lt;&gt;"","BARDÉ","EN STOCK")))</f>
        <v/>
      </c>
      <c r="N1091" s="79"/>
    </row>
    <row r="1092" customFormat="false" ht="15" hidden="false" customHeight="false" outlineLevel="0" collapsed="false">
      <c r="A1092" s="78" t="str">
        <f aca="false">IF(B1092="","",ROW()-6)</f>
        <v/>
      </c>
      <c r="B1092" s="90"/>
      <c r="C1092" s="91"/>
      <c r="D1092" s="91"/>
      <c r="E1092" s="80"/>
      <c r="F1092" s="92"/>
      <c r="G1092" s="79"/>
      <c r="H1092" s="82"/>
      <c r="I1092" s="93" t="str">
        <f aca="false">IF(B1092="","",IFERROR(INDEX('CARNET DE SOUDURE'!$B$7:$B$1506,MATCH(B1092,'CARNET DE SOUDURE'!$K$7:$K$1506,0)),IFERROR(INDEX('CARNET DE SOUDURE'!$B$7:$B$1506,MATCH(B1092,'CARNET DE SOUDURE'!$M$7:$M$1506,0)),"")))</f>
        <v/>
      </c>
      <c r="J1092" s="78" t="str">
        <f aca="false">IF(B1092="","",IFERROR(INDEX('CARNET DE SOUDURE'!$E$7:$E$1506,MATCH(B1092,'CARNET DE SOUDURE'!$M$7:$M$1506,0)),""))</f>
        <v/>
      </c>
      <c r="K1092" s="78" t="str">
        <f aca="false">IF(B1092="","",IFERROR(INDEX('CARNET DE SOUDURE'!$E$7:$E$1506,MATCH(B1092,'CARNET DE SOUDURE'!$K$7:$K$1506,0)),""))</f>
        <v/>
      </c>
      <c r="L1092" s="78" t="str">
        <f aca="false">IF(B1092="","",IFERROR(INDEX('CARNET DE SOUDURE'!$D$7:$D$1506,MATCH(B1092,'CARNET DE SOUDURE'!$K$7:$K$1506,0)),IFERROR(INDEX('CARNET DE SOUDURE'!$D$7:$D$1506,MATCH(B1092,'CARNET DE SOUDURE'!$M$7:$M$1506,0)),"")))</f>
        <v/>
      </c>
      <c r="M1092" s="81" t="str">
        <f aca="false">IF(B1092="","",IF(OR(J1092&lt;&gt;"",K1092&lt;&gt;""),"POSÉ EN LIGNE",IF(H1092&lt;&gt;"","BARDÉ","EN STOCK")))</f>
        <v/>
      </c>
      <c r="N1092" s="79"/>
    </row>
    <row r="1093" customFormat="false" ht="15" hidden="false" customHeight="false" outlineLevel="0" collapsed="false">
      <c r="A1093" s="78" t="str">
        <f aca="false">IF(B1093="","",ROW()-6)</f>
        <v/>
      </c>
      <c r="B1093" s="90"/>
      <c r="C1093" s="91"/>
      <c r="D1093" s="91"/>
      <c r="E1093" s="80"/>
      <c r="F1093" s="92"/>
      <c r="G1093" s="79"/>
      <c r="H1093" s="82"/>
      <c r="I1093" s="93" t="str">
        <f aca="false">IF(B1093="","",IFERROR(INDEX('CARNET DE SOUDURE'!$B$7:$B$1506,MATCH(B1093,'CARNET DE SOUDURE'!$K$7:$K$1506,0)),IFERROR(INDEX('CARNET DE SOUDURE'!$B$7:$B$1506,MATCH(B1093,'CARNET DE SOUDURE'!$M$7:$M$1506,0)),"")))</f>
        <v/>
      </c>
      <c r="J1093" s="78" t="str">
        <f aca="false">IF(B1093="","",IFERROR(INDEX('CARNET DE SOUDURE'!$E$7:$E$1506,MATCH(B1093,'CARNET DE SOUDURE'!$M$7:$M$1506,0)),""))</f>
        <v/>
      </c>
      <c r="K1093" s="78" t="str">
        <f aca="false">IF(B1093="","",IFERROR(INDEX('CARNET DE SOUDURE'!$E$7:$E$1506,MATCH(B1093,'CARNET DE SOUDURE'!$K$7:$K$1506,0)),""))</f>
        <v/>
      </c>
      <c r="L1093" s="78" t="str">
        <f aca="false">IF(B1093="","",IFERROR(INDEX('CARNET DE SOUDURE'!$D$7:$D$1506,MATCH(B1093,'CARNET DE SOUDURE'!$K$7:$K$1506,0)),IFERROR(INDEX('CARNET DE SOUDURE'!$D$7:$D$1506,MATCH(B1093,'CARNET DE SOUDURE'!$M$7:$M$1506,0)),"")))</f>
        <v/>
      </c>
      <c r="M1093" s="81" t="str">
        <f aca="false">IF(B1093="","",IF(OR(J1093&lt;&gt;"",K1093&lt;&gt;""),"POSÉ EN LIGNE",IF(H1093&lt;&gt;"","BARDÉ","EN STOCK")))</f>
        <v/>
      </c>
      <c r="N1093" s="79"/>
    </row>
    <row r="1094" customFormat="false" ht="15" hidden="false" customHeight="false" outlineLevel="0" collapsed="false">
      <c r="A1094" s="78" t="str">
        <f aca="false">IF(B1094="","",ROW()-6)</f>
        <v/>
      </c>
      <c r="B1094" s="90"/>
      <c r="C1094" s="91"/>
      <c r="D1094" s="91"/>
      <c r="E1094" s="80"/>
      <c r="F1094" s="92"/>
      <c r="G1094" s="79"/>
      <c r="H1094" s="82"/>
      <c r="I1094" s="93" t="str">
        <f aca="false">IF(B1094="","",IFERROR(INDEX('CARNET DE SOUDURE'!$B$7:$B$1506,MATCH(B1094,'CARNET DE SOUDURE'!$K$7:$K$1506,0)),IFERROR(INDEX('CARNET DE SOUDURE'!$B$7:$B$1506,MATCH(B1094,'CARNET DE SOUDURE'!$M$7:$M$1506,0)),"")))</f>
        <v/>
      </c>
      <c r="J1094" s="78" t="str">
        <f aca="false">IF(B1094="","",IFERROR(INDEX('CARNET DE SOUDURE'!$E$7:$E$1506,MATCH(B1094,'CARNET DE SOUDURE'!$M$7:$M$1506,0)),""))</f>
        <v/>
      </c>
      <c r="K1094" s="78" t="str">
        <f aca="false">IF(B1094="","",IFERROR(INDEX('CARNET DE SOUDURE'!$E$7:$E$1506,MATCH(B1094,'CARNET DE SOUDURE'!$K$7:$K$1506,0)),""))</f>
        <v/>
      </c>
      <c r="L1094" s="78" t="str">
        <f aca="false">IF(B1094="","",IFERROR(INDEX('CARNET DE SOUDURE'!$D$7:$D$1506,MATCH(B1094,'CARNET DE SOUDURE'!$K$7:$K$1506,0)),IFERROR(INDEX('CARNET DE SOUDURE'!$D$7:$D$1506,MATCH(B1094,'CARNET DE SOUDURE'!$M$7:$M$1506,0)),"")))</f>
        <v/>
      </c>
      <c r="M1094" s="81" t="str">
        <f aca="false">IF(B1094="","",IF(OR(J1094&lt;&gt;"",K1094&lt;&gt;""),"POSÉ EN LIGNE",IF(H1094&lt;&gt;"","BARDÉ","EN STOCK")))</f>
        <v/>
      </c>
      <c r="N1094" s="79"/>
    </row>
    <row r="1095" customFormat="false" ht="15" hidden="false" customHeight="false" outlineLevel="0" collapsed="false">
      <c r="A1095" s="78" t="str">
        <f aca="false">IF(B1095="","",ROW()-6)</f>
        <v/>
      </c>
      <c r="B1095" s="90"/>
      <c r="C1095" s="91"/>
      <c r="D1095" s="91"/>
      <c r="E1095" s="80"/>
      <c r="F1095" s="92"/>
      <c r="G1095" s="79"/>
      <c r="H1095" s="82"/>
      <c r="I1095" s="93" t="str">
        <f aca="false">IF(B1095="","",IFERROR(INDEX('CARNET DE SOUDURE'!$B$7:$B$1506,MATCH(B1095,'CARNET DE SOUDURE'!$K$7:$K$1506,0)),IFERROR(INDEX('CARNET DE SOUDURE'!$B$7:$B$1506,MATCH(B1095,'CARNET DE SOUDURE'!$M$7:$M$1506,0)),"")))</f>
        <v/>
      </c>
      <c r="J1095" s="78" t="str">
        <f aca="false">IF(B1095="","",IFERROR(INDEX('CARNET DE SOUDURE'!$E$7:$E$1506,MATCH(B1095,'CARNET DE SOUDURE'!$M$7:$M$1506,0)),""))</f>
        <v/>
      </c>
      <c r="K1095" s="78" t="str">
        <f aca="false">IF(B1095="","",IFERROR(INDEX('CARNET DE SOUDURE'!$E$7:$E$1506,MATCH(B1095,'CARNET DE SOUDURE'!$K$7:$K$1506,0)),""))</f>
        <v/>
      </c>
      <c r="L1095" s="78" t="str">
        <f aca="false">IF(B1095="","",IFERROR(INDEX('CARNET DE SOUDURE'!$D$7:$D$1506,MATCH(B1095,'CARNET DE SOUDURE'!$K$7:$K$1506,0)),IFERROR(INDEX('CARNET DE SOUDURE'!$D$7:$D$1506,MATCH(B1095,'CARNET DE SOUDURE'!$M$7:$M$1506,0)),"")))</f>
        <v/>
      </c>
      <c r="M1095" s="81" t="str">
        <f aca="false">IF(B1095="","",IF(OR(J1095&lt;&gt;"",K1095&lt;&gt;""),"POSÉ EN LIGNE",IF(H1095&lt;&gt;"","BARDÉ","EN STOCK")))</f>
        <v/>
      </c>
      <c r="N1095" s="79"/>
    </row>
    <row r="1096" customFormat="false" ht="15" hidden="false" customHeight="false" outlineLevel="0" collapsed="false">
      <c r="A1096" s="78" t="str">
        <f aca="false">IF(B1096="","",ROW()-6)</f>
        <v/>
      </c>
      <c r="B1096" s="90"/>
      <c r="C1096" s="91"/>
      <c r="D1096" s="91"/>
      <c r="E1096" s="80"/>
      <c r="F1096" s="92"/>
      <c r="G1096" s="79"/>
      <c r="H1096" s="82"/>
      <c r="I1096" s="93" t="str">
        <f aca="false">IF(B1096="","",IFERROR(INDEX('CARNET DE SOUDURE'!$B$7:$B$1506,MATCH(B1096,'CARNET DE SOUDURE'!$K$7:$K$1506,0)),IFERROR(INDEX('CARNET DE SOUDURE'!$B$7:$B$1506,MATCH(B1096,'CARNET DE SOUDURE'!$M$7:$M$1506,0)),"")))</f>
        <v/>
      </c>
      <c r="J1096" s="78" t="str">
        <f aca="false">IF(B1096="","",IFERROR(INDEX('CARNET DE SOUDURE'!$E$7:$E$1506,MATCH(B1096,'CARNET DE SOUDURE'!$M$7:$M$1506,0)),""))</f>
        <v/>
      </c>
      <c r="K1096" s="78" t="str">
        <f aca="false">IF(B1096="","",IFERROR(INDEX('CARNET DE SOUDURE'!$E$7:$E$1506,MATCH(B1096,'CARNET DE SOUDURE'!$K$7:$K$1506,0)),""))</f>
        <v/>
      </c>
      <c r="L1096" s="78" t="str">
        <f aca="false">IF(B1096="","",IFERROR(INDEX('CARNET DE SOUDURE'!$D$7:$D$1506,MATCH(B1096,'CARNET DE SOUDURE'!$K$7:$K$1506,0)),IFERROR(INDEX('CARNET DE SOUDURE'!$D$7:$D$1506,MATCH(B1096,'CARNET DE SOUDURE'!$M$7:$M$1506,0)),"")))</f>
        <v/>
      </c>
      <c r="M1096" s="81" t="str">
        <f aca="false">IF(B1096="","",IF(OR(J1096&lt;&gt;"",K1096&lt;&gt;""),"POSÉ EN LIGNE",IF(H1096&lt;&gt;"","BARDÉ","EN STOCK")))</f>
        <v/>
      </c>
      <c r="N1096" s="79"/>
    </row>
    <row r="1097" customFormat="false" ht="15" hidden="false" customHeight="false" outlineLevel="0" collapsed="false">
      <c r="A1097" s="78" t="str">
        <f aca="false">IF(B1097="","",ROW()-6)</f>
        <v/>
      </c>
      <c r="B1097" s="90"/>
      <c r="C1097" s="91"/>
      <c r="D1097" s="91"/>
      <c r="E1097" s="80"/>
      <c r="F1097" s="92"/>
      <c r="G1097" s="79"/>
      <c r="H1097" s="82"/>
      <c r="I1097" s="93" t="str">
        <f aca="false">IF(B1097="","",IFERROR(INDEX('CARNET DE SOUDURE'!$B$7:$B$1506,MATCH(B1097,'CARNET DE SOUDURE'!$K$7:$K$1506,0)),IFERROR(INDEX('CARNET DE SOUDURE'!$B$7:$B$1506,MATCH(B1097,'CARNET DE SOUDURE'!$M$7:$M$1506,0)),"")))</f>
        <v/>
      </c>
      <c r="J1097" s="78" t="str">
        <f aca="false">IF(B1097="","",IFERROR(INDEX('CARNET DE SOUDURE'!$E$7:$E$1506,MATCH(B1097,'CARNET DE SOUDURE'!$M$7:$M$1506,0)),""))</f>
        <v/>
      </c>
      <c r="K1097" s="78" t="str">
        <f aca="false">IF(B1097="","",IFERROR(INDEX('CARNET DE SOUDURE'!$E$7:$E$1506,MATCH(B1097,'CARNET DE SOUDURE'!$K$7:$K$1506,0)),""))</f>
        <v/>
      </c>
      <c r="L1097" s="78" t="str">
        <f aca="false">IF(B1097="","",IFERROR(INDEX('CARNET DE SOUDURE'!$D$7:$D$1506,MATCH(B1097,'CARNET DE SOUDURE'!$K$7:$K$1506,0)),IFERROR(INDEX('CARNET DE SOUDURE'!$D$7:$D$1506,MATCH(B1097,'CARNET DE SOUDURE'!$M$7:$M$1506,0)),"")))</f>
        <v/>
      </c>
      <c r="M1097" s="81" t="str">
        <f aca="false">IF(B1097="","",IF(OR(J1097&lt;&gt;"",K1097&lt;&gt;""),"POSÉ EN LIGNE",IF(H1097&lt;&gt;"","BARDÉ","EN STOCK")))</f>
        <v/>
      </c>
      <c r="N1097" s="79"/>
    </row>
    <row r="1098" customFormat="false" ht="15" hidden="false" customHeight="false" outlineLevel="0" collapsed="false">
      <c r="A1098" s="78" t="str">
        <f aca="false">IF(B1098="","",ROW()-6)</f>
        <v/>
      </c>
      <c r="B1098" s="90"/>
      <c r="C1098" s="91"/>
      <c r="D1098" s="91"/>
      <c r="E1098" s="80"/>
      <c r="F1098" s="92"/>
      <c r="G1098" s="79"/>
      <c r="H1098" s="82"/>
      <c r="I1098" s="93" t="str">
        <f aca="false">IF(B1098="","",IFERROR(INDEX('CARNET DE SOUDURE'!$B$7:$B$1506,MATCH(B1098,'CARNET DE SOUDURE'!$K$7:$K$1506,0)),IFERROR(INDEX('CARNET DE SOUDURE'!$B$7:$B$1506,MATCH(B1098,'CARNET DE SOUDURE'!$M$7:$M$1506,0)),"")))</f>
        <v/>
      </c>
      <c r="J1098" s="78" t="str">
        <f aca="false">IF(B1098="","",IFERROR(INDEX('CARNET DE SOUDURE'!$E$7:$E$1506,MATCH(B1098,'CARNET DE SOUDURE'!$M$7:$M$1506,0)),""))</f>
        <v/>
      </c>
      <c r="K1098" s="78" t="str">
        <f aca="false">IF(B1098="","",IFERROR(INDEX('CARNET DE SOUDURE'!$E$7:$E$1506,MATCH(B1098,'CARNET DE SOUDURE'!$K$7:$K$1506,0)),""))</f>
        <v/>
      </c>
      <c r="L1098" s="78" t="str">
        <f aca="false">IF(B1098="","",IFERROR(INDEX('CARNET DE SOUDURE'!$D$7:$D$1506,MATCH(B1098,'CARNET DE SOUDURE'!$K$7:$K$1506,0)),IFERROR(INDEX('CARNET DE SOUDURE'!$D$7:$D$1506,MATCH(B1098,'CARNET DE SOUDURE'!$M$7:$M$1506,0)),"")))</f>
        <v/>
      </c>
      <c r="M1098" s="81" t="str">
        <f aca="false">IF(B1098="","",IF(OR(J1098&lt;&gt;"",K1098&lt;&gt;""),"POSÉ EN LIGNE",IF(H1098&lt;&gt;"","BARDÉ","EN STOCK")))</f>
        <v/>
      </c>
      <c r="N1098" s="79"/>
    </row>
    <row r="1099" customFormat="false" ht="15" hidden="false" customHeight="false" outlineLevel="0" collapsed="false">
      <c r="A1099" s="78" t="str">
        <f aca="false">IF(B1099="","",ROW()-6)</f>
        <v/>
      </c>
      <c r="B1099" s="90"/>
      <c r="C1099" s="91"/>
      <c r="D1099" s="91"/>
      <c r="E1099" s="80"/>
      <c r="F1099" s="92"/>
      <c r="G1099" s="79"/>
      <c r="H1099" s="82"/>
      <c r="I1099" s="93" t="str">
        <f aca="false">IF(B1099="","",IFERROR(INDEX('CARNET DE SOUDURE'!$B$7:$B$1506,MATCH(B1099,'CARNET DE SOUDURE'!$K$7:$K$1506,0)),IFERROR(INDEX('CARNET DE SOUDURE'!$B$7:$B$1506,MATCH(B1099,'CARNET DE SOUDURE'!$M$7:$M$1506,0)),"")))</f>
        <v/>
      </c>
      <c r="J1099" s="78" t="str">
        <f aca="false">IF(B1099="","",IFERROR(INDEX('CARNET DE SOUDURE'!$E$7:$E$1506,MATCH(B1099,'CARNET DE SOUDURE'!$M$7:$M$1506,0)),""))</f>
        <v/>
      </c>
      <c r="K1099" s="78" t="str">
        <f aca="false">IF(B1099="","",IFERROR(INDEX('CARNET DE SOUDURE'!$E$7:$E$1506,MATCH(B1099,'CARNET DE SOUDURE'!$K$7:$K$1506,0)),""))</f>
        <v/>
      </c>
      <c r="L1099" s="78" t="str">
        <f aca="false">IF(B1099="","",IFERROR(INDEX('CARNET DE SOUDURE'!$D$7:$D$1506,MATCH(B1099,'CARNET DE SOUDURE'!$K$7:$K$1506,0)),IFERROR(INDEX('CARNET DE SOUDURE'!$D$7:$D$1506,MATCH(B1099,'CARNET DE SOUDURE'!$M$7:$M$1506,0)),"")))</f>
        <v/>
      </c>
      <c r="M1099" s="81" t="str">
        <f aca="false">IF(B1099="","",IF(OR(J1099&lt;&gt;"",K1099&lt;&gt;""),"POSÉ EN LIGNE",IF(H1099&lt;&gt;"","BARDÉ","EN STOCK")))</f>
        <v/>
      </c>
      <c r="N1099" s="79"/>
    </row>
    <row r="1100" customFormat="false" ht="15" hidden="false" customHeight="false" outlineLevel="0" collapsed="false">
      <c r="A1100" s="78" t="str">
        <f aca="false">IF(B1100="","",ROW()-6)</f>
        <v/>
      </c>
      <c r="B1100" s="90"/>
      <c r="C1100" s="91"/>
      <c r="D1100" s="91"/>
      <c r="E1100" s="80"/>
      <c r="F1100" s="92"/>
      <c r="G1100" s="79"/>
      <c r="H1100" s="82"/>
      <c r="I1100" s="93" t="str">
        <f aca="false">IF(B1100="","",IFERROR(INDEX('CARNET DE SOUDURE'!$B$7:$B$1506,MATCH(B1100,'CARNET DE SOUDURE'!$K$7:$K$1506,0)),IFERROR(INDEX('CARNET DE SOUDURE'!$B$7:$B$1506,MATCH(B1100,'CARNET DE SOUDURE'!$M$7:$M$1506,0)),"")))</f>
        <v/>
      </c>
      <c r="J1100" s="78" t="str">
        <f aca="false">IF(B1100="","",IFERROR(INDEX('CARNET DE SOUDURE'!$E$7:$E$1506,MATCH(B1100,'CARNET DE SOUDURE'!$M$7:$M$1506,0)),""))</f>
        <v/>
      </c>
      <c r="K1100" s="78" t="str">
        <f aca="false">IF(B1100="","",IFERROR(INDEX('CARNET DE SOUDURE'!$E$7:$E$1506,MATCH(B1100,'CARNET DE SOUDURE'!$K$7:$K$1506,0)),""))</f>
        <v/>
      </c>
      <c r="L1100" s="78" t="str">
        <f aca="false">IF(B1100="","",IFERROR(INDEX('CARNET DE SOUDURE'!$D$7:$D$1506,MATCH(B1100,'CARNET DE SOUDURE'!$K$7:$K$1506,0)),IFERROR(INDEX('CARNET DE SOUDURE'!$D$7:$D$1506,MATCH(B1100,'CARNET DE SOUDURE'!$M$7:$M$1506,0)),"")))</f>
        <v/>
      </c>
      <c r="M1100" s="81" t="str">
        <f aca="false">IF(B1100="","",IF(OR(J1100&lt;&gt;"",K1100&lt;&gt;""),"POSÉ EN LIGNE",IF(H1100&lt;&gt;"","BARDÉ","EN STOCK")))</f>
        <v/>
      </c>
      <c r="N1100" s="79"/>
    </row>
    <row r="1101" customFormat="false" ht="15" hidden="false" customHeight="false" outlineLevel="0" collapsed="false">
      <c r="A1101" s="78" t="str">
        <f aca="false">IF(B1101="","",ROW()-6)</f>
        <v/>
      </c>
      <c r="B1101" s="90"/>
      <c r="C1101" s="91"/>
      <c r="D1101" s="91"/>
      <c r="E1101" s="80"/>
      <c r="F1101" s="92"/>
      <c r="G1101" s="79"/>
      <c r="H1101" s="82"/>
      <c r="I1101" s="93" t="str">
        <f aca="false">IF(B1101="","",IFERROR(INDEX('CARNET DE SOUDURE'!$B$7:$B$1506,MATCH(B1101,'CARNET DE SOUDURE'!$K$7:$K$1506,0)),IFERROR(INDEX('CARNET DE SOUDURE'!$B$7:$B$1506,MATCH(B1101,'CARNET DE SOUDURE'!$M$7:$M$1506,0)),"")))</f>
        <v/>
      </c>
      <c r="J1101" s="78" t="str">
        <f aca="false">IF(B1101="","",IFERROR(INDEX('CARNET DE SOUDURE'!$E$7:$E$1506,MATCH(B1101,'CARNET DE SOUDURE'!$M$7:$M$1506,0)),""))</f>
        <v/>
      </c>
      <c r="K1101" s="78" t="str">
        <f aca="false">IF(B1101="","",IFERROR(INDEX('CARNET DE SOUDURE'!$E$7:$E$1506,MATCH(B1101,'CARNET DE SOUDURE'!$K$7:$K$1506,0)),""))</f>
        <v/>
      </c>
      <c r="L1101" s="78" t="str">
        <f aca="false">IF(B1101="","",IFERROR(INDEX('CARNET DE SOUDURE'!$D$7:$D$1506,MATCH(B1101,'CARNET DE SOUDURE'!$K$7:$K$1506,0)),IFERROR(INDEX('CARNET DE SOUDURE'!$D$7:$D$1506,MATCH(B1101,'CARNET DE SOUDURE'!$M$7:$M$1506,0)),"")))</f>
        <v/>
      </c>
      <c r="M1101" s="81" t="str">
        <f aca="false">IF(B1101="","",IF(OR(J1101&lt;&gt;"",K1101&lt;&gt;""),"POSÉ EN LIGNE",IF(H1101&lt;&gt;"","BARDÉ","EN STOCK")))</f>
        <v/>
      </c>
      <c r="N1101" s="79"/>
    </row>
    <row r="1102" customFormat="false" ht="15" hidden="false" customHeight="false" outlineLevel="0" collapsed="false">
      <c r="A1102" s="78" t="str">
        <f aca="false">IF(B1102="","",ROW()-6)</f>
        <v/>
      </c>
      <c r="B1102" s="90"/>
      <c r="C1102" s="91"/>
      <c r="D1102" s="91"/>
      <c r="E1102" s="80"/>
      <c r="F1102" s="92"/>
      <c r="G1102" s="79"/>
      <c r="H1102" s="82"/>
      <c r="I1102" s="93" t="str">
        <f aca="false">IF(B1102="","",IFERROR(INDEX('CARNET DE SOUDURE'!$B$7:$B$1506,MATCH(B1102,'CARNET DE SOUDURE'!$K$7:$K$1506,0)),IFERROR(INDEX('CARNET DE SOUDURE'!$B$7:$B$1506,MATCH(B1102,'CARNET DE SOUDURE'!$M$7:$M$1506,0)),"")))</f>
        <v/>
      </c>
      <c r="J1102" s="78" t="str">
        <f aca="false">IF(B1102="","",IFERROR(INDEX('CARNET DE SOUDURE'!$E$7:$E$1506,MATCH(B1102,'CARNET DE SOUDURE'!$M$7:$M$1506,0)),""))</f>
        <v/>
      </c>
      <c r="K1102" s="78" t="str">
        <f aca="false">IF(B1102="","",IFERROR(INDEX('CARNET DE SOUDURE'!$E$7:$E$1506,MATCH(B1102,'CARNET DE SOUDURE'!$K$7:$K$1506,0)),""))</f>
        <v/>
      </c>
      <c r="L1102" s="78" t="str">
        <f aca="false">IF(B1102="","",IFERROR(INDEX('CARNET DE SOUDURE'!$D$7:$D$1506,MATCH(B1102,'CARNET DE SOUDURE'!$K$7:$K$1506,0)),IFERROR(INDEX('CARNET DE SOUDURE'!$D$7:$D$1506,MATCH(B1102,'CARNET DE SOUDURE'!$M$7:$M$1506,0)),"")))</f>
        <v/>
      </c>
      <c r="M1102" s="81" t="str">
        <f aca="false">IF(B1102="","",IF(OR(J1102&lt;&gt;"",K1102&lt;&gt;""),"POSÉ EN LIGNE",IF(H1102&lt;&gt;"","BARDÉ","EN STOCK")))</f>
        <v/>
      </c>
      <c r="N1102" s="79"/>
    </row>
    <row r="1103" customFormat="false" ht="15" hidden="false" customHeight="false" outlineLevel="0" collapsed="false">
      <c r="A1103" s="78" t="str">
        <f aca="false">IF(B1103="","",ROW()-6)</f>
        <v/>
      </c>
      <c r="B1103" s="90"/>
      <c r="C1103" s="91"/>
      <c r="D1103" s="91"/>
      <c r="E1103" s="80"/>
      <c r="F1103" s="92"/>
      <c r="G1103" s="79"/>
      <c r="H1103" s="82"/>
      <c r="I1103" s="93" t="str">
        <f aca="false">IF(B1103="","",IFERROR(INDEX('CARNET DE SOUDURE'!$B$7:$B$1506,MATCH(B1103,'CARNET DE SOUDURE'!$K$7:$K$1506,0)),IFERROR(INDEX('CARNET DE SOUDURE'!$B$7:$B$1506,MATCH(B1103,'CARNET DE SOUDURE'!$M$7:$M$1506,0)),"")))</f>
        <v/>
      </c>
      <c r="J1103" s="78" t="str">
        <f aca="false">IF(B1103="","",IFERROR(INDEX('CARNET DE SOUDURE'!$E$7:$E$1506,MATCH(B1103,'CARNET DE SOUDURE'!$M$7:$M$1506,0)),""))</f>
        <v/>
      </c>
      <c r="K1103" s="78" t="str">
        <f aca="false">IF(B1103="","",IFERROR(INDEX('CARNET DE SOUDURE'!$E$7:$E$1506,MATCH(B1103,'CARNET DE SOUDURE'!$K$7:$K$1506,0)),""))</f>
        <v/>
      </c>
      <c r="L1103" s="78" t="str">
        <f aca="false">IF(B1103="","",IFERROR(INDEX('CARNET DE SOUDURE'!$D$7:$D$1506,MATCH(B1103,'CARNET DE SOUDURE'!$K$7:$K$1506,0)),IFERROR(INDEX('CARNET DE SOUDURE'!$D$7:$D$1506,MATCH(B1103,'CARNET DE SOUDURE'!$M$7:$M$1506,0)),"")))</f>
        <v/>
      </c>
      <c r="M1103" s="81" t="str">
        <f aca="false">IF(B1103="","",IF(OR(J1103&lt;&gt;"",K1103&lt;&gt;""),"POSÉ EN LIGNE",IF(H1103&lt;&gt;"","BARDÉ","EN STOCK")))</f>
        <v/>
      </c>
      <c r="N1103" s="79"/>
    </row>
    <row r="1104" customFormat="false" ht="15" hidden="false" customHeight="false" outlineLevel="0" collapsed="false">
      <c r="A1104" s="78" t="str">
        <f aca="false">IF(B1104="","",ROW()-6)</f>
        <v/>
      </c>
      <c r="B1104" s="90"/>
      <c r="C1104" s="91"/>
      <c r="D1104" s="91"/>
      <c r="E1104" s="80"/>
      <c r="F1104" s="92"/>
      <c r="G1104" s="79"/>
      <c r="H1104" s="82"/>
      <c r="I1104" s="93" t="str">
        <f aca="false">IF(B1104="","",IFERROR(INDEX('CARNET DE SOUDURE'!$B$7:$B$1506,MATCH(B1104,'CARNET DE SOUDURE'!$K$7:$K$1506,0)),IFERROR(INDEX('CARNET DE SOUDURE'!$B$7:$B$1506,MATCH(B1104,'CARNET DE SOUDURE'!$M$7:$M$1506,0)),"")))</f>
        <v/>
      </c>
      <c r="J1104" s="78" t="str">
        <f aca="false">IF(B1104="","",IFERROR(INDEX('CARNET DE SOUDURE'!$E$7:$E$1506,MATCH(B1104,'CARNET DE SOUDURE'!$M$7:$M$1506,0)),""))</f>
        <v/>
      </c>
      <c r="K1104" s="78" t="str">
        <f aca="false">IF(B1104="","",IFERROR(INDEX('CARNET DE SOUDURE'!$E$7:$E$1506,MATCH(B1104,'CARNET DE SOUDURE'!$K$7:$K$1506,0)),""))</f>
        <v/>
      </c>
      <c r="L1104" s="78" t="str">
        <f aca="false">IF(B1104="","",IFERROR(INDEX('CARNET DE SOUDURE'!$D$7:$D$1506,MATCH(B1104,'CARNET DE SOUDURE'!$K$7:$K$1506,0)),IFERROR(INDEX('CARNET DE SOUDURE'!$D$7:$D$1506,MATCH(B1104,'CARNET DE SOUDURE'!$M$7:$M$1506,0)),"")))</f>
        <v/>
      </c>
      <c r="M1104" s="81" t="str">
        <f aca="false">IF(B1104="","",IF(OR(J1104&lt;&gt;"",K1104&lt;&gt;""),"POSÉ EN LIGNE",IF(H1104&lt;&gt;"","BARDÉ","EN STOCK")))</f>
        <v/>
      </c>
      <c r="N1104" s="79"/>
    </row>
    <row r="1105" customFormat="false" ht="15" hidden="false" customHeight="false" outlineLevel="0" collapsed="false">
      <c r="A1105" s="78" t="str">
        <f aca="false">IF(B1105="","",ROW()-6)</f>
        <v/>
      </c>
      <c r="B1105" s="90"/>
      <c r="C1105" s="91"/>
      <c r="D1105" s="91"/>
      <c r="E1105" s="80"/>
      <c r="F1105" s="92"/>
      <c r="G1105" s="79"/>
      <c r="H1105" s="82"/>
      <c r="I1105" s="93" t="str">
        <f aca="false">IF(B1105="","",IFERROR(INDEX('CARNET DE SOUDURE'!$B$7:$B$1506,MATCH(B1105,'CARNET DE SOUDURE'!$K$7:$K$1506,0)),IFERROR(INDEX('CARNET DE SOUDURE'!$B$7:$B$1506,MATCH(B1105,'CARNET DE SOUDURE'!$M$7:$M$1506,0)),"")))</f>
        <v/>
      </c>
      <c r="J1105" s="78" t="str">
        <f aca="false">IF(B1105="","",IFERROR(INDEX('CARNET DE SOUDURE'!$E$7:$E$1506,MATCH(B1105,'CARNET DE SOUDURE'!$M$7:$M$1506,0)),""))</f>
        <v/>
      </c>
      <c r="K1105" s="78" t="str">
        <f aca="false">IF(B1105="","",IFERROR(INDEX('CARNET DE SOUDURE'!$E$7:$E$1506,MATCH(B1105,'CARNET DE SOUDURE'!$K$7:$K$1506,0)),""))</f>
        <v/>
      </c>
      <c r="L1105" s="78" t="str">
        <f aca="false">IF(B1105="","",IFERROR(INDEX('CARNET DE SOUDURE'!$D$7:$D$1506,MATCH(B1105,'CARNET DE SOUDURE'!$K$7:$K$1506,0)),IFERROR(INDEX('CARNET DE SOUDURE'!$D$7:$D$1506,MATCH(B1105,'CARNET DE SOUDURE'!$M$7:$M$1506,0)),"")))</f>
        <v/>
      </c>
      <c r="M1105" s="81" t="str">
        <f aca="false">IF(B1105="","",IF(OR(J1105&lt;&gt;"",K1105&lt;&gt;""),"POSÉ EN LIGNE",IF(H1105&lt;&gt;"","BARDÉ","EN STOCK")))</f>
        <v/>
      </c>
      <c r="N1105" s="79"/>
    </row>
    <row r="1106" customFormat="false" ht="15" hidden="false" customHeight="false" outlineLevel="0" collapsed="false">
      <c r="A1106" s="78" t="str">
        <f aca="false">IF(B1106="","",ROW()-6)</f>
        <v/>
      </c>
      <c r="B1106" s="90"/>
      <c r="C1106" s="91"/>
      <c r="D1106" s="91"/>
      <c r="E1106" s="80"/>
      <c r="F1106" s="92"/>
      <c r="G1106" s="79"/>
      <c r="H1106" s="82"/>
      <c r="I1106" s="93" t="str">
        <f aca="false">IF(B1106="","",IFERROR(INDEX('CARNET DE SOUDURE'!$B$7:$B$1506,MATCH(B1106,'CARNET DE SOUDURE'!$K$7:$K$1506,0)),IFERROR(INDEX('CARNET DE SOUDURE'!$B$7:$B$1506,MATCH(B1106,'CARNET DE SOUDURE'!$M$7:$M$1506,0)),"")))</f>
        <v/>
      </c>
      <c r="J1106" s="78" t="str">
        <f aca="false">IF(B1106="","",IFERROR(INDEX('CARNET DE SOUDURE'!$E$7:$E$1506,MATCH(B1106,'CARNET DE SOUDURE'!$M$7:$M$1506,0)),""))</f>
        <v/>
      </c>
      <c r="K1106" s="78" t="str">
        <f aca="false">IF(B1106="","",IFERROR(INDEX('CARNET DE SOUDURE'!$E$7:$E$1506,MATCH(B1106,'CARNET DE SOUDURE'!$K$7:$K$1506,0)),""))</f>
        <v/>
      </c>
      <c r="L1106" s="78" t="str">
        <f aca="false">IF(B1106="","",IFERROR(INDEX('CARNET DE SOUDURE'!$D$7:$D$1506,MATCH(B1106,'CARNET DE SOUDURE'!$K$7:$K$1506,0)),IFERROR(INDEX('CARNET DE SOUDURE'!$D$7:$D$1506,MATCH(B1106,'CARNET DE SOUDURE'!$M$7:$M$1506,0)),"")))</f>
        <v/>
      </c>
      <c r="M1106" s="81" t="str">
        <f aca="false">IF(B1106="","",IF(OR(J1106&lt;&gt;"",K1106&lt;&gt;""),"POSÉ EN LIGNE",IF(H1106&lt;&gt;"","BARDÉ","EN STOCK")))</f>
        <v/>
      </c>
      <c r="N1106" s="79"/>
    </row>
    <row r="1107" customFormat="false" ht="15" hidden="false" customHeight="false" outlineLevel="0" collapsed="false">
      <c r="A1107" s="78" t="str">
        <f aca="false">IF(B1107="","",ROW()-6)</f>
        <v/>
      </c>
      <c r="B1107" s="90"/>
      <c r="C1107" s="91"/>
      <c r="D1107" s="91"/>
      <c r="E1107" s="80"/>
      <c r="F1107" s="92"/>
      <c r="G1107" s="79"/>
      <c r="H1107" s="82"/>
      <c r="I1107" s="93" t="str">
        <f aca="false">IF(B1107="","",IFERROR(INDEX('CARNET DE SOUDURE'!$B$7:$B$1506,MATCH(B1107,'CARNET DE SOUDURE'!$K$7:$K$1506,0)),IFERROR(INDEX('CARNET DE SOUDURE'!$B$7:$B$1506,MATCH(B1107,'CARNET DE SOUDURE'!$M$7:$M$1506,0)),"")))</f>
        <v/>
      </c>
      <c r="J1107" s="78" t="str">
        <f aca="false">IF(B1107="","",IFERROR(INDEX('CARNET DE SOUDURE'!$E$7:$E$1506,MATCH(B1107,'CARNET DE SOUDURE'!$M$7:$M$1506,0)),""))</f>
        <v/>
      </c>
      <c r="K1107" s="78" t="str">
        <f aca="false">IF(B1107="","",IFERROR(INDEX('CARNET DE SOUDURE'!$E$7:$E$1506,MATCH(B1107,'CARNET DE SOUDURE'!$K$7:$K$1506,0)),""))</f>
        <v/>
      </c>
      <c r="L1107" s="78" t="str">
        <f aca="false">IF(B1107="","",IFERROR(INDEX('CARNET DE SOUDURE'!$D$7:$D$1506,MATCH(B1107,'CARNET DE SOUDURE'!$K$7:$K$1506,0)),IFERROR(INDEX('CARNET DE SOUDURE'!$D$7:$D$1506,MATCH(B1107,'CARNET DE SOUDURE'!$M$7:$M$1506,0)),"")))</f>
        <v/>
      </c>
      <c r="M1107" s="81" t="str">
        <f aca="false">IF(B1107="","",IF(OR(J1107&lt;&gt;"",K1107&lt;&gt;""),"POSÉ EN LIGNE",IF(H1107&lt;&gt;"","BARDÉ","EN STOCK")))</f>
        <v/>
      </c>
      <c r="N1107" s="79"/>
    </row>
    <row r="1108" customFormat="false" ht="15" hidden="false" customHeight="false" outlineLevel="0" collapsed="false">
      <c r="A1108" s="78" t="str">
        <f aca="false">IF(B1108="","",ROW()-6)</f>
        <v/>
      </c>
      <c r="B1108" s="90"/>
      <c r="C1108" s="91"/>
      <c r="D1108" s="91"/>
      <c r="E1108" s="80"/>
      <c r="F1108" s="92"/>
      <c r="G1108" s="79"/>
      <c r="H1108" s="82"/>
      <c r="I1108" s="93" t="str">
        <f aca="false">IF(B1108="","",IFERROR(INDEX('CARNET DE SOUDURE'!$B$7:$B$1506,MATCH(B1108,'CARNET DE SOUDURE'!$K$7:$K$1506,0)),IFERROR(INDEX('CARNET DE SOUDURE'!$B$7:$B$1506,MATCH(B1108,'CARNET DE SOUDURE'!$M$7:$M$1506,0)),"")))</f>
        <v/>
      </c>
      <c r="J1108" s="78" t="str">
        <f aca="false">IF(B1108="","",IFERROR(INDEX('CARNET DE SOUDURE'!$E$7:$E$1506,MATCH(B1108,'CARNET DE SOUDURE'!$M$7:$M$1506,0)),""))</f>
        <v/>
      </c>
      <c r="K1108" s="78" t="str">
        <f aca="false">IF(B1108="","",IFERROR(INDEX('CARNET DE SOUDURE'!$E$7:$E$1506,MATCH(B1108,'CARNET DE SOUDURE'!$K$7:$K$1506,0)),""))</f>
        <v/>
      </c>
      <c r="L1108" s="78" t="str">
        <f aca="false">IF(B1108="","",IFERROR(INDEX('CARNET DE SOUDURE'!$D$7:$D$1506,MATCH(B1108,'CARNET DE SOUDURE'!$K$7:$K$1506,0)),IFERROR(INDEX('CARNET DE SOUDURE'!$D$7:$D$1506,MATCH(B1108,'CARNET DE SOUDURE'!$M$7:$M$1506,0)),"")))</f>
        <v/>
      </c>
      <c r="M1108" s="81" t="str">
        <f aca="false">IF(B1108="","",IF(OR(J1108&lt;&gt;"",K1108&lt;&gt;""),"POSÉ EN LIGNE",IF(H1108&lt;&gt;"","BARDÉ","EN STOCK")))</f>
        <v/>
      </c>
      <c r="N1108" s="79"/>
    </row>
    <row r="1109" customFormat="false" ht="15" hidden="false" customHeight="false" outlineLevel="0" collapsed="false">
      <c r="A1109" s="78" t="str">
        <f aca="false">IF(B1109="","",ROW()-6)</f>
        <v/>
      </c>
      <c r="B1109" s="90"/>
      <c r="C1109" s="91"/>
      <c r="D1109" s="91"/>
      <c r="E1109" s="80"/>
      <c r="F1109" s="92"/>
      <c r="G1109" s="79"/>
      <c r="H1109" s="82"/>
      <c r="I1109" s="93" t="str">
        <f aca="false">IF(B1109="","",IFERROR(INDEX('CARNET DE SOUDURE'!$B$7:$B$1506,MATCH(B1109,'CARNET DE SOUDURE'!$K$7:$K$1506,0)),IFERROR(INDEX('CARNET DE SOUDURE'!$B$7:$B$1506,MATCH(B1109,'CARNET DE SOUDURE'!$M$7:$M$1506,0)),"")))</f>
        <v/>
      </c>
      <c r="J1109" s="78" t="str">
        <f aca="false">IF(B1109="","",IFERROR(INDEX('CARNET DE SOUDURE'!$E$7:$E$1506,MATCH(B1109,'CARNET DE SOUDURE'!$M$7:$M$1506,0)),""))</f>
        <v/>
      </c>
      <c r="K1109" s="78" t="str">
        <f aca="false">IF(B1109="","",IFERROR(INDEX('CARNET DE SOUDURE'!$E$7:$E$1506,MATCH(B1109,'CARNET DE SOUDURE'!$K$7:$K$1506,0)),""))</f>
        <v/>
      </c>
      <c r="L1109" s="78" t="str">
        <f aca="false">IF(B1109="","",IFERROR(INDEX('CARNET DE SOUDURE'!$D$7:$D$1506,MATCH(B1109,'CARNET DE SOUDURE'!$K$7:$K$1506,0)),IFERROR(INDEX('CARNET DE SOUDURE'!$D$7:$D$1506,MATCH(B1109,'CARNET DE SOUDURE'!$M$7:$M$1506,0)),"")))</f>
        <v/>
      </c>
      <c r="M1109" s="81" t="str">
        <f aca="false">IF(B1109="","",IF(OR(J1109&lt;&gt;"",K1109&lt;&gt;""),"POSÉ EN LIGNE",IF(H1109&lt;&gt;"","BARDÉ","EN STOCK")))</f>
        <v/>
      </c>
      <c r="N1109" s="79"/>
    </row>
    <row r="1110" customFormat="false" ht="15" hidden="false" customHeight="false" outlineLevel="0" collapsed="false">
      <c r="A1110" s="78" t="str">
        <f aca="false">IF(B1110="","",ROW()-6)</f>
        <v/>
      </c>
      <c r="B1110" s="90"/>
      <c r="C1110" s="91"/>
      <c r="D1110" s="91"/>
      <c r="E1110" s="80"/>
      <c r="F1110" s="92"/>
      <c r="G1110" s="79"/>
      <c r="H1110" s="82"/>
      <c r="I1110" s="93" t="str">
        <f aca="false">IF(B1110="","",IFERROR(INDEX('CARNET DE SOUDURE'!$B$7:$B$1506,MATCH(B1110,'CARNET DE SOUDURE'!$K$7:$K$1506,0)),IFERROR(INDEX('CARNET DE SOUDURE'!$B$7:$B$1506,MATCH(B1110,'CARNET DE SOUDURE'!$M$7:$M$1506,0)),"")))</f>
        <v/>
      </c>
      <c r="J1110" s="78" t="str">
        <f aca="false">IF(B1110="","",IFERROR(INDEX('CARNET DE SOUDURE'!$E$7:$E$1506,MATCH(B1110,'CARNET DE SOUDURE'!$M$7:$M$1506,0)),""))</f>
        <v/>
      </c>
      <c r="K1110" s="78" t="str">
        <f aca="false">IF(B1110="","",IFERROR(INDEX('CARNET DE SOUDURE'!$E$7:$E$1506,MATCH(B1110,'CARNET DE SOUDURE'!$K$7:$K$1506,0)),""))</f>
        <v/>
      </c>
      <c r="L1110" s="78" t="str">
        <f aca="false">IF(B1110="","",IFERROR(INDEX('CARNET DE SOUDURE'!$D$7:$D$1506,MATCH(B1110,'CARNET DE SOUDURE'!$K$7:$K$1506,0)),IFERROR(INDEX('CARNET DE SOUDURE'!$D$7:$D$1506,MATCH(B1110,'CARNET DE SOUDURE'!$M$7:$M$1506,0)),"")))</f>
        <v/>
      </c>
      <c r="M1110" s="81" t="str">
        <f aca="false">IF(B1110="","",IF(OR(J1110&lt;&gt;"",K1110&lt;&gt;""),"POSÉ EN LIGNE",IF(H1110&lt;&gt;"","BARDÉ","EN STOCK")))</f>
        <v/>
      </c>
      <c r="N1110" s="79"/>
    </row>
    <row r="1111" customFormat="false" ht="15" hidden="false" customHeight="false" outlineLevel="0" collapsed="false">
      <c r="A1111" s="78" t="str">
        <f aca="false">IF(B1111="","",ROW()-6)</f>
        <v/>
      </c>
      <c r="B1111" s="90"/>
      <c r="C1111" s="91"/>
      <c r="D1111" s="91"/>
      <c r="E1111" s="80"/>
      <c r="F1111" s="92"/>
      <c r="G1111" s="79"/>
      <c r="H1111" s="82"/>
      <c r="I1111" s="93" t="str">
        <f aca="false">IF(B1111="","",IFERROR(INDEX('CARNET DE SOUDURE'!$B$7:$B$1506,MATCH(B1111,'CARNET DE SOUDURE'!$K$7:$K$1506,0)),IFERROR(INDEX('CARNET DE SOUDURE'!$B$7:$B$1506,MATCH(B1111,'CARNET DE SOUDURE'!$M$7:$M$1506,0)),"")))</f>
        <v/>
      </c>
      <c r="J1111" s="78" t="str">
        <f aca="false">IF(B1111="","",IFERROR(INDEX('CARNET DE SOUDURE'!$E$7:$E$1506,MATCH(B1111,'CARNET DE SOUDURE'!$M$7:$M$1506,0)),""))</f>
        <v/>
      </c>
      <c r="K1111" s="78" t="str">
        <f aca="false">IF(B1111="","",IFERROR(INDEX('CARNET DE SOUDURE'!$E$7:$E$1506,MATCH(B1111,'CARNET DE SOUDURE'!$K$7:$K$1506,0)),""))</f>
        <v/>
      </c>
      <c r="L1111" s="78" t="str">
        <f aca="false">IF(B1111="","",IFERROR(INDEX('CARNET DE SOUDURE'!$D$7:$D$1506,MATCH(B1111,'CARNET DE SOUDURE'!$K$7:$K$1506,0)),IFERROR(INDEX('CARNET DE SOUDURE'!$D$7:$D$1506,MATCH(B1111,'CARNET DE SOUDURE'!$M$7:$M$1506,0)),"")))</f>
        <v/>
      </c>
      <c r="M1111" s="81" t="str">
        <f aca="false">IF(B1111="","",IF(OR(J1111&lt;&gt;"",K1111&lt;&gt;""),"POSÉ EN LIGNE",IF(H1111&lt;&gt;"","BARDÉ","EN STOCK")))</f>
        <v/>
      </c>
      <c r="N1111" s="79"/>
    </row>
    <row r="1112" customFormat="false" ht="15" hidden="false" customHeight="false" outlineLevel="0" collapsed="false">
      <c r="A1112" s="78" t="str">
        <f aca="false">IF(B1112="","",ROW()-6)</f>
        <v/>
      </c>
      <c r="B1112" s="90"/>
      <c r="C1112" s="91"/>
      <c r="D1112" s="91"/>
      <c r="E1112" s="80"/>
      <c r="F1112" s="92"/>
      <c r="G1112" s="79"/>
      <c r="H1112" s="82"/>
      <c r="I1112" s="93" t="str">
        <f aca="false">IF(B1112="","",IFERROR(INDEX('CARNET DE SOUDURE'!$B$7:$B$1506,MATCH(B1112,'CARNET DE SOUDURE'!$K$7:$K$1506,0)),IFERROR(INDEX('CARNET DE SOUDURE'!$B$7:$B$1506,MATCH(B1112,'CARNET DE SOUDURE'!$M$7:$M$1506,0)),"")))</f>
        <v/>
      </c>
      <c r="J1112" s="78" t="str">
        <f aca="false">IF(B1112="","",IFERROR(INDEX('CARNET DE SOUDURE'!$E$7:$E$1506,MATCH(B1112,'CARNET DE SOUDURE'!$M$7:$M$1506,0)),""))</f>
        <v/>
      </c>
      <c r="K1112" s="78" t="str">
        <f aca="false">IF(B1112="","",IFERROR(INDEX('CARNET DE SOUDURE'!$E$7:$E$1506,MATCH(B1112,'CARNET DE SOUDURE'!$K$7:$K$1506,0)),""))</f>
        <v/>
      </c>
      <c r="L1112" s="78" t="str">
        <f aca="false">IF(B1112="","",IFERROR(INDEX('CARNET DE SOUDURE'!$D$7:$D$1506,MATCH(B1112,'CARNET DE SOUDURE'!$K$7:$K$1506,0)),IFERROR(INDEX('CARNET DE SOUDURE'!$D$7:$D$1506,MATCH(B1112,'CARNET DE SOUDURE'!$M$7:$M$1506,0)),"")))</f>
        <v/>
      </c>
      <c r="M1112" s="81" t="str">
        <f aca="false">IF(B1112="","",IF(OR(J1112&lt;&gt;"",K1112&lt;&gt;""),"POSÉ EN LIGNE",IF(H1112&lt;&gt;"","BARDÉ","EN STOCK")))</f>
        <v/>
      </c>
      <c r="N1112" s="79"/>
    </row>
    <row r="1113" customFormat="false" ht="15" hidden="false" customHeight="false" outlineLevel="0" collapsed="false">
      <c r="A1113" s="78" t="str">
        <f aca="false">IF(B1113="","",ROW()-6)</f>
        <v/>
      </c>
      <c r="B1113" s="90"/>
      <c r="C1113" s="91"/>
      <c r="D1113" s="91"/>
      <c r="E1113" s="80"/>
      <c r="F1113" s="92"/>
      <c r="G1113" s="79"/>
      <c r="H1113" s="82"/>
      <c r="I1113" s="93" t="str">
        <f aca="false">IF(B1113="","",IFERROR(INDEX('CARNET DE SOUDURE'!$B$7:$B$1506,MATCH(B1113,'CARNET DE SOUDURE'!$K$7:$K$1506,0)),IFERROR(INDEX('CARNET DE SOUDURE'!$B$7:$B$1506,MATCH(B1113,'CARNET DE SOUDURE'!$M$7:$M$1506,0)),"")))</f>
        <v/>
      </c>
      <c r="J1113" s="78" t="str">
        <f aca="false">IF(B1113="","",IFERROR(INDEX('CARNET DE SOUDURE'!$E$7:$E$1506,MATCH(B1113,'CARNET DE SOUDURE'!$M$7:$M$1506,0)),""))</f>
        <v/>
      </c>
      <c r="K1113" s="78" t="str">
        <f aca="false">IF(B1113="","",IFERROR(INDEX('CARNET DE SOUDURE'!$E$7:$E$1506,MATCH(B1113,'CARNET DE SOUDURE'!$K$7:$K$1506,0)),""))</f>
        <v/>
      </c>
      <c r="L1113" s="78" t="str">
        <f aca="false">IF(B1113="","",IFERROR(INDEX('CARNET DE SOUDURE'!$D$7:$D$1506,MATCH(B1113,'CARNET DE SOUDURE'!$K$7:$K$1506,0)),IFERROR(INDEX('CARNET DE SOUDURE'!$D$7:$D$1506,MATCH(B1113,'CARNET DE SOUDURE'!$M$7:$M$1506,0)),"")))</f>
        <v/>
      </c>
      <c r="M1113" s="81" t="str">
        <f aca="false">IF(B1113="","",IF(OR(J1113&lt;&gt;"",K1113&lt;&gt;""),"POSÉ EN LIGNE",IF(H1113&lt;&gt;"","BARDÉ","EN STOCK")))</f>
        <v/>
      </c>
      <c r="N1113" s="79"/>
    </row>
    <row r="1114" customFormat="false" ht="15" hidden="false" customHeight="false" outlineLevel="0" collapsed="false">
      <c r="A1114" s="78" t="str">
        <f aca="false">IF(B1114="","",ROW()-6)</f>
        <v/>
      </c>
      <c r="B1114" s="90"/>
      <c r="C1114" s="91"/>
      <c r="D1114" s="91"/>
      <c r="E1114" s="80"/>
      <c r="F1114" s="92"/>
      <c r="G1114" s="79"/>
      <c r="H1114" s="82"/>
      <c r="I1114" s="93" t="str">
        <f aca="false">IF(B1114="","",IFERROR(INDEX('CARNET DE SOUDURE'!$B$7:$B$1506,MATCH(B1114,'CARNET DE SOUDURE'!$K$7:$K$1506,0)),IFERROR(INDEX('CARNET DE SOUDURE'!$B$7:$B$1506,MATCH(B1114,'CARNET DE SOUDURE'!$M$7:$M$1506,0)),"")))</f>
        <v/>
      </c>
      <c r="J1114" s="78" t="str">
        <f aca="false">IF(B1114="","",IFERROR(INDEX('CARNET DE SOUDURE'!$E$7:$E$1506,MATCH(B1114,'CARNET DE SOUDURE'!$M$7:$M$1506,0)),""))</f>
        <v/>
      </c>
      <c r="K1114" s="78" t="str">
        <f aca="false">IF(B1114="","",IFERROR(INDEX('CARNET DE SOUDURE'!$E$7:$E$1506,MATCH(B1114,'CARNET DE SOUDURE'!$K$7:$K$1506,0)),""))</f>
        <v/>
      </c>
      <c r="L1114" s="78" t="str">
        <f aca="false">IF(B1114="","",IFERROR(INDEX('CARNET DE SOUDURE'!$D$7:$D$1506,MATCH(B1114,'CARNET DE SOUDURE'!$K$7:$K$1506,0)),IFERROR(INDEX('CARNET DE SOUDURE'!$D$7:$D$1506,MATCH(B1114,'CARNET DE SOUDURE'!$M$7:$M$1506,0)),"")))</f>
        <v/>
      </c>
      <c r="M1114" s="81" t="str">
        <f aca="false">IF(B1114="","",IF(OR(J1114&lt;&gt;"",K1114&lt;&gt;""),"POSÉ EN LIGNE",IF(H1114&lt;&gt;"","BARDÉ","EN STOCK")))</f>
        <v/>
      </c>
      <c r="N1114" s="79"/>
    </row>
    <row r="1115" customFormat="false" ht="15" hidden="false" customHeight="false" outlineLevel="0" collapsed="false">
      <c r="A1115" s="78" t="str">
        <f aca="false">IF(B1115="","",ROW()-6)</f>
        <v/>
      </c>
      <c r="B1115" s="90"/>
      <c r="C1115" s="91"/>
      <c r="D1115" s="91"/>
      <c r="E1115" s="80"/>
      <c r="F1115" s="92"/>
      <c r="G1115" s="79"/>
      <c r="H1115" s="82"/>
      <c r="I1115" s="93" t="str">
        <f aca="false">IF(B1115="","",IFERROR(INDEX('CARNET DE SOUDURE'!$B$7:$B$1506,MATCH(B1115,'CARNET DE SOUDURE'!$K$7:$K$1506,0)),IFERROR(INDEX('CARNET DE SOUDURE'!$B$7:$B$1506,MATCH(B1115,'CARNET DE SOUDURE'!$M$7:$M$1506,0)),"")))</f>
        <v/>
      </c>
      <c r="J1115" s="78" t="str">
        <f aca="false">IF(B1115="","",IFERROR(INDEX('CARNET DE SOUDURE'!$E$7:$E$1506,MATCH(B1115,'CARNET DE SOUDURE'!$M$7:$M$1506,0)),""))</f>
        <v/>
      </c>
      <c r="K1115" s="78" t="str">
        <f aca="false">IF(B1115="","",IFERROR(INDEX('CARNET DE SOUDURE'!$E$7:$E$1506,MATCH(B1115,'CARNET DE SOUDURE'!$K$7:$K$1506,0)),""))</f>
        <v/>
      </c>
      <c r="L1115" s="78" t="str">
        <f aca="false">IF(B1115="","",IFERROR(INDEX('CARNET DE SOUDURE'!$D$7:$D$1506,MATCH(B1115,'CARNET DE SOUDURE'!$K$7:$K$1506,0)),IFERROR(INDEX('CARNET DE SOUDURE'!$D$7:$D$1506,MATCH(B1115,'CARNET DE SOUDURE'!$M$7:$M$1506,0)),"")))</f>
        <v/>
      </c>
      <c r="M1115" s="81" t="str">
        <f aca="false">IF(B1115="","",IF(OR(J1115&lt;&gt;"",K1115&lt;&gt;""),"POSÉ EN LIGNE",IF(H1115&lt;&gt;"","BARDÉ","EN STOCK")))</f>
        <v/>
      </c>
      <c r="N1115" s="79"/>
    </row>
    <row r="1116" customFormat="false" ht="15" hidden="false" customHeight="false" outlineLevel="0" collapsed="false">
      <c r="A1116" s="78" t="str">
        <f aca="false">IF(B1116="","",ROW()-6)</f>
        <v/>
      </c>
      <c r="B1116" s="90"/>
      <c r="C1116" s="91"/>
      <c r="D1116" s="91"/>
      <c r="E1116" s="80"/>
      <c r="F1116" s="92"/>
      <c r="G1116" s="79"/>
      <c r="H1116" s="82"/>
      <c r="I1116" s="93" t="str">
        <f aca="false">IF(B1116="","",IFERROR(INDEX('CARNET DE SOUDURE'!$B$7:$B$1506,MATCH(B1116,'CARNET DE SOUDURE'!$K$7:$K$1506,0)),IFERROR(INDEX('CARNET DE SOUDURE'!$B$7:$B$1506,MATCH(B1116,'CARNET DE SOUDURE'!$M$7:$M$1506,0)),"")))</f>
        <v/>
      </c>
      <c r="J1116" s="78" t="str">
        <f aca="false">IF(B1116="","",IFERROR(INDEX('CARNET DE SOUDURE'!$E$7:$E$1506,MATCH(B1116,'CARNET DE SOUDURE'!$M$7:$M$1506,0)),""))</f>
        <v/>
      </c>
      <c r="K1116" s="78" t="str">
        <f aca="false">IF(B1116="","",IFERROR(INDEX('CARNET DE SOUDURE'!$E$7:$E$1506,MATCH(B1116,'CARNET DE SOUDURE'!$K$7:$K$1506,0)),""))</f>
        <v/>
      </c>
      <c r="L1116" s="78" t="str">
        <f aca="false">IF(B1116="","",IFERROR(INDEX('CARNET DE SOUDURE'!$D$7:$D$1506,MATCH(B1116,'CARNET DE SOUDURE'!$K$7:$K$1506,0)),IFERROR(INDEX('CARNET DE SOUDURE'!$D$7:$D$1506,MATCH(B1116,'CARNET DE SOUDURE'!$M$7:$M$1506,0)),"")))</f>
        <v/>
      </c>
      <c r="M1116" s="81" t="str">
        <f aca="false">IF(B1116="","",IF(OR(J1116&lt;&gt;"",K1116&lt;&gt;""),"POSÉ EN LIGNE",IF(H1116&lt;&gt;"","BARDÉ","EN STOCK")))</f>
        <v/>
      </c>
      <c r="N1116" s="79"/>
    </row>
    <row r="1117" customFormat="false" ht="15" hidden="false" customHeight="false" outlineLevel="0" collapsed="false">
      <c r="A1117" s="78" t="str">
        <f aca="false">IF(B1117="","",ROW()-6)</f>
        <v/>
      </c>
      <c r="B1117" s="90"/>
      <c r="C1117" s="91"/>
      <c r="D1117" s="91"/>
      <c r="E1117" s="80"/>
      <c r="F1117" s="92"/>
      <c r="G1117" s="79"/>
      <c r="H1117" s="82"/>
      <c r="I1117" s="93" t="str">
        <f aca="false">IF(B1117="","",IFERROR(INDEX('CARNET DE SOUDURE'!$B$7:$B$1506,MATCH(B1117,'CARNET DE SOUDURE'!$K$7:$K$1506,0)),IFERROR(INDEX('CARNET DE SOUDURE'!$B$7:$B$1506,MATCH(B1117,'CARNET DE SOUDURE'!$M$7:$M$1506,0)),"")))</f>
        <v/>
      </c>
      <c r="J1117" s="78" t="str">
        <f aca="false">IF(B1117="","",IFERROR(INDEX('CARNET DE SOUDURE'!$E$7:$E$1506,MATCH(B1117,'CARNET DE SOUDURE'!$M$7:$M$1506,0)),""))</f>
        <v/>
      </c>
      <c r="K1117" s="78" t="str">
        <f aca="false">IF(B1117="","",IFERROR(INDEX('CARNET DE SOUDURE'!$E$7:$E$1506,MATCH(B1117,'CARNET DE SOUDURE'!$K$7:$K$1506,0)),""))</f>
        <v/>
      </c>
      <c r="L1117" s="78" t="str">
        <f aca="false">IF(B1117="","",IFERROR(INDEX('CARNET DE SOUDURE'!$D$7:$D$1506,MATCH(B1117,'CARNET DE SOUDURE'!$K$7:$K$1506,0)),IFERROR(INDEX('CARNET DE SOUDURE'!$D$7:$D$1506,MATCH(B1117,'CARNET DE SOUDURE'!$M$7:$M$1506,0)),"")))</f>
        <v/>
      </c>
      <c r="M1117" s="81" t="str">
        <f aca="false">IF(B1117="","",IF(OR(J1117&lt;&gt;"",K1117&lt;&gt;""),"POSÉ EN LIGNE",IF(H1117&lt;&gt;"","BARDÉ","EN STOCK")))</f>
        <v/>
      </c>
      <c r="N1117" s="79"/>
    </row>
    <row r="1118" customFormat="false" ht="15" hidden="false" customHeight="false" outlineLevel="0" collapsed="false">
      <c r="A1118" s="78" t="str">
        <f aca="false">IF(B1118="","",ROW()-6)</f>
        <v/>
      </c>
      <c r="B1118" s="90"/>
      <c r="C1118" s="91"/>
      <c r="D1118" s="91"/>
      <c r="E1118" s="80"/>
      <c r="F1118" s="92"/>
      <c r="G1118" s="79"/>
      <c r="H1118" s="82"/>
      <c r="I1118" s="93" t="str">
        <f aca="false">IF(B1118="","",IFERROR(INDEX('CARNET DE SOUDURE'!$B$7:$B$1506,MATCH(B1118,'CARNET DE SOUDURE'!$K$7:$K$1506,0)),IFERROR(INDEX('CARNET DE SOUDURE'!$B$7:$B$1506,MATCH(B1118,'CARNET DE SOUDURE'!$M$7:$M$1506,0)),"")))</f>
        <v/>
      </c>
      <c r="J1118" s="78" t="str">
        <f aca="false">IF(B1118="","",IFERROR(INDEX('CARNET DE SOUDURE'!$E$7:$E$1506,MATCH(B1118,'CARNET DE SOUDURE'!$M$7:$M$1506,0)),""))</f>
        <v/>
      </c>
      <c r="K1118" s="78" t="str">
        <f aca="false">IF(B1118="","",IFERROR(INDEX('CARNET DE SOUDURE'!$E$7:$E$1506,MATCH(B1118,'CARNET DE SOUDURE'!$K$7:$K$1506,0)),""))</f>
        <v/>
      </c>
      <c r="L1118" s="78" t="str">
        <f aca="false">IF(B1118="","",IFERROR(INDEX('CARNET DE SOUDURE'!$D$7:$D$1506,MATCH(B1118,'CARNET DE SOUDURE'!$K$7:$K$1506,0)),IFERROR(INDEX('CARNET DE SOUDURE'!$D$7:$D$1506,MATCH(B1118,'CARNET DE SOUDURE'!$M$7:$M$1506,0)),"")))</f>
        <v/>
      </c>
      <c r="M1118" s="81" t="str">
        <f aca="false">IF(B1118="","",IF(OR(J1118&lt;&gt;"",K1118&lt;&gt;""),"POSÉ EN LIGNE",IF(H1118&lt;&gt;"","BARDÉ","EN STOCK")))</f>
        <v/>
      </c>
      <c r="N1118" s="79"/>
    </row>
    <row r="1119" customFormat="false" ht="15" hidden="false" customHeight="false" outlineLevel="0" collapsed="false">
      <c r="A1119" s="78" t="str">
        <f aca="false">IF(B1119="","",ROW()-6)</f>
        <v/>
      </c>
      <c r="B1119" s="90"/>
      <c r="C1119" s="91"/>
      <c r="D1119" s="91"/>
      <c r="E1119" s="80"/>
      <c r="F1119" s="92"/>
      <c r="G1119" s="79"/>
      <c r="H1119" s="82"/>
      <c r="I1119" s="93" t="str">
        <f aca="false">IF(B1119="","",IFERROR(INDEX('CARNET DE SOUDURE'!$B$7:$B$1506,MATCH(B1119,'CARNET DE SOUDURE'!$K$7:$K$1506,0)),IFERROR(INDEX('CARNET DE SOUDURE'!$B$7:$B$1506,MATCH(B1119,'CARNET DE SOUDURE'!$M$7:$M$1506,0)),"")))</f>
        <v/>
      </c>
      <c r="J1119" s="78" t="str">
        <f aca="false">IF(B1119="","",IFERROR(INDEX('CARNET DE SOUDURE'!$E$7:$E$1506,MATCH(B1119,'CARNET DE SOUDURE'!$M$7:$M$1506,0)),""))</f>
        <v/>
      </c>
      <c r="K1119" s="78" t="str">
        <f aca="false">IF(B1119="","",IFERROR(INDEX('CARNET DE SOUDURE'!$E$7:$E$1506,MATCH(B1119,'CARNET DE SOUDURE'!$K$7:$K$1506,0)),""))</f>
        <v/>
      </c>
      <c r="L1119" s="78" t="str">
        <f aca="false">IF(B1119="","",IFERROR(INDEX('CARNET DE SOUDURE'!$D$7:$D$1506,MATCH(B1119,'CARNET DE SOUDURE'!$K$7:$K$1506,0)),IFERROR(INDEX('CARNET DE SOUDURE'!$D$7:$D$1506,MATCH(B1119,'CARNET DE SOUDURE'!$M$7:$M$1506,0)),"")))</f>
        <v/>
      </c>
      <c r="M1119" s="81" t="str">
        <f aca="false">IF(B1119="","",IF(OR(J1119&lt;&gt;"",K1119&lt;&gt;""),"POSÉ EN LIGNE",IF(H1119&lt;&gt;"","BARDÉ","EN STOCK")))</f>
        <v/>
      </c>
      <c r="N1119" s="79"/>
    </row>
    <row r="1120" customFormat="false" ht="15" hidden="false" customHeight="false" outlineLevel="0" collapsed="false">
      <c r="A1120" s="78" t="str">
        <f aca="false">IF(B1120="","",ROW()-6)</f>
        <v/>
      </c>
      <c r="B1120" s="90"/>
      <c r="C1120" s="91"/>
      <c r="D1120" s="91"/>
      <c r="E1120" s="80"/>
      <c r="F1120" s="92"/>
      <c r="G1120" s="79"/>
      <c r="H1120" s="82"/>
      <c r="I1120" s="93" t="str">
        <f aca="false">IF(B1120="","",IFERROR(INDEX('CARNET DE SOUDURE'!$B$7:$B$1506,MATCH(B1120,'CARNET DE SOUDURE'!$K$7:$K$1506,0)),IFERROR(INDEX('CARNET DE SOUDURE'!$B$7:$B$1506,MATCH(B1120,'CARNET DE SOUDURE'!$M$7:$M$1506,0)),"")))</f>
        <v/>
      </c>
      <c r="J1120" s="78" t="str">
        <f aca="false">IF(B1120="","",IFERROR(INDEX('CARNET DE SOUDURE'!$E$7:$E$1506,MATCH(B1120,'CARNET DE SOUDURE'!$M$7:$M$1506,0)),""))</f>
        <v/>
      </c>
      <c r="K1120" s="78" t="str">
        <f aca="false">IF(B1120="","",IFERROR(INDEX('CARNET DE SOUDURE'!$E$7:$E$1506,MATCH(B1120,'CARNET DE SOUDURE'!$K$7:$K$1506,0)),""))</f>
        <v/>
      </c>
      <c r="L1120" s="78" t="str">
        <f aca="false">IF(B1120="","",IFERROR(INDEX('CARNET DE SOUDURE'!$D$7:$D$1506,MATCH(B1120,'CARNET DE SOUDURE'!$K$7:$K$1506,0)),IFERROR(INDEX('CARNET DE SOUDURE'!$D$7:$D$1506,MATCH(B1120,'CARNET DE SOUDURE'!$M$7:$M$1506,0)),"")))</f>
        <v/>
      </c>
      <c r="M1120" s="81" t="str">
        <f aca="false">IF(B1120="","",IF(OR(J1120&lt;&gt;"",K1120&lt;&gt;""),"POSÉ EN LIGNE",IF(H1120&lt;&gt;"","BARDÉ","EN STOCK")))</f>
        <v/>
      </c>
      <c r="N1120" s="79"/>
    </row>
    <row r="1121" customFormat="false" ht="15" hidden="false" customHeight="false" outlineLevel="0" collapsed="false">
      <c r="A1121" s="78" t="str">
        <f aca="false">IF(B1121="","",ROW()-6)</f>
        <v/>
      </c>
      <c r="B1121" s="90"/>
      <c r="C1121" s="91"/>
      <c r="D1121" s="91"/>
      <c r="E1121" s="80"/>
      <c r="F1121" s="92"/>
      <c r="G1121" s="79"/>
      <c r="H1121" s="82"/>
      <c r="I1121" s="93" t="str">
        <f aca="false">IF(B1121="","",IFERROR(INDEX('CARNET DE SOUDURE'!$B$7:$B$1506,MATCH(B1121,'CARNET DE SOUDURE'!$K$7:$K$1506,0)),IFERROR(INDEX('CARNET DE SOUDURE'!$B$7:$B$1506,MATCH(B1121,'CARNET DE SOUDURE'!$M$7:$M$1506,0)),"")))</f>
        <v/>
      </c>
      <c r="J1121" s="78" t="str">
        <f aca="false">IF(B1121="","",IFERROR(INDEX('CARNET DE SOUDURE'!$E$7:$E$1506,MATCH(B1121,'CARNET DE SOUDURE'!$M$7:$M$1506,0)),""))</f>
        <v/>
      </c>
      <c r="K1121" s="78" t="str">
        <f aca="false">IF(B1121="","",IFERROR(INDEX('CARNET DE SOUDURE'!$E$7:$E$1506,MATCH(B1121,'CARNET DE SOUDURE'!$K$7:$K$1506,0)),""))</f>
        <v/>
      </c>
      <c r="L1121" s="78" t="str">
        <f aca="false">IF(B1121="","",IFERROR(INDEX('CARNET DE SOUDURE'!$D$7:$D$1506,MATCH(B1121,'CARNET DE SOUDURE'!$K$7:$K$1506,0)),IFERROR(INDEX('CARNET DE SOUDURE'!$D$7:$D$1506,MATCH(B1121,'CARNET DE SOUDURE'!$M$7:$M$1506,0)),"")))</f>
        <v/>
      </c>
      <c r="M1121" s="81" t="str">
        <f aca="false">IF(B1121="","",IF(OR(J1121&lt;&gt;"",K1121&lt;&gt;""),"POSÉ EN LIGNE",IF(H1121&lt;&gt;"","BARDÉ","EN STOCK")))</f>
        <v/>
      </c>
      <c r="N1121" s="79"/>
    </row>
    <row r="1122" customFormat="false" ht="15" hidden="false" customHeight="false" outlineLevel="0" collapsed="false">
      <c r="A1122" s="78" t="str">
        <f aca="false">IF(B1122="","",ROW()-6)</f>
        <v/>
      </c>
      <c r="B1122" s="90"/>
      <c r="C1122" s="91"/>
      <c r="D1122" s="91"/>
      <c r="E1122" s="80"/>
      <c r="F1122" s="92"/>
      <c r="G1122" s="79"/>
      <c r="H1122" s="82"/>
      <c r="I1122" s="93" t="str">
        <f aca="false">IF(B1122="","",IFERROR(INDEX('CARNET DE SOUDURE'!$B$7:$B$1506,MATCH(B1122,'CARNET DE SOUDURE'!$K$7:$K$1506,0)),IFERROR(INDEX('CARNET DE SOUDURE'!$B$7:$B$1506,MATCH(B1122,'CARNET DE SOUDURE'!$M$7:$M$1506,0)),"")))</f>
        <v/>
      </c>
      <c r="J1122" s="78" t="str">
        <f aca="false">IF(B1122="","",IFERROR(INDEX('CARNET DE SOUDURE'!$E$7:$E$1506,MATCH(B1122,'CARNET DE SOUDURE'!$M$7:$M$1506,0)),""))</f>
        <v/>
      </c>
      <c r="K1122" s="78" t="str">
        <f aca="false">IF(B1122="","",IFERROR(INDEX('CARNET DE SOUDURE'!$E$7:$E$1506,MATCH(B1122,'CARNET DE SOUDURE'!$K$7:$K$1506,0)),""))</f>
        <v/>
      </c>
      <c r="L1122" s="78" t="str">
        <f aca="false">IF(B1122="","",IFERROR(INDEX('CARNET DE SOUDURE'!$D$7:$D$1506,MATCH(B1122,'CARNET DE SOUDURE'!$K$7:$K$1506,0)),IFERROR(INDEX('CARNET DE SOUDURE'!$D$7:$D$1506,MATCH(B1122,'CARNET DE SOUDURE'!$M$7:$M$1506,0)),"")))</f>
        <v/>
      </c>
      <c r="M1122" s="81" t="str">
        <f aca="false">IF(B1122="","",IF(OR(J1122&lt;&gt;"",K1122&lt;&gt;""),"POSÉ EN LIGNE",IF(H1122&lt;&gt;"","BARDÉ","EN STOCK")))</f>
        <v/>
      </c>
      <c r="N1122" s="79"/>
    </row>
    <row r="1123" customFormat="false" ht="15" hidden="false" customHeight="false" outlineLevel="0" collapsed="false">
      <c r="A1123" s="78" t="str">
        <f aca="false">IF(B1123="","",ROW()-6)</f>
        <v/>
      </c>
      <c r="B1123" s="90"/>
      <c r="C1123" s="91"/>
      <c r="D1123" s="91"/>
      <c r="E1123" s="80"/>
      <c r="F1123" s="92"/>
      <c r="G1123" s="79"/>
      <c r="H1123" s="82"/>
      <c r="I1123" s="93" t="str">
        <f aca="false">IF(B1123="","",IFERROR(INDEX('CARNET DE SOUDURE'!$B$7:$B$1506,MATCH(B1123,'CARNET DE SOUDURE'!$K$7:$K$1506,0)),IFERROR(INDEX('CARNET DE SOUDURE'!$B$7:$B$1506,MATCH(B1123,'CARNET DE SOUDURE'!$M$7:$M$1506,0)),"")))</f>
        <v/>
      </c>
      <c r="J1123" s="78" t="str">
        <f aca="false">IF(B1123="","",IFERROR(INDEX('CARNET DE SOUDURE'!$E$7:$E$1506,MATCH(B1123,'CARNET DE SOUDURE'!$M$7:$M$1506,0)),""))</f>
        <v/>
      </c>
      <c r="K1123" s="78" t="str">
        <f aca="false">IF(B1123="","",IFERROR(INDEX('CARNET DE SOUDURE'!$E$7:$E$1506,MATCH(B1123,'CARNET DE SOUDURE'!$K$7:$K$1506,0)),""))</f>
        <v/>
      </c>
      <c r="L1123" s="78" t="str">
        <f aca="false">IF(B1123="","",IFERROR(INDEX('CARNET DE SOUDURE'!$D$7:$D$1506,MATCH(B1123,'CARNET DE SOUDURE'!$K$7:$K$1506,0)),IFERROR(INDEX('CARNET DE SOUDURE'!$D$7:$D$1506,MATCH(B1123,'CARNET DE SOUDURE'!$M$7:$M$1506,0)),"")))</f>
        <v/>
      </c>
      <c r="M1123" s="81" t="str">
        <f aca="false">IF(B1123="","",IF(OR(J1123&lt;&gt;"",K1123&lt;&gt;""),"POSÉ EN LIGNE",IF(H1123&lt;&gt;"","BARDÉ","EN STOCK")))</f>
        <v/>
      </c>
      <c r="N1123" s="79"/>
    </row>
    <row r="1124" customFormat="false" ht="15" hidden="false" customHeight="false" outlineLevel="0" collapsed="false">
      <c r="A1124" s="78" t="str">
        <f aca="false">IF(B1124="","",ROW()-6)</f>
        <v/>
      </c>
      <c r="B1124" s="90"/>
      <c r="C1124" s="91"/>
      <c r="D1124" s="91"/>
      <c r="E1124" s="80"/>
      <c r="F1124" s="92"/>
      <c r="G1124" s="79"/>
      <c r="H1124" s="82"/>
      <c r="I1124" s="93" t="str">
        <f aca="false">IF(B1124="","",IFERROR(INDEX('CARNET DE SOUDURE'!$B$7:$B$1506,MATCH(B1124,'CARNET DE SOUDURE'!$K$7:$K$1506,0)),IFERROR(INDEX('CARNET DE SOUDURE'!$B$7:$B$1506,MATCH(B1124,'CARNET DE SOUDURE'!$M$7:$M$1506,0)),"")))</f>
        <v/>
      </c>
      <c r="J1124" s="78" t="str">
        <f aca="false">IF(B1124="","",IFERROR(INDEX('CARNET DE SOUDURE'!$E$7:$E$1506,MATCH(B1124,'CARNET DE SOUDURE'!$M$7:$M$1506,0)),""))</f>
        <v/>
      </c>
      <c r="K1124" s="78" t="str">
        <f aca="false">IF(B1124="","",IFERROR(INDEX('CARNET DE SOUDURE'!$E$7:$E$1506,MATCH(B1124,'CARNET DE SOUDURE'!$K$7:$K$1506,0)),""))</f>
        <v/>
      </c>
      <c r="L1124" s="78" t="str">
        <f aca="false">IF(B1124="","",IFERROR(INDEX('CARNET DE SOUDURE'!$D$7:$D$1506,MATCH(B1124,'CARNET DE SOUDURE'!$K$7:$K$1506,0)),IFERROR(INDEX('CARNET DE SOUDURE'!$D$7:$D$1506,MATCH(B1124,'CARNET DE SOUDURE'!$M$7:$M$1506,0)),"")))</f>
        <v/>
      </c>
      <c r="M1124" s="81" t="str">
        <f aca="false">IF(B1124="","",IF(OR(J1124&lt;&gt;"",K1124&lt;&gt;""),"POSÉ EN LIGNE",IF(H1124&lt;&gt;"","BARDÉ","EN STOCK")))</f>
        <v/>
      </c>
      <c r="N1124" s="79"/>
    </row>
    <row r="1125" customFormat="false" ht="15" hidden="false" customHeight="false" outlineLevel="0" collapsed="false">
      <c r="A1125" s="78" t="str">
        <f aca="false">IF(B1125="","",ROW()-6)</f>
        <v/>
      </c>
      <c r="B1125" s="90"/>
      <c r="C1125" s="91"/>
      <c r="D1125" s="91"/>
      <c r="E1125" s="80"/>
      <c r="F1125" s="92"/>
      <c r="G1125" s="79"/>
      <c r="H1125" s="82"/>
      <c r="I1125" s="93" t="str">
        <f aca="false">IF(B1125="","",IFERROR(INDEX('CARNET DE SOUDURE'!$B$7:$B$1506,MATCH(B1125,'CARNET DE SOUDURE'!$K$7:$K$1506,0)),IFERROR(INDEX('CARNET DE SOUDURE'!$B$7:$B$1506,MATCH(B1125,'CARNET DE SOUDURE'!$M$7:$M$1506,0)),"")))</f>
        <v/>
      </c>
      <c r="J1125" s="78" t="str">
        <f aca="false">IF(B1125="","",IFERROR(INDEX('CARNET DE SOUDURE'!$E$7:$E$1506,MATCH(B1125,'CARNET DE SOUDURE'!$M$7:$M$1506,0)),""))</f>
        <v/>
      </c>
      <c r="K1125" s="78" t="str">
        <f aca="false">IF(B1125="","",IFERROR(INDEX('CARNET DE SOUDURE'!$E$7:$E$1506,MATCH(B1125,'CARNET DE SOUDURE'!$K$7:$K$1506,0)),""))</f>
        <v/>
      </c>
      <c r="L1125" s="78" t="str">
        <f aca="false">IF(B1125="","",IFERROR(INDEX('CARNET DE SOUDURE'!$D$7:$D$1506,MATCH(B1125,'CARNET DE SOUDURE'!$K$7:$K$1506,0)),IFERROR(INDEX('CARNET DE SOUDURE'!$D$7:$D$1506,MATCH(B1125,'CARNET DE SOUDURE'!$M$7:$M$1506,0)),"")))</f>
        <v/>
      </c>
      <c r="M1125" s="81" t="str">
        <f aca="false">IF(B1125="","",IF(OR(J1125&lt;&gt;"",K1125&lt;&gt;""),"POSÉ EN LIGNE",IF(H1125&lt;&gt;"","BARDÉ","EN STOCK")))</f>
        <v/>
      </c>
      <c r="N1125" s="79"/>
    </row>
    <row r="1126" customFormat="false" ht="15" hidden="false" customHeight="false" outlineLevel="0" collapsed="false">
      <c r="A1126" s="78" t="str">
        <f aca="false">IF(B1126="","",ROW()-6)</f>
        <v/>
      </c>
      <c r="B1126" s="90"/>
      <c r="C1126" s="91"/>
      <c r="D1126" s="91"/>
      <c r="E1126" s="80"/>
      <c r="F1126" s="92"/>
      <c r="G1126" s="79"/>
      <c r="H1126" s="82"/>
      <c r="I1126" s="93" t="str">
        <f aca="false">IF(B1126="","",IFERROR(INDEX('CARNET DE SOUDURE'!$B$7:$B$1506,MATCH(B1126,'CARNET DE SOUDURE'!$K$7:$K$1506,0)),IFERROR(INDEX('CARNET DE SOUDURE'!$B$7:$B$1506,MATCH(B1126,'CARNET DE SOUDURE'!$M$7:$M$1506,0)),"")))</f>
        <v/>
      </c>
      <c r="J1126" s="78" t="str">
        <f aca="false">IF(B1126="","",IFERROR(INDEX('CARNET DE SOUDURE'!$E$7:$E$1506,MATCH(B1126,'CARNET DE SOUDURE'!$M$7:$M$1506,0)),""))</f>
        <v/>
      </c>
      <c r="K1126" s="78" t="str">
        <f aca="false">IF(B1126="","",IFERROR(INDEX('CARNET DE SOUDURE'!$E$7:$E$1506,MATCH(B1126,'CARNET DE SOUDURE'!$K$7:$K$1506,0)),""))</f>
        <v/>
      </c>
      <c r="L1126" s="78" t="str">
        <f aca="false">IF(B1126="","",IFERROR(INDEX('CARNET DE SOUDURE'!$D$7:$D$1506,MATCH(B1126,'CARNET DE SOUDURE'!$K$7:$K$1506,0)),IFERROR(INDEX('CARNET DE SOUDURE'!$D$7:$D$1506,MATCH(B1126,'CARNET DE SOUDURE'!$M$7:$M$1506,0)),"")))</f>
        <v/>
      </c>
      <c r="M1126" s="81" t="str">
        <f aca="false">IF(B1126="","",IF(OR(J1126&lt;&gt;"",K1126&lt;&gt;""),"POSÉ EN LIGNE",IF(H1126&lt;&gt;"","BARDÉ","EN STOCK")))</f>
        <v/>
      </c>
      <c r="N1126" s="79"/>
    </row>
    <row r="1127" customFormat="false" ht="15" hidden="false" customHeight="false" outlineLevel="0" collapsed="false">
      <c r="A1127" s="78" t="str">
        <f aca="false">IF(B1127="","",ROW()-6)</f>
        <v/>
      </c>
      <c r="B1127" s="90"/>
      <c r="C1127" s="91"/>
      <c r="D1127" s="91"/>
      <c r="E1127" s="80"/>
      <c r="F1127" s="92"/>
      <c r="G1127" s="79"/>
      <c r="H1127" s="82"/>
      <c r="I1127" s="93" t="str">
        <f aca="false">IF(B1127="","",IFERROR(INDEX('CARNET DE SOUDURE'!$B$7:$B$1506,MATCH(B1127,'CARNET DE SOUDURE'!$K$7:$K$1506,0)),IFERROR(INDEX('CARNET DE SOUDURE'!$B$7:$B$1506,MATCH(B1127,'CARNET DE SOUDURE'!$M$7:$M$1506,0)),"")))</f>
        <v/>
      </c>
      <c r="J1127" s="78" t="str">
        <f aca="false">IF(B1127="","",IFERROR(INDEX('CARNET DE SOUDURE'!$E$7:$E$1506,MATCH(B1127,'CARNET DE SOUDURE'!$M$7:$M$1506,0)),""))</f>
        <v/>
      </c>
      <c r="K1127" s="78" t="str">
        <f aca="false">IF(B1127="","",IFERROR(INDEX('CARNET DE SOUDURE'!$E$7:$E$1506,MATCH(B1127,'CARNET DE SOUDURE'!$K$7:$K$1506,0)),""))</f>
        <v/>
      </c>
      <c r="L1127" s="78" t="str">
        <f aca="false">IF(B1127="","",IFERROR(INDEX('CARNET DE SOUDURE'!$D$7:$D$1506,MATCH(B1127,'CARNET DE SOUDURE'!$K$7:$K$1506,0)),IFERROR(INDEX('CARNET DE SOUDURE'!$D$7:$D$1506,MATCH(B1127,'CARNET DE SOUDURE'!$M$7:$M$1506,0)),"")))</f>
        <v/>
      </c>
      <c r="M1127" s="81" t="str">
        <f aca="false">IF(B1127="","",IF(OR(J1127&lt;&gt;"",K1127&lt;&gt;""),"POSÉ EN LIGNE",IF(H1127&lt;&gt;"","BARDÉ","EN STOCK")))</f>
        <v/>
      </c>
      <c r="N1127" s="79"/>
    </row>
    <row r="1128" customFormat="false" ht="15" hidden="false" customHeight="false" outlineLevel="0" collapsed="false">
      <c r="A1128" s="78" t="str">
        <f aca="false">IF(B1128="","",ROW()-6)</f>
        <v/>
      </c>
      <c r="B1128" s="90"/>
      <c r="C1128" s="91"/>
      <c r="D1128" s="91"/>
      <c r="E1128" s="80"/>
      <c r="F1128" s="92"/>
      <c r="G1128" s="79"/>
      <c r="H1128" s="82"/>
      <c r="I1128" s="93" t="str">
        <f aca="false">IF(B1128="","",IFERROR(INDEX('CARNET DE SOUDURE'!$B$7:$B$1506,MATCH(B1128,'CARNET DE SOUDURE'!$K$7:$K$1506,0)),IFERROR(INDEX('CARNET DE SOUDURE'!$B$7:$B$1506,MATCH(B1128,'CARNET DE SOUDURE'!$M$7:$M$1506,0)),"")))</f>
        <v/>
      </c>
      <c r="J1128" s="78" t="str">
        <f aca="false">IF(B1128="","",IFERROR(INDEX('CARNET DE SOUDURE'!$E$7:$E$1506,MATCH(B1128,'CARNET DE SOUDURE'!$M$7:$M$1506,0)),""))</f>
        <v/>
      </c>
      <c r="K1128" s="78" t="str">
        <f aca="false">IF(B1128="","",IFERROR(INDEX('CARNET DE SOUDURE'!$E$7:$E$1506,MATCH(B1128,'CARNET DE SOUDURE'!$K$7:$K$1506,0)),""))</f>
        <v/>
      </c>
      <c r="L1128" s="78" t="str">
        <f aca="false">IF(B1128="","",IFERROR(INDEX('CARNET DE SOUDURE'!$D$7:$D$1506,MATCH(B1128,'CARNET DE SOUDURE'!$K$7:$K$1506,0)),IFERROR(INDEX('CARNET DE SOUDURE'!$D$7:$D$1506,MATCH(B1128,'CARNET DE SOUDURE'!$M$7:$M$1506,0)),"")))</f>
        <v/>
      </c>
      <c r="M1128" s="81" t="str">
        <f aca="false">IF(B1128="","",IF(OR(J1128&lt;&gt;"",K1128&lt;&gt;""),"POSÉ EN LIGNE",IF(H1128&lt;&gt;"","BARDÉ","EN STOCK")))</f>
        <v/>
      </c>
      <c r="N1128" s="79"/>
    </row>
    <row r="1129" customFormat="false" ht="15" hidden="false" customHeight="false" outlineLevel="0" collapsed="false">
      <c r="A1129" s="78" t="str">
        <f aca="false">IF(B1129="","",ROW()-6)</f>
        <v/>
      </c>
      <c r="B1129" s="90"/>
      <c r="C1129" s="91"/>
      <c r="D1129" s="91"/>
      <c r="E1129" s="80"/>
      <c r="F1129" s="92"/>
      <c r="G1129" s="79"/>
      <c r="H1129" s="82"/>
      <c r="I1129" s="93" t="str">
        <f aca="false">IF(B1129="","",IFERROR(INDEX('CARNET DE SOUDURE'!$B$7:$B$1506,MATCH(B1129,'CARNET DE SOUDURE'!$K$7:$K$1506,0)),IFERROR(INDEX('CARNET DE SOUDURE'!$B$7:$B$1506,MATCH(B1129,'CARNET DE SOUDURE'!$M$7:$M$1506,0)),"")))</f>
        <v/>
      </c>
      <c r="J1129" s="78" t="str">
        <f aca="false">IF(B1129="","",IFERROR(INDEX('CARNET DE SOUDURE'!$E$7:$E$1506,MATCH(B1129,'CARNET DE SOUDURE'!$M$7:$M$1506,0)),""))</f>
        <v/>
      </c>
      <c r="K1129" s="78" t="str">
        <f aca="false">IF(B1129="","",IFERROR(INDEX('CARNET DE SOUDURE'!$E$7:$E$1506,MATCH(B1129,'CARNET DE SOUDURE'!$K$7:$K$1506,0)),""))</f>
        <v/>
      </c>
      <c r="L1129" s="78" t="str">
        <f aca="false">IF(B1129="","",IFERROR(INDEX('CARNET DE SOUDURE'!$D$7:$D$1506,MATCH(B1129,'CARNET DE SOUDURE'!$K$7:$K$1506,0)),IFERROR(INDEX('CARNET DE SOUDURE'!$D$7:$D$1506,MATCH(B1129,'CARNET DE SOUDURE'!$M$7:$M$1506,0)),"")))</f>
        <v/>
      </c>
      <c r="M1129" s="81" t="str">
        <f aca="false">IF(B1129="","",IF(OR(J1129&lt;&gt;"",K1129&lt;&gt;""),"POSÉ EN LIGNE",IF(H1129&lt;&gt;"","BARDÉ","EN STOCK")))</f>
        <v/>
      </c>
      <c r="N1129" s="79"/>
    </row>
    <row r="1130" customFormat="false" ht="15" hidden="false" customHeight="false" outlineLevel="0" collapsed="false">
      <c r="A1130" s="78" t="str">
        <f aca="false">IF(B1130="","",ROW()-6)</f>
        <v/>
      </c>
      <c r="B1130" s="90"/>
      <c r="C1130" s="91"/>
      <c r="D1130" s="91"/>
      <c r="E1130" s="80"/>
      <c r="F1130" s="92"/>
      <c r="G1130" s="79"/>
      <c r="H1130" s="82"/>
      <c r="I1130" s="93" t="str">
        <f aca="false">IF(B1130="","",IFERROR(INDEX('CARNET DE SOUDURE'!$B$7:$B$1506,MATCH(B1130,'CARNET DE SOUDURE'!$K$7:$K$1506,0)),IFERROR(INDEX('CARNET DE SOUDURE'!$B$7:$B$1506,MATCH(B1130,'CARNET DE SOUDURE'!$M$7:$M$1506,0)),"")))</f>
        <v/>
      </c>
      <c r="J1130" s="78" t="str">
        <f aca="false">IF(B1130="","",IFERROR(INDEX('CARNET DE SOUDURE'!$E$7:$E$1506,MATCH(B1130,'CARNET DE SOUDURE'!$M$7:$M$1506,0)),""))</f>
        <v/>
      </c>
      <c r="K1130" s="78" t="str">
        <f aca="false">IF(B1130="","",IFERROR(INDEX('CARNET DE SOUDURE'!$E$7:$E$1506,MATCH(B1130,'CARNET DE SOUDURE'!$K$7:$K$1506,0)),""))</f>
        <v/>
      </c>
      <c r="L1130" s="78" t="str">
        <f aca="false">IF(B1130="","",IFERROR(INDEX('CARNET DE SOUDURE'!$D$7:$D$1506,MATCH(B1130,'CARNET DE SOUDURE'!$K$7:$K$1506,0)),IFERROR(INDEX('CARNET DE SOUDURE'!$D$7:$D$1506,MATCH(B1130,'CARNET DE SOUDURE'!$M$7:$M$1506,0)),"")))</f>
        <v/>
      </c>
      <c r="M1130" s="81" t="str">
        <f aca="false">IF(B1130="","",IF(OR(J1130&lt;&gt;"",K1130&lt;&gt;""),"POSÉ EN LIGNE",IF(H1130&lt;&gt;"","BARDÉ","EN STOCK")))</f>
        <v/>
      </c>
      <c r="N1130" s="79"/>
    </row>
    <row r="1131" customFormat="false" ht="15" hidden="false" customHeight="false" outlineLevel="0" collapsed="false">
      <c r="A1131" s="78" t="str">
        <f aca="false">IF(B1131="","",ROW()-6)</f>
        <v/>
      </c>
      <c r="B1131" s="90"/>
      <c r="C1131" s="91"/>
      <c r="D1131" s="91"/>
      <c r="E1131" s="80"/>
      <c r="F1131" s="92"/>
      <c r="G1131" s="79"/>
      <c r="H1131" s="82"/>
      <c r="I1131" s="93" t="str">
        <f aca="false">IF(B1131="","",IFERROR(INDEX('CARNET DE SOUDURE'!$B$7:$B$1506,MATCH(B1131,'CARNET DE SOUDURE'!$K$7:$K$1506,0)),IFERROR(INDEX('CARNET DE SOUDURE'!$B$7:$B$1506,MATCH(B1131,'CARNET DE SOUDURE'!$M$7:$M$1506,0)),"")))</f>
        <v/>
      </c>
      <c r="J1131" s="78" t="str">
        <f aca="false">IF(B1131="","",IFERROR(INDEX('CARNET DE SOUDURE'!$E$7:$E$1506,MATCH(B1131,'CARNET DE SOUDURE'!$M$7:$M$1506,0)),""))</f>
        <v/>
      </c>
      <c r="K1131" s="78" t="str">
        <f aca="false">IF(B1131="","",IFERROR(INDEX('CARNET DE SOUDURE'!$E$7:$E$1506,MATCH(B1131,'CARNET DE SOUDURE'!$K$7:$K$1506,0)),""))</f>
        <v/>
      </c>
      <c r="L1131" s="78" t="str">
        <f aca="false">IF(B1131="","",IFERROR(INDEX('CARNET DE SOUDURE'!$D$7:$D$1506,MATCH(B1131,'CARNET DE SOUDURE'!$K$7:$K$1506,0)),IFERROR(INDEX('CARNET DE SOUDURE'!$D$7:$D$1506,MATCH(B1131,'CARNET DE SOUDURE'!$M$7:$M$1506,0)),"")))</f>
        <v/>
      </c>
      <c r="M1131" s="81" t="str">
        <f aca="false">IF(B1131="","",IF(OR(J1131&lt;&gt;"",K1131&lt;&gt;""),"POSÉ EN LIGNE",IF(H1131&lt;&gt;"","BARDÉ","EN STOCK")))</f>
        <v/>
      </c>
      <c r="N1131" s="79"/>
    </row>
    <row r="1132" customFormat="false" ht="15" hidden="false" customHeight="false" outlineLevel="0" collapsed="false">
      <c r="A1132" s="78" t="str">
        <f aca="false">IF(B1132="","",ROW()-6)</f>
        <v/>
      </c>
      <c r="B1132" s="90"/>
      <c r="C1132" s="91"/>
      <c r="D1132" s="91"/>
      <c r="E1132" s="80"/>
      <c r="F1132" s="92"/>
      <c r="G1132" s="79"/>
      <c r="H1132" s="82"/>
      <c r="I1132" s="93" t="str">
        <f aca="false">IF(B1132="","",IFERROR(INDEX('CARNET DE SOUDURE'!$B$7:$B$1506,MATCH(B1132,'CARNET DE SOUDURE'!$K$7:$K$1506,0)),IFERROR(INDEX('CARNET DE SOUDURE'!$B$7:$B$1506,MATCH(B1132,'CARNET DE SOUDURE'!$M$7:$M$1506,0)),"")))</f>
        <v/>
      </c>
      <c r="J1132" s="78" t="str">
        <f aca="false">IF(B1132="","",IFERROR(INDEX('CARNET DE SOUDURE'!$E$7:$E$1506,MATCH(B1132,'CARNET DE SOUDURE'!$M$7:$M$1506,0)),""))</f>
        <v/>
      </c>
      <c r="K1132" s="78" t="str">
        <f aca="false">IF(B1132="","",IFERROR(INDEX('CARNET DE SOUDURE'!$E$7:$E$1506,MATCH(B1132,'CARNET DE SOUDURE'!$K$7:$K$1506,0)),""))</f>
        <v/>
      </c>
      <c r="L1132" s="78" t="str">
        <f aca="false">IF(B1132="","",IFERROR(INDEX('CARNET DE SOUDURE'!$D$7:$D$1506,MATCH(B1132,'CARNET DE SOUDURE'!$K$7:$K$1506,0)),IFERROR(INDEX('CARNET DE SOUDURE'!$D$7:$D$1506,MATCH(B1132,'CARNET DE SOUDURE'!$M$7:$M$1506,0)),"")))</f>
        <v/>
      </c>
      <c r="M1132" s="81" t="str">
        <f aca="false">IF(B1132="","",IF(OR(J1132&lt;&gt;"",K1132&lt;&gt;""),"POSÉ EN LIGNE",IF(H1132&lt;&gt;"","BARDÉ","EN STOCK")))</f>
        <v/>
      </c>
      <c r="N1132" s="79"/>
    </row>
    <row r="1133" customFormat="false" ht="15" hidden="false" customHeight="false" outlineLevel="0" collapsed="false">
      <c r="A1133" s="78" t="str">
        <f aca="false">IF(B1133="","",ROW()-6)</f>
        <v/>
      </c>
      <c r="B1133" s="90"/>
      <c r="C1133" s="91"/>
      <c r="D1133" s="91"/>
      <c r="E1133" s="80"/>
      <c r="F1133" s="92"/>
      <c r="G1133" s="79"/>
      <c r="H1133" s="82"/>
      <c r="I1133" s="93" t="str">
        <f aca="false">IF(B1133="","",IFERROR(INDEX('CARNET DE SOUDURE'!$B$7:$B$1506,MATCH(B1133,'CARNET DE SOUDURE'!$K$7:$K$1506,0)),IFERROR(INDEX('CARNET DE SOUDURE'!$B$7:$B$1506,MATCH(B1133,'CARNET DE SOUDURE'!$M$7:$M$1506,0)),"")))</f>
        <v/>
      </c>
      <c r="J1133" s="78" t="str">
        <f aca="false">IF(B1133="","",IFERROR(INDEX('CARNET DE SOUDURE'!$E$7:$E$1506,MATCH(B1133,'CARNET DE SOUDURE'!$M$7:$M$1506,0)),""))</f>
        <v/>
      </c>
      <c r="K1133" s="78" t="str">
        <f aca="false">IF(B1133="","",IFERROR(INDEX('CARNET DE SOUDURE'!$E$7:$E$1506,MATCH(B1133,'CARNET DE SOUDURE'!$K$7:$K$1506,0)),""))</f>
        <v/>
      </c>
      <c r="L1133" s="78" t="str">
        <f aca="false">IF(B1133="","",IFERROR(INDEX('CARNET DE SOUDURE'!$D$7:$D$1506,MATCH(B1133,'CARNET DE SOUDURE'!$K$7:$K$1506,0)),IFERROR(INDEX('CARNET DE SOUDURE'!$D$7:$D$1506,MATCH(B1133,'CARNET DE SOUDURE'!$M$7:$M$1506,0)),"")))</f>
        <v/>
      </c>
      <c r="M1133" s="81" t="str">
        <f aca="false">IF(B1133="","",IF(OR(J1133&lt;&gt;"",K1133&lt;&gt;""),"POSÉ EN LIGNE",IF(H1133&lt;&gt;"","BARDÉ","EN STOCK")))</f>
        <v/>
      </c>
      <c r="N1133" s="79"/>
    </row>
    <row r="1134" customFormat="false" ht="15" hidden="false" customHeight="false" outlineLevel="0" collapsed="false">
      <c r="A1134" s="78" t="str">
        <f aca="false">IF(B1134="","",ROW()-6)</f>
        <v/>
      </c>
      <c r="B1134" s="90"/>
      <c r="C1134" s="91"/>
      <c r="D1134" s="91"/>
      <c r="E1134" s="80"/>
      <c r="F1134" s="92"/>
      <c r="G1134" s="79"/>
      <c r="H1134" s="82"/>
      <c r="I1134" s="93" t="str">
        <f aca="false">IF(B1134="","",IFERROR(INDEX('CARNET DE SOUDURE'!$B$7:$B$1506,MATCH(B1134,'CARNET DE SOUDURE'!$K$7:$K$1506,0)),IFERROR(INDEX('CARNET DE SOUDURE'!$B$7:$B$1506,MATCH(B1134,'CARNET DE SOUDURE'!$M$7:$M$1506,0)),"")))</f>
        <v/>
      </c>
      <c r="J1134" s="78" t="str">
        <f aca="false">IF(B1134="","",IFERROR(INDEX('CARNET DE SOUDURE'!$E$7:$E$1506,MATCH(B1134,'CARNET DE SOUDURE'!$M$7:$M$1506,0)),""))</f>
        <v/>
      </c>
      <c r="K1134" s="78" t="str">
        <f aca="false">IF(B1134="","",IFERROR(INDEX('CARNET DE SOUDURE'!$E$7:$E$1506,MATCH(B1134,'CARNET DE SOUDURE'!$K$7:$K$1506,0)),""))</f>
        <v/>
      </c>
      <c r="L1134" s="78" t="str">
        <f aca="false">IF(B1134="","",IFERROR(INDEX('CARNET DE SOUDURE'!$D$7:$D$1506,MATCH(B1134,'CARNET DE SOUDURE'!$K$7:$K$1506,0)),IFERROR(INDEX('CARNET DE SOUDURE'!$D$7:$D$1506,MATCH(B1134,'CARNET DE SOUDURE'!$M$7:$M$1506,0)),"")))</f>
        <v/>
      </c>
      <c r="M1134" s="81" t="str">
        <f aca="false">IF(B1134="","",IF(OR(J1134&lt;&gt;"",K1134&lt;&gt;""),"POSÉ EN LIGNE",IF(H1134&lt;&gt;"","BARDÉ","EN STOCK")))</f>
        <v/>
      </c>
      <c r="N1134" s="79"/>
    </row>
    <row r="1135" customFormat="false" ht="15" hidden="false" customHeight="false" outlineLevel="0" collapsed="false">
      <c r="A1135" s="78" t="str">
        <f aca="false">IF(B1135="","",ROW()-6)</f>
        <v/>
      </c>
      <c r="B1135" s="90"/>
      <c r="C1135" s="91"/>
      <c r="D1135" s="91"/>
      <c r="E1135" s="80"/>
      <c r="F1135" s="92"/>
      <c r="G1135" s="79"/>
      <c r="H1135" s="82"/>
      <c r="I1135" s="93" t="str">
        <f aca="false">IF(B1135="","",IFERROR(INDEX('CARNET DE SOUDURE'!$B$7:$B$1506,MATCH(B1135,'CARNET DE SOUDURE'!$K$7:$K$1506,0)),IFERROR(INDEX('CARNET DE SOUDURE'!$B$7:$B$1506,MATCH(B1135,'CARNET DE SOUDURE'!$M$7:$M$1506,0)),"")))</f>
        <v/>
      </c>
      <c r="J1135" s="78" t="str">
        <f aca="false">IF(B1135="","",IFERROR(INDEX('CARNET DE SOUDURE'!$E$7:$E$1506,MATCH(B1135,'CARNET DE SOUDURE'!$M$7:$M$1506,0)),""))</f>
        <v/>
      </c>
      <c r="K1135" s="78" t="str">
        <f aca="false">IF(B1135="","",IFERROR(INDEX('CARNET DE SOUDURE'!$E$7:$E$1506,MATCH(B1135,'CARNET DE SOUDURE'!$K$7:$K$1506,0)),""))</f>
        <v/>
      </c>
      <c r="L1135" s="78" t="str">
        <f aca="false">IF(B1135="","",IFERROR(INDEX('CARNET DE SOUDURE'!$D$7:$D$1506,MATCH(B1135,'CARNET DE SOUDURE'!$K$7:$K$1506,0)),IFERROR(INDEX('CARNET DE SOUDURE'!$D$7:$D$1506,MATCH(B1135,'CARNET DE SOUDURE'!$M$7:$M$1506,0)),"")))</f>
        <v/>
      </c>
      <c r="M1135" s="81" t="str">
        <f aca="false">IF(B1135="","",IF(OR(J1135&lt;&gt;"",K1135&lt;&gt;""),"POSÉ EN LIGNE",IF(H1135&lt;&gt;"","BARDÉ","EN STOCK")))</f>
        <v/>
      </c>
      <c r="N1135" s="79"/>
    </row>
    <row r="1136" customFormat="false" ht="15" hidden="false" customHeight="false" outlineLevel="0" collapsed="false">
      <c r="A1136" s="78" t="str">
        <f aca="false">IF(B1136="","",ROW()-6)</f>
        <v/>
      </c>
      <c r="B1136" s="90"/>
      <c r="C1136" s="91"/>
      <c r="D1136" s="91"/>
      <c r="E1136" s="80"/>
      <c r="F1136" s="92"/>
      <c r="G1136" s="79"/>
      <c r="H1136" s="82"/>
      <c r="I1136" s="93" t="str">
        <f aca="false">IF(B1136="","",IFERROR(INDEX('CARNET DE SOUDURE'!$B$7:$B$1506,MATCH(B1136,'CARNET DE SOUDURE'!$K$7:$K$1506,0)),IFERROR(INDEX('CARNET DE SOUDURE'!$B$7:$B$1506,MATCH(B1136,'CARNET DE SOUDURE'!$M$7:$M$1506,0)),"")))</f>
        <v/>
      </c>
      <c r="J1136" s="78" t="str">
        <f aca="false">IF(B1136="","",IFERROR(INDEX('CARNET DE SOUDURE'!$E$7:$E$1506,MATCH(B1136,'CARNET DE SOUDURE'!$M$7:$M$1506,0)),""))</f>
        <v/>
      </c>
      <c r="K1136" s="78" t="str">
        <f aca="false">IF(B1136="","",IFERROR(INDEX('CARNET DE SOUDURE'!$E$7:$E$1506,MATCH(B1136,'CARNET DE SOUDURE'!$K$7:$K$1506,0)),""))</f>
        <v/>
      </c>
      <c r="L1136" s="78" t="str">
        <f aca="false">IF(B1136="","",IFERROR(INDEX('CARNET DE SOUDURE'!$D$7:$D$1506,MATCH(B1136,'CARNET DE SOUDURE'!$K$7:$K$1506,0)),IFERROR(INDEX('CARNET DE SOUDURE'!$D$7:$D$1506,MATCH(B1136,'CARNET DE SOUDURE'!$M$7:$M$1506,0)),"")))</f>
        <v/>
      </c>
      <c r="M1136" s="81" t="str">
        <f aca="false">IF(B1136="","",IF(OR(J1136&lt;&gt;"",K1136&lt;&gt;""),"POSÉ EN LIGNE",IF(H1136&lt;&gt;"","BARDÉ","EN STOCK")))</f>
        <v/>
      </c>
      <c r="N1136" s="79"/>
    </row>
    <row r="1137" customFormat="false" ht="15" hidden="false" customHeight="false" outlineLevel="0" collapsed="false">
      <c r="A1137" s="78" t="str">
        <f aca="false">IF(B1137="","",ROW()-6)</f>
        <v/>
      </c>
      <c r="B1137" s="90"/>
      <c r="C1137" s="91"/>
      <c r="D1137" s="91"/>
      <c r="E1137" s="80"/>
      <c r="F1137" s="92"/>
      <c r="G1137" s="79"/>
      <c r="H1137" s="82"/>
      <c r="I1137" s="93" t="str">
        <f aca="false">IF(B1137="","",IFERROR(INDEX('CARNET DE SOUDURE'!$B$7:$B$1506,MATCH(B1137,'CARNET DE SOUDURE'!$K$7:$K$1506,0)),IFERROR(INDEX('CARNET DE SOUDURE'!$B$7:$B$1506,MATCH(B1137,'CARNET DE SOUDURE'!$M$7:$M$1506,0)),"")))</f>
        <v/>
      </c>
      <c r="J1137" s="78" t="str">
        <f aca="false">IF(B1137="","",IFERROR(INDEX('CARNET DE SOUDURE'!$E$7:$E$1506,MATCH(B1137,'CARNET DE SOUDURE'!$M$7:$M$1506,0)),""))</f>
        <v/>
      </c>
      <c r="K1137" s="78" t="str">
        <f aca="false">IF(B1137="","",IFERROR(INDEX('CARNET DE SOUDURE'!$E$7:$E$1506,MATCH(B1137,'CARNET DE SOUDURE'!$K$7:$K$1506,0)),""))</f>
        <v/>
      </c>
      <c r="L1137" s="78" t="str">
        <f aca="false">IF(B1137="","",IFERROR(INDEX('CARNET DE SOUDURE'!$D$7:$D$1506,MATCH(B1137,'CARNET DE SOUDURE'!$K$7:$K$1506,0)),IFERROR(INDEX('CARNET DE SOUDURE'!$D$7:$D$1506,MATCH(B1137,'CARNET DE SOUDURE'!$M$7:$M$1506,0)),"")))</f>
        <v/>
      </c>
      <c r="M1137" s="81" t="str">
        <f aca="false">IF(B1137="","",IF(OR(J1137&lt;&gt;"",K1137&lt;&gt;""),"POSÉ EN LIGNE",IF(H1137&lt;&gt;"","BARDÉ","EN STOCK")))</f>
        <v/>
      </c>
      <c r="N1137" s="79"/>
    </row>
    <row r="1138" customFormat="false" ht="15" hidden="false" customHeight="false" outlineLevel="0" collapsed="false">
      <c r="A1138" s="78" t="str">
        <f aca="false">IF(B1138="","",ROW()-6)</f>
        <v/>
      </c>
      <c r="B1138" s="90"/>
      <c r="C1138" s="91"/>
      <c r="D1138" s="91"/>
      <c r="E1138" s="80"/>
      <c r="F1138" s="92"/>
      <c r="G1138" s="79"/>
      <c r="H1138" s="82"/>
      <c r="I1138" s="93" t="str">
        <f aca="false">IF(B1138="","",IFERROR(INDEX('CARNET DE SOUDURE'!$B$7:$B$1506,MATCH(B1138,'CARNET DE SOUDURE'!$K$7:$K$1506,0)),IFERROR(INDEX('CARNET DE SOUDURE'!$B$7:$B$1506,MATCH(B1138,'CARNET DE SOUDURE'!$M$7:$M$1506,0)),"")))</f>
        <v/>
      </c>
      <c r="J1138" s="78" t="str">
        <f aca="false">IF(B1138="","",IFERROR(INDEX('CARNET DE SOUDURE'!$E$7:$E$1506,MATCH(B1138,'CARNET DE SOUDURE'!$M$7:$M$1506,0)),""))</f>
        <v/>
      </c>
      <c r="K1138" s="78" t="str">
        <f aca="false">IF(B1138="","",IFERROR(INDEX('CARNET DE SOUDURE'!$E$7:$E$1506,MATCH(B1138,'CARNET DE SOUDURE'!$K$7:$K$1506,0)),""))</f>
        <v/>
      </c>
      <c r="L1138" s="78" t="str">
        <f aca="false">IF(B1138="","",IFERROR(INDEX('CARNET DE SOUDURE'!$D$7:$D$1506,MATCH(B1138,'CARNET DE SOUDURE'!$K$7:$K$1506,0)),IFERROR(INDEX('CARNET DE SOUDURE'!$D$7:$D$1506,MATCH(B1138,'CARNET DE SOUDURE'!$M$7:$M$1506,0)),"")))</f>
        <v/>
      </c>
      <c r="M1138" s="81" t="str">
        <f aca="false">IF(B1138="","",IF(OR(J1138&lt;&gt;"",K1138&lt;&gt;""),"POSÉ EN LIGNE",IF(H1138&lt;&gt;"","BARDÉ","EN STOCK")))</f>
        <v/>
      </c>
      <c r="N1138" s="79"/>
    </row>
    <row r="1139" customFormat="false" ht="15" hidden="false" customHeight="false" outlineLevel="0" collapsed="false">
      <c r="A1139" s="78" t="str">
        <f aca="false">IF(B1139="","",ROW()-6)</f>
        <v/>
      </c>
      <c r="B1139" s="90"/>
      <c r="C1139" s="91"/>
      <c r="D1139" s="91"/>
      <c r="E1139" s="80"/>
      <c r="F1139" s="92"/>
      <c r="G1139" s="79"/>
      <c r="H1139" s="82"/>
      <c r="I1139" s="93" t="str">
        <f aca="false">IF(B1139="","",IFERROR(INDEX('CARNET DE SOUDURE'!$B$7:$B$1506,MATCH(B1139,'CARNET DE SOUDURE'!$K$7:$K$1506,0)),IFERROR(INDEX('CARNET DE SOUDURE'!$B$7:$B$1506,MATCH(B1139,'CARNET DE SOUDURE'!$M$7:$M$1506,0)),"")))</f>
        <v/>
      </c>
      <c r="J1139" s="78" t="str">
        <f aca="false">IF(B1139="","",IFERROR(INDEX('CARNET DE SOUDURE'!$E$7:$E$1506,MATCH(B1139,'CARNET DE SOUDURE'!$M$7:$M$1506,0)),""))</f>
        <v/>
      </c>
      <c r="K1139" s="78" t="str">
        <f aca="false">IF(B1139="","",IFERROR(INDEX('CARNET DE SOUDURE'!$E$7:$E$1506,MATCH(B1139,'CARNET DE SOUDURE'!$K$7:$K$1506,0)),""))</f>
        <v/>
      </c>
      <c r="L1139" s="78" t="str">
        <f aca="false">IF(B1139="","",IFERROR(INDEX('CARNET DE SOUDURE'!$D$7:$D$1506,MATCH(B1139,'CARNET DE SOUDURE'!$K$7:$K$1506,0)),IFERROR(INDEX('CARNET DE SOUDURE'!$D$7:$D$1506,MATCH(B1139,'CARNET DE SOUDURE'!$M$7:$M$1506,0)),"")))</f>
        <v/>
      </c>
      <c r="M1139" s="81" t="str">
        <f aca="false">IF(B1139="","",IF(OR(J1139&lt;&gt;"",K1139&lt;&gt;""),"POSÉ EN LIGNE",IF(H1139&lt;&gt;"","BARDÉ","EN STOCK")))</f>
        <v/>
      </c>
      <c r="N1139" s="79"/>
    </row>
    <row r="1140" customFormat="false" ht="15" hidden="false" customHeight="false" outlineLevel="0" collapsed="false">
      <c r="A1140" s="78" t="str">
        <f aca="false">IF(B1140="","",ROW()-6)</f>
        <v/>
      </c>
      <c r="B1140" s="90"/>
      <c r="C1140" s="91"/>
      <c r="D1140" s="91"/>
      <c r="E1140" s="80"/>
      <c r="F1140" s="92"/>
      <c r="G1140" s="79"/>
      <c r="H1140" s="82"/>
      <c r="I1140" s="93" t="str">
        <f aca="false">IF(B1140="","",IFERROR(INDEX('CARNET DE SOUDURE'!$B$7:$B$1506,MATCH(B1140,'CARNET DE SOUDURE'!$K$7:$K$1506,0)),IFERROR(INDEX('CARNET DE SOUDURE'!$B$7:$B$1506,MATCH(B1140,'CARNET DE SOUDURE'!$M$7:$M$1506,0)),"")))</f>
        <v/>
      </c>
      <c r="J1140" s="78" t="str">
        <f aca="false">IF(B1140="","",IFERROR(INDEX('CARNET DE SOUDURE'!$E$7:$E$1506,MATCH(B1140,'CARNET DE SOUDURE'!$M$7:$M$1506,0)),""))</f>
        <v/>
      </c>
      <c r="K1140" s="78" t="str">
        <f aca="false">IF(B1140="","",IFERROR(INDEX('CARNET DE SOUDURE'!$E$7:$E$1506,MATCH(B1140,'CARNET DE SOUDURE'!$K$7:$K$1506,0)),""))</f>
        <v/>
      </c>
      <c r="L1140" s="78" t="str">
        <f aca="false">IF(B1140="","",IFERROR(INDEX('CARNET DE SOUDURE'!$D$7:$D$1506,MATCH(B1140,'CARNET DE SOUDURE'!$K$7:$K$1506,0)),IFERROR(INDEX('CARNET DE SOUDURE'!$D$7:$D$1506,MATCH(B1140,'CARNET DE SOUDURE'!$M$7:$M$1506,0)),"")))</f>
        <v/>
      </c>
      <c r="M1140" s="81" t="str">
        <f aca="false">IF(B1140="","",IF(OR(J1140&lt;&gt;"",K1140&lt;&gt;""),"POSÉ EN LIGNE",IF(H1140&lt;&gt;"","BARDÉ","EN STOCK")))</f>
        <v/>
      </c>
      <c r="N1140" s="79"/>
    </row>
    <row r="1141" customFormat="false" ht="15" hidden="false" customHeight="false" outlineLevel="0" collapsed="false">
      <c r="A1141" s="78" t="str">
        <f aca="false">IF(B1141="","",ROW()-6)</f>
        <v/>
      </c>
      <c r="B1141" s="90"/>
      <c r="C1141" s="91"/>
      <c r="D1141" s="91"/>
      <c r="E1141" s="80"/>
      <c r="F1141" s="92"/>
      <c r="G1141" s="79"/>
      <c r="H1141" s="82"/>
      <c r="I1141" s="93" t="str">
        <f aca="false">IF(B1141="","",IFERROR(INDEX('CARNET DE SOUDURE'!$B$7:$B$1506,MATCH(B1141,'CARNET DE SOUDURE'!$K$7:$K$1506,0)),IFERROR(INDEX('CARNET DE SOUDURE'!$B$7:$B$1506,MATCH(B1141,'CARNET DE SOUDURE'!$M$7:$M$1506,0)),"")))</f>
        <v/>
      </c>
      <c r="J1141" s="78" t="str">
        <f aca="false">IF(B1141="","",IFERROR(INDEX('CARNET DE SOUDURE'!$E$7:$E$1506,MATCH(B1141,'CARNET DE SOUDURE'!$M$7:$M$1506,0)),""))</f>
        <v/>
      </c>
      <c r="K1141" s="78" t="str">
        <f aca="false">IF(B1141="","",IFERROR(INDEX('CARNET DE SOUDURE'!$E$7:$E$1506,MATCH(B1141,'CARNET DE SOUDURE'!$K$7:$K$1506,0)),""))</f>
        <v/>
      </c>
      <c r="L1141" s="78" t="str">
        <f aca="false">IF(B1141="","",IFERROR(INDEX('CARNET DE SOUDURE'!$D$7:$D$1506,MATCH(B1141,'CARNET DE SOUDURE'!$K$7:$K$1506,0)),IFERROR(INDEX('CARNET DE SOUDURE'!$D$7:$D$1506,MATCH(B1141,'CARNET DE SOUDURE'!$M$7:$M$1506,0)),"")))</f>
        <v/>
      </c>
      <c r="M1141" s="81" t="str">
        <f aca="false">IF(B1141="","",IF(OR(J1141&lt;&gt;"",K1141&lt;&gt;""),"POSÉ EN LIGNE",IF(H1141&lt;&gt;"","BARDÉ","EN STOCK")))</f>
        <v/>
      </c>
      <c r="N1141" s="79"/>
    </row>
    <row r="1142" customFormat="false" ht="15" hidden="false" customHeight="false" outlineLevel="0" collapsed="false">
      <c r="A1142" s="78" t="str">
        <f aca="false">IF(B1142="","",ROW()-6)</f>
        <v/>
      </c>
      <c r="B1142" s="90"/>
      <c r="C1142" s="91"/>
      <c r="D1142" s="91"/>
      <c r="E1142" s="80"/>
      <c r="F1142" s="92"/>
      <c r="G1142" s="79"/>
      <c r="H1142" s="82"/>
      <c r="I1142" s="93" t="str">
        <f aca="false">IF(B1142="","",IFERROR(INDEX('CARNET DE SOUDURE'!$B$7:$B$1506,MATCH(B1142,'CARNET DE SOUDURE'!$K$7:$K$1506,0)),IFERROR(INDEX('CARNET DE SOUDURE'!$B$7:$B$1506,MATCH(B1142,'CARNET DE SOUDURE'!$M$7:$M$1506,0)),"")))</f>
        <v/>
      </c>
      <c r="J1142" s="78" t="str">
        <f aca="false">IF(B1142="","",IFERROR(INDEX('CARNET DE SOUDURE'!$E$7:$E$1506,MATCH(B1142,'CARNET DE SOUDURE'!$M$7:$M$1506,0)),""))</f>
        <v/>
      </c>
      <c r="K1142" s="78" t="str">
        <f aca="false">IF(B1142="","",IFERROR(INDEX('CARNET DE SOUDURE'!$E$7:$E$1506,MATCH(B1142,'CARNET DE SOUDURE'!$K$7:$K$1506,0)),""))</f>
        <v/>
      </c>
      <c r="L1142" s="78" t="str">
        <f aca="false">IF(B1142="","",IFERROR(INDEX('CARNET DE SOUDURE'!$D$7:$D$1506,MATCH(B1142,'CARNET DE SOUDURE'!$K$7:$K$1506,0)),IFERROR(INDEX('CARNET DE SOUDURE'!$D$7:$D$1506,MATCH(B1142,'CARNET DE SOUDURE'!$M$7:$M$1506,0)),"")))</f>
        <v/>
      </c>
      <c r="M1142" s="81" t="str">
        <f aca="false">IF(B1142="","",IF(OR(J1142&lt;&gt;"",K1142&lt;&gt;""),"POSÉ EN LIGNE",IF(H1142&lt;&gt;"","BARDÉ","EN STOCK")))</f>
        <v/>
      </c>
      <c r="N1142" s="79"/>
    </row>
    <row r="1143" customFormat="false" ht="15" hidden="false" customHeight="false" outlineLevel="0" collapsed="false">
      <c r="A1143" s="78" t="str">
        <f aca="false">IF(B1143="","",ROW()-6)</f>
        <v/>
      </c>
      <c r="B1143" s="90"/>
      <c r="C1143" s="91"/>
      <c r="D1143" s="91"/>
      <c r="E1143" s="80"/>
      <c r="F1143" s="92"/>
      <c r="G1143" s="79"/>
      <c r="H1143" s="82"/>
      <c r="I1143" s="93" t="str">
        <f aca="false">IF(B1143="","",IFERROR(INDEX('CARNET DE SOUDURE'!$B$7:$B$1506,MATCH(B1143,'CARNET DE SOUDURE'!$K$7:$K$1506,0)),IFERROR(INDEX('CARNET DE SOUDURE'!$B$7:$B$1506,MATCH(B1143,'CARNET DE SOUDURE'!$M$7:$M$1506,0)),"")))</f>
        <v/>
      </c>
      <c r="J1143" s="78" t="str">
        <f aca="false">IF(B1143="","",IFERROR(INDEX('CARNET DE SOUDURE'!$E$7:$E$1506,MATCH(B1143,'CARNET DE SOUDURE'!$M$7:$M$1506,0)),""))</f>
        <v/>
      </c>
      <c r="K1143" s="78" t="str">
        <f aca="false">IF(B1143="","",IFERROR(INDEX('CARNET DE SOUDURE'!$E$7:$E$1506,MATCH(B1143,'CARNET DE SOUDURE'!$K$7:$K$1506,0)),""))</f>
        <v/>
      </c>
      <c r="L1143" s="78" t="str">
        <f aca="false">IF(B1143="","",IFERROR(INDEX('CARNET DE SOUDURE'!$D$7:$D$1506,MATCH(B1143,'CARNET DE SOUDURE'!$K$7:$K$1506,0)),IFERROR(INDEX('CARNET DE SOUDURE'!$D$7:$D$1506,MATCH(B1143,'CARNET DE SOUDURE'!$M$7:$M$1506,0)),"")))</f>
        <v/>
      </c>
      <c r="M1143" s="81" t="str">
        <f aca="false">IF(B1143="","",IF(OR(J1143&lt;&gt;"",K1143&lt;&gt;""),"POSÉ EN LIGNE",IF(H1143&lt;&gt;"","BARDÉ","EN STOCK")))</f>
        <v/>
      </c>
      <c r="N1143" s="79"/>
    </row>
    <row r="1144" customFormat="false" ht="15" hidden="false" customHeight="false" outlineLevel="0" collapsed="false">
      <c r="A1144" s="78" t="str">
        <f aca="false">IF(B1144="","",ROW()-6)</f>
        <v/>
      </c>
      <c r="B1144" s="90"/>
      <c r="C1144" s="91"/>
      <c r="D1144" s="91"/>
      <c r="E1144" s="80"/>
      <c r="F1144" s="92"/>
      <c r="G1144" s="79"/>
      <c r="H1144" s="82"/>
      <c r="I1144" s="93" t="str">
        <f aca="false">IF(B1144="","",IFERROR(INDEX('CARNET DE SOUDURE'!$B$7:$B$1506,MATCH(B1144,'CARNET DE SOUDURE'!$K$7:$K$1506,0)),IFERROR(INDEX('CARNET DE SOUDURE'!$B$7:$B$1506,MATCH(B1144,'CARNET DE SOUDURE'!$M$7:$M$1506,0)),"")))</f>
        <v/>
      </c>
      <c r="J1144" s="78" t="str">
        <f aca="false">IF(B1144="","",IFERROR(INDEX('CARNET DE SOUDURE'!$E$7:$E$1506,MATCH(B1144,'CARNET DE SOUDURE'!$M$7:$M$1506,0)),""))</f>
        <v/>
      </c>
      <c r="K1144" s="78" t="str">
        <f aca="false">IF(B1144="","",IFERROR(INDEX('CARNET DE SOUDURE'!$E$7:$E$1506,MATCH(B1144,'CARNET DE SOUDURE'!$K$7:$K$1506,0)),""))</f>
        <v/>
      </c>
      <c r="L1144" s="78" t="str">
        <f aca="false">IF(B1144="","",IFERROR(INDEX('CARNET DE SOUDURE'!$D$7:$D$1506,MATCH(B1144,'CARNET DE SOUDURE'!$K$7:$K$1506,0)),IFERROR(INDEX('CARNET DE SOUDURE'!$D$7:$D$1506,MATCH(B1144,'CARNET DE SOUDURE'!$M$7:$M$1506,0)),"")))</f>
        <v/>
      </c>
      <c r="M1144" s="81" t="str">
        <f aca="false">IF(B1144="","",IF(OR(J1144&lt;&gt;"",K1144&lt;&gt;""),"POSÉ EN LIGNE",IF(H1144&lt;&gt;"","BARDÉ","EN STOCK")))</f>
        <v/>
      </c>
      <c r="N1144" s="79"/>
    </row>
    <row r="1145" customFormat="false" ht="15" hidden="false" customHeight="false" outlineLevel="0" collapsed="false">
      <c r="A1145" s="78" t="str">
        <f aca="false">IF(B1145="","",ROW()-6)</f>
        <v/>
      </c>
      <c r="B1145" s="90"/>
      <c r="C1145" s="91"/>
      <c r="D1145" s="91"/>
      <c r="E1145" s="80"/>
      <c r="F1145" s="92"/>
      <c r="G1145" s="79"/>
      <c r="H1145" s="82"/>
      <c r="I1145" s="93" t="str">
        <f aca="false">IF(B1145="","",IFERROR(INDEX('CARNET DE SOUDURE'!$B$7:$B$1506,MATCH(B1145,'CARNET DE SOUDURE'!$K$7:$K$1506,0)),IFERROR(INDEX('CARNET DE SOUDURE'!$B$7:$B$1506,MATCH(B1145,'CARNET DE SOUDURE'!$M$7:$M$1506,0)),"")))</f>
        <v/>
      </c>
      <c r="J1145" s="78" t="str">
        <f aca="false">IF(B1145="","",IFERROR(INDEX('CARNET DE SOUDURE'!$E$7:$E$1506,MATCH(B1145,'CARNET DE SOUDURE'!$M$7:$M$1506,0)),""))</f>
        <v/>
      </c>
      <c r="K1145" s="78" t="str">
        <f aca="false">IF(B1145="","",IFERROR(INDEX('CARNET DE SOUDURE'!$E$7:$E$1506,MATCH(B1145,'CARNET DE SOUDURE'!$K$7:$K$1506,0)),""))</f>
        <v/>
      </c>
      <c r="L1145" s="78" t="str">
        <f aca="false">IF(B1145="","",IFERROR(INDEX('CARNET DE SOUDURE'!$D$7:$D$1506,MATCH(B1145,'CARNET DE SOUDURE'!$K$7:$K$1506,0)),IFERROR(INDEX('CARNET DE SOUDURE'!$D$7:$D$1506,MATCH(B1145,'CARNET DE SOUDURE'!$M$7:$M$1506,0)),"")))</f>
        <v/>
      </c>
      <c r="M1145" s="81" t="str">
        <f aca="false">IF(B1145="","",IF(OR(J1145&lt;&gt;"",K1145&lt;&gt;""),"POSÉ EN LIGNE",IF(H1145&lt;&gt;"","BARDÉ","EN STOCK")))</f>
        <v/>
      </c>
      <c r="N1145" s="79"/>
    </row>
    <row r="1146" customFormat="false" ht="15" hidden="false" customHeight="false" outlineLevel="0" collapsed="false">
      <c r="A1146" s="78" t="str">
        <f aca="false">IF(B1146="","",ROW()-6)</f>
        <v/>
      </c>
      <c r="B1146" s="90"/>
      <c r="C1146" s="91"/>
      <c r="D1146" s="91"/>
      <c r="E1146" s="80"/>
      <c r="F1146" s="92"/>
      <c r="G1146" s="79"/>
      <c r="H1146" s="82"/>
      <c r="I1146" s="93" t="str">
        <f aca="false">IF(B1146="","",IFERROR(INDEX('CARNET DE SOUDURE'!$B$7:$B$1506,MATCH(B1146,'CARNET DE SOUDURE'!$K$7:$K$1506,0)),IFERROR(INDEX('CARNET DE SOUDURE'!$B$7:$B$1506,MATCH(B1146,'CARNET DE SOUDURE'!$M$7:$M$1506,0)),"")))</f>
        <v/>
      </c>
      <c r="J1146" s="78" t="str">
        <f aca="false">IF(B1146="","",IFERROR(INDEX('CARNET DE SOUDURE'!$E$7:$E$1506,MATCH(B1146,'CARNET DE SOUDURE'!$M$7:$M$1506,0)),""))</f>
        <v/>
      </c>
      <c r="K1146" s="78" t="str">
        <f aca="false">IF(B1146="","",IFERROR(INDEX('CARNET DE SOUDURE'!$E$7:$E$1506,MATCH(B1146,'CARNET DE SOUDURE'!$K$7:$K$1506,0)),""))</f>
        <v/>
      </c>
      <c r="L1146" s="78" t="str">
        <f aca="false">IF(B1146="","",IFERROR(INDEX('CARNET DE SOUDURE'!$D$7:$D$1506,MATCH(B1146,'CARNET DE SOUDURE'!$K$7:$K$1506,0)),IFERROR(INDEX('CARNET DE SOUDURE'!$D$7:$D$1506,MATCH(B1146,'CARNET DE SOUDURE'!$M$7:$M$1506,0)),"")))</f>
        <v/>
      </c>
      <c r="M1146" s="81" t="str">
        <f aca="false">IF(B1146="","",IF(OR(J1146&lt;&gt;"",K1146&lt;&gt;""),"POSÉ EN LIGNE",IF(H1146&lt;&gt;"","BARDÉ","EN STOCK")))</f>
        <v/>
      </c>
      <c r="N1146" s="79"/>
    </row>
    <row r="1147" customFormat="false" ht="15" hidden="false" customHeight="false" outlineLevel="0" collapsed="false">
      <c r="A1147" s="78" t="str">
        <f aca="false">IF(B1147="","",ROW()-6)</f>
        <v/>
      </c>
      <c r="B1147" s="90"/>
      <c r="C1147" s="91"/>
      <c r="D1147" s="91"/>
      <c r="E1147" s="80"/>
      <c r="F1147" s="92"/>
      <c r="G1147" s="79"/>
      <c r="H1147" s="82"/>
      <c r="I1147" s="93" t="str">
        <f aca="false">IF(B1147="","",IFERROR(INDEX('CARNET DE SOUDURE'!$B$7:$B$1506,MATCH(B1147,'CARNET DE SOUDURE'!$K$7:$K$1506,0)),IFERROR(INDEX('CARNET DE SOUDURE'!$B$7:$B$1506,MATCH(B1147,'CARNET DE SOUDURE'!$M$7:$M$1506,0)),"")))</f>
        <v/>
      </c>
      <c r="J1147" s="78" t="str">
        <f aca="false">IF(B1147="","",IFERROR(INDEX('CARNET DE SOUDURE'!$E$7:$E$1506,MATCH(B1147,'CARNET DE SOUDURE'!$M$7:$M$1506,0)),""))</f>
        <v/>
      </c>
      <c r="K1147" s="78" t="str">
        <f aca="false">IF(B1147="","",IFERROR(INDEX('CARNET DE SOUDURE'!$E$7:$E$1506,MATCH(B1147,'CARNET DE SOUDURE'!$K$7:$K$1506,0)),""))</f>
        <v/>
      </c>
      <c r="L1147" s="78" t="str">
        <f aca="false">IF(B1147="","",IFERROR(INDEX('CARNET DE SOUDURE'!$D$7:$D$1506,MATCH(B1147,'CARNET DE SOUDURE'!$K$7:$K$1506,0)),IFERROR(INDEX('CARNET DE SOUDURE'!$D$7:$D$1506,MATCH(B1147,'CARNET DE SOUDURE'!$M$7:$M$1506,0)),"")))</f>
        <v/>
      </c>
      <c r="M1147" s="81" t="str">
        <f aca="false">IF(B1147="","",IF(OR(J1147&lt;&gt;"",K1147&lt;&gt;""),"POSÉ EN LIGNE",IF(H1147&lt;&gt;"","BARDÉ","EN STOCK")))</f>
        <v/>
      </c>
      <c r="N1147" s="79"/>
    </row>
    <row r="1148" customFormat="false" ht="15" hidden="false" customHeight="false" outlineLevel="0" collapsed="false">
      <c r="A1148" s="78" t="str">
        <f aca="false">IF(B1148="","",ROW()-6)</f>
        <v/>
      </c>
      <c r="B1148" s="90"/>
      <c r="C1148" s="91"/>
      <c r="D1148" s="91"/>
      <c r="E1148" s="80"/>
      <c r="F1148" s="92"/>
      <c r="G1148" s="79"/>
      <c r="H1148" s="82"/>
      <c r="I1148" s="93" t="str">
        <f aca="false">IF(B1148="","",IFERROR(INDEX('CARNET DE SOUDURE'!$B$7:$B$1506,MATCH(B1148,'CARNET DE SOUDURE'!$K$7:$K$1506,0)),IFERROR(INDEX('CARNET DE SOUDURE'!$B$7:$B$1506,MATCH(B1148,'CARNET DE SOUDURE'!$M$7:$M$1506,0)),"")))</f>
        <v/>
      </c>
      <c r="J1148" s="78" t="str">
        <f aca="false">IF(B1148="","",IFERROR(INDEX('CARNET DE SOUDURE'!$E$7:$E$1506,MATCH(B1148,'CARNET DE SOUDURE'!$M$7:$M$1506,0)),""))</f>
        <v/>
      </c>
      <c r="K1148" s="78" t="str">
        <f aca="false">IF(B1148="","",IFERROR(INDEX('CARNET DE SOUDURE'!$E$7:$E$1506,MATCH(B1148,'CARNET DE SOUDURE'!$K$7:$K$1506,0)),""))</f>
        <v/>
      </c>
      <c r="L1148" s="78" t="str">
        <f aca="false">IF(B1148="","",IFERROR(INDEX('CARNET DE SOUDURE'!$D$7:$D$1506,MATCH(B1148,'CARNET DE SOUDURE'!$K$7:$K$1506,0)),IFERROR(INDEX('CARNET DE SOUDURE'!$D$7:$D$1506,MATCH(B1148,'CARNET DE SOUDURE'!$M$7:$M$1506,0)),"")))</f>
        <v/>
      </c>
      <c r="M1148" s="81" t="str">
        <f aca="false">IF(B1148="","",IF(OR(J1148&lt;&gt;"",K1148&lt;&gt;""),"POSÉ EN LIGNE",IF(H1148&lt;&gt;"","BARDÉ","EN STOCK")))</f>
        <v/>
      </c>
      <c r="N1148" s="79"/>
    </row>
    <row r="1149" customFormat="false" ht="15" hidden="false" customHeight="false" outlineLevel="0" collapsed="false">
      <c r="A1149" s="78" t="str">
        <f aca="false">IF(B1149="","",ROW()-6)</f>
        <v/>
      </c>
      <c r="B1149" s="90"/>
      <c r="C1149" s="91"/>
      <c r="D1149" s="91"/>
      <c r="E1149" s="80"/>
      <c r="F1149" s="92"/>
      <c r="G1149" s="79"/>
      <c r="H1149" s="82"/>
      <c r="I1149" s="93" t="str">
        <f aca="false">IF(B1149="","",IFERROR(INDEX('CARNET DE SOUDURE'!$B$7:$B$1506,MATCH(B1149,'CARNET DE SOUDURE'!$K$7:$K$1506,0)),IFERROR(INDEX('CARNET DE SOUDURE'!$B$7:$B$1506,MATCH(B1149,'CARNET DE SOUDURE'!$M$7:$M$1506,0)),"")))</f>
        <v/>
      </c>
      <c r="J1149" s="78" t="str">
        <f aca="false">IF(B1149="","",IFERROR(INDEX('CARNET DE SOUDURE'!$E$7:$E$1506,MATCH(B1149,'CARNET DE SOUDURE'!$M$7:$M$1506,0)),""))</f>
        <v/>
      </c>
      <c r="K1149" s="78" t="str">
        <f aca="false">IF(B1149="","",IFERROR(INDEX('CARNET DE SOUDURE'!$E$7:$E$1506,MATCH(B1149,'CARNET DE SOUDURE'!$K$7:$K$1506,0)),""))</f>
        <v/>
      </c>
      <c r="L1149" s="78" t="str">
        <f aca="false">IF(B1149="","",IFERROR(INDEX('CARNET DE SOUDURE'!$D$7:$D$1506,MATCH(B1149,'CARNET DE SOUDURE'!$K$7:$K$1506,0)),IFERROR(INDEX('CARNET DE SOUDURE'!$D$7:$D$1506,MATCH(B1149,'CARNET DE SOUDURE'!$M$7:$M$1506,0)),"")))</f>
        <v/>
      </c>
      <c r="M1149" s="81" t="str">
        <f aca="false">IF(B1149="","",IF(OR(J1149&lt;&gt;"",K1149&lt;&gt;""),"POSÉ EN LIGNE",IF(H1149&lt;&gt;"","BARDÉ","EN STOCK")))</f>
        <v/>
      </c>
      <c r="N1149" s="79"/>
    </row>
    <row r="1150" customFormat="false" ht="15" hidden="false" customHeight="false" outlineLevel="0" collapsed="false">
      <c r="A1150" s="78" t="str">
        <f aca="false">IF(B1150="","",ROW()-6)</f>
        <v/>
      </c>
      <c r="B1150" s="90"/>
      <c r="C1150" s="91"/>
      <c r="D1150" s="91"/>
      <c r="E1150" s="80"/>
      <c r="F1150" s="92"/>
      <c r="G1150" s="79"/>
      <c r="H1150" s="82"/>
      <c r="I1150" s="93" t="str">
        <f aca="false">IF(B1150="","",IFERROR(INDEX('CARNET DE SOUDURE'!$B$7:$B$1506,MATCH(B1150,'CARNET DE SOUDURE'!$K$7:$K$1506,0)),IFERROR(INDEX('CARNET DE SOUDURE'!$B$7:$B$1506,MATCH(B1150,'CARNET DE SOUDURE'!$M$7:$M$1506,0)),"")))</f>
        <v/>
      </c>
      <c r="J1150" s="78" t="str">
        <f aca="false">IF(B1150="","",IFERROR(INDEX('CARNET DE SOUDURE'!$E$7:$E$1506,MATCH(B1150,'CARNET DE SOUDURE'!$M$7:$M$1506,0)),""))</f>
        <v/>
      </c>
      <c r="K1150" s="78" t="str">
        <f aca="false">IF(B1150="","",IFERROR(INDEX('CARNET DE SOUDURE'!$E$7:$E$1506,MATCH(B1150,'CARNET DE SOUDURE'!$K$7:$K$1506,0)),""))</f>
        <v/>
      </c>
      <c r="L1150" s="78" t="str">
        <f aca="false">IF(B1150="","",IFERROR(INDEX('CARNET DE SOUDURE'!$D$7:$D$1506,MATCH(B1150,'CARNET DE SOUDURE'!$K$7:$K$1506,0)),IFERROR(INDEX('CARNET DE SOUDURE'!$D$7:$D$1506,MATCH(B1150,'CARNET DE SOUDURE'!$M$7:$M$1506,0)),"")))</f>
        <v/>
      </c>
      <c r="M1150" s="81" t="str">
        <f aca="false">IF(B1150="","",IF(OR(J1150&lt;&gt;"",K1150&lt;&gt;""),"POSÉ EN LIGNE",IF(H1150&lt;&gt;"","BARDÉ","EN STOCK")))</f>
        <v/>
      </c>
      <c r="N1150" s="79"/>
    </row>
    <row r="1151" customFormat="false" ht="15" hidden="false" customHeight="false" outlineLevel="0" collapsed="false">
      <c r="A1151" s="78" t="str">
        <f aca="false">IF(B1151="","",ROW()-6)</f>
        <v/>
      </c>
      <c r="B1151" s="90"/>
      <c r="C1151" s="91"/>
      <c r="D1151" s="91"/>
      <c r="E1151" s="80"/>
      <c r="F1151" s="92"/>
      <c r="G1151" s="79"/>
      <c r="H1151" s="82"/>
      <c r="I1151" s="93" t="str">
        <f aca="false">IF(B1151="","",IFERROR(INDEX('CARNET DE SOUDURE'!$B$7:$B$1506,MATCH(B1151,'CARNET DE SOUDURE'!$K$7:$K$1506,0)),IFERROR(INDEX('CARNET DE SOUDURE'!$B$7:$B$1506,MATCH(B1151,'CARNET DE SOUDURE'!$M$7:$M$1506,0)),"")))</f>
        <v/>
      </c>
      <c r="J1151" s="78" t="str">
        <f aca="false">IF(B1151="","",IFERROR(INDEX('CARNET DE SOUDURE'!$E$7:$E$1506,MATCH(B1151,'CARNET DE SOUDURE'!$M$7:$M$1506,0)),""))</f>
        <v/>
      </c>
      <c r="K1151" s="78" t="str">
        <f aca="false">IF(B1151="","",IFERROR(INDEX('CARNET DE SOUDURE'!$E$7:$E$1506,MATCH(B1151,'CARNET DE SOUDURE'!$K$7:$K$1506,0)),""))</f>
        <v/>
      </c>
      <c r="L1151" s="78" t="str">
        <f aca="false">IF(B1151="","",IFERROR(INDEX('CARNET DE SOUDURE'!$D$7:$D$1506,MATCH(B1151,'CARNET DE SOUDURE'!$K$7:$K$1506,0)),IFERROR(INDEX('CARNET DE SOUDURE'!$D$7:$D$1506,MATCH(B1151,'CARNET DE SOUDURE'!$M$7:$M$1506,0)),"")))</f>
        <v/>
      </c>
      <c r="M1151" s="81" t="str">
        <f aca="false">IF(B1151="","",IF(OR(J1151&lt;&gt;"",K1151&lt;&gt;""),"POSÉ EN LIGNE",IF(H1151&lt;&gt;"","BARDÉ","EN STOCK")))</f>
        <v/>
      </c>
      <c r="N1151" s="79"/>
    </row>
    <row r="1152" customFormat="false" ht="15" hidden="false" customHeight="false" outlineLevel="0" collapsed="false">
      <c r="A1152" s="78" t="str">
        <f aca="false">IF(B1152="","",ROW()-6)</f>
        <v/>
      </c>
      <c r="B1152" s="90"/>
      <c r="C1152" s="91"/>
      <c r="D1152" s="91"/>
      <c r="E1152" s="80"/>
      <c r="F1152" s="92"/>
      <c r="G1152" s="79"/>
      <c r="H1152" s="82"/>
      <c r="I1152" s="93" t="str">
        <f aca="false">IF(B1152="","",IFERROR(INDEX('CARNET DE SOUDURE'!$B$7:$B$1506,MATCH(B1152,'CARNET DE SOUDURE'!$K$7:$K$1506,0)),IFERROR(INDEX('CARNET DE SOUDURE'!$B$7:$B$1506,MATCH(B1152,'CARNET DE SOUDURE'!$M$7:$M$1506,0)),"")))</f>
        <v/>
      </c>
      <c r="J1152" s="78" t="str">
        <f aca="false">IF(B1152="","",IFERROR(INDEX('CARNET DE SOUDURE'!$E$7:$E$1506,MATCH(B1152,'CARNET DE SOUDURE'!$M$7:$M$1506,0)),""))</f>
        <v/>
      </c>
      <c r="K1152" s="78" t="str">
        <f aca="false">IF(B1152="","",IFERROR(INDEX('CARNET DE SOUDURE'!$E$7:$E$1506,MATCH(B1152,'CARNET DE SOUDURE'!$K$7:$K$1506,0)),""))</f>
        <v/>
      </c>
      <c r="L1152" s="78" t="str">
        <f aca="false">IF(B1152="","",IFERROR(INDEX('CARNET DE SOUDURE'!$D$7:$D$1506,MATCH(B1152,'CARNET DE SOUDURE'!$K$7:$K$1506,0)),IFERROR(INDEX('CARNET DE SOUDURE'!$D$7:$D$1506,MATCH(B1152,'CARNET DE SOUDURE'!$M$7:$M$1506,0)),"")))</f>
        <v/>
      </c>
      <c r="M1152" s="81" t="str">
        <f aca="false">IF(B1152="","",IF(OR(J1152&lt;&gt;"",K1152&lt;&gt;""),"POSÉ EN LIGNE",IF(H1152&lt;&gt;"","BARDÉ","EN STOCK")))</f>
        <v/>
      </c>
      <c r="N1152" s="79"/>
    </row>
    <row r="1153" customFormat="false" ht="15" hidden="false" customHeight="false" outlineLevel="0" collapsed="false">
      <c r="A1153" s="78" t="str">
        <f aca="false">IF(B1153="","",ROW()-6)</f>
        <v/>
      </c>
      <c r="B1153" s="90"/>
      <c r="C1153" s="91"/>
      <c r="D1153" s="91"/>
      <c r="E1153" s="80"/>
      <c r="F1153" s="92"/>
      <c r="G1153" s="79"/>
      <c r="H1153" s="82"/>
      <c r="I1153" s="93" t="str">
        <f aca="false">IF(B1153="","",IFERROR(INDEX('CARNET DE SOUDURE'!$B$7:$B$1506,MATCH(B1153,'CARNET DE SOUDURE'!$K$7:$K$1506,0)),IFERROR(INDEX('CARNET DE SOUDURE'!$B$7:$B$1506,MATCH(B1153,'CARNET DE SOUDURE'!$M$7:$M$1506,0)),"")))</f>
        <v/>
      </c>
      <c r="J1153" s="78" t="str">
        <f aca="false">IF(B1153="","",IFERROR(INDEX('CARNET DE SOUDURE'!$E$7:$E$1506,MATCH(B1153,'CARNET DE SOUDURE'!$M$7:$M$1506,0)),""))</f>
        <v/>
      </c>
      <c r="K1153" s="78" t="str">
        <f aca="false">IF(B1153="","",IFERROR(INDEX('CARNET DE SOUDURE'!$E$7:$E$1506,MATCH(B1153,'CARNET DE SOUDURE'!$K$7:$K$1506,0)),""))</f>
        <v/>
      </c>
      <c r="L1153" s="78" t="str">
        <f aca="false">IF(B1153="","",IFERROR(INDEX('CARNET DE SOUDURE'!$D$7:$D$1506,MATCH(B1153,'CARNET DE SOUDURE'!$K$7:$K$1506,0)),IFERROR(INDEX('CARNET DE SOUDURE'!$D$7:$D$1506,MATCH(B1153,'CARNET DE SOUDURE'!$M$7:$M$1506,0)),"")))</f>
        <v/>
      </c>
      <c r="M1153" s="81" t="str">
        <f aca="false">IF(B1153="","",IF(OR(J1153&lt;&gt;"",K1153&lt;&gt;""),"POSÉ EN LIGNE",IF(H1153&lt;&gt;"","BARDÉ","EN STOCK")))</f>
        <v/>
      </c>
      <c r="N1153" s="79"/>
    </row>
    <row r="1154" customFormat="false" ht="15" hidden="false" customHeight="false" outlineLevel="0" collapsed="false">
      <c r="A1154" s="78" t="str">
        <f aca="false">IF(B1154="","",ROW()-6)</f>
        <v/>
      </c>
      <c r="B1154" s="90"/>
      <c r="C1154" s="91"/>
      <c r="D1154" s="91"/>
      <c r="E1154" s="80"/>
      <c r="F1154" s="92"/>
      <c r="G1154" s="79"/>
      <c r="H1154" s="82"/>
      <c r="I1154" s="93" t="str">
        <f aca="false">IF(B1154="","",IFERROR(INDEX('CARNET DE SOUDURE'!$B$7:$B$1506,MATCH(B1154,'CARNET DE SOUDURE'!$K$7:$K$1506,0)),IFERROR(INDEX('CARNET DE SOUDURE'!$B$7:$B$1506,MATCH(B1154,'CARNET DE SOUDURE'!$M$7:$M$1506,0)),"")))</f>
        <v/>
      </c>
      <c r="J1154" s="78" t="str">
        <f aca="false">IF(B1154="","",IFERROR(INDEX('CARNET DE SOUDURE'!$E$7:$E$1506,MATCH(B1154,'CARNET DE SOUDURE'!$M$7:$M$1506,0)),""))</f>
        <v/>
      </c>
      <c r="K1154" s="78" t="str">
        <f aca="false">IF(B1154="","",IFERROR(INDEX('CARNET DE SOUDURE'!$E$7:$E$1506,MATCH(B1154,'CARNET DE SOUDURE'!$K$7:$K$1506,0)),""))</f>
        <v/>
      </c>
      <c r="L1154" s="78" t="str">
        <f aca="false">IF(B1154="","",IFERROR(INDEX('CARNET DE SOUDURE'!$D$7:$D$1506,MATCH(B1154,'CARNET DE SOUDURE'!$K$7:$K$1506,0)),IFERROR(INDEX('CARNET DE SOUDURE'!$D$7:$D$1506,MATCH(B1154,'CARNET DE SOUDURE'!$M$7:$M$1506,0)),"")))</f>
        <v/>
      </c>
      <c r="M1154" s="81" t="str">
        <f aca="false">IF(B1154="","",IF(OR(J1154&lt;&gt;"",K1154&lt;&gt;""),"POSÉ EN LIGNE",IF(H1154&lt;&gt;"","BARDÉ","EN STOCK")))</f>
        <v/>
      </c>
      <c r="N1154" s="79"/>
    </row>
    <row r="1155" customFormat="false" ht="15" hidden="false" customHeight="false" outlineLevel="0" collapsed="false">
      <c r="A1155" s="78" t="str">
        <f aca="false">IF(B1155="","",ROW()-6)</f>
        <v/>
      </c>
      <c r="B1155" s="90"/>
      <c r="C1155" s="91"/>
      <c r="D1155" s="91"/>
      <c r="E1155" s="80"/>
      <c r="F1155" s="92"/>
      <c r="G1155" s="79"/>
      <c r="H1155" s="82"/>
      <c r="I1155" s="93" t="str">
        <f aca="false">IF(B1155="","",IFERROR(INDEX('CARNET DE SOUDURE'!$B$7:$B$1506,MATCH(B1155,'CARNET DE SOUDURE'!$K$7:$K$1506,0)),IFERROR(INDEX('CARNET DE SOUDURE'!$B$7:$B$1506,MATCH(B1155,'CARNET DE SOUDURE'!$M$7:$M$1506,0)),"")))</f>
        <v/>
      </c>
      <c r="J1155" s="78" t="str">
        <f aca="false">IF(B1155="","",IFERROR(INDEX('CARNET DE SOUDURE'!$E$7:$E$1506,MATCH(B1155,'CARNET DE SOUDURE'!$M$7:$M$1506,0)),""))</f>
        <v/>
      </c>
      <c r="K1155" s="78" t="str">
        <f aca="false">IF(B1155="","",IFERROR(INDEX('CARNET DE SOUDURE'!$E$7:$E$1506,MATCH(B1155,'CARNET DE SOUDURE'!$K$7:$K$1506,0)),""))</f>
        <v/>
      </c>
      <c r="L1155" s="78" t="str">
        <f aca="false">IF(B1155="","",IFERROR(INDEX('CARNET DE SOUDURE'!$D$7:$D$1506,MATCH(B1155,'CARNET DE SOUDURE'!$K$7:$K$1506,0)),IFERROR(INDEX('CARNET DE SOUDURE'!$D$7:$D$1506,MATCH(B1155,'CARNET DE SOUDURE'!$M$7:$M$1506,0)),"")))</f>
        <v/>
      </c>
      <c r="M1155" s="81" t="str">
        <f aca="false">IF(B1155="","",IF(OR(J1155&lt;&gt;"",K1155&lt;&gt;""),"POSÉ EN LIGNE",IF(H1155&lt;&gt;"","BARDÉ","EN STOCK")))</f>
        <v/>
      </c>
      <c r="N1155" s="79"/>
    </row>
    <row r="1156" customFormat="false" ht="15" hidden="false" customHeight="false" outlineLevel="0" collapsed="false">
      <c r="A1156" s="78" t="str">
        <f aca="false">IF(B1156="","",ROW()-6)</f>
        <v/>
      </c>
      <c r="B1156" s="90"/>
      <c r="C1156" s="91"/>
      <c r="D1156" s="91"/>
      <c r="E1156" s="80"/>
      <c r="F1156" s="92"/>
      <c r="G1156" s="79"/>
      <c r="H1156" s="82"/>
      <c r="I1156" s="93" t="str">
        <f aca="false">IF(B1156="","",IFERROR(INDEX('CARNET DE SOUDURE'!$B$7:$B$1506,MATCH(B1156,'CARNET DE SOUDURE'!$K$7:$K$1506,0)),IFERROR(INDEX('CARNET DE SOUDURE'!$B$7:$B$1506,MATCH(B1156,'CARNET DE SOUDURE'!$M$7:$M$1506,0)),"")))</f>
        <v/>
      </c>
      <c r="J1156" s="78" t="str">
        <f aca="false">IF(B1156="","",IFERROR(INDEX('CARNET DE SOUDURE'!$E$7:$E$1506,MATCH(B1156,'CARNET DE SOUDURE'!$M$7:$M$1506,0)),""))</f>
        <v/>
      </c>
      <c r="K1156" s="78" t="str">
        <f aca="false">IF(B1156="","",IFERROR(INDEX('CARNET DE SOUDURE'!$E$7:$E$1506,MATCH(B1156,'CARNET DE SOUDURE'!$K$7:$K$1506,0)),""))</f>
        <v/>
      </c>
      <c r="L1156" s="78" t="str">
        <f aca="false">IF(B1156="","",IFERROR(INDEX('CARNET DE SOUDURE'!$D$7:$D$1506,MATCH(B1156,'CARNET DE SOUDURE'!$K$7:$K$1506,0)),IFERROR(INDEX('CARNET DE SOUDURE'!$D$7:$D$1506,MATCH(B1156,'CARNET DE SOUDURE'!$M$7:$M$1506,0)),"")))</f>
        <v/>
      </c>
      <c r="M1156" s="81" t="str">
        <f aca="false">IF(B1156="","",IF(OR(J1156&lt;&gt;"",K1156&lt;&gt;""),"POSÉ EN LIGNE",IF(H1156&lt;&gt;"","BARDÉ","EN STOCK")))</f>
        <v/>
      </c>
      <c r="N1156" s="79"/>
    </row>
    <row r="1157" customFormat="false" ht="15" hidden="false" customHeight="false" outlineLevel="0" collapsed="false">
      <c r="A1157" s="78" t="str">
        <f aca="false">IF(B1157="","",ROW()-6)</f>
        <v/>
      </c>
      <c r="B1157" s="90"/>
      <c r="C1157" s="91"/>
      <c r="D1157" s="91"/>
      <c r="E1157" s="80"/>
      <c r="F1157" s="92"/>
      <c r="G1157" s="79"/>
      <c r="H1157" s="82"/>
      <c r="I1157" s="93" t="str">
        <f aca="false">IF(B1157="","",IFERROR(INDEX('CARNET DE SOUDURE'!$B$7:$B$1506,MATCH(B1157,'CARNET DE SOUDURE'!$K$7:$K$1506,0)),IFERROR(INDEX('CARNET DE SOUDURE'!$B$7:$B$1506,MATCH(B1157,'CARNET DE SOUDURE'!$M$7:$M$1506,0)),"")))</f>
        <v/>
      </c>
      <c r="J1157" s="78" t="str">
        <f aca="false">IF(B1157="","",IFERROR(INDEX('CARNET DE SOUDURE'!$E$7:$E$1506,MATCH(B1157,'CARNET DE SOUDURE'!$M$7:$M$1506,0)),""))</f>
        <v/>
      </c>
      <c r="K1157" s="78" t="str">
        <f aca="false">IF(B1157="","",IFERROR(INDEX('CARNET DE SOUDURE'!$E$7:$E$1506,MATCH(B1157,'CARNET DE SOUDURE'!$K$7:$K$1506,0)),""))</f>
        <v/>
      </c>
      <c r="L1157" s="78" t="str">
        <f aca="false">IF(B1157="","",IFERROR(INDEX('CARNET DE SOUDURE'!$D$7:$D$1506,MATCH(B1157,'CARNET DE SOUDURE'!$K$7:$K$1506,0)),IFERROR(INDEX('CARNET DE SOUDURE'!$D$7:$D$1506,MATCH(B1157,'CARNET DE SOUDURE'!$M$7:$M$1506,0)),"")))</f>
        <v/>
      </c>
      <c r="M1157" s="81" t="str">
        <f aca="false">IF(B1157="","",IF(OR(J1157&lt;&gt;"",K1157&lt;&gt;""),"POSÉ EN LIGNE",IF(H1157&lt;&gt;"","BARDÉ","EN STOCK")))</f>
        <v/>
      </c>
      <c r="N1157" s="79"/>
    </row>
    <row r="1158" customFormat="false" ht="15" hidden="false" customHeight="false" outlineLevel="0" collapsed="false">
      <c r="A1158" s="78" t="str">
        <f aca="false">IF(B1158="","",ROW()-6)</f>
        <v/>
      </c>
      <c r="B1158" s="90"/>
      <c r="C1158" s="91"/>
      <c r="D1158" s="91"/>
      <c r="E1158" s="80"/>
      <c r="F1158" s="92"/>
      <c r="G1158" s="79"/>
      <c r="H1158" s="82"/>
      <c r="I1158" s="93" t="str">
        <f aca="false">IF(B1158="","",IFERROR(INDEX('CARNET DE SOUDURE'!$B$7:$B$1506,MATCH(B1158,'CARNET DE SOUDURE'!$K$7:$K$1506,0)),IFERROR(INDEX('CARNET DE SOUDURE'!$B$7:$B$1506,MATCH(B1158,'CARNET DE SOUDURE'!$M$7:$M$1506,0)),"")))</f>
        <v/>
      </c>
      <c r="J1158" s="78" t="str">
        <f aca="false">IF(B1158="","",IFERROR(INDEX('CARNET DE SOUDURE'!$E$7:$E$1506,MATCH(B1158,'CARNET DE SOUDURE'!$M$7:$M$1506,0)),""))</f>
        <v/>
      </c>
      <c r="K1158" s="78" t="str">
        <f aca="false">IF(B1158="","",IFERROR(INDEX('CARNET DE SOUDURE'!$E$7:$E$1506,MATCH(B1158,'CARNET DE SOUDURE'!$K$7:$K$1506,0)),""))</f>
        <v/>
      </c>
      <c r="L1158" s="78" t="str">
        <f aca="false">IF(B1158="","",IFERROR(INDEX('CARNET DE SOUDURE'!$D$7:$D$1506,MATCH(B1158,'CARNET DE SOUDURE'!$K$7:$K$1506,0)),IFERROR(INDEX('CARNET DE SOUDURE'!$D$7:$D$1506,MATCH(B1158,'CARNET DE SOUDURE'!$M$7:$M$1506,0)),"")))</f>
        <v/>
      </c>
      <c r="M1158" s="81" t="str">
        <f aca="false">IF(B1158="","",IF(OR(J1158&lt;&gt;"",K1158&lt;&gt;""),"POSÉ EN LIGNE",IF(H1158&lt;&gt;"","BARDÉ","EN STOCK")))</f>
        <v/>
      </c>
      <c r="N1158" s="79"/>
    </row>
    <row r="1159" customFormat="false" ht="15" hidden="false" customHeight="false" outlineLevel="0" collapsed="false">
      <c r="A1159" s="78" t="str">
        <f aca="false">IF(B1159="","",ROW()-6)</f>
        <v/>
      </c>
      <c r="B1159" s="90"/>
      <c r="C1159" s="91"/>
      <c r="D1159" s="91"/>
      <c r="E1159" s="80"/>
      <c r="F1159" s="92"/>
      <c r="G1159" s="79"/>
      <c r="H1159" s="82"/>
      <c r="I1159" s="93" t="str">
        <f aca="false">IF(B1159="","",IFERROR(INDEX('CARNET DE SOUDURE'!$B$7:$B$1506,MATCH(B1159,'CARNET DE SOUDURE'!$K$7:$K$1506,0)),IFERROR(INDEX('CARNET DE SOUDURE'!$B$7:$B$1506,MATCH(B1159,'CARNET DE SOUDURE'!$M$7:$M$1506,0)),"")))</f>
        <v/>
      </c>
      <c r="J1159" s="78" t="str">
        <f aca="false">IF(B1159="","",IFERROR(INDEX('CARNET DE SOUDURE'!$E$7:$E$1506,MATCH(B1159,'CARNET DE SOUDURE'!$M$7:$M$1506,0)),""))</f>
        <v/>
      </c>
      <c r="K1159" s="78" t="str">
        <f aca="false">IF(B1159="","",IFERROR(INDEX('CARNET DE SOUDURE'!$E$7:$E$1506,MATCH(B1159,'CARNET DE SOUDURE'!$K$7:$K$1506,0)),""))</f>
        <v/>
      </c>
      <c r="L1159" s="78" t="str">
        <f aca="false">IF(B1159="","",IFERROR(INDEX('CARNET DE SOUDURE'!$D$7:$D$1506,MATCH(B1159,'CARNET DE SOUDURE'!$K$7:$K$1506,0)),IFERROR(INDEX('CARNET DE SOUDURE'!$D$7:$D$1506,MATCH(B1159,'CARNET DE SOUDURE'!$M$7:$M$1506,0)),"")))</f>
        <v/>
      </c>
      <c r="M1159" s="81" t="str">
        <f aca="false">IF(B1159="","",IF(OR(J1159&lt;&gt;"",K1159&lt;&gt;""),"POSÉ EN LIGNE",IF(H1159&lt;&gt;"","BARDÉ","EN STOCK")))</f>
        <v/>
      </c>
      <c r="N1159" s="79"/>
    </row>
    <row r="1160" customFormat="false" ht="15" hidden="false" customHeight="false" outlineLevel="0" collapsed="false">
      <c r="A1160" s="78" t="str">
        <f aca="false">IF(B1160="","",ROW()-6)</f>
        <v/>
      </c>
      <c r="B1160" s="90"/>
      <c r="C1160" s="91"/>
      <c r="D1160" s="91"/>
      <c r="E1160" s="80"/>
      <c r="F1160" s="92"/>
      <c r="G1160" s="79"/>
      <c r="H1160" s="82"/>
      <c r="I1160" s="93" t="str">
        <f aca="false">IF(B1160="","",IFERROR(INDEX('CARNET DE SOUDURE'!$B$7:$B$1506,MATCH(B1160,'CARNET DE SOUDURE'!$K$7:$K$1506,0)),IFERROR(INDEX('CARNET DE SOUDURE'!$B$7:$B$1506,MATCH(B1160,'CARNET DE SOUDURE'!$M$7:$M$1506,0)),"")))</f>
        <v/>
      </c>
      <c r="J1160" s="78" t="str">
        <f aca="false">IF(B1160="","",IFERROR(INDEX('CARNET DE SOUDURE'!$E$7:$E$1506,MATCH(B1160,'CARNET DE SOUDURE'!$M$7:$M$1506,0)),""))</f>
        <v/>
      </c>
      <c r="K1160" s="78" t="str">
        <f aca="false">IF(B1160="","",IFERROR(INDEX('CARNET DE SOUDURE'!$E$7:$E$1506,MATCH(B1160,'CARNET DE SOUDURE'!$K$7:$K$1506,0)),""))</f>
        <v/>
      </c>
      <c r="L1160" s="78" t="str">
        <f aca="false">IF(B1160="","",IFERROR(INDEX('CARNET DE SOUDURE'!$D$7:$D$1506,MATCH(B1160,'CARNET DE SOUDURE'!$K$7:$K$1506,0)),IFERROR(INDEX('CARNET DE SOUDURE'!$D$7:$D$1506,MATCH(B1160,'CARNET DE SOUDURE'!$M$7:$M$1506,0)),"")))</f>
        <v/>
      </c>
      <c r="M1160" s="81" t="str">
        <f aca="false">IF(B1160="","",IF(OR(J1160&lt;&gt;"",K1160&lt;&gt;""),"POSÉ EN LIGNE",IF(H1160&lt;&gt;"","BARDÉ","EN STOCK")))</f>
        <v/>
      </c>
      <c r="N1160" s="79"/>
    </row>
    <row r="1161" customFormat="false" ht="15" hidden="false" customHeight="false" outlineLevel="0" collapsed="false">
      <c r="A1161" s="78" t="str">
        <f aca="false">IF(B1161="","",ROW()-6)</f>
        <v/>
      </c>
      <c r="B1161" s="90"/>
      <c r="C1161" s="91"/>
      <c r="D1161" s="91"/>
      <c r="E1161" s="80"/>
      <c r="F1161" s="92"/>
      <c r="G1161" s="79"/>
      <c r="H1161" s="82"/>
      <c r="I1161" s="93" t="str">
        <f aca="false">IF(B1161="","",IFERROR(INDEX('CARNET DE SOUDURE'!$B$7:$B$1506,MATCH(B1161,'CARNET DE SOUDURE'!$K$7:$K$1506,0)),IFERROR(INDEX('CARNET DE SOUDURE'!$B$7:$B$1506,MATCH(B1161,'CARNET DE SOUDURE'!$M$7:$M$1506,0)),"")))</f>
        <v/>
      </c>
      <c r="J1161" s="78" t="str">
        <f aca="false">IF(B1161="","",IFERROR(INDEX('CARNET DE SOUDURE'!$E$7:$E$1506,MATCH(B1161,'CARNET DE SOUDURE'!$M$7:$M$1506,0)),""))</f>
        <v/>
      </c>
      <c r="K1161" s="78" t="str">
        <f aca="false">IF(B1161="","",IFERROR(INDEX('CARNET DE SOUDURE'!$E$7:$E$1506,MATCH(B1161,'CARNET DE SOUDURE'!$K$7:$K$1506,0)),""))</f>
        <v/>
      </c>
      <c r="L1161" s="78" t="str">
        <f aca="false">IF(B1161="","",IFERROR(INDEX('CARNET DE SOUDURE'!$D$7:$D$1506,MATCH(B1161,'CARNET DE SOUDURE'!$K$7:$K$1506,0)),IFERROR(INDEX('CARNET DE SOUDURE'!$D$7:$D$1506,MATCH(B1161,'CARNET DE SOUDURE'!$M$7:$M$1506,0)),"")))</f>
        <v/>
      </c>
      <c r="M1161" s="81" t="str">
        <f aca="false">IF(B1161="","",IF(OR(J1161&lt;&gt;"",K1161&lt;&gt;""),"POSÉ EN LIGNE",IF(H1161&lt;&gt;"","BARDÉ","EN STOCK")))</f>
        <v/>
      </c>
      <c r="N1161" s="79"/>
    </row>
    <row r="1162" customFormat="false" ht="15" hidden="false" customHeight="false" outlineLevel="0" collapsed="false">
      <c r="A1162" s="78" t="str">
        <f aca="false">IF(B1162="","",ROW()-6)</f>
        <v/>
      </c>
      <c r="B1162" s="90"/>
      <c r="C1162" s="91"/>
      <c r="D1162" s="91"/>
      <c r="E1162" s="80"/>
      <c r="F1162" s="92"/>
      <c r="G1162" s="79"/>
      <c r="H1162" s="82"/>
      <c r="I1162" s="93" t="str">
        <f aca="false">IF(B1162="","",IFERROR(INDEX('CARNET DE SOUDURE'!$B$7:$B$1506,MATCH(B1162,'CARNET DE SOUDURE'!$K$7:$K$1506,0)),IFERROR(INDEX('CARNET DE SOUDURE'!$B$7:$B$1506,MATCH(B1162,'CARNET DE SOUDURE'!$M$7:$M$1506,0)),"")))</f>
        <v/>
      </c>
      <c r="J1162" s="78" t="str">
        <f aca="false">IF(B1162="","",IFERROR(INDEX('CARNET DE SOUDURE'!$E$7:$E$1506,MATCH(B1162,'CARNET DE SOUDURE'!$M$7:$M$1506,0)),""))</f>
        <v/>
      </c>
      <c r="K1162" s="78" t="str">
        <f aca="false">IF(B1162="","",IFERROR(INDEX('CARNET DE SOUDURE'!$E$7:$E$1506,MATCH(B1162,'CARNET DE SOUDURE'!$K$7:$K$1506,0)),""))</f>
        <v/>
      </c>
      <c r="L1162" s="78" t="str">
        <f aca="false">IF(B1162="","",IFERROR(INDEX('CARNET DE SOUDURE'!$D$7:$D$1506,MATCH(B1162,'CARNET DE SOUDURE'!$K$7:$K$1506,0)),IFERROR(INDEX('CARNET DE SOUDURE'!$D$7:$D$1506,MATCH(B1162,'CARNET DE SOUDURE'!$M$7:$M$1506,0)),"")))</f>
        <v/>
      </c>
      <c r="M1162" s="81" t="str">
        <f aca="false">IF(B1162="","",IF(OR(J1162&lt;&gt;"",K1162&lt;&gt;""),"POSÉ EN LIGNE",IF(H1162&lt;&gt;"","BARDÉ","EN STOCK")))</f>
        <v/>
      </c>
      <c r="N1162" s="79"/>
    </row>
    <row r="1163" customFormat="false" ht="15" hidden="false" customHeight="false" outlineLevel="0" collapsed="false">
      <c r="A1163" s="78" t="str">
        <f aca="false">IF(B1163="","",ROW()-6)</f>
        <v/>
      </c>
      <c r="B1163" s="90"/>
      <c r="C1163" s="91"/>
      <c r="D1163" s="91"/>
      <c r="E1163" s="80"/>
      <c r="F1163" s="92"/>
      <c r="G1163" s="79"/>
      <c r="H1163" s="82"/>
      <c r="I1163" s="93" t="str">
        <f aca="false">IF(B1163="","",IFERROR(INDEX('CARNET DE SOUDURE'!$B$7:$B$1506,MATCH(B1163,'CARNET DE SOUDURE'!$K$7:$K$1506,0)),IFERROR(INDEX('CARNET DE SOUDURE'!$B$7:$B$1506,MATCH(B1163,'CARNET DE SOUDURE'!$M$7:$M$1506,0)),"")))</f>
        <v/>
      </c>
      <c r="J1163" s="78" t="str">
        <f aca="false">IF(B1163="","",IFERROR(INDEX('CARNET DE SOUDURE'!$E$7:$E$1506,MATCH(B1163,'CARNET DE SOUDURE'!$M$7:$M$1506,0)),""))</f>
        <v/>
      </c>
      <c r="K1163" s="78" t="str">
        <f aca="false">IF(B1163="","",IFERROR(INDEX('CARNET DE SOUDURE'!$E$7:$E$1506,MATCH(B1163,'CARNET DE SOUDURE'!$K$7:$K$1506,0)),""))</f>
        <v/>
      </c>
      <c r="L1163" s="78" t="str">
        <f aca="false">IF(B1163="","",IFERROR(INDEX('CARNET DE SOUDURE'!$D$7:$D$1506,MATCH(B1163,'CARNET DE SOUDURE'!$K$7:$K$1506,0)),IFERROR(INDEX('CARNET DE SOUDURE'!$D$7:$D$1506,MATCH(B1163,'CARNET DE SOUDURE'!$M$7:$M$1506,0)),"")))</f>
        <v/>
      </c>
      <c r="M1163" s="81" t="str">
        <f aca="false">IF(B1163="","",IF(OR(J1163&lt;&gt;"",K1163&lt;&gt;""),"POSÉ EN LIGNE",IF(H1163&lt;&gt;"","BARDÉ","EN STOCK")))</f>
        <v/>
      </c>
      <c r="N1163" s="79"/>
    </row>
    <row r="1164" customFormat="false" ht="15" hidden="false" customHeight="false" outlineLevel="0" collapsed="false">
      <c r="A1164" s="78" t="str">
        <f aca="false">IF(B1164="","",ROW()-6)</f>
        <v/>
      </c>
      <c r="B1164" s="90"/>
      <c r="C1164" s="91"/>
      <c r="D1164" s="91"/>
      <c r="E1164" s="80"/>
      <c r="F1164" s="92"/>
      <c r="G1164" s="79"/>
      <c r="H1164" s="82"/>
      <c r="I1164" s="93" t="str">
        <f aca="false">IF(B1164="","",IFERROR(INDEX('CARNET DE SOUDURE'!$B$7:$B$1506,MATCH(B1164,'CARNET DE SOUDURE'!$K$7:$K$1506,0)),IFERROR(INDEX('CARNET DE SOUDURE'!$B$7:$B$1506,MATCH(B1164,'CARNET DE SOUDURE'!$M$7:$M$1506,0)),"")))</f>
        <v/>
      </c>
      <c r="J1164" s="78" t="str">
        <f aca="false">IF(B1164="","",IFERROR(INDEX('CARNET DE SOUDURE'!$E$7:$E$1506,MATCH(B1164,'CARNET DE SOUDURE'!$M$7:$M$1506,0)),""))</f>
        <v/>
      </c>
      <c r="K1164" s="78" t="str">
        <f aca="false">IF(B1164="","",IFERROR(INDEX('CARNET DE SOUDURE'!$E$7:$E$1506,MATCH(B1164,'CARNET DE SOUDURE'!$K$7:$K$1506,0)),""))</f>
        <v/>
      </c>
      <c r="L1164" s="78" t="str">
        <f aca="false">IF(B1164="","",IFERROR(INDEX('CARNET DE SOUDURE'!$D$7:$D$1506,MATCH(B1164,'CARNET DE SOUDURE'!$K$7:$K$1506,0)),IFERROR(INDEX('CARNET DE SOUDURE'!$D$7:$D$1506,MATCH(B1164,'CARNET DE SOUDURE'!$M$7:$M$1506,0)),"")))</f>
        <v/>
      </c>
      <c r="M1164" s="81" t="str">
        <f aca="false">IF(B1164="","",IF(OR(J1164&lt;&gt;"",K1164&lt;&gt;""),"POSÉ EN LIGNE",IF(H1164&lt;&gt;"","BARDÉ","EN STOCK")))</f>
        <v/>
      </c>
      <c r="N1164" s="79"/>
    </row>
    <row r="1165" customFormat="false" ht="15" hidden="false" customHeight="false" outlineLevel="0" collapsed="false">
      <c r="A1165" s="78" t="str">
        <f aca="false">IF(B1165="","",ROW()-6)</f>
        <v/>
      </c>
      <c r="B1165" s="90"/>
      <c r="C1165" s="91"/>
      <c r="D1165" s="91"/>
      <c r="E1165" s="80"/>
      <c r="F1165" s="92"/>
      <c r="G1165" s="79"/>
      <c r="H1165" s="82"/>
      <c r="I1165" s="93" t="str">
        <f aca="false">IF(B1165="","",IFERROR(INDEX('CARNET DE SOUDURE'!$B$7:$B$1506,MATCH(B1165,'CARNET DE SOUDURE'!$K$7:$K$1506,0)),IFERROR(INDEX('CARNET DE SOUDURE'!$B$7:$B$1506,MATCH(B1165,'CARNET DE SOUDURE'!$M$7:$M$1506,0)),"")))</f>
        <v/>
      </c>
      <c r="J1165" s="78" t="str">
        <f aca="false">IF(B1165="","",IFERROR(INDEX('CARNET DE SOUDURE'!$E$7:$E$1506,MATCH(B1165,'CARNET DE SOUDURE'!$M$7:$M$1506,0)),""))</f>
        <v/>
      </c>
      <c r="K1165" s="78" t="str">
        <f aca="false">IF(B1165="","",IFERROR(INDEX('CARNET DE SOUDURE'!$E$7:$E$1506,MATCH(B1165,'CARNET DE SOUDURE'!$K$7:$K$1506,0)),""))</f>
        <v/>
      </c>
      <c r="L1165" s="78" t="str">
        <f aca="false">IF(B1165="","",IFERROR(INDEX('CARNET DE SOUDURE'!$D$7:$D$1506,MATCH(B1165,'CARNET DE SOUDURE'!$K$7:$K$1506,0)),IFERROR(INDEX('CARNET DE SOUDURE'!$D$7:$D$1506,MATCH(B1165,'CARNET DE SOUDURE'!$M$7:$M$1506,0)),"")))</f>
        <v/>
      </c>
      <c r="M1165" s="81" t="str">
        <f aca="false">IF(B1165="","",IF(OR(J1165&lt;&gt;"",K1165&lt;&gt;""),"POSÉ EN LIGNE",IF(H1165&lt;&gt;"","BARDÉ","EN STOCK")))</f>
        <v/>
      </c>
      <c r="N1165" s="79"/>
    </row>
    <row r="1166" customFormat="false" ht="15" hidden="false" customHeight="false" outlineLevel="0" collapsed="false">
      <c r="A1166" s="78" t="str">
        <f aca="false">IF(B1166="","",ROW()-6)</f>
        <v/>
      </c>
      <c r="B1166" s="90"/>
      <c r="C1166" s="91"/>
      <c r="D1166" s="91"/>
      <c r="E1166" s="80"/>
      <c r="F1166" s="92"/>
      <c r="G1166" s="79"/>
      <c r="H1166" s="82"/>
      <c r="I1166" s="93" t="str">
        <f aca="false">IF(B1166="","",IFERROR(INDEX('CARNET DE SOUDURE'!$B$7:$B$1506,MATCH(B1166,'CARNET DE SOUDURE'!$K$7:$K$1506,0)),IFERROR(INDEX('CARNET DE SOUDURE'!$B$7:$B$1506,MATCH(B1166,'CARNET DE SOUDURE'!$M$7:$M$1506,0)),"")))</f>
        <v/>
      </c>
      <c r="J1166" s="78" t="str">
        <f aca="false">IF(B1166="","",IFERROR(INDEX('CARNET DE SOUDURE'!$E$7:$E$1506,MATCH(B1166,'CARNET DE SOUDURE'!$M$7:$M$1506,0)),""))</f>
        <v/>
      </c>
      <c r="K1166" s="78" t="str">
        <f aca="false">IF(B1166="","",IFERROR(INDEX('CARNET DE SOUDURE'!$E$7:$E$1506,MATCH(B1166,'CARNET DE SOUDURE'!$K$7:$K$1506,0)),""))</f>
        <v/>
      </c>
      <c r="L1166" s="78" t="str">
        <f aca="false">IF(B1166="","",IFERROR(INDEX('CARNET DE SOUDURE'!$D$7:$D$1506,MATCH(B1166,'CARNET DE SOUDURE'!$K$7:$K$1506,0)),IFERROR(INDEX('CARNET DE SOUDURE'!$D$7:$D$1506,MATCH(B1166,'CARNET DE SOUDURE'!$M$7:$M$1506,0)),"")))</f>
        <v/>
      </c>
      <c r="M1166" s="81" t="str">
        <f aca="false">IF(B1166="","",IF(OR(J1166&lt;&gt;"",K1166&lt;&gt;""),"POSÉ EN LIGNE",IF(H1166&lt;&gt;"","BARDÉ","EN STOCK")))</f>
        <v/>
      </c>
      <c r="N1166" s="79"/>
    </row>
    <row r="1167" customFormat="false" ht="15" hidden="false" customHeight="false" outlineLevel="0" collapsed="false">
      <c r="A1167" s="78" t="str">
        <f aca="false">IF(B1167="","",ROW()-6)</f>
        <v/>
      </c>
      <c r="B1167" s="90"/>
      <c r="C1167" s="91"/>
      <c r="D1167" s="91"/>
      <c r="E1167" s="80"/>
      <c r="F1167" s="92"/>
      <c r="G1167" s="79"/>
      <c r="H1167" s="82"/>
      <c r="I1167" s="93" t="str">
        <f aca="false">IF(B1167="","",IFERROR(INDEX('CARNET DE SOUDURE'!$B$7:$B$1506,MATCH(B1167,'CARNET DE SOUDURE'!$K$7:$K$1506,0)),IFERROR(INDEX('CARNET DE SOUDURE'!$B$7:$B$1506,MATCH(B1167,'CARNET DE SOUDURE'!$M$7:$M$1506,0)),"")))</f>
        <v/>
      </c>
      <c r="J1167" s="78" t="str">
        <f aca="false">IF(B1167="","",IFERROR(INDEX('CARNET DE SOUDURE'!$E$7:$E$1506,MATCH(B1167,'CARNET DE SOUDURE'!$M$7:$M$1506,0)),""))</f>
        <v/>
      </c>
      <c r="K1167" s="78" t="str">
        <f aca="false">IF(B1167="","",IFERROR(INDEX('CARNET DE SOUDURE'!$E$7:$E$1506,MATCH(B1167,'CARNET DE SOUDURE'!$K$7:$K$1506,0)),""))</f>
        <v/>
      </c>
      <c r="L1167" s="78" t="str">
        <f aca="false">IF(B1167="","",IFERROR(INDEX('CARNET DE SOUDURE'!$D$7:$D$1506,MATCH(B1167,'CARNET DE SOUDURE'!$K$7:$K$1506,0)),IFERROR(INDEX('CARNET DE SOUDURE'!$D$7:$D$1506,MATCH(B1167,'CARNET DE SOUDURE'!$M$7:$M$1506,0)),"")))</f>
        <v/>
      </c>
      <c r="M1167" s="81" t="str">
        <f aca="false">IF(B1167="","",IF(OR(J1167&lt;&gt;"",K1167&lt;&gt;""),"POSÉ EN LIGNE",IF(H1167&lt;&gt;"","BARDÉ","EN STOCK")))</f>
        <v/>
      </c>
      <c r="N1167" s="79"/>
    </row>
    <row r="1168" customFormat="false" ht="15" hidden="false" customHeight="false" outlineLevel="0" collapsed="false">
      <c r="A1168" s="78" t="str">
        <f aca="false">IF(B1168="","",ROW()-6)</f>
        <v/>
      </c>
      <c r="B1168" s="90"/>
      <c r="C1168" s="91"/>
      <c r="D1168" s="91"/>
      <c r="E1168" s="80"/>
      <c r="F1168" s="92"/>
      <c r="G1168" s="79"/>
      <c r="H1168" s="82"/>
      <c r="I1168" s="93" t="str">
        <f aca="false">IF(B1168="","",IFERROR(INDEX('CARNET DE SOUDURE'!$B$7:$B$1506,MATCH(B1168,'CARNET DE SOUDURE'!$K$7:$K$1506,0)),IFERROR(INDEX('CARNET DE SOUDURE'!$B$7:$B$1506,MATCH(B1168,'CARNET DE SOUDURE'!$M$7:$M$1506,0)),"")))</f>
        <v/>
      </c>
      <c r="J1168" s="78" t="str">
        <f aca="false">IF(B1168="","",IFERROR(INDEX('CARNET DE SOUDURE'!$E$7:$E$1506,MATCH(B1168,'CARNET DE SOUDURE'!$M$7:$M$1506,0)),""))</f>
        <v/>
      </c>
      <c r="K1168" s="78" t="str">
        <f aca="false">IF(B1168="","",IFERROR(INDEX('CARNET DE SOUDURE'!$E$7:$E$1506,MATCH(B1168,'CARNET DE SOUDURE'!$K$7:$K$1506,0)),""))</f>
        <v/>
      </c>
      <c r="L1168" s="78" t="str">
        <f aca="false">IF(B1168="","",IFERROR(INDEX('CARNET DE SOUDURE'!$D$7:$D$1506,MATCH(B1168,'CARNET DE SOUDURE'!$K$7:$K$1506,0)),IFERROR(INDEX('CARNET DE SOUDURE'!$D$7:$D$1506,MATCH(B1168,'CARNET DE SOUDURE'!$M$7:$M$1506,0)),"")))</f>
        <v/>
      </c>
      <c r="M1168" s="81" t="str">
        <f aca="false">IF(B1168="","",IF(OR(J1168&lt;&gt;"",K1168&lt;&gt;""),"POSÉ EN LIGNE",IF(H1168&lt;&gt;"","BARDÉ","EN STOCK")))</f>
        <v/>
      </c>
      <c r="N1168" s="79"/>
    </row>
    <row r="1169" customFormat="false" ht="15" hidden="false" customHeight="false" outlineLevel="0" collapsed="false">
      <c r="A1169" s="78" t="str">
        <f aca="false">IF(B1169="","",ROW()-6)</f>
        <v/>
      </c>
      <c r="B1169" s="90"/>
      <c r="C1169" s="91"/>
      <c r="D1169" s="91"/>
      <c r="E1169" s="80"/>
      <c r="F1169" s="92"/>
      <c r="G1169" s="79"/>
      <c r="H1169" s="82"/>
      <c r="I1169" s="93" t="str">
        <f aca="false">IF(B1169="","",IFERROR(INDEX('CARNET DE SOUDURE'!$B$7:$B$1506,MATCH(B1169,'CARNET DE SOUDURE'!$K$7:$K$1506,0)),IFERROR(INDEX('CARNET DE SOUDURE'!$B$7:$B$1506,MATCH(B1169,'CARNET DE SOUDURE'!$M$7:$M$1506,0)),"")))</f>
        <v/>
      </c>
      <c r="J1169" s="78" t="str">
        <f aca="false">IF(B1169="","",IFERROR(INDEX('CARNET DE SOUDURE'!$E$7:$E$1506,MATCH(B1169,'CARNET DE SOUDURE'!$M$7:$M$1506,0)),""))</f>
        <v/>
      </c>
      <c r="K1169" s="78" t="str">
        <f aca="false">IF(B1169="","",IFERROR(INDEX('CARNET DE SOUDURE'!$E$7:$E$1506,MATCH(B1169,'CARNET DE SOUDURE'!$K$7:$K$1506,0)),""))</f>
        <v/>
      </c>
      <c r="L1169" s="78" t="str">
        <f aca="false">IF(B1169="","",IFERROR(INDEX('CARNET DE SOUDURE'!$D$7:$D$1506,MATCH(B1169,'CARNET DE SOUDURE'!$K$7:$K$1506,0)),IFERROR(INDEX('CARNET DE SOUDURE'!$D$7:$D$1506,MATCH(B1169,'CARNET DE SOUDURE'!$M$7:$M$1506,0)),"")))</f>
        <v/>
      </c>
      <c r="M1169" s="81" t="str">
        <f aca="false">IF(B1169="","",IF(OR(J1169&lt;&gt;"",K1169&lt;&gt;""),"POSÉ EN LIGNE",IF(H1169&lt;&gt;"","BARDÉ","EN STOCK")))</f>
        <v/>
      </c>
      <c r="N1169" s="79"/>
    </row>
    <row r="1170" customFormat="false" ht="15" hidden="false" customHeight="false" outlineLevel="0" collapsed="false">
      <c r="A1170" s="78" t="str">
        <f aca="false">IF(B1170="","",ROW()-6)</f>
        <v/>
      </c>
      <c r="B1170" s="90"/>
      <c r="C1170" s="91"/>
      <c r="D1170" s="91"/>
      <c r="E1170" s="80"/>
      <c r="F1170" s="92"/>
      <c r="G1170" s="79"/>
      <c r="H1170" s="82"/>
      <c r="I1170" s="93" t="str">
        <f aca="false">IF(B1170="","",IFERROR(INDEX('CARNET DE SOUDURE'!$B$7:$B$1506,MATCH(B1170,'CARNET DE SOUDURE'!$K$7:$K$1506,0)),IFERROR(INDEX('CARNET DE SOUDURE'!$B$7:$B$1506,MATCH(B1170,'CARNET DE SOUDURE'!$M$7:$M$1506,0)),"")))</f>
        <v/>
      </c>
      <c r="J1170" s="78" t="str">
        <f aca="false">IF(B1170="","",IFERROR(INDEX('CARNET DE SOUDURE'!$E$7:$E$1506,MATCH(B1170,'CARNET DE SOUDURE'!$M$7:$M$1506,0)),""))</f>
        <v/>
      </c>
      <c r="K1170" s="78" t="str">
        <f aca="false">IF(B1170="","",IFERROR(INDEX('CARNET DE SOUDURE'!$E$7:$E$1506,MATCH(B1170,'CARNET DE SOUDURE'!$K$7:$K$1506,0)),""))</f>
        <v/>
      </c>
      <c r="L1170" s="78" t="str">
        <f aca="false">IF(B1170="","",IFERROR(INDEX('CARNET DE SOUDURE'!$D$7:$D$1506,MATCH(B1170,'CARNET DE SOUDURE'!$K$7:$K$1506,0)),IFERROR(INDEX('CARNET DE SOUDURE'!$D$7:$D$1506,MATCH(B1170,'CARNET DE SOUDURE'!$M$7:$M$1506,0)),"")))</f>
        <v/>
      </c>
      <c r="M1170" s="81" t="str">
        <f aca="false">IF(B1170="","",IF(OR(J1170&lt;&gt;"",K1170&lt;&gt;""),"POSÉ EN LIGNE",IF(H1170&lt;&gt;"","BARDÉ","EN STOCK")))</f>
        <v/>
      </c>
      <c r="N1170" s="79"/>
    </row>
    <row r="1171" customFormat="false" ht="15" hidden="false" customHeight="false" outlineLevel="0" collapsed="false">
      <c r="A1171" s="78" t="str">
        <f aca="false">IF(B1171="","",ROW()-6)</f>
        <v/>
      </c>
      <c r="B1171" s="90"/>
      <c r="C1171" s="91"/>
      <c r="D1171" s="91"/>
      <c r="E1171" s="80"/>
      <c r="F1171" s="92"/>
      <c r="G1171" s="79"/>
      <c r="H1171" s="82"/>
      <c r="I1171" s="93" t="str">
        <f aca="false">IF(B1171="","",IFERROR(INDEX('CARNET DE SOUDURE'!$B$7:$B$1506,MATCH(B1171,'CARNET DE SOUDURE'!$K$7:$K$1506,0)),IFERROR(INDEX('CARNET DE SOUDURE'!$B$7:$B$1506,MATCH(B1171,'CARNET DE SOUDURE'!$M$7:$M$1506,0)),"")))</f>
        <v/>
      </c>
      <c r="J1171" s="78" t="str">
        <f aca="false">IF(B1171="","",IFERROR(INDEX('CARNET DE SOUDURE'!$E$7:$E$1506,MATCH(B1171,'CARNET DE SOUDURE'!$M$7:$M$1506,0)),""))</f>
        <v/>
      </c>
      <c r="K1171" s="78" t="str">
        <f aca="false">IF(B1171="","",IFERROR(INDEX('CARNET DE SOUDURE'!$E$7:$E$1506,MATCH(B1171,'CARNET DE SOUDURE'!$K$7:$K$1506,0)),""))</f>
        <v/>
      </c>
      <c r="L1171" s="78" t="str">
        <f aca="false">IF(B1171="","",IFERROR(INDEX('CARNET DE SOUDURE'!$D$7:$D$1506,MATCH(B1171,'CARNET DE SOUDURE'!$K$7:$K$1506,0)),IFERROR(INDEX('CARNET DE SOUDURE'!$D$7:$D$1506,MATCH(B1171,'CARNET DE SOUDURE'!$M$7:$M$1506,0)),"")))</f>
        <v/>
      </c>
      <c r="M1171" s="81" t="str">
        <f aca="false">IF(B1171="","",IF(OR(J1171&lt;&gt;"",K1171&lt;&gt;""),"POSÉ EN LIGNE",IF(H1171&lt;&gt;"","BARDÉ","EN STOCK")))</f>
        <v/>
      </c>
      <c r="N1171" s="79"/>
    </row>
    <row r="1172" customFormat="false" ht="15" hidden="false" customHeight="false" outlineLevel="0" collapsed="false">
      <c r="A1172" s="78" t="str">
        <f aca="false">IF(B1172="","",ROW()-6)</f>
        <v/>
      </c>
      <c r="B1172" s="90"/>
      <c r="C1172" s="91"/>
      <c r="D1172" s="91"/>
      <c r="E1172" s="80"/>
      <c r="F1172" s="92"/>
      <c r="G1172" s="79"/>
      <c r="H1172" s="82"/>
      <c r="I1172" s="93" t="str">
        <f aca="false">IF(B1172="","",IFERROR(INDEX('CARNET DE SOUDURE'!$B$7:$B$1506,MATCH(B1172,'CARNET DE SOUDURE'!$K$7:$K$1506,0)),IFERROR(INDEX('CARNET DE SOUDURE'!$B$7:$B$1506,MATCH(B1172,'CARNET DE SOUDURE'!$M$7:$M$1506,0)),"")))</f>
        <v/>
      </c>
      <c r="J1172" s="78" t="str">
        <f aca="false">IF(B1172="","",IFERROR(INDEX('CARNET DE SOUDURE'!$E$7:$E$1506,MATCH(B1172,'CARNET DE SOUDURE'!$M$7:$M$1506,0)),""))</f>
        <v/>
      </c>
      <c r="K1172" s="78" t="str">
        <f aca="false">IF(B1172="","",IFERROR(INDEX('CARNET DE SOUDURE'!$E$7:$E$1506,MATCH(B1172,'CARNET DE SOUDURE'!$K$7:$K$1506,0)),""))</f>
        <v/>
      </c>
      <c r="L1172" s="78" t="str">
        <f aca="false">IF(B1172="","",IFERROR(INDEX('CARNET DE SOUDURE'!$D$7:$D$1506,MATCH(B1172,'CARNET DE SOUDURE'!$K$7:$K$1506,0)),IFERROR(INDEX('CARNET DE SOUDURE'!$D$7:$D$1506,MATCH(B1172,'CARNET DE SOUDURE'!$M$7:$M$1506,0)),"")))</f>
        <v/>
      </c>
      <c r="M1172" s="81" t="str">
        <f aca="false">IF(B1172="","",IF(OR(J1172&lt;&gt;"",K1172&lt;&gt;""),"POSÉ EN LIGNE",IF(H1172&lt;&gt;"","BARDÉ","EN STOCK")))</f>
        <v/>
      </c>
      <c r="N1172" s="79"/>
    </row>
    <row r="1173" customFormat="false" ht="15" hidden="false" customHeight="false" outlineLevel="0" collapsed="false">
      <c r="A1173" s="78" t="str">
        <f aca="false">IF(B1173="","",ROW()-6)</f>
        <v/>
      </c>
      <c r="B1173" s="90"/>
      <c r="C1173" s="91"/>
      <c r="D1173" s="91"/>
      <c r="E1173" s="80"/>
      <c r="F1173" s="92"/>
      <c r="G1173" s="79"/>
      <c r="H1173" s="82"/>
      <c r="I1173" s="93" t="str">
        <f aca="false">IF(B1173="","",IFERROR(INDEX('CARNET DE SOUDURE'!$B$7:$B$1506,MATCH(B1173,'CARNET DE SOUDURE'!$K$7:$K$1506,0)),IFERROR(INDEX('CARNET DE SOUDURE'!$B$7:$B$1506,MATCH(B1173,'CARNET DE SOUDURE'!$M$7:$M$1506,0)),"")))</f>
        <v/>
      </c>
      <c r="J1173" s="78" t="str">
        <f aca="false">IF(B1173="","",IFERROR(INDEX('CARNET DE SOUDURE'!$E$7:$E$1506,MATCH(B1173,'CARNET DE SOUDURE'!$M$7:$M$1506,0)),""))</f>
        <v/>
      </c>
      <c r="K1173" s="78" t="str">
        <f aca="false">IF(B1173="","",IFERROR(INDEX('CARNET DE SOUDURE'!$E$7:$E$1506,MATCH(B1173,'CARNET DE SOUDURE'!$K$7:$K$1506,0)),""))</f>
        <v/>
      </c>
      <c r="L1173" s="78" t="str">
        <f aca="false">IF(B1173="","",IFERROR(INDEX('CARNET DE SOUDURE'!$D$7:$D$1506,MATCH(B1173,'CARNET DE SOUDURE'!$K$7:$K$1506,0)),IFERROR(INDEX('CARNET DE SOUDURE'!$D$7:$D$1506,MATCH(B1173,'CARNET DE SOUDURE'!$M$7:$M$1506,0)),"")))</f>
        <v/>
      </c>
      <c r="M1173" s="81" t="str">
        <f aca="false">IF(B1173="","",IF(OR(J1173&lt;&gt;"",K1173&lt;&gt;""),"POSÉ EN LIGNE",IF(H1173&lt;&gt;"","BARDÉ","EN STOCK")))</f>
        <v/>
      </c>
      <c r="N1173" s="79"/>
    </row>
    <row r="1174" customFormat="false" ht="15" hidden="false" customHeight="false" outlineLevel="0" collapsed="false">
      <c r="A1174" s="78" t="str">
        <f aca="false">IF(B1174="","",ROW()-6)</f>
        <v/>
      </c>
      <c r="B1174" s="90"/>
      <c r="C1174" s="91"/>
      <c r="D1174" s="91"/>
      <c r="E1174" s="80"/>
      <c r="F1174" s="92"/>
      <c r="G1174" s="79"/>
      <c r="H1174" s="82"/>
      <c r="I1174" s="93" t="str">
        <f aca="false">IF(B1174="","",IFERROR(INDEX('CARNET DE SOUDURE'!$B$7:$B$1506,MATCH(B1174,'CARNET DE SOUDURE'!$K$7:$K$1506,0)),IFERROR(INDEX('CARNET DE SOUDURE'!$B$7:$B$1506,MATCH(B1174,'CARNET DE SOUDURE'!$M$7:$M$1506,0)),"")))</f>
        <v/>
      </c>
      <c r="J1174" s="78" t="str">
        <f aca="false">IF(B1174="","",IFERROR(INDEX('CARNET DE SOUDURE'!$E$7:$E$1506,MATCH(B1174,'CARNET DE SOUDURE'!$M$7:$M$1506,0)),""))</f>
        <v/>
      </c>
      <c r="K1174" s="78" t="str">
        <f aca="false">IF(B1174="","",IFERROR(INDEX('CARNET DE SOUDURE'!$E$7:$E$1506,MATCH(B1174,'CARNET DE SOUDURE'!$K$7:$K$1506,0)),""))</f>
        <v/>
      </c>
      <c r="L1174" s="78" t="str">
        <f aca="false">IF(B1174="","",IFERROR(INDEX('CARNET DE SOUDURE'!$D$7:$D$1506,MATCH(B1174,'CARNET DE SOUDURE'!$K$7:$K$1506,0)),IFERROR(INDEX('CARNET DE SOUDURE'!$D$7:$D$1506,MATCH(B1174,'CARNET DE SOUDURE'!$M$7:$M$1506,0)),"")))</f>
        <v/>
      </c>
      <c r="M1174" s="81" t="str">
        <f aca="false">IF(B1174="","",IF(OR(J1174&lt;&gt;"",K1174&lt;&gt;""),"POSÉ EN LIGNE",IF(H1174&lt;&gt;"","BARDÉ","EN STOCK")))</f>
        <v/>
      </c>
      <c r="N1174" s="79"/>
    </row>
    <row r="1175" customFormat="false" ht="15" hidden="false" customHeight="false" outlineLevel="0" collapsed="false">
      <c r="A1175" s="78" t="str">
        <f aca="false">IF(B1175="","",ROW()-6)</f>
        <v/>
      </c>
      <c r="B1175" s="90"/>
      <c r="C1175" s="91"/>
      <c r="D1175" s="91"/>
      <c r="E1175" s="80"/>
      <c r="F1175" s="92"/>
      <c r="G1175" s="79"/>
      <c r="H1175" s="82"/>
      <c r="I1175" s="93" t="str">
        <f aca="false">IF(B1175="","",IFERROR(INDEX('CARNET DE SOUDURE'!$B$7:$B$1506,MATCH(B1175,'CARNET DE SOUDURE'!$K$7:$K$1506,0)),IFERROR(INDEX('CARNET DE SOUDURE'!$B$7:$B$1506,MATCH(B1175,'CARNET DE SOUDURE'!$M$7:$M$1506,0)),"")))</f>
        <v/>
      </c>
      <c r="J1175" s="78" t="str">
        <f aca="false">IF(B1175="","",IFERROR(INDEX('CARNET DE SOUDURE'!$E$7:$E$1506,MATCH(B1175,'CARNET DE SOUDURE'!$M$7:$M$1506,0)),""))</f>
        <v/>
      </c>
      <c r="K1175" s="78" t="str">
        <f aca="false">IF(B1175="","",IFERROR(INDEX('CARNET DE SOUDURE'!$E$7:$E$1506,MATCH(B1175,'CARNET DE SOUDURE'!$K$7:$K$1506,0)),""))</f>
        <v/>
      </c>
      <c r="L1175" s="78" t="str">
        <f aca="false">IF(B1175="","",IFERROR(INDEX('CARNET DE SOUDURE'!$D$7:$D$1506,MATCH(B1175,'CARNET DE SOUDURE'!$K$7:$K$1506,0)),IFERROR(INDEX('CARNET DE SOUDURE'!$D$7:$D$1506,MATCH(B1175,'CARNET DE SOUDURE'!$M$7:$M$1506,0)),"")))</f>
        <v/>
      </c>
      <c r="M1175" s="81" t="str">
        <f aca="false">IF(B1175="","",IF(OR(J1175&lt;&gt;"",K1175&lt;&gt;""),"POSÉ EN LIGNE",IF(H1175&lt;&gt;"","BARDÉ","EN STOCK")))</f>
        <v/>
      </c>
      <c r="N1175" s="79"/>
    </row>
    <row r="1176" customFormat="false" ht="15" hidden="false" customHeight="false" outlineLevel="0" collapsed="false">
      <c r="A1176" s="78" t="str">
        <f aca="false">IF(B1176="","",ROW()-6)</f>
        <v/>
      </c>
      <c r="B1176" s="90"/>
      <c r="C1176" s="91"/>
      <c r="D1176" s="91"/>
      <c r="E1176" s="80"/>
      <c r="F1176" s="92"/>
      <c r="G1176" s="79"/>
      <c r="H1176" s="82"/>
      <c r="I1176" s="93" t="str">
        <f aca="false">IF(B1176="","",IFERROR(INDEX('CARNET DE SOUDURE'!$B$7:$B$1506,MATCH(B1176,'CARNET DE SOUDURE'!$K$7:$K$1506,0)),IFERROR(INDEX('CARNET DE SOUDURE'!$B$7:$B$1506,MATCH(B1176,'CARNET DE SOUDURE'!$M$7:$M$1506,0)),"")))</f>
        <v/>
      </c>
      <c r="J1176" s="78" t="str">
        <f aca="false">IF(B1176="","",IFERROR(INDEX('CARNET DE SOUDURE'!$E$7:$E$1506,MATCH(B1176,'CARNET DE SOUDURE'!$M$7:$M$1506,0)),""))</f>
        <v/>
      </c>
      <c r="K1176" s="78" t="str">
        <f aca="false">IF(B1176="","",IFERROR(INDEX('CARNET DE SOUDURE'!$E$7:$E$1506,MATCH(B1176,'CARNET DE SOUDURE'!$K$7:$K$1506,0)),""))</f>
        <v/>
      </c>
      <c r="L1176" s="78" t="str">
        <f aca="false">IF(B1176="","",IFERROR(INDEX('CARNET DE SOUDURE'!$D$7:$D$1506,MATCH(B1176,'CARNET DE SOUDURE'!$K$7:$K$1506,0)),IFERROR(INDEX('CARNET DE SOUDURE'!$D$7:$D$1506,MATCH(B1176,'CARNET DE SOUDURE'!$M$7:$M$1506,0)),"")))</f>
        <v/>
      </c>
      <c r="M1176" s="81" t="str">
        <f aca="false">IF(B1176="","",IF(OR(J1176&lt;&gt;"",K1176&lt;&gt;""),"POSÉ EN LIGNE",IF(H1176&lt;&gt;"","BARDÉ","EN STOCK")))</f>
        <v/>
      </c>
      <c r="N1176" s="79"/>
    </row>
    <row r="1177" customFormat="false" ht="15" hidden="false" customHeight="false" outlineLevel="0" collapsed="false">
      <c r="A1177" s="78" t="str">
        <f aca="false">IF(B1177="","",ROW()-6)</f>
        <v/>
      </c>
      <c r="B1177" s="90"/>
      <c r="C1177" s="91"/>
      <c r="D1177" s="91"/>
      <c r="E1177" s="80"/>
      <c r="F1177" s="92"/>
      <c r="G1177" s="79"/>
      <c r="H1177" s="82"/>
      <c r="I1177" s="93" t="str">
        <f aca="false">IF(B1177="","",IFERROR(INDEX('CARNET DE SOUDURE'!$B$7:$B$1506,MATCH(B1177,'CARNET DE SOUDURE'!$K$7:$K$1506,0)),IFERROR(INDEX('CARNET DE SOUDURE'!$B$7:$B$1506,MATCH(B1177,'CARNET DE SOUDURE'!$M$7:$M$1506,0)),"")))</f>
        <v/>
      </c>
      <c r="J1177" s="78" t="str">
        <f aca="false">IF(B1177="","",IFERROR(INDEX('CARNET DE SOUDURE'!$E$7:$E$1506,MATCH(B1177,'CARNET DE SOUDURE'!$M$7:$M$1506,0)),""))</f>
        <v/>
      </c>
      <c r="K1177" s="78" t="str">
        <f aca="false">IF(B1177="","",IFERROR(INDEX('CARNET DE SOUDURE'!$E$7:$E$1506,MATCH(B1177,'CARNET DE SOUDURE'!$K$7:$K$1506,0)),""))</f>
        <v/>
      </c>
      <c r="L1177" s="78" t="str">
        <f aca="false">IF(B1177="","",IFERROR(INDEX('CARNET DE SOUDURE'!$D$7:$D$1506,MATCH(B1177,'CARNET DE SOUDURE'!$K$7:$K$1506,0)),IFERROR(INDEX('CARNET DE SOUDURE'!$D$7:$D$1506,MATCH(B1177,'CARNET DE SOUDURE'!$M$7:$M$1506,0)),"")))</f>
        <v/>
      </c>
      <c r="M1177" s="81" t="str">
        <f aca="false">IF(B1177="","",IF(OR(J1177&lt;&gt;"",K1177&lt;&gt;""),"POSÉ EN LIGNE",IF(H1177&lt;&gt;"","BARDÉ","EN STOCK")))</f>
        <v/>
      </c>
      <c r="N1177" s="79"/>
    </row>
    <row r="1178" customFormat="false" ht="15" hidden="false" customHeight="false" outlineLevel="0" collapsed="false">
      <c r="A1178" s="78" t="str">
        <f aca="false">IF(B1178="","",ROW()-6)</f>
        <v/>
      </c>
      <c r="B1178" s="90"/>
      <c r="C1178" s="91"/>
      <c r="D1178" s="91"/>
      <c r="E1178" s="80"/>
      <c r="F1178" s="92"/>
      <c r="G1178" s="79"/>
      <c r="H1178" s="82"/>
      <c r="I1178" s="93" t="str">
        <f aca="false">IF(B1178="","",IFERROR(INDEX('CARNET DE SOUDURE'!$B$7:$B$1506,MATCH(B1178,'CARNET DE SOUDURE'!$K$7:$K$1506,0)),IFERROR(INDEX('CARNET DE SOUDURE'!$B$7:$B$1506,MATCH(B1178,'CARNET DE SOUDURE'!$M$7:$M$1506,0)),"")))</f>
        <v/>
      </c>
      <c r="J1178" s="78" t="str">
        <f aca="false">IF(B1178="","",IFERROR(INDEX('CARNET DE SOUDURE'!$E$7:$E$1506,MATCH(B1178,'CARNET DE SOUDURE'!$M$7:$M$1506,0)),""))</f>
        <v/>
      </c>
      <c r="K1178" s="78" t="str">
        <f aca="false">IF(B1178="","",IFERROR(INDEX('CARNET DE SOUDURE'!$E$7:$E$1506,MATCH(B1178,'CARNET DE SOUDURE'!$K$7:$K$1506,0)),""))</f>
        <v/>
      </c>
      <c r="L1178" s="78" t="str">
        <f aca="false">IF(B1178="","",IFERROR(INDEX('CARNET DE SOUDURE'!$D$7:$D$1506,MATCH(B1178,'CARNET DE SOUDURE'!$K$7:$K$1506,0)),IFERROR(INDEX('CARNET DE SOUDURE'!$D$7:$D$1506,MATCH(B1178,'CARNET DE SOUDURE'!$M$7:$M$1506,0)),"")))</f>
        <v/>
      </c>
      <c r="M1178" s="81" t="str">
        <f aca="false">IF(B1178="","",IF(OR(J1178&lt;&gt;"",K1178&lt;&gt;""),"POSÉ EN LIGNE",IF(H1178&lt;&gt;"","BARDÉ","EN STOCK")))</f>
        <v/>
      </c>
      <c r="N1178" s="79"/>
    </row>
    <row r="1179" customFormat="false" ht="15" hidden="false" customHeight="false" outlineLevel="0" collapsed="false">
      <c r="A1179" s="78" t="str">
        <f aca="false">IF(B1179="","",ROW()-6)</f>
        <v/>
      </c>
      <c r="B1179" s="90"/>
      <c r="C1179" s="91"/>
      <c r="D1179" s="91"/>
      <c r="E1179" s="80"/>
      <c r="F1179" s="92"/>
      <c r="G1179" s="79"/>
      <c r="H1179" s="82"/>
      <c r="I1179" s="93" t="str">
        <f aca="false">IF(B1179="","",IFERROR(INDEX('CARNET DE SOUDURE'!$B$7:$B$1506,MATCH(B1179,'CARNET DE SOUDURE'!$K$7:$K$1506,0)),IFERROR(INDEX('CARNET DE SOUDURE'!$B$7:$B$1506,MATCH(B1179,'CARNET DE SOUDURE'!$M$7:$M$1506,0)),"")))</f>
        <v/>
      </c>
      <c r="J1179" s="78" t="str">
        <f aca="false">IF(B1179="","",IFERROR(INDEX('CARNET DE SOUDURE'!$E$7:$E$1506,MATCH(B1179,'CARNET DE SOUDURE'!$M$7:$M$1506,0)),""))</f>
        <v/>
      </c>
      <c r="K1179" s="78" t="str">
        <f aca="false">IF(B1179="","",IFERROR(INDEX('CARNET DE SOUDURE'!$E$7:$E$1506,MATCH(B1179,'CARNET DE SOUDURE'!$K$7:$K$1506,0)),""))</f>
        <v/>
      </c>
      <c r="L1179" s="78" t="str">
        <f aca="false">IF(B1179="","",IFERROR(INDEX('CARNET DE SOUDURE'!$D$7:$D$1506,MATCH(B1179,'CARNET DE SOUDURE'!$K$7:$K$1506,0)),IFERROR(INDEX('CARNET DE SOUDURE'!$D$7:$D$1506,MATCH(B1179,'CARNET DE SOUDURE'!$M$7:$M$1506,0)),"")))</f>
        <v/>
      </c>
      <c r="M1179" s="81" t="str">
        <f aca="false">IF(B1179="","",IF(OR(J1179&lt;&gt;"",K1179&lt;&gt;""),"POSÉ EN LIGNE",IF(H1179&lt;&gt;"","BARDÉ","EN STOCK")))</f>
        <v/>
      </c>
      <c r="N1179" s="79"/>
    </row>
    <row r="1180" customFormat="false" ht="15" hidden="false" customHeight="false" outlineLevel="0" collapsed="false">
      <c r="A1180" s="78" t="str">
        <f aca="false">IF(B1180="","",ROW()-6)</f>
        <v/>
      </c>
      <c r="B1180" s="90"/>
      <c r="C1180" s="91"/>
      <c r="D1180" s="91"/>
      <c r="E1180" s="80"/>
      <c r="F1180" s="92"/>
      <c r="G1180" s="79"/>
      <c r="H1180" s="82"/>
      <c r="I1180" s="93" t="str">
        <f aca="false">IF(B1180="","",IFERROR(INDEX('CARNET DE SOUDURE'!$B$7:$B$1506,MATCH(B1180,'CARNET DE SOUDURE'!$K$7:$K$1506,0)),IFERROR(INDEX('CARNET DE SOUDURE'!$B$7:$B$1506,MATCH(B1180,'CARNET DE SOUDURE'!$M$7:$M$1506,0)),"")))</f>
        <v/>
      </c>
      <c r="J1180" s="78" t="str">
        <f aca="false">IF(B1180="","",IFERROR(INDEX('CARNET DE SOUDURE'!$E$7:$E$1506,MATCH(B1180,'CARNET DE SOUDURE'!$M$7:$M$1506,0)),""))</f>
        <v/>
      </c>
      <c r="K1180" s="78" t="str">
        <f aca="false">IF(B1180="","",IFERROR(INDEX('CARNET DE SOUDURE'!$E$7:$E$1506,MATCH(B1180,'CARNET DE SOUDURE'!$K$7:$K$1506,0)),""))</f>
        <v/>
      </c>
      <c r="L1180" s="78" t="str">
        <f aca="false">IF(B1180="","",IFERROR(INDEX('CARNET DE SOUDURE'!$D$7:$D$1506,MATCH(B1180,'CARNET DE SOUDURE'!$K$7:$K$1506,0)),IFERROR(INDEX('CARNET DE SOUDURE'!$D$7:$D$1506,MATCH(B1180,'CARNET DE SOUDURE'!$M$7:$M$1506,0)),"")))</f>
        <v/>
      </c>
      <c r="M1180" s="81" t="str">
        <f aca="false">IF(B1180="","",IF(OR(J1180&lt;&gt;"",K1180&lt;&gt;""),"POSÉ EN LIGNE",IF(H1180&lt;&gt;"","BARDÉ","EN STOCK")))</f>
        <v/>
      </c>
      <c r="N1180" s="79"/>
    </row>
    <row r="1181" customFormat="false" ht="15" hidden="false" customHeight="false" outlineLevel="0" collapsed="false">
      <c r="A1181" s="78" t="str">
        <f aca="false">IF(B1181="","",ROW()-6)</f>
        <v/>
      </c>
      <c r="B1181" s="90"/>
      <c r="C1181" s="91"/>
      <c r="D1181" s="91"/>
      <c r="E1181" s="80"/>
      <c r="F1181" s="92"/>
      <c r="G1181" s="79"/>
      <c r="H1181" s="82"/>
      <c r="I1181" s="93" t="str">
        <f aca="false">IF(B1181="","",IFERROR(INDEX('CARNET DE SOUDURE'!$B$7:$B$1506,MATCH(B1181,'CARNET DE SOUDURE'!$K$7:$K$1506,0)),IFERROR(INDEX('CARNET DE SOUDURE'!$B$7:$B$1506,MATCH(B1181,'CARNET DE SOUDURE'!$M$7:$M$1506,0)),"")))</f>
        <v/>
      </c>
      <c r="J1181" s="78" t="str">
        <f aca="false">IF(B1181="","",IFERROR(INDEX('CARNET DE SOUDURE'!$E$7:$E$1506,MATCH(B1181,'CARNET DE SOUDURE'!$M$7:$M$1506,0)),""))</f>
        <v/>
      </c>
      <c r="K1181" s="78" t="str">
        <f aca="false">IF(B1181="","",IFERROR(INDEX('CARNET DE SOUDURE'!$E$7:$E$1506,MATCH(B1181,'CARNET DE SOUDURE'!$K$7:$K$1506,0)),""))</f>
        <v/>
      </c>
      <c r="L1181" s="78" t="str">
        <f aca="false">IF(B1181="","",IFERROR(INDEX('CARNET DE SOUDURE'!$D$7:$D$1506,MATCH(B1181,'CARNET DE SOUDURE'!$K$7:$K$1506,0)),IFERROR(INDEX('CARNET DE SOUDURE'!$D$7:$D$1506,MATCH(B1181,'CARNET DE SOUDURE'!$M$7:$M$1506,0)),"")))</f>
        <v/>
      </c>
      <c r="M1181" s="81" t="str">
        <f aca="false">IF(B1181="","",IF(OR(J1181&lt;&gt;"",K1181&lt;&gt;""),"POSÉ EN LIGNE",IF(H1181&lt;&gt;"","BARDÉ","EN STOCK")))</f>
        <v/>
      </c>
      <c r="N1181" s="79"/>
    </row>
    <row r="1182" customFormat="false" ht="15" hidden="false" customHeight="false" outlineLevel="0" collapsed="false">
      <c r="A1182" s="78" t="str">
        <f aca="false">IF(B1182="","",ROW()-6)</f>
        <v/>
      </c>
      <c r="B1182" s="90"/>
      <c r="C1182" s="91"/>
      <c r="D1182" s="91"/>
      <c r="E1182" s="80"/>
      <c r="F1182" s="92"/>
      <c r="G1182" s="79"/>
      <c r="H1182" s="82"/>
      <c r="I1182" s="93" t="str">
        <f aca="false">IF(B1182="","",IFERROR(INDEX('CARNET DE SOUDURE'!$B$7:$B$1506,MATCH(B1182,'CARNET DE SOUDURE'!$K$7:$K$1506,0)),IFERROR(INDEX('CARNET DE SOUDURE'!$B$7:$B$1506,MATCH(B1182,'CARNET DE SOUDURE'!$M$7:$M$1506,0)),"")))</f>
        <v/>
      </c>
      <c r="J1182" s="78" t="str">
        <f aca="false">IF(B1182="","",IFERROR(INDEX('CARNET DE SOUDURE'!$E$7:$E$1506,MATCH(B1182,'CARNET DE SOUDURE'!$M$7:$M$1506,0)),""))</f>
        <v/>
      </c>
      <c r="K1182" s="78" t="str">
        <f aca="false">IF(B1182="","",IFERROR(INDEX('CARNET DE SOUDURE'!$E$7:$E$1506,MATCH(B1182,'CARNET DE SOUDURE'!$K$7:$K$1506,0)),""))</f>
        <v/>
      </c>
      <c r="L1182" s="78" t="str">
        <f aca="false">IF(B1182="","",IFERROR(INDEX('CARNET DE SOUDURE'!$D$7:$D$1506,MATCH(B1182,'CARNET DE SOUDURE'!$K$7:$K$1506,0)),IFERROR(INDEX('CARNET DE SOUDURE'!$D$7:$D$1506,MATCH(B1182,'CARNET DE SOUDURE'!$M$7:$M$1506,0)),"")))</f>
        <v/>
      </c>
      <c r="M1182" s="81" t="str">
        <f aca="false">IF(B1182="","",IF(OR(J1182&lt;&gt;"",K1182&lt;&gt;""),"POSÉ EN LIGNE",IF(H1182&lt;&gt;"","BARDÉ","EN STOCK")))</f>
        <v/>
      </c>
      <c r="N1182" s="79"/>
    </row>
    <row r="1183" customFormat="false" ht="15" hidden="false" customHeight="false" outlineLevel="0" collapsed="false">
      <c r="A1183" s="78" t="str">
        <f aca="false">IF(B1183="","",ROW()-6)</f>
        <v/>
      </c>
      <c r="B1183" s="90"/>
      <c r="C1183" s="91"/>
      <c r="D1183" s="91"/>
      <c r="E1183" s="80"/>
      <c r="F1183" s="92"/>
      <c r="G1183" s="79"/>
      <c r="H1183" s="82"/>
      <c r="I1183" s="93" t="str">
        <f aca="false">IF(B1183="","",IFERROR(INDEX('CARNET DE SOUDURE'!$B$7:$B$1506,MATCH(B1183,'CARNET DE SOUDURE'!$K$7:$K$1506,0)),IFERROR(INDEX('CARNET DE SOUDURE'!$B$7:$B$1506,MATCH(B1183,'CARNET DE SOUDURE'!$M$7:$M$1506,0)),"")))</f>
        <v/>
      </c>
      <c r="J1183" s="78" t="str">
        <f aca="false">IF(B1183="","",IFERROR(INDEX('CARNET DE SOUDURE'!$E$7:$E$1506,MATCH(B1183,'CARNET DE SOUDURE'!$M$7:$M$1506,0)),""))</f>
        <v/>
      </c>
      <c r="K1183" s="78" t="str">
        <f aca="false">IF(B1183="","",IFERROR(INDEX('CARNET DE SOUDURE'!$E$7:$E$1506,MATCH(B1183,'CARNET DE SOUDURE'!$K$7:$K$1506,0)),""))</f>
        <v/>
      </c>
      <c r="L1183" s="78" t="str">
        <f aca="false">IF(B1183="","",IFERROR(INDEX('CARNET DE SOUDURE'!$D$7:$D$1506,MATCH(B1183,'CARNET DE SOUDURE'!$K$7:$K$1506,0)),IFERROR(INDEX('CARNET DE SOUDURE'!$D$7:$D$1506,MATCH(B1183,'CARNET DE SOUDURE'!$M$7:$M$1506,0)),"")))</f>
        <v/>
      </c>
      <c r="M1183" s="81" t="str">
        <f aca="false">IF(B1183="","",IF(OR(J1183&lt;&gt;"",K1183&lt;&gt;""),"POSÉ EN LIGNE",IF(H1183&lt;&gt;"","BARDÉ","EN STOCK")))</f>
        <v/>
      </c>
      <c r="N1183" s="79"/>
    </row>
    <row r="1184" customFormat="false" ht="15" hidden="false" customHeight="false" outlineLevel="0" collapsed="false">
      <c r="A1184" s="78" t="str">
        <f aca="false">IF(B1184="","",ROW()-6)</f>
        <v/>
      </c>
      <c r="B1184" s="90"/>
      <c r="C1184" s="91"/>
      <c r="D1184" s="91"/>
      <c r="E1184" s="80"/>
      <c r="F1184" s="92"/>
      <c r="G1184" s="79"/>
      <c r="H1184" s="82"/>
      <c r="I1184" s="93" t="str">
        <f aca="false">IF(B1184="","",IFERROR(INDEX('CARNET DE SOUDURE'!$B$7:$B$1506,MATCH(B1184,'CARNET DE SOUDURE'!$K$7:$K$1506,0)),IFERROR(INDEX('CARNET DE SOUDURE'!$B$7:$B$1506,MATCH(B1184,'CARNET DE SOUDURE'!$M$7:$M$1506,0)),"")))</f>
        <v/>
      </c>
      <c r="J1184" s="78" t="str">
        <f aca="false">IF(B1184="","",IFERROR(INDEX('CARNET DE SOUDURE'!$E$7:$E$1506,MATCH(B1184,'CARNET DE SOUDURE'!$M$7:$M$1506,0)),""))</f>
        <v/>
      </c>
      <c r="K1184" s="78" t="str">
        <f aca="false">IF(B1184="","",IFERROR(INDEX('CARNET DE SOUDURE'!$E$7:$E$1506,MATCH(B1184,'CARNET DE SOUDURE'!$K$7:$K$1506,0)),""))</f>
        <v/>
      </c>
      <c r="L1184" s="78" t="str">
        <f aca="false">IF(B1184="","",IFERROR(INDEX('CARNET DE SOUDURE'!$D$7:$D$1506,MATCH(B1184,'CARNET DE SOUDURE'!$K$7:$K$1506,0)),IFERROR(INDEX('CARNET DE SOUDURE'!$D$7:$D$1506,MATCH(B1184,'CARNET DE SOUDURE'!$M$7:$M$1506,0)),"")))</f>
        <v/>
      </c>
      <c r="M1184" s="81" t="str">
        <f aca="false">IF(B1184="","",IF(OR(J1184&lt;&gt;"",K1184&lt;&gt;""),"POSÉ EN LIGNE",IF(H1184&lt;&gt;"","BARDÉ","EN STOCK")))</f>
        <v/>
      </c>
      <c r="N1184" s="79"/>
    </row>
    <row r="1185" customFormat="false" ht="15" hidden="false" customHeight="false" outlineLevel="0" collapsed="false">
      <c r="A1185" s="78" t="str">
        <f aca="false">IF(B1185="","",ROW()-6)</f>
        <v/>
      </c>
      <c r="B1185" s="90"/>
      <c r="C1185" s="91"/>
      <c r="D1185" s="91"/>
      <c r="E1185" s="80"/>
      <c r="F1185" s="92"/>
      <c r="G1185" s="79"/>
      <c r="H1185" s="82"/>
      <c r="I1185" s="93" t="str">
        <f aca="false">IF(B1185="","",IFERROR(INDEX('CARNET DE SOUDURE'!$B$7:$B$1506,MATCH(B1185,'CARNET DE SOUDURE'!$K$7:$K$1506,0)),IFERROR(INDEX('CARNET DE SOUDURE'!$B$7:$B$1506,MATCH(B1185,'CARNET DE SOUDURE'!$M$7:$M$1506,0)),"")))</f>
        <v/>
      </c>
      <c r="J1185" s="78" t="str">
        <f aca="false">IF(B1185="","",IFERROR(INDEX('CARNET DE SOUDURE'!$E$7:$E$1506,MATCH(B1185,'CARNET DE SOUDURE'!$M$7:$M$1506,0)),""))</f>
        <v/>
      </c>
      <c r="K1185" s="78" t="str">
        <f aca="false">IF(B1185="","",IFERROR(INDEX('CARNET DE SOUDURE'!$E$7:$E$1506,MATCH(B1185,'CARNET DE SOUDURE'!$K$7:$K$1506,0)),""))</f>
        <v/>
      </c>
      <c r="L1185" s="78" t="str">
        <f aca="false">IF(B1185="","",IFERROR(INDEX('CARNET DE SOUDURE'!$D$7:$D$1506,MATCH(B1185,'CARNET DE SOUDURE'!$K$7:$K$1506,0)),IFERROR(INDEX('CARNET DE SOUDURE'!$D$7:$D$1506,MATCH(B1185,'CARNET DE SOUDURE'!$M$7:$M$1506,0)),"")))</f>
        <v/>
      </c>
      <c r="M1185" s="81" t="str">
        <f aca="false">IF(B1185="","",IF(OR(J1185&lt;&gt;"",K1185&lt;&gt;""),"POSÉ EN LIGNE",IF(H1185&lt;&gt;"","BARDÉ","EN STOCK")))</f>
        <v/>
      </c>
      <c r="N1185" s="79"/>
    </row>
    <row r="1186" customFormat="false" ht="15" hidden="false" customHeight="false" outlineLevel="0" collapsed="false">
      <c r="A1186" s="78" t="str">
        <f aca="false">IF(B1186="","",ROW()-6)</f>
        <v/>
      </c>
      <c r="B1186" s="90"/>
      <c r="C1186" s="91"/>
      <c r="D1186" s="91"/>
      <c r="E1186" s="80"/>
      <c r="F1186" s="92"/>
      <c r="G1186" s="79"/>
      <c r="H1186" s="82"/>
      <c r="I1186" s="93" t="str">
        <f aca="false">IF(B1186="","",IFERROR(INDEX('CARNET DE SOUDURE'!$B$7:$B$1506,MATCH(B1186,'CARNET DE SOUDURE'!$K$7:$K$1506,0)),IFERROR(INDEX('CARNET DE SOUDURE'!$B$7:$B$1506,MATCH(B1186,'CARNET DE SOUDURE'!$M$7:$M$1506,0)),"")))</f>
        <v/>
      </c>
      <c r="J1186" s="78" t="str">
        <f aca="false">IF(B1186="","",IFERROR(INDEX('CARNET DE SOUDURE'!$E$7:$E$1506,MATCH(B1186,'CARNET DE SOUDURE'!$M$7:$M$1506,0)),""))</f>
        <v/>
      </c>
      <c r="K1186" s="78" t="str">
        <f aca="false">IF(B1186="","",IFERROR(INDEX('CARNET DE SOUDURE'!$E$7:$E$1506,MATCH(B1186,'CARNET DE SOUDURE'!$K$7:$K$1506,0)),""))</f>
        <v/>
      </c>
      <c r="L1186" s="78" t="str">
        <f aca="false">IF(B1186="","",IFERROR(INDEX('CARNET DE SOUDURE'!$D$7:$D$1506,MATCH(B1186,'CARNET DE SOUDURE'!$K$7:$K$1506,0)),IFERROR(INDEX('CARNET DE SOUDURE'!$D$7:$D$1506,MATCH(B1186,'CARNET DE SOUDURE'!$M$7:$M$1506,0)),"")))</f>
        <v/>
      </c>
      <c r="M1186" s="81" t="str">
        <f aca="false">IF(B1186="","",IF(OR(J1186&lt;&gt;"",K1186&lt;&gt;""),"POSÉ EN LIGNE",IF(H1186&lt;&gt;"","BARDÉ","EN STOCK")))</f>
        <v/>
      </c>
      <c r="N1186" s="79"/>
    </row>
    <row r="1187" customFormat="false" ht="15" hidden="false" customHeight="false" outlineLevel="0" collapsed="false">
      <c r="A1187" s="78" t="str">
        <f aca="false">IF(B1187="","",ROW()-6)</f>
        <v/>
      </c>
      <c r="B1187" s="90"/>
      <c r="C1187" s="91"/>
      <c r="D1187" s="91"/>
      <c r="E1187" s="80"/>
      <c r="F1187" s="92"/>
      <c r="G1187" s="79"/>
      <c r="H1187" s="82"/>
      <c r="I1187" s="93" t="str">
        <f aca="false">IF(B1187="","",IFERROR(INDEX('CARNET DE SOUDURE'!$B$7:$B$1506,MATCH(B1187,'CARNET DE SOUDURE'!$K$7:$K$1506,0)),IFERROR(INDEX('CARNET DE SOUDURE'!$B$7:$B$1506,MATCH(B1187,'CARNET DE SOUDURE'!$M$7:$M$1506,0)),"")))</f>
        <v/>
      </c>
      <c r="J1187" s="78" t="str">
        <f aca="false">IF(B1187="","",IFERROR(INDEX('CARNET DE SOUDURE'!$E$7:$E$1506,MATCH(B1187,'CARNET DE SOUDURE'!$M$7:$M$1506,0)),""))</f>
        <v/>
      </c>
      <c r="K1187" s="78" t="str">
        <f aca="false">IF(B1187="","",IFERROR(INDEX('CARNET DE SOUDURE'!$E$7:$E$1506,MATCH(B1187,'CARNET DE SOUDURE'!$K$7:$K$1506,0)),""))</f>
        <v/>
      </c>
      <c r="L1187" s="78" t="str">
        <f aca="false">IF(B1187="","",IFERROR(INDEX('CARNET DE SOUDURE'!$D$7:$D$1506,MATCH(B1187,'CARNET DE SOUDURE'!$K$7:$K$1506,0)),IFERROR(INDEX('CARNET DE SOUDURE'!$D$7:$D$1506,MATCH(B1187,'CARNET DE SOUDURE'!$M$7:$M$1506,0)),"")))</f>
        <v/>
      </c>
      <c r="M1187" s="81" t="str">
        <f aca="false">IF(B1187="","",IF(OR(J1187&lt;&gt;"",K1187&lt;&gt;""),"POSÉ EN LIGNE",IF(H1187&lt;&gt;"","BARDÉ","EN STOCK")))</f>
        <v/>
      </c>
      <c r="N1187" s="79"/>
    </row>
    <row r="1188" customFormat="false" ht="15" hidden="false" customHeight="false" outlineLevel="0" collapsed="false">
      <c r="A1188" s="78" t="str">
        <f aca="false">IF(B1188="","",ROW()-6)</f>
        <v/>
      </c>
      <c r="B1188" s="90"/>
      <c r="C1188" s="91"/>
      <c r="D1188" s="91"/>
      <c r="E1188" s="80"/>
      <c r="F1188" s="92"/>
      <c r="G1188" s="79"/>
      <c r="H1188" s="82"/>
      <c r="I1188" s="93" t="str">
        <f aca="false">IF(B1188="","",IFERROR(INDEX('CARNET DE SOUDURE'!$B$7:$B$1506,MATCH(B1188,'CARNET DE SOUDURE'!$K$7:$K$1506,0)),IFERROR(INDEX('CARNET DE SOUDURE'!$B$7:$B$1506,MATCH(B1188,'CARNET DE SOUDURE'!$M$7:$M$1506,0)),"")))</f>
        <v/>
      </c>
      <c r="J1188" s="78" t="str">
        <f aca="false">IF(B1188="","",IFERROR(INDEX('CARNET DE SOUDURE'!$E$7:$E$1506,MATCH(B1188,'CARNET DE SOUDURE'!$M$7:$M$1506,0)),""))</f>
        <v/>
      </c>
      <c r="K1188" s="78" t="str">
        <f aca="false">IF(B1188="","",IFERROR(INDEX('CARNET DE SOUDURE'!$E$7:$E$1506,MATCH(B1188,'CARNET DE SOUDURE'!$K$7:$K$1506,0)),""))</f>
        <v/>
      </c>
      <c r="L1188" s="78" t="str">
        <f aca="false">IF(B1188="","",IFERROR(INDEX('CARNET DE SOUDURE'!$D$7:$D$1506,MATCH(B1188,'CARNET DE SOUDURE'!$K$7:$K$1506,0)),IFERROR(INDEX('CARNET DE SOUDURE'!$D$7:$D$1506,MATCH(B1188,'CARNET DE SOUDURE'!$M$7:$M$1506,0)),"")))</f>
        <v/>
      </c>
      <c r="M1188" s="81" t="str">
        <f aca="false">IF(B1188="","",IF(OR(J1188&lt;&gt;"",K1188&lt;&gt;""),"POSÉ EN LIGNE",IF(H1188&lt;&gt;"","BARDÉ","EN STOCK")))</f>
        <v/>
      </c>
      <c r="N1188" s="79"/>
    </row>
    <row r="1189" customFormat="false" ht="15" hidden="false" customHeight="false" outlineLevel="0" collapsed="false">
      <c r="A1189" s="78" t="str">
        <f aca="false">IF(B1189="","",ROW()-6)</f>
        <v/>
      </c>
      <c r="B1189" s="90"/>
      <c r="C1189" s="91"/>
      <c r="D1189" s="91"/>
      <c r="E1189" s="80"/>
      <c r="F1189" s="92"/>
      <c r="G1189" s="79"/>
      <c r="H1189" s="82"/>
      <c r="I1189" s="93" t="str">
        <f aca="false">IF(B1189="","",IFERROR(INDEX('CARNET DE SOUDURE'!$B$7:$B$1506,MATCH(B1189,'CARNET DE SOUDURE'!$K$7:$K$1506,0)),IFERROR(INDEX('CARNET DE SOUDURE'!$B$7:$B$1506,MATCH(B1189,'CARNET DE SOUDURE'!$M$7:$M$1506,0)),"")))</f>
        <v/>
      </c>
      <c r="J1189" s="78" t="str">
        <f aca="false">IF(B1189="","",IFERROR(INDEX('CARNET DE SOUDURE'!$E$7:$E$1506,MATCH(B1189,'CARNET DE SOUDURE'!$M$7:$M$1506,0)),""))</f>
        <v/>
      </c>
      <c r="K1189" s="78" t="str">
        <f aca="false">IF(B1189="","",IFERROR(INDEX('CARNET DE SOUDURE'!$E$7:$E$1506,MATCH(B1189,'CARNET DE SOUDURE'!$K$7:$K$1506,0)),""))</f>
        <v/>
      </c>
      <c r="L1189" s="78" t="str">
        <f aca="false">IF(B1189="","",IFERROR(INDEX('CARNET DE SOUDURE'!$D$7:$D$1506,MATCH(B1189,'CARNET DE SOUDURE'!$K$7:$K$1506,0)),IFERROR(INDEX('CARNET DE SOUDURE'!$D$7:$D$1506,MATCH(B1189,'CARNET DE SOUDURE'!$M$7:$M$1506,0)),"")))</f>
        <v/>
      </c>
      <c r="M1189" s="81" t="str">
        <f aca="false">IF(B1189="","",IF(OR(J1189&lt;&gt;"",K1189&lt;&gt;""),"POSÉ EN LIGNE",IF(H1189&lt;&gt;"","BARDÉ","EN STOCK")))</f>
        <v/>
      </c>
      <c r="N1189" s="79"/>
    </row>
    <row r="1190" customFormat="false" ht="15" hidden="false" customHeight="false" outlineLevel="0" collapsed="false">
      <c r="A1190" s="78" t="str">
        <f aca="false">IF(B1190="","",ROW()-6)</f>
        <v/>
      </c>
      <c r="B1190" s="90"/>
      <c r="C1190" s="91"/>
      <c r="D1190" s="91"/>
      <c r="E1190" s="80"/>
      <c r="F1190" s="92"/>
      <c r="G1190" s="79"/>
      <c r="H1190" s="82"/>
      <c r="I1190" s="93" t="str">
        <f aca="false">IF(B1190="","",IFERROR(INDEX('CARNET DE SOUDURE'!$B$7:$B$1506,MATCH(B1190,'CARNET DE SOUDURE'!$K$7:$K$1506,0)),IFERROR(INDEX('CARNET DE SOUDURE'!$B$7:$B$1506,MATCH(B1190,'CARNET DE SOUDURE'!$M$7:$M$1506,0)),"")))</f>
        <v/>
      </c>
      <c r="J1190" s="78" t="str">
        <f aca="false">IF(B1190="","",IFERROR(INDEX('CARNET DE SOUDURE'!$E$7:$E$1506,MATCH(B1190,'CARNET DE SOUDURE'!$M$7:$M$1506,0)),""))</f>
        <v/>
      </c>
      <c r="K1190" s="78" t="str">
        <f aca="false">IF(B1190="","",IFERROR(INDEX('CARNET DE SOUDURE'!$E$7:$E$1506,MATCH(B1190,'CARNET DE SOUDURE'!$K$7:$K$1506,0)),""))</f>
        <v/>
      </c>
      <c r="L1190" s="78" t="str">
        <f aca="false">IF(B1190="","",IFERROR(INDEX('CARNET DE SOUDURE'!$D$7:$D$1506,MATCH(B1190,'CARNET DE SOUDURE'!$K$7:$K$1506,0)),IFERROR(INDEX('CARNET DE SOUDURE'!$D$7:$D$1506,MATCH(B1190,'CARNET DE SOUDURE'!$M$7:$M$1506,0)),"")))</f>
        <v/>
      </c>
      <c r="M1190" s="81" t="str">
        <f aca="false">IF(B1190="","",IF(OR(J1190&lt;&gt;"",K1190&lt;&gt;""),"POSÉ EN LIGNE",IF(H1190&lt;&gt;"","BARDÉ","EN STOCK")))</f>
        <v/>
      </c>
      <c r="N1190" s="79"/>
    </row>
    <row r="1191" customFormat="false" ht="15" hidden="false" customHeight="false" outlineLevel="0" collapsed="false">
      <c r="A1191" s="78" t="str">
        <f aca="false">IF(B1191="","",ROW()-6)</f>
        <v/>
      </c>
      <c r="B1191" s="90"/>
      <c r="C1191" s="91"/>
      <c r="D1191" s="91"/>
      <c r="E1191" s="80"/>
      <c r="F1191" s="92"/>
      <c r="G1191" s="79"/>
      <c r="H1191" s="82"/>
      <c r="I1191" s="93" t="str">
        <f aca="false">IF(B1191="","",IFERROR(INDEX('CARNET DE SOUDURE'!$B$7:$B$1506,MATCH(B1191,'CARNET DE SOUDURE'!$K$7:$K$1506,0)),IFERROR(INDEX('CARNET DE SOUDURE'!$B$7:$B$1506,MATCH(B1191,'CARNET DE SOUDURE'!$M$7:$M$1506,0)),"")))</f>
        <v/>
      </c>
      <c r="J1191" s="78" t="str">
        <f aca="false">IF(B1191="","",IFERROR(INDEX('CARNET DE SOUDURE'!$E$7:$E$1506,MATCH(B1191,'CARNET DE SOUDURE'!$M$7:$M$1506,0)),""))</f>
        <v/>
      </c>
      <c r="K1191" s="78" t="str">
        <f aca="false">IF(B1191="","",IFERROR(INDEX('CARNET DE SOUDURE'!$E$7:$E$1506,MATCH(B1191,'CARNET DE SOUDURE'!$K$7:$K$1506,0)),""))</f>
        <v/>
      </c>
      <c r="L1191" s="78" t="str">
        <f aca="false">IF(B1191="","",IFERROR(INDEX('CARNET DE SOUDURE'!$D$7:$D$1506,MATCH(B1191,'CARNET DE SOUDURE'!$K$7:$K$1506,0)),IFERROR(INDEX('CARNET DE SOUDURE'!$D$7:$D$1506,MATCH(B1191,'CARNET DE SOUDURE'!$M$7:$M$1506,0)),"")))</f>
        <v/>
      </c>
      <c r="M1191" s="81" t="str">
        <f aca="false">IF(B1191="","",IF(OR(J1191&lt;&gt;"",K1191&lt;&gt;""),"POSÉ EN LIGNE",IF(H1191&lt;&gt;"","BARDÉ","EN STOCK")))</f>
        <v/>
      </c>
      <c r="N1191" s="79"/>
    </row>
    <row r="1192" customFormat="false" ht="15" hidden="false" customHeight="false" outlineLevel="0" collapsed="false">
      <c r="A1192" s="78" t="str">
        <f aca="false">IF(B1192="","",ROW()-6)</f>
        <v/>
      </c>
      <c r="B1192" s="90"/>
      <c r="C1192" s="91"/>
      <c r="D1192" s="91"/>
      <c r="E1192" s="80"/>
      <c r="F1192" s="92"/>
      <c r="G1192" s="79"/>
      <c r="H1192" s="82"/>
      <c r="I1192" s="93" t="str">
        <f aca="false">IF(B1192="","",IFERROR(INDEX('CARNET DE SOUDURE'!$B$7:$B$1506,MATCH(B1192,'CARNET DE SOUDURE'!$K$7:$K$1506,0)),IFERROR(INDEX('CARNET DE SOUDURE'!$B$7:$B$1506,MATCH(B1192,'CARNET DE SOUDURE'!$M$7:$M$1506,0)),"")))</f>
        <v/>
      </c>
      <c r="J1192" s="78" t="str">
        <f aca="false">IF(B1192="","",IFERROR(INDEX('CARNET DE SOUDURE'!$E$7:$E$1506,MATCH(B1192,'CARNET DE SOUDURE'!$M$7:$M$1506,0)),""))</f>
        <v/>
      </c>
      <c r="K1192" s="78" t="str">
        <f aca="false">IF(B1192="","",IFERROR(INDEX('CARNET DE SOUDURE'!$E$7:$E$1506,MATCH(B1192,'CARNET DE SOUDURE'!$K$7:$K$1506,0)),""))</f>
        <v/>
      </c>
      <c r="L1192" s="78" t="str">
        <f aca="false">IF(B1192="","",IFERROR(INDEX('CARNET DE SOUDURE'!$D$7:$D$1506,MATCH(B1192,'CARNET DE SOUDURE'!$K$7:$K$1506,0)),IFERROR(INDEX('CARNET DE SOUDURE'!$D$7:$D$1506,MATCH(B1192,'CARNET DE SOUDURE'!$M$7:$M$1506,0)),"")))</f>
        <v/>
      </c>
      <c r="M1192" s="81" t="str">
        <f aca="false">IF(B1192="","",IF(OR(J1192&lt;&gt;"",K1192&lt;&gt;""),"POSÉ EN LIGNE",IF(H1192&lt;&gt;"","BARDÉ","EN STOCK")))</f>
        <v/>
      </c>
      <c r="N1192" s="79"/>
    </row>
    <row r="1193" customFormat="false" ht="15" hidden="false" customHeight="false" outlineLevel="0" collapsed="false">
      <c r="A1193" s="78" t="str">
        <f aca="false">IF(B1193="","",ROW()-6)</f>
        <v/>
      </c>
      <c r="B1193" s="90"/>
      <c r="C1193" s="91"/>
      <c r="D1193" s="91"/>
      <c r="E1193" s="80"/>
      <c r="F1193" s="92"/>
      <c r="G1193" s="79"/>
      <c r="H1193" s="82"/>
      <c r="I1193" s="93" t="str">
        <f aca="false">IF(B1193="","",IFERROR(INDEX('CARNET DE SOUDURE'!$B$7:$B$1506,MATCH(B1193,'CARNET DE SOUDURE'!$K$7:$K$1506,0)),IFERROR(INDEX('CARNET DE SOUDURE'!$B$7:$B$1506,MATCH(B1193,'CARNET DE SOUDURE'!$M$7:$M$1506,0)),"")))</f>
        <v/>
      </c>
      <c r="J1193" s="78" t="str">
        <f aca="false">IF(B1193="","",IFERROR(INDEX('CARNET DE SOUDURE'!$E$7:$E$1506,MATCH(B1193,'CARNET DE SOUDURE'!$M$7:$M$1506,0)),""))</f>
        <v/>
      </c>
      <c r="K1193" s="78" t="str">
        <f aca="false">IF(B1193="","",IFERROR(INDEX('CARNET DE SOUDURE'!$E$7:$E$1506,MATCH(B1193,'CARNET DE SOUDURE'!$K$7:$K$1506,0)),""))</f>
        <v/>
      </c>
      <c r="L1193" s="78" t="str">
        <f aca="false">IF(B1193="","",IFERROR(INDEX('CARNET DE SOUDURE'!$D$7:$D$1506,MATCH(B1193,'CARNET DE SOUDURE'!$K$7:$K$1506,0)),IFERROR(INDEX('CARNET DE SOUDURE'!$D$7:$D$1506,MATCH(B1193,'CARNET DE SOUDURE'!$M$7:$M$1506,0)),"")))</f>
        <v/>
      </c>
      <c r="M1193" s="81" t="str">
        <f aca="false">IF(B1193="","",IF(OR(J1193&lt;&gt;"",K1193&lt;&gt;""),"POSÉ EN LIGNE",IF(H1193&lt;&gt;"","BARDÉ","EN STOCK")))</f>
        <v/>
      </c>
      <c r="N1193" s="79"/>
    </row>
    <row r="1194" customFormat="false" ht="15" hidden="false" customHeight="false" outlineLevel="0" collapsed="false">
      <c r="A1194" s="78" t="str">
        <f aca="false">IF(B1194="","",ROW()-6)</f>
        <v/>
      </c>
      <c r="B1194" s="90"/>
      <c r="C1194" s="91"/>
      <c r="D1194" s="91"/>
      <c r="E1194" s="80"/>
      <c r="F1194" s="92"/>
      <c r="G1194" s="79"/>
      <c r="H1194" s="82"/>
      <c r="I1194" s="93" t="str">
        <f aca="false">IF(B1194="","",IFERROR(INDEX('CARNET DE SOUDURE'!$B$7:$B$1506,MATCH(B1194,'CARNET DE SOUDURE'!$K$7:$K$1506,0)),IFERROR(INDEX('CARNET DE SOUDURE'!$B$7:$B$1506,MATCH(B1194,'CARNET DE SOUDURE'!$M$7:$M$1506,0)),"")))</f>
        <v/>
      </c>
      <c r="J1194" s="78" t="str">
        <f aca="false">IF(B1194="","",IFERROR(INDEX('CARNET DE SOUDURE'!$E$7:$E$1506,MATCH(B1194,'CARNET DE SOUDURE'!$M$7:$M$1506,0)),""))</f>
        <v/>
      </c>
      <c r="K1194" s="78" t="str">
        <f aca="false">IF(B1194="","",IFERROR(INDEX('CARNET DE SOUDURE'!$E$7:$E$1506,MATCH(B1194,'CARNET DE SOUDURE'!$K$7:$K$1506,0)),""))</f>
        <v/>
      </c>
      <c r="L1194" s="78" t="str">
        <f aca="false">IF(B1194="","",IFERROR(INDEX('CARNET DE SOUDURE'!$D$7:$D$1506,MATCH(B1194,'CARNET DE SOUDURE'!$K$7:$K$1506,0)),IFERROR(INDEX('CARNET DE SOUDURE'!$D$7:$D$1506,MATCH(B1194,'CARNET DE SOUDURE'!$M$7:$M$1506,0)),"")))</f>
        <v/>
      </c>
      <c r="M1194" s="81" t="str">
        <f aca="false">IF(B1194="","",IF(OR(J1194&lt;&gt;"",K1194&lt;&gt;""),"POSÉ EN LIGNE",IF(H1194&lt;&gt;"","BARDÉ","EN STOCK")))</f>
        <v/>
      </c>
      <c r="N1194" s="79"/>
    </row>
    <row r="1195" customFormat="false" ht="15" hidden="false" customHeight="false" outlineLevel="0" collapsed="false">
      <c r="A1195" s="78" t="str">
        <f aca="false">IF(B1195="","",ROW()-6)</f>
        <v/>
      </c>
      <c r="B1195" s="90"/>
      <c r="C1195" s="91"/>
      <c r="D1195" s="91"/>
      <c r="E1195" s="80"/>
      <c r="F1195" s="92"/>
      <c r="G1195" s="79"/>
      <c r="H1195" s="82"/>
      <c r="I1195" s="93" t="str">
        <f aca="false">IF(B1195="","",IFERROR(INDEX('CARNET DE SOUDURE'!$B$7:$B$1506,MATCH(B1195,'CARNET DE SOUDURE'!$K$7:$K$1506,0)),IFERROR(INDEX('CARNET DE SOUDURE'!$B$7:$B$1506,MATCH(B1195,'CARNET DE SOUDURE'!$M$7:$M$1506,0)),"")))</f>
        <v/>
      </c>
      <c r="J1195" s="78" t="str">
        <f aca="false">IF(B1195="","",IFERROR(INDEX('CARNET DE SOUDURE'!$E$7:$E$1506,MATCH(B1195,'CARNET DE SOUDURE'!$M$7:$M$1506,0)),""))</f>
        <v/>
      </c>
      <c r="K1195" s="78" t="str">
        <f aca="false">IF(B1195="","",IFERROR(INDEX('CARNET DE SOUDURE'!$E$7:$E$1506,MATCH(B1195,'CARNET DE SOUDURE'!$K$7:$K$1506,0)),""))</f>
        <v/>
      </c>
      <c r="L1195" s="78" t="str">
        <f aca="false">IF(B1195="","",IFERROR(INDEX('CARNET DE SOUDURE'!$D$7:$D$1506,MATCH(B1195,'CARNET DE SOUDURE'!$K$7:$K$1506,0)),IFERROR(INDEX('CARNET DE SOUDURE'!$D$7:$D$1506,MATCH(B1195,'CARNET DE SOUDURE'!$M$7:$M$1506,0)),"")))</f>
        <v/>
      </c>
      <c r="M1195" s="81" t="str">
        <f aca="false">IF(B1195="","",IF(OR(J1195&lt;&gt;"",K1195&lt;&gt;""),"POSÉ EN LIGNE",IF(H1195&lt;&gt;"","BARDÉ","EN STOCK")))</f>
        <v/>
      </c>
      <c r="N1195" s="79"/>
    </row>
    <row r="1196" customFormat="false" ht="15" hidden="false" customHeight="false" outlineLevel="0" collapsed="false">
      <c r="A1196" s="78" t="str">
        <f aca="false">IF(B1196="","",ROW()-6)</f>
        <v/>
      </c>
      <c r="B1196" s="90"/>
      <c r="C1196" s="91"/>
      <c r="D1196" s="91"/>
      <c r="E1196" s="80"/>
      <c r="F1196" s="92"/>
      <c r="G1196" s="79"/>
      <c r="H1196" s="82"/>
      <c r="I1196" s="93" t="str">
        <f aca="false">IF(B1196="","",IFERROR(INDEX('CARNET DE SOUDURE'!$B$7:$B$1506,MATCH(B1196,'CARNET DE SOUDURE'!$K$7:$K$1506,0)),IFERROR(INDEX('CARNET DE SOUDURE'!$B$7:$B$1506,MATCH(B1196,'CARNET DE SOUDURE'!$M$7:$M$1506,0)),"")))</f>
        <v/>
      </c>
      <c r="J1196" s="78" t="str">
        <f aca="false">IF(B1196="","",IFERROR(INDEX('CARNET DE SOUDURE'!$E$7:$E$1506,MATCH(B1196,'CARNET DE SOUDURE'!$M$7:$M$1506,0)),""))</f>
        <v/>
      </c>
      <c r="K1196" s="78" t="str">
        <f aca="false">IF(B1196="","",IFERROR(INDEX('CARNET DE SOUDURE'!$E$7:$E$1506,MATCH(B1196,'CARNET DE SOUDURE'!$K$7:$K$1506,0)),""))</f>
        <v/>
      </c>
      <c r="L1196" s="78" t="str">
        <f aca="false">IF(B1196="","",IFERROR(INDEX('CARNET DE SOUDURE'!$D$7:$D$1506,MATCH(B1196,'CARNET DE SOUDURE'!$K$7:$K$1506,0)),IFERROR(INDEX('CARNET DE SOUDURE'!$D$7:$D$1506,MATCH(B1196,'CARNET DE SOUDURE'!$M$7:$M$1506,0)),"")))</f>
        <v/>
      </c>
      <c r="M1196" s="81" t="str">
        <f aca="false">IF(B1196="","",IF(OR(J1196&lt;&gt;"",K1196&lt;&gt;""),"POSÉ EN LIGNE",IF(H1196&lt;&gt;"","BARDÉ","EN STOCK")))</f>
        <v/>
      </c>
      <c r="N1196" s="79"/>
    </row>
    <row r="1197" customFormat="false" ht="15" hidden="false" customHeight="false" outlineLevel="0" collapsed="false">
      <c r="A1197" s="78" t="str">
        <f aca="false">IF(B1197="","",ROW()-6)</f>
        <v/>
      </c>
      <c r="B1197" s="90"/>
      <c r="C1197" s="91"/>
      <c r="D1197" s="91"/>
      <c r="E1197" s="80"/>
      <c r="F1197" s="92"/>
      <c r="G1197" s="79"/>
      <c r="H1197" s="82"/>
      <c r="I1197" s="93" t="str">
        <f aca="false">IF(B1197="","",IFERROR(INDEX('CARNET DE SOUDURE'!$B$7:$B$1506,MATCH(B1197,'CARNET DE SOUDURE'!$K$7:$K$1506,0)),IFERROR(INDEX('CARNET DE SOUDURE'!$B$7:$B$1506,MATCH(B1197,'CARNET DE SOUDURE'!$M$7:$M$1506,0)),"")))</f>
        <v/>
      </c>
      <c r="J1197" s="78" t="str">
        <f aca="false">IF(B1197="","",IFERROR(INDEX('CARNET DE SOUDURE'!$E$7:$E$1506,MATCH(B1197,'CARNET DE SOUDURE'!$M$7:$M$1506,0)),""))</f>
        <v/>
      </c>
      <c r="K1197" s="78" t="str">
        <f aca="false">IF(B1197="","",IFERROR(INDEX('CARNET DE SOUDURE'!$E$7:$E$1506,MATCH(B1197,'CARNET DE SOUDURE'!$K$7:$K$1506,0)),""))</f>
        <v/>
      </c>
      <c r="L1197" s="78" t="str">
        <f aca="false">IF(B1197="","",IFERROR(INDEX('CARNET DE SOUDURE'!$D$7:$D$1506,MATCH(B1197,'CARNET DE SOUDURE'!$K$7:$K$1506,0)),IFERROR(INDEX('CARNET DE SOUDURE'!$D$7:$D$1506,MATCH(B1197,'CARNET DE SOUDURE'!$M$7:$M$1506,0)),"")))</f>
        <v/>
      </c>
      <c r="M1197" s="81" t="str">
        <f aca="false">IF(B1197="","",IF(OR(J1197&lt;&gt;"",K1197&lt;&gt;""),"POSÉ EN LIGNE",IF(H1197&lt;&gt;"","BARDÉ","EN STOCK")))</f>
        <v/>
      </c>
      <c r="N1197" s="79"/>
    </row>
    <row r="1198" customFormat="false" ht="15" hidden="false" customHeight="false" outlineLevel="0" collapsed="false">
      <c r="A1198" s="78" t="str">
        <f aca="false">IF(B1198="","",ROW()-6)</f>
        <v/>
      </c>
      <c r="B1198" s="90"/>
      <c r="C1198" s="91"/>
      <c r="D1198" s="91"/>
      <c r="E1198" s="80"/>
      <c r="F1198" s="92"/>
      <c r="G1198" s="79"/>
      <c r="H1198" s="82"/>
      <c r="I1198" s="93" t="str">
        <f aca="false">IF(B1198="","",IFERROR(INDEX('CARNET DE SOUDURE'!$B$7:$B$1506,MATCH(B1198,'CARNET DE SOUDURE'!$K$7:$K$1506,0)),IFERROR(INDEX('CARNET DE SOUDURE'!$B$7:$B$1506,MATCH(B1198,'CARNET DE SOUDURE'!$M$7:$M$1506,0)),"")))</f>
        <v/>
      </c>
      <c r="J1198" s="78" t="str">
        <f aca="false">IF(B1198="","",IFERROR(INDEX('CARNET DE SOUDURE'!$E$7:$E$1506,MATCH(B1198,'CARNET DE SOUDURE'!$M$7:$M$1506,0)),""))</f>
        <v/>
      </c>
      <c r="K1198" s="78" t="str">
        <f aca="false">IF(B1198="","",IFERROR(INDEX('CARNET DE SOUDURE'!$E$7:$E$1506,MATCH(B1198,'CARNET DE SOUDURE'!$K$7:$K$1506,0)),""))</f>
        <v/>
      </c>
      <c r="L1198" s="78" t="str">
        <f aca="false">IF(B1198="","",IFERROR(INDEX('CARNET DE SOUDURE'!$D$7:$D$1506,MATCH(B1198,'CARNET DE SOUDURE'!$K$7:$K$1506,0)),IFERROR(INDEX('CARNET DE SOUDURE'!$D$7:$D$1506,MATCH(B1198,'CARNET DE SOUDURE'!$M$7:$M$1506,0)),"")))</f>
        <v/>
      </c>
      <c r="M1198" s="81" t="str">
        <f aca="false">IF(B1198="","",IF(OR(J1198&lt;&gt;"",K1198&lt;&gt;""),"POSÉ EN LIGNE",IF(H1198&lt;&gt;"","BARDÉ","EN STOCK")))</f>
        <v/>
      </c>
      <c r="N1198" s="79"/>
    </row>
    <row r="1199" customFormat="false" ht="15" hidden="false" customHeight="false" outlineLevel="0" collapsed="false">
      <c r="A1199" s="78" t="str">
        <f aca="false">IF(B1199="","",ROW()-6)</f>
        <v/>
      </c>
      <c r="B1199" s="90"/>
      <c r="C1199" s="91"/>
      <c r="D1199" s="91"/>
      <c r="E1199" s="80"/>
      <c r="F1199" s="92"/>
      <c r="G1199" s="79"/>
      <c r="H1199" s="82"/>
      <c r="I1199" s="93" t="str">
        <f aca="false">IF(B1199="","",IFERROR(INDEX('CARNET DE SOUDURE'!$B$7:$B$1506,MATCH(B1199,'CARNET DE SOUDURE'!$K$7:$K$1506,0)),IFERROR(INDEX('CARNET DE SOUDURE'!$B$7:$B$1506,MATCH(B1199,'CARNET DE SOUDURE'!$M$7:$M$1506,0)),"")))</f>
        <v/>
      </c>
      <c r="J1199" s="78" t="str">
        <f aca="false">IF(B1199="","",IFERROR(INDEX('CARNET DE SOUDURE'!$E$7:$E$1506,MATCH(B1199,'CARNET DE SOUDURE'!$M$7:$M$1506,0)),""))</f>
        <v/>
      </c>
      <c r="K1199" s="78" t="str">
        <f aca="false">IF(B1199="","",IFERROR(INDEX('CARNET DE SOUDURE'!$E$7:$E$1506,MATCH(B1199,'CARNET DE SOUDURE'!$K$7:$K$1506,0)),""))</f>
        <v/>
      </c>
      <c r="L1199" s="78" t="str">
        <f aca="false">IF(B1199="","",IFERROR(INDEX('CARNET DE SOUDURE'!$D$7:$D$1506,MATCH(B1199,'CARNET DE SOUDURE'!$K$7:$K$1506,0)),IFERROR(INDEX('CARNET DE SOUDURE'!$D$7:$D$1506,MATCH(B1199,'CARNET DE SOUDURE'!$M$7:$M$1506,0)),"")))</f>
        <v/>
      </c>
      <c r="M1199" s="81" t="str">
        <f aca="false">IF(B1199="","",IF(OR(J1199&lt;&gt;"",K1199&lt;&gt;""),"POSÉ EN LIGNE",IF(H1199&lt;&gt;"","BARDÉ","EN STOCK")))</f>
        <v/>
      </c>
      <c r="N1199" s="79"/>
    </row>
    <row r="1200" customFormat="false" ht="15" hidden="false" customHeight="false" outlineLevel="0" collapsed="false">
      <c r="A1200" s="78" t="str">
        <f aca="false">IF(B1200="","",ROW()-6)</f>
        <v/>
      </c>
      <c r="B1200" s="90"/>
      <c r="C1200" s="91"/>
      <c r="D1200" s="91"/>
      <c r="E1200" s="80"/>
      <c r="F1200" s="92"/>
      <c r="G1200" s="79"/>
      <c r="H1200" s="82"/>
      <c r="I1200" s="93" t="str">
        <f aca="false">IF(B1200="","",IFERROR(INDEX('CARNET DE SOUDURE'!$B$7:$B$1506,MATCH(B1200,'CARNET DE SOUDURE'!$K$7:$K$1506,0)),IFERROR(INDEX('CARNET DE SOUDURE'!$B$7:$B$1506,MATCH(B1200,'CARNET DE SOUDURE'!$M$7:$M$1506,0)),"")))</f>
        <v/>
      </c>
      <c r="J1200" s="78" t="str">
        <f aca="false">IF(B1200="","",IFERROR(INDEX('CARNET DE SOUDURE'!$E$7:$E$1506,MATCH(B1200,'CARNET DE SOUDURE'!$M$7:$M$1506,0)),""))</f>
        <v/>
      </c>
      <c r="K1200" s="78" t="str">
        <f aca="false">IF(B1200="","",IFERROR(INDEX('CARNET DE SOUDURE'!$E$7:$E$1506,MATCH(B1200,'CARNET DE SOUDURE'!$K$7:$K$1506,0)),""))</f>
        <v/>
      </c>
      <c r="L1200" s="78" t="str">
        <f aca="false">IF(B1200="","",IFERROR(INDEX('CARNET DE SOUDURE'!$D$7:$D$1506,MATCH(B1200,'CARNET DE SOUDURE'!$K$7:$K$1506,0)),IFERROR(INDEX('CARNET DE SOUDURE'!$D$7:$D$1506,MATCH(B1200,'CARNET DE SOUDURE'!$M$7:$M$1506,0)),"")))</f>
        <v/>
      </c>
      <c r="M1200" s="81" t="str">
        <f aca="false">IF(B1200="","",IF(OR(J1200&lt;&gt;"",K1200&lt;&gt;""),"POSÉ EN LIGNE",IF(H1200&lt;&gt;"","BARDÉ","EN STOCK")))</f>
        <v/>
      </c>
      <c r="N1200" s="79"/>
    </row>
    <row r="1201" customFormat="false" ht="15" hidden="false" customHeight="false" outlineLevel="0" collapsed="false">
      <c r="A1201" s="78" t="str">
        <f aca="false">IF(B1201="","",ROW()-6)</f>
        <v/>
      </c>
      <c r="B1201" s="90"/>
      <c r="C1201" s="91"/>
      <c r="D1201" s="91"/>
      <c r="E1201" s="80"/>
      <c r="F1201" s="92"/>
      <c r="G1201" s="79"/>
      <c r="H1201" s="82"/>
      <c r="I1201" s="93" t="str">
        <f aca="false">IF(B1201="","",IFERROR(INDEX('CARNET DE SOUDURE'!$B$7:$B$1506,MATCH(B1201,'CARNET DE SOUDURE'!$K$7:$K$1506,0)),IFERROR(INDEX('CARNET DE SOUDURE'!$B$7:$B$1506,MATCH(B1201,'CARNET DE SOUDURE'!$M$7:$M$1506,0)),"")))</f>
        <v/>
      </c>
      <c r="J1201" s="78" t="str">
        <f aca="false">IF(B1201="","",IFERROR(INDEX('CARNET DE SOUDURE'!$E$7:$E$1506,MATCH(B1201,'CARNET DE SOUDURE'!$M$7:$M$1506,0)),""))</f>
        <v/>
      </c>
      <c r="K1201" s="78" t="str">
        <f aca="false">IF(B1201="","",IFERROR(INDEX('CARNET DE SOUDURE'!$E$7:$E$1506,MATCH(B1201,'CARNET DE SOUDURE'!$K$7:$K$1506,0)),""))</f>
        <v/>
      </c>
      <c r="L1201" s="78" t="str">
        <f aca="false">IF(B1201="","",IFERROR(INDEX('CARNET DE SOUDURE'!$D$7:$D$1506,MATCH(B1201,'CARNET DE SOUDURE'!$K$7:$K$1506,0)),IFERROR(INDEX('CARNET DE SOUDURE'!$D$7:$D$1506,MATCH(B1201,'CARNET DE SOUDURE'!$M$7:$M$1506,0)),"")))</f>
        <v/>
      </c>
      <c r="M1201" s="81" t="str">
        <f aca="false">IF(B1201="","",IF(OR(J1201&lt;&gt;"",K1201&lt;&gt;""),"POSÉ EN LIGNE",IF(H1201&lt;&gt;"","BARDÉ","EN STOCK")))</f>
        <v/>
      </c>
      <c r="N1201" s="79"/>
    </row>
    <row r="1202" customFormat="false" ht="15" hidden="false" customHeight="false" outlineLevel="0" collapsed="false">
      <c r="A1202" s="78" t="str">
        <f aca="false">IF(B1202="","",ROW()-6)</f>
        <v/>
      </c>
      <c r="B1202" s="90"/>
      <c r="C1202" s="91"/>
      <c r="D1202" s="91"/>
      <c r="E1202" s="80"/>
      <c r="F1202" s="92"/>
      <c r="G1202" s="79"/>
      <c r="H1202" s="82"/>
      <c r="I1202" s="93" t="str">
        <f aca="false">IF(B1202="","",IFERROR(INDEX('CARNET DE SOUDURE'!$B$7:$B$1506,MATCH(B1202,'CARNET DE SOUDURE'!$K$7:$K$1506,0)),IFERROR(INDEX('CARNET DE SOUDURE'!$B$7:$B$1506,MATCH(B1202,'CARNET DE SOUDURE'!$M$7:$M$1506,0)),"")))</f>
        <v/>
      </c>
      <c r="J1202" s="78" t="str">
        <f aca="false">IF(B1202="","",IFERROR(INDEX('CARNET DE SOUDURE'!$E$7:$E$1506,MATCH(B1202,'CARNET DE SOUDURE'!$M$7:$M$1506,0)),""))</f>
        <v/>
      </c>
      <c r="K1202" s="78" t="str">
        <f aca="false">IF(B1202="","",IFERROR(INDEX('CARNET DE SOUDURE'!$E$7:$E$1506,MATCH(B1202,'CARNET DE SOUDURE'!$K$7:$K$1506,0)),""))</f>
        <v/>
      </c>
      <c r="L1202" s="78" t="str">
        <f aca="false">IF(B1202="","",IFERROR(INDEX('CARNET DE SOUDURE'!$D$7:$D$1506,MATCH(B1202,'CARNET DE SOUDURE'!$K$7:$K$1506,0)),IFERROR(INDEX('CARNET DE SOUDURE'!$D$7:$D$1506,MATCH(B1202,'CARNET DE SOUDURE'!$M$7:$M$1506,0)),"")))</f>
        <v/>
      </c>
      <c r="M1202" s="81" t="str">
        <f aca="false">IF(B1202="","",IF(OR(J1202&lt;&gt;"",K1202&lt;&gt;""),"POSÉ EN LIGNE",IF(H1202&lt;&gt;"","BARDÉ","EN STOCK")))</f>
        <v/>
      </c>
      <c r="N1202" s="79"/>
    </row>
    <row r="1203" customFormat="false" ht="15" hidden="false" customHeight="false" outlineLevel="0" collapsed="false">
      <c r="A1203" s="78" t="str">
        <f aca="false">IF(B1203="","",ROW()-6)</f>
        <v/>
      </c>
      <c r="B1203" s="90"/>
      <c r="C1203" s="91"/>
      <c r="D1203" s="91"/>
      <c r="E1203" s="80"/>
      <c r="F1203" s="92"/>
      <c r="G1203" s="79"/>
      <c r="H1203" s="82"/>
      <c r="I1203" s="93" t="str">
        <f aca="false">IF(B1203="","",IFERROR(INDEX('CARNET DE SOUDURE'!$B$7:$B$1506,MATCH(B1203,'CARNET DE SOUDURE'!$K$7:$K$1506,0)),IFERROR(INDEX('CARNET DE SOUDURE'!$B$7:$B$1506,MATCH(B1203,'CARNET DE SOUDURE'!$M$7:$M$1506,0)),"")))</f>
        <v/>
      </c>
      <c r="J1203" s="78" t="str">
        <f aca="false">IF(B1203="","",IFERROR(INDEX('CARNET DE SOUDURE'!$E$7:$E$1506,MATCH(B1203,'CARNET DE SOUDURE'!$M$7:$M$1506,0)),""))</f>
        <v/>
      </c>
      <c r="K1203" s="78" t="str">
        <f aca="false">IF(B1203="","",IFERROR(INDEX('CARNET DE SOUDURE'!$E$7:$E$1506,MATCH(B1203,'CARNET DE SOUDURE'!$K$7:$K$1506,0)),""))</f>
        <v/>
      </c>
      <c r="L1203" s="78" t="str">
        <f aca="false">IF(B1203="","",IFERROR(INDEX('CARNET DE SOUDURE'!$D$7:$D$1506,MATCH(B1203,'CARNET DE SOUDURE'!$K$7:$K$1506,0)),IFERROR(INDEX('CARNET DE SOUDURE'!$D$7:$D$1506,MATCH(B1203,'CARNET DE SOUDURE'!$M$7:$M$1506,0)),"")))</f>
        <v/>
      </c>
      <c r="M1203" s="81" t="str">
        <f aca="false">IF(B1203="","",IF(OR(J1203&lt;&gt;"",K1203&lt;&gt;""),"POSÉ EN LIGNE",IF(H1203&lt;&gt;"","BARDÉ","EN STOCK")))</f>
        <v/>
      </c>
      <c r="N1203" s="79"/>
    </row>
    <row r="1204" customFormat="false" ht="15" hidden="false" customHeight="false" outlineLevel="0" collapsed="false">
      <c r="A1204" s="78" t="str">
        <f aca="false">IF(B1204="","",ROW()-6)</f>
        <v/>
      </c>
      <c r="B1204" s="90"/>
      <c r="C1204" s="91"/>
      <c r="D1204" s="91"/>
      <c r="E1204" s="80"/>
      <c r="F1204" s="92"/>
      <c r="G1204" s="79"/>
      <c r="H1204" s="82"/>
      <c r="I1204" s="93" t="str">
        <f aca="false">IF(B1204="","",IFERROR(INDEX('CARNET DE SOUDURE'!$B$7:$B$1506,MATCH(B1204,'CARNET DE SOUDURE'!$K$7:$K$1506,0)),IFERROR(INDEX('CARNET DE SOUDURE'!$B$7:$B$1506,MATCH(B1204,'CARNET DE SOUDURE'!$M$7:$M$1506,0)),"")))</f>
        <v/>
      </c>
      <c r="J1204" s="78" t="str">
        <f aca="false">IF(B1204="","",IFERROR(INDEX('CARNET DE SOUDURE'!$E$7:$E$1506,MATCH(B1204,'CARNET DE SOUDURE'!$M$7:$M$1506,0)),""))</f>
        <v/>
      </c>
      <c r="K1204" s="78" t="str">
        <f aca="false">IF(B1204="","",IFERROR(INDEX('CARNET DE SOUDURE'!$E$7:$E$1506,MATCH(B1204,'CARNET DE SOUDURE'!$K$7:$K$1506,0)),""))</f>
        <v/>
      </c>
      <c r="L1204" s="78" t="str">
        <f aca="false">IF(B1204="","",IFERROR(INDEX('CARNET DE SOUDURE'!$D$7:$D$1506,MATCH(B1204,'CARNET DE SOUDURE'!$K$7:$K$1506,0)),IFERROR(INDEX('CARNET DE SOUDURE'!$D$7:$D$1506,MATCH(B1204,'CARNET DE SOUDURE'!$M$7:$M$1506,0)),"")))</f>
        <v/>
      </c>
      <c r="M1204" s="81" t="str">
        <f aca="false">IF(B1204="","",IF(OR(J1204&lt;&gt;"",K1204&lt;&gt;""),"POSÉ EN LIGNE",IF(H1204&lt;&gt;"","BARDÉ","EN STOCK")))</f>
        <v/>
      </c>
      <c r="N1204" s="79"/>
    </row>
    <row r="1205" customFormat="false" ht="15" hidden="false" customHeight="false" outlineLevel="0" collapsed="false">
      <c r="A1205" s="78" t="str">
        <f aca="false">IF(B1205="","",ROW()-6)</f>
        <v/>
      </c>
      <c r="B1205" s="90"/>
      <c r="C1205" s="91"/>
      <c r="D1205" s="91"/>
      <c r="E1205" s="80"/>
      <c r="F1205" s="92"/>
      <c r="G1205" s="79"/>
      <c r="H1205" s="82"/>
      <c r="I1205" s="93" t="str">
        <f aca="false">IF(B1205="","",IFERROR(INDEX('CARNET DE SOUDURE'!$B$7:$B$1506,MATCH(B1205,'CARNET DE SOUDURE'!$K$7:$K$1506,0)),IFERROR(INDEX('CARNET DE SOUDURE'!$B$7:$B$1506,MATCH(B1205,'CARNET DE SOUDURE'!$M$7:$M$1506,0)),"")))</f>
        <v/>
      </c>
      <c r="J1205" s="78" t="str">
        <f aca="false">IF(B1205="","",IFERROR(INDEX('CARNET DE SOUDURE'!$E$7:$E$1506,MATCH(B1205,'CARNET DE SOUDURE'!$M$7:$M$1506,0)),""))</f>
        <v/>
      </c>
      <c r="K1205" s="78" t="str">
        <f aca="false">IF(B1205="","",IFERROR(INDEX('CARNET DE SOUDURE'!$E$7:$E$1506,MATCH(B1205,'CARNET DE SOUDURE'!$K$7:$K$1506,0)),""))</f>
        <v/>
      </c>
      <c r="L1205" s="78" t="str">
        <f aca="false">IF(B1205="","",IFERROR(INDEX('CARNET DE SOUDURE'!$D$7:$D$1506,MATCH(B1205,'CARNET DE SOUDURE'!$K$7:$K$1506,0)),IFERROR(INDEX('CARNET DE SOUDURE'!$D$7:$D$1506,MATCH(B1205,'CARNET DE SOUDURE'!$M$7:$M$1506,0)),"")))</f>
        <v/>
      </c>
      <c r="M1205" s="81" t="str">
        <f aca="false">IF(B1205="","",IF(OR(J1205&lt;&gt;"",K1205&lt;&gt;""),"POSÉ EN LIGNE",IF(H1205&lt;&gt;"","BARDÉ","EN STOCK")))</f>
        <v/>
      </c>
      <c r="N1205" s="79"/>
    </row>
    <row r="1206" customFormat="false" ht="15" hidden="false" customHeight="false" outlineLevel="0" collapsed="false">
      <c r="A1206" s="78" t="str">
        <f aca="false">IF(B1206="","",ROW()-6)</f>
        <v/>
      </c>
      <c r="B1206" s="90"/>
      <c r="C1206" s="91"/>
      <c r="D1206" s="91"/>
      <c r="E1206" s="80"/>
      <c r="F1206" s="92"/>
      <c r="G1206" s="79"/>
      <c r="H1206" s="82"/>
      <c r="I1206" s="93" t="str">
        <f aca="false">IF(B1206="","",IFERROR(INDEX('CARNET DE SOUDURE'!$B$7:$B$1506,MATCH(B1206,'CARNET DE SOUDURE'!$K$7:$K$1506,0)),IFERROR(INDEX('CARNET DE SOUDURE'!$B$7:$B$1506,MATCH(B1206,'CARNET DE SOUDURE'!$M$7:$M$1506,0)),"")))</f>
        <v/>
      </c>
      <c r="J1206" s="78" t="str">
        <f aca="false">IF(B1206="","",IFERROR(INDEX('CARNET DE SOUDURE'!$E$7:$E$1506,MATCH(B1206,'CARNET DE SOUDURE'!$M$7:$M$1506,0)),""))</f>
        <v/>
      </c>
      <c r="K1206" s="78" t="str">
        <f aca="false">IF(B1206="","",IFERROR(INDEX('CARNET DE SOUDURE'!$E$7:$E$1506,MATCH(B1206,'CARNET DE SOUDURE'!$K$7:$K$1506,0)),""))</f>
        <v/>
      </c>
      <c r="L1206" s="78" t="str">
        <f aca="false">IF(B1206="","",IFERROR(INDEX('CARNET DE SOUDURE'!$D$7:$D$1506,MATCH(B1206,'CARNET DE SOUDURE'!$K$7:$K$1506,0)),IFERROR(INDEX('CARNET DE SOUDURE'!$D$7:$D$1506,MATCH(B1206,'CARNET DE SOUDURE'!$M$7:$M$1506,0)),"")))</f>
        <v/>
      </c>
      <c r="M1206" s="81" t="str">
        <f aca="false">IF(B1206="","",IF(OR(J1206&lt;&gt;"",K1206&lt;&gt;""),"POSÉ EN LIGNE",IF(H1206&lt;&gt;"","BARDÉ","EN STOCK")))</f>
        <v/>
      </c>
      <c r="N1206" s="79"/>
    </row>
    <row r="1207" customFormat="false" ht="15" hidden="false" customHeight="false" outlineLevel="0" collapsed="false">
      <c r="A1207" s="78" t="str">
        <f aca="false">IF(B1207="","",ROW()-6)</f>
        <v/>
      </c>
      <c r="B1207" s="90"/>
      <c r="C1207" s="91"/>
      <c r="D1207" s="91"/>
      <c r="E1207" s="80"/>
      <c r="F1207" s="92"/>
      <c r="G1207" s="79"/>
      <c r="H1207" s="82"/>
      <c r="I1207" s="93" t="str">
        <f aca="false">IF(B1207="","",IFERROR(INDEX('CARNET DE SOUDURE'!$B$7:$B$1506,MATCH(B1207,'CARNET DE SOUDURE'!$K$7:$K$1506,0)),IFERROR(INDEX('CARNET DE SOUDURE'!$B$7:$B$1506,MATCH(B1207,'CARNET DE SOUDURE'!$M$7:$M$1506,0)),"")))</f>
        <v/>
      </c>
      <c r="J1207" s="78" t="str">
        <f aca="false">IF(B1207="","",IFERROR(INDEX('CARNET DE SOUDURE'!$E$7:$E$1506,MATCH(B1207,'CARNET DE SOUDURE'!$M$7:$M$1506,0)),""))</f>
        <v/>
      </c>
      <c r="K1207" s="78" t="str">
        <f aca="false">IF(B1207="","",IFERROR(INDEX('CARNET DE SOUDURE'!$E$7:$E$1506,MATCH(B1207,'CARNET DE SOUDURE'!$K$7:$K$1506,0)),""))</f>
        <v/>
      </c>
      <c r="L1207" s="78" t="str">
        <f aca="false">IF(B1207="","",IFERROR(INDEX('CARNET DE SOUDURE'!$D$7:$D$1506,MATCH(B1207,'CARNET DE SOUDURE'!$K$7:$K$1506,0)),IFERROR(INDEX('CARNET DE SOUDURE'!$D$7:$D$1506,MATCH(B1207,'CARNET DE SOUDURE'!$M$7:$M$1506,0)),"")))</f>
        <v/>
      </c>
      <c r="M1207" s="81" t="str">
        <f aca="false">IF(B1207="","",IF(OR(J1207&lt;&gt;"",K1207&lt;&gt;""),"POSÉ EN LIGNE",IF(H1207&lt;&gt;"","BARDÉ","EN STOCK")))</f>
        <v/>
      </c>
      <c r="N1207" s="79"/>
    </row>
    <row r="1208" customFormat="false" ht="15" hidden="false" customHeight="false" outlineLevel="0" collapsed="false">
      <c r="A1208" s="78" t="str">
        <f aca="false">IF(B1208="","",ROW()-6)</f>
        <v/>
      </c>
      <c r="B1208" s="90"/>
      <c r="C1208" s="91"/>
      <c r="D1208" s="91"/>
      <c r="E1208" s="80"/>
      <c r="F1208" s="92"/>
      <c r="G1208" s="79"/>
      <c r="H1208" s="82"/>
      <c r="I1208" s="93" t="str">
        <f aca="false">IF(B1208="","",IFERROR(INDEX('CARNET DE SOUDURE'!$B$7:$B$1506,MATCH(B1208,'CARNET DE SOUDURE'!$K$7:$K$1506,0)),IFERROR(INDEX('CARNET DE SOUDURE'!$B$7:$B$1506,MATCH(B1208,'CARNET DE SOUDURE'!$M$7:$M$1506,0)),"")))</f>
        <v/>
      </c>
      <c r="J1208" s="78" t="str">
        <f aca="false">IF(B1208="","",IFERROR(INDEX('CARNET DE SOUDURE'!$E$7:$E$1506,MATCH(B1208,'CARNET DE SOUDURE'!$M$7:$M$1506,0)),""))</f>
        <v/>
      </c>
      <c r="K1208" s="78" t="str">
        <f aca="false">IF(B1208="","",IFERROR(INDEX('CARNET DE SOUDURE'!$E$7:$E$1506,MATCH(B1208,'CARNET DE SOUDURE'!$K$7:$K$1506,0)),""))</f>
        <v/>
      </c>
      <c r="L1208" s="78" t="str">
        <f aca="false">IF(B1208="","",IFERROR(INDEX('CARNET DE SOUDURE'!$D$7:$D$1506,MATCH(B1208,'CARNET DE SOUDURE'!$K$7:$K$1506,0)),IFERROR(INDEX('CARNET DE SOUDURE'!$D$7:$D$1506,MATCH(B1208,'CARNET DE SOUDURE'!$M$7:$M$1506,0)),"")))</f>
        <v/>
      </c>
      <c r="M1208" s="81" t="str">
        <f aca="false">IF(B1208="","",IF(OR(J1208&lt;&gt;"",K1208&lt;&gt;""),"POSÉ EN LIGNE",IF(H1208&lt;&gt;"","BARDÉ","EN STOCK")))</f>
        <v/>
      </c>
      <c r="N1208" s="79"/>
    </row>
    <row r="1209" customFormat="false" ht="15" hidden="false" customHeight="false" outlineLevel="0" collapsed="false">
      <c r="A1209" s="78" t="str">
        <f aca="false">IF(B1209="","",ROW()-6)</f>
        <v/>
      </c>
      <c r="B1209" s="90"/>
      <c r="C1209" s="91"/>
      <c r="D1209" s="91"/>
      <c r="E1209" s="80"/>
      <c r="F1209" s="92"/>
      <c r="G1209" s="79"/>
      <c r="H1209" s="82"/>
      <c r="I1209" s="93" t="str">
        <f aca="false">IF(B1209="","",IFERROR(INDEX('CARNET DE SOUDURE'!$B$7:$B$1506,MATCH(B1209,'CARNET DE SOUDURE'!$K$7:$K$1506,0)),IFERROR(INDEX('CARNET DE SOUDURE'!$B$7:$B$1506,MATCH(B1209,'CARNET DE SOUDURE'!$M$7:$M$1506,0)),"")))</f>
        <v/>
      </c>
      <c r="J1209" s="78" t="str">
        <f aca="false">IF(B1209="","",IFERROR(INDEX('CARNET DE SOUDURE'!$E$7:$E$1506,MATCH(B1209,'CARNET DE SOUDURE'!$M$7:$M$1506,0)),""))</f>
        <v/>
      </c>
      <c r="K1209" s="78" t="str">
        <f aca="false">IF(B1209="","",IFERROR(INDEX('CARNET DE SOUDURE'!$E$7:$E$1506,MATCH(B1209,'CARNET DE SOUDURE'!$K$7:$K$1506,0)),""))</f>
        <v/>
      </c>
      <c r="L1209" s="78" t="str">
        <f aca="false">IF(B1209="","",IFERROR(INDEX('CARNET DE SOUDURE'!$D$7:$D$1506,MATCH(B1209,'CARNET DE SOUDURE'!$K$7:$K$1506,0)),IFERROR(INDEX('CARNET DE SOUDURE'!$D$7:$D$1506,MATCH(B1209,'CARNET DE SOUDURE'!$M$7:$M$1506,0)),"")))</f>
        <v/>
      </c>
      <c r="M1209" s="81" t="str">
        <f aca="false">IF(B1209="","",IF(OR(J1209&lt;&gt;"",K1209&lt;&gt;""),"POSÉ EN LIGNE",IF(H1209&lt;&gt;"","BARDÉ","EN STOCK")))</f>
        <v/>
      </c>
      <c r="N1209" s="79"/>
    </row>
    <row r="1210" customFormat="false" ht="15" hidden="false" customHeight="false" outlineLevel="0" collapsed="false">
      <c r="A1210" s="78" t="str">
        <f aca="false">IF(B1210="","",ROW()-6)</f>
        <v/>
      </c>
      <c r="B1210" s="90"/>
      <c r="C1210" s="91"/>
      <c r="D1210" s="91"/>
      <c r="E1210" s="80"/>
      <c r="F1210" s="92"/>
      <c r="G1210" s="79"/>
      <c r="H1210" s="82"/>
      <c r="I1210" s="93" t="str">
        <f aca="false">IF(B1210="","",IFERROR(INDEX('CARNET DE SOUDURE'!$B$7:$B$1506,MATCH(B1210,'CARNET DE SOUDURE'!$K$7:$K$1506,0)),IFERROR(INDEX('CARNET DE SOUDURE'!$B$7:$B$1506,MATCH(B1210,'CARNET DE SOUDURE'!$M$7:$M$1506,0)),"")))</f>
        <v/>
      </c>
      <c r="J1210" s="78" t="str">
        <f aca="false">IF(B1210="","",IFERROR(INDEX('CARNET DE SOUDURE'!$E$7:$E$1506,MATCH(B1210,'CARNET DE SOUDURE'!$M$7:$M$1506,0)),""))</f>
        <v/>
      </c>
      <c r="K1210" s="78" t="str">
        <f aca="false">IF(B1210="","",IFERROR(INDEX('CARNET DE SOUDURE'!$E$7:$E$1506,MATCH(B1210,'CARNET DE SOUDURE'!$K$7:$K$1506,0)),""))</f>
        <v/>
      </c>
      <c r="L1210" s="78" t="str">
        <f aca="false">IF(B1210="","",IFERROR(INDEX('CARNET DE SOUDURE'!$D$7:$D$1506,MATCH(B1210,'CARNET DE SOUDURE'!$K$7:$K$1506,0)),IFERROR(INDEX('CARNET DE SOUDURE'!$D$7:$D$1506,MATCH(B1210,'CARNET DE SOUDURE'!$M$7:$M$1506,0)),"")))</f>
        <v/>
      </c>
      <c r="M1210" s="81" t="str">
        <f aca="false">IF(B1210="","",IF(OR(J1210&lt;&gt;"",K1210&lt;&gt;""),"POSÉ EN LIGNE",IF(H1210&lt;&gt;"","BARDÉ","EN STOCK")))</f>
        <v/>
      </c>
      <c r="N1210" s="79"/>
    </row>
    <row r="1211" customFormat="false" ht="15" hidden="false" customHeight="false" outlineLevel="0" collapsed="false">
      <c r="A1211" s="78" t="str">
        <f aca="false">IF(B1211="","",ROW()-6)</f>
        <v/>
      </c>
      <c r="B1211" s="90"/>
      <c r="C1211" s="91"/>
      <c r="D1211" s="91"/>
      <c r="E1211" s="80"/>
      <c r="F1211" s="92"/>
      <c r="G1211" s="79"/>
      <c r="H1211" s="82"/>
      <c r="I1211" s="93" t="str">
        <f aca="false">IF(B1211="","",IFERROR(INDEX('CARNET DE SOUDURE'!$B$7:$B$1506,MATCH(B1211,'CARNET DE SOUDURE'!$K$7:$K$1506,0)),IFERROR(INDEX('CARNET DE SOUDURE'!$B$7:$B$1506,MATCH(B1211,'CARNET DE SOUDURE'!$M$7:$M$1506,0)),"")))</f>
        <v/>
      </c>
      <c r="J1211" s="78" t="str">
        <f aca="false">IF(B1211="","",IFERROR(INDEX('CARNET DE SOUDURE'!$E$7:$E$1506,MATCH(B1211,'CARNET DE SOUDURE'!$M$7:$M$1506,0)),""))</f>
        <v/>
      </c>
      <c r="K1211" s="78" t="str">
        <f aca="false">IF(B1211="","",IFERROR(INDEX('CARNET DE SOUDURE'!$E$7:$E$1506,MATCH(B1211,'CARNET DE SOUDURE'!$K$7:$K$1506,0)),""))</f>
        <v/>
      </c>
      <c r="L1211" s="78" t="str">
        <f aca="false">IF(B1211="","",IFERROR(INDEX('CARNET DE SOUDURE'!$D$7:$D$1506,MATCH(B1211,'CARNET DE SOUDURE'!$K$7:$K$1506,0)),IFERROR(INDEX('CARNET DE SOUDURE'!$D$7:$D$1506,MATCH(B1211,'CARNET DE SOUDURE'!$M$7:$M$1506,0)),"")))</f>
        <v/>
      </c>
      <c r="M1211" s="81" t="str">
        <f aca="false">IF(B1211="","",IF(OR(J1211&lt;&gt;"",K1211&lt;&gt;""),"POSÉ EN LIGNE",IF(H1211&lt;&gt;"","BARDÉ","EN STOCK")))</f>
        <v/>
      </c>
      <c r="N1211" s="79"/>
    </row>
    <row r="1212" customFormat="false" ht="15" hidden="false" customHeight="false" outlineLevel="0" collapsed="false">
      <c r="A1212" s="78" t="str">
        <f aca="false">IF(B1212="","",ROW()-6)</f>
        <v/>
      </c>
      <c r="B1212" s="90"/>
      <c r="C1212" s="91"/>
      <c r="D1212" s="91"/>
      <c r="E1212" s="80"/>
      <c r="F1212" s="92"/>
      <c r="G1212" s="79"/>
      <c r="H1212" s="82"/>
      <c r="I1212" s="93" t="str">
        <f aca="false">IF(B1212="","",IFERROR(INDEX('CARNET DE SOUDURE'!$B$7:$B$1506,MATCH(B1212,'CARNET DE SOUDURE'!$K$7:$K$1506,0)),IFERROR(INDEX('CARNET DE SOUDURE'!$B$7:$B$1506,MATCH(B1212,'CARNET DE SOUDURE'!$M$7:$M$1506,0)),"")))</f>
        <v/>
      </c>
      <c r="J1212" s="78" t="str">
        <f aca="false">IF(B1212="","",IFERROR(INDEX('CARNET DE SOUDURE'!$E$7:$E$1506,MATCH(B1212,'CARNET DE SOUDURE'!$M$7:$M$1506,0)),""))</f>
        <v/>
      </c>
      <c r="K1212" s="78" t="str">
        <f aca="false">IF(B1212="","",IFERROR(INDEX('CARNET DE SOUDURE'!$E$7:$E$1506,MATCH(B1212,'CARNET DE SOUDURE'!$K$7:$K$1506,0)),""))</f>
        <v/>
      </c>
      <c r="L1212" s="78" t="str">
        <f aca="false">IF(B1212="","",IFERROR(INDEX('CARNET DE SOUDURE'!$D$7:$D$1506,MATCH(B1212,'CARNET DE SOUDURE'!$K$7:$K$1506,0)),IFERROR(INDEX('CARNET DE SOUDURE'!$D$7:$D$1506,MATCH(B1212,'CARNET DE SOUDURE'!$M$7:$M$1506,0)),"")))</f>
        <v/>
      </c>
      <c r="M1212" s="81" t="str">
        <f aca="false">IF(B1212="","",IF(OR(J1212&lt;&gt;"",K1212&lt;&gt;""),"POSÉ EN LIGNE",IF(H1212&lt;&gt;"","BARDÉ","EN STOCK")))</f>
        <v/>
      </c>
      <c r="N1212" s="79"/>
    </row>
    <row r="1213" customFormat="false" ht="15" hidden="false" customHeight="false" outlineLevel="0" collapsed="false">
      <c r="A1213" s="78" t="str">
        <f aca="false">IF(B1213="","",ROW()-6)</f>
        <v/>
      </c>
      <c r="B1213" s="90"/>
      <c r="C1213" s="91"/>
      <c r="D1213" s="91"/>
      <c r="E1213" s="80"/>
      <c r="F1213" s="92"/>
      <c r="G1213" s="79"/>
      <c r="H1213" s="82"/>
      <c r="I1213" s="93" t="str">
        <f aca="false">IF(B1213="","",IFERROR(INDEX('CARNET DE SOUDURE'!$B$7:$B$1506,MATCH(B1213,'CARNET DE SOUDURE'!$K$7:$K$1506,0)),IFERROR(INDEX('CARNET DE SOUDURE'!$B$7:$B$1506,MATCH(B1213,'CARNET DE SOUDURE'!$M$7:$M$1506,0)),"")))</f>
        <v/>
      </c>
      <c r="J1213" s="78" t="str">
        <f aca="false">IF(B1213="","",IFERROR(INDEX('CARNET DE SOUDURE'!$E$7:$E$1506,MATCH(B1213,'CARNET DE SOUDURE'!$M$7:$M$1506,0)),""))</f>
        <v/>
      </c>
      <c r="K1213" s="78" t="str">
        <f aca="false">IF(B1213="","",IFERROR(INDEX('CARNET DE SOUDURE'!$E$7:$E$1506,MATCH(B1213,'CARNET DE SOUDURE'!$K$7:$K$1506,0)),""))</f>
        <v/>
      </c>
      <c r="L1213" s="78" t="str">
        <f aca="false">IF(B1213="","",IFERROR(INDEX('CARNET DE SOUDURE'!$D$7:$D$1506,MATCH(B1213,'CARNET DE SOUDURE'!$K$7:$K$1506,0)),IFERROR(INDEX('CARNET DE SOUDURE'!$D$7:$D$1506,MATCH(B1213,'CARNET DE SOUDURE'!$M$7:$M$1506,0)),"")))</f>
        <v/>
      </c>
      <c r="M1213" s="81" t="str">
        <f aca="false">IF(B1213="","",IF(OR(J1213&lt;&gt;"",K1213&lt;&gt;""),"POSÉ EN LIGNE",IF(H1213&lt;&gt;"","BARDÉ","EN STOCK")))</f>
        <v/>
      </c>
      <c r="N1213" s="79"/>
    </row>
    <row r="1214" customFormat="false" ht="15" hidden="false" customHeight="false" outlineLevel="0" collapsed="false">
      <c r="A1214" s="78" t="str">
        <f aca="false">IF(B1214="","",ROW()-6)</f>
        <v/>
      </c>
      <c r="B1214" s="90"/>
      <c r="C1214" s="91"/>
      <c r="D1214" s="91"/>
      <c r="E1214" s="80"/>
      <c r="F1214" s="92"/>
      <c r="G1214" s="79"/>
      <c r="H1214" s="82"/>
      <c r="I1214" s="93" t="str">
        <f aca="false">IF(B1214="","",IFERROR(INDEX('CARNET DE SOUDURE'!$B$7:$B$1506,MATCH(B1214,'CARNET DE SOUDURE'!$K$7:$K$1506,0)),IFERROR(INDEX('CARNET DE SOUDURE'!$B$7:$B$1506,MATCH(B1214,'CARNET DE SOUDURE'!$M$7:$M$1506,0)),"")))</f>
        <v/>
      </c>
      <c r="J1214" s="78" t="str">
        <f aca="false">IF(B1214="","",IFERROR(INDEX('CARNET DE SOUDURE'!$E$7:$E$1506,MATCH(B1214,'CARNET DE SOUDURE'!$M$7:$M$1506,0)),""))</f>
        <v/>
      </c>
      <c r="K1214" s="78" t="str">
        <f aca="false">IF(B1214="","",IFERROR(INDEX('CARNET DE SOUDURE'!$E$7:$E$1506,MATCH(B1214,'CARNET DE SOUDURE'!$K$7:$K$1506,0)),""))</f>
        <v/>
      </c>
      <c r="L1214" s="78" t="str">
        <f aca="false">IF(B1214="","",IFERROR(INDEX('CARNET DE SOUDURE'!$D$7:$D$1506,MATCH(B1214,'CARNET DE SOUDURE'!$K$7:$K$1506,0)),IFERROR(INDEX('CARNET DE SOUDURE'!$D$7:$D$1506,MATCH(B1214,'CARNET DE SOUDURE'!$M$7:$M$1506,0)),"")))</f>
        <v/>
      </c>
      <c r="M1214" s="81" t="str">
        <f aca="false">IF(B1214="","",IF(OR(J1214&lt;&gt;"",K1214&lt;&gt;""),"POSÉ EN LIGNE",IF(H1214&lt;&gt;"","BARDÉ","EN STOCK")))</f>
        <v/>
      </c>
      <c r="N1214" s="79"/>
    </row>
    <row r="1215" customFormat="false" ht="15" hidden="false" customHeight="false" outlineLevel="0" collapsed="false">
      <c r="A1215" s="78" t="str">
        <f aca="false">IF(B1215="","",ROW()-6)</f>
        <v/>
      </c>
      <c r="B1215" s="90"/>
      <c r="C1215" s="91"/>
      <c r="D1215" s="91"/>
      <c r="E1215" s="80"/>
      <c r="F1215" s="92"/>
      <c r="G1215" s="79"/>
      <c r="H1215" s="82"/>
      <c r="I1215" s="93" t="str">
        <f aca="false">IF(B1215="","",IFERROR(INDEX('CARNET DE SOUDURE'!$B$7:$B$1506,MATCH(B1215,'CARNET DE SOUDURE'!$K$7:$K$1506,0)),IFERROR(INDEX('CARNET DE SOUDURE'!$B$7:$B$1506,MATCH(B1215,'CARNET DE SOUDURE'!$M$7:$M$1506,0)),"")))</f>
        <v/>
      </c>
      <c r="J1215" s="78" t="str">
        <f aca="false">IF(B1215="","",IFERROR(INDEX('CARNET DE SOUDURE'!$E$7:$E$1506,MATCH(B1215,'CARNET DE SOUDURE'!$M$7:$M$1506,0)),""))</f>
        <v/>
      </c>
      <c r="K1215" s="78" t="str">
        <f aca="false">IF(B1215="","",IFERROR(INDEX('CARNET DE SOUDURE'!$E$7:$E$1506,MATCH(B1215,'CARNET DE SOUDURE'!$K$7:$K$1506,0)),""))</f>
        <v/>
      </c>
      <c r="L1215" s="78" t="str">
        <f aca="false">IF(B1215="","",IFERROR(INDEX('CARNET DE SOUDURE'!$D$7:$D$1506,MATCH(B1215,'CARNET DE SOUDURE'!$K$7:$K$1506,0)),IFERROR(INDEX('CARNET DE SOUDURE'!$D$7:$D$1506,MATCH(B1215,'CARNET DE SOUDURE'!$M$7:$M$1506,0)),"")))</f>
        <v/>
      </c>
      <c r="M1215" s="81" t="str">
        <f aca="false">IF(B1215="","",IF(OR(J1215&lt;&gt;"",K1215&lt;&gt;""),"POSÉ EN LIGNE",IF(H1215&lt;&gt;"","BARDÉ","EN STOCK")))</f>
        <v/>
      </c>
      <c r="N1215" s="79"/>
    </row>
    <row r="1216" customFormat="false" ht="15" hidden="false" customHeight="false" outlineLevel="0" collapsed="false">
      <c r="A1216" s="78" t="str">
        <f aca="false">IF(B1216="","",ROW()-6)</f>
        <v/>
      </c>
      <c r="B1216" s="90"/>
      <c r="C1216" s="91"/>
      <c r="D1216" s="91"/>
      <c r="E1216" s="80"/>
      <c r="F1216" s="92"/>
      <c r="G1216" s="79"/>
      <c r="H1216" s="82"/>
      <c r="I1216" s="93" t="str">
        <f aca="false">IF(B1216="","",IFERROR(INDEX('CARNET DE SOUDURE'!$B$7:$B$1506,MATCH(B1216,'CARNET DE SOUDURE'!$K$7:$K$1506,0)),IFERROR(INDEX('CARNET DE SOUDURE'!$B$7:$B$1506,MATCH(B1216,'CARNET DE SOUDURE'!$M$7:$M$1506,0)),"")))</f>
        <v/>
      </c>
      <c r="J1216" s="78" t="str">
        <f aca="false">IF(B1216="","",IFERROR(INDEX('CARNET DE SOUDURE'!$E$7:$E$1506,MATCH(B1216,'CARNET DE SOUDURE'!$M$7:$M$1506,0)),""))</f>
        <v/>
      </c>
      <c r="K1216" s="78" t="str">
        <f aca="false">IF(B1216="","",IFERROR(INDEX('CARNET DE SOUDURE'!$E$7:$E$1506,MATCH(B1216,'CARNET DE SOUDURE'!$K$7:$K$1506,0)),""))</f>
        <v/>
      </c>
      <c r="L1216" s="78" t="str">
        <f aca="false">IF(B1216="","",IFERROR(INDEX('CARNET DE SOUDURE'!$D$7:$D$1506,MATCH(B1216,'CARNET DE SOUDURE'!$K$7:$K$1506,0)),IFERROR(INDEX('CARNET DE SOUDURE'!$D$7:$D$1506,MATCH(B1216,'CARNET DE SOUDURE'!$M$7:$M$1506,0)),"")))</f>
        <v/>
      </c>
      <c r="M1216" s="81" t="str">
        <f aca="false">IF(B1216="","",IF(OR(J1216&lt;&gt;"",K1216&lt;&gt;""),"POSÉ EN LIGNE",IF(H1216&lt;&gt;"","BARDÉ","EN STOCK")))</f>
        <v/>
      </c>
      <c r="N1216" s="79"/>
    </row>
    <row r="1217" customFormat="false" ht="15" hidden="false" customHeight="false" outlineLevel="0" collapsed="false">
      <c r="A1217" s="78" t="str">
        <f aca="false">IF(B1217="","",ROW()-6)</f>
        <v/>
      </c>
      <c r="B1217" s="90"/>
      <c r="C1217" s="91"/>
      <c r="D1217" s="91"/>
      <c r="E1217" s="80"/>
      <c r="F1217" s="92"/>
      <c r="G1217" s="79"/>
      <c r="H1217" s="82"/>
      <c r="I1217" s="93" t="str">
        <f aca="false">IF(B1217="","",IFERROR(INDEX('CARNET DE SOUDURE'!$B$7:$B$1506,MATCH(B1217,'CARNET DE SOUDURE'!$K$7:$K$1506,0)),IFERROR(INDEX('CARNET DE SOUDURE'!$B$7:$B$1506,MATCH(B1217,'CARNET DE SOUDURE'!$M$7:$M$1506,0)),"")))</f>
        <v/>
      </c>
      <c r="J1217" s="78" t="str">
        <f aca="false">IF(B1217="","",IFERROR(INDEX('CARNET DE SOUDURE'!$E$7:$E$1506,MATCH(B1217,'CARNET DE SOUDURE'!$M$7:$M$1506,0)),""))</f>
        <v/>
      </c>
      <c r="K1217" s="78" t="str">
        <f aca="false">IF(B1217="","",IFERROR(INDEX('CARNET DE SOUDURE'!$E$7:$E$1506,MATCH(B1217,'CARNET DE SOUDURE'!$K$7:$K$1506,0)),""))</f>
        <v/>
      </c>
      <c r="L1217" s="78" t="str">
        <f aca="false">IF(B1217="","",IFERROR(INDEX('CARNET DE SOUDURE'!$D$7:$D$1506,MATCH(B1217,'CARNET DE SOUDURE'!$K$7:$K$1506,0)),IFERROR(INDEX('CARNET DE SOUDURE'!$D$7:$D$1506,MATCH(B1217,'CARNET DE SOUDURE'!$M$7:$M$1506,0)),"")))</f>
        <v/>
      </c>
      <c r="M1217" s="81" t="str">
        <f aca="false">IF(B1217="","",IF(OR(J1217&lt;&gt;"",K1217&lt;&gt;""),"POSÉ EN LIGNE",IF(H1217&lt;&gt;"","BARDÉ","EN STOCK")))</f>
        <v/>
      </c>
      <c r="N1217" s="79"/>
    </row>
    <row r="1218" customFormat="false" ht="15" hidden="false" customHeight="false" outlineLevel="0" collapsed="false">
      <c r="A1218" s="78" t="str">
        <f aca="false">IF(B1218="","",ROW()-6)</f>
        <v/>
      </c>
      <c r="B1218" s="90"/>
      <c r="C1218" s="91"/>
      <c r="D1218" s="91"/>
      <c r="E1218" s="80"/>
      <c r="F1218" s="92"/>
      <c r="G1218" s="79"/>
      <c r="H1218" s="82"/>
      <c r="I1218" s="93" t="str">
        <f aca="false">IF(B1218="","",IFERROR(INDEX('CARNET DE SOUDURE'!$B$7:$B$1506,MATCH(B1218,'CARNET DE SOUDURE'!$K$7:$K$1506,0)),IFERROR(INDEX('CARNET DE SOUDURE'!$B$7:$B$1506,MATCH(B1218,'CARNET DE SOUDURE'!$M$7:$M$1506,0)),"")))</f>
        <v/>
      </c>
      <c r="J1218" s="78" t="str">
        <f aca="false">IF(B1218="","",IFERROR(INDEX('CARNET DE SOUDURE'!$E$7:$E$1506,MATCH(B1218,'CARNET DE SOUDURE'!$M$7:$M$1506,0)),""))</f>
        <v/>
      </c>
      <c r="K1218" s="78" t="str">
        <f aca="false">IF(B1218="","",IFERROR(INDEX('CARNET DE SOUDURE'!$E$7:$E$1506,MATCH(B1218,'CARNET DE SOUDURE'!$K$7:$K$1506,0)),""))</f>
        <v/>
      </c>
      <c r="L1218" s="78" t="str">
        <f aca="false">IF(B1218="","",IFERROR(INDEX('CARNET DE SOUDURE'!$D$7:$D$1506,MATCH(B1218,'CARNET DE SOUDURE'!$K$7:$K$1506,0)),IFERROR(INDEX('CARNET DE SOUDURE'!$D$7:$D$1506,MATCH(B1218,'CARNET DE SOUDURE'!$M$7:$M$1506,0)),"")))</f>
        <v/>
      </c>
      <c r="M1218" s="81" t="str">
        <f aca="false">IF(B1218="","",IF(OR(J1218&lt;&gt;"",K1218&lt;&gt;""),"POSÉ EN LIGNE",IF(H1218&lt;&gt;"","BARDÉ","EN STOCK")))</f>
        <v/>
      </c>
      <c r="N1218" s="79"/>
    </row>
    <row r="1219" customFormat="false" ht="15" hidden="false" customHeight="false" outlineLevel="0" collapsed="false">
      <c r="A1219" s="78" t="str">
        <f aca="false">IF(B1219="","",ROW()-6)</f>
        <v/>
      </c>
      <c r="B1219" s="90"/>
      <c r="C1219" s="91"/>
      <c r="D1219" s="91"/>
      <c r="E1219" s="80"/>
      <c r="F1219" s="92"/>
      <c r="G1219" s="79"/>
      <c r="H1219" s="82"/>
      <c r="I1219" s="93" t="str">
        <f aca="false">IF(B1219="","",IFERROR(INDEX('CARNET DE SOUDURE'!$B$7:$B$1506,MATCH(B1219,'CARNET DE SOUDURE'!$K$7:$K$1506,0)),IFERROR(INDEX('CARNET DE SOUDURE'!$B$7:$B$1506,MATCH(B1219,'CARNET DE SOUDURE'!$M$7:$M$1506,0)),"")))</f>
        <v/>
      </c>
      <c r="J1219" s="78" t="str">
        <f aca="false">IF(B1219="","",IFERROR(INDEX('CARNET DE SOUDURE'!$E$7:$E$1506,MATCH(B1219,'CARNET DE SOUDURE'!$M$7:$M$1506,0)),""))</f>
        <v/>
      </c>
      <c r="K1219" s="78" t="str">
        <f aca="false">IF(B1219="","",IFERROR(INDEX('CARNET DE SOUDURE'!$E$7:$E$1506,MATCH(B1219,'CARNET DE SOUDURE'!$K$7:$K$1506,0)),""))</f>
        <v/>
      </c>
      <c r="L1219" s="78" t="str">
        <f aca="false">IF(B1219="","",IFERROR(INDEX('CARNET DE SOUDURE'!$D$7:$D$1506,MATCH(B1219,'CARNET DE SOUDURE'!$K$7:$K$1506,0)),IFERROR(INDEX('CARNET DE SOUDURE'!$D$7:$D$1506,MATCH(B1219,'CARNET DE SOUDURE'!$M$7:$M$1506,0)),"")))</f>
        <v/>
      </c>
      <c r="M1219" s="81" t="str">
        <f aca="false">IF(B1219="","",IF(OR(J1219&lt;&gt;"",K1219&lt;&gt;""),"POSÉ EN LIGNE",IF(H1219&lt;&gt;"","BARDÉ","EN STOCK")))</f>
        <v/>
      </c>
      <c r="N1219" s="79"/>
    </row>
    <row r="1220" customFormat="false" ht="15" hidden="false" customHeight="false" outlineLevel="0" collapsed="false">
      <c r="A1220" s="78" t="str">
        <f aca="false">IF(B1220="","",ROW()-6)</f>
        <v/>
      </c>
      <c r="B1220" s="90"/>
      <c r="C1220" s="91"/>
      <c r="D1220" s="91"/>
      <c r="E1220" s="80"/>
      <c r="F1220" s="92"/>
      <c r="G1220" s="79"/>
      <c r="H1220" s="82"/>
      <c r="I1220" s="93" t="str">
        <f aca="false">IF(B1220="","",IFERROR(INDEX('CARNET DE SOUDURE'!$B$7:$B$1506,MATCH(B1220,'CARNET DE SOUDURE'!$K$7:$K$1506,0)),IFERROR(INDEX('CARNET DE SOUDURE'!$B$7:$B$1506,MATCH(B1220,'CARNET DE SOUDURE'!$M$7:$M$1506,0)),"")))</f>
        <v/>
      </c>
      <c r="J1220" s="78" t="str">
        <f aca="false">IF(B1220="","",IFERROR(INDEX('CARNET DE SOUDURE'!$E$7:$E$1506,MATCH(B1220,'CARNET DE SOUDURE'!$M$7:$M$1506,0)),""))</f>
        <v/>
      </c>
      <c r="K1220" s="78" t="str">
        <f aca="false">IF(B1220="","",IFERROR(INDEX('CARNET DE SOUDURE'!$E$7:$E$1506,MATCH(B1220,'CARNET DE SOUDURE'!$K$7:$K$1506,0)),""))</f>
        <v/>
      </c>
      <c r="L1220" s="78" t="str">
        <f aca="false">IF(B1220="","",IFERROR(INDEX('CARNET DE SOUDURE'!$D$7:$D$1506,MATCH(B1220,'CARNET DE SOUDURE'!$K$7:$K$1506,0)),IFERROR(INDEX('CARNET DE SOUDURE'!$D$7:$D$1506,MATCH(B1220,'CARNET DE SOUDURE'!$M$7:$M$1506,0)),"")))</f>
        <v/>
      </c>
      <c r="M1220" s="81" t="str">
        <f aca="false">IF(B1220="","",IF(OR(J1220&lt;&gt;"",K1220&lt;&gt;""),"POSÉ EN LIGNE",IF(H1220&lt;&gt;"","BARDÉ","EN STOCK")))</f>
        <v/>
      </c>
      <c r="N1220" s="79"/>
    </row>
    <row r="1221" customFormat="false" ht="15" hidden="false" customHeight="false" outlineLevel="0" collapsed="false">
      <c r="A1221" s="78" t="str">
        <f aca="false">IF(B1221="","",ROW()-6)</f>
        <v/>
      </c>
      <c r="B1221" s="90"/>
      <c r="C1221" s="91"/>
      <c r="D1221" s="91"/>
      <c r="E1221" s="80"/>
      <c r="F1221" s="92"/>
      <c r="G1221" s="79"/>
      <c r="H1221" s="82"/>
      <c r="I1221" s="93" t="str">
        <f aca="false">IF(B1221="","",IFERROR(INDEX('CARNET DE SOUDURE'!$B$7:$B$1506,MATCH(B1221,'CARNET DE SOUDURE'!$K$7:$K$1506,0)),IFERROR(INDEX('CARNET DE SOUDURE'!$B$7:$B$1506,MATCH(B1221,'CARNET DE SOUDURE'!$M$7:$M$1506,0)),"")))</f>
        <v/>
      </c>
      <c r="J1221" s="78" t="str">
        <f aca="false">IF(B1221="","",IFERROR(INDEX('CARNET DE SOUDURE'!$E$7:$E$1506,MATCH(B1221,'CARNET DE SOUDURE'!$M$7:$M$1506,0)),""))</f>
        <v/>
      </c>
      <c r="K1221" s="78" t="str">
        <f aca="false">IF(B1221="","",IFERROR(INDEX('CARNET DE SOUDURE'!$E$7:$E$1506,MATCH(B1221,'CARNET DE SOUDURE'!$K$7:$K$1506,0)),""))</f>
        <v/>
      </c>
      <c r="L1221" s="78" t="str">
        <f aca="false">IF(B1221="","",IFERROR(INDEX('CARNET DE SOUDURE'!$D$7:$D$1506,MATCH(B1221,'CARNET DE SOUDURE'!$K$7:$K$1506,0)),IFERROR(INDEX('CARNET DE SOUDURE'!$D$7:$D$1506,MATCH(B1221,'CARNET DE SOUDURE'!$M$7:$M$1506,0)),"")))</f>
        <v/>
      </c>
      <c r="M1221" s="81" t="str">
        <f aca="false">IF(B1221="","",IF(OR(J1221&lt;&gt;"",K1221&lt;&gt;""),"POSÉ EN LIGNE",IF(H1221&lt;&gt;"","BARDÉ","EN STOCK")))</f>
        <v/>
      </c>
      <c r="N1221" s="79"/>
    </row>
    <row r="1222" customFormat="false" ht="15" hidden="false" customHeight="false" outlineLevel="0" collapsed="false">
      <c r="A1222" s="78" t="str">
        <f aca="false">IF(B1222="","",ROW()-6)</f>
        <v/>
      </c>
      <c r="B1222" s="90"/>
      <c r="C1222" s="91"/>
      <c r="D1222" s="91"/>
      <c r="E1222" s="80"/>
      <c r="F1222" s="92"/>
      <c r="G1222" s="79"/>
      <c r="H1222" s="82"/>
      <c r="I1222" s="93" t="str">
        <f aca="false">IF(B1222="","",IFERROR(INDEX('CARNET DE SOUDURE'!$B$7:$B$1506,MATCH(B1222,'CARNET DE SOUDURE'!$K$7:$K$1506,0)),IFERROR(INDEX('CARNET DE SOUDURE'!$B$7:$B$1506,MATCH(B1222,'CARNET DE SOUDURE'!$M$7:$M$1506,0)),"")))</f>
        <v/>
      </c>
      <c r="J1222" s="78" t="str">
        <f aca="false">IF(B1222="","",IFERROR(INDEX('CARNET DE SOUDURE'!$E$7:$E$1506,MATCH(B1222,'CARNET DE SOUDURE'!$M$7:$M$1506,0)),""))</f>
        <v/>
      </c>
      <c r="K1222" s="78" t="str">
        <f aca="false">IF(B1222="","",IFERROR(INDEX('CARNET DE SOUDURE'!$E$7:$E$1506,MATCH(B1222,'CARNET DE SOUDURE'!$K$7:$K$1506,0)),""))</f>
        <v/>
      </c>
      <c r="L1222" s="78" t="str">
        <f aca="false">IF(B1222="","",IFERROR(INDEX('CARNET DE SOUDURE'!$D$7:$D$1506,MATCH(B1222,'CARNET DE SOUDURE'!$K$7:$K$1506,0)),IFERROR(INDEX('CARNET DE SOUDURE'!$D$7:$D$1506,MATCH(B1222,'CARNET DE SOUDURE'!$M$7:$M$1506,0)),"")))</f>
        <v/>
      </c>
      <c r="M1222" s="81" t="str">
        <f aca="false">IF(B1222="","",IF(OR(J1222&lt;&gt;"",K1222&lt;&gt;""),"POSÉ EN LIGNE",IF(H1222&lt;&gt;"","BARDÉ","EN STOCK")))</f>
        <v/>
      </c>
      <c r="N1222" s="79"/>
    </row>
    <row r="1223" customFormat="false" ht="15" hidden="false" customHeight="false" outlineLevel="0" collapsed="false">
      <c r="A1223" s="78" t="str">
        <f aca="false">IF(B1223="","",ROW()-6)</f>
        <v/>
      </c>
      <c r="B1223" s="90"/>
      <c r="C1223" s="91"/>
      <c r="D1223" s="91"/>
      <c r="E1223" s="80"/>
      <c r="F1223" s="92"/>
      <c r="G1223" s="79"/>
      <c r="H1223" s="82"/>
      <c r="I1223" s="93" t="str">
        <f aca="false">IF(B1223="","",IFERROR(INDEX('CARNET DE SOUDURE'!$B$7:$B$1506,MATCH(B1223,'CARNET DE SOUDURE'!$K$7:$K$1506,0)),IFERROR(INDEX('CARNET DE SOUDURE'!$B$7:$B$1506,MATCH(B1223,'CARNET DE SOUDURE'!$M$7:$M$1506,0)),"")))</f>
        <v/>
      </c>
      <c r="J1223" s="78" t="str">
        <f aca="false">IF(B1223="","",IFERROR(INDEX('CARNET DE SOUDURE'!$E$7:$E$1506,MATCH(B1223,'CARNET DE SOUDURE'!$M$7:$M$1506,0)),""))</f>
        <v/>
      </c>
      <c r="K1223" s="78" t="str">
        <f aca="false">IF(B1223="","",IFERROR(INDEX('CARNET DE SOUDURE'!$E$7:$E$1506,MATCH(B1223,'CARNET DE SOUDURE'!$K$7:$K$1506,0)),""))</f>
        <v/>
      </c>
      <c r="L1223" s="78" t="str">
        <f aca="false">IF(B1223="","",IFERROR(INDEX('CARNET DE SOUDURE'!$D$7:$D$1506,MATCH(B1223,'CARNET DE SOUDURE'!$K$7:$K$1506,0)),IFERROR(INDEX('CARNET DE SOUDURE'!$D$7:$D$1506,MATCH(B1223,'CARNET DE SOUDURE'!$M$7:$M$1506,0)),"")))</f>
        <v/>
      </c>
      <c r="M1223" s="81" t="str">
        <f aca="false">IF(B1223="","",IF(OR(J1223&lt;&gt;"",K1223&lt;&gt;""),"POSÉ EN LIGNE",IF(H1223&lt;&gt;"","BARDÉ","EN STOCK")))</f>
        <v/>
      </c>
      <c r="N1223" s="79"/>
    </row>
    <row r="1224" customFormat="false" ht="15" hidden="false" customHeight="false" outlineLevel="0" collapsed="false">
      <c r="A1224" s="78" t="str">
        <f aca="false">IF(B1224="","",ROW()-6)</f>
        <v/>
      </c>
      <c r="B1224" s="90"/>
      <c r="C1224" s="91"/>
      <c r="D1224" s="91"/>
      <c r="E1224" s="80"/>
      <c r="F1224" s="92"/>
      <c r="G1224" s="79"/>
      <c r="H1224" s="82"/>
      <c r="I1224" s="93" t="str">
        <f aca="false">IF(B1224="","",IFERROR(INDEX('CARNET DE SOUDURE'!$B$7:$B$1506,MATCH(B1224,'CARNET DE SOUDURE'!$K$7:$K$1506,0)),IFERROR(INDEX('CARNET DE SOUDURE'!$B$7:$B$1506,MATCH(B1224,'CARNET DE SOUDURE'!$M$7:$M$1506,0)),"")))</f>
        <v/>
      </c>
      <c r="J1224" s="78" t="str">
        <f aca="false">IF(B1224="","",IFERROR(INDEX('CARNET DE SOUDURE'!$E$7:$E$1506,MATCH(B1224,'CARNET DE SOUDURE'!$M$7:$M$1506,0)),""))</f>
        <v/>
      </c>
      <c r="K1224" s="78" t="str">
        <f aca="false">IF(B1224="","",IFERROR(INDEX('CARNET DE SOUDURE'!$E$7:$E$1506,MATCH(B1224,'CARNET DE SOUDURE'!$K$7:$K$1506,0)),""))</f>
        <v/>
      </c>
      <c r="L1224" s="78" t="str">
        <f aca="false">IF(B1224="","",IFERROR(INDEX('CARNET DE SOUDURE'!$D$7:$D$1506,MATCH(B1224,'CARNET DE SOUDURE'!$K$7:$K$1506,0)),IFERROR(INDEX('CARNET DE SOUDURE'!$D$7:$D$1506,MATCH(B1224,'CARNET DE SOUDURE'!$M$7:$M$1506,0)),"")))</f>
        <v/>
      </c>
      <c r="M1224" s="81" t="str">
        <f aca="false">IF(B1224="","",IF(OR(J1224&lt;&gt;"",K1224&lt;&gt;""),"POSÉ EN LIGNE",IF(H1224&lt;&gt;"","BARDÉ","EN STOCK")))</f>
        <v/>
      </c>
      <c r="N1224" s="79"/>
    </row>
    <row r="1225" customFormat="false" ht="15" hidden="false" customHeight="false" outlineLevel="0" collapsed="false">
      <c r="A1225" s="78" t="str">
        <f aca="false">IF(B1225="","",ROW()-6)</f>
        <v/>
      </c>
      <c r="B1225" s="90"/>
      <c r="C1225" s="91"/>
      <c r="D1225" s="91"/>
      <c r="E1225" s="80"/>
      <c r="F1225" s="92"/>
      <c r="G1225" s="79"/>
      <c r="H1225" s="82"/>
      <c r="I1225" s="93" t="str">
        <f aca="false">IF(B1225="","",IFERROR(INDEX('CARNET DE SOUDURE'!$B$7:$B$1506,MATCH(B1225,'CARNET DE SOUDURE'!$K$7:$K$1506,0)),IFERROR(INDEX('CARNET DE SOUDURE'!$B$7:$B$1506,MATCH(B1225,'CARNET DE SOUDURE'!$M$7:$M$1506,0)),"")))</f>
        <v/>
      </c>
      <c r="J1225" s="78" t="str">
        <f aca="false">IF(B1225="","",IFERROR(INDEX('CARNET DE SOUDURE'!$E$7:$E$1506,MATCH(B1225,'CARNET DE SOUDURE'!$M$7:$M$1506,0)),""))</f>
        <v/>
      </c>
      <c r="K1225" s="78" t="str">
        <f aca="false">IF(B1225="","",IFERROR(INDEX('CARNET DE SOUDURE'!$E$7:$E$1506,MATCH(B1225,'CARNET DE SOUDURE'!$K$7:$K$1506,0)),""))</f>
        <v/>
      </c>
      <c r="L1225" s="78" t="str">
        <f aca="false">IF(B1225="","",IFERROR(INDEX('CARNET DE SOUDURE'!$D$7:$D$1506,MATCH(B1225,'CARNET DE SOUDURE'!$K$7:$K$1506,0)),IFERROR(INDEX('CARNET DE SOUDURE'!$D$7:$D$1506,MATCH(B1225,'CARNET DE SOUDURE'!$M$7:$M$1506,0)),"")))</f>
        <v/>
      </c>
      <c r="M1225" s="81" t="str">
        <f aca="false">IF(B1225="","",IF(OR(J1225&lt;&gt;"",K1225&lt;&gt;""),"POSÉ EN LIGNE",IF(H1225&lt;&gt;"","BARDÉ","EN STOCK")))</f>
        <v/>
      </c>
      <c r="N1225" s="79"/>
    </row>
    <row r="1226" customFormat="false" ht="15" hidden="false" customHeight="false" outlineLevel="0" collapsed="false">
      <c r="A1226" s="78" t="str">
        <f aca="false">IF(B1226="","",ROW()-6)</f>
        <v/>
      </c>
      <c r="B1226" s="90"/>
      <c r="C1226" s="91"/>
      <c r="D1226" s="91"/>
      <c r="E1226" s="80"/>
      <c r="F1226" s="92"/>
      <c r="G1226" s="79"/>
      <c r="H1226" s="82"/>
      <c r="I1226" s="93" t="str">
        <f aca="false">IF(B1226="","",IFERROR(INDEX('CARNET DE SOUDURE'!$B$7:$B$1506,MATCH(B1226,'CARNET DE SOUDURE'!$K$7:$K$1506,0)),IFERROR(INDEX('CARNET DE SOUDURE'!$B$7:$B$1506,MATCH(B1226,'CARNET DE SOUDURE'!$M$7:$M$1506,0)),"")))</f>
        <v/>
      </c>
      <c r="J1226" s="78" t="str">
        <f aca="false">IF(B1226="","",IFERROR(INDEX('CARNET DE SOUDURE'!$E$7:$E$1506,MATCH(B1226,'CARNET DE SOUDURE'!$M$7:$M$1506,0)),""))</f>
        <v/>
      </c>
      <c r="K1226" s="78" t="str">
        <f aca="false">IF(B1226="","",IFERROR(INDEX('CARNET DE SOUDURE'!$E$7:$E$1506,MATCH(B1226,'CARNET DE SOUDURE'!$K$7:$K$1506,0)),""))</f>
        <v/>
      </c>
      <c r="L1226" s="78" t="str">
        <f aca="false">IF(B1226="","",IFERROR(INDEX('CARNET DE SOUDURE'!$D$7:$D$1506,MATCH(B1226,'CARNET DE SOUDURE'!$K$7:$K$1506,0)),IFERROR(INDEX('CARNET DE SOUDURE'!$D$7:$D$1506,MATCH(B1226,'CARNET DE SOUDURE'!$M$7:$M$1506,0)),"")))</f>
        <v/>
      </c>
      <c r="M1226" s="81" t="str">
        <f aca="false">IF(B1226="","",IF(OR(J1226&lt;&gt;"",K1226&lt;&gt;""),"POSÉ EN LIGNE",IF(H1226&lt;&gt;"","BARDÉ","EN STOCK")))</f>
        <v/>
      </c>
      <c r="N1226" s="79"/>
    </row>
    <row r="1227" customFormat="false" ht="15" hidden="false" customHeight="false" outlineLevel="0" collapsed="false">
      <c r="A1227" s="78" t="str">
        <f aca="false">IF(B1227="","",ROW()-6)</f>
        <v/>
      </c>
      <c r="B1227" s="90"/>
      <c r="C1227" s="91"/>
      <c r="D1227" s="91"/>
      <c r="E1227" s="80"/>
      <c r="F1227" s="92"/>
      <c r="G1227" s="79"/>
      <c r="H1227" s="82"/>
      <c r="I1227" s="93" t="str">
        <f aca="false">IF(B1227="","",IFERROR(INDEX('CARNET DE SOUDURE'!$B$7:$B$1506,MATCH(B1227,'CARNET DE SOUDURE'!$K$7:$K$1506,0)),IFERROR(INDEX('CARNET DE SOUDURE'!$B$7:$B$1506,MATCH(B1227,'CARNET DE SOUDURE'!$M$7:$M$1506,0)),"")))</f>
        <v/>
      </c>
      <c r="J1227" s="78" t="str">
        <f aca="false">IF(B1227="","",IFERROR(INDEX('CARNET DE SOUDURE'!$E$7:$E$1506,MATCH(B1227,'CARNET DE SOUDURE'!$M$7:$M$1506,0)),""))</f>
        <v/>
      </c>
      <c r="K1227" s="78" t="str">
        <f aca="false">IF(B1227="","",IFERROR(INDEX('CARNET DE SOUDURE'!$E$7:$E$1506,MATCH(B1227,'CARNET DE SOUDURE'!$K$7:$K$1506,0)),""))</f>
        <v/>
      </c>
      <c r="L1227" s="78" t="str">
        <f aca="false">IF(B1227="","",IFERROR(INDEX('CARNET DE SOUDURE'!$D$7:$D$1506,MATCH(B1227,'CARNET DE SOUDURE'!$K$7:$K$1506,0)),IFERROR(INDEX('CARNET DE SOUDURE'!$D$7:$D$1506,MATCH(B1227,'CARNET DE SOUDURE'!$M$7:$M$1506,0)),"")))</f>
        <v/>
      </c>
      <c r="M1227" s="81" t="str">
        <f aca="false">IF(B1227="","",IF(OR(J1227&lt;&gt;"",K1227&lt;&gt;""),"POSÉ EN LIGNE",IF(H1227&lt;&gt;"","BARDÉ","EN STOCK")))</f>
        <v/>
      </c>
      <c r="N1227" s="79"/>
    </row>
    <row r="1228" customFormat="false" ht="15" hidden="false" customHeight="false" outlineLevel="0" collapsed="false">
      <c r="A1228" s="78" t="str">
        <f aca="false">IF(B1228="","",ROW()-6)</f>
        <v/>
      </c>
      <c r="B1228" s="90"/>
      <c r="C1228" s="91"/>
      <c r="D1228" s="91"/>
      <c r="E1228" s="80"/>
      <c r="F1228" s="92"/>
      <c r="G1228" s="79"/>
      <c r="H1228" s="82"/>
      <c r="I1228" s="93" t="str">
        <f aca="false">IF(B1228="","",IFERROR(INDEX('CARNET DE SOUDURE'!$B$7:$B$1506,MATCH(B1228,'CARNET DE SOUDURE'!$K$7:$K$1506,0)),IFERROR(INDEX('CARNET DE SOUDURE'!$B$7:$B$1506,MATCH(B1228,'CARNET DE SOUDURE'!$M$7:$M$1506,0)),"")))</f>
        <v/>
      </c>
      <c r="J1228" s="78" t="str">
        <f aca="false">IF(B1228="","",IFERROR(INDEX('CARNET DE SOUDURE'!$E$7:$E$1506,MATCH(B1228,'CARNET DE SOUDURE'!$M$7:$M$1506,0)),""))</f>
        <v/>
      </c>
      <c r="K1228" s="78" t="str">
        <f aca="false">IF(B1228="","",IFERROR(INDEX('CARNET DE SOUDURE'!$E$7:$E$1506,MATCH(B1228,'CARNET DE SOUDURE'!$K$7:$K$1506,0)),""))</f>
        <v/>
      </c>
      <c r="L1228" s="78" t="str">
        <f aca="false">IF(B1228="","",IFERROR(INDEX('CARNET DE SOUDURE'!$D$7:$D$1506,MATCH(B1228,'CARNET DE SOUDURE'!$K$7:$K$1506,0)),IFERROR(INDEX('CARNET DE SOUDURE'!$D$7:$D$1506,MATCH(B1228,'CARNET DE SOUDURE'!$M$7:$M$1506,0)),"")))</f>
        <v/>
      </c>
      <c r="M1228" s="81" t="str">
        <f aca="false">IF(B1228="","",IF(OR(J1228&lt;&gt;"",K1228&lt;&gt;""),"POSÉ EN LIGNE",IF(H1228&lt;&gt;"","BARDÉ","EN STOCK")))</f>
        <v/>
      </c>
      <c r="N1228" s="79"/>
    </row>
    <row r="1229" customFormat="false" ht="15" hidden="false" customHeight="false" outlineLevel="0" collapsed="false">
      <c r="A1229" s="78" t="str">
        <f aca="false">IF(B1229="","",ROW()-6)</f>
        <v/>
      </c>
      <c r="B1229" s="90"/>
      <c r="C1229" s="91"/>
      <c r="D1229" s="91"/>
      <c r="E1229" s="80"/>
      <c r="F1229" s="92"/>
      <c r="G1229" s="79"/>
      <c r="H1229" s="82"/>
      <c r="I1229" s="93" t="str">
        <f aca="false">IF(B1229="","",IFERROR(INDEX('CARNET DE SOUDURE'!$B$7:$B$1506,MATCH(B1229,'CARNET DE SOUDURE'!$K$7:$K$1506,0)),IFERROR(INDEX('CARNET DE SOUDURE'!$B$7:$B$1506,MATCH(B1229,'CARNET DE SOUDURE'!$M$7:$M$1506,0)),"")))</f>
        <v/>
      </c>
      <c r="J1229" s="78" t="str">
        <f aca="false">IF(B1229="","",IFERROR(INDEX('CARNET DE SOUDURE'!$E$7:$E$1506,MATCH(B1229,'CARNET DE SOUDURE'!$M$7:$M$1506,0)),""))</f>
        <v/>
      </c>
      <c r="K1229" s="78" t="str">
        <f aca="false">IF(B1229="","",IFERROR(INDEX('CARNET DE SOUDURE'!$E$7:$E$1506,MATCH(B1229,'CARNET DE SOUDURE'!$K$7:$K$1506,0)),""))</f>
        <v/>
      </c>
      <c r="L1229" s="78" t="str">
        <f aca="false">IF(B1229="","",IFERROR(INDEX('CARNET DE SOUDURE'!$D$7:$D$1506,MATCH(B1229,'CARNET DE SOUDURE'!$K$7:$K$1506,0)),IFERROR(INDEX('CARNET DE SOUDURE'!$D$7:$D$1506,MATCH(B1229,'CARNET DE SOUDURE'!$M$7:$M$1506,0)),"")))</f>
        <v/>
      </c>
      <c r="M1229" s="81" t="str">
        <f aca="false">IF(B1229="","",IF(OR(J1229&lt;&gt;"",K1229&lt;&gt;""),"POSÉ EN LIGNE",IF(H1229&lt;&gt;"","BARDÉ","EN STOCK")))</f>
        <v/>
      </c>
      <c r="N1229" s="79"/>
    </row>
    <row r="1230" customFormat="false" ht="15" hidden="false" customHeight="false" outlineLevel="0" collapsed="false">
      <c r="A1230" s="78" t="str">
        <f aca="false">IF(B1230="","",ROW()-6)</f>
        <v/>
      </c>
      <c r="B1230" s="90"/>
      <c r="C1230" s="91"/>
      <c r="D1230" s="91"/>
      <c r="E1230" s="80"/>
      <c r="F1230" s="92"/>
      <c r="G1230" s="79"/>
      <c r="H1230" s="82"/>
      <c r="I1230" s="93" t="str">
        <f aca="false">IF(B1230="","",IFERROR(INDEX('CARNET DE SOUDURE'!$B$7:$B$1506,MATCH(B1230,'CARNET DE SOUDURE'!$K$7:$K$1506,0)),IFERROR(INDEX('CARNET DE SOUDURE'!$B$7:$B$1506,MATCH(B1230,'CARNET DE SOUDURE'!$M$7:$M$1506,0)),"")))</f>
        <v/>
      </c>
      <c r="J1230" s="78" t="str">
        <f aca="false">IF(B1230="","",IFERROR(INDEX('CARNET DE SOUDURE'!$E$7:$E$1506,MATCH(B1230,'CARNET DE SOUDURE'!$M$7:$M$1506,0)),""))</f>
        <v/>
      </c>
      <c r="K1230" s="78" t="str">
        <f aca="false">IF(B1230="","",IFERROR(INDEX('CARNET DE SOUDURE'!$E$7:$E$1506,MATCH(B1230,'CARNET DE SOUDURE'!$K$7:$K$1506,0)),""))</f>
        <v/>
      </c>
      <c r="L1230" s="78" t="str">
        <f aca="false">IF(B1230="","",IFERROR(INDEX('CARNET DE SOUDURE'!$D$7:$D$1506,MATCH(B1230,'CARNET DE SOUDURE'!$K$7:$K$1506,0)),IFERROR(INDEX('CARNET DE SOUDURE'!$D$7:$D$1506,MATCH(B1230,'CARNET DE SOUDURE'!$M$7:$M$1506,0)),"")))</f>
        <v/>
      </c>
      <c r="M1230" s="81" t="str">
        <f aca="false">IF(B1230="","",IF(OR(J1230&lt;&gt;"",K1230&lt;&gt;""),"POSÉ EN LIGNE",IF(H1230&lt;&gt;"","BARDÉ","EN STOCK")))</f>
        <v/>
      </c>
      <c r="N1230" s="79"/>
    </row>
    <row r="1231" customFormat="false" ht="15" hidden="false" customHeight="false" outlineLevel="0" collapsed="false">
      <c r="A1231" s="78" t="str">
        <f aca="false">IF(B1231="","",ROW()-6)</f>
        <v/>
      </c>
      <c r="B1231" s="90"/>
      <c r="C1231" s="91"/>
      <c r="D1231" s="91"/>
      <c r="E1231" s="80"/>
      <c r="F1231" s="92"/>
      <c r="G1231" s="79"/>
      <c r="H1231" s="82"/>
      <c r="I1231" s="93" t="str">
        <f aca="false">IF(B1231="","",IFERROR(INDEX('CARNET DE SOUDURE'!$B$7:$B$1506,MATCH(B1231,'CARNET DE SOUDURE'!$K$7:$K$1506,0)),IFERROR(INDEX('CARNET DE SOUDURE'!$B$7:$B$1506,MATCH(B1231,'CARNET DE SOUDURE'!$M$7:$M$1506,0)),"")))</f>
        <v/>
      </c>
      <c r="J1231" s="78" t="str">
        <f aca="false">IF(B1231="","",IFERROR(INDEX('CARNET DE SOUDURE'!$E$7:$E$1506,MATCH(B1231,'CARNET DE SOUDURE'!$M$7:$M$1506,0)),""))</f>
        <v/>
      </c>
      <c r="K1231" s="78" t="str">
        <f aca="false">IF(B1231="","",IFERROR(INDEX('CARNET DE SOUDURE'!$E$7:$E$1506,MATCH(B1231,'CARNET DE SOUDURE'!$K$7:$K$1506,0)),""))</f>
        <v/>
      </c>
      <c r="L1231" s="78" t="str">
        <f aca="false">IF(B1231="","",IFERROR(INDEX('CARNET DE SOUDURE'!$D$7:$D$1506,MATCH(B1231,'CARNET DE SOUDURE'!$K$7:$K$1506,0)),IFERROR(INDEX('CARNET DE SOUDURE'!$D$7:$D$1506,MATCH(B1231,'CARNET DE SOUDURE'!$M$7:$M$1506,0)),"")))</f>
        <v/>
      </c>
      <c r="M1231" s="81" t="str">
        <f aca="false">IF(B1231="","",IF(OR(J1231&lt;&gt;"",K1231&lt;&gt;""),"POSÉ EN LIGNE",IF(H1231&lt;&gt;"","BARDÉ","EN STOCK")))</f>
        <v/>
      </c>
      <c r="N1231" s="79"/>
    </row>
    <row r="1232" customFormat="false" ht="15" hidden="false" customHeight="false" outlineLevel="0" collapsed="false">
      <c r="A1232" s="78" t="str">
        <f aca="false">IF(B1232="","",ROW()-6)</f>
        <v/>
      </c>
      <c r="B1232" s="90"/>
      <c r="C1232" s="91"/>
      <c r="D1232" s="91"/>
      <c r="E1232" s="80"/>
      <c r="F1232" s="92"/>
      <c r="G1232" s="79"/>
      <c r="H1232" s="82"/>
      <c r="I1232" s="93" t="str">
        <f aca="false">IF(B1232="","",IFERROR(INDEX('CARNET DE SOUDURE'!$B$7:$B$1506,MATCH(B1232,'CARNET DE SOUDURE'!$K$7:$K$1506,0)),IFERROR(INDEX('CARNET DE SOUDURE'!$B$7:$B$1506,MATCH(B1232,'CARNET DE SOUDURE'!$M$7:$M$1506,0)),"")))</f>
        <v/>
      </c>
      <c r="J1232" s="78" t="str">
        <f aca="false">IF(B1232="","",IFERROR(INDEX('CARNET DE SOUDURE'!$E$7:$E$1506,MATCH(B1232,'CARNET DE SOUDURE'!$M$7:$M$1506,0)),""))</f>
        <v/>
      </c>
      <c r="K1232" s="78" t="str">
        <f aca="false">IF(B1232="","",IFERROR(INDEX('CARNET DE SOUDURE'!$E$7:$E$1506,MATCH(B1232,'CARNET DE SOUDURE'!$K$7:$K$1506,0)),""))</f>
        <v/>
      </c>
      <c r="L1232" s="78" t="str">
        <f aca="false">IF(B1232="","",IFERROR(INDEX('CARNET DE SOUDURE'!$D$7:$D$1506,MATCH(B1232,'CARNET DE SOUDURE'!$K$7:$K$1506,0)),IFERROR(INDEX('CARNET DE SOUDURE'!$D$7:$D$1506,MATCH(B1232,'CARNET DE SOUDURE'!$M$7:$M$1506,0)),"")))</f>
        <v/>
      </c>
      <c r="M1232" s="81" t="str">
        <f aca="false">IF(B1232="","",IF(OR(J1232&lt;&gt;"",K1232&lt;&gt;""),"POSÉ EN LIGNE",IF(H1232&lt;&gt;"","BARDÉ","EN STOCK")))</f>
        <v/>
      </c>
      <c r="N1232" s="79"/>
    </row>
    <row r="1233" customFormat="false" ht="15" hidden="false" customHeight="false" outlineLevel="0" collapsed="false">
      <c r="A1233" s="78" t="str">
        <f aca="false">IF(B1233="","",ROW()-6)</f>
        <v/>
      </c>
      <c r="B1233" s="90"/>
      <c r="C1233" s="91"/>
      <c r="D1233" s="91"/>
      <c r="E1233" s="80"/>
      <c r="F1233" s="92"/>
      <c r="G1233" s="79"/>
      <c r="H1233" s="82"/>
      <c r="I1233" s="93" t="str">
        <f aca="false">IF(B1233="","",IFERROR(INDEX('CARNET DE SOUDURE'!$B$7:$B$1506,MATCH(B1233,'CARNET DE SOUDURE'!$K$7:$K$1506,0)),IFERROR(INDEX('CARNET DE SOUDURE'!$B$7:$B$1506,MATCH(B1233,'CARNET DE SOUDURE'!$M$7:$M$1506,0)),"")))</f>
        <v/>
      </c>
      <c r="J1233" s="78" t="str">
        <f aca="false">IF(B1233="","",IFERROR(INDEX('CARNET DE SOUDURE'!$E$7:$E$1506,MATCH(B1233,'CARNET DE SOUDURE'!$M$7:$M$1506,0)),""))</f>
        <v/>
      </c>
      <c r="K1233" s="78" t="str">
        <f aca="false">IF(B1233="","",IFERROR(INDEX('CARNET DE SOUDURE'!$E$7:$E$1506,MATCH(B1233,'CARNET DE SOUDURE'!$K$7:$K$1506,0)),""))</f>
        <v/>
      </c>
      <c r="L1233" s="78" t="str">
        <f aca="false">IF(B1233="","",IFERROR(INDEX('CARNET DE SOUDURE'!$D$7:$D$1506,MATCH(B1233,'CARNET DE SOUDURE'!$K$7:$K$1506,0)),IFERROR(INDEX('CARNET DE SOUDURE'!$D$7:$D$1506,MATCH(B1233,'CARNET DE SOUDURE'!$M$7:$M$1506,0)),"")))</f>
        <v/>
      </c>
      <c r="M1233" s="81" t="str">
        <f aca="false">IF(B1233="","",IF(OR(J1233&lt;&gt;"",K1233&lt;&gt;""),"POSÉ EN LIGNE",IF(H1233&lt;&gt;"","BARDÉ","EN STOCK")))</f>
        <v/>
      </c>
      <c r="N1233" s="79"/>
    </row>
    <row r="1234" customFormat="false" ht="15" hidden="false" customHeight="false" outlineLevel="0" collapsed="false">
      <c r="A1234" s="78" t="str">
        <f aca="false">IF(B1234="","",ROW()-6)</f>
        <v/>
      </c>
      <c r="B1234" s="90"/>
      <c r="C1234" s="91"/>
      <c r="D1234" s="91"/>
      <c r="E1234" s="80"/>
      <c r="F1234" s="92"/>
      <c r="G1234" s="79"/>
      <c r="H1234" s="82"/>
      <c r="I1234" s="93" t="str">
        <f aca="false">IF(B1234="","",IFERROR(INDEX('CARNET DE SOUDURE'!$B$7:$B$1506,MATCH(B1234,'CARNET DE SOUDURE'!$K$7:$K$1506,0)),IFERROR(INDEX('CARNET DE SOUDURE'!$B$7:$B$1506,MATCH(B1234,'CARNET DE SOUDURE'!$M$7:$M$1506,0)),"")))</f>
        <v/>
      </c>
      <c r="J1234" s="78" t="str">
        <f aca="false">IF(B1234="","",IFERROR(INDEX('CARNET DE SOUDURE'!$E$7:$E$1506,MATCH(B1234,'CARNET DE SOUDURE'!$M$7:$M$1506,0)),""))</f>
        <v/>
      </c>
      <c r="K1234" s="78" t="str">
        <f aca="false">IF(B1234="","",IFERROR(INDEX('CARNET DE SOUDURE'!$E$7:$E$1506,MATCH(B1234,'CARNET DE SOUDURE'!$K$7:$K$1506,0)),""))</f>
        <v/>
      </c>
      <c r="L1234" s="78" t="str">
        <f aca="false">IF(B1234="","",IFERROR(INDEX('CARNET DE SOUDURE'!$D$7:$D$1506,MATCH(B1234,'CARNET DE SOUDURE'!$K$7:$K$1506,0)),IFERROR(INDEX('CARNET DE SOUDURE'!$D$7:$D$1506,MATCH(B1234,'CARNET DE SOUDURE'!$M$7:$M$1506,0)),"")))</f>
        <v/>
      </c>
      <c r="M1234" s="81" t="str">
        <f aca="false">IF(B1234="","",IF(OR(J1234&lt;&gt;"",K1234&lt;&gt;""),"POSÉ EN LIGNE",IF(H1234&lt;&gt;"","BARDÉ","EN STOCK")))</f>
        <v/>
      </c>
      <c r="N1234" s="79"/>
    </row>
    <row r="1235" customFormat="false" ht="15" hidden="false" customHeight="false" outlineLevel="0" collapsed="false">
      <c r="A1235" s="78" t="str">
        <f aca="false">IF(B1235="","",ROW()-6)</f>
        <v/>
      </c>
      <c r="B1235" s="90"/>
      <c r="C1235" s="91"/>
      <c r="D1235" s="91"/>
      <c r="E1235" s="80"/>
      <c r="F1235" s="92"/>
      <c r="G1235" s="79"/>
      <c r="H1235" s="82"/>
      <c r="I1235" s="93" t="str">
        <f aca="false">IF(B1235="","",IFERROR(INDEX('CARNET DE SOUDURE'!$B$7:$B$1506,MATCH(B1235,'CARNET DE SOUDURE'!$K$7:$K$1506,0)),IFERROR(INDEX('CARNET DE SOUDURE'!$B$7:$B$1506,MATCH(B1235,'CARNET DE SOUDURE'!$M$7:$M$1506,0)),"")))</f>
        <v/>
      </c>
      <c r="J1235" s="78" t="str">
        <f aca="false">IF(B1235="","",IFERROR(INDEX('CARNET DE SOUDURE'!$E$7:$E$1506,MATCH(B1235,'CARNET DE SOUDURE'!$M$7:$M$1506,0)),""))</f>
        <v/>
      </c>
      <c r="K1235" s="78" t="str">
        <f aca="false">IF(B1235="","",IFERROR(INDEX('CARNET DE SOUDURE'!$E$7:$E$1506,MATCH(B1235,'CARNET DE SOUDURE'!$K$7:$K$1506,0)),""))</f>
        <v/>
      </c>
      <c r="L1235" s="78" t="str">
        <f aca="false">IF(B1235="","",IFERROR(INDEX('CARNET DE SOUDURE'!$D$7:$D$1506,MATCH(B1235,'CARNET DE SOUDURE'!$K$7:$K$1506,0)),IFERROR(INDEX('CARNET DE SOUDURE'!$D$7:$D$1506,MATCH(B1235,'CARNET DE SOUDURE'!$M$7:$M$1506,0)),"")))</f>
        <v/>
      </c>
      <c r="M1235" s="81" t="str">
        <f aca="false">IF(B1235="","",IF(OR(J1235&lt;&gt;"",K1235&lt;&gt;""),"POSÉ EN LIGNE",IF(H1235&lt;&gt;"","BARDÉ","EN STOCK")))</f>
        <v/>
      </c>
      <c r="N1235" s="79"/>
    </row>
    <row r="1236" customFormat="false" ht="15" hidden="false" customHeight="false" outlineLevel="0" collapsed="false">
      <c r="A1236" s="78" t="str">
        <f aca="false">IF(B1236="","",ROW()-6)</f>
        <v/>
      </c>
      <c r="B1236" s="90"/>
      <c r="C1236" s="91"/>
      <c r="D1236" s="91"/>
      <c r="E1236" s="80"/>
      <c r="F1236" s="92"/>
      <c r="G1236" s="79"/>
      <c r="H1236" s="82"/>
      <c r="I1236" s="93" t="str">
        <f aca="false">IF(B1236="","",IFERROR(INDEX('CARNET DE SOUDURE'!$B$7:$B$1506,MATCH(B1236,'CARNET DE SOUDURE'!$K$7:$K$1506,0)),IFERROR(INDEX('CARNET DE SOUDURE'!$B$7:$B$1506,MATCH(B1236,'CARNET DE SOUDURE'!$M$7:$M$1506,0)),"")))</f>
        <v/>
      </c>
      <c r="J1236" s="78" t="str">
        <f aca="false">IF(B1236="","",IFERROR(INDEX('CARNET DE SOUDURE'!$E$7:$E$1506,MATCH(B1236,'CARNET DE SOUDURE'!$M$7:$M$1506,0)),""))</f>
        <v/>
      </c>
      <c r="K1236" s="78" t="str">
        <f aca="false">IF(B1236="","",IFERROR(INDEX('CARNET DE SOUDURE'!$E$7:$E$1506,MATCH(B1236,'CARNET DE SOUDURE'!$K$7:$K$1506,0)),""))</f>
        <v/>
      </c>
      <c r="L1236" s="78" t="str">
        <f aca="false">IF(B1236="","",IFERROR(INDEX('CARNET DE SOUDURE'!$D$7:$D$1506,MATCH(B1236,'CARNET DE SOUDURE'!$K$7:$K$1506,0)),IFERROR(INDEX('CARNET DE SOUDURE'!$D$7:$D$1506,MATCH(B1236,'CARNET DE SOUDURE'!$M$7:$M$1506,0)),"")))</f>
        <v/>
      </c>
      <c r="M1236" s="81" t="str">
        <f aca="false">IF(B1236="","",IF(OR(J1236&lt;&gt;"",K1236&lt;&gt;""),"POSÉ EN LIGNE",IF(H1236&lt;&gt;"","BARDÉ","EN STOCK")))</f>
        <v/>
      </c>
      <c r="N1236" s="79"/>
    </row>
    <row r="1237" customFormat="false" ht="15" hidden="false" customHeight="false" outlineLevel="0" collapsed="false">
      <c r="A1237" s="78" t="str">
        <f aca="false">IF(B1237="","",ROW()-6)</f>
        <v/>
      </c>
      <c r="B1237" s="90"/>
      <c r="C1237" s="91"/>
      <c r="D1237" s="91"/>
      <c r="E1237" s="80"/>
      <c r="F1237" s="92"/>
      <c r="G1237" s="79"/>
      <c r="H1237" s="82"/>
      <c r="I1237" s="93" t="str">
        <f aca="false">IF(B1237="","",IFERROR(INDEX('CARNET DE SOUDURE'!$B$7:$B$1506,MATCH(B1237,'CARNET DE SOUDURE'!$K$7:$K$1506,0)),IFERROR(INDEX('CARNET DE SOUDURE'!$B$7:$B$1506,MATCH(B1237,'CARNET DE SOUDURE'!$M$7:$M$1506,0)),"")))</f>
        <v/>
      </c>
      <c r="J1237" s="78" t="str">
        <f aca="false">IF(B1237="","",IFERROR(INDEX('CARNET DE SOUDURE'!$E$7:$E$1506,MATCH(B1237,'CARNET DE SOUDURE'!$M$7:$M$1506,0)),""))</f>
        <v/>
      </c>
      <c r="K1237" s="78" t="str">
        <f aca="false">IF(B1237="","",IFERROR(INDEX('CARNET DE SOUDURE'!$E$7:$E$1506,MATCH(B1237,'CARNET DE SOUDURE'!$K$7:$K$1506,0)),""))</f>
        <v/>
      </c>
      <c r="L1237" s="78" t="str">
        <f aca="false">IF(B1237="","",IFERROR(INDEX('CARNET DE SOUDURE'!$D$7:$D$1506,MATCH(B1237,'CARNET DE SOUDURE'!$K$7:$K$1506,0)),IFERROR(INDEX('CARNET DE SOUDURE'!$D$7:$D$1506,MATCH(B1237,'CARNET DE SOUDURE'!$M$7:$M$1506,0)),"")))</f>
        <v/>
      </c>
      <c r="M1237" s="81" t="str">
        <f aca="false">IF(B1237="","",IF(OR(J1237&lt;&gt;"",K1237&lt;&gt;""),"POSÉ EN LIGNE",IF(H1237&lt;&gt;"","BARDÉ","EN STOCK")))</f>
        <v/>
      </c>
      <c r="N1237" s="79"/>
    </row>
    <row r="1238" customFormat="false" ht="15" hidden="false" customHeight="false" outlineLevel="0" collapsed="false">
      <c r="A1238" s="78" t="str">
        <f aca="false">IF(B1238="","",ROW()-6)</f>
        <v/>
      </c>
      <c r="B1238" s="90"/>
      <c r="C1238" s="91"/>
      <c r="D1238" s="91"/>
      <c r="E1238" s="80"/>
      <c r="F1238" s="92"/>
      <c r="G1238" s="79"/>
      <c r="H1238" s="82"/>
      <c r="I1238" s="93" t="str">
        <f aca="false">IF(B1238="","",IFERROR(INDEX('CARNET DE SOUDURE'!$B$7:$B$1506,MATCH(B1238,'CARNET DE SOUDURE'!$K$7:$K$1506,0)),IFERROR(INDEX('CARNET DE SOUDURE'!$B$7:$B$1506,MATCH(B1238,'CARNET DE SOUDURE'!$M$7:$M$1506,0)),"")))</f>
        <v/>
      </c>
      <c r="J1238" s="78" t="str">
        <f aca="false">IF(B1238="","",IFERROR(INDEX('CARNET DE SOUDURE'!$E$7:$E$1506,MATCH(B1238,'CARNET DE SOUDURE'!$M$7:$M$1506,0)),""))</f>
        <v/>
      </c>
      <c r="K1238" s="78" t="str">
        <f aca="false">IF(B1238="","",IFERROR(INDEX('CARNET DE SOUDURE'!$E$7:$E$1506,MATCH(B1238,'CARNET DE SOUDURE'!$K$7:$K$1506,0)),""))</f>
        <v/>
      </c>
      <c r="L1238" s="78" t="str">
        <f aca="false">IF(B1238="","",IFERROR(INDEX('CARNET DE SOUDURE'!$D$7:$D$1506,MATCH(B1238,'CARNET DE SOUDURE'!$K$7:$K$1506,0)),IFERROR(INDEX('CARNET DE SOUDURE'!$D$7:$D$1506,MATCH(B1238,'CARNET DE SOUDURE'!$M$7:$M$1506,0)),"")))</f>
        <v/>
      </c>
      <c r="M1238" s="81" t="str">
        <f aca="false">IF(B1238="","",IF(OR(J1238&lt;&gt;"",K1238&lt;&gt;""),"POSÉ EN LIGNE",IF(H1238&lt;&gt;"","BARDÉ","EN STOCK")))</f>
        <v/>
      </c>
      <c r="N1238" s="79"/>
    </row>
    <row r="1239" customFormat="false" ht="15" hidden="false" customHeight="false" outlineLevel="0" collapsed="false">
      <c r="A1239" s="78" t="str">
        <f aca="false">IF(B1239="","",ROW()-6)</f>
        <v/>
      </c>
      <c r="B1239" s="90"/>
      <c r="C1239" s="91"/>
      <c r="D1239" s="91"/>
      <c r="E1239" s="80"/>
      <c r="F1239" s="92"/>
      <c r="G1239" s="79"/>
      <c r="H1239" s="82"/>
      <c r="I1239" s="93" t="str">
        <f aca="false">IF(B1239="","",IFERROR(INDEX('CARNET DE SOUDURE'!$B$7:$B$1506,MATCH(B1239,'CARNET DE SOUDURE'!$K$7:$K$1506,0)),IFERROR(INDEX('CARNET DE SOUDURE'!$B$7:$B$1506,MATCH(B1239,'CARNET DE SOUDURE'!$M$7:$M$1506,0)),"")))</f>
        <v/>
      </c>
      <c r="J1239" s="78" t="str">
        <f aca="false">IF(B1239="","",IFERROR(INDEX('CARNET DE SOUDURE'!$E$7:$E$1506,MATCH(B1239,'CARNET DE SOUDURE'!$M$7:$M$1506,0)),""))</f>
        <v/>
      </c>
      <c r="K1239" s="78" t="str">
        <f aca="false">IF(B1239="","",IFERROR(INDEX('CARNET DE SOUDURE'!$E$7:$E$1506,MATCH(B1239,'CARNET DE SOUDURE'!$K$7:$K$1506,0)),""))</f>
        <v/>
      </c>
      <c r="L1239" s="78" t="str">
        <f aca="false">IF(B1239="","",IFERROR(INDEX('CARNET DE SOUDURE'!$D$7:$D$1506,MATCH(B1239,'CARNET DE SOUDURE'!$K$7:$K$1506,0)),IFERROR(INDEX('CARNET DE SOUDURE'!$D$7:$D$1506,MATCH(B1239,'CARNET DE SOUDURE'!$M$7:$M$1506,0)),"")))</f>
        <v/>
      </c>
      <c r="M1239" s="81" t="str">
        <f aca="false">IF(B1239="","",IF(OR(J1239&lt;&gt;"",K1239&lt;&gt;""),"POSÉ EN LIGNE",IF(H1239&lt;&gt;"","BARDÉ","EN STOCK")))</f>
        <v/>
      </c>
      <c r="N1239" s="79"/>
    </row>
    <row r="1240" customFormat="false" ht="15" hidden="false" customHeight="false" outlineLevel="0" collapsed="false">
      <c r="A1240" s="78" t="str">
        <f aca="false">IF(B1240="","",ROW()-6)</f>
        <v/>
      </c>
      <c r="B1240" s="90"/>
      <c r="C1240" s="91"/>
      <c r="D1240" s="91"/>
      <c r="E1240" s="80"/>
      <c r="F1240" s="92"/>
      <c r="G1240" s="79"/>
      <c r="H1240" s="82"/>
      <c r="I1240" s="93" t="str">
        <f aca="false">IF(B1240="","",IFERROR(INDEX('CARNET DE SOUDURE'!$B$7:$B$1506,MATCH(B1240,'CARNET DE SOUDURE'!$K$7:$K$1506,0)),IFERROR(INDEX('CARNET DE SOUDURE'!$B$7:$B$1506,MATCH(B1240,'CARNET DE SOUDURE'!$M$7:$M$1506,0)),"")))</f>
        <v/>
      </c>
      <c r="J1240" s="78" t="str">
        <f aca="false">IF(B1240="","",IFERROR(INDEX('CARNET DE SOUDURE'!$E$7:$E$1506,MATCH(B1240,'CARNET DE SOUDURE'!$M$7:$M$1506,0)),""))</f>
        <v/>
      </c>
      <c r="K1240" s="78" t="str">
        <f aca="false">IF(B1240="","",IFERROR(INDEX('CARNET DE SOUDURE'!$E$7:$E$1506,MATCH(B1240,'CARNET DE SOUDURE'!$K$7:$K$1506,0)),""))</f>
        <v/>
      </c>
      <c r="L1240" s="78" t="str">
        <f aca="false">IF(B1240="","",IFERROR(INDEX('CARNET DE SOUDURE'!$D$7:$D$1506,MATCH(B1240,'CARNET DE SOUDURE'!$K$7:$K$1506,0)),IFERROR(INDEX('CARNET DE SOUDURE'!$D$7:$D$1506,MATCH(B1240,'CARNET DE SOUDURE'!$M$7:$M$1506,0)),"")))</f>
        <v/>
      </c>
      <c r="M1240" s="81" t="str">
        <f aca="false">IF(B1240="","",IF(OR(J1240&lt;&gt;"",K1240&lt;&gt;""),"POSÉ EN LIGNE",IF(H1240&lt;&gt;"","BARDÉ","EN STOCK")))</f>
        <v/>
      </c>
      <c r="N1240" s="79"/>
    </row>
    <row r="1241" customFormat="false" ht="15" hidden="false" customHeight="false" outlineLevel="0" collapsed="false">
      <c r="A1241" s="78" t="str">
        <f aca="false">IF(B1241="","",ROW()-6)</f>
        <v/>
      </c>
      <c r="B1241" s="90"/>
      <c r="C1241" s="91"/>
      <c r="D1241" s="91"/>
      <c r="E1241" s="80"/>
      <c r="F1241" s="92"/>
      <c r="G1241" s="79"/>
      <c r="H1241" s="82"/>
      <c r="I1241" s="93" t="str">
        <f aca="false">IF(B1241="","",IFERROR(INDEX('CARNET DE SOUDURE'!$B$7:$B$1506,MATCH(B1241,'CARNET DE SOUDURE'!$K$7:$K$1506,0)),IFERROR(INDEX('CARNET DE SOUDURE'!$B$7:$B$1506,MATCH(B1241,'CARNET DE SOUDURE'!$M$7:$M$1506,0)),"")))</f>
        <v/>
      </c>
      <c r="J1241" s="78" t="str">
        <f aca="false">IF(B1241="","",IFERROR(INDEX('CARNET DE SOUDURE'!$E$7:$E$1506,MATCH(B1241,'CARNET DE SOUDURE'!$M$7:$M$1506,0)),""))</f>
        <v/>
      </c>
      <c r="K1241" s="78" t="str">
        <f aca="false">IF(B1241="","",IFERROR(INDEX('CARNET DE SOUDURE'!$E$7:$E$1506,MATCH(B1241,'CARNET DE SOUDURE'!$K$7:$K$1506,0)),""))</f>
        <v/>
      </c>
      <c r="L1241" s="78" t="str">
        <f aca="false">IF(B1241="","",IFERROR(INDEX('CARNET DE SOUDURE'!$D$7:$D$1506,MATCH(B1241,'CARNET DE SOUDURE'!$K$7:$K$1506,0)),IFERROR(INDEX('CARNET DE SOUDURE'!$D$7:$D$1506,MATCH(B1241,'CARNET DE SOUDURE'!$M$7:$M$1506,0)),"")))</f>
        <v/>
      </c>
      <c r="M1241" s="81" t="str">
        <f aca="false">IF(B1241="","",IF(OR(J1241&lt;&gt;"",K1241&lt;&gt;""),"POSÉ EN LIGNE",IF(H1241&lt;&gt;"","BARDÉ","EN STOCK")))</f>
        <v/>
      </c>
      <c r="N1241" s="79"/>
    </row>
    <row r="1242" customFormat="false" ht="15" hidden="false" customHeight="false" outlineLevel="0" collapsed="false">
      <c r="A1242" s="78" t="str">
        <f aca="false">IF(B1242="","",ROW()-6)</f>
        <v/>
      </c>
      <c r="B1242" s="90"/>
      <c r="C1242" s="91"/>
      <c r="D1242" s="91"/>
      <c r="E1242" s="80"/>
      <c r="F1242" s="92"/>
      <c r="G1242" s="79"/>
      <c r="H1242" s="82"/>
      <c r="I1242" s="93" t="str">
        <f aca="false">IF(B1242="","",IFERROR(INDEX('CARNET DE SOUDURE'!$B$7:$B$1506,MATCH(B1242,'CARNET DE SOUDURE'!$K$7:$K$1506,0)),IFERROR(INDEX('CARNET DE SOUDURE'!$B$7:$B$1506,MATCH(B1242,'CARNET DE SOUDURE'!$M$7:$M$1506,0)),"")))</f>
        <v/>
      </c>
      <c r="J1242" s="78" t="str">
        <f aca="false">IF(B1242="","",IFERROR(INDEX('CARNET DE SOUDURE'!$E$7:$E$1506,MATCH(B1242,'CARNET DE SOUDURE'!$M$7:$M$1506,0)),""))</f>
        <v/>
      </c>
      <c r="K1242" s="78" t="str">
        <f aca="false">IF(B1242="","",IFERROR(INDEX('CARNET DE SOUDURE'!$E$7:$E$1506,MATCH(B1242,'CARNET DE SOUDURE'!$K$7:$K$1506,0)),""))</f>
        <v/>
      </c>
      <c r="L1242" s="78" t="str">
        <f aca="false">IF(B1242="","",IFERROR(INDEX('CARNET DE SOUDURE'!$D$7:$D$1506,MATCH(B1242,'CARNET DE SOUDURE'!$K$7:$K$1506,0)),IFERROR(INDEX('CARNET DE SOUDURE'!$D$7:$D$1506,MATCH(B1242,'CARNET DE SOUDURE'!$M$7:$M$1506,0)),"")))</f>
        <v/>
      </c>
      <c r="M1242" s="81" t="str">
        <f aca="false">IF(B1242="","",IF(OR(J1242&lt;&gt;"",K1242&lt;&gt;""),"POSÉ EN LIGNE",IF(H1242&lt;&gt;"","BARDÉ","EN STOCK")))</f>
        <v/>
      </c>
      <c r="N1242" s="79"/>
    </row>
    <row r="1243" customFormat="false" ht="15" hidden="false" customHeight="false" outlineLevel="0" collapsed="false">
      <c r="A1243" s="78" t="str">
        <f aca="false">IF(B1243="","",ROW()-6)</f>
        <v/>
      </c>
      <c r="B1243" s="90"/>
      <c r="C1243" s="91"/>
      <c r="D1243" s="91"/>
      <c r="E1243" s="80"/>
      <c r="F1243" s="92"/>
      <c r="G1243" s="79"/>
      <c r="H1243" s="82"/>
      <c r="I1243" s="93" t="str">
        <f aca="false">IF(B1243="","",IFERROR(INDEX('CARNET DE SOUDURE'!$B$7:$B$1506,MATCH(B1243,'CARNET DE SOUDURE'!$K$7:$K$1506,0)),IFERROR(INDEX('CARNET DE SOUDURE'!$B$7:$B$1506,MATCH(B1243,'CARNET DE SOUDURE'!$M$7:$M$1506,0)),"")))</f>
        <v/>
      </c>
      <c r="J1243" s="78" t="str">
        <f aca="false">IF(B1243="","",IFERROR(INDEX('CARNET DE SOUDURE'!$E$7:$E$1506,MATCH(B1243,'CARNET DE SOUDURE'!$M$7:$M$1506,0)),""))</f>
        <v/>
      </c>
      <c r="K1243" s="78" t="str">
        <f aca="false">IF(B1243="","",IFERROR(INDEX('CARNET DE SOUDURE'!$E$7:$E$1506,MATCH(B1243,'CARNET DE SOUDURE'!$K$7:$K$1506,0)),""))</f>
        <v/>
      </c>
      <c r="L1243" s="78" t="str">
        <f aca="false">IF(B1243="","",IFERROR(INDEX('CARNET DE SOUDURE'!$D$7:$D$1506,MATCH(B1243,'CARNET DE SOUDURE'!$K$7:$K$1506,0)),IFERROR(INDEX('CARNET DE SOUDURE'!$D$7:$D$1506,MATCH(B1243,'CARNET DE SOUDURE'!$M$7:$M$1506,0)),"")))</f>
        <v/>
      </c>
      <c r="M1243" s="81" t="str">
        <f aca="false">IF(B1243="","",IF(OR(J1243&lt;&gt;"",K1243&lt;&gt;""),"POSÉ EN LIGNE",IF(H1243&lt;&gt;"","BARDÉ","EN STOCK")))</f>
        <v/>
      </c>
      <c r="N1243" s="79"/>
    </row>
    <row r="1244" customFormat="false" ht="15" hidden="false" customHeight="false" outlineLevel="0" collapsed="false">
      <c r="A1244" s="78" t="str">
        <f aca="false">IF(B1244="","",ROW()-6)</f>
        <v/>
      </c>
      <c r="B1244" s="90"/>
      <c r="C1244" s="91"/>
      <c r="D1244" s="91"/>
      <c r="E1244" s="80"/>
      <c r="F1244" s="92"/>
      <c r="G1244" s="79"/>
      <c r="H1244" s="82"/>
      <c r="I1244" s="93" t="str">
        <f aca="false">IF(B1244="","",IFERROR(INDEX('CARNET DE SOUDURE'!$B$7:$B$1506,MATCH(B1244,'CARNET DE SOUDURE'!$K$7:$K$1506,0)),IFERROR(INDEX('CARNET DE SOUDURE'!$B$7:$B$1506,MATCH(B1244,'CARNET DE SOUDURE'!$M$7:$M$1506,0)),"")))</f>
        <v/>
      </c>
      <c r="J1244" s="78" t="str">
        <f aca="false">IF(B1244="","",IFERROR(INDEX('CARNET DE SOUDURE'!$E$7:$E$1506,MATCH(B1244,'CARNET DE SOUDURE'!$M$7:$M$1506,0)),""))</f>
        <v/>
      </c>
      <c r="K1244" s="78" t="str">
        <f aca="false">IF(B1244="","",IFERROR(INDEX('CARNET DE SOUDURE'!$E$7:$E$1506,MATCH(B1244,'CARNET DE SOUDURE'!$K$7:$K$1506,0)),""))</f>
        <v/>
      </c>
      <c r="L1244" s="78" t="str">
        <f aca="false">IF(B1244="","",IFERROR(INDEX('CARNET DE SOUDURE'!$D$7:$D$1506,MATCH(B1244,'CARNET DE SOUDURE'!$K$7:$K$1506,0)),IFERROR(INDEX('CARNET DE SOUDURE'!$D$7:$D$1506,MATCH(B1244,'CARNET DE SOUDURE'!$M$7:$M$1506,0)),"")))</f>
        <v/>
      </c>
      <c r="M1244" s="81" t="str">
        <f aca="false">IF(B1244="","",IF(OR(J1244&lt;&gt;"",K1244&lt;&gt;""),"POSÉ EN LIGNE",IF(H1244&lt;&gt;"","BARDÉ","EN STOCK")))</f>
        <v/>
      </c>
      <c r="N1244" s="79"/>
    </row>
    <row r="1245" customFormat="false" ht="15" hidden="false" customHeight="false" outlineLevel="0" collapsed="false">
      <c r="A1245" s="78" t="str">
        <f aca="false">IF(B1245="","",ROW()-6)</f>
        <v/>
      </c>
      <c r="B1245" s="90"/>
      <c r="C1245" s="91"/>
      <c r="D1245" s="91"/>
      <c r="E1245" s="80"/>
      <c r="F1245" s="92"/>
      <c r="G1245" s="79"/>
      <c r="H1245" s="82"/>
      <c r="I1245" s="93" t="str">
        <f aca="false">IF(B1245="","",IFERROR(INDEX('CARNET DE SOUDURE'!$B$7:$B$1506,MATCH(B1245,'CARNET DE SOUDURE'!$K$7:$K$1506,0)),IFERROR(INDEX('CARNET DE SOUDURE'!$B$7:$B$1506,MATCH(B1245,'CARNET DE SOUDURE'!$M$7:$M$1506,0)),"")))</f>
        <v/>
      </c>
      <c r="J1245" s="78" t="str">
        <f aca="false">IF(B1245="","",IFERROR(INDEX('CARNET DE SOUDURE'!$E$7:$E$1506,MATCH(B1245,'CARNET DE SOUDURE'!$M$7:$M$1506,0)),""))</f>
        <v/>
      </c>
      <c r="K1245" s="78" t="str">
        <f aca="false">IF(B1245="","",IFERROR(INDEX('CARNET DE SOUDURE'!$E$7:$E$1506,MATCH(B1245,'CARNET DE SOUDURE'!$K$7:$K$1506,0)),""))</f>
        <v/>
      </c>
      <c r="L1245" s="78" t="str">
        <f aca="false">IF(B1245="","",IFERROR(INDEX('CARNET DE SOUDURE'!$D$7:$D$1506,MATCH(B1245,'CARNET DE SOUDURE'!$K$7:$K$1506,0)),IFERROR(INDEX('CARNET DE SOUDURE'!$D$7:$D$1506,MATCH(B1245,'CARNET DE SOUDURE'!$M$7:$M$1506,0)),"")))</f>
        <v/>
      </c>
      <c r="M1245" s="81" t="str">
        <f aca="false">IF(B1245="","",IF(OR(J1245&lt;&gt;"",K1245&lt;&gt;""),"POSÉ EN LIGNE",IF(H1245&lt;&gt;"","BARDÉ","EN STOCK")))</f>
        <v/>
      </c>
      <c r="N1245" s="79"/>
    </row>
    <row r="1246" customFormat="false" ht="15" hidden="false" customHeight="false" outlineLevel="0" collapsed="false">
      <c r="A1246" s="78" t="str">
        <f aca="false">IF(B1246="","",ROW()-6)</f>
        <v/>
      </c>
      <c r="B1246" s="90"/>
      <c r="C1246" s="91"/>
      <c r="D1246" s="91"/>
      <c r="E1246" s="80"/>
      <c r="F1246" s="92"/>
      <c r="G1246" s="79"/>
      <c r="H1246" s="82"/>
      <c r="I1246" s="93" t="str">
        <f aca="false">IF(B1246="","",IFERROR(INDEX('CARNET DE SOUDURE'!$B$7:$B$1506,MATCH(B1246,'CARNET DE SOUDURE'!$K$7:$K$1506,0)),IFERROR(INDEX('CARNET DE SOUDURE'!$B$7:$B$1506,MATCH(B1246,'CARNET DE SOUDURE'!$M$7:$M$1506,0)),"")))</f>
        <v/>
      </c>
      <c r="J1246" s="78" t="str">
        <f aca="false">IF(B1246="","",IFERROR(INDEX('CARNET DE SOUDURE'!$E$7:$E$1506,MATCH(B1246,'CARNET DE SOUDURE'!$M$7:$M$1506,0)),""))</f>
        <v/>
      </c>
      <c r="K1246" s="78" t="str">
        <f aca="false">IF(B1246="","",IFERROR(INDEX('CARNET DE SOUDURE'!$E$7:$E$1506,MATCH(B1246,'CARNET DE SOUDURE'!$K$7:$K$1506,0)),""))</f>
        <v/>
      </c>
      <c r="L1246" s="78" t="str">
        <f aca="false">IF(B1246="","",IFERROR(INDEX('CARNET DE SOUDURE'!$D$7:$D$1506,MATCH(B1246,'CARNET DE SOUDURE'!$K$7:$K$1506,0)),IFERROR(INDEX('CARNET DE SOUDURE'!$D$7:$D$1506,MATCH(B1246,'CARNET DE SOUDURE'!$M$7:$M$1506,0)),"")))</f>
        <v/>
      </c>
      <c r="M1246" s="81" t="str">
        <f aca="false">IF(B1246="","",IF(OR(J1246&lt;&gt;"",K1246&lt;&gt;""),"POSÉ EN LIGNE",IF(H1246&lt;&gt;"","BARDÉ","EN STOCK")))</f>
        <v/>
      </c>
      <c r="N1246" s="79"/>
    </row>
    <row r="1247" customFormat="false" ht="15" hidden="false" customHeight="false" outlineLevel="0" collapsed="false">
      <c r="A1247" s="78" t="str">
        <f aca="false">IF(B1247="","",ROW()-6)</f>
        <v/>
      </c>
      <c r="B1247" s="90"/>
      <c r="C1247" s="91"/>
      <c r="D1247" s="91"/>
      <c r="E1247" s="80"/>
      <c r="F1247" s="92"/>
      <c r="G1247" s="79"/>
      <c r="H1247" s="82"/>
      <c r="I1247" s="93" t="str">
        <f aca="false">IF(B1247="","",IFERROR(INDEX('CARNET DE SOUDURE'!$B$7:$B$1506,MATCH(B1247,'CARNET DE SOUDURE'!$K$7:$K$1506,0)),IFERROR(INDEX('CARNET DE SOUDURE'!$B$7:$B$1506,MATCH(B1247,'CARNET DE SOUDURE'!$M$7:$M$1506,0)),"")))</f>
        <v/>
      </c>
      <c r="J1247" s="78" t="str">
        <f aca="false">IF(B1247="","",IFERROR(INDEX('CARNET DE SOUDURE'!$E$7:$E$1506,MATCH(B1247,'CARNET DE SOUDURE'!$M$7:$M$1506,0)),""))</f>
        <v/>
      </c>
      <c r="K1247" s="78" t="str">
        <f aca="false">IF(B1247="","",IFERROR(INDEX('CARNET DE SOUDURE'!$E$7:$E$1506,MATCH(B1247,'CARNET DE SOUDURE'!$K$7:$K$1506,0)),""))</f>
        <v/>
      </c>
      <c r="L1247" s="78" t="str">
        <f aca="false">IF(B1247="","",IFERROR(INDEX('CARNET DE SOUDURE'!$D$7:$D$1506,MATCH(B1247,'CARNET DE SOUDURE'!$K$7:$K$1506,0)),IFERROR(INDEX('CARNET DE SOUDURE'!$D$7:$D$1506,MATCH(B1247,'CARNET DE SOUDURE'!$M$7:$M$1506,0)),"")))</f>
        <v/>
      </c>
      <c r="M1247" s="81" t="str">
        <f aca="false">IF(B1247="","",IF(OR(J1247&lt;&gt;"",K1247&lt;&gt;""),"POSÉ EN LIGNE",IF(H1247&lt;&gt;"","BARDÉ","EN STOCK")))</f>
        <v/>
      </c>
      <c r="N1247" s="79"/>
    </row>
    <row r="1248" customFormat="false" ht="15" hidden="false" customHeight="false" outlineLevel="0" collapsed="false">
      <c r="A1248" s="78" t="str">
        <f aca="false">IF(B1248="","",ROW()-6)</f>
        <v/>
      </c>
      <c r="B1248" s="90"/>
      <c r="C1248" s="91"/>
      <c r="D1248" s="91"/>
      <c r="E1248" s="80"/>
      <c r="F1248" s="92"/>
      <c r="G1248" s="79"/>
      <c r="H1248" s="82"/>
      <c r="I1248" s="93" t="str">
        <f aca="false">IF(B1248="","",IFERROR(INDEX('CARNET DE SOUDURE'!$B$7:$B$1506,MATCH(B1248,'CARNET DE SOUDURE'!$K$7:$K$1506,0)),IFERROR(INDEX('CARNET DE SOUDURE'!$B$7:$B$1506,MATCH(B1248,'CARNET DE SOUDURE'!$M$7:$M$1506,0)),"")))</f>
        <v/>
      </c>
      <c r="J1248" s="78" t="str">
        <f aca="false">IF(B1248="","",IFERROR(INDEX('CARNET DE SOUDURE'!$E$7:$E$1506,MATCH(B1248,'CARNET DE SOUDURE'!$M$7:$M$1506,0)),""))</f>
        <v/>
      </c>
      <c r="K1248" s="78" t="str">
        <f aca="false">IF(B1248="","",IFERROR(INDEX('CARNET DE SOUDURE'!$E$7:$E$1506,MATCH(B1248,'CARNET DE SOUDURE'!$K$7:$K$1506,0)),""))</f>
        <v/>
      </c>
      <c r="L1248" s="78" t="str">
        <f aca="false">IF(B1248="","",IFERROR(INDEX('CARNET DE SOUDURE'!$D$7:$D$1506,MATCH(B1248,'CARNET DE SOUDURE'!$K$7:$K$1506,0)),IFERROR(INDEX('CARNET DE SOUDURE'!$D$7:$D$1506,MATCH(B1248,'CARNET DE SOUDURE'!$M$7:$M$1506,0)),"")))</f>
        <v/>
      </c>
      <c r="M1248" s="81" t="str">
        <f aca="false">IF(B1248="","",IF(OR(J1248&lt;&gt;"",K1248&lt;&gt;""),"POSÉ EN LIGNE",IF(H1248&lt;&gt;"","BARDÉ","EN STOCK")))</f>
        <v/>
      </c>
      <c r="N1248" s="79"/>
    </row>
    <row r="1249" customFormat="false" ht="15" hidden="false" customHeight="false" outlineLevel="0" collapsed="false">
      <c r="A1249" s="78" t="str">
        <f aca="false">IF(B1249="","",ROW()-6)</f>
        <v/>
      </c>
      <c r="B1249" s="90"/>
      <c r="C1249" s="91"/>
      <c r="D1249" s="91"/>
      <c r="E1249" s="80"/>
      <c r="F1249" s="92"/>
      <c r="G1249" s="79"/>
      <c r="H1249" s="82"/>
      <c r="I1249" s="93" t="str">
        <f aca="false">IF(B1249="","",IFERROR(INDEX('CARNET DE SOUDURE'!$B$7:$B$1506,MATCH(B1249,'CARNET DE SOUDURE'!$K$7:$K$1506,0)),IFERROR(INDEX('CARNET DE SOUDURE'!$B$7:$B$1506,MATCH(B1249,'CARNET DE SOUDURE'!$M$7:$M$1506,0)),"")))</f>
        <v/>
      </c>
      <c r="J1249" s="78" t="str">
        <f aca="false">IF(B1249="","",IFERROR(INDEX('CARNET DE SOUDURE'!$E$7:$E$1506,MATCH(B1249,'CARNET DE SOUDURE'!$M$7:$M$1506,0)),""))</f>
        <v/>
      </c>
      <c r="K1249" s="78" t="str">
        <f aca="false">IF(B1249="","",IFERROR(INDEX('CARNET DE SOUDURE'!$E$7:$E$1506,MATCH(B1249,'CARNET DE SOUDURE'!$K$7:$K$1506,0)),""))</f>
        <v/>
      </c>
      <c r="L1249" s="78" t="str">
        <f aca="false">IF(B1249="","",IFERROR(INDEX('CARNET DE SOUDURE'!$D$7:$D$1506,MATCH(B1249,'CARNET DE SOUDURE'!$K$7:$K$1506,0)),IFERROR(INDEX('CARNET DE SOUDURE'!$D$7:$D$1506,MATCH(B1249,'CARNET DE SOUDURE'!$M$7:$M$1506,0)),"")))</f>
        <v/>
      </c>
      <c r="M1249" s="81" t="str">
        <f aca="false">IF(B1249="","",IF(OR(J1249&lt;&gt;"",K1249&lt;&gt;""),"POSÉ EN LIGNE",IF(H1249&lt;&gt;"","BARDÉ","EN STOCK")))</f>
        <v/>
      </c>
      <c r="N1249" s="79"/>
    </row>
    <row r="1250" customFormat="false" ht="15" hidden="false" customHeight="false" outlineLevel="0" collapsed="false">
      <c r="A1250" s="78" t="str">
        <f aca="false">IF(B1250="","",ROW()-6)</f>
        <v/>
      </c>
      <c r="B1250" s="90"/>
      <c r="C1250" s="91"/>
      <c r="D1250" s="91"/>
      <c r="E1250" s="80"/>
      <c r="F1250" s="92"/>
      <c r="G1250" s="79"/>
      <c r="H1250" s="82"/>
      <c r="I1250" s="93" t="str">
        <f aca="false">IF(B1250="","",IFERROR(INDEX('CARNET DE SOUDURE'!$B$7:$B$1506,MATCH(B1250,'CARNET DE SOUDURE'!$K$7:$K$1506,0)),IFERROR(INDEX('CARNET DE SOUDURE'!$B$7:$B$1506,MATCH(B1250,'CARNET DE SOUDURE'!$M$7:$M$1506,0)),"")))</f>
        <v/>
      </c>
      <c r="J1250" s="78" t="str">
        <f aca="false">IF(B1250="","",IFERROR(INDEX('CARNET DE SOUDURE'!$E$7:$E$1506,MATCH(B1250,'CARNET DE SOUDURE'!$M$7:$M$1506,0)),""))</f>
        <v/>
      </c>
      <c r="K1250" s="78" t="str">
        <f aca="false">IF(B1250="","",IFERROR(INDEX('CARNET DE SOUDURE'!$E$7:$E$1506,MATCH(B1250,'CARNET DE SOUDURE'!$K$7:$K$1506,0)),""))</f>
        <v/>
      </c>
      <c r="L1250" s="78" t="str">
        <f aca="false">IF(B1250="","",IFERROR(INDEX('CARNET DE SOUDURE'!$D$7:$D$1506,MATCH(B1250,'CARNET DE SOUDURE'!$K$7:$K$1506,0)),IFERROR(INDEX('CARNET DE SOUDURE'!$D$7:$D$1506,MATCH(B1250,'CARNET DE SOUDURE'!$M$7:$M$1506,0)),"")))</f>
        <v/>
      </c>
      <c r="M1250" s="81" t="str">
        <f aca="false">IF(B1250="","",IF(OR(J1250&lt;&gt;"",K1250&lt;&gt;""),"POSÉ EN LIGNE",IF(H1250&lt;&gt;"","BARDÉ","EN STOCK")))</f>
        <v/>
      </c>
      <c r="N1250" s="79"/>
    </row>
    <row r="1251" customFormat="false" ht="15" hidden="false" customHeight="false" outlineLevel="0" collapsed="false">
      <c r="A1251" s="78" t="str">
        <f aca="false">IF(B1251="","",ROW()-6)</f>
        <v/>
      </c>
      <c r="B1251" s="90"/>
      <c r="C1251" s="91"/>
      <c r="D1251" s="91"/>
      <c r="E1251" s="80"/>
      <c r="F1251" s="92"/>
      <c r="G1251" s="79"/>
      <c r="H1251" s="82"/>
      <c r="I1251" s="93" t="str">
        <f aca="false">IF(B1251="","",IFERROR(INDEX('CARNET DE SOUDURE'!$B$7:$B$1506,MATCH(B1251,'CARNET DE SOUDURE'!$K$7:$K$1506,0)),IFERROR(INDEX('CARNET DE SOUDURE'!$B$7:$B$1506,MATCH(B1251,'CARNET DE SOUDURE'!$M$7:$M$1506,0)),"")))</f>
        <v/>
      </c>
      <c r="J1251" s="78" t="str">
        <f aca="false">IF(B1251="","",IFERROR(INDEX('CARNET DE SOUDURE'!$E$7:$E$1506,MATCH(B1251,'CARNET DE SOUDURE'!$M$7:$M$1506,0)),""))</f>
        <v/>
      </c>
      <c r="K1251" s="78" t="str">
        <f aca="false">IF(B1251="","",IFERROR(INDEX('CARNET DE SOUDURE'!$E$7:$E$1506,MATCH(B1251,'CARNET DE SOUDURE'!$K$7:$K$1506,0)),""))</f>
        <v/>
      </c>
      <c r="L1251" s="78" t="str">
        <f aca="false">IF(B1251="","",IFERROR(INDEX('CARNET DE SOUDURE'!$D$7:$D$1506,MATCH(B1251,'CARNET DE SOUDURE'!$K$7:$K$1506,0)),IFERROR(INDEX('CARNET DE SOUDURE'!$D$7:$D$1506,MATCH(B1251,'CARNET DE SOUDURE'!$M$7:$M$1506,0)),"")))</f>
        <v/>
      </c>
      <c r="M1251" s="81" t="str">
        <f aca="false">IF(B1251="","",IF(OR(J1251&lt;&gt;"",K1251&lt;&gt;""),"POSÉ EN LIGNE",IF(H1251&lt;&gt;"","BARDÉ","EN STOCK")))</f>
        <v/>
      </c>
      <c r="N1251" s="79"/>
    </row>
    <row r="1252" customFormat="false" ht="15" hidden="false" customHeight="false" outlineLevel="0" collapsed="false">
      <c r="A1252" s="78" t="str">
        <f aca="false">IF(B1252="","",ROW()-6)</f>
        <v/>
      </c>
      <c r="B1252" s="90"/>
      <c r="C1252" s="91"/>
      <c r="D1252" s="91"/>
      <c r="E1252" s="80"/>
      <c r="F1252" s="92"/>
      <c r="G1252" s="79"/>
      <c r="H1252" s="82"/>
      <c r="I1252" s="93" t="str">
        <f aca="false">IF(B1252="","",IFERROR(INDEX('CARNET DE SOUDURE'!$B$7:$B$1506,MATCH(B1252,'CARNET DE SOUDURE'!$K$7:$K$1506,0)),IFERROR(INDEX('CARNET DE SOUDURE'!$B$7:$B$1506,MATCH(B1252,'CARNET DE SOUDURE'!$M$7:$M$1506,0)),"")))</f>
        <v/>
      </c>
      <c r="J1252" s="78" t="str">
        <f aca="false">IF(B1252="","",IFERROR(INDEX('CARNET DE SOUDURE'!$E$7:$E$1506,MATCH(B1252,'CARNET DE SOUDURE'!$M$7:$M$1506,0)),""))</f>
        <v/>
      </c>
      <c r="K1252" s="78" t="str">
        <f aca="false">IF(B1252="","",IFERROR(INDEX('CARNET DE SOUDURE'!$E$7:$E$1506,MATCH(B1252,'CARNET DE SOUDURE'!$K$7:$K$1506,0)),""))</f>
        <v/>
      </c>
      <c r="L1252" s="78" t="str">
        <f aca="false">IF(B1252="","",IFERROR(INDEX('CARNET DE SOUDURE'!$D$7:$D$1506,MATCH(B1252,'CARNET DE SOUDURE'!$K$7:$K$1506,0)),IFERROR(INDEX('CARNET DE SOUDURE'!$D$7:$D$1506,MATCH(B1252,'CARNET DE SOUDURE'!$M$7:$M$1506,0)),"")))</f>
        <v/>
      </c>
      <c r="M1252" s="81" t="str">
        <f aca="false">IF(B1252="","",IF(OR(J1252&lt;&gt;"",K1252&lt;&gt;""),"POSÉ EN LIGNE",IF(H1252&lt;&gt;"","BARDÉ","EN STOCK")))</f>
        <v/>
      </c>
      <c r="N1252" s="79"/>
    </row>
    <row r="1253" customFormat="false" ht="15" hidden="false" customHeight="false" outlineLevel="0" collapsed="false">
      <c r="A1253" s="78" t="str">
        <f aca="false">IF(B1253="","",ROW()-6)</f>
        <v/>
      </c>
      <c r="B1253" s="90"/>
      <c r="C1253" s="91"/>
      <c r="D1253" s="91"/>
      <c r="E1253" s="80"/>
      <c r="F1253" s="92"/>
      <c r="G1253" s="79"/>
      <c r="H1253" s="82"/>
      <c r="I1253" s="93" t="str">
        <f aca="false">IF(B1253="","",IFERROR(INDEX('CARNET DE SOUDURE'!$B$7:$B$1506,MATCH(B1253,'CARNET DE SOUDURE'!$K$7:$K$1506,0)),IFERROR(INDEX('CARNET DE SOUDURE'!$B$7:$B$1506,MATCH(B1253,'CARNET DE SOUDURE'!$M$7:$M$1506,0)),"")))</f>
        <v/>
      </c>
      <c r="J1253" s="78" t="str">
        <f aca="false">IF(B1253="","",IFERROR(INDEX('CARNET DE SOUDURE'!$E$7:$E$1506,MATCH(B1253,'CARNET DE SOUDURE'!$M$7:$M$1506,0)),""))</f>
        <v/>
      </c>
      <c r="K1253" s="78" t="str">
        <f aca="false">IF(B1253="","",IFERROR(INDEX('CARNET DE SOUDURE'!$E$7:$E$1506,MATCH(B1253,'CARNET DE SOUDURE'!$K$7:$K$1506,0)),""))</f>
        <v/>
      </c>
      <c r="L1253" s="78" t="str">
        <f aca="false">IF(B1253="","",IFERROR(INDEX('CARNET DE SOUDURE'!$D$7:$D$1506,MATCH(B1253,'CARNET DE SOUDURE'!$K$7:$K$1506,0)),IFERROR(INDEX('CARNET DE SOUDURE'!$D$7:$D$1506,MATCH(B1253,'CARNET DE SOUDURE'!$M$7:$M$1506,0)),"")))</f>
        <v/>
      </c>
      <c r="M1253" s="81" t="str">
        <f aca="false">IF(B1253="","",IF(OR(J1253&lt;&gt;"",K1253&lt;&gt;""),"POSÉ EN LIGNE",IF(H1253&lt;&gt;"","BARDÉ","EN STOCK")))</f>
        <v/>
      </c>
      <c r="N1253" s="79"/>
    </row>
    <row r="1254" customFormat="false" ht="15" hidden="false" customHeight="false" outlineLevel="0" collapsed="false">
      <c r="A1254" s="78" t="str">
        <f aca="false">IF(B1254="","",ROW()-6)</f>
        <v/>
      </c>
      <c r="B1254" s="90"/>
      <c r="C1254" s="91"/>
      <c r="D1254" s="91"/>
      <c r="E1254" s="80"/>
      <c r="F1254" s="92"/>
      <c r="G1254" s="79"/>
      <c r="H1254" s="82"/>
      <c r="I1254" s="93" t="str">
        <f aca="false">IF(B1254="","",IFERROR(INDEX('CARNET DE SOUDURE'!$B$7:$B$1506,MATCH(B1254,'CARNET DE SOUDURE'!$K$7:$K$1506,0)),IFERROR(INDEX('CARNET DE SOUDURE'!$B$7:$B$1506,MATCH(B1254,'CARNET DE SOUDURE'!$M$7:$M$1506,0)),"")))</f>
        <v/>
      </c>
      <c r="J1254" s="78" t="str">
        <f aca="false">IF(B1254="","",IFERROR(INDEX('CARNET DE SOUDURE'!$E$7:$E$1506,MATCH(B1254,'CARNET DE SOUDURE'!$M$7:$M$1506,0)),""))</f>
        <v/>
      </c>
      <c r="K1254" s="78" t="str">
        <f aca="false">IF(B1254="","",IFERROR(INDEX('CARNET DE SOUDURE'!$E$7:$E$1506,MATCH(B1254,'CARNET DE SOUDURE'!$K$7:$K$1506,0)),""))</f>
        <v/>
      </c>
      <c r="L1254" s="78" t="str">
        <f aca="false">IF(B1254="","",IFERROR(INDEX('CARNET DE SOUDURE'!$D$7:$D$1506,MATCH(B1254,'CARNET DE SOUDURE'!$K$7:$K$1506,0)),IFERROR(INDEX('CARNET DE SOUDURE'!$D$7:$D$1506,MATCH(B1254,'CARNET DE SOUDURE'!$M$7:$M$1506,0)),"")))</f>
        <v/>
      </c>
      <c r="M1254" s="81" t="str">
        <f aca="false">IF(B1254="","",IF(OR(J1254&lt;&gt;"",K1254&lt;&gt;""),"POSÉ EN LIGNE",IF(H1254&lt;&gt;"","BARDÉ","EN STOCK")))</f>
        <v/>
      </c>
      <c r="N1254" s="79"/>
    </row>
    <row r="1255" customFormat="false" ht="15" hidden="false" customHeight="false" outlineLevel="0" collapsed="false">
      <c r="A1255" s="78" t="str">
        <f aca="false">IF(B1255="","",ROW()-6)</f>
        <v/>
      </c>
      <c r="B1255" s="90"/>
      <c r="C1255" s="91"/>
      <c r="D1255" s="91"/>
      <c r="E1255" s="80"/>
      <c r="F1255" s="92"/>
      <c r="G1255" s="79"/>
      <c r="H1255" s="82"/>
      <c r="I1255" s="93" t="str">
        <f aca="false">IF(B1255="","",IFERROR(INDEX('CARNET DE SOUDURE'!$B$7:$B$1506,MATCH(B1255,'CARNET DE SOUDURE'!$K$7:$K$1506,0)),IFERROR(INDEX('CARNET DE SOUDURE'!$B$7:$B$1506,MATCH(B1255,'CARNET DE SOUDURE'!$M$7:$M$1506,0)),"")))</f>
        <v/>
      </c>
      <c r="J1255" s="78" t="str">
        <f aca="false">IF(B1255="","",IFERROR(INDEX('CARNET DE SOUDURE'!$E$7:$E$1506,MATCH(B1255,'CARNET DE SOUDURE'!$M$7:$M$1506,0)),""))</f>
        <v/>
      </c>
      <c r="K1255" s="78" t="str">
        <f aca="false">IF(B1255="","",IFERROR(INDEX('CARNET DE SOUDURE'!$E$7:$E$1506,MATCH(B1255,'CARNET DE SOUDURE'!$K$7:$K$1506,0)),""))</f>
        <v/>
      </c>
      <c r="L1255" s="78" t="str">
        <f aca="false">IF(B1255="","",IFERROR(INDEX('CARNET DE SOUDURE'!$D$7:$D$1506,MATCH(B1255,'CARNET DE SOUDURE'!$K$7:$K$1506,0)),IFERROR(INDEX('CARNET DE SOUDURE'!$D$7:$D$1506,MATCH(B1255,'CARNET DE SOUDURE'!$M$7:$M$1506,0)),"")))</f>
        <v/>
      </c>
      <c r="M1255" s="81" t="str">
        <f aca="false">IF(B1255="","",IF(OR(J1255&lt;&gt;"",K1255&lt;&gt;""),"POSÉ EN LIGNE",IF(H1255&lt;&gt;"","BARDÉ","EN STOCK")))</f>
        <v/>
      </c>
      <c r="N1255" s="79"/>
    </row>
    <row r="1256" customFormat="false" ht="15" hidden="false" customHeight="false" outlineLevel="0" collapsed="false">
      <c r="A1256" s="78" t="str">
        <f aca="false">IF(B1256="","",ROW()-6)</f>
        <v/>
      </c>
      <c r="B1256" s="90"/>
      <c r="C1256" s="91"/>
      <c r="D1256" s="91"/>
      <c r="E1256" s="80"/>
      <c r="F1256" s="92"/>
      <c r="G1256" s="79"/>
      <c r="H1256" s="82"/>
      <c r="I1256" s="93" t="str">
        <f aca="false">IF(B1256="","",IFERROR(INDEX('CARNET DE SOUDURE'!$B$7:$B$1506,MATCH(B1256,'CARNET DE SOUDURE'!$K$7:$K$1506,0)),IFERROR(INDEX('CARNET DE SOUDURE'!$B$7:$B$1506,MATCH(B1256,'CARNET DE SOUDURE'!$M$7:$M$1506,0)),"")))</f>
        <v/>
      </c>
      <c r="J1256" s="78" t="str">
        <f aca="false">IF(B1256="","",IFERROR(INDEX('CARNET DE SOUDURE'!$E$7:$E$1506,MATCH(B1256,'CARNET DE SOUDURE'!$M$7:$M$1506,0)),""))</f>
        <v/>
      </c>
      <c r="K1256" s="78" t="str">
        <f aca="false">IF(B1256="","",IFERROR(INDEX('CARNET DE SOUDURE'!$E$7:$E$1506,MATCH(B1256,'CARNET DE SOUDURE'!$K$7:$K$1506,0)),""))</f>
        <v/>
      </c>
      <c r="L1256" s="78" t="str">
        <f aca="false">IF(B1256="","",IFERROR(INDEX('CARNET DE SOUDURE'!$D$7:$D$1506,MATCH(B1256,'CARNET DE SOUDURE'!$K$7:$K$1506,0)),IFERROR(INDEX('CARNET DE SOUDURE'!$D$7:$D$1506,MATCH(B1256,'CARNET DE SOUDURE'!$M$7:$M$1506,0)),"")))</f>
        <v/>
      </c>
      <c r="M1256" s="81" t="str">
        <f aca="false">IF(B1256="","",IF(OR(J1256&lt;&gt;"",K1256&lt;&gt;""),"POSÉ EN LIGNE",IF(H1256&lt;&gt;"","BARDÉ","EN STOCK")))</f>
        <v/>
      </c>
      <c r="N1256" s="79"/>
    </row>
    <row r="1257" customFormat="false" ht="15" hidden="false" customHeight="false" outlineLevel="0" collapsed="false">
      <c r="A1257" s="78" t="str">
        <f aca="false">IF(B1257="","",ROW()-6)</f>
        <v/>
      </c>
      <c r="B1257" s="90"/>
      <c r="C1257" s="91"/>
      <c r="D1257" s="91"/>
      <c r="E1257" s="80"/>
      <c r="F1257" s="92"/>
      <c r="G1257" s="79"/>
      <c r="H1257" s="82"/>
      <c r="I1257" s="93" t="str">
        <f aca="false">IF(B1257="","",IFERROR(INDEX('CARNET DE SOUDURE'!$B$7:$B$1506,MATCH(B1257,'CARNET DE SOUDURE'!$K$7:$K$1506,0)),IFERROR(INDEX('CARNET DE SOUDURE'!$B$7:$B$1506,MATCH(B1257,'CARNET DE SOUDURE'!$M$7:$M$1506,0)),"")))</f>
        <v/>
      </c>
      <c r="J1257" s="78" t="str">
        <f aca="false">IF(B1257="","",IFERROR(INDEX('CARNET DE SOUDURE'!$E$7:$E$1506,MATCH(B1257,'CARNET DE SOUDURE'!$M$7:$M$1506,0)),""))</f>
        <v/>
      </c>
      <c r="K1257" s="78" t="str">
        <f aca="false">IF(B1257="","",IFERROR(INDEX('CARNET DE SOUDURE'!$E$7:$E$1506,MATCH(B1257,'CARNET DE SOUDURE'!$K$7:$K$1506,0)),""))</f>
        <v/>
      </c>
      <c r="L1257" s="78" t="str">
        <f aca="false">IF(B1257="","",IFERROR(INDEX('CARNET DE SOUDURE'!$D$7:$D$1506,MATCH(B1257,'CARNET DE SOUDURE'!$K$7:$K$1506,0)),IFERROR(INDEX('CARNET DE SOUDURE'!$D$7:$D$1506,MATCH(B1257,'CARNET DE SOUDURE'!$M$7:$M$1506,0)),"")))</f>
        <v/>
      </c>
      <c r="M1257" s="81" t="str">
        <f aca="false">IF(B1257="","",IF(OR(J1257&lt;&gt;"",K1257&lt;&gt;""),"POSÉ EN LIGNE",IF(H1257&lt;&gt;"","BARDÉ","EN STOCK")))</f>
        <v/>
      </c>
      <c r="N1257" s="79"/>
    </row>
    <row r="1258" customFormat="false" ht="15" hidden="false" customHeight="false" outlineLevel="0" collapsed="false">
      <c r="A1258" s="78" t="str">
        <f aca="false">IF(B1258="","",ROW()-6)</f>
        <v/>
      </c>
      <c r="B1258" s="90"/>
      <c r="C1258" s="91"/>
      <c r="D1258" s="91"/>
      <c r="E1258" s="80"/>
      <c r="F1258" s="92"/>
      <c r="G1258" s="79"/>
      <c r="H1258" s="82"/>
      <c r="I1258" s="93" t="str">
        <f aca="false">IF(B1258="","",IFERROR(INDEX('CARNET DE SOUDURE'!$B$7:$B$1506,MATCH(B1258,'CARNET DE SOUDURE'!$K$7:$K$1506,0)),IFERROR(INDEX('CARNET DE SOUDURE'!$B$7:$B$1506,MATCH(B1258,'CARNET DE SOUDURE'!$M$7:$M$1506,0)),"")))</f>
        <v/>
      </c>
      <c r="J1258" s="78" t="str">
        <f aca="false">IF(B1258="","",IFERROR(INDEX('CARNET DE SOUDURE'!$E$7:$E$1506,MATCH(B1258,'CARNET DE SOUDURE'!$M$7:$M$1506,0)),""))</f>
        <v/>
      </c>
      <c r="K1258" s="78" t="str">
        <f aca="false">IF(B1258="","",IFERROR(INDEX('CARNET DE SOUDURE'!$E$7:$E$1506,MATCH(B1258,'CARNET DE SOUDURE'!$K$7:$K$1506,0)),""))</f>
        <v/>
      </c>
      <c r="L1258" s="78" t="str">
        <f aca="false">IF(B1258="","",IFERROR(INDEX('CARNET DE SOUDURE'!$D$7:$D$1506,MATCH(B1258,'CARNET DE SOUDURE'!$K$7:$K$1506,0)),IFERROR(INDEX('CARNET DE SOUDURE'!$D$7:$D$1506,MATCH(B1258,'CARNET DE SOUDURE'!$M$7:$M$1506,0)),"")))</f>
        <v/>
      </c>
      <c r="M1258" s="81" t="str">
        <f aca="false">IF(B1258="","",IF(OR(J1258&lt;&gt;"",K1258&lt;&gt;""),"POSÉ EN LIGNE",IF(H1258&lt;&gt;"","BARDÉ","EN STOCK")))</f>
        <v/>
      </c>
      <c r="N1258" s="79"/>
    </row>
    <row r="1259" customFormat="false" ht="15" hidden="false" customHeight="false" outlineLevel="0" collapsed="false">
      <c r="A1259" s="78" t="str">
        <f aca="false">IF(B1259="","",ROW()-6)</f>
        <v/>
      </c>
      <c r="B1259" s="90"/>
      <c r="C1259" s="91"/>
      <c r="D1259" s="91"/>
      <c r="E1259" s="80"/>
      <c r="F1259" s="92"/>
      <c r="G1259" s="79"/>
      <c r="H1259" s="82"/>
      <c r="I1259" s="93" t="str">
        <f aca="false">IF(B1259="","",IFERROR(INDEX('CARNET DE SOUDURE'!$B$7:$B$1506,MATCH(B1259,'CARNET DE SOUDURE'!$K$7:$K$1506,0)),IFERROR(INDEX('CARNET DE SOUDURE'!$B$7:$B$1506,MATCH(B1259,'CARNET DE SOUDURE'!$M$7:$M$1506,0)),"")))</f>
        <v/>
      </c>
      <c r="J1259" s="78" t="str">
        <f aca="false">IF(B1259="","",IFERROR(INDEX('CARNET DE SOUDURE'!$E$7:$E$1506,MATCH(B1259,'CARNET DE SOUDURE'!$M$7:$M$1506,0)),""))</f>
        <v/>
      </c>
      <c r="K1259" s="78" t="str">
        <f aca="false">IF(B1259="","",IFERROR(INDEX('CARNET DE SOUDURE'!$E$7:$E$1506,MATCH(B1259,'CARNET DE SOUDURE'!$K$7:$K$1506,0)),""))</f>
        <v/>
      </c>
      <c r="L1259" s="78" t="str">
        <f aca="false">IF(B1259="","",IFERROR(INDEX('CARNET DE SOUDURE'!$D$7:$D$1506,MATCH(B1259,'CARNET DE SOUDURE'!$K$7:$K$1506,0)),IFERROR(INDEX('CARNET DE SOUDURE'!$D$7:$D$1506,MATCH(B1259,'CARNET DE SOUDURE'!$M$7:$M$1506,0)),"")))</f>
        <v/>
      </c>
      <c r="M1259" s="81" t="str">
        <f aca="false">IF(B1259="","",IF(OR(J1259&lt;&gt;"",K1259&lt;&gt;""),"POSÉ EN LIGNE",IF(H1259&lt;&gt;"","BARDÉ","EN STOCK")))</f>
        <v/>
      </c>
      <c r="N1259" s="79"/>
    </row>
    <row r="1260" customFormat="false" ht="15" hidden="false" customHeight="false" outlineLevel="0" collapsed="false">
      <c r="A1260" s="78" t="str">
        <f aca="false">IF(B1260="","",ROW()-6)</f>
        <v/>
      </c>
      <c r="B1260" s="90"/>
      <c r="C1260" s="91"/>
      <c r="D1260" s="91"/>
      <c r="E1260" s="80"/>
      <c r="F1260" s="92"/>
      <c r="G1260" s="79"/>
      <c r="H1260" s="82"/>
      <c r="I1260" s="93" t="str">
        <f aca="false">IF(B1260="","",IFERROR(INDEX('CARNET DE SOUDURE'!$B$7:$B$1506,MATCH(B1260,'CARNET DE SOUDURE'!$K$7:$K$1506,0)),IFERROR(INDEX('CARNET DE SOUDURE'!$B$7:$B$1506,MATCH(B1260,'CARNET DE SOUDURE'!$M$7:$M$1506,0)),"")))</f>
        <v/>
      </c>
      <c r="J1260" s="78" t="str">
        <f aca="false">IF(B1260="","",IFERROR(INDEX('CARNET DE SOUDURE'!$E$7:$E$1506,MATCH(B1260,'CARNET DE SOUDURE'!$M$7:$M$1506,0)),""))</f>
        <v/>
      </c>
      <c r="K1260" s="78" t="str">
        <f aca="false">IF(B1260="","",IFERROR(INDEX('CARNET DE SOUDURE'!$E$7:$E$1506,MATCH(B1260,'CARNET DE SOUDURE'!$K$7:$K$1506,0)),""))</f>
        <v/>
      </c>
      <c r="L1260" s="78" t="str">
        <f aca="false">IF(B1260="","",IFERROR(INDEX('CARNET DE SOUDURE'!$D$7:$D$1506,MATCH(B1260,'CARNET DE SOUDURE'!$K$7:$K$1506,0)),IFERROR(INDEX('CARNET DE SOUDURE'!$D$7:$D$1506,MATCH(B1260,'CARNET DE SOUDURE'!$M$7:$M$1506,0)),"")))</f>
        <v/>
      </c>
      <c r="M1260" s="81" t="str">
        <f aca="false">IF(B1260="","",IF(OR(J1260&lt;&gt;"",K1260&lt;&gt;""),"POSÉ EN LIGNE",IF(H1260&lt;&gt;"","BARDÉ","EN STOCK")))</f>
        <v/>
      </c>
      <c r="N1260" s="79"/>
    </row>
    <row r="1261" customFormat="false" ht="15" hidden="false" customHeight="false" outlineLevel="0" collapsed="false">
      <c r="A1261" s="78" t="str">
        <f aca="false">IF(B1261="","",ROW()-6)</f>
        <v/>
      </c>
      <c r="B1261" s="90"/>
      <c r="C1261" s="91"/>
      <c r="D1261" s="91"/>
      <c r="E1261" s="80"/>
      <c r="F1261" s="92"/>
      <c r="G1261" s="79"/>
      <c r="H1261" s="82"/>
      <c r="I1261" s="93" t="str">
        <f aca="false">IF(B1261="","",IFERROR(INDEX('CARNET DE SOUDURE'!$B$7:$B$1506,MATCH(B1261,'CARNET DE SOUDURE'!$K$7:$K$1506,0)),IFERROR(INDEX('CARNET DE SOUDURE'!$B$7:$B$1506,MATCH(B1261,'CARNET DE SOUDURE'!$M$7:$M$1506,0)),"")))</f>
        <v/>
      </c>
      <c r="J1261" s="78" t="str">
        <f aca="false">IF(B1261="","",IFERROR(INDEX('CARNET DE SOUDURE'!$E$7:$E$1506,MATCH(B1261,'CARNET DE SOUDURE'!$M$7:$M$1506,0)),""))</f>
        <v/>
      </c>
      <c r="K1261" s="78" t="str">
        <f aca="false">IF(B1261="","",IFERROR(INDEX('CARNET DE SOUDURE'!$E$7:$E$1506,MATCH(B1261,'CARNET DE SOUDURE'!$K$7:$K$1506,0)),""))</f>
        <v/>
      </c>
      <c r="L1261" s="78" t="str">
        <f aca="false">IF(B1261="","",IFERROR(INDEX('CARNET DE SOUDURE'!$D$7:$D$1506,MATCH(B1261,'CARNET DE SOUDURE'!$K$7:$K$1506,0)),IFERROR(INDEX('CARNET DE SOUDURE'!$D$7:$D$1506,MATCH(B1261,'CARNET DE SOUDURE'!$M$7:$M$1506,0)),"")))</f>
        <v/>
      </c>
      <c r="M1261" s="81" t="str">
        <f aca="false">IF(B1261="","",IF(OR(J1261&lt;&gt;"",K1261&lt;&gt;""),"POSÉ EN LIGNE",IF(H1261&lt;&gt;"","BARDÉ","EN STOCK")))</f>
        <v/>
      </c>
      <c r="N1261" s="79"/>
    </row>
    <row r="1262" customFormat="false" ht="15" hidden="false" customHeight="false" outlineLevel="0" collapsed="false">
      <c r="A1262" s="78" t="str">
        <f aca="false">IF(B1262="","",ROW()-6)</f>
        <v/>
      </c>
      <c r="B1262" s="90"/>
      <c r="C1262" s="91"/>
      <c r="D1262" s="91"/>
      <c r="E1262" s="80"/>
      <c r="F1262" s="92"/>
      <c r="G1262" s="79"/>
      <c r="H1262" s="82"/>
      <c r="I1262" s="93" t="str">
        <f aca="false">IF(B1262="","",IFERROR(INDEX('CARNET DE SOUDURE'!$B$7:$B$1506,MATCH(B1262,'CARNET DE SOUDURE'!$K$7:$K$1506,0)),IFERROR(INDEX('CARNET DE SOUDURE'!$B$7:$B$1506,MATCH(B1262,'CARNET DE SOUDURE'!$M$7:$M$1506,0)),"")))</f>
        <v/>
      </c>
      <c r="J1262" s="78" t="str">
        <f aca="false">IF(B1262="","",IFERROR(INDEX('CARNET DE SOUDURE'!$E$7:$E$1506,MATCH(B1262,'CARNET DE SOUDURE'!$M$7:$M$1506,0)),""))</f>
        <v/>
      </c>
      <c r="K1262" s="78" t="str">
        <f aca="false">IF(B1262="","",IFERROR(INDEX('CARNET DE SOUDURE'!$E$7:$E$1506,MATCH(B1262,'CARNET DE SOUDURE'!$K$7:$K$1506,0)),""))</f>
        <v/>
      </c>
      <c r="L1262" s="78" t="str">
        <f aca="false">IF(B1262="","",IFERROR(INDEX('CARNET DE SOUDURE'!$D$7:$D$1506,MATCH(B1262,'CARNET DE SOUDURE'!$K$7:$K$1506,0)),IFERROR(INDEX('CARNET DE SOUDURE'!$D$7:$D$1506,MATCH(B1262,'CARNET DE SOUDURE'!$M$7:$M$1506,0)),"")))</f>
        <v/>
      </c>
      <c r="M1262" s="81" t="str">
        <f aca="false">IF(B1262="","",IF(OR(J1262&lt;&gt;"",K1262&lt;&gt;""),"POSÉ EN LIGNE",IF(H1262&lt;&gt;"","BARDÉ","EN STOCK")))</f>
        <v/>
      </c>
      <c r="N1262" s="79"/>
    </row>
    <row r="1263" customFormat="false" ht="15" hidden="false" customHeight="false" outlineLevel="0" collapsed="false">
      <c r="A1263" s="78" t="str">
        <f aca="false">IF(B1263="","",ROW()-6)</f>
        <v/>
      </c>
      <c r="B1263" s="90"/>
      <c r="C1263" s="91"/>
      <c r="D1263" s="91"/>
      <c r="E1263" s="80"/>
      <c r="F1263" s="92"/>
      <c r="G1263" s="79"/>
      <c r="H1263" s="82"/>
      <c r="I1263" s="93" t="str">
        <f aca="false">IF(B1263="","",IFERROR(INDEX('CARNET DE SOUDURE'!$B$7:$B$1506,MATCH(B1263,'CARNET DE SOUDURE'!$K$7:$K$1506,0)),IFERROR(INDEX('CARNET DE SOUDURE'!$B$7:$B$1506,MATCH(B1263,'CARNET DE SOUDURE'!$M$7:$M$1506,0)),"")))</f>
        <v/>
      </c>
      <c r="J1263" s="78" t="str">
        <f aca="false">IF(B1263="","",IFERROR(INDEX('CARNET DE SOUDURE'!$E$7:$E$1506,MATCH(B1263,'CARNET DE SOUDURE'!$M$7:$M$1506,0)),""))</f>
        <v/>
      </c>
      <c r="K1263" s="78" t="str">
        <f aca="false">IF(B1263="","",IFERROR(INDEX('CARNET DE SOUDURE'!$E$7:$E$1506,MATCH(B1263,'CARNET DE SOUDURE'!$K$7:$K$1506,0)),""))</f>
        <v/>
      </c>
      <c r="L1263" s="78" t="str">
        <f aca="false">IF(B1263="","",IFERROR(INDEX('CARNET DE SOUDURE'!$D$7:$D$1506,MATCH(B1263,'CARNET DE SOUDURE'!$K$7:$K$1506,0)),IFERROR(INDEX('CARNET DE SOUDURE'!$D$7:$D$1506,MATCH(B1263,'CARNET DE SOUDURE'!$M$7:$M$1506,0)),"")))</f>
        <v/>
      </c>
      <c r="M1263" s="81" t="str">
        <f aca="false">IF(B1263="","",IF(OR(J1263&lt;&gt;"",K1263&lt;&gt;""),"POSÉ EN LIGNE",IF(H1263&lt;&gt;"","BARDÉ","EN STOCK")))</f>
        <v/>
      </c>
      <c r="N1263" s="79"/>
    </row>
    <row r="1264" customFormat="false" ht="15" hidden="false" customHeight="false" outlineLevel="0" collapsed="false">
      <c r="A1264" s="78" t="str">
        <f aca="false">IF(B1264="","",ROW()-6)</f>
        <v/>
      </c>
      <c r="B1264" s="90"/>
      <c r="C1264" s="91"/>
      <c r="D1264" s="91"/>
      <c r="E1264" s="80"/>
      <c r="F1264" s="92"/>
      <c r="G1264" s="79"/>
      <c r="H1264" s="82"/>
      <c r="I1264" s="93" t="str">
        <f aca="false">IF(B1264="","",IFERROR(INDEX('CARNET DE SOUDURE'!$B$7:$B$1506,MATCH(B1264,'CARNET DE SOUDURE'!$K$7:$K$1506,0)),IFERROR(INDEX('CARNET DE SOUDURE'!$B$7:$B$1506,MATCH(B1264,'CARNET DE SOUDURE'!$M$7:$M$1506,0)),"")))</f>
        <v/>
      </c>
      <c r="J1264" s="78" t="str">
        <f aca="false">IF(B1264="","",IFERROR(INDEX('CARNET DE SOUDURE'!$E$7:$E$1506,MATCH(B1264,'CARNET DE SOUDURE'!$M$7:$M$1506,0)),""))</f>
        <v/>
      </c>
      <c r="K1264" s="78" t="str">
        <f aca="false">IF(B1264="","",IFERROR(INDEX('CARNET DE SOUDURE'!$E$7:$E$1506,MATCH(B1264,'CARNET DE SOUDURE'!$K$7:$K$1506,0)),""))</f>
        <v/>
      </c>
      <c r="L1264" s="78" t="str">
        <f aca="false">IF(B1264="","",IFERROR(INDEX('CARNET DE SOUDURE'!$D$7:$D$1506,MATCH(B1264,'CARNET DE SOUDURE'!$K$7:$K$1506,0)),IFERROR(INDEX('CARNET DE SOUDURE'!$D$7:$D$1506,MATCH(B1264,'CARNET DE SOUDURE'!$M$7:$M$1506,0)),"")))</f>
        <v/>
      </c>
      <c r="M1264" s="81" t="str">
        <f aca="false">IF(B1264="","",IF(OR(J1264&lt;&gt;"",K1264&lt;&gt;""),"POSÉ EN LIGNE",IF(H1264&lt;&gt;"","BARDÉ","EN STOCK")))</f>
        <v/>
      </c>
      <c r="N1264" s="79"/>
    </row>
    <row r="1265" customFormat="false" ht="15" hidden="false" customHeight="false" outlineLevel="0" collapsed="false">
      <c r="A1265" s="78" t="str">
        <f aca="false">IF(B1265="","",ROW()-6)</f>
        <v/>
      </c>
      <c r="B1265" s="90"/>
      <c r="C1265" s="91"/>
      <c r="D1265" s="91"/>
      <c r="E1265" s="80"/>
      <c r="F1265" s="92"/>
      <c r="G1265" s="79"/>
      <c r="H1265" s="82"/>
      <c r="I1265" s="93" t="str">
        <f aca="false">IF(B1265="","",IFERROR(INDEX('CARNET DE SOUDURE'!$B$7:$B$1506,MATCH(B1265,'CARNET DE SOUDURE'!$K$7:$K$1506,0)),IFERROR(INDEX('CARNET DE SOUDURE'!$B$7:$B$1506,MATCH(B1265,'CARNET DE SOUDURE'!$M$7:$M$1506,0)),"")))</f>
        <v/>
      </c>
      <c r="J1265" s="78" t="str">
        <f aca="false">IF(B1265="","",IFERROR(INDEX('CARNET DE SOUDURE'!$E$7:$E$1506,MATCH(B1265,'CARNET DE SOUDURE'!$M$7:$M$1506,0)),""))</f>
        <v/>
      </c>
      <c r="K1265" s="78" t="str">
        <f aca="false">IF(B1265="","",IFERROR(INDEX('CARNET DE SOUDURE'!$E$7:$E$1506,MATCH(B1265,'CARNET DE SOUDURE'!$K$7:$K$1506,0)),""))</f>
        <v/>
      </c>
      <c r="L1265" s="78" t="str">
        <f aca="false">IF(B1265="","",IFERROR(INDEX('CARNET DE SOUDURE'!$D$7:$D$1506,MATCH(B1265,'CARNET DE SOUDURE'!$K$7:$K$1506,0)),IFERROR(INDEX('CARNET DE SOUDURE'!$D$7:$D$1506,MATCH(B1265,'CARNET DE SOUDURE'!$M$7:$M$1506,0)),"")))</f>
        <v/>
      </c>
      <c r="M1265" s="81" t="str">
        <f aca="false">IF(B1265="","",IF(OR(J1265&lt;&gt;"",K1265&lt;&gt;""),"POSÉ EN LIGNE",IF(H1265&lt;&gt;"","BARDÉ","EN STOCK")))</f>
        <v/>
      </c>
      <c r="N1265" s="79"/>
    </row>
    <row r="1266" customFormat="false" ht="15" hidden="false" customHeight="false" outlineLevel="0" collapsed="false">
      <c r="A1266" s="78" t="str">
        <f aca="false">IF(B1266="","",ROW()-6)</f>
        <v/>
      </c>
      <c r="B1266" s="90"/>
      <c r="C1266" s="91"/>
      <c r="D1266" s="91"/>
      <c r="E1266" s="80"/>
      <c r="F1266" s="92"/>
      <c r="G1266" s="79"/>
      <c r="H1266" s="82"/>
      <c r="I1266" s="93" t="str">
        <f aca="false">IF(B1266="","",IFERROR(INDEX('CARNET DE SOUDURE'!$B$7:$B$1506,MATCH(B1266,'CARNET DE SOUDURE'!$K$7:$K$1506,0)),IFERROR(INDEX('CARNET DE SOUDURE'!$B$7:$B$1506,MATCH(B1266,'CARNET DE SOUDURE'!$M$7:$M$1506,0)),"")))</f>
        <v/>
      </c>
      <c r="J1266" s="78" t="str">
        <f aca="false">IF(B1266="","",IFERROR(INDEX('CARNET DE SOUDURE'!$E$7:$E$1506,MATCH(B1266,'CARNET DE SOUDURE'!$M$7:$M$1506,0)),""))</f>
        <v/>
      </c>
      <c r="K1266" s="78" t="str">
        <f aca="false">IF(B1266="","",IFERROR(INDEX('CARNET DE SOUDURE'!$E$7:$E$1506,MATCH(B1266,'CARNET DE SOUDURE'!$K$7:$K$1506,0)),""))</f>
        <v/>
      </c>
      <c r="L1266" s="78" t="str">
        <f aca="false">IF(B1266="","",IFERROR(INDEX('CARNET DE SOUDURE'!$D$7:$D$1506,MATCH(B1266,'CARNET DE SOUDURE'!$K$7:$K$1506,0)),IFERROR(INDEX('CARNET DE SOUDURE'!$D$7:$D$1506,MATCH(B1266,'CARNET DE SOUDURE'!$M$7:$M$1506,0)),"")))</f>
        <v/>
      </c>
      <c r="M1266" s="81" t="str">
        <f aca="false">IF(B1266="","",IF(OR(J1266&lt;&gt;"",K1266&lt;&gt;""),"POSÉ EN LIGNE",IF(H1266&lt;&gt;"","BARDÉ","EN STOCK")))</f>
        <v/>
      </c>
      <c r="N1266" s="79"/>
    </row>
    <row r="1267" customFormat="false" ht="15" hidden="false" customHeight="false" outlineLevel="0" collapsed="false">
      <c r="A1267" s="78" t="str">
        <f aca="false">IF(B1267="","",ROW()-6)</f>
        <v/>
      </c>
      <c r="B1267" s="90"/>
      <c r="C1267" s="91"/>
      <c r="D1267" s="91"/>
      <c r="E1267" s="80"/>
      <c r="F1267" s="92"/>
      <c r="G1267" s="79"/>
      <c r="H1267" s="82"/>
      <c r="I1267" s="93" t="str">
        <f aca="false">IF(B1267="","",IFERROR(INDEX('CARNET DE SOUDURE'!$B$7:$B$1506,MATCH(B1267,'CARNET DE SOUDURE'!$K$7:$K$1506,0)),IFERROR(INDEX('CARNET DE SOUDURE'!$B$7:$B$1506,MATCH(B1267,'CARNET DE SOUDURE'!$M$7:$M$1506,0)),"")))</f>
        <v/>
      </c>
      <c r="J1267" s="78" t="str">
        <f aca="false">IF(B1267="","",IFERROR(INDEX('CARNET DE SOUDURE'!$E$7:$E$1506,MATCH(B1267,'CARNET DE SOUDURE'!$M$7:$M$1506,0)),""))</f>
        <v/>
      </c>
      <c r="K1267" s="78" t="str">
        <f aca="false">IF(B1267="","",IFERROR(INDEX('CARNET DE SOUDURE'!$E$7:$E$1506,MATCH(B1267,'CARNET DE SOUDURE'!$K$7:$K$1506,0)),""))</f>
        <v/>
      </c>
      <c r="L1267" s="78" t="str">
        <f aca="false">IF(B1267="","",IFERROR(INDEX('CARNET DE SOUDURE'!$D$7:$D$1506,MATCH(B1267,'CARNET DE SOUDURE'!$K$7:$K$1506,0)),IFERROR(INDEX('CARNET DE SOUDURE'!$D$7:$D$1506,MATCH(B1267,'CARNET DE SOUDURE'!$M$7:$M$1506,0)),"")))</f>
        <v/>
      </c>
      <c r="M1267" s="81" t="str">
        <f aca="false">IF(B1267="","",IF(OR(J1267&lt;&gt;"",K1267&lt;&gt;""),"POSÉ EN LIGNE",IF(H1267&lt;&gt;"","BARDÉ","EN STOCK")))</f>
        <v/>
      </c>
      <c r="N1267" s="79"/>
    </row>
    <row r="1268" customFormat="false" ht="15" hidden="false" customHeight="false" outlineLevel="0" collapsed="false">
      <c r="A1268" s="78" t="str">
        <f aca="false">IF(B1268="","",ROW()-6)</f>
        <v/>
      </c>
      <c r="B1268" s="90"/>
      <c r="C1268" s="91"/>
      <c r="D1268" s="91"/>
      <c r="E1268" s="80"/>
      <c r="F1268" s="92"/>
      <c r="G1268" s="79"/>
      <c r="H1268" s="82"/>
      <c r="I1268" s="93" t="str">
        <f aca="false">IF(B1268="","",IFERROR(INDEX('CARNET DE SOUDURE'!$B$7:$B$1506,MATCH(B1268,'CARNET DE SOUDURE'!$K$7:$K$1506,0)),IFERROR(INDEX('CARNET DE SOUDURE'!$B$7:$B$1506,MATCH(B1268,'CARNET DE SOUDURE'!$M$7:$M$1506,0)),"")))</f>
        <v/>
      </c>
      <c r="J1268" s="78" t="str">
        <f aca="false">IF(B1268="","",IFERROR(INDEX('CARNET DE SOUDURE'!$E$7:$E$1506,MATCH(B1268,'CARNET DE SOUDURE'!$M$7:$M$1506,0)),""))</f>
        <v/>
      </c>
      <c r="K1268" s="78" t="str">
        <f aca="false">IF(B1268="","",IFERROR(INDEX('CARNET DE SOUDURE'!$E$7:$E$1506,MATCH(B1268,'CARNET DE SOUDURE'!$K$7:$K$1506,0)),""))</f>
        <v/>
      </c>
      <c r="L1268" s="78" t="str">
        <f aca="false">IF(B1268="","",IFERROR(INDEX('CARNET DE SOUDURE'!$D$7:$D$1506,MATCH(B1268,'CARNET DE SOUDURE'!$K$7:$K$1506,0)),IFERROR(INDEX('CARNET DE SOUDURE'!$D$7:$D$1506,MATCH(B1268,'CARNET DE SOUDURE'!$M$7:$M$1506,0)),"")))</f>
        <v/>
      </c>
      <c r="M1268" s="81" t="str">
        <f aca="false">IF(B1268="","",IF(OR(J1268&lt;&gt;"",K1268&lt;&gt;""),"POSÉ EN LIGNE",IF(H1268&lt;&gt;"","BARDÉ","EN STOCK")))</f>
        <v/>
      </c>
      <c r="N1268" s="79"/>
    </row>
    <row r="1269" customFormat="false" ht="15" hidden="false" customHeight="false" outlineLevel="0" collapsed="false">
      <c r="A1269" s="78" t="str">
        <f aca="false">IF(B1269="","",ROW()-6)</f>
        <v/>
      </c>
      <c r="B1269" s="90"/>
      <c r="C1269" s="91"/>
      <c r="D1269" s="91"/>
      <c r="E1269" s="80"/>
      <c r="F1269" s="92"/>
      <c r="G1269" s="79"/>
      <c r="H1269" s="82"/>
      <c r="I1269" s="93" t="str">
        <f aca="false">IF(B1269="","",IFERROR(INDEX('CARNET DE SOUDURE'!$B$7:$B$1506,MATCH(B1269,'CARNET DE SOUDURE'!$K$7:$K$1506,0)),IFERROR(INDEX('CARNET DE SOUDURE'!$B$7:$B$1506,MATCH(B1269,'CARNET DE SOUDURE'!$M$7:$M$1506,0)),"")))</f>
        <v/>
      </c>
      <c r="J1269" s="78" t="str">
        <f aca="false">IF(B1269="","",IFERROR(INDEX('CARNET DE SOUDURE'!$E$7:$E$1506,MATCH(B1269,'CARNET DE SOUDURE'!$M$7:$M$1506,0)),""))</f>
        <v/>
      </c>
      <c r="K1269" s="78" t="str">
        <f aca="false">IF(B1269="","",IFERROR(INDEX('CARNET DE SOUDURE'!$E$7:$E$1506,MATCH(B1269,'CARNET DE SOUDURE'!$K$7:$K$1506,0)),""))</f>
        <v/>
      </c>
      <c r="L1269" s="78" t="str">
        <f aca="false">IF(B1269="","",IFERROR(INDEX('CARNET DE SOUDURE'!$D$7:$D$1506,MATCH(B1269,'CARNET DE SOUDURE'!$K$7:$K$1506,0)),IFERROR(INDEX('CARNET DE SOUDURE'!$D$7:$D$1506,MATCH(B1269,'CARNET DE SOUDURE'!$M$7:$M$1506,0)),"")))</f>
        <v/>
      </c>
      <c r="M1269" s="81" t="str">
        <f aca="false">IF(B1269="","",IF(OR(J1269&lt;&gt;"",K1269&lt;&gt;""),"POSÉ EN LIGNE",IF(H1269&lt;&gt;"","BARDÉ","EN STOCK")))</f>
        <v/>
      </c>
      <c r="N1269" s="79"/>
    </row>
    <row r="1270" customFormat="false" ht="15" hidden="false" customHeight="false" outlineLevel="0" collapsed="false">
      <c r="A1270" s="78" t="str">
        <f aca="false">IF(B1270="","",ROW()-6)</f>
        <v/>
      </c>
      <c r="B1270" s="90"/>
      <c r="C1270" s="91"/>
      <c r="D1270" s="91"/>
      <c r="E1270" s="80"/>
      <c r="F1270" s="92"/>
      <c r="G1270" s="79"/>
      <c r="H1270" s="82"/>
      <c r="I1270" s="93" t="str">
        <f aca="false">IF(B1270="","",IFERROR(INDEX('CARNET DE SOUDURE'!$B$7:$B$1506,MATCH(B1270,'CARNET DE SOUDURE'!$K$7:$K$1506,0)),IFERROR(INDEX('CARNET DE SOUDURE'!$B$7:$B$1506,MATCH(B1270,'CARNET DE SOUDURE'!$M$7:$M$1506,0)),"")))</f>
        <v/>
      </c>
      <c r="J1270" s="78" t="str">
        <f aca="false">IF(B1270="","",IFERROR(INDEX('CARNET DE SOUDURE'!$E$7:$E$1506,MATCH(B1270,'CARNET DE SOUDURE'!$M$7:$M$1506,0)),""))</f>
        <v/>
      </c>
      <c r="K1270" s="78" t="str">
        <f aca="false">IF(B1270="","",IFERROR(INDEX('CARNET DE SOUDURE'!$E$7:$E$1506,MATCH(B1270,'CARNET DE SOUDURE'!$K$7:$K$1506,0)),""))</f>
        <v/>
      </c>
      <c r="L1270" s="78" t="str">
        <f aca="false">IF(B1270="","",IFERROR(INDEX('CARNET DE SOUDURE'!$D$7:$D$1506,MATCH(B1270,'CARNET DE SOUDURE'!$K$7:$K$1506,0)),IFERROR(INDEX('CARNET DE SOUDURE'!$D$7:$D$1506,MATCH(B1270,'CARNET DE SOUDURE'!$M$7:$M$1506,0)),"")))</f>
        <v/>
      </c>
      <c r="M1270" s="81" t="str">
        <f aca="false">IF(B1270="","",IF(OR(J1270&lt;&gt;"",K1270&lt;&gt;""),"POSÉ EN LIGNE",IF(H1270&lt;&gt;"","BARDÉ","EN STOCK")))</f>
        <v/>
      </c>
      <c r="N1270" s="79"/>
    </row>
    <row r="1271" customFormat="false" ht="15" hidden="false" customHeight="false" outlineLevel="0" collapsed="false">
      <c r="A1271" s="78" t="str">
        <f aca="false">IF(B1271="","",ROW()-6)</f>
        <v/>
      </c>
      <c r="B1271" s="90"/>
      <c r="C1271" s="91"/>
      <c r="D1271" s="91"/>
      <c r="E1271" s="80"/>
      <c r="F1271" s="92"/>
      <c r="G1271" s="79"/>
      <c r="H1271" s="82"/>
      <c r="I1271" s="93" t="str">
        <f aca="false">IF(B1271="","",IFERROR(INDEX('CARNET DE SOUDURE'!$B$7:$B$1506,MATCH(B1271,'CARNET DE SOUDURE'!$K$7:$K$1506,0)),IFERROR(INDEX('CARNET DE SOUDURE'!$B$7:$B$1506,MATCH(B1271,'CARNET DE SOUDURE'!$M$7:$M$1506,0)),"")))</f>
        <v/>
      </c>
      <c r="J1271" s="78" t="str">
        <f aca="false">IF(B1271="","",IFERROR(INDEX('CARNET DE SOUDURE'!$E$7:$E$1506,MATCH(B1271,'CARNET DE SOUDURE'!$M$7:$M$1506,0)),""))</f>
        <v/>
      </c>
      <c r="K1271" s="78" t="str">
        <f aca="false">IF(B1271="","",IFERROR(INDEX('CARNET DE SOUDURE'!$E$7:$E$1506,MATCH(B1271,'CARNET DE SOUDURE'!$K$7:$K$1506,0)),""))</f>
        <v/>
      </c>
      <c r="L1271" s="78" t="str">
        <f aca="false">IF(B1271="","",IFERROR(INDEX('CARNET DE SOUDURE'!$D$7:$D$1506,MATCH(B1271,'CARNET DE SOUDURE'!$K$7:$K$1506,0)),IFERROR(INDEX('CARNET DE SOUDURE'!$D$7:$D$1506,MATCH(B1271,'CARNET DE SOUDURE'!$M$7:$M$1506,0)),"")))</f>
        <v/>
      </c>
      <c r="M1271" s="81" t="str">
        <f aca="false">IF(B1271="","",IF(OR(J1271&lt;&gt;"",K1271&lt;&gt;""),"POSÉ EN LIGNE",IF(H1271&lt;&gt;"","BARDÉ","EN STOCK")))</f>
        <v/>
      </c>
      <c r="N1271" s="79"/>
    </row>
    <row r="1272" customFormat="false" ht="15" hidden="false" customHeight="false" outlineLevel="0" collapsed="false">
      <c r="A1272" s="78" t="str">
        <f aca="false">IF(B1272="","",ROW()-6)</f>
        <v/>
      </c>
      <c r="B1272" s="90"/>
      <c r="C1272" s="91"/>
      <c r="D1272" s="91"/>
      <c r="E1272" s="80"/>
      <c r="F1272" s="92"/>
      <c r="G1272" s="79"/>
      <c r="H1272" s="82"/>
      <c r="I1272" s="93" t="str">
        <f aca="false">IF(B1272="","",IFERROR(INDEX('CARNET DE SOUDURE'!$B$7:$B$1506,MATCH(B1272,'CARNET DE SOUDURE'!$K$7:$K$1506,0)),IFERROR(INDEX('CARNET DE SOUDURE'!$B$7:$B$1506,MATCH(B1272,'CARNET DE SOUDURE'!$M$7:$M$1506,0)),"")))</f>
        <v/>
      </c>
      <c r="J1272" s="78" t="str">
        <f aca="false">IF(B1272="","",IFERROR(INDEX('CARNET DE SOUDURE'!$E$7:$E$1506,MATCH(B1272,'CARNET DE SOUDURE'!$M$7:$M$1506,0)),""))</f>
        <v/>
      </c>
      <c r="K1272" s="78" t="str">
        <f aca="false">IF(B1272="","",IFERROR(INDEX('CARNET DE SOUDURE'!$E$7:$E$1506,MATCH(B1272,'CARNET DE SOUDURE'!$K$7:$K$1506,0)),""))</f>
        <v/>
      </c>
      <c r="L1272" s="78" t="str">
        <f aca="false">IF(B1272="","",IFERROR(INDEX('CARNET DE SOUDURE'!$D$7:$D$1506,MATCH(B1272,'CARNET DE SOUDURE'!$K$7:$K$1506,0)),IFERROR(INDEX('CARNET DE SOUDURE'!$D$7:$D$1506,MATCH(B1272,'CARNET DE SOUDURE'!$M$7:$M$1506,0)),"")))</f>
        <v/>
      </c>
      <c r="M1272" s="81" t="str">
        <f aca="false">IF(B1272="","",IF(OR(J1272&lt;&gt;"",K1272&lt;&gt;""),"POSÉ EN LIGNE",IF(H1272&lt;&gt;"","BARDÉ","EN STOCK")))</f>
        <v/>
      </c>
      <c r="N1272" s="79"/>
    </row>
    <row r="1273" customFormat="false" ht="15" hidden="false" customHeight="false" outlineLevel="0" collapsed="false">
      <c r="A1273" s="78" t="str">
        <f aca="false">IF(B1273="","",ROW()-6)</f>
        <v/>
      </c>
      <c r="B1273" s="90"/>
      <c r="C1273" s="91"/>
      <c r="D1273" s="91"/>
      <c r="E1273" s="80"/>
      <c r="F1273" s="92"/>
      <c r="G1273" s="79"/>
      <c r="H1273" s="82"/>
      <c r="I1273" s="93" t="str">
        <f aca="false">IF(B1273="","",IFERROR(INDEX('CARNET DE SOUDURE'!$B$7:$B$1506,MATCH(B1273,'CARNET DE SOUDURE'!$K$7:$K$1506,0)),IFERROR(INDEX('CARNET DE SOUDURE'!$B$7:$B$1506,MATCH(B1273,'CARNET DE SOUDURE'!$M$7:$M$1506,0)),"")))</f>
        <v/>
      </c>
      <c r="J1273" s="78" t="str">
        <f aca="false">IF(B1273="","",IFERROR(INDEX('CARNET DE SOUDURE'!$E$7:$E$1506,MATCH(B1273,'CARNET DE SOUDURE'!$M$7:$M$1506,0)),""))</f>
        <v/>
      </c>
      <c r="K1273" s="78" t="str">
        <f aca="false">IF(B1273="","",IFERROR(INDEX('CARNET DE SOUDURE'!$E$7:$E$1506,MATCH(B1273,'CARNET DE SOUDURE'!$K$7:$K$1506,0)),""))</f>
        <v/>
      </c>
      <c r="L1273" s="78" t="str">
        <f aca="false">IF(B1273="","",IFERROR(INDEX('CARNET DE SOUDURE'!$D$7:$D$1506,MATCH(B1273,'CARNET DE SOUDURE'!$K$7:$K$1506,0)),IFERROR(INDEX('CARNET DE SOUDURE'!$D$7:$D$1506,MATCH(B1273,'CARNET DE SOUDURE'!$M$7:$M$1506,0)),"")))</f>
        <v/>
      </c>
      <c r="M1273" s="81" t="str">
        <f aca="false">IF(B1273="","",IF(OR(J1273&lt;&gt;"",K1273&lt;&gt;""),"POSÉ EN LIGNE",IF(H1273&lt;&gt;"","BARDÉ","EN STOCK")))</f>
        <v/>
      </c>
      <c r="N1273" s="79"/>
    </row>
    <row r="1274" customFormat="false" ht="15" hidden="false" customHeight="false" outlineLevel="0" collapsed="false">
      <c r="A1274" s="78" t="str">
        <f aca="false">IF(B1274="","",ROW()-6)</f>
        <v/>
      </c>
      <c r="B1274" s="90"/>
      <c r="C1274" s="91"/>
      <c r="D1274" s="91"/>
      <c r="E1274" s="80"/>
      <c r="F1274" s="92"/>
      <c r="G1274" s="79"/>
      <c r="H1274" s="82"/>
      <c r="I1274" s="93" t="str">
        <f aca="false">IF(B1274="","",IFERROR(INDEX('CARNET DE SOUDURE'!$B$7:$B$1506,MATCH(B1274,'CARNET DE SOUDURE'!$K$7:$K$1506,0)),IFERROR(INDEX('CARNET DE SOUDURE'!$B$7:$B$1506,MATCH(B1274,'CARNET DE SOUDURE'!$M$7:$M$1506,0)),"")))</f>
        <v/>
      </c>
      <c r="J1274" s="78" t="str">
        <f aca="false">IF(B1274="","",IFERROR(INDEX('CARNET DE SOUDURE'!$E$7:$E$1506,MATCH(B1274,'CARNET DE SOUDURE'!$M$7:$M$1506,0)),""))</f>
        <v/>
      </c>
      <c r="K1274" s="78" t="str">
        <f aca="false">IF(B1274="","",IFERROR(INDEX('CARNET DE SOUDURE'!$E$7:$E$1506,MATCH(B1274,'CARNET DE SOUDURE'!$K$7:$K$1506,0)),""))</f>
        <v/>
      </c>
      <c r="L1274" s="78" t="str">
        <f aca="false">IF(B1274="","",IFERROR(INDEX('CARNET DE SOUDURE'!$D$7:$D$1506,MATCH(B1274,'CARNET DE SOUDURE'!$K$7:$K$1506,0)),IFERROR(INDEX('CARNET DE SOUDURE'!$D$7:$D$1506,MATCH(B1274,'CARNET DE SOUDURE'!$M$7:$M$1506,0)),"")))</f>
        <v/>
      </c>
      <c r="M1274" s="81" t="str">
        <f aca="false">IF(B1274="","",IF(OR(J1274&lt;&gt;"",K1274&lt;&gt;""),"POSÉ EN LIGNE",IF(H1274&lt;&gt;"","BARDÉ","EN STOCK")))</f>
        <v/>
      </c>
      <c r="N1274" s="79"/>
    </row>
    <row r="1275" customFormat="false" ht="15" hidden="false" customHeight="false" outlineLevel="0" collapsed="false">
      <c r="A1275" s="78" t="str">
        <f aca="false">IF(B1275="","",ROW()-6)</f>
        <v/>
      </c>
      <c r="B1275" s="90"/>
      <c r="C1275" s="91"/>
      <c r="D1275" s="91"/>
      <c r="E1275" s="80"/>
      <c r="F1275" s="92"/>
      <c r="G1275" s="79"/>
      <c r="H1275" s="82"/>
      <c r="I1275" s="93" t="str">
        <f aca="false">IF(B1275="","",IFERROR(INDEX('CARNET DE SOUDURE'!$B$7:$B$1506,MATCH(B1275,'CARNET DE SOUDURE'!$K$7:$K$1506,0)),IFERROR(INDEX('CARNET DE SOUDURE'!$B$7:$B$1506,MATCH(B1275,'CARNET DE SOUDURE'!$M$7:$M$1506,0)),"")))</f>
        <v/>
      </c>
      <c r="J1275" s="78" t="str">
        <f aca="false">IF(B1275="","",IFERROR(INDEX('CARNET DE SOUDURE'!$E$7:$E$1506,MATCH(B1275,'CARNET DE SOUDURE'!$M$7:$M$1506,0)),""))</f>
        <v/>
      </c>
      <c r="K1275" s="78" t="str">
        <f aca="false">IF(B1275="","",IFERROR(INDEX('CARNET DE SOUDURE'!$E$7:$E$1506,MATCH(B1275,'CARNET DE SOUDURE'!$K$7:$K$1506,0)),""))</f>
        <v/>
      </c>
      <c r="L1275" s="78" t="str">
        <f aca="false">IF(B1275="","",IFERROR(INDEX('CARNET DE SOUDURE'!$D$7:$D$1506,MATCH(B1275,'CARNET DE SOUDURE'!$K$7:$K$1506,0)),IFERROR(INDEX('CARNET DE SOUDURE'!$D$7:$D$1506,MATCH(B1275,'CARNET DE SOUDURE'!$M$7:$M$1506,0)),"")))</f>
        <v/>
      </c>
      <c r="M1275" s="81" t="str">
        <f aca="false">IF(B1275="","",IF(OR(J1275&lt;&gt;"",K1275&lt;&gt;""),"POSÉ EN LIGNE",IF(H1275&lt;&gt;"","BARDÉ","EN STOCK")))</f>
        <v/>
      </c>
      <c r="N1275" s="79"/>
    </row>
    <row r="1276" customFormat="false" ht="15" hidden="false" customHeight="false" outlineLevel="0" collapsed="false">
      <c r="A1276" s="78" t="str">
        <f aca="false">IF(B1276="","",ROW()-6)</f>
        <v/>
      </c>
      <c r="B1276" s="90"/>
      <c r="C1276" s="91"/>
      <c r="D1276" s="91"/>
      <c r="E1276" s="80"/>
      <c r="F1276" s="92"/>
      <c r="G1276" s="79"/>
      <c r="H1276" s="82"/>
      <c r="I1276" s="93" t="str">
        <f aca="false">IF(B1276="","",IFERROR(INDEX('CARNET DE SOUDURE'!$B$7:$B$1506,MATCH(B1276,'CARNET DE SOUDURE'!$K$7:$K$1506,0)),IFERROR(INDEX('CARNET DE SOUDURE'!$B$7:$B$1506,MATCH(B1276,'CARNET DE SOUDURE'!$M$7:$M$1506,0)),"")))</f>
        <v/>
      </c>
      <c r="J1276" s="78" t="str">
        <f aca="false">IF(B1276="","",IFERROR(INDEX('CARNET DE SOUDURE'!$E$7:$E$1506,MATCH(B1276,'CARNET DE SOUDURE'!$M$7:$M$1506,0)),""))</f>
        <v/>
      </c>
      <c r="K1276" s="78" t="str">
        <f aca="false">IF(B1276="","",IFERROR(INDEX('CARNET DE SOUDURE'!$E$7:$E$1506,MATCH(B1276,'CARNET DE SOUDURE'!$K$7:$K$1506,0)),""))</f>
        <v/>
      </c>
      <c r="L1276" s="78" t="str">
        <f aca="false">IF(B1276="","",IFERROR(INDEX('CARNET DE SOUDURE'!$D$7:$D$1506,MATCH(B1276,'CARNET DE SOUDURE'!$K$7:$K$1506,0)),IFERROR(INDEX('CARNET DE SOUDURE'!$D$7:$D$1506,MATCH(B1276,'CARNET DE SOUDURE'!$M$7:$M$1506,0)),"")))</f>
        <v/>
      </c>
      <c r="M1276" s="81" t="str">
        <f aca="false">IF(B1276="","",IF(OR(J1276&lt;&gt;"",K1276&lt;&gt;""),"POSÉ EN LIGNE",IF(H1276&lt;&gt;"","BARDÉ","EN STOCK")))</f>
        <v/>
      </c>
      <c r="N1276" s="79"/>
    </row>
    <row r="1277" customFormat="false" ht="15" hidden="false" customHeight="false" outlineLevel="0" collapsed="false">
      <c r="A1277" s="78" t="str">
        <f aca="false">IF(B1277="","",ROW()-6)</f>
        <v/>
      </c>
      <c r="B1277" s="90"/>
      <c r="C1277" s="91"/>
      <c r="D1277" s="91"/>
      <c r="E1277" s="80"/>
      <c r="F1277" s="92"/>
      <c r="G1277" s="79"/>
      <c r="H1277" s="82"/>
      <c r="I1277" s="93" t="str">
        <f aca="false">IF(B1277="","",IFERROR(INDEX('CARNET DE SOUDURE'!$B$7:$B$1506,MATCH(B1277,'CARNET DE SOUDURE'!$K$7:$K$1506,0)),IFERROR(INDEX('CARNET DE SOUDURE'!$B$7:$B$1506,MATCH(B1277,'CARNET DE SOUDURE'!$M$7:$M$1506,0)),"")))</f>
        <v/>
      </c>
      <c r="J1277" s="78" t="str">
        <f aca="false">IF(B1277="","",IFERROR(INDEX('CARNET DE SOUDURE'!$E$7:$E$1506,MATCH(B1277,'CARNET DE SOUDURE'!$M$7:$M$1506,0)),""))</f>
        <v/>
      </c>
      <c r="K1277" s="78" t="str">
        <f aca="false">IF(B1277="","",IFERROR(INDEX('CARNET DE SOUDURE'!$E$7:$E$1506,MATCH(B1277,'CARNET DE SOUDURE'!$K$7:$K$1506,0)),""))</f>
        <v/>
      </c>
      <c r="L1277" s="78" t="str">
        <f aca="false">IF(B1277="","",IFERROR(INDEX('CARNET DE SOUDURE'!$D$7:$D$1506,MATCH(B1277,'CARNET DE SOUDURE'!$K$7:$K$1506,0)),IFERROR(INDEX('CARNET DE SOUDURE'!$D$7:$D$1506,MATCH(B1277,'CARNET DE SOUDURE'!$M$7:$M$1506,0)),"")))</f>
        <v/>
      </c>
      <c r="M1277" s="81" t="str">
        <f aca="false">IF(B1277="","",IF(OR(J1277&lt;&gt;"",K1277&lt;&gt;""),"POSÉ EN LIGNE",IF(H1277&lt;&gt;"","BARDÉ","EN STOCK")))</f>
        <v/>
      </c>
      <c r="N1277" s="79"/>
    </row>
    <row r="1278" customFormat="false" ht="15" hidden="false" customHeight="false" outlineLevel="0" collapsed="false">
      <c r="A1278" s="78" t="str">
        <f aca="false">IF(B1278="","",ROW()-6)</f>
        <v/>
      </c>
      <c r="B1278" s="90"/>
      <c r="C1278" s="91"/>
      <c r="D1278" s="91"/>
      <c r="E1278" s="80"/>
      <c r="F1278" s="92"/>
      <c r="G1278" s="79"/>
      <c r="H1278" s="82"/>
      <c r="I1278" s="93" t="str">
        <f aca="false">IF(B1278="","",IFERROR(INDEX('CARNET DE SOUDURE'!$B$7:$B$1506,MATCH(B1278,'CARNET DE SOUDURE'!$K$7:$K$1506,0)),IFERROR(INDEX('CARNET DE SOUDURE'!$B$7:$B$1506,MATCH(B1278,'CARNET DE SOUDURE'!$M$7:$M$1506,0)),"")))</f>
        <v/>
      </c>
      <c r="J1278" s="78" t="str">
        <f aca="false">IF(B1278="","",IFERROR(INDEX('CARNET DE SOUDURE'!$E$7:$E$1506,MATCH(B1278,'CARNET DE SOUDURE'!$M$7:$M$1506,0)),""))</f>
        <v/>
      </c>
      <c r="K1278" s="78" t="str">
        <f aca="false">IF(B1278="","",IFERROR(INDEX('CARNET DE SOUDURE'!$E$7:$E$1506,MATCH(B1278,'CARNET DE SOUDURE'!$K$7:$K$1506,0)),""))</f>
        <v/>
      </c>
      <c r="L1278" s="78" t="str">
        <f aca="false">IF(B1278="","",IFERROR(INDEX('CARNET DE SOUDURE'!$D$7:$D$1506,MATCH(B1278,'CARNET DE SOUDURE'!$K$7:$K$1506,0)),IFERROR(INDEX('CARNET DE SOUDURE'!$D$7:$D$1506,MATCH(B1278,'CARNET DE SOUDURE'!$M$7:$M$1506,0)),"")))</f>
        <v/>
      </c>
      <c r="M1278" s="81" t="str">
        <f aca="false">IF(B1278="","",IF(OR(J1278&lt;&gt;"",K1278&lt;&gt;""),"POSÉ EN LIGNE",IF(H1278&lt;&gt;"","BARDÉ","EN STOCK")))</f>
        <v/>
      </c>
      <c r="N1278" s="79"/>
    </row>
    <row r="1279" customFormat="false" ht="15" hidden="false" customHeight="false" outlineLevel="0" collapsed="false">
      <c r="A1279" s="78" t="str">
        <f aca="false">IF(B1279="","",ROW()-6)</f>
        <v/>
      </c>
      <c r="B1279" s="90"/>
      <c r="C1279" s="91"/>
      <c r="D1279" s="91"/>
      <c r="E1279" s="80"/>
      <c r="F1279" s="92"/>
      <c r="G1279" s="79"/>
      <c r="H1279" s="82"/>
      <c r="I1279" s="93" t="str">
        <f aca="false">IF(B1279="","",IFERROR(INDEX('CARNET DE SOUDURE'!$B$7:$B$1506,MATCH(B1279,'CARNET DE SOUDURE'!$K$7:$K$1506,0)),IFERROR(INDEX('CARNET DE SOUDURE'!$B$7:$B$1506,MATCH(B1279,'CARNET DE SOUDURE'!$M$7:$M$1506,0)),"")))</f>
        <v/>
      </c>
      <c r="J1279" s="78" t="str">
        <f aca="false">IF(B1279="","",IFERROR(INDEX('CARNET DE SOUDURE'!$E$7:$E$1506,MATCH(B1279,'CARNET DE SOUDURE'!$M$7:$M$1506,0)),""))</f>
        <v/>
      </c>
      <c r="K1279" s="78" t="str">
        <f aca="false">IF(B1279="","",IFERROR(INDEX('CARNET DE SOUDURE'!$E$7:$E$1506,MATCH(B1279,'CARNET DE SOUDURE'!$K$7:$K$1506,0)),""))</f>
        <v/>
      </c>
      <c r="L1279" s="78" t="str">
        <f aca="false">IF(B1279="","",IFERROR(INDEX('CARNET DE SOUDURE'!$D$7:$D$1506,MATCH(B1279,'CARNET DE SOUDURE'!$K$7:$K$1506,0)),IFERROR(INDEX('CARNET DE SOUDURE'!$D$7:$D$1506,MATCH(B1279,'CARNET DE SOUDURE'!$M$7:$M$1506,0)),"")))</f>
        <v/>
      </c>
      <c r="M1279" s="81" t="str">
        <f aca="false">IF(B1279="","",IF(OR(J1279&lt;&gt;"",K1279&lt;&gt;""),"POSÉ EN LIGNE",IF(H1279&lt;&gt;"","BARDÉ","EN STOCK")))</f>
        <v/>
      </c>
      <c r="N1279" s="79"/>
    </row>
    <row r="1280" customFormat="false" ht="15" hidden="false" customHeight="false" outlineLevel="0" collapsed="false">
      <c r="A1280" s="78" t="str">
        <f aca="false">IF(B1280="","",ROW()-6)</f>
        <v/>
      </c>
      <c r="B1280" s="90"/>
      <c r="C1280" s="91"/>
      <c r="D1280" s="91"/>
      <c r="E1280" s="80"/>
      <c r="F1280" s="92"/>
      <c r="G1280" s="79"/>
      <c r="H1280" s="82"/>
      <c r="I1280" s="93" t="str">
        <f aca="false">IF(B1280="","",IFERROR(INDEX('CARNET DE SOUDURE'!$B$7:$B$1506,MATCH(B1280,'CARNET DE SOUDURE'!$K$7:$K$1506,0)),IFERROR(INDEX('CARNET DE SOUDURE'!$B$7:$B$1506,MATCH(B1280,'CARNET DE SOUDURE'!$M$7:$M$1506,0)),"")))</f>
        <v/>
      </c>
      <c r="J1280" s="78" t="str">
        <f aca="false">IF(B1280="","",IFERROR(INDEX('CARNET DE SOUDURE'!$E$7:$E$1506,MATCH(B1280,'CARNET DE SOUDURE'!$M$7:$M$1506,0)),""))</f>
        <v/>
      </c>
      <c r="K1280" s="78" t="str">
        <f aca="false">IF(B1280="","",IFERROR(INDEX('CARNET DE SOUDURE'!$E$7:$E$1506,MATCH(B1280,'CARNET DE SOUDURE'!$K$7:$K$1506,0)),""))</f>
        <v/>
      </c>
      <c r="L1280" s="78" t="str">
        <f aca="false">IF(B1280="","",IFERROR(INDEX('CARNET DE SOUDURE'!$D$7:$D$1506,MATCH(B1280,'CARNET DE SOUDURE'!$K$7:$K$1506,0)),IFERROR(INDEX('CARNET DE SOUDURE'!$D$7:$D$1506,MATCH(B1280,'CARNET DE SOUDURE'!$M$7:$M$1506,0)),"")))</f>
        <v/>
      </c>
      <c r="M1280" s="81" t="str">
        <f aca="false">IF(B1280="","",IF(OR(J1280&lt;&gt;"",K1280&lt;&gt;""),"POSÉ EN LIGNE",IF(H1280&lt;&gt;"","BARDÉ","EN STOCK")))</f>
        <v/>
      </c>
      <c r="N1280" s="79"/>
    </row>
    <row r="1281" customFormat="false" ht="15" hidden="false" customHeight="false" outlineLevel="0" collapsed="false">
      <c r="A1281" s="78" t="str">
        <f aca="false">IF(B1281="","",ROW()-6)</f>
        <v/>
      </c>
      <c r="B1281" s="90"/>
      <c r="C1281" s="91"/>
      <c r="D1281" s="91"/>
      <c r="E1281" s="80"/>
      <c r="F1281" s="92"/>
      <c r="G1281" s="79"/>
      <c r="H1281" s="82"/>
      <c r="I1281" s="93" t="str">
        <f aca="false">IF(B1281="","",IFERROR(INDEX('CARNET DE SOUDURE'!$B$7:$B$1506,MATCH(B1281,'CARNET DE SOUDURE'!$K$7:$K$1506,0)),IFERROR(INDEX('CARNET DE SOUDURE'!$B$7:$B$1506,MATCH(B1281,'CARNET DE SOUDURE'!$M$7:$M$1506,0)),"")))</f>
        <v/>
      </c>
      <c r="J1281" s="78" t="str">
        <f aca="false">IF(B1281="","",IFERROR(INDEX('CARNET DE SOUDURE'!$E$7:$E$1506,MATCH(B1281,'CARNET DE SOUDURE'!$M$7:$M$1506,0)),""))</f>
        <v/>
      </c>
      <c r="K1281" s="78" t="str">
        <f aca="false">IF(B1281="","",IFERROR(INDEX('CARNET DE SOUDURE'!$E$7:$E$1506,MATCH(B1281,'CARNET DE SOUDURE'!$K$7:$K$1506,0)),""))</f>
        <v/>
      </c>
      <c r="L1281" s="78" t="str">
        <f aca="false">IF(B1281="","",IFERROR(INDEX('CARNET DE SOUDURE'!$D$7:$D$1506,MATCH(B1281,'CARNET DE SOUDURE'!$K$7:$K$1506,0)),IFERROR(INDEX('CARNET DE SOUDURE'!$D$7:$D$1506,MATCH(B1281,'CARNET DE SOUDURE'!$M$7:$M$1506,0)),"")))</f>
        <v/>
      </c>
      <c r="M1281" s="81" t="str">
        <f aca="false">IF(B1281="","",IF(OR(J1281&lt;&gt;"",K1281&lt;&gt;""),"POSÉ EN LIGNE",IF(H1281&lt;&gt;"","BARDÉ","EN STOCK")))</f>
        <v/>
      </c>
      <c r="N1281" s="79"/>
    </row>
    <row r="1282" customFormat="false" ht="15" hidden="false" customHeight="false" outlineLevel="0" collapsed="false">
      <c r="A1282" s="78" t="str">
        <f aca="false">IF(B1282="","",ROW()-6)</f>
        <v/>
      </c>
      <c r="B1282" s="90"/>
      <c r="C1282" s="91"/>
      <c r="D1282" s="91"/>
      <c r="E1282" s="80"/>
      <c r="F1282" s="92"/>
      <c r="G1282" s="79"/>
      <c r="H1282" s="82"/>
      <c r="I1282" s="93" t="str">
        <f aca="false">IF(B1282="","",IFERROR(INDEX('CARNET DE SOUDURE'!$B$7:$B$1506,MATCH(B1282,'CARNET DE SOUDURE'!$K$7:$K$1506,0)),IFERROR(INDEX('CARNET DE SOUDURE'!$B$7:$B$1506,MATCH(B1282,'CARNET DE SOUDURE'!$M$7:$M$1506,0)),"")))</f>
        <v/>
      </c>
      <c r="J1282" s="78" t="str">
        <f aca="false">IF(B1282="","",IFERROR(INDEX('CARNET DE SOUDURE'!$E$7:$E$1506,MATCH(B1282,'CARNET DE SOUDURE'!$M$7:$M$1506,0)),""))</f>
        <v/>
      </c>
      <c r="K1282" s="78" t="str">
        <f aca="false">IF(B1282="","",IFERROR(INDEX('CARNET DE SOUDURE'!$E$7:$E$1506,MATCH(B1282,'CARNET DE SOUDURE'!$K$7:$K$1506,0)),""))</f>
        <v/>
      </c>
      <c r="L1282" s="78" t="str">
        <f aca="false">IF(B1282="","",IFERROR(INDEX('CARNET DE SOUDURE'!$D$7:$D$1506,MATCH(B1282,'CARNET DE SOUDURE'!$K$7:$K$1506,0)),IFERROR(INDEX('CARNET DE SOUDURE'!$D$7:$D$1506,MATCH(B1282,'CARNET DE SOUDURE'!$M$7:$M$1506,0)),"")))</f>
        <v/>
      </c>
      <c r="M1282" s="81" t="str">
        <f aca="false">IF(B1282="","",IF(OR(J1282&lt;&gt;"",K1282&lt;&gt;""),"POSÉ EN LIGNE",IF(H1282&lt;&gt;"","BARDÉ","EN STOCK")))</f>
        <v/>
      </c>
      <c r="N1282" s="79"/>
    </row>
    <row r="1283" customFormat="false" ht="15" hidden="false" customHeight="false" outlineLevel="0" collapsed="false">
      <c r="A1283" s="78" t="str">
        <f aca="false">IF(B1283="","",ROW()-6)</f>
        <v/>
      </c>
      <c r="B1283" s="90"/>
      <c r="C1283" s="91"/>
      <c r="D1283" s="91"/>
      <c r="E1283" s="80"/>
      <c r="F1283" s="92"/>
      <c r="G1283" s="79"/>
      <c r="H1283" s="82"/>
      <c r="I1283" s="93" t="str">
        <f aca="false">IF(B1283="","",IFERROR(INDEX('CARNET DE SOUDURE'!$B$7:$B$1506,MATCH(B1283,'CARNET DE SOUDURE'!$K$7:$K$1506,0)),IFERROR(INDEX('CARNET DE SOUDURE'!$B$7:$B$1506,MATCH(B1283,'CARNET DE SOUDURE'!$M$7:$M$1506,0)),"")))</f>
        <v/>
      </c>
      <c r="J1283" s="78" t="str">
        <f aca="false">IF(B1283="","",IFERROR(INDEX('CARNET DE SOUDURE'!$E$7:$E$1506,MATCH(B1283,'CARNET DE SOUDURE'!$M$7:$M$1506,0)),""))</f>
        <v/>
      </c>
      <c r="K1283" s="78" t="str">
        <f aca="false">IF(B1283="","",IFERROR(INDEX('CARNET DE SOUDURE'!$E$7:$E$1506,MATCH(B1283,'CARNET DE SOUDURE'!$K$7:$K$1506,0)),""))</f>
        <v/>
      </c>
      <c r="L1283" s="78" t="str">
        <f aca="false">IF(B1283="","",IFERROR(INDEX('CARNET DE SOUDURE'!$D$7:$D$1506,MATCH(B1283,'CARNET DE SOUDURE'!$K$7:$K$1506,0)),IFERROR(INDEX('CARNET DE SOUDURE'!$D$7:$D$1506,MATCH(B1283,'CARNET DE SOUDURE'!$M$7:$M$1506,0)),"")))</f>
        <v/>
      </c>
      <c r="M1283" s="81" t="str">
        <f aca="false">IF(B1283="","",IF(OR(J1283&lt;&gt;"",K1283&lt;&gt;""),"POSÉ EN LIGNE",IF(H1283&lt;&gt;"","BARDÉ","EN STOCK")))</f>
        <v/>
      </c>
      <c r="N1283" s="79"/>
    </row>
    <row r="1284" customFormat="false" ht="15" hidden="false" customHeight="false" outlineLevel="0" collapsed="false">
      <c r="A1284" s="78" t="str">
        <f aca="false">IF(B1284="","",ROW()-6)</f>
        <v/>
      </c>
      <c r="B1284" s="90"/>
      <c r="C1284" s="91"/>
      <c r="D1284" s="91"/>
      <c r="E1284" s="80"/>
      <c r="F1284" s="92"/>
      <c r="G1284" s="79"/>
      <c r="H1284" s="82"/>
      <c r="I1284" s="93" t="str">
        <f aca="false">IF(B1284="","",IFERROR(INDEX('CARNET DE SOUDURE'!$B$7:$B$1506,MATCH(B1284,'CARNET DE SOUDURE'!$K$7:$K$1506,0)),IFERROR(INDEX('CARNET DE SOUDURE'!$B$7:$B$1506,MATCH(B1284,'CARNET DE SOUDURE'!$M$7:$M$1506,0)),"")))</f>
        <v/>
      </c>
      <c r="J1284" s="78" t="str">
        <f aca="false">IF(B1284="","",IFERROR(INDEX('CARNET DE SOUDURE'!$E$7:$E$1506,MATCH(B1284,'CARNET DE SOUDURE'!$M$7:$M$1506,0)),""))</f>
        <v/>
      </c>
      <c r="K1284" s="78" t="str">
        <f aca="false">IF(B1284="","",IFERROR(INDEX('CARNET DE SOUDURE'!$E$7:$E$1506,MATCH(B1284,'CARNET DE SOUDURE'!$K$7:$K$1506,0)),""))</f>
        <v/>
      </c>
      <c r="L1284" s="78" t="str">
        <f aca="false">IF(B1284="","",IFERROR(INDEX('CARNET DE SOUDURE'!$D$7:$D$1506,MATCH(B1284,'CARNET DE SOUDURE'!$K$7:$K$1506,0)),IFERROR(INDEX('CARNET DE SOUDURE'!$D$7:$D$1506,MATCH(B1284,'CARNET DE SOUDURE'!$M$7:$M$1506,0)),"")))</f>
        <v/>
      </c>
      <c r="M1284" s="81" t="str">
        <f aca="false">IF(B1284="","",IF(OR(J1284&lt;&gt;"",K1284&lt;&gt;""),"POSÉ EN LIGNE",IF(H1284&lt;&gt;"","BARDÉ","EN STOCK")))</f>
        <v/>
      </c>
      <c r="N1284" s="79"/>
    </row>
    <row r="1285" customFormat="false" ht="15" hidden="false" customHeight="false" outlineLevel="0" collapsed="false">
      <c r="A1285" s="78" t="str">
        <f aca="false">IF(B1285="","",ROW()-6)</f>
        <v/>
      </c>
      <c r="B1285" s="90"/>
      <c r="C1285" s="91"/>
      <c r="D1285" s="91"/>
      <c r="E1285" s="80"/>
      <c r="F1285" s="92"/>
      <c r="G1285" s="79"/>
      <c r="H1285" s="82"/>
      <c r="I1285" s="93" t="str">
        <f aca="false">IF(B1285="","",IFERROR(INDEX('CARNET DE SOUDURE'!$B$7:$B$1506,MATCH(B1285,'CARNET DE SOUDURE'!$K$7:$K$1506,0)),IFERROR(INDEX('CARNET DE SOUDURE'!$B$7:$B$1506,MATCH(B1285,'CARNET DE SOUDURE'!$M$7:$M$1506,0)),"")))</f>
        <v/>
      </c>
      <c r="J1285" s="78" t="str">
        <f aca="false">IF(B1285="","",IFERROR(INDEX('CARNET DE SOUDURE'!$E$7:$E$1506,MATCH(B1285,'CARNET DE SOUDURE'!$M$7:$M$1506,0)),""))</f>
        <v/>
      </c>
      <c r="K1285" s="78" t="str">
        <f aca="false">IF(B1285="","",IFERROR(INDEX('CARNET DE SOUDURE'!$E$7:$E$1506,MATCH(B1285,'CARNET DE SOUDURE'!$K$7:$K$1506,0)),""))</f>
        <v/>
      </c>
      <c r="L1285" s="78" t="str">
        <f aca="false">IF(B1285="","",IFERROR(INDEX('CARNET DE SOUDURE'!$D$7:$D$1506,MATCH(B1285,'CARNET DE SOUDURE'!$K$7:$K$1506,0)),IFERROR(INDEX('CARNET DE SOUDURE'!$D$7:$D$1506,MATCH(B1285,'CARNET DE SOUDURE'!$M$7:$M$1506,0)),"")))</f>
        <v/>
      </c>
      <c r="M1285" s="81" t="str">
        <f aca="false">IF(B1285="","",IF(OR(J1285&lt;&gt;"",K1285&lt;&gt;""),"POSÉ EN LIGNE",IF(H1285&lt;&gt;"","BARDÉ","EN STOCK")))</f>
        <v/>
      </c>
      <c r="N1285" s="79"/>
    </row>
    <row r="1286" customFormat="false" ht="15" hidden="false" customHeight="false" outlineLevel="0" collapsed="false">
      <c r="A1286" s="78" t="str">
        <f aca="false">IF(B1286="","",ROW()-6)</f>
        <v/>
      </c>
      <c r="B1286" s="90"/>
      <c r="C1286" s="91"/>
      <c r="D1286" s="91"/>
      <c r="E1286" s="80"/>
      <c r="F1286" s="92"/>
      <c r="G1286" s="79"/>
      <c r="H1286" s="82"/>
      <c r="I1286" s="93" t="str">
        <f aca="false">IF(B1286="","",IFERROR(INDEX('CARNET DE SOUDURE'!$B$7:$B$1506,MATCH(B1286,'CARNET DE SOUDURE'!$K$7:$K$1506,0)),IFERROR(INDEX('CARNET DE SOUDURE'!$B$7:$B$1506,MATCH(B1286,'CARNET DE SOUDURE'!$M$7:$M$1506,0)),"")))</f>
        <v/>
      </c>
      <c r="J1286" s="78" t="str">
        <f aca="false">IF(B1286="","",IFERROR(INDEX('CARNET DE SOUDURE'!$E$7:$E$1506,MATCH(B1286,'CARNET DE SOUDURE'!$M$7:$M$1506,0)),""))</f>
        <v/>
      </c>
      <c r="K1286" s="78" t="str">
        <f aca="false">IF(B1286="","",IFERROR(INDEX('CARNET DE SOUDURE'!$E$7:$E$1506,MATCH(B1286,'CARNET DE SOUDURE'!$K$7:$K$1506,0)),""))</f>
        <v/>
      </c>
      <c r="L1286" s="78" t="str">
        <f aca="false">IF(B1286="","",IFERROR(INDEX('CARNET DE SOUDURE'!$D$7:$D$1506,MATCH(B1286,'CARNET DE SOUDURE'!$K$7:$K$1506,0)),IFERROR(INDEX('CARNET DE SOUDURE'!$D$7:$D$1506,MATCH(B1286,'CARNET DE SOUDURE'!$M$7:$M$1506,0)),"")))</f>
        <v/>
      </c>
      <c r="M1286" s="81" t="str">
        <f aca="false">IF(B1286="","",IF(OR(J1286&lt;&gt;"",K1286&lt;&gt;""),"POSÉ EN LIGNE",IF(H1286&lt;&gt;"","BARDÉ","EN STOCK")))</f>
        <v/>
      </c>
      <c r="N1286" s="79"/>
    </row>
    <row r="1287" customFormat="false" ht="15" hidden="false" customHeight="false" outlineLevel="0" collapsed="false">
      <c r="A1287" s="78" t="str">
        <f aca="false">IF(B1287="","",ROW()-6)</f>
        <v/>
      </c>
      <c r="B1287" s="90"/>
      <c r="C1287" s="91"/>
      <c r="D1287" s="91"/>
      <c r="E1287" s="80"/>
      <c r="F1287" s="92"/>
      <c r="G1287" s="79"/>
      <c r="H1287" s="82"/>
      <c r="I1287" s="93" t="str">
        <f aca="false">IF(B1287="","",IFERROR(INDEX('CARNET DE SOUDURE'!$B$7:$B$1506,MATCH(B1287,'CARNET DE SOUDURE'!$K$7:$K$1506,0)),IFERROR(INDEX('CARNET DE SOUDURE'!$B$7:$B$1506,MATCH(B1287,'CARNET DE SOUDURE'!$M$7:$M$1506,0)),"")))</f>
        <v/>
      </c>
      <c r="J1287" s="78" t="str">
        <f aca="false">IF(B1287="","",IFERROR(INDEX('CARNET DE SOUDURE'!$E$7:$E$1506,MATCH(B1287,'CARNET DE SOUDURE'!$M$7:$M$1506,0)),""))</f>
        <v/>
      </c>
      <c r="K1287" s="78" t="str">
        <f aca="false">IF(B1287="","",IFERROR(INDEX('CARNET DE SOUDURE'!$E$7:$E$1506,MATCH(B1287,'CARNET DE SOUDURE'!$K$7:$K$1506,0)),""))</f>
        <v/>
      </c>
      <c r="L1287" s="78" t="str">
        <f aca="false">IF(B1287="","",IFERROR(INDEX('CARNET DE SOUDURE'!$D$7:$D$1506,MATCH(B1287,'CARNET DE SOUDURE'!$K$7:$K$1506,0)),IFERROR(INDEX('CARNET DE SOUDURE'!$D$7:$D$1506,MATCH(B1287,'CARNET DE SOUDURE'!$M$7:$M$1506,0)),"")))</f>
        <v/>
      </c>
      <c r="M1287" s="81" t="str">
        <f aca="false">IF(B1287="","",IF(OR(J1287&lt;&gt;"",K1287&lt;&gt;""),"POSÉ EN LIGNE",IF(H1287&lt;&gt;"","BARDÉ","EN STOCK")))</f>
        <v/>
      </c>
      <c r="N1287" s="79"/>
    </row>
    <row r="1288" customFormat="false" ht="15" hidden="false" customHeight="false" outlineLevel="0" collapsed="false">
      <c r="A1288" s="78" t="str">
        <f aca="false">IF(B1288="","",ROW()-6)</f>
        <v/>
      </c>
      <c r="B1288" s="90"/>
      <c r="C1288" s="91"/>
      <c r="D1288" s="91"/>
      <c r="E1288" s="80"/>
      <c r="F1288" s="92"/>
      <c r="G1288" s="79"/>
      <c r="H1288" s="82"/>
      <c r="I1288" s="93" t="str">
        <f aca="false">IF(B1288="","",IFERROR(INDEX('CARNET DE SOUDURE'!$B$7:$B$1506,MATCH(B1288,'CARNET DE SOUDURE'!$K$7:$K$1506,0)),IFERROR(INDEX('CARNET DE SOUDURE'!$B$7:$B$1506,MATCH(B1288,'CARNET DE SOUDURE'!$M$7:$M$1506,0)),"")))</f>
        <v/>
      </c>
      <c r="J1288" s="78" t="str">
        <f aca="false">IF(B1288="","",IFERROR(INDEX('CARNET DE SOUDURE'!$E$7:$E$1506,MATCH(B1288,'CARNET DE SOUDURE'!$M$7:$M$1506,0)),""))</f>
        <v/>
      </c>
      <c r="K1288" s="78" t="str">
        <f aca="false">IF(B1288="","",IFERROR(INDEX('CARNET DE SOUDURE'!$E$7:$E$1506,MATCH(B1288,'CARNET DE SOUDURE'!$K$7:$K$1506,0)),""))</f>
        <v/>
      </c>
      <c r="L1288" s="78" t="str">
        <f aca="false">IF(B1288="","",IFERROR(INDEX('CARNET DE SOUDURE'!$D$7:$D$1506,MATCH(B1288,'CARNET DE SOUDURE'!$K$7:$K$1506,0)),IFERROR(INDEX('CARNET DE SOUDURE'!$D$7:$D$1506,MATCH(B1288,'CARNET DE SOUDURE'!$M$7:$M$1506,0)),"")))</f>
        <v/>
      </c>
      <c r="M1288" s="81" t="str">
        <f aca="false">IF(B1288="","",IF(OR(J1288&lt;&gt;"",K1288&lt;&gt;""),"POSÉ EN LIGNE",IF(H1288&lt;&gt;"","BARDÉ","EN STOCK")))</f>
        <v/>
      </c>
      <c r="N1288" s="79"/>
    </row>
    <row r="1289" customFormat="false" ht="15" hidden="false" customHeight="false" outlineLevel="0" collapsed="false">
      <c r="A1289" s="78" t="str">
        <f aca="false">IF(B1289="","",ROW()-6)</f>
        <v/>
      </c>
      <c r="B1289" s="90"/>
      <c r="C1289" s="91"/>
      <c r="D1289" s="91"/>
      <c r="E1289" s="80"/>
      <c r="F1289" s="92"/>
      <c r="G1289" s="79"/>
      <c r="H1289" s="82"/>
      <c r="I1289" s="93" t="str">
        <f aca="false">IF(B1289="","",IFERROR(INDEX('CARNET DE SOUDURE'!$B$7:$B$1506,MATCH(B1289,'CARNET DE SOUDURE'!$K$7:$K$1506,0)),IFERROR(INDEX('CARNET DE SOUDURE'!$B$7:$B$1506,MATCH(B1289,'CARNET DE SOUDURE'!$M$7:$M$1506,0)),"")))</f>
        <v/>
      </c>
      <c r="J1289" s="78" t="str">
        <f aca="false">IF(B1289="","",IFERROR(INDEX('CARNET DE SOUDURE'!$E$7:$E$1506,MATCH(B1289,'CARNET DE SOUDURE'!$M$7:$M$1506,0)),""))</f>
        <v/>
      </c>
      <c r="K1289" s="78" t="str">
        <f aca="false">IF(B1289="","",IFERROR(INDEX('CARNET DE SOUDURE'!$E$7:$E$1506,MATCH(B1289,'CARNET DE SOUDURE'!$K$7:$K$1506,0)),""))</f>
        <v/>
      </c>
      <c r="L1289" s="78" t="str">
        <f aca="false">IF(B1289="","",IFERROR(INDEX('CARNET DE SOUDURE'!$D$7:$D$1506,MATCH(B1289,'CARNET DE SOUDURE'!$K$7:$K$1506,0)),IFERROR(INDEX('CARNET DE SOUDURE'!$D$7:$D$1506,MATCH(B1289,'CARNET DE SOUDURE'!$M$7:$M$1506,0)),"")))</f>
        <v/>
      </c>
      <c r="M1289" s="81" t="str">
        <f aca="false">IF(B1289="","",IF(OR(J1289&lt;&gt;"",K1289&lt;&gt;""),"POSÉ EN LIGNE",IF(H1289&lt;&gt;"","BARDÉ","EN STOCK")))</f>
        <v/>
      </c>
      <c r="N1289" s="79"/>
    </row>
    <row r="1290" customFormat="false" ht="15" hidden="false" customHeight="false" outlineLevel="0" collapsed="false">
      <c r="A1290" s="78" t="str">
        <f aca="false">IF(B1290="","",ROW()-6)</f>
        <v/>
      </c>
      <c r="B1290" s="90"/>
      <c r="C1290" s="91"/>
      <c r="D1290" s="91"/>
      <c r="E1290" s="80"/>
      <c r="F1290" s="92"/>
      <c r="G1290" s="79"/>
      <c r="H1290" s="82"/>
      <c r="I1290" s="93" t="str">
        <f aca="false">IF(B1290="","",IFERROR(INDEX('CARNET DE SOUDURE'!$B$7:$B$1506,MATCH(B1290,'CARNET DE SOUDURE'!$K$7:$K$1506,0)),IFERROR(INDEX('CARNET DE SOUDURE'!$B$7:$B$1506,MATCH(B1290,'CARNET DE SOUDURE'!$M$7:$M$1506,0)),"")))</f>
        <v/>
      </c>
      <c r="J1290" s="78" t="str">
        <f aca="false">IF(B1290="","",IFERROR(INDEX('CARNET DE SOUDURE'!$E$7:$E$1506,MATCH(B1290,'CARNET DE SOUDURE'!$M$7:$M$1506,0)),""))</f>
        <v/>
      </c>
      <c r="K1290" s="78" t="str">
        <f aca="false">IF(B1290="","",IFERROR(INDEX('CARNET DE SOUDURE'!$E$7:$E$1506,MATCH(B1290,'CARNET DE SOUDURE'!$K$7:$K$1506,0)),""))</f>
        <v/>
      </c>
      <c r="L1290" s="78" t="str">
        <f aca="false">IF(B1290="","",IFERROR(INDEX('CARNET DE SOUDURE'!$D$7:$D$1506,MATCH(B1290,'CARNET DE SOUDURE'!$K$7:$K$1506,0)),IFERROR(INDEX('CARNET DE SOUDURE'!$D$7:$D$1506,MATCH(B1290,'CARNET DE SOUDURE'!$M$7:$M$1506,0)),"")))</f>
        <v/>
      </c>
      <c r="M1290" s="81" t="str">
        <f aca="false">IF(B1290="","",IF(OR(J1290&lt;&gt;"",K1290&lt;&gt;""),"POSÉ EN LIGNE",IF(H1290&lt;&gt;"","BARDÉ","EN STOCK")))</f>
        <v/>
      </c>
      <c r="N1290" s="79"/>
    </row>
    <row r="1291" customFormat="false" ht="15" hidden="false" customHeight="false" outlineLevel="0" collapsed="false">
      <c r="A1291" s="78" t="str">
        <f aca="false">IF(B1291="","",ROW()-6)</f>
        <v/>
      </c>
      <c r="B1291" s="90"/>
      <c r="C1291" s="91"/>
      <c r="D1291" s="91"/>
      <c r="E1291" s="80"/>
      <c r="F1291" s="92"/>
      <c r="G1291" s="79"/>
      <c r="H1291" s="82"/>
      <c r="I1291" s="93" t="str">
        <f aca="false">IF(B1291="","",IFERROR(INDEX('CARNET DE SOUDURE'!$B$7:$B$1506,MATCH(B1291,'CARNET DE SOUDURE'!$K$7:$K$1506,0)),IFERROR(INDEX('CARNET DE SOUDURE'!$B$7:$B$1506,MATCH(B1291,'CARNET DE SOUDURE'!$M$7:$M$1506,0)),"")))</f>
        <v/>
      </c>
      <c r="J1291" s="78" t="str">
        <f aca="false">IF(B1291="","",IFERROR(INDEX('CARNET DE SOUDURE'!$E$7:$E$1506,MATCH(B1291,'CARNET DE SOUDURE'!$M$7:$M$1506,0)),""))</f>
        <v/>
      </c>
      <c r="K1291" s="78" t="str">
        <f aca="false">IF(B1291="","",IFERROR(INDEX('CARNET DE SOUDURE'!$E$7:$E$1506,MATCH(B1291,'CARNET DE SOUDURE'!$K$7:$K$1506,0)),""))</f>
        <v/>
      </c>
      <c r="L1291" s="78" t="str">
        <f aca="false">IF(B1291="","",IFERROR(INDEX('CARNET DE SOUDURE'!$D$7:$D$1506,MATCH(B1291,'CARNET DE SOUDURE'!$K$7:$K$1506,0)),IFERROR(INDEX('CARNET DE SOUDURE'!$D$7:$D$1506,MATCH(B1291,'CARNET DE SOUDURE'!$M$7:$M$1506,0)),"")))</f>
        <v/>
      </c>
      <c r="M1291" s="81" t="str">
        <f aca="false">IF(B1291="","",IF(OR(J1291&lt;&gt;"",K1291&lt;&gt;""),"POSÉ EN LIGNE",IF(H1291&lt;&gt;"","BARDÉ","EN STOCK")))</f>
        <v/>
      </c>
      <c r="N1291" s="79"/>
    </row>
    <row r="1292" customFormat="false" ht="15" hidden="false" customHeight="false" outlineLevel="0" collapsed="false">
      <c r="A1292" s="78" t="str">
        <f aca="false">IF(B1292="","",ROW()-6)</f>
        <v/>
      </c>
      <c r="B1292" s="90"/>
      <c r="C1292" s="91"/>
      <c r="D1292" s="91"/>
      <c r="E1292" s="80"/>
      <c r="F1292" s="92"/>
      <c r="G1292" s="79"/>
      <c r="H1292" s="82"/>
      <c r="I1292" s="93" t="str">
        <f aca="false">IF(B1292="","",IFERROR(INDEX('CARNET DE SOUDURE'!$B$7:$B$1506,MATCH(B1292,'CARNET DE SOUDURE'!$K$7:$K$1506,0)),IFERROR(INDEX('CARNET DE SOUDURE'!$B$7:$B$1506,MATCH(B1292,'CARNET DE SOUDURE'!$M$7:$M$1506,0)),"")))</f>
        <v/>
      </c>
      <c r="J1292" s="78" t="str">
        <f aca="false">IF(B1292="","",IFERROR(INDEX('CARNET DE SOUDURE'!$E$7:$E$1506,MATCH(B1292,'CARNET DE SOUDURE'!$M$7:$M$1506,0)),""))</f>
        <v/>
      </c>
      <c r="K1292" s="78" t="str">
        <f aca="false">IF(B1292="","",IFERROR(INDEX('CARNET DE SOUDURE'!$E$7:$E$1506,MATCH(B1292,'CARNET DE SOUDURE'!$K$7:$K$1506,0)),""))</f>
        <v/>
      </c>
      <c r="L1292" s="78" t="str">
        <f aca="false">IF(B1292="","",IFERROR(INDEX('CARNET DE SOUDURE'!$D$7:$D$1506,MATCH(B1292,'CARNET DE SOUDURE'!$K$7:$K$1506,0)),IFERROR(INDEX('CARNET DE SOUDURE'!$D$7:$D$1506,MATCH(B1292,'CARNET DE SOUDURE'!$M$7:$M$1506,0)),"")))</f>
        <v/>
      </c>
      <c r="M1292" s="81" t="str">
        <f aca="false">IF(B1292="","",IF(OR(J1292&lt;&gt;"",K1292&lt;&gt;""),"POSÉ EN LIGNE",IF(H1292&lt;&gt;"","BARDÉ","EN STOCK")))</f>
        <v/>
      </c>
      <c r="N1292" s="79"/>
    </row>
    <row r="1293" customFormat="false" ht="15" hidden="false" customHeight="false" outlineLevel="0" collapsed="false">
      <c r="A1293" s="78" t="str">
        <f aca="false">IF(B1293="","",ROW()-6)</f>
        <v/>
      </c>
      <c r="B1293" s="90"/>
      <c r="C1293" s="91"/>
      <c r="D1293" s="91"/>
      <c r="E1293" s="80"/>
      <c r="F1293" s="92"/>
      <c r="G1293" s="79"/>
      <c r="H1293" s="82"/>
      <c r="I1293" s="93" t="str">
        <f aca="false">IF(B1293="","",IFERROR(INDEX('CARNET DE SOUDURE'!$B$7:$B$1506,MATCH(B1293,'CARNET DE SOUDURE'!$K$7:$K$1506,0)),IFERROR(INDEX('CARNET DE SOUDURE'!$B$7:$B$1506,MATCH(B1293,'CARNET DE SOUDURE'!$M$7:$M$1506,0)),"")))</f>
        <v/>
      </c>
      <c r="J1293" s="78" t="str">
        <f aca="false">IF(B1293="","",IFERROR(INDEX('CARNET DE SOUDURE'!$E$7:$E$1506,MATCH(B1293,'CARNET DE SOUDURE'!$M$7:$M$1506,0)),""))</f>
        <v/>
      </c>
      <c r="K1293" s="78" t="str">
        <f aca="false">IF(B1293="","",IFERROR(INDEX('CARNET DE SOUDURE'!$E$7:$E$1506,MATCH(B1293,'CARNET DE SOUDURE'!$K$7:$K$1506,0)),""))</f>
        <v/>
      </c>
      <c r="L1293" s="78" t="str">
        <f aca="false">IF(B1293="","",IFERROR(INDEX('CARNET DE SOUDURE'!$D$7:$D$1506,MATCH(B1293,'CARNET DE SOUDURE'!$K$7:$K$1506,0)),IFERROR(INDEX('CARNET DE SOUDURE'!$D$7:$D$1506,MATCH(B1293,'CARNET DE SOUDURE'!$M$7:$M$1506,0)),"")))</f>
        <v/>
      </c>
      <c r="M1293" s="81" t="str">
        <f aca="false">IF(B1293="","",IF(OR(J1293&lt;&gt;"",K1293&lt;&gt;""),"POSÉ EN LIGNE",IF(H1293&lt;&gt;"","BARDÉ","EN STOCK")))</f>
        <v/>
      </c>
      <c r="N1293" s="79"/>
    </row>
    <row r="1294" customFormat="false" ht="15" hidden="false" customHeight="false" outlineLevel="0" collapsed="false">
      <c r="A1294" s="78" t="str">
        <f aca="false">IF(B1294="","",ROW()-6)</f>
        <v/>
      </c>
      <c r="B1294" s="90"/>
      <c r="C1294" s="91"/>
      <c r="D1294" s="91"/>
      <c r="E1294" s="80"/>
      <c r="F1294" s="92"/>
      <c r="G1294" s="79"/>
      <c r="H1294" s="82"/>
      <c r="I1294" s="93" t="str">
        <f aca="false">IF(B1294="","",IFERROR(INDEX('CARNET DE SOUDURE'!$B$7:$B$1506,MATCH(B1294,'CARNET DE SOUDURE'!$K$7:$K$1506,0)),IFERROR(INDEX('CARNET DE SOUDURE'!$B$7:$B$1506,MATCH(B1294,'CARNET DE SOUDURE'!$M$7:$M$1506,0)),"")))</f>
        <v/>
      </c>
      <c r="J1294" s="78" t="str">
        <f aca="false">IF(B1294="","",IFERROR(INDEX('CARNET DE SOUDURE'!$E$7:$E$1506,MATCH(B1294,'CARNET DE SOUDURE'!$M$7:$M$1506,0)),""))</f>
        <v/>
      </c>
      <c r="K1294" s="78" t="str">
        <f aca="false">IF(B1294="","",IFERROR(INDEX('CARNET DE SOUDURE'!$E$7:$E$1506,MATCH(B1294,'CARNET DE SOUDURE'!$K$7:$K$1506,0)),""))</f>
        <v/>
      </c>
      <c r="L1294" s="78" t="str">
        <f aca="false">IF(B1294="","",IFERROR(INDEX('CARNET DE SOUDURE'!$D$7:$D$1506,MATCH(B1294,'CARNET DE SOUDURE'!$K$7:$K$1506,0)),IFERROR(INDEX('CARNET DE SOUDURE'!$D$7:$D$1506,MATCH(B1294,'CARNET DE SOUDURE'!$M$7:$M$1506,0)),"")))</f>
        <v/>
      </c>
      <c r="M1294" s="81" t="str">
        <f aca="false">IF(B1294="","",IF(OR(J1294&lt;&gt;"",K1294&lt;&gt;""),"POSÉ EN LIGNE",IF(H1294&lt;&gt;"","BARDÉ","EN STOCK")))</f>
        <v/>
      </c>
      <c r="N1294" s="79"/>
    </row>
    <row r="1295" customFormat="false" ht="15" hidden="false" customHeight="false" outlineLevel="0" collapsed="false">
      <c r="A1295" s="78" t="str">
        <f aca="false">IF(B1295="","",ROW()-6)</f>
        <v/>
      </c>
      <c r="B1295" s="90"/>
      <c r="C1295" s="91"/>
      <c r="D1295" s="91"/>
      <c r="E1295" s="80"/>
      <c r="F1295" s="92"/>
      <c r="G1295" s="79"/>
      <c r="H1295" s="82"/>
      <c r="I1295" s="93" t="str">
        <f aca="false">IF(B1295="","",IFERROR(INDEX('CARNET DE SOUDURE'!$B$7:$B$1506,MATCH(B1295,'CARNET DE SOUDURE'!$K$7:$K$1506,0)),IFERROR(INDEX('CARNET DE SOUDURE'!$B$7:$B$1506,MATCH(B1295,'CARNET DE SOUDURE'!$M$7:$M$1506,0)),"")))</f>
        <v/>
      </c>
      <c r="J1295" s="78" t="str">
        <f aca="false">IF(B1295="","",IFERROR(INDEX('CARNET DE SOUDURE'!$E$7:$E$1506,MATCH(B1295,'CARNET DE SOUDURE'!$M$7:$M$1506,0)),""))</f>
        <v/>
      </c>
      <c r="K1295" s="78" t="str">
        <f aca="false">IF(B1295="","",IFERROR(INDEX('CARNET DE SOUDURE'!$E$7:$E$1506,MATCH(B1295,'CARNET DE SOUDURE'!$K$7:$K$1506,0)),""))</f>
        <v/>
      </c>
      <c r="L1295" s="78" t="str">
        <f aca="false">IF(B1295="","",IFERROR(INDEX('CARNET DE SOUDURE'!$D$7:$D$1506,MATCH(B1295,'CARNET DE SOUDURE'!$K$7:$K$1506,0)),IFERROR(INDEX('CARNET DE SOUDURE'!$D$7:$D$1506,MATCH(B1295,'CARNET DE SOUDURE'!$M$7:$M$1506,0)),"")))</f>
        <v/>
      </c>
      <c r="M1295" s="81" t="str">
        <f aca="false">IF(B1295="","",IF(OR(J1295&lt;&gt;"",K1295&lt;&gt;""),"POSÉ EN LIGNE",IF(H1295&lt;&gt;"","BARDÉ","EN STOCK")))</f>
        <v/>
      </c>
      <c r="N1295" s="79"/>
    </row>
    <row r="1296" customFormat="false" ht="15" hidden="false" customHeight="false" outlineLevel="0" collapsed="false">
      <c r="A1296" s="78" t="str">
        <f aca="false">IF(B1296="","",ROW()-6)</f>
        <v/>
      </c>
      <c r="B1296" s="90"/>
      <c r="C1296" s="91"/>
      <c r="D1296" s="91"/>
      <c r="E1296" s="80"/>
      <c r="F1296" s="92"/>
      <c r="G1296" s="79"/>
      <c r="H1296" s="82"/>
      <c r="I1296" s="93" t="str">
        <f aca="false">IF(B1296="","",IFERROR(INDEX('CARNET DE SOUDURE'!$B$7:$B$1506,MATCH(B1296,'CARNET DE SOUDURE'!$K$7:$K$1506,0)),IFERROR(INDEX('CARNET DE SOUDURE'!$B$7:$B$1506,MATCH(B1296,'CARNET DE SOUDURE'!$M$7:$M$1506,0)),"")))</f>
        <v/>
      </c>
      <c r="J1296" s="78" t="str">
        <f aca="false">IF(B1296="","",IFERROR(INDEX('CARNET DE SOUDURE'!$E$7:$E$1506,MATCH(B1296,'CARNET DE SOUDURE'!$M$7:$M$1506,0)),""))</f>
        <v/>
      </c>
      <c r="K1296" s="78" t="str">
        <f aca="false">IF(B1296="","",IFERROR(INDEX('CARNET DE SOUDURE'!$E$7:$E$1506,MATCH(B1296,'CARNET DE SOUDURE'!$K$7:$K$1506,0)),""))</f>
        <v/>
      </c>
      <c r="L1296" s="78" t="str">
        <f aca="false">IF(B1296="","",IFERROR(INDEX('CARNET DE SOUDURE'!$D$7:$D$1506,MATCH(B1296,'CARNET DE SOUDURE'!$K$7:$K$1506,0)),IFERROR(INDEX('CARNET DE SOUDURE'!$D$7:$D$1506,MATCH(B1296,'CARNET DE SOUDURE'!$M$7:$M$1506,0)),"")))</f>
        <v/>
      </c>
      <c r="M1296" s="81" t="str">
        <f aca="false">IF(B1296="","",IF(OR(J1296&lt;&gt;"",K1296&lt;&gt;""),"POSÉ EN LIGNE",IF(H1296&lt;&gt;"","BARDÉ","EN STOCK")))</f>
        <v/>
      </c>
      <c r="N1296" s="79"/>
    </row>
    <row r="1297" customFormat="false" ht="15" hidden="false" customHeight="false" outlineLevel="0" collapsed="false">
      <c r="A1297" s="78" t="str">
        <f aca="false">IF(B1297="","",ROW()-6)</f>
        <v/>
      </c>
      <c r="B1297" s="90"/>
      <c r="C1297" s="91"/>
      <c r="D1297" s="91"/>
      <c r="E1297" s="80"/>
      <c r="F1297" s="92"/>
      <c r="G1297" s="79"/>
      <c r="H1297" s="82"/>
      <c r="I1297" s="93" t="str">
        <f aca="false">IF(B1297="","",IFERROR(INDEX('CARNET DE SOUDURE'!$B$7:$B$1506,MATCH(B1297,'CARNET DE SOUDURE'!$K$7:$K$1506,0)),IFERROR(INDEX('CARNET DE SOUDURE'!$B$7:$B$1506,MATCH(B1297,'CARNET DE SOUDURE'!$M$7:$M$1506,0)),"")))</f>
        <v/>
      </c>
      <c r="J1297" s="78" t="str">
        <f aca="false">IF(B1297="","",IFERROR(INDEX('CARNET DE SOUDURE'!$E$7:$E$1506,MATCH(B1297,'CARNET DE SOUDURE'!$M$7:$M$1506,0)),""))</f>
        <v/>
      </c>
      <c r="K1297" s="78" t="str">
        <f aca="false">IF(B1297="","",IFERROR(INDEX('CARNET DE SOUDURE'!$E$7:$E$1506,MATCH(B1297,'CARNET DE SOUDURE'!$K$7:$K$1506,0)),""))</f>
        <v/>
      </c>
      <c r="L1297" s="78" t="str">
        <f aca="false">IF(B1297="","",IFERROR(INDEX('CARNET DE SOUDURE'!$D$7:$D$1506,MATCH(B1297,'CARNET DE SOUDURE'!$K$7:$K$1506,0)),IFERROR(INDEX('CARNET DE SOUDURE'!$D$7:$D$1506,MATCH(B1297,'CARNET DE SOUDURE'!$M$7:$M$1506,0)),"")))</f>
        <v/>
      </c>
      <c r="M1297" s="81" t="str">
        <f aca="false">IF(B1297="","",IF(OR(J1297&lt;&gt;"",K1297&lt;&gt;""),"POSÉ EN LIGNE",IF(H1297&lt;&gt;"","BARDÉ","EN STOCK")))</f>
        <v/>
      </c>
      <c r="N1297" s="79"/>
    </row>
    <row r="1298" customFormat="false" ht="15" hidden="false" customHeight="false" outlineLevel="0" collapsed="false">
      <c r="A1298" s="78" t="str">
        <f aca="false">IF(B1298="","",ROW()-6)</f>
        <v/>
      </c>
      <c r="B1298" s="90"/>
      <c r="C1298" s="91"/>
      <c r="D1298" s="91"/>
      <c r="E1298" s="80"/>
      <c r="F1298" s="92"/>
      <c r="G1298" s="79"/>
      <c r="H1298" s="82"/>
      <c r="I1298" s="93" t="str">
        <f aca="false">IF(B1298="","",IFERROR(INDEX('CARNET DE SOUDURE'!$B$7:$B$1506,MATCH(B1298,'CARNET DE SOUDURE'!$K$7:$K$1506,0)),IFERROR(INDEX('CARNET DE SOUDURE'!$B$7:$B$1506,MATCH(B1298,'CARNET DE SOUDURE'!$M$7:$M$1506,0)),"")))</f>
        <v/>
      </c>
      <c r="J1298" s="78" t="str">
        <f aca="false">IF(B1298="","",IFERROR(INDEX('CARNET DE SOUDURE'!$E$7:$E$1506,MATCH(B1298,'CARNET DE SOUDURE'!$M$7:$M$1506,0)),""))</f>
        <v/>
      </c>
      <c r="K1298" s="78" t="str">
        <f aca="false">IF(B1298="","",IFERROR(INDEX('CARNET DE SOUDURE'!$E$7:$E$1506,MATCH(B1298,'CARNET DE SOUDURE'!$K$7:$K$1506,0)),""))</f>
        <v/>
      </c>
      <c r="L1298" s="78" t="str">
        <f aca="false">IF(B1298="","",IFERROR(INDEX('CARNET DE SOUDURE'!$D$7:$D$1506,MATCH(B1298,'CARNET DE SOUDURE'!$K$7:$K$1506,0)),IFERROR(INDEX('CARNET DE SOUDURE'!$D$7:$D$1506,MATCH(B1298,'CARNET DE SOUDURE'!$M$7:$M$1506,0)),"")))</f>
        <v/>
      </c>
      <c r="M1298" s="81" t="str">
        <f aca="false">IF(B1298="","",IF(OR(J1298&lt;&gt;"",K1298&lt;&gt;""),"POSÉ EN LIGNE",IF(H1298&lt;&gt;"","BARDÉ","EN STOCK")))</f>
        <v/>
      </c>
      <c r="N1298" s="79"/>
    </row>
    <row r="1299" customFormat="false" ht="15" hidden="false" customHeight="false" outlineLevel="0" collapsed="false">
      <c r="A1299" s="78" t="str">
        <f aca="false">IF(B1299="","",ROW()-6)</f>
        <v/>
      </c>
      <c r="B1299" s="90"/>
      <c r="C1299" s="91"/>
      <c r="D1299" s="91"/>
      <c r="E1299" s="80"/>
      <c r="F1299" s="92"/>
      <c r="G1299" s="79"/>
      <c r="H1299" s="82"/>
      <c r="I1299" s="93" t="str">
        <f aca="false">IF(B1299="","",IFERROR(INDEX('CARNET DE SOUDURE'!$B$7:$B$1506,MATCH(B1299,'CARNET DE SOUDURE'!$K$7:$K$1506,0)),IFERROR(INDEX('CARNET DE SOUDURE'!$B$7:$B$1506,MATCH(B1299,'CARNET DE SOUDURE'!$M$7:$M$1506,0)),"")))</f>
        <v/>
      </c>
      <c r="J1299" s="78" t="str">
        <f aca="false">IF(B1299="","",IFERROR(INDEX('CARNET DE SOUDURE'!$E$7:$E$1506,MATCH(B1299,'CARNET DE SOUDURE'!$M$7:$M$1506,0)),""))</f>
        <v/>
      </c>
      <c r="K1299" s="78" t="str">
        <f aca="false">IF(B1299="","",IFERROR(INDEX('CARNET DE SOUDURE'!$E$7:$E$1506,MATCH(B1299,'CARNET DE SOUDURE'!$K$7:$K$1506,0)),""))</f>
        <v/>
      </c>
      <c r="L1299" s="78" t="str">
        <f aca="false">IF(B1299="","",IFERROR(INDEX('CARNET DE SOUDURE'!$D$7:$D$1506,MATCH(B1299,'CARNET DE SOUDURE'!$K$7:$K$1506,0)),IFERROR(INDEX('CARNET DE SOUDURE'!$D$7:$D$1506,MATCH(B1299,'CARNET DE SOUDURE'!$M$7:$M$1506,0)),"")))</f>
        <v/>
      </c>
      <c r="M1299" s="81" t="str">
        <f aca="false">IF(B1299="","",IF(OR(J1299&lt;&gt;"",K1299&lt;&gt;""),"POSÉ EN LIGNE",IF(H1299&lt;&gt;"","BARDÉ","EN STOCK")))</f>
        <v/>
      </c>
      <c r="N1299" s="79"/>
    </row>
    <row r="1300" customFormat="false" ht="15" hidden="false" customHeight="false" outlineLevel="0" collapsed="false">
      <c r="A1300" s="78" t="str">
        <f aca="false">IF(B1300="","",ROW()-6)</f>
        <v/>
      </c>
      <c r="B1300" s="90"/>
      <c r="C1300" s="91"/>
      <c r="D1300" s="91"/>
      <c r="E1300" s="80"/>
      <c r="F1300" s="92"/>
      <c r="G1300" s="79"/>
      <c r="H1300" s="82"/>
      <c r="I1300" s="93" t="str">
        <f aca="false">IF(B1300="","",IFERROR(INDEX('CARNET DE SOUDURE'!$B$7:$B$1506,MATCH(B1300,'CARNET DE SOUDURE'!$K$7:$K$1506,0)),IFERROR(INDEX('CARNET DE SOUDURE'!$B$7:$B$1506,MATCH(B1300,'CARNET DE SOUDURE'!$M$7:$M$1506,0)),"")))</f>
        <v/>
      </c>
      <c r="J1300" s="78" t="str">
        <f aca="false">IF(B1300="","",IFERROR(INDEX('CARNET DE SOUDURE'!$E$7:$E$1506,MATCH(B1300,'CARNET DE SOUDURE'!$M$7:$M$1506,0)),""))</f>
        <v/>
      </c>
      <c r="K1300" s="78" t="str">
        <f aca="false">IF(B1300="","",IFERROR(INDEX('CARNET DE SOUDURE'!$E$7:$E$1506,MATCH(B1300,'CARNET DE SOUDURE'!$K$7:$K$1506,0)),""))</f>
        <v/>
      </c>
      <c r="L1300" s="78" t="str">
        <f aca="false">IF(B1300="","",IFERROR(INDEX('CARNET DE SOUDURE'!$D$7:$D$1506,MATCH(B1300,'CARNET DE SOUDURE'!$K$7:$K$1506,0)),IFERROR(INDEX('CARNET DE SOUDURE'!$D$7:$D$1506,MATCH(B1300,'CARNET DE SOUDURE'!$M$7:$M$1506,0)),"")))</f>
        <v/>
      </c>
      <c r="M1300" s="81" t="str">
        <f aca="false">IF(B1300="","",IF(OR(J1300&lt;&gt;"",K1300&lt;&gt;""),"POSÉ EN LIGNE",IF(H1300&lt;&gt;"","BARDÉ","EN STOCK")))</f>
        <v/>
      </c>
      <c r="N1300" s="79"/>
    </row>
    <row r="1301" customFormat="false" ht="15" hidden="false" customHeight="false" outlineLevel="0" collapsed="false">
      <c r="A1301" s="78" t="str">
        <f aca="false">IF(B1301="","",ROW()-6)</f>
        <v/>
      </c>
      <c r="B1301" s="90"/>
      <c r="C1301" s="91"/>
      <c r="D1301" s="91"/>
      <c r="E1301" s="80"/>
      <c r="F1301" s="92"/>
      <c r="G1301" s="79"/>
      <c r="H1301" s="82"/>
      <c r="I1301" s="93" t="str">
        <f aca="false">IF(B1301="","",IFERROR(INDEX('CARNET DE SOUDURE'!$B$7:$B$1506,MATCH(B1301,'CARNET DE SOUDURE'!$K$7:$K$1506,0)),IFERROR(INDEX('CARNET DE SOUDURE'!$B$7:$B$1506,MATCH(B1301,'CARNET DE SOUDURE'!$M$7:$M$1506,0)),"")))</f>
        <v/>
      </c>
      <c r="J1301" s="78" t="str">
        <f aca="false">IF(B1301="","",IFERROR(INDEX('CARNET DE SOUDURE'!$E$7:$E$1506,MATCH(B1301,'CARNET DE SOUDURE'!$M$7:$M$1506,0)),""))</f>
        <v/>
      </c>
      <c r="K1301" s="78" t="str">
        <f aca="false">IF(B1301="","",IFERROR(INDEX('CARNET DE SOUDURE'!$E$7:$E$1506,MATCH(B1301,'CARNET DE SOUDURE'!$K$7:$K$1506,0)),""))</f>
        <v/>
      </c>
      <c r="L1301" s="78" t="str">
        <f aca="false">IF(B1301="","",IFERROR(INDEX('CARNET DE SOUDURE'!$D$7:$D$1506,MATCH(B1301,'CARNET DE SOUDURE'!$K$7:$K$1506,0)),IFERROR(INDEX('CARNET DE SOUDURE'!$D$7:$D$1506,MATCH(B1301,'CARNET DE SOUDURE'!$M$7:$M$1506,0)),"")))</f>
        <v/>
      </c>
      <c r="M1301" s="81" t="str">
        <f aca="false">IF(B1301="","",IF(OR(J1301&lt;&gt;"",K1301&lt;&gt;""),"POSÉ EN LIGNE",IF(H1301&lt;&gt;"","BARDÉ","EN STOCK")))</f>
        <v/>
      </c>
      <c r="N1301" s="79"/>
    </row>
    <row r="1302" customFormat="false" ht="15" hidden="false" customHeight="false" outlineLevel="0" collapsed="false">
      <c r="A1302" s="78" t="str">
        <f aca="false">IF(B1302="","",ROW()-6)</f>
        <v/>
      </c>
      <c r="B1302" s="90"/>
      <c r="C1302" s="91"/>
      <c r="D1302" s="91"/>
      <c r="E1302" s="80"/>
      <c r="F1302" s="92"/>
      <c r="G1302" s="79"/>
      <c r="H1302" s="82"/>
      <c r="I1302" s="93" t="str">
        <f aca="false">IF(B1302="","",IFERROR(INDEX('CARNET DE SOUDURE'!$B$7:$B$1506,MATCH(B1302,'CARNET DE SOUDURE'!$K$7:$K$1506,0)),IFERROR(INDEX('CARNET DE SOUDURE'!$B$7:$B$1506,MATCH(B1302,'CARNET DE SOUDURE'!$M$7:$M$1506,0)),"")))</f>
        <v/>
      </c>
      <c r="J1302" s="78" t="str">
        <f aca="false">IF(B1302="","",IFERROR(INDEX('CARNET DE SOUDURE'!$E$7:$E$1506,MATCH(B1302,'CARNET DE SOUDURE'!$M$7:$M$1506,0)),""))</f>
        <v/>
      </c>
      <c r="K1302" s="78" t="str">
        <f aca="false">IF(B1302="","",IFERROR(INDEX('CARNET DE SOUDURE'!$E$7:$E$1506,MATCH(B1302,'CARNET DE SOUDURE'!$K$7:$K$1506,0)),""))</f>
        <v/>
      </c>
      <c r="L1302" s="78" t="str">
        <f aca="false">IF(B1302="","",IFERROR(INDEX('CARNET DE SOUDURE'!$D$7:$D$1506,MATCH(B1302,'CARNET DE SOUDURE'!$K$7:$K$1506,0)),IFERROR(INDEX('CARNET DE SOUDURE'!$D$7:$D$1506,MATCH(B1302,'CARNET DE SOUDURE'!$M$7:$M$1506,0)),"")))</f>
        <v/>
      </c>
      <c r="M1302" s="81" t="str">
        <f aca="false">IF(B1302="","",IF(OR(J1302&lt;&gt;"",K1302&lt;&gt;""),"POSÉ EN LIGNE",IF(H1302&lt;&gt;"","BARDÉ","EN STOCK")))</f>
        <v/>
      </c>
      <c r="N1302" s="79"/>
    </row>
    <row r="1303" customFormat="false" ht="15" hidden="false" customHeight="false" outlineLevel="0" collapsed="false">
      <c r="A1303" s="78" t="str">
        <f aca="false">IF(B1303="","",ROW()-6)</f>
        <v/>
      </c>
      <c r="B1303" s="90"/>
      <c r="C1303" s="91"/>
      <c r="D1303" s="91"/>
      <c r="E1303" s="80"/>
      <c r="F1303" s="92"/>
      <c r="G1303" s="79"/>
      <c r="H1303" s="82"/>
      <c r="I1303" s="93" t="str">
        <f aca="false">IF(B1303="","",IFERROR(INDEX('CARNET DE SOUDURE'!$B$7:$B$1506,MATCH(B1303,'CARNET DE SOUDURE'!$K$7:$K$1506,0)),IFERROR(INDEX('CARNET DE SOUDURE'!$B$7:$B$1506,MATCH(B1303,'CARNET DE SOUDURE'!$M$7:$M$1506,0)),"")))</f>
        <v/>
      </c>
      <c r="J1303" s="78" t="str">
        <f aca="false">IF(B1303="","",IFERROR(INDEX('CARNET DE SOUDURE'!$E$7:$E$1506,MATCH(B1303,'CARNET DE SOUDURE'!$M$7:$M$1506,0)),""))</f>
        <v/>
      </c>
      <c r="K1303" s="78" t="str">
        <f aca="false">IF(B1303="","",IFERROR(INDEX('CARNET DE SOUDURE'!$E$7:$E$1506,MATCH(B1303,'CARNET DE SOUDURE'!$K$7:$K$1506,0)),""))</f>
        <v/>
      </c>
      <c r="L1303" s="78" t="str">
        <f aca="false">IF(B1303="","",IFERROR(INDEX('CARNET DE SOUDURE'!$D$7:$D$1506,MATCH(B1303,'CARNET DE SOUDURE'!$K$7:$K$1506,0)),IFERROR(INDEX('CARNET DE SOUDURE'!$D$7:$D$1506,MATCH(B1303,'CARNET DE SOUDURE'!$M$7:$M$1506,0)),"")))</f>
        <v/>
      </c>
      <c r="M1303" s="81" t="str">
        <f aca="false">IF(B1303="","",IF(OR(J1303&lt;&gt;"",K1303&lt;&gt;""),"POSÉ EN LIGNE",IF(H1303&lt;&gt;"","BARDÉ","EN STOCK")))</f>
        <v/>
      </c>
      <c r="N1303" s="79"/>
    </row>
    <row r="1304" customFormat="false" ht="15" hidden="false" customHeight="false" outlineLevel="0" collapsed="false">
      <c r="A1304" s="78" t="str">
        <f aca="false">IF(B1304="","",ROW()-6)</f>
        <v/>
      </c>
      <c r="B1304" s="90"/>
      <c r="C1304" s="91"/>
      <c r="D1304" s="91"/>
      <c r="E1304" s="80"/>
      <c r="F1304" s="92"/>
      <c r="G1304" s="79"/>
      <c r="H1304" s="82"/>
      <c r="I1304" s="93" t="str">
        <f aca="false">IF(B1304="","",IFERROR(INDEX('CARNET DE SOUDURE'!$B$7:$B$1506,MATCH(B1304,'CARNET DE SOUDURE'!$K$7:$K$1506,0)),IFERROR(INDEX('CARNET DE SOUDURE'!$B$7:$B$1506,MATCH(B1304,'CARNET DE SOUDURE'!$M$7:$M$1506,0)),"")))</f>
        <v/>
      </c>
      <c r="J1304" s="78" t="str">
        <f aca="false">IF(B1304="","",IFERROR(INDEX('CARNET DE SOUDURE'!$E$7:$E$1506,MATCH(B1304,'CARNET DE SOUDURE'!$M$7:$M$1506,0)),""))</f>
        <v/>
      </c>
      <c r="K1304" s="78" t="str">
        <f aca="false">IF(B1304="","",IFERROR(INDEX('CARNET DE SOUDURE'!$E$7:$E$1506,MATCH(B1304,'CARNET DE SOUDURE'!$K$7:$K$1506,0)),""))</f>
        <v/>
      </c>
      <c r="L1304" s="78" t="str">
        <f aca="false">IF(B1304="","",IFERROR(INDEX('CARNET DE SOUDURE'!$D$7:$D$1506,MATCH(B1304,'CARNET DE SOUDURE'!$K$7:$K$1506,0)),IFERROR(INDEX('CARNET DE SOUDURE'!$D$7:$D$1506,MATCH(B1304,'CARNET DE SOUDURE'!$M$7:$M$1506,0)),"")))</f>
        <v/>
      </c>
      <c r="M1304" s="81" t="str">
        <f aca="false">IF(B1304="","",IF(OR(J1304&lt;&gt;"",K1304&lt;&gt;""),"POSÉ EN LIGNE",IF(H1304&lt;&gt;"","BARDÉ","EN STOCK")))</f>
        <v/>
      </c>
      <c r="N1304" s="79"/>
    </row>
    <row r="1305" customFormat="false" ht="15" hidden="false" customHeight="false" outlineLevel="0" collapsed="false">
      <c r="A1305" s="78" t="str">
        <f aca="false">IF(B1305="","",ROW()-6)</f>
        <v/>
      </c>
      <c r="B1305" s="90"/>
      <c r="C1305" s="91"/>
      <c r="D1305" s="91"/>
      <c r="E1305" s="80"/>
      <c r="F1305" s="92"/>
      <c r="G1305" s="79"/>
      <c r="H1305" s="82"/>
      <c r="I1305" s="93" t="str">
        <f aca="false">IF(B1305="","",IFERROR(INDEX('CARNET DE SOUDURE'!$B$7:$B$1506,MATCH(B1305,'CARNET DE SOUDURE'!$K$7:$K$1506,0)),IFERROR(INDEX('CARNET DE SOUDURE'!$B$7:$B$1506,MATCH(B1305,'CARNET DE SOUDURE'!$M$7:$M$1506,0)),"")))</f>
        <v/>
      </c>
      <c r="J1305" s="78" t="str">
        <f aca="false">IF(B1305="","",IFERROR(INDEX('CARNET DE SOUDURE'!$E$7:$E$1506,MATCH(B1305,'CARNET DE SOUDURE'!$M$7:$M$1506,0)),""))</f>
        <v/>
      </c>
      <c r="K1305" s="78" t="str">
        <f aca="false">IF(B1305="","",IFERROR(INDEX('CARNET DE SOUDURE'!$E$7:$E$1506,MATCH(B1305,'CARNET DE SOUDURE'!$K$7:$K$1506,0)),""))</f>
        <v/>
      </c>
      <c r="L1305" s="78" t="str">
        <f aca="false">IF(B1305="","",IFERROR(INDEX('CARNET DE SOUDURE'!$D$7:$D$1506,MATCH(B1305,'CARNET DE SOUDURE'!$K$7:$K$1506,0)),IFERROR(INDEX('CARNET DE SOUDURE'!$D$7:$D$1506,MATCH(B1305,'CARNET DE SOUDURE'!$M$7:$M$1506,0)),"")))</f>
        <v/>
      </c>
      <c r="M1305" s="81" t="str">
        <f aca="false">IF(B1305="","",IF(OR(J1305&lt;&gt;"",K1305&lt;&gt;""),"POSÉ EN LIGNE",IF(H1305&lt;&gt;"","BARDÉ","EN STOCK")))</f>
        <v/>
      </c>
      <c r="N1305" s="79"/>
    </row>
    <row r="1306" customFormat="false" ht="15" hidden="false" customHeight="false" outlineLevel="0" collapsed="false">
      <c r="A1306" s="78" t="str">
        <f aca="false">IF(B1306="","",ROW()-6)</f>
        <v/>
      </c>
      <c r="B1306" s="90"/>
      <c r="C1306" s="91"/>
      <c r="D1306" s="91"/>
      <c r="E1306" s="80"/>
      <c r="F1306" s="92"/>
      <c r="G1306" s="79"/>
      <c r="H1306" s="82"/>
      <c r="I1306" s="93" t="str">
        <f aca="false">IF(B1306="","",IFERROR(INDEX('CARNET DE SOUDURE'!$B$7:$B$1506,MATCH(B1306,'CARNET DE SOUDURE'!$K$7:$K$1506,0)),IFERROR(INDEX('CARNET DE SOUDURE'!$B$7:$B$1506,MATCH(B1306,'CARNET DE SOUDURE'!$M$7:$M$1506,0)),"")))</f>
        <v/>
      </c>
      <c r="J1306" s="78" t="str">
        <f aca="false">IF(B1306="","",IFERROR(INDEX('CARNET DE SOUDURE'!$E$7:$E$1506,MATCH(B1306,'CARNET DE SOUDURE'!$M$7:$M$1506,0)),""))</f>
        <v/>
      </c>
      <c r="K1306" s="78" t="str">
        <f aca="false">IF(B1306="","",IFERROR(INDEX('CARNET DE SOUDURE'!$E$7:$E$1506,MATCH(B1306,'CARNET DE SOUDURE'!$K$7:$K$1506,0)),""))</f>
        <v/>
      </c>
      <c r="L1306" s="78" t="str">
        <f aca="false">IF(B1306="","",IFERROR(INDEX('CARNET DE SOUDURE'!$D$7:$D$1506,MATCH(B1306,'CARNET DE SOUDURE'!$K$7:$K$1506,0)),IFERROR(INDEX('CARNET DE SOUDURE'!$D$7:$D$1506,MATCH(B1306,'CARNET DE SOUDURE'!$M$7:$M$1506,0)),"")))</f>
        <v/>
      </c>
      <c r="M1306" s="81" t="str">
        <f aca="false">IF(B1306="","",IF(OR(J1306&lt;&gt;"",K1306&lt;&gt;""),"POSÉ EN LIGNE",IF(H1306&lt;&gt;"","BARDÉ","EN STOCK")))</f>
        <v/>
      </c>
      <c r="N1306" s="79"/>
    </row>
    <row r="1307" customFormat="false" ht="15" hidden="false" customHeight="false" outlineLevel="0" collapsed="false">
      <c r="A1307" s="78" t="str">
        <f aca="false">IF(B1307="","",ROW()-6)</f>
        <v/>
      </c>
      <c r="B1307" s="90"/>
      <c r="C1307" s="91"/>
      <c r="D1307" s="91"/>
      <c r="E1307" s="80"/>
      <c r="F1307" s="92"/>
      <c r="G1307" s="79"/>
      <c r="H1307" s="82"/>
      <c r="I1307" s="93" t="str">
        <f aca="false">IF(B1307="","",IFERROR(INDEX('CARNET DE SOUDURE'!$B$7:$B$1506,MATCH(B1307,'CARNET DE SOUDURE'!$K$7:$K$1506,0)),IFERROR(INDEX('CARNET DE SOUDURE'!$B$7:$B$1506,MATCH(B1307,'CARNET DE SOUDURE'!$M$7:$M$1506,0)),"")))</f>
        <v/>
      </c>
      <c r="J1307" s="78" t="str">
        <f aca="false">IF(B1307="","",IFERROR(INDEX('CARNET DE SOUDURE'!$E$7:$E$1506,MATCH(B1307,'CARNET DE SOUDURE'!$M$7:$M$1506,0)),""))</f>
        <v/>
      </c>
      <c r="K1307" s="78" t="str">
        <f aca="false">IF(B1307="","",IFERROR(INDEX('CARNET DE SOUDURE'!$E$7:$E$1506,MATCH(B1307,'CARNET DE SOUDURE'!$K$7:$K$1506,0)),""))</f>
        <v/>
      </c>
      <c r="L1307" s="78" t="str">
        <f aca="false">IF(B1307="","",IFERROR(INDEX('CARNET DE SOUDURE'!$D$7:$D$1506,MATCH(B1307,'CARNET DE SOUDURE'!$K$7:$K$1506,0)),IFERROR(INDEX('CARNET DE SOUDURE'!$D$7:$D$1506,MATCH(B1307,'CARNET DE SOUDURE'!$M$7:$M$1506,0)),"")))</f>
        <v/>
      </c>
      <c r="M1307" s="81" t="str">
        <f aca="false">IF(B1307="","",IF(OR(J1307&lt;&gt;"",K1307&lt;&gt;""),"POSÉ EN LIGNE",IF(H1307&lt;&gt;"","BARDÉ","EN STOCK")))</f>
        <v/>
      </c>
      <c r="N1307" s="79"/>
    </row>
    <row r="1308" customFormat="false" ht="15" hidden="false" customHeight="false" outlineLevel="0" collapsed="false">
      <c r="A1308" s="78" t="str">
        <f aca="false">IF(B1308="","",ROW()-6)</f>
        <v/>
      </c>
      <c r="B1308" s="90"/>
      <c r="C1308" s="91"/>
      <c r="D1308" s="91"/>
      <c r="E1308" s="80"/>
      <c r="F1308" s="92"/>
      <c r="G1308" s="79"/>
      <c r="H1308" s="82"/>
      <c r="I1308" s="93" t="str">
        <f aca="false">IF(B1308="","",IFERROR(INDEX('CARNET DE SOUDURE'!$B$7:$B$1506,MATCH(B1308,'CARNET DE SOUDURE'!$K$7:$K$1506,0)),IFERROR(INDEX('CARNET DE SOUDURE'!$B$7:$B$1506,MATCH(B1308,'CARNET DE SOUDURE'!$M$7:$M$1506,0)),"")))</f>
        <v/>
      </c>
      <c r="J1308" s="78" t="str">
        <f aca="false">IF(B1308="","",IFERROR(INDEX('CARNET DE SOUDURE'!$E$7:$E$1506,MATCH(B1308,'CARNET DE SOUDURE'!$M$7:$M$1506,0)),""))</f>
        <v/>
      </c>
      <c r="K1308" s="78" t="str">
        <f aca="false">IF(B1308="","",IFERROR(INDEX('CARNET DE SOUDURE'!$E$7:$E$1506,MATCH(B1308,'CARNET DE SOUDURE'!$K$7:$K$1506,0)),""))</f>
        <v/>
      </c>
      <c r="L1308" s="78" t="str">
        <f aca="false">IF(B1308="","",IFERROR(INDEX('CARNET DE SOUDURE'!$D$7:$D$1506,MATCH(B1308,'CARNET DE SOUDURE'!$K$7:$K$1506,0)),IFERROR(INDEX('CARNET DE SOUDURE'!$D$7:$D$1506,MATCH(B1308,'CARNET DE SOUDURE'!$M$7:$M$1506,0)),"")))</f>
        <v/>
      </c>
      <c r="M1308" s="81" t="str">
        <f aca="false">IF(B1308="","",IF(OR(J1308&lt;&gt;"",K1308&lt;&gt;""),"POSÉ EN LIGNE",IF(H1308&lt;&gt;"","BARDÉ","EN STOCK")))</f>
        <v/>
      </c>
      <c r="N1308" s="79"/>
    </row>
    <row r="1309" customFormat="false" ht="15" hidden="false" customHeight="false" outlineLevel="0" collapsed="false">
      <c r="A1309" s="78" t="str">
        <f aca="false">IF(B1309="","",ROW()-6)</f>
        <v/>
      </c>
      <c r="B1309" s="90"/>
      <c r="C1309" s="91"/>
      <c r="D1309" s="91"/>
      <c r="E1309" s="80"/>
      <c r="F1309" s="92"/>
      <c r="G1309" s="79"/>
      <c r="H1309" s="82"/>
      <c r="I1309" s="93" t="str">
        <f aca="false">IF(B1309="","",IFERROR(INDEX('CARNET DE SOUDURE'!$B$7:$B$1506,MATCH(B1309,'CARNET DE SOUDURE'!$K$7:$K$1506,0)),IFERROR(INDEX('CARNET DE SOUDURE'!$B$7:$B$1506,MATCH(B1309,'CARNET DE SOUDURE'!$M$7:$M$1506,0)),"")))</f>
        <v/>
      </c>
      <c r="J1309" s="78" t="str">
        <f aca="false">IF(B1309="","",IFERROR(INDEX('CARNET DE SOUDURE'!$E$7:$E$1506,MATCH(B1309,'CARNET DE SOUDURE'!$M$7:$M$1506,0)),""))</f>
        <v/>
      </c>
      <c r="K1309" s="78" t="str">
        <f aca="false">IF(B1309="","",IFERROR(INDEX('CARNET DE SOUDURE'!$E$7:$E$1506,MATCH(B1309,'CARNET DE SOUDURE'!$K$7:$K$1506,0)),""))</f>
        <v/>
      </c>
      <c r="L1309" s="78" t="str">
        <f aca="false">IF(B1309="","",IFERROR(INDEX('CARNET DE SOUDURE'!$D$7:$D$1506,MATCH(B1309,'CARNET DE SOUDURE'!$K$7:$K$1506,0)),IFERROR(INDEX('CARNET DE SOUDURE'!$D$7:$D$1506,MATCH(B1309,'CARNET DE SOUDURE'!$M$7:$M$1506,0)),"")))</f>
        <v/>
      </c>
      <c r="M1309" s="81" t="str">
        <f aca="false">IF(B1309="","",IF(OR(J1309&lt;&gt;"",K1309&lt;&gt;""),"POSÉ EN LIGNE",IF(H1309&lt;&gt;"","BARDÉ","EN STOCK")))</f>
        <v/>
      </c>
      <c r="N1309" s="79"/>
    </row>
    <row r="1310" customFormat="false" ht="15" hidden="false" customHeight="false" outlineLevel="0" collapsed="false">
      <c r="A1310" s="78" t="str">
        <f aca="false">IF(B1310="","",ROW()-6)</f>
        <v/>
      </c>
      <c r="B1310" s="90"/>
      <c r="C1310" s="91"/>
      <c r="D1310" s="91"/>
      <c r="E1310" s="80"/>
      <c r="F1310" s="92"/>
      <c r="G1310" s="79"/>
      <c r="H1310" s="82"/>
      <c r="I1310" s="93" t="str">
        <f aca="false">IF(B1310="","",IFERROR(INDEX('CARNET DE SOUDURE'!$B$7:$B$1506,MATCH(B1310,'CARNET DE SOUDURE'!$K$7:$K$1506,0)),IFERROR(INDEX('CARNET DE SOUDURE'!$B$7:$B$1506,MATCH(B1310,'CARNET DE SOUDURE'!$M$7:$M$1506,0)),"")))</f>
        <v/>
      </c>
      <c r="J1310" s="78" t="str">
        <f aca="false">IF(B1310="","",IFERROR(INDEX('CARNET DE SOUDURE'!$E$7:$E$1506,MATCH(B1310,'CARNET DE SOUDURE'!$M$7:$M$1506,0)),""))</f>
        <v/>
      </c>
      <c r="K1310" s="78" t="str">
        <f aca="false">IF(B1310="","",IFERROR(INDEX('CARNET DE SOUDURE'!$E$7:$E$1506,MATCH(B1310,'CARNET DE SOUDURE'!$K$7:$K$1506,0)),""))</f>
        <v/>
      </c>
      <c r="L1310" s="78" t="str">
        <f aca="false">IF(B1310="","",IFERROR(INDEX('CARNET DE SOUDURE'!$D$7:$D$1506,MATCH(B1310,'CARNET DE SOUDURE'!$K$7:$K$1506,0)),IFERROR(INDEX('CARNET DE SOUDURE'!$D$7:$D$1506,MATCH(B1310,'CARNET DE SOUDURE'!$M$7:$M$1506,0)),"")))</f>
        <v/>
      </c>
      <c r="M1310" s="81" t="str">
        <f aca="false">IF(B1310="","",IF(OR(J1310&lt;&gt;"",K1310&lt;&gt;""),"POSÉ EN LIGNE",IF(H1310&lt;&gt;"","BARDÉ","EN STOCK")))</f>
        <v/>
      </c>
      <c r="N1310" s="79"/>
    </row>
    <row r="1311" customFormat="false" ht="15" hidden="false" customHeight="false" outlineLevel="0" collapsed="false">
      <c r="A1311" s="78" t="str">
        <f aca="false">IF(B1311="","",ROW()-6)</f>
        <v/>
      </c>
      <c r="B1311" s="90"/>
      <c r="C1311" s="91"/>
      <c r="D1311" s="91"/>
      <c r="E1311" s="80"/>
      <c r="F1311" s="92"/>
      <c r="G1311" s="79"/>
      <c r="H1311" s="82"/>
      <c r="I1311" s="93" t="str">
        <f aca="false">IF(B1311="","",IFERROR(INDEX('CARNET DE SOUDURE'!$B$7:$B$1506,MATCH(B1311,'CARNET DE SOUDURE'!$K$7:$K$1506,0)),IFERROR(INDEX('CARNET DE SOUDURE'!$B$7:$B$1506,MATCH(B1311,'CARNET DE SOUDURE'!$M$7:$M$1506,0)),"")))</f>
        <v/>
      </c>
      <c r="J1311" s="78" t="str">
        <f aca="false">IF(B1311="","",IFERROR(INDEX('CARNET DE SOUDURE'!$E$7:$E$1506,MATCH(B1311,'CARNET DE SOUDURE'!$M$7:$M$1506,0)),""))</f>
        <v/>
      </c>
      <c r="K1311" s="78" t="str">
        <f aca="false">IF(B1311="","",IFERROR(INDEX('CARNET DE SOUDURE'!$E$7:$E$1506,MATCH(B1311,'CARNET DE SOUDURE'!$K$7:$K$1506,0)),""))</f>
        <v/>
      </c>
      <c r="L1311" s="78" t="str">
        <f aca="false">IF(B1311="","",IFERROR(INDEX('CARNET DE SOUDURE'!$D$7:$D$1506,MATCH(B1311,'CARNET DE SOUDURE'!$K$7:$K$1506,0)),IFERROR(INDEX('CARNET DE SOUDURE'!$D$7:$D$1506,MATCH(B1311,'CARNET DE SOUDURE'!$M$7:$M$1506,0)),"")))</f>
        <v/>
      </c>
      <c r="M1311" s="81" t="str">
        <f aca="false">IF(B1311="","",IF(OR(J1311&lt;&gt;"",K1311&lt;&gt;""),"POSÉ EN LIGNE",IF(H1311&lt;&gt;"","BARDÉ","EN STOCK")))</f>
        <v/>
      </c>
      <c r="N1311" s="79"/>
    </row>
    <row r="1312" customFormat="false" ht="15" hidden="false" customHeight="false" outlineLevel="0" collapsed="false">
      <c r="A1312" s="78" t="str">
        <f aca="false">IF(B1312="","",ROW()-6)</f>
        <v/>
      </c>
      <c r="B1312" s="90"/>
      <c r="C1312" s="91"/>
      <c r="D1312" s="91"/>
      <c r="E1312" s="80"/>
      <c r="F1312" s="92"/>
      <c r="G1312" s="79"/>
      <c r="H1312" s="82"/>
      <c r="I1312" s="93" t="str">
        <f aca="false">IF(B1312="","",IFERROR(INDEX('CARNET DE SOUDURE'!$B$7:$B$1506,MATCH(B1312,'CARNET DE SOUDURE'!$K$7:$K$1506,0)),IFERROR(INDEX('CARNET DE SOUDURE'!$B$7:$B$1506,MATCH(B1312,'CARNET DE SOUDURE'!$M$7:$M$1506,0)),"")))</f>
        <v/>
      </c>
      <c r="J1312" s="78" t="str">
        <f aca="false">IF(B1312="","",IFERROR(INDEX('CARNET DE SOUDURE'!$E$7:$E$1506,MATCH(B1312,'CARNET DE SOUDURE'!$M$7:$M$1506,0)),""))</f>
        <v/>
      </c>
      <c r="K1312" s="78" t="str">
        <f aca="false">IF(B1312="","",IFERROR(INDEX('CARNET DE SOUDURE'!$E$7:$E$1506,MATCH(B1312,'CARNET DE SOUDURE'!$K$7:$K$1506,0)),""))</f>
        <v/>
      </c>
      <c r="L1312" s="78" t="str">
        <f aca="false">IF(B1312="","",IFERROR(INDEX('CARNET DE SOUDURE'!$D$7:$D$1506,MATCH(B1312,'CARNET DE SOUDURE'!$K$7:$K$1506,0)),IFERROR(INDEX('CARNET DE SOUDURE'!$D$7:$D$1506,MATCH(B1312,'CARNET DE SOUDURE'!$M$7:$M$1506,0)),"")))</f>
        <v/>
      </c>
      <c r="M1312" s="81" t="str">
        <f aca="false">IF(B1312="","",IF(OR(J1312&lt;&gt;"",K1312&lt;&gt;""),"POSÉ EN LIGNE",IF(H1312&lt;&gt;"","BARDÉ","EN STOCK")))</f>
        <v/>
      </c>
      <c r="N1312" s="79"/>
    </row>
    <row r="1313" customFormat="false" ht="15" hidden="false" customHeight="false" outlineLevel="0" collapsed="false">
      <c r="A1313" s="78" t="str">
        <f aca="false">IF(B1313="","",ROW()-6)</f>
        <v/>
      </c>
      <c r="B1313" s="90"/>
      <c r="C1313" s="91"/>
      <c r="D1313" s="91"/>
      <c r="E1313" s="80"/>
      <c r="F1313" s="92"/>
      <c r="G1313" s="79"/>
      <c r="H1313" s="82"/>
      <c r="I1313" s="93" t="str">
        <f aca="false">IF(B1313="","",IFERROR(INDEX('CARNET DE SOUDURE'!$B$7:$B$1506,MATCH(B1313,'CARNET DE SOUDURE'!$K$7:$K$1506,0)),IFERROR(INDEX('CARNET DE SOUDURE'!$B$7:$B$1506,MATCH(B1313,'CARNET DE SOUDURE'!$M$7:$M$1506,0)),"")))</f>
        <v/>
      </c>
      <c r="J1313" s="78" t="str">
        <f aca="false">IF(B1313="","",IFERROR(INDEX('CARNET DE SOUDURE'!$E$7:$E$1506,MATCH(B1313,'CARNET DE SOUDURE'!$M$7:$M$1506,0)),""))</f>
        <v/>
      </c>
      <c r="K1313" s="78" t="str">
        <f aca="false">IF(B1313="","",IFERROR(INDEX('CARNET DE SOUDURE'!$E$7:$E$1506,MATCH(B1313,'CARNET DE SOUDURE'!$K$7:$K$1506,0)),""))</f>
        <v/>
      </c>
      <c r="L1313" s="78" t="str">
        <f aca="false">IF(B1313="","",IFERROR(INDEX('CARNET DE SOUDURE'!$D$7:$D$1506,MATCH(B1313,'CARNET DE SOUDURE'!$K$7:$K$1506,0)),IFERROR(INDEX('CARNET DE SOUDURE'!$D$7:$D$1506,MATCH(B1313,'CARNET DE SOUDURE'!$M$7:$M$1506,0)),"")))</f>
        <v/>
      </c>
      <c r="M1313" s="81" t="str">
        <f aca="false">IF(B1313="","",IF(OR(J1313&lt;&gt;"",K1313&lt;&gt;""),"POSÉ EN LIGNE",IF(H1313&lt;&gt;"","BARDÉ","EN STOCK")))</f>
        <v/>
      </c>
      <c r="N1313" s="79"/>
    </row>
    <row r="1314" customFormat="false" ht="15" hidden="false" customHeight="false" outlineLevel="0" collapsed="false">
      <c r="A1314" s="78" t="str">
        <f aca="false">IF(B1314="","",ROW()-6)</f>
        <v/>
      </c>
      <c r="B1314" s="90"/>
      <c r="C1314" s="91"/>
      <c r="D1314" s="91"/>
      <c r="E1314" s="80"/>
      <c r="F1314" s="92"/>
      <c r="G1314" s="79"/>
      <c r="H1314" s="82"/>
      <c r="I1314" s="93" t="str">
        <f aca="false">IF(B1314="","",IFERROR(INDEX('CARNET DE SOUDURE'!$B$7:$B$1506,MATCH(B1314,'CARNET DE SOUDURE'!$K$7:$K$1506,0)),IFERROR(INDEX('CARNET DE SOUDURE'!$B$7:$B$1506,MATCH(B1314,'CARNET DE SOUDURE'!$M$7:$M$1506,0)),"")))</f>
        <v/>
      </c>
      <c r="J1314" s="78" t="str">
        <f aca="false">IF(B1314="","",IFERROR(INDEX('CARNET DE SOUDURE'!$E$7:$E$1506,MATCH(B1314,'CARNET DE SOUDURE'!$M$7:$M$1506,0)),""))</f>
        <v/>
      </c>
      <c r="K1314" s="78" t="str">
        <f aca="false">IF(B1314="","",IFERROR(INDEX('CARNET DE SOUDURE'!$E$7:$E$1506,MATCH(B1314,'CARNET DE SOUDURE'!$K$7:$K$1506,0)),""))</f>
        <v/>
      </c>
      <c r="L1314" s="78" t="str">
        <f aca="false">IF(B1314="","",IFERROR(INDEX('CARNET DE SOUDURE'!$D$7:$D$1506,MATCH(B1314,'CARNET DE SOUDURE'!$K$7:$K$1506,0)),IFERROR(INDEX('CARNET DE SOUDURE'!$D$7:$D$1506,MATCH(B1314,'CARNET DE SOUDURE'!$M$7:$M$1506,0)),"")))</f>
        <v/>
      </c>
      <c r="M1314" s="81" t="str">
        <f aca="false">IF(B1314="","",IF(OR(J1314&lt;&gt;"",K1314&lt;&gt;""),"POSÉ EN LIGNE",IF(H1314&lt;&gt;"","BARDÉ","EN STOCK")))</f>
        <v/>
      </c>
      <c r="N1314" s="79"/>
    </row>
    <row r="1315" customFormat="false" ht="15" hidden="false" customHeight="false" outlineLevel="0" collapsed="false">
      <c r="A1315" s="78" t="str">
        <f aca="false">IF(B1315="","",ROW()-6)</f>
        <v/>
      </c>
      <c r="B1315" s="90"/>
      <c r="C1315" s="91"/>
      <c r="D1315" s="91"/>
      <c r="E1315" s="80"/>
      <c r="F1315" s="92"/>
      <c r="G1315" s="79"/>
      <c r="H1315" s="82"/>
      <c r="I1315" s="93" t="str">
        <f aca="false">IF(B1315="","",IFERROR(INDEX('CARNET DE SOUDURE'!$B$7:$B$1506,MATCH(B1315,'CARNET DE SOUDURE'!$K$7:$K$1506,0)),IFERROR(INDEX('CARNET DE SOUDURE'!$B$7:$B$1506,MATCH(B1315,'CARNET DE SOUDURE'!$M$7:$M$1506,0)),"")))</f>
        <v/>
      </c>
      <c r="J1315" s="78" t="str">
        <f aca="false">IF(B1315="","",IFERROR(INDEX('CARNET DE SOUDURE'!$E$7:$E$1506,MATCH(B1315,'CARNET DE SOUDURE'!$M$7:$M$1506,0)),""))</f>
        <v/>
      </c>
      <c r="K1315" s="78" t="str">
        <f aca="false">IF(B1315="","",IFERROR(INDEX('CARNET DE SOUDURE'!$E$7:$E$1506,MATCH(B1315,'CARNET DE SOUDURE'!$K$7:$K$1506,0)),""))</f>
        <v/>
      </c>
      <c r="L1315" s="78" t="str">
        <f aca="false">IF(B1315="","",IFERROR(INDEX('CARNET DE SOUDURE'!$D$7:$D$1506,MATCH(B1315,'CARNET DE SOUDURE'!$K$7:$K$1506,0)),IFERROR(INDEX('CARNET DE SOUDURE'!$D$7:$D$1506,MATCH(B1315,'CARNET DE SOUDURE'!$M$7:$M$1506,0)),"")))</f>
        <v/>
      </c>
      <c r="M1315" s="81" t="str">
        <f aca="false">IF(B1315="","",IF(OR(J1315&lt;&gt;"",K1315&lt;&gt;""),"POSÉ EN LIGNE",IF(H1315&lt;&gt;"","BARDÉ","EN STOCK")))</f>
        <v/>
      </c>
      <c r="N1315" s="79"/>
    </row>
    <row r="1316" customFormat="false" ht="15" hidden="false" customHeight="false" outlineLevel="0" collapsed="false">
      <c r="A1316" s="78" t="str">
        <f aca="false">IF(B1316="","",ROW()-6)</f>
        <v/>
      </c>
      <c r="B1316" s="90"/>
      <c r="C1316" s="91"/>
      <c r="D1316" s="91"/>
      <c r="E1316" s="80"/>
      <c r="F1316" s="92"/>
      <c r="G1316" s="79"/>
      <c r="H1316" s="82"/>
      <c r="I1316" s="93" t="str">
        <f aca="false">IF(B1316="","",IFERROR(INDEX('CARNET DE SOUDURE'!$B$7:$B$1506,MATCH(B1316,'CARNET DE SOUDURE'!$K$7:$K$1506,0)),IFERROR(INDEX('CARNET DE SOUDURE'!$B$7:$B$1506,MATCH(B1316,'CARNET DE SOUDURE'!$M$7:$M$1506,0)),"")))</f>
        <v/>
      </c>
      <c r="J1316" s="78" t="str">
        <f aca="false">IF(B1316="","",IFERROR(INDEX('CARNET DE SOUDURE'!$E$7:$E$1506,MATCH(B1316,'CARNET DE SOUDURE'!$M$7:$M$1506,0)),""))</f>
        <v/>
      </c>
      <c r="K1316" s="78" t="str">
        <f aca="false">IF(B1316="","",IFERROR(INDEX('CARNET DE SOUDURE'!$E$7:$E$1506,MATCH(B1316,'CARNET DE SOUDURE'!$K$7:$K$1506,0)),""))</f>
        <v/>
      </c>
      <c r="L1316" s="78" t="str">
        <f aca="false">IF(B1316="","",IFERROR(INDEX('CARNET DE SOUDURE'!$D$7:$D$1506,MATCH(B1316,'CARNET DE SOUDURE'!$K$7:$K$1506,0)),IFERROR(INDEX('CARNET DE SOUDURE'!$D$7:$D$1506,MATCH(B1316,'CARNET DE SOUDURE'!$M$7:$M$1506,0)),"")))</f>
        <v/>
      </c>
      <c r="M1316" s="81" t="str">
        <f aca="false">IF(B1316="","",IF(OR(J1316&lt;&gt;"",K1316&lt;&gt;""),"POSÉ EN LIGNE",IF(H1316&lt;&gt;"","BARDÉ","EN STOCK")))</f>
        <v/>
      </c>
      <c r="N1316" s="79"/>
    </row>
    <row r="1317" customFormat="false" ht="15" hidden="false" customHeight="false" outlineLevel="0" collapsed="false">
      <c r="A1317" s="78" t="str">
        <f aca="false">IF(B1317="","",ROW()-6)</f>
        <v/>
      </c>
      <c r="B1317" s="90"/>
      <c r="C1317" s="91"/>
      <c r="D1317" s="91"/>
      <c r="E1317" s="80"/>
      <c r="F1317" s="92"/>
      <c r="G1317" s="79"/>
      <c r="H1317" s="82"/>
      <c r="I1317" s="93" t="str">
        <f aca="false">IF(B1317="","",IFERROR(INDEX('CARNET DE SOUDURE'!$B$7:$B$1506,MATCH(B1317,'CARNET DE SOUDURE'!$K$7:$K$1506,0)),IFERROR(INDEX('CARNET DE SOUDURE'!$B$7:$B$1506,MATCH(B1317,'CARNET DE SOUDURE'!$M$7:$M$1506,0)),"")))</f>
        <v/>
      </c>
      <c r="J1317" s="78" t="str">
        <f aca="false">IF(B1317="","",IFERROR(INDEX('CARNET DE SOUDURE'!$E$7:$E$1506,MATCH(B1317,'CARNET DE SOUDURE'!$M$7:$M$1506,0)),""))</f>
        <v/>
      </c>
      <c r="K1317" s="78" t="str">
        <f aca="false">IF(B1317="","",IFERROR(INDEX('CARNET DE SOUDURE'!$E$7:$E$1506,MATCH(B1317,'CARNET DE SOUDURE'!$K$7:$K$1506,0)),""))</f>
        <v/>
      </c>
      <c r="L1317" s="78" t="str">
        <f aca="false">IF(B1317="","",IFERROR(INDEX('CARNET DE SOUDURE'!$D$7:$D$1506,MATCH(B1317,'CARNET DE SOUDURE'!$K$7:$K$1506,0)),IFERROR(INDEX('CARNET DE SOUDURE'!$D$7:$D$1506,MATCH(B1317,'CARNET DE SOUDURE'!$M$7:$M$1506,0)),"")))</f>
        <v/>
      </c>
      <c r="M1317" s="81" t="str">
        <f aca="false">IF(B1317="","",IF(OR(J1317&lt;&gt;"",K1317&lt;&gt;""),"POSÉ EN LIGNE",IF(H1317&lt;&gt;"","BARDÉ","EN STOCK")))</f>
        <v/>
      </c>
      <c r="N1317" s="79"/>
    </row>
    <row r="1318" customFormat="false" ht="15" hidden="false" customHeight="false" outlineLevel="0" collapsed="false">
      <c r="A1318" s="78" t="str">
        <f aca="false">IF(B1318="","",ROW()-6)</f>
        <v/>
      </c>
      <c r="B1318" s="90"/>
      <c r="C1318" s="91"/>
      <c r="D1318" s="91"/>
      <c r="E1318" s="80"/>
      <c r="F1318" s="92"/>
      <c r="G1318" s="79"/>
      <c r="H1318" s="82"/>
      <c r="I1318" s="93" t="str">
        <f aca="false">IF(B1318="","",IFERROR(INDEX('CARNET DE SOUDURE'!$B$7:$B$1506,MATCH(B1318,'CARNET DE SOUDURE'!$K$7:$K$1506,0)),IFERROR(INDEX('CARNET DE SOUDURE'!$B$7:$B$1506,MATCH(B1318,'CARNET DE SOUDURE'!$M$7:$M$1506,0)),"")))</f>
        <v/>
      </c>
      <c r="J1318" s="78" t="str">
        <f aca="false">IF(B1318="","",IFERROR(INDEX('CARNET DE SOUDURE'!$E$7:$E$1506,MATCH(B1318,'CARNET DE SOUDURE'!$M$7:$M$1506,0)),""))</f>
        <v/>
      </c>
      <c r="K1318" s="78" t="str">
        <f aca="false">IF(B1318="","",IFERROR(INDEX('CARNET DE SOUDURE'!$E$7:$E$1506,MATCH(B1318,'CARNET DE SOUDURE'!$K$7:$K$1506,0)),""))</f>
        <v/>
      </c>
      <c r="L1318" s="78" t="str">
        <f aca="false">IF(B1318="","",IFERROR(INDEX('CARNET DE SOUDURE'!$D$7:$D$1506,MATCH(B1318,'CARNET DE SOUDURE'!$K$7:$K$1506,0)),IFERROR(INDEX('CARNET DE SOUDURE'!$D$7:$D$1506,MATCH(B1318,'CARNET DE SOUDURE'!$M$7:$M$1506,0)),"")))</f>
        <v/>
      </c>
      <c r="M1318" s="81" t="str">
        <f aca="false">IF(B1318="","",IF(OR(J1318&lt;&gt;"",K1318&lt;&gt;""),"POSÉ EN LIGNE",IF(H1318&lt;&gt;"","BARDÉ","EN STOCK")))</f>
        <v/>
      </c>
      <c r="N1318" s="79"/>
    </row>
    <row r="1319" customFormat="false" ht="15" hidden="false" customHeight="false" outlineLevel="0" collapsed="false">
      <c r="A1319" s="78" t="str">
        <f aca="false">IF(B1319="","",ROW()-6)</f>
        <v/>
      </c>
      <c r="B1319" s="90"/>
      <c r="C1319" s="91"/>
      <c r="D1319" s="91"/>
      <c r="E1319" s="80"/>
      <c r="F1319" s="92"/>
      <c r="G1319" s="79"/>
      <c r="H1319" s="82"/>
      <c r="I1319" s="93" t="str">
        <f aca="false">IF(B1319="","",IFERROR(INDEX('CARNET DE SOUDURE'!$B$7:$B$1506,MATCH(B1319,'CARNET DE SOUDURE'!$K$7:$K$1506,0)),IFERROR(INDEX('CARNET DE SOUDURE'!$B$7:$B$1506,MATCH(B1319,'CARNET DE SOUDURE'!$M$7:$M$1506,0)),"")))</f>
        <v/>
      </c>
      <c r="J1319" s="78" t="str">
        <f aca="false">IF(B1319="","",IFERROR(INDEX('CARNET DE SOUDURE'!$E$7:$E$1506,MATCH(B1319,'CARNET DE SOUDURE'!$M$7:$M$1506,0)),""))</f>
        <v/>
      </c>
      <c r="K1319" s="78" t="str">
        <f aca="false">IF(B1319="","",IFERROR(INDEX('CARNET DE SOUDURE'!$E$7:$E$1506,MATCH(B1319,'CARNET DE SOUDURE'!$K$7:$K$1506,0)),""))</f>
        <v/>
      </c>
      <c r="L1319" s="78" t="str">
        <f aca="false">IF(B1319="","",IFERROR(INDEX('CARNET DE SOUDURE'!$D$7:$D$1506,MATCH(B1319,'CARNET DE SOUDURE'!$K$7:$K$1506,0)),IFERROR(INDEX('CARNET DE SOUDURE'!$D$7:$D$1506,MATCH(B1319,'CARNET DE SOUDURE'!$M$7:$M$1506,0)),"")))</f>
        <v/>
      </c>
      <c r="M1319" s="81" t="str">
        <f aca="false">IF(B1319="","",IF(OR(J1319&lt;&gt;"",K1319&lt;&gt;""),"POSÉ EN LIGNE",IF(H1319&lt;&gt;"","BARDÉ","EN STOCK")))</f>
        <v/>
      </c>
      <c r="N1319" s="79"/>
    </row>
    <row r="1320" customFormat="false" ht="15" hidden="false" customHeight="false" outlineLevel="0" collapsed="false">
      <c r="A1320" s="78" t="str">
        <f aca="false">IF(B1320="","",ROW()-6)</f>
        <v/>
      </c>
      <c r="B1320" s="90"/>
      <c r="C1320" s="91"/>
      <c r="D1320" s="91"/>
      <c r="E1320" s="80"/>
      <c r="F1320" s="92"/>
      <c r="G1320" s="79"/>
      <c r="H1320" s="82"/>
      <c r="I1320" s="93" t="str">
        <f aca="false">IF(B1320="","",IFERROR(INDEX('CARNET DE SOUDURE'!$B$7:$B$1506,MATCH(B1320,'CARNET DE SOUDURE'!$K$7:$K$1506,0)),IFERROR(INDEX('CARNET DE SOUDURE'!$B$7:$B$1506,MATCH(B1320,'CARNET DE SOUDURE'!$M$7:$M$1506,0)),"")))</f>
        <v/>
      </c>
      <c r="J1320" s="78" t="str">
        <f aca="false">IF(B1320="","",IFERROR(INDEX('CARNET DE SOUDURE'!$E$7:$E$1506,MATCH(B1320,'CARNET DE SOUDURE'!$M$7:$M$1506,0)),""))</f>
        <v/>
      </c>
      <c r="K1320" s="78" t="str">
        <f aca="false">IF(B1320="","",IFERROR(INDEX('CARNET DE SOUDURE'!$E$7:$E$1506,MATCH(B1320,'CARNET DE SOUDURE'!$K$7:$K$1506,0)),""))</f>
        <v/>
      </c>
      <c r="L1320" s="78" t="str">
        <f aca="false">IF(B1320="","",IFERROR(INDEX('CARNET DE SOUDURE'!$D$7:$D$1506,MATCH(B1320,'CARNET DE SOUDURE'!$K$7:$K$1506,0)),IFERROR(INDEX('CARNET DE SOUDURE'!$D$7:$D$1506,MATCH(B1320,'CARNET DE SOUDURE'!$M$7:$M$1506,0)),"")))</f>
        <v/>
      </c>
      <c r="M1320" s="81" t="str">
        <f aca="false">IF(B1320="","",IF(OR(J1320&lt;&gt;"",K1320&lt;&gt;""),"POSÉ EN LIGNE",IF(H1320&lt;&gt;"","BARDÉ","EN STOCK")))</f>
        <v/>
      </c>
      <c r="N1320" s="79"/>
    </row>
    <row r="1321" customFormat="false" ht="15" hidden="false" customHeight="false" outlineLevel="0" collapsed="false">
      <c r="A1321" s="78" t="str">
        <f aca="false">IF(B1321="","",ROW()-6)</f>
        <v/>
      </c>
      <c r="B1321" s="90"/>
      <c r="C1321" s="91"/>
      <c r="D1321" s="91"/>
      <c r="E1321" s="80"/>
      <c r="F1321" s="92"/>
      <c r="G1321" s="79"/>
      <c r="H1321" s="82"/>
      <c r="I1321" s="93" t="str">
        <f aca="false">IF(B1321="","",IFERROR(INDEX('CARNET DE SOUDURE'!$B$7:$B$1506,MATCH(B1321,'CARNET DE SOUDURE'!$K$7:$K$1506,0)),IFERROR(INDEX('CARNET DE SOUDURE'!$B$7:$B$1506,MATCH(B1321,'CARNET DE SOUDURE'!$M$7:$M$1506,0)),"")))</f>
        <v/>
      </c>
      <c r="J1321" s="78" t="str">
        <f aca="false">IF(B1321="","",IFERROR(INDEX('CARNET DE SOUDURE'!$E$7:$E$1506,MATCH(B1321,'CARNET DE SOUDURE'!$M$7:$M$1506,0)),""))</f>
        <v/>
      </c>
      <c r="K1321" s="78" t="str">
        <f aca="false">IF(B1321="","",IFERROR(INDEX('CARNET DE SOUDURE'!$E$7:$E$1506,MATCH(B1321,'CARNET DE SOUDURE'!$K$7:$K$1506,0)),""))</f>
        <v/>
      </c>
      <c r="L1321" s="78" t="str">
        <f aca="false">IF(B1321="","",IFERROR(INDEX('CARNET DE SOUDURE'!$D$7:$D$1506,MATCH(B1321,'CARNET DE SOUDURE'!$K$7:$K$1506,0)),IFERROR(INDEX('CARNET DE SOUDURE'!$D$7:$D$1506,MATCH(B1321,'CARNET DE SOUDURE'!$M$7:$M$1506,0)),"")))</f>
        <v/>
      </c>
      <c r="M1321" s="81" t="str">
        <f aca="false">IF(B1321="","",IF(OR(J1321&lt;&gt;"",K1321&lt;&gt;""),"POSÉ EN LIGNE",IF(H1321&lt;&gt;"","BARDÉ","EN STOCK")))</f>
        <v/>
      </c>
      <c r="N1321" s="79"/>
    </row>
    <row r="1322" customFormat="false" ht="15" hidden="false" customHeight="false" outlineLevel="0" collapsed="false">
      <c r="A1322" s="78" t="str">
        <f aca="false">IF(B1322="","",ROW()-6)</f>
        <v/>
      </c>
      <c r="B1322" s="90"/>
      <c r="C1322" s="91"/>
      <c r="D1322" s="91"/>
      <c r="E1322" s="80"/>
      <c r="F1322" s="92"/>
      <c r="G1322" s="79"/>
      <c r="H1322" s="82"/>
      <c r="I1322" s="93" t="str">
        <f aca="false">IF(B1322="","",IFERROR(INDEX('CARNET DE SOUDURE'!$B$7:$B$1506,MATCH(B1322,'CARNET DE SOUDURE'!$K$7:$K$1506,0)),IFERROR(INDEX('CARNET DE SOUDURE'!$B$7:$B$1506,MATCH(B1322,'CARNET DE SOUDURE'!$M$7:$M$1506,0)),"")))</f>
        <v/>
      </c>
      <c r="J1322" s="78" t="str">
        <f aca="false">IF(B1322="","",IFERROR(INDEX('CARNET DE SOUDURE'!$E$7:$E$1506,MATCH(B1322,'CARNET DE SOUDURE'!$M$7:$M$1506,0)),""))</f>
        <v/>
      </c>
      <c r="K1322" s="78" t="str">
        <f aca="false">IF(B1322="","",IFERROR(INDEX('CARNET DE SOUDURE'!$E$7:$E$1506,MATCH(B1322,'CARNET DE SOUDURE'!$K$7:$K$1506,0)),""))</f>
        <v/>
      </c>
      <c r="L1322" s="78" t="str">
        <f aca="false">IF(B1322="","",IFERROR(INDEX('CARNET DE SOUDURE'!$D$7:$D$1506,MATCH(B1322,'CARNET DE SOUDURE'!$K$7:$K$1506,0)),IFERROR(INDEX('CARNET DE SOUDURE'!$D$7:$D$1506,MATCH(B1322,'CARNET DE SOUDURE'!$M$7:$M$1506,0)),"")))</f>
        <v/>
      </c>
      <c r="M1322" s="81" t="str">
        <f aca="false">IF(B1322="","",IF(OR(J1322&lt;&gt;"",K1322&lt;&gt;""),"POSÉ EN LIGNE",IF(H1322&lt;&gt;"","BARDÉ","EN STOCK")))</f>
        <v/>
      </c>
      <c r="N1322" s="79"/>
    </row>
    <row r="1323" customFormat="false" ht="15" hidden="false" customHeight="false" outlineLevel="0" collapsed="false">
      <c r="A1323" s="78" t="str">
        <f aca="false">IF(B1323="","",ROW()-6)</f>
        <v/>
      </c>
      <c r="B1323" s="90"/>
      <c r="C1323" s="91"/>
      <c r="D1323" s="91"/>
      <c r="E1323" s="80"/>
      <c r="F1323" s="92"/>
      <c r="G1323" s="79"/>
      <c r="H1323" s="82"/>
      <c r="I1323" s="93" t="str">
        <f aca="false">IF(B1323="","",IFERROR(INDEX('CARNET DE SOUDURE'!$B$7:$B$1506,MATCH(B1323,'CARNET DE SOUDURE'!$K$7:$K$1506,0)),IFERROR(INDEX('CARNET DE SOUDURE'!$B$7:$B$1506,MATCH(B1323,'CARNET DE SOUDURE'!$M$7:$M$1506,0)),"")))</f>
        <v/>
      </c>
      <c r="J1323" s="78" t="str">
        <f aca="false">IF(B1323="","",IFERROR(INDEX('CARNET DE SOUDURE'!$E$7:$E$1506,MATCH(B1323,'CARNET DE SOUDURE'!$M$7:$M$1506,0)),""))</f>
        <v/>
      </c>
      <c r="K1323" s="78" t="str">
        <f aca="false">IF(B1323="","",IFERROR(INDEX('CARNET DE SOUDURE'!$E$7:$E$1506,MATCH(B1323,'CARNET DE SOUDURE'!$K$7:$K$1506,0)),""))</f>
        <v/>
      </c>
      <c r="L1323" s="78" t="str">
        <f aca="false">IF(B1323="","",IFERROR(INDEX('CARNET DE SOUDURE'!$D$7:$D$1506,MATCH(B1323,'CARNET DE SOUDURE'!$K$7:$K$1506,0)),IFERROR(INDEX('CARNET DE SOUDURE'!$D$7:$D$1506,MATCH(B1323,'CARNET DE SOUDURE'!$M$7:$M$1506,0)),"")))</f>
        <v/>
      </c>
      <c r="M1323" s="81" t="str">
        <f aca="false">IF(B1323="","",IF(OR(J1323&lt;&gt;"",K1323&lt;&gt;""),"POSÉ EN LIGNE",IF(H1323&lt;&gt;"","BARDÉ","EN STOCK")))</f>
        <v/>
      </c>
      <c r="N1323" s="79"/>
    </row>
    <row r="1324" customFormat="false" ht="15" hidden="false" customHeight="false" outlineLevel="0" collapsed="false">
      <c r="A1324" s="78" t="str">
        <f aca="false">IF(B1324="","",ROW()-6)</f>
        <v/>
      </c>
      <c r="B1324" s="90"/>
      <c r="C1324" s="91"/>
      <c r="D1324" s="91"/>
      <c r="E1324" s="80"/>
      <c r="F1324" s="92"/>
      <c r="G1324" s="79"/>
      <c r="H1324" s="82"/>
      <c r="I1324" s="93" t="str">
        <f aca="false">IF(B1324="","",IFERROR(INDEX('CARNET DE SOUDURE'!$B$7:$B$1506,MATCH(B1324,'CARNET DE SOUDURE'!$K$7:$K$1506,0)),IFERROR(INDEX('CARNET DE SOUDURE'!$B$7:$B$1506,MATCH(B1324,'CARNET DE SOUDURE'!$M$7:$M$1506,0)),"")))</f>
        <v/>
      </c>
      <c r="J1324" s="78" t="str">
        <f aca="false">IF(B1324="","",IFERROR(INDEX('CARNET DE SOUDURE'!$E$7:$E$1506,MATCH(B1324,'CARNET DE SOUDURE'!$M$7:$M$1506,0)),""))</f>
        <v/>
      </c>
      <c r="K1324" s="78" t="str">
        <f aca="false">IF(B1324="","",IFERROR(INDEX('CARNET DE SOUDURE'!$E$7:$E$1506,MATCH(B1324,'CARNET DE SOUDURE'!$K$7:$K$1506,0)),""))</f>
        <v/>
      </c>
      <c r="L1324" s="78" t="str">
        <f aca="false">IF(B1324="","",IFERROR(INDEX('CARNET DE SOUDURE'!$D$7:$D$1506,MATCH(B1324,'CARNET DE SOUDURE'!$K$7:$K$1506,0)),IFERROR(INDEX('CARNET DE SOUDURE'!$D$7:$D$1506,MATCH(B1324,'CARNET DE SOUDURE'!$M$7:$M$1506,0)),"")))</f>
        <v/>
      </c>
      <c r="M1324" s="81" t="str">
        <f aca="false">IF(B1324="","",IF(OR(J1324&lt;&gt;"",K1324&lt;&gt;""),"POSÉ EN LIGNE",IF(H1324&lt;&gt;"","BARDÉ","EN STOCK")))</f>
        <v/>
      </c>
      <c r="N1324" s="79"/>
    </row>
    <row r="1325" customFormat="false" ht="15" hidden="false" customHeight="false" outlineLevel="0" collapsed="false">
      <c r="A1325" s="78" t="str">
        <f aca="false">IF(B1325="","",ROW()-6)</f>
        <v/>
      </c>
      <c r="B1325" s="90"/>
      <c r="C1325" s="91"/>
      <c r="D1325" s="91"/>
      <c r="E1325" s="80"/>
      <c r="F1325" s="92"/>
      <c r="G1325" s="79"/>
      <c r="H1325" s="82"/>
      <c r="I1325" s="93" t="str">
        <f aca="false">IF(B1325="","",IFERROR(INDEX('CARNET DE SOUDURE'!$B$7:$B$1506,MATCH(B1325,'CARNET DE SOUDURE'!$K$7:$K$1506,0)),IFERROR(INDEX('CARNET DE SOUDURE'!$B$7:$B$1506,MATCH(B1325,'CARNET DE SOUDURE'!$M$7:$M$1506,0)),"")))</f>
        <v/>
      </c>
      <c r="J1325" s="78" t="str">
        <f aca="false">IF(B1325="","",IFERROR(INDEX('CARNET DE SOUDURE'!$E$7:$E$1506,MATCH(B1325,'CARNET DE SOUDURE'!$M$7:$M$1506,0)),""))</f>
        <v/>
      </c>
      <c r="K1325" s="78" t="str">
        <f aca="false">IF(B1325="","",IFERROR(INDEX('CARNET DE SOUDURE'!$E$7:$E$1506,MATCH(B1325,'CARNET DE SOUDURE'!$K$7:$K$1506,0)),""))</f>
        <v/>
      </c>
      <c r="L1325" s="78" t="str">
        <f aca="false">IF(B1325="","",IFERROR(INDEX('CARNET DE SOUDURE'!$D$7:$D$1506,MATCH(B1325,'CARNET DE SOUDURE'!$K$7:$K$1506,0)),IFERROR(INDEX('CARNET DE SOUDURE'!$D$7:$D$1506,MATCH(B1325,'CARNET DE SOUDURE'!$M$7:$M$1506,0)),"")))</f>
        <v/>
      </c>
      <c r="M1325" s="81" t="str">
        <f aca="false">IF(B1325="","",IF(OR(J1325&lt;&gt;"",K1325&lt;&gt;""),"POSÉ EN LIGNE",IF(H1325&lt;&gt;"","BARDÉ","EN STOCK")))</f>
        <v/>
      </c>
      <c r="N1325" s="79"/>
    </row>
    <row r="1326" customFormat="false" ht="15" hidden="false" customHeight="false" outlineLevel="0" collapsed="false">
      <c r="A1326" s="78" t="str">
        <f aca="false">IF(B1326="","",ROW()-6)</f>
        <v/>
      </c>
      <c r="B1326" s="90"/>
      <c r="C1326" s="91"/>
      <c r="D1326" s="91"/>
      <c r="E1326" s="80"/>
      <c r="F1326" s="92"/>
      <c r="G1326" s="79"/>
      <c r="H1326" s="82"/>
      <c r="I1326" s="93" t="str">
        <f aca="false">IF(B1326="","",IFERROR(INDEX('CARNET DE SOUDURE'!$B$7:$B$1506,MATCH(B1326,'CARNET DE SOUDURE'!$K$7:$K$1506,0)),IFERROR(INDEX('CARNET DE SOUDURE'!$B$7:$B$1506,MATCH(B1326,'CARNET DE SOUDURE'!$M$7:$M$1506,0)),"")))</f>
        <v/>
      </c>
      <c r="J1326" s="78" t="str">
        <f aca="false">IF(B1326="","",IFERROR(INDEX('CARNET DE SOUDURE'!$E$7:$E$1506,MATCH(B1326,'CARNET DE SOUDURE'!$M$7:$M$1506,0)),""))</f>
        <v/>
      </c>
      <c r="K1326" s="78" t="str">
        <f aca="false">IF(B1326="","",IFERROR(INDEX('CARNET DE SOUDURE'!$E$7:$E$1506,MATCH(B1326,'CARNET DE SOUDURE'!$K$7:$K$1506,0)),""))</f>
        <v/>
      </c>
      <c r="L1326" s="78" t="str">
        <f aca="false">IF(B1326="","",IFERROR(INDEX('CARNET DE SOUDURE'!$D$7:$D$1506,MATCH(B1326,'CARNET DE SOUDURE'!$K$7:$K$1506,0)),IFERROR(INDEX('CARNET DE SOUDURE'!$D$7:$D$1506,MATCH(B1326,'CARNET DE SOUDURE'!$M$7:$M$1506,0)),"")))</f>
        <v/>
      </c>
      <c r="M1326" s="81" t="str">
        <f aca="false">IF(B1326="","",IF(OR(J1326&lt;&gt;"",K1326&lt;&gt;""),"POSÉ EN LIGNE",IF(H1326&lt;&gt;"","BARDÉ","EN STOCK")))</f>
        <v/>
      </c>
      <c r="N1326" s="79"/>
    </row>
    <row r="1327" customFormat="false" ht="15" hidden="false" customHeight="false" outlineLevel="0" collapsed="false">
      <c r="A1327" s="78" t="str">
        <f aca="false">IF(B1327="","",ROW()-6)</f>
        <v/>
      </c>
      <c r="B1327" s="90"/>
      <c r="C1327" s="91"/>
      <c r="D1327" s="91"/>
      <c r="E1327" s="80"/>
      <c r="F1327" s="92"/>
      <c r="G1327" s="79"/>
      <c r="H1327" s="82"/>
      <c r="I1327" s="93" t="str">
        <f aca="false">IF(B1327="","",IFERROR(INDEX('CARNET DE SOUDURE'!$B$7:$B$1506,MATCH(B1327,'CARNET DE SOUDURE'!$K$7:$K$1506,0)),IFERROR(INDEX('CARNET DE SOUDURE'!$B$7:$B$1506,MATCH(B1327,'CARNET DE SOUDURE'!$M$7:$M$1506,0)),"")))</f>
        <v/>
      </c>
      <c r="J1327" s="78" t="str">
        <f aca="false">IF(B1327="","",IFERROR(INDEX('CARNET DE SOUDURE'!$E$7:$E$1506,MATCH(B1327,'CARNET DE SOUDURE'!$M$7:$M$1506,0)),""))</f>
        <v/>
      </c>
      <c r="K1327" s="78" t="str">
        <f aca="false">IF(B1327="","",IFERROR(INDEX('CARNET DE SOUDURE'!$E$7:$E$1506,MATCH(B1327,'CARNET DE SOUDURE'!$K$7:$K$1506,0)),""))</f>
        <v/>
      </c>
      <c r="L1327" s="78" t="str">
        <f aca="false">IF(B1327="","",IFERROR(INDEX('CARNET DE SOUDURE'!$D$7:$D$1506,MATCH(B1327,'CARNET DE SOUDURE'!$K$7:$K$1506,0)),IFERROR(INDEX('CARNET DE SOUDURE'!$D$7:$D$1506,MATCH(B1327,'CARNET DE SOUDURE'!$M$7:$M$1506,0)),"")))</f>
        <v/>
      </c>
      <c r="M1327" s="81" t="str">
        <f aca="false">IF(B1327="","",IF(OR(J1327&lt;&gt;"",K1327&lt;&gt;""),"POSÉ EN LIGNE",IF(H1327&lt;&gt;"","BARDÉ","EN STOCK")))</f>
        <v/>
      </c>
      <c r="N1327" s="79"/>
    </row>
    <row r="1328" customFormat="false" ht="15" hidden="false" customHeight="false" outlineLevel="0" collapsed="false">
      <c r="A1328" s="78" t="str">
        <f aca="false">IF(B1328="","",ROW()-6)</f>
        <v/>
      </c>
      <c r="B1328" s="90"/>
      <c r="C1328" s="91"/>
      <c r="D1328" s="91"/>
      <c r="E1328" s="80"/>
      <c r="F1328" s="92"/>
      <c r="G1328" s="79"/>
      <c r="H1328" s="82"/>
      <c r="I1328" s="93" t="str">
        <f aca="false">IF(B1328="","",IFERROR(INDEX('CARNET DE SOUDURE'!$B$7:$B$1506,MATCH(B1328,'CARNET DE SOUDURE'!$K$7:$K$1506,0)),IFERROR(INDEX('CARNET DE SOUDURE'!$B$7:$B$1506,MATCH(B1328,'CARNET DE SOUDURE'!$M$7:$M$1506,0)),"")))</f>
        <v/>
      </c>
      <c r="J1328" s="78" t="str">
        <f aca="false">IF(B1328="","",IFERROR(INDEX('CARNET DE SOUDURE'!$E$7:$E$1506,MATCH(B1328,'CARNET DE SOUDURE'!$M$7:$M$1506,0)),""))</f>
        <v/>
      </c>
      <c r="K1328" s="78" t="str">
        <f aca="false">IF(B1328="","",IFERROR(INDEX('CARNET DE SOUDURE'!$E$7:$E$1506,MATCH(B1328,'CARNET DE SOUDURE'!$K$7:$K$1506,0)),""))</f>
        <v/>
      </c>
      <c r="L1328" s="78" t="str">
        <f aca="false">IF(B1328="","",IFERROR(INDEX('CARNET DE SOUDURE'!$D$7:$D$1506,MATCH(B1328,'CARNET DE SOUDURE'!$K$7:$K$1506,0)),IFERROR(INDEX('CARNET DE SOUDURE'!$D$7:$D$1506,MATCH(B1328,'CARNET DE SOUDURE'!$M$7:$M$1506,0)),"")))</f>
        <v/>
      </c>
      <c r="M1328" s="81" t="str">
        <f aca="false">IF(B1328="","",IF(OR(J1328&lt;&gt;"",K1328&lt;&gt;""),"POSÉ EN LIGNE",IF(H1328&lt;&gt;"","BARDÉ","EN STOCK")))</f>
        <v/>
      </c>
      <c r="N1328" s="79"/>
    </row>
    <row r="1329" customFormat="false" ht="15" hidden="false" customHeight="false" outlineLevel="0" collapsed="false">
      <c r="A1329" s="78" t="str">
        <f aca="false">IF(B1329="","",ROW()-6)</f>
        <v/>
      </c>
      <c r="B1329" s="90"/>
      <c r="C1329" s="91"/>
      <c r="D1329" s="91"/>
      <c r="E1329" s="80"/>
      <c r="F1329" s="92"/>
      <c r="G1329" s="79"/>
      <c r="H1329" s="82"/>
      <c r="I1329" s="93" t="str">
        <f aca="false">IF(B1329="","",IFERROR(INDEX('CARNET DE SOUDURE'!$B$7:$B$1506,MATCH(B1329,'CARNET DE SOUDURE'!$K$7:$K$1506,0)),IFERROR(INDEX('CARNET DE SOUDURE'!$B$7:$B$1506,MATCH(B1329,'CARNET DE SOUDURE'!$M$7:$M$1506,0)),"")))</f>
        <v/>
      </c>
      <c r="J1329" s="78" t="str">
        <f aca="false">IF(B1329="","",IFERROR(INDEX('CARNET DE SOUDURE'!$E$7:$E$1506,MATCH(B1329,'CARNET DE SOUDURE'!$M$7:$M$1506,0)),""))</f>
        <v/>
      </c>
      <c r="K1329" s="78" t="str">
        <f aca="false">IF(B1329="","",IFERROR(INDEX('CARNET DE SOUDURE'!$E$7:$E$1506,MATCH(B1329,'CARNET DE SOUDURE'!$K$7:$K$1506,0)),""))</f>
        <v/>
      </c>
      <c r="L1329" s="78" t="str">
        <f aca="false">IF(B1329="","",IFERROR(INDEX('CARNET DE SOUDURE'!$D$7:$D$1506,MATCH(B1329,'CARNET DE SOUDURE'!$K$7:$K$1506,0)),IFERROR(INDEX('CARNET DE SOUDURE'!$D$7:$D$1506,MATCH(B1329,'CARNET DE SOUDURE'!$M$7:$M$1506,0)),"")))</f>
        <v/>
      </c>
      <c r="M1329" s="81" t="str">
        <f aca="false">IF(B1329="","",IF(OR(J1329&lt;&gt;"",K1329&lt;&gt;""),"POSÉ EN LIGNE",IF(H1329&lt;&gt;"","BARDÉ","EN STOCK")))</f>
        <v/>
      </c>
      <c r="N1329" s="79"/>
    </row>
    <row r="1330" customFormat="false" ht="15" hidden="false" customHeight="false" outlineLevel="0" collapsed="false">
      <c r="A1330" s="78" t="str">
        <f aca="false">IF(B1330="","",ROW()-6)</f>
        <v/>
      </c>
      <c r="B1330" s="90"/>
      <c r="C1330" s="91"/>
      <c r="D1330" s="91"/>
      <c r="E1330" s="80"/>
      <c r="F1330" s="92"/>
      <c r="G1330" s="79"/>
      <c r="H1330" s="82"/>
      <c r="I1330" s="93" t="str">
        <f aca="false">IF(B1330="","",IFERROR(INDEX('CARNET DE SOUDURE'!$B$7:$B$1506,MATCH(B1330,'CARNET DE SOUDURE'!$K$7:$K$1506,0)),IFERROR(INDEX('CARNET DE SOUDURE'!$B$7:$B$1506,MATCH(B1330,'CARNET DE SOUDURE'!$M$7:$M$1506,0)),"")))</f>
        <v/>
      </c>
      <c r="J1330" s="78" t="str">
        <f aca="false">IF(B1330="","",IFERROR(INDEX('CARNET DE SOUDURE'!$E$7:$E$1506,MATCH(B1330,'CARNET DE SOUDURE'!$M$7:$M$1506,0)),""))</f>
        <v/>
      </c>
      <c r="K1330" s="78" t="str">
        <f aca="false">IF(B1330="","",IFERROR(INDEX('CARNET DE SOUDURE'!$E$7:$E$1506,MATCH(B1330,'CARNET DE SOUDURE'!$K$7:$K$1506,0)),""))</f>
        <v/>
      </c>
      <c r="L1330" s="78" t="str">
        <f aca="false">IF(B1330="","",IFERROR(INDEX('CARNET DE SOUDURE'!$D$7:$D$1506,MATCH(B1330,'CARNET DE SOUDURE'!$K$7:$K$1506,0)),IFERROR(INDEX('CARNET DE SOUDURE'!$D$7:$D$1506,MATCH(B1330,'CARNET DE SOUDURE'!$M$7:$M$1506,0)),"")))</f>
        <v/>
      </c>
      <c r="M1330" s="81" t="str">
        <f aca="false">IF(B1330="","",IF(OR(J1330&lt;&gt;"",K1330&lt;&gt;""),"POSÉ EN LIGNE",IF(H1330&lt;&gt;"","BARDÉ","EN STOCK")))</f>
        <v/>
      </c>
      <c r="N1330" s="79"/>
    </row>
    <row r="1331" customFormat="false" ht="15" hidden="false" customHeight="false" outlineLevel="0" collapsed="false">
      <c r="A1331" s="78" t="str">
        <f aca="false">IF(B1331="","",ROW()-6)</f>
        <v/>
      </c>
      <c r="B1331" s="90"/>
      <c r="C1331" s="91"/>
      <c r="D1331" s="91"/>
      <c r="E1331" s="80"/>
      <c r="F1331" s="92"/>
      <c r="G1331" s="79"/>
      <c r="H1331" s="82"/>
      <c r="I1331" s="93" t="str">
        <f aca="false">IF(B1331="","",IFERROR(INDEX('CARNET DE SOUDURE'!$B$7:$B$1506,MATCH(B1331,'CARNET DE SOUDURE'!$K$7:$K$1506,0)),IFERROR(INDEX('CARNET DE SOUDURE'!$B$7:$B$1506,MATCH(B1331,'CARNET DE SOUDURE'!$M$7:$M$1506,0)),"")))</f>
        <v/>
      </c>
      <c r="J1331" s="78" t="str">
        <f aca="false">IF(B1331="","",IFERROR(INDEX('CARNET DE SOUDURE'!$E$7:$E$1506,MATCH(B1331,'CARNET DE SOUDURE'!$M$7:$M$1506,0)),""))</f>
        <v/>
      </c>
      <c r="K1331" s="78" t="str">
        <f aca="false">IF(B1331="","",IFERROR(INDEX('CARNET DE SOUDURE'!$E$7:$E$1506,MATCH(B1331,'CARNET DE SOUDURE'!$K$7:$K$1506,0)),""))</f>
        <v/>
      </c>
      <c r="L1331" s="78" t="str">
        <f aca="false">IF(B1331="","",IFERROR(INDEX('CARNET DE SOUDURE'!$D$7:$D$1506,MATCH(B1331,'CARNET DE SOUDURE'!$K$7:$K$1506,0)),IFERROR(INDEX('CARNET DE SOUDURE'!$D$7:$D$1506,MATCH(B1331,'CARNET DE SOUDURE'!$M$7:$M$1506,0)),"")))</f>
        <v/>
      </c>
      <c r="M1331" s="81" t="str">
        <f aca="false">IF(B1331="","",IF(OR(J1331&lt;&gt;"",K1331&lt;&gt;""),"POSÉ EN LIGNE",IF(H1331&lt;&gt;"","BARDÉ","EN STOCK")))</f>
        <v/>
      </c>
      <c r="N1331" s="79"/>
    </row>
    <row r="1332" customFormat="false" ht="15" hidden="false" customHeight="false" outlineLevel="0" collapsed="false">
      <c r="A1332" s="78" t="str">
        <f aca="false">IF(B1332="","",ROW()-6)</f>
        <v/>
      </c>
      <c r="B1332" s="90"/>
      <c r="C1332" s="91"/>
      <c r="D1332" s="91"/>
      <c r="E1332" s="80"/>
      <c r="F1332" s="92"/>
      <c r="G1332" s="79"/>
      <c r="H1332" s="82"/>
      <c r="I1332" s="93" t="str">
        <f aca="false">IF(B1332="","",IFERROR(INDEX('CARNET DE SOUDURE'!$B$7:$B$1506,MATCH(B1332,'CARNET DE SOUDURE'!$K$7:$K$1506,0)),IFERROR(INDEX('CARNET DE SOUDURE'!$B$7:$B$1506,MATCH(B1332,'CARNET DE SOUDURE'!$M$7:$M$1506,0)),"")))</f>
        <v/>
      </c>
      <c r="J1332" s="78" t="str">
        <f aca="false">IF(B1332="","",IFERROR(INDEX('CARNET DE SOUDURE'!$E$7:$E$1506,MATCH(B1332,'CARNET DE SOUDURE'!$M$7:$M$1506,0)),""))</f>
        <v/>
      </c>
      <c r="K1332" s="78" t="str">
        <f aca="false">IF(B1332="","",IFERROR(INDEX('CARNET DE SOUDURE'!$E$7:$E$1506,MATCH(B1332,'CARNET DE SOUDURE'!$K$7:$K$1506,0)),""))</f>
        <v/>
      </c>
      <c r="L1332" s="78" t="str">
        <f aca="false">IF(B1332="","",IFERROR(INDEX('CARNET DE SOUDURE'!$D$7:$D$1506,MATCH(B1332,'CARNET DE SOUDURE'!$K$7:$K$1506,0)),IFERROR(INDEX('CARNET DE SOUDURE'!$D$7:$D$1506,MATCH(B1332,'CARNET DE SOUDURE'!$M$7:$M$1506,0)),"")))</f>
        <v/>
      </c>
      <c r="M1332" s="81" t="str">
        <f aca="false">IF(B1332="","",IF(OR(J1332&lt;&gt;"",K1332&lt;&gt;""),"POSÉ EN LIGNE",IF(H1332&lt;&gt;"","BARDÉ","EN STOCK")))</f>
        <v/>
      </c>
      <c r="N1332" s="79"/>
    </row>
    <row r="1333" customFormat="false" ht="15" hidden="false" customHeight="false" outlineLevel="0" collapsed="false">
      <c r="A1333" s="78" t="str">
        <f aca="false">IF(B1333="","",ROW()-6)</f>
        <v/>
      </c>
      <c r="B1333" s="90"/>
      <c r="C1333" s="91"/>
      <c r="D1333" s="91"/>
      <c r="E1333" s="80"/>
      <c r="F1333" s="92"/>
      <c r="G1333" s="79"/>
      <c r="H1333" s="82"/>
      <c r="I1333" s="93" t="str">
        <f aca="false">IF(B1333="","",IFERROR(INDEX('CARNET DE SOUDURE'!$B$7:$B$1506,MATCH(B1333,'CARNET DE SOUDURE'!$K$7:$K$1506,0)),IFERROR(INDEX('CARNET DE SOUDURE'!$B$7:$B$1506,MATCH(B1333,'CARNET DE SOUDURE'!$M$7:$M$1506,0)),"")))</f>
        <v/>
      </c>
      <c r="J1333" s="78" t="str">
        <f aca="false">IF(B1333="","",IFERROR(INDEX('CARNET DE SOUDURE'!$E$7:$E$1506,MATCH(B1333,'CARNET DE SOUDURE'!$M$7:$M$1506,0)),""))</f>
        <v/>
      </c>
      <c r="K1333" s="78" t="str">
        <f aca="false">IF(B1333="","",IFERROR(INDEX('CARNET DE SOUDURE'!$E$7:$E$1506,MATCH(B1333,'CARNET DE SOUDURE'!$K$7:$K$1506,0)),""))</f>
        <v/>
      </c>
      <c r="L1333" s="78" t="str">
        <f aca="false">IF(B1333="","",IFERROR(INDEX('CARNET DE SOUDURE'!$D$7:$D$1506,MATCH(B1333,'CARNET DE SOUDURE'!$K$7:$K$1506,0)),IFERROR(INDEX('CARNET DE SOUDURE'!$D$7:$D$1506,MATCH(B1333,'CARNET DE SOUDURE'!$M$7:$M$1506,0)),"")))</f>
        <v/>
      </c>
      <c r="M1333" s="81" t="str">
        <f aca="false">IF(B1333="","",IF(OR(J1333&lt;&gt;"",K1333&lt;&gt;""),"POSÉ EN LIGNE",IF(H1333&lt;&gt;"","BARDÉ","EN STOCK")))</f>
        <v/>
      </c>
      <c r="N1333" s="79"/>
    </row>
    <row r="1334" customFormat="false" ht="15" hidden="false" customHeight="false" outlineLevel="0" collapsed="false">
      <c r="A1334" s="78" t="str">
        <f aca="false">IF(B1334="","",ROW()-6)</f>
        <v/>
      </c>
      <c r="B1334" s="90"/>
      <c r="C1334" s="91"/>
      <c r="D1334" s="91"/>
      <c r="E1334" s="80"/>
      <c r="F1334" s="92"/>
      <c r="G1334" s="79"/>
      <c r="H1334" s="82"/>
      <c r="I1334" s="93" t="str">
        <f aca="false">IF(B1334="","",IFERROR(INDEX('CARNET DE SOUDURE'!$B$7:$B$1506,MATCH(B1334,'CARNET DE SOUDURE'!$K$7:$K$1506,0)),IFERROR(INDEX('CARNET DE SOUDURE'!$B$7:$B$1506,MATCH(B1334,'CARNET DE SOUDURE'!$M$7:$M$1506,0)),"")))</f>
        <v/>
      </c>
      <c r="J1334" s="78" t="str">
        <f aca="false">IF(B1334="","",IFERROR(INDEX('CARNET DE SOUDURE'!$E$7:$E$1506,MATCH(B1334,'CARNET DE SOUDURE'!$M$7:$M$1506,0)),""))</f>
        <v/>
      </c>
      <c r="K1334" s="78" t="str">
        <f aca="false">IF(B1334="","",IFERROR(INDEX('CARNET DE SOUDURE'!$E$7:$E$1506,MATCH(B1334,'CARNET DE SOUDURE'!$K$7:$K$1506,0)),""))</f>
        <v/>
      </c>
      <c r="L1334" s="78" t="str">
        <f aca="false">IF(B1334="","",IFERROR(INDEX('CARNET DE SOUDURE'!$D$7:$D$1506,MATCH(B1334,'CARNET DE SOUDURE'!$K$7:$K$1506,0)),IFERROR(INDEX('CARNET DE SOUDURE'!$D$7:$D$1506,MATCH(B1334,'CARNET DE SOUDURE'!$M$7:$M$1506,0)),"")))</f>
        <v/>
      </c>
      <c r="M1334" s="81" t="str">
        <f aca="false">IF(B1334="","",IF(OR(J1334&lt;&gt;"",K1334&lt;&gt;""),"POSÉ EN LIGNE",IF(H1334&lt;&gt;"","BARDÉ","EN STOCK")))</f>
        <v/>
      </c>
      <c r="N1334" s="79"/>
    </row>
    <row r="1335" customFormat="false" ht="15" hidden="false" customHeight="false" outlineLevel="0" collapsed="false">
      <c r="A1335" s="78" t="str">
        <f aca="false">IF(B1335="","",ROW()-6)</f>
        <v/>
      </c>
      <c r="B1335" s="90"/>
      <c r="C1335" s="91"/>
      <c r="D1335" s="91"/>
      <c r="E1335" s="80"/>
      <c r="F1335" s="92"/>
      <c r="G1335" s="79"/>
      <c r="H1335" s="82"/>
      <c r="I1335" s="93" t="str">
        <f aca="false">IF(B1335="","",IFERROR(INDEX('CARNET DE SOUDURE'!$B$7:$B$1506,MATCH(B1335,'CARNET DE SOUDURE'!$K$7:$K$1506,0)),IFERROR(INDEX('CARNET DE SOUDURE'!$B$7:$B$1506,MATCH(B1335,'CARNET DE SOUDURE'!$M$7:$M$1506,0)),"")))</f>
        <v/>
      </c>
      <c r="J1335" s="78" t="str">
        <f aca="false">IF(B1335="","",IFERROR(INDEX('CARNET DE SOUDURE'!$E$7:$E$1506,MATCH(B1335,'CARNET DE SOUDURE'!$M$7:$M$1506,0)),""))</f>
        <v/>
      </c>
      <c r="K1335" s="78" t="str">
        <f aca="false">IF(B1335="","",IFERROR(INDEX('CARNET DE SOUDURE'!$E$7:$E$1506,MATCH(B1335,'CARNET DE SOUDURE'!$K$7:$K$1506,0)),""))</f>
        <v/>
      </c>
      <c r="L1335" s="78" t="str">
        <f aca="false">IF(B1335="","",IFERROR(INDEX('CARNET DE SOUDURE'!$D$7:$D$1506,MATCH(B1335,'CARNET DE SOUDURE'!$K$7:$K$1506,0)),IFERROR(INDEX('CARNET DE SOUDURE'!$D$7:$D$1506,MATCH(B1335,'CARNET DE SOUDURE'!$M$7:$M$1506,0)),"")))</f>
        <v/>
      </c>
      <c r="M1335" s="81" t="str">
        <f aca="false">IF(B1335="","",IF(OR(J1335&lt;&gt;"",K1335&lt;&gt;""),"POSÉ EN LIGNE",IF(H1335&lt;&gt;"","BARDÉ","EN STOCK")))</f>
        <v/>
      </c>
      <c r="N1335" s="79"/>
    </row>
    <row r="1336" customFormat="false" ht="15" hidden="false" customHeight="false" outlineLevel="0" collapsed="false">
      <c r="A1336" s="78" t="str">
        <f aca="false">IF(B1336="","",ROW()-6)</f>
        <v/>
      </c>
      <c r="B1336" s="90"/>
      <c r="C1336" s="91"/>
      <c r="D1336" s="91"/>
      <c r="E1336" s="80"/>
      <c r="F1336" s="92"/>
      <c r="G1336" s="79"/>
      <c r="H1336" s="82"/>
      <c r="I1336" s="93" t="str">
        <f aca="false">IF(B1336="","",IFERROR(INDEX('CARNET DE SOUDURE'!$B$7:$B$1506,MATCH(B1336,'CARNET DE SOUDURE'!$K$7:$K$1506,0)),IFERROR(INDEX('CARNET DE SOUDURE'!$B$7:$B$1506,MATCH(B1336,'CARNET DE SOUDURE'!$M$7:$M$1506,0)),"")))</f>
        <v/>
      </c>
      <c r="J1336" s="78" t="str">
        <f aca="false">IF(B1336="","",IFERROR(INDEX('CARNET DE SOUDURE'!$E$7:$E$1506,MATCH(B1336,'CARNET DE SOUDURE'!$M$7:$M$1506,0)),""))</f>
        <v/>
      </c>
      <c r="K1336" s="78" t="str">
        <f aca="false">IF(B1336="","",IFERROR(INDEX('CARNET DE SOUDURE'!$E$7:$E$1506,MATCH(B1336,'CARNET DE SOUDURE'!$K$7:$K$1506,0)),""))</f>
        <v/>
      </c>
      <c r="L1336" s="78" t="str">
        <f aca="false">IF(B1336="","",IFERROR(INDEX('CARNET DE SOUDURE'!$D$7:$D$1506,MATCH(B1336,'CARNET DE SOUDURE'!$K$7:$K$1506,0)),IFERROR(INDEX('CARNET DE SOUDURE'!$D$7:$D$1506,MATCH(B1336,'CARNET DE SOUDURE'!$M$7:$M$1506,0)),"")))</f>
        <v/>
      </c>
      <c r="M1336" s="81" t="str">
        <f aca="false">IF(B1336="","",IF(OR(J1336&lt;&gt;"",K1336&lt;&gt;""),"POSÉ EN LIGNE",IF(H1336&lt;&gt;"","BARDÉ","EN STOCK")))</f>
        <v/>
      </c>
      <c r="N1336" s="79"/>
    </row>
    <row r="1337" customFormat="false" ht="15" hidden="false" customHeight="false" outlineLevel="0" collapsed="false">
      <c r="A1337" s="78" t="str">
        <f aca="false">IF(B1337="","",ROW()-6)</f>
        <v/>
      </c>
      <c r="B1337" s="90"/>
      <c r="C1337" s="91"/>
      <c r="D1337" s="91"/>
      <c r="E1337" s="80"/>
      <c r="F1337" s="92"/>
      <c r="G1337" s="79"/>
      <c r="H1337" s="82"/>
      <c r="I1337" s="93" t="str">
        <f aca="false">IF(B1337="","",IFERROR(INDEX('CARNET DE SOUDURE'!$B$7:$B$1506,MATCH(B1337,'CARNET DE SOUDURE'!$K$7:$K$1506,0)),IFERROR(INDEX('CARNET DE SOUDURE'!$B$7:$B$1506,MATCH(B1337,'CARNET DE SOUDURE'!$M$7:$M$1506,0)),"")))</f>
        <v/>
      </c>
      <c r="J1337" s="78" t="str">
        <f aca="false">IF(B1337="","",IFERROR(INDEX('CARNET DE SOUDURE'!$E$7:$E$1506,MATCH(B1337,'CARNET DE SOUDURE'!$M$7:$M$1506,0)),""))</f>
        <v/>
      </c>
      <c r="K1337" s="78" t="str">
        <f aca="false">IF(B1337="","",IFERROR(INDEX('CARNET DE SOUDURE'!$E$7:$E$1506,MATCH(B1337,'CARNET DE SOUDURE'!$K$7:$K$1506,0)),""))</f>
        <v/>
      </c>
      <c r="L1337" s="78" t="str">
        <f aca="false">IF(B1337="","",IFERROR(INDEX('CARNET DE SOUDURE'!$D$7:$D$1506,MATCH(B1337,'CARNET DE SOUDURE'!$K$7:$K$1506,0)),IFERROR(INDEX('CARNET DE SOUDURE'!$D$7:$D$1506,MATCH(B1337,'CARNET DE SOUDURE'!$M$7:$M$1506,0)),"")))</f>
        <v/>
      </c>
      <c r="M1337" s="81" t="str">
        <f aca="false">IF(B1337="","",IF(OR(J1337&lt;&gt;"",K1337&lt;&gt;""),"POSÉ EN LIGNE",IF(H1337&lt;&gt;"","BARDÉ","EN STOCK")))</f>
        <v/>
      </c>
      <c r="N1337" s="79"/>
    </row>
    <row r="1338" customFormat="false" ht="15" hidden="false" customHeight="false" outlineLevel="0" collapsed="false">
      <c r="A1338" s="78" t="str">
        <f aca="false">IF(B1338="","",ROW()-6)</f>
        <v/>
      </c>
      <c r="B1338" s="90"/>
      <c r="C1338" s="91"/>
      <c r="D1338" s="91"/>
      <c r="E1338" s="80"/>
      <c r="F1338" s="92"/>
      <c r="G1338" s="79"/>
      <c r="H1338" s="82"/>
      <c r="I1338" s="93" t="str">
        <f aca="false">IF(B1338="","",IFERROR(INDEX('CARNET DE SOUDURE'!$B$7:$B$1506,MATCH(B1338,'CARNET DE SOUDURE'!$K$7:$K$1506,0)),IFERROR(INDEX('CARNET DE SOUDURE'!$B$7:$B$1506,MATCH(B1338,'CARNET DE SOUDURE'!$M$7:$M$1506,0)),"")))</f>
        <v/>
      </c>
      <c r="J1338" s="78" t="str">
        <f aca="false">IF(B1338="","",IFERROR(INDEX('CARNET DE SOUDURE'!$E$7:$E$1506,MATCH(B1338,'CARNET DE SOUDURE'!$M$7:$M$1506,0)),""))</f>
        <v/>
      </c>
      <c r="K1338" s="78" t="str">
        <f aca="false">IF(B1338="","",IFERROR(INDEX('CARNET DE SOUDURE'!$E$7:$E$1506,MATCH(B1338,'CARNET DE SOUDURE'!$K$7:$K$1506,0)),""))</f>
        <v/>
      </c>
      <c r="L1338" s="78" t="str">
        <f aca="false">IF(B1338="","",IFERROR(INDEX('CARNET DE SOUDURE'!$D$7:$D$1506,MATCH(B1338,'CARNET DE SOUDURE'!$K$7:$K$1506,0)),IFERROR(INDEX('CARNET DE SOUDURE'!$D$7:$D$1506,MATCH(B1338,'CARNET DE SOUDURE'!$M$7:$M$1506,0)),"")))</f>
        <v/>
      </c>
      <c r="M1338" s="81" t="str">
        <f aca="false">IF(B1338="","",IF(OR(J1338&lt;&gt;"",K1338&lt;&gt;""),"POSÉ EN LIGNE",IF(H1338&lt;&gt;"","BARDÉ","EN STOCK")))</f>
        <v/>
      </c>
      <c r="N1338" s="79"/>
    </row>
    <row r="1339" customFormat="false" ht="15" hidden="false" customHeight="false" outlineLevel="0" collapsed="false">
      <c r="A1339" s="78" t="str">
        <f aca="false">IF(B1339="","",ROW()-6)</f>
        <v/>
      </c>
      <c r="B1339" s="90"/>
      <c r="C1339" s="91"/>
      <c r="D1339" s="91"/>
      <c r="E1339" s="80"/>
      <c r="F1339" s="92"/>
      <c r="G1339" s="79"/>
      <c r="H1339" s="82"/>
      <c r="I1339" s="93" t="str">
        <f aca="false">IF(B1339="","",IFERROR(INDEX('CARNET DE SOUDURE'!$B$7:$B$1506,MATCH(B1339,'CARNET DE SOUDURE'!$K$7:$K$1506,0)),IFERROR(INDEX('CARNET DE SOUDURE'!$B$7:$B$1506,MATCH(B1339,'CARNET DE SOUDURE'!$M$7:$M$1506,0)),"")))</f>
        <v/>
      </c>
      <c r="J1339" s="78" t="str">
        <f aca="false">IF(B1339="","",IFERROR(INDEX('CARNET DE SOUDURE'!$E$7:$E$1506,MATCH(B1339,'CARNET DE SOUDURE'!$M$7:$M$1506,0)),""))</f>
        <v/>
      </c>
      <c r="K1339" s="78" t="str">
        <f aca="false">IF(B1339="","",IFERROR(INDEX('CARNET DE SOUDURE'!$E$7:$E$1506,MATCH(B1339,'CARNET DE SOUDURE'!$K$7:$K$1506,0)),""))</f>
        <v/>
      </c>
      <c r="L1339" s="78" t="str">
        <f aca="false">IF(B1339="","",IFERROR(INDEX('CARNET DE SOUDURE'!$D$7:$D$1506,MATCH(B1339,'CARNET DE SOUDURE'!$K$7:$K$1506,0)),IFERROR(INDEX('CARNET DE SOUDURE'!$D$7:$D$1506,MATCH(B1339,'CARNET DE SOUDURE'!$M$7:$M$1506,0)),"")))</f>
        <v/>
      </c>
      <c r="M1339" s="81" t="str">
        <f aca="false">IF(B1339="","",IF(OR(J1339&lt;&gt;"",K1339&lt;&gt;""),"POSÉ EN LIGNE",IF(H1339&lt;&gt;"","BARDÉ","EN STOCK")))</f>
        <v/>
      </c>
      <c r="N1339" s="79"/>
    </row>
    <row r="1340" customFormat="false" ht="15" hidden="false" customHeight="false" outlineLevel="0" collapsed="false">
      <c r="A1340" s="78" t="str">
        <f aca="false">IF(B1340="","",ROW()-6)</f>
        <v/>
      </c>
      <c r="B1340" s="90"/>
      <c r="C1340" s="91"/>
      <c r="D1340" s="91"/>
      <c r="E1340" s="80"/>
      <c r="F1340" s="92"/>
      <c r="G1340" s="79"/>
      <c r="H1340" s="82"/>
      <c r="I1340" s="93" t="str">
        <f aca="false">IF(B1340="","",IFERROR(INDEX('CARNET DE SOUDURE'!$B$7:$B$1506,MATCH(B1340,'CARNET DE SOUDURE'!$K$7:$K$1506,0)),IFERROR(INDEX('CARNET DE SOUDURE'!$B$7:$B$1506,MATCH(B1340,'CARNET DE SOUDURE'!$M$7:$M$1506,0)),"")))</f>
        <v/>
      </c>
      <c r="J1340" s="78" t="str">
        <f aca="false">IF(B1340="","",IFERROR(INDEX('CARNET DE SOUDURE'!$E$7:$E$1506,MATCH(B1340,'CARNET DE SOUDURE'!$M$7:$M$1506,0)),""))</f>
        <v/>
      </c>
      <c r="K1340" s="78" t="str">
        <f aca="false">IF(B1340="","",IFERROR(INDEX('CARNET DE SOUDURE'!$E$7:$E$1506,MATCH(B1340,'CARNET DE SOUDURE'!$K$7:$K$1506,0)),""))</f>
        <v/>
      </c>
      <c r="L1340" s="78" t="str">
        <f aca="false">IF(B1340="","",IFERROR(INDEX('CARNET DE SOUDURE'!$D$7:$D$1506,MATCH(B1340,'CARNET DE SOUDURE'!$K$7:$K$1506,0)),IFERROR(INDEX('CARNET DE SOUDURE'!$D$7:$D$1506,MATCH(B1340,'CARNET DE SOUDURE'!$M$7:$M$1506,0)),"")))</f>
        <v/>
      </c>
      <c r="M1340" s="81" t="str">
        <f aca="false">IF(B1340="","",IF(OR(J1340&lt;&gt;"",K1340&lt;&gt;""),"POSÉ EN LIGNE",IF(H1340&lt;&gt;"","BARDÉ","EN STOCK")))</f>
        <v/>
      </c>
      <c r="N1340" s="79"/>
    </row>
    <row r="1341" customFormat="false" ht="15" hidden="false" customHeight="false" outlineLevel="0" collapsed="false">
      <c r="A1341" s="78" t="str">
        <f aca="false">IF(B1341="","",ROW()-6)</f>
        <v/>
      </c>
      <c r="B1341" s="90"/>
      <c r="C1341" s="91"/>
      <c r="D1341" s="91"/>
      <c r="E1341" s="80"/>
      <c r="F1341" s="92"/>
      <c r="G1341" s="79"/>
      <c r="H1341" s="82"/>
      <c r="I1341" s="93" t="str">
        <f aca="false">IF(B1341="","",IFERROR(INDEX('CARNET DE SOUDURE'!$B$7:$B$1506,MATCH(B1341,'CARNET DE SOUDURE'!$K$7:$K$1506,0)),IFERROR(INDEX('CARNET DE SOUDURE'!$B$7:$B$1506,MATCH(B1341,'CARNET DE SOUDURE'!$M$7:$M$1506,0)),"")))</f>
        <v/>
      </c>
      <c r="J1341" s="78" t="str">
        <f aca="false">IF(B1341="","",IFERROR(INDEX('CARNET DE SOUDURE'!$E$7:$E$1506,MATCH(B1341,'CARNET DE SOUDURE'!$M$7:$M$1506,0)),""))</f>
        <v/>
      </c>
      <c r="K1341" s="78" t="str">
        <f aca="false">IF(B1341="","",IFERROR(INDEX('CARNET DE SOUDURE'!$E$7:$E$1506,MATCH(B1341,'CARNET DE SOUDURE'!$K$7:$K$1506,0)),""))</f>
        <v/>
      </c>
      <c r="L1341" s="78" t="str">
        <f aca="false">IF(B1341="","",IFERROR(INDEX('CARNET DE SOUDURE'!$D$7:$D$1506,MATCH(B1341,'CARNET DE SOUDURE'!$K$7:$K$1506,0)),IFERROR(INDEX('CARNET DE SOUDURE'!$D$7:$D$1506,MATCH(B1341,'CARNET DE SOUDURE'!$M$7:$M$1506,0)),"")))</f>
        <v/>
      </c>
      <c r="M1341" s="81" t="str">
        <f aca="false">IF(B1341="","",IF(OR(J1341&lt;&gt;"",K1341&lt;&gt;""),"POSÉ EN LIGNE",IF(H1341&lt;&gt;"","BARDÉ","EN STOCK")))</f>
        <v/>
      </c>
      <c r="N1341" s="79"/>
    </row>
    <row r="1342" customFormat="false" ht="15" hidden="false" customHeight="false" outlineLevel="0" collapsed="false">
      <c r="A1342" s="78" t="str">
        <f aca="false">IF(B1342="","",ROW()-6)</f>
        <v/>
      </c>
      <c r="B1342" s="90"/>
      <c r="C1342" s="91"/>
      <c r="D1342" s="91"/>
      <c r="E1342" s="80"/>
      <c r="F1342" s="92"/>
      <c r="G1342" s="79"/>
      <c r="H1342" s="82"/>
      <c r="I1342" s="93" t="str">
        <f aca="false">IF(B1342="","",IFERROR(INDEX('CARNET DE SOUDURE'!$B$7:$B$1506,MATCH(B1342,'CARNET DE SOUDURE'!$K$7:$K$1506,0)),IFERROR(INDEX('CARNET DE SOUDURE'!$B$7:$B$1506,MATCH(B1342,'CARNET DE SOUDURE'!$M$7:$M$1506,0)),"")))</f>
        <v/>
      </c>
      <c r="J1342" s="78" t="str">
        <f aca="false">IF(B1342="","",IFERROR(INDEX('CARNET DE SOUDURE'!$E$7:$E$1506,MATCH(B1342,'CARNET DE SOUDURE'!$M$7:$M$1506,0)),""))</f>
        <v/>
      </c>
      <c r="K1342" s="78" t="str">
        <f aca="false">IF(B1342="","",IFERROR(INDEX('CARNET DE SOUDURE'!$E$7:$E$1506,MATCH(B1342,'CARNET DE SOUDURE'!$K$7:$K$1506,0)),""))</f>
        <v/>
      </c>
      <c r="L1342" s="78" t="str">
        <f aca="false">IF(B1342="","",IFERROR(INDEX('CARNET DE SOUDURE'!$D$7:$D$1506,MATCH(B1342,'CARNET DE SOUDURE'!$K$7:$K$1506,0)),IFERROR(INDEX('CARNET DE SOUDURE'!$D$7:$D$1506,MATCH(B1342,'CARNET DE SOUDURE'!$M$7:$M$1506,0)),"")))</f>
        <v/>
      </c>
      <c r="M1342" s="81" t="str">
        <f aca="false">IF(B1342="","",IF(OR(J1342&lt;&gt;"",K1342&lt;&gt;""),"POSÉ EN LIGNE",IF(H1342&lt;&gt;"","BARDÉ","EN STOCK")))</f>
        <v/>
      </c>
      <c r="N1342" s="79"/>
    </row>
    <row r="1343" customFormat="false" ht="15" hidden="false" customHeight="false" outlineLevel="0" collapsed="false">
      <c r="A1343" s="78" t="str">
        <f aca="false">IF(B1343="","",ROW()-6)</f>
        <v/>
      </c>
      <c r="B1343" s="90"/>
      <c r="C1343" s="91"/>
      <c r="D1343" s="91"/>
      <c r="E1343" s="80"/>
      <c r="F1343" s="92"/>
      <c r="G1343" s="79"/>
      <c r="H1343" s="82"/>
      <c r="I1343" s="93" t="str">
        <f aca="false">IF(B1343="","",IFERROR(INDEX('CARNET DE SOUDURE'!$B$7:$B$1506,MATCH(B1343,'CARNET DE SOUDURE'!$K$7:$K$1506,0)),IFERROR(INDEX('CARNET DE SOUDURE'!$B$7:$B$1506,MATCH(B1343,'CARNET DE SOUDURE'!$M$7:$M$1506,0)),"")))</f>
        <v/>
      </c>
      <c r="J1343" s="78" t="str">
        <f aca="false">IF(B1343="","",IFERROR(INDEX('CARNET DE SOUDURE'!$E$7:$E$1506,MATCH(B1343,'CARNET DE SOUDURE'!$M$7:$M$1506,0)),""))</f>
        <v/>
      </c>
      <c r="K1343" s="78" t="str">
        <f aca="false">IF(B1343="","",IFERROR(INDEX('CARNET DE SOUDURE'!$E$7:$E$1506,MATCH(B1343,'CARNET DE SOUDURE'!$K$7:$K$1506,0)),""))</f>
        <v/>
      </c>
      <c r="L1343" s="78" t="str">
        <f aca="false">IF(B1343="","",IFERROR(INDEX('CARNET DE SOUDURE'!$D$7:$D$1506,MATCH(B1343,'CARNET DE SOUDURE'!$K$7:$K$1506,0)),IFERROR(INDEX('CARNET DE SOUDURE'!$D$7:$D$1506,MATCH(B1343,'CARNET DE SOUDURE'!$M$7:$M$1506,0)),"")))</f>
        <v/>
      </c>
      <c r="M1343" s="81" t="str">
        <f aca="false">IF(B1343="","",IF(OR(J1343&lt;&gt;"",K1343&lt;&gt;""),"POSÉ EN LIGNE",IF(H1343&lt;&gt;"","BARDÉ","EN STOCK")))</f>
        <v/>
      </c>
      <c r="N1343" s="79"/>
    </row>
    <row r="1344" customFormat="false" ht="15" hidden="false" customHeight="false" outlineLevel="0" collapsed="false">
      <c r="A1344" s="78" t="str">
        <f aca="false">IF(B1344="","",ROW()-6)</f>
        <v/>
      </c>
      <c r="B1344" s="90"/>
      <c r="C1344" s="91"/>
      <c r="D1344" s="91"/>
      <c r="E1344" s="80"/>
      <c r="F1344" s="92"/>
      <c r="G1344" s="79"/>
      <c r="H1344" s="82"/>
      <c r="I1344" s="93" t="str">
        <f aca="false">IF(B1344="","",IFERROR(INDEX('CARNET DE SOUDURE'!$B$7:$B$1506,MATCH(B1344,'CARNET DE SOUDURE'!$K$7:$K$1506,0)),IFERROR(INDEX('CARNET DE SOUDURE'!$B$7:$B$1506,MATCH(B1344,'CARNET DE SOUDURE'!$M$7:$M$1506,0)),"")))</f>
        <v/>
      </c>
      <c r="J1344" s="78" t="str">
        <f aca="false">IF(B1344="","",IFERROR(INDEX('CARNET DE SOUDURE'!$E$7:$E$1506,MATCH(B1344,'CARNET DE SOUDURE'!$M$7:$M$1506,0)),""))</f>
        <v/>
      </c>
      <c r="K1344" s="78" t="str">
        <f aca="false">IF(B1344="","",IFERROR(INDEX('CARNET DE SOUDURE'!$E$7:$E$1506,MATCH(B1344,'CARNET DE SOUDURE'!$K$7:$K$1506,0)),""))</f>
        <v/>
      </c>
      <c r="L1344" s="78" t="str">
        <f aca="false">IF(B1344="","",IFERROR(INDEX('CARNET DE SOUDURE'!$D$7:$D$1506,MATCH(B1344,'CARNET DE SOUDURE'!$K$7:$K$1506,0)),IFERROR(INDEX('CARNET DE SOUDURE'!$D$7:$D$1506,MATCH(B1344,'CARNET DE SOUDURE'!$M$7:$M$1506,0)),"")))</f>
        <v/>
      </c>
      <c r="M1344" s="81" t="str">
        <f aca="false">IF(B1344="","",IF(OR(J1344&lt;&gt;"",K1344&lt;&gt;""),"POSÉ EN LIGNE",IF(H1344&lt;&gt;"","BARDÉ","EN STOCK")))</f>
        <v/>
      </c>
      <c r="N1344" s="79"/>
    </row>
    <row r="1345" customFormat="false" ht="15" hidden="false" customHeight="false" outlineLevel="0" collapsed="false">
      <c r="A1345" s="78" t="str">
        <f aca="false">IF(B1345="","",ROW()-6)</f>
        <v/>
      </c>
      <c r="B1345" s="90"/>
      <c r="C1345" s="91"/>
      <c r="D1345" s="91"/>
      <c r="E1345" s="80"/>
      <c r="F1345" s="92"/>
      <c r="G1345" s="79"/>
      <c r="H1345" s="82"/>
      <c r="I1345" s="93" t="str">
        <f aca="false">IF(B1345="","",IFERROR(INDEX('CARNET DE SOUDURE'!$B$7:$B$1506,MATCH(B1345,'CARNET DE SOUDURE'!$K$7:$K$1506,0)),IFERROR(INDEX('CARNET DE SOUDURE'!$B$7:$B$1506,MATCH(B1345,'CARNET DE SOUDURE'!$M$7:$M$1506,0)),"")))</f>
        <v/>
      </c>
      <c r="J1345" s="78" t="str">
        <f aca="false">IF(B1345="","",IFERROR(INDEX('CARNET DE SOUDURE'!$E$7:$E$1506,MATCH(B1345,'CARNET DE SOUDURE'!$M$7:$M$1506,0)),""))</f>
        <v/>
      </c>
      <c r="K1345" s="78" t="str">
        <f aca="false">IF(B1345="","",IFERROR(INDEX('CARNET DE SOUDURE'!$E$7:$E$1506,MATCH(B1345,'CARNET DE SOUDURE'!$K$7:$K$1506,0)),""))</f>
        <v/>
      </c>
      <c r="L1345" s="78" t="str">
        <f aca="false">IF(B1345="","",IFERROR(INDEX('CARNET DE SOUDURE'!$D$7:$D$1506,MATCH(B1345,'CARNET DE SOUDURE'!$K$7:$K$1506,0)),IFERROR(INDEX('CARNET DE SOUDURE'!$D$7:$D$1506,MATCH(B1345,'CARNET DE SOUDURE'!$M$7:$M$1506,0)),"")))</f>
        <v/>
      </c>
      <c r="M1345" s="81" t="str">
        <f aca="false">IF(B1345="","",IF(OR(J1345&lt;&gt;"",K1345&lt;&gt;""),"POSÉ EN LIGNE",IF(H1345&lt;&gt;"","BARDÉ","EN STOCK")))</f>
        <v/>
      </c>
      <c r="N1345" s="79"/>
    </row>
    <row r="1346" customFormat="false" ht="15" hidden="false" customHeight="false" outlineLevel="0" collapsed="false">
      <c r="A1346" s="78" t="str">
        <f aca="false">IF(B1346="","",ROW()-6)</f>
        <v/>
      </c>
      <c r="B1346" s="90"/>
      <c r="C1346" s="91"/>
      <c r="D1346" s="91"/>
      <c r="E1346" s="80"/>
      <c r="F1346" s="92"/>
      <c r="G1346" s="79"/>
      <c r="H1346" s="82"/>
      <c r="I1346" s="93" t="str">
        <f aca="false">IF(B1346="","",IFERROR(INDEX('CARNET DE SOUDURE'!$B$7:$B$1506,MATCH(B1346,'CARNET DE SOUDURE'!$K$7:$K$1506,0)),IFERROR(INDEX('CARNET DE SOUDURE'!$B$7:$B$1506,MATCH(B1346,'CARNET DE SOUDURE'!$M$7:$M$1506,0)),"")))</f>
        <v/>
      </c>
      <c r="J1346" s="78" t="str">
        <f aca="false">IF(B1346="","",IFERROR(INDEX('CARNET DE SOUDURE'!$E$7:$E$1506,MATCH(B1346,'CARNET DE SOUDURE'!$M$7:$M$1506,0)),""))</f>
        <v/>
      </c>
      <c r="K1346" s="78" t="str">
        <f aca="false">IF(B1346="","",IFERROR(INDEX('CARNET DE SOUDURE'!$E$7:$E$1506,MATCH(B1346,'CARNET DE SOUDURE'!$K$7:$K$1506,0)),""))</f>
        <v/>
      </c>
      <c r="L1346" s="78" t="str">
        <f aca="false">IF(B1346="","",IFERROR(INDEX('CARNET DE SOUDURE'!$D$7:$D$1506,MATCH(B1346,'CARNET DE SOUDURE'!$K$7:$K$1506,0)),IFERROR(INDEX('CARNET DE SOUDURE'!$D$7:$D$1506,MATCH(B1346,'CARNET DE SOUDURE'!$M$7:$M$1506,0)),"")))</f>
        <v/>
      </c>
      <c r="M1346" s="81" t="str">
        <f aca="false">IF(B1346="","",IF(OR(J1346&lt;&gt;"",K1346&lt;&gt;""),"POSÉ EN LIGNE",IF(H1346&lt;&gt;"","BARDÉ","EN STOCK")))</f>
        <v/>
      </c>
      <c r="N1346" s="79"/>
    </row>
    <row r="1347" customFormat="false" ht="15" hidden="false" customHeight="false" outlineLevel="0" collapsed="false">
      <c r="A1347" s="78" t="str">
        <f aca="false">IF(B1347="","",ROW()-6)</f>
        <v/>
      </c>
      <c r="B1347" s="90"/>
      <c r="C1347" s="91"/>
      <c r="D1347" s="91"/>
      <c r="E1347" s="80"/>
      <c r="F1347" s="92"/>
      <c r="G1347" s="79"/>
      <c r="H1347" s="82"/>
      <c r="I1347" s="93" t="str">
        <f aca="false">IF(B1347="","",IFERROR(INDEX('CARNET DE SOUDURE'!$B$7:$B$1506,MATCH(B1347,'CARNET DE SOUDURE'!$K$7:$K$1506,0)),IFERROR(INDEX('CARNET DE SOUDURE'!$B$7:$B$1506,MATCH(B1347,'CARNET DE SOUDURE'!$M$7:$M$1506,0)),"")))</f>
        <v/>
      </c>
      <c r="J1347" s="78" t="str">
        <f aca="false">IF(B1347="","",IFERROR(INDEX('CARNET DE SOUDURE'!$E$7:$E$1506,MATCH(B1347,'CARNET DE SOUDURE'!$M$7:$M$1506,0)),""))</f>
        <v/>
      </c>
      <c r="K1347" s="78" t="str">
        <f aca="false">IF(B1347="","",IFERROR(INDEX('CARNET DE SOUDURE'!$E$7:$E$1506,MATCH(B1347,'CARNET DE SOUDURE'!$K$7:$K$1506,0)),""))</f>
        <v/>
      </c>
      <c r="L1347" s="78" t="str">
        <f aca="false">IF(B1347="","",IFERROR(INDEX('CARNET DE SOUDURE'!$D$7:$D$1506,MATCH(B1347,'CARNET DE SOUDURE'!$K$7:$K$1506,0)),IFERROR(INDEX('CARNET DE SOUDURE'!$D$7:$D$1506,MATCH(B1347,'CARNET DE SOUDURE'!$M$7:$M$1506,0)),"")))</f>
        <v/>
      </c>
      <c r="M1347" s="81" t="str">
        <f aca="false">IF(B1347="","",IF(OR(J1347&lt;&gt;"",K1347&lt;&gt;""),"POSÉ EN LIGNE",IF(H1347&lt;&gt;"","BARDÉ","EN STOCK")))</f>
        <v/>
      </c>
      <c r="N1347" s="79"/>
    </row>
    <row r="1348" customFormat="false" ht="15" hidden="false" customHeight="false" outlineLevel="0" collapsed="false">
      <c r="A1348" s="78" t="str">
        <f aca="false">IF(B1348="","",ROW()-6)</f>
        <v/>
      </c>
      <c r="B1348" s="90"/>
      <c r="C1348" s="91"/>
      <c r="D1348" s="91"/>
      <c r="E1348" s="80"/>
      <c r="F1348" s="92"/>
      <c r="G1348" s="79"/>
      <c r="H1348" s="82"/>
      <c r="I1348" s="93" t="str">
        <f aca="false">IF(B1348="","",IFERROR(INDEX('CARNET DE SOUDURE'!$B$7:$B$1506,MATCH(B1348,'CARNET DE SOUDURE'!$K$7:$K$1506,0)),IFERROR(INDEX('CARNET DE SOUDURE'!$B$7:$B$1506,MATCH(B1348,'CARNET DE SOUDURE'!$M$7:$M$1506,0)),"")))</f>
        <v/>
      </c>
      <c r="J1348" s="78" t="str">
        <f aca="false">IF(B1348="","",IFERROR(INDEX('CARNET DE SOUDURE'!$E$7:$E$1506,MATCH(B1348,'CARNET DE SOUDURE'!$M$7:$M$1506,0)),""))</f>
        <v/>
      </c>
      <c r="K1348" s="78" t="str">
        <f aca="false">IF(B1348="","",IFERROR(INDEX('CARNET DE SOUDURE'!$E$7:$E$1506,MATCH(B1348,'CARNET DE SOUDURE'!$K$7:$K$1506,0)),""))</f>
        <v/>
      </c>
      <c r="L1348" s="78" t="str">
        <f aca="false">IF(B1348="","",IFERROR(INDEX('CARNET DE SOUDURE'!$D$7:$D$1506,MATCH(B1348,'CARNET DE SOUDURE'!$K$7:$K$1506,0)),IFERROR(INDEX('CARNET DE SOUDURE'!$D$7:$D$1506,MATCH(B1348,'CARNET DE SOUDURE'!$M$7:$M$1506,0)),"")))</f>
        <v/>
      </c>
      <c r="M1348" s="81" t="str">
        <f aca="false">IF(B1348="","",IF(OR(J1348&lt;&gt;"",K1348&lt;&gt;""),"POSÉ EN LIGNE",IF(H1348&lt;&gt;"","BARDÉ","EN STOCK")))</f>
        <v/>
      </c>
      <c r="N1348" s="79"/>
    </row>
    <row r="1349" customFormat="false" ht="15" hidden="false" customHeight="false" outlineLevel="0" collapsed="false">
      <c r="A1349" s="78" t="str">
        <f aca="false">IF(B1349="","",ROW()-6)</f>
        <v/>
      </c>
      <c r="B1349" s="90"/>
      <c r="C1349" s="91"/>
      <c r="D1349" s="91"/>
      <c r="E1349" s="80"/>
      <c r="F1349" s="92"/>
      <c r="G1349" s="79"/>
      <c r="H1349" s="82"/>
      <c r="I1349" s="93" t="str">
        <f aca="false">IF(B1349="","",IFERROR(INDEX('CARNET DE SOUDURE'!$B$7:$B$1506,MATCH(B1349,'CARNET DE SOUDURE'!$K$7:$K$1506,0)),IFERROR(INDEX('CARNET DE SOUDURE'!$B$7:$B$1506,MATCH(B1349,'CARNET DE SOUDURE'!$M$7:$M$1506,0)),"")))</f>
        <v/>
      </c>
      <c r="J1349" s="78" t="str">
        <f aca="false">IF(B1349="","",IFERROR(INDEX('CARNET DE SOUDURE'!$E$7:$E$1506,MATCH(B1349,'CARNET DE SOUDURE'!$M$7:$M$1506,0)),""))</f>
        <v/>
      </c>
      <c r="K1349" s="78" t="str">
        <f aca="false">IF(B1349="","",IFERROR(INDEX('CARNET DE SOUDURE'!$E$7:$E$1506,MATCH(B1349,'CARNET DE SOUDURE'!$K$7:$K$1506,0)),""))</f>
        <v/>
      </c>
      <c r="L1349" s="78" t="str">
        <f aca="false">IF(B1349="","",IFERROR(INDEX('CARNET DE SOUDURE'!$D$7:$D$1506,MATCH(B1349,'CARNET DE SOUDURE'!$K$7:$K$1506,0)),IFERROR(INDEX('CARNET DE SOUDURE'!$D$7:$D$1506,MATCH(B1349,'CARNET DE SOUDURE'!$M$7:$M$1506,0)),"")))</f>
        <v/>
      </c>
      <c r="M1349" s="81" t="str">
        <f aca="false">IF(B1349="","",IF(OR(J1349&lt;&gt;"",K1349&lt;&gt;""),"POSÉ EN LIGNE",IF(H1349&lt;&gt;"","BARDÉ","EN STOCK")))</f>
        <v/>
      </c>
      <c r="N1349" s="79"/>
    </row>
    <row r="1350" customFormat="false" ht="15" hidden="false" customHeight="false" outlineLevel="0" collapsed="false">
      <c r="A1350" s="78" t="str">
        <f aca="false">IF(B1350="","",ROW()-6)</f>
        <v/>
      </c>
      <c r="B1350" s="90"/>
      <c r="C1350" s="91"/>
      <c r="D1350" s="91"/>
      <c r="E1350" s="80"/>
      <c r="F1350" s="92"/>
      <c r="G1350" s="79"/>
      <c r="H1350" s="82"/>
      <c r="I1350" s="93" t="str">
        <f aca="false">IF(B1350="","",IFERROR(INDEX('CARNET DE SOUDURE'!$B$7:$B$1506,MATCH(B1350,'CARNET DE SOUDURE'!$K$7:$K$1506,0)),IFERROR(INDEX('CARNET DE SOUDURE'!$B$7:$B$1506,MATCH(B1350,'CARNET DE SOUDURE'!$M$7:$M$1506,0)),"")))</f>
        <v/>
      </c>
      <c r="J1350" s="78" t="str">
        <f aca="false">IF(B1350="","",IFERROR(INDEX('CARNET DE SOUDURE'!$E$7:$E$1506,MATCH(B1350,'CARNET DE SOUDURE'!$M$7:$M$1506,0)),""))</f>
        <v/>
      </c>
      <c r="K1350" s="78" t="str">
        <f aca="false">IF(B1350="","",IFERROR(INDEX('CARNET DE SOUDURE'!$E$7:$E$1506,MATCH(B1350,'CARNET DE SOUDURE'!$K$7:$K$1506,0)),""))</f>
        <v/>
      </c>
      <c r="L1350" s="78" t="str">
        <f aca="false">IF(B1350="","",IFERROR(INDEX('CARNET DE SOUDURE'!$D$7:$D$1506,MATCH(B1350,'CARNET DE SOUDURE'!$K$7:$K$1506,0)),IFERROR(INDEX('CARNET DE SOUDURE'!$D$7:$D$1506,MATCH(B1350,'CARNET DE SOUDURE'!$M$7:$M$1506,0)),"")))</f>
        <v/>
      </c>
      <c r="M1350" s="81" t="str">
        <f aca="false">IF(B1350="","",IF(OR(J1350&lt;&gt;"",K1350&lt;&gt;""),"POSÉ EN LIGNE",IF(H1350&lt;&gt;"","BARDÉ","EN STOCK")))</f>
        <v/>
      </c>
      <c r="N1350" s="79"/>
    </row>
    <row r="1351" customFormat="false" ht="15" hidden="false" customHeight="false" outlineLevel="0" collapsed="false">
      <c r="A1351" s="78" t="str">
        <f aca="false">IF(B1351="","",ROW()-6)</f>
        <v/>
      </c>
      <c r="B1351" s="90"/>
      <c r="C1351" s="91"/>
      <c r="D1351" s="91"/>
      <c r="E1351" s="80"/>
      <c r="F1351" s="92"/>
      <c r="G1351" s="79"/>
      <c r="H1351" s="82"/>
      <c r="I1351" s="93" t="str">
        <f aca="false">IF(B1351="","",IFERROR(INDEX('CARNET DE SOUDURE'!$B$7:$B$1506,MATCH(B1351,'CARNET DE SOUDURE'!$K$7:$K$1506,0)),IFERROR(INDEX('CARNET DE SOUDURE'!$B$7:$B$1506,MATCH(B1351,'CARNET DE SOUDURE'!$M$7:$M$1506,0)),"")))</f>
        <v/>
      </c>
      <c r="J1351" s="78" t="str">
        <f aca="false">IF(B1351="","",IFERROR(INDEX('CARNET DE SOUDURE'!$E$7:$E$1506,MATCH(B1351,'CARNET DE SOUDURE'!$M$7:$M$1506,0)),""))</f>
        <v/>
      </c>
      <c r="K1351" s="78" t="str">
        <f aca="false">IF(B1351="","",IFERROR(INDEX('CARNET DE SOUDURE'!$E$7:$E$1506,MATCH(B1351,'CARNET DE SOUDURE'!$K$7:$K$1506,0)),""))</f>
        <v/>
      </c>
      <c r="L1351" s="78" t="str">
        <f aca="false">IF(B1351="","",IFERROR(INDEX('CARNET DE SOUDURE'!$D$7:$D$1506,MATCH(B1351,'CARNET DE SOUDURE'!$K$7:$K$1506,0)),IFERROR(INDEX('CARNET DE SOUDURE'!$D$7:$D$1506,MATCH(B1351,'CARNET DE SOUDURE'!$M$7:$M$1506,0)),"")))</f>
        <v/>
      </c>
      <c r="M1351" s="81" t="str">
        <f aca="false">IF(B1351="","",IF(OR(J1351&lt;&gt;"",K1351&lt;&gt;""),"POSÉ EN LIGNE",IF(H1351&lt;&gt;"","BARDÉ","EN STOCK")))</f>
        <v/>
      </c>
      <c r="N1351" s="79"/>
    </row>
    <row r="1352" customFormat="false" ht="15" hidden="false" customHeight="false" outlineLevel="0" collapsed="false">
      <c r="A1352" s="78" t="str">
        <f aca="false">IF(B1352="","",ROW()-6)</f>
        <v/>
      </c>
      <c r="B1352" s="90"/>
      <c r="C1352" s="91"/>
      <c r="D1352" s="91"/>
      <c r="E1352" s="80"/>
      <c r="F1352" s="92"/>
      <c r="G1352" s="79"/>
      <c r="H1352" s="82"/>
      <c r="I1352" s="93" t="str">
        <f aca="false">IF(B1352="","",IFERROR(INDEX('CARNET DE SOUDURE'!$B$7:$B$1506,MATCH(B1352,'CARNET DE SOUDURE'!$K$7:$K$1506,0)),IFERROR(INDEX('CARNET DE SOUDURE'!$B$7:$B$1506,MATCH(B1352,'CARNET DE SOUDURE'!$M$7:$M$1506,0)),"")))</f>
        <v/>
      </c>
      <c r="J1352" s="78" t="str">
        <f aca="false">IF(B1352="","",IFERROR(INDEX('CARNET DE SOUDURE'!$E$7:$E$1506,MATCH(B1352,'CARNET DE SOUDURE'!$M$7:$M$1506,0)),""))</f>
        <v/>
      </c>
      <c r="K1352" s="78" t="str">
        <f aca="false">IF(B1352="","",IFERROR(INDEX('CARNET DE SOUDURE'!$E$7:$E$1506,MATCH(B1352,'CARNET DE SOUDURE'!$K$7:$K$1506,0)),""))</f>
        <v/>
      </c>
      <c r="L1352" s="78" t="str">
        <f aca="false">IF(B1352="","",IFERROR(INDEX('CARNET DE SOUDURE'!$D$7:$D$1506,MATCH(B1352,'CARNET DE SOUDURE'!$K$7:$K$1506,0)),IFERROR(INDEX('CARNET DE SOUDURE'!$D$7:$D$1506,MATCH(B1352,'CARNET DE SOUDURE'!$M$7:$M$1506,0)),"")))</f>
        <v/>
      </c>
      <c r="M1352" s="81" t="str">
        <f aca="false">IF(B1352="","",IF(OR(J1352&lt;&gt;"",K1352&lt;&gt;""),"POSÉ EN LIGNE",IF(H1352&lt;&gt;"","BARDÉ","EN STOCK")))</f>
        <v/>
      </c>
      <c r="N1352" s="79"/>
    </row>
    <row r="1353" customFormat="false" ht="15" hidden="false" customHeight="false" outlineLevel="0" collapsed="false">
      <c r="A1353" s="78" t="str">
        <f aca="false">IF(B1353="","",ROW()-6)</f>
        <v/>
      </c>
      <c r="B1353" s="90"/>
      <c r="C1353" s="91"/>
      <c r="D1353" s="91"/>
      <c r="E1353" s="80"/>
      <c r="F1353" s="92"/>
      <c r="G1353" s="79"/>
      <c r="H1353" s="82"/>
      <c r="I1353" s="93" t="str">
        <f aca="false">IF(B1353="","",IFERROR(INDEX('CARNET DE SOUDURE'!$B$7:$B$1506,MATCH(B1353,'CARNET DE SOUDURE'!$K$7:$K$1506,0)),IFERROR(INDEX('CARNET DE SOUDURE'!$B$7:$B$1506,MATCH(B1353,'CARNET DE SOUDURE'!$M$7:$M$1506,0)),"")))</f>
        <v/>
      </c>
      <c r="J1353" s="78" t="str">
        <f aca="false">IF(B1353="","",IFERROR(INDEX('CARNET DE SOUDURE'!$E$7:$E$1506,MATCH(B1353,'CARNET DE SOUDURE'!$M$7:$M$1506,0)),""))</f>
        <v/>
      </c>
      <c r="K1353" s="78" t="str">
        <f aca="false">IF(B1353="","",IFERROR(INDEX('CARNET DE SOUDURE'!$E$7:$E$1506,MATCH(B1353,'CARNET DE SOUDURE'!$K$7:$K$1506,0)),""))</f>
        <v/>
      </c>
      <c r="L1353" s="78" t="str">
        <f aca="false">IF(B1353="","",IFERROR(INDEX('CARNET DE SOUDURE'!$D$7:$D$1506,MATCH(B1353,'CARNET DE SOUDURE'!$K$7:$K$1506,0)),IFERROR(INDEX('CARNET DE SOUDURE'!$D$7:$D$1506,MATCH(B1353,'CARNET DE SOUDURE'!$M$7:$M$1506,0)),"")))</f>
        <v/>
      </c>
      <c r="M1353" s="81" t="str">
        <f aca="false">IF(B1353="","",IF(OR(J1353&lt;&gt;"",K1353&lt;&gt;""),"POSÉ EN LIGNE",IF(H1353&lt;&gt;"","BARDÉ","EN STOCK")))</f>
        <v/>
      </c>
      <c r="N1353" s="79"/>
    </row>
    <row r="1354" customFormat="false" ht="15" hidden="false" customHeight="false" outlineLevel="0" collapsed="false">
      <c r="A1354" s="78" t="str">
        <f aca="false">IF(B1354="","",ROW()-6)</f>
        <v/>
      </c>
      <c r="B1354" s="90"/>
      <c r="C1354" s="91"/>
      <c r="D1354" s="91"/>
      <c r="E1354" s="80"/>
      <c r="F1354" s="92"/>
      <c r="G1354" s="79"/>
      <c r="H1354" s="82"/>
      <c r="I1354" s="93" t="str">
        <f aca="false">IF(B1354="","",IFERROR(INDEX('CARNET DE SOUDURE'!$B$7:$B$1506,MATCH(B1354,'CARNET DE SOUDURE'!$K$7:$K$1506,0)),IFERROR(INDEX('CARNET DE SOUDURE'!$B$7:$B$1506,MATCH(B1354,'CARNET DE SOUDURE'!$M$7:$M$1506,0)),"")))</f>
        <v/>
      </c>
      <c r="J1354" s="78" t="str">
        <f aca="false">IF(B1354="","",IFERROR(INDEX('CARNET DE SOUDURE'!$E$7:$E$1506,MATCH(B1354,'CARNET DE SOUDURE'!$M$7:$M$1506,0)),""))</f>
        <v/>
      </c>
      <c r="K1354" s="78" t="str">
        <f aca="false">IF(B1354="","",IFERROR(INDEX('CARNET DE SOUDURE'!$E$7:$E$1506,MATCH(B1354,'CARNET DE SOUDURE'!$K$7:$K$1506,0)),""))</f>
        <v/>
      </c>
      <c r="L1354" s="78" t="str">
        <f aca="false">IF(B1354="","",IFERROR(INDEX('CARNET DE SOUDURE'!$D$7:$D$1506,MATCH(B1354,'CARNET DE SOUDURE'!$K$7:$K$1506,0)),IFERROR(INDEX('CARNET DE SOUDURE'!$D$7:$D$1506,MATCH(B1354,'CARNET DE SOUDURE'!$M$7:$M$1506,0)),"")))</f>
        <v/>
      </c>
      <c r="M1354" s="81" t="str">
        <f aca="false">IF(B1354="","",IF(OR(J1354&lt;&gt;"",K1354&lt;&gt;""),"POSÉ EN LIGNE",IF(H1354&lt;&gt;"","BARDÉ","EN STOCK")))</f>
        <v/>
      </c>
      <c r="N1354" s="79"/>
    </row>
    <row r="1355" customFormat="false" ht="15" hidden="false" customHeight="false" outlineLevel="0" collapsed="false">
      <c r="A1355" s="78" t="str">
        <f aca="false">IF(B1355="","",ROW()-6)</f>
        <v/>
      </c>
      <c r="B1355" s="90"/>
      <c r="C1355" s="91"/>
      <c r="D1355" s="91"/>
      <c r="E1355" s="80"/>
      <c r="F1355" s="92"/>
      <c r="G1355" s="79"/>
      <c r="H1355" s="82"/>
      <c r="I1355" s="93" t="str">
        <f aca="false">IF(B1355="","",IFERROR(INDEX('CARNET DE SOUDURE'!$B$7:$B$1506,MATCH(B1355,'CARNET DE SOUDURE'!$K$7:$K$1506,0)),IFERROR(INDEX('CARNET DE SOUDURE'!$B$7:$B$1506,MATCH(B1355,'CARNET DE SOUDURE'!$M$7:$M$1506,0)),"")))</f>
        <v/>
      </c>
      <c r="J1355" s="78" t="str">
        <f aca="false">IF(B1355="","",IFERROR(INDEX('CARNET DE SOUDURE'!$E$7:$E$1506,MATCH(B1355,'CARNET DE SOUDURE'!$M$7:$M$1506,0)),""))</f>
        <v/>
      </c>
      <c r="K1355" s="78" t="str">
        <f aca="false">IF(B1355="","",IFERROR(INDEX('CARNET DE SOUDURE'!$E$7:$E$1506,MATCH(B1355,'CARNET DE SOUDURE'!$K$7:$K$1506,0)),""))</f>
        <v/>
      </c>
      <c r="L1355" s="78" t="str">
        <f aca="false">IF(B1355="","",IFERROR(INDEX('CARNET DE SOUDURE'!$D$7:$D$1506,MATCH(B1355,'CARNET DE SOUDURE'!$K$7:$K$1506,0)),IFERROR(INDEX('CARNET DE SOUDURE'!$D$7:$D$1506,MATCH(B1355,'CARNET DE SOUDURE'!$M$7:$M$1506,0)),"")))</f>
        <v/>
      </c>
      <c r="M1355" s="81" t="str">
        <f aca="false">IF(B1355="","",IF(OR(J1355&lt;&gt;"",K1355&lt;&gt;""),"POSÉ EN LIGNE",IF(H1355&lt;&gt;"","BARDÉ","EN STOCK")))</f>
        <v/>
      </c>
      <c r="N1355" s="79"/>
    </row>
    <row r="1356" customFormat="false" ht="15" hidden="false" customHeight="false" outlineLevel="0" collapsed="false">
      <c r="A1356" s="78" t="str">
        <f aca="false">IF(B1356="","",ROW()-6)</f>
        <v/>
      </c>
      <c r="B1356" s="90"/>
      <c r="C1356" s="91"/>
      <c r="D1356" s="91"/>
      <c r="E1356" s="80"/>
      <c r="F1356" s="92"/>
      <c r="G1356" s="79"/>
      <c r="H1356" s="82"/>
      <c r="I1356" s="93" t="str">
        <f aca="false">IF(B1356="","",IFERROR(INDEX('CARNET DE SOUDURE'!$B$7:$B$1506,MATCH(B1356,'CARNET DE SOUDURE'!$K$7:$K$1506,0)),IFERROR(INDEX('CARNET DE SOUDURE'!$B$7:$B$1506,MATCH(B1356,'CARNET DE SOUDURE'!$M$7:$M$1506,0)),"")))</f>
        <v/>
      </c>
      <c r="J1356" s="78" t="str">
        <f aca="false">IF(B1356="","",IFERROR(INDEX('CARNET DE SOUDURE'!$E$7:$E$1506,MATCH(B1356,'CARNET DE SOUDURE'!$M$7:$M$1506,0)),""))</f>
        <v/>
      </c>
      <c r="K1356" s="78" t="str">
        <f aca="false">IF(B1356="","",IFERROR(INDEX('CARNET DE SOUDURE'!$E$7:$E$1506,MATCH(B1356,'CARNET DE SOUDURE'!$K$7:$K$1506,0)),""))</f>
        <v/>
      </c>
      <c r="L1356" s="78" t="str">
        <f aca="false">IF(B1356="","",IFERROR(INDEX('CARNET DE SOUDURE'!$D$7:$D$1506,MATCH(B1356,'CARNET DE SOUDURE'!$K$7:$K$1506,0)),IFERROR(INDEX('CARNET DE SOUDURE'!$D$7:$D$1506,MATCH(B1356,'CARNET DE SOUDURE'!$M$7:$M$1506,0)),"")))</f>
        <v/>
      </c>
      <c r="M1356" s="81" t="str">
        <f aca="false">IF(B1356="","",IF(OR(J1356&lt;&gt;"",K1356&lt;&gt;""),"POSÉ EN LIGNE",IF(H1356&lt;&gt;"","BARDÉ","EN STOCK")))</f>
        <v/>
      </c>
      <c r="N1356" s="79"/>
    </row>
    <row r="1357" customFormat="false" ht="15" hidden="false" customHeight="false" outlineLevel="0" collapsed="false">
      <c r="A1357" s="78" t="str">
        <f aca="false">IF(B1357="","",ROW()-6)</f>
        <v/>
      </c>
      <c r="B1357" s="90"/>
      <c r="C1357" s="91"/>
      <c r="D1357" s="91"/>
      <c r="E1357" s="80"/>
      <c r="F1357" s="92"/>
      <c r="G1357" s="79"/>
      <c r="H1357" s="82"/>
      <c r="I1357" s="93" t="str">
        <f aca="false">IF(B1357="","",IFERROR(INDEX('CARNET DE SOUDURE'!$B$7:$B$1506,MATCH(B1357,'CARNET DE SOUDURE'!$K$7:$K$1506,0)),IFERROR(INDEX('CARNET DE SOUDURE'!$B$7:$B$1506,MATCH(B1357,'CARNET DE SOUDURE'!$M$7:$M$1506,0)),"")))</f>
        <v/>
      </c>
      <c r="J1357" s="78" t="str">
        <f aca="false">IF(B1357="","",IFERROR(INDEX('CARNET DE SOUDURE'!$E$7:$E$1506,MATCH(B1357,'CARNET DE SOUDURE'!$M$7:$M$1506,0)),""))</f>
        <v/>
      </c>
      <c r="K1357" s="78" t="str">
        <f aca="false">IF(B1357="","",IFERROR(INDEX('CARNET DE SOUDURE'!$E$7:$E$1506,MATCH(B1357,'CARNET DE SOUDURE'!$K$7:$K$1506,0)),""))</f>
        <v/>
      </c>
      <c r="L1357" s="78" t="str">
        <f aca="false">IF(B1357="","",IFERROR(INDEX('CARNET DE SOUDURE'!$D$7:$D$1506,MATCH(B1357,'CARNET DE SOUDURE'!$K$7:$K$1506,0)),IFERROR(INDEX('CARNET DE SOUDURE'!$D$7:$D$1506,MATCH(B1357,'CARNET DE SOUDURE'!$M$7:$M$1506,0)),"")))</f>
        <v/>
      </c>
      <c r="M1357" s="81" t="str">
        <f aca="false">IF(B1357="","",IF(OR(J1357&lt;&gt;"",K1357&lt;&gt;""),"POSÉ EN LIGNE",IF(H1357&lt;&gt;"","BARDÉ","EN STOCK")))</f>
        <v/>
      </c>
      <c r="N1357" s="79"/>
    </row>
    <row r="1358" customFormat="false" ht="15" hidden="false" customHeight="false" outlineLevel="0" collapsed="false">
      <c r="A1358" s="78" t="str">
        <f aca="false">IF(B1358="","",ROW()-6)</f>
        <v/>
      </c>
      <c r="B1358" s="90"/>
      <c r="C1358" s="91"/>
      <c r="D1358" s="91"/>
      <c r="E1358" s="80"/>
      <c r="F1358" s="92"/>
      <c r="G1358" s="79"/>
      <c r="H1358" s="82"/>
      <c r="I1358" s="93" t="str">
        <f aca="false">IF(B1358="","",IFERROR(INDEX('CARNET DE SOUDURE'!$B$7:$B$1506,MATCH(B1358,'CARNET DE SOUDURE'!$K$7:$K$1506,0)),IFERROR(INDEX('CARNET DE SOUDURE'!$B$7:$B$1506,MATCH(B1358,'CARNET DE SOUDURE'!$M$7:$M$1506,0)),"")))</f>
        <v/>
      </c>
      <c r="J1358" s="78" t="str">
        <f aca="false">IF(B1358="","",IFERROR(INDEX('CARNET DE SOUDURE'!$E$7:$E$1506,MATCH(B1358,'CARNET DE SOUDURE'!$M$7:$M$1506,0)),""))</f>
        <v/>
      </c>
      <c r="K1358" s="78" t="str">
        <f aca="false">IF(B1358="","",IFERROR(INDEX('CARNET DE SOUDURE'!$E$7:$E$1506,MATCH(B1358,'CARNET DE SOUDURE'!$K$7:$K$1506,0)),""))</f>
        <v/>
      </c>
      <c r="L1358" s="78" t="str">
        <f aca="false">IF(B1358="","",IFERROR(INDEX('CARNET DE SOUDURE'!$D$7:$D$1506,MATCH(B1358,'CARNET DE SOUDURE'!$K$7:$K$1506,0)),IFERROR(INDEX('CARNET DE SOUDURE'!$D$7:$D$1506,MATCH(B1358,'CARNET DE SOUDURE'!$M$7:$M$1506,0)),"")))</f>
        <v/>
      </c>
      <c r="M1358" s="81" t="str">
        <f aca="false">IF(B1358="","",IF(OR(J1358&lt;&gt;"",K1358&lt;&gt;""),"POSÉ EN LIGNE",IF(H1358&lt;&gt;"","BARDÉ","EN STOCK")))</f>
        <v/>
      </c>
      <c r="N1358" s="79"/>
    </row>
    <row r="1359" customFormat="false" ht="15" hidden="false" customHeight="false" outlineLevel="0" collapsed="false">
      <c r="A1359" s="78" t="str">
        <f aca="false">IF(B1359="","",ROW()-6)</f>
        <v/>
      </c>
      <c r="B1359" s="90"/>
      <c r="C1359" s="91"/>
      <c r="D1359" s="91"/>
      <c r="E1359" s="80"/>
      <c r="F1359" s="92"/>
      <c r="G1359" s="79"/>
      <c r="H1359" s="82"/>
      <c r="I1359" s="93" t="str">
        <f aca="false">IF(B1359="","",IFERROR(INDEX('CARNET DE SOUDURE'!$B$7:$B$1506,MATCH(B1359,'CARNET DE SOUDURE'!$K$7:$K$1506,0)),IFERROR(INDEX('CARNET DE SOUDURE'!$B$7:$B$1506,MATCH(B1359,'CARNET DE SOUDURE'!$M$7:$M$1506,0)),"")))</f>
        <v/>
      </c>
      <c r="J1359" s="78" t="str">
        <f aca="false">IF(B1359="","",IFERROR(INDEX('CARNET DE SOUDURE'!$E$7:$E$1506,MATCH(B1359,'CARNET DE SOUDURE'!$M$7:$M$1506,0)),""))</f>
        <v/>
      </c>
      <c r="K1359" s="78" t="str">
        <f aca="false">IF(B1359="","",IFERROR(INDEX('CARNET DE SOUDURE'!$E$7:$E$1506,MATCH(B1359,'CARNET DE SOUDURE'!$K$7:$K$1506,0)),""))</f>
        <v/>
      </c>
      <c r="L1359" s="78" t="str">
        <f aca="false">IF(B1359="","",IFERROR(INDEX('CARNET DE SOUDURE'!$D$7:$D$1506,MATCH(B1359,'CARNET DE SOUDURE'!$K$7:$K$1506,0)),IFERROR(INDEX('CARNET DE SOUDURE'!$D$7:$D$1506,MATCH(B1359,'CARNET DE SOUDURE'!$M$7:$M$1506,0)),"")))</f>
        <v/>
      </c>
      <c r="M1359" s="81" t="str">
        <f aca="false">IF(B1359="","",IF(OR(J1359&lt;&gt;"",K1359&lt;&gt;""),"POSÉ EN LIGNE",IF(H1359&lt;&gt;"","BARDÉ","EN STOCK")))</f>
        <v/>
      </c>
      <c r="N1359" s="79"/>
    </row>
    <row r="1360" customFormat="false" ht="15" hidden="false" customHeight="false" outlineLevel="0" collapsed="false">
      <c r="A1360" s="78" t="str">
        <f aca="false">IF(B1360="","",ROW()-6)</f>
        <v/>
      </c>
      <c r="B1360" s="90"/>
      <c r="C1360" s="91"/>
      <c r="D1360" s="91"/>
      <c r="E1360" s="80"/>
      <c r="F1360" s="92"/>
      <c r="G1360" s="79"/>
      <c r="H1360" s="82"/>
      <c r="I1360" s="93" t="str">
        <f aca="false">IF(B1360="","",IFERROR(INDEX('CARNET DE SOUDURE'!$B$7:$B$1506,MATCH(B1360,'CARNET DE SOUDURE'!$K$7:$K$1506,0)),IFERROR(INDEX('CARNET DE SOUDURE'!$B$7:$B$1506,MATCH(B1360,'CARNET DE SOUDURE'!$M$7:$M$1506,0)),"")))</f>
        <v/>
      </c>
      <c r="J1360" s="78" t="str">
        <f aca="false">IF(B1360="","",IFERROR(INDEX('CARNET DE SOUDURE'!$E$7:$E$1506,MATCH(B1360,'CARNET DE SOUDURE'!$M$7:$M$1506,0)),""))</f>
        <v/>
      </c>
      <c r="K1360" s="78" t="str">
        <f aca="false">IF(B1360="","",IFERROR(INDEX('CARNET DE SOUDURE'!$E$7:$E$1506,MATCH(B1360,'CARNET DE SOUDURE'!$K$7:$K$1506,0)),""))</f>
        <v/>
      </c>
      <c r="L1360" s="78" t="str">
        <f aca="false">IF(B1360="","",IFERROR(INDEX('CARNET DE SOUDURE'!$D$7:$D$1506,MATCH(B1360,'CARNET DE SOUDURE'!$K$7:$K$1506,0)),IFERROR(INDEX('CARNET DE SOUDURE'!$D$7:$D$1506,MATCH(B1360,'CARNET DE SOUDURE'!$M$7:$M$1506,0)),"")))</f>
        <v/>
      </c>
      <c r="M1360" s="81" t="str">
        <f aca="false">IF(B1360="","",IF(OR(J1360&lt;&gt;"",K1360&lt;&gt;""),"POSÉ EN LIGNE",IF(H1360&lt;&gt;"","BARDÉ","EN STOCK")))</f>
        <v/>
      </c>
      <c r="N1360" s="79"/>
    </row>
    <row r="1361" customFormat="false" ht="15" hidden="false" customHeight="false" outlineLevel="0" collapsed="false">
      <c r="A1361" s="78" t="str">
        <f aca="false">IF(B1361="","",ROW()-6)</f>
        <v/>
      </c>
      <c r="B1361" s="90"/>
      <c r="C1361" s="91"/>
      <c r="D1361" s="91"/>
      <c r="E1361" s="80"/>
      <c r="F1361" s="92"/>
      <c r="G1361" s="79"/>
      <c r="H1361" s="82"/>
      <c r="I1361" s="93" t="str">
        <f aca="false">IF(B1361="","",IFERROR(INDEX('CARNET DE SOUDURE'!$B$7:$B$1506,MATCH(B1361,'CARNET DE SOUDURE'!$K$7:$K$1506,0)),IFERROR(INDEX('CARNET DE SOUDURE'!$B$7:$B$1506,MATCH(B1361,'CARNET DE SOUDURE'!$M$7:$M$1506,0)),"")))</f>
        <v/>
      </c>
      <c r="J1361" s="78" t="str">
        <f aca="false">IF(B1361="","",IFERROR(INDEX('CARNET DE SOUDURE'!$E$7:$E$1506,MATCH(B1361,'CARNET DE SOUDURE'!$M$7:$M$1506,0)),""))</f>
        <v/>
      </c>
      <c r="K1361" s="78" t="str">
        <f aca="false">IF(B1361="","",IFERROR(INDEX('CARNET DE SOUDURE'!$E$7:$E$1506,MATCH(B1361,'CARNET DE SOUDURE'!$K$7:$K$1506,0)),""))</f>
        <v/>
      </c>
      <c r="L1361" s="78" t="str">
        <f aca="false">IF(B1361="","",IFERROR(INDEX('CARNET DE SOUDURE'!$D$7:$D$1506,MATCH(B1361,'CARNET DE SOUDURE'!$K$7:$K$1506,0)),IFERROR(INDEX('CARNET DE SOUDURE'!$D$7:$D$1506,MATCH(B1361,'CARNET DE SOUDURE'!$M$7:$M$1506,0)),"")))</f>
        <v/>
      </c>
      <c r="M1361" s="81" t="str">
        <f aca="false">IF(B1361="","",IF(OR(J1361&lt;&gt;"",K1361&lt;&gt;""),"POSÉ EN LIGNE",IF(H1361&lt;&gt;"","BARDÉ","EN STOCK")))</f>
        <v/>
      </c>
      <c r="N1361" s="79"/>
    </row>
    <row r="1362" customFormat="false" ht="15" hidden="false" customHeight="false" outlineLevel="0" collapsed="false">
      <c r="A1362" s="78" t="str">
        <f aca="false">IF(B1362="","",ROW()-6)</f>
        <v/>
      </c>
      <c r="B1362" s="90"/>
      <c r="C1362" s="91"/>
      <c r="D1362" s="91"/>
      <c r="E1362" s="80"/>
      <c r="F1362" s="92"/>
      <c r="G1362" s="79"/>
      <c r="H1362" s="82"/>
      <c r="I1362" s="93" t="str">
        <f aca="false">IF(B1362="","",IFERROR(INDEX('CARNET DE SOUDURE'!$B$7:$B$1506,MATCH(B1362,'CARNET DE SOUDURE'!$K$7:$K$1506,0)),IFERROR(INDEX('CARNET DE SOUDURE'!$B$7:$B$1506,MATCH(B1362,'CARNET DE SOUDURE'!$M$7:$M$1506,0)),"")))</f>
        <v/>
      </c>
      <c r="J1362" s="78" t="str">
        <f aca="false">IF(B1362="","",IFERROR(INDEX('CARNET DE SOUDURE'!$E$7:$E$1506,MATCH(B1362,'CARNET DE SOUDURE'!$M$7:$M$1506,0)),""))</f>
        <v/>
      </c>
      <c r="K1362" s="78" t="str">
        <f aca="false">IF(B1362="","",IFERROR(INDEX('CARNET DE SOUDURE'!$E$7:$E$1506,MATCH(B1362,'CARNET DE SOUDURE'!$K$7:$K$1506,0)),""))</f>
        <v/>
      </c>
      <c r="L1362" s="78" t="str">
        <f aca="false">IF(B1362="","",IFERROR(INDEX('CARNET DE SOUDURE'!$D$7:$D$1506,MATCH(B1362,'CARNET DE SOUDURE'!$K$7:$K$1506,0)),IFERROR(INDEX('CARNET DE SOUDURE'!$D$7:$D$1506,MATCH(B1362,'CARNET DE SOUDURE'!$M$7:$M$1506,0)),"")))</f>
        <v/>
      </c>
      <c r="M1362" s="81" t="str">
        <f aca="false">IF(B1362="","",IF(OR(J1362&lt;&gt;"",K1362&lt;&gt;""),"POSÉ EN LIGNE",IF(H1362&lt;&gt;"","BARDÉ","EN STOCK")))</f>
        <v/>
      </c>
      <c r="N1362" s="79"/>
    </row>
    <row r="1363" customFormat="false" ht="15" hidden="false" customHeight="false" outlineLevel="0" collapsed="false">
      <c r="A1363" s="78" t="str">
        <f aca="false">IF(B1363="","",ROW()-6)</f>
        <v/>
      </c>
      <c r="B1363" s="90"/>
      <c r="C1363" s="91"/>
      <c r="D1363" s="91"/>
      <c r="E1363" s="80"/>
      <c r="F1363" s="92"/>
      <c r="G1363" s="79"/>
      <c r="H1363" s="82"/>
      <c r="I1363" s="93" t="str">
        <f aca="false">IF(B1363="","",IFERROR(INDEX('CARNET DE SOUDURE'!$B$7:$B$1506,MATCH(B1363,'CARNET DE SOUDURE'!$K$7:$K$1506,0)),IFERROR(INDEX('CARNET DE SOUDURE'!$B$7:$B$1506,MATCH(B1363,'CARNET DE SOUDURE'!$M$7:$M$1506,0)),"")))</f>
        <v/>
      </c>
      <c r="J1363" s="78" t="str">
        <f aca="false">IF(B1363="","",IFERROR(INDEX('CARNET DE SOUDURE'!$E$7:$E$1506,MATCH(B1363,'CARNET DE SOUDURE'!$M$7:$M$1506,0)),""))</f>
        <v/>
      </c>
      <c r="K1363" s="78" t="str">
        <f aca="false">IF(B1363="","",IFERROR(INDEX('CARNET DE SOUDURE'!$E$7:$E$1506,MATCH(B1363,'CARNET DE SOUDURE'!$K$7:$K$1506,0)),""))</f>
        <v/>
      </c>
      <c r="L1363" s="78" t="str">
        <f aca="false">IF(B1363="","",IFERROR(INDEX('CARNET DE SOUDURE'!$D$7:$D$1506,MATCH(B1363,'CARNET DE SOUDURE'!$K$7:$K$1506,0)),IFERROR(INDEX('CARNET DE SOUDURE'!$D$7:$D$1506,MATCH(B1363,'CARNET DE SOUDURE'!$M$7:$M$1506,0)),"")))</f>
        <v/>
      </c>
      <c r="M1363" s="81" t="str">
        <f aca="false">IF(B1363="","",IF(OR(J1363&lt;&gt;"",K1363&lt;&gt;""),"POSÉ EN LIGNE",IF(H1363&lt;&gt;"","BARDÉ","EN STOCK")))</f>
        <v/>
      </c>
      <c r="N1363" s="79"/>
    </row>
    <row r="1364" customFormat="false" ht="15" hidden="false" customHeight="false" outlineLevel="0" collapsed="false">
      <c r="A1364" s="78" t="str">
        <f aca="false">IF(B1364="","",ROW()-6)</f>
        <v/>
      </c>
      <c r="B1364" s="90"/>
      <c r="C1364" s="91"/>
      <c r="D1364" s="91"/>
      <c r="E1364" s="80"/>
      <c r="F1364" s="92"/>
      <c r="G1364" s="79"/>
      <c r="H1364" s="82"/>
      <c r="I1364" s="93" t="str">
        <f aca="false">IF(B1364="","",IFERROR(INDEX('CARNET DE SOUDURE'!$B$7:$B$1506,MATCH(B1364,'CARNET DE SOUDURE'!$K$7:$K$1506,0)),IFERROR(INDEX('CARNET DE SOUDURE'!$B$7:$B$1506,MATCH(B1364,'CARNET DE SOUDURE'!$M$7:$M$1506,0)),"")))</f>
        <v/>
      </c>
      <c r="J1364" s="78" t="str">
        <f aca="false">IF(B1364="","",IFERROR(INDEX('CARNET DE SOUDURE'!$E$7:$E$1506,MATCH(B1364,'CARNET DE SOUDURE'!$M$7:$M$1506,0)),""))</f>
        <v/>
      </c>
      <c r="K1364" s="78" t="str">
        <f aca="false">IF(B1364="","",IFERROR(INDEX('CARNET DE SOUDURE'!$E$7:$E$1506,MATCH(B1364,'CARNET DE SOUDURE'!$K$7:$K$1506,0)),""))</f>
        <v/>
      </c>
      <c r="L1364" s="78" t="str">
        <f aca="false">IF(B1364="","",IFERROR(INDEX('CARNET DE SOUDURE'!$D$7:$D$1506,MATCH(B1364,'CARNET DE SOUDURE'!$K$7:$K$1506,0)),IFERROR(INDEX('CARNET DE SOUDURE'!$D$7:$D$1506,MATCH(B1364,'CARNET DE SOUDURE'!$M$7:$M$1506,0)),"")))</f>
        <v/>
      </c>
      <c r="M1364" s="81" t="str">
        <f aca="false">IF(B1364="","",IF(OR(J1364&lt;&gt;"",K1364&lt;&gt;""),"POSÉ EN LIGNE",IF(H1364&lt;&gt;"","BARDÉ","EN STOCK")))</f>
        <v/>
      </c>
      <c r="N1364" s="79"/>
    </row>
    <row r="1365" customFormat="false" ht="15" hidden="false" customHeight="false" outlineLevel="0" collapsed="false">
      <c r="A1365" s="78" t="str">
        <f aca="false">IF(B1365="","",ROW()-6)</f>
        <v/>
      </c>
      <c r="B1365" s="90"/>
      <c r="C1365" s="91"/>
      <c r="D1365" s="91"/>
      <c r="E1365" s="80"/>
      <c r="F1365" s="92"/>
      <c r="G1365" s="79"/>
      <c r="H1365" s="82"/>
      <c r="I1365" s="93" t="str">
        <f aca="false">IF(B1365="","",IFERROR(INDEX('CARNET DE SOUDURE'!$B$7:$B$1506,MATCH(B1365,'CARNET DE SOUDURE'!$K$7:$K$1506,0)),IFERROR(INDEX('CARNET DE SOUDURE'!$B$7:$B$1506,MATCH(B1365,'CARNET DE SOUDURE'!$M$7:$M$1506,0)),"")))</f>
        <v/>
      </c>
      <c r="J1365" s="78" t="str">
        <f aca="false">IF(B1365="","",IFERROR(INDEX('CARNET DE SOUDURE'!$E$7:$E$1506,MATCH(B1365,'CARNET DE SOUDURE'!$M$7:$M$1506,0)),""))</f>
        <v/>
      </c>
      <c r="K1365" s="78" t="str">
        <f aca="false">IF(B1365="","",IFERROR(INDEX('CARNET DE SOUDURE'!$E$7:$E$1506,MATCH(B1365,'CARNET DE SOUDURE'!$K$7:$K$1506,0)),""))</f>
        <v/>
      </c>
      <c r="L1365" s="78" t="str">
        <f aca="false">IF(B1365="","",IFERROR(INDEX('CARNET DE SOUDURE'!$D$7:$D$1506,MATCH(B1365,'CARNET DE SOUDURE'!$K$7:$K$1506,0)),IFERROR(INDEX('CARNET DE SOUDURE'!$D$7:$D$1506,MATCH(B1365,'CARNET DE SOUDURE'!$M$7:$M$1506,0)),"")))</f>
        <v/>
      </c>
      <c r="M1365" s="81" t="str">
        <f aca="false">IF(B1365="","",IF(OR(J1365&lt;&gt;"",K1365&lt;&gt;""),"POSÉ EN LIGNE",IF(H1365&lt;&gt;"","BARDÉ","EN STOCK")))</f>
        <v/>
      </c>
      <c r="N1365" s="79"/>
    </row>
    <row r="1366" customFormat="false" ht="15" hidden="false" customHeight="false" outlineLevel="0" collapsed="false">
      <c r="A1366" s="78" t="str">
        <f aca="false">IF(B1366="","",ROW()-6)</f>
        <v/>
      </c>
      <c r="B1366" s="90"/>
      <c r="C1366" s="91"/>
      <c r="D1366" s="91"/>
      <c r="E1366" s="80"/>
      <c r="F1366" s="92"/>
      <c r="G1366" s="79"/>
      <c r="H1366" s="82"/>
      <c r="I1366" s="93" t="str">
        <f aca="false">IF(B1366="","",IFERROR(INDEX('CARNET DE SOUDURE'!$B$7:$B$1506,MATCH(B1366,'CARNET DE SOUDURE'!$K$7:$K$1506,0)),IFERROR(INDEX('CARNET DE SOUDURE'!$B$7:$B$1506,MATCH(B1366,'CARNET DE SOUDURE'!$M$7:$M$1506,0)),"")))</f>
        <v/>
      </c>
      <c r="J1366" s="78" t="str">
        <f aca="false">IF(B1366="","",IFERROR(INDEX('CARNET DE SOUDURE'!$E$7:$E$1506,MATCH(B1366,'CARNET DE SOUDURE'!$M$7:$M$1506,0)),""))</f>
        <v/>
      </c>
      <c r="K1366" s="78" t="str">
        <f aca="false">IF(B1366="","",IFERROR(INDEX('CARNET DE SOUDURE'!$E$7:$E$1506,MATCH(B1366,'CARNET DE SOUDURE'!$K$7:$K$1506,0)),""))</f>
        <v/>
      </c>
      <c r="L1366" s="78" t="str">
        <f aca="false">IF(B1366="","",IFERROR(INDEX('CARNET DE SOUDURE'!$D$7:$D$1506,MATCH(B1366,'CARNET DE SOUDURE'!$K$7:$K$1506,0)),IFERROR(INDEX('CARNET DE SOUDURE'!$D$7:$D$1506,MATCH(B1366,'CARNET DE SOUDURE'!$M$7:$M$1506,0)),"")))</f>
        <v/>
      </c>
      <c r="M1366" s="81" t="str">
        <f aca="false">IF(B1366="","",IF(OR(J1366&lt;&gt;"",K1366&lt;&gt;""),"POSÉ EN LIGNE",IF(H1366&lt;&gt;"","BARDÉ","EN STOCK")))</f>
        <v/>
      </c>
      <c r="N1366" s="79"/>
    </row>
    <row r="1367" customFormat="false" ht="15" hidden="false" customHeight="false" outlineLevel="0" collapsed="false">
      <c r="A1367" s="78" t="str">
        <f aca="false">IF(B1367="","",ROW()-6)</f>
        <v/>
      </c>
      <c r="B1367" s="90"/>
      <c r="C1367" s="91"/>
      <c r="D1367" s="91"/>
      <c r="E1367" s="80"/>
      <c r="F1367" s="92"/>
      <c r="G1367" s="79"/>
      <c r="H1367" s="82"/>
      <c r="I1367" s="93" t="str">
        <f aca="false">IF(B1367="","",IFERROR(INDEX('CARNET DE SOUDURE'!$B$7:$B$1506,MATCH(B1367,'CARNET DE SOUDURE'!$K$7:$K$1506,0)),IFERROR(INDEX('CARNET DE SOUDURE'!$B$7:$B$1506,MATCH(B1367,'CARNET DE SOUDURE'!$M$7:$M$1506,0)),"")))</f>
        <v/>
      </c>
      <c r="J1367" s="78" t="str">
        <f aca="false">IF(B1367="","",IFERROR(INDEX('CARNET DE SOUDURE'!$E$7:$E$1506,MATCH(B1367,'CARNET DE SOUDURE'!$M$7:$M$1506,0)),""))</f>
        <v/>
      </c>
      <c r="K1367" s="78" t="str">
        <f aca="false">IF(B1367="","",IFERROR(INDEX('CARNET DE SOUDURE'!$E$7:$E$1506,MATCH(B1367,'CARNET DE SOUDURE'!$K$7:$K$1506,0)),""))</f>
        <v/>
      </c>
      <c r="L1367" s="78" t="str">
        <f aca="false">IF(B1367="","",IFERROR(INDEX('CARNET DE SOUDURE'!$D$7:$D$1506,MATCH(B1367,'CARNET DE SOUDURE'!$K$7:$K$1506,0)),IFERROR(INDEX('CARNET DE SOUDURE'!$D$7:$D$1506,MATCH(B1367,'CARNET DE SOUDURE'!$M$7:$M$1506,0)),"")))</f>
        <v/>
      </c>
      <c r="M1367" s="81" t="str">
        <f aca="false">IF(B1367="","",IF(OR(J1367&lt;&gt;"",K1367&lt;&gt;""),"POSÉ EN LIGNE",IF(H1367&lt;&gt;"","BARDÉ","EN STOCK")))</f>
        <v/>
      </c>
      <c r="N1367" s="79"/>
    </row>
    <row r="1368" customFormat="false" ht="15" hidden="false" customHeight="false" outlineLevel="0" collapsed="false">
      <c r="A1368" s="78" t="str">
        <f aca="false">IF(B1368="","",ROW()-6)</f>
        <v/>
      </c>
      <c r="B1368" s="90"/>
      <c r="C1368" s="91"/>
      <c r="D1368" s="91"/>
      <c r="E1368" s="80"/>
      <c r="F1368" s="92"/>
      <c r="G1368" s="79"/>
      <c r="H1368" s="82"/>
      <c r="I1368" s="93" t="str">
        <f aca="false">IF(B1368="","",IFERROR(INDEX('CARNET DE SOUDURE'!$B$7:$B$1506,MATCH(B1368,'CARNET DE SOUDURE'!$K$7:$K$1506,0)),IFERROR(INDEX('CARNET DE SOUDURE'!$B$7:$B$1506,MATCH(B1368,'CARNET DE SOUDURE'!$M$7:$M$1506,0)),"")))</f>
        <v/>
      </c>
      <c r="J1368" s="78" t="str">
        <f aca="false">IF(B1368="","",IFERROR(INDEX('CARNET DE SOUDURE'!$E$7:$E$1506,MATCH(B1368,'CARNET DE SOUDURE'!$M$7:$M$1506,0)),""))</f>
        <v/>
      </c>
      <c r="K1368" s="78" t="str">
        <f aca="false">IF(B1368="","",IFERROR(INDEX('CARNET DE SOUDURE'!$E$7:$E$1506,MATCH(B1368,'CARNET DE SOUDURE'!$K$7:$K$1506,0)),""))</f>
        <v/>
      </c>
      <c r="L1368" s="78" t="str">
        <f aca="false">IF(B1368="","",IFERROR(INDEX('CARNET DE SOUDURE'!$D$7:$D$1506,MATCH(B1368,'CARNET DE SOUDURE'!$K$7:$K$1506,0)),IFERROR(INDEX('CARNET DE SOUDURE'!$D$7:$D$1506,MATCH(B1368,'CARNET DE SOUDURE'!$M$7:$M$1506,0)),"")))</f>
        <v/>
      </c>
      <c r="M1368" s="81" t="str">
        <f aca="false">IF(B1368="","",IF(OR(J1368&lt;&gt;"",K1368&lt;&gt;""),"POSÉ EN LIGNE",IF(H1368&lt;&gt;"","BARDÉ","EN STOCK")))</f>
        <v/>
      </c>
      <c r="N1368" s="79"/>
    </row>
    <row r="1369" customFormat="false" ht="15" hidden="false" customHeight="false" outlineLevel="0" collapsed="false">
      <c r="A1369" s="78" t="str">
        <f aca="false">IF(B1369="","",ROW()-6)</f>
        <v/>
      </c>
      <c r="B1369" s="90"/>
      <c r="C1369" s="91"/>
      <c r="D1369" s="91"/>
      <c r="E1369" s="80"/>
      <c r="F1369" s="92"/>
      <c r="G1369" s="79"/>
      <c r="H1369" s="82"/>
      <c r="I1369" s="93" t="str">
        <f aca="false">IF(B1369="","",IFERROR(INDEX('CARNET DE SOUDURE'!$B$7:$B$1506,MATCH(B1369,'CARNET DE SOUDURE'!$K$7:$K$1506,0)),IFERROR(INDEX('CARNET DE SOUDURE'!$B$7:$B$1506,MATCH(B1369,'CARNET DE SOUDURE'!$M$7:$M$1506,0)),"")))</f>
        <v/>
      </c>
      <c r="J1369" s="78" t="str">
        <f aca="false">IF(B1369="","",IFERROR(INDEX('CARNET DE SOUDURE'!$E$7:$E$1506,MATCH(B1369,'CARNET DE SOUDURE'!$M$7:$M$1506,0)),""))</f>
        <v/>
      </c>
      <c r="K1369" s="78" t="str">
        <f aca="false">IF(B1369="","",IFERROR(INDEX('CARNET DE SOUDURE'!$E$7:$E$1506,MATCH(B1369,'CARNET DE SOUDURE'!$K$7:$K$1506,0)),""))</f>
        <v/>
      </c>
      <c r="L1369" s="78" t="str">
        <f aca="false">IF(B1369="","",IFERROR(INDEX('CARNET DE SOUDURE'!$D$7:$D$1506,MATCH(B1369,'CARNET DE SOUDURE'!$K$7:$K$1506,0)),IFERROR(INDEX('CARNET DE SOUDURE'!$D$7:$D$1506,MATCH(B1369,'CARNET DE SOUDURE'!$M$7:$M$1506,0)),"")))</f>
        <v/>
      </c>
      <c r="M1369" s="81" t="str">
        <f aca="false">IF(B1369="","",IF(OR(J1369&lt;&gt;"",K1369&lt;&gt;""),"POSÉ EN LIGNE",IF(H1369&lt;&gt;"","BARDÉ","EN STOCK")))</f>
        <v/>
      </c>
      <c r="N1369" s="79"/>
    </row>
    <row r="1370" customFormat="false" ht="15" hidden="false" customHeight="false" outlineLevel="0" collapsed="false">
      <c r="A1370" s="78" t="str">
        <f aca="false">IF(B1370="","",ROW()-6)</f>
        <v/>
      </c>
      <c r="B1370" s="90"/>
      <c r="C1370" s="91"/>
      <c r="D1370" s="91"/>
      <c r="E1370" s="80"/>
      <c r="F1370" s="92"/>
      <c r="G1370" s="79"/>
      <c r="H1370" s="82"/>
      <c r="I1370" s="93" t="str">
        <f aca="false">IF(B1370="","",IFERROR(INDEX('CARNET DE SOUDURE'!$B$7:$B$1506,MATCH(B1370,'CARNET DE SOUDURE'!$K$7:$K$1506,0)),IFERROR(INDEX('CARNET DE SOUDURE'!$B$7:$B$1506,MATCH(B1370,'CARNET DE SOUDURE'!$M$7:$M$1506,0)),"")))</f>
        <v/>
      </c>
      <c r="J1370" s="78" t="str">
        <f aca="false">IF(B1370="","",IFERROR(INDEX('CARNET DE SOUDURE'!$E$7:$E$1506,MATCH(B1370,'CARNET DE SOUDURE'!$M$7:$M$1506,0)),""))</f>
        <v/>
      </c>
      <c r="K1370" s="78" t="str">
        <f aca="false">IF(B1370="","",IFERROR(INDEX('CARNET DE SOUDURE'!$E$7:$E$1506,MATCH(B1370,'CARNET DE SOUDURE'!$K$7:$K$1506,0)),""))</f>
        <v/>
      </c>
      <c r="L1370" s="78" t="str">
        <f aca="false">IF(B1370="","",IFERROR(INDEX('CARNET DE SOUDURE'!$D$7:$D$1506,MATCH(B1370,'CARNET DE SOUDURE'!$K$7:$K$1506,0)),IFERROR(INDEX('CARNET DE SOUDURE'!$D$7:$D$1506,MATCH(B1370,'CARNET DE SOUDURE'!$M$7:$M$1506,0)),"")))</f>
        <v/>
      </c>
      <c r="M1370" s="81" t="str">
        <f aca="false">IF(B1370="","",IF(OR(J1370&lt;&gt;"",K1370&lt;&gt;""),"POSÉ EN LIGNE",IF(H1370&lt;&gt;"","BARDÉ","EN STOCK")))</f>
        <v/>
      </c>
      <c r="N1370" s="79"/>
    </row>
    <row r="1371" customFormat="false" ht="15" hidden="false" customHeight="false" outlineLevel="0" collapsed="false">
      <c r="A1371" s="78" t="str">
        <f aca="false">IF(B1371="","",ROW()-6)</f>
        <v/>
      </c>
      <c r="B1371" s="90"/>
      <c r="C1371" s="91"/>
      <c r="D1371" s="91"/>
      <c r="E1371" s="80"/>
      <c r="F1371" s="92"/>
      <c r="G1371" s="79"/>
      <c r="H1371" s="82"/>
      <c r="I1371" s="93" t="str">
        <f aca="false">IF(B1371="","",IFERROR(INDEX('CARNET DE SOUDURE'!$B$7:$B$1506,MATCH(B1371,'CARNET DE SOUDURE'!$K$7:$K$1506,0)),IFERROR(INDEX('CARNET DE SOUDURE'!$B$7:$B$1506,MATCH(B1371,'CARNET DE SOUDURE'!$M$7:$M$1506,0)),"")))</f>
        <v/>
      </c>
      <c r="J1371" s="78" t="str">
        <f aca="false">IF(B1371="","",IFERROR(INDEX('CARNET DE SOUDURE'!$E$7:$E$1506,MATCH(B1371,'CARNET DE SOUDURE'!$M$7:$M$1506,0)),""))</f>
        <v/>
      </c>
      <c r="K1371" s="78" t="str">
        <f aca="false">IF(B1371="","",IFERROR(INDEX('CARNET DE SOUDURE'!$E$7:$E$1506,MATCH(B1371,'CARNET DE SOUDURE'!$K$7:$K$1506,0)),""))</f>
        <v/>
      </c>
      <c r="L1371" s="78" t="str">
        <f aca="false">IF(B1371="","",IFERROR(INDEX('CARNET DE SOUDURE'!$D$7:$D$1506,MATCH(B1371,'CARNET DE SOUDURE'!$K$7:$K$1506,0)),IFERROR(INDEX('CARNET DE SOUDURE'!$D$7:$D$1506,MATCH(B1371,'CARNET DE SOUDURE'!$M$7:$M$1506,0)),"")))</f>
        <v/>
      </c>
      <c r="M1371" s="81" t="str">
        <f aca="false">IF(B1371="","",IF(OR(J1371&lt;&gt;"",K1371&lt;&gt;""),"POSÉ EN LIGNE",IF(H1371&lt;&gt;"","BARDÉ","EN STOCK")))</f>
        <v/>
      </c>
      <c r="N1371" s="79"/>
    </row>
    <row r="1372" customFormat="false" ht="15" hidden="false" customHeight="false" outlineLevel="0" collapsed="false">
      <c r="A1372" s="78" t="str">
        <f aca="false">IF(B1372="","",ROW()-6)</f>
        <v/>
      </c>
      <c r="B1372" s="90"/>
      <c r="C1372" s="91"/>
      <c r="D1372" s="91"/>
      <c r="E1372" s="80"/>
      <c r="F1372" s="92"/>
      <c r="G1372" s="79"/>
      <c r="H1372" s="82"/>
      <c r="I1372" s="93" t="str">
        <f aca="false">IF(B1372="","",IFERROR(INDEX('CARNET DE SOUDURE'!$B$7:$B$1506,MATCH(B1372,'CARNET DE SOUDURE'!$K$7:$K$1506,0)),IFERROR(INDEX('CARNET DE SOUDURE'!$B$7:$B$1506,MATCH(B1372,'CARNET DE SOUDURE'!$M$7:$M$1506,0)),"")))</f>
        <v/>
      </c>
      <c r="J1372" s="78" t="str">
        <f aca="false">IF(B1372="","",IFERROR(INDEX('CARNET DE SOUDURE'!$E$7:$E$1506,MATCH(B1372,'CARNET DE SOUDURE'!$M$7:$M$1506,0)),""))</f>
        <v/>
      </c>
      <c r="K1372" s="78" t="str">
        <f aca="false">IF(B1372="","",IFERROR(INDEX('CARNET DE SOUDURE'!$E$7:$E$1506,MATCH(B1372,'CARNET DE SOUDURE'!$K$7:$K$1506,0)),""))</f>
        <v/>
      </c>
      <c r="L1372" s="78" t="str">
        <f aca="false">IF(B1372="","",IFERROR(INDEX('CARNET DE SOUDURE'!$D$7:$D$1506,MATCH(B1372,'CARNET DE SOUDURE'!$K$7:$K$1506,0)),IFERROR(INDEX('CARNET DE SOUDURE'!$D$7:$D$1506,MATCH(B1372,'CARNET DE SOUDURE'!$M$7:$M$1506,0)),"")))</f>
        <v/>
      </c>
      <c r="M1372" s="81" t="str">
        <f aca="false">IF(B1372="","",IF(OR(J1372&lt;&gt;"",K1372&lt;&gt;""),"POSÉ EN LIGNE",IF(H1372&lt;&gt;"","BARDÉ","EN STOCK")))</f>
        <v/>
      </c>
      <c r="N1372" s="79"/>
    </row>
    <row r="1373" customFormat="false" ht="15" hidden="false" customHeight="false" outlineLevel="0" collapsed="false">
      <c r="A1373" s="78" t="str">
        <f aca="false">IF(B1373="","",ROW()-6)</f>
        <v/>
      </c>
      <c r="B1373" s="90"/>
      <c r="C1373" s="91"/>
      <c r="D1373" s="91"/>
      <c r="E1373" s="80"/>
      <c r="F1373" s="92"/>
      <c r="G1373" s="79"/>
      <c r="H1373" s="82"/>
      <c r="I1373" s="93" t="str">
        <f aca="false">IF(B1373="","",IFERROR(INDEX('CARNET DE SOUDURE'!$B$7:$B$1506,MATCH(B1373,'CARNET DE SOUDURE'!$K$7:$K$1506,0)),IFERROR(INDEX('CARNET DE SOUDURE'!$B$7:$B$1506,MATCH(B1373,'CARNET DE SOUDURE'!$M$7:$M$1506,0)),"")))</f>
        <v/>
      </c>
      <c r="J1373" s="78" t="str">
        <f aca="false">IF(B1373="","",IFERROR(INDEX('CARNET DE SOUDURE'!$E$7:$E$1506,MATCH(B1373,'CARNET DE SOUDURE'!$M$7:$M$1506,0)),""))</f>
        <v/>
      </c>
      <c r="K1373" s="78" t="str">
        <f aca="false">IF(B1373="","",IFERROR(INDEX('CARNET DE SOUDURE'!$E$7:$E$1506,MATCH(B1373,'CARNET DE SOUDURE'!$K$7:$K$1506,0)),""))</f>
        <v/>
      </c>
      <c r="L1373" s="78" t="str">
        <f aca="false">IF(B1373="","",IFERROR(INDEX('CARNET DE SOUDURE'!$D$7:$D$1506,MATCH(B1373,'CARNET DE SOUDURE'!$K$7:$K$1506,0)),IFERROR(INDEX('CARNET DE SOUDURE'!$D$7:$D$1506,MATCH(B1373,'CARNET DE SOUDURE'!$M$7:$M$1506,0)),"")))</f>
        <v/>
      </c>
      <c r="M1373" s="81" t="str">
        <f aca="false">IF(B1373="","",IF(OR(J1373&lt;&gt;"",K1373&lt;&gt;""),"POSÉ EN LIGNE",IF(H1373&lt;&gt;"","BARDÉ","EN STOCK")))</f>
        <v/>
      </c>
      <c r="N1373" s="79"/>
    </row>
    <row r="1374" customFormat="false" ht="15" hidden="false" customHeight="false" outlineLevel="0" collapsed="false">
      <c r="A1374" s="78" t="str">
        <f aca="false">IF(B1374="","",ROW()-6)</f>
        <v/>
      </c>
      <c r="B1374" s="90"/>
      <c r="C1374" s="91"/>
      <c r="D1374" s="91"/>
      <c r="E1374" s="80"/>
      <c r="F1374" s="92"/>
      <c r="G1374" s="79"/>
      <c r="H1374" s="82"/>
      <c r="I1374" s="93" t="str">
        <f aca="false">IF(B1374="","",IFERROR(INDEX('CARNET DE SOUDURE'!$B$7:$B$1506,MATCH(B1374,'CARNET DE SOUDURE'!$K$7:$K$1506,0)),IFERROR(INDEX('CARNET DE SOUDURE'!$B$7:$B$1506,MATCH(B1374,'CARNET DE SOUDURE'!$M$7:$M$1506,0)),"")))</f>
        <v/>
      </c>
      <c r="J1374" s="78" t="str">
        <f aca="false">IF(B1374="","",IFERROR(INDEX('CARNET DE SOUDURE'!$E$7:$E$1506,MATCH(B1374,'CARNET DE SOUDURE'!$M$7:$M$1506,0)),""))</f>
        <v/>
      </c>
      <c r="K1374" s="78" t="str">
        <f aca="false">IF(B1374="","",IFERROR(INDEX('CARNET DE SOUDURE'!$E$7:$E$1506,MATCH(B1374,'CARNET DE SOUDURE'!$K$7:$K$1506,0)),""))</f>
        <v/>
      </c>
      <c r="L1374" s="78" t="str">
        <f aca="false">IF(B1374="","",IFERROR(INDEX('CARNET DE SOUDURE'!$D$7:$D$1506,MATCH(B1374,'CARNET DE SOUDURE'!$K$7:$K$1506,0)),IFERROR(INDEX('CARNET DE SOUDURE'!$D$7:$D$1506,MATCH(B1374,'CARNET DE SOUDURE'!$M$7:$M$1506,0)),"")))</f>
        <v/>
      </c>
      <c r="M1374" s="81" t="str">
        <f aca="false">IF(B1374="","",IF(OR(J1374&lt;&gt;"",K1374&lt;&gt;""),"POSÉ EN LIGNE",IF(H1374&lt;&gt;"","BARDÉ","EN STOCK")))</f>
        <v/>
      </c>
      <c r="N1374" s="79"/>
    </row>
    <row r="1375" customFormat="false" ht="15" hidden="false" customHeight="false" outlineLevel="0" collapsed="false">
      <c r="A1375" s="78" t="str">
        <f aca="false">IF(B1375="","",ROW()-6)</f>
        <v/>
      </c>
      <c r="B1375" s="90"/>
      <c r="C1375" s="91"/>
      <c r="D1375" s="91"/>
      <c r="E1375" s="80"/>
      <c r="F1375" s="92"/>
      <c r="G1375" s="79"/>
      <c r="H1375" s="82"/>
      <c r="I1375" s="93" t="str">
        <f aca="false">IF(B1375="","",IFERROR(INDEX('CARNET DE SOUDURE'!$B$7:$B$1506,MATCH(B1375,'CARNET DE SOUDURE'!$K$7:$K$1506,0)),IFERROR(INDEX('CARNET DE SOUDURE'!$B$7:$B$1506,MATCH(B1375,'CARNET DE SOUDURE'!$M$7:$M$1506,0)),"")))</f>
        <v/>
      </c>
      <c r="J1375" s="78" t="str">
        <f aca="false">IF(B1375="","",IFERROR(INDEX('CARNET DE SOUDURE'!$E$7:$E$1506,MATCH(B1375,'CARNET DE SOUDURE'!$M$7:$M$1506,0)),""))</f>
        <v/>
      </c>
      <c r="K1375" s="78" t="str">
        <f aca="false">IF(B1375="","",IFERROR(INDEX('CARNET DE SOUDURE'!$E$7:$E$1506,MATCH(B1375,'CARNET DE SOUDURE'!$K$7:$K$1506,0)),""))</f>
        <v/>
      </c>
      <c r="L1375" s="78" t="str">
        <f aca="false">IF(B1375="","",IFERROR(INDEX('CARNET DE SOUDURE'!$D$7:$D$1506,MATCH(B1375,'CARNET DE SOUDURE'!$K$7:$K$1506,0)),IFERROR(INDEX('CARNET DE SOUDURE'!$D$7:$D$1506,MATCH(B1375,'CARNET DE SOUDURE'!$M$7:$M$1506,0)),"")))</f>
        <v/>
      </c>
      <c r="M1375" s="81" t="str">
        <f aca="false">IF(B1375="","",IF(OR(J1375&lt;&gt;"",K1375&lt;&gt;""),"POSÉ EN LIGNE",IF(H1375&lt;&gt;"","BARDÉ","EN STOCK")))</f>
        <v/>
      </c>
      <c r="N1375" s="79"/>
    </row>
    <row r="1376" customFormat="false" ht="15" hidden="false" customHeight="false" outlineLevel="0" collapsed="false">
      <c r="A1376" s="78" t="str">
        <f aca="false">IF(B1376="","",ROW()-6)</f>
        <v/>
      </c>
      <c r="B1376" s="90"/>
      <c r="C1376" s="91"/>
      <c r="D1376" s="91"/>
      <c r="E1376" s="80"/>
      <c r="F1376" s="92"/>
      <c r="G1376" s="79"/>
      <c r="H1376" s="82"/>
      <c r="I1376" s="93" t="str">
        <f aca="false">IF(B1376="","",IFERROR(INDEX('CARNET DE SOUDURE'!$B$7:$B$1506,MATCH(B1376,'CARNET DE SOUDURE'!$K$7:$K$1506,0)),IFERROR(INDEX('CARNET DE SOUDURE'!$B$7:$B$1506,MATCH(B1376,'CARNET DE SOUDURE'!$M$7:$M$1506,0)),"")))</f>
        <v/>
      </c>
      <c r="J1376" s="78" t="str">
        <f aca="false">IF(B1376="","",IFERROR(INDEX('CARNET DE SOUDURE'!$E$7:$E$1506,MATCH(B1376,'CARNET DE SOUDURE'!$M$7:$M$1506,0)),""))</f>
        <v/>
      </c>
      <c r="K1376" s="78" t="str">
        <f aca="false">IF(B1376="","",IFERROR(INDEX('CARNET DE SOUDURE'!$E$7:$E$1506,MATCH(B1376,'CARNET DE SOUDURE'!$K$7:$K$1506,0)),""))</f>
        <v/>
      </c>
      <c r="L1376" s="78" t="str">
        <f aca="false">IF(B1376="","",IFERROR(INDEX('CARNET DE SOUDURE'!$D$7:$D$1506,MATCH(B1376,'CARNET DE SOUDURE'!$K$7:$K$1506,0)),IFERROR(INDEX('CARNET DE SOUDURE'!$D$7:$D$1506,MATCH(B1376,'CARNET DE SOUDURE'!$M$7:$M$1506,0)),"")))</f>
        <v/>
      </c>
      <c r="M1376" s="81" t="str">
        <f aca="false">IF(B1376="","",IF(OR(J1376&lt;&gt;"",K1376&lt;&gt;""),"POSÉ EN LIGNE",IF(H1376&lt;&gt;"","BARDÉ","EN STOCK")))</f>
        <v/>
      </c>
      <c r="N1376" s="79"/>
    </row>
    <row r="1377" customFormat="false" ht="15" hidden="false" customHeight="false" outlineLevel="0" collapsed="false">
      <c r="A1377" s="78" t="str">
        <f aca="false">IF(B1377="","",ROW()-6)</f>
        <v/>
      </c>
      <c r="B1377" s="90"/>
      <c r="C1377" s="91"/>
      <c r="D1377" s="91"/>
      <c r="E1377" s="80"/>
      <c r="F1377" s="92"/>
      <c r="G1377" s="79"/>
      <c r="H1377" s="82"/>
      <c r="I1377" s="93" t="str">
        <f aca="false">IF(B1377="","",IFERROR(INDEX('CARNET DE SOUDURE'!$B$7:$B$1506,MATCH(B1377,'CARNET DE SOUDURE'!$K$7:$K$1506,0)),IFERROR(INDEX('CARNET DE SOUDURE'!$B$7:$B$1506,MATCH(B1377,'CARNET DE SOUDURE'!$M$7:$M$1506,0)),"")))</f>
        <v/>
      </c>
      <c r="J1377" s="78" t="str">
        <f aca="false">IF(B1377="","",IFERROR(INDEX('CARNET DE SOUDURE'!$E$7:$E$1506,MATCH(B1377,'CARNET DE SOUDURE'!$M$7:$M$1506,0)),""))</f>
        <v/>
      </c>
      <c r="K1377" s="78" t="str">
        <f aca="false">IF(B1377="","",IFERROR(INDEX('CARNET DE SOUDURE'!$E$7:$E$1506,MATCH(B1377,'CARNET DE SOUDURE'!$K$7:$K$1506,0)),""))</f>
        <v/>
      </c>
      <c r="L1377" s="78" t="str">
        <f aca="false">IF(B1377="","",IFERROR(INDEX('CARNET DE SOUDURE'!$D$7:$D$1506,MATCH(B1377,'CARNET DE SOUDURE'!$K$7:$K$1506,0)),IFERROR(INDEX('CARNET DE SOUDURE'!$D$7:$D$1506,MATCH(B1377,'CARNET DE SOUDURE'!$M$7:$M$1506,0)),"")))</f>
        <v/>
      </c>
      <c r="M1377" s="81" t="str">
        <f aca="false">IF(B1377="","",IF(OR(J1377&lt;&gt;"",K1377&lt;&gt;""),"POSÉ EN LIGNE",IF(H1377&lt;&gt;"","BARDÉ","EN STOCK")))</f>
        <v/>
      </c>
      <c r="N1377" s="79"/>
    </row>
    <row r="1378" customFormat="false" ht="15" hidden="false" customHeight="false" outlineLevel="0" collapsed="false">
      <c r="A1378" s="78" t="str">
        <f aca="false">IF(B1378="","",ROW()-6)</f>
        <v/>
      </c>
      <c r="B1378" s="90"/>
      <c r="C1378" s="91"/>
      <c r="D1378" s="91"/>
      <c r="E1378" s="80"/>
      <c r="F1378" s="92"/>
      <c r="G1378" s="79"/>
      <c r="H1378" s="82"/>
      <c r="I1378" s="93" t="str">
        <f aca="false">IF(B1378="","",IFERROR(INDEX('CARNET DE SOUDURE'!$B$7:$B$1506,MATCH(B1378,'CARNET DE SOUDURE'!$K$7:$K$1506,0)),IFERROR(INDEX('CARNET DE SOUDURE'!$B$7:$B$1506,MATCH(B1378,'CARNET DE SOUDURE'!$M$7:$M$1506,0)),"")))</f>
        <v/>
      </c>
      <c r="J1378" s="78" t="str">
        <f aca="false">IF(B1378="","",IFERROR(INDEX('CARNET DE SOUDURE'!$E$7:$E$1506,MATCH(B1378,'CARNET DE SOUDURE'!$M$7:$M$1506,0)),""))</f>
        <v/>
      </c>
      <c r="K1378" s="78" t="str">
        <f aca="false">IF(B1378="","",IFERROR(INDEX('CARNET DE SOUDURE'!$E$7:$E$1506,MATCH(B1378,'CARNET DE SOUDURE'!$K$7:$K$1506,0)),""))</f>
        <v/>
      </c>
      <c r="L1378" s="78" t="str">
        <f aca="false">IF(B1378="","",IFERROR(INDEX('CARNET DE SOUDURE'!$D$7:$D$1506,MATCH(B1378,'CARNET DE SOUDURE'!$K$7:$K$1506,0)),IFERROR(INDEX('CARNET DE SOUDURE'!$D$7:$D$1506,MATCH(B1378,'CARNET DE SOUDURE'!$M$7:$M$1506,0)),"")))</f>
        <v/>
      </c>
      <c r="M1378" s="81" t="str">
        <f aca="false">IF(B1378="","",IF(OR(J1378&lt;&gt;"",K1378&lt;&gt;""),"POSÉ EN LIGNE",IF(H1378&lt;&gt;"","BARDÉ","EN STOCK")))</f>
        <v/>
      </c>
      <c r="N1378" s="79"/>
    </row>
    <row r="1379" customFormat="false" ht="15" hidden="false" customHeight="false" outlineLevel="0" collapsed="false">
      <c r="A1379" s="78" t="str">
        <f aca="false">IF(B1379="","",ROW()-6)</f>
        <v/>
      </c>
      <c r="B1379" s="90"/>
      <c r="C1379" s="91"/>
      <c r="D1379" s="91"/>
      <c r="E1379" s="80"/>
      <c r="F1379" s="92"/>
      <c r="G1379" s="79"/>
      <c r="H1379" s="82"/>
      <c r="I1379" s="93" t="str">
        <f aca="false">IF(B1379="","",IFERROR(INDEX('CARNET DE SOUDURE'!$B$7:$B$1506,MATCH(B1379,'CARNET DE SOUDURE'!$K$7:$K$1506,0)),IFERROR(INDEX('CARNET DE SOUDURE'!$B$7:$B$1506,MATCH(B1379,'CARNET DE SOUDURE'!$M$7:$M$1506,0)),"")))</f>
        <v/>
      </c>
      <c r="J1379" s="78" t="str">
        <f aca="false">IF(B1379="","",IFERROR(INDEX('CARNET DE SOUDURE'!$E$7:$E$1506,MATCH(B1379,'CARNET DE SOUDURE'!$M$7:$M$1506,0)),""))</f>
        <v/>
      </c>
      <c r="K1379" s="78" t="str">
        <f aca="false">IF(B1379="","",IFERROR(INDEX('CARNET DE SOUDURE'!$E$7:$E$1506,MATCH(B1379,'CARNET DE SOUDURE'!$K$7:$K$1506,0)),""))</f>
        <v/>
      </c>
      <c r="L1379" s="78" t="str">
        <f aca="false">IF(B1379="","",IFERROR(INDEX('CARNET DE SOUDURE'!$D$7:$D$1506,MATCH(B1379,'CARNET DE SOUDURE'!$K$7:$K$1506,0)),IFERROR(INDEX('CARNET DE SOUDURE'!$D$7:$D$1506,MATCH(B1379,'CARNET DE SOUDURE'!$M$7:$M$1506,0)),"")))</f>
        <v/>
      </c>
      <c r="M1379" s="81" t="str">
        <f aca="false">IF(B1379="","",IF(OR(J1379&lt;&gt;"",K1379&lt;&gt;""),"POSÉ EN LIGNE",IF(H1379&lt;&gt;"","BARDÉ","EN STOCK")))</f>
        <v/>
      </c>
      <c r="N1379" s="79"/>
    </row>
    <row r="1380" customFormat="false" ht="15" hidden="false" customHeight="false" outlineLevel="0" collapsed="false">
      <c r="A1380" s="78" t="str">
        <f aca="false">IF(B1380="","",ROW()-6)</f>
        <v/>
      </c>
      <c r="B1380" s="90"/>
      <c r="C1380" s="91"/>
      <c r="D1380" s="91"/>
      <c r="E1380" s="80"/>
      <c r="F1380" s="92"/>
      <c r="G1380" s="79"/>
      <c r="H1380" s="82"/>
      <c r="I1380" s="93" t="str">
        <f aca="false">IF(B1380="","",IFERROR(INDEX('CARNET DE SOUDURE'!$B$7:$B$1506,MATCH(B1380,'CARNET DE SOUDURE'!$K$7:$K$1506,0)),IFERROR(INDEX('CARNET DE SOUDURE'!$B$7:$B$1506,MATCH(B1380,'CARNET DE SOUDURE'!$M$7:$M$1506,0)),"")))</f>
        <v/>
      </c>
      <c r="J1380" s="78" t="str">
        <f aca="false">IF(B1380="","",IFERROR(INDEX('CARNET DE SOUDURE'!$E$7:$E$1506,MATCH(B1380,'CARNET DE SOUDURE'!$M$7:$M$1506,0)),""))</f>
        <v/>
      </c>
      <c r="K1380" s="78" t="str">
        <f aca="false">IF(B1380="","",IFERROR(INDEX('CARNET DE SOUDURE'!$E$7:$E$1506,MATCH(B1380,'CARNET DE SOUDURE'!$K$7:$K$1506,0)),""))</f>
        <v/>
      </c>
      <c r="L1380" s="78" t="str">
        <f aca="false">IF(B1380="","",IFERROR(INDEX('CARNET DE SOUDURE'!$D$7:$D$1506,MATCH(B1380,'CARNET DE SOUDURE'!$K$7:$K$1506,0)),IFERROR(INDEX('CARNET DE SOUDURE'!$D$7:$D$1506,MATCH(B1380,'CARNET DE SOUDURE'!$M$7:$M$1506,0)),"")))</f>
        <v/>
      </c>
      <c r="M1380" s="81" t="str">
        <f aca="false">IF(B1380="","",IF(OR(J1380&lt;&gt;"",K1380&lt;&gt;""),"POSÉ EN LIGNE",IF(H1380&lt;&gt;"","BARDÉ","EN STOCK")))</f>
        <v/>
      </c>
      <c r="N1380" s="79"/>
    </row>
    <row r="1381" customFormat="false" ht="15" hidden="false" customHeight="false" outlineLevel="0" collapsed="false">
      <c r="A1381" s="78" t="str">
        <f aca="false">IF(B1381="","",ROW()-6)</f>
        <v/>
      </c>
      <c r="B1381" s="90"/>
      <c r="C1381" s="91"/>
      <c r="D1381" s="91"/>
      <c r="E1381" s="80"/>
      <c r="F1381" s="92"/>
      <c r="G1381" s="79"/>
      <c r="H1381" s="82"/>
      <c r="I1381" s="93" t="str">
        <f aca="false">IF(B1381="","",IFERROR(INDEX('CARNET DE SOUDURE'!$B$7:$B$1506,MATCH(B1381,'CARNET DE SOUDURE'!$K$7:$K$1506,0)),IFERROR(INDEX('CARNET DE SOUDURE'!$B$7:$B$1506,MATCH(B1381,'CARNET DE SOUDURE'!$M$7:$M$1506,0)),"")))</f>
        <v/>
      </c>
      <c r="J1381" s="78" t="str">
        <f aca="false">IF(B1381="","",IFERROR(INDEX('CARNET DE SOUDURE'!$E$7:$E$1506,MATCH(B1381,'CARNET DE SOUDURE'!$M$7:$M$1506,0)),""))</f>
        <v/>
      </c>
      <c r="K1381" s="78" t="str">
        <f aca="false">IF(B1381="","",IFERROR(INDEX('CARNET DE SOUDURE'!$E$7:$E$1506,MATCH(B1381,'CARNET DE SOUDURE'!$K$7:$K$1506,0)),""))</f>
        <v/>
      </c>
      <c r="L1381" s="78" t="str">
        <f aca="false">IF(B1381="","",IFERROR(INDEX('CARNET DE SOUDURE'!$D$7:$D$1506,MATCH(B1381,'CARNET DE SOUDURE'!$K$7:$K$1506,0)),IFERROR(INDEX('CARNET DE SOUDURE'!$D$7:$D$1506,MATCH(B1381,'CARNET DE SOUDURE'!$M$7:$M$1506,0)),"")))</f>
        <v/>
      </c>
      <c r="M1381" s="81" t="str">
        <f aca="false">IF(B1381="","",IF(OR(J1381&lt;&gt;"",K1381&lt;&gt;""),"POSÉ EN LIGNE",IF(H1381&lt;&gt;"","BARDÉ","EN STOCK")))</f>
        <v/>
      </c>
      <c r="N1381" s="79"/>
    </row>
    <row r="1382" customFormat="false" ht="15" hidden="false" customHeight="false" outlineLevel="0" collapsed="false">
      <c r="A1382" s="78" t="str">
        <f aca="false">IF(B1382="","",ROW()-6)</f>
        <v/>
      </c>
      <c r="B1382" s="90"/>
      <c r="C1382" s="91"/>
      <c r="D1382" s="91"/>
      <c r="E1382" s="80"/>
      <c r="F1382" s="92"/>
      <c r="G1382" s="79"/>
      <c r="H1382" s="82"/>
      <c r="I1382" s="93" t="str">
        <f aca="false">IF(B1382="","",IFERROR(INDEX('CARNET DE SOUDURE'!$B$7:$B$1506,MATCH(B1382,'CARNET DE SOUDURE'!$K$7:$K$1506,0)),IFERROR(INDEX('CARNET DE SOUDURE'!$B$7:$B$1506,MATCH(B1382,'CARNET DE SOUDURE'!$M$7:$M$1506,0)),"")))</f>
        <v/>
      </c>
      <c r="J1382" s="78" t="str">
        <f aca="false">IF(B1382="","",IFERROR(INDEX('CARNET DE SOUDURE'!$E$7:$E$1506,MATCH(B1382,'CARNET DE SOUDURE'!$M$7:$M$1506,0)),""))</f>
        <v/>
      </c>
      <c r="K1382" s="78" t="str">
        <f aca="false">IF(B1382="","",IFERROR(INDEX('CARNET DE SOUDURE'!$E$7:$E$1506,MATCH(B1382,'CARNET DE SOUDURE'!$K$7:$K$1506,0)),""))</f>
        <v/>
      </c>
      <c r="L1382" s="78" t="str">
        <f aca="false">IF(B1382="","",IFERROR(INDEX('CARNET DE SOUDURE'!$D$7:$D$1506,MATCH(B1382,'CARNET DE SOUDURE'!$K$7:$K$1506,0)),IFERROR(INDEX('CARNET DE SOUDURE'!$D$7:$D$1506,MATCH(B1382,'CARNET DE SOUDURE'!$M$7:$M$1506,0)),"")))</f>
        <v/>
      </c>
      <c r="M1382" s="81" t="str">
        <f aca="false">IF(B1382="","",IF(OR(J1382&lt;&gt;"",K1382&lt;&gt;""),"POSÉ EN LIGNE",IF(H1382&lt;&gt;"","BARDÉ","EN STOCK")))</f>
        <v/>
      </c>
      <c r="N1382" s="79"/>
    </row>
    <row r="1383" customFormat="false" ht="15" hidden="false" customHeight="false" outlineLevel="0" collapsed="false">
      <c r="A1383" s="78" t="str">
        <f aca="false">IF(B1383="","",ROW()-6)</f>
        <v/>
      </c>
      <c r="B1383" s="90"/>
      <c r="C1383" s="91"/>
      <c r="D1383" s="91"/>
      <c r="E1383" s="80"/>
      <c r="F1383" s="92"/>
      <c r="G1383" s="79"/>
      <c r="H1383" s="82"/>
      <c r="I1383" s="93" t="str">
        <f aca="false">IF(B1383="","",IFERROR(INDEX('CARNET DE SOUDURE'!$B$7:$B$1506,MATCH(B1383,'CARNET DE SOUDURE'!$K$7:$K$1506,0)),IFERROR(INDEX('CARNET DE SOUDURE'!$B$7:$B$1506,MATCH(B1383,'CARNET DE SOUDURE'!$M$7:$M$1506,0)),"")))</f>
        <v/>
      </c>
      <c r="J1383" s="78" t="str">
        <f aca="false">IF(B1383="","",IFERROR(INDEX('CARNET DE SOUDURE'!$E$7:$E$1506,MATCH(B1383,'CARNET DE SOUDURE'!$M$7:$M$1506,0)),""))</f>
        <v/>
      </c>
      <c r="K1383" s="78" t="str">
        <f aca="false">IF(B1383="","",IFERROR(INDEX('CARNET DE SOUDURE'!$E$7:$E$1506,MATCH(B1383,'CARNET DE SOUDURE'!$K$7:$K$1506,0)),""))</f>
        <v/>
      </c>
      <c r="L1383" s="78" t="str">
        <f aca="false">IF(B1383="","",IFERROR(INDEX('CARNET DE SOUDURE'!$D$7:$D$1506,MATCH(B1383,'CARNET DE SOUDURE'!$K$7:$K$1506,0)),IFERROR(INDEX('CARNET DE SOUDURE'!$D$7:$D$1506,MATCH(B1383,'CARNET DE SOUDURE'!$M$7:$M$1506,0)),"")))</f>
        <v/>
      </c>
      <c r="M1383" s="81" t="str">
        <f aca="false">IF(B1383="","",IF(OR(J1383&lt;&gt;"",K1383&lt;&gt;""),"POSÉ EN LIGNE",IF(H1383&lt;&gt;"","BARDÉ","EN STOCK")))</f>
        <v/>
      </c>
      <c r="N1383" s="79"/>
    </row>
    <row r="1384" customFormat="false" ht="15" hidden="false" customHeight="false" outlineLevel="0" collapsed="false">
      <c r="A1384" s="78" t="str">
        <f aca="false">IF(B1384="","",ROW()-6)</f>
        <v/>
      </c>
      <c r="B1384" s="90"/>
      <c r="C1384" s="91"/>
      <c r="D1384" s="91"/>
      <c r="E1384" s="80"/>
      <c r="F1384" s="92"/>
      <c r="G1384" s="79"/>
      <c r="H1384" s="82"/>
      <c r="I1384" s="93" t="str">
        <f aca="false">IF(B1384="","",IFERROR(INDEX('CARNET DE SOUDURE'!$B$7:$B$1506,MATCH(B1384,'CARNET DE SOUDURE'!$K$7:$K$1506,0)),IFERROR(INDEX('CARNET DE SOUDURE'!$B$7:$B$1506,MATCH(B1384,'CARNET DE SOUDURE'!$M$7:$M$1506,0)),"")))</f>
        <v/>
      </c>
      <c r="J1384" s="78" t="str">
        <f aca="false">IF(B1384="","",IFERROR(INDEX('CARNET DE SOUDURE'!$E$7:$E$1506,MATCH(B1384,'CARNET DE SOUDURE'!$M$7:$M$1506,0)),""))</f>
        <v/>
      </c>
      <c r="K1384" s="78" t="str">
        <f aca="false">IF(B1384="","",IFERROR(INDEX('CARNET DE SOUDURE'!$E$7:$E$1506,MATCH(B1384,'CARNET DE SOUDURE'!$K$7:$K$1506,0)),""))</f>
        <v/>
      </c>
      <c r="L1384" s="78" t="str">
        <f aca="false">IF(B1384="","",IFERROR(INDEX('CARNET DE SOUDURE'!$D$7:$D$1506,MATCH(B1384,'CARNET DE SOUDURE'!$K$7:$K$1506,0)),IFERROR(INDEX('CARNET DE SOUDURE'!$D$7:$D$1506,MATCH(B1384,'CARNET DE SOUDURE'!$M$7:$M$1506,0)),"")))</f>
        <v/>
      </c>
      <c r="M1384" s="81" t="str">
        <f aca="false">IF(B1384="","",IF(OR(J1384&lt;&gt;"",K1384&lt;&gt;""),"POSÉ EN LIGNE",IF(H1384&lt;&gt;"","BARDÉ","EN STOCK")))</f>
        <v/>
      </c>
      <c r="N1384" s="79"/>
    </row>
    <row r="1385" customFormat="false" ht="15" hidden="false" customHeight="false" outlineLevel="0" collapsed="false">
      <c r="A1385" s="78" t="str">
        <f aca="false">IF(B1385="","",ROW()-6)</f>
        <v/>
      </c>
      <c r="B1385" s="90"/>
      <c r="C1385" s="91"/>
      <c r="D1385" s="91"/>
      <c r="E1385" s="80"/>
      <c r="F1385" s="92"/>
      <c r="G1385" s="79"/>
      <c r="H1385" s="82"/>
      <c r="I1385" s="93" t="str">
        <f aca="false">IF(B1385="","",IFERROR(INDEX('CARNET DE SOUDURE'!$B$7:$B$1506,MATCH(B1385,'CARNET DE SOUDURE'!$K$7:$K$1506,0)),IFERROR(INDEX('CARNET DE SOUDURE'!$B$7:$B$1506,MATCH(B1385,'CARNET DE SOUDURE'!$M$7:$M$1506,0)),"")))</f>
        <v/>
      </c>
      <c r="J1385" s="78" t="str">
        <f aca="false">IF(B1385="","",IFERROR(INDEX('CARNET DE SOUDURE'!$E$7:$E$1506,MATCH(B1385,'CARNET DE SOUDURE'!$M$7:$M$1506,0)),""))</f>
        <v/>
      </c>
      <c r="K1385" s="78" t="str">
        <f aca="false">IF(B1385="","",IFERROR(INDEX('CARNET DE SOUDURE'!$E$7:$E$1506,MATCH(B1385,'CARNET DE SOUDURE'!$K$7:$K$1506,0)),""))</f>
        <v/>
      </c>
      <c r="L1385" s="78" t="str">
        <f aca="false">IF(B1385="","",IFERROR(INDEX('CARNET DE SOUDURE'!$D$7:$D$1506,MATCH(B1385,'CARNET DE SOUDURE'!$K$7:$K$1506,0)),IFERROR(INDEX('CARNET DE SOUDURE'!$D$7:$D$1506,MATCH(B1385,'CARNET DE SOUDURE'!$M$7:$M$1506,0)),"")))</f>
        <v/>
      </c>
      <c r="M1385" s="81" t="str">
        <f aca="false">IF(B1385="","",IF(OR(J1385&lt;&gt;"",K1385&lt;&gt;""),"POSÉ EN LIGNE",IF(H1385&lt;&gt;"","BARDÉ","EN STOCK")))</f>
        <v/>
      </c>
      <c r="N1385" s="79"/>
    </row>
    <row r="1386" customFormat="false" ht="15" hidden="false" customHeight="false" outlineLevel="0" collapsed="false">
      <c r="A1386" s="78" t="str">
        <f aca="false">IF(B1386="","",ROW()-6)</f>
        <v/>
      </c>
      <c r="B1386" s="90"/>
      <c r="C1386" s="91"/>
      <c r="D1386" s="91"/>
      <c r="E1386" s="80"/>
      <c r="F1386" s="92"/>
      <c r="G1386" s="79"/>
      <c r="H1386" s="82"/>
      <c r="I1386" s="93" t="str">
        <f aca="false">IF(B1386="","",IFERROR(INDEX('CARNET DE SOUDURE'!$B$7:$B$1506,MATCH(B1386,'CARNET DE SOUDURE'!$K$7:$K$1506,0)),IFERROR(INDEX('CARNET DE SOUDURE'!$B$7:$B$1506,MATCH(B1386,'CARNET DE SOUDURE'!$M$7:$M$1506,0)),"")))</f>
        <v/>
      </c>
      <c r="J1386" s="78" t="str">
        <f aca="false">IF(B1386="","",IFERROR(INDEX('CARNET DE SOUDURE'!$E$7:$E$1506,MATCH(B1386,'CARNET DE SOUDURE'!$M$7:$M$1506,0)),""))</f>
        <v/>
      </c>
      <c r="K1386" s="78" t="str">
        <f aca="false">IF(B1386="","",IFERROR(INDEX('CARNET DE SOUDURE'!$E$7:$E$1506,MATCH(B1386,'CARNET DE SOUDURE'!$K$7:$K$1506,0)),""))</f>
        <v/>
      </c>
      <c r="L1386" s="78" t="str">
        <f aca="false">IF(B1386="","",IFERROR(INDEX('CARNET DE SOUDURE'!$D$7:$D$1506,MATCH(B1386,'CARNET DE SOUDURE'!$K$7:$K$1506,0)),IFERROR(INDEX('CARNET DE SOUDURE'!$D$7:$D$1506,MATCH(B1386,'CARNET DE SOUDURE'!$M$7:$M$1506,0)),"")))</f>
        <v/>
      </c>
      <c r="M1386" s="81" t="str">
        <f aca="false">IF(B1386="","",IF(OR(J1386&lt;&gt;"",K1386&lt;&gt;""),"POSÉ EN LIGNE",IF(H1386&lt;&gt;"","BARDÉ","EN STOCK")))</f>
        <v/>
      </c>
      <c r="N1386" s="79"/>
    </row>
    <row r="1387" customFormat="false" ht="15" hidden="false" customHeight="false" outlineLevel="0" collapsed="false">
      <c r="A1387" s="78" t="str">
        <f aca="false">IF(B1387="","",ROW()-6)</f>
        <v/>
      </c>
      <c r="B1387" s="90"/>
      <c r="C1387" s="91"/>
      <c r="D1387" s="91"/>
      <c r="E1387" s="80"/>
      <c r="F1387" s="92"/>
      <c r="G1387" s="79"/>
      <c r="H1387" s="82"/>
      <c r="I1387" s="93" t="str">
        <f aca="false">IF(B1387="","",IFERROR(INDEX('CARNET DE SOUDURE'!$B$7:$B$1506,MATCH(B1387,'CARNET DE SOUDURE'!$K$7:$K$1506,0)),IFERROR(INDEX('CARNET DE SOUDURE'!$B$7:$B$1506,MATCH(B1387,'CARNET DE SOUDURE'!$M$7:$M$1506,0)),"")))</f>
        <v/>
      </c>
      <c r="J1387" s="78" t="str">
        <f aca="false">IF(B1387="","",IFERROR(INDEX('CARNET DE SOUDURE'!$E$7:$E$1506,MATCH(B1387,'CARNET DE SOUDURE'!$M$7:$M$1506,0)),""))</f>
        <v/>
      </c>
      <c r="K1387" s="78" t="str">
        <f aca="false">IF(B1387="","",IFERROR(INDEX('CARNET DE SOUDURE'!$E$7:$E$1506,MATCH(B1387,'CARNET DE SOUDURE'!$K$7:$K$1506,0)),""))</f>
        <v/>
      </c>
      <c r="L1387" s="78" t="str">
        <f aca="false">IF(B1387="","",IFERROR(INDEX('CARNET DE SOUDURE'!$D$7:$D$1506,MATCH(B1387,'CARNET DE SOUDURE'!$K$7:$K$1506,0)),IFERROR(INDEX('CARNET DE SOUDURE'!$D$7:$D$1506,MATCH(B1387,'CARNET DE SOUDURE'!$M$7:$M$1506,0)),"")))</f>
        <v/>
      </c>
      <c r="M1387" s="81" t="str">
        <f aca="false">IF(B1387="","",IF(OR(J1387&lt;&gt;"",K1387&lt;&gt;""),"POSÉ EN LIGNE",IF(H1387&lt;&gt;"","BARDÉ","EN STOCK")))</f>
        <v/>
      </c>
      <c r="N1387" s="79"/>
    </row>
    <row r="1388" customFormat="false" ht="15" hidden="false" customHeight="false" outlineLevel="0" collapsed="false">
      <c r="A1388" s="78" t="str">
        <f aca="false">IF(B1388="","",ROW()-6)</f>
        <v/>
      </c>
      <c r="B1388" s="90"/>
      <c r="C1388" s="91"/>
      <c r="D1388" s="91"/>
      <c r="E1388" s="80"/>
      <c r="F1388" s="92"/>
      <c r="G1388" s="79"/>
      <c r="H1388" s="82"/>
      <c r="I1388" s="93" t="str">
        <f aca="false">IF(B1388="","",IFERROR(INDEX('CARNET DE SOUDURE'!$B$7:$B$1506,MATCH(B1388,'CARNET DE SOUDURE'!$K$7:$K$1506,0)),IFERROR(INDEX('CARNET DE SOUDURE'!$B$7:$B$1506,MATCH(B1388,'CARNET DE SOUDURE'!$M$7:$M$1506,0)),"")))</f>
        <v/>
      </c>
      <c r="J1388" s="78" t="str">
        <f aca="false">IF(B1388="","",IFERROR(INDEX('CARNET DE SOUDURE'!$E$7:$E$1506,MATCH(B1388,'CARNET DE SOUDURE'!$M$7:$M$1506,0)),""))</f>
        <v/>
      </c>
      <c r="K1388" s="78" t="str">
        <f aca="false">IF(B1388="","",IFERROR(INDEX('CARNET DE SOUDURE'!$E$7:$E$1506,MATCH(B1388,'CARNET DE SOUDURE'!$K$7:$K$1506,0)),""))</f>
        <v/>
      </c>
      <c r="L1388" s="78" t="str">
        <f aca="false">IF(B1388="","",IFERROR(INDEX('CARNET DE SOUDURE'!$D$7:$D$1506,MATCH(B1388,'CARNET DE SOUDURE'!$K$7:$K$1506,0)),IFERROR(INDEX('CARNET DE SOUDURE'!$D$7:$D$1506,MATCH(B1388,'CARNET DE SOUDURE'!$M$7:$M$1506,0)),"")))</f>
        <v/>
      </c>
      <c r="M1388" s="81" t="str">
        <f aca="false">IF(B1388="","",IF(OR(J1388&lt;&gt;"",K1388&lt;&gt;""),"POSÉ EN LIGNE",IF(H1388&lt;&gt;"","BARDÉ","EN STOCK")))</f>
        <v/>
      </c>
      <c r="N1388" s="79"/>
    </row>
    <row r="1389" customFormat="false" ht="15" hidden="false" customHeight="false" outlineLevel="0" collapsed="false">
      <c r="A1389" s="78" t="str">
        <f aca="false">IF(B1389="","",ROW()-6)</f>
        <v/>
      </c>
      <c r="B1389" s="90"/>
      <c r="C1389" s="91"/>
      <c r="D1389" s="91"/>
      <c r="E1389" s="80"/>
      <c r="F1389" s="92"/>
      <c r="G1389" s="79"/>
      <c r="H1389" s="82"/>
      <c r="I1389" s="93" t="str">
        <f aca="false">IF(B1389="","",IFERROR(INDEX('CARNET DE SOUDURE'!$B$7:$B$1506,MATCH(B1389,'CARNET DE SOUDURE'!$K$7:$K$1506,0)),IFERROR(INDEX('CARNET DE SOUDURE'!$B$7:$B$1506,MATCH(B1389,'CARNET DE SOUDURE'!$M$7:$M$1506,0)),"")))</f>
        <v/>
      </c>
      <c r="J1389" s="78" t="str">
        <f aca="false">IF(B1389="","",IFERROR(INDEX('CARNET DE SOUDURE'!$E$7:$E$1506,MATCH(B1389,'CARNET DE SOUDURE'!$M$7:$M$1506,0)),""))</f>
        <v/>
      </c>
      <c r="K1389" s="78" t="str">
        <f aca="false">IF(B1389="","",IFERROR(INDEX('CARNET DE SOUDURE'!$E$7:$E$1506,MATCH(B1389,'CARNET DE SOUDURE'!$K$7:$K$1506,0)),""))</f>
        <v/>
      </c>
      <c r="L1389" s="78" t="str">
        <f aca="false">IF(B1389="","",IFERROR(INDEX('CARNET DE SOUDURE'!$D$7:$D$1506,MATCH(B1389,'CARNET DE SOUDURE'!$K$7:$K$1506,0)),IFERROR(INDEX('CARNET DE SOUDURE'!$D$7:$D$1506,MATCH(B1389,'CARNET DE SOUDURE'!$M$7:$M$1506,0)),"")))</f>
        <v/>
      </c>
      <c r="M1389" s="81" t="str">
        <f aca="false">IF(B1389="","",IF(OR(J1389&lt;&gt;"",K1389&lt;&gt;""),"POSÉ EN LIGNE",IF(H1389&lt;&gt;"","BARDÉ","EN STOCK")))</f>
        <v/>
      </c>
      <c r="N1389" s="79"/>
    </row>
    <row r="1390" customFormat="false" ht="15" hidden="false" customHeight="false" outlineLevel="0" collapsed="false">
      <c r="A1390" s="78" t="str">
        <f aca="false">IF(B1390="","",ROW()-6)</f>
        <v/>
      </c>
      <c r="B1390" s="90"/>
      <c r="C1390" s="91"/>
      <c r="D1390" s="91"/>
      <c r="E1390" s="80"/>
      <c r="F1390" s="92"/>
      <c r="G1390" s="79"/>
      <c r="H1390" s="82"/>
      <c r="I1390" s="93" t="str">
        <f aca="false">IF(B1390="","",IFERROR(INDEX('CARNET DE SOUDURE'!$B$7:$B$1506,MATCH(B1390,'CARNET DE SOUDURE'!$K$7:$K$1506,0)),IFERROR(INDEX('CARNET DE SOUDURE'!$B$7:$B$1506,MATCH(B1390,'CARNET DE SOUDURE'!$M$7:$M$1506,0)),"")))</f>
        <v/>
      </c>
      <c r="J1390" s="78" t="str">
        <f aca="false">IF(B1390="","",IFERROR(INDEX('CARNET DE SOUDURE'!$E$7:$E$1506,MATCH(B1390,'CARNET DE SOUDURE'!$M$7:$M$1506,0)),""))</f>
        <v/>
      </c>
      <c r="K1390" s="78" t="str">
        <f aca="false">IF(B1390="","",IFERROR(INDEX('CARNET DE SOUDURE'!$E$7:$E$1506,MATCH(B1390,'CARNET DE SOUDURE'!$K$7:$K$1506,0)),""))</f>
        <v/>
      </c>
      <c r="L1390" s="78" t="str">
        <f aca="false">IF(B1390="","",IFERROR(INDEX('CARNET DE SOUDURE'!$D$7:$D$1506,MATCH(B1390,'CARNET DE SOUDURE'!$K$7:$K$1506,0)),IFERROR(INDEX('CARNET DE SOUDURE'!$D$7:$D$1506,MATCH(B1390,'CARNET DE SOUDURE'!$M$7:$M$1506,0)),"")))</f>
        <v/>
      </c>
      <c r="M1390" s="81" t="str">
        <f aca="false">IF(B1390="","",IF(OR(J1390&lt;&gt;"",K1390&lt;&gt;""),"POSÉ EN LIGNE",IF(H1390&lt;&gt;"","BARDÉ","EN STOCK")))</f>
        <v/>
      </c>
      <c r="N1390" s="79"/>
    </row>
    <row r="1391" customFormat="false" ht="15" hidden="false" customHeight="false" outlineLevel="0" collapsed="false">
      <c r="A1391" s="78" t="str">
        <f aca="false">IF(B1391="","",ROW()-6)</f>
        <v/>
      </c>
      <c r="B1391" s="90"/>
      <c r="C1391" s="91"/>
      <c r="D1391" s="91"/>
      <c r="E1391" s="80"/>
      <c r="F1391" s="92"/>
      <c r="G1391" s="79"/>
      <c r="H1391" s="82"/>
      <c r="I1391" s="93" t="str">
        <f aca="false">IF(B1391="","",IFERROR(INDEX('CARNET DE SOUDURE'!$B$7:$B$1506,MATCH(B1391,'CARNET DE SOUDURE'!$K$7:$K$1506,0)),IFERROR(INDEX('CARNET DE SOUDURE'!$B$7:$B$1506,MATCH(B1391,'CARNET DE SOUDURE'!$M$7:$M$1506,0)),"")))</f>
        <v/>
      </c>
      <c r="J1391" s="78" t="str">
        <f aca="false">IF(B1391="","",IFERROR(INDEX('CARNET DE SOUDURE'!$E$7:$E$1506,MATCH(B1391,'CARNET DE SOUDURE'!$M$7:$M$1506,0)),""))</f>
        <v/>
      </c>
      <c r="K1391" s="78" t="str">
        <f aca="false">IF(B1391="","",IFERROR(INDEX('CARNET DE SOUDURE'!$E$7:$E$1506,MATCH(B1391,'CARNET DE SOUDURE'!$K$7:$K$1506,0)),""))</f>
        <v/>
      </c>
      <c r="L1391" s="78" t="str">
        <f aca="false">IF(B1391="","",IFERROR(INDEX('CARNET DE SOUDURE'!$D$7:$D$1506,MATCH(B1391,'CARNET DE SOUDURE'!$K$7:$K$1506,0)),IFERROR(INDEX('CARNET DE SOUDURE'!$D$7:$D$1506,MATCH(B1391,'CARNET DE SOUDURE'!$M$7:$M$1506,0)),"")))</f>
        <v/>
      </c>
      <c r="M1391" s="81" t="str">
        <f aca="false">IF(B1391="","",IF(OR(J1391&lt;&gt;"",K1391&lt;&gt;""),"POSÉ EN LIGNE",IF(H1391&lt;&gt;"","BARDÉ","EN STOCK")))</f>
        <v/>
      </c>
      <c r="N1391" s="79"/>
    </row>
    <row r="1392" customFormat="false" ht="15" hidden="false" customHeight="false" outlineLevel="0" collapsed="false">
      <c r="A1392" s="78" t="str">
        <f aca="false">IF(B1392="","",ROW()-6)</f>
        <v/>
      </c>
      <c r="B1392" s="90"/>
      <c r="C1392" s="91"/>
      <c r="D1392" s="91"/>
      <c r="E1392" s="80"/>
      <c r="F1392" s="92"/>
      <c r="G1392" s="79"/>
      <c r="H1392" s="82"/>
      <c r="I1392" s="93" t="str">
        <f aca="false">IF(B1392="","",IFERROR(INDEX('CARNET DE SOUDURE'!$B$7:$B$1506,MATCH(B1392,'CARNET DE SOUDURE'!$K$7:$K$1506,0)),IFERROR(INDEX('CARNET DE SOUDURE'!$B$7:$B$1506,MATCH(B1392,'CARNET DE SOUDURE'!$M$7:$M$1506,0)),"")))</f>
        <v/>
      </c>
      <c r="J1392" s="78" t="str">
        <f aca="false">IF(B1392="","",IFERROR(INDEX('CARNET DE SOUDURE'!$E$7:$E$1506,MATCH(B1392,'CARNET DE SOUDURE'!$M$7:$M$1506,0)),""))</f>
        <v/>
      </c>
      <c r="K1392" s="78" t="str">
        <f aca="false">IF(B1392="","",IFERROR(INDEX('CARNET DE SOUDURE'!$E$7:$E$1506,MATCH(B1392,'CARNET DE SOUDURE'!$K$7:$K$1506,0)),""))</f>
        <v/>
      </c>
      <c r="L1392" s="78" t="str">
        <f aca="false">IF(B1392="","",IFERROR(INDEX('CARNET DE SOUDURE'!$D$7:$D$1506,MATCH(B1392,'CARNET DE SOUDURE'!$K$7:$K$1506,0)),IFERROR(INDEX('CARNET DE SOUDURE'!$D$7:$D$1506,MATCH(B1392,'CARNET DE SOUDURE'!$M$7:$M$1506,0)),"")))</f>
        <v/>
      </c>
      <c r="M1392" s="81" t="str">
        <f aca="false">IF(B1392="","",IF(OR(J1392&lt;&gt;"",K1392&lt;&gt;""),"POSÉ EN LIGNE",IF(H1392&lt;&gt;"","BARDÉ","EN STOCK")))</f>
        <v/>
      </c>
      <c r="N1392" s="79"/>
    </row>
    <row r="1393" customFormat="false" ht="15" hidden="false" customHeight="false" outlineLevel="0" collapsed="false">
      <c r="A1393" s="78" t="str">
        <f aca="false">IF(B1393="","",ROW()-6)</f>
        <v/>
      </c>
      <c r="B1393" s="90"/>
      <c r="C1393" s="91"/>
      <c r="D1393" s="91"/>
      <c r="E1393" s="80"/>
      <c r="F1393" s="92"/>
      <c r="G1393" s="79"/>
      <c r="H1393" s="82"/>
      <c r="I1393" s="93" t="str">
        <f aca="false">IF(B1393="","",IFERROR(INDEX('CARNET DE SOUDURE'!$B$7:$B$1506,MATCH(B1393,'CARNET DE SOUDURE'!$K$7:$K$1506,0)),IFERROR(INDEX('CARNET DE SOUDURE'!$B$7:$B$1506,MATCH(B1393,'CARNET DE SOUDURE'!$M$7:$M$1506,0)),"")))</f>
        <v/>
      </c>
      <c r="J1393" s="78" t="str">
        <f aca="false">IF(B1393="","",IFERROR(INDEX('CARNET DE SOUDURE'!$E$7:$E$1506,MATCH(B1393,'CARNET DE SOUDURE'!$M$7:$M$1506,0)),""))</f>
        <v/>
      </c>
      <c r="K1393" s="78" t="str">
        <f aca="false">IF(B1393="","",IFERROR(INDEX('CARNET DE SOUDURE'!$E$7:$E$1506,MATCH(B1393,'CARNET DE SOUDURE'!$K$7:$K$1506,0)),""))</f>
        <v/>
      </c>
      <c r="L1393" s="78" t="str">
        <f aca="false">IF(B1393="","",IFERROR(INDEX('CARNET DE SOUDURE'!$D$7:$D$1506,MATCH(B1393,'CARNET DE SOUDURE'!$K$7:$K$1506,0)),IFERROR(INDEX('CARNET DE SOUDURE'!$D$7:$D$1506,MATCH(B1393,'CARNET DE SOUDURE'!$M$7:$M$1506,0)),"")))</f>
        <v/>
      </c>
      <c r="M1393" s="81" t="str">
        <f aca="false">IF(B1393="","",IF(OR(J1393&lt;&gt;"",K1393&lt;&gt;""),"POSÉ EN LIGNE",IF(H1393&lt;&gt;"","BARDÉ","EN STOCK")))</f>
        <v/>
      </c>
      <c r="N1393" s="79"/>
    </row>
    <row r="1394" customFormat="false" ht="15" hidden="false" customHeight="false" outlineLevel="0" collapsed="false">
      <c r="A1394" s="78" t="str">
        <f aca="false">IF(B1394="","",ROW()-6)</f>
        <v/>
      </c>
      <c r="B1394" s="90"/>
      <c r="C1394" s="91"/>
      <c r="D1394" s="91"/>
      <c r="E1394" s="80"/>
      <c r="F1394" s="92"/>
      <c r="G1394" s="79"/>
      <c r="H1394" s="82"/>
      <c r="I1394" s="93" t="str">
        <f aca="false">IF(B1394="","",IFERROR(INDEX('CARNET DE SOUDURE'!$B$7:$B$1506,MATCH(B1394,'CARNET DE SOUDURE'!$K$7:$K$1506,0)),IFERROR(INDEX('CARNET DE SOUDURE'!$B$7:$B$1506,MATCH(B1394,'CARNET DE SOUDURE'!$M$7:$M$1506,0)),"")))</f>
        <v/>
      </c>
      <c r="J1394" s="78" t="str">
        <f aca="false">IF(B1394="","",IFERROR(INDEX('CARNET DE SOUDURE'!$E$7:$E$1506,MATCH(B1394,'CARNET DE SOUDURE'!$M$7:$M$1506,0)),""))</f>
        <v/>
      </c>
      <c r="K1394" s="78" t="str">
        <f aca="false">IF(B1394="","",IFERROR(INDEX('CARNET DE SOUDURE'!$E$7:$E$1506,MATCH(B1394,'CARNET DE SOUDURE'!$K$7:$K$1506,0)),""))</f>
        <v/>
      </c>
      <c r="L1394" s="78" t="str">
        <f aca="false">IF(B1394="","",IFERROR(INDEX('CARNET DE SOUDURE'!$D$7:$D$1506,MATCH(B1394,'CARNET DE SOUDURE'!$K$7:$K$1506,0)),IFERROR(INDEX('CARNET DE SOUDURE'!$D$7:$D$1506,MATCH(B1394,'CARNET DE SOUDURE'!$M$7:$M$1506,0)),"")))</f>
        <v/>
      </c>
      <c r="M1394" s="81" t="str">
        <f aca="false">IF(B1394="","",IF(OR(J1394&lt;&gt;"",K1394&lt;&gt;""),"POSÉ EN LIGNE",IF(H1394&lt;&gt;"","BARDÉ","EN STOCK")))</f>
        <v/>
      </c>
      <c r="N1394" s="79"/>
    </row>
    <row r="1395" customFormat="false" ht="15" hidden="false" customHeight="false" outlineLevel="0" collapsed="false">
      <c r="A1395" s="78" t="str">
        <f aca="false">IF(B1395="","",ROW()-6)</f>
        <v/>
      </c>
      <c r="B1395" s="90"/>
      <c r="C1395" s="91"/>
      <c r="D1395" s="91"/>
      <c r="E1395" s="80"/>
      <c r="F1395" s="92"/>
      <c r="G1395" s="79"/>
      <c r="H1395" s="82"/>
      <c r="I1395" s="93" t="str">
        <f aca="false">IF(B1395="","",IFERROR(INDEX('CARNET DE SOUDURE'!$B$7:$B$1506,MATCH(B1395,'CARNET DE SOUDURE'!$K$7:$K$1506,0)),IFERROR(INDEX('CARNET DE SOUDURE'!$B$7:$B$1506,MATCH(B1395,'CARNET DE SOUDURE'!$M$7:$M$1506,0)),"")))</f>
        <v/>
      </c>
      <c r="J1395" s="78" t="str">
        <f aca="false">IF(B1395="","",IFERROR(INDEX('CARNET DE SOUDURE'!$E$7:$E$1506,MATCH(B1395,'CARNET DE SOUDURE'!$M$7:$M$1506,0)),""))</f>
        <v/>
      </c>
      <c r="K1395" s="78" t="str">
        <f aca="false">IF(B1395="","",IFERROR(INDEX('CARNET DE SOUDURE'!$E$7:$E$1506,MATCH(B1395,'CARNET DE SOUDURE'!$K$7:$K$1506,0)),""))</f>
        <v/>
      </c>
      <c r="L1395" s="78" t="str">
        <f aca="false">IF(B1395="","",IFERROR(INDEX('CARNET DE SOUDURE'!$D$7:$D$1506,MATCH(B1395,'CARNET DE SOUDURE'!$K$7:$K$1506,0)),IFERROR(INDEX('CARNET DE SOUDURE'!$D$7:$D$1506,MATCH(B1395,'CARNET DE SOUDURE'!$M$7:$M$1506,0)),"")))</f>
        <v/>
      </c>
      <c r="M1395" s="81" t="str">
        <f aca="false">IF(B1395="","",IF(OR(J1395&lt;&gt;"",K1395&lt;&gt;""),"POSÉ EN LIGNE",IF(H1395&lt;&gt;"","BARDÉ","EN STOCK")))</f>
        <v/>
      </c>
      <c r="N1395" s="79"/>
    </row>
    <row r="1396" customFormat="false" ht="15" hidden="false" customHeight="false" outlineLevel="0" collapsed="false">
      <c r="A1396" s="78" t="str">
        <f aca="false">IF(B1396="","",ROW()-6)</f>
        <v/>
      </c>
      <c r="B1396" s="90"/>
      <c r="C1396" s="91"/>
      <c r="D1396" s="91"/>
      <c r="E1396" s="80"/>
      <c r="F1396" s="92"/>
      <c r="G1396" s="79"/>
      <c r="H1396" s="82"/>
      <c r="I1396" s="93" t="str">
        <f aca="false">IF(B1396="","",IFERROR(INDEX('CARNET DE SOUDURE'!$B$7:$B$1506,MATCH(B1396,'CARNET DE SOUDURE'!$K$7:$K$1506,0)),IFERROR(INDEX('CARNET DE SOUDURE'!$B$7:$B$1506,MATCH(B1396,'CARNET DE SOUDURE'!$M$7:$M$1506,0)),"")))</f>
        <v/>
      </c>
      <c r="J1396" s="78" t="str">
        <f aca="false">IF(B1396="","",IFERROR(INDEX('CARNET DE SOUDURE'!$E$7:$E$1506,MATCH(B1396,'CARNET DE SOUDURE'!$M$7:$M$1506,0)),""))</f>
        <v/>
      </c>
      <c r="K1396" s="78" t="str">
        <f aca="false">IF(B1396="","",IFERROR(INDEX('CARNET DE SOUDURE'!$E$7:$E$1506,MATCH(B1396,'CARNET DE SOUDURE'!$K$7:$K$1506,0)),""))</f>
        <v/>
      </c>
      <c r="L1396" s="78" t="str">
        <f aca="false">IF(B1396="","",IFERROR(INDEX('CARNET DE SOUDURE'!$D$7:$D$1506,MATCH(B1396,'CARNET DE SOUDURE'!$K$7:$K$1506,0)),IFERROR(INDEX('CARNET DE SOUDURE'!$D$7:$D$1506,MATCH(B1396,'CARNET DE SOUDURE'!$M$7:$M$1506,0)),"")))</f>
        <v/>
      </c>
      <c r="M1396" s="81" t="str">
        <f aca="false">IF(B1396="","",IF(OR(J1396&lt;&gt;"",K1396&lt;&gt;""),"POSÉ EN LIGNE",IF(H1396&lt;&gt;"","BARDÉ","EN STOCK")))</f>
        <v/>
      </c>
      <c r="N1396" s="79"/>
    </row>
    <row r="1397" customFormat="false" ht="15" hidden="false" customHeight="false" outlineLevel="0" collapsed="false">
      <c r="A1397" s="78" t="str">
        <f aca="false">IF(B1397="","",ROW()-6)</f>
        <v/>
      </c>
      <c r="B1397" s="90"/>
      <c r="C1397" s="91"/>
      <c r="D1397" s="91"/>
      <c r="E1397" s="80"/>
      <c r="F1397" s="92"/>
      <c r="G1397" s="79"/>
      <c r="H1397" s="82"/>
      <c r="I1397" s="93" t="str">
        <f aca="false">IF(B1397="","",IFERROR(INDEX('CARNET DE SOUDURE'!$B$7:$B$1506,MATCH(B1397,'CARNET DE SOUDURE'!$K$7:$K$1506,0)),IFERROR(INDEX('CARNET DE SOUDURE'!$B$7:$B$1506,MATCH(B1397,'CARNET DE SOUDURE'!$M$7:$M$1506,0)),"")))</f>
        <v/>
      </c>
      <c r="J1397" s="78" t="str">
        <f aca="false">IF(B1397="","",IFERROR(INDEX('CARNET DE SOUDURE'!$E$7:$E$1506,MATCH(B1397,'CARNET DE SOUDURE'!$M$7:$M$1506,0)),""))</f>
        <v/>
      </c>
      <c r="K1397" s="78" t="str">
        <f aca="false">IF(B1397="","",IFERROR(INDEX('CARNET DE SOUDURE'!$E$7:$E$1506,MATCH(B1397,'CARNET DE SOUDURE'!$K$7:$K$1506,0)),""))</f>
        <v/>
      </c>
      <c r="L1397" s="78" t="str">
        <f aca="false">IF(B1397="","",IFERROR(INDEX('CARNET DE SOUDURE'!$D$7:$D$1506,MATCH(B1397,'CARNET DE SOUDURE'!$K$7:$K$1506,0)),IFERROR(INDEX('CARNET DE SOUDURE'!$D$7:$D$1506,MATCH(B1397,'CARNET DE SOUDURE'!$M$7:$M$1506,0)),"")))</f>
        <v/>
      </c>
      <c r="M1397" s="81" t="str">
        <f aca="false">IF(B1397="","",IF(OR(J1397&lt;&gt;"",K1397&lt;&gt;""),"POSÉ EN LIGNE",IF(H1397&lt;&gt;"","BARDÉ","EN STOCK")))</f>
        <v/>
      </c>
      <c r="N1397" s="79"/>
    </row>
    <row r="1398" customFormat="false" ht="15" hidden="false" customHeight="false" outlineLevel="0" collapsed="false">
      <c r="A1398" s="78" t="str">
        <f aca="false">IF(B1398="","",ROW()-6)</f>
        <v/>
      </c>
      <c r="B1398" s="90"/>
      <c r="C1398" s="91"/>
      <c r="D1398" s="91"/>
      <c r="E1398" s="80"/>
      <c r="F1398" s="92"/>
      <c r="G1398" s="79"/>
      <c r="H1398" s="82"/>
      <c r="I1398" s="93" t="str">
        <f aca="false">IF(B1398="","",IFERROR(INDEX('CARNET DE SOUDURE'!$B$7:$B$1506,MATCH(B1398,'CARNET DE SOUDURE'!$K$7:$K$1506,0)),IFERROR(INDEX('CARNET DE SOUDURE'!$B$7:$B$1506,MATCH(B1398,'CARNET DE SOUDURE'!$M$7:$M$1506,0)),"")))</f>
        <v/>
      </c>
      <c r="J1398" s="78" t="str">
        <f aca="false">IF(B1398="","",IFERROR(INDEX('CARNET DE SOUDURE'!$E$7:$E$1506,MATCH(B1398,'CARNET DE SOUDURE'!$M$7:$M$1506,0)),""))</f>
        <v/>
      </c>
      <c r="K1398" s="78" t="str">
        <f aca="false">IF(B1398="","",IFERROR(INDEX('CARNET DE SOUDURE'!$E$7:$E$1506,MATCH(B1398,'CARNET DE SOUDURE'!$K$7:$K$1506,0)),""))</f>
        <v/>
      </c>
      <c r="L1398" s="78" t="str">
        <f aca="false">IF(B1398="","",IFERROR(INDEX('CARNET DE SOUDURE'!$D$7:$D$1506,MATCH(B1398,'CARNET DE SOUDURE'!$K$7:$K$1506,0)),IFERROR(INDEX('CARNET DE SOUDURE'!$D$7:$D$1506,MATCH(B1398,'CARNET DE SOUDURE'!$M$7:$M$1506,0)),"")))</f>
        <v/>
      </c>
      <c r="M1398" s="81" t="str">
        <f aca="false">IF(B1398="","",IF(OR(J1398&lt;&gt;"",K1398&lt;&gt;""),"POSÉ EN LIGNE",IF(H1398&lt;&gt;"","BARDÉ","EN STOCK")))</f>
        <v/>
      </c>
      <c r="N1398" s="79"/>
    </row>
    <row r="1399" customFormat="false" ht="15" hidden="false" customHeight="false" outlineLevel="0" collapsed="false">
      <c r="A1399" s="78" t="str">
        <f aca="false">IF(B1399="","",ROW()-6)</f>
        <v/>
      </c>
      <c r="B1399" s="90"/>
      <c r="C1399" s="91"/>
      <c r="D1399" s="91"/>
      <c r="E1399" s="80"/>
      <c r="F1399" s="92"/>
      <c r="G1399" s="79"/>
      <c r="H1399" s="82"/>
      <c r="I1399" s="93" t="str">
        <f aca="false">IF(B1399="","",IFERROR(INDEX('CARNET DE SOUDURE'!$B$7:$B$1506,MATCH(B1399,'CARNET DE SOUDURE'!$K$7:$K$1506,0)),IFERROR(INDEX('CARNET DE SOUDURE'!$B$7:$B$1506,MATCH(B1399,'CARNET DE SOUDURE'!$M$7:$M$1506,0)),"")))</f>
        <v/>
      </c>
      <c r="J1399" s="78" t="str">
        <f aca="false">IF(B1399="","",IFERROR(INDEX('CARNET DE SOUDURE'!$E$7:$E$1506,MATCH(B1399,'CARNET DE SOUDURE'!$M$7:$M$1506,0)),""))</f>
        <v/>
      </c>
      <c r="K1399" s="78" t="str">
        <f aca="false">IF(B1399="","",IFERROR(INDEX('CARNET DE SOUDURE'!$E$7:$E$1506,MATCH(B1399,'CARNET DE SOUDURE'!$K$7:$K$1506,0)),""))</f>
        <v/>
      </c>
      <c r="L1399" s="78" t="str">
        <f aca="false">IF(B1399="","",IFERROR(INDEX('CARNET DE SOUDURE'!$D$7:$D$1506,MATCH(B1399,'CARNET DE SOUDURE'!$K$7:$K$1506,0)),IFERROR(INDEX('CARNET DE SOUDURE'!$D$7:$D$1506,MATCH(B1399,'CARNET DE SOUDURE'!$M$7:$M$1506,0)),"")))</f>
        <v/>
      </c>
      <c r="M1399" s="81" t="str">
        <f aca="false">IF(B1399="","",IF(OR(J1399&lt;&gt;"",K1399&lt;&gt;""),"POSÉ EN LIGNE",IF(H1399&lt;&gt;"","BARDÉ","EN STOCK")))</f>
        <v/>
      </c>
      <c r="N1399" s="79"/>
    </row>
    <row r="1400" customFormat="false" ht="15" hidden="false" customHeight="false" outlineLevel="0" collapsed="false">
      <c r="A1400" s="78" t="str">
        <f aca="false">IF(B1400="","",ROW()-6)</f>
        <v/>
      </c>
      <c r="B1400" s="90"/>
      <c r="C1400" s="91"/>
      <c r="D1400" s="91"/>
      <c r="E1400" s="80"/>
      <c r="F1400" s="92"/>
      <c r="G1400" s="79"/>
      <c r="H1400" s="82"/>
      <c r="I1400" s="93" t="str">
        <f aca="false">IF(B1400="","",IFERROR(INDEX('CARNET DE SOUDURE'!$B$7:$B$1506,MATCH(B1400,'CARNET DE SOUDURE'!$K$7:$K$1506,0)),IFERROR(INDEX('CARNET DE SOUDURE'!$B$7:$B$1506,MATCH(B1400,'CARNET DE SOUDURE'!$M$7:$M$1506,0)),"")))</f>
        <v/>
      </c>
      <c r="J1400" s="78" t="str">
        <f aca="false">IF(B1400="","",IFERROR(INDEX('CARNET DE SOUDURE'!$E$7:$E$1506,MATCH(B1400,'CARNET DE SOUDURE'!$M$7:$M$1506,0)),""))</f>
        <v/>
      </c>
      <c r="K1400" s="78" t="str">
        <f aca="false">IF(B1400="","",IFERROR(INDEX('CARNET DE SOUDURE'!$E$7:$E$1506,MATCH(B1400,'CARNET DE SOUDURE'!$K$7:$K$1506,0)),""))</f>
        <v/>
      </c>
      <c r="L1400" s="78" t="str">
        <f aca="false">IF(B1400="","",IFERROR(INDEX('CARNET DE SOUDURE'!$D$7:$D$1506,MATCH(B1400,'CARNET DE SOUDURE'!$K$7:$K$1506,0)),IFERROR(INDEX('CARNET DE SOUDURE'!$D$7:$D$1506,MATCH(B1400,'CARNET DE SOUDURE'!$M$7:$M$1506,0)),"")))</f>
        <v/>
      </c>
      <c r="M1400" s="81" t="str">
        <f aca="false">IF(B1400="","",IF(OR(J1400&lt;&gt;"",K1400&lt;&gt;""),"POSÉ EN LIGNE",IF(H1400&lt;&gt;"","BARDÉ","EN STOCK")))</f>
        <v/>
      </c>
      <c r="N1400" s="79"/>
    </row>
    <row r="1401" customFormat="false" ht="15" hidden="false" customHeight="false" outlineLevel="0" collapsed="false">
      <c r="A1401" s="78" t="str">
        <f aca="false">IF(B1401="","",ROW()-6)</f>
        <v/>
      </c>
      <c r="B1401" s="90"/>
      <c r="C1401" s="91"/>
      <c r="D1401" s="91"/>
      <c r="E1401" s="80"/>
      <c r="F1401" s="92"/>
      <c r="G1401" s="79"/>
      <c r="H1401" s="82"/>
      <c r="I1401" s="93" t="str">
        <f aca="false">IF(B1401="","",IFERROR(INDEX('CARNET DE SOUDURE'!$B$7:$B$1506,MATCH(B1401,'CARNET DE SOUDURE'!$K$7:$K$1506,0)),IFERROR(INDEX('CARNET DE SOUDURE'!$B$7:$B$1506,MATCH(B1401,'CARNET DE SOUDURE'!$M$7:$M$1506,0)),"")))</f>
        <v/>
      </c>
      <c r="J1401" s="78" t="str">
        <f aca="false">IF(B1401="","",IFERROR(INDEX('CARNET DE SOUDURE'!$E$7:$E$1506,MATCH(B1401,'CARNET DE SOUDURE'!$M$7:$M$1506,0)),""))</f>
        <v/>
      </c>
      <c r="K1401" s="78" t="str">
        <f aca="false">IF(B1401="","",IFERROR(INDEX('CARNET DE SOUDURE'!$E$7:$E$1506,MATCH(B1401,'CARNET DE SOUDURE'!$K$7:$K$1506,0)),""))</f>
        <v/>
      </c>
      <c r="L1401" s="78" t="str">
        <f aca="false">IF(B1401="","",IFERROR(INDEX('CARNET DE SOUDURE'!$D$7:$D$1506,MATCH(B1401,'CARNET DE SOUDURE'!$K$7:$K$1506,0)),IFERROR(INDEX('CARNET DE SOUDURE'!$D$7:$D$1506,MATCH(B1401,'CARNET DE SOUDURE'!$M$7:$M$1506,0)),"")))</f>
        <v/>
      </c>
      <c r="M1401" s="81" t="str">
        <f aca="false">IF(B1401="","",IF(OR(J1401&lt;&gt;"",K1401&lt;&gt;""),"POSÉ EN LIGNE",IF(H1401&lt;&gt;"","BARDÉ","EN STOCK")))</f>
        <v/>
      </c>
      <c r="N1401" s="79"/>
    </row>
    <row r="1402" customFormat="false" ht="15" hidden="false" customHeight="false" outlineLevel="0" collapsed="false">
      <c r="A1402" s="78" t="str">
        <f aca="false">IF(B1402="","",ROW()-6)</f>
        <v/>
      </c>
      <c r="B1402" s="90"/>
      <c r="C1402" s="91"/>
      <c r="D1402" s="91"/>
      <c r="E1402" s="80"/>
      <c r="F1402" s="92"/>
      <c r="G1402" s="79"/>
      <c r="H1402" s="82"/>
      <c r="I1402" s="93" t="str">
        <f aca="false">IF(B1402="","",IFERROR(INDEX('CARNET DE SOUDURE'!$B$7:$B$1506,MATCH(B1402,'CARNET DE SOUDURE'!$K$7:$K$1506,0)),IFERROR(INDEX('CARNET DE SOUDURE'!$B$7:$B$1506,MATCH(B1402,'CARNET DE SOUDURE'!$M$7:$M$1506,0)),"")))</f>
        <v/>
      </c>
      <c r="J1402" s="78" t="str">
        <f aca="false">IF(B1402="","",IFERROR(INDEX('CARNET DE SOUDURE'!$E$7:$E$1506,MATCH(B1402,'CARNET DE SOUDURE'!$M$7:$M$1506,0)),""))</f>
        <v/>
      </c>
      <c r="K1402" s="78" t="str">
        <f aca="false">IF(B1402="","",IFERROR(INDEX('CARNET DE SOUDURE'!$E$7:$E$1506,MATCH(B1402,'CARNET DE SOUDURE'!$K$7:$K$1506,0)),""))</f>
        <v/>
      </c>
      <c r="L1402" s="78" t="str">
        <f aca="false">IF(B1402="","",IFERROR(INDEX('CARNET DE SOUDURE'!$D$7:$D$1506,MATCH(B1402,'CARNET DE SOUDURE'!$K$7:$K$1506,0)),IFERROR(INDEX('CARNET DE SOUDURE'!$D$7:$D$1506,MATCH(B1402,'CARNET DE SOUDURE'!$M$7:$M$1506,0)),"")))</f>
        <v/>
      </c>
      <c r="M1402" s="81" t="str">
        <f aca="false">IF(B1402="","",IF(OR(J1402&lt;&gt;"",K1402&lt;&gt;""),"POSÉ EN LIGNE",IF(H1402&lt;&gt;"","BARDÉ","EN STOCK")))</f>
        <v/>
      </c>
      <c r="N1402" s="79"/>
    </row>
    <row r="1403" customFormat="false" ht="15" hidden="false" customHeight="false" outlineLevel="0" collapsed="false">
      <c r="A1403" s="78" t="str">
        <f aca="false">IF(B1403="","",ROW()-6)</f>
        <v/>
      </c>
      <c r="B1403" s="90"/>
      <c r="C1403" s="91"/>
      <c r="D1403" s="91"/>
      <c r="E1403" s="80"/>
      <c r="F1403" s="92"/>
      <c r="G1403" s="79"/>
      <c r="H1403" s="82"/>
      <c r="I1403" s="93" t="str">
        <f aca="false">IF(B1403="","",IFERROR(INDEX('CARNET DE SOUDURE'!$B$7:$B$1506,MATCH(B1403,'CARNET DE SOUDURE'!$K$7:$K$1506,0)),IFERROR(INDEX('CARNET DE SOUDURE'!$B$7:$B$1506,MATCH(B1403,'CARNET DE SOUDURE'!$M$7:$M$1506,0)),"")))</f>
        <v/>
      </c>
      <c r="J1403" s="78" t="str">
        <f aca="false">IF(B1403="","",IFERROR(INDEX('CARNET DE SOUDURE'!$E$7:$E$1506,MATCH(B1403,'CARNET DE SOUDURE'!$M$7:$M$1506,0)),""))</f>
        <v/>
      </c>
      <c r="K1403" s="78" t="str">
        <f aca="false">IF(B1403="","",IFERROR(INDEX('CARNET DE SOUDURE'!$E$7:$E$1506,MATCH(B1403,'CARNET DE SOUDURE'!$K$7:$K$1506,0)),""))</f>
        <v/>
      </c>
      <c r="L1403" s="78" t="str">
        <f aca="false">IF(B1403="","",IFERROR(INDEX('CARNET DE SOUDURE'!$D$7:$D$1506,MATCH(B1403,'CARNET DE SOUDURE'!$K$7:$K$1506,0)),IFERROR(INDEX('CARNET DE SOUDURE'!$D$7:$D$1506,MATCH(B1403,'CARNET DE SOUDURE'!$M$7:$M$1506,0)),"")))</f>
        <v/>
      </c>
      <c r="M1403" s="81" t="str">
        <f aca="false">IF(B1403="","",IF(OR(J1403&lt;&gt;"",K1403&lt;&gt;""),"POSÉ EN LIGNE",IF(H1403&lt;&gt;"","BARDÉ","EN STOCK")))</f>
        <v/>
      </c>
      <c r="N1403" s="79"/>
    </row>
    <row r="1404" customFormat="false" ht="15" hidden="false" customHeight="false" outlineLevel="0" collapsed="false">
      <c r="A1404" s="78" t="str">
        <f aca="false">IF(B1404="","",ROW()-6)</f>
        <v/>
      </c>
      <c r="B1404" s="90"/>
      <c r="C1404" s="91"/>
      <c r="D1404" s="91"/>
      <c r="E1404" s="80"/>
      <c r="F1404" s="92"/>
      <c r="G1404" s="79"/>
      <c r="H1404" s="82"/>
      <c r="I1404" s="93" t="str">
        <f aca="false">IF(B1404="","",IFERROR(INDEX('CARNET DE SOUDURE'!$B$7:$B$1506,MATCH(B1404,'CARNET DE SOUDURE'!$K$7:$K$1506,0)),IFERROR(INDEX('CARNET DE SOUDURE'!$B$7:$B$1506,MATCH(B1404,'CARNET DE SOUDURE'!$M$7:$M$1506,0)),"")))</f>
        <v/>
      </c>
      <c r="J1404" s="78" t="str">
        <f aca="false">IF(B1404="","",IFERROR(INDEX('CARNET DE SOUDURE'!$E$7:$E$1506,MATCH(B1404,'CARNET DE SOUDURE'!$M$7:$M$1506,0)),""))</f>
        <v/>
      </c>
      <c r="K1404" s="78" t="str">
        <f aca="false">IF(B1404="","",IFERROR(INDEX('CARNET DE SOUDURE'!$E$7:$E$1506,MATCH(B1404,'CARNET DE SOUDURE'!$K$7:$K$1506,0)),""))</f>
        <v/>
      </c>
      <c r="L1404" s="78" t="str">
        <f aca="false">IF(B1404="","",IFERROR(INDEX('CARNET DE SOUDURE'!$D$7:$D$1506,MATCH(B1404,'CARNET DE SOUDURE'!$K$7:$K$1506,0)),IFERROR(INDEX('CARNET DE SOUDURE'!$D$7:$D$1506,MATCH(B1404,'CARNET DE SOUDURE'!$M$7:$M$1506,0)),"")))</f>
        <v/>
      </c>
      <c r="M1404" s="81" t="str">
        <f aca="false">IF(B1404="","",IF(OR(J1404&lt;&gt;"",K1404&lt;&gt;""),"POSÉ EN LIGNE",IF(H1404&lt;&gt;"","BARDÉ","EN STOCK")))</f>
        <v/>
      </c>
      <c r="N1404" s="79"/>
    </row>
    <row r="1405" customFormat="false" ht="15" hidden="false" customHeight="false" outlineLevel="0" collapsed="false">
      <c r="A1405" s="78" t="str">
        <f aca="false">IF(B1405="","",ROW()-6)</f>
        <v/>
      </c>
      <c r="B1405" s="90"/>
      <c r="C1405" s="91"/>
      <c r="D1405" s="91"/>
      <c r="E1405" s="80"/>
      <c r="F1405" s="92"/>
      <c r="G1405" s="79"/>
      <c r="H1405" s="82"/>
      <c r="I1405" s="93" t="str">
        <f aca="false">IF(B1405="","",IFERROR(INDEX('CARNET DE SOUDURE'!$B$7:$B$1506,MATCH(B1405,'CARNET DE SOUDURE'!$K$7:$K$1506,0)),IFERROR(INDEX('CARNET DE SOUDURE'!$B$7:$B$1506,MATCH(B1405,'CARNET DE SOUDURE'!$M$7:$M$1506,0)),"")))</f>
        <v/>
      </c>
      <c r="J1405" s="78" t="str">
        <f aca="false">IF(B1405="","",IFERROR(INDEX('CARNET DE SOUDURE'!$E$7:$E$1506,MATCH(B1405,'CARNET DE SOUDURE'!$M$7:$M$1506,0)),""))</f>
        <v/>
      </c>
      <c r="K1405" s="78" t="str">
        <f aca="false">IF(B1405="","",IFERROR(INDEX('CARNET DE SOUDURE'!$E$7:$E$1506,MATCH(B1405,'CARNET DE SOUDURE'!$K$7:$K$1506,0)),""))</f>
        <v/>
      </c>
      <c r="L1405" s="78" t="str">
        <f aca="false">IF(B1405="","",IFERROR(INDEX('CARNET DE SOUDURE'!$D$7:$D$1506,MATCH(B1405,'CARNET DE SOUDURE'!$K$7:$K$1506,0)),IFERROR(INDEX('CARNET DE SOUDURE'!$D$7:$D$1506,MATCH(B1405,'CARNET DE SOUDURE'!$M$7:$M$1506,0)),"")))</f>
        <v/>
      </c>
      <c r="M1405" s="81" t="str">
        <f aca="false">IF(B1405="","",IF(OR(J1405&lt;&gt;"",K1405&lt;&gt;""),"POSÉ EN LIGNE",IF(H1405&lt;&gt;"","BARDÉ","EN STOCK")))</f>
        <v/>
      </c>
      <c r="N1405" s="79"/>
    </row>
    <row r="1406" customFormat="false" ht="15" hidden="false" customHeight="false" outlineLevel="0" collapsed="false">
      <c r="A1406" s="78" t="str">
        <f aca="false">IF(B1406="","",ROW()-6)</f>
        <v/>
      </c>
      <c r="B1406" s="90"/>
      <c r="C1406" s="91"/>
      <c r="D1406" s="91"/>
      <c r="E1406" s="80"/>
      <c r="F1406" s="92"/>
      <c r="G1406" s="79"/>
      <c r="H1406" s="82"/>
      <c r="I1406" s="93" t="str">
        <f aca="false">IF(B1406="","",IFERROR(INDEX('CARNET DE SOUDURE'!$B$7:$B$1506,MATCH(B1406,'CARNET DE SOUDURE'!$K$7:$K$1506,0)),IFERROR(INDEX('CARNET DE SOUDURE'!$B$7:$B$1506,MATCH(B1406,'CARNET DE SOUDURE'!$M$7:$M$1506,0)),"")))</f>
        <v/>
      </c>
      <c r="J1406" s="78" t="str">
        <f aca="false">IF(B1406="","",IFERROR(INDEX('CARNET DE SOUDURE'!$E$7:$E$1506,MATCH(B1406,'CARNET DE SOUDURE'!$M$7:$M$1506,0)),""))</f>
        <v/>
      </c>
      <c r="K1406" s="78" t="str">
        <f aca="false">IF(B1406="","",IFERROR(INDEX('CARNET DE SOUDURE'!$E$7:$E$1506,MATCH(B1406,'CARNET DE SOUDURE'!$K$7:$K$1506,0)),""))</f>
        <v/>
      </c>
      <c r="L1406" s="78" t="str">
        <f aca="false">IF(B1406="","",IFERROR(INDEX('CARNET DE SOUDURE'!$D$7:$D$1506,MATCH(B1406,'CARNET DE SOUDURE'!$K$7:$K$1506,0)),IFERROR(INDEX('CARNET DE SOUDURE'!$D$7:$D$1506,MATCH(B1406,'CARNET DE SOUDURE'!$M$7:$M$1506,0)),"")))</f>
        <v/>
      </c>
      <c r="M1406" s="81" t="str">
        <f aca="false">IF(B1406="","",IF(OR(J1406&lt;&gt;"",K1406&lt;&gt;""),"POSÉ EN LIGNE",IF(H1406&lt;&gt;"","BARDÉ","EN STOCK")))</f>
        <v/>
      </c>
      <c r="N1406" s="79"/>
    </row>
    <row r="1407" customFormat="false" ht="15" hidden="false" customHeight="false" outlineLevel="0" collapsed="false">
      <c r="A1407" s="78" t="str">
        <f aca="false">IF(B1407="","",ROW()-6)</f>
        <v/>
      </c>
      <c r="B1407" s="90"/>
      <c r="C1407" s="91"/>
      <c r="D1407" s="91"/>
      <c r="E1407" s="80"/>
      <c r="F1407" s="92"/>
      <c r="G1407" s="79"/>
      <c r="H1407" s="82"/>
      <c r="I1407" s="93" t="str">
        <f aca="false">IF(B1407="","",IFERROR(INDEX('CARNET DE SOUDURE'!$B$7:$B$1506,MATCH(B1407,'CARNET DE SOUDURE'!$K$7:$K$1506,0)),IFERROR(INDEX('CARNET DE SOUDURE'!$B$7:$B$1506,MATCH(B1407,'CARNET DE SOUDURE'!$M$7:$M$1506,0)),"")))</f>
        <v/>
      </c>
      <c r="J1407" s="78" t="str">
        <f aca="false">IF(B1407="","",IFERROR(INDEX('CARNET DE SOUDURE'!$E$7:$E$1506,MATCH(B1407,'CARNET DE SOUDURE'!$M$7:$M$1506,0)),""))</f>
        <v/>
      </c>
      <c r="K1407" s="78" t="str">
        <f aca="false">IF(B1407="","",IFERROR(INDEX('CARNET DE SOUDURE'!$E$7:$E$1506,MATCH(B1407,'CARNET DE SOUDURE'!$K$7:$K$1506,0)),""))</f>
        <v/>
      </c>
      <c r="L1407" s="78" t="str">
        <f aca="false">IF(B1407="","",IFERROR(INDEX('CARNET DE SOUDURE'!$D$7:$D$1506,MATCH(B1407,'CARNET DE SOUDURE'!$K$7:$K$1506,0)),IFERROR(INDEX('CARNET DE SOUDURE'!$D$7:$D$1506,MATCH(B1407,'CARNET DE SOUDURE'!$M$7:$M$1506,0)),"")))</f>
        <v/>
      </c>
      <c r="M1407" s="81" t="str">
        <f aca="false">IF(B1407="","",IF(OR(J1407&lt;&gt;"",K1407&lt;&gt;""),"POSÉ EN LIGNE",IF(H1407&lt;&gt;"","BARDÉ","EN STOCK")))</f>
        <v/>
      </c>
      <c r="N1407" s="79"/>
    </row>
    <row r="1408" customFormat="false" ht="15" hidden="false" customHeight="false" outlineLevel="0" collapsed="false">
      <c r="A1408" s="78" t="str">
        <f aca="false">IF(B1408="","",ROW()-6)</f>
        <v/>
      </c>
      <c r="B1408" s="90"/>
      <c r="C1408" s="91"/>
      <c r="D1408" s="91"/>
      <c r="E1408" s="80"/>
      <c r="F1408" s="92"/>
      <c r="G1408" s="79"/>
      <c r="H1408" s="82"/>
      <c r="I1408" s="93" t="str">
        <f aca="false">IF(B1408="","",IFERROR(INDEX('CARNET DE SOUDURE'!$B$7:$B$1506,MATCH(B1408,'CARNET DE SOUDURE'!$K$7:$K$1506,0)),IFERROR(INDEX('CARNET DE SOUDURE'!$B$7:$B$1506,MATCH(B1408,'CARNET DE SOUDURE'!$M$7:$M$1506,0)),"")))</f>
        <v/>
      </c>
      <c r="J1408" s="78" t="str">
        <f aca="false">IF(B1408="","",IFERROR(INDEX('CARNET DE SOUDURE'!$E$7:$E$1506,MATCH(B1408,'CARNET DE SOUDURE'!$M$7:$M$1506,0)),""))</f>
        <v/>
      </c>
      <c r="K1408" s="78" t="str">
        <f aca="false">IF(B1408="","",IFERROR(INDEX('CARNET DE SOUDURE'!$E$7:$E$1506,MATCH(B1408,'CARNET DE SOUDURE'!$K$7:$K$1506,0)),""))</f>
        <v/>
      </c>
      <c r="L1408" s="78" t="str">
        <f aca="false">IF(B1408="","",IFERROR(INDEX('CARNET DE SOUDURE'!$D$7:$D$1506,MATCH(B1408,'CARNET DE SOUDURE'!$K$7:$K$1506,0)),IFERROR(INDEX('CARNET DE SOUDURE'!$D$7:$D$1506,MATCH(B1408,'CARNET DE SOUDURE'!$M$7:$M$1506,0)),"")))</f>
        <v/>
      </c>
      <c r="M1408" s="81" t="str">
        <f aca="false">IF(B1408="","",IF(OR(J1408&lt;&gt;"",K1408&lt;&gt;""),"POSÉ EN LIGNE",IF(H1408&lt;&gt;"","BARDÉ","EN STOCK")))</f>
        <v/>
      </c>
      <c r="N1408" s="79"/>
    </row>
    <row r="1409" customFormat="false" ht="15" hidden="false" customHeight="false" outlineLevel="0" collapsed="false">
      <c r="A1409" s="78" t="str">
        <f aca="false">IF(B1409="","",ROW()-6)</f>
        <v/>
      </c>
      <c r="B1409" s="90"/>
      <c r="C1409" s="91"/>
      <c r="D1409" s="91"/>
      <c r="E1409" s="80"/>
      <c r="F1409" s="92"/>
      <c r="G1409" s="79"/>
      <c r="H1409" s="82"/>
      <c r="I1409" s="93" t="str">
        <f aca="false">IF(B1409="","",IFERROR(INDEX('CARNET DE SOUDURE'!$B$7:$B$1506,MATCH(B1409,'CARNET DE SOUDURE'!$K$7:$K$1506,0)),IFERROR(INDEX('CARNET DE SOUDURE'!$B$7:$B$1506,MATCH(B1409,'CARNET DE SOUDURE'!$M$7:$M$1506,0)),"")))</f>
        <v/>
      </c>
      <c r="J1409" s="78" t="str">
        <f aca="false">IF(B1409="","",IFERROR(INDEX('CARNET DE SOUDURE'!$E$7:$E$1506,MATCH(B1409,'CARNET DE SOUDURE'!$M$7:$M$1506,0)),""))</f>
        <v/>
      </c>
      <c r="K1409" s="78" t="str">
        <f aca="false">IF(B1409="","",IFERROR(INDEX('CARNET DE SOUDURE'!$E$7:$E$1506,MATCH(B1409,'CARNET DE SOUDURE'!$K$7:$K$1506,0)),""))</f>
        <v/>
      </c>
      <c r="L1409" s="78" t="str">
        <f aca="false">IF(B1409="","",IFERROR(INDEX('CARNET DE SOUDURE'!$D$7:$D$1506,MATCH(B1409,'CARNET DE SOUDURE'!$K$7:$K$1506,0)),IFERROR(INDEX('CARNET DE SOUDURE'!$D$7:$D$1506,MATCH(B1409,'CARNET DE SOUDURE'!$M$7:$M$1506,0)),"")))</f>
        <v/>
      </c>
      <c r="M1409" s="81" t="str">
        <f aca="false">IF(B1409="","",IF(OR(J1409&lt;&gt;"",K1409&lt;&gt;""),"POSÉ EN LIGNE",IF(H1409&lt;&gt;"","BARDÉ","EN STOCK")))</f>
        <v/>
      </c>
      <c r="N1409" s="79"/>
    </row>
    <row r="1410" customFormat="false" ht="15" hidden="false" customHeight="false" outlineLevel="0" collapsed="false">
      <c r="A1410" s="78" t="str">
        <f aca="false">IF(B1410="","",ROW()-6)</f>
        <v/>
      </c>
      <c r="B1410" s="90"/>
      <c r="C1410" s="91"/>
      <c r="D1410" s="91"/>
      <c r="E1410" s="80"/>
      <c r="F1410" s="92"/>
      <c r="G1410" s="79"/>
      <c r="H1410" s="82"/>
      <c r="I1410" s="93" t="str">
        <f aca="false">IF(B1410="","",IFERROR(INDEX('CARNET DE SOUDURE'!$B$7:$B$1506,MATCH(B1410,'CARNET DE SOUDURE'!$K$7:$K$1506,0)),IFERROR(INDEX('CARNET DE SOUDURE'!$B$7:$B$1506,MATCH(B1410,'CARNET DE SOUDURE'!$M$7:$M$1506,0)),"")))</f>
        <v/>
      </c>
      <c r="J1410" s="78" t="str">
        <f aca="false">IF(B1410="","",IFERROR(INDEX('CARNET DE SOUDURE'!$E$7:$E$1506,MATCH(B1410,'CARNET DE SOUDURE'!$M$7:$M$1506,0)),""))</f>
        <v/>
      </c>
      <c r="K1410" s="78" t="str">
        <f aca="false">IF(B1410="","",IFERROR(INDEX('CARNET DE SOUDURE'!$E$7:$E$1506,MATCH(B1410,'CARNET DE SOUDURE'!$K$7:$K$1506,0)),""))</f>
        <v/>
      </c>
      <c r="L1410" s="78" t="str">
        <f aca="false">IF(B1410="","",IFERROR(INDEX('CARNET DE SOUDURE'!$D$7:$D$1506,MATCH(B1410,'CARNET DE SOUDURE'!$K$7:$K$1506,0)),IFERROR(INDEX('CARNET DE SOUDURE'!$D$7:$D$1506,MATCH(B1410,'CARNET DE SOUDURE'!$M$7:$M$1506,0)),"")))</f>
        <v/>
      </c>
      <c r="M1410" s="81" t="str">
        <f aca="false">IF(B1410="","",IF(OR(J1410&lt;&gt;"",K1410&lt;&gt;""),"POSÉ EN LIGNE",IF(H1410&lt;&gt;"","BARDÉ","EN STOCK")))</f>
        <v/>
      </c>
      <c r="N1410" s="79"/>
    </row>
    <row r="1411" customFormat="false" ht="15" hidden="false" customHeight="false" outlineLevel="0" collapsed="false">
      <c r="A1411" s="78" t="str">
        <f aca="false">IF(B1411="","",ROW()-6)</f>
        <v/>
      </c>
      <c r="B1411" s="90"/>
      <c r="C1411" s="91"/>
      <c r="D1411" s="91"/>
      <c r="E1411" s="80"/>
      <c r="F1411" s="92"/>
      <c r="G1411" s="79"/>
      <c r="H1411" s="82"/>
      <c r="I1411" s="93" t="str">
        <f aca="false">IF(B1411="","",IFERROR(INDEX('CARNET DE SOUDURE'!$B$7:$B$1506,MATCH(B1411,'CARNET DE SOUDURE'!$K$7:$K$1506,0)),IFERROR(INDEX('CARNET DE SOUDURE'!$B$7:$B$1506,MATCH(B1411,'CARNET DE SOUDURE'!$M$7:$M$1506,0)),"")))</f>
        <v/>
      </c>
      <c r="J1411" s="78" t="str">
        <f aca="false">IF(B1411="","",IFERROR(INDEX('CARNET DE SOUDURE'!$E$7:$E$1506,MATCH(B1411,'CARNET DE SOUDURE'!$M$7:$M$1506,0)),""))</f>
        <v/>
      </c>
      <c r="K1411" s="78" t="str">
        <f aca="false">IF(B1411="","",IFERROR(INDEX('CARNET DE SOUDURE'!$E$7:$E$1506,MATCH(B1411,'CARNET DE SOUDURE'!$K$7:$K$1506,0)),""))</f>
        <v/>
      </c>
      <c r="L1411" s="78" t="str">
        <f aca="false">IF(B1411="","",IFERROR(INDEX('CARNET DE SOUDURE'!$D$7:$D$1506,MATCH(B1411,'CARNET DE SOUDURE'!$K$7:$K$1506,0)),IFERROR(INDEX('CARNET DE SOUDURE'!$D$7:$D$1506,MATCH(B1411,'CARNET DE SOUDURE'!$M$7:$M$1506,0)),"")))</f>
        <v/>
      </c>
      <c r="M1411" s="81" t="str">
        <f aca="false">IF(B1411="","",IF(OR(J1411&lt;&gt;"",K1411&lt;&gt;""),"POSÉ EN LIGNE",IF(H1411&lt;&gt;"","BARDÉ","EN STOCK")))</f>
        <v/>
      </c>
      <c r="N1411" s="79"/>
    </row>
    <row r="1412" customFormat="false" ht="15" hidden="false" customHeight="false" outlineLevel="0" collapsed="false">
      <c r="A1412" s="78" t="str">
        <f aca="false">IF(B1412="","",ROW()-6)</f>
        <v/>
      </c>
      <c r="B1412" s="90"/>
      <c r="C1412" s="91"/>
      <c r="D1412" s="91"/>
      <c r="E1412" s="80"/>
      <c r="F1412" s="92"/>
      <c r="G1412" s="79"/>
      <c r="H1412" s="82"/>
      <c r="I1412" s="93" t="str">
        <f aca="false">IF(B1412="","",IFERROR(INDEX('CARNET DE SOUDURE'!$B$7:$B$1506,MATCH(B1412,'CARNET DE SOUDURE'!$K$7:$K$1506,0)),IFERROR(INDEX('CARNET DE SOUDURE'!$B$7:$B$1506,MATCH(B1412,'CARNET DE SOUDURE'!$M$7:$M$1506,0)),"")))</f>
        <v/>
      </c>
      <c r="J1412" s="78" t="str">
        <f aca="false">IF(B1412="","",IFERROR(INDEX('CARNET DE SOUDURE'!$E$7:$E$1506,MATCH(B1412,'CARNET DE SOUDURE'!$M$7:$M$1506,0)),""))</f>
        <v/>
      </c>
      <c r="K1412" s="78" t="str">
        <f aca="false">IF(B1412="","",IFERROR(INDEX('CARNET DE SOUDURE'!$E$7:$E$1506,MATCH(B1412,'CARNET DE SOUDURE'!$K$7:$K$1506,0)),""))</f>
        <v/>
      </c>
      <c r="L1412" s="78" t="str">
        <f aca="false">IF(B1412="","",IFERROR(INDEX('CARNET DE SOUDURE'!$D$7:$D$1506,MATCH(B1412,'CARNET DE SOUDURE'!$K$7:$K$1506,0)),IFERROR(INDEX('CARNET DE SOUDURE'!$D$7:$D$1506,MATCH(B1412,'CARNET DE SOUDURE'!$M$7:$M$1506,0)),"")))</f>
        <v/>
      </c>
      <c r="M1412" s="81" t="str">
        <f aca="false">IF(B1412="","",IF(OR(J1412&lt;&gt;"",K1412&lt;&gt;""),"POSÉ EN LIGNE",IF(H1412&lt;&gt;"","BARDÉ","EN STOCK")))</f>
        <v/>
      </c>
      <c r="N1412" s="79"/>
    </row>
    <row r="1413" customFormat="false" ht="15" hidden="false" customHeight="false" outlineLevel="0" collapsed="false">
      <c r="A1413" s="78" t="str">
        <f aca="false">IF(B1413="","",ROW()-6)</f>
        <v/>
      </c>
      <c r="B1413" s="90"/>
      <c r="C1413" s="91"/>
      <c r="D1413" s="91"/>
      <c r="E1413" s="80"/>
      <c r="F1413" s="92"/>
      <c r="G1413" s="79"/>
      <c r="H1413" s="82"/>
      <c r="I1413" s="93" t="str">
        <f aca="false">IF(B1413="","",IFERROR(INDEX('CARNET DE SOUDURE'!$B$7:$B$1506,MATCH(B1413,'CARNET DE SOUDURE'!$K$7:$K$1506,0)),IFERROR(INDEX('CARNET DE SOUDURE'!$B$7:$B$1506,MATCH(B1413,'CARNET DE SOUDURE'!$M$7:$M$1506,0)),"")))</f>
        <v/>
      </c>
      <c r="J1413" s="78" t="str">
        <f aca="false">IF(B1413="","",IFERROR(INDEX('CARNET DE SOUDURE'!$E$7:$E$1506,MATCH(B1413,'CARNET DE SOUDURE'!$M$7:$M$1506,0)),""))</f>
        <v/>
      </c>
      <c r="K1413" s="78" t="str">
        <f aca="false">IF(B1413="","",IFERROR(INDEX('CARNET DE SOUDURE'!$E$7:$E$1506,MATCH(B1413,'CARNET DE SOUDURE'!$K$7:$K$1506,0)),""))</f>
        <v/>
      </c>
      <c r="L1413" s="78" t="str">
        <f aca="false">IF(B1413="","",IFERROR(INDEX('CARNET DE SOUDURE'!$D$7:$D$1506,MATCH(B1413,'CARNET DE SOUDURE'!$K$7:$K$1506,0)),IFERROR(INDEX('CARNET DE SOUDURE'!$D$7:$D$1506,MATCH(B1413,'CARNET DE SOUDURE'!$M$7:$M$1506,0)),"")))</f>
        <v/>
      </c>
      <c r="M1413" s="81" t="str">
        <f aca="false">IF(B1413="","",IF(OR(J1413&lt;&gt;"",K1413&lt;&gt;""),"POSÉ EN LIGNE",IF(H1413&lt;&gt;"","BARDÉ","EN STOCK")))</f>
        <v/>
      </c>
      <c r="N1413" s="79"/>
    </row>
    <row r="1414" customFormat="false" ht="15" hidden="false" customHeight="false" outlineLevel="0" collapsed="false">
      <c r="A1414" s="78" t="str">
        <f aca="false">IF(B1414="","",ROW()-6)</f>
        <v/>
      </c>
      <c r="B1414" s="90"/>
      <c r="C1414" s="91"/>
      <c r="D1414" s="91"/>
      <c r="E1414" s="80"/>
      <c r="F1414" s="92"/>
      <c r="G1414" s="79"/>
      <c r="H1414" s="82"/>
      <c r="I1414" s="93" t="str">
        <f aca="false">IF(B1414="","",IFERROR(INDEX('CARNET DE SOUDURE'!$B$7:$B$1506,MATCH(B1414,'CARNET DE SOUDURE'!$K$7:$K$1506,0)),IFERROR(INDEX('CARNET DE SOUDURE'!$B$7:$B$1506,MATCH(B1414,'CARNET DE SOUDURE'!$M$7:$M$1506,0)),"")))</f>
        <v/>
      </c>
      <c r="J1414" s="78" t="str">
        <f aca="false">IF(B1414="","",IFERROR(INDEX('CARNET DE SOUDURE'!$E$7:$E$1506,MATCH(B1414,'CARNET DE SOUDURE'!$M$7:$M$1506,0)),""))</f>
        <v/>
      </c>
      <c r="K1414" s="78" t="str">
        <f aca="false">IF(B1414="","",IFERROR(INDEX('CARNET DE SOUDURE'!$E$7:$E$1506,MATCH(B1414,'CARNET DE SOUDURE'!$K$7:$K$1506,0)),""))</f>
        <v/>
      </c>
      <c r="L1414" s="78" t="str">
        <f aca="false">IF(B1414="","",IFERROR(INDEX('CARNET DE SOUDURE'!$D$7:$D$1506,MATCH(B1414,'CARNET DE SOUDURE'!$K$7:$K$1506,0)),IFERROR(INDEX('CARNET DE SOUDURE'!$D$7:$D$1506,MATCH(B1414,'CARNET DE SOUDURE'!$M$7:$M$1506,0)),"")))</f>
        <v/>
      </c>
      <c r="M1414" s="81" t="str">
        <f aca="false">IF(B1414="","",IF(OR(J1414&lt;&gt;"",K1414&lt;&gt;""),"POSÉ EN LIGNE",IF(H1414&lt;&gt;"","BARDÉ","EN STOCK")))</f>
        <v/>
      </c>
      <c r="N1414" s="79"/>
    </row>
    <row r="1415" customFormat="false" ht="15" hidden="false" customHeight="false" outlineLevel="0" collapsed="false">
      <c r="A1415" s="78" t="str">
        <f aca="false">IF(B1415="","",ROW()-6)</f>
        <v/>
      </c>
      <c r="B1415" s="90"/>
      <c r="C1415" s="91"/>
      <c r="D1415" s="91"/>
      <c r="E1415" s="80"/>
      <c r="F1415" s="92"/>
      <c r="G1415" s="79"/>
      <c r="H1415" s="82"/>
      <c r="I1415" s="93" t="str">
        <f aca="false">IF(B1415="","",IFERROR(INDEX('CARNET DE SOUDURE'!$B$7:$B$1506,MATCH(B1415,'CARNET DE SOUDURE'!$K$7:$K$1506,0)),IFERROR(INDEX('CARNET DE SOUDURE'!$B$7:$B$1506,MATCH(B1415,'CARNET DE SOUDURE'!$M$7:$M$1506,0)),"")))</f>
        <v/>
      </c>
      <c r="J1415" s="78" t="str">
        <f aca="false">IF(B1415="","",IFERROR(INDEX('CARNET DE SOUDURE'!$E$7:$E$1506,MATCH(B1415,'CARNET DE SOUDURE'!$M$7:$M$1506,0)),""))</f>
        <v/>
      </c>
      <c r="K1415" s="78" t="str">
        <f aca="false">IF(B1415="","",IFERROR(INDEX('CARNET DE SOUDURE'!$E$7:$E$1506,MATCH(B1415,'CARNET DE SOUDURE'!$K$7:$K$1506,0)),""))</f>
        <v/>
      </c>
      <c r="L1415" s="78" t="str">
        <f aca="false">IF(B1415="","",IFERROR(INDEX('CARNET DE SOUDURE'!$D$7:$D$1506,MATCH(B1415,'CARNET DE SOUDURE'!$K$7:$K$1506,0)),IFERROR(INDEX('CARNET DE SOUDURE'!$D$7:$D$1506,MATCH(B1415,'CARNET DE SOUDURE'!$M$7:$M$1506,0)),"")))</f>
        <v/>
      </c>
      <c r="M1415" s="81" t="str">
        <f aca="false">IF(B1415="","",IF(OR(J1415&lt;&gt;"",K1415&lt;&gt;""),"POSÉ EN LIGNE",IF(H1415&lt;&gt;"","BARDÉ","EN STOCK")))</f>
        <v/>
      </c>
      <c r="N1415" s="79"/>
    </row>
    <row r="1416" customFormat="false" ht="15" hidden="false" customHeight="false" outlineLevel="0" collapsed="false">
      <c r="A1416" s="78" t="str">
        <f aca="false">IF(B1416="","",ROW()-6)</f>
        <v/>
      </c>
      <c r="B1416" s="90"/>
      <c r="C1416" s="91"/>
      <c r="D1416" s="91"/>
      <c r="E1416" s="80"/>
      <c r="F1416" s="92"/>
      <c r="G1416" s="79"/>
      <c r="H1416" s="82"/>
      <c r="I1416" s="93" t="str">
        <f aca="false">IF(B1416="","",IFERROR(INDEX('CARNET DE SOUDURE'!$B$7:$B$1506,MATCH(B1416,'CARNET DE SOUDURE'!$K$7:$K$1506,0)),IFERROR(INDEX('CARNET DE SOUDURE'!$B$7:$B$1506,MATCH(B1416,'CARNET DE SOUDURE'!$M$7:$M$1506,0)),"")))</f>
        <v/>
      </c>
      <c r="J1416" s="78" t="str">
        <f aca="false">IF(B1416="","",IFERROR(INDEX('CARNET DE SOUDURE'!$E$7:$E$1506,MATCH(B1416,'CARNET DE SOUDURE'!$M$7:$M$1506,0)),""))</f>
        <v/>
      </c>
      <c r="K1416" s="78" t="str">
        <f aca="false">IF(B1416="","",IFERROR(INDEX('CARNET DE SOUDURE'!$E$7:$E$1506,MATCH(B1416,'CARNET DE SOUDURE'!$K$7:$K$1506,0)),""))</f>
        <v/>
      </c>
      <c r="L1416" s="78" t="str">
        <f aca="false">IF(B1416="","",IFERROR(INDEX('CARNET DE SOUDURE'!$D$7:$D$1506,MATCH(B1416,'CARNET DE SOUDURE'!$K$7:$K$1506,0)),IFERROR(INDEX('CARNET DE SOUDURE'!$D$7:$D$1506,MATCH(B1416,'CARNET DE SOUDURE'!$M$7:$M$1506,0)),"")))</f>
        <v/>
      </c>
      <c r="M1416" s="81" t="str">
        <f aca="false">IF(B1416="","",IF(OR(J1416&lt;&gt;"",K1416&lt;&gt;""),"POSÉ EN LIGNE",IF(H1416&lt;&gt;"","BARDÉ","EN STOCK")))</f>
        <v/>
      </c>
      <c r="N1416" s="79"/>
    </row>
    <row r="1417" customFormat="false" ht="15" hidden="false" customHeight="false" outlineLevel="0" collapsed="false">
      <c r="A1417" s="78" t="str">
        <f aca="false">IF(B1417="","",ROW()-6)</f>
        <v/>
      </c>
      <c r="B1417" s="90"/>
      <c r="C1417" s="91"/>
      <c r="D1417" s="91"/>
      <c r="E1417" s="80"/>
      <c r="F1417" s="92"/>
      <c r="G1417" s="79"/>
      <c r="H1417" s="82"/>
      <c r="I1417" s="93" t="str">
        <f aca="false">IF(B1417="","",IFERROR(INDEX('CARNET DE SOUDURE'!$B$7:$B$1506,MATCH(B1417,'CARNET DE SOUDURE'!$K$7:$K$1506,0)),IFERROR(INDEX('CARNET DE SOUDURE'!$B$7:$B$1506,MATCH(B1417,'CARNET DE SOUDURE'!$M$7:$M$1506,0)),"")))</f>
        <v/>
      </c>
      <c r="J1417" s="78" t="str">
        <f aca="false">IF(B1417="","",IFERROR(INDEX('CARNET DE SOUDURE'!$E$7:$E$1506,MATCH(B1417,'CARNET DE SOUDURE'!$M$7:$M$1506,0)),""))</f>
        <v/>
      </c>
      <c r="K1417" s="78" t="str">
        <f aca="false">IF(B1417="","",IFERROR(INDEX('CARNET DE SOUDURE'!$E$7:$E$1506,MATCH(B1417,'CARNET DE SOUDURE'!$K$7:$K$1506,0)),""))</f>
        <v/>
      </c>
      <c r="L1417" s="78" t="str">
        <f aca="false">IF(B1417="","",IFERROR(INDEX('CARNET DE SOUDURE'!$D$7:$D$1506,MATCH(B1417,'CARNET DE SOUDURE'!$K$7:$K$1506,0)),IFERROR(INDEX('CARNET DE SOUDURE'!$D$7:$D$1506,MATCH(B1417,'CARNET DE SOUDURE'!$M$7:$M$1506,0)),"")))</f>
        <v/>
      </c>
      <c r="M1417" s="81" t="str">
        <f aca="false">IF(B1417="","",IF(OR(J1417&lt;&gt;"",K1417&lt;&gt;""),"POSÉ EN LIGNE",IF(H1417&lt;&gt;"","BARDÉ","EN STOCK")))</f>
        <v/>
      </c>
      <c r="N1417" s="79"/>
    </row>
    <row r="1418" customFormat="false" ht="15" hidden="false" customHeight="false" outlineLevel="0" collapsed="false">
      <c r="A1418" s="78" t="str">
        <f aca="false">IF(B1418="","",ROW()-6)</f>
        <v/>
      </c>
      <c r="B1418" s="90"/>
      <c r="C1418" s="91"/>
      <c r="D1418" s="91"/>
      <c r="E1418" s="80"/>
      <c r="F1418" s="92"/>
      <c r="G1418" s="79"/>
      <c r="H1418" s="82"/>
      <c r="I1418" s="93" t="str">
        <f aca="false">IF(B1418="","",IFERROR(INDEX('CARNET DE SOUDURE'!$B$7:$B$1506,MATCH(B1418,'CARNET DE SOUDURE'!$K$7:$K$1506,0)),IFERROR(INDEX('CARNET DE SOUDURE'!$B$7:$B$1506,MATCH(B1418,'CARNET DE SOUDURE'!$M$7:$M$1506,0)),"")))</f>
        <v/>
      </c>
      <c r="J1418" s="78" t="str">
        <f aca="false">IF(B1418="","",IFERROR(INDEX('CARNET DE SOUDURE'!$E$7:$E$1506,MATCH(B1418,'CARNET DE SOUDURE'!$M$7:$M$1506,0)),""))</f>
        <v/>
      </c>
      <c r="K1418" s="78" t="str">
        <f aca="false">IF(B1418="","",IFERROR(INDEX('CARNET DE SOUDURE'!$E$7:$E$1506,MATCH(B1418,'CARNET DE SOUDURE'!$K$7:$K$1506,0)),""))</f>
        <v/>
      </c>
      <c r="L1418" s="78" t="str">
        <f aca="false">IF(B1418="","",IFERROR(INDEX('CARNET DE SOUDURE'!$D$7:$D$1506,MATCH(B1418,'CARNET DE SOUDURE'!$K$7:$K$1506,0)),IFERROR(INDEX('CARNET DE SOUDURE'!$D$7:$D$1506,MATCH(B1418,'CARNET DE SOUDURE'!$M$7:$M$1506,0)),"")))</f>
        <v/>
      </c>
      <c r="M1418" s="81" t="str">
        <f aca="false">IF(B1418="","",IF(OR(J1418&lt;&gt;"",K1418&lt;&gt;""),"POSÉ EN LIGNE",IF(H1418&lt;&gt;"","BARDÉ","EN STOCK")))</f>
        <v/>
      </c>
      <c r="N1418" s="79"/>
    </row>
    <row r="1419" customFormat="false" ht="15" hidden="false" customHeight="false" outlineLevel="0" collapsed="false">
      <c r="A1419" s="78" t="str">
        <f aca="false">IF(B1419="","",ROW()-6)</f>
        <v/>
      </c>
      <c r="B1419" s="90"/>
      <c r="C1419" s="91"/>
      <c r="D1419" s="91"/>
      <c r="E1419" s="80"/>
      <c r="F1419" s="92"/>
      <c r="G1419" s="79"/>
      <c r="H1419" s="82"/>
      <c r="I1419" s="93" t="str">
        <f aca="false">IF(B1419="","",IFERROR(INDEX('CARNET DE SOUDURE'!$B$7:$B$1506,MATCH(B1419,'CARNET DE SOUDURE'!$K$7:$K$1506,0)),IFERROR(INDEX('CARNET DE SOUDURE'!$B$7:$B$1506,MATCH(B1419,'CARNET DE SOUDURE'!$M$7:$M$1506,0)),"")))</f>
        <v/>
      </c>
      <c r="J1419" s="78" t="str">
        <f aca="false">IF(B1419="","",IFERROR(INDEX('CARNET DE SOUDURE'!$E$7:$E$1506,MATCH(B1419,'CARNET DE SOUDURE'!$M$7:$M$1506,0)),""))</f>
        <v/>
      </c>
      <c r="K1419" s="78" t="str">
        <f aca="false">IF(B1419="","",IFERROR(INDEX('CARNET DE SOUDURE'!$E$7:$E$1506,MATCH(B1419,'CARNET DE SOUDURE'!$K$7:$K$1506,0)),""))</f>
        <v/>
      </c>
      <c r="L1419" s="78" t="str">
        <f aca="false">IF(B1419="","",IFERROR(INDEX('CARNET DE SOUDURE'!$D$7:$D$1506,MATCH(B1419,'CARNET DE SOUDURE'!$K$7:$K$1506,0)),IFERROR(INDEX('CARNET DE SOUDURE'!$D$7:$D$1506,MATCH(B1419,'CARNET DE SOUDURE'!$M$7:$M$1506,0)),"")))</f>
        <v/>
      </c>
      <c r="M1419" s="81" t="str">
        <f aca="false">IF(B1419="","",IF(OR(J1419&lt;&gt;"",K1419&lt;&gt;""),"POSÉ EN LIGNE",IF(H1419&lt;&gt;"","BARDÉ","EN STOCK")))</f>
        <v/>
      </c>
      <c r="N1419" s="79"/>
    </row>
    <row r="1420" customFormat="false" ht="15" hidden="false" customHeight="false" outlineLevel="0" collapsed="false">
      <c r="A1420" s="78" t="str">
        <f aca="false">IF(B1420="","",ROW()-6)</f>
        <v/>
      </c>
      <c r="B1420" s="90"/>
      <c r="C1420" s="91"/>
      <c r="D1420" s="91"/>
      <c r="E1420" s="80"/>
      <c r="F1420" s="92"/>
      <c r="G1420" s="79"/>
      <c r="H1420" s="82"/>
      <c r="I1420" s="93" t="str">
        <f aca="false">IF(B1420="","",IFERROR(INDEX('CARNET DE SOUDURE'!$B$7:$B$1506,MATCH(B1420,'CARNET DE SOUDURE'!$K$7:$K$1506,0)),IFERROR(INDEX('CARNET DE SOUDURE'!$B$7:$B$1506,MATCH(B1420,'CARNET DE SOUDURE'!$M$7:$M$1506,0)),"")))</f>
        <v/>
      </c>
      <c r="J1420" s="78" t="str">
        <f aca="false">IF(B1420="","",IFERROR(INDEX('CARNET DE SOUDURE'!$E$7:$E$1506,MATCH(B1420,'CARNET DE SOUDURE'!$M$7:$M$1506,0)),""))</f>
        <v/>
      </c>
      <c r="K1420" s="78" t="str">
        <f aca="false">IF(B1420="","",IFERROR(INDEX('CARNET DE SOUDURE'!$E$7:$E$1506,MATCH(B1420,'CARNET DE SOUDURE'!$K$7:$K$1506,0)),""))</f>
        <v/>
      </c>
      <c r="L1420" s="78" t="str">
        <f aca="false">IF(B1420="","",IFERROR(INDEX('CARNET DE SOUDURE'!$D$7:$D$1506,MATCH(B1420,'CARNET DE SOUDURE'!$K$7:$K$1506,0)),IFERROR(INDEX('CARNET DE SOUDURE'!$D$7:$D$1506,MATCH(B1420,'CARNET DE SOUDURE'!$M$7:$M$1506,0)),"")))</f>
        <v/>
      </c>
      <c r="M1420" s="81" t="str">
        <f aca="false">IF(B1420="","",IF(OR(J1420&lt;&gt;"",K1420&lt;&gt;""),"POSÉ EN LIGNE",IF(H1420&lt;&gt;"","BARDÉ","EN STOCK")))</f>
        <v/>
      </c>
      <c r="N1420" s="79"/>
    </row>
    <row r="1421" customFormat="false" ht="15" hidden="false" customHeight="false" outlineLevel="0" collapsed="false">
      <c r="A1421" s="78" t="str">
        <f aca="false">IF(B1421="","",ROW()-6)</f>
        <v/>
      </c>
      <c r="B1421" s="90"/>
      <c r="C1421" s="91"/>
      <c r="D1421" s="91"/>
      <c r="E1421" s="80"/>
      <c r="F1421" s="92"/>
      <c r="G1421" s="79"/>
      <c r="H1421" s="82"/>
      <c r="I1421" s="93" t="str">
        <f aca="false">IF(B1421="","",IFERROR(INDEX('CARNET DE SOUDURE'!$B$7:$B$1506,MATCH(B1421,'CARNET DE SOUDURE'!$K$7:$K$1506,0)),IFERROR(INDEX('CARNET DE SOUDURE'!$B$7:$B$1506,MATCH(B1421,'CARNET DE SOUDURE'!$M$7:$M$1506,0)),"")))</f>
        <v/>
      </c>
      <c r="J1421" s="78" t="str">
        <f aca="false">IF(B1421="","",IFERROR(INDEX('CARNET DE SOUDURE'!$E$7:$E$1506,MATCH(B1421,'CARNET DE SOUDURE'!$M$7:$M$1506,0)),""))</f>
        <v/>
      </c>
      <c r="K1421" s="78" t="str">
        <f aca="false">IF(B1421="","",IFERROR(INDEX('CARNET DE SOUDURE'!$E$7:$E$1506,MATCH(B1421,'CARNET DE SOUDURE'!$K$7:$K$1506,0)),""))</f>
        <v/>
      </c>
      <c r="L1421" s="78" t="str">
        <f aca="false">IF(B1421="","",IFERROR(INDEX('CARNET DE SOUDURE'!$D$7:$D$1506,MATCH(B1421,'CARNET DE SOUDURE'!$K$7:$K$1506,0)),IFERROR(INDEX('CARNET DE SOUDURE'!$D$7:$D$1506,MATCH(B1421,'CARNET DE SOUDURE'!$M$7:$M$1506,0)),"")))</f>
        <v/>
      </c>
      <c r="M1421" s="81" t="str">
        <f aca="false">IF(B1421="","",IF(OR(J1421&lt;&gt;"",K1421&lt;&gt;""),"POSÉ EN LIGNE",IF(H1421&lt;&gt;"","BARDÉ","EN STOCK")))</f>
        <v/>
      </c>
      <c r="N1421" s="79"/>
    </row>
    <row r="1422" customFormat="false" ht="15" hidden="false" customHeight="false" outlineLevel="0" collapsed="false">
      <c r="A1422" s="78" t="str">
        <f aca="false">IF(B1422="","",ROW()-6)</f>
        <v/>
      </c>
      <c r="B1422" s="90"/>
      <c r="C1422" s="91"/>
      <c r="D1422" s="91"/>
      <c r="E1422" s="80"/>
      <c r="F1422" s="92"/>
      <c r="G1422" s="79"/>
      <c r="H1422" s="82"/>
      <c r="I1422" s="93" t="str">
        <f aca="false">IF(B1422="","",IFERROR(INDEX('CARNET DE SOUDURE'!$B$7:$B$1506,MATCH(B1422,'CARNET DE SOUDURE'!$K$7:$K$1506,0)),IFERROR(INDEX('CARNET DE SOUDURE'!$B$7:$B$1506,MATCH(B1422,'CARNET DE SOUDURE'!$M$7:$M$1506,0)),"")))</f>
        <v/>
      </c>
      <c r="J1422" s="78" t="str">
        <f aca="false">IF(B1422="","",IFERROR(INDEX('CARNET DE SOUDURE'!$E$7:$E$1506,MATCH(B1422,'CARNET DE SOUDURE'!$M$7:$M$1506,0)),""))</f>
        <v/>
      </c>
      <c r="K1422" s="78" t="str">
        <f aca="false">IF(B1422="","",IFERROR(INDEX('CARNET DE SOUDURE'!$E$7:$E$1506,MATCH(B1422,'CARNET DE SOUDURE'!$K$7:$K$1506,0)),""))</f>
        <v/>
      </c>
      <c r="L1422" s="78" t="str">
        <f aca="false">IF(B1422="","",IFERROR(INDEX('CARNET DE SOUDURE'!$D$7:$D$1506,MATCH(B1422,'CARNET DE SOUDURE'!$K$7:$K$1506,0)),IFERROR(INDEX('CARNET DE SOUDURE'!$D$7:$D$1506,MATCH(B1422,'CARNET DE SOUDURE'!$M$7:$M$1506,0)),"")))</f>
        <v/>
      </c>
      <c r="M1422" s="81" t="str">
        <f aca="false">IF(B1422="","",IF(OR(J1422&lt;&gt;"",K1422&lt;&gt;""),"POSÉ EN LIGNE",IF(H1422&lt;&gt;"","BARDÉ","EN STOCK")))</f>
        <v/>
      </c>
      <c r="N1422" s="79"/>
    </row>
    <row r="1423" customFormat="false" ht="15" hidden="false" customHeight="false" outlineLevel="0" collapsed="false">
      <c r="A1423" s="78" t="str">
        <f aca="false">IF(B1423="","",ROW()-6)</f>
        <v/>
      </c>
      <c r="B1423" s="90"/>
      <c r="C1423" s="91"/>
      <c r="D1423" s="91"/>
      <c r="E1423" s="80"/>
      <c r="F1423" s="92"/>
      <c r="G1423" s="79"/>
      <c r="H1423" s="82"/>
      <c r="I1423" s="93" t="str">
        <f aca="false">IF(B1423="","",IFERROR(INDEX('CARNET DE SOUDURE'!$B$7:$B$1506,MATCH(B1423,'CARNET DE SOUDURE'!$K$7:$K$1506,0)),IFERROR(INDEX('CARNET DE SOUDURE'!$B$7:$B$1506,MATCH(B1423,'CARNET DE SOUDURE'!$M$7:$M$1506,0)),"")))</f>
        <v/>
      </c>
      <c r="J1423" s="78" t="str">
        <f aca="false">IF(B1423="","",IFERROR(INDEX('CARNET DE SOUDURE'!$E$7:$E$1506,MATCH(B1423,'CARNET DE SOUDURE'!$M$7:$M$1506,0)),""))</f>
        <v/>
      </c>
      <c r="K1423" s="78" t="str">
        <f aca="false">IF(B1423="","",IFERROR(INDEX('CARNET DE SOUDURE'!$E$7:$E$1506,MATCH(B1423,'CARNET DE SOUDURE'!$K$7:$K$1506,0)),""))</f>
        <v/>
      </c>
      <c r="L1423" s="78" t="str">
        <f aca="false">IF(B1423="","",IFERROR(INDEX('CARNET DE SOUDURE'!$D$7:$D$1506,MATCH(B1423,'CARNET DE SOUDURE'!$K$7:$K$1506,0)),IFERROR(INDEX('CARNET DE SOUDURE'!$D$7:$D$1506,MATCH(B1423,'CARNET DE SOUDURE'!$M$7:$M$1506,0)),"")))</f>
        <v/>
      </c>
      <c r="M1423" s="81" t="str">
        <f aca="false">IF(B1423="","",IF(OR(J1423&lt;&gt;"",K1423&lt;&gt;""),"POSÉ EN LIGNE",IF(H1423&lt;&gt;"","BARDÉ","EN STOCK")))</f>
        <v/>
      </c>
      <c r="N1423" s="79"/>
    </row>
    <row r="1424" customFormat="false" ht="15" hidden="false" customHeight="false" outlineLevel="0" collapsed="false">
      <c r="A1424" s="78" t="str">
        <f aca="false">IF(B1424="","",ROW()-6)</f>
        <v/>
      </c>
      <c r="B1424" s="90"/>
      <c r="C1424" s="91"/>
      <c r="D1424" s="91"/>
      <c r="E1424" s="80"/>
      <c r="F1424" s="92"/>
      <c r="G1424" s="79"/>
      <c r="H1424" s="82"/>
      <c r="I1424" s="93" t="str">
        <f aca="false">IF(B1424="","",IFERROR(INDEX('CARNET DE SOUDURE'!$B$7:$B$1506,MATCH(B1424,'CARNET DE SOUDURE'!$K$7:$K$1506,0)),IFERROR(INDEX('CARNET DE SOUDURE'!$B$7:$B$1506,MATCH(B1424,'CARNET DE SOUDURE'!$M$7:$M$1506,0)),"")))</f>
        <v/>
      </c>
      <c r="J1424" s="78" t="str">
        <f aca="false">IF(B1424="","",IFERROR(INDEX('CARNET DE SOUDURE'!$E$7:$E$1506,MATCH(B1424,'CARNET DE SOUDURE'!$M$7:$M$1506,0)),""))</f>
        <v/>
      </c>
      <c r="K1424" s="78" t="str">
        <f aca="false">IF(B1424="","",IFERROR(INDEX('CARNET DE SOUDURE'!$E$7:$E$1506,MATCH(B1424,'CARNET DE SOUDURE'!$K$7:$K$1506,0)),""))</f>
        <v/>
      </c>
      <c r="L1424" s="78" t="str">
        <f aca="false">IF(B1424="","",IFERROR(INDEX('CARNET DE SOUDURE'!$D$7:$D$1506,MATCH(B1424,'CARNET DE SOUDURE'!$K$7:$K$1506,0)),IFERROR(INDEX('CARNET DE SOUDURE'!$D$7:$D$1506,MATCH(B1424,'CARNET DE SOUDURE'!$M$7:$M$1506,0)),"")))</f>
        <v/>
      </c>
      <c r="M1424" s="81" t="str">
        <f aca="false">IF(B1424="","",IF(OR(J1424&lt;&gt;"",K1424&lt;&gt;""),"POSÉ EN LIGNE",IF(H1424&lt;&gt;"","BARDÉ","EN STOCK")))</f>
        <v/>
      </c>
      <c r="N1424" s="79"/>
    </row>
    <row r="1425" customFormat="false" ht="15" hidden="false" customHeight="false" outlineLevel="0" collapsed="false">
      <c r="A1425" s="78" t="str">
        <f aca="false">IF(B1425="","",ROW()-6)</f>
        <v/>
      </c>
      <c r="B1425" s="90"/>
      <c r="C1425" s="91"/>
      <c r="D1425" s="91"/>
      <c r="E1425" s="80"/>
      <c r="F1425" s="92"/>
      <c r="G1425" s="79"/>
      <c r="H1425" s="82"/>
      <c r="I1425" s="93" t="str">
        <f aca="false">IF(B1425="","",IFERROR(INDEX('CARNET DE SOUDURE'!$B$7:$B$1506,MATCH(B1425,'CARNET DE SOUDURE'!$K$7:$K$1506,0)),IFERROR(INDEX('CARNET DE SOUDURE'!$B$7:$B$1506,MATCH(B1425,'CARNET DE SOUDURE'!$M$7:$M$1506,0)),"")))</f>
        <v/>
      </c>
      <c r="J1425" s="78" t="str">
        <f aca="false">IF(B1425="","",IFERROR(INDEX('CARNET DE SOUDURE'!$E$7:$E$1506,MATCH(B1425,'CARNET DE SOUDURE'!$M$7:$M$1506,0)),""))</f>
        <v/>
      </c>
      <c r="K1425" s="78" t="str">
        <f aca="false">IF(B1425="","",IFERROR(INDEX('CARNET DE SOUDURE'!$E$7:$E$1506,MATCH(B1425,'CARNET DE SOUDURE'!$K$7:$K$1506,0)),""))</f>
        <v/>
      </c>
      <c r="L1425" s="78" t="str">
        <f aca="false">IF(B1425="","",IFERROR(INDEX('CARNET DE SOUDURE'!$D$7:$D$1506,MATCH(B1425,'CARNET DE SOUDURE'!$K$7:$K$1506,0)),IFERROR(INDEX('CARNET DE SOUDURE'!$D$7:$D$1506,MATCH(B1425,'CARNET DE SOUDURE'!$M$7:$M$1506,0)),"")))</f>
        <v/>
      </c>
      <c r="M1425" s="81" t="str">
        <f aca="false">IF(B1425="","",IF(OR(J1425&lt;&gt;"",K1425&lt;&gt;""),"POSÉ EN LIGNE",IF(H1425&lt;&gt;"","BARDÉ","EN STOCK")))</f>
        <v/>
      </c>
      <c r="N1425" s="79"/>
    </row>
    <row r="1426" customFormat="false" ht="15" hidden="false" customHeight="false" outlineLevel="0" collapsed="false">
      <c r="A1426" s="78" t="str">
        <f aca="false">IF(B1426="","",ROW()-6)</f>
        <v/>
      </c>
      <c r="B1426" s="90"/>
      <c r="C1426" s="91"/>
      <c r="D1426" s="91"/>
      <c r="E1426" s="80"/>
      <c r="F1426" s="92"/>
      <c r="G1426" s="79"/>
      <c r="H1426" s="82"/>
      <c r="I1426" s="93" t="str">
        <f aca="false">IF(B1426="","",IFERROR(INDEX('CARNET DE SOUDURE'!$B$7:$B$1506,MATCH(B1426,'CARNET DE SOUDURE'!$K$7:$K$1506,0)),IFERROR(INDEX('CARNET DE SOUDURE'!$B$7:$B$1506,MATCH(B1426,'CARNET DE SOUDURE'!$M$7:$M$1506,0)),"")))</f>
        <v/>
      </c>
      <c r="J1426" s="78" t="str">
        <f aca="false">IF(B1426="","",IFERROR(INDEX('CARNET DE SOUDURE'!$E$7:$E$1506,MATCH(B1426,'CARNET DE SOUDURE'!$M$7:$M$1506,0)),""))</f>
        <v/>
      </c>
      <c r="K1426" s="78" t="str">
        <f aca="false">IF(B1426="","",IFERROR(INDEX('CARNET DE SOUDURE'!$E$7:$E$1506,MATCH(B1426,'CARNET DE SOUDURE'!$K$7:$K$1506,0)),""))</f>
        <v/>
      </c>
      <c r="L1426" s="78" t="str">
        <f aca="false">IF(B1426="","",IFERROR(INDEX('CARNET DE SOUDURE'!$D$7:$D$1506,MATCH(B1426,'CARNET DE SOUDURE'!$K$7:$K$1506,0)),IFERROR(INDEX('CARNET DE SOUDURE'!$D$7:$D$1506,MATCH(B1426,'CARNET DE SOUDURE'!$M$7:$M$1506,0)),"")))</f>
        <v/>
      </c>
      <c r="M1426" s="81" t="str">
        <f aca="false">IF(B1426="","",IF(OR(J1426&lt;&gt;"",K1426&lt;&gt;""),"POSÉ EN LIGNE",IF(H1426&lt;&gt;"","BARDÉ","EN STOCK")))</f>
        <v/>
      </c>
      <c r="N1426" s="79"/>
    </row>
    <row r="1427" customFormat="false" ht="15" hidden="false" customHeight="false" outlineLevel="0" collapsed="false">
      <c r="A1427" s="78" t="str">
        <f aca="false">IF(B1427="","",ROW()-6)</f>
        <v/>
      </c>
      <c r="B1427" s="90"/>
      <c r="C1427" s="91"/>
      <c r="D1427" s="91"/>
      <c r="E1427" s="80"/>
      <c r="F1427" s="92"/>
      <c r="G1427" s="79"/>
      <c r="H1427" s="82"/>
      <c r="I1427" s="93" t="str">
        <f aca="false">IF(B1427="","",IFERROR(INDEX('CARNET DE SOUDURE'!$B$7:$B$1506,MATCH(B1427,'CARNET DE SOUDURE'!$K$7:$K$1506,0)),IFERROR(INDEX('CARNET DE SOUDURE'!$B$7:$B$1506,MATCH(B1427,'CARNET DE SOUDURE'!$M$7:$M$1506,0)),"")))</f>
        <v/>
      </c>
      <c r="J1427" s="78" t="str">
        <f aca="false">IF(B1427="","",IFERROR(INDEX('CARNET DE SOUDURE'!$E$7:$E$1506,MATCH(B1427,'CARNET DE SOUDURE'!$M$7:$M$1506,0)),""))</f>
        <v/>
      </c>
      <c r="K1427" s="78" t="str">
        <f aca="false">IF(B1427="","",IFERROR(INDEX('CARNET DE SOUDURE'!$E$7:$E$1506,MATCH(B1427,'CARNET DE SOUDURE'!$K$7:$K$1506,0)),""))</f>
        <v/>
      </c>
      <c r="L1427" s="78" t="str">
        <f aca="false">IF(B1427="","",IFERROR(INDEX('CARNET DE SOUDURE'!$D$7:$D$1506,MATCH(B1427,'CARNET DE SOUDURE'!$K$7:$K$1506,0)),IFERROR(INDEX('CARNET DE SOUDURE'!$D$7:$D$1506,MATCH(B1427,'CARNET DE SOUDURE'!$M$7:$M$1506,0)),"")))</f>
        <v/>
      </c>
      <c r="M1427" s="81" t="str">
        <f aca="false">IF(B1427="","",IF(OR(J1427&lt;&gt;"",K1427&lt;&gt;""),"POSÉ EN LIGNE",IF(H1427&lt;&gt;"","BARDÉ","EN STOCK")))</f>
        <v/>
      </c>
      <c r="N1427" s="79"/>
    </row>
    <row r="1428" customFormat="false" ht="15" hidden="false" customHeight="false" outlineLevel="0" collapsed="false">
      <c r="A1428" s="78" t="str">
        <f aca="false">IF(B1428="","",ROW()-6)</f>
        <v/>
      </c>
      <c r="B1428" s="90"/>
      <c r="C1428" s="91"/>
      <c r="D1428" s="91"/>
      <c r="E1428" s="80"/>
      <c r="F1428" s="92"/>
      <c r="G1428" s="79"/>
      <c r="H1428" s="82"/>
      <c r="I1428" s="93" t="str">
        <f aca="false">IF(B1428="","",IFERROR(INDEX('CARNET DE SOUDURE'!$B$7:$B$1506,MATCH(B1428,'CARNET DE SOUDURE'!$K$7:$K$1506,0)),IFERROR(INDEX('CARNET DE SOUDURE'!$B$7:$B$1506,MATCH(B1428,'CARNET DE SOUDURE'!$M$7:$M$1506,0)),"")))</f>
        <v/>
      </c>
      <c r="J1428" s="78" t="str">
        <f aca="false">IF(B1428="","",IFERROR(INDEX('CARNET DE SOUDURE'!$E$7:$E$1506,MATCH(B1428,'CARNET DE SOUDURE'!$M$7:$M$1506,0)),""))</f>
        <v/>
      </c>
      <c r="K1428" s="78" t="str">
        <f aca="false">IF(B1428="","",IFERROR(INDEX('CARNET DE SOUDURE'!$E$7:$E$1506,MATCH(B1428,'CARNET DE SOUDURE'!$K$7:$K$1506,0)),""))</f>
        <v/>
      </c>
      <c r="L1428" s="78" t="str">
        <f aca="false">IF(B1428="","",IFERROR(INDEX('CARNET DE SOUDURE'!$D$7:$D$1506,MATCH(B1428,'CARNET DE SOUDURE'!$K$7:$K$1506,0)),IFERROR(INDEX('CARNET DE SOUDURE'!$D$7:$D$1506,MATCH(B1428,'CARNET DE SOUDURE'!$M$7:$M$1506,0)),"")))</f>
        <v/>
      </c>
      <c r="M1428" s="81" t="str">
        <f aca="false">IF(B1428="","",IF(OR(J1428&lt;&gt;"",K1428&lt;&gt;""),"POSÉ EN LIGNE",IF(H1428&lt;&gt;"","BARDÉ","EN STOCK")))</f>
        <v/>
      </c>
      <c r="N1428" s="79"/>
    </row>
    <row r="1429" customFormat="false" ht="15" hidden="false" customHeight="false" outlineLevel="0" collapsed="false">
      <c r="A1429" s="78" t="str">
        <f aca="false">IF(B1429="","",ROW()-6)</f>
        <v/>
      </c>
      <c r="B1429" s="90"/>
      <c r="C1429" s="91"/>
      <c r="D1429" s="91"/>
      <c r="E1429" s="80"/>
      <c r="F1429" s="92"/>
      <c r="G1429" s="79"/>
      <c r="H1429" s="82"/>
      <c r="I1429" s="93" t="str">
        <f aca="false">IF(B1429="","",IFERROR(INDEX('CARNET DE SOUDURE'!$B$7:$B$1506,MATCH(B1429,'CARNET DE SOUDURE'!$K$7:$K$1506,0)),IFERROR(INDEX('CARNET DE SOUDURE'!$B$7:$B$1506,MATCH(B1429,'CARNET DE SOUDURE'!$M$7:$M$1506,0)),"")))</f>
        <v/>
      </c>
      <c r="J1429" s="78" t="str">
        <f aca="false">IF(B1429="","",IFERROR(INDEX('CARNET DE SOUDURE'!$E$7:$E$1506,MATCH(B1429,'CARNET DE SOUDURE'!$M$7:$M$1506,0)),""))</f>
        <v/>
      </c>
      <c r="K1429" s="78" t="str">
        <f aca="false">IF(B1429="","",IFERROR(INDEX('CARNET DE SOUDURE'!$E$7:$E$1506,MATCH(B1429,'CARNET DE SOUDURE'!$K$7:$K$1506,0)),""))</f>
        <v/>
      </c>
      <c r="L1429" s="78" t="str">
        <f aca="false">IF(B1429="","",IFERROR(INDEX('CARNET DE SOUDURE'!$D$7:$D$1506,MATCH(B1429,'CARNET DE SOUDURE'!$K$7:$K$1506,0)),IFERROR(INDEX('CARNET DE SOUDURE'!$D$7:$D$1506,MATCH(B1429,'CARNET DE SOUDURE'!$M$7:$M$1506,0)),"")))</f>
        <v/>
      </c>
      <c r="M1429" s="81" t="str">
        <f aca="false">IF(B1429="","",IF(OR(J1429&lt;&gt;"",K1429&lt;&gt;""),"POSÉ EN LIGNE",IF(H1429&lt;&gt;"","BARDÉ","EN STOCK")))</f>
        <v/>
      </c>
      <c r="N1429" s="79"/>
    </row>
    <row r="1430" customFormat="false" ht="15" hidden="false" customHeight="false" outlineLevel="0" collapsed="false">
      <c r="A1430" s="78" t="str">
        <f aca="false">IF(B1430="","",ROW()-6)</f>
        <v/>
      </c>
      <c r="B1430" s="90"/>
      <c r="C1430" s="91"/>
      <c r="D1430" s="91"/>
      <c r="E1430" s="80"/>
      <c r="F1430" s="92"/>
      <c r="G1430" s="79"/>
      <c r="H1430" s="82"/>
      <c r="I1430" s="93" t="str">
        <f aca="false">IF(B1430="","",IFERROR(INDEX('CARNET DE SOUDURE'!$B$7:$B$1506,MATCH(B1430,'CARNET DE SOUDURE'!$K$7:$K$1506,0)),IFERROR(INDEX('CARNET DE SOUDURE'!$B$7:$B$1506,MATCH(B1430,'CARNET DE SOUDURE'!$M$7:$M$1506,0)),"")))</f>
        <v/>
      </c>
      <c r="J1430" s="78" t="str">
        <f aca="false">IF(B1430="","",IFERROR(INDEX('CARNET DE SOUDURE'!$E$7:$E$1506,MATCH(B1430,'CARNET DE SOUDURE'!$M$7:$M$1506,0)),""))</f>
        <v/>
      </c>
      <c r="K1430" s="78" t="str">
        <f aca="false">IF(B1430="","",IFERROR(INDEX('CARNET DE SOUDURE'!$E$7:$E$1506,MATCH(B1430,'CARNET DE SOUDURE'!$K$7:$K$1506,0)),""))</f>
        <v/>
      </c>
      <c r="L1430" s="78" t="str">
        <f aca="false">IF(B1430="","",IFERROR(INDEX('CARNET DE SOUDURE'!$D$7:$D$1506,MATCH(B1430,'CARNET DE SOUDURE'!$K$7:$K$1506,0)),IFERROR(INDEX('CARNET DE SOUDURE'!$D$7:$D$1506,MATCH(B1430,'CARNET DE SOUDURE'!$M$7:$M$1506,0)),"")))</f>
        <v/>
      </c>
      <c r="M1430" s="81" t="str">
        <f aca="false">IF(B1430="","",IF(OR(J1430&lt;&gt;"",K1430&lt;&gt;""),"POSÉ EN LIGNE",IF(H1430&lt;&gt;"","BARDÉ","EN STOCK")))</f>
        <v/>
      </c>
      <c r="N1430" s="79"/>
    </row>
    <row r="1431" customFormat="false" ht="15" hidden="false" customHeight="false" outlineLevel="0" collapsed="false">
      <c r="A1431" s="78" t="str">
        <f aca="false">IF(B1431="","",ROW()-6)</f>
        <v/>
      </c>
      <c r="B1431" s="90"/>
      <c r="C1431" s="91"/>
      <c r="D1431" s="91"/>
      <c r="E1431" s="80"/>
      <c r="F1431" s="92"/>
      <c r="G1431" s="79"/>
      <c r="H1431" s="82"/>
      <c r="I1431" s="93" t="str">
        <f aca="false">IF(B1431="","",IFERROR(INDEX('CARNET DE SOUDURE'!$B$7:$B$1506,MATCH(B1431,'CARNET DE SOUDURE'!$K$7:$K$1506,0)),IFERROR(INDEX('CARNET DE SOUDURE'!$B$7:$B$1506,MATCH(B1431,'CARNET DE SOUDURE'!$M$7:$M$1506,0)),"")))</f>
        <v/>
      </c>
      <c r="J1431" s="78" t="str">
        <f aca="false">IF(B1431="","",IFERROR(INDEX('CARNET DE SOUDURE'!$E$7:$E$1506,MATCH(B1431,'CARNET DE SOUDURE'!$M$7:$M$1506,0)),""))</f>
        <v/>
      </c>
      <c r="K1431" s="78" t="str">
        <f aca="false">IF(B1431="","",IFERROR(INDEX('CARNET DE SOUDURE'!$E$7:$E$1506,MATCH(B1431,'CARNET DE SOUDURE'!$K$7:$K$1506,0)),""))</f>
        <v/>
      </c>
      <c r="L1431" s="78" t="str">
        <f aca="false">IF(B1431="","",IFERROR(INDEX('CARNET DE SOUDURE'!$D$7:$D$1506,MATCH(B1431,'CARNET DE SOUDURE'!$K$7:$K$1506,0)),IFERROR(INDEX('CARNET DE SOUDURE'!$D$7:$D$1506,MATCH(B1431,'CARNET DE SOUDURE'!$M$7:$M$1506,0)),"")))</f>
        <v/>
      </c>
      <c r="M1431" s="81" t="str">
        <f aca="false">IF(B1431="","",IF(OR(J1431&lt;&gt;"",K1431&lt;&gt;""),"POSÉ EN LIGNE",IF(H1431&lt;&gt;"","BARDÉ","EN STOCK")))</f>
        <v/>
      </c>
      <c r="N1431" s="79"/>
    </row>
    <row r="1432" customFormat="false" ht="15" hidden="false" customHeight="false" outlineLevel="0" collapsed="false">
      <c r="A1432" s="78" t="str">
        <f aca="false">IF(B1432="","",ROW()-6)</f>
        <v/>
      </c>
      <c r="B1432" s="90"/>
      <c r="C1432" s="91"/>
      <c r="D1432" s="91"/>
      <c r="E1432" s="80"/>
      <c r="F1432" s="92"/>
      <c r="G1432" s="79"/>
      <c r="H1432" s="82"/>
      <c r="I1432" s="93" t="str">
        <f aca="false">IF(B1432="","",IFERROR(INDEX('CARNET DE SOUDURE'!$B$7:$B$1506,MATCH(B1432,'CARNET DE SOUDURE'!$K$7:$K$1506,0)),IFERROR(INDEX('CARNET DE SOUDURE'!$B$7:$B$1506,MATCH(B1432,'CARNET DE SOUDURE'!$M$7:$M$1506,0)),"")))</f>
        <v/>
      </c>
      <c r="J1432" s="78" t="str">
        <f aca="false">IF(B1432="","",IFERROR(INDEX('CARNET DE SOUDURE'!$E$7:$E$1506,MATCH(B1432,'CARNET DE SOUDURE'!$M$7:$M$1506,0)),""))</f>
        <v/>
      </c>
      <c r="K1432" s="78" t="str">
        <f aca="false">IF(B1432="","",IFERROR(INDEX('CARNET DE SOUDURE'!$E$7:$E$1506,MATCH(B1432,'CARNET DE SOUDURE'!$K$7:$K$1506,0)),""))</f>
        <v/>
      </c>
      <c r="L1432" s="78" t="str">
        <f aca="false">IF(B1432="","",IFERROR(INDEX('CARNET DE SOUDURE'!$D$7:$D$1506,MATCH(B1432,'CARNET DE SOUDURE'!$K$7:$K$1506,0)),IFERROR(INDEX('CARNET DE SOUDURE'!$D$7:$D$1506,MATCH(B1432,'CARNET DE SOUDURE'!$M$7:$M$1506,0)),"")))</f>
        <v/>
      </c>
      <c r="M1432" s="81" t="str">
        <f aca="false">IF(B1432="","",IF(OR(J1432&lt;&gt;"",K1432&lt;&gt;""),"POSÉ EN LIGNE",IF(H1432&lt;&gt;"","BARDÉ","EN STOCK")))</f>
        <v/>
      </c>
      <c r="N1432" s="79"/>
    </row>
    <row r="1433" customFormat="false" ht="15" hidden="false" customHeight="false" outlineLevel="0" collapsed="false">
      <c r="A1433" s="78" t="str">
        <f aca="false">IF(B1433="","",ROW()-6)</f>
        <v/>
      </c>
      <c r="B1433" s="90"/>
      <c r="C1433" s="91"/>
      <c r="D1433" s="91"/>
      <c r="E1433" s="80"/>
      <c r="F1433" s="92"/>
      <c r="G1433" s="79"/>
      <c r="H1433" s="82"/>
      <c r="I1433" s="93" t="str">
        <f aca="false">IF(B1433="","",IFERROR(INDEX('CARNET DE SOUDURE'!$B$7:$B$1506,MATCH(B1433,'CARNET DE SOUDURE'!$K$7:$K$1506,0)),IFERROR(INDEX('CARNET DE SOUDURE'!$B$7:$B$1506,MATCH(B1433,'CARNET DE SOUDURE'!$M$7:$M$1506,0)),"")))</f>
        <v/>
      </c>
      <c r="J1433" s="78" t="str">
        <f aca="false">IF(B1433="","",IFERROR(INDEX('CARNET DE SOUDURE'!$E$7:$E$1506,MATCH(B1433,'CARNET DE SOUDURE'!$M$7:$M$1506,0)),""))</f>
        <v/>
      </c>
      <c r="K1433" s="78" t="str">
        <f aca="false">IF(B1433="","",IFERROR(INDEX('CARNET DE SOUDURE'!$E$7:$E$1506,MATCH(B1433,'CARNET DE SOUDURE'!$K$7:$K$1506,0)),""))</f>
        <v/>
      </c>
      <c r="L1433" s="78" t="str">
        <f aca="false">IF(B1433="","",IFERROR(INDEX('CARNET DE SOUDURE'!$D$7:$D$1506,MATCH(B1433,'CARNET DE SOUDURE'!$K$7:$K$1506,0)),IFERROR(INDEX('CARNET DE SOUDURE'!$D$7:$D$1506,MATCH(B1433,'CARNET DE SOUDURE'!$M$7:$M$1506,0)),"")))</f>
        <v/>
      </c>
      <c r="M1433" s="81" t="str">
        <f aca="false">IF(B1433="","",IF(OR(J1433&lt;&gt;"",K1433&lt;&gt;""),"POSÉ EN LIGNE",IF(H1433&lt;&gt;"","BARDÉ","EN STOCK")))</f>
        <v/>
      </c>
      <c r="N1433" s="79"/>
    </row>
    <row r="1434" customFormat="false" ht="15" hidden="false" customHeight="false" outlineLevel="0" collapsed="false">
      <c r="A1434" s="78" t="str">
        <f aca="false">IF(B1434="","",ROW()-6)</f>
        <v/>
      </c>
      <c r="B1434" s="90"/>
      <c r="C1434" s="91"/>
      <c r="D1434" s="91"/>
      <c r="E1434" s="80"/>
      <c r="F1434" s="92"/>
      <c r="G1434" s="79"/>
      <c r="H1434" s="82"/>
      <c r="I1434" s="93" t="str">
        <f aca="false">IF(B1434="","",IFERROR(INDEX('CARNET DE SOUDURE'!$B$7:$B$1506,MATCH(B1434,'CARNET DE SOUDURE'!$K$7:$K$1506,0)),IFERROR(INDEX('CARNET DE SOUDURE'!$B$7:$B$1506,MATCH(B1434,'CARNET DE SOUDURE'!$M$7:$M$1506,0)),"")))</f>
        <v/>
      </c>
      <c r="J1434" s="78" t="str">
        <f aca="false">IF(B1434="","",IFERROR(INDEX('CARNET DE SOUDURE'!$E$7:$E$1506,MATCH(B1434,'CARNET DE SOUDURE'!$M$7:$M$1506,0)),""))</f>
        <v/>
      </c>
      <c r="K1434" s="78" t="str">
        <f aca="false">IF(B1434="","",IFERROR(INDEX('CARNET DE SOUDURE'!$E$7:$E$1506,MATCH(B1434,'CARNET DE SOUDURE'!$K$7:$K$1506,0)),""))</f>
        <v/>
      </c>
      <c r="L1434" s="78" t="str">
        <f aca="false">IF(B1434="","",IFERROR(INDEX('CARNET DE SOUDURE'!$D$7:$D$1506,MATCH(B1434,'CARNET DE SOUDURE'!$K$7:$K$1506,0)),IFERROR(INDEX('CARNET DE SOUDURE'!$D$7:$D$1506,MATCH(B1434,'CARNET DE SOUDURE'!$M$7:$M$1506,0)),"")))</f>
        <v/>
      </c>
      <c r="M1434" s="81" t="str">
        <f aca="false">IF(B1434="","",IF(OR(J1434&lt;&gt;"",K1434&lt;&gt;""),"POSÉ EN LIGNE",IF(H1434&lt;&gt;"","BARDÉ","EN STOCK")))</f>
        <v/>
      </c>
      <c r="N1434" s="79"/>
    </row>
    <row r="1435" customFormat="false" ht="15" hidden="false" customHeight="false" outlineLevel="0" collapsed="false">
      <c r="A1435" s="78" t="str">
        <f aca="false">IF(B1435="","",ROW()-6)</f>
        <v/>
      </c>
      <c r="B1435" s="90"/>
      <c r="C1435" s="91"/>
      <c r="D1435" s="91"/>
      <c r="E1435" s="80"/>
      <c r="F1435" s="92"/>
      <c r="G1435" s="79"/>
      <c r="H1435" s="82"/>
      <c r="I1435" s="93" t="str">
        <f aca="false">IF(B1435="","",IFERROR(INDEX('CARNET DE SOUDURE'!$B$7:$B$1506,MATCH(B1435,'CARNET DE SOUDURE'!$K$7:$K$1506,0)),IFERROR(INDEX('CARNET DE SOUDURE'!$B$7:$B$1506,MATCH(B1435,'CARNET DE SOUDURE'!$M$7:$M$1506,0)),"")))</f>
        <v/>
      </c>
      <c r="J1435" s="78" t="str">
        <f aca="false">IF(B1435="","",IFERROR(INDEX('CARNET DE SOUDURE'!$E$7:$E$1506,MATCH(B1435,'CARNET DE SOUDURE'!$M$7:$M$1506,0)),""))</f>
        <v/>
      </c>
      <c r="K1435" s="78" t="str">
        <f aca="false">IF(B1435="","",IFERROR(INDEX('CARNET DE SOUDURE'!$E$7:$E$1506,MATCH(B1435,'CARNET DE SOUDURE'!$K$7:$K$1506,0)),""))</f>
        <v/>
      </c>
      <c r="L1435" s="78" t="str">
        <f aca="false">IF(B1435="","",IFERROR(INDEX('CARNET DE SOUDURE'!$D$7:$D$1506,MATCH(B1435,'CARNET DE SOUDURE'!$K$7:$K$1506,0)),IFERROR(INDEX('CARNET DE SOUDURE'!$D$7:$D$1506,MATCH(B1435,'CARNET DE SOUDURE'!$M$7:$M$1506,0)),"")))</f>
        <v/>
      </c>
      <c r="M1435" s="81" t="str">
        <f aca="false">IF(B1435="","",IF(OR(J1435&lt;&gt;"",K1435&lt;&gt;""),"POSÉ EN LIGNE",IF(H1435&lt;&gt;"","BARDÉ","EN STOCK")))</f>
        <v/>
      </c>
      <c r="N1435" s="79"/>
    </row>
    <row r="1436" customFormat="false" ht="15" hidden="false" customHeight="false" outlineLevel="0" collapsed="false">
      <c r="A1436" s="78" t="str">
        <f aca="false">IF(B1436="","",ROW()-6)</f>
        <v/>
      </c>
      <c r="B1436" s="90"/>
      <c r="C1436" s="91"/>
      <c r="D1436" s="91"/>
      <c r="E1436" s="80"/>
      <c r="F1436" s="92"/>
      <c r="G1436" s="79"/>
      <c r="H1436" s="82"/>
      <c r="I1436" s="93" t="str">
        <f aca="false">IF(B1436="","",IFERROR(INDEX('CARNET DE SOUDURE'!$B$7:$B$1506,MATCH(B1436,'CARNET DE SOUDURE'!$K$7:$K$1506,0)),IFERROR(INDEX('CARNET DE SOUDURE'!$B$7:$B$1506,MATCH(B1436,'CARNET DE SOUDURE'!$M$7:$M$1506,0)),"")))</f>
        <v/>
      </c>
      <c r="J1436" s="78" t="str">
        <f aca="false">IF(B1436="","",IFERROR(INDEX('CARNET DE SOUDURE'!$E$7:$E$1506,MATCH(B1436,'CARNET DE SOUDURE'!$M$7:$M$1506,0)),""))</f>
        <v/>
      </c>
      <c r="K1436" s="78" t="str">
        <f aca="false">IF(B1436="","",IFERROR(INDEX('CARNET DE SOUDURE'!$E$7:$E$1506,MATCH(B1436,'CARNET DE SOUDURE'!$K$7:$K$1506,0)),""))</f>
        <v/>
      </c>
      <c r="L1436" s="78" t="str">
        <f aca="false">IF(B1436="","",IFERROR(INDEX('CARNET DE SOUDURE'!$D$7:$D$1506,MATCH(B1436,'CARNET DE SOUDURE'!$K$7:$K$1506,0)),IFERROR(INDEX('CARNET DE SOUDURE'!$D$7:$D$1506,MATCH(B1436,'CARNET DE SOUDURE'!$M$7:$M$1506,0)),"")))</f>
        <v/>
      </c>
      <c r="M1436" s="81" t="str">
        <f aca="false">IF(B1436="","",IF(OR(J1436&lt;&gt;"",K1436&lt;&gt;""),"POSÉ EN LIGNE",IF(H1436&lt;&gt;"","BARDÉ","EN STOCK")))</f>
        <v/>
      </c>
      <c r="N1436" s="79"/>
    </row>
    <row r="1437" customFormat="false" ht="15" hidden="false" customHeight="false" outlineLevel="0" collapsed="false">
      <c r="A1437" s="78" t="str">
        <f aca="false">IF(B1437="","",ROW()-6)</f>
        <v/>
      </c>
      <c r="B1437" s="90"/>
      <c r="C1437" s="91"/>
      <c r="D1437" s="91"/>
      <c r="E1437" s="80"/>
      <c r="F1437" s="92"/>
      <c r="G1437" s="79"/>
      <c r="H1437" s="82"/>
      <c r="I1437" s="93" t="str">
        <f aca="false">IF(B1437="","",IFERROR(INDEX('CARNET DE SOUDURE'!$B$7:$B$1506,MATCH(B1437,'CARNET DE SOUDURE'!$K$7:$K$1506,0)),IFERROR(INDEX('CARNET DE SOUDURE'!$B$7:$B$1506,MATCH(B1437,'CARNET DE SOUDURE'!$M$7:$M$1506,0)),"")))</f>
        <v/>
      </c>
      <c r="J1437" s="78" t="str">
        <f aca="false">IF(B1437="","",IFERROR(INDEX('CARNET DE SOUDURE'!$E$7:$E$1506,MATCH(B1437,'CARNET DE SOUDURE'!$M$7:$M$1506,0)),""))</f>
        <v/>
      </c>
      <c r="K1437" s="78" t="str">
        <f aca="false">IF(B1437="","",IFERROR(INDEX('CARNET DE SOUDURE'!$E$7:$E$1506,MATCH(B1437,'CARNET DE SOUDURE'!$K$7:$K$1506,0)),""))</f>
        <v/>
      </c>
      <c r="L1437" s="78" t="str">
        <f aca="false">IF(B1437="","",IFERROR(INDEX('CARNET DE SOUDURE'!$D$7:$D$1506,MATCH(B1437,'CARNET DE SOUDURE'!$K$7:$K$1506,0)),IFERROR(INDEX('CARNET DE SOUDURE'!$D$7:$D$1506,MATCH(B1437,'CARNET DE SOUDURE'!$M$7:$M$1506,0)),"")))</f>
        <v/>
      </c>
      <c r="M1437" s="81" t="str">
        <f aca="false">IF(B1437="","",IF(OR(J1437&lt;&gt;"",K1437&lt;&gt;""),"POSÉ EN LIGNE",IF(H1437&lt;&gt;"","BARDÉ","EN STOCK")))</f>
        <v/>
      </c>
      <c r="N1437" s="79"/>
    </row>
    <row r="1438" customFormat="false" ht="15" hidden="false" customHeight="false" outlineLevel="0" collapsed="false">
      <c r="A1438" s="78" t="str">
        <f aca="false">IF(B1438="","",ROW()-6)</f>
        <v/>
      </c>
      <c r="B1438" s="90"/>
      <c r="C1438" s="91"/>
      <c r="D1438" s="91"/>
      <c r="E1438" s="80"/>
      <c r="F1438" s="92"/>
      <c r="G1438" s="79"/>
      <c r="H1438" s="82"/>
      <c r="I1438" s="93" t="str">
        <f aca="false">IF(B1438="","",IFERROR(INDEX('CARNET DE SOUDURE'!$B$7:$B$1506,MATCH(B1438,'CARNET DE SOUDURE'!$K$7:$K$1506,0)),IFERROR(INDEX('CARNET DE SOUDURE'!$B$7:$B$1506,MATCH(B1438,'CARNET DE SOUDURE'!$M$7:$M$1506,0)),"")))</f>
        <v/>
      </c>
      <c r="J1438" s="78" t="str">
        <f aca="false">IF(B1438="","",IFERROR(INDEX('CARNET DE SOUDURE'!$E$7:$E$1506,MATCH(B1438,'CARNET DE SOUDURE'!$M$7:$M$1506,0)),""))</f>
        <v/>
      </c>
      <c r="K1438" s="78" t="str">
        <f aca="false">IF(B1438="","",IFERROR(INDEX('CARNET DE SOUDURE'!$E$7:$E$1506,MATCH(B1438,'CARNET DE SOUDURE'!$K$7:$K$1506,0)),""))</f>
        <v/>
      </c>
      <c r="L1438" s="78" t="str">
        <f aca="false">IF(B1438="","",IFERROR(INDEX('CARNET DE SOUDURE'!$D$7:$D$1506,MATCH(B1438,'CARNET DE SOUDURE'!$K$7:$K$1506,0)),IFERROR(INDEX('CARNET DE SOUDURE'!$D$7:$D$1506,MATCH(B1438,'CARNET DE SOUDURE'!$M$7:$M$1506,0)),"")))</f>
        <v/>
      </c>
      <c r="M1438" s="81" t="str">
        <f aca="false">IF(B1438="","",IF(OR(J1438&lt;&gt;"",K1438&lt;&gt;""),"POSÉ EN LIGNE",IF(H1438&lt;&gt;"","BARDÉ","EN STOCK")))</f>
        <v/>
      </c>
      <c r="N1438" s="79"/>
    </row>
    <row r="1439" customFormat="false" ht="15" hidden="false" customHeight="false" outlineLevel="0" collapsed="false">
      <c r="A1439" s="78" t="str">
        <f aca="false">IF(B1439="","",ROW()-6)</f>
        <v/>
      </c>
      <c r="B1439" s="90"/>
      <c r="C1439" s="91"/>
      <c r="D1439" s="91"/>
      <c r="E1439" s="80"/>
      <c r="F1439" s="92"/>
      <c r="G1439" s="79"/>
      <c r="H1439" s="82"/>
      <c r="I1439" s="93" t="str">
        <f aca="false">IF(B1439="","",IFERROR(INDEX('CARNET DE SOUDURE'!$B$7:$B$1506,MATCH(B1439,'CARNET DE SOUDURE'!$K$7:$K$1506,0)),IFERROR(INDEX('CARNET DE SOUDURE'!$B$7:$B$1506,MATCH(B1439,'CARNET DE SOUDURE'!$M$7:$M$1506,0)),"")))</f>
        <v/>
      </c>
      <c r="J1439" s="78" t="str">
        <f aca="false">IF(B1439="","",IFERROR(INDEX('CARNET DE SOUDURE'!$E$7:$E$1506,MATCH(B1439,'CARNET DE SOUDURE'!$M$7:$M$1506,0)),""))</f>
        <v/>
      </c>
      <c r="K1439" s="78" t="str">
        <f aca="false">IF(B1439="","",IFERROR(INDEX('CARNET DE SOUDURE'!$E$7:$E$1506,MATCH(B1439,'CARNET DE SOUDURE'!$K$7:$K$1506,0)),""))</f>
        <v/>
      </c>
      <c r="L1439" s="78" t="str">
        <f aca="false">IF(B1439="","",IFERROR(INDEX('CARNET DE SOUDURE'!$D$7:$D$1506,MATCH(B1439,'CARNET DE SOUDURE'!$K$7:$K$1506,0)),IFERROR(INDEX('CARNET DE SOUDURE'!$D$7:$D$1506,MATCH(B1439,'CARNET DE SOUDURE'!$M$7:$M$1506,0)),"")))</f>
        <v/>
      </c>
      <c r="M1439" s="81" t="str">
        <f aca="false">IF(B1439="","",IF(OR(J1439&lt;&gt;"",K1439&lt;&gt;""),"POSÉ EN LIGNE",IF(H1439&lt;&gt;"","BARDÉ","EN STOCK")))</f>
        <v/>
      </c>
      <c r="N1439" s="79"/>
    </row>
    <row r="1440" customFormat="false" ht="15" hidden="false" customHeight="false" outlineLevel="0" collapsed="false">
      <c r="A1440" s="78" t="str">
        <f aca="false">IF(B1440="","",ROW()-6)</f>
        <v/>
      </c>
      <c r="B1440" s="90"/>
      <c r="C1440" s="91"/>
      <c r="D1440" s="91"/>
      <c r="E1440" s="80"/>
      <c r="F1440" s="92"/>
      <c r="G1440" s="79"/>
      <c r="H1440" s="82"/>
      <c r="I1440" s="93" t="str">
        <f aca="false">IF(B1440="","",IFERROR(INDEX('CARNET DE SOUDURE'!$B$7:$B$1506,MATCH(B1440,'CARNET DE SOUDURE'!$K$7:$K$1506,0)),IFERROR(INDEX('CARNET DE SOUDURE'!$B$7:$B$1506,MATCH(B1440,'CARNET DE SOUDURE'!$M$7:$M$1506,0)),"")))</f>
        <v/>
      </c>
      <c r="J1440" s="78" t="str">
        <f aca="false">IF(B1440="","",IFERROR(INDEX('CARNET DE SOUDURE'!$E$7:$E$1506,MATCH(B1440,'CARNET DE SOUDURE'!$M$7:$M$1506,0)),""))</f>
        <v/>
      </c>
      <c r="K1440" s="78" t="str">
        <f aca="false">IF(B1440="","",IFERROR(INDEX('CARNET DE SOUDURE'!$E$7:$E$1506,MATCH(B1440,'CARNET DE SOUDURE'!$K$7:$K$1506,0)),""))</f>
        <v/>
      </c>
      <c r="L1440" s="78" t="str">
        <f aca="false">IF(B1440="","",IFERROR(INDEX('CARNET DE SOUDURE'!$D$7:$D$1506,MATCH(B1440,'CARNET DE SOUDURE'!$K$7:$K$1506,0)),IFERROR(INDEX('CARNET DE SOUDURE'!$D$7:$D$1506,MATCH(B1440,'CARNET DE SOUDURE'!$M$7:$M$1506,0)),"")))</f>
        <v/>
      </c>
      <c r="M1440" s="81" t="str">
        <f aca="false">IF(B1440="","",IF(OR(J1440&lt;&gt;"",K1440&lt;&gt;""),"POSÉ EN LIGNE",IF(H1440&lt;&gt;"","BARDÉ","EN STOCK")))</f>
        <v/>
      </c>
      <c r="N1440" s="79"/>
    </row>
    <row r="1441" customFormat="false" ht="15" hidden="false" customHeight="false" outlineLevel="0" collapsed="false">
      <c r="A1441" s="78" t="str">
        <f aca="false">IF(B1441="","",ROW()-6)</f>
        <v/>
      </c>
      <c r="B1441" s="90"/>
      <c r="C1441" s="91"/>
      <c r="D1441" s="91"/>
      <c r="E1441" s="80"/>
      <c r="F1441" s="92"/>
      <c r="G1441" s="79"/>
      <c r="H1441" s="82"/>
      <c r="I1441" s="93" t="str">
        <f aca="false">IF(B1441="","",IFERROR(INDEX('CARNET DE SOUDURE'!$B$7:$B$1506,MATCH(B1441,'CARNET DE SOUDURE'!$K$7:$K$1506,0)),IFERROR(INDEX('CARNET DE SOUDURE'!$B$7:$B$1506,MATCH(B1441,'CARNET DE SOUDURE'!$M$7:$M$1506,0)),"")))</f>
        <v/>
      </c>
      <c r="J1441" s="78" t="str">
        <f aca="false">IF(B1441="","",IFERROR(INDEX('CARNET DE SOUDURE'!$E$7:$E$1506,MATCH(B1441,'CARNET DE SOUDURE'!$M$7:$M$1506,0)),""))</f>
        <v/>
      </c>
      <c r="K1441" s="78" t="str">
        <f aca="false">IF(B1441="","",IFERROR(INDEX('CARNET DE SOUDURE'!$E$7:$E$1506,MATCH(B1441,'CARNET DE SOUDURE'!$K$7:$K$1506,0)),""))</f>
        <v/>
      </c>
      <c r="L1441" s="78" t="str">
        <f aca="false">IF(B1441="","",IFERROR(INDEX('CARNET DE SOUDURE'!$D$7:$D$1506,MATCH(B1441,'CARNET DE SOUDURE'!$K$7:$K$1506,0)),IFERROR(INDEX('CARNET DE SOUDURE'!$D$7:$D$1506,MATCH(B1441,'CARNET DE SOUDURE'!$M$7:$M$1506,0)),"")))</f>
        <v/>
      </c>
      <c r="M1441" s="81" t="str">
        <f aca="false">IF(B1441="","",IF(OR(J1441&lt;&gt;"",K1441&lt;&gt;""),"POSÉ EN LIGNE",IF(H1441&lt;&gt;"","BARDÉ","EN STOCK")))</f>
        <v/>
      </c>
      <c r="N1441" s="79"/>
    </row>
    <row r="1442" customFormat="false" ht="15" hidden="false" customHeight="false" outlineLevel="0" collapsed="false">
      <c r="A1442" s="78" t="str">
        <f aca="false">IF(B1442="","",ROW()-6)</f>
        <v/>
      </c>
      <c r="B1442" s="90"/>
      <c r="C1442" s="91"/>
      <c r="D1442" s="91"/>
      <c r="E1442" s="80"/>
      <c r="F1442" s="92"/>
      <c r="G1442" s="79"/>
      <c r="H1442" s="82"/>
      <c r="I1442" s="93" t="str">
        <f aca="false">IF(B1442="","",IFERROR(INDEX('CARNET DE SOUDURE'!$B$7:$B$1506,MATCH(B1442,'CARNET DE SOUDURE'!$K$7:$K$1506,0)),IFERROR(INDEX('CARNET DE SOUDURE'!$B$7:$B$1506,MATCH(B1442,'CARNET DE SOUDURE'!$M$7:$M$1506,0)),"")))</f>
        <v/>
      </c>
      <c r="J1442" s="78" t="str">
        <f aca="false">IF(B1442="","",IFERROR(INDEX('CARNET DE SOUDURE'!$E$7:$E$1506,MATCH(B1442,'CARNET DE SOUDURE'!$M$7:$M$1506,0)),""))</f>
        <v/>
      </c>
      <c r="K1442" s="78" t="str">
        <f aca="false">IF(B1442="","",IFERROR(INDEX('CARNET DE SOUDURE'!$E$7:$E$1506,MATCH(B1442,'CARNET DE SOUDURE'!$K$7:$K$1506,0)),""))</f>
        <v/>
      </c>
      <c r="L1442" s="78" t="str">
        <f aca="false">IF(B1442="","",IFERROR(INDEX('CARNET DE SOUDURE'!$D$7:$D$1506,MATCH(B1442,'CARNET DE SOUDURE'!$K$7:$K$1506,0)),IFERROR(INDEX('CARNET DE SOUDURE'!$D$7:$D$1506,MATCH(B1442,'CARNET DE SOUDURE'!$M$7:$M$1506,0)),"")))</f>
        <v/>
      </c>
      <c r="M1442" s="81" t="str">
        <f aca="false">IF(B1442="","",IF(OR(J1442&lt;&gt;"",K1442&lt;&gt;""),"POSÉ EN LIGNE",IF(H1442&lt;&gt;"","BARDÉ","EN STOCK")))</f>
        <v/>
      </c>
      <c r="N1442" s="79"/>
    </row>
    <row r="1443" customFormat="false" ht="15" hidden="false" customHeight="false" outlineLevel="0" collapsed="false">
      <c r="A1443" s="78" t="str">
        <f aca="false">IF(B1443="","",ROW()-6)</f>
        <v/>
      </c>
      <c r="B1443" s="90"/>
      <c r="C1443" s="91"/>
      <c r="D1443" s="91"/>
      <c r="E1443" s="80"/>
      <c r="F1443" s="92"/>
      <c r="G1443" s="79"/>
      <c r="H1443" s="82"/>
      <c r="I1443" s="93" t="str">
        <f aca="false">IF(B1443="","",IFERROR(INDEX('CARNET DE SOUDURE'!$B$7:$B$1506,MATCH(B1443,'CARNET DE SOUDURE'!$K$7:$K$1506,0)),IFERROR(INDEX('CARNET DE SOUDURE'!$B$7:$B$1506,MATCH(B1443,'CARNET DE SOUDURE'!$M$7:$M$1506,0)),"")))</f>
        <v/>
      </c>
      <c r="J1443" s="78" t="str">
        <f aca="false">IF(B1443="","",IFERROR(INDEX('CARNET DE SOUDURE'!$E$7:$E$1506,MATCH(B1443,'CARNET DE SOUDURE'!$M$7:$M$1506,0)),""))</f>
        <v/>
      </c>
      <c r="K1443" s="78" t="str">
        <f aca="false">IF(B1443="","",IFERROR(INDEX('CARNET DE SOUDURE'!$E$7:$E$1506,MATCH(B1443,'CARNET DE SOUDURE'!$K$7:$K$1506,0)),""))</f>
        <v/>
      </c>
      <c r="L1443" s="78" t="str">
        <f aca="false">IF(B1443="","",IFERROR(INDEX('CARNET DE SOUDURE'!$D$7:$D$1506,MATCH(B1443,'CARNET DE SOUDURE'!$K$7:$K$1506,0)),IFERROR(INDEX('CARNET DE SOUDURE'!$D$7:$D$1506,MATCH(B1443,'CARNET DE SOUDURE'!$M$7:$M$1506,0)),"")))</f>
        <v/>
      </c>
      <c r="M1443" s="81" t="str">
        <f aca="false">IF(B1443="","",IF(OR(J1443&lt;&gt;"",K1443&lt;&gt;""),"POSÉ EN LIGNE",IF(H1443&lt;&gt;"","BARDÉ","EN STOCK")))</f>
        <v/>
      </c>
      <c r="N1443" s="79"/>
    </row>
    <row r="1444" customFormat="false" ht="15" hidden="false" customHeight="false" outlineLevel="0" collapsed="false">
      <c r="A1444" s="78" t="str">
        <f aca="false">IF(B1444="","",ROW()-6)</f>
        <v/>
      </c>
      <c r="B1444" s="90"/>
      <c r="C1444" s="91"/>
      <c r="D1444" s="91"/>
      <c r="E1444" s="80"/>
      <c r="F1444" s="92"/>
      <c r="G1444" s="79"/>
      <c r="H1444" s="82"/>
      <c r="I1444" s="93" t="str">
        <f aca="false">IF(B1444="","",IFERROR(INDEX('CARNET DE SOUDURE'!$B$7:$B$1506,MATCH(B1444,'CARNET DE SOUDURE'!$K$7:$K$1506,0)),IFERROR(INDEX('CARNET DE SOUDURE'!$B$7:$B$1506,MATCH(B1444,'CARNET DE SOUDURE'!$M$7:$M$1506,0)),"")))</f>
        <v/>
      </c>
      <c r="J1444" s="78" t="str">
        <f aca="false">IF(B1444="","",IFERROR(INDEX('CARNET DE SOUDURE'!$E$7:$E$1506,MATCH(B1444,'CARNET DE SOUDURE'!$M$7:$M$1506,0)),""))</f>
        <v/>
      </c>
      <c r="K1444" s="78" t="str">
        <f aca="false">IF(B1444="","",IFERROR(INDEX('CARNET DE SOUDURE'!$E$7:$E$1506,MATCH(B1444,'CARNET DE SOUDURE'!$K$7:$K$1506,0)),""))</f>
        <v/>
      </c>
      <c r="L1444" s="78" t="str">
        <f aca="false">IF(B1444="","",IFERROR(INDEX('CARNET DE SOUDURE'!$D$7:$D$1506,MATCH(B1444,'CARNET DE SOUDURE'!$K$7:$K$1506,0)),IFERROR(INDEX('CARNET DE SOUDURE'!$D$7:$D$1506,MATCH(B1444,'CARNET DE SOUDURE'!$M$7:$M$1506,0)),"")))</f>
        <v/>
      </c>
      <c r="M1444" s="81" t="str">
        <f aca="false">IF(B1444="","",IF(OR(J1444&lt;&gt;"",K1444&lt;&gt;""),"POSÉ EN LIGNE",IF(H1444&lt;&gt;"","BARDÉ","EN STOCK")))</f>
        <v/>
      </c>
      <c r="N1444" s="79"/>
    </row>
    <row r="1445" customFormat="false" ht="15" hidden="false" customHeight="false" outlineLevel="0" collapsed="false">
      <c r="A1445" s="78" t="str">
        <f aca="false">IF(B1445="","",ROW()-6)</f>
        <v/>
      </c>
      <c r="B1445" s="90"/>
      <c r="C1445" s="91"/>
      <c r="D1445" s="91"/>
      <c r="E1445" s="80"/>
      <c r="F1445" s="92"/>
      <c r="G1445" s="79"/>
      <c r="H1445" s="82"/>
      <c r="I1445" s="93" t="str">
        <f aca="false">IF(B1445="","",IFERROR(INDEX('CARNET DE SOUDURE'!$B$7:$B$1506,MATCH(B1445,'CARNET DE SOUDURE'!$K$7:$K$1506,0)),IFERROR(INDEX('CARNET DE SOUDURE'!$B$7:$B$1506,MATCH(B1445,'CARNET DE SOUDURE'!$M$7:$M$1506,0)),"")))</f>
        <v/>
      </c>
      <c r="J1445" s="78" t="str">
        <f aca="false">IF(B1445="","",IFERROR(INDEX('CARNET DE SOUDURE'!$E$7:$E$1506,MATCH(B1445,'CARNET DE SOUDURE'!$M$7:$M$1506,0)),""))</f>
        <v/>
      </c>
      <c r="K1445" s="78" t="str">
        <f aca="false">IF(B1445="","",IFERROR(INDEX('CARNET DE SOUDURE'!$E$7:$E$1506,MATCH(B1445,'CARNET DE SOUDURE'!$K$7:$K$1506,0)),""))</f>
        <v/>
      </c>
      <c r="L1445" s="78" t="str">
        <f aca="false">IF(B1445="","",IFERROR(INDEX('CARNET DE SOUDURE'!$D$7:$D$1506,MATCH(B1445,'CARNET DE SOUDURE'!$K$7:$K$1506,0)),IFERROR(INDEX('CARNET DE SOUDURE'!$D$7:$D$1506,MATCH(B1445,'CARNET DE SOUDURE'!$M$7:$M$1506,0)),"")))</f>
        <v/>
      </c>
      <c r="M1445" s="81" t="str">
        <f aca="false">IF(B1445="","",IF(OR(J1445&lt;&gt;"",K1445&lt;&gt;""),"POSÉ EN LIGNE",IF(H1445&lt;&gt;"","BARDÉ","EN STOCK")))</f>
        <v/>
      </c>
      <c r="N1445" s="79"/>
    </row>
    <row r="1446" customFormat="false" ht="15" hidden="false" customHeight="false" outlineLevel="0" collapsed="false">
      <c r="A1446" s="78" t="str">
        <f aca="false">IF(B1446="","",ROW()-6)</f>
        <v/>
      </c>
      <c r="B1446" s="90"/>
      <c r="C1446" s="91"/>
      <c r="D1446" s="91"/>
      <c r="E1446" s="80"/>
      <c r="F1446" s="92"/>
      <c r="G1446" s="79"/>
      <c r="H1446" s="82"/>
      <c r="I1446" s="93" t="str">
        <f aca="false">IF(B1446="","",IFERROR(INDEX('CARNET DE SOUDURE'!$B$7:$B$1506,MATCH(B1446,'CARNET DE SOUDURE'!$K$7:$K$1506,0)),IFERROR(INDEX('CARNET DE SOUDURE'!$B$7:$B$1506,MATCH(B1446,'CARNET DE SOUDURE'!$M$7:$M$1506,0)),"")))</f>
        <v/>
      </c>
      <c r="J1446" s="78" t="str">
        <f aca="false">IF(B1446="","",IFERROR(INDEX('CARNET DE SOUDURE'!$E$7:$E$1506,MATCH(B1446,'CARNET DE SOUDURE'!$M$7:$M$1506,0)),""))</f>
        <v/>
      </c>
      <c r="K1446" s="78" t="str">
        <f aca="false">IF(B1446="","",IFERROR(INDEX('CARNET DE SOUDURE'!$E$7:$E$1506,MATCH(B1446,'CARNET DE SOUDURE'!$K$7:$K$1506,0)),""))</f>
        <v/>
      </c>
      <c r="L1446" s="78" t="str">
        <f aca="false">IF(B1446="","",IFERROR(INDEX('CARNET DE SOUDURE'!$D$7:$D$1506,MATCH(B1446,'CARNET DE SOUDURE'!$K$7:$K$1506,0)),IFERROR(INDEX('CARNET DE SOUDURE'!$D$7:$D$1506,MATCH(B1446,'CARNET DE SOUDURE'!$M$7:$M$1506,0)),"")))</f>
        <v/>
      </c>
      <c r="M1446" s="81" t="str">
        <f aca="false">IF(B1446="","",IF(OR(J1446&lt;&gt;"",K1446&lt;&gt;""),"POSÉ EN LIGNE",IF(H1446&lt;&gt;"","BARDÉ","EN STOCK")))</f>
        <v/>
      </c>
      <c r="N1446" s="79"/>
    </row>
    <row r="1447" customFormat="false" ht="15" hidden="false" customHeight="false" outlineLevel="0" collapsed="false">
      <c r="A1447" s="78" t="str">
        <f aca="false">IF(B1447="","",ROW()-6)</f>
        <v/>
      </c>
      <c r="B1447" s="90"/>
      <c r="C1447" s="91"/>
      <c r="D1447" s="91"/>
      <c r="E1447" s="80"/>
      <c r="F1447" s="92"/>
      <c r="G1447" s="79"/>
      <c r="H1447" s="82"/>
      <c r="I1447" s="93" t="str">
        <f aca="false">IF(B1447="","",IFERROR(INDEX('CARNET DE SOUDURE'!$B$7:$B$1506,MATCH(B1447,'CARNET DE SOUDURE'!$K$7:$K$1506,0)),IFERROR(INDEX('CARNET DE SOUDURE'!$B$7:$B$1506,MATCH(B1447,'CARNET DE SOUDURE'!$M$7:$M$1506,0)),"")))</f>
        <v/>
      </c>
      <c r="J1447" s="78" t="str">
        <f aca="false">IF(B1447="","",IFERROR(INDEX('CARNET DE SOUDURE'!$E$7:$E$1506,MATCH(B1447,'CARNET DE SOUDURE'!$M$7:$M$1506,0)),""))</f>
        <v/>
      </c>
      <c r="K1447" s="78" t="str">
        <f aca="false">IF(B1447="","",IFERROR(INDEX('CARNET DE SOUDURE'!$E$7:$E$1506,MATCH(B1447,'CARNET DE SOUDURE'!$K$7:$K$1506,0)),""))</f>
        <v/>
      </c>
      <c r="L1447" s="78" t="str">
        <f aca="false">IF(B1447="","",IFERROR(INDEX('CARNET DE SOUDURE'!$D$7:$D$1506,MATCH(B1447,'CARNET DE SOUDURE'!$K$7:$K$1506,0)),IFERROR(INDEX('CARNET DE SOUDURE'!$D$7:$D$1506,MATCH(B1447,'CARNET DE SOUDURE'!$M$7:$M$1506,0)),"")))</f>
        <v/>
      </c>
      <c r="M1447" s="81" t="str">
        <f aca="false">IF(B1447="","",IF(OR(J1447&lt;&gt;"",K1447&lt;&gt;""),"POSÉ EN LIGNE",IF(H1447&lt;&gt;"","BARDÉ","EN STOCK")))</f>
        <v/>
      </c>
      <c r="N1447" s="79"/>
    </row>
    <row r="1448" customFormat="false" ht="15" hidden="false" customHeight="false" outlineLevel="0" collapsed="false">
      <c r="A1448" s="78" t="str">
        <f aca="false">IF(B1448="","",ROW()-6)</f>
        <v/>
      </c>
      <c r="B1448" s="90"/>
      <c r="C1448" s="91"/>
      <c r="D1448" s="91"/>
      <c r="E1448" s="80"/>
      <c r="F1448" s="92"/>
      <c r="G1448" s="79"/>
      <c r="H1448" s="82"/>
      <c r="I1448" s="93" t="str">
        <f aca="false">IF(B1448="","",IFERROR(INDEX('CARNET DE SOUDURE'!$B$7:$B$1506,MATCH(B1448,'CARNET DE SOUDURE'!$K$7:$K$1506,0)),IFERROR(INDEX('CARNET DE SOUDURE'!$B$7:$B$1506,MATCH(B1448,'CARNET DE SOUDURE'!$M$7:$M$1506,0)),"")))</f>
        <v/>
      </c>
      <c r="J1448" s="78" t="str">
        <f aca="false">IF(B1448="","",IFERROR(INDEX('CARNET DE SOUDURE'!$E$7:$E$1506,MATCH(B1448,'CARNET DE SOUDURE'!$M$7:$M$1506,0)),""))</f>
        <v/>
      </c>
      <c r="K1448" s="78" t="str">
        <f aca="false">IF(B1448="","",IFERROR(INDEX('CARNET DE SOUDURE'!$E$7:$E$1506,MATCH(B1448,'CARNET DE SOUDURE'!$K$7:$K$1506,0)),""))</f>
        <v/>
      </c>
      <c r="L1448" s="78" t="str">
        <f aca="false">IF(B1448="","",IFERROR(INDEX('CARNET DE SOUDURE'!$D$7:$D$1506,MATCH(B1448,'CARNET DE SOUDURE'!$K$7:$K$1506,0)),IFERROR(INDEX('CARNET DE SOUDURE'!$D$7:$D$1506,MATCH(B1448,'CARNET DE SOUDURE'!$M$7:$M$1506,0)),"")))</f>
        <v/>
      </c>
      <c r="M1448" s="81" t="str">
        <f aca="false">IF(B1448="","",IF(OR(J1448&lt;&gt;"",K1448&lt;&gt;""),"POSÉ EN LIGNE",IF(H1448&lt;&gt;"","BARDÉ","EN STOCK")))</f>
        <v/>
      </c>
      <c r="N1448" s="79"/>
    </row>
    <row r="1449" customFormat="false" ht="15" hidden="false" customHeight="false" outlineLevel="0" collapsed="false">
      <c r="A1449" s="78" t="str">
        <f aca="false">IF(B1449="","",ROW()-6)</f>
        <v/>
      </c>
      <c r="B1449" s="90"/>
      <c r="C1449" s="91"/>
      <c r="D1449" s="91"/>
      <c r="E1449" s="80"/>
      <c r="F1449" s="92"/>
      <c r="G1449" s="79"/>
      <c r="H1449" s="82"/>
      <c r="I1449" s="93" t="str">
        <f aca="false">IF(B1449="","",IFERROR(INDEX('CARNET DE SOUDURE'!$B$7:$B$1506,MATCH(B1449,'CARNET DE SOUDURE'!$K$7:$K$1506,0)),IFERROR(INDEX('CARNET DE SOUDURE'!$B$7:$B$1506,MATCH(B1449,'CARNET DE SOUDURE'!$M$7:$M$1506,0)),"")))</f>
        <v/>
      </c>
      <c r="J1449" s="78" t="str">
        <f aca="false">IF(B1449="","",IFERROR(INDEX('CARNET DE SOUDURE'!$E$7:$E$1506,MATCH(B1449,'CARNET DE SOUDURE'!$M$7:$M$1506,0)),""))</f>
        <v/>
      </c>
      <c r="K1449" s="78" t="str">
        <f aca="false">IF(B1449="","",IFERROR(INDEX('CARNET DE SOUDURE'!$E$7:$E$1506,MATCH(B1449,'CARNET DE SOUDURE'!$K$7:$K$1506,0)),""))</f>
        <v/>
      </c>
      <c r="L1449" s="78" t="str">
        <f aca="false">IF(B1449="","",IFERROR(INDEX('CARNET DE SOUDURE'!$D$7:$D$1506,MATCH(B1449,'CARNET DE SOUDURE'!$K$7:$K$1506,0)),IFERROR(INDEX('CARNET DE SOUDURE'!$D$7:$D$1506,MATCH(B1449,'CARNET DE SOUDURE'!$M$7:$M$1506,0)),"")))</f>
        <v/>
      </c>
      <c r="M1449" s="81" t="str">
        <f aca="false">IF(B1449="","",IF(OR(J1449&lt;&gt;"",K1449&lt;&gt;""),"POSÉ EN LIGNE",IF(H1449&lt;&gt;"","BARDÉ","EN STOCK")))</f>
        <v/>
      </c>
      <c r="N1449" s="79"/>
    </row>
    <row r="1450" customFormat="false" ht="15" hidden="false" customHeight="false" outlineLevel="0" collapsed="false">
      <c r="A1450" s="78" t="str">
        <f aca="false">IF(B1450="","",ROW()-6)</f>
        <v/>
      </c>
      <c r="B1450" s="90"/>
      <c r="C1450" s="91"/>
      <c r="D1450" s="91"/>
      <c r="E1450" s="80"/>
      <c r="F1450" s="92"/>
      <c r="G1450" s="79"/>
      <c r="H1450" s="82"/>
      <c r="I1450" s="93" t="str">
        <f aca="false">IF(B1450="","",IFERROR(INDEX('CARNET DE SOUDURE'!$B$7:$B$1506,MATCH(B1450,'CARNET DE SOUDURE'!$K$7:$K$1506,0)),IFERROR(INDEX('CARNET DE SOUDURE'!$B$7:$B$1506,MATCH(B1450,'CARNET DE SOUDURE'!$M$7:$M$1506,0)),"")))</f>
        <v/>
      </c>
      <c r="J1450" s="78" t="str">
        <f aca="false">IF(B1450="","",IFERROR(INDEX('CARNET DE SOUDURE'!$E$7:$E$1506,MATCH(B1450,'CARNET DE SOUDURE'!$M$7:$M$1506,0)),""))</f>
        <v/>
      </c>
      <c r="K1450" s="78" t="str">
        <f aca="false">IF(B1450="","",IFERROR(INDEX('CARNET DE SOUDURE'!$E$7:$E$1506,MATCH(B1450,'CARNET DE SOUDURE'!$K$7:$K$1506,0)),""))</f>
        <v/>
      </c>
      <c r="L1450" s="78" t="str">
        <f aca="false">IF(B1450="","",IFERROR(INDEX('CARNET DE SOUDURE'!$D$7:$D$1506,MATCH(B1450,'CARNET DE SOUDURE'!$K$7:$K$1506,0)),IFERROR(INDEX('CARNET DE SOUDURE'!$D$7:$D$1506,MATCH(B1450,'CARNET DE SOUDURE'!$M$7:$M$1506,0)),"")))</f>
        <v/>
      </c>
      <c r="M1450" s="81" t="str">
        <f aca="false">IF(B1450="","",IF(OR(J1450&lt;&gt;"",K1450&lt;&gt;""),"POSÉ EN LIGNE",IF(H1450&lt;&gt;"","BARDÉ","EN STOCK")))</f>
        <v/>
      </c>
      <c r="N1450" s="79"/>
    </row>
    <row r="1451" customFormat="false" ht="15" hidden="false" customHeight="false" outlineLevel="0" collapsed="false">
      <c r="A1451" s="78" t="str">
        <f aca="false">IF(B1451="","",ROW()-6)</f>
        <v/>
      </c>
      <c r="B1451" s="90"/>
      <c r="C1451" s="91"/>
      <c r="D1451" s="91"/>
      <c r="E1451" s="80"/>
      <c r="F1451" s="92"/>
      <c r="G1451" s="79"/>
      <c r="H1451" s="82"/>
      <c r="I1451" s="93" t="str">
        <f aca="false">IF(B1451="","",IFERROR(INDEX('CARNET DE SOUDURE'!$B$7:$B$1506,MATCH(B1451,'CARNET DE SOUDURE'!$K$7:$K$1506,0)),IFERROR(INDEX('CARNET DE SOUDURE'!$B$7:$B$1506,MATCH(B1451,'CARNET DE SOUDURE'!$M$7:$M$1506,0)),"")))</f>
        <v/>
      </c>
      <c r="J1451" s="78" t="str">
        <f aca="false">IF(B1451="","",IFERROR(INDEX('CARNET DE SOUDURE'!$E$7:$E$1506,MATCH(B1451,'CARNET DE SOUDURE'!$M$7:$M$1506,0)),""))</f>
        <v/>
      </c>
      <c r="K1451" s="78" t="str">
        <f aca="false">IF(B1451="","",IFERROR(INDEX('CARNET DE SOUDURE'!$E$7:$E$1506,MATCH(B1451,'CARNET DE SOUDURE'!$K$7:$K$1506,0)),""))</f>
        <v/>
      </c>
      <c r="L1451" s="78" t="str">
        <f aca="false">IF(B1451="","",IFERROR(INDEX('CARNET DE SOUDURE'!$D$7:$D$1506,MATCH(B1451,'CARNET DE SOUDURE'!$K$7:$K$1506,0)),IFERROR(INDEX('CARNET DE SOUDURE'!$D$7:$D$1506,MATCH(B1451,'CARNET DE SOUDURE'!$M$7:$M$1506,0)),"")))</f>
        <v/>
      </c>
      <c r="M1451" s="81" t="str">
        <f aca="false">IF(B1451="","",IF(OR(J1451&lt;&gt;"",K1451&lt;&gt;""),"POSÉ EN LIGNE",IF(H1451&lt;&gt;"","BARDÉ","EN STOCK")))</f>
        <v/>
      </c>
      <c r="N1451" s="79"/>
    </row>
    <row r="1452" customFormat="false" ht="15" hidden="false" customHeight="false" outlineLevel="0" collapsed="false">
      <c r="A1452" s="78" t="str">
        <f aca="false">IF(B1452="","",ROW()-6)</f>
        <v/>
      </c>
      <c r="B1452" s="90"/>
      <c r="C1452" s="91"/>
      <c r="D1452" s="91"/>
      <c r="E1452" s="80"/>
      <c r="F1452" s="92"/>
      <c r="G1452" s="79"/>
      <c r="H1452" s="82"/>
      <c r="I1452" s="93" t="str">
        <f aca="false">IF(B1452="","",IFERROR(INDEX('CARNET DE SOUDURE'!$B$7:$B$1506,MATCH(B1452,'CARNET DE SOUDURE'!$K$7:$K$1506,0)),IFERROR(INDEX('CARNET DE SOUDURE'!$B$7:$B$1506,MATCH(B1452,'CARNET DE SOUDURE'!$M$7:$M$1506,0)),"")))</f>
        <v/>
      </c>
      <c r="J1452" s="78" t="str">
        <f aca="false">IF(B1452="","",IFERROR(INDEX('CARNET DE SOUDURE'!$E$7:$E$1506,MATCH(B1452,'CARNET DE SOUDURE'!$M$7:$M$1506,0)),""))</f>
        <v/>
      </c>
      <c r="K1452" s="78" t="str">
        <f aca="false">IF(B1452="","",IFERROR(INDEX('CARNET DE SOUDURE'!$E$7:$E$1506,MATCH(B1452,'CARNET DE SOUDURE'!$K$7:$K$1506,0)),""))</f>
        <v/>
      </c>
      <c r="L1452" s="78" t="str">
        <f aca="false">IF(B1452="","",IFERROR(INDEX('CARNET DE SOUDURE'!$D$7:$D$1506,MATCH(B1452,'CARNET DE SOUDURE'!$K$7:$K$1506,0)),IFERROR(INDEX('CARNET DE SOUDURE'!$D$7:$D$1506,MATCH(B1452,'CARNET DE SOUDURE'!$M$7:$M$1506,0)),"")))</f>
        <v/>
      </c>
      <c r="M1452" s="81" t="str">
        <f aca="false">IF(B1452="","",IF(OR(J1452&lt;&gt;"",K1452&lt;&gt;""),"POSÉ EN LIGNE",IF(H1452&lt;&gt;"","BARDÉ","EN STOCK")))</f>
        <v/>
      </c>
      <c r="N1452" s="79"/>
    </row>
    <row r="1453" customFormat="false" ht="15" hidden="false" customHeight="false" outlineLevel="0" collapsed="false">
      <c r="A1453" s="78" t="str">
        <f aca="false">IF(B1453="","",ROW()-6)</f>
        <v/>
      </c>
      <c r="B1453" s="90"/>
      <c r="C1453" s="91"/>
      <c r="D1453" s="91"/>
      <c r="E1453" s="80"/>
      <c r="F1453" s="92"/>
      <c r="G1453" s="79"/>
      <c r="H1453" s="82"/>
      <c r="I1453" s="93" t="str">
        <f aca="false">IF(B1453="","",IFERROR(INDEX('CARNET DE SOUDURE'!$B$7:$B$1506,MATCH(B1453,'CARNET DE SOUDURE'!$K$7:$K$1506,0)),IFERROR(INDEX('CARNET DE SOUDURE'!$B$7:$B$1506,MATCH(B1453,'CARNET DE SOUDURE'!$M$7:$M$1506,0)),"")))</f>
        <v/>
      </c>
      <c r="J1453" s="78" t="str">
        <f aca="false">IF(B1453="","",IFERROR(INDEX('CARNET DE SOUDURE'!$E$7:$E$1506,MATCH(B1453,'CARNET DE SOUDURE'!$M$7:$M$1506,0)),""))</f>
        <v/>
      </c>
      <c r="K1453" s="78" t="str">
        <f aca="false">IF(B1453="","",IFERROR(INDEX('CARNET DE SOUDURE'!$E$7:$E$1506,MATCH(B1453,'CARNET DE SOUDURE'!$K$7:$K$1506,0)),""))</f>
        <v/>
      </c>
      <c r="L1453" s="78" t="str">
        <f aca="false">IF(B1453="","",IFERROR(INDEX('CARNET DE SOUDURE'!$D$7:$D$1506,MATCH(B1453,'CARNET DE SOUDURE'!$K$7:$K$1506,0)),IFERROR(INDEX('CARNET DE SOUDURE'!$D$7:$D$1506,MATCH(B1453,'CARNET DE SOUDURE'!$M$7:$M$1506,0)),"")))</f>
        <v/>
      </c>
      <c r="M1453" s="81" t="str">
        <f aca="false">IF(B1453="","",IF(OR(J1453&lt;&gt;"",K1453&lt;&gt;""),"POSÉ EN LIGNE",IF(H1453&lt;&gt;"","BARDÉ","EN STOCK")))</f>
        <v/>
      </c>
      <c r="N1453" s="79"/>
    </row>
    <row r="1454" customFormat="false" ht="15" hidden="false" customHeight="false" outlineLevel="0" collapsed="false">
      <c r="A1454" s="78" t="str">
        <f aca="false">IF(B1454="","",ROW()-6)</f>
        <v/>
      </c>
      <c r="B1454" s="90"/>
      <c r="C1454" s="91"/>
      <c r="D1454" s="91"/>
      <c r="E1454" s="80"/>
      <c r="F1454" s="92"/>
      <c r="G1454" s="79"/>
      <c r="H1454" s="82"/>
      <c r="I1454" s="93" t="str">
        <f aca="false">IF(B1454="","",IFERROR(INDEX('CARNET DE SOUDURE'!$B$7:$B$1506,MATCH(B1454,'CARNET DE SOUDURE'!$K$7:$K$1506,0)),IFERROR(INDEX('CARNET DE SOUDURE'!$B$7:$B$1506,MATCH(B1454,'CARNET DE SOUDURE'!$M$7:$M$1506,0)),"")))</f>
        <v/>
      </c>
      <c r="J1454" s="78" t="str">
        <f aca="false">IF(B1454="","",IFERROR(INDEX('CARNET DE SOUDURE'!$E$7:$E$1506,MATCH(B1454,'CARNET DE SOUDURE'!$M$7:$M$1506,0)),""))</f>
        <v/>
      </c>
      <c r="K1454" s="78" t="str">
        <f aca="false">IF(B1454="","",IFERROR(INDEX('CARNET DE SOUDURE'!$E$7:$E$1506,MATCH(B1454,'CARNET DE SOUDURE'!$K$7:$K$1506,0)),""))</f>
        <v/>
      </c>
      <c r="L1454" s="78" t="str">
        <f aca="false">IF(B1454="","",IFERROR(INDEX('CARNET DE SOUDURE'!$D$7:$D$1506,MATCH(B1454,'CARNET DE SOUDURE'!$K$7:$K$1506,0)),IFERROR(INDEX('CARNET DE SOUDURE'!$D$7:$D$1506,MATCH(B1454,'CARNET DE SOUDURE'!$M$7:$M$1506,0)),"")))</f>
        <v/>
      </c>
      <c r="M1454" s="81" t="str">
        <f aca="false">IF(B1454="","",IF(OR(J1454&lt;&gt;"",K1454&lt;&gt;""),"POSÉ EN LIGNE",IF(H1454&lt;&gt;"","BARDÉ","EN STOCK")))</f>
        <v/>
      </c>
      <c r="N1454" s="79"/>
    </row>
    <row r="1455" customFormat="false" ht="15" hidden="false" customHeight="false" outlineLevel="0" collapsed="false">
      <c r="A1455" s="78" t="str">
        <f aca="false">IF(B1455="","",ROW()-6)</f>
        <v/>
      </c>
      <c r="B1455" s="90"/>
      <c r="C1455" s="91"/>
      <c r="D1455" s="91"/>
      <c r="E1455" s="80"/>
      <c r="F1455" s="92"/>
      <c r="G1455" s="79"/>
      <c r="H1455" s="82"/>
      <c r="I1455" s="93" t="str">
        <f aca="false">IF(B1455="","",IFERROR(INDEX('CARNET DE SOUDURE'!$B$7:$B$1506,MATCH(B1455,'CARNET DE SOUDURE'!$K$7:$K$1506,0)),IFERROR(INDEX('CARNET DE SOUDURE'!$B$7:$B$1506,MATCH(B1455,'CARNET DE SOUDURE'!$M$7:$M$1506,0)),"")))</f>
        <v/>
      </c>
      <c r="J1455" s="78" t="str">
        <f aca="false">IF(B1455="","",IFERROR(INDEX('CARNET DE SOUDURE'!$E$7:$E$1506,MATCH(B1455,'CARNET DE SOUDURE'!$M$7:$M$1506,0)),""))</f>
        <v/>
      </c>
      <c r="K1455" s="78" t="str">
        <f aca="false">IF(B1455="","",IFERROR(INDEX('CARNET DE SOUDURE'!$E$7:$E$1506,MATCH(B1455,'CARNET DE SOUDURE'!$K$7:$K$1506,0)),""))</f>
        <v/>
      </c>
      <c r="L1455" s="78" t="str">
        <f aca="false">IF(B1455="","",IFERROR(INDEX('CARNET DE SOUDURE'!$D$7:$D$1506,MATCH(B1455,'CARNET DE SOUDURE'!$K$7:$K$1506,0)),IFERROR(INDEX('CARNET DE SOUDURE'!$D$7:$D$1506,MATCH(B1455,'CARNET DE SOUDURE'!$M$7:$M$1506,0)),"")))</f>
        <v/>
      </c>
      <c r="M1455" s="81" t="str">
        <f aca="false">IF(B1455="","",IF(OR(J1455&lt;&gt;"",K1455&lt;&gt;""),"POSÉ EN LIGNE",IF(H1455&lt;&gt;"","BARDÉ","EN STOCK")))</f>
        <v/>
      </c>
      <c r="N1455" s="79"/>
    </row>
    <row r="1456" customFormat="false" ht="15" hidden="false" customHeight="false" outlineLevel="0" collapsed="false">
      <c r="A1456" s="78" t="str">
        <f aca="false">IF(B1456="","",ROW()-6)</f>
        <v/>
      </c>
      <c r="B1456" s="90"/>
      <c r="C1456" s="91"/>
      <c r="D1456" s="91"/>
      <c r="E1456" s="80"/>
      <c r="F1456" s="92"/>
      <c r="G1456" s="79"/>
      <c r="H1456" s="82"/>
      <c r="I1456" s="93" t="str">
        <f aca="false">IF(B1456="","",IFERROR(INDEX('CARNET DE SOUDURE'!$B$7:$B$1506,MATCH(B1456,'CARNET DE SOUDURE'!$K$7:$K$1506,0)),IFERROR(INDEX('CARNET DE SOUDURE'!$B$7:$B$1506,MATCH(B1456,'CARNET DE SOUDURE'!$M$7:$M$1506,0)),"")))</f>
        <v/>
      </c>
      <c r="J1456" s="78" t="str">
        <f aca="false">IF(B1456="","",IFERROR(INDEX('CARNET DE SOUDURE'!$E$7:$E$1506,MATCH(B1456,'CARNET DE SOUDURE'!$M$7:$M$1506,0)),""))</f>
        <v/>
      </c>
      <c r="K1456" s="78" t="str">
        <f aca="false">IF(B1456="","",IFERROR(INDEX('CARNET DE SOUDURE'!$E$7:$E$1506,MATCH(B1456,'CARNET DE SOUDURE'!$K$7:$K$1506,0)),""))</f>
        <v/>
      </c>
      <c r="L1456" s="78" t="str">
        <f aca="false">IF(B1456="","",IFERROR(INDEX('CARNET DE SOUDURE'!$D$7:$D$1506,MATCH(B1456,'CARNET DE SOUDURE'!$K$7:$K$1506,0)),IFERROR(INDEX('CARNET DE SOUDURE'!$D$7:$D$1506,MATCH(B1456,'CARNET DE SOUDURE'!$M$7:$M$1506,0)),"")))</f>
        <v/>
      </c>
      <c r="M1456" s="81" t="str">
        <f aca="false">IF(B1456="","",IF(OR(J1456&lt;&gt;"",K1456&lt;&gt;""),"POSÉ EN LIGNE",IF(H1456&lt;&gt;"","BARDÉ","EN STOCK")))</f>
        <v/>
      </c>
      <c r="N1456" s="79"/>
    </row>
    <row r="1457" customFormat="false" ht="15" hidden="false" customHeight="false" outlineLevel="0" collapsed="false">
      <c r="A1457" s="78" t="str">
        <f aca="false">IF(B1457="","",ROW()-6)</f>
        <v/>
      </c>
      <c r="B1457" s="90"/>
      <c r="C1457" s="91"/>
      <c r="D1457" s="91"/>
      <c r="E1457" s="80"/>
      <c r="F1457" s="92"/>
      <c r="G1457" s="79"/>
      <c r="H1457" s="82"/>
      <c r="I1457" s="93" t="str">
        <f aca="false">IF(B1457="","",IFERROR(INDEX('CARNET DE SOUDURE'!$B$7:$B$1506,MATCH(B1457,'CARNET DE SOUDURE'!$K$7:$K$1506,0)),IFERROR(INDEX('CARNET DE SOUDURE'!$B$7:$B$1506,MATCH(B1457,'CARNET DE SOUDURE'!$M$7:$M$1506,0)),"")))</f>
        <v/>
      </c>
      <c r="J1457" s="78" t="str">
        <f aca="false">IF(B1457="","",IFERROR(INDEX('CARNET DE SOUDURE'!$E$7:$E$1506,MATCH(B1457,'CARNET DE SOUDURE'!$M$7:$M$1506,0)),""))</f>
        <v/>
      </c>
      <c r="K1457" s="78" t="str">
        <f aca="false">IF(B1457="","",IFERROR(INDEX('CARNET DE SOUDURE'!$E$7:$E$1506,MATCH(B1457,'CARNET DE SOUDURE'!$K$7:$K$1506,0)),""))</f>
        <v/>
      </c>
      <c r="L1457" s="78" t="str">
        <f aca="false">IF(B1457="","",IFERROR(INDEX('CARNET DE SOUDURE'!$D$7:$D$1506,MATCH(B1457,'CARNET DE SOUDURE'!$K$7:$K$1506,0)),IFERROR(INDEX('CARNET DE SOUDURE'!$D$7:$D$1506,MATCH(B1457,'CARNET DE SOUDURE'!$M$7:$M$1506,0)),"")))</f>
        <v/>
      </c>
      <c r="M1457" s="81" t="str">
        <f aca="false">IF(B1457="","",IF(OR(J1457&lt;&gt;"",K1457&lt;&gt;""),"POSÉ EN LIGNE",IF(H1457&lt;&gt;"","BARDÉ","EN STOCK")))</f>
        <v/>
      </c>
      <c r="N1457" s="79"/>
    </row>
    <row r="1458" customFormat="false" ht="15" hidden="false" customHeight="false" outlineLevel="0" collapsed="false">
      <c r="A1458" s="78" t="str">
        <f aca="false">IF(B1458="","",ROW()-6)</f>
        <v/>
      </c>
      <c r="B1458" s="90"/>
      <c r="C1458" s="91"/>
      <c r="D1458" s="91"/>
      <c r="E1458" s="80"/>
      <c r="F1458" s="92"/>
      <c r="G1458" s="79"/>
      <c r="H1458" s="82"/>
      <c r="I1458" s="93" t="str">
        <f aca="false">IF(B1458="","",IFERROR(INDEX('CARNET DE SOUDURE'!$B$7:$B$1506,MATCH(B1458,'CARNET DE SOUDURE'!$K$7:$K$1506,0)),IFERROR(INDEX('CARNET DE SOUDURE'!$B$7:$B$1506,MATCH(B1458,'CARNET DE SOUDURE'!$M$7:$M$1506,0)),"")))</f>
        <v/>
      </c>
      <c r="J1458" s="78" t="str">
        <f aca="false">IF(B1458="","",IFERROR(INDEX('CARNET DE SOUDURE'!$E$7:$E$1506,MATCH(B1458,'CARNET DE SOUDURE'!$M$7:$M$1506,0)),""))</f>
        <v/>
      </c>
      <c r="K1458" s="78" t="str">
        <f aca="false">IF(B1458="","",IFERROR(INDEX('CARNET DE SOUDURE'!$E$7:$E$1506,MATCH(B1458,'CARNET DE SOUDURE'!$K$7:$K$1506,0)),""))</f>
        <v/>
      </c>
      <c r="L1458" s="78" t="str">
        <f aca="false">IF(B1458="","",IFERROR(INDEX('CARNET DE SOUDURE'!$D$7:$D$1506,MATCH(B1458,'CARNET DE SOUDURE'!$K$7:$K$1506,0)),IFERROR(INDEX('CARNET DE SOUDURE'!$D$7:$D$1506,MATCH(B1458,'CARNET DE SOUDURE'!$M$7:$M$1506,0)),"")))</f>
        <v/>
      </c>
      <c r="M1458" s="81" t="str">
        <f aca="false">IF(B1458="","",IF(OR(J1458&lt;&gt;"",K1458&lt;&gt;""),"POSÉ EN LIGNE",IF(H1458&lt;&gt;"","BARDÉ","EN STOCK")))</f>
        <v/>
      </c>
      <c r="N1458" s="79"/>
    </row>
    <row r="1459" customFormat="false" ht="15" hidden="false" customHeight="false" outlineLevel="0" collapsed="false">
      <c r="A1459" s="78" t="str">
        <f aca="false">IF(B1459="","",ROW()-6)</f>
        <v/>
      </c>
      <c r="B1459" s="90"/>
      <c r="C1459" s="91"/>
      <c r="D1459" s="91"/>
      <c r="E1459" s="80"/>
      <c r="F1459" s="92"/>
      <c r="G1459" s="79"/>
      <c r="H1459" s="82"/>
      <c r="I1459" s="93" t="str">
        <f aca="false">IF(B1459="","",IFERROR(INDEX('CARNET DE SOUDURE'!$B$7:$B$1506,MATCH(B1459,'CARNET DE SOUDURE'!$K$7:$K$1506,0)),IFERROR(INDEX('CARNET DE SOUDURE'!$B$7:$B$1506,MATCH(B1459,'CARNET DE SOUDURE'!$M$7:$M$1506,0)),"")))</f>
        <v/>
      </c>
      <c r="J1459" s="78" t="str">
        <f aca="false">IF(B1459="","",IFERROR(INDEX('CARNET DE SOUDURE'!$E$7:$E$1506,MATCH(B1459,'CARNET DE SOUDURE'!$M$7:$M$1506,0)),""))</f>
        <v/>
      </c>
      <c r="K1459" s="78" t="str">
        <f aca="false">IF(B1459="","",IFERROR(INDEX('CARNET DE SOUDURE'!$E$7:$E$1506,MATCH(B1459,'CARNET DE SOUDURE'!$K$7:$K$1506,0)),""))</f>
        <v/>
      </c>
      <c r="L1459" s="78" t="str">
        <f aca="false">IF(B1459="","",IFERROR(INDEX('CARNET DE SOUDURE'!$D$7:$D$1506,MATCH(B1459,'CARNET DE SOUDURE'!$K$7:$K$1506,0)),IFERROR(INDEX('CARNET DE SOUDURE'!$D$7:$D$1506,MATCH(B1459,'CARNET DE SOUDURE'!$M$7:$M$1506,0)),"")))</f>
        <v/>
      </c>
      <c r="M1459" s="81" t="str">
        <f aca="false">IF(B1459="","",IF(OR(J1459&lt;&gt;"",K1459&lt;&gt;""),"POSÉ EN LIGNE",IF(H1459&lt;&gt;"","BARDÉ","EN STOCK")))</f>
        <v/>
      </c>
      <c r="N1459" s="79"/>
    </row>
    <row r="1460" customFormat="false" ht="15" hidden="false" customHeight="false" outlineLevel="0" collapsed="false">
      <c r="A1460" s="78" t="str">
        <f aca="false">IF(B1460="","",ROW()-6)</f>
        <v/>
      </c>
      <c r="B1460" s="90"/>
      <c r="C1460" s="91"/>
      <c r="D1460" s="91"/>
      <c r="E1460" s="80"/>
      <c r="F1460" s="92"/>
      <c r="G1460" s="79"/>
      <c r="H1460" s="82"/>
      <c r="I1460" s="93" t="str">
        <f aca="false">IF(B1460="","",IFERROR(INDEX('CARNET DE SOUDURE'!$B$7:$B$1506,MATCH(B1460,'CARNET DE SOUDURE'!$K$7:$K$1506,0)),IFERROR(INDEX('CARNET DE SOUDURE'!$B$7:$B$1506,MATCH(B1460,'CARNET DE SOUDURE'!$M$7:$M$1506,0)),"")))</f>
        <v/>
      </c>
      <c r="J1460" s="78" t="str">
        <f aca="false">IF(B1460="","",IFERROR(INDEX('CARNET DE SOUDURE'!$E$7:$E$1506,MATCH(B1460,'CARNET DE SOUDURE'!$M$7:$M$1506,0)),""))</f>
        <v/>
      </c>
      <c r="K1460" s="78" t="str">
        <f aca="false">IF(B1460="","",IFERROR(INDEX('CARNET DE SOUDURE'!$E$7:$E$1506,MATCH(B1460,'CARNET DE SOUDURE'!$K$7:$K$1506,0)),""))</f>
        <v/>
      </c>
      <c r="L1460" s="78" t="str">
        <f aca="false">IF(B1460="","",IFERROR(INDEX('CARNET DE SOUDURE'!$D$7:$D$1506,MATCH(B1460,'CARNET DE SOUDURE'!$K$7:$K$1506,0)),IFERROR(INDEX('CARNET DE SOUDURE'!$D$7:$D$1506,MATCH(B1460,'CARNET DE SOUDURE'!$M$7:$M$1506,0)),"")))</f>
        <v/>
      </c>
      <c r="M1460" s="81" t="str">
        <f aca="false">IF(B1460="","",IF(OR(J1460&lt;&gt;"",K1460&lt;&gt;""),"POSÉ EN LIGNE",IF(H1460&lt;&gt;"","BARDÉ","EN STOCK")))</f>
        <v/>
      </c>
      <c r="N1460" s="79"/>
    </row>
    <row r="1461" customFormat="false" ht="15" hidden="false" customHeight="false" outlineLevel="0" collapsed="false">
      <c r="A1461" s="78" t="str">
        <f aca="false">IF(B1461="","",ROW()-6)</f>
        <v/>
      </c>
      <c r="B1461" s="90"/>
      <c r="C1461" s="91"/>
      <c r="D1461" s="91"/>
      <c r="E1461" s="80"/>
      <c r="F1461" s="92"/>
      <c r="G1461" s="79"/>
      <c r="H1461" s="82"/>
      <c r="I1461" s="93" t="str">
        <f aca="false">IF(B1461="","",IFERROR(INDEX('CARNET DE SOUDURE'!$B$7:$B$1506,MATCH(B1461,'CARNET DE SOUDURE'!$K$7:$K$1506,0)),IFERROR(INDEX('CARNET DE SOUDURE'!$B$7:$B$1506,MATCH(B1461,'CARNET DE SOUDURE'!$M$7:$M$1506,0)),"")))</f>
        <v/>
      </c>
      <c r="J1461" s="78" t="str">
        <f aca="false">IF(B1461="","",IFERROR(INDEX('CARNET DE SOUDURE'!$E$7:$E$1506,MATCH(B1461,'CARNET DE SOUDURE'!$M$7:$M$1506,0)),""))</f>
        <v/>
      </c>
      <c r="K1461" s="78" t="str">
        <f aca="false">IF(B1461="","",IFERROR(INDEX('CARNET DE SOUDURE'!$E$7:$E$1506,MATCH(B1461,'CARNET DE SOUDURE'!$K$7:$K$1506,0)),""))</f>
        <v/>
      </c>
      <c r="L1461" s="78" t="str">
        <f aca="false">IF(B1461="","",IFERROR(INDEX('CARNET DE SOUDURE'!$D$7:$D$1506,MATCH(B1461,'CARNET DE SOUDURE'!$K$7:$K$1506,0)),IFERROR(INDEX('CARNET DE SOUDURE'!$D$7:$D$1506,MATCH(B1461,'CARNET DE SOUDURE'!$M$7:$M$1506,0)),"")))</f>
        <v/>
      </c>
      <c r="M1461" s="81" t="str">
        <f aca="false">IF(B1461="","",IF(OR(J1461&lt;&gt;"",K1461&lt;&gt;""),"POSÉ EN LIGNE",IF(H1461&lt;&gt;"","BARDÉ","EN STOCK")))</f>
        <v/>
      </c>
      <c r="N1461" s="79"/>
    </row>
    <row r="1462" customFormat="false" ht="15" hidden="false" customHeight="false" outlineLevel="0" collapsed="false">
      <c r="A1462" s="78" t="str">
        <f aca="false">IF(B1462="","",ROW()-6)</f>
        <v/>
      </c>
      <c r="B1462" s="90"/>
      <c r="C1462" s="91"/>
      <c r="D1462" s="91"/>
      <c r="E1462" s="80"/>
      <c r="F1462" s="92"/>
      <c r="G1462" s="79"/>
      <c r="H1462" s="82"/>
      <c r="I1462" s="93" t="str">
        <f aca="false">IF(B1462="","",IFERROR(INDEX('CARNET DE SOUDURE'!$B$7:$B$1506,MATCH(B1462,'CARNET DE SOUDURE'!$K$7:$K$1506,0)),IFERROR(INDEX('CARNET DE SOUDURE'!$B$7:$B$1506,MATCH(B1462,'CARNET DE SOUDURE'!$M$7:$M$1506,0)),"")))</f>
        <v/>
      </c>
      <c r="J1462" s="78" t="str">
        <f aca="false">IF(B1462="","",IFERROR(INDEX('CARNET DE SOUDURE'!$E$7:$E$1506,MATCH(B1462,'CARNET DE SOUDURE'!$M$7:$M$1506,0)),""))</f>
        <v/>
      </c>
      <c r="K1462" s="78" t="str">
        <f aca="false">IF(B1462="","",IFERROR(INDEX('CARNET DE SOUDURE'!$E$7:$E$1506,MATCH(B1462,'CARNET DE SOUDURE'!$K$7:$K$1506,0)),""))</f>
        <v/>
      </c>
      <c r="L1462" s="78" t="str">
        <f aca="false">IF(B1462="","",IFERROR(INDEX('CARNET DE SOUDURE'!$D$7:$D$1506,MATCH(B1462,'CARNET DE SOUDURE'!$K$7:$K$1506,0)),IFERROR(INDEX('CARNET DE SOUDURE'!$D$7:$D$1506,MATCH(B1462,'CARNET DE SOUDURE'!$M$7:$M$1506,0)),"")))</f>
        <v/>
      </c>
      <c r="M1462" s="81" t="str">
        <f aca="false">IF(B1462="","",IF(OR(J1462&lt;&gt;"",K1462&lt;&gt;""),"POSÉ EN LIGNE",IF(H1462&lt;&gt;"","BARDÉ","EN STOCK")))</f>
        <v/>
      </c>
      <c r="N1462" s="79"/>
    </row>
    <row r="1463" customFormat="false" ht="15" hidden="false" customHeight="false" outlineLevel="0" collapsed="false">
      <c r="A1463" s="78" t="str">
        <f aca="false">IF(B1463="","",ROW()-6)</f>
        <v/>
      </c>
      <c r="B1463" s="90"/>
      <c r="C1463" s="91"/>
      <c r="D1463" s="91"/>
      <c r="E1463" s="80"/>
      <c r="F1463" s="92"/>
      <c r="G1463" s="79"/>
      <c r="H1463" s="82"/>
      <c r="I1463" s="93" t="str">
        <f aca="false">IF(B1463="","",IFERROR(INDEX('CARNET DE SOUDURE'!$B$7:$B$1506,MATCH(B1463,'CARNET DE SOUDURE'!$K$7:$K$1506,0)),IFERROR(INDEX('CARNET DE SOUDURE'!$B$7:$B$1506,MATCH(B1463,'CARNET DE SOUDURE'!$M$7:$M$1506,0)),"")))</f>
        <v/>
      </c>
      <c r="J1463" s="78" t="str">
        <f aca="false">IF(B1463="","",IFERROR(INDEX('CARNET DE SOUDURE'!$E$7:$E$1506,MATCH(B1463,'CARNET DE SOUDURE'!$M$7:$M$1506,0)),""))</f>
        <v/>
      </c>
      <c r="K1463" s="78" t="str">
        <f aca="false">IF(B1463="","",IFERROR(INDEX('CARNET DE SOUDURE'!$E$7:$E$1506,MATCH(B1463,'CARNET DE SOUDURE'!$K$7:$K$1506,0)),""))</f>
        <v/>
      </c>
      <c r="L1463" s="78" t="str">
        <f aca="false">IF(B1463="","",IFERROR(INDEX('CARNET DE SOUDURE'!$D$7:$D$1506,MATCH(B1463,'CARNET DE SOUDURE'!$K$7:$K$1506,0)),IFERROR(INDEX('CARNET DE SOUDURE'!$D$7:$D$1506,MATCH(B1463,'CARNET DE SOUDURE'!$M$7:$M$1506,0)),"")))</f>
        <v/>
      </c>
      <c r="M1463" s="81" t="str">
        <f aca="false">IF(B1463="","",IF(OR(J1463&lt;&gt;"",K1463&lt;&gt;""),"POSÉ EN LIGNE",IF(H1463&lt;&gt;"","BARDÉ","EN STOCK")))</f>
        <v/>
      </c>
      <c r="N1463" s="79"/>
    </row>
    <row r="1464" customFormat="false" ht="15" hidden="false" customHeight="false" outlineLevel="0" collapsed="false">
      <c r="A1464" s="78" t="str">
        <f aca="false">IF(B1464="","",ROW()-6)</f>
        <v/>
      </c>
      <c r="B1464" s="90"/>
      <c r="C1464" s="91"/>
      <c r="D1464" s="91"/>
      <c r="E1464" s="80"/>
      <c r="F1464" s="92"/>
      <c r="G1464" s="79"/>
      <c r="H1464" s="82"/>
      <c r="I1464" s="93" t="str">
        <f aca="false">IF(B1464="","",IFERROR(INDEX('CARNET DE SOUDURE'!$B$7:$B$1506,MATCH(B1464,'CARNET DE SOUDURE'!$K$7:$K$1506,0)),IFERROR(INDEX('CARNET DE SOUDURE'!$B$7:$B$1506,MATCH(B1464,'CARNET DE SOUDURE'!$M$7:$M$1506,0)),"")))</f>
        <v/>
      </c>
      <c r="J1464" s="78" t="str">
        <f aca="false">IF(B1464="","",IFERROR(INDEX('CARNET DE SOUDURE'!$E$7:$E$1506,MATCH(B1464,'CARNET DE SOUDURE'!$M$7:$M$1506,0)),""))</f>
        <v/>
      </c>
      <c r="K1464" s="78" t="str">
        <f aca="false">IF(B1464="","",IFERROR(INDEX('CARNET DE SOUDURE'!$E$7:$E$1506,MATCH(B1464,'CARNET DE SOUDURE'!$K$7:$K$1506,0)),""))</f>
        <v/>
      </c>
      <c r="L1464" s="78" t="str">
        <f aca="false">IF(B1464="","",IFERROR(INDEX('CARNET DE SOUDURE'!$D$7:$D$1506,MATCH(B1464,'CARNET DE SOUDURE'!$K$7:$K$1506,0)),IFERROR(INDEX('CARNET DE SOUDURE'!$D$7:$D$1506,MATCH(B1464,'CARNET DE SOUDURE'!$M$7:$M$1506,0)),"")))</f>
        <v/>
      </c>
      <c r="M1464" s="81" t="str">
        <f aca="false">IF(B1464="","",IF(OR(J1464&lt;&gt;"",K1464&lt;&gt;""),"POSÉ EN LIGNE",IF(H1464&lt;&gt;"","BARDÉ","EN STOCK")))</f>
        <v/>
      </c>
      <c r="N1464" s="79"/>
    </row>
    <row r="1465" customFormat="false" ht="15" hidden="false" customHeight="false" outlineLevel="0" collapsed="false">
      <c r="A1465" s="78" t="str">
        <f aca="false">IF(B1465="","",ROW()-6)</f>
        <v/>
      </c>
      <c r="B1465" s="90"/>
      <c r="C1465" s="91"/>
      <c r="D1465" s="91"/>
      <c r="E1465" s="80"/>
      <c r="F1465" s="92"/>
      <c r="G1465" s="79"/>
      <c r="H1465" s="82"/>
      <c r="I1465" s="93" t="str">
        <f aca="false">IF(B1465="","",IFERROR(INDEX('CARNET DE SOUDURE'!$B$7:$B$1506,MATCH(B1465,'CARNET DE SOUDURE'!$K$7:$K$1506,0)),IFERROR(INDEX('CARNET DE SOUDURE'!$B$7:$B$1506,MATCH(B1465,'CARNET DE SOUDURE'!$M$7:$M$1506,0)),"")))</f>
        <v/>
      </c>
      <c r="J1465" s="78" t="str">
        <f aca="false">IF(B1465="","",IFERROR(INDEX('CARNET DE SOUDURE'!$E$7:$E$1506,MATCH(B1465,'CARNET DE SOUDURE'!$M$7:$M$1506,0)),""))</f>
        <v/>
      </c>
      <c r="K1465" s="78" t="str">
        <f aca="false">IF(B1465="","",IFERROR(INDEX('CARNET DE SOUDURE'!$E$7:$E$1506,MATCH(B1465,'CARNET DE SOUDURE'!$K$7:$K$1506,0)),""))</f>
        <v/>
      </c>
      <c r="L1465" s="78" t="str">
        <f aca="false">IF(B1465="","",IFERROR(INDEX('CARNET DE SOUDURE'!$D$7:$D$1506,MATCH(B1465,'CARNET DE SOUDURE'!$K$7:$K$1506,0)),IFERROR(INDEX('CARNET DE SOUDURE'!$D$7:$D$1506,MATCH(B1465,'CARNET DE SOUDURE'!$M$7:$M$1506,0)),"")))</f>
        <v/>
      </c>
      <c r="M1465" s="81" t="str">
        <f aca="false">IF(B1465="","",IF(OR(J1465&lt;&gt;"",K1465&lt;&gt;""),"POSÉ EN LIGNE",IF(H1465&lt;&gt;"","BARDÉ","EN STOCK")))</f>
        <v/>
      </c>
      <c r="N1465" s="79"/>
    </row>
    <row r="1466" customFormat="false" ht="15" hidden="false" customHeight="false" outlineLevel="0" collapsed="false">
      <c r="A1466" s="78" t="str">
        <f aca="false">IF(B1466="","",ROW()-6)</f>
        <v/>
      </c>
      <c r="B1466" s="90"/>
      <c r="C1466" s="91"/>
      <c r="D1466" s="91"/>
      <c r="E1466" s="80"/>
      <c r="F1466" s="92"/>
      <c r="G1466" s="79"/>
      <c r="H1466" s="82"/>
      <c r="I1466" s="93" t="str">
        <f aca="false">IF(B1466="","",IFERROR(INDEX('CARNET DE SOUDURE'!$B$7:$B$1506,MATCH(B1466,'CARNET DE SOUDURE'!$K$7:$K$1506,0)),IFERROR(INDEX('CARNET DE SOUDURE'!$B$7:$B$1506,MATCH(B1466,'CARNET DE SOUDURE'!$M$7:$M$1506,0)),"")))</f>
        <v/>
      </c>
      <c r="J1466" s="78" t="str">
        <f aca="false">IF(B1466="","",IFERROR(INDEX('CARNET DE SOUDURE'!$E$7:$E$1506,MATCH(B1466,'CARNET DE SOUDURE'!$M$7:$M$1506,0)),""))</f>
        <v/>
      </c>
      <c r="K1466" s="78" t="str">
        <f aca="false">IF(B1466="","",IFERROR(INDEX('CARNET DE SOUDURE'!$E$7:$E$1506,MATCH(B1466,'CARNET DE SOUDURE'!$K$7:$K$1506,0)),""))</f>
        <v/>
      </c>
      <c r="L1466" s="78" t="str">
        <f aca="false">IF(B1466="","",IFERROR(INDEX('CARNET DE SOUDURE'!$D$7:$D$1506,MATCH(B1466,'CARNET DE SOUDURE'!$K$7:$K$1506,0)),IFERROR(INDEX('CARNET DE SOUDURE'!$D$7:$D$1506,MATCH(B1466,'CARNET DE SOUDURE'!$M$7:$M$1506,0)),"")))</f>
        <v/>
      </c>
      <c r="M1466" s="81" t="str">
        <f aca="false">IF(B1466="","",IF(OR(J1466&lt;&gt;"",K1466&lt;&gt;""),"POSÉ EN LIGNE",IF(H1466&lt;&gt;"","BARDÉ","EN STOCK")))</f>
        <v/>
      </c>
      <c r="N1466" s="79"/>
    </row>
    <row r="1467" customFormat="false" ht="15" hidden="false" customHeight="false" outlineLevel="0" collapsed="false">
      <c r="A1467" s="78" t="str">
        <f aca="false">IF(B1467="","",ROW()-6)</f>
        <v/>
      </c>
      <c r="B1467" s="90"/>
      <c r="C1467" s="91"/>
      <c r="D1467" s="91"/>
      <c r="E1467" s="80"/>
      <c r="F1467" s="92"/>
      <c r="G1467" s="79"/>
      <c r="H1467" s="82"/>
      <c r="I1467" s="93" t="str">
        <f aca="false">IF(B1467="","",IFERROR(INDEX('CARNET DE SOUDURE'!$B$7:$B$1506,MATCH(B1467,'CARNET DE SOUDURE'!$K$7:$K$1506,0)),IFERROR(INDEX('CARNET DE SOUDURE'!$B$7:$B$1506,MATCH(B1467,'CARNET DE SOUDURE'!$M$7:$M$1506,0)),"")))</f>
        <v/>
      </c>
      <c r="J1467" s="78" t="str">
        <f aca="false">IF(B1467="","",IFERROR(INDEX('CARNET DE SOUDURE'!$E$7:$E$1506,MATCH(B1467,'CARNET DE SOUDURE'!$M$7:$M$1506,0)),""))</f>
        <v/>
      </c>
      <c r="K1467" s="78" t="str">
        <f aca="false">IF(B1467="","",IFERROR(INDEX('CARNET DE SOUDURE'!$E$7:$E$1506,MATCH(B1467,'CARNET DE SOUDURE'!$K$7:$K$1506,0)),""))</f>
        <v/>
      </c>
      <c r="L1467" s="78" t="str">
        <f aca="false">IF(B1467="","",IFERROR(INDEX('CARNET DE SOUDURE'!$D$7:$D$1506,MATCH(B1467,'CARNET DE SOUDURE'!$K$7:$K$1506,0)),IFERROR(INDEX('CARNET DE SOUDURE'!$D$7:$D$1506,MATCH(B1467,'CARNET DE SOUDURE'!$M$7:$M$1506,0)),"")))</f>
        <v/>
      </c>
      <c r="M1467" s="81" t="str">
        <f aca="false">IF(B1467="","",IF(OR(J1467&lt;&gt;"",K1467&lt;&gt;""),"POSÉ EN LIGNE",IF(H1467&lt;&gt;"","BARDÉ","EN STOCK")))</f>
        <v/>
      </c>
      <c r="N1467" s="79"/>
    </row>
    <row r="1468" customFormat="false" ht="15" hidden="false" customHeight="false" outlineLevel="0" collapsed="false">
      <c r="A1468" s="78" t="str">
        <f aca="false">IF(B1468="","",ROW()-6)</f>
        <v/>
      </c>
      <c r="B1468" s="90"/>
      <c r="C1468" s="91"/>
      <c r="D1468" s="91"/>
      <c r="E1468" s="80"/>
      <c r="F1468" s="92"/>
      <c r="G1468" s="79"/>
      <c r="H1468" s="82"/>
      <c r="I1468" s="93" t="str">
        <f aca="false">IF(B1468="","",IFERROR(INDEX('CARNET DE SOUDURE'!$B$7:$B$1506,MATCH(B1468,'CARNET DE SOUDURE'!$K$7:$K$1506,0)),IFERROR(INDEX('CARNET DE SOUDURE'!$B$7:$B$1506,MATCH(B1468,'CARNET DE SOUDURE'!$M$7:$M$1506,0)),"")))</f>
        <v/>
      </c>
      <c r="J1468" s="78" t="str">
        <f aca="false">IF(B1468="","",IFERROR(INDEX('CARNET DE SOUDURE'!$E$7:$E$1506,MATCH(B1468,'CARNET DE SOUDURE'!$M$7:$M$1506,0)),""))</f>
        <v/>
      </c>
      <c r="K1468" s="78" t="str">
        <f aca="false">IF(B1468="","",IFERROR(INDEX('CARNET DE SOUDURE'!$E$7:$E$1506,MATCH(B1468,'CARNET DE SOUDURE'!$K$7:$K$1506,0)),""))</f>
        <v/>
      </c>
      <c r="L1468" s="78" t="str">
        <f aca="false">IF(B1468="","",IFERROR(INDEX('CARNET DE SOUDURE'!$D$7:$D$1506,MATCH(B1468,'CARNET DE SOUDURE'!$K$7:$K$1506,0)),IFERROR(INDEX('CARNET DE SOUDURE'!$D$7:$D$1506,MATCH(B1468,'CARNET DE SOUDURE'!$M$7:$M$1506,0)),"")))</f>
        <v/>
      </c>
      <c r="M1468" s="81" t="str">
        <f aca="false">IF(B1468="","",IF(OR(J1468&lt;&gt;"",K1468&lt;&gt;""),"POSÉ EN LIGNE",IF(H1468&lt;&gt;"","BARDÉ","EN STOCK")))</f>
        <v/>
      </c>
      <c r="N1468" s="79"/>
    </row>
    <row r="1469" customFormat="false" ht="15" hidden="false" customHeight="false" outlineLevel="0" collapsed="false">
      <c r="A1469" s="78" t="str">
        <f aca="false">IF(B1469="","",ROW()-6)</f>
        <v/>
      </c>
      <c r="B1469" s="90"/>
      <c r="C1469" s="91"/>
      <c r="D1469" s="91"/>
      <c r="E1469" s="80"/>
      <c r="F1469" s="92"/>
      <c r="G1469" s="79"/>
      <c r="H1469" s="82"/>
      <c r="I1469" s="93" t="str">
        <f aca="false">IF(B1469="","",IFERROR(INDEX('CARNET DE SOUDURE'!$B$7:$B$1506,MATCH(B1469,'CARNET DE SOUDURE'!$K$7:$K$1506,0)),IFERROR(INDEX('CARNET DE SOUDURE'!$B$7:$B$1506,MATCH(B1469,'CARNET DE SOUDURE'!$M$7:$M$1506,0)),"")))</f>
        <v/>
      </c>
      <c r="J1469" s="78" t="str">
        <f aca="false">IF(B1469="","",IFERROR(INDEX('CARNET DE SOUDURE'!$E$7:$E$1506,MATCH(B1469,'CARNET DE SOUDURE'!$M$7:$M$1506,0)),""))</f>
        <v/>
      </c>
      <c r="K1469" s="78" t="str">
        <f aca="false">IF(B1469="","",IFERROR(INDEX('CARNET DE SOUDURE'!$E$7:$E$1506,MATCH(B1469,'CARNET DE SOUDURE'!$K$7:$K$1506,0)),""))</f>
        <v/>
      </c>
      <c r="L1469" s="78" t="str">
        <f aca="false">IF(B1469="","",IFERROR(INDEX('CARNET DE SOUDURE'!$D$7:$D$1506,MATCH(B1469,'CARNET DE SOUDURE'!$K$7:$K$1506,0)),IFERROR(INDEX('CARNET DE SOUDURE'!$D$7:$D$1506,MATCH(B1469,'CARNET DE SOUDURE'!$M$7:$M$1506,0)),"")))</f>
        <v/>
      </c>
      <c r="M1469" s="81" t="str">
        <f aca="false">IF(B1469="","",IF(OR(J1469&lt;&gt;"",K1469&lt;&gt;""),"POSÉ EN LIGNE",IF(H1469&lt;&gt;"","BARDÉ","EN STOCK")))</f>
        <v/>
      </c>
      <c r="N1469" s="79"/>
    </row>
    <row r="1470" customFormat="false" ht="15" hidden="false" customHeight="false" outlineLevel="0" collapsed="false">
      <c r="A1470" s="78" t="str">
        <f aca="false">IF(B1470="","",ROW()-6)</f>
        <v/>
      </c>
      <c r="B1470" s="90"/>
      <c r="C1470" s="91"/>
      <c r="D1470" s="91"/>
      <c r="E1470" s="80"/>
      <c r="F1470" s="92"/>
      <c r="G1470" s="79"/>
      <c r="H1470" s="82"/>
      <c r="I1470" s="93" t="str">
        <f aca="false">IF(B1470="","",IFERROR(INDEX('CARNET DE SOUDURE'!$B$7:$B$1506,MATCH(B1470,'CARNET DE SOUDURE'!$K$7:$K$1506,0)),IFERROR(INDEX('CARNET DE SOUDURE'!$B$7:$B$1506,MATCH(B1470,'CARNET DE SOUDURE'!$M$7:$M$1506,0)),"")))</f>
        <v/>
      </c>
      <c r="J1470" s="78" t="str">
        <f aca="false">IF(B1470="","",IFERROR(INDEX('CARNET DE SOUDURE'!$E$7:$E$1506,MATCH(B1470,'CARNET DE SOUDURE'!$M$7:$M$1506,0)),""))</f>
        <v/>
      </c>
      <c r="K1470" s="78" t="str">
        <f aca="false">IF(B1470="","",IFERROR(INDEX('CARNET DE SOUDURE'!$E$7:$E$1506,MATCH(B1470,'CARNET DE SOUDURE'!$K$7:$K$1506,0)),""))</f>
        <v/>
      </c>
      <c r="L1470" s="78" t="str">
        <f aca="false">IF(B1470="","",IFERROR(INDEX('CARNET DE SOUDURE'!$D$7:$D$1506,MATCH(B1470,'CARNET DE SOUDURE'!$K$7:$K$1506,0)),IFERROR(INDEX('CARNET DE SOUDURE'!$D$7:$D$1506,MATCH(B1470,'CARNET DE SOUDURE'!$M$7:$M$1506,0)),"")))</f>
        <v/>
      </c>
      <c r="M1470" s="81" t="str">
        <f aca="false">IF(B1470="","",IF(OR(J1470&lt;&gt;"",K1470&lt;&gt;""),"POSÉ EN LIGNE",IF(H1470&lt;&gt;"","BARDÉ","EN STOCK")))</f>
        <v/>
      </c>
      <c r="N1470" s="79"/>
    </row>
    <row r="1471" customFormat="false" ht="15" hidden="false" customHeight="false" outlineLevel="0" collapsed="false">
      <c r="A1471" s="78" t="str">
        <f aca="false">IF(B1471="","",ROW()-6)</f>
        <v/>
      </c>
      <c r="B1471" s="90"/>
      <c r="C1471" s="91"/>
      <c r="D1471" s="91"/>
      <c r="E1471" s="80"/>
      <c r="F1471" s="92"/>
      <c r="G1471" s="79"/>
      <c r="H1471" s="82"/>
      <c r="I1471" s="93" t="str">
        <f aca="false">IF(B1471="","",IFERROR(INDEX('CARNET DE SOUDURE'!$B$7:$B$1506,MATCH(B1471,'CARNET DE SOUDURE'!$K$7:$K$1506,0)),IFERROR(INDEX('CARNET DE SOUDURE'!$B$7:$B$1506,MATCH(B1471,'CARNET DE SOUDURE'!$M$7:$M$1506,0)),"")))</f>
        <v/>
      </c>
      <c r="J1471" s="78" t="str">
        <f aca="false">IF(B1471="","",IFERROR(INDEX('CARNET DE SOUDURE'!$E$7:$E$1506,MATCH(B1471,'CARNET DE SOUDURE'!$M$7:$M$1506,0)),""))</f>
        <v/>
      </c>
      <c r="K1471" s="78" t="str">
        <f aca="false">IF(B1471="","",IFERROR(INDEX('CARNET DE SOUDURE'!$E$7:$E$1506,MATCH(B1471,'CARNET DE SOUDURE'!$K$7:$K$1506,0)),""))</f>
        <v/>
      </c>
      <c r="L1471" s="78" t="str">
        <f aca="false">IF(B1471="","",IFERROR(INDEX('CARNET DE SOUDURE'!$D$7:$D$1506,MATCH(B1471,'CARNET DE SOUDURE'!$K$7:$K$1506,0)),IFERROR(INDEX('CARNET DE SOUDURE'!$D$7:$D$1506,MATCH(B1471,'CARNET DE SOUDURE'!$M$7:$M$1506,0)),"")))</f>
        <v/>
      </c>
      <c r="M1471" s="81" t="str">
        <f aca="false">IF(B1471="","",IF(OR(J1471&lt;&gt;"",K1471&lt;&gt;""),"POSÉ EN LIGNE",IF(H1471&lt;&gt;"","BARDÉ","EN STOCK")))</f>
        <v/>
      </c>
      <c r="N1471" s="79"/>
    </row>
    <row r="1472" customFormat="false" ht="15" hidden="false" customHeight="false" outlineLevel="0" collapsed="false">
      <c r="A1472" s="78" t="str">
        <f aca="false">IF(B1472="","",ROW()-6)</f>
        <v/>
      </c>
      <c r="B1472" s="90"/>
      <c r="C1472" s="91"/>
      <c r="D1472" s="91"/>
      <c r="E1472" s="80"/>
      <c r="F1472" s="92"/>
      <c r="G1472" s="79"/>
      <c r="H1472" s="82"/>
      <c r="I1472" s="93" t="str">
        <f aca="false">IF(B1472="","",IFERROR(INDEX('CARNET DE SOUDURE'!$B$7:$B$1506,MATCH(B1472,'CARNET DE SOUDURE'!$K$7:$K$1506,0)),IFERROR(INDEX('CARNET DE SOUDURE'!$B$7:$B$1506,MATCH(B1472,'CARNET DE SOUDURE'!$M$7:$M$1506,0)),"")))</f>
        <v/>
      </c>
      <c r="J1472" s="78" t="str">
        <f aca="false">IF(B1472="","",IFERROR(INDEX('CARNET DE SOUDURE'!$E$7:$E$1506,MATCH(B1472,'CARNET DE SOUDURE'!$M$7:$M$1506,0)),""))</f>
        <v/>
      </c>
      <c r="K1472" s="78" t="str">
        <f aca="false">IF(B1472="","",IFERROR(INDEX('CARNET DE SOUDURE'!$E$7:$E$1506,MATCH(B1472,'CARNET DE SOUDURE'!$K$7:$K$1506,0)),""))</f>
        <v/>
      </c>
      <c r="L1472" s="78" t="str">
        <f aca="false">IF(B1472="","",IFERROR(INDEX('CARNET DE SOUDURE'!$D$7:$D$1506,MATCH(B1472,'CARNET DE SOUDURE'!$K$7:$K$1506,0)),IFERROR(INDEX('CARNET DE SOUDURE'!$D$7:$D$1506,MATCH(B1472,'CARNET DE SOUDURE'!$M$7:$M$1506,0)),"")))</f>
        <v/>
      </c>
      <c r="M1472" s="81" t="str">
        <f aca="false">IF(B1472="","",IF(OR(J1472&lt;&gt;"",K1472&lt;&gt;""),"POSÉ EN LIGNE",IF(H1472&lt;&gt;"","BARDÉ","EN STOCK")))</f>
        <v/>
      </c>
      <c r="N1472" s="79"/>
    </row>
    <row r="1473" customFormat="false" ht="15" hidden="false" customHeight="false" outlineLevel="0" collapsed="false">
      <c r="A1473" s="78" t="str">
        <f aca="false">IF(B1473="","",ROW()-6)</f>
        <v/>
      </c>
      <c r="B1473" s="90"/>
      <c r="C1473" s="91"/>
      <c r="D1473" s="91"/>
      <c r="E1473" s="80"/>
      <c r="F1473" s="92"/>
      <c r="G1473" s="79"/>
      <c r="H1473" s="82"/>
      <c r="I1473" s="93" t="str">
        <f aca="false">IF(B1473="","",IFERROR(INDEX('CARNET DE SOUDURE'!$B$7:$B$1506,MATCH(B1473,'CARNET DE SOUDURE'!$K$7:$K$1506,0)),IFERROR(INDEX('CARNET DE SOUDURE'!$B$7:$B$1506,MATCH(B1473,'CARNET DE SOUDURE'!$M$7:$M$1506,0)),"")))</f>
        <v/>
      </c>
      <c r="J1473" s="78" t="str">
        <f aca="false">IF(B1473="","",IFERROR(INDEX('CARNET DE SOUDURE'!$E$7:$E$1506,MATCH(B1473,'CARNET DE SOUDURE'!$M$7:$M$1506,0)),""))</f>
        <v/>
      </c>
      <c r="K1473" s="78" t="str">
        <f aca="false">IF(B1473="","",IFERROR(INDEX('CARNET DE SOUDURE'!$E$7:$E$1506,MATCH(B1473,'CARNET DE SOUDURE'!$K$7:$K$1506,0)),""))</f>
        <v/>
      </c>
      <c r="L1473" s="78" t="str">
        <f aca="false">IF(B1473="","",IFERROR(INDEX('CARNET DE SOUDURE'!$D$7:$D$1506,MATCH(B1473,'CARNET DE SOUDURE'!$K$7:$K$1506,0)),IFERROR(INDEX('CARNET DE SOUDURE'!$D$7:$D$1506,MATCH(B1473,'CARNET DE SOUDURE'!$M$7:$M$1506,0)),"")))</f>
        <v/>
      </c>
      <c r="M1473" s="81" t="str">
        <f aca="false">IF(B1473="","",IF(OR(J1473&lt;&gt;"",K1473&lt;&gt;""),"POSÉ EN LIGNE",IF(H1473&lt;&gt;"","BARDÉ","EN STOCK")))</f>
        <v/>
      </c>
      <c r="N1473" s="79"/>
    </row>
    <row r="1474" customFormat="false" ht="15" hidden="false" customHeight="false" outlineLevel="0" collapsed="false">
      <c r="A1474" s="78" t="str">
        <f aca="false">IF(B1474="","",ROW()-6)</f>
        <v/>
      </c>
      <c r="B1474" s="90"/>
      <c r="C1474" s="91"/>
      <c r="D1474" s="91"/>
      <c r="E1474" s="80"/>
      <c r="F1474" s="92"/>
      <c r="G1474" s="79"/>
      <c r="H1474" s="82"/>
      <c r="I1474" s="93" t="str">
        <f aca="false">IF(B1474="","",IFERROR(INDEX('CARNET DE SOUDURE'!$B$7:$B$1506,MATCH(B1474,'CARNET DE SOUDURE'!$K$7:$K$1506,0)),IFERROR(INDEX('CARNET DE SOUDURE'!$B$7:$B$1506,MATCH(B1474,'CARNET DE SOUDURE'!$M$7:$M$1506,0)),"")))</f>
        <v/>
      </c>
      <c r="J1474" s="78" t="str">
        <f aca="false">IF(B1474="","",IFERROR(INDEX('CARNET DE SOUDURE'!$E$7:$E$1506,MATCH(B1474,'CARNET DE SOUDURE'!$M$7:$M$1506,0)),""))</f>
        <v/>
      </c>
      <c r="K1474" s="78" t="str">
        <f aca="false">IF(B1474="","",IFERROR(INDEX('CARNET DE SOUDURE'!$E$7:$E$1506,MATCH(B1474,'CARNET DE SOUDURE'!$K$7:$K$1506,0)),""))</f>
        <v/>
      </c>
      <c r="L1474" s="78" t="str">
        <f aca="false">IF(B1474="","",IFERROR(INDEX('CARNET DE SOUDURE'!$D$7:$D$1506,MATCH(B1474,'CARNET DE SOUDURE'!$K$7:$K$1506,0)),IFERROR(INDEX('CARNET DE SOUDURE'!$D$7:$D$1506,MATCH(B1474,'CARNET DE SOUDURE'!$M$7:$M$1506,0)),"")))</f>
        <v/>
      </c>
      <c r="M1474" s="81" t="str">
        <f aca="false">IF(B1474="","",IF(OR(J1474&lt;&gt;"",K1474&lt;&gt;""),"POSÉ EN LIGNE",IF(H1474&lt;&gt;"","BARDÉ","EN STOCK")))</f>
        <v/>
      </c>
      <c r="N1474" s="79"/>
    </row>
    <row r="1475" customFormat="false" ht="15" hidden="false" customHeight="false" outlineLevel="0" collapsed="false">
      <c r="A1475" s="78" t="str">
        <f aca="false">IF(B1475="","",ROW()-6)</f>
        <v/>
      </c>
      <c r="B1475" s="90"/>
      <c r="C1475" s="91"/>
      <c r="D1475" s="91"/>
      <c r="E1475" s="80"/>
      <c r="F1475" s="92"/>
      <c r="G1475" s="79"/>
      <c r="H1475" s="82"/>
      <c r="I1475" s="93" t="str">
        <f aca="false">IF(B1475="","",IFERROR(INDEX('CARNET DE SOUDURE'!$B$7:$B$1506,MATCH(B1475,'CARNET DE SOUDURE'!$K$7:$K$1506,0)),IFERROR(INDEX('CARNET DE SOUDURE'!$B$7:$B$1506,MATCH(B1475,'CARNET DE SOUDURE'!$M$7:$M$1506,0)),"")))</f>
        <v/>
      </c>
      <c r="J1475" s="78" t="str">
        <f aca="false">IF(B1475="","",IFERROR(INDEX('CARNET DE SOUDURE'!$E$7:$E$1506,MATCH(B1475,'CARNET DE SOUDURE'!$M$7:$M$1506,0)),""))</f>
        <v/>
      </c>
      <c r="K1475" s="78" t="str">
        <f aca="false">IF(B1475="","",IFERROR(INDEX('CARNET DE SOUDURE'!$E$7:$E$1506,MATCH(B1475,'CARNET DE SOUDURE'!$K$7:$K$1506,0)),""))</f>
        <v/>
      </c>
      <c r="L1475" s="78" t="str">
        <f aca="false">IF(B1475="","",IFERROR(INDEX('CARNET DE SOUDURE'!$D$7:$D$1506,MATCH(B1475,'CARNET DE SOUDURE'!$K$7:$K$1506,0)),IFERROR(INDEX('CARNET DE SOUDURE'!$D$7:$D$1506,MATCH(B1475,'CARNET DE SOUDURE'!$M$7:$M$1506,0)),"")))</f>
        <v/>
      </c>
      <c r="M1475" s="81" t="str">
        <f aca="false">IF(B1475="","",IF(OR(J1475&lt;&gt;"",K1475&lt;&gt;""),"POSÉ EN LIGNE",IF(H1475&lt;&gt;"","BARDÉ","EN STOCK")))</f>
        <v/>
      </c>
      <c r="N1475" s="79"/>
    </row>
    <row r="1476" customFormat="false" ht="15" hidden="false" customHeight="false" outlineLevel="0" collapsed="false">
      <c r="A1476" s="78" t="str">
        <f aca="false">IF(B1476="","",ROW()-6)</f>
        <v/>
      </c>
      <c r="B1476" s="90"/>
      <c r="C1476" s="91"/>
      <c r="D1476" s="91"/>
      <c r="E1476" s="80"/>
      <c r="F1476" s="92"/>
      <c r="G1476" s="79"/>
      <c r="H1476" s="82"/>
      <c r="I1476" s="93" t="str">
        <f aca="false">IF(B1476="","",IFERROR(INDEX('CARNET DE SOUDURE'!$B$7:$B$1506,MATCH(B1476,'CARNET DE SOUDURE'!$K$7:$K$1506,0)),IFERROR(INDEX('CARNET DE SOUDURE'!$B$7:$B$1506,MATCH(B1476,'CARNET DE SOUDURE'!$M$7:$M$1506,0)),"")))</f>
        <v/>
      </c>
      <c r="J1476" s="78" t="str">
        <f aca="false">IF(B1476="","",IFERROR(INDEX('CARNET DE SOUDURE'!$E$7:$E$1506,MATCH(B1476,'CARNET DE SOUDURE'!$M$7:$M$1506,0)),""))</f>
        <v/>
      </c>
      <c r="K1476" s="78" t="str">
        <f aca="false">IF(B1476="","",IFERROR(INDEX('CARNET DE SOUDURE'!$E$7:$E$1506,MATCH(B1476,'CARNET DE SOUDURE'!$K$7:$K$1506,0)),""))</f>
        <v/>
      </c>
      <c r="L1476" s="78" t="str">
        <f aca="false">IF(B1476="","",IFERROR(INDEX('CARNET DE SOUDURE'!$D$7:$D$1506,MATCH(B1476,'CARNET DE SOUDURE'!$K$7:$K$1506,0)),IFERROR(INDEX('CARNET DE SOUDURE'!$D$7:$D$1506,MATCH(B1476,'CARNET DE SOUDURE'!$M$7:$M$1506,0)),"")))</f>
        <v/>
      </c>
      <c r="M1476" s="81" t="str">
        <f aca="false">IF(B1476="","",IF(OR(J1476&lt;&gt;"",K1476&lt;&gt;""),"POSÉ EN LIGNE",IF(H1476&lt;&gt;"","BARDÉ","EN STOCK")))</f>
        <v/>
      </c>
      <c r="N1476" s="79"/>
    </row>
    <row r="1477" customFormat="false" ht="15" hidden="false" customHeight="false" outlineLevel="0" collapsed="false">
      <c r="A1477" s="78" t="str">
        <f aca="false">IF(B1477="","",ROW()-6)</f>
        <v/>
      </c>
      <c r="B1477" s="90"/>
      <c r="C1477" s="91"/>
      <c r="D1477" s="91"/>
      <c r="E1477" s="80"/>
      <c r="F1477" s="92"/>
      <c r="G1477" s="79"/>
      <c r="H1477" s="82"/>
      <c r="I1477" s="93" t="str">
        <f aca="false">IF(B1477="","",IFERROR(INDEX('CARNET DE SOUDURE'!$B$7:$B$1506,MATCH(B1477,'CARNET DE SOUDURE'!$K$7:$K$1506,0)),IFERROR(INDEX('CARNET DE SOUDURE'!$B$7:$B$1506,MATCH(B1477,'CARNET DE SOUDURE'!$M$7:$M$1506,0)),"")))</f>
        <v/>
      </c>
      <c r="J1477" s="78" t="str">
        <f aca="false">IF(B1477="","",IFERROR(INDEX('CARNET DE SOUDURE'!$E$7:$E$1506,MATCH(B1477,'CARNET DE SOUDURE'!$M$7:$M$1506,0)),""))</f>
        <v/>
      </c>
      <c r="K1477" s="78" t="str">
        <f aca="false">IF(B1477="","",IFERROR(INDEX('CARNET DE SOUDURE'!$E$7:$E$1506,MATCH(B1477,'CARNET DE SOUDURE'!$K$7:$K$1506,0)),""))</f>
        <v/>
      </c>
      <c r="L1477" s="78" t="str">
        <f aca="false">IF(B1477="","",IFERROR(INDEX('CARNET DE SOUDURE'!$D$7:$D$1506,MATCH(B1477,'CARNET DE SOUDURE'!$K$7:$K$1506,0)),IFERROR(INDEX('CARNET DE SOUDURE'!$D$7:$D$1506,MATCH(B1477,'CARNET DE SOUDURE'!$M$7:$M$1506,0)),"")))</f>
        <v/>
      </c>
      <c r="M1477" s="81" t="str">
        <f aca="false">IF(B1477="","",IF(OR(J1477&lt;&gt;"",K1477&lt;&gt;""),"POSÉ EN LIGNE",IF(H1477&lt;&gt;"","BARDÉ","EN STOCK")))</f>
        <v/>
      </c>
      <c r="N1477" s="79"/>
    </row>
    <row r="1478" customFormat="false" ht="15" hidden="false" customHeight="false" outlineLevel="0" collapsed="false">
      <c r="A1478" s="78" t="str">
        <f aca="false">IF(B1478="","",ROW()-6)</f>
        <v/>
      </c>
      <c r="B1478" s="90"/>
      <c r="C1478" s="91"/>
      <c r="D1478" s="91"/>
      <c r="E1478" s="80"/>
      <c r="F1478" s="92"/>
      <c r="G1478" s="79"/>
      <c r="H1478" s="82"/>
      <c r="I1478" s="93" t="str">
        <f aca="false">IF(B1478="","",IFERROR(INDEX('CARNET DE SOUDURE'!$B$7:$B$1506,MATCH(B1478,'CARNET DE SOUDURE'!$K$7:$K$1506,0)),IFERROR(INDEX('CARNET DE SOUDURE'!$B$7:$B$1506,MATCH(B1478,'CARNET DE SOUDURE'!$M$7:$M$1506,0)),"")))</f>
        <v/>
      </c>
      <c r="J1478" s="78" t="str">
        <f aca="false">IF(B1478="","",IFERROR(INDEX('CARNET DE SOUDURE'!$E$7:$E$1506,MATCH(B1478,'CARNET DE SOUDURE'!$M$7:$M$1506,0)),""))</f>
        <v/>
      </c>
      <c r="K1478" s="78" t="str">
        <f aca="false">IF(B1478="","",IFERROR(INDEX('CARNET DE SOUDURE'!$E$7:$E$1506,MATCH(B1478,'CARNET DE SOUDURE'!$K$7:$K$1506,0)),""))</f>
        <v/>
      </c>
      <c r="L1478" s="78" t="str">
        <f aca="false">IF(B1478="","",IFERROR(INDEX('CARNET DE SOUDURE'!$D$7:$D$1506,MATCH(B1478,'CARNET DE SOUDURE'!$K$7:$K$1506,0)),IFERROR(INDEX('CARNET DE SOUDURE'!$D$7:$D$1506,MATCH(B1478,'CARNET DE SOUDURE'!$M$7:$M$1506,0)),"")))</f>
        <v/>
      </c>
      <c r="M1478" s="81" t="str">
        <f aca="false">IF(B1478="","",IF(OR(J1478&lt;&gt;"",K1478&lt;&gt;""),"POSÉ EN LIGNE",IF(H1478&lt;&gt;"","BARDÉ","EN STOCK")))</f>
        <v/>
      </c>
      <c r="N1478" s="79"/>
    </row>
    <row r="1479" customFormat="false" ht="15" hidden="false" customHeight="false" outlineLevel="0" collapsed="false">
      <c r="A1479" s="78" t="str">
        <f aca="false">IF(B1479="","",ROW()-6)</f>
        <v/>
      </c>
      <c r="B1479" s="90"/>
      <c r="C1479" s="91"/>
      <c r="D1479" s="91"/>
      <c r="E1479" s="80"/>
      <c r="F1479" s="92"/>
      <c r="G1479" s="79"/>
      <c r="H1479" s="82"/>
      <c r="I1479" s="93" t="str">
        <f aca="false">IF(B1479="","",IFERROR(INDEX('CARNET DE SOUDURE'!$B$7:$B$1506,MATCH(B1479,'CARNET DE SOUDURE'!$K$7:$K$1506,0)),IFERROR(INDEX('CARNET DE SOUDURE'!$B$7:$B$1506,MATCH(B1479,'CARNET DE SOUDURE'!$M$7:$M$1506,0)),"")))</f>
        <v/>
      </c>
      <c r="J1479" s="78" t="str">
        <f aca="false">IF(B1479="","",IFERROR(INDEX('CARNET DE SOUDURE'!$E$7:$E$1506,MATCH(B1479,'CARNET DE SOUDURE'!$M$7:$M$1506,0)),""))</f>
        <v/>
      </c>
      <c r="K1479" s="78" t="str">
        <f aca="false">IF(B1479="","",IFERROR(INDEX('CARNET DE SOUDURE'!$E$7:$E$1506,MATCH(B1479,'CARNET DE SOUDURE'!$K$7:$K$1506,0)),""))</f>
        <v/>
      </c>
      <c r="L1479" s="78" t="str">
        <f aca="false">IF(B1479="","",IFERROR(INDEX('CARNET DE SOUDURE'!$D$7:$D$1506,MATCH(B1479,'CARNET DE SOUDURE'!$K$7:$K$1506,0)),IFERROR(INDEX('CARNET DE SOUDURE'!$D$7:$D$1506,MATCH(B1479,'CARNET DE SOUDURE'!$M$7:$M$1506,0)),"")))</f>
        <v/>
      </c>
      <c r="M1479" s="81" t="str">
        <f aca="false">IF(B1479="","",IF(OR(J1479&lt;&gt;"",K1479&lt;&gt;""),"POSÉ EN LIGNE",IF(H1479&lt;&gt;"","BARDÉ","EN STOCK")))</f>
        <v/>
      </c>
      <c r="N1479" s="79"/>
    </row>
    <row r="1480" customFormat="false" ht="15" hidden="false" customHeight="false" outlineLevel="0" collapsed="false">
      <c r="A1480" s="78" t="str">
        <f aca="false">IF(B1480="","",ROW()-6)</f>
        <v/>
      </c>
      <c r="B1480" s="90"/>
      <c r="C1480" s="91"/>
      <c r="D1480" s="91"/>
      <c r="E1480" s="80"/>
      <c r="F1480" s="92"/>
      <c r="G1480" s="79"/>
      <c r="H1480" s="82"/>
      <c r="I1480" s="93" t="str">
        <f aca="false">IF(B1480="","",IFERROR(INDEX('CARNET DE SOUDURE'!$B$7:$B$1506,MATCH(B1480,'CARNET DE SOUDURE'!$K$7:$K$1506,0)),IFERROR(INDEX('CARNET DE SOUDURE'!$B$7:$B$1506,MATCH(B1480,'CARNET DE SOUDURE'!$M$7:$M$1506,0)),"")))</f>
        <v/>
      </c>
      <c r="J1480" s="78" t="str">
        <f aca="false">IF(B1480="","",IFERROR(INDEX('CARNET DE SOUDURE'!$E$7:$E$1506,MATCH(B1480,'CARNET DE SOUDURE'!$M$7:$M$1506,0)),""))</f>
        <v/>
      </c>
      <c r="K1480" s="78" t="str">
        <f aca="false">IF(B1480="","",IFERROR(INDEX('CARNET DE SOUDURE'!$E$7:$E$1506,MATCH(B1480,'CARNET DE SOUDURE'!$K$7:$K$1506,0)),""))</f>
        <v/>
      </c>
      <c r="L1480" s="78" t="str">
        <f aca="false">IF(B1480="","",IFERROR(INDEX('CARNET DE SOUDURE'!$D$7:$D$1506,MATCH(B1480,'CARNET DE SOUDURE'!$K$7:$K$1506,0)),IFERROR(INDEX('CARNET DE SOUDURE'!$D$7:$D$1506,MATCH(B1480,'CARNET DE SOUDURE'!$M$7:$M$1506,0)),"")))</f>
        <v/>
      </c>
      <c r="M1480" s="81" t="str">
        <f aca="false">IF(B1480="","",IF(OR(J1480&lt;&gt;"",K1480&lt;&gt;""),"POSÉ EN LIGNE",IF(H1480&lt;&gt;"","BARDÉ","EN STOCK")))</f>
        <v/>
      </c>
      <c r="N1480" s="79"/>
    </row>
    <row r="1481" customFormat="false" ht="15" hidden="false" customHeight="false" outlineLevel="0" collapsed="false">
      <c r="A1481" s="78" t="str">
        <f aca="false">IF(B1481="","",ROW()-6)</f>
        <v/>
      </c>
      <c r="B1481" s="90"/>
      <c r="C1481" s="91"/>
      <c r="D1481" s="91"/>
      <c r="E1481" s="80"/>
      <c r="F1481" s="92"/>
      <c r="G1481" s="79"/>
      <c r="H1481" s="82"/>
      <c r="I1481" s="93" t="str">
        <f aca="false">IF(B1481="","",IFERROR(INDEX('CARNET DE SOUDURE'!$B$7:$B$1506,MATCH(B1481,'CARNET DE SOUDURE'!$K$7:$K$1506,0)),IFERROR(INDEX('CARNET DE SOUDURE'!$B$7:$B$1506,MATCH(B1481,'CARNET DE SOUDURE'!$M$7:$M$1506,0)),"")))</f>
        <v/>
      </c>
      <c r="J1481" s="78" t="str">
        <f aca="false">IF(B1481="","",IFERROR(INDEX('CARNET DE SOUDURE'!$E$7:$E$1506,MATCH(B1481,'CARNET DE SOUDURE'!$M$7:$M$1506,0)),""))</f>
        <v/>
      </c>
      <c r="K1481" s="78" t="str">
        <f aca="false">IF(B1481="","",IFERROR(INDEX('CARNET DE SOUDURE'!$E$7:$E$1506,MATCH(B1481,'CARNET DE SOUDURE'!$K$7:$K$1506,0)),""))</f>
        <v/>
      </c>
      <c r="L1481" s="78" t="str">
        <f aca="false">IF(B1481="","",IFERROR(INDEX('CARNET DE SOUDURE'!$D$7:$D$1506,MATCH(B1481,'CARNET DE SOUDURE'!$K$7:$K$1506,0)),IFERROR(INDEX('CARNET DE SOUDURE'!$D$7:$D$1506,MATCH(B1481,'CARNET DE SOUDURE'!$M$7:$M$1506,0)),"")))</f>
        <v/>
      </c>
      <c r="M1481" s="81" t="str">
        <f aca="false">IF(B1481="","",IF(OR(J1481&lt;&gt;"",K1481&lt;&gt;""),"POSÉ EN LIGNE",IF(H1481&lt;&gt;"","BARDÉ","EN STOCK")))</f>
        <v/>
      </c>
      <c r="N1481" s="79"/>
    </row>
    <row r="1482" customFormat="false" ht="15" hidden="false" customHeight="false" outlineLevel="0" collapsed="false">
      <c r="A1482" s="78" t="str">
        <f aca="false">IF(B1482="","",ROW()-6)</f>
        <v/>
      </c>
      <c r="B1482" s="90"/>
      <c r="C1482" s="91"/>
      <c r="D1482" s="91"/>
      <c r="E1482" s="80"/>
      <c r="F1482" s="92"/>
      <c r="G1482" s="79"/>
      <c r="H1482" s="82"/>
      <c r="I1482" s="93" t="str">
        <f aca="false">IF(B1482="","",IFERROR(INDEX('CARNET DE SOUDURE'!$B$7:$B$1506,MATCH(B1482,'CARNET DE SOUDURE'!$K$7:$K$1506,0)),IFERROR(INDEX('CARNET DE SOUDURE'!$B$7:$B$1506,MATCH(B1482,'CARNET DE SOUDURE'!$M$7:$M$1506,0)),"")))</f>
        <v/>
      </c>
      <c r="J1482" s="78" t="str">
        <f aca="false">IF(B1482="","",IFERROR(INDEX('CARNET DE SOUDURE'!$E$7:$E$1506,MATCH(B1482,'CARNET DE SOUDURE'!$M$7:$M$1506,0)),""))</f>
        <v/>
      </c>
      <c r="K1482" s="78" t="str">
        <f aca="false">IF(B1482="","",IFERROR(INDEX('CARNET DE SOUDURE'!$E$7:$E$1506,MATCH(B1482,'CARNET DE SOUDURE'!$K$7:$K$1506,0)),""))</f>
        <v/>
      </c>
      <c r="L1482" s="78" t="str">
        <f aca="false">IF(B1482="","",IFERROR(INDEX('CARNET DE SOUDURE'!$D$7:$D$1506,MATCH(B1482,'CARNET DE SOUDURE'!$K$7:$K$1506,0)),IFERROR(INDEX('CARNET DE SOUDURE'!$D$7:$D$1506,MATCH(B1482,'CARNET DE SOUDURE'!$M$7:$M$1506,0)),"")))</f>
        <v/>
      </c>
      <c r="M1482" s="81" t="str">
        <f aca="false">IF(B1482="","",IF(OR(J1482&lt;&gt;"",K1482&lt;&gt;""),"POSÉ EN LIGNE",IF(H1482&lt;&gt;"","BARDÉ","EN STOCK")))</f>
        <v/>
      </c>
      <c r="N1482" s="79"/>
    </row>
    <row r="1483" customFormat="false" ht="15" hidden="false" customHeight="false" outlineLevel="0" collapsed="false">
      <c r="A1483" s="78" t="str">
        <f aca="false">IF(B1483="","",ROW()-6)</f>
        <v/>
      </c>
      <c r="B1483" s="90"/>
      <c r="C1483" s="91"/>
      <c r="D1483" s="91"/>
      <c r="E1483" s="80"/>
      <c r="F1483" s="92"/>
      <c r="G1483" s="79"/>
      <c r="H1483" s="82"/>
      <c r="I1483" s="93" t="str">
        <f aca="false">IF(B1483="","",IFERROR(INDEX('CARNET DE SOUDURE'!$B$7:$B$1506,MATCH(B1483,'CARNET DE SOUDURE'!$K$7:$K$1506,0)),IFERROR(INDEX('CARNET DE SOUDURE'!$B$7:$B$1506,MATCH(B1483,'CARNET DE SOUDURE'!$M$7:$M$1506,0)),"")))</f>
        <v/>
      </c>
      <c r="J1483" s="78" t="str">
        <f aca="false">IF(B1483="","",IFERROR(INDEX('CARNET DE SOUDURE'!$E$7:$E$1506,MATCH(B1483,'CARNET DE SOUDURE'!$M$7:$M$1506,0)),""))</f>
        <v/>
      </c>
      <c r="K1483" s="78" t="str">
        <f aca="false">IF(B1483="","",IFERROR(INDEX('CARNET DE SOUDURE'!$E$7:$E$1506,MATCH(B1483,'CARNET DE SOUDURE'!$K$7:$K$1506,0)),""))</f>
        <v/>
      </c>
      <c r="L1483" s="78" t="str">
        <f aca="false">IF(B1483="","",IFERROR(INDEX('CARNET DE SOUDURE'!$D$7:$D$1506,MATCH(B1483,'CARNET DE SOUDURE'!$K$7:$K$1506,0)),IFERROR(INDEX('CARNET DE SOUDURE'!$D$7:$D$1506,MATCH(B1483,'CARNET DE SOUDURE'!$M$7:$M$1506,0)),"")))</f>
        <v/>
      </c>
      <c r="M1483" s="81" t="str">
        <f aca="false">IF(B1483="","",IF(OR(J1483&lt;&gt;"",K1483&lt;&gt;""),"POSÉ EN LIGNE",IF(H1483&lt;&gt;"","BARDÉ","EN STOCK")))</f>
        <v/>
      </c>
      <c r="N1483" s="79"/>
    </row>
    <row r="1484" customFormat="false" ht="15" hidden="false" customHeight="false" outlineLevel="0" collapsed="false">
      <c r="A1484" s="78" t="str">
        <f aca="false">IF(B1484="","",ROW()-6)</f>
        <v/>
      </c>
      <c r="B1484" s="90"/>
      <c r="C1484" s="91"/>
      <c r="D1484" s="91"/>
      <c r="E1484" s="80"/>
      <c r="F1484" s="92"/>
      <c r="G1484" s="79"/>
      <c r="H1484" s="82"/>
      <c r="I1484" s="93" t="str">
        <f aca="false">IF(B1484="","",IFERROR(INDEX('CARNET DE SOUDURE'!$B$7:$B$1506,MATCH(B1484,'CARNET DE SOUDURE'!$K$7:$K$1506,0)),IFERROR(INDEX('CARNET DE SOUDURE'!$B$7:$B$1506,MATCH(B1484,'CARNET DE SOUDURE'!$M$7:$M$1506,0)),"")))</f>
        <v/>
      </c>
      <c r="J1484" s="78" t="str">
        <f aca="false">IF(B1484="","",IFERROR(INDEX('CARNET DE SOUDURE'!$E$7:$E$1506,MATCH(B1484,'CARNET DE SOUDURE'!$M$7:$M$1506,0)),""))</f>
        <v/>
      </c>
      <c r="K1484" s="78" t="str">
        <f aca="false">IF(B1484="","",IFERROR(INDEX('CARNET DE SOUDURE'!$E$7:$E$1506,MATCH(B1484,'CARNET DE SOUDURE'!$K$7:$K$1506,0)),""))</f>
        <v/>
      </c>
      <c r="L1484" s="78" t="str">
        <f aca="false">IF(B1484="","",IFERROR(INDEX('CARNET DE SOUDURE'!$D$7:$D$1506,MATCH(B1484,'CARNET DE SOUDURE'!$K$7:$K$1506,0)),IFERROR(INDEX('CARNET DE SOUDURE'!$D$7:$D$1506,MATCH(B1484,'CARNET DE SOUDURE'!$M$7:$M$1506,0)),"")))</f>
        <v/>
      </c>
      <c r="M1484" s="81" t="str">
        <f aca="false">IF(B1484="","",IF(OR(J1484&lt;&gt;"",K1484&lt;&gt;""),"POSÉ EN LIGNE",IF(H1484&lt;&gt;"","BARDÉ","EN STOCK")))</f>
        <v/>
      </c>
      <c r="N1484" s="79"/>
    </row>
    <row r="1485" customFormat="false" ht="15" hidden="false" customHeight="false" outlineLevel="0" collapsed="false">
      <c r="A1485" s="78" t="str">
        <f aca="false">IF(B1485="","",ROW()-6)</f>
        <v/>
      </c>
      <c r="B1485" s="90"/>
      <c r="C1485" s="91"/>
      <c r="D1485" s="91"/>
      <c r="E1485" s="80"/>
      <c r="F1485" s="92"/>
      <c r="G1485" s="79"/>
      <c r="H1485" s="82"/>
      <c r="I1485" s="93" t="str">
        <f aca="false">IF(B1485="","",IFERROR(INDEX('CARNET DE SOUDURE'!$B$7:$B$1506,MATCH(B1485,'CARNET DE SOUDURE'!$K$7:$K$1506,0)),IFERROR(INDEX('CARNET DE SOUDURE'!$B$7:$B$1506,MATCH(B1485,'CARNET DE SOUDURE'!$M$7:$M$1506,0)),"")))</f>
        <v/>
      </c>
      <c r="J1485" s="78" t="str">
        <f aca="false">IF(B1485="","",IFERROR(INDEX('CARNET DE SOUDURE'!$E$7:$E$1506,MATCH(B1485,'CARNET DE SOUDURE'!$M$7:$M$1506,0)),""))</f>
        <v/>
      </c>
      <c r="K1485" s="78" t="str">
        <f aca="false">IF(B1485="","",IFERROR(INDEX('CARNET DE SOUDURE'!$E$7:$E$1506,MATCH(B1485,'CARNET DE SOUDURE'!$K$7:$K$1506,0)),""))</f>
        <v/>
      </c>
      <c r="L1485" s="78" t="str">
        <f aca="false">IF(B1485="","",IFERROR(INDEX('CARNET DE SOUDURE'!$D$7:$D$1506,MATCH(B1485,'CARNET DE SOUDURE'!$K$7:$K$1506,0)),IFERROR(INDEX('CARNET DE SOUDURE'!$D$7:$D$1506,MATCH(B1485,'CARNET DE SOUDURE'!$M$7:$M$1506,0)),"")))</f>
        <v/>
      </c>
      <c r="M1485" s="81" t="str">
        <f aca="false">IF(B1485="","",IF(OR(J1485&lt;&gt;"",K1485&lt;&gt;""),"POSÉ EN LIGNE",IF(H1485&lt;&gt;"","BARDÉ","EN STOCK")))</f>
        <v/>
      </c>
      <c r="N1485" s="79"/>
    </row>
    <row r="1486" customFormat="false" ht="15" hidden="false" customHeight="false" outlineLevel="0" collapsed="false">
      <c r="A1486" s="78" t="str">
        <f aca="false">IF(B1486="","",ROW()-6)</f>
        <v/>
      </c>
      <c r="B1486" s="90"/>
      <c r="C1486" s="91"/>
      <c r="D1486" s="91"/>
      <c r="E1486" s="80"/>
      <c r="F1486" s="92"/>
      <c r="G1486" s="79"/>
      <c r="H1486" s="82"/>
      <c r="I1486" s="93" t="str">
        <f aca="false">IF(B1486="","",IFERROR(INDEX('CARNET DE SOUDURE'!$B$7:$B$1506,MATCH(B1486,'CARNET DE SOUDURE'!$K$7:$K$1506,0)),IFERROR(INDEX('CARNET DE SOUDURE'!$B$7:$B$1506,MATCH(B1486,'CARNET DE SOUDURE'!$M$7:$M$1506,0)),"")))</f>
        <v/>
      </c>
      <c r="J1486" s="78" t="str">
        <f aca="false">IF(B1486="","",IFERROR(INDEX('CARNET DE SOUDURE'!$E$7:$E$1506,MATCH(B1486,'CARNET DE SOUDURE'!$M$7:$M$1506,0)),""))</f>
        <v/>
      </c>
      <c r="K1486" s="78" t="str">
        <f aca="false">IF(B1486="","",IFERROR(INDEX('CARNET DE SOUDURE'!$E$7:$E$1506,MATCH(B1486,'CARNET DE SOUDURE'!$K$7:$K$1506,0)),""))</f>
        <v/>
      </c>
      <c r="L1486" s="78" t="str">
        <f aca="false">IF(B1486="","",IFERROR(INDEX('CARNET DE SOUDURE'!$D$7:$D$1506,MATCH(B1486,'CARNET DE SOUDURE'!$K$7:$K$1506,0)),IFERROR(INDEX('CARNET DE SOUDURE'!$D$7:$D$1506,MATCH(B1486,'CARNET DE SOUDURE'!$M$7:$M$1506,0)),"")))</f>
        <v/>
      </c>
      <c r="M1486" s="81" t="str">
        <f aca="false">IF(B1486="","",IF(OR(J1486&lt;&gt;"",K1486&lt;&gt;""),"POSÉ EN LIGNE",IF(H1486&lt;&gt;"","BARDÉ","EN STOCK")))</f>
        <v/>
      </c>
      <c r="N1486" s="79"/>
    </row>
    <row r="1487" customFormat="false" ht="15" hidden="false" customHeight="false" outlineLevel="0" collapsed="false">
      <c r="A1487" s="78" t="str">
        <f aca="false">IF(B1487="","",ROW()-6)</f>
        <v/>
      </c>
      <c r="B1487" s="90"/>
      <c r="C1487" s="91"/>
      <c r="D1487" s="91"/>
      <c r="E1487" s="80"/>
      <c r="F1487" s="92"/>
      <c r="G1487" s="79"/>
      <c r="H1487" s="82"/>
      <c r="I1487" s="93" t="str">
        <f aca="false">IF(B1487="","",IFERROR(INDEX('CARNET DE SOUDURE'!$B$7:$B$1506,MATCH(B1487,'CARNET DE SOUDURE'!$K$7:$K$1506,0)),IFERROR(INDEX('CARNET DE SOUDURE'!$B$7:$B$1506,MATCH(B1487,'CARNET DE SOUDURE'!$M$7:$M$1506,0)),"")))</f>
        <v/>
      </c>
      <c r="J1487" s="78" t="str">
        <f aca="false">IF(B1487="","",IFERROR(INDEX('CARNET DE SOUDURE'!$E$7:$E$1506,MATCH(B1487,'CARNET DE SOUDURE'!$M$7:$M$1506,0)),""))</f>
        <v/>
      </c>
      <c r="K1487" s="78" t="str">
        <f aca="false">IF(B1487="","",IFERROR(INDEX('CARNET DE SOUDURE'!$E$7:$E$1506,MATCH(B1487,'CARNET DE SOUDURE'!$K$7:$K$1506,0)),""))</f>
        <v/>
      </c>
      <c r="L1487" s="78" t="str">
        <f aca="false">IF(B1487="","",IFERROR(INDEX('CARNET DE SOUDURE'!$D$7:$D$1506,MATCH(B1487,'CARNET DE SOUDURE'!$K$7:$K$1506,0)),IFERROR(INDEX('CARNET DE SOUDURE'!$D$7:$D$1506,MATCH(B1487,'CARNET DE SOUDURE'!$M$7:$M$1506,0)),"")))</f>
        <v/>
      </c>
      <c r="M1487" s="81" t="str">
        <f aca="false">IF(B1487="","",IF(OR(J1487&lt;&gt;"",K1487&lt;&gt;""),"POSÉ EN LIGNE",IF(H1487&lt;&gt;"","BARDÉ","EN STOCK")))</f>
        <v/>
      </c>
      <c r="N1487" s="79"/>
    </row>
    <row r="1488" customFormat="false" ht="15" hidden="false" customHeight="false" outlineLevel="0" collapsed="false">
      <c r="A1488" s="78" t="str">
        <f aca="false">IF(B1488="","",ROW()-6)</f>
        <v/>
      </c>
      <c r="B1488" s="90"/>
      <c r="C1488" s="91"/>
      <c r="D1488" s="91"/>
      <c r="E1488" s="80"/>
      <c r="F1488" s="92"/>
      <c r="G1488" s="79"/>
      <c r="H1488" s="82"/>
      <c r="I1488" s="93" t="str">
        <f aca="false">IF(B1488="","",IFERROR(INDEX('CARNET DE SOUDURE'!$B$7:$B$1506,MATCH(B1488,'CARNET DE SOUDURE'!$K$7:$K$1506,0)),IFERROR(INDEX('CARNET DE SOUDURE'!$B$7:$B$1506,MATCH(B1488,'CARNET DE SOUDURE'!$M$7:$M$1506,0)),"")))</f>
        <v/>
      </c>
      <c r="J1488" s="78" t="str">
        <f aca="false">IF(B1488="","",IFERROR(INDEX('CARNET DE SOUDURE'!$E$7:$E$1506,MATCH(B1488,'CARNET DE SOUDURE'!$M$7:$M$1506,0)),""))</f>
        <v/>
      </c>
      <c r="K1488" s="78" t="str">
        <f aca="false">IF(B1488="","",IFERROR(INDEX('CARNET DE SOUDURE'!$E$7:$E$1506,MATCH(B1488,'CARNET DE SOUDURE'!$K$7:$K$1506,0)),""))</f>
        <v/>
      </c>
      <c r="L1488" s="78" t="str">
        <f aca="false">IF(B1488="","",IFERROR(INDEX('CARNET DE SOUDURE'!$D$7:$D$1506,MATCH(B1488,'CARNET DE SOUDURE'!$K$7:$K$1506,0)),IFERROR(INDEX('CARNET DE SOUDURE'!$D$7:$D$1506,MATCH(B1488,'CARNET DE SOUDURE'!$M$7:$M$1506,0)),"")))</f>
        <v/>
      </c>
      <c r="M1488" s="81" t="str">
        <f aca="false">IF(B1488="","",IF(OR(J1488&lt;&gt;"",K1488&lt;&gt;""),"POSÉ EN LIGNE",IF(H1488&lt;&gt;"","BARDÉ","EN STOCK")))</f>
        <v/>
      </c>
      <c r="N1488" s="79"/>
    </row>
    <row r="1489" customFormat="false" ht="15" hidden="false" customHeight="false" outlineLevel="0" collapsed="false">
      <c r="A1489" s="78" t="str">
        <f aca="false">IF(B1489="","",ROW()-6)</f>
        <v/>
      </c>
      <c r="B1489" s="90"/>
      <c r="C1489" s="91"/>
      <c r="D1489" s="91"/>
      <c r="E1489" s="80"/>
      <c r="F1489" s="92"/>
      <c r="G1489" s="79"/>
      <c r="H1489" s="82"/>
      <c r="I1489" s="93" t="str">
        <f aca="false">IF(B1489="","",IFERROR(INDEX('CARNET DE SOUDURE'!$B$7:$B$1506,MATCH(B1489,'CARNET DE SOUDURE'!$K$7:$K$1506,0)),IFERROR(INDEX('CARNET DE SOUDURE'!$B$7:$B$1506,MATCH(B1489,'CARNET DE SOUDURE'!$M$7:$M$1506,0)),"")))</f>
        <v/>
      </c>
      <c r="J1489" s="78" t="str">
        <f aca="false">IF(B1489="","",IFERROR(INDEX('CARNET DE SOUDURE'!$E$7:$E$1506,MATCH(B1489,'CARNET DE SOUDURE'!$M$7:$M$1506,0)),""))</f>
        <v/>
      </c>
      <c r="K1489" s="78" t="str">
        <f aca="false">IF(B1489="","",IFERROR(INDEX('CARNET DE SOUDURE'!$E$7:$E$1506,MATCH(B1489,'CARNET DE SOUDURE'!$K$7:$K$1506,0)),""))</f>
        <v/>
      </c>
      <c r="L1489" s="78" t="str">
        <f aca="false">IF(B1489="","",IFERROR(INDEX('CARNET DE SOUDURE'!$D$7:$D$1506,MATCH(B1489,'CARNET DE SOUDURE'!$K$7:$K$1506,0)),IFERROR(INDEX('CARNET DE SOUDURE'!$D$7:$D$1506,MATCH(B1489,'CARNET DE SOUDURE'!$M$7:$M$1506,0)),"")))</f>
        <v/>
      </c>
      <c r="M1489" s="81" t="str">
        <f aca="false">IF(B1489="","",IF(OR(J1489&lt;&gt;"",K1489&lt;&gt;""),"POSÉ EN LIGNE",IF(H1489&lt;&gt;"","BARDÉ","EN STOCK")))</f>
        <v/>
      </c>
      <c r="N1489" s="79"/>
    </row>
    <row r="1490" customFormat="false" ht="15" hidden="false" customHeight="false" outlineLevel="0" collapsed="false">
      <c r="A1490" s="78" t="str">
        <f aca="false">IF(B1490="","",ROW()-6)</f>
        <v/>
      </c>
      <c r="B1490" s="90"/>
      <c r="C1490" s="91"/>
      <c r="D1490" s="91"/>
      <c r="E1490" s="80"/>
      <c r="F1490" s="92"/>
      <c r="G1490" s="79"/>
      <c r="H1490" s="82"/>
      <c r="I1490" s="93" t="str">
        <f aca="false">IF(B1490="","",IFERROR(INDEX('CARNET DE SOUDURE'!$B$7:$B$1506,MATCH(B1490,'CARNET DE SOUDURE'!$K$7:$K$1506,0)),IFERROR(INDEX('CARNET DE SOUDURE'!$B$7:$B$1506,MATCH(B1490,'CARNET DE SOUDURE'!$M$7:$M$1506,0)),"")))</f>
        <v/>
      </c>
      <c r="J1490" s="78" t="str">
        <f aca="false">IF(B1490="","",IFERROR(INDEX('CARNET DE SOUDURE'!$E$7:$E$1506,MATCH(B1490,'CARNET DE SOUDURE'!$M$7:$M$1506,0)),""))</f>
        <v/>
      </c>
      <c r="K1490" s="78" t="str">
        <f aca="false">IF(B1490="","",IFERROR(INDEX('CARNET DE SOUDURE'!$E$7:$E$1506,MATCH(B1490,'CARNET DE SOUDURE'!$K$7:$K$1506,0)),""))</f>
        <v/>
      </c>
      <c r="L1490" s="78" t="str">
        <f aca="false">IF(B1490="","",IFERROR(INDEX('CARNET DE SOUDURE'!$D$7:$D$1506,MATCH(B1490,'CARNET DE SOUDURE'!$K$7:$K$1506,0)),IFERROR(INDEX('CARNET DE SOUDURE'!$D$7:$D$1506,MATCH(B1490,'CARNET DE SOUDURE'!$M$7:$M$1506,0)),"")))</f>
        <v/>
      </c>
      <c r="M1490" s="81" t="str">
        <f aca="false">IF(B1490="","",IF(OR(J1490&lt;&gt;"",K1490&lt;&gt;""),"POSÉ EN LIGNE",IF(H1490&lt;&gt;"","BARDÉ","EN STOCK")))</f>
        <v/>
      </c>
      <c r="N1490" s="79"/>
    </row>
    <row r="1491" customFormat="false" ht="15" hidden="false" customHeight="false" outlineLevel="0" collapsed="false">
      <c r="A1491" s="78" t="str">
        <f aca="false">IF(B1491="","",ROW()-6)</f>
        <v/>
      </c>
      <c r="B1491" s="90"/>
      <c r="C1491" s="91"/>
      <c r="D1491" s="91"/>
      <c r="E1491" s="80"/>
      <c r="F1491" s="92"/>
      <c r="G1491" s="79"/>
      <c r="H1491" s="82"/>
      <c r="I1491" s="93" t="str">
        <f aca="false">IF(B1491="","",IFERROR(INDEX('CARNET DE SOUDURE'!$B$7:$B$1506,MATCH(B1491,'CARNET DE SOUDURE'!$K$7:$K$1506,0)),IFERROR(INDEX('CARNET DE SOUDURE'!$B$7:$B$1506,MATCH(B1491,'CARNET DE SOUDURE'!$M$7:$M$1506,0)),"")))</f>
        <v/>
      </c>
      <c r="J1491" s="78" t="str">
        <f aca="false">IF(B1491="","",IFERROR(INDEX('CARNET DE SOUDURE'!$E$7:$E$1506,MATCH(B1491,'CARNET DE SOUDURE'!$M$7:$M$1506,0)),""))</f>
        <v/>
      </c>
      <c r="K1491" s="78" t="str">
        <f aca="false">IF(B1491="","",IFERROR(INDEX('CARNET DE SOUDURE'!$E$7:$E$1506,MATCH(B1491,'CARNET DE SOUDURE'!$K$7:$K$1506,0)),""))</f>
        <v/>
      </c>
      <c r="L1491" s="78" t="str">
        <f aca="false">IF(B1491="","",IFERROR(INDEX('CARNET DE SOUDURE'!$D$7:$D$1506,MATCH(B1491,'CARNET DE SOUDURE'!$K$7:$K$1506,0)),IFERROR(INDEX('CARNET DE SOUDURE'!$D$7:$D$1506,MATCH(B1491,'CARNET DE SOUDURE'!$M$7:$M$1506,0)),"")))</f>
        <v/>
      </c>
      <c r="M1491" s="81" t="str">
        <f aca="false">IF(B1491="","",IF(OR(J1491&lt;&gt;"",K1491&lt;&gt;""),"POSÉ EN LIGNE",IF(H1491&lt;&gt;"","BARDÉ","EN STOCK")))</f>
        <v/>
      </c>
      <c r="N1491" s="79"/>
    </row>
    <row r="1492" customFormat="false" ht="15" hidden="false" customHeight="false" outlineLevel="0" collapsed="false">
      <c r="A1492" s="78" t="str">
        <f aca="false">IF(B1492="","",ROW()-6)</f>
        <v/>
      </c>
      <c r="B1492" s="90"/>
      <c r="C1492" s="91"/>
      <c r="D1492" s="91"/>
      <c r="E1492" s="80"/>
      <c r="F1492" s="92"/>
      <c r="G1492" s="79"/>
      <c r="H1492" s="82"/>
      <c r="I1492" s="93" t="str">
        <f aca="false">IF(B1492="","",IFERROR(INDEX('CARNET DE SOUDURE'!$B$7:$B$1506,MATCH(B1492,'CARNET DE SOUDURE'!$K$7:$K$1506,0)),IFERROR(INDEX('CARNET DE SOUDURE'!$B$7:$B$1506,MATCH(B1492,'CARNET DE SOUDURE'!$M$7:$M$1506,0)),"")))</f>
        <v/>
      </c>
      <c r="J1492" s="78" t="str">
        <f aca="false">IF(B1492="","",IFERROR(INDEX('CARNET DE SOUDURE'!$E$7:$E$1506,MATCH(B1492,'CARNET DE SOUDURE'!$M$7:$M$1506,0)),""))</f>
        <v/>
      </c>
      <c r="K1492" s="78" t="str">
        <f aca="false">IF(B1492="","",IFERROR(INDEX('CARNET DE SOUDURE'!$E$7:$E$1506,MATCH(B1492,'CARNET DE SOUDURE'!$K$7:$K$1506,0)),""))</f>
        <v/>
      </c>
      <c r="L1492" s="78" t="str">
        <f aca="false">IF(B1492="","",IFERROR(INDEX('CARNET DE SOUDURE'!$D$7:$D$1506,MATCH(B1492,'CARNET DE SOUDURE'!$K$7:$K$1506,0)),IFERROR(INDEX('CARNET DE SOUDURE'!$D$7:$D$1506,MATCH(B1492,'CARNET DE SOUDURE'!$M$7:$M$1506,0)),"")))</f>
        <v/>
      </c>
      <c r="M1492" s="81" t="str">
        <f aca="false">IF(B1492="","",IF(OR(J1492&lt;&gt;"",K1492&lt;&gt;""),"POSÉ EN LIGNE",IF(H1492&lt;&gt;"","BARDÉ","EN STOCK")))</f>
        <v/>
      </c>
      <c r="N1492" s="79"/>
    </row>
    <row r="1493" customFormat="false" ht="15" hidden="false" customHeight="false" outlineLevel="0" collapsed="false">
      <c r="A1493" s="78" t="str">
        <f aca="false">IF(B1493="","",ROW()-6)</f>
        <v/>
      </c>
      <c r="B1493" s="90"/>
      <c r="C1493" s="91"/>
      <c r="D1493" s="91"/>
      <c r="E1493" s="80"/>
      <c r="F1493" s="92"/>
      <c r="G1493" s="79"/>
      <c r="H1493" s="82"/>
      <c r="I1493" s="93" t="str">
        <f aca="false">IF(B1493="","",IFERROR(INDEX('CARNET DE SOUDURE'!$B$7:$B$1506,MATCH(B1493,'CARNET DE SOUDURE'!$K$7:$K$1506,0)),IFERROR(INDEX('CARNET DE SOUDURE'!$B$7:$B$1506,MATCH(B1493,'CARNET DE SOUDURE'!$M$7:$M$1506,0)),"")))</f>
        <v/>
      </c>
      <c r="J1493" s="78" t="str">
        <f aca="false">IF(B1493="","",IFERROR(INDEX('CARNET DE SOUDURE'!$E$7:$E$1506,MATCH(B1493,'CARNET DE SOUDURE'!$M$7:$M$1506,0)),""))</f>
        <v/>
      </c>
      <c r="K1493" s="78" t="str">
        <f aca="false">IF(B1493="","",IFERROR(INDEX('CARNET DE SOUDURE'!$E$7:$E$1506,MATCH(B1493,'CARNET DE SOUDURE'!$K$7:$K$1506,0)),""))</f>
        <v/>
      </c>
      <c r="L1493" s="78" t="str">
        <f aca="false">IF(B1493="","",IFERROR(INDEX('CARNET DE SOUDURE'!$D$7:$D$1506,MATCH(B1493,'CARNET DE SOUDURE'!$K$7:$K$1506,0)),IFERROR(INDEX('CARNET DE SOUDURE'!$D$7:$D$1506,MATCH(B1493,'CARNET DE SOUDURE'!$M$7:$M$1506,0)),"")))</f>
        <v/>
      </c>
      <c r="M1493" s="81" t="str">
        <f aca="false">IF(B1493="","",IF(OR(J1493&lt;&gt;"",K1493&lt;&gt;""),"POSÉ EN LIGNE",IF(H1493&lt;&gt;"","BARDÉ","EN STOCK")))</f>
        <v/>
      </c>
      <c r="N1493" s="79"/>
    </row>
    <row r="1494" customFormat="false" ht="15" hidden="false" customHeight="false" outlineLevel="0" collapsed="false">
      <c r="A1494" s="78" t="str">
        <f aca="false">IF(B1494="","",ROW()-6)</f>
        <v/>
      </c>
      <c r="B1494" s="90"/>
      <c r="C1494" s="91"/>
      <c r="D1494" s="91"/>
      <c r="E1494" s="80"/>
      <c r="F1494" s="92"/>
      <c r="G1494" s="79"/>
      <c r="H1494" s="82"/>
      <c r="I1494" s="93" t="str">
        <f aca="false">IF(B1494="","",IFERROR(INDEX('CARNET DE SOUDURE'!$B$7:$B$1506,MATCH(B1494,'CARNET DE SOUDURE'!$K$7:$K$1506,0)),IFERROR(INDEX('CARNET DE SOUDURE'!$B$7:$B$1506,MATCH(B1494,'CARNET DE SOUDURE'!$M$7:$M$1506,0)),"")))</f>
        <v/>
      </c>
      <c r="J1494" s="78" t="str">
        <f aca="false">IF(B1494="","",IFERROR(INDEX('CARNET DE SOUDURE'!$E$7:$E$1506,MATCH(B1494,'CARNET DE SOUDURE'!$M$7:$M$1506,0)),""))</f>
        <v/>
      </c>
      <c r="K1494" s="78" t="str">
        <f aca="false">IF(B1494="","",IFERROR(INDEX('CARNET DE SOUDURE'!$E$7:$E$1506,MATCH(B1494,'CARNET DE SOUDURE'!$K$7:$K$1506,0)),""))</f>
        <v/>
      </c>
      <c r="L1494" s="78" t="str">
        <f aca="false">IF(B1494="","",IFERROR(INDEX('CARNET DE SOUDURE'!$D$7:$D$1506,MATCH(B1494,'CARNET DE SOUDURE'!$K$7:$K$1506,0)),IFERROR(INDEX('CARNET DE SOUDURE'!$D$7:$D$1506,MATCH(B1494,'CARNET DE SOUDURE'!$M$7:$M$1506,0)),"")))</f>
        <v/>
      </c>
      <c r="M1494" s="81" t="str">
        <f aca="false">IF(B1494="","",IF(OR(J1494&lt;&gt;"",K1494&lt;&gt;""),"POSÉ EN LIGNE",IF(H1494&lt;&gt;"","BARDÉ","EN STOCK")))</f>
        <v/>
      </c>
      <c r="N1494" s="79"/>
    </row>
    <row r="1495" customFormat="false" ht="15" hidden="false" customHeight="false" outlineLevel="0" collapsed="false">
      <c r="A1495" s="78" t="str">
        <f aca="false">IF(B1495="","",ROW()-6)</f>
        <v/>
      </c>
      <c r="B1495" s="90"/>
      <c r="C1495" s="91"/>
      <c r="D1495" s="91"/>
      <c r="E1495" s="80"/>
      <c r="F1495" s="92"/>
      <c r="G1495" s="79"/>
      <c r="H1495" s="82"/>
      <c r="I1495" s="93" t="str">
        <f aca="false">IF(B1495="","",IFERROR(INDEX('CARNET DE SOUDURE'!$B$7:$B$1506,MATCH(B1495,'CARNET DE SOUDURE'!$K$7:$K$1506,0)),IFERROR(INDEX('CARNET DE SOUDURE'!$B$7:$B$1506,MATCH(B1495,'CARNET DE SOUDURE'!$M$7:$M$1506,0)),"")))</f>
        <v/>
      </c>
      <c r="J1495" s="78" t="str">
        <f aca="false">IF(B1495="","",IFERROR(INDEX('CARNET DE SOUDURE'!$E$7:$E$1506,MATCH(B1495,'CARNET DE SOUDURE'!$M$7:$M$1506,0)),""))</f>
        <v/>
      </c>
      <c r="K1495" s="78" t="str">
        <f aca="false">IF(B1495="","",IFERROR(INDEX('CARNET DE SOUDURE'!$E$7:$E$1506,MATCH(B1495,'CARNET DE SOUDURE'!$K$7:$K$1506,0)),""))</f>
        <v/>
      </c>
      <c r="L1495" s="78" t="str">
        <f aca="false">IF(B1495="","",IFERROR(INDEX('CARNET DE SOUDURE'!$D$7:$D$1506,MATCH(B1495,'CARNET DE SOUDURE'!$K$7:$K$1506,0)),IFERROR(INDEX('CARNET DE SOUDURE'!$D$7:$D$1506,MATCH(B1495,'CARNET DE SOUDURE'!$M$7:$M$1506,0)),"")))</f>
        <v/>
      </c>
      <c r="M1495" s="81" t="str">
        <f aca="false">IF(B1495="","",IF(OR(J1495&lt;&gt;"",K1495&lt;&gt;""),"POSÉ EN LIGNE",IF(H1495&lt;&gt;"","BARDÉ","EN STOCK")))</f>
        <v/>
      </c>
      <c r="N1495" s="79"/>
    </row>
    <row r="1496" customFormat="false" ht="15" hidden="false" customHeight="false" outlineLevel="0" collapsed="false">
      <c r="A1496" s="78" t="str">
        <f aca="false">IF(B1496="","",ROW()-6)</f>
        <v/>
      </c>
      <c r="B1496" s="90"/>
      <c r="C1496" s="91"/>
      <c r="D1496" s="91"/>
      <c r="E1496" s="80"/>
      <c r="F1496" s="92"/>
      <c r="G1496" s="79"/>
      <c r="H1496" s="82"/>
      <c r="I1496" s="93" t="str">
        <f aca="false">IF(B1496="","",IFERROR(INDEX('CARNET DE SOUDURE'!$B$7:$B$1506,MATCH(B1496,'CARNET DE SOUDURE'!$K$7:$K$1506,0)),IFERROR(INDEX('CARNET DE SOUDURE'!$B$7:$B$1506,MATCH(B1496,'CARNET DE SOUDURE'!$M$7:$M$1506,0)),"")))</f>
        <v/>
      </c>
      <c r="J1496" s="78" t="str">
        <f aca="false">IF(B1496="","",IFERROR(INDEX('CARNET DE SOUDURE'!$E$7:$E$1506,MATCH(B1496,'CARNET DE SOUDURE'!$M$7:$M$1506,0)),""))</f>
        <v/>
      </c>
      <c r="K1496" s="78" t="str">
        <f aca="false">IF(B1496="","",IFERROR(INDEX('CARNET DE SOUDURE'!$E$7:$E$1506,MATCH(B1496,'CARNET DE SOUDURE'!$K$7:$K$1506,0)),""))</f>
        <v/>
      </c>
      <c r="L1496" s="78" t="str">
        <f aca="false">IF(B1496="","",IFERROR(INDEX('CARNET DE SOUDURE'!$D$7:$D$1506,MATCH(B1496,'CARNET DE SOUDURE'!$K$7:$K$1506,0)),IFERROR(INDEX('CARNET DE SOUDURE'!$D$7:$D$1506,MATCH(B1496,'CARNET DE SOUDURE'!$M$7:$M$1506,0)),"")))</f>
        <v/>
      </c>
      <c r="M1496" s="81" t="str">
        <f aca="false">IF(B1496="","",IF(OR(J1496&lt;&gt;"",K1496&lt;&gt;""),"POSÉ EN LIGNE",IF(H1496&lt;&gt;"","BARDÉ","EN STOCK")))</f>
        <v/>
      </c>
      <c r="N1496" s="79"/>
    </row>
    <row r="1497" customFormat="false" ht="15" hidden="false" customHeight="false" outlineLevel="0" collapsed="false">
      <c r="A1497" s="78" t="str">
        <f aca="false">IF(B1497="","",ROW()-6)</f>
        <v/>
      </c>
      <c r="B1497" s="90"/>
      <c r="C1497" s="91"/>
      <c r="D1497" s="91"/>
      <c r="E1497" s="80"/>
      <c r="F1497" s="92"/>
      <c r="G1497" s="79"/>
      <c r="H1497" s="82"/>
      <c r="I1497" s="93" t="str">
        <f aca="false">IF(B1497="","",IFERROR(INDEX('CARNET DE SOUDURE'!$B$7:$B$1506,MATCH(B1497,'CARNET DE SOUDURE'!$K$7:$K$1506,0)),IFERROR(INDEX('CARNET DE SOUDURE'!$B$7:$B$1506,MATCH(B1497,'CARNET DE SOUDURE'!$M$7:$M$1506,0)),"")))</f>
        <v/>
      </c>
      <c r="J1497" s="78" t="str">
        <f aca="false">IF(B1497="","",IFERROR(INDEX('CARNET DE SOUDURE'!$E$7:$E$1506,MATCH(B1497,'CARNET DE SOUDURE'!$M$7:$M$1506,0)),""))</f>
        <v/>
      </c>
      <c r="K1497" s="78" t="str">
        <f aca="false">IF(B1497="","",IFERROR(INDEX('CARNET DE SOUDURE'!$E$7:$E$1506,MATCH(B1497,'CARNET DE SOUDURE'!$K$7:$K$1506,0)),""))</f>
        <v/>
      </c>
      <c r="L1497" s="78" t="str">
        <f aca="false">IF(B1497="","",IFERROR(INDEX('CARNET DE SOUDURE'!$D$7:$D$1506,MATCH(B1497,'CARNET DE SOUDURE'!$K$7:$K$1506,0)),IFERROR(INDEX('CARNET DE SOUDURE'!$D$7:$D$1506,MATCH(B1497,'CARNET DE SOUDURE'!$M$7:$M$1506,0)),"")))</f>
        <v/>
      </c>
      <c r="M1497" s="81" t="str">
        <f aca="false">IF(B1497="","",IF(OR(J1497&lt;&gt;"",K1497&lt;&gt;""),"POSÉ EN LIGNE",IF(H1497&lt;&gt;"","BARDÉ","EN STOCK")))</f>
        <v/>
      </c>
      <c r="N1497" s="79"/>
    </row>
    <row r="1498" customFormat="false" ht="15" hidden="false" customHeight="false" outlineLevel="0" collapsed="false">
      <c r="A1498" s="78" t="str">
        <f aca="false">IF(B1498="","",ROW()-6)</f>
        <v/>
      </c>
      <c r="B1498" s="90"/>
      <c r="C1498" s="91"/>
      <c r="D1498" s="91"/>
      <c r="E1498" s="80"/>
      <c r="F1498" s="92"/>
      <c r="G1498" s="79"/>
      <c r="H1498" s="82"/>
      <c r="I1498" s="93" t="str">
        <f aca="false">IF(B1498="","",IFERROR(INDEX('CARNET DE SOUDURE'!$B$7:$B$1506,MATCH(B1498,'CARNET DE SOUDURE'!$K$7:$K$1506,0)),IFERROR(INDEX('CARNET DE SOUDURE'!$B$7:$B$1506,MATCH(B1498,'CARNET DE SOUDURE'!$M$7:$M$1506,0)),"")))</f>
        <v/>
      </c>
      <c r="J1498" s="78" t="str">
        <f aca="false">IF(B1498="","",IFERROR(INDEX('CARNET DE SOUDURE'!$E$7:$E$1506,MATCH(B1498,'CARNET DE SOUDURE'!$M$7:$M$1506,0)),""))</f>
        <v/>
      </c>
      <c r="K1498" s="78" t="str">
        <f aca="false">IF(B1498="","",IFERROR(INDEX('CARNET DE SOUDURE'!$E$7:$E$1506,MATCH(B1498,'CARNET DE SOUDURE'!$K$7:$K$1506,0)),""))</f>
        <v/>
      </c>
      <c r="L1498" s="78" t="str">
        <f aca="false">IF(B1498="","",IFERROR(INDEX('CARNET DE SOUDURE'!$D$7:$D$1506,MATCH(B1498,'CARNET DE SOUDURE'!$K$7:$K$1506,0)),IFERROR(INDEX('CARNET DE SOUDURE'!$D$7:$D$1506,MATCH(B1498,'CARNET DE SOUDURE'!$M$7:$M$1506,0)),"")))</f>
        <v/>
      </c>
      <c r="M1498" s="81" t="str">
        <f aca="false">IF(B1498="","",IF(OR(J1498&lt;&gt;"",K1498&lt;&gt;""),"POSÉ EN LIGNE",IF(H1498&lt;&gt;"","BARDÉ","EN STOCK")))</f>
        <v/>
      </c>
      <c r="N1498" s="79"/>
    </row>
    <row r="1499" customFormat="false" ht="15" hidden="false" customHeight="false" outlineLevel="0" collapsed="false">
      <c r="A1499" s="78" t="str">
        <f aca="false">IF(B1499="","",ROW()-6)</f>
        <v/>
      </c>
      <c r="B1499" s="90"/>
      <c r="C1499" s="91"/>
      <c r="D1499" s="91"/>
      <c r="E1499" s="80"/>
      <c r="F1499" s="92"/>
      <c r="G1499" s="79"/>
      <c r="H1499" s="82"/>
      <c r="I1499" s="93" t="str">
        <f aca="false">IF(B1499="","",IFERROR(INDEX('CARNET DE SOUDURE'!$B$7:$B$1506,MATCH(B1499,'CARNET DE SOUDURE'!$K$7:$K$1506,0)),IFERROR(INDEX('CARNET DE SOUDURE'!$B$7:$B$1506,MATCH(B1499,'CARNET DE SOUDURE'!$M$7:$M$1506,0)),"")))</f>
        <v/>
      </c>
      <c r="J1499" s="78" t="str">
        <f aca="false">IF(B1499="","",IFERROR(INDEX('CARNET DE SOUDURE'!$E$7:$E$1506,MATCH(B1499,'CARNET DE SOUDURE'!$M$7:$M$1506,0)),""))</f>
        <v/>
      </c>
      <c r="K1499" s="78" t="str">
        <f aca="false">IF(B1499="","",IFERROR(INDEX('CARNET DE SOUDURE'!$E$7:$E$1506,MATCH(B1499,'CARNET DE SOUDURE'!$K$7:$K$1506,0)),""))</f>
        <v/>
      </c>
      <c r="L1499" s="78" t="str">
        <f aca="false">IF(B1499="","",IFERROR(INDEX('CARNET DE SOUDURE'!$D$7:$D$1506,MATCH(B1499,'CARNET DE SOUDURE'!$K$7:$K$1506,0)),IFERROR(INDEX('CARNET DE SOUDURE'!$D$7:$D$1506,MATCH(B1499,'CARNET DE SOUDURE'!$M$7:$M$1506,0)),"")))</f>
        <v/>
      </c>
      <c r="M1499" s="81" t="str">
        <f aca="false">IF(B1499="","",IF(OR(J1499&lt;&gt;"",K1499&lt;&gt;""),"POSÉ EN LIGNE",IF(H1499&lt;&gt;"","BARDÉ","EN STOCK")))</f>
        <v/>
      </c>
      <c r="N1499" s="79"/>
    </row>
    <row r="1500" customFormat="false" ht="15" hidden="false" customHeight="false" outlineLevel="0" collapsed="false">
      <c r="A1500" s="78" t="str">
        <f aca="false">IF(B1500="","",ROW()-6)</f>
        <v/>
      </c>
      <c r="B1500" s="90"/>
      <c r="C1500" s="91"/>
      <c r="D1500" s="91"/>
      <c r="E1500" s="80"/>
      <c r="F1500" s="92"/>
      <c r="G1500" s="79"/>
      <c r="H1500" s="82"/>
      <c r="I1500" s="93" t="str">
        <f aca="false">IF(B1500="","",IFERROR(INDEX('CARNET DE SOUDURE'!$B$7:$B$1506,MATCH(B1500,'CARNET DE SOUDURE'!$K$7:$K$1506,0)),IFERROR(INDEX('CARNET DE SOUDURE'!$B$7:$B$1506,MATCH(B1500,'CARNET DE SOUDURE'!$M$7:$M$1506,0)),"")))</f>
        <v/>
      </c>
      <c r="J1500" s="78" t="str">
        <f aca="false">IF(B1500="","",IFERROR(INDEX('CARNET DE SOUDURE'!$E$7:$E$1506,MATCH(B1500,'CARNET DE SOUDURE'!$M$7:$M$1506,0)),""))</f>
        <v/>
      </c>
      <c r="K1500" s="78" t="str">
        <f aca="false">IF(B1500="","",IFERROR(INDEX('CARNET DE SOUDURE'!$E$7:$E$1506,MATCH(B1500,'CARNET DE SOUDURE'!$K$7:$K$1506,0)),""))</f>
        <v/>
      </c>
      <c r="L1500" s="78" t="str">
        <f aca="false">IF(B1500="","",IFERROR(INDEX('CARNET DE SOUDURE'!$D$7:$D$1506,MATCH(B1500,'CARNET DE SOUDURE'!$K$7:$K$1506,0)),IFERROR(INDEX('CARNET DE SOUDURE'!$D$7:$D$1506,MATCH(B1500,'CARNET DE SOUDURE'!$M$7:$M$1506,0)),"")))</f>
        <v/>
      </c>
      <c r="M1500" s="81" t="str">
        <f aca="false">IF(B1500="","",IF(OR(J1500&lt;&gt;"",K1500&lt;&gt;""),"POSÉ EN LIGNE",IF(H1500&lt;&gt;"","BARDÉ","EN STOCK")))</f>
        <v/>
      </c>
      <c r="N1500" s="79"/>
    </row>
    <row r="1501" customFormat="false" ht="15" hidden="false" customHeight="false" outlineLevel="0" collapsed="false">
      <c r="A1501" s="78" t="str">
        <f aca="false">IF(B1501="","",ROW()-6)</f>
        <v/>
      </c>
      <c r="B1501" s="90"/>
      <c r="C1501" s="91"/>
      <c r="D1501" s="91"/>
      <c r="E1501" s="80"/>
      <c r="F1501" s="92"/>
      <c r="G1501" s="79"/>
      <c r="H1501" s="82"/>
      <c r="I1501" s="93" t="str">
        <f aca="false">IF(B1501="","",IFERROR(INDEX('CARNET DE SOUDURE'!$B$7:$B$1506,MATCH(B1501,'CARNET DE SOUDURE'!$K$7:$K$1506,0)),IFERROR(INDEX('CARNET DE SOUDURE'!$B$7:$B$1506,MATCH(B1501,'CARNET DE SOUDURE'!$M$7:$M$1506,0)),"")))</f>
        <v/>
      </c>
      <c r="J1501" s="78" t="str">
        <f aca="false">IF(B1501="","",IFERROR(INDEX('CARNET DE SOUDURE'!$E$7:$E$1506,MATCH(B1501,'CARNET DE SOUDURE'!$M$7:$M$1506,0)),""))</f>
        <v/>
      </c>
      <c r="K1501" s="78" t="str">
        <f aca="false">IF(B1501="","",IFERROR(INDEX('CARNET DE SOUDURE'!$E$7:$E$1506,MATCH(B1501,'CARNET DE SOUDURE'!$K$7:$K$1506,0)),""))</f>
        <v/>
      </c>
      <c r="L1501" s="78" t="str">
        <f aca="false">IF(B1501="","",IFERROR(INDEX('CARNET DE SOUDURE'!$D$7:$D$1506,MATCH(B1501,'CARNET DE SOUDURE'!$K$7:$K$1506,0)),IFERROR(INDEX('CARNET DE SOUDURE'!$D$7:$D$1506,MATCH(B1501,'CARNET DE SOUDURE'!$M$7:$M$1506,0)),"")))</f>
        <v/>
      </c>
      <c r="M1501" s="81" t="str">
        <f aca="false">IF(B1501="","",IF(OR(J1501&lt;&gt;"",K1501&lt;&gt;""),"POSÉ EN LIGNE",IF(H1501&lt;&gt;"","BARDÉ","EN STOCK")))</f>
        <v/>
      </c>
      <c r="N1501" s="79"/>
    </row>
    <row r="1502" customFormat="false" ht="15" hidden="false" customHeight="false" outlineLevel="0" collapsed="false">
      <c r="A1502" s="78" t="str">
        <f aca="false">IF(B1502="","",ROW()-6)</f>
        <v/>
      </c>
      <c r="B1502" s="90"/>
      <c r="C1502" s="91"/>
      <c r="D1502" s="91"/>
      <c r="E1502" s="80"/>
      <c r="F1502" s="92"/>
      <c r="G1502" s="79"/>
      <c r="H1502" s="82"/>
      <c r="I1502" s="93" t="str">
        <f aca="false">IF(B1502="","",IFERROR(INDEX('CARNET DE SOUDURE'!$B$7:$B$1506,MATCH(B1502,'CARNET DE SOUDURE'!$K$7:$K$1506,0)),IFERROR(INDEX('CARNET DE SOUDURE'!$B$7:$B$1506,MATCH(B1502,'CARNET DE SOUDURE'!$M$7:$M$1506,0)),"")))</f>
        <v/>
      </c>
      <c r="J1502" s="78" t="str">
        <f aca="false">IF(B1502="","",IFERROR(INDEX('CARNET DE SOUDURE'!$E$7:$E$1506,MATCH(B1502,'CARNET DE SOUDURE'!$M$7:$M$1506,0)),""))</f>
        <v/>
      </c>
      <c r="K1502" s="78" t="str">
        <f aca="false">IF(B1502="","",IFERROR(INDEX('CARNET DE SOUDURE'!$E$7:$E$1506,MATCH(B1502,'CARNET DE SOUDURE'!$K$7:$K$1506,0)),""))</f>
        <v/>
      </c>
      <c r="L1502" s="78" t="str">
        <f aca="false">IF(B1502="","",IFERROR(INDEX('CARNET DE SOUDURE'!$D$7:$D$1506,MATCH(B1502,'CARNET DE SOUDURE'!$K$7:$K$1506,0)),IFERROR(INDEX('CARNET DE SOUDURE'!$D$7:$D$1506,MATCH(B1502,'CARNET DE SOUDURE'!$M$7:$M$1506,0)),"")))</f>
        <v/>
      </c>
      <c r="M1502" s="81" t="str">
        <f aca="false">IF(B1502="","",IF(OR(J1502&lt;&gt;"",K1502&lt;&gt;""),"POSÉ EN LIGNE",IF(H1502&lt;&gt;"","BARDÉ","EN STOCK")))</f>
        <v/>
      </c>
      <c r="N1502" s="79"/>
    </row>
    <row r="1503" customFormat="false" ht="15" hidden="false" customHeight="false" outlineLevel="0" collapsed="false">
      <c r="A1503" s="78" t="str">
        <f aca="false">IF(B1503="","",ROW()-6)</f>
        <v/>
      </c>
      <c r="B1503" s="90"/>
      <c r="C1503" s="91"/>
      <c r="D1503" s="91"/>
      <c r="E1503" s="80"/>
      <c r="F1503" s="92"/>
      <c r="G1503" s="79"/>
      <c r="H1503" s="82"/>
      <c r="I1503" s="93" t="str">
        <f aca="false">IF(B1503="","",IFERROR(INDEX('CARNET DE SOUDURE'!$B$7:$B$1506,MATCH(B1503,'CARNET DE SOUDURE'!$K$7:$K$1506,0)),IFERROR(INDEX('CARNET DE SOUDURE'!$B$7:$B$1506,MATCH(B1503,'CARNET DE SOUDURE'!$M$7:$M$1506,0)),"")))</f>
        <v/>
      </c>
      <c r="J1503" s="78" t="str">
        <f aca="false">IF(B1503="","",IFERROR(INDEX('CARNET DE SOUDURE'!$E$7:$E$1506,MATCH(B1503,'CARNET DE SOUDURE'!$M$7:$M$1506,0)),""))</f>
        <v/>
      </c>
      <c r="K1503" s="78" t="str">
        <f aca="false">IF(B1503="","",IFERROR(INDEX('CARNET DE SOUDURE'!$E$7:$E$1506,MATCH(B1503,'CARNET DE SOUDURE'!$K$7:$K$1506,0)),""))</f>
        <v/>
      </c>
      <c r="L1503" s="78" t="str">
        <f aca="false">IF(B1503="","",IFERROR(INDEX('CARNET DE SOUDURE'!$D$7:$D$1506,MATCH(B1503,'CARNET DE SOUDURE'!$K$7:$K$1506,0)),IFERROR(INDEX('CARNET DE SOUDURE'!$D$7:$D$1506,MATCH(B1503,'CARNET DE SOUDURE'!$M$7:$M$1506,0)),"")))</f>
        <v/>
      </c>
      <c r="M1503" s="81" t="str">
        <f aca="false">IF(B1503="","",IF(OR(J1503&lt;&gt;"",K1503&lt;&gt;""),"POSÉ EN LIGNE",IF(H1503&lt;&gt;"","BARDÉ","EN STOCK")))</f>
        <v/>
      </c>
      <c r="N1503" s="79"/>
    </row>
    <row r="1504" customFormat="false" ht="15" hidden="false" customHeight="false" outlineLevel="0" collapsed="false">
      <c r="A1504" s="78" t="str">
        <f aca="false">IF(B1504="","",ROW()-6)</f>
        <v/>
      </c>
      <c r="B1504" s="90"/>
      <c r="C1504" s="91"/>
      <c r="D1504" s="91"/>
      <c r="E1504" s="80"/>
      <c r="F1504" s="92"/>
      <c r="G1504" s="79"/>
      <c r="H1504" s="82"/>
      <c r="I1504" s="93" t="str">
        <f aca="false">IF(B1504="","",IFERROR(INDEX('CARNET DE SOUDURE'!$B$7:$B$1506,MATCH(B1504,'CARNET DE SOUDURE'!$K$7:$K$1506,0)),IFERROR(INDEX('CARNET DE SOUDURE'!$B$7:$B$1506,MATCH(B1504,'CARNET DE SOUDURE'!$M$7:$M$1506,0)),"")))</f>
        <v/>
      </c>
      <c r="J1504" s="78" t="str">
        <f aca="false">IF(B1504="","",IFERROR(INDEX('CARNET DE SOUDURE'!$E$7:$E$1506,MATCH(B1504,'CARNET DE SOUDURE'!$M$7:$M$1506,0)),""))</f>
        <v/>
      </c>
      <c r="K1504" s="78" t="str">
        <f aca="false">IF(B1504="","",IFERROR(INDEX('CARNET DE SOUDURE'!$E$7:$E$1506,MATCH(B1504,'CARNET DE SOUDURE'!$K$7:$K$1506,0)),""))</f>
        <v/>
      </c>
      <c r="L1504" s="78" t="str">
        <f aca="false">IF(B1504="","",IFERROR(INDEX('CARNET DE SOUDURE'!$D$7:$D$1506,MATCH(B1504,'CARNET DE SOUDURE'!$K$7:$K$1506,0)),IFERROR(INDEX('CARNET DE SOUDURE'!$D$7:$D$1506,MATCH(B1504,'CARNET DE SOUDURE'!$M$7:$M$1506,0)),"")))</f>
        <v/>
      </c>
      <c r="M1504" s="81" t="str">
        <f aca="false">IF(B1504="","",IF(OR(J1504&lt;&gt;"",K1504&lt;&gt;""),"POSÉ EN LIGNE",IF(H1504&lt;&gt;"","BARDÉ","EN STOCK")))</f>
        <v/>
      </c>
      <c r="N1504" s="79"/>
    </row>
    <row r="1505" customFormat="false" ht="15" hidden="false" customHeight="false" outlineLevel="0" collapsed="false">
      <c r="A1505" s="78" t="str">
        <f aca="false">IF(B1505="","",ROW()-6)</f>
        <v/>
      </c>
      <c r="B1505" s="90"/>
      <c r="C1505" s="91"/>
      <c r="D1505" s="91"/>
      <c r="E1505" s="80"/>
      <c r="F1505" s="92"/>
      <c r="G1505" s="79"/>
      <c r="H1505" s="82"/>
      <c r="I1505" s="93" t="str">
        <f aca="false">IF(B1505="","",IFERROR(INDEX('CARNET DE SOUDURE'!$B$7:$B$1506,MATCH(B1505,'CARNET DE SOUDURE'!$K$7:$K$1506,0)),IFERROR(INDEX('CARNET DE SOUDURE'!$B$7:$B$1506,MATCH(B1505,'CARNET DE SOUDURE'!$M$7:$M$1506,0)),"")))</f>
        <v/>
      </c>
      <c r="J1505" s="78" t="str">
        <f aca="false">IF(B1505="","",IFERROR(INDEX('CARNET DE SOUDURE'!$E$7:$E$1506,MATCH(B1505,'CARNET DE SOUDURE'!$M$7:$M$1506,0)),""))</f>
        <v/>
      </c>
      <c r="K1505" s="78" t="str">
        <f aca="false">IF(B1505="","",IFERROR(INDEX('CARNET DE SOUDURE'!$E$7:$E$1506,MATCH(B1505,'CARNET DE SOUDURE'!$K$7:$K$1506,0)),""))</f>
        <v/>
      </c>
      <c r="L1505" s="78" t="str">
        <f aca="false">IF(B1505="","",IFERROR(INDEX('CARNET DE SOUDURE'!$D$7:$D$1506,MATCH(B1505,'CARNET DE SOUDURE'!$K$7:$K$1506,0)),IFERROR(INDEX('CARNET DE SOUDURE'!$D$7:$D$1506,MATCH(B1505,'CARNET DE SOUDURE'!$M$7:$M$1506,0)),"")))</f>
        <v/>
      </c>
      <c r="M1505" s="81" t="str">
        <f aca="false">IF(B1505="","",IF(OR(J1505&lt;&gt;"",K1505&lt;&gt;""),"POSÉ EN LIGNE",IF(H1505&lt;&gt;"","BARDÉ","EN STOCK")))</f>
        <v/>
      </c>
      <c r="N1505" s="79"/>
    </row>
    <row r="1506" customFormat="false" ht="15" hidden="false" customHeight="false" outlineLevel="0" collapsed="false">
      <c r="A1506" s="78" t="str">
        <f aca="false">IF(B1506="","",ROW()-6)</f>
        <v/>
      </c>
      <c r="B1506" s="90"/>
      <c r="C1506" s="91"/>
      <c r="D1506" s="91"/>
      <c r="E1506" s="80"/>
      <c r="F1506" s="92"/>
      <c r="G1506" s="79"/>
      <c r="H1506" s="82"/>
      <c r="I1506" s="93" t="str">
        <f aca="false">IF(B1506="","",IFERROR(INDEX('CARNET DE SOUDURE'!$B$7:$B$1506,MATCH(B1506,'CARNET DE SOUDURE'!$K$7:$K$1506,0)),IFERROR(INDEX('CARNET DE SOUDURE'!$B$7:$B$1506,MATCH(B1506,'CARNET DE SOUDURE'!$M$7:$M$1506,0)),"")))</f>
        <v/>
      </c>
      <c r="J1506" s="78" t="str">
        <f aca="false">IF(B1506="","",IFERROR(INDEX('CARNET DE SOUDURE'!$E$7:$E$1506,MATCH(B1506,'CARNET DE SOUDURE'!$M$7:$M$1506,0)),""))</f>
        <v/>
      </c>
      <c r="K1506" s="78" t="str">
        <f aca="false">IF(B1506="","",IFERROR(INDEX('CARNET DE SOUDURE'!$E$7:$E$1506,MATCH(B1506,'CARNET DE SOUDURE'!$K$7:$K$1506,0)),""))</f>
        <v/>
      </c>
      <c r="L1506" s="78" t="str">
        <f aca="false">IF(B1506="","",IFERROR(INDEX('CARNET DE SOUDURE'!$D$7:$D$1506,MATCH(B1506,'CARNET DE SOUDURE'!$K$7:$K$1506,0)),IFERROR(INDEX('CARNET DE SOUDURE'!$D$7:$D$1506,MATCH(B1506,'CARNET DE SOUDURE'!$M$7:$M$1506,0)),"")))</f>
        <v/>
      </c>
      <c r="M1506" s="81" t="str">
        <f aca="false">IF(B1506="","",IF(OR(J1506&lt;&gt;"",K1506&lt;&gt;""),"POSÉ EN LIGNE",IF(H1506&lt;&gt;"","BARDÉ","EN STOCK")))</f>
        <v/>
      </c>
      <c r="N1506" s="79"/>
    </row>
  </sheetData>
  <mergeCells count="7">
    <mergeCell ref="A1:N1"/>
    <mergeCell ref="A2:N2"/>
    <mergeCell ref="A3:B3"/>
    <mergeCell ref="D3:E3"/>
    <mergeCell ref="G3:H3"/>
    <mergeCell ref="J3:K3"/>
    <mergeCell ref="M3:N3"/>
  </mergeCells>
  <conditionalFormatting sqref="M7:M1506">
    <cfRule type="cellIs" priority="2" operator="equal" aboveAverage="0" equalAverage="0" bottom="0" percent="0" rank="0" text="" dxfId="1">
      <formula>"POSÉ EN LIGNE"</formula>
    </cfRule>
    <cfRule type="cellIs" priority="3" operator="equal" aboveAverage="0" equalAverage="0" bottom="0" percent="0" rank="0" text="" dxfId="27">
      <formula>"BARDÉ"</formula>
    </cfRule>
    <cfRule type="cellIs" priority="4" operator="equal" aboveAverage="0" equalAverage="0" bottom="0" percent="0" rank="0" text="" dxfId="29">
      <formula>"EN STOCK"</formula>
    </cfRule>
  </conditionalFormatting>
  <conditionalFormatting sqref="B7:B1506">
    <cfRule type="expression" priority="5" aboveAverage="0" equalAverage="0" bottom="0" percent="0" rank="0" text="" dxfId="31">
      <formula>AND(B7&lt;&gt;"",COUNTIF($B$7:$B$1506,B7)&gt;1)</formula>
    </cfRule>
  </conditionalFormatting>
  <dataValidations count="1">
    <dataValidation allowBlank="true" errorStyle="stop" operator="between" showDropDown="false" showErrorMessage="false" showInputMessage="false" sqref="H7:H1506" type="date">
      <formula1>DATE(2020,1,1)</formula1>
      <formula2>DATE(2040,12,31)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true"/>
  </sheetPr>
  <dimension ref="A1:O15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7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24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24"/>
    <col collapsed="false" customWidth="true" hidden="false" outlineLevel="0" max="11" min="11" style="0" width="16"/>
    <col collapsed="false" customWidth="true" hidden="false" outlineLevel="0" max="12" min="12" style="0" width="9"/>
    <col collapsed="false" customWidth="true" hidden="false" outlineLevel="0" max="13" min="13" style="0" width="11"/>
    <col collapsed="false" customWidth="true" hidden="false" outlineLevel="0" max="14" min="14" style="0" width="24"/>
    <col collapsed="false" customWidth="true" hidden="false" outlineLevel="0" max="15" min="15" style="0" width="22"/>
  </cols>
  <sheetData>
    <row r="1" customFormat="false" ht="33.75" hidden="false" customHeight="true" outlineLevel="0" collapsed="false">
      <c r="A1" s="94" t="s">
        <v>631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</row>
    <row r="2" customFormat="false" ht="15" hidden="false" customHeight="true" outlineLevel="0" collapsed="false">
      <c r="A2" s="60" t="s">
        <v>632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</row>
    <row r="3" customFormat="false" ht="21.75" hidden="false" customHeight="true" outlineLevel="0" collapsed="false">
      <c r="A3" s="86" t="s">
        <v>633</v>
      </c>
      <c r="B3" s="86"/>
      <c r="C3" s="62" t="n">
        <f aca="false">COUNTIF(N7:N1506,"À ENROBER")</f>
        <v>188</v>
      </c>
      <c r="D3" s="86" t="s">
        <v>634</v>
      </c>
      <c r="E3" s="86"/>
      <c r="F3" s="62" t="n">
        <f aca="false">COUNTIF(N7:N1506,"ENROBÉ")</f>
        <v>0</v>
      </c>
      <c r="G3" s="86" t="s">
        <v>635</v>
      </c>
      <c r="H3" s="86"/>
      <c r="I3" s="62" t="n">
        <f aca="false">COUNTIF(N7:N1506,"EN ATTENTE RT")</f>
        <v>9</v>
      </c>
      <c r="J3" s="86" t="s">
        <v>636</v>
      </c>
      <c r="K3" s="86"/>
      <c r="L3" s="62" t="n">
        <f aca="false">COUNTIF(N7:N1506,"À REPRENDRE")</f>
        <v>0</v>
      </c>
    </row>
    <row r="6" customFormat="false" ht="30" hidden="false" customHeight="true" outlineLevel="0" collapsed="false">
      <c r="A6" s="37" t="s">
        <v>59</v>
      </c>
      <c r="B6" s="37" t="s">
        <v>17</v>
      </c>
      <c r="C6" s="37" t="s">
        <v>637</v>
      </c>
      <c r="D6" s="37" t="s">
        <v>61</v>
      </c>
      <c r="E6" s="37" t="s">
        <v>75</v>
      </c>
      <c r="F6" s="37" t="s">
        <v>95</v>
      </c>
      <c r="G6" s="37" t="s">
        <v>638</v>
      </c>
      <c r="H6" s="37" t="s">
        <v>639</v>
      </c>
      <c r="I6" s="95" t="s">
        <v>640</v>
      </c>
      <c r="J6" s="95" t="s">
        <v>641</v>
      </c>
      <c r="K6" s="95" t="s">
        <v>642</v>
      </c>
      <c r="L6" s="95" t="s">
        <v>643</v>
      </c>
      <c r="M6" s="95" t="s">
        <v>644</v>
      </c>
      <c r="N6" s="37" t="s">
        <v>645</v>
      </c>
      <c r="O6" s="95" t="s">
        <v>604</v>
      </c>
    </row>
    <row r="7" customFormat="false" ht="15" hidden="false" customHeight="false" outlineLevel="0" collapsed="false">
      <c r="A7" s="78" t="n">
        <f aca="false">IF('CARNET DE SOUDURE'!E7="","",'CARNET DE SOUDURE'!A7)</f>
        <v>1</v>
      </c>
      <c r="B7" s="93" t="str">
        <f aca="false">IF('CARNET DE SOUDURE'!E7="","",'CARNET DE SOUDURE'!B7&amp;"")</f>
        <v>TFT 716 → TL7-MMFW2</v>
      </c>
      <c r="C7" s="83" t="str">
        <f aca="false">IF('CARNET DE SOUDURE'!E7="","",'CARNET DE SOUDURE'!E7)</f>
        <v>JN°001</v>
      </c>
      <c r="D7" s="78" t="str">
        <f aca="false">IF('CARNET DE SOUDURE'!E7="","",'CARNET DE SOUDURE'!D7&amp;"")</f>
        <v>0.00</v>
      </c>
      <c r="E7" s="96" t="str">
        <f aca="false">IF(OR('CARNET DE SOUDURE'!E7="",'CARNET DE SOUDURE'!R7=""),"",'CARNET DE SOUDURE'!R7)</f>
        <v/>
      </c>
      <c r="F7" s="81" t="str">
        <f aca="false">IF('CARNET DE SOUDURE'!E7="","",'CARNET DE SOUDURE'!AL7)</f>
        <v/>
      </c>
      <c r="G7" s="81" t="str">
        <f aca="false">IF('CARNET DE SOUDURE'!E7="","",'CARNET DE SOUDURE'!AM7)</f>
        <v>À SOUDER</v>
      </c>
      <c r="H7" s="81" t="str">
        <f aca="false">IF(C7="","",IF(G7="ACCEPTÉ","OUI","NON"))</f>
        <v>NON</v>
      </c>
      <c r="I7" s="82"/>
      <c r="J7" s="79"/>
      <c r="K7" s="80"/>
      <c r="L7" s="80"/>
      <c r="M7" s="80"/>
      <c r="N7" s="83" t="str">
        <f aca="false">IF(C7="","",IF(I7="",IF(H7="OUI","À ENROBER",IF(G7="À SOUDER","NON SOUDÉ","EN ATTENTE RT")),IF(L7="R","À REPRENDRE",IF(H7&lt;&gt;"OUI","⚠ ENROBÉ AVANT ACCEPTATION RT","ENROBÉ"))))</f>
        <v>NON SOUDÉ</v>
      </c>
      <c r="O7" s="79"/>
    </row>
    <row r="8" customFormat="false" ht="15" hidden="false" customHeight="false" outlineLevel="0" collapsed="false">
      <c r="A8" s="78" t="n">
        <f aca="false">IF('CARNET DE SOUDURE'!E8="","",'CARNET DE SOUDURE'!A8)</f>
        <v>2</v>
      </c>
      <c r="B8" s="93" t="str">
        <f aca="false">IF('CARNET DE SOUDURE'!E8="","",'CARNET DE SOUDURE'!B8&amp;"")</f>
        <v>TFT 716 → TL7-MMFW2</v>
      </c>
      <c r="C8" s="83" t="str">
        <f aca="false">IF('CARNET DE SOUDURE'!E8="","",'CARNET DE SOUDURE'!E8)</f>
        <v>JN°002</v>
      </c>
      <c r="D8" s="78" t="str">
        <f aca="false">IF('CARNET DE SOUDURE'!E8="","",'CARNET DE SOUDURE'!D8&amp;"")</f>
        <v>0.00</v>
      </c>
      <c r="E8" s="96" t="str">
        <f aca="false">IF(OR('CARNET DE SOUDURE'!E8="",'CARNET DE SOUDURE'!R8=""),"",'CARNET DE SOUDURE'!R8)</f>
        <v/>
      </c>
      <c r="F8" s="81" t="str">
        <f aca="false">IF('CARNET DE SOUDURE'!E8="","",'CARNET DE SOUDURE'!AL8)</f>
        <v/>
      </c>
      <c r="G8" s="81" t="str">
        <f aca="false">IF('CARNET DE SOUDURE'!E8="","",'CARNET DE SOUDURE'!AM8)</f>
        <v>À SOUDER</v>
      </c>
      <c r="H8" s="81" t="str">
        <f aca="false">IF(C8="","",IF(G8="ACCEPTÉ","OUI","NON"))</f>
        <v>NON</v>
      </c>
      <c r="I8" s="82"/>
      <c r="J8" s="79"/>
      <c r="K8" s="80"/>
      <c r="L8" s="80"/>
      <c r="M8" s="80"/>
      <c r="N8" s="83" t="str">
        <f aca="false">IF(C8="","",IF(I8="",IF(H8="OUI","À ENROBER",IF(G8="À SOUDER","NON SOUDÉ","EN ATTENTE RT")),IF(L8="R","À REPRENDRE",IF(H8&lt;&gt;"OUI","⚠ ENROBÉ AVANT ACCEPTATION RT","ENROBÉ"))))</f>
        <v>NON SOUDÉ</v>
      </c>
      <c r="O8" s="79"/>
    </row>
    <row r="9" customFormat="false" ht="15" hidden="false" customHeight="false" outlineLevel="0" collapsed="false">
      <c r="A9" s="78" t="n">
        <f aca="false">IF('CARNET DE SOUDURE'!E9="","",'CARNET DE SOUDURE'!A9)</f>
        <v>3</v>
      </c>
      <c r="B9" s="93" t="str">
        <f aca="false">IF('CARNET DE SOUDURE'!E9="","",'CARNET DE SOUDURE'!B9&amp;"")</f>
        <v>TFT 716 → TL7-MMFW2</v>
      </c>
      <c r="C9" s="83" t="str">
        <f aca="false">IF('CARNET DE SOUDURE'!E9="","",'CARNET DE SOUDURE'!E9)</f>
        <v>JN°003</v>
      </c>
      <c r="D9" s="78" t="str">
        <f aca="false">IF('CARNET DE SOUDURE'!E9="","",'CARNET DE SOUDURE'!D9&amp;"")</f>
        <v>0.00</v>
      </c>
      <c r="E9" s="96" t="str">
        <f aca="false">IF(OR('CARNET DE SOUDURE'!E9="",'CARNET DE SOUDURE'!R9=""),"",'CARNET DE SOUDURE'!R9)</f>
        <v/>
      </c>
      <c r="F9" s="81" t="str">
        <f aca="false">IF('CARNET DE SOUDURE'!E9="","",'CARNET DE SOUDURE'!AL9)</f>
        <v/>
      </c>
      <c r="G9" s="81" t="str">
        <f aca="false">IF('CARNET DE SOUDURE'!E9="","",'CARNET DE SOUDURE'!AM9)</f>
        <v>À SOUDER</v>
      </c>
      <c r="H9" s="81" t="str">
        <f aca="false">IF(C9="","",IF(G9="ACCEPTÉ","OUI","NON"))</f>
        <v>NON</v>
      </c>
      <c r="I9" s="82"/>
      <c r="J9" s="79"/>
      <c r="K9" s="80"/>
      <c r="L9" s="80"/>
      <c r="M9" s="80"/>
      <c r="N9" s="83" t="str">
        <f aca="false">IF(C9="","",IF(I9="",IF(H9="OUI","À ENROBER",IF(G9="À SOUDER","NON SOUDÉ","EN ATTENTE RT")),IF(L9="R","À REPRENDRE",IF(H9&lt;&gt;"OUI","⚠ ENROBÉ AVANT ACCEPTATION RT","ENROBÉ"))))</f>
        <v>NON SOUDÉ</v>
      </c>
      <c r="O9" s="79"/>
    </row>
    <row r="10" customFormat="false" ht="15" hidden="false" customHeight="false" outlineLevel="0" collapsed="false">
      <c r="A10" s="78" t="n">
        <f aca="false">IF('CARNET DE SOUDURE'!E10="","",'CARNET DE SOUDURE'!A10)</f>
        <v>4</v>
      </c>
      <c r="B10" s="93" t="str">
        <f aca="false">IF('CARNET DE SOUDURE'!E10="","",'CARNET DE SOUDURE'!B10&amp;"")</f>
        <v>TFT 716 → TL7-MMFW2</v>
      </c>
      <c r="C10" s="83" t="str">
        <f aca="false">IF('CARNET DE SOUDURE'!E10="","",'CARNET DE SOUDURE'!E10)</f>
        <v>JN°004</v>
      </c>
      <c r="D10" s="78" t="str">
        <f aca="false">IF('CARNET DE SOUDURE'!E10="","",'CARNET DE SOUDURE'!D10&amp;"")</f>
        <v>0.00</v>
      </c>
      <c r="E10" s="96" t="str">
        <f aca="false">IF(OR('CARNET DE SOUDURE'!E10="",'CARNET DE SOUDURE'!R10=""),"",'CARNET DE SOUDURE'!R10)</f>
        <v/>
      </c>
      <c r="F10" s="81" t="str">
        <f aca="false">IF('CARNET DE SOUDURE'!E10="","",'CARNET DE SOUDURE'!AL10)</f>
        <v/>
      </c>
      <c r="G10" s="81" t="str">
        <f aca="false">IF('CARNET DE SOUDURE'!E10="","",'CARNET DE SOUDURE'!AM10)</f>
        <v>À SOUDER</v>
      </c>
      <c r="H10" s="81" t="str">
        <f aca="false">IF(C10="","",IF(G10="ACCEPTÉ","OUI","NON"))</f>
        <v>NON</v>
      </c>
      <c r="I10" s="82"/>
      <c r="J10" s="79"/>
      <c r="K10" s="80"/>
      <c r="L10" s="80"/>
      <c r="M10" s="80"/>
      <c r="N10" s="83" t="str">
        <f aca="false">IF(C10="","",IF(I10="",IF(H10="OUI","À ENROBER",IF(G10="À SOUDER","NON SOUDÉ","EN ATTENTE RT")),IF(L10="R","À REPRENDRE",IF(H10&lt;&gt;"OUI","⚠ ENROBÉ AVANT ACCEPTATION RT","ENROBÉ"))))</f>
        <v>NON SOUDÉ</v>
      </c>
      <c r="O10" s="79"/>
    </row>
    <row r="11" customFormat="false" ht="15" hidden="false" customHeight="false" outlineLevel="0" collapsed="false">
      <c r="A11" s="78" t="n">
        <f aca="false">IF('CARNET DE SOUDURE'!E11="","",'CARNET DE SOUDURE'!A11)</f>
        <v>5</v>
      </c>
      <c r="B11" s="93" t="str">
        <f aca="false">IF('CARNET DE SOUDURE'!E11="","",'CARNET DE SOUDURE'!B11&amp;"")</f>
        <v>TFT 716 → TL7-MMFW2</v>
      </c>
      <c r="C11" s="83" t="str">
        <f aca="false">IF('CARNET DE SOUDURE'!E11="","",'CARNET DE SOUDURE'!E11)</f>
        <v>JN°005</v>
      </c>
      <c r="D11" s="78" t="str">
        <f aca="false">IF('CARNET DE SOUDURE'!E11="","",'CARNET DE SOUDURE'!D11&amp;"")</f>
        <v>0.00</v>
      </c>
      <c r="E11" s="96" t="str">
        <f aca="false">IF(OR('CARNET DE SOUDURE'!E11="",'CARNET DE SOUDURE'!R11=""),"",'CARNET DE SOUDURE'!R11)</f>
        <v/>
      </c>
      <c r="F11" s="81" t="str">
        <f aca="false">IF('CARNET DE SOUDURE'!E11="","",'CARNET DE SOUDURE'!AL11)</f>
        <v/>
      </c>
      <c r="G11" s="81" t="str">
        <f aca="false">IF('CARNET DE SOUDURE'!E11="","",'CARNET DE SOUDURE'!AM11)</f>
        <v>À SOUDER</v>
      </c>
      <c r="H11" s="81" t="str">
        <f aca="false">IF(C11="","",IF(G11="ACCEPTÉ","OUI","NON"))</f>
        <v>NON</v>
      </c>
      <c r="I11" s="82"/>
      <c r="J11" s="79"/>
      <c r="K11" s="80"/>
      <c r="L11" s="80"/>
      <c r="M11" s="80"/>
      <c r="N11" s="83" t="str">
        <f aca="false">IF(C11="","",IF(I11="",IF(H11="OUI","À ENROBER",IF(G11="À SOUDER","NON SOUDÉ","EN ATTENTE RT")),IF(L11="R","À REPRENDRE",IF(H11&lt;&gt;"OUI","⚠ ENROBÉ AVANT ACCEPTATION RT","ENROBÉ"))))</f>
        <v>NON SOUDÉ</v>
      </c>
      <c r="O11" s="79"/>
    </row>
    <row r="12" customFormat="false" ht="15" hidden="false" customHeight="false" outlineLevel="0" collapsed="false">
      <c r="A12" s="78" t="n">
        <f aca="false">IF('CARNET DE SOUDURE'!E12="","",'CARNET DE SOUDURE'!A12)</f>
        <v>6</v>
      </c>
      <c r="B12" s="93" t="str">
        <f aca="false">IF('CARNET DE SOUDURE'!E12="","",'CARNET DE SOUDURE'!B12&amp;"")</f>
        <v>TFT 716 → TL7-MMFW2</v>
      </c>
      <c r="C12" s="83" t="str">
        <f aca="false">IF('CARNET DE SOUDURE'!E12="","",'CARNET DE SOUDURE'!E12)</f>
        <v>JN°006</v>
      </c>
      <c r="D12" s="78" t="str">
        <f aca="false">IF('CARNET DE SOUDURE'!E12="","",'CARNET DE SOUDURE'!D12&amp;"")</f>
        <v>0.00</v>
      </c>
      <c r="E12" s="96" t="n">
        <f aca="false">IF(OR('CARNET DE SOUDURE'!E12="",'CARNET DE SOUDURE'!R12=""),"",'CARNET DE SOUDURE'!R12)</f>
        <v>45915</v>
      </c>
      <c r="F12" s="81" t="str">
        <f aca="false">IF('CARNET DE SOUDURE'!E12="","",'CARNET DE SOUDURE'!AL12)</f>
        <v>A</v>
      </c>
      <c r="G12" s="81" t="str">
        <f aca="false">IF('CARNET DE SOUDURE'!E12="","",'CARNET DE SOUDURE'!AM12)</f>
        <v>ACCEPTÉ</v>
      </c>
      <c r="H12" s="81" t="str">
        <f aca="false">IF(C12="","",IF(G12="ACCEPTÉ","OUI","NON"))</f>
        <v>OUI</v>
      </c>
      <c r="I12" s="82"/>
      <c r="J12" s="79"/>
      <c r="K12" s="80"/>
      <c r="L12" s="80"/>
      <c r="M12" s="80"/>
      <c r="N12" s="83" t="str">
        <f aca="false">IF(C12="","",IF(I12="",IF(H12="OUI","À ENROBER",IF(G12="À SOUDER","NON SOUDÉ","EN ATTENTE RT")),IF(L12="R","À REPRENDRE",IF(H12&lt;&gt;"OUI","⚠ ENROBÉ AVANT ACCEPTATION RT","ENROBÉ"))))</f>
        <v>À ENROBER</v>
      </c>
      <c r="O12" s="79"/>
    </row>
    <row r="13" customFormat="false" ht="15" hidden="false" customHeight="false" outlineLevel="0" collapsed="false">
      <c r="A13" s="78" t="n">
        <f aca="false">IF('CARNET DE SOUDURE'!E13="","",'CARNET DE SOUDURE'!A13)</f>
        <v>7</v>
      </c>
      <c r="B13" s="93" t="str">
        <f aca="false">IF('CARNET DE SOUDURE'!E13="","",'CARNET DE SOUDURE'!B13&amp;"")</f>
        <v>TFT 716 → TL7-MMFW2</v>
      </c>
      <c r="C13" s="83" t="str">
        <f aca="false">IF('CARNET DE SOUDURE'!E13="","",'CARNET DE SOUDURE'!E13)</f>
        <v>JN°007</v>
      </c>
      <c r="D13" s="78" t="str">
        <f aca="false">IF('CARNET DE SOUDURE'!E13="","",'CARNET DE SOUDURE'!D13&amp;"")</f>
        <v>0.00</v>
      </c>
      <c r="E13" s="96" t="n">
        <f aca="false">IF(OR('CARNET DE SOUDURE'!E13="",'CARNET DE SOUDURE'!R13=""),"",'CARNET DE SOUDURE'!R13)</f>
        <v>45914</v>
      </c>
      <c r="F13" s="81" t="str">
        <f aca="false">IF('CARNET DE SOUDURE'!E13="","",'CARNET DE SOUDURE'!AL13)</f>
        <v>A</v>
      </c>
      <c r="G13" s="81" t="str">
        <f aca="false">IF('CARNET DE SOUDURE'!E13="","",'CARNET DE SOUDURE'!AM13)</f>
        <v>ACCEPTÉ</v>
      </c>
      <c r="H13" s="81" t="str">
        <f aca="false">IF(C13="","",IF(G13="ACCEPTÉ","OUI","NON"))</f>
        <v>OUI</v>
      </c>
      <c r="I13" s="82"/>
      <c r="J13" s="79"/>
      <c r="K13" s="80"/>
      <c r="L13" s="80"/>
      <c r="M13" s="80"/>
      <c r="N13" s="83" t="str">
        <f aca="false">IF(C13="","",IF(I13="",IF(H13="OUI","À ENROBER",IF(G13="À SOUDER","NON SOUDÉ","EN ATTENTE RT")),IF(L13="R","À REPRENDRE",IF(H13&lt;&gt;"OUI","⚠ ENROBÉ AVANT ACCEPTATION RT","ENROBÉ"))))</f>
        <v>À ENROBER</v>
      </c>
      <c r="O13" s="79"/>
    </row>
    <row r="14" customFormat="false" ht="15" hidden="false" customHeight="false" outlineLevel="0" collapsed="false">
      <c r="A14" s="78" t="n">
        <f aca="false">IF('CARNET DE SOUDURE'!E14="","",'CARNET DE SOUDURE'!A14)</f>
        <v>8</v>
      </c>
      <c r="B14" s="93" t="str">
        <f aca="false">IF('CARNET DE SOUDURE'!E14="","",'CARNET DE SOUDURE'!B14&amp;"")</f>
        <v>TFT 716 → TL7-MMFW2</v>
      </c>
      <c r="C14" s="83" t="str">
        <f aca="false">IF('CARNET DE SOUDURE'!E14="","",'CARNET DE SOUDURE'!E14)</f>
        <v>JN°008</v>
      </c>
      <c r="D14" s="78" t="str">
        <f aca="false">IF('CARNET DE SOUDURE'!E14="","",'CARNET DE SOUDURE'!D14&amp;"")</f>
        <v>0.00</v>
      </c>
      <c r="E14" s="96" t="n">
        <f aca="false">IF(OR('CARNET DE SOUDURE'!E14="",'CARNET DE SOUDURE'!R14=""),"",'CARNET DE SOUDURE'!R14)</f>
        <v>45914</v>
      </c>
      <c r="F14" s="81" t="str">
        <f aca="false">IF('CARNET DE SOUDURE'!E14="","",'CARNET DE SOUDURE'!AL14)</f>
        <v>A</v>
      </c>
      <c r="G14" s="81" t="str">
        <f aca="false">IF('CARNET DE SOUDURE'!E14="","",'CARNET DE SOUDURE'!AM14)</f>
        <v>ACCEPTÉ</v>
      </c>
      <c r="H14" s="81" t="str">
        <f aca="false">IF(C14="","",IF(G14="ACCEPTÉ","OUI","NON"))</f>
        <v>OUI</v>
      </c>
      <c r="I14" s="82"/>
      <c r="J14" s="79"/>
      <c r="K14" s="80"/>
      <c r="L14" s="80"/>
      <c r="M14" s="80"/>
      <c r="N14" s="83" t="str">
        <f aca="false">IF(C14="","",IF(I14="",IF(H14="OUI","À ENROBER",IF(G14="À SOUDER","NON SOUDÉ","EN ATTENTE RT")),IF(L14="R","À REPRENDRE",IF(H14&lt;&gt;"OUI","⚠ ENROBÉ AVANT ACCEPTATION RT","ENROBÉ"))))</f>
        <v>À ENROBER</v>
      </c>
      <c r="O14" s="79"/>
    </row>
    <row r="15" customFormat="false" ht="15" hidden="false" customHeight="false" outlineLevel="0" collapsed="false">
      <c r="A15" s="78" t="n">
        <f aca="false">IF('CARNET DE SOUDURE'!E15="","",'CARNET DE SOUDURE'!A15)</f>
        <v>9</v>
      </c>
      <c r="B15" s="93" t="str">
        <f aca="false">IF('CARNET DE SOUDURE'!E15="","",'CARNET DE SOUDURE'!B15&amp;"")</f>
        <v>TFT 716 → TL7-MMFW2</v>
      </c>
      <c r="C15" s="83" t="str">
        <f aca="false">IF('CARNET DE SOUDURE'!E15="","",'CARNET DE SOUDURE'!E15)</f>
        <v>JN°009</v>
      </c>
      <c r="D15" s="78" t="str">
        <f aca="false">IF('CARNET DE SOUDURE'!E15="","",'CARNET DE SOUDURE'!D15&amp;"")</f>
        <v>0.00</v>
      </c>
      <c r="E15" s="96" t="n">
        <f aca="false">IF(OR('CARNET DE SOUDURE'!E15="",'CARNET DE SOUDURE'!R15=""),"",'CARNET DE SOUDURE'!R15)</f>
        <v>45908</v>
      </c>
      <c r="F15" s="81" t="str">
        <f aca="false">IF('CARNET DE SOUDURE'!E15="","",'CARNET DE SOUDURE'!AL15)</f>
        <v>A</v>
      </c>
      <c r="G15" s="81" t="str">
        <f aca="false">IF('CARNET DE SOUDURE'!E15="","",'CARNET DE SOUDURE'!AM15)</f>
        <v>ACCEPTÉ</v>
      </c>
      <c r="H15" s="81" t="str">
        <f aca="false">IF(C15="","",IF(G15="ACCEPTÉ","OUI","NON"))</f>
        <v>OUI</v>
      </c>
      <c r="I15" s="82"/>
      <c r="J15" s="79"/>
      <c r="K15" s="80"/>
      <c r="L15" s="80"/>
      <c r="M15" s="80"/>
      <c r="N15" s="83" t="str">
        <f aca="false">IF(C15="","",IF(I15="",IF(H15="OUI","À ENROBER",IF(G15="À SOUDER","NON SOUDÉ","EN ATTENTE RT")),IF(L15="R","À REPRENDRE",IF(H15&lt;&gt;"OUI","⚠ ENROBÉ AVANT ACCEPTATION RT","ENROBÉ"))))</f>
        <v>À ENROBER</v>
      </c>
      <c r="O15" s="79"/>
    </row>
    <row r="16" customFormat="false" ht="15" hidden="false" customHeight="false" outlineLevel="0" collapsed="false">
      <c r="A16" s="78" t="n">
        <f aca="false">IF('CARNET DE SOUDURE'!E16="","",'CARNET DE SOUDURE'!A16)</f>
        <v>10</v>
      </c>
      <c r="B16" s="93" t="str">
        <f aca="false">IF('CARNET DE SOUDURE'!E16="","",'CARNET DE SOUDURE'!B16&amp;"")</f>
        <v>TFT 716 → TL7-MMFW2</v>
      </c>
      <c r="C16" s="83" t="str">
        <f aca="false">IF('CARNET DE SOUDURE'!E16="","",'CARNET DE SOUDURE'!E16)</f>
        <v>JN°010</v>
      </c>
      <c r="D16" s="78" t="str">
        <f aca="false">IF('CARNET DE SOUDURE'!E16="","",'CARNET DE SOUDURE'!D16&amp;"")</f>
        <v>0.00</v>
      </c>
      <c r="E16" s="96" t="n">
        <f aca="false">IF(OR('CARNET DE SOUDURE'!E16="",'CARNET DE SOUDURE'!R16=""),"",'CARNET DE SOUDURE'!R16)</f>
        <v>45891</v>
      </c>
      <c r="F16" s="81" t="str">
        <f aca="false">IF('CARNET DE SOUDURE'!E16="","",'CARNET DE SOUDURE'!AL16)</f>
        <v>A</v>
      </c>
      <c r="G16" s="81" t="str">
        <f aca="false">IF('CARNET DE SOUDURE'!E16="","",'CARNET DE SOUDURE'!AM16)</f>
        <v>ACCEPTÉ</v>
      </c>
      <c r="H16" s="81" t="str">
        <f aca="false">IF(C16="","",IF(G16="ACCEPTÉ","OUI","NON"))</f>
        <v>OUI</v>
      </c>
      <c r="I16" s="82"/>
      <c r="J16" s="79"/>
      <c r="K16" s="80"/>
      <c r="L16" s="80"/>
      <c r="M16" s="80"/>
      <c r="N16" s="83" t="str">
        <f aca="false">IF(C16="","",IF(I16="",IF(H16="OUI","À ENROBER",IF(G16="À SOUDER","NON SOUDÉ","EN ATTENTE RT")),IF(L16="R","À REPRENDRE",IF(H16&lt;&gt;"OUI","⚠ ENROBÉ AVANT ACCEPTATION RT","ENROBÉ"))))</f>
        <v>À ENROBER</v>
      </c>
      <c r="O16" s="79"/>
    </row>
    <row r="17" customFormat="false" ht="15" hidden="false" customHeight="false" outlineLevel="0" collapsed="false">
      <c r="A17" s="78" t="n">
        <f aca="false">IF('CARNET DE SOUDURE'!E17="","",'CARNET DE SOUDURE'!A17)</f>
        <v>11</v>
      </c>
      <c r="B17" s="93" t="str">
        <f aca="false">IF('CARNET DE SOUDURE'!E17="","",'CARNET DE SOUDURE'!B17&amp;"")</f>
        <v>TFT 716 → TL7-MMFW2</v>
      </c>
      <c r="C17" s="83" t="str">
        <f aca="false">IF('CARNET DE SOUDURE'!E17="","",'CARNET DE SOUDURE'!E17)</f>
        <v>JN°011</v>
      </c>
      <c r="D17" s="78" t="str">
        <f aca="false">IF('CARNET DE SOUDURE'!E17="","",'CARNET DE SOUDURE'!D17&amp;"")</f>
        <v>0.00</v>
      </c>
      <c r="E17" s="96" t="n">
        <f aca="false">IF(OR('CARNET DE SOUDURE'!E17="",'CARNET DE SOUDURE'!R17=""),"",'CARNET DE SOUDURE'!R17)</f>
        <v>45891</v>
      </c>
      <c r="F17" s="81" t="str">
        <f aca="false">IF('CARNET DE SOUDURE'!E17="","",'CARNET DE SOUDURE'!AL17)</f>
        <v>A</v>
      </c>
      <c r="G17" s="81" t="str">
        <f aca="false">IF('CARNET DE SOUDURE'!E17="","",'CARNET DE SOUDURE'!AM17)</f>
        <v>ACCEPTÉ</v>
      </c>
      <c r="H17" s="81" t="str">
        <f aca="false">IF(C17="","",IF(G17="ACCEPTÉ","OUI","NON"))</f>
        <v>OUI</v>
      </c>
      <c r="I17" s="82"/>
      <c r="J17" s="79"/>
      <c r="K17" s="80"/>
      <c r="L17" s="80"/>
      <c r="M17" s="80"/>
      <c r="N17" s="83" t="str">
        <f aca="false">IF(C17="","",IF(I17="",IF(H17="OUI","À ENROBER",IF(G17="À SOUDER","NON SOUDÉ","EN ATTENTE RT")),IF(L17="R","À REPRENDRE",IF(H17&lt;&gt;"OUI","⚠ ENROBÉ AVANT ACCEPTATION RT","ENROBÉ"))))</f>
        <v>À ENROBER</v>
      </c>
      <c r="O17" s="79"/>
    </row>
    <row r="18" customFormat="false" ht="15" hidden="false" customHeight="false" outlineLevel="0" collapsed="false">
      <c r="A18" s="78" t="n">
        <f aca="false">IF('CARNET DE SOUDURE'!E18="","",'CARNET DE SOUDURE'!A18)</f>
        <v>12</v>
      </c>
      <c r="B18" s="93" t="str">
        <f aca="false">IF('CARNET DE SOUDURE'!E18="","",'CARNET DE SOUDURE'!B18&amp;"")</f>
        <v>TFT 716 → TL7-MMFW2</v>
      </c>
      <c r="C18" s="83" t="str">
        <f aca="false">IF('CARNET DE SOUDURE'!E18="","",'CARNET DE SOUDURE'!E18)</f>
        <v>JN°012</v>
      </c>
      <c r="D18" s="78" t="str">
        <f aca="false">IF('CARNET DE SOUDURE'!E18="","",'CARNET DE SOUDURE'!D18&amp;"")</f>
        <v>0.00</v>
      </c>
      <c r="E18" s="96" t="n">
        <f aca="false">IF(OR('CARNET DE SOUDURE'!E18="",'CARNET DE SOUDURE'!R18=""),"",'CARNET DE SOUDURE'!R18)</f>
        <v>45891</v>
      </c>
      <c r="F18" s="81" t="str">
        <f aca="false">IF('CARNET DE SOUDURE'!E18="","",'CARNET DE SOUDURE'!AL18)</f>
        <v>A</v>
      </c>
      <c r="G18" s="81" t="str">
        <f aca="false">IF('CARNET DE SOUDURE'!E18="","",'CARNET DE SOUDURE'!AM18)</f>
        <v>ACCEPTÉ</v>
      </c>
      <c r="H18" s="81" t="str">
        <f aca="false">IF(C18="","",IF(G18="ACCEPTÉ","OUI","NON"))</f>
        <v>OUI</v>
      </c>
      <c r="I18" s="82"/>
      <c r="J18" s="79"/>
      <c r="K18" s="80"/>
      <c r="L18" s="80"/>
      <c r="M18" s="80"/>
      <c r="N18" s="83" t="str">
        <f aca="false">IF(C18="","",IF(I18="",IF(H18="OUI","À ENROBER",IF(G18="À SOUDER","NON SOUDÉ","EN ATTENTE RT")),IF(L18="R","À REPRENDRE",IF(H18&lt;&gt;"OUI","⚠ ENROBÉ AVANT ACCEPTATION RT","ENROBÉ"))))</f>
        <v>À ENROBER</v>
      </c>
      <c r="O18" s="79"/>
    </row>
    <row r="19" customFormat="false" ht="15" hidden="false" customHeight="false" outlineLevel="0" collapsed="false">
      <c r="A19" s="78" t="n">
        <f aca="false">IF('CARNET DE SOUDURE'!E19="","",'CARNET DE SOUDURE'!A19)</f>
        <v>13</v>
      </c>
      <c r="B19" s="93" t="str">
        <f aca="false">IF('CARNET DE SOUDURE'!E19="","",'CARNET DE SOUDURE'!B19&amp;"")</f>
        <v>TFT 716 → TL7-MMFW2</v>
      </c>
      <c r="C19" s="83" t="str">
        <f aca="false">IF('CARNET DE SOUDURE'!E19="","",'CARNET DE SOUDURE'!E19)</f>
        <v>JN°013</v>
      </c>
      <c r="D19" s="78" t="str">
        <f aca="false">IF('CARNET DE SOUDURE'!E19="","",'CARNET DE SOUDURE'!D19&amp;"")</f>
        <v>0.00</v>
      </c>
      <c r="E19" s="96" t="n">
        <f aca="false">IF(OR('CARNET DE SOUDURE'!E19="",'CARNET DE SOUDURE'!R19=""),"",'CARNET DE SOUDURE'!R19)</f>
        <v>45891</v>
      </c>
      <c r="F19" s="81" t="str">
        <f aca="false">IF('CARNET DE SOUDURE'!E19="","",'CARNET DE SOUDURE'!AL19)</f>
        <v>A</v>
      </c>
      <c r="G19" s="81" t="str">
        <f aca="false">IF('CARNET DE SOUDURE'!E19="","",'CARNET DE SOUDURE'!AM19)</f>
        <v>ACCEPTÉ</v>
      </c>
      <c r="H19" s="81" t="str">
        <f aca="false">IF(C19="","",IF(G19="ACCEPTÉ","OUI","NON"))</f>
        <v>OUI</v>
      </c>
      <c r="I19" s="82"/>
      <c r="J19" s="79"/>
      <c r="K19" s="80"/>
      <c r="L19" s="80"/>
      <c r="M19" s="80"/>
      <c r="N19" s="83" t="str">
        <f aca="false">IF(C19="","",IF(I19="",IF(H19="OUI","À ENROBER",IF(G19="À SOUDER","NON SOUDÉ","EN ATTENTE RT")),IF(L19="R","À REPRENDRE",IF(H19&lt;&gt;"OUI","⚠ ENROBÉ AVANT ACCEPTATION RT","ENROBÉ"))))</f>
        <v>À ENROBER</v>
      </c>
      <c r="O19" s="79"/>
    </row>
    <row r="20" customFormat="false" ht="15" hidden="false" customHeight="false" outlineLevel="0" collapsed="false">
      <c r="A20" s="78" t="n">
        <f aca="false">IF('CARNET DE SOUDURE'!E20="","",'CARNET DE SOUDURE'!A20)</f>
        <v>14</v>
      </c>
      <c r="B20" s="93" t="str">
        <f aca="false">IF('CARNET DE SOUDURE'!E20="","",'CARNET DE SOUDURE'!B20&amp;"")</f>
        <v>TFT 716 → TL7-MMFW2</v>
      </c>
      <c r="C20" s="83" t="str">
        <f aca="false">IF('CARNET DE SOUDURE'!E20="","",'CARNET DE SOUDURE'!E20)</f>
        <v>JN°014</v>
      </c>
      <c r="D20" s="78" t="str">
        <f aca="false">IF('CARNET DE SOUDURE'!E20="","",'CARNET DE SOUDURE'!D20&amp;"")</f>
        <v>0.00</v>
      </c>
      <c r="E20" s="96" t="n">
        <f aca="false">IF(OR('CARNET DE SOUDURE'!E20="",'CARNET DE SOUDURE'!R20=""),"",'CARNET DE SOUDURE'!R20)</f>
        <v>45876</v>
      </c>
      <c r="F20" s="81" t="str">
        <f aca="false">IF('CARNET DE SOUDURE'!E20="","",'CARNET DE SOUDURE'!AL20)</f>
        <v>A</v>
      </c>
      <c r="G20" s="81" t="str">
        <f aca="false">IF('CARNET DE SOUDURE'!E20="","",'CARNET DE SOUDURE'!AM20)</f>
        <v>ACCEPTÉ</v>
      </c>
      <c r="H20" s="81" t="str">
        <f aca="false">IF(C20="","",IF(G20="ACCEPTÉ","OUI","NON"))</f>
        <v>OUI</v>
      </c>
      <c r="I20" s="82"/>
      <c r="J20" s="79"/>
      <c r="K20" s="80"/>
      <c r="L20" s="80"/>
      <c r="M20" s="80"/>
      <c r="N20" s="83" t="str">
        <f aca="false">IF(C20="","",IF(I20="",IF(H20="OUI","À ENROBER",IF(G20="À SOUDER","NON SOUDÉ","EN ATTENTE RT")),IF(L20="R","À REPRENDRE",IF(H20&lt;&gt;"OUI","⚠ ENROBÉ AVANT ACCEPTATION RT","ENROBÉ"))))</f>
        <v>À ENROBER</v>
      </c>
      <c r="O20" s="79"/>
    </row>
    <row r="21" customFormat="false" ht="15" hidden="false" customHeight="false" outlineLevel="0" collapsed="false">
      <c r="A21" s="78" t="n">
        <f aca="false">IF('CARNET DE SOUDURE'!E21="","",'CARNET DE SOUDURE'!A21)</f>
        <v>15</v>
      </c>
      <c r="B21" s="93" t="str">
        <f aca="false">IF('CARNET DE SOUDURE'!E21="","",'CARNET DE SOUDURE'!B21&amp;"")</f>
        <v>TFT 716 → TL7-MMFW2</v>
      </c>
      <c r="C21" s="83" t="str">
        <f aca="false">IF('CARNET DE SOUDURE'!E21="","",'CARNET DE SOUDURE'!E21)</f>
        <v>JN°015</v>
      </c>
      <c r="D21" s="78" t="str">
        <f aca="false">IF('CARNET DE SOUDURE'!E21="","",'CARNET DE SOUDURE'!D21&amp;"")</f>
        <v>0.00</v>
      </c>
      <c r="E21" s="96" t="n">
        <f aca="false">IF(OR('CARNET DE SOUDURE'!E21="",'CARNET DE SOUDURE'!R21=""),"",'CARNET DE SOUDURE'!R21)</f>
        <v>45876</v>
      </c>
      <c r="F21" s="81" t="str">
        <f aca="false">IF('CARNET DE SOUDURE'!E21="","",'CARNET DE SOUDURE'!AL21)</f>
        <v>A</v>
      </c>
      <c r="G21" s="81" t="str">
        <f aca="false">IF('CARNET DE SOUDURE'!E21="","",'CARNET DE SOUDURE'!AM21)</f>
        <v>ACCEPTÉ</v>
      </c>
      <c r="H21" s="81" t="str">
        <f aca="false">IF(C21="","",IF(G21="ACCEPTÉ","OUI","NON"))</f>
        <v>OUI</v>
      </c>
      <c r="I21" s="82"/>
      <c r="J21" s="79"/>
      <c r="K21" s="80"/>
      <c r="L21" s="80"/>
      <c r="M21" s="80"/>
      <c r="N21" s="83" t="str">
        <f aca="false">IF(C21="","",IF(I21="",IF(H21="OUI","À ENROBER",IF(G21="À SOUDER","NON SOUDÉ","EN ATTENTE RT")),IF(L21="R","À REPRENDRE",IF(H21&lt;&gt;"OUI","⚠ ENROBÉ AVANT ACCEPTATION RT","ENROBÉ"))))</f>
        <v>À ENROBER</v>
      </c>
      <c r="O21" s="79"/>
    </row>
    <row r="22" customFormat="false" ht="15" hidden="false" customHeight="false" outlineLevel="0" collapsed="false">
      <c r="A22" s="78" t="n">
        <f aca="false">IF('CARNET DE SOUDURE'!E22="","",'CARNET DE SOUDURE'!A22)</f>
        <v>16</v>
      </c>
      <c r="B22" s="93" t="str">
        <f aca="false">IF('CARNET DE SOUDURE'!E22="","",'CARNET DE SOUDURE'!B22&amp;"")</f>
        <v>TFT 716 → TL7-MMFW2</v>
      </c>
      <c r="C22" s="83" t="str">
        <f aca="false">IF('CARNET DE SOUDURE'!E22="","",'CARNET DE SOUDURE'!E22)</f>
        <v>JN°016</v>
      </c>
      <c r="D22" s="78" t="str">
        <f aca="false">IF('CARNET DE SOUDURE'!E22="","",'CARNET DE SOUDURE'!D22&amp;"")</f>
        <v>0.00</v>
      </c>
      <c r="E22" s="96" t="n">
        <f aca="false">IF(OR('CARNET DE SOUDURE'!E22="",'CARNET DE SOUDURE'!R22=""),"",'CARNET DE SOUDURE'!R22)</f>
        <v>45876</v>
      </c>
      <c r="F22" s="81" t="str">
        <f aca="false">IF('CARNET DE SOUDURE'!E22="","",'CARNET DE SOUDURE'!AL22)</f>
        <v>A</v>
      </c>
      <c r="G22" s="81" t="str">
        <f aca="false">IF('CARNET DE SOUDURE'!E22="","",'CARNET DE SOUDURE'!AM22)</f>
        <v>ACCEPTÉ</v>
      </c>
      <c r="H22" s="81" t="str">
        <f aca="false">IF(C22="","",IF(G22="ACCEPTÉ","OUI","NON"))</f>
        <v>OUI</v>
      </c>
      <c r="I22" s="82"/>
      <c r="J22" s="79"/>
      <c r="K22" s="80"/>
      <c r="L22" s="80"/>
      <c r="M22" s="80"/>
      <c r="N22" s="83" t="str">
        <f aca="false">IF(C22="","",IF(I22="",IF(H22="OUI","À ENROBER",IF(G22="À SOUDER","NON SOUDÉ","EN ATTENTE RT")),IF(L22="R","À REPRENDRE",IF(H22&lt;&gt;"OUI","⚠ ENROBÉ AVANT ACCEPTATION RT","ENROBÉ"))))</f>
        <v>À ENROBER</v>
      </c>
      <c r="O22" s="79"/>
    </row>
    <row r="23" customFormat="false" ht="15" hidden="false" customHeight="false" outlineLevel="0" collapsed="false">
      <c r="A23" s="78" t="n">
        <f aca="false">IF('CARNET DE SOUDURE'!E23="","",'CARNET DE SOUDURE'!A23)</f>
        <v>17</v>
      </c>
      <c r="B23" s="93" t="str">
        <f aca="false">IF('CARNET DE SOUDURE'!E23="","",'CARNET DE SOUDURE'!B23&amp;"")</f>
        <v>TFT 716 → TL7-MMFW2</v>
      </c>
      <c r="C23" s="83" t="str">
        <f aca="false">IF('CARNET DE SOUDURE'!E23="","",'CARNET DE SOUDURE'!E23)</f>
        <v>JN°017</v>
      </c>
      <c r="D23" s="78" t="str">
        <f aca="false">IF('CARNET DE SOUDURE'!E23="","",'CARNET DE SOUDURE'!D23&amp;"")</f>
        <v>0.00</v>
      </c>
      <c r="E23" s="96" t="n">
        <f aca="false">IF(OR('CARNET DE SOUDURE'!E23="",'CARNET DE SOUDURE'!R23=""),"",'CARNET DE SOUDURE'!R23)</f>
        <v>45876</v>
      </c>
      <c r="F23" s="81" t="str">
        <f aca="false">IF('CARNET DE SOUDURE'!E23="","",'CARNET DE SOUDURE'!AL23)</f>
        <v>A</v>
      </c>
      <c r="G23" s="81" t="str">
        <f aca="false">IF('CARNET DE SOUDURE'!E23="","",'CARNET DE SOUDURE'!AM23)</f>
        <v>ACCEPTÉ</v>
      </c>
      <c r="H23" s="81" t="str">
        <f aca="false">IF(C23="","",IF(G23="ACCEPTÉ","OUI","NON"))</f>
        <v>OUI</v>
      </c>
      <c r="I23" s="82"/>
      <c r="J23" s="79"/>
      <c r="K23" s="80"/>
      <c r="L23" s="80"/>
      <c r="M23" s="80"/>
      <c r="N23" s="83" t="str">
        <f aca="false">IF(C23="","",IF(I23="",IF(H23="OUI","À ENROBER",IF(G23="À SOUDER","NON SOUDÉ","EN ATTENTE RT")),IF(L23="R","À REPRENDRE",IF(H23&lt;&gt;"OUI","⚠ ENROBÉ AVANT ACCEPTATION RT","ENROBÉ"))))</f>
        <v>À ENROBER</v>
      </c>
      <c r="O23" s="79"/>
    </row>
    <row r="24" customFormat="false" ht="15" hidden="false" customHeight="false" outlineLevel="0" collapsed="false">
      <c r="A24" s="78" t="n">
        <f aca="false">IF('CARNET DE SOUDURE'!E24="","",'CARNET DE SOUDURE'!A24)</f>
        <v>18</v>
      </c>
      <c r="B24" s="93" t="str">
        <f aca="false">IF('CARNET DE SOUDURE'!E24="","",'CARNET DE SOUDURE'!B24&amp;"")</f>
        <v>TFT 716 → TL7-MMFW2</v>
      </c>
      <c r="C24" s="83" t="str">
        <f aca="false">IF('CARNET DE SOUDURE'!E24="","",'CARNET DE SOUDURE'!E24)</f>
        <v>JN°018Racc</v>
      </c>
      <c r="D24" s="78" t="str">
        <f aca="false">IF('CARNET DE SOUDURE'!E24="","",'CARNET DE SOUDURE'!D24&amp;"")</f>
        <v>0.00</v>
      </c>
      <c r="E24" s="96" t="n">
        <f aca="false">IF(OR('CARNET DE SOUDURE'!E24="",'CARNET DE SOUDURE'!R24=""),"",'CARNET DE SOUDURE'!R24)</f>
        <v>45908</v>
      </c>
      <c r="F24" s="81" t="str">
        <f aca="false">IF('CARNET DE SOUDURE'!E24="","",'CARNET DE SOUDURE'!AL24)</f>
        <v>A</v>
      </c>
      <c r="G24" s="81" t="str">
        <f aca="false">IF('CARNET DE SOUDURE'!E24="","",'CARNET DE SOUDURE'!AM24)</f>
        <v>ACCEPTÉ</v>
      </c>
      <c r="H24" s="81" t="str">
        <f aca="false">IF(C24="","",IF(G24="ACCEPTÉ","OUI","NON"))</f>
        <v>OUI</v>
      </c>
      <c r="I24" s="82"/>
      <c r="J24" s="79"/>
      <c r="K24" s="80"/>
      <c r="L24" s="80"/>
      <c r="M24" s="80"/>
      <c r="N24" s="83" t="str">
        <f aca="false">IF(C24="","",IF(I24="",IF(H24="OUI","À ENROBER",IF(G24="À SOUDER","NON SOUDÉ","EN ATTENTE RT")),IF(L24="R","À REPRENDRE",IF(H24&lt;&gt;"OUI","⚠ ENROBÉ AVANT ACCEPTATION RT","ENROBÉ"))))</f>
        <v>À ENROBER</v>
      </c>
      <c r="O24" s="79"/>
    </row>
    <row r="25" customFormat="false" ht="15" hidden="false" customHeight="false" outlineLevel="0" collapsed="false">
      <c r="A25" s="78" t="n">
        <f aca="false">IF('CARNET DE SOUDURE'!E25="","",'CARNET DE SOUDURE'!A25)</f>
        <v>19</v>
      </c>
      <c r="B25" s="93" t="str">
        <f aca="false">IF('CARNET DE SOUDURE'!E25="","",'CARNET DE SOUDURE'!B25&amp;"")</f>
        <v>TFT 716 → TL7-MMFW2</v>
      </c>
      <c r="C25" s="83" t="str">
        <f aca="false">IF('CARNET DE SOUDURE'!E25="","",'CARNET DE SOUDURE'!E25)</f>
        <v>JN°019</v>
      </c>
      <c r="D25" s="78" t="str">
        <f aca="false">IF('CARNET DE SOUDURE'!E25="","",'CARNET DE SOUDURE'!D25&amp;"")</f>
        <v>0.00</v>
      </c>
      <c r="E25" s="96" t="n">
        <f aca="false">IF(OR('CARNET DE SOUDURE'!E25="",'CARNET DE SOUDURE'!R25=""),"",'CARNET DE SOUDURE'!R25)</f>
        <v>45908</v>
      </c>
      <c r="F25" s="81" t="str">
        <f aca="false">IF('CARNET DE SOUDURE'!E25="","",'CARNET DE SOUDURE'!AL25)</f>
        <v>A</v>
      </c>
      <c r="G25" s="81" t="str">
        <f aca="false">IF('CARNET DE SOUDURE'!E25="","",'CARNET DE SOUDURE'!AM25)</f>
        <v>ACCEPTÉ</v>
      </c>
      <c r="H25" s="81" t="str">
        <f aca="false">IF(C25="","",IF(G25="ACCEPTÉ","OUI","NON"))</f>
        <v>OUI</v>
      </c>
      <c r="I25" s="82"/>
      <c r="J25" s="79"/>
      <c r="K25" s="80"/>
      <c r="L25" s="80"/>
      <c r="M25" s="80"/>
      <c r="N25" s="83" t="str">
        <f aca="false">IF(C25="","",IF(I25="",IF(H25="OUI","À ENROBER",IF(G25="À SOUDER","NON SOUDÉ","EN ATTENTE RT")),IF(L25="R","À REPRENDRE",IF(H25&lt;&gt;"OUI","⚠ ENROBÉ AVANT ACCEPTATION RT","ENROBÉ"))))</f>
        <v>À ENROBER</v>
      </c>
      <c r="O25" s="79"/>
    </row>
    <row r="26" customFormat="false" ht="15" hidden="false" customHeight="false" outlineLevel="0" collapsed="false">
      <c r="A26" s="78" t="n">
        <f aca="false">IF('CARNET DE SOUDURE'!E26="","",'CARNET DE SOUDURE'!A26)</f>
        <v>20</v>
      </c>
      <c r="B26" s="93" t="str">
        <f aca="false">IF('CARNET DE SOUDURE'!E26="","",'CARNET DE SOUDURE'!B26&amp;"")</f>
        <v>TFT 716 → TL7-MMFW2</v>
      </c>
      <c r="C26" s="83" t="str">
        <f aca="false">IF('CARNET DE SOUDURE'!E26="","",'CARNET DE SOUDURE'!E26)</f>
        <v>JN°019A</v>
      </c>
      <c r="D26" s="78" t="str">
        <f aca="false">IF('CARNET DE SOUDURE'!E26="","",'CARNET DE SOUDURE'!D26&amp;"")</f>
        <v>0.00</v>
      </c>
      <c r="E26" s="96" t="n">
        <f aca="false">IF(OR('CARNET DE SOUDURE'!E26="",'CARNET DE SOUDURE'!R26=""),"",'CARNET DE SOUDURE'!R26)</f>
        <v>45907</v>
      </c>
      <c r="F26" s="81" t="str">
        <f aca="false">IF('CARNET DE SOUDURE'!E26="","",'CARNET DE SOUDURE'!AL26)</f>
        <v>A</v>
      </c>
      <c r="G26" s="81" t="str">
        <f aca="false">IF('CARNET DE SOUDURE'!E26="","",'CARNET DE SOUDURE'!AM26)</f>
        <v>ACCEPTÉ</v>
      </c>
      <c r="H26" s="81" t="str">
        <f aca="false">IF(C26="","",IF(G26="ACCEPTÉ","OUI","NON"))</f>
        <v>OUI</v>
      </c>
      <c r="I26" s="82"/>
      <c r="J26" s="79"/>
      <c r="K26" s="80"/>
      <c r="L26" s="80"/>
      <c r="M26" s="80"/>
      <c r="N26" s="83" t="str">
        <f aca="false">IF(C26="","",IF(I26="",IF(H26="OUI","À ENROBER",IF(G26="À SOUDER","NON SOUDÉ","EN ATTENTE RT")),IF(L26="R","À REPRENDRE",IF(H26&lt;&gt;"OUI","⚠ ENROBÉ AVANT ACCEPTATION RT","ENROBÉ"))))</f>
        <v>À ENROBER</v>
      </c>
      <c r="O26" s="79"/>
    </row>
    <row r="27" customFormat="false" ht="15" hidden="false" customHeight="false" outlineLevel="0" collapsed="false">
      <c r="A27" s="78" t="n">
        <f aca="false">IF('CARNET DE SOUDURE'!E27="","",'CARNET DE SOUDURE'!A27)</f>
        <v>21</v>
      </c>
      <c r="B27" s="93" t="str">
        <f aca="false">IF('CARNET DE SOUDURE'!E27="","",'CARNET DE SOUDURE'!B27&amp;"")</f>
        <v>TFT 716 → TL7-MMFW2</v>
      </c>
      <c r="C27" s="83" t="str">
        <f aca="false">IF('CARNET DE SOUDURE'!E27="","",'CARNET DE SOUDURE'!E27)</f>
        <v>JN°020</v>
      </c>
      <c r="D27" s="78" t="str">
        <f aca="false">IF('CARNET DE SOUDURE'!E27="","",'CARNET DE SOUDURE'!D27&amp;"")</f>
        <v>0.00</v>
      </c>
      <c r="E27" s="96" t="n">
        <f aca="false">IF(OR('CARNET DE SOUDURE'!E27="",'CARNET DE SOUDURE'!R27=""),"",'CARNET DE SOUDURE'!R27)</f>
        <v>45876</v>
      </c>
      <c r="F27" s="81" t="str">
        <f aca="false">IF('CARNET DE SOUDURE'!E27="","",'CARNET DE SOUDURE'!AL27)</f>
        <v>A</v>
      </c>
      <c r="G27" s="81" t="str">
        <f aca="false">IF('CARNET DE SOUDURE'!E27="","",'CARNET DE SOUDURE'!AM27)</f>
        <v>ACCEPTÉ</v>
      </c>
      <c r="H27" s="81" t="str">
        <f aca="false">IF(C27="","",IF(G27="ACCEPTÉ","OUI","NON"))</f>
        <v>OUI</v>
      </c>
      <c r="I27" s="82"/>
      <c r="J27" s="79"/>
      <c r="K27" s="80"/>
      <c r="L27" s="80"/>
      <c r="M27" s="80"/>
      <c r="N27" s="83" t="str">
        <f aca="false">IF(C27="","",IF(I27="",IF(H27="OUI","À ENROBER",IF(G27="À SOUDER","NON SOUDÉ","EN ATTENTE RT")),IF(L27="R","À REPRENDRE",IF(H27&lt;&gt;"OUI","⚠ ENROBÉ AVANT ACCEPTATION RT","ENROBÉ"))))</f>
        <v>À ENROBER</v>
      </c>
      <c r="O27" s="79"/>
    </row>
    <row r="28" customFormat="false" ht="15" hidden="false" customHeight="false" outlineLevel="0" collapsed="false">
      <c r="A28" s="78" t="n">
        <f aca="false">IF('CARNET DE SOUDURE'!E28="","",'CARNET DE SOUDURE'!A28)</f>
        <v>22</v>
      </c>
      <c r="B28" s="93" t="str">
        <f aca="false">IF('CARNET DE SOUDURE'!E28="","",'CARNET DE SOUDURE'!B28&amp;"")</f>
        <v>TFT 716 → TL7-MMFW2</v>
      </c>
      <c r="C28" s="83" t="str">
        <f aca="false">IF('CARNET DE SOUDURE'!E28="","",'CARNET DE SOUDURE'!E28)</f>
        <v>JN°021Racc</v>
      </c>
      <c r="D28" s="78" t="str">
        <f aca="false">IF('CARNET DE SOUDURE'!E28="","",'CARNET DE SOUDURE'!D28&amp;"")</f>
        <v>0.00</v>
      </c>
      <c r="E28" s="96" t="n">
        <f aca="false">IF(OR('CARNET DE SOUDURE'!E28="",'CARNET DE SOUDURE'!R28=""),"",'CARNET DE SOUDURE'!R28)</f>
        <v>45906</v>
      </c>
      <c r="F28" s="81" t="str">
        <f aca="false">IF('CARNET DE SOUDURE'!E28="","",'CARNET DE SOUDURE'!AL28)</f>
        <v>A</v>
      </c>
      <c r="G28" s="81" t="str">
        <f aca="false">IF('CARNET DE SOUDURE'!E28="","",'CARNET DE SOUDURE'!AM28)</f>
        <v>ACCEPTÉ</v>
      </c>
      <c r="H28" s="81" t="str">
        <f aca="false">IF(C28="","",IF(G28="ACCEPTÉ","OUI","NON"))</f>
        <v>OUI</v>
      </c>
      <c r="I28" s="82"/>
      <c r="J28" s="79"/>
      <c r="K28" s="80"/>
      <c r="L28" s="80"/>
      <c r="M28" s="80"/>
      <c r="N28" s="83" t="str">
        <f aca="false">IF(C28="","",IF(I28="",IF(H28="OUI","À ENROBER",IF(G28="À SOUDER","NON SOUDÉ","EN ATTENTE RT")),IF(L28="R","À REPRENDRE",IF(H28&lt;&gt;"OUI","⚠ ENROBÉ AVANT ACCEPTATION RT","ENROBÉ"))))</f>
        <v>À ENROBER</v>
      </c>
      <c r="O28" s="79"/>
    </row>
    <row r="29" customFormat="false" ht="15" hidden="false" customHeight="false" outlineLevel="0" collapsed="false">
      <c r="A29" s="78" t="n">
        <f aca="false">IF('CARNET DE SOUDURE'!E29="","",'CARNET DE SOUDURE'!A29)</f>
        <v>23</v>
      </c>
      <c r="B29" s="93" t="str">
        <f aca="false">IF('CARNET DE SOUDURE'!E29="","",'CARNET DE SOUDURE'!B29&amp;"")</f>
        <v>TFT 716 → TL7-MMFW2</v>
      </c>
      <c r="C29" s="83" t="str">
        <f aca="false">IF('CARNET DE SOUDURE'!E29="","",'CARNET DE SOUDURE'!E29)</f>
        <v>JN°022</v>
      </c>
      <c r="D29" s="78" t="str">
        <f aca="false">IF('CARNET DE SOUDURE'!E29="","",'CARNET DE SOUDURE'!D29&amp;"")</f>
        <v>0.00</v>
      </c>
      <c r="E29" s="96" t="n">
        <f aca="false">IF(OR('CARNET DE SOUDURE'!E29="",'CARNET DE SOUDURE'!R29=""),"",'CARNET DE SOUDURE'!R29)</f>
        <v>45906</v>
      </c>
      <c r="F29" s="81" t="str">
        <f aca="false">IF('CARNET DE SOUDURE'!E29="","",'CARNET DE SOUDURE'!AL29)</f>
        <v>A</v>
      </c>
      <c r="G29" s="81" t="str">
        <f aca="false">IF('CARNET DE SOUDURE'!E29="","",'CARNET DE SOUDURE'!AM29)</f>
        <v>ACCEPTÉ</v>
      </c>
      <c r="H29" s="81" t="str">
        <f aca="false">IF(C29="","",IF(G29="ACCEPTÉ","OUI","NON"))</f>
        <v>OUI</v>
      </c>
      <c r="I29" s="82"/>
      <c r="J29" s="79"/>
      <c r="K29" s="80"/>
      <c r="L29" s="80"/>
      <c r="M29" s="80"/>
      <c r="N29" s="83" t="str">
        <f aca="false">IF(C29="","",IF(I29="",IF(H29="OUI","À ENROBER",IF(G29="À SOUDER","NON SOUDÉ","EN ATTENTE RT")),IF(L29="R","À REPRENDRE",IF(H29&lt;&gt;"OUI","⚠ ENROBÉ AVANT ACCEPTATION RT","ENROBÉ"))))</f>
        <v>À ENROBER</v>
      </c>
      <c r="O29" s="79"/>
    </row>
    <row r="30" customFormat="false" ht="15" hidden="false" customHeight="false" outlineLevel="0" collapsed="false">
      <c r="A30" s="78" t="n">
        <f aca="false">IF('CARNET DE SOUDURE'!E30="","",'CARNET DE SOUDURE'!A30)</f>
        <v>24</v>
      </c>
      <c r="B30" s="93" t="str">
        <f aca="false">IF('CARNET DE SOUDURE'!E30="","",'CARNET DE SOUDURE'!B30&amp;"")</f>
        <v>TFT 716 → TL7-MMFW2</v>
      </c>
      <c r="C30" s="83" t="str">
        <f aca="false">IF('CARNET DE SOUDURE'!E30="","",'CARNET DE SOUDURE'!E30)</f>
        <v>JN°023</v>
      </c>
      <c r="D30" s="78" t="str">
        <f aca="false">IF('CARNET DE SOUDURE'!E30="","",'CARNET DE SOUDURE'!D30&amp;"")</f>
        <v>0.00</v>
      </c>
      <c r="E30" s="96" t="n">
        <f aca="false">IF(OR('CARNET DE SOUDURE'!E30="",'CARNET DE SOUDURE'!R30=""),"",'CARNET DE SOUDURE'!R30)</f>
        <v>45876</v>
      </c>
      <c r="F30" s="81" t="str">
        <f aca="false">IF('CARNET DE SOUDURE'!E30="","",'CARNET DE SOUDURE'!AL30)</f>
        <v>A</v>
      </c>
      <c r="G30" s="81" t="str">
        <f aca="false">IF('CARNET DE SOUDURE'!E30="","",'CARNET DE SOUDURE'!AM30)</f>
        <v>ACCEPTÉ</v>
      </c>
      <c r="H30" s="81" t="str">
        <f aca="false">IF(C30="","",IF(G30="ACCEPTÉ","OUI","NON"))</f>
        <v>OUI</v>
      </c>
      <c r="I30" s="82"/>
      <c r="J30" s="79"/>
      <c r="K30" s="80"/>
      <c r="L30" s="80"/>
      <c r="M30" s="80"/>
      <c r="N30" s="83" t="str">
        <f aca="false">IF(C30="","",IF(I30="",IF(H30="OUI","À ENROBER",IF(G30="À SOUDER","NON SOUDÉ","EN ATTENTE RT")),IF(L30="R","À REPRENDRE",IF(H30&lt;&gt;"OUI","⚠ ENROBÉ AVANT ACCEPTATION RT","ENROBÉ"))))</f>
        <v>À ENROBER</v>
      </c>
      <c r="O30" s="79"/>
    </row>
    <row r="31" customFormat="false" ht="15" hidden="false" customHeight="false" outlineLevel="0" collapsed="false">
      <c r="A31" s="78" t="n">
        <f aca="false">IF('CARNET DE SOUDURE'!E31="","",'CARNET DE SOUDURE'!A31)</f>
        <v>25</v>
      </c>
      <c r="B31" s="93" t="str">
        <f aca="false">IF('CARNET DE SOUDURE'!E31="","",'CARNET DE SOUDURE'!B31&amp;"")</f>
        <v>TFT 716 → TL7-MMFW2</v>
      </c>
      <c r="C31" s="83" t="str">
        <f aca="false">IF('CARNET DE SOUDURE'!E31="","",'CARNET DE SOUDURE'!E31)</f>
        <v>JN°024</v>
      </c>
      <c r="D31" s="78" t="str">
        <f aca="false">IF('CARNET DE SOUDURE'!E31="","",'CARNET DE SOUDURE'!D31&amp;"")</f>
        <v>0.00</v>
      </c>
      <c r="E31" s="96" t="n">
        <f aca="false">IF(OR('CARNET DE SOUDURE'!E31="",'CARNET DE SOUDURE'!R31=""),"",'CARNET DE SOUDURE'!R31)</f>
        <v>45876</v>
      </c>
      <c r="F31" s="81" t="str">
        <f aca="false">IF('CARNET DE SOUDURE'!E31="","",'CARNET DE SOUDURE'!AL31)</f>
        <v>A</v>
      </c>
      <c r="G31" s="81" t="str">
        <f aca="false">IF('CARNET DE SOUDURE'!E31="","",'CARNET DE SOUDURE'!AM31)</f>
        <v>ACCEPTÉ</v>
      </c>
      <c r="H31" s="81" t="str">
        <f aca="false">IF(C31="","",IF(G31="ACCEPTÉ","OUI","NON"))</f>
        <v>OUI</v>
      </c>
      <c r="I31" s="82"/>
      <c r="J31" s="79"/>
      <c r="K31" s="80"/>
      <c r="L31" s="80"/>
      <c r="M31" s="80"/>
      <c r="N31" s="83" t="str">
        <f aca="false">IF(C31="","",IF(I31="",IF(H31="OUI","À ENROBER",IF(G31="À SOUDER","NON SOUDÉ","EN ATTENTE RT")),IF(L31="R","À REPRENDRE",IF(H31&lt;&gt;"OUI","⚠ ENROBÉ AVANT ACCEPTATION RT","ENROBÉ"))))</f>
        <v>À ENROBER</v>
      </c>
      <c r="O31" s="79"/>
    </row>
    <row r="32" customFormat="false" ht="15" hidden="false" customHeight="false" outlineLevel="0" collapsed="false">
      <c r="A32" s="78" t="n">
        <f aca="false">IF('CARNET DE SOUDURE'!E32="","",'CARNET DE SOUDURE'!A32)</f>
        <v>26</v>
      </c>
      <c r="B32" s="93" t="str">
        <f aca="false">IF('CARNET DE SOUDURE'!E32="","",'CARNET DE SOUDURE'!B32&amp;"")</f>
        <v>TFT 716 → TL7-MMFW2</v>
      </c>
      <c r="C32" s="83" t="str">
        <f aca="false">IF('CARNET DE SOUDURE'!E32="","",'CARNET DE SOUDURE'!E32)</f>
        <v>JN°025</v>
      </c>
      <c r="D32" s="78" t="str">
        <f aca="false">IF('CARNET DE SOUDURE'!E32="","",'CARNET DE SOUDURE'!D32&amp;"")</f>
        <v>0.00</v>
      </c>
      <c r="E32" s="96" t="n">
        <f aca="false">IF(OR('CARNET DE SOUDURE'!E32="",'CARNET DE SOUDURE'!R32=""),"",'CARNET DE SOUDURE'!R32)</f>
        <v>45876</v>
      </c>
      <c r="F32" s="81" t="str">
        <f aca="false">IF('CARNET DE SOUDURE'!E32="","",'CARNET DE SOUDURE'!AL32)</f>
        <v>A</v>
      </c>
      <c r="G32" s="81" t="str">
        <f aca="false">IF('CARNET DE SOUDURE'!E32="","",'CARNET DE SOUDURE'!AM32)</f>
        <v>ACCEPTÉ</v>
      </c>
      <c r="H32" s="81" t="str">
        <f aca="false">IF(C32="","",IF(G32="ACCEPTÉ","OUI","NON"))</f>
        <v>OUI</v>
      </c>
      <c r="I32" s="82"/>
      <c r="J32" s="79"/>
      <c r="K32" s="80"/>
      <c r="L32" s="80"/>
      <c r="M32" s="80"/>
      <c r="N32" s="83" t="str">
        <f aca="false">IF(C32="","",IF(I32="",IF(H32="OUI","À ENROBER",IF(G32="À SOUDER","NON SOUDÉ","EN ATTENTE RT")),IF(L32="R","À REPRENDRE",IF(H32&lt;&gt;"OUI","⚠ ENROBÉ AVANT ACCEPTATION RT","ENROBÉ"))))</f>
        <v>À ENROBER</v>
      </c>
      <c r="O32" s="79"/>
    </row>
    <row r="33" customFormat="false" ht="15" hidden="false" customHeight="false" outlineLevel="0" collapsed="false">
      <c r="A33" s="78" t="n">
        <f aca="false">IF('CARNET DE SOUDURE'!E33="","",'CARNET DE SOUDURE'!A33)</f>
        <v>27</v>
      </c>
      <c r="B33" s="93" t="str">
        <f aca="false">IF('CARNET DE SOUDURE'!E33="","",'CARNET DE SOUDURE'!B33&amp;"")</f>
        <v>TFT 716 → TL7-MMFW2</v>
      </c>
      <c r="C33" s="83" t="str">
        <f aca="false">IF('CARNET DE SOUDURE'!E33="","",'CARNET DE SOUDURE'!E33)</f>
        <v>JN°026</v>
      </c>
      <c r="D33" s="78" t="str">
        <f aca="false">IF('CARNET DE SOUDURE'!E33="","",'CARNET DE SOUDURE'!D33&amp;"")</f>
        <v>0.00</v>
      </c>
      <c r="E33" s="96" t="n">
        <f aca="false">IF(OR('CARNET DE SOUDURE'!E33="",'CARNET DE SOUDURE'!R33=""),"",'CARNET DE SOUDURE'!R33)</f>
        <v>45876</v>
      </c>
      <c r="F33" s="81" t="str">
        <f aca="false">IF('CARNET DE SOUDURE'!E33="","",'CARNET DE SOUDURE'!AL33)</f>
        <v>A</v>
      </c>
      <c r="G33" s="81" t="str">
        <f aca="false">IF('CARNET DE SOUDURE'!E33="","",'CARNET DE SOUDURE'!AM33)</f>
        <v>ACCEPTÉ</v>
      </c>
      <c r="H33" s="81" t="str">
        <f aca="false">IF(C33="","",IF(G33="ACCEPTÉ","OUI","NON"))</f>
        <v>OUI</v>
      </c>
      <c r="I33" s="82"/>
      <c r="J33" s="79"/>
      <c r="K33" s="80"/>
      <c r="L33" s="80"/>
      <c r="M33" s="80"/>
      <c r="N33" s="83" t="str">
        <f aca="false">IF(C33="","",IF(I33="",IF(H33="OUI","À ENROBER",IF(G33="À SOUDER","NON SOUDÉ","EN ATTENTE RT")),IF(L33="R","À REPRENDRE",IF(H33&lt;&gt;"OUI","⚠ ENROBÉ AVANT ACCEPTATION RT","ENROBÉ"))))</f>
        <v>À ENROBER</v>
      </c>
      <c r="O33" s="79"/>
    </row>
    <row r="34" customFormat="false" ht="15" hidden="false" customHeight="false" outlineLevel="0" collapsed="false">
      <c r="A34" s="78" t="n">
        <f aca="false">IF('CARNET DE SOUDURE'!E34="","",'CARNET DE SOUDURE'!A34)</f>
        <v>28</v>
      </c>
      <c r="B34" s="93" t="str">
        <f aca="false">IF('CARNET DE SOUDURE'!E34="","",'CARNET DE SOUDURE'!B34&amp;"")</f>
        <v>TFT 716 → TL7-MMFW2</v>
      </c>
      <c r="C34" s="83" t="str">
        <f aca="false">IF('CARNET DE SOUDURE'!E34="","",'CARNET DE SOUDURE'!E34)</f>
        <v>JN°027</v>
      </c>
      <c r="D34" s="78" t="str">
        <f aca="false">IF('CARNET DE SOUDURE'!E34="","",'CARNET DE SOUDURE'!D34&amp;"")</f>
        <v>0.00</v>
      </c>
      <c r="E34" s="96" t="n">
        <f aca="false">IF(OR('CARNET DE SOUDURE'!E34="",'CARNET DE SOUDURE'!R34=""),"",'CARNET DE SOUDURE'!R34)</f>
        <v>45876</v>
      </c>
      <c r="F34" s="81" t="str">
        <f aca="false">IF('CARNET DE SOUDURE'!E34="","",'CARNET DE SOUDURE'!AL34)</f>
        <v>A</v>
      </c>
      <c r="G34" s="81" t="str">
        <f aca="false">IF('CARNET DE SOUDURE'!E34="","",'CARNET DE SOUDURE'!AM34)</f>
        <v>ACCEPTÉ</v>
      </c>
      <c r="H34" s="81" t="str">
        <f aca="false">IF(C34="","",IF(G34="ACCEPTÉ","OUI","NON"))</f>
        <v>OUI</v>
      </c>
      <c r="I34" s="82"/>
      <c r="J34" s="79"/>
      <c r="K34" s="80"/>
      <c r="L34" s="80"/>
      <c r="M34" s="80"/>
      <c r="N34" s="83" t="str">
        <f aca="false">IF(C34="","",IF(I34="",IF(H34="OUI","À ENROBER",IF(G34="À SOUDER","NON SOUDÉ","EN ATTENTE RT")),IF(L34="R","À REPRENDRE",IF(H34&lt;&gt;"OUI","⚠ ENROBÉ AVANT ACCEPTATION RT","ENROBÉ"))))</f>
        <v>À ENROBER</v>
      </c>
      <c r="O34" s="79"/>
    </row>
    <row r="35" customFormat="false" ht="15" hidden="false" customHeight="false" outlineLevel="0" collapsed="false">
      <c r="A35" s="78" t="n">
        <f aca="false">IF('CARNET DE SOUDURE'!E35="","",'CARNET DE SOUDURE'!A35)</f>
        <v>29</v>
      </c>
      <c r="B35" s="93" t="str">
        <f aca="false">IF('CARNET DE SOUDURE'!E35="","",'CARNET DE SOUDURE'!B35&amp;"")</f>
        <v>TFT 716 → TL7-MMFW2</v>
      </c>
      <c r="C35" s="83" t="str">
        <f aca="false">IF('CARNET DE SOUDURE'!E35="","",'CARNET DE SOUDURE'!E35)</f>
        <v>JN°028</v>
      </c>
      <c r="D35" s="78" t="str">
        <f aca="false">IF('CARNET DE SOUDURE'!E35="","",'CARNET DE SOUDURE'!D35&amp;"")</f>
        <v>0.00</v>
      </c>
      <c r="E35" s="96" t="n">
        <f aca="false">IF(OR('CARNET DE SOUDURE'!E35="",'CARNET DE SOUDURE'!R35=""),"",'CARNET DE SOUDURE'!R35)</f>
        <v>45877</v>
      </c>
      <c r="F35" s="81" t="str">
        <f aca="false">IF('CARNET DE SOUDURE'!E35="","",'CARNET DE SOUDURE'!AL35)</f>
        <v>A</v>
      </c>
      <c r="G35" s="81" t="str">
        <f aca="false">IF('CARNET DE SOUDURE'!E35="","",'CARNET DE SOUDURE'!AM35)</f>
        <v>ACCEPTÉ</v>
      </c>
      <c r="H35" s="81" t="str">
        <f aca="false">IF(C35="","",IF(G35="ACCEPTÉ","OUI","NON"))</f>
        <v>OUI</v>
      </c>
      <c r="I35" s="82"/>
      <c r="J35" s="79"/>
      <c r="K35" s="80"/>
      <c r="L35" s="80"/>
      <c r="M35" s="80"/>
      <c r="N35" s="83" t="str">
        <f aca="false">IF(C35="","",IF(I35="",IF(H35="OUI","À ENROBER",IF(G35="À SOUDER","NON SOUDÉ","EN ATTENTE RT")),IF(L35="R","À REPRENDRE",IF(H35&lt;&gt;"OUI","⚠ ENROBÉ AVANT ACCEPTATION RT","ENROBÉ"))))</f>
        <v>À ENROBER</v>
      </c>
      <c r="O35" s="79"/>
    </row>
    <row r="36" customFormat="false" ht="15" hidden="false" customHeight="false" outlineLevel="0" collapsed="false">
      <c r="A36" s="78" t="n">
        <f aca="false">IF('CARNET DE SOUDURE'!E36="","",'CARNET DE SOUDURE'!A36)</f>
        <v>30</v>
      </c>
      <c r="B36" s="93" t="str">
        <f aca="false">IF('CARNET DE SOUDURE'!E36="","",'CARNET DE SOUDURE'!B36&amp;"")</f>
        <v>TFT 716 → TL7-MMFW2</v>
      </c>
      <c r="C36" s="83" t="str">
        <f aca="false">IF('CARNET DE SOUDURE'!E36="","",'CARNET DE SOUDURE'!E36)</f>
        <v>JN°029</v>
      </c>
      <c r="D36" s="78" t="str">
        <f aca="false">IF('CARNET DE SOUDURE'!E36="","",'CARNET DE SOUDURE'!D36&amp;"")</f>
        <v>0.00</v>
      </c>
      <c r="E36" s="96" t="n">
        <f aca="false">IF(OR('CARNET DE SOUDURE'!E36="",'CARNET DE SOUDURE'!R36=""),"",'CARNET DE SOUDURE'!R36)</f>
        <v>45877</v>
      </c>
      <c r="F36" s="81" t="str">
        <f aca="false">IF('CARNET DE SOUDURE'!E36="","",'CARNET DE SOUDURE'!AL36)</f>
        <v>A</v>
      </c>
      <c r="G36" s="81" t="str">
        <f aca="false">IF('CARNET DE SOUDURE'!E36="","",'CARNET DE SOUDURE'!AM36)</f>
        <v>ACCEPTÉ</v>
      </c>
      <c r="H36" s="81" t="str">
        <f aca="false">IF(C36="","",IF(G36="ACCEPTÉ","OUI","NON"))</f>
        <v>OUI</v>
      </c>
      <c r="I36" s="82"/>
      <c r="J36" s="79"/>
      <c r="K36" s="80"/>
      <c r="L36" s="80"/>
      <c r="M36" s="80"/>
      <c r="N36" s="83" t="str">
        <f aca="false">IF(C36="","",IF(I36="",IF(H36="OUI","À ENROBER",IF(G36="À SOUDER","NON SOUDÉ","EN ATTENTE RT")),IF(L36="R","À REPRENDRE",IF(H36&lt;&gt;"OUI","⚠ ENROBÉ AVANT ACCEPTATION RT","ENROBÉ"))))</f>
        <v>À ENROBER</v>
      </c>
      <c r="O36" s="79"/>
    </row>
    <row r="37" customFormat="false" ht="15" hidden="false" customHeight="false" outlineLevel="0" collapsed="false">
      <c r="A37" s="78" t="n">
        <f aca="false">IF('CARNET DE SOUDURE'!E37="","",'CARNET DE SOUDURE'!A37)</f>
        <v>31</v>
      </c>
      <c r="B37" s="93" t="str">
        <f aca="false">IF('CARNET DE SOUDURE'!E37="","",'CARNET DE SOUDURE'!B37&amp;"")</f>
        <v>TFT 716 → TL7-MMFW2</v>
      </c>
      <c r="C37" s="83" t="str">
        <f aca="false">IF('CARNET DE SOUDURE'!E37="","",'CARNET DE SOUDURE'!E37)</f>
        <v>JN°030</v>
      </c>
      <c r="D37" s="78" t="str">
        <f aca="false">IF('CARNET DE SOUDURE'!E37="","",'CARNET DE SOUDURE'!D37&amp;"")</f>
        <v>0.00</v>
      </c>
      <c r="E37" s="96" t="n">
        <f aca="false">IF(OR('CARNET DE SOUDURE'!E37="",'CARNET DE SOUDURE'!R37=""),"",'CARNET DE SOUDURE'!R37)</f>
        <v>45877</v>
      </c>
      <c r="F37" s="81" t="str">
        <f aca="false">IF('CARNET DE SOUDURE'!E37="","",'CARNET DE SOUDURE'!AL37)</f>
        <v>A</v>
      </c>
      <c r="G37" s="81" t="str">
        <f aca="false">IF('CARNET DE SOUDURE'!E37="","",'CARNET DE SOUDURE'!AM37)</f>
        <v>ACCEPTÉ</v>
      </c>
      <c r="H37" s="81" t="str">
        <f aca="false">IF(C37="","",IF(G37="ACCEPTÉ","OUI","NON"))</f>
        <v>OUI</v>
      </c>
      <c r="I37" s="82"/>
      <c r="J37" s="79"/>
      <c r="K37" s="80"/>
      <c r="L37" s="80"/>
      <c r="M37" s="80"/>
      <c r="N37" s="83" t="str">
        <f aca="false">IF(C37="","",IF(I37="",IF(H37="OUI","À ENROBER",IF(G37="À SOUDER","NON SOUDÉ","EN ATTENTE RT")),IF(L37="R","À REPRENDRE",IF(H37&lt;&gt;"OUI","⚠ ENROBÉ AVANT ACCEPTATION RT","ENROBÉ"))))</f>
        <v>À ENROBER</v>
      </c>
      <c r="O37" s="79"/>
    </row>
    <row r="38" customFormat="false" ht="15" hidden="false" customHeight="false" outlineLevel="0" collapsed="false">
      <c r="A38" s="78" t="n">
        <f aca="false">IF('CARNET DE SOUDURE'!E38="","",'CARNET DE SOUDURE'!A38)</f>
        <v>32</v>
      </c>
      <c r="B38" s="93" t="str">
        <f aca="false">IF('CARNET DE SOUDURE'!E38="","",'CARNET DE SOUDURE'!B38&amp;"")</f>
        <v>TFT 716 → TL7-MMFW2</v>
      </c>
      <c r="C38" s="83" t="str">
        <f aca="false">IF('CARNET DE SOUDURE'!E38="","",'CARNET DE SOUDURE'!E38)</f>
        <v>JN°031</v>
      </c>
      <c r="D38" s="78" t="str">
        <f aca="false">IF('CARNET DE SOUDURE'!E38="","",'CARNET DE SOUDURE'!D38&amp;"")</f>
        <v>0.00</v>
      </c>
      <c r="E38" s="96" t="n">
        <f aca="false">IF(OR('CARNET DE SOUDURE'!E38="",'CARNET DE SOUDURE'!R38=""),"",'CARNET DE SOUDURE'!R38)</f>
        <v>45877</v>
      </c>
      <c r="F38" s="81" t="str">
        <f aca="false">IF('CARNET DE SOUDURE'!E38="","",'CARNET DE SOUDURE'!AL38)</f>
        <v>A</v>
      </c>
      <c r="G38" s="81" t="str">
        <f aca="false">IF('CARNET DE SOUDURE'!E38="","",'CARNET DE SOUDURE'!AM38)</f>
        <v>ACCEPTÉ</v>
      </c>
      <c r="H38" s="81" t="str">
        <f aca="false">IF(C38="","",IF(G38="ACCEPTÉ","OUI","NON"))</f>
        <v>OUI</v>
      </c>
      <c r="I38" s="82"/>
      <c r="J38" s="79"/>
      <c r="K38" s="80"/>
      <c r="L38" s="80"/>
      <c r="M38" s="80"/>
      <c r="N38" s="83" t="str">
        <f aca="false">IF(C38="","",IF(I38="",IF(H38="OUI","À ENROBER",IF(G38="À SOUDER","NON SOUDÉ","EN ATTENTE RT")),IF(L38="R","À REPRENDRE",IF(H38&lt;&gt;"OUI","⚠ ENROBÉ AVANT ACCEPTATION RT","ENROBÉ"))))</f>
        <v>À ENROBER</v>
      </c>
      <c r="O38" s="79"/>
    </row>
    <row r="39" customFormat="false" ht="15" hidden="false" customHeight="false" outlineLevel="0" collapsed="false">
      <c r="A39" s="78" t="n">
        <f aca="false">IF('CARNET DE SOUDURE'!E39="","",'CARNET DE SOUDURE'!A39)</f>
        <v>33</v>
      </c>
      <c r="B39" s="93" t="str">
        <f aca="false">IF('CARNET DE SOUDURE'!E39="","",'CARNET DE SOUDURE'!B39&amp;"")</f>
        <v>TFT 716 → TL7-MMFW2</v>
      </c>
      <c r="C39" s="83" t="str">
        <f aca="false">IF('CARNET DE SOUDURE'!E39="","",'CARNET DE SOUDURE'!E39)</f>
        <v>JN°032</v>
      </c>
      <c r="D39" s="78" t="str">
        <f aca="false">IF('CARNET DE SOUDURE'!E39="","",'CARNET DE SOUDURE'!D39&amp;"")</f>
        <v>0.00</v>
      </c>
      <c r="E39" s="96" t="n">
        <f aca="false">IF(OR('CARNET DE SOUDURE'!E39="",'CARNET DE SOUDURE'!R39=""),"",'CARNET DE SOUDURE'!R39)</f>
        <v>45878</v>
      </c>
      <c r="F39" s="81" t="str">
        <f aca="false">IF('CARNET DE SOUDURE'!E39="","",'CARNET DE SOUDURE'!AL39)</f>
        <v>A</v>
      </c>
      <c r="G39" s="81" t="str">
        <f aca="false">IF('CARNET DE SOUDURE'!E39="","",'CARNET DE SOUDURE'!AM39)</f>
        <v>ACCEPTÉ</v>
      </c>
      <c r="H39" s="81" t="str">
        <f aca="false">IF(C39="","",IF(G39="ACCEPTÉ","OUI","NON"))</f>
        <v>OUI</v>
      </c>
      <c r="I39" s="82"/>
      <c r="J39" s="79"/>
      <c r="K39" s="80"/>
      <c r="L39" s="80"/>
      <c r="M39" s="80"/>
      <c r="N39" s="83" t="str">
        <f aca="false">IF(C39="","",IF(I39="",IF(H39="OUI","À ENROBER",IF(G39="À SOUDER","NON SOUDÉ","EN ATTENTE RT")),IF(L39="R","À REPRENDRE",IF(H39&lt;&gt;"OUI","⚠ ENROBÉ AVANT ACCEPTATION RT","ENROBÉ"))))</f>
        <v>À ENROBER</v>
      </c>
      <c r="O39" s="79"/>
    </row>
    <row r="40" customFormat="false" ht="15" hidden="false" customHeight="false" outlineLevel="0" collapsed="false">
      <c r="A40" s="78" t="n">
        <f aca="false">IF('CARNET DE SOUDURE'!E40="","",'CARNET DE SOUDURE'!A40)</f>
        <v>34</v>
      </c>
      <c r="B40" s="93" t="str">
        <f aca="false">IF('CARNET DE SOUDURE'!E40="","",'CARNET DE SOUDURE'!B40&amp;"")</f>
        <v>TFT 716 → TL7-MMFW2</v>
      </c>
      <c r="C40" s="83" t="str">
        <f aca="false">IF('CARNET DE SOUDURE'!E40="","",'CARNET DE SOUDURE'!E40)</f>
        <v>JN°033</v>
      </c>
      <c r="D40" s="78" t="str">
        <f aca="false">IF('CARNET DE SOUDURE'!E40="","",'CARNET DE SOUDURE'!D40&amp;"")</f>
        <v>0.00</v>
      </c>
      <c r="E40" s="96" t="n">
        <f aca="false">IF(OR('CARNET DE SOUDURE'!E40="",'CARNET DE SOUDURE'!R40=""),"",'CARNET DE SOUDURE'!R40)</f>
        <v>45878</v>
      </c>
      <c r="F40" s="81" t="str">
        <f aca="false">IF('CARNET DE SOUDURE'!E40="","",'CARNET DE SOUDURE'!AL40)</f>
        <v>A</v>
      </c>
      <c r="G40" s="81" t="str">
        <f aca="false">IF('CARNET DE SOUDURE'!E40="","",'CARNET DE SOUDURE'!AM40)</f>
        <v>ACCEPTÉ</v>
      </c>
      <c r="H40" s="81" t="str">
        <f aca="false">IF(C40="","",IF(G40="ACCEPTÉ","OUI","NON"))</f>
        <v>OUI</v>
      </c>
      <c r="I40" s="82"/>
      <c r="J40" s="79"/>
      <c r="K40" s="80"/>
      <c r="L40" s="80"/>
      <c r="M40" s="80"/>
      <c r="N40" s="83" t="str">
        <f aca="false">IF(C40="","",IF(I40="",IF(H40="OUI","À ENROBER",IF(G40="À SOUDER","NON SOUDÉ","EN ATTENTE RT")),IF(L40="R","À REPRENDRE",IF(H40&lt;&gt;"OUI","⚠ ENROBÉ AVANT ACCEPTATION RT","ENROBÉ"))))</f>
        <v>À ENROBER</v>
      </c>
      <c r="O40" s="79"/>
    </row>
    <row r="41" customFormat="false" ht="15" hidden="false" customHeight="false" outlineLevel="0" collapsed="false">
      <c r="A41" s="78" t="n">
        <f aca="false">IF('CARNET DE SOUDURE'!E41="","",'CARNET DE SOUDURE'!A41)</f>
        <v>35</v>
      </c>
      <c r="B41" s="93" t="str">
        <f aca="false">IF('CARNET DE SOUDURE'!E41="","",'CARNET DE SOUDURE'!B41&amp;"")</f>
        <v>TFT 716 → TL7-MMFW2</v>
      </c>
      <c r="C41" s="83" t="str">
        <f aca="false">IF('CARNET DE SOUDURE'!E41="","",'CARNET DE SOUDURE'!E41)</f>
        <v>JN°034</v>
      </c>
      <c r="D41" s="78" t="str">
        <f aca="false">IF('CARNET DE SOUDURE'!E41="","",'CARNET DE SOUDURE'!D41&amp;"")</f>
        <v>0.00</v>
      </c>
      <c r="E41" s="96" t="n">
        <f aca="false">IF(OR('CARNET DE SOUDURE'!E41="",'CARNET DE SOUDURE'!R41=""),"",'CARNET DE SOUDURE'!R41)</f>
        <v>45878</v>
      </c>
      <c r="F41" s="81" t="str">
        <f aca="false">IF('CARNET DE SOUDURE'!E41="","",'CARNET DE SOUDURE'!AL41)</f>
        <v>A</v>
      </c>
      <c r="G41" s="81" t="str">
        <f aca="false">IF('CARNET DE SOUDURE'!E41="","",'CARNET DE SOUDURE'!AM41)</f>
        <v>ACCEPTÉ</v>
      </c>
      <c r="H41" s="81" t="str">
        <f aca="false">IF(C41="","",IF(G41="ACCEPTÉ","OUI","NON"))</f>
        <v>OUI</v>
      </c>
      <c r="I41" s="82"/>
      <c r="J41" s="79"/>
      <c r="K41" s="80"/>
      <c r="L41" s="80"/>
      <c r="M41" s="80"/>
      <c r="N41" s="83" t="str">
        <f aca="false">IF(C41="","",IF(I41="",IF(H41="OUI","À ENROBER",IF(G41="À SOUDER","NON SOUDÉ","EN ATTENTE RT")),IF(L41="R","À REPRENDRE",IF(H41&lt;&gt;"OUI","⚠ ENROBÉ AVANT ACCEPTATION RT","ENROBÉ"))))</f>
        <v>À ENROBER</v>
      </c>
      <c r="O41" s="79"/>
    </row>
    <row r="42" customFormat="false" ht="15" hidden="false" customHeight="false" outlineLevel="0" collapsed="false">
      <c r="A42" s="78" t="n">
        <f aca="false">IF('CARNET DE SOUDURE'!E42="","",'CARNET DE SOUDURE'!A42)</f>
        <v>36</v>
      </c>
      <c r="B42" s="93" t="str">
        <f aca="false">IF('CARNET DE SOUDURE'!E42="","",'CARNET DE SOUDURE'!B42&amp;"")</f>
        <v>TFT 716 → TL7-MMFW2</v>
      </c>
      <c r="C42" s="83" t="str">
        <f aca="false">IF('CARNET DE SOUDURE'!E42="","",'CARNET DE SOUDURE'!E42)</f>
        <v>JN°035</v>
      </c>
      <c r="D42" s="78" t="str">
        <f aca="false">IF('CARNET DE SOUDURE'!E42="","",'CARNET DE SOUDURE'!D42&amp;"")</f>
        <v>0.00</v>
      </c>
      <c r="E42" s="96" t="n">
        <f aca="false">IF(OR('CARNET DE SOUDURE'!E42="",'CARNET DE SOUDURE'!R42=""),"",'CARNET DE SOUDURE'!R42)</f>
        <v>45892</v>
      </c>
      <c r="F42" s="81" t="str">
        <f aca="false">IF('CARNET DE SOUDURE'!E42="","",'CARNET DE SOUDURE'!AL42)</f>
        <v>A</v>
      </c>
      <c r="G42" s="81" t="str">
        <f aca="false">IF('CARNET DE SOUDURE'!E42="","",'CARNET DE SOUDURE'!AM42)</f>
        <v>ACCEPTÉ</v>
      </c>
      <c r="H42" s="81" t="str">
        <f aca="false">IF(C42="","",IF(G42="ACCEPTÉ","OUI","NON"))</f>
        <v>OUI</v>
      </c>
      <c r="I42" s="82"/>
      <c r="J42" s="79"/>
      <c r="K42" s="80"/>
      <c r="L42" s="80"/>
      <c r="M42" s="80"/>
      <c r="N42" s="83" t="str">
        <f aca="false">IF(C42="","",IF(I42="",IF(H42="OUI","À ENROBER",IF(G42="À SOUDER","NON SOUDÉ","EN ATTENTE RT")),IF(L42="R","À REPRENDRE",IF(H42&lt;&gt;"OUI","⚠ ENROBÉ AVANT ACCEPTATION RT","ENROBÉ"))))</f>
        <v>À ENROBER</v>
      </c>
      <c r="O42" s="79"/>
    </row>
    <row r="43" customFormat="false" ht="15" hidden="false" customHeight="false" outlineLevel="0" collapsed="false">
      <c r="A43" s="78" t="n">
        <f aca="false">IF('CARNET DE SOUDURE'!E43="","",'CARNET DE SOUDURE'!A43)</f>
        <v>37</v>
      </c>
      <c r="B43" s="93" t="str">
        <f aca="false">IF('CARNET DE SOUDURE'!E43="","",'CARNET DE SOUDURE'!B43&amp;"")</f>
        <v>TFT 716 → TL7-MMFW2</v>
      </c>
      <c r="C43" s="83" t="str">
        <f aca="false">IF('CARNET DE SOUDURE'!E43="","",'CARNET DE SOUDURE'!E43)</f>
        <v>JN°036</v>
      </c>
      <c r="D43" s="78" t="str">
        <f aca="false">IF('CARNET DE SOUDURE'!E43="","",'CARNET DE SOUDURE'!D43&amp;"")</f>
        <v>0.00</v>
      </c>
      <c r="E43" s="96" t="n">
        <f aca="false">IF(OR('CARNET DE SOUDURE'!E43="",'CARNET DE SOUDURE'!R43=""),"",'CARNET DE SOUDURE'!R43)</f>
        <v>45892</v>
      </c>
      <c r="F43" s="81" t="str">
        <f aca="false">IF('CARNET DE SOUDURE'!E43="","",'CARNET DE SOUDURE'!AL43)</f>
        <v>A</v>
      </c>
      <c r="G43" s="81" t="str">
        <f aca="false">IF('CARNET DE SOUDURE'!E43="","",'CARNET DE SOUDURE'!AM43)</f>
        <v>ACCEPTÉ</v>
      </c>
      <c r="H43" s="81" t="str">
        <f aca="false">IF(C43="","",IF(G43="ACCEPTÉ","OUI","NON"))</f>
        <v>OUI</v>
      </c>
      <c r="I43" s="82"/>
      <c r="J43" s="79"/>
      <c r="K43" s="80"/>
      <c r="L43" s="80"/>
      <c r="M43" s="80"/>
      <c r="N43" s="83" t="str">
        <f aca="false">IF(C43="","",IF(I43="",IF(H43="OUI","À ENROBER",IF(G43="À SOUDER","NON SOUDÉ","EN ATTENTE RT")),IF(L43="R","À REPRENDRE",IF(H43&lt;&gt;"OUI","⚠ ENROBÉ AVANT ACCEPTATION RT","ENROBÉ"))))</f>
        <v>À ENROBER</v>
      </c>
      <c r="O43" s="79"/>
    </row>
    <row r="44" customFormat="false" ht="15" hidden="false" customHeight="false" outlineLevel="0" collapsed="false">
      <c r="A44" s="78" t="n">
        <f aca="false">IF('CARNET DE SOUDURE'!E44="","",'CARNET DE SOUDURE'!A44)</f>
        <v>38</v>
      </c>
      <c r="B44" s="93" t="str">
        <f aca="false">IF('CARNET DE SOUDURE'!E44="","",'CARNET DE SOUDURE'!B44&amp;"")</f>
        <v>TFT 716 → TL7-MMFW2</v>
      </c>
      <c r="C44" s="83" t="str">
        <f aca="false">IF('CARNET DE SOUDURE'!E44="","",'CARNET DE SOUDURE'!E44)</f>
        <v>JN°037</v>
      </c>
      <c r="D44" s="78" t="str">
        <f aca="false">IF('CARNET DE SOUDURE'!E44="","",'CARNET DE SOUDURE'!D44&amp;"")</f>
        <v>0.00</v>
      </c>
      <c r="E44" s="96" t="n">
        <f aca="false">IF(OR('CARNET DE SOUDURE'!E44="",'CARNET DE SOUDURE'!R44=""),"",'CARNET DE SOUDURE'!R44)</f>
        <v>45892</v>
      </c>
      <c r="F44" s="81" t="str">
        <f aca="false">IF('CARNET DE SOUDURE'!E44="","",'CARNET DE SOUDURE'!AL44)</f>
        <v>A</v>
      </c>
      <c r="G44" s="81" t="str">
        <f aca="false">IF('CARNET DE SOUDURE'!E44="","",'CARNET DE SOUDURE'!AM44)</f>
        <v>ACCEPTÉ</v>
      </c>
      <c r="H44" s="81" t="str">
        <f aca="false">IF(C44="","",IF(G44="ACCEPTÉ","OUI","NON"))</f>
        <v>OUI</v>
      </c>
      <c r="I44" s="82"/>
      <c r="J44" s="79"/>
      <c r="K44" s="80"/>
      <c r="L44" s="80"/>
      <c r="M44" s="80"/>
      <c r="N44" s="83" t="str">
        <f aca="false">IF(C44="","",IF(I44="",IF(H44="OUI","À ENROBER",IF(G44="À SOUDER","NON SOUDÉ","EN ATTENTE RT")),IF(L44="R","À REPRENDRE",IF(H44&lt;&gt;"OUI","⚠ ENROBÉ AVANT ACCEPTATION RT","ENROBÉ"))))</f>
        <v>À ENROBER</v>
      </c>
      <c r="O44" s="79"/>
    </row>
    <row r="45" customFormat="false" ht="15" hidden="false" customHeight="false" outlineLevel="0" collapsed="false">
      <c r="A45" s="78" t="n">
        <f aca="false">IF('CARNET DE SOUDURE'!E45="","",'CARNET DE SOUDURE'!A45)</f>
        <v>39</v>
      </c>
      <c r="B45" s="93" t="str">
        <f aca="false">IF('CARNET DE SOUDURE'!E45="","",'CARNET DE SOUDURE'!B45&amp;"")</f>
        <v>TFT 716 → TL7-MMFW2</v>
      </c>
      <c r="C45" s="83" t="str">
        <f aca="false">IF('CARNET DE SOUDURE'!E45="","",'CARNET DE SOUDURE'!E45)</f>
        <v>JN°038</v>
      </c>
      <c r="D45" s="78" t="str">
        <f aca="false">IF('CARNET DE SOUDURE'!E45="","",'CARNET DE SOUDURE'!D45&amp;"")</f>
        <v>0.00</v>
      </c>
      <c r="E45" s="96" t="n">
        <f aca="false">IF(OR('CARNET DE SOUDURE'!E45="",'CARNET DE SOUDURE'!R45=""),"",'CARNET DE SOUDURE'!R45)</f>
        <v>45892</v>
      </c>
      <c r="F45" s="81" t="str">
        <f aca="false">IF('CARNET DE SOUDURE'!E45="","",'CARNET DE SOUDURE'!AL45)</f>
        <v>A</v>
      </c>
      <c r="G45" s="81" t="str">
        <f aca="false">IF('CARNET DE SOUDURE'!E45="","",'CARNET DE SOUDURE'!AM45)</f>
        <v>ACCEPTÉ</v>
      </c>
      <c r="H45" s="81" t="str">
        <f aca="false">IF(C45="","",IF(G45="ACCEPTÉ","OUI","NON"))</f>
        <v>OUI</v>
      </c>
      <c r="I45" s="82"/>
      <c r="J45" s="79"/>
      <c r="K45" s="80"/>
      <c r="L45" s="80"/>
      <c r="M45" s="80"/>
      <c r="N45" s="83" t="str">
        <f aca="false">IF(C45="","",IF(I45="",IF(H45="OUI","À ENROBER",IF(G45="À SOUDER","NON SOUDÉ","EN ATTENTE RT")),IF(L45="R","À REPRENDRE",IF(H45&lt;&gt;"OUI","⚠ ENROBÉ AVANT ACCEPTATION RT","ENROBÉ"))))</f>
        <v>À ENROBER</v>
      </c>
      <c r="O45" s="79"/>
    </row>
    <row r="46" customFormat="false" ht="15" hidden="false" customHeight="false" outlineLevel="0" collapsed="false">
      <c r="A46" s="78" t="n">
        <f aca="false">IF('CARNET DE SOUDURE'!E46="","",'CARNET DE SOUDURE'!A46)</f>
        <v>40</v>
      </c>
      <c r="B46" s="93" t="str">
        <f aca="false">IF('CARNET DE SOUDURE'!E46="","",'CARNET DE SOUDURE'!B46&amp;"")</f>
        <v>TFT 716 → TL7-MMFW2</v>
      </c>
      <c r="C46" s="83" t="str">
        <f aca="false">IF('CARNET DE SOUDURE'!E46="","",'CARNET DE SOUDURE'!E46)</f>
        <v>JN°039</v>
      </c>
      <c r="D46" s="78" t="str">
        <f aca="false">IF('CARNET DE SOUDURE'!E46="","",'CARNET DE SOUDURE'!D46&amp;"")</f>
        <v>0.00</v>
      </c>
      <c r="E46" s="96" t="n">
        <f aca="false">IF(OR('CARNET DE SOUDURE'!E46="",'CARNET DE SOUDURE'!R46=""),"",'CARNET DE SOUDURE'!R46)</f>
        <v>45892</v>
      </c>
      <c r="F46" s="81" t="str">
        <f aca="false">IF('CARNET DE SOUDURE'!E46="","",'CARNET DE SOUDURE'!AL46)</f>
        <v>A</v>
      </c>
      <c r="G46" s="81" t="str">
        <f aca="false">IF('CARNET DE SOUDURE'!E46="","",'CARNET DE SOUDURE'!AM46)</f>
        <v>ACCEPTÉ</v>
      </c>
      <c r="H46" s="81" t="str">
        <f aca="false">IF(C46="","",IF(G46="ACCEPTÉ","OUI","NON"))</f>
        <v>OUI</v>
      </c>
      <c r="I46" s="82"/>
      <c r="J46" s="79"/>
      <c r="K46" s="80"/>
      <c r="L46" s="80"/>
      <c r="M46" s="80"/>
      <c r="N46" s="83" t="str">
        <f aca="false">IF(C46="","",IF(I46="",IF(H46="OUI","À ENROBER",IF(G46="À SOUDER","NON SOUDÉ","EN ATTENTE RT")),IF(L46="R","À REPRENDRE",IF(H46&lt;&gt;"OUI","⚠ ENROBÉ AVANT ACCEPTATION RT","ENROBÉ"))))</f>
        <v>À ENROBER</v>
      </c>
      <c r="O46" s="79"/>
    </row>
    <row r="47" customFormat="false" ht="15" hidden="false" customHeight="false" outlineLevel="0" collapsed="false">
      <c r="A47" s="78" t="n">
        <f aca="false">IF('CARNET DE SOUDURE'!E47="","",'CARNET DE SOUDURE'!A47)</f>
        <v>41</v>
      </c>
      <c r="B47" s="93" t="str">
        <f aca="false">IF('CARNET DE SOUDURE'!E47="","",'CARNET DE SOUDURE'!B47&amp;"")</f>
        <v>TFT 716 → TL7-MMFW2</v>
      </c>
      <c r="C47" s="83" t="str">
        <f aca="false">IF('CARNET DE SOUDURE'!E47="","",'CARNET DE SOUDURE'!E47)</f>
        <v>JN°040</v>
      </c>
      <c r="D47" s="78" t="str">
        <f aca="false">IF('CARNET DE SOUDURE'!E47="","",'CARNET DE SOUDURE'!D47&amp;"")</f>
        <v>0.00</v>
      </c>
      <c r="E47" s="96" t="n">
        <f aca="false">IF(OR('CARNET DE SOUDURE'!E47="",'CARNET DE SOUDURE'!R47=""),"",'CARNET DE SOUDURE'!R47)</f>
        <v>45892</v>
      </c>
      <c r="F47" s="81" t="str">
        <f aca="false">IF('CARNET DE SOUDURE'!E47="","",'CARNET DE SOUDURE'!AL47)</f>
        <v>A</v>
      </c>
      <c r="G47" s="81" t="str">
        <f aca="false">IF('CARNET DE SOUDURE'!E47="","",'CARNET DE SOUDURE'!AM47)</f>
        <v>ACCEPTÉ</v>
      </c>
      <c r="H47" s="81" t="str">
        <f aca="false">IF(C47="","",IF(G47="ACCEPTÉ","OUI","NON"))</f>
        <v>OUI</v>
      </c>
      <c r="I47" s="82"/>
      <c r="J47" s="79"/>
      <c r="K47" s="80"/>
      <c r="L47" s="80"/>
      <c r="M47" s="80"/>
      <c r="N47" s="83" t="str">
        <f aca="false">IF(C47="","",IF(I47="",IF(H47="OUI","À ENROBER",IF(G47="À SOUDER","NON SOUDÉ","EN ATTENTE RT")),IF(L47="R","À REPRENDRE",IF(H47&lt;&gt;"OUI","⚠ ENROBÉ AVANT ACCEPTATION RT","ENROBÉ"))))</f>
        <v>À ENROBER</v>
      </c>
      <c r="O47" s="79"/>
    </row>
    <row r="48" customFormat="false" ht="15" hidden="false" customHeight="false" outlineLevel="0" collapsed="false">
      <c r="A48" s="78" t="n">
        <f aca="false">IF('CARNET DE SOUDURE'!E48="","",'CARNET DE SOUDURE'!A48)</f>
        <v>42</v>
      </c>
      <c r="B48" s="93" t="str">
        <f aca="false">IF('CARNET DE SOUDURE'!E48="","",'CARNET DE SOUDURE'!B48&amp;"")</f>
        <v>TFT 716 → TL7-MMFW2</v>
      </c>
      <c r="C48" s="83" t="str">
        <f aca="false">IF('CARNET DE SOUDURE'!E48="","",'CARNET DE SOUDURE'!E48)</f>
        <v>JN°041</v>
      </c>
      <c r="D48" s="78" t="str">
        <f aca="false">IF('CARNET DE SOUDURE'!E48="","",'CARNET DE SOUDURE'!D48&amp;"")</f>
        <v>0.00</v>
      </c>
      <c r="E48" s="96" t="n">
        <f aca="false">IF(OR('CARNET DE SOUDURE'!E48="",'CARNET DE SOUDURE'!R48=""),"",'CARNET DE SOUDURE'!R48)</f>
        <v>45878</v>
      </c>
      <c r="F48" s="81" t="str">
        <f aca="false">IF('CARNET DE SOUDURE'!E48="","",'CARNET DE SOUDURE'!AL48)</f>
        <v>A</v>
      </c>
      <c r="G48" s="81" t="str">
        <f aca="false">IF('CARNET DE SOUDURE'!E48="","",'CARNET DE SOUDURE'!AM48)</f>
        <v>ACCEPTÉ</v>
      </c>
      <c r="H48" s="81" t="str">
        <f aca="false">IF(C48="","",IF(G48="ACCEPTÉ","OUI","NON"))</f>
        <v>OUI</v>
      </c>
      <c r="I48" s="82"/>
      <c r="J48" s="79"/>
      <c r="K48" s="80"/>
      <c r="L48" s="80"/>
      <c r="M48" s="80"/>
      <c r="N48" s="83" t="str">
        <f aca="false">IF(C48="","",IF(I48="",IF(H48="OUI","À ENROBER",IF(G48="À SOUDER","NON SOUDÉ","EN ATTENTE RT")),IF(L48="R","À REPRENDRE",IF(H48&lt;&gt;"OUI","⚠ ENROBÉ AVANT ACCEPTATION RT","ENROBÉ"))))</f>
        <v>À ENROBER</v>
      </c>
      <c r="O48" s="79"/>
    </row>
    <row r="49" customFormat="false" ht="15" hidden="false" customHeight="false" outlineLevel="0" collapsed="false">
      <c r="A49" s="78" t="n">
        <f aca="false">IF('CARNET DE SOUDURE'!E49="","",'CARNET DE SOUDURE'!A49)</f>
        <v>43</v>
      </c>
      <c r="B49" s="93" t="str">
        <f aca="false">IF('CARNET DE SOUDURE'!E49="","",'CARNET DE SOUDURE'!B49&amp;"")</f>
        <v>TFT 716 → TL7-MMFW2</v>
      </c>
      <c r="C49" s="83" t="str">
        <f aca="false">IF('CARNET DE SOUDURE'!E49="","",'CARNET DE SOUDURE'!E49)</f>
        <v>JN°042</v>
      </c>
      <c r="D49" s="78" t="str">
        <f aca="false">IF('CARNET DE SOUDURE'!E49="","",'CARNET DE SOUDURE'!D49&amp;"")</f>
        <v>0.00</v>
      </c>
      <c r="E49" s="96" t="n">
        <f aca="false">IF(OR('CARNET DE SOUDURE'!E49="",'CARNET DE SOUDURE'!R49=""),"",'CARNET DE SOUDURE'!R49)</f>
        <v>45878</v>
      </c>
      <c r="F49" s="81" t="str">
        <f aca="false">IF('CARNET DE SOUDURE'!E49="","",'CARNET DE SOUDURE'!AL49)</f>
        <v>A</v>
      </c>
      <c r="G49" s="81" t="str">
        <f aca="false">IF('CARNET DE SOUDURE'!E49="","",'CARNET DE SOUDURE'!AM49)</f>
        <v>ACCEPTÉ</v>
      </c>
      <c r="H49" s="81" t="str">
        <f aca="false">IF(C49="","",IF(G49="ACCEPTÉ","OUI","NON"))</f>
        <v>OUI</v>
      </c>
      <c r="I49" s="82"/>
      <c r="J49" s="79"/>
      <c r="K49" s="80"/>
      <c r="L49" s="80"/>
      <c r="M49" s="80"/>
      <c r="N49" s="83" t="str">
        <f aca="false">IF(C49="","",IF(I49="",IF(H49="OUI","À ENROBER",IF(G49="À SOUDER","NON SOUDÉ","EN ATTENTE RT")),IF(L49="R","À REPRENDRE",IF(H49&lt;&gt;"OUI","⚠ ENROBÉ AVANT ACCEPTATION RT","ENROBÉ"))))</f>
        <v>À ENROBER</v>
      </c>
      <c r="O49" s="79"/>
    </row>
    <row r="50" customFormat="false" ht="15" hidden="false" customHeight="false" outlineLevel="0" collapsed="false">
      <c r="A50" s="78" t="n">
        <f aca="false">IF('CARNET DE SOUDURE'!E50="","",'CARNET DE SOUDURE'!A50)</f>
        <v>44</v>
      </c>
      <c r="B50" s="93" t="str">
        <f aca="false">IF('CARNET DE SOUDURE'!E50="","",'CARNET DE SOUDURE'!B50&amp;"")</f>
        <v>TFT 716 → TL7-MMFW2</v>
      </c>
      <c r="C50" s="83" t="str">
        <f aca="false">IF('CARNET DE SOUDURE'!E50="","",'CARNET DE SOUDURE'!E50)</f>
        <v>JN°043</v>
      </c>
      <c r="D50" s="78" t="str">
        <f aca="false">IF('CARNET DE SOUDURE'!E50="","",'CARNET DE SOUDURE'!D50&amp;"")</f>
        <v>0.00</v>
      </c>
      <c r="E50" s="96" t="n">
        <f aca="false">IF(OR('CARNET DE SOUDURE'!E50="",'CARNET DE SOUDURE'!R50=""),"",'CARNET DE SOUDURE'!R50)</f>
        <v>45878</v>
      </c>
      <c r="F50" s="81" t="str">
        <f aca="false">IF('CARNET DE SOUDURE'!E50="","",'CARNET DE SOUDURE'!AL50)</f>
        <v>A</v>
      </c>
      <c r="G50" s="81" t="str">
        <f aca="false">IF('CARNET DE SOUDURE'!E50="","",'CARNET DE SOUDURE'!AM50)</f>
        <v>ACCEPTÉ</v>
      </c>
      <c r="H50" s="81" t="str">
        <f aca="false">IF(C50="","",IF(G50="ACCEPTÉ","OUI","NON"))</f>
        <v>OUI</v>
      </c>
      <c r="I50" s="82"/>
      <c r="J50" s="79"/>
      <c r="K50" s="80"/>
      <c r="L50" s="80"/>
      <c r="M50" s="80"/>
      <c r="N50" s="83" t="str">
        <f aca="false">IF(C50="","",IF(I50="",IF(H50="OUI","À ENROBER",IF(G50="À SOUDER","NON SOUDÉ","EN ATTENTE RT")),IF(L50="R","À REPRENDRE",IF(H50&lt;&gt;"OUI","⚠ ENROBÉ AVANT ACCEPTATION RT","ENROBÉ"))))</f>
        <v>À ENROBER</v>
      </c>
      <c r="O50" s="79"/>
    </row>
    <row r="51" customFormat="false" ht="15" hidden="false" customHeight="false" outlineLevel="0" collapsed="false">
      <c r="A51" s="78" t="n">
        <f aca="false">IF('CARNET DE SOUDURE'!E51="","",'CARNET DE SOUDURE'!A51)</f>
        <v>45</v>
      </c>
      <c r="B51" s="93" t="str">
        <f aca="false">IF('CARNET DE SOUDURE'!E51="","",'CARNET DE SOUDURE'!B51&amp;"")</f>
        <v>TFT 716 → TL7-MMFW2</v>
      </c>
      <c r="C51" s="83" t="str">
        <f aca="false">IF('CARNET DE SOUDURE'!E51="","",'CARNET DE SOUDURE'!E51)</f>
        <v>JN°044</v>
      </c>
      <c r="D51" s="78" t="str">
        <f aca="false">IF('CARNET DE SOUDURE'!E51="","",'CARNET DE SOUDURE'!D51&amp;"")</f>
        <v>0.00</v>
      </c>
      <c r="E51" s="96" t="n">
        <f aca="false">IF(OR('CARNET DE SOUDURE'!E51="",'CARNET DE SOUDURE'!R51=""),"",'CARNET DE SOUDURE'!R51)</f>
        <v>45878</v>
      </c>
      <c r="F51" s="81" t="str">
        <f aca="false">IF('CARNET DE SOUDURE'!E51="","",'CARNET DE SOUDURE'!AL51)</f>
        <v>A</v>
      </c>
      <c r="G51" s="81" t="str">
        <f aca="false">IF('CARNET DE SOUDURE'!E51="","",'CARNET DE SOUDURE'!AM51)</f>
        <v>ACCEPTÉ</v>
      </c>
      <c r="H51" s="81" t="str">
        <f aca="false">IF(C51="","",IF(G51="ACCEPTÉ","OUI","NON"))</f>
        <v>OUI</v>
      </c>
      <c r="I51" s="82"/>
      <c r="J51" s="79"/>
      <c r="K51" s="80"/>
      <c r="L51" s="80"/>
      <c r="M51" s="80"/>
      <c r="N51" s="83" t="str">
        <f aca="false">IF(C51="","",IF(I51="",IF(H51="OUI","À ENROBER",IF(G51="À SOUDER","NON SOUDÉ","EN ATTENTE RT")),IF(L51="R","À REPRENDRE",IF(H51&lt;&gt;"OUI","⚠ ENROBÉ AVANT ACCEPTATION RT","ENROBÉ"))))</f>
        <v>À ENROBER</v>
      </c>
      <c r="O51" s="79"/>
    </row>
    <row r="52" customFormat="false" ht="15" hidden="false" customHeight="false" outlineLevel="0" collapsed="false">
      <c r="A52" s="78" t="n">
        <f aca="false">IF('CARNET DE SOUDURE'!E52="","",'CARNET DE SOUDURE'!A52)</f>
        <v>46</v>
      </c>
      <c r="B52" s="93" t="str">
        <f aca="false">IF('CARNET DE SOUDURE'!E52="","",'CARNET DE SOUDURE'!B52&amp;"")</f>
        <v>TFT 716 → TL7-MMFW2</v>
      </c>
      <c r="C52" s="83" t="str">
        <f aca="false">IF('CARNET DE SOUDURE'!E52="","",'CARNET DE SOUDURE'!E52)</f>
        <v>JN°045Racc</v>
      </c>
      <c r="D52" s="78" t="str">
        <f aca="false">IF('CARNET DE SOUDURE'!E52="","",'CARNET DE SOUDURE'!D52&amp;"")</f>
        <v>0.00</v>
      </c>
      <c r="E52" s="96" t="n">
        <f aca="false">IF(OR('CARNET DE SOUDURE'!E52="",'CARNET DE SOUDURE'!R52=""),"",'CARNET DE SOUDURE'!R52)</f>
        <v>45909</v>
      </c>
      <c r="F52" s="81" t="str">
        <f aca="false">IF('CARNET DE SOUDURE'!E52="","",'CARNET DE SOUDURE'!AL52)</f>
        <v/>
      </c>
      <c r="G52" s="81" t="str">
        <f aca="false">IF('CARNET DE SOUDURE'!E52="","",'CARNET DE SOUDURE'!AM52)</f>
        <v>À RADIOGRAPHIER</v>
      </c>
      <c r="H52" s="81" t="str">
        <f aca="false">IF(C52="","",IF(G52="ACCEPTÉ","OUI","NON"))</f>
        <v>NON</v>
      </c>
      <c r="I52" s="82"/>
      <c r="J52" s="79"/>
      <c r="K52" s="80"/>
      <c r="L52" s="80"/>
      <c r="M52" s="80"/>
      <c r="N52" s="83" t="str">
        <f aca="false">IF(C52="","",IF(I52="",IF(H52="OUI","À ENROBER",IF(G52="À SOUDER","NON SOUDÉ","EN ATTENTE RT")),IF(L52="R","À REPRENDRE",IF(H52&lt;&gt;"OUI","⚠ ENROBÉ AVANT ACCEPTATION RT","ENROBÉ"))))</f>
        <v>EN ATTENTE RT</v>
      </c>
      <c r="O52" s="79"/>
    </row>
    <row r="53" customFormat="false" ht="15" hidden="false" customHeight="false" outlineLevel="0" collapsed="false">
      <c r="A53" s="78" t="n">
        <f aca="false">IF('CARNET DE SOUDURE'!E53="","",'CARNET DE SOUDURE'!A53)</f>
        <v>47</v>
      </c>
      <c r="B53" s="93" t="str">
        <f aca="false">IF('CARNET DE SOUDURE'!E53="","",'CARNET DE SOUDURE'!B53&amp;"")</f>
        <v>TFT 716 → TL7-MMFW2</v>
      </c>
      <c r="C53" s="83" t="str">
        <f aca="false">IF('CARNET DE SOUDURE'!E53="","",'CARNET DE SOUDURE'!E53)</f>
        <v>JN°046</v>
      </c>
      <c r="D53" s="78" t="str">
        <f aca="false">IF('CARNET DE SOUDURE'!E53="","",'CARNET DE SOUDURE'!D53&amp;"")</f>
        <v>0.00</v>
      </c>
      <c r="E53" s="96" t="n">
        <f aca="false">IF(OR('CARNET DE SOUDURE'!E53="",'CARNET DE SOUDURE'!R53=""),"",'CARNET DE SOUDURE'!R53)</f>
        <v>45909</v>
      </c>
      <c r="F53" s="81" t="str">
        <f aca="false">IF('CARNET DE SOUDURE'!E53="","",'CARNET DE SOUDURE'!AL53)</f>
        <v>A</v>
      </c>
      <c r="G53" s="81" t="str">
        <f aca="false">IF('CARNET DE SOUDURE'!E53="","",'CARNET DE SOUDURE'!AM53)</f>
        <v>ACCEPTÉ</v>
      </c>
      <c r="H53" s="81" t="str">
        <f aca="false">IF(C53="","",IF(G53="ACCEPTÉ","OUI","NON"))</f>
        <v>OUI</v>
      </c>
      <c r="I53" s="82"/>
      <c r="J53" s="79"/>
      <c r="K53" s="80"/>
      <c r="L53" s="80"/>
      <c r="M53" s="80"/>
      <c r="N53" s="83" t="str">
        <f aca="false">IF(C53="","",IF(I53="",IF(H53="OUI","À ENROBER",IF(G53="À SOUDER","NON SOUDÉ","EN ATTENTE RT")),IF(L53="R","À REPRENDRE",IF(H53&lt;&gt;"OUI","⚠ ENROBÉ AVANT ACCEPTATION RT","ENROBÉ"))))</f>
        <v>À ENROBER</v>
      </c>
      <c r="O53" s="79"/>
    </row>
    <row r="54" customFormat="false" ht="15" hidden="false" customHeight="false" outlineLevel="0" collapsed="false">
      <c r="A54" s="78" t="n">
        <f aca="false">IF('CARNET DE SOUDURE'!E54="","",'CARNET DE SOUDURE'!A54)</f>
        <v>48</v>
      </c>
      <c r="B54" s="93" t="str">
        <f aca="false">IF('CARNET DE SOUDURE'!E54="","",'CARNET DE SOUDURE'!B54&amp;"")</f>
        <v>TFT 716 → TL7-MMFW2</v>
      </c>
      <c r="C54" s="83" t="str">
        <f aca="false">IF('CARNET DE SOUDURE'!E54="","",'CARNET DE SOUDURE'!E54)</f>
        <v>JN°047</v>
      </c>
      <c r="D54" s="78" t="str">
        <f aca="false">IF('CARNET DE SOUDURE'!E54="","",'CARNET DE SOUDURE'!D54&amp;"")</f>
        <v>0.00</v>
      </c>
      <c r="E54" s="96" t="n">
        <f aca="false">IF(OR('CARNET DE SOUDURE'!E54="",'CARNET DE SOUDURE'!R54=""),"",'CARNET DE SOUDURE'!R54)</f>
        <v>45909</v>
      </c>
      <c r="F54" s="81" t="str">
        <f aca="false">IF('CARNET DE SOUDURE'!E54="","",'CARNET DE SOUDURE'!AL54)</f>
        <v>A</v>
      </c>
      <c r="G54" s="81" t="str">
        <f aca="false">IF('CARNET DE SOUDURE'!E54="","",'CARNET DE SOUDURE'!AM54)</f>
        <v>ACCEPTÉ</v>
      </c>
      <c r="H54" s="81" t="str">
        <f aca="false">IF(C54="","",IF(G54="ACCEPTÉ","OUI","NON"))</f>
        <v>OUI</v>
      </c>
      <c r="I54" s="82"/>
      <c r="J54" s="79"/>
      <c r="K54" s="80"/>
      <c r="L54" s="80"/>
      <c r="M54" s="80"/>
      <c r="N54" s="83" t="str">
        <f aca="false">IF(C54="","",IF(I54="",IF(H54="OUI","À ENROBER",IF(G54="À SOUDER","NON SOUDÉ","EN ATTENTE RT")),IF(L54="R","À REPRENDRE",IF(H54&lt;&gt;"OUI","⚠ ENROBÉ AVANT ACCEPTATION RT","ENROBÉ"))))</f>
        <v>À ENROBER</v>
      </c>
      <c r="O54" s="79"/>
    </row>
    <row r="55" customFormat="false" ht="15" hidden="false" customHeight="false" outlineLevel="0" collapsed="false">
      <c r="A55" s="78" t="n">
        <f aca="false">IF('CARNET DE SOUDURE'!E55="","",'CARNET DE SOUDURE'!A55)</f>
        <v>49</v>
      </c>
      <c r="B55" s="93" t="str">
        <f aca="false">IF('CARNET DE SOUDURE'!E55="","",'CARNET DE SOUDURE'!B55&amp;"")</f>
        <v>TFT 716 → TL7-MMFW2</v>
      </c>
      <c r="C55" s="83" t="str">
        <f aca="false">IF('CARNET DE SOUDURE'!E55="","",'CARNET DE SOUDURE'!E55)</f>
        <v>JN°048</v>
      </c>
      <c r="D55" s="78" t="str">
        <f aca="false">IF('CARNET DE SOUDURE'!E55="","",'CARNET DE SOUDURE'!D55&amp;"")</f>
        <v>0.000</v>
      </c>
      <c r="E55" s="96" t="str">
        <f aca="false">IF(OR('CARNET DE SOUDURE'!E55="",'CARNET DE SOUDURE'!R55=""),"",'CARNET DE SOUDURE'!R55)</f>
        <v/>
      </c>
      <c r="F55" s="81" t="str">
        <f aca="false">IF('CARNET DE SOUDURE'!E55="","",'CARNET DE SOUDURE'!AL55)</f>
        <v/>
      </c>
      <c r="G55" s="81" t="str">
        <f aca="false">IF('CARNET DE SOUDURE'!E55="","",'CARNET DE SOUDURE'!AM55)</f>
        <v>À SOUDER</v>
      </c>
      <c r="H55" s="81" t="str">
        <f aca="false">IF(C55="","",IF(G55="ACCEPTÉ","OUI","NON"))</f>
        <v>NON</v>
      </c>
      <c r="I55" s="82"/>
      <c r="J55" s="79"/>
      <c r="K55" s="80"/>
      <c r="L55" s="80"/>
      <c r="M55" s="80"/>
      <c r="N55" s="83" t="str">
        <f aca="false">IF(C55="","",IF(I55="",IF(H55="OUI","À ENROBER",IF(G55="À SOUDER","NON SOUDÉ","EN ATTENTE RT")),IF(L55="R","À REPRENDRE",IF(H55&lt;&gt;"OUI","⚠ ENROBÉ AVANT ACCEPTATION RT","ENROBÉ"))))</f>
        <v>NON SOUDÉ</v>
      </c>
      <c r="O55" s="79"/>
    </row>
    <row r="56" customFormat="false" ht="15" hidden="false" customHeight="false" outlineLevel="0" collapsed="false">
      <c r="A56" s="78" t="n">
        <f aca="false">IF('CARNET DE SOUDURE'!E56="","",'CARNET DE SOUDURE'!A56)</f>
        <v>50</v>
      </c>
      <c r="B56" s="93" t="str">
        <f aca="false">IF('CARNET DE SOUDURE'!E56="","",'CARNET DE SOUDURE'!B56&amp;"")</f>
        <v>TFT 716 → TL7-MMFW2</v>
      </c>
      <c r="C56" s="83" t="str">
        <f aca="false">IF('CARNET DE SOUDURE'!E56="","",'CARNET DE SOUDURE'!E56)</f>
        <v>JN°049</v>
      </c>
      <c r="D56" s="78" t="str">
        <f aca="false">IF('CARNET DE SOUDURE'!E56="","",'CARNET DE SOUDURE'!D56&amp;"")</f>
        <v>0.00</v>
      </c>
      <c r="E56" s="96" t="n">
        <f aca="false">IF(OR('CARNET DE SOUDURE'!E56="",'CARNET DE SOUDURE'!R56=""),"",'CARNET DE SOUDURE'!R56)</f>
        <v>45878</v>
      </c>
      <c r="F56" s="81" t="str">
        <f aca="false">IF('CARNET DE SOUDURE'!E56="","",'CARNET DE SOUDURE'!AL56)</f>
        <v>A</v>
      </c>
      <c r="G56" s="81" t="str">
        <f aca="false">IF('CARNET DE SOUDURE'!E56="","",'CARNET DE SOUDURE'!AM56)</f>
        <v>ACCEPTÉ</v>
      </c>
      <c r="H56" s="81" t="str">
        <f aca="false">IF(C56="","",IF(G56="ACCEPTÉ","OUI","NON"))</f>
        <v>OUI</v>
      </c>
      <c r="I56" s="82"/>
      <c r="J56" s="79"/>
      <c r="K56" s="80"/>
      <c r="L56" s="80"/>
      <c r="M56" s="80"/>
      <c r="N56" s="83" t="str">
        <f aca="false">IF(C56="","",IF(I56="",IF(H56="OUI","À ENROBER",IF(G56="À SOUDER","NON SOUDÉ","EN ATTENTE RT")),IF(L56="R","À REPRENDRE",IF(H56&lt;&gt;"OUI","⚠ ENROBÉ AVANT ACCEPTATION RT","ENROBÉ"))))</f>
        <v>À ENROBER</v>
      </c>
      <c r="O56" s="79"/>
    </row>
    <row r="57" customFormat="false" ht="15" hidden="false" customHeight="false" outlineLevel="0" collapsed="false">
      <c r="A57" s="78" t="n">
        <f aca="false">IF('CARNET DE SOUDURE'!E57="","",'CARNET DE SOUDURE'!A57)</f>
        <v>51</v>
      </c>
      <c r="B57" s="93" t="str">
        <f aca="false">IF('CARNET DE SOUDURE'!E57="","",'CARNET DE SOUDURE'!B57&amp;"")</f>
        <v>TFT 716 → TL7-MMFW2</v>
      </c>
      <c r="C57" s="83" t="str">
        <f aca="false">IF('CARNET DE SOUDURE'!E57="","",'CARNET DE SOUDURE'!E57)</f>
        <v>JN°050</v>
      </c>
      <c r="D57" s="78" t="str">
        <f aca="false">IF('CARNET DE SOUDURE'!E57="","",'CARNET DE SOUDURE'!D57&amp;"")</f>
        <v>0.00</v>
      </c>
      <c r="E57" s="96" t="n">
        <f aca="false">IF(OR('CARNET DE SOUDURE'!E57="",'CARNET DE SOUDURE'!R57=""),"",'CARNET DE SOUDURE'!R57)</f>
        <v>45878</v>
      </c>
      <c r="F57" s="81" t="str">
        <f aca="false">IF('CARNET DE SOUDURE'!E57="","",'CARNET DE SOUDURE'!AL57)</f>
        <v>A</v>
      </c>
      <c r="G57" s="81" t="str">
        <f aca="false">IF('CARNET DE SOUDURE'!E57="","",'CARNET DE SOUDURE'!AM57)</f>
        <v>ACCEPTÉ</v>
      </c>
      <c r="H57" s="81" t="str">
        <f aca="false">IF(C57="","",IF(G57="ACCEPTÉ","OUI","NON"))</f>
        <v>OUI</v>
      </c>
      <c r="I57" s="82"/>
      <c r="J57" s="79"/>
      <c r="K57" s="80"/>
      <c r="L57" s="80"/>
      <c r="M57" s="80"/>
      <c r="N57" s="83" t="str">
        <f aca="false">IF(C57="","",IF(I57="",IF(H57="OUI","À ENROBER",IF(G57="À SOUDER","NON SOUDÉ","EN ATTENTE RT")),IF(L57="R","À REPRENDRE",IF(H57&lt;&gt;"OUI","⚠ ENROBÉ AVANT ACCEPTATION RT","ENROBÉ"))))</f>
        <v>À ENROBER</v>
      </c>
      <c r="O57" s="79"/>
    </row>
    <row r="58" customFormat="false" ht="15" hidden="false" customHeight="false" outlineLevel="0" collapsed="false">
      <c r="A58" s="78" t="n">
        <f aca="false">IF('CARNET DE SOUDURE'!E58="","",'CARNET DE SOUDURE'!A58)</f>
        <v>52</v>
      </c>
      <c r="B58" s="93" t="str">
        <f aca="false">IF('CARNET DE SOUDURE'!E58="","",'CARNET DE SOUDURE'!B58&amp;"")</f>
        <v>TFT 716 → TL7-MMFW2</v>
      </c>
      <c r="C58" s="83" t="str">
        <f aca="false">IF('CARNET DE SOUDURE'!E58="","",'CARNET DE SOUDURE'!E58)</f>
        <v>JN°051</v>
      </c>
      <c r="D58" s="78" t="str">
        <f aca="false">IF('CARNET DE SOUDURE'!E58="","",'CARNET DE SOUDURE'!D58&amp;"")</f>
        <v>0.00</v>
      </c>
      <c r="E58" s="96" t="n">
        <f aca="false">IF(OR('CARNET DE SOUDURE'!E58="",'CARNET DE SOUDURE'!R58=""),"",'CARNET DE SOUDURE'!R58)</f>
        <v>45878</v>
      </c>
      <c r="F58" s="81" t="str">
        <f aca="false">IF('CARNET DE SOUDURE'!E58="","",'CARNET DE SOUDURE'!AL58)</f>
        <v>A</v>
      </c>
      <c r="G58" s="81" t="str">
        <f aca="false">IF('CARNET DE SOUDURE'!E58="","",'CARNET DE SOUDURE'!AM58)</f>
        <v>ACCEPTÉ</v>
      </c>
      <c r="H58" s="81" t="str">
        <f aca="false">IF(C58="","",IF(G58="ACCEPTÉ","OUI","NON"))</f>
        <v>OUI</v>
      </c>
      <c r="I58" s="82"/>
      <c r="J58" s="79"/>
      <c r="K58" s="80"/>
      <c r="L58" s="80"/>
      <c r="M58" s="80"/>
      <c r="N58" s="83" t="str">
        <f aca="false">IF(C58="","",IF(I58="",IF(H58="OUI","À ENROBER",IF(G58="À SOUDER","NON SOUDÉ","EN ATTENTE RT")),IF(L58="R","À REPRENDRE",IF(H58&lt;&gt;"OUI","⚠ ENROBÉ AVANT ACCEPTATION RT","ENROBÉ"))))</f>
        <v>À ENROBER</v>
      </c>
      <c r="O58" s="79"/>
    </row>
    <row r="59" customFormat="false" ht="15" hidden="false" customHeight="false" outlineLevel="0" collapsed="false">
      <c r="A59" s="78" t="n">
        <f aca="false">IF('CARNET DE SOUDURE'!E59="","",'CARNET DE SOUDURE'!A59)</f>
        <v>53</v>
      </c>
      <c r="B59" s="93" t="str">
        <f aca="false">IF('CARNET DE SOUDURE'!E59="","",'CARNET DE SOUDURE'!B59&amp;"")</f>
        <v>TFT 716 → TL7-MMFW2</v>
      </c>
      <c r="C59" s="83" t="str">
        <f aca="false">IF('CARNET DE SOUDURE'!E59="","",'CARNET DE SOUDURE'!E59)</f>
        <v>JN°052</v>
      </c>
      <c r="D59" s="78" t="str">
        <f aca="false">IF('CARNET DE SOUDURE'!E59="","",'CARNET DE SOUDURE'!D59&amp;"")</f>
        <v>0.00</v>
      </c>
      <c r="E59" s="96" t="n">
        <f aca="false">IF(OR('CARNET DE SOUDURE'!E59="",'CARNET DE SOUDURE'!R59=""),"",'CARNET DE SOUDURE'!R59)</f>
        <v>45878</v>
      </c>
      <c r="F59" s="81" t="str">
        <f aca="false">IF('CARNET DE SOUDURE'!E59="","",'CARNET DE SOUDURE'!AL59)</f>
        <v>A</v>
      </c>
      <c r="G59" s="81" t="str">
        <f aca="false">IF('CARNET DE SOUDURE'!E59="","",'CARNET DE SOUDURE'!AM59)</f>
        <v>ACCEPTÉ</v>
      </c>
      <c r="H59" s="81" t="str">
        <f aca="false">IF(C59="","",IF(G59="ACCEPTÉ","OUI","NON"))</f>
        <v>OUI</v>
      </c>
      <c r="I59" s="82"/>
      <c r="J59" s="79"/>
      <c r="K59" s="80"/>
      <c r="L59" s="80"/>
      <c r="M59" s="80"/>
      <c r="N59" s="83" t="str">
        <f aca="false">IF(C59="","",IF(I59="",IF(H59="OUI","À ENROBER",IF(G59="À SOUDER","NON SOUDÉ","EN ATTENTE RT")),IF(L59="R","À REPRENDRE",IF(H59&lt;&gt;"OUI","⚠ ENROBÉ AVANT ACCEPTATION RT","ENROBÉ"))))</f>
        <v>À ENROBER</v>
      </c>
      <c r="O59" s="79"/>
    </row>
    <row r="60" customFormat="false" ht="15" hidden="false" customHeight="false" outlineLevel="0" collapsed="false">
      <c r="A60" s="78" t="n">
        <f aca="false">IF('CARNET DE SOUDURE'!E60="","",'CARNET DE SOUDURE'!A60)</f>
        <v>54</v>
      </c>
      <c r="B60" s="93" t="str">
        <f aca="false">IF('CARNET DE SOUDURE'!E60="","",'CARNET DE SOUDURE'!B60&amp;"")</f>
        <v>TFT 716 → TL7-MMFW2</v>
      </c>
      <c r="C60" s="83" t="str">
        <f aca="false">IF('CARNET DE SOUDURE'!E60="","",'CARNET DE SOUDURE'!E60)</f>
        <v>JN°053</v>
      </c>
      <c r="D60" s="78" t="str">
        <f aca="false">IF('CARNET DE SOUDURE'!E60="","",'CARNET DE SOUDURE'!D60&amp;"")</f>
        <v>0.00</v>
      </c>
      <c r="E60" s="96" t="n">
        <f aca="false">IF(OR('CARNET DE SOUDURE'!E60="",'CARNET DE SOUDURE'!R60=""),"",'CARNET DE SOUDURE'!R60)</f>
        <v>45879</v>
      </c>
      <c r="F60" s="81" t="str">
        <f aca="false">IF('CARNET DE SOUDURE'!E60="","",'CARNET DE SOUDURE'!AL60)</f>
        <v>A</v>
      </c>
      <c r="G60" s="81" t="str">
        <f aca="false">IF('CARNET DE SOUDURE'!E60="","",'CARNET DE SOUDURE'!AM60)</f>
        <v>ACCEPTÉ</v>
      </c>
      <c r="H60" s="81" t="str">
        <f aca="false">IF(C60="","",IF(G60="ACCEPTÉ","OUI","NON"))</f>
        <v>OUI</v>
      </c>
      <c r="I60" s="82"/>
      <c r="J60" s="79"/>
      <c r="K60" s="80"/>
      <c r="L60" s="80"/>
      <c r="M60" s="80"/>
      <c r="N60" s="83" t="str">
        <f aca="false">IF(C60="","",IF(I60="",IF(H60="OUI","À ENROBER",IF(G60="À SOUDER","NON SOUDÉ","EN ATTENTE RT")),IF(L60="R","À REPRENDRE",IF(H60&lt;&gt;"OUI","⚠ ENROBÉ AVANT ACCEPTATION RT","ENROBÉ"))))</f>
        <v>À ENROBER</v>
      </c>
      <c r="O60" s="79"/>
    </row>
    <row r="61" customFormat="false" ht="15" hidden="false" customHeight="false" outlineLevel="0" collapsed="false">
      <c r="A61" s="78" t="n">
        <f aca="false">IF('CARNET DE SOUDURE'!E61="","",'CARNET DE SOUDURE'!A61)</f>
        <v>55</v>
      </c>
      <c r="B61" s="93" t="str">
        <f aca="false">IF('CARNET DE SOUDURE'!E61="","",'CARNET DE SOUDURE'!B61&amp;"")</f>
        <v>TFT 716 → TL7-MMFW2</v>
      </c>
      <c r="C61" s="83" t="str">
        <f aca="false">IF('CARNET DE SOUDURE'!E61="","",'CARNET DE SOUDURE'!E61)</f>
        <v>JN°054</v>
      </c>
      <c r="D61" s="78" t="str">
        <f aca="false">IF('CARNET DE SOUDURE'!E61="","",'CARNET DE SOUDURE'!D61&amp;"")</f>
        <v>0.00</v>
      </c>
      <c r="E61" s="96" t="n">
        <f aca="false">IF(OR('CARNET DE SOUDURE'!E61="",'CARNET DE SOUDURE'!R61=""),"",'CARNET DE SOUDURE'!R61)</f>
        <v>45879</v>
      </c>
      <c r="F61" s="81" t="str">
        <f aca="false">IF('CARNET DE SOUDURE'!E61="","",'CARNET DE SOUDURE'!AL61)</f>
        <v>A</v>
      </c>
      <c r="G61" s="81" t="str">
        <f aca="false">IF('CARNET DE SOUDURE'!E61="","",'CARNET DE SOUDURE'!AM61)</f>
        <v>ACCEPTÉ</v>
      </c>
      <c r="H61" s="81" t="str">
        <f aca="false">IF(C61="","",IF(G61="ACCEPTÉ","OUI","NON"))</f>
        <v>OUI</v>
      </c>
      <c r="I61" s="82"/>
      <c r="J61" s="79"/>
      <c r="K61" s="80"/>
      <c r="L61" s="80"/>
      <c r="M61" s="80"/>
      <c r="N61" s="83" t="str">
        <f aca="false">IF(C61="","",IF(I61="",IF(H61="OUI","À ENROBER",IF(G61="À SOUDER","NON SOUDÉ","EN ATTENTE RT")),IF(L61="R","À REPRENDRE",IF(H61&lt;&gt;"OUI","⚠ ENROBÉ AVANT ACCEPTATION RT","ENROBÉ"))))</f>
        <v>À ENROBER</v>
      </c>
      <c r="O61" s="79"/>
    </row>
    <row r="62" customFormat="false" ht="15" hidden="false" customHeight="false" outlineLevel="0" collapsed="false">
      <c r="A62" s="78" t="n">
        <f aca="false">IF('CARNET DE SOUDURE'!E62="","",'CARNET DE SOUDURE'!A62)</f>
        <v>56</v>
      </c>
      <c r="B62" s="93" t="str">
        <f aca="false">IF('CARNET DE SOUDURE'!E62="","",'CARNET DE SOUDURE'!B62&amp;"")</f>
        <v>TFT 716 → TL7-MMFW2</v>
      </c>
      <c r="C62" s="83" t="str">
        <f aca="false">IF('CARNET DE SOUDURE'!E62="","",'CARNET DE SOUDURE'!E62)</f>
        <v>JN°055</v>
      </c>
      <c r="D62" s="78" t="str">
        <f aca="false">IF('CARNET DE SOUDURE'!E62="","",'CARNET DE SOUDURE'!D62&amp;"")</f>
        <v>0.00</v>
      </c>
      <c r="E62" s="96" t="n">
        <f aca="false">IF(OR('CARNET DE SOUDURE'!E62="",'CARNET DE SOUDURE'!R62=""),"",'CARNET DE SOUDURE'!R62)</f>
        <v>45879</v>
      </c>
      <c r="F62" s="81" t="str">
        <f aca="false">IF('CARNET DE SOUDURE'!E62="","",'CARNET DE SOUDURE'!AL62)</f>
        <v>A</v>
      </c>
      <c r="G62" s="81" t="str">
        <f aca="false">IF('CARNET DE SOUDURE'!E62="","",'CARNET DE SOUDURE'!AM62)</f>
        <v>ACCEPTÉ</v>
      </c>
      <c r="H62" s="81" t="str">
        <f aca="false">IF(C62="","",IF(G62="ACCEPTÉ","OUI","NON"))</f>
        <v>OUI</v>
      </c>
      <c r="I62" s="82"/>
      <c r="J62" s="79"/>
      <c r="K62" s="80"/>
      <c r="L62" s="80"/>
      <c r="M62" s="80"/>
      <c r="N62" s="83" t="str">
        <f aca="false">IF(C62="","",IF(I62="",IF(H62="OUI","À ENROBER",IF(G62="À SOUDER","NON SOUDÉ","EN ATTENTE RT")),IF(L62="R","À REPRENDRE",IF(H62&lt;&gt;"OUI","⚠ ENROBÉ AVANT ACCEPTATION RT","ENROBÉ"))))</f>
        <v>À ENROBER</v>
      </c>
      <c r="O62" s="79"/>
    </row>
    <row r="63" customFormat="false" ht="15" hidden="false" customHeight="false" outlineLevel="0" collapsed="false">
      <c r="A63" s="78" t="n">
        <f aca="false">IF('CARNET DE SOUDURE'!E63="","",'CARNET DE SOUDURE'!A63)</f>
        <v>57</v>
      </c>
      <c r="B63" s="93" t="str">
        <f aca="false">IF('CARNET DE SOUDURE'!E63="","",'CARNET DE SOUDURE'!B63&amp;"")</f>
        <v>TFT 716 → TL7-MMFW2</v>
      </c>
      <c r="C63" s="83" t="str">
        <f aca="false">IF('CARNET DE SOUDURE'!E63="","",'CARNET DE SOUDURE'!E63)</f>
        <v>JN°056</v>
      </c>
      <c r="D63" s="78" t="str">
        <f aca="false">IF('CARNET DE SOUDURE'!E63="","",'CARNET DE SOUDURE'!D63&amp;"")</f>
        <v>0.00</v>
      </c>
      <c r="E63" s="96" t="n">
        <f aca="false">IF(OR('CARNET DE SOUDURE'!E63="",'CARNET DE SOUDURE'!R63=""),"",'CARNET DE SOUDURE'!R63)</f>
        <v>45879</v>
      </c>
      <c r="F63" s="81" t="str">
        <f aca="false">IF('CARNET DE SOUDURE'!E63="","",'CARNET DE SOUDURE'!AL63)</f>
        <v>A</v>
      </c>
      <c r="G63" s="81" t="str">
        <f aca="false">IF('CARNET DE SOUDURE'!E63="","",'CARNET DE SOUDURE'!AM63)</f>
        <v>ACCEPTÉ</v>
      </c>
      <c r="H63" s="81" t="str">
        <f aca="false">IF(C63="","",IF(G63="ACCEPTÉ","OUI","NON"))</f>
        <v>OUI</v>
      </c>
      <c r="I63" s="82"/>
      <c r="J63" s="79"/>
      <c r="K63" s="80"/>
      <c r="L63" s="80"/>
      <c r="M63" s="80"/>
      <c r="N63" s="83" t="str">
        <f aca="false">IF(C63="","",IF(I63="",IF(H63="OUI","À ENROBER",IF(G63="À SOUDER","NON SOUDÉ","EN ATTENTE RT")),IF(L63="R","À REPRENDRE",IF(H63&lt;&gt;"OUI","⚠ ENROBÉ AVANT ACCEPTATION RT","ENROBÉ"))))</f>
        <v>À ENROBER</v>
      </c>
      <c r="O63" s="79"/>
    </row>
    <row r="64" customFormat="false" ht="15" hidden="false" customHeight="false" outlineLevel="0" collapsed="false">
      <c r="A64" s="78" t="n">
        <f aca="false">IF('CARNET DE SOUDURE'!E64="","",'CARNET DE SOUDURE'!A64)</f>
        <v>58</v>
      </c>
      <c r="B64" s="93" t="str">
        <f aca="false">IF('CARNET DE SOUDURE'!E64="","",'CARNET DE SOUDURE'!B64&amp;"")</f>
        <v>TFT 716 → TL7-MMFW2</v>
      </c>
      <c r="C64" s="83" t="str">
        <f aca="false">IF('CARNET DE SOUDURE'!E64="","",'CARNET DE SOUDURE'!E64)</f>
        <v>JN°057</v>
      </c>
      <c r="D64" s="78" t="str">
        <f aca="false">IF('CARNET DE SOUDURE'!E64="","",'CARNET DE SOUDURE'!D64&amp;"")</f>
        <v>0.00</v>
      </c>
      <c r="E64" s="96" t="n">
        <f aca="false">IF(OR('CARNET DE SOUDURE'!E64="",'CARNET DE SOUDURE'!R64=""),"",'CARNET DE SOUDURE'!R64)</f>
        <v>45879</v>
      </c>
      <c r="F64" s="81" t="str">
        <f aca="false">IF('CARNET DE SOUDURE'!E64="","",'CARNET DE SOUDURE'!AL64)</f>
        <v>A</v>
      </c>
      <c r="G64" s="81" t="str">
        <f aca="false">IF('CARNET DE SOUDURE'!E64="","",'CARNET DE SOUDURE'!AM64)</f>
        <v>ACCEPTÉ</v>
      </c>
      <c r="H64" s="81" t="str">
        <f aca="false">IF(C64="","",IF(G64="ACCEPTÉ","OUI","NON"))</f>
        <v>OUI</v>
      </c>
      <c r="I64" s="82"/>
      <c r="J64" s="79"/>
      <c r="K64" s="80"/>
      <c r="L64" s="80"/>
      <c r="M64" s="80"/>
      <c r="N64" s="83" t="str">
        <f aca="false">IF(C64="","",IF(I64="",IF(H64="OUI","À ENROBER",IF(G64="À SOUDER","NON SOUDÉ","EN ATTENTE RT")),IF(L64="R","À REPRENDRE",IF(H64&lt;&gt;"OUI","⚠ ENROBÉ AVANT ACCEPTATION RT","ENROBÉ"))))</f>
        <v>À ENROBER</v>
      </c>
      <c r="O64" s="79"/>
    </row>
    <row r="65" customFormat="false" ht="15" hidden="false" customHeight="false" outlineLevel="0" collapsed="false">
      <c r="A65" s="78" t="n">
        <f aca="false">IF('CARNET DE SOUDURE'!E65="","",'CARNET DE SOUDURE'!A65)</f>
        <v>59</v>
      </c>
      <c r="B65" s="93" t="str">
        <f aca="false">IF('CARNET DE SOUDURE'!E65="","",'CARNET DE SOUDURE'!B65&amp;"")</f>
        <v>TFT 716 → TL7-MMFW2</v>
      </c>
      <c r="C65" s="83" t="str">
        <f aca="false">IF('CARNET DE SOUDURE'!E65="","",'CARNET DE SOUDURE'!E65)</f>
        <v>JN°058</v>
      </c>
      <c r="D65" s="78" t="str">
        <f aca="false">IF('CARNET DE SOUDURE'!E65="","",'CARNET DE SOUDURE'!D65&amp;"")</f>
        <v>0.00</v>
      </c>
      <c r="E65" s="96" t="n">
        <f aca="false">IF(OR('CARNET DE SOUDURE'!E65="",'CARNET DE SOUDURE'!R65=""),"",'CARNET DE SOUDURE'!R65)</f>
        <v>45879</v>
      </c>
      <c r="F65" s="81" t="str">
        <f aca="false">IF('CARNET DE SOUDURE'!E65="","",'CARNET DE SOUDURE'!AL65)</f>
        <v>A</v>
      </c>
      <c r="G65" s="81" t="str">
        <f aca="false">IF('CARNET DE SOUDURE'!E65="","",'CARNET DE SOUDURE'!AM65)</f>
        <v>ACCEPTÉ</v>
      </c>
      <c r="H65" s="81" t="str">
        <f aca="false">IF(C65="","",IF(G65="ACCEPTÉ","OUI","NON"))</f>
        <v>OUI</v>
      </c>
      <c r="I65" s="82"/>
      <c r="J65" s="79"/>
      <c r="K65" s="80"/>
      <c r="L65" s="80"/>
      <c r="M65" s="80"/>
      <c r="N65" s="83" t="str">
        <f aca="false">IF(C65="","",IF(I65="",IF(H65="OUI","À ENROBER",IF(G65="À SOUDER","NON SOUDÉ","EN ATTENTE RT")),IF(L65="R","À REPRENDRE",IF(H65&lt;&gt;"OUI","⚠ ENROBÉ AVANT ACCEPTATION RT","ENROBÉ"))))</f>
        <v>À ENROBER</v>
      </c>
      <c r="O65" s="79"/>
    </row>
    <row r="66" customFormat="false" ht="15" hidden="false" customHeight="false" outlineLevel="0" collapsed="false">
      <c r="A66" s="78" t="n">
        <f aca="false">IF('CARNET DE SOUDURE'!E66="","",'CARNET DE SOUDURE'!A66)</f>
        <v>60</v>
      </c>
      <c r="B66" s="93" t="str">
        <f aca="false">IF('CARNET DE SOUDURE'!E66="","",'CARNET DE SOUDURE'!B66&amp;"")</f>
        <v>TFT 716 → TL7-MMFW2</v>
      </c>
      <c r="C66" s="83" t="str">
        <f aca="false">IF('CARNET DE SOUDURE'!E66="","",'CARNET DE SOUDURE'!E66)</f>
        <v>JN°059</v>
      </c>
      <c r="D66" s="78" t="str">
        <f aca="false">IF('CARNET DE SOUDURE'!E66="","",'CARNET DE SOUDURE'!D66&amp;"")</f>
        <v>0.00</v>
      </c>
      <c r="E66" s="96" t="n">
        <f aca="false">IF(OR('CARNET DE SOUDURE'!E66="",'CARNET DE SOUDURE'!R66=""),"",'CARNET DE SOUDURE'!R66)</f>
        <v>45879</v>
      </c>
      <c r="F66" s="81" t="str">
        <f aca="false">IF('CARNET DE SOUDURE'!E66="","",'CARNET DE SOUDURE'!AL66)</f>
        <v>A</v>
      </c>
      <c r="G66" s="81" t="str">
        <f aca="false">IF('CARNET DE SOUDURE'!E66="","",'CARNET DE SOUDURE'!AM66)</f>
        <v>ACCEPTÉ</v>
      </c>
      <c r="H66" s="81" t="str">
        <f aca="false">IF(C66="","",IF(G66="ACCEPTÉ","OUI","NON"))</f>
        <v>OUI</v>
      </c>
      <c r="I66" s="82"/>
      <c r="J66" s="79"/>
      <c r="K66" s="80"/>
      <c r="L66" s="80"/>
      <c r="M66" s="80"/>
      <c r="N66" s="83" t="str">
        <f aca="false">IF(C66="","",IF(I66="",IF(H66="OUI","À ENROBER",IF(G66="À SOUDER","NON SOUDÉ","EN ATTENTE RT")),IF(L66="R","À REPRENDRE",IF(H66&lt;&gt;"OUI","⚠ ENROBÉ AVANT ACCEPTATION RT","ENROBÉ"))))</f>
        <v>À ENROBER</v>
      </c>
      <c r="O66" s="79"/>
    </row>
    <row r="67" customFormat="false" ht="15" hidden="false" customHeight="false" outlineLevel="0" collapsed="false">
      <c r="A67" s="78" t="n">
        <f aca="false">IF('CARNET DE SOUDURE'!E67="","",'CARNET DE SOUDURE'!A67)</f>
        <v>61</v>
      </c>
      <c r="B67" s="93" t="str">
        <f aca="false">IF('CARNET DE SOUDURE'!E67="","",'CARNET DE SOUDURE'!B67&amp;"")</f>
        <v>TFT 716 → TL7-MMFW2</v>
      </c>
      <c r="C67" s="83" t="str">
        <f aca="false">IF('CARNET DE SOUDURE'!E67="","",'CARNET DE SOUDURE'!E67)</f>
        <v>JN°060</v>
      </c>
      <c r="D67" s="78" t="str">
        <f aca="false">IF('CARNET DE SOUDURE'!E67="","",'CARNET DE SOUDURE'!D67&amp;"")</f>
        <v>0.00</v>
      </c>
      <c r="E67" s="96" t="n">
        <f aca="false">IF(OR('CARNET DE SOUDURE'!E67="",'CARNET DE SOUDURE'!R67=""),"",'CARNET DE SOUDURE'!R67)</f>
        <v>45879</v>
      </c>
      <c r="F67" s="81" t="str">
        <f aca="false">IF('CARNET DE SOUDURE'!E67="","",'CARNET DE SOUDURE'!AL67)</f>
        <v>A</v>
      </c>
      <c r="G67" s="81" t="str">
        <f aca="false">IF('CARNET DE SOUDURE'!E67="","",'CARNET DE SOUDURE'!AM67)</f>
        <v>ACCEPTÉ</v>
      </c>
      <c r="H67" s="81" t="str">
        <f aca="false">IF(C67="","",IF(G67="ACCEPTÉ","OUI","NON"))</f>
        <v>OUI</v>
      </c>
      <c r="I67" s="82"/>
      <c r="J67" s="79"/>
      <c r="K67" s="80"/>
      <c r="L67" s="80"/>
      <c r="M67" s="80"/>
      <c r="N67" s="83" t="str">
        <f aca="false">IF(C67="","",IF(I67="",IF(H67="OUI","À ENROBER",IF(G67="À SOUDER","NON SOUDÉ","EN ATTENTE RT")),IF(L67="R","À REPRENDRE",IF(H67&lt;&gt;"OUI","⚠ ENROBÉ AVANT ACCEPTATION RT","ENROBÉ"))))</f>
        <v>À ENROBER</v>
      </c>
      <c r="O67" s="79"/>
    </row>
    <row r="68" customFormat="false" ht="15" hidden="false" customHeight="false" outlineLevel="0" collapsed="false">
      <c r="A68" s="78" t="n">
        <f aca="false">IF('CARNET DE SOUDURE'!E68="","",'CARNET DE SOUDURE'!A68)</f>
        <v>62</v>
      </c>
      <c r="B68" s="93" t="str">
        <f aca="false">IF('CARNET DE SOUDURE'!E68="","",'CARNET DE SOUDURE'!B68&amp;"")</f>
        <v>TFT 716 → TL7-MMFW2</v>
      </c>
      <c r="C68" s="83" t="str">
        <f aca="false">IF('CARNET DE SOUDURE'!E68="","",'CARNET DE SOUDURE'!E68)</f>
        <v>JN°061</v>
      </c>
      <c r="D68" s="78" t="str">
        <f aca="false">IF('CARNET DE SOUDURE'!E68="","",'CARNET DE SOUDURE'!D68&amp;"")</f>
        <v>0.00</v>
      </c>
      <c r="E68" s="96" t="n">
        <f aca="false">IF(OR('CARNET DE SOUDURE'!E68="",'CARNET DE SOUDURE'!R68=""),"",'CARNET DE SOUDURE'!R68)</f>
        <v>45879</v>
      </c>
      <c r="F68" s="81" t="str">
        <f aca="false">IF('CARNET DE SOUDURE'!E68="","",'CARNET DE SOUDURE'!AL68)</f>
        <v>A</v>
      </c>
      <c r="G68" s="81" t="str">
        <f aca="false">IF('CARNET DE SOUDURE'!E68="","",'CARNET DE SOUDURE'!AM68)</f>
        <v>ACCEPTÉ</v>
      </c>
      <c r="H68" s="81" t="str">
        <f aca="false">IF(C68="","",IF(G68="ACCEPTÉ","OUI","NON"))</f>
        <v>OUI</v>
      </c>
      <c r="I68" s="82"/>
      <c r="J68" s="79"/>
      <c r="K68" s="80"/>
      <c r="L68" s="80"/>
      <c r="M68" s="80"/>
      <c r="N68" s="83" t="str">
        <f aca="false">IF(C68="","",IF(I68="",IF(H68="OUI","À ENROBER",IF(G68="À SOUDER","NON SOUDÉ","EN ATTENTE RT")),IF(L68="R","À REPRENDRE",IF(H68&lt;&gt;"OUI","⚠ ENROBÉ AVANT ACCEPTATION RT","ENROBÉ"))))</f>
        <v>À ENROBER</v>
      </c>
      <c r="O68" s="79"/>
    </row>
    <row r="69" customFormat="false" ht="15" hidden="false" customHeight="false" outlineLevel="0" collapsed="false">
      <c r="A69" s="78" t="n">
        <f aca="false">IF('CARNET DE SOUDURE'!E69="","",'CARNET DE SOUDURE'!A69)</f>
        <v>63</v>
      </c>
      <c r="B69" s="93" t="str">
        <f aca="false">IF('CARNET DE SOUDURE'!E69="","",'CARNET DE SOUDURE'!B69&amp;"")</f>
        <v>TFT 716 → TL7-MMFW2</v>
      </c>
      <c r="C69" s="83" t="str">
        <f aca="false">IF('CARNET DE SOUDURE'!E69="","",'CARNET DE SOUDURE'!E69)</f>
        <v>JN°062</v>
      </c>
      <c r="D69" s="78" t="str">
        <f aca="false">IF('CARNET DE SOUDURE'!E69="","",'CARNET DE SOUDURE'!D69&amp;"")</f>
        <v>0.00</v>
      </c>
      <c r="E69" s="96" t="n">
        <f aca="false">IF(OR('CARNET DE SOUDURE'!E69="",'CARNET DE SOUDURE'!R69=""),"",'CARNET DE SOUDURE'!R69)</f>
        <v>45879</v>
      </c>
      <c r="F69" s="81" t="str">
        <f aca="false">IF('CARNET DE SOUDURE'!E69="","",'CARNET DE SOUDURE'!AL69)</f>
        <v>A</v>
      </c>
      <c r="G69" s="81" t="str">
        <f aca="false">IF('CARNET DE SOUDURE'!E69="","",'CARNET DE SOUDURE'!AM69)</f>
        <v>ACCEPTÉ</v>
      </c>
      <c r="H69" s="81" t="str">
        <f aca="false">IF(C69="","",IF(G69="ACCEPTÉ","OUI","NON"))</f>
        <v>OUI</v>
      </c>
      <c r="I69" s="82"/>
      <c r="J69" s="79"/>
      <c r="K69" s="80"/>
      <c r="L69" s="80"/>
      <c r="M69" s="80"/>
      <c r="N69" s="83" t="str">
        <f aca="false">IF(C69="","",IF(I69="",IF(H69="OUI","À ENROBER",IF(G69="À SOUDER","NON SOUDÉ","EN ATTENTE RT")),IF(L69="R","À REPRENDRE",IF(H69&lt;&gt;"OUI","⚠ ENROBÉ AVANT ACCEPTATION RT","ENROBÉ"))))</f>
        <v>À ENROBER</v>
      </c>
      <c r="O69" s="79"/>
    </row>
    <row r="70" customFormat="false" ht="15" hidden="false" customHeight="false" outlineLevel="0" collapsed="false">
      <c r="A70" s="78" t="n">
        <f aca="false">IF('CARNET DE SOUDURE'!E70="","",'CARNET DE SOUDURE'!A70)</f>
        <v>64</v>
      </c>
      <c r="B70" s="93" t="str">
        <f aca="false">IF('CARNET DE SOUDURE'!E70="","",'CARNET DE SOUDURE'!B70&amp;"")</f>
        <v>TFT 716 → TL7-MMFW2</v>
      </c>
      <c r="C70" s="83" t="str">
        <f aca="false">IF('CARNET DE SOUDURE'!E70="","",'CARNET DE SOUDURE'!E70)</f>
        <v>JN°063/R</v>
      </c>
      <c r="D70" s="78" t="str">
        <f aca="false">IF('CARNET DE SOUDURE'!E70="","",'CARNET DE SOUDURE'!D70&amp;"")</f>
        <v>0.00</v>
      </c>
      <c r="E70" s="96" t="n">
        <f aca="false">IF(OR('CARNET DE SOUDURE'!E70="",'CARNET DE SOUDURE'!R70=""),"",'CARNET DE SOUDURE'!R70)</f>
        <v>45879</v>
      </c>
      <c r="F70" s="81" t="str">
        <f aca="false">IF('CARNET DE SOUDURE'!E70="","",'CARNET DE SOUDURE'!AL70)</f>
        <v>A</v>
      </c>
      <c r="G70" s="81" t="str">
        <f aca="false">IF('CARNET DE SOUDURE'!E70="","",'CARNET DE SOUDURE'!AM70)</f>
        <v>ACCEPTÉ</v>
      </c>
      <c r="H70" s="81" t="str">
        <f aca="false">IF(C70="","",IF(G70="ACCEPTÉ","OUI","NON"))</f>
        <v>OUI</v>
      </c>
      <c r="I70" s="82"/>
      <c r="J70" s="79"/>
      <c r="K70" s="80"/>
      <c r="L70" s="80"/>
      <c r="M70" s="80"/>
      <c r="N70" s="83" t="str">
        <f aca="false">IF(C70="","",IF(I70="",IF(H70="OUI","À ENROBER",IF(G70="À SOUDER","NON SOUDÉ","EN ATTENTE RT")),IF(L70="R","À REPRENDRE",IF(H70&lt;&gt;"OUI","⚠ ENROBÉ AVANT ACCEPTATION RT","ENROBÉ"))))</f>
        <v>À ENROBER</v>
      </c>
      <c r="O70" s="79"/>
    </row>
    <row r="71" customFormat="false" ht="15" hidden="false" customHeight="false" outlineLevel="0" collapsed="false">
      <c r="A71" s="78" t="n">
        <f aca="false">IF('CARNET DE SOUDURE'!E71="","",'CARNET DE SOUDURE'!A71)</f>
        <v>65</v>
      </c>
      <c r="B71" s="93" t="str">
        <f aca="false">IF('CARNET DE SOUDURE'!E71="","",'CARNET DE SOUDURE'!B71&amp;"")</f>
        <v>TFT 716 → TL7-MMFW2</v>
      </c>
      <c r="C71" s="83" t="str">
        <f aca="false">IF('CARNET DE SOUDURE'!E71="","",'CARNET DE SOUDURE'!E71)</f>
        <v>JN°064</v>
      </c>
      <c r="D71" s="78" t="str">
        <f aca="false">IF('CARNET DE SOUDURE'!E71="","",'CARNET DE SOUDURE'!D71&amp;"")</f>
        <v>0.00</v>
      </c>
      <c r="E71" s="96" t="n">
        <f aca="false">IF(OR('CARNET DE SOUDURE'!E71="",'CARNET DE SOUDURE'!R71=""),"",'CARNET DE SOUDURE'!R71)</f>
        <v>45880</v>
      </c>
      <c r="F71" s="81" t="str">
        <f aca="false">IF('CARNET DE SOUDURE'!E71="","",'CARNET DE SOUDURE'!AL71)</f>
        <v>A</v>
      </c>
      <c r="G71" s="81" t="str">
        <f aca="false">IF('CARNET DE SOUDURE'!E71="","",'CARNET DE SOUDURE'!AM71)</f>
        <v>ACCEPTÉ</v>
      </c>
      <c r="H71" s="81" t="str">
        <f aca="false">IF(C71="","",IF(G71="ACCEPTÉ","OUI","NON"))</f>
        <v>OUI</v>
      </c>
      <c r="I71" s="82"/>
      <c r="J71" s="79"/>
      <c r="K71" s="80"/>
      <c r="L71" s="80"/>
      <c r="M71" s="80"/>
      <c r="N71" s="83" t="str">
        <f aca="false">IF(C71="","",IF(I71="",IF(H71="OUI","À ENROBER",IF(G71="À SOUDER","NON SOUDÉ","EN ATTENTE RT")),IF(L71="R","À REPRENDRE",IF(H71&lt;&gt;"OUI","⚠ ENROBÉ AVANT ACCEPTATION RT","ENROBÉ"))))</f>
        <v>À ENROBER</v>
      </c>
      <c r="O71" s="79"/>
    </row>
    <row r="72" customFormat="false" ht="15" hidden="false" customHeight="false" outlineLevel="0" collapsed="false">
      <c r="A72" s="78" t="n">
        <f aca="false">IF('CARNET DE SOUDURE'!E72="","",'CARNET DE SOUDURE'!A72)</f>
        <v>66</v>
      </c>
      <c r="B72" s="93" t="str">
        <f aca="false">IF('CARNET DE SOUDURE'!E72="","",'CARNET DE SOUDURE'!B72&amp;"")</f>
        <v>TFT 716 → TL7-MMFW2</v>
      </c>
      <c r="C72" s="83" t="str">
        <f aca="false">IF('CARNET DE SOUDURE'!E72="","",'CARNET DE SOUDURE'!E72)</f>
        <v>JN°065</v>
      </c>
      <c r="D72" s="78" t="str">
        <f aca="false">IF('CARNET DE SOUDURE'!E72="","",'CARNET DE SOUDURE'!D72&amp;"")</f>
        <v>0.00</v>
      </c>
      <c r="E72" s="96" t="n">
        <f aca="false">IF(OR('CARNET DE SOUDURE'!E72="",'CARNET DE SOUDURE'!R72=""),"",'CARNET DE SOUDURE'!R72)</f>
        <v>45879</v>
      </c>
      <c r="F72" s="81" t="str">
        <f aca="false">IF('CARNET DE SOUDURE'!E72="","",'CARNET DE SOUDURE'!AL72)</f>
        <v>A</v>
      </c>
      <c r="G72" s="81" t="str">
        <f aca="false">IF('CARNET DE SOUDURE'!E72="","",'CARNET DE SOUDURE'!AM72)</f>
        <v>ACCEPTÉ</v>
      </c>
      <c r="H72" s="81" t="str">
        <f aca="false">IF(C72="","",IF(G72="ACCEPTÉ","OUI","NON"))</f>
        <v>OUI</v>
      </c>
      <c r="I72" s="82"/>
      <c r="J72" s="79"/>
      <c r="K72" s="80"/>
      <c r="L72" s="80"/>
      <c r="M72" s="80"/>
      <c r="N72" s="83" t="str">
        <f aca="false">IF(C72="","",IF(I72="",IF(H72="OUI","À ENROBER",IF(G72="À SOUDER","NON SOUDÉ","EN ATTENTE RT")),IF(L72="R","À REPRENDRE",IF(H72&lt;&gt;"OUI","⚠ ENROBÉ AVANT ACCEPTATION RT","ENROBÉ"))))</f>
        <v>À ENROBER</v>
      </c>
      <c r="O72" s="79"/>
    </row>
    <row r="73" customFormat="false" ht="15" hidden="false" customHeight="false" outlineLevel="0" collapsed="false">
      <c r="A73" s="78" t="n">
        <f aca="false">IF('CARNET DE SOUDURE'!E73="","",'CARNET DE SOUDURE'!A73)</f>
        <v>67</v>
      </c>
      <c r="B73" s="93" t="str">
        <f aca="false">IF('CARNET DE SOUDURE'!E73="","",'CARNET DE SOUDURE'!B73&amp;"")</f>
        <v>TFT 716 → TL7-MMFW2</v>
      </c>
      <c r="C73" s="83" t="str">
        <f aca="false">IF('CARNET DE SOUDURE'!E73="","",'CARNET DE SOUDURE'!E73)</f>
        <v>JN°066</v>
      </c>
      <c r="D73" s="78" t="str">
        <f aca="false">IF('CARNET DE SOUDURE'!E73="","",'CARNET DE SOUDURE'!D73&amp;"")</f>
        <v>0.00</v>
      </c>
      <c r="E73" s="96" t="n">
        <f aca="false">IF(OR('CARNET DE SOUDURE'!E73="",'CARNET DE SOUDURE'!R73=""),"",'CARNET DE SOUDURE'!R73)</f>
        <v>45880</v>
      </c>
      <c r="F73" s="81" t="str">
        <f aca="false">IF('CARNET DE SOUDURE'!E73="","",'CARNET DE SOUDURE'!AL73)</f>
        <v>A</v>
      </c>
      <c r="G73" s="81" t="str">
        <f aca="false">IF('CARNET DE SOUDURE'!E73="","",'CARNET DE SOUDURE'!AM73)</f>
        <v>ACCEPTÉ</v>
      </c>
      <c r="H73" s="81" t="str">
        <f aca="false">IF(C73="","",IF(G73="ACCEPTÉ","OUI","NON"))</f>
        <v>OUI</v>
      </c>
      <c r="I73" s="82"/>
      <c r="J73" s="79"/>
      <c r="K73" s="80"/>
      <c r="L73" s="80"/>
      <c r="M73" s="80"/>
      <c r="N73" s="83" t="str">
        <f aca="false">IF(C73="","",IF(I73="",IF(H73="OUI","À ENROBER",IF(G73="À SOUDER","NON SOUDÉ","EN ATTENTE RT")),IF(L73="R","À REPRENDRE",IF(H73&lt;&gt;"OUI","⚠ ENROBÉ AVANT ACCEPTATION RT","ENROBÉ"))))</f>
        <v>À ENROBER</v>
      </c>
      <c r="O73" s="79"/>
    </row>
    <row r="74" customFormat="false" ht="15" hidden="false" customHeight="false" outlineLevel="0" collapsed="false">
      <c r="A74" s="78" t="n">
        <f aca="false">IF('CARNET DE SOUDURE'!E74="","",'CARNET DE SOUDURE'!A74)</f>
        <v>68</v>
      </c>
      <c r="B74" s="93" t="str">
        <f aca="false">IF('CARNET DE SOUDURE'!E74="","",'CARNET DE SOUDURE'!B74&amp;"")</f>
        <v>TFT 716 → TL7-MMFW2</v>
      </c>
      <c r="C74" s="83" t="str">
        <f aca="false">IF('CARNET DE SOUDURE'!E74="","",'CARNET DE SOUDURE'!E74)</f>
        <v>JN°067</v>
      </c>
      <c r="D74" s="78" t="str">
        <f aca="false">IF('CARNET DE SOUDURE'!E74="","",'CARNET DE SOUDURE'!D74&amp;"")</f>
        <v>0.00</v>
      </c>
      <c r="E74" s="96" t="n">
        <f aca="false">IF(OR('CARNET DE SOUDURE'!E74="",'CARNET DE SOUDURE'!R74=""),"",'CARNET DE SOUDURE'!R74)</f>
        <v>45879</v>
      </c>
      <c r="F74" s="81" t="str">
        <f aca="false">IF('CARNET DE SOUDURE'!E74="","",'CARNET DE SOUDURE'!AL74)</f>
        <v>A</v>
      </c>
      <c r="G74" s="81" t="str">
        <f aca="false">IF('CARNET DE SOUDURE'!E74="","",'CARNET DE SOUDURE'!AM74)</f>
        <v>ACCEPTÉ</v>
      </c>
      <c r="H74" s="81" t="str">
        <f aca="false">IF(C74="","",IF(G74="ACCEPTÉ","OUI","NON"))</f>
        <v>OUI</v>
      </c>
      <c r="I74" s="82"/>
      <c r="J74" s="79"/>
      <c r="K74" s="80"/>
      <c r="L74" s="80"/>
      <c r="M74" s="80"/>
      <c r="N74" s="83" t="str">
        <f aca="false">IF(C74="","",IF(I74="",IF(H74="OUI","À ENROBER",IF(G74="À SOUDER","NON SOUDÉ","EN ATTENTE RT")),IF(L74="R","À REPRENDRE",IF(H74&lt;&gt;"OUI","⚠ ENROBÉ AVANT ACCEPTATION RT","ENROBÉ"))))</f>
        <v>À ENROBER</v>
      </c>
      <c r="O74" s="79"/>
    </row>
    <row r="75" customFormat="false" ht="15" hidden="false" customHeight="false" outlineLevel="0" collapsed="false">
      <c r="A75" s="78" t="n">
        <f aca="false">IF('CARNET DE SOUDURE'!E75="","",'CARNET DE SOUDURE'!A75)</f>
        <v>69</v>
      </c>
      <c r="B75" s="93" t="str">
        <f aca="false">IF('CARNET DE SOUDURE'!E75="","",'CARNET DE SOUDURE'!B75&amp;"")</f>
        <v>TFT 716 → TL7-MMFW2</v>
      </c>
      <c r="C75" s="83" t="str">
        <f aca="false">IF('CARNET DE SOUDURE'!E75="","",'CARNET DE SOUDURE'!E75)</f>
        <v>JN°068</v>
      </c>
      <c r="D75" s="78" t="str">
        <f aca="false">IF('CARNET DE SOUDURE'!E75="","",'CARNET DE SOUDURE'!D75&amp;"")</f>
        <v>0.00</v>
      </c>
      <c r="E75" s="96" t="n">
        <f aca="false">IF(OR('CARNET DE SOUDURE'!E75="",'CARNET DE SOUDURE'!R75=""),"",'CARNET DE SOUDURE'!R75)</f>
        <v>45880</v>
      </c>
      <c r="F75" s="81" t="str">
        <f aca="false">IF('CARNET DE SOUDURE'!E75="","",'CARNET DE SOUDURE'!AL75)</f>
        <v>A</v>
      </c>
      <c r="G75" s="81" t="str">
        <f aca="false">IF('CARNET DE SOUDURE'!E75="","",'CARNET DE SOUDURE'!AM75)</f>
        <v>ACCEPTÉ</v>
      </c>
      <c r="H75" s="81" t="str">
        <f aca="false">IF(C75="","",IF(G75="ACCEPTÉ","OUI","NON"))</f>
        <v>OUI</v>
      </c>
      <c r="I75" s="82"/>
      <c r="J75" s="79"/>
      <c r="K75" s="80"/>
      <c r="L75" s="80"/>
      <c r="M75" s="80"/>
      <c r="N75" s="83" t="str">
        <f aca="false">IF(C75="","",IF(I75="",IF(H75="OUI","À ENROBER",IF(G75="À SOUDER","NON SOUDÉ","EN ATTENTE RT")),IF(L75="R","À REPRENDRE",IF(H75&lt;&gt;"OUI","⚠ ENROBÉ AVANT ACCEPTATION RT","ENROBÉ"))))</f>
        <v>À ENROBER</v>
      </c>
      <c r="O75" s="79"/>
    </row>
    <row r="76" customFormat="false" ht="15" hidden="false" customHeight="false" outlineLevel="0" collapsed="false">
      <c r="A76" s="78" t="n">
        <f aca="false">IF('CARNET DE SOUDURE'!E76="","",'CARNET DE SOUDURE'!A76)</f>
        <v>70</v>
      </c>
      <c r="B76" s="93" t="str">
        <f aca="false">IF('CARNET DE SOUDURE'!E76="","",'CARNET DE SOUDURE'!B76&amp;"")</f>
        <v>TFT 716 → TL7-MMFW2</v>
      </c>
      <c r="C76" s="83" t="str">
        <f aca="false">IF('CARNET DE SOUDURE'!E76="","",'CARNET DE SOUDURE'!E76)</f>
        <v>JN°069</v>
      </c>
      <c r="D76" s="78" t="str">
        <f aca="false">IF('CARNET DE SOUDURE'!E76="","",'CARNET DE SOUDURE'!D76&amp;"")</f>
        <v>0.00</v>
      </c>
      <c r="E76" s="96" t="n">
        <f aca="false">IF(OR('CARNET DE SOUDURE'!E76="",'CARNET DE SOUDURE'!R76=""),"",'CARNET DE SOUDURE'!R76)</f>
        <v>45879</v>
      </c>
      <c r="F76" s="81" t="str">
        <f aca="false">IF('CARNET DE SOUDURE'!E76="","",'CARNET DE SOUDURE'!AL76)</f>
        <v>A</v>
      </c>
      <c r="G76" s="81" t="str">
        <f aca="false">IF('CARNET DE SOUDURE'!E76="","",'CARNET DE SOUDURE'!AM76)</f>
        <v>ACCEPTÉ</v>
      </c>
      <c r="H76" s="81" t="str">
        <f aca="false">IF(C76="","",IF(G76="ACCEPTÉ","OUI","NON"))</f>
        <v>OUI</v>
      </c>
      <c r="I76" s="82"/>
      <c r="J76" s="79"/>
      <c r="K76" s="80"/>
      <c r="L76" s="80"/>
      <c r="M76" s="80"/>
      <c r="N76" s="83" t="str">
        <f aca="false">IF(C76="","",IF(I76="",IF(H76="OUI","À ENROBER",IF(G76="À SOUDER","NON SOUDÉ","EN ATTENTE RT")),IF(L76="R","À REPRENDRE",IF(H76&lt;&gt;"OUI","⚠ ENROBÉ AVANT ACCEPTATION RT","ENROBÉ"))))</f>
        <v>À ENROBER</v>
      </c>
      <c r="O76" s="79"/>
    </row>
    <row r="77" customFormat="false" ht="15" hidden="false" customHeight="false" outlineLevel="0" collapsed="false">
      <c r="A77" s="78" t="n">
        <f aca="false">IF('CARNET DE SOUDURE'!E77="","",'CARNET DE SOUDURE'!A77)</f>
        <v>71</v>
      </c>
      <c r="B77" s="93" t="str">
        <f aca="false">IF('CARNET DE SOUDURE'!E77="","",'CARNET DE SOUDURE'!B77&amp;"")</f>
        <v>TFT 716 → TL7-MMFW2</v>
      </c>
      <c r="C77" s="83" t="str">
        <f aca="false">IF('CARNET DE SOUDURE'!E77="","",'CARNET DE SOUDURE'!E77)</f>
        <v>JN°070</v>
      </c>
      <c r="D77" s="78" t="str">
        <f aca="false">IF('CARNET DE SOUDURE'!E77="","",'CARNET DE SOUDURE'!D77&amp;"")</f>
        <v>0.00</v>
      </c>
      <c r="E77" s="96" t="n">
        <f aca="false">IF(OR('CARNET DE SOUDURE'!E77="",'CARNET DE SOUDURE'!R77=""),"",'CARNET DE SOUDURE'!R77)</f>
        <v>45880</v>
      </c>
      <c r="F77" s="81" t="str">
        <f aca="false">IF('CARNET DE SOUDURE'!E77="","",'CARNET DE SOUDURE'!AL77)</f>
        <v>A</v>
      </c>
      <c r="G77" s="81" t="str">
        <f aca="false">IF('CARNET DE SOUDURE'!E77="","",'CARNET DE SOUDURE'!AM77)</f>
        <v>ACCEPTÉ</v>
      </c>
      <c r="H77" s="81" t="str">
        <f aca="false">IF(C77="","",IF(G77="ACCEPTÉ","OUI","NON"))</f>
        <v>OUI</v>
      </c>
      <c r="I77" s="82"/>
      <c r="J77" s="79"/>
      <c r="K77" s="80"/>
      <c r="L77" s="80"/>
      <c r="M77" s="80"/>
      <c r="N77" s="83" t="str">
        <f aca="false">IF(C77="","",IF(I77="",IF(H77="OUI","À ENROBER",IF(G77="À SOUDER","NON SOUDÉ","EN ATTENTE RT")),IF(L77="R","À REPRENDRE",IF(H77&lt;&gt;"OUI","⚠ ENROBÉ AVANT ACCEPTATION RT","ENROBÉ"))))</f>
        <v>À ENROBER</v>
      </c>
      <c r="O77" s="79"/>
    </row>
    <row r="78" customFormat="false" ht="15" hidden="false" customHeight="false" outlineLevel="0" collapsed="false">
      <c r="A78" s="78" t="n">
        <f aca="false">IF('CARNET DE SOUDURE'!E78="","",'CARNET DE SOUDURE'!A78)</f>
        <v>72</v>
      </c>
      <c r="B78" s="93" t="str">
        <f aca="false">IF('CARNET DE SOUDURE'!E78="","",'CARNET DE SOUDURE'!B78&amp;"")</f>
        <v>TFT 716 → TL7-MMFW2</v>
      </c>
      <c r="C78" s="83" t="str">
        <f aca="false">IF('CARNET DE SOUDURE'!E78="","",'CARNET DE SOUDURE'!E78)</f>
        <v>JN°071</v>
      </c>
      <c r="D78" s="78" t="str">
        <f aca="false">IF('CARNET DE SOUDURE'!E78="","",'CARNET DE SOUDURE'!D78&amp;"")</f>
        <v>0.00</v>
      </c>
      <c r="E78" s="96" t="n">
        <f aca="false">IF(OR('CARNET DE SOUDURE'!E78="",'CARNET DE SOUDURE'!R78=""),"",'CARNET DE SOUDURE'!R78)</f>
        <v>45879</v>
      </c>
      <c r="F78" s="81" t="str">
        <f aca="false">IF('CARNET DE SOUDURE'!E78="","",'CARNET DE SOUDURE'!AL78)</f>
        <v>A</v>
      </c>
      <c r="G78" s="81" t="str">
        <f aca="false">IF('CARNET DE SOUDURE'!E78="","",'CARNET DE SOUDURE'!AM78)</f>
        <v>ACCEPTÉ</v>
      </c>
      <c r="H78" s="81" t="str">
        <f aca="false">IF(C78="","",IF(G78="ACCEPTÉ","OUI","NON"))</f>
        <v>OUI</v>
      </c>
      <c r="I78" s="82"/>
      <c r="J78" s="79"/>
      <c r="K78" s="80"/>
      <c r="L78" s="80"/>
      <c r="M78" s="80"/>
      <c r="N78" s="83" t="str">
        <f aca="false">IF(C78="","",IF(I78="",IF(H78="OUI","À ENROBER",IF(G78="À SOUDER","NON SOUDÉ","EN ATTENTE RT")),IF(L78="R","À REPRENDRE",IF(H78&lt;&gt;"OUI","⚠ ENROBÉ AVANT ACCEPTATION RT","ENROBÉ"))))</f>
        <v>À ENROBER</v>
      </c>
      <c r="O78" s="79"/>
    </row>
    <row r="79" customFormat="false" ht="15" hidden="false" customHeight="false" outlineLevel="0" collapsed="false">
      <c r="A79" s="78" t="n">
        <f aca="false">IF('CARNET DE SOUDURE'!E79="","",'CARNET DE SOUDURE'!A79)</f>
        <v>73</v>
      </c>
      <c r="B79" s="93" t="str">
        <f aca="false">IF('CARNET DE SOUDURE'!E79="","",'CARNET DE SOUDURE'!B79&amp;"")</f>
        <v>TFT 716 → TL7-MMFW2</v>
      </c>
      <c r="C79" s="83" t="str">
        <f aca="false">IF('CARNET DE SOUDURE'!E79="","",'CARNET DE SOUDURE'!E79)</f>
        <v>JN°072</v>
      </c>
      <c r="D79" s="78" t="str">
        <f aca="false">IF('CARNET DE SOUDURE'!E79="","",'CARNET DE SOUDURE'!D79&amp;"")</f>
        <v>0.00</v>
      </c>
      <c r="E79" s="96" t="n">
        <f aca="false">IF(OR('CARNET DE SOUDURE'!E79="",'CARNET DE SOUDURE'!R79=""),"",'CARNET DE SOUDURE'!R79)</f>
        <v>45880</v>
      </c>
      <c r="F79" s="81" t="str">
        <f aca="false">IF('CARNET DE SOUDURE'!E79="","",'CARNET DE SOUDURE'!AL79)</f>
        <v>A</v>
      </c>
      <c r="G79" s="81" t="str">
        <f aca="false">IF('CARNET DE SOUDURE'!E79="","",'CARNET DE SOUDURE'!AM79)</f>
        <v>ACCEPTÉ</v>
      </c>
      <c r="H79" s="81" t="str">
        <f aca="false">IF(C79="","",IF(G79="ACCEPTÉ","OUI","NON"))</f>
        <v>OUI</v>
      </c>
      <c r="I79" s="82"/>
      <c r="J79" s="79"/>
      <c r="K79" s="80"/>
      <c r="L79" s="80"/>
      <c r="M79" s="80"/>
      <c r="N79" s="83" t="str">
        <f aca="false">IF(C79="","",IF(I79="",IF(H79="OUI","À ENROBER",IF(G79="À SOUDER","NON SOUDÉ","EN ATTENTE RT")),IF(L79="R","À REPRENDRE",IF(H79&lt;&gt;"OUI","⚠ ENROBÉ AVANT ACCEPTATION RT","ENROBÉ"))))</f>
        <v>À ENROBER</v>
      </c>
      <c r="O79" s="79"/>
    </row>
    <row r="80" customFormat="false" ht="15" hidden="false" customHeight="false" outlineLevel="0" collapsed="false">
      <c r="A80" s="78" t="n">
        <f aca="false">IF('CARNET DE SOUDURE'!E80="","",'CARNET DE SOUDURE'!A80)</f>
        <v>74</v>
      </c>
      <c r="B80" s="93" t="str">
        <f aca="false">IF('CARNET DE SOUDURE'!E80="","",'CARNET DE SOUDURE'!B80&amp;"")</f>
        <v>TFT 716 → TL7-MMFW2</v>
      </c>
      <c r="C80" s="83" t="str">
        <f aca="false">IF('CARNET DE SOUDURE'!E80="","",'CARNET DE SOUDURE'!E80)</f>
        <v>JN°073</v>
      </c>
      <c r="D80" s="78" t="str">
        <f aca="false">IF('CARNET DE SOUDURE'!E80="","",'CARNET DE SOUDURE'!D80&amp;"")</f>
        <v>0.00</v>
      </c>
      <c r="E80" s="96" t="n">
        <f aca="false">IF(OR('CARNET DE SOUDURE'!E80="",'CARNET DE SOUDURE'!R80=""),"",'CARNET DE SOUDURE'!R80)</f>
        <v>45879</v>
      </c>
      <c r="F80" s="81" t="str">
        <f aca="false">IF('CARNET DE SOUDURE'!E80="","",'CARNET DE SOUDURE'!AL80)</f>
        <v>A</v>
      </c>
      <c r="G80" s="81" t="str">
        <f aca="false">IF('CARNET DE SOUDURE'!E80="","",'CARNET DE SOUDURE'!AM80)</f>
        <v>ACCEPTÉ</v>
      </c>
      <c r="H80" s="81" t="str">
        <f aca="false">IF(C80="","",IF(G80="ACCEPTÉ","OUI","NON"))</f>
        <v>OUI</v>
      </c>
      <c r="I80" s="82"/>
      <c r="J80" s="79"/>
      <c r="K80" s="80"/>
      <c r="L80" s="80"/>
      <c r="M80" s="80"/>
      <c r="N80" s="83" t="str">
        <f aca="false">IF(C80="","",IF(I80="",IF(H80="OUI","À ENROBER",IF(G80="À SOUDER","NON SOUDÉ","EN ATTENTE RT")),IF(L80="R","À REPRENDRE",IF(H80&lt;&gt;"OUI","⚠ ENROBÉ AVANT ACCEPTATION RT","ENROBÉ"))))</f>
        <v>À ENROBER</v>
      </c>
      <c r="O80" s="79"/>
    </row>
    <row r="81" customFormat="false" ht="15" hidden="false" customHeight="false" outlineLevel="0" collapsed="false">
      <c r="A81" s="78" t="n">
        <f aca="false">IF('CARNET DE SOUDURE'!E81="","",'CARNET DE SOUDURE'!A81)</f>
        <v>75</v>
      </c>
      <c r="B81" s="93" t="str">
        <f aca="false">IF('CARNET DE SOUDURE'!E81="","",'CARNET DE SOUDURE'!B81&amp;"")</f>
        <v>TFT 716 → TL7-MMFW2</v>
      </c>
      <c r="C81" s="83" t="str">
        <f aca="false">IF('CARNET DE SOUDURE'!E81="","",'CARNET DE SOUDURE'!E81)</f>
        <v>JN°074</v>
      </c>
      <c r="D81" s="78" t="str">
        <f aca="false">IF('CARNET DE SOUDURE'!E81="","",'CARNET DE SOUDURE'!D81&amp;"")</f>
        <v>0.00</v>
      </c>
      <c r="E81" s="96" t="n">
        <f aca="false">IF(OR('CARNET DE SOUDURE'!E81="",'CARNET DE SOUDURE'!R81=""),"",'CARNET DE SOUDURE'!R81)</f>
        <v>45880</v>
      </c>
      <c r="F81" s="81" t="str">
        <f aca="false">IF('CARNET DE SOUDURE'!E81="","",'CARNET DE SOUDURE'!AL81)</f>
        <v>A</v>
      </c>
      <c r="G81" s="81" t="str">
        <f aca="false">IF('CARNET DE SOUDURE'!E81="","",'CARNET DE SOUDURE'!AM81)</f>
        <v>ACCEPTÉ</v>
      </c>
      <c r="H81" s="81" t="str">
        <f aca="false">IF(C81="","",IF(G81="ACCEPTÉ","OUI","NON"))</f>
        <v>OUI</v>
      </c>
      <c r="I81" s="82"/>
      <c r="J81" s="79"/>
      <c r="K81" s="80"/>
      <c r="L81" s="80"/>
      <c r="M81" s="80"/>
      <c r="N81" s="83" t="str">
        <f aca="false">IF(C81="","",IF(I81="",IF(H81="OUI","À ENROBER",IF(G81="À SOUDER","NON SOUDÉ","EN ATTENTE RT")),IF(L81="R","À REPRENDRE",IF(H81&lt;&gt;"OUI","⚠ ENROBÉ AVANT ACCEPTATION RT","ENROBÉ"))))</f>
        <v>À ENROBER</v>
      </c>
      <c r="O81" s="79"/>
    </row>
    <row r="82" customFormat="false" ht="15" hidden="false" customHeight="false" outlineLevel="0" collapsed="false">
      <c r="A82" s="78" t="n">
        <f aca="false">IF('CARNET DE SOUDURE'!E82="","",'CARNET DE SOUDURE'!A82)</f>
        <v>76</v>
      </c>
      <c r="B82" s="93" t="str">
        <f aca="false">IF('CARNET DE SOUDURE'!E82="","",'CARNET DE SOUDURE'!B82&amp;"")</f>
        <v>TFT 716 → TL7-MMFW2</v>
      </c>
      <c r="C82" s="83" t="str">
        <f aca="false">IF('CARNET DE SOUDURE'!E82="","",'CARNET DE SOUDURE'!E82)</f>
        <v>JN°075</v>
      </c>
      <c r="D82" s="78" t="str">
        <f aca="false">IF('CARNET DE SOUDURE'!E82="","",'CARNET DE SOUDURE'!D82&amp;"")</f>
        <v>0.00</v>
      </c>
      <c r="E82" s="96" t="n">
        <f aca="false">IF(OR('CARNET DE SOUDURE'!E82="",'CARNET DE SOUDURE'!R82=""),"",'CARNET DE SOUDURE'!R82)</f>
        <v>45881</v>
      </c>
      <c r="F82" s="81" t="str">
        <f aca="false">IF('CARNET DE SOUDURE'!E82="","",'CARNET DE SOUDURE'!AL82)</f>
        <v>A</v>
      </c>
      <c r="G82" s="81" t="str">
        <f aca="false">IF('CARNET DE SOUDURE'!E82="","",'CARNET DE SOUDURE'!AM82)</f>
        <v>ACCEPTÉ</v>
      </c>
      <c r="H82" s="81" t="str">
        <f aca="false">IF(C82="","",IF(G82="ACCEPTÉ","OUI","NON"))</f>
        <v>OUI</v>
      </c>
      <c r="I82" s="82"/>
      <c r="J82" s="79"/>
      <c r="K82" s="80"/>
      <c r="L82" s="80"/>
      <c r="M82" s="80"/>
      <c r="N82" s="83" t="str">
        <f aca="false">IF(C82="","",IF(I82="",IF(H82="OUI","À ENROBER",IF(G82="À SOUDER","NON SOUDÉ","EN ATTENTE RT")),IF(L82="R","À REPRENDRE",IF(H82&lt;&gt;"OUI","⚠ ENROBÉ AVANT ACCEPTATION RT","ENROBÉ"))))</f>
        <v>À ENROBER</v>
      </c>
      <c r="O82" s="79"/>
    </row>
    <row r="83" customFormat="false" ht="15" hidden="false" customHeight="false" outlineLevel="0" collapsed="false">
      <c r="A83" s="78" t="n">
        <f aca="false">IF('CARNET DE SOUDURE'!E83="","",'CARNET DE SOUDURE'!A83)</f>
        <v>77</v>
      </c>
      <c r="B83" s="93" t="str">
        <f aca="false">IF('CARNET DE SOUDURE'!E83="","",'CARNET DE SOUDURE'!B83&amp;"")</f>
        <v>TFT 716 → TL7-MMFW2</v>
      </c>
      <c r="C83" s="83" t="str">
        <f aca="false">IF('CARNET DE SOUDURE'!E83="","",'CARNET DE SOUDURE'!E83)</f>
        <v>JN°076</v>
      </c>
      <c r="D83" s="78" t="str">
        <f aca="false">IF('CARNET DE SOUDURE'!E83="","",'CARNET DE SOUDURE'!D83&amp;"")</f>
        <v>0.00</v>
      </c>
      <c r="E83" s="96" t="n">
        <f aca="false">IF(OR('CARNET DE SOUDURE'!E83="",'CARNET DE SOUDURE'!R83=""),"",'CARNET DE SOUDURE'!R83)</f>
        <v>45881</v>
      </c>
      <c r="F83" s="81" t="str">
        <f aca="false">IF('CARNET DE SOUDURE'!E83="","",'CARNET DE SOUDURE'!AL83)</f>
        <v>A</v>
      </c>
      <c r="G83" s="81" t="str">
        <f aca="false">IF('CARNET DE SOUDURE'!E83="","",'CARNET DE SOUDURE'!AM83)</f>
        <v>ACCEPTÉ</v>
      </c>
      <c r="H83" s="81" t="str">
        <f aca="false">IF(C83="","",IF(G83="ACCEPTÉ","OUI","NON"))</f>
        <v>OUI</v>
      </c>
      <c r="I83" s="82"/>
      <c r="J83" s="79"/>
      <c r="K83" s="80"/>
      <c r="L83" s="80"/>
      <c r="M83" s="80"/>
      <c r="N83" s="83" t="str">
        <f aca="false">IF(C83="","",IF(I83="",IF(H83="OUI","À ENROBER",IF(G83="À SOUDER","NON SOUDÉ","EN ATTENTE RT")),IF(L83="R","À REPRENDRE",IF(H83&lt;&gt;"OUI","⚠ ENROBÉ AVANT ACCEPTATION RT","ENROBÉ"))))</f>
        <v>À ENROBER</v>
      </c>
      <c r="O83" s="79"/>
    </row>
    <row r="84" customFormat="false" ht="15" hidden="false" customHeight="false" outlineLevel="0" collapsed="false">
      <c r="A84" s="78" t="n">
        <f aca="false">IF('CARNET DE SOUDURE'!E84="","",'CARNET DE SOUDURE'!A84)</f>
        <v>78</v>
      </c>
      <c r="B84" s="93" t="str">
        <f aca="false">IF('CARNET DE SOUDURE'!E84="","",'CARNET DE SOUDURE'!B84&amp;"")</f>
        <v>TFT 716 → TL7-MMFW2</v>
      </c>
      <c r="C84" s="83" t="str">
        <f aca="false">IF('CARNET DE SOUDURE'!E84="","",'CARNET DE SOUDURE'!E84)</f>
        <v>JN°077</v>
      </c>
      <c r="D84" s="78" t="str">
        <f aca="false">IF('CARNET DE SOUDURE'!E84="","",'CARNET DE SOUDURE'!D84&amp;"")</f>
        <v>0.00</v>
      </c>
      <c r="E84" s="96" t="n">
        <f aca="false">IF(OR('CARNET DE SOUDURE'!E84="",'CARNET DE SOUDURE'!R84=""),"",'CARNET DE SOUDURE'!R84)</f>
        <v>45881</v>
      </c>
      <c r="F84" s="81" t="str">
        <f aca="false">IF('CARNET DE SOUDURE'!E84="","",'CARNET DE SOUDURE'!AL84)</f>
        <v>A</v>
      </c>
      <c r="G84" s="81" t="str">
        <f aca="false">IF('CARNET DE SOUDURE'!E84="","",'CARNET DE SOUDURE'!AM84)</f>
        <v>ACCEPTÉ</v>
      </c>
      <c r="H84" s="81" t="str">
        <f aca="false">IF(C84="","",IF(G84="ACCEPTÉ","OUI","NON"))</f>
        <v>OUI</v>
      </c>
      <c r="I84" s="82"/>
      <c r="J84" s="79"/>
      <c r="K84" s="80"/>
      <c r="L84" s="80"/>
      <c r="M84" s="80"/>
      <c r="N84" s="83" t="str">
        <f aca="false">IF(C84="","",IF(I84="",IF(H84="OUI","À ENROBER",IF(G84="À SOUDER","NON SOUDÉ","EN ATTENTE RT")),IF(L84="R","À REPRENDRE",IF(H84&lt;&gt;"OUI","⚠ ENROBÉ AVANT ACCEPTATION RT","ENROBÉ"))))</f>
        <v>À ENROBER</v>
      </c>
      <c r="O84" s="79"/>
    </row>
    <row r="85" customFormat="false" ht="15" hidden="false" customHeight="false" outlineLevel="0" collapsed="false">
      <c r="A85" s="78" t="n">
        <f aca="false">IF('CARNET DE SOUDURE'!E85="","",'CARNET DE SOUDURE'!A85)</f>
        <v>79</v>
      </c>
      <c r="B85" s="93" t="str">
        <f aca="false">IF('CARNET DE SOUDURE'!E85="","",'CARNET DE SOUDURE'!B85&amp;"")</f>
        <v>TFT 716 → TL7-MMFW2</v>
      </c>
      <c r="C85" s="83" t="str">
        <f aca="false">IF('CARNET DE SOUDURE'!E85="","",'CARNET DE SOUDURE'!E85)</f>
        <v>JN°078</v>
      </c>
      <c r="D85" s="78" t="str">
        <f aca="false">IF('CARNET DE SOUDURE'!E85="","",'CARNET DE SOUDURE'!D85&amp;"")</f>
        <v>0.00</v>
      </c>
      <c r="E85" s="96" t="n">
        <f aca="false">IF(OR('CARNET DE SOUDURE'!E85="",'CARNET DE SOUDURE'!R85=""),"",'CARNET DE SOUDURE'!R85)</f>
        <v>45881</v>
      </c>
      <c r="F85" s="81" t="str">
        <f aca="false">IF('CARNET DE SOUDURE'!E85="","",'CARNET DE SOUDURE'!AL85)</f>
        <v>A</v>
      </c>
      <c r="G85" s="81" t="str">
        <f aca="false">IF('CARNET DE SOUDURE'!E85="","",'CARNET DE SOUDURE'!AM85)</f>
        <v>ACCEPTÉ</v>
      </c>
      <c r="H85" s="81" t="str">
        <f aca="false">IF(C85="","",IF(G85="ACCEPTÉ","OUI","NON"))</f>
        <v>OUI</v>
      </c>
      <c r="I85" s="82"/>
      <c r="J85" s="79"/>
      <c r="K85" s="80"/>
      <c r="L85" s="80"/>
      <c r="M85" s="80"/>
      <c r="N85" s="83" t="str">
        <f aca="false">IF(C85="","",IF(I85="",IF(H85="OUI","À ENROBER",IF(G85="À SOUDER","NON SOUDÉ","EN ATTENTE RT")),IF(L85="R","À REPRENDRE",IF(H85&lt;&gt;"OUI","⚠ ENROBÉ AVANT ACCEPTATION RT","ENROBÉ"))))</f>
        <v>À ENROBER</v>
      </c>
      <c r="O85" s="79"/>
    </row>
    <row r="86" customFormat="false" ht="15" hidden="false" customHeight="false" outlineLevel="0" collapsed="false">
      <c r="A86" s="78" t="n">
        <f aca="false">IF('CARNET DE SOUDURE'!E86="","",'CARNET DE SOUDURE'!A86)</f>
        <v>80</v>
      </c>
      <c r="B86" s="93" t="str">
        <f aca="false">IF('CARNET DE SOUDURE'!E86="","",'CARNET DE SOUDURE'!B86&amp;"")</f>
        <v>TFT 716 → TL7-MMFW2</v>
      </c>
      <c r="C86" s="83" t="str">
        <f aca="false">IF('CARNET DE SOUDURE'!E86="","",'CARNET DE SOUDURE'!E86)</f>
        <v>JN°079</v>
      </c>
      <c r="D86" s="78" t="str">
        <f aca="false">IF('CARNET DE SOUDURE'!E86="","",'CARNET DE SOUDURE'!D86&amp;"")</f>
        <v>0.00</v>
      </c>
      <c r="E86" s="96" t="n">
        <f aca="false">IF(OR('CARNET DE SOUDURE'!E86="",'CARNET DE SOUDURE'!R86=""),"",'CARNET DE SOUDURE'!R86)</f>
        <v>45881</v>
      </c>
      <c r="F86" s="81" t="str">
        <f aca="false">IF('CARNET DE SOUDURE'!E86="","",'CARNET DE SOUDURE'!AL86)</f>
        <v>A</v>
      </c>
      <c r="G86" s="81" t="str">
        <f aca="false">IF('CARNET DE SOUDURE'!E86="","",'CARNET DE SOUDURE'!AM86)</f>
        <v>ACCEPTÉ</v>
      </c>
      <c r="H86" s="81" t="str">
        <f aca="false">IF(C86="","",IF(G86="ACCEPTÉ","OUI","NON"))</f>
        <v>OUI</v>
      </c>
      <c r="I86" s="82"/>
      <c r="J86" s="79"/>
      <c r="K86" s="80"/>
      <c r="L86" s="80"/>
      <c r="M86" s="80"/>
      <c r="N86" s="83" t="str">
        <f aca="false">IF(C86="","",IF(I86="",IF(H86="OUI","À ENROBER",IF(G86="À SOUDER","NON SOUDÉ","EN ATTENTE RT")),IF(L86="R","À REPRENDRE",IF(H86&lt;&gt;"OUI","⚠ ENROBÉ AVANT ACCEPTATION RT","ENROBÉ"))))</f>
        <v>À ENROBER</v>
      </c>
      <c r="O86" s="79"/>
    </row>
    <row r="87" customFormat="false" ht="15" hidden="false" customHeight="false" outlineLevel="0" collapsed="false">
      <c r="A87" s="78" t="n">
        <f aca="false">IF('CARNET DE SOUDURE'!E87="","",'CARNET DE SOUDURE'!A87)</f>
        <v>81</v>
      </c>
      <c r="B87" s="93" t="str">
        <f aca="false">IF('CARNET DE SOUDURE'!E87="","",'CARNET DE SOUDURE'!B87&amp;"")</f>
        <v>TFT 716 → TL7-MMFW2</v>
      </c>
      <c r="C87" s="83" t="str">
        <f aca="false">IF('CARNET DE SOUDURE'!E87="","",'CARNET DE SOUDURE'!E87)</f>
        <v>JN°080</v>
      </c>
      <c r="D87" s="78" t="str">
        <f aca="false">IF('CARNET DE SOUDURE'!E87="","",'CARNET DE SOUDURE'!D87&amp;"")</f>
        <v>0.00</v>
      </c>
      <c r="E87" s="96" t="n">
        <f aca="false">IF(OR('CARNET DE SOUDURE'!E87="",'CARNET DE SOUDURE'!R87=""),"",'CARNET DE SOUDURE'!R87)</f>
        <v>45881</v>
      </c>
      <c r="F87" s="81" t="str">
        <f aca="false">IF('CARNET DE SOUDURE'!E87="","",'CARNET DE SOUDURE'!AL87)</f>
        <v>A</v>
      </c>
      <c r="G87" s="81" t="str">
        <f aca="false">IF('CARNET DE SOUDURE'!E87="","",'CARNET DE SOUDURE'!AM87)</f>
        <v>ACCEPTÉ</v>
      </c>
      <c r="H87" s="81" t="str">
        <f aca="false">IF(C87="","",IF(G87="ACCEPTÉ","OUI","NON"))</f>
        <v>OUI</v>
      </c>
      <c r="I87" s="82"/>
      <c r="J87" s="79"/>
      <c r="K87" s="80"/>
      <c r="L87" s="80"/>
      <c r="M87" s="80"/>
      <c r="N87" s="83" t="str">
        <f aca="false">IF(C87="","",IF(I87="",IF(H87="OUI","À ENROBER",IF(G87="À SOUDER","NON SOUDÉ","EN ATTENTE RT")),IF(L87="R","À REPRENDRE",IF(H87&lt;&gt;"OUI","⚠ ENROBÉ AVANT ACCEPTATION RT","ENROBÉ"))))</f>
        <v>À ENROBER</v>
      </c>
      <c r="O87" s="79"/>
    </row>
    <row r="88" customFormat="false" ht="15" hidden="false" customHeight="false" outlineLevel="0" collapsed="false">
      <c r="A88" s="78" t="n">
        <f aca="false">IF('CARNET DE SOUDURE'!E88="","",'CARNET DE SOUDURE'!A88)</f>
        <v>82</v>
      </c>
      <c r="B88" s="93" t="str">
        <f aca="false">IF('CARNET DE SOUDURE'!E88="","",'CARNET DE SOUDURE'!B88&amp;"")</f>
        <v>TFT 716 → TL7-MMFW2</v>
      </c>
      <c r="C88" s="83" t="str">
        <f aca="false">IF('CARNET DE SOUDURE'!E88="","",'CARNET DE SOUDURE'!E88)</f>
        <v>JN°081</v>
      </c>
      <c r="D88" s="78" t="str">
        <f aca="false">IF('CARNET DE SOUDURE'!E88="","",'CARNET DE SOUDURE'!D88&amp;"")</f>
        <v>0.00</v>
      </c>
      <c r="E88" s="96" t="n">
        <f aca="false">IF(OR('CARNET DE SOUDURE'!E88="",'CARNET DE SOUDURE'!R88=""),"",'CARNET DE SOUDURE'!R88)</f>
        <v>45881</v>
      </c>
      <c r="F88" s="81" t="str">
        <f aca="false">IF('CARNET DE SOUDURE'!E88="","",'CARNET DE SOUDURE'!AL88)</f>
        <v>A</v>
      </c>
      <c r="G88" s="81" t="str">
        <f aca="false">IF('CARNET DE SOUDURE'!E88="","",'CARNET DE SOUDURE'!AM88)</f>
        <v>ACCEPTÉ</v>
      </c>
      <c r="H88" s="81" t="str">
        <f aca="false">IF(C88="","",IF(G88="ACCEPTÉ","OUI","NON"))</f>
        <v>OUI</v>
      </c>
      <c r="I88" s="82"/>
      <c r="J88" s="79"/>
      <c r="K88" s="80"/>
      <c r="L88" s="80"/>
      <c r="M88" s="80"/>
      <c r="N88" s="83" t="str">
        <f aca="false">IF(C88="","",IF(I88="",IF(H88="OUI","À ENROBER",IF(G88="À SOUDER","NON SOUDÉ","EN ATTENTE RT")),IF(L88="R","À REPRENDRE",IF(H88&lt;&gt;"OUI","⚠ ENROBÉ AVANT ACCEPTATION RT","ENROBÉ"))))</f>
        <v>À ENROBER</v>
      </c>
      <c r="O88" s="79"/>
    </row>
    <row r="89" customFormat="false" ht="15" hidden="false" customHeight="false" outlineLevel="0" collapsed="false">
      <c r="A89" s="78" t="n">
        <f aca="false">IF('CARNET DE SOUDURE'!E89="","",'CARNET DE SOUDURE'!A89)</f>
        <v>83</v>
      </c>
      <c r="B89" s="93" t="str">
        <f aca="false">IF('CARNET DE SOUDURE'!E89="","",'CARNET DE SOUDURE'!B89&amp;"")</f>
        <v>TFT 716 → TL7-MMFW2</v>
      </c>
      <c r="C89" s="83" t="str">
        <f aca="false">IF('CARNET DE SOUDURE'!E89="","",'CARNET DE SOUDURE'!E89)</f>
        <v>JN°082</v>
      </c>
      <c r="D89" s="78" t="str">
        <f aca="false">IF('CARNET DE SOUDURE'!E89="","",'CARNET DE SOUDURE'!D89&amp;"")</f>
        <v>0.00</v>
      </c>
      <c r="E89" s="96" t="n">
        <f aca="false">IF(OR('CARNET DE SOUDURE'!E89="",'CARNET DE SOUDURE'!R89=""),"",'CARNET DE SOUDURE'!R89)</f>
        <v>45881</v>
      </c>
      <c r="F89" s="81" t="str">
        <f aca="false">IF('CARNET DE SOUDURE'!E89="","",'CARNET DE SOUDURE'!AL89)</f>
        <v>A</v>
      </c>
      <c r="G89" s="81" t="str">
        <f aca="false">IF('CARNET DE SOUDURE'!E89="","",'CARNET DE SOUDURE'!AM89)</f>
        <v>ACCEPTÉ</v>
      </c>
      <c r="H89" s="81" t="str">
        <f aca="false">IF(C89="","",IF(G89="ACCEPTÉ","OUI","NON"))</f>
        <v>OUI</v>
      </c>
      <c r="I89" s="82"/>
      <c r="J89" s="79"/>
      <c r="K89" s="80"/>
      <c r="L89" s="80"/>
      <c r="M89" s="80"/>
      <c r="N89" s="83" t="str">
        <f aca="false">IF(C89="","",IF(I89="",IF(H89="OUI","À ENROBER",IF(G89="À SOUDER","NON SOUDÉ","EN ATTENTE RT")),IF(L89="R","À REPRENDRE",IF(H89&lt;&gt;"OUI","⚠ ENROBÉ AVANT ACCEPTATION RT","ENROBÉ"))))</f>
        <v>À ENROBER</v>
      </c>
      <c r="O89" s="79"/>
    </row>
    <row r="90" customFormat="false" ht="15" hidden="false" customHeight="false" outlineLevel="0" collapsed="false">
      <c r="A90" s="78" t="n">
        <f aca="false">IF('CARNET DE SOUDURE'!E90="","",'CARNET DE SOUDURE'!A90)</f>
        <v>84</v>
      </c>
      <c r="B90" s="93" t="str">
        <f aca="false">IF('CARNET DE SOUDURE'!E90="","",'CARNET DE SOUDURE'!B90&amp;"")</f>
        <v>TFT 716 → TL7-MMFW2</v>
      </c>
      <c r="C90" s="83" t="str">
        <f aca="false">IF('CARNET DE SOUDURE'!E90="","",'CARNET DE SOUDURE'!E90)</f>
        <v>JN°083</v>
      </c>
      <c r="D90" s="78" t="str">
        <f aca="false">IF('CARNET DE SOUDURE'!E90="","",'CARNET DE SOUDURE'!D90&amp;"")</f>
        <v>0.00</v>
      </c>
      <c r="E90" s="96" t="n">
        <f aca="false">IF(OR('CARNET DE SOUDURE'!E90="",'CARNET DE SOUDURE'!R90=""),"",'CARNET DE SOUDURE'!R90)</f>
        <v>45881</v>
      </c>
      <c r="F90" s="81" t="str">
        <f aca="false">IF('CARNET DE SOUDURE'!E90="","",'CARNET DE SOUDURE'!AL90)</f>
        <v>A</v>
      </c>
      <c r="G90" s="81" t="str">
        <f aca="false">IF('CARNET DE SOUDURE'!E90="","",'CARNET DE SOUDURE'!AM90)</f>
        <v>ACCEPTÉ</v>
      </c>
      <c r="H90" s="81" t="str">
        <f aca="false">IF(C90="","",IF(G90="ACCEPTÉ","OUI","NON"))</f>
        <v>OUI</v>
      </c>
      <c r="I90" s="82"/>
      <c r="J90" s="79"/>
      <c r="K90" s="80"/>
      <c r="L90" s="80"/>
      <c r="M90" s="80"/>
      <c r="N90" s="83" t="str">
        <f aca="false">IF(C90="","",IF(I90="",IF(H90="OUI","À ENROBER",IF(G90="À SOUDER","NON SOUDÉ","EN ATTENTE RT")),IF(L90="R","À REPRENDRE",IF(H90&lt;&gt;"OUI","⚠ ENROBÉ AVANT ACCEPTATION RT","ENROBÉ"))))</f>
        <v>À ENROBER</v>
      </c>
      <c r="O90" s="79"/>
    </row>
    <row r="91" customFormat="false" ht="15" hidden="false" customHeight="false" outlineLevel="0" collapsed="false">
      <c r="A91" s="78" t="n">
        <f aca="false">IF('CARNET DE SOUDURE'!E91="","",'CARNET DE SOUDURE'!A91)</f>
        <v>85</v>
      </c>
      <c r="B91" s="93" t="str">
        <f aca="false">IF('CARNET DE SOUDURE'!E91="","",'CARNET DE SOUDURE'!B91&amp;"")</f>
        <v>TFT 716 → TL7-MMFW2</v>
      </c>
      <c r="C91" s="83" t="str">
        <f aca="false">IF('CARNET DE SOUDURE'!E91="","",'CARNET DE SOUDURE'!E91)</f>
        <v>JN°084</v>
      </c>
      <c r="D91" s="78" t="str">
        <f aca="false">IF('CARNET DE SOUDURE'!E91="","",'CARNET DE SOUDURE'!D91&amp;"")</f>
        <v>0.00</v>
      </c>
      <c r="E91" s="96" t="n">
        <f aca="false">IF(OR('CARNET DE SOUDURE'!E91="",'CARNET DE SOUDURE'!R91=""),"",'CARNET DE SOUDURE'!R91)</f>
        <v>45881</v>
      </c>
      <c r="F91" s="81" t="str">
        <f aca="false">IF('CARNET DE SOUDURE'!E91="","",'CARNET DE SOUDURE'!AL91)</f>
        <v>A</v>
      </c>
      <c r="G91" s="81" t="str">
        <f aca="false">IF('CARNET DE SOUDURE'!E91="","",'CARNET DE SOUDURE'!AM91)</f>
        <v>ACCEPTÉ</v>
      </c>
      <c r="H91" s="81" t="str">
        <f aca="false">IF(C91="","",IF(G91="ACCEPTÉ","OUI","NON"))</f>
        <v>OUI</v>
      </c>
      <c r="I91" s="82"/>
      <c r="J91" s="79"/>
      <c r="K91" s="80"/>
      <c r="L91" s="80"/>
      <c r="M91" s="80"/>
      <c r="N91" s="83" t="str">
        <f aca="false">IF(C91="","",IF(I91="",IF(H91="OUI","À ENROBER",IF(G91="À SOUDER","NON SOUDÉ","EN ATTENTE RT")),IF(L91="R","À REPRENDRE",IF(H91&lt;&gt;"OUI","⚠ ENROBÉ AVANT ACCEPTATION RT","ENROBÉ"))))</f>
        <v>À ENROBER</v>
      </c>
      <c r="O91" s="79"/>
    </row>
    <row r="92" customFormat="false" ht="15" hidden="false" customHeight="false" outlineLevel="0" collapsed="false">
      <c r="A92" s="78" t="n">
        <f aca="false">IF('CARNET DE SOUDURE'!E92="","",'CARNET DE SOUDURE'!A92)</f>
        <v>86</v>
      </c>
      <c r="B92" s="93" t="str">
        <f aca="false">IF('CARNET DE SOUDURE'!E92="","",'CARNET DE SOUDURE'!B92&amp;"")</f>
        <v>TFT 716 → TL7-MMFW2</v>
      </c>
      <c r="C92" s="83" t="str">
        <f aca="false">IF('CARNET DE SOUDURE'!E92="","",'CARNET DE SOUDURE'!E92)</f>
        <v>JN°085</v>
      </c>
      <c r="D92" s="78" t="str">
        <f aca="false">IF('CARNET DE SOUDURE'!E92="","",'CARNET DE SOUDURE'!D92&amp;"")</f>
        <v>0.00</v>
      </c>
      <c r="E92" s="96" t="n">
        <f aca="false">IF(OR('CARNET DE SOUDURE'!E92="",'CARNET DE SOUDURE'!R92=""),"",'CARNET DE SOUDURE'!R92)</f>
        <v>45881</v>
      </c>
      <c r="F92" s="81" t="str">
        <f aca="false">IF('CARNET DE SOUDURE'!E92="","",'CARNET DE SOUDURE'!AL92)</f>
        <v>A</v>
      </c>
      <c r="G92" s="81" t="str">
        <f aca="false">IF('CARNET DE SOUDURE'!E92="","",'CARNET DE SOUDURE'!AM92)</f>
        <v>ACCEPTÉ</v>
      </c>
      <c r="H92" s="81" t="str">
        <f aca="false">IF(C92="","",IF(G92="ACCEPTÉ","OUI","NON"))</f>
        <v>OUI</v>
      </c>
      <c r="I92" s="82"/>
      <c r="J92" s="79"/>
      <c r="K92" s="80"/>
      <c r="L92" s="80"/>
      <c r="M92" s="80"/>
      <c r="N92" s="83" t="str">
        <f aca="false">IF(C92="","",IF(I92="",IF(H92="OUI","À ENROBER",IF(G92="À SOUDER","NON SOUDÉ","EN ATTENTE RT")),IF(L92="R","À REPRENDRE",IF(H92&lt;&gt;"OUI","⚠ ENROBÉ AVANT ACCEPTATION RT","ENROBÉ"))))</f>
        <v>À ENROBER</v>
      </c>
      <c r="O92" s="79"/>
    </row>
    <row r="93" customFormat="false" ht="15" hidden="false" customHeight="false" outlineLevel="0" collapsed="false">
      <c r="A93" s="78" t="n">
        <f aca="false">IF('CARNET DE SOUDURE'!E93="","",'CARNET DE SOUDURE'!A93)</f>
        <v>87</v>
      </c>
      <c r="B93" s="93" t="str">
        <f aca="false">IF('CARNET DE SOUDURE'!E93="","",'CARNET DE SOUDURE'!B93&amp;"")</f>
        <v>TFT 716 → TL7-MMFW2</v>
      </c>
      <c r="C93" s="83" t="str">
        <f aca="false">IF('CARNET DE SOUDURE'!E93="","",'CARNET DE SOUDURE'!E93)</f>
        <v>JN°086</v>
      </c>
      <c r="D93" s="78" t="str">
        <f aca="false">IF('CARNET DE SOUDURE'!E93="","",'CARNET DE SOUDURE'!D93&amp;"")</f>
        <v>0.00</v>
      </c>
      <c r="E93" s="96" t="n">
        <f aca="false">IF(OR('CARNET DE SOUDURE'!E93="",'CARNET DE SOUDURE'!R93=""),"",'CARNET DE SOUDURE'!R93)</f>
        <v>45882</v>
      </c>
      <c r="F93" s="81" t="str">
        <f aca="false">IF('CARNET DE SOUDURE'!E93="","",'CARNET DE SOUDURE'!AL93)</f>
        <v>A</v>
      </c>
      <c r="G93" s="81" t="str">
        <f aca="false">IF('CARNET DE SOUDURE'!E93="","",'CARNET DE SOUDURE'!AM93)</f>
        <v>ACCEPTÉ</v>
      </c>
      <c r="H93" s="81" t="str">
        <f aca="false">IF(C93="","",IF(G93="ACCEPTÉ","OUI","NON"))</f>
        <v>OUI</v>
      </c>
      <c r="I93" s="82"/>
      <c r="J93" s="79"/>
      <c r="K93" s="80"/>
      <c r="L93" s="80"/>
      <c r="M93" s="80"/>
      <c r="N93" s="83" t="str">
        <f aca="false">IF(C93="","",IF(I93="",IF(H93="OUI","À ENROBER",IF(G93="À SOUDER","NON SOUDÉ","EN ATTENTE RT")),IF(L93="R","À REPRENDRE",IF(H93&lt;&gt;"OUI","⚠ ENROBÉ AVANT ACCEPTATION RT","ENROBÉ"))))</f>
        <v>À ENROBER</v>
      </c>
      <c r="O93" s="79"/>
    </row>
    <row r="94" customFormat="false" ht="15" hidden="false" customHeight="false" outlineLevel="0" collapsed="false">
      <c r="A94" s="78" t="n">
        <f aca="false">IF('CARNET DE SOUDURE'!E94="","",'CARNET DE SOUDURE'!A94)</f>
        <v>88</v>
      </c>
      <c r="B94" s="93" t="str">
        <f aca="false">IF('CARNET DE SOUDURE'!E94="","",'CARNET DE SOUDURE'!B94&amp;"")</f>
        <v>TFT 716 → TL7-MMFW2</v>
      </c>
      <c r="C94" s="83" t="str">
        <f aca="false">IF('CARNET DE SOUDURE'!E94="","",'CARNET DE SOUDURE'!E94)</f>
        <v>JN°087</v>
      </c>
      <c r="D94" s="78" t="str">
        <f aca="false">IF('CARNET DE SOUDURE'!E94="","",'CARNET DE SOUDURE'!D94&amp;"")</f>
        <v>0.00</v>
      </c>
      <c r="E94" s="96" t="n">
        <f aca="false">IF(OR('CARNET DE SOUDURE'!E94="",'CARNET DE SOUDURE'!R94=""),"",'CARNET DE SOUDURE'!R94)</f>
        <v>45882</v>
      </c>
      <c r="F94" s="81" t="str">
        <f aca="false">IF('CARNET DE SOUDURE'!E94="","",'CARNET DE SOUDURE'!AL94)</f>
        <v>A</v>
      </c>
      <c r="G94" s="81" t="str">
        <f aca="false">IF('CARNET DE SOUDURE'!E94="","",'CARNET DE SOUDURE'!AM94)</f>
        <v>ACCEPTÉ</v>
      </c>
      <c r="H94" s="81" t="str">
        <f aca="false">IF(C94="","",IF(G94="ACCEPTÉ","OUI","NON"))</f>
        <v>OUI</v>
      </c>
      <c r="I94" s="82"/>
      <c r="J94" s="79"/>
      <c r="K94" s="80"/>
      <c r="L94" s="80"/>
      <c r="M94" s="80"/>
      <c r="N94" s="83" t="str">
        <f aca="false">IF(C94="","",IF(I94="",IF(H94="OUI","À ENROBER",IF(G94="À SOUDER","NON SOUDÉ","EN ATTENTE RT")),IF(L94="R","À REPRENDRE",IF(H94&lt;&gt;"OUI","⚠ ENROBÉ AVANT ACCEPTATION RT","ENROBÉ"))))</f>
        <v>À ENROBER</v>
      </c>
      <c r="O94" s="79"/>
    </row>
    <row r="95" customFormat="false" ht="15" hidden="false" customHeight="false" outlineLevel="0" collapsed="false">
      <c r="A95" s="78" t="n">
        <f aca="false">IF('CARNET DE SOUDURE'!E95="","",'CARNET DE SOUDURE'!A95)</f>
        <v>89</v>
      </c>
      <c r="B95" s="93" t="str">
        <f aca="false">IF('CARNET DE SOUDURE'!E95="","",'CARNET DE SOUDURE'!B95&amp;"")</f>
        <v>TFT 716 → TL7-MMFW2</v>
      </c>
      <c r="C95" s="83" t="str">
        <f aca="false">IF('CARNET DE SOUDURE'!E95="","",'CARNET DE SOUDURE'!E95)</f>
        <v>JN°088</v>
      </c>
      <c r="D95" s="78" t="str">
        <f aca="false">IF('CARNET DE SOUDURE'!E95="","",'CARNET DE SOUDURE'!D95&amp;"")</f>
        <v>1.00</v>
      </c>
      <c r="E95" s="96" t="n">
        <f aca="false">IF(OR('CARNET DE SOUDURE'!E95="",'CARNET DE SOUDURE'!R95=""),"",'CARNET DE SOUDURE'!R95)</f>
        <v>45882</v>
      </c>
      <c r="F95" s="81" t="str">
        <f aca="false">IF('CARNET DE SOUDURE'!E95="","",'CARNET DE SOUDURE'!AL95)</f>
        <v>A</v>
      </c>
      <c r="G95" s="81" t="str">
        <f aca="false">IF('CARNET DE SOUDURE'!E95="","",'CARNET DE SOUDURE'!AM95)</f>
        <v>ACCEPTÉ</v>
      </c>
      <c r="H95" s="81" t="str">
        <f aca="false">IF(C95="","",IF(G95="ACCEPTÉ","OUI","NON"))</f>
        <v>OUI</v>
      </c>
      <c r="I95" s="82"/>
      <c r="J95" s="79"/>
      <c r="K95" s="80"/>
      <c r="L95" s="80"/>
      <c r="M95" s="80"/>
      <c r="N95" s="83" t="str">
        <f aca="false">IF(C95="","",IF(I95="",IF(H95="OUI","À ENROBER",IF(G95="À SOUDER","NON SOUDÉ","EN ATTENTE RT")),IF(L95="R","À REPRENDRE",IF(H95&lt;&gt;"OUI","⚠ ENROBÉ AVANT ACCEPTATION RT","ENROBÉ"))))</f>
        <v>À ENROBER</v>
      </c>
      <c r="O95" s="79"/>
    </row>
    <row r="96" customFormat="false" ht="15" hidden="false" customHeight="false" outlineLevel="0" collapsed="false">
      <c r="A96" s="78" t="n">
        <f aca="false">IF('CARNET DE SOUDURE'!E96="","",'CARNET DE SOUDURE'!A96)</f>
        <v>90</v>
      </c>
      <c r="B96" s="93" t="str">
        <f aca="false">IF('CARNET DE SOUDURE'!E96="","",'CARNET DE SOUDURE'!B96&amp;"")</f>
        <v>TFT 716 → TL7-MMFW2</v>
      </c>
      <c r="C96" s="83" t="str">
        <f aca="false">IF('CARNET DE SOUDURE'!E96="","",'CARNET DE SOUDURE'!E96)</f>
        <v>JN°089</v>
      </c>
      <c r="D96" s="78" t="str">
        <f aca="false">IF('CARNET DE SOUDURE'!E96="","",'CARNET DE SOUDURE'!D96&amp;"")</f>
        <v>1.00</v>
      </c>
      <c r="E96" s="96" t="n">
        <f aca="false">IF(OR('CARNET DE SOUDURE'!E96="",'CARNET DE SOUDURE'!R96=""),"",'CARNET DE SOUDURE'!R96)</f>
        <v>45882</v>
      </c>
      <c r="F96" s="81" t="str">
        <f aca="false">IF('CARNET DE SOUDURE'!E96="","",'CARNET DE SOUDURE'!AL96)</f>
        <v>A</v>
      </c>
      <c r="G96" s="81" t="str">
        <f aca="false">IF('CARNET DE SOUDURE'!E96="","",'CARNET DE SOUDURE'!AM96)</f>
        <v>ACCEPTÉ</v>
      </c>
      <c r="H96" s="81" t="str">
        <f aca="false">IF(C96="","",IF(G96="ACCEPTÉ","OUI","NON"))</f>
        <v>OUI</v>
      </c>
      <c r="I96" s="82"/>
      <c r="J96" s="79"/>
      <c r="K96" s="80"/>
      <c r="L96" s="80"/>
      <c r="M96" s="80"/>
      <c r="N96" s="83" t="str">
        <f aca="false">IF(C96="","",IF(I96="",IF(H96="OUI","À ENROBER",IF(G96="À SOUDER","NON SOUDÉ","EN ATTENTE RT")),IF(L96="R","À REPRENDRE",IF(H96&lt;&gt;"OUI","⚠ ENROBÉ AVANT ACCEPTATION RT","ENROBÉ"))))</f>
        <v>À ENROBER</v>
      </c>
      <c r="O96" s="79"/>
    </row>
    <row r="97" customFormat="false" ht="15" hidden="false" customHeight="false" outlineLevel="0" collapsed="false">
      <c r="A97" s="78" t="n">
        <f aca="false">IF('CARNET DE SOUDURE'!E97="","",'CARNET DE SOUDURE'!A97)</f>
        <v>91</v>
      </c>
      <c r="B97" s="93" t="str">
        <f aca="false">IF('CARNET DE SOUDURE'!E97="","",'CARNET DE SOUDURE'!B97&amp;"")</f>
        <v>TFT 716 → TL7-MMFW2</v>
      </c>
      <c r="C97" s="83" t="str">
        <f aca="false">IF('CARNET DE SOUDURE'!E97="","",'CARNET DE SOUDURE'!E97)</f>
        <v>JN°090</v>
      </c>
      <c r="D97" s="78" t="str">
        <f aca="false">IF('CARNET DE SOUDURE'!E97="","",'CARNET DE SOUDURE'!D97&amp;"")</f>
        <v>1.00</v>
      </c>
      <c r="E97" s="96" t="n">
        <f aca="false">IF(OR('CARNET DE SOUDURE'!E97="",'CARNET DE SOUDURE'!R97=""),"",'CARNET DE SOUDURE'!R97)</f>
        <v>45882</v>
      </c>
      <c r="F97" s="81" t="str">
        <f aca="false">IF('CARNET DE SOUDURE'!E97="","",'CARNET DE SOUDURE'!AL97)</f>
        <v>A</v>
      </c>
      <c r="G97" s="81" t="str">
        <f aca="false">IF('CARNET DE SOUDURE'!E97="","",'CARNET DE SOUDURE'!AM97)</f>
        <v>ACCEPTÉ</v>
      </c>
      <c r="H97" s="81" t="str">
        <f aca="false">IF(C97="","",IF(G97="ACCEPTÉ","OUI","NON"))</f>
        <v>OUI</v>
      </c>
      <c r="I97" s="82"/>
      <c r="J97" s="79"/>
      <c r="K97" s="80"/>
      <c r="L97" s="80"/>
      <c r="M97" s="80"/>
      <c r="N97" s="83" t="str">
        <f aca="false">IF(C97="","",IF(I97="",IF(H97="OUI","À ENROBER",IF(G97="À SOUDER","NON SOUDÉ","EN ATTENTE RT")),IF(L97="R","À REPRENDRE",IF(H97&lt;&gt;"OUI","⚠ ENROBÉ AVANT ACCEPTATION RT","ENROBÉ"))))</f>
        <v>À ENROBER</v>
      </c>
      <c r="O97" s="79"/>
    </row>
    <row r="98" customFormat="false" ht="15" hidden="false" customHeight="false" outlineLevel="0" collapsed="false">
      <c r="A98" s="78" t="n">
        <f aca="false">IF('CARNET DE SOUDURE'!E98="","",'CARNET DE SOUDURE'!A98)</f>
        <v>92</v>
      </c>
      <c r="B98" s="93" t="str">
        <f aca="false">IF('CARNET DE SOUDURE'!E98="","",'CARNET DE SOUDURE'!B98&amp;"")</f>
        <v>TFT 716 → TL7-MMFW2</v>
      </c>
      <c r="C98" s="83" t="str">
        <f aca="false">IF('CARNET DE SOUDURE'!E98="","",'CARNET DE SOUDURE'!E98)</f>
        <v>JN°091</v>
      </c>
      <c r="D98" s="78" t="str">
        <f aca="false">IF('CARNET DE SOUDURE'!E98="","",'CARNET DE SOUDURE'!D98&amp;"")</f>
        <v>1.00</v>
      </c>
      <c r="E98" s="96" t="n">
        <f aca="false">IF(OR('CARNET DE SOUDURE'!E98="",'CARNET DE SOUDURE'!R98=""),"",'CARNET DE SOUDURE'!R98)</f>
        <v>45882</v>
      </c>
      <c r="F98" s="81" t="str">
        <f aca="false">IF('CARNET DE SOUDURE'!E98="","",'CARNET DE SOUDURE'!AL98)</f>
        <v>A</v>
      </c>
      <c r="G98" s="81" t="str">
        <f aca="false">IF('CARNET DE SOUDURE'!E98="","",'CARNET DE SOUDURE'!AM98)</f>
        <v>ACCEPTÉ</v>
      </c>
      <c r="H98" s="81" t="str">
        <f aca="false">IF(C98="","",IF(G98="ACCEPTÉ","OUI","NON"))</f>
        <v>OUI</v>
      </c>
      <c r="I98" s="82"/>
      <c r="J98" s="79"/>
      <c r="K98" s="80"/>
      <c r="L98" s="80"/>
      <c r="M98" s="80"/>
      <c r="N98" s="83" t="str">
        <f aca="false">IF(C98="","",IF(I98="",IF(H98="OUI","À ENROBER",IF(G98="À SOUDER","NON SOUDÉ","EN ATTENTE RT")),IF(L98="R","À REPRENDRE",IF(H98&lt;&gt;"OUI","⚠ ENROBÉ AVANT ACCEPTATION RT","ENROBÉ"))))</f>
        <v>À ENROBER</v>
      </c>
      <c r="O98" s="79"/>
    </row>
    <row r="99" customFormat="false" ht="15" hidden="false" customHeight="false" outlineLevel="0" collapsed="false">
      <c r="A99" s="78" t="n">
        <f aca="false">IF('CARNET DE SOUDURE'!E99="","",'CARNET DE SOUDURE'!A99)</f>
        <v>93</v>
      </c>
      <c r="B99" s="93" t="str">
        <f aca="false">IF('CARNET DE SOUDURE'!E99="","",'CARNET DE SOUDURE'!B99&amp;"")</f>
        <v>TFT 716 → TL7-MMFW2</v>
      </c>
      <c r="C99" s="83" t="str">
        <f aca="false">IF('CARNET DE SOUDURE'!E99="","",'CARNET DE SOUDURE'!E99)</f>
        <v>JN°092</v>
      </c>
      <c r="D99" s="78" t="str">
        <f aca="false">IF('CARNET DE SOUDURE'!E99="","",'CARNET DE SOUDURE'!D99&amp;"")</f>
        <v>1.00</v>
      </c>
      <c r="E99" s="96" t="n">
        <f aca="false">IF(OR('CARNET DE SOUDURE'!E99="",'CARNET DE SOUDURE'!R99=""),"",'CARNET DE SOUDURE'!R99)</f>
        <v>45882</v>
      </c>
      <c r="F99" s="81" t="str">
        <f aca="false">IF('CARNET DE SOUDURE'!E99="","",'CARNET DE SOUDURE'!AL99)</f>
        <v>A</v>
      </c>
      <c r="G99" s="81" t="str">
        <f aca="false">IF('CARNET DE SOUDURE'!E99="","",'CARNET DE SOUDURE'!AM99)</f>
        <v>ACCEPTÉ</v>
      </c>
      <c r="H99" s="81" t="str">
        <f aca="false">IF(C99="","",IF(G99="ACCEPTÉ","OUI","NON"))</f>
        <v>OUI</v>
      </c>
      <c r="I99" s="82"/>
      <c r="J99" s="79"/>
      <c r="K99" s="80"/>
      <c r="L99" s="80"/>
      <c r="M99" s="80"/>
      <c r="N99" s="83" t="str">
        <f aca="false">IF(C99="","",IF(I99="",IF(H99="OUI","À ENROBER",IF(G99="À SOUDER","NON SOUDÉ","EN ATTENTE RT")),IF(L99="R","À REPRENDRE",IF(H99&lt;&gt;"OUI","⚠ ENROBÉ AVANT ACCEPTATION RT","ENROBÉ"))))</f>
        <v>À ENROBER</v>
      </c>
      <c r="O99" s="79"/>
    </row>
    <row r="100" customFormat="false" ht="15" hidden="false" customHeight="false" outlineLevel="0" collapsed="false">
      <c r="A100" s="78" t="n">
        <f aca="false">IF('CARNET DE SOUDURE'!E100="","",'CARNET DE SOUDURE'!A100)</f>
        <v>94</v>
      </c>
      <c r="B100" s="93" t="str">
        <f aca="false">IF('CARNET DE SOUDURE'!E100="","",'CARNET DE SOUDURE'!B100&amp;"")</f>
        <v>TFT 716 → TL7-MMFW2</v>
      </c>
      <c r="C100" s="83" t="str">
        <f aca="false">IF('CARNET DE SOUDURE'!E100="","",'CARNET DE SOUDURE'!E100)</f>
        <v>JN°093</v>
      </c>
      <c r="D100" s="78" t="str">
        <f aca="false">IF('CARNET DE SOUDURE'!E100="","",'CARNET DE SOUDURE'!D100&amp;"")</f>
        <v>1.00</v>
      </c>
      <c r="E100" s="96" t="n">
        <f aca="false">IF(OR('CARNET DE SOUDURE'!E100="",'CARNET DE SOUDURE'!R100=""),"",'CARNET DE SOUDURE'!R100)</f>
        <v>45882</v>
      </c>
      <c r="F100" s="81" t="str">
        <f aca="false">IF('CARNET DE SOUDURE'!E100="","",'CARNET DE SOUDURE'!AL100)</f>
        <v>A</v>
      </c>
      <c r="G100" s="81" t="str">
        <f aca="false">IF('CARNET DE SOUDURE'!E100="","",'CARNET DE SOUDURE'!AM100)</f>
        <v>ACCEPTÉ</v>
      </c>
      <c r="H100" s="81" t="str">
        <f aca="false">IF(C100="","",IF(G100="ACCEPTÉ","OUI","NON"))</f>
        <v>OUI</v>
      </c>
      <c r="I100" s="82"/>
      <c r="J100" s="79"/>
      <c r="K100" s="80"/>
      <c r="L100" s="80"/>
      <c r="M100" s="80"/>
      <c r="N100" s="83" t="str">
        <f aca="false">IF(C100="","",IF(I100="",IF(H100="OUI","À ENROBER",IF(G100="À SOUDER","NON SOUDÉ","EN ATTENTE RT")),IF(L100="R","À REPRENDRE",IF(H100&lt;&gt;"OUI","⚠ ENROBÉ AVANT ACCEPTATION RT","ENROBÉ"))))</f>
        <v>À ENROBER</v>
      </c>
      <c r="O100" s="79"/>
    </row>
    <row r="101" customFormat="false" ht="15" hidden="false" customHeight="false" outlineLevel="0" collapsed="false">
      <c r="A101" s="78" t="n">
        <f aca="false">IF('CARNET DE SOUDURE'!E101="","",'CARNET DE SOUDURE'!A101)</f>
        <v>95</v>
      </c>
      <c r="B101" s="93" t="str">
        <f aca="false">IF('CARNET DE SOUDURE'!E101="","",'CARNET DE SOUDURE'!B101&amp;"")</f>
        <v>TFT 716 → TL7-MMFW2</v>
      </c>
      <c r="C101" s="83" t="str">
        <f aca="false">IF('CARNET DE SOUDURE'!E101="","",'CARNET DE SOUDURE'!E101)</f>
        <v>JN°094</v>
      </c>
      <c r="D101" s="78" t="str">
        <f aca="false">IF('CARNET DE SOUDURE'!E101="","",'CARNET DE SOUDURE'!D101&amp;"")</f>
        <v>1.00</v>
      </c>
      <c r="E101" s="96" t="n">
        <f aca="false">IF(OR('CARNET DE SOUDURE'!E101="",'CARNET DE SOUDURE'!R101=""),"",'CARNET DE SOUDURE'!R101)</f>
        <v>45882</v>
      </c>
      <c r="F101" s="81" t="str">
        <f aca="false">IF('CARNET DE SOUDURE'!E101="","",'CARNET DE SOUDURE'!AL101)</f>
        <v>A</v>
      </c>
      <c r="G101" s="81" t="str">
        <f aca="false">IF('CARNET DE SOUDURE'!E101="","",'CARNET DE SOUDURE'!AM101)</f>
        <v>ACCEPTÉ</v>
      </c>
      <c r="H101" s="81" t="str">
        <f aca="false">IF(C101="","",IF(G101="ACCEPTÉ","OUI","NON"))</f>
        <v>OUI</v>
      </c>
      <c r="I101" s="82"/>
      <c r="J101" s="79"/>
      <c r="K101" s="80"/>
      <c r="L101" s="80"/>
      <c r="M101" s="80"/>
      <c r="N101" s="83" t="str">
        <f aca="false">IF(C101="","",IF(I101="",IF(H101="OUI","À ENROBER",IF(G101="À SOUDER","NON SOUDÉ","EN ATTENTE RT")),IF(L101="R","À REPRENDRE",IF(H101&lt;&gt;"OUI","⚠ ENROBÉ AVANT ACCEPTATION RT","ENROBÉ"))))</f>
        <v>À ENROBER</v>
      </c>
      <c r="O101" s="79"/>
    </row>
    <row r="102" customFormat="false" ht="15" hidden="false" customHeight="false" outlineLevel="0" collapsed="false">
      <c r="A102" s="78" t="n">
        <f aca="false">IF('CARNET DE SOUDURE'!E102="","",'CARNET DE SOUDURE'!A102)</f>
        <v>96</v>
      </c>
      <c r="B102" s="93" t="str">
        <f aca="false">IF('CARNET DE SOUDURE'!E102="","",'CARNET DE SOUDURE'!B102&amp;"")</f>
        <v>TFT 716 → TL7-MMFW2</v>
      </c>
      <c r="C102" s="83" t="str">
        <f aca="false">IF('CARNET DE SOUDURE'!E102="","",'CARNET DE SOUDURE'!E102)</f>
        <v>JN°095</v>
      </c>
      <c r="D102" s="78" t="str">
        <f aca="false">IF('CARNET DE SOUDURE'!E102="","",'CARNET DE SOUDURE'!D102&amp;"")</f>
        <v>1.00</v>
      </c>
      <c r="E102" s="96" t="n">
        <f aca="false">IF(OR('CARNET DE SOUDURE'!E102="",'CARNET DE SOUDURE'!R102=""),"",'CARNET DE SOUDURE'!R102)</f>
        <v>45882</v>
      </c>
      <c r="F102" s="81" t="str">
        <f aca="false">IF('CARNET DE SOUDURE'!E102="","",'CARNET DE SOUDURE'!AL102)</f>
        <v>A</v>
      </c>
      <c r="G102" s="81" t="str">
        <f aca="false">IF('CARNET DE SOUDURE'!E102="","",'CARNET DE SOUDURE'!AM102)</f>
        <v>ACCEPTÉ</v>
      </c>
      <c r="H102" s="81" t="str">
        <f aca="false">IF(C102="","",IF(G102="ACCEPTÉ","OUI","NON"))</f>
        <v>OUI</v>
      </c>
      <c r="I102" s="82"/>
      <c r="J102" s="79"/>
      <c r="K102" s="80"/>
      <c r="L102" s="80"/>
      <c r="M102" s="80"/>
      <c r="N102" s="83" t="str">
        <f aca="false">IF(C102="","",IF(I102="",IF(H102="OUI","À ENROBER",IF(G102="À SOUDER","NON SOUDÉ","EN ATTENTE RT")),IF(L102="R","À REPRENDRE",IF(H102&lt;&gt;"OUI","⚠ ENROBÉ AVANT ACCEPTATION RT","ENROBÉ"))))</f>
        <v>À ENROBER</v>
      </c>
      <c r="O102" s="79"/>
    </row>
    <row r="103" customFormat="false" ht="15" hidden="false" customHeight="false" outlineLevel="0" collapsed="false">
      <c r="A103" s="78" t="n">
        <f aca="false">IF('CARNET DE SOUDURE'!E103="","",'CARNET DE SOUDURE'!A103)</f>
        <v>97</v>
      </c>
      <c r="B103" s="93" t="str">
        <f aca="false">IF('CARNET DE SOUDURE'!E103="","",'CARNET DE SOUDURE'!B103&amp;"")</f>
        <v>TFT 716 → TL7-MMFW2</v>
      </c>
      <c r="C103" s="83" t="str">
        <f aca="false">IF('CARNET DE SOUDURE'!E103="","",'CARNET DE SOUDURE'!E103)</f>
        <v>JN°096</v>
      </c>
      <c r="D103" s="78" t="str">
        <f aca="false">IF('CARNET DE SOUDURE'!E103="","",'CARNET DE SOUDURE'!D103&amp;"")</f>
        <v>1.00</v>
      </c>
      <c r="E103" s="96" t="n">
        <f aca="false">IF(OR('CARNET DE SOUDURE'!E103="",'CARNET DE SOUDURE'!R103=""),"",'CARNET DE SOUDURE'!R103)</f>
        <v>45882</v>
      </c>
      <c r="F103" s="81" t="str">
        <f aca="false">IF('CARNET DE SOUDURE'!E103="","",'CARNET DE SOUDURE'!AL103)</f>
        <v>A</v>
      </c>
      <c r="G103" s="81" t="str">
        <f aca="false">IF('CARNET DE SOUDURE'!E103="","",'CARNET DE SOUDURE'!AM103)</f>
        <v>ACCEPTÉ</v>
      </c>
      <c r="H103" s="81" t="str">
        <f aca="false">IF(C103="","",IF(G103="ACCEPTÉ","OUI","NON"))</f>
        <v>OUI</v>
      </c>
      <c r="I103" s="82"/>
      <c r="J103" s="79"/>
      <c r="K103" s="80"/>
      <c r="L103" s="80"/>
      <c r="M103" s="80"/>
      <c r="N103" s="83" t="str">
        <f aca="false">IF(C103="","",IF(I103="",IF(H103="OUI","À ENROBER",IF(G103="À SOUDER","NON SOUDÉ","EN ATTENTE RT")),IF(L103="R","À REPRENDRE",IF(H103&lt;&gt;"OUI","⚠ ENROBÉ AVANT ACCEPTATION RT","ENROBÉ"))))</f>
        <v>À ENROBER</v>
      </c>
      <c r="O103" s="79"/>
    </row>
    <row r="104" customFormat="false" ht="15" hidden="false" customHeight="false" outlineLevel="0" collapsed="false">
      <c r="A104" s="78" t="n">
        <f aca="false">IF('CARNET DE SOUDURE'!E104="","",'CARNET DE SOUDURE'!A104)</f>
        <v>98</v>
      </c>
      <c r="B104" s="93" t="str">
        <f aca="false">IF('CARNET DE SOUDURE'!E104="","",'CARNET DE SOUDURE'!B104&amp;"")</f>
        <v>TFT 716 → TL7-MMFW2</v>
      </c>
      <c r="C104" s="83" t="str">
        <f aca="false">IF('CARNET DE SOUDURE'!E104="","",'CARNET DE SOUDURE'!E104)</f>
        <v>JN°097</v>
      </c>
      <c r="D104" s="78" t="str">
        <f aca="false">IF('CARNET DE SOUDURE'!E104="","",'CARNET DE SOUDURE'!D104&amp;"")</f>
        <v>1.00</v>
      </c>
      <c r="E104" s="96" t="n">
        <f aca="false">IF(OR('CARNET DE SOUDURE'!E104="",'CARNET DE SOUDURE'!R104=""),"",'CARNET DE SOUDURE'!R104)</f>
        <v>45883</v>
      </c>
      <c r="F104" s="81" t="str">
        <f aca="false">IF('CARNET DE SOUDURE'!E104="","",'CARNET DE SOUDURE'!AL104)</f>
        <v>A</v>
      </c>
      <c r="G104" s="81" t="str">
        <f aca="false">IF('CARNET DE SOUDURE'!E104="","",'CARNET DE SOUDURE'!AM104)</f>
        <v>ACCEPTÉ</v>
      </c>
      <c r="H104" s="81" t="str">
        <f aca="false">IF(C104="","",IF(G104="ACCEPTÉ","OUI","NON"))</f>
        <v>OUI</v>
      </c>
      <c r="I104" s="82"/>
      <c r="J104" s="79"/>
      <c r="K104" s="80"/>
      <c r="L104" s="80"/>
      <c r="M104" s="80"/>
      <c r="N104" s="83" t="str">
        <f aca="false">IF(C104="","",IF(I104="",IF(H104="OUI","À ENROBER",IF(G104="À SOUDER","NON SOUDÉ","EN ATTENTE RT")),IF(L104="R","À REPRENDRE",IF(H104&lt;&gt;"OUI","⚠ ENROBÉ AVANT ACCEPTATION RT","ENROBÉ"))))</f>
        <v>À ENROBER</v>
      </c>
      <c r="O104" s="79"/>
    </row>
    <row r="105" customFormat="false" ht="15" hidden="false" customHeight="false" outlineLevel="0" collapsed="false">
      <c r="A105" s="78" t="n">
        <f aca="false">IF('CARNET DE SOUDURE'!E105="","",'CARNET DE SOUDURE'!A105)</f>
        <v>99</v>
      </c>
      <c r="B105" s="93" t="str">
        <f aca="false">IF('CARNET DE SOUDURE'!E105="","",'CARNET DE SOUDURE'!B105&amp;"")</f>
        <v>TFT 716 → TL7-MMFW2</v>
      </c>
      <c r="C105" s="83" t="str">
        <f aca="false">IF('CARNET DE SOUDURE'!E105="","",'CARNET DE SOUDURE'!E105)</f>
        <v>JN°098</v>
      </c>
      <c r="D105" s="78" t="str">
        <f aca="false">IF('CARNET DE SOUDURE'!E105="","",'CARNET DE SOUDURE'!D105&amp;"")</f>
        <v>1.00</v>
      </c>
      <c r="E105" s="96" t="n">
        <f aca="false">IF(OR('CARNET DE SOUDURE'!E105="",'CARNET DE SOUDURE'!R105=""),"",'CARNET DE SOUDURE'!R105)</f>
        <v>45883</v>
      </c>
      <c r="F105" s="81" t="str">
        <f aca="false">IF('CARNET DE SOUDURE'!E105="","",'CARNET DE SOUDURE'!AL105)</f>
        <v>A</v>
      </c>
      <c r="G105" s="81" t="str">
        <f aca="false">IF('CARNET DE SOUDURE'!E105="","",'CARNET DE SOUDURE'!AM105)</f>
        <v>ACCEPTÉ</v>
      </c>
      <c r="H105" s="81" t="str">
        <f aca="false">IF(C105="","",IF(G105="ACCEPTÉ","OUI","NON"))</f>
        <v>OUI</v>
      </c>
      <c r="I105" s="82"/>
      <c r="J105" s="79"/>
      <c r="K105" s="80"/>
      <c r="L105" s="80"/>
      <c r="M105" s="80"/>
      <c r="N105" s="83" t="str">
        <f aca="false">IF(C105="","",IF(I105="",IF(H105="OUI","À ENROBER",IF(G105="À SOUDER","NON SOUDÉ","EN ATTENTE RT")),IF(L105="R","À REPRENDRE",IF(H105&lt;&gt;"OUI","⚠ ENROBÉ AVANT ACCEPTATION RT","ENROBÉ"))))</f>
        <v>À ENROBER</v>
      </c>
      <c r="O105" s="79"/>
    </row>
    <row r="106" customFormat="false" ht="15" hidden="false" customHeight="false" outlineLevel="0" collapsed="false">
      <c r="A106" s="78" t="n">
        <f aca="false">IF('CARNET DE SOUDURE'!E106="","",'CARNET DE SOUDURE'!A106)</f>
        <v>100</v>
      </c>
      <c r="B106" s="93" t="str">
        <f aca="false">IF('CARNET DE SOUDURE'!E106="","",'CARNET DE SOUDURE'!B106&amp;"")</f>
        <v>TFT 716 → TL7-MMFW2</v>
      </c>
      <c r="C106" s="83" t="str">
        <f aca="false">IF('CARNET DE SOUDURE'!E106="","",'CARNET DE SOUDURE'!E106)</f>
        <v>JN°099</v>
      </c>
      <c r="D106" s="78" t="str">
        <f aca="false">IF('CARNET DE SOUDURE'!E106="","",'CARNET DE SOUDURE'!D106&amp;"")</f>
        <v>1.00</v>
      </c>
      <c r="E106" s="96" t="n">
        <f aca="false">IF(OR('CARNET DE SOUDURE'!E106="",'CARNET DE SOUDURE'!R106=""),"",'CARNET DE SOUDURE'!R106)</f>
        <v>45883</v>
      </c>
      <c r="F106" s="81" t="str">
        <f aca="false">IF('CARNET DE SOUDURE'!E106="","",'CARNET DE SOUDURE'!AL106)</f>
        <v>A</v>
      </c>
      <c r="G106" s="81" t="str">
        <f aca="false">IF('CARNET DE SOUDURE'!E106="","",'CARNET DE SOUDURE'!AM106)</f>
        <v>ACCEPTÉ</v>
      </c>
      <c r="H106" s="81" t="str">
        <f aca="false">IF(C106="","",IF(G106="ACCEPTÉ","OUI","NON"))</f>
        <v>OUI</v>
      </c>
      <c r="I106" s="82"/>
      <c r="J106" s="79"/>
      <c r="K106" s="80"/>
      <c r="L106" s="80"/>
      <c r="M106" s="80"/>
      <c r="N106" s="83" t="str">
        <f aca="false">IF(C106="","",IF(I106="",IF(H106="OUI","À ENROBER",IF(G106="À SOUDER","NON SOUDÉ","EN ATTENTE RT")),IF(L106="R","À REPRENDRE",IF(H106&lt;&gt;"OUI","⚠ ENROBÉ AVANT ACCEPTATION RT","ENROBÉ"))))</f>
        <v>À ENROBER</v>
      </c>
      <c r="O106" s="79"/>
    </row>
    <row r="107" customFormat="false" ht="15" hidden="false" customHeight="false" outlineLevel="0" collapsed="false">
      <c r="A107" s="78" t="n">
        <f aca="false">IF('CARNET DE SOUDURE'!E107="","",'CARNET DE SOUDURE'!A107)</f>
        <v>101</v>
      </c>
      <c r="B107" s="93" t="str">
        <f aca="false">IF('CARNET DE SOUDURE'!E107="","",'CARNET DE SOUDURE'!B107&amp;"")</f>
        <v>TFT 716 → TL7-MMFW2</v>
      </c>
      <c r="C107" s="83" t="str">
        <f aca="false">IF('CARNET DE SOUDURE'!E107="","",'CARNET DE SOUDURE'!E107)</f>
        <v>JN°100</v>
      </c>
      <c r="D107" s="78" t="str">
        <f aca="false">IF('CARNET DE SOUDURE'!E107="","",'CARNET DE SOUDURE'!D107&amp;"")</f>
        <v>1.00</v>
      </c>
      <c r="E107" s="96" t="n">
        <f aca="false">IF(OR('CARNET DE SOUDURE'!E107="",'CARNET DE SOUDURE'!R107=""),"",'CARNET DE SOUDURE'!R107)</f>
        <v>45883</v>
      </c>
      <c r="F107" s="81" t="str">
        <f aca="false">IF('CARNET DE SOUDURE'!E107="","",'CARNET DE SOUDURE'!AL107)</f>
        <v>A</v>
      </c>
      <c r="G107" s="81" t="str">
        <f aca="false">IF('CARNET DE SOUDURE'!E107="","",'CARNET DE SOUDURE'!AM107)</f>
        <v>ACCEPTÉ</v>
      </c>
      <c r="H107" s="81" t="str">
        <f aca="false">IF(C107="","",IF(G107="ACCEPTÉ","OUI","NON"))</f>
        <v>OUI</v>
      </c>
      <c r="I107" s="82"/>
      <c r="J107" s="79"/>
      <c r="K107" s="80"/>
      <c r="L107" s="80"/>
      <c r="M107" s="80"/>
      <c r="N107" s="83" t="str">
        <f aca="false">IF(C107="","",IF(I107="",IF(H107="OUI","À ENROBER",IF(G107="À SOUDER","NON SOUDÉ","EN ATTENTE RT")),IF(L107="R","À REPRENDRE",IF(H107&lt;&gt;"OUI","⚠ ENROBÉ AVANT ACCEPTATION RT","ENROBÉ"))))</f>
        <v>À ENROBER</v>
      </c>
      <c r="O107" s="79"/>
    </row>
    <row r="108" customFormat="false" ht="15" hidden="false" customHeight="false" outlineLevel="0" collapsed="false">
      <c r="A108" s="78" t="n">
        <f aca="false">IF('CARNET DE SOUDURE'!E108="","",'CARNET DE SOUDURE'!A108)</f>
        <v>102</v>
      </c>
      <c r="B108" s="93" t="str">
        <f aca="false">IF('CARNET DE SOUDURE'!E108="","",'CARNET DE SOUDURE'!B108&amp;"")</f>
        <v>TFT 716 → TL7-MMFW2</v>
      </c>
      <c r="C108" s="83" t="str">
        <f aca="false">IF('CARNET DE SOUDURE'!E108="","",'CARNET DE SOUDURE'!E108)</f>
        <v>JN°101</v>
      </c>
      <c r="D108" s="78" t="str">
        <f aca="false">IF('CARNET DE SOUDURE'!E108="","",'CARNET DE SOUDURE'!D108&amp;"")</f>
        <v>1.00</v>
      </c>
      <c r="E108" s="96" t="n">
        <f aca="false">IF(OR('CARNET DE SOUDURE'!E108="",'CARNET DE SOUDURE'!R108=""),"",'CARNET DE SOUDURE'!R108)</f>
        <v>45883</v>
      </c>
      <c r="F108" s="81" t="str">
        <f aca="false">IF('CARNET DE SOUDURE'!E108="","",'CARNET DE SOUDURE'!AL108)</f>
        <v>A</v>
      </c>
      <c r="G108" s="81" t="str">
        <f aca="false">IF('CARNET DE SOUDURE'!E108="","",'CARNET DE SOUDURE'!AM108)</f>
        <v>ACCEPTÉ</v>
      </c>
      <c r="H108" s="81" t="str">
        <f aca="false">IF(C108="","",IF(G108="ACCEPTÉ","OUI","NON"))</f>
        <v>OUI</v>
      </c>
      <c r="I108" s="82"/>
      <c r="J108" s="79"/>
      <c r="K108" s="80"/>
      <c r="L108" s="80"/>
      <c r="M108" s="80"/>
      <c r="N108" s="83" t="str">
        <f aca="false">IF(C108="","",IF(I108="",IF(H108="OUI","À ENROBER",IF(G108="À SOUDER","NON SOUDÉ","EN ATTENTE RT")),IF(L108="R","À REPRENDRE",IF(H108&lt;&gt;"OUI","⚠ ENROBÉ AVANT ACCEPTATION RT","ENROBÉ"))))</f>
        <v>À ENROBER</v>
      </c>
      <c r="O108" s="79"/>
    </row>
    <row r="109" customFormat="false" ht="15" hidden="false" customHeight="false" outlineLevel="0" collapsed="false">
      <c r="A109" s="78" t="n">
        <f aca="false">IF('CARNET DE SOUDURE'!E109="","",'CARNET DE SOUDURE'!A109)</f>
        <v>103</v>
      </c>
      <c r="B109" s="93" t="str">
        <f aca="false">IF('CARNET DE SOUDURE'!E109="","",'CARNET DE SOUDURE'!B109&amp;"")</f>
        <v>TFT 716 → TL7-MMFW2</v>
      </c>
      <c r="C109" s="83" t="str">
        <f aca="false">IF('CARNET DE SOUDURE'!E109="","",'CARNET DE SOUDURE'!E109)</f>
        <v>JN°102</v>
      </c>
      <c r="D109" s="78" t="str">
        <f aca="false">IF('CARNET DE SOUDURE'!E109="","",'CARNET DE SOUDURE'!D109&amp;"")</f>
        <v>1.00</v>
      </c>
      <c r="E109" s="96" t="n">
        <f aca="false">IF(OR('CARNET DE SOUDURE'!E109="",'CARNET DE SOUDURE'!R109=""),"",'CARNET DE SOUDURE'!R109)</f>
        <v>45883</v>
      </c>
      <c r="F109" s="81" t="str">
        <f aca="false">IF('CARNET DE SOUDURE'!E109="","",'CARNET DE SOUDURE'!AL109)</f>
        <v>A</v>
      </c>
      <c r="G109" s="81" t="str">
        <f aca="false">IF('CARNET DE SOUDURE'!E109="","",'CARNET DE SOUDURE'!AM109)</f>
        <v>ACCEPTÉ</v>
      </c>
      <c r="H109" s="81" t="str">
        <f aca="false">IF(C109="","",IF(G109="ACCEPTÉ","OUI","NON"))</f>
        <v>OUI</v>
      </c>
      <c r="I109" s="82"/>
      <c r="J109" s="79"/>
      <c r="K109" s="80"/>
      <c r="L109" s="80"/>
      <c r="M109" s="80"/>
      <c r="N109" s="83" t="str">
        <f aca="false">IF(C109="","",IF(I109="",IF(H109="OUI","À ENROBER",IF(G109="À SOUDER","NON SOUDÉ","EN ATTENTE RT")),IF(L109="R","À REPRENDRE",IF(H109&lt;&gt;"OUI","⚠ ENROBÉ AVANT ACCEPTATION RT","ENROBÉ"))))</f>
        <v>À ENROBER</v>
      </c>
      <c r="O109" s="79"/>
    </row>
    <row r="110" customFormat="false" ht="15" hidden="false" customHeight="false" outlineLevel="0" collapsed="false">
      <c r="A110" s="78" t="n">
        <f aca="false">IF('CARNET DE SOUDURE'!E110="","",'CARNET DE SOUDURE'!A110)</f>
        <v>104</v>
      </c>
      <c r="B110" s="93" t="str">
        <f aca="false">IF('CARNET DE SOUDURE'!E110="","",'CARNET DE SOUDURE'!B110&amp;"")</f>
        <v>TFT 716 → TL7-MMFW2</v>
      </c>
      <c r="C110" s="83" t="str">
        <f aca="false">IF('CARNET DE SOUDURE'!E110="","",'CARNET DE SOUDURE'!E110)</f>
        <v>JN°103</v>
      </c>
      <c r="D110" s="78" t="str">
        <f aca="false">IF('CARNET DE SOUDURE'!E110="","",'CARNET DE SOUDURE'!D110&amp;"")</f>
        <v>1.00</v>
      </c>
      <c r="E110" s="96" t="n">
        <f aca="false">IF(OR('CARNET DE SOUDURE'!E110="",'CARNET DE SOUDURE'!R110=""),"",'CARNET DE SOUDURE'!R110)</f>
        <v>45883</v>
      </c>
      <c r="F110" s="81" t="str">
        <f aca="false">IF('CARNET DE SOUDURE'!E110="","",'CARNET DE SOUDURE'!AL110)</f>
        <v>A</v>
      </c>
      <c r="G110" s="81" t="str">
        <f aca="false">IF('CARNET DE SOUDURE'!E110="","",'CARNET DE SOUDURE'!AM110)</f>
        <v>ACCEPTÉ</v>
      </c>
      <c r="H110" s="81" t="str">
        <f aca="false">IF(C110="","",IF(G110="ACCEPTÉ","OUI","NON"))</f>
        <v>OUI</v>
      </c>
      <c r="I110" s="82"/>
      <c r="J110" s="79"/>
      <c r="K110" s="80"/>
      <c r="L110" s="80"/>
      <c r="M110" s="80"/>
      <c r="N110" s="83" t="str">
        <f aca="false">IF(C110="","",IF(I110="",IF(H110="OUI","À ENROBER",IF(G110="À SOUDER","NON SOUDÉ","EN ATTENTE RT")),IF(L110="R","À REPRENDRE",IF(H110&lt;&gt;"OUI","⚠ ENROBÉ AVANT ACCEPTATION RT","ENROBÉ"))))</f>
        <v>À ENROBER</v>
      </c>
      <c r="O110" s="79"/>
    </row>
    <row r="111" customFormat="false" ht="15" hidden="false" customHeight="false" outlineLevel="0" collapsed="false">
      <c r="A111" s="78" t="n">
        <f aca="false">IF('CARNET DE SOUDURE'!E111="","",'CARNET DE SOUDURE'!A111)</f>
        <v>105</v>
      </c>
      <c r="B111" s="93" t="str">
        <f aca="false">IF('CARNET DE SOUDURE'!E111="","",'CARNET DE SOUDURE'!B111&amp;"")</f>
        <v>TFT 716 → TL7-MMFW2</v>
      </c>
      <c r="C111" s="83" t="str">
        <f aca="false">IF('CARNET DE SOUDURE'!E111="","",'CARNET DE SOUDURE'!E111)</f>
        <v>JN°104 NX</v>
      </c>
      <c r="D111" s="78" t="str">
        <f aca="false">IF('CARNET DE SOUDURE'!E111="","",'CARNET DE SOUDURE'!D111&amp;"")</f>
        <v>1.00</v>
      </c>
      <c r="E111" s="96" t="n">
        <f aca="false">IF(OR('CARNET DE SOUDURE'!E111="",'CARNET DE SOUDURE'!R111=""),"",'CARNET DE SOUDURE'!R111)</f>
        <v>45883</v>
      </c>
      <c r="F111" s="81" t="str">
        <f aca="false">IF('CARNET DE SOUDURE'!E111="","",'CARNET DE SOUDURE'!AL111)</f>
        <v>A</v>
      </c>
      <c r="G111" s="81" t="str">
        <f aca="false">IF('CARNET DE SOUDURE'!E111="","",'CARNET DE SOUDURE'!AM111)</f>
        <v>ACCEPTÉ</v>
      </c>
      <c r="H111" s="81" t="str">
        <f aca="false">IF(C111="","",IF(G111="ACCEPTÉ","OUI","NON"))</f>
        <v>OUI</v>
      </c>
      <c r="I111" s="82"/>
      <c r="J111" s="79"/>
      <c r="K111" s="80"/>
      <c r="L111" s="80"/>
      <c r="M111" s="80"/>
      <c r="N111" s="83" t="str">
        <f aca="false">IF(C111="","",IF(I111="",IF(H111="OUI","À ENROBER",IF(G111="À SOUDER","NON SOUDÉ","EN ATTENTE RT")),IF(L111="R","À REPRENDRE",IF(H111&lt;&gt;"OUI","⚠ ENROBÉ AVANT ACCEPTATION RT","ENROBÉ"))))</f>
        <v>À ENROBER</v>
      </c>
      <c r="O111" s="79"/>
    </row>
    <row r="112" customFormat="false" ht="15" hidden="false" customHeight="false" outlineLevel="0" collapsed="false">
      <c r="A112" s="78" t="n">
        <f aca="false">IF('CARNET DE SOUDURE'!E112="","",'CARNET DE SOUDURE'!A112)</f>
        <v>106</v>
      </c>
      <c r="B112" s="93" t="str">
        <f aca="false">IF('CARNET DE SOUDURE'!E112="","",'CARNET DE SOUDURE'!B112&amp;"")</f>
        <v>TFT 716 → TL7-MMFW2</v>
      </c>
      <c r="C112" s="83" t="str">
        <f aca="false">IF('CARNET DE SOUDURE'!E112="","",'CARNET DE SOUDURE'!E112)</f>
        <v>JN°105</v>
      </c>
      <c r="D112" s="78" t="str">
        <f aca="false">IF('CARNET DE SOUDURE'!E112="","",'CARNET DE SOUDURE'!D112&amp;"")</f>
        <v>1.00</v>
      </c>
      <c r="E112" s="96" t="n">
        <f aca="false">IF(OR('CARNET DE SOUDURE'!E112="",'CARNET DE SOUDURE'!R112=""),"",'CARNET DE SOUDURE'!R112)</f>
        <v>45883</v>
      </c>
      <c r="F112" s="81" t="str">
        <f aca="false">IF('CARNET DE SOUDURE'!E112="","",'CARNET DE SOUDURE'!AL112)</f>
        <v>A</v>
      </c>
      <c r="G112" s="81" t="str">
        <f aca="false">IF('CARNET DE SOUDURE'!E112="","",'CARNET DE SOUDURE'!AM112)</f>
        <v>ACCEPTÉ</v>
      </c>
      <c r="H112" s="81" t="str">
        <f aca="false">IF(C112="","",IF(G112="ACCEPTÉ","OUI","NON"))</f>
        <v>OUI</v>
      </c>
      <c r="I112" s="82"/>
      <c r="J112" s="79"/>
      <c r="K112" s="80"/>
      <c r="L112" s="80"/>
      <c r="M112" s="80"/>
      <c r="N112" s="83" t="str">
        <f aca="false">IF(C112="","",IF(I112="",IF(H112="OUI","À ENROBER",IF(G112="À SOUDER","NON SOUDÉ","EN ATTENTE RT")),IF(L112="R","À REPRENDRE",IF(H112&lt;&gt;"OUI","⚠ ENROBÉ AVANT ACCEPTATION RT","ENROBÉ"))))</f>
        <v>À ENROBER</v>
      </c>
      <c r="O112" s="79"/>
    </row>
    <row r="113" customFormat="false" ht="15" hidden="false" customHeight="false" outlineLevel="0" collapsed="false">
      <c r="A113" s="78" t="n">
        <f aca="false">IF('CARNET DE SOUDURE'!E113="","",'CARNET DE SOUDURE'!A113)</f>
        <v>107</v>
      </c>
      <c r="B113" s="93" t="str">
        <f aca="false">IF('CARNET DE SOUDURE'!E113="","",'CARNET DE SOUDURE'!B113&amp;"")</f>
        <v>TFT 716 → TL7-MMFW2</v>
      </c>
      <c r="C113" s="83" t="str">
        <f aca="false">IF('CARNET DE SOUDURE'!E113="","",'CARNET DE SOUDURE'!E113)</f>
        <v>JN°106</v>
      </c>
      <c r="D113" s="78" t="str">
        <f aca="false">IF('CARNET DE SOUDURE'!E113="","",'CARNET DE SOUDURE'!D113&amp;"")</f>
        <v>1.00</v>
      </c>
      <c r="E113" s="96" t="n">
        <f aca="false">IF(OR('CARNET DE SOUDURE'!E113="",'CARNET DE SOUDURE'!R113=""),"",'CARNET DE SOUDURE'!R113)</f>
        <v>45883</v>
      </c>
      <c r="F113" s="81" t="str">
        <f aca="false">IF('CARNET DE SOUDURE'!E113="","",'CARNET DE SOUDURE'!AL113)</f>
        <v>A</v>
      </c>
      <c r="G113" s="81" t="str">
        <f aca="false">IF('CARNET DE SOUDURE'!E113="","",'CARNET DE SOUDURE'!AM113)</f>
        <v>ACCEPTÉ</v>
      </c>
      <c r="H113" s="81" t="str">
        <f aca="false">IF(C113="","",IF(G113="ACCEPTÉ","OUI","NON"))</f>
        <v>OUI</v>
      </c>
      <c r="I113" s="82"/>
      <c r="J113" s="79"/>
      <c r="K113" s="80"/>
      <c r="L113" s="80"/>
      <c r="M113" s="80"/>
      <c r="N113" s="83" t="str">
        <f aca="false">IF(C113="","",IF(I113="",IF(H113="OUI","À ENROBER",IF(G113="À SOUDER","NON SOUDÉ","EN ATTENTE RT")),IF(L113="R","À REPRENDRE",IF(H113&lt;&gt;"OUI","⚠ ENROBÉ AVANT ACCEPTATION RT","ENROBÉ"))))</f>
        <v>À ENROBER</v>
      </c>
      <c r="O113" s="79"/>
    </row>
    <row r="114" customFormat="false" ht="15" hidden="false" customHeight="false" outlineLevel="0" collapsed="false">
      <c r="A114" s="78" t="n">
        <f aca="false">IF('CARNET DE SOUDURE'!E114="","",'CARNET DE SOUDURE'!A114)</f>
        <v>108</v>
      </c>
      <c r="B114" s="93" t="str">
        <f aca="false">IF('CARNET DE SOUDURE'!E114="","",'CARNET DE SOUDURE'!B114&amp;"")</f>
        <v>TFT 716 → TL7-MMFW2</v>
      </c>
      <c r="C114" s="83" t="str">
        <f aca="false">IF('CARNET DE SOUDURE'!E114="","",'CARNET DE SOUDURE'!E114)</f>
        <v>JN°107</v>
      </c>
      <c r="D114" s="78" t="str">
        <f aca="false">IF('CARNET DE SOUDURE'!E114="","",'CARNET DE SOUDURE'!D114&amp;"")</f>
        <v>1.00</v>
      </c>
      <c r="E114" s="96" t="n">
        <f aca="false">IF(OR('CARNET DE SOUDURE'!E114="",'CARNET DE SOUDURE'!R114=""),"",'CARNET DE SOUDURE'!R114)</f>
        <v>45883</v>
      </c>
      <c r="F114" s="81" t="str">
        <f aca="false">IF('CARNET DE SOUDURE'!E114="","",'CARNET DE SOUDURE'!AL114)</f>
        <v>A</v>
      </c>
      <c r="G114" s="81" t="str">
        <f aca="false">IF('CARNET DE SOUDURE'!E114="","",'CARNET DE SOUDURE'!AM114)</f>
        <v>ACCEPTÉ</v>
      </c>
      <c r="H114" s="81" t="str">
        <f aca="false">IF(C114="","",IF(G114="ACCEPTÉ","OUI","NON"))</f>
        <v>OUI</v>
      </c>
      <c r="I114" s="82"/>
      <c r="J114" s="79"/>
      <c r="K114" s="80"/>
      <c r="L114" s="80"/>
      <c r="M114" s="80"/>
      <c r="N114" s="83" t="str">
        <f aca="false">IF(C114="","",IF(I114="",IF(H114="OUI","À ENROBER",IF(G114="À SOUDER","NON SOUDÉ","EN ATTENTE RT")),IF(L114="R","À REPRENDRE",IF(H114&lt;&gt;"OUI","⚠ ENROBÉ AVANT ACCEPTATION RT","ENROBÉ"))))</f>
        <v>À ENROBER</v>
      </c>
      <c r="O114" s="79"/>
    </row>
    <row r="115" customFormat="false" ht="15" hidden="false" customHeight="false" outlineLevel="0" collapsed="false">
      <c r="A115" s="78" t="n">
        <f aca="false">IF('CARNET DE SOUDURE'!E115="","",'CARNET DE SOUDURE'!A115)</f>
        <v>109</v>
      </c>
      <c r="B115" s="93" t="str">
        <f aca="false">IF('CARNET DE SOUDURE'!E115="","",'CARNET DE SOUDURE'!B115&amp;"")</f>
        <v>TFT 716 → TL7-MMFW2</v>
      </c>
      <c r="C115" s="83" t="str">
        <f aca="false">IF('CARNET DE SOUDURE'!E115="","",'CARNET DE SOUDURE'!E115)</f>
        <v>JN°108</v>
      </c>
      <c r="D115" s="78" t="str">
        <f aca="false">IF('CARNET DE SOUDURE'!E115="","",'CARNET DE SOUDURE'!D115&amp;"")</f>
        <v>1.00</v>
      </c>
      <c r="E115" s="96" t="n">
        <f aca="false">IF(OR('CARNET DE SOUDURE'!E115="",'CARNET DE SOUDURE'!R115=""),"",'CARNET DE SOUDURE'!R115)</f>
        <v>45883</v>
      </c>
      <c r="F115" s="81" t="str">
        <f aca="false">IF('CARNET DE SOUDURE'!E115="","",'CARNET DE SOUDURE'!AL115)</f>
        <v>A</v>
      </c>
      <c r="G115" s="81" t="str">
        <f aca="false">IF('CARNET DE SOUDURE'!E115="","",'CARNET DE SOUDURE'!AM115)</f>
        <v>ACCEPTÉ</v>
      </c>
      <c r="H115" s="81" t="str">
        <f aca="false">IF(C115="","",IF(G115="ACCEPTÉ","OUI","NON"))</f>
        <v>OUI</v>
      </c>
      <c r="I115" s="82"/>
      <c r="J115" s="79"/>
      <c r="K115" s="80"/>
      <c r="L115" s="80"/>
      <c r="M115" s="80"/>
      <c r="N115" s="83" t="str">
        <f aca="false">IF(C115="","",IF(I115="",IF(H115="OUI","À ENROBER",IF(G115="À SOUDER","NON SOUDÉ","EN ATTENTE RT")),IF(L115="R","À REPRENDRE",IF(H115&lt;&gt;"OUI","⚠ ENROBÉ AVANT ACCEPTATION RT","ENROBÉ"))))</f>
        <v>À ENROBER</v>
      </c>
      <c r="O115" s="79"/>
    </row>
    <row r="116" customFormat="false" ht="15" hidden="false" customHeight="false" outlineLevel="0" collapsed="false">
      <c r="A116" s="78" t="n">
        <f aca="false">IF('CARNET DE SOUDURE'!E116="","",'CARNET DE SOUDURE'!A116)</f>
        <v>110</v>
      </c>
      <c r="B116" s="93" t="str">
        <f aca="false">IF('CARNET DE SOUDURE'!E116="","",'CARNET DE SOUDURE'!B116&amp;"")</f>
        <v>TFT 716 → TL7-MMFW2</v>
      </c>
      <c r="C116" s="83" t="str">
        <f aca="false">IF('CARNET DE SOUDURE'!E116="","",'CARNET DE SOUDURE'!E116)</f>
        <v>JN°109</v>
      </c>
      <c r="D116" s="78" t="str">
        <f aca="false">IF('CARNET DE SOUDURE'!E116="","",'CARNET DE SOUDURE'!D116&amp;"")</f>
        <v>1.00</v>
      </c>
      <c r="E116" s="96" t="n">
        <f aca="false">IF(OR('CARNET DE SOUDURE'!E116="",'CARNET DE SOUDURE'!R116=""),"",'CARNET DE SOUDURE'!R116)</f>
        <v>45883</v>
      </c>
      <c r="F116" s="81" t="str">
        <f aca="false">IF('CARNET DE SOUDURE'!E116="","",'CARNET DE SOUDURE'!AL116)</f>
        <v>A</v>
      </c>
      <c r="G116" s="81" t="str">
        <f aca="false">IF('CARNET DE SOUDURE'!E116="","",'CARNET DE SOUDURE'!AM116)</f>
        <v>ACCEPTÉ</v>
      </c>
      <c r="H116" s="81" t="str">
        <f aca="false">IF(C116="","",IF(G116="ACCEPTÉ","OUI","NON"))</f>
        <v>OUI</v>
      </c>
      <c r="I116" s="82"/>
      <c r="J116" s="79"/>
      <c r="K116" s="80"/>
      <c r="L116" s="80"/>
      <c r="M116" s="80"/>
      <c r="N116" s="83" t="str">
        <f aca="false">IF(C116="","",IF(I116="",IF(H116="OUI","À ENROBER",IF(G116="À SOUDER","NON SOUDÉ","EN ATTENTE RT")),IF(L116="R","À REPRENDRE",IF(H116&lt;&gt;"OUI","⚠ ENROBÉ AVANT ACCEPTATION RT","ENROBÉ"))))</f>
        <v>À ENROBER</v>
      </c>
      <c r="O116" s="79"/>
    </row>
    <row r="117" customFormat="false" ht="15" hidden="false" customHeight="false" outlineLevel="0" collapsed="false">
      <c r="A117" s="78" t="n">
        <f aca="false">IF('CARNET DE SOUDURE'!E117="","",'CARNET DE SOUDURE'!A117)</f>
        <v>111</v>
      </c>
      <c r="B117" s="93" t="str">
        <f aca="false">IF('CARNET DE SOUDURE'!E117="","",'CARNET DE SOUDURE'!B117&amp;"")</f>
        <v>TFT 716 → TL7-MMFW2</v>
      </c>
      <c r="C117" s="83" t="str">
        <f aca="false">IF('CARNET DE SOUDURE'!E117="","",'CARNET DE SOUDURE'!E117)</f>
        <v>JN°110</v>
      </c>
      <c r="D117" s="78" t="str">
        <f aca="false">IF('CARNET DE SOUDURE'!E117="","",'CARNET DE SOUDURE'!D117&amp;"")</f>
        <v>1.00</v>
      </c>
      <c r="E117" s="96" t="n">
        <f aca="false">IF(OR('CARNET DE SOUDURE'!E117="",'CARNET DE SOUDURE'!R117=""),"",'CARNET DE SOUDURE'!R117)</f>
        <v>45883</v>
      </c>
      <c r="F117" s="81" t="str">
        <f aca="false">IF('CARNET DE SOUDURE'!E117="","",'CARNET DE SOUDURE'!AL117)</f>
        <v>A</v>
      </c>
      <c r="G117" s="81" t="str">
        <f aca="false">IF('CARNET DE SOUDURE'!E117="","",'CARNET DE SOUDURE'!AM117)</f>
        <v>ACCEPTÉ</v>
      </c>
      <c r="H117" s="81" t="str">
        <f aca="false">IF(C117="","",IF(G117="ACCEPTÉ","OUI","NON"))</f>
        <v>OUI</v>
      </c>
      <c r="I117" s="82"/>
      <c r="J117" s="79"/>
      <c r="K117" s="80"/>
      <c r="L117" s="80"/>
      <c r="M117" s="80"/>
      <c r="N117" s="83" t="str">
        <f aca="false">IF(C117="","",IF(I117="",IF(H117="OUI","À ENROBER",IF(G117="À SOUDER","NON SOUDÉ","EN ATTENTE RT")),IF(L117="R","À REPRENDRE",IF(H117&lt;&gt;"OUI","⚠ ENROBÉ AVANT ACCEPTATION RT","ENROBÉ"))))</f>
        <v>À ENROBER</v>
      </c>
      <c r="O117" s="79"/>
    </row>
    <row r="118" customFormat="false" ht="15" hidden="false" customHeight="false" outlineLevel="0" collapsed="false">
      <c r="A118" s="78" t="n">
        <f aca="false">IF('CARNET DE SOUDURE'!E118="","",'CARNET DE SOUDURE'!A118)</f>
        <v>112</v>
      </c>
      <c r="B118" s="93" t="str">
        <f aca="false">IF('CARNET DE SOUDURE'!E118="","",'CARNET DE SOUDURE'!B118&amp;"")</f>
        <v>TFT 716 → TL7-MMFW2</v>
      </c>
      <c r="C118" s="83" t="str">
        <f aca="false">IF('CARNET DE SOUDURE'!E118="","",'CARNET DE SOUDURE'!E118)</f>
        <v>JN°111</v>
      </c>
      <c r="D118" s="78" t="str">
        <f aca="false">IF('CARNET DE SOUDURE'!E118="","",'CARNET DE SOUDURE'!D118&amp;"")</f>
        <v>1.00</v>
      </c>
      <c r="E118" s="96" t="n">
        <f aca="false">IF(OR('CARNET DE SOUDURE'!E118="",'CARNET DE SOUDURE'!R118=""),"",'CARNET DE SOUDURE'!R118)</f>
        <v>45884</v>
      </c>
      <c r="F118" s="81" t="str">
        <f aca="false">IF('CARNET DE SOUDURE'!E118="","",'CARNET DE SOUDURE'!AL118)</f>
        <v>A</v>
      </c>
      <c r="G118" s="81" t="str">
        <f aca="false">IF('CARNET DE SOUDURE'!E118="","",'CARNET DE SOUDURE'!AM118)</f>
        <v>ACCEPTÉ</v>
      </c>
      <c r="H118" s="81" t="str">
        <f aca="false">IF(C118="","",IF(G118="ACCEPTÉ","OUI","NON"))</f>
        <v>OUI</v>
      </c>
      <c r="I118" s="82"/>
      <c r="J118" s="79"/>
      <c r="K118" s="80"/>
      <c r="L118" s="80"/>
      <c r="M118" s="80"/>
      <c r="N118" s="83" t="str">
        <f aca="false">IF(C118="","",IF(I118="",IF(H118="OUI","À ENROBER",IF(G118="À SOUDER","NON SOUDÉ","EN ATTENTE RT")),IF(L118="R","À REPRENDRE",IF(H118&lt;&gt;"OUI","⚠ ENROBÉ AVANT ACCEPTATION RT","ENROBÉ"))))</f>
        <v>À ENROBER</v>
      </c>
      <c r="O118" s="79"/>
    </row>
    <row r="119" customFormat="false" ht="15" hidden="false" customHeight="false" outlineLevel="0" collapsed="false">
      <c r="A119" s="78" t="n">
        <f aca="false">IF('CARNET DE SOUDURE'!E119="","",'CARNET DE SOUDURE'!A119)</f>
        <v>113</v>
      </c>
      <c r="B119" s="93" t="str">
        <f aca="false">IF('CARNET DE SOUDURE'!E119="","",'CARNET DE SOUDURE'!B119&amp;"")</f>
        <v>TFT 716 → TL7-MMFW2</v>
      </c>
      <c r="C119" s="83" t="str">
        <f aca="false">IF('CARNET DE SOUDURE'!E119="","",'CARNET DE SOUDURE'!E119)</f>
        <v>JN°112</v>
      </c>
      <c r="D119" s="78" t="str">
        <f aca="false">IF('CARNET DE SOUDURE'!E119="","",'CARNET DE SOUDURE'!D119&amp;"")</f>
        <v>1.00</v>
      </c>
      <c r="E119" s="96" t="n">
        <f aca="false">IF(OR('CARNET DE SOUDURE'!E119="",'CARNET DE SOUDURE'!R119=""),"",'CARNET DE SOUDURE'!R119)</f>
        <v>45884</v>
      </c>
      <c r="F119" s="81" t="str">
        <f aca="false">IF('CARNET DE SOUDURE'!E119="","",'CARNET DE SOUDURE'!AL119)</f>
        <v>A</v>
      </c>
      <c r="G119" s="81" t="str">
        <f aca="false">IF('CARNET DE SOUDURE'!E119="","",'CARNET DE SOUDURE'!AM119)</f>
        <v>ACCEPTÉ</v>
      </c>
      <c r="H119" s="81" t="str">
        <f aca="false">IF(C119="","",IF(G119="ACCEPTÉ","OUI","NON"))</f>
        <v>OUI</v>
      </c>
      <c r="I119" s="82"/>
      <c r="J119" s="79"/>
      <c r="K119" s="80"/>
      <c r="L119" s="80"/>
      <c r="M119" s="80"/>
      <c r="N119" s="83" t="str">
        <f aca="false">IF(C119="","",IF(I119="",IF(H119="OUI","À ENROBER",IF(G119="À SOUDER","NON SOUDÉ","EN ATTENTE RT")),IF(L119="R","À REPRENDRE",IF(H119&lt;&gt;"OUI","⚠ ENROBÉ AVANT ACCEPTATION RT","ENROBÉ"))))</f>
        <v>À ENROBER</v>
      </c>
      <c r="O119" s="79"/>
    </row>
    <row r="120" customFormat="false" ht="15" hidden="false" customHeight="false" outlineLevel="0" collapsed="false">
      <c r="A120" s="78" t="n">
        <f aca="false">IF('CARNET DE SOUDURE'!E120="","",'CARNET DE SOUDURE'!A120)</f>
        <v>114</v>
      </c>
      <c r="B120" s="93" t="str">
        <f aca="false">IF('CARNET DE SOUDURE'!E120="","",'CARNET DE SOUDURE'!B120&amp;"")</f>
        <v>TFT 716 → TL7-MMFW2</v>
      </c>
      <c r="C120" s="83" t="str">
        <f aca="false">IF('CARNET DE SOUDURE'!E120="","",'CARNET DE SOUDURE'!E120)</f>
        <v>JN°113</v>
      </c>
      <c r="D120" s="78" t="str">
        <f aca="false">IF('CARNET DE SOUDURE'!E120="","",'CARNET DE SOUDURE'!D120&amp;"")</f>
        <v>1.00</v>
      </c>
      <c r="E120" s="96" t="n">
        <f aca="false">IF(OR('CARNET DE SOUDURE'!E120="",'CARNET DE SOUDURE'!R120=""),"",'CARNET DE SOUDURE'!R120)</f>
        <v>45884</v>
      </c>
      <c r="F120" s="81" t="str">
        <f aca="false">IF('CARNET DE SOUDURE'!E120="","",'CARNET DE SOUDURE'!AL120)</f>
        <v>A</v>
      </c>
      <c r="G120" s="81" t="str">
        <f aca="false">IF('CARNET DE SOUDURE'!E120="","",'CARNET DE SOUDURE'!AM120)</f>
        <v>ACCEPTÉ</v>
      </c>
      <c r="H120" s="81" t="str">
        <f aca="false">IF(C120="","",IF(G120="ACCEPTÉ","OUI","NON"))</f>
        <v>OUI</v>
      </c>
      <c r="I120" s="82"/>
      <c r="J120" s="79"/>
      <c r="K120" s="80"/>
      <c r="L120" s="80"/>
      <c r="M120" s="80"/>
      <c r="N120" s="83" t="str">
        <f aca="false">IF(C120="","",IF(I120="",IF(H120="OUI","À ENROBER",IF(G120="À SOUDER","NON SOUDÉ","EN ATTENTE RT")),IF(L120="R","À REPRENDRE",IF(H120&lt;&gt;"OUI","⚠ ENROBÉ AVANT ACCEPTATION RT","ENROBÉ"))))</f>
        <v>À ENROBER</v>
      </c>
      <c r="O120" s="79"/>
    </row>
    <row r="121" customFormat="false" ht="15" hidden="false" customHeight="false" outlineLevel="0" collapsed="false">
      <c r="A121" s="78" t="n">
        <f aca="false">IF('CARNET DE SOUDURE'!E121="","",'CARNET DE SOUDURE'!A121)</f>
        <v>115</v>
      </c>
      <c r="B121" s="93" t="str">
        <f aca="false">IF('CARNET DE SOUDURE'!E121="","",'CARNET DE SOUDURE'!B121&amp;"")</f>
        <v>TFT 716 → TL7-MMFW2</v>
      </c>
      <c r="C121" s="83" t="str">
        <f aca="false">IF('CARNET DE SOUDURE'!E121="","",'CARNET DE SOUDURE'!E121)</f>
        <v>JN°114</v>
      </c>
      <c r="D121" s="78" t="str">
        <f aca="false">IF('CARNET DE SOUDURE'!E121="","",'CARNET DE SOUDURE'!D121&amp;"")</f>
        <v>1.00</v>
      </c>
      <c r="E121" s="96" t="n">
        <f aca="false">IF(OR('CARNET DE SOUDURE'!E121="",'CARNET DE SOUDURE'!R121=""),"",'CARNET DE SOUDURE'!R121)</f>
        <v>45884</v>
      </c>
      <c r="F121" s="81" t="str">
        <f aca="false">IF('CARNET DE SOUDURE'!E121="","",'CARNET DE SOUDURE'!AL121)</f>
        <v>A</v>
      </c>
      <c r="G121" s="81" t="str">
        <f aca="false">IF('CARNET DE SOUDURE'!E121="","",'CARNET DE SOUDURE'!AM121)</f>
        <v>ACCEPTÉ</v>
      </c>
      <c r="H121" s="81" t="str">
        <f aca="false">IF(C121="","",IF(G121="ACCEPTÉ","OUI","NON"))</f>
        <v>OUI</v>
      </c>
      <c r="I121" s="82"/>
      <c r="J121" s="79"/>
      <c r="K121" s="80"/>
      <c r="L121" s="80"/>
      <c r="M121" s="80"/>
      <c r="N121" s="83" t="str">
        <f aca="false">IF(C121="","",IF(I121="",IF(H121="OUI","À ENROBER",IF(G121="À SOUDER","NON SOUDÉ","EN ATTENTE RT")),IF(L121="R","À REPRENDRE",IF(H121&lt;&gt;"OUI","⚠ ENROBÉ AVANT ACCEPTATION RT","ENROBÉ"))))</f>
        <v>À ENROBER</v>
      </c>
      <c r="O121" s="79"/>
    </row>
    <row r="122" customFormat="false" ht="15" hidden="false" customHeight="false" outlineLevel="0" collapsed="false">
      <c r="A122" s="78" t="n">
        <f aca="false">IF('CARNET DE SOUDURE'!E122="","",'CARNET DE SOUDURE'!A122)</f>
        <v>116</v>
      </c>
      <c r="B122" s="93" t="str">
        <f aca="false">IF('CARNET DE SOUDURE'!E122="","",'CARNET DE SOUDURE'!B122&amp;"")</f>
        <v>TFT 716 → TL7-MMFW2</v>
      </c>
      <c r="C122" s="83" t="str">
        <f aca="false">IF('CARNET DE SOUDURE'!E122="","",'CARNET DE SOUDURE'!E122)</f>
        <v>JN°115</v>
      </c>
      <c r="D122" s="78" t="str">
        <f aca="false">IF('CARNET DE SOUDURE'!E122="","",'CARNET DE SOUDURE'!D122&amp;"")</f>
        <v>1.00</v>
      </c>
      <c r="E122" s="96" t="n">
        <f aca="false">IF(OR('CARNET DE SOUDURE'!E122="",'CARNET DE SOUDURE'!R122=""),"",'CARNET DE SOUDURE'!R122)</f>
        <v>45884</v>
      </c>
      <c r="F122" s="81" t="str">
        <f aca="false">IF('CARNET DE SOUDURE'!E122="","",'CARNET DE SOUDURE'!AL122)</f>
        <v>A</v>
      </c>
      <c r="G122" s="81" t="str">
        <f aca="false">IF('CARNET DE SOUDURE'!E122="","",'CARNET DE SOUDURE'!AM122)</f>
        <v>ACCEPTÉ</v>
      </c>
      <c r="H122" s="81" t="str">
        <f aca="false">IF(C122="","",IF(G122="ACCEPTÉ","OUI","NON"))</f>
        <v>OUI</v>
      </c>
      <c r="I122" s="82"/>
      <c r="J122" s="79"/>
      <c r="K122" s="80"/>
      <c r="L122" s="80"/>
      <c r="M122" s="80"/>
      <c r="N122" s="83" t="str">
        <f aca="false">IF(C122="","",IF(I122="",IF(H122="OUI","À ENROBER",IF(G122="À SOUDER","NON SOUDÉ","EN ATTENTE RT")),IF(L122="R","À REPRENDRE",IF(H122&lt;&gt;"OUI","⚠ ENROBÉ AVANT ACCEPTATION RT","ENROBÉ"))))</f>
        <v>À ENROBER</v>
      </c>
      <c r="O122" s="79"/>
    </row>
    <row r="123" customFormat="false" ht="15" hidden="false" customHeight="false" outlineLevel="0" collapsed="false">
      <c r="A123" s="78" t="n">
        <f aca="false">IF('CARNET DE SOUDURE'!E123="","",'CARNET DE SOUDURE'!A123)</f>
        <v>117</v>
      </c>
      <c r="B123" s="93" t="str">
        <f aca="false">IF('CARNET DE SOUDURE'!E123="","",'CARNET DE SOUDURE'!B123&amp;"")</f>
        <v>TFT 716 → TL7-MMFW2</v>
      </c>
      <c r="C123" s="83" t="str">
        <f aca="false">IF('CARNET DE SOUDURE'!E123="","",'CARNET DE SOUDURE'!E123)</f>
        <v>JN°116</v>
      </c>
      <c r="D123" s="78" t="str">
        <f aca="false">IF('CARNET DE SOUDURE'!E123="","",'CARNET DE SOUDURE'!D123&amp;"")</f>
        <v>1.00</v>
      </c>
      <c r="E123" s="96" t="n">
        <f aca="false">IF(OR('CARNET DE SOUDURE'!E123="",'CARNET DE SOUDURE'!R123=""),"",'CARNET DE SOUDURE'!R123)</f>
        <v>45884</v>
      </c>
      <c r="F123" s="81" t="str">
        <f aca="false">IF('CARNET DE SOUDURE'!E123="","",'CARNET DE SOUDURE'!AL123)</f>
        <v>A</v>
      </c>
      <c r="G123" s="81" t="str">
        <f aca="false">IF('CARNET DE SOUDURE'!E123="","",'CARNET DE SOUDURE'!AM123)</f>
        <v>ACCEPTÉ</v>
      </c>
      <c r="H123" s="81" t="str">
        <f aca="false">IF(C123="","",IF(G123="ACCEPTÉ","OUI","NON"))</f>
        <v>OUI</v>
      </c>
      <c r="I123" s="82"/>
      <c r="J123" s="79"/>
      <c r="K123" s="80"/>
      <c r="L123" s="80"/>
      <c r="M123" s="80"/>
      <c r="N123" s="83" t="str">
        <f aca="false">IF(C123="","",IF(I123="",IF(H123="OUI","À ENROBER",IF(G123="À SOUDER","NON SOUDÉ","EN ATTENTE RT")),IF(L123="R","À REPRENDRE",IF(H123&lt;&gt;"OUI","⚠ ENROBÉ AVANT ACCEPTATION RT","ENROBÉ"))))</f>
        <v>À ENROBER</v>
      </c>
      <c r="O123" s="79"/>
    </row>
    <row r="124" customFormat="false" ht="15" hidden="false" customHeight="false" outlineLevel="0" collapsed="false">
      <c r="A124" s="78" t="n">
        <f aca="false">IF('CARNET DE SOUDURE'!E124="","",'CARNET DE SOUDURE'!A124)</f>
        <v>118</v>
      </c>
      <c r="B124" s="93" t="str">
        <f aca="false">IF('CARNET DE SOUDURE'!E124="","",'CARNET DE SOUDURE'!B124&amp;"")</f>
        <v>TFT 716 → TL7-MMFW2</v>
      </c>
      <c r="C124" s="83" t="str">
        <f aca="false">IF('CARNET DE SOUDURE'!E124="","",'CARNET DE SOUDURE'!E124)</f>
        <v>JN°117</v>
      </c>
      <c r="D124" s="78" t="str">
        <f aca="false">IF('CARNET DE SOUDURE'!E124="","",'CARNET DE SOUDURE'!D124&amp;"")</f>
        <v>1.00</v>
      </c>
      <c r="E124" s="96" t="n">
        <f aca="false">IF(OR('CARNET DE SOUDURE'!E124="",'CARNET DE SOUDURE'!R124=""),"",'CARNET DE SOUDURE'!R124)</f>
        <v>45884</v>
      </c>
      <c r="F124" s="81" t="str">
        <f aca="false">IF('CARNET DE SOUDURE'!E124="","",'CARNET DE SOUDURE'!AL124)</f>
        <v>A</v>
      </c>
      <c r="G124" s="81" t="str">
        <f aca="false">IF('CARNET DE SOUDURE'!E124="","",'CARNET DE SOUDURE'!AM124)</f>
        <v>ACCEPTÉ</v>
      </c>
      <c r="H124" s="81" t="str">
        <f aca="false">IF(C124="","",IF(G124="ACCEPTÉ","OUI","NON"))</f>
        <v>OUI</v>
      </c>
      <c r="I124" s="82"/>
      <c r="J124" s="79"/>
      <c r="K124" s="80"/>
      <c r="L124" s="80"/>
      <c r="M124" s="80"/>
      <c r="N124" s="83" t="str">
        <f aca="false">IF(C124="","",IF(I124="",IF(H124="OUI","À ENROBER",IF(G124="À SOUDER","NON SOUDÉ","EN ATTENTE RT")),IF(L124="R","À REPRENDRE",IF(H124&lt;&gt;"OUI","⚠ ENROBÉ AVANT ACCEPTATION RT","ENROBÉ"))))</f>
        <v>À ENROBER</v>
      </c>
      <c r="O124" s="79"/>
    </row>
    <row r="125" customFormat="false" ht="15" hidden="false" customHeight="false" outlineLevel="0" collapsed="false">
      <c r="A125" s="78" t="n">
        <f aca="false">IF('CARNET DE SOUDURE'!E125="","",'CARNET DE SOUDURE'!A125)</f>
        <v>119</v>
      </c>
      <c r="B125" s="93" t="str">
        <f aca="false">IF('CARNET DE SOUDURE'!E125="","",'CARNET DE SOUDURE'!B125&amp;"")</f>
        <v>TFT 716 → TL7-MMFW2</v>
      </c>
      <c r="C125" s="83" t="str">
        <f aca="false">IF('CARNET DE SOUDURE'!E125="","",'CARNET DE SOUDURE'!E125)</f>
        <v>JN°118</v>
      </c>
      <c r="D125" s="78" t="str">
        <f aca="false">IF('CARNET DE SOUDURE'!E125="","",'CARNET DE SOUDURE'!D125&amp;"")</f>
        <v>1.00</v>
      </c>
      <c r="E125" s="96" t="n">
        <f aca="false">IF(OR('CARNET DE SOUDURE'!E125="",'CARNET DE SOUDURE'!R125=""),"",'CARNET DE SOUDURE'!R125)</f>
        <v>45884</v>
      </c>
      <c r="F125" s="81" t="str">
        <f aca="false">IF('CARNET DE SOUDURE'!E125="","",'CARNET DE SOUDURE'!AL125)</f>
        <v>A</v>
      </c>
      <c r="G125" s="81" t="str">
        <f aca="false">IF('CARNET DE SOUDURE'!E125="","",'CARNET DE SOUDURE'!AM125)</f>
        <v>ACCEPTÉ</v>
      </c>
      <c r="H125" s="81" t="str">
        <f aca="false">IF(C125="","",IF(G125="ACCEPTÉ","OUI","NON"))</f>
        <v>OUI</v>
      </c>
      <c r="I125" s="82"/>
      <c r="J125" s="79"/>
      <c r="K125" s="80"/>
      <c r="L125" s="80"/>
      <c r="M125" s="80"/>
      <c r="N125" s="83" t="str">
        <f aca="false">IF(C125="","",IF(I125="",IF(H125="OUI","À ENROBER",IF(G125="À SOUDER","NON SOUDÉ","EN ATTENTE RT")),IF(L125="R","À REPRENDRE",IF(H125&lt;&gt;"OUI","⚠ ENROBÉ AVANT ACCEPTATION RT","ENROBÉ"))))</f>
        <v>À ENROBER</v>
      </c>
      <c r="O125" s="79"/>
    </row>
    <row r="126" customFormat="false" ht="15" hidden="false" customHeight="false" outlineLevel="0" collapsed="false">
      <c r="A126" s="78" t="n">
        <f aca="false">IF('CARNET DE SOUDURE'!E126="","",'CARNET DE SOUDURE'!A126)</f>
        <v>120</v>
      </c>
      <c r="B126" s="93" t="str">
        <f aca="false">IF('CARNET DE SOUDURE'!E126="","",'CARNET DE SOUDURE'!B126&amp;"")</f>
        <v>TFT 716 → TL7-MMFW2</v>
      </c>
      <c r="C126" s="83" t="str">
        <f aca="false">IF('CARNET DE SOUDURE'!E126="","",'CARNET DE SOUDURE'!E126)</f>
        <v>JN°119</v>
      </c>
      <c r="D126" s="78" t="str">
        <f aca="false">IF('CARNET DE SOUDURE'!E126="","",'CARNET DE SOUDURE'!D126&amp;"")</f>
        <v>1.00</v>
      </c>
      <c r="E126" s="96" t="n">
        <f aca="false">IF(OR('CARNET DE SOUDURE'!E126="",'CARNET DE SOUDURE'!R126=""),"",'CARNET DE SOUDURE'!R126)</f>
        <v>45885</v>
      </c>
      <c r="F126" s="81" t="str">
        <f aca="false">IF('CARNET DE SOUDURE'!E126="","",'CARNET DE SOUDURE'!AL126)</f>
        <v>A</v>
      </c>
      <c r="G126" s="81" t="str">
        <f aca="false">IF('CARNET DE SOUDURE'!E126="","",'CARNET DE SOUDURE'!AM126)</f>
        <v>ACCEPTÉ</v>
      </c>
      <c r="H126" s="81" t="str">
        <f aca="false">IF(C126="","",IF(G126="ACCEPTÉ","OUI","NON"))</f>
        <v>OUI</v>
      </c>
      <c r="I126" s="82"/>
      <c r="J126" s="79"/>
      <c r="K126" s="80"/>
      <c r="L126" s="80"/>
      <c r="M126" s="80"/>
      <c r="N126" s="83" t="str">
        <f aca="false">IF(C126="","",IF(I126="",IF(H126="OUI","À ENROBER",IF(G126="À SOUDER","NON SOUDÉ","EN ATTENTE RT")),IF(L126="R","À REPRENDRE",IF(H126&lt;&gt;"OUI","⚠ ENROBÉ AVANT ACCEPTATION RT","ENROBÉ"))))</f>
        <v>À ENROBER</v>
      </c>
      <c r="O126" s="79"/>
    </row>
    <row r="127" customFormat="false" ht="15" hidden="false" customHeight="false" outlineLevel="0" collapsed="false">
      <c r="A127" s="78" t="n">
        <f aca="false">IF('CARNET DE SOUDURE'!E127="","",'CARNET DE SOUDURE'!A127)</f>
        <v>121</v>
      </c>
      <c r="B127" s="93" t="str">
        <f aca="false">IF('CARNET DE SOUDURE'!E127="","",'CARNET DE SOUDURE'!B127&amp;"")</f>
        <v>TFT 716 → TL7-MMFW2</v>
      </c>
      <c r="C127" s="83" t="str">
        <f aca="false">IF('CARNET DE SOUDURE'!E127="","",'CARNET DE SOUDURE'!E127)</f>
        <v>JN°120</v>
      </c>
      <c r="D127" s="78" t="str">
        <f aca="false">IF('CARNET DE SOUDURE'!E127="","",'CARNET DE SOUDURE'!D127&amp;"")</f>
        <v>1.00</v>
      </c>
      <c r="E127" s="96" t="n">
        <f aca="false">IF(OR('CARNET DE SOUDURE'!E127="",'CARNET DE SOUDURE'!R127=""),"",'CARNET DE SOUDURE'!R127)</f>
        <v>45885</v>
      </c>
      <c r="F127" s="81" t="str">
        <f aca="false">IF('CARNET DE SOUDURE'!E127="","",'CARNET DE SOUDURE'!AL127)</f>
        <v>A</v>
      </c>
      <c r="G127" s="81" t="str">
        <f aca="false">IF('CARNET DE SOUDURE'!E127="","",'CARNET DE SOUDURE'!AM127)</f>
        <v>ACCEPTÉ</v>
      </c>
      <c r="H127" s="81" t="str">
        <f aca="false">IF(C127="","",IF(G127="ACCEPTÉ","OUI","NON"))</f>
        <v>OUI</v>
      </c>
      <c r="I127" s="82"/>
      <c r="J127" s="79"/>
      <c r="K127" s="80"/>
      <c r="L127" s="80"/>
      <c r="M127" s="80"/>
      <c r="N127" s="83" t="str">
        <f aca="false">IF(C127="","",IF(I127="",IF(H127="OUI","À ENROBER",IF(G127="À SOUDER","NON SOUDÉ","EN ATTENTE RT")),IF(L127="R","À REPRENDRE",IF(H127&lt;&gt;"OUI","⚠ ENROBÉ AVANT ACCEPTATION RT","ENROBÉ"))))</f>
        <v>À ENROBER</v>
      </c>
      <c r="O127" s="79"/>
    </row>
    <row r="128" customFormat="false" ht="15" hidden="false" customHeight="false" outlineLevel="0" collapsed="false">
      <c r="A128" s="78" t="n">
        <f aca="false">IF('CARNET DE SOUDURE'!E128="","",'CARNET DE SOUDURE'!A128)</f>
        <v>122</v>
      </c>
      <c r="B128" s="93" t="str">
        <f aca="false">IF('CARNET DE SOUDURE'!E128="","",'CARNET DE SOUDURE'!B128&amp;"")</f>
        <v>TFT 716 → TL7-MMFW2</v>
      </c>
      <c r="C128" s="83" t="str">
        <f aca="false">IF('CARNET DE SOUDURE'!E128="","",'CARNET DE SOUDURE'!E128)</f>
        <v>JN°121</v>
      </c>
      <c r="D128" s="78" t="str">
        <f aca="false">IF('CARNET DE SOUDURE'!E128="","",'CARNET DE SOUDURE'!D128&amp;"")</f>
        <v>1.00</v>
      </c>
      <c r="E128" s="96" t="n">
        <f aca="false">IF(OR('CARNET DE SOUDURE'!E128="",'CARNET DE SOUDURE'!R128=""),"",'CARNET DE SOUDURE'!R128)</f>
        <v>45885</v>
      </c>
      <c r="F128" s="81" t="str">
        <f aca="false">IF('CARNET DE SOUDURE'!E128="","",'CARNET DE SOUDURE'!AL128)</f>
        <v>A</v>
      </c>
      <c r="G128" s="81" t="str">
        <f aca="false">IF('CARNET DE SOUDURE'!E128="","",'CARNET DE SOUDURE'!AM128)</f>
        <v>ACCEPTÉ</v>
      </c>
      <c r="H128" s="81" t="str">
        <f aca="false">IF(C128="","",IF(G128="ACCEPTÉ","OUI","NON"))</f>
        <v>OUI</v>
      </c>
      <c r="I128" s="82"/>
      <c r="J128" s="79"/>
      <c r="K128" s="80"/>
      <c r="L128" s="80"/>
      <c r="M128" s="80"/>
      <c r="N128" s="83" t="str">
        <f aca="false">IF(C128="","",IF(I128="",IF(H128="OUI","À ENROBER",IF(G128="À SOUDER","NON SOUDÉ","EN ATTENTE RT")),IF(L128="R","À REPRENDRE",IF(H128&lt;&gt;"OUI","⚠ ENROBÉ AVANT ACCEPTATION RT","ENROBÉ"))))</f>
        <v>À ENROBER</v>
      </c>
      <c r="O128" s="79"/>
    </row>
    <row r="129" customFormat="false" ht="15" hidden="false" customHeight="false" outlineLevel="0" collapsed="false">
      <c r="A129" s="78" t="n">
        <f aca="false">IF('CARNET DE SOUDURE'!E129="","",'CARNET DE SOUDURE'!A129)</f>
        <v>123</v>
      </c>
      <c r="B129" s="93" t="str">
        <f aca="false">IF('CARNET DE SOUDURE'!E129="","",'CARNET DE SOUDURE'!B129&amp;"")</f>
        <v>TFT 716 → TL7-MMFW2</v>
      </c>
      <c r="C129" s="83" t="str">
        <f aca="false">IF('CARNET DE SOUDURE'!E129="","",'CARNET DE SOUDURE'!E129)</f>
        <v>JN°122R</v>
      </c>
      <c r="D129" s="78" t="str">
        <f aca="false">IF('CARNET DE SOUDURE'!E129="","",'CARNET DE SOUDURE'!D129&amp;"")</f>
        <v>1.00</v>
      </c>
      <c r="E129" s="96" t="n">
        <f aca="false">IF(OR('CARNET DE SOUDURE'!E129="",'CARNET DE SOUDURE'!R129=""),"",'CARNET DE SOUDURE'!R129)</f>
        <v>45885</v>
      </c>
      <c r="F129" s="81" t="str">
        <f aca="false">IF('CARNET DE SOUDURE'!E129="","",'CARNET DE SOUDURE'!AL129)</f>
        <v>A</v>
      </c>
      <c r="G129" s="81" t="str">
        <f aca="false">IF('CARNET DE SOUDURE'!E129="","",'CARNET DE SOUDURE'!AM129)</f>
        <v>ACCEPTÉ</v>
      </c>
      <c r="H129" s="81" t="str">
        <f aca="false">IF(C129="","",IF(G129="ACCEPTÉ","OUI","NON"))</f>
        <v>OUI</v>
      </c>
      <c r="I129" s="82"/>
      <c r="J129" s="79"/>
      <c r="K129" s="80"/>
      <c r="L129" s="80"/>
      <c r="M129" s="80"/>
      <c r="N129" s="83" t="str">
        <f aca="false">IF(C129="","",IF(I129="",IF(H129="OUI","À ENROBER",IF(G129="À SOUDER","NON SOUDÉ","EN ATTENTE RT")),IF(L129="R","À REPRENDRE",IF(H129&lt;&gt;"OUI","⚠ ENROBÉ AVANT ACCEPTATION RT","ENROBÉ"))))</f>
        <v>À ENROBER</v>
      </c>
      <c r="O129" s="79"/>
    </row>
    <row r="130" customFormat="false" ht="15" hidden="false" customHeight="false" outlineLevel="0" collapsed="false">
      <c r="A130" s="78" t="n">
        <f aca="false">IF('CARNET DE SOUDURE'!E130="","",'CARNET DE SOUDURE'!A130)</f>
        <v>124</v>
      </c>
      <c r="B130" s="93" t="str">
        <f aca="false">IF('CARNET DE SOUDURE'!E130="","",'CARNET DE SOUDURE'!B130&amp;"")</f>
        <v>TFT 716 → TL7-MMFW2</v>
      </c>
      <c r="C130" s="83" t="str">
        <f aca="false">IF('CARNET DE SOUDURE'!E130="","",'CARNET DE SOUDURE'!E130)</f>
        <v>JN°123</v>
      </c>
      <c r="D130" s="78" t="str">
        <f aca="false">IF('CARNET DE SOUDURE'!E130="","",'CARNET DE SOUDURE'!D130&amp;"")</f>
        <v>1.00</v>
      </c>
      <c r="E130" s="96" t="n">
        <f aca="false">IF(OR('CARNET DE SOUDURE'!E130="",'CARNET DE SOUDURE'!R130=""),"",'CARNET DE SOUDURE'!R130)</f>
        <v>45885</v>
      </c>
      <c r="F130" s="81" t="str">
        <f aca="false">IF('CARNET DE SOUDURE'!E130="","",'CARNET DE SOUDURE'!AL130)</f>
        <v>A</v>
      </c>
      <c r="G130" s="81" t="str">
        <f aca="false">IF('CARNET DE SOUDURE'!E130="","",'CARNET DE SOUDURE'!AM130)</f>
        <v>ACCEPTÉ</v>
      </c>
      <c r="H130" s="81" t="str">
        <f aca="false">IF(C130="","",IF(G130="ACCEPTÉ","OUI","NON"))</f>
        <v>OUI</v>
      </c>
      <c r="I130" s="82"/>
      <c r="J130" s="79"/>
      <c r="K130" s="80"/>
      <c r="L130" s="80"/>
      <c r="M130" s="80"/>
      <c r="N130" s="83" t="str">
        <f aca="false">IF(C130="","",IF(I130="",IF(H130="OUI","À ENROBER",IF(G130="À SOUDER","NON SOUDÉ","EN ATTENTE RT")),IF(L130="R","À REPRENDRE",IF(H130&lt;&gt;"OUI","⚠ ENROBÉ AVANT ACCEPTATION RT","ENROBÉ"))))</f>
        <v>À ENROBER</v>
      </c>
      <c r="O130" s="79"/>
    </row>
    <row r="131" customFormat="false" ht="15" hidden="false" customHeight="false" outlineLevel="0" collapsed="false">
      <c r="A131" s="78" t="n">
        <f aca="false">IF('CARNET DE SOUDURE'!E131="","",'CARNET DE SOUDURE'!A131)</f>
        <v>125</v>
      </c>
      <c r="B131" s="93" t="str">
        <f aca="false">IF('CARNET DE SOUDURE'!E131="","",'CARNET DE SOUDURE'!B131&amp;"")</f>
        <v>TFT 716 → TL7-MMFW2</v>
      </c>
      <c r="C131" s="83" t="str">
        <f aca="false">IF('CARNET DE SOUDURE'!E131="","",'CARNET DE SOUDURE'!E131)</f>
        <v>JN°124</v>
      </c>
      <c r="D131" s="78" t="str">
        <f aca="false">IF('CARNET DE SOUDURE'!E131="","",'CARNET DE SOUDURE'!D131&amp;"")</f>
        <v>1.00</v>
      </c>
      <c r="E131" s="96" t="n">
        <f aca="false">IF(OR('CARNET DE SOUDURE'!E131="",'CARNET DE SOUDURE'!R131=""),"",'CARNET DE SOUDURE'!R131)</f>
        <v>45885</v>
      </c>
      <c r="F131" s="81" t="str">
        <f aca="false">IF('CARNET DE SOUDURE'!E131="","",'CARNET DE SOUDURE'!AL131)</f>
        <v>A</v>
      </c>
      <c r="G131" s="81" t="str">
        <f aca="false">IF('CARNET DE SOUDURE'!E131="","",'CARNET DE SOUDURE'!AM131)</f>
        <v>ACCEPTÉ</v>
      </c>
      <c r="H131" s="81" t="str">
        <f aca="false">IF(C131="","",IF(G131="ACCEPTÉ","OUI","NON"))</f>
        <v>OUI</v>
      </c>
      <c r="I131" s="82"/>
      <c r="J131" s="79"/>
      <c r="K131" s="80"/>
      <c r="L131" s="80"/>
      <c r="M131" s="80"/>
      <c r="N131" s="83" t="str">
        <f aca="false">IF(C131="","",IF(I131="",IF(H131="OUI","À ENROBER",IF(G131="À SOUDER","NON SOUDÉ","EN ATTENTE RT")),IF(L131="R","À REPRENDRE",IF(H131&lt;&gt;"OUI","⚠ ENROBÉ AVANT ACCEPTATION RT","ENROBÉ"))))</f>
        <v>À ENROBER</v>
      </c>
      <c r="O131" s="79"/>
    </row>
    <row r="132" customFormat="false" ht="15" hidden="false" customHeight="false" outlineLevel="0" collapsed="false">
      <c r="A132" s="78" t="n">
        <f aca="false">IF('CARNET DE SOUDURE'!E132="","",'CARNET DE SOUDURE'!A132)</f>
        <v>126</v>
      </c>
      <c r="B132" s="93" t="str">
        <f aca="false">IF('CARNET DE SOUDURE'!E132="","",'CARNET DE SOUDURE'!B132&amp;"")</f>
        <v>TFT 716 → TL7-MMFW2</v>
      </c>
      <c r="C132" s="83" t="str">
        <f aca="false">IF('CARNET DE SOUDURE'!E132="","",'CARNET DE SOUDURE'!E132)</f>
        <v>JN°125</v>
      </c>
      <c r="D132" s="78" t="str">
        <f aca="false">IF('CARNET DE SOUDURE'!E132="","",'CARNET DE SOUDURE'!D132&amp;"")</f>
        <v>1.00</v>
      </c>
      <c r="E132" s="96" t="n">
        <f aca="false">IF(OR('CARNET DE SOUDURE'!E132="",'CARNET DE SOUDURE'!R132=""),"",'CARNET DE SOUDURE'!R132)</f>
        <v>45885</v>
      </c>
      <c r="F132" s="81" t="str">
        <f aca="false">IF('CARNET DE SOUDURE'!E132="","",'CARNET DE SOUDURE'!AL132)</f>
        <v>A</v>
      </c>
      <c r="G132" s="81" t="str">
        <f aca="false">IF('CARNET DE SOUDURE'!E132="","",'CARNET DE SOUDURE'!AM132)</f>
        <v>ACCEPTÉ</v>
      </c>
      <c r="H132" s="81" t="str">
        <f aca="false">IF(C132="","",IF(G132="ACCEPTÉ","OUI","NON"))</f>
        <v>OUI</v>
      </c>
      <c r="I132" s="82"/>
      <c r="J132" s="79"/>
      <c r="K132" s="80"/>
      <c r="L132" s="80"/>
      <c r="M132" s="80"/>
      <c r="N132" s="83" t="str">
        <f aca="false">IF(C132="","",IF(I132="",IF(H132="OUI","À ENROBER",IF(G132="À SOUDER","NON SOUDÉ","EN ATTENTE RT")),IF(L132="R","À REPRENDRE",IF(H132&lt;&gt;"OUI","⚠ ENROBÉ AVANT ACCEPTATION RT","ENROBÉ"))))</f>
        <v>À ENROBER</v>
      </c>
      <c r="O132" s="79"/>
    </row>
    <row r="133" customFormat="false" ht="15" hidden="false" customHeight="false" outlineLevel="0" collapsed="false">
      <c r="A133" s="78" t="n">
        <f aca="false">IF('CARNET DE SOUDURE'!E133="","",'CARNET DE SOUDURE'!A133)</f>
        <v>127</v>
      </c>
      <c r="B133" s="93" t="str">
        <f aca="false">IF('CARNET DE SOUDURE'!E133="","",'CARNET DE SOUDURE'!B133&amp;"")</f>
        <v>TFT 716 → TL7-MMFW2</v>
      </c>
      <c r="C133" s="83" t="str">
        <f aca="false">IF('CARNET DE SOUDURE'!E133="","",'CARNET DE SOUDURE'!E133)</f>
        <v>JN°126</v>
      </c>
      <c r="D133" s="78" t="str">
        <f aca="false">IF('CARNET DE SOUDURE'!E133="","",'CARNET DE SOUDURE'!D133&amp;"")</f>
        <v>1.00</v>
      </c>
      <c r="E133" s="96" t="n">
        <f aca="false">IF(OR('CARNET DE SOUDURE'!E133="",'CARNET DE SOUDURE'!R133=""),"",'CARNET DE SOUDURE'!R133)</f>
        <v>45885</v>
      </c>
      <c r="F133" s="81" t="str">
        <f aca="false">IF('CARNET DE SOUDURE'!E133="","",'CARNET DE SOUDURE'!AL133)</f>
        <v>A</v>
      </c>
      <c r="G133" s="81" t="str">
        <f aca="false">IF('CARNET DE SOUDURE'!E133="","",'CARNET DE SOUDURE'!AM133)</f>
        <v>ACCEPTÉ</v>
      </c>
      <c r="H133" s="81" t="str">
        <f aca="false">IF(C133="","",IF(G133="ACCEPTÉ","OUI","NON"))</f>
        <v>OUI</v>
      </c>
      <c r="I133" s="82"/>
      <c r="J133" s="79"/>
      <c r="K133" s="80"/>
      <c r="L133" s="80"/>
      <c r="M133" s="80"/>
      <c r="N133" s="83" t="str">
        <f aca="false">IF(C133="","",IF(I133="",IF(H133="OUI","À ENROBER",IF(G133="À SOUDER","NON SOUDÉ","EN ATTENTE RT")),IF(L133="R","À REPRENDRE",IF(H133&lt;&gt;"OUI","⚠ ENROBÉ AVANT ACCEPTATION RT","ENROBÉ"))))</f>
        <v>À ENROBER</v>
      </c>
      <c r="O133" s="79"/>
    </row>
    <row r="134" customFormat="false" ht="15" hidden="false" customHeight="false" outlineLevel="0" collapsed="false">
      <c r="A134" s="78" t="n">
        <f aca="false">IF('CARNET DE SOUDURE'!E134="","",'CARNET DE SOUDURE'!A134)</f>
        <v>128</v>
      </c>
      <c r="B134" s="93" t="str">
        <f aca="false">IF('CARNET DE SOUDURE'!E134="","",'CARNET DE SOUDURE'!B134&amp;"")</f>
        <v>TFT 716 → TL7-MMFW2</v>
      </c>
      <c r="C134" s="83" t="str">
        <f aca="false">IF('CARNET DE SOUDURE'!E134="","",'CARNET DE SOUDURE'!E134)</f>
        <v>JN°127</v>
      </c>
      <c r="D134" s="78" t="str">
        <f aca="false">IF('CARNET DE SOUDURE'!E134="","",'CARNET DE SOUDURE'!D134&amp;"")</f>
        <v>1.00</v>
      </c>
      <c r="E134" s="96" t="n">
        <f aca="false">IF(OR('CARNET DE SOUDURE'!E134="",'CARNET DE SOUDURE'!R134=""),"",'CARNET DE SOUDURE'!R134)</f>
        <v>45885</v>
      </c>
      <c r="F134" s="81" t="str">
        <f aca="false">IF('CARNET DE SOUDURE'!E134="","",'CARNET DE SOUDURE'!AL134)</f>
        <v>A</v>
      </c>
      <c r="G134" s="81" t="str">
        <f aca="false">IF('CARNET DE SOUDURE'!E134="","",'CARNET DE SOUDURE'!AM134)</f>
        <v>ACCEPTÉ</v>
      </c>
      <c r="H134" s="81" t="str">
        <f aca="false">IF(C134="","",IF(G134="ACCEPTÉ","OUI","NON"))</f>
        <v>OUI</v>
      </c>
      <c r="I134" s="82"/>
      <c r="J134" s="79"/>
      <c r="K134" s="80"/>
      <c r="L134" s="80"/>
      <c r="M134" s="80"/>
      <c r="N134" s="83" t="str">
        <f aca="false">IF(C134="","",IF(I134="",IF(H134="OUI","À ENROBER",IF(G134="À SOUDER","NON SOUDÉ","EN ATTENTE RT")),IF(L134="R","À REPRENDRE",IF(H134&lt;&gt;"OUI","⚠ ENROBÉ AVANT ACCEPTATION RT","ENROBÉ"))))</f>
        <v>À ENROBER</v>
      </c>
      <c r="O134" s="79"/>
    </row>
    <row r="135" customFormat="false" ht="15" hidden="false" customHeight="false" outlineLevel="0" collapsed="false">
      <c r="A135" s="78" t="n">
        <f aca="false">IF('CARNET DE SOUDURE'!E135="","",'CARNET DE SOUDURE'!A135)</f>
        <v>129</v>
      </c>
      <c r="B135" s="93" t="str">
        <f aca="false">IF('CARNET DE SOUDURE'!E135="","",'CARNET DE SOUDURE'!B135&amp;"")</f>
        <v>TFT 716 → TL7-MMFW2</v>
      </c>
      <c r="C135" s="83" t="str">
        <f aca="false">IF('CARNET DE SOUDURE'!E135="","",'CARNET DE SOUDURE'!E135)</f>
        <v>JN°128</v>
      </c>
      <c r="D135" s="78" t="str">
        <f aca="false">IF('CARNET DE SOUDURE'!E135="","",'CARNET DE SOUDURE'!D135&amp;"")</f>
        <v>1.00</v>
      </c>
      <c r="E135" s="96" t="n">
        <f aca="false">IF(OR('CARNET DE SOUDURE'!E135="",'CARNET DE SOUDURE'!R135=""),"",'CARNET DE SOUDURE'!R135)</f>
        <v>45885</v>
      </c>
      <c r="F135" s="81" t="str">
        <f aca="false">IF('CARNET DE SOUDURE'!E135="","",'CARNET DE SOUDURE'!AL135)</f>
        <v>A</v>
      </c>
      <c r="G135" s="81" t="str">
        <f aca="false">IF('CARNET DE SOUDURE'!E135="","",'CARNET DE SOUDURE'!AM135)</f>
        <v>ACCEPTÉ</v>
      </c>
      <c r="H135" s="81" t="str">
        <f aca="false">IF(C135="","",IF(G135="ACCEPTÉ","OUI","NON"))</f>
        <v>OUI</v>
      </c>
      <c r="I135" s="82"/>
      <c r="J135" s="79"/>
      <c r="K135" s="80"/>
      <c r="L135" s="80"/>
      <c r="M135" s="80"/>
      <c r="N135" s="83" t="str">
        <f aca="false">IF(C135="","",IF(I135="",IF(H135="OUI","À ENROBER",IF(G135="À SOUDER","NON SOUDÉ","EN ATTENTE RT")),IF(L135="R","À REPRENDRE",IF(H135&lt;&gt;"OUI","⚠ ENROBÉ AVANT ACCEPTATION RT","ENROBÉ"))))</f>
        <v>À ENROBER</v>
      </c>
      <c r="O135" s="79"/>
    </row>
    <row r="136" customFormat="false" ht="15" hidden="false" customHeight="false" outlineLevel="0" collapsed="false">
      <c r="A136" s="78" t="n">
        <f aca="false">IF('CARNET DE SOUDURE'!E136="","",'CARNET DE SOUDURE'!A136)</f>
        <v>130</v>
      </c>
      <c r="B136" s="93" t="str">
        <f aca="false">IF('CARNET DE SOUDURE'!E136="","",'CARNET DE SOUDURE'!B136&amp;"")</f>
        <v>TFT 716 → TL7-MMFW2</v>
      </c>
      <c r="C136" s="83" t="str">
        <f aca="false">IF('CARNET DE SOUDURE'!E136="","",'CARNET DE SOUDURE'!E136)</f>
        <v>JN°129</v>
      </c>
      <c r="D136" s="78" t="str">
        <f aca="false">IF('CARNET DE SOUDURE'!E136="","",'CARNET DE SOUDURE'!D136&amp;"")</f>
        <v>1.00</v>
      </c>
      <c r="E136" s="96" t="n">
        <f aca="false">IF(OR('CARNET DE SOUDURE'!E136="",'CARNET DE SOUDURE'!R136=""),"",'CARNET DE SOUDURE'!R136)</f>
        <v>45885</v>
      </c>
      <c r="F136" s="81" t="str">
        <f aca="false">IF('CARNET DE SOUDURE'!E136="","",'CARNET DE SOUDURE'!AL136)</f>
        <v>A</v>
      </c>
      <c r="G136" s="81" t="str">
        <f aca="false">IF('CARNET DE SOUDURE'!E136="","",'CARNET DE SOUDURE'!AM136)</f>
        <v>ACCEPTÉ</v>
      </c>
      <c r="H136" s="81" t="str">
        <f aca="false">IF(C136="","",IF(G136="ACCEPTÉ","OUI","NON"))</f>
        <v>OUI</v>
      </c>
      <c r="I136" s="82"/>
      <c r="J136" s="79"/>
      <c r="K136" s="80"/>
      <c r="L136" s="80"/>
      <c r="M136" s="80"/>
      <c r="N136" s="83" t="str">
        <f aca="false">IF(C136="","",IF(I136="",IF(H136="OUI","À ENROBER",IF(G136="À SOUDER","NON SOUDÉ","EN ATTENTE RT")),IF(L136="R","À REPRENDRE",IF(H136&lt;&gt;"OUI","⚠ ENROBÉ AVANT ACCEPTATION RT","ENROBÉ"))))</f>
        <v>À ENROBER</v>
      </c>
      <c r="O136" s="79"/>
    </row>
    <row r="137" customFormat="false" ht="15" hidden="false" customHeight="false" outlineLevel="0" collapsed="false">
      <c r="A137" s="78" t="n">
        <f aca="false">IF('CARNET DE SOUDURE'!E137="","",'CARNET DE SOUDURE'!A137)</f>
        <v>131</v>
      </c>
      <c r="B137" s="93" t="str">
        <f aca="false">IF('CARNET DE SOUDURE'!E137="","",'CARNET DE SOUDURE'!B137&amp;"")</f>
        <v>TFT 716 → TL7-MMFW2</v>
      </c>
      <c r="C137" s="83" t="str">
        <f aca="false">IF('CARNET DE SOUDURE'!E137="","",'CARNET DE SOUDURE'!E137)</f>
        <v>JN°130</v>
      </c>
      <c r="D137" s="78" t="str">
        <f aca="false">IF('CARNET DE SOUDURE'!E137="","",'CARNET DE SOUDURE'!D137&amp;"")</f>
        <v>1.00</v>
      </c>
      <c r="E137" s="96" t="n">
        <f aca="false">IF(OR('CARNET DE SOUDURE'!E137="",'CARNET DE SOUDURE'!R137=""),"",'CARNET DE SOUDURE'!R137)</f>
        <v>45885</v>
      </c>
      <c r="F137" s="81" t="str">
        <f aca="false">IF('CARNET DE SOUDURE'!E137="","",'CARNET DE SOUDURE'!AL137)</f>
        <v>A</v>
      </c>
      <c r="G137" s="81" t="str">
        <f aca="false">IF('CARNET DE SOUDURE'!E137="","",'CARNET DE SOUDURE'!AM137)</f>
        <v>ACCEPTÉ</v>
      </c>
      <c r="H137" s="81" t="str">
        <f aca="false">IF(C137="","",IF(G137="ACCEPTÉ","OUI","NON"))</f>
        <v>OUI</v>
      </c>
      <c r="I137" s="82"/>
      <c r="J137" s="79"/>
      <c r="K137" s="80"/>
      <c r="L137" s="80"/>
      <c r="M137" s="80"/>
      <c r="N137" s="83" t="str">
        <f aca="false">IF(C137="","",IF(I137="",IF(H137="OUI","À ENROBER",IF(G137="À SOUDER","NON SOUDÉ","EN ATTENTE RT")),IF(L137="R","À REPRENDRE",IF(H137&lt;&gt;"OUI","⚠ ENROBÉ AVANT ACCEPTATION RT","ENROBÉ"))))</f>
        <v>À ENROBER</v>
      </c>
      <c r="O137" s="79"/>
    </row>
    <row r="138" customFormat="false" ht="15" hidden="false" customHeight="false" outlineLevel="0" collapsed="false">
      <c r="A138" s="78" t="n">
        <f aca="false">IF('CARNET DE SOUDURE'!E138="","",'CARNET DE SOUDURE'!A138)</f>
        <v>132</v>
      </c>
      <c r="B138" s="93" t="str">
        <f aca="false">IF('CARNET DE SOUDURE'!E138="","",'CARNET DE SOUDURE'!B138&amp;"")</f>
        <v>TFT 716 → TL7-MMFW2</v>
      </c>
      <c r="C138" s="83" t="str">
        <f aca="false">IF('CARNET DE SOUDURE'!E138="","",'CARNET DE SOUDURE'!E138)</f>
        <v>JN°131</v>
      </c>
      <c r="D138" s="78" t="str">
        <f aca="false">IF('CARNET DE SOUDURE'!E138="","",'CARNET DE SOUDURE'!D138&amp;"")</f>
        <v>1.00</v>
      </c>
      <c r="E138" s="96" t="n">
        <f aca="false">IF(OR('CARNET DE SOUDURE'!E138="",'CARNET DE SOUDURE'!R138=""),"",'CARNET DE SOUDURE'!R138)</f>
        <v>45885</v>
      </c>
      <c r="F138" s="81" t="str">
        <f aca="false">IF('CARNET DE SOUDURE'!E138="","",'CARNET DE SOUDURE'!AL138)</f>
        <v>A</v>
      </c>
      <c r="G138" s="81" t="str">
        <f aca="false">IF('CARNET DE SOUDURE'!E138="","",'CARNET DE SOUDURE'!AM138)</f>
        <v>ACCEPTÉ</v>
      </c>
      <c r="H138" s="81" t="str">
        <f aca="false">IF(C138="","",IF(G138="ACCEPTÉ","OUI","NON"))</f>
        <v>OUI</v>
      </c>
      <c r="I138" s="82"/>
      <c r="J138" s="79"/>
      <c r="K138" s="80"/>
      <c r="L138" s="80"/>
      <c r="M138" s="80"/>
      <c r="N138" s="83" t="str">
        <f aca="false">IF(C138="","",IF(I138="",IF(H138="OUI","À ENROBER",IF(G138="À SOUDER","NON SOUDÉ","EN ATTENTE RT")),IF(L138="R","À REPRENDRE",IF(H138&lt;&gt;"OUI","⚠ ENROBÉ AVANT ACCEPTATION RT","ENROBÉ"))))</f>
        <v>À ENROBER</v>
      </c>
      <c r="O138" s="79"/>
    </row>
    <row r="139" customFormat="false" ht="15" hidden="false" customHeight="false" outlineLevel="0" collapsed="false">
      <c r="A139" s="78" t="n">
        <f aca="false">IF('CARNET DE SOUDURE'!E139="","",'CARNET DE SOUDURE'!A139)</f>
        <v>133</v>
      </c>
      <c r="B139" s="93" t="str">
        <f aca="false">IF('CARNET DE SOUDURE'!E139="","",'CARNET DE SOUDURE'!B139&amp;"")</f>
        <v>TFT 716 → TL7-MMFW2</v>
      </c>
      <c r="C139" s="83" t="str">
        <f aca="false">IF('CARNET DE SOUDURE'!E139="","",'CARNET DE SOUDURE'!E139)</f>
        <v>JN°132</v>
      </c>
      <c r="D139" s="78" t="str">
        <f aca="false">IF('CARNET DE SOUDURE'!E139="","",'CARNET DE SOUDURE'!D139&amp;"")</f>
        <v>1.00</v>
      </c>
      <c r="E139" s="96" t="n">
        <f aca="false">IF(OR('CARNET DE SOUDURE'!E139="",'CARNET DE SOUDURE'!R139=""),"",'CARNET DE SOUDURE'!R139)</f>
        <v>45885</v>
      </c>
      <c r="F139" s="81" t="str">
        <f aca="false">IF('CARNET DE SOUDURE'!E139="","",'CARNET DE SOUDURE'!AL139)</f>
        <v>A</v>
      </c>
      <c r="G139" s="81" t="str">
        <f aca="false">IF('CARNET DE SOUDURE'!E139="","",'CARNET DE SOUDURE'!AM139)</f>
        <v>ACCEPTÉ</v>
      </c>
      <c r="H139" s="81" t="str">
        <f aca="false">IF(C139="","",IF(G139="ACCEPTÉ","OUI","NON"))</f>
        <v>OUI</v>
      </c>
      <c r="I139" s="82"/>
      <c r="J139" s="79"/>
      <c r="K139" s="80"/>
      <c r="L139" s="80"/>
      <c r="M139" s="80"/>
      <c r="N139" s="83" t="str">
        <f aca="false">IF(C139="","",IF(I139="",IF(H139="OUI","À ENROBER",IF(G139="À SOUDER","NON SOUDÉ","EN ATTENTE RT")),IF(L139="R","À REPRENDRE",IF(H139&lt;&gt;"OUI","⚠ ENROBÉ AVANT ACCEPTATION RT","ENROBÉ"))))</f>
        <v>À ENROBER</v>
      </c>
      <c r="O139" s="79"/>
    </row>
    <row r="140" customFormat="false" ht="15" hidden="false" customHeight="false" outlineLevel="0" collapsed="false">
      <c r="A140" s="78" t="n">
        <f aca="false">IF('CARNET DE SOUDURE'!E140="","",'CARNET DE SOUDURE'!A140)</f>
        <v>134</v>
      </c>
      <c r="B140" s="93" t="str">
        <f aca="false">IF('CARNET DE SOUDURE'!E140="","",'CARNET DE SOUDURE'!B140&amp;"")</f>
        <v>TFT 716 → TL7-MMFW2</v>
      </c>
      <c r="C140" s="83" t="str">
        <f aca="false">IF('CARNET DE SOUDURE'!E140="","",'CARNET DE SOUDURE'!E140)</f>
        <v>JN°133</v>
      </c>
      <c r="D140" s="78" t="str">
        <f aca="false">IF('CARNET DE SOUDURE'!E140="","",'CARNET DE SOUDURE'!D140&amp;"")</f>
        <v>1.00</v>
      </c>
      <c r="E140" s="96" t="n">
        <f aca="false">IF(OR('CARNET DE SOUDURE'!E140="",'CARNET DE SOUDURE'!R140=""),"",'CARNET DE SOUDURE'!R140)</f>
        <v>45886</v>
      </c>
      <c r="F140" s="81" t="str">
        <f aca="false">IF('CARNET DE SOUDURE'!E140="","",'CARNET DE SOUDURE'!AL140)</f>
        <v>A</v>
      </c>
      <c r="G140" s="81" t="str">
        <f aca="false">IF('CARNET DE SOUDURE'!E140="","",'CARNET DE SOUDURE'!AM140)</f>
        <v>ACCEPTÉ</v>
      </c>
      <c r="H140" s="81" t="str">
        <f aca="false">IF(C140="","",IF(G140="ACCEPTÉ","OUI","NON"))</f>
        <v>OUI</v>
      </c>
      <c r="I140" s="82"/>
      <c r="J140" s="79"/>
      <c r="K140" s="80"/>
      <c r="L140" s="80"/>
      <c r="M140" s="80"/>
      <c r="N140" s="83" t="str">
        <f aca="false">IF(C140="","",IF(I140="",IF(H140="OUI","À ENROBER",IF(G140="À SOUDER","NON SOUDÉ","EN ATTENTE RT")),IF(L140="R","À REPRENDRE",IF(H140&lt;&gt;"OUI","⚠ ENROBÉ AVANT ACCEPTATION RT","ENROBÉ"))))</f>
        <v>À ENROBER</v>
      </c>
      <c r="O140" s="79"/>
    </row>
    <row r="141" customFormat="false" ht="15" hidden="false" customHeight="false" outlineLevel="0" collapsed="false">
      <c r="A141" s="78" t="n">
        <f aca="false">IF('CARNET DE SOUDURE'!E141="","",'CARNET DE SOUDURE'!A141)</f>
        <v>135</v>
      </c>
      <c r="B141" s="93" t="str">
        <f aca="false">IF('CARNET DE SOUDURE'!E141="","",'CARNET DE SOUDURE'!B141&amp;"")</f>
        <v>TFT 716 → TL7-MMFW2</v>
      </c>
      <c r="C141" s="83" t="str">
        <f aca="false">IF('CARNET DE SOUDURE'!E141="","",'CARNET DE SOUDURE'!E141)</f>
        <v>JN°134</v>
      </c>
      <c r="D141" s="78" t="str">
        <f aca="false">IF('CARNET DE SOUDURE'!E141="","",'CARNET DE SOUDURE'!D141&amp;"")</f>
        <v>1.00</v>
      </c>
      <c r="E141" s="96" t="n">
        <f aca="false">IF(OR('CARNET DE SOUDURE'!E141="",'CARNET DE SOUDURE'!R141=""),"",'CARNET DE SOUDURE'!R141)</f>
        <v>45886</v>
      </c>
      <c r="F141" s="81" t="str">
        <f aca="false">IF('CARNET DE SOUDURE'!E141="","",'CARNET DE SOUDURE'!AL141)</f>
        <v>A</v>
      </c>
      <c r="G141" s="81" t="str">
        <f aca="false">IF('CARNET DE SOUDURE'!E141="","",'CARNET DE SOUDURE'!AM141)</f>
        <v>ACCEPTÉ</v>
      </c>
      <c r="H141" s="81" t="str">
        <f aca="false">IF(C141="","",IF(G141="ACCEPTÉ","OUI","NON"))</f>
        <v>OUI</v>
      </c>
      <c r="I141" s="82"/>
      <c r="J141" s="79"/>
      <c r="K141" s="80"/>
      <c r="L141" s="80"/>
      <c r="M141" s="80"/>
      <c r="N141" s="83" t="str">
        <f aca="false">IF(C141="","",IF(I141="",IF(H141="OUI","À ENROBER",IF(G141="À SOUDER","NON SOUDÉ","EN ATTENTE RT")),IF(L141="R","À REPRENDRE",IF(H141&lt;&gt;"OUI","⚠ ENROBÉ AVANT ACCEPTATION RT","ENROBÉ"))))</f>
        <v>À ENROBER</v>
      </c>
      <c r="O141" s="79"/>
    </row>
    <row r="142" customFormat="false" ht="15" hidden="false" customHeight="false" outlineLevel="0" collapsed="false">
      <c r="A142" s="78" t="n">
        <f aca="false">IF('CARNET DE SOUDURE'!E142="","",'CARNET DE SOUDURE'!A142)</f>
        <v>136</v>
      </c>
      <c r="B142" s="93" t="str">
        <f aca="false">IF('CARNET DE SOUDURE'!E142="","",'CARNET DE SOUDURE'!B142&amp;"")</f>
        <v>TFT 716 → TL7-MMFW2</v>
      </c>
      <c r="C142" s="83" t="str">
        <f aca="false">IF('CARNET DE SOUDURE'!E142="","",'CARNET DE SOUDURE'!E142)</f>
        <v>JN°135</v>
      </c>
      <c r="D142" s="78" t="str">
        <f aca="false">IF('CARNET DE SOUDURE'!E142="","",'CARNET DE SOUDURE'!D142&amp;"")</f>
        <v>1.00</v>
      </c>
      <c r="E142" s="96" t="n">
        <f aca="false">IF(OR('CARNET DE SOUDURE'!E142="",'CARNET DE SOUDURE'!R142=""),"",'CARNET DE SOUDURE'!R142)</f>
        <v>45886</v>
      </c>
      <c r="F142" s="81" t="str">
        <f aca="false">IF('CARNET DE SOUDURE'!E142="","",'CARNET DE SOUDURE'!AL142)</f>
        <v>A</v>
      </c>
      <c r="G142" s="81" t="str">
        <f aca="false">IF('CARNET DE SOUDURE'!E142="","",'CARNET DE SOUDURE'!AM142)</f>
        <v>ACCEPTÉ</v>
      </c>
      <c r="H142" s="81" t="str">
        <f aca="false">IF(C142="","",IF(G142="ACCEPTÉ","OUI","NON"))</f>
        <v>OUI</v>
      </c>
      <c r="I142" s="82"/>
      <c r="J142" s="79"/>
      <c r="K142" s="80"/>
      <c r="L142" s="80"/>
      <c r="M142" s="80"/>
      <c r="N142" s="83" t="str">
        <f aca="false">IF(C142="","",IF(I142="",IF(H142="OUI","À ENROBER",IF(G142="À SOUDER","NON SOUDÉ","EN ATTENTE RT")),IF(L142="R","À REPRENDRE",IF(H142&lt;&gt;"OUI","⚠ ENROBÉ AVANT ACCEPTATION RT","ENROBÉ"))))</f>
        <v>À ENROBER</v>
      </c>
      <c r="O142" s="79"/>
    </row>
    <row r="143" customFormat="false" ht="15" hidden="false" customHeight="false" outlineLevel="0" collapsed="false">
      <c r="A143" s="78" t="n">
        <f aca="false">IF('CARNET DE SOUDURE'!E143="","",'CARNET DE SOUDURE'!A143)</f>
        <v>137</v>
      </c>
      <c r="B143" s="93" t="str">
        <f aca="false">IF('CARNET DE SOUDURE'!E143="","",'CARNET DE SOUDURE'!B143&amp;"")</f>
        <v>TFT 716 → TL7-MMFW2</v>
      </c>
      <c r="C143" s="83" t="str">
        <f aca="false">IF('CARNET DE SOUDURE'!E143="","",'CARNET DE SOUDURE'!E143)</f>
        <v>JN°136Racc</v>
      </c>
      <c r="D143" s="78" t="str">
        <f aca="false">IF('CARNET DE SOUDURE'!E143="","",'CARNET DE SOUDURE'!D143&amp;"")</f>
        <v>1.00</v>
      </c>
      <c r="E143" s="96" t="n">
        <f aca="false">IF(OR('CARNET DE SOUDURE'!E143="",'CARNET DE SOUDURE'!R143=""),"",'CARNET DE SOUDURE'!R143)</f>
        <v>45911</v>
      </c>
      <c r="F143" s="81" t="str">
        <f aca="false">IF('CARNET DE SOUDURE'!E143="","",'CARNET DE SOUDURE'!AL143)</f>
        <v/>
      </c>
      <c r="G143" s="81" t="str">
        <f aca="false">IF('CARNET DE SOUDURE'!E143="","",'CARNET DE SOUDURE'!AM143)</f>
        <v>À RADIOGRAPHIER</v>
      </c>
      <c r="H143" s="81" t="str">
        <f aca="false">IF(C143="","",IF(G143="ACCEPTÉ","OUI","NON"))</f>
        <v>NON</v>
      </c>
      <c r="I143" s="82"/>
      <c r="J143" s="79"/>
      <c r="K143" s="80"/>
      <c r="L143" s="80"/>
      <c r="M143" s="80"/>
      <c r="N143" s="83" t="str">
        <f aca="false">IF(C143="","",IF(I143="",IF(H143="OUI","À ENROBER",IF(G143="À SOUDER","NON SOUDÉ","EN ATTENTE RT")),IF(L143="R","À REPRENDRE",IF(H143&lt;&gt;"OUI","⚠ ENROBÉ AVANT ACCEPTATION RT","ENROBÉ"))))</f>
        <v>EN ATTENTE RT</v>
      </c>
      <c r="O143" s="79"/>
    </row>
    <row r="144" customFormat="false" ht="15" hidden="false" customHeight="false" outlineLevel="0" collapsed="false">
      <c r="A144" s="78" t="n">
        <f aca="false">IF('CARNET DE SOUDURE'!E144="","",'CARNET DE SOUDURE'!A144)</f>
        <v>138</v>
      </c>
      <c r="B144" s="93" t="str">
        <f aca="false">IF('CARNET DE SOUDURE'!E144="","",'CARNET DE SOUDURE'!B144&amp;"")</f>
        <v>TFT 716 → TL7-MMFW2</v>
      </c>
      <c r="C144" s="83" t="str">
        <f aca="false">IF('CARNET DE SOUDURE'!E144="","",'CARNET DE SOUDURE'!E144)</f>
        <v>JN°137</v>
      </c>
      <c r="D144" s="78" t="str">
        <f aca="false">IF('CARNET DE SOUDURE'!E144="","",'CARNET DE SOUDURE'!D144&amp;"")</f>
        <v>1.00</v>
      </c>
      <c r="E144" s="96" t="n">
        <f aca="false">IF(OR('CARNET DE SOUDURE'!E144="",'CARNET DE SOUDURE'!R144=""),"",'CARNET DE SOUDURE'!R144)</f>
        <v>45890</v>
      </c>
      <c r="F144" s="81" t="str">
        <f aca="false">IF('CARNET DE SOUDURE'!E144="","",'CARNET DE SOUDURE'!AL144)</f>
        <v>A</v>
      </c>
      <c r="G144" s="81" t="str">
        <f aca="false">IF('CARNET DE SOUDURE'!E144="","",'CARNET DE SOUDURE'!AM144)</f>
        <v>ACCEPTÉ</v>
      </c>
      <c r="H144" s="81" t="str">
        <f aca="false">IF(C144="","",IF(G144="ACCEPTÉ","OUI","NON"))</f>
        <v>OUI</v>
      </c>
      <c r="I144" s="82"/>
      <c r="J144" s="79"/>
      <c r="K144" s="80"/>
      <c r="L144" s="80"/>
      <c r="M144" s="80"/>
      <c r="N144" s="83" t="str">
        <f aca="false">IF(C144="","",IF(I144="",IF(H144="OUI","À ENROBER",IF(G144="À SOUDER","NON SOUDÉ","EN ATTENTE RT")),IF(L144="R","À REPRENDRE",IF(H144&lt;&gt;"OUI","⚠ ENROBÉ AVANT ACCEPTATION RT","ENROBÉ"))))</f>
        <v>À ENROBER</v>
      </c>
      <c r="O144" s="79"/>
    </row>
    <row r="145" customFormat="false" ht="15" hidden="false" customHeight="false" outlineLevel="0" collapsed="false">
      <c r="A145" s="78" t="n">
        <f aca="false">IF('CARNET DE SOUDURE'!E145="","",'CARNET DE SOUDURE'!A145)</f>
        <v>139</v>
      </c>
      <c r="B145" s="93" t="str">
        <f aca="false">IF('CARNET DE SOUDURE'!E145="","",'CARNET DE SOUDURE'!B145&amp;"")</f>
        <v>TFT 716 → TL7-MMFW2</v>
      </c>
      <c r="C145" s="83" t="str">
        <f aca="false">IF('CARNET DE SOUDURE'!E145="","",'CARNET DE SOUDURE'!E145)</f>
        <v>JN°138</v>
      </c>
      <c r="D145" s="78" t="str">
        <f aca="false">IF('CARNET DE SOUDURE'!E145="","",'CARNET DE SOUDURE'!D145&amp;"")</f>
        <v>1.00</v>
      </c>
      <c r="E145" s="96" t="n">
        <f aca="false">IF(OR('CARNET DE SOUDURE'!E145="",'CARNET DE SOUDURE'!R145=""),"",'CARNET DE SOUDURE'!R145)</f>
        <v>45890</v>
      </c>
      <c r="F145" s="81" t="str">
        <f aca="false">IF('CARNET DE SOUDURE'!E145="","",'CARNET DE SOUDURE'!AL145)</f>
        <v>A</v>
      </c>
      <c r="G145" s="81" t="str">
        <f aca="false">IF('CARNET DE SOUDURE'!E145="","",'CARNET DE SOUDURE'!AM145)</f>
        <v>ACCEPTÉ</v>
      </c>
      <c r="H145" s="81" t="str">
        <f aca="false">IF(C145="","",IF(G145="ACCEPTÉ","OUI","NON"))</f>
        <v>OUI</v>
      </c>
      <c r="I145" s="82"/>
      <c r="J145" s="79"/>
      <c r="K145" s="80"/>
      <c r="L145" s="80"/>
      <c r="M145" s="80"/>
      <c r="N145" s="83" t="str">
        <f aca="false">IF(C145="","",IF(I145="",IF(H145="OUI","À ENROBER",IF(G145="À SOUDER","NON SOUDÉ","EN ATTENTE RT")),IF(L145="R","À REPRENDRE",IF(H145&lt;&gt;"OUI","⚠ ENROBÉ AVANT ACCEPTATION RT","ENROBÉ"))))</f>
        <v>À ENROBER</v>
      </c>
      <c r="O145" s="79"/>
    </row>
    <row r="146" customFormat="false" ht="15" hidden="false" customHeight="false" outlineLevel="0" collapsed="false">
      <c r="A146" s="78" t="n">
        <f aca="false">IF('CARNET DE SOUDURE'!E146="","",'CARNET DE SOUDURE'!A146)</f>
        <v>140</v>
      </c>
      <c r="B146" s="93" t="str">
        <f aca="false">IF('CARNET DE SOUDURE'!E146="","",'CARNET DE SOUDURE'!B146&amp;"")</f>
        <v>TFT 716 → TL7-MMFW2</v>
      </c>
      <c r="C146" s="83" t="str">
        <f aca="false">IF('CARNET DE SOUDURE'!E146="","",'CARNET DE SOUDURE'!E146)</f>
        <v>JN°139</v>
      </c>
      <c r="D146" s="78" t="str">
        <f aca="false">IF('CARNET DE SOUDURE'!E146="","",'CARNET DE SOUDURE'!D146&amp;"")</f>
        <v>1.00</v>
      </c>
      <c r="E146" s="96" t="n">
        <f aca="false">IF(OR('CARNET DE SOUDURE'!E146="",'CARNET DE SOUDURE'!R146=""),"",'CARNET DE SOUDURE'!R146)</f>
        <v>45890</v>
      </c>
      <c r="F146" s="81" t="str">
        <f aca="false">IF('CARNET DE SOUDURE'!E146="","",'CARNET DE SOUDURE'!AL146)</f>
        <v>A</v>
      </c>
      <c r="G146" s="81" t="str">
        <f aca="false">IF('CARNET DE SOUDURE'!E146="","",'CARNET DE SOUDURE'!AM146)</f>
        <v>ACCEPTÉ</v>
      </c>
      <c r="H146" s="81" t="str">
        <f aca="false">IF(C146="","",IF(G146="ACCEPTÉ","OUI","NON"))</f>
        <v>OUI</v>
      </c>
      <c r="I146" s="82"/>
      <c r="J146" s="79"/>
      <c r="K146" s="80"/>
      <c r="L146" s="80"/>
      <c r="M146" s="80"/>
      <c r="N146" s="83" t="str">
        <f aca="false">IF(C146="","",IF(I146="",IF(H146="OUI","À ENROBER",IF(G146="À SOUDER","NON SOUDÉ","EN ATTENTE RT")),IF(L146="R","À REPRENDRE",IF(H146&lt;&gt;"OUI","⚠ ENROBÉ AVANT ACCEPTATION RT","ENROBÉ"))))</f>
        <v>À ENROBER</v>
      </c>
      <c r="O146" s="79"/>
    </row>
    <row r="147" customFormat="false" ht="15" hidden="false" customHeight="false" outlineLevel="0" collapsed="false">
      <c r="A147" s="78" t="n">
        <f aca="false">IF('CARNET DE SOUDURE'!E147="","",'CARNET DE SOUDURE'!A147)</f>
        <v>141</v>
      </c>
      <c r="B147" s="93" t="str">
        <f aca="false">IF('CARNET DE SOUDURE'!E147="","",'CARNET DE SOUDURE'!B147&amp;"")</f>
        <v>TFT 716 → TL7-MMFW2</v>
      </c>
      <c r="C147" s="83" t="str">
        <f aca="false">IF('CARNET DE SOUDURE'!E147="","",'CARNET DE SOUDURE'!E147)</f>
        <v>JN°140Racc</v>
      </c>
      <c r="D147" s="78" t="str">
        <f aca="false">IF('CARNET DE SOUDURE'!E147="","",'CARNET DE SOUDURE'!D147&amp;"")</f>
        <v>1.00</v>
      </c>
      <c r="E147" s="96" t="n">
        <f aca="false">IF(OR('CARNET DE SOUDURE'!E147="",'CARNET DE SOUDURE'!R147=""),"",'CARNET DE SOUDURE'!R147)</f>
        <v>45912</v>
      </c>
      <c r="F147" s="81" t="str">
        <f aca="false">IF('CARNET DE SOUDURE'!E147="","",'CARNET DE SOUDURE'!AL147)</f>
        <v/>
      </c>
      <c r="G147" s="81" t="str">
        <f aca="false">IF('CARNET DE SOUDURE'!E147="","",'CARNET DE SOUDURE'!AM147)</f>
        <v>À RADIOGRAPHIER</v>
      </c>
      <c r="H147" s="81" t="str">
        <f aca="false">IF(C147="","",IF(G147="ACCEPTÉ","OUI","NON"))</f>
        <v>NON</v>
      </c>
      <c r="I147" s="82"/>
      <c r="J147" s="79"/>
      <c r="K147" s="80"/>
      <c r="L147" s="80"/>
      <c r="M147" s="80"/>
      <c r="N147" s="83" t="str">
        <f aca="false">IF(C147="","",IF(I147="",IF(H147="OUI","À ENROBER",IF(G147="À SOUDER","NON SOUDÉ","EN ATTENTE RT")),IF(L147="R","À REPRENDRE",IF(H147&lt;&gt;"OUI","⚠ ENROBÉ AVANT ACCEPTATION RT","ENROBÉ"))))</f>
        <v>EN ATTENTE RT</v>
      </c>
      <c r="O147" s="79"/>
    </row>
    <row r="148" customFormat="false" ht="15" hidden="false" customHeight="false" outlineLevel="0" collapsed="false">
      <c r="A148" s="78" t="n">
        <f aca="false">IF('CARNET DE SOUDURE'!E148="","",'CARNET DE SOUDURE'!A148)</f>
        <v>142</v>
      </c>
      <c r="B148" s="93" t="str">
        <f aca="false">IF('CARNET DE SOUDURE'!E148="","",'CARNET DE SOUDURE'!B148&amp;"")</f>
        <v>TFT 716 → TL7-MMFW2</v>
      </c>
      <c r="C148" s="83" t="str">
        <f aca="false">IF('CARNET DE SOUDURE'!E148="","",'CARNET DE SOUDURE'!E148)</f>
        <v>JN°141</v>
      </c>
      <c r="D148" s="78" t="str">
        <f aca="false">IF('CARNET DE SOUDURE'!E148="","",'CARNET DE SOUDURE'!D148&amp;"")</f>
        <v>1.00</v>
      </c>
      <c r="E148" s="96" t="n">
        <f aca="false">IF(OR('CARNET DE SOUDURE'!E148="",'CARNET DE SOUDURE'!R148=""),"",'CARNET DE SOUDURE'!R148)</f>
        <v>45886</v>
      </c>
      <c r="F148" s="81" t="str">
        <f aca="false">IF('CARNET DE SOUDURE'!E148="","",'CARNET DE SOUDURE'!AL148)</f>
        <v>A</v>
      </c>
      <c r="G148" s="81" t="str">
        <f aca="false">IF('CARNET DE SOUDURE'!E148="","",'CARNET DE SOUDURE'!AM148)</f>
        <v>ACCEPTÉ</v>
      </c>
      <c r="H148" s="81" t="str">
        <f aca="false">IF(C148="","",IF(G148="ACCEPTÉ","OUI","NON"))</f>
        <v>OUI</v>
      </c>
      <c r="I148" s="82"/>
      <c r="J148" s="79"/>
      <c r="K148" s="80"/>
      <c r="L148" s="80"/>
      <c r="M148" s="80"/>
      <c r="N148" s="83" t="str">
        <f aca="false">IF(C148="","",IF(I148="",IF(H148="OUI","À ENROBER",IF(G148="À SOUDER","NON SOUDÉ","EN ATTENTE RT")),IF(L148="R","À REPRENDRE",IF(H148&lt;&gt;"OUI","⚠ ENROBÉ AVANT ACCEPTATION RT","ENROBÉ"))))</f>
        <v>À ENROBER</v>
      </c>
      <c r="O148" s="79"/>
    </row>
    <row r="149" customFormat="false" ht="15" hidden="false" customHeight="false" outlineLevel="0" collapsed="false">
      <c r="A149" s="78" t="n">
        <f aca="false">IF('CARNET DE SOUDURE'!E149="","",'CARNET DE SOUDURE'!A149)</f>
        <v>143</v>
      </c>
      <c r="B149" s="93" t="str">
        <f aca="false">IF('CARNET DE SOUDURE'!E149="","",'CARNET DE SOUDURE'!B149&amp;"")</f>
        <v>TFT 716 → TL7-MMFW2</v>
      </c>
      <c r="C149" s="83" t="str">
        <f aca="false">IF('CARNET DE SOUDURE'!E149="","",'CARNET DE SOUDURE'!E149)</f>
        <v>JN°142</v>
      </c>
      <c r="D149" s="78" t="str">
        <f aca="false">IF('CARNET DE SOUDURE'!E149="","",'CARNET DE SOUDURE'!D149&amp;"")</f>
        <v>1.00</v>
      </c>
      <c r="E149" s="96" t="n">
        <f aca="false">IF(OR('CARNET DE SOUDURE'!E149="",'CARNET DE SOUDURE'!R149=""),"",'CARNET DE SOUDURE'!R149)</f>
        <v>45912</v>
      </c>
      <c r="F149" s="81" t="str">
        <f aca="false">IF('CARNET DE SOUDURE'!E149="","",'CARNET DE SOUDURE'!AL149)</f>
        <v/>
      </c>
      <c r="G149" s="81" t="str">
        <f aca="false">IF('CARNET DE SOUDURE'!E149="","",'CARNET DE SOUDURE'!AM149)</f>
        <v>À RADIOGRAPHIER</v>
      </c>
      <c r="H149" s="81" t="str">
        <f aca="false">IF(C149="","",IF(G149="ACCEPTÉ","OUI","NON"))</f>
        <v>NON</v>
      </c>
      <c r="I149" s="82"/>
      <c r="J149" s="79"/>
      <c r="K149" s="80"/>
      <c r="L149" s="80"/>
      <c r="M149" s="80"/>
      <c r="N149" s="83" t="str">
        <f aca="false">IF(C149="","",IF(I149="",IF(H149="OUI","À ENROBER",IF(G149="À SOUDER","NON SOUDÉ","EN ATTENTE RT")),IF(L149="R","À REPRENDRE",IF(H149&lt;&gt;"OUI","⚠ ENROBÉ AVANT ACCEPTATION RT","ENROBÉ"))))</f>
        <v>EN ATTENTE RT</v>
      </c>
      <c r="O149" s="79"/>
    </row>
    <row r="150" customFormat="false" ht="15" hidden="false" customHeight="false" outlineLevel="0" collapsed="false">
      <c r="A150" s="78" t="n">
        <f aca="false">IF('CARNET DE SOUDURE'!E150="","",'CARNET DE SOUDURE'!A150)</f>
        <v>144</v>
      </c>
      <c r="B150" s="93" t="str">
        <f aca="false">IF('CARNET DE SOUDURE'!E150="","",'CARNET DE SOUDURE'!B150&amp;"")</f>
        <v>TFT 716 → TL7-MMFW2</v>
      </c>
      <c r="C150" s="83" t="str">
        <f aca="false">IF('CARNET DE SOUDURE'!E150="","",'CARNET DE SOUDURE'!E150)</f>
        <v>JN°142 A</v>
      </c>
      <c r="D150" s="78" t="str">
        <f aca="false">IF('CARNET DE SOUDURE'!E150="","",'CARNET DE SOUDURE'!D150&amp;"")</f>
        <v>1.00</v>
      </c>
      <c r="E150" s="96" t="n">
        <f aca="false">IF(OR('CARNET DE SOUDURE'!E150="",'CARNET DE SOUDURE'!R150=""),"",'CARNET DE SOUDURE'!R150)</f>
        <v>45913</v>
      </c>
      <c r="F150" s="81" t="str">
        <f aca="false">IF('CARNET DE SOUDURE'!E150="","",'CARNET DE SOUDURE'!AL150)</f>
        <v/>
      </c>
      <c r="G150" s="81" t="str">
        <f aca="false">IF('CARNET DE SOUDURE'!E150="","",'CARNET DE SOUDURE'!AM150)</f>
        <v>À RADIOGRAPHIER</v>
      </c>
      <c r="H150" s="81" t="str">
        <f aca="false">IF(C150="","",IF(G150="ACCEPTÉ","OUI","NON"))</f>
        <v>NON</v>
      </c>
      <c r="I150" s="82"/>
      <c r="J150" s="79"/>
      <c r="K150" s="80"/>
      <c r="L150" s="80"/>
      <c r="M150" s="80"/>
      <c r="N150" s="83" t="str">
        <f aca="false">IF(C150="","",IF(I150="",IF(H150="OUI","À ENROBER",IF(G150="À SOUDER","NON SOUDÉ","EN ATTENTE RT")),IF(L150="R","À REPRENDRE",IF(H150&lt;&gt;"OUI","⚠ ENROBÉ AVANT ACCEPTATION RT","ENROBÉ"))))</f>
        <v>EN ATTENTE RT</v>
      </c>
      <c r="O150" s="79"/>
    </row>
    <row r="151" customFormat="false" ht="15" hidden="false" customHeight="false" outlineLevel="0" collapsed="false">
      <c r="A151" s="78" t="n">
        <f aca="false">IF('CARNET DE SOUDURE'!E151="","",'CARNET DE SOUDURE'!A151)</f>
        <v>145</v>
      </c>
      <c r="B151" s="93" t="str">
        <f aca="false">IF('CARNET DE SOUDURE'!E151="","",'CARNET DE SOUDURE'!B151&amp;"")</f>
        <v>TFT 716 → TL7-MMFW2</v>
      </c>
      <c r="C151" s="83" t="str">
        <f aca="false">IF('CARNET DE SOUDURE'!E151="","",'CARNET DE SOUDURE'!E151)</f>
        <v>JN°142 B</v>
      </c>
      <c r="D151" s="78" t="str">
        <f aca="false">IF('CARNET DE SOUDURE'!E151="","",'CARNET DE SOUDURE'!D151&amp;"")</f>
        <v>1.00</v>
      </c>
      <c r="E151" s="96" t="n">
        <f aca="false">IF(OR('CARNET DE SOUDURE'!E151="",'CARNET DE SOUDURE'!R151=""),"",'CARNET DE SOUDURE'!R151)</f>
        <v>45913</v>
      </c>
      <c r="F151" s="81" t="str">
        <f aca="false">IF('CARNET DE SOUDURE'!E151="","",'CARNET DE SOUDURE'!AL151)</f>
        <v/>
      </c>
      <c r="G151" s="81" t="str">
        <f aca="false">IF('CARNET DE SOUDURE'!E151="","",'CARNET DE SOUDURE'!AM151)</f>
        <v>À RADIOGRAPHIER</v>
      </c>
      <c r="H151" s="81" t="str">
        <f aca="false">IF(C151="","",IF(G151="ACCEPTÉ","OUI","NON"))</f>
        <v>NON</v>
      </c>
      <c r="I151" s="82"/>
      <c r="J151" s="79"/>
      <c r="K151" s="80"/>
      <c r="L151" s="80"/>
      <c r="M151" s="80"/>
      <c r="N151" s="83" t="str">
        <f aca="false">IF(C151="","",IF(I151="",IF(H151="OUI","À ENROBER",IF(G151="À SOUDER","NON SOUDÉ","EN ATTENTE RT")),IF(L151="R","À REPRENDRE",IF(H151&lt;&gt;"OUI","⚠ ENROBÉ AVANT ACCEPTATION RT","ENROBÉ"))))</f>
        <v>EN ATTENTE RT</v>
      </c>
      <c r="O151" s="79"/>
    </row>
    <row r="152" customFormat="false" ht="15" hidden="false" customHeight="false" outlineLevel="0" collapsed="false">
      <c r="A152" s="78" t="n">
        <f aca="false">IF('CARNET DE SOUDURE'!E152="","",'CARNET DE SOUDURE'!A152)</f>
        <v>146</v>
      </c>
      <c r="B152" s="93" t="str">
        <f aca="false">IF('CARNET DE SOUDURE'!E152="","",'CARNET DE SOUDURE'!B152&amp;"")</f>
        <v>TFT 716 → TL7-MMFW2</v>
      </c>
      <c r="C152" s="83" t="str">
        <f aca="false">IF('CARNET DE SOUDURE'!E152="","",'CARNET DE SOUDURE'!E152)</f>
        <v>JN°143Racc</v>
      </c>
      <c r="D152" s="78" t="str">
        <f aca="false">IF('CARNET DE SOUDURE'!E152="","",'CARNET DE SOUDURE'!D152&amp;"")</f>
        <v>1.00</v>
      </c>
      <c r="E152" s="96" t="n">
        <f aca="false">IF(OR('CARNET DE SOUDURE'!E152="",'CARNET DE SOUDURE'!R152=""),"",'CARNET DE SOUDURE'!R152)</f>
        <v>45913</v>
      </c>
      <c r="F152" s="81" t="str">
        <f aca="false">IF('CARNET DE SOUDURE'!E152="","",'CARNET DE SOUDURE'!AL152)</f>
        <v/>
      </c>
      <c r="G152" s="81" t="str">
        <f aca="false">IF('CARNET DE SOUDURE'!E152="","",'CARNET DE SOUDURE'!AM152)</f>
        <v>À RADIOGRAPHIER</v>
      </c>
      <c r="H152" s="81" t="str">
        <f aca="false">IF(C152="","",IF(G152="ACCEPTÉ","OUI","NON"))</f>
        <v>NON</v>
      </c>
      <c r="I152" s="82"/>
      <c r="J152" s="79"/>
      <c r="K152" s="80"/>
      <c r="L152" s="80"/>
      <c r="M152" s="80"/>
      <c r="N152" s="83" t="str">
        <f aca="false">IF(C152="","",IF(I152="",IF(H152="OUI","À ENROBER",IF(G152="À SOUDER","NON SOUDÉ","EN ATTENTE RT")),IF(L152="R","À REPRENDRE",IF(H152&lt;&gt;"OUI","⚠ ENROBÉ AVANT ACCEPTATION RT","ENROBÉ"))))</f>
        <v>EN ATTENTE RT</v>
      </c>
      <c r="O152" s="79"/>
    </row>
    <row r="153" customFormat="false" ht="15" hidden="false" customHeight="false" outlineLevel="0" collapsed="false">
      <c r="A153" s="78" t="n">
        <f aca="false">IF('CARNET DE SOUDURE'!E153="","",'CARNET DE SOUDURE'!A153)</f>
        <v>147</v>
      </c>
      <c r="B153" s="93" t="str">
        <f aca="false">IF('CARNET DE SOUDURE'!E153="","",'CARNET DE SOUDURE'!B153&amp;"")</f>
        <v>TFT 716 → TL7-MMFW2</v>
      </c>
      <c r="C153" s="83" t="str">
        <f aca="false">IF('CARNET DE SOUDURE'!E153="","",'CARNET DE SOUDURE'!E153)</f>
        <v>JN°144</v>
      </c>
      <c r="D153" s="78" t="str">
        <f aca="false">IF('CARNET DE SOUDURE'!E153="","",'CARNET DE SOUDURE'!D153&amp;"")</f>
        <v>1.00</v>
      </c>
      <c r="E153" s="96" t="n">
        <f aca="false">IF(OR('CARNET DE SOUDURE'!E153="",'CARNET DE SOUDURE'!R153=""),"",'CARNET DE SOUDURE'!R153)</f>
        <v>45886</v>
      </c>
      <c r="F153" s="81" t="str">
        <f aca="false">IF('CARNET DE SOUDURE'!E153="","",'CARNET DE SOUDURE'!AL153)</f>
        <v>A</v>
      </c>
      <c r="G153" s="81" t="str">
        <f aca="false">IF('CARNET DE SOUDURE'!E153="","",'CARNET DE SOUDURE'!AM153)</f>
        <v>ACCEPTÉ</v>
      </c>
      <c r="H153" s="81" t="str">
        <f aca="false">IF(C153="","",IF(G153="ACCEPTÉ","OUI","NON"))</f>
        <v>OUI</v>
      </c>
      <c r="I153" s="82"/>
      <c r="J153" s="79"/>
      <c r="K153" s="80"/>
      <c r="L153" s="80"/>
      <c r="M153" s="80"/>
      <c r="N153" s="83" t="str">
        <f aca="false">IF(C153="","",IF(I153="",IF(H153="OUI","À ENROBER",IF(G153="À SOUDER","NON SOUDÉ","EN ATTENTE RT")),IF(L153="R","À REPRENDRE",IF(H153&lt;&gt;"OUI","⚠ ENROBÉ AVANT ACCEPTATION RT","ENROBÉ"))))</f>
        <v>À ENROBER</v>
      </c>
      <c r="O153" s="79"/>
    </row>
    <row r="154" customFormat="false" ht="15" hidden="false" customHeight="false" outlineLevel="0" collapsed="false">
      <c r="A154" s="78" t="n">
        <f aca="false">IF('CARNET DE SOUDURE'!E154="","",'CARNET DE SOUDURE'!A154)</f>
        <v>148</v>
      </c>
      <c r="B154" s="93" t="str">
        <f aca="false">IF('CARNET DE SOUDURE'!E154="","",'CARNET DE SOUDURE'!B154&amp;"")</f>
        <v>TFT 716 → TL7-MMFW2</v>
      </c>
      <c r="C154" s="83" t="str">
        <f aca="false">IF('CARNET DE SOUDURE'!E154="","",'CARNET DE SOUDURE'!E154)</f>
        <v>JN°145</v>
      </c>
      <c r="D154" s="78" t="str">
        <f aca="false">IF('CARNET DE SOUDURE'!E154="","",'CARNET DE SOUDURE'!D154&amp;"")</f>
        <v>1.00</v>
      </c>
      <c r="E154" s="96" t="n">
        <f aca="false">IF(OR('CARNET DE SOUDURE'!E154="",'CARNET DE SOUDURE'!R154=""),"",'CARNET DE SOUDURE'!R154)</f>
        <v>45886</v>
      </c>
      <c r="F154" s="81" t="str">
        <f aca="false">IF('CARNET DE SOUDURE'!E154="","",'CARNET DE SOUDURE'!AL154)</f>
        <v>A</v>
      </c>
      <c r="G154" s="81" t="str">
        <f aca="false">IF('CARNET DE SOUDURE'!E154="","",'CARNET DE SOUDURE'!AM154)</f>
        <v>ACCEPTÉ</v>
      </c>
      <c r="H154" s="81" t="str">
        <f aca="false">IF(C154="","",IF(G154="ACCEPTÉ","OUI","NON"))</f>
        <v>OUI</v>
      </c>
      <c r="I154" s="82"/>
      <c r="J154" s="79"/>
      <c r="K154" s="80"/>
      <c r="L154" s="80"/>
      <c r="M154" s="80"/>
      <c r="N154" s="83" t="str">
        <f aca="false">IF(C154="","",IF(I154="",IF(H154="OUI","À ENROBER",IF(G154="À SOUDER","NON SOUDÉ","EN ATTENTE RT")),IF(L154="R","À REPRENDRE",IF(H154&lt;&gt;"OUI","⚠ ENROBÉ AVANT ACCEPTATION RT","ENROBÉ"))))</f>
        <v>À ENROBER</v>
      </c>
      <c r="O154" s="79"/>
    </row>
    <row r="155" customFormat="false" ht="15" hidden="false" customHeight="false" outlineLevel="0" collapsed="false">
      <c r="A155" s="78" t="n">
        <f aca="false">IF('CARNET DE SOUDURE'!E155="","",'CARNET DE SOUDURE'!A155)</f>
        <v>149</v>
      </c>
      <c r="B155" s="93" t="str">
        <f aca="false">IF('CARNET DE SOUDURE'!E155="","",'CARNET DE SOUDURE'!B155&amp;"")</f>
        <v>TFT 716 → TL7-MMFW2</v>
      </c>
      <c r="C155" s="83" t="str">
        <f aca="false">IF('CARNET DE SOUDURE'!E155="","",'CARNET DE SOUDURE'!E155)</f>
        <v>JN°146</v>
      </c>
      <c r="D155" s="78" t="str">
        <f aca="false">IF('CARNET DE SOUDURE'!E155="","",'CARNET DE SOUDURE'!D155&amp;"")</f>
        <v>1.00</v>
      </c>
      <c r="E155" s="96" t="n">
        <f aca="false">IF(OR('CARNET DE SOUDURE'!E155="",'CARNET DE SOUDURE'!R155=""),"",'CARNET DE SOUDURE'!R155)</f>
        <v>45886</v>
      </c>
      <c r="F155" s="81" t="str">
        <f aca="false">IF('CARNET DE SOUDURE'!E155="","",'CARNET DE SOUDURE'!AL155)</f>
        <v>A</v>
      </c>
      <c r="G155" s="81" t="str">
        <f aca="false">IF('CARNET DE SOUDURE'!E155="","",'CARNET DE SOUDURE'!AM155)</f>
        <v>ACCEPTÉ</v>
      </c>
      <c r="H155" s="81" t="str">
        <f aca="false">IF(C155="","",IF(G155="ACCEPTÉ","OUI","NON"))</f>
        <v>OUI</v>
      </c>
      <c r="I155" s="82"/>
      <c r="J155" s="79"/>
      <c r="K155" s="80"/>
      <c r="L155" s="80"/>
      <c r="M155" s="80"/>
      <c r="N155" s="83" t="str">
        <f aca="false">IF(C155="","",IF(I155="",IF(H155="OUI","À ENROBER",IF(G155="À SOUDER","NON SOUDÉ","EN ATTENTE RT")),IF(L155="R","À REPRENDRE",IF(H155&lt;&gt;"OUI","⚠ ENROBÉ AVANT ACCEPTATION RT","ENROBÉ"))))</f>
        <v>À ENROBER</v>
      </c>
      <c r="O155" s="79"/>
    </row>
    <row r="156" customFormat="false" ht="15" hidden="false" customHeight="false" outlineLevel="0" collapsed="false">
      <c r="A156" s="78" t="n">
        <f aca="false">IF('CARNET DE SOUDURE'!E156="","",'CARNET DE SOUDURE'!A156)</f>
        <v>150</v>
      </c>
      <c r="B156" s="93" t="str">
        <f aca="false">IF('CARNET DE SOUDURE'!E156="","",'CARNET DE SOUDURE'!B156&amp;"")</f>
        <v>TFT 716 → TL7-MMFW2</v>
      </c>
      <c r="C156" s="83" t="str">
        <f aca="false">IF('CARNET DE SOUDURE'!E156="","",'CARNET DE SOUDURE'!E156)</f>
        <v>JN°147</v>
      </c>
      <c r="D156" s="78" t="str">
        <f aca="false">IF('CARNET DE SOUDURE'!E156="","",'CARNET DE SOUDURE'!D156&amp;"")</f>
        <v>1.00</v>
      </c>
      <c r="E156" s="96" t="n">
        <f aca="false">IF(OR('CARNET DE SOUDURE'!E156="",'CARNET DE SOUDURE'!R156=""),"",'CARNET DE SOUDURE'!R156)</f>
        <v>45886</v>
      </c>
      <c r="F156" s="81" t="str">
        <f aca="false">IF('CARNET DE SOUDURE'!E156="","",'CARNET DE SOUDURE'!AL156)</f>
        <v>A</v>
      </c>
      <c r="G156" s="81" t="str">
        <f aca="false">IF('CARNET DE SOUDURE'!E156="","",'CARNET DE SOUDURE'!AM156)</f>
        <v>ACCEPTÉ</v>
      </c>
      <c r="H156" s="81" t="str">
        <f aca="false">IF(C156="","",IF(G156="ACCEPTÉ","OUI","NON"))</f>
        <v>OUI</v>
      </c>
      <c r="I156" s="82"/>
      <c r="J156" s="79"/>
      <c r="K156" s="80"/>
      <c r="L156" s="80"/>
      <c r="M156" s="80"/>
      <c r="N156" s="83" t="str">
        <f aca="false">IF(C156="","",IF(I156="",IF(H156="OUI","À ENROBER",IF(G156="À SOUDER","NON SOUDÉ","EN ATTENTE RT")),IF(L156="R","À REPRENDRE",IF(H156&lt;&gt;"OUI","⚠ ENROBÉ AVANT ACCEPTATION RT","ENROBÉ"))))</f>
        <v>À ENROBER</v>
      </c>
      <c r="O156" s="79"/>
    </row>
    <row r="157" customFormat="false" ht="15" hidden="false" customHeight="false" outlineLevel="0" collapsed="false">
      <c r="A157" s="78" t="n">
        <f aca="false">IF('CARNET DE SOUDURE'!E157="","",'CARNET DE SOUDURE'!A157)</f>
        <v>151</v>
      </c>
      <c r="B157" s="93" t="str">
        <f aca="false">IF('CARNET DE SOUDURE'!E157="","",'CARNET DE SOUDURE'!B157&amp;"")</f>
        <v>TFT 716 → TL7-MMFW2</v>
      </c>
      <c r="C157" s="83" t="str">
        <f aca="false">IF('CARNET DE SOUDURE'!E157="","",'CARNET DE SOUDURE'!E157)</f>
        <v>JN°148</v>
      </c>
      <c r="D157" s="78" t="str">
        <f aca="false">IF('CARNET DE SOUDURE'!E157="","",'CARNET DE SOUDURE'!D157&amp;"")</f>
        <v>1.00</v>
      </c>
      <c r="E157" s="96" t="n">
        <f aca="false">IF(OR('CARNET DE SOUDURE'!E157="",'CARNET DE SOUDURE'!R157=""),"",'CARNET DE SOUDURE'!R157)</f>
        <v>45886</v>
      </c>
      <c r="F157" s="81" t="str">
        <f aca="false">IF('CARNET DE SOUDURE'!E157="","",'CARNET DE SOUDURE'!AL157)</f>
        <v>A</v>
      </c>
      <c r="G157" s="81" t="str">
        <f aca="false">IF('CARNET DE SOUDURE'!E157="","",'CARNET DE SOUDURE'!AM157)</f>
        <v>ACCEPTÉ</v>
      </c>
      <c r="H157" s="81" t="str">
        <f aca="false">IF(C157="","",IF(G157="ACCEPTÉ","OUI","NON"))</f>
        <v>OUI</v>
      </c>
      <c r="I157" s="82"/>
      <c r="J157" s="79"/>
      <c r="K157" s="80"/>
      <c r="L157" s="80"/>
      <c r="M157" s="80"/>
      <c r="N157" s="83" t="str">
        <f aca="false">IF(C157="","",IF(I157="",IF(H157="OUI","À ENROBER",IF(G157="À SOUDER","NON SOUDÉ","EN ATTENTE RT")),IF(L157="R","À REPRENDRE",IF(H157&lt;&gt;"OUI","⚠ ENROBÉ AVANT ACCEPTATION RT","ENROBÉ"))))</f>
        <v>À ENROBER</v>
      </c>
      <c r="O157" s="79"/>
    </row>
    <row r="158" customFormat="false" ht="15" hidden="false" customHeight="false" outlineLevel="0" collapsed="false">
      <c r="A158" s="78" t="n">
        <f aca="false">IF('CARNET DE SOUDURE'!E158="","",'CARNET DE SOUDURE'!A158)</f>
        <v>152</v>
      </c>
      <c r="B158" s="93" t="str">
        <f aca="false">IF('CARNET DE SOUDURE'!E158="","",'CARNET DE SOUDURE'!B158&amp;"")</f>
        <v>TFT 716 → TL7-MMFW2</v>
      </c>
      <c r="C158" s="83" t="str">
        <f aca="false">IF('CARNET DE SOUDURE'!E158="","",'CARNET DE SOUDURE'!E158)</f>
        <v>JN°149</v>
      </c>
      <c r="D158" s="78" t="str">
        <f aca="false">IF('CARNET DE SOUDURE'!E158="","",'CARNET DE SOUDURE'!D158&amp;"")</f>
        <v>1.00</v>
      </c>
      <c r="E158" s="96" t="n">
        <f aca="false">IF(OR('CARNET DE SOUDURE'!E158="",'CARNET DE SOUDURE'!R158=""),"",'CARNET DE SOUDURE'!R158)</f>
        <v>45886</v>
      </c>
      <c r="F158" s="81" t="str">
        <f aca="false">IF('CARNET DE SOUDURE'!E158="","",'CARNET DE SOUDURE'!AL158)</f>
        <v>A</v>
      </c>
      <c r="G158" s="81" t="str">
        <f aca="false">IF('CARNET DE SOUDURE'!E158="","",'CARNET DE SOUDURE'!AM158)</f>
        <v>ACCEPTÉ</v>
      </c>
      <c r="H158" s="81" t="str">
        <f aca="false">IF(C158="","",IF(G158="ACCEPTÉ","OUI","NON"))</f>
        <v>OUI</v>
      </c>
      <c r="I158" s="82"/>
      <c r="J158" s="79"/>
      <c r="K158" s="80"/>
      <c r="L158" s="80"/>
      <c r="M158" s="80"/>
      <c r="N158" s="83" t="str">
        <f aca="false">IF(C158="","",IF(I158="",IF(H158="OUI","À ENROBER",IF(G158="À SOUDER","NON SOUDÉ","EN ATTENTE RT")),IF(L158="R","À REPRENDRE",IF(H158&lt;&gt;"OUI","⚠ ENROBÉ AVANT ACCEPTATION RT","ENROBÉ"))))</f>
        <v>À ENROBER</v>
      </c>
      <c r="O158" s="79"/>
    </row>
    <row r="159" customFormat="false" ht="15" hidden="false" customHeight="false" outlineLevel="0" collapsed="false">
      <c r="A159" s="78" t="n">
        <f aca="false">IF('CARNET DE SOUDURE'!E159="","",'CARNET DE SOUDURE'!A159)</f>
        <v>153</v>
      </c>
      <c r="B159" s="93" t="str">
        <f aca="false">IF('CARNET DE SOUDURE'!E159="","",'CARNET DE SOUDURE'!B159&amp;"")</f>
        <v>TFT 716 → TL7-MMFW2</v>
      </c>
      <c r="C159" s="83" t="str">
        <f aca="false">IF('CARNET DE SOUDURE'!E159="","",'CARNET DE SOUDURE'!E159)</f>
        <v>JN°150</v>
      </c>
      <c r="D159" s="78" t="str">
        <f aca="false">IF('CARNET DE SOUDURE'!E159="","",'CARNET DE SOUDURE'!D159&amp;"")</f>
        <v>1.00</v>
      </c>
      <c r="E159" s="96" t="n">
        <f aca="false">IF(OR('CARNET DE SOUDURE'!E159="",'CARNET DE SOUDURE'!R159=""),"",'CARNET DE SOUDURE'!R159)</f>
        <v>45886</v>
      </c>
      <c r="F159" s="81" t="str">
        <f aca="false">IF('CARNET DE SOUDURE'!E159="","",'CARNET DE SOUDURE'!AL159)</f>
        <v>A</v>
      </c>
      <c r="G159" s="81" t="str">
        <f aca="false">IF('CARNET DE SOUDURE'!E159="","",'CARNET DE SOUDURE'!AM159)</f>
        <v>ACCEPTÉ</v>
      </c>
      <c r="H159" s="81" t="str">
        <f aca="false">IF(C159="","",IF(G159="ACCEPTÉ","OUI","NON"))</f>
        <v>OUI</v>
      </c>
      <c r="I159" s="82"/>
      <c r="J159" s="79"/>
      <c r="K159" s="80"/>
      <c r="L159" s="80"/>
      <c r="M159" s="80"/>
      <c r="N159" s="83" t="str">
        <f aca="false">IF(C159="","",IF(I159="",IF(H159="OUI","À ENROBER",IF(G159="À SOUDER","NON SOUDÉ","EN ATTENTE RT")),IF(L159="R","À REPRENDRE",IF(H159&lt;&gt;"OUI","⚠ ENROBÉ AVANT ACCEPTATION RT","ENROBÉ"))))</f>
        <v>À ENROBER</v>
      </c>
      <c r="O159" s="79"/>
    </row>
    <row r="160" customFormat="false" ht="15" hidden="false" customHeight="false" outlineLevel="0" collapsed="false">
      <c r="A160" s="78" t="n">
        <f aca="false">IF('CARNET DE SOUDURE'!E160="","",'CARNET DE SOUDURE'!A160)</f>
        <v>154</v>
      </c>
      <c r="B160" s="93" t="str">
        <f aca="false">IF('CARNET DE SOUDURE'!E160="","",'CARNET DE SOUDURE'!B160&amp;"")</f>
        <v>TFT 716 → TL7-MMFW2</v>
      </c>
      <c r="C160" s="83" t="str">
        <f aca="false">IF('CARNET DE SOUDURE'!E160="","",'CARNET DE SOUDURE'!E160)</f>
        <v>JN°151</v>
      </c>
      <c r="D160" s="78" t="str">
        <f aca="false">IF('CARNET DE SOUDURE'!E160="","",'CARNET DE SOUDURE'!D160&amp;"")</f>
        <v>1.00</v>
      </c>
      <c r="E160" s="96" t="n">
        <f aca="false">IF(OR('CARNET DE SOUDURE'!E160="",'CARNET DE SOUDURE'!R160=""),"",'CARNET DE SOUDURE'!R160)</f>
        <v>45886</v>
      </c>
      <c r="F160" s="81" t="str">
        <f aca="false">IF('CARNET DE SOUDURE'!E160="","",'CARNET DE SOUDURE'!AL160)</f>
        <v>A</v>
      </c>
      <c r="G160" s="81" t="str">
        <f aca="false">IF('CARNET DE SOUDURE'!E160="","",'CARNET DE SOUDURE'!AM160)</f>
        <v>ACCEPTÉ</v>
      </c>
      <c r="H160" s="81" t="str">
        <f aca="false">IF(C160="","",IF(G160="ACCEPTÉ","OUI","NON"))</f>
        <v>OUI</v>
      </c>
      <c r="I160" s="82"/>
      <c r="J160" s="79"/>
      <c r="K160" s="80"/>
      <c r="L160" s="80"/>
      <c r="M160" s="80"/>
      <c r="N160" s="83" t="str">
        <f aca="false">IF(C160="","",IF(I160="",IF(H160="OUI","À ENROBER",IF(G160="À SOUDER","NON SOUDÉ","EN ATTENTE RT")),IF(L160="R","À REPRENDRE",IF(H160&lt;&gt;"OUI","⚠ ENROBÉ AVANT ACCEPTATION RT","ENROBÉ"))))</f>
        <v>À ENROBER</v>
      </c>
      <c r="O160" s="79"/>
    </row>
    <row r="161" customFormat="false" ht="15" hidden="false" customHeight="false" outlineLevel="0" collapsed="false">
      <c r="A161" s="78" t="n">
        <f aca="false">IF('CARNET DE SOUDURE'!E161="","",'CARNET DE SOUDURE'!A161)</f>
        <v>155</v>
      </c>
      <c r="B161" s="93" t="str">
        <f aca="false">IF('CARNET DE SOUDURE'!E161="","",'CARNET DE SOUDURE'!B161&amp;"")</f>
        <v>TFT 716 → TL7-MMFW2</v>
      </c>
      <c r="C161" s="83" t="str">
        <f aca="false">IF('CARNET DE SOUDURE'!E161="","",'CARNET DE SOUDURE'!E161)</f>
        <v>JN°152</v>
      </c>
      <c r="D161" s="78" t="str">
        <f aca="false">IF('CARNET DE SOUDURE'!E161="","",'CARNET DE SOUDURE'!D161&amp;"")</f>
        <v>1.00</v>
      </c>
      <c r="E161" s="96" t="n">
        <f aca="false">IF(OR('CARNET DE SOUDURE'!E161="",'CARNET DE SOUDURE'!R161=""),"",'CARNET DE SOUDURE'!R161)</f>
        <v>45886</v>
      </c>
      <c r="F161" s="81" t="str">
        <f aca="false">IF('CARNET DE SOUDURE'!E161="","",'CARNET DE SOUDURE'!AL161)</f>
        <v>A</v>
      </c>
      <c r="G161" s="81" t="str">
        <f aca="false">IF('CARNET DE SOUDURE'!E161="","",'CARNET DE SOUDURE'!AM161)</f>
        <v>ACCEPTÉ</v>
      </c>
      <c r="H161" s="81" t="str">
        <f aca="false">IF(C161="","",IF(G161="ACCEPTÉ","OUI","NON"))</f>
        <v>OUI</v>
      </c>
      <c r="I161" s="82"/>
      <c r="J161" s="79"/>
      <c r="K161" s="80"/>
      <c r="L161" s="80"/>
      <c r="M161" s="80"/>
      <c r="N161" s="83" t="str">
        <f aca="false">IF(C161="","",IF(I161="",IF(H161="OUI","À ENROBER",IF(G161="À SOUDER","NON SOUDÉ","EN ATTENTE RT")),IF(L161="R","À REPRENDRE",IF(H161&lt;&gt;"OUI","⚠ ENROBÉ AVANT ACCEPTATION RT","ENROBÉ"))))</f>
        <v>À ENROBER</v>
      </c>
      <c r="O161" s="79"/>
    </row>
    <row r="162" customFormat="false" ht="15" hidden="false" customHeight="false" outlineLevel="0" collapsed="false">
      <c r="A162" s="78" t="n">
        <f aca="false">IF('CARNET DE SOUDURE'!E162="","",'CARNET DE SOUDURE'!A162)</f>
        <v>156</v>
      </c>
      <c r="B162" s="93" t="str">
        <f aca="false">IF('CARNET DE SOUDURE'!E162="","",'CARNET DE SOUDURE'!B162&amp;"")</f>
        <v>TFT 716 → TL7-MMFW2</v>
      </c>
      <c r="C162" s="83" t="str">
        <f aca="false">IF('CARNET DE SOUDURE'!E162="","",'CARNET DE SOUDURE'!E162)</f>
        <v>JN°153</v>
      </c>
      <c r="D162" s="78" t="str">
        <f aca="false">IF('CARNET DE SOUDURE'!E162="","",'CARNET DE SOUDURE'!D162&amp;"")</f>
        <v>1.00</v>
      </c>
      <c r="E162" s="96" t="n">
        <f aca="false">IF(OR('CARNET DE SOUDURE'!E162="",'CARNET DE SOUDURE'!R162=""),"",'CARNET DE SOUDURE'!R162)</f>
        <v>45886</v>
      </c>
      <c r="F162" s="81" t="str">
        <f aca="false">IF('CARNET DE SOUDURE'!E162="","",'CARNET DE SOUDURE'!AL162)</f>
        <v>A</v>
      </c>
      <c r="G162" s="81" t="str">
        <f aca="false">IF('CARNET DE SOUDURE'!E162="","",'CARNET DE SOUDURE'!AM162)</f>
        <v>ACCEPTÉ</v>
      </c>
      <c r="H162" s="81" t="str">
        <f aca="false">IF(C162="","",IF(G162="ACCEPTÉ","OUI","NON"))</f>
        <v>OUI</v>
      </c>
      <c r="I162" s="82"/>
      <c r="J162" s="79"/>
      <c r="K162" s="80"/>
      <c r="L162" s="80"/>
      <c r="M162" s="80"/>
      <c r="N162" s="83" t="str">
        <f aca="false">IF(C162="","",IF(I162="",IF(H162="OUI","À ENROBER",IF(G162="À SOUDER","NON SOUDÉ","EN ATTENTE RT")),IF(L162="R","À REPRENDRE",IF(H162&lt;&gt;"OUI","⚠ ENROBÉ AVANT ACCEPTATION RT","ENROBÉ"))))</f>
        <v>À ENROBER</v>
      </c>
      <c r="O162" s="79"/>
    </row>
    <row r="163" customFormat="false" ht="15" hidden="false" customHeight="false" outlineLevel="0" collapsed="false">
      <c r="A163" s="78" t="n">
        <f aca="false">IF('CARNET DE SOUDURE'!E163="","",'CARNET DE SOUDURE'!A163)</f>
        <v>157</v>
      </c>
      <c r="B163" s="93" t="str">
        <f aca="false">IF('CARNET DE SOUDURE'!E163="","",'CARNET DE SOUDURE'!B163&amp;"")</f>
        <v>TFT 716 → TL7-MMFW2</v>
      </c>
      <c r="C163" s="83" t="str">
        <f aca="false">IF('CARNET DE SOUDURE'!E163="","",'CARNET DE SOUDURE'!E163)</f>
        <v>JN°154</v>
      </c>
      <c r="D163" s="78" t="str">
        <f aca="false">IF('CARNET DE SOUDURE'!E163="","",'CARNET DE SOUDURE'!D163&amp;"")</f>
        <v>1.00</v>
      </c>
      <c r="E163" s="96" t="n">
        <f aca="false">IF(OR('CARNET DE SOUDURE'!E163="",'CARNET DE SOUDURE'!R163=""),"",'CARNET DE SOUDURE'!R163)</f>
        <v>45887</v>
      </c>
      <c r="F163" s="81" t="str">
        <f aca="false">IF('CARNET DE SOUDURE'!E163="","",'CARNET DE SOUDURE'!AL163)</f>
        <v>A</v>
      </c>
      <c r="G163" s="81" t="str">
        <f aca="false">IF('CARNET DE SOUDURE'!E163="","",'CARNET DE SOUDURE'!AM163)</f>
        <v>ACCEPTÉ</v>
      </c>
      <c r="H163" s="81" t="str">
        <f aca="false">IF(C163="","",IF(G163="ACCEPTÉ","OUI","NON"))</f>
        <v>OUI</v>
      </c>
      <c r="I163" s="82"/>
      <c r="J163" s="79"/>
      <c r="K163" s="80"/>
      <c r="L163" s="80"/>
      <c r="M163" s="80"/>
      <c r="N163" s="83" t="str">
        <f aca="false">IF(C163="","",IF(I163="",IF(H163="OUI","À ENROBER",IF(G163="À SOUDER","NON SOUDÉ","EN ATTENTE RT")),IF(L163="R","À REPRENDRE",IF(H163&lt;&gt;"OUI","⚠ ENROBÉ AVANT ACCEPTATION RT","ENROBÉ"))))</f>
        <v>À ENROBER</v>
      </c>
      <c r="O163" s="79"/>
    </row>
    <row r="164" customFormat="false" ht="15" hidden="false" customHeight="false" outlineLevel="0" collapsed="false">
      <c r="A164" s="78" t="n">
        <f aca="false">IF('CARNET DE SOUDURE'!E164="","",'CARNET DE SOUDURE'!A164)</f>
        <v>158</v>
      </c>
      <c r="B164" s="93" t="str">
        <f aca="false">IF('CARNET DE SOUDURE'!E164="","",'CARNET DE SOUDURE'!B164&amp;"")</f>
        <v>TFT 716 → TL7-MMFW2</v>
      </c>
      <c r="C164" s="83" t="str">
        <f aca="false">IF('CARNET DE SOUDURE'!E164="","",'CARNET DE SOUDURE'!E164)</f>
        <v>JN°155</v>
      </c>
      <c r="D164" s="78" t="str">
        <f aca="false">IF('CARNET DE SOUDURE'!E164="","",'CARNET DE SOUDURE'!D164&amp;"")</f>
        <v>1.00</v>
      </c>
      <c r="E164" s="96" t="n">
        <f aca="false">IF(OR('CARNET DE SOUDURE'!E164="",'CARNET DE SOUDURE'!R164=""),"",'CARNET DE SOUDURE'!R164)</f>
        <v>45887</v>
      </c>
      <c r="F164" s="81" t="str">
        <f aca="false">IF('CARNET DE SOUDURE'!E164="","",'CARNET DE SOUDURE'!AL164)</f>
        <v>A</v>
      </c>
      <c r="G164" s="81" t="str">
        <f aca="false">IF('CARNET DE SOUDURE'!E164="","",'CARNET DE SOUDURE'!AM164)</f>
        <v>ACCEPTÉ</v>
      </c>
      <c r="H164" s="81" t="str">
        <f aca="false">IF(C164="","",IF(G164="ACCEPTÉ","OUI","NON"))</f>
        <v>OUI</v>
      </c>
      <c r="I164" s="82"/>
      <c r="J164" s="79"/>
      <c r="K164" s="80"/>
      <c r="L164" s="80"/>
      <c r="M164" s="80"/>
      <c r="N164" s="83" t="str">
        <f aca="false">IF(C164="","",IF(I164="",IF(H164="OUI","À ENROBER",IF(G164="À SOUDER","NON SOUDÉ","EN ATTENTE RT")),IF(L164="R","À REPRENDRE",IF(H164&lt;&gt;"OUI","⚠ ENROBÉ AVANT ACCEPTATION RT","ENROBÉ"))))</f>
        <v>À ENROBER</v>
      </c>
      <c r="O164" s="79"/>
    </row>
    <row r="165" customFormat="false" ht="15" hidden="false" customHeight="false" outlineLevel="0" collapsed="false">
      <c r="A165" s="78" t="n">
        <f aca="false">IF('CARNET DE SOUDURE'!E165="","",'CARNET DE SOUDURE'!A165)</f>
        <v>159</v>
      </c>
      <c r="B165" s="93" t="str">
        <f aca="false">IF('CARNET DE SOUDURE'!E165="","",'CARNET DE SOUDURE'!B165&amp;"")</f>
        <v>TFT 716 → TL7-MMFW2</v>
      </c>
      <c r="C165" s="83" t="str">
        <f aca="false">IF('CARNET DE SOUDURE'!E165="","",'CARNET DE SOUDURE'!E165)</f>
        <v>JN°156</v>
      </c>
      <c r="D165" s="78" t="str">
        <f aca="false">IF('CARNET DE SOUDURE'!E165="","",'CARNET DE SOUDURE'!D165&amp;"")</f>
        <v>1.00</v>
      </c>
      <c r="E165" s="96" t="n">
        <f aca="false">IF(OR('CARNET DE SOUDURE'!E165="",'CARNET DE SOUDURE'!R165=""),"",'CARNET DE SOUDURE'!R165)</f>
        <v>45887</v>
      </c>
      <c r="F165" s="81" t="str">
        <f aca="false">IF('CARNET DE SOUDURE'!E165="","",'CARNET DE SOUDURE'!AL165)</f>
        <v>A</v>
      </c>
      <c r="G165" s="81" t="str">
        <f aca="false">IF('CARNET DE SOUDURE'!E165="","",'CARNET DE SOUDURE'!AM165)</f>
        <v>ACCEPTÉ</v>
      </c>
      <c r="H165" s="81" t="str">
        <f aca="false">IF(C165="","",IF(G165="ACCEPTÉ","OUI","NON"))</f>
        <v>OUI</v>
      </c>
      <c r="I165" s="82"/>
      <c r="J165" s="79"/>
      <c r="K165" s="80"/>
      <c r="L165" s="80"/>
      <c r="M165" s="80"/>
      <c r="N165" s="83" t="str">
        <f aca="false">IF(C165="","",IF(I165="",IF(H165="OUI","À ENROBER",IF(G165="À SOUDER","NON SOUDÉ","EN ATTENTE RT")),IF(L165="R","À REPRENDRE",IF(H165&lt;&gt;"OUI","⚠ ENROBÉ AVANT ACCEPTATION RT","ENROBÉ"))))</f>
        <v>À ENROBER</v>
      </c>
      <c r="O165" s="79"/>
    </row>
    <row r="166" customFormat="false" ht="15" hidden="false" customHeight="false" outlineLevel="0" collapsed="false">
      <c r="A166" s="78" t="n">
        <f aca="false">IF('CARNET DE SOUDURE'!E166="","",'CARNET DE SOUDURE'!A166)</f>
        <v>160</v>
      </c>
      <c r="B166" s="93" t="str">
        <f aca="false">IF('CARNET DE SOUDURE'!E166="","",'CARNET DE SOUDURE'!B166&amp;"")</f>
        <v>TFT 716 → TL7-MMFW2</v>
      </c>
      <c r="C166" s="83" t="str">
        <f aca="false">IF('CARNET DE SOUDURE'!E166="","",'CARNET DE SOUDURE'!E166)</f>
        <v>JN°157</v>
      </c>
      <c r="D166" s="78" t="str">
        <f aca="false">IF('CARNET DE SOUDURE'!E166="","",'CARNET DE SOUDURE'!D166&amp;"")</f>
        <v>1.00</v>
      </c>
      <c r="E166" s="96" t="n">
        <f aca="false">IF(OR('CARNET DE SOUDURE'!E166="",'CARNET DE SOUDURE'!R166=""),"",'CARNET DE SOUDURE'!R166)</f>
        <v>45887</v>
      </c>
      <c r="F166" s="81" t="str">
        <f aca="false">IF('CARNET DE SOUDURE'!E166="","",'CARNET DE SOUDURE'!AL166)</f>
        <v>A</v>
      </c>
      <c r="G166" s="81" t="str">
        <f aca="false">IF('CARNET DE SOUDURE'!E166="","",'CARNET DE SOUDURE'!AM166)</f>
        <v>ACCEPTÉ</v>
      </c>
      <c r="H166" s="81" t="str">
        <f aca="false">IF(C166="","",IF(G166="ACCEPTÉ","OUI","NON"))</f>
        <v>OUI</v>
      </c>
      <c r="I166" s="82"/>
      <c r="J166" s="79"/>
      <c r="K166" s="80"/>
      <c r="L166" s="80"/>
      <c r="M166" s="80"/>
      <c r="N166" s="83" t="str">
        <f aca="false">IF(C166="","",IF(I166="",IF(H166="OUI","À ENROBER",IF(G166="À SOUDER","NON SOUDÉ","EN ATTENTE RT")),IF(L166="R","À REPRENDRE",IF(H166&lt;&gt;"OUI","⚠ ENROBÉ AVANT ACCEPTATION RT","ENROBÉ"))))</f>
        <v>À ENROBER</v>
      </c>
      <c r="O166" s="79"/>
    </row>
    <row r="167" customFormat="false" ht="15" hidden="false" customHeight="false" outlineLevel="0" collapsed="false">
      <c r="A167" s="78" t="n">
        <f aca="false">IF('CARNET DE SOUDURE'!E167="","",'CARNET DE SOUDURE'!A167)</f>
        <v>161</v>
      </c>
      <c r="B167" s="93" t="str">
        <f aca="false">IF('CARNET DE SOUDURE'!E167="","",'CARNET DE SOUDURE'!B167&amp;"")</f>
        <v>TFT 716 → TL7-MMFW2</v>
      </c>
      <c r="C167" s="83" t="str">
        <f aca="false">IF('CARNET DE SOUDURE'!E167="","",'CARNET DE SOUDURE'!E167)</f>
        <v>JN°158</v>
      </c>
      <c r="D167" s="78" t="str">
        <f aca="false">IF('CARNET DE SOUDURE'!E167="","",'CARNET DE SOUDURE'!D167&amp;"")</f>
        <v>1.00</v>
      </c>
      <c r="E167" s="96" t="n">
        <f aca="false">IF(OR('CARNET DE SOUDURE'!E167="",'CARNET DE SOUDURE'!R167=""),"",'CARNET DE SOUDURE'!R167)</f>
        <v>45887</v>
      </c>
      <c r="F167" s="81" t="str">
        <f aca="false">IF('CARNET DE SOUDURE'!E167="","",'CARNET DE SOUDURE'!AL167)</f>
        <v>A</v>
      </c>
      <c r="G167" s="81" t="str">
        <f aca="false">IF('CARNET DE SOUDURE'!E167="","",'CARNET DE SOUDURE'!AM167)</f>
        <v>ACCEPTÉ</v>
      </c>
      <c r="H167" s="81" t="str">
        <f aca="false">IF(C167="","",IF(G167="ACCEPTÉ","OUI","NON"))</f>
        <v>OUI</v>
      </c>
      <c r="I167" s="82"/>
      <c r="J167" s="79"/>
      <c r="K167" s="80"/>
      <c r="L167" s="80"/>
      <c r="M167" s="80"/>
      <c r="N167" s="83" t="str">
        <f aca="false">IF(C167="","",IF(I167="",IF(H167="OUI","À ENROBER",IF(G167="À SOUDER","NON SOUDÉ","EN ATTENTE RT")),IF(L167="R","À REPRENDRE",IF(H167&lt;&gt;"OUI","⚠ ENROBÉ AVANT ACCEPTATION RT","ENROBÉ"))))</f>
        <v>À ENROBER</v>
      </c>
      <c r="O167" s="79"/>
    </row>
    <row r="168" customFormat="false" ht="15" hidden="false" customHeight="false" outlineLevel="0" collapsed="false">
      <c r="A168" s="78" t="n">
        <f aca="false">IF('CARNET DE SOUDURE'!E168="","",'CARNET DE SOUDURE'!A168)</f>
        <v>162</v>
      </c>
      <c r="B168" s="93" t="str">
        <f aca="false">IF('CARNET DE SOUDURE'!E168="","",'CARNET DE SOUDURE'!B168&amp;"")</f>
        <v>TFT 716 → TL7-MMFW2</v>
      </c>
      <c r="C168" s="83" t="str">
        <f aca="false">IF('CARNET DE SOUDURE'!E168="","",'CARNET DE SOUDURE'!E168)</f>
        <v>JN°159</v>
      </c>
      <c r="D168" s="78" t="str">
        <f aca="false">IF('CARNET DE SOUDURE'!E168="","",'CARNET DE SOUDURE'!D168&amp;"")</f>
        <v>1.00</v>
      </c>
      <c r="E168" s="96" t="n">
        <f aca="false">IF(OR('CARNET DE SOUDURE'!E168="",'CARNET DE SOUDURE'!R168=""),"",'CARNET DE SOUDURE'!R168)</f>
        <v>45887</v>
      </c>
      <c r="F168" s="81" t="str">
        <f aca="false">IF('CARNET DE SOUDURE'!E168="","",'CARNET DE SOUDURE'!AL168)</f>
        <v>A</v>
      </c>
      <c r="G168" s="81" t="str">
        <f aca="false">IF('CARNET DE SOUDURE'!E168="","",'CARNET DE SOUDURE'!AM168)</f>
        <v>ACCEPTÉ</v>
      </c>
      <c r="H168" s="81" t="str">
        <f aca="false">IF(C168="","",IF(G168="ACCEPTÉ","OUI","NON"))</f>
        <v>OUI</v>
      </c>
      <c r="I168" s="82"/>
      <c r="J168" s="79"/>
      <c r="K168" s="80"/>
      <c r="L168" s="80"/>
      <c r="M168" s="80"/>
      <c r="N168" s="83" t="str">
        <f aca="false">IF(C168="","",IF(I168="",IF(H168="OUI","À ENROBER",IF(G168="À SOUDER","NON SOUDÉ","EN ATTENTE RT")),IF(L168="R","À REPRENDRE",IF(H168&lt;&gt;"OUI","⚠ ENROBÉ AVANT ACCEPTATION RT","ENROBÉ"))))</f>
        <v>À ENROBER</v>
      </c>
      <c r="O168" s="79"/>
    </row>
    <row r="169" customFormat="false" ht="15" hidden="false" customHeight="false" outlineLevel="0" collapsed="false">
      <c r="A169" s="78" t="n">
        <f aca="false">IF('CARNET DE SOUDURE'!E169="","",'CARNET DE SOUDURE'!A169)</f>
        <v>163</v>
      </c>
      <c r="B169" s="93" t="str">
        <f aca="false">IF('CARNET DE SOUDURE'!E169="","",'CARNET DE SOUDURE'!B169&amp;"")</f>
        <v>TFT 716 → TL7-MMFW2</v>
      </c>
      <c r="C169" s="83" t="str">
        <f aca="false">IF('CARNET DE SOUDURE'!E169="","",'CARNET DE SOUDURE'!E169)</f>
        <v>JN°160</v>
      </c>
      <c r="D169" s="78" t="str">
        <f aca="false">IF('CARNET DE SOUDURE'!E169="","",'CARNET DE SOUDURE'!D169&amp;"")</f>
        <v>1.00</v>
      </c>
      <c r="E169" s="96" t="n">
        <f aca="false">IF(OR('CARNET DE SOUDURE'!E169="",'CARNET DE SOUDURE'!R169=""),"",'CARNET DE SOUDURE'!R169)</f>
        <v>45887</v>
      </c>
      <c r="F169" s="81" t="str">
        <f aca="false">IF('CARNET DE SOUDURE'!E169="","",'CARNET DE SOUDURE'!AL169)</f>
        <v>A</v>
      </c>
      <c r="G169" s="81" t="str">
        <f aca="false">IF('CARNET DE SOUDURE'!E169="","",'CARNET DE SOUDURE'!AM169)</f>
        <v>ACCEPTÉ</v>
      </c>
      <c r="H169" s="81" t="str">
        <f aca="false">IF(C169="","",IF(G169="ACCEPTÉ","OUI","NON"))</f>
        <v>OUI</v>
      </c>
      <c r="I169" s="82"/>
      <c r="J169" s="79"/>
      <c r="K169" s="80"/>
      <c r="L169" s="80"/>
      <c r="M169" s="80"/>
      <c r="N169" s="83" t="str">
        <f aca="false">IF(C169="","",IF(I169="",IF(H169="OUI","À ENROBER",IF(G169="À SOUDER","NON SOUDÉ","EN ATTENTE RT")),IF(L169="R","À REPRENDRE",IF(H169&lt;&gt;"OUI","⚠ ENROBÉ AVANT ACCEPTATION RT","ENROBÉ"))))</f>
        <v>À ENROBER</v>
      </c>
      <c r="O169" s="79"/>
    </row>
    <row r="170" customFormat="false" ht="15" hidden="false" customHeight="false" outlineLevel="0" collapsed="false">
      <c r="A170" s="78" t="n">
        <f aca="false">IF('CARNET DE SOUDURE'!E170="","",'CARNET DE SOUDURE'!A170)</f>
        <v>164</v>
      </c>
      <c r="B170" s="93" t="str">
        <f aca="false">IF('CARNET DE SOUDURE'!E170="","",'CARNET DE SOUDURE'!B170&amp;"")</f>
        <v>TFT 716 → TL7-MMFW2</v>
      </c>
      <c r="C170" s="83" t="str">
        <f aca="false">IF('CARNET DE SOUDURE'!E170="","",'CARNET DE SOUDURE'!E170)</f>
        <v>JN°161</v>
      </c>
      <c r="D170" s="78" t="str">
        <f aca="false">IF('CARNET DE SOUDURE'!E170="","",'CARNET DE SOUDURE'!D170&amp;"")</f>
        <v>1.00</v>
      </c>
      <c r="E170" s="96" t="n">
        <f aca="false">IF(OR('CARNET DE SOUDURE'!E170="",'CARNET DE SOUDURE'!R170=""),"",'CARNET DE SOUDURE'!R170)</f>
        <v>45887</v>
      </c>
      <c r="F170" s="81" t="str">
        <f aca="false">IF('CARNET DE SOUDURE'!E170="","",'CARNET DE SOUDURE'!AL170)</f>
        <v>A</v>
      </c>
      <c r="G170" s="81" t="str">
        <f aca="false">IF('CARNET DE SOUDURE'!E170="","",'CARNET DE SOUDURE'!AM170)</f>
        <v>ACCEPTÉ</v>
      </c>
      <c r="H170" s="81" t="str">
        <f aca="false">IF(C170="","",IF(G170="ACCEPTÉ","OUI","NON"))</f>
        <v>OUI</v>
      </c>
      <c r="I170" s="82"/>
      <c r="J170" s="79"/>
      <c r="K170" s="80"/>
      <c r="L170" s="80"/>
      <c r="M170" s="80"/>
      <c r="N170" s="83" t="str">
        <f aca="false">IF(C170="","",IF(I170="",IF(H170="OUI","À ENROBER",IF(G170="À SOUDER","NON SOUDÉ","EN ATTENTE RT")),IF(L170="R","À REPRENDRE",IF(H170&lt;&gt;"OUI","⚠ ENROBÉ AVANT ACCEPTATION RT","ENROBÉ"))))</f>
        <v>À ENROBER</v>
      </c>
      <c r="O170" s="79"/>
    </row>
    <row r="171" customFormat="false" ht="15" hidden="false" customHeight="false" outlineLevel="0" collapsed="false">
      <c r="A171" s="78" t="n">
        <f aca="false">IF('CARNET DE SOUDURE'!E171="","",'CARNET DE SOUDURE'!A171)</f>
        <v>165</v>
      </c>
      <c r="B171" s="93" t="str">
        <f aca="false">IF('CARNET DE SOUDURE'!E171="","",'CARNET DE SOUDURE'!B171&amp;"")</f>
        <v>TFT 716 → TL7-MMFW2</v>
      </c>
      <c r="C171" s="83" t="str">
        <f aca="false">IF('CARNET DE SOUDURE'!E171="","",'CARNET DE SOUDURE'!E171)</f>
        <v>JN°162</v>
      </c>
      <c r="D171" s="78" t="str">
        <f aca="false">IF('CARNET DE SOUDURE'!E171="","",'CARNET DE SOUDURE'!D171&amp;"")</f>
        <v>1.00</v>
      </c>
      <c r="E171" s="96" t="n">
        <f aca="false">IF(OR('CARNET DE SOUDURE'!E171="",'CARNET DE SOUDURE'!R171=""),"",'CARNET DE SOUDURE'!R171)</f>
        <v>45887</v>
      </c>
      <c r="F171" s="81" t="str">
        <f aca="false">IF('CARNET DE SOUDURE'!E171="","",'CARNET DE SOUDURE'!AL171)</f>
        <v>A</v>
      </c>
      <c r="G171" s="81" t="str">
        <f aca="false">IF('CARNET DE SOUDURE'!E171="","",'CARNET DE SOUDURE'!AM171)</f>
        <v>ACCEPTÉ</v>
      </c>
      <c r="H171" s="81" t="str">
        <f aca="false">IF(C171="","",IF(G171="ACCEPTÉ","OUI","NON"))</f>
        <v>OUI</v>
      </c>
      <c r="I171" s="82"/>
      <c r="J171" s="79"/>
      <c r="K171" s="80"/>
      <c r="L171" s="80"/>
      <c r="M171" s="80"/>
      <c r="N171" s="83" t="str">
        <f aca="false">IF(C171="","",IF(I171="",IF(H171="OUI","À ENROBER",IF(G171="À SOUDER","NON SOUDÉ","EN ATTENTE RT")),IF(L171="R","À REPRENDRE",IF(H171&lt;&gt;"OUI","⚠ ENROBÉ AVANT ACCEPTATION RT","ENROBÉ"))))</f>
        <v>À ENROBER</v>
      </c>
      <c r="O171" s="79"/>
    </row>
    <row r="172" customFormat="false" ht="15" hidden="false" customHeight="false" outlineLevel="0" collapsed="false">
      <c r="A172" s="78" t="n">
        <f aca="false">IF('CARNET DE SOUDURE'!E172="","",'CARNET DE SOUDURE'!A172)</f>
        <v>166</v>
      </c>
      <c r="B172" s="93" t="str">
        <f aca="false">IF('CARNET DE SOUDURE'!E172="","",'CARNET DE SOUDURE'!B172&amp;"")</f>
        <v>TFT 716 → TL7-MMFW2</v>
      </c>
      <c r="C172" s="83" t="str">
        <f aca="false">IF('CARNET DE SOUDURE'!E172="","",'CARNET DE SOUDURE'!E172)</f>
        <v>JN°163</v>
      </c>
      <c r="D172" s="78" t="str">
        <f aca="false">IF('CARNET DE SOUDURE'!E172="","",'CARNET DE SOUDURE'!D172&amp;"")</f>
        <v>1.00</v>
      </c>
      <c r="E172" s="96" t="n">
        <f aca="false">IF(OR('CARNET DE SOUDURE'!E172="",'CARNET DE SOUDURE'!R172=""),"",'CARNET DE SOUDURE'!R172)</f>
        <v>45887</v>
      </c>
      <c r="F172" s="81" t="str">
        <f aca="false">IF('CARNET DE SOUDURE'!E172="","",'CARNET DE SOUDURE'!AL172)</f>
        <v>A</v>
      </c>
      <c r="G172" s="81" t="str">
        <f aca="false">IF('CARNET DE SOUDURE'!E172="","",'CARNET DE SOUDURE'!AM172)</f>
        <v>ACCEPTÉ</v>
      </c>
      <c r="H172" s="81" t="str">
        <f aca="false">IF(C172="","",IF(G172="ACCEPTÉ","OUI","NON"))</f>
        <v>OUI</v>
      </c>
      <c r="I172" s="82"/>
      <c r="J172" s="79"/>
      <c r="K172" s="80"/>
      <c r="L172" s="80"/>
      <c r="M172" s="80"/>
      <c r="N172" s="83" t="str">
        <f aca="false">IF(C172="","",IF(I172="",IF(H172="OUI","À ENROBER",IF(G172="À SOUDER","NON SOUDÉ","EN ATTENTE RT")),IF(L172="R","À REPRENDRE",IF(H172&lt;&gt;"OUI","⚠ ENROBÉ AVANT ACCEPTATION RT","ENROBÉ"))))</f>
        <v>À ENROBER</v>
      </c>
      <c r="O172" s="79"/>
    </row>
    <row r="173" customFormat="false" ht="15" hidden="false" customHeight="false" outlineLevel="0" collapsed="false">
      <c r="A173" s="78" t="n">
        <f aca="false">IF('CARNET DE SOUDURE'!E173="","",'CARNET DE SOUDURE'!A173)</f>
        <v>167</v>
      </c>
      <c r="B173" s="93" t="str">
        <f aca="false">IF('CARNET DE SOUDURE'!E173="","",'CARNET DE SOUDURE'!B173&amp;"")</f>
        <v>TFT 716 → TL7-MMFW2</v>
      </c>
      <c r="C173" s="83" t="str">
        <f aca="false">IF('CARNET DE SOUDURE'!E173="","",'CARNET DE SOUDURE'!E173)</f>
        <v>JN°164</v>
      </c>
      <c r="D173" s="78" t="str">
        <f aca="false">IF('CARNET DE SOUDURE'!E173="","",'CARNET DE SOUDURE'!D173&amp;"")</f>
        <v>1.00</v>
      </c>
      <c r="E173" s="96" t="n">
        <f aca="false">IF(OR('CARNET DE SOUDURE'!E173="",'CARNET DE SOUDURE'!R173=""),"",'CARNET DE SOUDURE'!R173)</f>
        <v>45887</v>
      </c>
      <c r="F173" s="81" t="str">
        <f aca="false">IF('CARNET DE SOUDURE'!E173="","",'CARNET DE SOUDURE'!AL173)</f>
        <v>A</v>
      </c>
      <c r="G173" s="81" t="str">
        <f aca="false">IF('CARNET DE SOUDURE'!E173="","",'CARNET DE SOUDURE'!AM173)</f>
        <v>ACCEPTÉ</v>
      </c>
      <c r="H173" s="81" t="str">
        <f aca="false">IF(C173="","",IF(G173="ACCEPTÉ","OUI","NON"))</f>
        <v>OUI</v>
      </c>
      <c r="I173" s="82"/>
      <c r="J173" s="79"/>
      <c r="K173" s="80"/>
      <c r="L173" s="80"/>
      <c r="M173" s="80"/>
      <c r="N173" s="83" t="str">
        <f aca="false">IF(C173="","",IF(I173="",IF(H173="OUI","À ENROBER",IF(G173="À SOUDER","NON SOUDÉ","EN ATTENTE RT")),IF(L173="R","À REPRENDRE",IF(H173&lt;&gt;"OUI","⚠ ENROBÉ AVANT ACCEPTATION RT","ENROBÉ"))))</f>
        <v>À ENROBER</v>
      </c>
      <c r="O173" s="79"/>
    </row>
    <row r="174" customFormat="false" ht="15" hidden="false" customHeight="false" outlineLevel="0" collapsed="false">
      <c r="A174" s="78" t="n">
        <f aca="false">IF('CARNET DE SOUDURE'!E174="","",'CARNET DE SOUDURE'!A174)</f>
        <v>168</v>
      </c>
      <c r="B174" s="93" t="str">
        <f aca="false">IF('CARNET DE SOUDURE'!E174="","",'CARNET DE SOUDURE'!B174&amp;"")</f>
        <v>TFT 716 → TL7-MMFW2</v>
      </c>
      <c r="C174" s="83" t="str">
        <f aca="false">IF('CARNET DE SOUDURE'!E174="","",'CARNET DE SOUDURE'!E174)</f>
        <v>JN°165</v>
      </c>
      <c r="D174" s="78" t="str">
        <f aca="false">IF('CARNET DE SOUDURE'!E174="","",'CARNET DE SOUDURE'!D174&amp;"")</f>
        <v>1.00</v>
      </c>
      <c r="E174" s="96" t="n">
        <f aca="false">IF(OR('CARNET DE SOUDURE'!E174="",'CARNET DE SOUDURE'!R174=""),"",'CARNET DE SOUDURE'!R174)</f>
        <v>45887</v>
      </c>
      <c r="F174" s="81" t="str">
        <f aca="false">IF('CARNET DE SOUDURE'!E174="","",'CARNET DE SOUDURE'!AL174)</f>
        <v>A</v>
      </c>
      <c r="G174" s="81" t="str">
        <f aca="false">IF('CARNET DE SOUDURE'!E174="","",'CARNET DE SOUDURE'!AM174)</f>
        <v>ACCEPTÉ</v>
      </c>
      <c r="H174" s="81" t="str">
        <f aca="false">IF(C174="","",IF(G174="ACCEPTÉ","OUI","NON"))</f>
        <v>OUI</v>
      </c>
      <c r="I174" s="82"/>
      <c r="J174" s="79"/>
      <c r="K174" s="80"/>
      <c r="L174" s="80"/>
      <c r="M174" s="80"/>
      <c r="N174" s="83" t="str">
        <f aca="false">IF(C174="","",IF(I174="",IF(H174="OUI","À ENROBER",IF(G174="À SOUDER","NON SOUDÉ","EN ATTENTE RT")),IF(L174="R","À REPRENDRE",IF(H174&lt;&gt;"OUI","⚠ ENROBÉ AVANT ACCEPTATION RT","ENROBÉ"))))</f>
        <v>À ENROBER</v>
      </c>
      <c r="O174" s="79"/>
    </row>
    <row r="175" customFormat="false" ht="15" hidden="false" customHeight="false" outlineLevel="0" collapsed="false">
      <c r="A175" s="78" t="n">
        <f aca="false">IF('CARNET DE SOUDURE'!E175="","",'CARNET DE SOUDURE'!A175)</f>
        <v>169</v>
      </c>
      <c r="B175" s="93" t="str">
        <f aca="false">IF('CARNET DE SOUDURE'!E175="","",'CARNET DE SOUDURE'!B175&amp;"")</f>
        <v>TFT 716 → TL7-MMFW2</v>
      </c>
      <c r="C175" s="83" t="str">
        <f aca="false">IF('CARNET DE SOUDURE'!E175="","",'CARNET DE SOUDURE'!E175)</f>
        <v>JN°166</v>
      </c>
      <c r="D175" s="78" t="str">
        <f aca="false">IF('CARNET DE SOUDURE'!E175="","",'CARNET DE SOUDURE'!D175&amp;"")</f>
        <v>1.00</v>
      </c>
      <c r="E175" s="96" t="n">
        <f aca="false">IF(OR('CARNET DE SOUDURE'!E175="",'CARNET DE SOUDURE'!R175=""),"",'CARNET DE SOUDURE'!R175)</f>
        <v>45887</v>
      </c>
      <c r="F175" s="81" t="str">
        <f aca="false">IF('CARNET DE SOUDURE'!E175="","",'CARNET DE SOUDURE'!AL175)</f>
        <v>A</v>
      </c>
      <c r="G175" s="81" t="str">
        <f aca="false">IF('CARNET DE SOUDURE'!E175="","",'CARNET DE SOUDURE'!AM175)</f>
        <v>ACCEPTÉ</v>
      </c>
      <c r="H175" s="81" t="str">
        <f aca="false">IF(C175="","",IF(G175="ACCEPTÉ","OUI","NON"))</f>
        <v>OUI</v>
      </c>
      <c r="I175" s="82"/>
      <c r="J175" s="79"/>
      <c r="K175" s="80"/>
      <c r="L175" s="80"/>
      <c r="M175" s="80"/>
      <c r="N175" s="83" t="str">
        <f aca="false">IF(C175="","",IF(I175="",IF(H175="OUI","À ENROBER",IF(G175="À SOUDER","NON SOUDÉ","EN ATTENTE RT")),IF(L175="R","À REPRENDRE",IF(H175&lt;&gt;"OUI","⚠ ENROBÉ AVANT ACCEPTATION RT","ENROBÉ"))))</f>
        <v>À ENROBER</v>
      </c>
      <c r="O175" s="79"/>
    </row>
    <row r="176" customFormat="false" ht="15" hidden="false" customHeight="false" outlineLevel="0" collapsed="false">
      <c r="A176" s="78" t="n">
        <f aca="false">IF('CARNET DE SOUDURE'!E176="","",'CARNET DE SOUDURE'!A176)</f>
        <v>170</v>
      </c>
      <c r="B176" s="93" t="str">
        <f aca="false">IF('CARNET DE SOUDURE'!E176="","",'CARNET DE SOUDURE'!B176&amp;"")</f>
        <v>TFT 716 → TL7-MMFW2</v>
      </c>
      <c r="C176" s="83" t="str">
        <f aca="false">IF('CARNET DE SOUDURE'!E176="","",'CARNET DE SOUDURE'!E176)</f>
        <v>JN°167</v>
      </c>
      <c r="D176" s="78" t="str">
        <f aca="false">IF('CARNET DE SOUDURE'!E176="","",'CARNET DE SOUDURE'!D176&amp;"")</f>
        <v>1.00</v>
      </c>
      <c r="E176" s="96" t="n">
        <f aca="false">IF(OR('CARNET DE SOUDURE'!E176="",'CARNET DE SOUDURE'!R176=""),"",'CARNET DE SOUDURE'!R176)</f>
        <v>45887</v>
      </c>
      <c r="F176" s="81" t="str">
        <f aca="false">IF('CARNET DE SOUDURE'!E176="","",'CARNET DE SOUDURE'!AL176)</f>
        <v>A</v>
      </c>
      <c r="G176" s="81" t="str">
        <f aca="false">IF('CARNET DE SOUDURE'!E176="","",'CARNET DE SOUDURE'!AM176)</f>
        <v>ACCEPTÉ</v>
      </c>
      <c r="H176" s="81" t="str">
        <f aca="false">IF(C176="","",IF(G176="ACCEPTÉ","OUI","NON"))</f>
        <v>OUI</v>
      </c>
      <c r="I176" s="82"/>
      <c r="J176" s="79"/>
      <c r="K176" s="80"/>
      <c r="L176" s="80"/>
      <c r="M176" s="80"/>
      <c r="N176" s="83" t="str">
        <f aca="false">IF(C176="","",IF(I176="",IF(H176="OUI","À ENROBER",IF(G176="À SOUDER","NON SOUDÉ","EN ATTENTE RT")),IF(L176="R","À REPRENDRE",IF(H176&lt;&gt;"OUI","⚠ ENROBÉ AVANT ACCEPTATION RT","ENROBÉ"))))</f>
        <v>À ENROBER</v>
      </c>
      <c r="O176" s="79"/>
    </row>
    <row r="177" customFormat="false" ht="15" hidden="false" customHeight="false" outlineLevel="0" collapsed="false">
      <c r="A177" s="78" t="n">
        <f aca="false">IF('CARNET DE SOUDURE'!E177="","",'CARNET DE SOUDURE'!A177)</f>
        <v>171</v>
      </c>
      <c r="B177" s="93" t="str">
        <f aca="false">IF('CARNET DE SOUDURE'!E177="","",'CARNET DE SOUDURE'!B177&amp;"")</f>
        <v>TFT 716 → TL7-MMFW2</v>
      </c>
      <c r="C177" s="83" t="str">
        <f aca="false">IF('CARNET DE SOUDURE'!E177="","",'CARNET DE SOUDURE'!E177)</f>
        <v>JN°168</v>
      </c>
      <c r="D177" s="78" t="str">
        <f aca="false">IF('CARNET DE SOUDURE'!E177="","",'CARNET DE SOUDURE'!D177&amp;"")</f>
        <v>2.00</v>
      </c>
      <c r="E177" s="96" t="n">
        <f aca="false">IF(OR('CARNET DE SOUDURE'!E177="",'CARNET DE SOUDURE'!R177=""),"",'CARNET DE SOUDURE'!R177)</f>
        <v>45888</v>
      </c>
      <c r="F177" s="81" t="str">
        <f aca="false">IF('CARNET DE SOUDURE'!E177="","",'CARNET DE SOUDURE'!AL177)</f>
        <v>A</v>
      </c>
      <c r="G177" s="81" t="str">
        <f aca="false">IF('CARNET DE SOUDURE'!E177="","",'CARNET DE SOUDURE'!AM177)</f>
        <v>ACCEPTÉ</v>
      </c>
      <c r="H177" s="81" t="str">
        <f aca="false">IF(C177="","",IF(G177="ACCEPTÉ","OUI","NON"))</f>
        <v>OUI</v>
      </c>
      <c r="I177" s="82"/>
      <c r="J177" s="79"/>
      <c r="K177" s="80"/>
      <c r="L177" s="80"/>
      <c r="M177" s="80"/>
      <c r="N177" s="83" t="str">
        <f aca="false">IF(C177="","",IF(I177="",IF(H177="OUI","À ENROBER",IF(G177="À SOUDER","NON SOUDÉ","EN ATTENTE RT")),IF(L177="R","À REPRENDRE",IF(H177&lt;&gt;"OUI","⚠ ENROBÉ AVANT ACCEPTATION RT","ENROBÉ"))))</f>
        <v>À ENROBER</v>
      </c>
      <c r="O177" s="79"/>
    </row>
    <row r="178" customFormat="false" ht="15" hidden="false" customHeight="false" outlineLevel="0" collapsed="false">
      <c r="A178" s="78" t="n">
        <f aca="false">IF('CARNET DE SOUDURE'!E178="","",'CARNET DE SOUDURE'!A178)</f>
        <v>172</v>
      </c>
      <c r="B178" s="93" t="str">
        <f aca="false">IF('CARNET DE SOUDURE'!E178="","",'CARNET DE SOUDURE'!B178&amp;"")</f>
        <v>TFT 716 → TL7-MMFW2</v>
      </c>
      <c r="C178" s="83" t="str">
        <f aca="false">IF('CARNET DE SOUDURE'!E178="","",'CARNET DE SOUDURE'!E178)</f>
        <v>JN°169</v>
      </c>
      <c r="D178" s="78" t="str">
        <f aca="false">IF('CARNET DE SOUDURE'!E178="","",'CARNET DE SOUDURE'!D178&amp;"")</f>
        <v>2.00</v>
      </c>
      <c r="E178" s="96" t="n">
        <f aca="false">IF(OR('CARNET DE SOUDURE'!E178="",'CARNET DE SOUDURE'!R178=""),"",'CARNET DE SOUDURE'!R178)</f>
        <v>45888</v>
      </c>
      <c r="F178" s="81" t="str">
        <f aca="false">IF('CARNET DE SOUDURE'!E178="","",'CARNET DE SOUDURE'!AL178)</f>
        <v>A</v>
      </c>
      <c r="G178" s="81" t="str">
        <f aca="false">IF('CARNET DE SOUDURE'!E178="","",'CARNET DE SOUDURE'!AM178)</f>
        <v>ACCEPTÉ</v>
      </c>
      <c r="H178" s="81" t="str">
        <f aca="false">IF(C178="","",IF(G178="ACCEPTÉ","OUI","NON"))</f>
        <v>OUI</v>
      </c>
      <c r="I178" s="82"/>
      <c r="J178" s="79"/>
      <c r="K178" s="80"/>
      <c r="L178" s="80"/>
      <c r="M178" s="80"/>
      <c r="N178" s="83" t="str">
        <f aca="false">IF(C178="","",IF(I178="",IF(H178="OUI","À ENROBER",IF(G178="À SOUDER","NON SOUDÉ","EN ATTENTE RT")),IF(L178="R","À REPRENDRE",IF(H178&lt;&gt;"OUI","⚠ ENROBÉ AVANT ACCEPTATION RT","ENROBÉ"))))</f>
        <v>À ENROBER</v>
      </c>
      <c r="O178" s="79"/>
    </row>
    <row r="179" customFormat="false" ht="15" hidden="false" customHeight="false" outlineLevel="0" collapsed="false">
      <c r="A179" s="78" t="n">
        <f aca="false">IF('CARNET DE SOUDURE'!E179="","",'CARNET DE SOUDURE'!A179)</f>
        <v>173</v>
      </c>
      <c r="B179" s="93" t="str">
        <f aca="false">IF('CARNET DE SOUDURE'!E179="","",'CARNET DE SOUDURE'!B179&amp;"")</f>
        <v>TFT 716 → TL7-MMFW2</v>
      </c>
      <c r="C179" s="83" t="str">
        <f aca="false">IF('CARNET DE SOUDURE'!E179="","",'CARNET DE SOUDURE'!E179)</f>
        <v>JN°170</v>
      </c>
      <c r="D179" s="78" t="str">
        <f aca="false">IF('CARNET DE SOUDURE'!E179="","",'CARNET DE SOUDURE'!D179&amp;"")</f>
        <v>2.00</v>
      </c>
      <c r="E179" s="96" t="n">
        <f aca="false">IF(OR('CARNET DE SOUDURE'!E179="",'CARNET DE SOUDURE'!R179=""),"",'CARNET DE SOUDURE'!R179)</f>
        <v>45888</v>
      </c>
      <c r="F179" s="81" t="str">
        <f aca="false">IF('CARNET DE SOUDURE'!E179="","",'CARNET DE SOUDURE'!AL179)</f>
        <v>A</v>
      </c>
      <c r="G179" s="81" t="str">
        <f aca="false">IF('CARNET DE SOUDURE'!E179="","",'CARNET DE SOUDURE'!AM179)</f>
        <v>ACCEPTÉ</v>
      </c>
      <c r="H179" s="81" t="str">
        <f aca="false">IF(C179="","",IF(G179="ACCEPTÉ","OUI","NON"))</f>
        <v>OUI</v>
      </c>
      <c r="I179" s="82"/>
      <c r="J179" s="79"/>
      <c r="K179" s="80"/>
      <c r="L179" s="80"/>
      <c r="M179" s="80"/>
      <c r="N179" s="83" t="str">
        <f aca="false">IF(C179="","",IF(I179="",IF(H179="OUI","À ENROBER",IF(G179="À SOUDER","NON SOUDÉ","EN ATTENTE RT")),IF(L179="R","À REPRENDRE",IF(H179&lt;&gt;"OUI","⚠ ENROBÉ AVANT ACCEPTATION RT","ENROBÉ"))))</f>
        <v>À ENROBER</v>
      </c>
      <c r="O179" s="79"/>
    </row>
    <row r="180" customFormat="false" ht="15" hidden="false" customHeight="false" outlineLevel="0" collapsed="false">
      <c r="A180" s="78" t="n">
        <f aca="false">IF('CARNET DE SOUDURE'!E180="","",'CARNET DE SOUDURE'!A180)</f>
        <v>174</v>
      </c>
      <c r="B180" s="93" t="str">
        <f aca="false">IF('CARNET DE SOUDURE'!E180="","",'CARNET DE SOUDURE'!B180&amp;"")</f>
        <v>TFT 716 → TL7-MMFW2</v>
      </c>
      <c r="C180" s="83" t="str">
        <f aca="false">IF('CARNET DE SOUDURE'!E180="","",'CARNET DE SOUDURE'!E180)</f>
        <v>JN°171</v>
      </c>
      <c r="D180" s="78" t="str">
        <f aca="false">IF('CARNET DE SOUDURE'!E180="","",'CARNET DE SOUDURE'!D180&amp;"")</f>
        <v>2.00</v>
      </c>
      <c r="E180" s="96" t="n">
        <f aca="false">IF(OR('CARNET DE SOUDURE'!E180="",'CARNET DE SOUDURE'!R180=""),"",'CARNET DE SOUDURE'!R180)</f>
        <v>45888</v>
      </c>
      <c r="F180" s="81" t="str">
        <f aca="false">IF('CARNET DE SOUDURE'!E180="","",'CARNET DE SOUDURE'!AL180)</f>
        <v>A</v>
      </c>
      <c r="G180" s="81" t="str">
        <f aca="false">IF('CARNET DE SOUDURE'!E180="","",'CARNET DE SOUDURE'!AM180)</f>
        <v>ACCEPTÉ</v>
      </c>
      <c r="H180" s="81" t="str">
        <f aca="false">IF(C180="","",IF(G180="ACCEPTÉ","OUI","NON"))</f>
        <v>OUI</v>
      </c>
      <c r="I180" s="82"/>
      <c r="J180" s="79"/>
      <c r="K180" s="80"/>
      <c r="L180" s="80"/>
      <c r="M180" s="80"/>
      <c r="N180" s="83" t="str">
        <f aca="false">IF(C180="","",IF(I180="",IF(H180="OUI","À ENROBER",IF(G180="À SOUDER","NON SOUDÉ","EN ATTENTE RT")),IF(L180="R","À REPRENDRE",IF(H180&lt;&gt;"OUI","⚠ ENROBÉ AVANT ACCEPTATION RT","ENROBÉ"))))</f>
        <v>À ENROBER</v>
      </c>
      <c r="O180" s="79"/>
    </row>
    <row r="181" customFormat="false" ht="15" hidden="false" customHeight="false" outlineLevel="0" collapsed="false">
      <c r="A181" s="78" t="n">
        <f aca="false">IF('CARNET DE SOUDURE'!E181="","",'CARNET DE SOUDURE'!A181)</f>
        <v>175</v>
      </c>
      <c r="B181" s="93" t="str">
        <f aca="false">IF('CARNET DE SOUDURE'!E181="","",'CARNET DE SOUDURE'!B181&amp;"")</f>
        <v>TFT 716 → TL7-MMFW2</v>
      </c>
      <c r="C181" s="83" t="str">
        <f aca="false">IF('CARNET DE SOUDURE'!E181="","",'CARNET DE SOUDURE'!E181)</f>
        <v>JN°172</v>
      </c>
      <c r="D181" s="78" t="str">
        <f aca="false">IF('CARNET DE SOUDURE'!E181="","",'CARNET DE SOUDURE'!D181&amp;"")</f>
        <v>2.00</v>
      </c>
      <c r="E181" s="96" t="n">
        <f aca="false">IF(OR('CARNET DE SOUDURE'!E181="",'CARNET DE SOUDURE'!R181=""),"",'CARNET DE SOUDURE'!R181)</f>
        <v>45888</v>
      </c>
      <c r="F181" s="81" t="str">
        <f aca="false">IF('CARNET DE SOUDURE'!E181="","",'CARNET DE SOUDURE'!AL181)</f>
        <v>A</v>
      </c>
      <c r="G181" s="81" t="str">
        <f aca="false">IF('CARNET DE SOUDURE'!E181="","",'CARNET DE SOUDURE'!AM181)</f>
        <v>ACCEPTÉ</v>
      </c>
      <c r="H181" s="81" t="str">
        <f aca="false">IF(C181="","",IF(G181="ACCEPTÉ","OUI","NON"))</f>
        <v>OUI</v>
      </c>
      <c r="I181" s="82"/>
      <c r="J181" s="79"/>
      <c r="K181" s="80"/>
      <c r="L181" s="80"/>
      <c r="M181" s="80"/>
      <c r="N181" s="83" t="str">
        <f aca="false">IF(C181="","",IF(I181="",IF(H181="OUI","À ENROBER",IF(G181="À SOUDER","NON SOUDÉ","EN ATTENTE RT")),IF(L181="R","À REPRENDRE",IF(H181&lt;&gt;"OUI","⚠ ENROBÉ AVANT ACCEPTATION RT","ENROBÉ"))))</f>
        <v>À ENROBER</v>
      </c>
      <c r="O181" s="79"/>
    </row>
    <row r="182" customFormat="false" ht="15" hidden="false" customHeight="false" outlineLevel="0" collapsed="false">
      <c r="A182" s="78" t="n">
        <f aca="false">IF('CARNET DE SOUDURE'!E182="","",'CARNET DE SOUDURE'!A182)</f>
        <v>176</v>
      </c>
      <c r="B182" s="93" t="str">
        <f aca="false">IF('CARNET DE SOUDURE'!E182="","",'CARNET DE SOUDURE'!B182&amp;"")</f>
        <v>TFT 716 → TL7-MMFW2</v>
      </c>
      <c r="C182" s="83" t="str">
        <f aca="false">IF('CARNET DE SOUDURE'!E182="","",'CARNET DE SOUDURE'!E182)</f>
        <v>JN°173</v>
      </c>
      <c r="D182" s="78" t="str">
        <f aca="false">IF('CARNET DE SOUDURE'!E182="","",'CARNET DE SOUDURE'!D182&amp;"")</f>
        <v>2.00</v>
      </c>
      <c r="E182" s="96" t="n">
        <f aca="false">IF(OR('CARNET DE SOUDURE'!E182="",'CARNET DE SOUDURE'!R182=""),"",'CARNET DE SOUDURE'!R182)</f>
        <v>45888</v>
      </c>
      <c r="F182" s="81" t="str">
        <f aca="false">IF('CARNET DE SOUDURE'!E182="","",'CARNET DE SOUDURE'!AL182)</f>
        <v>A</v>
      </c>
      <c r="G182" s="81" t="str">
        <f aca="false">IF('CARNET DE SOUDURE'!E182="","",'CARNET DE SOUDURE'!AM182)</f>
        <v>ACCEPTÉ</v>
      </c>
      <c r="H182" s="81" t="str">
        <f aca="false">IF(C182="","",IF(G182="ACCEPTÉ","OUI","NON"))</f>
        <v>OUI</v>
      </c>
      <c r="I182" s="82"/>
      <c r="J182" s="79"/>
      <c r="K182" s="80"/>
      <c r="L182" s="80"/>
      <c r="M182" s="80"/>
      <c r="N182" s="83" t="str">
        <f aca="false">IF(C182="","",IF(I182="",IF(H182="OUI","À ENROBER",IF(G182="À SOUDER","NON SOUDÉ","EN ATTENTE RT")),IF(L182="R","À REPRENDRE",IF(H182&lt;&gt;"OUI","⚠ ENROBÉ AVANT ACCEPTATION RT","ENROBÉ"))))</f>
        <v>À ENROBER</v>
      </c>
      <c r="O182" s="79"/>
    </row>
    <row r="183" customFormat="false" ht="15" hidden="false" customHeight="false" outlineLevel="0" collapsed="false">
      <c r="A183" s="78" t="n">
        <f aca="false">IF('CARNET DE SOUDURE'!E183="","",'CARNET DE SOUDURE'!A183)</f>
        <v>177</v>
      </c>
      <c r="B183" s="93" t="str">
        <f aca="false">IF('CARNET DE SOUDURE'!E183="","",'CARNET DE SOUDURE'!B183&amp;"")</f>
        <v>TFT 716 → TL7-MMFW2</v>
      </c>
      <c r="C183" s="83" t="str">
        <f aca="false">IF('CARNET DE SOUDURE'!E183="","",'CARNET DE SOUDURE'!E183)</f>
        <v>JN°174</v>
      </c>
      <c r="D183" s="78" t="str">
        <f aca="false">IF('CARNET DE SOUDURE'!E183="","",'CARNET DE SOUDURE'!D183&amp;"")</f>
        <v>2.00</v>
      </c>
      <c r="E183" s="96" t="n">
        <f aca="false">IF(OR('CARNET DE SOUDURE'!E183="",'CARNET DE SOUDURE'!R183=""),"",'CARNET DE SOUDURE'!R183)</f>
        <v>45888</v>
      </c>
      <c r="F183" s="81" t="str">
        <f aca="false">IF('CARNET DE SOUDURE'!E183="","",'CARNET DE SOUDURE'!AL183)</f>
        <v>A</v>
      </c>
      <c r="G183" s="81" t="str">
        <f aca="false">IF('CARNET DE SOUDURE'!E183="","",'CARNET DE SOUDURE'!AM183)</f>
        <v>ACCEPTÉ</v>
      </c>
      <c r="H183" s="81" t="str">
        <f aca="false">IF(C183="","",IF(G183="ACCEPTÉ","OUI","NON"))</f>
        <v>OUI</v>
      </c>
      <c r="I183" s="82"/>
      <c r="J183" s="79"/>
      <c r="K183" s="80"/>
      <c r="L183" s="80"/>
      <c r="M183" s="80"/>
      <c r="N183" s="83" t="str">
        <f aca="false">IF(C183="","",IF(I183="",IF(H183="OUI","À ENROBER",IF(G183="À SOUDER","NON SOUDÉ","EN ATTENTE RT")),IF(L183="R","À REPRENDRE",IF(H183&lt;&gt;"OUI","⚠ ENROBÉ AVANT ACCEPTATION RT","ENROBÉ"))))</f>
        <v>À ENROBER</v>
      </c>
      <c r="O183" s="79"/>
    </row>
    <row r="184" customFormat="false" ht="15" hidden="false" customHeight="false" outlineLevel="0" collapsed="false">
      <c r="A184" s="78" t="n">
        <f aca="false">IF('CARNET DE SOUDURE'!E184="","",'CARNET DE SOUDURE'!A184)</f>
        <v>178</v>
      </c>
      <c r="B184" s="93" t="str">
        <f aca="false">IF('CARNET DE SOUDURE'!E184="","",'CARNET DE SOUDURE'!B184&amp;"")</f>
        <v>TFT 716 → TL7-MMFW2</v>
      </c>
      <c r="C184" s="83" t="str">
        <f aca="false">IF('CARNET DE SOUDURE'!E184="","",'CARNET DE SOUDURE'!E184)</f>
        <v>JN°175</v>
      </c>
      <c r="D184" s="78" t="str">
        <f aca="false">IF('CARNET DE SOUDURE'!E184="","",'CARNET DE SOUDURE'!D184&amp;"")</f>
        <v>2.00</v>
      </c>
      <c r="E184" s="96" t="n">
        <f aca="false">IF(OR('CARNET DE SOUDURE'!E184="",'CARNET DE SOUDURE'!R184=""),"",'CARNET DE SOUDURE'!R184)</f>
        <v>45888</v>
      </c>
      <c r="F184" s="81" t="str">
        <f aca="false">IF('CARNET DE SOUDURE'!E184="","",'CARNET DE SOUDURE'!AL184)</f>
        <v>A</v>
      </c>
      <c r="G184" s="81" t="str">
        <f aca="false">IF('CARNET DE SOUDURE'!E184="","",'CARNET DE SOUDURE'!AM184)</f>
        <v>ACCEPTÉ</v>
      </c>
      <c r="H184" s="81" t="str">
        <f aca="false">IF(C184="","",IF(G184="ACCEPTÉ","OUI","NON"))</f>
        <v>OUI</v>
      </c>
      <c r="I184" s="82"/>
      <c r="J184" s="79"/>
      <c r="K184" s="80"/>
      <c r="L184" s="80"/>
      <c r="M184" s="80"/>
      <c r="N184" s="83" t="str">
        <f aca="false">IF(C184="","",IF(I184="",IF(H184="OUI","À ENROBER",IF(G184="À SOUDER","NON SOUDÉ","EN ATTENTE RT")),IF(L184="R","À REPRENDRE",IF(H184&lt;&gt;"OUI","⚠ ENROBÉ AVANT ACCEPTATION RT","ENROBÉ"))))</f>
        <v>À ENROBER</v>
      </c>
      <c r="O184" s="79"/>
    </row>
    <row r="185" customFormat="false" ht="15" hidden="false" customHeight="false" outlineLevel="0" collapsed="false">
      <c r="A185" s="78" t="n">
        <f aca="false">IF('CARNET DE SOUDURE'!E185="","",'CARNET DE SOUDURE'!A185)</f>
        <v>179</v>
      </c>
      <c r="B185" s="93" t="str">
        <f aca="false">IF('CARNET DE SOUDURE'!E185="","",'CARNET DE SOUDURE'!B185&amp;"")</f>
        <v>TFT 716 → TL7-MMFW2</v>
      </c>
      <c r="C185" s="83" t="str">
        <f aca="false">IF('CARNET DE SOUDURE'!E185="","",'CARNET DE SOUDURE'!E185)</f>
        <v>JN°176</v>
      </c>
      <c r="D185" s="78" t="str">
        <f aca="false">IF('CARNET DE SOUDURE'!E185="","",'CARNET DE SOUDURE'!D185&amp;"")</f>
        <v>2.00</v>
      </c>
      <c r="E185" s="96" t="n">
        <f aca="false">IF(OR('CARNET DE SOUDURE'!E185="",'CARNET DE SOUDURE'!R185=""),"",'CARNET DE SOUDURE'!R185)</f>
        <v>45888</v>
      </c>
      <c r="F185" s="81" t="str">
        <f aca="false">IF('CARNET DE SOUDURE'!E185="","",'CARNET DE SOUDURE'!AL185)</f>
        <v>A</v>
      </c>
      <c r="G185" s="81" t="str">
        <f aca="false">IF('CARNET DE SOUDURE'!E185="","",'CARNET DE SOUDURE'!AM185)</f>
        <v>ACCEPTÉ</v>
      </c>
      <c r="H185" s="81" t="str">
        <f aca="false">IF(C185="","",IF(G185="ACCEPTÉ","OUI","NON"))</f>
        <v>OUI</v>
      </c>
      <c r="I185" s="82"/>
      <c r="J185" s="79"/>
      <c r="K185" s="80"/>
      <c r="L185" s="80"/>
      <c r="M185" s="80"/>
      <c r="N185" s="83" t="str">
        <f aca="false">IF(C185="","",IF(I185="",IF(H185="OUI","À ENROBER",IF(G185="À SOUDER","NON SOUDÉ","EN ATTENTE RT")),IF(L185="R","À REPRENDRE",IF(H185&lt;&gt;"OUI","⚠ ENROBÉ AVANT ACCEPTATION RT","ENROBÉ"))))</f>
        <v>À ENROBER</v>
      </c>
      <c r="O185" s="79"/>
    </row>
    <row r="186" customFormat="false" ht="15" hidden="false" customHeight="false" outlineLevel="0" collapsed="false">
      <c r="A186" s="78" t="n">
        <f aca="false">IF('CARNET DE SOUDURE'!E186="","",'CARNET DE SOUDURE'!A186)</f>
        <v>180</v>
      </c>
      <c r="B186" s="93" t="str">
        <f aca="false">IF('CARNET DE SOUDURE'!E186="","",'CARNET DE SOUDURE'!B186&amp;"")</f>
        <v>TFT 716 → TL7-MMFW2</v>
      </c>
      <c r="C186" s="83" t="str">
        <f aca="false">IF('CARNET DE SOUDURE'!E186="","",'CARNET DE SOUDURE'!E186)</f>
        <v>JN°177</v>
      </c>
      <c r="D186" s="78" t="str">
        <f aca="false">IF('CARNET DE SOUDURE'!E186="","",'CARNET DE SOUDURE'!D186&amp;"")</f>
        <v>2.00</v>
      </c>
      <c r="E186" s="96" t="n">
        <f aca="false">IF(OR('CARNET DE SOUDURE'!E186="",'CARNET DE SOUDURE'!R186=""),"",'CARNET DE SOUDURE'!R186)</f>
        <v>45888</v>
      </c>
      <c r="F186" s="81" t="str">
        <f aca="false">IF('CARNET DE SOUDURE'!E186="","",'CARNET DE SOUDURE'!AL186)</f>
        <v>A</v>
      </c>
      <c r="G186" s="81" t="str">
        <f aca="false">IF('CARNET DE SOUDURE'!E186="","",'CARNET DE SOUDURE'!AM186)</f>
        <v>ACCEPTÉ</v>
      </c>
      <c r="H186" s="81" t="str">
        <f aca="false">IF(C186="","",IF(G186="ACCEPTÉ","OUI","NON"))</f>
        <v>OUI</v>
      </c>
      <c r="I186" s="82"/>
      <c r="J186" s="79"/>
      <c r="K186" s="80"/>
      <c r="L186" s="80"/>
      <c r="M186" s="80"/>
      <c r="N186" s="83" t="str">
        <f aca="false">IF(C186="","",IF(I186="",IF(H186="OUI","À ENROBER",IF(G186="À SOUDER","NON SOUDÉ","EN ATTENTE RT")),IF(L186="R","À REPRENDRE",IF(H186&lt;&gt;"OUI","⚠ ENROBÉ AVANT ACCEPTATION RT","ENROBÉ"))))</f>
        <v>À ENROBER</v>
      </c>
      <c r="O186" s="79"/>
    </row>
    <row r="187" customFormat="false" ht="15" hidden="false" customHeight="false" outlineLevel="0" collapsed="false">
      <c r="A187" s="78" t="n">
        <f aca="false">IF('CARNET DE SOUDURE'!E187="","",'CARNET DE SOUDURE'!A187)</f>
        <v>181</v>
      </c>
      <c r="B187" s="93" t="str">
        <f aca="false">IF('CARNET DE SOUDURE'!E187="","",'CARNET DE SOUDURE'!B187&amp;"")</f>
        <v>TFT 716 → TL7-MMFW2</v>
      </c>
      <c r="C187" s="83" t="str">
        <f aca="false">IF('CARNET DE SOUDURE'!E187="","",'CARNET DE SOUDURE'!E187)</f>
        <v>JN°178</v>
      </c>
      <c r="D187" s="78" t="str">
        <f aca="false">IF('CARNET DE SOUDURE'!E187="","",'CARNET DE SOUDURE'!D187&amp;"")</f>
        <v>2.00</v>
      </c>
      <c r="E187" s="96" t="n">
        <f aca="false">IF(OR('CARNET DE SOUDURE'!E187="",'CARNET DE SOUDURE'!R187=""),"",'CARNET DE SOUDURE'!R187)</f>
        <v>45888</v>
      </c>
      <c r="F187" s="81" t="str">
        <f aca="false">IF('CARNET DE SOUDURE'!E187="","",'CARNET DE SOUDURE'!AL187)</f>
        <v>A</v>
      </c>
      <c r="G187" s="81" t="str">
        <f aca="false">IF('CARNET DE SOUDURE'!E187="","",'CARNET DE SOUDURE'!AM187)</f>
        <v>ACCEPTÉ</v>
      </c>
      <c r="H187" s="81" t="str">
        <f aca="false">IF(C187="","",IF(G187="ACCEPTÉ","OUI","NON"))</f>
        <v>OUI</v>
      </c>
      <c r="I187" s="82"/>
      <c r="J187" s="79"/>
      <c r="K187" s="80"/>
      <c r="L187" s="80"/>
      <c r="M187" s="80"/>
      <c r="N187" s="83" t="str">
        <f aca="false">IF(C187="","",IF(I187="",IF(H187="OUI","À ENROBER",IF(G187="À SOUDER","NON SOUDÉ","EN ATTENTE RT")),IF(L187="R","À REPRENDRE",IF(H187&lt;&gt;"OUI","⚠ ENROBÉ AVANT ACCEPTATION RT","ENROBÉ"))))</f>
        <v>À ENROBER</v>
      </c>
      <c r="O187" s="79"/>
    </row>
    <row r="188" customFormat="false" ht="15" hidden="false" customHeight="false" outlineLevel="0" collapsed="false">
      <c r="A188" s="78" t="n">
        <f aca="false">IF('CARNET DE SOUDURE'!E188="","",'CARNET DE SOUDURE'!A188)</f>
        <v>182</v>
      </c>
      <c r="B188" s="93" t="str">
        <f aca="false">IF('CARNET DE SOUDURE'!E188="","",'CARNET DE SOUDURE'!B188&amp;"")</f>
        <v>TFT 716 → TL7-MMFW2</v>
      </c>
      <c r="C188" s="83" t="str">
        <f aca="false">IF('CARNET DE SOUDURE'!E188="","",'CARNET DE SOUDURE'!E188)</f>
        <v>JN°179</v>
      </c>
      <c r="D188" s="78" t="str">
        <f aca="false">IF('CARNET DE SOUDURE'!E188="","",'CARNET DE SOUDURE'!D188&amp;"")</f>
        <v>2.00</v>
      </c>
      <c r="E188" s="96" t="n">
        <f aca="false">IF(OR('CARNET DE SOUDURE'!E188="",'CARNET DE SOUDURE'!R188=""),"",'CARNET DE SOUDURE'!R188)</f>
        <v>45888</v>
      </c>
      <c r="F188" s="81" t="str">
        <f aca="false">IF('CARNET DE SOUDURE'!E188="","",'CARNET DE SOUDURE'!AL188)</f>
        <v>A</v>
      </c>
      <c r="G188" s="81" t="str">
        <f aca="false">IF('CARNET DE SOUDURE'!E188="","",'CARNET DE SOUDURE'!AM188)</f>
        <v>ACCEPTÉ</v>
      </c>
      <c r="H188" s="81" t="str">
        <f aca="false">IF(C188="","",IF(G188="ACCEPTÉ","OUI","NON"))</f>
        <v>OUI</v>
      </c>
      <c r="I188" s="82"/>
      <c r="J188" s="79"/>
      <c r="K188" s="80"/>
      <c r="L188" s="80"/>
      <c r="M188" s="80"/>
      <c r="N188" s="83" t="str">
        <f aca="false">IF(C188="","",IF(I188="",IF(H188="OUI","À ENROBER",IF(G188="À SOUDER","NON SOUDÉ","EN ATTENTE RT")),IF(L188="R","À REPRENDRE",IF(H188&lt;&gt;"OUI","⚠ ENROBÉ AVANT ACCEPTATION RT","ENROBÉ"))))</f>
        <v>À ENROBER</v>
      </c>
      <c r="O188" s="79"/>
    </row>
    <row r="189" customFormat="false" ht="15" hidden="false" customHeight="false" outlineLevel="0" collapsed="false">
      <c r="A189" s="78" t="n">
        <f aca="false">IF('CARNET DE SOUDURE'!E189="","",'CARNET DE SOUDURE'!A189)</f>
        <v>183</v>
      </c>
      <c r="B189" s="93" t="str">
        <f aca="false">IF('CARNET DE SOUDURE'!E189="","",'CARNET DE SOUDURE'!B189&amp;"")</f>
        <v>TFT 716 → TL7-MMFW2</v>
      </c>
      <c r="C189" s="83" t="str">
        <f aca="false">IF('CARNET DE SOUDURE'!E189="","",'CARNET DE SOUDURE'!E189)</f>
        <v>JN°180</v>
      </c>
      <c r="D189" s="78" t="str">
        <f aca="false">IF('CARNET DE SOUDURE'!E189="","",'CARNET DE SOUDURE'!D189&amp;"")</f>
        <v>2.00</v>
      </c>
      <c r="E189" s="96" t="n">
        <f aca="false">IF(OR('CARNET DE SOUDURE'!E189="",'CARNET DE SOUDURE'!R189=""),"",'CARNET DE SOUDURE'!R189)</f>
        <v>45888</v>
      </c>
      <c r="F189" s="81" t="str">
        <f aca="false">IF('CARNET DE SOUDURE'!E189="","",'CARNET DE SOUDURE'!AL189)</f>
        <v>A</v>
      </c>
      <c r="G189" s="81" t="str">
        <f aca="false">IF('CARNET DE SOUDURE'!E189="","",'CARNET DE SOUDURE'!AM189)</f>
        <v>ACCEPTÉ</v>
      </c>
      <c r="H189" s="81" t="str">
        <f aca="false">IF(C189="","",IF(G189="ACCEPTÉ","OUI","NON"))</f>
        <v>OUI</v>
      </c>
      <c r="I189" s="82"/>
      <c r="J189" s="79"/>
      <c r="K189" s="80"/>
      <c r="L189" s="80"/>
      <c r="M189" s="80"/>
      <c r="N189" s="83" t="str">
        <f aca="false">IF(C189="","",IF(I189="",IF(H189="OUI","À ENROBER",IF(G189="À SOUDER","NON SOUDÉ","EN ATTENTE RT")),IF(L189="R","À REPRENDRE",IF(H189&lt;&gt;"OUI","⚠ ENROBÉ AVANT ACCEPTATION RT","ENROBÉ"))))</f>
        <v>À ENROBER</v>
      </c>
      <c r="O189" s="79"/>
    </row>
    <row r="190" customFormat="false" ht="15" hidden="false" customHeight="false" outlineLevel="0" collapsed="false">
      <c r="A190" s="78" t="n">
        <f aca="false">IF('CARNET DE SOUDURE'!E190="","",'CARNET DE SOUDURE'!A190)</f>
        <v>184</v>
      </c>
      <c r="B190" s="93" t="str">
        <f aca="false">IF('CARNET DE SOUDURE'!E190="","",'CARNET DE SOUDURE'!B190&amp;"")</f>
        <v>TFT 716 → TL7-MMFW2</v>
      </c>
      <c r="C190" s="83" t="str">
        <f aca="false">IF('CARNET DE SOUDURE'!E190="","",'CARNET DE SOUDURE'!E190)</f>
        <v>JN°181</v>
      </c>
      <c r="D190" s="78" t="str">
        <f aca="false">IF('CARNET DE SOUDURE'!E190="","",'CARNET DE SOUDURE'!D190&amp;"")</f>
        <v>2.00</v>
      </c>
      <c r="E190" s="96" t="n">
        <f aca="false">IF(OR('CARNET DE SOUDURE'!E190="",'CARNET DE SOUDURE'!R190=""),"",'CARNET DE SOUDURE'!R190)</f>
        <v>45888</v>
      </c>
      <c r="F190" s="81" t="str">
        <f aca="false">IF('CARNET DE SOUDURE'!E190="","",'CARNET DE SOUDURE'!AL190)</f>
        <v>A</v>
      </c>
      <c r="G190" s="81" t="str">
        <f aca="false">IF('CARNET DE SOUDURE'!E190="","",'CARNET DE SOUDURE'!AM190)</f>
        <v>ACCEPTÉ</v>
      </c>
      <c r="H190" s="81" t="str">
        <f aca="false">IF(C190="","",IF(G190="ACCEPTÉ","OUI","NON"))</f>
        <v>OUI</v>
      </c>
      <c r="I190" s="82"/>
      <c r="J190" s="79"/>
      <c r="K190" s="80"/>
      <c r="L190" s="80"/>
      <c r="M190" s="80"/>
      <c r="N190" s="83" t="str">
        <f aca="false">IF(C190="","",IF(I190="",IF(H190="OUI","À ENROBER",IF(G190="À SOUDER","NON SOUDÉ","EN ATTENTE RT")),IF(L190="R","À REPRENDRE",IF(H190&lt;&gt;"OUI","⚠ ENROBÉ AVANT ACCEPTATION RT","ENROBÉ"))))</f>
        <v>À ENROBER</v>
      </c>
      <c r="O190" s="79"/>
    </row>
    <row r="191" customFormat="false" ht="15" hidden="false" customHeight="false" outlineLevel="0" collapsed="false">
      <c r="A191" s="78" t="n">
        <f aca="false">IF('CARNET DE SOUDURE'!E191="","",'CARNET DE SOUDURE'!A191)</f>
        <v>185</v>
      </c>
      <c r="B191" s="93" t="str">
        <f aca="false">IF('CARNET DE SOUDURE'!E191="","",'CARNET DE SOUDURE'!B191&amp;"")</f>
        <v>TFT 716 → TL7-MMFW2</v>
      </c>
      <c r="C191" s="83" t="str">
        <f aca="false">IF('CARNET DE SOUDURE'!E191="","",'CARNET DE SOUDURE'!E191)</f>
        <v>JN°182</v>
      </c>
      <c r="D191" s="78" t="str">
        <f aca="false">IF('CARNET DE SOUDURE'!E191="","",'CARNET DE SOUDURE'!D191&amp;"")</f>
        <v>2.00</v>
      </c>
      <c r="E191" s="96" t="n">
        <f aca="false">IF(OR('CARNET DE SOUDURE'!E191="",'CARNET DE SOUDURE'!R191=""),"",'CARNET DE SOUDURE'!R191)</f>
        <v>45889</v>
      </c>
      <c r="F191" s="81" t="str">
        <f aca="false">IF('CARNET DE SOUDURE'!E191="","",'CARNET DE SOUDURE'!AL191)</f>
        <v>A</v>
      </c>
      <c r="G191" s="81" t="str">
        <f aca="false">IF('CARNET DE SOUDURE'!E191="","",'CARNET DE SOUDURE'!AM191)</f>
        <v>ACCEPTÉ</v>
      </c>
      <c r="H191" s="81" t="str">
        <f aca="false">IF(C191="","",IF(G191="ACCEPTÉ","OUI","NON"))</f>
        <v>OUI</v>
      </c>
      <c r="I191" s="82"/>
      <c r="J191" s="79"/>
      <c r="K191" s="80"/>
      <c r="L191" s="80"/>
      <c r="M191" s="80"/>
      <c r="N191" s="83" t="str">
        <f aca="false">IF(C191="","",IF(I191="",IF(H191="OUI","À ENROBER",IF(G191="À SOUDER","NON SOUDÉ","EN ATTENTE RT")),IF(L191="R","À REPRENDRE",IF(H191&lt;&gt;"OUI","⚠ ENROBÉ AVANT ACCEPTATION RT","ENROBÉ"))))</f>
        <v>À ENROBER</v>
      </c>
      <c r="O191" s="79"/>
    </row>
    <row r="192" customFormat="false" ht="15" hidden="false" customHeight="false" outlineLevel="0" collapsed="false">
      <c r="A192" s="78" t="n">
        <f aca="false">IF('CARNET DE SOUDURE'!E192="","",'CARNET DE SOUDURE'!A192)</f>
        <v>186</v>
      </c>
      <c r="B192" s="93" t="str">
        <f aca="false">IF('CARNET DE SOUDURE'!E192="","",'CARNET DE SOUDURE'!B192&amp;"")</f>
        <v>TFT 716 → TL7-MMFW2</v>
      </c>
      <c r="C192" s="83" t="str">
        <f aca="false">IF('CARNET DE SOUDURE'!E192="","",'CARNET DE SOUDURE'!E192)</f>
        <v>JN°183</v>
      </c>
      <c r="D192" s="78" t="str">
        <f aca="false">IF('CARNET DE SOUDURE'!E192="","",'CARNET DE SOUDURE'!D192&amp;"")</f>
        <v>2.00</v>
      </c>
      <c r="E192" s="96" t="n">
        <f aca="false">IF(OR('CARNET DE SOUDURE'!E192="",'CARNET DE SOUDURE'!R192=""),"",'CARNET DE SOUDURE'!R192)</f>
        <v>45889</v>
      </c>
      <c r="F192" s="81" t="str">
        <f aca="false">IF('CARNET DE SOUDURE'!E192="","",'CARNET DE SOUDURE'!AL192)</f>
        <v>A</v>
      </c>
      <c r="G192" s="81" t="str">
        <f aca="false">IF('CARNET DE SOUDURE'!E192="","",'CARNET DE SOUDURE'!AM192)</f>
        <v>ACCEPTÉ</v>
      </c>
      <c r="H192" s="81" t="str">
        <f aca="false">IF(C192="","",IF(G192="ACCEPTÉ","OUI","NON"))</f>
        <v>OUI</v>
      </c>
      <c r="I192" s="82"/>
      <c r="J192" s="79"/>
      <c r="K192" s="80"/>
      <c r="L192" s="80"/>
      <c r="M192" s="80"/>
      <c r="N192" s="83" t="str">
        <f aca="false">IF(C192="","",IF(I192="",IF(H192="OUI","À ENROBER",IF(G192="À SOUDER","NON SOUDÉ","EN ATTENTE RT")),IF(L192="R","À REPRENDRE",IF(H192&lt;&gt;"OUI","⚠ ENROBÉ AVANT ACCEPTATION RT","ENROBÉ"))))</f>
        <v>À ENROBER</v>
      </c>
      <c r="O192" s="79"/>
    </row>
    <row r="193" customFormat="false" ht="15" hidden="false" customHeight="false" outlineLevel="0" collapsed="false">
      <c r="A193" s="78" t="n">
        <f aca="false">IF('CARNET DE SOUDURE'!E193="","",'CARNET DE SOUDURE'!A193)</f>
        <v>187</v>
      </c>
      <c r="B193" s="93" t="str">
        <f aca="false">IF('CARNET DE SOUDURE'!E193="","",'CARNET DE SOUDURE'!B193&amp;"")</f>
        <v>TFT 716 → TL7-MMFW2</v>
      </c>
      <c r="C193" s="83" t="str">
        <f aca="false">IF('CARNET DE SOUDURE'!E193="","",'CARNET DE SOUDURE'!E193)</f>
        <v>JN°184</v>
      </c>
      <c r="D193" s="78" t="str">
        <f aca="false">IF('CARNET DE SOUDURE'!E193="","",'CARNET DE SOUDURE'!D193&amp;"")</f>
        <v>2.00</v>
      </c>
      <c r="E193" s="96" t="n">
        <f aca="false">IF(OR('CARNET DE SOUDURE'!E193="",'CARNET DE SOUDURE'!R193=""),"",'CARNET DE SOUDURE'!R193)</f>
        <v>45889</v>
      </c>
      <c r="F193" s="81" t="str">
        <f aca="false">IF('CARNET DE SOUDURE'!E193="","",'CARNET DE SOUDURE'!AL193)</f>
        <v>A</v>
      </c>
      <c r="G193" s="81" t="str">
        <f aca="false">IF('CARNET DE SOUDURE'!E193="","",'CARNET DE SOUDURE'!AM193)</f>
        <v>ACCEPTÉ</v>
      </c>
      <c r="H193" s="81" t="str">
        <f aca="false">IF(C193="","",IF(G193="ACCEPTÉ","OUI","NON"))</f>
        <v>OUI</v>
      </c>
      <c r="I193" s="82"/>
      <c r="J193" s="79"/>
      <c r="K193" s="80"/>
      <c r="L193" s="80"/>
      <c r="M193" s="80"/>
      <c r="N193" s="83" t="str">
        <f aca="false">IF(C193="","",IF(I193="",IF(H193="OUI","À ENROBER",IF(G193="À SOUDER","NON SOUDÉ","EN ATTENTE RT")),IF(L193="R","À REPRENDRE",IF(H193&lt;&gt;"OUI","⚠ ENROBÉ AVANT ACCEPTATION RT","ENROBÉ"))))</f>
        <v>À ENROBER</v>
      </c>
      <c r="O193" s="79"/>
    </row>
    <row r="194" customFormat="false" ht="15" hidden="false" customHeight="false" outlineLevel="0" collapsed="false">
      <c r="A194" s="78" t="n">
        <f aca="false">IF('CARNET DE SOUDURE'!E194="","",'CARNET DE SOUDURE'!A194)</f>
        <v>188</v>
      </c>
      <c r="B194" s="93" t="str">
        <f aca="false">IF('CARNET DE SOUDURE'!E194="","",'CARNET DE SOUDURE'!B194&amp;"")</f>
        <v>TFT 716 → TL7-MMFW2</v>
      </c>
      <c r="C194" s="83" t="str">
        <f aca="false">IF('CARNET DE SOUDURE'!E194="","",'CARNET DE SOUDURE'!E194)</f>
        <v>JN°185</v>
      </c>
      <c r="D194" s="78" t="str">
        <f aca="false">IF('CARNET DE SOUDURE'!E194="","",'CARNET DE SOUDURE'!D194&amp;"")</f>
        <v>2.00</v>
      </c>
      <c r="E194" s="96" t="n">
        <f aca="false">IF(OR('CARNET DE SOUDURE'!E194="",'CARNET DE SOUDURE'!R194=""),"",'CARNET DE SOUDURE'!R194)</f>
        <v>45889</v>
      </c>
      <c r="F194" s="81" t="str">
        <f aca="false">IF('CARNET DE SOUDURE'!E194="","",'CARNET DE SOUDURE'!AL194)</f>
        <v>A</v>
      </c>
      <c r="G194" s="81" t="str">
        <f aca="false">IF('CARNET DE SOUDURE'!E194="","",'CARNET DE SOUDURE'!AM194)</f>
        <v>ACCEPTÉ</v>
      </c>
      <c r="H194" s="81" t="str">
        <f aca="false">IF(C194="","",IF(G194="ACCEPTÉ","OUI","NON"))</f>
        <v>OUI</v>
      </c>
      <c r="I194" s="82"/>
      <c r="J194" s="79"/>
      <c r="K194" s="80"/>
      <c r="L194" s="80"/>
      <c r="M194" s="80"/>
      <c r="N194" s="83" t="str">
        <f aca="false">IF(C194="","",IF(I194="",IF(H194="OUI","À ENROBER",IF(G194="À SOUDER","NON SOUDÉ","EN ATTENTE RT")),IF(L194="R","À REPRENDRE",IF(H194&lt;&gt;"OUI","⚠ ENROBÉ AVANT ACCEPTATION RT","ENROBÉ"))))</f>
        <v>À ENROBER</v>
      </c>
      <c r="O194" s="79"/>
    </row>
    <row r="195" customFormat="false" ht="15" hidden="false" customHeight="false" outlineLevel="0" collapsed="false">
      <c r="A195" s="78" t="n">
        <f aca="false">IF('CARNET DE SOUDURE'!E195="","",'CARNET DE SOUDURE'!A195)</f>
        <v>189</v>
      </c>
      <c r="B195" s="93" t="str">
        <f aca="false">IF('CARNET DE SOUDURE'!E195="","",'CARNET DE SOUDURE'!B195&amp;"")</f>
        <v>TFT 716 → TL7-MMFW2</v>
      </c>
      <c r="C195" s="83" t="str">
        <f aca="false">IF('CARNET DE SOUDURE'!E195="","",'CARNET DE SOUDURE'!E195)</f>
        <v>JN°186</v>
      </c>
      <c r="D195" s="78" t="str">
        <f aca="false">IF('CARNET DE SOUDURE'!E195="","",'CARNET DE SOUDURE'!D195&amp;"")</f>
        <v>2.00</v>
      </c>
      <c r="E195" s="96" t="n">
        <f aca="false">IF(OR('CARNET DE SOUDURE'!E195="",'CARNET DE SOUDURE'!R195=""),"",'CARNET DE SOUDURE'!R195)</f>
        <v>45889</v>
      </c>
      <c r="F195" s="81" t="str">
        <f aca="false">IF('CARNET DE SOUDURE'!E195="","",'CARNET DE SOUDURE'!AL195)</f>
        <v>A</v>
      </c>
      <c r="G195" s="81" t="str">
        <f aca="false">IF('CARNET DE SOUDURE'!E195="","",'CARNET DE SOUDURE'!AM195)</f>
        <v>ACCEPTÉ</v>
      </c>
      <c r="H195" s="81" t="str">
        <f aca="false">IF(C195="","",IF(G195="ACCEPTÉ","OUI","NON"))</f>
        <v>OUI</v>
      </c>
      <c r="I195" s="82"/>
      <c r="J195" s="79"/>
      <c r="K195" s="80"/>
      <c r="L195" s="80"/>
      <c r="M195" s="80"/>
      <c r="N195" s="83" t="str">
        <f aca="false">IF(C195="","",IF(I195="",IF(H195="OUI","À ENROBER",IF(G195="À SOUDER","NON SOUDÉ","EN ATTENTE RT")),IF(L195="R","À REPRENDRE",IF(H195&lt;&gt;"OUI","⚠ ENROBÉ AVANT ACCEPTATION RT","ENROBÉ"))))</f>
        <v>À ENROBER</v>
      </c>
      <c r="O195" s="79"/>
    </row>
    <row r="196" customFormat="false" ht="15" hidden="false" customHeight="false" outlineLevel="0" collapsed="false">
      <c r="A196" s="78" t="n">
        <f aca="false">IF('CARNET DE SOUDURE'!E196="","",'CARNET DE SOUDURE'!A196)</f>
        <v>190</v>
      </c>
      <c r="B196" s="93" t="str">
        <f aca="false">IF('CARNET DE SOUDURE'!E196="","",'CARNET DE SOUDURE'!B196&amp;"")</f>
        <v>TFT 716 → TL7-MMFW2</v>
      </c>
      <c r="C196" s="83" t="str">
        <f aca="false">IF('CARNET DE SOUDURE'!E196="","",'CARNET DE SOUDURE'!E196)</f>
        <v>JN°187</v>
      </c>
      <c r="D196" s="78" t="str">
        <f aca="false">IF('CARNET DE SOUDURE'!E196="","",'CARNET DE SOUDURE'!D196&amp;"")</f>
        <v>2.00</v>
      </c>
      <c r="E196" s="96" t="n">
        <f aca="false">IF(OR('CARNET DE SOUDURE'!E196="",'CARNET DE SOUDURE'!R196=""),"",'CARNET DE SOUDURE'!R196)</f>
        <v>45889</v>
      </c>
      <c r="F196" s="81" t="str">
        <f aca="false">IF('CARNET DE SOUDURE'!E196="","",'CARNET DE SOUDURE'!AL196)</f>
        <v>A</v>
      </c>
      <c r="G196" s="81" t="str">
        <f aca="false">IF('CARNET DE SOUDURE'!E196="","",'CARNET DE SOUDURE'!AM196)</f>
        <v>ACCEPTÉ</v>
      </c>
      <c r="H196" s="81" t="str">
        <f aca="false">IF(C196="","",IF(G196="ACCEPTÉ","OUI","NON"))</f>
        <v>OUI</v>
      </c>
      <c r="I196" s="82"/>
      <c r="J196" s="79"/>
      <c r="K196" s="80"/>
      <c r="L196" s="80"/>
      <c r="M196" s="80"/>
      <c r="N196" s="83" t="str">
        <f aca="false">IF(C196="","",IF(I196="",IF(H196="OUI","À ENROBER",IF(G196="À SOUDER","NON SOUDÉ","EN ATTENTE RT")),IF(L196="R","À REPRENDRE",IF(H196&lt;&gt;"OUI","⚠ ENROBÉ AVANT ACCEPTATION RT","ENROBÉ"))))</f>
        <v>À ENROBER</v>
      </c>
      <c r="O196" s="79"/>
    </row>
    <row r="197" customFormat="false" ht="15" hidden="false" customHeight="false" outlineLevel="0" collapsed="false">
      <c r="A197" s="78" t="n">
        <f aca="false">IF('CARNET DE SOUDURE'!E197="","",'CARNET DE SOUDURE'!A197)</f>
        <v>191</v>
      </c>
      <c r="B197" s="93" t="str">
        <f aca="false">IF('CARNET DE SOUDURE'!E197="","",'CARNET DE SOUDURE'!B197&amp;"")</f>
        <v>TFT 716 → TL7-MMFW2</v>
      </c>
      <c r="C197" s="83" t="str">
        <f aca="false">IF('CARNET DE SOUDURE'!E197="","",'CARNET DE SOUDURE'!E197)</f>
        <v>JN°188</v>
      </c>
      <c r="D197" s="78" t="str">
        <f aca="false">IF('CARNET DE SOUDURE'!E197="","",'CARNET DE SOUDURE'!D197&amp;"")</f>
        <v>2.00</v>
      </c>
      <c r="E197" s="96" t="n">
        <f aca="false">IF(OR('CARNET DE SOUDURE'!E197="",'CARNET DE SOUDURE'!R197=""),"",'CARNET DE SOUDURE'!R197)</f>
        <v>45889</v>
      </c>
      <c r="F197" s="81" t="str">
        <f aca="false">IF('CARNET DE SOUDURE'!E197="","",'CARNET DE SOUDURE'!AL197)</f>
        <v>A</v>
      </c>
      <c r="G197" s="81" t="str">
        <f aca="false">IF('CARNET DE SOUDURE'!E197="","",'CARNET DE SOUDURE'!AM197)</f>
        <v>ACCEPTÉ</v>
      </c>
      <c r="H197" s="81" t="str">
        <f aca="false">IF(C197="","",IF(G197="ACCEPTÉ","OUI","NON"))</f>
        <v>OUI</v>
      </c>
      <c r="I197" s="82"/>
      <c r="J197" s="79"/>
      <c r="K197" s="80"/>
      <c r="L197" s="80"/>
      <c r="M197" s="80"/>
      <c r="N197" s="83" t="str">
        <f aca="false">IF(C197="","",IF(I197="",IF(H197="OUI","À ENROBER",IF(G197="À SOUDER","NON SOUDÉ","EN ATTENTE RT")),IF(L197="R","À REPRENDRE",IF(H197&lt;&gt;"OUI","⚠ ENROBÉ AVANT ACCEPTATION RT","ENROBÉ"))))</f>
        <v>À ENROBER</v>
      </c>
      <c r="O197" s="79"/>
    </row>
    <row r="198" customFormat="false" ht="15" hidden="false" customHeight="false" outlineLevel="0" collapsed="false">
      <c r="A198" s="78" t="n">
        <f aca="false">IF('CARNET DE SOUDURE'!E198="","",'CARNET DE SOUDURE'!A198)</f>
        <v>192</v>
      </c>
      <c r="B198" s="93" t="str">
        <f aca="false">IF('CARNET DE SOUDURE'!E198="","",'CARNET DE SOUDURE'!B198&amp;"")</f>
        <v>TFT 716 → TL7-MMFW2</v>
      </c>
      <c r="C198" s="83" t="str">
        <f aca="false">IF('CARNET DE SOUDURE'!E198="","",'CARNET DE SOUDURE'!E198)</f>
        <v>JN°189</v>
      </c>
      <c r="D198" s="78" t="str">
        <f aca="false">IF('CARNET DE SOUDURE'!E198="","",'CARNET DE SOUDURE'!D198&amp;"")</f>
        <v>2.00</v>
      </c>
      <c r="E198" s="96" t="n">
        <f aca="false">IF(OR('CARNET DE SOUDURE'!E198="",'CARNET DE SOUDURE'!R198=""),"",'CARNET DE SOUDURE'!R198)</f>
        <v>45889</v>
      </c>
      <c r="F198" s="81" t="str">
        <f aca="false">IF('CARNET DE SOUDURE'!E198="","",'CARNET DE SOUDURE'!AL198)</f>
        <v>A</v>
      </c>
      <c r="G198" s="81" t="str">
        <f aca="false">IF('CARNET DE SOUDURE'!E198="","",'CARNET DE SOUDURE'!AM198)</f>
        <v>ACCEPTÉ</v>
      </c>
      <c r="H198" s="81" t="str">
        <f aca="false">IF(C198="","",IF(G198="ACCEPTÉ","OUI","NON"))</f>
        <v>OUI</v>
      </c>
      <c r="I198" s="82"/>
      <c r="J198" s="79"/>
      <c r="K198" s="80"/>
      <c r="L198" s="80"/>
      <c r="M198" s="80"/>
      <c r="N198" s="83" t="str">
        <f aca="false">IF(C198="","",IF(I198="",IF(H198="OUI","À ENROBER",IF(G198="À SOUDER","NON SOUDÉ","EN ATTENTE RT")),IF(L198="R","À REPRENDRE",IF(H198&lt;&gt;"OUI","⚠ ENROBÉ AVANT ACCEPTATION RT","ENROBÉ"))))</f>
        <v>À ENROBER</v>
      </c>
      <c r="O198" s="79"/>
    </row>
    <row r="199" customFormat="false" ht="15" hidden="false" customHeight="false" outlineLevel="0" collapsed="false">
      <c r="A199" s="78" t="n">
        <f aca="false">IF('CARNET DE SOUDURE'!E199="","",'CARNET DE SOUDURE'!A199)</f>
        <v>193</v>
      </c>
      <c r="B199" s="93" t="str">
        <f aca="false">IF('CARNET DE SOUDURE'!E199="","",'CARNET DE SOUDURE'!B199&amp;"")</f>
        <v>TFT 716 → TL7-MMFW2</v>
      </c>
      <c r="C199" s="83" t="str">
        <f aca="false">IF('CARNET DE SOUDURE'!E199="","",'CARNET DE SOUDURE'!E199)</f>
        <v>JN°190</v>
      </c>
      <c r="D199" s="78" t="str">
        <f aca="false">IF('CARNET DE SOUDURE'!E199="","",'CARNET DE SOUDURE'!D199&amp;"")</f>
        <v>2.00</v>
      </c>
      <c r="E199" s="96" t="n">
        <f aca="false">IF(OR('CARNET DE SOUDURE'!E199="",'CARNET DE SOUDURE'!R199=""),"",'CARNET DE SOUDURE'!R199)</f>
        <v>45889</v>
      </c>
      <c r="F199" s="81" t="str">
        <f aca="false">IF('CARNET DE SOUDURE'!E199="","",'CARNET DE SOUDURE'!AL199)</f>
        <v>A</v>
      </c>
      <c r="G199" s="81" t="str">
        <f aca="false">IF('CARNET DE SOUDURE'!E199="","",'CARNET DE SOUDURE'!AM199)</f>
        <v>ACCEPTÉ</v>
      </c>
      <c r="H199" s="81" t="str">
        <f aca="false">IF(C199="","",IF(G199="ACCEPTÉ","OUI","NON"))</f>
        <v>OUI</v>
      </c>
      <c r="I199" s="82"/>
      <c r="J199" s="79"/>
      <c r="K199" s="80"/>
      <c r="L199" s="80"/>
      <c r="M199" s="80"/>
      <c r="N199" s="83" t="str">
        <f aca="false">IF(C199="","",IF(I199="",IF(H199="OUI","À ENROBER",IF(G199="À SOUDER","NON SOUDÉ","EN ATTENTE RT")),IF(L199="R","À REPRENDRE",IF(H199&lt;&gt;"OUI","⚠ ENROBÉ AVANT ACCEPTATION RT","ENROBÉ"))))</f>
        <v>À ENROBER</v>
      </c>
      <c r="O199" s="79"/>
    </row>
    <row r="200" customFormat="false" ht="15" hidden="false" customHeight="false" outlineLevel="0" collapsed="false">
      <c r="A200" s="78" t="n">
        <f aca="false">IF('CARNET DE SOUDURE'!E200="","",'CARNET DE SOUDURE'!A200)</f>
        <v>194</v>
      </c>
      <c r="B200" s="93" t="str">
        <f aca="false">IF('CARNET DE SOUDURE'!E200="","",'CARNET DE SOUDURE'!B200&amp;"")</f>
        <v>TFT 716 → TL7-MMFW2</v>
      </c>
      <c r="C200" s="83" t="str">
        <f aca="false">IF('CARNET DE SOUDURE'!E200="","",'CARNET DE SOUDURE'!E200)</f>
        <v>JN°191</v>
      </c>
      <c r="D200" s="78" t="str">
        <f aca="false">IF('CARNET DE SOUDURE'!E200="","",'CARNET DE SOUDURE'!D200&amp;"")</f>
        <v>2.00</v>
      </c>
      <c r="E200" s="96" t="n">
        <f aca="false">IF(OR('CARNET DE SOUDURE'!E200="",'CARNET DE SOUDURE'!R200=""),"",'CARNET DE SOUDURE'!R200)</f>
        <v>45889</v>
      </c>
      <c r="F200" s="81" t="str">
        <f aca="false">IF('CARNET DE SOUDURE'!E200="","",'CARNET DE SOUDURE'!AL200)</f>
        <v>A</v>
      </c>
      <c r="G200" s="81" t="str">
        <f aca="false">IF('CARNET DE SOUDURE'!E200="","",'CARNET DE SOUDURE'!AM200)</f>
        <v>ACCEPTÉ</v>
      </c>
      <c r="H200" s="81" t="str">
        <f aca="false">IF(C200="","",IF(G200="ACCEPTÉ","OUI","NON"))</f>
        <v>OUI</v>
      </c>
      <c r="I200" s="82"/>
      <c r="J200" s="79"/>
      <c r="K200" s="80"/>
      <c r="L200" s="80"/>
      <c r="M200" s="80"/>
      <c r="N200" s="83" t="str">
        <f aca="false">IF(C200="","",IF(I200="",IF(H200="OUI","À ENROBER",IF(G200="À SOUDER","NON SOUDÉ","EN ATTENTE RT")),IF(L200="R","À REPRENDRE",IF(H200&lt;&gt;"OUI","⚠ ENROBÉ AVANT ACCEPTATION RT","ENROBÉ"))))</f>
        <v>À ENROBER</v>
      </c>
      <c r="O200" s="79"/>
    </row>
    <row r="201" customFormat="false" ht="15" hidden="false" customHeight="false" outlineLevel="0" collapsed="false">
      <c r="A201" s="78" t="n">
        <f aca="false">IF('CARNET DE SOUDURE'!E201="","",'CARNET DE SOUDURE'!A201)</f>
        <v>195</v>
      </c>
      <c r="B201" s="93" t="str">
        <f aca="false">IF('CARNET DE SOUDURE'!E201="","",'CARNET DE SOUDURE'!B201&amp;"")</f>
        <v>TFT 716 → TL7-MMFW2</v>
      </c>
      <c r="C201" s="83" t="str">
        <f aca="false">IF('CARNET DE SOUDURE'!E201="","",'CARNET DE SOUDURE'!E201)</f>
        <v>JN°192</v>
      </c>
      <c r="D201" s="78" t="str">
        <f aca="false">IF('CARNET DE SOUDURE'!E201="","",'CARNET DE SOUDURE'!D201&amp;"")</f>
        <v>2.00</v>
      </c>
      <c r="E201" s="96" t="n">
        <f aca="false">IF(OR('CARNET DE SOUDURE'!E201="",'CARNET DE SOUDURE'!R201=""),"",'CARNET DE SOUDURE'!R201)</f>
        <v>45889</v>
      </c>
      <c r="F201" s="81" t="str">
        <f aca="false">IF('CARNET DE SOUDURE'!E201="","",'CARNET DE SOUDURE'!AL201)</f>
        <v>A</v>
      </c>
      <c r="G201" s="81" t="str">
        <f aca="false">IF('CARNET DE SOUDURE'!E201="","",'CARNET DE SOUDURE'!AM201)</f>
        <v>ACCEPTÉ</v>
      </c>
      <c r="H201" s="81" t="str">
        <f aca="false">IF(C201="","",IF(G201="ACCEPTÉ","OUI","NON"))</f>
        <v>OUI</v>
      </c>
      <c r="I201" s="82"/>
      <c r="J201" s="79"/>
      <c r="K201" s="80"/>
      <c r="L201" s="80"/>
      <c r="M201" s="80"/>
      <c r="N201" s="83" t="str">
        <f aca="false">IF(C201="","",IF(I201="",IF(H201="OUI","À ENROBER",IF(G201="À SOUDER","NON SOUDÉ","EN ATTENTE RT")),IF(L201="R","À REPRENDRE",IF(H201&lt;&gt;"OUI","⚠ ENROBÉ AVANT ACCEPTATION RT","ENROBÉ"))))</f>
        <v>À ENROBER</v>
      </c>
      <c r="O201" s="79"/>
    </row>
    <row r="202" customFormat="false" ht="15" hidden="false" customHeight="false" outlineLevel="0" collapsed="false">
      <c r="A202" s="78" t="n">
        <f aca="false">IF('CARNET DE SOUDURE'!E202="","",'CARNET DE SOUDURE'!A202)</f>
        <v>196</v>
      </c>
      <c r="B202" s="93" t="str">
        <f aca="false">IF('CARNET DE SOUDURE'!E202="","",'CARNET DE SOUDURE'!B202&amp;"")</f>
        <v>TFT 716 → TL7-MMFW2</v>
      </c>
      <c r="C202" s="83" t="str">
        <f aca="false">IF('CARNET DE SOUDURE'!E202="","",'CARNET DE SOUDURE'!E202)</f>
        <v>JN°193</v>
      </c>
      <c r="D202" s="78" t="str">
        <f aca="false">IF('CARNET DE SOUDURE'!E202="","",'CARNET DE SOUDURE'!D202&amp;"")</f>
        <v>2.00</v>
      </c>
      <c r="E202" s="96" t="n">
        <f aca="false">IF(OR('CARNET DE SOUDURE'!E202="",'CARNET DE SOUDURE'!R202=""),"",'CARNET DE SOUDURE'!R202)</f>
        <v>45889</v>
      </c>
      <c r="F202" s="81" t="str">
        <f aca="false">IF('CARNET DE SOUDURE'!E202="","",'CARNET DE SOUDURE'!AL202)</f>
        <v>A</v>
      </c>
      <c r="G202" s="81" t="str">
        <f aca="false">IF('CARNET DE SOUDURE'!E202="","",'CARNET DE SOUDURE'!AM202)</f>
        <v>ACCEPTÉ</v>
      </c>
      <c r="H202" s="81" t="str">
        <f aca="false">IF(C202="","",IF(G202="ACCEPTÉ","OUI","NON"))</f>
        <v>OUI</v>
      </c>
      <c r="I202" s="82"/>
      <c r="J202" s="79"/>
      <c r="K202" s="80"/>
      <c r="L202" s="80"/>
      <c r="M202" s="80"/>
      <c r="N202" s="83" t="str">
        <f aca="false">IF(C202="","",IF(I202="",IF(H202="OUI","À ENROBER",IF(G202="À SOUDER","NON SOUDÉ","EN ATTENTE RT")),IF(L202="R","À REPRENDRE",IF(H202&lt;&gt;"OUI","⚠ ENROBÉ AVANT ACCEPTATION RT","ENROBÉ"))))</f>
        <v>À ENROBER</v>
      </c>
      <c r="O202" s="79"/>
    </row>
    <row r="203" customFormat="false" ht="15" hidden="false" customHeight="false" outlineLevel="0" collapsed="false">
      <c r="A203" s="78" t="n">
        <f aca="false">IF('CARNET DE SOUDURE'!E203="","",'CARNET DE SOUDURE'!A203)</f>
        <v>197</v>
      </c>
      <c r="B203" s="93" t="str">
        <f aca="false">IF('CARNET DE SOUDURE'!E203="","",'CARNET DE SOUDURE'!B203&amp;"")</f>
        <v>TFT 716 → TL7-MMFW2</v>
      </c>
      <c r="C203" s="83" t="str">
        <f aca="false">IF('CARNET DE SOUDURE'!E203="","",'CARNET DE SOUDURE'!E203)</f>
        <v>JN°194</v>
      </c>
      <c r="D203" s="78" t="str">
        <f aca="false">IF('CARNET DE SOUDURE'!E203="","",'CARNET DE SOUDURE'!D203&amp;"")</f>
        <v>2.00</v>
      </c>
      <c r="E203" s="96" t="n">
        <f aca="false">IF(OR('CARNET DE SOUDURE'!E203="",'CARNET DE SOUDURE'!R203=""),"",'CARNET DE SOUDURE'!R203)</f>
        <v>45889</v>
      </c>
      <c r="F203" s="81" t="str">
        <f aca="false">IF('CARNET DE SOUDURE'!E203="","",'CARNET DE SOUDURE'!AL203)</f>
        <v>A</v>
      </c>
      <c r="G203" s="81" t="str">
        <f aca="false">IF('CARNET DE SOUDURE'!E203="","",'CARNET DE SOUDURE'!AM203)</f>
        <v>ACCEPTÉ</v>
      </c>
      <c r="H203" s="81" t="str">
        <f aca="false">IF(C203="","",IF(G203="ACCEPTÉ","OUI","NON"))</f>
        <v>OUI</v>
      </c>
      <c r="I203" s="82"/>
      <c r="J203" s="79"/>
      <c r="K203" s="80"/>
      <c r="L203" s="80"/>
      <c r="M203" s="80"/>
      <c r="N203" s="83" t="str">
        <f aca="false">IF(C203="","",IF(I203="",IF(H203="OUI","À ENROBER",IF(G203="À SOUDER","NON SOUDÉ","EN ATTENTE RT")),IF(L203="R","À REPRENDRE",IF(H203&lt;&gt;"OUI","⚠ ENROBÉ AVANT ACCEPTATION RT","ENROBÉ"))))</f>
        <v>À ENROBER</v>
      </c>
      <c r="O203" s="79"/>
    </row>
    <row r="204" customFormat="false" ht="15" hidden="false" customHeight="false" outlineLevel="0" collapsed="false">
      <c r="A204" s="78" t="n">
        <f aca="false">IF('CARNET DE SOUDURE'!E204="","",'CARNET DE SOUDURE'!A204)</f>
        <v>198</v>
      </c>
      <c r="B204" s="93" t="str">
        <f aca="false">IF('CARNET DE SOUDURE'!E204="","",'CARNET DE SOUDURE'!B204&amp;"")</f>
        <v>TFT 716 → TL7-MMFW2</v>
      </c>
      <c r="C204" s="83" t="str">
        <f aca="false">IF('CARNET DE SOUDURE'!E204="","",'CARNET DE SOUDURE'!E204)</f>
        <v>JN°195</v>
      </c>
      <c r="D204" s="78" t="str">
        <f aca="false">IF('CARNET DE SOUDURE'!E204="","",'CARNET DE SOUDURE'!D204&amp;"")</f>
        <v>2.00</v>
      </c>
      <c r="E204" s="96" t="n">
        <f aca="false">IF(OR('CARNET DE SOUDURE'!E204="",'CARNET DE SOUDURE'!R204=""),"",'CARNET DE SOUDURE'!R204)</f>
        <v>45889</v>
      </c>
      <c r="F204" s="81" t="str">
        <f aca="false">IF('CARNET DE SOUDURE'!E204="","",'CARNET DE SOUDURE'!AL204)</f>
        <v>A</v>
      </c>
      <c r="G204" s="81" t="str">
        <f aca="false">IF('CARNET DE SOUDURE'!E204="","",'CARNET DE SOUDURE'!AM204)</f>
        <v>ACCEPTÉ</v>
      </c>
      <c r="H204" s="81" t="str">
        <f aca="false">IF(C204="","",IF(G204="ACCEPTÉ","OUI","NON"))</f>
        <v>OUI</v>
      </c>
      <c r="I204" s="82"/>
      <c r="J204" s="79"/>
      <c r="K204" s="80"/>
      <c r="L204" s="80"/>
      <c r="M204" s="80"/>
      <c r="N204" s="83" t="str">
        <f aca="false">IF(C204="","",IF(I204="",IF(H204="OUI","À ENROBER",IF(G204="À SOUDER","NON SOUDÉ","EN ATTENTE RT")),IF(L204="R","À REPRENDRE",IF(H204&lt;&gt;"OUI","⚠ ENROBÉ AVANT ACCEPTATION RT","ENROBÉ"))))</f>
        <v>À ENROBER</v>
      </c>
      <c r="O204" s="79"/>
    </row>
    <row r="205" customFormat="false" ht="15" hidden="false" customHeight="false" outlineLevel="0" collapsed="false">
      <c r="A205" s="78" t="n">
        <f aca="false">IF('CARNET DE SOUDURE'!E205="","",'CARNET DE SOUDURE'!A205)</f>
        <v>199</v>
      </c>
      <c r="B205" s="93" t="str">
        <f aca="false">IF('CARNET DE SOUDURE'!E205="","",'CARNET DE SOUDURE'!B205&amp;"")</f>
        <v>TFT 716 → TL7-MMFW2</v>
      </c>
      <c r="C205" s="83" t="str">
        <f aca="false">IF('CARNET DE SOUDURE'!E205="","",'CARNET DE SOUDURE'!E205)</f>
        <v>JN°196</v>
      </c>
      <c r="D205" s="78" t="str">
        <f aca="false">IF('CARNET DE SOUDURE'!E205="","",'CARNET DE SOUDURE'!D205&amp;"")</f>
        <v>2.00</v>
      </c>
      <c r="E205" s="96" t="n">
        <f aca="false">IF(OR('CARNET DE SOUDURE'!E205="",'CARNET DE SOUDURE'!R205=""),"",'CARNET DE SOUDURE'!R205)</f>
        <v>45890</v>
      </c>
      <c r="F205" s="81" t="str">
        <f aca="false">IF('CARNET DE SOUDURE'!E205="","",'CARNET DE SOUDURE'!AL205)</f>
        <v>A</v>
      </c>
      <c r="G205" s="81" t="str">
        <f aca="false">IF('CARNET DE SOUDURE'!E205="","",'CARNET DE SOUDURE'!AM205)</f>
        <v>ACCEPTÉ</v>
      </c>
      <c r="H205" s="81" t="str">
        <f aca="false">IF(C205="","",IF(G205="ACCEPTÉ","OUI","NON"))</f>
        <v>OUI</v>
      </c>
      <c r="I205" s="82"/>
      <c r="J205" s="79"/>
      <c r="K205" s="80"/>
      <c r="L205" s="80"/>
      <c r="M205" s="80"/>
      <c r="N205" s="83" t="str">
        <f aca="false">IF(C205="","",IF(I205="",IF(H205="OUI","À ENROBER",IF(G205="À SOUDER","NON SOUDÉ","EN ATTENTE RT")),IF(L205="R","À REPRENDRE",IF(H205&lt;&gt;"OUI","⚠ ENROBÉ AVANT ACCEPTATION RT","ENROBÉ"))))</f>
        <v>À ENROBER</v>
      </c>
      <c r="O205" s="79"/>
    </row>
    <row r="206" customFormat="false" ht="15" hidden="false" customHeight="false" outlineLevel="0" collapsed="false">
      <c r="A206" s="78" t="n">
        <f aca="false">IF('CARNET DE SOUDURE'!E206="","",'CARNET DE SOUDURE'!A206)</f>
        <v>200</v>
      </c>
      <c r="B206" s="93" t="str">
        <f aca="false">IF('CARNET DE SOUDURE'!E206="","",'CARNET DE SOUDURE'!B206&amp;"")</f>
        <v>TFT 716 → TL7-MMFW2</v>
      </c>
      <c r="C206" s="83" t="str">
        <f aca="false">IF('CARNET DE SOUDURE'!E206="","",'CARNET DE SOUDURE'!E206)</f>
        <v>JN°197</v>
      </c>
      <c r="D206" s="78" t="str">
        <f aca="false">IF('CARNET DE SOUDURE'!E206="","",'CARNET DE SOUDURE'!D206&amp;"")</f>
        <v>2.00</v>
      </c>
      <c r="E206" s="96" t="n">
        <f aca="false">IF(OR('CARNET DE SOUDURE'!E206="",'CARNET DE SOUDURE'!R206=""),"",'CARNET DE SOUDURE'!R206)</f>
        <v>45890</v>
      </c>
      <c r="F206" s="81" t="str">
        <f aca="false">IF('CARNET DE SOUDURE'!E206="","",'CARNET DE SOUDURE'!AL206)</f>
        <v>A</v>
      </c>
      <c r="G206" s="81" t="str">
        <f aca="false">IF('CARNET DE SOUDURE'!E206="","",'CARNET DE SOUDURE'!AM206)</f>
        <v>ACCEPTÉ</v>
      </c>
      <c r="H206" s="81" t="str">
        <f aca="false">IF(C206="","",IF(G206="ACCEPTÉ","OUI","NON"))</f>
        <v>OUI</v>
      </c>
      <c r="I206" s="82"/>
      <c r="J206" s="79"/>
      <c r="K206" s="80"/>
      <c r="L206" s="80"/>
      <c r="M206" s="80"/>
      <c r="N206" s="83" t="str">
        <f aca="false">IF(C206="","",IF(I206="",IF(H206="OUI","À ENROBER",IF(G206="À SOUDER","NON SOUDÉ","EN ATTENTE RT")),IF(L206="R","À REPRENDRE",IF(H206&lt;&gt;"OUI","⚠ ENROBÉ AVANT ACCEPTATION RT","ENROBÉ"))))</f>
        <v>À ENROBER</v>
      </c>
      <c r="O206" s="79"/>
    </row>
    <row r="207" customFormat="false" ht="15" hidden="false" customHeight="false" outlineLevel="0" collapsed="false">
      <c r="A207" s="78" t="n">
        <f aca="false">IF('CARNET DE SOUDURE'!E207="","",'CARNET DE SOUDURE'!A207)</f>
        <v>201</v>
      </c>
      <c r="B207" s="93" t="str">
        <f aca="false">IF('CARNET DE SOUDURE'!E207="","",'CARNET DE SOUDURE'!B207&amp;"")</f>
        <v>TFT 716 → TL7-MMFW2</v>
      </c>
      <c r="C207" s="83" t="str">
        <f aca="false">IF('CARNET DE SOUDURE'!E207="","",'CARNET DE SOUDURE'!E207)</f>
        <v>JN°198</v>
      </c>
      <c r="D207" s="78" t="str">
        <f aca="false">IF('CARNET DE SOUDURE'!E207="","",'CARNET DE SOUDURE'!D207&amp;"")</f>
        <v>2.00</v>
      </c>
      <c r="E207" s="96" t="n">
        <f aca="false">IF(OR('CARNET DE SOUDURE'!E207="",'CARNET DE SOUDURE'!R207=""),"",'CARNET DE SOUDURE'!R207)</f>
        <v>45890</v>
      </c>
      <c r="F207" s="81" t="str">
        <f aca="false">IF('CARNET DE SOUDURE'!E207="","",'CARNET DE SOUDURE'!AL207)</f>
        <v>A</v>
      </c>
      <c r="G207" s="81" t="str">
        <f aca="false">IF('CARNET DE SOUDURE'!E207="","",'CARNET DE SOUDURE'!AM207)</f>
        <v>ACCEPTÉ</v>
      </c>
      <c r="H207" s="81" t="str">
        <f aca="false">IF(C207="","",IF(G207="ACCEPTÉ","OUI","NON"))</f>
        <v>OUI</v>
      </c>
      <c r="I207" s="82"/>
      <c r="J207" s="79"/>
      <c r="K207" s="80"/>
      <c r="L207" s="80"/>
      <c r="M207" s="80"/>
      <c r="N207" s="83" t="str">
        <f aca="false">IF(C207="","",IF(I207="",IF(H207="OUI","À ENROBER",IF(G207="À SOUDER","NON SOUDÉ","EN ATTENTE RT")),IF(L207="R","À REPRENDRE",IF(H207&lt;&gt;"OUI","⚠ ENROBÉ AVANT ACCEPTATION RT","ENROBÉ"))))</f>
        <v>À ENROBER</v>
      </c>
      <c r="O207" s="79"/>
    </row>
    <row r="208" customFormat="false" ht="15" hidden="false" customHeight="false" outlineLevel="0" collapsed="false">
      <c r="A208" s="78" t="n">
        <f aca="false">IF('CARNET DE SOUDURE'!E208="","",'CARNET DE SOUDURE'!A208)</f>
        <v>202</v>
      </c>
      <c r="B208" s="93" t="str">
        <f aca="false">IF('CARNET DE SOUDURE'!E208="","",'CARNET DE SOUDURE'!B208&amp;"")</f>
        <v>TFT 716 → TL7-MMFW2</v>
      </c>
      <c r="C208" s="83" t="str">
        <f aca="false">IF('CARNET DE SOUDURE'!E208="","",'CARNET DE SOUDURE'!E208)</f>
        <v>JN°199</v>
      </c>
      <c r="D208" s="78" t="str">
        <f aca="false">IF('CARNET DE SOUDURE'!E208="","",'CARNET DE SOUDURE'!D208&amp;"")</f>
        <v>2.00</v>
      </c>
      <c r="E208" s="96" t="n">
        <f aca="false">IF(OR('CARNET DE SOUDURE'!E208="",'CARNET DE SOUDURE'!R208=""),"",'CARNET DE SOUDURE'!R208)</f>
        <v>45915</v>
      </c>
      <c r="F208" s="81" t="str">
        <f aca="false">IF('CARNET DE SOUDURE'!E208="","",'CARNET DE SOUDURE'!AL208)</f>
        <v/>
      </c>
      <c r="G208" s="81" t="str">
        <f aca="false">IF('CARNET DE SOUDURE'!E208="","",'CARNET DE SOUDURE'!AM208)</f>
        <v>À RADIOGRAPHIER</v>
      </c>
      <c r="H208" s="81" t="str">
        <f aca="false">IF(C208="","",IF(G208="ACCEPTÉ","OUI","NON"))</f>
        <v>NON</v>
      </c>
      <c r="I208" s="82"/>
      <c r="J208" s="79"/>
      <c r="K208" s="80"/>
      <c r="L208" s="80"/>
      <c r="M208" s="80"/>
      <c r="N208" s="83" t="str">
        <f aca="false">IF(C208="","",IF(I208="",IF(H208="OUI","À ENROBER",IF(G208="À SOUDER","NON SOUDÉ","EN ATTENTE RT")),IF(L208="R","À REPRENDRE",IF(H208&lt;&gt;"OUI","⚠ ENROBÉ AVANT ACCEPTATION RT","ENROBÉ"))))</f>
        <v>EN ATTENTE RT</v>
      </c>
      <c r="O208" s="79"/>
    </row>
    <row r="209" customFormat="false" ht="15" hidden="false" customHeight="false" outlineLevel="0" collapsed="false">
      <c r="A209" s="78" t="n">
        <f aca="false">IF('CARNET DE SOUDURE'!E209="","",'CARNET DE SOUDURE'!A209)</f>
        <v>203</v>
      </c>
      <c r="B209" s="93" t="str">
        <f aca="false">IF('CARNET DE SOUDURE'!E209="","",'CARNET DE SOUDURE'!B209&amp;"")</f>
        <v>TFT 716 → TL7-MMFW2</v>
      </c>
      <c r="C209" s="83" t="str">
        <f aca="false">IF('CARNET DE SOUDURE'!E209="","",'CARNET DE SOUDURE'!E209)</f>
        <v>JN°200</v>
      </c>
      <c r="D209" s="78" t="str">
        <f aca="false">IF('CARNET DE SOUDURE'!E209="","",'CARNET DE SOUDURE'!D209&amp;"")</f>
        <v>2.000</v>
      </c>
      <c r="E209" s="96" t="str">
        <f aca="false">IF(OR('CARNET DE SOUDURE'!E209="",'CARNET DE SOUDURE'!R209=""),"",'CARNET DE SOUDURE'!R209)</f>
        <v/>
      </c>
      <c r="F209" s="81" t="str">
        <f aca="false">IF('CARNET DE SOUDURE'!E209="","",'CARNET DE SOUDURE'!AL209)</f>
        <v/>
      </c>
      <c r="G209" s="81" t="str">
        <f aca="false">IF('CARNET DE SOUDURE'!E209="","",'CARNET DE SOUDURE'!AM209)</f>
        <v>À SOUDER</v>
      </c>
      <c r="H209" s="81" t="str">
        <f aca="false">IF(C209="","",IF(G209="ACCEPTÉ","OUI","NON"))</f>
        <v>NON</v>
      </c>
      <c r="I209" s="82"/>
      <c r="J209" s="79"/>
      <c r="K209" s="80"/>
      <c r="L209" s="80"/>
      <c r="M209" s="80"/>
      <c r="N209" s="83" t="str">
        <f aca="false">IF(C209="","",IF(I209="",IF(H209="OUI","À ENROBER",IF(G209="À SOUDER","NON SOUDÉ","EN ATTENTE RT")),IF(L209="R","À REPRENDRE",IF(H209&lt;&gt;"OUI","⚠ ENROBÉ AVANT ACCEPTATION RT","ENROBÉ"))))</f>
        <v>NON SOUDÉ</v>
      </c>
      <c r="O209" s="79"/>
    </row>
    <row r="210" customFormat="false" ht="15" hidden="false" customHeight="false" outlineLevel="0" collapsed="false">
      <c r="A210" s="78" t="n">
        <f aca="false">IF('CARNET DE SOUDURE'!E210="","",'CARNET DE SOUDURE'!A210)</f>
        <v>204</v>
      </c>
      <c r="B210" s="93" t="str">
        <f aca="false">IF('CARNET DE SOUDURE'!E210="","",'CARNET DE SOUDURE'!B210&amp;"")</f>
        <v>TFT 716 → TL7-MMFW2</v>
      </c>
      <c r="C210" s="83" t="str">
        <f aca="false">IF('CARNET DE SOUDURE'!E210="","",'CARNET DE SOUDURE'!E210)</f>
        <v>JN°201</v>
      </c>
      <c r="D210" s="78" t="str">
        <f aca="false">IF('CARNET DE SOUDURE'!E210="","",'CARNET DE SOUDURE'!D210&amp;"")</f>
        <v>2.00</v>
      </c>
      <c r="E210" s="96" t="n">
        <f aca="false">IF(OR('CARNET DE SOUDURE'!E210="",'CARNET DE SOUDURE'!R210=""),"",'CARNET DE SOUDURE'!R210)</f>
        <v>45913</v>
      </c>
      <c r="F210" s="81" t="str">
        <f aca="false">IF('CARNET DE SOUDURE'!E210="","",'CARNET DE SOUDURE'!AL210)</f>
        <v/>
      </c>
      <c r="G210" s="81" t="str">
        <f aca="false">IF('CARNET DE SOUDURE'!E210="","",'CARNET DE SOUDURE'!AM210)</f>
        <v>À RADIOGRAPHIER</v>
      </c>
      <c r="H210" s="81" t="str">
        <f aca="false">IF(C210="","",IF(G210="ACCEPTÉ","OUI","NON"))</f>
        <v>NON</v>
      </c>
      <c r="I210" s="82"/>
      <c r="J210" s="79"/>
      <c r="K210" s="80"/>
      <c r="L210" s="80"/>
      <c r="M210" s="80"/>
      <c r="N210" s="83" t="str">
        <f aca="false">IF(C210="","",IF(I210="",IF(H210="OUI","À ENROBER",IF(G210="À SOUDER","NON SOUDÉ","EN ATTENTE RT")),IF(L210="R","À REPRENDRE",IF(H210&lt;&gt;"OUI","⚠ ENROBÉ AVANT ACCEPTATION RT","ENROBÉ"))))</f>
        <v>EN ATTENTE RT</v>
      </c>
      <c r="O210" s="79"/>
    </row>
    <row r="211" customFormat="false" ht="15" hidden="false" customHeight="false" outlineLevel="0" collapsed="false">
      <c r="A211" s="78" t="n">
        <f aca="false">IF('CARNET DE SOUDURE'!E211="","",'CARNET DE SOUDURE'!A211)</f>
        <v>205</v>
      </c>
      <c r="B211" s="93" t="str">
        <f aca="false">IF('CARNET DE SOUDURE'!E211="","",'CARNET DE SOUDURE'!B211&amp;"")</f>
        <v>TFT 716 → TL7-MMFW2</v>
      </c>
      <c r="C211" s="83" t="str">
        <f aca="false">IF('CARNET DE SOUDURE'!E211="","",'CARNET DE SOUDURE'!E211)</f>
        <v>JN°202</v>
      </c>
      <c r="D211" s="78" t="str">
        <f aca="false">IF('CARNET DE SOUDURE'!E211="","",'CARNET DE SOUDURE'!D211&amp;"")</f>
        <v>2.000</v>
      </c>
      <c r="E211" s="96" t="str">
        <f aca="false">IF(OR('CARNET DE SOUDURE'!E211="",'CARNET DE SOUDURE'!R211=""),"",'CARNET DE SOUDURE'!R211)</f>
        <v/>
      </c>
      <c r="F211" s="81" t="str">
        <f aca="false">IF('CARNET DE SOUDURE'!E211="","",'CARNET DE SOUDURE'!AL211)</f>
        <v/>
      </c>
      <c r="G211" s="81" t="str">
        <f aca="false">IF('CARNET DE SOUDURE'!E211="","",'CARNET DE SOUDURE'!AM211)</f>
        <v>À SOUDER</v>
      </c>
      <c r="H211" s="81" t="str">
        <f aca="false">IF(C211="","",IF(G211="ACCEPTÉ","OUI","NON"))</f>
        <v>NON</v>
      </c>
      <c r="I211" s="82"/>
      <c r="J211" s="79"/>
      <c r="K211" s="80"/>
      <c r="L211" s="80"/>
      <c r="M211" s="80"/>
      <c r="N211" s="83" t="str">
        <f aca="false">IF(C211="","",IF(I211="",IF(H211="OUI","À ENROBER",IF(G211="À SOUDER","NON SOUDÉ","EN ATTENTE RT")),IF(L211="R","À REPRENDRE",IF(H211&lt;&gt;"OUI","⚠ ENROBÉ AVANT ACCEPTATION RT","ENROBÉ"))))</f>
        <v>NON SOUDÉ</v>
      </c>
      <c r="O211" s="79"/>
    </row>
    <row r="212" customFormat="false" ht="15" hidden="false" customHeight="false" outlineLevel="0" collapsed="false">
      <c r="A212" s="78" t="n">
        <f aca="false">IF('CARNET DE SOUDURE'!E212="","",'CARNET DE SOUDURE'!A212)</f>
        <v>206</v>
      </c>
      <c r="B212" s="93" t="str">
        <f aca="false">IF('CARNET DE SOUDURE'!E212="","",'CARNET DE SOUDURE'!B212&amp;"")</f>
        <v>ISB-302</v>
      </c>
      <c r="C212" s="83" t="str">
        <f aca="false">IF('CARNET DE SOUDURE'!E212="","",'CARNET DE SOUDURE'!E212)</f>
        <v>JN°001</v>
      </c>
      <c r="D212" s="78" t="str">
        <f aca="false">IF('CARNET DE SOUDURE'!E212="","",'CARNET DE SOUDURE'!D212&amp;"")</f>
        <v/>
      </c>
      <c r="E212" s="96" t="str">
        <f aca="false">IF(OR('CARNET DE SOUDURE'!E212="",'CARNET DE SOUDURE'!R212=""),"",'CARNET DE SOUDURE'!R212)</f>
        <v/>
      </c>
      <c r="F212" s="81" t="str">
        <f aca="false">IF('CARNET DE SOUDURE'!E212="","",'CARNET DE SOUDURE'!AL212)</f>
        <v/>
      </c>
      <c r="G212" s="81" t="str">
        <f aca="false">IF('CARNET DE SOUDURE'!E212="","",'CARNET DE SOUDURE'!AM212)</f>
        <v>À SOUDER</v>
      </c>
      <c r="H212" s="81" t="str">
        <f aca="false">IF(C212="","",IF(G212="ACCEPTÉ","OUI","NON"))</f>
        <v>NON</v>
      </c>
      <c r="I212" s="82"/>
      <c r="J212" s="79"/>
      <c r="K212" s="80"/>
      <c r="L212" s="80"/>
      <c r="M212" s="80"/>
      <c r="N212" s="83" t="str">
        <f aca="false">IF(C212="","",IF(I212="",IF(H212="OUI","À ENROBER",IF(G212="À SOUDER","NON SOUDÉ","EN ATTENTE RT")),IF(L212="R","À REPRENDRE",IF(H212&lt;&gt;"OUI","⚠ ENROBÉ AVANT ACCEPTATION RT","ENROBÉ"))))</f>
        <v>NON SOUDÉ</v>
      </c>
      <c r="O212" s="79"/>
    </row>
    <row r="213" customFormat="false" ht="15" hidden="false" customHeight="false" outlineLevel="0" collapsed="false">
      <c r="A213" s="78" t="n">
        <f aca="false">IF('CARNET DE SOUDURE'!E213="","",'CARNET DE SOUDURE'!A213)</f>
        <v>207</v>
      </c>
      <c r="B213" s="93" t="str">
        <f aca="false">IF('CARNET DE SOUDURE'!E213="","",'CARNET DE SOUDURE'!B213&amp;"")</f>
        <v>ISB-302</v>
      </c>
      <c r="C213" s="83" t="str">
        <f aca="false">IF('CARNET DE SOUDURE'!E213="","",'CARNET DE SOUDURE'!E213)</f>
        <v>JN°002</v>
      </c>
      <c r="D213" s="78" t="str">
        <f aca="false">IF('CARNET DE SOUDURE'!E213="","",'CARNET DE SOUDURE'!D213&amp;"")</f>
        <v/>
      </c>
      <c r="E213" s="96" t="str">
        <f aca="false">IF(OR('CARNET DE SOUDURE'!E213="",'CARNET DE SOUDURE'!R213=""),"",'CARNET DE SOUDURE'!R213)</f>
        <v/>
      </c>
      <c r="F213" s="81" t="str">
        <f aca="false">IF('CARNET DE SOUDURE'!E213="","",'CARNET DE SOUDURE'!AL213)</f>
        <v/>
      </c>
      <c r="G213" s="81" t="str">
        <f aca="false">IF('CARNET DE SOUDURE'!E213="","",'CARNET DE SOUDURE'!AM213)</f>
        <v>À SOUDER</v>
      </c>
      <c r="H213" s="81" t="str">
        <f aca="false">IF(C213="","",IF(G213="ACCEPTÉ","OUI","NON"))</f>
        <v>NON</v>
      </c>
      <c r="I213" s="82"/>
      <c r="J213" s="79"/>
      <c r="K213" s="80"/>
      <c r="L213" s="80"/>
      <c r="M213" s="80"/>
      <c r="N213" s="83" t="str">
        <f aca="false">IF(C213="","",IF(I213="",IF(H213="OUI","À ENROBER",IF(G213="À SOUDER","NON SOUDÉ","EN ATTENTE RT")),IF(L213="R","À REPRENDRE",IF(H213&lt;&gt;"OUI","⚠ ENROBÉ AVANT ACCEPTATION RT","ENROBÉ"))))</f>
        <v>NON SOUDÉ</v>
      </c>
      <c r="O213" s="79"/>
    </row>
    <row r="214" customFormat="false" ht="15" hidden="false" customHeight="false" outlineLevel="0" collapsed="false">
      <c r="A214" s="78" t="n">
        <f aca="false">IF('CARNET DE SOUDURE'!E214="","",'CARNET DE SOUDURE'!A214)</f>
        <v>208</v>
      </c>
      <c r="B214" s="93" t="str">
        <f aca="false">IF('CARNET DE SOUDURE'!E214="","",'CARNET DE SOUDURE'!B214&amp;"")</f>
        <v>ISB-302</v>
      </c>
      <c r="C214" s="83" t="str">
        <f aca="false">IF('CARNET DE SOUDURE'!E214="","",'CARNET DE SOUDURE'!E214)</f>
        <v>JN°003</v>
      </c>
      <c r="D214" s="78" t="str">
        <f aca="false">IF('CARNET DE SOUDURE'!E214="","",'CARNET DE SOUDURE'!D214&amp;"")</f>
        <v/>
      </c>
      <c r="E214" s="96" t="str">
        <f aca="false">IF(OR('CARNET DE SOUDURE'!E214="",'CARNET DE SOUDURE'!R214=""),"",'CARNET DE SOUDURE'!R214)</f>
        <v/>
      </c>
      <c r="F214" s="81" t="str">
        <f aca="false">IF('CARNET DE SOUDURE'!E214="","",'CARNET DE SOUDURE'!AL214)</f>
        <v/>
      </c>
      <c r="G214" s="81" t="str">
        <f aca="false">IF('CARNET DE SOUDURE'!E214="","",'CARNET DE SOUDURE'!AM214)</f>
        <v>À SOUDER</v>
      </c>
      <c r="H214" s="81" t="str">
        <f aca="false">IF(C214="","",IF(G214="ACCEPTÉ","OUI","NON"))</f>
        <v>NON</v>
      </c>
      <c r="I214" s="82"/>
      <c r="J214" s="79"/>
      <c r="K214" s="80"/>
      <c r="L214" s="80"/>
      <c r="M214" s="80"/>
      <c r="N214" s="83" t="str">
        <f aca="false">IF(C214="","",IF(I214="",IF(H214="OUI","À ENROBER",IF(G214="À SOUDER","NON SOUDÉ","EN ATTENTE RT")),IF(L214="R","À REPRENDRE",IF(H214&lt;&gt;"OUI","⚠ ENROBÉ AVANT ACCEPTATION RT","ENROBÉ"))))</f>
        <v>NON SOUDÉ</v>
      </c>
      <c r="O214" s="79"/>
    </row>
    <row r="215" customFormat="false" ht="15" hidden="false" customHeight="false" outlineLevel="0" collapsed="false">
      <c r="A215" s="78" t="n">
        <f aca="false">IF('CARNET DE SOUDURE'!E215="","",'CARNET DE SOUDURE'!A215)</f>
        <v>209</v>
      </c>
      <c r="B215" s="93" t="str">
        <f aca="false">IF('CARNET DE SOUDURE'!E215="","",'CARNET DE SOUDURE'!B215&amp;"")</f>
        <v>ISB-302</v>
      </c>
      <c r="C215" s="83" t="str">
        <f aca="false">IF('CARNET DE SOUDURE'!E215="","",'CARNET DE SOUDURE'!E215)</f>
        <v>JN°004</v>
      </c>
      <c r="D215" s="78" t="str">
        <f aca="false">IF('CARNET DE SOUDURE'!E215="","",'CARNET DE SOUDURE'!D215&amp;"")</f>
        <v/>
      </c>
      <c r="E215" s="96" t="str">
        <f aca="false">IF(OR('CARNET DE SOUDURE'!E215="",'CARNET DE SOUDURE'!R215=""),"",'CARNET DE SOUDURE'!R215)</f>
        <v/>
      </c>
      <c r="F215" s="81" t="str">
        <f aca="false">IF('CARNET DE SOUDURE'!E215="","",'CARNET DE SOUDURE'!AL215)</f>
        <v/>
      </c>
      <c r="G215" s="81" t="str">
        <f aca="false">IF('CARNET DE SOUDURE'!E215="","",'CARNET DE SOUDURE'!AM215)</f>
        <v>À SOUDER</v>
      </c>
      <c r="H215" s="81" t="str">
        <f aca="false">IF(C215="","",IF(G215="ACCEPTÉ","OUI","NON"))</f>
        <v>NON</v>
      </c>
      <c r="I215" s="82"/>
      <c r="J215" s="79"/>
      <c r="K215" s="80"/>
      <c r="L215" s="80"/>
      <c r="M215" s="80"/>
      <c r="N215" s="83" t="str">
        <f aca="false">IF(C215="","",IF(I215="",IF(H215="OUI","À ENROBER",IF(G215="À SOUDER","NON SOUDÉ","EN ATTENTE RT")),IF(L215="R","À REPRENDRE",IF(H215&lt;&gt;"OUI","⚠ ENROBÉ AVANT ACCEPTATION RT","ENROBÉ"))))</f>
        <v>NON SOUDÉ</v>
      </c>
      <c r="O215" s="79"/>
    </row>
    <row r="216" customFormat="false" ht="15" hidden="false" customHeight="false" outlineLevel="0" collapsed="false">
      <c r="A216" s="78" t="n">
        <f aca="false">IF('CARNET DE SOUDURE'!E216="","",'CARNET DE SOUDURE'!A216)</f>
        <v>210</v>
      </c>
      <c r="B216" s="93" t="str">
        <f aca="false">IF('CARNET DE SOUDURE'!E216="","",'CARNET DE SOUDURE'!B216&amp;"")</f>
        <v>ISB-302</v>
      </c>
      <c r="C216" s="83" t="str">
        <f aca="false">IF('CARNET DE SOUDURE'!E216="","",'CARNET DE SOUDURE'!E216)</f>
        <v>JN°005</v>
      </c>
      <c r="D216" s="78" t="str">
        <f aca="false">IF('CARNET DE SOUDURE'!E216="","",'CARNET DE SOUDURE'!D216&amp;"")</f>
        <v/>
      </c>
      <c r="E216" s="96" t="str">
        <f aca="false">IF(OR('CARNET DE SOUDURE'!E216="",'CARNET DE SOUDURE'!R216=""),"",'CARNET DE SOUDURE'!R216)</f>
        <v/>
      </c>
      <c r="F216" s="81" t="str">
        <f aca="false">IF('CARNET DE SOUDURE'!E216="","",'CARNET DE SOUDURE'!AL216)</f>
        <v/>
      </c>
      <c r="G216" s="81" t="str">
        <f aca="false">IF('CARNET DE SOUDURE'!E216="","",'CARNET DE SOUDURE'!AM216)</f>
        <v>À SOUDER</v>
      </c>
      <c r="H216" s="81" t="str">
        <f aca="false">IF(C216="","",IF(G216="ACCEPTÉ","OUI","NON"))</f>
        <v>NON</v>
      </c>
      <c r="I216" s="82"/>
      <c r="J216" s="79"/>
      <c r="K216" s="80"/>
      <c r="L216" s="80"/>
      <c r="M216" s="80"/>
      <c r="N216" s="83" t="str">
        <f aca="false">IF(C216="","",IF(I216="",IF(H216="OUI","À ENROBER",IF(G216="À SOUDER","NON SOUDÉ","EN ATTENTE RT")),IF(L216="R","À REPRENDRE",IF(H216&lt;&gt;"OUI","⚠ ENROBÉ AVANT ACCEPTATION RT","ENROBÉ"))))</f>
        <v>NON SOUDÉ</v>
      </c>
      <c r="O216" s="79"/>
    </row>
    <row r="217" customFormat="false" ht="15" hidden="false" customHeight="false" outlineLevel="0" collapsed="false">
      <c r="A217" s="78" t="n">
        <f aca="false">IF('CARNET DE SOUDURE'!E217="","",'CARNET DE SOUDURE'!A217)</f>
        <v>211</v>
      </c>
      <c r="B217" s="93" t="str">
        <f aca="false">IF('CARNET DE SOUDURE'!E217="","",'CARNET DE SOUDURE'!B217&amp;"")</f>
        <v>ISB-302</v>
      </c>
      <c r="C217" s="83" t="str">
        <f aca="false">IF('CARNET DE SOUDURE'!E217="","",'CARNET DE SOUDURE'!E217)</f>
        <v>JN°006</v>
      </c>
      <c r="D217" s="78" t="str">
        <f aca="false">IF('CARNET DE SOUDURE'!E217="","",'CARNET DE SOUDURE'!D217&amp;"")</f>
        <v/>
      </c>
      <c r="E217" s="96" t="str">
        <f aca="false">IF(OR('CARNET DE SOUDURE'!E217="",'CARNET DE SOUDURE'!R217=""),"",'CARNET DE SOUDURE'!R217)</f>
        <v/>
      </c>
      <c r="F217" s="81" t="str">
        <f aca="false">IF('CARNET DE SOUDURE'!E217="","",'CARNET DE SOUDURE'!AL217)</f>
        <v/>
      </c>
      <c r="G217" s="81" t="str">
        <f aca="false">IF('CARNET DE SOUDURE'!E217="","",'CARNET DE SOUDURE'!AM217)</f>
        <v>À SOUDER</v>
      </c>
      <c r="H217" s="81" t="str">
        <f aca="false">IF(C217="","",IF(G217="ACCEPTÉ","OUI","NON"))</f>
        <v>NON</v>
      </c>
      <c r="I217" s="82"/>
      <c r="J217" s="79"/>
      <c r="K217" s="80"/>
      <c r="L217" s="80"/>
      <c r="M217" s="80"/>
      <c r="N217" s="83" t="str">
        <f aca="false">IF(C217="","",IF(I217="",IF(H217="OUI","À ENROBER",IF(G217="À SOUDER","NON SOUDÉ","EN ATTENTE RT")),IF(L217="R","À REPRENDRE",IF(H217&lt;&gt;"OUI","⚠ ENROBÉ AVANT ACCEPTATION RT","ENROBÉ"))))</f>
        <v>NON SOUDÉ</v>
      </c>
      <c r="O217" s="79"/>
    </row>
    <row r="218" customFormat="false" ht="15" hidden="false" customHeight="false" outlineLevel="0" collapsed="false">
      <c r="A218" s="78" t="n">
        <f aca="false">IF('CARNET DE SOUDURE'!E218="","",'CARNET DE SOUDURE'!A218)</f>
        <v>212</v>
      </c>
      <c r="B218" s="93" t="str">
        <f aca="false">IF('CARNET DE SOUDURE'!E218="","",'CARNET DE SOUDURE'!B218&amp;"")</f>
        <v>ISB-302</v>
      </c>
      <c r="C218" s="83" t="str">
        <f aca="false">IF('CARNET DE SOUDURE'!E218="","",'CARNET DE SOUDURE'!E218)</f>
        <v>JN°007</v>
      </c>
      <c r="D218" s="78" t="str">
        <f aca="false">IF('CARNET DE SOUDURE'!E218="","",'CARNET DE SOUDURE'!D218&amp;"")</f>
        <v/>
      </c>
      <c r="E218" s="96" t="str">
        <f aca="false">IF(OR('CARNET DE SOUDURE'!E218="",'CARNET DE SOUDURE'!R218=""),"",'CARNET DE SOUDURE'!R218)</f>
        <v/>
      </c>
      <c r="F218" s="81" t="str">
        <f aca="false">IF('CARNET DE SOUDURE'!E218="","",'CARNET DE SOUDURE'!AL218)</f>
        <v/>
      </c>
      <c r="G218" s="81" t="str">
        <f aca="false">IF('CARNET DE SOUDURE'!E218="","",'CARNET DE SOUDURE'!AM218)</f>
        <v>À SOUDER</v>
      </c>
      <c r="H218" s="81" t="str">
        <f aca="false">IF(C218="","",IF(G218="ACCEPTÉ","OUI","NON"))</f>
        <v>NON</v>
      </c>
      <c r="I218" s="82"/>
      <c r="J218" s="79"/>
      <c r="K218" s="80"/>
      <c r="L218" s="80"/>
      <c r="M218" s="80"/>
      <c r="N218" s="83" t="str">
        <f aca="false">IF(C218="","",IF(I218="",IF(H218="OUI","À ENROBER",IF(G218="À SOUDER","NON SOUDÉ","EN ATTENTE RT")),IF(L218="R","À REPRENDRE",IF(H218&lt;&gt;"OUI","⚠ ENROBÉ AVANT ACCEPTATION RT","ENROBÉ"))))</f>
        <v>NON SOUDÉ</v>
      </c>
      <c r="O218" s="79"/>
    </row>
    <row r="219" customFormat="false" ht="15" hidden="false" customHeight="false" outlineLevel="0" collapsed="false">
      <c r="A219" s="78" t="n">
        <f aca="false">IF('CARNET DE SOUDURE'!E219="","",'CARNET DE SOUDURE'!A219)</f>
        <v>213</v>
      </c>
      <c r="B219" s="93" t="str">
        <f aca="false">IF('CARNET DE SOUDURE'!E219="","",'CARNET DE SOUDURE'!B219&amp;"")</f>
        <v>ISB-302</v>
      </c>
      <c r="C219" s="83" t="str">
        <f aca="false">IF('CARNET DE SOUDURE'!E219="","",'CARNET DE SOUDURE'!E219)</f>
        <v>JN°008</v>
      </c>
      <c r="D219" s="78" t="str">
        <f aca="false">IF('CARNET DE SOUDURE'!E219="","",'CARNET DE SOUDURE'!D219&amp;"")</f>
        <v/>
      </c>
      <c r="E219" s="96" t="str">
        <f aca="false">IF(OR('CARNET DE SOUDURE'!E219="",'CARNET DE SOUDURE'!R219=""),"",'CARNET DE SOUDURE'!R219)</f>
        <v/>
      </c>
      <c r="F219" s="81" t="str">
        <f aca="false">IF('CARNET DE SOUDURE'!E219="","",'CARNET DE SOUDURE'!AL219)</f>
        <v/>
      </c>
      <c r="G219" s="81" t="str">
        <f aca="false">IF('CARNET DE SOUDURE'!E219="","",'CARNET DE SOUDURE'!AM219)</f>
        <v>À SOUDER</v>
      </c>
      <c r="H219" s="81" t="str">
        <f aca="false">IF(C219="","",IF(G219="ACCEPTÉ","OUI","NON"))</f>
        <v>NON</v>
      </c>
      <c r="I219" s="82"/>
      <c r="J219" s="79"/>
      <c r="K219" s="80"/>
      <c r="L219" s="80"/>
      <c r="M219" s="80"/>
      <c r="N219" s="83" t="str">
        <f aca="false">IF(C219="","",IF(I219="",IF(H219="OUI","À ENROBER",IF(G219="À SOUDER","NON SOUDÉ","EN ATTENTE RT")),IF(L219="R","À REPRENDRE",IF(H219&lt;&gt;"OUI","⚠ ENROBÉ AVANT ACCEPTATION RT","ENROBÉ"))))</f>
        <v>NON SOUDÉ</v>
      </c>
      <c r="O219" s="79"/>
    </row>
    <row r="220" customFormat="false" ht="15" hidden="false" customHeight="false" outlineLevel="0" collapsed="false">
      <c r="A220" s="78" t="n">
        <f aca="false">IF('CARNET DE SOUDURE'!E220="","",'CARNET DE SOUDURE'!A220)</f>
        <v>214</v>
      </c>
      <c r="B220" s="93" t="str">
        <f aca="false">IF('CARNET DE SOUDURE'!E220="","",'CARNET DE SOUDURE'!B220&amp;"")</f>
        <v>ISB-302</v>
      </c>
      <c r="C220" s="83" t="str">
        <f aca="false">IF('CARNET DE SOUDURE'!E220="","",'CARNET DE SOUDURE'!E220)</f>
        <v>JN°009</v>
      </c>
      <c r="D220" s="78" t="str">
        <f aca="false">IF('CARNET DE SOUDURE'!E220="","",'CARNET DE SOUDURE'!D220&amp;"")</f>
        <v/>
      </c>
      <c r="E220" s="96" t="str">
        <f aca="false">IF(OR('CARNET DE SOUDURE'!E220="",'CARNET DE SOUDURE'!R220=""),"",'CARNET DE SOUDURE'!R220)</f>
        <v/>
      </c>
      <c r="F220" s="81" t="str">
        <f aca="false">IF('CARNET DE SOUDURE'!E220="","",'CARNET DE SOUDURE'!AL220)</f>
        <v/>
      </c>
      <c r="G220" s="81" t="str">
        <f aca="false">IF('CARNET DE SOUDURE'!E220="","",'CARNET DE SOUDURE'!AM220)</f>
        <v>À SOUDER</v>
      </c>
      <c r="H220" s="81" t="str">
        <f aca="false">IF(C220="","",IF(G220="ACCEPTÉ","OUI","NON"))</f>
        <v>NON</v>
      </c>
      <c r="I220" s="82"/>
      <c r="J220" s="79"/>
      <c r="K220" s="80"/>
      <c r="L220" s="80"/>
      <c r="M220" s="80"/>
      <c r="N220" s="83" t="str">
        <f aca="false">IF(C220="","",IF(I220="",IF(H220="OUI","À ENROBER",IF(G220="À SOUDER","NON SOUDÉ","EN ATTENTE RT")),IF(L220="R","À REPRENDRE",IF(H220&lt;&gt;"OUI","⚠ ENROBÉ AVANT ACCEPTATION RT","ENROBÉ"))))</f>
        <v>NON SOUDÉ</v>
      </c>
      <c r="O220" s="79"/>
    </row>
    <row r="221" customFormat="false" ht="15" hidden="false" customHeight="false" outlineLevel="0" collapsed="false">
      <c r="A221" s="78" t="n">
        <f aca="false">IF('CARNET DE SOUDURE'!E221="","",'CARNET DE SOUDURE'!A221)</f>
        <v>215</v>
      </c>
      <c r="B221" s="93" t="str">
        <f aca="false">IF('CARNET DE SOUDURE'!E221="","",'CARNET DE SOUDURE'!B221&amp;"")</f>
        <v>ISB-302</v>
      </c>
      <c r="C221" s="83" t="str">
        <f aca="false">IF('CARNET DE SOUDURE'!E221="","",'CARNET DE SOUDURE'!E221)</f>
        <v>JN°010</v>
      </c>
      <c r="D221" s="78" t="str">
        <f aca="false">IF('CARNET DE SOUDURE'!E221="","",'CARNET DE SOUDURE'!D221&amp;"")</f>
        <v/>
      </c>
      <c r="E221" s="96" t="str">
        <f aca="false">IF(OR('CARNET DE SOUDURE'!E221="",'CARNET DE SOUDURE'!R221=""),"",'CARNET DE SOUDURE'!R221)</f>
        <v/>
      </c>
      <c r="F221" s="81" t="str">
        <f aca="false">IF('CARNET DE SOUDURE'!E221="","",'CARNET DE SOUDURE'!AL221)</f>
        <v/>
      </c>
      <c r="G221" s="81" t="str">
        <f aca="false">IF('CARNET DE SOUDURE'!E221="","",'CARNET DE SOUDURE'!AM221)</f>
        <v>À SOUDER</v>
      </c>
      <c r="H221" s="81" t="str">
        <f aca="false">IF(C221="","",IF(G221="ACCEPTÉ","OUI","NON"))</f>
        <v>NON</v>
      </c>
      <c r="I221" s="82"/>
      <c r="J221" s="79"/>
      <c r="K221" s="80"/>
      <c r="L221" s="80"/>
      <c r="M221" s="80"/>
      <c r="N221" s="83" t="str">
        <f aca="false">IF(C221="","",IF(I221="",IF(H221="OUI","À ENROBER",IF(G221="À SOUDER","NON SOUDÉ","EN ATTENTE RT")),IF(L221="R","À REPRENDRE",IF(H221&lt;&gt;"OUI","⚠ ENROBÉ AVANT ACCEPTATION RT","ENROBÉ"))))</f>
        <v>NON SOUDÉ</v>
      </c>
      <c r="O221" s="79"/>
    </row>
    <row r="222" customFormat="false" ht="15" hidden="false" customHeight="false" outlineLevel="0" collapsed="false">
      <c r="A222" s="78" t="n">
        <f aca="false">IF('CARNET DE SOUDURE'!E222="","",'CARNET DE SOUDURE'!A222)</f>
        <v>216</v>
      </c>
      <c r="B222" s="93" t="str">
        <f aca="false">IF('CARNET DE SOUDURE'!E222="","",'CARNET DE SOUDURE'!B222&amp;"")</f>
        <v>ISB-302</v>
      </c>
      <c r="C222" s="83" t="str">
        <f aca="false">IF('CARNET DE SOUDURE'!E222="","",'CARNET DE SOUDURE'!E222)</f>
        <v>JN°011</v>
      </c>
      <c r="D222" s="78" t="str">
        <f aca="false">IF('CARNET DE SOUDURE'!E222="","",'CARNET DE SOUDURE'!D222&amp;"")</f>
        <v/>
      </c>
      <c r="E222" s="96" t="str">
        <f aca="false">IF(OR('CARNET DE SOUDURE'!E222="",'CARNET DE SOUDURE'!R222=""),"",'CARNET DE SOUDURE'!R222)</f>
        <v/>
      </c>
      <c r="F222" s="81" t="str">
        <f aca="false">IF('CARNET DE SOUDURE'!E222="","",'CARNET DE SOUDURE'!AL222)</f>
        <v/>
      </c>
      <c r="G222" s="81" t="str">
        <f aca="false">IF('CARNET DE SOUDURE'!E222="","",'CARNET DE SOUDURE'!AM222)</f>
        <v>À SOUDER</v>
      </c>
      <c r="H222" s="81" t="str">
        <f aca="false">IF(C222="","",IF(G222="ACCEPTÉ","OUI","NON"))</f>
        <v>NON</v>
      </c>
      <c r="I222" s="82"/>
      <c r="J222" s="79"/>
      <c r="K222" s="80"/>
      <c r="L222" s="80"/>
      <c r="M222" s="80"/>
      <c r="N222" s="83" t="str">
        <f aca="false">IF(C222="","",IF(I222="",IF(H222="OUI","À ENROBER",IF(G222="À SOUDER","NON SOUDÉ","EN ATTENTE RT")),IF(L222="R","À REPRENDRE",IF(H222&lt;&gt;"OUI","⚠ ENROBÉ AVANT ACCEPTATION RT","ENROBÉ"))))</f>
        <v>NON SOUDÉ</v>
      </c>
      <c r="O222" s="79"/>
    </row>
    <row r="223" customFormat="false" ht="15" hidden="false" customHeight="false" outlineLevel="0" collapsed="false">
      <c r="A223" s="78" t="n">
        <f aca="false">IF('CARNET DE SOUDURE'!E223="","",'CARNET DE SOUDURE'!A223)</f>
        <v>217</v>
      </c>
      <c r="B223" s="93" t="str">
        <f aca="false">IF('CARNET DE SOUDURE'!E223="","",'CARNET DE SOUDURE'!B223&amp;"")</f>
        <v>ISB-302</v>
      </c>
      <c r="C223" s="83" t="str">
        <f aca="false">IF('CARNET DE SOUDURE'!E223="","",'CARNET DE SOUDURE'!E223)</f>
        <v>JN°012</v>
      </c>
      <c r="D223" s="78" t="str">
        <f aca="false">IF('CARNET DE SOUDURE'!E223="","",'CARNET DE SOUDURE'!D223&amp;"")</f>
        <v/>
      </c>
      <c r="E223" s="96" t="str">
        <f aca="false">IF(OR('CARNET DE SOUDURE'!E223="",'CARNET DE SOUDURE'!R223=""),"",'CARNET DE SOUDURE'!R223)</f>
        <v/>
      </c>
      <c r="F223" s="81" t="str">
        <f aca="false">IF('CARNET DE SOUDURE'!E223="","",'CARNET DE SOUDURE'!AL223)</f>
        <v/>
      </c>
      <c r="G223" s="81" t="str">
        <f aca="false">IF('CARNET DE SOUDURE'!E223="","",'CARNET DE SOUDURE'!AM223)</f>
        <v>À SOUDER</v>
      </c>
      <c r="H223" s="81" t="str">
        <f aca="false">IF(C223="","",IF(G223="ACCEPTÉ","OUI","NON"))</f>
        <v>NON</v>
      </c>
      <c r="I223" s="82"/>
      <c r="J223" s="79"/>
      <c r="K223" s="80"/>
      <c r="L223" s="80"/>
      <c r="M223" s="80"/>
      <c r="N223" s="83" t="str">
        <f aca="false">IF(C223="","",IF(I223="",IF(H223="OUI","À ENROBER",IF(G223="À SOUDER","NON SOUDÉ","EN ATTENTE RT")),IF(L223="R","À REPRENDRE",IF(H223&lt;&gt;"OUI","⚠ ENROBÉ AVANT ACCEPTATION RT","ENROBÉ"))))</f>
        <v>NON SOUDÉ</v>
      </c>
      <c r="O223" s="79"/>
    </row>
    <row r="224" customFormat="false" ht="15" hidden="false" customHeight="false" outlineLevel="0" collapsed="false">
      <c r="A224" s="78" t="n">
        <f aca="false">IF('CARNET DE SOUDURE'!E224="","",'CARNET DE SOUDURE'!A224)</f>
        <v>218</v>
      </c>
      <c r="B224" s="93" t="str">
        <f aca="false">IF('CARNET DE SOUDURE'!E224="","",'CARNET DE SOUDURE'!B224&amp;"")</f>
        <v>ISB-302</v>
      </c>
      <c r="C224" s="83" t="str">
        <f aca="false">IF('CARNET DE SOUDURE'!E224="","",'CARNET DE SOUDURE'!E224)</f>
        <v>JN°013</v>
      </c>
      <c r="D224" s="78" t="str">
        <f aca="false">IF('CARNET DE SOUDURE'!E224="","",'CARNET DE SOUDURE'!D224&amp;"")</f>
        <v/>
      </c>
      <c r="E224" s="96" t="str">
        <f aca="false">IF(OR('CARNET DE SOUDURE'!E224="",'CARNET DE SOUDURE'!R224=""),"",'CARNET DE SOUDURE'!R224)</f>
        <v/>
      </c>
      <c r="F224" s="81" t="str">
        <f aca="false">IF('CARNET DE SOUDURE'!E224="","",'CARNET DE SOUDURE'!AL224)</f>
        <v/>
      </c>
      <c r="G224" s="81" t="str">
        <f aca="false">IF('CARNET DE SOUDURE'!E224="","",'CARNET DE SOUDURE'!AM224)</f>
        <v>À SOUDER</v>
      </c>
      <c r="H224" s="81" t="str">
        <f aca="false">IF(C224="","",IF(G224="ACCEPTÉ","OUI","NON"))</f>
        <v>NON</v>
      </c>
      <c r="I224" s="82"/>
      <c r="J224" s="79"/>
      <c r="K224" s="80"/>
      <c r="L224" s="80"/>
      <c r="M224" s="80"/>
      <c r="N224" s="83" t="str">
        <f aca="false">IF(C224="","",IF(I224="",IF(H224="OUI","À ENROBER",IF(G224="À SOUDER","NON SOUDÉ","EN ATTENTE RT")),IF(L224="R","À REPRENDRE",IF(H224&lt;&gt;"OUI","⚠ ENROBÉ AVANT ACCEPTATION RT","ENROBÉ"))))</f>
        <v>NON SOUDÉ</v>
      </c>
      <c r="O224" s="79"/>
    </row>
    <row r="225" customFormat="false" ht="15" hidden="false" customHeight="false" outlineLevel="0" collapsed="false">
      <c r="A225" s="78" t="n">
        <f aca="false">IF('CARNET DE SOUDURE'!E225="","",'CARNET DE SOUDURE'!A225)</f>
        <v>219</v>
      </c>
      <c r="B225" s="93" t="str">
        <f aca="false">IF('CARNET DE SOUDURE'!E225="","",'CARNET DE SOUDURE'!B225&amp;"")</f>
        <v>ISB-302</v>
      </c>
      <c r="C225" s="83" t="str">
        <f aca="false">IF('CARNET DE SOUDURE'!E225="","",'CARNET DE SOUDURE'!E225)</f>
        <v>JN°014</v>
      </c>
      <c r="D225" s="78" t="str">
        <f aca="false">IF('CARNET DE SOUDURE'!E225="","",'CARNET DE SOUDURE'!D225&amp;"")</f>
        <v/>
      </c>
      <c r="E225" s="96" t="str">
        <f aca="false">IF(OR('CARNET DE SOUDURE'!E225="",'CARNET DE SOUDURE'!R225=""),"",'CARNET DE SOUDURE'!R225)</f>
        <v/>
      </c>
      <c r="F225" s="81" t="str">
        <f aca="false">IF('CARNET DE SOUDURE'!E225="","",'CARNET DE SOUDURE'!AL225)</f>
        <v/>
      </c>
      <c r="G225" s="81" t="str">
        <f aca="false">IF('CARNET DE SOUDURE'!E225="","",'CARNET DE SOUDURE'!AM225)</f>
        <v>À SOUDER</v>
      </c>
      <c r="H225" s="81" t="str">
        <f aca="false">IF(C225="","",IF(G225="ACCEPTÉ","OUI","NON"))</f>
        <v>NON</v>
      </c>
      <c r="I225" s="82"/>
      <c r="J225" s="79"/>
      <c r="K225" s="80"/>
      <c r="L225" s="80"/>
      <c r="M225" s="80"/>
      <c r="N225" s="83" t="str">
        <f aca="false">IF(C225="","",IF(I225="",IF(H225="OUI","À ENROBER",IF(G225="À SOUDER","NON SOUDÉ","EN ATTENTE RT")),IF(L225="R","À REPRENDRE",IF(H225&lt;&gt;"OUI","⚠ ENROBÉ AVANT ACCEPTATION RT","ENROBÉ"))))</f>
        <v>NON SOUDÉ</v>
      </c>
      <c r="O225" s="79"/>
    </row>
    <row r="226" customFormat="false" ht="15" hidden="false" customHeight="false" outlineLevel="0" collapsed="false">
      <c r="A226" s="78" t="n">
        <f aca="false">IF('CARNET DE SOUDURE'!E226="","",'CARNET DE SOUDURE'!A226)</f>
        <v>220</v>
      </c>
      <c r="B226" s="93" t="str">
        <f aca="false">IF('CARNET DE SOUDURE'!E226="","",'CARNET DE SOUDURE'!B226&amp;"")</f>
        <v>ISB-302</v>
      </c>
      <c r="C226" s="83" t="str">
        <f aca="false">IF('CARNET DE SOUDURE'!E226="","",'CARNET DE SOUDURE'!E226)</f>
        <v>JN°015</v>
      </c>
      <c r="D226" s="78" t="str">
        <f aca="false">IF('CARNET DE SOUDURE'!E226="","",'CARNET DE SOUDURE'!D226&amp;"")</f>
        <v/>
      </c>
      <c r="E226" s="96" t="str">
        <f aca="false">IF(OR('CARNET DE SOUDURE'!E226="",'CARNET DE SOUDURE'!R226=""),"",'CARNET DE SOUDURE'!R226)</f>
        <v/>
      </c>
      <c r="F226" s="81" t="str">
        <f aca="false">IF('CARNET DE SOUDURE'!E226="","",'CARNET DE SOUDURE'!AL226)</f>
        <v/>
      </c>
      <c r="G226" s="81" t="str">
        <f aca="false">IF('CARNET DE SOUDURE'!E226="","",'CARNET DE SOUDURE'!AM226)</f>
        <v>À SOUDER</v>
      </c>
      <c r="H226" s="81" t="str">
        <f aca="false">IF(C226="","",IF(G226="ACCEPTÉ","OUI","NON"))</f>
        <v>NON</v>
      </c>
      <c r="I226" s="82"/>
      <c r="J226" s="79"/>
      <c r="K226" s="80"/>
      <c r="L226" s="80"/>
      <c r="M226" s="80"/>
      <c r="N226" s="83" t="str">
        <f aca="false">IF(C226="","",IF(I226="",IF(H226="OUI","À ENROBER",IF(G226="À SOUDER","NON SOUDÉ","EN ATTENTE RT")),IF(L226="R","À REPRENDRE",IF(H226&lt;&gt;"OUI","⚠ ENROBÉ AVANT ACCEPTATION RT","ENROBÉ"))))</f>
        <v>NON SOUDÉ</v>
      </c>
      <c r="O226" s="79"/>
    </row>
    <row r="227" customFormat="false" ht="15" hidden="false" customHeight="false" outlineLevel="0" collapsed="false">
      <c r="A227" s="78" t="n">
        <f aca="false">IF('CARNET DE SOUDURE'!E227="","",'CARNET DE SOUDURE'!A227)</f>
        <v>221</v>
      </c>
      <c r="B227" s="93" t="str">
        <f aca="false">IF('CARNET DE SOUDURE'!E227="","",'CARNET DE SOUDURE'!B227&amp;"")</f>
        <v>ISB-302</v>
      </c>
      <c r="C227" s="83" t="str">
        <f aca="false">IF('CARNET DE SOUDURE'!E227="","",'CARNET DE SOUDURE'!E227)</f>
        <v>JN°016</v>
      </c>
      <c r="D227" s="78" t="str">
        <f aca="false">IF('CARNET DE SOUDURE'!E227="","",'CARNET DE SOUDURE'!D227&amp;"")</f>
        <v/>
      </c>
      <c r="E227" s="96" t="str">
        <f aca="false">IF(OR('CARNET DE SOUDURE'!E227="",'CARNET DE SOUDURE'!R227=""),"",'CARNET DE SOUDURE'!R227)</f>
        <v/>
      </c>
      <c r="F227" s="81" t="str">
        <f aca="false">IF('CARNET DE SOUDURE'!E227="","",'CARNET DE SOUDURE'!AL227)</f>
        <v/>
      </c>
      <c r="G227" s="81" t="str">
        <f aca="false">IF('CARNET DE SOUDURE'!E227="","",'CARNET DE SOUDURE'!AM227)</f>
        <v>À SOUDER</v>
      </c>
      <c r="H227" s="81" t="str">
        <f aca="false">IF(C227="","",IF(G227="ACCEPTÉ","OUI","NON"))</f>
        <v>NON</v>
      </c>
      <c r="I227" s="82"/>
      <c r="J227" s="79"/>
      <c r="K227" s="80"/>
      <c r="L227" s="80"/>
      <c r="M227" s="80"/>
      <c r="N227" s="83" t="str">
        <f aca="false">IF(C227="","",IF(I227="",IF(H227="OUI","À ENROBER",IF(G227="À SOUDER","NON SOUDÉ","EN ATTENTE RT")),IF(L227="R","À REPRENDRE",IF(H227&lt;&gt;"OUI","⚠ ENROBÉ AVANT ACCEPTATION RT","ENROBÉ"))))</f>
        <v>NON SOUDÉ</v>
      </c>
      <c r="O227" s="79"/>
    </row>
    <row r="228" customFormat="false" ht="15" hidden="false" customHeight="false" outlineLevel="0" collapsed="false">
      <c r="A228" s="78" t="n">
        <f aca="false">IF('CARNET DE SOUDURE'!E228="","",'CARNET DE SOUDURE'!A228)</f>
        <v>222</v>
      </c>
      <c r="B228" s="93" t="str">
        <f aca="false">IF('CARNET DE SOUDURE'!E228="","",'CARNET DE SOUDURE'!B228&amp;"")</f>
        <v>ISB-302</v>
      </c>
      <c r="C228" s="83" t="str">
        <f aca="false">IF('CARNET DE SOUDURE'!E228="","",'CARNET DE SOUDURE'!E228)</f>
        <v>JN°017</v>
      </c>
      <c r="D228" s="78" t="str">
        <f aca="false">IF('CARNET DE SOUDURE'!E228="","",'CARNET DE SOUDURE'!D228&amp;"")</f>
        <v/>
      </c>
      <c r="E228" s="96" t="str">
        <f aca="false">IF(OR('CARNET DE SOUDURE'!E228="",'CARNET DE SOUDURE'!R228=""),"",'CARNET DE SOUDURE'!R228)</f>
        <v/>
      </c>
      <c r="F228" s="81" t="str">
        <f aca="false">IF('CARNET DE SOUDURE'!E228="","",'CARNET DE SOUDURE'!AL228)</f>
        <v/>
      </c>
      <c r="G228" s="81" t="str">
        <f aca="false">IF('CARNET DE SOUDURE'!E228="","",'CARNET DE SOUDURE'!AM228)</f>
        <v>À SOUDER</v>
      </c>
      <c r="H228" s="81" t="str">
        <f aca="false">IF(C228="","",IF(G228="ACCEPTÉ","OUI","NON"))</f>
        <v>NON</v>
      </c>
      <c r="I228" s="82"/>
      <c r="J228" s="79"/>
      <c r="K228" s="80"/>
      <c r="L228" s="80"/>
      <c r="M228" s="80"/>
      <c r="N228" s="83" t="str">
        <f aca="false">IF(C228="","",IF(I228="",IF(H228="OUI","À ENROBER",IF(G228="À SOUDER","NON SOUDÉ","EN ATTENTE RT")),IF(L228="R","À REPRENDRE",IF(H228&lt;&gt;"OUI","⚠ ENROBÉ AVANT ACCEPTATION RT","ENROBÉ"))))</f>
        <v>NON SOUDÉ</v>
      </c>
      <c r="O228" s="79"/>
    </row>
    <row r="229" customFormat="false" ht="15" hidden="false" customHeight="false" outlineLevel="0" collapsed="false">
      <c r="A229" s="78" t="n">
        <f aca="false">IF('CARNET DE SOUDURE'!E229="","",'CARNET DE SOUDURE'!A229)</f>
        <v>223</v>
      </c>
      <c r="B229" s="93" t="str">
        <f aca="false">IF('CARNET DE SOUDURE'!E229="","",'CARNET DE SOUDURE'!B229&amp;"")</f>
        <v>ISB-302</v>
      </c>
      <c r="C229" s="83" t="str">
        <f aca="false">IF('CARNET DE SOUDURE'!E229="","",'CARNET DE SOUDURE'!E229)</f>
        <v>JN°018</v>
      </c>
      <c r="D229" s="78" t="str">
        <f aca="false">IF('CARNET DE SOUDURE'!E229="","",'CARNET DE SOUDURE'!D229&amp;"")</f>
        <v/>
      </c>
      <c r="E229" s="96" t="str">
        <f aca="false">IF(OR('CARNET DE SOUDURE'!E229="",'CARNET DE SOUDURE'!R229=""),"",'CARNET DE SOUDURE'!R229)</f>
        <v/>
      </c>
      <c r="F229" s="81" t="str">
        <f aca="false">IF('CARNET DE SOUDURE'!E229="","",'CARNET DE SOUDURE'!AL229)</f>
        <v/>
      </c>
      <c r="G229" s="81" t="str">
        <f aca="false">IF('CARNET DE SOUDURE'!E229="","",'CARNET DE SOUDURE'!AM229)</f>
        <v>À SOUDER</v>
      </c>
      <c r="H229" s="81" t="str">
        <f aca="false">IF(C229="","",IF(G229="ACCEPTÉ","OUI","NON"))</f>
        <v>NON</v>
      </c>
      <c r="I229" s="82"/>
      <c r="J229" s="79"/>
      <c r="K229" s="80"/>
      <c r="L229" s="80"/>
      <c r="M229" s="80"/>
      <c r="N229" s="83" t="str">
        <f aca="false">IF(C229="","",IF(I229="",IF(H229="OUI","À ENROBER",IF(G229="À SOUDER","NON SOUDÉ","EN ATTENTE RT")),IF(L229="R","À REPRENDRE",IF(H229&lt;&gt;"OUI","⚠ ENROBÉ AVANT ACCEPTATION RT","ENROBÉ"))))</f>
        <v>NON SOUDÉ</v>
      </c>
      <c r="O229" s="79"/>
    </row>
    <row r="230" customFormat="false" ht="15" hidden="false" customHeight="false" outlineLevel="0" collapsed="false">
      <c r="A230" s="78" t="n">
        <f aca="false">IF('CARNET DE SOUDURE'!E230="","",'CARNET DE SOUDURE'!A230)</f>
        <v>224</v>
      </c>
      <c r="B230" s="93" t="str">
        <f aca="false">IF('CARNET DE SOUDURE'!E230="","",'CARNET DE SOUDURE'!B230&amp;"")</f>
        <v>ISB-302</v>
      </c>
      <c r="C230" s="83" t="str">
        <f aca="false">IF('CARNET DE SOUDURE'!E230="","",'CARNET DE SOUDURE'!E230)</f>
        <v>JN°019</v>
      </c>
      <c r="D230" s="78" t="str">
        <f aca="false">IF('CARNET DE SOUDURE'!E230="","",'CARNET DE SOUDURE'!D230&amp;"")</f>
        <v/>
      </c>
      <c r="E230" s="96" t="str">
        <f aca="false">IF(OR('CARNET DE SOUDURE'!E230="",'CARNET DE SOUDURE'!R230=""),"",'CARNET DE SOUDURE'!R230)</f>
        <v/>
      </c>
      <c r="F230" s="81" t="str">
        <f aca="false">IF('CARNET DE SOUDURE'!E230="","",'CARNET DE SOUDURE'!AL230)</f>
        <v/>
      </c>
      <c r="G230" s="81" t="str">
        <f aca="false">IF('CARNET DE SOUDURE'!E230="","",'CARNET DE SOUDURE'!AM230)</f>
        <v>À SOUDER</v>
      </c>
      <c r="H230" s="81" t="str">
        <f aca="false">IF(C230="","",IF(G230="ACCEPTÉ","OUI","NON"))</f>
        <v>NON</v>
      </c>
      <c r="I230" s="82"/>
      <c r="J230" s="79"/>
      <c r="K230" s="80"/>
      <c r="L230" s="80"/>
      <c r="M230" s="80"/>
      <c r="N230" s="83" t="str">
        <f aca="false">IF(C230="","",IF(I230="",IF(H230="OUI","À ENROBER",IF(G230="À SOUDER","NON SOUDÉ","EN ATTENTE RT")),IF(L230="R","À REPRENDRE",IF(H230&lt;&gt;"OUI","⚠ ENROBÉ AVANT ACCEPTATION RT","ENROBÉ"))))</f>
        <v>NON SOUDÉ</v>
      </c>
      <c r="O230" s="79"/>
    </row>
    <row r="231" customFormat="false" ht="15" hidden="false" customHeight="false" outlineLevel="0" collapsed="false">
      <c r="A231" s="78" t="n">
        <f aca="false">IF('CARNET DE SOUDURE'!E231="","",'CARNET DE SOUDURE'!A231)</f>
        <v>225</v>
      </c>
      <c r="B231" s="93" t="str">
        <f aca="false">IF('CARNET DE SOUDURE'!E231="","",'CARNET DE SOUDURE'!B231&amp;"")</f>
        <v>ISB-302</v>
      </c>
      <c r="C231" s="83" t="str">
        <f aca="false">IF('CARNET DE SOUDURE'!E231="","",'CARNET DE SOUDURE'!E231)</f>
        <v>JN°020</v>
      </c>
      <c r="D231" s="78" t="str">
        <f aca="false">IF('CARNET DE SOUDURE'!E231="","",'CARNET DE SOUDURE'!D231&amp;"")</f>
        <v/>
      </c>
      <c r="E231" s="96" t="str">
        <f aca="false">IF(OR('CARNET DE SOUDURE'!E231="",'CARNET DE SOUDURE'!R231=""),"",'CARNET DE SOUDURE'!R231)</f>
        <v/>
      </c>
      <c r="F231" s="81" t="str">
        <f aca="false">IF('CARNET DE SOUDURE'!E231="","",'CARNET DE SOUDURE'!AL231)</f>
        <v/>
      </c>
      <c r="G231" s="81" t="str">
        <f aca="false">IF('CARNET DE SOUDURE'!E231="","",'CARNET DE SOUDURE'!AM231)</f>
        <v>À SOUDER</v>
      </c>
      <c r="H231" s="81" t="str">
        <f aca="false">IF(C231="","",IF(G231="ACCEPTÉ","OUI","NON"))</f>
        <v>NON</v>
      </c>
      <c r="I231" s="82"/>
      <c r="J231" s="79"/>
      <c r="K231" s="80"/>
      <c r="L231" s="80"/>
      <c r="M231" s="80"/>
      <c r="N231" s="83" t="str">
        <f aca="false">IF(C231="","",IF(I231="",IF(H231="OUI","À ENROBER",IF(G231="À SOUDER","NON SOUDÉ","EN ATTENTE RT")),IF(L231="R","À REPRENDRE",IF(H231&lt;&gt;"OUI","⚠ ENROBÉ AVANT ACCEPTATION RT","ENROBÉ"))))</f>
        <v>NON SOUDÉ</v>
      </c>
      <c r="O231" s="79"/>
    </row>
    <row r="232" customFormat="false" ht="15" hidden="false" customHeight="false" outlineLevel="0" collapsed="false">
      <c r="A232" s="78" t="n">
        <f aca="false">IF('CARNET DE SOUDURE'!E232="","",'CARNET DE SOUDURE'!A232)</f>
        <v>226</v>
      </c>
      <c r="B232" s="93" t="str">
        <f aca="false">IF('CARNET DE SOUDURE'!E232="","",'CARNET DE SOUDURE'!B232&amp;"")</f>
        <v>ISB-302</v>
      </c>
      <c r="C232" s="83" t="str">
        <f aca="false">IF('CARNET DE SOUDURE'!E232="","",'CARNET DE SOUDURE'!E232)</f>
        <v>JN°021</v>
      </c>
      <c r="D232" s="78" t="str">
        <f aca="false">IF('CARNET DE SOUDURE'!E232="","",'CARNET DE SOUDURE'!D232&amp;"")</f>
        <v/>
      </c>
      <c r="E232" s="96" t="str">
        <f aca="false">IF(OR('CARNET DE SOUDURE'!E232="",'CARNET DE SOUDURE'!R232=""),"",'CARNET DE SOUDURE'!R232)</f>
        <v/>
      </c>
      <c r="F232" s="81" t="str">
        <f aca="false">IF('CARNET DE SOUDURE'!E232="","",'CARNET DE SOUDURE'!AL232)</f>
        <v/>
      </c>
      <c r="G232" s="81" t="str">
        <f aca="false">IF('CARNET DE SOUDURE'!E232="","",'CARNET DE SOUDURE'!AM232)</f>
        <v>À SOUDER</v>
      </c>
      <c r="H232" s="81" t="str">
        <f aca="false">IF(C232="","",IF(G232="ACCEPTÉ","OUI","NON"))</f>
        <v>NON</v>
      </c>
      <c r="I232" s="82"/>
      <c r="J232" s="79"/>
      <c r="K232" s="80"/>
      <c r="L232" s="80"/>
      <c r="M232" s="80"/>
      <c r="N232" s="83" t="str">
        <f aca="false">IF(C232="","",IF(I232="",IF(H232="OUI","À ENROBER",IF(G232="À SOUDER","NON SOUDÉ","EN ATTENTE RT")),IF(L232="R","À REPRENDRE",IF(H232&lt;&gt;"OUI","⚠ ENROBÉ AVANT ACCEPTATION RT","ENROBÉ"))))</f>
        <v>NON SOUDÉ</v>
      </c>
      <c r="O232" s="79"/>
    </row>
    <row r="233" customFormat="false" ht="15" hidden="false" customHeight="false" outlineLevel="0" collapsed="false">
      <c r="A233" s="78" t="n">
        <f aca="false">IF('CARNET DE SOUDURE'!E233="","",'CARNET DE SOUDURE'!A233)</f>
        <v>227</v>
      </c>
      <c r="B233" s="93" t="str">
        <f aca="false">IF('CARNET DE SOUDURE'!E233="","",'CARNET DE SOUDURE'!B233&amp;"")</f>
        <v>ISB-302</v>
      </c>
      <c r="C233" s="83" t="str">
        <f aca="false">IF('CARNET DE SOUDURE'!E233="","",'CARNET DE SOUDURE'!E233)</f>
        <v>JN°022</v>
      </c>
      <c r="D233" s="78" t="str">
        <f aca="false">IF('CARNET DE SOUDURE'!E233="","",'CARNET DE SOUDURE'!D233&amp;"")</f>
        <v/>
      </c>
      <c r="E233" s="96" t="str">
        <f aca="false">IF(OR('CARNET DE SOUDURE'!E233="",'CARNET DE SOUDURE'!R233=""),"",'CARNET DE SOUDURE'!R233)</f>
        <v/>
      </c>
      <c r="F233" s="81" t="str">
        <f aca="false">IF('CARNET DE SOUDURE'!E233="","",'CARNET DE SOUDURE'!AL233)</f>
        <v/>
      </c>
      <c r="G233" s="81" t="str">
        <f aca="false">IF('CARNET DE SOUDURE'!E233="","",'CARNET DE SOUDURE'!AM233)</f>
        <v>À SOUDER</v>
      </c>
      <c r="H233" s="81" t="str">
        <f aca="false">IF(C233="","",IF(G233="ACCEPTÉ","OUI","NON"))</f>
        <v>NON</v>
      </c>
      <c r="I233" s="82"/>
      <c r="J233" s="79"/>
      <c r="K233" s="80"/>
      <c r="L233" s="80"/>
      <c r="M233" s="80"/>
      <c r="N233" s="83" t="str">
        <f aca="false">IF(C233="","",IF(I233="",IF(H233="OUI","À ENROBER",IF(G233="À SOUDER","NON SOUDÉ","EN ATTENTE RT")),IF(L233="R","À REPRENDRE",IF(H233&lt;&gt;"OUI","⚠ ENROBÉ AVANT ACCEPTATION RT","ENROBÉ"))))</f>
        <v>NON SOUDÉ</v>
      </c>
      <c r="O233" s="79"/>
    </row>
    <row r="234" customFormat="false" ht="15" hidden="false" customHeight="false" outlineLevel="0" collapsed="false">
      <c r="A234" s="78" t="n">
        <f aca="false">IF('CARNET DE SOUDURE'!E234="","",'CARNET DE SOUDURE'!A234)</f>
        <v>228</v>
      </c>
      <c r="B234" s="93" t="str">
        <f aca="false">IF('CARNET DE SOUDURE'!E234="","",'CARNET DE SOUDURE'!B234&amp;"")</f>
        <v>ISB-302</v>
      </c>
      <c r="C234" s="83" t="str">
        <f aca="false">IF('CARNET DE SOUDURE'!E234="","",'CARNET DE SOUDURE'!E234)</f>
        <v>JN°023</v>
      </c>
      <c r="D234" s="78" t="str">
        <f aca="false">IF('CARNET DE SOUDURE'!E234="","",'CARNET DE SOUDURE'!D234&amp;"")</f>
        <v/>
      </c>
      <c r="E234" s="96" t="str">
        <f aca="false">IF(OR('CARNET DE SOUDURE'!E234="",'CARNET DE SOUDURE'!R234=""),"",'CARNET DE SOUDURE'!R234)</f>
        <v/>
      </c>
      <c r="F234" s="81" t="str">
        <f aca="false">IF('CARNET DE SOUDURE'!E234="","",'CARNET DE SOUDURE'!AL234)</f>
        <v/>
      </c>
      <c r="G234" s="81" t="str">
        <f aca="false">IF('CARNET DE SOUDURE'!E234="","",'CARNET DE SOUDURE'!AM234)</f>
        <v>À SOUDER</v>
      </c>
      <c r="H234" s="81" t="str">
        <f aca="false">IF(C234="","",IF(G234="ACCEPTÉ","OUI","NON"))</f>
        <v>NON</v>
      </c>
      <c r="I234" s="82"/>
      <c r="J234" s="79"/>
      <c r="K234" s="80"/>
      <c r="L234" s="80"/>
      <c r="M234" s="80"/>
      <c r="N234" s="83" t="str">
        <f aca="false">IF(C234="","",IF(I234="",IF(H234="OUI","À ENROBER",IF(G234="À SOUDER","NON SOUDÉ","EN ATTENTE RT")),IF(L234="R","À REPRENDRE",IF(H234&lt;&gt;"OUI","⚠ ENROBÉ AVANT ACCEPTATION RT","ENROBÉ"))))</f>
        <v>NON SOUDÉ</v>
      </c>
      <c r="O234" s="79"/>
    </row>
    <row r="235" customFormat="false" ht="15" hidden="false" customHeight="false" outlineLevel="0" collapsed="false">
      <c r="A235" s="78" t="n">
        <f aca="false">IF('CARNET DE SOUDURE'!E235="","",'CARNET DE SOUDURE'!A235)</f>
        <v>229</v>
      </c>
      <c r="B235" s="93" t="str">
        <f aca="false">IF('CARNET DE SOUDURE'!E235="","",'CARNET DE SOUDURE'!B235&amp;"")</f>
        <v>ISB-302</v>
      </c>
      <c r="C235" s="83" t="str">
        <f aca="false">IF('CARNET DE SOUDURE'!E235="","",'CARNET DE SOUDURE'!E235)</f>
        <v>JN°024</v>
      </c>
      <c r="D235" s="78" t="str">
        <f aca="false">IF('CARNET DE SOUDURE'!E235="","",'CARNET DE SOUDURE'!D235&amp;"")</f>
        <v/>
      </c>
      <c r="E235" s="96" t="str">
        <f aca="false">IF(OR('CARNET DE SOUDURE'!E235="",'CARNET DE SOUDURE'!R235=""),"",'CARNET DE SOUDURE'!R235)</f>
        <v/>
      </c>
      <c r="F235" s="81" t="str">
        <f aca="false">IF('CARNET DE SOUDURE'!E235="","",'CARNET DE SOUDURE'!AL235)</f>
        <v/>
      </c>
      <c r="G235" s="81" t="str">
        <f aca="false">IF('CARNET DE SOUDURE'!E235="","",'CARNET DE SOUDURE'!AM235)</f>
        <v>À SOUDER</v>
      </c>
      <c r="H235" s="81" t="str">
        <f aca="false">IF(C235="","",IF(G235="ACCEPTÉ","OUI","NON"))</f>
        <v>NON</v>
      </c>
      <c r="I235" s="82"/>
      <c r="J235" s="79"/>
      <c r="K235" s="80"/>
      <c r="L235" s="80"/>
      <c r="M235" s="80"/>
      <c r="N235" s="83" t="str">
        <f aca="false">IF(C235="","",IF(I235="",IF(H235="OUI","À ENROBER",IF(G235="À SOUDER","NON SOUDÉ","EN ATTENTE RT")),IF(L235="R","À REPRENDRE",IF(H235&lt;&gt;"OUI","⚠ ENROBÉ AVANT ACCEPTATION RT","ENROBÉ"))))</f>
        <v>NON SOUDÉ</v>
      </c>
      <c r="O235" s="79"/>
    </row>
    <row r="236" customFormat="false" ht="15" hidden="false" customHeight="false" outlineLevel="0" collapsed="false">
      <c r="A236" s="78" t="n">
        <f aca="false">IF('CARNET DE SOUDURE'!E236="","",'CARNET DE SOUDURE'!A236)</f>
        <v>230</v>
      </c>
      <c r="B236" s="93" t="str">
        <f aca="false">IF('CARNET DE SOUDURE'!E236="","",'CARNET DE SOUDURE'!B236&amp;"")</f>
        <v>ISB-302</v>
      </c>
      <c r="C236" s="83" t="str">
        <f aca="false">IF('CARNET DE SOUDURE'!E236="","",'CARNET DE SOUDURE'!E236)</f>
        <v>JN°025</v>
      </c>
      <c r="D236" s="78" t="str">
        <f aca="false">IF('CARNET DE SOUDURE'!E236="","",'CARNET DE SOUDURE'!D236&amp;"")</f>
        <v/>
      </c>
      <c r="E236" s="96" t="str">
        <f aca="false">IF(OR('CARNET DE SOUDURE'!E236="",'CARNET DE SOUDURE'!R236=""),"",'CARNET DE SOUDURE'!R236)</f>
        <v/>
      </c>
      <c r="F236" s="81" t="str">
        <f aca="false">IF('CARNET DE SOUDURE'!E236="","",'CARNET DE SOUDURE'!AL236)</f>
        <v/>
      </c>
      <c r="G236" s="81" t="str">
        <f aca="false">IF('CARNET DE SOUDURE'!E236="","",'CARNET DE SOUDURE'!AM236)</f>
        <v>À SOUDER</v>
      </c>
      <c r="H236" s="81" t="str">
        <f aca="false">IF(C236="","",IF(G236="ACCEPTÉ","OUI","NON"))</f>
        <v>NON</v>
      </c>
      <c r="I236" s="82"/>
      <c r="J236" s="79"/>
      <c r="K236" s="80"/>
      <c r="L236" s="80"/>
      <c r="M236" s="80"/>
      <c r="N236" s="83" t="str">
        <f aca="false">IF(C236="","",IF(I236="",IF(H236="OUI","À ENROBER",IF(G236="À SOUDER","NON SOUDÉ","EN ATTENTE RT")),IF(L236="R","À REPRENDRE",IF(H236&lt;&gt;"OUI","⚠ ENROBÉ AVANT ACCEPTATION RT","ENROBÉ"))))</f>
        <v>NON SOUDÉ</v>
      </c>
      <c r="O236" s="79"/>
    </row>
    <row r="237" customFormat="false" ht="15" hidden="false" customHeight="false" outlineLevel="0" collapsed="false">
      <c r="A237" s="78" t="n">
        <f aca="false">IF('CARNET DE SOUDURE'!E237="","",'CARNET DE SOUDURE'!A237)</f>
        <v>231</v>
      </c>
      <c r="B237" s="93" t="str">
        <f aca="false">IF('CARNET DE SOUDURE'!E237="","",'CARNET DE SOUDURE'!B237&amp;"")</f>
        <v>ISB-302</v>
      </c>
      <c r="C237" s="83" t="str">
        <f aca="false">IF('CARNET DE SOUDURE'!E237="","",'CARNET DE SOUDURE'!E237)</f>
        <v>JN°026</v>
      </c>
      <c r="D237" s="78" t="str">
        <f aca="false">IF('CARNET DE SOUDURE'!E237="","",'CARNET DE SOUDURE'!D237&amp;"")</f>
        <v/>
      </c>
      <c r="E237" s="96" t="str">
        <f aca="false">IF(OR('CARNET DE SOUDURE'!E237="",'CARNET DE SOUDURE'!R237=""),"",'CARNET DE SOUDURE'!R237)</f>
        <v/>
      </c>
      <c r="F237" s="81" t="str">
        <f aca="false">IF('CARNET DE SOUDURE'!E237="","",'CARNET DE SOUDURE'!AL237)</f>
        <v/>
      </c>
      <c r="G237" s="81" t="str">
        <f aca="false">IF('CARNET DE SOUDURE'!E237="","",'CARNET DE SOUDURE'!AM237)</f>
        <v>À SOUDER</v>
      </c>
      <c r="H237" s="81" t="str">
        <f aca="false">IF(C237="","",IF(G237="ACCEPTÉ","OUI","NON"))</f>
        <v>NON</v>
      </c>
      <c r="I237" s="82"/>
      <c r="J237" s="79"/>
      <c r="K237" s="80"/>
      <c r="L237" s="80"/>
      <c r="M237" s="80"/>
      <c r="N237" s="83" t="str">
        <f aca="false">IF(C237="","",IF(I237="",IF(H237="OUI","À ENROBER",IF(G237="À SOUDER","NON SOUDÉ","EN ATTENTE RT")),IF(L237="R","À REPRENDRE",IF(H237&lt;&gt;"OUI","⚠ ENROBÉ AVANT ACCEPTATION RT","ENROBÉ"))))</f>
        <v>NON SOUDÉ</v>
      </c>
      <c r="O237" s="79"/>
    </row>
    <row r="238" customFormat="false" ht="15" hidden="false" customHeight="false" outlineLevel="0" collapsed="false">
      <c r="A238" s="78" t="n">
        <f aca="false">IF('CARNET DE SOUDURE'!E238="","",'CARNET DE SOUDURE'!A238)</f>
        <v>232</v>
      </c>
      <c r="B238" s="93" t="str">
        <f aca="false">IF('CARNET DE SOUDURE'!E238="","",'CARNET DE SOUDURE'!B238&amp;"")</f>
        <v>ISB-302</v>
      </c>
      <c r="C238" s="83" t="str">
        <f aca="false">IF('CARNET DE SOUDURE'!E238="","",'CARNET DE SOUDURE'!E238)</f>
        <v>JN°027</v>
      </c>
      <c r="D238" s="78" t="str">
        <f aca="false">IF('CARNET DE SOUDURE'!E238="","",'CARNET DE SOUDURE'!D238&amp;"")</f>
        <v/>
      </c>
      <c r="E238" s="96" t="str">
        <f aca="false">IF(OR('CARNET DE SOUDURE'!E238="",'CARNET DE SOUDURE'!R238=""),"",'CARNET DE SOUDURE'!R238)</f>
        <v/>
      </c>
      <c r="F238" s="81" t="str">
        <f aca="false">IF('CARNET DE SOUDURE'!E238="","",'CARNET DE SOUDURE'!AL238)</f>
        <v/>
      </c>
      <c r="G238" s="81" t="str">
        <f aca="false">IF('CARNET DE SOUDURE'!E238="","",'CARNET DE SOUDURE'!AM238)</f>
        <v>À SOUDER</v>
      </c>
      <c r="H238" s="81" t="str">
        <f aca="false">IF(C238="","",IF(G238="ACCEPTÉ","OUI","NON"))</f>
        <v>NON</v>
      </c>
      <c r="I238" s="82"/>
      <c r="J238" s="79"/>
      <c r="K238" s="80"/>
      <c r="L238" s="80"/>
      <c r="M238" s="80"/>
      <c r="N238" s="83" t="str">
        <f aca="false">IF(C238="","",IF(I238="",IF(H238="OUI","À ENROBER",IF(G238="À SOUDER","NON SOUDÉ","EN ATTENTE RT")),IF(L238="R","À REPRENDRE",IF(H238&lt;&gt;"OUI","⚠ ENROBÉ AVANT ACCEPTATION RT","ENROBÉ"))))</f>
        <v>NON SOUDÉ</v>
      </c>
      <c r="O238" s="79"/>
    </row>
    <row r="239" customFormat="false" ht="15" hidden="false" customHeight="false" outlineLevel="0" collapsed="false">
      <c r="A239" s="78" t="n">
        <f aca="false">IF('CARNET DE SOUDURE'!E239="","",'CARNET DE SOUDURE'!A239)</f>
        <v>233</v>
      </c>
      <c r="B239" s="93" t="str">
        <f aca="false">IF('CARNET DE SOUDURE'!E239="","",'CARNET DE SOUDURE'!B239&amp;"")</f>
        <v>ISB-302</v>
      </c>
      <c r="C239" s="83" t="str">
        <f aca="false">IF('CARNET DE SOUDURE'!E239="","",'CARNET DE SOUDURE'!E239)</f>
        <v>JN°028</v>
      </c>
      <c r="D239" s="78" t="str">
        <f aca="false">IF('CARNET DE SOUDURE'!E239="","",'CARNET DE SOUDURE'!D239&amp;"")</f>
        <v/>
      </c>
      <c r="E239" s="96" t="str">
        <f aca="false">IF(OR('CARNET DE SOUDURE'!E239="",'CARNET DE SOUDURE'!R239=""),"",'CARNET DE SOUDURE'!R239)</f>
        <v/>
      </c>
      <c r="F239" s="81" t="str">
        <f aca="false">IF('CARNET DE SOUDURE'!E239="","",'CARNET DE SOUDURE'!AL239)</f>
        <v/>
      </c>
      <c r="G239" s="81" t="str">
        <f aca="false">IF('CARNET DE SOUDURE'!E239="","",'CARNET DE SOUDURE'!AM239)</f>
        <v>À SOUDER</v>
      </c>
      <c r="H239" s="81" t="str">
        <f aca="false">IF(C239="","",IF(G239="ACCEPTÉ","OUI","NON"))</f>
        <v>NON</v>
      </c>
      <c r="I239" s="82"/>
      <c r="J239" s="79"/>
      <c r="K239" s="80"/>
      <c r="L239" s="80"/>
      <c r="M239" s="80"/>
      <c r="N239" s="83" t="str">
        <f aca="false">IF(C239="","",IF(I239="",IF(H239="OUI","À ENROBER",IF(G239="À SOUDER","NON SOUDÉ","EN ATTENTE RT")),IF(L239="R","À REPRENDRE",IF(H239&lt;&gt;"OUI","⚠ ENROBÉ AVANT ACCEPTATION RT","ENROBÉ"))))</f>
        <v>NON SOUDÉ</v>
      </c>
      <c r="O239" s="79"/>
    </row>
    <row r="240" customFormat="false" ht="15" hidden="false" customHeight="false" outlineLevel="0" collapsed="false">
      <c r="A240" s="78" t="n">
        <f aca="false">IF('CARNET DE SOUDURE'!E240="","",'CARNET DE SOUDURE'!A240)</f>
        <v>234</v>
      </c>
      <c r="B240" s="93" t="str">
        <f aca="false">IF('CARNET DE SOUDURE'!E240="","",'CARNET DE SOUDURE'!B240&amp;"")</f>
        <v>ISB-302</v>
      </c>
      <c r="C240" s="83" t="str">
        <f aca="false">IF('CARNET DE SOUDURE'!E240="","",'CARNET DE SOUDURE'!E240)</f>
        <v>JN°029</v>
      </c>
      <c r="D240" s="78" t="str">
        <f aca="false">IF('CARNET DE SOUDURE'!E240="","",'CARNET DE SOUDURE'!D240&amp;"")</f>
        <v/>
      </c>
      <c r="E240" s="96" t="str">
        <f aca="false">IF(OR('CARNET DE SOUDURE'!E240="",'CARNET DE SOUDURE'!R240=""),"",'CARNET DE SOUDURE'!R240)</f>
        <v/>
      </c>
      <c r="F240" s="81" t="str">
        <f aca="false">IF('CARNET DE SOUDURE'!E240="","",'CARNET DE SOUDURE'!AL240)</f>
        <v/>
      </c>
      <c r="G240" s="81" t="str">
        <f aca="false">IF('CARNET DE SOUDURE'!E240="","",'CARNET DE SOUDURE'!AM240)</f>
        <v>À SOUDER</v>
      </c>
      <c r="H240" s="81" t="str">
        <f aca="false">IF(C240="","",IF(G240="ACCEPTÉ","OUI","NON"))</f>
        <v>NON</v>
      </c>
      <c r="I240" s="82"/>
      <c r="J240" s="79"/>
      <c r="K240" s="80"/>
      <c r="L240" s="80"/>
      <c r="M240" s="80"/>
      <c r="N240" s="83" t="str">
        <f aca="false">IF(C240="","",IF(I240="",IF(H240="OUI","À ENROBER",IF(G240="À SOUDER","NON SOUDÉ","EN ATTENTE RT")),IF(L240="R","À REPRENDRE",IF(H240&lt;&gt;"OUI","⚠ ENROBÉ AVANT ACCEPTATION RT","ENROBÉ"))))</f>
        <v>NON SOUDÉ</v>
      </c>
      <c r="O240" s="79"/>
    </row>
    <row r="241" customFormat="false" ht="15" hidden="false" customHeight="false" outlineLevel="0" collapsed="false">
      <c r="A241" s="78" t="n">
        <f aca="false">IF('CARNET DE SOUDURE'!E241="","",'CARNET DE SOUDURE'!A241)</f>
        <v>235</v>
      </c>
      <c r="B241" s="93" t="str">
        <f aca="false">IF('CARNET DE SOUDURE'!E241="","",'CARNET DE SOUDURE'!B241&amp;"")</f>
        <v>ISB-302</v>
      </c>
      <c r="C241" s="83" t="str">
        <f aca="false">IF('CARNET DE SOUDURE'!E241="","",'CARNET DE SOUDURE'!E241)</f>
        <v>JN°030</v>
      </c>
      <c r="D241" s="78" t="str">
        <f aca="false">IF('CARNET DE SOUDURE'!E241="","",'CARNET DE SOUDURE'!D241&amp;"")</f>
        <v/>
      </c>
      <c r="E241" s="96" t="str">
        <f aca="false">IF(OR('CARNET DE SOUDURE'!E241="",'CARNET DE SOUDURE'!R241=""),"",'CARNET DE SOUDURE'!R241)</f>
        <v/>
      </c>
      <c r="F241" s="81" t="str">
        <f aca="false">IF('CARNET DE SOUDURE'!E241="","",'CARNET DE SOUDURE'!AL241)</f>
        <v/>
      </c>
      <c r="G241" s="81" t="str">
        <f aca="false">IF('CARNET DE SOUDURE'!E241="","",'CARNET DE SOUDURE'!AM241)</f>
        <v>À SOUDER</v>
      </c>
      <c r="H241" s="81" t="str">
        <f aca="false">IF(C241="","",IF(G241="ACCEPTÉ","OUI","NON"))</f>
        <v>NON</v>
      </c>
      <c r="I241" s="82"/>
      <c r="J241" s="79"/>
      <c r="K241" s="80"/>
      <c r="L241" s="80"/>
      <c r="M241" s="80"/>
      <c r="N241" s="83" t="str">
        <f aca="false">IF(C241="","",IF(I241="",IF(H241="OUI","À ENROBER",IF(G241="À SOUDER","NON SOUDÉ","EN ATTENTE RT")),IF(L241="R","À REPRENDRE",IF(H241&lt;&gt;"OUI","⚠ ENROBÉ AVANT ACCEPTATION RT","ENROBÉ"))))</f>
        <v>NON SOUDÉ</v>
      </c>
      <c r="O241" s="79"/>
    </row>
    <row r="242" customFormat="false" ht="15" hidden="false" customHeight="false" outlineLevel="0" collapsed="false">
      <c r="A242" s="78" t="n">
        <f aca="false">IF('CARNET DE SOUDURE'!E242="","",'CARNET DE SOUDURE'!A242)</f>
        <v>236</v>
      </c>
      <c r="B242" s="93" t="str">
        <f aca="false">IF('CARNET DE SOUDURE'!E242="","",'CARNET DE SOUDURE'!B242&amp;"")</f>
        <v>ISB-302</v>
      </c>
      <c r="C242" s="83" t="str">
        <f aca="false">IF('CARNET DE SOUDURE'!E242="","",'CARNET DE SOUDURE'!E242)</f>
        <v>JN°031</v>
      </c>
      <c r="D242" s="78" t="str">
        <f aca="false">IF('CARNET DE SOUDURE'!E242="","",'CARNET DE SOUDURE'!D242&amp;"")</f>
        <v/>
      </c>
      <c r="E242" s="96" t="str">
        <f aca="false">IF(OR('CARNET DE SOUDURE'!E242="",'CARNET DE SOUDURE'!R242=""),"",'CARNET DE SOUDURE'!R242)</f>
        <v/>
      </c>
      <c r="F242" s="81" t="str">
        <f aca="false">IF('CARNET DE SOUDURE'!E242="","",'CARNET DE SOUDURE'!AL242)</f>
        <v/>
      </c>
      <c r="G242" s="81" t="str">
        <f aca="false">IF('CARNET DE SOUDURE'!E242="","",'CARNET DE SOUDURE'!AM242)</f>
        <v>À SOUDER</v>
      </c>
      <c r="H242" s="81" t="str">
        <f aca="false">IF(C242="","",IF(G242="ACCEPTÉ","OUI","NON"))</f>
        <v>NON</v>
      </c>
      <c r="I242" s="82"/>
      <c r="J242" s="79"/>
      <c r="K242" s="80"/>
      <c r="L242" s="80"/>
      <c r="M242" s="80"/>
      <c r="N242" s="83" t="str">
        <f aca="false">IF(C242="","",IF(I242="",IF(H242="OUI","À ENROBER",IF(G242="À SOUDER","NON SOUDÉ","EN ATTENTE RT")),IF(L242="R","À REPRENDRE",IF(H242&lt;&gt;"OUI","⚠ ENROBÉ AVANT ACCEPTATION RT","ENROBÉ"))))</f>
        <v>NON SOUDÉ</v>
      </c>
      <c r="O242" s="79"/>
    </row>
    <row r="243" customFormat="false" ht="15" hidden="false" customHeight="false" outlineLevel="0" collapsed="false">
      <c r="A243" s="78" t="n">
        <f aca="false">IF('CARNET DE SOUDURE'!E243="","",'CARNET DE SOUDURE'!A243)</f>
        <v>237</v>
      </c>
      <c r="B243" s="93" t="str">
        <f aca="false">IF('CARNET DE SOUDURE'!E243="","",'CARNET DE SOUDURE'!B243&amp;"")</f>
        <v>ISB-302</v>
      </c>
      <c r="C243" s="83" t="str">
        <f aca="false">IF('CARNET DE SOUDURE'!E243="","",'CARNET DE SOUDURE'!E243)</f>
        <v>JN°032</v>
      </c>
      <c r="D243" s="78" t="str">
        <f aca="false">IF('CARNET DE SOUDURE'!E243="","",'CARNET DE SOUDURE'!D243&amp;"")</f>
        <v/>
      </c>
      <c r="E243" s="96" t="str">
        <f aca="false">IF(OR('CARNET DE SOUDURE'!E243="",'CARNET DE SOUDURE'!R243=""),"",'CARNET DE SOUDURE'!R243)</f>
        <v/>
      </c>
      <c r="F243" s="81" t="str">
        <f aca="false">IF('CARNET DE SOUDURE'!E243="","",'CARNET DE SOUDURE'!AL243)</f>
        <v/>
      </c>
      <c r="G243" s="81" t="str">
        <f aca="false">IF('CARNET DE SOUDURE'!E243="","",'CARNET DE SOUDURE'!AM243)</f>
        <v>À SOUDER</v>
      </c>
      <c r="H243" s="81" t="str">
        <f aca="false">IF(C243="","",IF(G243="ACCEPTÉ","OUI","NON"))</f>
        <v>NON</v>
      </c>
      <c r="I243" s="82"/>
      <c r="J243" s="79"/>
      <c r="K243" s="80"/>
      <c r="L243" s="80"/>
      <c r="M243" s="80"/>
      <c r="N243" s="83" t="str">
        <f aca="false">IF(C243="","",IF(I243="",IF(H243="OUI","À ENROBER",IF(G243="À SOUDER","NON SOUDÉ","EN ATTENTE RT")),IF(L243="R","À REPRENDRE",IF(H243&lt;&gt;"OUI","⚠ ENROBÉ AVANT ACCEPTATION RT","ENROBÉ"))))</f>
        <v>NON SOUDÉ</v>
      </c>
      <c r="O243" s="79"/>
    </row>
    <row r="244" customFormat="false" ht="15" hidden="false" customHeight="false" outlineLevel="0" collapsed="false">
      <c r="A244" s="78" t="n">
        <f aca="false">IF('CARNET DE SOUDURE'!E244="","",'CARNET DE SOUDURE'!A244)</f>
        <v>238</v>
      </c>
      <c r="B244" s="93" t="str">
        <f aca="false">IF('CARNET DE SOUDURE'!E244="","",'CARNET DE SOUDURE'!B244&amp;"")</f>
        <v>ISB-302</v>
      </c>
      <c r="C244" s="83" t="str">
        <f aca="false">IF('CARNET DE SOUDURE'!E244="","",'CARNET DE SOUDURE'!E244)</f>
        <v>JN°033</v>
      </c>
      <c r="D244" s="78" t="str">
        <f aca="false">IF('CARNET DE SOUDURE'!E244="","",'CARNET DE SOUDURE'!D244&amp;"")</f>
        <v/>
      </c>
      <c r="E244" s="96" t="str">
        <f aca="false">IF(OR('CARNET DE SOUDURE'!E244="",'CARNET DE SOUDURE'!R244=""),"",'CARNET DE SOUDURE'!R244)</f>
        <v/>
      </c>
      <c r="F244" s="81" t="str">
        <f aca="false">IF('CARNET DE SOUDURE'!E244="","",'CARNET DE SOUDURE'!AL244)</f>
        <v/>
      </c>
      <c r="G244" s="81" t="str">
        <f aca="false">IF('CARNET DE SOUDURE'!E244="","",'CARNET DE SOUDURE'!AM244)</f>
        <v>À SOUDER</v>
      </c>
      <c r="H244" s="81" t="str">
        <f aca="false">IF(C244="","",IF(G244="ACCEPTÉ","OUI","NON"))</f>
        <v>NON</v>
      </c>
      <c r="I244" s="82"/>
      <c r="J244" s="79"/>
      <c r="K244" s="80"/>
      <c r="L244" s="80"/>
      <c r="M244" s="80"/>
      <c r="N244" s="83" t="str">
        <f aca="false">IF(C244="","",IF(I244="",IF(H244="OUI","À ENROBER",IF(G244="À SOUDER","NON SOUDÉ","EN ATTENTE RT")),IF(L244="R","À REPRENDRE",IF(H244&lt;&gt;"OUI","⚠ ENROBÉ AVANT ACCEPTATION RT","ENROBÉ"))))</f>
        <v>NON SOUDÉ</v>
      </c>
      <c r="O244" s="79"/>
    </row>
    <row r="245" customFormat="false" ht="15" hidden="false" customHeight="false" outlineLevel="0" collapsed="false">
      <c r="A245" s="78" t="n">
        <f aca="false">IF('CARNET DE SOUDURE'!E245="","",'CARNET DE SOUDURE'!A245)</f>
        <v>239</v>
      </c>
      <c r="B245" s="93" t="str">
        <f aca="false">IF('CARNET DE SOUDURE'!E245="","",'CARNET DE SOUDURE'!B245&amp;"")</f>
        <v>ISB-302</v>
      </c>
      <c r="C245" s="83" t="str">
        <f aca="false">IF('CARNET DE SOUDURE'!E245="","",'CARNET DE SOUDURE'!E245)</f>
        <v>JN°034</v>
      </c>
      <c r="D245" s="78" t="str">
        <f aca="false">IF('CARNET DE SOUDURE'!E245="","",'CARNET DE SOUDURE'!D245&amp;"")</f>
        <v/>
      </c>
      <c r="E245" s="96" t="str">
        <f aca="false">IF(OR('CARNET DE SOUDURE'!E245="",'CARNET DE SOUDURE'!R245=""),"",'CARNET DE SOUDURE'!R245)</f>
        <v/>
      </c>
      <c r="F245" s="81" t="str">
        <f aca="false">IF('CARNET DE SOUDURE'!E245="","",'CARNET DE SOUDURE'!AL245)</f>
        <v/>
      </c>
      <c r="G245" s="81" t="str">
        <f aca="false">IF('CARNET DE SOUDURE'!E245="","",'CARNET DE SOUDURE'!AM245)</f>
        <v>À SOUDER</v>
      </c>
      <c r="H245" s="81" t="str">
        <f aca="false">IF(C245="","",IF(G245="ACCEPTÉ","OUI","NON"))</f>
        <v>NON</v>
      </c>
      <c r="I245" s="82"/>
      <c r="J245" s="79"/>
      <c r="K245" s="80"/>
      <c r="L245" s="80"/>
      <c r="M245" s="80"/>
      <c r="N245" s="83" t="str">
        <f aca="false">IF(C245="","",IF(I245="",IF(H245="OUI","À ENROBER",IF(G245="À SOUDER","NON SOUDÉ","EN ATTENTE RT")),IF(L245="R","À REPRENDRE",IF(H245&lt;&gt;"OUI","⚠ ENROBÉ AVANT ACCEPTATION RT","ENROBÉ"))))</f>
        <v>NON SOUDÉ</v>
      </c>
      <c r="O245" s="79"/>
    </row>
    <row r="246" customFormat="false" ht="15" hidden="false" customHeight="false" outlineLevel="0" collapsed="false">
      <c r="A246" s="78" t="n">
        <f aca="false">IF('CARNET DE SOUDURE'!E246="","",'CARNET DE SOUDURE'!A246)</f>
        <v>240</v>
      </c>
      <c r="B246" s="93" t="str">
        <f aca="false">IF('CARNET DE SOUDURE'!E246="","",'CARNET DE SOUDURE'!B246&amp;"")</f>
        <v>ISB-302</v>
      </c>
      <c r="C246" s="83" t="str">
        <f aca="false">IF('CARNET DE SOUDURE'!E246="","",'CARNET DE SOUDURE'!E246)</f>
        <v>JN°035</v>
      </c>
      <c r="D246" s="78" t="str">
        <f aca="false">IF('CARNET DE SOUDURE'!E246="","",'CARNET DE SOUDURE'!D246&amp;"")</f>
        <v/>
      </c>
      <c r="E246" s="96" t="str">
        <f aca="false">IF(OR('CARNET DE SOUDURE'!E246="",'CARNET DE SOUDURE'!R246=""),"",'CARNET DE SOUDURE'!R246)</f>
        <v/>
      </c>
      <c r="F246" s="81" t="str">
        <f aca="false">IF('CARNET DE SOUDURE'!E246="","",'CARNET DE SOUDURE'!AL246)</f>
        <v/>
      </c>
      <c r="G246" s="81" t="str">
        <f aca="false">IF('CARNET DE SOUDURE'!E246="","",'CARNET DE SOUDURE'!AM246)</f>
        <v>À SOUDER</v>
      </c>
      <c r="H246" s="81" t="str">
        <f aca="false">IF(C246="","",IF(G246="ACCEPTÉ","OUI","NON"))</f>
        <v>NON</v>
      </c>
      <c r="I246" s="82"/>
      <c r="J246" s="79"/>
      <c r="K246" s="80"/>
      <c r="L246" s="80"/>
      <c r="M246" s="80"/>
      <c r="N246" s="83" t="str">
        <f aca="false">IF(C246="","",IF(I246="",IF(H246="OUI","À ENROBER",IF(G246="À SOUDER","NON SOUDÉ","EN ATTENTE RT")),IF(L246="R","À REPRENDRE",IF(H246&lt;&gt;"OUI","⚠ ENROBÉ AVANT ACCEPTATION RT","ENROBÉ"))))</f>
        <v>NON SOUDÉ</v>
      </c>
      <c r="O246" s="79"/>
    </row>
    <row r="247" customFormat="false" ht="15" hidden="false" customHeight="false" outlineLevel="0" collapsed="false">
      <c r="A247" s="78" t="n">
        <f aca="false">IF('CARNET DE SOUDURE'!E247="","",'CARNET DE SOUDURE'!A247)</f>
        <v>241</v>
      </c>
      <c r="B247" s="93" t="str">
        <f aca="false">IF('CARNET DE SOUDURE'!E247="","",'CARNET DE SOUDURE'!B247&amp;"")</f>
        <v>ISB-302</v>
      </c>
      <c r="C247" s="83" t="str">
        <f aca="false">IF('CARNET DE SOUDURE'!E247="","",'CARNET DE SOUDURE'!E247)</f>
        <v>JN°036</v>
      </c>
      <c r="D247" s="78" t="str">
        <f aca="false">IF('CARNET DE SOUDURE'!E247="","",'CARNET DE SOUDURE'!D247&amp;"")</f>
        <v/>
      </c>
      <c r="E247" s="96" t="str">
        <f aca="false">IF(OR('CARNET DE SOUDURE'!E247="",'CARNET DE SOUDURE'!R247=""),"",'CARNET DE SOUDURE'!R247)</f>
        <v/>
      </c>
      <c r="F247" s="81" t="str">
        <f aca="false">IF('CARNET DE SOUDURE'!E247="","",'CARNET DE SOUDURE'!AL247)</f>
        <v/>
      </c>
      <c r="G247" s="81" t="str">
        <f aca="false">IF('CARNET DE SOUDURE'!E247="","",'CARNET DE SOUDURE'!AM247)</f>
        <v>À SOUDER</v>
      </c>
      <c r="H247" s="81" t="str">
        <f aca="false">IF(C247="","",IF(G247="ACCEPTÉ","OUI","NON"))</f>
        <v>NON</v>
      </c>
      <c r="I247" s="82"/>
      <c r="J247" s="79"/>
      <c r="K247" s="80"/>
      <c r="L247" s="80"/>
      <c r="M247" s="80"/>
      <c r="N247" s="83" t="str">
        <f aca="false">IF(C247="","",IF(I247="",IF(H247="OUI","À ENROBER",IF(G247="À SOUDER","NON SOUDÉ","EN ATTENTE RT")),IF(L247="R","À REPRENDRE",IF(H247&lt;&gt;"OUI","⚠ ENROBÉ AVANT ACCEPTATION RT","ENROBÉ"))))</f>
        <v>NON SOUDÉ</v>
      </c>
      <c r="O247" s="79"/>
    </row>
    <row r="248" customFormat="false" ht="15" hidden="false" customHeight="false" outlineLevel="0" collapsed="false">
      <c r="A248" s="78" t="n">
        <f aca="false">IF('CARNET DE SOUDURE'!E248="","",'CARNET DE SOUDURE'!A248)</f>
        <v>242</v>
      </c>
      <c r="B248" s="93" t="str">
        <f aca="false">IF('CARNET DE SOUDURE'!E248="","",'CARNET DE SOUDURE'!B248&amp;"")</f>
        <v>ISB-302</v>
      </c>
      <c r="C248" s="83" t="str">
        <f aca="false">IF('CARNET DE SOUDURE'!E248="","",'CARNET DE SOUDURE'!E248)</f>
        <v>JN°037</v>
      </c>
      <c r="D248" s="78" t="str">
        <f aca="false">IF('CARNET DE SOUDURE'!E248="","",'CARNET DE SOUDURE'!D248&amp;"")</f>
        <v/>
      </c>
      <c r="E248" s="96" t="str">
        <f aca="false">IF(OR('CARNET DE SOUDURE'!E248="",'CARNET DE SOUDURE'!R248=""),"",'CARNET DE SOUDURE'!R248)</f>
        <v/>
      </c>
      <c r="F248" s="81" t="str">
        <f aca="false">IF('CARNET DE SOUDURE'!E248="","",'CARNET DE SOUDURE'!AL248)</f>
        <v/>
      </c>
      <c r="G248" s="81" t="str">
        <f aca="false">IF('CARNET DE SOUDURE'!E248="","",'CARNET DE SOUDURE'!AM248)</f>
        <v>À SOUDER</v>
      </c>
      <c r="H248" s="81" t="str">
        <f aca="false">IF(C248="","",IF(G248="ACCEPTÉ","OUI","NON"))</f>
        <v>NON</v>
      </c>
      <c r="I248" s="82"/>
      <c r="J248" s="79"/>
      <c r="K248" s="80"/>
      <c r="L248" s="80"/>
      <c r="M248" s="80"/>
      <c r="N248" s="83" t="str">
        <f aca="false">IF(C248="","",IF(I248="",IF(H248="OUI","À ENROBER",IF(G248="À SOUDER","NON SOUDÉ","EN ATTENTE RT")),IF(L248="R","À REPRENDRE",IF(H248&lt;&gt;"OUI","⚠ ENROBÉ AVANT ACCEPTATION RT","ENROBÉ"))))</f>
        <v>NON SOUDÉ</v>
      </c>
      <c r="O248" s="79"/>
    </row>
    <row r="249" customFormat="false" ht="15" hidden="false" customHeight="false" outlineLevel="0" collapsed="false">
      <c r="A249" s="78" t="n">
        <f aca="false">IF('CARNET DE SOUDURE'!E249="","",'CARNET DE SOUDURE'!A249)</f>
        <v>243</v>
      </c>
      <c r="B249" s="93" t="str">
        <f aca="false">IF('CARNET DE SOUDURE'!E249="","",'CARNET DE SOUDURE'!B249&amp;"")</f>
        <v>ISB-302</v>
      </c>
      <c r="C249" s="83" t="str">
        <f aca="false">IF('CARNET DE SOUDURE'!E249="","",'CARNET DE SOUDURE'!E249)</f>
        <v>JN°038</v>
      </c>
      <c r="D249" s="78" t="str">
        <f aca="false">IF('CARNET DE SOUDURE'!E249="","",'CARNET DE SOUDURE'!D249&amp;"")</f>
        <v/>
      </c>
      <c r="E249" s="96" t="str">
        <f aca="false">IF(OR('CARNET DE SOUDURE'!E249="",'CARNET DE SOUDURE'!R249=""),"",'CARNET DE SOUDURE'!R249)</f>
        <v/>
      </c>
      <c r="F249" s="81" t="str">
        <f aca="false">IF('CARNET DE SOUDURE'!E249="","",'CARNET DE SOUDURE'!AL249)</f>
        <v/>
      </c>
      <c r="G249" s="81" t="str">
        <f aca="false">IF('CARNET DE SOUDURE'!E249="","",'CARNET DE SOUDURE'!AM249)</f>
        <v>À SOUDER</v>
      </c>
      <c r="H249" s="81" t="str">
        <f aca="false">IF(C249="","",IF(G249="ACCEPTÉ","OUI","NON"))</f>
        <v>NON</v>
      </c>
      <c r="I249" s="82"/>
      <c r="J249" s="79"/>
      <c r="K249" s="80"/>
      <c r="L249" s="80"/>
      <c r="M249" s="80"/>
      <c r="N249" s="83" t="str">
        <f aca="false">IF(C249="","",IF(I249="",IF(H249="OUI","À ENROBER",IF(G249="À SOUDER","NON SOUDÉ","EN ATTENTE RT")),IF(L249="R","À REPRENDRE",IF(H249&lt;&gt;"OUI","⚠ ENROBÉ AVANT ACCEPTATION RT","ENROBÉ"))))</f>
        <v>NON SOUDÉ</v>
      </c>
      <c r="O249" s="79"/>
    </row>
    <row r="250" customFormat="false" ht="15" hidden="false" customHeight="false" outlineLevel="0" collapsed="false">
      <c r="A250" s="78" t="n">
        <f aca="false">IF('CARNET DE SOUDURE'!E250="","",'CARNET DE SOUDURE'!A250)</f>
        <v>244</v>
      </c>
      <c r="B250" s="93" t="str">
        <f aca="false">IF('CARNET DE SOUDURE'!E250="","",'CARNET DE SOUDURE'!B250&amp;"")</f>
        <v>ISB-302</v>
      </c>
      <c r="C250" s="83" t="str">
        <f aca="false">IF('CARNET DE SOUDURE'!E250="","",'CARNET DE SOUDURE'!E250)</f>
        <v>JN°039</v>
      </c>
      <c r="D250" s="78" t="str">
        <f aca="false">IF('CARNET DE SOUDURE'!E250="","",'CARNET DE SOUDURE'!D250&amp;"")</f>
        <v/>
      </c>
      <c r="E250" s="96" t="str">
        <f aca="false">IF(OR('CARNET DE SOUDURE'!E250="",'CARNET DE SOUDURE'!R250=""),"",'CARNET DE SOUDURE'!R250)</f>
        <v/>
      </c>
      <c r="F250" s="81" t="str">
        <f aca="false">IF('CARNET DE SOUDURE'!E250="","",'CARNET DE SOUDURE'!AL250)</f>
        <v/>
      </c>
      <c r="G250" s="81" t="str">
        <f aca="false">IF('CARNET DE SOUDURE'!E250="","",'CARNET DE SOUDURE'!AM250)</f>
        <v>À SOUDER</v>
      </c>
      <c r="H250" s="81" t="str">
        <f aca="false">IF(C250="","",IF(G250="ACCEPTÉ","OUI","NON"))</f>
        <v>NON</v>
      </c>
      <c r="I250" s="82"/>
      <c r="J250" s="79"/>
      <c r="K250" s="80"/>
      <c r="L250" s="80"/>
      <c r="M250" s="80"/>
      <c r="N250" s="83" t="str">
        <f aca="false">IF(C250="","",IF(I250="",IF(H250="OUI","À ENROBER",IF(G250="À SOUDER","NON SOUDÉ","EN ATTENTE RT")),IF(L250="R","À REPRENDRE",IF(H250&lt;&gt;"OUI","⚠ ENROBÉ AVANT ACCEPTATION RT","ENROBÉ"))))</f>
        <v>NON SOUDÉ</v>
      </c>
      <c r="O250" s="79"/>
    </row>
    <row r="251" customFormat="false" ht="15" hidden="false" customHeight="false" outlineLevel="0" collapsed="false">
      <c r="A251" s="78" t="n">
        <f aca="false">IF('CARNET DE SOUDURE'!E251="","",'CARNET DE SOUDURE'!A251)</f>
        <v>245</v>
      </c>
      <c r="B251" s="93" t="str">
        <f aca="false">IF('CARNET DE SOUDURE'!E251="","",'CARNET DE SOUDURE'!B251&amp;"")</f>
        <v>ISB-302</v>
      </c>
      <c r="C251" s="83" t="str">
        <f aca="false">IF('CARNET DE SOUDURE'!E251="","",'CARNET DE SOUDURE'!E251)</f>
        <v>JN°040</v>
      </c>
      <c r="D251" s="78" t="str">
        <f aca="false">IF('CARNET DE SOUDURE'!E251="","",'CARNET DE SOUDURE'!D251&amp;"")</f>
        <v/>
      </c>
      <c r="E251" s="96" t="str">
        <f aca="false">IF(OR('CARNET DE SOUDURE'!E251="",'CARNET DE SOUDURE'!R251=""),"",'CARNET DE SOUDURE'!R251)</f>
        <v/>
      </c>
      <c r="F251" s="81" t="str">
        <f aca="false">IF('CARNET DE SOUDURE'!E251="","",'CARNET DE SOUDURE'!AL251)</f>
        <v/>
      </c>
      <c r="G251" s="81" t="str">
        <f aca="false">IF('CARNET DE SOUDURE'!E251="","",'CARNET DE SOUDURE'!AM251)</f>
        <v>À SOUDER</v>
      </c>
      <c r="H251" s="81" t="str">
        <f aca="false">IF(C251="","",IF(G251="ACCEPTÉ","OUI","NON"))</f>
        <v>NON</v>
      </c>
      <c r="I251" s="82"/>
      <c r="J251" s="79"/>
      <c r="K251" s="80"/>
      <c r="L251" s="80"/>
      <c r="M251" s="80"/>
      <c r="N251" s="83" t="str">
        <f aca="false">IF(C251="","",IF(I251="",IF(H251="OUI","À ENROBER",IF(G251="À SOUDER","NON SOUDÉ","EN ATTENTE RT")),IF(L251="R","À REPRENDRE",IF(H251&lt;&gt;"OUI","⚠ ENROBÉ AVANT ACCEPTATION RT","ENROBÉ"))))</f>
        <v>NON SOUDÉ</v>
      </c>
      <c r="O251" s="79"/>
    </row>
    <row r="252" customFormat="false" ht="15" hidden="false" customHeight="false" outlineLevel="0" collapsed="false">
      <c r="A252" s="78" t="n">
        <f aca="false">IF('CARNET DE SOUDURE'!E252="","",'CARNET DE SOUDURE'!A252)</f>
        <v>246</v>
      </c>
      <c r="B252" s="93" t="str">
        <f aca="false">IF('CARNET DE SOUDURE'!E252="","",'CARNET DE SOUDURE'!B252&amp;"")</f>
        <v>ISB-302</v>
      </c>
      <c r="C252" s="83" t="str">
        <f aca="false">IF('CARNET DE SOUDURE'!E252="","",'CARNET DE SOUDURE'!E252)</f>
        <v>JN°041</v>
      </c>
      <c r="D252" s="78" t="str">
        <f aca="false">IF('CARNET DE SOUDURE'!E252="","",'CARNET DE SOUDURE'!D252&amp;"")</f>
        <v/>
      </c>
      <c r="E252" s="96" t="str">
        <f aca="false">IF(OR('CARNET DE SOUDURE'!E252="",'CARNET DE SOUDURE'!R252=""),"",'CARNET DE SOUDURE'!R252)</f>
        <v/>
      </c>
      <c r="F252" s="81" t="str">
        <f aca="false">IF('CARNET DE SOUDURE'!E252="","",'CARNET DE SOUDURE'!AL252)</f>
        <v/>
      </c>
      <c r="G252" s="81" t="str">
        <f aca="false">IF('CARNET DE SOUDURE'!E252="","",'CARNET DE SOUDURE'!AM252)</f>
        <v>À SOUDER</v>
      </c>
      <c r="H252" s="81" t="str">
        <f aca="false">IF(C252="","",IF(G252="ACCEPTÉ","OUI","NON"))</f>
        <v>NON</v>
      </c>
      <c r="I252" s="82"/>
      <c r="J252" s="79"/>
      <c r="K252" s="80"/>
      <c r="L252" s="80"/>
      <c r="M252" s="80"/>
      <c r="N252" s="83" t="str">
        <f aca="false">IF(C252="","",IF(I252="",IF(H252="OUI","À ENROBER",IF(G252="À SOUDER","NON SOUDÉ","EN ATTENTE RT")),IF(L252="R","À REPRENDRE",IF(H252&lt;&gt;"OUI","⚠ ENROBÉ AVANT ACCEPTATION RT","ENROBÉ"))))</f>
        <v>NON SOUDÉ</v>
      </c>
      <c r="O252" s="79"/>
    </row>
    <row r="253" customFormat="false" ht="15" hidden="false" customHeight="false" outlineLevel="0" collapsed="false">
      <c r="A253" s="78" t="n">
        <f aca="false">IF('CARNET DE SOUDURE'!E253="","",'CARNET DE SOUDURE'!A253)</f>
        <v>247</v>
      </c>
      <c r="B253" s="93" t="str">
        <f aca="false">IF('CARNET DE SOUDURE'!E253="","",'CARNET DE SOUDURE'!B253&amp;"")</f>
        <v>ISB-302</v>
      </c>
      <c r="C253" s="83" t="str">
        <f aca="false">IF('CARNET DE SOUDURE'!E253="","",'CARNET DE SOUDURE'!E253)</f>
        <v>JN°042</v>
      </c>
      <c r="D253" s="78" t="str">
        <f aca="false">IF('CARNET DE SOUDURE'!E253="","",'CARNET DE SOUDURE'!D253&amp;"")</f>
        <v/>
      </c>
      <c r="E253" s="96" t="str">
        <f aca="false">IF(OR('CARNET DE SOUDURE'!E253="",'CARNET DE SOUDURE'!R253=""),"",'CARNET DE SOUDURE'!R253)</f>
        <v/>
      </c>
      <c r="F253" s="81" t="str">
        <f aca="false">IF('CARNET DE SOUDURE'!E253="","",'CARNET DE SOUDURE'!AL253)</f>
        <v/>
      </c>
      <c r="G253" s="81" t="str">
        <f aca="false">IF('CARNET DE SOUDURE'!E253="","",'CARNET DE SOUDURE'!AM253)</f>
        <v>À SOUDER</v>
      </c>
      <c r="H253" s="81" t="str">
        <f aca="false">IF(C253="","",IF(G253="ACCEPTÉ","OUI","NON"))</f>
        <v>NON</v>
      </c>
      <c r="I253" s="82"/>
      <c r="J253" s="79"/>
      <c r="K253" s="80"/>
      <c r="L253" s="80"/>
      <c r="M253" s="80"/>
      <c r="N253" s="83" t="str">
        <f aca="false">IF(C253="","",IF(I253="",IF(H253="OUI","À ENROBER",IF(G253="À SOUDER","NON SOUDÉ","EN ATTENTE RT")),IF(L253="R","À REPRENDRE",IF(H253&lt;&gt;"OUI","⚠ ENROBÉ AVANT ACCEPTATION RT","ENROBÉ"))))</f>
        <v>NON SOUDÉ</v>
      </c>
      <c r="O253" s="79"/>
    </row>
    <row r="254" customFormat="false" ht="15" hidden="false" customHeight="false" outlineLevel="0" collapsed="false">
      <c r="A254" s="78" t="n">
        <f aca="false">IF('CARNET DE SOUDURE'!E254="","",'CARNET DE SOUDURE'!A254)</f>
        <v>248</v>
      </c>
      <c r="B254" s="93" t="str">
        <f aca="false">IF('CARNET DE SOUDURE'!E254="","",'CARNET DE SOUDURE'!B254&amp;"")</f>
        <v>ISB-302</v>
      </c>
      <c r="C254" s="83" t="str">
        <f aca="false">IF('CARNET DE SOUDURE'!E254="","",'CARNET DE SOUDURE'!E254)</f>
        <v>JN°043</v>
      </c>
      <c r="D254" s="78" t="str">
        <f aca="false">IF('CARNET DE SOUDURE'!E254="","",'CARNET DE SOUDURE'!D254&amp;"")</f>
        <v/>
      </c>
      <c r="E254" s="96" t="str">
        <f aca="false">IF(OR('CARNET DE SOUDURE'!E254="",'CARNET DE SOUDURE'!R254=""),"",'CARNET DE SOUDURE'!R254)</f>
        <v/>
      </c>
      <c r="F254" s="81" t="str">
        <f aca="false">IF('CARNET DE SOUDURE'!E254="","",'CARNET DE SOUDURE'!AL254)</f>
        <v/>
      </c>
      <c r="G254" s="81" t="str">
        <f aca="false">IF('CARNET DE SOUDURE'!E254="","",'CARNET DE SOUDURE'!AM254)</f>
        <v>À SOUDER</v>
      </c>
      <c r="H254" s="81" t="str">
        <f aca="false">IF(C254="","",IF(G254="ACCEPTÉ","OUI","NON"))</f>
        <v>NON</v>
      </c>
      <c r="I254" s="82"/>
      <c r="J254" s="79"/>
      <c r="K254" s="80"/>
      <c r="L254" s="80"/>
      <c r="M254" s="80"/>
      <c r="N254" s="83" t="str">
        <f aca="false">IF(C254="","",IF(I254="",IF(H254="OUI","À ENROBER",IF(G254="À SOUDER","NON SOUDÉ","EN ATTENTE RT")),IF(L254="R","À REPRENDRE",IF(H254&lt;&gt;"OUI","⚠ ENROBÉ AVANT ACCEPTATION RT","ENROBÉ"))))</f>
        <v>NON SOUDÉ</v>
      </c>
      <c r="O254" s="79"/>
    </row>
    <row r="255" customFormat="false" ht="15" hidden="false" customHeight="false" outlineLevel="0" collapsed="false">
      <c r="A255" s="78" t="n">
        <f aca="false">IF('CARNET DE SOUDURE'!E255="","",'CARNET DE SOUDURE'!A255)</f>
        <v>249</v>
      </c>
      <c r="B255" s="93" t="str">
        <f aca="false">IF('CARNET DE SOUDURE'!E255="","",'CARNET DE SOUDURE'!B255&amp;"")</f>
        <v>ISB-302</v>
      </c>
      <c r="C255" s="83" t="str">
        <f aca="false">IF('CARNET DE SOUDURE'!E255="","",'CARNET DE SOUDURE'!E255)</f>
        <v>JN°044</v>
      </c>
      <c r="D255" s="78" t="str">
        <f aca="false">IF('CARNET DE SOUDURE'!E255="","",'CARNET DE SOUDURE'!D255&amp;"")</f>
        <v/>
      </c>
      <c r="E255" s="96" t="str">
        <f aca="false">IF(OR('CARNET DE SOUDURE'!E255="",'CARNET DE SOUDURE'!R255=""),"",'CARNET DE SOUDURE'!R255)</f>
        <v/>
      </c>
      <c r="F255" s="81" t="str">
        <f aca="false">IF('CARNET DE SOUDURE'!E255="","",'CARNET DE SOUDURE'!AL255)</f>
        <v/>
      </c>
      <c r="G255" s="81" t="str">
        <f aca="false">IF('CARNET DE SOUDURE'!E255="","",'CARNET DE SOUDURE'!AM255)</f>
        <v>À SOUDER</v>
      </c>
      <c r="H255" s="81" t="str">
        <f aca="false">IF(C255="","",IF(G255="ACCEPTÉ","OUI","NON"))</f>
        <v>NON</v>
      </c>
      <c r="I255" s="82"/>
      <c r="J255" s="79"/>
      <c r="K255" s="80"/>
      <c r="L255" s="80"/>
      <c r="M255" s="80"/>
      <c r="N255" s="83" t="str">
        <f aca="false">IF(C255="","",IF(I255="",IF(H255="OUI","À ENROBER",IF(G255="À SOUDER","NON SOUDÉ","EN ATTENTE RT")),IF(L255="R","À REPRENDRE",IF(H255&lt;&gt;"OUI","⚠ ENROBÉ AVANT ACCEPTATION RT","ENROBÉ"))))</f>
        <v>NON SOUDÉ</v>
      </c>
      <c r="O255" s="79"/>
    </row>
    <row r="256" customFormat="false" ht="15" hidden="false" customHeight="false" outlineLevel="0" collapsed="false">
      <c r="A256" s="78" t="n">
        <f aca="false">IF('CARNET DE SOUDURE'!E256="","",'CARNET DE SOUDURE'!A256)</f>
        <v>250</v>
      </c>
      <c r="B256" s="93" t="str">
        <f aca="false">IF('CARNET DE SOUDURE'!E256="","",'CARNET DE SOUDURE'!B256&amp;"")</f>
        <v>ISB-302</v>
      </c>
      <c r="C256" s="83" t="str">
        <f aca="false">IF('CARNET DE SOUDURE'!E256="","",'CARNET DE SOUDURE'!E256)</f>
        <v>JN°045</v>
      </c>
      <c r="D256" s="78" t="str">
        <f aca="false">IF('CARNET DE SOUDURE'!E256="","",'CARNET DE SOUDURE'!D256&amp;"")</f>
        <v/>
      </c>
      <c r="E256" s="96" t="str">
        <f aca="false">IF(OR('CARNET DE SOUDURE'!E256="",'CARNET DE SOUDURE'!R256=""),"",'CARNET DE SOUDURE'!R256)</f>
        <v/>
      </c>
      <c r="F256" s="81" t="str">
        <f aca="false">IF('CARNET DE SOUDURE'!E256="","",'CARNET DE SOUDURE'!AL256)</f>
        <v/>
      </c>
      <c r="G256" s="81" t="str">
        <f aca="false">IF('CARNET DE SOUDURE'!E256="","",'CARNET DE SOUDURE'!AM256)</f>
        <v>À SOUDER</v>
      </c>
      <c r="H256" s="81" t="str">
        <f aca="false">IF(C256="","",IF(G256="ACCEPTÉ","OUI","NON"))</f>
        <v>NON</v>
      </c>
      <c r="I256" s="82"/>
      <c r="J256" s="79"/>
      <c r="K256" s="80"/>
      <c r="L256" s="80"/>
      <c r="M256" s="80"/>
      <c r="N256" s="83" t="str">
        <f aca="false">IF(C256="","",IF(I256="",IF(H256="OUI","À ENROBER",IF(G256="À SOUDER","NON SOUDÉ","EN ATTENTE RT")),IF(L256="R","À REPRENDRE",IF(H256&lt;&gt;"OUI","⚠ ENROBÉ AVANT ACCEPTATION RT","ENROBÉ"))))</f>
        <v>NON SOUDÉ</v>
      </c>
      <c r="O256" s="79"/>
    </row>
    <row r="257" customFormat="false" ht="15" hidden="false" customHeight="false" outlineLevel="0" collapsed="false">
      <c r="A257" s="78" t="n">
        <f aca="false">IF('CARNET DE SOUDURE'!E257="","",'CARNET DE SOUDURE'!A257)</f>
        <v>251</v>
      </c>
      <c r="B257" s="93" t="str">
        <f aca="false">IF('CARNET DE SOUDURE'!E257="","",'CARNET DE SOUDURE'!B257&amp;"")</f>
        <v>ISB-302</v>
      </c>
      <c r="C257" s="83" t="str">
        <f aca="false">IF('CARNET DE SOUDURE'!E257="","",'CARNET DE SOUDURE'!E257)</f>
        <v>JN°046</v>
      </c>
      <c r="D257" s="78" t="str">
        <f aca="false">IF('CARNET DE SOUDURE'!E257="","",'CARNET DE SOUDURE'!D257&amp;"")</f>
        <v/>
      </c>
      <c r="E257" s="96" t="str">
        <f aca="false">IF(OR('CARNET DE SOUDURE'!E257="",'CARNET DE SOUDURE'!R257=""),"",'CARNET DE SOUDURE'!R257)</f>
        <v/>
      </c>
      <c r="F257" s="81" t="str">
        <f aca="false">IF('CARNET DE SOUDURE'!E257="","",'CARNET DE SOUDURE'!AL257)</f>
        <v/>
      </c>
      <c r="G257" s="81" t="str">
        <f aca="false">IF('CARNET DE SOUDURE'!E257="","",'CARNET DE SOUDURE'!AM257)</f>
        <v>À SOUDER</v>
      </c>
      <c r="H257" s="81" t="str">
        <f aca="false">IF(C257="","",IF(G257="ACCEPTÉ","OUI","NON"))</f>
        <v>NON</v>
      </c>
      <c r="I257" s="82"/>
      <c r="J257" s="79"/>
      <c r="K257" s="80"/>
      <c r="L257" s="80"/>
      <c r="M257" s="80"/>
      <c r="N257" s="83" t="str">
        <f aca="false">IF(C257="","",IF(I257="",IF(H257="OUI","À ENROBER",IF(G257="À SOUDER","NON SOUDÉ","EN ATTENTE RT")),IF(L257="R","À REPRENDRE",IF(H257&lt;&gt;"OUI","⚠ ENROBÉ AVANT ACCEPTATION RT","ENROBÉ"))))</f>
        <v>NON SOUDÉ</v>
      </c>
      <c r="O257" s="79"/>
    </row>
    <row r="258" customFormat="false" ht="15" hidden="false" customHeight="false" outlineLevel="0" collapsed="false">
      <c r="A258" s="78" t="n">
        <f aca="false">IF('CARNET DE SOUDURE'!E258="","",'CARNET DE SOUDURE'!A258)</f>
        <v>252</v>
      </c>
      <c r="B258" s="93" t="str">
        <f aca="false">IF('CARNET DE SOUDURE'!E258="","",'CARNET DE SOUDURE'!B258&amp;"")</f>
        <v>ISB-302</v>
      </c>
      <c r="C258" s="83" t="str">
        <f aca="false">IF('CARNET DE SOUDURE'!E258="","",'CARNET DE SOUDURE'!E258)</f>
        <v>JN°047</v>
      </c>
      <c r="D258" s="78" t="str">
        <f aca="false">IF('CARNET DE SOUDURE'!E258="","",'CARNET DE SOUDURE'!D258&amp;"")</f>
        <v/>
      </c>
      <c r="E258" s="96" t="str">
        <f aca="false">IF(OR('CARNET DE SOUDURE'!E258="",'CARNET DE SOUDURE'!R258=""),"",'CARNET DE SOUDURE'!R258)</f>
        <v/>
      </c>
      <c r="F258" s="81" t="str">
        <f aca="false">IF('CARNET DE SOUDURE'!E258="","",'CARNET DE SOUDURE'!AL258)</f>
        <v/>
      </c>
      <c r="G258" s="81" t="str">
        <f aca="false">IF('CARNET DE SOUDURE'!E258="","",'CARNET DE SOUDURE'!AM258)</f>
        <v>À SOUDER</v>
      </c>
      <c r="H258" s="81" t="str">
        <f aca="false">IF(C258="","",IF(G258="ACCEPTÉ","OUI","NON"))</f>
        <v>NON</v>
      </c>
      <c r="I258" s="82"/>
      <c r="J258" s="79"/>
      <c r="K258" s="80"/>
      <c r="L258" s="80"/>
      <c r="M258" s="80"/>
      <c r="N258" s="83" t="str">
        <f aca="false">IF(C258="","",IF(I258="",IF(H258="OUI","À ENROBER",IF(G258="À SOUDER","NON SOUDÉ","EN ATTENTE RT")),IF(L258="R","À REPRENDRE",IF(H258&lt;&gt;"OUI","⚠ ENROBÉ AVANT ACCEPTATION RT","ENROBÉ"))))</f>
        <v>NON SOUDÉ</v>
      </c>
      <c r="O258" s="79"/>
    </row>
    <row r="259" customFormat="false" ht="15" hidden="false" customHeight="false" outlineLevel="0" collapsed="false">
      <c r="A259" s="78" t="n">
        <f aca="false">IF('CARNET DE SOUDURE'!E259="","",'CARNET DE SOUDURE'!A259)</f>
        <v>253</v>
      </c>
      <c r="B259" s="93" t="str">
        <f aca="false">IF('CARNET DE SOUDURE'!E259="","",'CARNET DE SOUDURE'!B259&amp;"")</f>
        <v>ISB-302</v>
      </c>
      <c r="C259" s="83" t="str">
        <f aca="false">IF('CARNET DE SOUDURE'!E259="","",'CARNET DE SOUDURE'!E259)</f>
        <v>JN°048</v>
      </c>
      <c r="D259" s="78" t="str">
        <f aca="false">IF('CARNET DE SOUDURE'!E259="","",'CARNET DE SOUDURE'!D259&amp;"")</f>
        <v/>
      </c>
      <c r="E259" s="96" t="str">
        <f aca="false">IF(OR('CARNET DE SOUDURE'!E259="",'CARNET DE SOUDURE'!R259=""),"",'CARNET DE SOUDURE'!R259)</f>
        <v/>
      </c>
      <c r="F259" s="81" t="str">
        <f aca="false">IF('CARNET DE SOUDURE'!E259="","",'CARNET DE SOUDURE'!AL259)</f>
        <v/>
      </c>
      <c r="G259" s="81" t="str">
        <f aca="false">IF('CARNET DE SOUDURE'!E259="","",'CARNET DE SOUDURE'!AM259)</f>
        <v>À SOUDER</v>
      </c>
      <c r="H259" s="81" t="str">
        <f aca="false">IF(C259="","",IF(G259="ACCEPTÉ","OUI","NON"))</f>
        <v>NON</v>
      </c>
      <c r="I259" s="82"/>
      <c r="J259" s="79"/>
      <c r="K259" s="80"/>
      <c r="L259" s="80"/>
      <c r="M259" s="80"/>
      <c r="N259" s="83" t="str">
        <f aca="false">IF(C259="","",IF(I259="",IF(H259="OUI","À ENROBER",IF(G259="À SOUDER","NON SOUDÉ","EN ATTENTE RT")),IF(L259="R","À REPRENDRE",IF(H259&lt;&gt;"OUI","⚠ ENROBÉ AVANT ACCEPTATION RT","ENROBÉ"))))</f>
        <v>NON SOUDÉ</v>
      </c>
      <c r="O259" s="79"/>
    </row>
    <row r="260" customFormat="false" ht="15" hidden="false" customHeight="false" outlineLevel="0" collapsed="false">
      <c r="A260" s="78" t="n">
        <f aca="false">IF('CARNET DE SOUDURE'!E260="","",'CARNET DE SOUDURE'!A260)</f>
        <v>254</v>
      </c>
      <c r="B260" s="93" t="str">
        <f aca="false">IF('CARNET DE SOUDURE'!E260="","",'CARNET DE SOUDURE'!B260&amp;"")</f>
        <v>ISB-302</v>
      </c>
      <c r="C260" s="83" t="str">
        <f aca="false">IF('CARNET DE SOUDURE'!E260="","",'CARNET DE SOUDURE'!E260)</f>
        <v>JN°049</v>
      </c>
      <c r="D260" s="78" t="str">
        <f aca="false">IF('CARNET DE SOUDURE'!E260="","",'CARNET DE SOUDURE'!D260&amp;"")</f>
        <v/>
      </c>
      <c r="E260" s="96" t="str">
        <f aca="false">IF(OR('CARNET DE SOUDURE'!E260="",'CARNET DE SOUDURE'!R260=""),"",'CARNET DE SOUDURE'!R260)</f>
        <v/>
      </c>
      <c r="F260" s="81" t="str">
        <f aca="false">IF('CARNET DE SOUDURE'!E260="","",'CARNET DE SOUDURE'!AL260)</f>
        <v/>
      </c>
      <c r="G260" s="81" t="str">
        <f aca="false">IF('CARNET DE SOUDURE'!E260="","",'CARNET DE SOUDURE'!AM260)</f>
        <v>À SOUDER</v>
      </c>
      <c r="H260" s="81" t="str">
        <f aca="false">IF(C260="","",IF(G260="ACCEPTÉ","OUI","NON"))</f>
        <v>NON</v>
      </c>
      <c r="I260" s="82"/>
      <c r="J260" s="79"/>
      <c r="K260" s="80"/>
      <c r="L260" s="80"/>
      <c r="M260" s="80"/>
      <c r="N260" s="83" t="str">
        <f aca="false">IF(C260="","",IF(I260="",IF(H260="OUI","À ENROBER",IF(G260="À SOUDER","NON SOUDÉ","EN ATTENTE RT")),IF(L260="R","À REPRENDRE",IF(H260&lt;&gt;"OUI","⚠ ENROBÉ AVANT ACCEPTATION RT","ENROBÉ"))))</f>
        <v>NON SOUDÉ</v>
      </c>
      <c r="O260" s="79"/>
    </row>
    <row r="261" customFormat="false" ht="15" hidden="false" customHeight="false" outlineLevel="0" collapsed="false">
      <c r="A261" s="78" t="n">
        <f aca="false">IF('CARNET DE SOUDURE'!E261="","",'CARNET DE SOUDURE'!A261)</f>
        <v>255</v>
      </c>
      <c r="B261" s="93" t="str">
        <f aca="false">IF('CARNET DE SOUDURE'!E261="","",'CARNET DE SOUDURE'!B261&amp;"")</f>
        <v>ISB-302</v>
      </c>
      <c r="C261" s="83" t="str">
        <f aca="false">IF('CARNET DE SOUDURE'!E261="","",'CARNET DE SOUDURE'!E261)</f>
        <v>JN°050</v>
      </c>
      <c r="D261" s="78" t="str">
        <f aca="false">IF('CARNET DE SOUDURE'!E261="","",'CARNET DE SOUDURE'!D261&amp;"")</f>
        <v/>
      </c>
      <c r="E261" s="96" t="str">
        <f aca="false">IF(OR('CARNET DE SOUDURE'!E261="",'CARNET DE SOUDURE'!R261=""),"",'CARNET DE SOUDURE'!R261)</f>
        <v/>
      </c>
      <c r="F261" s="81" t="str">
        <f aca="false">IF('CARNET DE SOUDURE'!E261="","",'CARNET DE SOUDURE'!AL261)</f>
        <v/>
      </c>
      <c r="G261" s="81" t="str">
        <f aca="false">IF('CARNET DE SOUDURE'!E261="","",'CARNET DE SOUDURE'!AM261)</f>
        <v>À SOUDER</v>
      </c>
      <c r="H261" s="81" t="str">
        <f aca="false">IF(C261="","",IF(G261="ACCEPTÉ","OUI","NON"))</f>
        <v>NON</v>
      </c>
      <c r="I261" s="82"/>
      <c r="J261" s="79"/>
      <c r="K261" s="80"/>
      <c r="L261" s="80"/>
      <c r="M261" s="80"/>
      <c r="N261" s="83" t="str">
        <f aca="false">IF(C261="","",IF(I261="",IF(H261="OUI","À ENROBER",IF(G261="À SOUDER","NON SOUDÉ","EN ATTENTE RT")),IF(L261="R","À REPRENDRE",IF(H261&lt;&gt;"OUI","⚠ ENROBÉ AVANT ACCEPTATION RT","ENROBÉ"))))</f>
        <v>NON SOUDÉ</v>
      </c>
      <c r="O261" s="79"/>
    </row>
    <row r="262" customFormat="false" ht="15" hidden="false" customHeight="false" outlineLevel="0" collapsed="false">
      <c r="A262" s="78" t="n">
        <f aca="false">IF('CARNET DE SOUDURE'!E262="","",'CARNET DE SOUDURE'!A262)</f>
        <v>256</v>
      </c>
      <c r="B262" s="93" t="str">
        <f aca="false">IF('CARNET DE SOUDURE'!E262="","",'CARNET DE SOUDURE'!B262&amp;"")</f>
        <v>ISB-302</v>
      </c>
      <c r="C262" s="83" t="str">
        <f aca="false">IF('CARNET DE SOUDURE'!E262="","",'CARNET DE SOUDURE'!E262)</f>
        <v>JN°051</v>
      </c>
      <c r="D262" s="78" t="str">
        <f aca="false">IF('CARNET DE SOUDURE'!E262="","",'CARNET DE SOUDURE'!D262&amp;"")</f>
        <v/>
      </c>
      <c r="E262" s="96" t="str">
        <f aca="false">IF(OR('CARNET DE SOUDURE'!E262="",'CARNET DE SOUDURE'!R262=""),"",'CARNET DE SOUDURE'!R262)</f>
        <v/>
      </c>
      <c r="F262" s="81" t="str">
        <f aca="false">IF('CARNET DE SOUDURE'!E262="","",'CARNET DE SOUDURE'!AL262)</f>
        <v/>
      </c>
      <c r="G262" s="81" t="str">
        <f aca="false">IF('CARNET DE SOUDURE'!E262="","",'CARNET DE SOUDURE'!AM262)</f>
        <v>À SOUDER</v>
      </c>
      <c r="H262" s="81" t="str">
        <f aca="false">IF(C262="","",IF(G262="ACCEPTÉ","OUI","NON"))</f>
        <v>NON</v>
      </c>
      <c r="I262" s="82"/>
      <c r="J262" s="79"/>
      <c r="K262" s="80"/>
      <c r="L262" s="80"/>
      <c r="M262" s="80"/>
      <c r="N262" s="83" t="str">
        <f aca="false">IF(C262="","",IF(I262="",IF(H262="OUI","À ENROBER",IF(G262="À SOUDER","NON SOUDÉ","EN ATTENTE RT")),IF(L262="R","À REPRENDRE",IF(H262&lt;&gt;"OUI","⚠ ENROBÉ AVANT ACCEPTATION RT","ENROBÉ"))))</f>
        <v>NON SOUDÉ</v>
      </c>
      <c r="O262" s="79"/>
    </row>
    <row r="263" customFormat="false" ht="15" hidden="false" customHeight="false" outlineLevel="0" collapsed="false">
      <c r="A263" s="78" t="n">
        <f aca="false">IF('CARNET DE SOUDURE'!E263="","",'CARNET DE SOUDURE'!A263)</f>
        <v>257</v>
      </c>
      <c r="B263" s="93" t="str">
        <f aca="false">IF('CARNET DE SOUDURE'!E263="","",'CARNET DE SOUDURE'!B263&amp;"")</f>
        <v>ISB-302</v>
      </c>
      <c r="C263" s="83" t="str">
        <f aca="false">IF('CARNET DE SOUDURE'!E263="","",'CARNET DE SOUDURE'!E263)</f>
        <v>JN°052</v>
      </c>
      <c r="D263" s="78" t="str">
        <f aca="false">IF('CARNET DE SOUDURE'!E263="","",'CARNET DE SOUDURE'!D263&amp;"")</f>
        <v/>
      </c>
      <c r="E263" s="96" t="str">
        <f aca="false">IF(OR('CARNET DE SOUDURE'!E263="",'CARNET DE SOUDURE'!R263=""),"",'CARNET DE SOUDURE'!R263)</f>
        <v/>
      </c>
      <c r="F263" s="81" t="str">
        <f aca="false">IF('CARNET DE SOUDURE'!E263="","",'CARNET DE SOUDURE'!AL263)</f>
        <v/>
      </c>
      <c r="G263" s="81" t="str">
        <f aca="false">IF('CARNET DE SOUDURE'!E263="","",'CARNET DE SOUDURE'!AM263)</f>
        <v>À SOUDER</v>
      </c>
      <c r="H263" s="81" t="str">
        <f aca="false">IF(C263="","",IF(G263="ACCEPTÉ","OUI","NON"))</f>
        <v>NON</v>
      </c>
      <c r="I263" s="82"/>
      <c r="J263" s="79"/>
      <c r="K263" s="80"/>
      <c r="L263" s="80"/>
      <c r="M263" s="80"/>
      <c r="N263" s="83" t="str">
        <f aca="false">IF(C263="","",IF(I263="",IF(H263="OUI","À ENROBER",IF(G263="À SOUDER","NON SOUDÉ","EN ATTENTE RT")),IF(L263="R","À REPRENDRE",IF(H263&lt;&gt;"OUI","⚠ ENROBÉ AVANT ACCEPTATION RT","ENROBÉ"))))</f>
        <v>NON SOUDÉ</v>
      </c>
      <c r="O263" s="79"/>
    </row>
    <row r="264" customFormat="false" ht="15" hidden="false" customHeight="false" outlineLevel="0" collapsed="false">
      <c r="A264" s="78" t="n">
        <f aca="false">IF('CARNET DE SOUDURE'!E264="","",'CARNET DE SOUDURE'!A264)</f>
        <v>258</v>
      </c>
      <c r="B264" s="93" t="str">
        <f aca="false">IF('CARNET DE SOUDURE'!E264="","",'CARNET DE SOUDURE'!B264&amp;"")</f>
        <v>ISB-302</v>
      </c>
      <c r="C264" s="83" t="str">
        <f aca="false">IF('CARNET DE SOUDURE'!E264="","",'CARNET DE SOUDURE'!E264)</f>
        <v>JN°053</v>
      </c>
      <c r="D264" s="78" t="str">
        <f aca="false">IF('CARNET DE SOUDURE'!E264="","",'CARNET DE SOUDURE'!D264&amp;"")</f>
        <v/>
      </c>
      <c r="E264" s="96" t="str">
        <f aca="false">IF(OR('CARNET DE SOUDURE'!E264="",'CARNET DE SOUDURE'!R264=""),"",'CARNET DE SOUDURE'!R264)</f>
        <v/>
      </c>
      <c r="F264" s="81" t="str">
        <f aca="false">IF('CARNET DE SOUDURE'!E264="","",'CARNET DE SOUDURE'!AL264)</f>
        <v/>
      </c>
      <c r="G264" s="81" t="str">
        <f aca="false">IF('CARNET DE SOUDURE'!E264="","",'CARNET DE SOUDURE'!AM264)</f>
        <v>À SOUDER</v>
      </c>
      <c r="H264" s="81" t="str">
        <f aca="false">IF(C264="","",IF(G264="ACCEPTÉ","OUI","NON"))</f>
        <v>NON</v>
      </c>
      <c r="I264" s="82"/>
      <c r="J264" s="79"/>
      <c r="K264" s="80"/>
      <c r="L264" s="80"/>
      <c r="M264" s="80"/>
      <c r="N264" s="83" t="str">
        <f aca="false">IF(C264="","",IF(I264="",IF(H264="OUI","À ENROBER",IF(G264="À SOUDER","NON SOUDÉ","EN ATTENTE RT")),IF(L264="R","À REPRENDRE",IF(H264&lt;&gt;"OUI","⚠ ENROBÉ AVANT ACCEPTATION RT","ENROBÉ"))))</f>
        <v>NON SOUDÉ</v>
      </c>
      <c r="O264" s="79"/>
    </row>
    <row r="265" customFormat="false" ht="15" hidden="false" customHeight="false" outlineLevel="0" collapsed="false">
      <c r="A265" s="78" t="n">
        <f aca="false">IF('CARNET DE SOUDURE'!E265="","",'CARNET DE SOUDURE'!A265)</f>
        <v>259</v>
      </c>
      <c r="B265" s="93" t="str">
        <f aca="false">IF('CARNET DE SOUDURE'!E265="","",'CARNET DE SOUDURE'!B265&amp;"")</f>
        <v>ISB-302</v>
      </c>
      <c r="C265" s="83" t="str">
        <f aca="false">IF('CARNET DE SOUDURE'!E265="","",'CARNET DE SOUDURE'!E265)</f>
        <v>JN°054</v>
      </c>
      <c r="D265" s="78" t="str">
        <f aca="false">IF('CARNET DE SOUDURE'!E265="","",'CARNET DE SOUDURE'!D265&amp;"")</f>
        <v/>
      </c>
      <c r="E265" s="96" t="str">
        <f aca="false">IF(OR('CARNET DE SOUDURE'!E265="",'CARNET DE SOUDURE'!R265=""),"",'CARNET DE SOUDURE'!R265)</f>
        <v/>
      </c>
      <c r="F265" s="81" t="str">
        <f aca="false">IF('CARNET DE SOUDURE'!E265="","",'CARNET DE SOUDURE'!AL265)</f>
        <v/>
      </c>
      <c r="G265" s="81" t="str">
        <f aca="false">IF('CARNET DE SOUDURE'!E265="","",'CARNET DE SOUDURE'!AM265)</f>
        <v>À SOUDER</v>
      </c>
      <c r="H265" s="81" t="str">
        <f aca="false">IF(C265="","",IF(G265="ACCEPTÉ","OUI","NON"))</f>
        <v>NON</v>
      </c>
      <c r="I265" s="82"/>
      <c r="J265" s="79"/>
      <c r="K265" s="80"/>
      <c r="L265" s="80"/>
      <c r="M265" s="80"/>
      <c r="N265" s="83" t="str">
        <f aca="false">IF(C265="","",IF(I265="",IF(H265="OUI","À ENROBER",IF(G265="À SOUDER","NON SOUDÉ","EN ATTENTE RT")),IF(L265="R","À REPRENDRE",IF(H265&lt;&gt;"OUI","⚠ ENROBÉ AVANT ACCEPTATION RT","ENROBÉ"))))</f>
        <v>NON SOUDÉ</v>
      </c>
      <c r="O265" s="79"/>
    </row>
    <row r="266" customFormat="false" ht="15" hidden="false" customHeight="false" outlineLevel="0" collapsed="false">
      <c r="A266" s="78" t="n">
        <f aca="false">IF('CARNET DE SOUDURE'!E266="","",'CARNET DE SOUDURE'!A266)</f>
        <v>260</v>
      </c>
      <c r="B266" s="93" t="str">
        <f aca="false">IF('CARNET DE SOUDURE'!E266="","",'CARNET DE SOUDURE'!B266&amp;"")</f>
        <v>ISB-302</v>
      </c>
      <c r="C266" s="83" t="str">
        <f aca="false">IF('CARNET DE SOUDURE'!E266="","",'CARNET DE SOUDURE'!E266)</f>
        <v>JN°055</v>
      </c>
      <c r="D266" s="78" t="str">
        <f aca="false">IF('CARNET DE SOUDURE'!E266="","",'CARNET DE SOUDURE'!D266&amp;"")</f>
        <v/>
      </c>
      <c r="E266" s="96" t="str">
        <f aca="false">IF(OR('CARNET DE SOUDURE'!E266="",'CARNET DE SOUDURE'!R266=""),"",'CARNET DE SOUDURE'!R266)</f>
        <v/>
      </c>
      <c r="F266" s="81" t="str">
        <f aca="false">IF('CARNET DE SOUDURE'!E266="","",'CARNET DE SOUDURE'!AL266)</f>
        <v/>
      </c>
      <c r="G266" s="81" t="str">
        <f aca="false">IF('CARNET DE SOUDURE'!E266="","",'CARNET DE SOUDURE'!AM266)</f>
        <v>À SOUDER</v>
      </c>
      <c r="H266" s="81" t="str">
        <f aca="false">IF(C266="","",IF(G266="ACCEPTÉ","OUI","NON"))</f>
        <v>NON</v>
      </c>
      <c r="I266" s="82"/>
      <c r="J266" s="79"/>
      <c r="K266" s="80"/>
      <c r="L266" s="80"/>
      <c r="M266" s="80"/>
      <c r="N266" s="83" t="str">
        <f aca="false">IF(C266="","",IF(I266="",IF(H266="OUI","À ENROBER",IF(G266="À SOUDER","NON SOUDÉ","EN ATTENTE RT")),IF(L266="R","À REPRENDRE",IF(H266&lt;&gt;"OUI","⚠ ENROBÉ AVANT ACCEPTATION RT","ENROBÉ"))))</f>
        <v>NON SOUDÉ</v>
      </c>
      <c r="O266" s="79"/>
    </row>
    <row r="267" customFormat="false" ht="15" hidden="false" customHeight="false" outlineLevel="0" collapsed="false">
      <c r="A267" s="78" t="n">
        <f aca="false">IF('CARNET DE SOUDURE'!E267="","",'CARNET DE SOUDURE'!A267)</f>
        <v>261</v>
      </c>
      <c r="B267" s="93" t="str">
        <f aca="false">IF('CARNET DE SOUDURE'!E267="","",'CARNET DE SOUDURE'!B267&amp;"")</f>
        <v>ISB-302</v>
      </c>
      <c r="C267" s="83" t="str">
        <f aca="false">IF('CARNET DE SOUDURE'!E267="","",'CARNET DE SOUDURE'!E267)</f>
        <v>JN°056</v>
      </c>
      <c r="D267" s="78" t="str">
        <f aca="false">IF('CARNET DE SOUDURE'!E267="","",'CARNET DE SOUDURE'!D267&amp;"")</f>
        <v/>
      </c>
      <c r="E267" s="96" t="str">
        <f aca="false">IF(OR('CARNET DE SOUDURE'!E267="",'CARNET DE SOUDURE'!R267=""),"",'CARNET DE SOUDURE'!R267)</f>
        <v/>
      </c>
      <c r="F267" s="81" t="str">
        <f aca="false">IF('CARNET DE SOUDURE'!E267="","",'CARNET DE SOUDURE'!AL267)</f>
        <v/>
      </c>
      <c r="G267" s="81" t="str">
        <f aca="false">IF('CARNET DE SOUDURE'!E267="","",'CARNET DE SOUDURE'!AM267)</f>
        <v>À SOUDER</v>
      </c>
      <c r="H267" s="81" t="str">
        <f aca="false">IF(C267="","",IF(G267="ACCEPTÉ","OUI","NON"))</f>
        <v>NON</v>
      </c>
      <c r="I267" s="82"/>
      <c r="J267" s="79"/>
      <c r="K267" s="80"/>
      <c r="L267" s="80"/>
      <c r="M267" s="80"/>
      <c r="N267" s="83" t="str">
        <f aca="false">IF(C267="","",IF(I267="",IF(H267="OUI","À ENROBER",IF(G267="À SOUDER","NON SOUDÉ","EN ATTENTE RT")),IF(L267="R","À REPRENDRE",IF(H267&lt;&gt;"OUI","⚠ ENROBÉ AVANT ACCEPTATION RT","ENROBÉ"))))</f>
        <v>NON SOUDÉ</v>
      </c>
      <c r="O267" s="79"/>
    </row>
    <row r="268" customFormat="false" ht="15" hidden="false" customHeight="false" outlineLevel="0" collapsed="false">
      <c r="A268" s="78" t="n">
        <f aca="false">IF('CARNET DE SOUDURE'!E268="","",'CARNET DE SOUDURE'!A268)</f>
        <v>262</v>
      </c>
      <c r="B268" s="93" t="str">
        <f aca="false">IF('CARNET DE SOUDURE'!E268="","",'CARNET DE SOUDURE'!B268&amp;"")</f>
        <v>ISB-302</v>
      </c>
      <c r="C268" s="83" t="str">
        <f aca="false">IF('CARNET DE SOUDURE'!E268="","",'CARNET DE SOUDURE'!E268)</f>
        <v>JN°057</v>
      </c>
      <c r="D268" s="78" t="str">
        <f aca="false">IF('CARNET DE SOUDURE'!E268="","",'CARNET DE SOUDURE'!D268&amp;"")</f>
        <v/>
      </c>
      <c r="E268" s="96" t="str">
        <f aca="false">IF(OR('CARNET DE SOUDURE'!E268="",'CARNET DE SOUDURE'!R268=""),"",'CARNET DE SOUDURE'!R268)</f>
        <v/>
      </c>
      <c r="F268" s="81" t="str">
        <f aca="false">IF('CARNET DE SOUDURE'!E268="","",'CARNET DE SOUDURE'!AL268)</f>
        <v/>
      </c>
      <c r="G268" s="81" t="str">
        <f aca="false">IF('CARNET DE SOUDURE'!E268="","",'CARNET DE SOUDURE'!AM268)</f>
        <v>À SOUDER</v>
      </c>
      <c r="H268" s="81" t="str">
        <f aca="false">IF(C268="","",IF(G268="ACCEPTÉ","OUI","NON"))</f>
        <v>NON</v>
      </c>
      <c r="I268" s="82"/>
      <c r="J268" s="79"/>
      <c r="K268" s="80"/>
      <c r="L268" s="80"/>
      <c r="M268" s="80"/>
      <c r="N268" s="83" t="str">
        <f aca="false">IF(C268="","",IF(I268="",IF(H268="OUI","À ENROBER",IF(G268="À SOUDER","NON SOUDÉ","EN ATTENTE RT")),IF(L268="R","À REPRENDRE",IF(H268&lt;&gt;"OUI","⚠ ENROBÉ AVANT ACCEPTATION RT","ENROBÉ"))))</f>
        <v>NON SOUDÉ</v>
      </c>
      <c r="O268" s="79"/>
    </row>
    <row r="269" customFormat="false" ht="15" hidden="false" customHeight="false" outlineLevel="0" collapsed="false">
      <c r="A269" s="78" t="n">
        <f aca="false">IF('CARNET DE SOUDURE'!E269="","",'CARNET DE SOUDURE'!A269)</f>
        <v>263</v>
      </c>
      <c r="B269" s="93" t="str">
        <f aca="false">IF('CARNET DE SOUDURE'!E269="","",'CARNET DE SOUDURE'!B269&amp;"")</f>
        <v>ISB-302</v>
      </c>
      <c r="C269" s="83" t="str">
        <f aca="false">IF('CARNET DE SOUDURE'!E269="","",'CARNET DE SOUDURE'!E269)</f>
        <v>JN°058</v>
      </c>
      <c r="D269" s="78" t="str">
        <f aca="false">IF('CARNET DE SOUDURE'!E269="","",'CARNET DE SOUDURE'!D269&amp;"")</f>
        <v/>
      </c>
      <c r="E269" s="96" t="str">
        <f aca="false">IF(OR('CARNET DE SOUDURE'!E269="",'CARNET DE SOUDURE'!R269=""),"",'CARNET DE SOUDURE'!R269)</f>
        <v/>
      </c>
      <c r="F269" s="81" t="str">
        <f aca="false">IF('CARNET DE SOUDURE'!E269="","",'CARNET DE SOUDURE'!AL269)</f>
        <v/>
      </c>
      <c r="G269" s="81" t="str">
        <f aca="false">IF('CARNET DE SOUDURE'!E269="","",'CARNET DE SOUDURE'!AM269)</f>
        <v>À SOUDER</v>
      </c>
      <c r="H269" s="81" t="str">
        <f aca="false">IF(C269="","",IF(G269="ACCEPTÉ","OUI","NON"))</f>
        <v>NON</v>
      </c>
      <c r="I269" s="82"/>
      <c r="J269" s="79"/>
      <c r="K269" s="80"/>
      <c r="L269" s="80"/>
      <c r="M269" s="80"/>
      <c r="N269" s="83" t="str">
        <f aca="false">IF(C269="","",IF(I269="",IF(H269="OUI","À ENROBER",IF(G269="À SOUDER","NON SOUDÉ","EN ATTENTE RT")),IF(L269="R","À REPRENDRE",IF(H269&lt;&gt;"OUI","⚠ ENROBÉ AVANT ACCEPTATION RT","ENROBÉ"))))</f>
        <v>NON SOUDÉ</v>
      </c>
      <c r="O269" s="79"/>
    </row>
    <row r="270" customFormat="false" ht="15" hidden="false" customHeight="false" outlineLevel="0" collapsed="false">
      <c r="A270" s="78" t="n">
        <f aca="false">IF('CARNET DE SOUDURE'!E270="","",'CARNET DE SOUDURE'!A270)</f>
        <v>264</v>
      </c>
      <c r="B270" s="93" t="str">
        <f aca="false">IF('CARNET DE SOUDURE'!E270="","",'CARNET DE SOUDURE'!B270&amp;"")</f>
        <v>ISB-302</v>
      </c>
      <c r="C270" s="83" t="str">
        <f aca="false">IF('CARNET DE SOUDURE'!E270="","",'CARNET DE SOUDURE'!E270)</f>
        <v>JN°059</v>
      </c>
      <c r="D270" s="78" t="str">
        <f aca="false">IF('CARNET DE SOUDURE'!E270="","",'CARNET DE SOUDURE'!D270&amp;"")</f>
        <v/>
      </c>
      <c r="E270" s="96" t="str">
        <f aca="false">IF(OR('CARNET DE SOUDURE'!E270="",'CARNET DE SOUDURE'!R270=""),"",'CARNET DE SOUDURE'!R270)</f>
        <v/>
      </c>
      <c r="F270" s="81" t="str">
        <f aca="false">IF('CARNET DE SOUDURE'!E270="","",'CARNET DE SOUDURE'!AL270)</f>
        <v/>
      </c>
      <c r="G270" s="81" t="str">
        <f aca="false">IF('CARNET DE SOUDURE'!E270="","",'CARNET DE SOUDURE'!AM270)</f>
        <v>À SOUDER</v>
      </c>
      <c r="H270" s="81" t="str">
        <f aca="false">IF(C270="","",IF(G270="ACCEPTÉ","OUI","NON"))</f>
        <v>NON</v>
      </c>
      <c r="I270" s="82"/>
      <c r="J270" s="79"/>
      <c r="K270" s="80"/>
      <c r="L270" s="80"/>
      <c r="M270" s="80"/>
      <c r="N270" s="83" t="str">
        <f aca="false">IF(C270="","",IF(I270="",IF(H270="OUI","À ENROBER",IF(G270="À SOUDER","NON SOUDÉ","EN ATTENTE RT")),IF(L270="R","À REPRENDRE",IF(H270&lt;&gt;"OUI","⚠ ENROBÉ AVANT ACCEPTATION RT","ENROBÉ"))))</f>
        <v>NON SOUDÉ</v>
      </c>
      <c r="O270" s="79"/>
    </row>
    <row r="271" customFormat="false" ht="15" hidden="false" customHeight="false" outlineLevel="0" collapsed="false">
      <c r="A271" s="78" t="n">
        <f aca="false">IF('CARNET DE SOUDURE'!E271="","",'CARNET DE SOUDURE'!A271)</f>
        <v>265</v>
      </c>
      <c r="B271" s="93" t="str">
        <f aca="false">IF('CARNET DE SOUDURE'!E271="","",'CARNET DE SOUDURE'!B271&amp;"")</f>
        <v>ISB-302</v>
      </c>
      <c r="C271" s="83" t="str">
        <f aca="false">IF('CARNET DE SOUDURE'!E271="","",'CARNET DE SOUDURE'!E271)</f>
        <v>JN°060</v>
      </c>
      <c r="D271" s="78" t="str">
        <f aca="false">IF('CARNET DE SOUDURE'!E271="","",'CARNET DE SOUDURE'!D271&amp;"")</f>
        <v/>
      </c>
      <c r="E271" s="96" t="str">
        <f aca="false">IF(OR('CARNET DE SOUDURE'!E271="",'CARNET DE SOUDURE'!R271=""),"",'CARNET DE SOUDURE'!R271)</f>
        <v/>
      </c>
      <c r="F271" s="81" t="str">
        <f aca="false">IF('CARNET DE SOUDURE'!E271="","",'CARNET DE SOUDURE'!AL271)</f>
        <v/>
      </c>
      <c r="G271" s="81" t="str">
        <f aca="false">IF('CARNET DE SOUDURE'!E271="","",'CARNET DE SOUDURE'!AM271)</f>
        <v>À SOUDER</v>
      </c>
      <c r="H271" s="81" t="str">
        <f aca="false">IF(C271="","",IF(G271="ACCEPTÉ","OUI","NON"))</f>
        <v>NON</v>
      </c>
      <c r="I271" s="82"/>
      <c r="J271" s="79"/>
      <c r="K271" s="80"/>
      <c r="L271" s="80"/>
      <c r="M271" s="80"/>
      <c r="N271" s="83" t="str">
        <f aca="false">IF(C271="","",IF(I271="",IF(H271="OUI","À ENROBER",IF(G271="À SOUDER","NON SOUDÉ","EN ATTENTE RT")),IF(L271="R","À REPRENDRE",IF(H271&lt;&gt;"OUI","⚠ ENROBÉ AVANT ACCEPTATION RT","ENROBÉ"))))</f>
        <v>NON SOUDÉ</v>
      </c>
      <c r="O271" s="79"/>
    </row>
    <row r="272" customFormat="false" ht="15" hidden="false" customHeight="false" outlineLevel="0" collapsed="false">
      <c r="A272" s="78" t="n">
        <f aca="false">IF('CARNET DE SOUDURE'!E272="","",'CARNET DE SOUDURE'!A272)</f>
        <v>266</v>
      </c>
      <c r="B272" s="93" t="str">
        <f aca="false">IF('CARNET DE SOUDURE'!E272="","",'CARNET DE SOUDURE'!B272&amp;"")</f>
        <v>ISB-302</v>
      </c>
      <c r="C272" s="83" t="str">
        <f aca="false">IF('CARNET DE SOUDURE'!E272="","",'CARNET DE SOUDURE'!E272)</f>
        <v>JN°061</v>
      </c>
      <c r="D272" s="78" t="str">
        <f aca="false">IF('CARNET DE SOUDURE'!E272="","",'CARNET DE SOUDURE'!D272&amp;"")</f>
        <v/>
      </c>
      <c r="E272" s="96" t="str">
        <f aca="false">IF(OR('CARNET DE SOUDURE'!E272="",'CARNET DE SOUDURE'!R272=""),"",'CARNET DE SOUDURE'!R272)</f>
        <v/>
      </c>
      <c r="F272" s="81" t="str">
        <f aca="false">IF('CARNET DE SOUDURE'!E272="","",'CARNET DE SOUDURE'!AL272)</f>
        <v/>
      </c>
      <c r="G272" s="81" t="str">
        <f aca="false">IF('CARNET DE SOUDURE'!E272="","",'CARNET DE SOUDURE'!AM272)</f>
        <v>À SOUDER</v>
      </c>
      <c r="H272" s="81" t="str">
        <f aca="false">IF(C272="","",IF(G272="ACCEPTÉ","OUI","NON"))</f>
        <v>NON</v>
      </c>
      <c r="I272" s="82"/>
      <c r="J272" s="79"/>
      <c r="K272" s="80"/>
      <c r="L272" s="80"/>
      <c r="M272" s="80"/>
      <c r="N272" s="83" t="str">
        <f aca="false">IF(C272="","",IF(I272="",IF(H272="OUI","À ENROBER",IF(G272="À SOUDER","NON SOUDÉ","EN ATTENTE RT")),IF(L272="R","À REPRENDRE",IF(H272&lt;&gt;"OUI","⚠ ENROBÉ AVANT ACCEPTATION RT","ENROBÉ"))))</f>
        <v>NON SOUDÉ</v>
      </c>
      <c r="O272" s="79"/>
    </row>
    <row r="273" customFormat="false" ht="15" hidden="false" customHeight="false" outlineLevel="0" collapsed="false">
      <c r="A273" s="78" t="n">
        <f aca="false">IF('CARNET DE SOUDURE'!E273="","",'CARNET DE SOUDURE'!A273)</f>
        <v>267</v>
      </c>
      <c r="B273" s="93" t="str">
        <f aca="false">IF('CARNET DE SOUDURE'!E273="","",'CARNET DE SOUDURE'!B273&amp;"")</f>
        <v>ISB-302</v>
      </c>
      <c r="C273" s="83" t="str">
        <f aca="false">IF('CARNET DE SOUDURE'!E273="","",'CARNET DE SOUDURE'!E273)</f>
        <v>JN°062</v>
      </c>
      <c r="D273" s="78" t="str">
        <f aca="false">IF('CARNET DE SOUDURE'!E273="","",'CARNET DE SOUDURE'!D273&amp;"")</f>
        <v/>
      </c>
      <c r="E273" s="96" t="str">
        <f aca="false">IF(OR('CARNET DE SOUDURE'!E273="",'CARNET DE SOUDURE'!R273=""),"",'CARNET DE SOUDURE'!R273)</f>
        <v/>
      </c>
      <c r="F273" s="81" t="str">
        <f aca="false">IF('CARNET DE SOUDURE'!E273="","",'CARNET DE SOUDURE'!AL273)</f>
        <v/>
      </c>
      <c r="G273" s="81" t="str">
        <f aca="false">IF('CARNET DE SOUDURE'!E273="","",'CARNET DE SOUDURE'!AM273)</f>
        <v>À SOUDER</v>
      </c>
      <c r="H273" s="81" t="str">
        <f aca="false">IF(C273="","",IF(G273="ACCEPTÉ","OUI","NON"))</f>
        <v>NON</v>
      </c>
      <c r="I273" s="82"/>
      <c r="J273" s="79"/>
      <c r="K273" s="80"/>
      <c r="L273" s="80"/>
      <c r="M273" s="80"/>
      <c r="N273" s="83" t="str">
        <f aca="false">IF(C273="","",IF(I273="",IF(H273="OUI","À ENROBER",IF(G273="À SOUDER","NON SOUDÉ","EN ATTENTE RT")),IF(L273="R","À REPRENDRE",IF(H273&lt;&gt;"OUI","⚠ ENROBÉ AVANT ACCEPTATION RT","ENROBÉ"))))</f>
        <v>NON SOUDÉ</v>
      </c>
      <c r="O273" s="79"/>
    </row>
    <row r="274" customFormat="false" ht="15" hidden="false" customHeight="false" outlineLevel="0" collapsed="false">
      <c r="A274" s="78" t="n">
        <f aca="false">IF('CARNET DE SOUDURE'!E274="","",'CARNET DE SOUDURE'!A274)</f>
        <v>268</v>
      </c>
      <c r="B274" s="93" t="str">
        <f aca="false">IF('CARNET DE SOUDURE'!E274="","",'CARNET DE SOUDURE'!B274&amp;"")</f>
        <v>ISB-302</v>
      </c>
      <c r="C274" s="83" t="str">
        <f aca="false">IF('CARNET DE SOUDURE'!E274="","",'CARNET DE SOUDURE'!E274)</f>
        <v>JN°063</v>
      </c>
      <c r="D274" s="78" t="str">
        <f aca="false">IF('CARNET DE SOUDURE'!E274="","",'CARNET DE SOUDURE'!D274&amp;"")</f>
        <v/>
      </c>
      <c r="E274" s="96" t="str">
        <f aca="false">IF(OR('CARNET DE SOUDURE'!E274="",'CARNET DE SOUDURE'!R274=""),"",'CARNET DE SOUDURE'!R274)</f>
        <v/>
      </c>
      <c r="F274" s="81" t="str">
        <f aca="false">IF('CARNET DE SOUDURE'!E274="","",'CARNET DE SOUDURE'!AL274)</f>
        <v/>
      </c>
      <c r="G274" s="81" t="str">
        <f aca="false">IF('CARNET DE SOUDURE'!E274="","",'CARNET DE SOUDURE'!AM274)</f>
        <v>À SOUDER</v>
      </c>
      <c r="H274" s="81" t="str">
        <f aca="false">IF(C274="","",IF(G274="ACCEPTÉ","OUI","NON"))</f>
        <v>NON</v>
      </c>
      <c r="I274" s="82"/>
      <c r="J274" s="79"/>
      <c r="K274" s="80"/>
      <c r="L274" s="80"/>
      <c r="M274" s="80"/>
      <c r="N274" s="83" t="str">
        <f aca="false">IF(C274="","",IF(I274="",IF(H274="OUI","À ENROBER",IF(G274="À SOUDER","NON SOUDÉ","EN ATTENTE RT")),IF(L274="R","À REPRENDRE",IF(H274&lt;&gt;"OUI","⚠ ENROBÉ AVANT ACCEPTATION RT","ENROBÉ"))))</f>
        <v>NON SOUDÉ</v>
      </c>
      <c r="O274" s="79"/>
    </row>
    <row r="275" customFormat="false" ht="15" hidden="false" customHeight="false" outlineLevel="0" collapsed="false">
      <c r="A275" s="78" t="n">
        <f aca="false">IF('CARNET DE SOUDURE'!E275="","",'CARNET DE SOUDURE'!A275)</f>
        <v>269</v>
      </c>
      <c r="B275" s="93" t="str">
        <f aca="false">IF('CARNET DE SOUDURE'!E275="","",'CARNET DE SOUDURE'!B275&amp;"")</f>
        <v>ISB-302</v>
      </c>
      <c r="C275" s="83" t="str">
        <f aca="false">IF('CARNET DE SOUDURE'!E275="","",'CARNET DE SOUDURE'!E275)</f>
        <v>JN°064</v>
      </c>
      <c r="D275" s="78" t="str">
        <f aca="false">IF('CARNET DE SOUDURE'!E275="","",'CARNET DE SOUDURE'!D275&amp;"")</f>
        <v/>
      </c>
      <c r="E275" s="96" t="str">
        <f aca="false">IF(OR('CARNET DE SOUDURE'!E275="",'CARNET DE SOUDURE'!R275=""),"",'CARNET DE SOUDURE'!R275)</f>
        <v/>
      </c>
      <c r="F275" s="81" t="str">
        <f aca="false">IF('CARNET DE SOUDURE'!E275="","",'CARNET DE SOUDURE'!AL275)</f>
        <v/>
      </c>
      <c r="G275" s="81" t="str">
        <f aca="false">IF('CARNET DE SOUDURE'!E275="","",'CARNET DE SOUDURE'!AM275)</f>
        <v>À SOUDER</v>
      </c>
      <c r="H275" s="81" t="str">
        <f aca="false">IF(C275="","",IF(G275="ACCEPTÉ","OUI","NON"))</f>
        <v>NON</v>
      </c>
      <c r="I275" s="82"/>
      <c r="J275" s="79"/>
      <c r="K275" s="80"/>
      <c r="L275" s="80"/>
      <c r="M275" s="80"/>
      <c r="N275" s="83" t="str">
        <f aca="false">IF(C275="","",IF(I275="",IF(H275="OUI","À ENROBER",IF(G275="À SOUDER","NON SOUDÉ","EN ATTENTE RT")),IF(L275="R","À REPRENDRE",IF(H275&lt;&gt;"OUI","⚠ ENROBÉ AVANT ACCEPTATION RT","ENROBÉ"))))</f>
        <v>NON SOUDÉ</v>
      </c>
      <c r="O275" s="79"/>
    </row>
    <row r="276" customFormat="false" ht="15" hidden="false" customHeight="false" outlineLevel="0" collapsed="false">
      <c r="A276" s="78" t="n">
        <f aca="false">IF('CARNET DE SOUDURE'!E276="","",'CARNET DE SOUDURE'!A276)</f>
        <v>270</v>
      </c>
      <c r="B276" s="93" t="str">
        <f aca="false">IF('CARNET DE SOUDURE'!E276="","",'CARNET DE SOUDURE'!B276&amp;"")</f>
        <v>ISB-302</v>
      </c>
      <c r="C276" s="83" t="str">
        <f aca="false">IF('CARNET DE SOUDURE'!E276="","",'CARNET DE SOUDURE'!E276)</f>
        <v>JN°065</v>
      </c>
      <c r="D276" s="78" t="str">
        <f aca="false">IF('CARNET DE SOUDURE'!E276="","",'CARNET DE SOUDURE'!D276&amp;"")</f>
        <v/>
      </c>
      <c r="E276" s="96" t="str">
        <f aca="false">IF(OR('CARNET DE SOUDURE'!E276="",'CARNET DE SOUDURE'!R276=""),"",'CARNET DE SOUDURE'!R276)</f>
        <v/>
      </c>
      <c r="F276" s="81" t="str">
        <f aca="false">IF('CARNET DE SOUDURE'!E276="","",'CARNET DE SOUDURE'!AL276)</f>
        <v/>
      </c>
      <c r="G276" s="81" t="str">
        <f aca="false">IF('CARNET DE SOUDURE'!E276="","",'CARNET DE SOUDURE'!AM276)</f>
        <v>À SOUDER</v>
      </c>
      <c r="H276" s="81" t="str">
        <f aca="false">IF(C276="","",IF(G276="ACCEPTÉ","OUI","NON"))</f>
        <v>NON</v>
      </c>
      <c r="I276" s="82"/>
      <c r="J276" s="79"/>
      <c r="K276" s="80"/>
      <c r="L276" s="80"/>
      <c r="M276" s="80"/>
      <c r="N276" s="83" t="str">
        <f aca="false">IF(C276="","",IF(I276="",IF(H276="OUI","À ENROBER",IF(G276="À SOUDER","NON SOUDÉ","EN ATTENTE RT")),IF(L276="R","À REPRENDRE",IF(H276&lt;&gt;"OUI","⚠ ENROBÉ AVANT ACCEPTATION RT","ENROBÉ"))))</f>
        <v>NON SOUDÉ</v>
      </c>
      <c r="O276" s="79"/>
    </row>
    <row r="277" customFormat="false" ht="15" hidden="false" customHeight="false" outlineLevel="0" collapsed="false">
      <c r="A277" s="78" t="n">
        <f aca="false">IF('CARNET DE SOUDURE'!E277="","",'CARNET DE SOUDURE'!A277)</f>
        <v>271</v>
      </c>
      <c r="B277" s="93" t="str">
        <f aca="false">IF('CARNET DE SOUDURE'!E277="","",'CARNET DE SOUDURE'!B277&amp;"")</f>
        <v>ISB-302</v>
      </c>
      <c r="C277" s="83" t="str">
        <f aca="false">IF('CARNET DE SOUDURE'!E277="","",'CARNET DE SOUDURE'!E277)</f>
        <v>JN°066</v>
      </c>
      <c r="D277" s="78" t="str">
        <f aca="false">IF('CARNET DE SOUDURE'!E277="","",'CARNET DE SOUDURE'!D277&amp;"")</f>
        <v/>
      </c>
      <c r="E277" s="96" t="str">
        <f aca="false">IF(OR('CARNET DE SOUDURE'!E277="",'CARNET DE SOUDURE'!R277=""),"",'CARNET DE SOUDURE'!R277)</f>
        <v/>
      </c>
      <c r="F277" s="81" t="str">
        <f aca="false">IF('CARNET DE SOUDURE'!E277="","",'CARNET DE SOUDURE'!AL277)</f>
        <v/>
      </c>
      <c r="G277" s="81" t="str">
        <f aca="false">IF('CARNET DE SOUDURE'!E277="","",'CARNET DE SOUDURE'!AM277)</f>
        <v>À SOUDER</v>
      </c>
      <c r="H277" s="81" t="str">
        <f aca="false">IF(C277="","",IF(G277="ACCEPTÉ","OUI","NON"))</f>
        <v>NON</v>
      </c>
      <c r="I277" s="82"/>
      <c r="J277" s="79"/>
      <c r="K277" s="80"/>
      <c r="L277" s="80"/>
      <c r="M277" s="80"/>
      <c r="N277" s="83" t="str">
        <f aca="false">IF(C277="","",IF(I277="",IF(H277="OUI","À ENROBER",IF(G277="À SOUDER","NON SOUDÉ","EN ATTENTE RT")),IF(L277="R","À REPRENDRE",IF(H277&lt;&gt;"OUI","⚠ ENROBÉ AVANT ACCEPTATION RT","ENROBÉ"))))</f>
        <v>NON SOUDÉ</v>
      </c>
      <c r="O277" s="79"/>
    </row>
    <row r="278" customFormat="false" ht="15" hidden="false" customHeight="false" outlineLevel="0" collapsed="false">
      <c r="A278" s="78" t="n">
        <f aca="false">IF('CARNET DE SOUDURE'!E278="","",'CARNET DE SOUDURE'!A278)</f>
        <v>272</v>
      </c>
      <c r="B278" s="93" t="str">
        <f aca="false">IF('CARNET DE SOUDURE'!E278="","",'CARNET DE SOUDURE'!B278&amp;"")</f>
        <v>ISB-302</v>
      </c>
      <c r="C278" s="83" t="str">
        <f aca="false">IF('CARNET DE SOUDURE'!E278="","",'CARNET DE SOUDURE'!E278)</f>
        <v>JN°067</v>
      </c>
      <c r="D278" s="78" t="str">
        <f aca="false">IF('CARNET DE SOUDURE'!E278="","",'CARNET DE SOUDURE'!D278&amp;"")</f>
        <v/>
      </c>
      <c r="E278" s="96" t="str">
        <f aca="false">IF(OR('CARNET DE SOUDURE'!E278="",'CARNET DE SOUDURE'!R278=""),"",'CARNET DE SOUDURE'!R278)</f>
        <v/>
      </c>
      <c r="F278" s="81" t="str">
        <f aca="false">IF('CARNET DE SOUDURE'!E278="","",'CARNET DE SOUDURE'!AL278)</f>
        <v/>
      </c>
      <c r="G278" s="81" t="str">
        <f aca="false">IF('CARNET DE SOUDURE'!E278="","",'CARNET DE SOUDURE'!AM278)</f>
        <v>À SOUDER</v>
      </c>
      <c r="H278" s="81" t="str">
        <f aca="false">IF(C278="","",IF(G278="ACCEPTÉ","OUI","NON"))</f>
        <v>NON</v>
      </c>
      <c r="I278" s="82"/>
      <c r="J278" s="79"/>
      <c r="K278" s="80"/>
      <c r="L278" s="80"/>
      <c r="M278" s="80"/>
      <c r="N278" s="83" t="str">
        <f aca="false">IF(C278="","",IF(I278="",IF(H278="OUI","À ENROBER",IF(G278="À SOUDER","NON SOUDÉ","EN ATTENTE RT")),IF(L278="R","À REPRENDRE",IF(H278&lt;&gt;"OUI","⚠ ENROBÉ AVANT ACCEPTATION RT","ENROBÉ"))))</f>
        <v>NON SOUDÉ</v>
      </c>
      <c r="O278" s="79"/>
    </row>
    <row r="279" customFormat="false" ht="15" hidden="false" customHeight="false" outlineLevel="0" collapsed="false">
      <c r="A279" s="78" t="n">
        <f aca="false">IF('CARNET DE SOUDURE'!E279="","",'CARNET DE SOUDURE'!A279)</f>
        <v>273</v>
      </c>
      <c r="B279" s="93" t="str">
        <f aca="false">IF('CARNET DE SOUDURE'!E279="","",'CARNET DE SOUDURE'!B279&amp;"")</f>
        <v>ISB-302</v>
      </c>
      <c r="C279" s="83" t="str">
        <f aca="false">IF('CARNET DE SOUDURE'!E279="","",'CARNET DE SOUDURE'!E279)</f>
        <v>JN°068</v>
      </c>
      <c r="D279" s="78" t="str">
        <f aca="false">IF('CARNET DE SOUDURE'!E279="","",'CARNET DE SOUDURE'!D279&amp;"")</f>
        <v/>
      </c>
      <c r="E279" s="96" t="str">
        <f aca="false">IF(OR('CARNET DE SOUDURE'!E279="",'CARNET DE SOUDURE'!R279=""),"",'CARNET DE SOUDURE'!R279)</f>
        <v/>
      </c>
      <c r="F279" s="81" t="str">
        <f aca="false">IF('CARNET DE SOUDURE'!E279="","",'CARNET DE SOUDURE'!AL279)</f>
        <v/>
      </c>
      <c r="G279" s="81" t="str">
        <f aca="false">IF('CARNET DE SOUDURE'!E279="","",'CARNET DE SOUDURE'!AM279)</f>
        <v>À SOUDER</v>
      </c>
      <c r="H279" s="81" t="str">
        <f aca="false">IF(C279="","",IF(G279="ACCEPTÉ","OUI","NON"))</f>
        <v>NON</v>
      </c>
      <c r="I279" s="82"/>
      <c r="J279" s="79"/>
      <c r="K279" s="80"/>
      <c r="L279" s="80"/>
      <c r="M279" s="80"/>
      <c r="N279" s="83" t="str">
        <f aca="false">IF(C279="","",IF(I279="",IF(H279="OUI","À ENROBER",IF(G279="À SOUDER","NON SOUDÉ","EN ATTENTE RT")),IF(L279="R","À REPRENDRE",IF(H279&lt;&gt;"OUI","⚠ ENROBÉ AVANT ACCEPTATION RT","ENROBÉ"))))</f>
        <v>NON SOUDÉ</v>
      </c>
      <c r="O279" s="79"/>
    </row>
    <row r="280" customFormat="false" ht="15" hidden="false" customHeight="false" outlineLevel="0" collapsed="false">
      <c r="A280" s="78" t="n">
        <f aca="false">IF('CARNET DE SOUDURE'!E280="","",'CARNET DE SOUDURE'!A280)</f>
        <v>274</v>
      </c>
      <c r="B280" s="93" t="str">
        <f aca="false">IF('CARNET DE SOUDURE'!E280="","",'CARNET DE SOUDURE'!B280&amp;"")</f>
        <v>ISB-302</v>
      </c>
      <c r="C280" s="83" t="str">
        <f aca="false">IF('CARNET DE SOUDURE'!E280="","",'CARNET DE SOUDURE'!E280)</f>
        <v>JN°069</v>
      </c>
      <c r="D280" s="78" t="str">
        <f aca="false">IF('CARNET DE SOUDURE'!E280="","",'CARNET DE SOUDURE'!D280&amp;"")</f>
        <v/>
      </c>
      <c r="E280" s="96" t="str">
        <f aca="false">IF(OR('CARNET DE SOUDURE'!E280="",'CARNET DE SOUDURE'!R280=""),"",'CARNET DE SOUDURE'!R280)</f>
        <v/>
      </c>
      <c r="F280" s="81" t="str">
        <f aca="false">IF('CARNET DE SOUDURE'!E280="","",'CARNET DE SOUDURE'!AL280)</f>
        <v/>
      </c>
      <c r="G280" s="81" t="str">
        <f aca="false">IF('CARNET DE SOUDURE'!E280="","",'CARNET DE SOUDURE'!AM280)</f>
        <v>À SOUDER</v>
      </c>
      <c r="H280" s="81" t="str">
        <f aca="false">IF(C280="","",IF(G280="ACCEPTÉ","OUI","NON"))</f>
        <v>NON</v>
      </c>
      <c r="I280" s="82"/>
      <c r="J280" s="79"/>
      <c r="K280" s="80"/>
      <c r="L280" s="80"/>
      <c r="M280" s="80"/>
      <c r="N280" s="83" t="str">
        <f aca="false">IF(C280="","",IF(I280="",IF(H280="OUI","À ENROBER",IF(G280="À SOUDER","NON SOUDÉ","EN ATTENTE RT")),IF(L280="R","À REPRENDRE",IF(H280&lt;&gt;"OUI","⚠ ENROBÉ AVANT ACCEPTATION RT","ENROBÉ"))))</f>
        <v>NON SOUDÉ</v>
      </c>
      <c r="O280" s="79"/>
    </row>
    <row r="281" customFormat="false" ht="15" hidden="false" customHeight="false" outlineLevel="0" collapsed="false">
      <c r="A281" s="78" t="n">
        <f aca="false">IF('CARNET DE SOUDURE'!E281="","",'CARNET DE SOUDURE'!A281)</f>
        <v>275</v>
      </c>
      <c r="B281" s="93" t="str">
        <f aca="false">IF('CARNET DE SOUDURE'!E281="","",'CARNET DE SOUDURE'!B281&amp;"")</f>
        <v>ISB-302</v>
      </c>
      <c r="C281" s="83" t="str">
        <f aca="false">IF('CARNET DE SOUDURE'!E281="","",'CARNET DE SOUDURE'!E281)</f>
        <v>JN°070</v>
      </c>
      <c r="D281" s="78" t="str">
        <f aca="false">IF('CARNET DE SOUDURE'!E281="","",'CARNET DE SOUDURE'!D281&amp;"")</f>
        <v/>
      </c>
      <c r="E281" s="96" t="str">
        <f aca="false">IF(OR('CARNET DE SOUDURE'!E281="",'CARNET DE SOUDURE'!R281=""),"",'CARNET DE SOUDURE'!R281)</f>
        <v/>
      </c>
      <c r="F281" s="81" t="str">
        <f aca="false">IF('CARNET DE SOUDURE'!E281="","",'CARNET DE SOUDURE'!AL281)</f>
        <v/>
      </c>
      <c r="G281" s="81" t="str">
        <f aca="false">IF('CARNET DE SOUDURE'!E281="","",'CARNET DE SOUDURE'!AM281)</f>
        <v>À SOUDER</v>
      </c>
      <c r="H281" s="81" t="str">
        <f aca="false">IF(C281="","",IF(G281="ACCEPTÉ","OUI","NON"))</f>
        <v>NON</v>
      </c>
      <c r="I281" s="82"/>
      <c r="J281" s="79"/>
      <c r="K281" s="80"/>
      <c r="L281" s="80"/>
      <c r="M281" s="80"/>
      <c r="N281" s="83" t="str">
        <f aca="false">IF(C281="","",IF(I281="",IF(H281="OUI","À ENROBER",IF(G281="À SOUDER","NON SOUDÉ","EN ATTENTE RT")),IF(L281="R","À REPRENDRE",IF(H281&lt;&gt;"OUI","⚠ ENROBÉ AVANT ACCEPTATION RT","ENROBÉ"))))</f>
        <v>NON SOUDÉ</v>
      </c>
      <c r="O281" s="79"/>
    </row>
    <row r="282" customFormat="false" ht="15" hidden="false" customHeight="false" outlineLevel="0" collapsed="false">
      <c r="A282" s="78" t="n">
        <f aca="false">IF('CARNET DE SOUDURE'!E282="","",'CARNET DE SOUDURE'!A282)</f>
        <v>276</v>
      </c>
      <c r="B282" s="93" t="str">
        <f aca="false">IF('CARNET DE SOUDURE'!E282="","",'CARNET DE SOUDURE'!B282&amp;"")</f>
        <v>ISB-302</v>
      </c>
      <c r="C282" s="83" t="str">
        <f aca="false">IF('CARNET DE SOUDURE'!E282="","",'CARNET DE SOUDURE'!E282)</f>
        <v>JN°071</v>
      </c>
      <c r="D282" s="78" t="str">
        <f aca="false">IF('CARNET DE SOUDURE'!E282="","",'CARNET DE SOUDURE'!D282&amp;"")</f>
        <v/>
      </c>
      <c r="E282" s="96" t="str">
        <f aca="false">IF(OR('CARNET DE SOUDURE'!E282="",'CARNET DE SOUDURE'!R282=""),"",'CARNET DE SOUDURE'!R282)</f>
        <v/>
      </c>
      <c r="F282" s="81" t="str">
        <f aca="false">IF('CARNET DE SOUDURE'!E282="","",'CARNET DE SOUDURE'!AL282)</f>
        <v/>
      </c>
      <c r="G282" s="81" t="str">
        <f aca="false">IF('CARNET DE SOUDURE'!E282="","",'CARNET DE SOUDURE'!AM282)</f>
        <v>À SOUDER</v>
      </c>
      <c r="H282" s="81" t="str">
        <f aca="false">IF(C282="","",IF(G282="ACCEPTÉ","OUI","NON"))</f>
        <v>NON</v>
      </c>
      <c r="I282" s="82"/>
      <c r="J282" s="79"/>
      <c r="K282" s="80"/>
      <c r="L282" s="80"/>
      <c r="M282" s="80"/>
      <c r="N282" s="83" t="str">
        <f aca="false">IF(C282="","",IF(I282="",IF(H282="OUI","À ENROBER",IF(G282="À SOUDER","NON SOUDÉ","EN ATTENTE RT")),IF(L282="R","À REPRENDRE",IF(H282&lt;&gt;"OUI","⚠ ENROBÉ AVANT ACCEPTATION RT","ENROBÉ"))))</f>
        <v>NON SOUDÉ</v>
      </c>
      <c r="O282" s="79"/>
    </row>
    <row r="283" customFormat="false" ht="15" hidden="false" customHeight="false" outlineLevel="0" collapsed="false">
      <c r="A283" s="78" t="n">
        <f aca="false">IF('CARNET DE SOUDURE'!E283="","",'CARNET DE SOUDURE'!A283)</f>
        <v>277</v>
      </c>
      <c r="B283" s="93" t="str">
        <f aca="false">IF('CARNET DE SOUDURE'!E283="","",'CARNET DE SOUDURE'!B283&amp;"")</f>
        <v>ISB-302</v>
      </c>
      <c r="C283" s="83" t="str">
        <f aca="false">IF('CARNET DE SOUDURE'!E283="","",'CARNET DE SOUDURE'!E283)</f>
        <v>JN°072</v>
      </c>
      <c r="D283" s="78" t="str">
        <f aca="false">IF('CARNET DE SOUDURE'!E283="","",'CARNET DE SOUDURE'!D283&amp;"")</f>
        <v/>
      </c>
      <c r="E283" s="96" t="str">
        <f aca="false">IF(OR('CARNET DE SOUDURE'!E283="",'CARNET DE SOUDURE'!R283=""),"",'CARNET DE SOUDURE'!R283)</f>
        <v/>
      </c>
      <c r="F283" s="81" t="str">
        <f aca="false">IF('CARNET DE SOUDURE'!E283="","",'CARNET DE SOUDURE'!AL283)</f>
        <v/>
      </c>
      <c r="G283" s="81" t="str">
        <f aca="false">IF('CARNET DE SOUDURE'!E283="","",'CARNET DE SOUDURE'!AM283)</f>
        <v>À SOUDER</v>
      </c>
      <c r="H283" s="81" t="str">
        <f aca="false">IF(C283="","",IF(G283="ACCEPTÉ","OUI","NON"))</f>
        <v>NON</v>
      </c>
      <c r="I283" s="82"/>
      <c r="J283" s="79"/>
      <c r="K283" s="80"/>
      <c r="L283" s="80"/>
      <c r="M283" s="80"/>
      <c r="N283" s="83" t="str">
        <f aca="false">IF(C283="","",IF(I283="",IF(H283="OUI","À ENROBER",IF(G283="À SOUDER","NON SOUDÉ","EN ATTENTE RT")),IF(L283="R","À REPRENDRE",IF(H283&lt;&gt;"OUI","⚠ ENROBÉ AVANT ACCEPTATION RT","ENROBÉ"))))</f>
        <v>NON SOUDÉ</v>
      </c>
      <c r="O283" s="79"/>
    </row>
    <row r="284" customFormat="false" ht="15" hidden="false" customHeight="false" outlineLevel="0" collapsed="false">
      <c r="A284" s="78" t="n">
        <f aca="false">IF('CARNET DE SOUDURE'!E284="","",'CARNET DE SOUDURE'!A284)</f>
        <v>278</v>
      </c>
      <c r="B284" s="93" t="str">
        <f aca="false">IF('CARNET DE SOUDURE'!E284="","",'CARNET DE SOUDURE'!B284&amp;"")</f>
        <v>ISB-302</v>
      </c>
      <c r="C284" s="83" t="str">
        <f aca="false">IF('CARNET DE SOUDURE'!E284="","",'CARNET DE SOUDURE'!E284)</f>
        <v>JN°073</v>
      </c>
      <c r="D284" s="78" t="str">
        <f aca="false">IF('CARNET DE SOUDURE'!E284="","",'CARNET DE SOUDURE'!D284&amp;"")</f>
        <v/>
      </c>
      <c r="E284" s="96" t="str">
        <f aca="false">IF(OR('CARNET DE SOUDURE'!E284="",'CARNET DE SOUDURE'!R284=""),"",'CARNET DE SOUDURE'!R284)</f>
        <v/>
      </c>
      <c r="F284" s="81" t="str">
        <f aca="false">IF('CARNET DE SOUDURE'!E284="","",'CARNET DE SOUDURE'!AL284)</f>
        <v/>
      </c>
      <c r="G284" s="81" t="str">
        <f aca="false">IF('CARNET DE SOUDURE'!E284="","",'CARNET DE SOUDURE'!AM284)</f>
        <v>À SOUDER</v>
      </c>
      <c r="H284" s="81" t="str">
        <f aca="false">IF(C284="","",IF(G284="ACCEPTÉ","OUI","NON"))</f>
        <v>NON</v>
      </c>
      <c r="I284" s="82"/>
      <c r="J284" s="79"/>
      <c r="K284" s="80"/>
      <c r="L284" s="80"/>
      <c r="M284" s="80"/>
      <c r="N284" s="83" t="str">
        <f aca="false">IF(C284="","",IF(I284="",IF(H284="OUI","À ENROBER",IF(G284="À SOUDER","NON SOUDÉ","EN ATTENTE RT")),IF(L284="R","À REPRENDRE",IF(H284&lt;&gt;"OUI","⚠ ENROBÉ AVANT ACCEPTATION RT","ENROBÉ"))))</f>
        <v>NON SOUDÉ</v>
      </c>
      <c r="O284" s="79"/>
    </row>
    <row r="285" customFormat="false" ht="15" hidden="false" customHeight="false" outlineLevel="0" collapsed="false">
      <c r="A285" s="78" t="n">
        <f aca="false">IF('CARNET DE SOUDURE'!E285="","",'CARNET DE SOUDURE'!A285)</f>
        <v>279</v>
      </c>
      <c r="B285" s="93" t="str">
        <f aca="false">IF('CARNET DE SOUDURE'!E285="","",'CARNET DE SOUDURE'!B285&amp;"")</f>
        <v>ISB-302</v>
      </c>
      <c r="C285" s="83" t="str">
        <f aca="false">IF('CARNET DE SOUDURE'!E285="","",'CARNET DE SOUDURE'!E285)</f>
        <v>JN°074</v>
      </c>
      <c r="D285" s="78" t="str">
        <f aca="false">IF('CARNET DE SOUDURE'!E285="","",'CARNET DE SOUDURE'!D285&amp;"")</f>
        <v/>
      </c>
      <c r="E285" s="96" t="str">
        <f aca="false">IF(OR('CARNET DE SOUDURE'!E285="",'CARNET DE SOUDURE'!R285=""),"",'CARNET DE SOUDURE'!R285)</f>
        <v/>
      </c>
      <c r="F285" s="81" t="str">
        <f aca="false">IF('CARNET DE SOUDURE'!E285="","",'CARNET DE SOUDURE'!AL285)</f>
        <v/>
      </c>
      <c r="G285" s="81" t="str">
        <f aca="false">IF('CARNET DE SOUDURE'!E285="","",'CARNET DE SOUDURE'!AM285)</f>
        <v>À SOUDER</v>
      </c>
      <c r="H285" s="81" t="str">
        <f aca="false">IF(C285="","",IF(G285="ACCEPTÉ","OUI","NON"))</f>
        <v>NON</v>
      </c>
      <c r="I285" s="82"/>
      <c r="J285" s="79"/>
      <c r="K285" s="80"/>
      <c r="L285" s="80"/>
      <c r="M285" s="80"/>
      <c r="N285" s="83" t="str">
        <f aca="false">IF(C285="","",IF(I285="",IF(H285="OUI","À ENROBER",IF(G285="À SOUDER","NON SOUDÉ","EN ATTENTE RT")),IF(L285="R","À REPRENDRE",IF(H285&lt;&gt;"OUI","⚠ ENROBÉ AVANT ACCEPTATION RT","ENROBÉ"))))</f>
        <v>NON SOUDÉ</v>
      </c>
      <c r="O285" s="79"/>
    </row>
    <row r="286" customFormat="false" ht="15" hidden="false" customHeight="false" outlineLevel="0" collapsed="false">
      <c r="A286" s="78" t="n">
        <f aca="false">IF('CARNET DE SOUDURE'!E286="","",'CARNET DE SOUDURE'!A286)</f>
        <v>280</v>
      </c>
      <c r="B286" s="93" t="str">
        <f aca="false">IF('CARNET DE SOUDURE'!E286="","",'CARNET DE SOUDURE'!B286&amp;"")</f>
        <v>ISB-302</v>
      </c>
      <c r="C286" s="83" t="str">
        <f aca="false">IF('CARNET DE SOUDURE'!E286="","",'CARNET DE SOUDURE'!E286)</f>
        <v>JN°075</v>
      </c>
      <c r="D286" s="78" t="str">
        <f aca="false">IF('CARNET DE SOUDURE'!E286="","",'CARNET DE SOUDURE'!D286&amp;"")</f>
        <v/>
      </c>
      <c r="E286" s="96" t="str">
        <f aca="false">IF(OR('CARNET DE SOUDURE'!E286="",'CARNET DE SOUDURE'!R286=""),"",'CARNET DE SOUDURE'!R286)</f>
        <v/>
      </c>
      <c r="F286" s="81" t="str">
        <f aca="false">IF('CARNET DE SOUDURE'!E286="","",'CARNET DE SOUDURE'!AL286)</f>
        <v/>
      </c>
      <c r="G286" s="81" t="str">
        <f aca="false">IF('CARNET DE SOUDURE'!E286="","",'CARNET DE SOUDURE'!AM286)</f>
        <v>À SOUDER</v>
      </c>
      <c r="H286" s="81" t="str">
        <f aca="false">IF(C286="","",IF(G286="ACCEPTÉ","OUI","NON"))</f>
        <v>NON</v>
      </c>
      <c r="I286" s="82"/>
      <c r="J286" s="79"/>
      <c r="K286" s="80"/>
      <c r="L286" s="80"/>
      <c r="M286" s="80"/>
      <c r="N286" s="83" t="str">
        <f aca="false">IF(C286="","",IF(I286="",IF(H286="OUI","À ENROBER",IF(G286="À SOUDER","NON SOUDÉ","EN ATTENTE RT")),IF(L286="R","À REPRENDRE",IF(H286&lt;&gt;"OUI","⚠ ENROBÉ AVANT ACCEPTATION RT","ENROBÉ"))))</f>
        <v>NON SOUDÉ</v>
      </c>
      <c r="O286" s="79"/>
    </row>
    <row r="287" customFormat="false" ht="15" hidden="false" customHeight="false" outlineLevel="0" collapsed="false">
      <c r="A287" s="78" t="n">
        <f aca="false">IF('CARNET DE SOUDURE'!E287="","",'CARNET DE SOUDURE'!A287)</f>
        <v>281</v>
      </c>
      <c r="B287" s="93" t="str">
        <f aca="false">IF('CARNET DE SOUDURE'!E287="","",'CARNET DE SOUDURE'!B287&amp;"")</f>
        <v>ISB-302</v>
      </c>
      <c r="C287" s="83" t="str">
        <f aca="false">IF('CARNET DE SOUDURE'!E287="","",'CARNET DE SOUDURE'!E287)</f>
        <v>JN°076</v>
      </c>
      <c r="D287" s="78" t="str">
        <f aca="false">IF('CARNET DE SOUDURE'!E287="","",'CARNET DE SOUDURE'!D287&amp;"")</f>
        <v/>
      </c>
      <c r="E287" s="96" t="str">
        <f aca="false">IF(OR('CARNET DE SOUDURE'!E287="",'CARNET DE SOUDURE'!R287=""),"",'CARNET DE SOUDURE'!R287)</f>
        <v/>
      </c>
      <c r="F287" s="81" t="str">
        <f aca="false">IF('CARNET DE SOUDURE'!E287="","",'CARNET DE SOUDURE'!AL287)</f>
        <v/>
      </c>
      <c r="G287" s="81" t="str">
        <f aca="false">IF('CARNET DE SOUDURE'!E287="","",'CARNET DE SOUDURE'!AM287)</f>
        <v>À SOUDER</v>
      </c>
      <c r="H287" s="81" t="str">
        <f aca="false">IF(C287="","",IF(G287="ACCEPTÉ","OUI","NON"))</f>
        <v>NON</v>
      </c>
      <c r="I287" s="82"/>
      <c r="J287" s="79"/>
      <c r="K287" s="80"/>
      <c r="L287" s="80"/>
      <c r="M287" s="80"/>
      <c r="N287" s="83" t="str">
        <f aca="false">IF(C287="","",IF(I287="",IF(H287="OUI","À ENROBER",IF(G287="À SOUDER","NON SOUDÉ","EN ATTENTE RT")),IF(L287="R","À REPRENDRE",IF(H287&lt;&gt;"OUI","⚠ ENROBÉ AVANT ACCEPTATION RT","ENROBÉ"))))</f>
        <v>NON SOUDÉ</v>
      </c>
      <c r="O287" s="79"/>
    </row>
    <row r="288" customFormat="false" ht="15" hidden="false" customHeight="false" outlineLevel="0" collapsed="false">
      <c r="A288" s="78" t="n">
        <f aca="false">IF('CARNET DE SOUDURE'!E288="","",'CARNET DE SOUDURE'!A288)</f>
        <v>282</v>
      </c>
      <c r="B288" s="93" t="str">
        <f aca="false">IF('CARNET DE SOUDURE'!E288="","",'CARNET DE SOUDURE'!B288&amp;"")</f>
        <v>ISB-302</v>
      </c>
      <c r="C288" s="83" t="str">
        <f aca="false">IF('CARNET DE SOUDURE'!E288="","",'CARNET DE SOUDURE'!E288)</f>
        <v>JN°077</v>
      </c>
      <c r="D288" s="78" t="str">
        <f aca="false">IF('CARNET DE SOUDURE'!E288="","",'CARNET DE SOUDURE'!D288&amp;"")</f>
        <v/>
      </c>
      <c r="E288" s="96" t="str">
        <f aca="false">IF(OR('CARNET DE SOUDURE'!E288="",'CARNET DE SOUDURE'!R288=""),"",'CARNET DE SOUDURE'!R288)</f>
        <v/>
      </c>
      <c r="F288" s="81" t="str">
        <f aca="false">IF('CARNET DE SOUDURE'!E288="","",'CARNET DE SOUDURE'!AL288)</f>
        <v/>
      </c>
      <c r="G288" s="81" t="str">
        <f aca="false">IF('CARNET DE SOUDURE'!E288="","",'CARNET DE SOUDURE'!AM288)</f>
        <v>À SOUDER</v>
      </c>
      <c r="H288" s="81" t="str">
        <f aca="false">IF(C288="","",IF(G288="ACCEPTÉ","OUI","NON"))</f>
        <v>NON</v>
      </c>
      <c r="I288" s="82"/>
      <c r="J288" s="79"/>
      <c r="K288" s="80"/>
      <c r="L288" s="80"/>
      <c r="M288" s="80"/>
      <c r="N288" s="83" t="str">
        <f aca="false">IF(C288="","",IF(I288="",IF(H288="OUI","À ENROBER",IF(G288="À SOUDER","NON SOUDÉ","EN ATTENTE RT")),IF(L288="R","À REPRENDRE",IF(H288&lt;&gt;"OUI","⚠ ENROBÉ AVANT ACCEPTATION RT","ENROBÉ"))))</f>
        <v>NON SOUDÉ</v>
      </c>
      <c r="O288" s="79"/>
    </row>
    <row r="289" customFormat="false" ht="15" hidden="false" customHeight="false" outlineLevel="0" collapsed="false">
      <c r="A289" s="78" t="n">
        <f aca="false">IF('CARNET DE SOUDURE'!E289="","",'CARNET DE SOUDURE'!A289)</f>
        <v>283</v>
      </c>
      <c r="B289" s="93" t="str">
        <f aca="false">IF('CARNET DE SOUDURE'!E289="","",'CARNET DE SOUDURE'!B289&amp;"")</f>
        <v>ISB-302</v>
      </c>
      <c r="C289" s="83" t="str">
        <f aca="false">IF('CARNET DE SOUDURE'!E289="","",'CARNET DE SOUDURE'!E289)</f>
        <v>JN°078</v>
      </c>
      <c r="D289" s="78" t="str">
        <f aca="false">IF('CARNET DE SOUDURE'!E289="","",'CARNET DE SOUDURE'!D289&amp;"")</f>
        <v/>
      </c>
      <c r="E289" s="96" t="str">
        <f aca="false">IF(OR('CARNET DE SOUDURE'!E289="",'CARNET DE SOUDURE'!R289=""),"",'CARNET DE SOUDURE'!R289)</f>
        <v/>
      </c>
      <c r="F289" s="81" t="str">
        <f aca="false">IF('CARNET DE SOUDURE'!E289="","",'CARNET DE SOUDURE'!AL289)</f>
        <v/>
      </c>
      <c r="G289" s="81" t="str">
        <f aca="false">IF('CARNET DE SOUDURE'!E289="","",'CARNET DE SOUDURE'!AM289)</f>
        <v>À SOUDER</v>
      </c>
      <c r="H289" s="81" t="str">
        <f aca="false">IF(C289="","",IF(G289="ACCEPTÉ","OUI","NON"))</f>
        <v>NON</v>
      </c>
      <c r="I289" s="82"/>
      <c r="J289" s="79"/>
      <c r="K289" s="80"/>
      <c r="L289" s="80"/>
      <c r="M289" s="80"/>
      <c r="N289" s="83" t="str">
        <f aca="false">IF(C289="","",IF(I289="",IF(H289="OUI","À ENROBER",IF(G289="À SOUDER","NON SOUDÉ","EN ATTENTE RT")),IF(L289="R","À REPRENDRE",IF(H289&lt;&gt;"OUI","⚠ ENROBÉ AVANT ACCEPTATION RT","ENROBÉ"))))</f>
        <v>NON SOUDÉ</v>
      </c>
      <c r="O289" s="79"/>
    </row>
    <row r="290" customFormat="false" ht="15" hidden="false" customHeight="false" outlineLevel="0" collapsed="false">
      <c r="A290" s="78" t="n">
        <f aca="false">IF('CARNET DE SOUDURE'!E290="","",'CARNET DE SOUDURE'!A290)</f>
        <v>284</v>
      </c>
      <c r="B290" s="93" t="str">
        <f aca="false">IF('CARNET DE SOUDURE'!E290="","",'CARNET DE SOUDURE'!B290&amp;"")</f>
        <v>ISB-302</v>
      </c>
      <c r="C290" s="83" t="str">
        <f aca="false">IF('CARNET DE SOUDURE'!E290="","",'CARNET DE SOUDURE'!E290)</f>
        <v>JN°079</v>
      </c>
      <c r="D290" s="78" t="str">
        <f aca="false">IF('CARNET DE SOUDURE'!E290="","",'CARNET DE SOUDURE'!D290&amp;"")</f>
        <v/>
      </c>
      <c r="E290" s="96" t="str">
        <f aca="false">IF(OR('CARNET DE SOUDURE'!E290="",'CARNET DE SOUDURE'!R290=""),"",'CARNET DE SOUDURE'!R290)</f>
        <v/>
      </c>
      <c r="F290" s="81" t="str">
        <f aca="false">IF('CARNET DE SOUDURE'!E290="","",'CARNET DE SOUDURE'!AL290)</f>
        <v/>
      </c>
      <c r="G290" s="81" t="str">
        <f aca="false">IF('CARNET DE SOUDURE'!E290="","",'CARNET DE SOUDURE'!AM290)</f>
        <v>À SOUDER</v>
      </c>
      <c r="H290" s="81" t="str">
        <f aca="false">IF(C290="","",IF(G290="ACCEPTÉ","OUI","NON"))</f>
        <v>NON</v>
      </c>
      <c r="I290" s="82"/>
      <c r="J290" s="79"/>
      <c r="K290" s="80"/>
      <c r="L290" s="80"/>
      <c r="M290" s="80"/>
      <c r="N290" s="83" t="str">
        <f aca="false">IF(C290="","",IF(I290="",IF(H290="OUI","À ENROBER",IF(G290="À SOUDER","NON SOUDÉ","EN ATTENTE RT")),IF(L290="R","À REPRENDRE",IF(H290&lt;&gt;"OUI","⚠ ENROBÉ AVANT ACCEPTATION RT","ENROBÉ"))))</f>
        <v>NON SOUDÉ</v>
      </c>
      <c r="O290" s="79"/>
    </row>
    <row r="291" customFormat="false" ht="15" hidden="false" customHeight="false" outlineLevel="0" collapsed="false">
      <c r="A291" s="78" t="n">
        <f aca="false">IF('CARNET DE SOUDURE'!E291="","",'CARNET DE SOUDURE'!A291)</f>
        <v>285</v>
      </c>
      <c r="B291" s="93" t="str">
        <f aca="false">IF('CARNET DE SOUDURE'!E291="","",'CARNET DE SOUDURE'!B291&amp;"")</f>
        <v>ISB-302</v>
      </c>
      <c r="C291" s="83" t="str">
        <f aca="false">IF('CARNET DE SOUDURE'!E291="","",'CARNET DE SOUDURE'!E291)</f>
        <v>JN°080</v>
      </c>
      <c r="D291" s="78" t="str">
        <f aca="false">IF('CARNET DE SOUDURE'!E291="","",'CARNET DE SOUDURE'!D291&amp;"")</f>
        <v/>
      </c>
      <c r="E291" s="96" t="str">
        <f aca="false">IF(OR('CARNET DE SOUDURE'!E291="",'CARNET DE SOUDURE'!R291=""),"",'CARNET DE SOUDURE'!R291)</f>
        <v/>
      </c>
      <c r="F291" s="81" t="str">
        <f aca="false">IF('CARNET DE SOUDURE'!E291="","",'CARNET DE SOUDURE'!AL291)</f>
        <v/>
      </c>
      <c r="G291" s="81" t="str">
        <f aca="false">IF('CARNET DE SOUDURE'!E291="","",'CARNET DE SOUDURE'!AM291)</f>
        <v>À SOUDER</v>
      </c>
      <c r="H291" s="81" t="str">
        <f aca="false">IF(C291="","",IF(G291="ACCEPTÉ","OUI","NON"))</f>
        <v>NON</v>
      </c>
      <c r="I291" s="82"/>
      <c r="J291" s="79"/>
      <c r="K291" s="80"/>
      <c r="L291" s="80"/>
      <c r="M291" s="80"/>
      <c r="N291" s="83" t="str">
        <f aca="false">IF(C291="","",IF(I291="",IF(H291="OUI","À ENROBER",IF(G291="À SOUDER","NON SOUDÉ","EN ATTENTE RT")),IF(L291="R","À REPRENDRE",IF(H291&lt;&gt;"OUI","⚠ ENROBÉ AVANT ACCEPTATION RT","ENROBÉ"))))</f>
        <v>NON SOUDÉ</v>
      </c>
      <c r="O291" s="79"/>
    </row>
    <row r="292" customFormat="false" ht="15" hidden="false" customHeight="false" outlineLevel="0" collapsed="false">
      <c r="A292" s="78" t="n">
        <f aca="false">IF('CARNET DE SOUDURE'!E292="","",'CARNET DE SOUDURE'!A292)</f>
        <v>286</v>
      </c>
      <c r="B292" s="93" t="str">
        <f aca="false">IF('CARNET DE SOUDURE'!E292="","",'CARNET DE SOUDURE'!B292&amp;"")</f>
        <v>ISB-302</v>
      </c>
      <c r="C292" s="83" t="str">
        <f aca="false">IF('CARNET DE SOUDURE'!E292="","",'CARNET DE SOUDURE'!E292)</f>
        <v>JN°081</v>
      </c>
      <c r="D292" s="78" t="str">
        <f aca="false">IF('CARNET DE SOUDURE'!E292="","",'CARNET DE SOUDURE'!D292&amp;"")</f>
        <v/>
      </c>
      <c r="E292" s="96" t="str">
        <f aca="false">IF(OR('CARNET DE SOUDURE'!E292="",'CARNET DE SOUDURE'!R292=""),"",'CARNET DE SOUDURE'!R292)</f>
        <v/>
      </c>
      <c r="F292" s="81" t="str">
        <f aca="false">IF('CARNET DE SOUDURE'!E292="","",'CARNET DE SOUDURE'!AL292)</f>
        <v/>
      </c>
      <c r="G292" s="81" t="str">
        <f aca="false">IF('CARNET DE SOUDURE'!E292="","",'CARNET DE SOUDURE'!AM292)</f>
        <v>À SOUDER</v>
      </c>
      <c r="H292" s="81" t="str">
        <f aca="false">IF(C292="","",IF(G292="ACCEPTÉ","OUI","NON"))</f>
        <v>NON</v>
      </c>
      <c r="I292" s="82"/>
      <c r="J292" s="79"/>
      <c r="K292" s="80"/>
      <c r="L292" s="80"/>
      <c r="M292" s="80"/>
      <c r="N292" s="83" t="str">
        <f aca="false">IF(C292="","",IF(I292="",IF(H292="OUI","À ENROBER",IF(G292="À SOUDER","NON SOUDÉ","EN ATTENTE RT")),IF(L292="R","À REPRENDRE",IF(H292&lt;&gt;"OUI","⚠ ENROBÉ AVANT ACCEPTATION RT","ENROBÉ"))))</f>
        <v>NON SOUDÉ</v>
      </c>
      <c r="O292" s="79"/>
    </row>
    <row r="293" customFormat="false" ht="15" hidden="false" customHeight="false" outlineLevel="0" collapsed="false">
      <c r="A293" s="78" t="n">
        <f aca="false">IF('CARNET DE SOUDURE'!E293="","",'CARNET DE SOUDURE'!A293)</f>
        <v>287</v>
      </c>
      <c r="B293" s="93" t="str">
        <f aca="false">IF('CARNET DE SOUDURE'!E293="","",'CARNET DE SOUDURE'!B293&amp;"")</f>
        <v>ISB-302</v>
      </c>
      <c r="C293" s="83" t="str">
        <f aca="false">IF('CARNET DE SOUDURE'!E293="","",'CARNET DE SOUDURE'!E293)</f>
        <v>JN°082</v>
      </c>
      <c r="D293" s="78" t="str">
        <f aca="false">IF('CARNET DE SOUDURE'!E293="","",'CARNET DE SOUDURE'!D293&amp;"")</f>
        <v/>
      </c>
      <c r="E293" s="96" t="str">
        <f aca="false">IF(OR('CARNET DE SOUDURE'!E293="",'CARNET DE SOUDURE'!R293=""),"",'CARNET DE SOUDURE'!R293)</f>
        <v/>
      </c>
      <c r="F293" s="81" t="str">
        <f aca="false">IF('CARNET DE SOUDURE'!E293="","",'CARNET DE SOUDURE'!AL293)</f>
        <v/>
      </c>
      <c r="G293" s="81" t="str">
        <f aca="false">IF('CARNET DE SOUDURE'!E293="","",'CARNET DE SOUDURE'!AM293)</f>
        <v>À SOUDER</v>
      </c>
      <c r="H293" s="81" t="str">
        <f aca="false">IF(C293="","",IF(G293="ACCEPTÉ","OUI","NON"))</f>
        <v>NON</v>
      </c>
      <c r="I293" s="82"/>
      <c r="J293" s="79"/>
      <c r="K293" s="80"/>
      <c r="L293" s="80"/>
      <c r="M293" s="80"/>
      <c r="N293" s="83" t="str">
        <f aca="false">IF(C293="","",IF(I293="",IF(H293="OUI","À ENROBER",IF(G293="À SOUDER","NON SOUDÉ","EN ATTENTE RT")),IF(L293="R","À REPRENDRE",IF(H293&lt;&gt;"OUI","⚠ ENROBÉ AVANT ACCEPTATION RT","ENROBÉ"))))</f>
        <v>NON SOUDÉ</v>
      </c>
      <c r="O293" s="79"/>
    </row>
    <row r="294" customFormat="false" ht="15" hidden="false" customHeight="false" outlineLevel="0" collapsed="false">
      <c r="A294" s="78" t="n">
        <f aca="false">IF('CARNET DE SOUDURE'!E294="","",'CARNET DE SOUDURE'!A294)</f>
        <v>288</v>
      </c>
      <c r="B294" s="93" t="str">
        <f aca="false">IF('CARNET DE SOUDURE'!E294="","",'CARNET DE SOUDURE'!B294&amp;"")</f>
        <v>ISB-302</v>
      </c>
      <c r="C294" s="83" t="str">
        <f aca="false">IF('CARNET DE SOUDURE'!E294="","",'CARNET DE SOUDURE'!E294)</f>
        <v>JN°083</v>
      </c>
      <c r="D294" s="78" t="str">
        <f aca="false">IF('CARNET DE SOUDURE'!E294="","",'CARNET DE SOUDURE'!D294&amp;"")</f>
        <v/>
      </c>
      <c r="E294" s="96" t="str">
        <f aca="false">IF(OR('CARNET DE SOUDURE'!E294="",'CARNET DE SOUDURE'!R294=""),"",'CARNET DE SOUDURE'!R294)</f>
        <v/>
      </c>
      <c r="F294" s="81" t="str">
        <f aca="false">IF('CARNET DE SOUDURE'!E294="","",'CARNET DE SOUDURE'!AL294)</f>
        <v/>
      </c>
      <c r="G294" s="81" t="str">
        <f aca="false">IF('CARNET DE SOUDURE'!E294="","",'CARNET DE SOUDURE'!AM294)</f>
        <v>À SOUDER</v>
      </c>
      <c r="H294" s="81" t="str">
        <f aca="false">IF(C294="","",IF(G294="ACCEPTÉ","OUI","NON"))</f>
        <v>NON</v>
      </c>
      <c r="I294" s="82"/>
      <c r="J294" s="79"/>
      <c r="K294" s="80"/>
      <c r="L294" s="80"/>
      <c r="M294" s="80"/>
      <c r="N294" s="83" t="str">
        <f aca="false">IF(C294="","",IF(I294="",IF(H294="OUI","À ENROBER",IF(G294="À SOUDER","NON SOUDÉ","EN ATTENTE RT")),IF(L294="R","À REPRENDRE",IF(H294&lt;&gt;"OUI","⚠ ENROBÉ AVANT ACCEPTATION RT","ENROBÉ"))))</f>
        <v>NON SOUDÉ</v>
      </c>
      <c r="O294" s="79"/>
    </row>
    <row r="295" customFormat="false" ht="15" hidden="false" customHeight="false" outlineLevel="0" collapsed="false">
      <c r="A295" s="78" t="n">
        <f aca="false">IF('CARNET DE SOUDURE'!E295="","",'CARNET DE SOUDURE'!A295)</f>
        <v>289</v>
      </c>
      <c r="B295" s="93" t="str">
        <f aca="false">IF('CARNET DE SOUDURE'!E295="","",'CARNET DE SOUDURE'!B295&amp;"")</f>
        <v>ISB-302</v>
      </c>
      <c r="C295" s="83" t="str">
        <f aca="false">IF('CARNET DE SOUDURE'!E295="","",'CARNET DE SOUDURE'!E295)</f>
        <v>JN°084</v>
      </c>
      <c r="D295" s="78" t="str">
        <f aca="false">IF('CARNET DE SOUDURE'!E295="","",'CARNET DE SOUDURE'!D295&amp;"")</f>
        <v/>
      </c>
      <c r="E295" s="96" t="str">
        <f aca="false">IF(OR('CARNET DE SOUDURE'!E295="",'CARNET DE SOUDURE'!R295=""),"",'CARNET DE SOUDURE'!R295)</f>
        <v/>
      </c>
      <c r="F295" s="81" t="str">
        <f aca="false">IF('CARNET DE SOUDURE'!E295="","",'CARNET DE SOUDURE'!AL295)</f>
        <v/>
      </c>
      <c r="G295" s="81" t="str">
        <f aca="false">IF('CARNET DE SOUDURE'!E295="","",'CARNET DE SOUDURE'!AM295)</f>
        <v>À SOUDER</v>
      </c>
      <c r="H295" s="81" t="str">
        <f aca="false">IF(C295="","",IF(G295="ACCEPTÉ","OUI","NON"))</f>
        <v>NON</v>
      </c>
      <c r="I295" s="82"/>
      <c r="J295" s="79"/>
      <c r="K295" s="80"/>
      <c r="L295" s="80"/>
      <c r="M295" s="80"/>
      <c r="N295" s="83" t="str">
        <f aca="false">IF(C295="","",IF(I295="",IF(H295="OUI","À ENROBER",IF(G295="À SOUDER","NON SOUDÉ","EN ATTENTE RT")),IF(L295="R","À REPRENDRE",IF(H295&lt;&gt;"OUI","⚠ ENROBÉ AVANT ACCEPTATION RT","ENROBÉ"))))</f>
        <v>NON SOUDÉ</v>
      </c>
      <c r="O295" s="79"/>
    </row>
    <row r="296" customFormat="false" ht="15" hidden="false" customHeight="false" outlineLevel="0" collapsed="false">
      <c r="A296" s="78" t="n">
        <f aca="false">IF('CARNET DE SOUDURE'!E296="","",'CARNET DE SOUDURE'!A296)</f>
        <v>290</v>
      </c>
      <c r="B296" s="93" t="str">
        <f aca="false">IF('CARNET DE SOUDURE'!E296="","",'CARNET DE SOUDURE'!B296&amp;"")</f>
        <v>ISB-302</v>
      </c>
      <c r="C296" s="83" t="str">
        <f aca="false">IF('CARNET DE SOUDURE'!E296="","",'CARNET DE SOUDURE'!E296)</f>
        <v>JN°085</v>
      </c>
      <c r="D296" s="78" t="str">
        <f aca="false">IF('CARNET DE SOUDURE'!E296="","",'CARNET DE SOUDURE'!D296&amp;"")</f>
        <v/>
      </c>
      <c r="E296" s="96" t="str">
        <f aca="false">IF(OR('CARNET DE SOUDURE'!E296="",'CARNET DE SOUDURE'!R296=""),"",'CARNET DE SOUDURE'!R296)</f>
        <v/>
      </c>
      <c r="F296" s="81" t="str">
        <f aca="false">IF('CARNET DE SOUDURE'!E296="","",'CARNET DE SOUDURE'!AL296)</f>
        <v/>
      </c>
      <c r="G296" s="81" t="str">
        <f aca="false">IF('CARNET DE SOUDURE'!E296="","",'CARNET DE SOUDURE'!AM296)</f>
        <v>À SOUDER</v>
      </c>
      <c r="H296" s="81" t="str">
        <f aca="false">IF(C296="","",IF(G296="ACCEPTÉ","OUI","NON"))</f>
        <v>NON</v>
      </c>
      <c r="I296" s="82"/>
      <c r="J296" s="79"/>
      <c r="K296" s="80"/>
      <c r="L296" s="80"/>
      <c r="M296" s="80"/>
      <c r="N296" s="83" t="str">
        <f aca="false">IF(C296="","",IF(I296="",IF(H296="OUI","À ENROBER",IF(G296="À SOUDER","NON SOUDÉ","EN ATTENTE RT")),IF(L296="R","À REPRENDRE",IF(H296&lt;&gt;"OUI","⚠ ENROBÉ AVANT ACCEPTATION RT","ENROBÉ"))))</f>
        <v>NON SOUDÉ</v>
      </c>
      <c r="O296" s="79"/>
    </row>
    <row r="297" customFormat="false" ht="15" hidden="false" customHeight="false" outlineLevel="0" collapsed="false">
      <c r="A297" s="78" t="n">
        <f aca="false">IF('CARNET DE SOUDURE'!E297="","",'CARNET DE SOUDURE'!A297)</f>
        <v>291</v>
      </c>
      <c r="B297" s="93" t="str">
        <f aca="false">IF('CARNET DE SOUDURE'!E297="","",'CARNET DE SOUDURE'!B297&amp;"")</f>
        <v>ISB-302</v>
      </c>
      <c r="C297" s="83" t="str">
        <f aca="false">IF('CARNET DE SOUDURE'!E297="","",'CARNET DE SOUDURE'!E297)</f>
        <v>JN°086</v>
      </c>
      <c r="D297" s="78" t="str">
        <f aca="false">IF('CARNET DE SOUDURE'!E297="","",'CARNET DE SOUDURE'!D297&amp;"")</f>
        <v/>
      </c>
      <c r="E297" s="96" t="str">
        <f aca="false">IF(OR('CARNET DE SOUDURE'!E297="",'CARNET DE SOUDURE'!R297=""),"",'CARNET DE SOUDURE'!R297)</f>
        <v/>
      </c>
      <c r="F297" s="81" t="str">
        <f aca="false">IF('CARNET DE SOUDURE'!E297="","",'CARNET DE SOUDURE'!AL297)</f>
        <v/>
      </c>
      <c r="G297" s="81" t="str">
        <f aca="false">IF('CARNET DE SOUDURE'!E297="","",'CARNET DE SOUDURE'!AM297)</f>
        <v>À SOUDER</v>
      </c>
      <c r="H297" s="81" t="str">
        <f aca="false">IF(C297="","",IF(G297="ACCEPTÉ","OUI","NON"))</f>
        <v>NON</v>
      </c>
      <c r="I297" s="82"/>
      <c r="J297" s="79"/>
      <c r="K297" s="80"/>
      <c r="L297" s="80"/>
      <c r="M297" s="80"/>
      <c r="N297" s="83" t="str">
        <f aca="false">IF(C297="","",IF(I297="",IF(H297="OUI","À ENROBER",IF(G297="À SOUDER","NON SOUDÉ","EN ATTENTE RT")),IF(L297="R","À REPRENDRE",IF(H297&lt;&gt;"OUI","⚠ ENROBÉ AVANT ACCEPTATION RT","ENROBÉ"))))</f>
        <v>NON SOUDÉ</v>
      </c>
      <c r="O297" s="79"/>
    </row>
    <row r="298" customFormat="false" ht="15" hidden="false" customHeight="false" outlineLevel="0" collapsed="false">
      <c r="A298" s="78" t="n">
        <f aca="false">IF('CARNET DE SOUDURE'!E298="","",'CARNET DE SOUDURE'!A298)</f>
        <v>292</v>
      </c>
      <c r="B298" s="93" t="str">
        <f aca="false">IF('CARNET DE SOUDURE'!E298="","",'CARNET DE SOUDURE'!B298&amp;"")</f>
        <v>ISB-302</v>
      </c>
      <c r="C298" s="83" t="str">
        <f aca="false">IF('CARNET DE SOUDURE'!E298="","",'CARNET DE SOUDURE'!E298)</f>
        <v>JN°087</v>
      </c>
      <c r="D298" s="78" t="str">
        <f aca="false">IF('CARNET DE SOUDURE'!E298="","",'CARNET DE SOUDURE'!D298&amp;"")</f>
        <v/>
      </c>
      <c r="E298" s="96" t="str">
        <f aca="false">IF(OR('CARNET DE SOUDURE'!E298="",'CARNET DE SOUDURE'!R298=""),"",'CARNET DE SOUDURE'!R298)</f>
        <v/>
      </c>
      <c r="F298" s="81" t="str">
        <f aca="false">IF('CARNET DE SOUDURE'!E298="","",'CARNET DE SOUDURE'!AL298)</f>
        <v/>
      </c>
      <c r="G298" s="81" t="str">
        <f aca="false">IF('CARNET DE SOUDURE'!E298="","",'CARNET DE SOUDURE'!AM298)</f>
        <v>À SOUDER</v>
      </c>
      <c r="H298" s="81" t="str">
        <f aca="false">IF(C298="","",IF(G298="ACCEPTÉ","OUI","NON"))</f>
        <v>NON</v>
      </c>
      <c r="I298" s="82"/>
      <c r="J298" s="79"/>
      <c r="K298" s="80"/>
      <c r="L298" s="80"/>
      <c r="M298" s="80"/>
      <c r="N298" s="83" t="str">
        <f aca="false">IF(C298="","",IF(I298="",IF(H298="OUI","À ENROBER",IF(G298="À SOUDER","NON SOUDÉ","EN ATTENTE RT")),IF(L298="R","À REPRENDRE",IF(H298&lt;&gt;"OUI","⚠ ENROBÉ AVANT ACCEPTATION RT","ENROBÉ"))))</f>
        <v>NON SOUDÉ</v>
      </c>
      <c r="O298" s="79"/>
    </row>
    <row r="299" customFormat="false" ht="15" hidden="false" customHeight="false" outlineLevel="0" collapsed="false">
      <c r="A299" s="78" t="n">
        <f aca="false">IF('CARNET DE SOUDURE'!E299="","",'CARNET DE SOUDURE'!A299)</f>
        <v>293</v>
      </c>
      <c r="B299" s="93" t="str">
        <f aca="false">IF('CARNET DE SOUDURE'!E299="","",'CARNET DE SOUDURE'!B299&amp;"")</f>
        <v>ISB-302</v>
      </c>
      <c r="C299" s="83" t="str">
        <f aca="false">IF('CARNET DE SOUDURE'!E299="","",'CARNET DE SOUDURE'!E299)</f>
        <v>JN°088</v>
      </c>
      <c r="D299" s="78" t="str">
        <f aca="false">IF('CARNET DE SOUDURE'!E299="","",'CARNET DE SOUDURE'!D299&amp;"")</f>
        <v/>
      </c>
      <c r="E299" s="96" t="str">
        <f aca="false">IF(OR('CARNET DE SOUDURE'!E299="",'CARNET DE SOUDURE'!R299=""),"",'CARNET DE SOUDURE'!R299)</f>
        <v/>
      </c>
      <c r="F299" s="81" t="str">
        <f aca="false">IF('CARNET DE SOUDURE'!E299="","",'CARNET DE SOUDURE'!AL299)</f>
        <v/>
      </c>
      <c r="G299" s="81" t="str">
        <f aca="false">IF('CARNET DE SOUDURE'!E299="","",'CARNET DE SOUDURE'!AM299)</f>
        <v>À SOUDER</v>
      </c>
      <c r="H299" s="81" t="str">
        <f aca="false">IF(C299="","",IF(G299="ACCEPTÉ","OUI","NON"))</f>
        <v>NON</v>
      </c>
      <c r="I299" s="82"/>
      <c r="J299" s="79"/>
      <c r="K299" s="80"/>
      <c r="L299" s="80"/>
      <c r="M299" s="80"/>
      <c r="N299" s="83" t="str">
        <f aca="false">IF(C299="","",IF(I299="",IF(H299="OUI","À ENROBER",IF(G299="À SOUDER","NON SOUDÉ","EN ATTENTE RT")),IF(L299="R","À REPRENDRE",IF(H299&lt;&gt;"OUI","⚠ ENROBÉ AVANT ACCEPTATION RT","ENROBÉ"))))</f>
        <v>NON SOUDÉ</v>
      </c>
      <c r="O299" s="79"/>
    </row>
    <row r="300" customFormat="false" ht="15" hidden="false" customHeight="false" outlineLevel="0" collapsed="false">
      <c r="A300" s="78" t="n">
        <f aca="false">IF('CARNET DE SOUDURE'!E300="","",'CARNET DE SOUDURE'!A300)</f>
        <v>294</v>
      </c>
      <c r="B300" s="93" t="str">
        <f aca="false">IF('CARNET DE SOUDURE'!E300="","",'CARNET DE SOUDURE'!B300&amp;"")</f>
        <v>ISB-302</v>
      </c>
      <c r="C300" s="83" t="str">
        <f aca="false">IF('CARNET DE SOUDURE'!E300="","",'CARNET DE SOUDURE'!E300)</f>
        <v>JN°089</v>
      </c>
      <c r="D300" s="78" t="str">
        <f aca="false">IF('CARNET DE SOUDURE'!E300="","",'CARNET DE SOUDURE'!D300&amp;"")</f>
        <v/>
      </c>
      <c r="E300" s="96" t="str">
        <f aca="false">IF(OR('CARNET DE SOUDURE'!E300="",'CARNET DE SOUDURE'!R300=""),"",'CARNET DE SOUDURE'!R300)</f>
        <v/>
      </c>
      <c r="F300" s="81" t="str">
        <f aca="false">IF('CARNET DE SOUDURE'!E300="","",'CARNET DE SOUDURE'!AL300)</f>
        <v/>
      </c>
      <c r="G300" s="81" t="str">
        <f aca="false">IF('CARNET DE SOUDURE'!E300="","",'CARNET DE SOUDURE'!AM300)</f>
        <v>À SOUDER</v>
      </c>
      <c r="H300" s="81" t="str">
        <f aca="false">IF(C300="","",IF(G300="ACCEPTÉ","OUI","NON"))</f>
        <v>NON</v>
      </c>
      <c r="I300" s="82"/>
      <c r="J300" s="79"/>
      <c r="K300" s="80"/>
      <c r="L300" s="80"/>
      <c r="M300" s="80"/>
      <c r="N300" s="83" t="str">
        <f aca="false">IF(C300="","",IF(I300="",IF(H300="OUI","À ENROBER",IF(G300="À SOUDER","NON SOUDÉ","EN ATTENTE RT")),IF(L300="R","À REPRENDRE",IF(H300&lt;&gt;"OUI","⚠ ENROBÉ AVANT ACCEPTATION RT","ENROBÉ"))))</f>
        <v>NON SOUDÉ</v>
      </c>
      <c r="O300" s="79"/>
    </row>
    <row r="301" customFormat="false" ht="15" hidden="false" customHeight="false" outlineLevel="0" collapsed="false">
      <c r="A301" s="78" t="n">
        <f aca="false">IF('CARNET DE SOUDURE'!E301="","",'CARNET DE SOUDURE'!A301)</f>
        <v>295</v>
      </c>
      <c r="B301" s="93" t="str">
        <f aca="false">IF('CARNET DE SOUDURE'!E301="","",'CARNET DE SOUDURE'!B301&amp;"")</f>
        <v>ISB-302</v>
      </c>
      <c r="C301" s="83" t="str">
        <f aca="false">IF('CARNET DE SOUDURE'!E301="","",'CARNET DE SOUDURE'!E301)</f>
        <v>JN°090</v>
      </c>
      <c r="D301" s="78" t="str">
        <f aca="false">IF('CARNET DE SOUDURE'!E301="","",'CARNET DE SOUDURE'!D301&amp;"")</f>
        <v/>
      </c>
      <c r="E301" s="96" t="str">
        <f aca="false">IF(OR('CARNET DE SOUDURE'!E301="",'CARNET DE SOUDURE'!R301=""),"",'CARNET DE SOUDURE'!R301)</f>
        <v/>
      </c>
      <c r="F301" s="81" t="str">
        <f aca="false">IF('CARNET DE SOUDURE'!E301="","",'CARNET DE SOUDURE'!AL301)</f>
        <v/>
      </c>
      <c r="G301" s="81" t="str">
        <f aca="false">IF('CARNET DE SOUDURE'!E301="","",'CARNET DE SOUDURE'!AM301)</f>
        <v>À SOUDER</v>
      </c>
      <c r="H301" s="81" t="str">
        <f aca="false">IF(C301="","",IF(G301="ACCEPTÉ","OUI","NON"))</f>
        <v>NON</v>
      </c>
      <c r="I301" s="82"/>
      <c r="J301" s="79"/>
      <c r="K301" s="80"/>
      <c r="L301" s="80"/>
      <c r="M301" s="80"/>
      <c r="N301" s="83" t="str">
        <f aca="false">IF(C301="","",IF(I301="",IF(H301="OUI","À ENROBER",IF(G301="À SOUDER","NON SOUDÉ","EN ATTENTE RT")),IF(L301="R","À REPRENDRE",IF(H301&lt;&gt;"OUI","⚠ ENROBÉ AVANT ACCEPTATION RT","ENROBÉ"))))</f>
        <v>NON SOUDÉ</v>
      </c>
      <c r="O301" s="79"/>
    </row>
    <row r="302" customFormat="false" ht="15" hidden="false" customHeight="false" outlineLevel="0" collapsed="false">
      <c r="A302" s="78" t="n">
        <f aca="false">IF('CARNET DE SOUDURE'!E302="","",'CARNET DE SOUDURE'!A302)</f>
        <v>296</v>
      </c>
      <c r="B302" s="93" t="str">
        <f aca="false">IF('CARNET DE SOUDURE'!E302="","",'CARNET DE SOUDURE'!B302&amp;"")</f>
        <v>ISB-302</v>
      </c>
      <c r="C302" s="83" t="str">
        <f aca="false">IF('CARNET DE SOUDURE'!E302="","",'CARNET DE SOUDURE'!E302)</f>
        <v>JN°091</v>
      </c>
      <c r="D302" s="78" t="str">
        <f aca="false">IF('CARNET DE SOUDURE'!E302="","",'CARNET DE SOUDURE'!D302&amp;"")</f>
        <v/>
      </c>
      <c r="E302" s="96" t="str">
        <f aca="false">IF(OR('CARNET DE SOUDURE'!E302="",'CARNET DE SOUDURE'!R302=""),"",'CARNET DE SOUDURE'!R302)</f>
        <v/>
      </c>
      <c r="F302" s="81" t="str">
        <f aca="false">IF('CARNET DE SOUDURE'!E302="","",'CARNET DE SOUDURE'!AL302)</f>
        <v/>
      </c>
      <c r="G302" s="81" t="str">
        <f aca="false">IF('CARNET DE SOUDURE'!E302="","",'CARNET DE SOUDURE'!AM302)</f>
        <v>À SOUDER</v>
      </c>
      <c r="H302" s="81" t="str">
        <f aca="false">IF(C302="","",IF(G302="ACCEPTÉ","OUI","NON"))</f>
        <v>NON</v>
      </c>
      <c r="I302" s="82"/>
      <c r="J302" s="79"/>
      <c r="K302" s="80"/>
      <c r="L302" s="80"/>
      <c r="M302" s="80"/>
      <c r="N302" s="83" t="str">
        <f aca="false">IF(C302="","",IF(I302="",IF(H302="OUI","À ENROBER",IF(G302="À SOUDER","NON SOUDÉ","EN ATTENTE RT")),IF(L302="R","À REPRENDRE",IF(H302&lt;&gt;"OUI","⚠ ENROBÉ AVANT ACCEPTATION RT","ENROBÉ"))))</f>
        <v>NON SOUDÉ</v>
      </c>
      <c r="O302" s="79"/>
    </row>
    <row r="303" customFormat="false" ht="15" hidden="false" customHeight="false" outlineLevel="0" collapsed="false">
      <c r="A303" s="78" t="n">
        <f aca="false">IF('CARNET DE SOUDURE'!E303="","",'CARNET DE SOUDURE'!A303)</f>
        <v>297</v>
      </c>
      <c r="B303" s="93" t="str">
        <f aca="false">IF('CARNET DE SOUDURE'!E303="","",'CARNET DE SOUDURE'!B303&amp;"")</f>
        <v>ISB-302</v>
      </c>
      <c r="C303" s="83" t="str">
        <f aca="false">IF('CARNET DE SOUDURE'!E303="","",'CARNET DE SOUDURE'!E303)</f>
        <v>JN°092</v>
      </c>
      <c r="D303" s="78" t="str">
        <f aca="false">IF('CARNET DE SOUDURE'!E303="","",'CARNET DE SOUDURE'!D303&amp;"")</f>
        <v/>
      </c>
      <c r="E303" s="96" t="str">
        <f aca="false">IF(OR('CARNET DE SOUDURE'!E303="",'CARNET DE SOUDURE'!R303=""),"",'CARNET DE SOUDURE'!R303)</f>
        <v/>
      </c>
      <c r="F303" s="81" t="str">
        <f aca="false">IF('CARNET DE SOUDURE'!E303="","",'CARNET DE SOUDURE'!AL303)</f>
        <v/>
      </c>
      <c r="G303" s="81" t="str">
        <f aca="false">IF('CARNET DE SOUDURE'!E303="","",'CARNET DE SOUDURE'!AM303)</f>
        <v>À SOUDER</v>
      </c>
      <c r="H303" s="81" t="str">
        <f aca="false">IF(C303="","",IF(G303="ACCEPTÉ","OUI","NON"))</f>
        <v>NON</v>
      </c>
      <c r="I303" s="82"/>
      <c r="J303" s="79"/>
      <c r="K303" s="80"/>
      <c r="L303" s="80"/>
      <c r="M303" s="80"/>
      <c r="N303" s="83" t="str">
        <f aca="false">IF(C303="","",IF(I303="",IF(H303="OUI","À ENROBER",IF(G303="À SOUDER","NON SOUDÉ","EN ATTENTE RT")),IF(L303="R","À REPRENDRE",IF(H303&lt;&gt;"OUI","⚠ ENROBÉ AVANT ACCEPTATION RT","ENROBÉ"))))</f>
        <v>NON SOUDÉ</v>
      </c>
      <c r="O303" s="79"/>
    </row>
    <row r="304" customFormat="false" ht="15" hidden="false" customHeight="false" outlineLevel="0" collapsed="false">
      <c r="A304" s="78" t="n">
        <f aca="false">IF('CARNET DE SOUDURE'!E304="","",'CARNET DE SOUDURE'!A304)</f>
        <v>298</v>
      </c>
      <c r="B304" s="93" t="str">
        <f aca="false">IF('CARNET DE SOUDURE'!E304="","",'CARNET DE SOUDURE'!B304&amp;"")</f>
        <v>ISB-302</v>
      </c>
      <c r="C304" s="83" t="str">
        <f aca="false">IF('CARNET DE SOUDURE'!E304="","",'CARNET DE SOUDURE'!E304)</f>
        <v>JN°093</v>
      </c>
      <c r="D304" s="78" t="str">
        <f aca="false">IF('CARNET DE SOUDURE'!E304="","",'CARNET DE SOUDURE'!D304&amp;"")</f>
        <v/>
      </c>
      <c r="E304" s="96" t="str">
        <f aca="false">IF(OR('CARNET DE SOUDURE'!E304="",'CARNET DE SOUDURE'!R304=""),"",'CARNET DE SOUDURE'!R304)</f>
        <v/>
      </c>
      <c r="F304" s="81" t="str">
        <f aca="false">IF('CARNET DE SOUDURE'!E304="","",'CARNET DE SOUDURE'!AL304)</f>
        <v/>
      </c>
      <c r="G304" s="81" t="str">
        <f aca="false">IF('CARNET DE SOUDURE'!E304="","",'CARNET DE SOUDURE'!AM304)</f>
        <v>À SOUDER</v>
      </c>
      <c r="H304" s="81" t="str">
        <f aca="false">IF(C304="","",IF(G304="ACCEPTÉ","OUI","NON"))</f>
        <v>NON</v>
      </c>
      <c r="I304" s="82"/>
      <c r="J304" s="79"/>
      <c r="K304" s="80"/>
      <c r="L304" s="80"/>
      <c r="M304" s="80"/>
      <c r="N304" s="83" t="str">
        <f aca="false">IF(C304="","",IF(I304="",IF(H304="OUI","À ENROBER",IF(G304="À SOUDER","NON SOUDÉ","EN ATTENTE RT")),IF(L304="R","À REPRENDRE",IF(H304&lt;&gt;"OUI","⚠ ENROBÉ AVANT ACCEPTATION RT","ENROBÉ"))))</f>
        <v>NON SOUDÉ</v>
      </c>
      <c r="O304" s="79"/>
    </row>
    <row r="305" customFormat="false" ht="15" hidden="false" customHeight="false" outlineLevel="0" collapsed="false">
      <c r="A305" s="78" t="n">
        <f aca="false">IF('CARNET DE SOUDURE'!E305="","",'CARNET DE SOUDURE'!A305)</f>
        <v>299</v>
      </c>
      <c r="B305" s="93" t="str">
        <f aca="false">IF('CARNET DE SOUDURE'!E305="","",'CARNET DE SOUDURE'!B305&amp;"")</f>
        <v>ISB-302</v>
      </c>
      <c r="C305" s="83" t="str">
        <f aca="false">IF('CARNET DE SOUDURE'!E305="","",'CARNET DE SOUDURE'!E305)</f>
        <v>JN°094</v>
      </c>
      <c r="D305" s="78" t="str">
        <f aca="false">IF('CARNET DE SOUDURE'!E305="","",'CARNET DE SOUDURE'!D305&amp;"")</f>
        <v/>
      </c>
      <c r="E305" s="96" t="str">
        <f aca="false">IF(OR('CARNET DE SOUDURE'!E305="",'CARNET DE SOUDURE'!R305=""),"",'CARNET DE SOUDURE'!R305)</f>
        <v/>
      </c>
      <c r="F305" s="81" t="str">
        <f aca="false">IF('CARNET DE SOUDURE'!E305="","",'CARNET DE SOUDURE'!AL305)</f>
        <v/>
      </c>
      <c r="G305" s="81" t="str">
        <f aca="false">IF('CARNET DE SOUDURE'!E305="","",'CARNET DE SOUDURE'!AM305)</f>
        <v>À SOUDER</v>
      </c>
      <c r="H305" s="81" t="str">
        <f aca="false">IF(C305="","",IF(G305="ACCEPTÉ","OUI","NON"))</f>
        <v>NON</v>
      </c>
      <c r="I305" s="82"/>
      <c r="J305" s="79"/>
      <c r="K305" s="80"/>
      <c r="L305" s="80"/>
      <c r="M305" s="80"/>
      <c r="N305" s="83" t="str">
        <f aca="false">IF(C305="","",IF(I305="",IF(H305="OUI","À ENROBER",IF(G305="À SOUDER","NON SOUDÉ","EN ATTENTE RT")),IF(L305="R","À REPRENDRE",IF(H305&lt;&gt;"OUI","⚠ ENROBÉ AVANT ACCEPTATION RT","ENROBÉ"))))</f>
        <v>NON SOUDÉ</v>
      </c>
      <c r="O305" s="79"/>
    </row>
    <row r="306" customFormat="false" ht="15" hidden="false" customHeight="false" outlineLevel="0" collapsed="false">
      <c r="A306" s="78" t="n">
        <f aca="false">IF('CARNET DE SOUDURE'!E306="","",'CARNET DE SOUDURE'!A306)</f>
        <v>300</v>
      </c>
      <c r="B306" s="93" t="str">
        <f aca="false">IF('CARNET DE SOUDURE'!E306="","",'CARNET DE SOUDURE'!B306&amp;"")</f>
        <v>ISB-302</v>
      </c>
      <c r="C306" s="83" t="str">
        <f aca="false">IF('CARNET DE SOUDURE'!E306="","",'CARNET DE SOUDURE'!E306)</f>
        <v>JN°095</v>
      </c>
      <c r="D306" s="78" t="str">
        <f aca="false">IF('CARNET DE SOUDURE'!E306="","",'CARNET DE SOUDURE'!D306&amp;"")</f>
        <v/>
      </c>
      <c r="E306" s="96" t="str">
        <f aca="false">IF(OR('CARNET DE SOUDURE'!E306="",'CARNET DE SOUDURE'!R306=""),"",'CARNET DE SOUDURE'!R306)</f>
        <v/>
      </c>
      <c r="F306" s="81" t="str">
        <f aca="false">IF('CARNET DE SOUDURE'!E306="","",'CARNET DE SOUDURE'!AL306)</f>
        <v/>
      </c>
      <c r="G306" s="81" t="str">
        <f aca="false">IF('CARNET DE SOUDURE'!E306="","",'CARNET DE SOUDURE'!AM306)</f>
        <v>À SOUDER</v>
      </c>
      <c r="H306" s="81" t="str">
        <f aca="false">IF(C306="","",IF(G306="ACCEPTÉ","OUI","NON"))</f>
        <v>NON</v>
      </c>
      <c r="I306" s="82"/>
      <c r="J306" s="79"/>
      <c r="K306" s="80"/>
      <c r="L306" s="80"/>
      <c r="M306" s="80"/>
      <c r="N306" s="83" t="str">
        <f aca="false">IF(C306="","",IF(I306="",IF(H306="OUI","À ENROBER",IF(G306="À SOUDER","NON SOUDÉ","EN ATTENTE RT")),IF(L306="R","À REPRENDRE",IF(H306&lt;&gt;"OUI","⚠ ENROBÉ AVANT ACCEPTATION RT","ENROBÉ"))))</f>
        <v>NON SOUDÉ</v>
      </c>
      <c r="O306" s="79"/>
    </row>
    <row r="307" customFormat="false" ht="15" hidden="false" customHeight="false" outlineLevel="0" collapsed="false">
      <c r="A307" s="78" t="n">
        <f aca="false">IF('CARNET DE SOUDURE'!E307="","",'CARNET DE SOUDURE'!A307)</f>
        <v>301</v>
      </c>
      <c r="B307" s="93" t="str">
        <f aca="false">IF('CARNET DE SOUDURE'!E307="","",'CARNET DE SOUDURE'!B307&amp;"")</f>
        <v>ISB-302</v>
      </c>
      <c r="C307" s="83" t="str">
        <f aca="false">IF('CARNET DE SOUDURE'!E307="","",'CARNET DE SOUDURE'!E307)</f>
        <v>JN°096</v>
      </c>
      <c r="D307" s="78" t="str">
        <f aca="false">IF('CARNET DE SOUDURE'!E307="","",'CARNET DE SOUDURE'!D307&amp;"")</f>
        <v/>
      </c>
      <c r="E307" s="96" t="str">
        <f aca="false">IF(OR('CARNET DE SOUDURE'!E307="",'CARNET DE SOUDURE'!R307=""),"",'CARNET DE SOUDURE'!R307)</f>
        <v/>
      </c>
      <c r="F307" s="81" t="str">
        <f aca="false">IF('CARNET DE SOUDURE'!E307="","",'CARNET DE SOUDURE'!AL307)</f>
        <v/>
      </c>
      <c r="G307" s="81" t="str">
        <f aca="false">IF('CARNET DE SOUDURE'!E307="","",'CARNET DE SOUDURE'!AM307)</f>
        <v>À SOUDER</v>
      </c>
      <c r="H307" s="81" t="str">
        <f aca="false">IF(C307="","",IF(G307="ACCEPTÉ","OUI","NON"))</f>
        <v>NON</v>
      </c>
      <c r="I307" s="82"/>
      <c r="J307" s="79"/>
      <c r="K307" s="80"/>
      <c r="L307" s="80"/>
      <c r="M307" s="80"/>
      <c r="N307" s="83" t="str">
        <f aca="false">IF(C307="","",IF(I307="",IF(H307="OUI","À ENROBER",IF(G307="À SOUDER","NON SOUDÉ","EN ATTENTE RT")),IF(L307="R","À REPRENDRE",IF(H307&lt;&gt;"OUI","⚠ ENROBÉ AVANT ACCEPTATION RT","ENROBÉ"))))</f>
        <v>NON SOUDÉ</v>
      </c>
      <c r="O307" s="79"/>
    </row>
    <row r="308" customFormat="false" ht="15" hidden="false" customHeight="false" outlineLevel="0" collapsed="false">
      <c r="A308" s="78" t="n">
        <f aca="false">IF('CARNET DE SOUDURE'!E308="","",'CARNET DE SOUDURE'!A308)</f>
        <v>302</v>
      </c>
      <c r="B308" s="93" t="str">
        <f aca="false">IF('CARNET DE SOUDURE'!E308="","",'CARNET DE SOUDURE'!B308&amp;"")</f>
        <v>ISB-302</v>
      </c>
      <c r="C308" s="83" t="str">
        <f aca="false">IF('CARNET DE SOUDURE'!E308="","",'CARNET DE SOUDURE'!E308)</f>
        <v>JN°097</v>
      </c>
      <c r="D308" s="78" t="str">
        <f aca="false">IF('CARNET DE SOUDURE'!E308="","",'CARNET DE SOUDURE'!D308&amp;"")</f>
        <v/>
      </c>
      <c r="E308" s="96" t="str">
        <f aca="false">IF(OR('CARNET DE SOUDURE'!E308="",'CARNET DE SOUDURE'!R308=""),"",'CARNET DE SOUDURE'!R308)</f>
        <v/>
      </c>
      <c r="F308" s="81" t="str">
        <f aca="false">IF('CARNET DE SOUDURE'!E308="","",'CARNET DE SOUDURE'!AL308)</f>
        <v/>
      </c>
      <c r="G308" s="81" t="str">
        <f aca="false">IF('CARNET DE SOUDURE'!E308="","",'CARNET DE SOUDURE'!AM308)</f>
        <v>À SOUDER</v>
      </c>
      <c r="H308" s="81" t="str">
        <f aca="false">IF(C308="","",IF(G308="ACCEPTÉ","OUI","NON"))</f>
        <v>NON</v>
      </c>
      <c r="I308" s="82"/>
      <c r="J308" s="79"/>
      <c r="K308" s="80"/>
      <c r="L308" s="80"/>
      <c r="M308" s="80"/>
      <c r="N308" s="83" t="str">
        <f aca="false">IF(C308="","",IF(I308="",IF(H308="OUI","À ENROBER",IF(G308="À SOUDER","NON SOUDÉ","EN ATTENTE RT")),IF(L308="R","À REPRENDRE",IF(H308&lt;&gt;"OUI","⚠ ENROBÉ AVANT ACCEPTATION RT","ENROBÉ"))))</f>
        <v>NON SOUDÉ</v>
      </c>
      <c r="O308" s="79"/>
    </row>
    <row r="309" customFormat="false" ht="15" hidden="false" customHeight="false" outlineLevel="0" collapsed="false">
      <c r="A309" s="78" t="n">
        <f aca="false">IF('CARNET DE SOUDURE'!E309="","",'CARNET DE SOUDURE'!A309)</f>
        <v>303</v>
      </c>
      <c r="B309" s="93" t="str">
        <f aca="false">IF('CARNET DE SOUDURE'!E309="","",'CARNET DE SOUDURE'!B309&amp;"")</f>
        <v>ISB-302</v>
      </c>
      <c r="C309" s="83" t="str">
        <f aca="false">IF('CARNET DE SOUDURE'!E309="","",'CARNET DE SOUDURE'!E309)</f>
        <v>JN°098</v>
      </c>
      <c r="D309" s="78" t="str">
        <f aca="false">IF('CARNET DE SOUDURE'!E309="","",'CARNET DE SOUDURE'!D309&amp;"")</f>
        <v/>
      </c>
      <c r="E309" s="96" t="str">
        <f aca="false">IF(OR('CARNET DE SOUDURE'!E309="",'CARNET DE SOUDURE'!R309=""),"",'CARNET DE SOUDURE'!R309)</f>
        <v/>
      </c>
      <c r="F309" s="81" t="str">
        <f aca="false">IF('CARNET DE SOUDURE'!E309="","",'CARNET DE SOUDURE'!AL309)</f>
        <v/>
      </c>
      <c r="G309" s="81" t="str">
        <f aca="false">IF('CARNET DE SOUDURE'!E309="","",'CARNET DE SOUDURE'!AM309)</f>
        <v>À SOUDER</v>
      </c>
      <c r="H309" s="81" t="str">
        <f aca="false">IF(C309="","",IF(G309="ACCEPTÉ","OUI","NON"))</f>
        <v>NON</v>
      </c>
      <c r="I309" s="82"/>
      <c r="J309" s="79"/>
      <c r="K309" s="80"/>
      <c r="L309" s="80"/>
      <c r="M309" s="80"/>
      <c r="N309" s="83" t="str">
        <f aca="false">IF(C309="","",IF(I309="",IF(H309="OUI","À ENROBER",IF(G309="À SOUDER","NON SOUDÉ","EN ATTENTE RT")),IF(L309="R","À REPRENDRE",IF(H309&lt;&gt;"OUI","⚠ ENROBÉ AVANT ACCEPTATION RT","ENROBÉ"))))</f>
        <v>NON SOUDÉ</v>
      </c>
      <c r="O309" s="79"/>
    </row>
    <row r="310" customFormat="false" ht="15" hidden="false" customHeight="false" outlineLevel="0" collapsed="false">
      <c r="A310" s="78" t="n">
        <f aca="false">IF('CARNET DE SOUDURE'!E310="","",'CARNET DE SOUDURE'!A310)</f>
        <v>304</v>
      </c>
      <c r="B310" s="93" t="str">
        <f aca="false">IF('CARNET DE SOUDURE'!E310="","",'CARNET DE SOUDURE'!B310&amp;"")</f>
        <v>ISB-302</v>
      </c>
      <c r="C310" s="83" t="str">
        <f aca="false">IF('CARNET DE SOUDURE'!E310="","",'CARNET DE SOUDURE'!E310)</f>
        <v>JN°099</v>
      </c>
      <c r="D310" s="78" t="str">
        <f aca="false">IF('CARNET DE SOUDURE'!E310="","",'CARNET DE SOUDURE'!D310&amp;"")</f>
        <v/>
      </c>
      <c r="E310" s="96" t="str">
        <f aca="false">IF(OR('CARNET DE SOUDURE'!E310="",'CARNET DE SOUDURE'!R310=""),"",'CARNET DE SOUDURE'!R310)</f>
        <v/>
      </c>
      <c r="F310" s="81" t="str">
        <f aca="false">IF('CARNET DE SOUDURE'!E310="","",'CARNET DE SOUDURE'!AL310)</f>
        <v/>
      </c>
      <c r="G310" s="81" t="str">
        <f aca="false">IF('CARNET DE SOUDURE'!E310="","",'CARNET DE SOUDURE'!AM310)</f>
        <v>À SOUDER</v>
      </c>
      <c r="H310" s="81" t="str">
        <f aca="false">IF(C310="","",IF(G310="ACCEPTÉ","OUI","NON"))</f>
        <v>NON</v>
      </c>
      <c r="I310" s="82"/>
      <c r="J310" s="79"/>
      <c r="K310" s="80"/>
      <c r="L310" s="80"/>
      <c r="M310" s="80"/>
      <c r="N310" s="83" t="str">
        <f aca="false">IF(C310="","",IF(I310="",IF(H310="OUI","À ENROBER",IF(G310="À SOUDER","NON SOUDÉ","EN ATTENTE RT")),IF(L310="R","À REPRENDRE",IF(H310&lt;&gt;"OUI","⚠ ENROBÉ AVANT ACCEPTATION RT","ENROBÉ"))))</f>
        <v>NON SOUDÉ</v>
      </c>
      <c r="O310" s="79"/>
    </row>
    <row r="311" customFormat="false" ht="15" hidden="false" customHeight="false" outlineLevel="0" collapsed="false">
      <c r="A311" s="78" t="n">
        <f aca="false">IF('CARNET DE SOUDURE'!E311="","",'CARNET DE SOUDURE'!A311)</f>
        <v>305</v>
      </c>
      <c r="B311" s="93" t="str">
        <f aca="false">IF('CARNET DE SOUDURE'!E311="","",'CARNET DE SOUDURE'!B311&amp;"")</f>
        <v>ISB-302</v>
      </c>
      <c r="C311" s="83" t="str">
        <f aca="false">IF('CARNET DE SOUDURE'!E311="","",'CARNET DE SOUDURE'!E311)</f>
        <v>JN°100</v>
      </c>
      <c r="D311" s="78" t="str">
        <f aca="false">IF('CARNET DE SOUDURE'!E311="","",'CARNET DE SOUDURE'!D311&amp;"")</f>
        <v/>
      </c>
      <c r="E311" s="96" t="str">
        <f aca="false">IF(OR('CARNET DE SOUDURE'!E311="",'CARNET DE SOUDURE'!R311=""),"",'CARNET DE SOUDURE'!R311)</f>
        <v/>
      </c>
      <c r="F311" s="81" t="str">
        <f aca="false">IF('CARNET DE SOUDURE'!E311="","",'CARNET DE SOUDURE'!AL311)</f>
        <v/>
      </c>
      <c r="G311" s="81" t="str">
        <f aca="false">IF('CARNET DE SOUDURE'!E311="","",'CARNET DE SOUDURE'!AM311)</f>
        <v>À SOUDER</v>
      </c>
      <c r="H311" s="81" t="str">
        <f aca="false">IF(C311="","",IF(G311="ACCEPTÉ","OUI","NON"))</f>
        <v>NON</v>
      </c>
      <c r="I311" s="82"/>
      <c r="J311" s="79"/>
      <c r="K311" s="80"/>
      <c r="L311" s="80"/>
      <c r="M311" s="80"/>
      <c r="N311" s="83" t="str">
        <f aca="false">IF(C311="","",IF(I311="",IF(H311="OUI","À ENROBER",IF(G311="À SOUDER","NON SOUDÉ","EN ATTENTE RT")),IF(L311="R","À REPRENDRE",IF(H311&lt;&gt;"OUI","⚠ ENROBÉ AVANT ACCEPTATION RT","ENROBÉ"))))</f>
        <v>NON SOUDÉ</v>
      </c>
      <c r="O311" s="79"/>
    </row>
    <row r="312" customFormat="false" ht="15" hidden="false" customHeight="false" outlineLevel="0" collapsed="false">
      <c r="A312" s="78" t="n">
        <f aca="false">IF('CARNET DE SOUDURE'!E312="","",'CARNET DE SOUDURE'!A312)</f>
        <v>306</v>
      </c>
      <c r="B312" s="93" t="str">
        <f aca="false">IF('CARNET DE SOUDURE'!E312="","",'CARNET DE SOUDURE'!B312&amp;"")</f>
        <v>ISB-302</v>
      </c>
      <c r="C312" s="83" t="str">
        <f aca="false">IF('CARNET DE SOUDURE'!E312="","",'CARNET DE SOUDURE'!E312)</f>
        <v>JN°101</v>
      </c>
      <c r="D312" s="78" t="str">
        <f aca="false">IF('CARNET DE SOUDURE'!E312="","",'CARNET DE SOUDURE'!D312&amp;"")</f>
        <v/>
      </c>
      <c r="E312" s="96" t="str">
        <f aca="false">IF(OR('CARNET DE SOUDURE'!E312="",'CARNET DE SOUDURE'!R312=""),"",'CARNET DE SOUDURE'!R312)</f>
        <v/>
      </c>
      <c r="F312" s="81" t="str">
        <f aca="false">IF('CARNET DE SOUDURE'!E312="","",'CARNET DE SOUDURE'!AL312)</f>
        <v/>
      </c>
      <c r="G312" s="81" t="str">
        <f aca="false">IF('CARNET DE SOUDURE'!E312="","",'CARNET DE SOUDURE'!AM312)</f>
        <v>À SOUDER</v>
      </c>
      <c r="H312" s="81" t="str">
        <f aca="false">IF(C312="","",IF(G312="ACCEPTÉ","OUI","NON"))</f>
        <v>NON</v>
      </c>
      <c r="I312" s="82"/>
      <c r="J312" s="79"/>
      <c r="K312" s="80"/>
      <c r="L312" s="80"/>
      <c r="M312" s="80"/>
      <c r="N312" s="83" t="str">
        <f aca="false">IF(C312="","",IF(I312="",IF(H312="OUI","À ENROBER",IF(G312="À SOUDER","NON SOUDÉ","EN ATTENTE RT")),IF(L312="R","À REPRENDRE",IF(H312&lt;&gt;"OUI","⚠ ENROBÉ AVANT ACCEPTATION RT","ENROBÉ"))))</f>
        <v>NON SOUDÉ</v>
      </c>
      <c r="O312" s="79"/>
    </row>
    <row r="313" customFormat="false" ht="15" hidden="false" customHeight="false" outlineLevel="0" collapsed="false">
      <c r="A313" s="78" t="n">
        <f aca="false">IF('CARNET DE SOUDURE'!E313="","",'CARNET DE SOUDURE'!A313)</f>
        <v>307</v>
      </c>
      <c r="B313" s="93" t="str">
        <f aca="false">IF('CARNET DE SOUDURE'!E313="","",'CARNET DE SOUDURE'!B313&amp;"")</f>
        <v>ISB-302</v>
      </c>
      <c r="C313" s="83" t="str">
        <f aca="false">IF('CARNET DE SOUDURE'!E313="","",'CARNET DE SOUDURE'!E313)</f>
        <v>JN°102</v>
      </c>
      <c r="D313" s="78" t="str">
        <f aca="false">IF('CARNET DE SOUDURE'!E313="","",'CARNET DE SOUDURE'!D313&amp;"")</f>
        <v/>
      </c>
      <c r="E313" s="96" t="str">
        <f aca="false">IF(OR('CARNET DE SOUDURE'!E313="",'CARNET DE SOUDURE'!R313=""),"",'CARNET DE SOUDURE'!R313)</f>
        <v/>
      </c>
      <c r="F313" s="81" t="str">
        <f aca="false">IF('CARNET DE SOUDURE'!E313="","",'CARNET DE SOUDURE'!AL313)</f>
        <v/>
      </c>
      <c r="G313" s="81" t="str">
        <f aca="false">IF('CARNET DE SOUDURE'!E313="","",'CARNET DE SOUDURE'!AM313)</f>
        <v>À SOUDER</v>
      </c>
      <c r="H313" s="81" t="str">
        <f aca="false">IF(C313="","",IF(G313="ACCEPTÉ","OUI","NON"))</f>
        <v>NON</v>
      </c>
      <c r="I313" s="82"/>
      <c r="J313" s="79"/>
      <c r="K313" s="80"/>
      <c r="L313" s="80"/>
      <c r="M313" s="80"/>
      <c r="N313" s="83" t="str">
        <f aca="false">IF(C313="","",IF(I313="",IF(H313="OUI","À ENROBER",IF(G313="À SOUDER","NON SOUDÉ","EN ATTENTE RT")),IF(L313="R","À REPRENDRE",IF(H313&lt;&gt;"OUI","⚠ ENROBÉ AVANT ACCEPTATION RT","ENROBÉ"))))</f>
        <v>NON SOUDÉ</v>
      </c>
      <c r="O313" s="79"/>
    </row>
    <row r="314" customFormat="false" ht="15" hidden="false" customHeight="false" outlineLevel="0" collapsed="false">
      <c r="A314" s="78" t="n">
        <f aca="false">IF('CARNET DE SOUDURE'!E314="","",'CARNET DE SOUDURE'!A314)</f>
        <v>308</v>
      </c>
      <c r="B314" s="93" t="str">
        <f aca="false">IF('CARNET DE SOUDURE'!E314="","",'CARNET DE SOUDURE'!B314&amp;"")</f>
        <v>ISB-302</v>
      </c>
      <c r="C314" s="83" t="str">
        <f aca="false">IF('CARNET DE SOUDURE'!E314="","",'CARNET DE SOUDURE'!E314)</f>
        <v>JN°103</v>
      </c>
      <c r="D314" s="78" t="str">
        <f aca="false">IF('CARNET DE SOUDURE'!E314="","",'CARNET DE SOUDURE'!D314&amp;"")</f>
        <v/>
      </c>
      <c r="E314" s="96" t="str">
        <f aca="false">IF(OR('CARNET DE SOUDURE'!E314="",'CARNET DE SOUDURE'!R314=""),"",'CARNET DE SOUDURE'!R314)</f>
        <v/>
      </c>
      <c r="F314" s="81" t="str">
        <f aca="false">IF('CARNET DE SOUDURE'!E314="","",'CARNET DE SOUDURE'!AL314)</f>
        <v/>
      </c>
      <c r="G314" s="81" t="str">
        <f aca="false">IF('CARNET DE SOUDURE'!E314="","",'CARNET DE SOUDURE'!AM314)</f>
        <v>À SOUDER</v>
      </c>
      <c r="H314" s="81" t="str">
        <f aca="false">IF(C314="","",IF(G314="ACCEPTÉ","OUI","NON"))</f>
        <v>NON</v>
      </c>
      <c r="I314" s="82"/>
      <c r="J314" s="79"/>
      <c r="K314" s="80"/>
      <c r="L314" s="80"/>
      <c r="M314" s="80"/>
      <c r="N314" s="83" t="str">
        <f aca="false">IF(C314="","",IF(I314="",IF(H314="OUI","À ENROBER",IF(G314="À SOUDER","NON SOUDÉ","EN ATTENTE RT")),IF(L314="R","À REPRENDRE",IF(H314&lt;&gt;"OUI","⚠ ENROBÉ AVANT ACCEPTATION RT","ENROBÉ"))))</f>
        <v>NON SOUDÉ</v>
      </c>
      <c r="O314" s="79"/>
    </row>
    <row r="315" customFormat="false" ht="15" hidden="false" customHeight="false" outlineLevel="0" collapsed="false">
      <c r="A315" s="78" t="n">
        <f aca="false">IF('CARNET DE SOUDURE'!E315="","",'CARNET DE SOUDURE'!A315)</f>
        <v>309</v>
      </c>
      <c r="B315" s="93" t="str">
        <f aca="false">IF('CARNET DE SOUDURE'!E315="","",'CARNET DE SOUDURE'!B315&amp;"")</f>
        <v>ISB-302</v>
      </c>
      <c r="C315" s="83" t="str">
        <f aca="false">IF('CARNET DE SOUDURE'!E315="","",'CARNET DE SOUDURE'!E315)</f>
        <v>JN°104</v>
      </c>
      <c r="D315" s="78" t="str">
        <f aca="false">IF('CARNET DE SOUDURE'!E315="","",'CARNET DE SOUDURE'!D315&amp;"")</f>
        <v/>
      </c>
      <c r="E315" s="96" t="str">
        <f aca="false">IF(OR('CARNET DE SOUDURE'!E315="",'CARNET DE SOUDURE'!R315=""),"",'CARNET DE SOUDURE'!R315)</f>
        <v/>
      </c>
      <c r="F315" s="81" t="str">
        <f aca="false">IF('CARNET DE SOUDURE'!E315="","",'CARNET DE SOUDURE'!AL315)</f>
        <v/>
      </c>
      <c r="G315" s="81" t="str">
        <f aca="false">IF('CARNET DE SOUDURE'!E315="","",'CARNET DE SOUDURE'!AM315)</f>
        <v>À SOUDER</v>
      </c>
      <c r="H315" s="81" t="str">
        <f aca="false">IF(C315="","",IF(G315="ACCEPTÉ","OUI","NON"))</f>
        <v>NON</v>
      </c>
      <c r="I315" s="82"/>
      <c r="J315" s="79"/>
      <c r="K315" s="80"/>
      <c r="L315" s="80"/>
      <c r="M315" s="80"/>
      <c r="N315" s="83" t="str">
        <f aca="false">IF(C315="","",IF(I315="",IF(H315="OUI","À ENROBER",IF(G315="À SOUDER","NON SOUDÉ","EN ATTENTE RT")),IF(L315="R","À REPRENDRE",IF(H315&lt;&gt;"OUI","⚠ ENROBÉ AVANT ACCEPTATION RT","ENROBÉ"))))</f>
        <v>NON SOUDÉ</v>
      </c>
      <c r="O315" s="79"/>
    </row>
    <row r="316" customFormat="false" ht="15" hidden="false" customHeight="false" outlineLevel="0" collapsed="false">
      <c r="A316" s="78" t="n">
        <f aca="false">IF('CARNET DE SOUDURE'!E316="","",'CARNET DE SOUDURE'!A316)</f>
        <v>310</v>
      </c>
      <c r="B316" s="93" t="str">
        <f aca="false">IF('CARNET DE SOUDURE'!E316="","",'CARNET DE SOUDURE'!B316&amp;"")</f>
        <v>ISB-302</v>
      </c>
      <c r="C316" s="83" t="str">
        <f aca="false">IF('CARNET DE SOUDURE'!E316="","",'CARNET DE SOUDURE'!E316)</f>
        <v>JN°105</v>
      </c>
      <c r="D316" s="78" t="str">
        <f aca="false">IF('CARNET DE SOUDURE'!E316="","",'CARNET DE SOUDURE'!D316&amp;"")</f>
        <v/>
      </c>
      <c r="E316" s="96" t="str">
        <f aca="false">IF(OR('CARNET DE SOUDURE'!E316="",'CARNET DE SOUDURE'!R316=""),"",'CARNET DE SOUDURE'!R316)</f>
        <v/>
      </c>
      <c r="F316" s="81" t="str">
        <f aca="false">IF('CARNET DE SOUDURE'!E316="","",'CARNET DE SOUDURE'!AL316)</f>
        <v/>
      </c>
      <c r="G316" s="81" t="str">
        <f aca="false">IF('CARNET DE SOUDURE'!E316="","",'CARNET DE SOUDURE'!AM316)</f>
        <v>À SOUDER</v>
      </c>
      <c r="H316" s="81" t="str">
        <f aca="false">IF(C316="","",IF(G316="ACCEPTÉ","OUI","NON"))</f>
        <v>NON</v>
      </c>
      <c r="I316" s="82"/>
      <c r="J316" s="79"/>
      <c r="K316" s="80"/>
      <c r="L316" s="80"/>
      <c r="M316" s="80"/>
      <c r="N316" s="83" t="str">
        <f aca="false">IF(C316="","",IF(I316="",IF(H316="OUI","À ENROBER",IF(G316="À SOUDER","NON SOUDÉ","EN ATTENTE RT")),IF(L316="R","À REPRENDRE",IF(H316&lt;&gt;"OUI","⚠ ENROBÉ AVANT ACCEPTATION RT","ENROBÉ"))))</f>
        <v>NON SOUDÉ</v>
      </c>
      <c r="O316" s="79"/>
    </row>
    <row r="317" customFormat="false" ht="15" hidden="false" customHeight="false" outlineLevel="0" collapsed="false">
      <c r="A317" s="78" t="n">
        <f aca="false">IF('CARNET DE SOUDURE'!E317="","",'CARNET DE SOUDURE'!A317)</f>
        <v>311</v>
      </c>
      <c r="B317" s="93" t="str">
        <f aca="false">IF('CARNET DE SOUDURE'!E317="","",'CARNET DE SOUDURE'!B317&amp;"")</f>
        <v>ISB-302</v>
      </c>
      <c r="C317" s="83" t="str">
        <f aca="false">IF('CARNET DE SOUDURE'!E317="","",'CARNET DE SOUDURE'!E317)</f>
        <v>JN°106</v>
      </c>
      <c r="D317" s="78" t="str">
        <f aca="false">IF('CARNET DE SOUDURE'!E317="","",'CARNET DE SOUDURE'!D317&amp;"")</f>
        <v/>
      </c>
      <c r="E317" s="96" t="str">
        <f aca="false">IF(OR('CARNET DE SOUDURE'!E317="",'CARNET DE SOUDURE'!R317=""),"",'CARNET DE SOUDURE'!R317)</f>
        <v/>
      </c>
      <c r="F317" s="81" t="str">
        <f aca="false">IF('CARNET DE SOUDURE'!E317="","",'CARNET DE SOUDURE'!AL317)</f>
        <v/>
      </c>
      <c r="G317" s="81" t="str">
        <f aca="false">IF('CARNET DE SOUDURE'!E317="","",'CARNET DE SOUDURE'!AM317)</f>
        <v>À SOUDER</v>
      </c>
      <c r="H317" s="81" t="str">
        <f aca="false">IF(C317="","",IF(G317="ACCEPTÉ","OUI","NON"))</f>
        <v>NON</v>
      </c>
      <c r="I317" s="82"/>
      <c r="J317" s="79"/>
      <c r="K317" s="80"/>
      <c r="L317" s="80"/>
      <c r="M317" s="80"/>
      <c r="N317" s="83" t="str">
        <f aca="false">IF(C317="","",IF(I317="",IF(H317="OUI","À ENROBER",IF(G317="À SOUDER","NON SOUDÉ","EN ATTENTE RT")),IF(L317="R","À REPRENDRE",IF(H317&lt;&gt;"OUI","⚠ ENROBÉ AVANT ACCEPTATION RT","ENROBÉ"))))</f>
        <v>NON SOUDÉ</v>
      </c>
      <c r="O317" s="79"/>
    </row>
    <row r="318" customFormat="false" ht="15" hidden="false" customHeight="false" outlineLevel="0" collapsed="false">
      <c r="A318" s="78" t="n">
        <f aca="false">IF('CARNET DE SOUDURE'!E318="","",'CARNET DE SOUDURE'!A318)</f>
        <v>312</v>
      </c>
      <c r="B318" s="93" t="str">
        <f aca="false">IF('CARNET DE SOUDURE'!E318="","",'CARNET DE SOUDURE'!B318&amp;"")</f>
        <v>ISB-302</v>
      </c>
      <c r="C318" s="83" t="str">
        <f aca="false">IF('CARNET DE SOUDURE'!E318="","",'CARNET DE SOUDURE'!E318)</f>
        <v>JN°107</v>
      </c>
      <c r="D318" s="78" t="str">
        <f aca="false">IF('CARNET DE SOUDURE'!E318="","",'CARNET DE SOUDURE'!D318&amp;"")</f>
        <v/>
      </c>
      <c r="E318" s="96" t="str">
        <f aca="false">IF(OR('CARNET DE SOUDURE'!E318="",'CARNET DE SOUDURE'!R318=""),"",'CARNET DE SOUDURE'!R318)</f>
        <v/>
      </c>
      <c r="F318" s="81" t="str">
        <f aca="false">IF('CARNET DE SOUDURE'!E318="","",'CARNET DE SOUDURE'!AL318)</f>
        <v/>
      </c>
      <c r="G318" s="81" t="str">
        <f aca="false">IF('CARNET DE SOUDURE'!E318="","",'CARNET DE SOUDURE'!AM318)</f>
        <v>À SOUDER</v>
      </c>
      <c r="H318" s="81" t="str">
        <f aca="false">IF(C318="","",IF(G318="ACCEPTÉ","OUI","NON"))</f>
        <v>NON</v>
      </c>
      <c r="I318" s="82"/>
      <c r="J318" s="79"/>
      <c r="K318" s="80"/>
      <c r="L318" s="80"/>
      <c r="M318" s="80"/>
      <c r="N318" s="83" t="str">
        <f aca="false">IF(C318="","",IF(I318="",IF(H318="OUI","À ENROBER",IF(G318="À SOUDER","NON SOUDÉ","EN ATTENTE RT")),IF(L318="R","À REPRENDRE",IF(H318&lt;&gt;"OUI","⚠ ENROBÉ AVANT ACCEPTATION RT","ENROBÉ"))))</f>
        <v>NON SOUDÉ</v>
      </c>
      <c r="O318" s="79"/>
    </row>
    <row r="319" customFormat="false" ht="15" hidden="false" customHeight="false" outlineLevel="0" collapsed="false">
      <c r="A319" s="78" t="n">
        <f aca="false">IF('CARNET DE SOUDURE'!E319="","",'CARNET DE SOUDURE'!A319)</f>
        <v>313</v>
      </c>
      <c r="B319" s="93" t="str">
        <f aca="false">IF('CARNET DE SOUDURE'!E319="","",'CARNET DE SOUDURE'!B319&amp;"")</f>
        <v>ISB-302</v>
      </c>
      <c r="C319" s="83" t="str">
        <f aca="false">IF('CARNET DE SOUDURE'!E319="","",'CARNET DE SOUDURE'!E319)</f>
        <v>JN°108</v>
      </c>
      <c r="D319" s="78" t="str">
        <f aca="false">IF('CARNET DE SOUDURE'!E319="","",'CARNET DE SOUDURE'!D319&amp;"")</f>
        <v/>
      </c>
      <c r="E319" s="96" t="str">
        <f aca="false">IF(OR('CARNET DE SOUDURE'!E319="",'CARNET DE SOUDURE'!R319=""),"",'CARNET DE SOUDURE'!R319)</f>
        <v/>
      </c>
      <c r="F319" s="81" t="str">
        <f aca="false">IF('CARNET DE SOUDURE'!E319="","",'CARNET DE SOUDURE'!AL319)</f>
        <v/>
      </c>
      <c r="G319" s="81" t="str">
        <f aca="false">IF('CARNET DE SOUDURE'!E319="","",'CARNET DE SOUDURE'!AM319)</f>
        <v>À SOUDER</v>
      </c>
      <c r="H319" s="81" t="str">
        <f aca="false">IF(C319="","",IF(G319="ACCEPTÉ","OUI","NON"))</f>
        <v>NON</v>
      </c>
      <c r="I319" s="82"/>
      <c r="J319" s="79"/>
      <c r="K319" s="80"/>
      <c r="L319" s="80"/>
      <c r="M319" s="80"/>
      <c r="N319" s="83" t="str">
        <f aca="false">IF(C319="","",IF(I319="",IF(H319="OUI","À ENROBER",IF(G319="À SOUDER","NON SOUDÉ","EN ATTENTE RT")),IF(L319="R","À REPRENDRE",IF(H319&lt;&gt;"OUI","⚠ ENROBÉ AVANT ACCEPTATION RT","ENROBÉ"))))</f>
        <v>NON SOUDÉ</v>
      </c>
      <c r="O319" s="79"/>
    </row>
    <row r="320" customFormat="false" ht="15" hidden="false" customHeight="false" outlineLevel="0" collapsed="false">
      <c r="A320" s="78" t="n">
        <f aca="false">IF('CARNET DE SOUDURE'!E320="","",'CARNET DE SOUDURE'!A320)</f>
        <v>314</v>
      </c>
      <c r="B320" s="93" t="str">
        <f aca="false">IF('CARNET DE SOUDURE'!E320="","",'CARNET DE SOUDURE'!B320&amp;"")</f>
        <v>ISB-302</v>
      </c>
      <c r="C320" s="83" t="str">
        <f aca="false">IF('CARNET DE SOUDURE'!E320="","",'CARNET DE SOUDURE'!E320)</f>
        <v>JN°109</v>
      </c>
      <c r="D320" s="78" t="str">
        <f aca="false">IF('CARNET DE SOUDURE'!E320="","",'CARNET DE SOUDURE'!D320&amp;"")</f>
        <v/>
      </c>
      <c r="E320" s="96" t="str">
        <f aca="false">IF(OR('CARNET DE SOUDURE'!E320="",'CARNET DE SOUDURE'!R320=""),"",'CARNET DE SOUDURE'!R320)</f>
        <v/>
      </c>
      <c r="F320" s="81" t="str">
        <f aca="false">IF('CARNET DE SOUDURE'!E320="","",'CARNET DE SOUDURE'!AL320)</f>
        <v/>
      </c>
      <c r="G320" s="81" t="str">
        <f aca="false">IF('CARNET DE SOUDURE'!E320="","",'CARNET DE SOUDURE'!AM320)</f>
        <v>À SOUDER</v>
      </c>
      <c r="H320" s="81" t="str">
        <f aca="false">IF(C320="","",IF(G320="ACCEPTÉ","OUI","NON"))</f>
        <v>NON</v>
      </c>
      <c r="I320" s="82"/>
      <c r="J320" s="79"/>
      <c r="K320" s="80"/>
      <c r="L320" s="80"/>
      <c r="M320" s="80"/>
      <c r="N320" s="83" t="str">
        <f aca="false">IF(C320="","",IF(I320="",IF(H320="OUI","À ENROBER",IF(G320="À SOUDER","NON SOUDÉ","EN ATTENTE RT")),IF(L320="R","À REPRENDRE",IF(H320&lt;&gt;"OUI","⚠ ENROBÉ AVANT ACCEPTATION RT","ENROBÉ"))))</f>
        <v>NON SOUDÉ</v>
      </c>
      <c r="O320" s="79"/>
    </row>
    <row r="321" customFormat="false" ht="15" hidden="false" customHeight="false" outlineLevel="0" collapsed="false">
      <c r="A321" s="78" t="n">
        <f aca="false">IF('CARNET DE SOUDURE'!E321="","",'CARNET DE SOUDURE'!A321)</f>
        <v>315</v>
      </c>
      <c r="B321" s="93" t="str">
        <f aca="false">IF('CARNET DE SOUDURE'!E321="","",'CARNET DE SOUDURE'!B321&amp;"")</f>
        <v>ISB-302</v>
      </c>
      <c r="C321" s="83" t="str">
        <f aca="false">IF('CARNET DE SOUDURE'!E321="","",'CARNET DE SOUDURE'!E321)</f>
        <v>JN°110</v>
      </c>
      <c r="D321" s="78" t="str">
        <f aca="false">IF('CARNET DE SOUDURE'!E321="","",'CARNET DE SOUDURE'!D321&amp;"")</f>
        <v/>
      </c>
      <c r="E321" s="96" t="str">
        <f aca="false">IF(OR('CARNET DE SOUDURE'!E321="",'CARNET DE SOUDURE'!R321=""),"",'CARNET DE SOUDURE'!R321)</f>
        <v/>
      </c>
      <c r="F321" s="81" t="str">
        <f aca="false">IF('CARNET DE SOUDURE'!E321="","",'CARNET DE SOUDURE'!AL321)</f>
        <v/>
      </c>
      <c r="G321" s="81" t="str">
        <f aca="false">IF('CARNET DE SOUDURE'!E321="","",'CARNET DE SOUDURE'!AM321)</f>
        <v>À SOUDER</v>
      </c>
      <c r="H321" s="81" t="str">
        <f aca="false">IF(C321="","",IF(G321="ACCEPTÉ","OUI","NON"))</f>
        <v>NON</v>
      </c>
      <c r="I321" s="82"/>
      <c r="J321" s="79"/>
      <c r="K321" s="80"/>
      <c r="L321" s="80"/>
      <c r="M321" s="80"/>
      <c r="N321" s="83" t="str">
        <f aca="false">IF(C321="","",IF(I321="",IF(H321="OUI","À ENROBER",IF(G321="À SOUDER","NON SOUDÉ","EN ATTENTE RT")),IF(L321="R","À REPRENDRE",IF(H321&lt;&gt;"OUI","⚠ ENROBÉ AVANT ACCEPTATION RT","ENROBÉ"))))</f>
        <v>NON SOUDÉ</v>
      </c>
      <c r="O321" s="79"/>
    </row>
    <row r="322" customFormat="false" ht="15" hidden="false" customHeight="false" outlineLevel="0" collapsed="false">
      <c r="A322" s="78" t="n">
        <f aca="false">IF('CARNET DE SOUDURE'!E322="","",'CARNET DE SOUDURE'!A322)</f>
        <v>316</v>
      </c>
      <c r="B322" s="93" t="str">
        <f aca="false">IF('CARNET DE SOUDURE'!E322="","",'CARNET DE SOUDURE'!B322&amp;"")</f>
        <v>ISB-302</v>
      </c>
      <c r="C322" s="83" t="str">
        <f aca="false">IF('CARNET DE SOUDURE'!E322="","",'CARNET DE SOUDURE'!E322)</f>
        <v>JN°111</v>
      </c>
      <c r="D322" s="78" t="str">
        <f aca="false">IF('CARNET DE SOUDURE'!E322="","",'CARNET DE SOUDURE'!D322&amp;"")</f>
        <v/>
      </c>
      <c r="E322" s="96" t="str">
        <f aca="false">IF(OR('CARNET DE SOUDURE'!E322="",'CARNET DE SOUDURE'!R322=""),"",'CARNET DE SOUDURE'!R322)</f>
        <v/>
      </c>
      <c r="F322" s="81" t="str">
        <f aca="false">IF('CARNET DE SOUDURE'!E322="","",'CARNET DE SOUDURE'!AL322)</f>
        <v/>
      </c>
      <c r="G322" s="81" t="str">
        <f aca="false">IF('CARNET DE SOUDURE'!E322="","",'CARNET DE SOUDURE'!AM322)</f>
        <v>À SOUDER</v>
      </c>
      <c r="H322" s="81" t="str">
        <f aca="false">IF(C322="","",IF(G322="ACCEPTÉ","OUI","NON"))</f>
        <v>NON</v>
      </c>
      <c r="I322" s="82"/>
      <c r="J322" s="79"/>
      <c r="K322" s="80"/>
      <c r="L322" s="80"/>
      <c r="M322" s="80"/>
      <c r="N322" s="83" t="str">
        <f aca="false">IF(C322="","",IF(I322="",IF(H322="OUI","À ENROBER",IF(G322="À SOUDER","NON SOUDÉ","EN ATTENTE RT")),IF(L322="R","À REPRENDRE",IF(H322&lt;&gt;"OUI","⚠ ENROBÉ AVANT ACCEPTATION RT","ENROBÉ"))))</f>
        <v>NON SOUDÉ</v>
      </c>
      <c r="O322" s="79"/>
    </row>
    <row r="323" customFormat="false" ht="15" hidden="false" customHeight="false" outlineLevel="0" collapsed="false">
      <c r="A323" s="78" t="n">
        <f aca="false">IF('CARNET DE SOUDURE'!E323="","",'CARNET DE SOUDURE'!A323)</f>
        <v>317</v>
      </c>
      <c r="B323" s="93" t="str">
        <f aca="false">IF('CARNET DE SOUDURE'!E323="","",'CARNET DE SOUDURE'!B323&amp;"")</f>
        <v>ISB-302</v>
      </c>
      <c r="C323" s="83" t="str">
        <f aca="false">IF('CARNET DE SOUDURE'!E323="","",'CARNET DE SOUDURE'!E323)</f>
        <v>JN°112</v>
      </c>
      <c r="D323" s="78" t="str">
        <f aca="false">IF('CARNET DE SOUDURE'!E323="","",'CARNET DE SOUDURE'!D323&amp;"")</f>
        <v/>
      </c>
      <c r="E323" s="96" t="str">
        <f aca="false">IF(OR('CARNET DE SOUDURE'!E323="",'CARNET DE SOUDURE'!R323=""),"",'CARNET DE SOUDURE'!R323)</f>
        <v/>
      </c>
      <c r="F323" s="81" t="str">
        <f aca="false">IF('CARNET DE SOUDURE'!E323="","",'CARNET DE SOUDURE'!AL323)</f>
        <v/>
      </c>
      <c r="G323" s="81" t="str">
        <f aca="false">IF('CARNET DE SOUDURE'!E323="","",'CARNET DE SOUDURE'!AM323)</f>
        <v>À SOUDER</v>
      </c>
      <c r="H323" s="81" t="str">
        <f aca="false">IF(C323="","",IF(G323="ACCEPTÉ","OUI","NON"))</f>
        <v>NON</v>
      </c>
      <c r="I323" s="82"/>
      <c r="J323" s="79"/>
      <c r="K323" s="80"/>
      <c r="L323" s="80"/>
      <c r="M323" s="80"/>
      <c r="N323" s="83" t="str">
        <f aca="false">IF(C323="","",IF(I323="",IF(H323="OUI","À ENROBER",IF(G323="À SOUDER","NON SOUDÉ","EN ATTENTE RT")),IF(L323="R","À REPRENDRE",IF(H323&lt;&gt;"OUI","⚠ ENROBÉ AVANT ACCEPTATION RT","ENROBÉ"))))</f>
        <v>NON SOUDÉ</v>
      </c>
      <c r="O323" s="79"/>
    </row>
    <row r="324" customFormat="false" ht="15" hidden="false" customHeight="false" outlineLevel="0" collapsed="false">
      <c r="A324" s="78" t="n">
        <f aca="false">IF('CARNET DE SOUDURE'!E324="","",'CARNET DE SOUDURE'!A324)</f>
        <v>318</v>
      </c>
      <c r="B324" s="93" t="str">
        <f aca="false">IF('CARNET DE SOUDURE'!E324="","",'CARNET DE SOUDURE'!B324&amp;"")</f>
        <v>ISB-302</v>
      </c>
      <c r="C324" s="83" t="str">
        <f aca="false">IF('CARNET DE SOUDURE'!E324="","",'CARNET DE SOUDURE'!E324)</f>
        <v>JN°113</v>
      </c>
      <c r="D324" s="78" t="str">
        <f aca="false">IF('CARNET DE SOUDURE'!E324="","",'CARNET DE SOUDURE'!D324&amp;"")</f>
        <v/>
      </c>
      <c r="E324" s="96" t="str">
        <f aca="false">IF(OR('CARNET DE SOUDURE'!E324="",'CARNET DE SOUDURE'!R324=""),"",'CARNET DE SOUDURE'!R324)</f>
        <v/>
      </c>
      <c r="F324" s="81" t="str">
        <f aca="false">IF('CARNET DE SOUDURE'!E324="","",'CARNET DE SOUDURE'!AL324)</f>
        <v/>
      </c>
      <c r="G324" s="81" t="str">
        <f aca="false">IF('CARNET DE SOUDURE'!E324="","",'CARNET DE SOUDURE'!AM324)</f>
        <v>À SOUDER</v>
      </c>
      <c r="H324" s="81" t="str">
        <f aca="false">IF(C324="","",IF(G324="ACCEPTÉ","OUI","NON"))</f>
        <v>NON</v>
      </c>
      <c r="I324" s="82"/>
      <c r="J324" s="79"/>
      <c r="K324" s="80"/>
      <c r="L324" s="80"/>
      <c r="M324" s="80"/>
      <c r="N324" s="83" t="str">
        <f aca="false">IF(C324="","",IF(I324="",IF(H324="OUI","À ENROBER",IF(G324="À SOUDER","NON SOUDÉ","EN ATTENTE RT")),IF(L324="R","À REPRENDRE",IF(H324&lt;&gt;"OUI","⚠ ENROBÉ AVANT ACCEPTATION RT","ENROBÉ"))))</f>
        <v>NON SOUDÉ</v>
      </c>
      <c r="O324" s="79"/>
    </row>
    <row r="325" customFormat="false" ht="15" hidden="false" customHeight="false" outlineLevel="0" collapsed="false">
      <c r="A325" s="78" t="n">
        <f aca="false">IF('CARNET DE SOUDURE'!E325="","",'CARNET DE SOUDURE'!A325)</f>
        <v>319</v>
      </c>
      <c r="B325" s="93" t="str">
        <f aca="false">IF('CARNET DE SOUDURE'!E325="","",'CARNET DE SOUDURE'!B325&amp;"")</f>
        <v>ISB-302</v>
      </c>
      <c r="C325" s="83" t="str">
        <f aca="false">IF('CARNET DE SOUDURE'!E325="","",'CARNET DE SOUDURE'!E325)</f>
        <v>JN°114</v>
      </c>
      <c r="D325" s="78" t="str">
        <f aca="false">IF('CARNET DE SOUDURE'!E325="","",'CARNET DE SOUDURE'!D325&amp;"")</f>
        <v/>
      </c>
      <c r="E325" s="96" t="str">
        <f aca="false">IF(OR('CARNET DE SOUDURE'!E325="",'CARNET DE SOUDURE'!R325=""),"",'CARNET DE SOUDURE'!R325)</f>
        <v/>
      </c>
      <c r="F325" s="81" t="str">
        <f aca="false">IF('CARNET DE SOUDURE'!E325="","",'CARNET DE SOUDURE'!AL325)</f>
        <v/>
      </c>
      <c r="G325" s="81" t="str">
        <f aca="false">IF('CARNET DE SOUDURE'!E325="","",'CARNET DE SOUDURE'!AM325)</f>
        <v>À SOUDER</v>
      </c>
      <c r="H325" s="81" t="str">
        <f aca="false">IF(C325="","",IF(G325="ACCEPTÉ","OUI","NON"))</f>
        <v>NON</v>
      </c>
      <c r="I325" s="82"/>
      <c r="J325" s="79"/>
      <c r="K325" s="80"/>
      <c r="L325" s="80"/>
      <c r="M325" s="80"/>
      <c r="N325" s="83" t="str">
        <f aca="false">IF(C325="","",IF(I325="",IF(H325="OUI","À ENROBER",IF(G325="À SOUDER","NON SOUDÉ","EN ATTENTE RT")),IF(L325="R","À REPRENDRE",IF(H325&lt;&gt;"OUI","⚠ ENROBÉ AVANT ACCEPTATION RT","ENROBÉ"))))</f>
        <v>NON SOUDÉ</v>
      </c>
      <c r="O325" s="79"/>
    </row>
    <row r="326" customFormat="false" ht="15" hidden="false" customHeight="false" outlineLevel="0" collapsed="false">
      <c r="A326" s="78" t="n">
        <f aca="false">IF('CARNET DE SOUDURE'!E326="","",'CARNET DE SOUDURE'!A326)</f>
        <v>320</v>
      </c>
      <c r="B326" s="93" t="str">
        <f aca="false">IF('CARNET DE SOUDURE'!E326="","",'CARNET DE SOUDURE'!B326&amp;"")</f>
        <v>ISB-302</v>
      </c>
      <c r="C326" s="83" t="str">
        <f aca="false">IF('CARNET DE SOUDURE'!E326="","",'CARNET DE SOUDURE'!E326)</f>
        <v>JN°115</v>
      </c>
      <c r="D326" s="78" t="str">
        <f aca="false">IF('CARNET DE SOUDURE'!E326="","",'CARNET DE SOUDURE'!D326&amp;"")</f>
        <v/>
      </c>
      <c r="E326" s="96" t="str">
        <f aca="false">IF(OR('CARNET DE SOUDURE'!E326="",'CARNET DE SOUDURE'!R326=""),"",'CARNET DE SOUDURE'!R326)</f>
        <v/>
      </c>
      <c r="F326" s="81" t="str">
        <f aca="false">IF('CARNET DE SOUDURE'!E326="","",'CARNET DE SOUDURE'!AL326)</f>
        <v/>
      </c>
      <c r="G326" s="81" t="str">
        <f aca="false">IF('CARNET DE SOUDURE'!E326="","",'CARNET DE SOUDURE'!AM326)</f>
        <v>À SOUDER</v>
      </c>
      <c r="H326" s="81" t="str">
        <f aca="false">IF(C326="","",IF(G326="ACCEPTÉ","OUI","NON"))</f>
        <v>NON</v>
      </c>
      <c r="I326" s="82"/>
      <c r="J326" s="79"/>
      <c r="K326" s="80"/>
      <c r="L326" s="80"/>
      <c r="M326" s="80"/>
      <c r="N326" s="83" t="str">
        <f aca="false">IF(C326="","",IF(I326="",IF(H326="OUI","À ENROBER",IF(G326="À SOUDER","NON SOUDÉ","EN ATTENTE RT")),IF(L326="R","À REPRENDRE",IF(H326&lt;&gt;"OUI","⚠ ENROBÉ AVANT ACCEPTATION RT","ENROBÉ"))))</f>
        <v>NON SOUDÉ</v>
      </c>
      <c r="O326" s="79"/>
    </row>
    <row r="327" customFormat="false" ht="15" hidden="false" customHeight="false" outlineLevel="0" collapsed="false">
      <c r="A327" s="78" t="n">
        <f aca="false">IF('CARNET DE SOUDURE'!E327="","",'CARNET DE SOUDURE'!A327)</f>
        <v>321</v>
      </c>
      <c r="B327" s="93" t="str">
        <f aca="false">IF('CARNET DE SOUDURE'!E327="","",'CARNET DE SOUDURE'!B327&amp;"")</f>
        <v>ISB-302</v>
      </c>
      <c r="C327" s="83" t="str">
        <f aca="false">IF('CARNET DE SOUDURE'!E327="","",'CARNET DE SOUDURE'!E327)</f>
        <v>JN°116</v>
      </c>
      <c r="D327" s="78" t="str">
        <f aca="false">IF('CARNET DE SOUDURE'!E327="","",'CARNET DE SOUDURE'!D327&amp;"")</f>
        <v/>
      </c>
      <c r="E327" s="96" t="str">
        <f aca="false">IF(OR('CARNET DE SOUDURE'!E327="",'CARNET DE SOUDURE'!R327=""),"",'CARNET DE SOUDURE'!R327)</f>
        <v/>
      </c>
      <c r="F327" s="81" t="str">
        <f aca="false">IF('CARNET DE SOUDURE'!E327="","",'CARNET DE SOUDURE'!AL327)</f>
        <v/>
      </c>
      <c r="G327" s="81" t="str">
        <f aca="false">IF('CARNET DE SOUDURE'!E327="","",'CARNET DE SOUDURE'!AM327)</f>
        <v>À SOUDER</v>
      </c>
      <c r="H327" s="81" t="str">
        <f aca="false">IF(C327="","",IF(G327="ACCEPTÉ","OUI","NON"))</f>
        <v>NON</v>
      </c>
      <c r="I327" s="82"/>
      <c r="J327" s="79"/>
      <c r="K327" s="80"/>
      <c r="L327" s="80"/>
      <c r="M327" s="80"/>
      <c r="N327" s="83" t="str">
        <f aca="false">IF(C327="","",IF(I327="",IF(H327="OUI","À ENROBER",IF(G327="À SOUDER","NON SOUDÉ","EN ATTENTE RT")),IF(L327="R","À REPRENDRE",IF(H327&lt;&gt;"OUI","⚠ ENROBÉ AVANT ACCEPTATION RT","ENROBÉ"))))</f>
        <v>NON SOUDÉ</v>
      </c>
      <c r="O327" s="79"/>
    </row>
    <row r="328" customFormat="false" ht="15" hidden="false" customHeight="false" outlineLevel="0" collapsed="false">
      <c r="A328" s="78" t="n">
        <f aca="false">IF('CARNET DE SOUDURE'!E328="","",'CARNET DE SOUDURE'!A328)</f>
        <v>322</v>
      </c>
      <c r="B328" s="93" t="str">
        <f aca="false">IF('CARNET DE SOUDURE'!E328="","",'CARNET DE SOUDURE'!B328&amp;"")</f>
        <v>ISB-302</v>
      </c>
      <c r="C328" s="83" t="str">
        <f aca="false">IF('CARNET DE SOUDURE'!E328="","",'CARNET DE SOUDURE'!E328)</f>
        <v>JN°117</v>
      </c>
      <c r="D328" s="78" t="str">
        <f aca="false">IF('CARNET DE SOUDURE'!E328="","",'CARNET DE SOUDURE'!D328&amp;"")</f>
        <v/>
      </c>
      <c r="E328" s="96" t="str">
        <f aca="false">IF(OR('CARNET DE SOUDURE'!E328="",'CARNET DE SOUDURE'!R328=""),"",'CARNET DE SOUDURE'!R328)</f>
        <v/>
      </c>
      <c r="F328" s="81" t="str">
        <f aca="false">IF('CARNET DE SOUDURE'!E328="","",'CARNET DE SOUDURE'!AL328)</f>
        <v/>
      </c>
      <c r="G328" s="81" t="str">
        <f aca="false">IF('CARNET DE SOUDURE'!E328="","",'CARNET DE SOUDURE'!AM328)</f>
        <v>À SOUDER</v>
      </c>
      <c r="H328" s="81" t="str">
        <f aca="false">IF(C328="","",IF(G328="ACCEPTÉ","OUI","NON"))</f>
        <v>NON</v>
      </c>
      <c r="I328" s="82"/>
      <c r="J328" s="79"/>
      <c r="K328" s="80"/>
      <c r="L328" s="80"/>
      <c r="M328" s="80"/>
      <c r="N328" s="83" t="str">
        <f aca="false">IF(C328="","",IF(I328="",IF(H328="OUI","À ENROBER",IF(G328="À SOUDER","NON SOUDÉ","EN ATTENTE RT")),IF(L328="R","À REPRENDRE",IF(H328&lt;&gt;"OUI","⚠ ENROBÉ AVANT ACCEPTATION RT","ENROBÉ"))))</f>
        <v>NON SOUDÉ</v>
      </c>
      <c r="O328" s="79"/>
    </row>
    <row r="329" customFormat="false" ht="15" hidden="false" customHeight="false" outlineLevel="0" collapsed="false">
      <c r="A329" s="78" t="n">
        <f aca="false">IF('CARNET DE SOUDURE'!E329="","",'CARNET DE SOUDURE'!A329)</f>
        <v>323</v>
      </c>
      <c r="B329" s="93" t="str">
        <f aca="false">IF('CARNET DE SOUDURE'!E329="","",'CARNET DE SOUDURE'!B329&amp;"")</f>
        <v>ISB-302</v>
      </c>
      <c r="C329" s="83" t="str">
        <f aca="false">IF('CARNET DE SOUDURE'!E329="","",'CARNET DE SOUDURE'!E329)</f>
        <v>JN°118</v>
      </c>
      <c r="D329" s="78" t="str">
        <f aca="false">IF('CARNET DE SOUDURE'!E329="","",'CARNET DE SOUDURE'!D329&amp;"")</f>
        <v/>
      </c>
      <c r="E329" s="96" t="str">
        <f aca="false">IF(OR('CARNET DE SOUDURE'!E329="",'CARNET DE SOUDURE'!R329=""),"",'CARNET DE SOUDURE'!R329)</f>
        <v/>
      </c>
      <c r="F329" s="81" t="str">
        <f aca="false">IF('CARNET DE SOUDURE'!E329="","",'CARNET DE SOUDURE'!AL329)</f>
        <v/>
      </c>
      <c r="G329" s="81" t="str">
        <f aca="false">IF('CARNET DE SOUDURE'!E329="","",'CARNET DE SOUDURE'!AM329)</f>
        <v>À SOUDER</v>
      </c>
      <c r="H329" s="81" t="str">
        <f aca="false">IF(C329="","",IF(G329="ACCEPTÉ","OUI","NON"))</f>
        <v>NON</v>
      </c>
      <c r="I329" s="82"/>
      <c r="J329" s="79"/>
      <c r="K329" s="80"/>
      <c r="L329" s="80"/>
      <c r="M329" s="80"/>
      <c r="N329" s="83" t="str">
        <f aca="false">IF(C329="","",IF(I329="",IF(H329="OUI","À ENROBER",IF(G329="À SOUDER","NON SOUDÉ","EN ATTENTE RT")),IF(L329="R","À REPRENDRE",IF(H329&lt;&gt;"OUI","⚠ ENROBÉ AVANT ACCEPTATION RT","ENROBÉ"))))</f>
        <v>NON SOUDÉ</v>
      </c>
      <c r="O329" s="79"/>
    </row>
    <row r="330" customFormat="false" ht="15" hidden="false" customHeight="false" outlineLevel="0" collapsed="false">
      <c r="A330" s="78" t="n">
        <f aca="false">IF('CARNET DE SOUDURE'!E330="","",'CARNET DE SOUDURE'!A330)</f>
        <v>324</v>
      </c>
      <c r="B330" s="93" t="str">
        <f aca="false">IF('CARNET DE SOUDURE'!E330="","",'CARNET DE SOUDURE'!B330&amp;"")</f>
        <v>ISB-302</v>
      </c>
      <c r="C330" s="83" t="str">
        <f aca="false">IF('CARNET DE SOUDURE'!E330="","",'CARNET DE SOUDURE'!E330)</f>
        <v>JN°119</v>
      </c>
      <c r="D330" s="78" t="str">
        <f aca="false">IF('CARNET DE SOUDURE'!E330="","",'CARNET DE SOUDURE'!D330&amp;"")</f>
        <v/>
      </c>
      <c r="E330" s="96" t="str">
        <f aca="false">IF(OR('CARNET DE SOUDURE'!E330="",'CARNET DE SOUDURE'!R330=""),"",'CARNET DE SOUDURE'!R330)</f>
        <v/>
      </c>
      <c r="F330" s="81" t="str">
        <f aca="false">IF('CARNET DE SOUDURE'!E330="","",'CARNET DE SOUDURE'!AL330)</f>
        <v/>
      </c>
      <c r="G330" s="81" t="str">
        <f aca="false">IF('CARNET DE SOUDURE'!E330="","",'CARNET DE SOUDURE'!AM330)</f>
        <v>À SOUDER</v>
      </c>
      <c r="H330" s="81" t="str">
        <f aca="false">IF(C330="","",IF(G330="ACCEPTÉ","OUI","NON"))</f>
        <v>NON</v>
      </c>
      <c r="I330" s="82"/>
      <c r="J330" s="79"/>
      <c r="K330" s="80"/>
      <c r="L330" s="80"/>
      <c r="M330" s="80"/>
      <c r="N330" s="83" t="str">
        <f aca="false">IF(C330="","",IF(I330="",IF(H330="OUI","À ENROBER",IF(G330="À SOUDER","NON SOUDÉ","EN ATTENTE RT")),IF(L330="R","À REPRENDRE",IF(H330&lt;&gt;"OUI","⚠ ENROBÉ AVANT ACCEPTATION RT","ENROBÉ"))))</f>
        <v>NON SOUDÉ</v>
      </c>
      <c r="O330" s="79"/>
    </row>
    <row r="331" customFormat="false" ht="15" hidden="false" customHeight="false" outlineLevel="0" collapsed="false">
      <c r="A331" s="78" t="n">
        <f aca="false">IF('CARNET DE SOUDURE'!E331="","",'CARNET DE SOUDURE'!A331)</f>
        <v>325</v>
      </c>
      <c r="B331" s="93" t="str">
        <f aca="false">IF('CARNET DE SOUDURE'!E331="","",'CARNET DE SOUDURE'!B331&amp;"")</f>
        <v>ISB-302</v>
      </c>
      <c r="C331" s="83" t="str">
        <f aca="false">IF('CARNET DE SOUDURE'!E331="","",'CARNET DE SOUDURE'!E331)</f>
        <v>JN°120</v>
      </c>
      <c r="D331" s="78" t="str">
        <f aca="false">IF('CARNET DE SOUDURE'!E331="","",'CARNET DE SOUDURE'!D331&amp;"")</f>
        <v/>
      </c>
      <c r="E331" s="96" t="str">
        <f aca="false">IF(OR('CARNET DE SOUDURE'!E331="",'CARNET DE SOUDURE'!R331=""),"",'CARNET DE SOUDURE'!R331)</f>
        <v/>
      </c>
      <c r="F331" s="81" t="str">
        <f aca="false">IF('CARNET DE SOUDURE'!E331="","",'CARNET DE SOUDURE'!AL331)</f>
        <v/>
      </c>
      <c r="G331" s="81" t="str">
        <f aca="false">IF('CARNET DE SOUDURE'!E331="","",'CARNET DE SOUDURE'!AM331)</f>
        <v>À SOUDER</v>
      </c>
      <c r="H331" s="81" t="str">
        <f aca="false">IF(C331="","",IF(G331="ACCEPTÉ","OUI","NON"))</f>
        <v>NON</v>
      </c>
      <c r="I331" s="82"/>
      <c r="J331" s="79"/>
      <c r="K331" s="80"/>
      <c r="L331" s="80"/>
      <c r="M331" s="80"/>
      <c r="N331" s="83" t="str">
        <f aca="false">IF(C331="","",IF(I331="",IF(H331="OUI","À ENROBER",IF(G331="À SOUDER","NON SOUDÉ","EN ATTENTE RT")),IF(L331="R","À REPRENDRE",IF(H331&lt;&gt;"OUI","⚠ ENROBÉ AVANT ACCEPTATION RT","ENROBÉ"))))</f>
        <v>NON SOUDÉ</v>
      </c>
      <c r="O331" s="79"/>
    </row>
    <row r="332" customFormat="false" ht="15" hidden="false" customHeight="false" outlineLevel="0" collapsed="false">
      <c r="A332" s="78" t="n">
        <f aca="false">IF('CARNET DE SOUDURE'!E332="","",'CARNET DE SOUDURE'!A332)</f>
        <v>326</v>
      </c>
      <c r="B332" s="93" t="str">
        <f aca="false">IF('CARNET DE SOUDURE'!E332="","",'CARNET DE SOUDURE'!B332&amp;"")</f>
        <v>ISB-302</v>
      </c>
      <c r="C332" s="83" t="str">
        <f aca="false">IF('CARNET DE SOUDURE'!E332="","",'CARNET DE SOUDURE'!E332)</f>
        <v>JN°121</v>
      </c>
      <c r="D332" s="78" t="str">
        <f aca="false">IF('CARNET DE SOUDURE'!E332="","",'CARNET DE SOUDURE'!D332&amp;"")</f>
        <v/>
      </c>
      <c r="E332" s="96" t="str">
        <f aca="false">IF(OR('CARNET DE SOUDURE'!E332="",'CARNET DE SOUDURE'!R332=""),"",'CARNET DE SOUDURE'!R332)</f>
        <v/>
      </c>
      <c r="F332" s="81" t="str">
        <f aca="false">IF('CARNET DE SOUDURE'!E332="","",'CARNET DE SOUDURE'!AL332)</f>
        <v/>
      </c>
      <c r="G332" s="81" t="str">
        <f aca="false">IF('CARNET DE SOUDURE'!E332="","",'CARNET DE SOUDURE'!AM332)</f>
        <v>À SOUDER</v>
      </c>
      <c r="H332" s="81" t="str">
        <f aca="false">IF(C332="","",IF(G332="ACCEPTÉ","OUI","NON"))</f>
        <v>NON</v>
      </c>
      <c r="I332" s="82"/>
      <c r="J332" s="79"/>
      <c r="K332" s="80"/>
      <c r="L332" s="80"/>
      <c r="M332" s="80"/>
      <c r="N332" s="83" t="str">
        <f aca="false">IF(C332="","",IF(I332="",IF(H332="OUI","À ENROBER",IF(G332="À SOUDER","NON SOUDÉ","EN ATTENTE RT")),IF(L332="R","À REPRENDRE",IF(H332&lt;&gt;"OUI","⚠ ENROBÉ AVANT ACCEPTATION RT","ENROBÉ"))))</f>
        <v>NON SOUDÉ</v>
      </c>
      <c r="O332" s="79"/>
    </row>
    <row r="333" customFormat="false" ht="15" hidden="false" customHeight="false" outlineLevel="0" collapsed="false">
      <c r="A333" s="78" t="n">
        <f aca="false">IF('CARNET DE SOUDURE'!E333="","",'CARNET DE SOUDURE'!A333)</f>
        <v>327</v>
      </c>
      <c r="B333" s="93" t="str">
        <f aca="false">IF('CARNET DE SOUDURE'!E333="","",'CARNET DE SOUDURE'!B333&amp;"")</f>
        <v>ISB-302</v>
      </c>
      <c r="C333" s="83" t="str">
        <f aca="false">IF('CARNET DE SOUDURE'!E333="","",'CARNET DE SOUDURE'!E333)</f>
        <v>JN°122</v>
      </c>
      <c r="D333" s="78" t="str">
        <f aca="false">IF('CARNET DE SOUDURE'!E333="","",'CARNET DE SOUDURE'!D333&amp;"")</f>
        <v/>
      </c>
      <c r="E333" s="96" t="str">
        <f aca="false">IF(OR('CARNET DE SOUDURE'!E333="",'CARNET DE SOUDURE'!R333=""),"",'CARNET DE SOUDURE'!R333)</f>
        <v/>
      </c>
      <c r="F333" s="81" t="str">
        <f aca="false">IF('CARNET DE SOUDURE'!E333="","",'CARNET DE SOUDURE'!AL333)</f>
        <v/>
      </c>
      <c r="G333" s="81" t="str">
        <f aca="false">IF('CARNET DE SOUDURE'!E333="","",'CARNET DE SOUDURE'!AM333)</f>
        <v>À SOUDER</v>
      </c>
      <c r="H333" s="81" t="str">
        <f aca="false">IF(C333="","",IF(G333="ACCEPTÉ","OUI","NON"))</f>
        <v>NON</v>
      </c>
      <c r="I333" s="82"/>
      <c r="J333" s="79"/>
      <c r="K333" s="80"/>
      <c r="L333" s="80"/>
      <c r="M333" s="80"/>
      <c r="N333" s="83" t="str">
        <f aca="false">IF(C333="","",IF(I333="",IF(H333="OUI","À ENROBER",IF(G333="À SOUDER","NON SOUDÉ","EN ATTENTE RT")),IF(L333="R","À REPRENDRE",IF(H333&lt;&gt;"OUI","⚠ ENROBÉ AVANT ACCEPTATION RT","ENROBÉ"))))</f>
        <v>NON SOUDÉ</v>
      </c>
      <c r="O333" s="79"/>
    </row>
    <row r="334" customFormat="false" ht="15" hidden="false" customHeight="false" outlineLevel="0" collapsed="false">
      <c r="A334" s="78" t="n">
        <f aca="false">IF('CARNET DE SOUDURE'!E334="","",'CARNET DE SOUDURE'!A334)</f>
        <v>328</v>
      </c>
      <c r="B334" s="93" t="str">
        <f aca="false">IF('CARNET DE SOUDURE'!E334="","",'CARNET DE SOUDURE'!B334&amp;"")</f>
        <v>ISB-302</v>
      </c>
      <c r="C334" s="83" t="str">
        <f aca="false">IF('CARNET DE SOUDURE'!E334="","",'CARNET DE SOUDURE'!E334)</f>
        <v>JN°123</v>
      </c>
      <c r="D334" s="78" t="str">
        <f aca="false">IF('CARNET DE SOUDURE'!E334="","",'CARNET DE SOUDURE'!D334&amp;"")</f>
        <v/>
      </c>
      <c r="E334" s="96" t="str">
        <f aca="false">IF(OR('CARNET DE SOUDURE'!E334="",'CARNET DE SOUDURE'!R334=""),"",'CARNET DE SOUDURE'!R334)</f>
        <v/>
      </c>
      <c r="F334" s="81" t="str">
        <f aca="false">IF('CARNET DE SOUDURE'!E334="","",'CARNET DE SOUDURE'!AL334)</f>
        <v/>
      </c>
      <c r="G334" s="81" t="str">
        <f aca="false">IF('CARNET DE SOUDURE'!E334="","",'CARNET DE SOUDURE'!AM334)</f>
        <v>À SOUDER</v>
      </c>
      <c r="H334" s="81" t="str">
        <f aca="false">IF(C334="","",IF(G334="ACCEPTÉ","OUI","NON"))</f>
        <v>NON</v>
      </c>
      <c r="I334" s="82"/>
      <c r="J334" s="79"/>
      <c r="K334" s="80"/>
      <c r="L334" s="80"/>
      <c r="M334" s="80"/>
      <c r="N334" s="83" t="str">
        <f aca="false">IF(C334="","",IF(I334="",IF(H334="OUI","À ENROBER",IF(G334="À SOUDER","NON SOUDÉ","EN ATTENTE RT")),IF(L334="R","À REPRENDRE",IF(H334&lt;&gt;"OUI","⚠ ENROBÉ AVANT ACCEPTATION RT","ENROBÉ"))))</f>
        <v>NON SOUDÉ</v>
      </c>
      <c r="O334" s="79"/>
    </row>
    <row r="335" customFormat="false" ht="15" hidden="false" customHeight="false" outlineLevel="0" collapsed="false">
      <c r="A335" s="78" t="n">
        <f aca="false">IF('CARNET DE SOUDURE'!E335="","",'CARNET DE SOUDURE'!A335)</f>
        <v>329</v>
      </c>
      <c r="B335" s="93" t="str">
        <f aca="false">IF('CARNET DE SOUDURE'!E335="","",'CARNET DE SOUDURE'!B335&amp;"")</f>
        <v>ISB-302</v>
      </c>
      <c r="C335" s="83" t="str">
        <f aca="false">IF('CARNET DE SOUDURE'!E335="","",'CARNET DE SOUDURE'!E335)</f>
        <v>JN°124</v>
      </c>
      <c r="D335" s="78" t="str">
        <f aca="false">IF('CARNET DE SOUDURE'!E335="","",'CARNET DE SOUDURE'!D335&amp;"")</f>
        <v/>
      </c>
      <c r="E335" s="96" t="str">
        <f aca="false">IF(OR('CARNET DE SOUDURE'!E335="",'CARNET DE SOUDURE'!R335=""),"",'CARNET DE SOUDURE'!R335)</f>
        <v/>
      </c>
      <c r="F335" s="81" t="str">
        <f aca="false">IF('CARNET DE SOUDURE'!E335="","",'CARNET DE SOUDURE'!AL335)</f>
        <v/>
      </c>
      <c r="G335" s="81" t="str">
        <f aca="false">IF('CARNET DE SOUDURE'!E335="","",'CARNET DE SOUDURE'!AM335)</f>
        <v>À SOUDER</v>
      </c>
      <c r="H335" s="81" t="str">
        <f aca="false">IF(C335="","",IF(G335="ACCEPTÉ","OUI","NON"))</f>
        <v>NON</v>
      </c>
      <c r="I335" s="82"/>
      <c r="J335" s="79"/>
      <c r="K335" s="80"/>
      <c r="L335" s="80"/>
      <c r="M335" s="80"/>
      <c r="N335" s="83" t="str">
        <f aca="false">IF(C335="","",IF(I335="",IF(H335="OUI","À ENROBER",IF(G335="À SOUDER","NON SOUDÉ","EN ATTENTE RT")),IF(L335="R","À REPRENDRE",IF(H335&lt;&gt;"OUI","⚠ ENROBÉ AVANT ACCEPTATION RT","ENROBÉ"))))</f>
        <v>NON SOUDÉ</v>
      </c>
      <c r="O335" s="79"/>
    </row>
    <row r="336" customFormat="false" ht="15" hidden="false" customHeight="false" outlineLevel="0" collapsed="false">
      <c r="A336" s="78" t="n">
        <f aca="false">IF('CARNET DE SOUDURE'!E336="","",'CARNET DE SOUDURE'!A336)</f>
        <v>330</v>
      </c>
      <c r="B336" s="93" t="str">
        <f aca="false">IF('CARNET DE SOUDURE'!E336="","",'CARNET DE SOUDURE'!B336&amp;"")</f>
        <v>ISB-302</v>
      </c>
      <c r="C336" s="83" t="str">
        <f aca="false">IF('CARNET DE SOUDURE'!E336="","",'CARNET DE SOUDURE'!E336)</f>
        <v>JN°125</v>
      </c>
      <c r="D336" s="78" t="str">
        <f aca="false">IF('CARNET DE SOUDURE'!E336="","",'CARNET DE SOUDURE'!D336&amp;"")</f>
        <v/>
      </c>
      <c r="E336" s="96" t="str">
        <f aca="false">IF(OR('CARNET DE SOUDURE'!E336="",'CARNET DE SOUDURE'!R336=""),"",'CARNET DE SOUDURE'!R336)</f>
        <v/>
      </c>
      <c r="F336" s="81" t="str">
        <f aca="false">IF('CARNET DE SOUDURE'!E336="","",'CARNET DE SOUDURE'!AL336)</f>
        <v/>
      </c>
      <c r="G336" s="81" t="str">
        <f aca="false">IF('CARNET DE SOUDURE'!E336="","",'CARNET DE SOUDURE'!AM336)</f>
        <v>À SOUDER</v>
      </c>
      <c r="H336" s="81" t="str">
        <f aca="false">IF(C336="","",IF(G336="ACCEPTÉ","OUI","NON"))</f>
        <v>NON</v>
      </c>
      <c r="I336" s="82"/>
      <c r="J336" s="79"/>
      <c r="K336" s="80"/>
      <c r="L336" s="80"/>
      <c r="M336" s="80"/>
      <c r="N336" s="83" t="str">
        <f aca="false">IF(C336="","",IF(I336="",IF(H336="OUI","À ENROBER",IF(G336="À SOUDER","NON SOUDÉ","EN ATTENTE RT")),IF(L336="R","À REPRENDRE",IF(H336&lt;&gt;"OUI","⚠ ENROBÉ AVANT ACCEPTATION RT","ENROBÉ"))))</f>
        <v>NON SOUDÉ</v>
      </c>
      <c r="O336" s="79"/>
    </row>
    <row r="337" customFormat="false" ht="15" hidden="false" customHeight="false" outlineLevel="0" collapsed="false">
      <c r="A337" s="78" t="n">
        <f aca="false">IF('CARNET DE SOUDURE'!E337="","",'CARNET DE SOUDURE'!A337)</f>
        <v>331</v>
      </c>
      <c r="B337" s="93" t="str">
        <f aca="false">IF('CARNET DE SOUDURE'!E337="","",'CARNET DE SOUDURE'!B337&amp;"")</f>
        <v>ISB-302</v>
      </c>
      <c r="C337" s="83" t="str">
        <f aca="false">IF('CARNET DE SOUDURE'!E337="","",'CARNET DE SOUDURE'!E337)</f>
        <v>JN°126</v>
      </c>
      <c r="D337" s="78" t="str">
        <f aca="false">IF('CARNET DE SOUDURE'!E337="","",'CARNET DE SOUDURE'!D337&amp;"")</f>
        <v/>
      </c>
      <c r="E337" s="96" t="str">
        <f aca="false">IF(OR('CARNET DE SOUDURE'!E337="",'CARNET DE SOUDURE'!R337=""),"",'CARNET DE SOUDURE'!R337)</f>
        <v/>
      </c>
      <c r="F337" s="81" t="str">
        <f aca="false">IF('CARNET DE SOUDURE'!E337="","",'CARNET DE SOUDURE'!AL337)</f>
        <v/>
      </c>
      <c r="G337" s="81" t="str">
        <f aca="false">IF('CARNET DE SOUDURE'!E337="","",'CARNET DE SOUDURE'!AM337)</f>
        <v>À SOUDER</v>
      </c>
      <c r="H337" s="81" t="str">
        <f aca="false">IF(C337="","",IF(G337="ACCEPTÉ","OUI","NON"))</f>
        <v>NON</v>
      </c>
      <c r="I337" s="82"/>
      <c r="J337" s="79"/>
      <c r="K337" s="80"/>
      <c r="L337" s="80"/>
      <c r="M337" s="80"/>
      <c r="N337" s="83" t="str">
        <f aca="false">IF(C337="","",IF(I337="",IF(H337="OUI","À ENROBER",IF(G337="À SOUDER","NON SOUDÉ","EN ATTENTE RT")),IF(L337="R","À REPRENDRE",IF(H337&lt;&gt;"OUI","⚠ ENROBÉ AVANT ACCEPTATION RT","ENROBÉ"))))</f>
        <v>NON SOUDÉ</v>
      </c>
      <c r="O337" s="79"/>
    </row>
    <row r="338" customFormat="false" ht="15" hidden="false" customHeight="false" outlineLevel="0" collapsed="false">
      <c r="A338" s="78" t="n">
        <f aca="false">IF('CARNET DE SOUDURE'!E338="","",'CARNET DE SOUDURE'!A338)</f>
        <v>332</v>
      </c>
      <c r="B338" s="93" t="str">
        <f aca="false">IF('CARNET DE SOUDURE'!E338="","",'CARNET DE SOUDURE'!B338&amp;"")</f>
        <v>ISB-302</v>
      </c>
      <c r="C338" s="83" t="str">
        <f aca="false">IF('CARNET DE SOUDURE'!E338="","",'CARNET DE SOUDURE'!E338)</f>
        <v>JN°127</v>
      </c>
      <c r="D338" s="78" t="str">
        <f aca="false">IF('CARNET DE SOUDURE'!E338="","",'CARNET DE SOUDURE'!D338&amp;"")</f>
        <v/>
      </c>
      <c r="E338" s="96" t="str">
        <f aca="false">IF(OR('CARNET DE SOUDURE'!E338="",'CARNET DE SOUDURE'!R338=""),"",'CARNET DE SOUDURE'!R338)</f>
        <v/>
      </c>
      <c r="F338" s="81" t="str">
        <f aca="false">IF('CARNET DE SOUDURE'!E338="","",'CARNET DE SOUDURE'!AL338)</f>
        <v/>
      </c>
      <c r="G338" s="81" t="str">
        <f aca="false">IF('CARNET DE SOUDURE'!E338="","",'CARNET DE SOUDURE'!AM338)</f>
        <v>À SOUDER</v>
      </c>
      <c r="H338" s="81" t="str">
        <f aca="false">IF(C338="","",IF(G338="ACCEPTÉ","OUI","NON"))</f>
        <v>NON</v>
      </c>
      <c r="I338" s="82"/>
      <c r="J338" s="79"/>
      <c r="K338" s="80"/>
      <c r="L338" s="80"/>
      <c r="M338" s="80"/>
      <c r="N338" s="83" t="str">
        <f aca="false">IF(C338="","",IF(I338="",IF(H338="OUI","À ENROBER",IF(G338="À SOUDER","NON SOUDÉ","EN ATTENTE RT")),IF(L338="R","À REPRENDRE",IF(H338&lt;&gt;"OUI","⚠ ENROBÉ AVANT ACCEPTATION RT","ENROBÉ"))))</f>
        <v>NON SOUDÉ</v>
      </c>
      <c r="O338" s="79"/>
    </row>
    <row r="339" customFormat="false" ht="15" hidden="false" customHeight="false" outlineLevel="0" collapsed="false">
      <c r="A339" s="78" t="n">
        <f aca="false">IF('CARNET DE SOUDURE'!E339="","",'CARNET DE SOUDURE'!A339)</f>
        <v>333</v>
      </c>
      <c r="B339" s="93" t="str">
        <f aca="false">IF('CARNET DE SOUDURE'!E339="","",'CARNET DE SOUDURE'!B339&amp;"")</f>
        <v>ISB-302</v>
      </c>
      <c r="C339" s="83" t="str">
        <f aca="false">IF('CARNET DE SOUDURE'!E339="","",'CARNET DE SOUDURE'!E339)</f>
        <v>JN°128</v>
      </c>
      <c r="D339" s="78" t="str">
        <f aca="false">IF('CARNET DE SOUDURE'!E339="","",'CARNET DE SOUDURE'!D339&amp;"")</f>
        <v/>
      </c>
      <c r="E339" s="96" t="str">
        <f aca="false">IF(OR('CARNET DE SOUDURE'!E339="",'CARNET DE SOUDURE'!R339=""),"",'CARNET DE SOUDURE'!R339)</f>
        <v/>
      </c>
      <c r="F339" s="81" t="str">
        <f aca="false">IF('CARNET DE SOUDURE'!E339="","",'CARNET DE SOUDURE'!AL339)</f>
        <v/>
      </c>
      <c r="G339" s="81" t="str">
        <f aca="false">IF('CARNET DE SOUDURE'!E339="","",'CARNET DE SOUDURE'!AM339)</f>
        <v>À SOUDER</v>
      </c>
      <c r="H339" s="81" t="str">
        <f aca="false">IF(C339="","",IF(G339="ACCEPTÉ","OUI","NON"))</f>
        <v>NON</v>
      </c>
      <c r="I339" s="82"/>
      <c r="J339" s="79"/>
      <c r="K339" s="80"/>
      <c r="L339" s="80"/>
      <c r="M339" s="80"/>
      <c r="N339" s="83" t="str">
        <f aca="false">IF(C339="","",IF(I339="",IF(H339="OUI","À ENROBER",IF(G339="À SOUDER","NON SOUDÉ","EN ATTENTE RT")),IF(L339="R","À REPRENDRE",IF(H339&lt;&gt;"OUI","⚠ ENROBÉ AVANT ACCEPTATION RT","ENROBÉ"))))</f>
        <v>NON SOUDÉ</v>
      </c>
      <c r="O339" s="79"/>
    </row>
    <row r="340" customFormat="false" ht="15" hidden="false" customHeight="false" outlineLevel="0" collapsed="false">
      <c r="A340" s="78" t="n">
        <f aca="false">IF('CARNET DE SOUDURE'!E340="","",'CARNET DE SOUDURE'!A340)</f>
        <v>334</v>
      </c>
      <c r="B340" s="93" t="str">
        <f aca="false">IF('CARNET DE SOUDURE'!E340="","",'CARNET DE SOUDURE'!B340&amp;"")</f>
        <v>ISB-302</v>
      </c>
      <c r="C340" s="83" t="str">
        <f aca="false">IF('CARNET DE SOUDURE'!E340="","",'CARNET DE SOUDURE'!E340)</f>
        <v>JN°129</v>
      </c>
      <c r="D340" s="78" t="str">
        <f aca="false">IF('CARNET DE SOUDURE'!E340="","",'CARNET DE SOUDURE'!D340&amp;"")</f>
        <v/>
      </c>
      <c r="E340" s="96" t="str">
        <f aca="false">IF(OR('CARNET DE SOUDURE'!E340="",'CARNET DE SOUDURE'!R340=""),"",'CARNET DE SOUDURE'!R340)</f>
        <v/>
      </c>
      <c r="F340" s="81" t="str">
        <f aca="false">IF('CARNET DE SOUDURE'!E340="","",'CARNET DE SOUDURE'!AL340)</f>
        <v/>
      </c>
      <c r="G340" s="81" t="str">
        <f aca="false">IF('CARNET DE SOUDURE'!E340="","",'CARNET DE SOUDURE'!AM340)</f>
        <v>À SOUDER</v>
      </c>
      <c r="H340" s="81" t="str">
        <f aca="false">IF(C340="","",IF(G340="ACCEPTÉ","OUI","NON"))</f>
        <v>NON</v>
      </c>
      <c r="I340" s="82"/>
      <c r="J340" s="79"/>
      <c r="K340" s="80"/>
      <c r="L340" s="80"/>
      <c r="M340" s="80"/>
      <c r="N340" s="83" t="str">
        <f aca="false">IF(C340="","",IF(I340="",IF(H340="OUI","À ENROBER",IF(G340="À SOUDER","NON SOUDÉ","EN ATTENTE RT")),IF(L340="R","À REPRENDRE",IF(H340&lt;&gt;"OUI","⚠ ENROBÉ AVANT ACCEPTATION RT","ENROBÉ"))))</f>
        <v>NON SOUDÉ</v>
      </c>
      <c r="O340" s="79"/>
    </row>
    <row r="341" customFormat="false" ht="15" hidden="false" customHeight="false" outlineLevel="0" collapsed="false">
      <c r="A341" s="78" t="n">
        <f aca="false">IF('CARNET DE SOUDURE'!E341="","",'CARNET DE SOUDURE'!A341)</f>
        <v>335</v>
      </c>
      <c r="B341" s="93" t="str">
        <f aca="false">IF('CARNET DE SOUDURE'!E341="","",'CARNET DE SOUDURE'!B341&amp;"")</f>
        <v>ISB-302</v>
      </c>
      <c r="C341" s="83" t="str">
        <f aca="false">IF('CARNET DE SOUDURE'!E341="","",'CARNET DE SOUDURE'!E341)</f>
        <v>JN°130</v>
      </c>
      <c r="D341" s="78" t="str">
        <f aca="false">IF('CARNET DE SOUDURE'!E341="","",'CARNET DE SOUDURE'!D341&amp;"")</f>
        <v/>
      </c>
      <c r="E341" s="96" t="str">
        <f aca="false">IF(OR('CARNET DE SOUDURE'!E341="",'CARNET DE SOUDURE'!R341=""),"",'CARNET DE SOUDURE'!R341)</f>
        <v/>
      </c>
      <c r="F341" s="81" t="str">
        <f aca="false">IF('CARNET DE SOUDURE'!E341="","",'CARNET DE SOUDURE'!AL341)</f>
        <v/>
      </c>
      <c r="G341" s="81" t="str">
        <f aca="false">IF('CARNET DE SOUDURE'!E341="","",'CARNET DE SOUDURE'!AM341)</f>
        <v>À SOUDER</v>
      </c>
      <c r="H341" s="81" t="str">
        <f aca="false">IF(C341="","",IF(G341="ACCEPTÉ","OUI","NON"))</f>
        <v>NON</v>
      </c>
      <c r="I341" s="82"/>
      <c r="J341" s="79"/>
      <c r="K341" s="80"/>
      <c r="L341" s="80"/>
      <c r="M341" s="80"/>
      <c r="N341" s="83" t="str">
        <f aca="false">IF(C341="","",IF(I341="",IF(H341="OUI","À ENROBER",IF(G341="À SOUDER","NON SOUDÉ","EN ATTENTE RT")),IF(L341="R","À REPRENDRE",IF(H341&lt;&gt;"OUI","⚠ ENROBÉ AVANT ACCEPTATION RT","ENROBÉ"))))</f>
        <v>NON SOUDÉ</v>
      </c>
      <c r="O341" s="79"/>
    </row>
    <row r="342" customFormat="false" ht="15" hidden="false" customHeight="false" outlineLevel="0" collapsed="false">
      <c r="A342" s="78" t="n">
        <f aca="false">IF('CARNET DE SOUDURE'!E342="","",'CARNET DE SOUDURE'!A342)</f>
        <v>336</v>
      </c>
      <c r="B342" s="93" t="str">
        <f aca="false">IF('CARNET DE SOUDURE'!E342="","",'CARNET DE SOUDURE'!B342&amp;"")</f>
        <v>ISB-302</v>
      </c>
      <c r="C342" s="83" t="str">
        <f aca="false">IF('CARNET DE SOUDURE'!E342="","",'CARNET DE SOUDURE'!E342)</f>
        <v>JN°131</v>
      </c>
      <c r="D342" s="78" t="str">
        <f aca="false">IF('CARNET DE SOUDURE'!E342="","",'CARNET DE SOUDURE'!D342&amp;"")</f>
        <v/>
      </c>
      <c r="E342" s="96" t="str">
        <f aca="false">IF(OR('CARNET DE SOUDURE'!E342="",'CARNET DE SOUDURE'!R342=""),"",'CARNET DE SOUDURE'!R342)</f>
        <v/>
      </c>
      <c r="F342" s="81" t="str">
        <f aca="false">IF('CARNET DE SOUDURE'!E342="","",'CARNET DE SOUDURE'!AL342)</f>
        <v/>
      </c>
      <c r="G342" s="81" t="str">
        <f aca="false">IF('CARNET DE SOUDURE'!E342="","",'CARNET DE SOUDURE'!AM342)</f>
        <v>À SOUDER</v>
      </c>
      <c r="H342" s="81" t="str">
        <f aca="false">IF(C342="","",IF(G342="ACCEPTÉ","OUI","NON"))</f>
        <v>NON</v>
      </c>
      <c r="I342" s="82"/>
      <c r="J342" s="79"/>
      <c r="K342" s="80"/>
      <c r="L342" s="80"/>
      <c r="M342" s="80"/>
      <c r="N342" s="83" t="str">
        <f aca="false">IF(C342="","",IF(I342="",IF(H342="OUI","À ENROBER",IF(G342="À SOUDER","NON SOUDÉ","EN ATTENTE RT")),IF(L342="R","À REPRENDRE",IF(H342&lt;&gt;"OUI","⚠ ENROBÉ AVANT ACCEPTATION RT","ENROBÉ"))))</f>
        <v>NON SOUDÉ</v>
      </c>
      <c r="O342" s="79"/>
    </row>
    <row r="343" customFormat="false" ht="15" hidden="false" customHeight="false" outlineLevel="0" collapsed="false">
      <c r="A343" s="78" t="n">
        <f aca="false">IF('CARNET DE SOUDURE'!E343="","",'CARNET DE SOUDURE'!A343)</f>
        <v>337</v>
      </c>
      <c r="B343" s="93" t="str">
        <f aca="false">IF('CARNET DE SOUDURE'!E343="","",'CARNET DE SOUDURE'!B343&amp;"")</f>
        <v>ISB-302</v>
      </c>
      <c r="C343" s="83" t="str">
        <f aca="false">IF('CARNET DE SOUDURE'!E343="","",'CARNET DE SOUDURE'!E343)</f>
        <v>JN°132</v>
      </c>
      <c r="D343" s="78" t="str">
        <f aca="false">IF('CARNET DE SOUDURE'!E343="","",'CARNET DE SOUDURE'!D343&amp;"")</f>
        <v/>
      </c>
      <c r="E343" s="96" t="str">
        <f aca="false">IF(OR('CARNET DE SOUDURE'!E343="",'CARNET DE SOUDURE'!R343=""),"",'CARNET DE SOUDURE'!R343)</f>
        <v/>
      </c>
      <c r="F343" s="81" t="str">
        <f aca="false">IF('CARNET DE SOUDURE'!E343="","",'CARNET DE SOUDURE'!AL343)</f>
        <v/>
      </c>
      <c r="G343" s="81" t="str">
        <f aca="false">IF('CARNET DE SOUDURE'!E343="","",'CARNET DE SOUDURE'!AM343)</f>
        <v>À SOUDER</v>
      </c>
      <c r="H343" s="81" t="str">
        <f aca="false">IF(C343="","",IF(G343="ACCEPTÉ","OUI","NON"))</f>
        <v>NON</v>
      </c>
      <c r="I343" s="82"/>
      <c r="J343" s="79"/>
      <c r="K343" s="80"/>
      <c r="L343" s="80"/>
      <c r="M343" s="80"/>
      <c r="N343" s="83" t="str">
        <f aca="false">IF(C343="","",IF(I343="",IF(H343="OUI","À ENROBER",IF(G343="À SOUDER","NON SOUDÉ","EN ATTENTE RT")),IF(L343="R","À REPRENDRE",IF(H343&lt;&gt;"OUI","⚠ ENROBÉ AVANT ACCEPTATION RT","ENROBÉ"))))</f>
        <v>NON SOUDÉ</v>
      </c>
      <c r="O343" s="79"/>
    </row>
    <row r="344" customFormat="false" ht="15" hidden="false" customHeight="false" outlineLevel="0" collapsed="false">
      <c r="A344" s="78" t="n">
        <f aca="false">IF('CARNET DE SOUDURE'!E344="","",'CARNET DE SOUDURE'!A344)</f>
        <v>338</v>
      </c>
      <c r="B344" s="93" t="str">
        <f aca="false">IF('CARNET DE SOUDURE'!E344="","",'CARNET DE SOUDURE'!B344&amp;"")</f>
        <v>ISB-302</v>
      </c>
      <c r="C344" s="83" t="str">
        <f aca="false">IF('CARNET DE SOUDURE'!E344="","",'CARNET DE SOUDURE'!E344)</f>
        <v>JN°133</v>
      </c>
      <c r="D344" s="78" t="str">
        <f aca="false">IF('CARNET DE SOUDURE'!E344="","",'CARNET DE SOUDURE'!D344&amp;"")</f>
        <v/>
      </c>
      <c r="E344" s="96" t="str">
        <f aca="false">IF(OR('CARNET DE SOUDURE'!E344="",'CARNET DE SOUDURE'!R344=""),"",'CARNET DE SOUDURE'!R344)</f>
        <v/>
      </c>
      <c r="F344" s="81" t="str">
        <f aca="false">IF('CARNET DE SOUDURE'!E344="","",'CARNET DE SOUDURE'!AL344)</f>
        <v/>
      </c>
      <c r="G344" s="81" t="str">
        <f aca="false">IF('CARNET DE SOUDURE'!E344="","",'CARNET DE SOUDURE'!AM344)</f>
        <v>À SOUDER</v>
      </c>
      <c r="H344" s="81" t="str">
        <f aca="false">IF(C344="","",IF(G344="ACCEPTÉ","OUI","NON"))</f>
        <v>NON</v>
      </c>
      <c r="I344" s="82"/>
      <c r="J344" s="79"/>
      <c r="K344" s="80"/>
      <c r="L344" s="80"/>
      <c r="M344" s="80"/>
      <c r="N344" s="83" t="str">
        <f aca="false">IF(C344="","",IF(I344="",IF(H344="OUI","À ENROBER",IF(G344="À SOUDER","NON SOUDÉ","EN ATTENTE RT")),IF(L344="R","À REPRENDRE",IF(H344&lt;&gt;"OUI","⚠ ENROBÉ AVANT ACCEPTATION RT","ENROBÉ"))))</f>
        <v>NON SOUDÉ</v>
      </c>
      <c r="O344" s="79"/>
    </row>
    <row r="345" customFormat="false" ht="15" hidden="false" customHeight="false" outlineLevel="0" collapsed="false">
      <c r="A345" s="78" t="n">
        <f aca="false">IF('CARNET DE SOUDURE'!E345="","",'CARNET DE SOUDURE'!A345)</f>
        <v>339</v>
      </c>
      <c r="B345" s="93" t="str">
        <f aca="false">IF('CARNET DE SOUDURE'!E345="","",'CARNET DE SOUDURE'!B345&amp;"")</f>
        <v>ISB-302</v>
      </c>
      <c r="C345" s="83" t="str">
        <f aca="false">IF('CARNET DE SOUDURE'!E345="","",'CARNET DE SOUDURE'!E345)</f>
        <v>JN°134</v>
      </c>
      <c r="D345" s="78" t="str">
        <f aca="false">IF('CARNET DE SOUDURE'!E345="","",'CARNET DE SOUDURE'!D345&amp;"")</f>
        <v/>
      </c>
      <c r="E345" s="96" t="str">
        <f aca="false">IF(OR('CARNET DE SOUDURE'!E345="",'CARNET DE SOUDURE'!R345=""),"",'CARNET DE SOUDURE'!R345)</f>
        <v/>
      </c>
      <c r="F345" s="81" t="str">
        <f aca="false">IF('CARNET DE SOUDURE'!E345="","",'CARNET DE SOUDURE'!AL345)</f>
        <v/>
      </c>
      <c r="G345" s="81" t="str">
        <f aca="false">IF('CARNET DE SOUDURE'!E345="","",'CARNET DE SOUDURE'!AM345)</f>
        <v>À SOUDER</v>
      </c>
      <c r="H345" s="81" t="str">
        <f aca="false">IF(C345="","",IF(G345="ACCEPTÉ","OUI","NON"))</f>
        <v>NON</v>
      </c>
      <c r="I345" s="82"/>
      <c r="J345" s="79"/>
      <c r="K345" s="80"/>
      <c r="L345" s="80"/>
      <c r="M345" s="80"/>
      <c r="N345" s="83" t="str">
        <f aca="false">IF(C345="","",IF(I345="",IF(H345="OUI","À ENROBER",IF(G345="À SOUDER","NON SOUDÉ","EN ATTENTE RT")),IF(L345="R","À REPRENDRE",IF(H345&lt;&gt;"OUI","⚠ ENROBÉ AVANT ACCEPTATION RT","ENROBÉ"))))</f>
        <v>NON SOUDÉ</v>
      </c>
      <c r="O345" s="79"/>
    </row>
    <row r="346" customFormat="false" ht="15" hidden="false" customHeight="false" outlineLevel="0" collapsed="false">
      <c r="A346" s="78" t="n">
        <f aca="false">IF('CARNET DE SOUDURE'!E346="","",'CARNET DE SOUDURE'!A346)</f>
        <v>340</v>
      </c>
      <c r="B346" s="93" t="str">
        <f aca="false">IF('CARNET DE SOUDURE'!E346="","",'CARNET DE SOUDURE'!B346&amp;"")</f>
        <v>ISB-302</v>
      </c>
      <c r="C346" s="83" t="str">
        <f aca="false">IF('CARNET DE SOUDURE'!E346="","",'CARNET DE SOUDURE'!E346)</f>
        <v>JN°135</v>
      </c>
      <c r="D346" s="78" t="str">
        <f aca="false">IF('CARNET DE SOUDURE'!E346="","",'CARNET DE SOUDURE'!D346&amp;"")</f>
        <v/>
      </c>
      <c r="E346" s="96" t="str">
        <f aca="false">IF(OR('CARNET DE SOUDURE'!E346="",'CARNET DE SOUDURE'!R346=""),"",'CARNET DE SOUDURE'!R346)</f>
        <v/>
      </c>
      <c r="F346" s="81" t="str">
        <f aca="false">IF('CARNET DE SOUDURE'!E346="","",'CARNET DE SOUDURE'!AL346)</f>
        <v/>
      </c>
      <c r="G346" s="81" t="str">
        <f aca="false">IF('CARNET DE SOUDURE'!E346="","",'CARNET DE SOUDURE'!AM346)</f>
        <v>À SOUDER</v>
      </c>
      <c r="H346" s="81" t="str">
        <f aca="false">IF(C346="","",IF(G346="ACCEPTÉ","OUI","NON"))</f>
        <v>NON</v>
      </c>
      <c r="I346" s="82"/>
      <c r="J346" s="79"/>
      <c r="K346" s="80"/>
      <c r="L346" s="80"/>
      <c r="M346" s="80"/>
      <c r="N346" s="83" t="str">
        <f aca="false">IF(C346="","",IF(I346="",IF(H346="OUI","À ENROBER",IF(G346="À SOUDER","NON SOUDÉ","EN ATTENTE RT")),IF(L346="R","À REPRENDRE",IF(H346&lt;&gt;"OUI","⚠ ENROBÉ AVANT ACCEPTATION RT","ENROBÉ"))))</f>
        <v>NON SOUDÉ</v>
      </c>
      <c r="O346" s="79"/>
    </row>
    <row r="347" customFormat="false" ht="15" hidden="false" customHeight="false" outlineLevel="0" collapsed="false">
      <c r="A347" s="78" t="n">
        <f aca="false">IF('CARNET DE SOUDURE'!E347="","",'CARNET DE SOUDURE'!A347)</f>
        <v>341</v>
      </c>
      <c r="B347" s="93" t="str">
        <f aca="false">IF('CARNET DE SOUDURE'!E347="","",'CARNET DE SOUDURE'!B347&amp;"")</f>
        <v>ISB-302</v>
      </c>
      <c r="C347" s="83" t="str">
        <f aca="false">IF('CARNET DE SOUDURE'!E347="","",'CARNET DE SOUDURE'!E347)</f>
        <v>JN°136</v>
      </c>
      <c r="D347" s="78" t="str">
        <f aca="false">IF('CARNET DE SOUDURE'!E347="","",'CARNET DE SOUDURE'!D347&amp;"")</f>
        <v/>
      </c>
      <c r="E347" s="96" t="str">
        <f aca="false">IF(OR('CARNET DE SOUDURE'!E347="",'CARNET DE SOUDURE'!R347=""),"",'CARNET DE SOUDURE'!R347)</f>
        <v/>
      </c>
      <c r="F347" s="81" t="str">
        <f aca="false">IF('CARNET DE SOUDURE'!E347="","",'CARNET DE SOUDURE'!AL347)</f>
        <v/>
      </c>
      <c r="G347" s="81" t="str">
        <f aca="false">IF('CARNET DE SOUDURE'!E347="","",'CARNET DE SOUDURE'!AM347)</f>
        <v>À SOUDER</v>
      </c>
      <c r="H347" s="81" t="str">
        <f aca="false">IF(C347="","",IF(G347="ACCEPTÉ","OUI","NON"))</f>
        <v>NON</v>
      </c>
      <c r="I347" s="82"/>
      <c r="J347" s="79"/>
      <c r="K347" s="80"/>
      <c r="L347" s="80"/>
      <c r="M347" s="80"/>
      <c r="N347" s="83" t="str">
        <f aca="false">IF(C347="","",IF(I347="",IF(H347="OUI","À ENROBER",IF(G347="À SOUDER","NON SOUDÉ","EN ATTENTE RT")),IF(L347="R","À REPRENDRE",IF(H347&lt;&gt;"OUI","⚠ ENROBÉ AVANT ACCEPTATION RT","ENROBÉ"))))</f>
        <v>NON SOUDÉ</v>
      </c>
      <c r="O347" s="79"/>
    </row>
    <row r="348" customFormat="false" ht="15" hidden="false" customHeight="false" outlineLevel="0" collapsed="false">
      <c r="A348" s="78" t="n">
        <f aca="false">IF('CARNET DE SOUDURE'!E348="","",'CARNET DE SOUDURE'!A348)</f>
        <v>342</v>
      </c>
      <c r="B348" s="93" t="str">
        <f aca="false">IF('CARNET DE SOUDURE'!E348="","",'CARNET DE SOUDURE'!B348&amp;"")</f>
        <v>ISB-302</v>
      </c>
      <c r="C348" s="83" t="str">
        <f aca="false">IF('CARNET DE SOUDURE'!E348="","",'CARNET DE SOUDURE'!E348)</f>
        <v>JN°137</v>
      </c>
      <c r="D348" s="78" t="str">
        <f aca="false">IF('CARNET DE SOUDURE'!E348="","",'CARNET DE SOUDURE'!D348&amp;"")</f>
        <v/>
      </c>
      <c r="E348" s="96" t="str">
        <f aca="false">IF(OR('CARNET DE SOUDURE'!E348="",'CARNET DE SOUDURE'!R348=""),"",'CARNET DE SOUDURE'!R348)</f>
        <v/>
      </c>
      <c r="F348" s="81" t="str">
        <f aca="false">IF('CARNET DE SOUDURE'!E348="","",'CARNET DE SOUDURE'!AL348)</f>
        <v/>
      </c>
      <c r="G348" s="81" t="str">
        <f aca="false">IF('CARNET DE SOUDURE'!E348="","",'CARNET DE SOUDURE'!AM348)</f>
        <v>À SOUDER</v>
      </c>
      <c r="H348" s="81" t="str">
        <f aca="false">IF(C348="","",IF(G348="ACCEPTÉ","OUI","NON"))</f>
        <v>NON</v>
      </c>
      <c r="I348" s="82"/>
      <c r="J348" s="79"/>
      <c r="K348" s="80"/>
      <c r="L348" s="80"/>
      <c r="M348" s="80"/>
      <c r="N348" s="83" t="str">
        <f aca="false">IF(C348="","",IF(I348="",IF(H348="OUI","À ENROBER",IF(G348="À SOUDER","NON SOUDÉ","EN ATTENTE RT")),IF(L348="R","À REPRENDRE",IF(H348&lt;&gt;"OUI","⚠ ENROBÉ AVANT ACCEPTATION RT","ENROBÉ"))))</f>
        <v>NON SOUDÉ</v>
      </c>
      <c r="O348" s="79"/>
    </row>
    <row r="349" customFormat="false" ht="15" hidden="false" customHeight="false" outlineLevel="0" collapsed="false">
      <c r="A349" s="78" t="n">
        <f aca="false">IF('CARNET DE SOUDURE'!E349="","",'CARNET DE SOUDURE'!A349)</f>
        <v>343</v>
      </c>
      <c r="B349" s="93" t="str">
        <f aca="false">IF('CARNET DE SOUDURE'!E349="","",'CARNET DE SOUDURE'!B349&amp;"")</f>
        <v>ISB-302</v>
      </c>
      <c r="C349" s="83" t="str">
        <f aca="false">IF('CARNET DE SOUDURE'!E349="","",'CARNET DE SOUDURE'!E349)</f>
        <v>JN°138</v>
      </c>
      <c r="D349" s="78" t="str">
        <f aca="false">IF('CARNET DE SOUDURE'!E349="","",'CARNET DE SOUDURE'!D349&amp;"")</f>
        <v/>
      </c>
      <c r="E349" s="96" t="str">
        <f aca="false">IF(OR('CARNET DE SOUDURE'!E349="",'CARNET DE SOUDURE'!R349=""),"",'CARNET DE SOUDURE'!R349)</f>
        <v/>
      </c>
      <c r="F349" s="81" t="str">
        <f aca="false">IF('CARNET DE SOUDURE'!E349="","",'CARNET DE SOUDURE'!AL349)</f>
        <v/>
      </c>
      <c r="G349" s="81" t="str">
        <f aca="false">IF('CARNET DE SOUDURE'!E349="","",'CARNET DE SOUDURE'!AM349)</f>
        <v>À SOUDER</v>
      </c>
      <c r="H349" s="81" t="str">
        <f aca="false">IF(C349="","",IF(G349="ACCEPTÉ","OUI","NON"))</f>
        <v>NON</v>
      </c>
      <c r="I349" s="82"/>
      <c r="J349" s="79"/>
      <c r="K349" s="80"/>
      <c r="L349" s="80"/>
      <c r="M349" s="80"/>
      <c r="N349" s="83" t="str">
        <f aca="false">IF(C349="","",IF(I349="",IF(H349="OUI","À ENROBER",IF(G349="À SOUDER","NON SOUDÉ","EN ATTENTE RT")),IF(L349="R","À REPRENDRE",IF(H349&lt;&gt;"OUI","⚠ ENROBÉ AVANT ACCEPTATION RT","ENROBÉ"))))</f>
        <v>NON SOUDÉ</v>
      </c>
      <c r="O349" s="79"/>
    </row>
    <row r="350" customFormat="false" ht="15" hidden="false" customHeight="false" outlineLevel="0" collapsed="false">
      <c r="A350" s="78" t="n">
        <f aca="false">IF('CARNET DE SOUDURE'!E350="","",'CARNET DE SOUDURE'!A350)</f>
        <v>344</v>
      </c>
      <c r="B350" s="93" t="str">
        <f aca="false">IF('CARNET DE SOUDURE'!E350="","",'CARNET DE SOUDURE'!B350&amp;"")</f>
        <v>ISB-302</v>
      </c>
      <c r="C350" s="83" t="str">
        <f aca="false">IF('CARNET DE SOUDURE'!E350="","",'CARNET DE SOUDURE'!E350)</f>
        <v>JN°139</v>
      </c>
      <c r="D350" s="78" t="str">
        <f aca="false">IF('CARNET DE SOUDURE'!E350="","",'CARNET DE SOUDURE'!D350&amp;"")</f>
        <v/>
      </c>
      <c r="E350" s="96" t="str">
        <f aca="false">IF(OR('CARNET DE SOUDURE'!E350="",'CARNET DE SOUDURE'!R350=""),"",'CARNET DE SOUDURE'!R350)</f>
        <v/>
      </c>
      <c r="F350" s="81" t="str">
        <f aca="false">IF('CARNET DE SOUDURE'!E350="","",'CARNET DE SOUDURE'!AL350)</f>
        <v/>
      </c>
      <c r="G350" s="81" t="str">
        <f aca="false">IF('CARNET DE SOUDURE'!E350="","",'CARNET DE SOUDURE'!AM350)</f>
        <v>À SOUDER</v>
      </c>
      <c r="H350" s="81" t="str">
        <f aca="false">IF(C350="","",IF(G350="ACCEPTÉ","OUI","NON"))</f>
        <v>NON</v>
      </c>
      <c r="I350" s="82"/>
      <c r="J350" s="79"/>
      <c r="K350" s="80"/>
      <c r="L350" s="80"/>
      <c r="M350" s="80"/>
      <c r="N350" s="83" t="str">
        <f aca="false">IF(C350="","",IF(I350="",IF(H350="OUI","À ENROBER",IF(G350="À SOUDER","NON SOUDÉ","EN ATTENTE RT")),IF(L350="R","À REPRENDRE",IF(H350&lt;&gt;"OUI","⚠ ENROBÉ AVANT ACCEPTATION RT","ENROBÉ"))))</f>
        <v>NON SOUDÉ</v>
      </c>
      <c r="O350" s="79"/>
    </row>
    <row r="351" customFormat="false" ht="15" hidden="false" customHeight="false" outlineLevel="0" collapsed="false">
      <c r="A351" s="78" t="n">
        <f aca="false">IF('CARNET DE SOUDURE'!E351="","",'CARNET DE SOUDURE'!A351)</f>
        <v>345</v>
      </c>
      <c r="B351" s="93" t="str">
        <f aca="false">IF('CARNET DE SOUDURE'!E351="","",'CARNET DE SOUDURE'!B351&amp;"")</f>
        <v>ISB-302</v>
      </c>
      <c r="C351" s="83" t="str">
        <f aca="false">IF('CARNET DE SOUDURE'!E351="","",'CARNET DE SOUDURE'!E351)</f>
        <v>JN°140</v>
      </c>
      <c r="D351" s="78" t="str">
        <f aca="false">IF('CARNET DE SOUDURE'!E351="","",'CARNET DE SOUDURE'!D351&amp;"")</f>
        <v/>
      </c>
      <c r="E351" s="96" t="str">
        <f aca="false">IF(OR('CARNET DE SOUDURE'!E351="",'CARNET DE SOUDURE'!R351=""),"",'CARNET DE SOUDURE'!R351)</f>
        <v/>
      </c>
      <c r="F351" s="81" t="str">
        <f aca="false">IF('CARNET DE SOUDURE'!E351="","",'CARNET DE SOUDURE'!AL351)</f>
        <v/>
      </c>
      <c r="G351" s="81" t="str">
        <f aca="false">IF('CARNET DE SOUDURE'!E351="","",'CARNET DE SOUDURE'!AM351)</f>
        <v>À SOUDER</v>
      </c>
      <c r="H351" s="81" t="str">
        <f aca="false">IF(C351="","",IF(G351="ACCEPTÉ","OUI","NON"))</f>
        <v>NON</v>
      </c>
      <c r="I351" s="82"/>
      <c r="J351" s="79"/>
      <c r="K351" s="80"/>
      <c r="L351" s="80"/>
      <c r="M351" s="80"/>
      <c r="N351" s="83" t="str">
        <f aca="false">IF(C351="","",IF(I351="",IF(H351="OUI","À ENROBER",IF(G351="À SOUDER","NON SOUDÉ","EN ATTENTE RT")),IF(L351="R","À REPRENDRE",IF(H351&lt;&gt;"OUI","⚠ ENROBÉ AVANT ACCEPTATION RT","ENROBÉ"))))</f>
        <v>NON SOUDÉ</v>
      </c>
      <c r="O351" s="79"/>
    </row>
    <row r="352" customFormat="false" ht="15" hidden="false" customHeight="false" outlineLevel="0" collapsed="false">
      <c r="A352" s="78" t="n">
        <f aca="false">IF('CARNET DE SOUDURE'!E352="","",'CARNET DE SOUDURE'!A352)</f>
        <v>346</v>
      </c>
      <c r="B352" s="93" t="str">
        <f aca="false">IF('CARNET DE SOUDURE'!E352="","",'CARNET DE SOUDURE'!B352&amp;"")</f>
        <v>ISB-302</v>
      </c>
      <c r="C352" s="83" t="str">
        <f aca="false">IF('CARNET DE SOUDURE'!E352="","",'CARNET DE SOUDURE'!E352)</f>
        <v>JN°141</v>
      </c>
      <c r="D352" s="78" t="str">
        <f aca="false">IF('CARNET DE SOUDURE'!E352="","",'CARNET DE SOUDURE'!D352&amp;"")</f>
        <v/>
      </c>
      <c r="E352" s="96" t="str">
        <f aca="false">IF(OR('CARNET DE SOUDURE'!E352="",'CARNET DE SOUDURE'!R352=""),"",'CARNET DE SOUDURE'!R352)</f>
        <v/>
      </c>
      <c r="F352" s="81" t="str">
        <f aca="false">IF('CARNET DE SOUDURE'!E352="","",'CARNET DE SOUDURE'!AL352)</f>
        <v/>
      </c>
      <c r="G352" s="81" t="str">
        <f aca="false">IF('CARNET DE SOUDURE'!E352="","",'CARNET DE SOUDURE'!AM352)</f>
        <v>À SOUDER</v>
      </c>
      <c r="H352" s="81" t="str">
        <f aca="false">IF(C352="","",IF(G352="ACCEPTÉ","OUI","NON"))</f>
        <v>NON</v>
      </c>
      <c r="I352" s="82"/>
      <c r="J352" s="79"/>
      <c r="K352" s="80"/>
      <c r="L352" s="80"/>
      <c r="M352" s="80"/>
      <c r="N352" s="83" t="str">
        <f aca="false">IF(C352="","",IF(I352="",IF(H352="OUI","À ENROBER",IF(G352="À SOUDER","NON SOUDÉ","EN ATTENTE RT")),IF(L352="R","À REPRENDRE",IF(H352&lt;&gt;"OUI","⚠ ENROBÉ AVANT ACCEPTATION RT","ENROBÉ"))))</f>
        <v>NON SOUDÉ</v>
      </c>
      <c r="O352" s="79"/>
    </row>
    <row r="353" customFormat="false" ht="15" hidden="false" customHeight="false" outlineLevel="0" collapsed="false">
      <c r="A353" s="78" t="n">
        <f aca="false">IF('CARNET DE SOUDURE'!E353="","",'CARNET DE SOUDURE'!A353)</f>
        <v>347</v>
      </c>
      <c r="B353" s="93" t="str">
        <f aca="false">IF('CARNET DE SOUDURE'!E353="","",'CARNET DE SOUDURE'!B353&amp;"")</f>
        <v>ISB-302</v>
      </c>
      <c r="C353" s="83" t="str">
        <f aca="false">IF('CARNET DE SOUDURE'!E353="","",'CARNET DE SOUDURE'!E353)</f>
        <v>JN°142</v>
      </c>
      <c r="D353" s="78" t="str">
        <f aca="false">IF('CARNET DE SOUDURE'!E353="","",'CARNET DE SOUDURE'!D353&amp;"")</f>
        <v/>
      </c>
      <c r="E353" s="96" t="str">
        <f aca="false">IF(OR('CARNET DE SOUDURE'!E353="",'CARNET DE SOUDURE'!R353=""),"",'CARNET DE SOUDURE'!R353)</f>
        <v/>
      </c>
      <c r="F353" s="81" t="str">
        <f aca="false">IF('CARNET DE SOUDURE'!E353="","",'CARNET DE SOUDURE'!AL353)</f>
        <v/>
      </c>
      <c r="G353" s="81" t="str">
        <f aca="false">IF('CARNET DE SOUDURE'!E353="","",'CARNET DE SOUDURE'!AM353)</f>
        <v>À SOUDER</v>
      </c>
      <c r="H353" s="81" t="str">
        <f aca="false">IF(C353="","",IF(G353="ACCEPTÉ","OUI","NON"))</f>
        <v>NON</v>
      </c>
      <c r="I353" s="82"/>
      <c r="J353" s="79"/>
      <c r="K353" s="80"/>
      <c r="L353" s="80"/>
      <c r="M353" s="80"/>
      <c r="N353" s="83" t="str">
        <f aca="false">IF(C353="","",IF(I353="",IF(H353="OUI","À ENROBER",IF(G353="À SOUDER","NON SOUDÉ","EN ATTENTE RT")),IF(L353="R","À REPRENDRE",IF(H353&lt;&gt;"OUI","⚠ ENROBÉ AVANT ACCEPTATION RT","ENROBÉ"))))</f>
        <v>NON SOUDÉ</v>
      </c>
      <c r="O353" s="79"/>
    </row>
    <row r="354" customFormat="false" ht="15" hidden="false" customHeight="false" outlineLevel="0" collapsed="false">
      <c r="A354" s="78" t="n">
        <f aca="false">IF('CARNET DE SOUDURE'!E354="","",'CARNET DE SOUDURE'!A354)</f>
        <v>348</v>
      </c>
      <c r="B354" s="93" t="str">
        <f aca="false">IF('CARNET DE SOUDURE'!E354="","",'CARNET DE SOUDURE'!B354&amp;"")</f>
        <v>ISB-302</v>
      </c>
      <c r="C354" s="83" t="str">
        <f aca="false">IF('CARNET DE SOUDURE'!E354="","",'CARNET DE SOUDURE'!E354)</f>
        <v>JN°143</v>
      </c>
      <c r="D354" s="78" t="str">
        <f aca="false">IF('CARNET DE SOUDURE'!E354="","",'CARNET DE SOUDURE'!D354&amp;"")</f>
        <v/>
      </c>
      <c r="E354" s="96" t="str">
        <f aca="false">IF(OR('CARNET DE SOUDURE'!E354="",'CARNET DE SOUDURE'!R354=""),"",'CARNET DE SOUDURE'!R354)</f>
        <v/>
      </c>
      <c r="F354" s="81" t="str">
        <f aca="false">IF('CARNET DE SOUDURE'!E354="","",'CARNET DE SOUDURE'!AL354)</f>
        <v/>
      </c>
      <c r="G354" s="81" t="str">
        <f aca="false">IF('CARNET DE SOUDURE'!E354="","",'CARNET DE SOUDURE'!AM354)</f>
        <v>À SOUDER</v>
      </c>
      <c r="H354" s="81" t="str">
        <f aca="false">IF(C354="","",IF(G354="ACCEPTÉ","OUI","NON"))</f>
        <v>NON</v>
      </c>
      <c r="I354" s="82"/>
      <c r="J354" s="79"/>
      <c r="K354" s="80"/>
      <c r="L354" s="80"/>
      <c r="M354" s="80"/>
      <c r="N354" s="83" t="str">
        <f aca="false">IF(C354="","",IF(I354="",IF(H354="OUI","À ENROBER",IF(G354="À SOUDER","NON SOUDÉ","EN ATTENTE RT")),IF(L354="R","À REPRENDRE",IF(H354&lt;&gt;"OUI","⚠ ENROBÉ AVANT ACCEPTATION RT","ENROBÉ"))))</f>
        <v>NON SOUDÉ</v>
      </c>
      <c r="O354" s="79"/>
    </row>
    <row r="355" customFormat="false" ht="15" hidden="false" customHeight="false" outlineLevel="0" collapsed="false">
      <c r="A355" s="78" t="n">
        <f aca="false">IF('CARNET DE SOUDURE'!E355="","",'CARNET DE SOUDURE'!A355)</f>
        <v>349</v>
      </c>
      <c r="B355" s="93" t="str">
        <f aca="false">IF('CARNET DE SOUDURE'!E355="","",'CARNET DE SOUDURE'!B355&amp;"")</f>
        <v>ISB-302</v>
      </c>
      <c r="C355" s="83" t="str">
        <f aca="false">IF('CARNET DE SOUDURE'!E355="","",'CARNET DE SOUDURE'!E355)</f>
        <v>JN°144</v>
      </c>
      <c r="D355" s="78" t="str">
        <f aca="false">IF('CARNET DE SOUDURE'!E355="","",'CARNET DE SOUDURE'!D355&amp;"")</f>
        <v/>
      </c>
      <c r="E355" s="96" t="str">
        <f aca="false">IF(OR('CARNET DE SOUDURE'!E355="",'CARNET DE SOUDURE'!R355=""),"",'CARNET DE SOUDURE'!R355)</f>
        <v/>
      </c>
      <c r="F355" s="81" t="str">
        <f aca="false">IF('CARNET DE SOUDURE'!E355="","",'CARNET DE SOUDURE'!AL355)</f>
        <v/>
      </c>
      <c r="G355" s="81" t="str">
        <f aca="false">IF('CARNET DE SOUDURE'!E355="","",'CARNET DE SOUDURE'!AM355)</f>
        <v>À SOUDER</v>
      </c>
      <c r="H355" s="81" t="str">
        <f aca="false">IF(C355="","",IF(G355="ACCEPTÉ","OUI","NON"))</f>
        <v>NON</v>
      </c>
      <c r="I355" s="82"/>
      <c r="J355" s="79"/>
      <c r="K355" s="80"/>
      <c r="L355" s="80"/>
      <c r="M355" s="80"/>
      <c r="N355" s="83" t="str">
        <f aca="false">IF(C355="","",IF(I355="",IF(H355="OUI","À ENROBER",IF(G355="À SOUDER","NON SOUDÉ","EN ATTENTE RT")),IF(L355="R","À REPRENDRE",IF(H355&lt;&gt;"OUI","⚠ ENROBÉ AVANT ACCEPTATION RT","ENROBÉ"))))</f>
        <v>NON SOUDÉ</v>
      </c>
      <c r="O355" s="79"/>
    </row>
    <row r="356" customFormat="false" ht="15" hidden="false" customHeight="false" outlineLevel="0" collapsed="false">
      <c r="A356" s="78" t="n">
        <f aca="false">IF('CARNET DE SOUDURE'!E356="","",'CARNET DE SOUDURE'!A356)</f>
        <v>350</v>
      </c>
      <c r="B356" s="93" t="str">
        <f aca="false">IF('CARNET DE SOUDURE'!E356="","",'CARNET DE SOUDURE'!B356&amp;"")</f>
        <v>ISB-302</v>
      </c>
      <c r="C356" s="83" t="str">
        <f aca="false">IF('CARNET DE SOUDURE'!E356="","",'CARNET DE SOUDURE'!E356)</f>
        <v>JN°145</v>
      </c>
      <c r="D356" s="78" t="str">
        <f aca="false">IF('CARNET DE SOUDURE'!E356="","",'CARNET DE SOUDURE'!D356&amp;"")</f>
        <v/>
      </c>
      <c r="E356" s="96" t="str">
        <f aca="false">IF(OR('CARNET DE SOUDURE'!E356="",'CARNET DE SOUDURE'!R356=""),"",'CARNET DE SOUDURE'!R356)</f>
        <v/>
      </c>
      <c r="F356" s="81" t="str">
        <f aca="false">IF('CARNET DE SOUDURE'!E356="","",'CARNET DE SOUDURE'!AL356)</f>
        <v/>
      </c>
      <c r="G356" s="81" t="str">
        <f aca="false">IF('CARNET DE SOUDURE'!E356="","",'CARNET DE SOUDURE'!AM356)</f>
        <v>À SOUDER</v>
      </c>
      <c r="H356" s="81" t="str">
        <f aca="false">IF(C356="","",IF(G356="ACCEPTÉ","OUI","NON"))</f>
        <v>NON</v>
      </c>
      <c r="I356" s="82"/>
      <c r="J356" s="79"/>
      <c r="K356" s="80"/>
      <c r="L356" s="80"/>
      <c r="M356" s="80"/>
      <c r="N356" s="83" t="str">
        <f aca="false">IF(C356="","",IF(I356="",IF(H356="OUI","À ENROBER",IF(G356="À SOUDER","NON SOUDÉ","EN ATTENTE RT")),IF(L356="R","À REPRENDRE",IF(H356&lt;&gt;"OUI","⚠ ENROBÉ AVANT ACCEPTATION RT","ENROBÉ"))))</f>
        <v>NON SOUDÉ</v>
      </c>
      <c r="O356" s="79"/>
    </row>
    <row r="357" customFormat="false" ht="15" hidden="false" customHeight="false" outlineLevel="0" collapsed="false">
      <c r="A357" s="78" t="n">
        <f aca="false">IF('CARNET DE SOUDURE'!E357="","",'CARNET DE SOUDURE'!A357)</f>
        <v>351</v>
      </c>
      <c r="B357" s="93" t="str">
        <f aca="false">IF('CARNET DE SOUDURE'!E357="","",'CARNET DE SOUDURE'!B357&amp;"")</f>
        <v>ISB-302</v>
      </c>
      <c r="C357" s="83" t="str">
        <f aca="false">IF('CARNET DE SOUDURE'!E357="","",'CARNET DE SOUDURE'!E357)</f>
        <v>JN°146</v>
      </c>
      <c r="D357" s="78" t="str">
        <f aca="false">IF('CARNET DE SOUDURE'!E357="","",'CARNET DE SOUDURE'!D357&amp;"")</f>
        <v/>
      </c>
      <c r="E357" s="96" t="str">
        <f aca="false">IF(OR('CARNET DE SOUDURE'!E357="",'CARNET DE SOUDURE'!R357=""),"",'CARNET DE SOUDURE'!R357)</f>
        <v/>
      </c>
      <c r="F357" s="81" t="str">
        <f aca="false">IF('CARNET DE SOUDURE'!E357="","",'CARNET DE SOUDURE'!AL357)</f>
        <v/>
      </c>
      <c r="G357" s="81" t="str">
        <f aca="false">IF('CARNET DE SOUDURE'!E357="","",'CARNET DE SOUDURE'!AM357)</f>
        <v>À SOUDER</v>
      </c>
      <c r="H357" s="81" t="str">
        <f aca="false">IF(C357="","",IF(G357="ACCEPTÉ","OUI","NON"))</f>
        <v>NON</v>
      </c>
      <c r="I357" s="82"/>
      <c r="J357" s="79"/>
      <c r="K357" s="80"/>
      <c r="L357" s="80"/>
      <c r="M357" s="80"/>
      <c r="N357" s="83" t="str">
        <f aca="false">IF(C357="","",IF(I357="",IF(H357="OUI","À ENROBER",IF(G357="À SOUDER","NON SOUDÉ","EN ATTENTE RT")),IF(L357="R","À REPRENDRE",IF(H357&lt;&gt;"OUI","⚠ ENROBÉ AVANT ACCEPTATION RT","ENROBÉ"))))</f>
        <v>NON SOUDÉ</v>
      </c>
      <c r="O357" s="79"/>
    </row>
    <row r="358" customFormat="false" ht="15" hidden="false" customHeight="false" outlineLevel="0" collapsed="false">
      <c r="A358" s="78" t="n">
        <f aca="false">IF('CARNET DE SOUDURE'!E358="","",'CARNET DE SOUDURE'!A358)</f>
        <v>352</v>
      </c>
      <c r="B358" s="93" t="str">
        <f aca="false">IF('CARNET DE SOUDURE'!E358="","",'CARNET DE SOUDURE'!B358&amp;"")</f>
        <v>ISB-302</v>
      </c>
      <c r="C358" s="83" t="str">
        <f aca="false">IF('CARNET DE SOUDURE'!E358="","",'CARNET DE SOUDURE'!E358)</f>
        <v>JN°147</v>
      </c>
      <c r="D358" s="78" t="str">
        <f aca="false">IF('CARNET DE SOUDURE'!E358="","",'CARNET DE SOUDURE'!D358&amp;"")</f>
        <v/>
      </c>
      <c r="E358" s="96" t="str">
        <f aca="false">IF(OR('CARNET DE SOUDURE'!E358="",'CARNET DE SOUDURE'!R358=""),"",'CARNET DE SOUDURE'!R358)</f>
        <v/>
      </c>
      <c r="F358" s="81" t="str">
        <f aca="false">IF('CARNET DE SOUDURE'!E358="","",'CARNET DE SOUDURE'!AL358)</f>
        <v/>
      </c>
      <c r="G358" s="81" t="str">
        <f aca="false">IF('CARNET DE SOUDURE'!E358="","",'CARNET DE SOUDURE'!AM358)</f>
        <v>À SOUDER</v>
      </c>
      <c r="H358" s="81" t="str">
        <f aca="false">IF(C358="","",IF(G358="ACCEPTÉ","OUI","NON"))</f>
        <v>NON</v>
      </c>
      <c r="I358" s="82"/>
      <c r="J358" s="79"/>
      <c r="K358" s="80"/>
      <c r="L358" s="80"/>
      <c r="M358" s="80"/>
      <c r="N358" s="83" t="str">
        <f aca="false">IF(C358="","",IF(I358="",IF(H358="OUI","À ENROBER",IF(G358="À SOUDER","NON SOUDÉ","EN ATTENTE RT")),IF(L358="R","À REPRENDRE",IF(H358&lt;&gt;"OUI","⚠ ENROBÉ AVANT ACCEPTATION RT","ENROBÉ"))))</f>
        <v>NON SOUDÉ</v>
      </c>
      <c r="O358" s="79"/>
    </row>
    <row r="359" customFormat="false" ht="15" hidden="false" customHeight="false" outlineLevel="0" collapsed="false">
      <c r="A359" s="78" t="n">
        <f aca="false">IF('CARNET DE SOUDURE'!E359="","",'CARNET DE SOUDURE'!A359)</f>
        <v>353</v>
      </c>
      <c r="B359" s="93" t="str">
        <f aca="false">IF('CARNET DE SOUDURE'!E359="","",'CARNET DE SOUDURE'!B359&amp;"")</f>
        <v>ISB-302</v>
      </c>
      <c r="C359" s="83" t="str">
        <f aca="false">IF('CARNET DE SOUDURE'!E359="","",'CARNET DE SOUDURE'!E359)</f>
        <v>JN°148</v>
      </c>
      <c r="D359" s="78" t="str">
        <f aca="false">IF('CARNET DE SOUDURE'!E359="","",'CARNET DE SOUDURE'!D359&amp;"")</f>
        <v/>
      </c>
      <c r="E359" s="96" t="str">
        <f aca="false">IF(OR('CARNET DE SOUDURE'!E359="",'CARNET DE SOUDURE'!R359=""),"",'CARNET DE SOUDURE'!R359)</f>
        <v/>
      </c>
      <c r="F359" s="81" t="str">
        <f aca="false">IF('CARNET DE SOUDURE'!E359="","",'CARNET DE SOUDURE'!AL359)</f>
        <v/>
      </c>
      <c r="G359" s="81" t="str">
        <f aca="false">IF('CARNET DE SOUDURE'!E359="","",'CARNET DE SOUDURE'!AM359)</f>
        <v>À SOUDER</v>
      </c>
      <c r="H359" s="81" t="str">
        <f aca="false">IF(C359="","",IF(G359="ACCEPTÉ","OUI","NON"))</f>
        <v>NON</v>
      </c>
      <c r="I359" s="82"/>
      <c r="J359" s="79"/>
      <c r="K359" s="80"/>
      <c r="L359" s="80"/>
      <c r="M359" s="80"/>
      <c r="N359" s="83" t="str">
        <f aca="false">IF(C359="","",IF(I359="",IF(H359="OUI","À ENROBER",IF(G359="À SOUDER","NON SOUDÉ","EN ATTENTE RT")),IF(L359="R","À REPRENDRE",IF(H359&lt;&gt;"OUI","⚠ ENROBÉ AVANT ACCEPTATION RT","ENROBÉ"))))</f>
        <v>NON SOUDÉ</v>
      </c>
      <c r="O359" s="79"/>
    </row>
    <row r="360" customFormat="false" ht="15" hidden="false" customHeight="false" outlineLevel="0" collapsed="false">
      <c r="A360" s="78" t="n">
        <f aca="false">IF('CARNET DE SOUDURE'!E360="","",'CARNET DE SOUDURE'!A360)</f>
        <v>354</v>
      </c>
      <c r="B360" s="93" t="str">
        <f aca="false">IF('CARNET DE SOUDURE'!E360="","",'CARNET DE SOUDURE'!B360&amp;"")</f>
        <v>ISB-302</v>
      </c>
      <c r="C360" s="83" t="str">
        <f aca="false">IF('CARNET DE SOUDURE'!E360="","",'CARNET DE SOUDURE'!E360)</f>
        <v>JN°149</v>
      </c>
      <c r="D360" s="78" t="str">
        <f aca="false">IF('CARNET DE SOUDURE'!E360="","",'CARNET DE SOUDURE'!D360&amp;"")</f>
        <v/>
      </c>
      <c r="E360" s="96" t="str">
        <f aca="false">IF(OR('CARNET DE SOUDURE'!E360="",'CARNET DE SOUDURE'!R360=""),"",'CARNET DE SOUDURE'!R360)</f>
        <v/>
      </c>
      <c r="F360" s="81" t="str">
        <f aca="false">IF('CARNET DE SOUDURE'!E360="","",'CARNET DE SOUDURE'!AL360)</f>
        <v/>
      </c>
      <c r="G360" s="81" t="str">
        <f aca="false">IF('CARNET DE SOUDURE'!E360="","",'CARNET DE SOUDURE'!AM360)</f>
        <v>À SOUDER</v>
      </c>
      <c r="H360" s="81" t="str">
        <f aca="false">IF(C360="","",IF(G360="ACCEPTÉ","OUI","NON"))</f>
        <v>NON</v>
      </c>
      <c r="I360" s="82"/>
      <c r="J360" s="79"/>
      <c r="K360" s="80"/>
      <c r="L360" s="80"/>
      <c r="M360" s="80"/>
      <c r="N360" s="83" t="str">
        <f aca="false">IF(C360="","",IF(I360="",IF(H360="OUI","À ENROBER",IF(G360="À SOUDER","NON SOUDÉ","EN ATTENTE RT")),IF(L360="R","À REPRENDRE",IF(H360&lt;&gt;"OUI","⚠ ENROBÉ AVANT ACCEPTATION RT","ENROBÉ"))))</f>
        <v>NON SOUDÉ</v>
      </c>
      <c r="O360" s="79"/>
    </row>
    <row r="361" customFormat="false" ht="15" hidden="false" customHeight="false" outlineLevel="0" collapsed="false">
      <c r="A361" s="78" t="n">
        <f aca="false">IF('CARNET DE SOUDURE'!E361="","",'CARNET DE SOUDURE'!A361)</f>
        <v>355</v>
      </c>
      <c r="B361" s="93" t="str">
        <f aca="false">IF('CARNET DE SOUDURE'!E361="","",'CARNET DE SOUDURE'!B361&amp;"")</f>
        <v>ISB-302</v>
      </c>
      <c r="C361" s="83" t="str">
        <f aca="false">IF('CARNET DE SOUDURE'!E361="","",'CARNET DE SOUDURE'!E361)</f>
        <v>JN°150</v>
      </c>
      <c r="D361" s="78" t="str">
        <f aca="false">IF('CARNET DE SOUDURE'!E361="","",'CARNET DE SOUDURE'!D361&amp;"")</f>
        <v/>
      </c>
      <c r="E361" s="96" t="str">
        <f aca="false">IF(OR('CARNET DE SOUDURE'!E361="",'CARNET DE SOUDURE'!R361=""),"",'CARNET DE SOUDURE'!R361)</f>
        <v/>
      </c>
      <c r="F361" s="81" t="str">
        <f aca="false">IF('CARNET DE SOUDURE'!E361="","",'CARNET DE SOUDURE'!AL361)</f>
        <v/>
      </c>
      <c r="G361" s="81" t="str">
        <f aca="false">IF('CARNET DE SOUDURE'!E361="","",'CARNET DE SOUDURE'!AM361)</f>
        <v>À SOUDER</v>
      </c>
      <c r="H361" s="81" t="str">
        <f aca="false">IF(C361="","",IF(G361="ACCEPTÉ","OUI","NON"))</f>
        <v>NON</v>
      </c>
      <c r="I361" s="82"/>
      <c r="J361" s="79"/>
      <c r="K361" s="80"/>
      <c r="L361" s="80"/>
      <c r="M361" s="80"/>
      <c r="N361" s="83" t="str">
        <f aca="false">IF(C361="","",IF(I361="",IF(H361="OUI","À ENROBER",IF(G361="À SOUDER","NON SOUDÉ","EN ATTENTE RT")),IF(L361="R","À REPRENDRE",IF(H361&lt;&gt;"OUI","⚠ ENROBÉ AVANT ACCEPTATION RT","ENROBÉ"))))</f>
        <v>NON SOUDÉ</v>
      </c>
      <c r="O361" s="79"/>
    </row>
    <row r="362" customFormat="false" ht="15" hidden="false" customHeight="false" outlineLevel="0" collapsed="false">
      <c r="A362" s="78" t="n">
        <f aca="false">IF('CARNET DE SOUDURE'!E362="","",'CARNET DE SOUDURE'!A362)</f>
        <v>356</v>
      </c>
      <c r="B362" s="93" t="str">
        <f aca="false">IF('CARNET DE SOUDURE'!E362="","",'CARNET DE SOUDURE'!B362&amp;"")</f>
        <v>ISB-302</v>
      </c>
      <c r="C362" s="83" t="str">
        <f aca="false">IF('CARNET DE SOUDURE'!E362="","",'CARNET DE SOUDURE'!E362)</f>
        <v>JN°151</v>
      </c>
      <c r="D362" s="78" t="str">
        <f aca="false">IF('CARNET DE SOUDURE'!E362="","",'CARNET DE SOUDURE'!D362&amp;"")</f>
        <v/>
      </c>
      <c r="E362" s="96" t="str">
        <f aca="false">IF(OR('CARNET DE SOUDURE'!E362="",'CARNET DE SOUDURE'!R362=""),"",'CARNET DE SOUDURE'!R362)</f>
        <v/>
      </c>
      <c r="F362" s="81" t="str">
        <f aca="false">IF('CARNET DE SOUDURE'!E362="","",'CARNET DE SOUDURE'!AL362)</f>
        <v/>
      </c>
      <c r="G362" s="81" t="str">
        <f aca="false">IF('CARNET DE SOUDURE'!E362="","",'CARNET DE SOUDURE'!AM362)</f>
        <v>À SOUDER</v>
      </c>
      <c r="H362" s="81" t="str">
        <f aca="false">IF(C362="","",IF(G362="ACCEPTÉ","OUI","NON"))</f>
        <v>NON</v>
      </c>
      <c r="I362" s="82"/>
      <c r="J362" s="79"/>
      <c r="K362" s="80"/>
      <c r="L362" s="80"/>
      <c r="M362" s="80"/>
      <c r="N362" s="83" t="str">
        <f aca="false">IF(C362="","",IF(I362="",IF(H362="OUI","À ENROBER",IF(G362="À SOUDER","NON SOUDÉ","EN ATTENTE RT")),IF(L362="R","À REPRENDRE",IF(H362&lt;&gt;"OUI","⚠ ENROBÉ AVANT ACCEPTATION RT","ENROBÉ"))))</f>
        <v>NON SOUDÉ</v>
      </c>
      <c r="O362" s="79"/>
    </row>
    <row r="363" customFormat="false" ht="15" hidden="false" customHeight="false" outlineLevel="0" collapsed="false">
      <c r="A363" s="78" t="n">
        <f aca="false">IF('CARNET DE SOUDURE'!E363="","",'CARNET DE SOUDURE'!A363)</f>
        <v>357</v>
      </c>
      <c r="B363" s="93" t="str">
        <f aca="false">IF('CARNET DE SOUDURE'!E363="","",'CARNET DE SOUDURE'!B363&amp;"")</f>
        <v>ISB-302</v>
      </c>
      <c r="C363" s="83" t="str">
        <f aca="false">IF('CARNET DE SOUDURE'!E363="","",'CARNET DE SOUDURE'!E363)</f>
        <v>JN°152</v>
      </c>
      <c r="D363" s="78" t="str">
        <f aca="false">IF('CARNET DE SOUDURE'!E363="","",'CARNET DE SOUDURE'!D363&amp;"")</f>
        <v/>
      </c>
      <c r="E363" s="96" t="str">
        <f aca="false">IF(OR('CARNET DE SOUDURE'!E363="",'CARNET DE SOUDURE'!R363=""),"",'CARNET DE SOUDURE'!R363)</f>
        <v/>
      </c>
      <c r="F363" s="81" t="str">
        <f aca="false">IF('CARNET DE SOUDURE'!E363="","",'CARNET DE SOUDURE'!AL363)</f>
        <v/>
      </c>
      <c r="G363" s="81" t="str">
        <f aca="false">IF('CARNET DE SOUDURE'!E363="","",'CARNET DE SOUDURE'!AM363)</f>
        <v>À SOUDER</v>
      </c>
      <c r="H363" s="81" t="str">
        <f aca="false">IF(C363="","",IF(G363="ACCEPTÉ","OUI","NON"))</f>
        <v>NON</v>
      </c>
      <c r="I363" s="82"/>
      <c r="J363" s="79"/>
      <c r="K363" s="80"/>
      <c r="L363" s="80"/>
      <c r="M363" s="80"/>
      <c r="N363" s="83" t="str">
        <f aca="false">IF(C363="","",IF(I363="",IF(H363="OUI","À ENROBER",IF(G363="À SOUDER","NON SOUDÉ","EN ATTENTE RT")),IF(L363="R","À REPRENDRE",IF(H363&lt;&gt;"OUI","⚠ ENROBÉ AVANT ACCEPTATION RT","ENROBÉ"))))</f>
        <v>NON SOUDÉ</v>
      </c>
      <c r="O363" s="79"/>
    </row>
    <row r="364" customFormat="false" ht="15" hidden="false" customHeight="false" outlineLevel="0" collapsed="false">
      <c r="A364" s="78" t="n">
        <f aca="false">IF('CARNET DE SOUDURE'!E364="","",'CARNET DE SOUDURE'!A364)</f>
        <v>358</v>
      </c>
      <c r="B364" s="93" t="str">
        <f aca="false">IF('CARNET DE SOUDURE'!E364="","",'CARNET DE SOUDURE'!B364&amp;"")</f>
        <v>ISB-302</v>
      </c>
      <c r="C364" s="83" t="str">
        <f aca="false">IF('CARNET DE SOUDURE'!E364="","",'CARNET DE SOUDURE'!E364)</f>
        <v>JN°153</v>
      </c>
      <c r="D364" s="78" t="str">
        <f aca="false">IF('CARNET DE SOUDURE'!E364="","",'CARNET DE SOUDURE'!D364&amp;"")</f>
        <v/>
      </c>
      <c r="E364" s="96" t="str">
        <f aca="false">IF(OR('CARNET DE SOUDURE'!E364="",'CARNET DE SOUDURE'!R364=""),"",'CARNET DE SOUDURE'!R364)</f>
        <v/>
      </c>
      <c r="F364" s="81" t="str">
        <f aca="false">IF('CARNET DE SOUDURE'!E364="","",'CARNET DE SOUDURE'!AL364)</f>
        <v/>
      </c>
      <c r="G364" s="81" t="str">
        <f aca="false">IF('CARNET DE SOUDURE'!E364="","",'CARNET DE SOUDURE'!AM364)</f>
        <v>À SOUDER</v>
      </c>
      <c r="H364" s="81" t="str">
        <f aca="false">IF(C364="","",IF(G364="ACCEPTÉ","OUI","NON"))</f>
        <v>NON</v>
      </c>
      <c r="I364" s="82"/>
      <c r="J364" s="79"/>
      <c r="K364" s="80"/>
      <c r="L364" s="80"/>
      <c r="M364" s="80"/>
      <c r="N364" s="83" t="str">
        <f aca="false">IF(C364="","",IF(I364="",IF(H364="OUI","À ENROBER",IF(G364="À SOUDER","NON SOUDÉ","EN ATTENTE RT")),IF(L364="R","À REPRENDRE",IF(H364&lt;&gt;"OUI","⚠ ENROBÉ AVANT ACCEPTATION RT","ENROBÉ"))))</f>
        <v>NON SOUDÉ</v>
      </c>
      <c r="O364" s="79"/>
    </row>
    <row r="365" customFormat="false" ht="15" hidden="false" customHeight="false" outlineLevel="0" collapsed="false">
      <c r="A365" s="78" t="n">
        <f aca="false">IF('CARNET DE SOUDURE'!E365="","",'CARNET DE SOUDURE'!A365)</f>
        <v>359</v>
      </c>
      <c r="B365" s="93" t="str">
        <f aca="false">IF('CARNET DE SOUDURE'!E365="","",'CARNET DE SOUDURE'!B365&amp;"")</f>
        <v>ISB-302</v>
      </c>
      <c r="C365" s="83" t="str">
        <f aca="false">IF('CARNET DE SOUDURE'!E365="","",'CARNET DE SOUDURE'!E365)</f>
        <v>JN°154</v>
      </c>
      <c r="D365" s="78" t="str">
        <f aca="false">IF('CARNET DE SOUDURE'!E365="","",'CARNET DE SOUDURE'!D365&amp;"")</f>
        <v/>
      </c>
      <c r="E365" s="96" t="str">
        <f aca="false">IF(OR('CARNET DE SOUDURE'!E365="",'CARNET DE SOUDURE'!R365=""),"",'CARNET DE SOUDURE'!R365)</f>
        <v/>
      </c>
      <c r="F365" s="81" t="str">
        <f aca="false">IF('CARNET DE SOUDURE'!E365="","",'CARNET DE SOUDURE'!AL365)</f>
        <v/>
      </c>
      <c r="G365" s="81" t="str">
        <f aca="false">IF('CARNET DE SOUDURE'!E365="","",'CARNET DE SOUDURE'!AM365)</f>
        <v>À SOUDER</v>
      </c>
      <c r="H365" s="81" t="str">
        <f aca="false">IF(C365="","",IF(G365="ACCEPTÉ","OUI","NON"))</f>
        <v>NON</v>
      </c>
      <c r="I365" s="82"/>
      <c r="J365" s="79"/>
      <c r="K365" s="80"/>
      <c r="L365" s="80"/>
      <c r="M365" s="80"/>
      <c r="N365" s="83" t="str">
        <f aca="false">IF(C365="","",IF(I365="",IF(H365="OUI","À ENROBER",IF(G365="À SOUDER","NON SOUDÉ","EN ATTENTE RT")),IF(L365="R","À REPRENDRE",IF(H365&lt;&gt;"OUI","⚠ ENROBÉ AVANT ACCEPTATION RT","ENROBÉ"))))</f>
        <v>NON SOUDÉ</v>
      </c>
      <c r="O365" s="79"/>
    </row>
    <row r="366" customFormat="false" ht="15" hidden="false" customHeight="false" outlineLevel="0" collapsed="false">
      <c r="A366" s="78" t="n">
        <f aca="false">IF('CARNET DE SOUDURE'!E366="","",'CARNET DE SOUDURE'!A366)</f>
        <v>360</v>
      </c>
      <c r="B366" s="93" t="str">
        <f aca="false">IF('CARNET DE SOUDURE'!E366="","",'CARNET DE SOUDURE'!B366&amp;"")</f>
        <v>ISB-302</v>
      </c>
      <c r="C366" s="83" t="str">
        <f aca="false">IF('CARNET DE SOUDURE'!E366="","",'CARNET DE SOUDURE'!E366)</f>
        <v>JN°155</v>
      </c>
      <c r="D366" s="78" t="str">
        <f aca="false">IF('CARNET DE SOUDURE'!E366="","",'CARNET DE SOUDURE'!D366&amp;"")</f>
        <v/>
      </c>
      <c r="E366" s="96" t="str">
        <f aca="false">IF(OR('CARNET DE SOUDURE'!E366="",'CARNET DE SOUDURE'!R366=""),"",'CARNET DE SOUDURE'!R366)</f>
        <v/>
      </c>
      <c r="F366" s="81" t="str">
        <f aca="false">IF('CARNET DE SOUDURE'!E366="","",'CARNET DE SOUDURE'!AL366)</f>
        <v/>
      </c>
      <c r="G366" s="81" t="str">
        <f aca="false">IF('CARNET DE SOUDURE'!E366="","",'CARNET DE SOUDURE'!AM366)</f>
        <v>À SOUDER</v>
      </c>
      <c r="H366" s="81" t="str">
        <f aca="false">IF(C366="","",IF(G366="ACCEPTÉ","OUI","NON"))</f>
        <v>NON</v>
      </c>
      <c r="I366" s="82"/>
      <c r="J366" s="79"/>
      <c r="K366" s="80"/>
      <c r="L366" s="80"/>
      <c r="M366" s="80"/>
      <c r="N366" s="83" t="str">
        <f aca="false">IF(C366="","",IF(I366="",IF(H366="OUI","À ENROBER",IF(G366="À SOUDER","NON SOUDÉ","EN ATTENTE RT")),IF(L366="R","À REPRENDRE",IF(H366&lt;&gt;"OUI","⚠ ENROBÉ AVANT ACCEPTATION RT","ENROBÉ"))))</f>
        <v>NON SOUDÉ</v>
      </c>
      <c r="O366" s="79"/>
    </row>
    <row r="367" customFormat="false" ht="15" hidden="false" customHeight="false" outlineLevel="0" collapsed="false">
      <c r="A367" s="78" t="n">
        <f aca="false">IF('CARNET DE SOUDURE'!E367="","",'CARNET DE SOUDURE'!A367)</f>
        <v>361</v>
      </c>
      <c r="B367" s="93" t="str">
        <f aca="false">IF('CARNET DE SOUDURE'!E367="","",'CARNET DE SOUDURE'!B367&amp;"")</f>
        <v>ISB-302</v>
      </c>
      <c r="C367" s="83" t="str">
        <f aca="false">IF('CARNET DE SOUDURE'!E367="","",'CARNET DE SOUDURE'!E367)</f>
        <v>JN°156</v>
      </c>
      <c r="D367" s="78" t="str">
        <f aca="false">IF('CARNET DE SOUDURE'!E367="","",'CARNET DE SOUDURE'!D367&amp;"")</f>
        <v/>
      </c>
      <c r="E367" s="96" t="str">
        <f aca="false">IF(OR('CARNET DE SOUDURE'!E367="",'CARNET DE SOUDURE'!R367=""),"",'CARNET DE SOUDURE'!R367)</f>
        <v/>
      </c>
      <c r="F367" s="81" t="str">
        <f aca="false">IF('CARNET DE SOUDURE'!E367="","",'CARNET DE SOUDURE'!AL367)</f>
        <v/>
      </c>
      <c r="G367" s="81" t="str">
        <f aca="false">IF('CARNET DE SOUDURE'!E367="","",'CARNET DE SOUDURE'!AM367)</f>
        <v>À SOUDER</v>
      </c>
      <c r="H367" s="81" t="str">
        <f aca="false">IF(C367="","",IF(G367="ACCEPTÉ","OUI","NON"))</f>
        <v>NON</v>
      </c>
      <c r="I367" s="82"/>
      <c r="J367" s="79"/>
      <c r="K367" s="80"/>
      <c r="L367" s="80"/>
      <c r="M367" s="80"/>
      <c r="N367" s="83" t="str">
        <f aca="false">IF(C367="","",IF(I367="",IF(H367="OUI","À ENROBER",IF(G367="À SOUDER","NON SOUDÉ","EN ATTENTE RT")),IF(L367="R","À REPRENDRE",IF(H367&lt;&gt;"OUI","⚠ ENROBÉ AVANT ACCEPTATION RT","ENROBÉ"))))</f>
        <v>NON SOUDÉ</v>
      </c>
      <c r="O367" s="79"/>
    </row>
    <row r="368" customFormat="false" ht="15" hidden="false" customHeight="false" outlineLevel="0" collapsed="false">
      <c r="A368" s="78" t="n">
        <f aca="false">IF('CARNET DE SOUDURE'!E368="","",'CARNET DE SOUDURE'!A368)</f>
        <v>362</v>
      </c>
      <c r="B368" s="93" t="str">
        <f aca="false">IF('CARNET DE SOUDURE'!E368="","",'CARNET DE SOUDURE'!B368&amp;"")</f>
        <v>ISB-302</v>
      </c>
      <c r="C368" s="83" t="str">
        <f aca="false">IF('CARNET DE SOUDURE'!E368="","",'CARNET DE SOUDURE'!E368)</f>
        <v>JN°157</v>
      </c>
      <c r="D368" s="78" t="str">
        <f aca="false">IF('CARNET DE SOUDURE'!E368="","",'CARNET DE SOUDURE'!D368&amp;"")</f>
        <v/>
      </c>
      <c r="E368" s="96" t="str">
        <f aca="false">IF(OR('CARNET DE SOUDURE'!E368="",'CARNET DE SOUDURE'!R368=""),"",'CARNET DE SOUDURE'!R368)</f>
        <v/>
      </c>
      <c r="F368" s="81" t="str">
        <f aca="false">IF('CARNET DE SOUDURE'!E368="","",'CARNET DE SOUDURE'!AL368)</f>
        <v/>
      </c>
      <c r="G368" s="81" t="str">
        <f aca="false">IF('CARNET DE SOUDURE'!E368="","",'CARNET DE SOUDURE'!AM368)</f>
        <v>À SOUDER</v>
      </c>
      <c r="H368" s="81" t="str">
        <f aca="false">IF(C368="","",IF(G368="ACCEPTÉ","OUI","NON"))</f>
        <v>NON</v>
      </c>
      <c r="I368" s="82"/>
      <c r="J368" s="79"/>
      <c r="K368" s="80"/>
      <c r="L368" s="80"/>
      <c r="M368" s="80"/>
      <c r="N368" s="83" t="str">
        <f aca="false">IF(C368="","",IF(I368="",IF(H368="OUI","À ENROBER",IF(G368="À SOUDER","NON SOUDÉ","EN ATTENTE RT")),IF(L368="R","À REPRENDRE",IF(H368&lt;&gt;"OUI","⚠ ENROBÉ AVANT ACCEPTATION RT","ENROBÉ"))))</f>
        <v>NON SOUDÉ</v>
      </c>
      <c r="O368" s="79"/>
    </row>
    <row r="369" customFormat="false" ht="15" hidden="false" customHeight="false" outlineLevel="0" collapsed="false">
      <c r="A369" s="78" t="n">
        <f aca="false">IF('CARNET DE SOUDURE'!E369="","",'CARNET DE SOUDURE'!A369)</f>
        <v>363</v>
      </c>
      <c r="B369" s="93" t="str">
        <f aca="false">IF('CARNET DE SOUDURE'!E369="","",'CARNET DE SOUDURE'!B369&amp;"")</f>
        <v>ISB-302</v>
      </c>
      <c r="C369" s="83" t="str">
        <f aca="false">IF('CARNET DE SOUDURE'!E369="","",'CARNET DE SOUDURE'!E369)</f>
        <v>JN°158</v>
      </c>
      <c r="D369" s="78" t="str">
        <f aca="false">IF('CARNET DE SOUDURE'!E369="","",'CARNET DE SOUDURE'!D369&amp;"")</f>
        <v/>
      </c>
      <c r="E369" s="96" t="str">
        <f aca="false">IF(OR('CARNET DE SOUDURE'!E369="",'CARNET DE SOUDURE'!R369=""),"",'CARNET DE SOUDURE'!R369)</f>
        <v/>
      </c>
      <c r="F369" s="81" t="str">
        <f aca="false">IF('CARNET DE SOUDURE'!E369="","",'CARNET DE SOUDURE'!AL369)</f>
        <v/>
      </c>
      <c r="G369" s="81" t="str">
        <f aca="false">IF('CARNET DE SOUDURE'!E369="","",'CARNET DE SOUDURE'!AM369)</f>
        <v>À SOUDER</v>
      </c>
      <c r="H369" s="81" t="str">
        <f aca="false">IF(C369="","",IF(G369="ACCEPTÉ","OUI","NON"))</f>
        <v>NON</v>
      </c>
      <c r="I369" s="82"/>
      <c r="J369" s="79"/>
      <c r="K369" s="80"/>
      <c r="L369" s="80"/>
      <c r="M369" s="80"/>
      <c r="N369" s="83" t="str">
        <f aca="false">IF(C369="","",IF(I369="",IF(H369="OUI","À ENROBER",IF(G369="À SOUDER","NON SOUDÉ","EN ATTENTE RT")),IF(L369="R","À REPRENDRE",IF(H369&lt;&gt;"OUI","⚠ ENROBÉ AVANT ACCEPTATION RT","ENROBÉ"))))</f>
        <v>NON SOUDÉ</v>
      </c>
      <c r="O369" s="79"/>
    </row>
    <row r="370" customFormat="false" ht="15" hidden="false" customHeight="false" outlineLevel="0" collapsed="false">
      <c r="A370" s="78" t="n">
        <f aca="false">IF('CARNET DE SOUDURE'!E370="","",'CARNET DE SOUDURE'!A370)</f>
        <v>364</v>
      </c>
      <c r="B370" s="93" t="str">
        <f aca="false">IF('CARNET DE SOUDURE'!E370="","",'CARNET DE SOUDURE'!B370&amp;"")</f>
        <v>ISB-302</v>
      </c>
      <c r="C370" s="83" t="str">
        <f aca="false">IF('CARNET DE SOUDURE'!E370="","",'CARNET DE SOUDURE'!E370)</f>
        <v>JN°159</v>
      </c>
      <c r="D370" s="78" t="str">
        <f aca="false">IF('CARNET DE SOUDURE'!E370="","",'CARNET DE SOUDURE'!D370&amp;"")</f>
        <v/>
      </c>
      <c r="E370" s="96" t="str">
        <f aca="false">IF(OR('CARNET DE SOUDURE'!E370="",'CARNET DE SOUDURE'!R370=""),"",'CARNET DE SOUDURE'!R370)</f>
        <v/>
      </c>
      <c r="F370" s="81" t="str">
        <f aca="false">IF('CARNET DE SOUDURE'!E370="","",'CARNET DE SOUDURE'!AL370)</f>
        <v/>
      </c>
      <c r="G370" s="81" t="str">
        <f aca="false">IF('CARNET DE SOUDURE'!E370="","",'CARNET DE SOUDURE'!AM370)</f>
        <v>À SOUDER</v>
      </c>
      <c r="H370" s="81" t="str">
        <f aca="false">IF(C370="","",IF(G370="ACCEPTÉ","OUI","NON"))</f>
        <v>NON</v>
      </c>
      <c r="I370" s="82"/>
      <c r="J370" s="79"/>
      <c r="K370" s="80"/>
      <c r="L370" s="80"/>
      <c r="M370" s="80"/>
      <c r="N370" s="83" t="str">
        <f aca="false">IF(C370="","",IF(I370="",IF(H370="OUI","À ENROBER",IF(G370="À SOUDER","NON SOUDÉ","EN ATTENTE RT")),IF(L370="R","À REPRENDRE",IF(H370&lt;&gt;"OUI","⚠ ENROBÉ AVANT ACCEPTATION RT","ENROBÉ"))))</f>
        <v>NON SOUDÉ</v>
      </c>
      <c r="O370" s="79"/>
    </row>
    <row r="371" customFormat="false" ht="15" hidden="false" customHeight="false" outlineLevel="0" collapsed="false">
      <c r="A371" s="78" t="n">
        <f aca="false">IF('CARNET DE SOUDURE'!E371="","",'CARNET DE SOUDURE'!A371)</f>
        <v>365</v>
      </c>
      <c r="B371" s="93" t="str">
        <f aca="false">IF('CARNET DE SOUDURE'!E371="","",'CARNET DE SOUDURE'!B371&amp;"")</f>
        <v>ISB-302</v>
      </c>
      <c r="C371" s="83" t="str">
        <f aca="false">IF('CARNET DE SOUDURE'!E371="","",'CARNET DE SOUDURE'!E371)</f>
        <v>JN°160</v>
      </c>
      <c r="D371" s="78" t="str">
        <f aca="false">IF('CARNET DE SOUDURE'!E371="","",'CARNET DE SOUDURE'!D371&amp;"")</f>
        <v/>
      </c>
      <c r="E371" s="96" t="str">
        <f aca="false">IF(OR('CARNET DE SOUDURE'!E371="",'CARNET DE SOUDURE'!R371=""),"",'CARNET DE SOUDURE'!R371)</f>
        <v/>
      </c>
      <c r="F371" s="81" t="str">
        <f aca="false">IF('CARNET DE SOUDURE'!E371="","",'CARNET DE SOUDURE'!AL371)</f>
        <v/>
      </c>
      <c r="G371" s="81" t="str">
        <f aca="false">IF('CARNET DE SOUDURE'!E371="","",'CARNET DE SOUDURE'!AM371)</f>
        <v>À SOUDER</v>
      </c>
      <c r="H371" s="81" t="str">
        <f aca="false">IF(C371="","",IF(G371="ACCEPTÉ","OUI","NON"))</f>
        <v>NON</v>
      </c>
      <c r="I371" s="82"/>
      <c r="J371" s="79"/>
      <c r="K371" s="80"/>
      <c r="L371" s="80"/>
      <c r="M371" s="80"/>
      <c r="N371" s="83" t="str">
        <f aca="false">IF(C371="","",IF(I371="",IF(H371="OUI","À ENROBER",IF(G371="À SOUDER","NON SOUDÉ","EN ATTENTE RT")),IF(L371="R","À REPRENDRE",IF(H371&lt;&gt;"OUI","⚠ ENROBÉ AVANT ACCEPTATION RT","ENROBÉ"))))</f>
        <v>NON SOUDÉ</v>
      </c>
      <c r="O371" s="79"/>
    </row>
    <row r="372" customFormat="false" ht="15" hidden="false" customHeight="false" outlineLevel="0" collapsed="false">
      <c r="A372" s="78" t="n">
        <f aca="false">IF('CARNET DE SOUDURE'!E372="","",'CARNET DE SOUDURE'!A372)</f>
        <v>366</v>
      </c>
      <c r="B372" s="93" t="str">
        <f aca="false">IF('CARNET DE SOUDURE'!E372="","",'CARNET DE SOUDURE'!B372&amp;"")</f>
        <v>ISB-302</v>
      </c>
      <c r="C372" s="83" t="str">
        <f aca="false">IF('CARNET DE SOUDURE'!E372="","",'CARNET DE SOUDURE'!E372)</f>
        <v>JN°161</v>
      </c>
      <c r="D372" s="78" t="str">
        <f aca="false">IF('CARNET DE SOUDURE'!E372="","",'CARNET DE SOUDURE'!D372&amp;"")</f>
        <v/>
      </c>
      <c r="E372" s="96" t="str">
        <f aca="false">IF(OR('CARNET DE SOUDURE'!E372="",'CARNET DE SOUDURE'!R372=""),"",'CARNET DE SOUDURE'!R372)</f>
        <v/>
      </c>
      <c r="F372" s="81" t="str">
        <f aca="false">IF('CARNET DE SOUDURE'!E372="","",'CARNET DE SOUDURE'!AL372)</f>
        <v/>
      </c>
      <c r="G372" s="81" t="str">
        <f aca="false">IF('CARNET DE SOUDURE'!E372="","",'CARNET DE SOUDURE'!AM372)</f>
        <v>À SOUDER</v>
      </c>
      <c r="H372" s="81" t="str">
        <f aca="false">IF(C372="","",IF(G372="ACCEPTÉ","OUI","NON"))</f>
        <v>NON</v>
      </c>
      <c r="I372" s="82"/>
      <c r="J372" s="79"/>
      <c r="K372" s="80"/>
      <c r="L372" s="80"/>
      <c r="M372" s="80"/>
      <c r="N372" s="83" t="str">
        <f aca="false">IF(C372="","",IF(I372="",IF(H372="OUI","À ENROBER",IF(G372="À SOUDER","NON SOUDÉ","EN ATTENTE RT")),IF(L372="R","À REPRENDRE",IF(H372&lt;&gt;"OUI","⚠ ENROBÉ AVANT ACCEPTATION RT","ENROBÉ"))))</f>
        <v>NON SOUDÉ</v>
      </c>
      <c r="O372" s="79"/>
    </row>
    <row r="373" customFormat="false" ht="15" hidden="false" customHeight="false" outlineLevel="0" collapsed="false">
      <c r="A373" s="78" t="n">
        <f aca="false">IF('CARNET DE SOUDURE'!E373="","",'CARNET DE SOUDURE'!A373)</f>
        <v>367</v>
      </c>
      <c r="B373" s="93" t="str">
        <f aca="false">IF('CARNET DE SOUDURE'!E373="","",'CARNET DE SOUDURE'!B373&amp;"")</f>
        <v>ISB-302</v>
      </c>
      <c r="C373" s="83" t="str">
        <f aca="false">IF('CARNET DE SOUDURE'!E373="","",'CARNET DE SOUDURE'!E373)</f>
        <v>JN°162</v>
      </c>
      <c r="D373" s="78" t="str">
        <f aca="false">IF('CARNET DE SOUDURE'!E373="","",'CARNET DE SOUDURE'!D373&amp;"")</f>
        <v/>
      </c>
      <c r="E373" s="96" t="str">
        <f aca="false">IF(OR('CARNET DE SOUDURE'!E373="",'CARNET DE SOUDURE'!R373=""),"",'CARNET DE SOUDURE'!R373)</f>
        <v/>
      </c>
      <c r="F373" s="81" t="str">
        <f aca="false">IF('CARNET DE SOUDURE'!E373="","",'CARNET DE SOUDURE'!AL373)</f>
        <v/>
      </c>
      <c r="G373" s="81" t="str">
        <f aca="false">IF('CARNET DE SOUDURE'!E373="","",'CARNET DE SOUDURE'!AM373)</f>
        <v>À SOUDER</v>
      </c>
      <c r="H373" s="81" t="str">
        <f aca="false">IF(C373="","",IF(G373="ACCEPTÉ","OUI","NON"))</f>
        <v>NON</v>
      </c>
      <c r="I373" s="82"/>
      <c r="J373" s="79"/>
      <c r="K373" s="80"/>
      <c r="L373" s="80"/>
      <c r="M373" s="80"/>
      <c r="N373" s="83" t="str">
        <f aca="false">IF(C373="","",IF(I373="",IF(H373="OUI","À ENROBER",IF(G373="À SOUDER","NON SOUDÉ","EN ATTENTE RT")),IF(L373="R","À REPRENDRE",IF(H373&lt;&gt;"OUI","⚠ ENROBÉ AVANT ACCEPTATION RT","ENROBÉ"))))</f>
        <v>NON SOUDÉ</v>
      </c>
      <c r="O373" s="79"/>
    </row>
    <row r="374" customFormat="false" ht="15" hidden="false" customHeight="false" outlineLevel="0" collapsed="false">
      <c r="A374" s="78" t="n">
        <f aca="false">IF('CARNET DE SOUDURE'!E374="","",'CARNET DE SOUDURE'!A374)</f>
        <v>368</v>
      </c>
      <c r="B374" s="93" t="str">
        <f aca="false">IF('CARNET DE SOUDURE'!E374="","",'CARNET DE SOUDURE'!B374&amp;"")</f>
        <v>ISB-302</v>
      </c>
      <c r="C374" s="83" t="str">
        <f aca="false">IF('CARNET DE SOUDURE'!E374="","",'CARNET DE SOUDURE'!E374)</f>
        <v>JN°163</v>
      </c>
      <c r="D374" s="78" t="str">
        <f aca="false">IF('CARNET DE SOUDURE'!E374="","",'CARNET DE SOUDURE'!D374&amp;"")</f>
        <v/>
      </c>
      <c r="E374" s="96" t="str">
        <f aca="false">IF(OR('CARNET DE SOUDURE'!E374="",'CARNET DE SOUDURE'!R374=""),"",'CARNET DE SOUDURE'!R374)</f>
        <v/>
      </c>
      <c r="F374" s="81" t="str">
        <f aca="false">IF('CARNET DE SOUDURE'!E374="","",'CARNET DE SOUDURE'!AL374)</f>
        <v/>
      </c>
      <c r="G374" s="81" t="str">
        <f aca="false">IF('CARNET DE SOUDURE'!E374="","",'CARNET DE SOUDURE'!AM374)</f>
        <v>À SOUDER</v>
      </c>
      <c r="H374" s="81" t="str">
        <f aca="false">IF(C374="","",IF(G374="ACCEPTÉ","OUI","NON"))</f>
        <v>NON</v>
      </c>
      <c r="I374" s="82"/>
      <c r="J374" s="79"/>
      <c r="K374" s="80"/>
      <c r="L374" s="80"/>
      <c r="M374" s="80"/>
      <c r="N374" s="83" t="str">
        <f aca="false">IF(C374="","",IF(I374="",IF(H374="OUI","À ENROBER",IF(G374="À SOUDER","NON SOUDÉ","EN ATTENTE RT")),IF(L374="R","À REPRENDRE",IF(H374&lt;&gt;"OUI","⚠ ENROBÉ AVANT ACCEPTATION RT","ENROBÉ"))))</f>
        <v>NON SOUDÉ</v>
      </c>
      <c r="O374" s="79"/>
    </row>
    <row r="375" customFormat="false" ht="15" hidden="false" customHeight="false" outlineLevel="0" collapsed="false">
      <c r="A375" s="78" t="n">
        <f aca="false">IF('CARNET DE SOUDURE'!E375="","",'CARNET DE SOUDURE'!A375)</f>
        <v>369</v>
      </c>
      <c r="B375" s="93" t="str">
        <f aca="false">IF('CARNET DE SOUDURE'!E375="","",'CARNET DE SOUDURE'!B375&amp;"")</f>
        <v>ISB-302</v>
      </c>
      <c r="C375" s="83" t="str">
        <f aca="false">IF('CARNET DE SOUDURE'!E375="","",'CARNET DE SOUDURE'!E375)</f>
        <v>JN°164</v>
      </c>
      <c r="D375" s="78" t="str">
        <f aca="false">IF('CARNET DE SOUDURE'!E375="","",'CARNET DE SOUDURE'!D375&amp;"")</f>
        <v/>
      </c>
      <c r="E375" s="96" t="str">
        <f aca="false">IF(OR('CARNET DE SOUDURE'!E375="",'CARNET DE SOUDURE'!R375=""),"",'CARNET DE SOUDURE'!R375)</f>
        <v/>
      </c>
      <c r="F375" s="81" t="str">
        <f aca="false">IF('CARNET DE SOUDURE'!E375="","",'CARNET DE SOUDURE'!AL375)</f>
        <v/>
      </c>
      <c r="G375" s="81" t="str">
        <f aca="false">IF('CARNET DE SOUDURE'!E375="","",'CARNET DE SOUDURE'!AM375)</f>
        <v>À SOUDER</v>
      </c>
      <c r="H375" s="81" t="str">
        <f aca="false">IF(C375="","",IF(G375="ACCEPTÉ","OUI","NON"))</f>
        <v>NON</v>
      </c>
      <c r="I375" s="82"/>
      <c r="J375" s="79"/>
      <c r="K375" s="80"/>
      <c r="L375" s="80"/>
      <c r="M375" s="80"/>
      <c r="N375" s="83" t="str">
        <f aca="false">IF(C375="","",IF(I375="",IF(H375="OUI","À ENROBER",IF(G375="À SOUDER","NON SOUDÉ","EN ATTENTE RT")),IF(L375="R","À REPRENDRE",IF(H375&lt;&gt;"OUI","⚠ ENROBÉ AVANT ACCEPTATION RT","ENROBÉ"))))</f>
        <v>NON SOUDÉ</v>
      </c>
      <c r="O375" s="79"/>
    </row>
    <row r="376" customFormat="false" ht="15" hidden="false" customHeight="false" outlineLevel="0" collapsed="false">
      <c r="A376" s="78" t="n">
        <f aca="false">IF('CARNET DE SOUDURE'!E376="","",'CARNET DE SOUDURE'!A376)</f>
        <v>370</v>
      </c>
      <c r="B376" s="93" t="str">
        <f aca="false">IF('CARNET DE SOUDURE'!E376="","",'CARNET DE SOUDURE'!B376&amp;"")</f>
        <v>ISB-302</v>
      </c>
      <c r="C376" s="83" t="str">
        <f aca="false">IF('CARNET DE SOUDURE'!E376="","",'CARNET DE SOUDURE'!E376)</f>
        <v>JN°165</v>
      </c>
      <c r="D376" s="78" t="str">
        <f aca="false">IF('CARNET DE SOUDURE'!E376="","",'CARNET DE SOUDURE'!D376&amp;"")</f>
        <v/>
      </c>
      <c r="E376" s="96" t="str">
        <f aca="false">IF(OR('CARNET DE SOUDURE'!E376="",'CARNET DE SOUDURE'!R376=""),"",'CARNET DE SOUDURE'!R376)</f>
        <v/>
      </c>
      <c r="F376" s="81" t="str">
        <f aca="false">IF('CARNET DE SOUDURE'!E376="","",'CARNET DE SOUDURE'!AL376)</f>
        <v/>
      </c>
      <c r="G376" s="81" t="str">
        <f aca="false">IF('CARNET DE SOUDURE'!E376="","",'CARNET DE SOUDURE'!AM376)</f>
        <v>À SOUDER</v>
      </c>
      <c r="H376" s="81" t="str">
        <f aca="false">IF(C376="","",IF(G376="ACCEPTÉ","OUI","NON"))</f>
        <v>NON</v>
      </c>
      <c r="I376" s="82"/>
      <c r="J376" s="79"/>
      <c r="K376" s="80"/>
      <c r="L376" s="80"/>
      <c r="M376" s="80"/>
      <c r="N376" s="83" t="str">
        <f aca="false">IF(C376="","",IF(I376="",IF(H376="OUI","À ENROBER",IF(G376="À SOUDER","NON SOUDÉ","EN ATTENTE RT")),IF(L376="R","À REPRENDRE",IF(H376&lt;&gt;"OUI","⚠ ENROBÉ AVANT ACCEPTATION RT","ENROBÉ"))))</f>
        <v>NON SOUDÉ</v>
      </c>
      <c r="O376" s="79"/>
    </row>
    <row r="377" customFormat="false" ht="15" hidden="false" customHeight="false" outlineLevel="0" collapsed="false">
      <c r="A377" s="78" t="n">
        <f aca="false">IF('CARNET DE SOUDURE'!E377="","",'CARNET DE SOUDURE'!A377)</f>
        <v>371</v>
      </c>
      <c r="B377" s="93" t="str">
        <f aca="false">IF('CARNET DE SOUDURE'!E377="","",'CARNET DE SOUDURE'!B377&amp;"")</f>
        <v>ISB-302</v>
      </c>
      <c r="C377" s="83" t="str">
        <f aca="false">IF('CARNET DE SOUDURE'!E377="","",'CARNET DE SOUDURE'!E377)</f>
        <v>JN°166</v>
      </c>
      <c r="D377" s="78" t="str">
        <f aca="false">IF('CARNET DE SOUDURE'!E377="","",'CARNET DE SOUDURE'!D377&amp;"")</f>
        <v/>
      </c>
      <c r="E377" s="96" t="str">
        <f aca="false">IF(OR('CARNET DE SOUDURE'!E377="",'CARNET DE SOUDURE'!R377=""),"",'CARNET DE SOUDURE'!R377)</f>
        <v/>
      </c>
      <c r="F377" s="81" t="str">
        <f aca="false">IF('CARNET DE SOUDURE'!E377="","",'CARNET DE SOUDURE'!AL377)</f>
        <v/>
      </c>
      <c r="G377" s="81" t="str">
        <f aca="false">IF('CARNET DE SOUDURE'!E377="","",'CARNET DE SOUDURE'!AM377)</f>
        <v>À SOUDER</v>
      </c>
      <c r="H377" s="81" t="str">
        <f aca="false">IF(C377="","",IF(G377="ACCEPTÉ","OUI","NON"))</f>
        <v>NON</v>
      </c>
      <c r="I377" s="82"/>
      <c r="J377" s="79"/>
      <c r="K377" s="80"/>
      <c r="L377" s="80"/>
      <c r="M377" s="80"/>
      <c r="N377" s="83" t="str">
        <f aca="false">IF(C377="","",IF(I377="",IF(H377="OUI","À ENROBER",IF(G377="À SOUDER","NON SOUDÉ","EN ATTENTE RT")),IF(L377="R","À REPRENDRE",IF(H377&lt;&gt;"OUI","⚠ ENROBÉ AVANT ACCEPTATION RT","ENROBÉ"))))</f>
        <v>NON SOUDÉ</v>
      </c>
      <c r="O377" s="79"/>
    </row>
    <row r="378" customFormat="false" ht="15" hidden="false" customHeight="false" outlineLevel="0" collapsed="false">
      <c r="A378" s="78" t="n">
        <f aca="false">IF('CARNET DE SOUDURE'!E378="","",'CARNET DE SOUDURE'!A378)</f>
        <v>372</v>
      </c>
      <c r="B378" s="93" t="str">
        <f aca="false">IF('CARNET DE SOUDURE'!E378="","",'CARNET DE SOUDURE'!B378&amp;"")</f>
        <v>ISB-302</v>
      </c>
      <c r="C378" s="83" t="str">
        <f aca="false">IF('CARNET DE SOUDURE'!E378="","",'CARNET DE SOUDURE'!E378)</f>
        <v>JN°167</v>
      </c>
      <c r="D378" s="78" t="str">
        <f aca="false">IF('CARNET DE SOUDURE'!E378="","",'CARNET DE SOUDURE'!D378&amp;"")</f>
        <v/>
      </c>
      <c r="E378" s="96" t="str">
        <f aca="false">IF(OR('CARNET DE SOUDURE'!E378="",'CARNET DE SOUDURE'!R378=""),"",'CARNET DE SOUDURE'!R378)</f>
        <v/>
      </c>
      <c r="F378" s="81" t="str">
        <f aca="false">IF('CARNET DE SOUDURE'!E378="","",'CARNET DE SOUDURE'!AL378)</f>
        <v/>
      </c>
      <c r="G378" s="81" t="str">
        <f aca="false">IF('CARNET DE SOUDURE'!E378="","",'CARNET DE SOUDURE'!AM378)</f>
        <v>À SOUDER</v>
      </c>
      <c r="H378" s="81" t="str">
        <f aca="false">IF(C378="","",IF(G378="ACCEPTÉ","OUI","NON"))</f>
        <v>NON</v>
      </c>
      <c r="I378" s="82"/>
      <c r="J378" s="79"/>
      <c r="K378" s="80"/>
      <c r="L378" s="80"/>
      <c r="M378" s="80"/>
      <c r="N378" s="83" t="str">
        <f aca="false">IF(C378="","",IF(I378="",IF(H378="OUI","À ENROBER",IF(G378="À SOUDER","NON SOUDÉ","EN ATTENTE RT")),IF(L378="R","À REPRENDRE",IF(H378&lt;&gt;"OUI","⚠ ENROBÉ AVANT ACCEPTATION RT","ENROBÉ"))))</f>
        <v>NON SOUDÉ</v>
      </c>
      <c r="O378" s="79"/>
    </row>
    <row r="379" customFormat="false" ht="15" hidden="false" customHeight="false" outlineLevel="0" collapsed="false">
      <c r="A379" s="78" t="n">
        <f aca="false">IF('CARNET DE SOUDURE'!E379="","",'CARNET DE SOUDURE'!A379)</f>
        <v>373</v>
      </c>
      <c r="B379" s="93" t="str">
        <f aca="false">IF('CARNET DE SOUDURE'!E379="","",'CARNET DE SOUDURE'!B379&amp;"")</f>
        <v>ISB-302</v>
      </c>
      <c r="C379" s="83" t="str">
        <f aca="false">IF('CARNET DE SOUDURE'!E379="","",'CARNET DE SOUDURE'!E379)</f>
        <v>JN°168</v>
      </c>
      <c r="D379" s="78" t="str">
        <f aca="false">IF('CARNET DE SOUDURE'!E379="","",'CARNET DE SOUDURE'!D379&amp;"")</f>
        <v/>
      </c>
      <c r="E379" s="96" t="str">
        <f aca="false">IF(OR('CARNET DE SOUDURE'!E379="",'CARNET DE SOUDURE'!R379=""),"",'CARNET DE SOUDURE'!R379)</f>
        <v/>
      </c>
      <c r="F379" s="81" t="str">
        <f aca="false">IF('CARNET DE SOUDURE'!E379="","",'CARNET DE SOUDURE'!AL379)</f>
        <v/>
      </c>
      <c r="G379" s="81" t="str">
        <f aca="false">IF('CARNET DE SOUDURE'!E379="","",'CARNET DE SOUDURE'!AM379)</f>
        <v>À SOUDER</v>
      </c>
      <c r="H379" s="81" t="str">
        <f aca="false">IF(C379="","",IF(G379="ACCEPTÉ","OUI","NON"))</f>
        <v>NON</v>
      </c>
      <c r="I379" s="82"/>
      <c r="J379" s="79"/>
      <c r="K379" s="80"/>
      <c r="L379" s="80"/>
      <c r="M379" s="80"/>
      <c r="N379" s="83" t="str">
        <f aca="false">IF(C379="","",IF(I379="",IF(H379="OUI","À ENROBER",IF(G379="À SOUDER","NON SOUDÉ","EN ATTENTE RT")),IF(L379="R","À REPRENDRE",IF(H379&lt;&gt;"OUI","⚠ ENROBÉ AVANT ACCEPTATION RT","ENROBÉ"))))</f>
        <v>NON SOUDÉ</v>
      </c>
      <c r="O379" s="79"/>
    </row>
    <row r="380" customFormat="false" ht="15" hidden="false" customHeight="false" outlineLevel="0" collapsed="false">
      <c r="A380" s="78" t="n">
        <f aca="false">IF('CARNET DE SOUDURE'!E380="","",'CARNET DE SOUDURE'!A380)</f>
        <v>374</v>
      </c>
      <c r="B380" s="93" t="str">
        <f aca="false">IF('CARNET DE SOUDURE'!E380="","",'CARNET DE SOUDURE'!B380&amp;"")</f>
        <v>ISB-302</v>
      </c>
      <c r="C380" s="83" t="str">
        <f aca="false">IF('CARNET DE SOUDURE'!E380="","",'CARNET DE SOUDURE'!E380)</f>
        <v>JN°169</v>
      </c>
      <c r="D380" s="78" t="str">
        <f aca="false">IF('CARNET DE SOUDURE'!E380="","",'CARNET DE SOUDURE'!D380&amp;"")</f>
        <v/>
      </c>
      <c r="E380" s="96" t="str">
        <f aca="false">IF(OR('CARNET DE SOUDURE'!E380="",'CARNET DE SOUDURE'!R380=""),"",'CARNET DE SOUDURE'!R380)</f>
        <v/>
      </c>
      <c r="F380" s="81" t="str">
        <f aca="false">IF('CARNET DE SOUDURE'!E380="","",'CARNET DE SOUDURE'!AL380)</f>
        <v/>
      </c>
      <c r="G380" s="81" t="str">
        <f aca="false">IF('CARNET DE SOUDURE'!E380="","",'CARNET DE SOUDURE'!AM380)</f>
        <v>À SOUDER</v>
      </c>
      <c r="H380" s="81" t="str">
        <f aca="false">IF(C380="","",IF(G380="ACCEPTÉ","OUI","NON"))</f>
        <v>NON</v>
      </c>
      <c r="I380" s="82"/>
      <c r="J380" s="79"/>
      <c r="K380" s="80"/>
      <c r="L380" s="80"/>
      <c r="M380" s="80"/>
      <c r="N380" s="83" t="str">
        <f aca="false">IF(C380="","",IF(I380="",IF(H380="OUI","À ENROBER",IF(G380="À SOUDER","NON SOUDÉ","EN ATTENTE RT")),IF(L380="R","À REPRENDRE",IF(H380&lt;&gt;"OUI","⚠ ENROBÉ AVANT ACCEPTATION RT","ENROBÉ"))))</f>
        <v>NON SOUDÉ</v>
      </c>
      <c r="O380" s="79"/>
    </row>
    <row r="381" customFormat="false" ht="15" hidden="false" customHeight="false" outlineLevel="0" collapsed="false">
      <c r="A381" s="78" t="n">
        <f aca="false">IF('CARNET DE SOUDURE'!E381="","",'CARNET DE SOUDURE'!A381)</f>
        <v>375</v>
      </c>
      <c r="B381" s="93" t="str">
        <f aca="false">IF('CARNET DE SOUDURE'!E381="","",'CARNET DE SOUDURE'!B381&amp;"")</f>
        <v>ISB-302</v>
      </c>
      <c r="C381" s="83" t="str">
        <f aca="false">IF('CARNET DE SOUDURE'!E381="","",'CARNET DE SOUDURE'!E381)</f>
        <v>JN°170</v>
      </c>
      <c r="D381" s="78" t="str">
        <f aca="false">IF('CARNET DE SOUDURE'!E381="","",'CARNET DE SOUDURE'!D381&amp;"")</f>
        <v/>
      </c>
      <c r="E381" s="96" t="str">
        <f aca="false">IF(OR('CARNET DE SOUDURE'!E381="",'CARNET DE SOUDURE'!R381=""),"",'CARNET DE SOUDURE'!R381)</f>
        <v/>
      </c>
      <c r="F381" s="81" t="str">
        <f aca="false">IF('CARNET DE SOUDURE'!E381="","",'CARNET DE SOUDURE'!AL381)</f>
        <v/>
      </c>
      <c r="G381" s="81" t="str">
        <f aca="false">IF('CARNET DE SOUDURE'!E381="","",'CARNET DE SOUDURE'!AM381)</f>
        <v>À SOUDER</v>
      </c>
      <c r="H381" s="81" t="str">
        <f aca="false">IF(C381="","",IF(G381="ACCEPTÉ","OUI","NON"))</f>
        <v>NON</v>
      </c>
      <c r="I381" s="82"/>
      <c r="J381" s="79"/>
      <c r="K381" s="80"/>
      <c r="L381" s="80"/>
      <c r="M381" s="80"/>
      <c r="N381" s="83" t="str">
        <f aca="false">IF(C381="","",IF(I381="",IF(H381="OUI","À ENROBER",IF(G381="À SOUDER","NON SOUDÉ","EN ATTENTE RT")),IF(L381="R","À REPRENDRE",IF(H381&lt;&gt;"OUI","⚠ ENROBÉ AVANT ACCEPTATION RT","ENROBÉ"))))</f>
        <v>NON SOUDÉ</v>
      </c>
      <c r="O381" s="79"/>
    </row>
    <row r="382" customFormat="false" ht="15" hidden="false" customHeight="false" outlineLevel="0" collapsed="false">
      <c r="A382" s="78" t="n">
        <f aca="false">IF('CARNET DE SOUDURE'!E382="","",'CARNET DE SOUDURE'!A382)</f>
        <v>376</v>
      </c>
      <c r="B382" s="93" t="str">
        <f aca="false">IF('CARNET DE SOUDURE'!E382="","",'CARNET DE SOUDURE'!B382&amp;"")</f>
        <v>ISB-302</v>
      </c>
      <c r="C382" s="83" t="str">
        <f aca="false">IF('CARNET DE SOUDURE'!E382="","",'CARNET DE SOUDURE'!E382)</f>
        <v>JN°171</v>
      </c>
      <c r="D382" s="78" t="str">
        <f aca="false">IF('CARNET DE SOUDURE'!E382="","",'CARNET DE SOUDURE'!D382&amp;"")</f>
        <v/>
      </c>
      <c r="E382" s="96" t="str">
        <f aca="false">IF(OR('CARNET DE SOUDURE'!E382="",'CARNET DE SOUDURE'!R382=""),"",'CARNET DE SOUDURE'!R382)</f>
        <v/>
      </c>
      <c r="F382" s="81" t="str">
        <f aca="false">IF('CARNET DE SOUDURE'!E382="","",'CARNET DE SOUDURE'!AL382)</f>
        <v/>
      </c>
      <c r="G382" s="81" t="str">
        <f aca="false">IF('CARNET DE SOUDURE'!E382="","",'CARNET DE SOUDURE'!AM382)</f>
        <v>À SOUDER</v>
      </c>
      <c r="H382" s="81" t="str">
        <f aca="false">IF(C382="","",IF(G382="ACCEPTÉ","OUI","NON"))</f>
        <v>NON</v>
      </c>
      <c r="I382" s="82"/>
      <c r="J382" s="79"/>
      <c r="K382" s="80"/>
      <c r="L382" s="80"/>
      <c r="M382" s="80"/>
      <c r="N382" s="83" t="str">
        <f aca="false">IF(C382="","",IF(I382="",IF(H382="OUI","À ENROBER",IF(G382="À SOUDER","NON SOUDÉ","EN ATTENTE RT")),IF(L382="R","À REPRENDRE",IF(H382&lt;&gt;"OUI","⚠ ENROBÉ AVANT ACCEPTATION RT","ENROBÉ"))))</f>
        <v>NON SOUDÉ</v>
      </c>
      <c r="O382" s="79"/>
    </row>
    <row r="383" customFormat="false" ht="15" hidden="false" customHeight="false" outlineLevel="0" collapsed="false">
      <c r="A383" s="78" t="n">
        <f aca="false">IF('CARNET DE SOUDURE'!E383="","",'CARNET DE SOUDURE'!A383)</f>
        <v>377</v>
      </c>
      <c r="B383" s="93" t="str">
        <f aca="false">IF('CARNET DE SOUDURE'!E383="","",'CARNET DE SOUDURE'!B383&amp;"")</f>
        <v>ISB-302</v>
      </c>
      <c r="C383" s="83" t="str">
        <f aca="false">IF('CARNET DE SOUDURE'!E383="","",'CARNET DE SOUDURE'!E383)</f>
        <v>JN°172</v>
      </c>
      <c r="D383" s="78" t="str">
        <f aca="false">IF('CARNET DE SOUDURE'!E383="","",'CARNET DE SOUDURE'!D383&amp;"")</f>
        <v/>
      </c>
      <c r="E383" s="96" t="str">
        <f aca="false">IF(OR('CARNET DE SOUDURE'!E383="",'CARNET DE SOUDURE'!R383=""),"",'CARNET DE SOUDURE'!R383)</f>
        <v/>
      </c>
      <c r="F383" s="81" t="str">
        <f aca="false">IF('CARNET DE SOUDURE'!E383="","",'CARNET DE SOUDURE'!AL383)</f>
        <v/>
      </c>
      <c r="G383" s="81" t="str">
        <f aca="false">IF('CARNET DE SOUDURE'!E383="","",'CARNET DE SOUDURE'!AM383)</f>
        <v>À SOUDER</v>
      </c>
      <c r="H383" s="81" t="str">
        <f aca="false">IF(C383="","",IF(G383="ACCEPTÉ","OUI","NON"))</f>
        <v>NON</v>
      </c>
      <c r="I383" s="82"/>
      <c r="J383" s="79"/>
      <c r="K383" s="80"/>
      <c r="L383" s="80"/>
      <c r="M383" s="80"/>
      <c r="N383" s="83" t="str">
        <f aca="false">IF(C383="","",IF(I383="",IF(H383="OUI","À ENROBER",IF(G383="À SOUDER","NON SOUDÉ","EN ATTENTE RT")),IF(L383="R","À REPRENDRE",IF(H383&lt;&gt;"OUI","⚠ ENROBÉ AVANT ACCEPTATION RT","ENROBÉ"))))</f>
        <v>NON SOUDÉ</v>
      </c>
      <c r="O383" s="79"/>
    </row>
    <row r="384" customFormat="false" ht="15" hidden="false" customHeight="false" outlineLevel="0" collapsed="false">
      <c r="A384" s="78" t="n">
        <f aca="false">IF('CARNET DE SOUDURE'!E384="","",'CARNET DE SOUDURE'!A384)</f>
        <v>378</v>
      </c>
      <c r="B384" s="93" t="str">
        <f aca="false">IF('CARNET DE SOUDURE'!E384="","",'CARNET DE SOUDURE'!B384&amp;"")</f>
        <v>ISB-302</v>
      </c>
      <c r="C384" s="83" t="str">
        <f aca="false">IF('CARNET DE SOUDURE'!E384="","",'CARNET DE SOUDURE'!E384)</f>
        <v>JN°173</v>
      </c>
      <c r="D384" s="78" t="str">
        <f aca="false">IF('CARNET DE SOUDURE'!E384="","",'CARNET DE SOUDURE'!D384&amp;"")</f>
        <v/>
      </c>
      <c r="E384" s="96" t="str">
        <f aca="false">IF(OR('CARNET DE SOUDURE'!E384="",'CARNET DE SOUDURE'!R384=""),"",'CARNET DE SOUDURE'!R384)</f>
        <v/>
      </c>
      <c r="F384" s="81" t="str">
        <f aca="false">IF('CARNET DE SOUDURE'!E384="","",'CARNET DE SOUDURE'!AL384)</f>
        <v/>
      </c>
      <c r="G384" s="81" t="str">
        <f aca="false">IF('CARNET DE SOUDURE'!E384="","",'CARNET DE SOUDURE'!AM384)</f>
        <v>À SOUDER</v>
      </c>
      <c r="H384" s="81" t="str">
        <f aca="false">IF(C384="","",IF(G384="ACCEPTÉ","OUI","NON"))</f>
        <v>NON</v>
      </c>
      <c r="I384" s="82"/>
      <c r="J384" s="79"/>
      <c r="K384" s="80"/>
      <c r="L384" s="80"/>
      <c r="M384" s="80"/>
      <c r="N384" s="83" t="str">
        <f aca="false">IF(C384="","",IF(I384="",IF(H384="OUI","À ENROBER",IF(G384="À SOUDER","NON SOUDÉ","EN ATTENTE RT")),IF(L384="R","À REPRENDRE",IF(H384&lt;&gt;"OUI","⚠ ENROBÉ AVANT ACCEPTATION RT","ENROBÉ"))))</f>
        <v>NON SOUDÉ</v>
      </c>
      <c r="O384" s="79"/>
    </row>
    <row r="385" customFormat="false" ht="15" hidden="false" customHeight="false" outlineLevel="0" collapsed="false">
      <c r="A385" s="78" t="n">
        <f aca="false">IF('CARNET DE SOUDURE'!E385="","",'CARNET DE SOUDURE'!A385)</f>
        <v>379</v>
      </c>
      <c r="B385" s="93" t="str">
        <f aca="false">IF('CARNET DE SOUDURE'!E385="","",'CARNET DE SOUDURE'!B385&amp;"")</f>
        <v>ISB-302</v>
      </c>
      <c r="C385" s="83" t="str">
        <f aca="false">IF('CARNET DE SOUDURE'!E385="","",'CARNET DE SOUDURE'!E385)</f>
        <v>JN°174</v>
      </c>
      <c r="D385" s="78" t="str">
        <f aca="false">IF('CARNET DE SOUDURE'!E385="","",'CARNET DE SOUDURE'!D385&amp;"")</f>
        <v/>
      </c>
      <c r="E385" s="96" t="str">
        <f aca="false">IF(OR('CARNET DE SOUDURE'!E385="",'CARNET DE SOUDURE'!R385=""),"",'CARNET DE SOUDURE'!R385)</f>
        <v/>
      </c>
      <c r="F385" s="81" t="str">
        <f aca="false">IF('CARNET DE SOUDURE'!E385="","",'CARNET DE SOUDURE'!AL385)</f>
        <v/>
      </c>
      <c r="G385" s="81" t="str">
        <f aca="false">IF('CARNET DE SOUDURE'!E385="","",'CARNET DE SOUDURE'!AM385)</f>
        <v>À SOUDER</v>
      </c>
      <c r="H385" s="81" t="str">
        <f aca="false">IF(C385="","",IF(G385="ACCEPTÉ","OUI","NON"))</f>
        <v>NON</v>
      </c>
      <c r="I385" s="82"/>
      <c r="J385" s="79"/>
      <c r="K385" s="80"/>
      <c r="L385" s="80"/>
      <c r="M385" s="80"/>
      <c r="N385" s="83" t="str">
        <f aca="false">IF(C385="","",IF(I385="",IF(H385="OUI","À ENROBER",IF(G385="À SOUDER","NON SOUDÉ","EN ATTENTE RT")),IF(L385="R","À REPRENDRE",IF(H385&lt;&gt;"OUI","⚠ ENROBÉ AVANT ACCEPTATION RT","ENROBÉ"))))</f>
        <v>NON SOUDÉ</v>
      </c>
      <c r="O385" s="79"/>
    </row>
    <row r="386" customFormat="false" ht="15" hidden="false" customHeight="false" outlineLevel="0" collapsed="false">
      <c r="A386" s="78" t="n">
        <f aca="false">IF('CARNET DE SOUDURE'!E386="","",'CARNET DE SOUDURE'!A386)</f>
        <v>380</v>
      </c>
      <c r="B386" s="93" t="str">
        <f aca="false">IF('CARNET DE SOUDURE'!E386="","",'CARNET DE SOUDURE'!B386&amp;"")</f>
        <v>ISB-302</v>
      </c>
      <c r="C386" s="83" t="str">
        <f aca="false">IF('CARNET DE SOUDURE'!E386="","",'CARNET DE SOUDURE'!E386)</f>
        <v>JN°175</v>
      </c>
      <c r="D386" s="78" t="str">
        <f aca="false">IF('CARNET DE SOUDURE'!E386="","",'CARNET DE SOUDURE'!D386&amp;"")</f>
        <v/>
      </c>
      <c r="E386" s="96" t="str">
        <f aca="false">IF(OR('CARNET DE SOUDURE'!E386="",'CARNET DE SOUDURE'!R386=""),"",'CARNET DE SOUDURE'!R386)</f>
        <v/>
      </c>
      <c r="F386" s="81" t="str">
        <f aca="false">IF('CARNET DE SOUDURE'!E386="","",'CARNET DE SOUDURE'!AL386)</f>
        <v/>
      </c>
      <c r="G386" s="81" t="str">
        <f aca="false">IF('CARNET DE SOUDURE'!E386="","",'CARNET DE SOUDURE'!AM386)</f>
        <v>À SOUDER</v>
      </c>
      <c r="H386" s="81" t="str">
        <f aca="false">IF(C386="","",IF(G386="ACCEPTÉ","OUI","NON"))</f>
        <v>NON</v>
      </c>
      <c r="I386" s="82"/>
      <c r="J386" s="79"/>
      <c r="K386" s="80"/>
      <c r="L386" s="80"/>
      <c r="M386" s="80"/>
      <c r="N386" s="83" t="str">
        <f aca="false">IF(C386="","",IF(I386="",IF(H386="OUI","À ENROBER",IF(G386="À SOUDER","NON SOUDÉ","EN ATTENTE RT")),IF(L386="R","À REPRENDRE",IF(H386&lt;&gt;"OUI","⚠ ENROBÉ AVANT ACCEPTATION RT","ENROBÉ"))))</f>
        <v>NON SOUDÉ</v>
      </c>
      <c r="O386" s="79"/>
    </row>
    <row r="387" customFormat="false" ht="15" hidden="false" customHeight="false" outlineLevel="0" collapsed="false">
      <c r="A387" s="78" t="n">
        <f aca="false">IF('CARNET DE SOUDURE'!E387="","",'CARNET DE SOUDURE'!A387)</f>
        <v>381</v>
      </c>
      <c r="B387" s="93" t="str">
        <f aca="false">IF('CARNET DE SOUDURE'!E387="","",'CARNET DE SOUDURE'!B387&amp;"")</f>
        <v>ISB-302</v>
      </c>
      <c r="C387" s="83" t="str">
        <f aca="false">IF('CARNET DE SOUDURE'!E387="","",'CARNET DE SOUDURE'!E387)</f>
        <v>JN°176</v>
      </c>
      <c r="D387" s="78" t="str">
        <f aca="false">IF('CARNET DE SOUDURE'!E387="","",'CARNET DE SOUDURE'!D387&amp;"")</f>
        <v/>
      </c>
      <c r="E387" s="96" t="str">
        <f aca="false">IF(OR('CARNET DE SOUDURE'!E387="",'CARNET DE SOUDURE'!R387=""),"",'CARNET DE SOUDURE'!R387)</f>
        <v/>
      </c>
      <c r="F387" s="81" t="str">
        <f aca="false">IF('CARNET DE SOUDURE'!E387="","",'CARNET DE SOUDURE'!AL387)</f>
        <v/>
      </c>
      <c r="G387" s="81" t="str">
        <f aca="false">IF('CARNET DE SOUDURE'!E387="","",'CARNET DE SOUDURE'!AM387)</f>
        <v>À SOUDER</v>
      </c>
      <c r="H387" s="81" t="str">
        <f aca="false">IF(C387="","",IF(G387="ACCEPTÉ","OUI","NON"))</f>
        <v>NON</v>
      </c>
      <c r="I387" s="82"/>
      <c r="J387" s="79"/>
      <c r="K387" s="80"/>
      <c r="L387" s="80"/>
      <c r="M387" s="80"/>
      <c r="N387" s="83" t="str">
        <f aca="false">IF(C387="","",IF(I387="",IF(H387="OUI","À ENROBER",IF(G387="À SOUDER","NON SOUDÉ","EN ATTENTE RT")),IF(L387="R","À REPRENDRE",IF(H387&lt;&gt;"OUI","⚠ ENROBÉ AVANT ACCEPTATION RT","ENROBÉ"))))</f>
        <v>NON SOUDÉ</v>
      </c>
      <c r="O387" s="79"/>
    </row>
    <row r="388" customFormat="false" ht="15" hidden="false" customHeight="false" outlineLevel="0" collapsed="false">
      <c r="A388" s="78" t="n">
        <f aca="false">IF('CARNET DE SOUDURE'!E388="","",'CARNET DE SOUDURE'!A388)</f>
        <v>382</v>
      </c>
      <c r="B388" s="93" t="str">
        <f aca="false">IF('CARNET DE SOUDURE'!E388="","",'CARNET DE SOUDURE'!B388&amp;"")</f>
        <v>ISB-302</v>
      </c>
      <c r="C388" s="83" t="str">
        <f aca="false">IF('CARNET DE SOUDURE'!E388="","",'CARNET DE SOUDURE'!E388)</f>
        <v>JN°177</v>
      </c>
      <c r="D388" s="78" t="str">
        <f aca="false">IF('CARNET DE SOUDURE'!E388="","",'CARNET DE SOUDURE'!D388&amp;"")</f>
        <v/>
      </c>
      <c r="E388" s="96" t="str">
        <f aca="false">IF(OR('CARNET DE SOUDURE'!E388="",'CARNET DE SOUDURE'!R388=""),"",'CARNET DE SOUDURE'!R388)</f>
        <v/>
      </c>
      <c r="F388" s="81" t="str">
        <f aca="false">IF('CARNET DE SOUDURE'!E388="","",'CARNET DE SOUDURE'!AL388)</f>
        <v/>
      </c>
      <c r="G388" s="81" t="str">
        <f aca="false">IF('CARNET DE SOUDURE'!E388="","",'CARNET DE SOUDURE'!AM388)</f>
        <v>À SOUDER</v>
      </c>
      <c r="H388" s="81" t="str">
        <f aca="false">IF(C388="","",IF(G388="ACCEPTÉ","OUI","NON"))</f>
        <v>NON</v>
      </c>
      <c r="I388" s="82"/>
      <c r="J388" s="79"/>
      <c r="K388" s="80"/>
      <c r="L388" s="80"/>
      <c r="M388" s="80"/>
      <c r="N388" s="83" t="str">
        <f aca="false">IF(C388="","",IF(I388="",IF(H388="OUI","À ENROBER",IF(G388="À SOUDER","NON SOUDÉ","EN ATTENTE RT")),IF(L388="R","À REPRENDRE",IF(H388&lt;&gt;"OUI","⚠ ENROBÉ AVANT ACCEPTATION RT","ENROBÉ"))))</f>
        <v>NON SOUDÉ</v>
      </c>
      <c r="O388" s="79"/>
    </row>
    <row r="389" customFormat="false" ht="15" hidden="false" customHeight="false" outlineLevel="0" collapsed="false">
      <c r="A389" s="78" t="n">
        <f aca="false">IF('CARNET DE SOUDURE'!E389="","",'CARNET DE SOUDURE'!A389)</f>
        <v>383</v>
      </c>
      <c r="B389" s="93" t="str">
        <f aca="false">IF('CARNET DE SOUDURE'!E389="","",'CARNET DE SOUDURE'!B389&amp;"")</f>
        <v>ISB-302</v>
      </c>
      <c r="C389" s="83" t="str">
        <f aca="false">IF('CARNET DE SOUDURE'!E389="","",'CARNET DE SOUDURE'!E389)</f>
        <v>JN°178</v>
      </c>
      <c r="D389" s="78" t="str">
        <f aca="false">IF('CARNET DE SOUDURE'!E389="","",'CARNET DE SOUDURE'!D389&amp;"")</f>
        <v/>
      </c>
      <c r="E389" s="96" t="str">
        <f aca="false">IF(OR('CARNET DE SOUDURE'!E389="",'CARNET DE SOUDURE'!R389=""),"",'CARNET DE SOUDURE'!R389)</f>
        <v/>
      </c>
      <c r="F389" s="81" t="str">
        <f aca="false">IF('CARNET DE SOUDURE'!E389="","",'CARNET DE SOUDURE'!AL389)</f>
        <v/>
      </c>
      <c r="G389" s="81" t="str">
        <f aca="false">IF('CARNET DE SOUDURE'!E389="","",'CARNET DE SOUDURE'!AM389)</f>
        <v>À SOUDER</v>
      </c>
      <c r="H389" s="81" t="str">
        <f aca="false">IF(C389="","",IF(G389="ACCEPTÉ","OUI","NON"))</f>
        <v>NON</v>
      </c>
      <c r="I389" s="82"/>
      <c r="J389" s="79"/>
      <c r="K389" s="80"/>
      <c r="L389" s="80"/>
      <c r="M389" s="80"/>
      <c r="N389" s="83" t="str">
        <f aca="false">IF(C389="","",IF(I389="",IF(H389="OUI","À ENROBER",IF(G389="À SOUDER","NON SOUDÉ","EN ATTENTE RT")),IF(L389="R","À REPRENDRE",IF(H389&lt;&gt;"OUI","⚠ ENROBÉ AVANT ACCEPTATION RT","ENROBÉ"))))</f>
        <v>NON SOUDÉ</v>
      </c>
      <c r="O389" s="79"/>
    </row>
    <row r="390" customFormat="false" ht="15" hidden="false" customHeight="false" outlineLevel="0" collapsed="false">
      <c r="A390" s="78" t="n">
        <f aca="false">IF('CARNET DE SOUDURE'!E390="","",'CARNET DE SOUDURE'!A390)</f>
        <v>384</v>
      </c>
      <c r="B390" s="93" t="str">
        <f aca="false">IF('CARNET DE SOUDURE'!E390="","",'CARNET DE SOUDURE'!B390&amp;"")</f>
        <v>ISB-302</v>
      </c>
      <c r="C390" s="83" t="str">
        <f aca="false">IF('CARNET DE SOUDURE'!E390="","",'CARNET DE SOUDURE'!E390)</f>
        <v>JN°179</v>
      </c>
      <c r="D390" s="78" t="str">
        <f aca="false">IF('CARNET DE SOUDURE'!E390="","",'CARNET DE SOUDURE'!D390&amp;"")</f>
        <v/>
      </c>
      <c r="E390" s="96" t="str">
        <f aca="false">IF(OR('CARNET DE SOUDURE'!E390="",'CARNET DE SOUDURE'!R390=""),"",'CARNET DE SOUDURE'!R390)</f>
        <v/>
      </c>
      <c r="F390" s="81" t="str">
        <f aca="false">IF('CARNET DE SOUDURE'!E390="","",'CARNET DE SOUDURE'!AL390)</f>
        <v/>
      </c>
      <c r="G390" s="81" t="str">
        <f aca="false">IF('CARNET DE SOUDURE'!E390="","",'CARNET DE SOUDURE'!AM390)</f>
        <v>À SOUDER</v>
      </c>
      <c r="H390" s="81" t="str">
        <f aca="false">IF(C390="","",IF(G390="ACCEPTÉ","OUI","NON"))</f>
        <v>NON</v>
      </c>
      <c r="I390" s="82"/>
      <c r="J390" s="79"/>
      <c r="K390" s="80"/>
      <c r="L390" s="80"/>
      <c r="M390" s="80"/>
      <c r="N390" s="83" t="str">
        <f aca="false">IF(C390="","",IF(I390="",IF(H390="OUI","À ENROBER",IF(G390="À SOUDER","NON SOUDÉ","EN ATTENTE RT")),IF(L390="R","À REPRENDRE",IF(H390&lt;&gt;"OUI","⚠ ENROBÉ AVANT ACCEPTATION RT","ENROBÉ"))))</f>
        <v>NON SOUDÉ</v>
      </c>
      <c r="O390" s="79"/>
    </row>
    <row r="391" customFormat="false" ht="15" hidden="false" customHeight="false" outlineLevel="0" collapsed="false">
      <c r="A391" s="78" t="n">
        <f aca="false">IF('CARNET DE SOUDURE'!E391="","",'CARNET DE SOUDURE'!A391)</f>
        <v>385</v>
      </c>
      <c r="B391" s="93" t="str">
        <f aca="false">IF('CARNET DE SOUDURE'!E391="","",'CARNET DE SOUDURE'!B391&amp;"")</f>
        <v>ISB-302</v>
      </c>
      <c r="C391" s="83" t="str">
        <f aca="false">IF('CARNET DE SOUDURE'!E391="","",'CARNET DE SOUDURE'!E391)</f>
        <v>JN°180</v>
      </c>
      <c r="D391" s="78" t="str">
        <f aca="false">IF('CARNET DE SOUDURE'!E391="","",'CARNET DE SOUDURE'!D391&amp;"")</f>
        <v/>
      </c>
      <c r="E391" s="96" t="str">
        <f aca="false">IF(OR('CARNET DE SOUDURE'!E391="",'CARNET DE SOUDURE'!R391=""),"",'CARNET DE SOUDURE'!R391)</f>
        <v/>
      </c>
      <c r="F391" s="81" t="str">
        <f aca="false">IF('CARNET DE SOUDURE'!E391="","",'CARNET DE SOUDURE'!AL391)</f>
        <v/>
      </c>
      <c r="G391" s="81" t="str">
        <f aca="false">IF('CARNET DE SOUDURE'!E391="","",'CARNET DE SOUDURE'!AM391)</f>
        <v>À SOUDER</v>
      </c>
      <c r="H391" s="81" t="str">
        <f aca="false">IF(C391="","",IF(G391="ACCEPTÉ","OUI","NON"))</f>
        <v>NON</v>
      </c>
      <c r="I391" s="82"/>
      <c r="J391" s="79"/>
      <c r="K391" s="80"/>
      <c r="L391" s="80"/>
      <c r="M391" s="80"/>
      <c r="N391" s="83" t="str">
        <f aca="false">IF(C391="","",IF(I391="",IF(H391="OUI","À ENROBER",IF(G391="À SOUDER","NON SOUDÉ","EN ATTENTE RT")),IF(L391="R","À REPRENDRE",IF(H391&lt;&gt;"OUI","⚠ ENROBÉ AVANT ACCEPTATION RT","ENROBÉ"))))</f>
        <v>NON SOUDÉ</v>
      </c>
      <c r="O391" s="79"/>
    </row>
    <row r="392" customFormat="false" ht="15" hidden="false" customHeight="false" outlineLevel="0" collapsed="false">
      <c r="A392" s="78" t="n">
        <f aca="false">IF('CARNET DE SOUDURE'!E392="","",'CARNET DE SOUDURE'!A392)</f>
        <v>386</v>
      </c>
      <c r="B392" s="93" t="str">
        <f aca="false">IF('CARNET DE SOUDURE'!E392="","",'CARNET DE SOUDURE'!B392&amp;"")</f>
        <v>ISB-302</v>
      </c>
      <c r="C392" s="83" t="str">
        <f aca="false">IF('CARNET DE SOUDURE'!E392="","",'CARNET DE SOUDURE'!E392)</f>
        <v>JN°181</v>
      </c>
      <c r="D392" s="78" t="str">
        <f aca="false">IF('CARNET DE SOUDURE'!E392="","",'CARNET DE SOUDURE'!D392&amp;"")</f>
        <v/>
      </c>
      <c r="E392" s="96" t="str">
        <f aca="false">IF(OR('CARNET DE SOUDURE'!E392="",'CARNET DE SOUDURE'!R392=""),"",'CARNET DE SOUDURE'!R392)</f>
        <v/>
      </c>
      <c r="F392" s="81" t="str">
        <f aca="false">IF('CARNET DE SOUDURE'!E392="","",'CARNET DE SOUDURE'!AL392)</f>
        <v/>
      </c>
      <c r="G392" s="81" t="str">
        <f aca="false">IF('CARNET DE SOUDURE'!E392="","",'CARNET DE SOUDURE'!AM392)</f>
        <v>À SOUDER</v>
      </c>
      <c r="H392" s="81" t="str">
        <f aca="false">IF(C392="","",IF(G392="ACCEPTÉ","OUI","NON"))</f>
        <v>NON</v>
      </c>
      <c r="I392" s="82"/>
      <c r="J392" s="79"/>
      <c r="K392" s="80"/>
      <c r="L392" s="80"/>
      <c r="M392" s="80"/>
      <c r="N392" s="83" t="str">
        <f aca="false">IF(C392="","",IF(I392="",IF(H392="OUI","À ENROBER",IF(G392="À SOUDER","NON SOUDÉ","EN ATTENTE RT")),IF(L392="R","À REPRENDRE",IF(H392&lt;&gt;"OUI","⚠ ENROBÉ AVANT ACCEPTATION RT","ENROBÉ"))))</f>
        <v>NON SOUDÉ</v>
      </c>
      <c r="O392" s="79"/>
    </row>
    <row r="393" customFormat="false" ht="15" hidden="false" customHeight="false" outlineLevel="0" collapsed="false">
      <c r="A393" s="78" t="n">
        <f aca="false">IF('CARNET DE SOUDURE'!E393="","",'CARNET DE SOUDURE'!A393)</f>
        <v>387</v>
      </c>
      <c r="B393" s="93" t="str">
        <f aca="false">IF('CARNET DE SOUDURE'!E393="","",'CARNET DE SOUDURE'!B393&amp;"")</f>
        <v>ISB-302</v>
      </c>
      <c r="C393" s="83" t="str">
        <f aca="false">IF('CARNET DE SOUDURE'!E393="","",'CARNET DE SOUDURE'!E393)</f>
        <v>JN°182</v>
      </c>
      <c r="D393" s="78" t="str">
        <f aca="false">IF('CARNET DE SOUDURE'!E393="","",'CARNET DE SOUDURE'!D393&amp;"")</f>
        <v/>
      </c>
      <c r="E393" s="96" t="str">
        <f aca="false">IF(OR('CARNET DE SOUDURE'!E393="",'CARNET DE SOUDURE'!R393=""),"",'CARNET DE SOUDURE'!R393)</f>
        <v/>
      </c>
      <c r="F393" s="81" t="str">
        <f aca="false">IF('CARNET DE SOUDURE'!E393="","",'CARNET DE SOUDURE'!AL393)</f>
        <v/>
      </c>
      <c r="G393" s="81" t="str">
        <f aca="false">IF('CARNET DE SOUDURE'!E393="","",'CARNET DE SOUDURE'!AM393)</f>
        <v>À SOUDER</v>
      </c>
      <c r="H393" s="81" t="str">
        <f aca="false">IF(C393="","",IF(G393="ACCEPTÉ","OUI","NON"))</f>
        <v>NON</v>
      </c>
      <c r="I393" s="82"/>
      <c r="J393" s="79"/>
      <c r="K393" s="80"/>
      <c r="L393" s="80"/>
      <c r="M393" s="80"/>
      <c r="N393" s="83" t="str">
        <f aca="false">IF(C393="","",IF(I393="",IF(H393="OUI","À ENROBER",IF(G393="À SOUDER","NON SOUDÉ","EN ATTENTE RT")),IF(L393="R","À REPRENDRE",IF(H393&lt;&gt;"OUI","⚠ ENROBÉ AVANT ACCEPTATION RT","ENROBÉ"))))</f>
        <v>NON SOUDÉ</v>
      </c>
      <c r="O393" s="79"/>
    </row>
    <row r="394" customFormat="false" ht="15" hidden="false" customHeight="false" outlineLevel="0" collapsed="false">
      <c r="A394" s="78" t="n">
        <f aca="false">IF('CARNET DE SOUDURE'!E394="","",'CARNET DE SOUDURE'!A394)</f>
        <v>388</v>
      </c>
      <c r="B394" s="93" t="str">
        <f aca="false">IF('CARNET DE SOUDURE'!E394="","",'CARNET DE SOUDURE'!B394&amp;"")</f>
        <v>ISB-302</v>
      </c>
      <c r="C394" s="83" t="str">
        <f aca="false">IF('CARNET DE SOUDURE'!E394="","",'CARNET DE SOUDURE'!E394)</f>
        <v>JN°183</v>
      </c>
      <c r="D394" s="78" t="str">
        <f aca="false">IF('CARNET DE SOUDURE'!E394="","",'CARNET DE SOUDURE'!D394&amp;"")</f>
        <v/>
      </c>
      <c r="E394" s="96" t="str">
        <f aca="false">IF(OR('CARNET DE SOUDURE'!E394="",'CARNET DE SOUDURE'!R394=""),"",'CARNET DE SOUDURE'!R394)</f>
        <v/>
      </c>
      <c r="F394" s="81" t="str">
        <f aca="false">IF('CARNET DE SOUDURE'!E394="","",'CARNET DE SOUDURE'!AL394)</f>
        <v/>
      </c>
      <c r="G394" s="81" t="str">
        <f aca="false">IF('CARNET DE SOUDURE'!E394="","",'CARNET DE SOUDURE'!AM394)</f>
        <v>À SOUDER</v>
      </c>
      <c r="H394" s="81" t="str">
        <f aca="false">IF(C394="","",IF(G394="ACCEPTÉ","OUI","NON"))</f>
        <v>NON</v>
      </c>
      <c r="I394" s="82"/>
      <c r="J394" s="79"/>
      <c r="K394" s="80"/>
      <c r="L394" s="80"/>
      <c r="M394" s="80"/>
      <c r="N394" s="83" t="str">
        <f aca="false">IF(C394="","",IF(I394="",IF(H394="OUI","À ENROBER",IF(G394="À SOUDER","NON SOUDÉ","EN ATTENTE RT")),IF(L394="R","À REPRENDRE",IF(H394&lt;&gt;"OUI","⚠ ENROBÉ AVANT ACCEPTATION RT","ENROBÉ"))))</f>
        <v>NON SOUDÉ</v>
      </c>
      <c r="O394" s="79"/>
    </row>
    <row r="395" customFormat="false" ht="15" hidden="false" customHeight="false" outlineLevel="0" collapsed="false">
      <c r="A395" s="78" t="n">
        <f aca="false">IF('CARNET DE SOUDURE'!E395="","",'CARNET DE SOUDURE'!A395)</f>
        <v>389</v>
      </c>
      <c r="B395" s="93" t="str">
        <f aca="false">IF('CARNET DE SOUDURE'!E395="","",'CARNET DE SOUDURE'!B395&amp;"")</f>
        <v>ISB-302</v>
      </c>
      <c r="C395" s="83" t="str">
        <f aca="false">IF('CARNET DE SOUDURE'!E395="","",'CARNET DE SOUDURE'!E395)</f>
        <v>JN°184</v>
      </c>
      <c r="D395" s="78" t="str">
        <f aca="false">IF('CARNET DE SOUDURE'!E395="","",'CARNET DE SOUDURE'!D395&amp;"")</f>
        <v/>
      </c>
      <c r="E395" s="96" t="str">
        <f aca="false">IF(OR('CARNET DE SOUDURE'!E395="",'CARNET DE SOUDURE'!R395=""),"",'CARNET DE SOUDURE'!R395)</f>
        <v/>
      </c>
      <c r="F395" s="81" t="str">
        <f aca="false">IF('CARNET DE SOUDURE'!E395="","",'CARNET DE SOUDURE'!AL395)</f>
        <v/>
      </c>
      <c r="G395" s="81" t="str">
        <f aca="false">IF('CARNET DE SOUDURE'!E395="","",'CARNET DE SOUDURE'!AM395)</f>
        <v>À SOUDER</v>
      </c>
      <c r="H395" s="81" t="str">
        <f aca="false">IF(C395="","",IF(G395="ACCEPTÉ","OUI","NON"))</f>
        <v>NON</v>
      </c>
      <c r="I395" s="82"/>
      <c r="J395" s="79"/>
      <c r="K395" s="80"/>
      <c r="L395" s="80"/>
      <c r="M395" s="80"/>
      <c r="N395" s="83" t="str">
        <f aca="false">IF(C395="","",IF(I395="",IF(H395="OUI","À ENROBER",IF(G395="À SOUDER","NON SOUDÉ","EN ATTENTE RT")),IF(L395="R","À REPRENDRE",IF(H395&lt;&gt;"OUI","⚠ ENROBÉ AVANT ACCEPTATION RT","ENROBÉ"))))</f>
        <v>NON SOUDÉ</v>
      </c>
      <c r="O395" s="79"/>
    </row>
    <row r="396" customFormat="false" ht="15" hidden="false" customHeight="false" outlineLevel="0" collapsed="false">
      <c r="A396" s="78" t="n">
        <f aca="false">IF('CARNET DE SOUDURE'!E396="","",'CARNET DE SOUDURE'!A396)</f>
        <v>390</v>
      </c>
      <c r="B396" s="93" t="str">
        <f aca="false">IF('CARNET DE SOUDURE'!E396="","",'CARNET DE SOUDURE'!B396&amp;"")</f>
        <v>ISB-302</v>
      </c>
      <c r="C396" s="83" t="str">
        <f aca="false">IF('CARNET DE SOUDURE'!E396="","",'CARNET DE SOUDURE'!E396)</f>
        <v>JN°185</v>
      </c>
      <c r="D396" s="78" t="str">
        <f aca="false">IF('CARNET DE SOUDURE'!E396="","",'CARNET DE SOUDURE'!D396&amp;"")</f>
        <v/>
      </c>
      <c r="E396" s="96" t="str">
        <f aca="false">IF(OR('CARNET DE SOUDURE'!E396="",'CARNET DE SOUDURE'!R396=""),"",'CARNET DE SOUDURE'!R396)</f>
        <v/>
      </c>
      <c r="F396" s="81" t="str">
        <f aca="false">IF('CARNET DE SOUDURE'!E396="","",'CARNET DE SOUDURE'!AL396)</f>
        <v/>
      </c>
      <c r="G396" s="81" t="str">
        <f aca="false">IF('CARNET DE SOUDURE'!E396="","",'CARNET DE SOUDURE'!AM396)</f>
        <v>À SOUDER</v>
      </c>
      <c r="H396" s="81" t="str">
        <f aca="false">IF(C396="","",IF(G396="ACCEPTÉ","OUI","NON"))</f>
        <v>NON</v>
      </c>
      <c r="I396" s="82"/>
      <c r="J396" s="79"/>
      <c r="K396" s="80"/>
      <c r="L396" s="80"/>
      <c r="M396" s="80"/>
      <c r="N396" s="83" t="str">
        <f aca="false">IF(C396="","",IF(I396="",IF(H396="OUI","À ENROBER",IF(G396="À SOUDER","NON SOUDÉ","EN ATTENTE RT")),IF(L396="R","À REPRENDRE",IF(H396&lt;&gt;"OUI","⚠ ENROBÉ AVANT ACCEPTATION RT","ENROBÉ"))))</f>
        <v>NON SOUDÉ</v>
      </c>
      <c r="O396" s="79"/>
    </row>
    <row r="397" customFormat="false" ht="15" hidden="false" customHeight="false" outlineLevel="0" collapsed="false">
      <c r="A397" s="78" t="n">
        <f aca="false">IF('CARNET DE SOUDURE'!E397="","",'CARNET DE SOUDURE'!A397)</f>
        <v>391</v>
      </c>
      <c r="B397" s="93" t="str">
        <f aca="false">IF('CARNET DE SOUDURE'!E397="","",'CARNET DE SOUDURE'!B397&amp;"")</f>
        <v>ISB-302</v>
      </c>
      <c r="C397" s="83" t="str">
        <f aca="false">IF('CARNET DE SOUDURE'!E397="","",'CARNET DE SOUDURE'!E397)</f>
        <v>JN°186</v>
      </c>
      <c r="D397" s="78" t="str">
        <f aca="false">IF('CARNET DE SOUDURE'!E397="","",'CARNET DE SOUDURE'!D397&amp;"")</f>
        <v/>
      </c>
      <c r="E397" s="96" t="str">
        <f aca="false">IF(OR('CARNET DE SOUDURE'!E397="",'CARNET DE SOUDURE'!R397=""),"",'CARNET DE SOUDURE'!R397)</f>
        <v/>
      </c>
      <c r="F397" s="81" t="str">
        <f aca="false">IF('CARNET DE SOUDURE'!E397="","",'CARNET DE SOUDURE'!AL397)</f>
        <v/>
      </c>
      <c r="G397" s="81" t="str">
        <f aca="false">IF('CARNET DE SOUDURE'!E397="","",'CARNET DE SOUDURE'!AM397)</f>
        <v>À SOUDER</v>
      </c>
      <c r="H397" s="81" t="str">
        <f aca="false">IF(C397="","",IF(G397="ACCEPTÉ","OUI","NON"))</f>
        <v>NON</v>
      </c>
      <c r="I397" s="82"/>
      <c r="J397" s="79"/>
      <c r="K397" s="80"/>
      <c r="L397" s="80"/>
      <c r="M397" s="80"/>
      <c r="N397" s="83" t="str">
        <f aca="false">IF(C397="","",IF(I397="",IF(H397="OUI","À ENROBER",IF(G397="À SOUDER","NON SOUDÉ","EN ATTENTE RT")),IF(L397="R","À REPRENDRE",IF(H397&lt;&gt;"OUI","⚠ ENROBÉ AVANT ACCEPTATION RT","ENROBÉ"))))</f>
        <v>NON SOUDÉ</v>
      </c>
      <c r="O397" s="79"/>
    </row>
    <row r="398" customFormat="false" ht="15" hidden="false" customHeight="false" outlineLevel="0" collapsed="false">
      <c r="A398" s="78" t="n">
        <f aca="false">IF('CARNET DE SOUDURE'!E398="","",'CARNET DE SOUDURE'!A398)</f>
        <v>392</v>
      </c>
      <c r="B398" s="93" t="str">
        <f aca="false">IF('CARNET DE SOUDURE'!E398="","",'CARNET DE SOUDURE'!B398&amp;"")</f>
        <v>ISB-302</v>
      </c>
      <c r="C398" s="83" t="str">
        <f aca="false">IF('CARNET DE SOUDURE'!E398="","",'CARNET DE SOUDURE'!E398)</f>
        <v>JN°187</v>
      </c>
      <c r="D398" s="78" t="str">
        <f aca="false">IF('CARNET DE SOUDURE'!E398="","",'CARNET DE SOUDURE'!D398&amp;"")</f>
        <v/>
      </c>
      <c r="E398" s="96" t="str">
        <f aca="false">IF(OR('CARNET DE SOUDURE'!E398="",'CARNET DE SOUDURE'!R398=""),"",'CARNET DE SOUDURE'!R398)</f>
        <v/>
      </c>
      <c r="F398" s="81" t="str">
        <f aca="false">IF('CARNET DE SOUDURE'!E398="","",'CARNET DE SOUDURE'!AL398)</f>
        <v/>
      </c>
      <c r="G398" s="81" t="str">
        <f aca="false">IF('CARNET DE SOUDURE'!E398="","",'CARNET DE SOUDURE'!AM398)</f>
        <v>À SOUDER</v>
      </c>
      <c r="H398" s="81" t="str">
        <f aca="false">IF(C398="","",IF(G398="ACCEPTÉ","OUI","NON"))</f>
        <v>NON</v>
      </c>
      <c r="I398" s="82"/>
      <c r="J398" s="79"/>
      <c r="K398" s="80"/>
      <c r="L398" s="80"/>
      <c r="M398" s="80"/>
      <c r="N398" s="83" t="str">
        <f aca="false">IF(C398="","",IF(I398="",IF(H398="OUI","À ENROBER",IF(G398="À SOUDER","NON SOUDÉ","EN ATTENTE RT")),IF(L398="R","À REPRENDRE",IF(H398&lt;&gt;"OUI","⚠ ENROBÉ AVANT ACCEPTATION RT","ENROBÉ"))))</f>
        <v>NON SOUDÉ</v>
      </c>
      <c r="O398" s="79"/>
    </row>
    <row r="399" customFormat="false" ht="15" hidden="false" customHeight="false" outlineLevel="0" collapsed="false">
      <c r="A399" s="78" t="n">
        <f aca="false">IF('CARNET DE SOUDURE'!E399="","",'CARNET DE SOUDURE'!A399)</f>
        <v>393</v>
      </c>
      <c r="B399" s="93" t="str">
        <f aca="false">IF('CARNET DE SOUDURE'!E399="","",'CARNET DE SOUDURE'!B399&amp;"")</f>
        <v>ISB-302</v>
      </c>
      <c r="C399" s="83" t="str">
        <f aca="false">IF('CARNET DE SOUDURE'!E399="","",'CARNET DE SOUDURE'!E399)</f>
        <v>JN°188</v>
      </c>
      <c r="D399" s="78" t="str">
        <f aca="false">IF('CARNET DE SOUDURE'!E399="","",'CARNET DE SOUDURE'!D399&amp;"")</f>
        <v/>
      </c>
      <c r="E399" s="96" t="str">
        <f aca="false">IF(OR('CARNET DE SOUDURE'!E399="",'CARNET DE SOUDURE'!R399=""),"",'CARNET DE SOUDURE'!R399)</f>
        <v/>
      </c>
      <c r="F399" s="81" t="str">
        <f aca="false">IF('CARNET DE SOUDURE'!E399="","",'CARNET DE SOUDURE'!AL399)</f>
        <v/>
      </c>
      <c r="G399" s="81" t="str">
        <f aca="false">IF('CARNET DE SOUDURE'!E399="","",'CARNET DE SOUDURE'!AM399)</f>
        <v>À SOUDER</v>
      </c>
      <c r="H399" s="81" t="str">
        <f aca="false">IF(C399="","",IF(G399="ACCEPTÉ","OUI","NON"))</f>
        <v>NON</v>
      </c>
      <c r="I399" s="82"/>
      <c r="J399" s="79"/>
      <c r="K399" s="80"/>
      <c r="L399" s="80"/>
      <c r="M399" s="80"/>
      <c r="N399" s="83" t="str">
        <f aca="false">IF(C399="","",IF(I399="",IF(H399="OUI","À ENROBER",IF(G399="À SOUDER","NON SOUDÉ","EN ATTENTE RT")),IF(L399="R","À REPRENDRE",IF(H399&lt;&gt;"OUI","⚠ ENROBÉ AVANT ACCEPTATION RT","ENROBÉ"))))</f>
        <v>NON SOUDÉ</v>
      </c>
      <c r="O399" s="79"/>
    </row>
    <row r="400" customFormat="false" ht="15" hidden="false" customHeight="false" outlineLevel="0" collapsed="false">
      <c r="A400" s="78" t="n">
        <f aca="false">IF('CARNET DE SOUDURE'!E400="","",'CARNET DE SOUDURE'!A400)</f>
        <v>394</v>
      </c>
      <c r="B400" s="93" t="str">
        <f aca="false">IF('CARNET DE SOUDURE'!E400="","",'CARNET DE SOUDURE'!B400&amp;"")</f>
        <v>ISB-302</v>
      </c>
      <c r="C400" s="83" t="str">
        <f aca="false">IF('CARNET DE SOUDURE'!E400="","",'CARNET DE SOUDURE'!E400)</f>
        <v>JN°189</v>
      </c>
      <c r="D400" s="78" t="str">
        <f aca="false">IF('CARNET DE SOUDURE'!E400="","",'CARNET DE SOUDURE'!D400&amp;"")</f>
        <v/>
      </c>
      <c r="E400" s="96" t="str">
        <f aca="false">IF(OR('CARNET DE SOUDURE'!E400="",'CARNET DE SOUDURE'!R400=""),"",'CARNET DE SOUDURE'!R400)</f>
        <v/>
      </c>
      <c r="F400" s="81" t="str">
        <f aca="false">IF('CARNET DE SOUDURE'!E400="","",'CARNET DE SOUDURE'!AL400)</f>
        <v/>
      </c>
      <c r="G400" s="81" t="str">
        <f aca="false">IF('CARNET DE SOUDURE'!E400="","",'CARNET DE SOUDURE'!AM400)</f>
        <v>À SOUDER</v>
      </c>
      <c r="H400" s="81" t="str">
        <f aca="false">IF(C400="","",IF(G400="ACCEPTÉ","OUI","NON"))</f>
        <v>NON</v>
      </c>
      <c r="I400" s="82"/>
      <c r="J400" s="79"/>
      <c r="K400" s="80"/>
      <c r="L400" s="80"/>
      <c r="M400" s="80"/>
      <c r="N400" s="83" t="str">
        <f aca="false">IF(C400="","",IF(I400="",IF(H400="OUI","À ENROBER",IF(G400="À SOUDER","NON SOUDÉ","EN ATTENTE RT")),IF(L400="R","À REPRENDRE",IF(H400&lt;&gt;"OUI","⚠ ENROBÉ AVANT ACCEPTATION RT","ENROBÉ"))))</f>
        <v>NON SOUDÉ</v>
      </c>
      <c r="O400" s="79"/>
    </row>
    <row r="401" customFormat="false" ht="15" hidden="false" customHeight="false" outlineLevel="0" collapsed="false">
      <c r="A401" s="78" t="n">
        <f aca="false">IF('CARNET DE SOUDURE'!E401="","",'CARNET DE SOUDURE'!A401)</f>
        <v>395</v>
      </c>
      <c r="B401" s="93" t="str">
        <f aca="false">IF('CARNET DE SOUDURE'!E401="","",'CARNET DE SOUDURE'!B401&amp;"")</f>
        <v>ISB-302</v>
      </c>
      <c r="C401" s="83" t="str">
        <f aca="false">IF('CARNET DE SOUDURE'!E401="","",'CARNET DE SOUDURE'!E401)</f>
        <v>JN°190</v>
      </c>
      <c r="D401" s="78" t="str">
        <f aca="false">IF('CARNET DE SOUDURE'!E401="","",'CARNET DE SOUDURE'!D401&amp;"")</f>
        <v/>
      </c>
      <c r="E401" s="96" t="str">
        <f aca="false">IF(OR('CARNET DE SOUDURE'!E401="",'CARNET DE SOUDURE'!R401=""),"",'CARNET DE SOUDURE'!R401)</f>
        <v/>
      </c>
      <c r="F401" s="81" t="str">
        <f aca="false">IF('CARNET DE SOUDURE'!E401="","",'CARNET DE SOUDURE'!AL401)</f>
        <v/>
      </c>
      <c r="G401" s="81" t="str">
        <f aca="false">IF('CARNET DE SOUDURE'!E401="","",'CARNET DE SOUDURE'!AM401)</f>
        <v>À SOUDER</v>
      </c>
      <c r="H401" s="81" t="str">
        <f aca="false">IF(C401="","",IF(G401="ACCEPTÉ","OUI","NON"))</f>
        <v>NON</v>
      </c>
      <c r="I401" s="82"/>
      <c r="J401" s="79"/>
      <c r="K401" s="80"/>
      <c r="L401" s="80"/>
      <c r="M401" s="80"/>
      <c r="N401" s="83" t="str">
        <f aca="false">IF(C401="","",IF(I401="",IF(H401="OUI","À ENROBER",IF(G401="À SOUDER","NON SOUDÉ","EN ATTENTE RT")),IF(L401="R","À REPRENDRE",IF(H401&lt;&gt;"OUI","⚠ ENROBÉ AVANT ACCEPTATION RT","ENROBÉ"))))</f>
        <v>NON SOUDÉ</v>
      </c>
      <c r="O401" s="79"/>
    </row>
    <row r="402" customFormat="false" ht="15" hidden="false" customHeight="false" outlineLevel="0" collapsed="false">
      <c r="A402" s="78" t="n">
        <f aca="false">IF('CARNET DE SOUDURE'!E402="","",'CARNET DE SOUDURE'!A402)</f>
        <v>396</v>
      </c>
      <c r="B402" s="93" t="str">
        <f aca="false">IF('CARNET DE SOUDURE'!E402="","",'CARNET DE SOUDURE'!B402&amp;"")</f>
        <v>ISB-302</v>
      </c>
      <c r="C402" s="83" t="str">
        <f aca="false">IF('CARNET DE SOUDURE'!E402="","",'CARNET DE SOUDURE'!E402)</f>
        <v>JN°191</v>
      </c>
      <c r="D402" s="78" t="str">
        <f aca="false">IF('CARNET DE SOUDURE'!E402="","",'CARNET DE SOUDURE'!D402&amp;"")</f>
        <v/>
      </c>
      <c r="E402" s="96" t="str">
        <f aca="false">IF(OR('CARNET DE SOUDURE'!E402="",'CARNET DE SOUDURE'!R402=""),"",'CARNET DE SOUDURE'!R402)</f>
        <v/>
      </c>
      <c r="F402" s="81" t="str">
        <f aca="false">IF('CARNET DE SOUDURE'!E402="","",'CARNET DE SOUDURE'!AL402)</f>
        <v/>
      </c>
      <c r="G402" s="81" t="str">
        <f aca="false">IF('CARNET DE SOUDURE'!E402="","",'CARNET DE SOUDURE'!AM402)</f>
        <v>À SOUDER</v>
      </c>
      <c r="H402" s="81" t="str">
        <f aca="false">IF(C402="","",IF(G402="ACCEPTÉ","OUI","NON"))</f>
        <v>NON</v>
      </c>
      <c r="I402" s="82"/>
      <c r="J402" s="79"/>
      <c r="K402" s="80"/>
      <c r="L402" s="80"/>
      <c r="M402" s="80"/>
      <c r="N402" s="83" t="str">
        <f aca="false">IF(C402="","",IF(I402="",IF(H402="OUI","À ENROBER",IF(G402="À SOUDER","NON SOUDÉ","EN ATTENTE RT")),IF(L402="R","À REPRENDRE",IF(H402&lt;&gt;"OUI","⚠ ENROBÉ AVANT ACCEPTATION RT","ENROBÉ"))))</f>
        <v>NON SOUDÉ</v>
      </c>
      <c r="O402" s="79"/>
    </row>
    <row r="403" customFormat="false" ht="15" hidden="false" customHeight="false" outlineLevel="0" collapsed="false">
      <c r="A403" s="78" t="n">
        <f aca="false">IF('CARNET DE SOUDURE'!E403="","",'CARNET DE SOUDURE'!A403)</f>
        <v>397</v>
      </c>
      <c r="B403" s="93" t="str">
        <f aca="false">IF('CARNET DE SOUDURE'!E403="","",'CARNET DE SOUDURE'!B403&amp;"")</f>
        <v>ISB-302</v>
      </c>
      <c r="C403" s="83" t="str">
        <f aca="false">IF('CARNET DE SOUDURE'!E403="","",'CARNET DE SOUDURE'!E403)</f>
        <v>JN°192</v>
      </c>
      <c r="D403" s="78" t="str">
        <f aca="false">IF('CARNET DE SOUDURE'!E403="","",'CARNET DE SOUDURE'!D403&amp;"")</f>
        <v/>
      </c>
      <c r="E403" s="96" t="str">
        <f aca="false">IF(OR('CARNET DE SOUDURE'!E403="",'CARNET DE SOUDURE'!R403=""),"",'CARNET DE SOUDURE'!R403)</f>
        <v/>
      </c>
      <c r="F403" s="81" t="str">
        <f aca="false">IF('CARNET DE SOUDURE'!E403="","",'CARNET DE SOUDURE'!AL403)</f>
        <v/>
      </c>
      <c r="G403" s="81" t="str">
        <f aca="false">IF('CARNET DE SOUDURE'!E403="","",'CARNET DE SOUDURE'!AM403)</f>
        <v>À SOUDER</v>
      </c>
      <c r="H403" s="81" t="str">
        <f aca="false">IF(C403="","",IF(G403="ACCEPTÉ","OUI","NON"))</f>
        <v>NON</v>
      </c>
      <c r="I403" s="82"/>
      <c r="J403" s="79"/>
      <c r="K403" s="80"/>
      <c r="L403" s="80"/>
      <c r="M403" s="80"/>
      <c r="N403" s="83" t="str">
        <f aca="false">IF(C403="","",IF(I403="",IF(H403="OUI","À ENROBER",IF(G403="À SOUDER","NON SOUDÉ","EN ATTENTE RT")),IF(L403="R","À REPRENDRE",IF(H403&lt;&gt;"OUI","⚠ ENROBÉ AVANT ACCEPTATION RT","ENROBÉ"))))</f>
        <v>NON SOUDÉ</v>
      </c>
      <c r="O403" s="79"/>
    </row>
    <row r="404" customFormat="false" ht="15" hidden="false" customHeight="false" outlineLevel="0" collapsed="false">
      <c r="A404" s="78" t="n">
        <f aca="false">IF('CARNET DE SOUDURE'!E404="","",'CARNET DE SOUDURE'!A404)</f>
        <v>398</v>
      </c>
      <c r="B404" s="93" t="str">
        <f aca="false">IF('CARNET DE SOUDURE'!E404="","",'CARNET DE SOUDURE'!B404&amp;"")</f>
        <v>ISB-302</v>
      </c>
      <c r="C404" s="83" t="str">
        <f aca="false">IF('CARNET DE SOUDURE'!E404="","",'CARNET DE SOUDURE'!E404)</f>
        <v>JN°193</v>
      </c>
      <c r="D404" s="78" t="str">
        <f aca="false">IF('CARNET DE SOUDURE'!E404="","",'CARNET DE SOUDURE'!D404&amp;"")</f>
        <v/>
      </c>
      <c r="E404" s="96" t="str">
        <f aca="false">IF(OR('CARNET DE SOUDURE'!E404="",'CARNET DE SOUDURE'!R404=""),"",'CARNET DE SOUDURE'!R404)</f>
        <v/>
      </c>
      <c r="F404" s="81" t="str">
        <f aca="false">IF('CARNET DE SOUDURE'!E404="","",'CARNET DE SOUDURE'!AL404)</f>
        <v/>
      </c>
      <c r="G404" s="81" t="str">
        <f aca="false">IF('CARNET DE SOUDURE'!E404="","",'CARNET DE SOUDURE'!AM404)</f>
        <v>À SOUDER</v>
      </c>
      <c r="H404" s="81" t="str">
        <f aca="false">IF(C404="","",IF(G404="ACCEPTÉ","OUI","NON"))</f>
        <v>NON</v>
      </c>
      <c r="I404" s="82"/>
      <c r="J404" s="79"/>
      <c r="K404" s="80"/>
      <c r="L404" s="80"/>
      <c r="M404" s="80"/>
      <c r="N404" s="83" t="str">
        <f aca="false">IF(C404="","",IF(I404="",IF(H404="OUI","À ENROBER",IF(G404="À SOUDER","NON SOUDÉ","EN ATTENTE RT")),IF(L404="R","À REPRENDRE",IF(H404&lt;&gt;"OUI","⚠ ENROBÉ AVANT ACCEPTATION RT","ENROBÉ"))))</f>
        <v>NON SOUDÉ</v>
      </c>
      <c r="O404" s="79"/>
    </row>
    <row r="405" customFormat="false" ht="15" hidden="false" customHeight="false" outlineLevel="0" collapsed="false">
      <c r="A405" s="78" t="n">
        <f aca="false">IF('CARNET DE SOUDURE'!E405="","",'CARNET DE SOUDURE'!A405)</f>
        <v>399</v>
      </c>
      <c r="B405" s="93" t="str">
        <f aca="false">IF('CARNET DE SOUDURE'!E405="","",'CARNET DE SOUDURE'!B405&amp;"")</f>
        <v>ISB-302</v>
      </c>
      <c r="C405" s="83" t="str">
        <f aca="false">IF('CARNET DE SOUDURE'!E405="","",'CARNET DE SOUDURE'!E405)</f>
        <v>JN°194</v>
      </c>
      <c r="D405" s="78" t="str">
        <f aca="false">IF('CARNET DE SOUDURE'!E405="","",'CARNET DE SOUDURE'!D405&amp;"")</f>
        <v/>
      </c>
      <c r="E405" s="96" t="str">
        <f aca="false">IF(OR('CARNET DE SOUDURE'!E405="",'CARNET DE SOUDURE'!R405=""),"",'CARNET DE SOUDURE'!R405)</f>
        <v/>
      </c>
      <c r="F405" s="81" t="str">
        <f aca="false">IF('CARNET DE SOUDURE'!E405="","",'CARNET DE SOUDURE'!AL405)</f>
        <v/>
      </c>
      <c r="G405" s="81" t="str">
        <f aca="false">IF('CARNET DE SOUDURE'!E405="","",'CARNET DE SOUDURE'!AM405)</f>
        <v>À SOUDER</v>
      </c>
      <c r="H405" s="81" t="str">
        <f aca="false">IF(C405="","",IF(G405="ACCEPTÉ","OUI","NON"))</f>
        <v>NON</v>
      </c>
      <c r="I405" s="82"/>
      <c r="J405" s="79"/>
      <c r="K405" s="80"/>
      <c r="L405" s="80"/>
      <c r="M405" s="80"/>
      <c r="N405" s="83" t="str">
        <f aca="false">IF(C405="","",IF(I405="",IF(H405="OUI","À ENROBER",IF(G405="À SOUDER","NON SOUDÉ","EN ATTENTE RT")),IF(L405="R","À REPRENDRE",IF(H405&lt;&gt;"OUI","⚠ ENROBÉ AVANT ACCEPTATION RT","ENROBÉ"))))</f>
        <v>NON SOUDÉ</v>
      </c>
      <c r="O405" s="79"/>
    </row>
    <row r="406" customFormat="false" ht="15" hidden="false" customHeight="false" outlineLevel="0" collapsed="false">
      <c r="A406" s="78" t="n">
        <f aca="false">IF('CARNET DE SOUDURE'!E406="","",'CARNET DE SOUDURE'!A406)</f>
        <v>400</v>
      </c>
      <c r="B406" s="93" t="str">
        <f aca="false">IF('CARNET DE SOUDURE'!E406="","",'CARNET DE SOUDURE'!B406&amp;"")</f>
        <v>ISB-302</v>
      </c>
      <c r="C406" s="83" t="str">
        <f aca="false">IF('CARNET DE SOUDURE'!E406="","",'CARNET DE SOUDURE'!E406)</f>
        <v>JN°195</v>
      </c>
      <c r="D406" s="78" t="str">
        <f aca="false">IF('CARNET DE SOUDURE'!E406="","",'CARNET DE SOUDURE'!D406&amp;"")</f>
        <v/>
      </c>
      <c r="E406" s="96" t="str">
        <f aca="false">IF(OR('CARNET DE SOUDURE'!E406="",'CARNET DE SOUDURE'!R406=""),"",'CARNET DE SOUDURE'!R406)</f>
        <v/>
      </c>
      <c r="F406" s="81" t="str">
        <f aca="false">IF('CARNET DE SOUDURE'!E406="","",'CARNET DE SOUDURE'!AL406)</f>
        <v/>
      </c>
      <c r="G406" s="81" t="str">
        <f aca="false">IF('CARNET DE SOUDURE'!E406="","",'CARNET DE SOUDURE'!AM406)</f>
        <v>À SOUDER</v>
      </c>
      <c r="H406" s="81" t="str">
        <f aca="false">IF(C406="","",IF(G406="ACCEPTÉ","OUI","NON"))</f>
        <v>NON</v>
      </c>
      <c r="I406" s="82"/>
      <c r="J406" s="79"/>
      <c r="K406" s="80"/>
      <c r="L406" s="80"/>
      <c r="M406" s="80"/>
      <c r="N406" s="83" t="str">
        <f aca="false">IF(C406="","",IF(I406="",IF(H406="OUI","À ENROBER",IF(G406="À SOUDER","NON SOUDÉ","EN ATTENTE RT")),IF(L406="R","À REPRENDRE",IF(H406&lt;&gt;"OUI","⚠ ENROBÉ AVANT ACCEPTATION RT","ENROBÉ"))))</f>
        <v>NON SOUDÉ</v>
      </c>
      <c r="O406" s="79"/>
    </row>
    <row r="407" customFormat="false" ht="15" hidden="false" customHeight="false" outlineLevel="0" collapsed="false">
      <c r="A407" s="78" t="n">
        <f aca="false">IF('CARNET DE SOUDURE'!E407="","",'CARNET DE SOUDURE'!A407)</f>
        <v>401</v>
      </c>
      <c r="B407" s="93" t="str">
        <f aca="false">IF('CARNET DE SOUDURE'!E407="","",'CARNET DE SOUDURE'!B407&amp;"")</f>
        <v>ISB-302</v>
      </c>
      <c r="C407" s="83" t="str">
        <f aca="false">IF('CARNET DE SOUDURE'!E407="","",'CARNET DE SOUDURE'!E407)</f>
        <v>JN°196</v>
      </c>
      <c r="D407" s="78" t="str">
        <f aca="false">IF('CARNET DE SOUDURE'!E407="","",'CARNET DE SOUDURE'!D407&amp;"")</f>
        <v/>
      </c>
      <c r="E407" s="96" t="str">
        <f aca="false">IF(OR('CARNET DE SOUDURE'!E407="",'CARNET DE SOUDURE'!R407=""),"",'CARNET DE SOUDURE'!R407)</f>
        <v/>
      </c>
      <c r="F407" s="81" t="str">
        <f aca="false">IF('CARNET DE SOUDURE'!E407="","",'CARNET DE SOUDURE'!AL407)</f>
        <v/>
      </c>
      <c r="G407" s="81" t="str">
        <f aca="false">IF('CARNET DE SOUDURE'!E407="","",'CARNET DE SOUDURE'!AM407)</f>
        <v>À SOUDER</v>
      </c>
      <c r="H407" s="81" t="str">
        <f aca="false">IF(C407="","",IF(G407="ACCEPTÉ","OUI","NON"))</f>
        <v>NON</v>
      </c>
      <c r="I407" s="82"/>
      <c r="J407" s="79"/>
      <c r="K407" s="80"/>
      <c r="L407" s="80"/>
      <c r="M407" s="80"/>
      <c r="N407" s="83" t="str">
        <f aca="false">IF(C407="","",IF(I407="",IF(H407="OUI","À ENROBER",IF(G407="À SOUDER","NON SOUDÉ","EN ATTENTE RT")),IF(L407="R","À REPRENDRE",IF(H407&lt;&gt;"OUI","⚠ ENROBÉ AVANT ACCEPTATION RT","ENROBÉ"))))</f>
        <v>NON SOUDÉ</v>
      </c>
      <c r="O407" s="79"/>
    </row>
    <row r="408" customFormat="false" ht="15" hidden="false" customHeight="false" outlineLevel="0" collapsed="false">
      <c r="A408" s="78" t="n">
        <f aca="false">IF('CARNET DE SOUDURE'!E408="","",'CARNET DE SOUDURE'!A408)</f>
        <v>402</v>
      </c>
      <c r="B408" s="93" t="str">
        <f aca="false">IF('CARNET DE SOUDURE'!E408="","",'CARNET DE SOUDURE'!B408&amp;"")</f>
        <v>ISB-302</v>
      </c>
      <c r="C408" s="83" t="str">
        <f aca="false">IF('CARNET DE SOUDURE'!E408="","",'CARNET DE SOUDURE'!E408)</f>
        <v>JN°197</v>
      </c>
      <c r="D408" s="78" t="str">
        <f aca="false">IF('CARNET DE SOUDURE'!E408="","",'CARNET DE SOUDURE'!D408&amp;"")</f>
        <v/>
      </c>
      <c r="E408" s="96" t="str">
        <f aca="false">IF(OR('CARNET DE SOUDURE'!E408="",'CARNET DE SOUDURE'!R408=""),"",'CARNET DE SOUDURE'!R408)</f>
        <v/>
      </c>
      <c r="F408" s="81" t="str">
        <f aca="false">IF('CARNET DE SOUDURE'!E408="","",'CARNET DE SOUDURE'!AL408)</f>
        <v/>
      </c>
      <c r="G408" s="81" t="str">
        <f aca="false">IF('CARNET DE SOUDURE'!E408="","",'CARNET DE SOUDURE'!AM408)</f>
        <v>À SOUDER</v>
      </c>
      <c r="H408" s="81" t="str">
        <f aca="false">IF(C408="","",IF(G408="ACCEPTÉ","OUI","NON"))</f>
        <v>NON</v>
      </c>
      <c r="I408" s="82"/>
      <c r="J408" s="79"/>
      <c r="K408" s="80"/>
      <c r="L408" s="80"/>
      <c r="M408" s="80"/>
      <c r="N408" s="83" t="str">
        <f aca="false">IF(C408="","",IF(I408="",IF(H408="OUI","À ENROBER",IF(G408="À SOUDER","NON SOUDÉ","EN ATTENTE RT")),IF(L408="R","À REPRENDRE",IF(H408&lt;&gt;"OUI","⚠ ENROBÉ AVANT ACCEPTATION RT","ENROBÉ"))))</f>
        <v>NON SOUDÉ</v>
      </c>
      <c r="O408" s="79"/>
    </row>
    <row r="409" customFormat="false" ht="15" hidden="false" customHeight="false" outlineLevel="0" collapsed="false">
      <c r="A409" s="78" t="n">
        <f aca="false">IF('CARNET DE SOUDURE'!E409="","",'CARNET DE SOUDURE'!A409)</f>
        <v>403</v>
      </c>
      <c r="B409" s="93" t="str">
        <f aca="false">IF('CARNET DE SOUDURE'!E409="","",'CARNET DE SOUDURE'!B409&amp;"")</f>
        <v>ISB-302</v>
      </c>
      <c r="C409" s="83" t="str">
        <f aca="false">IF('CARNET DE SOUDURE'!E409="","",'CARNET DE SOUDURE'!E409)</f>
        <v>JN°198</v>
      </c>
      <c r="D409" s="78" t="str">
        <f aca="false">IF('CARNET DE SOUDURE'!E409="","",'CARNET DE SOUDURE'!D409&amp;"")</f>
        <v/>
      </c>
      <c r="E409" s="96" t="str">
        <f aca="false">IF(OR('CARNET DE SOUDURE'!E409="",'CARNET DE SOUDURE'!R409=""),"",'CARNET DE SOUDURE'!R409)</f>
        <v/>
      </c>
      <c r="F409" s="81" t="str">
        <f aca="false">IF('CARNET DE SOUDURE'!E409="","",'CARNET DE SOUDURE'!AL409)</f>
        <v/>
      </c>
      <c r="G409" s="81" t="str">
        <f aca="false">IF('CARNET DE SOUDURE'!E409="","",'CARNET DE SOUDURE'!AM409)</f>
        <v>À SOUDER</v>
      </c>
      <c r="H409" s="81" t="str">
        <f aca="false">IF(C409="","",IF(G409="ACCEPTÉ","OUI","NON"))</f>
        <v>NON</v>
      </c>
      <c r="I409" s="82"/>
      <c r="J409" s="79"/>
      <c r="K409" s="80"/>
      <c r="L409" s="80"/>
      <c r="M409" s="80"/>
      <c r="N409" s="83" t="str">
        <f aca="false">IF(C409="","",IF(I409="",IF(H409="OUI","À ENROBER",IF(G409="À SOUDER","NON SOUDÉ","EN ATTENTE RT")),IF(L409="R","À REPRENDRE",IF(H409&lt;&gt;"OUI","⚠ ENROBÉ AVANT ACCEPTATION RT","ENROBÉ"))))</f>
        <v>NON SOUDÉ</v>
      </c>
      <c r="O409" s="79"/>
    </row>
    <row r="410" customFormat="false" ht="15" hidden="false" customHeight="false" outlineLevel="0" collapsed="false">
      <c r="A410" s="78" t="n">
        <f aca="false">IF('CARNET DE SOUDURE'!E410="","",'CARNET DE SOUDURE'!A410)</f>
        <v>404</v>
      </c>
      <c r="B410" s="93" t="str">
        <f aca="false">IF('CARNET DE SOUDURE'!E410="","",'CARNET DE SOUDURE'!B410&amp;"")</f>
        <v>ISB-302</v>
      </c>
      <c r="C410" s="83" t="str">
        <f aca="false">IF('CARNET DE SOUDURE'!E410="","",'CARNET DE SOUDURE'!E410)</f>
        <v>JN°199</v>
      </c>
      <c r="D410" s="78" t="str">
        <f aca="false">IF('CARNET DE SOUDURE'!E410="","",'CARNET DE SOUDURE'!D410&amp;"")</f>
        <v/>
      </c>
      <c r="E410" s="96" t="str">
        <f aca="false">IF(OR('CARNET DE SOUDURE'!E410="",'CARNET DE SOUDURE'!R410=""),"",'CARNET DE SOUDURE'!R410)</f>
        <v/>
      </c>
      <c r="F410" s="81" t="str">
        <f aca="false">IF('CARNET DE SOUDURE'!E410="","",'CARNET DE SOUDURE'!AL410)</f>
        <v/>
      </c>
      <c r="G410" s="81" t="str">
        <f aca="false">IF('CARNET DE SOUDURE'!E410="","",'CARNET DE SOUDURE'!AM410)</f>
        <v>À SOUDER</v>
      </c>
      <c r="H410" s="81" t="str">
        <f aca="false">IF(C410="","",IF(G410="ACCEPTÉ","OUI","NON"))</f>
        <v>NON</v>
      </c>
      <c r="I410" s="82"/>
      <c r="J410" s="79"/>
      <c r="K410" s="80"/>
      <c r="L410" s="80"/>
      <c r="M410" s="80"/>
      <c r="N410" s="83" t="str">
        <f aca="false">IF(C410="","",IF(I410="",IF(H410="OUI","À ENROBER",IF(G410="À SOUDER","NON SOUDÉ","EN ATTENTE RT")),IF(L410="R","À REPRENDRE",IF(H410&lt;&gt;"OUI","⚠ ENROBÉ AVANT ACCEPTATION RT","ENROBÉ"))))</f>
        <v>NON SOUDÉ</v>
      </c>
      <c r="O410" s="79"/>
    </row>
    <row r="411" customFormat="false" ht="15" hidden="false" customHeight="false" outlineLevel="0" collapsed="false">
      <c r="A411" s="78" t="n">
        <f aca="false">IF('CARNET DE SOUDURE'!E411="","",'CARNET DE SOUDURE'!A411)</f>
        <v>405</v>
      </c>
      <c r="B411" s="93" t="str">
        <f aca="false">IF('CARNET DE SOUDURE'!E411="","",'CARNET DE SOUDURE'!B411&amp;"")</f>
        <v>ISB-302</v>
      </c>
      <c r="C411" s="83" t="str">
        <f aca="false">IF('CARNET DE SOUDURE'!E411="","",'CARNET DE SOUDURE'!E411)</f>
        <v>JN°200</v>
      </c>
      <c r="D411" s="78" t="str">
        <f aca="false">IF('CARNET DE SOUDURE'!E411="","",'CARNET DE SOUDURE'!D411&amp;"")</f>
        <v/>
      </c>
      <c r="E411" s="96" t="str">
        <f aca="false">IF(OR('CARNET DE SOUDURE'!E411="",'CARNET DE SOUDURE'!R411=""),"",'CARNET DE SOUDURE'!R411)</f>
        <v/>
      </c>
      <c r="F411" s="81" t="str">
        <f aca="false">IF('CARNET DE SOUDURE'!E411="","",'CARNET DE SOUDURE'!AL411)</f>
        <v/>
      </c>
      <c r="G411" s="81" t="str">
        <f aca="false">IF('CARNET DE SOUDURE'!E411="","",'CARNET DE SOUDURE'!AM411)</f>
        <v>À SOUDER</v>
      </c>
      <c r="H411" s="81" t="str">
        <f aca="false">IF(C411="","",IF(G411="ACCEPTÉ","OUI","NON"))</f>
        <v>NON</v>
      </c>
      <c r="I411" s="82"/>
      <c r="J411" s="79"/>
      <c r="K411" s="80"/>
      <c r="L411" s="80"/>
      <c r="M411" s="80"/>
      <c r="N411" s="83" t="str">
        <f aca="false">IF(C411="","",IF(I411="",IF(H411="OUI","À ENROBER",IF(G411="À SOUDER","NON SOUDÉ","EN ATTENTE RT")),IF(L411="R","À REPRENDRE",IF(H411&lt;&gt;"OUI","⚠ ENROBÉ AVANT ACCEPTATION RT","ENROBÉ"))))</f>
        <v>NON SOUDÉ</v>
      </c>
      <c r="O411" s="79"/>
    </row>
    <row r="412" customFormat="false" ht="15" hidden="false" customHeight="false" outlineLevel="0" collapsed="false">
      <c r="A412" s="78" t="n">
        <f aca="false">IF('CARNET DE SOUDURE'!E412="","",'CARNET DE SOUDURE'!A412)</f>
        <v>406</v>
      </c>
      <c r="B412" s="93" t="str">
        <f aca="false">IF('CARNET DE SOUDURE'!E412="","",'CARNET DE SOUDURE'!B412&amp;"")</f>
        <v>ISB-303</v>
      </c>
      <c r="C412" s="83" t="str">
        <f aca="false">IF('CARNET DE SOUDURE'!E412="","",'CARNET DE SOUDURE'!E412)</f>
        <v>JN°001</v>
      </c>
      <c r="D412" s="78" t="str">
        <f aca="false">IF('CARNET DE SOUDURE'!E412="","",'CARNET DE SOUDURE'!D412&amp;"")</f>
        <v/>
      </c>
      <c r="E412" s="96" t="str">
        <f aca="false">IF(OR('CARNET DE SOUDURE'!E412="",'CARNET DE SOUDURE'!R412=""),"",'CARNET DE SOUDURE'!R412)</f>
        <v/>
      </c>
      <c r="F412" s="81" t="str">
        <f aca="false">IF('CARNET DE SOUDURE'!E412="","",'CARNET DE SOUDURE'!AL412)</f>
        <v/>
      </c>
      <c r="G412" s="81" t="str">
        <f aca="false">IF('CARNET DE SOUDURE'!E412="","",'CARNET DE SOUDURE'!AM412)</f>
        <v>À SOUDER</v>
      </c>
      <c r="H412" s="81" t="str">
        <f aca="false">IF(C412="","",IF(G412="ACCEPTÉ","OUI","NON"))</f>
        <v>NON</v>
      </c>
      <c r="I412" s="82"/>
      <c r="J412" s="79"/>
      <c r="K412" s="80"/>
      <c r="L412" s="80"/>
      <c r="M412" s="80"/>
      <c r="N412" s="83" t="str">
        <f aca="false">IF(C412="","",IF(I412="",IF(H412="OUI","À ENROBER",IF(G412="À SOUDER","NON SOUDÉ","EN ATTENTE RT")),IF(L412="R","À REPRENDRE",IF(H412&lt;&gt;"OUI","⚠ ENROBÉ AVANT ACCEPTATION RT","ENROBÉ"))))</f>
        <v>NON SOUDÉ</v>
      </c>
      <c r="O412" s="79"/>
    </row>
    <row r="413" customFormat="false" ht="15" hidden="false" customHeight="false" outlineLevel="0" collapsed="false">
      <c r="A413" s="78" t="n">
        <f aca="false">IF('CARNET DE SOUDURE'!E413="","",'CARNET DE SOUDURE'!A413)</f>
        <v>407</v>
      </c>
      <c r="B413" s="93" t="str">
        <f aca="false">IF('CARNET DE SOUDURE'!E413="","",'CARNET DE SOUDURE'!B413&amp;"")</f>
        <v>ISB-303</v>
      </c>
      <c r="C413" s="83" t="str">
        <f aca="false">IF('CARNET DE SOUDURE'!E413="","",'CARNET DE SOUDURE'!E413)</f>
        <v>JN°002</v>
      </c>
      <c r="D413" s="78" t="str">
        <f aca="false">IF('CARNET DE SOUDURE'!E413="","",'CARNET DE SOUDURE'!D413&amp;"")</f>
        <v/>
      </c>
      <c r="E413" s="96" t="str">
        <f aca="false">IF(OR('CARNET DE SOUDURE'!E413="",'CARNET DE SOUDURE'!R413=""),"",'CARNET DE SOUDURE'!R413)</f>
        <v/>
      </c>
      <c r="F413" s="81" t="str">
        <f aca="false">IF('CARNET DE SOUDURE'!E413="","",'CARNET DE SOUDURE'!AL413)</f>
        <v/>
      </c>
      <c r="G413" s="81" t="str">
        <f aca="false">IF('CARNET DE SOUDURE'!E413="","",'CARNET DE SOUDURE'!AM413)</f>
        <v>À SOUDER</v>
      </c>
      <c r="H413" s="81" t="str">
        <f aca="false">IF(C413="","",IF(G413="ACCEPTÉ","OUI","NON"))</f>
        <v>NON</v>
      </c>
      <c r="I413" s="82"/>
      <c r="J413" s="79"/>
      <c r="K413" s="80"/>
      <c r="L413" s="80"/>
      <c r="M413" s="80"/>
      <c r="N413" s="83" t="str">
        <f aca="false">IF(C413="","",IF(I413="",IF(H413="OUI","À ENROBER",IF(G413="À SOUDER","NON SOUDÉ","EN ATTENTE RT")),IF(L413="R","À REPRENDRE",IF(H413&lt;&gt;"OUI","⚠ ENROBÉ AVANT ACCEPTATION RT","ENROBÉ"))))</f>
        <v>NON SOUDÉ</v>
      </c>
      <c r="O413" s="79"/>
    </row>
    <row r="414" customFormat="false" ht="15" hidden="false" customHeight="false" outlineLevel="0" collapsed="false">
      <c r="A414" s="78" t="n">
        <f aca="false">IF('CARNET DE SOUDURE'!E414="","",'CARNET DE SOUDURE'!A414)</f>
        <v>408</v>
      </c>
      <c r="B414" s="93" t="str">
        <f aca="false">IF('CARNET DE SOUDURE'!E414="","",'CARNET DE SOUDURE'!B414&amp;"")</f>
        <v>ISB-303</v>
      </c>
      <c r="C414" s="83" t="str">
        <f aca="false">IF('CARNET DE SOUDURE'!E414="","",'CARNET DE SOUDURE'!E414)</f>
        <v>JN°003</v>
      </c>
      <c r="D414" s="78" t="str">
        <f aca="false">IF('CARNET DE SOUDURE'!E414="","",'CARNET DE SOUDURE'!D414&amp;"")</f>
        <v/>
      </c>
      <c r="E414" s="96" t="str">
        <f aca="false">IF(OR('CARNET DE SOUDURE'!E414="",'CARNET DE SOUDURE'!R414=""),"",'CARNET DE SOUDURE'!R414)</f>
        <v/>
      </c>
      <c r="F414" s="81" t="str">
        <f aca="false">IF('CARNET DE SOUDURE'!E414="","",'CARNET DE SOUDURE'!AL414)</f>
        <v/>
      </c>
      <c r="G414" s="81" t="str">
        <f aca="false">IF('CARNET DE SOUDURE'!E414="","",'CARNET DE SOUDURE'!AM414)</f>
        <v>À SOUDER</v>
      </c>
      <c r="H414" s="81" t="str">
        <f aca="false">IF(C414="","",IF(G414="ACCEPTÉ","OUI","NON"))</f>
        <v>NON</v>
      </c>
      <c r="I414" s="82"/>
      <c r="J414" s="79"/>
      <c r="K414" s="80"/>
      <c r="L414" s="80"/>
      <c r="M414" s="80"/>
      <c r="N414" s="83" t="str">
        <f aca="false">IF(C414="","",IF(I414="",IF(H414="OUI","À ENROBER",IF(G414="À SOUDER","NON SOUDÉ","EN ATTENTE RT")),IF(L414="R","À REPRENDRE",IF(H414&lt;&gt;"OUI","⚠ ENROBÉ AVANT ACCEPTATION RT","ENROBÉ"))))</f>
        <v>NON SOUDÉ</v>
      </c>
      <c r="O414" s="79"/>
    </row>
    <row r="415" customFormat="false" ht="15" hidden="false" customHeight="false" outlineLevel="0" collapsed="false">
      <c r="A415" s="78" t="n">
        <f aca="false">IF('CARNET DE SOUDURE'!E415="","",'CARNET DE SOUDURE'!A415)</f>
        <v>409</v>
      </c>
      <c r="B415" s="93" t="str">
        <f aca="false">IF('CARNET DE SOUDURE'!E415="","",'CARNET DE SOUDURE'!B415&amp;"")</f>
        <v>ISB-303</v>
      </c>
      <c r="C415" s="83" t="str">
        <f aca="false">IF('CARNET DE SOUDURE'!E415="","",'CARNET DE SOUDURE'!E415)</f>
        <v>JN°004</v>
      </c>
      <c r="D415" s="78" t="str">
        <f aca="false">IF('CARNET DE SOUDURE'!E415="","",'CARNET DE SOUDURE'!D415&amp;"")</f>
        <v/>
      </c>
      <c r="E415" s="96" t="str">
        <f aca="false">IF(OR('CARNET DE SOUDURE'!E415="",'CARNET DE SOUDURE'!R415=""),"",'CARNET DE SOUDURE'!R415)</f>
        <v/>
      </c>
      <c r="F415" s="81" t="str">
        <f aca="false">IF('CARNET DE SOUDURE'!E415="","",'CARNET DE SOUDURE'!AL415)</f>
        <v/>
      </c>
      <c r="G415" s="81" t="str">
        <f aca="false">IF('CARNET DE SOUDURE'!E415="","",'CARNET DE SOUDURE'!AM415)</f>
        <v>À SOUDER</v>
      </c>
      <c r="H415" s="81" t="str">
        <f aca="false">IF(C415="","",IF(G415="ACCEPTÉ","OUI","NON"))</f>
        <v>NON</v>
      </c>
      <c r="I415" s="82"/>
      <c r="J415" s="79"/>
      <c r="K415" s="80"/>
      <c r="L415" s="80"/>
      <c r="M415" s="80"/>
      <c r="N415" s="83" t="str">
        <f aca="false">IF(C415="","",IF(I415="",IF(H415="OUI","À ENROBER",IF(G415="À SOUDER","NON SOUDÉ","EN ATTENTE RT")),IF(L415="R","À REPRENDRE",IF(H415&lt;&gt;"OUI","⚠ ENROBÉ AVANT ACCEPTATION RT","ENROBÉ"))))</f>
        <v>NON SOUDÉ</v>
      </c>
      <c r="O415" s="79"/>
    </row>
    <row r="416" customFormat="false" ht="15" hidden="false" customHeight="false" outlineLevel="0" collapsed="false">
      <c r="A416" s="78" t="n">
        <f aca="false">IF('CARNET DE SOUDURE'!E416="","",'CARNET DE SOUDURE'!A416)</f>
        <v>410</v>
      </c>
      <c r="B416" s="93" t="str">
        <f aca="false">IF('CARNET DE SOUDURE'!E416="","",'CARNET DE SOUDURE'!B416&amp;"")</f>
        <v>ISB-303</v>
      </c>
      <c r="C416" s="83" t="str">
        <f aca="false">IF('CARNET DE SOUDURE'!E416="","",'CARNET DE SOUDURE'!E416)</f>
        <v>JN°005</v>
      </c>
      <c r="D416" s="78" t="str">
        <f aca="false">IF('CARNET DE SOUDURE'!E416="","",'CARNET DE SOUDURE'!D416&amp;"")</f>
        <v/>
      </c>
      <c r="E416" s="96" t="str">
        <f aca="false">IF(OR('CARNET DE SOUDURE'!E416="",'CARNET DE SOUDURE'!R416=""),"",'CARNET DE SOUDURE'!R416)</f>
        <v/>
      </c>
      <c r="F416" s="81" t="str">
        <f aca="false">IF('CARNET DE SOUDURE'!E416="","",'CARNET DE SOUDURE'!AL416)</f>
        <v/>
      </c>
      <c r="G416" s="81" t="str">
        <f aca="false">IF('CARNET DE SOUDURE'!E416="","",'CARNET DE SOUDURE'!AM416)</f>
        <v>À SOUDER</v>
      </c>
      <c r="H416" s="81" t="str">
        <f aca="false">IF(C416="","",IF(G416="ACCEPTÉ","OUI","NON"))</f>
        <v>NON</v>
      </c>
      <c r="I416" s="82"/>
      <c r="J416" s="79"/>
      <c r="K416" s="80"/>
      <c r="L416" s="80"/>
      <c r="M416" s="80"/>
      <c r="N416" s="83" t="str">
        <f aca="false">IF(C416="","",IF(I416="",IF(H416="OUI","À ENROBER",IF(G416="À SOUDER","NON SOUDÉ","EN ATTENTE RT")),IF(L416="R","À REPRENDRE",IF(H416&lt;&gt;"OUI","⚠ ENROBÉ AVANT ACCEPTATION RT","ENROBÉ"))))</f>
        <v>NON SOUDÉ</v>
      </c>
      <c r="O416" s="79"/>
    </row>
    <row r="417" customFormat="false" ht="15" hidden="false" customHeight="false" outlineLevel="0" collapsed="false">
      <c r="A417" s="78" t="n">
        <f aca="false">IF('CARNET DE SOUDURE'!E417="","",'CARNET DE SOUDURE'!A417)</f>
        <v>411</v>
      </c>
      <c r="B417" s="93" t="str">
        <f aca="false">IF('CARNET DE SOUDURE'!E417="","",'CARNET DE SOUDURE'!B417&amp;"")</f>
        <v>ISB-303</v>
      </c>
      <c r="C417" s="83" t="str">
        <f aca="false">IF('CARNET DE SOUDURE'!E417="","",'CARNET DE SOUDURE'!E417)</f>
        <v>JN°006</v>
      </c>
      <c r="D417" s="78" t="str">
        <f aca="false">IF('CARNET DE SOUDURE'!E417="","",'CARNET DE SOUDURE'!D417&amp;"")</f>
        <v/>
      </c>
      <c r="E417" s="96" t="str">
        <f aca="false">IF(OR('CARNET DE SOUDURE'!E417="",'CARNET DE SOUDURE'!R417=""),"",'CARNET DE SOUDURE'!R417)</f>
        <v/>
      </c>
      <c r="F417" s="81" t="str">
        <f aca="false">IF('CARNET DE SOUDURE'!E417="","",'CARNET DE SOUDURE'!AL417)</f>
        <v/>
      </c>
      <c r="G417" s="81" t="str">
        <f aca="false">IF('CARNET DE SOUDURE'!E417="","",'CARNET DE SOUDURE'!AM417)</f>
        <v>À SOUDER</v>
      </c>
      <c r="H417" s="81" t="str">
        <f aca="false">IF(C417="","",IF(G417="ACCEPTÉ","OUI","NON"))</f>
        <v>NON</v>
      </c>
      <c r="I417" s="82"/>
      <c r="J417" s="79"/>
      <c r="K417" s="80"/>
      <c r="L417" s="80"/>
      <c r="M417" s="80"/>
      <c r="N417" s="83" t="str">
        <f aca="false">IF(C417="","",IF(I417="",IF(H417="OUI","À ENROBER",IF(G417="À SOUDER","NON SOUDÉ","EN ATTENTE RT")),IF(L417="R","À REPRENDRE",IF(H417&lt;&gt;"OUI","⚠ ENROBÉ AVANT ACCEPTATION RT","ENROBÉ"))))</f>
        <v>NON SOUDÉ</v>
      </c>
      <c r="O417" s="79"/>
    </row>
    <row r="418" customFormat="false" ht="15" hidden="false" customHeight="false" outlineLevel="0" collapsed="false">
      <c r="A418" s="78" t="n">
        <f aca="false">IF('CARNET DE SOUDURE'!E418="","",'CARNET DE SOUDURE'!A418)</f>
        <v>412</v>
      </c>
      <c r="B418" s="93" t="str">
        <f aca="false">IF('CARNET DE SOUDURE'!E418="","",'CARNET DE SOUDURE'!B418&amp;"")</f>
        <v>ISB-303</v>
      </c>
      <c r="C418" s="83" t="str">
        <f aca="false">IF('CARNET DE SOUDURE'!E418="","",'CARNET DE SOUDURE'!E418)</f>
        <v>JN°007</v>
      </c>
      <c r="D418" s="78" t="str">
        <f aca="false">IF('CARNET DE SOUDURE'!E418="","",'CARNET DE SOUDURE'!D418&amp;"")</f>
        <v/>
      </c>
      <c r="E418" s="96" t="str">
        <f aca="false">IF(OR('CARNET DE SOUDURE'!E418="",'CARNET DE SOUDURE'!R418=""),"",'CARNET DE SOUDURE'!R418)</f>
        <v/>
      </c>
      <c r="F418" s="81" t="str">
        <f aca="false">IF('CARNET DE SOUDURE'!E418="","",'CARNET DE SOUDURE'!AL418)</f>
        <v/>
      </c>
      <c r="G418" s="81" t="str">
        <f aca="false">IF('CARNET DE SOUDURE'!E418="","",'CARNET DE SOUDURE'!AM418)</f>
        <v>À SOUDER</v>
      </c>
      <c r="H418" s="81" t="str">
        <f aca="false">IF(C418="","",IF(G418="ACCEPTÉ","OUI","NON"))</f>
        <v>NON</v>
      </c>
      <c r="I418" s="82"/>
      <c r="J418" s="79"/>
      <c r="K418" s="80"/>
      <c r="L418" s="80"/>
      <c r="M418" s="80"/>
      <c r="N418" s="83" t="str">
        <f aca="false">IF(C418="","",IF(I418="",IF(H418="OUI","À ENROBER",IF(G418="À SOUDER","NON SOUDÉ","EN ATTENTE RT")),IF(L418="R","À REPRENDRE",IF(H418&lt;&gt;"OUI","⚠ ENROBÉ AVANT ACCEPTATION RT","ENROBÉ"))))</f>
        <v>NON SOUDÉ</v>
      </c>
      <c r="O418" s="79"/>
    </row>
    <row r="419" customFormat="false" ht="15" hidden="false" customHeight="false" outlineLevel="0" collapsed="false">
      <c r="A419" s="78" t="n">
        <f aca="false">IF('CARNET DE SOUDURE'!E419="","",'CARNET DE SOUDURE'!A419)</f>
        <v>413</v>
      </c>
      <c r="B419" s="93" t="str">
        <f aca="false">IF('CARNET DE SOUDURE'!E419="","",'CARNET DE SOUDURE'!B419&amp;"")</f>
        <v>ISB-303</v>
      </c>
      <c r="C419" s="83" t="str">
        <f aca="false">IF('CARNET DE SOUDURE'!E419="","",'CARNET DE SOUDURE'!E419)</f>
        <v>JN°008</v>
      </c>
      <c r="D419" s="78" t="str">
        <f aca="false">IF('CARNET DE SOUDURE'!E419="","",'CARNET DE SOUDURE'!D419&amp;"")</f>
        <v/>
      </c>
      <c r="E419" s="96" t="str">
        <f aca="false">IF(OR('CARNET DE SOUDURE'!E419="",'CARNET DE SOUDURE'!R419=""),"",'CARNET DE SOUDURE'!R419)</f>
        <v/>
      </c>
      <c r="F419" s="81" t="str">
        <f aca="false">IF('CARNET DE SOUDURE'!E419="","",'CARNET DE SOUDURE'!AL419)</f>
        <v/>
      </c>
      <c r="G419" s="81" t="str">
        <f aca="false">IF('CARNET DE SOUDURE'!E419="","",'CARNET DE SOUDURE'!AM419)</f>
        <v>À SOUDER</v>
      </c>
      <c r="H419" s="81" t="str">
        <f aca="false">IF(C419="","",IF(G419="ACCEPTÉ","OUI","NON"))</f>
        <v>NON</v>
      </c>
      <c r="I419" s="82"/>
      <c r="J419" s="79"/>
      <c r="K419" s="80"/>
      <c r="L419" s="80"/>
      <c r="M419" s="80"/>
      <c r="N419" s="83" t="str">
        <f aca="false">IF(C419="","",IF(I419="",IF(H419="OUI","À ENROBER",IF(G419="À SOUDER","NON SOUDÉ","EN ATTENTE RT")),IF(L419="R","À REPRENDRE",IF(H419&lt;&gt;"OUI","⚠ ENROBÉ AVANT ACCEPTATION RT","ENROBÉ"))))</f>
        <v>NON SOUDÉ</v>
      </c>
      <c r="O419" s="79"/>
    </row>
    <row r="420" customFormat="false" ht="15" hidden="false" customHeight="false" outlineLevel="0" collapsed="false">
      <c r="A420" s="78" t="n">
        <f aca="false">IF('CARNET DE SOUDURE'!E420="","",'CARNET DE SOUDURE'!A420)</f>
        <v>414</v>
      </c>
      <c r="B420" s="93" t="str">
        <f aca="false">IF('CARNET DE SOUDURE'!E420="","",'CARNET DE SOUDURE'!B420&amp;"")</f>
        <v>ISB-303</v>
      </c>
      <c r="C420" s="83" t="str">
        <f aca="false">IF('CARNET DE SOUDURE'!E420="","",'CARNET DE SOUDURE'!E420)</f>
        <v>JN°009</v>
      </c>
      <c r="D420" s="78" t="str">
        <f aca="false">IF('CARNET DE SOUDURE'!E420="","",'CARNET DE SOUDURE'!D420&amp;"")</f>
        <v/>
      </c>
      <c r="E420" s="96" t="str">
        <f aca="false">IF(OR('CARNET DE SOUDURE'!E420="",'CARNET DE SOUDURE'!R420=""),"",'CARNET DE SOUDURE'!R420)</f>
        <v/>
      </c>
      <c r="F420" s="81" t="str">
        <f aca="false">IF('CARNET DE SOUDURE'!E420="","",'CARNET DE SOUDURE'!AL420)</f>
        <v/>
      </c>
      <c r="G420" s="81" t="str">
        <f aca="false">IF('CARNET DE SOUDURE'!E420="","",'CARNET DE SOUDURE'!AM420)</f>
        <v>À SOUDER</v>
      </c>
      <c r="H420" s="81" t="str">
        <f aca="false">IF(C420="","",IF(G420="ACCEPTÉ","OUI","NON"))</f>
        <v>NON</v>
      </c>
      <c r="I420" s="82"/>
      <c r="J420" s="79"/>
      <c r="K420" s="80"/>
      <c r="L420" s="80"/>
      <c r="M420" s="80"/>
      <c r="N420" s="83" t="str">
        <f aca="false">IF(C420="","",IF(I420="",IF(H420="OUI","À ENROBER",IF(G420="À SOUDER","NON SOUDÉ","EN ATTENTE RT")),IF(L420="R","À REPRENDRE",IF(H420&lt;&gt;"OUI","⚠ ENROBÉ AVANT ACCEPTATION RT","ENROBÉ"))))</f>
        <v>NON SOUDÉ</v>
      </c>
      <c r="O420" s="79"/>
    </row>
    <row r="421" customFormat="false" ht="15" hidden="false" customHeight="false" outlineLevel="0" collapsed="false">
      <c r="A421" s="78" t="n">
        <f aca="false">IF('CARNET DE SOUDURE'!E421="","",'CARNET DE SOUDURE'!A421)</f>
        <v>415</v>
      </c>
      <c r="B421" s="93" t="str">
        <f aca="false">IF('CARNET DE SOUDURE'!E421="","",'CARNET DE SOUDURE'!B421&amp;"")</f>
        <v>ISB-303</v>
      </c>
      <c r="C421" s="83" t="str">
        <f aca="false">IF('CARNET DE SOUDURE'!E421="","",'CARNET DE SOUDURE'!E421)</f>
        <v>JN°010</v>
      </c>
      <c r="D421" s="78" t="str">
        <f aca="false">IF('CARNET DE SOUDURE'!E421="","",'CARNET DE SOUDURE'!D421&amp;"")</f>
        <v/>
      </c>
      <c r="E421" s="96" t="str">
        <f aca="false">IF(OR('CARNET DE SOUDURE'!E421="",'CARNET DE SOUDURE'!R421=""),"",'CARNET DE SOUDURE'!R421)</f>
        <v/>
      </c>
      <c r="F421" s="81" t="str">
        <f aca="false">IF('CARNET DE SOUDURE'!E421="","",'CARNET DE SOUDURE'!AL421)</f>
        <v/>
      </c>
      <c r="G421" s="81" t="str">
        <f aca="false">IF('CARNET DE SOUDURE'!E421="","",'CARNET DE SOUDURE'!AM421)</f>
        <v>À SOUDER</v>
      </c>
      <c r="H421" s="81" t="str">
        <f aca="false">IF(C421="","",IF(G421="ACCEPTÉ","OUI","NON"))</f>
        <v>NON</v>
      </c>
      <c r="I421" s="82"/>
      <c r="J421" s="79"/>
      <c r="K421" s="80"/>
      <c r="L421" s="80"/>
      <c r="M421" s="80"/>
      <c r="N421" s="83" t="str">
        <f aca="false">IF(C421="","",IF(I421="",IF(H421="OUI","À ENROBER",IF(G421="À SOUDER","NON SOUDÉ","EN ATTENTE RT")),IF(L421="R","À REPRENDRE",IF(H421&lt;&gt;"OUI","⚠ ENROBÉ AVANT ACCEPTATION RT","ENROBÉ"))))</f>
        <v>NON SOUDÉ</v>
      </c>
      <c r="O421" s="79"/>
    </row>
    <row r="422" customFormat="false" ht="15" hidden="false" customHeight="false" outlineLevel="0" collapsed="false">
      <c r="A422" s="78" t="n">
        <f aca="false">IF('CARNET DE SOUDURE'!E422="","",'CARNET DE SOUDURE'!A422)</f>
        <v>416</v>
      </c>
      <c r="B422" s="93" t="str">
        <f aca="false">IF('CARNET DE SOUDURE'!E422="","",'CARNET DE SOUDURE'!B422&amp;"")</f>
        <v>ISB-303</v>
      </c>
      <c r="C422" s="83" t="str">
        <f aca="false">IF('CARNET DE SOUDURE'!E422="","",'CARNET DE SOUDURE'!E422)</f>
        <v>JN°011</v>
      </c>
      <c r="D422" s="78" t="str">
        <f aca="false">IF('CARNET DE SOUDURE'!E422="","",'CARNET DE SOUDURE'!D422&amp;"")</f>
        <v/>
      </c>
      <c r="E422" s="96" t="str">
        <f aca="false">IF(OR('CARNET DE SOUDURE'!E422="",'CARNET DE SOUDURE'!R422=""),"",'CARNET DE SOUDURE'!R422)</f>
        <v/>
      </c>
      <c r="F422" s="81" t="str">
        <f aca="false">IF('CARNET DE SOUDURE'!E422="","",'CARNET DE SOUDURE'!AL422)</f>
        <v/>
      </c>
      <c r="G422" s="81" t="str">
        <f aca="false">IF('CARNET DE SOUDURE'!E422="","",'CARNET DE SOUDURE'!AM422)</f>
        <v>À SOUDER</v>
      </c>
      <c r="H422" s="81" t="str">
        <f aca="false">IF(C422="","",IF(G422="ACCEPTÉ","OUI","NON"))</f>
        <v>NON</v>
      </c>
      <c r="I422" s="82"/>
      <c r="J422" s="79"/>
      <c r="K422" s="80"/>
      <c r="L422" s="80"/>
      <c r="M422" s="80"/>
      <c r="N422" s="83" t="str">
        <f aca="false">IF(C422="","",IF(I422="",IF(H422="OUI","À ENROBER",IF(G422="À SOUDER","NON SOUDÉ","EN ATTENTE RT")),IF(L422="R","À REPRENDRE",IF(H422&lt;&gt;"OUI","⚠ ENROBÉ AVANT ACCEPTATION RT","ENROBÉ"))))</f>
        <v>NON SOUDÉ</v>
      </c>
      <c r="O422" s="79"/>
    </row>
    <row r="423" customFormat="false" ht="15" hidden="false" customHeight="false" outlineLevel="0" collapsed="false">
      <c r="A423" s="78" t="n">
        <f aca="false">IF('CARNET DE SOUDURE'!E423="","",'CARNET DE SOUDURE'!A423)</f>
        <v>417</v>
      </c>
      <c r="B423" s="93" t="str">
        <f aca="false">IF('CARNET DE SOUDURE'!E423="","",'CARNET DE SOUDURE'!B423&amp;"")</f>
        <v>ISB-303</v>
      </c>
      <c r="C423" s="83" t="str">
        <f aca="false">IF('CARNET DE SOUDURE'!E423="","",'CARNET DE SOUDURE'!E423)</f>
        <v>JN°012</v>
      </c>
      <c r="D423" s="78" t="str">
        <f aca="false">IF('CARNET DE SOUDURE'!E423="","",'CARNET DE SOUDURE'!D423&amp;"")</f>
        <v/>
      </c>
      <c r="E423" s="96" t="str">
        <f aca="false">IF(OR('CARNET DE SOUDURE'!E423="",'CARNET DE SOUDURE'!R423=""),"",'CARNET DE SOUDURE'!R423)</f>
        <v/>
      </c>
      <c r="F423" s="81" t="str">
        <f aca="false">IF('CARNET DE SOUDURE'!E423="","",'CARNET DE SOUDURE'!AL423)</f>
        <v/>
      </c>
      <c r="G423" s="81" t="str">
        <f aca="false">IF('CARNET DE SOUDURE'!E423="","",'CARNET DE SOUDURE'!AM423)</f>
        <v>À SOUDER</v>
      </c>
      <c r="H423" s="81" t="str">
        <f aca="false">IF(C423="","",IF(G423="ACCEPTÉ","OUI","NON"))</f>
        <v>NON</v>
      </c>
      <c r="I423" s="82"/>
      <c r="J423" s="79"/>
      <c r="K423" s="80"/>
      <c r="L423" s="80"/>
      <c r="M423" s="80"/>
      <c r="N423" s="83" t="str">
        <f aca="false">IF(C423="","",IF(I423="",IF(H423="OUI","À ENROBER",IF(G423="À SOUDER","NON SOUDÉ","EN ATTENTE RT")),IF(L423="R","À REPRENDRE",IF(H423&lt;&gt;"OUI","⚠ ENROBÉ AVANT ACCEPTATION RT","ENROBÉ"))))</f>
        <v>NON SOUDÉ</v>
      </c>
      <c r="O423" s="79"/>
    </row>
    <row r="424" customFormat="false" ht="15" hidden="false" customHeight="false" outlineLevel="0" collapsed="false">
      <c r="A424" s="78" t="n">
        <f aca="false">IF('CARNET DE SOUDURE'!E424="","",'CARNET DE SOUDURE'!A424)</f>
        <v>418</v>
      </c>
      <c r="B424" s="93" t="str">
        <f aca="false">IF('CARNET DE SOUDURE'!E424="","",'CARNET DE SOUDURE'!B424&amp;"")</f>
        <v>ISB-303</v>
      </c>
      <c r="C424" s="83" t="str">
        <f aca="false">IF('CARNET DE SOUDURE'!E424="","",'CARNET DE SOUDURE'!E424)</f>
        <v>JN°013</v>
      </c>
      <c r="D424" s="78" t="str">
        <f aca="false">IF('CARNET DE SOUDURE'!E424="","",'CARNET DE SOUDURE'!D424&amp;"")</f>
        <v/>
      </c>
      <c r="E424" s="96" t="str">
        <f aca="false">IF(OR('CARNET DE SOUDURE'!E424="",'CARNET DE SOUDURE'!R424=""),"",'CARNET DE SOUDURE'!R424)</f>
        <v/>
      </c>
      <c r="F424" s="81" t="str">
        <f aca="false">IF('CARNET DE SOUDURE'!E424="","",'CARNET DE SOUDURE'!AL424)</f>
        <v/>
      </c>
      <c r="G424" s="81" t="str">
        <f aca="false">IF('CARNET DE SOUDURE'!E424="","",'CARNET DE SOUDURE'!AM424)</f>
        <v>À SOUDER</v>
      </c>
      <c r="H424" s="81" t="str">
        <f aca="false">IF(C424="","",IF(G424="ACCEPTÉ","OUI","NON"))</f>
        <v>NON</v>
      </c>
      <c r="I424" s="82"/>
      <c r="J424" s="79"/>
      <c r="K424" s="80"/>
      <c r="L424" s="80"/>
      <c r="M424" s="80"/>
      <c r="N424" s="83" t="str">
        <f aca="false">IF(C424="","",IF(I424="",IF(H424="OUI","À ENROBER",IF(G424="À SOUDER","NON SOUDÉ","EN ATTENTE RT")),IF(L424="R","À REPRENDRE",IF(H424&lt;&gt;"OUI","⚠ ENROBÉ AVANT ACCEPTATION RT","ENROBÉ"))))</f>
        <v>NON SOUDÉ</v>
      </c>
      <c r="O424" s="79"/>
    </row>
    <row r="425" customFormat="false" ht="15" hidden="false" customHeight="false" outlineLevel="0" collapsed="false">
      <c r="A425" s="78" t="n">
        <f aca="false">IF('CARNET DE SOUDURE'!E425="","",'CARNET DE SOUDURE'!A425)</f>
        <v>419</v>
      </c>
      <c r="B425" s="93" t="str">
        <f aca="false">IF('CARNET DE SOUDURE'!E425="","",'CARNET DE SOUDURE'!B425&amp;"")</f>
        <v>ISB-303</v>
      </c>
      <c r="C425" s="83" t="str">
        <f aca="false">IF('CARNET DE SOUDURE'!E425="","",'CARNET DE SOUDURE'!E425)</f>
        <v>JN°014</v>
      </c>
      <c r="D425" s="78" t="str">
        <f aca="false">IF('CARNET DE SOUDURE'!E425="","",'CARNET DE SOUDURE'!D425&amp;"")</f>
        <v/>
      </c>
      <c r="E425" s="96" t="str">
        <f aca="false">IF(OR('CARNET DE SOUDURE'!E425="",'CARNET DE SOUDURE'!R425=""),"",'CARNET DE SOUDURE'!R425)</f>
        <v/>
      </c>
      <c r="F425" s="81" t="str">
        <f aca="false">IF('CARNET DE SOUDURE'!E425="","",'CARNET DE SOUDURE'!AL425)</f>
        <v/>
      </c>
      <c r="G425" s="81" t="str">
        <f aca="false">IF('CARNET DE SOUDURE'!E425="","",'CARNET DE SOUDURE'!AM425)</f>
        <v>À SOUDER</v>
      </c>
      <c r="H425" s="81" t="str">
        <f aca="false">IF(C425="","",IF(G425="ACCEPTÉ","OUI","NON"))</f>
        <v>NON</v>
      </c>
      <c r="I425" s="82"/>
      <c r="J425" s="79"/>
      <c r="K425" s="80"/>
      <c r="L425" s="80"/>
      <c r="M425" s="80"/>
      <c r="N425" s="83" t="str">
        <f aca="false">IF(C425="","",IF(I425="",IF(H425="OUI","À ENROBER",IF(G425="À SOUDER","NON SOUDÉ","EN ATTENTE RT")),IF(L425="R","À REPRENDRE",IF(H425&lt;&gt;"OUI","⚠ ENROBÉ AVANT ACCEPTATION RT","ENROBÉ"))))</f>
        <v>NON SOUDÉ</v>
      </c>
      <c r="O425" s="79"/>
    </row>
    <row r="426" customFormat="false" ht="15" hidden="false" customHeight="false" outlineLevel="0" collapsed="false">
      <c r="A426" s="78" t="n">
        <f aca="false">IF('CARNET DE SOUDURE'!E426="","",'CARNET DE SOUDURE'!A426)</f>
        <v>420</v>
      </c>
      <c r="B426" s="93" t="str">
        <f aca="false">IF('CARNET DE SOUDURE'!E426="","",'CARNET DE SOUDURE'!B426&amp;"")</f>
        <v>ISB-303</v>
      </c>
      <c r="C426" s="83" t="str">
        <f aca="false">IF('CARNET DE SOUDURE'!E426="","",'CARNET DE SOUDURE'!E426)</f>
        <v>JN°015</v>
      </c>
      <c r="D426" s="78" t="str">
        <f aca="false">IF('CARNET DE SOUDURE'!E426="","",'CARNET DE SOUDURE'!D426&amp;"")</f>
        <v/>
      </c>
      <c r="E426" s="96" t="str">
        <f aca="false">IF(OR('CARNET DE SOUDURE'!E426="",'CARNET DE SOUDURE'!R426=""),"",'CARNET DE SOUDURE'!R426)</f>
        <v/>
      </c>
      <c r="F426" s="81" t="str">
        <f aca="false">IF('CARNET DE SOUDURE'!E426="","",'CARNET DE SOUDURE'!AL426)</f>
        <v/>
      </c>
      <c r="G426" s="81" t="str">
        <f aca="false">IF('CARNET DE SOUDURE'!E426="","",'CARNET DE SOUDURE'!AM426)</f>
        <v>À SOUDER</v>
      </c>
      <c r="H426" s="81" t="str">
        <f aca="false">IF(C426="","",IF(G426="ACCEPTÉ","OUI","NON"))</f>
        <v>NON</v>
      </c>
      <c r="I426" s="82"/>
      <c r="J426" s="79"/>
      <c r="K426" s="80"/>
      <c r="L426" s="80"/>
      <c r="M426" s="80"/>
      <c r="N426" s="83" t="str">
        <f aca="false">IF(C426="","",IF(I426="",IF(H426="OUI","À ENROBER",IF(G426="À SOUDER","NON SOUDÉ","EN ATTENTE RT")),IF(L426="R","À REPRENDRE",IF(H426&lt;&gt;"OUI","⚠ ENROBÉ AVANT ACCEPTATION RT","ENROBÉ"))))</f>
        <v>NON SOUDÉ</v>
      </c>
      <c r="O426" s="79"/>
    </row>
    <row r="427" customFormat="false" ht="15" hidden="false" customHeight="false" outlineLevel="0" collapsed="false">
      <c r="A427" s="78" t="n">
        <f aca="false">IF('CARNET DE SOUDURE'!E427="","",'CARNET DE SOUDURE'!A427)</f>
        <v>421</v>
      </c>
      <c r="B427" s="93" t="str">
        <f aca="false">IF('CARNET DE SOUDURE'!E427="","",'CARNET DE SOUDURE'!B427&amp;"")</f>
        <v>ISB-303</v>
      </c>
      <c r="C427" s="83" t="str">
        <f aca="false">IF('CARNET DE SOUDURE'!E427="","",'CARNET DE SOUDURE'!E427)</f>
        <v>JN°016</v>
      </c>
      <c r="D427" s="78" t="str">
        <f aca="false">IF('CARNET DE SOUDURE'!E427="","",'CARNET DE SOUDURE'!D427&amp;"")</f>
        <v/>
      </c>
      <c r="E427" s="96" t="str">
        <f aca="false">IF(OR('CARNET DE SOUDURE'!E427="",'CARNET DE SOUDURE'!R427=""),"",'CARNET DE SOUDURE'!R427)</f>
        <v/>
      </c>
      <c r="F427" s="81" t="str">
        <f aca="false">IF('CARNET DE SOUDURE'!E427="","",'CARNET DE SOUDURE'!AL427)</f>
        <v/>
      </c>
      <c r="G427" s="81" t="str">
        <f aca="false">IF('CARNET DE SOUDURE'!E427="","",'CARNET DE SOUDURE'!AM427)</f>
        <v>À SOUDER</v>
      </c>
      <c r="H427" s="81" t="str">
        <f aca="false">IF(C427="","",IF(G427="ACCEPTÉ","OUI","NON"))</f>
        <v>NON</v>
      </c>
      <c r="I427" s="82"/>
      <c r="J427" s="79"/>
      <c r="K427" s="80"/>
      <c r="L427" s="80"/>
      <c r="M427" s="80"/>
      <c r="N427" s="83" t="str">
        <f aca="false">IF(C427="","",IF(I427="",IF(H427="OUI","À ENROBER",IF(G427="À SOUDER","NON SOUDÉ","EN ATTENTE RT")),IF(L427="R","À REPRENDRE",IF(H427&lt;&gt;"OUI","⚠ ENROBÉ AVANT ACCEPTATION RT","ENROBÉ"))))</f>
        <v>NON SOUDÉ</v>
      </c>
      <c r="O427" s="79"/>
    </row>
    <row r="428" customFormat="false" ht="15" hidden="false" customHeight="false" outlineLevel="0" collapsed="false">
      <c r="A428" s="78" t="n">
        <f aca="false">IF('CARNET DE SOUDURE'!E428="","",'CARNET DE SOUDURE'!A428)</f>
        <v>422</v>
      </c>
      <c r="B428" s="93" t="str">
        <f aca="false">IF('CARNET DE SOUDURE'!E428="","",'CARNET DE SOUDURE'!B428&amp;"")</f>
        <v>ISB-303</v>
      </c>
      <c r="C428" s="83" t="str">
        <f aca="false">IF('CARNET DE SOUDURE'!E428="","",'CARNET DE SOUDURE'!E428)</f>
        <v>JN°017</v>
      </c>
      <c r="D428" s="78" t="str">
        <f aca="false">IF('CARNET DE SOUDURE'!E428="","",'CARNET DE SOUDURE'!D428&amp;"")</f>
        <v/>
      </c>
      <c r="E428" s="96" t="str">
        <f aca="false">IF(OR('CARNET DE SOUDURE'!E428="",'CARNET DE SOUDURE'!R428=""),"",'CARNET DE SOUDURE'!R428)</f>
        <v/>
      </c>
      <c r="F428" s="81" t="str">
        <f aca="false">IF('CARNET DE SOUDURE'!E428="","",'CARNET DE SOUDURE'!AL428)</f>
        <v/>
      </c>
      <c r="G428" s="81" t="str">
        <f aca="false">IF('CARNET DE SOUDURE'!E428="","",'CARNET DE SOUDURE'!AM428)</f>
        <v>À SOUDER</v>
      </c>
      <c r="H428" s="81" t="str">
        <f aca="false">IF(C428="","",IF(G428="ACCEPTÉ","OUI","NON"))</f>
        <v>NON</v>
      </c>
      <c r="I428" s="82"/>
      <c r="J428" s="79"/>
      <c r="K428" s="80"/>
      <c r="L428" s="80"/>
      <c r="M428" s="80"/>
      <c r="N428" s="83" t="str">
        <f aca="false">IF(C428="","",IF(I428="",IF(H428="OUI","À ENROBER",IF(G428="À SOUDER","NON SOUDÉ","EN ATTENTE RT")),IF(L428="R","À REPRENDRE",IF(H428&lt;&gt;"OUI","⚠ ENROBÉ AVANT ACCEPTATION RT","ENROBÉ"))))</f>
        <v>NON SOUDÉ</v>
      </c>
      <c r="O428" s="79"/>
    </row>
    <row r="429" customFormat="false" ht="15" hidden="false" customHeight="false" outlineLevel="0" collapsed="false">
      <c r="A429" s="78" t="n">
        <f aca="false">IF('CARNET DE SOUDURE'!E429="","",'CARNET DE SOUDURE'!A429)</f>
        <v>423</v>
      </c>
      <c r="B429" s="93" t="str">
        <f aca="false">IF('CARNET DE SOUDURE'!E429="","",'CARNET DE SOUDURE'!B429&amp;"")</f>
        <v>ISB-303</v>
      </c>
      <c r="C429" s="83" t="str">
        <f aca="false">IF('CARNET DE SOUDURE'!E429="","",'CARNET DE SOUDURE'!E429)</f>
        <v>JN°018</v>
      </c>
      <c r="D429" s="78" t="str">
        <f aca="false">IF('CARNET DE SOUDURE'!E429="","",'CARNET DE SOUDURE'!D429&amp;"")</f>
        <v/>
      </c>
      <c r="E429" s="96" t="str">
        <f aca="false">IF(OR('CARNET DE SOUDURE'!E429="",'CARNET DE SOUDURE'!R429=""),"",'CARNET DE SOUDURE'!R429)</f>
        <v/>
      </c>
      <c r="F429" s="81" t="str">
        <f aca="false">IF('CARNET DE SOUDURE'!E429="","",'CARNET DE SOUDURE'!AL429)</f>
        <v/>
      </c>
      <c r="G429" s="81" t="str">
        <f aca="false">IF('CARNET DE SOUDURE'!E429="","",'CARNET DE SOUDURE'!AM429)</f>
        <v>À SOUDER</v>
      </c>
      <c r="H429" s="81" t="str">
        <f aca="false">IF(C429="","",IF(G429="ACCEPTÉ","OUI","NON"))</f>
        <v>NON</v>
      </c>
      <c r="I429" s="82"/>
      <c r="J429" s="79"/>
      <c r="K429" s="80"/>
      <c r="L429" s="80"/>
      <c r="M429" s="80"/>
      <c r="N429" s="83" t="str">
        <f aca="false">IF(C429="","",IF(I429="",IF(H429="OUI","À ENROBER",IF(G429="À SOUDER","NON SOUDÉ","EN ATTENTE RT")),IF(L429="R","À REPRENDRE",IF(H429&lt;&gt;"OUI","⚠ ENROBÉ AVANT ACCEPTATION RT","ENROBÉ"))))</f>
        <v>NON SOUDÉ</v>
      </c>
      <c r="O429" s="79"/>
    </row>
    <row r="430" customFormat="false" ht="15" hidden="false" customHeight="false" outlineLevel="0" collapsed="false">
      <c r="A430" s="78" t="n">
        <f aca="false">IF('CARNET DE SOUDURE'!E430="","",'CARNET DE SOUDURE'!A430)</f>
        <v>424</v>
      </c>
      <c r="B430" s="93" t="str">
        <f aca="false">IF('CARNET DE SOUDURE'!E430="","",'CARNET DE SOUDURE'!B430&amp;"")</f>
        <v>ISB-303</v>
      </c>
      <c r="C430" s="83" t="str">
        <f aca="false">IF('CARNET DE SOUDURE'!E430="","",'CARNET DE SOUDURE'!E430)</f>
        <v>JN°019</v>
      </c>
      <c r="D430" s="78" t="str">
        <f aca="false">IF('CARNET DE SOUDURE'!E430="","",'CARNET DE SOUDURE'!D430&amp;"")</f>
        <v/>
      </c>
      <c r="E430" s="96" t="str">
        <f aca="false">IF(OR('CARNET DE SOUDURE'!E430="",'CARNET DE SOUDURE'!R430=""),"",'CARNET DE SOUDURE'!R430)</f>
        <v/>
      </c>
      <c r="F430" s="81" t="str">
        <f aca="false">IF('CARNET DE SOUDURE'!E430="","",'CARNET DE SOUDURE'!AL430)</f>
        <v/>
      </c>
      <c r="G430" s="81" t="str">
        <f aca="false">IF('CARNET DE SOUDURE'!E430="","",'CARNET DE SOUDURE'!AM430)</f>
        <v>À SOUDER</v>
      </c>
      <c r="H430" s="81" t="str">
        <f aca="false">IF(C430="","",IF(G430="ACCEPTÉ","OUI","NON"))</f>
        <v>NON</v>
      </c>
      <c r="I430" s="82"/>
      <c r="J430" s="79"/>
      <c r="K430" s="80"/>
      <c r="L430" s="80"/>
      <c r="M430" s="80"/>
      <c r="N430" s="83" t="str">
        <f aca="false">IF(C430="","",IF(I430="",IF(H430="OUI","À ENROBER",IF(G430="À SOUDER","NON SOUDÉ","EN ATTENTE RT")),IF(L430="R","À REPRENDRE",IF(H430&lt;&gt;"OUI","⚠ ENROBÉ AVANT ACCEPTATION RT","ENROBÉ"))))</f>
        <v>NON SOUDÉ</v>
      </c>
      <c r="O430" s="79"/>
    </row>
    <row r="431" customFormat="false" ht="15" hidden="false" customHeight="false" outlineLevel="0" collapsed="false">
      <c r="A431" s="78" t="n">
        <f aca="false">IF('CARNET DE SOUDURE'!E431="","",'CARNET DE SOUDURE'!A431)</f>
        <v>425</v>
      </c>
      <c r="B431" s="93" t="str">
        <f aca="false">IF('CARNET DE SOUDURE'!E431="","",'CARNET DE SOUDURE'!B431&amp;"")</f>
        <v>ISB-303</v>
      </c>
      <c r="C431" s="83" t="str">
        <f aca="false">IF('CARNET DE SOUDURE'!E431="","",'CARNET DE SOUDURE'!E431)</f>
        <v>JN°020</v>
      </c>
      <c r="D431" s="78" t="str">
        <f aca="false">IF('CARNET DE SOUDURE'!E431="","",'CARNET DE SOUDURE'!D431&amp;"")</f>
        <v/>
      </c>
      <c r="E431" s="96" t="str">
        <f aca="false">IF(OR('CARNET DE SOUDURE'!E431="",'CARNET DE SOUDURE'!R431=""),"",'CARNET DE SOUDURE'!R431)</f>
        <v/>
      </c>
      <c r="F431" s="81" t="str">
        <f aca="false">IF('CARNET DE SOUDURE'!E431="","",'CARNET DE SOUDURE'!AL431)</f>
        <v/>
      </c>
      <c r="G431" s="81" t="str">
        <f aca="false">IF('CARNET DE SOUDURE'!E431="","",'CARNET DE SOUDURE'!AM431)</f>
        <v>À SOUDER</v>
      </c>
      <c r="H431" s="81" t="str">
        <f aca="false">IF(C431="","",IF(G431="ACCEPTÉ","OUI","NON"))</f>
        <v>NON</v>
      </c>
      <c r="I431" s="82"/>
      <c r="J431" s="79"/>
      <c r="K431" s="80"/>
      <c r="L431" s="80"/>
      <c r="M431" s="80"/>
      <c r="N431" s="83" t="str">
        <f aca="false">IF(C431="","",IF(I431="",IF(H431="OUI","À ENROBER",IF(G431="À SOUDER","NON SOUDÉ","EN ATTENTE RT")),IF(L431="R","À REPRENDRE",IF(H431&lt;&gt;"OUI","⚠ ENROBÉ AVANT ACCEPTATION RT","ENROBÉ"))))</f>
        <v>NON SOUDÉ</v>
      </c>
      <c r="O431" s="79"/>
    </row>
    <row r="432" customFormat="false" ht="15" hidden="false" customHeight="false" outlineLevel="0" collapsed="false">
      <c r="A432" s="78" t="n">
        <f aca="false">IF('CARNET DE SOUDURE'!E432="","",'CARNET DE SOUDURE'!A432)</f>
        <v>426</v>
      </c>
      <c r="B432" s="93" t="str">
        <f aca="false">IF('CARNET DE SOUDURE'!E432="","",'CARNET DE SOUDURE'!B432&amp;"")</f>
        <v>ISB-303</v>
      </c>
      <c r="C432" s="83" t="str">
        <f aca="false">IF('CARNET DE SOUDURE'!E432="","",'CARNET DE SOUDURE'!E432)</f>
        <v>JN°021</v>
      </c>
      <c r="D432" s="78" t="str">
        <f aca="false">IF('CARNET DE SOUDURE'!E432="","",'CARNET DE SOUDURE'!D432&amp;"")</f>
        <v/>
      </c>
      <c r="E432" s="96" t="str">
        <f aca="false">IF(OR('CARNET DE SOUDURE'!E432="",'CARNET DE SOUDURE'!R432=""),"",'CARNET DE SOUDURE'!R432)</f>
        <v/>
      </c>
      <c r="F432" s="81" t="str">
        <f aca="false">IF('CARNET DE SOUDURE'!E432="","",'CARNET DE SOUDURE'!AL432)</f>
        <v/>
      </c>
      <c r="G432" s="81" t="str">
        <f aca="false">IF('CARNET DE SOUDURE'!E432="","",'CARNET DE SOUDURE'!AM432)</f>
        <v>À SOUDER</v>
      </c>
      <c r="H432" s="81" t="str">
        <f aca="false">IF(C432="","",IF(G432="ACCEPTÉ","OUI","NON"))</f>
        <v>NON</v>
      </c>
      <c r="I432" s="82"/>
      <c r="J432" s="79"/>
      <c r="K432" s="80"/>
      <c r="L432" s="80"/>
      <c r="M432" s="80"/>
      <c r="N432" s="83" t="str">
        <f aca="false">IF(C432="","",IF(I432="",IF(H432="OUI","À ENROBER",IF(G432="À SOUDER","NON SOUDÉ","EN ATTENTE RT")),IF(L432="R","À REPRENDRE",IF(H432&lt;&gt;"OUI","⚠ ENROBÉ AVANT ACCEPTATION RT","ENROBÉ"))))</f>
        <v>NON SOUDÉ</v>
      </c>
      <c r="O432" s="79"/>
    </row>
    <row r="433" customFormat="false" ht="15" hidden="false" customHeight="false" outlineLevel="0" collapsed="false">
      <c r="A433" s="78" t="n">
        <f aca="false">IF('CARNET DE SOUDURE'!E433="","",'CARNET DE SOUDURE'!A433)</f>
        <v>427</v>
      </c>
      <c r="B433" s="93" t="str">
        <f aca="false">IF('CARNET DE SOUDURE'!E433="","",'CARNET DE SOUDURE'!B433&amp;"")</f>
        <v>ISB-303</v>
      </c>
      <c r="C433" s="83" t="str">
        <f aca="false">IF('CARNET DE SOUDURE'!E433="","",'CARNET DE SOUDURE'!E433)</f>
        <v>JN°022</v>
      </c>
      <c r="D433" s="78" t="str">
        <f aca="false">IF('CARNET DE SOUDURE'!E433="","",'CARNET DE SOUDURE'!D433&amp;"")</f>
        <v/>
      </c>
      <c r="E433" s="96" t="str">
        <f aca="false">IF(OR('CARNET DE SOUDURE'!E433="",'CARNET DE SOUDURE'!R433=""),"",'CARNET DE SOUDURE'!R433)</f>
        <v/>
      </c>
      <c r="F433" s="81" t="str">
        <f aca="false">IF('CARNET DE SOUDURE'!E433="","",'CARNET DE SOUDURE'!AL433)</f>
        <v/>
      </c>
      <c r="G433" s="81" t="str">
        <f aca="false">IF('CARNET DE SOUDURE'!E433="","",'CARNET DE SOUDURE'!AM433)</f>
        <v>À SOUDER</v>
      </c>
      <c r="H433" s="81" t="str">
        <f aca="false">IF(C433="","",IF(G433="ACCEPTÉ","OUI","NON"))</f>
        <v>NON</v>
      </c>
      <c r="I433" s="82"/>
      <c r="J433" s="79"/>
      <c r="K433" s="80"/>
      <c r="L433" s="80"/>
      <c r="M433" s="80"/>
      <c r="N433" s="83" t="str">
        <f aca="false">IF(C433="","",IF(I433="",IF(H433="OUI","À ENROBER",IF(G433="À SOUDER","NON SOUDÉ","EN ATTENTE RT")),IF(L433="R","À REPRENDRE",IF(H433&lt;&gt;"OUI","⚠ ENROBÉ AVANT ACCEPTATION RT","ENROBÉ"))))</f>
        <v>NON SOUDÉ</v>
      </c>
      <c r="O433" s="79"/>
    </row>
    <row r="434" customFormat="false" ht="15" hidden="false" customHeight="false" outlineLevel="0" collapsed="false">
      <c r="A434" s="78" t="n">
        <f aca="false">IF('CARNET DE SOUDURE'!E434="","",'CARNET DE SOUDURE'!A434)</f>
        <v>428</v>
      </c>
      <c r="B434" s="93" t="str">
        <f aca="false">IF('CARNET DE SOUDURE'!E434="","",'CARNET DE SOUDURE'!B434&amp;"")</f>
        <v>ISB-303</v>
      </c>
      <c r="C434" s="83" t="str">
        <f aca="false">IF('CARNET DE SOUDURE'!E434="","",'CARNET DE SOUDURE'!E434)</f>
        <v>JN°023</v>
      </c>
      <c r="D434" s="78" t="str">
        <f aca="false">IF('CARNET DE SOUDURE'!E434="","",'CARNET DE SOUDURE'!D434&amp;"")</f>
        <v/>
      </c>
      <c r="E434" s="96" t="str">
        <f aca="false">IF(OR('CARNET DE SOUDURE'!E434="",'CARNET DE SOUDURE'!R434=""),"",'CARNET DE SOUDURE'!R434)</f>
        <v/>
      </c>
      <c r="F434" s="81" t="str">
        <f aca="false">IF('CARNET DE SOUDURE'!E434="","",'CARNET DE SOUDURE'!AL434)</f>
        <v/>
      </c>
      <c r="G434" s="81" t="str">
        <f aca="false">IF('CARNET DE SOUDURE'!E434="","",'CARNET DE SOUDURE'!AM434)</f>
        <v>À SOUDER</v>
      </c>
      <c r="H434" s="81" t="str">
        <f aca="false">IF(C434="","",IF(G434="ACCEPTÉ","OUI","NON"))</f>
        <v>NON</v>
      </c>
      <c r="I434" s="82"/>
      <c r="J434" s="79"/>
      <c r="K434" s="80"/>
      <c r="L434" s="80"/>
      <c r="M434" s="80"/>
      <c r="N434" s="83" t="str">
        <f aca="false">IF(C434="","",IF(I434="",IF(H434="OUI","À ENROBER",IF(G434="À SOUDER","NON SOUDÉ","EN ATTENTE RT")),IF(L434="R","À REPRENDRE",IF(H434&lt;&gt;"OUI","⚠ ENROBÉ AVANT ACCEPTATION RT","ENROBÉ"))))</f>
        <v>NON SOUDÉ</v>
      </c>
      <c r="O434" s="79"/>
    </row>
    <row r="435" customFormat="false" ht="15" hidden="false" customHeight="false" outlineLevel="0" collapsed="false">
      <c r="A435" s="78" t="n">
        <f aca="false">IF('CARNET DE SOUDURE'!E435="","",'CARNET DE SOUDURE'!A435)</f>
        <v>429</v>
      </c>
      <c r="B435" s="93" t="str">
        <f aca="false">IF('CARNET DE SOUDURE'!E435="","",'CARNET DE SOUDURE'!B435&amp;"")</f>
        <v>ISB-303</v>
      </c>
      <c r="C435" s="83" t="str">
        <f aca="false">IF('CARNET DE SOUDURE'!E435="","",'CARNET DE SOUDURE'!E435)</f>
        <v>JN°024</v>
      </c>
      <c r="D435" s="78" t="str">
        <f aca="false">IF('CARNET DE SOUDURE'!E435="","",'CARNET DE SOUDURE'!D435&amp;"")</f>
        <v/>
      </c>
      <c r="E435" s="96" t="str">
        <f aca="false">IF(OR('CARNET DE SOUDURE'!E435="",'CARNET DE SOUDURE'!R435=""),"",'CARNET DE SOUDURE'!R435)</f>
        <v/>
      </c>
      <c r="F435" s="81" t="str">
        <f aca="false">IF('CARNET DE SOUDURE'!E435="","",'CARNET DE SOUDURE'!AL435)</f>
        <v/>
      </c>
      <c r="G435" s="81" t="str">
        <f aca="false">IF('CARNET DE SOUDURE'!E435="","",'CARNET DE SOUDURE'!AM435)</f>
        <v>À SOUDER</v>
      </c>
      <c r="H435" s="81" t="str">
        <f aca="false">IF(C435="","",IF(G435="ACCEPTÉ","OUI","NON"))</f>
        <v>NON</v>
      </c>
      <c r="I435" s="82"/>
      <c r="J435" s="79"/>
      <c r="K435" s="80"/>
      <c r="L435" s="80"/>
      <c r="M435" s="80"/>
      <c r="N435" s="83" t="str">
        <f aca="false">IF(C435="","",IF(I435="",IF(H435="OUI","À ENROBER",IF(G435="À SOUDER","NON SOUDÉ","EN ATTENTE RT")),IF(L435="R","À REPRENDRE",IF(H435&lt;&gt;"OUI","⚠ ENROBÉ AVANT ACCEPTATION RT","ENROBÉ"))))</f>
        <v>NON SOUDÉ</v>
      </c>
      <c r="O435" s="79"/>
    </row>
    <row r="436" customFormat="false" ht="15" hidden="false" customHeight="false" outlineLevel="0" collapsed="false">
      <c r="A436" s="78" t="n">
        <f aca="false">IF('CARNET DE SOUDURE'!E436="","",'CARNET DE SOUDURE'!A436)</f>
        <v>430</v>
      </c>
      <c r="B436" s="93" t="str">
        <f aca="false">IF('CARNET DE SOUDURE'!E436="","",'CARNET DE SOUDURE'!B436&amp;"")</f>
        <v>ISB-303</v>
      </c>
      <c r="C436" s="83" t="str">
        <f aca="false">IF('CARNET DE SOUDURE'!E436="","",'CARNET DE SOUDURE'!E436)</f>
        <v>JN°025</v>
      </c>
      <c r="D436" s="78" t="str">
        <f aca="false">IF('CARNET DE SOUDURE'!E436="","",'CARNET DE SOUDURE'!D436&amp;"")</f>
        <v/>
      </c>
      <c r="E436" s="96" t="str">
        <f aca="false">IF(OR('CARNET DE SOUDURE'!E436="",'CARNET DE SOUDURE'!R436=""),"",'CARNET DE SOUDURE'!R436)</f>
        <v/>
      </c>
      <c r="F436" s="81" t="str">
        <f aca="false">IF('CARNET DE SOUDURE'!E436="","",'CARNET DE SOUDURE'!AL436)</f>
        <v/>
      </c>
      <c r="G436" s="81" t="str">
        <f aca="false">IF('CARNET DE SOUDURE'!E436="","",'CARNET DE SOUDURE'!AM436)</f>
        <v>À SOUDER</v>
      </c>
      <c r="H436" s="81" t="str">
        <f aca="false">IF(C436="","",IF(G436="ACCEPTÉ","OUI","NON"))</f>
        <v>NON</v>
      </c>
      <c r="I436" s="82"/>
      <c r="J436" s="79"/>
      <c r="K436" s="80"/>
      <c r="L436" s="80"/>
      <c r="M436" s="80"/>
      <c r="N436" s="83" t="str">
        <f aca="false">IF(C436="","",IF(I436="",IF(H436="OUI","À ENROBER",IF(G436="À SOUDER","NON SOUDÉ","EN ATTENTE RT")),IF(L436="R","À REPRENDRE",IF(H436&lt;&gt;"OUI","⚠ ENROBÉ AVANT ACCEPTATION RT","ENROBÉ"))))</f>
        <v>NON SOUDÉ</v>
      </c>
      <c r="O436" s="79"/>
    </row>
    <row r="437" customFormat="false" ht="15" hidden="false" customHeight="false" outlineLevel="0" collapsed="false">
      <c r="A437" s="78" t="n">
        <f aca="false">IF('CARNET DE SOUDURE'!E437="","",'CARNET DE SOUDURE'!A437)</f>
        <v>431</v>
      </c>
      <c r="B437" s="93" t="str">
        <f aca="false">IF('CARNET DE SOUDURE'!E437="","",'CARNET DE SOUDURE'!B437&amp;"")</f>
        <v>ISB-303</v>
      </c>
      <c r="C437" s="83" t="str">
        <f aca="false">IF('CARNET DE SOUDURE'!E437="","",'CARNET DE SOUDURE'!E437)</f>
        <v>JN°026</v>
      </c>
      <c r="D437" s="78" t="str">
        <f aca="false">IF('CARNET DE SOUDURE'!E437="","",'CARNET DE SOUDURE'!D437&amp;"")</f>
        <v/>
      </c>
      <c r="E437" s="96" t="str">
        <f aca="false">IF(OR('CARNET DE SOUDURE'!E437="",'CARNET DE SOUDURE'!R437=""),"",'CARNET DE SOUDURE'!R437)</f>
        <v/>
      </c>
      <c r="F437" s="81" t="str">
        <f aca="false">IF('CARNET DE SOUDURE'!E437="","",'CARNET DE SOUDURE'!AL437)</f>
        <v/>
      </c>
      <c r="G437" s="81" t="str">
        <f aca="false">IF('CARNET DE SOUDURE'!E437="","",'CARNET DE SOUDURE'!AM437)</f>
        <v>À SOUDER</v>
      </c>
      <c r="H437" s="81" t="str">
        <f aca="false">IF(C437="","",IF(G437="ACCEPTÉ","OUI","NON"))</f>
        <v>NON</v>
      </c>
      <c r="I437" s="82"/>
      <c r="J437" s="79"/>
      <c r="K437" s="80"/>
      <c r="L437" s="80"/>
      <c r="M437" s="80"/>
      <c r="N437" s="83" t="str">
        <f aca="false">IF(C437="","",IF(I437="",IF(H437="OUI","À ENROBER",IF(G437="À SOUDER","NON SOUDÉ","EN ATTENTE RT")),IF(L437="R","À REPRENDRE",IF(H437&lt;&gt;"OUI","⚠ ENROBÉ AVANT ACCEPTATION RT","ENROBÉ"))))</f>
        <v>NON SOUDÉ</v>
      </c>
      <c r="O437" s="79"/>
    </row>
    <row r="438" customFormat="false" ht="15" hidden="false" customHeight="false" outlineLevel="0" collapsed="false">
      <c r="A438" s="78" t="n">
        <f aca="false">IF('CARNET DE SOUDURE'!E438="","",'CARNET DE SOUDURE'!A438)</f>
        <v>432</v>
      </c>
      <c r="B438" s="93" t="str">
        <f aca="false">IF('CARNET DE SOUDURE'!E438="","",'CARNET DE SOUDURE'!B438&amp;"")</f>
        <v>ISB-303</v>
      </c>
      <c r="C438" s="83" t="str">
        <f aca="false">IF('CARNET DE SOUDURE'!E438="","",'CARNET DE SOUDURE'!E438)</f>
        <v>JN°027</v>
      </c>
      <c r="D438" s="78" t="str">
        <f aca="false">IF('CARNET DE SOUDURE'!E438="","",'CARNET DE SOUDURE'!D438&amp;"")</f>
        <v/>
      </c>
      <c r="E438" s="96" t="str">
        <f aca="false">IF(OR('CARNET DE SOUDURE'!E438="",'CARNET DE SOUDURE'!R438=""),"",'CARNET DE SOUDURE'!R438)</f>
        <v/>
      </c>
      <c r="F438" s="81" t="str">
        <f aca="false">IF('CARNET DE SOUDURE'!E438="","",'CARNET DE SOUDURE'!AL438)</f>
        <v/>
      </c>
      <c r="G438" s="81" t="str">
        <f aca="false">IF('CARNET DE SOUDURE'!E438="","",'CARNET DE SOUDURE'!AM438)</f>
        <v>À SOUDER</v>
      </c>
      <c r="H438" s="81" t="str">
        <f aca="false">IF(C438="","",IF(G438="ACCEPTÉ","OUI","NON"))</f>
        <v>NON</v>
      </c>
      <c r="I438" s="82"/>
      <c r="J438" s="79"/>
      <c r="K438" s="80"/>
      <c r="L438" s="80"/>
      <c r="M438" s="80"/>
      <c r="N438" s="83" t="str">
        <f aca="false">IF(C438="","",IF(I438="",IF(H438="OUI","À ENROBER",IF(G438="À SOUDER","NON SOUDÉ","EN ATTENTE RT")),IF(L438="R","À REPRENDRE",IF(H438&lt;&gt;"OUI","⚠ ENROBÉ AVANT ACCEPTATION RT","ENROBÉ"))))</f>
        <v>NON SOUDÉ</v>
      </c>
      <c r="O438" s="79"/>
    </row>
    <row r="439" customFormat="false" ht="15" hidden="false" customHeight="false" outlineLevel="0" collapsed="false">
      <c r="A439" s="78" t="n">
        <f aca="false">IF('CARNET DE SOUDURE'!E439="","",'CARNET DE SOUDURE'!A439)</f>
        <v>433</v>
      </c>
      <c r="B439" s="93" t="str">
        <f aca="false">IF('CARNET DE SOUDURE'!E439="","",'CARNET DE SOUDURE'!B439&amp;"")</f>
        <v>ISB-303</v>
      </c>
      <c r="C439" s="83" t="str">
        <f aca="false">IF('CARNET DE SOUDURE'!E439="","",'CARNET DE SOUDURE'!E439)</f>
        <v>JN°028</v>
      </c>
      <c r="D439" s="78" t="str">
        <f aca="false">IF('CARNET DE SOUDURE'!E439="","",'CARNET DE SOUDURE'!D439&amp;"")</f>
        <v/>
      </c>
      <c r="E439" s="96" t="str">
        <f aca="false">IF(OR('CARNET DE SOUDURE'!E439="",'CARNET DE SOUDURE'!R439=""),"",'CARNET DE SOUDURE'!R439)</f>
        <v/>
      </c>
      <c r="F439" s="81" t="str">
        <f aca="false">IF('CARNET DE SOUDURE'!E439="","",'CARNET DE SOUDURE'!AL439)</f>
        <v/>
      </c>
      <c r="G439" s="81" t="str">
        <f aca="false">IF('CARNET DE SOUDURE'!E439="","",'CARNET DE SOUDURE'!AM439)</f>
        <v>À SOUDER</v>
      </c>
      <c r="H439" s="81" t="str">
        <f aca="false">IF(C439="","",IF(G439="ACCEPTÉ","OUI","NON"))</f>
        <v>NON</v>
      </c>
      <c r="I439" s="82"/>
      <c r="J439" s="79"/>
      <c r="K439" s="80"/>
      <c r="L439" s="80"/>
      <c r="M439" s="80"/>
      <c r="N439" s="83" t="str">
        <f aca="false">IF(C439="","",IF(I439="",IF(H439="OUI","À ENROBER",IF(G439="À SOUDER","NON SOUDÉ","EN ATTENTE RT")),IF(L439="R","À REPRENDRE",IF(H439&lt;&gt;"OUI","⚠ ENROBÉ AVANT ACCEPTATION RT","ENROBÉ"))))</f>
        <v>NON SOUDÉ</v>
      </c>
      <c r="O439" s="79"/>
    </row>
    <row r="440" customFormat="false" ht="15" hidden="false" customHeight="false" outlineLevel="0" collapsed="false">
      <c r="A440" s="78" t="n">
        <f aca="false">IF('CARNET DE SOUDURE'!E440="","",'CARNET DE SOUDURE'!A440)</f>
        <v>434</v>
      </c>
      <c r="B440" s="93" t="str">
        <f aca="false">IF('CARNET DE SOUDURE'!E440="","",'CARNET DE SOUDURE'!B440&amp;"")</f>
        <v>ISB-303</v>
      </c>
      <c r="C440" s="83" t="str">
        <f aca="false">IF('CARNET DE SOUDURE'!E440="","",'CARNET DE SOUDURE'!E440)</f>
        <v>JN°029</v>
      </c>
      <c r="D440" s="78" t="str">
        <f aca="false">IF('CARNET DE SOUDURE'!E440="","",'CARNET DE SOUDURE'!D440&amp;"")</f>
        <v/>
      </c>
      <c r="E440" s="96" t="str">
        <f aca="false">IF(OR('CARNET DE SOUDURE'!E440="",'CARNET DE SOUDURE'!R440=""),"",'CARNET DE SOUDURE'!R440)</f>
        <v/>
      </c>
      <c r="F440" s="81" t="str">
        <f aca="false">IF('CARNET DE SOUDURE'!E440="","",'CARNET DE SOUDURE'!AL440)</f>
        <v/>
      </c>
      <c r="G440" s="81" t="str">
        <f aca="false">IF('CARNET DE SOUDURE'!E440="","",'CARNET DE SOUDURE'!AM440)</f>
        <v>À SOUDER</v>
      </c>
      <c r="H440" s="81" t="str">
        <f aca="false">IF(C440="","",IF(G440="ACCEPTÉ","OUI","NON"))</f>
        <v>NON</v>
      </c>
      <c r="I440" s="82"/>
      <c r="J440" s="79"/>
      <c r="K440" s="80"/>
      <c r="L440" s="80"/>
      <c r="M440" s="80"/>
      <c r="N440" s="83" t="str">
        <f aca="false">IF(C440="","",IF(I440="",IF(H440="OUI","À ENROBER",IF(G440="À SOUDER","NON SOUDÉ","EN ATTENTE RT")),IF(L440="R","À REPRENDRE",IF(H440&lt;&gt;"OUI","⚠ ENROBÉ AVANT ACCEPTATION RT","ENROBÉ"))))</f>
        <v>NON SOUDÉ</v>
      </c>
      <c r="O440" s="79"/>
    </row>
    <row r="441" customFormat="false" ht="15" hidden="false" customHeight="false" outlineLevel="0" collapsed="false">
      <c r="A441" s="78" t="n">
        <f aca="false">IF('CARNET DE SOUDURE'!E441="","",'CARNET DE SOUDURE'!A441)</f>
        <v>435</v>
      </c>
      <c r="B441" s="93" t="str">
        <f aca="false">IF('CARNET DE SOUDURE'!E441="","",'CARNET DE SOUDURE'!B441&amp;"")</f>
        <v>ISB-303</v>
      </c>
      <c r="C441" s="83" t="str">
        <f aca="false">IF('CARNET DE SOUDURE'!E441="","",'CARNET DE SOUDURE'!E441)</f>
        <v>JN°030</v>
      </c>
      <c r="D441" s="78" t="str">
        <f aca="false">IF('CARNET DE SOUDURE'!E441="","",'CARNET DE SOUDURE'!D441&amp;"")</f>
        <v/>
      </c>
      <c r="E441" s="96" t="str">
        <f aca="false">IF(OR('CARNET DE SOUDURE'!E441="",'CARNET DE SOUDURE'!R441=""),"",'CARNET DE SOUDURE'!R441)</f>
        <v/>
      </c>
      <c r="F441" s="81" t="str">
        <f aca="false">IF('CARNET DE SOUDURE'!E441="","",'CARNET DE SOUDURE'!AL441)</f>
        <v/>
      </c>
      <c r="G441" s="81" t="str">
        <f aca="false">IF('CARNET DE SOUDURE'!E441="","",'CARNET DE SOUDURE'!AM441)</f>
        <v>À SOUDER</v>
      </c>
      <c r="H441" s="81" t="str">
        <f aca="false">IF(C441="","",IF(G441="ACCEPTÉ","OUI","NON"))</f>
        <v>NON</v>
      </c>
      <c r="I441" s="82"/>
      <c r="J441" s="79"/>
      <c r="K441" s="80"/>
      <c r="L441" s="80"/>
      <c r="M441" s="80"/>
      <c r="N441" s="83" t="str">
        <f aca="false">IF(C441="","",IF(I441="",IF(H441="OUI","À ENROBER",IF(G441="À SOUDER","NON SOUDÉ","EN ATTENTE RT")),IF(L441="R","À REPRENDRE",IF(H441&lt;&gt;"OUI","⚠ ENROBÉ AVANT ACCEPTATION RT","ENROBÉ"))))</f>
        <v>NON SOUDÉ</v>
      </c>
      <c r="O441" s="79"/>
    </row>
    <row r="442" customFormat="false" ht="15" hidden="false" customHeight="false" outlineLevel="0" collapsed="false">
      <c r="A442" s="78" t="n">
        <f aca="false">IF('CARNET DE SOUDURE'!E442="","",'CARNET DE SOUDURE'!A442)</f>
        <v>436</v>
      </c>
      <c r="B442" s="93" t="str">
        <f aca="false">IF('CARNET DE SOUDURE'!E442="","",'CARNET DE SOUDURE'!B442&amp;"")</f>
        <v>ISB-303</v>
      </c>
      <c r="C442" s="83" t="str">
        <f aca="false">IF('CARNET DE SOUDURE'!E442="","",'CARNET DE SOUDURE'!E442)</f>
        <v>JN°031</v>
      </c>
      <c r="D442" s="78" t="str">
        <f aca="false">IF('CARNET DE SOUDURE'!E442="","",'CARNET DE SOUDURE'!D442&amp;"")</f>
        <v/>
      </c>
      <c r="E442" s="96" t="str">
        <f aca="false">IF(OR('CARNET DE SOUDURE'!E442="",'CARNET DE SOUDURE'!R442=""),"",'CARNET DE SOUDURE'!R442)</f>
        <v/>
      </c>
      <c r="F442" s="81" t="str">
        <f aca="false">IF('CARNET DE SOUDURE'!E442="","",'CARNET DE SOUDURE'!AL442)</f>
        <v/>
      </c>
      <c r="G442" s="81" t="str">
        <f aca="false">IF('CARNET DE SOUDURE'!E442="","",'CARNET DE SOUDURE'!AM442)</f>
        <v>À SOUDER</v>
      </c>
      <c r="H442" s="81" t="str">
        <f aca="false">IF(C442="","",IF(G442="ACCEPTÉ","OUI","NON"))</f>
        <v>NON</v>
      </c>
      <c r="I442" s="82"/>
      <c r="J442" s="79"/>
      <c r="K442" s="80"/>
      <c r="L442" s="80"/>
      <c r="M442" s="80"/>
      <c r="N442" s="83" t="str">
        <f aca="false">IF(C442="","",IF(I442="",IF(H442="OUI","À ENROBER",IF(G442="À SOUDER","NON SOUDÉ","EN ATTENTE RT")),IF(L442="R","À REPRENDRE",IF(H442&lt;&gt;"OUI","⚠ ENROBÉ AVANT ACCEPTATION RT","ENROBÉ"))))</f>
        <v>NON SOUDÉ</v>
      </c>
      <c r="O442" s="79"/>
    </row>
    <row r="443" customFormat="false" ht="15" hidden="false" customHeight="false" outlineLevel="0" collapsed="false">
      <c r="A443" s="78" t="n">
        <f aca="false">IF('CARNET DE SOUDURE'!E443="","",'CARNET DE SOUDURE'!A443)</f>
        <v>437</v>
      </c>
      <c r="B443" s="93" t="str">
        <f aca="false">IF('CARNET DE SOUDURE'!E443="","",'CARNET DE SOUDURE'!B443&amp;"")</f>
        <v>ISB-303</v>
      </c>
      <c r="C443" s="83" t="str">
        <f aca="false">IF('CARNET DE SOUDURE'!E443="","",'CARNET DE SOUDURE'!E443)</f>
        <v>JN°032</v>
      </c>
      <c r="D443" s="78" t="str">
        <f aca="false">IF('CARNET DE SOUDURE'!E443="","",'CARNET DE SOUDURE'!D443&amp;"")</f>
        <v/>
      </c>
      <c r="E443" s="96" t="str">
        <f aca="false">IF(OR('CARNET DE SOUDURE'!E443="",'CARNET DE SOUDURE'!R443=""),"",'CARNET DE SOUDURE'!R443)</f>
        <v/>
      </c>
      <c r="F443" s="81" t="str">
        <f aca="false">IF('CARNET DE SOUDURE'!E443="","",'CARNET DE SOUDURE'!AL443)</f>
        <v/>
      </c>
      <c r="G443" s="81" t="str">
        <f aca="false">IF('CARNET DE SOUDURE'!E443="","",'CARNET DE SOUDURE'!AM443)</f>
        <v>À SOUDER</v>
      </c>
      <c r="H443" s="81" t="str">
        <f aca="false">IF(C443="","",IF(G443="ACCEPTÉ","OUI","NON"))</f>
        <v>NON</v>
      </c>
      <c r="I443" s="82"/>
      <c r="J443" s="79"/>
      <c r="K443" s="80"/>
      <c r="L443" s="80"/>
      <c r="M443" s="80"/>
      <c r="N443" s="83" t="str">
        <f aca="false">IF(C443="","",IF(I443="",IF(H443="OUI","À ENROBER",IF(G443="À SOUDER","NON SOUDÉ","EN ATTENTE RT")),IF(L443="R","À REPRENDRE",IF(H443&lt;&gt;"OUI","⚠ ENROBÉ AVANT ACCEPTATION RT","ENROBÉ"))))</f>
        <v>NON SOUDÉ</v>
      </c>
      <c r="O443" s="79"/>
    </row>
    <row r="444" customFormat="false" ht="15" hidden="false" customHeight="false" outlineLevel="0" collapsed="false">
      <c r="A444" s="78" t="n">
        <f aca="false">IF('CARNET DE SOUDURE'!E444="","",'CARNET DE SOUDURE'!A444)</f>
        <v>438</v>
      </c>
      <c r="B444" s="93" t="str">
        <f aca="false">IF('CARNET DE SOUDURE'!E444="","",'CARNET DE SOUDURE'!B444&amp;"")</f>
        <v>ISB-303</v>
      </c>
      <c r="C444" s="83" t="str">
        <f aca="false">IF('CARNET DE SOUDURE'!E444="","",'CARNET DE SOUDURE'!E444)</f>
        <v>JN°033</v>
      </c>
      <c r="D444" s="78" t="str">
        <f aca="false">IF('CARNET DE SOUDURE'!E444="","",'CARNET DE SOUDURE'!D444&amp;"")</f>
        <v/>
      </c>
      <c r="E444" s="96" t="str">
        <f aca="false">IF(OR('CARNET DE SOUDURE'!E444="",'CARNET DE SOUDURE'!R444=""),"",'CARNET DE SOUDURE'!R444)</f>
        <v/>
      </c>
      <c r="F444" s="81" t="str">
        <f aca="false">IF('CARNET DE SOUDURE'!E444="","",'CARNET DE SOUDURE'!AL444)</f>
        <v/>
      </c>
      <c r="G444" s="81" t="str">
        <f aca="false">IF('CARNET DE SOUDURE'!E444="","",'CARNET DE SOUDURE'!AM444)</f>
        <v>À SOUDER</v>
      </c>
      <c r="H444" s="81" t="str">
        <f aca="false">IF(C444="","",IF(G444="ACCEPTÉ","OUI","NON"))</f>
        <v>NON</v>
      </c>
      <c r="I444" s="82"/>
      <c r="J444" s="79"/>
      <c r="K444" s="80"/>
      <c r="L444" s="80"/>
      <c r="M444" s="80"/>
      <c r="N444" s="83" t="str">
        <f aca="false">IF(C444="","",IF(I444="",IF(H444="OUI","À ENROBER",IF(G444="À SOUDER","NON SOUDÉ","EN ATTENTE RT")),IF(L444="R","À REPRENDRE",IF(H444&lt;&gt;"OUI","⚠ ENROBÉ AVANT ACCEPTATION RT","ENROBÉ"))))</f>
        <v>NON SOUDÉ</v>
      </c>
      <c r="O444" s="79"/>
    </row>
    <row r="445" customFormat="false" ht="15" hidden="false" customHeight="false" outlineLevel="0" collapsed="false">
      <c r="A445" s="78" t="n">
        <f aca="false">IF('CARNET DE SOUDURE'!E445="","",'CARNET DE SOUDURE'!A445)</f>
        <v>439</v>
      </c>
      <c r="B445" s="93" t="str">
        <f aca="false">IF('CARNET DE SOUDURE'!E445="","",'CARNET DE SOUDURE'!B445&amp;"")</f>
        <v>ISB-303</v>
      </c>
      <c r="C445" s="83" t="str">
        <f aca="false">IF('CARNET DE SOUDURE'!E445="","",'CARNET DE SOUDURE'!E445)</f>
        <v>JN°034</v>
      </c>
      <c r="D445" s="78" t="str">
        <f aca="false">IF('CARNET DE SOUDURE'!E445="","",'CARNET DE SOUDURE'!D445&amp;"")</f>
        <v/>
      </c>
      <c r="E445" s="96" t="str">
        <f aca="false">IF(OR('CARNET DE SOUDURE'!E445="",'CARNET DE SOUDURE'!R445=""),"",'CARNET DE SOUDURE'!R445)</f>
        <v/>
      </c>
      <c r="F445" s="81" t="str">
        <f aca="false">IF('CARNET DE SOUDURE'!E445="","",'CARNET DE SOUDURE'!AL445)</f>
        <v/>
      </c>
      <c r="G445" s="81" t="str">
        <f aca="false">IF('CARNET DE SOUDURE'!E445="","",'CARNET DE SOUDURE'!AM445)</f>
        <v>À SOUDER</v>
      </c>
      <c r="H445" s="81" t="str">
        <f aca="false">IF(C445="","",IF(G445="ACCEPTÉ","OUI","NON"))</f>
        <v>NON</v>
      </c>
      <c r="I445" s="82"/>
      <c r="J445" s="79"/>
      <c r="K445" s="80"/>
      <c r="L445" s="80"/>
      <c r="M445" s="80"/>
      <c r="N445" s="83" t="str">
        <f aca="false">IF(C445="","",IF(I445="",IF(H445="OUI","À ENROBER",IF(G445="À SOUDER","NON SOUDÉ","EN ATTENTE RT")),IF(L445="R","À REPRENDRE",IF(H445&lt;&gt;"OUI","⚠ ENROBÉ AVANT ACCEPTATION RT","ENROBÉ"))))</f>
        <v>NON SOUDÉ</v>
      </c>
      <c r="O445" s="79"/>
    </row>
    <row r="446" customFormat="false" ht="15" hidden="false" customHeight="false" outlineLevel="0" collapsed="false">
      <c r="A446" s="78" t="n">
        <f aca="false">IF('CARNET DE SOUDURE'!E446="","",'CARNET DE SOUDURE'!A446)</f>
        <v>440</v>
      </c>
      <c r="B446" s="93" t="str">
        <f aca="false">IF('CARNET DE SOUDURE'!E446="","",'CARNET DE SOUDURE'!B446&amp;"")</f>
        <v>ISB-303</v>
      </c>
      <c r="C446" s="83" t="str">
        <f aca="false">IF('CARNET DE SOUDURE'!E446="","",'CARNET DE SOUDURE'!E446)</f>
        <v>JN°035</v>
      </c>
      <c r="D446" s="78" t="str">
        <f aca="false">IF('CARNET DE SOUDURE'!E446="","",'CARNET DE SOUDURE'!D446&amp;"")</f>
        <v/>
      </c>
      <c r="E446" s="96" t="str">
        <f aca="false">IF(OR('CARNET DE SOUDURE'!E446="",'CARNET DE SOUDURE'!R446=""),"",'CARNET DE SOUDURE'!R446)</f>
        <v/>
      </c>
      <c r="F446" s="81" t="str">
        <f aca="false">IF('CARNET DE SOUDURE'!E446="","",'CARNET DE SOUDURE'!AL446)</f>
        <v/>
      </c>
      <c r="G446" s="81" t="str">
        <f aca="false">IF('CARNET DE SOUDURE'!E446="","",'CARNET DE SOUDURE'!AM446)</f>
        <v>À SOUDER</v>
      </c>
      <c r="H446" s="81" t="str">
        <f aca="false">IF(C446="","",IF(G446="ACCEPTÉ","OUI","NON"))</f>
        <v>NON</v>
      </c>
      <c r="I446" s="82"/>
      <c r="J446" s="79"/>
      <c r="K446" s="80"/>
      <c r="L446" s="80"/>
      <c r="M446" s="80"/>
      <c r="N446" s="83" t="str">
        <f aca="false">IF(C446="","",IF(I446="",IF(H446="OUI","À ENROBER",IF(G446="À SOUDER","NON SOUDÉ","EN ATTENTE RT")),IF(L446="R","À REPRENDRE",IF(H446&lt;&gt;"OUI","⚠ ENROBÉ AVANT ACCEPTATION RT","ENROBÉ"))))</f>
        <v>NON SOUDÉ</v>
      </c>
      <c r="O446" s="79"/>
    </row>
    <row r="447" customFormat="false" ht="15" hidden="false" customHeight="false" outlineLevel="0" collapsed="false">
      <c r="A447" s="78" t="n">
        <f aca="false">IF('CARNET DE SOUDURE'!E447="","",'CARNET DE SOUDURE'!A447)</f>
        <v>441</v>
      </c>
      <c r="B447" s="93" t="str">
        <f aca="false">IF('CARNET DE SOUDURE'!E447="","",'CARNET DE SOUDURE'!B447&amp;"")</f>
        <v>ISB-303</v>
      </c>
      <c r="C447" s="83" t="str">
        <f aca="false">IF('CARNET DE SOUDURE'!E447="","",'CARNET DE SOUDURE'!E447)</f>
        <v>JN°036</v>
      </c>
      <c r="D447" s="78" t="str">
        <f aca="false">IF('CARNET DE SOUDURE'!E447="","",'CARNET DE SOUDURE'!D447&amp;"")</f>
        <v/>
      </c>
      <c r="E447" s="96" t="str">
        <f aca="false">IF(OR('CARNET DE SOUDURE'!E447="",'CARNET DE SOUDURE'!R447=""),"",'CARNET DE SOUDURE'!R447)</f>
        <v/>
      </c>
      <c r="F447" s="81" t="str">
        <f aca="false">IF('CARNET DE SOUDURE'!E447="","",'CARNET DE SOUDURE'!AL447)</f>
        <v/>
      </c>
      <c r="G447" s="81" t="str">
        <f aca="false">IF('CARNET DE SOUDURE'!E447="","",'CARNET DE SOUDURE'!AM447)</f>
        <v>À SOUDER</v>
      </c>
      <c r="H447" s="81" t="str">
        <f aca="false">IF(C447="","",IF(G447="ACCEPTÉ","OUI","NON"))</f>
        <v>NON</v>
      </c>
      <c r="I447" s="82"/>
      <c r="J447" s="79"/>
      <c r="K447" s="80"/>
      <c r="L447" s="80"/>
      <c r="M447" s="80"/>
      <c r="N447" s="83" t="str">
        <f aca="false">IF(C447="","",IF(I447="",IF(H447="OUI","À ENROBER",IF(G447="À SOUDER","NON SOUDÉ","EN ATTENTE RT")),IF(L447="R","À REPRENDRE",IF(H447&lt;&gt;"OUI","⚠ ENROBÉ AVANT ACCEPTATION RT","ENROBÉ"))))</f>
        <v>NON SOUDÉ</v>
      </c>
      <c r="O447" s="79"/>
    </row>
    <row r="448" customFormat="false" ht="15" hidden="false" customHeight="false" outlineLevel="0" collapsed="false">
      <c r="A448" s="78" t="n">
        <f aca="false">IF('CARNET DE SOUDURE'!E448="","",'CARNET DE SOUDURE'!A448)</f>
        <v>442</v>
      </c>
      <c r="B448" s="93" t="str">
        <f aca="false">IF('CARNET DE SOUDURE'!E448="","",'CARNET DE SOUDURE'!B448&amp;"")</f>
        <v>ISB-303</v>
      </c>
      <c r="C448" s="83" t="str">
        <f aca="false">IF('CARNET DE SOUDURE'!E448="","",'CARNET DE SOUDURE'!E448)</f>
        <v>JN°037</v>
      </c>
      <c r="D448" s="78" t="str">
        <f aca="false">IF('CARNET DE SOUDURE'!E448="","",'CARNET DE SOUDURE'!D448&amp;"")</f>
        <v/>
      </c>
      <c r="E448" s="96" t="str">
        <f aca="false">IF(OR('CARNET DE SOUDURE'!E448="",'CARNET DE SOUDURE'!R448=""),"",'CARNET DE SOUDURE'!R448)</f>
        <v/>
      </c>
      <c r="F448" s="81" t="str">
        <f aca="false">IF('CARNET DE SOUDURE'!E448="","",'CARNET DE SOUDURE'!AL448)</f>
        <v/>
      </c>
      <c r="G448" s="81" t="str">
        <f aca="false">IF('CARNET DE SOUDURE'!E448="","",'CARNET DE SOUDURE'!AM448)</f>
        <v>À SOUDER</v>
      </c>
      <c r="H448" s="81" t="str">
        <f aca="false">IF(C448="","",IF(G448="ACCEPTÉ","OUI","NON"))</f>
        <v>NON</v>
      </c>
      <c r="I448" s="82"/>
      <c r="J448" s="79"/>
      <c r="K448" s="80"/>
      <c r="L448" s="80"/>
      <c r="M448" s="80"/>
      <c r="N448" s="83" t="str">
        <f aca="false">IF(C448="","",IF(I448="",IF(H448="OUI","À ENROBER",IF(G448="À SOUDER","NON SOUDÉ","EN ATTENTE RT")),IF(L448="R","À REPRENDRE",IF(H448&lt;&gt;"OUI","⚠ ENROBÉ AVANT ACCEPTATION RT","ENROBÉ"))))</f>
        <v>NON SOUDÉ</v>
      </c>
      <c r="O448" s="79"/>
    </row>
    <row r="449" customFormat="false" ht="15" hidden="false" customHeight="false" outlineLevel="0" collapsed="false">
      <c r="A449" s="78" t="n">
        <f aca="false">IF('CARNET DE SOUDURE'!E449="","",'CARNET DE SOUDURE'!A449)</f>
        <v>443</v>
      </c>
      <c r="B449" s="93" t="str">
        <f aca="false">IF('CARNET DE SOUDURE'!E449="","",'CARNET DE SOUDURE'!B449&amp;"")</f>
        <v>ISB-303</v>
      </c>
      <c r="C449" s="83" t="str">
        <f aca="false">IF('CARNET DE SOUDURE'!E449="","",'CARNET DE SOUDURE'!E449)</f>
        <v>JN°038</v>
      </c>
      <c r="D449" s="78" t="str">
        <f aca="false">IF('CARNET DE SOUDURE'!E449="","",'CARNET DE SOUDURE'!D449&amp;"")</f>
        <v/>
      </c>
      <c r="E449" s="96" t="str">
        <f aca="false">IF(OR('CARNET DE SOUDURE'!E449="",'CARNET DE SOUDURE'!R449=""),"",'CARNET DE SOUDURE'!R449)</f>
        <v/>
      </c>
      <c r="F449" s="81" t="str">
        <f aca="false">IF('CARNET DE SOUDURE'!E449="","",'CARNET DE SOUDURE'!AL449)</f>
        <v/>
      </c>
      <c r="G449" s="81" t="str">
        <f aca="false">IF('CARNET DE SOUDURE'!E449="","",'CARNET DE SOUDURE'!AM449)</f>
        <v>À SOUDER</v>
      </c>
      <c r="H449" s="81" t="str">
        <f aca="false">IF(C449="","",IF(G449="ACCEPTÉ","OUI","NON"))</f>
        <v>NON</v>
      </c>
      <c r="I449" s="82"/>
      <c r="J449" s="79"/>
      <c r="K449" s="80"/>
      <c r="L449" s="80"/>
      <c r="M449" s="80"/>
      <c r="N449" s="83" t="str">
        <f aca="false">IF(C449="","",IF(I449="",IF(H449="OUI","À ENROBER",IF(G449="À SOUDER","NON SOUDÉ","EN ATTENTE RT")),IF(L449="R","À REPRENDRE",IF(H449&lt;&gt;"OUI","⚠ ENROBÉ AVANT ACCEPTATION RT","ENROBÉ"))))</f>
        <v>NON SOUDÉ</v>
      </c>
      <c r="O449" s="79"/>
    </row>
    <row r="450" customFormat="false" ht="15" hidden="false" customHeight="false" outlineLevel="0" collapsed="false">
      <c r="A450" s="78" t="n">
        <f aca="false">IF('CARNET DE SOUDURE'!E450="","",'CARNET DE SOUDURE'!A450)</f>
        <v>444</v>
      </c>
      <c r="B450" s="93" t="str">
        <f aca="false">IF('CARNET DE SOUDURE'!E450="","",'CARNET DE SOUDURE'!B450&amp;"")</f>
        <v>ISB-303</v>
      </c>
      <c r="C450" s="83" t="str">
        <f aca="false">IF('CARNET DE SOUDURE'!E450="","",'CARNET DE SOUDURE'!E450)</f>
        <v>JN°039</v>
      </c>
      <c r="D450" s="78" t="str">
        <f aca="false">IF('CARNET DE SOUDURE'!E450="","",'CARNET DE SOUDURE'!D450&amp;"")</f>
        <v/>
      </c>
      <c r="E450" s="96" t="str">
        <f aca="false">IF(OR('CARNET DE SOUDURE'!E450="",'CARNET DE SOUDURE'!R450=""),"",'CARNET DE SOUDURE'!R450)</f>
        <v/>
      </c>
      <c r="F450" s="81" t="str">
        <f aca="false">IF('CARNET DE SOUDURE'!E450="","",'CARNET DE SOUDURE'!AL450)</f>
        <v/>
      </c>
      <c r="G450" s="81" t="str">
        <f aca="false">IF('CARNET DE SOUDURE'!E450="","",'CARNET DE SOUDURE'!AM450)</f>
        <v>À SOUDER</v>
      </c>
      <c r="H450" s="81" t="str">
        <f aca="false">IF(C450="","",IF(G450="ACCEPTÉ","OUI","NON"))</f>
        <v>NON</v>
      </c>
      <c r="I450" s="82"/>
      <c r="J450" s="79"/>
      <c r="K450" s="80"/>
      <c r="L450" s="80"/>
      <c r="M450" s="80"/>
      <c r="N450" s="83" t="str">
        <f aca="false">IF(C450="","",IF(I450="",IF(H450="OUI","À ENROBER",IF(G450="À SOUDER","NON SOUDÉ","EN ATTENTE RT")),IF(L450="R","À REPRENDRE",IF(H450&lt;&gt;"OUI","⚠ ENROBÉ AVANT ACCEPTATION RT","ENROBÉ"))))</f>
        <v>NON SOUDÉ</v>
      </c>
      <c r="O450" s="79"/>
    </row>
    <row r="451" customFormat="false" ht="15" hidden="false" customHeight="false" outlineLevel="0" collapsed="false">
      <c r="A451" s="78" t="n">
        <f aca="false">IF('CARNET DE SOUDURE'!E451="","",'CARNET DE SOUDURE'!A451)</f>
        <v>445</v>
      </c>
      <c r="B451" s="93" t="str">
        <f aca="false">IF('CARNET DE SOUDURE'!E451="","",'CARNET DE SOUDURE'!B451&amp;"")</f>
        <v>ISB-303</v>
      </c>
      <c r="C451" s="83" t="str">
        <f aca="false">IF('CARNET DE SOUDURE'!E451="","",'CARNET DE SOUDURE'!E451)</f>
        <v>JN°040</v>
      </c>
      <c r="D451" s="78" t="str">
        <f aca="false">IF('CARNET DE SOUDURE'!E451="","",'CARNET DE SOUDURE'!D451&amp;"")</f>
        <v/>
      </c>
      <c r="E451" s="96" t="str">
        <f aca="false">IF(OR('CARNET DE SOUDURE'!E451="",'CARNET DE SOUDURE'!R451=""),"",'CARNET DE SOUDURE'!R451)</f>
        <v/>
      </c>
      <c r="F451" s="81" t="str">
        <f aca="false">IF('CARNET DE SOUDURE'!E451="","",'CARNET DE SOUDURE'!AL451)</f>
        <v/>
      </c>
      <c r="G451" s="81" t="str">
        <f aca="false">IF('CARNET DE SOUDURE'!E451="","",'CARNET DE SOUDURE'!AM451)</f>
        <v>À SOUDER</v>
      </c>
      <c r="H451" s="81" t="str">
        <f aca="false">IF(C451="","",IF(G451="ACCEPTÉ","OUI","NON"))</f>
        <v>NON</v>
      </c>
      <c r="I451" s="82"/>
      <c r="J451" s="79"/>
      <c r="K451" s="80"/>
      <c r="L451" s="80"/>
      <c r="M451" s="80"/>
      <c r="N451" s="83" t="str">
        <f aca="false">IF(C451="","",IF(I451="",IF(H451="OUI","À ENROBER",IF(G451="À SOUDER","NON SOUDÉ","EN ATTENTE RT")),IF(L451="R","À REPRENDRE",IF(H451&lt;&gt;"OUI","⚠ ENROBÉ AVANT ACCEPTATION RT","ENROBÉ"))))</f>
        <v>NON SOUDÉ</v>
      </c>
      <c r="O451" s="79"/>
    </row>
    <row r="452" customFormat="false" ht="15" hidden="false" customHeight="false" outlineLevel="0" collapsed="false">
      <c r="A452" s="78" t="n">
        <f aca="false">IF('CARNET DE SOUDURE'!E452="","",'CARNET DE SOUDURE'!A452)</f>
        <v>446</v>
      </c>
      <c r="B452" s="93" t="str">
        <f aca="false">IF('CARNET DE SOUDURE'!E452="","",'CARNET DE SOUDURE'!B452&amp;"")</f>
        <v>ISB-303</v>
      </c>
      <c r="C452" s="83" t="str">
        <f aca="false">IF('CARNET DE SOUDURE'!E452="","",'CARNET DE SOUDURE'!E452)</f>
        <v>JN°041</v>
      </c>
      <c r="D452" s="78" t="str">
        <f aca="false">IF('CARNET DE SOUDURE'!E452="","",'CARNET DE SOUDURE'!D452&amp;"")</f>
        <v/>
      </c>
      <c r="E452" s="96" t="str">
        <f aca="false">IF(OR('CARNET DE SOUDURE'!E452="",'CARNET DE SOUDURE'!R452=""),"",'CARNET DE SOUDURE'!R452)</f>
        <v/>
      </c>
      <c r="F452" s="81" t="str">
        <f aca="false">IF('CARNET DE SOUDURE'!E452="","",'CARNET DE SOUDURE'!AL452)</f>
        <v/>
      </c>
      <c r="G452" s="81" t="str">
        <f aca="false">IF('CARNET DE SOUDURE'!E452="","",'CARNET DE SOUDURE'!AM452)</f>
        <v>À SOUDER</v>
      </c>
      <c r="H452" s="81" t="str">
        <f aca="false">IF(C452="","",IF(G452="ACCEPTÉ","OUI","NON"))</f>
        <v>NON</v>
      </c>
      <c r="I452" s="82"/>
      <c r="J452" s="79"/>
      <c r="K452" s="80"/>
      <c r="L452" s="80"/>
      <c r="M452" s="80"/>
      <c r="N452" s="83" t="str">
        <f aca="false">IF(C452="","",IF(I452="",IF(H452="OUI","À ENROBER",IF(G452="À SOUDER","NON SOUDÉ","EN ATTENTE RT")),IF(L452="R","À REPRENDRE",IF(H452&lt;&gt;"OUI","⚠ ENROBÉ AVANT ACCEPTATION RT","ENROBÉ"))))</f>
        <v>NON SOUDÉ</v>
      </c>
      <c r="O452" s="79"/>
    </row>
    <row r="453" customFormat="false" ht="15" hidden="false" customHeight="false" outlineLevel="0" collapsed="false">
      <c r="A453" s="78" t="n">
        <f aca="false">IF('CARNET DE SOUDURE'!E453="","",'CARNET DE SOUDURE'!A453)</f>
        <v>447</v>
      </c>
      <c r="B453" s="93" t="str">
        <f aca="false">IF('CARNET DE SOUDURE'!E453="","",'CARNET DE SOUDURE'!B453&amp;"")</f>
        <v>ISB-303</v>
      </c>
      <c r="C453" s="83" t="str">
        <f aca="false">IF('CARNET DE SOUDURE'!E453="","",'CARNET DE SOUDURE'!E453)</f>
        <v>JN°042</v>
      </c>
      <c r="D453" s="78" t="str">
        <f aca="false">IF('CARNET DE SOUDURE'!E453="","",'CARNET DE SOUDURE'!D453&amp;"")</f>
        <v/>
      </c>
      <c r="E453" s="96" t="str">
        <f aca="false">IF(OR('CARNET DE SOUDURE'!E453="",'CARNET DE SOUDURE'!R453=""),"",'CARNET DE SOUDURE'!R453)</f>
        <v/>
      </c>
      <c r="F453" s="81" t="str">
        <f aca="false">IF('CARNET DE SOUDURE'!E453="","",'CARNET DE SOUDURE'!AL453)</f>
        <v/>
      </c>
      <c r="G453" s="81" t="str">
        <f aca="false">IF('CARNET DE SOUDURE'!E453="","",'CARNET DE SOUDURE'!AM453)</f>
        <v>À SOUDER</v>
      </c>
      <c r="H453" s="81" t="str">
        <f aca="false">IF(C453="","",IF(G453="ACCEPTÉ","OUI","NON"))</f>
        <v>NON</v>
      </c>
      <c r="I453" s="82"/>
      <c r="J453" s="79"/>
      <c r="K453" s="80"/>
      <c r="L453" s="80"/>
      <c r="M453" s="80"/>
      <c r="N453" s="83" t="str">
        <f aca="false">IF(C453="","",IF(I453="",IF(H453="OUI","À ENROBER",IF(G453="À SOUDER","NON SOUDÉ","EN ATTENTE RT")),IF(L453="R","À REPRENDRE",IF(H453&lt;&gt;"OUI","⚠ ENROBÉ AVANT ACCEPTATION RT","ENROBÉ"))))</f>
        <v>NON SOUDÉ</v>
      </c>
      <c r="O453" s="79"/>
    </row>
    <row r="454" customFormat="false" ht="15" hidden="false" customHeight="false" outlineLevel="0" collapsed="false">
      <c r="A454" s="78" t="n">
        <f aca="false">IF('CARNET DE SOUDURE'!E454="","",'CARNET DE SOUDURE'!A454)</f>
        <v>448</v>
      </c>
      <c r="B454" s="93" t="str">
        <f aca="false">IF('CARNET DE SOUDURE'!E454="","",'CARNET DE SOUDURE'!B454&amp;"")</f>
        <v>ISB-303</v>
      </c>
      <c r="C454" s="83" t="str">
        <f aca="false">IF('CARNET DE SOUDURE'!E454="","",'CARNET DE SOUDURE'!E454)</f>
        <v>JN°043</v>
      </c>
      <c r="D454" s="78" t="str">
        <f aca="false">IF('CARNET DE SOUDURE'!E454="","",'CARNET DE SOUDURE'!D454&amp;"")</f>
        <v/>
      </c>
      <c r="E454" s="96" t="str">
        <f aca="false">IF(OR('CARNET DE SOUDURE'!E454="",'CARNET DE SOUDURE'!R454=""),"",'CARNET DE SOUDURE'!R454)</f>
        <v/>
      </c>
      <c r="F454" s="81" t="str">
        <f aca="false">IF('CARNET DE SOUDURE'!E454="","",'CARNET DE SOUDURE'!AL454)</f>
        <v/>
      </c>
      <c r="G454" s="81" t="str">
        <f aca="false">IF('CARNET DE SOUDURE'!E454="","",'CARNET DE SOUDURE'!AM454)</f>
        <v>À SOUDER</v>
      </c>
      <c r="H454" s="81" t="str">
        <f aca="false">IF(C454="","",IF(G454="ACCEPTÉ","OUI","NON"))</f>
        <v>NON</v>
      </c>
      <c r="I454" s="82"/>
      <c r="J454" s="79"/>
      <c r="K454" s="80"/>
      <c r="L454" s="80"/>
      <c r="M454" s="80"/>
      <c r="N454" s="83" t="str">
        <f aca="false">IF(C454="","",IF(I454="",IF(H454="OUI","À ENROBER",IF(G454="À SOUDER","NON SOUDÉ","EN ATTENTE RT")),IF(L454="R","À REPRENDRE",IF(H454&lt;&gt;"OUI","⚠ ENROBÉ AVANT ACCEPTATION RT","ENROBÉ"))))</f>
        <v>NON SOUDÉ</v>
      </c>
      <c r="O454" s="79"/>
    </row>
    <row r="455" customFormat="false" ht="15" hidden="false" customHeight="false" outlineLevel="0" collapsed="false">
      <c r="A455" s="78" t="n">
        <f aca="false">IF('CARNET DE SOUDURE'!E455="","",'CARNET DE SOUDURE'!A455)</f>
        <v>449</v>
      </c>
      <c r="B455" s="93" t="str">
        <f aca="false">IF('CARNET DE SOUDURE'!E455="","",'CARNET DE SOUDURE'!B455&amp;"")</f>
        <v>ISB-303</v>
      </c>
      <c r="C455" s="83" t="str">
        <f aca="false">IF('CARNET DE SOUDURE'!E455="","",'CARNET DE SOUDURE'!E455)</f>
        <v>JN°044</v>
      </c>
      <c r="D455" s="78" t="str">
        <f aca="false">IF('CARNET DE SOUDURE'!E455="","",'CARNET DE SOUDURE'!D455&amp;"")</f>
        <v/>
      </c>
      <c r="E455" s="96" t="str">
        <f aca="false">IF(OR('CARNET DE SOUDURE'!E455="",'CARNET DE SOUDURE'!R455=""),"",'CARNET DE SOUDURE'!R455)</f>
        <v/>
      </c>
      <c r="F455" s="81" t="str">
        <f aca="false">IF('CARNET DE SOUDURE'!E455="","",'CARNET DE SOUDURE'!AL455)</f>
        <v/>
      </c>
      <c r="G455" s="81" t="str">
        <f aca="false">IF('CARNET DE SOUDURE'!E455="","",'CARNET DE SOUDURE'!AM455)</f>
        <v>À SOUDER</v>
      </c>
      <c r="H455" s="81" t="str">
        <f aca="false">IF(C455="","",IF(G455="ACCEPTÉ","OUI","NON"))</f>
        <v>NON</v>
      </c>
      <c r="I455" s="82"/>
      <c r="J455" s="79"/>
      <c r="K455" s="80"/>
      <c r="L455" s="80"/>
      <c r="M455" s="80"/>
      <c r="N455" s="83" t="str">
        <f aca="false">IF(C455="","",IF(I455="",IF(H455="OUI","À ENROBER",IF(G455="À SOUDER","NON SOUDÉ","EN ATTENTE RT")),IF(L455="R","À REPRENDRE",IF(H455&lt;&gt;"OUI","⚠ ENROBÉ AVANT ACCEPTATION RT","ENROBÉ"))))</f>
        <v>NON SOUDÉ</v>
      </c>
      <c r="O455" s="79"/>
    </row>
    <row r="456" customFormat="false" ht="15" hidden="false" customHeight="false" outlineLevel="0" collapsed="false">
      <c r="A456" s="78" t="n">
        <f aca="false">IF('CARNET DE SOUDURE'!E456="","",'CARNET DE SOUDURE'!A456)</f>
        <v>450</v>
      </c>
      <c r="B456" s="93" t="str">
        <f aca="false">IF('CARNET DE SOUDURE'!E456="","",'CARNET DE SOUDURE'!B456&amp;"")</f>
        <v>ISB-303</v>
      </c>
      <c r="C456" s="83" t="str">
        <f aca="false">IF('CARNET DE SOUDURE'!E456="","",'CARNET DE SOUDURE'!E456)</f>
        <v>JN°045</v>
      </c>
      <c r="D456" s="78" t="str">
        <f aca="false">IF('CARNET DE SOUDURE'!E456="","",'CARNET DE SOUDURE'!D456&amp;"")</f>
        <v/>
      </c>
      <c r="E456" s="96" t="str">
        <f aca="false">IF(OR('CARNET DE SOUDURE'!E456="",'CARNET DE SOUDURE'!R456=""),"",'CARNET DE SOUDURE'!R456)</f>
        <v/>
      </c>
      <c r="F456" s="81" t="str">
        <f aca="false">IF('CARNET DE SOUDURE'!E456="","",'CARNET DE SOUDURE'!AL456)</f>
        <v/>
      </c>
      <c r="G456" s="81" t="str">
        <f aca="false">IF('CARNET DE SOUDURE'!E456="","",'CARNET DE SOUDURE'!AM456)</f>
        <v>À SOUDER</v>
      </c>
      <c r="H456" s="81" t="str">
        <f aca="false">IF(C456="","",IF(G456="ACCEPTÉ","OUI","NON"))</f>
        <v>NON</v>
      </c>
      <c r="I456" s="82"/>
      <c r="J456" s="79"/>
      <c r="K456" s="80"/>
      <c r="L456" s="80"/>
      <c r="M456" s="80"/>
      <c r="N456" s="83" t="str">
        <f aca="false">IF(C456="","",IF(I456="",IF(H456="OUI","À ENROBER",IF(G456="À SOUDER","NON SOUDÉ","EN ATTENTE RT")),IF(L456="R","À REPRENDRE",IF(H456&lt;&gt;"OUI","⚠ ENROBÉ AVANT ACCEPTATION RT","ENROBÉ"))))</f>
        <v>NON SOUDÉ</v>
      </c>
      <c r="O456" s="79"/>
    </row>
    <row r="457" customFormat="false" ht="15" hidden="false" customHeight="false" outlineLevel="0" collapsed="false">
      <c r="A457" s="78" t="n">
        <f aca="false">IF('CARNET DE SOUDURE'!E457="","",'CARNET DE SOUDURE'!A457)</f>
        <v>451</v>
      </c>
      <c r="B457" s="93" t="str">
        <f aca="false">IF('CARNET DE SOUDURE'!E457="","",'CARNET DE SOUDURE'!B457&amp;"")</f>
        <v>ISB-303</v>
      </c>
      <c r="C457" s="83" t="str">
        <f aca="false">IF('CARNET DE SOUDURE'!E457="","",'CARNET DE SOUDURE'!E457)</f>
        <v>JN°046</v>
      </c>
      <c r="D457" s="78" t="str">
        <f aca="false">IF('CARNET DE SOUDURE'!E457="","",'CARNET DE SOUDURE'!D457&amp;"")</f>
        <v/>
      </c>
      <c r="E457" s="96" t="str">
        <f aca="false">IF(OR('CARNET DE SOUDURE'!E457="",'CARNET DE SOUDURE'!R457=""),"",'CARNET DE SOUDURE'!R457)</f>
        <v/>
      </c>
      <c r="F457" s="81" t="str">
        <f aca="false">IF('CARNET DE SOUDURE'!E457="","",'CARNET DE SOUDURE'!AL457)</f>
        <v/>
      </c>
      <c r="G457" s="81" t="str">
        <f aca="false">IF('CARNET DE SOUDURE'!E457="","",'CARNET DE SOUDURE'!AM457)</f>
        <v>À SOUDER</v>
      </c>
      <c r="H457" s="81" t="str">
        <f aca="false">IF(C457="","",IF(G457="ACCEPTÉ","OUI","NON"))</f>
        <v>NON</v>
      </c>
      <c r="I457" s="82"/>
      <c r="J457" s="79"/>
      <c r="K457" s="80"/>
      <c r="L457" s="80"/>
      <c r="M457" s="80"/>
      <c r="N457" s="83" t="str">
        <f aca="false">IF(C457="","",IF(I457="",IF(H457="OUI","À ENROBER",IF(G457="À SOUDER","NON SOUDÉ","EN ATTENTE RT")),IF(L457="R","À REPRENDRE",IF(H457&lt;&gt;"OUI","⚠ ENROBÉ AVANT ACCEPTATION RT","ENROBÉ"))))</f>
        <v>NON SOUDÉ</v>
      </c>
      <c r="O457" s="79"/>
    </row>
    <row r="458" customFormat="false" ht="15" hidden="false" customHeight="false" outlineLevel="0" collapsed="false">
      <c r="A458" s="78" t="n">
        <f aca="false">IF('CARNET DE SOUDURE'!E458="","",'CARNET DE SOUDURE'!A458)</f>
        <v>452</v>
      </c>
      <c r="B458" s="93" t="str">
        <f aca="false">IF('CARNET DE SOUDURE'!E458="","",'CARNET DE SOUDURE'!B458&amp;"")</f>
        <v>ISB-303</v>
      </c>
      <c r="C458" s="83" t="str">
        <f aca="false">IF('CARNET DE SOUDURE'!E458="","",'CARNET DE SOUDURE'!E458)</f>
        <v>JN°047</v>
      </c>
      <c r="D458" s="78" t="str">
        <f aca="false">IF('CARNET DE SOUDURE'!E458="","",'CARNET DE SOUDURE'!D458&amp;"")</f>
        <v/>
      </c>
      <c r="E458" s="96" t="str">
        <f aca="false">IF(OR('CARNET DE SOUDURE'!E458="",'CARNET DE SOUDURE'!R458=""),"",'CARNET DE SOUDURE'!R458)</f>
        <v/>
      </c>
      <c r="F458" s="81" t="str">
        <f aca="false">IF('CARNET DE SOUDURE'!E458="","",'CARNET DE SOUDURE'!AL458)</f>
        <v/>
      </c>
      <c r="G458" s="81" t="str">
        <f aca="false">IF('CARNET DE SOUDURE'!E458="","",'CARNET DE SOUDURE'!AM458)</f>
        <v>À SOUDER</v>
      </c>
      <c r="H458" s="81" t="str">
        <f aca="false">IF(C458="","",IF(G458="ACCEPTÉ","OUI","NON"))</f>
        <v>NON</v>
      </c>
      <c r="I458" s="82"/>
      <c r="J458" s="79"/>
      <c r="K458" s="80"/>
      <c r="L458" s="80"/>
      <c r="M458" s="80"/>
      <c r="N458" s="83" t="str">
        <f aca="false">IF(C458="","",IF(I458="",IF(H458="OUI","À ENROBER",IF(G458="À SOUDER","NON SOUDÉ","EN ATTENTE RT")),IF(L458="R","À REPRENDRE",IF(H458&lt;&gt;"OUI","⚠ ENROBÉ AVANT ACCEPTATION RT","ENROBÉ"))))</f>
        <v>NON SOUDÉ</v>
      </c>
      <c r="O458" s="79"/>
    </row>
    <row r="459" customFormat="false" ht="15" hidden="false" customHeight="false" outlineLevel="0" collapsed="false">
      <c r="A459" s="78" t="n">
        <f aca="false">IF('CARNET DE SOUDURE'!E459="","",'CARNET DE SOUDURE'!A459)</f>
        <v>453</v>
      </c>
      <c r="B459" s="93" t="str">
        <f aca="false">IF('CARNET DE SOUDURE'!E459="","",'CARNET DE SOUDURE'!B459&amp;"")</f>
        <v>ISB-303</v>
      </c>
      <c r="C459" s="83" t="str">
        <f aca="false">IF('CARNET DE SOUDURE'!E459="","",'CARNET DE SOUDURE'!E459)</f>
        <v>JN°048</v>
      </c>
      <c r="D459" s="78" t="str">
        <f aca="false">IF('CARNET DE SOUDURE'!E459="","",'CARNET DE SOUDURE'!D459&amp;"")</f>
        <v/>
      </c>
      <c r="E459" s="96" t="str">
        <f aca="false">IF(OR('CARNET DE SOUDURE'!E459="",'CARNET DE SOUDURE'!R459=""),"",'CARNET DE SOUDURE'!R459)</f>
        <v/>
      </c>
      <c r="F459" s="81" t="str">
        <f aca="false">IF('CARNET DE SOUDURE'!E459="","",'CARNET DE SOUDURE'!AL459)</f>
        <v/>
      </c>
      <c r="G459" s="81" t="str">
        <f aca="false">IF('CARNET DE SOUDURE'!E459="","",'CARNET DE SOUDURE'!AM459)</f>
        <v>À SOUDER</v>
      </c>
      <c r="H459" s="81" t="str">
        <f aca="false">IF(C459="","",IF(G459="ACCEPTÉ","OUI","NON"))</f>
        <v>NON</v>
      </c>
      <c r="I459" s="82"/>
      <c r="J459" s="79"/>
      <c r="K459" s="80"/>
      <c r="L459" s="80"/>
      <c r="M459" s="80"/>
      <c r="N459" s="83" t="str">
        <f aca="false">IF(C459="","",IF(I459="",IF(H459="OUI","À ENROBER",IF(G459="À SOUDER","NON SOUDÉ","EN ATTENTE RT")),IF(L459="R","À REPRENDRE",IF(H459&lt;&gt;"OUI","⚠ ENROBÉ AVANT ACCEPTATION RT","ENROBÉ"))))</f>
        <v>NON SOUDÉ</v>
      </c>
      <c r="O459" s="79"/>
    </row>
    <row r="460" customFormat="false" ht="15" hidden="false" customHeight="false" outlineLevel="0" collapsed="false">
      <c r="A460" s="78" t="n">
        <f aca="false">IF('CARNET DE SOUDURE'!E460="","",'CARNET DE SOUDURE'!A460)</f>
        <v>454</v>
      </c>
      <c r="B460" s="93" t="str">
        <f aca="false">IF('CARNET DE SOUDURE'!E460="","",'CARNET DE SOUDURE'!B460&amp;"")</f>
        <v>ISB-303</v>
      </c>
      <c r="C460" s="83" t="str">
        <f aca="false">IF('CARNET DE SOUDURE'!E460="","",'CARNET DE SOUDURE'!E460)</f>
        <v>JN°049</v>
      </c>
      <c r="D460" s="78" t="str">
        <f aca="false">IF('CARNET DE SOUDURE'!E460="","",'CARNET DE SOUDURE'!D460&amp;"")</f>
        <v/>
      </c>
      <c r="E460" s="96" t="str">
        <f aca="false">IF(OR('CARNET DE SOUDURE'!E460="",'CARNET DE SOUDURE'!R460=""),"",'CARNET DE SOUDURE'!R460)</f>
        <v/>
      </c>
      <c r="F460" s="81" t="str">
        <f aca="false">IF('CARNET DE SOUDURE'!E460="","",'CARNET DE SOUDURE'!AL460)</f>
        <v/>
      </c>
      <c r="G460" s="81" t="str">
        <f aca="false">IF('CARNET DE SOUDURE'!E460="","",'CARNET DE SOUDURE'!AM460)</f>
        <v>À SOUDER</v>
      </c>
      <c r="H460" s="81" t="str">
        <f aca="false">IF(C460="","",IF(G460="ACCEPTÉ","OUI","NON"))</f>
        <v>NON</v>
      </c>
      <c r="I460" s="82"/>
      <c r="J460" s="79"/>
      <c r="K460" s="80"/>
      <c r="L460" s="80"/>
      <c r="M460" s="80"/>
      <c r="N460" s="83" t="str">
        <f aca="false">IF(C460="","",IF(I460="",IF(H460="OUI","À ENROBER",IF(G460="À SOUDER","NON SOUDÉ","EN ATTENTE RT")),IF(L460="R","À REPRENDRE",IF(H460&lt;&gt;"OUI","⚠ ENROBÉ AVANT ACCEPTATION RT","ENROBÉ"))))</f>
        <v>NON SOUDÉ</v>
      </c>
      <c r="O460" s="79"/>
    </row>
    <row r="461" customFormat="false" ht="15" hidden="false" customHeight="false" outlineLevel="0" collapsed="false">
      <c r="A461" s="78" t="n">
        <f aca="false">IF('CARNET DE SOUDURE'!E461="","",'CARNET DE SOUDURE'!A461)</f>
        <v>455</v>
      </c>
      <c r="B461" s="93" t="str">
        <f aca="false">IF('CARNET DE SOUDURE'!E461="","",'CARNET DE SOUDURE'!B461&amp;"")</f>
        <v>ISB-303</v>
      </c>
      <c r="C461" s="83" t="str">
        <f aca="false">IF('CARNET DE SOUDURE'!E461="","",'CARNET DE SOUDURE'!E461)</f>
        <v>JN°050</v>
      </c>
      <c r="D461" s="78" t="str">
        <f aca="false">IF('CARNET DE SOUDURE'!E461="","",'CARNET DE SOUDURE'!D461&amp;"")</f>
        <v/>
      </c>
      <c r="E461" s="96" t="str">
        <f aca="false">IF(OR('CARNET DE SOUDURE'!E461="",'CARNET DE SOUDURE'!R461=""),"",'CARNET DE SOUDURE'!R461)</f>
        <v/>
      </c>
      <c r="F461" s="81" t="str">
        <f aca="false">IF('CARNET DE SOUDURE'!E461="","",'CARNET DE SOUDURE'!AL461)</f>
        <v/>
      </c>
      <c r="G461" s="81" t="str">
        <f aca="false">IF('CARNET DE SOUDURE'!E461="","",'CARNET DE SOUDURE'!AM461)</f>
        <v>À SOUDER</v>
      </c>
      <c r="H461" s="81" t="str">
        <f aca="false">IF(C461="","",IF(G461="ACCEPTÉ","OUI","NON"))</f>
        <v>NON</v>
      </c>
      <c r="I461" s="82"/>
      <c r="J461" s="79"/>
      <c r="K461" s="80"/>
      <c r="L461" s="80"/>
      <c r="M461" s="80"/>
      <c r="N461" s="83" t="str">
        <f aca="false">IF(C461="","",IF(I461="",IF(H461="OUI","À ENROBER",IF(G461="À SOUDER","NON SOUDÉ","EN ATTENTE RT")),IF(L461="R","À REPRENDRE",IF(H461&lt;&gt;"OUI","⚠ ENROBÉ AVANT ACCEPTATION RT","ENROBÉ"))))</f>
        <v>NON SOUDÉ</v>
      </c>
      <c r="O461" s="79"/>
    </row>
    <row r="462" customFormat="false" ht="15" hidden="false" customHeight="false" outlineLevel="0" collapsed="false">
      <c r="A462" s="78" t="n">
        <f aca="false">IF('CARNET DE SOUDURE'!E462="","",'CARNET DE SOUDURE'!A462)</f>
        <v>456</v>
      </c>
      <c r="B462" s="93" t="str">
        <f aca="false">IF('CARNET DE SOUDURE'!E462="","",'CARNET DE SOUDURE'!B462&amp;"")</f>
        <v>ISB-303</v>
      </c>
      <c r="C462" s="83" t="str">
        <f aca="false">IF('CARNET DE SOUDURE'!E462="","",'CARNET DE SOUDURE'!E462)</f>
        <v>JN°051</v>
      </c>
      <c r="D462" s="78" t="str">
        <f aca="false">IF('CARNET DE SOUDURE'!E462="","",'CARNET DE SOUDURE'!D462&amp;"")</f>
        <v/>
      </c>
      <c r="E462" s="96" t="str">
        <f aca="false">IF(OR('CARNET DE SOUDURE'!E462="",'CARNET DE SOUDURE'!R462=""),"",'CARNET DE SOUDURE'!R462)</f>
        <v/>
      </c>
      <c r="F462" s="81" t="str">
        <f aca="false">IF('CARNET DE SOUDURE'!E462="","",'CARNET DE SOUDURE'!AL462)</f>
        <v/>
      </c>
      <c r="G462" s="81" t="str">
        <f aca="false">IF('CARNET DE SOUDURE'!E462="","",'CARNET DE SOUDURE'!AM462)</f>
        <v>À SOUDER</v>
      </c>
      <c r="H462" s="81" t="str">
        <f aca="false">IF(C462="","",IF(G462="ACCEPTÉ","OUI","NON"))</f>
        <v>NON</v>
      </c>
      <c r="I462" s="82"/>
      <c r="J462" s="79"/>
      <c r="K462" s="80"/>
      <c r="L462" s="80"/>
      <c r="M462" s="80"/>
      <c r="N462" s="83" t="str">
        <f aca="false">IF(C462="","",IF(I462="",IF(H462="OUI","À ENROBER",IF(G462="À SOUDER","NON SOUDÉ","EN ATTENTE RT")),IF(L462="R","À REPRENDRE",IF(H462&lt;&gt;"OUI","⚠ ENROBÉ AVANT ACCEPTATION RT","ENROBÉ"))))</f>
        <v>NON SOUDÉ</v>
      </c>
      <c r="O462" s="79"/>
    </row>
    <row r="463" customFormat="false" ht="15" hidden="false" customHeight="false" outlineLevel="0" collapsed="false">
      <c r="A463" s="78" t="n">
        <f aca="false">IF('CARNET DE SOUDURE'!E463="","",'CARNET DE SOUDURE'!A463)</f>
        <v>457</v>
      </c>
      <c r="B463" s="93" t="str">
        <f aca="false">IF('CARNET DE SOUDURE'!E463="","",'CARNET DE SOUDURE'!B463&amp;"")</f>
        <v>ISB-303</v>
      </c>
      <c r="C463" s="83" t="str">
        <f aca="false">IF('CARNET DE SOUDURE'!E463="","",'CARNET DE SOUDURE'!E463)</f>
        <v>JN°052</v>
      </c>
      <c r="D463" s="78" t="str">
        <f aca="false">IF('CARNET DE SOUDURE'!E463="","",'CARNET DE SOUDURE'!D463&amp;"")</f>
        <v/>
      </c>
      <c r="E463" s="96" t="str">
        <f aca="false">IF(OR('CARNET DE SOUDURE'!E463="",'CARNET DE SOUDURE'!R463=""),"",'CARNET DE SOUDURE'!R463)</f>
        <v/>
      </c>
      <c r="F463" s="81" t="str">
        <f aca="false">IF('CARNET DE SOUDURE'!E463="","",'CARNET DE SOUDURE'!AL463)</f>
        <v/>
      </c>
      <c r="G463" s="81" t="str">
        <f aca="false">IF('CARNET DE SOUDURE'!E463="","",'CARNET DE SOUDURE'!AM463)</f>
        <v>À SOUDER</v>
      </c>
      <c r="H463" s="81" t="str">
        <f aca="false">IF(C463="","",IF(G463="ACCEPTÉ","OUI","NON"))</f>
        <v>NON</v>
      </c>
      <c r="I463" s="82"/>
      <c r="J463" s="79"/>
      <c r="K463" s="80"/>
      <c r="L463" s="80"/>
      <c r="M463" s="80"/>
      <c r="N463" s="83" t="str">
        <f aca="false">IF(C463="","",IF(I463="",IF(H463="OUI","À ENROBER",IF(G463="À SOUDER","NON SOUDÉ","EN ATTENTE RT")),IF(L463="R","À REPRENDRE",IF(H463&lt;&gt;"OUI","⚠ ENROBÉ AVANT ACCEPTATION RT","ENROBÉ"))))</f>
        <v>NON SOUDÉ</v>
      </c>
      <c r="O463" s="79"/>
    </row>
    <row r="464" customFormat="false" ht="15" hidden="false" customHeight="false" outlineLevel="0" collapsed="false">
      <c r="A464" s="78" t="n">
        <f aca="false">IF('CARNET DE SOUDURE'!E464="","",'CARNET DE SOUDURE'!A464)</f>
        <v>458</v>
      </c>
      <c r="B464" s="93" t="str">
        <f aca="false">IF('CARNET DE SOUDURE'!E464="","",'CARNET DE SOUDURE'!B464&amp;"")</f>
        <v>ISB-303</v>
      </c>
      <c r="C464" s="83" t="str">
        <f aca="false">IF('CARNET DE SOUDURE'!E464="","",'CARNET DE SOUDURE'!E464)</f>
        <v>JN°053</v>
      </c>
      <c r="D464" s="78" t="str">
        <f aca="false">IF('CARNET DE SOUDURE'!E464="","",'CARNET DE SOUDURE'!D464&amp;"")</f>
        <v/>
      </c>
      <c r="E464" s="96" t="str">
        <f aca="false">IF(OR('CARNET DE SOUDURE'!E464="",'CARNET DE SOUDURE'!R464=""),"",'CARNET DE SOUDURE'!R464)</f>
        <v/>
      </c>
      <c r="F464" s="81" t="str">
        <f aca="false">IF('CARNET DE SOUDURE'!E464="","",'CARNET DE SOUDURE'!AL464)</f>
        <v/>
      </c>
      <c r="G464" s="81" t="str">
        <f aca="false">IF('CARNET DE SOUDURE'!E464="","",'CARNET DE SOUDURE'!AM464)</f>
        <v>À SOUDER</v>
      </c>
      <c r="H464" s="81" t="str">
        <f aca="false">IF(C464="","",IF(G464="ACCEPTÉ","OUI","NON"))</f>
        <v>NON</v>
      </c>
      <c r="I464" s="82"/>
      <c r="J464" s="79"/>
      <c r="K464" s="80"/>
      <c r="L464" s="80"/>
      <c r="M464" s="80"/>
      <c r="N464" s="83" t="str">
        <f aca="false">IF(C464="","",IF(I464="",IF(H464="OUI","À ENROBER",IF(G464="À SOUDER","NON SOUDÉ","EN ATTENTE RT")),IF(L464="R","À REPRENDRE",IF(H464&lt;&gt;"OUI","⚠ ENROBÉ AVANT ACCEPTATION RT","ENROBÉ"))))</f>
        <v>NON SOUDÉ</v>
      </c>
      <c r="O464" s="79"/>
    </row>
    <row r="465" customFormat="false" ht="15" hidden="false" customHeight="false" outlineLevel="0" collapsed="false">
      <c r="A465" s="78" t="n">
        <f aca="false">IF('CARNET DE SOUDURE'!E465="","",'CARNET DE SOUDURE'!A465)</f>
        <v>459</v>
      </c>
      <c r="B465" s="93" t="str">
        <f aca="false">IF('CARNET DE SOUDURE'!E465="","",'CARNET DE SOUDURE'!B465&amp;"")</f>
        <v>ISB-303</v>
      </c>
      <c r="C465" s="83" t="str">
        <f aca="false">IF('CARNET DE SOUDURE'!E465="","",'CARNET DE SOUDURE'!E465)</f>
        <v>JN°054</v>
      </c>
      <c r="D465" s="78" t="str">
        <f aca="false">IF('CARNET DE SOUDURE'!E465="","",'CARNET DE SOUDURE'!D465&amp;"")</f>
        <v/>
      </c>
      <c r="E465" s="96" t="str">
        <f aca="false">IF(OR('CARNET DE SOUDURE'!E465="",'CARNET DE SOUDURE'!R465=""),"",'CARNET DE SOUDURE'!R465)</f>
        <v/>
      </c>
      <c r="F465" s="81" t="str">
        <f aca="false">IF('CARNET DE SOUDURE'!E465="","",'CARNET DE SOUDURE'!AL465)</f>
        <v/>
      </c>
      <c r="G465" s="81" t="str">
        <f aca="false">IF('CARNET DE SOUDURE'!E465="","",'CARNET DE SOUDURE'!AM465)</f>
        <v>À SOUDER</v>
      </c>
      <c r="H465" s="81" t="str">
        <f aca="false">IF(C465="","",IF(G465="ACCEPTÉ","OUI","NON"))</f>
        <v>NON</v>
      </c>
      <c r="I465" s="82"/>
      <c r="J465" s="79"/>
      <c r="K465" s="80"/>
      <c r="L465" s="80"/>
      <c r="M465" s="80"/>
      <c r="N465" s="83" t="str">
        <f aca="false">IF(C465="","",IF(I465="",IF(H465="OUI","À ENROBER",IF(G465="À SOUDER","NON SOUDÉ","EN ATTENTE RT")),IF(L465="R","À REPRENDRE",IF(H465&lt;&gt;"OUI","⚠ ENROBÉ AVANT ACCEPTATION RT","ENROBÉ"))))</f>
        <v>NON SOUDÉ</v>
      </c>
      <c r="O465" s="79"/>
    </row>
    <row r="466" customFormat="false" ht="15" hidden="false" customHeight="false" outlineLevel="0" collapsed="false">
      <c r="A466" s="78" t="n">
        <f aca="false">IF('CARNET DE SOUDURE'!E466="","",'CARNET DE SOUDURE'!A466)</f>
        <v>460</v>
      </c>
      <c r="B466" s="93" t="str">
        <f aca="false">IF('CARNET DE SOUDURE'!E466="","",'CARNET DE SOUDURE'!B466&amp;"")</f>
        <v>ISB-303</v>
      </c>
      <c r="C466" s="83" t="str">
        <f aca="false">IF('CARNET DE SOUDURE'!E466="","",'CARNET DE SOUDURE'!E466)</f>
        <v>JN°055</v>
      </c>
      <c r="D466" s="78" t="str">
        <f aca="false">IF('CARNET DE SOUDURE'!E466="","",'CARNET DE SOUDURE'!D466&amp;"")</f>
        <v/>
      </c>
      <c r="E466" s="96" t="str">
        <f aca="false">IF(OR('CARNET DE SOUDURE'!E466="",'CARNET DE SOUDURE'!R466=""),"",'CARNET DE SOUDURE'!R466)</f>
        <v/>
      </c>
      <c r="F466" s="81" t="str">
        <f aca="false">IF('CARNET DE SOUDURE'!E466="","",'CARNET DE SOUDURE'!AL466)</f>
        <v/>
      </c>
      <c r="G466" s="81" t="str">
        <f aca="false">IF('CARNET DE SOUDURE'!E466="","",'CARNET DE SOUDURE'!AM466)</f>
        <v>À SOUDER</v>
      </c>
      <c r="H466" s="81" t="str">
        <f aca="false">IF(C466="","",IF(G466="ACCEPTÉ","OUI","NON"))</f>
        <v>NON</v>
      </c>
      <c r="I466" s="82"/>
      <c r="J466" s="79"/>
      <c r="K466" s="80"/>
      <c r="L466" s="80"/>
      <c r="M466" s="80"/>
      <c r="N466" s="83" t="str">
        <f aca="false">IF(C466="","",IF(I466="",IF(H466="OUI","À ENROBER",IF(G466="À SOUDER","NON SOUDÉ","EN ATTENTE RT")),IF(L466="R","À REPRENDRE",IF(H466&lt;&gt;"OUI","⚠ ENROBÉ AVANT ACCEPTATION RT","ENROBÉ"))))</f>
        <v>NON SOUDÉ</v>
      </c>
      <c r="O466" s="79"/>
    </row>
    <row r="467" customFormat="false" ht="15" hidden="false" customHeight="false" outlineLevel="0" collapsed="false">
      <c r="A467" s="78" t="n">
        <f aca="false">IF('CARNET DE SOUDURE'!E467="","",'CARNET DE SOUDURE'!A467)</f>
        <v>461</v>
      </c>
      <c r="B467" s="93" t="str">
        <f aca="false">IF('CARNET DE SOUDURE'!E467="","",'CARNET DE SOUDURE'!B467&amp;"")</f>
        <v>ISB-303</v>
      </c>
      <c r="C467" s="83" t="str">
        <f aca="false">IF('CARNET DE SOUDURE'!E467="","",'CARNET DE SOUDURE'!E467)</f>
        <v>JN°056</v>
      </c>
      <c r="D467" s="78" t="str">
        <f aca="false">IF('CARNET DE SOUDURE'!E467="","",'CARNET DE SOUDURE'!D467&amp;"")</f>
        <v/>
      </c>
      <c r="E467" s="96" t="str">
        <f aca="false">IF(OR('CARNET DE SOUDURE'!E467="",'CARNET DE SOUDURE'!R467=""),"",'CARNET DE SOUDURE'!R467)</f>
        <v/>
      </c>
      <c r="F467" s="81" t="str">
        <f aca="false">IF('CARNET DE SOUDURE'!E467="","",'CARNET DE SOUDURE'!AL467)</f>
        <v/>
      </c>
      <c r="G467" s="81" t="str">
        <f aca="false">IF('CARNET DE SOUDURE'!E467="","",'CARNET DE SOUDURE'!AM467)</f>
        <v>À SOUDER</v>
      </c>
      <c r="H467" s="81" t="str">
        <f aca="false">IF(C467="","",IF(G467="ACCEPTÉ","OUI","NON"))</f>
        <v>NON</v>
      </c>
      <c r="I467" s="82"/>
      <c r="J467" s="79"/>
      <c r="K467" s="80"/>
      <c r="L467" s="80"/>
      <c r="M467" s="80"/>
      <c r="N467" s="83" t="str">
        <f aca="false">IF(C467="","",IF(I467="",IF(H467="OUI","À ENROBER",IF(G467="À SOUDER","NON SOUDÉ","EN ATTENTE RT")),IF(L467="R","À REPRENDRE",IF(H467&lt;&gt;"OUI","⚠ ENROBÉ AVANT ACCEPTATION RT","ENROBÉ"))))</f>
        <v>NON SOUDÉ</v>
      </c>
      <c r="O467" s="79"/>
    </row>
    <row r="468" customFormat="false" ht="15" hidden="false" customHeight="false" outlineLevel="0" collapsed="false">
      <c r="A468" s="78" t="n">
        <f aca="false">IF('CARNET DE SOUDURE'!E468="","",'CARNET DE SOUDURE'!A468)</f>
        <v>462</v>
      </c>
      <c r="B468" s="93" t="str">
        <f aca="false">IF('CARNET DE SOUDURE'!E468="","",'CARNET DE SOUDURE'!B468&amp;"")</f>
        <v>ISB-303</v>
      </c>
      <c r="C468" s="83" t="str">
        <f aca="false">IF('CARNET DE SOUDURE'!E468="","",'CARNET DE SOUDURE'!E468)</f>
        <v>JN°057</v>
      </c>
      <c r="D468" s="78" t="str">
        <f aca="false">IF('CARNET DE SOUDURE'!E468="","",'CARNET DE SOUDURE'!D468&amp;"")</f>
        <v/>
      </c>
      <c r="E468" s="96" t="str">
        <f aca="false">IF(OR('CARNET DE SOUDURE'!E468="",'CARNET DE SOUDURE'!R468=""),"",'CARNET DE SOUDURE'!R468)</f>
        <v/>
      </c>
      <c r="F468" s="81" t="str">
        <f aca="false">IF('CARNET DE SOUDURE'!E468="","",'CARNET DE SOUDURE'!AL468)</f>
        <v/>
      </c>
      <c r="G468" s="81" t="str">
        <f aca="false">IF('CARNET DE SOUDURE'!E468="","",'CARNET DE SOUDURE'!AM468)</f>
        <v>À SOUDER</v>
      </c>
      <c r="H468" s="81" t="str">
        <f aca="false">IF(C468="","",IF(G468="ACCEPTÉ","OUI","NON"))</f>
        <v>NON</v>
      </c>
      <c r="I468" s="82"/>
      <c r="J468" s="79"/>
      <c r="K468" s="80"/>
      <c r="L468" s="80"/>
      <c r="M468" s="80"/>
      <c r="N468" s="83" t="str">
        <f aca="false">IF(C468="","",IF(I468="",IF(H468="OUI","À ENROBER",IF(G468="À SOUDER","NON SOUDÉ","EN ATTENTE RT")),IF(L468="R","À REPRENDRE",IF(H468&lt;&gt;"OUI","⚠ ENROBÉ AVANT ACCEPTATION RT","ENROBÉ"))))</f>
        <v>NON SOUDÉ</v>
      </c>
      <c r="O468" s="79"/>
    </row>
    <row r="469" customFormat="false" ht="15" hidden="false" customHeight="false" outlineLevel="0" collapsed="false">
      <c r="A469" s="78" t="n">
        <f aca="false">IF('CARNET DE SOUDURE'!E469="","",'CARNET DE SOUDURE'!A469)</f>
        <v>463</v>
      </c>
      <c r="B469" s="93" t="str">
        <f aca="false">IF('CARNET DE SOUDURE'!E469="","",'CARNET DE SOUDURE'!B469&amp;"")</f>
        <v>ISB-303</v>
      </c>
      <c r="C469" s="83" t="str">
        <f aca="false">IF('CARNET DE SOUDURE'!E469="","",'CARNET DE SOUDURE'!E469)</f>
        <v>JN°058</v>
      </c>
      <c r="D469" s="78" t="str">
        <f aca="false">IF('CARNET DE SOUDURE'!E469="","",'CARNET DE SOUDURE'!D469&amp;"")</f>
        <v/>
      </c>
      <c r="E469" s="96" t="str">
        <f aca="false">IF(OR('CARNET DE SOUDURE'!E469="",'CARNET DE SOUDURE'!R469=""),"",'CARNET DE SOUDURE'!R469)</f>
        <v/>
      </c>
      <c r="F469" s="81" t="str">
        <f aca="false">IF('CARNET DE SOUDURE'!E469="","",'CARNET DE SOUDURE'!AL469)</f>
        <v/>
      </c>
      <c r="G469" s="81" t="str">
        <f aca="false">IF('CARNET DE SOUDURE'!E469="","",'CARNET DE SOUDURE'!AM469)</f>
        <v>À SOUDER</v>
      </c>
      <c r="H469" s="81" t="str">
        <f aca="false">IF(C469="","",IF(G469="ACCEPTÉ","OUI","NON"))</f>
        <v>NON</v>
      </c>
      <c r="I469" s="82"/>
      <c r="J469" s="79"/>
      <c r="K469" s="80"/>
      <c r="L469" s="80"/>
      <c r="M469" s="80"/>
      <c r="N469" s="83" t="str">
        <f aca="false">IF(C469="","",IF(I469="",IF(H469="OUI","À ENROBER",IF(G469="À SOUDER","NON SOUDÉ","EN ATTENTE RT")),IF(L469="R","À REPRENDRE",IF(H469&lt;&gt;"OUI","⚠ ENROBÉ AVANT ACCEPTATION RT","ENROBÉ"))))</f>
        <v>NON SOUDÉ</v>
      </c>
      <c r="O469" s="79"/>
    </row>
    <row r="470" customFormat="false" ht="15" hidden="false" customHeight="false" outlineLevel="0" collapsed="false">
      <c r="A470" s="78" t="n">
        <f aca="false">IF('CARNET DE SOUDURE'!E470="","",'CARNET DE SOUDURE'!A470)</f>
        <v>464</v>
      </c>
      <c r="B470" s="93" t="str">
        <f aca="false">IF('CARNET DE SOUDURE'!E470="","",'CARNET DE SOUDURE'!B470&amp;"")</f>
        <v>ISB-303</v>
      </c>
      <c r="C470" s="83" t="str">
        <f aca="false">IF('CARNET DE SOUDURE'!E470="","",'CARNET DE SOUDURE'!E470)</f>
        <v>JN°059</v>
      </c>
      <c r="D470" s="78" t="str">
        <f aca="false">IF('CARNET DE SOUDURE'!E470="","",'CARNET DE SOUDURE'!D470&amp;"")</f>
        <v/>
      </c>
      <c r="E470" s="96" t="str">
        <f aca="false">IF(OR('CARNET DE SOUDURE'!E470="",'CARNET DE SOUDURE'!R470=""),"",'CARNET DE SOUDURE'!R470)</f>
        <v/>
      </c>
      <c r="F470" s="81" t="str">
        <f aca="false">IF('CARNET DE SOUDURE'!E470="","",'CARNET DE SOUDURE'!AL470)</f>
        <v/>
      </c>
      <c r="G470" s="81" t="str">
        <f aca="false">IF('CARNET DE SOUDURE'!E470="","",'CARNET DE SOUDURE'!AM470)</f>
        <v>À SOUDER</v>
      </c>
      <c r="H470" s="81" t="str">
        <f aca="false">IF(C470="","",IF(G470="ACCEPTÉ","OUI","NON"))</f>
        <v>NON</v>
      </c>
      <c r="I470" s="82"/>
      <c r="J470" s="79"/>
      <c r="K470" s="80"/>
      <c r="L470" s="80"/>
      <c r="M470" s="80"/>
      <c r="N470" s="83" t="str">
        <f aca="false">IF(C470="","",IF(I470="",IF(H470="OUI","À ENROBER",IF(G470="À SOUDER","NON SOUDÉ","EN ATTENTE RT")),IF(L470="R","À REPRENDRE",IF(H470&lt;&gt;"OUI","⚠ ENROBÉ AVANT ACCEPTATION RT","ENROBÉ"))))</f>
        <v>NON SOUDÉ</v>
      </c>
      <c r="O470" s="79"/>
    </row>
    <row r="471" customFormat="false" ht="15" hidden="false" customHeight="false" outlineLevel="0" collapsed="false">
      <c r="A471" s="78" t="n">
        <f aca="false">IF('CARNET DE SOUDURE'!E471="","",'CARNET DE SOUDURE'!A471)</f>
        <v>465</v>
      </c>
      <c r="B471" s="93" t="str">
        <f aca="false">IF('CARNET DE SOUDURE'!E471="","",'CARNET DE SOUDURE'!B471&amp;"")</f>
        <v>ISB-303</v>
      </c>
      <c r="C471" s="83" t="str">
        <f aca="false">IF('CARNET DE SOUDURE'!E471="","",'CARNET DE SOUDURE'!E471)</f>
        <v>JN°060</v>
      </c>
      <c r="D471" s="78" t="str">
        <f aca="false">IF('CARNET DE SOUDURE'!E471="","",'CARNET DE SOUDURE'!D471&amp;"")</f>
        <v/>
      </c>
      <c r="E471" s="96" t="str">
        <f aca="false">IF(OR('CARNET DE SOUDURE'!E471="",'CARNET DE SOUDURE'!R471=""),"",'CARNET DE SOUDURE'!R471)</f>
        <v/>
      </c>
      <c r="F471" s="81" t="str">
        <f aca="false">IF('CARNET DE SOUDURE'!E471="","",'CARNET DE SOUDURE'!AL471)</f>
        <v/>
      </c>
      <c r="G471" s="81" t="str">
        <f aca="false">IF('CARNET DE SOUDURE'!E471="","",'CARNET DE SOUDURE'!AM471)</f>
        <v>À SOUDER</v>
      </c>
      <c r="H471" s="81" t="str">
        <f aca="false">IF(C471="","",IF(G471="ACCEPTÉ","OUI","NON"))</f>
        <v>NON</v>
      </c>
      <c r="I471" s="82"/>
      <c r="J471" s="79"/>
      <c r="K471" s="80"/>
      <c r="L471" s="80"/>
      <c r="M471" s="80"/>
      <c r="N471" s="83" t="str">
        <f aca="false">IF(C471="","",IF(I471="",IF(H471="OUI","À ENROBER",IF(G471="À SOUDER","NON SOUDÉ","EN ATTENTE RT")),IF(L471="R","À REPRENDRE",IF(H471&lt;&gt;"OUI","⚠ ENROBÉ AVANT ACCEPTATION RT","ENROBÉ"))))</f>
        <v>NON SOUDÉ</v>
      </c>
      <c r="O471" s="79"/>
    </row>
    <row r="472" customFormat="false" ht="15" hidden="false" customHeight="false" outlineLevel="0" collapsed="false">
      <c r="A472" s="78" t="n">
        <f aca="false">IF('CARNET DE SOUDURE'!E472="","",'CARNET DE SOUDURE'!A472)</f>
        <v>466</v>
      </c>
      <c r="B472" s="93" t="str">
        <f aca="false">IF('CARNET DE SOUDURE'!E472="","",'CARNET DE SOUDURE'!B472&amp;"")</f>
        <v>ISB-303</v>
      </c>
      <c r="C472" s="83" t="str">
        <f aca="false">IF('CARNET DE SOUDURE'!E472="","",'CARNET DE SOUDURE'!E472)</f>
        <v>JN°061</v>
      </c>
      <c r="D472" s="78" t="str">
        <f aca="false">IF('CARNET DE SOUDURE'!E472="","",'CARNET DE SOUDURE'!D472&amp;"")</f>
        <v/>
      </c>
      <c r="E472" s="96" t="str">
        <f aca="false">IF(OR('CARNET DE SOUDURE'!E472="",'CARNET DE SOUDURE'!R472=""),"",'CARNET DE SOUDURE'!R472)</f>
        <v/>
      </c>
      <c r="F472" s="81" t="str">
        <f aca="false">IF('CARNET DE SOUDURE'!E472="","",'CARNET DE SOUDURE'!AL472)</f>
        <v/>
      </c>
      <c r="G472" s="81" t="str">
        <f aca="false">IF('CARNET DE SOUDURE'!E472="","",'CARNET DE SOUDURE'!AM472)</f>
        <v>À SOUDER</v>
      </c>
      <c r="H472" s="81" t="str">
        <f aca="false">IF(C472="","",IF(G472="ACCEPTÉ","OUI","NON"))</f>
        <v>NON</v>
      </c>
      <c r="I472" s="82"/>
      <c r="J472" s="79"/>
      <c r="K472" s="80"/>
      <c r="L472" s="80"/>
      <c r="M472" s="80"/>
      <c r="N472" s="83" t="str">
        <f aca="false">IF(C472="","",IF(I472="",IF(H472="OUI","À ENROBER",IF(G472="À SOUDER","NON SOUDÉ","EN ATTENTE RT")),IF(L472="R","À REPRENDRE",IF(H472&lt;&gt;"OUI","⚠ ENROBÉ AVANT ACCEPTATION RT","ENROBÉ"))))</f>
        <v>NON SOUDÉ</v>
      </c>
      <c r="O472" s="79"/>
    </row>
    <row r="473" customFormat="false" ht="15" hidden="false" customHeight="false" outlineLevel="0" collapsed="false">
      <c r="A473" s="78" t="n">
        <f aca="false">IF('CARNET DE SOUDURE'!E473="","",'CARNET DE SOUDURE'!A473)</f>
        <v>467</v>
      </c>
      <c r="B473" s="93" t="str">
        <f aca="false">IF('CARNET DE SOUDURE'!E473="","",'CARNET DE SOUDURE'!B473&amp;"")</f>
        <v>ISB-303</v>
      </c>
      <c r="C473" s="83" t="str">
        <f aca="false">IF('CARNET DE SOUDURE'!E473="","",'CARNET DE SOUDURE'!E473)</f>
        <v>JN°062</v>
      </c>
      <c r="D473" s="78" t="str">
        <f aca="false">IF('CARNET DE SOUDURE'!E473="","",'CARNET DE SOUDURE'!D473&amp;"")</f>
        <v/>
      </c>
      <c r="E473" s="96" t="str">
        <f aca="false">IF(OR('CARNET DE SOUDURE'!E473="",'CARNET DE SOUDURE'!R473=""),"",'CARNET DE SOUDURE'!R473)</f>
        <v/>
      </c>
      <c r="F473" s="81" t="str">
        <f aca="false">IF('CARNET DE SOUDURE'!E473="","",'CARNET DE SOUDURE'!AL473)</f>
        <v/>
      </c>
      <c r="G473" s="81" t="str">
        <f aca="false">IF('CARNET DE SOUDURE'!E473="","",'CARNET DE SOUDURE'!AM473)</f>
        <v>À SOUDER</v>
      </c>
      <c r="H473" s="81" t="str">
        <f aca="false">IF(C473="","",IF(G473="ACCEPTÉ","OUI","NON"))</f>
        <v>NON</v>
      </c>
      <c r="I473" s="82"/>
      <c r="J473" s="79"/>
      <c r="K473" s="80"/>
      <c r="L473" s="80"/>
      <c r="M473" s="80"/>
      <c r="N473" s="83" t="str">
        <f aca="false">IF(C473="","",IF(I473="",IF(H473="OUI","À ENROBER",IF(G473="À SOUDER","NON SOUDÉ","EN ATTENTE RT")),IF(L473="R","À REPRENDRE",IF(H473&lt;&gt;"OUI","⚠ ENROBÉ AVANT ACCEPTATION RT","ENROBÉ"))))</f>
        <v>NON SOUDÉ</v>
      </c>
      <c r="O473" s="79"/>
    </row>
    <row r="474" customFormat="false" ht="15" hidden="false" customHeight="false" outlineLevel="0" collapsed="false">
      <c r="A474" s="78" t="n">
        <f aca="false">IF('CARNET DE SOUDURE'!E474="","",'CARNET DE SOUDURE'!A474)</f>
        <v>468</v>
      </c>
      <c r="B474" s="93" t="str">
        <f aca="false">IF('CARNET DE SOUDURE'!E474="","",'CARNET DE SOUDURE'!B474&amp;"")</f>
        <v>ISB-303</v>
      </c>
      <c r="C474" s="83" t="str">
        <f aca="false">IF('CARNET DE SOUDURE'!E474="","",'CARNET DE SOUDURE'!E474)</f>
        <v>JN°063</v>
      </c>
      <c r="D474" s="78" t="str">
        <f aca="false">IF('CARNET DE SOUDURE'!E474="","",'CARNET DE SOUDURE'!D474&amp;"")</f>
        <v/>
      </c>
      <c r="E474" s="96" t="str">
        <f aca="false">IF(OR('CARNET DE SOUDURE'!E474="",'CARNET DE SOUDURE'!R474=""),"",'CARNET DE SOUDURE'!R474)</f>
        <v/>
      </c>
      <c r="F474" s="81" t="str">
        <f aca="false">IF('CARNET DE SOUDURE'!E474="","",'CARNET DE SOUDURE'!AL474)</f>
        <v/>
      </c>
      <c r="G474" s="81" t="str">
        <f aca="false">IF('CARNET DE SOUDURE'!E474="","",'CARNET DE SOUDURE'!AM474)</f>
        <v>À SOUDER</v>
      </c>
      <c r="H474" s="81" t="str">
        <f aca="false">IF(C474="","",IF(G474="ACCEPTÉ","OUI","NON"))</f>
        <v>NON</v>
      </c>
      <c r="I474" s="82"/>
      <c r="J474" s="79"/>
      <c r="K474" s="80"/>
      <c r="L474" s="80"/>
      <c r="M474" s="80"/>
      <c r="N474" s="83" t="str">
        <f aca="false">IF(C474="","",IF(I474="",IF(H474="OUI","À ENROBER",IF(G474="À SOUDER","NON SOUDÉ","EN ATTENTE RT")),IF(L474="R","À REPRENDRE",IF(H474&lt;&gt;"OUI","⚠ ENROBÉ AVANT ACCEPTATION RT","ENROBÉ"))))</f>
        <v>NON SOUDÉ</v>
      </c>
      <c r="O474" s="79"/>
    </row>
    <row r="475" customFormat="false" ht="15" hidden="false" customHeight="false" outlineLevel="0" collapsed="false">
      <c r="A475" s="78" t="n">
        <f aca="false">IF('CARNET DE SOUDURE'!E475="","",'CARNET DE SOUDURE'!A475)</f>
        <v>469</v>
      </c>
      <c r="B475" s="93" t="str">
        <f aca="false">IF('CARNET DE SOUDURE'!E475="","",'CARNET DE SOUDURE'!B475&amp;"")</f>
        <v>ISB-303</v>
      </c>
      <c r="C475" s="83" t="str">
        <f aca="false">IF('CARNET DE SOUDURE'!E475="","",'CARNET DE SOUDURE'!E475)</f>
        <v>JN°064</v>
      </c>
      <c r="D475" s="78" t="str">
        <f aca="false">IF('CARNET DE SOUDURE'!E475="","",'CARNET DE SOUDURE'!D475&amp;"")</f>
        <v/>
      </c>
      <c r="E475" s="96" t="str">
        <f aca="false">IF(OR('CARNET DE SOUDURE'!E475="",'CARNET DE SOUDURE'!R475=""),"",'CARNET DE SOUDURE'!R475)</f>
        <v/>
      </c>
      <c r="F475" s="81" t="str">
        <f aca="false">IF('CARNET DE SOUDURE'!E475="","",'CARNET DE SOUDURE'!AL475)</f>
        <v/>
      </c>
      <c r="G475" s="81" t="str">
        <f aca="false">IF('CARNET DE SOUDURE'!E475="","",'CARNET DE SOUDURE'!AM475)</f>
        <v>À SOUDER</v>
      </c>
      <c r="H475" s="81" t="str">
        <f aca="false">IF(C475="","",IF(G475="ACCEPTÉ","OUI","NON"))</f>
        <v>NON</v>
      </c>
      <c r="I475" s="82"/>
      <c r="J475" s="79"/>
      <c r="K475" s="80"/>
      <c r="L475" s="80"/>
      <c r="M475" s="80"/>
      <c r="N475" s="83" t="str">
        <f aca="false">IF(C475="","",IF(I475="",IF(H475="OUI","À ENROBER",IF(G475="À SOUDER","NON SOUDÉ","EN ATTENTE RT")),IF(L475="R","À REPRENDRE",IF(H475&lt;&gt;"OUI","⚠ ENROBÉ AVANT ACCEPTATION RT","ENROBÉ"))))</f>
        <v>NON SOUDÉ</v>
      </c>
      <c r="O475" s="79"/>
    </row>
    <row r="476" customFormat="false" ht="15" hidden="false" customHeight="false" outlineLevel="0" collapsed="false">
      <c r="A476" s="78" t="n">
        <f aca="false">IF('CARNET DE SOUDURE'!E476="","",'CARNET DE SOUDURE'!A476)</f>
        <v>470</v>
      </c>
      <c r="B476" s="93" t="str">
        <f aca="false">IF('CARNET DE SOUDURE'!E476="","",'CARNET DE SOUDURE'!B476&amp;"")</f>
        <v>ISB-303</v>
      </c>
      <c r="C476" s="83" t="str">
        <f aca="false">IF('CARNET DE SOUDURE'!E476="","",'CARNET DE SOUDURE'!E476)</f>
        <v>JN°065</v>
      </c>
      <c r="D476" s="78" t="str">
        <f aca="false">IF('CARNET DE SOUDURE'!E476="","",'CARNET DE SOUDURE'!D476&amp;"")</f>
        <v/>
      </c>
      <c r="E476" s="96" t="str">
        <f aca="false">IF(OR('CARNET DE SOUDURE'!E476="",'CARNET DE SOUDURE'!R476=""),"",'CARNET DE SOUDURE'!R476)</f>
        <v/>
      </c>
      <c r="F476" s="81" t="str">
        <f aca="false">IF('CARNET DE SOUDURE'!E476="","",'CARNET DE SOUDURE'!AL476)</f>
        <v/>
      </c>
      <c r="G476" s="81" t="str">
        <f aca="false">IF('CARNET DE SOUDURE'!E476="","",'CARNET DE SOUDURE'!AM476)</f>
        <v>À SOUDER</v>
      </c>
      <c r="H476" s="81" t="str">
        <f aca="false">IF(C476="","",IF(G476="ACCEPTÉ","OUI","NON"))</f>
        <v>NON</v>
      </c>
      <c r="I476" s="82"/>
      <c r="J476" s="79"/>
      <c r="K476" s="80"/>
      <c r="L476" s="80"/>
      <c r="M476" s="80"/>
      <c r="N476" s="83" t="str">
        <f aca="false">IF(C476="","",IF(I476="",IF(H476="OUI","À ENROBER",IF(G476="À SOUDER","NON SOUDÉ","EN ATTENTE RT")),IF(L476="R","À REPRENDRE",IF(H476&lt;&gt;"OUI","⚠ ENROBÉ AVANT ACCEPTATION RT","ENROBÉ"))))</f>
        <v>NON SOUDÉ</v>
      </c>
      <c r="O476" s="79"/>
    </row>
    <row r="477" customFormat="false" ht="15" hidden="false" customHeight="false" outlineLevel="0" collapsed="false">
      <c r="A477" s="78" t="n">
        <f aca="false">IF('CARNET DE SOUDURE'!E477="","",'CARNET DE SOUDURE'!A477)</f>
        <v>471</v>
      </c>
      <c r="B477" s="93" t="str">
        <f aca="false">IF('CARNET DE SOUDURE'!E477="","",'CARNET DE SOUDURE'!B477&amp;"")</f>
        <v>ISB-303</v>
      </c>
      <c r="C477" s="83" t="str">
        <f aca="false">IF('CARNET DE SOUDURE'!E477="","",'CARNET DE SOUDURE'!E477)</f>
        <v>JN°066</v>
      </c>
      <c r="D477" s="78" t="str">
        <f aca="false">IF('CARNET DE SOUDURE'!E477="","",'CARNET DE SOUDURE'!D477&amp;"")</f>
        <v/>
      </c>
      <c r="E477" s="96" t="str">
        <f aca="false">IF(OR('CARNET DE SOUDURE'!E477="",'CARNET DE SOUDURE'!R477=""),"",'CARNET DE SOUDURE'!R477)</f>
        <v/>
      </c>
      <c r="F477" s="81" t="str">
        <f aca="false">IF('CARNET DE SOUDURE'!E477="","",'CARNET DE SOUDURE'!AL477)</f>
        <v/>
      </c>
      <c r="G477" s="81" t="str">
        <f aca="false">IF('CARNET DE SOUDURE'!E477="","",'CARNET DE SOUDURE'!AM477)</f>
        <v>À SOUDER</v>
      </c>
      <c r="H477" s="81" t="str">
        <f aca="false">IF(C477="","",IF(G477="ACCEPTÉ","OUI","NON"))</f>
        <v>NON</v>
      </c>
      <c r="I477" s="82"/>
      <c r="J477" s="79"/>
      <c r="K477" s="80"/>
      <c r="L477" s="80"/>
      <c r="M477" s="80"/>
      <c r="N477" s="83" t="str">
        <f aca="false">IF(C477="","",IF(I477="",IF(H477="OUI","À ENROBER",IF(G477="À SOUDER","NON SOUDÉ","EN ATTENTE RT")),IF(L477="R","À REPRENDRE",IF(H477&lt;&gt;"OUI","⚠ ENROBÉ AVANT ACCEPTATION RT","ENROBÉ"))))</f>
        <v>NON SOUDÉ</v>
      </c>
      <c r="O477" s="79"/>
    </row>
    <row r="478" customFormat="false" ht="15" hidden="false" customHeight="false" outlineLevel="0" collapsed="false">
      <c r="A478" s="78" t="n">
        <f aca="false">IF('CARNET DE SOUDURE'!E478="","",'CARNET DE SOUDURE'!A478)</f>
        <v>472</v>
      </c>
      <c r="B478" s="93" t="str">
        <f aca="false">IF('CARNET DE SOUDURE'!E478="","",'CARNET DE SOUDURE'!B478&amp;"")</f>
        <v>ISB-303</v>
      </c>
      <c r="C478" s="83" t="str">
        <f aca="false">IF('CARNET DE SOUDURE'!E478="","",'CARNET DE SOUDURE'!E478)</f>
        <v>JN°067</v>
      </c>
      <c r="D478" s="78" t="str">
        <f aca="false">IF('CARNET DE SOUDURE'!E478="","",'CARNET DE SOUDURE'!D478&amp;"")</f>
        <v/>
      </c>
      <c r="E478" s="96" t="str">
        <f aca="false">IF(OR('CARNET DE SOUDURE'!E478="",'CARNET DE SOUDURE'!R478=""),"",'CARNET DE SOUDURE'!R478)</f>
        <v/>
      </c>
      <c r="F478" s="81" t="str">
        <f aca="false">IF('CARNET DE SOUDURE'!E478="","",'CARNET DE SOUDURE'!AL478)</f>
        <v/>
      </c>
      <c r="G478" s="81" t="str">
        <f aca="false">IF('CARNET DE SOUDURE'!E478="","",'CARNET DE SOUDURE'!AM478)</f>
        <v>À SOUDER</v>
      </c>
      <c r="H478" s="81" t="str">
        <f aca="false">IF(C478="","",IF(G478="ACCEPTÉ","OUI","NON"))</f>
        <v>NON</v>
      </c>
      <c r="I478" s="82"/>
      <c r="J478" s="79"/>
      <c r="K478" s="80"/>
      <c r="L478" s="80"/>
      <c r="M478" s="80"/>
      <c r="N478" s="83" t="str">
        <f aca="false">IF(C478="","",IF(I478="",IF(H478="OUI","À ENROBER",IF(G478="À SOUDER","NON SOUDÉ","EN ATTENTE RT")),IF(L478="R","À REPRENDRE",IF(H478&lt;&gt;"OUI","⚠ ENROBÉ AVANT ACCEPTATION RT","ENROBÉ"))))</f>
        <v>NON SOUDÉ</v>
      </c>
      <c r="O478" s="79"/>
    </row>
    <row r="479" customFormat="false" ht="15" hidden="false" customHeight="false" outlineLevel="0" collapsed="false">
      <c r="A479" s="78" t="n">
        <f aca="false">IF('CARNET DE SOUDURE'!E479="","",'CARNET DE SOUDURE'!A479)</f>
        <v>473</v>
      </c>
      <c r="B479" s="93" t="str">
        <f aca="false">IF('CARNET DE SOUDURE'!E479="","",'CARNET DE SOUDURE'!B479&amp;"")</f>
        <v>ISB-303</v>
      </c>
      <c r="C479" s="83" t="str">
        <f aca="false">IF('CARNET DE SOUDURE'!E479="","",'CARNET DE SOUDURE'!E479)</f>
        <v>JN°068</v>
      </c>
      <c r="D479" s="78" t="str">
        <f aca="false">IF('CARNET DE SOUDURE'!E479="","",'CARNET DE SOUDURE'!D479&amp;"")</f>
        <v/>
      </c>
      <c r="E479" s="96" t="str">
        <f aca="false">IF(OR('CARNET DE SOUDURE'!E479="",'CARNET DE SOUDURE'!R479=""),"",'CARNET DE SOUDURE'!R479)</f>
        <v/>
      </c>
      <c r="F479" s="81" t="str">
        <f aca="false">IF('CARNET DE SOUDURE'!E479="","",'CARNET DE SOUDURE'!AL479)</f>
        <v/>
      </c>
      <c r="G479" s="81" t="str">
        <f aca="false">IF('CARNET DE SOUDURE'!E479="","",'CARNET DE SOUDURE'!AM479)</f>
        <v>À SOUDER</v>
      </c>
      <c r="H479" s="81" t="str">
        <f aca="false">IF(C479="","",IF(G479="ACCEPTÉ","OUI","NON"))</f>
        <v>NON</v>
      </c>
      <c r="I479" s="82"/>
      <c r="J479" s="79"/>
      <c r="K479" s="80"/>
      <c r="L479" s="80"/>
      <c r="M479" s="80"/>
      <c r="N479" s="83" t="str">
        <f aca="false">IF(C479="","",IF(I479="",IF(H479="OUI","À ENROBER",IF(G479="À SOUDER","NON SOUDÉ","EN ATTENTE RT")),IF(L479="R","À REPRENDRE",IF(H479&lt;&gt;"OUI","⚠ ENROBÉ AVANT ACCEPTATION RT","ENROBÉ"))))</f>
        <v>NON SOUDÉ</v>
      </c>
      <c r="O479" s="79"/>
    </row>
    <row r="480" customFormat="false" ht="15" hidden="false" customHeight="false" outlineLevel="0" collapsed="false">
      <c r="A480" s="78" t="n">
        <f aca="false">IF('CARNET DE SOUDURE'!E480="","",'CARNET DE SOUDURE'!A480)</f>
        <v>474</v>
      </c>
      <c r="B480" s="93" t="str">
        <f aca="false">IF('CARNET DE SOUDURE'!E480="","",'CARNET DE SOUDURE'!B480&amp;"")</f>
        <v>ISB-303</v>
      </c>
      <c r="C480" s="83" t="str">
        <f aca="false">IF('CARNET DE SOUDURE'!E480="","",'CARNET DE SOUDURE'!E480)</f>
        <v>JN°069</v>
      </c>
      <c r="D480" s="78" t="str">
        <f aca="false">IF('CARNET DE SOUDURE'!E480="","",'CARNET DE SOUDURE'!D480&amp;"")</f>
        <v/>
      </c>
      <c r="E480" s="96" t="str">
        <f aca="false">IF(OR('CARNET DE SOUDURE'!E480="",'CARNET DE SOUDURE'!R480=""),"",'CARNET DE SOUDURE'!R480)</f>
        <v/>
      </c>
      <c r="F480" s="81" t="str">
        <f aca="false">IF('CARNET DE SOUDURE'!E480="","",'CARNET DE SOUDURE'!AL480)</f>
        <v/>
      </c>
      <c r="G480" s="81" t="str">
        <f aca="false">IF('CARNET DE SOUDURE'!E480="","",'CARNET DE SOUDURE'!AM480)</f>
        <v>À SOUDER</v>
      </c>
      <c r="H480" s="81" t="str">
        <f aca="false">IF(C480="","",IF(G480="ACCEPTÉ","OUI","NON"))</f>
        <v>NON</v>
      </c>
      <c r="I480" s="82"/>
      <c r="J480" s="79"/>
      <c r="K480" s="80"/>
      <c r="L480" s="80"/>
      <c r="M480" s="80"/>
      <c r="N480" s="83" t="str">
        <f aca="false">IF(C480="","",IF(I480="",IF(H480="OUI","À ENROBER",IF(G480="À SOUDER","NON SOUDÉ","EN ATTENTE RT")),IF(L480="R","À REPRENDRE",IF(H480&lt;&gt;"OUI","⚠ ENROBÉ AVANT ACCEPTATION RT","ENROBÉ"))))</f>
        <v>NON SOUDÉ</v>
      </c>
      <c r="O480" s="79"/>
    </row>
    <row r="481" customFormat="false" ht="15" hidden="false" customHeight="false" outlineLevel="0" collapsed="false">
      <c r="A481" s="78" t="n">
        <f aca="false">IF('CARNET DE SOUDURE'!E481="","",'CARNET DE SOUDURE'!A481)</f>
        <v>475</v>
      </c>
      <c r="B481" s="93" t="str">
        <f aca="false">IF('CARNET DE SOUDURE'!E481="","",'CARNET DE SOUDURE'!B481&amp;"")</f>
        <v>ISB-303</v>
      </c>
      <c r="C481" s="83" t="str">
        <f aca="false">IF('CARNET DE SOUDURE'!E481="","",'CARNET DE SOUDURE'!E481)</f>
        <v>JN°070</v>
      </c>
      <c r="D481" s="78" t="str">
        <f aca="false">IF('CARNET DE SOUDURE'!E481="","",'CARNET DE SOUDURE'!D481&amp;"")</f>
        <v/>
      </c>
      <c r="E481" s="96" t="str">
        <f aca="false">IF(OR('CARNET DE SOUDURE'!E481="",'CARNET DE SOUDURE'!R481=""),"",'CARNET DE SOUDURE'!R481)</f>
        <v/>
      </c>
      <c r="F481" s="81" t="str">
        <f aca="false">IF('CARNET DE SOUDURE'!E481="","",'CARNET DE SOUDURE'!AL481)</f>
        <v/>
      </c>
      <c r="G481" s="81" t="str">
        <f aca="false">IF('CARNET DE SOUDURE'!E481="","",'CARNET DE SOUDURE'!AM481)</f>
        <v>À SOUDER</v>
      </c>
      <c r="H481" s="81" t="str">
        <f aca="false">IF(C481="","",IF(G481="ACCEPTÉ","OUI","NON"))</f>
        <v>NON</v>
      </c>
      <c r="I481" s="82"/>
      <c r="J481" s="79"/>
      <c r="K481" s="80"/>
      <c r="L481" s="80"/>
      <c r="M481" s="80"/>
      <c r="N481" s="83" t="str">
        <f aca="false">IF(C481="","",IF(I481="",IF(H481="OUI","À ENROBER",IF(G481="À SOUDER","NON SOUDÉ","EN ATTENTE RT")),IF(L481="R","À REPRENDRE",IF(H481&lt;&gt;"OUI","⚠ ENROBÉ AVANT ACCEPTATION RT","ENROBÉ"))))</f>
        <v>NON SOUDÉ</v>
      </c>
      <c r="O481" s="79"/>
    </row>
    <row r="482" customFormat="false" ht="15" hidden="false" customHeight="false" outlineLevel="0" collapsed="false">
      <c r="A482" s="78" t="n">
        <f aca="false">IF('CARNET DE SOUDURE'!E482="","",'CARNET DE SOUDURE'!A482)</f>
        <v>476</v>
      </c>
      <c r="B482" s="93" t="str">
        <f aca="false">IF('CARNET DE SOUDURE'!E482="","",'CARNET DE SOUDURE'!B482&amp;"")</f>
        <v>ISB-303</v>
      </c>
      <c r="C482" s="83" t="str">
        <f aca="false">IF('CARNET DE SOUDURE'!E482="","",'CARNET DE SOUDURE'!E482)</f>
        <v>JN°071</v>
      </c>
      <c r="D482" s="78" t="str">
        <f aca="false">IF('CARNET DE SOUDURE'!E482="","",'CARNET DE SOUDURE'!D482&amp;"")</f>
        <v/>
      </c>
      <c r="E482" s="96" t="str">
        <f aca="false">IF(OR('CARNET DE SOUDURE'!E482="",'CARNET DE SOUDURE'!R482=""),"",'CARNET DE SOUDURE'!R482)</f>
        <v/>
      </c>
      <c r="F482" s="81" t="str">
        <f aca="false">IF('CARNET DE SOUDURE'!E482="","",'CARNET DE SOUDURE'!AL482)</f>
        <v/>
      </c>
      <c r="G482" s="81" t="str">
        <f aca="false">IF('CARNET DE SOUDURE'!E482="","",'CARNET DE SOUDURE'!AM482)</f>
        <v>À SOUDER</v>
      </c>
      <c r="H482" s="81" t="str">
        <f aca="false">IF(C482="","",IF(G482="ACCEPTÉ","OUI","NON"))</f>
        <v>NON</v>
      </c>
      <c r="I482" s="82"/>
      <c r="J482" s="79"/>
      <c r="K482" s="80"/>
      <c r="L482" s="80"/>
      <c r="M482" s="80"/>
      <c r="N482" s="83" t="str">
        <f aca="false">IF(C482="","",IF(I482="",IF(H482="OUI","À ENROBER",IF(G482="À SOUDER","NON SOUDÉ","EN ATTENTE RT")),IF(L482="R","À REPRENDRE",IF(H482&lt;&gt;"OUI","⚠ ENROBÉ AVANT ACCEPTATION RT","ENROBÉ"))))</f>
        <v>NON SOUDÉ</v>
      </c>
      <c r="O482" s="79"/>
    </row>
    <row r="483" customFormat="false" ht="15" hidden="false" customHeight="false" outlineLevel="0" collapsed="false">
      <c r="A483" s="78" t="n">
        <f aca="false">IF('CARNET DE SOUDURE'!E483="","",'CARNET DE SOUDURE'!A483)</f>
        <v>477</v>
      </c>
      <c r="B483" s="93" t="str">
        <f aca="false">IF('CARNET DE SOUDURE'!E483="","",'CARNET DE SOUDURE'!B483&amp;"")</f>
        <v>ISB-303</v>
      </c>
      <c r="C483" s="83" t="str">
        <f aca="false">IF('CARNET DE SOUDURE'!E483="","",'CARNET DE SOUDURE'!E483)</f>
        <v>JN°072</v>
      </c>
      <c r="D483" s="78" t="str">
        <f aca="false">IF('CARNET DE SOUDURE'!E483="","",'CARNET DE SOUDURE'!D483&amp;"")</f>
        <v/>
      </c>
      <c r="E483" s="96" t="str">
        <f aca="false">IF(OR('CARNET DE SOUDURE'!E483="",'CARNET DE SOUDURE'!R483=""),"",'CARNET DE SOUDURE'!R483)</f>
        <v/>
      </c>
      <c r="F483" s="81" t="str">
        <f aca="false">IF('CARNET DE SOUDURE'!E483="","",'CARNET DE SOUDURE'!AL483)</f>
        <v/>
      </c>
      <c r="G483" s="81" t="str">
        <f aca="false">IF('CARNET DE SOUDURE'!E483="","",'CARNET DE SOUDURE'!AM483)</f>
        <v>À SOUDER</v>
      </c>
      <c r="H483" s="81" t="str">
        <f aca="false">IF(C483="","",IF(G483="ACCEPTÉ","OUI","NON"))</f>
        <v>NON</v>
      </c>
      <c r="I483" s="82"/>
      <c r="J483" s="79"/>
      <c r="K483" s="80"/>
      <c r="L483" s="80"/>
      <c r="M483" s="80"/>
      <c r="N483" s="83" t="str">
        <f aca="false">IF(C483="","",IF(I483="",IF(H483="OUI","À ENROBER",IF(G483="À SOUDER","NON SOUDÉ","EN ATTENTE RT")),IF(L483="R","À REPRENDRE",IF(H483&lt;&gt;"OUI","⚠ ENROBÉ AVANT ACCEPTATION RT","ENROBÉ"))))</f>
        <v>NON SOUDÉ</v>
      </c>
      <c r="O483" s="79"/>
    </row>
    <row r="484" customFormat="false" ht="15" hidden="false" customHeight="false" outlineLevel="0" collapsed="false">
      <c r="A484" s="78" t="n">
        <f aca="false">IF('CARNET DE SOUDURE'!E484="","",'CARNET DE SOUDURE'!A484)</f>
        <v>478</v>
      </c>
      <c r="B484" s="93" t="str">
        <f aca="false">IF('CARNET DE SOUDURE'!E484="","",'CARNET DE SOUDURE'!B484&amp;"")</f>
        <v>ISB-303</v>
      </c>
      <c r="C484" s="83" t="str">
        <f aca="false">IF('CARNET DE SOUDURE'!E484="","",'CARNET DE SOUDURE'!E484)</f>
        <v>JN°073</v>
      </c>
      <c r="D484" s="78" t="str">
        <f aca="false">IF('CARNET DE SOUDURE'!E484="","",'CARNET DE SOUDURE'!D484&amp;"")</f>
        <v/>
      </c>
      <c r="E484" s="96" t="str">
        <f aca="false">IF(OR('CARNET DE SOUDURE'!E484="",'CARNET DE SOUDURE'!R484=""),"",'CARNET DE SOUDURE'!R484)</f>
        <v/>
      </c>
      <c r="F484" s="81" t="str">
        <f aca="false">IF('CARNET DE SOUDURE'!E484="","",'CARNET DE SOUDURE'!AL484)</f>
        <v/>
      </c>
      <c r="G484" s="81" t="str">
        <f aca="false">IF('CARNET DE SOUDURE'!E484="","",'CARNET DE SOUDURE'!AM484)</f>
        <v>À SOUDER</v>
      </c>
      <c r="H484" s="81" t="str">
        <f aca="false">IF(C484="","",IF(G484="ACCEPTÉ","OUI","NON"))</f>
        <v>NON</v>
      </c>
      <c r="I484" s="82"/>
      <c r="J484" s="79"/>
      <c r="K484" s="80"/>
      <c r="L484" s="80"/>
      <c r="M484" s="80"/>
      <c r="N484" s="83" t="str">
        <f aca="false">IF(C484="","",IF(I484="",IF(H484="OUI","À ENROBER",IF(G484="À SOUDER","NON SOUDÉ","EN ATTENTE RT")),IF(L484="R","À REPRENDRE",IF(H484&lt;&gt;"OUI","⚠ ENROBÉ AVANT ACCEPTATION RT","ENROBÉ"))))</f>
        <v>NON SOUDÉ</v>
      </c>
      <c r="O484" s="79"/>
    </row>
    <row r="485" customFormat="false" ht="15" hidden="false" customHeight="false" outlineLevel="0" collapsed="false">
      <c r="A485" s="78" t="n">
        <f aca="false">IF('CARNET DE SOUDURE'!E485="","",'CARNET DE SOUDURE'!A485)</f>
        <v>479</v>
      </c>
      <c r="B485" s="93" t="str">
        <f aca="false">IF('CARNET DE SOUDURE'!E485="","",'CARNET DE SOUDURE'!B485&amp;"")</f>
        <v>ISB-303</v>
      </c>
      <c r="C485" s="83" t="str">
        <f aca="false">IF('CARNET DE SOUDURE'!E485="","",'CARNET DE SOUDURE'!E485)</f>
        <v>JN°074</v>
      </c>
      <c r="D485" s="78" t="str">
        <f aca="false">IF('CARNET DE SOUDURE'!E485="","",'CARNET DE SOUDURE'!D485&amp;"")</f>
        <v/>
      </c>
      <c r="E485" s="96" t="str">
        <f aca="false">IF(OR('CARNET DE SOUDURE'!E485="",'CARNET DE SOUDURE'!R485=""),"",'CARNET DE SOUDURE'!R485)</f>
        <v/>
      </c>
      <c r="F485" s="81" t="str">
        <f aca="false">IF('CARNET DE SOUDURE'!E485="","",'CARNET DE SOUDURE'!AL485)</f>
        <v/>
      </c>
      <c r="G485" s="81" t="str">
        <f aca="false">IF('CARNET DE SOUDURE'!E485="","",'CARNET DE SOUDURE'!AM485)</f>
        <v>À SOUDER</v>
      </c>
      <c r="H485" s="81" t="str">
        <f aca="false">IF(C485="","",IF(G485="ACCEPTÉ","OUI","NON"))</f>
        <v>NON</v>
      </c>
      <c r="I485" s="82"/>
      <c r="J485" s="79"/>
      <c r="K485" s="80"/>
      <c r="L485" s="80"/>
      <c r="M485" s="80"/>
      <c r="N485" s="83" t="str">
        <f aca="false">IF(C485="","",IF(I485="",IF(H485="OUI","À ENROBER",IF(G485="À SOUDER","NON SOUDÉ","EN ATTENTE RT")),IF(L485="R","À REPRENDRE",IF(H485&lt;&gt;"OUI","⚠ ENROBÉ AVANT ACCEPTATION RT","ENROBÉ"))))</f>
        <v>NON SOUDÉ</v>
      </c>
      <c r="O485" s="79"/>
    </row>
    <row r="486" customFormat="false" ht="15" hidden="false" customHeight="false" outlineLevel="0" collapsed="false">
      <c r="A486" s="78" t="n">
        <f aca="false">IF('CARNET DE SOUDURE'!E486="","",'CARNET DE SOUDURE'!A486)</f>
        <v>480</v>
      </c>
      <c r="B486" s="93" t="str">
        <f aca="false">IF('CARNET DE SOUDURE'!E486="","",'CARNET DE SOUDURE'!B486&amp;"")</f>
        <v>ISB-303</v>
      </c>
      <c r="C486" s="83" t="str">
        <f aca="false">IF('CARNET DE SOUDURE'!E486="","",'CARNET DE SOUDURE'!E486)</f>
        <v>JN°075</v>
      </c>
      <c r="D486" s="78" t="str">
        <f aca="false">IF('CARNET DE SOUDURE'!E486="","",'CARNET DE SOUDURE'!D486&amp;"")</f>
        <v/>
      </c>
      <c r="E486" s="96" t="str">
        <f aca="false">IF(OR('CARNET DE SOUDURE'!E486="",'CARNET DE SOUDURE'!R486=""),"",'CARNET DE SOUDURE'!R486)</f>
        <v/>
      </c>
      <c r="F486" s="81" t="str">
        <f aca="false">IF('CARNET DE SOUDURE'!E486="","",'CARNET DE SOUDURE'!AL486)</f>
        <v/>
      </c>
      <c r="G486" s="81" t="str">
        <f aca="false">IF('CARNET DE SOUDURE'!E486="","",'CARNET DE SOUDURE'!AM486)</f>
        <v>À SOUDER</v>
      </c>
      <c r="H486" s="81" t="str">
        <f aca="false">IF(C486="","",IF(G486="ACCEPTÉ","OUI","NON"))</f>
        <v>NON</v>
      </c>
      <c r="I486" s="82"/>
      <c r="J486" s="79"/>
      <c r="K486" s="80"/>
      <c r="L486" s="80"/>
      <c r="M486" s="80"/>
      <c r="N486" s="83" t="str">
        <f aca="false">IF(C486="","",IF(I486="",IF(H486="OUI","À ENROBER",IF(G486="À SOUDER","NON SOUDÉ","EN ATTENTE RT")),IF(L486="R","À REPRENDRE",IF(H486&lt;&gt;"OUI","⚠ ENROBÉ AVANT ACCEPTATION RT","ENROBÉ"))))</f>
        <v>NON SOUDÉ</v>
      </c>
      <c r="O486" s="79"/>
    </row>
    <row r="487" customFormat="false" ht="15" hidden="false" customHeight="false" outlineLevel="0" collapsed="false">
      <c r="A487" s="78" t="n">
        <f aca="false">IF('CARNET DE SOUDURE'!E487="","",'CARNET DE SOUDURE'!A487)</f>
        <v>481</v>
      </c>
      <c r="B487" s="93" t="str">
        <f aca="false">IF('CARNET DE SOUDURE'!E487="","",'CARNET DE SOUDURE'!B487&amp;"")</f>
        <v>ISB-303</v>
      </c>
      <c r="C487" s="83" t="str">
        <f aca="false">IF('CARNET DE SOUDURE'!E487="","",'CARNET DE SOUDURE'!E487)</f>
        <v>JN°076</v>
      </c>
      <c r="D487" s="78" t="str">
        <f aca="false">IF('CARNET DE SOUDURE'!E487="","",'CARNET DE SOUDURE'!D487&amp;"")</f>
        <v/>
      </c>
      <c r="E487" s="96" t="str">
        <f aca="false">IF(OR('CARNET DE SOUDURE'!E487="",'CARNET DE SOUDURE'!R487=""),"",'CARNET DE SOUDURE'!R487)</f>
        <v/>
      </c>
      <c r="F487" s="81" t="str">
        <f aca="false">IF('CARNET DE SOUDURE'!E487="","",'CARNET DE SOUDURE'!AL487)</f>
        <v/>
      </c>
      <c r="G487" s="81" t="str">
        <f aca="false">IF('CARNET DE SOUDURE'!E487="","",'CARNET DE SOUDURE'!AM487)</f>
        <v>À SOUDER</v>
      </c>
      <c r="H487" s="81" t="str">
        <f aca="false">IF(C487="","",IF(G487="ACCEPTÉ","OUI","NON"))</f>
        <v>NON</v>
      </c>
      <c r="I487" s="82"/>
      <c r="J487" s="79"/>
      <c r="K487" s="80"/>
      <c r="L487" s="80"/>
      <c r="M487" s="80"/>
      <c r="N487" s="83" t="str">
        <f aca="false">IF(C487="","",IF(I487="",IF(H487="OUI","À ENROBER",IF(G487="À SOUDER","NON SOUDÉ","EN ATTENTE RT")),IF(L487="R","À REPRENDRE",IF(H487&lt;&gt;"OUI","⚠ ENROBÉ AVANT ACCEPTATION RT","ENROBÉ"))))</f>
        <v>NON SOUDÉ</v>
      </c>
      <c r="O487" s="79"/>
    </row>
    <row r="488" customFormat="false" ht="15" hidden="false" customHeight="false" outlineLevel="0" collapsed="false">
      <c r="A488" s="78" t="n">
        <f aca="false">IF('CARNET DE SOUDURE'!E488="","",'CARNET DE SOUDURE'!A488)</f>
        <v>482</v>
      </c>
      <c r="B488" s="93" t="str">
        <f aca="false">IF('CARNET DE SOUDURE'!E488="","",'CARNET DE SOUDURE'!B488&amp;"")</f>
        <v>ISB-303</v>
      </c>
      <c r="C488" s="83" t="str">
        <f aca="false">IF('CARNET DE SOUDURE'!E488="","",'CARNET DE SOUDURE'!E488)</f>
        <v>JN°077</v>
      </c>
      <c r="D488" s="78" t="str">
        <f aca="false">IF('CARNET DE SOUDURE'!E488="","",'CARNET DE SOUDURE'!D488&amp;"")</f>
        <v/>
      </c>
      <c r="E488" s="96" t="str">
        <f aca="false">IF(OR('CARNET DE SOUDURE'!E488="",'CARNET DE SOUDURE'!R488=""),"",'CARNET DE SOUDURE'!R488)</f>
        <v/>
      </c>
      <c r="F488" s="81" t="str">
        <f aca="false">IF('CARNET DE SOUDURE'!E488="","",'CARNET DE SOUDURE'!AL488)</f>
        <v/>
      </c>
      <c r="G488" s="81" t="str">
        <f aca="false">IF('CARNET DE SOUDURE'!E488="","",'CARNET DE SOUDURE'!AM488)</f>
        <v>À SOUDER</v>
      </c>
      <c r="H488" s="81" t="str">
        <f aca="false">IF(C488="","",IF(G488="ACCEPTÉ","OUI","NON"))</f>
        <v>NON</v>
      </c>
      <c r="I488" s="82"/>
      <c r="J488" s="79"/>
      <c r="K488" s="80"/>
      <c r="L488" s="80"/>
      <c r="M488" s="80"/>
      <c r="N488" s="83" t="str">
        <f aca="false">IF(C488="","",IF(I488="",IF(H488="OUI","À ENROBER",IF(G488="À SOUDER","NON SOUDÉ","EN ATTENTE RT")),IF(L488="R","À REPRENDRE",IF(H488&lt;&gt;"OUI","⚠ ENROBÉ AVANT ACCEPTATION RT","ENROBÉ"))))</f>
        <v>NON SOUDÉ</v>
      </c>
      <c r="O488" s="79"/>
    </row>
    <row r="489" customFormat="false" ht="15" hidden="false" customHeight="false" outlineLevel="0" collapsed="false">
      <c r="A489" s="78" t="n">
        <f aca="false">IF('CARNET DE SOUDURE'!E489="","",'CARNET DE SOUDURE'!A489)</f>
        <v>483</v>
      </c>
      <c r="B489" s="93" t="str">
        <f aca="false">IF('CARNET DE SOUDURE'!E489="","",'CARNET DE SOUDURE'!B489&amp;"")</f>
        <v>ISB-303</v>
      </c>
      <c r="C489" s="83" t="str">
        <f aca="false">IF('CARNET DE SOUDURE'!E489="","",'CARNET DE SOUDURE'!E489)</f>
        <v>JN°078</v>
      </c>
      <c r="D489" s="78" t="str">
        <f aca="false">IF('CARNET DE SOUDURE'!E489="","",'CARNET DE SOUDURE'!D489&amp;"")</f>
        <v/>
      </c>
      <c r="E489" s="96" t="str">
        <f aca="false">IF(OR('CARNET DE SOUDURE'!E489="",'CARNET DE SOUDURE'!R489=""),"",'CARNET DE SOUDURE'!R489)</f>
        <v/>
      </c>
      <c r="F489" s="81" t="str">
        <f aca="false">IF('CARNET DE SOUDURE'!E489="","",'CARNET DE SOUDURE'!AL489)</f>
        <v/>
      </c>
      <c r="G489" s="81" t="str">
        <f aca="false">IF('CARNET DE SOUDURE'!E489="","",'CARNET DE SOUDURE'!AM489)</f>
        <v>À SOUDER</v>
      </c>
      <c r="H489" s="81" t="str">
        <f aca="false">IF(C489="","",IF(G489="ACCEPTÉ","OUI","NON"))</f>
        <v>NON</v>
      </c>
      <c r="I489" s="82"/>
      <c r="J489" s="79"/>
      <c r="K489" s="80"/>
      <c r="L489" s="80"/>
      <c r="M489" s="80"/>
      <c r="N489" s="83" t="str">
        <f aca="false">IF(C489="","",IF(I489="",IF(H489="OUI","À ENROBER",IF(G489="À SOUDER","NON SOUDÉ","EN ATTENTE RT")),IF(L489="R","À REPRENDRE",IF(H489&lt;&gt;"OUI","⚠ ENROBÉ AVANT ACCEPTATION RT","ENROBÉ"))))</f>
        <v>NON SOUDÉ</v>
      </c>
      <c r="O489" s="79"/>
    </row>
    <row r="490" customFormat="false" ht="15" hidden="false" customHeight="false" outlineLevel="0" collapsed="false">
      <c r="A490" s="78" t="n">
        <f aca="false">IF('CARNET DE SOUDURE'!E490="","",'CARNET DE SOUDURE'!A490)</f>
        <v>484</v>
      </c>
      <c r="B490" s="93" t="str">
        <f aca="false">IF('CARNET DE SOUDURE'!E490="","",'CARNET DE SOUDURE'!B490&amp;"")</f>
        <v>ISB-303</v>
      </c>
      <c r="C490" s="83" t="str">
        <f aca="false">IF('CARNET DE SOUDURE'!E490="","",'CARNET DE SOUDURE'!E490)</f>
        <v>JN°079</v>
      </c>
      <c r="D490" s="78" t="str">
        <f aca="false">IF('CARNET DE SOUDURE'!E490="","",'CARNET DE SOUDURE'!D490&amp;"")</f>
        <v/>
      </c>
      <c r="E490" s="96" t="str">
        <f aca="false">IF(OR('CARNET DE SOUDURE'!E490="",'CARNET DE SOUDURE'!R490=""),"",'CARNET DE SOUDURE'!R490)</f>
        <v/>
      </c>
      <c r="F490" s="81" t="str">
        <f aca="false">IF('CARNET DE SOUDURE'!E490="","",'CARNET DE SOUDURE'!AL490)</f>
        <v/>
      </c>
      <c r="G490" s="81" t="str">
        <f aca="false">IF('CARNET DE SOUDURE'!E490="","",'CARNET DE SOUDURE'!AM490)</f>
        <v>À SOUDER</v>
      </c>
      <c r="H490" s="81" t="str">
        <f aca="false">IF(C490="","",IF(G490="ACCEPTÉ","OUI","NON"))</f>
        <v>NON</v>
      </c>
      <c r="I490" s="82"/>
      <c r="J490" s="79"/>
      <c r="K490" s="80"/>
      <c r="L490" s="80"/>
      <c r="M490" s="80"/>
      <c r="N490" s="83" t="str">
        <f aca="false">IF(C490="","",IF(I490="",IF(H490="OUI","À ENROBER",IF(G490="À SOUDER","NON SOUDÉ","EN ATTENTE RT")),IF(L490="R","À REPRENDRE",IF(H490&lt;&gt;"OUI","⚠ ENROBÉ AVANT ACCEPTATION RT","ENROBÉ"))))</f>
        <v>NON SOUDÉ</v>
      </c>
      <c r="O490" s="79"/>
    </row>
    <row r="491" customFormat="false" ht="15" hidden="false" customHeight="false" outlineLevel="0" collapsed="false">
      <c r="A491" s="78" t="n">
        <f aca="false">IF('CARNET DE SOUDURE'!E491="","",'CARNET DE SOUDURE'!A491)</f>
        <v>485</v>
      </c>
      <c r="B491" s="93" t="str">
        <f aca="false">IF('CARNET DE SOUDURE'!E491="","",'CARNET DE SOUDURE'!B491&amp;"")</f>
        <v>ISB-303</v>
      </c>
      <c r="C491" s="83" t="str">
        <f aca="false">IF('CARNET DE SOUDURE'!E491="","",'CARNET DE SOUDURE'!E491)</f>
        <v>JN°080</v>
      </c>
      <c r="D491" s="78" t="str">
        <f aca="false">IF('CARNET DE SOUDURE'!E491="","",'CARNET DE SOUDURE'!D491&amp;"")</f>
        <v/>
      </c>
      <c r="E491" s="96" t="str">
        <f aca="false">IF(OR('CARNET DE SOUDURE'!E491="",'CARNET DE SOUDURE'!R491=""),"",'CARNET DE SOUDURE'!R491)</f>
        <v/>
      </c>
      <c r="F491" s="81" t="str">
        <f aca="false">IF('CARNET DE SOUDURE'!E491="","",'CARNET DE SOUDURE'!AL491)</f>
        <v/>
      </c>
      <c r="G491" s="81" t="str">
        <f aca="false">IF('CARNET DE SOUDURE'!E491="","",'CARNET DE SOUDURE'!AM491)</f>
        <v>À SOUDER</v>
      </c>
      <c r="H491" s="81" t="str">
        <f aca="false">IF(C491="","",IF(G491="ACCEPTÉ","OUI","NON"))</f>
        <v>NON</v>
      </c>
      <c r="I491" s="82"/>
      <c r="J491" s="79"/>
      <c r="K491" s="80"/>
      <c r="L491" s="80"/>
      <c r="M491" s="80"/>
      <c r="N491" s="83" t="str">
        <f aca="false">IF(C491="","",IF(I491="",IF(H491="OUI","À ENROBER",IF(G491="À SOUDER","NON SOUDÉ","EN ATTENTE RT")),IF(L491="R","À REPRENDRE",IF(H491&lt;&gt;"OUI","⚠ ENROBÉ AVANT ACCEPTATION RT","ENROBÉ"))))</f>
        <v>NON SOUDÉ</v>
      </c>
      <c r="O491" s="79"/>
    </row>
    <row r="492" customFormat="false" ht="15" hidden="false" customHeight="false" outlineLevel="0" collapsed="false">
      <c r="A492" s="78" t="n">
        <f aca="false">IF('CARNET DE SOUDURE'!E492="","",'CARNET DE SOUDURE'!A492)</f>
        <v>486</v>
      </c>
      <c r="B492" s="93" t="str">
        <f aca="false">IF('CARNET DE SOUDURE'!E492="","",'CARNET DE SOUDURE'!B492&amp;"")</f>
        <v>ISB-303</v>
      </c>
      <c r="C492" s="83" t="str">
        <f aca="false">IF('CARNET DE SOUDURE'!E492="","",'CARNET DE SOUDURE'!E492)</f>
        <v>JN°081</v>
      </c>
      <c r="D492" s="78" t="str">
        <f aca="false">IF('CARNET DE SOUDURE'!E492="","",'CARNET DE SOUDURE'!D492&amp;"")</f>
        <v/>
      </c>
      <c r="E492" s="96" t="str">
        <f aca="false">IF(OR('CARNET DE SOUDURE'!E492="",'CARNET DE SOUDURE'!R492=""),"",'CARNET DE SOUDURE'!R492)</f>
        <v/>
      </c>
      <c r="F492" s="81" t="str">
        <f aca="false">IF('CARNET DE SOUDURE'!E492="","",'CARNET DE SOUDURE'!AL492)</f>
        <v/>
      </c>
      <c r="G492" s="81" t="str">
        <f aca="false">IF('CARNET DE SOUDURE'!E492="","",'CARNET DE SOUDURE'!AM492)</f>
        <v>À SOUDER</v>
      </c>
      <c r="H492" s="81" t="str">
        <f aca="false">IF(C492="","",IF(G492="ACCEPTÉ","OUI","NON"))</f>
        <v>NON</v>
      </c>
      <c r="I492" s="82"/>
      <c r="J492" s="79"/>
      <c r="K492" s="80"/>
      <c r="L492" s="80"/>
      <c r="M492" s="80"/>
      <c r="N492" s="83" t="str">
        <f aca="false">IF(C492="","",IF(I492="",IF(H492="OUI","À ENROBER",IF(G492="À SOUDER","NON SOUDÉ","EN ATTENTE RT")),IF(L492="R","À REPRENDRE",IF(H492&lt;&gt;"OUI","⚠ ENROBÉ AVANT ACCEPTATION RT","ENROBÉ"))))</f>
        <v>NON SOUDÉ</v>
      </c>
      <c r="O492" s="79"/>
    </row>
    <row r="493" customFormat="false" ht="15" hidden="false" customHeight="false" outlineLevel="0" collapsed="false">
      <c r="A493" s="78" t="n">
        <f aca="false">IF('CARNET DE SOUDURE'!E493="","",'CARNET DE SOUDURE'!A493)</f>
        <v>487</v>
      </c>
      <c r="B493" s="93" t="str">
        <f aca="false">IF('CARNET DE SOUDURE'!E493="","",'CARNET DE SOUDURE'!B493&amp;"")</f>
        <v>ISB-303</v>
      </c>
      <c r="C493" s="83" t="str">
        <f aca="false">IF('CARNET DE SOUDURE'!E493="","",'CARNET DE SOUDURE'!E493)</f>
        <v>JN°082</v>
      </c>
      <c r="D493" s="78" t="str">
        <f aca="false">IF('CARNET DE SOUDURE'!E493="","",'CARNET DE SOUDURE'!D493&amp;"")</f>
        <v/>
      </c>
      <c r="E493" s="96" t="str">
        <f aca="false">IF(OR('CARNET DE SOUDURE'!E493="",'CARNET DE SOUDURE'!R493=""),"",'CARNET DE SOUDURE'!R493)</f>
        <v/>
      </c>
      <c r="F493" s="81" t="str">
        <f aca="false">IF('CARNET DE SOUDURE'!E493="","",'CARNET DE SOUDURE'!AL493)</f>
        <v/>
      </c>
      <c r="G493" s="81" t="str">
        <f aca="false">IF('CARNET DE SOUDURE'!E493="","",'CARNET DE SOUDURE'!AM493)</f>
        <v>À SOUDER</v>
      </c>
      <c r="H493" s="81" t="str">
        <f aca="false">IF(C493="","",IF(G493="ACCEPTÉ","OUI","NON"))</f>
        <v>NON</v>
      </c>
      <c r="I493" s="82"/>
      <c r="J493" s="79"/>
      <c r="K493" s="80"/>
      <c r="L493" s="80"/>
      <c r="M493" s="80"/>
      <c r="N493" s="83" t="str">
        <f aca="false">IF(C493="","",IF(I493="",IF(H493="OUI","À ENROBER",IF(G493="À SOUDER","NON SOUDÉ","EN ATTENTE RT")),IF(L493="R","À REPRENDRE",IF(H493&lt;&gt;"OUI","⚠ ENROBÉ AVANT ACCEPTATION RT","ENROBÉ"))))</f>
        <v>NON SOUDÉ</v>
      </c>
      <c r="O493" s="79"/>
    </row>
    <row r="494" customFormat="false" ht="15" hidden="false" customHeight="false" outlineLevel="0" collapsed="false">
      <c r="A494" s="78" t="n">
        <f aca="false">IF('CARNET DE SOUDURE'!E494="","",'CARNET DE SOUDURE'!A494)</f>
        <v>488</v>
      </c>
      <c r="B494" s="93" t="str">
        <f aca="false">IF('CARNET DE SOUDURE'!E494="","",'CARNET DE SOUDURE'!B494&amp;"")</f>
        <v>ISB-303</v>
      </c>
      <c r="C494" s="83" t="str">
        <f aca="false">IF('CARNET DE SOUDURE'!E494="","",'CARNET DE SOUDURE'!E494)</f>
        <v>JN°083</v>
      </c>
      <c r="D494" s="78" t="str">
        <f aca="false">IF('CARNET DE SOUDURE'!E494="","",'CARNET DE SOUDURE'!D494&amp;"")</f>
        <v/>
      </c>
      <c r="E494" s="96" t="str">
        <f aca="false">IF(OR('CARNET DE SOUDURE'!E494="",'CARNET DE SOUDURE'!R494=""),"",'CARNET DE SOUDURE'!R494)</f>
        <v/>
      </c>
      <c r="F494" s="81" t="str">
        <f aca="false">IF('CARNET DE SOUDURE'!E494="","",'CARNET DE SOUDURE'!AL494)</f>
        <v/>
      </c>
      <c r="G494" s="81" t="str">
        <f aca="false">IF('CARNET DE SOUDURE'!E494="","",'CARNET DE SOUDURE'!AM494)</f>
        <v>À SOUDER</v>
      </c>
      <c r="H494" s="81" t="str">
        <f aca="false">IF(C494="","",IF(G494="ACCEPTÉ","OUI","NON"))</f>
        <v>NON</v>
      </c>
      <c r="I494" s="82"/>
      <c r="J494" s="79"/>
      <c r="K494" s="80"/>
      <c r="L494" s="80"/>
      <c r="M494" s="80"/>
      <c r="N494" s="83" t="str">
        <f aca="false">IF(C494="","",IF(I494="",IF(H494="OUI","À ENROBER",IF(G494="À SOUDER","NON SOUDÉ","EN ATTENTE RT")),IF(L494="R","À REPRENDRE",IF(H494&lt;&gt;"OUI","⚠ ENROBÉ AVANT ACCEPTATION RT","ENROBÉ"))))</f>
        <v>NON SOUDÉ</v>
      </c>
      <c r="O494" s="79"/>
    </row>
    <row r="495" customFormat="false" ht="15" hidden="false" customHeight="false" outlineLevel="0" collapsed="false">
      <c r="A495" s="78" t="n">
        <f aca="false">IF('CARNET DE SOUDURE'!E495="","",'CARNET DE SOUDURE'!A495)</f>
        <v>489</v>
      </c>
      <c r="B495" s="93" t="str">
        <f aca="false">IF('CARNET DE SOUDURE'!E495="","",'CARNET DE SOUDURE'!B495&amp;"")</f>
        <v>ISB-303</v>
      </c>
      <c r="C495" s="83" t="str">
        <f aca="false">IF('CARNET DE SOUDURE'!E495="","",'CARNET DE SOUDURE'!E495)</f>
        <v>JN°084</v>
      </c>
      <c r="D495" s="78" t="str">
        <f aca="false">IF('CARNET DE SOUDURE'!E495="","",'CARNET DE SOUDURE'!D495&amp;"")</f>
        <v/>
      </c>
      <c r="E495" s="96" t="str">
        <f aca="false">IF(OR('CARNET DE SOUDURE'!E495="",'CARNET DE SOUDURE'!R495=""),"",'CARNET DE SOUDURE'!R495)</f>
        <v/>
      </c>
      <c r="F495" s="81" t="str">
        <f aca="false">IF('CARNET DE SOUDURE'!E495="","",'CARNET DE SOUDURE'!AL495)</f>
        <v/>
      </c>
      <c r="G495" s="81" t="str">
        <f aca="false">IF('CARNET DE SOUDURE'!E495="","",'CARNET DE SOUDURE'!AM495)</f>
        <v>À SOUDER</v>
      </c>
      <c r="H495" s="81" t="str">
        <f aca="false">IF(C495="","",IF(G495="ACCEPTÉ","OUI","NON"))</f>
        <v>NON</v>
      </c>
      <c r="I495" s="82"/>
      <c r="J495" s="79"/>
      <c r="K495" s="80"/>
      <c r="L495" s="80"/>
      <c r="M495" s="80"/>
      <c r="N495" s="83" t="str">
        <f aca="false">IF(C495="","",IF(I495="",IF(H495="OUI","À ENROBER",IF(G495="À SOUDER","NON SOUDÉ","EN ATTENTE RT")),IF(L495="R","À REPRENDRE",IF(H495&lt;&gt;"OUI","⚠ ENROBÉ AVANT ACCEPTATION RT","ENROBÉ"))))</f>
        <v>NON SOUDÉ</v>
      </c>
      <c r="O495" s="79"/>
    </row>
    <row r="496" customFormat="false" ht="15" hidden="false" customHeight="false" outlineLevel="0" collapsed="false">
      <c r="A496" s="78" t="n">
        <f aca="false">IF('CARNET DE SOUDURE'!E496="","",'CARNET DE SOUDURE'!A496)</f>
        <v>490</v>
      </c>
      <c r="B496" s="93" t="str">
        <f aca="false">IF('CARNET DE SOUDURE'!E496="","",'CARNET DE SOUDURE'!B496&amp;"")</f>
        <v>ISB-303</v>
      </c>
      <c r="C496" s="83" t="str">
        <f aca="false">IF('CARNET DE SOUDURE'!E496="","",'CARNET DE SOUDURE'!E496)</f>
        <v>JN°085</v>
      </c>
      <c r="D496" s="78" t="str">
        <f aca="false">IF('CARNET DE SOUDURE'!E496="","",'CARNET DE SOUDURE'!D496&amp;"")</f>
        <v/>
      </c>
      <c r="E496" s="96" t="str">
        <f aca="false">IF(OR('CARNET DE SOUDURE'!E496="",'CARNET DE SOUDURE'!R496=""),"",'CARNET DE SOUDURE'!R496)</f>
        <v/>
      </c>
      <c r="F496" s="81" t="str">
        <f aca="false">IF('CARNET DE SOUDURE'!E496="","",'CARNET DE SOUDURE'!AL496)</f>
        <v/>
      </c>
      <c r="G496" s="81" t="str">
        <f aca="false">IF('CARNET DE SOUDURE'!E496="","",'CARNET DE SOUDURE'!AM496)</f>
        <v>À SOUDER</v>
      </c>
      <c r="H496" s="81" t="str">
        <f aca="false">IF(C496="","",IF(G496="ACCEPTÉ","OUI","NON"))</f>
        <v>NON</v>
      </c>
      <c r="I496" s="82"/>
      <c r="J496" s="79"/>
      <c r="K496" s="80"/>
      <c r="L496" s="80"/>
      <c r="M496" s="80"/>
      <c r="N496" s="83" t="str">
        <f aca="false">IF(C496="","",IF(I496="",IF(H496="OUI","À ENROBER",IF(G496="À SOUDER","NON SOUDÉ","EN ATTENTE RT")),IF(L496="R","À REPRENDRE",IF(H496&lt;&gt;"OUI","⚠ ENROBÉ AVANT ACCEPTATION RT","ENROBÉ"))))</f>
        <v>NON SOUDÉ</v>
      </c>
      <c r="O496" s="79"/>
    </row>
    <row r="497" customFormat="false" ht="15" hidden="false" customHeight="false" outlineLevel="0" collapsed="false">
      <c r="A497" s="78" t="n">
        <f aca="false">IF('CARNET DE SOUDURE'!E497="","",'CARNET DE SOUDURE'!A497)</f>
        <v>491</v>
      </c>
      <c r="B497" s="93" t="str">
        <f aca="false">IF('CARNET DE SOUDURE'!E497="","",'CARNET DE SOUDURE'!B497&amp;"")</f>
        <v>ISB-303</v>
      </c>
      <c r="C497" s="83" t="str">
        <f aca="false">IF('CARNET DE SOUDURE'!E497="","",'CARNET DE SOUDURE'!E497)</f>
        <v>JN°086</v>
      </c>
      <c r="D497" s="78" t="str">
        <f aca="false">IF('CARNET DE SOUDURE'!E497="","",'CARNET DE SOUDURE'!D497&amp;"")</f>
        <v/>
      </c>
      <c r="E497" s="96" t="str">
        <f aca="false">IF(OR('CARNET DE SOUDURE'!E497="",'CARNET DE SOUDURE'!R497=""),"",'CARNET DE SOUDURE'!R497)</f>
        <v/>
      </c>
      <c r="F497" s="81" t="str">
        <f aca="false">IF('CARNET DE SOUDURE'!E497="","",'CARNET DE SOUDURE'!AL497)</f>
        <v/>
      </c>
      <c r="G497" s="81" t="str">
        <f aca="false">IF('CARNET DE SOUDURE'!E497="","",'CARNET DE SOUDURE'!AM497)</f>
        <v>À SOUDER</v>
      </c>
      <c r="H497" s="81" t="str">
        <f aca="false">IF(C497="","",IF(G497="ACCEPTÉ","OUI","NON"))</f>
        <v>NON</v>
      </c>
      <c r="I497" s="82"/>
      <c r="J497" s="79"/>
      <c r="K497" s="80"/>
      <c r="L497" s="80"/>
      <c r="M497" s="80"/>
      <c r="N497" s="83" t="str">
        <f aca="false">IF(C497="","",IF(I497="",IF(H497="OUI","À ENROBER",IF(G497="À SOUDER","NON SOUDÉ","EN ATTENTE RT")),IF(L497="R","À REPRENDRE",IF(H497&lt;&gt;"OUI","⚠ ENROBÉ AVANT ACCEPTATION RT","ENROBÉ"))))</f>
        <v>NON SOUDÉ</v>
      </c>
      <c r="O497" s="79"/>
    </row>
    <row r="498" customFormat="false" ht="15" hidden="false" customHeight="false" outlineLevel="0" collapsed="false">
      <c r="A498" s="78" t="n">
        <f aca="false">IF('CARNET DE SOUDURE'!E498="","",'CARNET DE SOUDURE'!A498)</f>
        <v>492</v>
      </c>
      <c r="B498" s="93" t="str">
        <f aca="false">IF('CARNET DE SOUDURE'!E498="","",'CARNET DE SOUDURE'!B498&amp;"")</f>
        <v>ISB-303</v>
      </c>
      <c r="C498" s="83" t="str">
        <f aca="false">IF('CARNET DE SOUDURE'!E498="","",'CARNET DE SOUDURE'!E498)</f>
        <v>JN°087</v>
      </c>
      <c r="D498" s="78" t="str">
        <f aca="false">IF('CARNET DE SOUDURE'!E498="","",'CARNET DE SOUDURE'!D498&amp;"")</f>
        <v/>
      </c>
      <c r="E498" s="96" t="str">
        <f aca="false">IF(OR('CARNET DE SOUDURE'!E498="",'CARNET DE SOUDURE'!R498=""),"",'CARNET DE SOUDURE'!R498)</f>
        <v/>
      </c>
      <c r="F498" s="81" t="str">
        <f aca="false">IF('CARNET DE SOUDURE'!E498="","",'CARNET DE SOUDURE'!AL498)</f>
        <v/>
      </c>
      <c r="G498" s="81" t="str">
        <f aca="false">IF('CARNET DE SOUDURE'!E498="","",'CARNET DE SOUDURE'!AM498)</f>
        <v>À SOUDER</v>
      </c>
      <c r="H498" s="81" t="str">
        <f aca="false">IF(C498="","",IF(G498="ACCEPTÉ","OUI","NON"))</f>
        <v>NON</v>
      </c>
      <c r="I498" s="82"/>
      <c r="J498" s="79"/>
      <c r="K498" s="80"/>
      <c r="L498" s="80"/>
      <c r="M498" s="80"/>
      <c r="N498" s="83" t="str">
        <f aca="false">IF(C498="","",IF(I498="",IF(H498="OUI","À ENROBER",IF(G498="À SOUDER","NON SOUDÉ","EN ATTENTE RT")),IF(L498="R","À REPRENDRE",IF(H498&lt;&gt;"OUI","⚠ ENROBÉ AVANT ACCEPTATION RT","ENROBÉ"))))</f>
        <v>NON SOUDÉ</v>
      </c>
      <c r="O498" s="79"/>
    </row>
    <row r="499" customFormat="false" ht="15" hidden="false" customHeight="false" outlineLevel="0" collapsed="false">
      <c r="A499" s="78" t="n">
        <f aca="false">IF('CARNET DE SOUDURE'!E499="","",'CARNET DE SOUDURE'!A499)</f>
        <v>493</v>
      </c>
      <c r="B499" s="93" t="str">
        <f aca="false">IF('CARNET DE SOUDURE'!E499="","",'CARNET DE SOUDURE'!B499&amp;"")</f>
        <v>ISB-303</v>
      </c>
      <c r="C499" s="83" t="str">
        <f aca="false">IF('CARNET DE SOUDURE'!E499="","",'CARNET DE SOUDURE'!E499)</f>
        <v>JN°088</v>
      </c>
      <c r="D499" s="78" t="str">
        <f aca="false">IF('CARNET DE SOUDURE'!E499="","",'CARNET DE SOUDURE'!D499&amp;"")</f>
        <v/>
      </c>
      <c r="E499" s="96" t="str">
        <f aca="false">IF(OR('CARNET DE SOUDURE'!E499="",'CARNET DE SOUDURE'!R499=""),"",'CARNET DE SOUDURE'!R499)</f>
        <v/>
      </c>
      <c r="F499" s="81" t="str">
        <f aca="false">IF('CARNET DE SOUDURE'!E499="","",'CARNET DE SOUDURE'!AL499)</f>
        <v/>
      </c>
      <c r="G499" s="81" t="str">
        <f aca="false">IF('CARNET DE SOUDURE'!E499="","",'CARNET DE SOUDURE'!AM499)</f>
        <v>À SOUDER</v>
      </c>
      <c r="H499" s="81" t="str">
        <f aca="false">IF(C499="","",IF(G499="ACCEPTÉ","OUI","NON"))</f>
        <v>NON</v>
      </c>
      <c r="I499" s="82"/>
      <c r="J499" s="79"/>
      <c r="K499" s="80"/>
      <c r="L499" s="80"/>
      <c r="M499" s="80"/>
      <c r="N499" s="83" t="str">
        <f aca="false">IF(C499="","",IF(I499="",IF(H499="OUI","À ENROBER",IF(G499="À SOUDER","NON SOUDÉ","EN ATTENTE RT")),IF(L499="R","À REPRENDRE",IF(H499&lt;&gt;"OUI","⚠ ENROBÉ AVANT ACCEPTATION RT","ENROBÉ"))))</f>
        <v>NON SOUDÉ</v>
      </c>
      <c r="O499" s="79"/>
    </row>
    <row r="500" customFormat="false" ht="15" hidden="false" customHeight="false" outlineLevel="0" collapsed="false">
      <c r="A500" s="78" t="n">
        <f aca="false">IF('CARNET DE SOUDURE'!E500="","",'CARNET DE SOUDURE'!A500)</f>
        <v>494</v>
      </c>
      <c r="B500" s="93" t="str">
        <f aca="false">IF('CARNET DE SOUDURE'!E500="","",'CARNET DE SOUDURE'!B500&amp;"")</f>
        <v>ISB-303</v>
      </c>
      <c r="C500" s="83" t="str">
        <f aca="false">IF('CARNET DE SOUDURE'!E500="","",'CARNET DE SOUDURE'!E500)</f>
        <v>JN°089</v>
      </c>
      <c r="D500" s="78" t="str">
        <f aca="false">IF('CARNET DE SOUDURE'!E500="","",'CARNET DE SOUDURE'!D500&amp;"")</f>
        <v/>
      </c>
      <c r="E500" s="96" t="str">
        <f aca="false">IF(OR('CARNET DE SOUDURE'!E500="",'CARNET DE SOUDURE'!R500=""),"",'CARNET DE SOUDURE'!R500)</f>
        <v/>
      </c>
      <c r="F500" s="81" t="str">
        <f aca="false">IF('CARNET DE SOUDURE'!E500="","",'CARNET DE SOUDURE'!AL500)</f>
        <v/>
      </c>
      <c r="G500" s="81" t="str">
        <f aca="false">IF('CARNET DE SOUDURE'!E500="","",'CARNET DE SOUDURE'!AM500)</f>
        <v>À SOUDER</v>
      </c>
      <c r="H500" s="81" t="str">
        <f aca="false">IF(C500="","",IF(G500="ACCEPTÉ","OUI","NON"))</f>
        <v>NON</v>
      </c>
      <c r="I500" s="82"/>
      <c r="J500" s="79"/>
      <c r="K500" s="80"/>
      <c r="L500" s="80"/>
      <c r="M500" s="80"/>
      <c r="N500" s="83" t="str">
        <f aca="false">IF(C500="","",IF(I500="",IF(H500="OUI","À ENROBER",IF(G500="À SOUDER","NON SOUDÉ","EN ATTENTE RT")),IF(L500="R","À REPRENDRE",IF(H500&lt;&gt;"OUI","⚠ ENROBÉ AVANT ACCEPTATION RT","ENROBÉ"))))</f>
        <v>NON SOUDÉ</v>
      </c>
      <c r="O500" s="79"/>
    </row>
    <row r="501" customFormat="false" ht="15" hidden="false" customHeight="false" outlineLevel="0" collapsed="false">
      <c r="A501" s="78" t="n">
        <f aca="false">IF('CARNET DE SOUDURE'!E501="","",'CARNET DE SOUDURE'!A501)</f>
        <v>495</v>
      </c>
      <c r="B501" s="93" t="str">
        <f aca="false">IF('CARNET DE SOUDURE'!E501="","",'CARNET DE SOUDURE'!B501&amp;"")</f>
        <v>ISB-303</v>
      </c>
      <c r="C501" s="83" t="str">
        <f aca="false">IF('CARNET DE SOUDURE'!E501="","",'CARNET DE SOUDURE'!E501)</f>
        <v>JN°090</v>
      </c>
      <c r="D501" s="78" t="str">
        <f aca="false">IF('CARNET DE SOUDURE'!E501="","",'CARNET DE SOUDURE'!D501&amp;"")</f>
        <v/>
      </c>
      <c r="E501" s="96" t="str">
        <f aca="false">IF(OR('CARNET DE SOUDURE'!E501="",'CARNET DE SOUDURE'!R501=""),"",'CARNET DE SOUDURE'!R501)</f>
        <v/>
      </c>
      <c r="F501" s="81" t="str">
        <f aca="false">IF('CARNET DE SOUDURE'!E501="","",'CARNET DE SOUDURE'!AL501)</f>
        <v/>
      </c>
      <c r="G501" s="81" t="str">
        <f aca="false">IF('CARNET DE SOUDURE'!E501="","",'CARNET DE SOUDURE'!AM501)</f>
        <v>À SOUDER</v>
      </c>
      <c r="H501" s="81" t="str">
        <f aca="false">IF(C501="","",IF(G501="ACCEPTÉ","OUI","NON"))</f>
        <v>NON</v>
      </c>
      <c r="I501" s="82"/>
      <c r="J501" s="79"/>
      <c r="K501" s="80"/>
      <c r="L501" s="80"/>
      <c r="M501" s="80"/>
      <c r="N501" s="83" t="str">
        <f aca="false">IF(C501="","",IF(I501="",IF(H501="OUI","À ENROBER",IF(G501="À SOUDER","NON SOUDÉ","EN ATTENTE RT")),IF(L501="R","À REPRENDRE",IF(H501&lt;&gt;"OUI","⚠ ENROBÉ AVANT ACCEPTATION RT","ENROBÉ"))))</f>
        <v>NON SOUDÉ</v>
      </c>
      <c r="O501" s="79"/>
    </row>
    <row r="502" customFormat="false" ht="15" hidden="false" customHeight="false" outlineLevel="0" collapsed="false">
      <c r="A502" s="78" t="n">
        <f aca="false">IF('CARNET DE SOUDURE'!E502="","",'CARNET DE SOUDURE'!A502)</f>
        <v>496</v>
      </c>
      <c r="B502" s="93" t="str">
        <f aca="false">IF('CARNET DE SOUDURE'!E502="","",'CARNET DE SOUDURE'!B502&amp;"")</f>
        <v>ISB-303</v>
      </c>
      <c r="C502" s="83" t="str">
        <f aca="false">IF('CARNET DE SOUDURE'!E502="","",'CARNET DE SOUDURE'!E502)</f>
        <v>JN°091</v>
      </c>
      <c r="D502" s="78" t="str">
        <f aca="false">IF('CARNET DE SOUDURE'!E502="","",'CARNET DE SOUDURE'!D502&amp;"")</f>
        <v/>
      </c>
      <c r="E502" s="96" t="str">
        <f aca="false">IF(OR('CARNET DE SOUDURE'!E502="",'CARNET DE SOUDURE'!R502=""),"",'CARNET DE SOUDURE'!R502)</f>
        <v/>
      </c>
      <c r="F502" s="81" t="str">
        <f aca="false">IF('CARNET DE SOUDURE'!E502="","",'CARNET DE SOUDURE'!AL502)</f>
        <v/>
      </c>
      <c r="G502" s="81" t="str">
        <f aca="false">IF('CARNET DE SOUDURE'!E502="","",'CARNET DE SOUDURE'!AM502)</f>
        <v>À SOUDER</v>
      </c>
      <c r="H502" s="81" t="str">
        <f aca="false">IF(C502="","",IF(G502="ACCEPTÉ","OUI","NON"))</f>
        <v>NON</v>
      </c>
      <c r="I502" s="82"/>
      <c r="J502" s="79"/>
      <c r="K502" s="80"/>
      <c r="L502" s="80"/>
      <c r="M502" s="80"/>
      <c r="N502" s="83" t="str">
        <f aca="false">IF(C502="","",IF(I502="",IF(H502="OUI","À ENROBER",IF(G502="À SOUDER","NON SOUDÉ","EN ATTENTE RT")),IF(L502="R","À REPRENDRE",IF(H502&lt;&gt;"OUI","⚠ ENROBÉ AVANT ACCEPTATION RT","ENROBÉ"))))</f>
        <v>NON SOUDÉ</v>
      </c>
      <c r="O502" s="79"/>
    </row>
    <row r="503" customFormat="false" ht="15" hidden="false" customHeight="false" outlineLevel="0" collapsed="false">
      <c r="A503" s="78" t="n">
        <f aca="false">IF('CARNET DE SOUDURE'!E503="","",'CARNET DE SOUDURE'!A503)</f>
        <v>497</v>
      </c>
      <c r="B503" s="93" t="str">
        <f aca="false">IF('CARNET DE SOUDURE'!E503="","",'CARNET DE SOUDURE'!B503&amp;"")</f>
        <v>ISB-303</v>
      </c>
      <c r="C503" s="83" t="str">
        <f aca="false">IF('CARNET DE SOUDURE'!E503="","",'CARNET DE SOUDURE'!E503)</f>
        <v>JN°092</v>
      </c>
      <c r="D503" s="78" t="str">
        <f aca="false">IF('CARNET DE SOUDURE'!E503="","",'CARNET DE SOUDURE'!D503&amp;"")</f>
        <v/>
      </c>
      <c r="E503" s="96" t="str">
        <f aca="false">IF(OR('CARNET DE SOUDURE'!E503="",'CARNET DE SOUDURE'!R503=""),"",'CARNET DE SOUDURE'!R503)</f>
        <v/>
      </c>
      <c r="F503" s="81" t="str">
        <f aca="false">IF('CARNET DE SOUDURE'!E503="","",'CARNET DE SOUDURE'!AL503)</f>
        <v/>
      </c>
      <c r="G503" s="81" t="str">
        <f aca="false">IF('CARNET DE SOUDURE'!E503="","",'CARNET DE SOUDURE'!AM503)</f>
        <v>À SOUDER</v>
      </c>
      <c r="H503" s="81" t="str">
        <f aca="false">IF(C503="","",IF(G503="ACCEPTÉ","OUI","NON"))</f>
        <v>NON</v>
      </c>
      <c r="I503" s="82"/>
      <c r="J503" s="79"/>
      <c r="K503" s="80"/>
      <c r="L503" s="80"/>
      <c r="M503" s="80"/>
      <c r="N503" s="83" t="str">
        <f aca="false">IF(C503="","",IF(I503="",IF(H503="OUI","À ENROBER",IF(G503="À SOUDER","NON SOUDÉ","EN ATTENTE RT")),IF(L503="R","À REPRENDRE",IF(H503&lt;&gt;"OUI","⚠ ENROBÉ AVANT ACCEPTATION RT","ENROBÉ"))))</f>
        <v>NON SOUDÉ</v>
      </c>
      <c r="O503" s="79"/>
    </row>
    <row r="504" customFormat="false" ht="15" hidden="false" customHeight="false" outlineLevel="0" collapsed="false">
      <c r="A504" s="78" t="n">
        <f aca="false">IF('CARNET DE SOUDURE'!E504="","",'CARNET DE SOUDURE'!A504)</f>
        <v>498</v>
      </c>
      <c r="B504" s="93" t="str">
        <f aca="false">IF('CARNET DE SOUDURE'!E504="","",'CARNET DE SOUDURE'!B504&amp;"")</f>
        <v>ISB-303</v>
      </c>
      <c r="C504" s="83" t="str">
        <f aca="false">IF('CARNET DE SOUDURE'!E504="","",'CARNET DE SOUDURE'!E504)</f>
        <v>JN°093</v>
      </c>
      <c r="D504" s="78" t="str">
        <f aca="false">IF('CARNET DE SOUDURE'!E504="","",'CARNET DE SOUDURE'!D504&amp;"")</f>
        <v/>
      </c>
      <c r="E504" s="96" t="str">
        <f aca="false">IF(OR('CARNET DE SOUDURE'!E504="",'CARNET DE SOUDURE'!R504=""),"",'CARNET DE SOUDURE'!R504)</f>
        <v/>
      </c>
      <c r="F504" s="81" t="str">
        <f aca="false">IF('CARNET DE SOUDURE'!E504="","",'CARNET DE SOUDURE'!AL504)</f>
        <v/>
      </c>
      <c r="G504" s="81" t="str">
        <f aca="false">IF('CARNET DE SOUDURE'!E504="","",'CARNET DE SOUDURE'!AM504)</f>
        <v>À SOUDER</v>
      </c>
      <c r="H504" s="81" t="str">
        <f aca="false">IF(C504="","",IF(G504="ACCEPTÉ","OUI","NON"))</f>
        <v>NON</v>
      </c>
      <c r="I504" s="82"/>
      <c r="J504" s="79"/>
      <c r="K504" s="80"/>
      <c r="L504" s="80"/>
      <c r="M504" s="80"/>
      <c r="N504" s="83" t="str">
        <f aca="false">IF(C504="","",IF(I504="",IF(H504="OUI","À ENROBER",IF(G504="À SOUDER","NON SOUDÉ","EN ATTENTE RT")),IF(L504="R","À REPRENDRE",IF(H504&lt;&gt;"OUI","⚠ ENROBÉ AVANT ACCEPTATION RT","ENROBÉ"))))</f>
        <v>NON SOUDÉ</v>
      </c>
      <c r="O504" s="79"/>
    </row>
    <row r="505" customFormat="false" ht="15" hidden="false" customHeight="false" outlineLevel="0" collapsed="false">
      <c r="A505" s="78" t="n">
        <f aca="false">IF('CARNET DE SOUDURE'!E505="","",'CARNET DE SOUDURE'!A505)</f>
        <v>499</v>
      </c>
      <c r="B505" s="93" t="str">
        <f aca="false">IF('CARNET DE SOUDURE'!E505="","",'CARNET DE SOUDURE'!B505&amp;"")</f>
        <v>ISB-303</v>
      </c>
      <c r="C505" s="83" t="str">
        <f aca="false">IF('CARNET DE SOUDURE'!E505="","",'CARNET DE SOUDURE'!E505)</f>
        <v>JN°094</v>
      </c>
      <c r="D505" s="78" t="str">
        <f aca="false">IF('CARNET DE SOUDURE'!E505="","",'CARNET DE SOUDURE'!D505&amp;"")</f>
        <v/>
      </c>
      <c r="E505" s="96" t="str">
        <f aca="false">IF(OR('CARNET DE SOUDURE'!E505="",'CARNET DE SOUDURE'!R505=""),"",'CARNET DE SOUDURE'!R505)</f>
        <v/>
      </c>
      <c r="F505" s="81" t="str">
        <f aca="false">IF('CARNET DE SOUDURE'!E505="","",'CARNET DE SOUDURE'!AL505)</f>
        <v/>
      </c>
      <c r="G505" s="81" t="str">
        <f aca="false">IF('CARNET DE SOUDURE'!E505="","",'CARNET DE SOUDURE'!AM505)</f>
        <v>À SOUDER</v>
      </c>
      <c r="H505" s="81" t="str">
        <f aca="false">IF(C505="","",IF(G505="ACCEPTÉ","OUI","NON"))</f>
        <v>NON</v>
      </c>
      <c r="I505" s="82"/>
      <c r="J505" s="79"/>
      <c r="K505" s="80"/>
      <c r="L505" s="80"/>
      <c r="M505" s="80"/>
      <c r="N505" s="83" t="str">
        <f aca="false">IF(C505="","",IF(I505="",IF(H505="OUI","À ENROBER",IF(G505="À SOUDER","NON SOUDÉ","EN ATTENTE RT")),IF(L505="R","À REPRENDRE",IF(H505&lt;&gt;"OUI","⚠ ENROBÉ AVANT ACCEPTATION RT","ENROBÉ"))))</f>
        <v>NON SOUDÉ</v>
      </c>
      <c r="O505" s="79"/>
    </row>
    <row r="506" customFormat="false" ht="15" hidden="false" customHeight="false" outlineLevel="0" collapsed="false">
      <c r="A506" s="78" t="n">
        <f aca="false">IF('CARNET DE SOUDURE'!E506="","",'CARNET DE SOUDURE'!A506)</f>
        <v>500</v>
      </c>
      <c r="B506" s="93" t="str">
        <f aca="false">IF('CARNET DE SOUDURE'!E506="","",'CARNET DE SOUDURE'!B506&amp;"")</f>
        <v>ISB-303</v>
      </c>
      <c r="C506" s="83" t="str">
        <f aca="false">IF('CARNET DE SOUDURE'!E506="","",'CARNET DE SOUDURE'!E506)</f>
        <v>JN°095</v>
      </c>
      <c r="D506" s="78" t="str">
        <f aca="false">IF('CARNET DE SOUDURE'!E506="","",'CARNET DE SOUDURE'!D506&amp;"")</f>
        <v/>
      </c>
      <c r="E506" s="96" t="str">
        <f aca="false">IF(OR('CARNET DE SOUDURE'!E506="",'CARNET DE SOUDURE'!R506=""),"",'CARNET DE SOUDURE'!R506)</f>
        <v/>
      </c>
      <c r="F506" s="81" t="str">
        <f aca="false">IF('CARNET DE SOUDURE'!E506="","",'CARNET DE SOUDURE'!AL506)</f>
        <v/>
      </c>
      <c r="G506" s="81" t="str">
        <f aca="false">IF('CARNET DE SOUDURE'!E506="","",'CARNET DE SOUDURE'!AM506)</f>
        <v>À SOUDER</v>
      </c>
      <c r="H506" s="81" t="str">
        <f aca="false">IF(C506="","",IF(G506="ACCEPTÉ","OUI","NON"))</f>
        <v>NON</v>
      </c>
      <c r="I506" s="82"/>
      <c r="J506" s="79"/>
      <c r="K506" s="80"/>
      <c r="L506" s="80"/>
      <c r="M506" s="80"/>
      <c r="N506" s="83" t="str">
        <f aca="false">IF(C506="","",IF(I506="",IF(H506="OUI","À ENROBER",IF(G506="À SOUDER","NON SOUDÉ","EN ATTENTE RT")),IF(L506="R","À REPRENDRE",IF(H506&lt;&gt;"OUI","⚠ ENROBÉ AVANT ACCEPTATION RT","ENROBÉ"))))</f>
        <v>NON SOUDÉ</v>
      </c>
      <c r="O506" s="79"/>
    </row>
    <row r="507" customFormat="false" ht="15" hidden="false" customHeight="false" outlineLevel="0" collapsed="false">
      <c r="A507" s="78" t="n">
        <f aca="false">IF('CARNET DE SOUDURE'!E507="","",'CARNET DE SOUDURE'!A507)</f>
        <v>501</v>
      </c>
      <c r="B507" s="93" t="str">
        <f aca="false">IF('CARNET DE SOUDURE'!E507="","",'CARNET DE SOUDURE'!B507&amp;"")</f>
        <v>ISB-303</v>
      </c>
      <c r="C507" s="83" t="str">
        <f aca="false">IF('CARNET DE SOUDURE'!E507="","",'CARNET DE SOUDURE'!E507)</f>
        <v>JN°096</v>
      </c>
      <c r="D507" s="78" t="str">
        <f aca="false">IF('CARNET DE SOUDURE'!E507="","",'CARNET DE SOUDURE'!D507&amp;"")</f>
        <v/>
      </c>
      <c r="E507" s="96" t="str">
        <f aca="false">IF(OR('CARNET DE SOUDURE'!E507="",'CARNET DE SOUDURE'!R507=""),"",'CARNET DE SOUDURE'!R507)</f>
        <v/>
      </c>
      <c r="F507" s="81" t="str">
        <f aca="false">IF('CARNET DE SOUDURE'!E507="","",'CARNET DE SOUDURE'!AL507)</f>
        <v/>
      </c>
      <c r="G507" s="81" t="str">
        <f aca="false">IF('CARNET DE SOUDURE'!E507="","",'CARNET DE SOUDURE'!AM507)</f>
        <v>À SOUDER</v>
      </c>
      <c r="H507" s="81" t="str">
        <f aca="false">IF(C507="","",IF(G507="ACCEPTÉ","OUI","NON"))</f>
        <v>NON</v>
      </c>
      <c r="I507" s="82"/>
      <c r="J507" s="79"/>
      <c r="K507" s="80"/>
      <c r="L507" s="80"/>
      <c r="M507" s="80"/>
      <c r="N507" s="83" t="str">
        <f aca="false">IF(C507="","",IF(I507="",IF(H507="OUI","À ENROBER",IF(G507="À SOUDER","NON SOUDÉ","EN ATTENTE RT")),IF(L507="R","À REPRENDRE",IF(H507&lt;&gt;"OUI","⚠ ENROBÉ AVANT ACCEPTATION RT","ENROBÉ"))))</f>
        <v>NON SOUDÉ</v>
      </c>
      <c r="O507" s="79"/>
    </row>
    <row r="508" customFormat="false" ht="15" hidden="false" customHeight="false" outlineLevel="0" collapsed="false">
      <c r="A508" s="78" t="n">
        <f aca="false">IF('CARNET DE SOUDURE'!E508="","",'CARNET DE SOUDURE'!A508)</f>
        <v>502</v>
      </c>
      <c r="B508" s="93" t="str">
        <f aca="false">IF('CARNET DE SOUDURE'!E508="","",'CARNET DE SOUDURE'!B508&amp;"")</f>
        <v>ISB-303</v>
      </c>
      <c r="C508" s="83" t="str">
        <f aca="false">IF('CARNET DE SOUDURE'!E508="","",'CARNET DE SOUDURE'!E508)</f>
        <v>JN°097</v>
      </c>
      <c r="D508" s="78" t="str">
        <f aca="false">IF('CARNET DE SOUDURE'!E508="","",'CARNET DE SOUDURE'!D508&amp;"")</f>
        <v/>
      </c>
      <c r="E508" s="96" t="str">
        <f aca="false">IF(OR('CARNET DE SOUDURE'!E508="",'CARNET DE SOUDURE'!R508=""),"",'CARNET DE SOUDURE'!R508)</f>
        <v/>
      </c>
      <c r="F508" s="81" t="str">
        <f aca="false">IF('CARNET DE SOUDURE'!E508="","",'CARNET DE SOUDURE'!AL508)</f>
        <v/>
      </c>
      <c r="G508" s="81" t="str">
        <f aca="false">IF('CARNET DE SOUDURE'!E508="","",'CARNET DE SOUDURE'!AM508)</f>
        <v>À SOUDER</v>
      </c>
      <c r="H508" s="81" t="str">
        <f aca="false">IF(C508="","",IF(G508="ACCEPTÉ","OUI","NON"))</f>
        <v>NON</v>
      </c>
      <c r="I508" s="82"/>
      <c r="J508" s="79"/>
      <c r="K508" s="80"/>
      <c r="L508" s="80"/>
      <c r="M508" s="80"/>
      <c r="N508" s="83" t="str">
        <f aca="false">IF(C508="","",IF(I508="",IF(H508="OUI","À ENROBER",IF(G508="À SOUDER","NON SOUDÉ","EN ATTENTE RT")),IF(L508="R","À REPRENDRE",IF(H508&lt;&gt;"OUI","⚠ ENROBÉ AVANT ACCEPTATION RT","ENROBÉ"))))</f>
        <v>NON SOUDÉ</v>
      </c>
      <c r="O508" s="79"/>
    </row>
    <row r="509" customFormat="false" ht="15" hidden="false" customHeight="false" outlineLevel="0" collapsed="false">
      <c r="A509" s="78" t="n">
        <f aca="false">IF('CARNET DE SOUDURE'!E509="","",'CARNET DE SOUDURE'!A509)</f>
        <v>503</v>
      </c>
      <c r="B509" s="93" t="str">
        <f aca="false">IF('CARNET DE SOUDURE'!E509="","",'CARNET DE SOUDURE'!B509&amp;"")</f>
        <v>ISB-303</v>
      </c>
      <c r="C509" s="83" t="str">
        <f aca="false">IF('CARNET DE SOUDURE'!E509="","",'CARNET DE SOUDURE'!E509)</f>
        <v>JN°098</v>
      </c>
      <c r="D509" s="78" t="str">
        <f aca="false">IF('CARNET DE SOUDURE'!E509="","",'CARNET DE SOUDURE'!D509&amp;"")</f>
        <v/>
      </c>
      <c r="E509" s="96" t="str">
        <f aca="false">IF(OR('CARNET DE SOUDURE'!E509="",'CARNET DE SOUDURE'!R509=""),"",'CARNET DE SOUDURE'!R509)</f>
        <v/>
      </c>
      <c r="F509" s="81" t="str">
        <f aca="false">IF('CARNET DE SOUDURE'!E509="","",'CARNET DE SOUDURE'!AL509)</f>
        <v/>
      </c>
      <c r="G509" s="81" t="str">
        <f aca="false">IF('CARNET DE SOUDURE'!E509="","",'CARNET DE SOUDURE'!AM509)</f>
        <v>À SOUDER</v>
      </c>
      <c r="H509" s="81" t="str">
        <f aca="false">IF(C509="","",IF(G509="ACCEPTÉ","OUI","NON"))</f>
        <v>NON</v>
      </c>
      <c r="I509" s="82"/>
      <c r="J509" s="79"/>
      <c r="K509" s="80"/>
      <c r="L509" s="80"/>
      <c r="M509" s="80"/>
      <c r="N509" s="83" t="str">
        <f aca="false">IF(C509="","",IF(I509="",IF(H509="OUI","À ENROBER",IF(G509="À SOUDER","NON SOUDÉ","EN ATTENTE RT")),IF(L509="R","À REPRENDRE",IF(H509&lt;&gt;"OUI","⚠ ENROBÉ AVANT ACCEPTATION RT","ENROBÉ"))))</f>
        <v>NON SOUDÉ</v>
      </c>
      <c r="O509" s="79"/>
    </row>
    <row r="510" customFormat="false" ht="15" hidden="false" customHeight="false" outlineLevel="0" collapsed="false">
      <c r="A510" s="78" t="n">
        <f aca="false">IF('CARNET DE SOUDURE'!E510="","",'CARNET DE SOUDURE'!A510)</f>
        <v>504</v>
      </c>
      <c r="B510" s="93" t="str">
        <f aca="false">IF('CARNET DE SOUDURE'!E510="","",'CARNET DE SOUDURE'!B510&amp;"")</f>
        <v>ISB-303</v>
      </c>
      <c r="C510" s="83" t="str">
        <f aca="false">IF('CARNET DE SOUDURE'!E510="","",'CARNET DE SOUDURE'!E510)</f>
        <v>JN°099</v>
      </c>
      <c r="D510" s="78" t="str">
        <f aca="false">IF('CARNET DE SOUDURE'!E510="","",'CARNET DE SOUDURE'!D510&amp;"")</f>
        <v/>
      </c>
      <c r="E510" s="96" t="str">
        <f aca="false">IF(OR('CARNET DE SOUDURE'!E510="",'CARNET DE SOUDURE'!R510=""),"",'CARNET DE SOUDURE'!R510)</f>
        <v/>
      </c>
      <c r="F510" s="81" t="str">
        <f aca="false">IF('CARNET DE SOUDURE'!E510="","",'CARNET DE SOUDURE'!AL510)</f>
        <v/>
      </c>
      <c r="G510" s="81" t="str">
        <f aca="false">IF('CARNET DE SOUDURE'!E510="","",'CARNET DE SOUDURE'!AM510)</f>
        <v>À SOUDER</v>
      </c>
      <c r="H510" s="81" t="str">
        <f aca="false">IF(C510="","",IF(G510="ACCEPTÉ","OUI","NON"))</f>
        <v>NON</v>
      </c>
      <c r="I510" s="82"/>
      <c r="J510" s="79"/>
      <c r="K510" s="80"/>
      <c r="L510" s="80"/>
      <c r="M510" s="80"/>
      <c r="N510" s="83" t="str">
        <f aca="false">IF(C510="","",IF(I510="",IF(H510="OUI","À ENROBER",IF(G510="À SOUDER","NON SOUDÉ","EN ATTENTE RT")),IF(L510="R","À REPRENDRE",IF(H510&lt;&gt;"OUI","⚠ ENROBÉ AVANT ACCEPTATION RT","ENROBÉ"))))</f>
        <v>NON SOUDÉ</v>
      </c>
      <c r="O510" s="79"/>
    </row>
    <row r="511" customFormat="false" ht="15" hidden="false" customHeight="false" outlineLevel="0" collapsed="false">
      <c r="A511" s="78" t="n">
        <f aca="false">IF('CARNET DE SOUDURE'!E511="","",'CARNET DE SOUDURE'!A511)</f>
        <v>505</v>
      </c>
      <c r="B511" s="93" t="str">
        <f aca="false">IF('CARNET DE SOUDURE'!E511="","",'CARNET DE SOUDURE'!B511&amp;"")</f>
        <v>ISB-303</v>
      </c>
      <c r="C511" s="83" t="str">
        <f aca="false">IF('CARNET DE SOUDURE'!E511="","",'CARNET DE SOUDURE'!E511)</f>
        <v>JN°100</v>
      </c>
      <c r="D511" s="78" t="str">
        <f aca="false">IF('CARNET DE SOUDURE'!E511="","",'CARNET DE SOUDURE'!D511&amp;"")</f>
        <v/>
      </c>
      <c r="E511" s="96" t="str">
        <f aca="false">IF(OR('CARNET DE SOUDURE'!E511="",'CARNET DE SOUDURE'!R511=""),"",'CARNET DE SOUDURE'!R511)</f>
        <v/>
      </c>
      <c r="F511" s="81" t="str">
        <f aca="false">IF('CARNET DE SOUDURE'!E511="","",'CARNET DE SOUDURE'!AL511)</f>
        <v/>
      </c>
      <c r="G511" s="81" t="str">
        <f aca="false">IF('CARNET DE SOUDURE'!E511="","",'CARNET DE SOUDURE'!AM511)</f>
        <v>À SOUDER</v>
      </c>
      <c r="H511" s="81" t="str">
        <f aca="false">IF(C511="","",IF(G511="ACCEPTÉ","OUI","NON"))</f>
        <v>NON</v>
      </c>
      <c r="I511" s="82"/>
      <c r="J511" s="79"/>
      <c r="K511" s="80"/>
      <c r="L511" s="80"/>
      <c r="M511" s="80"/>
      <c r="N511" s="83" t="str">
        <f aca="false">IF(C511="","",IF(I511="",IF(H511="OUI","À ENROBER",IF(G511="À SOUDER","NON SOUDÉ","EN ATTENTE RT")),IF(L511="R","À REPRENDRE",IF(H511&lt;&gt;"OUI","⚠ ENROBÉ AVANT ACCEPTATION RT","ENROBÉ"))))</f>
        <v>NON SOUDÉ</v>
      </c>
      <c r="O511" s="79"/>
    </row>
    <row r="512" customFormat="false" ht="15" hidden="false" customHeight="false" outlineLevel="0" collapsed="false">
      <c r="A512" s="78" t="n">
        <f aca="false">IF('CARNET DE SOUDURE'!E512="","",'CARNET DE SOUDURE'!A512)</f>
        <v>506</v>
      </c>
      <c r="B512" s="93" t="str">
        <f aca="false">IF('CARNET DE SOUDURE'!E512="","",'CARNET DE SOUDURE'!B512&amp;"")</f>
        <v>ISB-303</v>
      </c>
      <c r="C512" s="83" t="str">
        <f aca="false">IF('CARNET DE SOUDURE'!E512="","",'CARNET DE SOUDURE'!E512)</f>
        <v>JN°101</v>
      </c>
      <c r="D512" s="78" t="str">
        <f aca="false">IF('CARNET DE SOUDURE'!E512="","",'CARNET DE SOUDURE'!D512&amp;"")</f>
        <v/>
      </c>
      <c r="E512" s="96" t="str">
        <f aca="false">IF(OR('CARNET DE SOUDURE'!E512="",'CARNET DE SOUDURE'!R512=""),"",'CARNET DE SOUDURE'!R512)</f>
        <v/>
      </c>
      <c r="F512" s="81" t="str">
        <f aca="false">IF('CARNET DE SOUDURE'!E512="","",'CARNET DE SOUDURE'!AL512)</f>
        <v/>
      </c>
      <c r="G512" s="81" t="str">
        <f aca="false">IF('CARNET DE SOUDURE'!E512="","",'CARNET DE SOUDURE'!AM512)</f>
        <v>À SOUDER</v>
      </c>
      <c r="H512" s="81" t="str">
        <f aca="false">IF(C512="","",IF(G512="ACCEPTÉ","OUI","NON"))</f>
        <v>NON</v>
      </c>
      <c r="I512" s="82"/>
      <c r="J512" s="79"/>
      <c r="K512" s="80"/>
      <c r="L512" s="80"/>
      <c r="M512" s="80"/>
      <c r="N512" s="83" t="str">
        <f aca="false">IF(C512="","",IF(I512="",IF(H512="OUI","À ENROBER",IF(G512="À SOUDER","NON SOUDÉ","EN ATTENTE RT")),IF(L512="R","À REPRENDRE",IF(H512&lt;&gt;"OUI","⚠ ENROBÉ AVANT ACCEPTATION RT","ENROBÉ"))))</f>
        <v>NON SOUDÉ</v>
      </c>
      <c r="O512" s="79"/>
    </row>
    <row r="513" customFormat="false" ht="15" hidden="false" customHeight="false" outlineLevel="0" collapsed="false">
      <c r="A513" s="78" t="n">
        <f aca="false">IF('CARNET DE SOUDURE'!E513="","",'CARNET DE SOUDURE'!A513)</f>
        <v>507</v>
      </c>
      <c r="B513" s="93" t="str">
        <f aca="false">IF('CARNET DE SOUDURE'!E513="","",'CARNET DE SOUDURE'!B513&amp;"")</f>
        <v>ISB-303</v>
      </c>
      <c r="C513" s="83" t="str">
        <f aca="false">IF('CARNET DE SOUDURE'!E513="","",'CARNET DE SOUDURE'!E513)</f>
        <v>JN°102</v>
      </c>
      <c r="D513" s="78" t="str">
        <f aca="false">IF('CARNET DE SOUDURE'!E513="","",'CARNET DE SOUDURE'!D513&amp;"")</f>
        <v/>
      </c>
      <c r="E513" s="96" t="str">
        <f aca="false">IF(OR('CARNET DE SOUDURE'!E513="",'CARNET DE SOUDURE'!R513=""),"",'CARNET DE SOUDURE'!R513)</f>
        <v/>
      </c>
      <c r="F513" s="81" t="str">
        <f aca="false">IF('CARNET DE SOUDURE'!E513="","",'CARNET DE SOUDURE'!AL513)</f>
        <v/>
      </c>
      <c r="G513" s="81" t="str">
        <f aca="false">IF('CARNET DE SOUDURE'!E513="","",'CARNET DE SOUDURE'!AM513)</f>
        <v>À SOUDER</v>
      </c>
      <c r="H513" s="81" t="str">
        <f aca="false">IF(C513="","",IF(G513="ACCEPTÉ","OUI","NON"))</f>
        <v>NON</v>
      </c>
      <c r="I513" s="82"/>
      <c r="J513" s="79"/>
      <c r="K513" s="80"/>
      <c r="L513" s="80"/>
      <c r="M513" s="80"/>
      <c r="N513" s="83" t="str">
        <f aca="false">IF(C513="","",IF(I513="",IF(H513="OUI","À ENROBER",IF(G513="À SOUDER","NON SOUDÉ","EN ATTENTE RT")),IF(L513="R","À REPRENDRE",IF(H513&lt;&gt;"OUI","⚠ ENROBÉ AVANT ACCEPTATION RT","ENROBÉ"))))</f>
        <v>NON SOUDÉ</v>
      </c>
      <c r="O513" s="79"/>
    </row>
    <row r="514" customFormat="false" ht="15" hidden="false" customHeight="false" outlineLevel="0" collapsed="false">
      <c r="A514" s="78" t="n">
        <f aca="false">IF('CARNET DE SOUDURE'!E514="","",'CARNET DE SOUDURE'!A514)</f>
        <v>508</v>
      </c>
      <c r="B514" s="93" t="str">
        <f aca="false">IF('CARNET DE SOUDURE'!E514="","",'CARNET DE SOUDURE'!B514&amp;"")</f>
        <v>ISB-303</v>
      </c>
      <c r="C514" s="83" t="str">
        <f aca="false">IF('CARNET DE SOUDURE'!E514="","",'CARNET DE SOUDURE'!E514)</f>
        <v>JN°103</v>
      </c>
      <c r="D514" s="78" t="str">
        <f aca="false">IF('CARNET DE SOUDURE'!E514="","",'CARNET DE SOUDURE'!D514&amp;"")</f>
        <v/>
      </c>
      <c r="E514" s="96" t="str">
        <f aca="false">IF(OR('CARNET DE SOUDURE'!E514="",'CARNET DE SOUDURE'!R514=""),"",'CARNET DE SOUDURE'!R514)</f>
        <v/>
      </c>
      <c r="F514" s="81" t="str">
        <f aca="false">IF('CARNET DE SOUDURE'!E514="","",'CARNET DE SOUDURE'!AL514)</f>
        <v/>
      </c>
      <c r="G514" s="81" t="str">
        <f aca="false">IF('CARNET DE SOUDURE'!E514="","",'CARNET DE SOUDURE'!AM514)</f>
        <v>À SOUDER</v>
      </c>
      <c r="H514" s="81" t="str">
        <f aca="false">IF(C514="","",IF(G514="ACCEPTÉ","OUI","NON"))</f>
        <v>NON</v>
      </c>
      <c r="I514" s="82"/>
      <c r="J514" s="79"/>
      <c r="K514" s="80"/>
      <c r="L514" s="80"/>
      <c r="M514" s="80"/>
      <c r="N514" s="83" t="str">
        <f aca="false">IF(C514="","",IF(I514="",IF(H514="OUI","À ENROBER",IF(G514="À SOUDER","NON SOUDÉ","EN ATTENTE RT")),IF(L514="R","À REPRENDRE",IF(H514&lt;&gt;"OUI","⚠ ENROBÉ AVANT ACCEPTATION RT","ENROBÉ"))))</f>
        <v>NON SOUDÉ</v>
      </c>
      <c r="O514" s="79"/>
    </row>
    <row r="515" customFormat="false" ht="15" hidden="false" customHeight="false" outlineLevel="0" collapsed="false">
      <c r="A515" s="78" t="n">
        <f aca="false">IF('CARNET DE SOUDURE'!E515="","",'CARNET DE SOUDURE'!A515)</f>
        <v>509</v>
      </c>
      <c r="B515" s="93" t="str">
        <f aca="false">IF('CARNET DE SOUDURE'!E515="","",'CARNET DE SOUDURE'!B515&amp;"")</f>
        <v>ISB-303</v>
      </c>
      <c r="C515" s="83" t="str">
        <f aca="false">IF('CARNET DE SOUDURE'!E515="","",'CARNET DE SOUDURE'!E515)</f>
        <v>JN°104</v>
      </c>
      <c r="D515" s="78" t="str">
        <f aca="false">IF('CARNET DE SOUDURE'!E515="","",'CARNET DE SOUDURE'!D515&amp;"")</f>
        <v/>
      </c>
      <c r="E515" s="96" t="str">
        <f aca="false">IF(OR('CARNET DE SOUDURE'!E515="",'CARNET DE SOUDURE'!R515=""),"",'CARNET DE SOUDURE'!R515)</f>
        <v/>
      </c>
      <c r="F515" s="81" t="str">
        <f aca="false">IF('CARNET DE SOUDURE'!E515="","",'CARNET DE SOUDURE'!AL515)</f>
        <v/>
      </c>
      <c r="G515" s="81" t="str">
        <f aca="false">IF('CARNET DE SOUDURE'!E515="","",'CARNET DE SOUDURE'!AM515)</f>
        <v>À SOUDER</v>
      </c>
      <c r="H515" s="81" t="str">
        <f aca="false">IF(C515="","",IF(G515="ACCEPTÉ","OUI","NON"))</f>
        <v>NON</v>
      </c>
      <c r="I515" s="82"/>
      <c r="J515" s="79"/>
      <c r="K515" s="80"/>
      <c r="L515" s="80"/>
      <c r="M515" s="80"/>
      <c r="N515" s="83" t="str">
        <f aca="false">IF(C515="","",IF(I515="",IF(H515="OUI","À ENROBER",IF(G515="À SOUDER","NON SOUDÉ","EN ATTENTE RT")),IF(L515="R","À REPRENDRE",IF(H515&lt;&gt;"OUI","⚠ ENROBÉ AVANT ACCEPTATION RT","ENROBÉ"))))</f>
        <v>NON SOUDÉ</v>
      </c>
      <c r="O515" s="79"/>
    </row>
    <row r="516" customFormat="false" ht="15" hidden="false" customHeight="false" outlineLevel="0" collapsed="false">
      <c r="A516" s="78" t="n">
        <f aca="false">IF('CARNET DE SOUDURE'!E516="","",'CARNET DE SOUDURE'!A516)</f>
        <v>510</v>
      </c>
      <c r="B516" s="93" t="str">
        <f aca="false">IF('CARNET DE SOUDURE'!E516="","",'CARNET DE SOUDURE'!B516&amp;"")</f>
        <v>ISB-303</v>
      </c>
      <c r="C516" s="83" t="str">
        <f aca="false">IF('CARNET DE SOUDURE'!E516="","",'CARNET DE SOUDURE'!E516)</f>
        <v>JN°105</v>
      </c>
      <c r="D516" s="78" t="str">
        <f aca="false">IF('CARNET DE SOUDURE'!E516="","",'CARNET DE SOUDURE'!D516&amp;"")</f>
        <v/>
      </c>
      <c r="E516" s="96" t="str">
        <f aca="false">IF(OR('CARNET DE SOUDURE'!E516="",'CARNET DE SOUDURE'!R516=""),"",'CARNET DE SOUDURE'!R516)</f>
        <v/>
      </c>
      <c r="F516" s="81" t="str">
        <f aca="false">IF('CARNET DE SOUDURE'!E516="","",'CARNET DE SOUDURE'!AL516)</f>
        <v/>
      </c>
      <c r="G516" s="81" t="str">
        <f aca="false">IF('CARNET DE SOUDURE'!E516="","",'CARNET DE SOUDURE'!AM516)</f>
        <v>À SOUDER</v>
      </c>
      <c r="H516" s="81" t="str">
        <f aca="false">IF(C516="","",IF(G516="ACCEPTÉ","OUI","NON"))</f>
        <v>NON</v>
      </c>
      <c r="I516" s="82"/>
      <c r="J516" s="79"/>
      <c r="K516" s="80"/>
      <c r="L516" s="80"/>
      <c r="M516" s="80"/>
      <c r="N516" s="83" t="str">
        <f aca="false">IF(C516="","",IF(I516="",IF(H516="OUI","À ENROBER",IF(G516="À SOUDER","NON SOUDÉ","EN ATTENTE RT")),IF(L516="R","À REPRENDRE",IF(H516&lt;&gt;"OUI","⚠ ENROBÉ AVANT ACCEPTATION RT","ENROBÉ"))))</f>
        <v>NON SOUDÉ</v>
      </c>
      <c r="O516" s="79"/>
    </row>
    <row r="517" customFormat="false" ht="15" hidden="false" customHeight="false" outlineLevel="0" collapsed="false">
      <c r="A517" s="78" t="n">
        <f aca="false">IF('CARNET DE SOUDURE'!E517="","",'CARNET DE SOUDURE'!A517)</f>
        <v>511</v>
      </c>
      <c r="B517" s="93" t="str">
        <f aca="false">IF('CARNET DE SOUDURE'!E517="","",'CARNET DE SOUDURE'!B517&amp;"")</f>
        <v>ISB-303</v>
      </c>
      <c r="C517" s="83" t="str">
        <f aca="false">IF('CARNET DE SOUDURE'!E517="","",'CARNET DE SOUDURE'!E517)</f>
        <v>JN°106</v>
      </c>
      <c r="D517" s="78" t="str">
        <f aca="false">IF('CARNET DE SOUDURE'!E517="","",'CARNET DE SOUDURE'!D517&amp;"")</f>
        <v/>
      </c>
      <c r="E517" s="96" t="str">
        <f aca="false">IF(OR('CARNET DE SOUDURE'!E517="",'CARNET DE SOUDURE'!R517=""),"",'CARNET DE SOUDURE'!R517)</f>
        <v/>
      </c>
      <c r="F517" s="81" t="str">
        <f aca="false">IF('CARNET DE SOUDURE'!E517="","",'CARNET DE SOUDURE'!AL517)</f>
        <v/>
      </c>
      <c r="G517" s="81" t="str">
        <f aca="false">IF('CARNET DE SOUDURE'!E517="","",'CARNET DE SOUDURE'!AM517)</f>
        <v>À SOUDER</v>
      </c>
      <c r="H517" s="81" t="str">
        <f aca="false">IF(C517="","",IF(G517="ACCEPTÉ","OUI","NON"))</f>
        <v>NON</v>
      </c>
      <c r="I517" s="82"/>
      <c r="J517" s="79"/>
      <c r="K517" s="80"/>
      <c r="L517" s="80"/>
      <c r="M517" s="80"/>
      <c r="N517" s="83" t="str">
        <f aca="false">IF(C517="","",IF(I517="",IF(H517="OUI","À ENROBER",IF(G517="À SOUDER","NON SOUDÉ","EN ATTENTE RT")),IF(L517="R","À REPRENDRE",IF(H517&lt;&gt;"OUI","⚠ ENROBÉ AVANT ACCEPTATION RT","ENROBÉ"))))</f>
        <v>NON SOUDÉ</v>
      </c>
      <c r="O517" s="79"/>
    </row>
    <row r="518" customFormat="false" ht="15" hidden="false" customHeight="false" outlineLevel="0" collapsed="false">
      <c r="A518" s="78" t="n">
        <f aca="false">IF('CARNET DE SOUDURE'!E518="","",'CARNET DE SOUDURE'!A518)</f>
        <v>512</v>
      </c>
      <c r="B518" s="93" t="str">
        <f aca="false">IF('CARNET DE SOUDURE'!E518="","",'CARNET DE SOUDURE'!B518&amp;"")</f>
        <v>ISB-303</v>
      </c>
      <c r="C518" s="83" t="str">
        <f aca="false">IF('CARNET DE SOUDURE'!E518="","",'CARNET DE SOUDURE'!E518)</f>
        <v>JN°107</v>
      </c>
      <c r="D518" s="78" t="str">
        <f aca="false">IF('CARNET DE SOUDURE'!E518="","",'CARNET DE SOUDURE'!D518&amp;"")</f>
        <v/>
      </c>
      <c r="E518" s="96" t="str">
        <f aca="false">IF(OR('CARNET DE SOUDURE'!E518="",'CARNET DE SOUDURE'!R518=""),"",'CARNET DE SOUDURE'!R518)</f>
        <v/>
      </c>
      <c r="F518" s="81" t="str">
        <f aca="false">IF('CARNET DE SOUDURE'!E518="","",'CARNET DE SOUDURE'!AL518)</f>
        <v/>
      </c>
      <c r="G518" s="81" t="str">
        <f aca="false">IF('CARNET DE SOUDURE'!E518="","",'CARNET DE SOUDURE'!AM518)</f>
        <v>À SOUDER</v>
      </c>
      <c r="H518" s="81" t="str">
        <f aca="false">IF(C518="","",IF(G518="ACCEPTÉ","OUI","NON"))</f>
        <v>NON</v>
      </c>
      <c r="I518" s="82"/>
      <c r="J518" s="79"/>
      <c r="K518" s="80"/>
      <c r="L518" s="80"/>
      <c r="M518" s="80"/>
      <c r="N518" s="83" t="str">
        <f aca="false">IF(C518="","",IF(I518="",IF(H518="OUI","À ENROBER",IF(G518="À SOUDER","NON SOUDÉ","EN ATTENTE RT")),IF(L518="R","À REPRENDRE",IF(H518&lt;&gt;"OUI","⚠ ENROBÉ AVANT ACCEPTATION RT","ENROBÉ"))))</f>
        <v>NON SOUDÉ</v>
      </c>
      <c r="O518" s="79"/>
    </row>
    <row r="519" customFormat="false" ht="15" hidden="false" customHeight="false" outlineLevel="0" collapsed="false">
      <c r="A519" s="78" t="n">
        <f aca="false">IF('CARNET DE SOUDURE'!E519="","",'CARNET DE SOUDURE'!A519)</f>
        <v>513</v>
      </c>
      <c r="B519" s="93" t="str">
        <f aca="false">IF('CARNET DE SOUDURE'!E519="","",'CARNET DE SOUDURE'!B519&amp;"")</f>
        <v>ISB-303</v>
      </c>
      <c r="C519" s="83" t="str">
        <f aca="false">IF('CARNET DE SOUDURE'!E519="","",'CARNET DE SOUDURE'!E519)</f>
        <v>JN°108</v>
      </c>
      <c r="D519" s="78" t="str">
        <f aca="false">IF('CARNET DE SOUDURE'!E519="","",'CARNET DE SOUDURE'!D519&amp;"")</f>
        <v/>
      </c>
      <c r="E519" s="96" t="str">
        <f aca="false">IF(OR('CARNET DE SOUDURE'!E519="",'CARNET DE SOUDURE'!R519=""),"",'CARNET DE SOUDURE'!R519)</f>
        <v/>
      </c>
      <c r="F519" s="81" t="str">
        <f aca="false">IF('CARNET DE SOUDURE'!E519="","",'CARNET DE SOUDURE'!AL519)</f>
        <v/>
      </c>
      <c r="G519" s="81" t="str">
        <f aca="false">IF('CARNET DE SOUDURE'!E519="","",'CARNET DE SOUDURE'!AM519)</f>
        <v>À SOUDER</v>
      </c>
      <c r="H519" s="81" t="str">
        <f aca="false">IF(C519="","",IF(G519="ACCEPTÉ","OUI","NON"))</f>
        <v>NON</v>
      </c>
      <c r="I519" s="82"/>
      <c r="J519" s="79"/>
      <c r="K519" s="80"/>
      <c r="L519" s="80"/>
      <c r="M519" s="80"/>
      <c r="N519" s="83" t="str">
        <f aca="false">IF(C519="","",IF(I519="",IF(H519="OUI","À ENROBER",IF(G519="À SOUDER","NON SOUDÉ","EN ATTENTE RT")),IF(L519="R","À REPRENDRE",IF(H519&lt;&gt;"OUI","⚠ ENROBÉ AVANT ACCEPTATION RT","ENROBÉ"))))</f>
        <v>NON SOUDÉ</v>
      </c>
      <c r="O519" s="79"/>
    </row>
    <row r="520" customFormat="false" ht="15" hidden="false" customHeight="false" outlineLevel="0" collapsed="false">
      <c r="A520" s="78" t="n">
        <f aca="false">IF('CARNET DE SOUDURE'!E520="","",'CARNET DE SOUDURE'!A520)</f>
        <v>514</v>
      </c>
      <c r="B520" s="93" t="str">
        <f aca="false">IF('CARNET DE SOUDURE'!E520="","",'CARNET DE SOUDURE'!B520&amp;"")</f>
        <v>ISB-303</v>
      </c>
      <c r="C520" s="83" t="str">
        <f aca="false">IF('CARNET DE SOUDURE'!E520="","",'CARNET DE SOUDURE'!E520)</f>
        <v>JN°109</v>
      </c>
      <c r="D520" s="78" t="str">
        <f aca="false">IF('CARNET DE SOUDURE'!E520="","",'CARNET DE SOUDURE'!D520&amp;"")</f>
        <v/>
      </c>
      <c r="E520" s="96" t="str">
        <f aca="false">IF(OR('CARNET DE SOUDURE'!E520="",'CARNET DE SOUDURE'!R520=""),"",'CARNET DE SOUDURE'!R520)</f>
        <v/>
      </c>
      <c r="F520" s="81" t="str">
        <f aca="false">IF('CARNET DE SOUDURE'!E520="","",'CARNET DE SOUDURE'!AL520)</f>
        <v/>
      </c>
      <c r="G520" s="81" t="str">
        <f aca="false">IF('CARNET DE SOUDURE'!E520="","",'CARNET DE SOUDURE'!AM520)</f>
        <v>À SOUDER</v>
      </c>
      <c r="H520" s="81" t="str">
        <f aca="false">IF(C520="","",IF(G520="ACCEPTÉ","OUI","NON"))</f>
        <v>NON</v>
      </c>
      <c r="I520" s="82"/>
      <c r="J520" s="79"/>
      <c r="K520" s="80"/>
      <c r="L520" s="80"/>
      <c r="M520" s="80"/>
      <c r="N520" s="83" t="str">
        <f aca="false">IF(C520="","",IF(I520="",IF(H520="OUI","À ENROBER",IF(G520="À SOUDER","NON SOUDÉ","EN ATTENTE RT")),IF(L520="R","À REPRENDRE",IF(H520&lt;&gt;"OUI","⚠ ENROBÉ AVANT ACCEPTATION RT","ENROBÉ"))))</f>
        <v>NON SOUDÉ</v>
      </c>
      <c r="O520" s="79"/>
    </row>
    <row r="521" customFormat="false" ht="15" hidden="false" customHeight="false" outlineLevel="0" collapsed="false">
      <c r="A521" s="78" t="n">
        <f aca="false">IF('CARNET DE SOUDURE'!E521="","",'CARNET DE SOUDURE'!A521)</f>
        <v>515</v>
      </c>
      <c r="B521" s="93" t="str">
        <f aca="false">IF('CARNET DE SOUDURE'!E521="","",'CARNET DE SOUDURE'!B521&amp;"")</f>
        <v>ISB-303</v>
      </c>
      <c r="C521" s="83" t="str">
        <f aca="false">IF('CARNET DE SOUDURE'!E521="","",'CARNET DE SOUDURE'!E521)</f>
        <v>JN°110</v>
      </c>
      <c r="D521" s="78" t="str">
        <f aca="false">IF('CARNET DE SOUDURE'!E521="","",'CARNET DE SOUDURE'!D521&amp;"")</f>
        <v/>
      </c>
      <c r="E521" s="96" t="str">
        <f aca="false">IF(OR('CARNET DE SOUDURE'!E521="",'CARNET DE SOUDURE'!R521=""),"",'CARNET DE SOUDURE'!R521)</f>
        <v/>
      </c>
      <c r="F521" s="81" t="str">
        <f aca="false">IF('CARNET DE SOUDURE'!E521="","",'CARNET DE SOUDURE'!AL521)</f>
        <v/>
      </c>
      <c r="G521" s="81" t="str">
        <f aca="false">IF('CARNET DE SOUDURE'!E521="","",'CARNET DE SOUDURE'!AM521)</f>
        <v>À SOUDER</v>
      </c>
      <c r="H521" s="81" t="str">
        <f aca="false">IF(C521="","",IF(G521="ACCEPTÉ","OUI","NON"))</f>
        <v>NON</v>
      </c>
      <c r="I521" s="82"/>
      <c r="J521" s="79"/>
      <c r="K521" s="80"/>
      <c r="L521" s="80"/>
      <c r="M521" s="80"/>
      <c r="N521" s="83" t="str">
        <f aca="false">IF(C521="","",IF(I521="",IF(H521="OUI","À ENROBER",IF(G521="À SOUDER","NON SOUDÉ","EN ATTENTE RT")),IF(L521="R","À REPRENDRE",IF(H521&lt;&gt;"OUI","⚠ ENROBÉ AVANT ACCEPTATION RT","ENROBÉ"))))</f>
        <v>NON SOUDÉ</v>
      </c>
      <c r="O521" s="79"/>
    </row>
    <row r="522" customFormat="false" ht="15" hidden="false" customHeight="false" outlineLevel="0" collapsed="false">
      <c r="A522" s="78" t="n">
        <f aca="false">IF('CARNET DE SOUDURE'!E522="","",'CARNET DE SOUDURE'!A522)</f>
        <v>516</v>
      </c>
      <c r="B522" s="93" t="str">
        <f aca="false">IF('CARNET DE SOUDURE'!E522="","",'CARNET DE SOUDURE'!B522&amp;"")</f>
        <v>ISB-303</v>
      </c>
      <c r="C522" s="83" t="str">
        <f aca="false">IF('CARNET DE SOUDURE'!E522="","",'CARNET DE SOUDURE'!E522)</f>
        <v>JN°111</v>
      </c>
      <c r="D522" s="78" t="str">
        <f aca="false">IF('CARNET DE SOUDURE'!E522="","",'CARNET DE SOUDURE'!D522&amp;"")</f>
        <v/>
      </c>
      <c r="E522" s="96" t="str">
        <f aca="false">IF(OR('CARNET DE SOUDURE'!E522="",'CARNET DE SOUDURE'!R522=""),"",'CARNET DE SOUDURE'!R522)</f>
        <v/>
      </c>
      <c r="F522" s="81" t="str">
        <f aca="false">IF('CARNET DE SOUDURE'!E522="","",'CARNET DE SOUDURE'!AL522)</f>
        <v/>
      </c>
      <c r="G522" s="81" t="str">
        <f aca="false">IF('CARNET DE SOUDURE'!E522="","",'CARNET DE SOUDURE'!AM522)</f>
        <v>À SOUDER</v>
      </c>
      <c r="H522" s="81" t="str">
        <f aca="false">IF(C522="","",IF(G522="ACCEPTÉ","OUI","NON"))</f>
        <v>NON</v>
      </c>
      <c r="I522" s="82"/>
      <c r="J522" s="79"/>
      <c r="K522" s="80"/>
      <c r="L522" s="80"/>
      <c r="M522" s="80"/>
      <c r="N522" s="83" t="str">
        <f aca="false">IF(C522="","",IF(I522="",IF(H522="OUI","À ENROBER",IF(G522="À SOUDER","NON SOUDÉ","EN ATTENTE RT")),IF(L522="R","À REPRENDRE",IF(H522&lt;&gt;"OUI","⚠ ENROBÉ AVANT ACCEPTATION RT","ENROBÉ"))))</f>
        <v>NON SOUDÉ</v>
      </c>
      <c r="O522" s="79"/>
    </row>
    <row r="523" customFormat="false" ht="15" hidden="false" customHeight="false" outlineLevel="0" collapsed="false">
      <c r="A523" s="78" t="n">
        <f aca="false">IF('CARNET DE SOUDURE'!E523="","",'CARNET DE SOUDURE'!A523)</f>
        <v>517</v>
      </c>
      <c r="B523" s="93" t="str">
        <f aca="false">IF('CARNET DE SOUDURE'!E523="","",'CARNET DE SOUDURE'!B523&amp;"")</f>
        <v>ISB-303</v>
      </c>
      <c r="C523" s="83" t="str">
        <f aca="false">IF('CARNET DE SOUDURE'!E523="","",'CARNET DE SOUDURE'!E523)</f>
        <v>JN°112</v>
      </c>
      <c r="D523" s="78" t="str">
        <f aca="false">IF('CARNET DE SOUDURE'!E523="","",'CARNET DE SOUDURE'!D523&amp;"")</f>
        <v/>
      </c>
      <c r="E523" s="96" t="str">
        <f aca="false">IF(OR('CARNET DE SOUDURE'!E523="",'CARNET DE SOUDURE'!R523=""),"",'CARNET DE SOUDURE'!R523)</f>
        <v/>
      </c>
      <c r="F523" s="81" t="str">
        <f aca="false">IF('CARNET DE SOUDURE'!E523="","",'CARNET DE SOUDURE'!AL523)</f>
        <v/>
      </c>
      <c r="G523" s="81" t="str">
        <f aca="false">IF('CARNET DE SOUDURE'!E523="","",'CARNET DE SOUDURE'!AM523)</f>
        <v>À SOUDER</v>
      </c>
      <c r="H523" s="81" t="str">
        <f aca="false">IF(C523="","",IF(G523="ACCEPTÉ","OUI","NON"))</f>
        <v>NON</v>
      </c>
      <c r="I523" s="82"/>
      <c r="J523" s="79"/>
      <c r="K523" s="80"/>
      <c r="L523" s="80"/>
      <c r="M523" s="80"/>
      <c r="N523" s="83" t="str">
        <f aca="false">IF(C523="","",IF(I523="",IF(H523="OUI","À ENROBER",IF(G523="À SOUDER","NON SOUDÉ","EN ATTENTE RT")),IF(L523="R","À REPRENDRE",IF(H523&lt;&gt;"OUI","⚠ ENROBÉ AVANT ACCEPTATION RT","ENROBÉ"))))</f>
        <v>NON SOUDÉ</v>
      </c>
      <c r="O523" s="79"/>
    </row>
    <row r="524" customFormat="false" ht="15" hidden="false" customHeight="false" outlineLevel="0" collapsed="false">
      <c r="A524" s="78" t="n">
        <f aca="false">IF('CARNET DE SOUDURE'!E524="","",'CARNET DE SOUDURE'!A524)</f>
        <v>518</v>
      </c>
      <c r="B524" s="93" t="str">
        <f aca="false">IF('CARNET DE SOUDURE'!E524="","",'CARNET DE SOUDURE'!B524&amp;"")</f>
        <v>ISB-303</v>
      </c>
      <c r="C524" s="83" t="str">
        <f aca="false">IF('CARNET DE SOUDURE'!E524="","",'CARNET DE SOUDURE'!E524)</f>
        <v>JN°113</v>
      </c>
      <c r="D524" s="78" t="str">
        <f aca="false">IF('CARNET DE SOUDURE'!E524="","",'CARNET DE SOUDURE'!D524&amp;"")</f>
        <v/>
      </c>
      <c r="E524" s="96" t="str">
        <f aca="false">IF(OR('CARNET DE SOUDURE'!E524="",'CARNET DE SOUDURE'!R524=""),"",'CARNET DE SOUDURE'!R524)</f>
        <v/>
      </c>
      <c r="F524" s="81" t="str">
        <f aca="false">IF('CARNET DE SOUDURE'!E524="","",'CARNET DE SOUDURE'!AL524)</f>
        <v/>
      </c>
      <c r="G524" s="81" t="str">
        <f aca="false">IF('CARNET DE SOUDURE'!E524="","",'CARNET DE SOUDURE'!AM524)</f>
        <v>À SOUDER</v>
      </c>
      <c r="H524" s="81" t="str">
        <f aca="false">IF(C524="","",IF(G524="ACCEPTÉ","OUI","NON"))</f>
        <v>NON</v>
      </c>
      <c r="I524" s="82"/>
      <c r="J524" s="79"/>
      <c r="K524" s="80"/>
      <c r="L524" s="80"/>
      <c r="M524" s="80"/>
      <c r="N524" s="83" t="str">
        <f aca="false">IF(C524="","",IF(I524="",IF(H524="OUI","À ENROBER",IF(G524="À SOUDER","NON SOUDÉ","EN ATTENTE RT")),IF(L524="R","À REPRENDRE",IF(H524&lt;&gt;"OUI","⚠ ENROBÉ AVANT ACCEPTATION RT","ENROBÉ"))))</f>
        <v>NON SOUDÉ</v>
      </c>
      <c r="O524" s="79"/>
    </row>
    <row r="525" customFormat="false" ht="15" hidden="false" customHeight="false" outlineLevel="0" collapsed="false">
      <c r="A525" s="78" t="n">
        <f aca="false">IF('CARNET DE SOUDURE'!E525="","",'CARNET DE SOUDURE'!A525)</f>
        <v>519</v>
      </c>
      <c r="B525" s="93" t="str">
        <f aca="false">IF('CARNET DE SOUDURE'!E525="","",'CARNET DE SOUDURE'!B525&amp;"")</f>
        <v>ISB-303</v>
      </c>
      <c r="C525" s="83" t="str">
        <f aca="false">IF('CARNET DE SOUDURE'!E525="","",'CARNET DE SOUDURE'!E525)</f>
        <v>JN°114</v>
      </c>
      <c r="D525" s="78" t="str">
        <f aca="false">IF('CARNET DE SOUDURE'!E525="","",'CARNET DE SOUDURE'!D525&amp;"")</f>
        <v/>
      </c>
      <c r="E525" s="96" t="str">
        <f aca="false">IF(OR('CARNET DE SOUDURE'!E525="",'CARNET DE SOUDURE'!R525=""),"",'CARNET DE SOUDURE'!R525)</f>
        <v/>
      </c>
      <c r="F525" s="81" t="str">
        <f aca="false">IF('CARNET DE SOUDURE'!E525="","",'CARNET DE SOUDURE'!AL525)</f>
        <v/>
      </c>
      <c r="G525" s="81" t="str">
        <f aca="false">IF('CARNET DE SOUDURE'!E525="","",'CARNET DE SOUDURE'!AM525)</f>
        <v>À SOUDER</v>
      </c>
      <c r="H525" s="81" t="str">
        <f aca="false">IF(C525="","",IF(G525="ACCEPTÉ","OUI","NON"))</f>
        <v>NON</v>
      </c>
      <c r="I525" s="82"/>
      <c r="J525" s="79"/>
      <c r="K525" s="80"/>
      <c r="L525" s="80"/>
      <c r="M525" s="80"/>
      <c r="N525" s="83" t="str">
        <f aca="false">IF(C525="","",IF(I525="",IF(H525="OUI","À ENROBER",IF(G525="À SOUDER","NON SOUDÉ","EN ATTENTE RT")),IF(L525="R","À REPRENDRE",IF(H525&lt;&gt;"OUI","⚠ ENROBÉ AVANT ACCEPTATION RT","ENROBÉ"))))</f>
        <v>NON SOUDÉ</v>
      </c>
      <c r="O525" s="79"/>
    </row>
    <row r="526" customFormat="false" ht="15" hidden="false" customHeight="false" outlineLevel="0" collapsed="false">
      <c r="A526" s="78" t="n">
        <f aca="false">IF('CARNET DE SOUDURE'!E526="","",'CARNET DE SOUDURE'!A526)</f>
        <v>520</v>
      </c>
      <c r="B526" s="93" t="str">
        <f aca="false">IF('CARNET DE SOUDURE'!E526="","",'CARNET DE SOUDURE'!B526&amp;"")</f>
        <v>ISB-303</v>
      </c>
      <c r="C526" s="83" t="str">
        <f aca="false">IF('CARNET DE SOUDURE'!E526="","",'CARNET DE SOUDURE'!E526)</f>
        <v>JN°115</v>
      </c>
      <c r="D526" s="78" t="str">
        <f aca="false">IF('CARNET DE SOUDURE'!E526="","",'CARNET DE SOUDURE'!D526&amp;"")</f>
        <v/>
      </c>
      <c r="E526" s="96" t="str">
        <f aca="false">IF(OR('CARNET DE SOUDURE'!E526="",'CARNET DE SOUDURE'!R526=""),"",'CARNET DE SOUDURE'!R526)</f>
        <v/>
      </c>
      <c r="F526" s="81" t="str">
        <f aca="false">IF('CARNET DE SOUDURE'!E526="","",'CARNET DE SOUDURE'!AL526)</f>
        <v/>
      </c>
      <c r="G526" s="81" t="str">
        <f aca="false">IF('CARNET DE SOUDURE'!E526="","",'CARNET DE SOUDURE'!AM526)</f>
        <v>À SOUDER</v>
      </c>
      <c r="H526" s="81" t="str">
        <f aca="false">IF(C526="","",IF(G526="ACCEPTÉ","OUI","NON"))</f>
        <v>NON</v>
      </c>
      <c r="I526" s="82"/>
      <c r="J526" s="79"/>
      <c r="K526" s="80"/>
      <c r="L526" s="80"/>
      <c r="M526" s="80"/>
      <c r="N526" s="83" t="str">
        <f aca="false">IF(C526="","",IF(I526="",IF(H526="OUI","À ENROBER",IF(G526="À SOUDER","NON SOUDÉ","EN ATTENTE RT")),IF(L526="R","À REPRENDRE",IF(H526&lt;&gt;"OUI","⚠ ENROBÉ AVANT ACCEPTATION RT","ENROBÉ"))))</f>
        <v>NON SOUDÉ</v>
      </c>
      <c r="O526" s="79"/>
    </row>
    <row r="527" customFormat="false" ht="15" hidden="false" customHeight="false" outlineLevel="0" collapsed="false">
      <c r="A527" s="78" t="n">
        <f aca="false">IF('CARNET DE SOUDURE'!E527="","",'CARNET DE SOUDURE'!A527)</f>
        <v>521</v>
      </c>
      <c r="B527" s="93" t="str">
        <f aca="false">IF('CARNET DE SOUDURE'!E527="","",'CARNET DE SOUDURE'!B527&amp;"")</f>
        <v>ISB-303</v>
      </c>
      <c r="C527" s="83" t="str">
        <f aca="false">IF('CARNET DE SOUDURE'!E527="","",'CARNET DE SOUDURE'!E527)</f>
        <v>JN°116</v>
      </c>
      <c r="D527" s="78" t="str">
        <f aca="false">IF('CARNET DE SOUDURE'!E527="","",'CARNET DE SOUDURE'!D527&amp;"")</f>
        <v/>
      </c>
      <c r="E527" s="96" t="str">
        <f aca="false">IF(OR('CARNET DE SOUDURE'!E527="",'CARNET DE SOUDURE'!R527=""),"",'CARNET DE SOUDURE'!R527)</f>
        <v/>
      </c>
      <c r="F527" s="81" t="str">
        <f aca="false">IF('CARNET DE SOUDURE'!E527="","",'CARNET DE SOUDURE'!AL527)</f>
        <v/>
      </c>
      <c r="G527" s="81" t="str">
        <f aca="false">IF('CARNET DE SOUDURE'!E527="","",'CARNET DE SOUDURE'!AM527)</f>
        <v>À SOUDER</v>
      </c>
      <c r="H527" s="81" t="str">
        <f aca="false">IF(C527="","",IF(G527="ACCEPTÉ","OUI","NON"))</f>
        <v>NON</v>
      </c>
      <c r="I527" s="82"/>
      <c r="J527" s="79"/>
      <c r="K527" s="80"/>
      <c r="L527" s="80"/>
      <c r="M527" s="80"/>
      <c r="N527" s="83" t="str">
        <f aca="false">IF(C527="","",IF(I527="",IF(H527="OUI","À ENROBER",IF(G527="À SOUDER","NON SOUDÉ","EN ATTENTE RT")),IF(L527="R","À REPRENDRE",IF(H527&lt;&gt;"OUI","⚠ ENROBÉ AVANT ACCEPTATION RT","ENROBÉ"))))</f>
        <v>NON SOUDÉ</v>
      </c>
      <c r="O527" s="79"/>
    </row>
    <row r="528" customFormat="false" ht="15" hidden="false" customHeight="false" outlineLevel="0" collapsed="false">
      <c r="A528" s="78" t="n">
        <f aca="false">IF('CARNET DE SOUDURE'!E528="","",'CARNET DE SOUDURE'!A528)</f>
        <v>522</v>
      </c>
      <c r="B528" s="93" t="str">
        <f aca="false">IF('CARNET DE SOUDURE'!E528="","",'CARNET DE SOUDURE'!B528&amp;"")</f>
        <v>ISB-303</v>
      </c>
      <c r="C528" s="83" t="str">
        <f aca="false">IF('CARNET DE SOUDURE'!E528="","",'CARNET DE SOUDURE'!E528)</f>
        <v>JN°117</v>
      </c>
      <c r="D528" s="78" t="str">
        <f aca="false">IF('CARNET DE SOUDURE'!E528="","",'CARNET DE SOUDURE'!D528&amp;"")</f>
        <v/>
      </c>
      <c r="E528" s="96" t="str">
        <f aca="false">IF(OR('CARNET DE SOUDURE'!E528="",'CARNET DE SOUDURE'!R528=""),"",'CARNET DE SOUDURE'!R528)</f>
        <v/>
      </c>
      <c r="F528" s="81" t="str">
        <f aca="false">IF('CARNET DE SOUDURE'!E528="","",'CARNET DE SOUDURE'!AL528)</f>
        <v/>
      </c>
      <c r="G528" s="81" t="str">
        <f aca="false">IF('CARNET DE SOUDURE'!E528="","",'CARNET DE SOUDURE'!AM528)</f>
        <v>À SOUDER</v>
      </c>
      <c r="H528" s="81" t="str">
        <f aca="false">IF(C528="","",IF(G528="ACCEPTÉ","OUI","NON"))</f>
        <v>NON</v>
      </c>
      <c r="I528" s="82"/>
      <c r="J528" s="79"/>
      <c r="K528" s="80"/>
      <c r="L528" s="80"/>
      <c r="M528" s="80"/>
      <c r="N528" s="83" t="str">
        <f aca="false">IF(C528="","",IF(I528="",IF(H528="OUI","À ENROBER",IF(G528="À SOUDER","NON SOUDÉ","EN ATTENTE RT")),IF(L528="R","À REPRENDRE",IF(H528&lt;&gt;"OUI","⚠ ENROBÉ AVANT ACCEPTATION RT","ENROBÉ"))))</f>
        <v>NON SOUDÉ</v>
      </c>
      <c r="O528" s="79"/>
    </row>
    <row r="529" customFormat="false" ht="15" hidden="false" customHeight="false" outlineLevel="0" collapsed="false">
      <c r="A529" s="78" t="n">
        <f aca="false">IF('CARNET DE SOUDURE'!E529="","",'CARNET DE SOUDURE'!A529)</f>
        <v>523</v>
      </c>
      <c r="B529" s="93" t="str">
        <f aca="false">IF('CARNET DE SOUDURE'!E529="","",'CARNET DE SOUDURE'!B529&amp;"")</f>
        <v>ISB-303</v>
      </c>
      <c r="C529" s="83" t="str">
        <f aca="false">IF('CARNET DE SOUDURE'!E529="","",'CARNET DE SOUDURE'!E529)</f>
        <v>JN°118</v>
      </c>
      <c r="D529" s="78" t="str">
        <f aca="false">IF('CARNET DE SOUDURE'!E529="","",'CARNET DE SOUDURE'!D529&amp;"")</f>
        <v/>
      </c>
      <c r="E529" s="96" t="str">
        <f aca="false">IF(OR('CARNET DE SOUDURE'!E529="",'CARNET DE SOUDURE'!R529=""),"",'CARNET DE SOUDURE'!R529)</f>
        <v/>
      </c>
      <c r="F529" s="81" t="str">
        <f aca="false">IF('CARNET DE SOUDURE'!E529="","",'CARNET DE SOUDURE'!AL529)</f>
        <v/>
      </c>
      <c r="G529" s="81" t="str">
        <f aca="false">IF('CARNET DE SOUDURE'!E529="","",'CARNET DE SOUDURE'!AM529)</f>
        <v>À SOUDER</v>
      </c>
      <c r="H529" s="81" t="str">
        <f aca="false">IF(C529="","",IF(G529="ACCEPTÉ","OUI","NON"))</f>
        <v>NON</v>
      </c>
      <c r="I529" s="82"/>
      <c r="J529" s="79"/>
      <c r="K529" s="80"/>
      <c r="L529" s="80"/>
      <c r="M529" s="80"/>
      <c r="N529" s="83" t="str">
        <f aca="false">IF(C529="","",IF(I529="",IF(H529="OUI","À ENROBER",IF(G529="À SOUDER","NON SOUDÉ","EN ATTENTE RT")),IF(L529="R","À REPRENDRE",IF(H529&lt;&gt;"OUI","⚠ ENROBÉ AVANT ACCEPTATION RT","ENROBÉ"))))</f>
        <v>NON SOUDÉ</v>
      </c>
      <c r="O529" s="79"/>
    </row>
    <row r="530" customFormat="false" ht="15" hidden="false" customHeight="false" outlineLevel="0" collapsed="false">
      <c r="A530" s="78" t="n">
        <f aca="false">IF('CARNET DE SOUDURE'!E530="","",'CARNET DE SOUDURE'!A530)</f>
        <v>524</v>
      </c>
      <c r="B530" s="93" t="str">
        <f aca="false">IF('CARNET DE SOUDURE'!E530="","",'CARNET DE SOUDURE'!B530&amp;"")</f>
        <v>ISB-303</v>
      </c>
      <c r="C530" s="83" t="str">
        <f aca="false">IF('CARNET DE SOUDURE'!E530="","",'CARNET DE SOUDURE'!E530)</f>
        <v>JN°119</v>
      </c>
      <c r="D530" s="78" t="str">
        <f aca="false">IF('CARNET DE SOUDURE'!E530="","",'CARNET DE SOUDURE'!D530&amp;"")</f>
        <v/>
      </c>
      <c r="E530" s="96" t="str">
        <f aca="false">IF(OR('CARNET DE SOUDURE'!E530="",'CARNET DE SOUDURE'!R530=""),"",'CARNET DE SOUDURE'!R530)</f>
        <v/>
      </c>
      <c r="F530" s="81" t="str">
        <f aca="false">IF('CARNET DE SOUDURE'!E530="","",'CARNET DE SOUDURE'!AL530)</f>
        <v/>
      </c>
      <c r="G530" s="81" t="str">
        <f aca="false">IF('CARNET DE SOUDURE'!E530="","",'CARNET DE SOUDURE'!AM530)</f>
        <v>À SOUDER</v>
      </c>
      <c r="H530" s="81" t="str">
        <f aca="false">IF(C530="","",IF(G530="ACCEPTÉ","OUI","NON"))</f>
        <v>NON</v>
      </c>
      <c r="I530" s="82"/>
      <c r="J530" s="79"/>
      <c r="K530" s="80"/>
      <c r="L530" s="80"/>
      <c r="M530" s="80"/>
      <c r="N530" s="83" t="str">
        <f aca="false">IF(C530="","",IF(I530="",IF(H530="OUI","À ENROBER",IF(G530="À SOUDER","NON SOUDÉ","EN ATTENTE RT")),IF(L530="R","À REPRENDRE",IF(H530&lt;&gt;"OUI","⚠ ENROBÉ AVANT ACCEPTATION RT","ENROBÉ"))))</f>
        <v>NON SOUDÉ</v>
      </c>
      <c r="O530" s="79"/>
    </row>
    <row r="531" customFormat="false" ht="15" hidden="false" customHeight="false" outlineLevel="0" collapsed="false">
      <c r="A531" s="78" t="n">
        <f aca="false">IF('CARNET DE SOUDURE'!E531="","",'CARNET DE SOUDURE'!A531)</f>
        <v>525</v>
      </c>
      <c r="B531" s="93" t="str">
        <f aca="false">IF('CARNET DE SOUDURE'!E531="","",'CARNET DE SOUDURE'!B531&amp;"")</f>
        <v>ISB-303</v>
      </c>
      <c r="C531" s="83" t="str">
        <f aca="false">IF('CARNET DE SOUDURE'!E531="","",'CARNET DE SOUDURE'!E531)</f>
        <v>JN°120</v>
      </c>
      <c r="D531" s="78" t="str">
        <f aca="false">IF('CARNET DE SOUDURE'!E531="","",'CARNET DE SOUDURE'!D531&amp;"")</f>
        <v/>
      </c>
      <c r="E531" s="96" t="str">
        <f aca="false">IF(OR('CARNET DE SOUDURE'!E531="",'CARNET DE SOUDURE'!R531=""),"",'CARNET DE SOUDURE'!R531)</f>
        <v/>
      </c>
      <c r="F531" s="81" t="str">
        <f aca="false">IF('CARNET DE SOUDURE'!E531="","",'CARNET DE SOUDURE'!AL531)</f>
        <v/>
      </c>
      <c r="G531" s="81" t="str">
        <f aca="false">IF('CARNET DE SOUDURE'!E531="","",'CARNET DE SOUDURE'!AM531)</f>
        <v>À SOUDER</v>
      </c>
      <c r="H531" s="81" t="str">
        <f aca="false">IF(C531="","",IF(G531="ACCEPTÉ","OUI","NON"))</f>
        <v>NON</v>
      </c>
      <c r="I531" s="82"/>
      <c r="J531" s="79"/>
      <c r="K531" s="80"/>
      <c r="L531" s="80"/>
      <c r="M531" s="80"/>
      <c r="N531" s="83" t="str">
        <f aca="false">IF(C531="","",IF(I531="",IF(H531="OUI","À ENROBER",IF(G531="À SOUDER","NON SOUDÉ","EN ATTENTE RT")),IF(L531="R","À REPRENDRE",IF(H531&lt;&gt;"OUI","⚠ ENROBÉ AVANT ACCEPTATION RT","ENROBÉ"))))</f>
        <v>NON SOUDÉ</v>
      </c>
      <c r="O531" s="79"/>
    </row>
    <row r="532" customFormat="false" ht="15" hidden="false" customHeight="false" outlineLevel="0" collapsed="false">
      <c r="A532" s="78" t="n">
        <f aca="false">IF('CARNET DE SOUDURE'!E532="","",'CARNET DE SOUDURE'!A532)</f>
        <v>526</v>
      </c>
      <c r="B532" s="93" t="str">
        <f aca="false">IF('CARNET DE SOUDURE'!E532="","",'CARNET DE SOUDURE'!B532&amp;"")</f>
        <v>ISB-303</v>
      </c>
      <c r="C532" s="83" t="str">
        <f aca="false">IF('CARNET DE SOUDURE'!E532="","",'CARNET DE SOUDURE'!E532)</f>
        <v>JN°121</v>
      </c>
      <c r="D532" s="78" t="str">
        <f aca="false">IF('CARNET DE SOUDURE'!E532="","",'CARNET DE SOUDURE'!D532&amp;"")</f>
        <v/>
      </c>
      <c r="E532" s="96" t="str">
        <f aca="false">IF(OR('CARNET DE SOUDURE'!E532="",'CARNET DE SOUDURE'!R532=""),"",'CARNET DE SOUDURE'!R532)</f>
        <v/>
      </c>
      <c r="F532" s="81" t="str">
        <f aca="false">IF('CARNET DE SOUDURE'!E532="","",'CARNET DE SOUDURE'!AL532)</f>
        <v/>
      </c>
      <c r="G532" s="81" t="str">
        <f aca="false">IF('CARNET DE SOUDURE'!E532="","",'CARNET DE SOUDURE'!AM532)</f>
        <v>À SOUDER</v>
      </c>
      <c r="H532" s="81" t="str">
        <f aca="false">IF(C532="","",IF(G532="ACCEPTÉ","OUI","NON"))</f>
        <v>NON</v>
      </c>
      <c r="I532" s="82"/>
      <c r="J532" s="79"/>
      <c r="K532" s="80"/>
      <c r="L532" s="80"/>
      <c r="M532" s="80"/>
      <c r="N532" s="83" t="str">
        <f aca="false">IF(C532="","",IF(I532="",IF(H532="OUI","À ENROBER",IF(G532="À SOUDER","NON SOUDÉ","EN ATTENTE RT")),IF(L532="R","À REPRENDRE",IF(H532&lt;&gt;"OUI","⚠ ENROBÉ AVANT ACCEPTATION RT","ENROBÉ"))))</f>
        <v>NON SOUDÉ</v>
      </c>
      <c r="O532" s="79"/>
    </row>
    <row r="533" customFormat="false" ht="15" hidden="false" customHeight="false" outlineLevel="0" collapsed="false">
      <c r="A533" s="78" t="n">
        <f aca="false">IF('CARNET DE SOUDURE'!E533="","",'CARNET DE SOUDURE'!A533)</f>
        <v>527</v>
      </c>
      <c r="B533" s="93" t="str">
        <f aca="false">IF('CARNET DE SOUDURE'!E533="","",'CARNET DE SOUDURE'!B533&amp;"")</f>
        <v>ISB-303</v>
      </c>
      <c r="C533" s="83" t="str">
        <f aca="false">IF('CARNET DE SOUDURE'!E533="","",'CARNET DE SOUDURE'!E533)</f>
        <v>JN°122</v>
      </c>
      <c r="D533" s="78" t="str">
        <f aca="false">IF('CARNET DE SOUDURE'!E533="","",'CARNET DE SOUDURE'!D533&amp;"")</f>
        <v/>
      </c>
      <c r="E533" s="96" t="str">
        <f aca="false">IF(OR('CARNET DE SOUDURE'!E533="",'CARNET DE SOUDURE'!R533=""),"",'CARNET DE SOUDURE'!R533)</f>
        <v/>
      </c>
      <c r="F533" s="81" t="str">
        <f aca="false">IF('CARNET DE SOUDURE'!E533="","",'CARNET DE SOUDURE'!AL533)</f>
        <v/>
      </c>
      <c r="G533" s="81" t="str">
        <f aca="false">IF('CARNET DE SOUDURE'!E533="","",'CARNET DE SOUDURE'!AM533)</f>
        <v>À SOUDER</v>
      </c>
      <c r="H533" s="81" t="str">
        <f aca="false">IF(C533="","",IF(G533="ACCEPTÉ","OUI","NON"))</f>
        <v>NON</v>
      </c>
      <c r="I533" s="82"/>
      <c r="J533" s="79"/>
      <c r="K533" s="80"/>
      <c r="L533" s="80"/>
      <c r="M533" s="80"/>
      <c r="N533" s="83" t="str">
        <f aca="false">IF(C533="","",IF(I533="",IF(H533="OUI","À ENROBER",IF(G533="À SOUDER","NON SOUDÉ","EN ATTENTE RT")),IF(L533="R","À REPRENDRE",IF(H533&lt;&gt;"OUI","⚠ ENROBÉ AVANT ACCEPTATION RT","ENROBÉ"))))</f>
        <v>NON SOUDÉ</v>
      </c>
      <c r="O533" s="79"/>
    </row>
    <row r="534" customFormat="false" ht="15" hidden="false" customHeight="false" outlineLevel="0" collapsed="false">
      <c r="A534" s="78" t="n">
        <f aca="false">IF('CARNET DE SOUDURE'!E534="","",'CARNET DE SOUDURE'!A534)</f>
        <v>528</v>
      </c>
      <c r="B534" s="93" t="str">
        <f aca="false">IF('CARNET DE SOUDURE'!E534="","",'CARNET DE SOUDURE'!B534&amp;"")</f>
        <v>ISB-303</v>
      </c>
      <c r="C534" s="83" t="str">
        <f aca="false">IF('CARNET DE SOUDURE'!E534="","",'CARNET DE SOUDURE'!E534)</f>
        <v>JN°123</v>
      </c>
      <c r="D534" s="78" t="str">
        <f aca="false">IF('CARNET DE SOUDURE'!E534="","",'CARNET DE SOUDURE'!D534&amp;"")</f>
        <v/>
      </c>
      <c r="E534" s="96" t="str">
        <f aca="false">IF(OR('CARNET DE SOUDURE'!E534="",'CARNET DE SOUDURE'!R534=""),"",'CARNET DE SOUDURE'!R534)</f>
        <v/>
      </c>
      <c r="F534" s="81" t="str">
        <f aca="false">IF('CARNET DE SOUDURE'!E534="","",'CARNET DE SOUDURE'!AL534)</f>
        <v/>
      </c>
      <c r="G534" s="81" t="str">
        <f aca="false">IF('CARNET DE SOUDURE'!E534="","",'CARNET DE SOUDURE'!AM534)</f>
        <v>À SOUDER</v>
      </c>
      <c r="H534" s="81" t="str">
        <f aca="false">IF(C534="","",IF(G534="ACCEPTÉ","OUI","NON"))</f>
        <v>NON</v>
      </c>
      <c r="I534" s="82"/>
      <c r="J534" s="79"/>
      <c r="K534" s="80"/>
      <c r="L534" s="80"/>
      <c r="M534" s="80"/>
      <c r="N534" s="83" t="str">
        <f aca="false">IF(C534="","",IF(I534="",IF(H534="OUI","À ENROBER",IF(G534="À SOUDER","NON SOUDÉ","EN ATTENTE RT")),IF(L534="R","À REPRENDRE",IF(H534&lt;&gt;"OUI","⚠ ENROBÉ AVANT ACCEPTATION RT","ENROBÉ"))))</f>
        <v>NON SOUDÉ</v>
      </c>
      <c r="O534" s="79"/>
    </row>
    <row r="535" customFormat="false" ht="15" hidden="false" customHeight="false" outlineLevel="0" collapsed="false">
      <c r="A535" s="78" t="n">
        <f aca="false">IF('CARNET DE SOUDURE'!E535="","",'CARNET DE SOUDURE'!A535)</f>
        <v>529</v>
      </c>
      <c r="B535" s="93" t="str">
        <f aca="false">IF('CARNET DE SOUDURE'!E535="","",'CARNET DE SOUDURE'!B535&amp;"")</f>
        <v>ISB-303</v>
      </c>
      <c r="C535" s="83" t="str">
        <f aca="false">IF('CARNET DE SOUDURE'!E535="","",'CARNET DE SOUDURE'!E535)</f>
        <v>JN°124</v>
      </c>
      <c r="D535" s="78" t="str">
        <f aca="false">IF('CARNET DE SOUDURE'!E535="","",'CARNET DE SOUDURE'!D535&amp;"")</f>
        <v/>
      </c>
      <c r="E535" s="96" t="str">
        <f aca="false">IF(OR('CARNET DE SOUDURE'!E535="",'CARNET DE SOUDURE'!R535=""),"",'CARNET DE SOUDURE'!R535)</f>
        <v/>
      </c>
      <c r="F535" s="81" t="str">
        <f aca="false">IF('CARNET DE SOUDURE'!E535="","",'CARNET DE SOUDURE'!AL535)</f>
        <v/>
      </c>
      <c r="G535" s="81" t="str">
        <f aca="false">IF('CARNET DE SOUDURE'!E535="","",'CARNET DE SOUDURE'!AM535)</f>
        <v>À SOUDER</v>
      </c>
      <c r="H535" s="81" t="str">
        <f aca="false">IF(C535="","",IF(G535="ACCEPTÉ","OUI","NON"))</f>
        <v>NON</v>
      </c>
      <c r="I535" s="82"/>
      <c r="J535" s="79"/>
      <c r="K535" s="80"/>
      <c r="L535" s="80"/>
      <c r="M535" s="80"/>
      <c r="N535" s="83" t="str">
        <f aca="false">IF(C535="","",IF(I535="",IF(H535="OUI","À ENROBER",IF(G535="À SOUDER","NON SOUDÉ","EN ATTENTE RT")),IF(L535="R","À REPRENDRE",IF(H535&lt;&gt;"OUI","⚠ ENROBÉ AVANT ACCEPTATION RT","ENROBÉ"))))</f>
        <v>NON SOUDÉ</v>
      </c>
      <c r="O535" s="79"/>
    </row>
    <row r="536" customFormat="false" ht="15" hidden="false" customHeight="false" outlineLevel="0" collapsed="false">
      <c r="A536" s="78" t="n">
        <f aca="false">IF('CARNET DE SOUDURE'!E536="","",'CARNET DE SOUDURE'!A536)</f>
        <v>530</v>
      </c>
      <c r="B536" s="93" t="str">
        <f aca="false">IF('CARNET DE SOUDURE'!E536="","",'CARNET DE SOUDURE'!B536&amp;"")</f>
        <v>ISB-303</v>
      </c>
      <c r="C536" s="83" t="str">
        <f aca="false">IF('CARNET DE SOUDURE'!E536="","",'CARNET DE SOUDURE'!E536)</f>
        <v>JN°125</v>
      </c>
      <c r="D536" s="78" t="str">
        <f aca="false">IF('CARNET DE SOUDURE'!E536="","",'CARNET DE SOUDURE'!D536&amp;"")</f>
        <v/>
      </c>
      <c r="E536" s="96" t="str">
        <f aca="false">IF(OR('CARNET DE SOUDURE'!E536="",'CARNET DE SOUDURE'!R536=""),"",'CARNET DE SOUDURE'!R536)</f>
        <v/>
      </c>
      <c r="F536" s="81" t="str">
        <f aca="false">IF('CARNET DE SOUDURE'!E536="","",'CARNET DE SOUDURE'!AL536)</f>
        <v/>
      </c>
      <c r="G536" s="81" t="str">
        <f aca="false">IF('CARNET DE SOUDURE'!E536="","",'CARNET DE SOUDURE'!AM536)</f>
        <v>À SOUDER</v>
      </c>
      <c r="H536" s="81" t="str">
        <f aca="false">IF(C536="","",IF(G536="ACCEPTÉ","OUI","NON"))</f>
        <v>NON</v>
      </c>
      <c r="I536" s="82"/>
      <c r="J536" s="79"/>
      <c r="K536" s="80"/>
      <c r="L536" s="80"/>
      <c r="M536" s="80"/>
      <c r="N536" s="83" t="str">
        <f aca="false">IF(C536="","",IF(I536="",IF(H536="OUI","À ENROBER",IF(G536="À SOUDER","NON SOUDÉ","EN ATTENTE RT")),IF(L536="R","À REPRENDRE",IF(H536&lt;&gt;"OUI","⚠ ENROBÉ AVANT ACCEPTATION RT","ENROBÉ"))))</f>
        <v>NON SOUDÉ</v>
      </c>
      <c r="O536" s="79"/>
    </row>
    <row r="537" customFormat="false" ht="15" hidden="false" customHeight="false" outlineLevel="0" collapsed="false">
      <c r="A537" s="78" t="n">
        <f aca="false">IF('CARNET DE SOUDURE'!E537="","",'CARNET DE SOUDURE'!A537)</f>
        <v>531</v>
      </c>
      <c r="B537" s="93" t="str">
        <f aca="false">IF('CARNET DE SOUDURE'!E537="","",'CARNET DE SOUDURE'!B537&amp;"")</f>
        <v>ISB-303</v>
      </c>
      <c r="C537" s="83" t="str">
        <f aca="false">IF('CARNET DE SOUDURE'!E537="","",'CARNET DE SOUDURE'!E537)</f>
        <v>JN°126</v>
      </c>
      <c r="D537" s="78" t="str">
        <f aca="false">IF('CARNET DE SOUDURE'!E537="","",'CARNET DE SOUDURE'!D537&amp;"")</f>
        <v/>
      </c>
      <c r="E537" s="96" t="str">
        <f aca="false">IF(OR('CARNET DE SOUDURE'!E537="",'CARNET DE SOUDURE'!R537=""),"",'CARNET DE SOUDURE'!R537)</f>
        <v/>
      </c>
      <c r="F537" s="81" t="str">
        <f aca="false">IF('CARNET DE SOUDURE'!E537="","",'CARNET DE SOUDURE'!AL537)</f>
        <v/>
      </c>
      <c r="G537" s="81" t="str">
        <f aca="false">IF('CARNET DE SOUDURE'!E537="","",'CARNET DE SOUDURE'!AM537)</f>
        <v>À SOUDER</v>
      </c>
      <c r="H537" s="81" t="str">
        <f aca="false">IF(C537="","",IF(G537="ACCEPTÉ","OUI","NON"))</f>
        <v>NON</v>
      </c>
      <c r="I537" s="82"/>
      <c r="J537" s="79"/>
      <c r="K537" s="80"/>
      <c r="L537" s="80"/>
      <c r="M537" s="80"/>
      <c r="N537" s="83" t="str">
        <f aca="false">IF(C537="","",IF(I537="",IF(H537="OUI","À ENROBER",IF(G537="À SOUDER","NON SOUDÉ","EN ATTENTE RT")),IF(L537="R","À REPRENDRE",IF(H537&lt;&gt;"OUI","⚠ ENROBÉ AVANT ACCEPTATION RT","ENROBÉ"))))</f>
        <v>NON SOUDÉ</v>
      </c>
      <c r="O537" s="79"/>
    </row>
    <row r="538" customFormat="false" ht="15" hidden="false" customHeight="false" outlineLevel="0" collapsed="false">
      <c r="A538" s="78" t="n">
        <f aca="false">IF('CARNET DE SOUDURE'!E538="","",'CARNET DE SOUDURE'!A538)</f>
        <v>532</v>
      </c>
      <c r="B538" s="93" t="str">
        <f aca="false">IF('CARNET DE SOUDURE'!E538="","",'CARNET DE SOUDURE'!B538&amp;"")</f>
        <v>ISB-303</v>
      </c>
      <c r="C538" s="83" t="str">
        <f aca="false">IF('CARNET DE SOUDURE'!E538="","",'CARNET DE SOUDURE'!E538)</f>
        <v>JN°127</v>
      </c>
      <c r="D538" s="78" t="str">
        <f aca="false">IF('CARNET DE SOUDURE'!E538="","",'CARNET DE SOUDURE'!D538&amp;"")</f>
        <v/>
      </c>
      <c r="E538" s="96" t="str">
        <f aca="false">IF(OR('CARNET DE SOUDURE'!E538="",'CARNET DE SOUDURE'!R538=""),"",'CARNET DE SOUDURE'!R538)</f>
        <v/>
      </c>
      <c r="F538" s="81" t="str">
        <f aca="false">IF('CARNET DE SOUDURE'!E538="","",'CARNET DE SOUDURE'!AL538)</f>
        <v/>
      </c>
      <c r="G538" s="81" t="str">
        <f aca="false">IF('CARNET DE SOUDURE'!E538="","",'CARNET DE SOUDURE'!AM538)</f>
        <v>À SOUDER</v>
      </c>
      <c r="H538" s="81" t="str">
        <f aca="false">IF(C538="","",IF(G538="ACCEPTÉ","OUI","NON"))</f>
        <v>NON</v>
      </c>
      <c r="I538" s="82"/>
      <c r="J538" s="79"/>
      <c r="K538" s="80"/>
      <c r="L538" s="80"/>
      <c r="M538" s="80"/>
      <c r="N538" s="83" t="str">
        <f aca="false">IF(C538="","",IF(I538="",IF(H538="OUI","À ENROBER",IF(G538="À SOUDER","NON SOUDÉ","EN ATTENTE RT")),IF(L538="R","À REPRENDRE",IF(H538&lt;&gt;"OUI","⚠ ENROBÉ AVANT ACCEPTATION RT","ENROBÉ"))))</f>
        <v>NON SOUDÉ</v>
      </c>
      <c r="O538" s="79"/>
    </row>
    <row r="539" customFormat="false" ht="15" hidden="false" customHeight="false" outlineLevel="0" collapsed="false">
      <c r="A539" s="78" t="n">
        <f aca="false">IF('CARNET DE SOUDURE'!E539="","",'CARNET DE SOUDURE'!A539)</f>
        <v>533</v>
      </c>
      <c r="B539" s="93" t="str">
        <f aca="false">IF('CARNET DE SOUDURE'!E539="","",'CARNET DE SOUDURE'!B539&amp;"")</f>
        <v>ISB-303</v>
      </c>
      <c r="C539" s="83" t="str">
        <f aca="false">IF('CARNET DE SOUDURE'!E539="","",'CARNET DE SOUDURE'!E539)</f>
        <v>JN°128</v>
      </c>
      <c r="D539" s="78" t="str">
        <f aca="false">IF('CARNET DE SOUDURE'!E539="","",'CARNET DE SOUDURE'!D539&amp;"")</f>
        <v/>
      </c>
      <c r="E539" s="96" t="str">
        <f aca="false">IF(OR('CARNET DE SOUDURE'!E539="",'CARNET DE SOUDURE'!R539=""),"",'CARNET DE SOUDURE'!R539)</f>
        <v/>
      </c>
      <c r="F539" s="81" t="str">
        <f aca="false">IF('CARNET DE SOUDURE'!E539="","",'CARNET DE SOUDURE'!AL539)</f>
        <v/>
      </c>
      <c r="G539" s="81" t="str">
        <f aca="false">IF('CARNET DE SOUDURE'!E539="","",'CARNET DE SOUDURE'!AM539)</f>
        <v>À SOUDER</v>
      </c>
      <c r="H539" s="81" t="str">
        <f aca="false">IF(C539="","",IF(G539="ACCEPTÉ","OUI","NON"))</f>
        <v>NON</v>
      </c>
      <c r="I539" s="82"/>
      <c r="J539" s="79"/>
      <c r="K539" s="80"/>
      <c r="L539" s="80"/>
      <c r="M539" s="80"/>
      <c r="N539" s="83" t="str">
        <f aca="false">IF(C539="","",IF(I539="",IF(H539="OUI","À ENROBER",IF(G539="À SOUDER","NON SOUDÉ","EN ATTENTE RT")),IF(L539="R","À REPRENDRE",IF(H539&lt;&gt;"OUI","⚠ ENROBÉ AVANT ACCEPTATION RT","ENROBÉ"))))</f>
        <v>NON SOUDÉ</v>
      </c>
      <c r="O539" s="79"/>
    </row>
    <row r="540" customFormat="false" ht="15" hidden="false" customHeight="false" outlineLevel="0" collapsed="false">
      <c r="A540" s="78" t="n">
        <f aca="false">IF('CARNET DE SOUDURE'!E540="","",'CARNET DE SOUDURE'!A540)</f>
        <v>534</v>
      </c>
      <c r="B540" s="93" t="str">
        <f aca="false">IF('CARNET DE SOUDURE'!E540="","",'CARNET DE SOUDURE'!B540&amp;"")</f>
        <v>ISB-303</v>
      </c>
      <c r="C540" s="83" t="str">
        <f aca="false">IF('CARNET DE SOUDURE'!E540="","",'CARNET DE SOUDURE'!E540)</f>
        <v>JN°129</v>
      </c>
      <c r="D540" s="78" t="str">
        <f aca="false">IF('CARNET DE SOUDURE'!E540="","",'CARNET DE SOUDURE'!D540&amp;"")</f>
        <v/>
      </c>
      <c r="E540" s="96" t="str">
        <f aca="false">IF(OR('CARNET DE SOUDURE'!E540="",'CARNET DE SOUDURE'!R540=""),"",'CARNET DE SOUDURE'!R540)</f>
        <v/>
      </c>
      <c r="F540" s="81" t="str">
        <f aca="false">IF('CARNET DE SOUDURE'!E540="","",'CARNET DE SOUDURE'!AL540)</f>
        <v/>
      </c>
      <c r="G540" s="81" t="str">
        <f aca="false">IF('CARNET DE SOUDURE'!E540="","",'CARNET DE SOUDURE'!AM540)</f>
        <v>À SOUDER</v>
      </c>
      <c r="H540" s="81" t="str">
        <f aca="false">IF(C540="","",IF(G540="ACCEPTÉ","OUI","NON"))</f>
        <v>NON</v>
      </c>
      <c r="I540" s="82"/>
      <c r="J540" s="79"/>
      <c r="K540" s="80"/>
      <c r="L540" s="80"/>
      <c r="M540" s="80"/>
      <c r="N540" s="83" t="str">
        <f aca="false">IF(C540="","",IF(I540="",IF(H540="OUI","À ENROBER",IF(G540="À SOUDER","NON SOUDÉ","EN ATTENTE RT")),IF(L540="R","À REPRENDRE",IF(H540&lt;&gt;"OUI","⚠ ENROBÉ AVANT ACCEPTATION RT","ENROBÉ"))))</f>
        <v>NON SOUDÉ</v>
      </c>
      <c r="O540" s="79"/>
    </row>
    <row r="541" customFormat="false" ht="15" hidden="false" customHeight="false" outlineLevel="0" collapsed="false">
      <c r="A541" s="78" t="n">
        <f aca="false">IF('CARNET DE SOUDURE'!E541="","",'CARNET DE SOUDURE'!A541)</f>
        <v>535</v>
      </c>
      <c r="B541" s="93" t="str">
        <f aca="false">IF('CARNET DE SOUDURE'!E541="","",'CARNET DE SOUDURE'!B541&amp;"")</f>
        <v>ISB-303</v>
      </c>
      <c r="C541" s="83" t="str">
        <f aca="false">IF('CARNET DE SOUDURE'!E541="","",'CARNET DE SOUDURE'!E541)</f>
        <v>JN°130</v>
      </c>
      <c r="D541" s="78" t="str">
        <f aca="false">IF('CARNET DE SOUDURE'!E541="","",'CARNET DE SOUDURE'!D541&amp;"")</f>
        <v/>
      </c>
      <c r="E541" s="96" t="str">
        <f aca="false">IF(OR('CARNET DE SOUDURE'!E541="",'CARNET DE SOUDURE'!R541=""),"",'CARNET DE SOUDURE'!R541)</f>
        <v/>
      </c>
      <c r="F541" s="81" t="str">
        <f aca="false">IF('CARNET DE SOUDURE'!E541="","",'CARNET DE SOUDURE'!AL541)</f>
        <v/>
      </c>
      <c r="G541" s="81" t="str">
        <f aca="false">IF('CARNET DE SOUDURE'!E541="","",'CARNET DE SOUDURE'!AM541)</f>
        <v>À SOUDER</v>
      </c>
      <c r="H541" s="81" t="str">
        <f aca="false">IF(C541="","",IF(G541="ACCEPTÉ","OUI","NON"))</f>
        <v>NON</v>
      </c>
      <c r="I541" s="82"/>
      <c r="J541" s="79"/>
      <c r="K541" s="80"/>
      <c r="L541" s="80"/>
      <c r="M541" s="80"/>
      <c r="N541" s="83" t="str">
        <f aca="false">IF(C541="","",IF(I541="",IF(H541="OUI","À ENROBER",IF(G541="À SOUDER","NON SOUDÉ","EN ATTENTE RT")),IF(L541="R","À REPRENDRE",IF(H541&lt;&gt;"OUI","⚠ ENROBÉ AVANT ACCEPTATION RT","ENROBÉ"))))</f>
        <v>NON SOUDÉ</v>
      </c>
      <c r="O541" s="79"/>
    </row>
    <row r="542" customFormat="false" ht="15" hidden="false" customHeight="false" outlineLevel="0" collapsed="false">
      <c r="A542" s="78" t="n">
        <f aca="false">IF('CARNET DE SOUDURE'!E542="","",'CARNET DE SOUDURE'!A542)</f>
        <v>536</v>
      </c>
      <c r="B542" s="93" t="str">
        <f aca="false">IF('CARNET DE SOUDURE'!E542="","",'CARNET DE SOUDURE'!B542&amp;"")</f>
        <v>ISB-303</v>
      </c>
      <c r="C542" s="83" t="str">
        <f aca="false">IF('CARNET DE SOUDURE'!E542="","",'CARNET DE SOUDURE'!E542)</f>
        <v>JN°131</v>
      </c>
      <c r="D542" s="78" t="str">
        <f aca="false">IF('CARNET DE SOUDURE'!E542="","",'CARNET DE SOUDURE'!D542&amp;"")</f>
        <v/>
      </c>
      <c r="E542" s="96" t="str">
        <f aca="false">IF(OR('CARNET DE SOUDURE'!E542="",'CARNET DE SOUDURE'!R542=""),"",'CARNET DE SOUDURE'!R542)</f>
        <v/>
      </c>
      <c r="F542" s="81" t="str">
        <f aca="false">IF('CARNET DE SOUDURE'!E542="","",'CARNET DE SOUDURE'!AL542)</f>
        <v/>
      </c>
      <c r="G542" s="81" t="str">
        <f aca="false">IF('CARNET DE SOUDURE'!E542="","",'CARNET DE SOUDURE'!AM542)</f>
        <v>À SOUDER</v>
      </c>
      <c r="H542" s="81" t="str">
        <f aca="false">IF(C542="","",IF(G542="ACCEPTÉ","OUI","NON"))</f>
        <v>NON</v>
      </c>
      <c r="I542" s="82"/>
      <c r="J542" s="79"/>
      <c r="K542" s="80"/>
      <c r="L542" s="80"/>
      <c r="M542" s="80"/>
      <c r="N542" s="83" t="str">
        <f aca="false">IF(C542="","",IF(I542="",IF(H542="OUI","À ENROBER",IF(G542="À SOUDER","NON SOUDÉ","EN ATTENTE RT")),IF(L542="R","À REPRENDRE",IF(H542&lt;&gt;"OUI","⚠ ENROBÉ AVANT ACCEPTATION RT","ENROBÉ"))))</f>
        <v>NON SOUDÉ</v>
      </c>
      <c r="O542" s="79"/>
    </row>
    <row r="543" customFormat="false" ht="15" hidden="false" customHeight="false" outlineLevel="0" collapsed="false">
      <c r="A543" s="78" t="n">
        <f aca="false">IF('CARNET DE SOUDURE'!E543="","",'CARNET DE SOUDURE'!A543)</f>
        <v>537</v>
      </c>
      <c r="B543" s="93" t="str">
        <f aca="false">IF('CARNET DE SOUDURE'!E543="","",'CARNET DE SOUDURE'!B543&amp;"")</f>
        <v>ISB-303</v>
      </c>
      <c r="C543" s="83" t="str">
        <f aca="false">IF('CARNET DE SOUDURE'!E543="","",'CARNET DE SOUDURE'!E543)</f>
        <v>JN°132</v>
      </c>
      <c r="D543" s="78" t="str">
        <f aca="false">IF('CARNET DE SOUDURE'!E543="","",'CARNET DE SOUDURE'!D543&amp;"")</f>
        <v/>
      </c>
      <c r="E543" s="96" t="str">
        <f aca="false">IF(OR('CARNET DE SOUDURE'!E543="",'CARNET DE SOUDURE'!R543=""),"",'CARNET DE SOUDURE'!R543)</f>
        <v/>
      </c>
      <c r="F543" s="81" t="str">
        <f aca="false">IF('CARNET DE SOUDURE'!E543="","",'CARNET DE SOUDURE'!AL543)</f>
        <v/>
      </c>
      <c r="G543" s="81" t="str">
        <f aca="false">IF('CARNET DE SOUDURE'!E543="","",'CARNET DE SOUDURE'!AM543)</f>
        <v>À SOUDER</v>
      </c>
      <c r="H543" s="81" t="str">
        <f aca="false">IF(C543="","",IF(G543="ACCEPTÉ","OUI","NON"))</f>
        <v>NON</v>
      </c>
      <c r="I543" s="82"/>
      <c r="J543" s="79"/>
      <c r="K543" s="80"/>
      <c r="L543" s="80"/>
      <c r="M543" s="80"/>
      <c r="N543" s="83" t="str">
        <f aca="false">IF(C543="","",IF(I543="",IF(H543="OUI","À ENROBER",IF(G543="À SOUDER","NON SOUDÉ","EN ATTENTE RT")),IF(L543="R","À REPRENDRE",IF(H543&lt;&gt;"OUI","⚠ ENROBÉ AVANT ACCEPTATION RT","ENROBÉ"))))</f>
        <v>NON SOUDÉ</v>
      </c>
      <c r="O543" s="79"/>
    </row>
    <row r="544" customFormat="false" ht="15" hidden="false" customHeight="false" outlineLevel="0" collapsed="false">
      <c r="A544" s="78" t="n">
        <f aca="false">IF('CARNET DE SOUDURE'!E544="","",'CARNET DE SOUDURE'!A544)</f>
        <v>538</v>
      </c>
      <c r="B544" s="93" t="str">
        <f aca="false">IF('CARNET DE SOUDURE'!E544="","",'CARNET DE SOUDURE'!B544&amp;"")</f>
        <v>ISB-303</v>
      </c>
      <c r="C544" s="83" t="str">
        <f aca="false">IF('CARNET DE SOUDURE'!E544="","",'CARNET DE SOUDURE'!E544)</f>
        <v>JN°133</v>
      </c>
      <c r="D544" s="78" t="str">
        <f aca="false">IF('CARNET DE SOUDURE'!E544="","",'CARNET DE SOUDURE'!D544&amp;"")</f>
        <v/>
      </c>
      <c r="E544" s="96" t="str">
        <f aca="false">IF(OR('CARNET DE SOUDURE'!E544="",'CARNET DE SOUDURE'!R544=""),"",'CARNET DE SOUDURE'!R544)</f>
        <v/>
      </c>
      <c r="F544" s="81" t="str">
        <f aca="false">IF('CARNET DE SOUDURE'!E544="","",'CARNET DE SOUDURE'!AL544)</f>
        <v/>
      </c>
      <c r="G544" s="81" t="str">
        <f aca="false">IF('CARNET DE SOUDURE'!E544="","",'CARNET DE SOUDURE'!AM544)</f>
        <v>À SOUDER</v>
      </c>
      <c r="H544" s="81" t="str">
        <f aca="false">IF(C544="","",IF(G544="ACCEPTÉ","OUI","NON"))</f>
        <v>NON</v>
      </c>
      <c r="I544" s="82"/>
      <c r="J544" s="79"/>
      <c r="K544" s="80"/>
      <c r="L544" s="80"/>
      <c r="M544" s="80"/>
      <c r="N544" s="83" t="str">
        <f aca="false">IF(C544="","",IF(I544="",IF(H544="OUI","À ENROBER",IF(G544="À SOUDER","NON SOUDÉ","EN ATTENTE RT")),IF(L544="R","À REPRENDRE",IF(H544&lt;&gt;"OUI","⚠ ENROBÉ AVANT ACCEPTATION RT","ENROBÉ"))))</f>
        <v>NON SOUDÉ</v>
      </c>
      <c r="O544" s="79"/>
    </row>
    <row r="545" customFormat="false" ht="15" hidden="false" customHeight="false" outlineLevel="0" collapsed="false">
      <c r="A545" s="78" t="n">
        <f aca="false">IF('CARNET DE SOUDURE'!E545="","",'CARNET DE SOUDURE'!A545)</f>
        <v>539</v>
      </c>
      <c r="B545" s="93" t="str">
        <f aca="false">IF('CARNET DE SOUDURE'!E545="","",'CARNET DE SOUDURE'!B545&amp;"")</f>
        <v>ISB-303</v>
      </c>
      <c r="C545" s="83" t="str">
        <f aca="false">IF('CARNET DE SOUDURE'!E545="","",'CARNET DE SOUDURE'!E545)</f>
        <v>JN°134</v>
      </c>
      <c r="D545" s="78" t="str">
        <f aca="false">IF('CARNET DE SOUDURE'!E545="","",'CARNET DE SOUDURE'!D545&amp;"")</f>
        <v/>
      </c>
      <c r="E545" s="96" t="str">
        <f aca="false">IF(OR('CARNET DE SOUDURE'!E545="",'CARNET DE SOUDURE'!R545=""),"",'CARNET DE SOUDURE'!R545)</f>
        <v/>
      </c>
      <c r="F545" s="81" t="str">
        <f aca="false">IF('CARNET DE SOUDURE'!E545="","",'CARNET DE SOUDURE'!AL545)</f>
        <v/>
      </c>
      <c r="G545" s="81" t="str">
        <f aca="false">IF('CARNET DE SOUDURE'!E545="","",'CARNET DE SOUDURE'!AM545)</f>
        <v>À SOUDER</v>
      </c>
      <c r="H545" s="81" t="str">
        <f aca="false">IF(C545="","",IF(G545="ACCEPTÉ","OUI","NON"))</f>
        <v>NON</v>
      </c>
      <c r="I545" s="82"/>
      <c r="J545" s="79"/>
      <c r="K545" s="80"/>
      <c r="L545" s="80"/>
      <c r="M545" s="80"/>
      <c r="N545" s="83" t="str">
        <f aca="false">IF(C545="","",IF(I545="",IF(H545="OUI","À ENROBER",IF(G545="À SOUDER","NON SOUDÉ","EN ATTENTE RT")),IF(L545="R","À REPRENDRE",IF(H545&lt;&gt;"OUI","⚠ ENROBÉ AVANT ACCEPTATION RT","ENROBÉ"))))</f>
        <v>NON SOUDÉ</v>
      </c>
      <c r="O545" s="79"/>
    </row>
    <row r="546" customFormat="false" ht="15" hidden="false" customHeight="false" outlineLevel="0" collapsed="false">
      <c r="A546" s="78" t="n">
        <f aca="false">IF('CARNET DE SOUDURE'!E546="","",'CARNET DE SOUDURE'!A546)</f>
        <v>540</v>
      </c>
      <c r="B546" s="93" t="str">
        <f aca="false">IF('CARNET DE SOUDURE'!E546="","",'CARNET DE SOUDURE'!B546&amp;"")</f>
        <v>ISB-303</v>
      </c>
      <c r="C546" s="83" t="str">
        <f aca="false">IF('CARNET DE SOUDURE'!E546="","",'CARNET DE SOUDURE'!E546)</f>
        <v>JN°135</v>
      </c>
      <c r="D546" s="78" t="str">
        <f aca="false">IF('CARNET DE SOUDURE'!E546="","",'CARNET DE SOUDURE'!D546&amp;"")</f>
        <v/>
      </c>
      <c r="E546" s="96" t="str">
        <f aca="false">IF(OR('CARNET DE SOUDURE'!E546="",'CARNET DE SOUDURE'!R546=""),"",'CARNET DE SOUDURE'!R546)</f>
        <v/>
      </c>
      <c r="F546" s="81" t="str">
        <f aca="false">IF('CARNET DE SOUDURE'!E546="","",'CARNET DE SOUDURE'!AL546)</f>
        <v/>
      </c>
      <c r="G546" s="81" t="str">
        <f aca="false">IF('CARNET DE SOUDURE'!E546="","",'CARNET DE SOUDURE'!AM546)</f>
        <v>À SOUDER</v>
      </c>
      <c r="H546" s="81" t="str">
        <f aca="false">IF(C546="","",IF(G546="ACCEPTÉ","OUI","NON"))</f>
        <v>NON</v>
      </c>
      <c r="I546" s="82"/>
      <c r="J546" s="79"/>
      <c r="K546" s="80"/>
      <c r="L546" s="80"/>
      <c r="M546" s="80"/>
      <c r="N546" s="83" t="str">
        <f aca="false">IF(C546="","",IF(I546="",IF(H546="OUI","À ENROBER",IF(G546="À SOUDER","NON SOUDÉ","EN ATTENTE RT")),IF(L546="R","À REPRENDRE",IF(H546&lt;&gt;"OUI","⚠ ENROBÉ AVANT ACCEPTATION RT","ENROBÉ"))))</f>
        <v>NON SOUDÉ</v>
      </c>
      <c r="O546" s="79"/>
    </row>
    <row r="547" customFormat="false" ht="15" hidden="false" customHeight="false" outlineLevel="0" collapsed="false">
      <c r="A547" s="78" t="n">
        <f aca="false">IF('CARNET DE SOUDURE'!E547="","",'CARNET DE SOUDURE'!A547)</f>
        <v>541</v>
      </c>
      <c r="B547" s="93" t="str">
        <f aca="false">IF('CARNET DE SOUDURE'!E547="","",'CARNET DE SOUDURE'!B547&amp;"")</f>
        <v>ISB-303</v>
      </c>
      <c r="C547" s="83" t="str">
        <f aca="false">IF('CARNET DE SOUDURE'!E547="","",'CARNET DE SOUDURE'!E547)</f>
        <v>JN°136</v>
      </c>
      <c r="D547" s="78" t="str">
        <f aca="false">IF('CARNET DE SOUDURE'!E547="","",'CARNET DE SOUDURE'!D547&amp;"")</f>
        <v/>
      </c>
      <c r="E547" s="96" t="str">
        <f aca="false">IF(OR('CARNET DE SOUDURE'!E547="",'CARNET DE SOUDURE'!R547=""),"",'CARNET DE SOUDURE'!R547)</f>
        <v/>
      </c>
      <c r="F547" s="81" t="str">
        <f aca="false">IF('CARNET DE SOUDURE'!E547="","",'CARNET DE SOUDURE'!AL547)</f>
        <v/>
      </c>
      <c r="G547" s="81" t="str">
        <f aca="false">IF('CARNET DE SOUDURE'!E547="","",'CARNET DE SOUDURE'!AM547)</f>
        <v>À SOUDER</v>
      </c>
      <c r="H547" s="81" t="str">
        <f aca="false">IF(C547="","",IF(G547="ACCEPTÉ","OUI","NON"))</f>
        <v>NON</v>
      </c>
      <c r="I547" s="82"/>
      <c r="J547" s="79"/>
      <c r="K547" s="80"/>
      <c r="L547" s="80"/>
      <c r="M547" s="80"/>
      <c r="N547" s="83" t="str">
        <f aca="false">IF(C547="","",IF(I547="",IF(H547="OUI","À ENROBER",IF(G547="À SOUDER","NON SOUDÉ","EN ATTENTE RT")),IF(L547="R","À REPRENDRE",IF(H547&lt;&gt;"OUI","⚠ ENROBÉ AVANT ACCEPTATION RT","ENROBÉ"))))</f>
        <v>NON SOUDÉ</v>
      </c>
      <c r="O547" s="79"/>
    </row>
    <row r="548" customFormat="false" ht="15" hidden="false" customHeight="false" outlineLevel="0" collapsed="false">
      <c r="A548" s="78" t="n">
        <f aca="false">IF('CARNET DE SOUDURE'!E548="","",'CARNET DE SOUDURE'!A548)</f>
        <v>542</v>
      </c>
      <c r="B548" s="93" t="str">
        <f aca="false">IF('CARNET DE SOUDURE'!E548="","",'CARNET DE SOUDURE'!B548&amp;"")</f>
        <v>ISB-303</v>
      </c>
      <c r="C548" s="83" t="str">
        <f aca="false">IF('CARNET DE SOUDURE'!E548="","",'CARNET DE SOUDURE'!E548)</f>
        <v>JN°137</v>
      </c>
      <c r="D548" s="78" t="str">
        <f aca="false">IF('CARNET DE SOUDURE'!E548="","",'CARNET DE SOUDURE'!D548&amp;"")</f>
        <v/>
      </c>
      <c r="E548" s="96" t="str">
        <f aca="false">IF(OR('CARNET DE SOUDURE'!E548="",'CARNET DE SOUDURE'!R548=""),"",'CARNET DE SOUDURE'!R548)</f>
        <v/>
      </c>
      <c r="F548" s="81" t="str">
        <f aca="false">IF('CARNET DE SOUDURE'!E548="","",'CARNET DE SOUDURE'!AL548)</f>
        <v/>
      </c>
      <c r="G548" s="81" t="str">
        <f aca="false">IF('CARNET DE SOUDURE'!E548="","",'CARNET DE SOUDURE'!AM548)</f>
        <v>À SOUDER</v>
      </c>
      <c r="H548" s="81" t="str">
        <f aca="false">IF(C548="","",IF(G548="ACCEPTÉ","OUI","NON"))</f>
        <v>NON</v>
      </c>
      <c r="I548" s="82"/>
      <c r="J548" s="79"/>
      <c r="K548" s="80"/>
      <c r="L548" s="80"/>
      <c r="M548" s="80"/>
      <c r="N548" s="83" t="str">
        <f aca="false">IF(C548="","",IF(I548="",IF(H548="OUI","À ENROBER",IF(G548="À SOUDER","NON SOUDÉ","EN ATTENTE RT")),IF(L548="R","À REPRENDRE",IF(H548&lt;&gt;"OUI","⚠ ENROBÉ AVANT ACCEPTATION RT","ENROBÉ"))))</f>
        <v>NON SOUDÉ</v>
      </c>
      <c r="O548" s="79"/>
    </row>
    <row r="549" customFormat="false" ht="15" hidden="false" customHeight="false" outlineLevel="0" collapsed="false">
      <c r="A549" s="78" t="n">
        <f aca="false">IF('CARNET DE SOUDURE'!E549="","",'CARNET DE SOUDURE'!A549)</f>
        <v>543</v>
      </c>
      <c r="B549" s="93" t="str">
        <f aca="false">IF('CARNET DE SOUDURE'!E549="","",'CARNET DE SOUDURE'!B549&amp;"")</f>
        <v>ISB-303</v>
      </c>
      <c r="C549" s="83" t="str">
        <f aca="false">IF('CARNET DE SOUDURE'!E549="","",'CARNET DE SOUDURE'!E549)</f>
        <v>JN°138</v>
      </c>
      <c r="D549" s="78" t="str">
        <f aca="false">IF('CARNET DE SOUDURE'!E549="","",'CARNET DE SOUDURE'!D549&amp;"")</f>
        <v/>
      </c>
      <c r="E549" s="96" t="str">
        <f aca="false">IF(OR('CARNET DE SOUDURE'!E549="",'CARNET DE SOUDURE'!R549=""),"",'CARNET DE SOUDURE'!R549)</f>
        <v/>
      </c>
      <c r="F549" s="81" t="str">
        <f aca="false">IF('CARNET DE SOUDURE'!E549="","",'CARNET DE SOUDURE'!AL549)</f>
        <v/>
      </c>
      <c r="G549" s="81" t="str">
        <f aca="false">IF('CARNET DE SOUDURE'!E549="","",'CARNET DE SOUDURE'!AM549)</f>
        <v>À SOUDER</v>
      </c>
      <c r="H549" s="81" t="str">
        <f aca="false">IF(C549="","",IF(G549="ACCEPTÉ","OUI","NON"))</f>
        <v>NON</v>
      </c>
      <c r="I549" s="82"/>
      <c r="J549" s="79"/>
      <c r="K549" s="80"/>
      <c r="L549" s="80"/>
      <c r="M549" s="80"/>
      <c r="N549" s="83" t="str">
        <f aca="false">IF(C549="","",IF(I549="",IF(H549="OUI","À ENROBER",IF(G549="À SOUDER","NON SOUDÉ","EN ATTENTE RT")),IF(L549="R","À REPRENDRE",IF(H549&lt;&gt;"OUI","⚠ ENROBÉ AVANT ACCEPTATION RT","ENROBÉ"))))</f>
        <v>NON SOUDÉ</v>
      </c>
      <c r="O549" s="79"/>
    </row>
    <row r="550" customFormat="false" ht="15" hidden="false" customHeight="false" outlineLevel="0" collapsed="false">
      <c r="A550" s="78" t="n">
        <f aca="false">IF('CARNET DE SOUDURE'!E550="","",'CARNET DE SOUDURE'!A550)</f>
        <v>544</v>
      </c>
      <c r="B550" s="93" t="str">
        <f aca="false">IF('CARNET DE SOUDURE'!E550="","",'CARNET DE SOUDURE'!B550&amp;"")</f>
        <v>ISB-303</v>
      </c>
      <c r="C550" s="83" t="str">
        <f aca="false">IF('CARNET DE SOUDURE'!E550="","",'CARNET DE SOUDURE'!E550)</f>
        <v>JN°139</v>
      </c>
      <c r="D550" s="78" t="str">
        <f aca="false">IF('CARNET DE SOUDURE'!E550="","",'CARNET DE SOUDURE'!D550&amp;"")</f>
        <v/>
      </c>
      <c r="E550" s="96" t="str">
        <f aca="false">IF(OR('CARNET DE SOUDURE'!E550="",'CARNET DE SOUDURE'!R550=""),"",'CARNET DE SOUDURE'!R550)</f>
        <v/>
      </c>
      <c r="F550" s="81" t="str">
        <f aca="false">IF('CARNET DE SOUDURE'!E550="","",'CARNET DE SOUDURE'!AL550)</f>
        <v/>
      </c>
      <c r="G550" s="81" t="str">
        <f aca="false">IF('CARNET DE SOUDURE'!E550="","",'CARNET DE SOUDURE'!AM550)</f>
        <v>À SOUDER</v>
      </c>
      <c r="H550" s="81" t="str">
        <f aca="false">IF(C550="","",IF(G550="ACCEPTÉ","OUI","NON"))</f>
        <v>NON</v>
      </c>
      <c r="I550" s="82"/>
      <c r="J550" s="79"/>
      <c r="K550" s="80"/>
      <c r="L550" s="80"/>
      <c r="M550" s="80"/>
      <c r="N550" s="83" t="str">
        <f aca="false">IF(C550="","",IF(I550="",IF(H550="OUI","À ENROBER",IF(G550="À SOUDER","NON SOUDÉ","EN ATTENTE RT")),IF(L550="R","À REPRENDRE",IF(H550&lt;&gt;"OUI","⚠ ENROBÉ AVANT ACCEPTATION RT","ENROBÉ"))))</f>
        <v>NON SOUDÉ</v>
      </c>
      <c r="O550" s="79"/>
    </row>
    <row r="551" customFormat="false" ht="15" hidden="false" customHeight="false" outlineLevel="0" collapsed="false">
      <c r="A551" s="78" t="n">
        <f aca="false">IF('CARNET DE SOUDURE'!E551="","",'CARNET DE SOUDURE'!A551)</f>
        <v>545</v>
      </c>
      <c r="B551" s="93" t="str">
        <f aca="false">IF('CARNET DE SOUDURE'!E551="","",'CARNET DE SOUDURE'!B551&amp;"")</f>
        <v>ISB-303</v>
      </c>
      <c r="C551" s="83" t="str">
        <f aca="false">IF('CARNET DE SOUDURE'!E551="","",'CARNET DE SOUDURE'!E551)</f>
        <v>JN°140</v>
      </c>
      <c r="D551" s="78" t="str">
        <f aca="false">IF('CARNET DE SOUDURE'!E551="","",'CARNET DE SOUDURE'!D551&amp;"")</f>
        <v/>
      </c>
      <c r="E551" s="96" t="str">
        <f aca="false">IF(OR('CARNET DE SOUDURE'!E551="",'CARNET DE SOUDURE'!R551=""),"",'CARNET DE SOUDURE'!R551)</f>
        <v/>
      </c>
      <c r="F551" s="81" t="str">
        <f aca="false">IF('CARNET DE SOUDURE'!E551="","",'CARNET DE SOUDURE'!AL551)</f>
        <v/>
      </c>
      <c r="G551" s="81" t="str">
        <f aca="false">IF('CARNET DE SOUDURE'!E551="","",'CARNET DE SOUDURE'!AM551)</f>
        <v>À SOUDER</v>
      </c>
      <c r="H551" s="81" t="str">
        <f aca="false">IF(C551="","",IF(G551="ACCEPTÉ","OUI","NON"))</f>
        <v>NON</v>
      </c>
      <c r="I551" s="82"/>
      <c r="J551" s="79"/>
      <c r="K551" s="80"/>
      <c r="L551" s="80"/>
      <c r="M551" s="80"/>
      <c r="N551" s="83" t="str">
        <f aca="false">IF(C551="","",IF(I551="",IF(H551="OUI","À ENROBER",IF(G551="À SOUDER","NON SOUDÉ","EN ATTENTE RT")),IF(L551="R","À REPRENDRE",IF(H551&lt;&gt;"OUI","⚠ ENROBÉ AVANT ACCEPTATION RT","ENROBÉ"))))</f>
        <v>NON SOUDÉ</v>
      </c>
      <c r="O551" s="79"/>
    </row>
    <row r="552" customFormat="false" ht="15" hidden="false" customHeight="false" outlineLevel="0" collapsed="false">
      <c r="A552" s="78" t="n">
        <f aca="false">IF('CARNET DE SOUDURE'!E552="","",'CARNET DE SOUDURE'!A552)</f>
        <v>546</v>
      </c>
      <c r="B552" s="93" t="str">
        <f aca="false">IF('CARNET DE SOUDURE'!E552="","",'CARNET DE SOUDURE'!B552&amp;"")</f>
        <v>ISB-303</v>
      </c>
      <c r="C552" s="83" t="str">
        <f aca="false">IF('CARNET DE SOUDURE'!E552="","",'CARNET DE SOUDURE'!E552)</f>
        <v>JN°141</v>
      </c>
      <c r="D552" s="78" t="str">
        <f aca="false">IF('CARNET DE SOUDURE'!E552="","",'CARNET DE SOUDURE'!D552&amp;"")</f>
        <v/>
      </c>
      <c r="E552" s="96" t="str">
        <f aca="false">IF(OR('CARNET DE SOUDURE'!E552="",'CARNET DE SOUDURE'!R552=""),"",'CARNET DE SOUDURE'!R552)</f>
        <v/>
      </c>
      <c r="F552" s="81" t="str">
        <f aca="false">IF('CARNET DE SOUDURE'!E552="","",'CARNET DE SOUDURE'!AL552)</f>
        <v/>
      </c>
      <c r="G552" s="81" t="str">
        <f aca="false">IF('CARNET DE SOUDURE'!E552="","",'CARNET DE SOUDURE'!AM552)</f>
        <v>À SOUDER</v>
      </c>
      <c r="H552" s="81" t="str">
        <f aca="false">IF(C552="","",IF(G552="ACCEPTÉ","OUI","NON"))</f>
        <v>NON</v>
      </c>
      <c r="I552" s="82"/>
      <c r="J552" s="79"/>
      <c r="K552" s="80"/>
      <c r="L552" s="80"/>
      <c r="M552" s="80"/>
      <c r="N552" s="83" t="str">
        <f aca="false">IF(C552="","",IF(I552="",IF(H552="OUI","À ENROBER",IF(G552="À SOUDER","NON SOUDÉ","EN ATTENTE RT")),IF(L552="R","À REPRENDRE",IF(H552&lt;&gt;"OUI","⚠ ENROBÉ AVANT ACCEPTATION RT","ENROBÉ"))))</f>
        <v>NON SOUDÉ</v>
      </c>
      <c r="O552" s="79"/>
    </row>
    <row r="553" customFormat="false" ht="15" hidden="false" customHeight="false" outlineLevel="0" collapsed="false">
      <c r="A553" s="78" t="n">
        <f aca="false">IF('CARNET DE SOUDURE'!E553="","",'CARNET DE SOUDURE'!A553)</f>
        <v>547</v>
      </c>
      <c r="B553" s="93" t="str">
        <f aca="false">IF('CARNET DE SOUDURE'!E553="","",'CARNET DE SOUDURE'!B553&amp;"")</f>
        <v>ISB-303</v>
      </c>
      <c r="C553" s="83" t="str">
        <f aca="false">IF('CARNET DE SOUDURE'!E553="","",'CARNET DE SOUDURE'!E553)</f>
        <v>JN°142</v>
      </c>
      <c r="D553" s="78" t="str">
        <f aca="false">IF('CARNET DE SOUDURE'!E553="","",'CARNET DE SOUDURE'!D553&amp;"")</f>
        <v/>
      </c>
      <c r="E553" s="96" t="str">
        <f aca="false">IF(OR('CARNET DE SOUDURE'!E553="",'CARNET DE SOUDURE'!R553=""),"",'CARNET DE SOUDURE'!R553)</f>
        <v/>
      </c>
      <c r="F553" s="81" t="str">
        <f aca="false">IF('CARNET DE SOUDURE'!E553="","",'CARNET DE SOUDURE'!AL553)</f>
        <v/>
      </c>
      <c r="G553" s="81" t="str">
        <f aca="false">IF('CARNET DE SOUDURE'!E553="","",'CARNET DE SOUDURE'!AM553)</f>
        <v>À SOUDER</v>
      </c>
      <c r="H553" s="81" t="str">
        <f aca="false">IF(C553="","",IF(G553="ACCEPTÉ","OUI","NON"))</f>
        <v>NON</v>
      </c>
      <c r="I553" s="82"/>
      <c r="J553" s="79"/>
      <c r="K553" s="80"/>
      <c r="L553" s="80"/>
      <c r="M553" s="80"/>
      <c r="N553" s="83" t="str">
        <f aca="false">IF(C553="","",IF(I553="",IF(H553="OUI","À ENROBER",IF(G553="À SOUDER","NON SOUDÉ","EN ATTENTE RT")),IF(L553="R","À REPRENDRE",IF(H553&lt;&gt;"OUI","⚠ ENROBÉ AVANT ACCEPTATION RT","ENROBÉ"))))</f>
        <v>NON SOUDÉ</v>
      </c>
      <c r="O553" s="79"/>
    </row>
    <row r="554" customFormat="false" ht="15" hidden="false" customHeight="false" outlineLevel="0" collapsed="false">
      <c r="A554" s="78" t="n">
        <f aca="false">IF('CARNET DE SOUDURE'!E554="","",'CARNET DE SOUDURE'!A554)</f>
        <v>548</v>
      </c>
      <c r="B554" s="93" t="str">
        <f aca="false">IF('CARNET DE SOUDURE'!E554="","",'CARNET DE SOUDURE'!B554&amp;"")</f>
        <v>ISB-303</v>
      </c>
      <c r="C554" s="83" t="str">
        <f aca="false">IF('CARNET DE SOUDURE'!E554="","",'CARNET DE SOUDURE'!E554)</f>
        <v>JN°143</v>
      </c>
      <c r="D554" s="78" t="str">
        <f aca="false">IF('CARNET DE SOUDURE'!E554="","",'CARNET DE SOUDURE'!D554&amp;"")</f>
        <v/>
      </c>
      <c r="E554" s="96" t="str">
        <f aca="false">IF(OR('CARNET DE SOUDURE'!E554="",'CARNET DE SOUDURE'!R554=""),"",'CARNET DE SOUDURE'!R554)</f>
        <v/>
      </c>
      <c r="F554" s="81" t="str">
        <f aca="false">IF('CARNET DE SOUDURE'!E554="","",'CARNET DE SOUDURE'!AL554)</f>
        <v/>
      </c>
      <c r="G554" s="81" t="str">
        <f aca="false">IF('CARNET DE SOUDURE'!E554="","",'CARNET DE SOUDURE'!AM554)</f>
        <v>À SOUDER</v>
      </c>
      <c r="H554" s="81" t="str">
        <f aca="false">IF(C554="","",IF(G554="ACCEPTÉ","OUI","NON"))</f>
        <v>NON</v>
      </c>
      <c r="I554" s="82"/>
      <c r="J554" s="79"/>
      <c r="K554" s="80"/>
      <c r="L554" s="80"/>
      <c r="M554" s="80"/>
      <c r="N554" s="83" t="str">
        <f aca="false">IF(C554="","",IF(I554="",IF(H554="OUI","À ENROBER",IF(G554="À SOUDER","NON SOUDÉ","EN ATTENTE RT")),IF(L554="R","À REPRENDRE",IF(H554&lt;&gt;"OUI","⚠ ENROBÉ AVANT ACCEPTATION RT","ENROBÉ"))))</f>
        <v>NON SOUDÉ</v>
      </c>
      <c r="O554" s="79"/>
    </row>
    <row r="555" customFormat="false" ht="15" hidden="false" customHeight="false" outlineLevel="0" collapsed="false">
      <c r="A555" s="78" t="n">
        <f aca="false">IF('CARNET DE SOUDURE'!E555="","",'CARNET DE SOUDURE'!A555)</f>
        <v>549</v>
      </c>
      <c r="B555" s="93" t="str">
        <f aca="false">IF('CARNET DE SOUDURE'!E555="","",'CARNET DE SOUDURE'!B555&amp;"")</f>
        <v>ISB-303</v>
      </c>
      <c r="C555" s="83" t="str">
        <f aca="false">IF('CARNET DE SOUDURE'!E555="","",'CARNET DE SOUDURE'!E555)</f>
        <v>JN°144</v>
      </c>
      <c r="D555" s="78" t="str">
        <f aca="false">IF('CARNET DE SOUDURE'!E555="","",'CARNET DE SOUDURE'!D555&amp;"")</f>
        <v/>
      </c>
      <c r="E555" s="96" t="str">
        <f aca="false">IF(OR('CARNET DE SOUDURE'!E555="",'CARNET DE SOUDURE'!R555=""),"",'CARNET DE SOUDURE'!R555)</f>
        <v/>
      </c>
      <c r="F555" s="81" t="str">
        <f aca="false">IF('CARNET DE SOUDURE'!E555="","",'CARNET DE SOUDURE'!AL555)</f>
        <v/>
      </c>
      <c r="G555" s="81" t="str">
        <f aca="false">IF('CARNET DE SOUDURE'!E555="","",'CARNET DE SOUDURE'!AM555)</f>
        <v>À SOUDER</v>
      </c>
      <c r="H555" s="81" t="str">
        <f aca="false">IF(C555="","",IF(G555="ACCEPTÉ","OUI","NON"))</f>
        <v>NON</v>
      </c>
      <c r="I555" s="82"/>
      <c r="J555" s="79"/>
      <c r="K555" s="80"/>
      <c r="L555" s="80"/>
      <c r="M555" s="80"/>
      <c r="N555" s="83" t="str">
        <f aca="false">IF(C555="","",IF(I555="",IF(H555="OUI","À ENROBER",IF(G555="À SOUDER","NON SOUDÉ","EN ATTENTE RT")),IF(L555="R","À REPRENDRE",IF(H555&lt;&gt;"OUI","⚠ ENROBÉ AVANT ACCEPTATION RT","ENROBÉ"))))</f>
        <v>NON SOUDÉ</v>
      </c>
      <c r="O555" s="79"/>
    </row>
    <row r="556" customFormat="false" ht="15" hidden="false" customHeight="false" outlineLevel="0" collapsed="false">
      <c r="A556" s="78" t="n">
        <f aca="false">IF('CARNET DE SOUDURE'!E556="","",'CARNET DE SOUDURE'!A556)</f>
        <v>550</v>
      </c>
      <c r="B556" s="93" t="str">
        <f aca="false">IF('CARNET DE SOUDURE'!E556="","",'CARNET DE SOUDURE'!B556&amp;"")</f>
        <v>ISB-303</v>
      </c>
      <c r="C556" s="83" t="str">
        <f aca="false">IF('CARNET DE SOUDURE'!E556="","",'CARNET DE SOUDURE'!E556)</f>
        <v>JN°145</v>
      </c>
      <c r="D556" s="78" t="str">
        <f aca="false">IF('CARNET DE SOUDURE'!E556="","",'CARNET DE SOUDURE'!D556&amp;"")</f>
        <v/>
      </c>
      <c r="E556" s="96" t="str">
        <f aca="false">IF(OR('CARNET DE SOUDURE'!E556="",'CARNET DE SOUDURE'!R556=""),"",'CARNET DE SOUDURE'!R556)</f>
        <v/>
      </c>
      <c r="F556" s="81" t="str">
        <f aca="false">IF('CARNET DE SOUDURE'!E556="","",'CARNET DE SOUDURE'!AL556)</f>
        <v/>
      </c>
      <c r="G556" s="81" t="str">
        <f aca="false">IF('CARNET DE SOUDURE'!E556="","",'CARNET DE SOUDURE'!AM556)</f>
        <v>À SOUDER</v>
      </c>
      <c r="H556" s="81" t="str">
        <f aca="false">IF(C556="","",IF(G556="ACCEPTÉ","OUI","NON"))</f>
        <v>NON</v>
      </c>
      <c r="I556" s="82"/>
      <c r="J556" s="79"/>
      <c r="K556" s="80"/>
      <c r="L556" s="80"/>
      <c r="M556" s="80"/>
      <c r="N556" s="83" t="str">
        <f aca="false">IF(C556="","",IF(I556="",IF(H556="OUI","À ENROBER",IF(G556="À SOUDER","NON SOUDÉ","EN ATTENTE RT")),IF(L556="R","À REPRENDRE",IF(H556&lt;&gt;"OUI","⚠ ENROBÉ AVANT ACCEPTATION RT","ENROBÉ"))))</f>
        <v>NON SOUDÉ</v>
      </c>
      <c r="O556" s="79"/>
    </row>
    <row r="557" customFormat="false" ht="15" hidden="false" customHeight="false" outlineLevel="0" collapsed="false">
      <c r="A557" s="78" t="n">
        <f aca="false">IF('CARNET DE SOUDURE'!E557="","",'CARNET DE SOUDURE'!A557)</f>
        <v>551</v>
      </c>
      <c r="B557" s="93" t="str">
        <f aca="false">IF('CARNET DE SOUDURE'!E557="","",'CARNET DE SOUDURE'!B557&amp;"")</f>
        <v>ISB-303</v>
      </c>
      <c r="C557" s="83" t="str">
        <f aca="false">IF('CARNET DE SOUDURE'!E557="","",'CARNET DE SOUDURE'!E557)</f>
        <v>JN°146</v>
      </c>
      <c r="D557" s="78" t="str">
        <f aca="false">IF('CARNET DE SOUDURE'!E557="","",'CARNET DE SOUDURE'!D557&amp;"")</f>
        <v/>
      </c>
      <c r="E557" s="96" t="str">
        <f aca="false">IF(OR('CARNET DE SOUDURE'!E557="",'CARNET DE SOUDURE'!R557=""),"",'CARNET DE SOUDURE'!R557)</f>
        <v/>
      </c>
      <c r="F557" s="81" t="str">
        <f aca="false">IF('CARNET DE SOUDURE'!E557="","",'CARNET DE SOUDURE'!AL557)</f>
        <v/>
      </c>
      <c r="G557" s="81" t="str">
        <f aca="false">IF('CARNET DE SOUDURE'!E557="","",'CARNET DE SOUDURE'!AM557)</f>
        <v>À SOUDER</v>
      </c>
      <c r="H557" s="81" t="str">
        <f aca="false">IF(C557="","",IF(G557="ACCEPTÉ","OUI","NON"))</f>
        <v>NON</v>
      </c>
      <c r="I557" s="82"/>
      <c r="J557" s="79"/>
      <c r="K557" s="80"/>
      <c r="L557" s="80"/>
      <c r="M557" s="80"/>
      <c r="N557" s="83" t="str">
        <f aca="false">IF(C557="","",IF(I557="",IF(H557="OUI","À ENROBER",IF(G557="À SOUDER","NON SOUDÉ","EN ATTENTE RT")),IF(L557="R","À REPRENDRE",IF(H557&lt;&gt;"OUI","⚠ ENROBÉ AVANT ACCEPTATION RT","ENROBÉ"))))</f>
        <v>NON SOUDÉ</v>
      </c>
      <c r="O557" s="79"/>
    </row>
    <row r="558" customFormat="false" ht="15" hidden="false" customHeight="false" outlineLevel="0" collapsed="false">
      <c r="A558" s="78" t="n">
        <f aca="false">IF('CARNET DE SOUDURE'!E558="","",'CARNET DE SOUDURE'!A558)</f>
        <v>552</v>
      </c>
      <c r="B558" s="93" t="str">
        <f aca="false">IF('CARNET DE SOUDURE'!E558="","",'CARNET DE SOUDURE'!B558&amp;"")</f>
        <v>ISB-303</v>
      </c>
      <c r="C558" s="83" t="str">
        <f aca="false">IF('CARNET DE SOUDURE'!E558="","",'CARNET DE SOUDURE'!E558)</f>
        <v>JN°147</v>
      </c>
      <c r="D558" s="78" t="str">
        <f aca="false">IF('CARNET DE SOUDURE'!E558="","",'CARNET DE SOUDURE'!D558&amp;"")</f>
        <v/>
      </c>
      <c r="E558" s="96" t="str">
        <f aca="false">IF(OR('CARNET DE SOUDURE'!E558="",'CARNET DE SOUDURE'!R558=""),"",'CARNET DE SOUDURE'!R558)</f>
        <v/>
      </c>
      <c r="F558" s="81" t="str">
        <f aca="false">IF('CARNET DE SOUDURE'!E558="","",'CARNET DE SOUDURE'!AL558)</f>
        <v/>
      </c>
      <c r="G558" s="81" t="str">
        <f aca="false">IF('CARNET DE SOUDURE'!E558="","",'CARNET DE SOUDURE'!AM558)</f>
        <v>À SOUDER</v>
      </c>
      <c r="H558" s="81" t="str">
        <f aca="false">IF(C558="","",IF(G558="ACCEPTÉ","OUI","NON"))</f>
        <v>NON</v>
      </c>
      <c r="I558" s="82"/>
      <c r="J558" s="79"/>
      <c r="K558" s="80"/>
      <c r="L558" s="80"/>
      <c r="M558" s="80"/>
      <c r="N558" s="83" t="str">
        <f aca="false">IF(C558="","",IF(I558="",IF(H558="OUI","À ENROBER",IF(G558="À SOUDER","NON SOUDÉ","EN ATTENTE RT")),IF(L558="R","À REPRENDRE",IF(H558&lt;&gt;"OUI","⚠ ENROBÉ AVANT ACCEPTATION RT","ENROBÉ"))))</f>
        <v>NON SOUDÉ</v>
      </c>
      <c r="O558" s="79"/>
    </row>
    <row r="559" customFormat="false" ht="15" hidden="false" customHeight="false" outlineLevel="0" collapsed="false">
      <c r="A559" s="78" t="n">
        <f aca="false">IF('CARNET DE SOUDURE'!E559="","",'CARNET DE SOUDURE'!A559)</f>
        <v>553</v>
      </c>
      <c r="B559" s="93" t="str">
        <f aca="false">IF('CARNET DE SOUDURE'!E559="","",'CARNET DE SOUDURE'!B559&amp;"")</f>
        <v>ISB-303</v>
      </c>
      <c r="C559" s="83" t="str">
        <f aca="false">IF('CARNET DE SOUDURE'!E559="","",'CARNET DE SOUDURE'!E559)</f>
        <v>JN°148</v>
      </c>
      <c r="D559" s="78" t="str">
        <f aca="false">IF('CARNET DE SOUDURE'!E559="","",'CARNET DE SOUDURE'!D559&amp;"")</f>
        <v/>
      </c>
      <c r="E559" s="96" t="str">
        <f aca="false">IF(OR('CARNET DE SOUDURE'!E559="",'CARNET DE SOUDURE'!R559=""),"",'CARNET DE SOUDURE'!R559)</f>
        <v/>
      </c>
      <c r="F559" s="81" t="str">
        <f aca="false">IF('CARNET DE SOUDURE'!E559="","",'CARNET DE SOUDURE'!AL559)</f>
        <v/>
      </c>
      <c r="G559" s="81" t="str">
        <f aca="false">IF('CARNET DE SOUDURE'!E559="","",'CARNET DE SOUDURE'!AM559)</f>
        <v>À SOUDER</v>
      </c>
      <c r="H559" s="81" t="str">
        <f aca="false">IF(C559="","",IF(G559="ACCEPTÉ","OUI","NON"))</f>
        <v>NON</v>
      </c>
      <c r="I559" s="82"/>
      <c r="J559" s="79"/>
      <c r="K559" s="80"/>
      <c r="L559" s="80"/>
      <c r="M559" s="80"/>
      <c r="N559" s="83" t="str">
        <f aca="false">IF(C559="","",IF(I559="",IF(H559="OUI","À ENROBER",IF(G559="À SOUDER","NON SOUDÉ","EN ATTENTE RT")),IF(L559="R","À REPRENDRE",IF(H559&lt;&gt;"OUI","⚠ ENROBÉ AVANT ACCEPTATION RT","ENROBÉ"))))</f>
        <v>NON SOUDÉ</v>
      </c>
      <c r="O559" s="79"/>
    </row>
    <row r="560" customFormat="false" ht="15" hidden="false" customHeight="false" outlineLevel="0" collapsed="false">
      <c r="A560" s="78" t="n">
        <f aca="false">IF('CARNET DE SOUDURE'!E560="","",'CARNET DE SOUDURE'!A560)</f>
        <v>554</v>
      </c>
      <c r="B560" s="93" t="str">
        <f aca="false">IF('CARNET DE SOUDURE'!E560="","",'CARNET DE SOUDURE'!B560&amp;"")</f>
        <v>ISB-303</v>
      </c>
      <c r="C560" s="83" t="str">
        <f aca="false">IF('CARNET DE SOUDURE'!E560="","",'CARNET DE SOUDURE'!E560)</f>
        <v>JN°149</v>
      </c>
      <c r="D560" s="78" t="str">
        <f aca="false">IF('CARNET DE SOUDURE'!E560="","",'CARNET DE SOUDURE'!D560&amp;"")</f>
        <v/>
      </c>
      <c r="E560" s="96" t="str">
        <f aca="false">IF(OR('CARNET DE SOUDURE'!E560="",'CARNET DE SOUDURE'!R560=""),"",'CARNET DE SOUDURE'!R560)</f>
        <v/>
      </c>
      <c r="F560" s="81" t="str">
        <f aca="false">IF('CARNET DE SOUDURE'!E560="","",'CARNET DE SOUDURE'!AL560)</f>
        <v/>
      </c>
      <c r="G560" s="81" t="str">
        <f aca="false">IF('CARNET DE SOUDURE'!E560="","",'CARNET DE SOUDURE'!AM560)</f>
        <v>À SOUDER</v>
      </c>
      <c r="H560" s="81" t="str">
        <f aca="false">IF(C560="","",IF(G560="ACCEPTÉ","OUI","NON"))</f>
        <v>NON</v>
      </c>
      <c r="I560" s="82"/>
      <c r="J560" s="79"/>
      <c r="K560" s="80"/>
      <c r="L560" s="80"/>
      <c r="M560" s="80"/>
      <c r="N560" s="83" t="str">
        <f aca="false">IF(C560="","",IF(I560="",IF(H560="OUI","À ENROBER",IF(G560="À SOUDER","NON SOUDÉ","EN ATTENTE RT")),IF(L560="R","À REPRENDRE",IF(H560&lt;&gt;"OUI","⚠ ENROBÉ AVANT ACCEPTATION RT","ENROBÉ"))))</f>
        <v>NON SOUDÉ</v>
      </c>
      <c r="O560" s="79"/>
    </row>
    <row r="561" customFormat="false" ht="15" hidden="false" customHeight="false" outlineLevel="0" collapsed="false">
      <c r="A561" s="78" t="n">
        <f aca="false">IF('CARNET DE SOUDURE'!E561="","",'CARNET DE SOUDURE'!A561)</f>
        <v>555</v>
      </c>
      <c r="B561" s="93" t="str">
        <f aca="false">IF('CARNET DE SOUDURE'!E561="","",'CARNET DE SOUDURE'!B561&amp;"")</f>
        <v>ISB-303</v>
      </c>
      <c r="C561" s="83" t="str">
        <f aca="false">IF('CARNET DE SOUDURE'!E561="","",'CARNET DE SOUDURE'!E561)</f>
        <v>JN°150</v>
      </c>
      <c r="D561" s="78" t="str">
        <f aca="false">IF('CARNET DE SOUDURE'!E561="","",'CARNET DE SOUDURE'!D561&amp;"")</f>
        <v/>
      </c>
      <c r="E561" s="96" t="str">
        <f aca="false">IF(OR('CARNET DE SOUDURE'!E561="",'CARNET DE SOUDURE'!R561=""),"",'CARNET DE SOUDURE'!R561)</f>
        <v/>
      </c>
      <c r="F561" s="81" t="str">
        <f aca="false">IF('CARNET DE SOUDURE'!E561="","",'CARNET DE SOUDURE'!AL561)</f>
        <v/>
      </c>
      <c r="G561" s="81" t="str">
        <f aca="false">IF('CARNET DE SOUDURE'!E561="","",'CARNET DE SOUDURE'!AM561)</f>
        <v>À SOUDER</v>
      </c>
      <c r="H561" s="81" t="str">
        <f aca="false">IF(C561="","",IF(G561="ACCEPTÉ","OUI","NON"))</f>
        <v>NON</v>
      </c>
      <c r="I561" s="82"/>
      <c r="J561" s="79"/>
      <c r="K561" s="80"/>
      <c r="L561" s="80"/>
      <c r="M561" s="80"/>
      <c r="N561" s="83" t="str">
        <f aca="false">IF(C561="","",IF(I561="",IF(H561="OUI","À ENROBER",IF(G561="À SOUDER","NON SOUDÉ","EN ATTENTE RT")),IF(L561="R","À REPRENDRE",IF(H561&lt;&gt;"OUI","⚠ ENROBÉ AVANT ACCEPTATION RT","ENROBÉ"))))</f>
        <v>NON SOUDÉ</v>
      </c>
      <c r="O561" s="79"/>
    </row>
    <row r="562" customFormat="false" ht="15" hidden="false" customHeight="false" outlineLevel="0" collapsed="false">
      <c r="A562" s="78" t="n">
        <f aca="false">IF('CARNET DE SOUDURE'!E562="","",'CARNET DE SOUDURE'!A562)</f>
        <v>556</v>
      </c>
      <c r="B562" s="93" t="str">
        <f aca="false">IF('CARNET DE SOUDURE'!E562="","",'CARNET DE SOUDURE'!B562&amp;"")</f>
        <v>ISB-303</v>
      </c>
      <c r="C562" s="83" t="str">
        <f aca="false">IF('CARNET DE SOUDURE'!E562="","",'CARNET DE SOUDURE'!E562)</f>
        <v>JN°151</v>
      </c>
      <c r="D562" s="78" t="str">
        <f aca="false">IF('CARNET DE SOUDURE'!E562="","",'CARNET DE SOUDURE'!D562&amp;"")</f>
        <v/>
      </c>
      <c r="E562" s="96" t="str">
        <f aca="false">IF(OR('CARNET DE SOUDURE'!E562="",'CARNET DE SOUDURE'!R562=""),"",'CARNET DE SOUDURE'!R562)</f>
        <v/>
      </c>
      <c r="F562" s="81" t="str">
        <f aca="false">IF('CARNET DE SOUDURE'!E562="","",'CARNET DE SOUDURE'!AL562)</f>
        <v/>
      </c>
      <c r="G562" s="81" t="str">
        <f aca="false">IF('CARNET DE SOUDURE'!E562="","",'CARNET DE SOUDURE'!AM562)</f>
        <v>À SOUDER</v>
      </c>
      <c r="H562" s="81" t="str">
        <f aca="false">IF(C562="","",IF(G562="ACCEPTÉ","OUI","NON"))</f>
        <v>NON</v>
      </c>
      <c r="I562" s="82"/>
      <c r="J562" s="79"/>
      <c r="K562" s="80"/>
      <c r="L562" s="80"/>
      <c r="M562" s="80"/>
      <c r="N562" s="83" t="str">
        <f aca="false">IF(C562="","",IF(I562="",IF(H562="OUI","À ENROBER",IF(G562="À SOUDER","NON SOUDÉ","EN ATTENTE RT")),IF(L562="R","À REPRENDRE",IF(H562&lt;&gt;"OUI","⚠ ENROBÉ AVANT ACCEPTATION RT","ENROBÉ"))))</f>
        <v>NON SOUDÉ</v>
      </c>
      <c r="O562" s="79"/>
    </row>
    <row r="563" customFormat="false" ht="15" hidden="false" customHeight="false" outlineLevel="0" collapsed="false">
      <c r="A563" s="78" t="n">
        <f aca="false">IF('CARNET DE SOUDURE'!E563="","",'CARNET DE SOUDURE'!A563)</f>
        <v>557</v>
      </c>
      <c r="B563" s="93" t="str">
        <f aca="false">IF('CARNET DE SOUDURE'!E563="","",'CARNET DE SOUDURE'!B563&amp;"")</f>
        <v>ISB-303</v>
      </c>
      <c r="C563" s="83" t="str">
        <f aca="false">IF('CARNET DE SOUDURE'!E563="","",'CARNET DE SOUDURE'!E563)</f>
        <v>JN°152</v>
      </c>
      <c r="D563" s="78" t="str">
        <f aca="false">IF('CARNET DE SOUDURE'!E563="","",'CARNET DE SOUDURE'!D563&amp;"")</f>
        <v/>
      </c>
      <c r="E563" s="96" t="str">
        <f aca="false">IF(OR('CARNET DE SOUDURE'!E563="",'CARNET DE SOUDURE'!R563=""),"",'CARNET DE SOUDURE'!R563)</f>
        <v/>
      </c>
      <c r="F563" s="81" t="str">
        <f aca="false">IF('CARNET DE SOUDURE'!E563="","",'CARNET DE SOUDURE'!AL563)</f>
        <v/>
      </c>
      <c r="G563" s="81" t="str">
        <f aca="false">IF('CARNET DE SOUDURE'!E563="","",'CARNET DE SOUDURE'!AM563)</f>
        <v>À SOUDER</v>
      </c>
      <c r="H563" s="81" t="str">
        <f aca="false">IF(C563="","",IF(G563="ACCEPTÉ","OUI","NON"))</f>
        <v>NON</v>
      </c>
      <c r="I563" s="82"/>
      <c r="J563" s="79"/>
      <c r="K563" s="80"/>
      <c r="L563" s="80"/>
      <c r="M563" s="80"/>
      <c r="N563" s="83" t="str">
        <f aca="false">IF(C563="","",IF(I563="",IF(H563="OUI","À ENROBER",IF(G563="À SOUDER","NON SOUDÉ","EN ATTENTE RT")),IF(L563="R","À REPRENDRE",IF(H563&lt;&gt;"OUI","⚠ ENROBÉ AVANT ACCEPTATION RT","ENROBÉ"))))</f>
        <v>NON SOUDÉ</v>
      </c>
      <c r="O563" s="79"/>
    </row>
    <row r="564" customFormat="false" ht="15" hidden="false" customHeight="false" outlineLevel="0" collapsed="false">
      <c r="A564" s="78" t="n">
        <f aca="false">IF('CARNET DE SOUDURE'!E564="","",'CARNET DE SOUDURE'!A564)</f>
        <v>558</v>
      </c>
      <c r="B564" s="93" t="str">
        <f aca="false">IF('CARNET DE SOUDURE'!E564="","",'CARNET DE SOUDURE'!B564&amp;"")</f>
        <v>ISB-303</v>
      </c>
      <c r="C564" s="83" t="str">
        <f aca="false">IF('CARNET DE SOUDURE'!E564="","",'CARNET DE SOUDURE'!E564)</f>
        <v>JN°153</v>
      </c>
      <c r="D564" s="78" t="str">
        <f aca="false">IF('CARNET DE SOUDURE'!E564="","",'CARNET DE SOUDURE'!D564&amp;"")</f>
        <v/>
      </c>
      <c r="E564" s="96" t="str">
        <f aca="false">IF(OR('CARNET DE SOUDURE'!E564="",'CARNET DE SOUDURE'!R564=""),"",'CARNET DE SOUDURE'!R564)</f>
        <v/>
      </c>
      <c r="F564" s="81" t="str">
        <f aca="false">IF('CARNET DE SOUDURE'!E564="","",'CARNET DE SOUDURE'!AL564)</f>
        <v/>
      </c>
      <c r="G564" s="81" t="str">
        <f aca="false">IF('CARNET DE SOUDURE'!E564="","",'CARNET DE SOUDURE'!AM564)</f>
        <v>À SOUDER</v>
      </c>
      <c r="H564" s="81" t="str">
        <f aca="false">IF(C564="","",IF(G564="ACCEPTÉ","OUI","NON"))</f>
        <v>NON</v>
      </c>
      <c r="I564" s="82"/>
      <c r="J564" s="79"/>
      <c r="K564" s="80"/>
      <c r="L564" s="80"/>
      <c r="M564" s="80"/>
      <c r="N564" s="83" t="str">
        <f aca="false">IF(C564="","",IF(I564="",IF(H564="OUI","À ENROBER",IF(G564="À SOUDER","NON SOUDÉ","EN ATTENTE RT")),IF(L564="R","À REPRENDRE",IF(H564&lt;&gt;"OUI","⚠ ENROBÉ AVANT ACCEPTATION RT","ENROBÉ"))))</f>
        <v>NON SOUDÉ</v>
      </c>
      <c r="O564" s="79"/>
    </row>
    <row r="565" customFormat="false" ht="15" hidden="false" customHeight="false" outlineLevel="0" collapsed="false">
      <c r="A565" s="78" t="n">
        <f aca="false">IF('CARNET DE SOUDURE'!E565="","",'CARNET DE SOUDURE'!A565)</f>
        <v>559</v>
      </c>
      <c r="B565" s="93" t="str">
        <f aca="false">IF('CARNET DE SOUDURE'!E565="","",'CARNET DE SOUDURE'!B565&amp;"")</f>
        <v>ISB-303</v>
      </c>
      <c r="C565" s="83" t="str">
        <f aca="false">IF('CARNET DE SOUDURE'!E565="","",'CARNET DE SOUDURE'!E565)</f>
        <v>JN°154</v>
      </c>
      <c r="D565" s="78" t="str">
        <f aca="false">IF('CARNET DE SOUDURE'!E565="","",'CARNET DE SOUDURE'!D565&amp;"")</f>
        <v/>
      </c>
      <c r="E565" s="96" t="str">
        <f aca="false">IF(OR('CARNET DE SOUDURE'!E565="",'CARNET DE SOUDURE'!R565=""),"",'CARNET DE SOUDURE'!R565)</f>
        <v/>
      </c>
      <c r="F565" s="81" t="str">
        <f aca="false">IF('CARNET DE SOUDURE'!E565="","",'CARNET DE SOUDURE'!AL565)</f>
        <v/>
      </c>
      <c r="G565" s="81" t="str">
        <f aca="false">IF('CARNET DE SOUDURE'!E565="","",'CARNET DE SOUDURE'!AM565)</f>
        <v>À SOUDER</v>
      </c>
      <c r="H565" s="81" t="str">
        <f aca="false">IF(C565="","",IF(G565="ACCEPTÉ","OUI","NON"))</f>
        <v>NON</v>
      </c>
      <c r="I565" s="82"/>
      <c r="J565" s="79"/>
      <c r="K565" s="80"/>
      <c r="L565" s="80"/>
      <c r="M565" s="80"/>
      <c r="N565" s="83" t="str">
        <f aca="false">IF(C565="","",IF(I565="",IF(H565="OUI","À ENROBER",IF(G565="À SOUDER","NON SOUDÉ","EN ATTENTE RT")),IF(L565="R","À REPRENDRE",IF(H565&lt;&gt;"OUI","⚠ ENROBÉ AVANT ACCEPTATION RT","ENROBÉ"))))</f>
        <v>NON SOUDÉ</v>
      </c>
      <c r="O565" s="79"/>
    </row>
    <row r="566" customFormat="false" ht="15" hidden="false" customHeight="false" outlineLevel="0" collapsed="false">
      <c r="A566" s="78" t="n">
        <f aca="false">IF('CARNET DE SOUDURE'!E566="","",'CARNET DE SOUDURE'!A566)</f>
        <v>560</v>
      </c>
      <c r="B566" s="93" t="str">
        <f aca="false">IF('CARNET DE SOUDURE'!E566="","",'CARNET DE SOUDURE'!B566&amp;"")</f>
        <v>ISB-303</v>
      </c>
      <c r="C566" s="83" t="str">
        <f aca="false">IF('CARNET DE SOUDURE'!E566="","",'CARNET DE SOUDURE'!E566)</f>
        <v>JN°155</v>
      </c>
      <c r="D566" s="78" t="str">
        <f aca="false">IF('CARNET DE SOUDURE'!E566="","",'CARNET DE SOUDURE'!D566&amp;"")</f>
        <v/>
      </c>
      <c r="E566" s="96" t="str">
        <f aca="false">IF(OR('CARNET DE SOUDURE'!E566="",'CARNET DE SOUDURE'!R566=""),"",'CARNET DE SOUDURE'!R566)</f>
        <v/>
      </c>
      <c r="F566" s="81" t="str">
        <f aca="false">IF('CARNET DE SOUDURE'!E566="","",'CARNET DE SOUDURE'!AL566)</f>
        <v/>
      </c>
      <c r="G566" s="81" t="str">
        <f aca="false">IF('CARNET DE SOUDURE'!E566="","",'CARNET DE SOUDURE'!AM566)</f>
        <v>À SOUDER</v>
      </c>
      <c r="H566" s="81" t="str">
        <f aca="false">IF(C566="","",IF(G566="ACCEPTÉ","OUI","NON"))</f>
        <v>NON</v>
      </c>
      <c r="I566" s="82"/>
      <c r="J566" s="79"/>
      <c r="K566" s="80"/>
      <c r="L566" s="80"/>
      <c r="M566" s="80"/>
      <c r="N566" s="83" t="str">
        <f aca="false">IF(C566="","",IF(I566="",IF(H566="OUI","À ENROBER",IF(G566="À SOUDER","NON SOUDÉ","EN ATTENTE RT")),IF(L566="R","À REPRENDRE",IF(H566&lt;&gt;"OUI","⚠ ENROBÉ AVANT ACCEPTATION RT","ENROBÉ"))))</f>
        <v>NON SOUDÉ</v>
      </c>
      <c r="O566" s="79"/>
    </row>
    <row r="567" customFormat="false" ht="15" hidden="false" customHeight="false" outlineLevel="0" collapsed="false">
      <c r="A567" s="78" t="n">
        <f aca="false">IF('CARNET DE SOUDURE'!E567="","",'CARNET DE SOUDURE'!A567)</f>
        <v>561</v>
      </c>
      <c r="B567" s="93" t="str">
        <f aca="false">IF('CARNET DE SOUDURE'!E567="","",'CARNET DE SOUDURE'!B567&amp;"")</f>
        <v>ISB-303</v>
      </c>
      <c r="C567" s="83" t="str">
        <f aca="false">IF('CARNET DE SOUDURE'!E567="","",'CARNET DE SOUDURE'!E567)</f>
        <v>JN°156</v>
      </c>
      <c r="D567" s="78" t="str">
        <f aca="false">IF('CARNET DE SOUDURE'!E567="","",'CARNET DE SOUDURE'!D567&amp;"")</f>
        <v/>
      </c>
      <c r="E567" s="96" t="str">
        <f aca="false">IF(OR('CARNET DE SOUDURE'!E567="",'CARNET DE SOUDURE'!R567=""),"",'CARNET DE SOUDURE'!R567)</f>
        <v/>
      </c>
      <c r="F567" s="81" t="str">
        <f aca="false">IF('CARNET DE SOUDURE'!E567="","",'CARNET DE SOUDURE'!AL567)</f>
        <v/>
      </c>
      <c r="G567" s="81" t="str">
        <f aca="false">IF('CARNET DE SOUDURE'!E567="","",'CARNET DE SOUDURE'!AM567)</f>
        <v>À SOUDER</v>
      </c>
      <c r="H567" s="81" t="str">
        <f aca="false">IF(C567="","",IF(G567="ACCEPTÉ","OUI","NON"))</f>
        <v>NON</v>
      </c>
      <c r="I567" s="82"/>
      <c r="J567" s="79"/>
      <c r="K567" s="80"/>
      <c r="L567" s="80"/>
      <c r="M567" s="80"/>
      <c r="N567" s="83" t="str">
        <f aca="false">IF(C567="","",IF(I567="",IF(H567="OUI","À ENROBER",IF(G567="À SOUDER","NON SOUDÉ","EN ATTENTE RT")),IF(L567="R","À REPRENDRE",IF(H567&lt;&gt;"OUI","⚠ ENROBÉ AVANT ACCEPTATION RT","ENROBÉ"))))</f>
        <v>NON SOUDÉ</v>
      </c>
      <c r="O567" s="79"/>
    </row>
    <row r="568" customFormat="false" ht="15" hidden="false" customHeight="false" outlineLevel="0" collapsed="false">
      <c r="A568" s="78" t="n">
        <f aca="false">IF('CARNET DE SOUDURE'!E568="","",'CARNET DE SOUDURE'!A568)</f>
        <v>562</v>
      </c>
      <c r="B568" s="93" t="str">
        <f aca="false">IF('CARNET DE SOUDURE'!E568="","",'CARNET DE SOUDURE'!B568&amp;"")</f>
        <v>ISB-303</v>
      </c>
      <c r="C568" s="83" t="str">
        <f aca="false">IF('CARNET DE SOUDURE'!E568="","",'CARNET DE SOUDURE'!E568)</f>
        <v>JN°157</v>
      </c>
      <c r="D568" s="78" t="str">
        <f aca="false">IF('CARNET DE SOUDURE'!E568="","",'CARNET DE SOUDURE'!D568&amp;"")</f>
        <v/>
      </c>
      <c r="E568" s="96" t="str">
        <f aca="false">IF(OR('CARNET DE SOUDURE'!E568="",'CARNET DE SOUDURE'!R568=""),"",'CARNET DE SOUDURE'!R568)</f>
        <v/>
      </c>
      <c r="F568" s="81" t="str">
        <f aca="false">IF('CARNET DE SOUDURE'!E568="","",'CARNET DE SOUDURE'!AL568)</f>
        <v/>
      </c>
      <c r="G568" s="81" t="str">
        <f aca="false">IF('CARNET DE SOUDURE'!E568="","",'CARNET DE SOUDURE'!AM568)</f>
        <v>À SOUDER</v>
      </c>
      <c r="H568" s="81" t="str">
        <f aca="false">IF(C568="","",IF(G568="ACCEPTÉ","OUI","NON"))</f>
        <v>NON</v>
      </c>
      <c r="I568" s="82"/>
      <c r="J568" s="79"/>
      <c r="K568" s="80"/>
      <c r="L568" s="80"/>
      <c r="M568" s="80"/>
      <c r="N568" s="83" t="str">
        <f aca="false">IF(C568="","",IF(I568="",IF(H568="OUI","À ENROBER",IF(G568="À SOUDER","NON SOUDÉ","EN ATTENTE RT")),IF(L568="R","À REPRENDRE",IF(H568&lt;&gt;"OUI","⚠ ENROBÉ AVANT ACCEPTATION RT","ENROBÉ"))))</f>
        <v>NON SOUDÉ</v>
      </c>
      <c r="O568" s="79"/>
    </row>
    <row r="569" customFormat="false" ht="15" hidden="false" customHeight="false" outlineLevel="0" collapsed="false">
      <c r="A569" s="78" t="n">
        <f aca="false">IF('CARNET DE SOUDURE'!E569="","",'CARNET DE SOUDURE'!A569)</f>
        <v>563</v>
      </c>
      <c r="B569" s="93" t="str">
        <f aca="false">IF('CARNET DE SOUDURE'!E569="","",'CARNET DE SOUDURE'!B569&amp;"")</f>
        <v>ISB-303</v>
      </c>
      <c r="C569" s="83" t="str">
        <f aca="false">IF('CARNET DE SOUDURE'!E569="","",'CARNET DE SOUDURE'!E569)</f>
        <v>JN°158</v>
      </c>
      <c r="D569" s="78" t="str">
        <f aca="false">IF('CARNET DE SOUDURE'!E569="","",'CARNET DE SOUDURE'!D569&amp;"")</f>
        <v/>
      </c>
      <c r="E569" s="96" t="str">
        <f aca="false">IF(OR('CARNET DE SOUDURE'!E569="",'CARNET DE SOUDURE'!R569=""),"",'CARNET DE SOUDURE'!R569)</f>
        <v/>
      </c>
      <c r="F569" s="81" t="str">
        <f aca="false">IF('CARNET DE SOUDURE'!E569="","",'CARNET DE SOUDURE'!AL569)</f>
        <v/>
      </c>
      <c r="G569" s="81" t="str">
        <f aca="false">IF('CARNET DE SOUDURE'!E569="","",'CARNET DE SOUDURE'!AM569)</f>
        <v>À SOUDER</v>
      </c>
      <c r="H569" s="81" t="str">
        <f aca="false">IF(C569="","",IF(G569="ACCEPTÉ","OUI","NON"))</f>
        <v>NON</v>
      </c>
      <c r="I569" s="82"/>
      <c r="J569" s="79"/>
      <c r="K569" s="80"/>
      <c r="L569" s="80"/>
      <c r="M569" s="80"/>
      <c r="N569" s="83" t="str">
        <f aca="false">IF(C569="","",IF(I569="",IF(H569="OUI","À ENROBER",IF(G569="À SOUDER","NON SOUDÉ","EN ATTENTE RT")),IF(L569="R","À REPRENDRE",IF(H569&lt;&gt;"OUI","⚠ ENROBÉ AVANT ACCEPTATION RT","ENROBÉ"))))</f>
        <v>NON SOUDÉ</v>
      </c>
      <c r="O569" s="79"/>
    </row>
    <row r="570" customFormat="false" ht="15" hidden="false" customHeight="false" outlineLevel="0" collapsed="false">
      <c r="A570" s="78" t="n">
        <f aca="false">IF('CARNET DE SOUDURE'!E570="","",'CARNET DE SOUDURE'!A570)</f>
        <v>564</v>
      </c>
      <c r="B570" s="93" t="str">
        <f aca="false">IF('CARNET DE SOUDURE'!E570="","",'CARNET DE SOUDURE'!B570&amp;"")</f>
        <v>ISB-303</v>
      </c>
      <c r="C570" s="83" t="str">
        <f aca="false">IF('CARNET DE SOUDURE'!E570="","",'CARNET DE SOUDURE'!E570)</f>
        <v>JN°159</v>
      </c>
      <c r="D570" s="78" t="str">
        <f aca="false">IF('CARNET DE SOUDURE'!E570="","",'CARNET DE SOUDURE'!D570&amp;"")</f>
        <v/>
      </c>
      <c r="E570" s="96" t="str">
        <f aca="false">IF(OR('CARNET DE SOUDURE'!E570="",'CARNET DE SOUDURE'!R570=""),"",'CARNET DE SOUDURE'!R570)</f>
        <v/>
      </c>
      <c r="F570" s="81" t="str">
        <f aca="false">IF('CARNET DE SOUDURE'!E570="","",'CARNET DE SOUDURE'!AL570)</f>
        <v/>
      </c>
      <c r="G570" s="81" t="str">
        <f aca="false">IF('CARNET DE SOUDURE'!E570="","",'CARNET DE SOUDURE'!AM570)</f>
        <v>À SOUDER</v>
      </c>
      <c r="H570" s="81" t="str">
        <f aca="false">IF(C570="","",IF(G570="ACCEPTÉ","OUI","NON"))</f>
        <v>NON</v>
      </c>
      <c r="I570" s="82"/>
      <c r="J570" s="79"/>
      <c r="K570" s="80"/>
      <c r="L570" s="80"/>
      <c r="M570" s="80"/>
      <c r="N570" s="83" t="str">
        <f aca="false">IF(C570="","",IF(I570="",IF(H570="OUI","À ENROBER",IF(G570="À SOUDER","NON SOUDÉ","EN ATTENTE RT")),IF(L570="R","À REPRENDRE",IF(H570&lt;&gt;"OUI","⚠ ENROBÉ AVANT ACCEPTATION RT","ENROBÉ"))))</f>
        <v>NON SOUDÉ</v>
      </c>
      <c r="O570" s="79"/>
    </row>
    <row r="571" customFormat="false" ht="15" hidden="false" customHeight="false" outlineLevel="0" collapsed="false">
      <c r="A571" s="78" t="n">
        <f aca="false">IF('CARNET DE SOUDURE'!E571="","",'CARNET DE SOUDURE'!A571)</f>
        <v>565</v>
      </c>
      <c r="B571" s="93" t="str">
        <f aca="false">IF('CARNET DE SOUDURE'!E571="","",'CARNET DE SOUDURE'!B571&amp;"")</f>
        <v>ISB-303</v>
      </c>
      <c r="C571" s="83" t="str">
        <f aca="false">IF('CARNET DE SOUDURE'!E571="","",'CARNET DE SOUDURE'!E571)</f>
        <v>JN°160</v>
      </c>
      <c r="D571" s="78" t="str">
        <f aca="false">IF('CARNET DE SOUDURE'!E571="","",'CARNET DE SOUDURE'!D571&amp;"")</f>
        <v/>
      </c>
      <c r="E571" s="96" t="str">
        <f aca="false">IF(OR('CARNET DE SOUDURE'!E571="",'CARNET DE SOUDURE'!R571=""),"",'CARNET DE SOUDURE'!R571)</f>
        <v/>
      </c>
      <c r="F571" s="81" t="str">
        <f aca="false">IF('CARNET DE SOUDURE'!E571="","",'CARNET DE SOUDURE'!AL571)</f>
        <v/>
      </c>
      <c r="G571" s="81" t="str">
        <f aca="false">IF('CARNET DE SOUDURE'!E571="","",'CARNET DE SOUDURE'!AM571)</f>
        <v>À SOUDER</v>
      </c>
      <c r="H571" s="81" t="str">
        <f aca="false">IF(C571="","",IF(G571="ACCEPTÉ","OUI","NON"))</f>
        <v>NON</v>
      </c>
      <c r="I571" s="82"/>
      <c r="J571" s="79"/>
      <c r="K571" s="80"/>
      <c r="L571" s="80"/>
      <c r="M571" s="80"/>
      <c r="N571" s="83" t="str">
        <f aca="false">IF(C571="","",IF(I571="",IF(H571="OUI","À ENROBER",IF(G571="À SOUDER","NON SOUDÉ","EN ATTENTE RT")),IF(L571="R","À REPRENDRE",IF(H571&lt;&gt;"OUI","⚠ ENROBÉ AVANT ACCEPTATION RT","ENROBÉ"))))</f>
        <v>NON SOUDÉ</v>
      </c>
      <c r="O571" s="79"/>
    </row>
    <row r="572" customFormat="false" ht="15" hidden="false" customHeight="false" outlineLevel="0" collapsed="false">
      <c r="A572" s="78" t="n">
        <f aca="false">IF('CARNET DE SOUDURE'!E572="","",'CARNET DE SOUDURE'!A572)</f>
        <v>566</v>
      </c>
      <c r="B572" s="93" t="str">
        <f aca="false">IF('CARNET DE SOUDURE'!E572="","",'CARNET DE SOUDURE'!B572&amp;"")</f>
        <v>ISB-303</v>
      </c>
      <c r="C572" s="83" t="str">
        <f aca="false">IF('CARNET DE SOUDURE'!E572="","",'CARNET DE SOUDURE'!E572)</f>
        <v>JN°161</v>
      </c>
      <c r="D572" s="78" t="str">
        <f aca="false">IF('CARNET DE SOUDURE'!E572="","",'CARNET DE SOUDURE'!D572&amp;"")</f>
        <v/>
      </c>
      <c r="E572" s="96" t="str">
        <f aca="false">IF(OR('CARNET DE SOUDURE'!E572="",'CARNET DE SOUDURE'!R572=""),"",'CARNET DE SOUDURE'!R572)</f>
        <v/>
      </c>
      <c r="F572" s="81" t="str">
        <f aca="false">IF('CARNET DE SOUDURE'!E572="","",'CARNET DE SOUDURE'!AL572)</f>
        <v/>
      </c>
      <c r="G572" s="81" t="str">
        <f aca="false">IF('CARNET DE SOUDURE'!E572="","",'CARNET DE SOUDURE'!AM572)</f>
        <v>À SOUDER</v>
      </c>
      <c r="H572" s="81" t="str">
        <f aca="false">IF(C572="","",IF(G572="ACCEPTÉ","OUI","NON"))</f>
        <v>NON</v>
      </c>
      <c r="I572" s="82"/>
      <c r="J572" s="79"/>
      <c r="K572" s="80"/>
      <c r="L572" s="80"/>
      <c r="M572" s="80"/>
      <c r="N572" s="83" t="str">
        <f aca="false">IF(C572="","",IF(I572="",IF(H572="OUI","À ENROBER",IF(G572="À SOUDER","NON SOUDÉ","EN ATTENTE RT")),IF(L572="R","À REPRENDRE",IF(H572&lt;&gt;"OUI","⚠ ENROBÉ AVANT ACCEPTATION RT","ENROBÉ"))))</f>
        <v>NON SOUDÉ</v>
      </c>
      <c r="O572" s="79"/>
    </row>
    <row r="573" customFormat="false" ht="15" hidden="false" customHeight="false" outlineLevel="0" collapsed="false">
      <c r="A573" s="78" t="n">
        <f aca="false">IF('CARNET DE SOUDURE'!E573="","",'CARNET DE SOUDURE'!A573)</f>
        <v>567</v>
      </c>
      <c r="B573" s="93" t="str">
        <f aca="false">IF('CARNET DE SOUDURE'!E573="","",'CARNET DE SOUDURE'!B573&amp;"")</f>
        <v>ISB-303</v>
      </c>
      <c r="C573" s="83" t="str">
        <f aca="false">IF('CARNET DE SOUDURE'!E573="","",'CARNET DE SOUDURE'!E573)</f>
        <v>JN°162</v>
      </c>
      <c r="D573" s="78" t="str">
        <f aca="false">IF('CARNET DE SOUDURE'!E573="","",'CARNET DE SOUDURE'!D573&amp;"")</f>
        <v/>
      </c>
      <c r="E573" s="96" t="str">
        <f aca="false">IF(OR('CARNET DE SOUDURE'!E573="",'CARNET DE SOUDURE'!R573=""),"",'CARNET DE SOUDURE'!R573)</f>
        <v/>
      </c>
      <c r="F573" s="81" t="str">
        <f aca="false">IF('CARNET DE SOUDURE'!E573="","",'CARNET DE SOUDURE'!AL573)</f>
        <v/>
      </c>
      <c r="G573" s="81" t="str">
        <f aca="false">IF('CARNET DE SOUDURE'!E573="","",'CARNET DE SOUDURE'!AM573)</f>
        <v>À SOUDER</v>
      </c>
      <c r="H573" s="81" t="str">
        <f aca="false">IF(C573="","",IF(G573="ACCEPTÉ","OUI","NON"))</f>
        <v>NON</v>
      </c>
      <c r="I573" s="82"/>
      <c r="J573" s="79"/>
      <c r="K573" s="80"/>
      <c r="L573" s="80"/>
      <c r="M573" s="80"/>
      <c r="N573" s="83" t="str">
        <f aca="false">IF(C573="","",IF(I573="",IF(H573="OUI","À ENROBER",IF(G573="À SOUDER","NON SOUDÉ","EN ATTENTE RT")),IF(L573="R","À REPRENDRE",IF(H573&lt;&gt;"OUI","⚠ ENROBÉ AVANT ACCEPTATION RT","ENROBÉ"))))</f>
        <v>NON SOUDÉ</v>
      </c>
      <c r="O573" s="79"/>
    </row>
    <row r="574" customFormat="false" ht="15" hidden="false" customHeight="false" outlineLevel="0" collapsed="false">
      <c r="A574" s="78" t="n">
        <f aca="false">IF('CARNET DE SOUDURE'!E574="","",'CARNET DE SOUDURE'!A574)</f>
        <v>568</v>
      </c>
      <c r="B574" s="93" t="str">
        <f aca="false">IF('CARNET DE SOUDURE'!E574="","",'CARNET DE SOUDURE'!B574&amp;"")</f>
        <v>ISB-303</v>
      </c>
      <c r="C574" s="83" t="str">
        <f aca="false">IF('CARNET DE SOUDURE'!E574="","",'CARNET DE SOUDURE'!E574)</f>
        <v>JN°163</v>
      </c>
      <c r="D574" s="78" t="str">
        <f aca="false">IF('CARNET DE SOUDURE'!E574="","",'CARNET DE SOUDURE'!D574&amp;"")</f>
        <v/>
      </c>
      <c r="E574" s="96" t="str">
        <f aca="false">IF(OR('CARNET DE SOUDURE'!E574="",'CARNET DE SOUDURE'!R574=""),"",'CARNET DE SOUDURE'!R574)</f>
        <v/>
      </c>
      <c r="F574" s="81" t="str">
        <f aca="false">IF('CARNET DE SOUDURE'!E574="","",'CARNET DE SOUDURE'!AL574)</f>
        <v/>
      </c>
      <c r="G574" s="81" t="str">
        <f aca="false">IF('CARNET DE SOUDURE'!E574="","",'CARNET DE SOUDURE'!AM574)</f>
        <v>À SOUDER</v>
      </c>
      <c r="H574" s="81" t="str">
        <f aca="false">IF(C574="","",IF(G574="ACCEPTÉ","OUI","NON"))</f>
        <v>NON</v>
      </c>
      <c r="I574" s="82"/>
      <c r="J574" s="79"/>
      <c r="K574" s="80"/>
      <c r="L574" s="80"/>
      <c r="M574" s="80"/>
      <c r="N574" s="83" t="str">
        <f aca="false">IF(C574="","",IF(I574="",IF(H574="OUI","À ENROBER",IF(G574="À SOUDER","NON SOUDÉ","EN ATTENTE RT")),IF(L574="R","À REPRENDRE",IF(H574&lt;&gt;"OUI","⚠ ENROBÉ AVANT ACCEPTATION RT","ENROBÉ"))))</f>
        <v>NON SOUDÉ</v>
      </c>
      <c r="O574" s="79"/>
    </row>
    <row r="575" customFormat="false" ht="15" hidden="false" customHeight="false" outlineLevel="0" collapsed="false">
      <c r="A575" s="78" t="n">
        <f aca="false">IF('CARNET DE SOUDURE'!E575="","",'CARNET DE SOUDURE'!A575)</f>
        <v>569</v>
      </c>
      <c r="B575" s="93" t="str">
        <f aca="false">IF('CARNET DE SOUDURE'!E575="","",'CARNET DE SOUDURE'!B575&amp;"")</f>
        <v>ISB-303</v>
      </c>
      <c r="C575" s="83" t="str">
        <f aca="false">IF('CARNET DE SOUDURE'!E575="","",'CARNET DE SOUDURE'!E575)</f>
        <v>JN°164</v>
      </c>
      <c r="D575" s="78" t="str">
        <f aca="false">IF('CARNET DE SOUDURE'!E575="","",'CARNET DE SOUDURE'!D575&amp;"")</f>
        <v/>
      </c>
      <c r="E575" s="96" t="str">
        <f aca="false">IF(OR('CARNET DE SOUDURE'!E575="",'CARNET DE SOUDURE'!R575=""),"",'CARNET DE SOUDURE'!R575)</f>
        <v/>
      </c>
      <c r="F575" s="81" t="str">
        <f aca="false">IF('CARNET DE SOUDURE'!E575="","",'CARNET DE SOUDURE'!AL575)</f>
        <v/>
      </c>
      <c r="G575" s="81" t="str">
        <f aca="false">IF('CARNET DE SOUDURE'!E575="","",'CARNET DE SOUDURE'!AM575)</f>
        <v>À SOUDER</v>
      </c>
      <c r="H575" s="81" t="str">
        <f aca="false">IF(C575="","",IF(G575="ACCEPTÉ","OUI","NON"))</f>
        <v>NON</v>
      </c>
      <c r="I575" s="82"/>
      <c r="J575" s="79"/>
      <c r="K575" s="80"/>
      <c r="L575" s="80"/>
      <c r="M575" s="80"/>
      <c r="N575" s="83" t="str">
        <f aca="false">IF(C575="","",IF(I575="",IF(H575="OUI","À ENROBER",IF(G575="À SOUDER","NON SOUDÉ","EN ATTENTE RT")),IF(L575="R","À REPRENDRE",IF(H575&lt;&gt;"OUI","⚠ ENROBÉ AVANT ACCEPTATION RT","ENROBÉ"))))</f>
        <v>NON SOUDÉ</v>
      </c>
      <c r="O575" s="79"/>
    </row>
    <row r="576" customFormat="false" ht="15" hidden="false" customHeight="false" outlineLevel="0" collapsed="false">
      <c r="A576" s="78" t="n">
        <f aca="false">IF('CARNET DE SOUDURE'!E576="","",'CARNET DE SOUDURE'!A576)</f>
        <v>570</v>
      </c>
      <c r="B576" s="93" t="str">
        <f aca="false">IF('CARNET DE SOUDURE'!E576="","",'CARNET DE SOUDURE'!B576&amp;"")</f>
        <v>ISB-303</v>
      </c>
      <c r="C576" s="83" t="str">
        <f aca="false">IF('CARNET DE SOUDURE'!E576="","",'CARNET DE SOUDURE'!E576)</f>
        <v>JN°165</v>
      </c>
      <c r="D576" s="78" t="str">
        <f aca="false">IF('CARNET DE SOUDURE'!E576="","",'CARNET DE SOUDURE'!D576&amp;"")</f>
        <v/>
      </c>
      <c r="E576" s="96" t="str">
        <f aca="false">IF(OR('CARNET DE SOUDURE'!E576="",'CARNET DE SOUDURE'!R576=""),"",'CARNET DE SOUDURE'!R576)</f>
        <v/>
      </c>
      <c r="F576" s="81" t="str">
        <f aca="false">IF('CARNET DE SOUDURE'!E576="","",'CARNET DE SOUDURE'!AL576)</f>
        <v/>
      </c>
      <c r="G576" s="81" t="str">
        <f aca="false">IF('CARNET DE SOUDURE'!E576="","",'CARNET DE SOUDURE'!AM576)</f>
        <v>À SOUDER</v>
      </c>
      <c r="H576" s="81" t="str">
        <f aca="false">IF(C576="","",IF(G576="ACCEPTÉ","OUI","NON"))</f>
        <v>NON</v>
      </c>
      <c r="I576" s="82"/>
      <c r="J576" s="79"/>
      <c r="K576" s="80"/>
      <c r="L576" s="80"/>
      <c r="M576" s="80"/>
      <c r="N576" s="83" t="str">
        <f aca="false">IF(C576="","",IF(I576="",IF(H576="OUI","À ENROBER",IF(G576="À SOUDER","NON SOUDÉ","EN ATTENTE RT")),IF(L576="R","À REPRENDRE",IF(H576&lt;&gt;"OUI","⚠ ENROBÉ AVANT ACCEPTATION RT","ENROBÉ"))))</f>
        <v>NON SOUDÉ</v>
      </c>
      <c r="O576" s="79"/>
    </row>
    <row r="577" customFormat="false" ht="15" hidden="false" customHeight="false" outlineLevel="0" collapsed="false">
      <c r="A577" s="78" t="n">
        <f aca="false">IF('CARNET DE SOUDURE'!E577="","",'CARNET DE SOUDURE'!A577)</f>
        <v>571</v>
      </c>
      <c r="B577" s="93" t="str">
        <f aca="false">IF('CARNET DE SOUDURE'!E577="","",'CARNET DE SOUDURE'!B577&amp;"")</f>
        <v>ISB-303</v>
      </c>
      <c r="C577" s="83" t="str">
        <f aca="false">IF('CARNET DE SOUDURE'!E577="","",'CARNET DE SOUDURE'!E577)</f>
        <v>JN°166</v>
      </c>
      <c r="D577" s="78" t="str">
        <f aca="false">IF('CARNET DE SOUDURE'!E577="","",'CARNET DE SOUDURE'!D577&amp;"")</f>
        <v/>
      </c>
      <c r="E577" s="96" t="str">
        <f aca="false">IF(OR('CARNET DE SOUDURE'!E577="",'CARNET DE SOUDURE'!R577=""),"",'CARNET DE SOUDURE'!R577)</f>
        <v/>
      </c>
      <c r="F577" s="81" t="str">
        <f aca="false">IF('CARNET DE SOUDURE'!E577="","",'CARNET DE SOUDURE'!AL577)</f>
        <v/>
      </c>
      <c r="G577" s="81" t="str">
        <f aca="false">IF('CARNET DE SOUDURE'!E577="","",'CARNET DE SOUDURE'!AM577)</f>
        <v>À SOUDER</v>
      </c>
      <c r="H577" s="81" t="str">
        <f aca="false">IF(C577="","",IF(G577="ACCEPTÉ","OUI","NON"))</f>
        <v>NON</v>
      </c>
      <c r="I577" s="82"/>
      <c r="J577" s="79"/>
      <c r="K577" s="80"/>
      <c r="L577" s="80"/>
      <c r="M577" s="80"/>
      <c r="N577" s="83" t="str">
        <f aca="false">IF(C577="","",IF(I577="",IF(H577="OUI","À ENROBER",IF(G577="À SOUDER","NON SOUDÉ","EN ATTENTE RT")),IF(L577="R","À REPRENDRE",IF(H577&lt;&gt;"OUI","⚠ ENROBÉ AVANT ACCEPTATION RT","ENROBÉ"))))</f>
        <v>NON SOUDÉ</v>
      </c>
      <c r="O577" s="79"/>
    </row>
    <row r="578" customFormat="false" ht="15" hidden="false" customHeight="false" outlineLevel="0" collapsed="false">
      <c r="A578" s="78" t="n">
        <f aca="false">IF('CARNET DE SOUDURE'!E578="","",'CARNET DE SOUDURE'!A578)</f>
        <v>572</v>
      </c>
      <c r="B578" s="93" t="str">
        <f aca="false">IF('CARNET DE SOUDURE'!E578="","",'CARNET DE SOUDURE'!B578&amp;"")</f>
        <v>ISB-303</v>
      </c>
      <c r="C578" s="83" t="str">
        <f aca="false">IF('CARNET DE SOUDURE'!E578="","",'CARNET DE SOUDURE'!E578)</f>
        <v>JN°167</v>
      </c>
      <c r="D578" s="78" t="str">
        <f aca="false">IF('CARNET DE SOUDURE'!E578="","",'CARNET DE SOUDURE'!D578&amp;"")</f>
        <v/>
      </c>
      <c r="E578" s="96" t="str">
        <f aca="false">IF(OR('CARNET DE SOUDURE'!E578="",'CARNET DE SOUDURE'!R578=""),"",'CARNET DE SOUDURE'!R578)</f>
        <v/>
      </c>
      <c r="F578" s="81" t="str">
        <f aca="false">IF('CARNET DE SOUDURE'!E578="","",'CARNET DE SOUDURE'!AL578)</f>
        <v/>
      </c>
      <c r="G578" s="81" t="str">
        <f aca="false">IF('CARNET DE SOUDURE'!E578="","",'CARNET DE SOUDURE'!AM578)</f>
        <v>À SOUDER</v>
      </c>
      <c r="H578" s="81" t="str">
        <f aca="false">IF(C578="","",IF(G578="ACCEPTÉ","OUI","NON"))</f>
        <v>NON</v>
      </c>
      <c r="I578" s="82"/>
      <c r="J578" s="79"/>
      <c r="K578" s="80"/>
      <c r="L578" s="80"/>
      <c r="M578" s="80"/>
      <c r="N578" s="83" t="str">
        <f aca="false">IF(C578="","",IF(I578="",IF(H578="OUI","À ENROBER",IF(G578="À SOUDER","NON SOUDÉ","EN ATTENTE RT")),IF(L578="R","À REPRENDRE",IF(H578&lt;&gt;"OUI","⚠ ENROBÉ AVANT ACCEPTATION RT","ENROBÉ"))))</f>
        <v>NON SOUDÉ</v>
      </c>
      <c r="O578" s="79"/>
    </row>
    <row r="579" customFormat="false" ht="15" hidden="false" customHeight="false" outlineLevel="0" collapsed="false">
      <c r="A579" s="78" t="n">
        <f aca="false">IF('CARNET DE SOUDURE'!E579="","",'CARNET DE SOUDURE'!A579)</f>
        <v>573</v>
      </c>
      <c r="B579" s="93" t="str">
        <f aca="false">IF('CARNET DE SOUDURE'!E579="","",'CARNET DE SOUDURE'!B579&amp;"")</f>
        <v>ISB-303</v>
      </c>
      <c r="C579" s="83" t="str">
        <f aca="false">IF('CARNET DE SOUDURE'!E579="","",'CARNET DE SOUDURE'!E579)</f>
        <v>JN°168</v>
      </c>
      <c r="D579" s="78" t="str">
        <f aca="false">IF('CARNET DE SOUDURE'!E579="","",'CARNET DE SOUDURE'!D579&amp;"")</f>
        <v/>
      </c>
      <c r="E579" s="96" t="str">
        <f aca="false">IF(OR('CARNET DE SOUDURE'!E579="",'CARNET DE SOUDURE'!R579=""),"",'CARNET DE SOUDURE'!R579)</f>
        <v/>
      </c>
      <c r="F579" s="81" t="str">
        <f aca="false">IF('CARNET DE SOUDURE'!E579="","",'CARNET DE SOUDURE'!AL579)</f>
        <v/>
      </c>
      <c r="G579" s="81" t="str">
        <f aca="false">IF('CARNET DE SOUDURE'!E579="","",'CARNET DE SOUDURE'!AM579)</f>
        <v>À SOUDER</v>
      </c>
      <c r="H579" s="81" t="str">
        <f aca="false">IF(C579="","",IF(G579="ACCEPTÉ","OUI","NON"))</f>
        <v>NON</v>
      </c>
      <c r="I579" s="82"/>
      <c r="J579" s="79"/>
      <c r="K579" s="80"/>
      <c r="L579" s="80"/>
      <c r="M579" s="80"/>
      <c r="N579" s="83" t="str">
        <f aca="false">IF(C579="","",IF(I579="",IF(H579="OUI","À ENROBER",IF(G579="À SOUDER","NON SOUDÉ","EN ATTENTE RT")),IF(L579="R","À REPRENDRE",IF(H579&lt;&gt;"OUI","⚠ ENROBÉ AVANT ACCEPTATION RT","ENROBÉ"))))</f>
        <v>NON SOUDÉ</v>
      </c>
      <c r="O579" s="79"/>
    </row>
    <row r="580" customFormat="false" ht="15" hidden="false" customHeight="false" outlineLevel="0" collapsed="false">
      <c r="A580" s="78" t="n">
        <f aca="false">IF('CARNET DE SOUDURE'!E580="","",'CARNET DE SOUDURE'!A580)</f>
        <v>574</v>
      </c>
      <c r="B580" s="93" t="str">
        <f aca="false">IF('CARNET DE SOUDURE'!E580="","",'CARNET DE SOUDURE'!B580&amp;"")</f>
        <v>ISB-303</v>
      </c>
      <c r="C580" s="83" t="str">
        <f aca="false">IF('CARNET DE SOUDURE'!E580="","",'CARNET DE SOUDURE'!E580)</f>
        <v>JN°169</v>
      </c>
      <c r="D580" s="78" t="str">
        <f aca="false">IF('CARNET DE SOUDURE'!E580="","",'CARNET DE SOUDURE'!D580&amp;"")</f>
        <v/>
      </c>
      <c r="E580" s="96" t="str">
        <f aca="false">IF(OR('CARNET DE SOUDURE'!E580="",'CARNET DE SOUDURE'!R580=""),"",'CARNET DE SOUDURE'!R580)</f>
        <v/>
      </c>
      <c r="F580" s="81" t="str">
        <f aca="false">IF('CARNET DE SOUDURE'!E580="","",'CARNET DE SOUDURE'!AL580)</f>
        <v/>
      </c>
      <c r="G580" s="81" t="str">
        <f aca="false">IF('CARNET DE SOUDURE'!E580="","",'CARNET DE SOUDURE'!AM580)</f>
        <v>À SOUDER</v>
      </c>
      <c r="H580" s="81" t="str">
        <f aca="false">IF(C580="","",IF(G580="ACCEPTÉ","OUI","NON"))</f>
        <v>NON</v>
      </c>
      <c r="I580" s="82"/>
      <c r="J580" s="79"/>
      <c r="K580" s="80"/>
      <c r="L580" s="80"/>
      <c r="M580" s="80"/>
      <c r="N580" s="83" t="str">
        <f aca="false">IF(C580="","",IF(I580="",IF(H580="OUI","À ENROBER",IF(G580="À SOUDER","NON SOUDÉ","EN ATTENTE RT")),IF(L580="R","À REPRENDRE",IF(H580&lt;&gt;"OUI","⚠ ENROBÉ AVANT ACCEPTATION RT","ENROBÉ"))))</f>
        <v>NON SOUDÉ</v>
      </c>
      <c r="O580" s="79"/>
    </row>
    <row r="581" customFormat="false" ht="15" hidden="false" customHeight="false" outlineLevel="0" collapsed="false">
      <c r="A581" s="78" t="n">
        <f aca="false">IF('CARNET DE SOUDURE'!E581="","",'CARNET DE SOUDURE'!A581)</f>
        <v>575</v>
      </c>
      <c r="B581" s="93" t="str">
        <f aca="false">IF('CARNET DE SOUDURE'!E581="","",'CARNET DE SOUDURE'!B581&amp;"")</f>
        <v>ISB-303</v>
      </c>
      <c r="C581" s="83" t="str">
        <f aca="false">IF('CARNET DE SOUDURE'!E581="","",'CARNET DE SOUDURE'!E581)</f>
        <v>JN°170</v>
      </c>
      <c r="D581" s="78" t="str">
        <f aca="false">IF('CARNET DE SOUDURE'!E581="","",'CARNET DE SOUDURE'!D581&amp;"")</f>
        <v/>
      </c>
      <c r="E581" s="96" t="str">
        <f aca="false">IF(OR('CARNET DE SOUDURE'!E581="",'CARNET DE SOUDURE'!R581=""),"",'CARNET DE SOUDURE'!R581)</f>
        <v/>
      </c>
      <c r="F581" s="81" t="str">
        <f aca="false">IF('CARNET DE SOUDURE'!E581="","",'CARNET DE SOUDURE'!AL581)</f>
        <v/>
      </c>
      <c r="G581" s="81" t="str">
        <f aca="false">IF('CARNET DE SOUDURE'!E581="","",'CARNET DE SOUDURE'!AM581)</f>
        <v>À SOUDER</v>
      </c>
      <c r="H581" s="81" t="str">
        <f aca="false">IF(C581="","",IF(G581="ACCEPTÉ","OUI","NON"))</f>
        <v>NON</v>
      </c>
      <c r="I581" s="82"/>
      <c r="J581" s="79"/>
      <c r="K581" s="80"/>
      <c r="L581" s="80"/>
      <c r="M581" s="80"/>
      <c r="N581" s="83" t="str">
        <f aca="false">IF(C581="","",IF(I581="",IF(H581="OUI","À ENROBER",IF(G581="À SOUDER","NON SOUDÉ","EN ATTENTE RT")),IF(L581="R","À REPRENDRE",IF(H581&lt;&gt;"OUI","⚠ ENROBÉ AVANT ACCEPTATION RT","ENROBÉ"))))</f>
        <v>NON SOUDÉ</v>
      </c>
      <c r="O581" s="79"/>
    </row>
    <row r="582" customFormat="false" ht="15" hidden="false" customHeight="false" outlineLevel="0" collapsed="false">
      <c r="A582" s="78" t="n">
        <f aca="false">IF('CARNET DE SOUDURE'!E582="","",'CARNET DE SOUDURE'!A582)</f>
        <v>576</v>
      </c>
      <c r="B582" s="93" t="str">
        <f aca="false">IF('CARNET DE SOUDURE'!E582="","",'CARNET DE SOUDURE'!B582&amp;"")</f>
        <v>ISB-303</v>
      </c>
      <c r="C582" s="83" t="str">
        <f aca="false">IF('CARNET DE SOUDURE'!E582="","",'CARNET DE SOUDURE'!E582)</f>
        <v>JN°171</v>
      </c>
      <c r="D582" s="78" t="str">
        <f aca="false">IF('CARNET DE SOUDURE'!E582="","",'CARNET DE SOUDURE'!D582&amp;"")</f>
        <v/>
      </c>
      <c r="E582" s="96" t="str">
        <f aca="false">IF(OR('CARNET DE SOUDURE'!E582="",'CARNET DE SOUDURE'!R582=""),"",'CARNET DE SOUDURE'!R582)</f>
        <v/>
      </c>
      <c r="F582" s="81" t="str">
        <f aca="false">IF('CARNET DE SOUDURE'!E582="","",'CARNET DE SOUDURE'!AL582)</f>
        <v/>
      </c>
      <c r="G582" s="81" t="str">
        <f aca="false">IF('CARNET DE SOUDURE'!E582="","",'CARNET DE SOUDURE'!AM582)</f>
        <v>À SOUDER</v>
      </c>
      <c r="H582" s="81" t="str">
        <f aca="false">IF(C582="","",IF(G582="ACCEPTÉ","OUI","NON"))</f>
        <v>NON</v>
      </c>
      <c r="I582" s="82"/>
      <c r="J582" s="79"/>
      <c r="K582" s="80"/>
      <c r="L582" s="80"/>
      <c r="M582" s="80"/>
      <c r="N582" s="83" t="str">
        <f aca="false">IF(C582="","",IF(I582="",IF(H582="OUI","À ENROBER",IF(G582="À SOUDER","NON SOUDÉ","EN ATTENTE RT")),IF(L582="R","À REPRENDRE",IF(H582&lt;&gt;"OUI","⚠ ENROBÉ AVANT ACCEPTATION RT","ENROBÉ"))))</f>
        <v>NON SOUDÉ</v>
      </c>
      <c r="O582" s="79"/>
    </row>
    <row r="583" customFormat="false" ht="15" hidden="false" customHeight="false" outlineLevel="0" collapsed="false">
      <c r="A583" s="78" t="n">
        <f aca="false">IF('CARNET DE SOUDURE'!E583="","",'CARNET DE SOUDURE'!A583)</f>
        <v>577</v>
      </c>
      <c r="B583" s="93" t="str">
        <f aca="false">IF('CARNET DE SOUDURE'!E583="","",'CARNET DE SOUDURE'!B583&amp;"")</f>
        <v>ISB-303</v>
      </c>
      <c r="C583" s="83" t="str">
        <f aca="false">IF('CARNET DE SOUDURE'!E583="","",'CARNET DE SOUDURE'!E583)</f>
        <v>JN°172</v>
      </c>
      <c r="D583" s="78" t="str">
        <f aca="false">IF('CARNET DE SOUDURE'!E583="","",'CARNET DE SOUDURE'!D583&amp;"")</f>
        <v/>
      </c>
      <c r="E583" s="96" t="str">
        <f aca="false">IF(OR('CARNET DE SOUDURE'!E583="",'CARNET DE SOUDURE'!R583=""),"",'CARNET DE SOUDURE'!R583)</f>
        <v/>
      </c>
      <c r="F583" s="81" t="str">
        <f aca="false">IF('CARNET DE SOUDURE'!E583="","",'CARNET DE SOUDURE'!AL583)</f>
        <v/>
      </c>
      <c r="G583" s="81" t="str">
        <f aca="false">IF('CARNET DE SOUDURE'!E583="","",'CARNET DE SOUDURE'!AM583)</f>
        <v>À SOUDER</v>
      </c>
      <c r="H583" s="81" t="str">
        <f aca="false">IF(C583="","",IF(G583="ACCEPTÉ","OUI","NON"))</f>
        <v>NON</v>
      </c>
      <c r="I583" s="82"/>
      <c r="J583" s="79"/>
      <c r="K583" s="80"/>
      <c r="L583" s="80"/>
      <c r="M583" s="80"/>
      <c r="N583" s="83" t="str">
        <f aca="false">IF(C583="","",IF(I583="",IF(H583="OUI","À ENROBER",IF(G583="À SOUDER","NON SOUDÉ","EN ATTENTE RT")),IF(L583="R","À REPRENDRE",IF(H583&lt;&gt;"OUI","⚠ ENROBÉ AVANT ACCEPTATION RT","ENROBÉ"))))</f>
        <v>NON SOUDÉ</v>
      </c>
      <c r="O583" s="79"/>
    </row>
    <row r="584" customFormat="false" ht="15" hidden="false" customHeight="false" outlineLevel="0" collapsed="false">
      <c r="A584" s="78" t="n">
        <f aca="false">IF('CARNET DE SOUDURE'!E584="","",'CARNET DE SOUDURE'!A584)</f>
        <v>578</v>
      </c>
      <c r="B584" s="93" t="str">
        <f aca="false">IF('CARNET DE SOUDURE'!E584="","",'CARNET DE SOUDURE'!B584&amp;"")</f>
        <v>ISB-303</v>
      </c>
      <c r="C584" s="83" t="str">
        <f aca="false">IF('CARNET DE SOUDURE'!E584="","",'CARNET DE SOUDURE'!E584)</f>
        <v>JN°173</v>
      </c>
      <c r="D584" s="78" t="str">
        <f aca="false">IF('CARNET DE SOUDURE'!E584="","",'CARNET DE SOUDURE'!D584&amp;"")</f>
        <v/>
      </c>
      <c r="E584" s="96" t="str">
        <f aca="false">IF(OR('CARNET DE SOUDURE'!E584="",'CARNET DE SOUDURE'!R584=""),"",'CARNET DE SOUDURE'!R584)</f>
        <v/>
      </c>
      <c r="F584" s="81" t="str">
        <f aca="false">IF('CARNET DE SOUDURE'!E584="","",'CARNET DE SOUDURE'!AL584)</f>
        <v/>
      </c>
      <c r="G584" s="81" t="str">
        <f aca="false">IF('CARNET DE SOUDURE'!E584="","",'CARNET DE SOUDURE'!AM584)</f>
        <v>À SOUDER</v>
      </c>
      <c r="H584" s="81" t="str">
        <f aca="false">IF(C584="","",IF(G584="ACCEPTÉ","OUI","NON"))</f>
        <v>NON</v>
      </c>
      <c r="I584" s="82"/>
      <c r="J584" s="79"/>
      <c r="K584" s="80"/>
      <c r="L584" s="80"/>
      <c r="M584" s="80"/>
      <c r="N584" s="83" t="str">
        <f aca="false">IF(C584="","",IF(I584="",IF(H584="OUI","À ENROBER",IF(G584="À SOUDER","NON SOUDÉ","EN ATTENTE RT")),IF(L584="R","À REPRENDRE",IF(H584&lt;&gt;"OUI","⚠ ENROBÉ AVANT ACCEPTATION RT","ENROBÉ"))))</f>
        <v>NON SOUDÉ</v>
      </c>
      <c r="O584" s="79"/>
    </row>
    <row r="585" customFormat="false" ht="15" hidden="false" customHeight="false" outlineLevel="0" collapsed="false">
      <c r="A585" s="78" t="n">
        <f aca="false">IF('CARNET DE SOUDURE'!E585="","",'CARNET DE SOUDURE'!A585)</f>
        <v>579</v>
      </c>
      <c r="B585" s="93" t="str">
        <f aca="false">IF('CARNET DE SOUDURE'!E585="","",'CARNET DE SOUDURE'!B585&amp;"")</f>
        <v>ISB-303</v>
      </c>
      <c r="C585" s="83" t="str">
        <f aca="false">IF('CARNET DE SOUDURE'!E585="","",'CARNET DE SOUDURE'!E585)</f>
        <v>JN°174</v>
      </c>
      <c r="D585" s="78" t="str">
        <f aca="false">IF('CARNET DE SOUDURE'!E585="","",'CARNET DE SOUDURE'!D585&amp;"")</f>
        <v/>
      </c>
      <c r="E585" s="96" t="str">
        <f aca="false">IF(OR('CARNET DE SOUDURE'!E585="",'CARNET DE SOUDURE'!R585=""),"",'CARNET DE SOUDURE'!R585)</f>
        <v/>
      </c>
      <c r="F585" s="81" t="str">
        <f aca="false">IF('CARNET DE SOUDURE'!E585="","",'CARNET DE SOUDURE'!AL585)</f>
        <v/>
      </c>
      <c r="G585" s="81" t="str">
        <f aca="false">IF('CARNET DE SOUDURE'!E585="","",'CARNET DE SOUDURE'!AM585)</f>
        <v>À SOUDER</v>
      </c>
      <c r="H585" s="81" t="str">
        <f aca="false">IF(C585="","",IF(G585="ACCEPTÉ","OUI","NON"))</f>
        <v>NON</v>
      </c>
      <c r="I585" s="82"/>
      <c r="J585" s="79"/>
      <c r="K585" s="80"/>
      <c r="L585" s="80"/>
      <c r="M585" s="80"/>
      <c r="N585" s="83" t="str">
        <f aca="false">IF(C585="","",IF(I585="",IF(H585="OUI","À ENROBER",IF(G585="À SOUDER","NON SOUDÉ","EN ATTENTE RT")),IF(L585="R","À REPRENDRE",IF(H585&lt;&gt;"OUI","⚠ ENROBÉ AVANT ACCEPTATION RT","ENROBÉ"))))</f>
        <v>NON SOUDÉ</v>
      </c>
      <c r="O585" s="79"/>
    </row>
    <row r="586" customFormat="false" ht="15" hidden="false" customHeight="false" outlineLevel="0" collapsed="false">
      <c r="A586" s="78" t="n">
        <f aca="false">IF('CARNET DE SOUDURE'!E586="","",'CARNET DE SOUDURE'!A586)</f>
        <v>580</v>
      </c>
      <c r="B586" s="93" t="str">
        <f aca="false">IF('CARNET DE SOUDURE'!E586="","",'CARNET DE SOUDURE'!B586&amp;"")</f>
        <v>ISB-303</v>
      </c>
      <c r="C586" s="83" t="str">
        <f aca="false">IF('CARNET DE SOUDURE'!E586="","",'CARNET DE SOUDURE'!E586)</f>
        <v>JN°175</v>
      </c>
      <c r="D586" s="78" t="str">
        <f aca="false">IF('CARNET DE SOUDURE'!E586="","",'CARNET DE SOUDURE'!D586&amp;"")</f>
        <v/>
      </c>
      <c r="E586" s="96" t="str">
        <f aca="false">IF(OR('CARNET DE SOUDURE'!E586="",'CARNET DE SOUDURE'!R586=""),"",'CARNET DE SOUDURE'!R586)</f>
        <v/>
      </c>
      <c r="F586" s="81" t="str">
        <f aca="false">IF('CARNET DE SOUDURE'!E586="","",'CARNET DE SOUDURE'!AL586)</f>
        <v/>
      </c>
      <c r="G586" s="81" t="str">
        <f aca="false">IF('CARNET DE SOUDURE'!E586="","",'CARNET DE SOUDURE'!AM586)</f>
        <v>À SOUDER</v>
      </c>
      <c r="H586" s="81" t="str">
        <f aca="false">IF(C586="","",IF(G586="ACCEPTÉ","OUI","NON"))</f>
        <v>NON</v>
      </c>
      <c r="I586" s="82"/>
      <c r="J586" s="79"/>
      <c r="K586" s="80"/>
      <c r="L586" s="80"/>
      <c r="M586" s="80"/>
      <c r="N586" s="83" t="str">
        <f aca="false">IF(C586="","",IF(I586="",IF(H586="OUI","À ENROBER",IF(G586="À SOUDER","NON SOUDÉ","EN ATTENTE RT")),IF(L586="R","À REPRENDRE",IF(H586&lt;&gt;"OUI","⚠ ENROBÉ AVANT ACCEPTATION RT","ENROBÉ"))))</f>
        <v>NON SOUDÉ</v>
      </c>
      <c r="O586" s="79"/>
    </row>
    <row r="587" customFormat="false" ht="15" hidden="false" customHeight="false" outlineLevel="0" collapsed="false">
      <c r="A587" s="78" t="n">
        <f aca="false">IF('CARNET DE SOUDURE'!E587="","",'CARNET DE SOUDURE'!A587)</f>
        <v>581</v>
      </c>
      <c r="B587" s="93" t="str">
        <f aca="false">IF('CARNET DE SOUDURE'!E587="","",'CARNET DE SOUDURE'!B587&amp;"")</f>
        <v>ISB-303</v>
      </c>
      <c r="C587" s="83" t="str">
        <f aca="false">IF('CARNET DE SOUDURE'!E587="","",'CARNET DE SOUDURE'!E587)</f>
        <v>JN°176</v>
      </c>
      <c r="D587" s="78" t="str">
        <f aca="false">IF('CARNET DE SOUDURE'!E587="","",'CARNET DE SOUDURE'!D587&amp;"")</f>
        <v/>
      </c>
      <c r="E587" s="96" t="str">
        <f aca="false">IF(OR('CARNET DE SOUDURE'!E587="",'CARNET DE SOUDURE'!R587=""),"",'CARNET DE SOUDURE'!R587)</f>
        <v/>
      </c>
      <c r="F587" s="81" t="str">
        <f aca="false">IF('CARNET DE SOUDURE'!E587="","",'CARNET DE SOUDURE'!AL587)</f>
        <v/>
      </c>
      <c r="G587" s="81" t="str">
        <f aca="false">IF('CARNET DE SOUDURE'!E587="","",'CARNET DE SOUDURE'!AM587)</f>
        <v>À SOUDER</v>
      </c>
      <c r="H587" s="81" t="str">
        <f aca="false">IF(C587="","",IF(G587="ACCEPTÉ","OUI","NON"))</f>
        <v>NON</v>
      </c>
      <c r="I587" s="82"/>
      <c r="J587" s="79"/>
      <c r="K587" s="80"/>
      <c r="L587" s="80"/>
      <c r="M587" s="80"/>
      <c r="N587" s="83" t="str">
        <f aca="false">IF(C587="","",IF(I587="",IF(H587="OUI","À ENROBER",IF(G587="À SOUDER","NON SOUDÉ","EN ATTENTE RT")),IF(L587="R","À REPRENDRE",IF(H587&lt;&gt;"OUI","⚠ ENROBÉ AVANT ACCEPTATION RT","ENROBÉ"))))</f>
        <v>NON SOUDÉ</v>
      </c>
      <c r="O587" s="79"/>
    </row>
    <row r="588" customFormat="false" ht="15" hidden="false" customHeight="false" outlineLevel="0" collapsed="false">
      <c r="A588" s="78" t="n">
        <f aca="false">IF('CARNET DE SOUDURE'!E588="","",'CARNET DE SOUDURE'!A588)</f>
        <v>582</v>
      </c>
      <c r="B588" s="93" t="str">
        <f aca="false">IF('CARNET DE SOUDURE'!E588="","",'CARNET DE SOUDURE'!B588&amp;"")</f>
        <v>ISB-303</v>
      </c>
      <c r="C588" s="83" t="str">
        <f aca="false">IF('CARNET DE SOUDURE'!E588="","",'CARNET DE SOUDURE'!E588)</f>
        <v>JN°177</v>
      </c>
      <c r="D588" s="78" t="str">
        <f aca="false">IF('CARNET DE SOUDURE'!E588="","",'CARNET DE SOUDURE'!D588&amp;"")</f>
        <v/>
      </c>
      <c r="E588" s="96" t="str">
        <f aca="false">IF(OR('CARNET DE SOUDURE'!E588="",'CARNET DE SOUDURE'!R588=""),"",'CARNET DE SOUDURE'!R588)</f>
        <v/>
      </c>
      <c r="F588" s="81" t="str">
        <f aca="false">IF('CARNET DE SOUDURE'!E588="","",'CARNET DE SOUDURE'!AL588)</f>
        <v/>
      </c>
      <c r="G588" s="81" t="str">
        <f aca="false">IF('CARNET DE SOUDURE'!E588="","",'CARNET DE SOUDURE'!AM588)</f>
        <v>À SOUDER</v>
      </c>
      <c r="H588" s="81" t="str">
        <f aca="false">IF(C588="","",IF(G588="ACCEPTÉ","OUI","NON"))</f>
        <v>NON</v>
      </c>
      <c r="I588" s="82"/>
      <c r="J588" s="79"/>
      <c r="K588" s="80"/>
      <c r="L588" s="80"/>
      <c r="M588" s="80"/>
      <c r="N588" s="83" t="str">
        <f aca="false">IF(C588="","",IF(I588="",IF(H588="OUI","À ENROBER",IF(G588="À SOUDER","NON SOUDÉ","EN ATTENTE RT")),IF(L588="R","À REPRENDRE",IF(H588&lt;&gt;"OUI","⚠ ENROBÉ AVANT ACCEPTATION RT","ENROBÉ"))))</f>
        <v>NON SOUDÉ</v>
      </c>
      <c r="O588" s="79"/>
    </row>
    <row r="589" customFormat="false" ht="15" hidden="false" customHeight="false" outlineLevel="0" collapsed="false">
      <c r="A589" s="78" t="n">
        <f aca="false">IF('CARNET DE SOUDURE'!E589="","",'CARNET DE SOUDURE'!A589)</f>
        <v>583</v>
      </c>
      <c r="B589" s="93" t="str">
        <f aca="false">IF('CARNET DE SOUDURE'!E589="","",'CARNET DE SOUDURE'!B589&amp;"")</f>
        <v>ISB-303</v>
      </c>
      <c r="C589" s="83" t="str">
        <f aca="false">IF('CARNET DE SOUDURE'!E589="","",'CARNET DE SOUDURE'!E589)</f>
        <v>JN°178</v>
      </c>
      <c r="D589" s="78" t="str">
        <f aca="false">IF('CARNET DE SOUDURE'!E589="","",'CARNET DE SOUDURE'!D589&amp;"")</f>
        <v/>
      </c>
      <c r="E589" s="96" t="str">
        <f aca="false">IF(OR('CARNET DE SOUDURE'!E589="",'CARNET DE SOUDURE'!R589=""),"",'CARNET DE SOUDURE'!R589)</f>
        <v/>
      </c>
      <c r="F589" s="81" t="str">
        <f aca="false">IF('CARNET DE SOUDURE'!E589="","",'CARNET DE SOUDURE'!AL589)</f>
        <v/>
      </c>
      <c r="G589" s="81" t="str">
        <f aca="false">IF('CARNET DE SOUDURE'!E589="","",'CARNET DE SOUDURE'!AM589)</f>
        <v>À SOUDER</v>
      </c>
      <c r="H589" s="81" t="str">
        <f aca="false">IF(C589="","",IF(G589="ACCEPTÉ","OUI","NON"))</f>
        <v>NON</v>
      </c>
      <c r="I589" s="82"/>
      <c r="J589" s="79"/>
      <c r="K589" s="80"/>
      <c r="L589" s="80"/>
      <c r="M589" s="80"/>
      <c r="N589" s="83" t="str">
        <f aca="false">IF(C589="","",IF(I589="",IF(H589="OUI","À ENROBER",IF(G589="À SOUDER","NON SOUDÉ","EN ATTENTE RT")),IF(L589="R","À REPRENDRE",IF(H589&lt;&gt;"OUI","⚠ ENROBÉ AVANT ACCEPTATION RT","ENROBÉ"))))</f>
        <v>NON SOUDÉ</v>
      </c>
      <c r="O589" s="79"/>
    </row>
    <row r="590" customFormat="false" ht="15" hidden="false" customHeight="false" outlineLevel="0" collapsed="false">
      <c r="A590" s="78" t="n">
        <f aca="false">IF('CARNET DE SOUDURE'!E590="","",'CARNET DE SOUDURE'!A590)</f>
        <v>584</v>
      </c>
      <c r="B590" s="93" t="str">
        <f aca="false">IF('CARNET DE SOUDURE'!E590="","",'CARNET DE SOUDURE'!B590&amp;"")</f>
        <v>ISB-303</v>
      </c>
      <c r="C590" s="83" t="str">
        <f aca="false">IF('CARNET DE SOUDURE'!E590="","",'CARNET DE SOUDURE'!E590)</f>
        <v>JN°179</v>
      </c>
      <c r="D590" s="78" t="str">
        <f aca="false">IF('CARNET DE SOUDURE'!E590="","",'CARNET DE SOUDURE'!D590&amp;"")</f>
        <v/>
      </c>
      <c r="E590" s="96" t="str">
        <f aca="false">IF(OR('CARNET DE SOUDURE'!E590="",'CARNET DE SOUDURE'!R590=""),"",'CARNET DE SOUDURE'!R590)</f>
        <v/>
      </c>
      <c r="F590" s="81" t="str">
        <f aca="false">IF('CARNET DE SOUDURE'!E590="","",'CARNET DE SOUDURE'!AL590)</f>
        <v/>
      </c>
      <c r="G590" s="81" t="str">
        <f aca="false">IF('CARNET DE SOUDURE'!E590="","",'CARNET DE SOUDURE'!AM590)</f>
        <v>À SOUDER</v>
      </c>
      <c r="H590" s="81" t="str">
        <f aca="false">IF(C590="","",IF(G590="ACCEPTÉ","OUI","NON"))</f>
        <v>NON</v>
      </c>
      <c r="I590" s="82"/>
      <c r="J590" s="79"/>
      <c r="K590" s="80"/>
      <c r="L590" s="80"/>
      <c r="M590" s="80"/>
      <c r="N590" s="83" t="str">
        <f aca="false">IF(C590="","",IF(I590="",IF(H590="OUI","À ENROBER",IF(G590="À SOUDER","NON SOUDÉ","EN ATTENTE RT")),IF(L590="R","À REPRENDRE",IF(H590&lt;&gt;"OUI","⚠ ENROBÉ AVANT ACCEPTATION RT","ENROBÉ"))))</f>
        <v>NON SOUDÉ</v>
      </c>
      <c r="O590" s="79"/>
    </row>
    <row r="591" customFormat="false" ht="15" hidden="false" customHeight="false" outlineLevel="0" collapsed="false">
      <c r="A591" s="78" t="n">
        <f aca="false">IF('CARNET DE SOUDURE'!E591="","",'CARNET DE SOUDURE'!A591)</f>
        <v>585</v>
      </c>
      <c r="B591" s="93" t="str">
        <f aca="false">IF('CARNET DE SOUDURE'!E591="","",'CARNET DE SOUDURE'!B591&amp;"")</f>
        <v>ISB-303</v>
      </c>
      <c r="C591" s="83" t="str">
        <f aca="false">IF('CARNET DE SOUDURE'!E591="","",'CARNET DE SOUDURE'!E591)</f>
        <v>JN°180</v>
      </c>
      <c r="D591" s="78" t="str">
        <f aca="false">IF('CARNET DE SOUDURE'!E591="","",'CARNET DE SOUDURE'!D591&amp;"")</f>
        <v/>
      </c>
      <c r="E591" s="96" t="str">
        <f aca="false">IF(OR('CARNET DE SOUDURE'!E591="",'CARNET DE SOUDURE'!R591=""),"",'CARNET DE SOUDURE'!R591)</f>
        <v/>
      </c>
      <c r="F591" s="81" t="str">
        <f aca="false">IF('CARNET DE SOUDURE'!E591="","",'CARNET DE SOUDURE'!AL591)</f>
        <v/>
      </c>
      <c r="G591" s="81" t="str">
        <f aca="false">IF('CARNET DE SOUDURE'!E591="","",'CARNET DE SOUDURE'!AM591)</f>
        <v>À SOUDER</v>
      </c>
      <c r="H591" s="81" t="str">
        <f aca="false">IF(C591="","",IF(G591="ACCEPTÉ","OUI","NON"))</f>
        <v>NON</v>
      </c>
      <c r="I591" s="82"/>
      <c r="J591" s="79"/>
      <c r="K591" s="80"/>
      <c r="L591" s="80"/>
      <c r="M591" s="80"/>
      <c r="N591" s="83" t="str">
        <f aca="false">IF(C591="","",IF(I591="",IF(H591="OUI","À ENROBER",IF(G591="À SOUDER","NON SOUDÉ","EN ATTENTE RT")),IF(L591="R","À REPRENDRE",IF(H591&lt;&gt;"OUI","⚠ ENROBÉ AVANT ACCEPTATION RT","ENROBÉ"))))</f>
        <v>NON SOUDÉ</v>
      </c>
      <c r="O591" s="79"/>
    </row>
    <row r="592" customFormat="false" ht="15" hidden="false" customHeight="false" outlineLevel="0" collapsed="false">
      <c r="A592" s="78" t="n">
        <f aca="false">IF('CARNET DE SOUDURE'!E592="","",'CARNET DE SOUDURE'!A592)</f>
        <v>586</v>
      </c>
      <c r="B592" s="93" t="str">
        <f aca="false">IF('CARNET DE SOUDURE'!E592="","",'CARNET DE SOUDURE'!B592&amp;"")</f>
        <v>ISB-303</v>
      </c>
      <c r="C592" s="83" t="str">
        <f aca="false">IF('CARNET DE SOUDURE'!E592="","",'CARNET DE SOUDURE'!E592)</f>
        <v>JN°181</v>
      </c>
      <c r="D592" s="78" t="str">
        <f aca="false">IF('CARNET DE SOUDURE'!E592="","",'CARNET DE SOUDURE'!D592&amp;"")</f>
        <v/>
      </c>
      <c r="E592" s="96" t="str">
        <f aca="false">IF(OR('CARNET DE SOUDURE'!E592="",'CARNET DE SOUDURE'!R592=""),"",'CARNET DE SOUDURE'!R592)</f>
        <v/>
      </c>
      <c r="F592" s="81" t="str">
        <f aca="false">IF('CARNET DE SOUDURE'!E592="","",'CARNET DE SOUDURE'!AL592)</f>
        <v/>
      </c>
      <c r="G592" s="81" t="str">
        <f aca="false">IF('CARNET DE SOUDURE'!E592="","",'CARNET DE SOUDURE'!AM592)</f>
        <v>À SOUDER</v>
      </c>
      <c r="H592" s="81" t="str">
        <f aca="false">IF(C592="","",IF(G592="ACCEPTÉ","OUI","NON"))</f>
        <v>NON</v>
      </c>
      <c r="I592" s="82"/>
      <c r="J592" s="79"/>
      <c r="K592" s="80"/>
      <c r="L592" s="80"/>
      <c r="M592" s="80"/>
      <c r="N592" s="83" t="str">
        <f aca="false">IF(C592="","",IF(I592="",IF(H592="OUI","À ENROBER",IF(G592="À SOUDER","NON SOUDÉ","EN ATTENTE RT")),IF(L592="R","À REPRENDRE",IF(H592&lt;&gt;"OUI","⚠ ENROBÉ AVANT ACCEPTATION RT","ENROBÉ"))))</f>
        <v>NON SOUDÉ</v>
      </c>
      <c r="O592" s="79"/>
    </row>
    <row r="593" customFormat="false" ht="15" hidden="false" customHeight="false" outlineLevel="0" collapsed="false">
      <c r="A593" s="78" t="n">
        <f aca="false">IF('CARNET DE SOUDURE'!E593="","",'CARNET DE SOUDURE'!A593)</f>
        <v>587</v>
      </c>
      <c r="B593" s="93" t="str">
        <f aca="false">IF('CARNET DE SOUDURE'!E593="","",'CARNET DE SOUDURE'!B593&amp;"")</f>
        <v>ISB-303</v>
      </c>
      <c r="C593" s="83" t="str">
        <f aca="false">IF('CARNET DE SOUDURE'!E593="","",'CARNET DE SOUDURE'!E593)</f>
        <v>JN°182</v>
      </c>
      <c r="D593" s="78" t="str">
        <f aca="false">IF('CARNET DE SOUDURE'!E593="","",'CARNET DE SOUDURE'!D593&amp;"")</f>
        <v/>
      </c>
      <c r="E593" s="96" t="str">
        <f aca="false">IF(OR('CARNET DE SOUDURE'!E593="",'CARNET DE SOUDURE'!R593=""),"",'CARNET DE SOUDURE'!R593)</f>
        <v/>
      </c>
      <c r="F593" s="81" t="str">
        <f aca="false">IF('CARNET DE SOUDURE'!E593="","",'CARNET DE SOUDURE'!AL593)</f>
        <v/>
      </c>
      <c r="G593" s="81" t="str">
        <f aca="false">IF('CARNET DE SOUDURE'!E593="","",'CARNET DE SOUDURE'!AM593)</f>
        <v>À SOUDER</v>
      </c>
      <c r="H593" s="81" t="str">
        <f aca="false">IF(C593="","",IF(G593="ACCEPTÉ","OUI","NON"))</f>
        <v>NON</v>
      </c>
      <c r="I593" s="82"/>
      <c r="J593" s="79"/>
      <c r="K593" s="80"/>
      <c r="L593" s="80"/>
      <c r="M593" s="80"/>
      <c r="N593" s="83" t="str">
        <f aca="false">IF(C593="","",IF(I593="",IF(H593="OUI","À ENROBER",IF(G593="À SOUDER","NON SOUDÉ","EN ATTENTE RT")),IF(L593="R","À REPRENDRE",IF(H593&lt;&gt;"OUI","⚠ ENROBÉ AVANT ACCEPTATION RT","ENROBÉ"))))</f>
        <v>NON SOUDÉ</v>
      </c>
      <c r="O593" s="79"/>
    </row>
    <row r="594" customFormat="false" ht="15" hidden="false" customHeight="false" outlineLevel="0" collapsed="false">
      <c r="A594" s="78" t="n">
        <f aca="false">IF('CARNET DE SOUDURE'!E594="","",'CARNET DE SOUDURE'!A594)</f>
        <v>588</v>
      </c>
      <c r="B594" s="93" t="str">
        <f aca="false">IF('CARNET DE SOUDURE'!E594="","",'CARNET DE SOUDURE'!B594&amp;"")</f>
        <v>ISB-303</v>
      </c>
      <c r="C594" s="83" t="str">
        <f aca="false">IF('CARNET DE SOUDURE'!E594="","",'CARNET DE SOUDURE'!E594)</f>
        <v>JN°183</v>
      </c>
      <c r="D594" s="78" t="str">
        <f aca="false">IF('CARNET DE SOUDURE'!E594="","",'CARNET DE SOUDURE'!D594&amp;"")</f>
        <v/>
      </c>
      <c r="E594" s="96" t="str">
        <f aca="false">IF(OR('CARNET DE SOUDURE'!E594="",'CARNET DE SOUDURE'!R594=""),"",'CARNET DE SOUDURE'!R594)</f>
        <v/>
      </c>
      <c r="F594" s="81" t="str">
        <f aca="false">IF('CARNET DE SOUDURE'!E594="","",'CARNET DE SOUDURE'!AL594)</f>
        <v/>
      </c>
      <c r="G594" s="81" t="str">
        <f aca="false">IF('CARNET DE SOUDURE'!E594="","",'CARNET DE SOUDURE'!AM594)</f>
        <v>À SOUDER</v>
      </c>
      <c r="H594" s="81" t="str">
        <f aca="false">IF(C594="","",IF(G594="ACCEPTÉ","OUI","NON"))</f>
        <v>NON</v>
      </c>
      <c r="I594" s="82"/>
      <c r="J594" s="79"/>
      <c r="K594" s="80"/>
      <c r="L594" s="80"/>
      <c r="M594" s="80"/>
      <c r="N594" s="83" t="str">
        <f aca="false">IF(C594="","",IF(I594="",IF(H594="OUI","À ENROBER",IF(G594="À SOUDER","NON SOUDÉ","EN ATTENTE RT")),IF(L594="R","À REPRENDRE",IF(H594&lt;&gt;"OUI","⚠ ENROBÉ AVANT ACCEPTATION RT","ENROBÉ"))))</f>
        <v>NON SOUDÉ</v>
      </c>
      <c r="O594" s="79"/>
    </row>
    <row r="595" customFormat="false" ht="15" hidden="false" customHeight="false" outlineLevel="0" collapsed="false">
      <c r="A595" s="78" t="n">
        <f aca="false">IF('CARNET DE SOUDURE'!E595="","",'CARNET DE SOUDURE'!A595)</f>
        <v>589</v>
      </c>
      <c r="B595" s="93" t="str">
        <f aca="false">IF('CARNET DE SOUDURE'!E595="","",'CARNET DE SOUDURE'!B595&amp;"")</f>
        <v>ISB-303</v>
      </c>
      <c r="C595" s="83" t="str">
        <f aca="false">IF('CARNET DE SOUDURE'!E595="","",'CARNET DE SOUDURE'!E595)</f>
        <v>JN°184</v>
      </c>
      <c r="D595" s="78" t="str">
        <f aca="false">IF('CARNET DE SOUDURE'!E595="","",'CARNET DE SOUDURE'!D595&amp;"")</f>
        <v/>
      </c>
      <c r="E595" s="96" t="str">
        <f aca="false">IF(OR('CARNET DE SOUDURE'!E595="",'CARNET DE SOUDURE'!R595=""),"",'CARNET DE SOUDURE'!R595)</f>
        <v/>
      </c>
      <c r="F595" s="81" t="str">
        <f aca="false">IF('CARNET DE SOUDURE'!E595="","",'CARNET DE SOUDURE'!AL595)</f>
        <v/>
      </c>
      <c r="G595" s="81" t="str">
        <f aca="false">IF('CARNET DE SOUDURE'!E595="","",'CARNET DE SOUDURE'!AM595)</f>
        <v>À SOUDER</v>
      </c>
      <c r="H595" s="81" t="str">
        <f aca="false">IF(C595="","",IF(G595="ACCEPTÉ","OUI","NON"))</f>
        <v>NON</v>
      </c>
      <c r="I595" s="82"/>
      <c r="J595" s="79"/>
      <c r="K595" s="80"/>
      <c r="L595" s="80"/>
      <c r="M595" s="80"/>
      <c r="N595" s="83" t="str">
        <f aca="false">IF(C595="","",IF(I595="",IF(H595="OUI","À ENROBER",IF(G595="À SOUDER","NON SOUDÉ","EN ATTENTE RT")),IF(L595="R","À REPRENDRE",IF(H595&lt;&gt;"OUI","⚠ ENROBÉ AVANT ACCEPTATION RT","ENROBÉ"))))</f>
        <v>NON SOUDÉ</v>
      </c>
      <c r="O595" s="79"/>
    </row>
    <row r="596" customFormat="false" ht="15" hidden="false" customHeight="false" outlineLevel="0" collapsed="false">
      <c r="A596" s="78" t="n">
        <f aca="false">IF('CARNET DE SOUDURE'!E596="","",'CARNET DE SOUDURE'!A596)</f>
        <v>590</v>
      </c>
      <c r="B596" s="93" t="str">
        <f aca="false">IF('CARNET DE SOUDURE'!E596="","",'CARNET DE SOUDURE'!B596&amp;"")</f>
        <v>ISB-303</v>
      </c>
      <c r="C596" s="83" t="str">
        <f aca="false">IF('CARNET DE SOUDURE'!E596="","",'CARNET DE SOUDURE'!E596)</f>
        <v>JN°185</v>
      </c>
      <c r="D596" s="78" t="str">
        <f aca="false">IF('CARNET DE SOUDURE'!E596="","",'CARNET DE SOUDURE'!D596&amp;"")</f>
        <v/>
      </c>
      <c r="E596" s="96" t="str">
        <f aca="false">IF(OR('CARNET DE SOUDURE'!E596="",'CARNET DE SOUDURE'!R596=""),"",'CARNET DE SOUDURE'!R596)</f>
        <v/>
      </c>
      <c r="F596" s="81" t="str">
        <f aca="false">IF('CARNET DE SOUDURE'!E596="","",'CARNET DE SOUDURE'!AL596)</f>
        <v/>
      </c>
      <c r="G596" s="81" t="str">
        <f aca="false">IF('CARNET DE SOUDURE'!E596="","",'CARNET DE SOUDURE'!AM596)</f>
        <v>À SOUDER</v>
      </c>
      <c r="H596" s="81" t="str">
        <f aca="false">IF(C596="","",IF(G596="ACCEPTÉ","OUI","NON"))</f>
        <v>NON</v>
      </c>
      <c r="I596" s="82"/>
      <c r="J596" s="79"/>
      <c r="K596" s="80"/>
      <c r="L596" s="80"/>
      <c r="M596" s="80"/>
      <c r="N596" s="83" t="str">
        <f aca="false">IF(C596="","",IF(I596="",IF(H596="OUI","À ENROBER",IF(G596="À SOUDER","NON SOUDÉ","EN ATTENTE RT")),IF(L596="R","À REPRENDRE",IF(H596&lt;&gt;"OUI","⚠ ENROBÉ AVANT ACCEPTATION RT","ENROBÉ"))))</f>
        <v>NON SOUDÉ</v>
      </c>
      <c r="O596" s="79"/>
    </row>
    <row r="597" customFormat="false" ht="15" hidden="false" customHeight="false" outlineLevel="0" collapsed="false">
      <c r="A597" s="78" t="n">
        <f aca="false">IF('CARNET DE SOUDURE'!E597="","",'CARNET DE SOUDURE'!A597)</f>
        <v>591</v>
      </c>
      <c r="B597" s="93" t="str">
        <f aca="false">IF('CARNET DE SOUDURE'!E597="","",'CARNET DE SOUDURE'!B597&amp;"")</f>
        <v>ISB-303</v>
      </c>
      <c r="C597" s="83" t="str">
        <f aca="false">IF('CARNET DE SOUDURE'!E597="","",'CARNET DE SOUDURE'!E597)</f>
        <v>JN°186</v>
      </c>
      <c r="D597" s="78" t="str">
        <f aca="false">IF('CARNET DE SOUDURE'!E597="","",'CARNET DE SOUDURE'!D597&amp;"")</f>
        <v/>
      </c>
      <c r="E597" s="96" t="str">
        <f aca="false">IF(OR('CARNET DE SOUDURE'!E597="",'CARNET DE SOUDURE'!R597=""),"",'CARNET DE SOUDURE'!R597)</f>
        <v/>
      </c>
      <c r="F597" s="81" t="str">
        <f aca="false">IF('CARNET DE SOUDURE'!E597="","",'CARNET DE SOUDURE'!AL597)</f>
        <v/>
      </c>
      <c r="G597" s="81" t="str">
        <f aca="false">IF('CARNET DE SOUDURE'!E597="","",'CARNET DE SOUDURE'!AM597)</f>
        <v>À SOUDER</v>
      </c>
      <c r="H597" s="81" t="str">
        <f aca="false">IF(C597="","",IF(G597="ACCEPTÉ","OUI","NON"))</f>
        <v>NON</v>
      </c>
      <c r="I597" s="82"/>
      <c r="J597" s="79"/>
      <c r="K597" s="80"/>
      <c r="L597" s="80"/>
      <c r="M597" s="80"/>
      <c r="N597" s="83" t="str">
        <f aca="false">IF(C597="","",IF(I597="",IF(H597="OUI","À ENROBER",IF(G597="À SOUDER","NON SOUDÉ","EN ATTENTE RT")),IF(L597="R","À REPRENDRE",IF(H597&lt;&gt;"OUI","⚠ ENROBÉ AVANT ACCEPTATION RT","ENROBÉ"))))</f>
        <v>NON SOUDÉ</v>
      </c>
      <c r="O597" s="79"/>
    </row>
    <row r="598" customFormat="false" ht="15" hidden="false" customHeight="false" outlineLevel="0" collapsed="false">
      <c r="A598" s="78" t="n">
        <f aca="false">IF('CARNET DE SOUDURE'!E598="","",'CARNET DE SOUDURE'!A598)</f>
        <v>592</v>
      </c>
      <c r="B598" s="93" t="str">
        <f aca="false">IF('CARNET DE SOUDURE'!E598="","",'CARNET DE SOUDURE'!B598&amp;"")</f>
        <v>ISB-303</v>
      </c>
      <c r="C598" s="83" t="str">
        <f aca="false">IF('CARNET DE SOUDURE'!E598="","",'CARNET DE SOUDURE'!E598)</f>
        <v>JN°187</v>
      </c>
      <c r="D598" s="78" t="str">
        <f aca="false">IF('CARNET DE SOUDURE'!E598="","",'CARNET DE SOUDURE'!D598&amp;"")</f>
        <v/>
      </c>
      <c r="E598" s="96" t="str">
        <f aca="false">IF(OR('CARNET DE SOUDURE'!E598="",'CARNET DE SOUDURE'!R598=""),"",'CARNET DE SOUDURE'!R598)</f>
        <v/>
      </c>
      <c r="F598" s="81" t="str">
        <f aca="false">IF('CARNET DE SOUDURE'!E598="","",'CARNET DE SOUDURE'!AL598)</f>
        <v/>
      </c>
      <c r="G598" s="81" t="str">
        <f aca="false">IF('CARNET DE SOUDURE'!E598="","",'CARNET DE SOUDURE'!AM598)</f>
        <v>À SOUDER</v>
      </c>
      <c r="H598" s="81" t="str">
        <f aca="false">IF(C598="","",IF(G598="ACCEPTÉ","OUI","NON"))</f>
        <v>NON</v>
      </c>
      <c r="I598" s="82"/>
      <c r="J598" s="79"/>
      <c r="K598" s="80"/>
      <c r="L598" s="80"/>
      <c r="M598" s="80"/>
      <c r="N598" s="83" t="str">
        <f aca="false">IF(C598="","",IF(I598="",IF(H598="OUI","À ENROBER",IF(G598="À SOUDER","NON SOUDÉ","EN ATTENTE RT")),IF(L598="R","À REPRENDRE",IF(H598&lt;&gt;"OUI","⚠ ENROBÉ AVANT ACCEPTATION RT","ENROBÉ"))))</f>
        <v>NON SOUDÉ</v>
      </c>
      <c r="O598" s="79"/>
    </row>
    <row r="599" customFormat="false" ht="15" hidden="false" customHeight="false" outlineLevel="0" collapsed="false">
      <c r="A599" s="78" t="n">
        <f aca="false">IF('CARNET DE SOUDURE'!E599="","",'CARNET DE SOUDURE'!A599)</f>
        <v>593</v>
      </c>
      <c r="B599" s="93" t="str">
        <f aca="false">IF('CARNET DE SOUDURE'!E599="","",'CARNET DE SOUDURE'!B599&amp;"")</f>
        <v>ISB-303</v>
      </c>
      <c r="C599" s="83" t="str">
        <f aca="false">IF('CARNET DE SOUDURE'!E599="","",'CARNET DE SOUDURE'!E599)</f>
        <v>JN°188</v>
      </c>
      <c r="D599" s="78" t="str">
        <f aca="false">IF('CARNET DE SOUDURE'!E599="","",'CARNET DE SOUDURE'!D599&amp;"")</f>
        <v/>
      </c>
      <c r="E599" s="96" t="str">
        <f aca="false">IF(OR('CARNET DE SOUDURE'!E599="",'CARNET DE SOUDURE'!R599=""),"",'CARNET DE SOUDURE'!R599)</f>
        <v/>
      </c>
      <c r="F599" s="81" t="str">
        <f aca="false">IF('CARNET DE SOUDURE'!E599="","",'CARNET DE SOUDURE'!AL599)</f>
        <v/>
      </c>
      <c r="G599" s="81" t="str">
        <f aca="false">IF('CARNET DE SOUDURE'!E599="","",'CARNET DE SOUDURE'!AM599)</f>
        <v>À SOUDER</v>
      </c>
      <c r="H599" s="81" t="str">
        <f aca="false">IF(C599="","",IF(G599="ACCEPTÉ","OUI","NON"))</f>
        <v>NON</v>
      </c>
      <c r="I599" s="82"/>
      <c r="J599" s="79"/>
      <c r="K599" s="80"/>
      <c r="L599" s="80"/>
      <c r="M599" s="80"/>
      <c r="N599" s="83" t="str">
        <f aca="false">IF(C599="","",IF(I599="",IF(H599="OUI","À ENROBER",IF(G599="À SOUDER","NON SOUDÉ","EN ATTENTE RT")),IF(L599="R","À REPRENDRE",IF(H599&lt;&gt;"OUI","⚠ ENROBÉ AVANT ACCEPTATION RT","ENROBÉ"))))</f>
        <v>NON SOUDÉ</v>
      </c>
      <c r="O599" s="79"/>
    </row>
    <row r="600" customFormat="false" ht="15" hidden="false" customHeight="false" outlineLevel="0" collapsed="false">
      <c r="A600" s="78" t="n">
        <f aca="false">IF('CARNET DE SOUDURE'!E600="","",'CARNET DE SOUDURE'!A600)</f>
        <v>594</v>
      </c>
      <c r="B600" s="93" t="str">
        <f aca="false">IF('CARNET DE SOUDURE'!E600="","",'CARNET DE SOUDURE'!B600&amp;"")</f>
        <v>ISB-303</v>
      </c>
      <c r="C600" s="83" t="str">
        <f aca="false">IF('CARNET DE SOUDURE'!E600="","",'CARNET DE SOUDURE'!E600)</f>
        <v>JN°189</v>
      </c>
      <c r="D600" s="78" t="str">
        <f aca="false">IF('CARNET DE SOUDURE'!E600="","",'CARNET DE SOUDURE'!D600&amp;"")</f>
        <v/>
      </c>
      <c r="E600" s="96" t="str">
        <f aca="false">IF(OR('CARNET DE SOUDURE'!E600="",'CARNET DE SOUDURE'!R600=""),"",'CARNET DE SOUDURE'!R600)</f>
        <v/>
      </c>
      <c r="F600" s="81" t="str">
        <f aca="false">IF('CARNET DE SOUDURE'!E600="","",'CARNET DE SOUDURE'!AL600)</f>
        <v/>
      </c>
      <c r="G600" s="81" t="str">
        <f aca="false">IF('CARNET DE SOUDURE'!E600="","",'CARNET DE SOUDURE'!AM600)</f>
        <v>À SOUDER</v>
      </c>
      <c r="H600" s="81" t="str">
        <f aca="false">IF(C600="","",IF(G600="ACCEPTÉ","OUI","NON"))</f>
        <v>NON</v>
      </c>
      <c r="I600" s="82"/>
      <c r="J600" s="79"/>
      <c r="K600" s="80"/>
      <c r="L600" s="80"/>
      <c r="M600" s="80"/>
      <c r="N600" s="83" t="str">
        <f aca="false">IF(C600="","",IF(I600="",IF(H600="OUI","À ENROBER",IF(G600="À SOUDER","NON SOUDÉ","EN ATTENTE RT")),IF(L600="R","À REPRENDRE",IF(H600&lt;&gt;"OUI","⚠ ENROBÉ AVANT ACCEPTATION RT","ENROBÉ"))))</f>
        <v>NON SOUDÉ</v>
      </c>
      <c r="O600" s="79"/>
    </row>
    <row r="601" customFormat="false" ht="15" hidden="false" customHeight="false" outlineLevel="0" collapsed="false">
      <c r="A601" s="78" t="n">
        <f aca="false">IF('CARNET DE SOUDURE'!E601="","",'CARNET DE SOUDURE'!A601)</f>
        <v>595</v>
      </c>
      <c r="B601" s="93" t="str">
        <f aca="false">IF('CARNET DE SOUDURE'!E601="","",'CARNET DE SOUDURE'!B601&amp;"")</f>
        <v>ISB-303</v>
      </c>
      <c r="C601" s="83" t="str">
        <f aca="false">IF('CARNET DE SOUDURE'!E601="","",'CARNET DE SOUDURE'!E601)</f>
        <v>JN°190</v>
      </c>
      <c r="D601" s="78" t="str">
        <f aca="false">IF('CARNET DE SOUDURE'!E601="","",'CARNET DE SOUDURE'!D601&amp;"")</f>
        <v/>
      </c>
      <c r="E601" s="96" t="str">
        <f aca="false">IF(OR('CARNET DE SOUDURE'!E601="",'CARNET DE SOUDURE'!R601=""),"",'CARNET DE SOUDURE'!R601)</f>
        <v/>
      </c>
      <c r="F601" s="81" t="str">
        <f aca="false">IF('CARNET DE SOUDURE'!E601="","",'CARNET DE SOUDURE'!AL601)</f>
        <v/>
      </c>
      <c r="G601" s="81" t="str">
        <f aca="false">IF('CARNET DE SOUDURE'!E601="","",'CARNET DE SOUDURE'!AM601)</f>
        <v>À SOUDER</v>
      </c>
      <c r="H601" s="81" t="str">
        <f aca="false">IF(C601="","",IF(G601="ACCEPTÉ","OUI","NON"))</f>
        <v>NON</v>
      </c>
      <c r="I601" s="82"/>
      <c r="J601" s="79"/>
      <c r="K601" s="80"/>
      <c r="L601" s="80"/>
      <c r="M601" s="80"/>
      <c r="N601" s="83" t="str">
        <f aca="false">IF(C601="","",IF(I601="",IF(H601="OUI","À ENROBER",IF(G601="À SOUDER","NON SOUDÉ","EN ATTENTE RT")),IF(L601="R","À REPRENDRE",IF(H601&lt;&gt;"OUI","⚠ ENROBÉ AVANT ACCEPTATION RT","ENROBÉ"))))</f>
        <v>NON SOUDÉ</v>
      </c>
      <c r="O601" s="79"/>
    </row>
    <row r="602" customFormat="false" ht="15" hidden="false" customHeight="false" outlineLevel="0" collapsed="false">
      <c r="A602" s="78" t="n">
        <f aca="false">IF('CARNET DE SOUDURE'!E602="","",'CARNET DE SOUDURE'!A602)</f>
        <v>596</v>
      </c>
      <c r="B602" s="93" t="str">
        <f aca="false">IF('CARNET DE SOUDURE'!E602="","",'CARNET DE SOUDURE'!B602&amp;"")</f>
        <v>ISB-303</v>
      </c>
      <c r="C602" s="83" t="str">
        <f aca="false">IF('CARNET DE SOUDURE'!E602="","",'CARNET DE SOUDURE'!E602)</f>
        <v>JN°191</v>
      </c>
      <c r="D602" s="78" t="str">
        <f aca="false">IF('CARNET DE SOUDURE'!E602="","",'CARNET DE SOUDURE'!D602&amp;"")</f>
        <v/>
      </c>
      <c r="E602" s="96" t="str">
        <f aca="false">IF(OR('CARNET DE SOUDURE'!E602="",'CARNET DE SOUDURE'!R602=""),"",'CARNET DE SOUDURE'!R602)</f>
        <v/>
      </c>
      <c r="F602" s="81" t="str">
        <f aca="false">IF('CARNET DE SOUDURE'!E602="","",'CARNET DE SOUDURE'!AL602)</f>
        <v/>
      </c>
      <c r="G602" s="81" t="str">
        <f aca="false">IF('CARNET DE SOUDURE'!E602="","",'CARNET DE SOUDURE'!AM602)</f>
        <v>À SOUDER</v>
      </c>
      <c r="H602" s="81" t="str">
        <f aca="false">IF(C602="","",IF(G602="ACCEPTÉ","OUI","NON"))</f>
        <v>NON</v>
      </c>
      <c r="I602" s="82"/>
      <c r="J602" s="79"/>
      <c r="K602" s="80"/>
      <c r="L602" s="80"/>
      <c r="M602" s="80"/>
      <c r="N602" s="83" t="str">
        <f aca="false">IF(C602="","",IF(I602="",IF(H602="OUI","À ENROBER",IF(G602="À SOUDER","NON SOUDÉ","EN ATTENTE RT")),IF(L602="R","À REPRENDRE",IF(H602&lt;&gt;"OUI","⚠ ENROBÉ AVANT ACCEPTATION RT","ENROBÉ"))))</f>
        <v>NON SOUDÉ</v>
      </c>
      <c r="O602" s="79"/>
    </row>
    <row r="603" customFormat="false" ht="15" hidden="false" customHeight="false" outlineLevel="0" collapsed="false">
      <c r="A603" s="78" t="n">
        <f aca="false">IF('CARNET DE SOUDURE'!E603="","",'CARNET DE SOUDURE'!A603)</f>
        <v>597</v>
      </c>
      <c r="B603" s="93" t="str">
        <f aca="false">IF('CARNET DE SOUDURE'!E603="","",'CARNET DE SOUDURE'!B603&amp;"")</f>
        <v>ISB-303</v>
      </c>
      <c r="C603" s="83" t="str">
        <f aca="false">IF('CARNET DE SOUDURE'!E603="","",'CARNET DE SOUDURE'!E603)</f>
        <v>JN°192</v>
      </c>
      <c r="D603" s="78" t="str">
        <f aca="false">IF('CARNET DE SOUDURE'!E603="","",'CARNET DE SOUDURE'!D603&amp;"")</f>
        <v/>
      </c>
      <c r="E603" s="96" t="str">
        <f aca="false">IF(OR('CARNET DE SOUDURE'!E603="",'CARNET DE SOUDURE'!R603=""),"",'CARNET DE SOUDURE'!R603)</f>
        <v/>
      </c>
      <c r="F603" s="81" t="str">
        <f aca="false">IF('CARNET DE SOUDURE'!E603="","",'CARNET DE SOUDURE'!AL603)</f>
        <v/>
      </c>
      <c r="G603" s="81" t="str">
        <f aca="false">IF('CARNET DE SOUDURE'!E603="","",'CARNET DE SOUDURE'!AM603)</f>
        <v>À SOUDER</v>
      </c>
      <c r="H603" s="81" t="str">
        <f aca="false">IF(C603="","",IF(G603="ACCEPTÉ","OUI","NON"))</f>
        <v>NON</v>
      </c>
      <c r="I603" s="82"/>
      <c r="J603" s="79"/>
      <c r="K603" s="80"/>
      <c r="L603" s="80"/>
      <c r="M603" s="80"/>
      <c r="N603" s="83" t="str">
        <f aca="false">IF(C603="","",IF(I603="",IF(H603="OUI","À ENROBER",IF(G603="À SOUDER","NON SOUDÉ","EN ATTENTE RT")),IF(L603="R","À REPRENDRE",IF(H603&lt;&gt;"OUI","⚠ ENROBÉ AVANT ACCEPTATION RT","ENROBÉ"))))</f>
        <v>NON SOUDÉ</v>
      </c>
      <c r="O603" s="79"/>
    </row>
    <row r="604" customFormat="false" ht="15" hidden="false" customHeight="false" outlineLevel="0" collapsed="false">
      <c r="A604" s="78" t="n">
        <f aca="false">IF('CARNET DE SOUDURE'!E604="","",'CARNET DE SOUDURE'!A604)</f>
        <v>598</v>
      </c>
      <c r="B604" s="93" t="str">
        <f aca="false">IF('CARNET DE SOUDURE'!E604="","",'CARNET DE SOUDURE'!B604&amp;"")</f>
        <v>ISB-303</v>
      </c>
      <c r="C604" s="83" t="str">
        <f aca="false">IF('CARNET DE SOUDURE'!E604="","",'CARNET DE SOUDURE'!E604)</f>
        <v>JN°193</v>
      </c>
      <c r="D604" s="78" t="str">
        <f aca="false">IF('CARNET DE SOUDURE'!E604="","",'CARNET DE SOUDURE'!D604&amp;"")</f>
        <v/>
      </c>
      <c r="E604" s="96" t="str">
        <f aca="false">IF(OR('CARNET DE SOUDURE'!E604="",'CARNET DE SOUDURE'!R604=""),"",'CARNET DE SOUDURE'!R604)</f>
        <v/>
      </c>
      <c r="F604" s="81" t="str">
        <f aca="false">IF('CARNET DE SOUDURE'!E604="","",'CARNET DE SOUDURE'!AL604)</f>
        <v/>
      </c>
      <c r="G604" s="81" t="str">
        <f aca="false">IF('CARNET DE SOUDURE'!E604="","",'CARNET DE SOUDURE'!AM604)</f>
        <v>À SOUDER</v>
      </c>
      <c r="H604" s="81" t="str">
        <f aca="false">IF(C604="","",IF(G604="ACCEPTÉ","OUI","NON"))</f>
        <v>NON</v>
      </c>
      <c r="I604" s="82"/>
      <c r="J604" s="79"/>
      <c r="K604" s="80"/>
      <c r="L604" s="80"/>
      <c r="M604" s="80"/>
      <c r="N604" s="83" t="str">
        <f aca="false">IF(C604="","",IF(I604="",IF(H604="OUI","À ENROBER",IF(G604="À SOUDER","NON SOUDÉ","EN ATTENTE RT")),IF(L604="R","À REPRENDRE",IF(H604&lt;&gt;"OUI","⚠ ENROBÉ AVANT ACCEPTATION RT","ENROBÉ"))))</f>
        <v>NON SOUDÉ</v>
      </c>
      <c r="O604" s="79"/>
    </row>
    <row r="605" customFormat="false" ht="15" hidden="false" customHeight="false" outlineLevel="0" collapsed="false">
      <c r="A605" s="78" t="n">
        <f aca="false">IF('CARNET DE SOUDURE'!E605="","",'CARNET DE SOUDURE'!A605)</f>
        <v>599</v>
      </c>
      <c r="B605" s="93" t="str">
        <f aca="false">IF('CARNET DE SOUDURE'!E605="","",'CARNET DE SOUDURE'!B605&amp;"")</f>
        <v>ISB-303</v>
      </c>
      <c r="C605" s="83" t="str">
        <f aca="false">IF('CARNET DE SOUDURE'!E605="","",'CARNET DE SOUDURE'!E605)</f>
        <v>JN°194</v>
      </c>
      <c r="D605" s="78" t="str">
        <f aca="false">IF('CARNET DE SOUDURE'!E605="","",'CARNET DE SOUDURE'!D605&amp;"")</f>
        <v/>
      </c>
      <c r="E605" s="96" t="str">
        <f aca="false">IF(OR('CARNET DE SOUDURE'!E605="",'CARNET DE SOUDURE'!R605=""),"",'CARNET DE SOUDURE'!R605)</f>
        <v/>
      </c>
      <c r="F605" s="81" t="str">
        <f aca="false">IF('CARNET DE SOUDURE'!E605="","",'CARNET DE SOUDURE'!AL605)</f>
        <v/>
      </c>
      <c r="G605" s="81" t="str">
        <f aca="false">IF('CARNET DE SOUDURE'!E605="","",'CARNET DE SOUDURE'!AM605)</f>
        <v>À SOUDER</v>
      </c>
      <c r="H605" s="81" t="str">
        <f aca="false">IF(C605="","",IF(G605="ACCEPTÉ","OUI","NON"))</f>
        <v>NON</v>
      </c>
      <c r="I605" s="82"/>
      <c r="J605" s="79"/>
      <c r="K605" s="80"/>
      <c r="L605" s="80"/>
      <c r="M605" s="80"/>
      <c r="N605" s="83" t="str">
        <f aca="false">IF(C605="","",IF(I605="",IF(H605="OUI","À ENROBER",IF(G605="À SOUDER","NON SOUDÉ","EN ATTENTE RT")),IF(L605="R","À REPRENDRE",IF(H605&lt;&gt;"OUI","⚠ ENROBÉ AVANT ACCEPTATION RT","ENROBÉ"))))</f>
        <v>NON SOUDÉ</v>
      </c>
      <c r="O605" s="79"/>
    </row>
    <row r="606" customFormat="false" ht="15" hidden="false" customHeight="false" outlineLevel="0" collapsed="false">
      <c r="A606" s="78" t="n">
        <f aca="false">IF('CARNET DE SOUDURE'!E606="","",'CARNET DE SOUDURE'!A606)</f>
        <v>600</v>
      </c>
      <c r="B606" s="93" t="str">
        <f aca="false">IF('CARNET DE SOUDURE'!E606="","",'CARNET DE SOUDURE'!B606&amp;"")</f>
        <v>ISB-303</v>
      </c>
      <c r="C606" s="83" t="str">
        <f aca="false">IF('CARNET DE SOUDURE'!E606="","",'CARNET DE SOUDURE'!E606)</f>
        <v>JN°195</v>
      </c>
      <c r="D606" s="78" t="str">
        <f aca="false">IF('CARNET DE SOUDURE'!E606="","",'CARNET DE SOUDURE'!D606&amp;"")</f>
        <v/>
      </c>
      <c r="E606" s="96" t="str">
        <f aca="false">IF(OR('CARNET DE SOUDURE'!E606="",'CARNET DE SOUDURE'!R606=""),"",'CARNET DE SOUDURE'!R606)</f>
        <v/>
      </c>
      <c r="F606" s="81" t="str">
        <f aca="false">IF('CARNET DE SOUDURE'!E606="","",'CARNET DE SOUDURE'!AL606)</f>
        <v/>
      </c>
      <c r="G606" s="81" t="str">
        <f aca="false">IF('CARNET DE SOUDURE'!E606="","",'CARNET DE SOUDURE'!AM606)</f>
        <v>À SOUDER</v>
      </c>
      <c r="H606" s="81" t="str">
        <f aca="false">IF(C606="","",IF(G606="ACCEPTÉ","OUI","NON"))</f>
        <v>NON</v>
      </c>
      <c r="I606" s="82"/>
      <c r="J606" s="79"/>
      <c r="K606" s="80"/>
      <c r="L606" s="80"/>
      <c r="M606" s="80"/>
      <c r="N606" s="83" t="str">
        <f aca="false">IF(C606="","",IF(I606="",IF(H606="OUI","À ENROBER",IF(G606="À SOUDER","NON SOUDÉ","EN ATTENTE RT")),IF(L606="R","À REPRENDRE",IF(H606&lt;&gt;"OUI","⚠ ENROBÉ AVANT ACCEPTATION RT","ENROBÉ"))))</f>
        <v>NON SOUDÉ</v>
      </c>
      <c r="O606" s="79"/>
    </row>
    <row r="607" customFormat="false" ht="15" hidden="false" customHeight="false" outlineLevel="0" collapsed="false">
      <c r="A607" s="78" t="n">
        <f aca="false">IF('CARNET DE SOUDURE'!E607="","",'CARNET DE SOUDURE'!A607)</f>
        <v>601</v>
      </c>
      <c r="B607" s="93" t="str">
        <f aca="false">IF('CARNET DE SOUDURE'!E607="","",'CARNET DE SOUDURE'!B607&amp;"")</f>
        <v>ISB-303</v>
      </c>
      <c r="C607" s="83" t="str">
        <f aca="false">IF('CARNET DE SOUDURE'!E607="","",'CARNET DE SOUDURE'!E607)</f>
        <v>JN°196</v>
      </c>
      <c r="D607" s="78" t="str">
        <f aca="false">IF('CARNET DE SOUDURE'!E607="","",'CARNET DE SOUDURE'!D607&amp;"")</f>
        <v/>
      </c>
      <c r="E607" s="96" t="str">
        <f aca="false">IF(OR('CARNET DE SOUDURE'!E607="",'CARNET DE SOUDURE'!R607=""),"",'CARNET DE SOUDURE'!R607)</f>
        <v/>
      </c>
      <c r="F607" s="81" t="str">
        <f aca="false">IF('CARNET DE SOUDURE'!E607="","",'CARNET DE SOUDURE'!AL607)</f>
        <v/>
      </c>
      <c r="G607" s="81" t="str">
        <f aca="false">IF('CARNET DE SOUDURE'!E607="","",'CARNET DE SOUDURE'!AM607)</f>
        <v>À SOUDER</v>
      </c>
      <c r="H607" s="81" t="str">
        <f aca="false">IF(C607="","",IF(G607="ACCEPTÉ","OUI","NON"))</f>
        <v>NON</v>
      </c>
      <c r="I607" s="82"/>
      <c r="J607" s="79"/>
      <c r="K607" s="80"/>
      <c r="L607" s="80"/>
      <c r="M607" s="80"/>
      <c r="N607" s="83" t="str">
        <f aca="false">IF(C607="","",IF(I607="",IF(H607="OUI","À ENROBER",IF(G607="À SOUDER","NON SOUDÉ","EN ATTENTE RT")),IF(L607="R","À REPRENDRE",IF(H607&lt;&gt;"OUI","⚠ ENROBÉ AVANT ACCEPTATION RT","ENROBÉ"))))</f>
        <v>NON SOUDÉ</v>
      </c>
      <c r="O607" s="79"/>
    </row>
    <row r="608" customFormat="false" ht="15" hidden="false" customHeight="false" outlineLevel="0" collapsed="false">
      <c r="A608" s="78" t="n">
        <f aca="false">IF('CARNET DE SOUDURE'!E608="","",'CARNET DE SOUDURE'!A608)</f>
        <v>602</v>
      </c>
      <c r="B608" s="93" t="str">
        <f aca="false">IF('CARNET DE SOUDURE'!E608="","",'CARNET DE SOUDURE'!B608&amp;"")</f>
        <v>ISB-303</v>
      </c>
      <c r="C608" s="83" t="str">
        <f aca="false">IF('CARNET DE SOUDURE'!E608="","",'CARNET DE SOUDURE'!E608)</f>
        <v>JN°197</v>
      </c>
      <c r="D608" s="78" t="str">
        <f aca="false">IF('CARNET DE SOUDURE'!E608="","",'CARNET DE SOUDURE'!D608&amp;"")</f>
        <v/>
      </c>
      <c r="E608" s="96" t="str">
        <f aca="false">IF(OR('CARNET DE SOUDURE'!E608="",'CARNET DE SOUDURE'!R608=""),"",'CARNET DE SOUDURE'!R608)</f>
        <v/>
      </c>
      <c r="F608" s="81" t="str">
        <f aca="false">IF('CARNET DE SOUDURE'!E608="","",'CARNET DE SOUDURE'!AL608)</f>
        <v/>
      </c>
      <c r="G608" s="81" t="str">
        <f aca="false">IF('CARNET DE SOUDURE'!E608="","",'CARNET DE SOUDURE'!AM608)</f>
        <v>À SOUDER</v>
      </c>
      <c r="H608" s="81" t="str">
        <f aca="false">IF(C608="","",IF(G608="ACCEPTÉ","OUI","NON"))</f>
        <v>NON</v>
      </c>
      <c r="I608" s="82"/>
      <c r="J608" s="79"/>
      <c r="K608" s="80"/>
      <c r="L608" s="80"/>
      <c r="M608" s="80"/>
      <c r="N608" s="83" t="str">
        <f aca="false">IF(C608="","",IF(I608="",IF(H608="OUI","À ENROBER",IF(G608="À SOUDER","NON SOUDÉ","EN ATTENTE RT")),IF(L608="R","À REPRENDRE",IF(H608&lt;&gt;"OUI","⚠ ENROBÉ AVANT ACCEPTATION RT","ENROBÉ"))))</f>
        <v>NON SOUDÉ</v>
      </c>
      <c r="O608" s="79"/>
    </row>
    <row r="609" customFormat="false" ht="15" hidden="false" customHeight="false" outlineLevel="0" collapsed="false">
      <c r="A609" s="78" t="n">
        <f aca="false">IF('CARNET DE SOUDURE'!E609="","",'CARNET DE SOUDURE'!A609)</f>
        <v>603</v>
      </c>
      <c r="B609" s="93" t="str">
        <f aca="false">IF('CARNET DE SOUDURE'!E609="","",'CARNET DE SOUDURE'!B609&amp;"")</f>
        <v>ISB-303</v>
      </c>
      <c r="C609" s="83" t="str">
        <f aca="false">IF('CARNET DE SOUDURE'!E609="","",'CARNET DE SOUDURE'!E609)</f>
        <v>JN°198</v>
      </c>
      <c r="D609" s="78" t="str">
        <f aca="false">IF('CARNET DE SOUDURE'!E609="","",'CARNET DE SOUDURE'!D609&amp;"")</f>
        <v/>
      </c>
      <c r="E609" s="96" t="str">
        <f aca="false">IF(OR('CARNET DE SOUDURE'!E609="",'CARNET DE SOUDURE'!R609=""),"",'CARNET DE SOUDURE'!R609)</f>
        <v/>
      </c>
      <c r="F609" s="81" t="str">
        <f aca="false">IF('CARNET DE SOUDURE'!E609="","",'CARNET DE SOUDURE'!AL609)</f>
        <v/>
      </c>
      <c r="G609" s="81" t="str">
        <f aca="false">IF('CARNET DE SOUDURE'!E609="","",'CARNET DE SOUDURE'!AM609)</f>
        <v>À SOUDER</v>
      </c>
      <c r="H609" s="81" t="str">
        <f aca="false">IF(C609="","",IF(G609="ACCEPTÉ","OUI","NON"))</f>
        <v>NON</v>
      </c>
      <c r="I609" s="82"/>
      <c r="J609" s="79"/>
      <c r="K609" s="80"/>
      <c r="L609" s="80"/>
      <c r="M609" s="80"/>
      <c r="N609" s="83" t="str">
        <f aca="false">IF(C609="","",IF(I609="",IF(H609="OUI","À ENROBER",IF(G609="À SOUDER","NON SOUDÉ","EN ATTENTE RT")),IF(L609="R","À REPRENDRE",IF(H609&lt;&gt;"OUI","⚠ ENROBÉ AVANT ACCEPTATION RT","ENROBÉ"))))</f>
        <v>NON SOUDÉ</v>
      </c>
      <c r="O609" s="79"/>
    </row>
    <row r="610" customFormat="false" ht="15" hidden="false" customHeight="false" outlineLevel="0" collapsed="false">
      <c r="A610" s="78" t="n">
        <f aca="false">IF('CARNET DE SOUDURE'!E610="","",'CARNET DE SOUDURE'!A610)</f>
        <v>604</v>
      </c>
      <c r="B610" s="93" t="str">
        <f aca="false">IF('CARNET DE SOUDURE'!E610="","",'CARNET DE SOUDURE'!B610&amp;"")</f>
        <v>ISB-303</v>
      </c>
      <c r="C610" s="83" t="str">
        <f aca="false">IF('CARNET DE SOUDURE'!E610="","",'CARNET DE SOUDURE'!E610)</f>
        <v>JN°199</v>
      </c>
      <c r="D610" s="78" t="str">
        <f aca="false">IF('CARNET DE SOUDURE'!E610="","",'CARNET DE SOUDURE'!D610&amp;"")</f>
        <v/>
      </c>
      <c r="E610" s="96" t="str">
        <f aca="false">IF(OR('CARNET DE SOUDURE'!E610="",'CARNET DE SOUDURE'!R610=""),"",'CARNET DE SOUDURE'!R610)</f>
        <v/>
      </c>
      <c r="F610" s="81" t="str">
        <f aca="false">IF('CARNET DE SOUDURE'!E610="","",'CARNET DE SOUDURE'!AL610)</f>
        <v/>
      </c>
      <c r="G610" s="81" t="str">
        <f aca="false">IF('CARNET DE SOUDURE'!E610="","",'CARNET DE SOUDURE'!AM610)</f>
        <v>À SOUDER</v>
      </c>
      <c r="H610" s="81" t="str">
        <f aca="false">IF(C610="","",IF(G610="ACCEPTÉ","OUI","NON"))</f>
        <v>NON</v>
      </c>
      <c r="I610" s="82"/>
      <c r="J610" s="79"/>
      <c r="K610" s="80"/>
      <c r="L610" s="80"/>
      <c r="M610" s="80"/>
      <c r="N610" s="83" t="str">
        <f aca="false">IF(C610="","",IF(I610="",IF(H610="OUI","À ENROBER",IF(G610="À SOUDER","NON SOUDÉ","EN ATTENTE RT")),IF(L610="R","À REPRENDRE",IF(H610&lt;&gt;"OUI","⚠ ENROBÉ AVANT ACCEPTATION RT","ENROBÉ"))))</f>
        <v>NON SOUDÉ</v>
      </c>
      <c r="O610" s="79"/>
    </row>
    <row r="611" customFormat="false" ht="15" hidden="false" customHeight="false" outlineLevel="0" collapsed="false">
      <c r="A611" s="78" t="n">
        <f aca="false">IF('CARNET DE SOUDURE'!E611="","",'CARNET DE SOUDURE'!A611)</f>
        <v>605</v>
      </c>
      <c r="B611" s="93" t="str">
        <f aca="false">IF('CARNET DE SOUDURE'!E611="","",'CARNET DE SOUDURE'!B611&amp;"")</f>
        <v>ISB-303</v>
      </c>
      <c r="C611" s="83" t="str">
        <f aca="false">IF('CARNET DE SOUDURE'!E611="","",'CARNET DE SOUDURE'!E611)</f>
        <v>JN°200</v>
      </c>
      <c r="D611" s="78" t="str">
        <f aca="false">IF('CARNET DE SOUDURE'!E611="","",'CARNET DE SOUDURE'!D611&amp;"")</f>
        <v/>
      </c>
      <c r="E611" s="96" t="str">
        <f aca="false">IF(OR('CARNET DE SOUDURE'!E611="",'CARNET DE SOUDURE'!R611=""),"",'CARNET DE SOUDURE'!R611)</f>
        <v/>
      </c>
      <c r="F611" s="81" t="str">
        <f aca="false">IF('CARNET DE SOUDURE'!E611="","",'CARNET DE SOUDURE'!AL611)</f>
        <v/>
      </c>
      <c r="G611" s="81" t="str">
        <f aca="false">IF('CARNET DE SOUDURE'!E611="","",'CARNET DE SOUDURE'!AM611)</f>
        <v>À SOUDER</v>
      </c>
      <c r="H611" s="81" t="str">
        <f aca="false">IF(C611="","",IF(G611="ACCEPTÉ","OUI","NON"))</f>
        <v>NON</v>
      </c>
      <c r="I611" s="82"/>
      <c r="J611" s="79"/>
      <c r="K611" s="80"/>
      <c r="L611" s="80"/>
      <c r="M611" s="80"/>
      <c r="N611" s="83" t="str">
        <f aca="false">IF(C611="","",IF(I611="",IF(H611="OUI","À ENROBER",IF(G611="À SOUDER","NON SOUDÉ","EN ATTENTE RT")),IF(L611="R","À REPRENDRE",IF(H611&lt;&gt;"OUI","⚠ ENROBÉ AVANT ACCEPTATION RT","ENROBÉ"))))</f>
        <v>NON SOUDÉ</v>
      </c>
      <c r="O611" s="79"/>
    </row>
    <row r="612" customFormat="false" ht="15" hidden="false" customHeight="false" outlineLevel="0" collapsed="false">
      <c r="A612" s="78" t="n">
        <f aca="false">IF('CARNET DE SOUDURE'!E612="","",'CARNET DE SOUDURE'!A612)</f>
        <v>606</v>
      </c>
      <c r="B612" s="93" t="str">
        <f aca="false">IF('CARNET DE SOUDURE'!E612="","",'CARNET DE SOUDURE'!B612&amp;"")</f>
        <v>ISB-304</v>
      </c>
      <c r="C612" s="83" t="str">
        <f aca="false">IF('CARNET DE SOUDURE'!E612="","",'CARNET DE SOUDURE'!E612)</f>
        <v>JN°001</v>
      </c>
      <c r="D612" s="78" t="str">
        <f aca="false">IF('CARNET DE SOUDURE'!E612="","",'CARNET DE SOUDURE'!D612&amp;"")</f>
        <v/>
      </c>
      <c r="E612" s="96" t="str">
        <f aca="false">IF(OR('CARNET DE SOUDURE'!E612="",'CARNET DE SOUDURE'!R612=""),"",'CARNET DE SOUDURE'!R612)</f>
        <v/>
      </c>
      <c r="F612" s="81" t="str">
        <f aca="false">IF('CARNET DE SOUDURE'!E612="","",'CARNET DE SOUDURE'!AL612)</f>
        <v/>
      </c>
      <c r="G612" s="81" t="str">
        <f aca="false">IF('CARNET DE SOUDURE'!E612="","",'CARNET DE SOUDURE'!AM612)</f>
        <v>À SOUDER</v>
      </c>
      <c r="H612" s="81" t="str">
        <f aca="false">IF(C612="","",IF(G612="ACCEPTÉ","OUI","NON"))</f>
        <v>NON</v>
      </c>
      <c r="I612" s="82"/>
      <c r="J612" s="79"/>
      <c r="K612" s="80"/>
      <c r="L612" s="80"/>
      <c r="M612" s="80"/>
      <c r="N612" s="83" t="str">
        <f aca="false">IF(C612="","",IF(I612="",IF(H612="OUI","À ENROBER",IF(G612="À SOUDER","NON SOUDÉ","EN ATTENTE RT")),IF(L612="R","À REPRENDRE",IF(H612&lt;&gt;"OUI","⚠ ENROBÉ AVANT ACCEPTATION RT","ENROBÉ"))))</f>
        <v>NON SOUDÉ</v>
      </c>
      <c r="O612" s="79"/>
    </row>
    <row r="613" customFormat="false" ht="15" hidden="false" customHeight="false" outlineLevel="0" collapsed="false">
      <c r="A613" s="78" t="n">
        <f aca="false">IF('CARNET DE SOUDURE'!E613="","",'CARNET DE SOUDURE'!A613)</f>
        <v>607</v>
      </c>
      <c r="B613" s="93" t="str">
        <f aca="false">IF('CARNET DE SOUDURE'!E613="","",'CARNET DE SOUDURE'!B613&amp;"")</f>
        <v>ISB-304</v>
      </c>
      <c r="C613" s="83" t="str">
        <f aca="false">IF('CARNET DE SOUDURE'!E613="","",'CARNET DE SOUDURE'!E613)</f>
        <v>JN°002</v>
      </c>
      <c r="D613" s="78" t="str">
        <f aca="false">IF('CARNET DE SOUDURE'!E613="","",'CARNET DE SOUDURE'!D613&amp;"")</f>
        <v/>
      </c>
      <c r="E613" s="96" t="str">
        <f aca="false">IF(OR('CARNET DE SOUDURE'!E613="",'CARNET DE SOUDURE'!R613=""),"",'CARNET DE SOUDURE'!R613)</f>
        <v/>
      </c>
      <c r="F613" s="81" t="str">
        <f aca="false">IF('CARNET DE SOUDURE'!E613="","",'CARNET DE SOUDURE'!AL613)</f>
        <v/>
      </c>
      <c r="G613" s="81" t="str">
        <f aca="false">IF('CARNET DE SOUDURE'!E613="","",'CARNET DE SOUDURE'!AM613)</f>
        <v>À SOUDER</v>
      </c>
      <c r="H613" s="81" t="str">
        <f aca="false">IF(C613="","",IF(G613="ACCEPTÉ","OUI","NON"))</f>
        <v>NON</v>
      </c>
      <c r="I613" s="82"/>
      <c r="J613" s="79"/>
      <c r="K613" s="80"/>
      <c r="L613" s="80"/>
      <c r="M613" s="80"/>
      <c r="N613" s="83" t="str">
        <f aca="false">IF(C613="","",IF(I613="",IF(H613="OUI","À ENROBER",IF(G613="À SOUDER","NON SOUDÉ","EN ATTENTE RT")),IF(L613="R","À REPRENDRE",IF(H613&lt;&gt;"OUI","⚠ ENROBÉ AVANT ACCEPTATION RT","ENROBÉ"))))</f>
        <v>NON SOUDÉ</v>
      </c>
      <c r="O613" s="79"/>
    </row>
    <row r="614" customFormat="false" ht="15" hidden="false" customHeight="false" outlineLevel="0" collapsed="false">
      <c r="A614" s="78" t="n">
        <f aca="false">IF('CARNET DE SOUDURE'!E614="","",'CARNET DE SOUDURE'!A614)</f>
        <v>608</v>
      </c>
      <c r="B614" s="93" t="str">
        <f aca="false">IF('CARNET DE SOUDURE'!E614="","",'CARNET DE SOUDURE'!B614&amp;"")</f>
        <v>ISB-304</v>
      </c>
      <c r="C614" s="83" t="str">
        <f aca="false">IF('CARNET DE SOUDURE'!E614="","",'CARNET DE SOUDURE'!E614)</f>
        <v>JN°003</v>
      </c>
      <c r="D614" s="78" t="str">
        <f aca="false">IF('CARNET DE SOUDURE'!E614="","",'CARNET DE SOUDURE'!D614&amp;"")</f>
        <v/>
      </c>
      <c r="E614" s="96" t="str">
        <f aca="false">IF(OR('CARNET DE SOUDURE'!E614="",'CARNET DE SOUDURE'!R614=""),"",'CARNET DE SOUDURE'!R614)</f>
        <v/>
      </c>
      <c r="F614" s="81" t="str">
        <f aca="false">IF('CARNET DE SOUDURE'!E614="","",'CARNET DE SOUDURE'!AL614)</f>
        <v/>
      </c>
      <c r="G614" s="81" t="str">
        <f aca="false">IF('CARNET DE SOUDURE'!E614="","",'CARNET DE SOUDURE'!AM614)</f>
        <v>À SOUDER</v>
      </c>
      <c r="H614" s="81" t="str">
        <f aca="false">IF(C614="","",IF(G614="ACCEPTÉ","OUI","NON"))</f>
        <v>NON</v>
      </c>
      <c r="I614" s="82"/>
      <c r="J614" s="79"/>
      <c r="K614" s="80"/>
      <c r="L614" s="80"/>
      <c r="M614" s="80"/>
      <c r="N614" s="83" t="str">
        <f aca="false">IF(C614="","",IF(I614="",IF(H614="OUI","À ENROBER",IF(G614="À SOUDER","NON SOUDÉ","EN ATTENTE RT")),IF(L614="R","À REPRENDRE",IF(H614&lt;&gt;"OUI","⚠ ENROBÉ AVANT ACCEPTATION RT","ENROBÉ"))))</f>
        <v>NON SOUDÉ</v>
      </c>
      <c r="O614" s="79"/>
    </row>
    <row r="615" customFormat="false" ht="15" hidden="false" customHeight="false" outlineLevel="0" collapsed="false">
      <c r="A615" s="78" t="n">
        <f aca="false">IF('CARNET DE SOUDURE'!E615="","",'CARNET DE SOUDURE'!A615)</f>
        <v>609</v>
      </c>
      <c r="B615" s="93" t="str">
        <f aca="false">IF('CARNET DE SOUDURE'!E615="","",'CARNET DE SOUDURE'!B615&amp;"")</f>
        <v>ISB-304</v>
      </c>
      <c r="C615" s="83" t="str">
        <f aca="false">IF('CARNET DE SOUDURE'!E615="","",'CARNET DE SOUDURE'!E615)</f>
        <v>JN°004</v>
      </c>
      <c r="D615" s="78" t="str">
        <f aca="false">IF('CARNET DE SOUDURE'!E615="","",'CARNET DE SOUDURE'!D615&amp;"")</f>
        <v/>
      </c>
      <c r="E615" s="96" t="str">
        <f aca="false">IF(OR('CARNET DE SOUDURE'!E615="",'CARNET DE SOUDURE'!R615=""),"",'CARNET DE SOUDURE'!R615)</f>
        <v/>
      </c>
      <c r="F615" s="81" t="str">
        <f aca="false">IF('CARNET DE SOUDURE'!E615="","",'CARNET DE SOUDURE'!AL615)</f>
        <v/>
      </c>
      <c r="G615" s="81" t="str">
        <f aca="false">IF('CARNET DE SOUDURE'!E615="","",'CARNET DE SOUDURE'!AM615)</f>
        <v>À SOUDER</v>
      </c>
      <c r="H615" s="81" t="str">
        <f aca="false">IF(C615="","",IF(G615="ACCEPTÉ","OUI","NON"))</f>
        <v>NON</v>
      </c>
      <c r="I615" s="82"/>
      <c r="J615" s="79"/>
      <c r="K615" s="80"/>
      <c r="L615" s="80"/>
      <c r="M615" s="80"/>
      <c r="N615" s="83" t="str">
        <f aca="false">IF(C615="","",IF(I615="",IF(H615="OUI","À ENROBER",IF(G615="À SOUDER","NON SOUDÉ","EN ATTENTE RT")),IF(L615="R","À REPRENDRE",IF(H615&lt;&gt;"OUI","⚠ ENROBÉ AVANT ACCEPTATION RT","ENROBÉ"))))</f>
        <v>NON SOUDÉ</v>
      </c>
      <c r="O615" s="79"/>
    </row>
    <row r="616" customFormat="false" ht="15" hidden="false" customHeight="false" outlineLevel="0" collapsed="false">
      <c r="A616" s="78" t="n">
        <f aca="false">IF('CARNET DE SOUDURE'!E616="","",'CARNET DE SOUDURE'!A616)</f>
        <v>610</v>
      </c>
      <c r="B616" s="93" t="str">
        <f aca="false">IF('CARNET DE SOUDURE'!E616="","",'CARNET DE SOUDURE'!B616&amp;"")</f>
        <v>ISB-304</v>
      </c>
      <c r="C616" s="83" t="str">
        <f aca="false">IF('CARNET DE SOUDURE'!E616="","",'CARNET DE SOUDURE'!E616)</f>
        <v>JN°005</v>
      </c>
      <c r="D616" s="78" t="str">
        <f aca="false">IF('CARNET DE SOUDURE'!E616="","",'CARNET DE SOUDURE'!D616&amp;"")</f>
        <v/>
      </c>
      <c r="E616" s="96" t="str">
        <f aca="false">IF(OR('CARNET DE SOUDURE'!E616="",'CARNET DE SOUDURE'!R616=""),"",'CARNET DE SOUDURE'!R616)</f>
        <v/>
      </c>
      <c r="F616" s="81" t="str">
        <f aca="false">IF('CARNET DE SOUDURE'!E616="","",'CARNET DE SOUDURE'!AL616)</f>
        <v/>
      </c>
      <c r="G616" s="81" t="str">
        <f aca="false">IF('CARNET DE SOUDURE'!E616="","",'CARNET DE SOUDURE'!AM616)</f>
        <v>À SOUDER</v>
      </c>
      <c r="H616" s="81" t="str">
        <f aca="false">IF(C616="","",IF(G616="ACCEPTÉ","OUI","NON"))</f>
        <v>NON</v>
      </c>
      <c r="I616" s="82"/>
      <c r="J616" s="79"/>
      <c r="K616" s="80"/>
      <c r="L616" s="80"/>
      <c r="M616" s="80"/>
      <c r="N616" s="83" t="str">
        <f aca="false">IF(C616="","",IF(I616="",IF(H616="OUI","À ENROBER",IF(G616="À SOUDER","NON SOUDÉ","EN ATTENTE RT")),IF(L616="R","À REPRENDRE",IF(H616&lt;&gt;"OUI","⚠ ENROBÉ AVANT ACCEPTATION RT","ENROBÉ"))))</f>
        <v>NON SOUDÉ</v>
      </c>
      <c r="O616" s="79"/>
    </row>
    <row r="617" customFormat="false" ht="15" hidden="false" customHeight="false" outlineLevel="0" collapsed="false">
      <c r="A617" s="78" t="n">
        <f aca="false">IF('CARNET DE SOUDURE'!E617="","",'CARNET DE SOUDURE'!A617)</f>
        <v>611</v>
      </c>
      <c r="B617" s="93" t="str">
        <f aca="false">IF('CARNET DE SOUDURE'!E617="","",'CARNET DE SOUDURE'!B617&amp;"")</f>
        <v>ISB-304</v>
      </c>
      <c r="C617" s="83" t="str">
        <f aca="false">IF('CARNET DE SOUDURE'!E617="","",'CARNET DE SOUDURE'!E617)</f>
        <v>JN°006</v>
      </c>
      <c r="D617" s="78" t="str">
        <f aca="false">IF('CARNET DE SOUDURE'!E617="","",'CARNET DE SOUDURE'!D617&amp;"")</f>
        <v/>
      </c>
      <c r="E617" s="96" t="str">
        <f aca="false">IF(OR('CARNET DE SOUDURE'!E617="",'CARNET DE SOUDURE'!R617=""),"",'CARNET DE SOUDURE'!R617)</f>
        <v/>
      </c>
      <c r="F617" s="81" t="str">
        <f aca="false">IF('CARNET DE SOUDURE'!E617="","",'CARNET DE SOUDURE'!AL617)</f>
        <v/>
      </c>
      <c r="G617" s="81" t="str">
        <f aca="false">IF('CARNET DE SOUDURE'!E617="","",'CARNET DE SOUDURE'!AM617)</f>
        <v>À SOUDER</v>
      </c>
      <c r="H617" s="81" t="str">
        <f aca="false">IF(C617="","",IF(G617="ACCEPTÉ","OUI","NON"))</f>
        <v>NON</v>
      </c>
      <c r="I617" s="82"/>
      <c r="J617" s="79"/>
      <c r="K617" s="80"/>
      <c r="L617" s="80"/>
      <c r="M617" s="80"/>
      <c r="N617" s="83" t="str">
        <f aca="false">IF(C617="","",IF(I617="",IF(H617="OUI","À ENROBER",IF(G617="À SOUDER","NON SOUDÉ","EN ATTENTE RT")),IF(L617="R","À REPRENDRE",IF(H617&lt;&gt;"OUI","⚠ ENROBÉ AVANT ACCEPTATION RT","ENROBÉ"))))</f>
        <v>NON SOUDÉ</v>
      </c>
      <c r="O617" s="79"/>
    </row>
    <row r="618" customFormat="false" ht="15" hidden="false" customHeight="false" outlineLevel="0" collapsed="false">
      <c r="A618" s="78" t="n">
        <f aca="false">IF('CARNET DE SOUDURE'!E618="","",'CARNET DE SOUDURE'!A618)</f>
        <v>612</v>
      </c>
      <c r="B618" s="93" t="str">
        <f aca="false">IF('CARNET DE SOUDURE'!E618="","",'CARNET DE SOUDURE'!B618&amp;"")</f>
        <v>ISB-304</v>
      </c>
      <c r="C618" s="83" t="str">
        <f aca="false">IF('CARNET DE SOUDURE'!E618="","",'CARNET DE SOUDURE'!E618)</f>
        <v>JN°007</v>
      </c>
      <c r="D618" s="78" t="str">
        <f aca="false">IF('CARNET DE SOUDURE'!E618="","",'CARNET DE SOUDURE'!D618&amp;"")</f>
        <v/>
      </c>
      <c r="E618" s="96" t="str">
        <f aca="false">IF(OR('CARNET DE SOUDURE'!E618="",'CARNET DE SOUDURE'!R618=""),"",'CARNET DE SOUDURE'!R618)</f>
        <v/>
      </c>
      <c r="F618" s="81" t="str">
        <f aca="false">IF('CARNET DE SOUDURE'!E618="","",'CARNET DE SOUDURE'!AL618)</f>
        <v/>
      </c>
      <c r="G618" s="81" t="str">
        <f aca="false">IF('CARNET DE SOUDURE'!E618="","",'CARNET DE SOUDURE'!AM618)</f>
        <v>À SOUDER</v>
      </c>
      <c r="H618" s="81" t="str">
        <f aca="false">IF(C618="","",IF(G618="ACCEPTÉ","OUI","NON"))</f>
        <v>NON</v>
      </c>
      <c r="I618" s="82"/>
      <c r="J618" s="79"/>
      <c r="K618" s="80"/>
      <c r="L618" s="80"/>
      <c r="M618" s="80"/>
      <c r="N618" s="83" t="str">
        <f aca="false">IF(C618="","",IF(I618="",IF(H618="OUI","À ENROBER",IF(G618="À SOUDER","NON SOUDÉ","EN ATTENTE RT")),IF(L618="R","À REPRENDRE",IF(H618&lt;&gt;"OUI","⚠ ENROBÉ AVANT ACCEPTATION RT","ENROBÉ"))))</f>
        <v>NON SOUDÉ</v>
      </c>
      <c r="O618" s="79"/>
    </row>
    <row r="619" customFormat="false" ht="15" hidden="false" customHeight="false" outlineLevel="0" collapsed="false">
      <c r="A619" s="78" t="n">
        <f aca="false">IF('CARNET DE SOUDURE'!E619="","",'CARNET DE SOUDURE'!A619)</f>
        <v>613</v>
      </c>
      <c r="B619" s="93" t="str">
        <f aca="false">IF('CARNET DE SOUDURE'!E619="","",'CARNET DE SOUDURE'!B619&amp;"")</f>
        <v>ISB-304</v>
      </c>
      <c r="C619" s="83" t="str">
        <f aca="false">IF('CARNET DE SOUDURE'!E619="","",'CARNET DE SOUDURE'!E619)</f>
        <v>JN°008</v>
      </c>
      <c r="D619" s="78" t="str">
        <f aca="false">IF('CARNET DE SOUDURE'!E619="","",'CARNET DE SOUDURE'!D619&amp;"")</f>
        <v/>
      </c>
      <c r="E619" s="96" t="str">
        <f aca="false">IF(OR('CARNET DE SOUDURE'!E619="",'CARNET DE SOUDURE'!R619=""),"",'CARNET DE SOUDURE'!R619)</f>
        <v/>
      </c>
      <c r="F619" s="81" t="str">
        <f aca="false">IF('CARNET DE SOUDURE'!E619="","",'CARNET DE SOUDURE'!AL619)</f>
        <v/>
      </c>
      <c r="G619" s="81" t="str">
        <f aca="false">IF('CARNET DE SOUDURE'!E619="","",'CARNET DE SOUDURE'!AM619)</f>
        <v>À SOUDER</v>
      </c>
      <c r="H619" s="81" t="str">
        <f aca="false">IF(C619="","",IF(G619="ACCEPTÉ","OUI","NON"))</f>
        <v>NON</v>
      </c>
      <c r="I619" s="82"/>
      <c r="J619" s="79"/>
      <c r="K619" s="80"/>
      <c r="L619" s="80"/>
      <c r="M619" s="80"/>
      <c r="N619" s="83" t="str">
        <f aca="false">IF(C619="","",IF(I619="",IF(H619="OUI","À ENROBER",IF(G619="À SOUDER","NON SOUDÉ","EN ATTENTE RT")),IF(L619="R","À REPRENDRE",IF(H619&lt;&gt;"OUI","⚠ ENROBÉ AVANT ACCEPTATION RT","ENROBÉ"))))</f>
        <v>NON SOUDÉ</v>
      </c>
      <c r="O619" s="79"/>
    </row>
    <row r="620" customFormat="false" ht="15" hidden="false" customHeight="false" outlineLevel="0" collapsed="false">
      <c r="A620" s="78" t="n">
        <f aca="false">IF('CARNET DE SOUDURE'!E620="","",'CARNET DE SOUDURE'!A620)</f>
        <v>614</v>
      </c>
      <c r="B620" s="93" t="str">
        <f aca="false">IF('CARNET DE SOUDURE'!E620="","",'CARNET DE SOUDURE'!B620&amp;"")</f>
        <v>ISB-304</v>
      </c>
      <c r="C620" s="83" t="str">
        <f aca="false">IF('CARNET DE SOUDURE'!E620="","",'CARNET DE SOUDURE'!E620)</f>
        <v>JN°009</v>
      </c>
      <c r="D620" s="78" t="str">
        <f aca="false">IF('CARNET DE SOUDURE'!E620="","",'CARNET DE SOUDURE'!D620&amp;"")</f>
        <v/>
      </c>
      <c r="E620" s="96" t="str">
        <f aca="false">IF(OR('CARNET DE SOUDURE'!E620="",'CARNET DE SOUDURE'!R620=""),"",'CARNET DE SOUDURE'!R620)</f>
        <v/>
      </c>
      <c r="F620" s="81" t="str">
        <f aca="false">IF('CARNET DE SOUDURE'!E620="","",'CARNET DE SOUDURE'!AL620)</f>
        <v/>
      </c>
      <c r="G620" s="81" t="str">
        <f aca="false">IF('CARNET DE SOUDURE'!E620="","",'CARNET DE SOUDURE'!AM620)</f>
        <v>À SOUDER</v>
      </c>
      <c r="H620" s="81" t="str">
        <f aca="false">IF(C620="","",IF(G620="ACCEPTÉ","OUI","NON"))</f>
        <v>NON</v>
      </c>
      <c r="I620" s="82"/>
      <c r="J620" s="79"/>
      <c r="K620" s="80"/>
      <c r="L620" s="80"/>
      <c r="M620" s="80"/>
      <c r="N620" s="83" t="str">
        <f aca="false">IF(C620="","",IF(I620="",IF(H620="OUI","À ENROBER",IF(G620="À SOUDER","NON SOUDÉ","EN ATTENTE RT")),IF(L620="R","À REPRENDRE",IF(H620&lt;&gt;"OUI","⚠ ENROBÉ AVANT ACCEPTATION RT","ENROBÉ"))))</f>
        <v>NON SOUDÉ</v>
      </c>
      <c r="O620" s="79"/>
    </row>
    <row r="621" customFormat="false" ht="15" hidden="false" customHeight="false" outlineLevel="0" collapsed="false">
      <c r="A621" s="78" t="n">
        <f aca="false">IF('CARNET DE SOUDURE'!E621="","",'CARNET DE SOUDURE'!A621)</f>
        <v>615</v>
      </c>
      <c r="B621" s="93" t="str">
        <f aca="false">IF('CARNET DE SOUDURE'!E621="","",'CARNET DE SOUDURE'!B621&amp;"")</f>
        <v>ISB-304</v>
      </c>
      <c r="C621" s="83" t="str">
        <f aca="false">IF('CARNET DE SOUDURE'!E621="","",'CARNET DE SOUDURE'!E621)</f>
        <v>JN°010</v>
      </c>
      <c r="D621" s="78" t="str">
        <f aca="false">IF('CARNET DE SOUDURE'!E621="","",'CARNET DE SOUDURE'!D621&amp;"")</f>
        <v/>
      </c>
      <c r="E621" s="96" t="str">
        <f aca="false">IF(OR('CARNET DE SOUDURE'!E621="",'CARNET DE SOUDURE'!R621=""),"",'CARNET DE SOUDURE'!R621)</f>
        <v/>
      </c>
      <c r="F621" s="81" t="str">
        <f aca="false">IF('CARNET DE SOUDURE'!E621="","",'CARNET DE SOUDURE'!AL621)</f>
        <v/>
      </c>
      <c r="G621" s="81" t="str">
        <f aca="false">IF('CARNET DE SOUDURE'!E621="","",'CARNET DE SOUDURE'!AM621)</f>
        <v>À SOUDER</v>
      </c>
      <c r="H621" s="81" t="str">
        <f aca="false">IF(C621="","",IF(G621="ACCEPTÉ","OUI","NON"))</f>
        <v>NON</v>
      </c>
      <c r="I621" s="82"/>
      <c r="J621" s="79"/>
      <c r="K621" s="80"/>
      <c r="L621" s="80"/>
      <c r="M621" s="80"/>
      <c r="N621" s="83" t="str">
        <f aca="false">IF(C621="","",IF(I621="",IF(H621="OUI","À ENROBER",IF(G621="À SOUDER","NON SOUDÉ","EN ATTENTE RT")),IF(L621="R","À REPRENDRE",IF(H621&lt;&gt;"OUI","⚠ ENROBÉ AVANT ACCEPTATION RT","ENROBÉ"))))</f>
        <v>NON SOUDÉ</v>
      </c>
      <c r="O621" s="79"/>
    </row>
    <row r="622" customFormat="false" ht="15" hidden="false" customHeight="false" outlineLevel="0" collapsed="false">
      <c r="A622" s="78" t="n">
        <f aca="false">IF('CARNET DE SOUDURE'!E622="","",'CARNET DE SOUDURE'!A622)</f>
        <v>616</v>
      </c>
      <c r="B622" s="93" t="str">
        <f aca="false">IF('CARNET DE SOUDURE'!E622="","",'CARNET DE SOUDURE'!B622&amp;"")</f>
        <v>ISB-304</v>
      </c>
      <c r="C622" s="83" t="str">
        <f aca="false">IF('CARNET DE SOUDURE'!E622="","",'CARNET DE SOUDURE'!E622)</f>
        <v>JN°011</v>
      </c>
      <c r="D622" s="78" t="str">
        <f aca="false">IF('CARNET DE SOUDURE'!E622="","",'CARNET DE SOUDURE'!D622&amp;"")</f>
        <v/>
      </c>
      <c r="E622" s="96" t="str">
        <f aca="false">IF(OR('CARNET DE SOUDURE'!E622="",'CARNET DE SOUDURE'!R622=""),"",'CARNET DE SOUDURE'!R622)</f>
        <v/>
      </c>
      <c r="F622" s="81" t="str">
        <f aca="false">IF('CARNET DE SOUDURE'!E622="","",'CARNET DE SOUDURE'!AL622)</f>
        <v/>
      </c>
      <c r="G622" s="81" t="str">
        <f aca="false">IF('CARNET DE SOUDURE'!E622="","",'CARNET DE SOUDURE'!AM622)</f>
        <v>À SOUDER</v>
      </c>
      <c r="H622" s="81" t="str">
        <f aca="false">IF(C622="","",IF(G622="ACCEPTÉ","OUI","NON"))</f>
        <v>NON</v>
      </c>
      <c r="I622" s="82"/>
      <c r="J622" s="79"/>
      <c r="K622" s="80"/>
      <c r="L622" s="80"/>
      <c r="M622" s="80"/>
      <c r="N622" s="83" t="str">
        <f aca="false">IF(C622="","",IF(I622="",IF(H622="OUI","À ENROBER",IF(G622="À SOUDER","NON SOUDÉ","EN ATTENTE RT")),IF(L622="R","À REPRENDRE",IF(H622&lt;&gt;"OUI","⚠ ENROBÉ AVANT ACCEPTATION RT","ENROBÉ"))))</f>
        <v>NON SOUDÉ</v>
      </c>
      <c r="O622" s="79"/>
    </row>
    <row r="623" customFormat="false" ht="15" hidden="false" customHeight="false" outlineLevel="0" collapsed="false">
      <c r="A623" s="78" t="n">
        <f aca="false">IF('CARNET DE SOUDURE'!E623="","",'CARNET DE SOUDURE'!A623)</f>
        <v>617</v>
      </c>
      <c r="B623" s="93" t="str">
        <f aca="false">IF('CARNET DE SOUDURE'!E623="","",'CARNET DE SOUDURE'!B623&amp;"")</f>
        <v>ISB-304</v>
      </c>
      <c r="C623" s="83" t="str">
        <f aca="false">IF('CARNET DE SOUDURE'!E623="","",'CARNET DE SOUDURE'!E623)</f>
        <v>JN°012</v>
      </c>
      <c r="D623" s="78" t="str">
        <f aca="false">IF('CARNET DE SOUDURE'!E623="","",'CARNET DE SOUDURE'!D623&amp;"")</f>
        <v/>
      </c>
      <c r="E623" s="96" t="str">
        <f aca="false">IF(OR('CARNET DE SOUDURE'!E623="",'CARNET DE SOUDURE'!R623=""),"",'CARNET DE SOUDURE'!R623)</f>
        <v/>
      </c>
      <c r="F623" s="81" t="str">
        <f aca="false">IF('CARNET DE SOUDURE'!E623="","",'CARNET DE SOUDURE'!AL623)</f>
        <v/>
      </c>
      <c r="G623" s="81" t="str">
        <f aca="false">IF('CARNET DE SOUDURE'!E623="","",'CARNET DE SOUDURE'!AM623)</f>
        <v>À SOUDER</v>
      </c>
      <c r="H623" s="81" t="str">
        <f aca="false">IF(C623="","",IF(G623="ACCEPTÉ","OUI","NON"))</f>
        <v>NON</v>
      </c>
      <c r="I623" s="82"/>
      <c r="J623" s="79"/>
      <c r="K623" s="80"/>
      <c r="L623" s="80"/>
      <c r="M623" s="80"/>
      <c r="N623" s="83" t="str">
        <f aca="false">IF(C623="","",IF(I623="",IF(H623="OUI","À ENROBER",IF(G623="À SOUDER","NON SOUDÉ","EN ATTENTE RT")),IF(L623="R","À REPRENDRE",IF(H623&lt;&gt;"OUI","⚠ ENROBÉ AVANT ACCEPTATION RT","ENROBÉ"))))</f>
        <v>NON SOUDÉ</v>
      </c>
      <c r="O623" s="79"/>
    </row>
    <row r="624" customFormat="false" ht="15" hidden="false" customHeight="false" outlineLevel="0" collapsed="false">
      <c r="A624" s="78" t="n">
        <f aca="false">IF('CARNET DE SOUDURE'!E624="","",'CARNET DE SOUDURE'!A624)</f>
        <v>618</v>
      </c>
      <c r="B624" s="93" t="str">
        <f aca="false">IF('CARNET DE SOUDURE'!E624="","",'CARNET DE SOUDURE'!B624&amp;"")</f>
        <v>ISB-304</v>
      </c>
      <c r="C624" s="83" t="str">
        <f aca="false">IF('CARNET DE SOUDURE'!E624="","",'CARNET DE SOUDURE'!E624)</f>
        <v>JN°013</v>
      </c>
      <c r="D624" s="78" t="str">
        <f aca="false">IF('CARNET DE SOUDURE'!E624="","",'CARNET DE SOUDURE'!D624&amp;"")</f>
        <v/>
      </c>
      <c r="E624" s="96" t="str">
        <f aca="false">IF(OR('CARNET DE SOUDURE'!E624="",'CARNET DE SOUDURE'!R624=""),"",'CARNET DE SOUDURE'!R624)</f>
        <v/>
      </c>
      <c r="F624" s="81" t="str">
        <f aca="false">IF('CARNET DE SOUDURE'!E624="","",'CARNET DE SOUDURE'!AL624)</f>
        <v/>
      </c>
      <c r="G624" s="81" t="str">
        <f aca="false">IF('CARNET DE SOUDURE'!E624="","",'CARNET DE SOUDURE'!AM624)</f>
        <v>À SOUDER</v>
      </c>
      <c r="H624" s="81" t="str">
        <f aca="false">IF(C624="","",IF(G624="ACCEPTÉ","OUI","NON"))</f>
        <v>NON</v>
      </c>
      <c r="I624" s="82"/>
      <c r="J624" s="79"/>
      <c r="K624" s="80"/>
      <c r="L624" s="80"/>
      <c r="M624" s="80"/>
      <c r="N624" s="83" t="str">
        <f aca="false">IF(C624="","",IF(I624="",IF(H624="OUI","À ENROBER",IF(G624="À SOUDER","NON SOUDÉ","EN ATTENTE RT")),IF(L624="R","À REPRENDRE",IF(H624&lt;&gt;"OUI","⚠ ENROBÉ AVANT ACCEPTATION RT","ENROBÉ"))))</f>
        <v>NON SOUDÉ</v>
      </c>
      <c r="O624" s="79"/>
    </row>
    <row r="625" customFormat="false" ht="15" hidden="false" customHeight="false" outlineLevel="0" collapsed="false">
      <c r="A625" s="78" t="n">
        <f aca="false">IF('CARNET DE SOUDURE'!E625="","",'CARNET DE SOUDURE'!A625)</f>
        <v>619</v>
      </c>
      <c r="B625" s="93" t="str">
        <f aca="false">IF('CARNET DE SOUDURE'!E625="","",'CARNET DE SOUDURE'!B625&amp;"")</f>
        <v>ISB-304</v>
      </c>
      <c r="C625" s="83" t="str">
        <f aca="false">IF('CARNET DE SOUDURE'!E625="","",'CARNET DE SOUDURE'!E625)</f>
        <v>JN°014</v>
      </c>
      <c r="D625" s="78" t="str">
        <f aca="false">IF('CARNET DE SOUDURE'!E625="","",'CARNET DE SOUDURE'!D625&amp;"")</f>
        <v/>
      </c>
      <c r="E625" s="96" t="str">
        <f aca="false">IF(OR('CARNET DE SOUDURE'!E625="",'CARNET DE SOUDURE'!R625=""),"",'CARNET DE SOUDURE'!R625)</f>
        <v/>
      </c>
      <c r="F625" s="81" t="str">
        <f aca="false">IF('CARNET DE SOUDURE'!E625="","",'CARNET DE SOUDURE'!AL625)</f>
        <v/>
      </c>
      <c r="G625" s="81" t="str">
        <f aca="false">IF('CARNET DE SOUDURE'!E625="","",'CARNET DE SOUDURE'!AM625)</f>
        <v>À SOUDER</v>
      </c>
      <c r="H625" s="81" t="str">
        <f aca="false">IF(C625="","",IF(G625="ACCEPTÉ","OUI","NON"))</f>
        <v>NON</v>
      </c>
      <c r="I625" s="82"/>
      <c r="J625" s="79"/>
      <c r="K625" s="80"/>
      <c r="L625" s="80"/>
      <c r="M625" s="80"/>
      <c r="N625" s="83" t="str">
        <f aca="false">IF(C625="","",IF(I625="",IF(H625="OUI","À ENROBER",IF(G625="À SOUDER","NON SOUDÉ","EN ATTENTE RT")),IF(L625="R","À REPRENDRE",IF(H625&lt;&gt;"OUI","⚠ ENROBÉ AVANT ACCEPTATION RT","ENROBÉ"))))</f>
        <v>NON SOUDÉ</v>
      </c>
      <c r="O625" s="79"/>
    </row>
    <row r="626" customFormat="false" ht="15" hidden="false" customHeight="false" outlineLevel="0" collapsed="false">
      <c r="A626" s="78" t="n">
        <f aca="false">IF('CARNET DE SOUDURE'!E626="","",'CARNET DE SOUDURE'!A626)</f>
        <v>620</v>
      </c>
      <c r="B626" s="93" t="str">
        <f aca="false">IF('CARNET DE SOUDURE'!E626="","",'CARNET DE SOUDURE'!B626&amp;"")</f>
        <v>ISB-304</v>
      </c>
      <c r="C626" s="83" t="str">
        <f aca="false">IF('CARNET DE SOUDURE'!E626="","",'CARNET DE SOUDURE'!E626)</f>
        <v>JN°015</v>
      </c>
      <c r="D626" s="78" t="str">
        <f aca="false">IF('CARNET DE SOUDURE'!E626="","",'CARNET DE SOUDURE'!D626&amp;"")</f>
        <v/>
      </c>
      <c r="E626" s="96" t="str">
        <f aca="false">IF(OR('CARNET DE SOUDURE'!E626="",'CARNET DE SOUDURE'!R626=""),"",'CARNET DE SOUDURE'!R626)</f>
        <v/>
      </c>
      <c r="F626" s="81" t="str">
        <f aca="false">IF('CARNET DE SOUDURE'!E626="","",'CARNET DE SOUDURE'!AL626)</f>
        <v/>
      </c>
      <c r="G626" s="81" t="str">
        <f aca="false">IF('CARNET DE SOUDURE'!E626="","",'CARNET DE SOUDURE'!AM626)</f>
        <v>À SOUDER</v>
      </c>
      <c r="H626" s="81" t="str">
        <f aca="false">IF(C626="","",IF(G626="ACCEPTÉ","OUI","NON"))</f>
        <v>NON</v>
      </c>
      <c r="I626" s="82"/>
      <c r="J626" s="79"/>
      <c r="K626" s="80"/>
      <c r="L626" s="80"/>
      <c r="M626" s="80"/>
      <c r="N626" s="83" t="str">
        <f aca="false">IF(C626="","",IF(I626="",IF(H626="OUI","À ENROBER",IF(G626="À SOUDER","NON SOUDÉ","EN ATTENTE RT")),IF(L626="R","À REPRENDRE",IF(H626&lt;&gt;"OUI","⚠ ENROBÉ AVANT ACCEPTATION RT","ENROBÉ"))))</f>
        <v>NON SOUDÉ</v>
      </c>
      <c r="O626" s="79"/>
    </row>
    <row r="627" customFormat="false" ht="15" hidden="false" customHeight="false" outlineLevel="0" collapsed="false">
      <c r="A627" s="78" t="n">
        <f aca="false">IF('CARNET DE SOUDURE'!E627="","",'CARNET DE SOUDURE'!A627)</f>
        <v>621</v>
      </c>
      <c r="B627" s="93" t="str">
        <f aca="false">IF('CARNET DE SOUDURE'!E627="","",'CARNET DE SOUDURE'!B627&amp;"")</f>
        <v>ISB-304</v>
      </c>
      <c r="C627" s="83" t="str">
        <f aca="false">IF('CARNET DE SOUDURE'!E627="","",'CARNET DE SOUDURE'!E627)</f>
        <v>JN°016</v>
      </c>
      <c r="D627" s="78" t="str">
        <f aca="false">IF('CARNET DE SOUDURE'!E627="","",'CARNET DE SOUDURE'!D627&amp;"")</f>
        <v/>
      </c>
      <c r="E627" s="96" t="str">
        <f aca="false">IF(OR('CARNET DE SOUDURE'!E627="",'CARNET DE SOUDURE'!R627=""),"",'CARNET DE SOUDURE'!R627)</f>
        <v/>
      </c>
      <c r="F627" s="81" t="str">
        <f aca="false">IF('CARNET DE SOUDURE'!E627="","",'CARNET DE SOUDURE'!AL627)</f>
        <v/>
      </c>
      <c r="G627" s="81" t="str">
        <f aca="false">IF('CARNET DE SOUDURE'!E627="","",'CARNET DE SOUDURE'!AM627)</f>
        <v>À SOUDER</v>
      </c>
      <c r="H627" s="81" t="str">
        <f aca="false">IF(C627="","",IF(G627="ACCEPTÉ","OUI","NON"))</f>
        <v>NON</v>
      </c>
      <c r="I627" s="82"/>
      <c r="J627" s="79"/>
      <c r="K627" s="80"/>
      <c r="L627" s="80"/>
      <c r="M627" s="80"/>
      <c r="N627" s="83" t="str">
        <f aca="false">IF(C627="","",IF(I627="",IF(H627="OUI","À ENROBER",IF(G627="À SOUDER","NON SOUDÉ","EN ATTENTE RT")),IF(L627="R","À REPRENDRE",IF(H627&lt;&gt;"OUI","⚠ ENROBÉ AVANT ACCEPTATION RT","ENROBÉ"))))</f>
        <v>NON SOUDÉ</v>
      </c>
      <c r="O627" s="79"/>
    </row>
    <row r="628" customFormat="false" ht="15" hidden="false" customHeight="false" outlineLevel="0" collapsed="false">
      <c r="A628" s="78" t="n">
        <f aca="false">IF('CARNET DE SOUDURE'!E628="","",'CARNET DE SOUDURE'!A628)</f>
        <v>622</v>
      </c>
      <c r="B628" s="93" t="str">
        <f aca="false">IF('CARNET DE SOUDURE'!E628="","",'CARNET DE SOUDURE'!B628&amp;"")</f>
        <v>ISB-304</v>
      </c>
      <c r="C628" s="83" t="str">
        <f aca="false">IF('CARNET DE SOUDURE'!E628="","",'CARNET DE SOUDURE'!E628)</f>
        <v>JN°017</v>
      </c>
      <c r="D628" s="78" t="str">
        <f aca="false">IF('CARNET DE SOUDURE'!E628="","",'CARNET DE SOUDURE'!D628&amp;"")</f>
        <v/>
      </c>
      <c r="E628" s="96" t="str">
        <f aca="false">IF(OR('CARNET DE SOUDURE'!E628="",'CARNET DE SOUDURE'!R628=""),"",'CARNET DE SOUDURE'!R628)</f>
        <v/>
      </c>
      <c r="F628" s="81" t="str">
        <f aca="false">IF('CARNET DE SOUDURE'!E628="","",'CARNET DE SOUDURE'!AL628)</f>
        <v/>
      </c>
      <c r="G628" s="81" t="str">
        <f aca="false">IF('CARNET DE SOUDURE'!E628="","",'CARNET DE SOUDURE'!AM628)</f>
        <v>À SOUDER</v>
      </c>
      <c r="H628" s="81" t="str">
        <f aca="false">IF(C628="","",IF(G628="ACCEPTÉ","OUI","NON"))</f>
        <v>NON</v>
      </c>
      <c r="I628" s="82"/>
      <c r="J628" s="79"/>
      <c r="K628" s="80"/>
      <c r="L628" s="80"/>
      <c r="M628" s="80"/>
      <c r="N628" s="83" t="str">
        <f aca="false">IF(C628="","",IF(I628="",IF(H628="OUI","À ENROBER",IF(G628="À SOUDER","NON SOUDÉ","EN ATTENTE RT")),IF(L628="R","À REPRENDRE",IF(H628&lt;&gt;"OUI","⚠ ENROBÉ AVANT ACCEPTATION RT","ENROBÉ"))))</f>
        <v>NON SOUDÉ</v>
      </c>
      <c r="O628" s="79"/>
    </row>
    <row r="629" customFormat="false" ht="15" hidden="false" customHeight="false" outlineLevel="0" collapsed="false">
      <c r="A629" s="78" t="n">
        <f aca="false">IF('CARNET DE SOUDURE'!E629="","",'CARNET DE SOUDURE'!A629)</f>
        <v>623</v>
      </c>
      <c r="B629" s="93" t="str">
        <f aca="false">IF('CARNET DE SOUDURE'!E629="","",'CARNET DE SOUDURE'!B629&amp;"")</f>
        <v>ISB-304</v>
      </c>
      <c r="C629" s="83" t="str">
        <f aca="false">IF('CARNET DE SOUDURE'!E629="","",'CARNET DE SOUDURE'!E629)</f>
        <v>JN°018</v>
      </c>
      <c r="D629" s="78" t="str">
        <f aca="false">IF('CARNET DE SOUDURE'!E629="","",'CARNET DE SOUDURE'!D629&amp;"")</f>
        <v/>
      </c>
      <c r="E629" s="96" t="str">
        <f aca="false">IF(OR('CARNET DE SOUDURE'!E629="",'CARNET DE SOUDURE'!R629=""),"",'CARNET DE SOUDURE'!R629)</f>
        <v/>
      </c>
      <c r="F629" s="81" t="str">
        <f aca="false">IF('CARNET DE SOUDURE'!E629="","",'CARNET DE SOUDURE'!AL629)</f>
        <v/>
      </c>
      <c r="G629" s="81" t="str">
        <f aca="false">IF('CARNET DE SOUDURE'!E629="","",'CARNET DE SOUDURE'!AM629)</f>
        <v>À SOUDER</v>
      </c>
      <c r="H629" s="81" t="str">
        <f aca="false">IF(C629="","",IF(G629="ACCEPTÉ","OUI","NON"))</f>
        <v>NON</v>
      </c>
      <c r="I629" s="82"/>
      <c r="J629" s="79"/>
      <c r="K629" s="80"/>
      <c r="L629" s="80"/>
      <c r="M629" s="80"/>
      <c r="N629" s="83" t="str">
        <f aca="false">IF(C629="","",IF(I629="",IF(H629="OUI","À ENROBER",IF(G629="À SOUDER","NON SOUDÉ","EN ATTENTE RT")),IF(L629="R","À REPRENDRE",IF(H629&lt;&gt;"OUI","⚠ ENROBÉ AVANT ACCEPTATION RT","ENROBÉ"))))</f>
        <v>NON SOUDÉ</v>
      </c>
      <c r="O629" s="79"/>
    </row>
    <row r="630" customFormat="false" ht="15" hidden="false" customHeight="false" outlineLevel="0" collapsed="false">
      <c r="A630" s="78" t="n">
        <f aca="false">IF('CARNET DE SOUDURE'!E630="","",'CARNET DE SOUDURE'!A630)</f>
        <v>624</v>
      </c>
      <c r="B630" s="93" t="str">
        <f aca="false">IF('CARNET DE SOUDURE'!E630="","",'CARNET DE SOUDURE'!B630&amp;"")</f>
        <v>ISB-304</v>
      </c>
      <c r="C630" s="83" t="str">
        <f aca="false">IF('CARNET DE SOUDURE'!E630="","",'CARNET DE SOUDURE'!E630)</f>
        <v>JN°019</v>
      </c>
      <c r="D630" s="78" t="str">
        <f aca="false">IF('CARNET DE SOUDURE'!E630="","",'CARNET DE SOUDURE'!D630&amp;"")</f>
        <v/>
      </c>
      <c r="E630" s="96" t="str">
        <f aca="false">IF(OR('CARNET DE SOUDURE'!E630="",'CARNET DE SOUDURE'!R630=""),"",'CARNET DE SOUDURE'!R630)</f>
        <v/>
      </c>
      <c r="F630" s="81" t="str">
        <f aca="false">IF('CARNET DE SOUDURE'!E630="","",'CARNET DE SOUDURE'!AL630)</f>
        <v/>
      </c>
      <c r="G630" s="81" t="str">
        <f aca="false">IF('CARNET DE SOUDURE'!E630="","",'CARNET DE SOUDURE'!AM630)</f>
        <v>À SOUDER</v>
      </c>
      <c r="H630" s="81" t="str">
        <f aca="false">IF(C630="","",IF(G630="ACCEPTÉ","OUI","NON"))</f>
        <v>NON</v>
      </c>
      <c r="I630" s="82"/>
      <c r="J630" s="79"/>
      <c r="K630" s="80"/>
      <c r="L630" s="80"/>
      <c r="M630" s="80"/>
      <c r="N630" s="83" t="str">
        <f aca="false">IF(C630="","",IF(I630="",IF(H630="OUI","À ENROBER",IF(G630="À SOUDER","NON SOUDÉ","EN ATTENTE RT")),IF(L630="R","À REPRENDRE",IF(H630&lt;&gt;"OUI","⚠ ENROBÉ AVANT ACCEPTATION RT","ENROBÉ"))))</f>
        <v>NON SOUDÉ</v>
      </c>
      <c r="O630" s="79"/>
    </row>
    <row r="631" customFormat="false" ht="15" hidden="false" customHeight="false" outlineLevel="0" collapsed="false">
      <c r="A631" s="78" t="n">
        <f aca="false">IF('CARNET DE SOUDURE'!E631="","",'CARNET DE SOUDURE'!A631)</f>
        <v>625</v>
      </c>
      <c r="B631" s="93" t="str">
        <f aca="false">IF('CARNET DE SOUDURE'!E631="","",'CARNET DE SOUDURE'!B631&amp;"")</f>
        <v>ISB-304</v>
      </c>
      <c r="C631" s="83" t="str">
        <f aca="false">IF('CARNET DE SOUDURE'!E631="","",'CARNET DE SOUDURE'!E631)</f>
        <v>JN°020</v>
      </c>
      <c r="D631" s="78" t="str">
        <f aca="false">IF('CARNET DE SOUDURE'!E631="","",'CARNET DE SOUDURE'!D631&amp;"")</f>
        <v/>
      </c>
      <c r="E631" s="96" t="str">
        <f aca="false">IF(OR('CARNET DE SOUDURE'!E631="",'CARNET DE SOUDURE'!R631=""),"",'CARNET DE SOUDURE'!R631)</f>
        <v/>
      </c>
      <c r="F631" s="81" t="str">
        <f aca="false">IF('CARNET DE SOUDURE'!E631="","",'CARNET DE SOUDURE'!AL631)</f>
        <v/>
      </c>
      <c r="G631" s="81" t="str">
        <f aca="false">IF('CARNET DE SOUDURE'!E631="","",'CARNET DE SOUDURE'!AM631)</f>
        <v>À SOUDER</v>
      </c>
      <c r="H631" s="81" t="str">
        <f aca="false">IF(C631="","",IF(G631="ACCEPTÉ","OUI","NON"))</f>
        <v>NON</v>
      </c>
      <c r="I631" s="82"/>
      <c r="J631" s="79"/>
      <c r="K631" s="80"/>
      <c r="L631" s="80"/>
      <c r="M631" s="80"/>
      <c r="N631" s="83" t="str">
        <f aca="false">IF(C631="","",IF(I631="",IF(H631="OUI","À ENROBER",IF(G631="À SOUDER","NON SOUDÉ","EN ATTENTE RT")),IF(L631="R","À REPRENDRE",IF(H631&lt;&gt;"OUI","⚠ ENROBÉ AVANT ACCEPTATION RT","ENROBÉ"))))</f>
        <v>NON SOUDÉ</v>
      </c>
      <c r="O631" s="79"/>
    </row>
    <row r="632" customFormat="false" ht="15" hidden="false" customHeight="false" outlineLevel="0" collapsed="false">
      <c r="A632" s="78" t="n">
        <f aca="false">IF('CARNET DE SOUDURE'!E632="","",'CARNET DE SOUDURE'!A632)</f>
        <v>626</v>
      </c>
      <c r="B632" s="93" t="str">
        <f aca="false">IF('CARNET DE SOUDURE'!E632="","",'CARNET DE SOUDURE'!B632&amp;"")</f>
        <v>ISB-304</v>
      </c>
      <c r="C632" s="83" t="str">
        <f aca="false">IF('CARNET DE SOUDURE'!E632="","",'CARNET DE SOUDURE'!E632)</f>
        <v>JN°021</v>
      </c>
      <c r="D632" s="78" t="str">
        <f aca="false">IF('CARNET DE SOUDURE'!E632="","",'CARNET DE SOUDURE'!D632&amp;"")</f>
        <v/>
      </c>
      <c r="E632" s="96" t="str">
        <f aca="false">IF(OR('CARNET DE SOUDURE'!E632="",'CARNET DE SOUDURE'!R632=""),"",'CARNET DE SOUDURE'!R632)</f>
        <v/>
      </c>
      <c r="F632" s="81" t="str">
        <f aca="false">IF('CARNET DE SOUDURE'!E632="","",'CARNET DE SOUDURE'!AL632)</f>
        <v/>
      </c>
      <c r="G632" s="81" t="str">
        <f aca="false">IF('CARNET DE SOUDURE'!E632="","",'CARNET DE SOUDURE'!AM632)</f>
        <v>À SOUDER</v>
      </c>
      <c r="H632" s="81" t="str">
        <f aca="false">IF(C632="","",IF(G632="ACCEPTÉ","OUI","NON"))</f>
        <v>NON</v>
      </c>
      <c r="I632" s="82"/>
      <c r="J632" s="79"/>
      <c r="K632" s="80"/>
      <c r="L632" s="80"/>
      <c r="M632" s="80"/>
      <c r="N632" s="83" t="str">
        <f aca="false">IF(C632="","",IF(I632="",IF(H632="OUI","À ENROBER",IF(G632="À SOUDER","NON SOUDÉ","EN ATTENTE RT")),IF(L632="R","À REPRENDRE",IF(H632&lt;&gt;"OUI","⚠ ENROBÉ AVANT ACCEPTATION RT","ENROBÉ"))))</f>
        <v>NON SOUDÉ</v>
      </c>
      <c r="O632" s="79"/>
    </row>
    <row r="633" customFormat="false" ht="15" hidden="false" customHeight="false" outlineLevel="0" collapsed="false">
      <c r="A633" s="78" t="n">
        <f aca="false">IF('CARNET DE SOUDURE'!E633="","",'CARNET DE SOUDURE'!A633)</f>
        <v>627</v>
      </c>
      <c r="B633" s="93" t="str">
        <f aca="false">IF('CARNET DE SOUDURE'!E633="","",'CARNET DE SOUDURE'!B633&amp;"")</f>
        <v>ISB-304</v>
      </c>
      <c r="C633" s="83" t="str">
        <f aca="false">IF('CARNET DE SOUDURE'!E633="","",'CARNET DE SOUDURE'!E633)</f>
        <v>JN°022</v>
      </c>
      <c r="D633" s="78" t="str">
        <f aca="false">IF('CARNET DE SOUDURE'!E633="","",'CARNET DE SOUDURE'!D633&amp;"")</f>
        <v/>
      </c>
      <c r="E633" s="96" t="str">
        <f aca="false">IF(OR('CARNET DE SOUDURE'!E633="",'CARNET DE SOUDURE'!R633=""),"",'CARNET DE SOUDURE'!R633)</f>
        <v/>
      </c>
      <c r="F633" s="81" t="str">
        <f aca="false">IF('CARNET DE SOUDURE'!E633="","",'CARNET DE SOUDURE'!AL633)</f>
        <v/>
      </c>
      <c r="G633" s="81" t="str">
        <f aca="false">IF('CARNET DE SOUDURE'!E633="","",'CARNET DE SOUDURE'!AM633)</f>
        <v>À SOUDER</v>
      </c>
      <c r="H633" s="81" t="str">
        <f aca="false">IF(C633="","",IF(G633="ACCEPTÉ","OUI","NON"))</f>
        <v>NON</v>
      </c>
      <c r="I633" s="82"/>
      <c r="J633" s="79"/>
      <c r="K633" s="80"/>
      <c r="L633" s="80"/>
      <c r="M633" s="80"/>
      <c r="N633" s="83" t="str">
        <f aca="false">IF(C633="","",IF(I633="",IF(H633="OUI","À ENROBER",IF(G633="À SOUDER","NON SOUDÉ","EN ATTENTE RT")),IF(L633="R","À REPRENDRE",IF(H633&lt;&gt;"OUI","⚠ ENROBÉ AVANT ACCEPTATION RT","ENROBÉ"))))</f>
        <v>NON SOUDÉ</v>
      </c>
      <c r="O633" s="79"/>
    </row>
    <row r="634" customFormat="false" ht="15" hidden="false" customHeight="false" outlineLevel="0" collapsed="false">
      <c r="A634" s="78" t="n">
        <f aca="false">IF('CARNET DE SOUDURE'!E634="","",'CARNET DE SOUDURE'!A634)</f>
        <v>628</v>
      </c>
      <c r="B634" s="93" t="str">
        <f aca="false">IF('CARNET DE SOUDURE'!E634="","",'CARNET DE SOUDURE'!B634&amp;"")</f>
        <v>ISB-304</v>
      </c>
      <c r="C634" s="83" t="str">
        <f aca="false">IF('CARNET DE SOUDURE'!E634="","",'CARNET DE SOUDURE'!E634)</f>
        <v>JN°023</v>
      </c>
      <c r="D634" s="78" t="str">
        <f aca="false">IF('CARNET DE SOUDURE'!E634="","",'CARNET DE SOUDURE'!D634&amp;"")</f>
        <v/>
      </c>
      <c r="E634" s="96" t="str">
        <f aca="false">IF(OR('CARNET DE SOUDURE'!E634="",'CARNET DE SOUDURE'!R634=""),"",'CARNET DE SOUDURE'!R634)</f>
        <v/>
      </c>
      <c r="F634" s="81" t="str">
        <f aca="false">IF('CARNET DE SOUDURE'!E634="","",'CARNET DE SOUDURE'!AL634)</f>
        <v/>
      </c>
      <c r="G634" s="81" t="str">
        <f aca="false">IF('CARNET DE SOUDURE'!E634="","",'CARNET DE SOUDURE'!AM634)</f>
        <v>À SOUDER</v>
      </c>
      <c r="H634" s="81" t="str">
        <f aca="false">IF(C634="","",IF(G634="ACCEPTÉ","OUI","NON"))</f>
        <v>NON</v>
      </c>
      <c r="I634" s="82"/>
      <c r="J634" s="79"/>
      <c r="K634" s="80"/>
      <c r="L634" s="80"/>
      <c r="M634" s="80"/>
      <c r="N634" s="83" t="str">
        <f aca="false">IF(C634="","",IF(I634="",IF(H634="OUI","À ENROBER",IF(G634="À SOUDER","NON SOUDÉ","EN ATTENTE RT")),IF(L634="R","À REPRENDRE",IF(H634&lt;&gt;"OUI","⚠ ENROBÉ AVANT ACCEPTATION RT","ENROBÉ"))))</f>
        <v>NON SOUDÉ</v>
      </c>
      <c r="O634" s="79"/>
    </row>
    <row r="635" customFormat="false" ht="15" hidden="false" customHeight="false" outlineLevel="0" collapsed="false">
      <c r="A635" s="78" t="n">
        <f aca="false">IF('CARNET DE SOUDURE'!E635="","",'CARNET DE SOUDURE'!A635)</f>
        <v>629</v>
      </c>
      <c r="B635" s="93" t="str">
        <f aca="false">IF('CARNET DE SOUDURE'!E635="","",'CARNET DE SOUDURE'!B635&amp;"")</f>
        <v>ISB-304</v>
      </c>
      <c r="C635" s="83" t="str">
        <f aca="false">IF('CARNET DE SOUDURE'!E635="","",'CARNET DE SOUDURE'!E635)</f>
        <v>JN°024</v>
      </c>
      <c r="D635" s="78" t="str">
        <f aca="false">IF('CARNET DE SOUDURE'!E635="","",'CARNET DE SOUDURE'!D635&amp;"")</f>
        <v/>
      </c>
      <c r="E635" s="96" t="str">
        <f aca="false">IF(OR('CARNET DE SOUDURE'!E635="",'CARNET DE SOUDURE'!R635=""),"",'CARNET DE SOUDURE'!R635)</f>
        <v/>
      </c>
      <c r="F635" s="81" t="str">
        <f aca="false">IF('CARNET DE SOUDURE'!E635="","",'CARNET DE SOUDURE'!AL635)</f>
        <v/>
      </c>
      <c r="G635" s="81" t="str">
        <f aca="false">IF('CARNET DE SOUDURE'!E635="","",'CARNET DE SOUDURE'!AM635)</f>
        <v>À SOUDER</v>
      </c>
      <c r="H635" s="81" t="str">
        <f aca="false">IF(C635="","",IF(G635="ACCEPTÉ","OUI","NON"))</f>
        <v>NON</v>
      </c>
      <c r="I635" s="82"/>
      <c r="J635" s="79"/>
      <c r="K635" s="80"/>
      <c r="L635" s="80"/>
      <c r="M635" s="80"/>
      <c r="N635" s="83" t="str">
        <f aca="false">IF(C635="","",IF(I635="",IF(H635="OUI","À ENROBER",IF(G635="À SOUDER","NON SOUDÉ","EN ATTENTE RT")),IF(L635="R","À REPRENDRE",IF(H635&lt;&gt;"OUI","⚠ ENROBÉ AVANT ACCEPTATION RT","ENROBÉ"))))</f>
        <v>NON SOUDÉ</v>
      </c>
      <c r="O635" s="79"/>
    </row>
    <row r="636" customFormat="false" ht="15" hidden="false" customHeight="false" outlineLevel="0" collapsed="false">
      <c r="A636" s="78" t="n">
        <f aca="false">IF('CARNET DE SOUDURE'!E636="","",'CARNET DE SOUDURE'!A636)</f>
        <v>630</v>
      </c>
      <c r="B636" s="93" t="str">
        <f aca="false">IF('CARNET DE SOUDURE'!E636="","",'CARNET DE SOUDURE'!B636&amp;"")</f>
        <v>ISB-304</v>
      </c>
      <c r="C636" s="83" t="str">
        <f aca="false">IF('CARNET DE SOUDURE'!E636="","",'CARNET DE SOUDURE'!E636)</f>
        <v>JN°025</v>
      </c>
      <c r="D636" s="78" t="str">
        <f aca="false">IF('CARNET DE SOUDURE'!E636="","",'CARNET DE SOUDURE'!D636&amp;"")</f>
        <v/>
      </c>
      <c r="E636" s="96" t="str">
        <f aca="false">IF(OR('CARNET DE SOUDURE'!E636="",'CARNET DE SOUDURE'!R636=""),"",'CARNET DE SOUDURE'!R636)</f>
        <v/>
      </c>
      <c r="F636" s="81" t="str">
        <f aca="false">IF('CARNET DE SOUDURE'!E636="","",'CARNET DE SOUDURE'!AL636)</f>
        <v/>
      </c>
      <c r="G636" s="81" t="str">
        <f aca="false">IF('CARNET DE SOUDURE'!E636="","",'CARNET DE SOUDURE'!AM636)</f>
        <v>À SOUDER</v>
      </c>
      <c r="H636" s="81" t="str">
        <f aca="false">IF(C636="","",IF(G636="ACCEPTÉ","OUI","NON"))</f>
        <v>NON</v>
      </c>
      <c r="I636" s="82"/>
      <c r="J636" s="79"/>
      <c r="K636" s="80"/>
      <c r="L636" s="80"/>
      <c r="M636" s="80"/>
      <c r="N636" s="83" t="str">
        <f aca="false">IF(C636="","",IF(I636="",IF(H636="OUI","À ENROBER",IF(G636="À SOUDER","NON SOUDÉ","EN ATTENTE RT")),IF(L636="R","À REPRENDRE",IF(H636&lt;&gt;"OUI","⚠ ENROBÉ AVANT ACCEPTATION RT","ENROBÉ"))))</f>
        <v>NON SOUDÉ</v>
      </c>
      <c r="O636" s="79"/>
    </row>
    <row r="637" customFormat="false" ht="15" hidden="false" customHeight="false" outlineLevel="0" collapsed="false">
      <c r="A637" s="78" t="n">
        <f aca="false">IF('CARNET DE SOUDURE'!E637="","",'CARNET DE SOUDURE'!A637)</f>
        <v>631</v>
      </c>
      <c r="B637" s="93" t="str">
        <f aca="false">IF('CARNET DE SOUDURE'!E637="","",'CARNET DE SOUDURE'!B637&amp;"")</f>
        <v>ISB-304</v>
      </c>
      <c r="C637" s="83" t="str">
        <f aca="false">IF('CARNET DE SOUDURE'!E637="","",'CARNET DE SOUDURE'!E637)</f>
        <v>JN°026</v>
      </c>
      <c r="D637" s="78" t="str">
        <f aca="false">IF('CARNET DE SOUDURE'!E637="","",'CARNET DE SOUDURE'!D637&amp;"")</f>
        <v/>
      </c>
      <c r="E637" s="96" t="str">
        <f aca="false">IF(OR('CARNET DE SOUDURE'!E637="",'CARNET DE SOUDURE'!R637=""),"",'CARNET DE SOUDURE'!R637)</f>
        <v/>
      </c>
      <c r="F637" s="81" t="str">
        <f aca="false">IF('CARNET DE SOUDURE'!E637="","",'CARNET DE SOUDURE'!AL637)</f>
        <v/>
      </c>
      <c r="G637" s="81" t="str">
        <f aca="false">IF('CARNET DE SOUDURE'!E637="","",'CARNET DE SOUDURE'!AM637)</f>
        <v>À SOUDER</v>
      </c>
      <c r="H637" s="81" t="str">
        <f aca="false">IF(C637="","",IF(G637="ACCEPTÉ","OUI","NON"))</f>
        <v>NON</v>
      </c>
      <c r="I637" s="82"/>
      <c r="J637" s="79"/>
      <c r="K637" s="80"/>
      <c r="L637" s="80"/>
      <c r="M637" s="80"/>
      <c r="N637" s="83" t="str">
        <f aca="false">IF(C637="","",IF(I637="",IF(H637="OUI","À ENROBER",IF(G637="À SOUDER","NON SOUDÉ","EN ATTENTE RT")),IF(L637="R","À REPRENDRE",IF(H637&lt;&gt;"OUI","⚠ ENROBÉ AVANT ACCEPTATION RT","ENROBÉ"))))</f>
        <v>NON SOUDÉ</v>
      </c>
      <c r="O637" s="79"/>
    </row>
    <row r="638" customFormat="false" ht="15" hidden="false" customHeight="false" outlineLevel="0" collapsed="false">
      <c r="A638" s="78" t="n">
        <f aca="false">IF('CARNET DE SOUDURE'!E638="","",'CARNET DE SOUDURE'!A638)</f>
        <v>632</v>
      </c>
      <c r="B638" s="93" t="str">
        <f aca="false">IF('CARNET DE SOUDURE'!E638="","",'CARNET DE SOUDURE'!B638&amp;"")</f>
        <v>ISB-304</v>
      </c>
      <c r="C638" s="83" t="str">
        <f aca="false">IF('CARNET DE SOUDURE'!E638="","",'CARNET DE SOUDURE'!E638)</f>
        <v>JN°027</v>
      </c>
      <c r="D638" s="78" t="str">
        <f aca="false">IF('CARNET DE SOUDURE'!E638="","",'CARNET DE SOUDURE'!D638&amp;"")</f>
        <v/>
      </c>
      <c r="E638" s="96" t="str">
        <f aca="false">IF(OR('CARNET DE SOUDURE'!E638="",'CARNET DE SOUDURE'!R638=""),"",'CARNET DE SOUDURE'!R638)</f>
        <v/>
      </c>
      <c r="F638" s="81" t="str">
        <f aca="false">IF('CARNET DE SOUDURE'!E638="","",'CARNET DE SOUDURE'!AL638)</f>
        <v/>
      </c>
      <c r="G638" s="81" t="str">
        <f aca="false">IF('CARNET DE SOUDURE'!E638="","",'CARNET DE SOUDURE'!AM638)</f>
        <v>À SOUDER</v>
      </c>
      <c r="H638" s="81" t="str">
        <f aca="false">IF(C638="","",IF(G638="ACCEPTÉ","OUI","NON"))</f>
        <v>NON</v>
      </c>
      <c r="I638" s="82"/>
      <c r="J638" s="79"/>
      <c r="K638" s="80"/>
      <c r="L638" s="80"/>
      <c r="M638" s="80"/>
      <c r="N638" s="83" t="str">
        <f aca="false">IF(C638="","",IF(I638="",IF(H638="OUI","À ENROBER",IF(G638="À SOUDER","NON SOUDÉ","EN ATTENTE RT")),IF(L638="R","À REPRENDRE",IF(H638&lt;&gt;"OUI","⚠ ENROBÉ AVANT ACCEPTATION RT","ENROBÉ"))))</f>
        <v>NON SOUDÉ</v>
      </c>
      <c r="O638" s="79"/>
    </row>
    <row r="639" customFormat="false" ht="15" hidden="false" customHeight="false" outlineLevel="0" collapsed="false">
      <c r="A639" s="78" t="n">
        <f aca="false">IF('CARNET DE SOUDURE'!E639="","",'CARNET DE SOUDURE'!A639)</f>
        <v>633</v>
      </c>
      <c r="B639" s="93" t="str">
        <f aca="false">IF('CARNET DE SOUDURE'!E639="","",'CARNET DE SOUDURE'!B639&amp;"")</f>
        <v>ISB-304</v>
      </c>
      <c r="C639" s="83" t="str">
        <f aca="false">IF('CARNET DE SOUDURE'!E639="","",'CARNET DE SOUDURE'!E639)</f>
        <v>JN°028</v>
      </c>
      <c r="D639" s="78" t="str">
        <f aca="false">IF('CARNET DE SOUDURE'!E639="","",'CARNET DE SOUDURE'!D639&amp;"")</f>
        <v/>
      </c>
      <c r="E639" s="96" t="str">
        <f aca="false">IF(OR('CARNET DE SOUDURE'!E639="",'CARNET DE SOUDURE'!R639=""),"",'CARNET DE SOUDURE'!R639)</f>
        <v/>
      </c>
      <c r="F639" s="81" t="str">
        <f aca="false">IF('CARNET DE SOUDURE'!E639="","",'CARNET DE SOUDURE'!AL639)</f>
        <v/>
      </c>
      <c r="G639" s="81" t="str">
        <f aca="false">IF('CARNET DE SOUDURE'!E639="","",'CARNET DE SOUDURE'!AM639)</f>
        <v>À SOUDER</v>
      </c>
      <c r="H639" s="81" t="str">
        <f aca="false">IF(C639="","",IF(G639="ACCEPTÉ","OUI","NON"))</f>
        <v>NON</v>
      </c>
      <c r="I639" s="82"/>
      <c r="J639" s="79"/>
      <c r="K639" s="80"/>
      <c r="L639" s="80"/>
      <c r="M639" s="80"/>
      <c r="N639" s="83" t="str">
        <f aca="false">IF(C639="","",IF(I639="",IF(H639="OUI","À ENROBER",IF(G639="À SOUDER","NON SOUDÉ","EN ATTENTE RT")),IF(L639="R","À REPRENDRE",IF(H639&lt;&gt;"OUI","⚠ ENROBÉ AVANT ACCEPTATION RT","ENROBÉ"))))</f>
        <v>NON SOUDÉ</v>
      </c>
      <c r="O639" s="79"/>
    </row>
    <row r="640" customFormat="false" ht="15" hidden="false" customHeight="false" outlineLevel="0" collapsed="false">
      <c r="A640" s="78" t="n">
        <f aca="false">IF('CARNET DE SOUDURE'!E640="","",'CARNET DE SOUDURE'!A640)</f>
        <v>634</v>
      </c>
      <c r="B640" s="93" t="str">
        <f aca="false">IF('CARNET DE SOUDURE'!E640="","",'CARNET DE SOUDURE'!B640&amp;"")</f>
        <v>ISB-304</v>
      </c>
      <c r="C640" s="83" t="str">
        <f aca="false">IF('CARNET DE SOUDURE'!E640="","",'CARNET DE SOUDURE'!E640)</f>
        <v>JN°029</v>
      </c>
      <c r="D640" s="78" t="str">
        <f aca="false">IF('CARNET DE SOUDURE'!E640="","",'CARNET DE SOUDURE'!D640&amp;"")</f>
        <v/>
      </c>
      <c r="E640" s="96" t="str">
        <f aca="false">IF(OR('CARNET DE SOUDURE'!E640="",'CARNET DE SOUDURE'!R640=""),"",'CARNET DE SOUDURE'!R640)</f>
        <v/>
      </c>
      <c r="F640" s="81" t="str">
        <f aca="false">IF('CARNET DE SOUDURE'!E640="","",'CARNET DE SOUDURE'!AL640)</f>
        <v/>
      </c>
      <c r="G640" s="81" t="str">
        <f aca="false">IF('CARNET DE SOUDURE'!E640="","",'CARNET DE SOUDURE'!AM640)</f>
        <v>À SOUDER</v>
      </c>
      <c r="H640" s="81" t="str">
        <f aca="false">IF(C640="","",IF(G640="ACCEPTÉ","OUI","NON"))</f>
        <v>NON</v>
      </c>
      <c r="I640" s="82"/>
      <c r="J640" s="79"/>
      <c r="K640" s="80"/>
      <c r="L640" s="80"/>
      <c r="M640" s="80"/>
      <c r="N640" s="83" t="str">
        <f aca="false">IF(C640="","",IF(I640="",IF(H640="OUI","À ENROBER",IF(G640="À SOUDER","NON SOUDÉ","EN ATTENTE RT")),IF(L640="R","À REPRENDRE",IF(H640&lt;&gt;"OUI","⚠ ENROBÉ AVANT ACCEPTATION RT","ENROBÉ"))))</f>
        <v>NON SOUDÉ</v>
      </c>
      <c r="O640" s="79"/>
    </row>
    <row r="641" customFormat="false" ht="15" hidden="false" customHeight="false" outlineLevel="0" collapsed="false">
      <c r="A641" s="78" t="n">
        <f aca="false">IF('CARNET DE SOUDURE'!E641="","",'CARNET DE SOUDURE'!A641)</f>
        <v>635</v>
      </c>
      <c r="B641" s="93" t="str">
        <f aca="false">IF('CARNET DE SOUDURE'!E641="","",'CARNET DE SOUDURE'!B641&amp;"")</f>
        <v>ISB-304</v>
      </c>
      <c r="C641" s="83" t="str">
        <f aca="false">IF('CARNET DE SOUDURE'!E641="","",'CARNET DE SOUDURE'!E641)</f>
        <v>JN°030</v>
      </c>
      <c r="D641" s="78" t="str">
        <f aca="false">IF('CARNET DE SOUDURE'!E641="","",'CARNET DE SOUDURE'!D641&amp;"")</f>
        <v/>
      </c>
      <c r="E641" s="96" t="str">
        <f aca="false">IF(OR('CARNET DE SOUDURE'!E641="",'CARNET DE SOUDURE'!R641=""),"",'CARNET DE SOUDURE'!R641)</f>
        <v/>
      </c>
      <c r="F641" s="81" t="str">
        <f aca="false">IF('CARNET DE SOUDURE'!E641="","",'CARNET DE SOUDURE'!AL641)</f>
        <v/>
      </c>
      <c r="G641" s="81" t="str">
        <f aca="false">IF('CARNET DE SOUDURE'!E641="","",'CARNET DE SOUDURE'!AM641)</f>
        <v>À SOUDER</v>
      </c>
      <c r="H641" s="81" t="str">
        <f aca="false">IF(C641="","",IF(G641="ACCEPTÉ","OUI","NON"))</f>
        <v>NON</v>
      </c>
      <c r="I641" s="82"/>
      <c r="J641" s="79"/>
      <c r="K641" s="80"/>
      <c r="L641" s="80"/>
      <c r="M641" s="80"/>
      <c r="N641" s="83" t="str">
        <f aca="false">IF(C641="","",IF(I641="",IF(H641="OUI","À ENROBER",IF(G641="À SOUDER","NON SOUDÉ","EN ATTENTE RT")),IF(L641="R","À REPRENDRE",IF(H641&lt;&gt;"OUI","⚠ ENROBÉ AVANT ACCEPTATION RT","ENROBÉ"))))</f>
        <v>NON SOUDÉ</v>
      </c>
      <c r="O641" s="79"/>
    </row>
    <row r="642" customFormat="false" ht="15" hidden="false" customHeight="false" outlineLevel="0" collapsed="false">
      <c r="A642" s="78" t="n">
        <f aca="false">IF('CARNET DE SOUDURE'!E642="","",'CARNET DE SOUDURE'!A642)</f>
        <v>636</v>
      </c>
      <c r="B642" s="93" t="str">
        <f aca="false">IF('CARNET DE SOUDURE'!E642="","",'CARNET DE SOUDURE'!B642&amp;"")</f>
        <v>ISB-304</v>
      </c>
      <c r="C642" s="83" t="str">
        <f aca="false">IF('CARNET DE SOUDURE'!E642="","",'CARNET DE SOUDURE'!E642)</f>
        <v>JN°031</v>
      </c>
      <c r="D642" s="78" t="str">
        <f aca="false">IF('CARNET DE SOUDURE'!E642="","",'CARNET DE SOUDURE'!D642&amp;"")</f>
        <v/>
      </c>
      <c r="E642" s="96" t="str">
        <f aca="false">IF(OR('CARNET DE SOUDURE'!E642="",'CARNET DE SOUDURE'!R642=""),"",'CARNET DE SOUDURE'!R642)</f>
        <v/>
      </c>
      <c r="F642" s="81" t="str">
        <f aca="false">IF('CARNET DE SOUDURE'!E642="","",'CARNET DE SOUDURE'!AL642)</f>
        <v/>
      </c>
      <c r="G642" s="81" t="str">
        <f aca="false">IF('CARNET DE SOUDURE'!E642="","",'CARNET DE SOUDURE'!AM642)</f>
        <v>À SOUDER</v>
      </c>
      <c r="H642" s="81" t="str">
        <f aca="false">IF(C642="","",IF(G642="ACCEPTÉ","OUI","NON"))</f>
        <v>NON</v>
      </c>
      <c r="I642" s="82"/>
      <c r="J642" s="79"/>
      <c r="K642" s="80"/>
      <c r="L642" s="80"/>
      <c r="M642" s="80"/>
      <c r="N642" s="83" t="str">
        <f aca="false">IF(C642="","",IF(I642="",IF(H642="OUI","À ENROBER",IF(G642="À SOUDER","NON SOUDÉ","EN ATTENTE RT")),IF(L642="R","À REPRENDRE",IF(H642&lt;&gt;"OUI","⚠ ENROBÉ AVANT ACCEPTATION RT","ENROBÉ"))))</f>
        <v>NON SOUDÉ</v>
      </c>
      <c r="O642" s="79"/>
    </row>
    <row r="643" customFormat="false" ht="15" hidden="false" customHeight="false" outlineLevel="0" collapsed="false">
      <c r="A643" s="78" t="n">
        <f aca="false">IF('CARNET DE SOUDURE'!E643="","",'CARNET DE SOUDURE'!A643)</f>
        <v>637</v>
      </c>
      <c r="B643" s="93" t="str">
        <f aca="false">IF('CARNET DE SOUDURE'!E643="","",'CARNET DE SOUDURE'!B643&amp;"")</f>
        <v>ISB-304</v>
      </c>
      <c r="C643" s="83" t="str">
        <f aca="false">IF('CARNET DE SOUDURE'!E643="","",'CARNET DE SOUDURE'!E643)</f>
        <v>JN°032</v>
      </c>
      <c r="D643" s="78" t="str">
        <f aca="false">IF('CARNET DE SOUDURE'!E643="","",'CARNET DE SOUDURE'!D643&amp;"")</f>
        <v/>
      </c>
      <c r="E643" s="96" t="str">
        <f aca="false">IF(OR('CARNET DE SOUDURE'!E643="",'CARNET DE SOUDURE'!R643=""),"",'CARNET DE SOUDURE'!R643)</f>
        <v/>
      </c>
      <c r="F643" s="81" t="str">
        <f aca="false">IF('CARNET DE SOUDURE'!E643="","",'CARNET DE SOUDURE'!AL643)</f>
        <v/>
      </c>
      <c r="G643" s="81" t="str">
        <f aca="false">IF('CARNET DE SOUDURE'!E643="","",'CARNET DE SOUDURE'!AM643)</f>
        <v>À SOUDER</v>
      </c>
      <c r="H643" s="81" t="str">
        <f aca="false">IF(C643="","",IF(G643="ACCEPTÉ","OUI","NON"))</f>
        <v>NON</v>
      </c>
      <c r="I643" s="82"/>
      <c r="J643" s="79"/>
      <c r="K643" s="80"/>
      <c r="L643" s="80"/>
      <c r="M643" s="80"/>
      <c r="N643" s="83" t="str">
        <f aca="false">IF(C643="","",IF(I643="",IF(H643="OUI","À ENROBER",IF(G643="À SOUDER","NON SOUDÉ","EN ATTENTE RT")),IF(L643="R","À REPRENDRE",IF(H643&lt;&gt;"OUI","⚠ ENROBÉ AVANT ACCEPTATION RT","ENROBÉ"))))</f>
        <v>NON SOUDÉ</v>
      </c>
      <c r="O643" s="79"/>
    </row>
    <row r="644" customFormat="false" ht="15" hidden="false" customHeight="false" outlineLevel="0" collapsed="false">
      <c r="A644" s="78" t="n">
        <f aca="false">IF('CARNET DE SOUDURE'!E644="","",'CARNET DE SOUDURE'!A644)</f>
        <v>638</v>
      </c>
      <c r="B644" s="93" t="str">
        <f aca="false">IF('CARNET DE SOUDURE'!E644="","",'CARNET DE SOUDURE'!B644&amp;"")</f>
        <v>ISB-304</v>
      </c>
      <c r="C644" s="83" t="str">
        <f aca="false">IF('CARNET DE SOUDURE'!E644="","",'CARNET DE SOUDURE'!E644)</f>
        <v>JN°033</v>
      </c>
      <c r="D644" s="78" t="str">
        <f aca="false">IF('CARNET DE SOUDURE'!E644="","",'CARNET DE SOUDURE'!D644&amp;"")</f>
        <v/>
      </c>
      <c r="E644" s="96" t="str">
        <f aca="false">IF(OR('CARNET DE SOUDURE'!E644="",'CARNET DE SOUDURE'!R644=""),"",'CARNET DE SOUDURE'!R644)</f>
        <v/>
      </c>
      <c r="F644" s="81" t="str">
        <f aca="false">IF('CARNET DE SOUDURE'!E644="","",'CARNET DE SOUDURE'!AL644)</f>
        <v/>
      </c>
      <c r="G644" s="81" t="str">
        <f aca="false">IF('CARNET DE SOUDURE'!E644="","",'CARNET DE SOUDURE'!AM644)</f>
        <v>À SOUDER</v>
      </c>
      <c r="H644" s="81" t="str">
        <f aca="false">IF(C644="","",IF(G644="ACCEPTÉ","OUI","NON"))</f>
        <v>NON</v>
      </c>
      <c r="I644" s="82"/>
      <c r="J644" s="79"/>
      <c r="K644" s="80"/>
      <c r="L644" s="80"/>
      <c r="M644" s="80"/>
      <c r="N644" s="83" t="str">
        <f aca="false">IF(C644="","",IF(I644="",IF(H644="OUI","À ENROBER",IF(G644="À SOUDER","NON SOUDÉ","EN ATTENTE RT")),IF(L644="R","À REPRENDRE",IF(H644&lt;&gt;"OUI","⚠ ENROBÉ AVANT ACCEPTATION RT","ENROBÉ"))))</f>
        <v>NON SOUDÉ</v>
      </c>
      <c r="O644" s="79"/>
    </row>
    <row r="645" customFormat="false" ht="15" hidden="false" customHeight="false" outlineLevel="0" collapsed="false">
      <c r="A645" s="78" t="n">
        <f aca="false">IF('CARNET DE SOUDURE'!E645="","",'CARNET DE SOUDURE'!A645)</f>
        <v>639</v>
      </c>
      <c r="B645" s="93" t="str">
        <f aca="false">IF('CARNET DE SOUDURE'!E645="","",'CARNET DE SOUDURE'!B645&amp;"")</f>
        <v>ISB-304</v>
      </c>
      <c r="C645" s="83" t="str">
        <f aca="false">IF('CARNET DE SOUDURE'!E645="","",'CARNET DE SOUDURE'!E645)</f>
        <v>JN°034</v>
      </c>
      <c r="D645" s="78" t="str">
        <f aca="false">IF('CARNET DE SOUDURE'!E645="","",'CARNET DE SOUDURE'!D645&amp;"")</f>
        <v/>
      </c>
      <c r="E645" s="96" t="str">
        <f aca="false">IF(OR('CARNET DE SOUDURE'!E645="",'CARNET DE SOUDURE'!R645=""),"",'CARNET DE SOUDURE'!R645)</f>
        <v/>
      </c>
      <c r="F645" s="81" t="str">
        <f aca="false">IF('CARNET DE SOUDURE'!E645="","",'CARNET DE SOUDURE'!AL645)</f>
        <v/>
      </c>
      <c r="G645" s="81" t="str">
        <f aca="false">IF('CARNET DE SOUDURE'!E645="","",'CARNET DE SOUDURE'!AM645)</f>
        <v>À SOUDER</v>
      </c>
      <c r="H645" s="81" t="str">
        <f aca="false">IF(C645="","",IF(G645="ACCEPTÉ","OUI","NON"))</f>
        <v>NON</v>
      </c>
      <c r="I645" s="82"/>
      <c r="J645" s="79"/>
      <c r="K645" s="80"/>
      <c r="L645" s="80"/>
      <c r="M645" s="80"/>
      <c r="N645" s="83" t="str">
        <f aca="false">IF(C645="","",IF(I645="",IF(H645="OUI","À ENROBER",IF(G645="À SOUDER","NON SOUDÉ","EN ATTENTE RT")),IF(L645="R","À REPRENDRE",IF(H645&lt;&gt;"OUI","⚠ ENROBÉ AVANT ACCEPTATION RT","ENROBÉ"))))</f>
        <v>NON SOUDÉ</v>
      </c>
      <c r="O645" s="79"/>
    </row>
    <row r="646" customFormat="false" ht="15" hidden="false" customHeight="false" outlineLevel="0" collapsed="false">
      <c r="A646" s="78" t="n">
        <f aca="false">IF('CARNET DE SOUDURE'!E646="","",'CARNET DE SOUDURE'!A646)</f>
        <v>640</v>
      </c>
      <c r="B646" s="93" t="str">
        <f aca="false">IF('CARNET DE SOUDURE'!E646="","",'CARNET DE SOUDURE'!B646&amp;"")</f>
        <v>ISB-304</v>
      </c>
      <c r="C646" s="83" t="str">
        <f aca="false">IF('CARNET DE SOUDURE'!E646="","",'CARNET DE SOUDURE'!E646)</f>
        <v>JN°035</v>
      </c>
      <c r="D646" s="78" t="str">
        <f aca="false">IF('CARNET DE SOUDURE'!E646="","",'CARNET DE SOUDURE'!D646&amp;"")</f>
        <v/>
      </c>
      <c r="E646" s="96" t="str">
        <f aca="false">IF(OR('CARNET DE SOUDURE'!E646="",'CARNET DE SOUDURE'!R646=""),"",'CARNET DE SOUDURE'!R646)</f>
        <v/>
      </c>
      <c r="F646" s="81" t="str">
        <f aca="false">IF('CARNET DE SOUDURE'!E646="","",'CARNET DE SOUDURE'!AL646)</f>
        <v/>
      </c>
      <c r="G646" s="81" t="str">
        <f aca="false">IF('CARNET DE SOUDURE'!E646="","",'CARNET DE SOUDURE'!AM646)</f>
        <v>À SOUDER</v>
      </c>
      <c r="H646" s="81" t="str">
        <f aca="false">IF(C646="","",IF(G646="ACCEPTÉ","OUI","NON"))</f>
        <v>NON</v>
      </c>
      <c r="I646" s="82"/>
      <c r="J646" s="79"/>
      <c r="K646" s="80"/>
      <c r="L646" s="80"/>
      <c r="M646" s="80"/>
      <c r="N646" s="83" t="str">
        <f aca="false">IF(C646="","",IF(I646="",IF(H646="OUI","À ENROBER",IF(G646="À SOUDER","NON SOUDÉ","EN ATTENTE RT")),IF(L646="R","À REPRENDRE",IF(H646&lt;&gt;"OUI","⚠ ENROBÉ AVANT ACCEPTATION RT","ENROBÉ"))))</f>
        <v>NON SOUDÉ</v>
      </c>
      <c r="O646" s="79"/>
    </row>
    <row r="647" customFormat="false" ht="15" hidden="false" customHeight="false" outlineLevel="0" collapsed="false">
      <c r="A647" s="78" t="n">
        <f aca="false">IF('CARNET DE SOUDURE'!E647="","",'CARNET DE SOUDURE'!A647)</f>
        <v>641</v>
      </c>
      <c r="B647" s="93" t="str">
        <f aca="false">IF('CARNET DE SOUDURE'!E647="","",'CARNET DE SOUDURE'!B647&amp;"")</f>
        <v>ISB-304</v>
      </c>
      <c r="C647" s="83" t="str">
        <f aca="false">IF('CARNET DE SOUDURE'!E647="","",'CARNET DE SOUDURE'!E647)</f>
        <v>JN°036</v>
      </c>
      <c r="D647" s="78" t="str">
        <f aca="false">IF('CARNET DE SOUDURE'!E647="","",'CARNET DE SOUDURE'!D647&amp;"")</f>
        <v/>
      </c>
      <c r="E647" s="96" t="str">
        <f aca="false">IF(OR('CARNET DE SOUDURE'!E647="",'CARNET DE SOUDURE'!R647=""),"",'CARNET DE SOUDURE'!R647)</f>
        <v/>
      </c>
      <c r="F647" s="81" t="str">
        <f aca="false">IF('CARNET DE SOUDURE'!E647="","",'CARNET DE SOUDURE'!AL647)</f>
        <v/>
      </c>
      <c r="G647" s="81" t="str">
        <f aca="false">IF('CARNET DE SOUDURE'!E647="","",'CARNET DE SOUDURE'!AM647)</f>
        <v>À SOUDER</v>
      </c>
      <c r="H647" s="81" t="str">
        <f aca="false">IF(C647="","",IF(G647="ACCEPTÉ","OUI","NON"))</f>
        <v>NON</v>
      </c>
      <c r="I647" s="82"/>
      <c r="J647" s="79"/>
      <c r="K647" s="80"/>
      <c r="L647" s="80"/>
      <c r="M647" s="80"/>
      <c r="N647" s="83" t="str">
        <f aca="false">IF(C647="","",IF(I647="",IF(H647="OUI","À ENROBER",IF(G647="À SOUDER","NON SOUDÉ","EN ATTENTE RT")),IF(L647="R","À REPRENDRE",IF(H647&lt;&gt;"OUI","⚠ ENROBÉ AVANT ACCEPTATION RT","ENROBÉ"))))</f>
        <v>NON SOUDÉ</v>
      </c>
      <c r="O647" s="79"/>
    </row>
    <row r="648" customFormat="false" ht="15" hidden="false" customHeight="false" outlineLevel="0" collapsed="false">
      <c r="A648" s="78" t="n">
        <f aca="false">IF('CARNET DE SOUDURE'!E648="","",'CARNET DE SOUDURE'!A648)</f>
        <v>642</v>
      </c>
      <c r="B648" s="93" t="str">
        <f aca="false">IF('CARNET DE SOUDURE'!E648="","",'CARNET DE SOUDURE'!B648&amp;"")</f>
        <v>ISB-304</v>
      </c>
      <c r="C648" s="83" t="str">
        <f aca="false">IF('CARNET DE SOUDURE'!E648="","",'CARNET DE SOUDURE'!E648)</f>
        <v>JN°037</v>
      </c>
      <c r="D648" s="78" t="str">
        <f aca="false">IF('CARNET DE SOUDURE'!E648="","",'CARNET DE SOUDURE'!D648&amp;"")</f>
        <v/>
      </c>
      <c r="E648" s="96" t="str">
        <f aca="false">IF(OR('CARNET DE SOUDURE'!E648="",'CARNET DE SOUDURE'!R648=""),"",'CARNET DE SOUDURE'!R648)</f>
        <v/>
      </c>
      <c r="F648" s="81" t="str">
        <f aca="false">IF('CARNET DE SOUDURE'!E648="","",'CARNET DE SOUDURE'!AL648)</f>
        <v/>
      </c>
      <c r="G648" s="81" t="str">
        <f aca="false">IF('CARNET DE SOUDURE'!E648="","",'CARNET DE SOUDURE'!AM648)</f>
        <v>À SOUDER</v>
      </c>
      <c r="H648" s="81" t="str">
        <f aca="false">IF(C648="","",IF(G648="ACCEPTÉ","OUI","NON"))</f>
        <v>NON</v>
      </c>
      <c r="I648" s="82"/>
      <c r="J648" s="79"/>
      <c r="K648" s="80"/>
      <c r="L648" s="80"/>
      <c r="M648" s="80"/>
      <c r="N648" s="83" t="str">
        <f aca="false">IF(C648="","",IF(I648="",IF(H648="OUI","À ENROBER",IF(G648="À SOUDER","NON SOUDÉ","EN ATTENTE RT")),IF(L648="R","À REPRENDRE",IF(H648&lt;&gt;"OUI","⚠ ENROBÉ AVANT ACCEPTATION RT","ENROBÉ"))))</f>
        <v>NON SOUDÉ</v>
      </c>
      <c r="O648" s="79"/>
    </row>
    <row r="649" customFormat="false" ht="15" hidden="false" customHeight="false" outlineLevel="0" collapsed="false">
      <c r="A649" s="78" t="n">
        <f aca="false">IF('CARNET DE SOUDURE'!E649="","",'CARNET DE SOUDURE'!A649)</f>
        <v>643</v>
      </c>
      <c r="B649" s="93" t="str">
        <f aca="false">IF('CARNET DE SOUDURE'!E649="","",'CARNET DE SOUDURE'!B649&amp;"")</f>
        <v>ISB-304</v>
      </c>
      <c r="C649" s="83" t="str">
        <f aca="false">IF('CARNET DE SOUDURE'!E649="","",'CARNET DE SOUDURE'!E649)</f>
        <v>JN°038</v>
      </c>
      <c r="D649" s="78" t="str">
        <f aca="false">IF('CARNET DE SOUDURE'!E649="","",'CARNET DE SOUDURE'!D649&amp;"")</f>
        <v/>
      </c>
      <c r="E649" s="96" t="str">
        <f aca="false">IF(OR('CARNET DE SOUDURE'!E649="",'CARNET DE SOUDURE'!R649=""),"",'CARNET DE SOUDURE'!R649)</f>
        <v/>
      </c>
      <c r="F649" s="81" t="str">
        <f aca="false">IF('CARNET DE SOUDURE'!E649="","",'CARNET DE SOUDURE'!AL649)</f>
        <v/>
      </c>
      <c r="G649" s="81" t="str">
        <f aca="false">IF('CARNET DE SOUDURE'!E649="","",'CARNET DE SOUDURE'!AM649)</f>
        <v>À SOUDER</v>
      </c>
      <c r="H649" s="81" t="str">
        <f aca="false">IF(C649="","",IF(G649="ACCEPTÉ","OUI","NON"))</f>
        <v>NON</v>
      </c>
      <c r="I649" s="82"/>
      <c r="J649" s="79"/>
      <c r="K649" s="80"/>
      <c r="L649" s="80"/>
      <c r="M649" s="80"/>
      <c r="N649" s="83" t="str">
        <f aca="false">IF(C649="","",IF(I649="",IF(H649="OUI","À ENROBER",IF(G649="À SOUDER","NON SOUDÉ","EN ATTENTE RT")),IF(L649="R","À REPRENDRE",IF(H649&lt;&gt;"OUI","⚠ ENROBÉ AVANT ACCEPTATION RT","ENROBÉ"))))</f>
        <v>NON SOUDÉ</v>
      </c>
      <c r="O649" s="79"/>
    </row>
    <row r="650" customFormat="false" ht="15" hidden="false" customHeight="false" outlineLevel="0" collapsed="false">
      <c r="A650" s="78" t="n">
        <f aca="false">IF('CARNET DE SOUDURE'!E650="","",'CARNET DE SOUDURE'!A650)</f>
        <v>644</v>
      </c>
      <c r="B650" s="93" t="str">
        <f aca="false">IF('CARNET DE SOUDURE'!E650="","",'CARNET DE SOUDURE'!B650&amp;"")</f>
        <v>ISB-304</v>
      </c>
      <c r="C650" s="83" t="str">
        <f aca="false">IF('CARNET DE SOUDURE'!E650="","",'CARNET DE SOUDURE'!E650)</f>
        <v>JN°039</v>
      </c>
      <c r="D650" s="78" t="str">
        <f aca="false">IF('CARNET DE SOUDURE'!E650="","",'CARNET DE SOUDURE'!D650&amp;"")</f>
        <v/>
      </c>
      <c r="E650" s="96" t="str">
        <f aca="false">IF(OR('CARNET DE SOUDURE'!E650="",'CARNET DE SOUDURE'!R650=""),"",'CARNET DE SOUDURE'!R650)</f>
        <v/>
      </c>
      <c r="F650" s="81" t="str">
        <f aca="false">IF('CARNET DE SOUDURE'!E650="","",'CARNET DE SOUDURE'!AL650)</f>
        <v/>
      </c>
      <c r="G650" s="81" t="str">
        <f aca="false">IF('CARNET DE SOUDURE'!E650="","",'CARNET DE SOUDURE'!AM650)</f>
        <v>À SOUDER</v>
      </c>
      <c r="H650" s="81" t="str">
        <f aca="false">IF(C650="","",IF(G650="ACCEPTÉ","OUI","NON"))</f>
        <v>NON</v>
      </c>
      <c r="I650" s="82"/>
      <c r="J650" s="79"/>
      <c r="K650" s="80"/>
      <c r="L650" s="80"/>
      <c r="M650" s="80"/>
      <c r="N650" s="83" t="str">
        <f aca="false">IF(C650="","",IF(I650="",IF(H650="OUI","À ENROBER",IF(G650="À SOUDER","NON SOUDÉ","EN ATTENTE RT")),IF(L650="R","À REPRENDRE",IF(H650&lt;&gt;"OUI","⚠ ENROBÉ AVANT ACCEPTATION RT","ENROBÉ"))))</f>
        <v>NON SOUDÉ</v>
      </c>
      <c r="O650" s="79"/>
    </row>
    <row r="651" customFormat="false" ht="15" hidden="false" customHeight="false" outlineLevel="0" collapsed="false">
      <c r="A651" s="78" t="n">
        <f aca="false">IF('CARNET DE SOUDURE'!E651="","",'CARNET DE SOUDURE'!A651)</f>
        <v>645</v>
      </c>
      <c r="B651" s="93" t="str">
        <f aca="false">IF('CARNET DE SOUDURE'!E651="","",'CARNET DE SOUDURE'!B651&amp;"")</f>
        <v>ISB-304</v>
      </c>
      <c r="C651" s="83" t="str">
        <f aca="false">IF('CARNET DE SOUDURE'!E651="","",'CARNET DE SOUDURE'!E651)</f>
        <v>JN°040</v>
      </c>
      <c r="D651" s="78" t="str">
        <f aca="false">IF('CARNET DE SOUDURE'!E651="","",'CARNET DE SOUDURE'!D651&amp;"")</f>
        <v/>
      </c>
      <c r="E651" s="96" t="str">
        <f aca="false">IF(OR('CARNET DE SOUDURE'!E651="",'CARNET DE SOUDURE'!R651=""),"",'CARNET DE SOUDURE'!R651)</f>
        <v/>
      </c>
      <c r="F651" s="81" t="str">
        <f aca="false">IF('CARNET DE SOUDURE'!E651="","",'CARNET DE SOUDURE'!AL651)</f>
        <v/>
      </c>
      <c r="G651" s="81" t="str">
        <f aca="false">IF('CARNET DE SOUDURE'!E651="","",'CARNET DE SOUDURE'!AM651)</f>
        <v>À SOUDER</v>
      </c>
      <c r="H651" s="81" t="str">
        <f aca="false">IF(C651="","",IF(G651="ACCEPTÉ","OUI","NON"))</f>
        <v>NON</v>
      </c>
      <c r="I651" s="82"/>
      <c r="J651" s="79"/>
      <c r="K651" s="80"/>
      <c r="L651" s="80"/>
      <c r="M651" s="80"/>
      <c r="N651" s="83" t="str">
        <f aca="false">IF(C651="","",IF(I651="",IF(H651="OUI","À ENROBER",IF(G651="À SOUDER","NON SOUDÉ","EN ATTENTE RT")),IF(L651="R","À REPRENDRE",IF(H651&lt;&gt;"OUI","⚠ ENROBÉ AVANT ACCEPTATION RT","ENROBÉ"))))</f>
        <v>NON SOUDÉ</v>
      </c>
      <c r="O651" s="79"/>
    </row>
    <row r="652" customFormat="false" ht="15" hidden="false" customHeight="false" outlineLevel="0" collapsed="false">
      <c r="A652" s="78" t="n">
        <f aca="false">IF('CARNET DE SOUDURE'!E652="","",'CARNET DE SOUDURE'!A652)</f>
        <v>646</v>
      </c>
      <c r="B652" s="93" t="str">
        <f aca="false">IF('CARNET DE SOUDURE'!E652="","",'CARNET DE SOUDURE'!B652&amp;"")</f>
        <v>ISB-304</v>
      </c>
      <c r="C652" s="83" t="str">
        <f aca="false">IF('CARNET DE SOUDURE'!E652="","",'CARNET DE SOUDURE'!E652)</f>
        <v>JN°041</v>
      </c>
      <c r="D652" s="78" t="str">
        <f aca="false">IF('CARNET DE SOUDURE'!E652="","",'CARNET DE SOUDURE'!D652&amp;"")</f>
        <v/>
      </c>
      <c r="E652" s="96" t="str">
        <f aca="false">IF(OR('CARNET DE SOUDURE'!E652="",'CARNET DE SOUDURE'!R652=""),"",'CARNET DE SOUDURE'!R652)</f>
        <v/>
      </c>
      <c r="F652" s="81" t="str">
        <f aca="false">IF('CARNET DE SOUDURE'!E652="","",'CARNET DE SOUDURE'!AL652)</f>
        <v/>
      </c>
      <c r="G652" s="81" t="str">
        <f aca="false">IF('CARNET DE SOUDURE'!E652="","",'CARNET DE SOUDURE'!AM652)</f>
        <v>À SOUDER</v>
      </c>
      <c r="H652" s="81" t="str">
        <f aca="false">IF(C652="","",IF(G652="ACCEPTÉ","OUI","NON"))</f>
        <v>NON</v>
      </c>
      <c r="I652" s="82"/>
      <c r="J652" s="79"/>
      <c r="K652" s="80"/>
      <c r="L652" s="80"/>
      <c r="M652" s="80"/>
      <c r="N652" s="83" t="str">
        <f aca="false">IF(C652="","",IF(I652="",IF(H652="OUI","À ENROBER",IF(G652="À SOUDER","NON SOUDÉ","EN ATTENTE RT")),IF(L652="R","À REPRENDRE",IF(H652&lt;&gt;"OUI","⚠ ENROBÉ AVANT ACCEPTATION RT","ENROBÉ"))))</f>
        <v>NON SOUDÉ</v>
      </c>
      <c r="O652" s="79"/>
    </row>
    <row r="653" customFormat="false" ht="15" hidden="false" customHeight="false" outlineLevel="0" collapsed="false">
      <c r="A653" s="78" t="n">
        <f aca="false">IF('CARNET DE SOUDURE'!E653="","",'CARNET DE SOUDURE'!A653)</f>
        <v>647</v>
      </c>
      <c r="B653" s="93" t="str">
        <f aca="false">IF('CARNET DE SOUDURE'!E653="","",'CARNET DE SOUDURE'!B653&amp;"")</f>
        <v>ISB-304</v>
      </c>
      <c r="C653" s="83" t="str">
        <f aca="false">IF('CARNET DE SOUDURE'!E653="","",'CARNET DE SOUDURE'!E653)</f>
        <v>JN°042</v>
      </c>
      <c r="D653" s="78" t="str">
        <f aca="false">IF('CARNET DE SOUDURE'!E653="","",'CARNET DE SOUDURE'!D653&amp;"")</f>
        <v/>
      </c>
      <c r="E653" s="96" t="str">
        <f aca="false">IF(OR('CARNET DE SOUDURE'!E653="",'CARNET DE SOUDURE'!R653=""),"",'CARNET DE SOUDURE'!R653)</f>
        <v/>
      </c>
      <c r="F653" s="81" t="str">
        <f aca="false">IF('CARNET DE SOUDURE'!E653="","",'CARNET DE SOUDURE'!AL653)</f>
        <v/>
      </c>
      <c r="G653" s="81" t="str">
        <f aca="false">IF('CARNET DE SOUDURE'!E653="","",'CARNET DE SOUDURE'!AM653)</f>
        <v>À SOUDER</v>
      </c>
      <c r="H653" s="81" t="str">
        <f aca="false">IF(C653="","",IF(G653="ACCEPTÉ","OUI","NON"))</f>
        <v>NON</v>
      </c>
      <c r="I653" s="82"/>
      <c r="J653" s="79"/>
      <c r="K653" s="80"/>
      <c r="L653" s="80"/>
      <c r="M653" s="80"/>
      <c r="N653" s="83" t="str">
        <f aca="false">IF(C653="","",IF(I653="",IF(H653="OUI","À ENROBER",IF(G653="À SOUDER","NON SOUDÉ","EN ATTENTE RT")),IF(L653="R","À REPRENDRE",IF(H653&lt;&gt;"OUI","⚠ ENROBÉ AVANT ACCEPTATION RT","ENROBÉ"))))</f>
        <v>NON SOUDÉ</v>
      </c>
      <c r="O653" s="79"/>
    </row>
    <row r="654" customFormat="false" ht="15" hidden="false" customHeight="false" outlineLevel="0" collapsed="false">
      <c r="A654" s="78" t="n">
        <f aca="false">IF('CARNET DE SOUDURE'!E654="","",'CARNET DE SOUDURE'!A654)</f>
        <v>648</v>
      </c>
      <c r="B654" s="93" t="str">
        <f aca="false">IF('CARNET DE SOUDURE'!E654="","",'CARNET DE SOUDURE'!B654&amp;"")</f>
        <v>ISB-304</v>
      </c>
      <c r="C654" s="83" t="str">
        <f aca="false">IF('CARNET DE SOUDURE'!E654="","",'CARNET DE SOUDURE'!E654)</f>
        <v>JN°043</v>
      </c>
      <c r="D654" s="78" t="str">
        <f aca="false">IF('CARNET DE SOUDURE'!E654="","",'CARNET DE SOUDURE'!D654&amp;"")</f>
        <v/>
      </c>
      <c r="E654" s="96" t="str">
        <f aca="false">IF(OR('CARNET DE SOUDURE'!E654="",'CARNET DE SOUDURE'!R654=""),"",'CARNET DE SOUDURE'!R654)</f>
        <v/>
      </c>
      <c r="F654" s="81" t="str">
        <f aca="false">IF('CARNET DE SOUDURE'!E654="","",'CARNET DE SOUDURE'!AL654)</f>
        <v/>
      </c>
      <c r="G654" s="81" t="str">
        <f aca="false">IF('CARNET DE SOUDURE'!E654="","",'CARNET DE SOUDURE'!AM654)</f>
        <v>À SOUDER</v>
      </c>
      <c r="H654" s="81" t="str">
        <f aca="false">IF(C654="","",IF(G654="ACCEPTÉ","OUI","NON"))</f>
        <v>NON</v>
      </c>
      <c r="I654" s="82"/>
      <c r="J654" s="79"/>
      <c r="K654" s="80"/>
      <c r="L654" s="80"/>
      <c r="M654" s="80"/>
      <c r="N654" s="83" t="str">
        <f aca="false">IF(C654="","",IF(I654="",IF(H654="OUI","À ENROBER",IF(G654="À SOUDER","NON SOUDÉ","EN ATTENTE RT")),IF(L654="R","À REPRENDRE",IF(H654&lt;&gt;"OUI","⚠ ENROBÉ AVANT ACCEPTATION RT","ENROBÉ"))))</f>
        <v>NON SOUDÉ</v>
      </c>
      <c r="O654" s="79"/>
    </row>
    <row r="655" customFormat="false" ht="15" hidden="false" customHeight="false" outlineLevel="0" collapsed="false">
      <c r="A655" s="78" t="n">
        <f aca="false">IF('CARNET DE SOUDURE'!E655="","",'CARNET DE SOUDURE'!A655)</f>
        <v>649</v>
      </c>
      <c r="B655" s="93" t="str">
        <f aca="false">IF('CARNET DE SOUDURE'!E655="","",'CARNET DE SOUDURE'!B655&amp;"")</f>
        <v>ISB-304</v>
      </c>
      <c r="C655" s="83" t="str">
        <f aca="false">IF('CARNET DE SOUDURE'!E655="","",'CARNET DE SOUDURE'!E655)</f>
        <v>JN°044</v>
      </c>
      <c r="D655" s="78" t="str">
        <f aca="false">IF('CARNET DE SOUDURE'!E655="","",'CARNET DE SOUDURE'!D655&amp;"")</f>
        <v/>
      </c>
      <c r="E655" s="96" t="str">
        <f aca="false">IF(OR('CARNET DE SOUDURE'!E655="",'CARNET DE SOUDURE'!R655=""),"",'CARNET DE SOUDURE'!R655)</f>
        <v/>
      </c>
      <c r="F655" s="81" t="str">
        <f aca="false">IF('CARNET DE SOUDURE'!E655="","",'CARNET DE SOUDURE'!AL655)</f>
        <v/>
      </c>
      <c r="G655" s="81" t="str">
        <f aca="false">IF('CARNET DE SOUDURE'!E655="","",'CARNET DE SOUDURE'!AM655)</f>
        <v>À SOUDER</v>
      </c>
      <c r="H655" s="81" t="str">
        <f aca="false">IF(C655="","",IF(G655="ACCEPTÉ","OUI","NON"))</f>
        <v>NON</v>
      </c>
      <c r="I655" s="82"/>
      <c r="J655" s="79"/>
      <c r="K655" s="80"/>
      <c r="L655" s="80"/>
      <c r="M655" s="80"/>
      <c r="N655" s="83" t="str">
        <f aca="false">IF(C655="","",IF(I655="",IF(H655="OUI","À ENROBER",IF(G655="À SOUDER","NON SOUDÉ","EN ATTENTE RT")),IF(L655="R","À REPRENDRE",IF(H655&lt;&gt;"OUI","⚠ ENROBÉ AVANT ACCEPTATION RT","ENROBÉ"))))</f>
        <v>NON SOUDÉ</v>
      </c>
      <c r="O655" s="79"/>
    </row>
    <row r="656" customFormat="false" ht="15" hidden="false" customHeight="false" outlineLevel="0" collapsed="false">
      <c r="A656" s="78" t="n">
        <f aca="false">IF('CARNET DE SOUDURE'!E656="","",'CARNET DE SOUDURE'!A656)</f>
        <v>650</v>
      </c>
      <c r="B656" s="93" t="str">
        <f aca="false">IF('CARNET DE SOUDURE'!E656="","",'CARNET DE SOUDURE'!B656&amp;"")</f>
        <v>ISB-304</v>
      </c>
      <c r="C656" s="83" t="str">
        <f aca="false">IF('CARNET DE SOUDURE'!E656="","",'CARNET DE SOUDURE'!E656)</f>
        <v>JN°045</v>
      </c>
      <c r="D656" s="78" t="str">
        <f aca="false">IF('CARNET DE SOUDURE'!E656="","",'CARNET DE SOUDURE'!D656&amp;"")</f>
        <v/>
      </c>
      <c r="E656" s="96" t="str">
        <f aca="false">IF(OR('CARNET DE SOUDURE'!E656="",'CARNET DE SOUDURE'!R656=""),"",'CARNET DE SOUDURE'!R656)</f>
        <v/>
      </c>
      <c r="F656" s="81" t="str">
        <f aca="false">IF('CARNET DE SOUDURE'!E656="","",'CARNET DE SOUDURE'!AL656)</f>
        <v/>
      </c>
      <c r="G656" s="81" t="str">
        <f aca="false">IF('CARNET DE SOUDURE'!E656="","",'CARNET DE SOUDURE'!AM656)</f>
        <v>À SOUDER</v>
      </c>
      <c r="H656" s="81" t="str">
        <f aca="false">IF(C656="","",IF(G656="ACCEPTÉ","OUI","NON"))</f>
        <v>NON</v>
      </c>
      <c r="I656" s="82"/>
      <c r="J656" s="79"/>
      <c r="K656" s="80"/>
      <c r="L656" s="80"/>
      <c r="M656" s="80"/>
      <c r="N656" s="83" t="str">
        <f aca="false">IF(C656="","",IF(I656="",IF(H656="OUI","À ENROBER",IF(G656="À SOUDER","NON SOUDÉ","EN ATTENTE RT")),IF(L656="R","À REPRENDRE",IF(H656&lt;&gt;"OUI","⚠ ENROBÉ AVANT ACCEPTATION RT","ENROBÉ"))))</f>
        <v>NON SOUDÉ</v>
      </c>
      <c r="O656" s="79"/>
    </row>
    <row r="657" customFormat="false" ht="15" hidden="false" customHeight="false" outlineLevel="0" collapsed="false">
      <c r="A657" s="78" t="n">
        <f aca="false">IF('CARNET DE SOUDURE'!E657="","",'CARNET DE SOUDURE'!A657)</f>
        <v>651</v>
      </c>
      <c r="B657" s="93" t="str">
        <f aca="false">IF('CARNET DE SOUDURE'!E657="","",'CARNET DE SOUDURE'!B657&amp;"")</f>
        <v>ISB-304</v>
      </c>
      <c r="C657" s="83" t="str">
        <f aca="false">IF('CARNET DE SOUDURE'!E657="","",'CARNET DE SOUDURE'!E657)</f>
        <v>JN°046</v>
      </c>
      <c r="D657" s="78" t="str">
        <f aca="false">IF('CARNET DE SOUDURE'!E657="","",'CARNET DE SOUDURE'!D657&amp;"")</f>
        <v/>
      </c>
      <c r="E657" s="96" t="str">
        <f aca="false">IF(OR('CARNET DE SOUDURE'!E657="",'CARNET DE SOUDURE'!R657=""),"",'CARNET DE SOUDURE'!R657)</f>
        <v/>
      </c>
      <c r="F657" s="81" t="str">
        <f aca="false">IF('CARNET DE SOUDURE'!E657="","",'CARNET DE SOUDURE'!AL657)</f>
        <v/>
      </c>
      <c r="G657" s="81" t="str">
        <f aca="false">IF('CARNET DE SOUDURE'!E657="","",'CARNET DE SOUDURE'!AM657)</f>
        <v>À SOUDER</v>
      </c>
      <c r="H657" s="81" t="str">
        <f aca="false">IF(C657="","",IF(G657="ACCEPTÉ","OUI","NON"))</f>
        <v>NON</v>
      </c>
      <c r="I657" s="82"/>
      <c r="J657" s="79"/>
      <c r="K657" s="80"/>
      <c r="L657" s="80"/>
      <c r="M657" s="80"/>
      <c r="N657" s="83" t="str">
        <f aca="false">IF(C657="","",IF(I657="",IF(H657="OUI","À ENROBER",IF(G657="À SOUDER","NON SOUDÉ","EN ATTENTE RT")),IF(L657="R","À REPRENDRE",IF(H657&lt;&gt;"OUI","⚠ ENROBÉ AVANT ACCEPTATION RT","ENROBÉ"))))</f>
        <v>NON SOUDÉ</v>
      </c>
      <c r="O657" s="79"/>
    </row>
    <row r="658" customFormat="false" ht="15" hidden="false" customHeight="false" outlineLevel="0" collapsed="false">
      <c r="A658" s="78" t="n">
        <f aca="false">IF('CARNET DE SOUDURE'!E658="","",'CARNET DE SOUDURE'!A658)</f>
        <v>652</v>
      </c>
      <c r="B658" s="93" t="str">
        <f aca="false">IF('CARNET DE SOUDURE'!E658="","",'CARNET DE SOUDURE'!B658&amp;"")</f>
        <v>ISB-304</v>
      </c>
      <c r="C658" s="83" t="str">
        <f aca="false">IF('CARNET DE SOUDURE'!E658="","",'CARNET DE SOUDURE'!E658)</f>
        <v>JN°047</v>
      </c>
      <c r="D658" s="78" t="str">
        <f aca="false">IF('CARNET DE SOUDURE'!E658="","",'CARNET DE SOUDURE'!D658&amp;"")</f>
        <v/>
      </c>
      <c r="E658" s="96" t="str">
        <f aca="false">IF(OR('CARNET DE SOUDURE'!E658="",'CARNET DE SOUDURE'!R658=""),"",'CARNET DE SOUDURE'!R658)</f>
        <v/>
      </c>
      <c r="F658" s="81" t="str">
        <f aca="false">IF('CARNET DE SOUDURE'!E658="","",'CARNET DE SOUDURE'!AL658)</f>
        <v/>
      </c>
      <c r="G658" s="81" t="str">
        <f aca="false">IF('CARNET DE SOUDURE'!E658="","",'CARNET DE SOUDURE'!AM658)</f>
        <v>À SOUDER</v>
      </c>
      <c r="H658" s="81" t="str">
        <f aca="false">IF(C658="","",IF(G658="ACCEPTÉ","OUI","NON"))</f>
        <v>NON</v>
      </c>
      <c r="I658" s="82"/>
      <c r="J658" s="79"/>
      <c r="K658" s="80"/>
      <c r="L658" s="80"/>
      <c r="M658" s="80"/>
      <c r="N658" s="83" t="str">
        <f aca="false">IF(C658="","",IF(I658="",IF(H658="OUI","À ENROBER",IF(G658="À SOUDER","NON SOUDÉ","EN ATTENTE RT")),IF(L658="R","À REPRENDRE",IF(H658&lt;&gt;"OUI","⚠ ENROBÉ AVANT ACCEPTATION RT","ENROBÉ"))))</f>
        <v>NON SOUDÉ</v>
      </c>
      <c r="O658" s="79"/>
    </row>
    <row r="659" customFormat="false" ht="15" hidden="false" customHeight="false" outlineLevel="0" collapsed="false">
      <c r="A659" s="78" t="n">
        <f aca="false">IF('CARNET DE SOUDURE'!E659="","",'CARNET DE SOUDURE'!A659)</f>
        <v>653</v>
      </c>
      <c r="B659" s="93" t="str">
        <f aca="false">IF('CARNET DE SOUDURE'!E659="","",'CARNET DE SOUDURE'!B659&amp;"")</f>
        <v>ISB-304</v>
      </c>
      <c r="C659" s="83" t="str">
        <f aca="false">IF('CARNET DE SOUDURE'!E659="","",'CARNET DE SOUDURE'!E659)</f>
        <v>JN°048</v>
      </c>
      <c r="D659" s="78" t="str">
        <f aca="false">IF('CARNET DE SOUDURE'!E659="","",'CARNET DE SOUDURE'!D659&amp;"")</f>
        <v/>
      </c>
      <c r="E659" s="96" t="str">
        <f aca="false">IF(OR('CARNET DE SOUDURE'!E659="",'CARNET DE SOUDURE'!R659=""),"",'CARNET DE SOUDURE'!R659)</f>
        <v/>
      </c>
      <c r="F659" s="81" t="str">
        <f aca="false">IF('CARNET DE SOUDURE'!E659="","",'CARNET DE SOUDURE'!AL659)</f>
        <v/>
      </c>
      <c r="G659" s="81" t="str">
        <f aca="false">IF('CARNET DE SOUDURE'!E659="","",'CARNET DE SOUDURE'!AM659)</f>
        <v>À SOUDER</v>
      </c>
      <c r="H659" s="81" t="str">
        <f aca="false">IF(C659="","",IF(G659="ACCEPTÉ","OUI","NON"))</f>
        <v>NON</v>
      </c>
      <c r="I659" s="82"/>
      <c r="J659" s="79"/>
      <c r="K659" s="80"/>
      <c r="L659" s="80"/>
      <c r="M659" s="80"/>
      <c r="N659" s="83" t="str">
        <f aca="false">IF(C659="","",IF(I659="",IF(H659="OUI","À ENROBER",IF(G659="À SOUDER","NON SOUDÉ","EN ATTENTE RT")),IF(L659="R","À REPRENDRE",IF(H659&lt;&gt;"OUI","⚠ ENROBÉ AVANT ACCEPTATION RT","ENROBÉ"))))</f>
        <v>NON SOUDÉ</v>
      </c>
      <c r="O659" s="79"/>
    </row>
    <row r="660" customFormat="false" ht="15" hidden="false" customHeight="false" outlineLevel="0" collapsed="false">
      <c r="A660" s="78" t="n">
        <f aca="false">IF('CARNET DE SOUDURE'!E660="","",'CARNET DE SOUDURE'!A660)</f>
        <v>654</v>
      </c>
      <c r="B660" s="93" t="str">
        <f aca="false">IF('CARNET DE SOUDURE'!E660="","",'CARNET DE SOUDURE'!B660&amp;"")</f>
        <v>ISB-304</v>
      </c>
      <c r="C660" s="83" t="str">
        <f aca="false">IF('CARNET DE SOUDURE'!E660="","",'CARNET DE SOUDURE'!E660)</f>
        <v>JN°049</v>
      </c>
      <c r="D660" s="78" t="str">
        <f aca="false">IF('CARNET DE SOUDURE'!E660="","",'CARNET DE SOUDURE'!D660&amp;"")</f>
        <v/>
      </c>
      <c r="E660" s="96" t="str">
        <f aca="false">IF(OR('CARNET DE SOUDURE'!E660="",'CARNET DE SOUDURE'!R660=""),"",'CARNET DE SOUDURE'!R660)</f>
        <v/>
      </c>
      <c r="F660" s="81" t="str">
        <f aca="false">IF('CARNET DE SOUDURE'!E660="","",'CARNET DE SOUDURE'!AL660)</f>
        <v/>
      </c>
      <c r="G660" s="81" t="str">
        <f aca="false">IF('CARNET DE SOUDURE'!E660="","",'CARNET DE SOUDURE'!AM660)</f>
        <v>À SOUDER</v>
      </c>
      <c r="H660" s="81" t="str">
        <f aca="false">IF(C660="","",IF(G660="ACCEPTÉ","OUI","NON"))</f>
        <v>NON</v>
      </c>
      <c r="I660" s="82"/>
      <c r="J660" s="79"/>
      <c r="K660" s="80"/>
      <c r="L660" s="80"/>
      <c r="M660" s="80"/>
      <c r="N660" s="83" t="str">
        <f aca="false">IF(C660="","",IF(I660="",IF(H660="OUI","À ENROBER",IF(G660="À SOUDER","NON SOUDÉ","EN ATTENTE RT")),IF(L660="R","À REPRENDRE",IF(H660&lt;&gt;"OUI","⚠ ENROBÉ AVANT ACCEPTATION RT","ENROBÉ"))))</f>
        <v>NON SOUDÉ</v>
      </c>
      <c r="O660" s="79"/>
    </row>
    <row r="661" customFormat="false" ht="15" hidden="false" customHeight="false" outlineLevel="0" collapsed="false">
      <c r="A661" s="78" t="n">
        <f aca="false">IF('CARNET DE SOUDURE'!E661="","",'CARNET DE SOUDURE'!A661)</f>
        <v>655</v>
      </c>
      <c r="B661" s="93" t="str">
        <f aca="false">IF('CARNET DE SOUDURE'!E661="","",'CARNET DE SOUDURE'!B661&amp;"")</f>
        <v>ISB-304</v>
      </c>
      <c r="C661" s="83" t="str">
        <f aca="false">IF('CARNET DE SOUDURE'!E661="","",'CARNET DE SOUDURE'!E661)</f>
        <v>JN°050</v>
      </c>
      <c r="D661" s="78" t="str">
        <f aca="false">IF('CARNET DE SOUDURE'!E661="","",'CARNET DE SOUDURE'!D661&amp;"")</f>
        <v/>
      </c>
      <c r="E661" s="96" t="str">
        <f aca="false">IF(OR('CARNET DE SOUDURE'!E661="",'CARNET DE SOUDURE'!R661=""),"",'CARNET DE SOUDURE'!R661)</f>
        <v/>
      </c>
      <c r="F661" s="81" t="str">
        <f aca="false">IF('CARNET DE SOUDURE'!E661="","",'CARNET DE SOUDURE'!AL661)</f>
        <v/>
      </c>
      <c r="G661" s="81" t="str">
        <f aca="false">IF('CARNET DE SOUDURE'!E661="","",'CARNET DE SOUDURE'!AM661)</f>
        <v>À SOUDER</v>
      </c>
      <c r="H661" s="81" t="str">
        <f aca="false">IF(C661="","",IF(G661="ACCEPTÉ","OUI","NON"))</f>
        <v>NON</v>
      </c>
      <c r="I661" s="82"/>
      <c r="J661" s="79"/>
      <c r="K661" s="80"/>
      <c r="L661" s="80"/>
      <c r="M661" s="80"/>
      <c r="N661" s="83" t="str">
        <f aca="false">IF(C661="","",IF(I661="",IF(H661="OUI","À ENROBER",IF(G661="À SOUDER","NON SOUDÉ","EN ATTENTE RT")),IF(L661="R","À REPRENDRE",IF(H661&lt;&gt;"OUI","⚠ ENROBÉ AVANT ACCEPTATION RT","ENROBÉ"))))</f>
        <v>NON SOUDÉ</v>
      </c>
      <c r="O661" s="79"/>
    </row>
    <row r="662" customFormat="false" ht="15" hidden="false" customHeight="false" outlineLevel="0" collapsed="false">
      <c r="A662" s="78" t="n">
        <f aca="false">IF('CARNET DE SOUDURE'!E662="","",'CARNET DE SOUDURE'!A662)</f>
        <v>656</v>
      </c>
      <c r="B662" s="93" t="str">
        <f aca="false">IF('CARNET DE SOUDURE'!E662="","",'CARNET DE SOUDURE'!B662&amp;"")</f>
        <v>ISB-304</v>
      </c>
      <c r="C662" s="83" t="str">
        <f aca="false">IF('CARNET DE SOUDURE'!E662="","",'CARNET DE SOUDURE'!E662)</f>
        <v>JN°051</v>
      </c>
      <c r="D662" s="78" t="str">
        <f aca="false">IF('CARNET DE SOUDURE'!E662="","",'CARNET DE SOUDURE'!D662&amp;"")</f>
        <v/>
      </c>
      <c r="E662" s="96" t="str">
        <f aca="false">IF(OR('CARNET DE SOUDURE'!E662="",'CARNET DE SOUDURE'!R662=""),"",'CARNET DE SOUDURE'!R662)</f>
        <v/>
      </c>
      <c r="F662" s="81" t="str">
        <f aca="false">IF('CARNET DE SOUDURE'!E662="","",'CARNET DE SOUDURE'!AL662)</f>
        <v/>
      </c>
      <c r="G662" s="81" t="str">
        <f aca="false">IF('CARNET DE SOUDURE'!E662="","",'CARNET DE SOUDURE'!AM662)</f>
        <v>À SOUDER</v>
      </c>
      <c r="H662" s="81" t="str">
        <f aca="false">IF(C662="","",IF(G662="ACCEPTÉ","OUI","NON"))</f>
        <v>NON</v>
      </c>
      <c r="I662" s="82"/>
      <c r="J662" s="79"/>
      <c r="K662" s="80"/>
      <c r="L662" s="80"/>
      <c r="M662" s="80"/>
      <c r="N662" s="83" t="str">
        <f aca="false">IF(C662="","",IF(I662="",IF(H662="OUI","À ENROBER",IF(G662="À SOUDER","NON SOUDÉ","EN ATTENTE RT")),IF(L662="R","À REPRENDRE",IF(H662&lt;&gt;"OUI","⚠ ENROBÉ AVANT ACCEPTATION RT","ENROBÉ"))))</f>
        <v>NON SOUDÉ</v>
      </c>
      <c r="O662" s="79"/>
    </row>
    <row r="663" customFormat="false" ht="15" hidden="false" customHeight="false" outlineLevel="0" collapsed="false">
      <c r="A663" s="78" t="n">
        <f aca="false">IF('CARNET DE SOUDURE'!E663="","",'CARNET DE SOUDURE'!A663)</f>
        <v>657</v>
      </c>
      <c r="B663" s="93" t="str">
        <f aca="false">IF('CARNET DE SOUDURE'!E663="","",'CARNET DE SOUDURE'!B663&amp;"")</f>
        <v>ISB-304</v>
      </c>
      <c r="C663" s="83" t="str">
        <f aca="false">IF('CARNET DE SOUDURE'!E663="","",'CARNET DE SOUDURE'!E663)</f>
        <v>JN°052</v>
      </c>
      <c r="D663" s="78" t="str">
        <f aca="false">IF('CARNET DE SOUDURE'!E663="","",'CARNET DE SOUDURE'!D663&amp;"")</f>
        <v/>
      </c>
      <c r="E663" s="96" t="str">
        <f aca="false">IF(OR('CARNET DE SOUDURE'!E663="",'CARNET DE SOUDURE'!R663=""),"",'CARNET DE SOUDURE'!R663)</f>
        <v/>
      </c>
      <c r="F663" s="81" t="str">
        <f aca="false">IF('CARNET DE SOUDURE'!E663="","",'CARNET DE SOUDURE'!AL663)</f>
        <v/>
      </c>
      <c r="G663" s="81" t="str">
        <f aca="false">IF('CARNET DE SOUDURE'!E663="","",'CARNET DE SOUDURE'!AM663)</f>
        <v>À SOUDER</v>
      </c>
      <c r="H663" s="81" t="str">
        <f aca="false">IF(C663="","",IF(G663="ACCEPTÉ","OUI","NON"))</f>
        <v>NON</v>
      </c>
      <c r="I663" s="82"/>
      <c r="J663" s="79"/>
      <c r="K663" s="80"/>
      <c r="L663" s="80"/>
      <c r="M663" s="80"/>
      <c r="N663" s="83" t="str">
        <f aca="false">IF(C663="","",IF(I663="",IF(H663="OUI","À ENROBER",IF(G663="À SOUDER","NON SOUDÉ","EN ATTENTE RT")),IF(L663="R","À REPRENDRE",IF(H663&lt;&gt;"OUI","⚠ ENROBÉ AVANT ACCEPTATION RT","ENROBÉ"))))</f>
        <v>NON SOUDÉ</v>
      </c>
      <c r="O663" s="79"/>
    </row>
    <row r="664" customFormat="false" ht="15" hidden="false" customHeight="false" outlineLevel="0" collapsed="false">
      <c r="A664" s="78" t="n">
        <f aca="false">IF('CARNET DE SOUDURE'!E664="","",'CARNET DE SOUDURE'!A664)</f>
        <v>658</v>
      </c>
      <c r="B664" s="93" t="str">
        <f aca="false">IF('CARNET DE SOUDURE'!E664="","",'CARNET DE SOUDURE'!B664&amp;"")</f>
        <v>ISB-304</v>
      </c>
      <c r="C664" s="83" t="str">
        <f aca="false">IF('CARNET DE SOUDURE'!E664="","",'CARNET DE SOUDURE'!E664)</f>
        <v>JN°053</v>
      </c>
      <c r="D664" s="78" t="str">
        <f aca="false">IF('CARNET DE SOUDURE'!E664="","",'CARNET DE SOUDURE'!D664&amp;"")</f>
        <v/>
      </c>
      <c r="E664" s="96" t="str">
        <f aca="false">IF(OR('CARNET DE SOUDURE'!E664="",'CARNET DE SOUDURE'!R664=""),"",'CARNET DE SOUDURE'!R664)</f>
        <v/>
      </c>
      <c r="F664" s="81" t="str">
        <f aca="false">IF('CARNET DE SOUDURE'!E664="","",'CARNET DE SOUDURE'!AL664)</f>
        <v/>
      </c>
      <c r="G664" s="81" t="str">
        <f aca="false">IF('CARNET DE SOUDURE'!E664="","",'CARNET DE SOUDURE'!AM664)</f>
        <v>À SOUDER</v>
      </c>
      <c r="H664" s="81" t="str">
        <f aca="false">IF(C664="","",IF(G664="ACCEPTÉ","OUI","NON"))</f>
        <v>NON</v>
      </c>
      <c r="I664" s="82"/>
      <c r="J664" s="79"/>
      <c r="K664" s="80"/>
      <c r="L664" s="80"/>
      <c r="M664" s="80"/>
      <c r="N664" s="83" t="str">
        <f aca="false">IF(C664="","",IF(I664="",IF(H664="OUI","À ENROBER",IF(G664="À SOUDER","NON SOUDÉ","EN ATTENTE RT")),IF(L664="R","À REPRENDRE",IF(H664&lt;&gt;"OUI","⚠ ENROBÉ AVANT ACCEPTATION RT","ENROBÉ"))))</f>
        <v>NON SOUDÉ</v>
      </c>
      <c r="O664" s="79"/>
    </row>
    <row r="665" customFormat="false" ht="15" hidden="false" customHeight="false" outlineLevel="0" collapsed="false">
      <c r="A665" s="78" t="n">
        <f aca="false">IF('CARNET DE SOUDURE'!E665="","",'CARNET DE SOUDURE'!A665)</f>
        <v>659</v>
      </c>
      <c r="B665" s="93" t="str">
        <f aca="false">IF('CARNET DE SOUDURE'!E665="","",'CARNET DE SOUDURE'!B665&amp;"")</f>
        <v>ISB-304</v>
      </c>
      <c r="C665" s="83" t="str">
        <f aca="false">IF('CARNET DE SOUDURE'!E665="","",'CARNET DE SOUDURE'!E665)</f>
        <v>JN°054</v>
      </c>
      <c r="D665" s="78" t="str">
        <f aca="false">IF('CARNET DE SOUDURE'!E665="","",'CARNET DE SOUDURE'!D665&amp;"")</f>
        <v/>
      </c>
      <c r="E665" s="96" t="str">
        <f aca="false">IF(OR('CARNET DE SOUDURE'!E665="",'CARNET DE SOUDURE'!R665=""),"",'CARNET DE SOUDURE'!R665)</f>
        <v/>
      </c>
      <c r="F665" s="81" t="str">
        <f aca="false">IF('CARNET DE SOUDURE'!E665="","",'CARNET DE SOUDURE'!AL665)</f>
        <v/>
      </c>
      <c r="G665" s="81" t="str">
        <f aca="false">IF('CARNET DE SOUDURE'!E665="","",'CARNET DE SOUDURE'!AM665)</f>
        <v>À SOUDER</v>
      </c>
      <c r="H665" s="81" t="str">
        <f aca="false">IF(C665="","",IF(G665="ACCEPTÉ","OUI","NON"))</f>
        <v>NON</v>
      </c>
      <c r="I665" s="82"/>
      <c r="J665" s="79"/>
      <c r="K665" s="80"/>
      <c r="L665" s="80"/>
      <c r="M665" s="80"/>
      <c r="N665" s="83" t="str">
        <f aca="false">IF(C665="","",IF(I665="",IF(H665="OUI","À ENROBER",IF(G665="À SOUDER","NON SOUDÉ","EN ATTENTE RT")),IF(L665="R","À REPRENDRE",IF(H665&lt;&gt;"OUI","⚠ ENROBÉ AVANT ACCEPTATION RT","ENROBÉ"))))</f>
        <v>NON SOUDÉ</v>
      </c>
      <c r="O665" s="79"/>
    </row>
    <row r="666" customFormat="false" ht="15" hidden="false" customHeight="false" outlineLevel="0" collapsed="false">
      <c r="A666" s="78" t="n">
        <f aca="false">IF('CARNET DE SOUDURE'!E666="","",'CARNET DE SOUDURE'!A666)</f>
        <v>660</v>
      </c>
      <c r="B666" s="93" t="str">
        <f aca="false">IF('CARNET DE SOUDURE'!E666="","",'CARNET DE SOUDURE'!B666&amp;"")</f>
        <v>ISB-304</v>
      </c>
      <c r="C666" s="83" t="str">
        <f aca="false">IF('CARNET DE SOUDURE'!E666="","",'CARNET DE SOUDURE'!E666)</f>
        <v>JN°055</v>
      </c>
      <c r="D666" s="78" t="str">
        <f aca="false">IF('CARNET DE SOUDURE'!E666="","",'CARNET DE SOUDURE'!D666&amp;"")</f>
        <v/>
      </c>
      <c r="E666" s="96" t="str">
        <f aca="false">IF(OR('CARNET DE SOUDURE'!E666="",'CARNET DE SOUDURE'!R666=""),"",'CARNET DE SOUDURE'!R666)</f>
        <v/>
      </c>
      <c r="F666" s="81" t="str">
        <f aca="false">IF('CARNET DE SOUDURE'!E666="","",'CARNET DE SOUDURE'!AL666)</f>
        <v/>
      </c>
      <c r="G666" s="81" t="str">
        <f aca="false">IF('CARNET DE SOUDURE'!E666="","",'CARNET DE SOUDURE'!AM666)</f>
        <v>À SOUDER</v>
      </c>
      <c r="H666" s="81" t="str">
        <f aca="false">IF(C666="","",IF(G666="ACCEPTÉ","OUI","NON"))</f>
        <v>NON</v>
      </c>
      <c r="I666" s="82"/>
      <c r="J666" s="79"/>
      <c r="K666" s="80"/>
      <c r="L666" s="80"/>
      <c r="M666" s="80"/>
      <c r="N666" s="83" t="str">
        <f aca="false">IF(C666="","",IF(I666="",IF(H666="OUI","À ENROBER",IF(G666="À SOUDER","NON SOUDÉ","EN ATTENTE RT")),IF(L666="R","À REPRENDRE",IF(H666&lt;&gt;"OUI","⚠ ENROBÉ AVANT ACCEPTATION RT","ENROBÉ"))))</f>
        <v>NON SOUDÉ</v>
      </c>
      <c r="O666" s="79"/>
    </row>
    <row r="667" customFormat="false" ht="15" hidden="false" customHeight="false" outlineLevel="0" collapsed="false">
      <c r="A667" s="78" t="n">
        <f aca="false">IF('CARNET DE SOUDURE'!E667="","",'CARNET DE SOUDURE'!A667)</f>
        <v>661</v>
      </c>
      <c r="B667" s="93" t="str">
        <f aca="false">IF('CARNET DE SOUDURE'!E667="","",'CARNET DE SOUDURE'!B667&amp;"")</f>
        <v>ISB-304</v>
      </c>
      <c r="C667" s="83" t="str">
        <f aca="false">IF('CARNET DE SOUDURE'!E667="","",'CARNET DE SOUDURE'!E667)</f>
        <v>JN°056</v>
      </c>
      <c r="D667" s="78" t="str">
        <f aca="false">IF('CARNET DE SOUDURE'!E667="","",'CARNET DE SOUDURE'!D667&amp;"")</f>
        <v/>
      </c>
      <c r="E667" s="96" t="str">
        <f aca="false">IF(OR('CARNET DE SOUDURE'!E667="",'CARNET DE SOUDURE'!R667=""),"",'CARNET DE SOUDURE'!R667)</f>
        <v/>
      </c>
      <c r="F667" s="81" t="str">
        <f aca="false">IF('CARNET DE SOUDURE'!E667="","",'CARNET DE SOUDURE'!AL667)</f>
        <v/>
      </c>
      <c r="G667" s="81" t="str">
        <f aca="false">IF('CARNET DE SOUDURE'!E667="","",'CARNET DE SOUDURE'!AM667)</f>
        <v>À SOUDER</v>
      </c>
      <c r="H667" s="81" t="str">
        <f aca="false">IF(C667="","",IF(G667="ACCEPTÉ","OUI","NON"))</f>
        <v>NON</v>
      </c>
      <c r="I667" s="82"/>
      <c r="J667" s="79"/>
      <c r="K667" s="80"/>
      <c r="L667" s="80"/>
      <c r="M667" s="80"/>
      <c r="N667" s="83" t="str">
        <f aca="false">IF(C667="","",IF(I667="",IF(H667="OUI","À ENROBER",IF(G667="À SOUDER","NON SOUDÉ","EN ATTENTE RT")),IF(L667="R","À REPRENDRE",IF(H667&lt;&gt;"OUI","⚠ ENROBÉ AVANT ACCEPTATION RT","ENROBÉ"))))</f>
        <v>NON SOUDÉ</v>
      </c>
      <c r="O667" s="79"/>
    </row>
    <row r="668" customFormat="false" ht="15" hidden="false" customHeight="false" outlineLevel="0" collapsed="false">
      <c r="A668" s="78" t="n">
        <f aca="false">IF('CARNET DE SOUDURE'!E668="","",'CARNET DE SOUDURE'!A668)</f>
        <v>662</v>
      </c>
      <c r="B668" s="93" t="str">
        <f aca="false">IF('CARNET DE SOUDURE'!E668="","",'CARNET DE SOUDURE'!B668&amp;"")</f>
        <v>ISB-304</v>
      </c>
      <c r="C668" s="83" t="str">
        <f aca="false">IF('CARNET DE SOUDURE'!E668="","",'CARNET DE SOUDURE'!E668)</f>
        <v>JN°057</v>
      </c>
      <c r="D668" s="78" t="str">
        <f aca="false">IF('CARNET DE SOUDURE'!E668="","",'CARNET DE SOUDURE'!D668&amp;"")</f>
        <v/>
      </c>
      <c r="E668" s="96" t="str">
        <f aca="false">IF(OR('CARNET DE SOUDURE'!E668="",'CARNET DE SOUDURE'!R668=""),"",'CARNET DE SOUDURE'!R668)</f>
        <v/>
      </c>
      <c r="F668" s="81" t="str">
        <f aca="false">IF('CARNET DE SOUDURE'!E668="","",'CARNET DE SOUDURE'!AL668)</f>
        <v/>
      </c>
      <c r="G668" s="81" t="str">
        <f aca="false">IF('CARNET DE SOUDURE'!E668="","",'CARNET DE SOUDURE'!AM668)</f>
        <v>À SOUDER</v>
      </c>
      <c r="H668" s="81" t="str">
        <f aca="false">IF(C668="","",IF(G668="ACCEPTÉ","OUI","NON"))</f>
        <v>NON</v>
      </c>
      <c r="I668" s="82"/>
      <c r="J668" s="79"/>
      <c r="K668" s="80"/>
      <c r="L668" s="80"/>
      <c r="M668" s="80"/>
      <c r="N668" s="83" t="str">
        <f aca="false">IF(C668="","",IF(I668="",IF(H668="OUI","À ENROBER",IF(G668="À SOUDER","NON SOUDÉ","EN ATTENTE RT")),IF(L668="R","À REPRENDRE",IF(H668&lt;&gt;"OUI","⚠ ENROBÉ AVANT ACCEPTATION RT","ENROBÉ"))))</f>
        <v>NON SOUDÉ</v>
      </c>
      <c r="O668" s="79"/>
    </row>
    <row r="669" customFormat="false" ht="15" hidden="false" customHeight="false" outlineLevel="0" collapsed="false">
      <c r="A669" s="78" t="n">
        <f aca="false">IF('CARNET DE SOUDURE'!E669="","",'CARNET DE SOUDURE'!A669)</f>
        <v>663</v>
      </c>
      <c r="B669" s="93" t="str">
        <f aca="false">IF('CARNET DE SOUDURE'!E669="","",'CARNET DE SOUDURE'!B669&amp;"")</f>
        <v>ISB-304</v>
      </c>
      <c r="C669" s="83" t="str">
        <f aca="false">IF('CARNET DE SOUDURE'!E669="","",'CARNET DE SOUDURE'!E669)</f>
        <v>JN°058</v>
      </c>
      <c r="D669" s="78" t="str">
        <f aca="false">IF('CARNET DE SOUDURE'!E669="","",'CARNET DE SOUDURE'!D669&amp;"")</f>
        <v/>
      </c>
      <c r="E669" s="96" t="str">
        <f aca="false">IF(OR('CARNET DE SOUDURE'!E669="",'CARNET DE SOUDURE'!R669=""),"",'CARNET DE SOUDURE'!R669)</f>
        <v/>
      </c>
      <c r="F669" s="81" t="str">
        <f aca="false">IF('CARNET DE SOUDURE'!E669="","",'CARNET DE SOUDURE'!AL669)</f>
        <v/>
      </c>
      <c r="G669" s="81" t="str">
        <f aca="false">IF('CARNET DE SOUDURE'!E669="","",'CARNET DE SOUDURE'!AM669)</f>
        <v>À SOUDER</v>
      </c>
      <c r="H669" s="81" t="str">
        <f aca="false">IF(C669="","",IF(G669="ACCEPTÉ","OUI","NON"))</f>
        <v>NON</v>
      </c>
      <c r="I669" s="82"/>
      <c r="J669" s="79"/>
      <c r="K669" s="80"/>
      <c r="L669" s="80"/>
      <c r="M669" s="80"/>
      <c r="N669" s="83" t="str">
        <f aca="false">IF(C669="","",IF(I669="",IF(H669="OUI","À ENROBER",IF(G669="À SOUDER","NON SOUDÉ","EN ATTENTE RT")),IF(L669="R","À REPRENDRE",IF(H669&lt;&gt;"OUI","⚠ ENROBÉ AVANT ACCEPTATION RT","ENROBÉ"))))</f>
        <v>NON SOUDÉ</v>
      </c>
      <c r="O669" s="79"/>
    </row>
    <row r="670" customFormat="false" ht="15" hidden="false" customHeight="false" outlineLevel="0" collapsed="false">
      <c r="A670" s="78" t="n">
        <f aca="false">IF('CARNET DE SOUDURE'!E670="","",'CARNET DE SOUDURE'!A670)</f>
        <v>664</v>
      </c>
      <c r="B670" s="93" t="str">
        <f aca="false">IF('CARNET DE SOUDURE'!E670="","",'CARNET DE SOUDURE'!B670&amp;"")</f>
        <v>ISB-304</v>
      </c>
      <c r="C670" s="83" t="str">
        <f aca="false">IF('CARNET DE SOUDURE'!E670="","",'CARNET DE SOUDURE'!E670)</f>
        <v>JN°059</v>
      </c>
      <c r="D670" s="78" t="str">
        <f aca="false">IF('CARNET DE SOUDURE'!E670="","",'CARNET DE SOUDURE'!D670&amp;"")</f>
        <v/>
      </c>
      <c r="E670" s="96" t="str">
        <f aca="false">IF(OR('CARNET DE SOUDURE'!E670="",'CARNET DE SOUDURE'!R670=""),"",'CARNET DE SOUDURE'!R670)</f>
        <v/>
      </c>
      <c r="F670" s="81" t="str">
        <f aca="false">IF('CARNET DE SOUDURE'!E670="","",'CARNET DE SOUDURE'!AL670)</f>
        <v/>
      </c>
      <c r="G670" s="81" t="str">
        <f aca="false">IF('CARNET DE SOUDURE'!E670="","",'CARNET DE SOUDURE'!AM670)</f>
        <v>À SOUDER</v>
      </c>
      <c r="H670" s="81" t="str">
        <f aca="false">IF(C670="","",IF(G670="ACCEPTÉ","OUI","NON"))</f>
        <v>NON</v>
      </c>
      <c r="I670" s="82"/>
      <c r="J670" s="79"/>
      <c r="K670" s="80"/>
      <c r="L670" s="80"/>
      <c r="M670" s="80"/>
      <c r="N670" s="83" t="str">
        <f aca="false">IF(C670="","",IF(I670="",IF(H670="OUI","À ENROBER",IF(G670="À SOUDER","NON SOUDÉ","EN ATTENTE RT")),IF(L670="R","À REPRENDRE",IF(H670&lt;&gt;"OUI","⚠ ENROBÉ AVANT ACCEPTATION RT","ENROBÉ"))))</f>
        <v>NON SOUDÉ</v>
      </c>
      <c r="O670" s="79"/>
    </row>
    <row r="671" customFormat="false" ht="15" hidden="false" customHeight="false" outlineLevel="0" collapsed="false">
      <c r="A671" s="78" t="n">
        <f aca="false">IF('CARNET DE SOUDURE'!E671="","",'CARNET DE SOUDURE'!A671)</f>
        <v>665</v>
      </c>
      <c r="B671" s="93" t="str">
        <f aca="false">IF('CARNET DE SOUDURE'!E671="","",'CARNET DE SOUDURE'!B671&amp;"")</f>
        <v>ISB-304</v>
      </c>
      <c r="C671" s="83" t="str">
        <f aca="false">IF('CARNET DE SOUDURE'!E671="","",'CARNET DE SOUDURE'!E671)</f>
        <v>JN°060</v>
      </c>
      <c r="D671" s="78" t="str">
        <f aca="false">IF('CARNET DE SOUDURE'!E671="","",'CARNET DE SOUDURE'!D671&amp;"")</f>
        <v/>
      </c>
      <c r="E671" s="96" t="str">
        <f aca="false">IF(OR('CARNET DE SOUDURE'!E671="",'CARNET DE SOUDURE'!R671=""),"",'CARNET DE SOUDURE'!R671)</f>
        <v/>
      </c>
      <c r="F671" s="81" t="str">
        <f aca="false">IF('CARNET DE SOUDURE'!E671="","",'CARNET DE SOUDURE'!AL671)</f>
        <v/>
      </c>
      <c r="G671" s="81" t="str">
        <f aca="false">IF('CARNET DE SOUDURE'!E671="","",'CARNET DE SOUDURE'!AM671)</f>
        <v>À SOUDER</v>
      </c>
      <c r="H671" s="81" t="str">
        <f aca="false">IF(C671="","",IF(G671="ACCEPTÉ","OUI","NON"))</f>
        <v>NON</v>
      </c>
      <c r="I671" s="82"/>
      <c r="J671" s="79"/>
      <c r="K671" s="80"/>
      <c r="L671" s="80"/>
      <c r="M671" s="80"/>
      <c r="N671" s="83" t="str">
        <f aca="false">IF(C671="","",IF(I671="",IF(H671="OUI","À ENROBER",IF(G671="À SOUDER","NON SOUDÉ","EN ATTENTE RT")),IF(L671="R","À REPRENDRE",IF(H671&lt;&gt;"OUI","⚠ ENROBÉ AVANT ACCEPTATION RT","ENROBÉ"))))</f>
        <v>NON SOUDÉ</v>
      </c>
      <c r="O671" s="79"/>
    </row>
    <row r="672" customFormat="false" ht="15" hidden="false" customHeight="false" outlineLevel="0" collapsed="false">
      <c r="A672" s="78" t="n">
        <f aca="false">IF('CARNET DE SOUDURE'!E672="","",'CARNET DE SOUDURE'!A672)</f>
        <v>666</v>
      </c>
      <c r="B672" s="93" t="str">
        <f aca="false">IF('CARNET DE SOUDURE'!E672="","",'CARNET DE SOUDURE'!B672&amp;"")</f>
        <v>ISB-304</v>
      </c>
      <c r="C672" s="83" t="str">
        <f aca="false">IF('CARNET DE SOUDURE'!E672="","",'CARNET DE SOUDURE'!E672)</f>
        <v>JN°061</v>
      </c>
      <c r="D672" s="78" t="str">
        <f aca="false">IF('CARNET DE SOUDURE'!E672="","",'CARNET DE SOUDURE'!D672&amp;"")</f>
        <v/>
      </c>
      <c r="E672" s="96" t="str">
        <f aca="false">IF(OR('CARNET DE SOUDURE'!E672="",'CARNET DE SOUDURE'!R672=""),"",'CARNET DE SOUDURE'!R672)</f>
        <v/>
      </c>
      <c r="F672" s="81" t="str">
        <f aca="false">IF('CARNET DE SOUDURE'!E672="","",'CARNET DE SOUDURE'!AL672)</f>
        <v/>
      </c>
      <c r="G672" s="81" t="str">
        <f aca="false">IF('CARNET DE SOUDURE'!E672="","",'CARNET DE SOUDURE'!AM672)</f>
        <v>À SOUDER</v>
      </c>
      <c r="H672" s="81" t="str">
        <f aca="false">IF(C672="","",IF(G672="ACCEPTÉ","OUI","NON"))</f>
        <v>NON</v>
      </c>
      <c r="I672" s="82"/>
      <c r="J672" s="79"/>
      <c r="K672" s="80"/>
      <c r="L672" s="80"/>
      <c r="M672" s="80"/>
      <c r="N672" s="83" t="str">
        <f aca="false">IF(C672="","",IF(I672="",IF(H672="OUI","À ENROBER",IF(G672="À SOUDER","NON SOUDÉ","EN ATTENTE RT")),IF(L672="R","À REPRENDRE",IF(H672&lt;&gt;"OUI","⚠ ENROBÉ AVANT ACCEPTATION RT","ENROBÉ"))))</f>
        <v>NON SOUDÉ</v>
      </c>
      <c r="O672" s="79"/>
    </row>
    <row r="673" customFormat="false" ht="15" hidden="false" customHeight="false" outlineLevel="0" collapsed="false">
      <c r="A673" s="78" t="n">
        <f aca="false">IF('CARNET DE SOUDURE'!E673="","",'CARNET DE SOUDURE'!A673)</f>
        <v>667</v>
      </c>
      <c r="B673" s="93" t="str">
        <f aca="false">IF('CARNET DE SOUDURE'!E673="","",'CARNET DE SOUDURE'!B673&amp;"")</f>
        <v>ISB-304</v>
      </c>
      <c r="C673" s="83" t="str">
        <f aca="false">IF('CARNET DE SOUDURE'!E673="","",'CARNET DE SOUDURE'!E673)</f>
        <v>JN°062</v>
      </c>
      <c r="D673" s="78" t="str">
        <f aca="false">IF('CARNET DE SOUDURE'!E673="","",'CARNET DE SOUDURE'!D673&amp;"")</f>
        <v/>
      </c>
      <c r="E673" s="96" t="str">
        <f aca="false">IF(OR('CARNET DE SOUDURE'!E673="",'CARNET DE SOUDURE'!R673=""),"",'CARNET DE SOUDURE'!R673)</f>
        <v/>
      </c>
      <c r="F673" s="81" t="str">
        <f aca="false">IF('CARNET DE SOUDURE'!E673="","",'CARNET DE SOUDURE'!AL673)</f>
        <v/>
      </c>
      <c r="G673" s="81" t="str">
        <f aca="false">IF('CARNET DE SOUDURE'!E673="","",'CARNET DE SOUDURE'!AM673)</f>
        <v>À SOUDER</v>
      </c>
      <c r="H673" s="81" t="str">
        <f aca="false">IF(C673="","",IF(G673="ACCEPTÉ","OUI","NON"))</f>
        <v>NON</v>
      </c>
      <c r="I673" s="82"/>
      <c r="J673" s="79"/>
      <c r="K673" s="80"/>
      <c r="L673" s="80"/>
      <c r="M673" s="80"/>
      <c r="N673" s="83" t="str">
        <f aca="false">IF(C673="","",IF(I673="",IF(H673="OUI","À ENROBER",IF(G673="À SOUDER","NON SOUDÉ","EN ATTENTE RT")),IF(L673="R","À REPRENDRE",IF(H673&lt;&gt;"OUI","⚠ ENROBÉ AVANT ACCEPTATION RT","ENROBÉ"))))</f>
        <v>NON SOUDÉ</v>
      </c>
      <c r="O673" s="79"/>
    </row>
    <row r="674" customFormat="false" ht="15" hidden="false" customHeight="false" outlineLevel="0" collapsed="false">
      <c r="A674" s="78" t="n">
        <f aca="false">IF('CARNET DE SOUDURE'!E674="","",'CARNET DE SOUDURE'!A674)</f>
        <v>668</v>
      </c>
      <c r="B674" s="93" t="str">
        <f aca="false">IF('CARNET DE SOUDURE'!E674="","",'CARNET DE SOUDURE'!B674&amp;"")</f>
        <v>ISB-304</v>
      </c>
      <c r="C674" s="83" t="str">
        <f aca="false">IF('CARNET DE SOUDURE'!E674="","",'CARNET DE SOUDURE'!E674)</f>
        <v>JN°063</v>
      </c>
      <c r="D674" s="78" t="str">
        <f aca="false">IF('CARNET DE SOUDURE'!E674="","",'CARNET DE SOUDURE'!D674&amp;"")</f>
        <v/>
      </c>
      <c r="E674" s="96" t="str">
        <f aca="false">IF(OR('CARNET DE SOUDURE'!E674="",'CARNET DE SOUDURE'!R674=""),"",'CARNET DE SOUDURE'!R674)</f>
        <v/>
      </c>
      <c r="F674" s="81" t="str">
        <f aca="false">IF('CARNET DE SOUDURE'!E674="","",'CARNET DE SOUDURE'!AL674)</f>
        <v/>
      </c>
      <c r="G674" s="81" t="str">
        <f aca="false">IF('CARNET DE SOUDURE'!E674="","",'CARNET DE SOUDURE'!AM674)</f>
        <v>À SOUDER</v>
      </c>
      <c r="H674" s="81" t="str">
        <f aca="false">IF(C674="","",IF(G674="ACCEPTÉ","OUI","NON"))</f>
        <v>NON</v>
      </c>
      <c r="I674" s="82"/>
      <c r="J674" s="79"/>
      <c r="K674" s="80"/>
      <c r="L674" s="80"/>
      <c r="M674" s="80"/>
      <c r="N674" s="83" t="str">
        <f aca="false">IF(C674="","",IF(I674="",IF(H674="OUI","À ENROBER",IF(G674="À SOUDER","NON SOUDÉ","EN ATTENTE RT")),IF(L674="R","À REPRENDRE",IF(H674&lt;&gt;"OUI","⚠ ENROBÉ AVANT ACCEPTATION RT","ENROBÉ"))))</f>
        <v>NON SOUDÉ</v>
      </c>
      <c r="O674" s="79"/>
    </row>
    <row r="675" customFormat="false" ht="15" hidden="false" customHeight="false" outlineLevel="0" collapsed="false">
      <c r="A675" s="78" t="n">
        <f aca="false">IF('CARNET DE SOUDURE'!E675="","",'CARNET DE SOUDURE'!A675)</f>
        <v>669</v>
      </c>
      <c r="B675" s="93" t="str">
        <f aca="false">IF('CARNET DE SOUDURE'!E675="","",'CARNET DE SOUDURE'!B675&amp;"")</f>
        <v>ISB-304</v>
      </c>
      <c r="C675" s="83" t="str">
        <f aca="false">IF('CARNET DE SOUDURE'!E675="","",'CARNET DE SOUDURE'!E675)</f>
        <v>JN°064</v>
      </c>
      <c r="D675" s="78" t="str">
        <f aca="false">IF('CARNET DE SOUDURE'!E675="","",'CARNET DE SOUDURE'!D675&amp;"")</f>
        <v/>
      </c>
      <c r="E675" s="96" t="str">
        <f aca="false">IF(OR('CARNET DE SOUDURE'!E675="",'CARNET DE SOUDURE'!R675=""),"",'CARNET DE SOUDURE'!R675)</f>
        <v/>
      </c>
      <c r="F675" s="81" t="str">
        <f aca="false">IF('CARNET DE SOUDURE'!E675="","",'CARNET DE SOUDURE'!AL675)</f>
        <v/>
      </c>
      <c r="G675" s="81" t="str">
        <f aca="false">IF('CARNET DE SOUDURE'!E675="","",'CARNET DE SOUDURE'!AM675)</f>
        <v>À SOUDER</v>
      </c>
      <c r="H675" s="81" t="str">
        <f aca="false">IF(C675="","",IF(G675="ACCEPTÉ","OUI","NON"))</f>
        <v>NON</v>
      </c>
      <c r="I675" s="82"/>
      <c r="J675" s="79"/>
      <c r="K675" s="80"/>
      <c r="L675" s="80"/>
      <c r="M675" s="80"/>
      <c r="N675" s="83" t="str">
        <f aca="false">IF(C675="","",IF(I675="",IF(H675="OUI","À ENROBER",IF(G675="À SOUDER","NON SOUDÉ","EN ATTENTE RT")),IF(L675="R","À REPRENDRE",IF(H675&lt;&gt;"OUI","⚠ ENROBÉ AVANT ACCEPTATION RT","ENROBÉ"))))</f>
        <v>NON SOUDÉ</v>
      </c>
      <c r="O675" s="79"/>
    </row>
    <row r="676" customFormat="false" ht="15" hidden="false" customHeight="false" outlineLevel="0" collapsed="false">
      <c r="A676" s="78" t="n">
        <f aca="false">IF('CARNET DE SOUDURE'!E676="","",'CARNET DE SOUDURE'!A676)</f>
        <v>670</v>
      </c>
      <c r="B676" s="93" t="str">
        <f aca="false">IF('CARNET DE SOUDURE'!E676="","",'CARNET DE SOUDURE'!B676&amp;"")</f>
        <v>ISB-304</v>
      </c>
      <c r="C676" s="83" t="str">
        <f aca="false">IF('CARNET DE SOUDURE'!E676="","",'CARNET DE SOUDURE'!E676)</f>
        <v>JN°065</v>
      </c>
      <c r="D676" s="78" t="str">
        <f aca="false">IF('CARNET DE SOUDURE'!E676="","",'CARNET DE SOUDURE'!D676&amp;"")</f>
        <v/>
      </c>
      <c r="E676" s="96" t="str">
        <f aca="false">IF(OR('CARNET DE SOUDURE'!E676="",'CARNET DE SOUDURE'!R676=""),"",'CARNET DE SOUDURE'!R676)</f>
        <v/>
      </c>
      <c r="F676" s="81" t="str">
        <f aca="false">IF('CARNET DE SOUDURE'!E676="","",'CARNET DE SOUDURE'!AL676)</f>
        <v/>
      </c>
      <c r="G676" s="81" t="str">
        <f aca="false">IF('CARNET DE SOUDURE'!E676="","",'CARNET DE SOUDURE'!AM676)</f>
        <v>À SOUDER</v>
      </c>
      <c r="H676" s="81" t="str">
        <f aca="false">IF(C676="","",IF(G676="ACCEPTÉ","OUI","NON"))</f>
        <v>NON</v>
      </c>
      <c r="I676" s="82"/>
      <c r="J676" s="79"/>
      <c r="K676" s="80"/>
      <c r="L676" s="80"/>
      <c r="M676" s="80"/>
      <c r="N676" s="83" t="str">
        <f aca="false">IF(C676="","",IF(I676="",IF(H676="OUI","À ENROBER",IF(G676="À SOUDER","NON SOUDÉ","EN ATTENTE RT")),IF(L676="R","À REPRENDRE",IF(H676&lt;&gt;"OUI","⚠ ENROBÉ AVANT ACCEPTATION RT","ENROBÉ"))))</f>
        <v>NON SOUDÉ</v>
      </c>
      <c r="O676" s="79"/>
    </row>
    <row r="677" customFormat="false" ht="15" hidden="false" customHeight="false" outlineLevel="0" collapsed="false">
      <c r="A677" s="78" t="n">
        <f aca="false">IF('CARNET DE SOUDURE'!E677="","",'CARNET DE SOUDURE'!A677)</f>
        <v>671</v>
      </c>
      <c r="B677" s="93" t="str">
        <f aca="false">IF('CARNET DE SOUDURE'!E677="","",'CARNET DE SOUDURE'!B677&amp;"")</f>
        <v>ISB-304</v>
      </c>
      <c r="C677" s="83" t="str">
        <f aca="false">IF('CARNET DE SOUDURE'!E677="","",'CARNET DE SOUDURE'!E677)</f>
        <v>JN°066</v>
      </c>
      <c r="D677" s="78" t="str">
        <f aca="false">IF('CARNET DE SOUDURE'!E677="","",'CARNET DE SOUDURE'!D677&amp;"")</f>
        <v/>
      </c>
      <c r="E677" s="96" t="str">
        <f aca="false">IF(OR('CARNET DE SOUDURE'!E677="",'CARNET DE SOUDURE'!R677=""),"",'CARNET DE SOUDURE'!R677)</f>
        <v/>
      </c>
      <c r="F677" s="81" t="str">
        <f aca="false">IF('CARNET DE SOUDURE'!E677="","",'CARNET DE SOUDURE'!AL677)</f>
        <v/>
      </c>
      <c r="G677" s="81" t="str">
        <f aca="false">IF('CARNET DE SOUDURE'!E677="","",'CARNET DE SOUDURE'!AM677)</f>
        <v>À SOUDER</v>
      </c>
      <c r="H677" s="81" t="str">
        <f aca="false">IF(C677="","",IF(G677="ACCEPTÉ","OUI","NON"))</f>
        <v>NON</v>
      </c>
      <c r="I677" s="82"/>
      <c r="J677" s="79"/>
      <c r="K677" s="80"/>
      <c r="L677" s="80"/>
      <c r="M677" s="80"/>
      <c r="N677" s="83" t="str">
        <f aca="false">IF(C677="","",IF(I677="",IF(H677="OUI","À ENROBER",IF(G677="À SOUDER","NON SOUDÉ","EN ATTENTE RT")),IF(L677="R","À REPRENDRE",IF(H677&lt;&gt;"OUI","⚠ ENROBÉ AVANT ACCEPTATION RT","ENROBÉ"))))</f>
        <v>NON SOUDÉ</v>
      </c>
      <c r="O677" s="79"/>
    </row>
    <row r="678" customFormat="false" ht="15" hidden="false" customHeight="false" outlineLevel="0" collapsed="false">
      <c r="A678" s="78" t="n">
        <f aca="false">IF('CARNET DE SOUDURE'!E678="","",'CARNET DE SOUDURE'!A678)</f>
        <v>672</v>
      </c>
      <c r="B678" s="93" t="str">
        <f aca="false">IF('CARNET DE SOUDURE'!E678="","",'CARNET DE SOUDURE'!B678&amp;"")</f>
        <v>ISB-304</v>
      </c>
      <c r="C678" s="83" t="str">
        <f aca="false">IF('CARNET DE SOUDURE'!E678="","",'CARNET DE SOUDURE'!E678)</f>
        <v>JN°067</v>
      </c>
      <c r="D678" s="78" t="str">
        <f aca="false">IF('CARNET DE SOUDURE'!E678="","",'CARNET DE SOUDURE'!D678&amp;"")</f>
        <v/>
      </c>
      <c r="E678" s="96" t="str">
        <f aca="false">IF(OR('CARNET DE SOUDURE'!E678="",'CARNET DE SOUDURE'!R678=""),"",'CARNET DE SOUDURE'!R678)</f>
        <v/>
      </c>
      <c r="F678" s="81" t="str">
        <f aca="false">IF('CARNET DE SOUDURE'!E678="","",'CARNET DE SOUDURE'!AL678)</f>
        <v/>
      </c>
      <c r="G678" s="81" t="str">
        <f aca="false">IF('CARNET DE SOUDURE'!E678="","",'CARNET DE SOUDURE'!AM678)</f>
        <v>À SOUDER</v>
      </c>
      <c r="H678" s="81" t="str">
        <f aca="false">IF(C678="","",IF(G678="ACCEPTÉ","OUI","NON"))</f>
        <v>NON</v>
      </c>
      <c r="I678" s="82"/>
      <c r="J678" s="79"/>
      <c r="K678" s="80"/>
      <c r="L678" s="80"/>
      <c r="M678" s="80"/>
      <c r="N678" s="83" t="str">
        <f aca="false">IF(C678="","",IF(I678="",IF(H678="OUI","À ENROBER",IF(G678="À SOUDER","NON SOUDÉ","EN ATTENTE RT")),IF(L678="R","À REPRENDRE",IF(H678&lt;&gt;"OUI","⚠ ENROBÉ AVANT ACCEPTATION RT","ENROBÉ"))))</f>
        <v>NON SOUDÉ</v>
      </c>
      <c r="O678" s="79"/>
    </row>
    <row r="679" customFormat="false" ht="15" hidden="false" customHeight="false" outlineLevel="0" collapsed="false">
      <c r="A679" s="78" t="n">
        <f aca="false">IF('CARNET DE SOUDURE'!E679="","",'CARNET DE SOUDURE'!A679)</f>
        <v>673</v>
      </c>
      <c r="B679" s="93" t="str">
        <f aca="false">IF('CARNET DE SOUDURE'!E679="","",'CARNET DE SOUDURE'!B679&amp;"")</f>
        <v>ISB-304</v>
      </c>
      <c r="C679" s="83" t="str">
        <f aca="false">IF('CARNET DE SOUDURE'!E679="","",'CARNET DE SOUDURE'!E679)</f>
        <v>JN°068</v>
      </c>
      <c r="D679" s="78" t="str">
        <f aca="false">IF('CARNET DE SOUDURE'!E679="","",'CARNET DE SOUDURE'!D679&amp;"")</f>
        <v/>
      </c>
      <c r="E679" s="96" t="str">
        <f aca="false">IF(OR('CARNET DE SOUDURE'!E679="",'CARNET DE SOUDURE'!R679=""),"",'CARNET DE SOUDURE'!R679)</f>
        <v/>
      </c>
      <c r="F679" s="81" t="str">
        <f aca="false">IF('CARNET DE SOUDURE'!E679="","",'CARNET DE SOUDURE'!AL679)</f>
        <v/>
      </c>
      <c r="G679" s="81" t="str">
        <f aca="false">IF('CARNET DE SOUDURE'!E679="","",'CARNET DE SOUDURE'!AM679)</f>
        <v>À SOUDER</v>
      </c>
      <c r="H679" s="81" t="str">
        <f aca="false">IF(C679="","",IF(G679="ACCEPTÉ","OUI","NON"))</f>
        <v>NON</v>
      </c>
      <c r="I679" s="82"/>
      <c r="J679" s="79"/>
      <c r="K679" s="80"/>
      <c r="L679" s="80"/>
      <c r="M679" s="80"/>
      <c r="N679" s="83" t="str">
        <f aca="false">IF(C679="","",IF(I679="",IF(H679="OUI","À ENROBER",IF(G679="À SOUDER","NON SOUDÉ","EN ATTENTE RT")),IF(L679="R","À REPRENDRE",IF(H679&lt;&gt;"OUI","⚠ ENROBÉ AVANT ACCEPTATION RT","ENROBÉ"))))</f>
        <v>NON SOUDÉ</v>
      </c>
      <c r="O679" s="79"/>
    </row>
    <row r="680" customFormat="false" ht="15" hidden="false" customHeight="false" outlineLevel="0" collapsed="false">
      <c r="A680" s="78" t="n">
        <f aca="false">IF('CARNET DE SOUDURE'!E680="","",'CARNET DE SOUDURE'!A680)</f>
        <v>674</v>
      </c>
      <c r="B680" s="93" t="str">
        <f aca="false">IF('CARNET DE SOUDURE'!E680="","",'CARNET DE SOUDURE'!B680&amp;"")</f>
        <v>ISB-304</v>
      </c>
      <c r="C680" s="83" t="str">
        <f aca="false">IF('CARNET DE SOUDURE'!E680="","",'CARNET DE SOUDURE'!E680)</f>
        <v>JN°069</v>
      </c>
      <c r="D680" s="78" t="str">
        <f aca="false">IF('CARNET DE SOUDURE'!E680="","",'CARNET DE SOUDURE'!D680&amp;"")</f>
        <v/>
      </c>
      <c r="E680" s="96" t="str">
        <f aca="false">IF(OR('CARNET DE SOUDURE'!E680="",'CARNET DE SOUDURE'!R680=""),"",'CARNET DE SOUDURE'!R680)</f>
        <v/>
      </c>
      <c r="F680" s="81" t="str">
        <f aca="false">IF('CARNET DE SOUDURE'!E680="","",'CARNET DE SOUDURE'!AL680)</f>
        <v/>
      </c>
      <c r="G680" s="81" t="str">
        <f aca="false">IF('CARNET DE SOUDURE'!E680="","",'CARNET DE SOUDURE'!AM680)</f>
        <v>À SOUDER</v>
      </c>
      <c r="H680" s="81" t="str">
        <f aca="false">IF(C680="","",IF(G680="ACCEPTÉ","OUI","NON"))</f>
        <v>NON</v>
      </c>
      <c r="I680" s="82"/>
      <c r="J680" s="79"/>
      <c r="K680" s="80"/>
      <c r="L680" s="80"/>
      <c r="M680" s="80"/>
      <c r="N680" s="83" t="str">
        <f aca="false">IF(C680="","",IF(I680="",IF(H680="OUI","À ENROBER",IF(G680="À SOUDER","NON SOUDÉ","EN ATTENTE RT")),IF(L680="R","À REPRENDRE",IF(H680&lt;&gt;"OUI","⚠ ENROBÉ AVANT ACCEPTATION RT","ENROBÉ"))))</f>
        <v>NON SOUDÉ</v>
      </c>
      <c r="O680" s="79"/>
    </row>
    <row r="681" customFormat="false" ht="15" hidden="false" customHeight="false" outlineLevel="0" collapsed="false">
      <c r="A681" s="78" t="n">
        <f aca="false">IF('CARNET DE SOUDURE'!E681="","",'CARNET DE SOUDURE'!A681)</f>
        <v>675</v>
      </c>
      <c r="B681" s="93" t="str">
        <f aca="false">IF('CARNET DE SOUDURE'!E681="","",'CARNET DE SOUDURE'!B681&amp;"")</f>
        <v>ISB-304</v>
      </c>
      <c r="C681" s="83" t="str">
        <f aca="false">IF('CARNET DE SOUDURE'!E681="","",'CARNET DE SOUDURE'!E681)</f>
        <v>JN°070</v>
      </c>
      <c r="D681" s="78" t="str">
        <f aca="false">IF('CARNET DE SOUDURE'!E681="","",'CARNET DE SOUDURE'!D681&amp;"")</f>
        <v/>
      </c>
      <c r="E681" s="96" t="str">
        <f aca="false">IF(OR('CARNET DE SOUDURE'!E681="",'CARNET DE SOUDURE'!R681=""),"",'CARNET DE SOUDURE'!R681)</f>
        <v/>
      </c>
      <c r="F681" s="81" t="str">
        <f aca="false">IF('CARNET DE SOUDURE'!E681="","",'CARNET DE SOUDURE'!AL681)</f>
        <v/>
      </c>
      <c r="G681" s="81" t="str">
        <f aca="false">IF('CARNET DE SOUDURE'!E681="","",'CARNET DE SOUDURE'!AM681)</f>
        <v>À SOUDER</v>
      </c>
      <c r="H681" s="81" t="str">
        <f aca="false">IF(C681="","",IF(G681="ACCEPTÉ","OUI","NON"))</f>
        <v>NON</v>
      </c>
      <c r="I681" s="82"/>
      <c r="J681" s="79"/>
      <c r="K681" s="80"/>
      <c r="L681" s="80"/>
      <c r="M681" s="80"/>
      <c r="N681" s="83" t="str">
        <f aca="false">IF(C681="","",IF(I681="",IF(H681="OUI","À ENROBER",IF(G681="À SOUDER","NON SOUDÉ","EN ATTENTE RT")),IF(L681="R","À REPRENDRE",IF(H681&lt;&gt;"OUI","⚠ ENROBÉ AVANT ACCEPTATION RT","ENROBÉ"))))</f>
        <v>NON SOUDÉ</v>
      </c>
      <c r="O681" s="79"/>
    </row>
    <row r="682" customFormat="false" ht="15" hidden="false" customHeight="false" outlineLevel="0" collapsed="false">
      <c r="A682" s="78" t="n">
        <f aca="false">IF('CARNET DE SOUDURE'!E682="","",'CARNET DE SOUDURE'!A682)</f>
        <v>676</v>
      </c>
      <c r="B682" s="93" t="str">
        <f aca="false">IF('CARNET DE SOUDURE'!E682="","",'CARNET DE SOUDURE'!B682&amp;"")</f>
        <v>ISB-304</v>
      </c>
      <c r="C682" s="83" t="str">
        <f aca="false">IF('CARNET DE SOUDURE'!E682="","",'CARNET DE SOUDURE'!E682)</f>
        <v>JN°071</v>
      </c>
      <c r="D682" s="78" t="str">
        <f aca="false">IF('CARNET DE SOUDURE'!E682="","",'CARNET DE SOUDURE'!D682&amp;"")</f>
        <v/>
      </c>
      <c r="E682" s="96" t="str">
        <f aca="false">IF(OR('CARNET DE SOUDURE'!E682="",'CARNET DE SOUDURE'!R682=""),"",'CARNET DE SOUDURE'!R682)</f>
        <v/>
      </c>
      <c r="F682" s="81" t="str">
        <f aca="false">IF('CARNET DE SOUDURE'!E682="","",'CARNET DE SOUDURE'!AL682)</f>
        <v/>
      </c>
      <c r="G682" s="81" t="str">
        <f aca="false">IF('CARNET DE SOUDURE'!E682="","",'CARNET DE SOUDURE'!AM682)</f>
        <v>À SOUDER</v>
      </c>
      <c r="H682" s="81" t="str">
        <f aca="false">IF(C682="","",IF(G682="ACCEPTÉ","OUI","NON"))</f>
        <v>NON</v>
      </c>
      <c r="I682" s="82"/>
      <c r="J682" s="79"/>
      <c r="K682" s="80"/>
      <c r="L682" s="80"/>
      <c r="M682" s="80"/>
      <c r="N682" s="83" t="str">
        <f aca="false">IF(C682="","",IF(I682="",IF(H682="OUI","À ENROBER",IF(G682="À SOUDER","NON SOUDÉ","EN ATTENTE RT")),IF(L682="R","À REPRENDRE",IF(H682&lt;&gt;"OUI","⚠ ENROBÉ AVANT ACCEPTATION RT","ENROBÉ"))))</f>
        <v>NON SOUDÉ</v>
      </c>
      <c r="O682" s="79"/>
    </row>
    <row r="683" customFormat="false" ht="15" hidden="false" customHeight="false" outlineLevel="0" collapsed="false">
      <c r="A683" s="78" t="n">
        <f aca="false">IF('CARNET DE SOUDURE'!E683="","",'CARNET DE SOUDURE'!A683)</f>
        <v>677</v>
      </c>
      <c r="B683" s="93" t="str">
        <f aca="false">IF('CARNET DE SOUDURE'!E683="","",'CARNET DE SOUDURE'!B683&amp;"")</f>
        <v>ISB-304</v>
      </c>
      <c r="C683" s="83" t="str">
        <f aca="false">IF('CARNET DE SOUDURE'!E683="","",'CARNET DE SOUDURE'!E683)</f>
        <v>JN°072</v>
      </c>
      <c r="D683" s="78" t="str">
        <f aca="false">IF('CARNET DE SOUDURE'!E683="","",'CARNET DE SOUDURE'!D683&amp;"")</f>
        <v/>
      </c>
      <c r="E683" s="96" t="str">
        <f aca="false">IF(OR('CARNET DE SOUDURE'!E683="",'CARNET DE SOUDURE'!R683=""),"",'CARNET DE SOUDURE'!R683)</f>
        <v/>
      </c>
      <c r="F683" s="81" t="str">
        <f aca="false">IF('CARNET DE SOUDURE'!E683="","",'CARNET DE SOUDURE'!AL683)</f>
        <v/>
      </c>
      <c r="G683" s="81" t="str">
        <f aca="false">IF('CARNET DE SOUDURE'!E683="","",'CARNET DE SOUDURE'!AM683)</f>
        <v>À SOUDER</v>
      </c>
      <c r="H683" s="81" t="str">
        <f aca="false">IF(C683="","",IF(G683="ACCEPTÉ","OUI","NON"))</f>
        <v>NON</v>
      </c>
      <c r="I683" s="82"/>
      <c r="J683" s="79"/>
      <c r="K683" s="80"/>
      <c r="L683" s="80"/>
      <c r="M683" s="80"/>
      <c r="N683" s="83" t="str">
        <f aca="false">IF(C683="","",IF(I683="",IF(H683="OUI","À ENROBER",IF(G683="À SOUDER","NON SOUDÉ","EN ATTENTE RT")),IF(L683="R","À REPRENDRE",IF(H683&lt;&gt;"OUI","⚠ ENROBÉ AVANT ACCEPTATION RT","ENROBÉ"))))</f>
        <v>NON SOUDÉ</v>
      </c>
      <c r="O683" s="79"/>
    </row>
    <row r="684" customFormat="false" ht="15" hidden="false" customHeight="false" outlineLevel="0" collapsed="false">
      <c r="A684" s="78" t="n">
        <f aca="false">IF('CARNET DE SOUDURE'!E684="","",'CARNET DE SOUDURE'!A684)</f>
        <v>678</v>
      </c>
      <c r="B684" s="93" t="str">
        <f aca="false">IF('CARNET DE SOUDURE'!E684="","",'CARNET DE SOUDURE'!B684&amp;"")</f>
        <v>ISB-304</v>
      </c>
      <c r="C684" s="83" t="str">
        <f aca="false">IF('CARNET DE SOUDURE'!E684="","",'CARNET DE SOUDURE'!E684)</f>
        <v>JN°073</v>
      </c>
      <c r="D684" s="78" t="str">
        <f aca="false">IF('CARNET DE SOUDURE'!E684="","",'CARNET DE SOUDURE'!D684&amp;"")</f>
        <v/>
      </c>
      <c r="E684" s="96" t="str">
        <f aca="false">IF(OR('CARNET DE SOUDURE'!E684="",'CARNET DE SOUDURE'!R684=""),"",'CARNET DE SOUDURE'!R684)</f>
        <v/>
      </c>
      <c r="F684" s="81" t="str">
        <f aca="false">IF('CARNET DE SOUDURE'!E684="","",'CARNET DE SOUDURE'!AL684)</f>
        <v/>
      </c>
      <c r="G684" s="81" t="str">
        <f aca="false">IF('CARNET DE SOUDURE'!E684="","",'CARNET DE SOUDURE'!AM684)</f>
        <v>À SOUDER</v>
      </c>
      <c r="H684" s="81" t="str">
        <f aca="false">IF(C684="","",IF(G684="ACCEPTÉ","OUI","NON"))</f>
        <v>NON</v>
      </c>
      <c r="I684" s="82"/>
      <c r="J684" s="79"/>
      <c r="K684" s="80"/>
      <c r="L684" s="80"/>
      <c r="M684" s="80"/>
      <c r="N684" s="83" t="str">
        <f aca="false">IF(C684="","",IF(I684="",IF(H684="OUI","À ENROBER",IF(G684="À SOUDER","NON SOUDÉ","EN ATTENTE RT")),IF(L684="R","À REPRENDRE",IF(H684&lt;&gt;"OUI","⚠ ENROBÉ AVANT ACCEPTATION RT","ENROBÉ"))))</f>
        <v>NON SOUDÉ</v>
      </c>
      <c r="O684" s="79"/>
    </row>
    <row r="685" customFormat="false" ht="15" hidden="false" customHeight="false" outlineLevel="0" collapsed="false">
      <c r="A685" s="78" t="n">
        <f aca="false">IF('CARNET DE SOUDURE'!E685="","",'CARNET DE SOUDURE'!A685)</f>
        <v>679</v>
      </c>
      <c r="B685" s="93" t="str">
        <f aca="false">IF('CARNET DE SOUDURE'!E685="","",'CARNET DE SOUDURE'!B685&amp;"")</f>
        <v>ISB-304</v>
      </c>
      <c r="C685" s="83" t="str">
        <f aca="false">IF('CARNET DE SOUDURE'!E685="","",'CARNET DE SOUDURE'!E685)</f>
        <v>JN°074</v>
      </c>
      <c r="D685" s="78" t="str">
        <f aca="false">IF('CARNET DE SOUDURE'!E685="","",'CARNET DE SOUDURE'!D685&amp;"")</f>
        <v/>
      </c>
      <c r="E685" s="96" t="str">
        <f aca="false">IF(OR('CARNET DE SOUDURE'!E685="",'CARNET DE SOUDURE'!R685=""),"",'CARNET DE SOUDURE'!R685)</f>
        <v/>
      </c>
      <c r="F685" s="81" t="str">
        <f aca="false">IF('CARNET DE SOUDURE'!E685="","",'CARNET DE SOUDURE'!AL685)</f>
        <v/>
      </c>
      <c r="G685" s="81" t="str">
        <f aca="false">IF('CARNET DE SOUDURE'!E685="","",'CARNET DE SOUDURE'!AM685)</f>
        <v>À SOUDER</v>
      </c>
      <c r="H685" s="81" t="str">
        <f aca="false">IF(C685="","",IF(G685="ACCEPTÉ","OUI","NON"))</f>
        <v>NON</v>
      </c>
      <c r="I685" s="82"/>
      <c r="J685" s="79"/>
      <c r="K685" s="80"/>
      <c r="L685" s="80"/>
      <c r="M685" s="80"/>
      <c r="N685" s="83" t="str">
        <f aca="false">IF(C685="","",IF(I685="",IF(H685="OUI","À ENROBER",IF(G685="À SOUDER","NON SOUDÉ","EN ATTENTE RT")),IF(L685="R","À REPRENDRE",IF(H685&lt;&gt;"OUI","⚠ ENROBÉ AVANT ACCEPTATION RT","ENROBÉ"))))</f>
        <v>NON SOUDÉ</v>
      </c>
      <c r="O685" s="79"/>
    </row>
    <row r="686" customFormat="false" ht="15" hidden="false" customHeight="false" outlineLevel="0" collapsed="false">
      <c r="A686" s="78" t="n">
        <f aca="false">IF('CARNET DE SOUDURE'!E686="","",'CARNET DE SOUDURE'!A686)</f>
        <v>680</v>
      </c>
      <c r="B686" s="93" t="str">
        <f aca="false">IF('CARNET DE SOUDURE'!E686="","",'CARNET DE SOUDURE'!B686&amp;"")</f>
        <v>ISB-304</v>
      </c>
      <c r="C686" s="83" t="str">
        <f aca="false">IF('CARNET DE SOUDURE'!E686="","",'CARNET DE SOUDURE'!E686)</f>
        <v>JN°075</v>
      </c>
      <c r="D686" s="78" t="str">
        <f aca="false">IF('CARNET DE SOUDURE'!E686="","",'CARNET DE SOUDURE'!D686&amp;"")</f>
        <v/>
      </c>
      <c r="E686" s="96" t="str">
        <f aca="false">IF(OR('CARNET DE SOUDURE'!E686="",'CARNET DE SOUDURE'!R686=""),"",'CARNET DE SOUDURE'!R686)</f>
        <v/>
      </c>
      <c r="F686" s="81" t="str">
        <f aca="false">IF('CARNET DE SOUDURE'!E686="","",'CARNET DE SOUDURE'!AL686)</f>
        <v/>
      </c>
      <c r="G686" s="81" t="str">
        <f aca="false">IF('CARNET DE SOUDURE'!E686="","",'CARNET DE SOUDURE'!AM686)</f>
        <v>À SOUDER</v>
      </c>
      <c r="H686" s="81" t="str">
        <f aca="false">IF(C686="","",IF(G686="ACCEPTÉ","OUI","NON"))</f>
        <v>NON</v>
      </c>
      <c r="I686" s="82"/>
      <c r="J686" s="79"/>
      <c r="K686" s="80"/>
      <c r="L686" s="80"/>
      <c r="M686" s="80"/>
      <c r="N686" s="83" t="str">
        <f aca="false">IF(C686="","",IF(I686="",IF(H686="OUI","À ENROBER",IF(G686="À SOUDER","NON SOUDÉ","EN ATTENTE RT")),IF(L686="R","À REPRENDRE",IF(H686&lt;&gt;"OUI","⚠ ENROBÉ AVANT ACCEPTATION RT","ENROBÉ"))))</f>
        <v>NON SOUDÉ</v>
      </c>
      <c r="O686" s="79"/>
    </row>
    <row r="687" customFormat="false" ht="15" hidden="false" customHeight="false" outlineLevel="0" collapsed="false">
      <c r="A687" s="78" t="n">
        <f aca="false">IF('CARNET DE SOUDURE'!E687="","",'CARNET DE SOUDURE'!A687)</f>
        <v>681</v>
      </c>
      <c r="B687" s="93" t="str">
        <f aca="false">IF('CARNET DE SOUDURE'!E687="","",'CARNET DE SOUDURE'!B687&amp;"")</f>
        <v>ISB-304</v>
      </c>
      <c r="C687" s="83" t="str">
        <f aca="false">IF('CARNET DE SOUDURE'!E687="","",'CARNET DE SOUDURE'!E687)</f>
        <v>JN°076</v>
      </c>
      <c r="D687" s="78" t="str">
        <f aca="false">IF('CARNET DE SOUDURE'!E687="","",'CARNET DE SOUDURE'!D687&amp;"")</f>
        <v/>
      </c>
      <c r="E687" s="96" t="str">
        <f aca="false">IF(OR('CARNET DE SOUDURE'!E687="",'CARNET DE SOUDURE'!R687=""),"",'CARNET DE SOUDURE'!R687)</f>
        <v/>
      </c>
      <c r="F687" s="81" t="str">
        <f aca="false">IF('CARNET DE SOUDURE'!E687="","",'CARNET DE SOUDURE'!AL687)</f>
        <v/>
      </c>
      <c r="G687" s="81" t="str">
        <f aca="false">IF('CARNET DE SOUDURE'!E687="","",'CARNET DE SOUDURE'!AM687)</f>
        <v>À SOUDER</v>
      </c>
      <c r="H687" s="81" t="str">
        <f aca="false">IF(C687="","",IF(G687="ACCEPTÉ","OUI","NON"))</f>
        <v>NON</v>
      </c>
      <c r="I687" s="82"/>
      <c r="J687" s="79"/>
      <c r="K687" s="80"/>
      <c r="L687" s="80"/>
      <c r="M687" s="80"/>
      <c r="N687" s="83" t="str">
        <f aca="false">IF(C687="","",IF(I687="",IF(H687="OUI","À ENROBER",IF(G687="À SOUDER","NON SOUDÉ","EN ATTENTE RT")),IF(L687="R","À REPRENDRE",IF(H687&lt;&gt;"OUI","⚠ ENROBÉ AVANT ACCEPTATION RT","ENROBÉ"))))</f>
        <v>NON SOUDÉ</v>
      </c>
      <c r="O687" s="79"/>
    </row>
    <row r="688" customFormat="false" ht="15" hidden="false" customHeight="false" outlineLevel="0" collapsed="false">
      <c r="A688" s="78" t="n">
        <f aca="false">IF('CARNET DE SOUDURE'!E688="","",'CARNET DE SOUDURE'!A688)</f>
        <v>682</v>
      </c>
      <c r="B688" s="93" t="str">
        <f aca="false">IF('CARNET DE SOUDURE'!E688="","",'CARNET DE SOUDURE'!B688&amp;"")</f>
        <v>ISB-304</v>
      </c>
      <c r="C688" s="83" t="str">
        <f aca="false">IF('CARNET DE SOUDURE'!E688="","",'CARNET DE SOUDURE'!E688)</f>
        <v>JN°077</v>
      </c>
      <c r="D688" s="78" t="str">
        <f aca="false">IF('CARNET DE SOUDURE'!E688="","",'CARNET DE SOUDURE'!D688&amp;"")</f>
        <v/>
      </c>
      <c r="E688" s="96" t="str">
        <f aca="false">IF(OR('CARNET DE SOUDURE'!E688="",'CARNET DE SOUDURE'!R688=""),"",'CARNET DE SOUDURE'!R688)</f>
        <v/>
      </c>
      <c r="F688" s="81" t="str">
        <f aca="false">IF('CARNET DE SOUDURE'!E688="","",'CARNET DE SOUDURE'!AL688)</f>
        <v/>
      </c>
      <c r="G688" s="81" t="str">
        <f aca="false">IF('CARNET DE SOUDURE'!E688="","",'CARNET DE SOUDURE'!AM688)</f>
        <v>À SOUDER</v>
      </c>
      <c r="H688" s="81" t="str">
        <f aca="false">IF(C688="","",IF(G688="ACCEPTÉ","OUI","NON"))</f>
        <v>NON</v>
      </c>
      <c r="I688" s="82"/>
      <c r="J688" s="79"/>
      <c r="K688" s="80"/>
      <c r="L688" s="80"/>
      <c r="M688" s="80"/>
      <c r="N688" s="83" t="str">
        <f aca="false">IF(C688="","",IF(I688="",IF(H688="OUI","À ENROBER",IF(G688="À SOUDER","NON SOUDÉ","EN ATTENTE RT")),IF(L688="R","À REPRENDRE",IF(H688&lt;&gt;"OUI","⚠ ENROBÉ AVANT ACCEPTATION RT","ENROBÉ"))))</f>
        <v>NON SOUDÉ</v>
      </c>
      <c r="O688" s="79"/>
    </row>
    <row r="689" customFormat="false" ht="15" hidden="false" customHeight="false" outlineLevel="0" collapsed="false">
      <c r="A689" s="78" t="n">
        <f aca="false">IF('CARNET DE SOUDURE'!E689="","",'CARNET DE SOUDURE'!A689)</f>
        <v>683</v>
      </c>
      <c r="B689" s="93" t="str">
        <f aca="false">IF('CARNET DE SOUDURE'!E689="","",'CARNET DE SOUDURE'!B689&amp;"")</f>
        <v>ISB-304</v>
      </c>
      <c r="C689" s="83" t="str">
        <f aca="false">IF('CARNET DE SOUDURE'!E689="","",'CARNET DE SOUDURE'!E689)</f>
        <v>JN°078</v>
      </c>
      <c r="D689" s="78" t="str">
        <f aca="false">IF('CARNET DE SOUDURE'!E689="","",'CARNET DE SOUDURE'!D689&amp;"")</f>
        <v/>
      </c>
      <c r="E689" s="96" t="str">
        <f aca="false">IF(OR('CARNET DE SOUDURE'!E689="",'CARNET DE SOUDURE'!R689=""),"",'CARNET DE SOUDURE'!R689)</f>
        <v/>
      </c>
      <c r="F689" s="81" t="str">
        <f aca="false">IF('CARNET DE SOUDURE'!E689="","",'CARNET DE SOUDURE'!AL689)</f>
        <v/>
      </c>
      <c r="G689" s="81" t="str">
        <f aca="false">IF('CARNET DE SOUDURE'!E689="","",'CARNET DE SOUDURE'!AM689)</f>
        <v>À SOUDER</v>
      </c>
      <c r="H689" s="81" t="str">
        <f aca="false">IF(C689="","",IF(G689="ACCEPTÉ","OUI","NON"))</f>
        <v>NON</v>
      </c>
      <c r="I689" s="82"/>
      <c r="J689" s="79"/>
      <c r="K689" s="80"/>
      <c r="L689" s="80"/>
      <c r="M689" s="80"/>
      <c r="N689" s="83" t="str">
        <f aca="false">IF(C689="","",IF(I689="",IF(H689="OUI","À ENROBER",IF(G689="À SOUDER","NON SOUDÉ","EN ATTENTE RT")),IF(L689="R","À REPRENDRE",IF(H689&lt;&gt;"OUI","⚠ ENROBÉ AVANT ACCEPTATION RT","ENROBÉ"))))</f>
        <v>NON SOUDÉ</v>
      </c>
      <c r="O689" s="79"/>
    </row>
    <row r="690" customFormat="false" ht="15" hidden="false" customHeight="false" outlineLevel="0" collapsed="false">
      <c r="A690" s="78" t="n">
        <f aca="false">IF('CARNET DE SOUDURE'!E690="","",'CARNET DE SOUDURE'!A690)</f>
        <v>684</v>
      </c>
      <c r="B690" s="93" t="str">
        <f aca="false">IF('CARNET DE SOUDURE'!E690="","",'CARNET DE SOUDURE'!B690&amp;"")</f>
        <v>ISB-304</v>
      </c>
      <c r="C690" s="83" t="str">
        <f aca="false">IF('CARNET DE SOUDURE'!E690="","",'CARNET DE SOUDURE'!E690)</f>
        <v>JN°079</v>
      </c>
      <c r="D690" s="78" t="str">
        <f aca="false">IF('CARNET DE SOUDURE'!E690="","",'CARNET DE SOUDURE'!D690&amp;"")</f>
        <v/>
      </c>
      <c r="E690" s="96" t="str">
        <f aca="false">IF(OR('CARNET DE SOUDURE'!E690="",'CARNET DE SOUDURE'!R690=""),"",'CARNET DE SOUDURE'!R690)</f>
        <v/>
      </c>
      <c r="F690" s="81" t="str">
        <f aca="false">IF('CARNET DE SOUDURE'!E690="","",'CARNET DE SOUDURE'!AL690)</f>
        <v/>
      </c>
      <c r="G690" s="81" t="str">
        <f aca="false">IF('CARNET DE SOUDURE'!E690="","",'CARNET DE SOUDURE'!AM690)</f>
        <v>À SOUDER</v>
      </c>
      <c r="H690" s="81" t="str">
        <f aca="false">IF(C690="","",IF(G690="ACCEPTÉ","OUI","NON"))</f>
        <v>NON</v>
      </c>
      <c r="I690" s="82"/>
      <c r="J690" s="79"/>
      <c r="K690" s="80"/>
      <c r="L690" s="80"/>
      <c r="M690" s="80"/>
      <c r="N690" s="83" t="str">
        <f aca="false">IF(C690="","",IF(I690="",IF(H690="OUI","À ENROBER",IF(G690="À SOUDER","NON SOUDÉ","EN ATTENTE RT")),IF(L690="R","À REPRENDRE",IF(H690&lt;&gt;"OUI","⚠ ENROBÉ AVANT ACCEPTATION RT","ENROBÉ"))))</f>
        <v>NON SOUDÉ</v>
      </c>
      <c r="O690" s="79"/>
    </row>
    <row r="691" customFormat="false" ht="15" hidden="false" customHeight="false" outlineLevel="0" collapsed="false">
      <c r="A691" s="78" t="n">
        <f aca="false">IF('CARNET DE SOUDURE'!E691="","",'CARNET DE SOUDURE'!A691)</f>
        <v>685</v>
      </c>
      <c r="B691" s="93" t="str">
        <f aca="false">IF('CARNET DE SOUDURE'!E691="","",'CARNET DE SOUDURE'!B691&amp;"")</f>
        <v>ISB-304</v>
      </c>
      <c r="C691" s="83" t="str">
        <f aca="false">IF('CARNET DE SOUDURE'!E691="","",'CARNET DE SOUDURE'!E691)</f>
        <v>JN°080</v>
      </c>
      <c r="D691" s="78" t="str">
        <f aca="false">IF('CARNET DE SOUDURE'!E691="","",'CARNET DE SOUDURE'!D691&amp;"")</f>
        <v/>
      </c>
      <c r="E691" s="96" t="str">
        <f aca="false">IF(OR('CARNET DE SOUDURE'!E691="",'CARNET DE SOUDURE'!R691=""),"",'CARNET DE SOUDURE'!R691)</f>
        <v/>
      </c>
      <c r="F691" s="81" t="str">
        <f aca="false">IF('CARNET DE SOUDURE'!E691="","",'CARNET DE SOUDURE'!AL691)</f>
        <v/>
      </c>
      <c r="G691" s="81" t="str">
        <f aca="false">IF('CARNET DE SOUDURE'!E691="","",'CARNET DE SOUDURE'!AM691)</f>
        <v>À SOUDER</v>
      </c>
      <c r="H691" s="81" t="str">
        <f aca="false">IF(C691="","",IF(G691="ACCEPTÉ","OUI","NON"))</f>
        <v>NON</v>
      </c>
      <c r="I691" s="82"/>
      <c r="J691" s="79"/>
      <c r="K691" s="80"/>
      <c r="L691" s="80"/>
      <c r="M691" s="80"/>
      <c r="N691" s="83" t="str">
        <f aca="false">IF(C691="","",IF(I691="",IF(H691="OUI","À ENROBER",IF(G691="À SOUDER","NON SOUDÉ","EN ATTENTE RT")),IF(L691="R","À REPRENDRE",IF(H691&lt;&gt;"OUI","⚠ ENROBÉ AVANT ACCEPTATION RT","ENROBÉ"))))</f>
        <v>NON SOUDÉ</v>
      </c>
      <c r="O691" s="79"/>
    </row>
    <row r="692" customFormat="false" ht="15" hidden="false" customHeight="false" outlineLevel="0" collapsed="false">
      <c r="A692" s="78" t="n">
        <f aca="false">IF('CARNET DE SOUDURE'!E692="","",'CARNET DE SOUDURE'!A692)</f>
        <v>686</v>
      </c>
      <c r="B692" s="93" t="str">
        <f aca="false">IF('CARNET DE SOUDURE'!E692="","",'CARNET DE SOUDURE'!B692&amp;"")</f>
        <v>ISB-304</v>
      </c>
      <c r="C692" s="83" t="str">
        <f aca="false">IF('CARNET DE SOUDURE'!E692="","",'CARNET DE SOUDURE'!E692)</f>
        <v>JN°081</v>
      </c>
      <c r="D692" s="78" t="str">
        <f aca="false">IF('CARNET DE SOUDURE'!E692="","",'CARNET DE SOUDURE'!D692&amp;"")</f>
        <v/>
      </c>
      <c r="E692" s="96" t="str">
        <f aca="false">IF(OR('CARNET DE SOUDURE'!E692="",'CARNET DE SOUDURE'!R692=""),"",'CARNET DE SOUDURE'!R692)</f>
        <v/>
      </c>
      <c r="F692" s="81" t="str">
        <f aca="false">IF('CARNET DE SOUDURE'!E692="","",'CARNET DE SOUDURE'!AL692)</f>
        <v/>
      </c>
      <c r="G692" s="81" t="str">
        <f aca="false">IF('CARNET DE SOUDURE'!E692="","",'CARNET DE SOUDURE'!AM692)</f>
        <v>À SOUDER</v>
      </c>
      <c r="H692" s="81" t="str">
        <f aca="false">IF(C692="","",IF(G692="ACCEPTÉ","OUI","NON"))</f>
        <v>NON</v>
      </c>
      <c r="I692" s="82"/>
      <c r="J692" s="79"/>
      <c r="K692" s="80"/>
      <c r="L692" s="80"/>
      <c r="M692" s="80"/>
      <c r="N692" s="83" t="str">
        <f aca="false">IF(C692="","",IF(I692="",IF(H692="OUI","À ENROBER",IF(G692="À SOUDER","NON SOUDÉ","EN ATTENTE RT")),IF(L692="R","À REPRENDRE",IF(H692&lt;&gt;"OUI","⚠ ENROBÉ AVANT ACCEPTATION RT","ENROBÉ"))))</f>
        <v>NON SOUDÉ</v>
      </c>
      <c r="O692" s="79"/>
    </row>
    <row r="693" customFormat="false" ht="15" hidden="false" customHeight="false" outlineLevel="0" collapsed="false">
      <c r="A693" s="78" t="n">
        <f aca="false">IF('CARNET DE SOUDURE'!E693="","",'CARNET DE SOUDURE'!A693)</f>
        <v>687</v>
      </c>
      <c r="B693" s="93" t="str">
        <f aca="false">IF('CARNET DE SOUDURE'!E693="","",'CARNET DE SOUDURE'!B693&amp;"")</f>
        <v>ISB-304</v>
      </c>
      <c r="C693" s="83" t="str">
        <f aca="false">IF('CARNET DE SOUDURE'!E693="","",'CARNET DE SOUDURE'!E693)</f>
        <v>JN°082</v>
      </c>
      <c r="D693" s="78" t="str">
        <f aca="false">IF('CARNET DE SOUDURE'!E693="","",'CARNET DE SOUDURE'!D693&amp;"")</f>
        <v/>
      </c>
      <c r="E693" s="96" t="str">
        <f aca="false">IF(OR('CARNET DE SOUDURE'!E693="",'CARNET DE SOUDURE'!R693=""),"",'CARNET DE SOUDURE'!R693)</f>
        <v/>
      </c>
      <c r="F693" s="81" t="str">
        <f aca="false">IF('CARNET DE SOUDURE'!E693="","",'CARNET DE SOUDURE'!AL693)</f>
        <v/>
      </c>
      <c r="G693" s="81" t="str">
        <f aca="false">IF('CARNET DE SOUDURE'!E693="","",'CARNET DE SOUDURE'!AM693)</f>
        <v>À SOUDER</v>
      </c>
      <c r="H693" s="81" t="str">
        <f aca="false">IF(C693="","",IF(G693="ACCEPTÉ","OUI","NON"))</f>
        <v>NON</v>
      </c>
      <c r="I693" s="82"/>
      <c r="J693" s="79"/>
      <c r="K693" s="80"/>
      <c r="L693" s="80"/>
      <c r="M693" s="80"/>
      <c r="N693" s="83" t="str">
        <f aca="false">IF(C693="","",IF(I693="",IF(H693="OUI","À ENROBER",IF(G693="À SOUDER","NON SOUDÉ","EN ATTENTE RT")),IF(L693="R","À REPRENDRE",IF(H693&lt;&gt;"OUI","⚠ ENROBÉ AVANT ACCEPTATION RT","ENROBÉ"))))</f>
        <v>NON SOUDÉ</v>
      </c>
      <c r="O693" s="79"/>
    </row>
    <row r="694" customFormat="false" ht="15" hidden="false" customHeight="false" outlineLevel="0" collapsed="false">
      <c r="A694" s="78" t="n">
        <f aca="false">IF('CARNET DE SOUDURE'!E694="","",'CARNET DE SOUDURE'!A694)</f>
        <v>688</v>
      </c>
      <c r="B694" s="93" t="str">
        <f aca="false">IF('CARNET DE SOUDURE'!E694="","",'CARNET DE SOUDURE'!B694&amp;"")</f>
        <v>ISB-304</v>
      </c>
      <c r="C694" s="83" t="str">
        <f aca="false">IF('CARNET DE SOUDURE'!E694="","",'CARNET DE SOUDURE'!E694)</f>
        <v>JN°083</v>
      </c>
      <c r="D694" s="78" t="str">
        <f aca="false">IF('CARNET DE SOUDURE'!E694="","",'CARNET DE SOUDURE'!D694&amp;"")</f>
        <v/>
      </c>
      <c r="E694" s="96" t="str">
        <f aca="false">IF(OR('CARNET DE SOUDURE'!E694="",'CARNET DE SOUDURE'!R694=""),"",'CARNET DE SOUDURE'!R694)</f>
        <v/>
      </c>
      <c r="F694" s="81" t="str">
        <f aca="false">IF('CARNET DE SOUDURE'!E694="","",'CARNET DE SOUDURE'!AL694)</f>
        <v/>
      </c>
      <c r="G694" s="81" t="str">
        <f aca="false">IF('CARNET DE SOUDURE'!E694="","",'CARNET DE SOUDURE'!AM694)</f>
        <v>À SOUDER</v>
      </c>
      <c r="H694" s="81" t="str">
        <f aca="false">IF(C694="","",IF(G694="ACCEPTÉ","OUI","NON"))</f>
        <v>NON</v>
      </c>
      <c r="I694" s="82"/>
      <c r="J694" s="79"/>
      <c r="K694" s="80"/>
      <c r="L694" s="80"/>
      <c r="M694" s="80"/>
      <c r="N694" s="83" t="str">
        <f aca="false">IF(C694="","",IF(I694="",IF(H694="OUI","À ENROBER",IF(G694="À SOUDER","NON SOUDÉ","EN ATTENTE RT")),IF(L694="R","À REPRENDRE",IF(H694&lt;&gt;"OUI","⚠ ENROBÉ AVANT ACCEPTATION RT","ENROBÉ"))))</f>
        <v>NON SOUDÉ</v>
      </c>
      <c r="O694" s="79"/>
    </row>
    <row r="695" customFormat="false" ht="15" hidden="false" customHeight="false" outlineLevel="0" collapsed="false">
      <c r="A695" s="78" t="n">
        <f aca="false">IF('CARNET DE SOUDURE'!E695="","",'CARNET DE SOUDURE'!A695)</f>
        <v>689</v>
      </c>
      <c r="B695" s="93" t="str">
        <f aca="false">IF('CARNET DE SOUDURE'!E695="","",'CARNET DE SOUDURE'!B695&amp;"")</f>
        <v>ISB-304</v>
      </c>
      <c r="C695" s="83" t="str">
        <f aca="false">IF('CARNET DE SOUDURE'!E695="","",'CARNET DE SOUDURE'!E695)</f>
        <v>JN°084</v>
      </c>
      <c r="D695" s="78" t="str">
        <f aca="false">IF('CARNET DE SOUDURE'!E695="","",'CARNET DE SOUDURE'!D695&amp;"")</f>
        <v/>
      </c>
      <c r="E695" s="96" t="str">
        <f aca="false">IF(OR('CARNET DE SOUDURE'!E695="",'CARNET DE SOUDURE'!R695=""),"",'CARNET DE SOUDURE'!R695)</f>
        <v/>
      </c>
      <c r="F695" s="81" t="str">
        <f aca="false">IF('CARNET DE SOUDURE'!E695="","",'CARNET DE SOUDURE'!AL695)</f>
        <v/>
      </c>
      <c r="G695" s="81" t="str">
        <f aca="false">IF('CARNET DE SOUDURE'!E695="","",'CARNET DE SOUDURE'!AM695)</f>
        <v>À SOUDER</v>
      </c>
      <c r="H695" s="81" t="str">
        <f aca="false">IF(C695="","",IF(G695="ACCEPTÉ","OUI","NON"))</f>
        <v>NON</v>
      </c>
      <c r="I695" s="82"/>
      <c r="J695" s="79"/>
      <c r="K695" s="80"/>
      <c r="L695" s="80"/>
      <c r="M695" s="80"/>
      <c r="N695" s="83" t="str">
        <f aca="false">IF(C695="","",IF(I695="",IF(H695="OUI","À ENROBER",IF(G695="À SOUDER","NON SOUDÉ","EN ATTENTE RT")),IF(L695="R","À REPRENDRE",IF(H695&lt;&gt;"OUI","⚠ ENROBÉ AVANT ACCEPTATION RT","ENROBÉ"))))</f>
        <v>NON SOUDÉ</v>
      </c>
      <c r="O695" s="79"/>
    </row>
    <row r="696" customFormat="false" ht="15" hidden="false" customHeight="false" outlineLevel="0" collapsed="false">
      <c r="A696" s="78" t="n">
        <f aca="false">IF('CARNET DE SOUDURE'!E696="","",'CARNET DE SOUDURE'!A696)</f>
        <v>690</v>
      </c>
      <c r="B696" s="93" t="str">
        <f aca="false">IF('CARNET DE SOUDURE'!E696="","",'CARNET DE SOUDURE'!B696&amp;"")</f>
        <v>ISB-304</v>
      </c>
      <c r="C696" s="83" t="str">
        <f aca="false">IF('CARNET DE SOUDURE'!E696="","",'CARNET DE SOUDURE'!E696)</f>
        <v>JN°085</v>
      </c>
      <c r="D696" s="78" t="str">
        <f aca="false">IF('CARNET DE SOUDURE'!E696="","",'CARNET DE SOUDURE'!D696&amp;"")</f>
        <v/>
      </c>
      <c r="E696" s="96" t="str">
        <f aca="false">IF(OR('CARNET DE SOUDURE'!E696="",'CARNET DE SOUDURE'!R696=""),"",'CARNET DE SOUDURE'!R696)</f>
        <v/>
      </c>
      <c r="F696" s="81" t="str">
        <f aca="false">IF('CARNET DE SOUDURE'!E696="","",'CARNET DE SOUDURE'!AL696)</f>
        <v/>
      </c>
      <c r="G696" s="81" t="str">
        <f aca="false">IF('CARNET DE SOUDURE'!E696="","",'CARNET DE SOUDURE'!AM696)</f>
        <v>À SOUDER</v>
      </c>
      <c r="H696" s="81" t="str">
        <f aca="false">IF(C696="","",IF(G696="ACCEPTÉ","OUI","NON"))</f>
        <v>NON</v>
      </c>
      <c r="I696" s="82"/>
      <c r="J696" s="79"/>
      <c r="K696" s="80"/>
      <c r="L696" s="80"/>
      <c r="M696" s="80"/>
      <c r="N696" s="83" t="str">
        <f aca="false">IF(C696="","",IF(I696="",IF(H696="OUI","À ENROBER",IF(G696="À SOUDER","NON SOUDÉ","EN ATTENTE RT")),IF(L696="R","À REPRENDRE",IF(H696&lt;&gt;"OUI","⚠ ENROBÉ AVANT ACCEPTATION RT","ENROBÉ"))))</f>
        <v>NON SOUDÉ</v>
      </c>
      <c r="O696" s="79"/>
    </row>
    <row r="697" customFormat="false" ht="15" hidden="false" customHeight="false" outlineLevel="0" collapsed="false">
      <c r="A697" s="78" t="n">
        <f aca="false">IF('CARNET DE SOUDURE'!E697="","",'CARNET DE SOUDURE'!A697)</f>
        <v>691</v>
      </c>
      <c r="B697" s="93" t="str">
        <f aca="false">IF('CARNET DE SOUDURE'!E697="","",'CARNET DE SOUDURE'!B697&amp;"")</f>
        <v>ISB-304</v>
      </c>
      <c r="C697" s="83" t="str">
        <f aca="false">IF('CARNET DE SOUDURE'!E697="","",'CARNET DE SOUDURE'!E697)</f>
        <v>JN°086</v>
      </c>
      <c r="D697" s="78" t="str">
        <f aca="false">IF('CARNET DE SOUDURE'!E697="","",'CARNET DE SOUDURE'!D697&amp;"")</f>
        <v/>
      </c>
      <c r="E697" s="96" t="str">
        <f aca="false">IF(OR('CARNET DE SOUDURE'!E697="",'CARNET DE SOUDURE'!R697=""),"",'CARNET DE SOUDURE'!R697)</f>
        <v/>
      </c>
      <c r="F697" s="81" t="str">
        <f aca="false">IF('CARNET DE SOUDURE'!E697="","",'CARNET DE SOUDURE'!AL697)</f>
        <v/>
      </c>
      <c r="G697" s="81" t="str">
        <f aca="false">IF('CARNET DE SOUDURE'!E697="","",'CARNET DE SOUDURE'!AM697)</f>
        <v>À SOUDER</v>
      </c>
      <c r="H697" s="81" t="str">
        <f aca="false">IF(C697="","",IF(G697="ACCEPTÉ","OUI","NON"))</f>
        <v>NON</v>
      </c>
      <c r="I697" s="82"/>
      <c r="J697" s="79"/>
      <c r="K697" s="80"/>
      <c r="L697" s="80"/>
      <c r="M697" s="80"/>
      <c r="N697" s="83" t="str">
        <f aca="false">IF(C697="","",IF(I697="",IF(H697="OUI","À ENROBER",IF(G697="À SOUDER","NON SOUDÉ","EN ATTENTE RT")),IF(L697="R","À REPRENDRE",IF(H697&lt;&gt;"OUI","⚠ ENROBÉ AVANT ACCEPTATION RT","ENROBÉ"))))</f>
        <v>NON SOUDÉ</v>
      </c>
      <c r="O697" s="79"/>
    </row>
    <row r="698" customFormat="false" ht="15" hidden="false" customHeight="false" outlineLevel="0" collapsed="false">
      <c r="A698" s="78" t="n">
        <f aca="false">IF('CARNET DE SOUDURE'!E698="","",'CARNET DE SOUDURE'!A698)</f>
        <v>692</v>
      </c>
      <c r="B698" s="93" t="str">
        <f aca="false">IF('CARNET DE SOUDURE'!E698="","",'CARNET DE SOUDURE'!B698&amp;"")</f>
        <v>ISB-304</v>
      </c>
      <c r="C698" s="83" t="str">
        <f aca="false">IF('CARNET DE SOUDURE'!E698="","",'CARNET DE SOUDURE'!E698)</f>
        <v>JN°087</v>
      </c>
      <c r="D698" s="78" t="str">
        <f aca="false">IF('CARNET DE SOUDURE'!E698="","",'CARNET DE SOUDURE'!D698&amp;"")</f>
        <v/>
      </c>
      <c r="E698" s="96" t="str">
        <f aca="false">IF(OR('CARNET DE SOUDURE'!E698="",'CARNET DE SOUDURE'!R698=""),"",'CARNET DE SOUDURE'!R698)</f>
        <v/>
      </c>
      <c r="F698" s="81" t="str">
        <f aca="false">IF('CARNET DE SOUDURE'!E698="","",'CARNET DE SOUDURE'!AL698)</f>
        <v/>
      </c>
      <c r="G698" s="81" t="str">
        <f aca="false">IF('CARNET DE SOUDURE'!E698="","",'CARNET DE SOUDURE'!AM698)</f>
        <v>À SOUDER</v>
      </c>
      <c r="H698" s="81" t="str">
        <f aca="false">IF(C698="","",IF(G698="ACCEPTÉ","OUI","NON"))</f>
        <v>NON</v>
      </c>
      <c r="I698" s="82"/>
      <c r="J698" s="79"/>
      <c r="K698" s="80"/>
      <c r="L698" s="80"/>
      <c r="M698" s="80"/>
      <c r="N698" s="83" t="str">
        <f aca="false">IF(C698="","",IF(I698="",IF(H698="OUI","À ENROBER",IF(G698="À SOUDER","NON SOUDÉ","EN ATTENTE RT")),IF(L698="R","À REPRENDRE",IF(H698&lt;&gt;"OUI","⚠ ENROBÉ AVANT ACCEPTATION RT","ENROBÉ"))))</f>
        <v>NON SOUDÉ</v>
      </c>
      <c r="O698" s="79"/>
    </row>
    <row r="699" customFormat="false" ht="15" hidden="false" customHeight="false" outlineLevel="0" collapsed="false">
      <c r="A699" s="78" t="n">
        <f aca="false">IF('CARNET DE SOUDURE'!E699="","",'CARNET DE SOUDURE'!A699)</f>
        <v>693</v>
      </c>
      <c r="B699" s="93" t="str">
        <f aca="false">IF('CARNET DE SOUDURE'!E699="","",'CARNET DE SOUDURE'!B699&amp;"")</f>
        <v>ISB-304</v>
      </c>
      <c r="C699" s="83" t="str">
        <f aca="false">IF('CARNET DE SOUDURE'!E699="","",'CARNET DE SOUDURE'!E699)</f>
        <v>JN°088</v>
      </c>
      <c r="D699" s="78" t="str">
        <f aca="false">IF('CARNET DE SOUDURE'!E699="","",'CARNET DE SOUDURE'!D699&amp;"")</f>
        <v/>
      </c>
      <c r="E699" s="96" t="str">
        <f aca="false">IF(OR('CARNET DE SOUDURE'!E699="",'CARNET DE SOUDURE'!R699=""),"",'CARNET DE SOUDURE'!R699)</f>
        <v/>
      </c>
      <c r="F699" s="81" t="str">
        <f aca="false">IF('CARNET DE SOUDURE'!E699="","",'CARNET DE SOUDURE'!AL699)</f>
        <v/>
      </c>
      <c r="G699" s="81" t="str">
        <f aca="false">IF('CARNET DE SOUDURE'!E699="","",'CARNET DE SOUDURE'!AM699)</f>
        <v>À SOUDER</v>
      </c>
      <c r="H699" s="81" t="str">
        <f aca="false">IF(C699="","",IF(G699="ACCEPTÉ","OUI","NON"))</f>
        <v>NON</v>
      </c>
      <c r="I699" s="82"/>
      <c r="J699" s="79"/>
      <c r="K699" s="80"/>
      <c r="L699" s="80"/>
      <c r="M699" s="80"/>
      <c r="N699" s="83" t="str">
        <f aca="false">IF(C699="","",IF(I699="",IF(H699="OUI","À ENROBER",IF(G699="À SOUDER","NON SOUDÉ","EN ATTENTE RT")),IF(L699="R","À REPRENDRE",IF(H699&lt;&gt;"OUI","⚠ ENROBÉ AVANT ACCEPTATION RT","ENROBÉ"))))</f>
        <v>NON SOUDÉ</v>
      </c>
      <c r="O699" s="79"/>
    </row>
    <row r="700" customFormat="false" ht="15" hidden="false" customHeight="false" outlineLevel="0" collapsed="false">
      <c r="A700" s="78" t="n">
        <f aca="false">IF('CARNET DE SOUDURE'!E700="","",'CARNET DE SOUDURE'!A700)</f>
        <v>694</v>
      </c>
      <c r="B700" s="93" t="str">
        <f aca="false">IF('CARNET DE SOUDURE'!E700="","",'CARNET DE SOUDURE'!B700&amp;"")</f>
        <v>ISB-304</v>
      </c>
      <c r="C700" s="83" t="str">
        <f aca="false">IF('CARNET DE SOUDURE'!E700="","",'CARNET DE SOUDURE'!E700)</f>
        <v>JN°089</v>
      </c>
      <c r="D700" s="78" t="str">
        <f aca="false">IF('CARNET DE SOUDURE'!E700="","",'CARNET DE SOUDURE'!D700&amp;"")</f>
        <v/>
      </c>
      <c r="E700" s="96" t="str">
        <f aca="false">IF(OR('CARNET DE SOUDURE'!E700="",'CARNET DE SOUDURE'!R700=""),"",'CARNET DE SOUDURE'!R700)</f>
        <v/>
      </c>
      <c r="F700" s="81" t="str">
        <f aca="false">IF('CARNET DE SOUDURE'!E700="","",'CARNET DE SOUDURE'!AL700)</f>
        <v/>
      </c>
      <c r="G700" s="81" t="str">
        <f aca="false">IF('CARNET DE SOUDURE'!E700="","",'CARNET DE SOUDURE'!AM700)</f>
        <v>À SOUDER</v>
      </c>
      <c r="H700" s="81" t="str">
        <f aca="false">IF(C700="","",IF(G700="ACCEPTÉ","OUI","NON"))</f>
        <v>NON</v>
      </c>
      <c r="I700" s="82"/>
      <c r="J700" s="79"/>
      <c r="K700" s="80"/>
      <c r="L700" s="80"/>
      <c r="M700" s="80"/>
      <c r="N700" s="83" t="str">
        <f aca="false">IF(C700="","",IF(I700="",IF(H700="OUI","À ENROBER",IF(G700="À SOUDER","NON SOUDÉ","EN ATTENTE RT")),IF(L700="R","À REPRENDRE",IF(H700&lt;&gt;"OUI","⚠ ENROBÉ AVANT ACCEPTATION RT","ENROBÉ"))))</f>
        <v>NON SOUDÉ</v>
      </c>
      <c r="O700" s="79"/>
    </row>
    <row r="701" customFormat="false" ht="15" hidden="false" customHeight="false" outlineLevel="0" collapsed="false">
      <c r="A701" s="78" t="n">
        <f aca="false">IF('CARNET DE SOUDURE'!E701="","",'CARNET DE SOUDURE'!A701)</f>
        <v>695</v>
      </c>
      <c r="B701" s="93" t="str">
        <f aca="false">IF('CARNET DE SOUDURE'!E701="","",'CARNET DE SOUDURE'!B701&amp;"")</f>
        <v>ISB-304</v>
      </c>
      <c r="C701" s="83" t="str">
        <f aca="false">IF('CARNET DE SOUDURE'!E701="","",'CARNET DE SOUDURE'!E701)</f>
        <v>JN°090</v>
      </c>
      <c r="D701" s="78" t="str">
        <f aca="false">IF('CARNET DE SOUDURE'!E701="","",'CARNET DE SOUDURE'!D701&amp;"")</f>
        <v/>
      </c>
      <c r="E701" s="96" t="str">
        <f aca="false">IF(OR('CARNET DE SOUDURE'!E701="",'CARNET DE SOUDURE'!R701=""),"",'CARNET DE SOUDURE'!R701)</f>
        <v/>
      </c>
      <c r="F701" s="81" t="str">
        <f aca="false">IF('CARNET DE SOUDURE'!E701="","",'CARNET DE SOUDURE'!AL701)</f>
        <v/>
      </c>
      <c r="G701" s="81" t="str">
        <f aca="false">IF('CARNET DE SOUDURE'!E701="","",'CARNET DE SOUDURE'!AM701)</f>
        <v>À SOUDER</v>
      </c>
      <c r="H701" s="81" t="str">
        <f aca="false">IF(C701="","",IF(G701="ACCEPTÉ","OUI","NON"))</f>
        <v>NON</v>
      </c>
      <c r="I701" s="82"/>
      <c r="J701" s="79"/>
      <c r="K701" s="80"/>
      <c r="L701" s="80"/>
      <c r="M701" s="80"/>
      <c r="N701" s="83" t="str">
        <f aca="false">IF(C701="","",IF(I701="",IF(H701="OUI","À ENROBER",IF(G701="À SOUDER","NON SOUDÉ","EN ATTENTE RT")),IF(L701="R","À REPRENDRE",IF(H701&lt;&gt;"OUI","⚠ ENROBÉ AVANT ACCEPTATION RT","ENROBÉ"))))</f>
        <v>NON SOUDÉ</v>
      </c>
      <c r="O701" s="79"/>
    </row>
    <row r="702" customFormat="false" ht="15" hidden="false" customHeight="false" outlineLevel="0" collapsed="false">
      <c r="A702" s="78" t="n">
        <f aca="false">IF('CARNET DE SOUDURE'!E702="","",'CARNET DE SOUDURE'!A702)</f>
        <v>696</v>
      </c>
      <c r="B702" s="93" t="str">
        <f aca="false">IF('CARNET DE SOUDURE'!E702="","",'CARNET DE SOUDURE'!B702&amp;"")</f>
        <v>ISB-304</v>
      </c>
      <c r="C702" s="83" t="str">
        <f aca="false">IF('CARNET DE SOUDURE'!E702="","",'CARNET DE SOUDURE'!E702)</f>
        <v>JN°091</v>
      </c>
      <c r="D702" s="78" t="str">
        <f aca="false">IF('CARNET DE SOUDURE'!E702="","",'CARNET DE SOUDURE'!D702&amp;"")</f>
        <v/>
      </c>
      <c r="E702" s="96" t="str">
        <f aca="false">IF(OR('CARNET DE SOUDURE'!E702="",'CARNET DE SOUDURE'!R702=""),"",'CARNET DE SOUDURE'!R702)</f>
        <v/>
      </c>
      <c r="F702" s="81" t="str">
        <f aca="false">IF('CARNET DE SOUDURE'!E702="","",'CARNET DE SOUDURE'!AL702)</f>
        <v/>
      </c>
      <c r="G702" s="81" t="str">
        <f aca="false">IF('CARNET DE SOUDURE'!E702="","",'CARNET DE SOUDURE'!AM702)</f>
        <v>À SOUDER</v>
      </c>
      <c r="H702" s="81" t="str">
        <f aca="false">IF(C702="","",IF(G702="ACCEPTÉ","OUI","NON"))</f>
        <v>NON</v>
      </c>
      <c r="I702" s="82"/>
      <c r="J702" s="79"/>
      <c r="K702" s="80"/>
      <c r="L702" s="80"/>
      <c r="M702" s="80"/>
      <c r="N702" s="83" t="str">
        <f aca="false">IF(C702="","",IF(I702="",IF(H702="OUI","À ENROBER",IF(G702="À SOUDER","NON SOUDÉ","EN ATTENTE RT")),IF(L702="R","À REPRENDRE",IF(H702&lt;&gt;"OUI","⚠ ENROBÉ AVANT ACCEPTATION RT","ENROBÉ"))))</f>
        <v>NON SOUDÉ</v>
      </c>
      <c r="O702" s="79"/>
    </row>
    <row r="703" customFormat="false" ht="15" hidden="false" customHeight="false" outlineLevel="0" collapsed="false">
      <c r="A703" s="78" t="n">
        <f aca="false">IF('CARNET DE SOUDURE'!E703="","",'CARNET DE SOUDURE'!A703)</f>
        <v>697</v>
      </c>
      <c r="B703" s="93" t="str">
        <f aca="false">IF('CARNET DE SOUDURE'!E703="","",'CARNET DE SOUDURE'!B703&amp;"")</f>
        <v>ISB-304</v>
      </c>
      <c r="C703" s="83" t="str">
        <f aca="false">IF('CARNET DE SOUDURE'!E703="","",'CARNET DE SOUDURE'!E703)</f>
        <v>JN°092</v>
      </c>
      <c r="D703" s="78" t="str">
        <f aca="false">IF('CARNET DE SOUDURE'!E703="","",'CARNET DE SOUDURE'!D703&amp;"")</f>
        <v/>
      </c>
      <c r="E703" s="96" t="str">
        <f aca="false">IF(OR('CARNET DE SOUDURE'!E703="",'CARNET DE SOUDURE'!R703=""),"",'CARNET DE SOUDURE'!R703)</f>
        <v/>
      </c>
      <c r="F703" s="81" t="str">
        <f aca="false">IF('CARNET DE SOUDURE'!E703="","",'CARNET DE SOUDURE'!AL703)</f>
        <v/>
      </c>
      <c r="G703" s="81" t="str">
        <f aca="false">IF('CARNET DE SOUDURE'!E703="","",'CARNET DE SOUDURE'!AM703)</f>
        <v>À SOUDER</v>
      </c>
      <c r="H703" s="81" t="str">
        <f aca="false">IF(C703="","",IF(G703="ACCEPTÉ","OUI","NON"))</f>
        <v>NON</v>
      </c>
      <c r="I703" s="82"/>
      <c r="J703" s="79"/>
      <c r="K703" s="80"/>
      <c r="L703" s="80"/>
      <c r="M703" s="80"/>
      <c r="N703" s="83" t="str">
        <f aca="false">IF(C703="","",IF(I703="",IF(H703="OUI","À ENROBER",IF(G703="À SOUDER","NON SOUDÉ","EN ATTENTE RT")),IF(L703="R","À REPRENDRE",IF(H703&lt;&gt;"OUI","⚠ ENROBÉ AVANT ACCEPTATION RT","ENROBÉ"))))</f>
        <v>NON SOUDÉ</v>
      </c>
      <c r="O703" s="79"/>
    </row>
    <row r="704" customFormat="false" ht="15" hidden="false" customHeight="false" outlineLevel="0" collapsed="false">
      <c r="A704" s="78" t="n">
        <f aca="false">IF('CARNET DE SOUDURE'!E704="","",'CARNET DE SOUDURE'!A704)</f>
        <v>698</v>
      </c>
      <c r="B704" s="93" t="str">
        <f aca="false">IF('CARNET DE SOUDURE'!E704="","",'CARNET DE SOUDURE'!B704&amp;"")</f>
        <v>ISB-304</v>
      </c>
      <c r="C704" s="83" t="str">
        <f aca="false">IF('CARNET DE SOUDURE'!E704="","",'CARNET DE SOUDURE'!E704)</f>
        <v>JN°093</v>
      </c>
      <c r="D704" s="78" t="str">
        <f aca="false">IF('CARNET DE SOUDURE'!E704="","",'CARNET DE SOUDURE'!D704&amp;"")</f>
        <v/>
      </c>
      <c r="E704" s="96" t="str">
        <f aca="false">IF(OR('CARNET DE SOUDURE'!E704="",'CARNET DE SOUDURE'!R704=""),"",'CARNET DE SOUDURE'!R704)</f>
        <v/>
      </c>
      <c r="F704" s="81" t="str">
        <f aca="false">IF('CARNET DE SOUDURE'!E704="","",'CARNET DE SOUDURE'!AL704)</f>
        <v/>
      </c>
      <c r="G704" s="81" t="str">
        <f aca="false">IF('CARNET DE SOUDURE'!E704="","",'CARNET DE SOUDURE'!AM704)</f>
        <v>À SOUDER</v>
      </c>
      <c r="H704" s="81" t="str">
        <f aca="false">IF(C704="","",IF(G704="ACCEPTÉ","OUI","NON"))</f>
        <v>NON</v>
      </c>
      <c r="I704" s="82"/>
      <c r="J704" s="79"/>
      <c r="K704" s="80"/>
      <c r="L704" s="80"/>
      <c r="M704" s="80"/>
      <c r="N704" s="83" t="str">
        <f aca="false">IF(C704="","",IF(I704="",IF(H704="OUI","À ENROBER",IF(G704="À SOUDER","NON SOUDÉ","EN ATTENTE RT")),IF(L704="R","À REPRENDRE",IF(H704&lt;&gt;"OUI","⚠ ENROBÉ AVANT ACCEPTATION RT","ENROBÉ"))))</f>
        <v>NON SOUDÉ</v>
      </c>
      <c r="O704" s="79"/>
    </row>
    <row r="705" customFormat="false" ht="15" hidden="false" customHeight="false" outlineLevel="0" collapsed="false">
      <c r="A705" s="78" t="n">
        <f aca="false">IF('CARNET DE SOUDURE'!E705="","",'CARNET DE SOUDURE'!A705)</f>
        <v>699</v>
      </c>
      <c r="B705" s="93" t="str">
        <f aca="false">IF('CARNET DE SOUDURE'!E705="","",'CARNET DE SOUDURE'!B705&amp;"")</f>
        <v>ISB-304</v>
      </c>
      <c r="C705" s="83" t="str">
        <f aca="false">IF('CARNET DE SOUDURE'!E705="","",'CARNET DE SOUDURE'!E705)</f>
        <v>JN°094</v>
      </c>
      <c r="D705" s="78" t="str">
        <f aca="false">IF('CARNET DE SOUDURE'!E705="","",'CARNET DE SOUDURE'!D705&amp;"")</f>
        <v/>
      </c>
      <c r="E705" s="96" t="str">
        <f aca="false">IF(OR('CARNET DE SOUDURE'!E705="",'CARNET DE SOUDURE'!R705=""),"",'CARNET DE SOUDURE'!R705)</f>
        <v/>
      </c>
      <c r="F705" s="81" t="str">
        <f aca="false">IF('CARNET DE SOUDURE'!E705="","",'CARNET DE SOUDURE'!AL705)</f>
        <v/>
      </c>
      <c r="G705" s="81" t="str">
        <f aca="false">IF('CARNET DE SOUDURE'!E705="","",'CARNET DE SOUDURE'!AM705)</f>
        <v>À SOUDER</v>
      </c>
      <c r="H705" s="81" t="str">
        <f aca="false">IF(C705="","",IF(G705="ACCEPTÉ","OUI","NON"))</f>
        <v>NON</v>
      </c>
      <c r="I705" s="82"/>
      <c r="J705" s="79"/>
      <c r="K705" s="80"/>
      <c r="L705" s="80"/>
      <c r="M705" s="80"/>
      <c r="N705" s="83" t="str">
        <f aca="false">IF(C705="","",IF(I705="",IF(H705="OUI","À ENROBER",IF(G705="À SOUDER","NON SOUDÉ","EN ATTENTE RT")),IF(L705="R","À REPRENDRE",IF(H705&lt;&gt;"OUI","⚠ ENROBÉ AVANT ACCEPTATION RT","ENROBÉ"))))</f>
        <v>NON SOUDÉ</v>
      </c>
      <c r="O705" s="79"/>
    </row>
    <row r="706" customFormat="false" ht="15" hidden="false" customHeight="false" outlineLevel="0" collapsed="false">
      <c r="A706" s="78" t="n">
        <f aca="false">IF('CARNET DE SOUDURE'!E706="","",'CARNET DE SOUDURE'!A706)</f>
        <v>700</v>
      </c>
      <c r="B706" s="93" t="str">
        <f aca="false">IF('CARNET DE SOUDURE'!E706="","",'CARNET DE SOUDURE'!B706&amp;"")</f>
        <v>ISB-304</v>
      </c>
      <c r="C706" s="83" t="str">
        <f aca="false">IF('CARNET DE SOUDURE'!E706="","",'CARNET DE SOUDURE'!E706)</f>
        <v>JN°095</v>
      </c>
      <c r="D706" s="78" t="str">
        <f aca="false">IF('CARNET DE SOUDURE'!E706="","",'CARNET DE SOUDURE'!D706&amp;"")</f>
        <v/>
      </c>
      <c r="E706" s="96" t="str">
        <f aca="false">IF(OR('CARNET DE SOUDURE'!E706="",'CARNET DE SOUDURE'!R706=""),"",'CARNET DE SOUDURE'!R706)</f>
        <v/>
      </c>
      <c r="F706" s="81" t="str">
        <f aca="false">IF('CARNET DE SOUDURE'!E706="","",'CARNET DE SOUDURE'!AL706)</f>
        <v/>
      </c>
      <c r="G706" s="81" t="str">
        <f aca="false">IF('CARNET DE SOUDURE'!E706="","",'CARNET DE SOUDURE'!AM706)</f>
        <v>À SOUDER</v>
      </c>
      <c r="H706" s="81" t="str">
        <f aca="false">IF(C706="","",IF(G706="ACCEPTÉ","OUI","NON"))</f>
        <v>NON</v>
      </c>
      <c r="I706" s="82"/>
      <c r="J706" s="79"/>
      <c r="K706" s="80"/>
      <c r="L706" s="80"/>
      <c r="M706" s="80"/>
      <c r="N706" s="83" t="str">
        <f aca="false">IF(C706="","",IF(I706="",IF(H706="OUI","À ENROBER",IF(G706="À SOUDER","NON SOUDÉ","EN ATTENTE RT")),IF(L706="R","À REPRENDRE",IF(H706&lt;&gt;"OUI","⚠ ENROBÉ AVANT ACCEPTATION RT","ENROBÉ"))))</f>
        <v>NON SOUDÉ</v>
      </c>
      <c r="O706" s="79"/>
    </row>
    <row r="707" customFormat="false" ht="15" hidden="false" customHeight="false" outlineLevel="0" collapsed="false">
      <c r="A707" s="78" t="n">
        <f aca="false">IF('CARNET DE SOUDURE'!E707="","",'CARNET DE SOUDURE'!A707)</f>
        <v>701</v>
      </c>
      <c r="B707" s="93" t="str">
        <f aca="false">IF('CARNET DE SOUDURE'!E707="","",'CARNET DE SOUDURE'!B707&amp;"")</f>
        <v>ISB-304</v>
      </c>
      <c r="C707" s="83" t="str">
        <f aca="false">IF('CARNET DE SOUDURE'!E707="","",'CARNET DE SOUDURE'!E707)</f>
        <v>JN°096</v>
      </c>
      <c r="D707" s="78" t="str">
        <f aca="false">IF('CARNET DE SOUDURE'!E707="","",'CARNET DE SOUDURE'!D707&amp;"")</f>
        <v/>
      </c>
      <c r="E707" s="96" t="str">
        <f aca="false">IF(OR('CARNET DE SOUDURE'!E707="",'CARNET DE SOUDURE'!R707=""),"",'CARNET DE SOUDURE'!R707)</f>
        <v/>
      </c>
      <c r="F707" s="81" t="str">
        <f aca="false">IF('CARNET DE SOUDURE'!E707="","",'CARNET DE SOUDURE'!AL707)</f>
        <v/>
      </c>
      <c r="G707" s="81" t="str">
        <f aca="false">IF('CARNET DE SOUDURE'!E707="","",'CARNET DE SOUDURE'!AM707)</f>
        <v>À SOUDER</v>
      </c>
      <c r="H707" s="81" t="str">
        <f aca="false">IF(C707="","",IF(G707="ACCEPTÉ","OUI","NON"))</f>
        <v>NON</v>
      </c>
      <c r="I707" s="82"/>
      <c r="J707" s="79"/>
      <c r="K707" s="80"/>
      <c r="L707" s="80"/>
      <c r="M707" s="80"/>
      <c r="N707" s="83" t="str">
        <f aca="false">IF(C707="","",IF(I707="",IF(H707="OUI","À ENROBER",IF(G707="À SOUDER","NON SOUDÉ","EN ATTENTE RT")),IF(L707="R","À REPRENDRE",IF(H707&lt;&gt;"OUI","⚠ ENROBÉ AVANT ACCEPTATION RT","ENROBÉ"))))</f>
        <v>NON SOUDÉ</v>
      </c>
      <c r="O707" s="79"/>
    </row>
    <row r="708" customFormat="false" ht="15" hidden="false" customHeight="false" outlineLevel="0" collapsed="false">
      <c r="A708" s="78" t="n">
        <f aca="false">IF('CARNET DE SOUDURE'!E708="","",'CARNET DE SOUDURE'!A708)</f>
        <v>702</v>
      </c>
      <c r="B708" s="93" t="str">
        <f aca="false">IF('CARNET DE SOUDURE'!E708="","",'CARNET DE SOUDURE'!B708&amp;"")</f>
        <v>ISB-304</v>
      </c>
      <c r="C708" s="83" t="str">
        <f aca="false">IF('CARNET DE SOUDURE'!E708="","",'CARNET DE SOUDURE'!E708)</f>
        <v>JN°097</v>
      </c>
      <c r="D708" s="78" t="str">
        <f aca="false">IF('CARNET DE SOUDURE'!E708="","",'CARNET DE SOUDURE'!D708&amp;"")</f>
        <v/>
      </c>
      <c r="E708" s="96" t="str">
        <f aca="false">IF(OR('CARNET DE SOUDURE'!E708="",'CARNET DE SOUDURE'!R708=""),"",'CARNET DE SOUDURE'!R708)</f>
        <v/>
      </c>
      <c r="F708" s="81" t="str">
        <f aca="false">IF('CARNET DE SOUDURE'!E708="","",'CARNET DE SOUDURE'!AL708)</f>
        <v/>
      </c>
      <c r="G708" s="81" t="str">
        <f aca="false">IF('CARNET DE SOUDURE'!E708="","",'CARNET DE SOUDURE'!AM708)</f>
        <v>À SOUDER</v>
      </c>
      <c r="H708" s="81" t="str">
        <f aca="false">IF(C708="","",IF(G708="ACCEPTÉ","OUI","NON"))</f>
        <v>NON</v>
      </c>
      <c r="I708" s="82"/>
      <c r="J708" s="79"/>
      <c r="K708" s="80"/>
      <c r="L708" s="80"/>
      <c r="M708" s="80"/>
      <c r="N708" s="83" t="str">
        <f aca="false">IF(C708="","",IF(I708="",IF(H708="OUI","À ENROBER",IF(G708="À SOUDER","NON SOUDÉ","EN ATTENTE RT")),IF(L708="R","À REPRENDRE",IF(H708&lt;&gt;"OUI","⚠ ENROBÉ AVANT ACCEPTATION RT","ENROBÉ"))))</f>
        <v>NON SOUDÉ</v>
      </c>
      <c r="O708" s="79"/>
    </row>
    <row r="709" customFormat="false" ht="15" hidden="false" customHeight="false" outlineLevel="0" collapsed="false">
      <c r="A709" s="78" t="n">
        <f aca="false">IF('CARNET DE SOUDURE'!E709="","",'CARNET DE SOUDURE'!A709)</f>
        <v>703</v>
      </c>
      <c r="B709" s="93" t="str">
        <f aca="false">IF('CARNET DE SOUDURE'!E709="","",'CARNET DE SOUDURE'!B709&amp;"")</f>
        <v>ISB-304</v>
      </c>
      <c r="C709" s="83" t="str">
        <f aca="false">IF('CARNET DE SOUDURE'!E709="","",'CARNET DE SOUDURE'!E709)</f>
        <v>JN°098</v>
      </c>
      <c r="D709" s="78" t="str">
        <f aca="false">IF('CARNET DE SOUDURE'!E709="","",'CARNET DE SOUDURE'!D709&amp;"")</f>
        <v/>
      </c>
      <c r="E709" s="96" t="str">
        <f aca="false">IF(OR('CARNET DE SOUDURE'!E709="",'CARNET DE SOUDURE'!R709=""),"",'CARNET DE SOUDURE'!R709)</f>
        <v/>
      </c>
      <c r="F709" s="81" t="str">
        <f aca="false">IF('CARNET DE SOUDURE'!E709="","",'CARNET DE SOUDURE'!AL709)</f>
        <v/>
      </c>
      <c r="G709" s="81" t="str">
        <f aca="false">IF('CARNET DE SOUDURE'!E709="","",'CARNET DE SOUDURE'!AM709)</f>
        <v>À SOUDER</v>
      </c>
      <c r="H709" s="81" t="str">
        <f aca="false">IF(C709="","",IF(G709="ACCEPTÉ","OUI","NON"))</f>
        <v>NON</v>
      </c>
      <c r="I709" s="82"/>
      <c r="J709" s="79"/>
      <c r="K709" s="80"/>
      <c r="L709" s="80"/>
      <c r="M709" s="80"/>
      <c r="N709" s="83" t="str">
        <f aca="false">IF(C709="","",IF(I709="",IF(H709="OUI","À ENROBER",IF(G709="À SOUDER","NON SOUDÉ","EN ATTENTE RT")),IF(L709="R","À REPRENDRE",IF(H709&lt;&gt;"OUI","⚠ ENROBÉ AVANT ACCEPTATION RT","ENROBÉ"))))</f>
        <v>NON SOUDÉ</v>
      </c>
      <c r="O709" s="79"/>
    </row>
    <row r="710" customFormat="false" ht="15" hidden="false" customHeight="false" outlineLevel="0" collapsed="false">
      <c r="A710" s="78" t="n">
        <f aca="false">IF('CARNET DE SOUDURE'!E710="","",'CARNET DE SOUDURE'!A710)</f>
        <v>704</v>
      </c>
      <c r="B710" s="93" t="str">
        <f aca="false">IF('CARNET DE SOUDURE'!E710="","",'CARNET DE SOUDURE'!B710&amp;"")</f>
        <v>ISB-304</v>
      </c>
      <c r="C710" s="83" t="str">
        <f aca="false">IF('CARNET DE SOUDURE'!E710="","",'CARNET DE SOUDURE'!E710)</f>
        <v>JN°099</v>
      </c>
      <c r="D710" s="78" t="str">
        <f aca="false">IF('CARNET DE SOUDURE'!E710="","",'CARNET DE SOUDURE'!D710&amp;"")</f>
        <v/>
      </c>
      <c r="E710" s="96" t="str">
        <f aca="false">IF(OR('CARNET DE SOUDURE'!E710="",'CARNET DE SOUDURE'!R710=""),"",'CARNET DE SOUDURE'!R710)</f>
        <v/>
      </c>
      <c r="F710" s="81" t="str">
        <f aca="false">IF('CARNET DE SOUDURE'!E710="","",'CARNET DE SOUDURE'!AL710)</f>
        <v/>
      </c>
      <c r="G710" s="81" t="str">
        <f aca="false">IF('CARNET DE SOUDURE'!E710="","",'CARNET DE SOUDURE'!AM710)</f>
        <v>À SOUDER</v>
      </c>
      <c r="H710" s="81" t="str">
        <f aca="false">IF(C710="","",IF(G710="ACCEPTÉ","OUI","NON"))</f>
        <v>NON</v>
      </c>
      <c r="I710" s="82"/>
      <c r="J710" s="79"/>
      <c r="K710" s="80"/>
      <c r="L710" s="80"/>
      <c r="M710" s="80"/>
      <c r="N710" s="83" t="str">
        <f aca="false">IF(C710="","",IF(I710="",IF(H710="OUI","À ENROBER",IF(G710="À SOUDER","NON SOUDÉ","EN ATTENTE RT")),IF(L710="R","À REPRENDRE",IF(H710&lt;&gt;"OUI","⚠ ENROBÉ AVANT ACCEPTATION RT","ENROBÉ"))))</f>
        <v>NON SOUDÉ</v>
      </c>
      <c r="O710" s="79"/>
    </row>
    <row r="711" customFormat="false" ht="15" hidden="false" customHeight="false" outlineLevel="0" collapsed="false">
      <c r="A711" s="78" t="n">
        <f aca="false">IF('CARNET DE SOUDURE'!E711="","",'CARNET DE SOUDURE'!A711)</f>
        <v>705</v>
      </c>
      <c r="B711" s="93" t="str">
        <f aca="false">IF('CARNET DE SOUDURE'!E711="","",'CARNET DE SOUDURE'!B711&amp;"")</f>
        <v>ISB-304</v>
      </c>
      <c r="C711" s="83" t="str">
        <f aca="false">IF('CARNET DE SOUDURE'!E711="","",'CARNET DE SOUDURE'!E711)</f>
        <v>JN°100</v>
      </c>
      <c r="D711" s="78" t="str">
        <f aca="false">IF('CARNET DE SOUDURE'!E711="","",'CARNET DE SOUDURE'!D711&amp;"")</f>
        <v/>
      </c>
      <c r="E711" s="96" t="str">
        <f aca="false">IF(OR('CARNET DE SOUDURE'!E711="",'CARNET DE SOUDURE'!R711=""),"",'CARNET DE SOUDURE'!R711)</f>
        <v/>
      </c>
      <c r="F711" s="81" t="str">
        <f aca="false">IF('CARNET DE SOUDURE'!E711="","",'CARNET DE SOUDURE'!AL711)</f>
        <v/>
      </c>
      <c r="G711" s="81" t="str">
        <f aca="false">IF('CARNET DE SOUDURE'!E711="","",'CARNET DE SOUDURE'!AM711)</f>
        <v>À SOUDER</v>
      </c>
      <c r="H711" s="81" t="str">
        <f aca="false">IF(C711="","",IF(G711="ACCEPTÉ","OUI","NON"))</f>
        <v>NON</v>
      </c>
      <c r="I711" s="82"/>
      <c r="J711" s="79"/>
      <c r="K711" s="80"/>
      <c r="L711" s="80"/>
      <c r="M711" s="80"/>
      <c r="N711" s="83" t="str">
        <f aca="false">IF(C711="","",IF(I711="",IF(H711="OUI","À ENROBER",IF(G711="À SOUDER","NON SOUDÉ","EN ATTENTE RT")),IF(L711="R","À REPRENDRE",IF(H711&lt;&gt;"OUI","⚠ ENROBÉ AVANT ACCEPTATION RT","ENROBÉ"))))</f>
        <v>NON SOUDÉ</v>
      </c>
      <c r="O711" s="79"/>
    </row>
    <row r="712" customFormat="false" ht="15" hidden="false" customHeight="false" outlineLevel="0" collapsed="false">
      <c r="A712" s="78" t="n">
        <f aca="false">IF('CARNET DE SOUDURE'!E712="","",'CARNET DE SOUDURE'!A712)</f>
        <v>706</v>
      </c>
      <c r="B712" s="93" t="str">
        <f aca="false">IF('CARNET DE SOUDURE'!E712="","",'CARNET DE SOUDURE'!B712&amp;"")</f>
        <v>ISB-304</v>
      </c>
      <c r="C712" s="83" t="str">
        <f aca="false">IF('CARNET DE SOUDURE'!E712="","",'CARNET DE SOUDURE'!E712)</f>
        <v>JN°101</v>
      </c>
      <c r="D712" s="78" t="str">
        <f aca="false">IF('CARNET DE SOUDURE'!E712="","",'CARNET DE SOUDURE'!D712&amp;"")</f>
        <v/>
      </c>
      <c r="E712" s="96" t="str">
        <f aca="false">IF(OR('CARNET DE SOUDURE'!E712="",'CARNET DE SOUDURE'!R712=""),"",'CARNET DE SOUDURE'!R712)</f>
        <v/>
      </c>
      <c r="F712" s="81" t="str">
        <f aca="false">IF('CARNET DE SOUDURE'!E712="","",'CARNET DE SOUDURE'!AL712)</f>
        <v/>
      </c>
      <c r="G712" s="81" t="str">
        <f aca="false">IF('CARNET DE SOUDURE'!E712="","",'CARNET DE SOUDURE'!AM712)</f>
        <v>À SOUDER</v>
      </c>
      <c r="H712" s="81" t="str">
        <f aca="false">IF(C712="","",IF(G712="ACCEPTÉ","OUI","NON"))</f>
        <v>NON</v>
      </c>
      <c r="I712" s="82"/>
      <c r="J712" s="79"/>
      <c r="K712" s="80"/>
      <c r="L712" s="80"/>
      <c r="M712" s="80"/>
      <c r="N712" s="83" t="str">
        <f aca="false">IF(C712="","",IF(I712="",IF(H712="OUI","À ENROBER",IF(G712="À SOUDER","NON SOUDÉ","EN ATTENTE RT")),IF(L712="R","À REPRENDRE",IF(H712&lt;&gt;"OUI","⚠ ENROBÉ AVANT ACCEPTATION RT","ENROBÉ"))))</f>
        <v>NON SOUDÉ</v>
      </c>
      <c r="O712" s="79"/>
    </row>
    <row r="713" customFormat="false" ht="15" hidden="false" customHeight="false" outlineLevel="0" collapsed="false">
      <c r="A713" s="78" t="n">
        <f aca="false">IF('CARNET DE SOUDURE'!E713="","",'CARNET DE SOUDURE'!A713)</f>
        <v>707</v>
      </c>
      <c r="B713" s="93" t="str">
        <f aca="false">IF('CARNET DE SOUDURE'!E713="","",'CARNET DE SOUDURE'!B713&amp;"")</f>
        <v>ISB-304</v>
      </c>
      <c r="C713" s="83" t="str">
        <f aca="false">IF('CARNET DE SOUDURE'!E713="","",'CARNET DE SOUDURE'!E713)</f>
        <v>JN°102</v>
      </c>
      <c r="D713" s="78" t="str">
        <f aca="false">IF('CARNET DE SOUDURE'!E713="","",'CARNET DE SOUDURE'!D713&amp;"")</f>
        <v/>
      </c>
      <c r="E713" s="96" t="str">
        <f aca="false">IF(OR('CARNET DE SOUDURE'!E713="",'CARNET DE SOUDURE'!R713=""),"",'CARNET DE SOUDURE'!R713)</f>
        <v/>
      </c>
      <c r="F713" s="81" t="str">
        <f aca="false">IF('CARNET DE SOUDURE'!E713="","",'CARNET DE SOUDURE'!AL713)</f>
        <v/>
      </c>
      <c r="G713" s="81" t="str">
        <f aca="false">IF('CARNET DE SOUDURE'!E713="","",'CARNET DE SOUDURE'!AM713)</f>
        <v>À SOUDER</v>
      </c>
      <c r="H713" s="81" t="str">
        <f aca="false">IF(C713="","",IF(G713="ACCEPTÉ","OUI","NON"))</f>
        <v>NON</v>
      </c>
      <c r="I713" s="82"/>
      <c r="J713" s="79"/>
      <c r="K713" s="80"/>
      <c r="L713" s="80"/>
      <c r="M713" s="80"/>
      <c r="N713" s="83" t="str">
        <f aca="false">IF(C713="","",IF(I713="",IF(H713="OUI","À ENROBER",IF(G713="À SOUDER","NON SOUDÉ","EN ATTENTE RT")),IF(L713="R","À REPRENDRE",IF(H713&lt;&gt;"OUI","⚠ ENROBÉ AVANT ACCEPTATION RT","ENROBÉ"))))</f>
        <v>NON SOUDÉ</v>
      </c>
      <c r="O713" s="79"/>
    </row>
    <row r="714" customFormat="false" ht="15" hidden="false" customHeight="false" outlineLevel="0" collapsed="false">
      <c r="A714" s="78" t="n">
        <f aca="false">IF('CARNET DE SOUDURE'!E714="","",'CARNET DE SOUDURE'!A714)</f>
        <v>708</v>
      </c>
      <c r="B714" s="93" t="str">
        <f aca="false">IF('CARNET DE SOUDURE'!E714="","",'CARNET DE SOUDURE'!B714&amp;"")</f>
        <v>ISB-304</v>
      </c>
      <c r="C714" s="83" t="str">
        <f aca="false">IF('CARNET DE SOUDURE'!E714="","",'CARNET DE SOUDURE'!E714)</f>
        <v>JN°103</v>
      </c>
      <c r="D714" s="78" t="str">
        <f aca="false">IF('CARNET DE SOUDURE'!E714="","",'CARNET DE SOUDURE'!D714&amp;"")</f>
        <v/>
      </c>
      <c r="E714" s="96" t="str">
        <f aca="false">IF(OR('CARNET DE SOUDURE'!E714="",'CARNET DE SOUDURE'!R714=""),"",'CARNET DE SOUDURE'!R714)</f>
        <v/>
      </c>
      <c r="F714" s="81" t="str">
        <f aca="false">IF('CARNET DE SOUDURE'!E714="","",'CARNET DE SOUDURE'!AL714)</f>
        <v/>
      </c>
      <c r="G714" s="81" t="str">
        <f aca="false">IF('CARNET DE SOUDURE'!E714="","",'CARNET DE SOUDURE'!AM714)</f>
        <v>À SOUDER</v>
      </c>
      <c r="H714" s="81" t="str">
        <f aca="false">IF(C714="","",IF(G714="ACCEPTÉ","OUI","NON"))</f>
        <v>NON</v>
      </c>
      <c r="I714" s="82"/>
      <c r="J714" s="79"/>
      <c r="K714" s="80"/>
      <c r="L714" s="80"/>
      <c r="M714" s="80"/>
      <c r="N714" s="83" t="str">
        <f aca="false">IF(C714="","",IF(I714="",IF(H714="OUI","À ENROBER",IF(G714="À SOUDER","NON SOUDÉ","EN ATTENTE RT")),IF(L714="R","À REPRENDRE",IF(H714&lt;&gt;"OUI","⚠ ENROBÉ AVANT ACCEPTATION RT","ENROBÉ"))))</f>
        <v>NON SOUDÉ</v>
      </c>
      <c r="O714" s="79"/>
    </row>
    <row r="715" customFormat="false" ht="15" hidden="false" customHeight="false" outlineLevel="0" collapsed="false">
      <c r="A715" s="78" t="n">
        <f aca="false">IF('CARNET DE SOUDURE'!E715="","",'CARNET DE SOUDURE'!A715)</f>
        <v>709</v>
      </c>
      <c r="B715" s="93" t="str">
        <f aca="false">IF('CARNET DE SOUDURE'!E715="","",'CARNET DE SOUDURE'!B715&amp;"")</f>
        <v>ISB-304</v>
      </c>
      <c r="C715" s="83" t="str">
        <f aca="false">IF('CARNET DE SOUDURE'!E715="","",'CARNET DE SOUDURE'!E715)</f>
        <v>JN°104</v>
      </c>
      <c r="D715" s="78" t="str">
        <f aca="false">IF('CARNET DE SOUDURE'!E715="","",'CARNET DE SOUDURE'!D715&amp;"")</f>
        <v/>
      </c>
      <c r="E715" s="96" t="str">
        <f aca="false">IF(OR('CARNET DE SOUDURE'!E715="",'CARNET DE SOUDURE'!R715=""),"",'CARNET DE SOUDURE'!R715)</f>
        <v/>
      </c>
      <c r="F715" s="81" t="str">
        <f aca="false">IF('CARNET DE SOUDURE'!E715="","",'CARNET DE SOUDURE'!AL715)</f>
        <v/>
      </c>
      <c r="G715" s="81" t="str">
        <f aca="false">IF('CARNET DE SOUDURE'!E715="","",'CARNET DE SOUDURE'!AM715)</f>
        <v>À SOUDER</v>
      </c>
      <c r="H715" s="81" t="str">
        <f aca="false">IF(C715="","",IF(G715="ACCEPTÉ","OUI","NON"))</f>
        <v>NON</v>
      </c>
      <c r="I715" s="82"/>
      <c r="J715" s="79"/>
      <c r="K715" s="80"/>
      <c r="L715" s="80"/>
      <c r="M715" s="80"/>
      <c r="N715" s="83" t="str">
        <f aca="false">IF(C715="","",IF(I715="",IF(H715="OUI","À ENROBER",IF(G715="À SOUDER","NON SOUDÉ","EN ATTENTE RT")),IF(L715="R","À REPRENDRE",IF(H715&lt;&gt;"OUI","⚠ ENROBÉ AVANT ACCEPTATION RT","ENROBÉ"))))</f>
        <v>NON SOUDÉ</v>
      </c>
      <c r="O715" s="79"/>
    </row>
    <row r="716" customFormat="false" ht="15" hidden="false" customHeight="false" outlineLevel="0" collapsed="false">
      <c r="A716" s="78" t="n">
        <f aca="false">IF('CARNET DE SOUDURE'!E716="","",'CARNET DE SOUDURE'!A716)</f>
        <v>710</v>
      </c>
      <c r="B716" s="93" t="str">
        <f aca="false">IF('CARNET DE SOUDURE'!E716="","",'CARNET DE SOUDURE'!B716&amp;"")</f>
        <v>ISB-304</v>
      </c>
      <c r="C716" s="83" t="str">
        <f aca="false">IF('CARNET DE SOUDURE'!E716="","",'CARNET DE SOUDURE'!E716)</f>
        <v>JN°105</v>
      </c>
      <c r="D716" s="78" t="str">
        <f aca="false">IF('CARNET DE SOUDURE'!E716="","",'CARNET DE SOUDURE'!D716&amp;"")</f>
        <v/>
      </c>
      <c r="E716" s="96" t="str">
        <f aca="false">IF(OR('CARNET DE SOUDURE'!E716="",'CARNET DE SOUDURE'!R716=""),"",'CARNET DE SOUDURE'!R716)</f>
        <v/>
      </c>
      <c r="F716" s="81" t="str">
        <f aca="false">IF('CARNET DE SOUDURE'!E716="","",'CARNET DE SOUDURE'!AL716)</f>
        <v/>
      </c>
      <c r="G716" s="81" t="str">
        <f aca="false">IF('CARNET DE SOUDURE'!E716="","",'CARNET DE SOUDURE'!AM716)</f>
        <v>À SOUDER</v>
      </c>
      <c r="H716" s="81" t="str">
        <f aca="false">IF(C716="","",IF(G716="ACCEPTÉ","OUI","NON"))</f>
        <v>NON</v>
      </c>
      <c r="I716" s="82"/>
      <c r="J716" s="79"/>
      <c r="K716" s="80"/>
      <c r="L716" s="80"/>
      <c r="M716" s="80"/>
      <c r="N716" s="83" t="str">
        <f aca="false">IF(C716="","",IF(I716="",IF(H716="OUI","À ENROBER",IF(G716="À SOUDER","NON SOUDÉ","EN ATTENTE RT")),IF(L716="R","À REPRENDRE",IF(H716&lt;&gt;"OUI","⚠ ENROBÉ AVANT ACCEPTATION RT","ENROBÉ"))))</f>
        <v>NON SOUDÉ</v>
      </c>
      <c r="O716" s="79"/>
    </row>
    <row r="717" customFormat="false" ht="15" hidden="false" customHeight="false" outlineLevel="0" collapsed="false">
      <c r="A717" s="78" t="n">
        <f aca="false">IF('CARNET DE SOUDURE'!E717="","",'CARNET DE SOUDURE'!A717)</f>
        <v>711</v>
      </c>
      <c r="B717" s="93" t="str">
        <f aca="false">IF('CARNET DE SOUDURE'!E717="","",'CARNET DE SOUDURE'!B717&amp;"")</f>
        <v>ISB-304</v>
      </c>
      <c r="C717" s="83" t="str">
        <f aca="false">IF('CARNET DE SOUDURE'!E717="","",'CARNET DE SOUDURE'!E717)</f>
        <v>JN°106</v>
      </c>
      <c r="D717" s="78" t="str">
        <f aca="false">IF('CARNET DE SOUDURE'!E717="","",'CARNET DE SOUDURE'!D717&amp;"")</f>
        <v/>
      </c>
      <c r="E717" s="96" t="str">
        <f aca="false">IF(OR('CARNET DE SOUDURE'!E717="",'CARNET DE SOUDURE'!R717=""),"",'CARNET DE SOUDURE'!R717)</f>
        <v/>
      </c>
      <c r="F717" s="81" t="str">
        <f aca="false">IF('CARNET DE SOUDURE'!E717="","",'CARNET DE SOUDURE'!AL717)</f>
        <v/>
      </c>
      <c r="G717" s="81" t="str">
        <f aca="false">IF('CARNET DE SOUDURE'!E717="","",'CARNET DE SOUDURE'!AM717)</f>
        <v>À SOUDER</v>
      </c>
      <c r="H717" s="81" t="str">
        <f aca="false">IF(C717="","",IF(G717="ACCEPTÉ","OUI","NON"))</f>
        <v>NON</v>
      </c>
      <c r="I717" s="82"/>
      <c r="J717" s="79"/>
      <c r="K717" s="80"/>
      <c r="L717" s="80"/>
      <c r="M717" s="80"/>
      <c r="N717" s="83" t="str">
        <f aca="false">IF(C717="","",IF(I717="",IF(H717="OUI","À ENROBER",IF(G717="À SOUDER","NON SOUDÉ","EN ATTENTE RT")),IF(L717="R","À REPRENDRE",IF(H717&lt;&gt;"OUI","⚠ ENROBÉ AVANT ACCEPTATION RT","ENROBÉ"))))</f>
        <v>NON SOUDÉ</v>
      </c>
      <c r="O717" s="79"/>
    </row>
    <row r="718" customFormat="false" ht="15" hidden="false" customHeight="false" outlineLevel="0" collapsed="false">
      <c r="A718" s="78" t="n">
        <f aca="false">IF('CARNET DE SOUDURE'!E718="","",'CARNET DE SOUDURE'!A718)</f>
        <v>712</v>
      </c>
      <c r="B718" s="93" t="str">
        <f aca="false">IF('CARNET DE SOUDURE'!E718="","",'CARNET DE SOUDURE'!B718&amp;"")</f>
        <v>ISB-304</v>
      </c>
      <c r="C718" s="83" t="str">
        <f aca="false">IF('CARNET DE SOUDURE'!E718="","",'CARNET DE SOUDURE'!E718)</f>
        <v>JN°107</v>
      </c>
      <c r="D718" s="78" t="str">
        <f aca="false">IF('CARNET DE SOUDURE'!E718="","",'CARNET DE SOUDURE'!D718&amp;"")</f>
        <v/>
      </c>
      <c r="E718" s="96" t="str">
        <f aca="false">IF(OR('CARNET DE SOUDURE'!E718="",'CARNET DE SOUDURE'!R718=""),"",'CARNET DE SOUDURE'!R718)</f>
        <v/>
      </c>
      <c r="F718" s="81" t="str">
        <f aca="false">IF('CARNET DE SOUDURE'!E718="","",'CARNET DE SOUDURE'!AL718)</f>
        <v/>
      </c>
      <c r="G718" s="81" t="str">
        <f aca="false">IF('CARNET DE SOUDURE'!E718="","",'CARNET DE SOUDURE'!AM718)</f>
        <v>À SOUDER</v>
      </c>
      <c r="H718" s="81" t="str">
        <f aca="false">IF(C718="","",IF(G718="ACCEPTÉ","OUI","NON"))</f>
        <v>NON</v>
      </c>
      <c r="I718" s="82"/>
      <c r="J718" s="79"/>
      <c r="K718" s="80"/>
      <c r="L718" s="80"/>
      <c r="M718" s="80"/>
      <c r="N718" s="83" t="str">
        <f aca="false">IF(C718="","",IF(I718="",IF(H718="OUI","À ENROBER",IF(G718="À SOUDER","NON SOUDÉ","EN ATTENTE RT")),IF(L718="R","À REPRENDRE",IF(H718&lt;&gt;"OUI","⚠ ENROBÉ AVANT ACCEPTATION RT","ENROBÉ"))))</f>
        <v>NON SOUDÉ</v>
      </c>
      <c r="O718" s="79"/>
    </row>
    <row r="719" customFormat="false" ht="15" hidden="false" customHeight="false" outlineLevel="0" collapsed="false">
      <c r="A719" s="78" t="n">
        <f aca="false">IF('CARNET DE SOUDURE'!E719="","",'CARNET DE SOUDURE'!A719)</f>
        <v>713</v>
      </c>
      <c r="B719" s="93" t="str">
        <f aca="false">IF('CARNET DE SOUDURE'!E719="","",'CARNET DE SOUDURE'!B719&amp;"")</f>
        <v>ISB-304</v>
      </c>
      <c r="C719" s="83" t="str">
        <f aca="false">IF('CARNET DE SOUDURE'!E719="","",'CARNET DE SOUDURE'!E719)</f>
        <v>JN°108</v>
      </c>
      <c r="D719" s="78" t="str">
        <f aca="false">IF('CARNET DE SOUDURE'!E719="","",'CARNET DE SOUDURE'!D719&amp;"")</f>
        <v/>
      </c>
      <c r="E719" s="96" t="str">
        <f aca="false">IF(OR('CARNET DE SOUDURE'!E719="",'CARNET DE SOUDURE'!R719=""),"",'CARNET DE SOUDURE'!R719)</f>
        <v/>
      </c>
      <c r="F719" s="81" t="str">
        <f aca="false">IF('CARNET DE SOUDURE'!E719="","",'CARNET DE SOUDURE'!AL719)</f>
        <v/>
      </c>
      <c r="G719" s="81" t="str">
        <f aca="false">IF('CARNET DE SOUDURE'!E719="","",'CARNET DE SOUDURE'!AM719)</f>
        <v>À SOUDER</v>
      </c>
      <c r="H719" s="81" t="str">
        <f aca="false">IF(C719="","",IF(G719="ACCEPTÉ","OUI","NON"))</f>
        <v>NON</v>
      </c>
      <c r="I719" s="82"/>
      <c r="J719" s="79"/>
      <c r="K719" s="80"/>
      <c r="L719" s="80"/>
      <c r="M719" s="80"/>
      <c r="N719" s="83" t="str">
        <f aca="false">IF(C719="","",IF(I719="",IF(H719="OUI","À ENROBER",IF(G719="À SOUDER","NON SOUDÉ","EN ATTENTE RT")),IF(L719="R","À REPRENDRE",IF(H719&lt;&gt;"OUI","⚠ ENROBÉ AVANT ACCEPTATION RT","ENROBÉ"))))</f>
        <v>NON SOUDÉ</v>
      </c>
      <c r="O719" s="79"/>
    </row>
    <row r="720" customFormat="false" ht="15" hidden="false" customHeight="false" outlineLevel="0" collapsed="false">
      <c r="A720" s="78" t="n">
        <f aca="false">IF('CARNET DE SOUDURE'!E720="","",'CARNET DE SOUDURE'!A720)</f>
        <v>714</v>
      </c>
      <c r="B720" s="93" t="str">
        <f aca="false">IF('CARNET DE SOUDURE'!E720="","",'CARNET DE SOUDURE'!B720&amp;"")</f>
        <v>ISB-304</v>
      </c>
      <c r="C720" s="83" t="str">
        <f aca="false">IF('CARNET DE SOUDURE'!E720="","",'CARNET DE SOUDURE'!E720)</f>
        <v>JN°109</v>
      </c>
      <c r="D720" s="78" t="str">
        <f aca="false">IF('CARNET DE SOUDURE'!E720="","",'CARNET DE SOUDURE'!D720&amp;"")</f>
        <v/>
      </c>
      <c r="E720" s="96" t="str">
        <f aca="false">IF(OR('CARNET DE SOUDURE'!E720="",'CARNET DE SOUDURE'!R720=""),"",'CARNET DE SOUDURE'!R720)</f>
        <v/>
      </c>
      <c r="F720" s="81" t="str">
        <f aca="false">IF('CARNET DE SOUDURE'!E720="","",'CARNET DE SOUDURE'!AL720)</f>
        <v/>
      </c>
      <c r="G720" s="81" t="str">
        <f aca="false">IF('CARNET DE SOUDURE'!E720="","",'CARNET DE SOUDURE'!AM720)</f>
        <v>À SOUDER</v>
      </c>
      <c r="H720" s="81" t="str">
        <f aca="false">IF(C720="","",IF(G720="ACCEPTÉ","OUI","NON"))</f>
        <v>NON</v>
      </c>
      <c r="I720" s="82"/>
      <c r="J720" s="79"/>
      <c r="K720" s="80"/>
      <c r="L720" s="80"/>
      <c r="M720" s="80"/>
      <c r="N720" s="83" t="str">
        <f aca="false">IF(C720="","",IF(I720="",IF(H720="OUI","À ENROBER",IF(G720="À SOUDER","NON SOUDÉ","EN ATTENTE RT")),IF(L720="R","À REPRENDRE",IF(H720&lt;&gt;"OUI","⚠ ENROBÉ AVANT ACCEPTATION RT","ENROBÉ"))))</f>
        <v>NON SOUDÉ</v>
      </c>
      <c r="O720" s="79"/>
    </row>
    <row r="721" customFormat="false" ht="15" hidden="false" customHeight="false" outlineLevel="0" collapsed="false">
      <c r="A721" s="78" t="n">
        <f aca="false">IF('CARNET DE SOUDURE'!E721="","",'CARNET DE SOUDURE'!A721)</f>
        <v>715</v>
      </c>
      <c r="B721" s="93" t="str">
        <f aca="false">IF('CARNET DE SOUDURE'!E721="","",'CARNET DE SOUDURE'!B721&amp;"")</f>
        <v>ISB-304</v>
      </c>
      <c r="C721" s="83" t="str">
        <f aca="false">IF('CARNET DE SOUDURE'!E721="","",'CARNET DE SOUDURE'!E721)</f>
        <v>JN°110</v>
      </c>
      <c r="D721" s="78" t="str">
        <f aca="false">IF('CARNET DE SOUDURE'!E721="","",'CARNET DE SOUDURE'!D721&amp;"")</f>
        <v/>
      </c>
      <c r="E721" s="96" t="str">
        <f aca="false">IF(OR('CARNET DE SOUDURE'!E721="",'CARNET DE SOUDURE'!R721=""),"",'CARNET DE SOUDURE'!R721)</f>
        <v/>
      </c>
      <c r="F721" s="81" t="str">
        <f aca="false">IF('CARNET DE SOUDURE'!E721="","",'CARNET DE SOUDURE'!AL721)</f>
        <v/>
      </c>
      <c r="G721" s="81" t="str">
        <f aca="false">IF('CARNET DE SOUDURE'!E721="","",'CARNET DE SOUDURE'!AM721)</f>
        <v>À SOUDER</v>
      </c>
      <c r="H721" s="81" t="str">
        <f aca="false">IF(C721="","",IF(G721="ACCEPTÉ","OUI","NON"))</f>
        <v>NON</v>
      </c>
      <c r="I721" s="82"/>
      <c r="J721" s="79"/>
      <c r="K721" s="80"/>
      <c r="L721" s="80"/>
      <c r="M721" s="80"/>
      <c r="N721" s="83" t="str">
        <f aca="false">IF(C721="","",IF(I721="",IF(H721="OUI","À ENROBER",IF(G721="À SOUDER","NON SOUDÉ","EN ATTENTE RT")),IF(L721="R","À REPRENDRE",IF(H721&lt;&gt;"OUI","⚠ ENROBÉ AVANT ACCEPTATION RT","ENROBÉ"))))</f>
        <v>NON SOUDÉ</v>
      </c>
      <c r="O721" s="79"/>
    </row>
    <row r="722" customFormat="false" ht="15" hidden="false" customHeight="false" outlineLevel="0" collapsed="false">
      <c r="A722" s="78" t="n">
        <f aca="false">IF('CARNET DE SOUDURE'!E722="","",'CARNET DE SOUDURE'!A722)</f>
        <v>716</v>
      </c>
      <c r="B722" s="93" t="str">
        <f aca="false">IF('CARNET DE SOUDURE'!E722="","",'CARNET DE SOUDURE'!B722&amp;"")</f>
        <v>ISB-304</v>
      </c>
      <c r="C722" s="83" t="str">
        <f aca="false">IF('CARNET DE SOUDURE'!E722="","",'CARNET DE SOUDURE'!E722)</f>
        <v>JN°111</v>
      </c>
      <c r="D722" s="78" t="str">
        <f aca="false">IF('CARNET DE SOUDURE'!E722="","",'CARNET DE SOUDURE'!D722&amp;"")</f>
        <v/>
      </c>
      <c r="E722" s="96" t="str">
        <f aca="false">IF(OR('CARNET DE SOUDURE'!E722="",'CARNET DE SOUDURE'!R722=""),"",'CARNET DE SOUDURE'!R722)</f>
        <v/>
      </c>
      <c r="F722" s="81" t="str">
        <f aca="false">IF('CARNET DE SOUDURE'!E722="","",'CARNET DE SOUDURE'!AL722)</f>
        <v/>
      </c>
      <c r="G722" s="81" t="str">
        <f aca="false">IF('CARNET DE SOUDURE'!E722="","",'CARNET DE SOUDURE'!AM722)</f>
        <v>À SOUDER</v>
      </c>
      <c r="H722" s="81" t="str">
        <f aca="false">IF(C722="","",IF(G722="ACCEPTÉ","OUI","NON"))</f>
        <v>NON</v>
      </c>
      <c r="I722" s="82"/>
      <c r="J722" s="79"/>
      <c r="K722" s="80"/>
      <c r="L722" s="80"/>
      <c r="M722" s="80"/>
      <c r="N722" s="83" t="str">
        <f aca="false">IF(C722="","",IF(I722="",IF(H722="OUI","À ENROBER",IF(G722="À SOUDER","NON SOUDÉ","EN ATTENTE RT")),IF(L722="R","À REPRENDRE",IF(H722&lt;&gt;"OUI","⚠ ENROBÉ AVANT ACCEPTATION RT","ENROBÉ"))))</f>
        <v>NON SOUDÉ</v>
      </c>
      <c r="O722" s="79"/>
    </row>
    <row r="723" customFormat="false" ht="15" hidden="false" customHeight="false" outlineLevel="0" collapsed="false">
      <c r="A723" s="78" t="n">
        <f aca="false">IF('CARNET DE SOUDURE'!E723="","",'CARNET DE SOUDURE'!A723)</f>
        <v>717</v>
      </c>
      <c r="B723" s="93" t="str">
        <f aca="false">IF('CARNET DE SOUDURE'!E723="","",'CARNET DE SOUDURE'!B723&amp;"")</f>
        <v>ISB-304</v>
      </c>
      <c r="C723" s="83" t="str">
        <f aca="false">IF('CARNET DE SOUDURE'!E723="","",'CARNET DE SOUDURE'!E723)</f>
        <v>JN°112</v>
      </c>
      <c r="D723" s="78" t="str">
        <f aca="false">IF('CARNET DE SOUDURE'!E723="","",'CARNET DE SOUDURE'!D723&amp;"")</f>
        <v/>
      </c>
      <c r="E723" s="96" t="str">
        <f aca="false">IF(OR('CARNET DE SOUDURE'!E723="",'CARNET DE SOUDURE'!R723=""),"",'CARNET DE SOUDURE'!R723)</f>
        <v/>
      </c>
      <c r="F723" s="81" t="str">
        <f aca="false">IF('CARNET DE SOUDURE'!E723="","",'CARNET DE SOUDURE'!AL723)</f>
        <v/>
      </c>
      <c r="G723" s="81" t="str">
        <f aca="false">IF('CARNET DE SOUDURE'!E723="","",'CARNET DE SOUDURE'!AM723)</f>
        <v>À SOUDER</v>
      </c>
      <c r="H723" s="81" t="str">
        <f aca="false">IF(C723="","",IF(G723="ACCEPTÉ","OUI","NON"))</f>
        <v>NON</v>
      </c>
      <c r="I723" s="82"/>
      <c r="J723" s="79"/>
      <c r="K723" s="80"/>
      <c r="L723" s="80"/>
      <c r="M723" s="80"/>
      <c r="N723" s="83" t="str">
        <f aca="false">IF(C723="","",IF(I723="",IF(H723="OUI","À ENROBER",IF(G723="À SOUDER","NON SOUDÉ","EN ATTENTE RT")),IF(L723="R","À REPRENDRE",IF(H723&lt;&gt;"OUI","⚠ ENROBÉ AVANT ACCEPTATION RT","ENROBÉ"))))</f>
        <v>NON SOUDÉ</v>
      </c>
      <c r="O723" s="79"/>
    </row>
    <row r="724" customFormat="false" ht="15" hidden="false" customHeight="false" outlineLevel="0" collapsed="false">
      <c r="A724" s="78" t="n">
        <f aca="false">IF('CARNET DE SOUDURE'!E724="","",'CARNET DE SOUDURE'!A724)</f>
        <v>718</v>
      </c>
      <c r="B724" s="93" t="str">
        <f aca="false">IF('CARNET DE SOUDURE'!E724="","",'CARNET DE SOUDURE'!B724&amp;"")</f>
        <v>ISB-304</v>
      </c>
      <c r="C724" s="83" t="str">
        <f aca="false">IF('CARNET DE SOUDURE'!E724="","",'CARNET DE SOUDURE'!E724)</f>
        <v>JN°113</v>
      </c>
      <c r="D724" s="78" t="str">
        <f aca="false">IF('CARNET DE SOUDURE'!E724="","",'CARNET DE SOUDURE'!D724&amp;"")</f>
        <v/>
      </c>
      <c r="E724" s="96" t="str">
        <f aca="false">IF(OR('CARNET DE SOUDURE'!E724="",'CARNET DE SOUDURE'!R724=""),"",'CARNET DE SOUDURE'!R724)</f>
        <v/>
      </c>
      <c r="F724" s="81" t="str">
        <f aca="false">IF('CARNET DE SOUDURE'!E724="","",'CARNET DE SOUDURE'!AL724)</f>
        <v/>
      </c>
      <c r="G724" s="81" t="str">
        <f aca="false">IF('CARNET DE SOUDURE'!E724="","",'CARNET DE SOUDURE'!AM724)</f>
        <v>À SOUDER</v>
      </c>
      <c r="H724" s="81" t="str">
        <f aca="false">IF(C724="","",IF(G724="ACCEPTÉ","OUI","NON"))</f>
        <v>NON</v>
      </c>
      <c r="I724" s="82"/>
      <c r="J724" s="79"/>
      <c r="K724" s="80"/>
      <c r="L724" s="80"/>
      <c r="M724" s="80"/>
      <c r="N724" s="83" t="str">
        <f aca="false">IF(C724="","",IF(I724="",IF(H724="OUI","À ENROBER",IF(G724="À SOUDER","NON SOUDÉ","EN ATTENTE RT")),IF(L724="R","À REPRENDRE",IF(H724&lt;&gt;"OUI","⚠ ENROBÉ AVANT ACCEPTATION RT","ENROBÉ"))))</f>
        <v>NON SOUDÉ</v>
      </c>
      <c r="O724" s="79"/>
    </row>
    <row r="725" customFormat="false" ht="15" hidden="false" customHeight="false" outlineLevel="0" collapsed="false">
      <c r="A725" s="78" t="n">
        <f aca="false">IF('CARNET DE SOUDURE'!E725="","",'CARNET DE SOUDURE'!A725)</f>
        <v>719</v>
      </c>
      <c r="B725" s="93" t="str">
        <f aca="false">IF('CARNET DE SOUDURE'!E725="","",'CARNET DE SOUDURE'!B725&amp;"")</f>
        <v>ISB-304</v>
      </c>
      <c r="C725" s="83" t="str">
        <f aca="false">IF('CARNET DE SOUDURE'!E725="","",'CARNET DE SOUDURE'!E725)</f>
        <v>JN°114</v>
      </c>
      <c r="D725" s="78" t="str">
        <f aca="false">IF('CARNET DE SOUDURE'!E725="","",'CARNET DE SOUDURE'!D725&amp;"")</f>
        <v/>
      </c>
      <c r="E725" s="96" t="str">
        <f aca="false">IF(OR('CARNET DE SOUDURE'!E725="",'CARNET DE SOUDURE'!R725=""),"",'CARNET DE SOUDURE'!R725)</f>
        <v/>
      </c>
      <c r="F725" s="81" t="str">
        <f aca="false">IF('CARNET DE SOUDURE'!E725="","",'CARNET DE SOUDURE'!AL725)</f>
        <v/>
      </c>
      <c r="G725" s="81" t="str">
        <f aca="false">IF('CARNET DE SOUDURE'!E725="","",'CARNET DE SOUDURE'!AM725)</f>
        <v>À SOUDER</v>
      </c>
      <c r="H725" s="81" t="str">
        <f aca="false">IF(C725="","",IF(G725="ACCEPTÉ","OUI","NON"))</f>
        <v>NON</v>
      </c>
      <c r="I725" s="82"/>
      <c r="J725" s="79"/>
      <c r="K725" s="80"/>
      <c r="L725" s="80"/>
      <c r="M725" s="80"/>
      <c r="N725" s="83" t="str">
        <f aca="false">IF(C725="","",IF(I725="",IF(H725="OUI","À ENROBER",IF(G725="À SOUDER","NON SOUDÉ","EN ATTENTE RT")),IF(L725="R","À REPRENDRE",IF(H725&lt;&gt;"OUI","⚠ ENROBÉ AVANT ACCEPTATION RT","ENROBÉ"))))</f>
        <v>NON SOUDÉ</v>
      </c>
      <c r="O725" s="79"/>
    </row>
    <row r="726" customFormat="false" ht="15" hidden="false" customHeight="false" outlineLevel="0" collapsed="false">
      <c r="A726" s="78" t="n">
        <f aca="false">IF('CARNET DE SOUDURE'!E726="","",'CARNET DE SOUDURE'!A726)</f>
        <v>720</v>
      </c>
      <c r="B726" s="93" t="str">
        <f aca="false">IF('CARNET DE SOUDURE'!E726="","",'CARNET DE SOUDURE'!B726&amp;"")</f>
        <v>ISB-304</v>
      </c>
      <c r="C726" s="83" t="str">
        <f aca="false">IF('CARNET DE SOUDURE'!E726="","",'CARNET DE SOUDURE'!E726)</f>
        <v>JN°115</v>
      </c>
      <c r="D726" s="78" t="str">
        <f aca="false">IF('CARNET DE SOUDURE'!E726="","",'CARNET DE SOUDURE'!D726&amp;"")</f>
        <v/>
      </c>
      <c r="E726" s="96" t="str">
        <f aca="false">IF(OR('CARNET DE SOUDURE'!E726="",'CARNET DE SOUDURE'!R726=""),"",'CARNET DE SOUDURE'!R726)</f>
        <v/>
      </c>
      <c r="F726" s="81" t="str">
        <f aca="false">IF('CARNET DE SOUDURE'!E726="","",'CARNET DE SOUDURE'!AL726)</f>
        <v/>
      </c>
      <c r="G726" s="81" t="str">
        <f aca="false">IF('CARNET DE SOUDURE'!E726="","",'CARNET DE SOUDURE'!AM726)</f>
        <v>À SOUDER</v>
      </c>
      <c r="H726" s="81" t="str">
        <f aca="false">IF(C726="","",IF(G726="ACCEPTÉ","OUI","NON"))</f>
        <v>NON</v>
      </c>
      <c r="I726" s="82"/>
      <c r="J726" s="79"/>
      <c r="K726" s="80"/>
      <c r="L726" s="80"/>
      <c r="M726" s="80"/>
      <c r="N726" s="83" t="str">
        <f aca="false">IF(C726="","",IF(I726="",IF(H726="OUI","À ENROBER",IF(G726="À SOUDER","NON SOUDÉ","EN ATTENTE RT")),IF(L726="R","À REPRENDRE",IF(H726&lt;&gt;"OUI","⚠ ENROBÉ AVANT ACCEPTATION RT","ENROBÉ"))))</f>
        <v>NON SOUDÉ</v>
      </c>
      <c r="O726" s="79"/>
    </row>
    <row r="727" customFormat="false" ht="15" hidden="false" customHeight="false" outlineLevel="0" collapsed="false">
      <c r="A727" s="78" t="n">
        <f aca="false">IF('CARNET DE SOUDURE'!E727="","",'CARNET DE SOUDURE'!A727)</f>
        <v>721</v>
      </c>
      <c r="B727" s="93" t="str">
        <f aca="false">IF('CARNET DE SOUDURE'!E727="","",'CARNET DE SOUDURE'!B727&amp;"")</f>
        <v>ISB-304</v>
      </c>
      <c r="C727" s="83" t="str">
        <f aca="false">IF('CARNET DE SOUDURE'!E727="","",'CARNET DE SOUDURE'!E727)</f>
        <v>JN°116</v>
      </c>
      <c r="D727" s="78" t="str">
        <f aca="false">IF('CARNET DE SOUDURE'!E727="","",'CARNET DE SOUDURE'!D727&amp;"")</f>
        <v/>
      </c>
      <c r="E727" s="96" t="str">
        <f aca="false">IF(OR('CARNET DE SOUDURE'!E727="",'CARNET DE SOUDURE'!R727=""),"",'CARNET DE SOUDURE'!R727)</f>
        <v/>
      </c>
      <c r="F727" s="81" t="str">
        <f aca="false">IF('CARNET DE SOUDURE'!E727="","",'CARNET DE SOUDURE'!AL727)</f>
        <v/>
      </c>
      <c r="G727" s="81" t="str">
        <f aca="false">IF('CARNET DE SOUDURE'!E727="","",'CARNET DE SOUDURE'!AM727)</f>
        <v>À SOUDER</v>
      </c>
      <c r="H727" s="81" t="str">
        <f aca="false">IF(C727="","",IF(G727="ACCEPTÉ","OUI","NON"))</f>
        <v>NON</v>
      </c>
      <c r="I727" s="82"/>
      <c r="J727" s="79"/>
      <c r="K727" s="80"/>
      <c r="L727" s="80"/>
      <c r="M727" s="80"/>
      <c r="N727" s="83" t="str">
        <f aca="false">IF(C727="","",IF(I727="",IF(H727="OUI","À ENROBER",IF(G727="À SOUDER","NON SOUDÉ","EN ATTENTE RT")),IF(L727="R","À REPRENDRE",IF(H727&lt;&gt;"OUI","⚠ ENROBÉ AVANT ACCEPTATION RT","ENROBÉ"))))</f>
        <v>NON SOUDÉ</v>
      </c>
      <c r="O727" s="79"/>
    </row>
    <row r="728" customFormat="false" ht="15" hidden="false" customHeight="false" outlineLevel="0" collapsed="false">
      <c r="A728" s="78" t="n">
        <f aca="false">IF('CARNET DE SOUDURE'!E728="","",'CARNET DE SOUDURE'!A728)</f>
        <v>722</v>
      </c>
      <c r="B728" s="93" t="str">
        <f aca="false">IF('CARNET DE SOUDURE'!E728="","",'CARNET DE SOUDURE'!B728&amp;"")</f>
        <v>ISB-304</v>
      </c>
      <c r="C728" s="83" t="str">
        <f aca="false">IF('CARNET DE SOUDURE'!E728="","",'CARNET DE SOUDURE'!E728)</f>
        <v>JN°117</v>
      </c>
      <c r="D728" s="78" t="str">
        <f aca="false">IF('CARNET DE SOUDURE'!E728="","",'CARNET DE SOUDURE'!D728&amp;"")</f>
        <v/>
      </c>
      <c r="E728" s="96" t="str">
        <f aca="false">IF(OR('CARNET DE SOUDURE'!E728="",'CARNET DE SOUDURE'!R728=""),"",'CARNET DE SOUDURE'!R728)</f>
        <v/>
      </c>
      <c r="F728" s="81" t="str">
        <f aca="false">IF('CARNET DE SOUDURE'!E728="","",'CARNET DE SOUDURE'!AL728)</f>
        <v/>
      </c>
      <c r="G728" s="81" t="str">
        <f aca="false">IF('CARNET DE SOUDURE'!E728="","",'CARNET DE SOUDURE'!AM728)</f>
        <v>À SOUDER</v>
      </c>
      <c r="H728" s="81" t="str">
        <f aca="false">IF(C728="","",IF(G728="ACCEPTÉ","OUI","NON"))</f>
        <v>NON</v>
      </c>
      <c r="I728" s="82"/>
      <c r="J728" s="79"/>
      <c r="K728" s="80"/>
      <c r="L728" s="80"/>
      <c r="M728" s="80"/>
      <c r="N728" s="83" t="str">
        <f aca="false">IF(C728="","",IF(I728="",IF(H728="OUI","À ENROBER",IF(G728="À SOUDER","NON SOUDÉ","EN ATTENTE RT")),IF(L728="R","À REPRENDRE",IF(H728&lt;&gt;"OUI","⚠ ENROBÉ AVANT ACCEPTATION RT","ENROBÉ"))))</f>
        <v>NON SOUDÉ</v>
      </c>
      <c r="O728" s="79"/>
    </row>
    <row r="729" customFormat="false" ht="15" hidden="false" customHeight="false" outlineLevel="0" collapsed="false">
      <c r="A729" s="78" t="n">
        <f aca="false">IF('CARNET DE SOUDURE'!E729="","",'CARNET DE SOUDURE'!A729)</f>
        <v>723</v>
      </c>
      <c r="B729" s="93" t="str">
        <f aca="false">IF('CARNET DE SOUDURE'!E729="","",'CARNET DE SOUDURE'!B729&amp;"")</f>
        <v>ISB-304</v>
      </c>
      <c r="C729" s="83" t="str">
        <f aca="false">IF('CARNET DE SOUDURE'!E729="","",'CARNET DE SOUDURE'!E729)</f>
        <v>JN°118</v>
      </c>
      <c r="D729" s="78" t="str">
        <f aca="false">IF('CARNET DE SOUDURE'!E729="","",'CARNET DE SOUDURE'!D729&amp;"")</f>
        <v/>
      </c>
      <c r="E729" s="96" t="str">
        <f aca="false">IF(OR('CARNET DE SOUDURE'!E729="",'CARNET DE SOUDURE'!R729=""),"",'CARNET DE SOUDURE'!R729)</f>
        <v/>
      </c>
      <c r="F729" s="81" t="str">
        <f aca="false">IF('CARNET DE SOUDURE'!E729="","",'CARNET DE SOUDURE'!AL729)</f>
        <v/>
      </c>
      <c r="G729" s="81" t="str">
        <f aca="false">IF('CARNET DE SOUDURE'!E729="","",'CARNET DE SOUDURE'!AM729)</f>
        <v>À SOUDER</v>
      </c>
      <c r="H729" s="81" t="str">
        <f aca="false">IF(C729="","",IF(G729="ACCEPTÉ","OUI","NON"))</f>
        <v>NON</v>
      </c>
      <c r="I729" s="82"/>
      <c r="J729" s="79"/>
      <c r="K729" s="80"/>
      <c r="L729" s="80"/>
      <c r="M729" s="80"/>
      <c r="N729" s="83" t="str">
        <f aca="false">IF(C729="","",IF(I729="",IF(H729="OUI","À ENROBER",IF(G729="À SOUDER","NON SOUDÉ","EN ATTENTE RT")),IF(L729="R","À REPRENDRE",IF(H729&lt;&gt;"OUI","⚠ ENROBÉ AVANT ACCEPTATION RT","ENROBÉ"))))</f>
        <v>NON SOUDÉ</v>
      </c>
      <c r="O729" s="79"/>
    </row>
    <row r="730" customFormat="false" ht="15" hidden="false" customHeight="false" outlineLevel="0" collapsed="false">
      <c r="A730" s="78" t="n">
        <f aca="false">IF('CARNET DE SOUDURE'!E730="","",'CARNET DE SOUDURE'!A730)</f>
        <v>724</v>
      </c>
      <c r="B730" s="93" t="str">
        <f aca="false">IF('CARNET DE SOUDURE'!E730="","",'CARNET DE SOUDURE'!B730&amp;"")</f>
        <v>ISB-304</v>
      </c>
      <c r="C730" s="83" t="str">
        <f aca="false">IF('CARNET DE SOUDURE'!E730="","",'CARNET DE SOUDURE'!E730)</f>
        <v>JN°119</v>
      </c>
      <c r="D730" s="78" t="str">
        <f aca="false">IF('CARNET DE SOUDURE'!E730="","",'CARNET DE SOUDURE'!D730&amp;"")</f>
        <v/>
      </c>
      <c r="E730" s="96" t="str">
        <f aca="false">IF(OR('CARNET DE SOUDURE'!E730="",'CARNET DE SOUDURE'!R730=""),"",'CARNET DE SOUDURE'!R730)</f>
        <v/>
      </c>
      <c r="F730" s="81" t="str">
        <f aca="false">IF('CARNET DE SOUDURE'!E730="","",'CARNET DE SOUDURE'!AL730)</f>
        <v/>
      </c>
      <c r="G730" s="81" t="str">
        <f aca="false">IF('CARNET DE SOUDURE'!E730="","",'CARNET DE SOUDURE'!AM730)</f>
        <v>À SOUDER</v>
      </c>
      <c r="H730" s="81" t="str">
        <f aca="false">IF(C730="","",IF(G730="ACCEPTÉ","OUI","NON"))</f>
        <v>NON</v>
      </c>
      <c r="I730" s="82"/>
      <c r="J730" s="79"/>
      <c r="K730" s="80"/>
      <c r="L730" s="80"/>
      <c r="M730" s="80"/>
      <c r="N730" s="83" t="str">
        <f aca="false">IF(C730="","",IF(I730="",IF(H730="OUI","À ENROBER",IF(G730="À SOUDER","NON SOUDÉ","EN ATTENTE RT")),IF(L730="R","À REPRENDRE",IF(H730&lt;&gt;"OUI","⚠ ENROBÉ AVANT ACCEPTATION RT","ENROBÉ"))))</f>
        <v>NON SOUDÉ</v>
      </c>
      <c r="O730" s="79"/>
    </row>
    <row r="731" customFormat="false" ht="15" hidden="false" customHeight="false" outlineLevel="0" collapsed="false">
      <c r="A731" s="78" t="n">
        <f aca="false">IF('CARNET DE SOUDURE'!E731="","",'CARNET DE SOUDURE'!A731)</f>
        <v>725</v>
      </c>
      <c r="B731" s="93" t="str">
        <f aca="false">IF('CARNET DE SOUDURE'!E731="","",'CARNET DE SOUDURE'!B731&amp;"")</f>
        <v>ISB-304</v>
      </c>
      <c r="C731" s="83" t="str">
        <f aca="false">IF('CARNET DE SOUDURE'!E731="","",'CARNET DE SOUDURE'!E731)</f>
        <v>JN°120</v>
      </c>
      <c r="D731" s="78" t="str">
        <f aca="false">IF('CARNET DE SOUDURE'!E731="","",'CARNET DE SOUDURE'!D731&amp;"")</f>
        <v/>
      </c>
      <c r="E731" s="96" t="str">
        <f aca="false">IF(OR('CARNET DE SOUDURE'!E731="",'CARNET DE SOUDURE'!R731=""),"",'CARNET DE SOUDURE'!R731)</f>
        <v/>
      </c>
      <c r="F731" s="81" t="str">
        <f aca="false">IF('CARNET DE SOUDURE'!E731="","",'CARNET DE SOUDURE'!AL731)</f>
        <v/>
      </c>
      <c r="G731" s="81" t="str">
        <f aca="false">IF('CARNET DE SOUDURE'!E731="","",'CARNET DE SOUDURE'!AM731)</f>
        <v>À SOUDER</v>
      </c>
      <c r="H731" s="81" t="str">
        <f aca="false">IF(C731="","",IF(G731="ACCEPTÉ","OUI","NON"))</f>
        <v>NON</v>
      </c>
      <c r="I731" s="82"/>
      <c r="J731" s="79"/>
      <c r="K731" s="80"/>
      <c r="L731" s="80"/>
      <c r="M731" s="80"/>
      <c r="N731" s="83" t="str">
        <f aca="false">IF(C731="","",IF(I731="",IF(H731="OUI","À ENROBER",IF(G731="À SOUDER","NON SOUDÉ","EN ATTENTE RT")),IF(L731="R","À REPRENDRE",IF(H731&lt;&gt;"OUI","⚠ ENROBÉ AVANT ACCEPTATION RT","ENROBÉ"))))</f>
        <v>NON SOUDÉ</v>
      </c>
      <c r="O731" s="79"/>
    </row>
    <row r="732" customFormat="false" ht="15" hidden="false" customHeight="false" outlineLevel="0" collapsed="false">
      <c r="A732" s="78" t="n">
        <f aca="false">IF('CARNET DE SOUDURE'!E732="","",'CARNET DE SOUDURE'!A732)</f>
        <v>726</v>
      </c>
      <c r="B732" s="93" t="str">
        <f aca="false">IF('CARNET DE SOUDURE'!E732="","",'CARNET DE SOUDURE'!B732&amp;"")</f>
        <v>ISB-304</v>
      </c>
      <c r="C732" s="83" t="str">
        <f aca="false">IF('CARNET DE SOUDURE'!E732="","",'CARNET DE SOUDURE'!E732)</f>
        <v>JN°121</v>
      </c>
      <c r="D732" s="78" t="str">
        <f aca="false">IF('CARNET DE SOUDURE'!E732="","",'CARNET DE SOUDURE'!D732&amp;"")</f>
        <v/>
      </c>
      <c r="E732" s="96" t="str">
        <f aca="false">IF(OR('CARNET DE SOUDURE'!E732="",'CARNET DE SOUDURE'!R732=""),"",'CARNET DE SOUDURE'!R732)</f>
        <v/>
      </c>
      <c r="F732" s="81" t="str">
        <f aca="false">IF('CARNET DE SOUDURE'!E732="","",'CARNET DE SOUDURE'!AL732)</f>
        <v/>
      </c>
      <c r="G732" s="81" t="str">
        <f aca="false">IF('CARNET DE SOUDURE'!E732="","",'CARNET DE SOUDURE'!AM732)</f>
        <v>À SOUDER</v>
      </c>
      <c r="H732" s="81" t="str">
        <f aca="false">IF(C732="","",IF(G732="ACCEPTÉ","OUI","NON"))</f>
        <v>NON</v>
      </c>
      <c r="I732" s="82"/>
      <c r="J732" s="79"/>
      <c r="K732" s="80"/>
      <c r="L732" s="80"/>
      <c r="M732" s="80"/>
      <c r="N732" s="83" t="str">
        <f aca="false">IF(C732="","",IF(I732="",IF(H732="OUI","À ENROBER",IF(G732="À SOUDER","NON SOUDÉ","EN ATTENTE RT")),IF(L732="R","À REPRENDRE",IF(H732&lt;&gt;"OUI","⚠ ENROBÉ AVANT ACCEPTATION RT","ENROBÉ"))))</f>
        <v>NON SOUDÉ</v>
      </c>
      <c r="O732" s="79"/>
    </row>
    <row r="733" customFormat="false" ht="15" hidden="false" customHeight="false" outlineLevel="0" collapsed="false">
      <c r="A733" s="78" t="n">
        <f aca="false">IF('CARNET DE SOUDURE'!E733="","",'CARNET DE SOUDURE'!A733)</f>
        <v>727</v>
      </c>
      <c r="B733" s="93" t="str">
        <f aca="false">IF('CARNET DE SOUDURE'!E733="","",'CARNET DE SOUDURE'!B733&amp;"")</f>
        <v>ISB-304</v>
      </c>
      <c r="C733" s="83" t="str">
        <f aca="false">IF('CARNET DE SOUDURE'!E733="","",'CARNET DE SOUDURE'!E733)</f>
        <v>JN°122</v>
      </c>
      <c r="D733" s="78" t="str">
        <f aca="false">IF('CARNET DE SOUDURE'!E733="","",'CARNET DE SOUDURE'!D733&amp;"")</f>
        <v/>
      </c>
      <c r="E733" s="96" t="str">
        <f aca="false">IF(OR('CARNET DE SOUDURE'!E733="",'CARNET DE SOUDURE'!R733=""),"",'CARNET DE SOUDURE'!R733)</f>
        <v/>
      </c>
      <c r="F733" s="81" t="str">
        <f aca="false">IF('CARNET DE SOUDURE'!E733="","",'CARNET DE SOUDURE'!AL733)</f>
        <v/>
      </c>
      <c r="G733" s="81" t="str">
        <f aca="false">IF('CARNET DE SOUDURE'!E733="","",'CARNET DE SOUDURE'!AM733)</f>
        <v>À SOUDER</v>
      </c>
      <c r="H733" s="81" t="str">
        <f aca="false">IF(C733="","",IF(G733="ACCEPTÉ","OUI","NON"))</f>
        <v>NON</v>
      </c>
      <c r="I733" s="82"/>
      <c r="J733" s="79"/>
      <c r="K733" s="80"/>
      <c r="L733" s="80"/>
      <c r="M733" s="80"/>
      <c r="N733" s="83" t="str">
        <f aca="false">IF(C733="","",IF(I733="",IF(H733="OUI","À ENROBER",IF(G733="À SOUDER","NON SOUDÉ","EN ATTENTE RT")),IF(L733="R","À REPRENDRE",IF(H733&lt;&gt;"OUI","⚠ ENROBÉ AVANT ACCEPTATION RT","ENROBÉ"))))</f>
        <v>NON SOUDÉ</v>
      </c>
      <c r="O733" s="79"/>
    </row>
    <row r="734" customFormat="false" ht="15" hidden="false" customHeight="false" outlineLevel="0" collapsed="false">
      <c r="A734" s="78" t="n">
        <f aca="false">IF('CARNET DE SOUDURE'!E734="","",'CARNET DE SOUDURE'!A734)</f>
        <v>728</v>
      </c>
      <c r="B734" s="93" t="str">
        <f aca="false">IF('CARNET DE SOUDURE'!E734="","",'CARNET DE SOUDURE'!B734&amp;"")</f>
        <v>ISB-304</v>
      </c>
      <c r="C734" s="83" t="str">
        <f aca="false">IF('CARNET DE SOUDURE'!E734="","",'CARNET DE SOUDURE'!E734)</f>
        <v>JN°123</v>
      </c>
      <c r="D734" s="78" t="str">
        <f aca="false">IF('CARNET DE SOUDURE'!E734="","",'CARNET DE SOUDURE'!D734&amp;"")</f>
        <v/>
      </c>
      <c r="E734" s="96" t="str">
        <f aca="false">IF(OR('CARNET DE SOUDURE'!E734="",'CARNET DE SOUDURE'!R734=""),"",'CARNET DE SOUDURE'!R734)</f>
        <v/>
      </c>
      <c r="F734" s="81" t="str">
        <f aca="false">IF('CARNET DE SOUDURE'!E734="","",'CARNET DE SOUDURE'!AL734)</f>
        <v/>
      </c>
      <c r="G734" s="81" t="str">
        <f aca="false">IF('CARNET DE SOUDURE'!E734="","",'CARNET DE SOUDURE'!AM734)</f>
        <v>À SOUDER</v>
      </c>
      <c r="H734" s="81" t="str">
        <f aca="false">IF(C734="","",IF(G734="ACCEPTÉ","OUI","NON"))</f>
        <v>NON</v>
      </c>
      <c r="I734" s="82"/>
      <c r="J734" s="79"/>
      <c r="K734" s="80"/>
      <c r="L734" s="80"/>
      <c r="M734" s="80"/>
      <c r="N734" s="83" t="str">
        <f aca="false">IF(C734="","",IF(I734="",IF(H734="OUI","À ENROBER",IF(G734="À SOUDER","NON SOUDÉ","EN ATTENTE RT")),IF(L734="R","À REPRENDRE",IF(H734&lt;&gt;"OUI","⚠ ENROBÉ AVANT ACCEPTATION RT","ENROBÉ"))))</f>
        <v>NON SOUDÉ</v>
      </c>
      <c r="O734" s="79"/>
    </row>
    <row r="735" customFormat="false" ht="15" hidden="false" customHeight="false" outlineLevel="0" collapsed="false">
      <c r="A735" s="78" t="n">
        <f aca="false">IF('CARNET DE SOUDURE'!E735="","",'CARNET DE SOUDURE'!A735)</f>
        <v>729</v>
      </c>
      <c r="B735" s="93" t="str">
        <f aca="false">IF('CARNET DE SOUDURE'!E735="","",'CARNET DE SOUDURE'!B735&amp;"")</f>
        <v>ISB-304</v>
      </c>
      <c r="C735" s="83" t="str">
        <f aca="false">IF('CARNET DE SOUDURE'!E735="","",'CARNET DE SOUDURE'!E735)</f>
        <v>JN°124</v>
      </c>
      <c r="D735" s="78" t="str">
        <f aca="false">IF('CARNET DE SOUDURE'!E735="","",'CARNET DE SOUDURE'!D735&amp;"")</f>
        <v/>
      </c>
      <c r="E735" s="96" t="str">
        <f aca="false">IF(OR('CARNET DE SOUDURE'!E735="",'CARNET DE SOUDURE'!R735=""),"",'CARNET DE SOUDURE'!R735)</f>
        <v/>
      </c>
      <c r="F735" s="81" t="str">
        <f aca="false">IF('CARNET DE SOUDURE'!E735="","",'CARNET DE SOUDURE'!AL735)</f>
        <v/>
      </c>
      <c r="G735" s="81" t="str">
        <f aca="false">IF('CARNET DE SOUDURE'!E735="","",'CARNET DE SOUDURE'!AM735)</f>
        <v>À SOUDER</v>
      </c>
      <c r="H735" s="81" t="str">
        <f aca="false">IF(C735="","",IF(G735="ACCEPTÉ","OUI","NON"))</f>
        <v>NON</v>
      </c>
      <c r="I735" s="82"/>
      <c r="J735" s="79"/>
      <c r="K735" s="80"/>
      <c r="L735" s="80"/>
      <c r="M735" s="80"/>
      <c r="N735" s="83" t="str">
        <f aca="false">IF(C735="","",IF(I735="",IF(H735="OUI","À ENROBER",IF(G735="À SOUDER","NON SOUDÉ","EN ATTENTE RT")),IF(L735="R","À REPRENDRE",IF(H735&lt;&gt;"OUI","⚠ ENROBÉ AVANT ACCEPTATION RT","ENROBÉ"))))</f>
        <v>NON SOUDÉ</v>
      </c>
      <c r="O735" s="79"/>
    </row>
    <row r="736" customFormat="false" ht="15" hidden="false" customHeight="false" outlineLevel="0" collapsed="false">
      <c r="A736" s="78" t="n">
        <f aca="false">IF('CARNET DE SOUDURE'!E736="","",'CARNET DE SOUDURE'!A736)</f>
        <v>730</v>
      </c>
      <c r="B736" s="93" t="str">
        <f aca="false">IF('CARNET DE SOUDURE'!E736="","",'CARNET DE SOUDURE'!B736&amp;"")</f>
        <v>ISB-304</v>
      </c>
      <c r="C736" s="83" t="str">
        <f aca="false">IF('CARNET DE SOUDURE'!E736="","",'CARNET DE SOUDURE'!E736)</f>
        <v>JN°125</v>
      </c>
      <c r="D736" s="78" t="str">
        <f aca="false">IF('CARNET DE SOUDURE'!E736="","",'CARNET DE SOUDURE'!D736&amp;"")</f>
        <v/>
      </c>
      <c r="E736" s="96" t="str">
        <f aca="false">IF(OR('CARNET DE SOUDURE'!E736="",'CARNET DE SOUDURE'!R736=""),"",'CARNET DE SOUDURE'!R736)</f>
        <v/>
      </c>
      <c r="F736" s="81" t="str">
        <f aca="false">IF('CARNET DE SOUDURE'!E736="","",'CARNET DE SOUDURE'!AL736)</f>
        <v/>
      </c>
      <c r="G736" s="81" t="str">
        <f aca="false">IF('CARNET DE SOUDURE'!E736="","",'CARNET DE SOUDURE'!AM736)</f>
        <v>À SOUDER</v>
      </c>
      <c r="H736" s="81" t="str">
        <f aca="false">IF(C736="","",IF(G736="ACCEPTÉ","OUI","NON"))</f>
        <v>NON</v>
      </c>
      <c r="I736" s="82"/>
      <c r="J736" s="79"/>
      <c r="K736" s="80"/>
      <c r="L736" s="80"/>
      <c r="M736" s="80"/>
      <c r="N736" s="83" t="str">
        <f aca="false">IF(C736="","",IF(I736="",IF(H736="OUI","À ENROBER",IF(G736="À SOUDER","NON SOUDÉ","EN ATTENTE RT")),IF(L736="R","À REPRENDRE",IF(H736&lt;&gt;"OUI","⚠ ENROBÉ AVANT ACCEPTATION RT","ENROBÉ"))))</f>
        <v>NON SOUDÉ</v>
      </c>
      <c r="O736" s="79"/>
    </row>
    <row r="737" customFormat="false" ht="15" hidden="false" customHeight="false" outlineLevel="0" collapsed="false">
      <c r="A737" s="78" t="n">
        <f aca="false">IF('CARNET DE SOUDURE'!E737="","",'CARNET DE SOUDURE'!A737)</f>
        <v>731</v>
      </c>
      <c r="B737" s="93" t="str">
        <f aca="false">IF('CARNET DE SOUDURE'!E737="","",'CARNET DE SOUDURE'!B737&amp;"")</f>
        <v>ISB-304</v>
      </c>
      <c r="C737" s="83" t="str">
        <f aca="false">IF('CARNET DE SOUDURE'!E737="","",'CARNET DE SOUDURE'!E737)</f>
        <v>JN°126</v>
      </c>
      <c r="D737" s="78" t="str">
        <f aca="false">IF('CARNET DE SOUDURE'!E737="","",'CARNET DE SOUDURE'!D737&amp;"")</f>
        <v/>
      </c>
      <c r="E737" s="96" t="str">
        <f aca="false">IF(OR('CARNET DE SOUDURE'!E737="",'CARNET DE SOUDURE'!R737=""),"",'CARNET DE SOUDURE'!R737)</f>
        <v/>
      </c>
      <c r="F737" s="81" t="str">
        <f aca="false">IF('CARNET DE SOUDURE'!E737="","",'CARNET DE SOUDURE'!AL737)</f>
        <v/>
      </c>
      <c r="G737" s="81" t="str">
        <f aca="false">IF('CARNET DE SOUDURE'!E737="","",'CARNET DE SOUDURE'!AM737)</f>
        <v>À SOUDER</v>
      </c>
      <c r="H737" s="81" t="str">
        <f aca="false">IF(C737="","",IF(G737="ACCEPTÉ","OUI","NON"))</f>
        <v>NON</v>
      </c>
      <c r="I737" s="82"/>
      <c r="J737" s="79"/>
      <c r="K737" s="80"/>
      <c r="L737" s="80"/>
      <c r="M737" s="80"/>
      <c r="N737" s="83" t="str">
        <f aca="false">IF(C737="","",IF(I737="",IF(H737="OUI","À ENROBER",IF(G737="À SOUDER","NON SOUDÉ","EN ATTENTE RT")),IF(L737="R","À REPRENDRE",IF(H737&lt;&gt;"OUI","⚠ ENROBÉ AVANT ACCEPTATION RT","ENROBÉ"))))</f>
        <v>NON SOUDÉ</v>
      </c>
      <c r="O737" s="79"/>
    </row>
    <row r="738" customFormat="false" ht="15" hidden="false" customHeight="false" outlineLevel="0" collapsed="false">
      <c r="A738" s="78" t="n">
        <f aca="false">IF('CARNET DE SOUDURE'!E738="","",'CARNET DE SOUDURE'!A738)</f>
        <v>732</v>
      </c>
      <c r="B738" s="93" t="str">
        <f aca="false">IF('CARNET DE SOUDURE'!E738="","",'CARNET DE SOUDURE'!B738&amp;"")</f>
        <v>ISB-304</v>
      </c>
      <c r="C738" s="83" t="str">
        <f aca="false">IF('CARNET DE SOUDURE'!E738="","",'CARNET DE SOUDURE'!E738)</f>
        <v>JN°127</v>
      </c>
      <c r="D738" s="78" t="str">
        <f aca="false">IF('CARNET DE SOUDURE'!E738="","",'CARNET DE SOUDURE'!D738&amp;"")</f>
        <v/>
      </c>
      <c r="E738" s="96" t="str">
        <f aca="false">IF(OR('CARNET DE SOUDURE'!E738="",'CARNET DE SOUDURE'!R738=""),"",'CARNET DE SOUDURE'!R738)</f>
        <v/>
      </c>
      <c r="F738" s="81" t="str">
        <f aca="false">IF('CARNET DE SOUDURE'!E738="","",'CARNET DE SOUDURE'!AL738)</f>
        <v/>
      </c>
      <c r="G738" s="81" t="str">
        <f aca="false">IF('CARNET DE SOUDURE'!E738="","",'CARNET DE SOUDURE'!AM738)</f>
        <v>À SOUDER</v>
      </c>
      <c r="H738" s="81" t="str">
        <f aca="false">IF(C738="","",IF(G738="ACCEPTÉ","OUI","NON"))</f>
        <v>NON</v>
      </c>
      <c r="I738" s="82"/>
      <c r="J738" s="79"/>
      <c r="K738" s="80"/>
      <c r="L738" s="80"/>
      <c r="M738" s="80"/>
      <c r="N738" s="83" t="str">
        <f aca="false">IF(C738="","",IF(I738="",IF(H738="OUI","À ENROBER",IF(G738="À SOUDER","NON SOUDÉ","EN ATTENTE RT")),IF(L738="R","À REPRENDRE",IF(H738&lt;&gt;"OUI","⚠ ENROBÉ AVANT ACCEPTATION RT","ENROBÉ"))))</f>
        <v>NON SOUDÉ</v>
      </c>
      <c r="O738" s="79"/>
    </row>
    <row r="739" customFormat="false" ht="15" hidden="false" customHeight="false" outlineLevel="0" collapsed="false">
      <c r="A739" s="78" t="n">
        <f aca="false">IF('CARNET DE SOUDURE'!E739="","",'CARNET DE SOUDURE'!A739)</f>
        <v>733</v>
      </c>
      <c r="B739" s="93" t="str">
        <f aca="false">IF('CARNET DE SOUDURE'!E739="","",'CARNET DE SOUDURE'!B739&amp;"")</f>
        <v>ISB-304</v>
      </c>
      <c r="C739" s="83" t="str">
        <f aca="false">IF('CARNET DE SOUDURE'!E739="","",'CARNET DE SOUDURE'!E739)</f>
        <v>JN°128</v>
      </c>
      <c r="D739" s="78" t="str">
        <f aca="false">IF('CARNET DE SOUDURE'!E739="","",'CARNET DE SOUDURE'!D739&amp;"")</f>
        <v/>
      </c>
      <c r="E739" s="96" t="str">
        <f aca="false">IF(OR('CARNET DE SOUDURE'!E739="",'CARNET DE SOUDURE'!R739=""),"",'CARNET DE SOUDURE'!R739)</f>
        <v/>
      </c>
      <c r="F739" s="81" t="str">
        <f aca="false">IF('CARNET DE SOUDURE'!E739="","",'CARNET DE SOUDURE'!AL739)</f>
        <v/>
      </c>
      <c r="G739" s="81" t="str">
        <f aca="false">IF('CARNET DE SOUDURE'!E739="","",'CARNET DE SOUDURE'!AM739)</f>
        <v>À SOUDER</v>
      </c>
      <c r="H739" s="81" t="str">
        <f aca="false">IF(C739="","",IF(G739="ACCEPTÉ","OUI","NON"))</f>
        <v>NON</v>
      </c>
      <c r="I739" s="82"/>
      <c r="J739" s="79"/>
      <c r="K739" s="80"/>
      <c r="L739" s="80"/>
      <c r="M739" s="80"/>
      <c r="N739" s="83" t="str">
        <f aca="false">IF(C739="","",IF(I739="",IF(H739="OUI","À ENROBER",IF(G739="À SOUDER","NON SOUDÉ","EN ATTENTE RT")),IF(L739="R","À REPRENDRE",IF(H739&lt;&gt;"OUI","⚠ ENROBÉ AVANT ACCEPTATION RT","ENROBÉ"))))</f>
        <v>NON SOUDÉ</v>
      </c>
      <c r="O739" s="79"/>
    </row>
    <row r="740" customFormat="false" ht="15" hidden="false" customHeight="false" outlineLevel="0" collapsed="false">
      <c r="A740" s="78" t="n">
        <f aca="false">IF('CARNET DE SOUDURE'!E740="","",'CARNET DE SOUDURE'!A740)</f>
        <v>734</v>
      </c>
      <c r="B740" s="93" t="str">
        <f aca="false">IF('CARNET DE SOUDURE'!E740="","",'CARNET DE SOUDURE'!B740&amp;"")</f>
        <v>ISB-304</v>
      </c>
      <c r="C740" s="83" t="str">
        <f aca="false">IF('CARNET DE SOUDURE'!E740="","",'CARNET DE SOUDURE'!E740)</f>
        <v>JN°129</v>
      </c>
      <c r="D740" s="78" t="str">
        <f aca="false">IF('CARNET DE SOUDURE'!E740="","",'CARNET DE SOUDURE'!D740&amp;"")</f>
        <v/>
      </c>
      <c r="E740" s="96" t="str">
        <f aca="false">IF(OR('CARNET DE SOUDURE'!E740="",'CARNET DE SOUDURE'!R740=""),"",'CARNET DE SOUDURE'!R740)</f>
        <v/>
      </c>
      <c r="F740" s="81" t="str">
        <f aca="false">IF('CARNET DE SOUDURE'!E740="","",'CARNET DE SOUDURE'!AL740)</f>
        <v/>
      </c>
      <c r="G740" s="81" t="str">
        <f aca="false">IF('CARNET DE SOUDURE'!E740="","",'CARNET DE SOUDURE'!AM740)</f>
        <v>À SOUDER</v>
      </c>
      <c r="H740" s="81" t="str">
        <f aca="false">IF(C740="","",IF(G740="ACCEPTÉ","OUI","NON"))</f>
        <v>NON</v>
      </c>
      <c r="I740" s="82"/>
      <c r="J740" s="79"/>
      <c r="K740" s="80"/>
      <c r="L740" s="80"/>
      <c r="M740" s="80"/>
      <c r="N740" s="83" t="str">
        <f aca="false">IF(C740="","",IF(I740="",IF(H740="OUI","À ENROBER",IF(G740="À SOUDER","NON SOUDÉ","EN ATTENTE RT")),IF(L740="R","À REPRENDRE",IF(H740&lt;&gt;"OUI","⚠ ENROBÉ AVANT ACCEPTATION RT","ENROBÉ"))))</f>
        <v>NON SOUDÉ</v>
      </c>
      <c r="O740" s="79"/>
    </row>
    <row r="741" customFormat="false" ht="15" hidden="false" customHeight="false" outlineLevel="0" collapsed="false">
      <c r="A741" s="78" t="n">
        <f aca="false">IF('CARNET DE SOUDURE'!E741="","",'CARNET DE SOUDURE'!A741)</f>
        <v>735</v>
      </c>
      <c r="B741" s="93" t="str">
        <f aca="false">IF('CARNET DE SOUDURE'!E741="","",'CARNET DE SOUDURE'!B741&amp;"")</f>
        <v>ISB-304</v>
      </c>
      <c r="C741" s="83" t="str">
        <f aca="false">IF('CARNET DE SOUDURE'!E741="","",'CARNET DE SOUDURE'!E741)</f>
        <v>JN°130</v>
      </c>
      <c r="D741" s="78" t="str">
        <f aca="false">IF('CARNET DE SOUDURE'!E741="","",'CARNET DE SOUDURE'!D741&amp;"")</f>
        <v/>
      </c>
      <c r="E741" s="96" t="str">
        <f aca="false">IF(OR('CARNET DE SOUDURE'!E741="",'CARNET DE SOUDURE'!R741=""),"",'CARNET DE SOUDURE'!R741)</f>
        <v/>
      </c>
      <c r="F741" s="81" t="str">
        <f aca="false">IF('CARNET DE SOUDURE'!E741="","",'CARNET DE SOUDURE'!AL741)</f>
        <v/>
      </c>
      <c r="G741" s="81" t="str">
        <f aca="false">IF('CARNET DE SOUDURE'!E741="","",'CARNET DE SOUDURE'!AM741)</f>
        <v>À SOUDER</v>
      </c>
      <c r="H741" s="81" t="str">
        <f aca="false">IF(C741="","",IF(G741="ACCEPTÉ","OUI","NON"))</f>
        <v>NON</v>
      </c>
      <c r="I741" s="82"/>
      <c r="J741" s="79"/>
      <c r="K741" s="80"/>
      <c r="L741" s="80"/>
      <c r="M741" s="80"/>
      <c r="N741" s="83" t="str">
        <f aca="false">IF(C741="","",IF(I741="",IF(H741="OUI","À ENROBER",IF(G741="À SOUDER","NON SOUDÉ","EN ATTENTE RT")),IF(L741="R","À REPRENDRE",IF(H741&lt;&gt;"OUI","⚠ ENROBÉ AVANT ACCEPTATION RT","ENROBÉ"))))</f>
        <v>NON SOUDÉ</v>
      </c>
      <c r="O741" s="79"/>
    </row>
    <row r="742" customFormat="false" ht="15" hidden="false" customHeight="false" outlineLevel="0" collapsed="false">
      <c r="A742" s="78" t="n">
        <f aca="false">IF('CARNET DE SOUDURE'!E742="","",'CARNET DE SOUDURE'!A742)</f>
        <v>736</v>
      </c>
      <c r="B742" s="93" t="str">
        <f aca="false">IF('CARNET DE SOUDURE'!E742="","",'CARNET DE SOUDURE'!B742&amp;"")</f>
        <v>ISB-304</v>
      </c>
      <c r="C742" s="83" t="str">
        <f aca="false">IF('CARNET DE SOUDURE'!E742="","",'CARNET DE SOUDURE'!E742)</f>
        <v>JN°131</v>
      </c>
      <c r="D742" s="78" t="str">
        <f aca="false">IF('CARNET DE SOUDURE'!E742="","",'CARNET DE SOUDURE'!D742&amp;"")</f>
        <v/>
      </c>
      <c r="E742" s="96" t="str">
        <f aca="false">IF(OR('CARNET DE SOUDURE'!E742="",'CARNET DE SOUDURE'!R742=""),"",'CARNET DE SOUDURE'!R742)</f>
        <v/>
      </c>
      <c r="F742" s="81" t="str">
        <f aca="false">IF('CARNET DE SOUDURE'!E742="","",'CARNET DE SOUDURE'!AL742)</f>
        <v/>
      </c>
      <c r="G742" s="81" t="str">
        <f aca="false">IF('CARNET DE SOUDURE'!E742="","",'CARNET DE SOUDURE'!AM742)</f>
        <v>À SOUDER</v>
      </c>
      <c r="H742" s="81" t="str">
        <f aca="false">IF(C742="","",IF(G742="ACCEPTÉ","OUI","NON"))</f>
        <v>NON</v>
      </c>
      <c r="I742" s="82"/>
      <c r="J742" s="79"/>
      <c r="K742" s="80"/>
      <c r="L742" s="80"/>
      <c r="M742" s="80"/>
      <c r="N742" s="83" t="str">
        <f aca="false">IF(C742="","",IF(I742="",IF(H742="OUI","À ENROBER",IF(G742="À SOUDER","NON SOUDÉ","EN ATTENTE RT")),IF(L742="R","À REPRENDRE",IF(H742&lt;&gt;"OUI","⚠ ENROBÉ AVANT ACCEPTATION RT","ENROBÉ"))))</f>
        <v>NON SOUDÉ</v>
      </c>
      <c r="O742" s="79"/>
    </row>
    <row r="743" customFormat="false" ht="15" hidden="false" customHeight="false" outlineLevel="0" collapsed="false">
      <c r="A743" s="78" t="n">
        <f aca="false">IF('CARNET DE SOUDURE'!E743="","",'CARNET DE SOUDURE'!A743)</f>
        <v>737</v>
      </c>
      <c r="B743" s="93" t="str">
        <f aca="false">IF('CARNET DE SOUDURE'!E743="","",'CARNET DE SOUDURE'!B743&amp;"")</f>
        <v>ISB-304</v>
      </c>
      <c r="C743" s="83" t="str">
        <f aca="false">IF('CARNET DE SOUDURE'!E743="","",'CARNET DE SOUDURE'!E743)</f>
        <v>JN°132</v>
      </c>
      <c r="D743" s="78" t="str">
        <f aca="false">IF('CARNET DE SOUDURE'!E743="","",'CARNET DE SOUDURE'!D743&amp;"")</f>
        <v/>
      </c>
      <c r="E743" s="96" t="str">
        <f aca="false">IF(OR('CARNET DE SOUDURE'!E743="",'CARNET DE SOUDURE'!R743=""),"",'CARNET DE SOUDURE'!R743)</f>
        <v/>
      </c>
      <c r="F743" s="81" t="str">
        <f aca="false">IF('CARNET DE SOUDURE'!E743="","",'CARNET DE SOUDURE'!AL743)</f>
        <v/>
      </c>
      <c r="G743" s="81" t="str">
        <f aca="false">IF('CARNET DE SOUDURE'!E743="","",'CARNET DE SOUDURE'!AM743)</f>
        <v>À SOUDER</v>
      </c>
      <c r="H743" s="81" t="str">
        <f aca="false">IF(C743="","",IF(G743="ACCEPTÉ","OUI","NON"))</f>
        <v>NON</v>
      </c>
      <c r="I743" s="82"/>
      <c r="J743" s="79"/>
      <c r="K743" s="80"/>
      <c r="L743" s="80"/>
      <c r="M743" s="80"/>
      <c r="N743" s="83" t="str">
        <f aca="false">IF(C743="","",IF(I743="",IF(H743="OUI","À ENROBER",IF(G743="À SOUDER","NON SOUDÉ","EN ATTENTE RT")),IF(L743="R","À REPRENDRE",IF(H743&lt;&gt;"OUI","⚠ ENROBÉ AVANT ACCEPTATION RT","ENROBÉ"))))</f>
        <v>NON SOUDÉ</v>
      </c>
      <c r="O743" s="79"/>
    </row>
    <row r="744" customFormat="false" ht="15" hidden="false" customHeight="false" outlineLevel="0" collapsed="false">
      <c r="A744" s="78" t="n">
        <f aca="false">IF('CARNET DE SOUDURE'!E744="","",'CARNET DE SOUDURE'!A744)</f>
        <v>738</v>
      </c>
      <c r="B744" s="93" t="str">
        <f aca="false">IF('CARNET DE SOUDURE'!E744="","",'CARNET DE SOUDURE'!B744&amp;"")</f>
        <v>ISB-304</v>
      </c>
      <c r="C744" s="83" t="str">
        <f aca="false">IF('CARNET DE SOUDURE'!E744="","",'CARNET DE SOUDURE'!E744)</f>
        <v>JN°133</v>
      </c>
      <c r="D744" s="78" t="str">
        <f aca="false">IF('CARNET DE SOUDURE'!E744="","",'CARNET DE SOUDURE'!D744&amp;"")</f>
        <v/>
      </c>
      <c r="E744" s="96" t="str">
        <f aca="false">IF(OR('CARNET DE SOUDURE'!E744="",'CARNET DE SOUDURE'!R744=""),"",'CARNET DE SOUDURE'!R744)</f>
        <v/>
      </c>
      <c r="F744" s="81" t="str">
        <f aca="false">IF('CARNET DE SOUDURE'!E744="","",'CARNET DE SOUDURE'!AL744)</f>
        <v/>
      </c>
      <c r="G744" s="81" t="str">
        <f aca="false">IF('CARNET DE SOUDURE'!E744="","",'CARNET DE SOUDURE'!AM744)</f>
        <v>À SOUDER</v>
      </c>
      <c r="H744" s="81" t="str">
        <f aca="false">IF(C744="","",IF(G744="ACCEPTÉ","OUI","NON"))</f>
        <v>NON</v>
      </c>
      <c r="I744" s="82"/>
      <c r="J744" s="79"/>
      <c r="K744" s="80"/>
      <c r="L744" s="80"/>
      <c r="M744" s="80"/>
      <c r="N744" s="83" t="str">
        <f aca="false">IF(C744="","",IF(I744="",IF(H744="OUI","À ENROBER",IF(G744="À SOUDER","NON SOUDÉ","EN ATTENTE RT")),IF(L744="R","À REPRENDRE",IF(H744&lt;&gt;"OUI","⚠ ENROBÉ AVANT ACCEPTATION RT","ENROBÉ"))))</f>
        <v>NON SOUDÉ</v>
      </c>
      <c r="O744" s="79"/>
    </row>
    <row r="745" customFormat="false" ht="15" hidden="false" customHeight="false" outlineLevel="0" collapsed="false">
      <c r="A745" s="78" t="n">
        <f aca="false">IF('CARNET DE SOUDURE'!E745="","",'CARNET DE SOUDURE'!A745)</f>
        <v>739</v>
      </c>
      <c r="B745" s="93" t="str">
        <f aca="false">IF('CARNET DE SOUDURE'!E745="","",'CARNET DE SOUDURE'!B745&amp;"")</f>
        <v>ISB-304</v>
      </c>
      <c r="C745" s="83" t="str">
        <f aca="false">IF('CARNET DE SOUDURE'!E745="","",'CARNET DE SOUDURE'!E745)</f>
        <v>JN°134</v>
      </c>
      <c r="D745" s="78" t="str">
        <f aca="false">IF('CARNET DE SOUDURE'!E745="","",'CARNET DE SOUDURE'!D745&amp;"")</f>
        <v/>
      </c>
      <c r="E745" s="96" t="str">
        <f aca="false">IF(OR('CARNET DE SOUDURE'!E745="",'CARNET DE SOUDURE'!R745=""),"",'CARNET DE SOUDURE'!R745)</f>
        <v/>
      </c>
      <c r="F745" s="81" t="str">
        <f aca="false">IF('CARNET DE SOUDURE'!E745="","",'CARNET DE SOUDURE'!AL745)</f>
        <v/>
      </c>
      <c r="G745" s="81" t="str">
        <f aca="false">IF('CARNET DE SOUDURE'!E745="","",'CARNET DE SOUDURE'!AM745)</f>
        <v>À SOUDER</v>
      </c>
      <c r="H745" s="81" t="str">
        <f aca="false">IF(C745="","",IF(G745="ACCEPTÉ","OUI","NON"))</f>
        <v>NON</v>
      </c>
      <c r="I745" s="82"/>
      <c r="J745" s="79"/>
      <c r="K745" s="80"/>
      <c r="L745" s="80"/>
      <c r="M745" s="80"/>
      <c r="N745" s="83" t="str">
        <f aca="false">IF(C745="","",IF(I745="",IF(H745="OUI","À ENROBER",IF(G745="À SOUDER","NON SOUDÉ","EN ATTENTE RT")),IF(L745="R","À REPRENDRE",IF(H745&lt;&gt;"OUI","⚠ ENROBÉ AVANT ACCEPTATION RT","ENROBÉ"))))</f>
        <v>NON SOUDÉ</v>
      </c>
      <c r="O745" s="79"/>
    </row>
    <row r="746" customFormat="false" ht="15" hidden="false" customHeight="false" outlineLevel="0" collapsed="false">
      <c r="A746" s="78" t="n">
        <f aca="false">IF('CARNET DE SOUDURE'!E746="","",'CARNET DE SOUDURE'!A746)</f>
        <v>740</v>
      </c>
      <c r="B746" s="93" t="str">
        <f aca="false">IF('CARNET DE SOUDURE'!E746="","",'CARNET DE SOUDURE'!B746&amp;"")</f>
        <v>ISB-304</v>
      </c>
      <c r="C746" s="83" t="str">
        <f aca="false">IF('CARNET DE SOUDURE'!E746="","",'CARNET DE SOUDURE'!E746)</f>
        <v>JN°135</v>
      </c>
      <c r="D746" s="78" t="str">
        <f aca="false">IF('CARNET DE SOUDURE'!E746="","",'CARNET DE SOUDURE'!D746&amp;"")</f>
        <v/>
      </c>
      <c r="E746" s="96" t="str">
        <f aca="false">IF(OR('CARNET DE SOUDURE'!E746="",'CARNET DE SOUDURE'!R746=""),"",'CARNET DE SOUDURE'!R746)</f>
        <v/>
      </c>
      <c r="F746" s="81" t="str">
        <f aca="false">IF('CARNET DE SOUDURE'!E746="","",'CARNET DE SOUDURE'!AL746)</f>
        <v/>
      </c>
      <c r="G746" s="81" t="str">
        <f aca="false">IF('CARNET DE SOUDURE'!E746="","",'CARNET DE SOUDURE'!AM746)</f>
        <v>À SOUDER</v>
      </c>
      <c r="H746" s="81" t="str">
        <f aca="false">IF(C746="","",IF(G746="ACCEPTÉ","OUI","NON"))</f>
        <v>NON</v>
      </c>
      <c r="I746" s="82"/>
      <c r="J746" s="79"/>
      <c r="K746" s="80"/>
      <c r="L746" s="80"/>
      <c r="M746" s="80"/>
      <c r="N746" s="83" t="str">
        <f aca="false">IF(C746="","",IF(I746="",IF(H746="OUI","À ENROBER",IF(G746="À SOUDER","NON SOUDÉ","EN ATTENTE RT")),IF(L746="R","À REPRENDRE",IF(H746&lt;&gt;"OUI","⚠ ENROBÉ AVANT ACCEPTATION RT","ENROBÉ"))))</f>
        <v>NON SOUDÉ</v>
      </c>
      <c r="O746" s="79"/>
    </row>
    <row r="747" customFormat="false" ht="15" hidden="false" customHeight="false" outlineLevel="0" collapsed="false">
      <c r="A747" s="78" t="n">
        <f aca="false">IF('CARNET DE SOUDURE'!E747="","",'CARNET DE SOUDURE'!A747)</f>
        <v>741</v>
      </c>
      <c r="B747" s="93" t="str">
        <f aca="false">IF('CARNET DE SOUDURE'!E747="","",'CARNET DE SOUDURE'!B747&amp;"")</f>
        <v>ISB-304</v>
      </c>
      <c r="C747" s="83" t="str">
        <f aca="false">IF('CARNET DE SOUDURE'!E747="","",'CARNET DE SOUDURE'!E747)</f>
        <v>JN°136</v>
      </c>
      <c r="D747" s="78" t="str">
        <f aca="false">IF('CARNET DE SOUDURE'!E747="","",'CARNET DE SOUDURE'!D747&amp;"")</f>
        <v/>
      </c>
      <c r="E747" s="96" t="str">
        <f aca="false">IF(OR('CARNET DE SOUDURE'!E747="",'CARNET DE SOUDURE'!R747=""),"",'CARNET DE SOUDURE'!R747)</f>
        <v/>
      </c>
      <c r="F747" s="81" t="str">
        <f aca="false">IF('CARNET DE SOUDURE'!E747="","",'CARNET DE SOUDURE'!AL747)</f>
        <v/>
      </c>
      <c r="G747" s="81" t="str">
        <f aca="false">IF('CARNET DE SOUDURE'!E747="","",'CARNET DE SOUDURE'!AM747)</f>
        <v>À SOUDER</v>
      </c>
      <c r="H747" s="81" t="str">
        <f aca="false">IF(C747="","",IF(G747="ACCEPTÉ","OUI","NON"))</f>
        <v>NON</v>
      </c>
      <c r="I747" s="82"/>
      <c r="J747" s="79"/>
      <c r="K747" s="80"/>
      <c r="L747" s="80"/>
      <c r="M747" s="80"/>
      <c r="N747" s="83" t="str">
        <f aca="false">IF(C747="","",IF(I747="",IF(H747="OUI","À ENROBER",IF(G747="À SOUDER","NON SOUDÉ","EN ATTENTE RT")),IF(L747="R","À REPRENDRE",IF(H747&lt;&gt;"OUI","⚠ ENROBÉ AVANT ACCEPTATION RT","ENROBÉ"))))</f>
        <v>NON SOUDÉ</v>
      </c>
      <c r="O747" s="79"/>
    </row>
    <row r="748" customFormat="false" ht="15" hidden="false" customHeight="false" outlineLevel="0" collapsed="false">
      <c r="A748" s="78" t="n">
        <f aca="false">IF('CARNET DE SOUDURE'!E748="","",'CARNET DE SOUDURE'!A748)</f>
        <v>742</v>
      </c>
      <c r="B748" s="93" t="str">
        <f aca="false">IF('CARNET DE SOUDURE'!E748="","",'CARNET DE SOUDURE'!B748&amp;"")</f>
        <v>ISB-304</v>
      </c>
      <c r="C748" s="83" t="str">
        <f aca="false">IF('CARNET DE SOUDURE'!E748="","",'CARNET DE SOUDURE'!E748)</f>
        <v>JN°137</v>
      </c>
      <c r="D748" s="78" t="str">
        <f aca="false">IF('CARNET DE SOUDURE'!E748="","",'CARNET DE SOUDURE'!D748&amp;"")</f>
        <v/>
      </c>
      <c r="E748" s="96" t="str">
        <f aca="false">IF(OR('CARNET DE SOUDURE'!E748="",'CARNET DE SOUDURE'!R748=""),"",'CARNET DE SOUDURE'!R748)</f>
        <v/>
      </c>
      <c r="F748" s="81" t="str">
        <f aca="false">IF('CARNET DE SOUDURE'!E748="","",'CARNET DE SOUDURE'!AL748)</f>
        <v/>
      </c>
      <c r="G748" s="81" t="str">
        <f aca="false">IF('CARNET DE SOUDURE'!E748="","",'CARNET DE SOUDURE'!AM748)</f>
        <v>À SOUDER</v>
      </c>
      <c r="H748" s="81" t="str">
        <f aca="false">IF(C748="","",IF(G748="ACCEPTÉ","OUI","NON"))</f>
        <v>NON</v>
      </c>
      <c r="I748" s="82"/>
      <c r="J748" s="79"/>
      <c r="K748" s="80"/>
      <c r="L748" s="80"/>
      <c r="M748" s="80"/>
      <c r="N748" s="83" t="str">
        <f aca="false">IF(C748="","",IF(I748="",IF(H748="OUI","À ENROBER",IF(G748="À SOUDER","NON SOUDÉ","EN ATTENTE RT")),IF(L748="R","À REPRENDRE",IF(H748&lt;&gt;"OUI","⚠ ENROBÉ AVANT ACCEPTATION RT","ENROBÉ"))))</f>
        <v>NON SOUDÉ</v>
      </c>
      <c r="O748" s="79"/>
    </row>
    <row r="749" customFormat="false" ht="15" hidden="false" customHeight="false" outlineLevel="0" collapsed="false">
      <c r="A749" s="78" t="n">
        <f aca="false">IF('CARNET DE SOUDURE'!E749="","",'CARNET DE SOUDURE'!A749)</f>
        <v>743</v>
      </c>
      <c r="B749" s="93" t="str">
        <f aca="false">IF('CARNET DE SOUDURE'!E749="","",'CARNET DE SOUDURE'!B749&amp;"")</f>
        <v>ISB-304</v>
      </c>
      <c r="C749" s="83" t="str">
        <f aca="false">IF('CARNET DE SOUDURE'!E749="","",'CARNET DE SOUDURE'!E749)</f>
        <v>JN°138</v>
      </c>
      <c r="D749" s="78" t="str">
        <f aca="false">IF('CARNET DE SOUDURE'!E749="","",'CARNET DE SOUDURE'!D749&amp;"")</f>
        <v/>
      </c>
      <c r="E749" s="96" t="str">
        <f aca="false">IF(OR('CARNET DE SOUDURE'!E749="",'CARNET DE SOUDURE'!R749=""),"",'CARNET DE SOUDURE'!R749)</f>
        <v/>
      </c>
      <c r="F749" s="81" t="str">
        <f aca="false">IF('CARNET DE SOUDURE'!E749="","",'CARNET DE SOUDURE'!AL749)</f>
        <v/>
      </c>
      <c r="G749" s="81" t="str">
        <f aca="false">IF('CARNET DE SOUDURE'!E749="","",'CARNET DE SOUDURE'!AM749)</f>
        <v>À SOUDER</v>
      </c>
      <c r="H749" s="81" t="str">
        <f aca="false">IF(C749="","",IF(G749="ACCEPTÉ","OUI","NON"))</f>
        <v>NON</v>
      </c>
      <c r="I749" s="82"/>
      <c r="J749" s="79"/>
      <c r="K749" s="80"/>
      <c r="L749" s="80"/>
      <c r="M749" s="80"/>
      <c r="N749" s="83" t="str">
        <f aca="false">IF(C749="","",IF(I749="",IF(H749="OUI","À ENROBER",IF(G749="À SOUDER","NON SOUDÉ","EN ATTENTE RT")),IF(L749="R","À REPRENDRE",IF(H749&lt;&gt;"OUI","⚠ ENROBÉ AVANT ACCEPTATION RT","ENROBÉ"))))</f>
        <v>NON SOUDÉ</v>
      </c>
      <c r="O749" s="79"/>
    </row>
    <row r="750" customFormat="false" ht="15" hidden="false" customHeight="false" outlineLevel="0" collapsed="false">
      <c r="A750" s="78" t="n">
        <f aca="false">IF('CARNET DE SOUDURE'!E750="","",'CARNET DE SOUDURE'!A750)</f>
        <v>744</v>
      </c>
      <c r="B750" s="93" t="str">
        <f aca="false">IF('CARNET DE SOUDURE'!E750="","",'CARNET DE SOUDURE'!B750&amp;"")</f>
        <v>ISB-304</v>
      </c>
      <c r="C750" s="83" t="str">
        <f aca="false">IF('CARNET DE SOUDURE'!E750="","",'CARNET DE SOUDURE'!E750)</f>
        <v>JN°139</v>
      </c>
      <c r="D750" s="78" t="str">
        <f aca="false">IF('CARNET DE SOUDURE'!E750="","",'CARNET DE SOUDURE'!D750&amp;"")</f>
        <v/>
      </c>
      <c r="E750" s="96" t="str">
        <f aca="false">IF(OR('CARNET DE SOUDURE'!E750="",'CARNET DE SOUDURE'!R750=""),"",'CARNET DE SOUDURE'!R750)</f>
        <v/>
      </c>
      <c r="F750" s="81" t="str">
        <f aca="false">IF('CARNET DE SOUDURE'!E750="","",'CARNET DE SOUDURE'!AL750)</f>
        <v/>
      </c>
      <c r="G750" s="81" t="str">
        <f aca="false">IF('CARNET DE SOUDURE'!E750="","",'CARNET DE SOUDURE'!AM750)</f>
        <v>À SOUDER</v>
      </c>
      <c r="H750" s="81" t="str">
        <f aca="false">IF(C750="","",IF(G750="ACCEPTÉ","OUI","NON"))</f>
        <v>NON</v>
      </c>
      <c r="I750" s="82"/>
      <c r="J750" s="79"/>
      <c r="K750" s="80"/>
      <c r="L750" s="80"/>
      <c r="M750" s="80"/>
      <c r="N750" s="83" t="str">
        <f aca="false">IF(C750="","",IF(I750="",IF(H750="OUI","À ENROBER",IF(G750="À SOUDER","NON SOUDÉ","EN ATTENTE RT")),IF(L750="R","À REPRENDRE",IF(H750&lt;&gt;"OUI","⚠ ENROBÉ AVANT ACCEPTATION RT","ENROBÉ"))))</f>
        <v>NON SOUDÉ</v>
      </c>
      <c r="O750" s="79"/>
    </row>
    <row r="751" customFormat="false" ht="15" hidden="false" customHeight="false" outlineLevel="0" collapsed="false">
      <c r="A751" s="78" t="n">
        <f aca="false">IF('CARNET DE SOUDURE'!E751="","",'CARNET DE SOUDURE'!A751)</f>
        <v>745</v>
      </c>
      <c r="B751" s="93" t="str">
        <f aca="false">IF('CARNET DE SOUDURE'!E751="","",'CARNET DE SOUDURE'!B751&amp;"")</f>
        <v>ISB-304</v>
      </c>
      <c r="C751" s="83" t="str">
        <f aca="false">IF('CARNET DE SOUDURE'!E751="","",'CARNET DE SOUDURE'!E751)</f>
        <v>JN°140</v>
      </c>
      <c r="D751" s="78" t="str">
        <f aca="false">IF('CARNET DE SOUDURE'!E751="","",'CARNET DE SOUDURE'!D751&amp;"")</f>
        <v/>
      </c>
      <c r="E751" s="96" t="str">
        <f aca="false">IF(OR('CARNET DE SOUDURE'!E751="",'CARNET DE SOUDURE'!R751=""),"",'CARNET DE SOUDURE'!R751)</f>
        <v/>
      </c>
      <c r="F751" s="81" t="str">
        <f aca="false">IF('CARNET DE SOUDURE'!E751="","",'CARNET DE SOUDURE'!AL751)</f>
        <v/>
      </c>
      <c r="G751" s="81" t="str">
        <f aca="false">IF('CARNET DE SOUDURE'!E751="","",'CARNET DE SOUDURE'!AM751)</f>
        <v>À SOUDER</v>
      </c>
      <c r="H751" s="81" t="str">
        <f aca="false">IF(C751="","",IF(G751="ACCEPTÉ","OUI","NON"))</f>
        <v>NON</v>
      </c>
      <c r="I751" s="82"/>
      <c r="J751" s="79"/>
      <c r="K751" s="80"/>
      <c r="L751" s="80"/>
      <c r="M751" s="80"/>
      <c r="N751" s="83" t="str">
        <f aca="false">IF(C751="","",IF(I751="",IF(H751="OUI","À ENROBER",IF(G751="À SOUDER","NON SOUDÉ","EN ATTENTE RT")),IF(L751="R","À REPRENDRE",IF(H751&lt;&gt;"OUI","⚠ ENROBÉ AVANT ACCEPTATION RT","ENROBÉ"))))</f>
        <v>NON SOUDÉ</v>
      </c>
      <c r="O751" s="79"/>
    </row>
    <row r="752" customFormat="false" ht="15" hidden="false" customHeight="false" outlineLevel="0" collapsed="false">
      <c r="A752" s="78" t="n">
        <f aca="false">IF('CARNET DE SOUDURE'!E752="","",'CARNET DE SOUDURE'!A752)</f>
        <v>746</v>
      </c>
      <c r="B752" s="93" t="str">
        <f aca="false">IF('CARNET DE SOUDURE'!E752="","",'CARNET DE SOUDURE'!B752&amp;"")</f>
        <v>ISB-304</v>
      </c>
      <c r="C752" s="83" t="str">
        <f aca="false">IF('CARNET DE SOUDURE'!E752="","",'CARNET DE SOUDURE'!E752)</f>
        <v>JN°141</v>
      </c>
      <c r="D752" s="78" t="str">
        <f aca="false">IF('CARNET DE SOUDURE'!E752="","",'CARNET DE SOUDURE'!D752&amp;"")</f>
        <v/>
      </c>
      <c r="E752" s="96" t="str">
        <f aca="false">IF(OR('CARNET DE SOUDURE'!E752="",'CARNET DE SOUDURE'!R752=""),"",'CARNET DE SOUDURE'!R752)</f>
        <v/>
      </c>
      <c r="F752" s="81" t="str">
        <f aca="false">IF('CARNET DE SOUDURE'!E752="","",'CARNET DE SOUDURE'!AL752)</f>
        <v/>
      </c>
      <c r="G752" s="81" t="str">
        <f aca="false">IF('CARNET DE SOUDURE'!E752="","",'CARNET DE SOUDURE'!AM752)</f>
        <v>À SOUDER</v>
      </c>
      <c r="H752" s="81" t="str">
        <f aca="false">IF(C752="","",IF(G752="ACCEPTÉ","OUI","NON"))</f>
        <v>NON</v>
      </c>
      <c r="I752" s="82"/>
      <c r="J752" s="79"/>
      <c r="K752" s="80"/>
      <c r="L752" s="80"/>
      <c r="M752" s="80"/>
      <c r="N752" s="83" t="str">
        <f aca="false">IF(C752="","",IF(I752="",IF(H752="OUI","À ENROBER",IF(G752="À SOUDER","NON SOUDÉ","EN ATTENTE RT")),IF(L752="R","À REPRENDRE",IF(H752&lt;&gt;"OUI","⚠ ENROBÉ AVANT ACCEPTATION RT","ENROBÉ"))))</f>
        <v>NON SOUDÉ</v>
      </c>
      <c r="O752" s="79"/>
    </row>
    <row r="753" customFormat="false" ht="15" hidden="false" customHeight="false" outlineLevel="0" collapsed="false">
      <c r="A753" s="78" t="n">
        <f aca="false">IF('CARNET DE SOUDURE'!E753="","",'CARNET DE SOUDURE'!A753)</f>
        <v>747</v>
      </c>
      <c r="B753" s="93" t="str">
        <f aca="false">IF('CARNET DE SOUDURE'!E753="","",'CARNET DE SOUDURE'!B753&amp;"")</f>
        <v>ISB-304</v>
      </c>
      <c r="C753" s="83" t="str">
        <f aca="false">IF('CARNET DE SOUDURE'!E753="","",'CARNET DE SOUDURE'!E753)</f>
        <v>JN°142</v>
      </c>
      <c r="D753" s="78" t="str">
        <f aca="false">IF('CARNET DE SOUDURE'!E753="","",'CARNET DE SOUDURE'!D753&amp;"")</f>
        <v/>
      </c>
      <c r="E753" s="96" t="str">
        <f aca="false">IF(OR('CARNET DE SOUDURE'!E753="",'CARNET DE SOUDURE'!R753=""),"",'CARNET DE SOUDURE'!R753)</f>
        <v/>
      </c>
      <c r="F753" s="81" t="str">
        <f aca="false">IF('CARNET DE SOUDURE'!E753="","",'CARNET DE SOUDURE'!AL753)</f>
        <v/>
      </c>
      <c r="G753" s="81" t="str">
        <f aca="false">IF('CARNET DE SOUDURE'!E753="","",'CARNET DE SOUDURE'!AM753)</f>
        <v>À SOUDER</v>
      </c>
      <c r="H753" s="81" t="str">
        <f aca="false">IF(C753="","",IF(G753="ACCEPTÉ","OUI","NON"))</f>
        <v>NON</v>
      </c>
      <c r="I753" s="82"/>
      <c r="J753" s="79"/>
      <c r="K753" s="80"/>
      <c r="L753" s="80"/>
      <c r="M753" s="80"/>
      <c r="N753" s="83" t="str">
        <f aca="false">IF(C753="","",IF(I753="",IF(H753="OUI","À ENROBER",IF(G753="À SOUDER","NON SOUDÉ","EN ATTENTE RT")),IF(L753="R","À REPRENDRE",IF(H753&lt;&gt;"OUI","⚠ ENROBÉ AVANT ACCEPTATION RT","ENROBÉ"))))</f>
        <v>NON SOUDÉ</v>
      </c>
      <c r="O753" s="79"/>
    </row>
    <row r="754" customFormat="false" ht="15" hidden="false" customHeight="false" outlineLevel="0" collapsed="false">
      <c r="A754" s="78" t="n">
        <f aca="false">IF('CARNET DE SOUDURE'!E754="","",'CARNET DE SOUDURE'!A754)</f>
        <v>748</v>
      </c>
      <c r="B754" s="93" t="str">
        <f aca="false">IF('CARNET DE SOUDURE'!E754="","",'CARNET DE SOUDURE'!B754&amp;"")</f>
        <v>ISB-304</v>
      </c>
      <c r="C754" s="83" t="str">
        <f aca="false">IF('CARNET DE SOUDURE'!E754="","",'CARNET DE SOUDURE'!E754)</f>
        <v>JN°143</v>
      </c>
      <c r="D754" s="78" t="str">
        <f aca="false">IF('CARNET DE SOUDURE'!E754="","",'CARNET DE SOUDURE'!D754&amp;"")</f>
        <v/>
      </c>
      <c r="E754" s="96" t="str">
        <f aca="false">IF(OR('CARNET DE SOUDURE'!E754="",'CARNET DE SOUDURE'!R754=""),"",'CARNET DE SOUDURE'!R754)</f>
        <v/>
      </c>
      <c r="F754" s="81" t="str">
        <f aca="false">IF('CARNET DE SOUDURE'!E754="","",'CARNET DE SOUDURE'!AL754)</f>
        <v/>
      </c>
      <c r="G754" s="81" t="str">
        <f aca="false">IF('CARNET DE SOUDURE'!E754="","",'CARNET DE SOUDURE'!AM754)</f>
        <v>À SOUDER</v>
      </c>
      <c r="H754" s="81" t="str">
        <f aca="false">IF(C754="","",IF(G754="ACCEPTÉ","OUI","NON"))</f>
        <v>NON</v>
      </c>
      <c r="I754" s="82"/>
      <c r="J754" s="79"/>
      <c r="K754" s="80"/>
      <c r="L754" s="80"/>
      <c r="M754" s="80"/>
      <c r="N754" s="83" t="str">
        <f aca="false">IF(C754="","",IF(I754="",IF(H754="OUI","À ENROBER",IF(G754="À SOUDER","NON SOUDÉ","EN ATTENTE RT")),IF(L754="R","À REPRENDRE",IF(H754&lt;&gt;"OUI","⚠ ENROBÉ AVANT ACCEPTATION RT","ENROBÉ"))))</f>
        <v>NON SOUDÉ</v>
      </c>
      <c r="O754" s="79"/>
    </row>
    <row r="755" customFormat="false" ht="15" hidden="false" customHeight="false" outlineLevel="0" collapsed="false">
      <c r="A755" s="78" t="n">
        <f aca="false">IF('CARNET DE SOUDURE'!E755="","",'CARNET DE SOUDURE'!A755)</f>
        <v>749</v>
      </c>
      <c r="B755" s="93" t="str">
        <f aca="false">IF('CARNET DE SOUDURE'!E755="","",'CARNET DE SOUDURE'!B755&amp;"")</f>
        <v>ISB-304</v>
      </c>
      <c r="C755" s="83" t="str">
        <f aca="false">IF('CARNET DE SOUDURE'!E755="","",'CARNET DE SOUDURE'!E755)</f>
        <v>JN°144</v>
      </c>
      <c r="D755" s="78" t="str">
        <f aca="false">IF('CARNET DE SOUDURE'!E755="","",'CARNET DE SOUDURE'!D755&amp;"")</f>
        <v/>
      </c>
      <c r="E755" s="96" t="str">
        <f aca="false">IF(OR('CARNET DE SOUDURE'!E755="",'CARNET DE SOUDURE'!R755=""),"",'CARNET DE SOUDURE'!R755)</f>
        <v/>
      </c>
      <c r="F755" s="81" t="str">
        <f aca="false">IF('CARNET DE SOUDURE'!E755="","",'CARNET DE SOUDURE'!AL755)</f>
        <v/>
      </c>
      <c r="G755" s="81" t="str">
        <f aca="false">IF('CARNET DE SOUDURE'!E755="","",'CARNET DE SOUDURE'!AM755)</f>
        <v>À SOUDER</v>
      </c>
      <c r="H755" s="81" t="str">
        <f aca="false">IF(C755="","",IF(G755="ACCEPTÉ","OUI","NON"))</f>
        <v>NON</v>
      </c>
      <c r="I755" s="82"/>
      <c r="J755" s="79"/>
      <c r="K755" s="80"/>
      <c r="L755" s="80"/>
      <c r="M755" s="80"/>
      <c r="N755" s="83" t="str">
        <f aca="false">IF(C755="","",IF(I755="",IF(H755="OUI","À ENROBER",IF(G755="À SOUDER","NON SOUDÉ","EN ATTENTE RT")),IF(L755="R","À REPRENDRE",IF(H755&lt;&gt;"OUI","⚠ ENROBÉ AVANT ACCEPTATION RT","ENROBÉ"))))</f>
        <v>NON SOUDÉ</v>
      </c>
      <c r="O755" s="79"/>
    </row>
    <row r="756" customFormat="false" ht="15" hidden="false" customHeight="false" outlineLevel="0" collapsed="false">
      <c r="A756" s="78" t="n">
        <f aca="false">IF('CARNET DE SOUDURE'!E756="","",'CARNET DE SOUDURE'!A756)</f>
        <v>750</v>
      </c>
      <c r="B756" s="93" t="str">
        <f aca="false">IF('CARNET DE SOUDURE'!E756="","",'CARNET DE SOUDURE'!B756&amp;"")</f>
        <v>ISB-304</v>
      </c>
      <c r="C756" s="83" t="str">
        <f aca="false">IF('CARNET DE SOUDURE'!E756="","",'CARNET DE SOUDURE'!E756)</f>
        <v>JN°145</v>
      </c>
      <c r="D756" s="78" t="str">
        <f aca="false">IF('CARNET DE SOUDURE'!E756="","",'CARNET DE SOUDURE'!D756&amp;"")</f>
        <v/>
      </c>
      <c r="E756" s="96" t="str">
        <f aca="false">IF(OR('CARNET DE SOUDURE'!E756="",'CARNET DE SOUDURE'!R756=""),"",'CARNET DE SOUDURE'!R756)</f>
        <v/>
      </c>
      <c r="F756" s="81" t="str">
        <f aca="false">IF('CARNET DE SOUDURE'!E756="","",'CARNET DE SOUDURE'!AL756)</f>
        <v/>
      </c>
      <c r="G756" s="81" t="str">
        <f aca="false">IF('CARNET DE SOUDURE'!E756="","",'CARNET DE SOUDURE'!AM756)</f>
        <v>À SOUDER</v>
      </c>
      <c r="H756" s="81" t="str">
        <f aca="false">IF(C756="","",IF(G756="ACCEPTÉ","OUI","NON"))</f>
        <v>NON</v>
      </c>
      <c r="I756" s="82"/>
      <c r="J756" s="79"/>
      <c r="K756" s="80"/>
      <c r="L756" s="80"/>
      <c r="M756" s="80"/>
      <c r="N756" s="83" t="str">
        <f aca="false">IF(C756="","",IF(I756="",IF(H756="OUI","À ENROBER",IF(G756="À SOUDER","NON SOUDÉ","EN ATTENTE RT")),IF(L756="R","À REPRENDRE",IF(H756&lt;&gt;"OUI","⚠ ENROBÉ AVANT ACCEPTATION RT","ENROBÉ"))))</f>
        <v>NON SOUDÉ</v>
      </c>
      <c r="O756" s="79"/>
    </row>
    <row r="757" customFormat="false" ht="15" hidden="false" customHeight="false" outlineLevel="0" collapsed="false">
      <c r="A757" s="78" t="n">
        <f aca="false">IF('CARNET DE SOUDURE'!E757="","",'CARNET DE SOUDURE'!A757)</f>
        <v>751</v>
      </c>
      <c r="B757" s="93" t="str">
        <f aca="false">IF('CARNET DE SOUDURE'!E757="","",'CARNET DE SOUDURE'!B757&amp;"")</f>
        <v>ISB-304</v>
      </c>
      <c r="C757" s="83" t="str">
        <f aca="false">IF('CARNET DE SOUDURE'!E757="","",'CARNET DE SOUDURE'!E757)</f>
        <v>JN°146</v>
      </c>
      <c r="D757" s="78" t="str">
        <f aca="false">IF('CARNET DE SOUDURE'!E757="","",'CARNET DE SOUDURE'!D757&amp;"")</f>
        <v/>
      </c>
      <c r="E757" s="96" t="str">
        <f aca="false">IF(OR('CARNET DE SOUDURE'!E757="",'CARNET DE SOUDURE'!R757=""),"",'CARNET DE SOUDURE'!R757)</f>
        <v/>
      </c>
      <c r="F757" s="81" t="str">
        <f aca="false">IF('CARNET DE SOUDURE'!E757="","",'CARNET DE SOUDURE'!AL757)</f>
        <v/>
      </c>
      <c r="G757" s="81" t="str">
        <f aca="false">IF('CARNET DE SOUDURE'!E757="","",'CARNET DE SOUDURE'!AM757)</f>
        <v>À SOUDER</v>
      </c>
      <c r="H757" s="81" t="str">
        <f aca="false">IF(C757="","",IF(G757="ACCEPTÉ","OUI","NON"))</f>
        <v>NON</v>
      </c>
      <c r="I757" s="82"/>
      <c r="J757" s="79"/>
      <c r="K757" s="80"/>
      <c r="L757" s="80"/>
      <c r="M757" s="80"/>
      <c r="N757" s="83" t="str">
        <f aca="false">IF(C757="","",IF(I757="",IF(H757="OUI","À ENROBER",IF(G757="À SOUDER","NON SOUDÉ","EN ATTENTE RT")),IF(L757="R","À REPRENDRE",IF(H757&lt;&gt;"OUI","⚠ ENROBÉ AVANT ACCEPTATION RT","ENROBÉ"))))</f>
        <v>NON SOUDÉ</v>
      </c>
      <c r="O757" s="79"/>
    </row>
    <row r="758" customFormat="false" ht="15" hidden="false" customHeight="false" outlineLevel="0" collapsed="false">
      <c r="A758" s="78" t="n">
        <f aca="false">IF('CARNET DE SOUDURE'!E758="","",'CARNET DE SOUDURE'!A758)</f>
        <v>752</v>
      </c>
      <c r="B758" s="93" t="str">
        <f aca="false">IF('CARNET DE SOUDURE'!E758="","",'CARNET DE SOUDURE'!B758&amp;"")</f>
        <v>ISB-304</v>
      </c>
      <c r="C758" s="83" t="str">
        <f aca="false">IF('CARNET DE SOUDURE'!E758="","",'CARNET DE SOUDURE'!E758)</f>
        <v>JN°147</v>
      </c>
      <c r="D758" s="78" t="str">
        <f aca="false">IF('CARNET DE SOUDURE'!E758="","",'CARNET DE SOUDURE'!D758&amp;"")</f>
        <v/>
      </c>
      <c r="E758" s="96" t="str">
        <f aca="false">IF(OR('CARNET DE SOUDURE'!E758="",'CARNET DE SOUDURE'!R758=""),"",'CARNET DE SOUDURE'!R758)</f>
        <v/>
      </c>
      <c r="F758" s="81" t="str">
        <f aca="false">IF('CARNET DE SOUDURE'!E758="","",'CARNET DE SOUDURE'!AL758)</f>
        <v/>
      </c>
      <c r="G758" s="81" t="str">
        <f aca="false">IF('CARNET DE SOUDURE'!E758="","",'CARNET DE SOUDURE'!AM758)</f>
        <v>À SOUDER</v>
      </c>
      <c r="H758" s="81" t="str">
        <f aca="false">IF(C758="","",IF(G758="ACCEPTÉ","OUI","NON"))</f>
        <v>NON</v>
      </c>
      <c r="I758" s="82"/>
      <c r="J758" s="79"/>
      <c r="K758" s="80"/>
      <c r="L758" s="80"/>
      <c r="M758" s="80"/>
      <c r="N758" s="83" t="str">
        <f aca="false">IF(C758="","",IF(I758="",IF(H758="OUI","À ENROBER",IF(G758="À SOUDER","NON SOUDÉ","EN ATTENTE RT")),IF(L758="R","À REPRENDRE",IF(H758&lt;&gt;"OUI","⚠ ENROBÉ AVANT ACCEPTATION RT","ENROBÉ"))))</f>
        <v>NON SOUDÉ</v>
      </c>
      <c r="O758" s="79"/>
    </row>
    <row r="759" customFormat="false" ht="15" hidden="false" customHeight="false" outlineLevel="0" collapsed="false">
      <c r="A759" s="78" t="n">
        <f aca="false">IF('CARNET DE SOUDURE'!E759="","",'CARNET DE SOUDURE'!A759)</f>
        <v>753</v>
      </c>
      <c r="B759" s="93" t="str">
        <f aca="false">IF('CARNET DE SOUDURE'!E759="","",'CARNET DE SOUDURE'!B759&amp;"")</f>
        <v>ISB-304</v>
      </c>
      <c r="C759" s="83" t="str">
        <f aca="false">IF('CARNET DE SOUDURE'!E759="","",'CARNET DE SOUDURE'!E759)</f>
        <v>JN°148</v>
      </c>
      <c r="D759" s="78" t="str">
        <f aca="false">IF('CARNET DE SOUDURE'!E759="","",'CARNET DE SOUDURE'!D759&amp;"")</f>
        <v/>
      </c>
      <c r="E759" s="96" t="str">
        <f aca="false">IF(OR('CARNET DE SOUDURE'!E759="",'CARNET DE SOUDURE'!R759=""),"",'CARNET DE SOUDURE'!R759)</f>
        <v/>
      </c>
      <c r="F759" s="81" t="str">
        <f aca="false">IF('CARNET DE SOUDURE'!E759="","",'CARNET DE SOUDURE'!AL759)</f>
        <v/>
      </c>
      <c r="G759" s="81" t="str">
        <f aca="false">IF('CARNET DE SOUDURE'!E759="","",'CARNET DE SOUDURE'!AM759)</f>
        <v>À SOUDER</v>
      </c>
      <c r="H759" s="81" t="str">
        <f aca="false">IF(C759="","",IF(G759="ACCEPTÉ","OUI","NON"))</f>
        <v>NON</v>
      </c>
      <c r="I759" s="82"/>
      <c r="J759" s="79"/>
      <c r="K759" s="80"/>
      <c r="L759" s="80"/>
      <c r="M759" s="80"/>
      <c r="N759" s="83" t="str">
        <f aca="false">IF(C759="","",IF(I759="",IF(H759="OUI","À ENROBER",IF(G759="À SOUDER","NON SOUDÉ","EN ATTENTE RT")),IF(L759="R","À REPRENDRE",IF(H759&lt;&gt;"OUI","⚠ ENROBÉ AVANT ACCEPTATION RT","ENROBÉ"))))</f>
        <v>NON SOUDÉ</v>
      </c>
      <c r="O759" s="79"/>
    </row>
    <row r="760" customFormat="false" ht="15" hidden="false" customHeight="false" outlineLevel="0" collapsed="false">
      <c r="A760" s="78" t="n">
        <f aca="false">IF('CARNET DE SOUDURE'!E760="","",'CARNET DE SOUDURE'!A760)</f>
        <v>754</v>
      </c>
      <c r="B760" s="93" t="str">
        <f aca="false">IF('CARNET DE SOUDURE'!E760="","",'CARNET DE SOUDURE'!B760&amp;"")</f>
        <v>ISB-304</v>
      </c>
      <c r="C760" s="83" t="str">
        <f aca="false">IF('CARNET DE SOUDURE'!E760="","",'CARNET DE SOUDURE'!E760)</f>
        <v>JN°149</v>
      </c>
      <c r="D760" s="78" t="str">
        <f aca="false">IF('CARNET DE SOUDURE'!E760="","",'CARNET DE SOUDURE'!D760&amp;"")</f>
        <v/>
      </c>
      <c r="E760" s="96" t="str">
        <f aca="false">IF(OR('CARNET DE SOUDURE'!E760="",'CARNET DE SOUDURE'!R760=""),"",'CARNET DE SOUDURE'!R760)</f>
        <v/>
      </c>
      <c r="F760" s="81" t="str">
        <f aca="false">IF('CARNET DE SOUDURE'!E760="","",'CARNET DE SOUDURE'!AL760)</f>
        <v/>
      </c>
      <c r="G760" s="81" t="str">
        <f aca="false">IF('CARNET DE SOUDURE'!E760="","",'CARNET DE SOUDURE'!AM760)</f>
        <v>À SOUDER</v>
      </c>
      <c r="H760" s="81" t="str">
        <f aca="false">IF(C760="","",IF(G760="ACCEPTÉ","OUI","NON"))</f>
        <v>NON</v>
      </c>
      <c r="I760" s="82"/>
      <c r="J760" s="79"/>
      <c r="K760" s="80"/>
      <c r="L760" s="80"/>
      <c r="M760" s="80"/>
      <c r="N760" s="83" t="str">
        <f aca="false">IF(C760="","",IF(I760="",IF(H760="OUI","À ENROBER",IF(G760="À SOUDER","NON SOUDÉ","EN ATTENTE RT")),IF(L760="R","À REPRENDRE",IF(H760&lt;&gt;"OUI","⚠ ENROBÉ AVANT ACCEPTATION RT","ENROBÉ"))))</f>
        <v>NON SOUDÉ</v>
      </c>
      <c r="O760" s="79"/>
    </row>
    <row r="761" customFormat="false" ht="15" hidden="false" customHeight="false" outlineLevel="0" collapsed="false">
      <c r="A761" s="78" t="n">
        <f aca="false">IF('CARNET DE SOUDURE'!E761="","",'CARNET DE SOUDURE'!A761)</f>
        <v>755</v>
      </c>
      <c r="B761" s="93" t="str">
        <f aca="false">IF('CARNET DE SOUDURE'!E761="","",'CARNET DE SOUDURE'!B761&amp;"")</f>
        <v>ISB-304</v>
      </c>
      <c r="C761" s="83" t="str">
        <f aca="false">IF('CARNET DE SOUDURE'!E761="","",'CARNET DE SOUDURE'!E761)</f>
        <v>JN°150</v>
      </c>
      <c r="D761" s="78" t="str">
        <f aca="false">IF('CARNET DE SOUDURE'!E761="","",'CARNET DE SOUDURE'!D761&amp;"")</f>
        <v/>
      </c>
      <c r="E761" s="96" t="str">
        <f aca="false">IF(OR('CARNET DE SOUDURE'!E761="",'CARNET DE SOUDURE'!R761=""),"",'CARNET DE SOUDURE'!R761)</f>
        <v/>
      </c>
      <c r="F761" s="81" t="str">
        <f aca="false">IF('CARNET DE SOUDURE'!E761="","",'CARNET DE SOUDURE'!AL761)</f>
        <v/>
      </c>
      <c r="G761" s="81" t="str">
        <f aca="false">IF('CARNET DE SOUDURE'!E761="","",'CARNET DE SOUDURE'!AM761)</f>
        <v>À SOUDER</v>
      </c>
      <c r="H761" s="81" t="str">
        <f aca="false">IF(C761="","",IF(G761="ACCEPTÉ","OUI","NON"))</f>
        <v>NON</v>
      </c>
      <c r="I761" s="82"/>
      <c r="J761" s="79"/>
      <c r="K761" s="80"/>
      <c r="L761" s="80"/>
      <c r="M761" s="80"/>
      <c r="N761" s="83" t="str">
        <f aca="false">IF(C761="","",IF(I761="",IF(H761="OUI","À ENROBER",IF(G761="À SOUDER","NON SOUDÉ","EN ATTENTE RT")),IF(L761="R","À REPRENDRE",IF(H761&lt;&gt;"OUI","⚠ ENROBÉ AVANT ACCEPTATION RT","ENROBÉ"))))</f>
        <v>NON SOUDÉ</v>
      </c>
      <c r="O761" s="79"/>
    </row>
    <row r="762" customFormat="false" ht="15" hidden="false" customHeight="false" outlineLevel="0" collapsed="false">
      <c r="A762" s="78" t="n">
        <f aca="false">IF('CARNET DE SOUDURE'!E762="","",'CARNET DE SOUDURE'!A762)</f>
        <v>756</v>
      </c>
      <c r="B762" s="93" t="str">
        <f aca="false">IF('CARNET DE SOUDURE'!E762="","",'CARNET DE SOUDURE'!B762&amp;"")</f>
        <v>ISB-304</v>
      </c>
      <c r="C762" s="83" t="str">
        <f aca="false">IF('CARNET DE SOUDURE'!E762="","",'CARNET DE SOUDURE'!E762)</f>
        <v>JN°151</v>
      </c>
      <c r="D762" s="78" t="str">
        <f aca="false">IF('CARNET DE SOUDURE'!E762="","",'CARNET DE SOUDURE'!D762&amp;"")</f>
        <v/>
      </c>
      <c r="E762" s="96" t="str">
        <f aca="false">IF(OR('CARNET DE SOUDURE'!E762="",'CARNET DE SOUDURE'!R762=""),"",'CARNET DE SOUDURE'!R762)</f>
        <v/>
      </c>
      <c r="F762" s="81" t="str">
        <f aca="false">IF('CARNET DE SOUDURE'!E762="","",'CARNET DE SOUDURE'!AL762)</f>
        <v/>
      </c>
      <c r="G762" s="81" t="str">
        <f aca="false">IF('CARNET DE SOUDURE'!E762="","",'CARNET DE SOUDURE'!AM762)</f>
        <v>À SOUDER</v>
      </c>
      <c r="H762" s="81" t="str">
        <f aca="false">IF(C762="","",IF(G762="ACCEPTÉ","OUI","NON"))</f>
        <v>NON</v>
      </c>
      <c r="I762" s="82"/>
      <c r="J762" s="79"/>
      <c r="K762" s="80"/>
      <c r="L762" s="80"/>
      <c r="M762" s="80"/>
      <c r="N762" s="83" t="str">
        <f aca="false">IF(C762="","",IF(I762="",IF(H762="OUI","À ENROBER",IF(G762="À SOUDER","NON SOUDÉ","EN ATTENTE RT")),IF(L762="R","À REPRENDRE",IF(H762&lt;&gt;"OUI","⚠ ENROBÉ AVANT ACCEPTATION RT","ENROBÉ"))))</f>
        <v>NON SOUDÉ</v>
      </c>
      <c r="O762" s="79"/>
    </row>
    <row r="763" customFormat="false" ht="15" hidden="false" customHeight="false" outlineLevel="0" collapsed="false">
      <c r="A763" s="78" t="n">
        <f aca="false">IF('CARNET DE SOUDURE'!E763="","",'CARNET DE SOUDURE'!A763)</f>
        <v>757</v>
      </c>
      <c r="B763" s="93" t="str">
        <f aca="false">IF('CARNET DE SOUDURE'!E763="","",'CARNET DE SOUDURE'!B763&amp;"")</f>
        <v>ISB-304</v>
      </c>
      <c r="C763" s="83" t="str">
        <f aca="false">IF('CARNET DE SOUDURE'!E763="","",'CARNET DE SOUDURE'!E763)</f>
        <v>JN°152</v>
      </c>
      <c r="D763" s="78" t="str">
        <f aca="false">IF('CARNET DE SOUDURE'!E763="","",'CARNET DE SOUDURE'!D763&amp;"")</f>
        <v/>
      </c>
      <c r="E763" s="96" t="str">
        <f aca="false">IF(OR('CARNET DE SOUDURE'!E763="",'CARNET DE SOUDURE'!R763=""),"",'CARNET DE SOUDURE'!R763)</f>
        <v/>
      </c>
      <c r="F763" s="81" t="str">
        <f aca="false">IF('CARNET DE SOUDURE'!E763="","",'CARNET DE SOUDURE'!AL763)</f>
        <v/>
      </c>
      <c r="G763" s="81" t="str">
        <f aca="false">IF('CARNET DE SOUDURE'!E763="","",'CARNET DE SOUDURE'!AM763)</f>
        <v>À SOUDER</v>
      </c>
      <c r="H763" s="81" t="str">
        <f aca="false">IF(C763="","",IF(G763="ACCEPTÉ","OUI","NON"))</f>
        <v>NON</v>
      </c>
      <c r="I763" s="82"/>
      <c r="J763" s="79"/>
      <c r="K763" s="80"/>
      <c r="L763" s="80"/>
      <c r="M763" s="80"/>
      <c r="N763" s="83" t="str">
        <f aca="false">IF(C763="","",IF(I763="",IF(H763="OUI","À ENROBER",IF(G763="À SOUDER","NON SOUDÉ","EN ATTENTE RT")),IF(L763="R","À REPRENDRE",IF(H763&lt;&gt;"OUI","⚠ ENROBÉ AVANT ACCEPTATION RT","ENROBÉ"))))</f>
        <v>NON SOUDÉ</v>
      </c>
      <c r="O763" s="79"/>
    </row>
    <row r="764" customFormat="false" ht="15" hidden="false" customHeight="false" outlineLevel="0" collapsed="false">
      <c r="A764" s="78" t="n">
        <f aca="false">IF('CARNET DE SOUDURE'!E764="","",'CARNET DE SOUDURE'!A764)</f>
        <v>758</v>
      </c>
      <c r="B764" s="93" t="str">
        <f aca="false">IF('CARNET DE SOUDURE'!E764="","",'CARNET DE SOUDURE'!B764&amp;"")</f>
        <v>ISB-304</v>
      </c>
      <c r="C764" s="83" t="str">
        <f aca="false">IF('CARNET DE SOUDURE'!E764="","",'CARNET DE SOUDURE'!E764)</f>
        <v>JN°153</v>
      </c>
      <c r="D764" s="78" t="str">
        <f aca="false">IF('CARNET DE SOUDURE'!E764="","",'CARNET DE SOUDURE'!D764&amp;"")</f>
        <v/>
      </c>
      <c r="E764" s="96" t="str">
        <f aca="false">IF(OR('CARNET DE SOUDURE'!E764="",'CARNET DE SOUDURE'!R764=""),"",'CARNET DE SOUDURE'!R764)</f>
        <v/>
      </c>
      <c r="F764" s="81" t="str">
        <f aca="false">IF('CARNET DE SOUDURE'!E764="","",'CARNET DE SOUDURE'!AL764)</f>
        <v/>
      </c>
      <c r="G764" s="81" t="str">
        <f aca="false">IF('CARNET DE SOUDURE'!E764="","",'CARNET DE SOUDURE'!AM764)</f>
        <v>À SOUDER</v>
      </c>
      <c r="H764" s="81" t="str">
        <f aca="false">IF(C764="","",IF(G764="ACCEPTÉ","OUI","NON"))</f>
        <v>NON</v>
      </c>
      <c r="I764" s="82"/>
      <c r="J764" s="79"/>
      <c r="K764" s="80"/>
      <c r="L764" s="80"/>
      <c r="M764" s="80"/>
      <c r="N764" s="83" t="str">
        <f aca="false">IF(C764="","",IF(I764="",IF(H764="OUI","À ENROBER",IF(G764="À SOUDER","NON SOUDÉ","EN ATTENTE RT")),IF(L764="R","À REPRENDRE",IF(H764&lt;&gt;"OUI","⚠ ENROBÉ AVANT ACCEPTATION RT","ENROBÉ"))))</f>
        <v>NON SOUDÉ</v>
      </c>
      <c r="O764" s="79"/>
    </row>
    <row r="765" customFormat="false" ht="15" hidden="false" customHeight="false" outlineLevel="0" collapsed="false">
      <c r="A765" s="78" t="n">
        <f aca="false">IF('CARNET DE SOUDURE'!E765="","",'CARNET DE SOUDURE'!A765)</f>
        <v>759</v>
      </c>
      <c r="B765" s="93" t="str">
        <f aca="false">IF('CARNET DE SOUDURE'!E765="","",'CARNET DE SOUDURE'!B765&amp;"")</f>
        <v>ISB-304</v>
      </c>
      <c r="C765" s="83" t="str">
        <f aca="false">IF('CARNET DE SOUDURE'!E765="","",'CARNET DE SOUDURE'!E765)</f>
        <v>JN°154</v>
      </c>
      <c r="D765" s="78" t="str">
        <f aca="false">IF('CARNET DE SOUDURE'!E765="","",'CARNET DE SOUDURE'!D765&amp;"")</f>
        <v/>
      </c>
      <c r="E765" s="96" t="str">
        <f aca="false">IF(OR('CARNET DE SOUDURE'!E765="",'CARNET DE SOUDURE'!R765=""),"",'CARNET DE SOUDURE'!R765)</f>
        <v/>
      </c>
      <c r="F765" s="81" t="str">
        <f aca="false">IF('CARNET DE SOUDURE'!E765="","",'CARNET DE SOUDURE'!AL765)</f>
        <v/>
      </c>
      <c r="G765" s="81" t="str">
        <f aca="false">IF('CARNET DE SOUDURE'!E765="","",'CARNET DE SOUDURE'!AM765)</f>
        <v>À SOUDER</v>
      </c>
      <c r="H765" s="81" t="str">
        <f aca="false">IF(C765="","",IF(G765="ACCEPTÉ","OUI","NON"))</f>
        <v>NON</v>
      </c>
      <c r="I765" s="82"/>
      <c r="J765" s="79"/>
      <c r="K765" s="80"/>
      <c r="L765" s="80"/>
      <c r="M765" s="80"/>
      <c r="N765" s="83" t="str">
        <f aca="false">IF(C765="","",IF(I765="",IF(H765="OUI","À ENROBER",IF(G765="À SOUDER","NON SOUDÉ","EN ATTENTE RT")),IF(L765="R","À REPRENDRE",IF(H765&lt;&gt;"OUI","⚠ ENROBÉ AVANT ACCEPTATION RT","ENROBÉ"))))</f>
        <v>NON SOUDÉ</v>
      </c>
      <c r="O765" s="79"/>
    </row>
    <row r="766" customFormat="false" ht="15" hidden="false" customHeight="false" outlineLevel="0" collapsed="false">
      <c r="A766" s="78" t="n">
        <f aca="false">IF('CARNET DE SOUDURE'!E766="","",'CARNET DE SOUDURE'!A766)</f>
        <v>760</v>
      </c>
      <c r="B766" s="93" t="str">
        <f aca="false">IF('CARNET DE SOUDURE'!E766="","",'CARNET DE SOUDURE'!B766&amp;"")</f>
        <v>ISB-304</v>
      </c>
      <c r="C766" s="83" t="str">
        <f aca="false">IF('CARNET DE SOUDURE'!E766="","",'CARNET DE SOUDURE'!E766)</f>
        <v>JN°155</v>
      </c>
      <c r="D766" s="78" t="str">
        <f aca="false">IF('CARNET DE SOUDURE'!E766="","",'CARNET DE SOUDURE'!D766&amp;"")</f>
        <v/>
      </c>
      <c r="E766" s="96" t="str">
        <f aca="false">IF(OR('CARNET DE SOUDURE'!E766="",'CARNET DE SOUDURE'!R766=""),"",'CARNET DE SOUDURE'!R766)</f>
        <v/>
      </c>
      <c r="F766" s="81" t="str">
        <f aca="false">IF('CARNET DE SOUDURE'!E766="","",'CARNET DE SOUDURE'!AL766)</f>
        <v/>
      </c>
      <c r="G766" s="81" t="str">
        <f aca="false">IF('CARNET DE SOUDURE'!E766="","",'CARNET DE SOUDURE'!AM766)</f>
        <v>À SOUDER</v>
      </c>
      <c r="H766" s="81" t="str">
        <f aca="false">IF(C766="","",IF(G766="ACCEPTÉ","OUI","NON"))</f>
        <v>NON</v>
      </c>
      <c r="I766" s="82"/>
      <c r="J766" s="79"/>
      <c r="K766" s="80"/>
      <c r="L766" s="80"/>
      <c r="M766" s="80"/>
      <c r="N766" s="83" t="str">
        <f aca="false">IF(C766="","",IF(I766="",IF(H766="OUI","À ENROBER",IF(G766="À SOUDER","NON SOUDÉ","EN ATTENTE RT")),IF(L766="R","À REPRENDRE",IF(H766&lt;&gt;"OUI","⚠ ENROBÉ AVANT ACCEPTATION RT","ENROBÉ"))))</f>
        <v>NON SOUDÉ</v>
      </c>
      <c r="O766" s="79"/>
    </row>
    <row r="767" customFormat="false" ht="15" hidden="false" customHeight="false" outlineLevel="0" collapsed="false">
      <c r="A767" s="78" t="n">
        <f aca="false">IF('CARNET DE SOUDURE'!E767="","",'CARNET DE SOUDURE'!A767)</f>
        <v>761</v>
      </c>
      <c r="B767" s="93" t="str">
        <f aca="false">IF('CARNET DE SOUDURE'!E767="","",'CARNET DE SOUDURE'!B767&amp;"")</f>
        <v>ISB-304</v>
      </c>
      <c r="C767" s="83" t="str">
        <f aca="false">IF('CARNET DE SOUDURE'!E767="","",'CARNET DE SOUDURE'!E767)</f>
        <v>JN°156</v>
      </c>
      <c r="D767" s="78" t="str">
        <f aca="false">IF('CARNET DE SOUDURE'!E767="","",'CARNET DE SOUDURE'!D767&amp;"")</f>
        <v/>
      </c>
      <c r="E767" s="96" t="str">
        <f aca="false">IF(OR('CARNET DE SOUDURE'!E767="",'CARNET DE SOUDURE'!R767=""),"",'CARNET DE SOUDURE'!R767)</f>
        <v/>
      </c>
      <c r="F767" s="81" t="str">
        <f aca="false">IF('CARNET DE SOUDURE'!E767="","",'CARNET DE SOUDURE'!AL767)</f>
        <v/>
      </c>
      <c r="G767" s="81" t="str">
        <f aca="false">IF('CARNET DE SOUDURE'!E767="","",'CARNET DE SOUDURE'!AM767)</f>
        <v>À SOUDER</v>
      </c>
      <c r="H767" s="81" t="str">
        <f aca="false">IF(C767="","",IF(G767="ACCEPTÉ","OUI","NON"))</f>
        <v>NON</v>
      </c>
      <c r="I767" s="82"/>
      <c r="J767" s="79"/>
      <c r="K767" s="80"/>
      <c r="L767" s="80"/>
      <c r="M767" s="80"/>
      <c r="N767" s="83" t="str">
        <f aca="false">IF(C767="","",IF(I767="",IF(H767="OUI","À ENROBER",IF(G767="À SOUDER","NON SOUDÉ","EN ATTENTE RT")),IF(L767="R","À REPRENDRE",IF(H767&lt;&gt;"OUI","⚠ ENROBÉ AVANT ACCEPTATION RT","ENROBÉ"))))</f>
        <v>NON SOUDÉ</v>
      </c>
      <c r="O767" s="79"/>
    </row>
    <row r="768" customFormat="false" ht="15" hidden="false" customHeight="false" outlineLevel="0" collapsed="false">
      <c r="A768" s="78" t="n">
        <f aca="false">IF('CARNET DE SOUDURE'!E768="","",'CARNET DE SOUDURE'!A768)</f>
        <v>762</v>
      </c>
      <c r="B768" s="93" t="str">
        <f aca="false">IF('CARNET DE SOUDURE'!E768="","",'CARNET DE SOUDURE'!B768&amp;"")</f>
        <v>ISB-304</v>
      </c>
      <c r="C768" s="83" t="str">
        <f aca="false">IF('CARNET DE SOUDURE'!E768="","",'CARNET DE SOUDURE'!E768)</f>
        <v>JN°157</v>
      </c>
      <c r="D768" s="78" t="str">
        <f aca="false">IF('CARNET DE SOUDURE'!E768="","",'CARNET DE SOUDURE'!D768&amp;"")</f>
        <v/>
      </c>
      <c r="E768" s="96" t="str">
        <f aca="false">IF(OR('CARNET DE SOUDURE'!E768="",'CARNET DE SOUDURE'!R768=""),"",'CARNET DE SOUDURE'!R768)</f>
        <v/>
      </c>
      <c r="F768" s="81" t="str">
        <f aca="false">IF('CARNET DE SOUDURE'!E768="","",'CARNET DE SOUDURE'!AL768)</f>
        <v/>
      </c>
      <c r="G768" s="81" t="str">
        <f aca="false">IF('CARNET DE SOUDURE'!E768="","",'CARNET DE SOUDURE'!AM768)</f>
        <v>À SOUDER</v>
      </c>
      <c r="H768" s="81" t="str">
        <f aca="false">IF(C768="","",IF(G768="ACCEPTÉ","OUI","NON"))</f>
        <v>NON</v>
      </c>
      <c r="I768" s="82"/>
      <c r="J768" s="79"/>
      <c r="K768" s="80"/>
      <c r="L768" s="80"/>
      <c r="M768" s="80"/>
      <c r="N768" s="83" t="str">
        <f aca="false">IF(C768="","",IF(I768="",IF(H768="OUI","À ENROBER",IF(G768="À SOUDER","NON SOUDÉ","EN ATTENTE RT")),IF(L768="R","À REPRENDRE",IF(H768&lt;&gt;"OUI","⚠ ENROBÉ AVANT ACCEPTATION RT","ENROBÉ"))))</f>
        <v>NON SOUDÉ</v>
      </c>
      <c r="O768" s="79"/>
    </row>
    <row r="769" customFormat="false" ht="15" hidden="false" customHeight="false" outlineLevel="0" collapsed="false">
      <c r="A769" s="78" t="n">
        <f aca="false">IF('CARNET DE SOUDURE'!E769="","",'CARNET DE SOUDURE'!A769)</f>
        <v>763</v>
      </c>
      <c r="B769" s="93" t="str">
        <f aca="false">IF('CARNET DE SOUDURE'!E769="","",'CARNET DE SOUDURE'!B769&amp;"")</f>
        <v>ISB-304</v>
      </c>
      <c r="C769" s="83" t="str">
        <f aca="false">IF('CARNET DE SOUDURE'!E769="","",'CARNET DE SOUDURE'!E769)</f>
        <v>JN°158</v>
      </c>
      <c r="D769" s="78" t="str">
        <f aca="false">IF('CARNET DE SOUDURE'!E769="","",'CARNET DE SOUDURE'!D769&amp;"")</f>
        <v/>
      </c>
      <c r="E769" s="96" t="str">
        <f aca="false">IF(OR('CARNET DE SOUDURE'!E769="",'CARNET DE SOUDURE'!R769=""),"",'CARNET DE SOUDURE'!R769)</f>
        <v/>
      </c>
      <c r="F769" s="81" t="str">
        <f aca="false">IF('CARNET DE SOUDURE'!E769="","",'CARNET DE SOUDURE'!AL769)</f>
        <v/>
      </c>
      <c r="G769" s="81" t="str">
        <f aca="false">IF('CARNET DE SOUDURE'!E769="","",'CARNET DE SOUDURE'!AM769)</f>
        <v>À SOUDER</v>
      </c>
      <c r="H769" s="81" t="str">
        <f aca="false">IF(C769="","",IF(G769="ACCEPTÉ","OUI","NON"))</f>
        <v>NON</v>
      </c>
      <c r="I769" s="82"/>
      <c r="J769" s="79"/>
      <c r="K769" s="80"/>
      <c r="L769" s="80"/>
      <c r="M769" s="80"/>
      <c r="N769" s="83" t="str">
        <f aca="false">IF(C769="","",IF(I769="",IF(H769="OUI","À ENROBER",IF(G769="À SOUDER","NON SOUDÉ","EN ATTENTE RT")),IF(L769="R","À REPRENDRE",IF(H769&lt;&gt;"OUI","⚠ ENROBÉ AVANT ACCEPTATION RT","ENROBÉ"))))</f>
        <v>NON SOUDÉ</v>
      </c>
      <c r="O769" s="79"/>
    </row>
    <row r="770" customFormat="false" ht="15" hidden="false" customHeight="false" outlineLevel="0" collapsed="false">
      <c r="A770" s="78" t="n">
        <f aca="false">IF('CARNET DE SOUDURE'!E770="","",'CARNET DE SOUDURE'!A770)</f>
        <v>764</v>
      </c>
      <c r="B770" s="93" t="str">
        <f aca="false">IF('CARNET DE SOUDURE'!E770="","",'CARNET DE SOUDURE'!B770&amp;"")</f>
        <v>ISB-304</v>
      </c>
      <c r="C770" s="83" t="str">
        <f aca="false">IF('CARNET DE SOUDURE'!E770="","",'CARNET DE SOUDURE'!E770)</f>
        <v>JN°159</v>
      </c>
      <c r="D770" s="78" t="str">
        <f aca="false">IF('CARNET DE SOUDURE'!E770="","",'CARNET DE SOUDURE'!D770&amp;"")</f>
        <v/>
      </c>
      <c r="E770" s="96" t="str">
        <f aca="false">IF(OR('CARNET DE SOUDURE'!E770="",'CARNET DE SOUDURE'!R770=""),"",'CARNET DE SOUDURE'!R770)</f>
        <v/>
      </c>
      <c r="F770" s="81" t="str">
        <f aca="false">IF('CARNET DE SOUDURE'!E770="","",'CARNET DE SOUDURE'!AL770)</f>
        <v/>
      </c>
      <c r="G770" s="81" t="str">
        <f aca="false">IF('CARNET DE SOUDURE'!E770="","",'CARNET DE SOUDURE'!AM770)</f>
        <v>À SOUDER</v>
      </c>
      <c r="H770" s="81" t="str">
        <f aca="false">IF(C770="","",IF(G770="ACCEPTÉ","OUI","NON"))</f>
        <v>NON</v>
      </c>
      <c r="I770" s="82"/>
      <c r="J770" s="79"/>
      <c r="K770" s="80"/>
      <c r="L770" s="80"/>
      <c r="M770" s="80"/>
      <c r="N770" s="83" t="str">
        <f aca="false">IF(C770="","",IF(I770="",IF(H770="OUI","À ENROBER",IF(G770="À SOUDER","NON SOUDÉ","EN ATTENTE RT")),IF(L770="R","À REPRENDRE",IF(H770&lt;&gt;"OUI","⚠ ENROBÉ AVANT ACCEPTATION RT","ENROBÉ"))))</f>
        <v>NON SOUDÉ</v>
      </c>
      <c r="O770" s="79"/>
    </row>
    <row r="771" customFormat="false" ht="15" hidden="false" customHeight="false" outlineLevel="0" collapsed="false">
      <c r="A771" s="78" t="n">
        <f aca="false">IF('CARNET DE SOUDURE'!E771="","",'CARNET DE SOUDURE'!A771)</f>
        <v>765</v>
      </c>
      <c r="B771" s="93" t="str">
        <f aca="false">IF('CARNET DE SOUDURE'!E771="","",'CARNET DE SOUDURE'!B771&amp;"")</f>
        <v>ISB-304</v>
      </c>
      <c r="C771" s="83" t="str">
        <f aca="false">IF('CARNET DE SOUDURE'!E771="","",'CARNET DE SOUDURE'!E771)</f>
        <v>JN°160</v>
      </c>
      <c r="D771" s="78" t="str">
        <f aca="false">IF('CARNET DE SOUDURE'!E771="","",'CARNET DE SOUDURE'!D771&amp;"")</f>
        <v/>
      </c>
      <c r="E771" s="96" t="str">
        <f aca="false">IF(OR('CARNET DE SOUDURE'!E771="",'CARNET DE SOUDURE'!R771=""),"",'CARNET DE SOUDURE'!R771)</f>
        <v/>
      </c>
      <c r="F771" s="81" t="str">
        <f aca="false">IF('CARNET DE SOUDURE'!E771="","",'CARNET DE SOUDURE'!AL771)</f>
        <v/>
      </c>
      <c r="G771" s="81" t="str">
        <f aca="false">IF('CARNET DE SOUDURE'!E771="","",'CARNET DE SOUDURE'!AM771)</f>
        <v>À SOUDER</v>
      </c>
      <c r="H771" s="81" t="str">
        <f aca="false">IF(C771="","",IF(G771="ACCEPTÉ","OUI","NON"))</f>
        <v>NON</v>
      </c>
      <c r="I771" s="82"/>
      <c r="J771" s="79"/>
      <c r="K771" s="80"/>
      <c r="L771" s="80"/>
      <c r="M771" s="80"/>
      <c r="N771" s="83" t="str">
        <f aca="false">IF(C771="","",IF(I771="",IF(H771="OUI","À ENROBER",IF(G771="À SOUDER","NON SOUDÉ","EN ATTENTE RT")),IF(L771="R","À REPRENDRE",IF(H771&lt;&gt;"OUI","⚠ ENROBÉ AVANT ACCEPTATION RT","ENROBÉ"))))</f>
        <v>NON SOUDÉ</v>
      </c>
      <c r="O771" s="79"/>
    </row>
    <row r="772" customFormat="false" ht="15" hidden="false" customHeight="false" outlineLevel="0" collapsed="false">
      <c r="A772" s="78" t="n">
        <f aca="false">IF('CARNET DE SOUDURE'!E772="","",'CARNET DE SOUDURE'!A772)</f>
        <v>766</v>
      </c>
      <c r="B772" s="93" t="str">
        <f aca="false">IF('CARNET DE SOUDURE'!E772="","",'CARNET DE SOUDURE'!B772&amp;"")</f>
        <v>ISB-304</v>
      </c>
      <c r="C772" s="83" t="str">
        <f aca="false">IF('CARNET DE SOUDURE'!E772="","",'CARNET DE SOUDURE'!E772)</f>
        <v>JN°161</v>
      </c>
      <c r="D772" s="78" t="str">
        <f aca="false">IF('CARNET DE SOUDURE'!E772="","",'CARNET DE SOUDURE'!D772&amp;"")</f>
        <v/>
      </c>
      <c r="E772" s="96" t="str">
        <f aca="false">IF(OR('CARNET DE SOUDURE'!E772="",'CARNET DE SOUDURE'!R772=""),"",'CARNET DE SOUDURE'!R772)</f>
        <v/>
      </c>
      <c r="F772" s="81" t="str">
        <f aca="false">IF('CARNET DE SOUDURE'!E772="","",'CARNET DE SOUDURE'!AL772)</f>
        <v/>
      </c>
      <c r="G772" s="81" t="str">
        <f aca="false">IF('CARNET DE SOUDURE'!E772="","",'CARNET DE SOUDURE'!AM772)</f>
        <v>À SOUDER</v>
      </c>
      <c r="H772" s="81" t="str">
        <f aca="false">IF(C772="","",IF(G772="ACCEPTÉ","OUI","NON"))</f>
        <v>NON</v>
      </c>
      <c r="I772" s="82"/>
      <c r="J772" s="79"/>
      <c r="K772" s="80"/>
      <c r="L772" s="80"/>
      <c r="M772" s="80"/>
      <c r="N772" s="83" t="str">
        <f aca="false">IF(C772="","",IF(I772="",IF(H772="OUI","À ENROBER",IF(G772="À SOUDER","NON SOUDÉ","EN ATTENTE RT")),IF(L772="R","À REPRENDRE",IF(H772&lt;&gt;"OUI","⚠ ENROBÉ AVANT ACCEPTATION RT","ENROBÉ"))))</f>
        <v>NON SOUDÉ</v>
      </c>
      <c r="O772" s="79"/>
    </row>
    <row r="773" customFormat="false" ht="15" hidden="false" customHeight="false" outlineLevel="0" collapsed="false">
      <c r="A773" s="78" t="n">
        <f aca="false">IF('CARNET DE SOUDURE'!E773="","",'CARNET DE SOUDURE'!A773)</f>
        <v>767</v>
      </c>
      <c r="B773" s="93" t="str">
        <f aca="false">IF('CARNET DE SOUDURE'!E773="","",'CARNET DE SOUDURE'!B773&amp;"")</f>
        <v>ISB-304</v>
      </c>
      <c r="C773" s="83" t="str">
        <f aca="false">IF('CARNET DE SOUDURE'!E773="","",'CARNET DE SOUDURE'!E773)</f>
        <v>JN°162</v>
      </c>
      <c r="D773" s="78" t="str">
        <f aca="false">IF('CARNET DE SOUDURE'!E773="","",'CARNET DE SOUDURE'!D773&amp;"")</f>
        <v/>
      </c>
      <c r="E773" s="96" t="str">
        <f aca="false">IF(OR('CARNET DE SOUDURE'!E773="",'CARNET DE SOUDURE'!R773=""),"",'CARNET DE SOUDURE'!R773)</f>
        <v/>
      </c>
      <c r="F773" s="81" t="str">
        <f aca="false">IF('CARNET DE SOUDURE'!E773="","",'CARNET DE SOUDURE'!AL773)</f>
        <v/>
      </c>
      <c r="G773" s="81" t="str">
        <f aca="false">IF('CARNET DE SOUDURE'!E773="","",'CARNET DE SOUDURE'!AM773)</f>
        <v>À SOUDER</v>
      </c>
      <c r="H773" s="81" t="str">
        <f aca="false">IF(C773="","",IF(G773="ACCEPTÉ","OUI","NON"))</f>
        <v>NON</v>
      </c>
      <c r="I773" s="82"/>
      <c r="J773" s="79"/>
      <c r="K773" s="80"/>
      <c r="L773" s="80"/>
      <c r="M773" s="80"/>
      <c r="N773" s="83" t="str">
        <f aca="false">IF(C773="","",IF(I773="",IF(H773="OUI","À ENROBER",IF(G773="À SOUDER","NON SOUDÉ","EN ATTENTE RT")),IF(L773="R","À REPRENDRE",IF(H773&lt;&gt;"OUI","⚠ ENROBÉ AVANT ACCEPTATION RT","ENROBÉ"))))</f>
        <v>NON SOUDÉ</v>
      </c>
      <c r="O773" s="79"/>
    </row>
    <row r="774" customFormat="false" ht="15" hidden="false" customHeight="false" outlineLevel="0" collapsed="false">
      <c r="A774" s="78" t="n">
        <f aca="false">IF('CARNET DE SOUDURE'!E774="","",'CARNET DE SOUDURE'!A774)</f>
        <v>768</v>
      </c>
      <c r="B774" s="93" t="str">
        <f aca="false">IF('CARNET DE SOUDURE'!E774="","",'CARNET DE SOUDURE'!B774&amp;"")</f>
        <v>ISB-304</v>
      </c>
      <c r="C774" s="83" t="str">
        <f aca="false">IF('CARNET DE SOUDURE'!E774="","",'CARNET DE SOUDURE'!E774)</f>
        <v>JN°163</v>
      </c>
      <c r="D774" s="78" t="str">
        <f aca="false">IF('CARNET DE SOUDURE'!E774="","",'CARNET DE SOUDURE'!D774&amp;"")</f>
        <v/>
      </c>
      <c r="E774" s="96" t="str">
        <f aca="false">IF(OR('CARNET DE SOUDURE'!E774="",'CARNET DE SOUDURE'!R774=""),"",'CARNET DE SOUDURE'!R774)</f>
        <v/>
      </c>
      <c r="F774" s="81" t="str">
        <f aca="false">IF('CARNET DE SOUDURE'!E774="","",'CARNET DE SOUDURE'!AL774)</f>
        <v/>
      </c>
      <c r="G774" s="81" t="str">
        <f aca="false">IF('CARNET DE SOUDURE'!E774="","",'CARNET DE SOUDURE'!AM774)</f>
        <v>À SOUDER</v>
      </c>
      <c r="H774" s="81" t="str">
        <f aca="false">IF(C774="","",IF(G774="ACCEPTÉ","OUI","NON"))</f>
        <v>NON</v>
      </c>
      <c r="I774" s="82"/>
      <c r="J774" s="79"/>
      <c r="K774" s="80"/>
      <c r="L774" s="80"/>
      <c r="M774" s="80"/>
      <c r="N774" s="83" t="str">
        <f aca="false">IF(C774="","",IF(I774="",IF(H774="OUI","À ENROBER",IF(G774="À SOUDER","NON SOUDÉ","EN ATTENTE RT")),IF(L774="R","À REPRENDRE",IF(H774&lt;&gt;"OUI","⚠ ENROBÉ AVANT ACCEPTATION RT","ENROBÉ"))))</f>
        <v>NON SOUDÉ</v>
      </c>
      <c r="O774" s="79"/>
    </row>
    <row r="775" customFormat="false" ht="15" hidden="false" customHeight="false" outlineLevel="0" collapsed="false">
      <c r="A775" s="78" t="n">
        <f aca="false">IF('CARNET DE SOUDURE'!E775="","",'CARNET DE SOUDURE'!A775)</f>
        <v>769</v>
      </c>
      <c r="B775" s="93" t="str">
        <f aca="false">IF('CARNET DE SOUDURE'!E775="","",'CARNET DE SOUDURE'!B775&amp;"")</f>
        <v>ISB-304</v>
      </c>
      <c r="C775" s="83" t="str">
        <f aca="false">IF('CARNET DE SOUDURE'!E775="","",'CARNET DE SOUDURE'!E775)</f>
        <v>JN°164</v>
      </c>
      <c r="D775" s="78" t="str">
        <f aca="false">IF('CARNET DE SOUDURE'!E775="","",'CARNET DE SOUDURE'!D775&amp;"")</f>
        <v/>
      </c>
      <c r="E775" s="96" t="str">
        <f aca="false">IF(OR('CARNET DE SOUDURE'!E775="",'CARNET DE SOUDURE'!R775=""),"",'CARNET DE SOUDURE'!R775)</f>
        <v/>
      </c>
      <c r="F775" s="81" t="str">
        <f aca="false">IF('CARNET DE SOUDURE'!E775="","",'CARNET DE SOUDURE'!AL775)</f>
        <v/>
      </c>
      <c r="G775" s="81" t="str">
        <f aca="false">IF('CARNET DE SOUDURE'!E775="","",'CARNET DE SOUDURE'!AM775)</f>
        <v>À SOUDER</v>
      </c>
      <c r="H775" s="81" t="str">
        <f aca="false">IF(C775="","",IF(G775="ACCEPTÉ","OUI","NON"))</f>
        <v>NON</v>
      </c>
      <c r="I775" s="82"/>
      <c r="J775" s="79"/>
      <c r="K775" s="80"/>
      <c r="L775" s="80"/>
      <c r="M775" s="80"/>
      <c r="N775" s="83" t="str">
        <f aca="false">IF(C775="","",IF(I775="",IF(H775="OUI","À ENROBER",IF(G775="À SOUDER","NON SOUDÉ","EN ATTENTE RT")),IF(L775="R","À REPRENDRE",IF(H775&lt;&gt;"OUI","⚠ ENROBÉ AVANT ACCEPTATION RT","ENROBÉ"))))</f>
        <v>NON SOUDÉ</v>
      </c>
      <c r="O775" s="79"/>
    </row>
    <row r="776" customFormat="false" ht="15" hidden="false" customHeight="false" outlineLevel="0" collapsed="false">
      <c r="A776" s="78" t="n">
        <f aca="false">IF('CARNET DE SOUDURE'!E776="","",'CARNET DE SOUDURE'!A776)</f>
        <v>770</v>
      </c>
      <c r="B776" s="93" t="str">
        <f aca="false">IF('CARNET DE SOUDURE'!E776="","",'CARNET DE SOUDURE'!B776&amp;"")</f>
        <v>ISB-304</v>
      </c>
      <c r="C776" s="83" t="str">
        <f aca="false">IF('CARNET DE SOUDURE'!E776="","",'CARNET DE SOUDURE'!E776)</f>
        <v>JN°165</v>
      </c>
      <c r="D776" s="78" t="str">
        <f aca="false">IF('CARNET DE SOUDURE'!E776="","",'CARNET DE SOUDURE'!D776&amp;"")</f>
        <v/>
      </c>
      <c r="E776" s="96" t="str">
        <f aca="false">IF(OR('CARNET DE SOUDURE'!E776="",'CARNET DE SOUDURE'!R776=""),"",'CARNET DE SOUDURE'!R776)</f>
        <v/>
      </c>
      <c r="F776" s="81" t="str">
        <f aca="false">IF('CARNET DE SOUDURE'!E776="","",'CARNET DE SOUDURE'!AL776)</f>
        <v/>
      </c>
      <c r="G776" s="81" t="str">
        <f aca="false">IF('CARNET DE SOUDURE'!E776="","",'CARNET DE SOUDURE'!AM776)</f>
        <v>À SOUDER</v>
      </c>
      <c r="H776" s="81" t="str">
        <f aca="false">IF(C776="","",IF(G776="ACCEPTÉ","OUI","NON"))</f>
        <v>NON</v>
      </c>
      <c r="I776" s="82"/>
      <c r="J776" s="79"/>
      <c r="K776" s="80"/>
      <c r="L776" s="80"/>
      <c r="M776" s="80"/>
      <c r="N776" s="83" t="str">
        <f aca="false">IF(C776="","",IF(I776="",IF(H776="OUI","À ENROBER",IF(G776="À SOUDER","NON SOUDÉ","EN ATTENTE RT")),IF(L776="R","À REPRENDRE",IF(H776&lt;&gt;"OUI","⚠ ENROBÉ AVANT ACCEPTATION RT","ENROBÉ"))))</f>
        <v>NON SOUDÉ</v>
      </c>
      <c r="O776" s="79"/>
    </row>
    <row r="777" customFormat="false" ht="15" hidden="false" customHeight="false" outlineLevel="0" collapsed="false">
      <c r="A777" s="78" t="n">
        <f aca="false">IF('CARNET DE SOUDURE'!E777="","",'CARNET DE SOUDURE'!A777)</f>
        <v>771</v>
      </c>
      <c r="B777" s="93" t="str">
        <f aca="false">IF('CARNET DE SOUDURE'!E777="","",'CARNET DE SOUDURE'!B777&amp;"")</f>
        <v>ISB-304</v>
      </c>
      <c r="C777" s="83" t="str">
        <f aca="false">IF('CARNET DE SOUDURE'!E777="","",'CARNET DE SOUDURE'!E777)</f>
        <v>JN°166</v>
      </c>
      <c r="D777" s="78" t="str">
        <f aca="false">IF('CARNET DE SOUDURE'!E777="","",'CARNET DE SOUDURE'!D777&amp;"")</f>
        <v/>
      </c>
      <c r="E777" s="96" t="str">
        <f aca="false">IF(OR('CARNET DE SOUDURE'!E777="",'CARNET DE SOUDURE'!R777=""),"",'CARNET DE SOUDURE'!R777)</f>
        <v/>
      </c>
      <c r="F777" s="81" t="str">
        <f aca="false">IF('CARNET DE SOUDURE'!E777="","",'CARNET DE SOUDURE'!AL777)</f>
        <v/>
      </c>
      <c r="G777" s="81" t="str">
        <f aca="false">IF('CARNET DE SOUDURE'!E777="","",'CARNET DE SOUDURE'!AM777)</f>
        <v>À SOUDER</v>
      </c>
      <c r="H777" s="81" t="str">
        <f aca="false">IF(C777="","",IF(G777="ACCEPTÉ","OUI","NON"))</f>
        <v>NON</v>
      </c>
      <c r="I777" s="82"/>
      <c r="J777" s="79"/>
      <c r="K777" s="80"/>
      <c r="L777" s="80"/>
      <c r="M777" s="80"/>
      <c r="N777" s="83" t="str">
        <f aca="false">IF(C777="","",IF(I777="",IF(H777="OUI","À ENROBER",IF(G777="À SOUDER","NON SOUDÉ","EN ATTENTE RT")),IF(L777="R","À REPRENDRE",IF(H777&lt;&gt;"OUI","⚠ ENROBÉ AVANT ACCEPTATION RT","ENROBÉ"))))</f>
        <v>NON SOUDÉ</v>
      </c>
      <c r="O777" s="79"/>
    </row>
    <row r="778" customFormat="false" ht="15" hidden="false" customHeight="false" outlineLevel="0" collapsed="false">
      <c r="A778" s="78" t="n">
        <f aca="false">IF('CARNET DE SOUDURE'!E778="","",'CARNET DE SOUDURE'!A778)</f>
        <v>772</v>
      </c>
      <c r="B778" s="93" t="str">
        <f aca="false">IF('CARNET DE SOUDURE'!E778="","",'CARNET DE SOUDURE'!B778&amp;"")</f>
        <v>ISB-304</v>
      </c>
      <c r="C778" s="83" t="str">
        <f aca="false">IF('CARNET DE SOUDURE'!E778="","",'CARNET DE SOUDURE'!E778)</f>
        <v>JN°167</v>
      </c>
      <c r="D778" s="78" t="str">
        <f aca="false">IF('CARNET DE SOUDURE'!E778="","",'CARNET DE SOUDURE'!D778&amp;"")</f>
        <v/>
      </c>
      <c r="E778" s="96" t="str">
        <f aca="false">IF(OR('CARNET DE SOUDURE'!E778="",'CARNET DE SOUDURE'!R778=""),"",'CARNET DE SOUDURE'!R778)</f>
        <v/>
      </c>
      <c r="F778" s="81" t="str">
        <f aca="false">IF('CARNET DE SOUDURE'!E778="","",'CARNET DE SOUDURE'!AL778)</f>
        <v/>
      </c>
      <c r="G778" s="81" t="str">
        <f aca="false">IF('CARNET DE SOUDURE'!E778="","",'CARNET DE SOUDURE'!AM778)</f>
        <v>À SOUDER</v>
      </c>
      <c r="H778" s="81" t="str">
        <f aca="false">IF(C778="","",IF(G778="ACCEPTÉ","OUI","NON"))</f>
        <v>NON</v>
      </c>
      <c r="I778" s="82"/>
      <c r="J778" s="79"/>
      <c r="K778" s="80"/>
      <c r="L778" s="80"/>
      <c r="M778" s="80"/>
      <c r="N778" s="83" t="str">
        <f aca="false">IF(C778="","",IF(I778="",IF(H778="OUI","À ENROBER",IF(G778="À SOUDER","NON SOUDÉ","EN ATTENTE RT")),IF(L778="R","À REPRENDRE",IF(H778&lt;&gt;"OUI","⚠ ENROBÉ AVANT ACCEPTATION RT","ENROBÉ"))))</f>
        <v>NON SOUDÉ</v>
      </c>
      <c r="O778" s="79"/>
    </row>
    <row r="779" customFormat="false" ht="15" hidden="false" customHeight="false" outlineLevel="0" collapsed="false">
      <c r="A779" s="78" t="n">
        <f aca="false">IF('CARNET DE SOUDURE'!E779="","",'CARNET DE SOUDURE'!A779)</f>
        <v>773</v>
      </c>
      <c r="B779" s="93" t="str">
        <f aca="false">IF('CARNET DE SOUDURE'!E779="","",'CARNET DE SOUDURE'!B779&amp;"")</f>
        <v>ISB-304</v>
      </c>
      <c r="C779" s="83" t="str">
        <f aca="false">IF('CARNET DE SOUDURE'!E779="","",'CARNET DE SOUDURE'!E779)</f>
        <v>JN°168</v>
      </c>
      <c r="D779" s="78" t="str">
        <f aca="false">IF('CARNET DE SOUDURE'!E779="","",'CARNET DE SOUDURE'!D779&amp;"")</f>
        <v/>
      </c>
      <c r="E779" s="96" t="str">
        <f aca="false">IF(OR('CARNET DE SOUDURE'!E779="",'CARNET DE SOUDURE'!R779=""),"",'CARNET DE SOUDURE'!R779)</f>
        <v/>
      </c>
      <c r="F779" s="81" t="str">
        <f aca="false">IF('CARNET DE SOUDURE'!E779="","",'CARNET DE SOUDURE'!AL779)</f>
        <v/>
      </c>
      <c r="G779" s="81" t="str">
        <f aca="false">IF('CARNET DE SOUDURE'!E779="","",'CARNET DE SOUDURE'!AM779)</f>
        <v>À SOUDER</v>
      </c>
      <c r="H779" s="81" t="str">
        <f aca="false">IF(C779="","",IF(G779="ACCEPTÉ","OUI","NON"))</f>
        <v>NON</v>
      </c>
      <c r="I779" s="82"/>
      <c r="J779" s="79"/>
      <c r="K779" s="80"/>
      <c r="L779" s="80"/>
      <c r="M779" s="80"/>
      <c r="N779" s="83" t="str">
        <f aca="false">IF(C779="","",IF(I779="",IF(H779="OUI","À ENROBER",IF(G779="À SOUDER","NON SOUDÉ","EN ATTENTE RT")),IF(L779="R","À REPRENDRE",IF(H779&lt;&gt;"OUI","⚠ ENROBÉ AVANT ACCEPTATION RT","ENROBÉ"))))</f>
        <v>NON SOUDÉ</v>
      </c>
      <c r="O779" s="79"/>
    </row>
    <row r="780" customFormat="false" ht="15" hidden="false" customHeight="false" outlineLevel="0" collapsed="false">
      <c r="A780" s="78" t="n">
        <f aca="false">IF('CARNET DE SOUDURE'!E780="","",'CARNET DE SOUDURE'!A780)</f>
        <v>774</v>
      </c>
      <c r="B780" s="93" t="str">
        <f aca="false">IF('CARNET DE SOUDURE'!E780="","",'CARNET DE SOUDURE'!B780&amp;"")</f>
        <v>ISB-304</v>
      </c>
      <c r="C780" s="83" t="str">
        <f aca="false">IF('CARNET DE SOUDURE'!E780="","",'CARNET DE SOUDURE'!E780)</f>
        <v>JN°169</v>
      </c>
      <c r="D780" s="78" t="str">
        <f aca="false">IF('CARNET DE SOUDURE'!E780="","",'CARNET DE SOUDURE'!D780&amp;"")</f>
        <v/>
      </c>
      <c r="E780" s="96" t="str">
        <f aca="false">IF(OR('CARNET DE SOUDURE'!E780="",'CARNET DE SOUDURE'!R780=""),"",'CARNET DE SOUDURE'!R780)</f>
        <v/>
      </c>
      <c r="F780" s="81" t="str">
        <f aca="false">IF('CARNET DE SOUDURE'!E780="","",'CARNET DE SOUDURE'!AL780)</f>
        <v/>
      </c>
      <c r="G780" s="81" t="str">
        <f aca="false">IF('CARNET DE SOUDURE'!E780="","",'CARNET DE SOUDURE'!AM780)</f>
        <v>À SOUDER</v>
      </c>
      <c r="H780" s="81" t="str">
        <f aca="false">IF(C780="","",IF(G780="ACCEPTÉ","OUI","NON"))</f>
        <v>NON</v>
      </c>
      <c r="I780" s="82"/>
      <c r="J780" s="79"/>
      <c r="K780" s="80"/>
      <c r="L780" s="80"/>
      <c r="M780" s="80"/>
      <c r="N780" s="83" t="str">
        <f aca="false">IF(C780="","",IF(I780="",IF(H780="OUI","À ENROBER",IF(G780="À SOUDER","NON SOUDÉ","EN ATTENTE RT")),IF(L780="R","À REPRENDRE",IF(H780&lt;&gt;"OUI","⚠ ENROBÉ AVANT ACCEPTATION RT","ENROBÉ"))))</f>
        <v>NON SOUDÉ</v>
      </c>
      <c r="O780" s="79"/>
    </row>
    <row r="781" customFormat="false" ht="15" hidden="false" customHeight="false" outlineLevel="0" collapsed="false">
      <c r="A781" s="78" t="n">
        <f aca="false">IF('CARNET DE SOUDURE'!E781="","",'CARNET DE SOUDURE'!A781)</f>
        <v>775</v>
      </c>
      <c r="B781" s="93" t="str">
        <f aca="false">IF('CARNET DE SOUDURE'!E781="","",'CARNET DE SOUDURE'!B781&amp;"")</f>
        <v>ISB-304</v>
      </c>
      <c r="C781" s="83" t="str">
        <f aca="false">IF('CARNET DE SOUDURE'!E781="","",'CARNET DE SOUDURE'!E781)</f>
        <v>JN°170</v>
      </c>
      <c r="D781" s="78" t="str">
        <f aca="false">IF('CARNET DE SOUDURE'!E781="","",'CARNET DE SOUDURE'!D781&amp;"")</f>
        <v/>
      </c>
      <c r="E781" s="96" t="str">
        <f aca="false">IF(OR('CARNET DE SOUDURE'!E781="",'CARNET DE SOUDURE'!R781=""),"",'CARNET DE SOUDURE'!R781)</f>
        <v/>
      </c>
      <c r="F781" s="81" t="str">
        <f aca="false">IF('CARNET DE SOUDURE'!E781="","",'CARNET DE SOUDURE'!AL781)</f>
        <v/>
      </c>
      <c r="G781" s="81" t="str">
        <f aca="false">IF('CARNET DE SOUDURE'!E781="","",'CARNET DE SOUDURE'!AM781)</f>
        <v>À SOUDER</v>
      </c>
      <c r="H781" s="81" t="str">
        <f aca="false">IF(C781="","",IF(G781="ACCEPTÉ","OUI","NON"))</f>
        <v>NON</v>
      </c>
      <c r="I781" s="82"/>
      <c r="J781" s="79"/>
      <c r="K781" s="80"/>
      <c r="L781" s="80"/>
      <c r="M781" s="80"/>
      <c r="N781" s="83" t="str">
        <f aca="false">IF(C781="","",IF(I781="",IF(H781="OUI","À ENROBER",IF(G781="À SOUDER","NON SOUDÉ","EN ATTENTE RT")),IF(L781="R","À REPRENDRE",IF(H781&lt;&gt;"OUI","⚠ ENROBÉ AVANT ACCEPTATION RT","ENROBÉ"))))</f>
        <v>NON SOUDÉ</v>
      </c>
      <c r="O781" s="79"/>
    </row>
    <row r="782" customFormat="false" ht="15" hidden="false" customHeight="false" outlineLevel="0" collapsed="false">
      <c r="A782" s="78" t="n">
        <f aca="false">IF('CARNET DE SOUDURE'!E782="","",'CARNET DE SOUDURE'!A782)</f>
        <v>776</v>
      </c>
      <c r="B782" s="93" t="str">
        <f aca="false">IF('CARNET DE SOUDURE'!E782="","",'CARNET DE SOUDURE'!B782&amp;"")</f>
        <v>ISB-304</v>
      </c>
      <c r="C782" s="83" t="str">
        <f aca="false">IF('CARNET DE SOUDURE'!E782="","",'CARNET DE SOUDURE'!E782)</f>
        <v>JN°171</v>
      </c>
      <c r="D782" s="78" t="str">
        <f aca="false">IF('CARNET DE SOUDURE'!E782="","",'CARNET DE SOUDURE'!D782&amp;"")</f>
        <v/>
      </c>
      <c r="E782" s="96" t="str">
        <f aca="false">IF(OR('CARNET DE SOUDURE'!E782="",'CARNET DE SOUDURE'!R782=""),"",'CARNET DE SOUDURE'!R782)</f>
        <v/>
      </c>
      <c r="F782" s="81" t="str">
        <f aca="false">IF('CARNET DE SOUDURE'!E782="","",'CARNET DE SOUDURE'!AL782)</f>
        <v/>
      </c>
      <c r="G782" s="81" t="str">
        <f aca="false">IF('CARNET DE SOUDURE'!E782="","",'CARNET DE SOUDURE'!AM782)</f>
        <v>À SOUDER</v>
      </c>
      <c r="H782" s="81" t="str">
        <f aca="false">IF(C782="","",IF(G782="ACCEPTÉ","OUI","NON"))</f>
        <v>NON</v>
      </c>
      <c r="I782" s="82"/>
      <c r="J782" s="79"/>
      <c r="K782" s="80"/>
      <c r="L782" s="80"/>
      <c r="M782" s="80"/>
      <c r="N782" s="83" t="str">
        <f aca="false">IF(C782="","",IF(I782="",IF(H782="OUI","À ENROBER",IF(G782="À SOUDER","NON SOUDÉ","EN ATTENTE RT")),IF(L782="R","À REPRENDRE",IF(H782&lt;&gt;"OUI","⚠ ENROBÉ AVANT ACCEPTATION RT","ENROBÉ"))))</f>
        <v>NON SOUDÉ</v>
      </c>
      <c r="O782" s="79"/>
    </row>
    <row r="783" customFormat="false" ht="15" hidden="false" customHeight="false" outlineLevel="0" collapsed="false">
      <c r="A783" s="78" t="n">
        <f aca="false">IF('CARNET DE SOUDURE'!E783="","",'CARNET DE SOUDURE'!A783)</f>
        <v>777</v>
      </c>
      <c r="B783" s="93" t="str">
        <f aca="false">IF('CARNET DE SOUDURE'!E783="","",'CARNET DE SOUDURE'!B783&amp;"")</f>
        <v>ISB-304</v>
      </c>
      <c r="C783" s="83" t="str">
        <f aca="false">IF('CARNET DE SOUDURE'!E783="","",'CARNET DE SOUDURE'!E783)</f>
        <v>JN°172</v>
      </c>
      <c r="D783" s="78" t="str">
        <f aca="false">IF('CARNET DE SOUDURE'!E783="","",'CARNET DE SOUDURE'!D783&amp;"")</f>
        <v/>
      </c>
      <c r="E783" s="96" t="str">
        <f aca="false">IF(OR('CARNET DE SOUDURE'!E783="",'CARNET DE SOUDURE'!R783=""),"",'CARNET DE SOUDURE'!R783)</f>
        <v/>
      </c>
      <c r="F783" s="81" t="str">
        <f aca="false">IF('CARNET DE SOUDURE'!E783="","",'CARNET DE SOUDURE'!AL783)</f>
        <v/>
      </c>
      <c r="G783" s="81" t="str">
        <f aca="false">IF('CARNET DE SOUDURE'!E783="","",'CARNET DE SOUDURE'!AM783)</f>
        <v>À SOUDER</v>
      </c>
      <c r="H783" s="81" t="str">
        <f aca="false">IF(C783="","",IF(G783="ACCEPTÉ","OUI","NON"))</f>
        <v>NON</v>
      </c>
      <c r="I783" s="82"/>
      <c r="J783" s="79"/>
      <c r="K783" s="80"/>
      <c r="L783" s="80"/>
      <c r="M783" s="80"/>
      <c r="N783" s="83" t="str">
        <f aca="false">IF(C783="","",IF(I783="",IF(H783="OUI","À ENROBER",IF(G783="À SOUDER","NON SOUDÉ","EN ATTENTE RT")),IF(L783="R","À REPRENDRE",IF(H783&lt;&gt;"OUI","⚠ ENROBÉ AVANT ACCEPTATION RT","ENROBÉ"))))</f>
        <v>NON SOUDÉ</v>
      </c>
      <c r="O783" s="79"/>
    </row>
    <row r="784" customFormat="false" ht="15" hidden="false" customHeight="false" outlineLevel="0" collapsed="false">
      <c r="A784" s="78" t="n">
        <f aca="false">IF('CARNET DE SOUDURE'!E784="","",'CARNET DE SOUDURE'!A784)</f>
        <v>778</v>
      </c>
      <c r="B784" s="93" t="str">
        <f aca="false">IF('CARNET DE SOUDURE'!E784="","",'CARNET DE SOUDURE'!B784&amp;"")</f>
        <v>ISB-304</v>
      </c>
      <c r="C784" s="83" t="str">
        <f aca="false">IF('CARNET DE SOUDURE'!E784="","",'CARNET DE SOUDURE'!E784)</f>
        <v>JN°173</v>
      </c>
      <c r="D784" s="78" t="str">
        <f aca="false">IF('CARNET DE SOUDURE'!E784="","",'CARNET DE SOUDURE'!D784&amp;"")</f>
        <v/>
      </c>
      <c r="E784" s="96" t="str">
        <f aca="false">IF(OR('CARNET DE SOUDURE'!E784="",'CARNET DE SOUDURE'!R784=""),"",'CARNET DE SOUDURE'!R784)</f>
        <v/>
      </c>
      <c r="F784" s="81" t="str">
        <f aca="false">IF('CARNET DE SOUDURE'!E784="","",'CARNET DE SOUDURE'!AL784)</f>
        <v/>
      </c>
      <c r="G784" s="81" t="str">
        <f aca="false">IF('CARNET DE SOUDURE'!E784="","",'CARNET DE SOUDURE'!AM784)</f>
        <v>À SOUDER</v>
      </c>
      <c r="H784" s="81" t="str">
        <f aca="false">IF(C784="","",IF(G784="ACCEPTÉ","OUI","NON"))</f>
        <v>NON</v>
      </c>
      <c r="I784" s="82"/>
      <c r="J784" s="79"/>
      <c r="K784" s="80"/>
      <c r="L784" s="80"/>
      <c r="M784" s="80"/>
      <c r="N784" s="83" t="str">
        <f aca="false">IF(C784="","",IF(I784="",IF(H784="OUI","À ENROBER",IF(G784="À SOUDER","NON SOUDÉ","EN ATTENTE RT")),IF(L784="R","À REPRENDRE",IF(H784&lt;&gt;"OUI","⚠ ENROBÉ AVANT ACCEPTATION RT","ENROBÉ"))))</f>
        <v>NON SOUDÉ</v>
      </c>
      <c r="O784" s="79"/>
    </row>
    <row r="785" customFormat="false" ht="15" hidden="false" customHeight="false" outlineLevel="0" collapsed="false">
      <c r="A785" s="78" t="n">
        <f aca="false">IF('CARNET DE SOUDURE'!E785="","",'CARNET DE SOUDURE'!A785)</f>
        <v>779</v>
      </c>
      <c r="B785" s="93" t="str">
        <f aca="false">IF('CARNET DE SOUDURE'!E785="","",'CARNET DE SOUDURE'!B785&amp;"")</f>
        <v>ISB-304</v>
      </c>
      <c r="C785" s="83" t="str">
        <f aca="false">IF('CARNET DE SOUDURE'!E785="","",'CARNET DE SOUDURE'!E785)</f>
        <v>JN°174</v>
      </c>
      <c r="D785" s="78" t="str">
        <f aca="false">IF('CARNET DE SOUDURE'!E785="","",'CARNET DE SOUDURE'!D785&amp;"")</f>
        <v/>
      </c>
      <c r="E785" s="96" t="str">
        <f aca="false">IF(OR('CARNET DE SOUDURE'!E785="",'CARNET DE SOUDURE'!R785=""),"",'CARNET DE SOUDURE'!R785)</f>
        <v/>
      </c>
      <c r="F785" s="81" t="str">
        <f aca="false">IF('CARNET DE SOUDURE'!E785="","",'CARNET DE SOUDURE'!AL785)</f>
        <v/>
      </c>
      <c r="G785" s="81" t="str">
        <f aca="false">IF('CARNET DE SOUDURE'!E785="","",'CARNET DE SOUDURE'!AM785)</f>
        <v>À SOUDER</v>
      </c>
      <c r="H785" s="81" t="str">
        <f aca="false">IF(C785="","",IF(G785="ACCEPTÉ","OUI","NON"))</f>
        <v>NON</v>
      </c>
      <c r="I785" s="82"/>
      <c r="J785" s="79"/>
      <c r="K785" s="80"/>
      <c r="L785" s="80"/>
      <c r="M785" s="80"/>
      <c r="N785" s="83" t="str">
        <f aca="false">IF(C785="","",IF(I785="",IF(H785="OUI","À ENROBER",IF(G785="À SOUDER","NON SOUDÉ","EN ATTENTE RT")),IF(L785="R","À REPRENDRE",IF(H785&lt;&gt;"OUI","⚠ ENROBÉ AVANT ACCEPTATION RT","ENROBÉ"))))</f>
        <v>NON SOUDÉ</v>
      </c>
      <c r="O785" s="79"/>
    </row>
    <row r="786" customFormat="false" ht="15" hidden="false" customHeight="false" outlineLevel="0" collapsed="false">
      <c r="A786" s="78" t="n">
        <f aca="false">IF('CARNET DE SOUDURE'!E786="","",'CARNET DE SOUDURE'!A786)</f>
        <v>780</v>
      </c>
      <c r="B786" s="93" t="str">
        <f aca="false">IF('CARNET DE SOUDURE'!E786="","",'CARNET DE SOUDURE'!B786&amp;"")</f>
        <v>ISB-304</v>
      </c>
      <c r="C786" s="83" t="str">
        <f aca="false">IF('CARNET DE SOUDURE'!E786="","",'CARNET DE SOUDURE'!E786)</f>
        <v>JN°175</v>
      </c>
      <c r="D786" s="78" t="str">
        <f aca="false">IF('CARNET DE SOUDURE'!E786="","",'CARNET DE SOUDURE'!D786&amp;"")</f>
        <v/>
      </c>
      <c r="E786" s="96" t="str">
        <f aca="false">IF(OR('CARNET DE SOUDURE'!E786="",'CARNET DE SOUDURE'!R786=""),"",'CARNET DE SOUDURE'!R786)</f>
        <v/>
      </c>
      <c r="F786" s="81" t="str">
        <f aca="false">IF('CARNET DE SOUDURE'!E786="","",'CARNET DE SOUDURE'!AL786)</f>
        <v/>
      </c>
      <c r="G786" s="81" t="str">
        <f aca="false">IF('CARNET DE SOUDURE'!E786="","",'CARNET DE SOUDURE'!AM786)</f>
        <v>À SOUDER</v>
      </c>
      <c r="H786" s="81" t="str">
        <f aca="false">IF(C786="","",IF(G786="ACCEPTÉ","OUI","NON"))</f>
        <v>NON</v>
      </c>
      <c r="I786" s="82"/>
      <c r="J786" s="79"/>
      <c r="K786" s="80"/>
      <c r="L786" s="80"/>
      <c r="M786" s="80"/>
      <c r="N786" s="83" t="str">
        <f aca="false">IF(C786="","",IF(I786="",IF(H786="OUI","À ENROBER",IF(G786="À SOUDER","NON SOUDÉ","EN ATTENTE RT")),IF(L786="R","À REPRENDRE",IF(H786&lt;&gt;"OUI","⚠ ENROBÉ AVANT ACCEPTATION RT","ENROBÉ"))))</f>
        <v>NON SOUDÉ</v>
      </c>
      <c r="O786" s="79"/>
    </row>
    <row r="787" customFormat="false" ht="15" hidden="false" customHeight="false" outlineLevel="0" collapsed="false">
      <c r="A787" s="78" t="n">
        <f aca="false">IF('CARNET DE SOUDURE'!E787="","",'CARNET DE SOUDURE'!A787)</f>
        <v>781</v>
      </c>
      <c r="B787" s="93" t="str">
        <f aca="false">IF('CARNET DE SOUDURE'!E787="","",'CARNET DE SOUDURE'!B787&amp;"")</f>
        <v>ISB-304</v>
      </c>
      <c r="C787" s="83" t="str">
        <f aca="false">IF('CARNET DE SOUDURE'!E787="","",'CARNET DE SOUDURE'!E787)</f>
        <v>JN°176</v>
      </c>
      <c r="D787" s="78" t="str">
        <f aca="false">IF('CARNET DE SOUDURE'!E787="","",'CARNET DE SOUDURE'!D787&amp;"")</f>
        <v/>
      </c>
      <c r="E787" s="96" t="str">
        <f aca="false">IF(OR('CARNET DE SOUDURE'!E787="",'CARNET DE SOUDURE'!R787=""),"",'CARNET DE SOUDURE'!R787)</f>
        <v/>
      </c>
      <c r="F787" s="81" t="str">
        <f aca="false">IF('CARNET DE SOUDURE'!E787="","",'CARNET DE SOUDURE'!AL787)</f>
        <v/>
      </c>
      <c r="G787" s="81" t="str">
        <f aca="false">IF('CARNET DE SOUDURE'!E787="","",'CARNET DE SOUDURE'!AM787)</f>
        <v>À SOUDER</v>
      </c>
      <c r="H787" s="81" t="str">
        <f aca="false">IF(C787="","",IF(G787="ACCEPTÉ","OUI","NON"))</f>
        <v>NON</v>
      </c>
      <c r="I787" s="82"/>
      <c r="J787" s="79"/>
      <c r="K787" s="80"/>
      <c r="L787" s="80"/>
      <c r="M787" s="80"/>
      <c r="N787" s="83" t="str">
        <f aca="false">IF(C787="","",IF(I787="",IF(H787="OUI","À ENROBER",IF(G787="À SOUDER","NON SOUDÉ","EN ATTENTE RT")),IF(L787="R","À REPRENDRE",IF(H787&lt;&gt;"OUI","⚠ ENROBÉ AVANT ACCEPTATION RT","ENROBÉ"))))</f>
        <v>NON SOUDÉ</v>
      </c>
      <c r="O787" s="79"/>
    </row>
    <row r="788" customFormat="false" ht="15" hidden="false" customHeight="false" outlineLevel="0" collapsed="false">
      <c r="A788" s="78" t="n">
        <f aca="false">IF('CARNET DE SOUDURE'!E788="","",'CARNET DE SOUDURE'!A788)</f>
        <v>782</v>
      </c>
      <c r="B788" s="93" t="str">
        <f aca="false">IF('CARNET DE SOUDURE'!E788="","",'CARNET DE SOUDURE'!B788&amp;"")</f>
        <v>ISB-304</v>
      </c>
      <c r="C788" s="83" t="str">
        <f aca="false">IF('CARNET DE SOUDURE'!E788="","",'CARNET DE SOUDURE'!E788)</f>
        <v>JN°177</v>
      </c>
      <c r="D788" s="78" t="str">
        <f aca="false">IF('CARNET DE SOUDURE'!E788="","",'CARNET DE SOUDURE'!D788&amp;"")</f>
        <v/>
      </c>
      <c r="E788" s="96" t="str">
        <f aca="false">IF(OR('CARNET DE SOUDURE'!E788="",'CARNET DE SOUDURE'!R788=""),"",'CARNET DE SOUDURE'!R788)</f>
        <v/>
      </c>
      <c r="F788" s="81" t="str">
        <f aca="false">IF('CARNET DE SOUDURE'!E788="","",'CARNET DE SOUDURE'!AL788)</f>
        <v/>
      </c>
      <c r="G788" s="81" t="str">
        <f aca="false">IF('CARNET DE SOUDURE'!E788="","",'CARNET DE SOUDURE'!AM788)</f>
        <v>À SOUDER</v>
      </c>
      <c r="H788" s="81" t="str">
        <f aca="false">IF(C788="","",IF(G788="ACCEPTÉ","OUI","NON"))</f>
        <v>NON</v>
      </c>
      <c r="I788" s="82"/>
      <c r="J788" s="79"/>
      <c r="K788" s="80"/>
      <c r="L788" s="80"/>
      <c r="M788" s="80"/>
      <c r="N788" s="83" t="str">
        <f aca="false">IF(C788="","",IF(I788="",IF(H788="OUI","À ENROBER",IF(G788="À SOUDER","NON SOUDÉ","EN ATTENTE RT")),IF(L788="R","À REPRENDRE",IF(H788&lt;&gt;"OUI","⚠ ENROBÉ AVANT ACCEPTATION RT","ENROBÉ"))))</f>
        <v>NON SOUDÉ</v>
      </c>
      <c r="O788" s="79"/>
    </row>
    <row r="789" customFormat="false" ht="15" hidden="false" customHeight="false" outlineLevel="0" collapsed="false">
      <c r="A789" s="78" t="n">
        <f aca="false">IF('CARNET DE SOUDURE'!E789="","",'CARNET DE SOUDURE'!A789)</f>
        <v>783</v>
      </c>
      <c r="B789" s="93" t="str">
        <f aca="false">IF('CARNET DE SOUDURE'!E789="","",'CARNET DE SOUDURE'!B789&amp;"")</f>
        <v>ISB-304</v>
      </c>
      <c r="C789" s="83" t="str">
        <f aca="false">IF('CARNET DE SOUDURE'!E789="","",'CARNET DE SOUDURE'!E789)</f>
        <v>JN°178</v>
      </c>
      <c r="D789" s="78" t="str">
        <f aca="false">IF('CARNET DE SOUDURE'!E789="","",'CARNET DE SOUDURE'!D789&amp;"")</f>
        <v/>
      </c>
      <c r="E789" s="96" t="str">
        <f aca="false">IF(OR('CARNET DE SOUDURE'!E789="",'CARNET DE SOUDURE'!R789=""),"",'CARNET DE SOUDURE'!R789)</f>
        <v/>
      </c>
      <c r="F789" s="81" t="str">
        <f aca="false">IF('CARNET DE SOUDURE'!E789="","",'CARNET DE SOUDURE'!AL789)</f>
        <v/>
      </c>
      <c r="G789" s="81" t="str">
        <f aca="false">IF('CARNET DE SOUDURE'!E789="","",'CARNET DE SOUDURE'!AM789)</f>
        <v>À SOUDER</v>
      </c>
      <c r="H789" s="81" t="str">
        <f aca="false">IF(C789="","",IF(G789="ACCEPTÉ","OUI","NON"))</f>
        <v>NON</v>
      </c>
      <c r="I789" s="82"/>
      <c r="J789" s="79"/>
      <c r="K789" s="80"/>
      <c r="L789" s="80"/>
      <c r="M789" s="80"/>
      <c r="N789" s="83" t="str">
        <f aca="false">IF(C789="","",IF(I789="",IF(H789="OUI","À ENROBER",IF(G789="À SOUDER","NON SOUDÉ","EN ATTENTE RT")),IF(L789="R","À REPRENDRE",IF(H789&lt;&gt;"OUI","⚠ ENROBÉ AVANT ACCEPTATION RT","ENROBÉ"))))</f>
        <v>NON SOUDÉ</v>
      </c>
      <c r="O789" s="79"/>
    </row>
    <row r="790" customFormat="false" ht="15" hidden="false" customHeight="false" outlineLevel="0" collapsed="false">
      <c r="A790" s="78" t="n">
        <f aca="false">IF('CARNET DE SOUDURE'!E790="","",'CARNET DE SOUDURE'!A790)</f>
        <v>784</v>
      </c>
      <c r="B790" s="93" t="str">
        <f aca="false">IF('CARNET DE SOUDURE'!E790="","",'CARNET DE SOUDURE'!B790&amp;"")</f>
        <v>ISB-304</v>
      </c>
      <c r="C790" s="83" t="str">
        <f aca="false">IF('CARNET DE SOUDURE'!E790="","",'CARNET DE SOUDURE'!E790)</f>
        <v>JN°179</v>
      </c>
      <c r="D790" s="78" t="str">
        <f aca="false">IF('CARNET DE SOUDURE'!E790="","",'CARNET DE SOUDURE'!D790&amp;"")</f>
        <v/>
      </c>
      <c r="E790" s="96" t="str">
        <f aca="false">IF(OR('CARNET DE SOUDURE'!E790="",'CARNET DE SOUDURE'!R790=""),"",'CARNET DE SOUDURE'!R790)</f>
        <v/>
      </c>
      <c r="F790" s="81" t="str">
        <f aca="false">IF('CARNET DE SOUDURE'!E790="","",'CARNET DE SOUDURE'!AL790)</f>
        <v/>
      </c>
      <c r="G790" s="81" t="str">
        <f aca="false">IF('CARNET DE SOUDURE'!E790="","",'CARNET DE SOUDURE'!AM790)</f>
        <v>À SOUDER</v>
      </c>
      <c r="H790" s="81" t="str">
        <f aca="false">IF(C790="","",IF(G790="ACCEPTÉ","OUI","NON"))</f>
        <v>NON</v>
      </c>
      <c r="I790" s="82"/>
      <c r="J790" s="79"/>
      <c r="K790" s="80"/>
      <c r="L790" s="80"/>
      <c r="M790" s="80"/>
      <c r="N790" s="83" t="str">
        <f aca="false">IF(C790="","",IF(I790="",IF(H790="OUI","À ENROBER",IF(G790="À SOUDER","NON SOUDÉ","EN ATTENTE RT")),IF(L790="R","À REPRENDRE",IF(H790&lt;&gt;"OUI","⚠ ENROBÉ AVANT ACCEPTATION RT","ENROBÉ"))))</f>
        <v>NON SOUDÉ</v>
      </c>
      <c r="O790" s="79"/>
    </row>
    <row r="791" customFormat="false" ht="15" hidden="false" customHeight="false" outlineLevel="0" collapsed="false">
      <c r="A791" s="78" t="n">
        <f aca="false">IF('CARNET DE SOUDURE'!E791="","",'CARNET DE SOUDURE'!A791)</f>
        <v>785</v>
      </c>
      <c r="B791" s="93" t="str">
        <f aca="false">IF('CARNET DE SOUDURE'!E791="","",'CARNET DE SOUDURE'!B791&amp;"")</f>
        <v>ISB-304</v>
      </c>
      <c r="C791" s="83" t="str">
        <f aca="false">IF('CARNET DE SOUDURE'!E791="","",'CARNET DE SOUDURE'!E791)</f>
        <v>JN°180</v>
      </c>
      <c r="D791" s="78" t="str">
        <f aca="false">IF('CARNET DE SOUDURE'!E791="","",'CARNET DE SOUDURE'!D791&amp;"")</f>
        <v/>
      </c>
      <c r="E791" s="96" t="str">
        <f aca="false">IF(OR('CARNET DE SOUDURE'!E791="",'CARNET DE SOUDURE'!R791=""),"",'CARNET DE SOUDURE'!R791)</f>
        <v/>
      </c>
      <c r="F791" s="81" t="str">
        <f aca="false">IF('CARNET DE SOUDURE'!E791="","",'CARNET DE SOUDURE'!AL791)</f>
        <v/>
      </c>
      <c r="G791" s="81" t="str">
        <f aca="false">IF('CARNET DE SOUDURE'!E791="","",'CARNET DE SOUDURE'!AM791)</f>
        <v>À SOUDER</v>
      </c>
      <c r="H791" s="81" t="str">
        <f aca="false">IF(C791="","",IF(G791="ACCEPTÉ","OUI","NON"))</f>
        <v>NON</v>
      </c>
      <c r="I791" s="82"/>
      <c r="J791" s="79"/>
      <c r="K791" s="80"/>
      <c r="L791" s="80"/>
      <c r="M791" s="80"/>
      <c r="N791" s="83" t="str">
        <f aca="false">IF(C791="","",IF(I791="",IF(H791="OUI","À ENROBER",IF(G791="À SOUDER","NON SOUDÉ","EN ATTENTE RT")),IF(L791="R","À REPRENDRE",IF(H791&lt;&gt;"OUI","⚠ ENROBÉ AVANT ACCEPTATION RT","ENROBÉ"))))</f>
        <v>NON SOUDÉ</v>
      </c>
      <c r="O791" s="79"/>
    </row>
    <row r="792" customFormat="false" ht="15" hidden="false" customHeight="false" outlineLevel="0" collapsed="false">
      <c r="A792" s="78" t="n">
        <f aca="false">IF('CARNET DE SOUDURE'!E792="","",'CARNET DE SOUDURE'!A792)</f>
        <v>786</v>
      </c>
      <c r="B792" s="93" t="str">
        <f aca="false">IF('CARNET DE SOUDURE'!E792="","",'CARNET DE SOUDURE'!B792&amp;"")</f>
        <v>ISB-304</v>
      </c>
      <c r="C792" s="83" t="str">
        <f aca="false">IF('CARNET DE SOUDURE'!E792="","",'CARNET DE SOUDURE'!E792)</f>
        <v>JN°181</v>
      </c>
      <c r="D792" s="78" t="str">
        <f aca="false">IF('CARNET DE SOUDURE'!E792="","",'CARNET DE SOUDURE'!D792&amp;"")</f>
        <v/>
      </c>
      <c r="E792" s="96" t="str">
        <f aca="false">IF(OR('CARNET DE SOUDURE'!E792="",'CARNET DE SOUDURE'!R792=""),"",'CARNET DE SOUDURE'!R792)</f>
        <v/>
      </c>
      <c r="F792" s="81" t="str">
        <f aca="false">IF('CARNET DE SOUDURE'!E792="","",'CARNET DE SOUDURE'!AL792)</f>
        <v/>
      </c>
      <c r="G792" s="81" t="str">
        <f aca="false">IF('CARNET DE SOUDURE'!E792="","",'CARNET DE SOUDURE'!AM792)</f>
        <v>À SOUDER</v>
      </c>
      <c r="H792" s="81" t="str">
        <f aca="false">IF(C792="","",IF(G792="ACCEPTÉ","OUI","NON"))</f>
        <v>NON</v>
      </c>
      <c r="I792" s="82"/>
      <c r="J792" s="79"/>
      <c r="K792" s="80"/>
      <c r="L792" s="80"/>
      <c r="M792" s="80"/>
      <c r="N792" s="83" t="str">
        <f aca="false">IF(C792="","",IF(I792="",IF(H792="OUI","À ENROBER",IF(G792="À SOUDER","NON SOUDÉ","EN ATTENTE RT")),IF(L792="R","À REPRENDRE",IF(H792&lt;&gt;"OUI","⚠ ENROBÉ AVANT ACCEPTATION RT","ENROBÉ"))))</f>
        <v>NON SOUDÉ</v>
      </c>
      <c r="O792" s="79"/>
    </row>
    <row r="793" customFormat="false" ht="15" hidden="false" customHeight="false" outlineLevel="0" collapsed="false">
      <c r="A793" s="78" t="n">
        <f aca="false">IF('CARNET DE SOUDURE'!E793="","",'CARNET DE SOUDURE'!A793)</f>
        <v>787</v>
      </c>
      <c r="B793" s="93" t="str">
        <f aca="false">IF('CARNET DE SOUDURE'!E793="","",'CARNET DE SOUDURE'!B793&amp;"")</f>
        <v>ISB-304</v>
      </c>
      <c r="C793" s="83" t="str">
        <f aca="false">IF('CARNET DE SOUDURE'!E793="","",'CARNET DE SOUDURE'!E793)</f>
        <v>JN°182</v>
      </c>
      <c r="D793" s="78" t="str">
        <f aca="false">IF('CARNET DE SOUDURE'!E793="","",'CARNET DE SOUDURE'!D793&amp;"")</f>
        <v/>
      </c>
      <c r="E793" s="96" t="str">
        <f aca="false">IF(OR('CARNET DE SOUDURE'!E793="",'CARNET DE SOUDURE'!R793=""),"",'CARNET DE SOUDURE'!R793)</f>
        <v/>
      </c>
      <c r="F793" s="81" t="str">
        <f aca="false">IF('CARNET DE SOUDURE'!E793="","",'CARNET DE SOUDURE'!AL793)</f>
        <v/>
      </c>
      <c r="G793" s="81" t="str">
        <f aca="false">IF('CARNET DE SOUDURE'!E793="","",'CARNET DE SOUDURE'!AM793)</f>
        <v>À SOUDER</v>
      </c>
      <c r="H793" s="81" t="str">
        <f aca="false">IF(C793="","",IF(G793="ACCEPTÉ","OUI","NON"))</f>
        <v>NON</v>
      </c>
      <c r="I793" s="82"/>
      <c r="J793" s="79"/>
      <c r="K793" s="80"/>
      <c r="L793" s="80"/>
      <c r="M793" s="80"/>
      <c r="N793" s="83" t="str">
        <f aca="false">IF(C793="","",IF(I793="",IF(H793="OUI","À ENROBER",IF(G793="À SOUDER","NON SOUDÉ","EN ATTENTE RT")),IF(L793="R","À REPRENDRE",IF(H793&lt;&gt;"OUI","⚠ ENROBÉ AVANT ACCEPTATION RT","ENROBÉ"))))</f>
        <v>NON SOUDÉ</v>
      </c>
      <c r="O793" s="79"/>
    </row>
    <row r="794" customFormat="false" ht="15" hidden="false" customHeight="false" outlineLevel="0" collapsed="false">
      <c r="A794" s="78" t="n">
        <f aca="false">IF('CARNET DE SOUDURE'!E794="","",'CARNET DE SOUDURE'!A794)</f>
        <v>788</v>
      </c>
      <c r="B794" s="93" t="str">
        <f aca="false">IF('CARNET DE SOUDURE'!E794="","",'CARNET DE SOUDURE'!B794&amp;"")</f>
        <v>ISB-304</v>
      </c>
      <c r="C794" s="83" t="str">
        <f aca="false">IF('CARNET DE SOUDURE'!E794="","",'CARNET DE SOUDURE'!E794)</f>
        <v>JN°183</v>
      </c>
      <c r="D794" s="78" t="str">
        <f aca="false">IF('CARNET DE SOUDURE'!E794="","",'CARNET DE SOUDURE'!D794&amp;"")</f>
        <v/>
      </c>
      <c r="E794" s="96" t="str">
        <f aca="false">IF(OR('CARNET DE SOUDURE'!E794="",'CARNET DE SOUDURE'!R794=""),"",'CARNET DE SOUDURE'!R794)</f>
        <v/>
      </c>
      <c r="F794" s="81" t="str">
        <f aca="false">IF('CARNET DE SOUDURE'!E794="","",'CARNET DE SOUDURE'!AL794)</f>
        <v/>
      </c>
      <c r="G794" s="81" t="str">
        <f aca="false">IF('CARNET DE SOUDURE'!E794="","",'CARNET DE SOUDURE'!AM794)</f>
        <v>À SOUDER</v>
      </c>
      <c r="H794" s="81" t="str">
        <f aca="false">IF(C794="","",IF(G794="ACCEPTÉ","OUI","NON"))</f>
        <v>NON</v>
      </c>
      <c r="I794" s="82"/>
      <c r="J794" s="79"/>
      <c r="K794" s="80"/>
      <c r="L794" s="80"/>
      <c r="M794" s="80"/>
      <c r="N794" s="83" t="str">
        <f aca="false">IF(C794="","",IF(I794="",IF(H794="OUI","À ENROBER",IF(G794="À SOUDER","NON SOUDÉ","EN ATTENTE RT")),IF(L794="R","À REPRENDRE",IF(H794&lt;&gt;"OUI","⚠ ENROBÉ AVANT ACCEPTATION RT","ENROBÉ"))))</f>
        <v>NON SOUDÉ</v>
      </c>
      <c r="O794" s="79"/>
    </row>
    <row r="795" customFormat="false" ht="15" hidden="false" customHeight="false" outlineLevel="0" collapsed="false">
      <c r="A795" s="78" t="n">
        <f aca="false">IF('CARNET DE SOUDURE'!E795="","",'CARNET DE SOUDURE'!A795)</f>
        <v>789</v>
      </c>
      <c r="B795" s="93" t="str">
        <f aca="false">IF('CARNET DE SOUDURE'!E795="","",'CARNET DE SOUDURE'!B795&amp;"")</f>
        <v>ISB-304</v>
      </c>
      <c r="C795" s="83" t="str">
        <f aca="false">IF('CARNET DE SOUDURE'!E795="","",'CARNET DE SOUDURE'!E795)</f>
        <v>JN°184</v>
      </c>
      <c r="D795" s="78" t="str">
        <f aca="false">IF('CARNET DE SOUDURE'!E795="","",'CARNET DE SOUDURE'!D795&amp;"")</f>
        <v/>
      </c>
      <c r="E795" s="96" t="str">
        <f aca="false">IF(OR('CARNET DE SOUDURE'!E795="",'CARNET DE SOUDURE'!R795=""),"",'CARNET DE SOUDURE'!R795)</f>
        <v/>
      </c>
      <c r="F795" s="81" t="str">
        <f aca="false">IF('CARNET DE SOUDURE'!E795="","",'CARNET DE SOUDURE'!AL795)</f>
        <v/>
      </c>
      <c r="G795" s="81" t="str">
        <f aca="false">IF('CARNET DE SOUDURE'!E795="","",'CARNET DE SOUDURE'!AM795)</f>
        <v>À SOUDER</v>
      </c>
      <c r="H795" s="81" t="str">
        <f aca="false">IF(C795="","",IF(G795="ACCEPTÉ","OUI","NON"))</f>
        <v>NON</v>
      </c>
      <c r="I795" s="82"/>
      <c r="J795" s="79"/>
      <c r="K795" s="80"/>
      <c r="L795" s="80"/>
      <c r="M795" s="80"/>
      <c r="N795" s="83" t="str">
        <f aca="false">IF(C795="","",IF(I795="",IF(H795="OUI","À ENROBER",IF(G795="À SOUDER","NON SOUDÉ","EN ATTENTE RT")),IF(L795="R","À REPRENDRE",IF(H795&lt;&gt;"OUI","⚠ ENROBÉ AVANT ACCEPTATION RT","ENROBÉ"))))</f>
        <v>NON SOUDÉ</v>
      </c>
      <c r="O795" s="79"/>
    </row>
    <row r="796" customFormat="false" ht="15" hidden="false" customHeight="false" outlineLevel="0" collapsed="false">
      <c r="A796" s="78" t="n">
        <f aca="false">IF('CARNET DE SOUDURE'!E796="","",'CARNET DE SOUDURE'!A796)</f>
        <v>790</v>
      </c>
      <c r="B796" s="93" t="str">
        <f aca="false">IF('CARNET DE SOUDURE'!E796="","",'CARNET DE SOUDURE'!B796&amp;"")</f>
        <v>ISB-304</v>
      </c>
      <c r="C796" s="83" t="str">
        <f aca="false">IF('CARNET DE SOUDURE'!E796="","",'CARNET DE SOUDURE'!E796)</f>
        <v>JN°185</v>
      </c>
      <c r="D796" s="78" t="str">
        <f aca="false">IF('CARNET DE SOUDURE'!E796="","",'CARNET DE SOUDURE'!D796&amp;"")</f>
        <v/>
      </c>
      <c r="E796" s="96" t="str">
        <f aca="false">IF(OR('CARNET DE SOUDURE'!E796="",'CARNET DE SOUDURE'!R796=""),"",'CARNET DE SOUDURE'!R796)</f>
        <v/>
      </c>
      <c r="F796" s="81" t="str">
        <f aca="false">IF('CARNET DE SOUDURE'!E796="","",'CARNET DE SOUDURE'!AL796)</f>
        <v/>
      </c>
      <c r="G796" s="81" t="str">
        <f aca="false">IF('CARNET DE SOUDURE'!E796="","",'CARNET DE SOUDURE'!AM796)</f>
        <v>À SOUDER</v>
      </c>
      <c r="H796" s="81" t="str">
        <f aca="false">IF(C796="","",IF(G796="ACCEPTÉ","OUI","NON"))</f>
        <v>NON</v>
      </c>
      <c r="I796" s="82"/>
      <c r="J796" s="79"/>
      <c r="K796" s="80"/>
      <c r="L796" s="80"/>
      <c r="M796" s="80"/>
      <c r="N796" s="83" t="str">
        <f aca="false">IF(C796="","",IF(I796="",IF(H796="OUI","À ENROBER",IF(G796="À SOUDER","NON SOUDÉ","EN ATTENTE RT")),IF(L796="R","À REPRENDRE",IF(H796&lt;&gt;"OUI","⚠ ENROBÉ AVANT ACCEPTATION RT","ENROBÉ"))))</f>
        <v>NON SOUDÉ</v>
      </c>
      <c r="O796" s="79"/>
    </row>
    <row r="797" customFormat="false" ht="15" hidden="false" customHeight="false" outlineLevel="0" collapsed="false">
      <c r="A797" s="78" t="n">
        <f aca="false">IF('CARNET DE SOUDURE'!E797="","",'CARNET DE SOUDURE'!A797)</f>
        <v>791</v>
      </c>
      <c r="B797" s="93" t="str">
        <f aca="false">IF('CARNET DE SOUDURE'!E797="","",'CARNET DE SOUDURE'!B797&amp;"")</f>
        <v>ISB-304</v>
      </c>
      <c r="C797" s="83" t="str">
        <f aca="false">IF('CARNET DE SOUDURE'!E797="","",'CARNET DE SOUDURE'!E797)</f>
        <v>JN°186</v>
      </c>
      <c r="D797" s="78" t="str">
        <f aca="false">IF('CARNET DE SOUDURE'!E797="","",'CARNET DE SOUDURE'!D797&amp;"")</f>
        <v/>
      </c>
      <c r="E797" s="96" t="str">
        <f aca="false">IF(OR('CARNET DE SOUDURE'!E797="",'CARNET DE SOUDURE'!R797=""),"",'CARNET DE SOUDURE'!R797)</f>
        <v/>
      </c>
      <c r="F797" s="81" t="str">
        <f aca="false">IF('CARNET DE SOUDURE'!E797="","",'CARNET DE SOUDURE'!AL797)</f>
        <v/>
      </c>
      <c r="G797" s="81" t="str">
        <f aca="false">IF('CARNET DE SOUDURE'!E797="","",'CARNET DE SOUDURE'!AM797)</f>
        <v>À SOUDER</v>
      </c>
      <c r="H797" s="81" t="str">
        <f aca="false">IF(C797="","",IF(G797="ACCEPTÉ","OUI","NON"))</f>
        <v>NON</v>
      </c>
      <c r="I797" s="82"/>
      <c r="J797" s="79"/>
      <c r="K797" s="80"/>
      <c r="L797" s="80"/>
      <c r="M797" s="80"/>
      <c r="N797" s="83" t="str">
        <f aca="false">IF(C797="","",IF(I797="",IF(H797="OUI","À ENROBER",IF(G797="À SOUDER","NON SOUDÉ","EN ATTENTE RT")),IF(L797="R","À REPRENDRE",IF(H797&lt;&gt;"OUI","⚠ ENROBÉ AVANT ACCEPTATION RT","ENROBÉ"))))</f>
        <v>NON SOUDÉ</v>
      </c>
      <c r="O797" s="79"/>
    </row>
    <row r="798" customFormat="false" ht="15" hidden="false" customHeight="false" outlineLevel="0" collapsed="false">
      <c r="A798" s="78" t="n">
        <f aca="false">IF('CARNET DE SOUDURE'!E798="","",'CARNET DE SOUDURE'!A798)</f>
        <v>792</v>
      </c>
      <c r="B798" s="93" t="str">
        <f aca="false">IF('CARNET DE SOUDURE'!E798="","",'CARNET DE SOUDURE'!B798&amp;"")</f>
        <v>ISB-304</v>
      </c>
      <c r="C798" s="83" t="str">
        <f aca="false">IF('CARNET DE SOUDURE'!E798="","",'CARNET DE SOUDURE'!E798)</f>
        <v>JN°187</v>
      </c>
      <c r="D798" s="78" t="str">
        <f aca="false">IF('CARNET DE SOUDURE'!E798="","",'CARNET DE SOUDURE'!D798&amp;"")</f>
        <v/>
      </c>
      <c r="E798" s="96" t="str">
        <f aca="false">IF(OR('CARNET DE SOUDURE'!E798="",'CARNET DE SOUDURE'!R798=""),"",'CARNET DE SOUDURE'!R798)</f>
        <v/>
      </c>
      <c r="F798" s="81" t="str">
        <f aca="false">IF('CARNET DE SOUDURE'!E798="","",'CARNET DE SOUDURE'!AL798)</f>
        <v/>
      </c>
      <c r="G798" s="81" t="str">
        <f aca="false">IF('CARNET DE SOUDURE'!E798="","",'CARNET DE SOUDURE'!AM798)</f>
        <v>À SOUDER</v>
      </c>
      <c r="H798" s="81" t="str">
        <f aca="false">IF(C798="","",IF(G798="ACCEPTÉ","OUI","NON"))</f>
        <v>NON</v>
      </c>
      <c r="I798" s="82"/>
      <c r="J798" s="79"/>
      <c r="K798" s="80"/>
      <c r="L798" s="80"/>
      <c r="M798" s="80"/>
      <c r="N798" s="83" t="str">
        <f aca="false">IF(C798="","",IF(I798="",IF(H798="OUI","À ENROBER",IF(G798="À SOUDER","NON SOUDÉ","EN ATTENTE RT")),IF(L798="R","À REPRENDRE",IF(H798&lt;&gt;"OUI","⚠ ENROBÉ AVANT ACCEPTATION RT","ENROBÉ"))))</f>
        <v>NON SOUDÉ</v>
      </c>
      <c r="O798" s="79"/>
    </row>
    <row r="799" customFormat="false" ht="15" hidden="false" customHeight="false" outlineLevel="0" collapsed="false">
      <c r="A799" s="78" t="n">
        <f aca="false">IF('CARNET DE SOUDURE'!E799="","",'CARNET DE SOUDURE'!A799)</f>
        <v>793</v>
      </c>
      <c r="B799" s="93" t="str">
        <f aca="false">IF('CARNET DE SOUDURE'!E799="","",'CARNET DE SOUDURE'!B799&amp;"")</f>
        <v>ISB-304</v>
      </c>
      <c r="C799" s="83" t="str">
        <f aca="false">IF('CARNET DE SOUDURE'!E799="","",'CARNET DE SOUDURE'!E799)</f>
        <v>JN°188</v>
      </c>
      <c r="D799" s="78" t="str">
        <f aca="false">IF('CARNET DE SOUDURE'!E799="","",'CARNET DE SOUDURE'!D799&amp;"")</f>
        <v/>
      </c>
      <c r="E799" s="96" t="str">
        <f aca="false">IF(OR('CARNET DE SOUDURE'!E799="",'CARNET DE SOUDURE'!R799=""),"",'CARNET DE SOUDURE'!R799)</f>
        <v/>
      </c>
      <c r="F799" s="81" t="str">
        <f aca="false">IF('CARNET DE SOUDURE'!E799="","",'CARNET DE SOUDURE'!AL799)</f>
        <v/>
      </c>
      <c r="G799" s="81" t="str">
        <f aca="false">IF('CARNET DE SOUDURE'!E799="","",'CARNET DE SOUDURE'!AM799)</f>
        <v>À SOUDER</v>
      </c>
      <c r="H799" s="81" t="str">
        <f aca="false">IF(C799="","",IF(G799="ACCEPTÉ","OUI","NON"))</f>
        <v>NON</v>
      </c>
      <c r="I799" s="82"/>
      <c r="J799" s="79"/>
      <c r="K799" s="80"/>
      <c r="L799" s="80"/>
      <c r="M799" s="80"/>
      <c r="N799" s="83" t="str">
        <f aca="false">IF(C799="","",IF(I799="",IF(H799="OUI","À ENROBER",IF(G799="À SOUDER","NON SOUDÉ","EN ATTENTE RT")),IF(L799="R","À REPRENDRE",IF(H799&lt;&gt;"OUI","⚠ ENROBÉ AVANT ACCEPTATION RT","ENROBÉ"))))</f>
        <v>NON SOUDÉ</v>
      </c>
      <c r="O799" s="79"/>
    </row>
    <row r="800" customFormat="false" ht="15" hidden="false" customHeight="false" outlineLevel="0" collapsed="false">
      <c r="A800" s="78" t="n">
        <f aca="false">IF('CARNET DE SOUDURE'!E800="","",'CARNET DE SOUDURE'!A800)</f>
        <v>794</v>
      </c>
      <c r="B800" s="93" t="str">
        <f aca="false">IF('CARNET DE SOUDURE'!E800="","",'CARNET DE SOUDURE'!B800&amp;"")</f>
        <v>ISB-304</v>
      </c>
      <c r="C800" s="83" t="str">
        <f aca="false">IF('CARNET DE SOUDURE'!E800="","",'CARNET DE SOUDURE'!E800)</f>
        <v>JN°189</v>
      </c>
      <c r="D800" s="78" t="str">
        <f aca="false">IF('CARNET DE SOUDURE'!E800="","",'CARNET DE SOUDURE'!D800&amp;"")</f>
        <v/>
      </c>
      <c r="E800" s="96" t="str">
        <f aca="false">IF(OR('CARNET DE SOUDURE'!E800="",'CARNET DE SOUDURE'!R800=""),"",'CARNET DE SOUDURE'!R800)</f>
        <v/>
      </c>
      <c r="F800" s="81" t="str">
        <f aca="false">IF('CARNET DE SOUDURE'!E800="","",'CARNET DE SOUDURE'!AL800)</f>
        <v/>
      </c>
      <c r="G800" s="81" t="str">
        <f aca="false">IF('CARNET DE SOUDURE'!E800="","",'CARNET DE SOUDURE'!AM800)</f>
        <v>À SOUDER</v>
      </c>
      <c r="H800" s="81" t="str">
        <f aca="false">IF(C800="","",IF(G800="ACCEPTÉ","OUI","NON"))</f>
        <v>NON</v>
      </c>
      <c r="I800" s="82"/>
      <c r="J800" s="79"/>
      <c r="K800" s="80"/>
      <c r="L800" s="80"/>
      <c r="M800" s="80"/>
      <c r="N800" s="83" t="str">
        <f aca="false">IF(C800="","",IF(I800="",IF(H800="OUI","À ENROBER",IF(G800="À SOUDER","NON SOUDÉ","EN ATTENTE RT")),IF(L800="R","À REPRENDRE",IF(H800&lt;&gt;"OUI","⚠ ENROBÉ AVANT ACCEPTATION RT","ENROBÉ"))))</f>
        <v>NON SOUDÉ</v>
      </c>
      <c r="O800" s="79"/>
    </row>
    <row r="801" customFormat="false" ht="15" hidden="false" customHeight="false" outlineLevel="0" collapsed="false">
      <c r="A801" s="78" t="n">
        <f aca="false">IF('CARNET DE SOUDURE'!E801="","",'CARNET DE SOUDURE'!A801)</f>
        <v>795</v>
      </c>
      <c r="B801" s="93" t="str">
        <f aca="false">IF('CARNET DE SOUDURE'!E801="","",'CARNET DE SOUDURE'!B801&amp;"")</f>
        <v>ISB-304</v>
      </c>
      <c r="C801" s="83" t="str">
        <f aca="false">IF('CARNET DE SOUDURE'!E801="","",'CARNET DE SOUDURE'!E801)</f>
        <v>JN°190</v>
      </c>
      <c r="D801" s="78" t="str">
        <f aca="false">IF('CARNET DE SOUDURE'!E801="","",'CARNET DE SOUDURE'!D801&amp;"")</f>
        <v/>
      </c>
      <c r="E801" s="96" t="str">
        <f aca="false">IF(OR('CARNET DE SOUDURE'!E801="",'CARNET DE SOUDURE'!R801=""),"",'CARNET DE SOUDURE'!R801)</f>
        <v/>
      </c>
      <c r="F801" s="81" t="str">
        <f aca="false">IF('CARNET DE SOUDURE'!E801="","",'CARNET DE SOUDURE'!AL801)</f>
        <v/>
      </c>
      <c r="G801" s="81" t="str">
        <f aca="false">IF('CARNET DE SOUDURE'!E801="","",'CARNET DE SOUDURE'!AM801)</f>
        <v>À SOUDER</v>
      </c>
      <c r="H801" s="81" t="str">
        <f aca="false">IF(C801="","",IF(G801="ACCEPTÉ","OUI","NON"))</f>
        <v>NON</v>
      </c>
      <c r="I801" s="82"/>
      <c r="J801" s="79"/>
      <c r="K801" s="80"/>
      <c r="L801" s="80"/>
      <c r="M801" s="80"/>
      <c r="N801" s="83" t="str">
        <f aca="false">IF(C801="","",IF(I801="",IF(H801="OUI","À ENROBER",IF(G801="À SOUDER","NON SOUDÉ","EN ATTENTE RT")),IF(L801="R","À REPRENDRE",IF(H801&lt;&gt;"OUI","⚠ ENROBÉ AVANT ACCEPTATION RT","ENROBÉ"))))</f>
        <v>NON SOUDÉ</v>
      </c>
      <c r="O801" s="79"/>
    </row>
    <row r="802" customFormat="false" ht="15" hidden="false" customHeight="false" outlineLevel="0" collapsed="false">
      <c r="A802" s="78" t="n">
        <f aca="false">IF('CARNET DE SOUDURE'!E802="","",'CARNET DE SOUDURE'!A802)</f>
        <v>796</v>
      </c>
      <c r="B802" s="93" t="str">
        <f aca="false">IF('CARNET DE SOUDURE'!E802="","",'CARNET DE SOUDURE'!B802&amp;"")</f>
        <v>ISB-304</v>
      </c>
      <c r="C802" s="83" t="str">
        <f aca="false">IF('CARNET DE SOUDURE'!E802="","",'CARNET DE SOUDURE'!E802)</f>
        <v>JN°191</v>
      </c>
      <c r="D802" s="78" t="str">
        <f aca="false">IF('CARNET DE SOUDURE'!E802="","",'CARNET DE SOUDURE'!D802&amp;"")</f>
        <v/>
      </c>
      <c r="E802" s="96" t="str">
        <f aca="false">IF(OR('CARNET DE SOUDURE'!E802="",'CARNET DE SOUDURE'!R802=""),"",'CARNET DE SOUDURE'!R802)</f>
        <v/>
      </c>
      <c r="F802" s="81" t="str">
        <f aca="false">IF('CARNET DE SOUDURE'!E802="","",'CARNET DE SOUDURE'!AL802)</f>
        <v/>
      </c>
      <c r="G802" s="81" t="str">
        <f aca="false">IF('CARNET DE SOUDURE'!E802="","",'CARNET DE SOUDURE'!AM802)</f>
        <v>À SOUDER</v>
      </c>
      <c r="H802" s="81" t="str">
        <f aca="false">IF(C802="","",IF(G802="ACCEPTÉ","OUI","NON"))</f>
        <v>NON</v>
      </c>
      <c r="I802" s="82"/>
      <c r="J802" s="79"/>
      <c r="K802" s="80"/>
      <c r="L802" s="80"/>
      <c r="M802" s="80"/>
      <c r="N802" s="83" t="str">
        <f aca="false">IF(C802="","",IF(I802="",IF(H802="OUI","À ENROBER",IF(G802="À SOUDER","NON SOUDÉ","EN ATTENTE RT")),IF(L802="R","À REPRENDRE",IF(H802&lt;&gt;"OUI","⚠ ENROBÉ AVANT ACCEPTATION RT","ENROBÉ"))))</f>
        <v>NON SOUDÉ</v>
      </c>
      <c r="O802" s="79"/>
    </row>
    <row r="803" customFormat="false" ht="15" hidden="false" customHeight="false" outlineLevel="0" collapsed="false">
      <c r="A803" s="78" t="n">
        <f aca="false">IF('CARNET DE SOUDURE'!E803="","",'CARNET DE SOUDURE'!A803)</f>
        <v>797</v>
      </c>
      <c r="B803" s="93" t="str">
        <f aca="false">IF('CARNET DE SOUDURE'!E803="","",'CARNET DE SOUDURE'!B803&amp;"")</f>
        <v>ISB-304</v>
      </c>
      <c r="C803" s="83" t="str">
        <f aca="false">IF('CARNET DE SOUDURE'!E803="","",'CARNET DE SOUDURE'!E803)</f>
        <v>JN°192</v>
      </c>
      <c r="D803" s="78" t="str">
        <f aca="false">IF('CARNET DE SOUDURE'!E803="","",'CARNET DE SOUDURE'!D803&amp;"")</f>
        <v/>
      </c>
      <c r="E803" s="96" t="str">
        <f aca="false">IF(OR('CARNET DE SOUDURE'!E803="",'CARNET DE SOUDURE'!R803=""),"",'CARNET DE SOUDURE'!R803)</f>
        <v/>
      </c>
      <c r="F803" s="81" t="str">
        <f aca="false">IF('CARNET DE SOUDURE'!E803="","",'CARNET DE SOUDURE'!AL803)</f>
        <v/>
      </c>
      <c r="G803" s="81" t="str">
        <f aca="false">IF('CARNET DE SOUDURE'!E803="","",'CARNET DE SOUDURE'!AM803)</f>
        <v>À SOUDER</v>
      </c>
      <c r="H803" s="81" t="str">
        <f aca="false">IF(C803="","",IF(G803="ACCEPTÉ","OUI","NON"))</f>
        <v>NON</v>
      </c>
      <c r="I803" s="82"/>
      <c r="J803" s="79"/>
      <c r="K803" s="80"/>
      <c r="L803" s="80"/>
      <c r="M803" s="80"/>
      <c r="N803" s="83" t="str">
        <f aca="false">IF(C803="","",IF(I803="",IF(H803="OUI","À ENROBER",IF(G803="À SOUDER","NON SOUDÉ","EN ATTENTE RT")),IF(L803="R","À REPRENDRE",IF(H803&lt;&gt;"OUI","⚠ ENROBÉ AVANT ACCEPTATION RT","ENROBÉ"))))</f>
        <v>NON SOUDÉ</v>
      </c>
      <c r="O803" s="79"/>
    </row>
    <row r="804" customFormat="false" ht="15" hidden="false" customHeight="false" outlineLevel="0" collapsed="false">
      <c r="A804" s="78" t="n">
        <f aca="false">IF('CARNET DE SOUDURE'!E804="","",'CARNET DE SOUDURE'!A804)</f>
        <v>798</v>
      </c>
      <c r="B804" s="93" t="str">
        <f aca="false">IF('CARNET DE SOUDURE'!E804="","",'CARNET DE SOUDURE'!B804&amp;"")</f>
        <v>ISB-304</v>
      </c>
      <c r="C804" s="83" t="str">
        <f aca="false">IF('CARNET DE SOUDURE'!E804="","",'CARNET DE SOUDURE'!E804)</f>
        <v>JN°193</v>
      </c>
      <c r="D804" s="78" t="str">
        <f aca="false">IF('CARNET DE SOUDURE'!E804="","",'CARNET DE SOUDURE'!D804&amp;"")</f>
        <v/>
      </c>
      <c r="E804" s="96" t="str">
        <f aca="false">IF(OR('CARNET DE SOUDURE'!E804="",'CARNET DE SOUDURE'!R804=""),"",'CARNET DE SOUDURE'!R804)</f>
        <v/>
      </c>
      <c r="F804" s="81" t="str">
        <f aca="false">IF('CARNET DE SOUDURE'!E804="","",'CARNET DE SOUDURE'!AL804)</f>
        <v/>
      </c>
      <c r="G804" s="81" t="str">
        <f aca="false">IF('CARNET DE SOUDURE'!E804="","",'CARNET DE SOUDURE'!AM804)</f>
        <v>À SOUDER</v>
      </c>
      <c r="H804" s="81" t="str">
        <f aca="false">IF(C804="","",IF(G804="ACCEPTÉ","OUI","NON"))</f>
        <v>NON</v>
      </c>
      <c r="I804" s="82"/>
      <c r="J804" s="79"/>
      <c r="K804" s="80"/>
      <c r="L804" s="80"/>
      <c r="M804" s="80"/>
      <c r="N804" s="83" t="str">
        <f aca="false">IF(C804="","",IF(I804="",IF(H804="OUI","À ENROBER",IF(G804="À SOUDER","NON SOUDÉ","EN ATTENTE RT")),IF(L804="R","À REPRENDRE",IF(H804&lt;&gt;"OUI","⚠ ENROBÉ AVANT ACCEPTATION RT","ENROBÉ"))))</f>
        <v>NON SOUDÉ</v>
      </c>
      <c r="O804" s="79"/>
    </row>
    <row r="805" customFormat="false" ht="15" hidden="false" customHeight="false" outlineLevel="0" collapsed="false">
      <c r="A805" s="78" t="n">
        <f aca="false">IF('CARNET DE SOUDURE'!E805="","",'CARNET DE SOUDURE'!A805)</f>
        <v>799</v>
      </c>
      <c r="B805" s="93" t="str">
        <f aca="false">IF('CARNET DE SOUDURE'!E805="","",'CARNET DE SOUDURE'!B805&amp;"")</f>
        <v>ISB-304</v>
      </c>
      <c r="C805" s="83" t="str">
        <f aca="false">IF('CARNET DE SOUDURE'!E805="","",'CARNET DE SOUDURE'!E805)</f>
        <v>JN°194</v>
      </c>
      <c r="D805" s="78" t="str">
        <f aca="false">IF('CARNET DE SOUDURE'!E805="","",'CARNET DE SOUDURE'!D805&amp;"")</f>
        <v/>
      </c>
      <c r="E805" s="96" t="str">
        <f aca="false">IF(OR('CARNET DE SOUDURE'!E805="",'CARNET DE SOUDURE'!R805=""),"",'CARNET DE SOUDURE'!R805)</f>
        <v/>
      </c>
      <c r="F805" s="81" t="str">
        <f aca="false">IF('CARNET DE SOUDURE'!E805="","",'CARNET DE SOUDURE'!AL805)</f>
        <v/>
      </c>
      <c r="G805" s="81" t="str">
        <f aca="false">IF('CARNET DE SOUDURE'!E805="","",'CARNET DE SOUDURE'!AM805)</f>
        <v>À SOUDER</v>
      </c>
      <c r="H805" s="81" t="str">
        <f aca="false">IF(C805="","",IF(G805="ACCEPTÉ","OUI","NON"))</f>
        <v>NON</v>
      </c>
      <c r="I805" s="82"/>
      <c r="J805" s="79"/>
      <c r="K805" s="80"/>
      <c r="L805" s="80"/>
      <c r="M805" s="80"/>
      <c r="N805" s="83" t="str">
        <f aca="false">IF(C805="","",IF(I805="",IF(H805="OUI","À ENROBER",IF(G805="À SOUDER","NON SOUDÉ","EN ATTENTE RT")),IF(L805="R","À REPRENDRE",IF(H805&lt;&gt;"OUI","⚠ ENROBÉ AVANT ACCEPTATION RT","ENROBÉ"))))</f>
        <v>NON SOUDÉ</v>
      </c>
      <c r="O805" s="79"/>
    </row>
    <row r="806" customFormat="false" ht="15" hidden="false" customHeight="false" outlineLevel="0" collapsed="false">
      <c r="A806" s="78" t="n">
        <f aca="false">IF('CARNET DE SOUDURE'!E806="","",'CARNET DE SOUDURE'!A806)</f>
        <v>800</v>
      </c>
      <c r="B806" s="93" t="str">
        <f aca="false">IF('CARNET DE SOUDURE'!E806="","",'CARNET DE SOUDURE'!B806&amp;"")</f>
        <v>ISB-304</v>
      </c>
      <c r="C806" s="83" t="str">
        <f aca="false">IF('CARNET DE SOUDURE'!E806="","",'CARNET DE SOUDURE'!E806)</f>
        <v>JN°195</v>
      </c>
      <c r="D806" s="78" t="str">
        <f aca="false">IF('CARNET DE SOUDURE'!E806="","",'CARNET DE SOUDURE'!D806&amp;"")</f>
        <v/>
      </c>
      <c r="E806" s="96" t="str">
        <f aca="false">IF(OR('CARNET DE SOUDURE'!E806="",'CARNET DE SOUDURE'!R806=""),"",'CARNET DE SOUDURE'!R806)</f>
        <v/>
      </c>
      <c r="F806" s="81" t="str">
        <f aca="false">IF('CARNET DE SOUDURE'!E806="","",'CARNET DE SOUDURE'!AL806)</f>
        <v/>
      </c>
      <c r="G806" s="81" t="str">
        <f aca="false">IF('CARNET DE SOUDURE'!E806="","",'CARNET DE SOUDURE'!AM806)</f>
        <v>À SOUDER</v>
      </c>
      <c r="H806" s="81" t="str">
        <f aca="false">IF(C806="","",IF(G806="ACCEPTÉ","OUI","NON"))</f>
        <v>NON</v>
      </c>
      <c r="I806" s="82"/>
      <c r="J806" s="79"/>
      <c r="K806" s="80"/>
      <c r="L806" s="80"/>
      <c r="M806" s="80"/>
      <c r="N806" s="83" t="str">
        <f aca="false">IF(C806="","",IF(I806="",IF(H806="OUI","À ENROBER",IF(G806="À SOUDER","NON SOUDÉ","EN ATTENTE RT")),IF(L806="R","À REPRENDRE",IF(H806&lt;&gt;"OUI","⚠ ENROBÉ AVANT ACCEPTATION RT","ENROBÉ"))))</f>
        <v>NON SOUDÉ</v>
      </c>
      <c r="O806" s="79"/>
    </row>
    <row r="807" customFormat="false" ht="15" hidden="false" customHeight="false" outlineLevel="0" collapsed="false">
      <c r="A807" s="78" t="n">
        <f aca="false">IF('CARNET DE SOUDURE'!E807="","",'CARNET DE SOUDURE'!A807)</f>
        <v>801</v>
      </c>
      <c r="B807" s="93" t="str">
        <f aca="false">IF('CARNET DE SOUDURE'!E807="","",'CARNET DE SOUDURE'!B807&amp;"")</f>
        <v>ISB-304</v>
      </c>
      <c r="C807" s="83" t="str">
        <f aca="false">IF('CARNET DE SOUDURE'!E807="","",'CARNET DE SOUDURE'!E807)</f>
        <v>JN°196</v>
      </c>
      <c r="D807" s="78" t="str">
        <f aca="false">IF('CARNET DE SOUDURE'!E807="","",'CARNET DE SOUDURE'!D807&amp;"")</f>
        <v/>
      </c>
      <c r="E807" s="96" t="str">
        <f aca="false">IF(OR('CARNET DE SOUDURE'!E807="",'CARNET DE SOUDURE'!R807=""),"",'CARNET DE SOUDURE'!R807)</f>
        <v/>
      </c>
      <c r="F807" s="81" t="str">
        <f aca="false">IF('CARNET DE SOUDURE'!E807="","",'CARNET DE SOUDURE'!AL807)</f>
        <v/>
      </c>
      <c r="G807" s="81" t="str">
        <f aca="false">IF('CARNET DE SOUDURE'!E807="","",'CARNET DE SOUDURE'!AM807)</f>
        <v>À SOUDER</v>
      </c>
      <c r="H807" s="81" t="str">
        <f aca="false">IF(C807="","",IF(G807="ACCEPTÉ","OUI","NON"))</f>
        <v>NON</v>
      </c>
      <c r="I807" s="82"/>
      <c r="J807" s="79"/>
      <c r="K807" s="80"/>
      <c r="L807" s="80"/>
      <c r="M807" s="80"/>
      <c r="N807" s="83" t="str">
        <f aca="false">IF(C807="","",IF(I807="",IF(H807="OUI","À ENROBER",IF(G807="À SOUDER","NON SOUDÉ","EN ATTENTE RT")),IF(L807="R","À REPRENDRE",IF(H807&lt;&gt;"OUI","⚠ ENROBÉ AVANT ACCEPTATION RT","ENROBÉ"))))</f>
        <v>NON SOUDÉ</v>
      </c>
      <c r="O807" s="79"/>
    </row>
    <row r="808" customFormat="false" ht="15" hidden="false" customHeight="false" outlineLevel="0" collapsed="false">
      <c r="A808" s="78" t="n">
        <f aca="false">IF('CARNET DE SOUDURE'!E808="","",'CARNET DE SOUDURE'!A808)</f>
        <v>802</v>
      </c>
      <c r="B808" s="93" t="str">
        <f aca="false">IF('CARNET DE SOUDURE'!E808="","",'CARNET DE SOUDURE'!B808&amp;"")</f>
        <v>ISB-304</v>
      </c>
      <c r="C808" s="83" t="str">
        <f aca="false">IF('CARNET DE SOUDURE'!E808="","",'CARNET DE SOUDURE'!E808)</f>
        <v>JN°197</v>
      </c>
      <c r="D808" s="78" t="str">
        <f aca="false">IF('CARNET DE SOUDURE'!E808="","",'CARNET DE SOUDURE'!D808&amp;"")</f>
        <v/>
      </c>
      <c r="E808" s="96" t="str">
        <f aca="false">IF(OR('CARNET DE SOUDURE'!E808="",'CARNET DE SOUDURE'!R808=""),"",'CARNET DE SOUDURE'!R808)</f>
        <v/>
      </c>
      <c r="F808" s="81" t="str">
        <f aca="false">IF('CARNET DE SOUDURE'!E808="","",'CARNET DE SOUDURE'!AL808)</f>
        <v/>
      </c>
      <c r="G808" s="81" t="str">
        <f aca="false">IF('CARNET DE SOUDURE'!E808="","",'CARNET DE SOUDURE'!AM808)</f>
        <v>À SOUDER</v>
      </c>
      <c r="H808" s="81" t="str">
        <f aca="false">IF(C808="","",IF(G808="ACCEPTÉ","OUI","NON"))</f>
        <v>NON</v>
      </c>
      <c r="I808" s="82"/>
      <c r="J808" s="79"/>
      <c r="K808" s="80"/>
      <c r="L808" s="80"/>
      <c r="M808" s="80"/>
      <c r="N808" s="83" t="str">
        <f aca="false">IF(C808="","",IF(I808="",IF(H808="OUI","À ENROBER",IF(G808="À SOUDER","NON SOUDÉ","EN ATTENTE RT")),IF(L808="R","À REPRENDRE",IF(H808&lt;&gt;"OUI","⚠ ENROBÉ AVANT ACCEPTATION RT","ENROBÉ"))))</f>
        <v>NON SOUDÉ</v>
      </c>
      <c r="O808" s="79"/>
    </row>
    <row r="809" customFormat="false" ht="15" hidden="false" customHeight="false" outlineLevel="0" collapsed="false">
      <c r="A809" s="78" t="n">
        <f aca="false">IF('CARNET DE SOUDURE'!E809="","",'CARNET DE SOUDURE'!A809)</f>
        <v>803</v>
      </c>
      <c r="B809" s="93" t="str">
        <f aca="false">IF('CARNET DE SOUDURE'!E809="","",'CARNET DE SOUDURE'!B809&amp;"")</f>
        <v>ISB-304</v>
      </c>
      <c r="C809" s="83" t="str">
        <f aca="false">IF('CARNET DE SOUDURE'!E809="","",'CARNET DE SOUDURE'!E809)</f>
        <v>JN°198</v>
      </c>
      <c r="D809" s="78" t="str">
        <f aca="false">IF('CARNET DE SOUDURE'!E809="","",'CARNET DE SOUDURE'!D809&amp;"")</f>
        <v/>
      </c>
      <c r="E809" s="96" t="str">
        <f aca="false">IF(OR('CARNET DE SOUDURE'!E809="",'CARNET DE SOUDURE'!R809=""),"",'CARNET DE SOUDURE'!R809)</f>
        <v/>
      </c>
      <c r="F809" s="81" t="str">
        <f aca="false">IF('CARNET DE SOUDURE'!E809="","",'CARNET DE SOUDURE'!AL809)</f>
        <v/>
      </c>
      <c r="G809" s="81" t="str">
        <f aca="false">IF('CARNET DE SOUDURE'!E809="","",'CARNET DE SOUDURE'!AM809)</f>
        <v>À SOUDER</v>
      </c>
      <c r="H809" s="81" t="str">
        <f aca="false">IF(C809="","",IF(G809="ACCEPTÉ","OUI","NON"))</f>
        <v>NON</v>
      </c>
      <c r="I809" s="82"/>
      <c r="J809" s="79"/>
      <c r="K809" s="80"/>
      <c r="L809" s="80"/>
      <c r="M809" s="80"/>
      <c r="N809" s="83" t="str">
        <f aca="false">IF(C809="","",IF(I809="",IF(H809="OUI","À ENROBER",IF(G809="À SOUDER","NON SOUDÉ","EN ATTENTE RT")),IF(L809="R","À REPRENDRE",IF(H809&lt;&gt;"OUI","⚠ ENROBÉ AVANT ACCEPTATION RT","ENROBÉ"))))</f>
        <v>NON SOUDÉ</v>
      </c>
      <c r="O809" s="79"/>
    </row>
    <row r="810" customFormat="false" ht="15" hidden="false" customHeight="false" outlineLevel="0" collapsed="false">
      <c r="A810" s="78" t="n">
        <f aca="false">IF('CARNET DE SOUDURE'!E810="","",'CARNET DE SOUDURE'!A810)</f>
        <v>804</v>
      </c>
      <c r="B810" s="93" t="str">
        <f aca="false">IF('CARNET DE SOUDURE'!E810="","",'CARNET DE SOUDURE'!B810&amp;"")</f>
        <v>ISB-304</v>
      </c>
      <c r="C810" s="83" t="str">
        <f aca="false">IF('CARNET DE SOUDURE'!E810="","",'CARNET DE SOUDURE'!E810)</f>
        <v>JN°199</v>
      </c>
      <c r="D810" s="78" t="str">
        <f aca="false">IF('CARNET DE SOUDURE'!E810="","",'CARNET DE SOUDURE'!D810&amp;"")</f>
        <v/>
      </c>
      <c r="E810" s="96" t="str">
        <f aca="false">IF(OR('CARNET DE SOUDURE'!E810="",'CARNET DE SOUDURE'!R810=""),"",'CARNET DE SOUDURE'!R810)</f>
        <v/>
      </c>
      <c r="F810" s="81" t="str">
        <f aca="false">IF('CARNET DE SOUDURE'!E810="","",'CARNET DE SOUDURE'!AL810)</f>
        <v/>
      </c>
      <c r="G810" s="81" t="str">
        <f aca="false">IF('CARNET DE SOUDURE'!E810="","",'CARNET DE SOUDURE'!AM810)</f>
        <v>À SOUDER</v>
      </c>
      <c r="H810" s="81" t="str">
        <f aca="false">IF(C810="","",IF(G810="ACCEPTÉ","OUI","NON"))</f>
        <v>NON</v>
      </c>
      <c r="I810" s="82"/>
      <c r="J810" s="79"/>
      <c r="K810" s="80"/>
      <c r="L810" s="80"/>
      <c r="M810" s="80"/>
      <c r="N810" s="83" t="str">
        <f aca="false">IF(C810="","",IF(I810="",IF(H810="OUI","À ENROBER",IF(G810="À SOUDER","NON SOUDÉ","EN ATTENTE RT")),IF(L810="R","À REPRENDRE",IF(H810&lt;&gt;"OUI","⚠ ENROBÉ AVANT ACCEPTATION RT","ENROBÉ"))))</f>
        <v>NON SOUDÉ</v>
      </c>
      <c r="O810" s="79"/>
    </row>
    <row r="811" customFormat="false" ht="15" hidden="false" customHeight="false" outlineLevel="0" collapsed="false">
      <c r="A811" s="78" t="n">
        <f aca="false">IF('CARNET DE SOUDURE'!E811="","",'CARNET DE SOUDURE'!A811)</f>
        <v>805</v>
      </c>
      <c r="B811" s="93" t="str">
        <f aca="false">IF('CARNET DE SOUDURE'!E811="","",'CARNET DE SOUDURE'!B811&amp;"")</f>
        <v>ISB-304</v>
      </c>
      <c r="C811" s="83" t="str">
        <f aca="false">IF('CARNET DE SOUDURE'!E811="","",'CARNET DE SOUDURE'!E811)</f>
        <v>JN°200</v>
      </c>
      <c r="D811" s="78" t="str">
        <f aca="false">IF('CARNET DE SOUDURE'!E811="","",'CARNET DE SOUDURE'!D811&amp;"")</f>
        <v/>
      </c>
      <c r="E811" s="96" t="str">
        <f aca="false">IF(OR('CARNET DE SOUDURE'!E811="",'CARNET DE SOUDURE'!R811=""),"",'CARNET DE SOUDURE'!R811)</f>
        <v/>
      </c>
      <c r="F811" s="81" t="str">
        <f aca="false">IF('CARNET DE SOUDURE'!E811="","",'CARNET DE SOUDURE'!AL811)</f>
        <v/>
      </c>
      <c r="G811" s="81" t="str">
        <f aca="false">IF('CARNET DE SOUDURE'!E811="","",'CARNET DE SOUDURE'!AM811)</f>
        <v>À SOUDER</v>
      </c>
      <c r="H811" s="81" t="str">
        <f aca="false">IF(C811="","",IF(G811="ACCEPTÉ","OUI","NON"))</f>
        <v>NON</v>
      </c>
      <c r="I811" s="82"/>
      <c r="J811" s="79"/>
      <c r="K811" s="80"/>
      <c r="L811" s="80"/>
      <c r="M811" s="80"/>
      <c r="N811" s="83" t="str">
        <f aca="false">IF(C811="","",IF(I811="",IF(H811="OUI","À ENROBER",IF(G811="À SOUDER","NON SOUDÉ","EN ATTENTE RT")),IF(L811="R","À REPRENDRE",IF(H811&lt;&gt;"OUI","⚠ ENROBÉ AVANT ACCEPTATION RT","ENROBÉ"))))</f>
        <v>NON SOUDÉ</v>
      </c>
      <c r="O811" s="79"/>
    </row>
    <row r="812" customFormat="false" ht="15" hidden="false" customHeight="false" outlineLevel="0" collapsed="false">
      <c r="A812" s="78" t="str">
        <f aca="false">IF('CARNET DE SOUDURE'!E812="","",'CARNET DE SOUDURE'!A812)</f>
        <v/>
      </c>
      <c r="B812" s="93" t="str">
        <f aca="false">IF('CARNET DE SOUDURE'!E812="","",'CARNET DE SOUDURE'!B812&amp;"")</f>
        <v/>
      </c>
      <c r="C812" s="83" t="str">
        <f aca="false">IF('CARNET DE SOUDURE'!E812="","",'CARNET DE SOUDURE'!E812)</f>
        <v/>
      </c>
      <c r="D812" s="78" t="str">
        <f aca="false">IF('CARNET DE SOUDURE'!E812="","",'CARNET DE SOUDURE'!D812&amp;"")</f>
        <v/>
      </c>
      <c r="E812" s="96" t="str">
        <f aca="false">IF(OR('CARNET DE SOUDURE'!E812="",'CARNET DE SOUDURE'!R812=""),"",'CARNET DE SOUDURE'!R812)</f>
        <v/>
      </c>
      <c r="F812" s="81" t="str">
        <f aca="false">IF('CARNET DE SOUDURE'!E812="","",'CARNET DE SOUDURE'!AL812)</f>
        <v/>
      </c>
      <c r="G812" s="81" t="str">
        <f aca="false">IF('CARNET DE SOUDURE'!E812="","",'CARNET DE SOUDURE'!AM812)</f>
        <v/>
      </c>
      <c r="H812" s="81" t="str">
        <f aca="false">IF(C812="","",IF(G812="ACCEPTÉ","OUI","NON"))</f>
        <v/>
      </c>
      <c r="I812" s="82"/>
      <c r="J812" s="79"/>
      <c r="K812" s="80"/>
      <c r="L812" s="80"/>
      <c r="M812" s="80"/>
      <c r="N812" s="83" t="str">
        <f aca="false">IF(C812="","",IF(I812="",IF(H812="OUI","À ENROBER",IF(G812="À SOUDER","NON SOUDÉ","EN ATTENTE RT")),IF(L812="R","À REPRENDRE",IF(H812&lt;&gt;"OUI","⚠ ENROBÉ AVANT ACCEPTATION RT","ENROBÉ"))))</f>
        <v/>
      </c>
      <c r="O812" s="79"/>
    </row>
    <row r="813" customFormat="false" ht="15" hidden="false" customHeight="false" outlineLevel="0" collapsed="false">
      <c r="A813" s="78" t="str">
        <f aca="false">IF('CARNET DE SOUDURE'!E813="","",'CARNET DE SOUDURE'!A813)</f>
        <v/>
      </c>
      <c r="B813" s="93" t="str">
        <f aca="false">IF('CARNET DE SOUDURE'!E813="","",'CARNET DE SOUDURE'!B813&amp;"")</f>
        <v/>
      </c>
      <c r="C813" s="83" t="str">
        <f aca="false">IF('CARNET DE SOUDURE'!E813="","",'CARNET DE SOUDURE'!E813)</f>
        <v/>
      </c>
      <c r="D813" s="78" t="str">
        <f aca="false">IF('CARNET DE SOUDURE'!E813="","",'CARNET DE SOUDURE'!D813&amp;"")</f>
        <v/>
      </c>
      <c r="E813" s="96" t="str">
        <f aca="false">IF(OR('CARNET DE SOUDURE'!E813="",'CARNET DE SOUDURE'!R813=""),"",'CARNET DE SOUDURE'!R813)</f>
        <v/>
      </c>
      <c r="F813" s="81" t="str">
        <f aca="false">IF('CARNET DE SOUDURE'!E813="","",'CARNET DE SOUDURE'!AL813)</f>
        <v/>
      </c>
      <c r="G813" s="81" t="str">
        <f aca="false">IF('CARNET DE SOUDURE'!E813="","",'CARNET DE SOUDURE'!AM813)</f>
        <v/>
      </c>
      <c r="H813" s="81" t="str">
        <f aca="false">IF(C813="","",IF(G813="ACCEPTÉ","OUI","NON"))</f>
        <v/>
      </c>
      <c r="I813" s="82"/>
      <c r="J813" s="79"/>
      <c r="K813" s="80"/>
      <c r="L813" s="80"/>
      <c r="M813" s="80"/>
      <c r="N813" s="83" t="str">
        <f aca="false">IF(C813="","",IF(I813="",IF(H813="OUI","À ENROBER",IF(G813="À SOUDER","NON SOUDÉ","EN ATTENTE RT")),IF(L813="R","À REPRENDRE",IF(H813&lt;&gt;"OUI","⚠ ENROBÉ AVANT ACCEPTATION RT","ENROBÉ"))))</f>
        <v/>
      </c>
      <c r="O813" s="79"/>
    </row>
    <row r="814" customFormat="false" ht="15" hidden="false" customHeight="false" outlineLevel="0" collapsed="false">
      <c r="A814" s="78" t="str">
        <f aca="false">IF('CARNET DE SOUDURE'!E814="","",'CARNET DE SOUDURE'!A814)</f>
        <v/>
      </c>
      <c r="B814" s="93" t="str">
        <f aca="false">IF('CARNET DE SOUDURE'!E814="","",'CARNET DE SOUDURE'!B814&amp;"")</f>
        <v/>
      </c>
      <c r="C814" s="83" t="str">
        <f aca="false">IF('CARNET DE SOUDURE'!E814="","",'CARNET DE SOUDURE'!E814)</f>
        <v/>
      </c>
      <c r="D814" s="78" t="str">
        <f aca="false">IF('CARNET DE SOUDURE'!E814="","",'CARNET DE SOUDURE'!D814&amp;"")</f>
        <v/>
      </c>
      <c r="E814" s="96" t="str">
        <f aca="false">IF(OR('CARNET DE SOUDURE'!E814="",'CARNET DE SOUDURE'!R814=""),"",'CARNET DE SOUDURE'!R814)</f>
        <v/>
      </c>
      <c r="F814" s="81" t="str">
        <f aca="false">IF('CARNET DE SOUDURE'!E814="","",'CARNET DE SOUDURE'!AL814)</f>
        <v/>
      </c>
      <c r="G814" s="81" t="str">
        <f aca="false">IF('CARNET DE SOUDURE'!E814="","",'CARNET DE SOUDURE'!AM814)</f>
        <v/>
      </c>
      <c r="H814" s="81" t="str">
        <f aca="false">IF(C814="","",IF(G814="ACCEPTÉ","OUI","NON"))</f>
        <v/>
      </c>
      <c r="I814" s="82"/>
      <c r="J814" s="79"/>
      <c r="K814" s="80"/>
      <c r="L814" s="80"/>
      <c r="M814" s="80"/>
      <c r="N814" s="83" t="str">
        <f aca="false">IF(C814="","",IF(I814="",IF(H814="OUI","À ENROBER",IF(G814="À SOUDER","NON SOUDÉ","EN ATTENTE RT")),IF(L814="R","À REPRENDRE",IF(H814&lt;&gt;"OUI","⚠ ENROBÉ AVANT ACCEPTATION RT","ENROBÉ"))))</f>
        <v/>
      </c>
      <c r="O814" s="79"/>
    </row>
    <row r="815" customFormat="false" ht="15" hidden="false" customHeight="false" outlineLevel="0" collapsed="false">
      <c r="A815" s="78" t="str">
        <f aca="false">IF('CARNET DE SOUDURE'!E815="","",'CARNET DE SOUDURE'!A815)</f>
        <v/>
      </c>
      <c r="B815" s="93" t="str">
        <f aca="false">IF('CARNET DE SOUDURE'!E815="","",'CARNET DE SOUDURE'!B815&amp;"")</f>
        <v/>
      </c>
      <c r="C815" s="83" t="str">
        <f aca="false">IF('CARNET DE SOUDURE'!E815="","",'CARNET DE SOUDURE'!E815)</f>
        <v/>
      </c>
      <c r="D815" s="78" t="str">
        <f aca="false">IF('CARNET DE SOUDURE'!E815="","",'CARNET DE SOUDURE'!D815&amp;"")</f>
        <v/>
      </c>
      <c r="E815" s="96" t="str">
        <f aca="false">IF(OR('CARNET DE SOUDURE'!E815="",'CARNET DE SOUDURE'!R815=""),"",'CARNET DE SOUDURE'!R815)</f>
        <v/>
      </c>
      <c r="F815" s="81" t="str">
        <f aca="false">IF('CARNET DE SOUDURE'!E815="","",'CARNET DE SOUDURE'!AL815)</f>
        <v/>
      </c>
      <c r="G815" s="81" t="str">
        <f aca="false">IF('CARNET DE SOUDURE'!E815="","",'CARNET DE SOUDURE'!AM815)</f>
        <v/>
      </c>
      <c r="H815" s="81" t="str">
        <f aca="false">IF(C815="","",IF(G815="ACCEPTÉ","OUI","NON"))</f>
        <v/>
      </c>
      <c r="I815" s="82"/>
      <c r="J815" s="79"/>
      <c r="K815" s="80"/>
      <c r="L815" s="80"/>
      <c r="M815" s="80"/>
      <c r="N815" s="83" t="str">
        <f aca="false">IF(C815="","",IF(I815="",IF(H815="OUI","À ENROBER",IF(G815="À SOUDER","NON SOUDÉ","EN ATTENTE RT")),IF(L815="R","À REPRENDRE",IF(H815&lt;&gt;"OUI","⚠ ENROBÉ AVANT ACCEPTATION RT","ENROBÉ"))))</f>
        <v/>
      </c>
      <c r="O815" s="79"/>
    </row>
    <row r="816" customFormat="false" ht="15" hidden="false" customHeight="false" outlineLevel="0" collapsed="false">
      <c r="A816" s="78" t="str">
        <f aca="false">IF('CARNET DE SOUDURE'!E816="","",'CARNET DE SOUDURE'!A816)</f>
        <v/>
      </c>
      <c r="B816" s="93" t="str">
        <f aca="false">IF('CARNET DE SOUDURE'!E816="","",'CARNET DE SOUDURE'!B816&amp;"")</f>
        <v/>
      </c>
      <c r="C816" s="83" t="str">
        <f aca="false">IF('CARNET DE SOUDURE'!E816="","",'CARNET DE SOUDURE'!E816)</f>
        <v/>
      </c>
      <c r="D816" s="78" t="str">
        <f aca="false">IF('CARNET DE SOUDURE'!E816="","",'CARNET DE SOUDURE'!D816&amp;"")</f>
        <v/>
      </c>
      <c r="E816" s="96" t="str">
        <f aca="false">IF(OR('CARNET DE SOUDURE'!E816="",'CARNET DE SOUDURE'!R816=""),"",'CARNET DE SOUDURE'!R816)</f>
        <v/>
      </c>
      <c r="F816" s="81" t="str">
        <f aca="false">IF('CARNET DE SOUDURE'!E816="","",'CARNET DE SOUDURE'!AL816)</f>
        <v/>
      </c>
      <c r="G816" s="81" t="str">
        <f aca="false">IF('CARNET DE SOUDURE'!E816="","",'CARNET DE SOUDURE'!AM816)</f>
        <v/>
      </c>
      <c r="H816" s="81" t="str">
        <f aca="false">IF(C816="","",IF(G816="ACCEPTÉ","OUI","NON"))</f>
        <v/>
      </c>
      <c r="I816" s="82"/>
      <c r="J816" s="79"/>
      <c r="K816" s="80"/>
      <c r="L816" s="80"/>
      <c r="M816" s="80"/>
      <c r="N816" s="83" t="str">
        <f aca="false">IF(C816="","",IF(I816="",IF(H816="OUI","À ENROBER",IF(G816="À SOUDER","NON SOUDÉ","EN ATTENTE RT")),IF(L816="R","À REPRENDRE",IF(H816&lt;&gt;"OUI","⚠ ENROBÉ AVANT ACCEPTATION RT","ENROBÉ"))))</f>
        <v/>
      </c>
      <c r="O816" s="79"/>
    </row>
    <row r="817" customFormat="false" ht="15" hidden="false" customHeight="false" outlineLevel="0" collapsed="false">
      <c r="A817" s="78" t="str">
        <f aca="false">IF('CARNET DE SOUDURE'!E817="","",'CARNET DE SOUDURE'!A817)</f>
        <v/>
      </c>
      <c r="B817" s="93" t="str">
        <f aca="false">IF('CARNET DE SOUDURE'!E817="","",'CARNET DE SOUDURE'!B817&amp;"")</f>
        <v/>
      </c>
      <c r="C817" s="83" t="str">
        <f aca="false">IF('CARNET DE SOUDURE'!E817="","",'CARNET DE SOUDURE'!E817)</f>
        <v/>
      </c>
      <c r="D817" s="78" t="str">
        <f aca="false">IF('CARNET DE SOUDURE'!E817="","",'CARNET DE SOUDURE'!D817&amp;"")</f>
        <v/>
      </c>
      <c r="E817" s="96" t="str">
        <f aca="false">IF(OR('CARNET DE SOUDURE'!E817="",'CARNET DE SOUDURE'!R817=""),"",'CARNET DE SOUDURE'!R817)</f>
        <v/>
      </c>
      <c r="F817" s="81" t="str">
        <f aca="false">IF('CARNET DE SOUDURE'!E817="","",'CARNET DE SOUDURE'!AL817)</f>
        <v/>
      </c>
      <c r="G817" s="81" t="str">
        <f aca="false">IF('CARNET DE SOUDURE'!E817="","",'CARNET DE SOUDURE'!AM817)</f>
        <v/>
      </c>
      <c r="H817" s="81" t="str">
        <f aca="false">IF(C817="","",IF(G817="ACCEPTÉ","OUI","NON"))</f>
        <v/>
      </c>
      <c r="I817" s="82"/>
      <c r="J817" s="79"/>
      <c r="K817" s="80"/>
      <c r="L817" s="80"/>
      <c r="M817" s="80"/>
      <c r="N817" s="83" t="str">
        <f aca="false">IF(C817="","",IF(I817="",IF(H817="OUI","À ENROBER",IF(G817="À SOUDER","NON SOUDÉ","EN ATTENTE RT")),IF(L817="R","À REPRENDRE",IF(H817&lt;&gt;"OUI","⚠ ENROBÉ AVANT ACCEPTATION RT","ENROBÉ"))))</f>
        <v/>
      </c>
      <c r="O817" s="79"/>
    </row>
    <row r="818" customFormat="false" ht="15" hidden="false" customHeight="false" outlineLevel="0" collapsed="false">
      <c r="A818" s="78" t="str">
        <f aca="false">IF('CARNET DE SOUDURE'!E818="","",'CARNET DE SOUDURE'!A818)</f>
        <v/>
      </c>
      <c r="B818" s="93" t="str">
        <f aca="false">IF('CARNET DE SOUDURE'!E818="","",'CARNET DE SOUDURE'!B818&amp;"")</f>
        <v/>
      </c>
      <c r="C818" s="83" t="str">
        <f aca="false">IF('CARNET DE SOUDURE'!E818="","",'CARNET DE SOUDURE'!E818)</f>
        <v/>
      </c>
      <c r="D818" s="78" t="str">
        <f aca="false">IF('CARNET DE SOUDURE'!E818="","",'CARNET DE SOUDURE'!D818&amp;"")</f>
        <v/>
      </c>
      <c r="E818" s="96" t="str">
        <f aca="false">IF(OR('CARNET DE SOUDURE'!E818="",'CARNET DE SOUDURE'!R818=""),"",'CARNET DE SOUDURE'!R818)</f>
        <v/>
      </c>
      <c r="F818" s="81" t="str">
        <f aca="false">IF('CARNET DE SOUDURE'!E818="","",'CARNET DE SOUDURE'!AL818)</f>
        <v/>
      </c>
      <c r="G818" s="81" t="str">
        <f aca="false">IF('CARNET DE SOUDURE'!E818="","",'CARNET DE SOUDURE'!AM818)</f>
        <v/>
      </c>
      <c r="H818" s="81" t="str">
        <f aca="false">IF(C818="","",IF(G818="ACCEPTÉ","OUI","NON"))</f>
        <v/>
      </c>
      <c r="I818" s="82"/>
      <c r="J818" s="79"/>
      <c r="K818" s="80"/>
      <c r="L818" s="80"/>
      <c r="M818" s="80"/>
      <c r="N818" s="83" t="str">
        <f aca="false">IF(C818="","",IF(I818="",IF(H818="OUI","À ENROBER",IF(G818="À SOUDER","NON SOUDÉ","EN ATTENTE RT")),IF(L818="R","À REPRENDRE",IF(H818&lt;&gt;"OUI","⚠ ENROBÉ AVANT ACCEPTATION RT","ENROBÉ"))))</f>
        <v/>
      </c>
      <c r="O818" s="79"/>
    </row>
    <row r="819" customFormat="false" ht="15" hidden="false" customHeight="false" outlineLevel="0" collapsed="false">
      <c r="A819" s="78" t="str">
        <f aca="false">IF('CARNET DE SOUDURE'!E819="","",'CARNET DE SOUDURE'!A819)</f>
        <v/>
      </c>
      <c r="B819" s="93" t="str">
        <f aca="false">IF('CARNET DE SOUDURE'!E819="","",'CARNET DE SOUDURE'!B819&amp;"")</f>
        <v/>
      </c>
      <c r="C819" s="83" t="str">
        <f aca="false">IF('CARNET DE SOUDURE'!E819="","",'CARNET DE SOUDURE'!E819)</f>
        <v/>
      </c>
      <c r="D819" s="78" t="str">
        <f aca="false">IF('CARNET DE SOUDURE'!E819="","",'CARNET DE SOUDURE'!D819&amp;"")</f>
        <v/>
      </c>
      <c r="E819" s="96" t="str">
        <f aca="false">IF(OR('CARNET DE SOUDURE'!E819="",'CARNET DE SOUDURE'!R819=""),"",'CARNET DE SOUDURE'!R819)</f>
        <v/>
      </c>
      <c r="F819" s="81" t="str">
        <f aca="false">IF('CARNET DE SOUDURE'!E819="","",'CARNET DE SOUDURE'!AL819)</f>
        <v/>
      </c>
      <c r="G819" s="81" t="str">
        <f aca="false">IF('CARNET DE SOUDURE'!E819="","",'CARNET DE SOUDURE'!AM819)</f>
        <v/>
      </c>
      <c r="H819" s="81" t="str">
        <f aca="false">IF(C819="","",IF(G819="ACCEPTÉ","OUI","NON"))</f>
        <v/>
      </c>
      <c r="I819" s="82"/>
      <c r="J819" s="79"/>
      <c r="K819" s="80"/>
      <c r="L819" s="80"/>
      <c r="M819" s="80"/>
      <c r="N819" s="83" t="str">
        <f aca="false">IF(C819="","",IF(I819="",IF(H819="OUI","À ENROBER",IF(G819="À SOUDER","NON SOUDÉ","EN ATTENTE RT")),IF(L819="R","À REPRENDRE",IF(H819&lt;&gt;"OUI","⚠ ENROBÉ AVANT ACCEPTATION RT","ENROBÉ"))))</f>
        <v/>
      </c>
      <c r="O819" s="79"/>
    </row>
    <row r="820" customFormat="false" ht="15" hidden="false" customHeight="false" outlineLevel="0" collapsed="false">
      <c r="A820" s="78" t="str">
        <f aca="false">IF('CARNET DE SOUDURE'!E820="","",'CARNET DE SOUDURE'!A820)</f>
        <v/>
      </c>
      <c r="B820" s="93" t="str">
        <f aca="false">IF('CARNET DE SOUDURE'!E820="","",'CARNET DE SOUDURE'!B820&amp;"")</f>
        <v/>
      </c>
      <c r="C820" s="83" t="str">
        <f aca="false">IF('CARNET DE SOUDURE'!E820="","",'CARNET DE SOUDURE'!E820)</f>
        <v/>
      </c>
      <c r="D820" s="78" t="str">
        <f aca="false">IF('CARNET DE SOUDURE'!E820="","",'CARNET DE SOUDURE'!D820&amp;"")</f>
        <v/>
      </c>
      <c r="E820" s="96" t="str">
        <f aca="false">IF(OR('CARNET DE SOUDURE'!E820="",'CARNET DE SOUDURE'!R820=""),"",'CARNET DE SOUDURE'!R820)</f>
        <v/>
      </c>
      <c r="F820" s="81" t="str">
        <f aca="false">IF('CARNET DE SOUDURE'!E820="","",'CARNET DE SOUDURE'!AL820)</f>
        <v/>
      </c>
      <c r="G820" s="81" t="str">
        <f aca="false">IF('CARNET DE SOUDURE'!E820="","",'CARNET DE SOUDURE'!AM820)</f>
        <v/>
      </c>
      <c r="H820" s="81" t="str">
        <f aca="false">IF(C820="","",IF(G820="ACCEPTÉ","OUI","NON"))</f>
        <v/>
      </c>
      <c r="I820" s="82"/>
      <c r="J820" s="79"/>
      <c r="K820" s="80"/>
      <c r="L820" s="80"/>
      <c r="M820" s="80"/>
      <c r="N820" s="83" t="str">
        <f aca="false">IF(C820="","",IF(I820="",IF(H820="OUI","À ENROBER",IF(G820="À SOUDER","NON SOUDÉ","EN ATTENTE RT")),IF(L820="R","À REPRENDRE",IF(H820&lt;&gt;"OUI","⚠ ENROBÉ AVANT ACCEPTATION RT","ENROBÉ"))))</f>
        <v/>
      </c>
      <c r="O820" s="79"/>
    </row>
    <row r="821" customFormat="false" ht="15" hidden="false" customHeight="false" outlineLevel="0" collapsed="false">
      <c r="A821" s="78" t="str">
        <f aca="false">IF('CARNET DE SOUDURE'!E821="","",'CARNET DE SOUDURE'!A821)</f>
        <v/>
      </c>
      <c r="B821" s="93" t="str">
        <f aca="false">IF('CARNET DE SOUDURE'!E821="","",'CARNET DE SOUDURE'!B821&amp;"")</f>
        <v/>
      </c>
      <c r="C821" s="83" t="str">
        <f aca="false">IF('CARNET DE SOUDURE'!E821="","",'CARNET DE SOUDURE'!E821)</f>
        <v/>
      </c>
      <c r="D821" s="78" t="str">
        <f aca="false">IF('CARNET DE SOUDURE'!E821="","",'CARNET DE SOUDURE'!D821&amp;"")</f>
        <v/>
      </c>
      <c r="E821" s="96" t="str">
        <f aca="false">IF(OR('CARNET DE SOUDURE'!E821="",'CARNET DE SOUDURE'!R821=""),"",'CARNET DE SOUDURE'!R821)</f>
        <v/>
      </c>
      <c r="F821" s="81" t="str">
        <f aca="false">IF('CARNET DE SOUDURE'!E821="","",'CARNET DE SOUDURE'!AL821)</f>
        <v/>
      </c>
      <c r="G821" s="81" t="str">
        <f aca="false">IF('CARNET DE SOUDURE'!E821="","",'CARNET DE SOUDURE'!AM821)</f>
        <v/>
      </c>
      <c r="H821" s="81" t="str">
        <f aca="false">IF(C821="","",IF(G821="ACCEPTÉ","OUI","NON"))</f>
        <v/>
      </c>
      <c r="I821" s="82"/>
      <c r="J821" s="79"/>
      <c r="K821" s="80"/>
      <c r="L821" s="80"/>
      <c r="M821" s="80"/>
      <c r="N821" s="83" t="str">
        <f aca="false">IF(C821="","",IF(I821="",IF(H821="OUI","À ENROBER",IF(G821="À SOUDER","NON SOUDÉ","EN ATTENTE RT")),IF(L821="R","À REPRENDRE",IF(H821&lt;&gt;"OUI","⚠ ENROBÉ AVANT ACCEPTATION RT","ENROBÉ"))))</f>
        <v/>
      </c>
      <c r="O821" s="79"/>
    </row>
    <row r="822" customFormat="false" ht="15" hidden="false" customHeight="false" outlineLevel="0" collapsed="false">
      <c r="A822" s="78" t="str">
        <f aca="false">IF('CARNET DE SOUDURE'!E822="","",'CARNET DE SOUDURE'!A822)</f>
        <v/>
      </c>
      <c r="B822" s="93" t="str">
        <f aca="false">IF('CARNET DE SOUDURE'!E822="","",'CARNET DE SOUDURE'!B822&amp;"")</f>
        <v/>
      </c>
      <c r="C822" s="83" t="str">
        <f aca="false">IF('CARNET DE SOUDURE'!E822="","",'CARNET DE SOUDURE'!E822)</f>
        <v/>
      </c>
      <c r="D822" s="78" t="str">
        <f aca="false">IF('CARNET DE SOUDURE'!E822="","",'CARNET DE SOUDURE'!D822&amp;"")</f>
        <v/>
      </c>
      <c r="E822" s="96" t="str">
        <f aca="false">IF(OR('CARNET DE SOUDURE'!E822="",'CARNET DE SOUDURE'!R822=""),"",'CARNET DE SOUDURE'!R822)</f>
        <v/>
      </c>
      <c r="F822" s="81" t="str">
        <f aca="false">IF('CARNET DE SOUDURE'!E822="","",'CARNET DE SOUDURE'!AL822)</f>
        <v/>
      </c>
      <c r="G822" s="81" t="str">
        <f aca="false">IF('CARNET DE SOUDURE'!E822="","",'CARNET DE SOUDURE'!AM822)</f>
        <v/>
      </c>
      <c r="H822" s="81" t="str">
        <f aca="false">IF(C822="","",IF(G822="ACCEPTÉ","OUI","NON"))</f>
        <v/>
      </c>
      <c r="I822" s="82"/>
      <c r="J822" s="79"/>
      <c r="K822" s="80"/>
      <c r="L822" s="80"/>
      <c r="M822" s="80"/>
      <c r="N822" s="83" t="str">
        <f aca="false">IF(C822="","",IF(I822="",IF(H822="OUI","À ENROBER",IF(G822="À SOUDER","NON SOUDÉ","EN ATTENTE RT")),IF(L822="R","À REPRENDRE",IF(H822&lt;&gt;"OUI","⚠ ENROBÉ AVANT ACCEPTATION RT","ENROBÉ"))))</f>
        <v/>
      </c>
      <c r="O822" s="79"/>
    </row>
    <row r="823" customFormat="false" ht="15" hidden="false" customHeight="false" outlineLevel="0" collapsed="false">
      <c r="A823" s="78" t="str">
        <f aca="false">IF('CARNET DE SOUDURE'!E823="","",'CARNET DE SOUDURE'!A823)</f>
        <v/>
      </c>
      <c r="B823" s="93" t="str">
        <f aca="false">IF('CARNET DE SOUDURE'!E823="","",'CARNET DE SOUDURE'!B823&amp;"")</f>
        <v/>
      </c>
      <c r="C823" s="83" t="str">
        <f aca="false">IF('CARNET DE SOUDURE'!E823="","",'CARNET DE SOUDURE'!E823)</f>
        <v/>
      </c>
      <c r="D823" s="78" t="str">
        <f aca="false">IF('CARNET DE SOUDURE'!E823="","",'CARNET DE SOUDURE'!D823&amp;"")</f>
        <v/>
      </c>
      <c r="E823" s="96" t="str">
        <f aca="false">IF(OR('CARNET DE SOUDURE'!E823="",'CARNET DE SOUDURE'!R823=""),"",'CARNET DE SOUDURE'!R823)</f>
        <v/>
      </c>
      <c r="F823" s="81" t="str">
        <f aca="false">IF('CARNET DE SOUDURE'!E823="","",'CARNET DE SOUDURE'!AL823)</f>
        <v/>
      </c>
      <c r="G823" s="81" t="str">
        <f aca="false">IF('CARNET DE SOUDURE'!E823="","",'CARNET DE SOUDURE'!AM823)</f>
        <v/>
      </c>
      <c r="H823" s="81" t="str">
        <f aca="false">IF(C823="","",IF(G823="ACCEPTÉ","OUI","NON"))</f>
        <v/>
      </c>
      <c r="I823" s="82"/>
      <c r="J823" s="79"/>
      <c r="K823" s="80"/>
      <c r="L823" s="80"/>
      <c r="M823" s="80"/>
      <c r="N823" s="83" t="str">
        <f aca="false">IF(C823="","",IF(I823="",IF(H823="OUI","À ENROBER",IF(G823="À SOUDER","NON SOUDÉ","EN ATTENTE RT")),IF(L823="R","À REPRENDRE",IF(H823&lt;&gt;"OUI","⚠ ENROBÉ AVANT ACCEPTATION RT","ENROBÉ"))))</f>
        <v/>
      </c>
      <c r="O823" s="79"/>
    </row>
    <row r="824" customFormat="false" ht="15" hidden="false" customHeight="false" outlineLevel="0" collapsed="false">
      <c r="A824" s="78" t="str">
        <f aca="false">IF('CARNET DE SOUDURE'!E824="","",'CARNET DE SOUDURE'!A824)</f>
        <v/>
      </c>
      <c r="B824" s="93" t="str">
        <f aca="false">IF('CARNET DE SOUDURE'!E824="","",'CARNET DE SOUDURE'!B824&amp;"")</f>
        <v/>
      </c>
      <c r="C824" s="83" t="str">
        <f aca="false">IF('CARNET DE SOUDURE'!E824="","",'CARNET DE SOUDURE'!E824)</f>
        <v/>
      </c>
      <c r="D824" s="78" t="str">
        <f aca="false">IF('CARNET DE SOUDURE'!E824="","",'CARNET DE SOUDURE'!D824&amp;"")</f>
        <v/>
      </c>
      <c r="E824" s="96" t="str">
        <f aca="false">IF(OR('CARNET DE SOUDURE'!E824="",'CARNET DE SOUDURE'!R824=""),"",'CARNET DE SOUDURE'!R824)</f>
        <v/>
      </c>
      <c r="F824" s="81" t="str">
        <f aca="false">IF('CARNET DE SOUDURE'!E824="","",'CARNET DE SOUDURE'!AL824)</f>
        <v/>
      </c>
      <c r="G824" s="81" t="str">
        <f aca="false">IF('CARNET DE SOUDURE'!E824="","",'CARNET DE SOUDURE'!AM824)</f>
        <v/>
      </c>
      <c r="H824" s="81" t="str">
        <f aca="false">IF(C824="","",IF(G824="ACCEPTÉ","OUI","NON"))</f>
        <v/>
      </c>
      <c r="I824" s="82"/>
      <c r="J824" s="79"/>
      <c r="K824" s="80"/>
      <c r="L824" s="80"/>
      <c r="M824" s="80"/>
      <c r="N824" s="83" t="str">
        <f aca="false">IF(C824="","",IF(I824="",IF(H824="OUI","À ENROBER",IF(G824="À SOUDER","NON SOUDÉ","EN ATTENTE RT")),IF(L824="R","À REPRENDRE",IF(H824&lt;&gt;"OUI","⚠ ENROBÉ AVANT ACCEPTATION RT","ENROBÉ"))))</f>
        <v/>
      </c>
      <c r="O824" s="79"/>
    </row>
    <row r="825" customFormat="false" ht="15" hidden="false" customHeight="false" outlineLevel="0" collapsed="false">
      <c r="A825" s="78" t="str">
        <f aca="false">IF('CARNET DE SOUDURE'!E825="","",'CARNET DE SOUDURE'!A825)</f>
        <v/>
      </c>
      <c r="B825" s="93" t="str">
        <f aca="false">IF('CARNET DE SOUDURE'!E825="","",'CARNET DE SOUDURE'!B825&amp;"")</f>
        <v/>
      </c>
      <c r="C825" s="83" t="str">
        <f aca="false">IF('CARNET DE SOUDURE'!E825="","",'CARNET DE SOUDURE'!E825)</f>
        <v/>
      </c>
      <c r="D825" s="78" t="str">
        <f aca="false">IF('CARNET DE SOUDURE'!E825="","",'CARNET DE SOUDURE'!D825&amp;"")</f>
        <v/>
      </c>
      <c r="E825" s="96" t="str">
        <f aca="false">IF(OR('CARNET DE SOUDURE'!E825="",'CARNET DE SOUDURE'!R825=""),"",'CARNET DE SOUDURE'!R825)</f>
        <v/>
      </c>
      <c r="F825" s="81" t="str">
        <f aca="false">IF('CARNET DE SOUDURE'!E825="","",'CARNET DE SOUDURE'!AL825)</f>
        <v/>
      </c>
      <c r="G825" s="81" t="str">
        <f aca="false">IF('CARNET DE SOUDURE'!E825="","",'CARNET DE SOUDURE'!AM825)</f>
        <v/>
      </c>
      <c r="H825" s="81" t="str">
        <f aca="false">IF(C825="","",IF(G825="ACCEPTÉ","OUI","NON"))</f>
        <v/>
      </c>
      <c r="I825" s="82"/>
      <c r="J825" s="79"/>
      <c r="K825" s="80"/>
      <c r="L825" s="80"/>
      <c r="M825" s="80"/>
      <c r="N825" s="83" t="str">
        <f aca="false">IF(C825="","",IF(I825="",IF(H825="OUI","À ENROBER",IF(G825="À SOUDER","NON SOUDÉ","EN ATTENTE RT")),IF(L825="R","À REPRENDRE",IF(H825&lt;&gt;"OUI","⚠ ENROBÉ AVANT ACCEPTATION RT","ENROBÉ"))))</f>
        <v/>
      </c>
      <c r="O825" s="79"/>
    </row>
    <row r="826" customFormat="false" ht="15" hidden="false" customHeight="false" outlineLevel="0" collapsed="false">
      <c r="A826" s="78" t="str">
        <f aca="false">IF('CARNET DE SOUDURE'!E826="","",'CARNET DE SOUDURE'!A826)</f>
        <v/>
      </c>
      <c r="B826" s="93" t="str">
        <f aca="false">IF('CARNET DE SOUDURE'!E826="","",'CARNET DE SOUDURE'!B826&amp;"")</f>
        <v/>
      </c>
      <c r="C826" s="83" t="str">
        <f aca="false">IF('CARNET DE SOUDURE'!E826="","",'CARNET DE SOUDURE'!E826)</f>
        <v/>
      </c>
      <c r="D826" s="78" t="str">
        <f aca="false">IF('CARNET DE SOUDURE'!E826="","",'CARNET DE SOUDURE'!D826&amp;"")</f>
        <v/>
      </c>
      <c r="E826" s="96" t="str">
        <f aca="false">IF(OR('CARNET DE SOUDURE'!E826="",'CARNET DE SOUDURE'!R826=""),"",'CARNET DE SOUDURE'!R826)</f>
        <v/>
      </c>
      <c r="F826" s="81" t="str">
        <f aca="false">IF('CARNET DE SOUDURE'!E826="","",'CARNET DE SOUDURE'!AL826)</f>
        <v/>
      </c>
      <c r="G826" s="81" t="str">
        <f aca="false">IF('CARNET DE SOUDURE'!E826="","",'CARNET DE SOUDURE'!AM826)</f>
        <v/>
      </c>
      <c r="H826" s="81" t="str">
        <f aca="false">IF(C826="","",IF(G826="ACCEPTÉ","OUI","NON"))</f>
        <v/>
      </c>
      <c r="I826" s="82"/>
      <c r="J826" s="79"/>
      <c r="K826" s="80"/>
      <c r="L826" s="80"/>
      <c r="M826" s="80"/>
      <c r="N826" s="83" t="str">
        <f aca="false">IF(C826="","",IF(I826="",IF(H826="OUI","À ENROBER",IF(G826="À SOUDER","NON SOUDÉ","EN ATTENTE RT")),IF(L826="R","À REPRENDRE",IF(H826&lt;&gt;"OUI","⚠ ENROBÉ AVANT ACCEPTATION RT","ENROBÉ"))))</f>
        <v/>
      </c>
      <c r="O826" s="79"/>
    </row>
    <row r="827" customFormat="false" ht="15" hidden="false" customHeight="false" outlineLevel="0" collapsed="false">
      <c r="A827" s="78" t="str">
        <f aca="false">IF('CARNET DE SOUDURE'!E827="","",'CARNET DE SOUDURE'!A827)</f>
        <v/>
      </c>
      <c r="B827" s="93" t="str">
        <f aca="false">IF('CARNET DE SOUDURE'!E827="","",'CARNET DE SOUDURE'!B827&amp;"")</f>
        <v/>
      </c>
      <c r="C827" s="83" t="str">
        <f aca="false">IF('CARNET DE SOUDURE'!E827="","",'CARNET DE SOUDURE'!E827)</f>
        <v/>
      </c>
      <c r="D827" s="78" t="str">
        <f aca="false">IF('CARNET DE SOUDURE'!E827="","",'CARNET DE SOUDURE'!D827&amp;"")</f>
        <v/>
      </c>
      <c r="E827" s="96" t="str">
        <f aca="false">IF(OR('CARNET DE SOUDURE'!E827="",'CARNET DE SOUDURE'!R827=""),"",'CARNET DE SOUDURE'!R827)</f>
        <v/>
      </c>
      <c r="F827" s="81" t="str">
        <f aca="false">IF('CARNET DE SOUDURE'!E827="","",'CARNET DE SOUDURE'!AL827)</f>
        <v/>
      </c>
      <c r="G827" s="81" t="str">
        <f aca="false">IF('CARNET DE SOUDURE'!E827="","",'CARNET DE SOUDURE'!AM827)</f>
        <v/>
      </c>
      <c r="H827" s="81" t="str">
        <f aca="false">IF(C827="","",IF(G827="ACCEPTÉ","OUI","NON"))</f>
        <v/>
      </c>
      <c r="I827" s="82"/>
      <c r="J827" s="79"/>
      <c r="K827" s="80"/>
      <c r="L827" s="80"/>
      <c r="M827" s="80"/>
      <c r="N827" s="83" t="str">
        <f aca="false">IF(C827="","",IF(I827="",IF(H827="OUI","À ENROBER",IF(G827="À SOUDER","NON SOUDÉ","EN ATTENTE RT")),IF(L827="R","À REPRENDRE",IF(H827&lt;&gt;"OUI","⚠ ENROBÉ AVANT ACCEPTATION RT","ENROBÉ"))))</f>
        <v/>
      </c>
      <c r="O827" s="79"/>
    </row>
    <row r="828" customFormat="false" ht="15" hidden="false" customHeight="false" outlineLevel="0" collapsed="false">
      <c r="A828" s="78" t="str">
        <f aca="false">IF('CARNET DE SOUDURE'!E828="","",'CARNET DE SOUDURE'!A828)</f>
        <v/>
      </c>
      <c r="B828" s="93" t="str">
        <f aca="false">IF('CARNET DE SOUDURE'!E828="","",'CARNET DE SOUDURE'!B828&amp;"")</f>
        <v/>
      </c>
      <c r="C828" s="83" t="str">
        <f aca="false">IF('CARNET DE SOUDURE'!E828="","",'CARNET DE SOUDURE'!E828)</f>
        <v/>
      </c>
      <c r="D828" s="78" t="str">
        <f aca="false">IF('CARNET DE SOUDURE'!E828="","",'CARNET DE SOUDURE'!D828&amp;"")</f>
        <v/>
      </c>
      <c r="E828" s="96" t="str">
        <f aca="false">IF(OR('CARNET DE SOUDURE'!E828="",'CARNET DE SOUDURE'!R828=""),"",'CARNET DE SOUDURE'!R828)</f>
        <v/>
      </c>
      <c r="F828" s="81" t="str">
        <f aca="false">IF('CARNET DE SOUDURE'!E828="","",'CARNET DE SOUDURE'!AL828)</f>
        <v/>
      </c>
      <c r="G828" s="81" t="str">
        <f aca="false">IF('CARNET DE SOUDURE'!E828="","",'CARNET DE SOUDURE'!AM828)</f>
        <v/>
      </c>
      <c r="H828" s="81" t="str">
        <f aca="false">IF(C828="","",IF(G828="ACCEPTÉ","OUI","NON"))</f>
        <v/>
      </c>
      <c r="I828" s="82"/>
      <c r="J828" s="79"/>
      <c r="K828" s="80"/>
      <c r="L828" s="80"/>
      <c r="M828" s="80"/>
      <c r="N828" s="83" t="str">
        <f aca="false">IF(C828="","",IF(I828="",IF(H828="OUI","À ENROBER",IF(G828="À SOUDER","NON SOUDÉ","EN ATTENTE RT")),IF(L828="R","À REPRENDRE",IF(H828&lt;&gt;"OUI","⚠ ENROBÉ AVANT ACCEPTATION RT","ENROBÉ"))))</f>
        <v/>
      </c>
      <c r="O828" s="79"/>
    </row>
    <row r="829" customFormat="false" ht="15" hidden="false" customHeight="false" outlineLevel="0" collapsed="false">
      <c r="A829" s="78" t="str">
        <f aca="false">IF('CARNET DE SOUDURE'!E829="","",'CARNET DE SOUDURE'!A829)</f>
        <v/>
      </c>
      <c r="B829" s="93" t="str">
        <f aca="false">IF('CARNET DE SOUDURE'!E829="","",'CARNET DE SOUDURE'!B829&amp;"")</f>
        <v/>
      </c>
      <c r="C829" s="83" t="str">
        <f aca="false">IF('CARNET DE SOUDURE'!E829="","",'CARNET DE SOUDURE'!E829)</f>
        <v/>
      </c>
      <c r="D829" s="78" t="str">
        <f aca="false">IF('CARNET DE SOUDURE'!E829="","",'CARNET DE SOUDURE'!D829&amp;"")</f>
        <v/>
      </c>
      <c r="E829" s="96" t="str">
        <f aca="false">IF(OR('CARNET DE SOUDURE'!E829="",'CARNET DE SOUDURE'!R829=""),"",'CARNET DE SOUDURE'!R829)</f>
        <v/>
      </c>
      <c r="F829" s="81" t="str">
        <f aca="false">IF('CARNET DE SOUDURE'!E829="","",'CARNET DE SOUDURE'!AL829)</f>
        <v/>
      </c>
      <c r="G829" s="81" t="str">
        <f aca="false">IF('CARNET DE SOUDURE'!E829="","",'CARNET DE SOUDURE'!AM829)</f>
        <v/>
      </c>
      <c r="H829" s="81" t="str">
        <f aca="false">IF(C829="","",IF(G829="ACCEPTÉ","OUI","NON"))</f>
        <v/>
      </c>
      <c r="I829" s="82"/>
      <c r="J829" s="79"/>
      <c r="K829" s="80"/>
      <c r="L829" s="80"/>
      <c r="M829" s="80"/>
      <c r="N829" s="83" t="str">
        <f aca="false">IF(C829="","",IF(I829="",IF(H829="OUI","À ENROBER",IF(G829="À SOUDER","NON SOUDÉ","EN ATTENTE RT")),IF(L829="R","À REPRENDRE",IF(H829&lt;&gt;"OUI","⚠ ENROBÉ AVANT ACCEPTATION RT","ENROBÉ"))))</f>
        <v/>
      </c>
      <c r="O829" s="79"/>
    </row>
    <row r="830" customFormat="false" ht="15" hidden="false" customHeight="false" outlineLevel="0" collapsed="false">
      <c r="A830" s="78" t="str">
        <f aca="false">IF('CARNET DE SOUDURE'!E830="","",'CARNET DE SOUDURE'!A830)</f>
        <v/>
      </c>
      <c r="B830" s="93" t="str">
        <f aca="false">IF('CARNET DE SOUDURE'!E830="","",'CARNET DE SOUDURE'!B830&amp;"")</f>
        <v/>
      </c>
      <c r="C830" s="83" t="str">
        <f aca="false">IF('CARNET DE SOUDURE'!E830="","",'CARNET DE SOUDURE'!E830)</f>
        <v/>
      </c>
      <c r="D830" s="78" t="str">
        <f aca="false">IF('CARNET DE SOUDURE'!E830="","",'CARNET DE SOUDURE'!D830&amp;"")</f>
        <v/>
      </c>
      <c r="E830" s="96" t="str">
        <f aca="false">IF(OR('CARNET DE SOUDURE'!E830="",'CARNET DE SOUDURE'!R830=""),"",'CARNET DE SOUDURE'!R830)</f>
        <v/>
      </c>
      <c r="F830" s="81" t="str">
        <f aca="false">IF('CARNET DE SOUDURE'!E830="","",'CARNET DE SOUDURE'!AL830)</f>
        <v/>
      </c>
      <c r="G830" s="81" t="str">
        <f aca="false">IF('CARNET DE SOUDURE'!E830="","",'CARNET DE SOUDURE'!AM830)</f>
        <v/>
      </c>
      <c r="H830" s="81" t="str">
        <f aca="false">IF(C830="","",IF(G830="ACCEPTÉ","OUI","NON"))</f>
        <v/>
      </c>
      <c r="I830" s="82"/>
      <c r="J830" s="79"/>
      <c r="K830" s="80"/>
      <c r="L830" s="80"/>
      <c r="M830" s="80"/>
      <c r="N830" s="83" t="str">
        <f aca="false">IF(C830="","",IF(I830="",IF(H830="OUI","À ENROBER",IF(G830="À SOUDER","NON SOUDÉ","EN ATTENTE RT")),IF(L830="R","À REPRENDRE",IF(H830&lt;&gt;"OUI","⚠ ENROBÉ AVANT ACCEPTATION RT","ENROBÉ"))))</f>
        <v/>
      </c>
      <c r="O830" s="79"/>
    </row>
    <row r="831" customFormat="false" ht="15" hidden="false" customHeight="false" outlineLevel="0" collapsed="false">
      <c r="A831" s="78" t="str">
        <f aca="false">IF('CARNET DE SOUDURE'!E831="","",'CARNET DE SOUDURE'!A831)</f>
        <v/>
      </c>
      <c r="B831" s="93" t="str">
        <f aca="false">IF('CARNET DE SOUDURE'!E831="","",'CARNET DE SOUDURE'!B831&amp;"")</f>
        <v/>
      </c>
      <c r="C831" s="83" t="str">
        <f aca="false">IF('CARNET DE SOUDURE'!E831="","",'CARNET DE SOUDURE'!E831)</f>
        <v/>
      </c>
      <c r="D831" s="78" t="str">
        <f aca="false">IF('CARNET DE SOUDURE'!E831="","",'CARNET DE SOUDURE'!D831&amp;"")</f>
        <v/>
      </c>
      <c r="E831" s="96" t="str">
        <f aca="false">IF(OR('CARNET DE SOUDURE'!E831="",'CARNET DE SOUDURE'!R831=""),"",'CARNET DE SOUDURE'!R831)</f>
        <v/>
      </c>
      <c r="F831" s="81" t="str">
        <f aca="false">IF('CARNET DE SOUDURE'!E831="","",'CARNET DE SOUDURE'!AL831)</f>
        <v/>
      </c>
      <c r="G831" s="81" t="str">
        <f aca="false">IF('CARNET DE SOUDURE'!E831="","",'CARNET DE SOUDURE'!AM831)</f>
        <v/>
      </c>
      <c r="H831" s="81" t="str">
        <f aca="false">IF(C831="","",IF(G831="ACCEPTÉ","OUI","NON"))</f>
        <v/>
      </c>
      <c r="I831" s="82"/>
      <c r="J831" s="79"/>
      <c r="K831" s="80"/>
      <c r="L831" s="80"/>
      <c r="M831" s="80"/>
      <c r="N831" s="83" t="str">
        <f aca="false">IF(C831="","",IF(I831="",IF(H831="OUI","À ENROBER",IF(G831="À SOUDER","NON SOUDÉ","EN ATTENTE RT")),IF(L831="R","À REPRENDRE",IF(H831&lt;&gt;"OUI","⚠ ENROBÉ AVANT ACCEPTATION RT","ENROBÉ"))))</f>
        <v/>
      </c>
      <c r="O831" s="79"/>
    </row>
    <row r="832" customFormat="false" ht="15" hidden="false" customHeight="false" outlineLevel="0" collapsed="false">
      <c r="A832" s="78" t="str">
        <f aca="false">IF('CARNET DE SOUDURE'!E832="","",'CARNET DE SOUDURE'!A832)</f>
        <v/>
      </c>
      <c r="B832" s="93" t="str">
        <f aca="false">IF('CARNET DE SOUDURE'!E832="","",'CARNET DE SOUDURE'!B832&amp;"")</f>
        <v/>
      </c>
      <c r="C832" s="83" t="str">
        <f aca="false">IF('CARNET DE SOUDURE'!E832="","",'CARNET DE SOUDURE'!E832)</f>
        <v/>
      </c>
      <c r="D832" s="78" t="str">
        <f aca="false">IF('CARNET DE SOUDURE'!E832="","",'CARNET DE SOUDURE'!D832&amp;"")</f>
        <v/>
      </c>
      <c r="E832" s="96" t="str">
        <f aca="false">IF(OR('CARNET DE SOUDURE'!E832="",'CARNET DE SOUDURE'!R832=""),"",'CARNET DE SOUDURE'!R832)</f>
        <v/>
      </c>
      <c r="F832" s="81" t="str">
        <f aca="false">IF('CARNET DE SOUDURE'!E832="","",'CARNET DE SOUDURE'!AL832)</f>
        <v/>
      </c>
      <c r="G832" s="81" t="str">
        <f aca="false">IF('CARNET DE SOUDURE'!E832="","",'CARNET DE SOUDURE'!AM832)</f>
        <v/>
      </c>
      <c r="H832" s="81" t="str">
        <f aca="false">IF(C832="","",IF(G832="ACCEPTÉ","OUI","NON"))</f>
        <v/>
      </c>
      <c r="I832" s="82"/>
      <c r="J832" s="79"/>
      <c r="K832" s="80"/>
      <c r="L832" s="80"/>
      <c r="M832" s="80"/>
      <c r="N832" s="83" t="str">
        <f aca="false">IF(C832="","",IF(I832="",IF(H832="OUI","À ENROBER",IF(G832="À SOUDER","NON SOUDÉ","EN ATTENTE RT")),IF(L832="R","À REPRENDRE",IF(H832&lt;&gt;"OUI","⚠ ENROBÉ AVANT ACCEPTATION RT","ENROBÉ"))))</f>
        <v/>
      </c>
      <c r="O832" s="79"/>
    </row>
    <row r="833" customFormat="false" ht="15" hidden="false" customHeight="false" outlineLevel="0" collapsed="false">
      <c r="A833" s="78" t="str">
        <f aca="false">IF('CARNET DE SOUDURE'!E833="","",'CARNET DE SOUDURE'!A833)</f>
        <v/>
      </c>
      <c r="B833" s="93" t="str">
        <f aca="false">IF('CARNET DE SOUDURE'!E833="","",'CARNET DE SOUDURE'!B833&amp;"")</f>
        <v/>
      </c>
      <c r="C833" s="83" t="str">
        <f aca="false">IF('CARNET DE SOUDURE'!E833="","",'CARNET DE SOUDURE'!E833)</f>
        <v/>
      </c>
      <c r="D833" s="78" t="str">
        <f aca="false">IF('CARNET DE SOUDURE'!E833="","",'CARNET DE SOUDURE'!D833&amp;"")</f>
        <v/>
      </c>
      <c r="E833" s="96" t="str">
        <f aca="false">IF(OR('CARNET DE SOUDURE'!E833="",'CARNET DE SOUDURE'!R833=""),"",'CARNET DE SOUDURE'!R833)</f>
        <v/>
      </c>
      <c r="F833" s="81" t="str">
        <f aca="false">IF('CARNET DE SOUDURE'!E833="","",'CARNET DE SOUDURE'!AL833)</f>
        <v/>
      </c>
      <c r="G833" s="81" t="str">
        <f aca="false">IF('CARNET DE SOUDURE'!E833="","",'CARNET DE SOUDURE'!AM833)</f>
        <v/>
      </c>
      <c r="H833" s="81" t="str">
        <f aca="false">IF(C833="","",IF(G833="ACCEPTÉ","OUI","NON"))</f>
        <v/>
      </c>
      <c r="I833" s="82"/>
      <c r="J833" s="79"/>
      <c r="K833" s="80"/>
      <c r="L833" s="80"/>
      <c r="M833" s="80"/>
      <c r="N833" s="83" t="str">
        <f aca="false">IF(C833="","",IF(I833="",IF(H833="OUI","À ENROBER",IF(G833="À SOUDER","NON SOUDÉ","EN ATTENTE RT")),IF(L833="R","À REPRENDRE",IF(H833&lt;&gt;"OUI","⚠ ENROBÉ AVANT ACCEPTATION RT","ENROBÉ"))))</f>
        <v/>
      </c>
      <c r="O833" s="79"/>
    </row>
    <row r="834" customFormat="false" ht="15" hidden="false" customHeight="false" outlineLevel="0" collapsed="false">
      <c r="A834" s="78" t="str">
        <f aca="false">IF('CARNET DE SOUDURE'!E834="","",'CARNET DE SOUDURE'!A834)</f>
        <v/>
      </c>
      <c r="B834" s="93" t="str">
        <f aca="false">IF('CARNET DE SOUDURE'!E834="","",'CARNET DE SOUDURE'!B834&amp;"")</f>
        <v/>
      </c>
      <c r="C834" s="83" t="str">
        <f aca="false">IF('CARNET DE SOUDURE'!E834="","",'CARNET DE SOUDURE'!E834)</f>
        <v/>
      </c>
      <c r="D834" s="78" t="str">
        <f aca="false">IF('CARNET DE SOUDURE'!E834="","",'CARNET DE SOUDURE'!D834&amp;"")</f>
        <v/>
      </c>
      <c r="E834" s="96" t="str">
        <f aca="false">IF(OR('CARNET DE SOUDURE'!E834="",'CARNET DE SOUDURE'!R834=""),"",'CARNET DE SOUDURE'!R834)</f>
        <v/>
      </c>
      <c r="F834" s="81" t="str">
        <f aca="false">IF('CARNET DE SOUDURE'!E834="","",'CARNET DE SOUDURE'!AL834)</f>
        <v/>
      </c>
      <c r="G834" s="81" t="str">
        <f aca="false">IF('CARNET DE SOUDURE'!E834="","",'CARNET DE SOUDURE'!AM834)</f>
        <v/>
      </c>
      <c r="H834" s="81" t="str">
        <f aca="false">IF(C834="","",IF(G834="ACCEPTÉ","OUI","NON"))</f>
        <v/>
      </c>
      <c r="I834" s="82"/>
      <c r="J834" s="79"/>
      <c r="K834" s="80"/>
      <c r="L834" s="80"/>
      <c r="M834" s="80"/>
      <c r="N834" s="83" t="str">
        <f aca="false">IF(C834="","",IF(I834="",IF(H834="OUI","À ENROBER",IF(G834="À SOUDER","NON SOUDÉ","EN ATTENTE RT")),IF(L834="R","À REPRENDRE",IF(H834&lt;&gt;"OUI","⚠ ENROBÉ AVANT ACCEPTATION RT","ENROBÉ"))))</f>
        <v/>
      </c>
      <c r="O834" s="79"/>
    </row>
    <row r="835" customFormat="false" ht="15" hidden="false" customHeight="false" outlineLevel="0" collapsed="false">
      <c r="A835" s="78" t="str">
        <f aca="false">IF('CARNET DE SOUDURE'!E835="","",'CARNET DE SOUDURE'!A835)</f>
        <v/>
      </c>
      <c r="B835" s="93" t="str">
        <f aca="false">IF('CARNET DE SOUDURE'!E835="","",'CARNET DE SOUDURE'!B835&amp;"")</f>
        <v/>
      </c>
      <c r="C835" s="83" t="str">
        <f aca="false">IF('CARNET DE SOUDURE'!E835="","",'CARNET DE SOUDURE'!E835)</f>
        <v/>
      </c>
      <c r="D835" s="78" t="str">
        <f aca="false">IF('CARNET DE SOUDURE'!E835="","",'CARNET DE SOUDURE'!D835&amp;"")</f>
        <v/>
      </c>
      <c r="E835" s="96" t="str">
        <f aca="false">IF(OR('CARNET DE SOUDURE'!E835="",'CARNET DE SOUDURE'!R835=""),"",'CARNET DE SOUDURE'!R835)</f>
        <v/>
      </c>
      <c r="F835" s="81" t="str">
        <f aca="false">IF('CARNET DE SOUDURE'!E835="","",'CARNET DE SOUDURE'!AL835)</f>
        <v/>
      </c>
      <c r="G835" s="81" t="str">
        <f aca="false">IF('CARNET DE SOUDURE'!E835="","",'CARNET DE SOUDURE'!AM835)</f>
        <v/>
      </c>
      <c r="H835" s="81" t="str">
        <f aca="false">IF(C835="","",IF(G835="ACCEPTÉ","OUI","NON"))</f>
        <v/>
      </c>
      <c r="I835" s="82"/>
      <c r="J835" s="79"/>
      <c r="K835" s="80"/>
      <c r="L835" s="80"/>
      <c r="M835" s="80"/>
      <c r="N835" s="83" t="str">
        <f aca="false">IF(C835="","",IF(I835="",IF(H835="OUI","À ENROBER",IF(G835="À SOUDER","NON SOUDÉ","EN ATTENTE RT")),IF(L835="R","À REPRENDRE",IF(H835&lt;&gt;"OUI","⚠ ENROBÉ AVANT ACCEPTATION RT","ENROBÉ"))))</f>
        <v/>
      </c>
      <c r="O835" s="79"/>
    </row>
    <row r="836" customFormat="false" ht="15" hidden="false" customHeight="false" outlineLevel="0" collapsed="false">
      <c r="A836" s="78" t="str">
        <f aca="false">IF('CARNET DE SOUDURE'!E836="","",'CARNET DE SOUDURE'!A836)</f>
        <v/>
      </c>
      <c r="B836" s="93" t="str">
        <f aca="false">IF('CARNET DE SOUDURE'!E836="","",'CARNET DE SOUDURE'!B836&amp;"")</f>
        <v/>
      </c>
      <c r="C836" s="83" t="str">
        <f aca="false">IF('CARNET DE SOUDURE'!E836="","",'CARNET DE SOUDURE'!E836)</f>
        <v/>
      </c>
      <c r="D836" s="78" t="str">
        <f aca="false">IF('CARNET DE SOUDURE'!E836="","",'CARNET DE SOUDURE'!D836&amp;"")</f>
        <v/>
      </c>
      <c r="E836" s="96" t="str">
        <f aca="false">IF(OR('CARNET DE SOUDURE'!E836="",'CARNET DE SOUDURE'!R836=""),"",'CARNET DE SOUDURE'!R836)</f>
        <v/>
      </c>
      <c r="F836" s="81" t="str">
        <f aca="false">IF('CARNET DE SOUDURE'!E836="","",'CARNET DE SOUDURE'!AL836)</f>
        <v/>
      </c>
      <c r="G836" s="81" t="str">
        <f aca="false">IF('CARNET DE SOUDURE'!E836="","",'CARNET DE SOUDURE'!AM836)</f>
        <v/>
      </c>
      <c r="H836" s="81" t="str">
        <f aca="false">IF(C836="","",IF(G836="ACCEPTÉ","OUI","NON"))</f>
        <v/>
      </c>
      <c r="I836" s="82"/>
      <c r="J836" s="79"/>
      <c r="K836" s="80"/>
      <c r="L836" s="80"/>
      <c r="M836" s="80"/>
      <c r="N836" s="83" t="str">
        <f aca="false">IF(C836="","",IF(I836="",IF(H836="OUI","À ENROBER",IF(G836="À SOUDER","NON SOUDÉ","EN ATTENTE RT")),IF(L836="R","À REPRENDRE",IF(H836&lt;&gt;"OUI","⚠ ENROBÉ AVANT ACCEPTATION RT","ENROBÉ"))))</f>
        <v/>
      </c>
      <c r="O836" s="79"/>
    </row>
    <row r="837" customFormat="false" ht="15" hidden="false" customHeight="false" outlineLevel="0" collapsed="false">
      <c r="A837" s="78" t="str">
        <f aca="false">IF('CARNET DE SOUDURE'!E837="","",'CARNET DE SOUDURE'!A837)</f>
        <v/>
      </c>
      <c r="B837" s="93" t="str">
        <f aca="false">IF('CARNET DE SOUDURE'!E837="","",'CARNET DE SOUDURE'!B837&amp;"")</f>
        <v/>
      </c>
      <c r="C837" s="83" t="str">
        <f aca="false">IF('CARNET DE SOUDURE'!E837="","",'CARNET DE SOUDURE'!E837)</f>
        <v/>
      </c>
      <c r="D837" s="78" t="str">
        <f aca="false">IF('CARNET DE SOUDURE'!E837="","",'CARNET DE SOUDURE'!D837&amp;"")</f>
        <v/>
      </c>
      <c r="E837" s="96" t="str">
        <f aca="false">IF(OR('CARNET DE SOUDURE'!E837="",'CARNET DE SOUDURE'!R837=""),"",'CARNET DE SOUDURE'!R837)</f>
        <v/>
      </c>
      <c r="F837" s="81" t="str">
        <f aca="false">IF('CARNET DE SOUDURE'!E837="","",'CARNET DE SOUDURE'!AL837)</f>
        <v/>
      </c>
      <c r="G837" s="81" t="str">
        <f aca="false">IF('CARNET DE SOUDURE'!E837="","",'CARNET DE SOUDURE'!AM837)</f>
        <v/>
      </c>
      <c r="H837" s="81" t="str">
        <f aca="false">IF(C837="","",IF(G837="ACCEPTÉ","OUI","NON"))</f>
        <v/>
      </c>
      <c r="I837" s="82"/>
      <c r="J837" s="79"/>
      <c r="K837" s="80"/>
      <c r="L837" s="80"/>
      <c r="M837" s="80"/>
      <c r="N837" s="83" t="str">
        <f aca="false">IF(C837="","",IF(I837="",IF(H837="OUI","À ENROBER",IF(G837="À SOUDER","NON SOUDÉ","EN ATTENTE RT")),IF(L837="R","À REPRENDRE",IF(H837&lt;&gt;"OUI","⚠ ENROBÉ AVANT ACCEPTATION RT","ENROBÉ"))))</f>
        <v/>
      </c>
      <c r="O837" s="79"/>
    </row>
    <row r="838" customFormat="false" ht="15" hidden="false" customHeight="false" outlineLevel="0" collapsed="false">
      <c r="A838" s="78" t="str">
        <f aca="false">IF('CARNET DE SOUDURE'!E838="","",'CARNET DE SOUDURE'!A838)</f>
        <v/>
      </c>
      <c r="B838" s="93" t="str">
        <f aca="false">IF('CARNET DE SOUDURE'!E838="","",'CARNET DE SOUDURE'!B838&amp;"")</f>
        <v/>
      </c>
      <c r="C838" s="83" t="str">
        <f aca="false">IF('CARNET DE SOUDURE'!E838="","",'CARNET DE SOUDURE'!E838)</f>
        <v/>
      </c>
      <c r="D838" s="78" t="str">
        <f aca="false">IF('CARNET DE SOUDURE'!E838="","",'CARNET DE SOUDURE'!D838&amp;"")</f>
        <v/>
      </c>
      <c r="E838" s="96" t="str">
        <f aca="false">IF(OR('CARNET DE SOUDURE'!E838="",'CARNET DE SOUDURE'!R838=""),"",'CARNET DE SOUDURE'!R838)</f>
        <v/>
      </c>
      <c r="F838" s="81" t="str">
        <f aca="false">IF('CARNET DE SOUDURE'!E838="","",'CARNET DE SOUDURE'!AL838)</f>
        <v/>
      </c>
      <c r="G838" s="81" t="str">
        <f aca="false">IF('CARNET DE SOUDURE'!E838="","",'CARNET DE SOUDURE'!AM838)</f>
        <v/>
      </c>
      <c r="H838" s="81" t="str">
        <f aca="false">IF(C838="","",IF(G838="ACCEPTÉ","OUI","NON"))</f>
        <v/>
      </c>
      <c r="I838" s="82"/>
      <c r="J838" s="79"/>
      <c r="K838" s="80"/>
      <c r="L838" s="80"/>
      <c r="M838" s="80"/>
      <c r="N838" s="83" t="str">
        <f aca="false">IF(C838="","",IF(I838="",IF(H838="OUI","À ENROBER",IF(G838="À SOUDER","NON SOUDÉ","EN ATTENTE RT")),IF(L838="R","À REPRENDRE",IF(H838&lt;&gt;"OUI","⚠ ENROBÉ AVANT ACCEPTATION RT","ENROBÉ"))))</f>
        <v/>
      </c>
      <c r="O838" s="79"/>
    </row>
    <row r="839" customFormat="false" ht="15" hidden="false" customHeight="false" outlineLevel="0" collapsed="false">
      <c r="A839" s="78" t="str">
        <f aca="false">IF('CARNET DE SOUDURE'!E839="","",'CARNET DE SOUDURE'!A839)</f>
        <v/>
      </c>
      <c r="B839" s="93" t="str">
        <f aca="false">IF('CARNET DE SOUDURE'!E839="","",'CARNET DE SOUDURE'!B839&amp;"")</f>
        <v/>
      </c>
      <c r="C839" s="83" t="str">
        <f aca="false">IF('CARNET DE SOUDURE'!E839="","",'CARNET DE SOUDURE'!E839)</f>
        <v/>
      </c>
      <c r="D839" s="78" t="str">
        <f aca="false">IF('CARNET DE SOUDURE'!E839="","",'CARNET DE SOUDURE'!D839&amp;"")</f>
        <v/>
      </c>
      <c r="E839" s="96" t="str">
        <f aca="false">IF(OR('CARNET DE SOUDURE'!E839="",'CARNET DE SOUDURE'!R839=""),"",'CARNET DE SOUDURE'!R839)</f>
        <v/>
      </c>
      <c r="F839" s="81" t="str">
        <f aca="false">IF('CARNET DE SOUDURE'!E839="","",'CARNET DE SOUDURE'!AL839)</f>
        <v/>
      </c>
      <c r="G839" s="81" t="str">
        <f aca="false">IF('CARNET DE SOUDURE'!E839="","",'CARNET DE SOUDURE'!AM839)</f>
        <v/>
      </c>
      <c r="H839" s="81" t="str">
        <f aca="false">IF(C839="","",IF(G839="ACCEPTÉ","OUI","NON"))</f>
        <v/>
      </c>
      <c r="I839" s="82"/>
      <c r="J839" s="79"/>
      <c r="K839" s="80"/>
      <c r="L839" s="80"/>
      <c r="M839" s="80"/>
      <c r="N839" s="83" t="str">
        <f aca="false">IF(C839="","",IF(I839="",IF(H839="OUI","À ENROBER",IF(G839="À SOUDER","NON SOUDÉ","EN ATTENTE RT")),IF(L839="R","À REPRENDRE",IF(H839&lt;&gt;"OUI","⚠ ENROBÉ AVANT ACCEPTATION RT","ENROBÉ"))))</f>
        <v/>
      </c>
      <c r="O839" s="79"/>
    </row>
    <row r="840" customFormat="false" ht="15" hidden="false" customHeight="false" outlineLevel="0" collapsed="false">
      <c r="A840" s="78" t="str">
        <f aca="false">IF('CARNET DE SOUDURE'!E840="","",'CARNET DE SOUDURE'!A840)</f>
        <v/>
      </c>
      <c r="B840" s="93" t="str">
        <f aca="false">IF('CARNET DE SOUDURE'!E840="","",'CARNET DE SOUDURE'!B840&amp;"")</f>
        <v/>
      </c>
      <c r="C840" s="83" t="str">
        <f aca="false">IF('CARNET DE SOUDURE'!E840="","",'CARNET DE SOUDURE'!E840)</f>
        <v/>
      </c>
      <c r="D840" s="78" t="str">
        <f aca="false">IF('CARNET DE SOUDURE'!E840="","",'CARNET DE SOUDURE'!D840&amp;"")</f>
        <v/>
      </c>
      <c r="E840" s="96" t="str">
        <f aca="false">IF(OR('CARNET DE SOUDURE'!E840="",'CARNET DE SOUDURE'!R840=""),"",'CARNET DE SOUDURE'!R840)</f>
        <v/>
      </c>
      <c r="F840" s="81" t="str">
        <f aca="false">IF('CARNET DE SOUDURE'!E840="","",'CARNET DE SOUDURE'!AL840)</f>
        <v/>
      </c>
      <c r="G840" s="81" t="str">
        <f aca="false">IF('CARNET DE SOUDURE'!E840="","",'CARNET DE SOUDURE'!AM840)</f>
        <v/>
      </c>
      <c r="H840" s="81" t="str">
        <f aca="false">IF(C840="","",IF(G840="ACCEPTÉ","OUI","NON"))</f>
        <v/>
      </c>
      <c r="I840" s="82"/>
      <c r="J840" s="79"/>
      <c r="K840" s="80"/>
      <c r="L840" s="80"/>
      <c r="M840" s="80"/>
      <c r="N840" s="83" t="str">
        <f aca="false">IF(C840="","",IF(I840="",IF(H840="OUI","À ENROBER",IF(G840="À SOUDER","NON SOUDÉ","EN ATTENTE RT")),IF(L840="R","À REPRENDRE",IF(H840&lt;&gt;"OUI","⚠ ENROBÉ AVANT ACCEPTATION RT","ENROBÉ"))))</f>
        <v/>
      </c>
      <c r="O840" s="79"/>
    </row>
    <row r="841" customFormat="false" ht="15" hidden="false" customHeight="false" outlineLevel="0" collapsed="false">
      <c r="A841" s="78" t="str">
        <f aca="false">IF('CARNET DE SOUDURE'!E841="","",'CARNET DE SOUDURE'!A841)</f>
        <v/>
      </c>
      <c r="B841" s="93" t="str">
        <f aca="false">IF('CARNET DE SOUDURE'!E841="","",'CARNET DE SOUDURE'!B841&amp;"")</f>
        <v/>
      </c>
      <c r="C841" s="83" t="str">
        <f aca="false">IF('CARNET DE SOUDURE'!E841="","",'CARNET DE SOUDURE'!E841)</f>
        <v/>
      </c>
      <c r="D841" s="78" t="str">
        <f aca="false">IF('CARNET DE SOUDURE'!E841="","",'CARNET DE SOUDURE'!D841&amp;"")</f>
        <v/>
      </c>
      <c r="E841" s="96" t="str">
        <f aca="false">IF(OR('CARNET DE SOUDURE'!E841="",'CARNET DE SOUDURE'!R841=""),"",'CARNET DE SOUDURE'!R841)</f>
        <v/>
      </c>
      <c r="F841" s="81" t="str">
        <f aca="false">IF('CARNET DE SOUDURE'!E841="","",'CARNET DE SOUDURE'!AL841)</f>
        <v/>
      </c>
      <c r="G841" s="81" t="str">
        <f aca="false">IF('CARNET DE SOUDURE'!E841="","",'CARNET DE SOUDURE'!AM841)</f>
        <v/>
      </c>
      <c r="H841" s="81" t="str">
        <f aca="false">IF(C841="","",IF(G841="ACCEPTÉ","OUI","NON"))</f>
        <v/>
      </c>
      <c r="I841" s="82"/>
      <c r="J841" s="79"/>
      <c r="K841" s="80"/>
      <c r="L841" s="80"/>
      <c r="M841" s="80"/>
      <c r="N841" s="83" t="str">
        <f aca="false">IF(C841="","",IF(I841="",IF(H841="OUI","À ENROBER",IF(G841="À SOUDER","NON SOUDÉ","EN ATTENTE RT")),IF(L841="R","À REPRENDRE",IF(H841&lt;&gt;"OUI","⚠ ENROBÉ AVANT ACCEPTATION RT","ENROBÉ"))))</f>
        <v/>
      </c>
      <c r="O841" s="79"/>
    </row>
    <row r="842" customFormat="false" ht="15" hidden="false" customHeight="false" outlineLevel="0" collapsed="false">
      <c r="A842" s="78" t="str">
        <f aca="false">IF('CARNET DE SOUDURE'!E842="","",'CARNET DE SOUDURE'!A842)</f>
        <v/>
      </c>
      <c r="B842" s="93" t="str">
        <f aca="false">IF('CARNET DE SOUDURE'!E842="","",'CARNET DE SOUDURE'!B842&amp;"")</f>
        <v/>
      </c>
      <c r="C842" s="83" t="str">
        <f aca="false">IF('CARNET DE SOUDURE'!E842="","",'CARNET DE SOUDURE'!E842)</f>
        <v/>
      </c>
      <c r="D842" s="78" t="str">
        <f aca="false">IF('CARNET DE SOUDURE'!E842="","",'CARNET DE SOUDURE'!D842&amp;"")</f>
        <v/>
      </c>
      <c r="E842" s="96" t="str">
        <f aca="false">IF(OR('CARNET DE SOUDURE'!E842="",'CARNET DE SOUDURE'!R842=""),"",'CARNET DE SOUDURE'!R842)</f>
        <v/>
      </c>
      <c r="F842" s="81" t="str">
        <f aca="false">IF('CARNET DE SOUDURE'!E842="","",'CARNET DE SOUDURE'!AL842)</f>
        <v/>
      </c>
      <c r="G842" s="81" t="str">
        <f aca="false">IF('CARNET DE SOUDURE'!E842="","",'CARNET DE SOUDURE'!AM842)</f>
        <v/>
      </c>
      <c r="H842" s="81" t="str">
        <f aca="false">IF(C842="","",IF(G842="ACCEPTÉ","OUI","NON"))</f>
        <v/>
      </c>
      <c r="I842" s="82"/>
      <c r="J842" s="79"/>
      <c r="K842" s="80"/>
      <c r="L842" s="80"/>
      <c r="M842" s="80"/>
      <c r="N842" s="83" t="str">
        <f aca="false">IF(C842="","",IF(I842="",IF(H842="OUI","À ENROBER",IF(G842="À SOUDER","NON SOUDÉ","EN ATTENTE RT")),IF(L842="R","À REPRENDRE",IF(H842&lt;&gt;"OUI","⚠ ENROBÉ AVANT ACCEPTATION RT","ENROBÉ"))))</f>
        <v/>
      </c>
      <c r="O842" s="79"/>
    </row>
    <row r="843" customFormat="false" ht="15" hidden="false" customHeight="false" outlineLevel="0" collapsed="false">
      <c r="A843" s="78" t="str">
        <f aca="false">IF('CARNET DE SOUDURE'!E843="","",'CARNET DE SOUDURE'!A843)</f>
        <v/>
      </c>
      <c r="B843" s="93" t="str">
        <f aca="false">IF('CARNET DE SOUDURE'!E843="","",'CARNET DE SOUDURE'!B843&amp;"")</f>
        <v/>
      </c>
      <c r="C843" s="83" t="str">
        <f aca="false">IF('CARNET DE SOUDURE'!E843="","",'CARNET DE SOUDURE'!E843)</f>
        <v/>
      </c>
      <c r="D843" s="78" t="str">
        <f aca="false">IF('CARNET DE SOUDURE'!E843="","",'CARNET DE SOUDURE'!D843&amp;"")</f>
        <v/>
      </c>
      <c r="E843" s="96" t="str">
        <f aca="false">IF(OR('CARNET DE SOUDURE'!E843="",'CARNET DE SOUDURE'!R843=""),"",'CARNET DE SOUDURE'!R843)</f>
        <v/>
      </c>
      <c r="F843" s="81" t="str">
        <f aca="false">IF('CARNET DE SOUDURE'!E843="","",'CARNET DE SOUDURE'!AL843)</f>
        <v/>
      </c>
      <c r="G843" s="81" t="str">
        <f aca="false">IF('CARNET DE SOUDURE'!E843="","",'CARNET DE SOUDURE'!AM843)</f>
        <v/>
      </c>
      <c r="H843" s="81" t="str">
        <f aca="false">IF(C843="","",IF(G843="ACCEPTÉ","OUI","NON"))</f>
        <v/>
      </c>
      <c r="I843" s="82"/>
      <c r="J843" s="79"/>
      <c r="K843" s="80"/>
      <c r="L843" s="80"/>
      <c r="M843" s="80"/>
      <c r="N843" s="83" t="str">
        <f aca="false">IF(C843="","",IF(I843="",IF(H843="OUI","À ENROBER",IF(G843="À SOUDER","NON SOUDÉ","EN ATTENTE RT")),IF(L843="R","À REPRENDRE",IF(H843&lt;&gt;"OUI","⚠ ENROBÉ AVANT ACCEPTATION RT","ENROBÉ"))))</f>
        <v/>
      </c>
      <c r="O843" s="79"/>
    </row>
    <row r="844" customFormat="false" ht="15" hidden="false" customHeight="false" outlineLevel="0" collapsed="false">
      <c r="A844" s="78" t="str">
        <f aca="false">IF('CARNET DE SOUDURE'!E844="","",'CARNET DE SOUDURE'!A844)</f>
        <v/>
      </c>
      <c r="B844" s="93" t="str">
        <f aca="false">IF('CARNET DE SOUDURE'!E844="","",'CARNET DE SOUDURE'!B844&amp;"")</f>
        <v/>
      </c>
      <c r="C844" s="83" t="str">
        <f aca="false">IF('CARNET DE SOUDURE'!E844="","",'CARNET DE SOUDURE'!E844)</f>
        <v/>
      </c>
      <c r="D844" s="78" t="str">
        <f aca="false">IF('CARNET DE SOUDURE'!E844="","",'CARNET DE SOUDURE'!D844&amp;"")</f>
        <v/>
      </c>
      <c r="E844" s="96" t="str">
        <f aca="false">IF(OR('CARNET DE SOUDURE'!E844="",'CARNET DE SOUDURE'!R844=""),"",'CARNET DE SOUDURE'!R844)</f>
        <v/>
      </c>
      <c r="F844" s="81" t="str">
        <f aca="false">IF('CARNET DE SOUDURE'!E844="","",'CARNET DE SOUDURE'!AL844)</f>
        <v/>
      </c>
      <c r="G844" s="81" t="str">
        <f aca="false">IF('CARNET DE SOUDURE'!E844="","",'CARNET DE SOUDURE'!AM844)</f>
        <v/>
      </c>
      <c r="H844" s="81" t="str">
        <f aca="false">IF(C844="","",IF(G844="ACCEPTÉ","OUI","NON"))</f>
        <v/>
      </c>
      <c r="I844" s="82"/>
      <c r="J844" s="79"/>
      <c r="K844" s="80"/>
      <c r="L844" s="80"/>
      <c r="M844" s="80"/>
      <c r="N844" s="83" t="str">
        <f aca="false">IF(C844="","",IF(I844="",IF(H844="OUI","À ENROBER",IF(G844="À SOUDER","NON SOUDÉ","EN ATTENTE RT")),IF(L844="R","À REPRENDRE",IF(H844&lt;&gt;"OUI","⚠ ENROBÉ AVANT ACCEPTATION RT","ENROBÉ"))))</f>
        <v/>
      </c>
      <c r="O844" s="79"/>
    </row>
    <row r="845" customFormat="false" ht="15" hidden="false" customHeight="false" outlineLevel="0" collapsed="false">
      <c r="A845" s="78" t="str">
        <f aca="false">IF('CARNET DE SOUDURE'!E845="","",'CARNET DE SOUDURE'!A845)</f>
        <v/>
      </c>
      <c r="B845" s="93" t="str">
        <f aca="false">IF('CARNET DE SOUDURE'!E845="","",'CARNET DE SOUDURE'!B845&amp;"")</f>
        <v/>
      </c>
      <c r="C845" s="83" t="str">
        <f aca="false">IF('CARNET DE SOUDURE'!E845="","",'CARNET DE SOUDURE'!E845)</f>
        <v/>
      </c>
      <c r="D845" s="78" t="str">
        <f aca="false">IF('CARNET DE SOUDURE'!E845="","",'CARNET DE SOUDURE'!D845&amp;"")</f>
        <v/>
      </c>
      <c r="E845" s="96" t="str">
        <f aca="false">IF(OR('CARNET DE SOUDURE'!E845="",'CARNET DE SOUDURE'!R845=""),"",'CARNET DE SOUDURE'!R845)</f>
        <v/>
      </c>
      <c r="F845" s="81" t="str">
        <f aca="false">IF('CARNET DE SOUDURE'!E845="","",'CARNET DE SOUDURE'!AL845)</f>
        <v/>
      </c>
      <c r="G845" s="81" t="str">
        <f aca="false">IF('CARNET DE SOUDURE'!E845="","",'CARNET DE SOUDURE'!AM845)</f>
        <v/>
      </c>
      <c r="H845" s="81" t="str">
        <f aca="false">IF(C845="","",IF(G845="ACCEPTÉ","OUI","NON"))</f>
        <v/>
      </c>
      <c r="I845" s="82"/>
      <c r="J845" s="79"/>
      <c r="K845" s="80"/>
      <c r="L845" s="80"/>
      <c r="M845" s="80"/>
      <c r="N845" s="83" t="str">
        <f aca="false">IF(C845="","",IF(I845="",IF(H845="OUI","À ENROBER",IF(G845="À SOUDER","NON SOUDÉ","EN ATTENTE RT")),IF(L845="R","À REPRENDRE",IF(H845&lt;&gt;"OUI","⚠ ENROBÉ AVANT ACCEPTATION RT","ENROBÉ"))))</f>
        <v/>
      </c>
      <c r="O845" s="79"/>
    </row>
    <row r="846" customFormat="false" ht="15" hidden="false" customHeight="false" outlineLevel="0" collapsed="false">
      <c r="A846" s="78" t="str">
        <f aca="false">IF('CARNET DE SOUDURE'!E846="","",'CARNET DE SOUDURE'!A846)</f>
        <v/>
      </c>
      <c r="B846" s="93" t="str">
        <f aca="false">IF('CARNET DE SOUDURE'!E846="","",'CARNET DE SOUDURE'!B846&amp;"")</f>
        <v/>
      </c>
      <c r="C846" s="83" t="str">
        <f aca="false">IF('CARNET DE SOUDURE'!E846="","",'CARNET DE SOUDURE'!E846)</f>
        <v/>
      </c>
      <c r="D846" s="78" t="str">
        <f aca="false">IF('CARNET DE SOUDURE'!E846="","",'CARNET DE SOUDURE'!D846&amp;"")</f>
        <v/>
      </c>
      <c r="E846" s="96" t="str">
        <f aca="false">IF(OR('CARNET DE SOUDURE'!E846="",'CARNET DE SOUDURE'!R846=""),"",'CARNET DE SOUDURE'!R846)</f>
        <v/>
      </c>
      <c r="F846" s="81" t="str">
        <f aca="false">IF('CARNET DE SOUDURE'!E846="","",'CARNET DE SOUDURE'!AL846)</f>
        <v/>
      </c>
      <c r="G846" s="81" t="str">
        <f aca="false">IF('CARNET DE SOUDURE'!E846="","",'CARNET DE SOUDURE'!AM846)</f>
        <v/>
      </c>
      <c r="H846" s="81" t="str">
        <f aca="false">IF(C846="","",IF(G846="ACCEPTÉ","OUI","NON"))</f>
        <v/>
      </c>
      <c r="I846" s="82"/>
      <c r="J846" s="79"/>
      <c r="K846" s="80"/>
      <c r="L846" s="80"/>
      <c r="M846" s="80"/>
      <c r="N846" s="83" t="str">
        <f aca="false">IF(C846="","",IF(I846="",IF(H846="OUI","À ENROBER",IF(G846="À SOUDER","NON SOUDÉ","EN ATTENTE RT")),IF(L846="R","À REPRENDRE",IF(H846&lt;&gt;"OUI","⚠ ENROBÉ AVANT ACCEPTATION RT","ENROBÉ"))))</f>
        <v/>
      </c>
      <c r="O846" s="79"/>
    </row>
    <row r="847" customFormat="false" ht="15" hidden="false" customHeight="false" outlineLevel="0" collapsed="false">
      <c r="A847" s="78" t="str">
        <f aca="false">IF('CARNET DE SOUDURE'!E847="","",'CARNET DE SOUDURE'!A847)</f>
        <v/>
      </c>
      <c r="B847" s="93" t="str">
        <f aca="false">IF('CARNET DE SOUDURE'!E847="","",'CARNET DE SOUDURE'!B847&amp;"")</f>
        <v/>
      </c>
      <c r="C847" s="83" t="str">
        <f aca="false">IF('CARNET DE SOUDURE'!E847="","",'CARNET DE SOUDURE'!E847)</f>
        <v/>
      </c>
      <c r="D847" s="78" t="str">
        <f aca="false">IF('CARNET DE SOUDURE'!E847="","",'CARNET DE SOUDURE'!D847&amp;"")</f>
        <v/>
      </c>
      <c r="E847" s="96" t="str">
        <f aca="false">IF(OR('CARNET DE SOUDURE'!E847="",'CARNET DE SOUDURE'!R847=""),"",'CARNET DE SOUDURE'!R847)</f>
        <v/>
      </c>
      <c r="F847" s="81" t="str">
        <f aca="false">IF('CARNET DE SOUDURE'!E847="","",'CARNET DE SOUDURE'!AL847)</f>
        <v/>
      </c>
      <c r="G847" s="81" t="str">
        <f aca="false">IF('CARNET DE SOUDURE'!E847="","",'CARNET DE SOUDURE'!AM847)</f>
        <v/>
      </c>
      <c r="H847" s="81" t="str">
        <f aca="false">IF(C847="","",IF(G847="ACCEPTÉ","OUI","NON"))</f>
        <v/>
      </c>
      <c r="I847" s="82"/>
      <c r="J847" s="79"/>
      <c r="K847" s="80"/>
      <c r="L847" s="80"/>
      <c r="M847" s="80"/>
      <c r="N847" s="83" t="str">
        <f aca="false">IF(C847="","",IF(I847="",IF(H847="OUI","À ENROBER",IF(G847="À SOUDER","NON SOUDÉ","EN ATTENTE RT")),IF(L847="R","À REPRENDRE",IF(H847&lt;&gt;"OUI","⚠ ENROBÉ AVANT ACCEPTATION RT","ENROBÉ"))))</f>
        <v/>
      </c>
      <c r="O847" s="79"/>
    </row>
    <row r="848" customFormat="false" ht="15" hidden="false" customHeight="false" outlineLevel="0" collapsed="false">
      <c r="A848" s="78" t="str">
        <f aca="false">IF('CARNET DE SOUDURE'!E848="","",'CARNET DE SOUDURE'!A848)</f>
        <v/>
      </c>
      <c r="B848" s="93" t="str">
        <f aca="false">IF('CARNET DE SOUDURE'!E848="","",'CARNET DE SOUDURE'!B848&amp;"")</f>
        <v/>
      </c>
      <c r="C848" s="83" t="str">
        <f aca="false">IF('CARNET DE SOUDURE'!E848="","",'CARNET DE SOUDURE'!E848)</f>
        <v/>
      </c>
      <c r="D848" s="78" t="str">
        <f aca="false">IF('CARNET DE SOUDURE'!E848="","",'CARNET DE SOUDURE'!D848&amp;"")</f>
        <v/>
      </c>
      <c r="E848" s="96" t="str">
        <f aca="false">IF(OR('CARNET DE SOUDURE'!E848="",'CARNET DE SOUDURE'!R848=""),"",'CARNET DE SOUDURE'!R848)</f>
        <v/>
      </c>
      <c r="F848" s="81" t="str">
        <f aca="false">IF('CARNET DE SOUDURE'!E848="","",'CARNET DE SOUDURE'!AL848)</f>
        <v/>
      </c>
      <c r="G848" s="81" t="str">
        <f aca="false">IF('CARNET DE SOUDURE'!E848="","",'CARNET DE SOUDURE'!AM848)</f>
        <v/>
      </c>
      <c r="H848" s="81" t="str">
        <f aca="false">IF(C848="","",IF(G848="ACCEPTÉ","OUI","NON"))</f>
        <v/>
      </c>
      <c r="I848" s="82"/>
      <c r="J848" s="79"/>
      <c r="K848" s="80"/>
      <c r="L848" s="80"/>
      <c r="M848" s="80"/>
      <c r="N848" s="83" t="str">
        <f aca="false">IF(C848="","",IF(I848="",IF(H848="OUI","À ENROBER",IF(G848="À SOUDER","NON SOUDÉ","EN ATTENTE RT")),IF(L848="R","À REPRENDRE",IF(H848&lt;&gt;"OUI","⚠ ENROBÉ AVANT ACCEPTATION RT","ENROBÉ"))))</f>
        <v/>
      </c>
      <c r="O848" s="79"/>
    </row>
    <row r="849" customFormat="false" ht="15" hidden="false" customHeight="false" outlineLevel="0" collapsed="false">
      <c r="A849" s="78" t="str">
        <f aca="false">IF('CARNET DE SOUDURE'!E849="","",'CARNET DE SOUDURE'!A849)</f>
        <v/>
      </c>
      <c r="B849" s="93" t="str">
        <f aca="false">IF('CARNET DE SOUDURE'!E849="","",'CARNET DE SOUDURE'!B849&amp;"")</f>
        <v/>
      </c>
      <c r="C849" s="83" t="str">
        <f aca="false">IF('CARNET DE SOUDURE'!E849="","",'CARNET DE SOUDURE'!E849)</f>
        <v/>
      </c>
      <c r="D849" s="78" t="str">
        <f aca="false">IF('CARNET DE SOUDURE'!E849="","",'CARNET DE SOUDURE'!D849&amp;"")</f>
        <v/>
      </c>
      <c r="E849" s="96" t="str">
        <f aca="false">IF(OR('CARNET DE SOUDURE'!E849="",'CARNET DE SOUDURE'!R849=""),"",'CARNET DE SOUDURE'!R849)</f>
        <v/>
      </c>
      <c r="F849" s="81" t="str">
        <f aca="false">IF('CARNET DE SOUDURE'!E849="","",'CARNET DE SOUDURE'!AL849)</f>
        <v/>
      </c>
      <c r="G849" s="81" t="str">
        <f aca="false">IF('CARNET DE SOUDURE'!E849="","",'CARNET DE SOUDURE'!AM849)</f>
        <v/>
      </c>
      <c r="H849" s="81" t="str">
        <f aca="false">IF(C849="","",IF(G849="ACCEPTÉ","OUI","NON"))</f>
        <v/>
      </c>
      <c r="I849" s="82"/>
      <c r="J849" s="79"/>
      <c r="K849" s="80"/>
      <c r="L849" s="80"/>
      <c r="M849" s="80"/>
      <c r="N849" s="83" t="str">
        <f aca="false">IF(C849="","",IF(I849="",IF(H849="OUI","À ENROBER",IF(G849="À SOUDER","NON SOUDÉ","EN ATTENTE RT")),IF(L849="R","À REPRENDRE",IF(H849&lt;&gt;"OUI","⚠ ENROBÉ AVANT ACCEPTATION RT","ENROBÉ"))))</f>
        <v/>
      </c>
      <c r="O849" s="79"/>
    </row>
    <row r="850" customFormat="false" ht="15" hidden="false" customHeight="false" outlineLevel="0" collapsed="false">
      <c r="A850" s="78" t="str">
        <f aca="false">IF('CARNET DE SOUDURE'!E850="","",'CARNET DE SOUDURE'!A850)</f>
        <v/>
      </c>
      <c r="B850" s="93" t="str">
        <f aca="false">IF('CARNET DE SOUDURE'!E850="","",'CARNET DE SOUDURE'!B850&amp;"")</f>
        <v/>
      </c>
      <c r="C850" s="83" t="str">
        <f aca="false">IF('CARNET DE SOUDURE'!E850="","",'CARNET DE SOUDURE'!E850)</f>
        <v/>
      </c>
      <c r="D850" s="78" t="str">
        <f aca="false">IF('CARNET DE SOUDURE'!E850="","",'CARNET DE SOUDURE'!D850&amp;"")</f>
        <v/>
      </c>
      <c r="E850" s="96" t="str">
        <f aca="false">IF(OR('CARNET DE SOUDURE'!E850="",'CARNET DE SOUDURE'!R850=""),"",'CARNET DE SOUDURE'!R850)</f>
        <v/>
      </c>
      <c r="F850" s="81" t="str">
        <f aca="false">IF('CARNET DE SOUDURE'!E850="","",'CARNET DE SOUDURE'!AL850)</f>
        <v/>
      </c>
      <c r="G850" s="81" t="str">
        <f aca="false">IF('CARNET DE SOUDURE'!E850="","",'CARNET DE SOUDURE'!AM850)</f>
        <v/>
      </c>
      <c r="H850" s="81" t="str">
        <f aca="false">IF(C850="","",IF(G850="ACCEPTÉ","OUI","NON"))</f>
        <v/>
      </c>
      <c r="I850" s="82"/>
      <c r="J850" s="79"/>
      <c r="K850" s="80"/>
      <c r="L850" s="80"/>
      <c r="M850" s="80"/>
      <c r="N850" s="83" t="str">
        <f aca="false">IF(C850="","",IF(I850="",IF(H850="OUI","À ENROBER",IF(G850="À SOUDER","NON SOUDÉ","EN ATTENTE RT")),IF(L850="R","À REPRENDRE",IF(H850&lt;&gt;"OUI","⚠ ENROBÉ AVANT ACCEPTATION RT","ENROBÉ"))))</f>
        <v/>
      </c>
      <c r="O850" s="79"/>
    </row>
    <row r="851" customFormat="false" ht="15" hidden="false" customHeight="false" outlineLevel="0" collapsed="false">
      <c r="A851" s="78" t="str">
        <f aca="false">IF('CARNET DE SOUDURE'!E851="","",'CARNET DE SOUDURE'!A851)</f>
        <v/>
      </c>
      <c r="B851" s="93" t="str">
        <f aca="false">IF('CARNET DE SOUDURE'!E851="","",'CARNET DE SOUDURE'!B851&amp;"")</f>
        <v/>
      </c>
      <c r="C851" s="83" t="str">
        <f aca="false">IF('CARNET DE SOUDURE'!E851="","",'CARNET DE SOUDURE'!E851)</f>
        <v/>
      </c>
      <c r="D851" s="78" t="str">
        <f aca="false">IF('CARNET DE SOUDURE'!E851="","",'CARNET DE SOUDURE'!D851&amp;"")</f>
        <v/>
      </c>
      <c r="E851" s="96" t="str">
        <f aca="false">IF(OR('CARNET DE SOUDURE'!E851="",'CARNET DE SOUDURE'!R851=""),"",'CARNET DE SOUDURE'!R851)</f>
        <v/>
      </c>
      <c r="F851" s="81" t="str">
        <f aca="false">IF('CARNET DE SOUDURE'!E851="","",'CARNET DE SOUDURE'!AL851)</f>
        <v/>
      </c>
      <c r="G851" s="81" t="str">
        <f aca="false">IF('CARNET DE SOUDURE'!E851="","",'CARNET DE SOUDURE'!AM851)</f>
        <v/>
      </c>
      <c r="H851" s="81" t="str">
        <f aca="false">IF(C851="","",IF(G851="ACCEPTÉ","OUI","NON"))</f>
        <v/>
      </c>
      <c r="I851" s="82"/>
      <c r="J851" s="79"/>
      <c r="K851" s="80"/>
      <c r="L851" s="80"/>
      <c r="M851" s="80"/>
      <c r="N851" s="83" t="str">
        <f aca="false">IF(C851="","",IF(I851="",IF(H851="OUI","À ENROBER",IF(G851="À SOUDER","NON SOUDÉ","EN ATTENTE RT")),IF(L851="R","À REPRENDRE",IF(H851&lt;&gt;"OUI","⚠ ENROBÉ AVANT ACCEPTATION RT","ENROBÉ"))))</f>
        <v/>
      </c>
      <c r="O851" s="79"/>
    </row>
    <row r="852" customFormat="false" ht="15" hidden="false" customHeight="false" outlineLevel="0" collapsed="false">
      <c r="A852" s="78" t="str">
        <f aca="false">IF('CARNET DE SOUDURE'!E852="","",'CARNET DE SOUDURE'!A852)</f>
        <v/>
      </c>
      <c r="B852" s="93" t="str">
        <f aca="false">IF('CARNET DE SOUDURE'!E852="","",'CARNET DE SOUDURE'!B852&amp;"")</f>
        <v/>
      </c>
      <c r="C852" s="83" t="str">
        <f aca="false">IF('CARNET DE SOUDURE'!E852="","",'CARNET DE SOUDURE'!E852)</f>
        <v/>
      </c>
      <c r="D852" s="78" t="str">
        <f aca="false">IF('CARNET DE SOUDURE'!E852="","",'CARNET DE SOUDURE'!D852&amp;"")</f>
        <v/>
      </c>
      <c r="E852" s="96" t="str">
        <f aca="false">IF(OR('CARNET DE SOUDURE'!E852="",'CARNET DE SOUDURE'!R852=""),"",'CARNET DE SOUDURE'!R852)</f>
        <v/>
      </c>
      <c r="F852" s="81" t="str">
        <f aca="false">IF('CARNET DE SOUDURE'!E852="","",'CARNET DE SOUDURE'!AL852)</f>
        <v/>
      </c>
      <c r="G852" s="81" t="str">
        <f aca="false">IF('CARNET DE SOUDURE'!E852="","",'CARNET DE SOUDURE'!AM852)</f>
        <v/>
      </c>
      <c r="H852" s="81" t="str">
        <f aca="false">IF(C852="","",IF(G852="ACCEPTÉ","OUI","NON"))</f>
        <v/>
      </c>
      <c r="I852" s="82"/>
      <c r="J852" s="79"/>
      <c r="K852" s="80"/>
      <c r="L852" s="80"/>
      <c r="M852" s="80"/>
      <c r="N852" s="83" t="str">
        <f aca="false">IF(C852="","",IF(I852="",IF(H852="OUI","À ENROBER",IF(G852="À SOUDER","NON SOUDÉ","EN ATTENTE RT")),IF(L852="R","À REPRENDRE",IF(H852&lt;&gt;"OUI","⚠ ENROBÉ AVANT ACCEPTATION RT","ENROBÉ"))))</f>
        <v/>
      </c>
      <c r="O852" s="79"/>
    </row>
    <row r="853" customFormat="false" ht="15" hidden="false" customHeight="false" outlineLevel="0" collapsed="false">
      <c r="A853" s="78" t="str">
        <f aca="false">IF('CARNET DE SOUDURE'!E853="","",'CARNET DE SOUDURE'!A853)</f>
        <v/>
      </c>
      <c r="B853" s="93" t="str">
        <f aca="false">IF('CARNET DE SOUDURE'!E853="","",'CARNET DE SOUDURE'!B853&amp;"")</f>
        <v/>
      </c>
      <c r="C853" s="83" t="str">
        <f aca="false">IF('CARNET DE SOUDURE'!E853="","",'CARNET DE SOUDURE'!E853)</f>
        <v/>
      </c>
      <c r="D853" s="78" t="str">
        <f aca="false">IF('CARNET DE SOUDURE'!E853="","",'CARNET DE SOUDURE'!D853&amp;"")</f>
        <v/>
      </c>
      <c r="E853" s="96" t="str">
        <f aca="false">IF(OR('CARNET DE SOUDURE'!E853="",'CARNET DE SOUDURE'!R853=""),"",'CARNET DE SOUDURE'!R853)</f>
        <v/>
      </c>
      <c r="F853" s="81" t="str">
        <f aca="false">IF('CARNET DE SOUDURE'!E853="","",'CARNET DE SOUDURE'!AL853)</f>
        <v/>
      </c>
      <c r="G853" s="81" t="str">
        <f aca="false">IF('CARNET DE SOUDURE'!E853="","",'CARNET DE SOUDURE'!AM853)</f>
        <v/>
      </c>
      <c r="H853" s="81" t="str">
        <f aca="false">IF(C853="","",IF(G853="ACCEPTÉ","OUI","NON"))</f>
        <v/>
      </c>
      <c r="I853" s="82"/>
      <c r="J853" s="79"/>
      <c r="K853" s="80"/>
      <c r="L853" s="80"/>
      <c r="M853" s="80"/>
      <c r="N853" s="83" t="str">
        <f aca="false">IF(C853="","",IF(I853="",IF(H853="OUI","À ENROBER",IF(G853="À SOUDER","NON SOUDÉ","EN ATTENTE RT")),IF(L853="R","À REPRENDRE",IF(H853&lt;&gt;"OUI","⚠ ENROBÉ AVANT ACCEPTATION RT","ENROBÉ"))))</f>
        <v/>
      </c>
      <c r="O853" s="79"/>
    </row>
    <row r="854" customFormat="false" ht="15" hidden="false" customHeight="false" outlineLevel="0" collapsed="false">
      <c r="A854" s="78" t="str">
        <f aca="false">IF('CARNET DE SOUDURE'!E854="","",'CARNET DE SOUDURE'!A854)</f>
        <v/>
      </c>
      <c r="B854" s="93" t="str">
        <f aca="false">IF('CARNET DE SOUDURE'!E854="","",'CARNET DE SOUDURE'!B854&amp;"")</f>
        <v/>
      </c>
      <c r="C854" s="83" t="str">
        <f aca="false">IF('CARNET DE SOUDURE'!E854="","",'CARNET DE SOUDURE'!E854)</f>
        <v/>
      </c>
      <c r="D854" s="78" t="str">
        <f aca="false">IF('CARNET DE SOUDURE'!E854="","",'CARNET DE SOUDURE'!D854&amp;"")</f>
        <v/>
      </c>
      <c r="E854" s="96" t="str">
        <f aca="false">IF(OR('CARNET DE SOUDURE'!E854="",'CARNET DE SOUDURE'!R854=""),"",'CARNET DE SOUDURE'!R854)</f>
        <v/>
      </c>
      <c r="F854" s="81" t="str">
        <f aca="false">IF('CARNET DE SOUDURE'!E854="","",'CARNET DE SOUDURE'!AL854)</f>
        <v/>
      </c>
      <c r="G854" s="81" t="str">
        <f aca="false">IF('CARNET DE SOUDURE'!E854="","",'CARNET DE SOUDURE'!AM854)</f>
        <v/>
      </c>
      <c r="H854" s="81" t="str">
        <f aca="false">IF(C854="","",IF(G854="ACCEPTÉ","OUI","NON"))</f>
        <v/>
      </c>
      <c r="I854" s="82"/>
      <c r="J854" s="79"/>
      <c r="K854" s="80"/>
      <c r="L854" s="80"/>
      <c r="M854" s="80"/>
      <c r="N854" s="83" t="str">
        <f aca="false">IF(C854="","",IF(I854="",IF(H854="OUI","À ENROBER",IF(G854="À SOUDER","NON SOUDÉ","EN ATTENTE RT")),IF(L854="R","À REPRENDRE",IF(H854&lt;&gt;"OUI","⚠ ENROBÉ AVANT ACCEPTATION RT","ENROBÉ"))))</f>
        <v/>
      </c>
      <c r="O854" s="79"/>
    </row>
    <row r="855" customFormat="false" ht="15" hidden="false" customHeight="false" outlineLevel="0" collapsed="false">
      <c r="A855" s="78" t="str">
        <f aca="false">IF('CARNET DE SOUDURE'!E855="","",'CARNET DE SOUDURE'!A855)</f>
        <v/>
      </c>
      <c r="B855" s="93" t="str">
        <f aca="false">IF('CARNET DE SOUDURE'!E855="","",'CARNET DE SOUDURE'!B855&amp;"")</f>
        <v/>
      </c>
      <c r="C855" s="83" t="str">
        <f aca="false">IF('CARNET DE SOUDURE'!E855="","",'CARNET DE SOUDURE'!E855)</f>
        <v/>
      </c>
      <c r="D855" s="78" t="str">
        <f aca="false">IF('CARNET DE SOUDURE'!E855="","",'CARNET DE SOUDURE'!D855&amp;"")</f>
        <v/>
      </c>
      <c r="E855" s="96" t="str">
        <f aca="false">IF(OR('CARNET DE SOUDURE'!E855="",'CARNET DE SOUDURE'!R855=""),"",'CARNET DE SOUDURE'!R855)</f>
        <v/>
      </c>
      <c r="F855" s="81" t="str">
        <f aca="false">IF('CARNET DE SOUDURE'!E855="","",'CARNET DE SOUDURE'!AL855)</f>
        <v/>
      </c>
      <c r="G855" s="81" t="str">
        <f aca="false">IF('CARNET DE SOUDURE'!E855="","",'CARNET DE SOUDURE'!AM855)</f>
        <v/>
      </c>
      <c r="H855" s="81" t="str">
        <f aca="false">IF(C855="","",IF(G855="ACCEPTÉ","OUI","NON"))</f>
        <v/>
      </c>
      <c r="I855" s="82"/>
      <c r="J855" s="79"/>
      <c r="K855" s="80"/>
      <c r="L855" s="80"/>
      <c r="M855" s="80"/>
      <c r="N855" s="83" t="str">
        <f aca="false">IF(C855="","",IF(I855="",IF(H855="OUI","À ENROBER",IF(G855="À SOUDER","NON SOUDÉ","EN ATTENTE RT")),IF(L855="R","À REPRENDRE",IF(H855&lt;&gt;"OUI","⚠ ENROBÉ AVANT ACCEPTATION RT","ENROBÉ"))))</f>
        <v/>
      </c>
      <c r="O855" s="79"/>
    </row>
    <row r="856" customFormat="false" ht="15" hidden="false" customHeight="false" outlineLevel="0" collapsed="false">
      <c r="A856" s="78" t="str">
        <f aca="false">IF('CARNET DE SOUDURE'!E856="","",'CARNET DE SOUDURE'!A856)</f>
        <v/>
      </c>
      <c r="B856" s="93" t="str">
        <f aca="false">IF('CARNET DE SOUDURE'!E856="","",'CARNET DE SOUDURE'!B856&amp;"")</f>
        <v/>
      </c>
      <c r="C856" s="83" t="str">
        <f aca="false">IF('CARNET DE SOUDURE'!E856="","",'CARNET DE SOUDURE'!E856)</f>
        <v/>
      </c>
      <c r="D856" s="78" t="str">
        <f aca="false">IF('CARNET DE SOUDURE'!E856="","",'CARNET DE SOUDURE'!D856&amp;"")</f>
        <v/>
      </c>
      <c r="E856" s="96" t="str">
        <f aca="false">IF(OR('CARNET DE SOUDURE'!E856="",'CARNET DE SOUDURE'!R856=""),"",'CARNET DE SOUDURE'!R856)</f>
        <v/>
      </c>
      <c r="F856" s="81" t="str">
        <f aca="false">IF('CARNET DE SOUDURE'!E856="","",'CARNET DE SOUDURE'!AL856)</f>
        <v/>
      </c>
      <c r="G856" s="81" t="str">
        <f aca="false">IF('CARNET DE SOUDURE'!E856="","",'CARNET DE SOUDURE'!AM856)</f>
        <v/>
      </c>
      <c r="H856" s="81" t="str">
        <f aca="false">IF(C856="","",IF(G856="ACCEPTÉ","OUI","NON"))</f>
        <v/>
      </c>
      <c r="I856" s="82"/>
      <c r="J856" s="79"/>
      <c r="K856" s="80"/>
      <c r="L856" s="80"/>
      <c r="M856" s="80"/>
      <c r="N856" s="83" t="str">
        <f aca="false">IF(C856="","",IF(I856="",IF(H856="OUI","À ENROBER",IF(G856="À SOUDER","NON SOUDÉ","EN ATTENTE RT")),IF(L856="R","À REPRENDRE",IF(H856&lt;&gt;"OUI","⚠ ENROBÉ AVANT ACCEPTATION RT","ENROBÉ"))))</f>
        <v/>
      </c>
      <c r="O856" s="79"/>
    </row>
    <row r="857" customFormat="false" ht="15" hidden="false" customHeight="false" outlineLevel="0" collapsed="false">
      <c r="A857" s="78" t="str">
        <f aca="false">IF('CARNET DE SOUDURE'!E857="","",'CARNET DE SOUDURE'!A857)</f>
        <v/>
      </c>
      <c r="B857" s="93" t="str">
        <f aca="false">IF('CARNET DE SOUDURE'!E857="","",'CARNET DE SOUDURE'!B857&amp;"")</f>
        <v/>
      </c>
      <c r="C857" s="83" t="str">
        <f aca="false">IF('CARNET DE SOUDURE'!E857="","",'CARNET DE SOUDURE'!E857)</f>
        <v/>
      </c>
      <c r="D857" s="78" t="str">
        <f aca="false">IF('CARNET DE SOUDURE'!E857="","",'CARNET DE SOUDURE'!D857&amp;"")</f>
        <v/>
      </c>
      <c r="E857" s="96" t="str">
        <f aca="false">IF(OR('CARNET DE SOUDURE'!E857="",'CARNET DE SOUDURE'!R857=""),"",'CARNET DE SOUDURE'!R857)</f>
        <v/>
      </c>
      <c r="F857" s="81" t="str">
        <f aca="false">IF('CARNET DE SOUDURE'!E857="","",'CARNET DE SOUDURE'!AL857)</f>
        <v/>
      </c>
      <c r="G857" s="81" t="str">
        <f aca="false">IF('CARNET DE SOUDURE'!E857="","",'CARNET DE SOUDURE'!AM857)</f>
        <v/>
      </c>
      <c r="H857" s="81" t="str">
        <f aca="false">IF(C857="","",IF(G857="ACCEPTÉ","OUI","NON"))</f>
        <v/>
      </c>
      <c r="I857" s="82"/>
      <c r="J857" s="79"/>
      <c r="K857" s="80"/>
      <c r="L857" s="80"/>
      <c r="M857" s="80"/>
      <c r="N857" s="83" t="str">
        <f aca="false">IF(C857="","",IF(I857="",IF(H857="OUI","À ENROBER",IF(G857="À SOUDER","NON SOUDÉ","EN ATTENTE RT")),IF(L857="R","À REPRENDRE",IF(H857&lt;&gt;"OUI","⚠ ENROBÉ AVANT ACCEPTATION RT","ENROBÉ"))))</f>
        <v/>
      </c>
      <c r="O857" s="79"/>
    </row>
    <row r="858" customFormat="false" ht="15" hidden="false" customHeight="false" outlineLevel="0" collapsed="false">
      <c r="A858" s="78" t="str">
        <f aca="false">IF('CARNET DE SOUDURE'!E858="","",'CARNET DE SOUDURE'!A858)</f>
        <v/>
      </c>
      <c r="B858" s="93" t="str">
        <f aca="false">IF('CARNET DE SOUDURE'!E858="","",'CARNET DE SOUDURE'!B858&amp;"")</f>
        <v/>
      </c>
      <c r="C858" s="83" t="str">
        <f aca="false">IF('CARNET DE SOUDURE'!E858="","",'CARNET DE SOUDURE'!E858)</f>
        <v/>
      </c>
      <c r="D858" s="78" t="str">
        <f aca="false">IF('CARNET DE SOUDURE'!E858="","",'CARNET DE SOUDURE'!D858&amp;"")</f>
        <v/>
      </c>
      <c r="E858" s="96" t="str">
        <f aca="false">IF(OR('CARNET DE SOUDURE'!E858="",'CARNET DE SOUDURE'!R858=""),"",'CARNET DE SOUDURE'!R858)</f>
        <v/>
      </c>
      <c r="F858" s="81" t="str">
        <f aca="false">IF('CARNET DE SOUDURE'!E858="","",'CARNET DE SOUDURE'!AL858)</f>
        <v/>
      </c>
      <c r="G858" s="81" t="str">
        <f aca="false">IF('CARNET DE SOUDURE'!E858="","",'CARNET DE SOUDURE'!AM858)</f>
        <v/>
      </c>
      <c r="H858" s="81" t="str">
        <f aca="false">IF(C858="","",IF(G858="ACCEPTÉ","OUI","NON"))</f>
        <v/>
      </c>
      <c r="I858" s="82"/>
      <c r="J858" s="79"/>
      <c r="K858" s="80"/>
      <c r="L858" s="80"/>
      <c r="M858" s="80"/>
      <c r="N858" s="83" t="str">
        <f aca="false">IF(C858="","",IF(I858="",IF(H858="OUI","À ENROBER",IF(G858="À SOUDER","NON SOUDÉ","EN ATTENTE RT")),IF(L858="R","À REPRENDRE",IF(H858&lt;&gt;"OUI","⚠ ENROBÉ AVANT ACCEPTATION RT","ENROBÉ"))))</f>
        <v/>
      </c>
      <c r="O858" s="79"/>
    </row>
    <row r="859" customFormat="false" ht="15" hidden="false" customHeight="false" outlineLevel="0" collapsed="false">
      <c r="A859" s="78" t="str">
        <f aca="false">IF('CARNET DE SOUDURE'!E859="","",'CARNET DE SOUDURE'!A859)</f>
        <v/>
      </c>
      <c r="B859" s="93" t="str">
        <f aca="false">IF('CARNET DE SOUDURE'!E859="","",'CARNET DE SOUDURE'!B859&amp;"")</f>
        <v/>
      </c>
      <c r="C859" s="83" t="str">
        <f aca="false">IF('CARNET DE SOUDURE'!E859="","",'CARNET DE SOUDURE'!E859)</f>
        <v/>
      </c>
      <c r="D859" s="78" t="str">
        <f aca="false">IF('CARNET DE SOUDURE'!E859="","",'CARNET DE SOUDURE'!D859&amp;"")</f>
        <v/>
      </c>
      <c r="E859" s="96" t="str">
        <f aca="false">IF(OR('CARNET DE SOUDURE'!E859="",'CARNET DE SOUDURE'!R859=""),"",'CARNET DE SOUDURE'!R859)</f>
        <v/>
      </c>
      <c r="F859" s="81" t="str">
        <f aca="false">IF('CARNET DE SOUDURE'!E859="","",'CARNET DE SOUDURE'!AL859)</f>
        <v/>
      </c>
      <c r="G859" s="81" t="str">
        <f aca="false">IF('CARNET DE SOUDURE'!E859="","",'CARNET DE SOUDURE'!AM859)</f>
        <v/>
      </c>
      <c r="H859" s="81" t="str">
        <f aca="false">IF(C859="","",IF(G859="ACCEPTÉ","OUI","NON"))</f>
        <v/>
      </c>
      <c r="I859" s="82"/>
      <c r="J859" s="79"/>
      <c r="K859" s="80"/>
      <c r="L859" s="80"/>
      <c r="M859" s="80"/>
      <c r="N859" s="83" t="str">
        <f aca="false">IF(C859="","",IF(I859="",IF(H859="OUI","À ENROBER",IF(G859="À SOUDER","NON SOUDÉ","EN ATTENTE RT")),IF(L859="R","À REPRENDRE",IF(H859&lt;&gt;"OUI","⚠ ENROBÉ AVANT ACCEPTATION RT","ENROBÉ"))))</f>
        <v/>
      </c>
      <c r="O859" s="79"/>
    </row>
    <row r="860" customFormat="false" ht="15" hidden="false" customHeight="false" outlineLevel="0" collapsed="false">
      <c r="A860" s="78" t="str">
        <f aca="false">IF('CARNET DE SOUDURE'!E860="","",'CARNET DE SOUDURE'!A860)</f>
        <v/>
      </c>
      <c r="B860" s="93" t="str">
        <f aca="false">IF('CARNET DE SOUDURE'!E860="","",'CARNET DE SOUDURE'!B860&amp;"")</f>
        <v/>
      </c>
      <c r="C860" s="83" t="str">
        <f aca="false">IF('CARNET DE SOUDURE'!E860="","",'CARNET DE SOUDURE'!E860)</f>
        <v/>
      </c>
      <c r="D860" s="78" t="str">
        <f aca="false">IF('CARNET DE SOUDURE'!E860="","",'CARNET DE SOUDURE'!D860&amp;"")</f>
        <v/>
      </c>
      <c r="E860" s="96" t="str">
        <f aca="false">IF(OR('CARNET DE SOUDURE'!E860="",'CARNET DE SOUDURE'!R860=""),"",'CARNET DE SOUDURE'!R860)</f>
        <v/>
      </c>
      <c r="F860" s="81" t="str">
        <f aca="false">IF('CARNET DE SOUDURE'!E860="","",'CARNET DE SOUDURE'!AL860)</f>
        <v/>
      </c>
      <c r="G860" s="81" t="str">
        <f aca="false">IF('CARNET DE SOUDURE'!E860="","",'CARNET DE SOUDURE'!AM860)</f>
        <v/>
      </c>
      <c r="H860" s="81" t="str">
        <f aca="false">IF(C860="","",IF(G860="ACCEPTÉ","OUI","NON"))</f>
        <v/>
      </c>
      <c r="I860" s="82"/>
      <c r="J860" s="79"/>
      <c r="K860" s="80"/>
      <c r="L860" s="80"/>
      <c r="M860" s="80"/>
      <c r="N860" s="83" t="str">
        <f aca="false">IF(C860="","",IF(I860="",IF(H860="OUI","À ENROBER",IF(G860="À SOUDER","NON SOUDÉ","EN ATTENTE RT")),IF(L860="R","À REPRENDRE",IF(H860&lt;&gt;"OUI","⚠ ENROBÉ AVANT ACCEPTATION RT","ENROBÉ"))))</f>
        <v/>
      </c>
      <c r="O860" s="79"/>
    </row>
    <row r="861" customFormat="false" ht="15" hidden="false" customHeight="false" outlineLevel="0" collapsed="false">
      <c r="A861" s="78" t="str">
        <f aca="false">IF('CARNET DE SOUDURE'!E861="","",'CARNET DE SOUDURE'!A861)</f>
        <v/>
      </c>
      <c r="B861" s="93" t="str">
        <f aca="false">IF('CARNET DE SOUDURE'!E861="","",'CARNET DE SOUDURE'!B861&amp;"")</f>
        <v/>
      </c>
      <c r="C861" s="83" t="str">
        <f aca="false">IF('CARNET DE SOUDURE'!E861="","",'CARNET DE SOUDURE'!E861)</f>
        <v/>
      </c>
      <c r="D861" s="78" t="str">
        <f aca="false">IF('CARNET DE SOUDURE'!E861="","",'CARNET DE SOUDURE'!D861&amp;"")</f>
        <v/>
      </c>
      <c r="E861" s="96" t="str">
        <f aca="false">IF(OR('CARNET DE SOUDURE'!E861="",'CARNET DE SOUDURE'!R861=""),"",'CARNET DE SOUDURE'!R861)</f>
        <v/>
      </c>
      <c r="F861" s="81" t="str">
        <f aca="false">IF('CARNET DE SOUDURE'!E861="","",'CARNET DE SOUDURE'!AL861)</f>
        <v/>
      </c>
      <c r="G861" s="81" t="str">
        <f aca="false">IF('CARNET DE SOUDURE'!E861="","",'CARNET DE SOUDURE'!AM861)</f>
        <v/>
      </c>
      <c r="H861" s="81" t="str">
        <f aca="false">IF(C861="","",IF(G861="ACCEPTÉ","OUI","NON"))</f>
        <v/>
      </c>
      <c r="I861" s="82"/>
      <c r="J861" s="79"/>
      <c r="K861" s="80"/>
      <c r="L861" s="80"/>
      <c r="M861" s="80"/>
      <c r="N861" s="83" t="str">
        <f aca="false">IF(C861="","",IF(I861="",IF(H861="OUI","À ENROBER",IF(G861="À SOUDER","NON SOUDÉ","EN ATTENTE RT")),IF(L861="R","À REPRENDRE",IF(H861&lt;&gt;"OUI","⚠ ENROBÉ AVANT ACCEPTATION RT","ENROBÉ"))))</f>
        <v/>
      </c>
      <c r="O861" s="79"/>
    </row>
    <row r="862" customFormat="false" ht="15" hidden="false" customHeight="false" outlineLevel="0" collapsed="false">
      <c r="A862" s="78" t="str">
        <f aca="false">IF('CARNET DE SOUDURE'!E862="","",'CARNET DE SOUDURE'!A862)</f>
        <v/>
      </c>
      <c r="B862" s="93" t="str">
        <f aca="false">IF('CARNET DE SOUDURE'!E862="","",'CARNET DE SOUDURE'!B862&amp;"")</f>
        <v/>
      </c>
      <c r="C862" s="83" t="str">
        <f aca="false">IF('CARNET DE SOUDURE'!E862="","",'CARNET DE SOUDURE'!E862)</f>
        <v/>
      </c>
      <c r="D862" s="78" t="str">
        <f aca="false">IF('CARNET DE SOUDURE'!E862="","",'CARNET DE SOUDURE'!D862&amp;"")</f>
        <v/>
      </c>
      <c r="E862" s="96" t="str">
        <f aca="false">IF(OR('CARNET DE SOUDURE'!E862="",'CARNET DE SOUDURE'!R862=""),"",'CARNET DE SOUDURE'!R862)</f>
        <v/>
      </c>
      <c r="F862" s="81" t="str">
        <f aca="false">IF('CARNET DE SOUDURE'!E862="","",'CARNET DE SOUDURE'!AL862)</f>
        <v/>
      </c>
      <c r="G862" s="81" t="str">
        <f aca="false">IF('CARNET DE SOUDURE'!E862="","",'CARNET DE SOUDURE'!AM862)</f>
        <v/>
      </c>
      <c r="H862" s="81" t="str">
        <f aca="false">IF(C862="","",IF(G862="ACCEPTÉ","OUI","NON"))</f>
        <v/>
      </c>
      <c r="I862" s="82"/>
      <c r="J862" s="79"/>
      <c r="K862" s="80"/>
      <c r="L862" s="80"/>
      <c r="M862" s="80"/>
      <c r="N862" s="83" t="str">
        <f aca="false">IF(C862="","",IF(I862="",IF(H862="OUI","À ENROBER",IF(G862="À SOUDER","NON SOUDÉ","EN ATTENTE RT")),IF(L862="R","À REPRENDRE",IF(H862&lt;&gt;"OUI","⚠ ENROBÉ AVANT ACCEPTATION RT","ENROBÉ"))))</f>
        <v/>
      </c>
      <c r="O862" s="79"/>
    </row>
    <row r="863" customFormat="false" ht="15" hidden="false" customHeight="false" outlineLevel="0" collapsed="false">
      <c r="A863" s="78" t="str">
        <f aca="false">IF('CARNET DE SOUDURE'!E863="","",'CARNET DE SOUDURE'!A863)</f>
        <v/>
      </c>
      <c r="B863" s="93" t="str">
        <f aca="false">IF('CARNET DE SOUDURE'!E863="","",'CARNET DE SOUDURE'!B863&amp;"")</f>
        <v/>
      </c>
      <c r="C863" s="83" t="str">
        <f aca="false">IF('CARNET DE SOUDURE'!E863="","",'CARNET DE SOUDURE'!E863)</f>
        <v/>
      </c>
      <c r="D863" s="78" t="str">
        <f aca="false">IF('CARNET DE SOUDURE'!E863="","",'CARNET DE SOUDURE'!D863&amp;"")</f>
        <v/>
      </c>
      <c r="E863" s="96" t="str">
        <f aca="false">IF(OR('CARNET DE SOUDURE'!E863="",'CARNET DE SOUDURE'!R863=""),"",'CARNET DE SOUDURE'!R863)</f>
        <v/>
      </c>
      <c r="F863" s="81" t="str">
        <f aca="false">IF('CARNET DE SOUDURE'!E863="","",'CARNET DE SOUDURE'!AL863)</f>
        <v/>
      </c>
      <c r="G863" s="81" t="str">
        <f aca="false">IF('CARNET DE SOUDURE'!E863="","",'CARNET DE SOUDURE'!AM863)</f>
        <v/>
      </c>
      <c r="H863" s="81" t="str">
        <f aca="false">IF(C863="","",IF(G863="ACCEPTÉ","OUI","NON"))</f>
        <v/>
      </c>
      <c r="I863" s="82"/>
      <c r="J863" s="79"/>
      <c r="K863" s="80"/>
      <c r="L863" s="80"/>
      <c r="M863" s="80"/>
      <c r="N863" s="83" t="str">
        <f aca="false">IF(C863="","",IF(I863="",IF(H863="OUI","À ENROBER",IF(G863="À SOUDER","NON SOUDÉ","EN ATTENTE RT")),IF(L863="R","À REPRENDRE",IF(H863&lt;&gt;"OUI","⚠ ENROBÉ AVANT ACCEPTATION RT","ENROBÉ"))))</f>
        <v/>
      </c>
      <c r="O863" s="79"/>
    </row>
    <row r="864" customFormat="false" ht="15" hidden="false" customHeight="false" outlineLevel="0" collapsed="false">
      <c r="A864" s="78" t="str">
        <f aca="false">IF('CARNET DE SOUDURE'!E864="","",'CARNET DE SOUDURE'!A864)</f>
        <v/>
      </c>
      <c r="B864" s="93" t="str">
        <f aca="false">IF('CARNET DE SOUDURE'!E864="","",'CARNET DE SOUDURE'!B864&amp;"")</f>
        <v/>
      </c>
      <c r="C864" s="83" t="str">
        <f aca="false">IF('CARNET DE SOUDURE'!E864="","",'CARNET DE SOUDURE'!E864)</f>
        <v/>
      </c>
      <c r="D864" s="78" t="str">
        <f aca="false">IF('CARNET DE SOUDURE'!E864="","",'CARNET DE SOUDURE'!D864&amp;"")</f>
        <v/>
      </c>
      <c r="E864" s="96" t="str">
        <f aca="false">IF(OR('CARNET DE SOUDURE'!E864="",'CARNET DE SOUDURE'!R864=""),"",'CARNET DE SOUDURE'!R864)</f>
        <v/>
      </c>
      <c r="F864" s="81" t="str">
        <f aca="false">IF('CARNET DE SOUDURE'!E864="","",'CARNET DE SOUDURE'!AL864)</f>
        <v/>
      </c>
      <c r="G864" s="81" t="str">
        <f aca="false">IF('CARNET DE SOUDURE'!E864="","",'CARNET DE SOUDURE'!AM864)</f>
        <v/>
      </c>
      <c r="H864" s="81" t="str">
        <f aca="false">IF(C864="","",IF(G864="ACCEPTÉ","OUI","NON"))</f>
        <v/>
      </c>
      <c r="I864" s="82"/>
      <c r="J864" s="79"/>
      <c r="K864" s="80"/>
      <c r="L864" s="80"/>
      <c r="M864" s="80"/>
      <c r="N864" s="83" t="str">
        <f aca="false">IF(C864="","",IF(I864="",IF(H864="OUI","À ENROBER",IF(G864="À SOUDER","NON SOUDÉ","EN ATTENTE RT")),IF(L864="R","À REPRENDRE",IF(H864&lt;&gt;"OUI","⚠ ENROBÉ AVANT ACCEPTATION RT","ENROBÉ"))))</f>
        <v/>
      </c>
      <c r="O864" s="79"/>
    </row>
    <row r="865" customFormat="false" ht="15" hidden="false" customHeight="false" outlineLevel="0" collapsed="false">
      <c r="A865" s="78" t="str">
        <f aca="false">IF('CARNET DE SOUDURE'!E865="","",'CARNET DE SOUDURE'!A865)</f>
        <v/>
      </c>
      <c r="B865" s="93" t="str">
        <f aca="false">IF('CARNET DE SOUDURE'!E865="","",'CARNET DE SOUDURE'!B865&amp;"")</f>
        <v/>
      </c>
      <c r="C865" s="83" t="str">
        <f aca="false">IF('CARNET DE SOUDURE'!E865="","",'CARNET DE SOUDURE'!E865)</f>
        <v/>
      </c>
      <c r="D865" s="78" t="str">
        <f aca="false">IF('CARNET DE SOUDURE'!E865="","",'CARNET DE SOUDURE'!D865&amp;"")</f>
        <v/>
      </c>
      <c r="E865" s="96" t="str">
        <f aca="false">IF(OR('CARNET DE SOUDURE'!E865="",'CARNET DE SOUDURE'!R865=""),"",'CARNET DE SOUDURE'!R865)</f>
        <v/>
      </c>
      <c r="F865" s="81" t="str">
        <f aca="false">IF('CARNET DE SOUDURE'!E865="","",'CARNET DE SOUDURE'!AL865)</f>
        <v/>
      </c>
      <c r="G865" s="81" t="str">
        <f aca="false">IF('CARNET DE SOUDURE'!E865="","",'CARNET DE SOUDURE'!AM865)</f>
        <v/>
      </c>
      <c r="H865" s="81" t="str">
        <f aca="false">IF(C865="","",IF(G865="ACCEPTÉ","OUI","NON"))</f>
        <v/>
      </c>
      <c r="I865" s="82"/>
      <c r="J865" s="79"/>
      <c r="K865" s="80"/>
      <c r="L865" s="80"/>
      <c r="M865" s="80"/>
      <c r="N865" s="83" t="str">
        <f aca="false">IF(C865="","",IF(I865="",IF(H865="OUI","À ENROBER",IF(G865="À SOUDER","NON SOUDÉ","EN ATTENTE RT")),IF(L865="R","À REPRENDRE",IF(H865&lt;&gt;"OUI","⚠ ENROBÉ AVANT ACCEPTATION RT","ENROBÉ"))))</f>
        <v/>
      </c>
      <c r="O865" s="79"/>
    </row>
    <row r="866" customFormat="false" ht="15" hidden="false" customHeight="false" outlineLevel="0" collapsed="false">
      <c r="A866" s="78" t="str">
        <f aca="false">IF('CARNET DE SOUDURE'!E866="","",'CARNET DE SOUDURE'!A866)</f>
        <v/>
      </c>
      <c r="B866" s="93" t="str">
        <f aca="false">IF('CARNET DE SOUDURE'!E866="","",'CARNET DE SOUDURE'!B866&amp;"")</f>
        <v/>
      </c>
      <c r="C866" s="83" t="str">
        <f aca="false">IF('CARNET DE SOUDURE'!E866="","",'CARNET DE SOUDURE'!E866)</f>
        <v/>
      </c>
      <c r="D866" s="78" t="str">
        <f aca="false">IF('CARNET DE SOUDURE'!E866="","",'CARNET DE SOUDURE'!D866&amp;"")</f>
        <v/>
      </c>
      <c r="E866" s="96" t="str">
        <f aca="false">IF(OR('CARNET DE SOUDURE'!E866="",'CARNET DE SOUDURE'!R866=""),"",'CARNET DE SOUDURE'!R866)</f>
        <v/>
      </c>
      <c r="F866" s="81" t="str">
        <f aca="false">IF('CARNET DE SOUDURE'!E866="","",'CARNET DE SOUDURE'!AL866)</f>
        <v/>
      </c>
      <c r="G866" s="81" t="str">
        <f aca="false">IF('CARNET DE SOUDURE'!E866="","",'CARNET DE SOUDURE'!AM866)</f>
        <v/>
      </c>
      <c r="H866" s="81" t="str">
        <f aca="false">IF(C866="","",IF(G866="ACCEPTÉ","OUI","NON"))</f>
        <v/>
      </c>
      <c r="I866" s="82"/>
      <c r="J866" s="79"/>
      <c r="K866" s="80"/>
      <c r="L866" s="80"/>
      <c r="M866" s="80"/>
      <c r="N866" s="83" t="str">
        <f aca="false">IF(C866="","",IF(I866="",IF(H866="OUI","À ENROBER",IF(G866="À SOUDER","NON SOUDÉ","EN ATTENTE RT")),IF(L866="R","À REPRENDRE",IF(H866&lt;&gt;"OUI","⚠ ENROBÉ AVANT ACCEPTATION RT","ENROBÉ"))))</f>
        <v/>
      </c>
      <c r="O866" s="79"/>
    </row>
    <row r="867" customFormat="false" ht="15" hidden="false" customHeight="false" outlineLevel="0" collapsed="false">
      <c r="A867" s="78" t="str">
        <f aca="false">IF('CARNET DE SOUDURE'!E867="","",'CARNET DE SOUDURE'!A867)</f>
        <v/>
      </c>
      <c r="B867" s="93" t="str">
        <f aca="false">IF('CARNET DE SOUDURE'!E867="","",'CARNET DE SOUDURE'!B867&amp;"")</f>
        <v/>
      </c>
      <c r="C867" s="83" t="str">
        <f aca="false">IF('CARNET DE SOUDURE'!E867="","",'CARNET DE SOUDURE'!E867)</f>
        <v/>
      </c>
      <c r="D867" s="78" t="str">
        <f aca="false">IF('CARNET DE SOUDURE'!E867="","",'CARNET DE SOUDURE'!D867&amp;"")</f>
        <v/>
      </c>
      <c r="E867" s="96" t="str">
        <f aca="false">IF(OR('CARNET DE SOUDURE'!E867="",'CARNET DE SOUDURE'!R867=""),"",'CARNET DE SOUDURE'!R867)</f>
        <v/>
      </c>
      <c r="F867" s="81" t="str">
        <f aca="false">IF('CARNET DE SOUDURE'!E867="","",'CARNET DE SOUDURE'!AL867)</f>
        <v/>
      </c>
      <c r="G867" s="81" t="str">
        <f aca="false">IF('CARNET DE SOUDURE'!E867="","",'CARNET DE SOUDURE'!AM867)</f>
        <v/>
      </c>
      <c r="H867" s="81" t="str">
        <f aca="false">IF(C867="","",IF(G867="ACCEPTÉ","OUI","NON"))</f>
        <v/>
      </c>
      <c r="I867" s="82"/>
      <c r="J867" s="79"/>
      <c r="K867" s="80"/>
      <c r="L867" s="80"/>
      <c r="M867" s="80"/>
      <c r="N867" s="83" t="str">
        <f aca="false">IF(C867="","",IF(I867="",IF(H867="OUI","À ENROBER",IF(G867="À SOUDER","NON SOUDÉ","EN ATTENTE RT")),IF(L867="R","À REPRENDRE",IF(H867&lt;&gt;"OUI","⚠ ENROBÉ AVANT ACCEPTATION RT","ENROBÉ"))))</f>
        <v/>
      </c>
      <c r="O867" s="79"/>
    </row>
    <row r="868" customFormat="false" ht="15" hidden="false" customHeight="false" outlineLevel="0" collapsed="false">
      <c r="A868" s="78" t="str">
        <f aca="false">IF('CARNET DE SOUDURE'!E868="","",'CARNET DE SOUDURE'!A868)</f>
        <v/>
      </c>
      <c r="B868" s="93" t="str">
        <f aca="false">IF('CARNET DE SOUDURE'!E868="","",'CARNET DE SOUDURE'!B868&amp;"")</f>
        <v/>
      </c>
      <c r="C868" s="83" t="str">
        <f aca="false">IF('CARNET DE SOUDURE'!E868="","",'CARNET DE SOUDURE'!E868)</f>
        <v/>
      </c>
      <c r="D868" s="78" t="str">
        <f aca="false">IF('CARNET DE SOUDURE'!E868="","",'CARNET DE SOUDURE'!D868&amp;"")</f>
        <v/>
      </c>
      <c r="E868" s="96" t="str">
        <f aca="false">IF(OR('CARNET DE SOUDURE'!E868="",'CARNET DE SOUDURE'!R868=""),"",'CARNET DE SOUDURE'!R868)</f>
        <v/>
      </c>
      <c r="F868" s="81" t="str">
        <f aca="false">IF('CARNET DE SOUDURE'!E868="","",'CARNET DE SOUDURE'!AL868)</f>
        <v/>
      </c>
      <c r="G868" s="81" t="str">
        <f aca="false">IF('CARNET DE SOUDURE'!E868="","",'CARNET DE SOUDURE'!AM868)</f>
        <v/>
      </c>
      <c r="H868" s="81" t="str">
        <f aca="false">IF(C868="","",IF(G868="ACCEPTÉ","OUI","NON"))</f>
        <v/>
      </c>
      <c r="I868" s="82"/>
      <c r="J868" s="79"/>
      <c r="K868" s="80"/>
      <c r="L868" s="80"/>
      <c r="M868" s="80"/>
      <c r="N868" s="83" t="str">
        <f aca="false">IF(C868="","",IF(I868="",IF(H868="OUI","À ENROBER",IF(G868="À SOUDER","NON SOUDÉ","EN ATTENTE RT")),IF(L868="R","À REPRENDRE",IF(H868&lt;&gt;"OUI","⚠ ENROBÉ AVANT ACCEPTATION RT","ENROBÉ"))))</f>
        <v/>
      </c>
      <c r="O868" s="79"/>
    </row>
    <row r="869" customFormat="false" ht="15" hidden="false" customHeight="false" outlineLevel="0" collapsed="false">
      <c r="A869" s="78" t="str">
        <f aca="false">IF('CARNET DE SOUDURE'!E869="","",'CARNET DE SOUDURE'!A869)</f>
        <v/>
      </c>
      <c r="B869" s="93" t="str">
        <f aca="false">IF('CARNET DE SOUDURE'!E869="","",'CARNET DE SOUDURE'!B869&amp;"")</f>
        <v/>
      </c>
      <c r="C869" s="83" t="str">
        <f aca="false">IF('CARNET DE SOUDURE'!E869="","",'CARNET DE SOUDURE'!E869)</f>
        <v/>
      </c>
      <c r="D869" s="78" t="str">
        <f aca="false">IF('CARNET DE SOUDURE'!E869="","",'CARNET DE SOUDURE'!D869&amp;"")</f>
        <v/>
      </c>
      <c r="E869" s="96" t="str">
        <f aca="false">IF(OR('CARNET DE SOUDURE'!E869="",'CARNET DE SOUDURE'!R869=""),"",'CARNET DE SOUDURE'!R869)</f>
        <v/>
      </c>
      <c r="F869" s="81" t="str">
        <f aca="false">IF('CARNET DE SOUDURE'!E869="","",'CARNET DE SOUDURE'!AL869)</f>
        <v/>
      </c>
      <c r="G869" s="81" t="str">
        <f aca="false">IF('CARNET DE SOUDURE'!E869="","",'CARNET DE SOUDURE'!AM869)</f>
        <v/>
      </c>
      <c r="H869" s="81" t="str">
        <f aca="false">IF(C869="","",IF(G869="ACCEPTÉ","OUI","NON"))</f>
        <v/>
      </c>
      <c r="I869" s="82"/>
      <c r="J869" s="79"/>
      <c r="K869" s="80"/>
      <c r="L869" s="80"/>
      <c r="M869" s="80"/>
      <c r="N869" s="83" t="str">
        <f aca="false">IF(C869="","",IF(I869="",IF(H869="OUI","À ENROBER",IF(G869="À SOUDER","NON SOUDÉ","EN ATTENTE RT")),IF(L869="R","À REPRENDRE",IF(H869&lt;&gt;"OUI","⚠ ENROBÉ AVANT ACCEPTATION RT","ENROBÉ"))))</f>
        <v/>
      </c>
      <c r="O869" s="79"/>
    </row>
    <row r="870" customFormat="false" ht="15" hidden="false" customHeight="false" outlineLevel="0" collapsed="false">
      <c r="A870" s="78" t="str">
        <f aca="false">IF('CARNET DE SOUDURE'!E870="","",'CARNET DE SOUDURE'!A870)</f>
        <v/>
      </c>
      <c r="B870" s="93" t="str">
        <f aca="false">IF('CARNET DE SOUDURE'!E870="","",'CARNET DE SOUDURE'!B870&amp;"")</f>
        <v/>
      </c>
      <c r="C870" s="83" t="str">
        <f aca="false">IF('CARNET DE SOUDURE'!E870="","",'CARNET DE SOUDURE'!E870)</f>
        <v/>
      </c>
      <c r="D870" s="78" t="str">
        <f aca="false">IF('CARNET DE SOUDURE'!E870="","",'CARNET DE SOUDURE'!D870&amp;"")</f>
        <v/>
      </c>
      <c r="E870" s="96" t="str">
        <f aca="false">IF(OR('CARNET DE SOUDURE'!E870="",'CARNET DE SOUDURE'!R870=""),"",'CARNET DE SOUDURE'!R870)</f>
        <v/>
      </c>
      <c r="F870" s="81" t="str">
        <f aca="false">IF('CARNET DE SOUDURE'!E870="","",'CARNET DE SOUDURE'!AL870)</f>
        <v/>
      </c>
      <c r="G870" s="81" t="str">
        <f aca="false">IF('CARNET DE SOUDURE'!E870="","",'CARNET DE SOUDURE'!AM870)</f>
        <v/>
      </c>
      <c r="H870" s="81" t="str">
        <f aca="false">IF(C870="","",IF(G870="ACCEPTÉ","OUI","NON"))</f>
        <v/>
      </c>
      <c r="I870" s="82"/>
      <c r="J870" s="79"/>
      <c r="K870" s="80"/>
      <c r="L870" s="80"/>
      <c r="M870" s="80"/>
      <c r="N870" s="83" t="str">
        <f aca="false">IF(C870="","",IF(I870="",IF(H870="OUI","À ENROBER",IF(G870="À SOUDER","NON SOUDÉ","EN ATTENTE RT")),IF(L870="R","À REPRENDRE",IF(H870&lt;&gt;"OUI","⚠ ENROBÉ AVANT ACCEPTATION RT","ENROBÉ"))))</f>
        <v/>
      </c>
      <c r="O870" s="79"/>
    </row>
    <row r="871" customFormat="false" ht="15" hidden="false" customHeight="false" outlineLevel="0" collapsed="false">
      <c r="A871" s="78" t="str">
        <f aca="false">IF('CARNET DE SOUDURE'!E871="","",'CARNET DE SOUDURE'!A871)</f>
        <v/>
      </c>
      <c r="B871" s="93" t="str">
        <f aca="false">IF('CARNET DE SOUDURE'!E871="","",'CARNET DE SOUDURE'!B871&amp;"")</f>
        <v/>
      </c>
      <c r="C871" s="83" t="str">
        <f aca="false">IF('CARNET DE SOUDURE'!E871="","",'CARNET DE SOUDURE'!E871)</f>
        <v/>
      </c>
      <c r="D871" s="78" t="str">
        <f aca="false">IF('CARNET DE SOUDURE'!E871="","",'CARNET DE SOUDURE'!D871&amp;"")</f>
        <v/>
      </c>
      <c r="E871" s="96" t="str">
        <f aca="false">IF(OR('CARNET DE SOUDURE'!E871="",'CARNET DE SOUDURE'!R871=""),"",'CARNET DE SOUDURE'!R871)</f>
        <v/>
      </c>
      <c r="F871" s="81" t="str">
        <f aca="false">IF('CARNET DE SOUDURE'!E871="","",'CARNET DE SOUDURE'!AL871)</f>
        <v/>
      </c>
      <c r="G871" s="81" t="str">
        <f aca="false">IF('CARNET DE SOUDURE'!E871="","",'CARNET DE SOUDURE'!AM871)</f>
        <v/>
      </c>
      <c r="H871" s="81" t="str">
        <f aca="false">IF(C871="","",IF(G871="ACCEPTÉ","OUI","NON"))</f>
        <v/>
      </c>
      <c r="I871" s="82"/>
      <c r="J871" s="79"/>
      <c r="K871" s="80"/>
      <c r="L871" s="80"/>
      <c r="M871" s="80"/>
      <c r="N871" s="83" t="str">
        <f aca="false">IF(C871="","",IF(I871="",IF(H871="OUI","À ENROBER",IF(G871="À SOUDER","NON SOUDÉ","EN ATTENTE RT")),IF(L871="R","À REPRENDRE",IF(H871&lt;&gt;"OUI","⚠ ENROBÉ AVANT ACCEPTATION RT","ENROBÉ"))))</f>
        <v/>
      </c>
      <c r="O871" s="79"/>
    </row>
    <row r="872" customFormat="false" ht="15" hidden="false" customHeight="false" outlineLevel="0" collapsed="false">
      <c r="A872" s="78" t="str">
        <f aca="false">IF('CARNET DE SOUDURE'!E872="","",'CARNET DE SOUDURE'!A872)</f>
        <v/>
      </c>
      <c r="B872" s="93" t="str">
        <f aca="false">IF('CARNET DE SOUDURE'!E872="","",'CARNET DE SOUDURE'!B872&amp;"")</f>
        <v/>
      </c>
      <c r="C872" s="83" t="str">
        <f aca="false">IF('CARNET DE SOUDURE'!E872="","",'CARNET DE SOUDURE'!E872)</f>
        <v/>
      </c>
      <c r="D872" s="78" t="str">
        <f aca="false">IF('CARNET DE SOUDURE'!E872="","",'CARNET DE SOUDURE'!D872&amp;"")</f>
        <v/>
      </c>
      <c r="E872" s="96" t="str">
        <f aca="false">IF(OR('CARNET DE SOUDURE'!E872="",'CARNET DE SOUDURE'!R872=""),"",'CARNET DE SOUDURE'!R872)</f>
        <v/>
      </c>
      <c r="F872" s="81" t="str">
        <f aca="false">IF('CARNET DE SOUDURE'!E872="","",'CARNET DE SOUDURE'!AL872)</f>
        <v/>
      </c>
      <c r="G872" s="81" t="str">
        <f aca="false">IF('CARNET DE SOUDURE'!E872="","",'CARNET DE SOUDURE'!AM872)</f>
        <v/>
      </c>
      <c r="H872" s="81" t="str">
        <f aca="false">IF(C872="","",IF(G872="ACCEPTÉ","OUI","NON"))</f>
        <v/>
      </c>
      <c r="I872" s="82"/>
      <c r="J872" s="79"/>
      <c r="K872" s="80"/>
      <c r="L872" s="80"/>
      <c r="M872" s="80"/>
      <c r="N872" s="83" t="str">
        <f aca="false">IF(C872="","",IF(I872="",IF(H872="OUI","À ENROBER",IF(G872="À SOUDER","NON SOUDÉ","EN ATTENTE RT")),IF(L872="R","À REPRENDRE",IF(H872&lt;&gt;"OUI","⚠ ENROBÉ AVANT ACCEPTATION RT","ENROBÉ"))))</f>
        <v/>
      </c>
      <c r="O872" s="79"/>
    </row>
    <row r="873" customFormat="false" ht="15" hidden="false" customHeight="false" outlineLevel="0" collapsed="false">
      <c r="A873" s="78" t="str">
        <f aca="false">IF('CARNET DE SOUDURE'!E873="","",'CARNET DE SOUDURE'!A873)</f>
        <v/>
      </c>
      <c r="B873" s="93" t="str">
        <f aca="false">IF('CARNET DE SOUDURE'!E873="","",'CARNET DE SOUDURE'!B873&amp;"")</f>
        <v/>
      </c>
      <c r="C873" s="83" t="str">
        <f aca="false">IF('CARNET DE SOUDURE'!E873="","",'CARNET DE SOUDURE'!E873)</f>
        <v/>
      </c>
      <c r="D873" s="78" t="str">
        <f aca="false">IF('CARNET DE SOUDURE'!E873="","",'CARNET DE SOUDURE'!D873&amp;"")</f>
        <v/>
      </c>
      <c r="E873" s="96" t="str">
        <f aca="false">IF(OR('CARNET DE SOUDURE'!E873="",'CARNET DE SOUDURE'!R873=""),"",'CARNET DE SOUDURE'!R873)</f>
        <v/>
      </c>
      <c r="F873" s="81" t="str">
        <f aca="false">IF('CARNET DE SOUDURE'!E873="","",'CARNET DE SOUDURE'!AL873)</f>
        <v/>
      </c>
      <c r="G873" s="81" t="str">
        <f aca="false">IF('CARNET DE SOUDURE'!E873="","",'CARNET DE SOUDURE'!AM873)</f>
        <v/>
      </c>
      <c r="H873" s="81" t="str">
        <f aca="false">IF(C873="","",IF(G873="ACCEPTÉ","OUI","NON"))</f>
        <v/>
      </c>
      <c r="I873" s="82"/>
      <c r="J873" s="79"/>
      <c r="K873" s="80"/>
      <c r="L873" s="80"/>
      <c r="M873" s="80"/>
      <c r="N873" s="83" t="str">
        <f aca="false">IF(C873="","",IF(I873="",IF(H873="OUI","À ENROBER",IF(G873="À SOUDER","NON SOUDÉ","EN ATTENTE RT")),IF(L873="R","À REPRENDRE",IF(H873&lt;&gt;"OUI","⚠ ENROBÉ AVANT ACCEPTATION RT","ENROBÉ"))))</f>
        <v/>
      </c>
      <c r="O873" s="79"/>
    </row>
    <row r="874" customFormat="false" ht="15" hidden="false" customHeight="false" outlineLevel="0" collapsed="false">
      <c r="A874" s="78" t="str">
        <f aca="false">IF('CARNET DE SOUDURE'!E874="","",'CARNET DE SOUDURE'!A874)</f>
        <v/>
      </c>
      <c r="B874" s="93" t="str">
        <f aca="false">IF('CARNET DE SOUDURE'!E874="","",'CARNET DE SOUDURE'!B874&amp;"")</f>
        <v/>
      </c>
      <c r="C874" s="83" t="str">
        <f aca="false">IF('CARNET DE SOUDURE'!E874="","",'CARNET DE SOUDURE'!E874)</f>
        <v/>
      </c>
      <c r="D874" s="78" t="str">
        <f aca="false">IF('CARNET DE SOUDURE'!E874="","",'CARNET DE SOUDURE'!D874&amp;"")</f>
        <v/>
      </c>
      <c r="E874" s="96" t="str">
        <f aca="false">IF(OR('CARNET DE SOUDURE'!E874="",'CARNET DE SOUDURE'!R874=""),"",'CARNET DE SOUDURE'!R874)</f>
        <v/>
      </c>
      <c r="F874" s="81" t="str">
        <f aca="false">IF('CARNET DE SOUDURE'!E874="","",'CARNET DE SOUDURE'!AL874)</f>
        <v/>
      </c>
      <c r="G874" s="81" t="str">
        <f aca="false">IF('CARNET DE SOUDURE'!E874="","",'CARNET DE SOUDURE'!AM874)</f>
        <v/>
      </c>
      <c r="H874" s="81" t="str">
        <f aca="false">IF(C874="","",IF(G874="ACCEPTÉ","OUI","NON"))</f>
        <v/>
      </c>
      <c r="I874" s="82"/>
      <c r="J874" s="79"/>
      <c r="K874" s="80"/>
      <c r="L874" s="80"/>
      <c r="M874" s="80"/>
      <c r="N874" s="83" t="str">
        <f aca="false">IF(C874="","",IF(I874="",IF(H874="OUI","À ENROBER",IF(G874="À SOUDER","NON SOUDÉ","EN ATTENTE RT")),IF(L874="R","À REPRENDRE",IF(H874&lt;&gt;"OUI","⚠ ENROBÉ AVANT ACCEPTATION RT","ENROBÉ"))))</f>
        <v/>
      </c>
      <c r="O874" s="79"/>
    </row>
    <row r="875" customFormat="false" ht="15" hidden="false" customHeight="false" outlineLevel="0" collapsed="false">
      <c r="A875" s="78" t="str">
        <f aca="false">IF('CARNET DE SOUDURE'!E875="","",'CARNET DE SOUDURE'!A875)</f>
        <v/>
      </c>
      <c r="B875" s="93" t="str">
        <f aca="false">IF('CARNET DE SOUDURE'!E875="","",'CARNET DE SOUDURE'!B875&amp;"")</f>
        <v/>
      </c>
      <c r="C875" s="83" t="str">
        <f aca="false">IF('CARNET DE SOUDURE'!E875="","",'CARNET DE SOUDURE'!E875)</f>
        <v/>
      </c>
      <c r="D875" s="78" t="str">
        <f aca="false">IF('CARNET DE SOUDURE'!E875="","",'CARNET DE SOUDURE'!D875&amp;"")</f>
        <v/>
      </c>
      <c r="E875" s="96" t="str">
        <f aca="false">IF(OR('CARNET DE SOUDURE'!E875="",'CARNET DE SOUDURE'!R875=""),"",'CARNET DE SOUDURE'!R875)</f>
        <v/>
      </c>
      <c r="F875" s="81" t="str">
        <f aca="false">IF('CARNET DE SOUDURE'!E875="","",'CARNET DE SOUDURE'!AL875)</f>
        <v/>
      </c>
      <c r="G875" s="81" t="str">
        <f aca="false">IF('CARNET DE SOUDURE'!E875="","",'CARNET DE SOUDURE'!AM875)</f>
        <v/>
      </c>
      <c r="H875" s="81" t="str">
        <f aca="false">IF(C875="","",IF(G875="ACCEPTÉ","OUI","NON"))</f>
        <v/>
      </c>
      <c r="I875" s="82"/>
      <c r="J875" s="79"/>
      <c r="K875" s="80"/>
      <c r="L875" s="80"/>
      <c r="M875" s="80"/>
      <c r="N875" s="83" t="str">
        <f aca="false">IF(C875="","",IF(I875="",IF(H875="OUI","À ENROBER",IF(G875="À SOUDER","NON SOUDÉ","EN ATTENTE RT")),IF(L875="R","À REPRENDRE",IF(H875&lt;&gt;"OUI","⚠ ENROBÉ AVANT ACCEPTATION RT","ENROBÉ"))))</f>
        <v/>
      </c>
      <c r="O875" s="79"/>
    </row>
    <row r="876" customFormat="false" ht="15" hidden="false" customHeight="false" outlineLevel="0" collapsed="false">
      <c r="A876" s="78" t="str">
        <f aca="false">IF('CARNET DE SOUDURE'!E876="","",'CARNET DE SOUDURE'!A876)</f>
        <v/>
      </c>
      <c r="B876" s="93" t="str">
        <f aca="false">IF('CARNET DE SOUDURE'!E876="","",'CARNET DE SOUDURE'!B876&amp;"")</f>
        <v/>
      </c>
      <c r="C876" s="83" t="str">
        <f aca="false">IF('CARNET DE SOUDURE'!E876="","",'CARNET DE SOUDURE'!E876)</f>
        <v/>
      </c>
      <c r="D876" s="78" t="str">
        <f aca="false">IF('CARNET DE SOUDURE'!E876="","",'CARNET DE SOUDURE'!D876&amp;"")</f>
        <v/>
      </c>
      <c r="E876" s="96" t="str">
        <f aca="false">IF(OR('CARNET DE SOUDURE'!E876="",'CARNET DE SOUDURE'!R876=""),"",'CARNET DE SOUDURE'!R876)</f>
        <v/>
      </c>
      <c r="F876" s="81" t="str">
        <f aca="false">IF('CARNET DE SOUDURE'!E876="","",'CARNET DE SOUDURE'!AL876)</f>
        <v/>
      </c>
      <c r="G876" s="81" t="str">
        <f aca="false">IF('CARNET DE SOUDURE'!E876="","",'CARNET DE SOUDURE'!AM876)</f>
        <v/>
      </c>
      <c r="H876" s="81" t="str">
        <f aca="false">IF(C876="","",IF(G876="ACCEPTÉ","OUI","NON"))</f>
        <v/>
      </c>
      <c r="I876" s="82"/>
      <c r="J876" s="79"/>
      <c r="K876" s="80"/>
      <c r="L876" s="80"/>
      <c r="M876" s="80"/>
      <c r="N876" s="83" t="str">
        <f aca="false">IF(C876="","",IF(I876="",IF(H876="OUI","À ENROBER",IF(G876="À SOUDER","NON SOUDÉ","EN ATTENTE RT")),IF(L876="R","À REPRENDRE",IF(H876&lt;&gt;"OUI","⚠ ENROBÉ AVANT ACCEPTATION RT","ENROBÉ"))))</f>
        <v/>
      </c>
      <c r="O876" s="79"/>
    </row>
    <row r="877" customFormat="false" ht="15" hidden="false" customHeight="false" outlineLevel="0" collapsed="false">
      <c r="A877" s="78" t="str">
        <f aca="false">IF('CARNET DE SOUDURE'!E877="","",'CARNET DE SOUDURE'!A877)</f>
        <v/>
      </c>
      <c r="B877" s="93" t="str">
        <f aca="false">IF('CARNET DE SOUDURE'!E877="","",'CARNET DE SOUDURE'!B877&amp;"")</f>
        <v/>
      </c>
      <c r="C877" s="83" t="str">
        <f aca="false">IF('CARNET DE SOUDURE'!E877="","",'CARNET DE SOUDURE'!E877)</f>
        <v/>
      </c>
      <c r="D877" s="78" t="str">
        <f aca="false">IF('CARNET DE SOUDURE'!E877="","",'CARNET DE SOUDURE'!D877&amp;"")</f>
        <v/>
      </c>
      <c r="E877" s="96" t="str">
        <f aca="false">IF(OR('CARNET DE SOUDURE'!E877="",'CARNET DE SOUDURE'!R877=""),"",'CARNET DE SOUDURE'!R877)</f>
        <v/>
      </c>
      <c r="F877" s="81" t="str">
        <f aca="false">IF('CARNET DE SOUDURE'!E877="","",'CARNET DE SOUDURE'!AL877)</f>
        <v/>
      </c>
      <c r="G877" s="81" t="str">
        <f aca="false">IF('CARNET DE SOUDURE'!E877="","",'CARNET DE SOUDURE'!AM877)</f>
        <v/>
      </c>
      <c r="H877" s="81" t="str">
        <f aca="false">IF(C877="","",IF(G877="ACCEPTÉ","OUI","NON"))</f>
        <v/>
      </c>
      <c r="I877" s="82"/>
      <c r="J877" s="79"/>
      <c r="K877" s="80"/>
      <c r="L877" s="80"/>
      <c r="M877" s="80"/>
      <c r="N877" s="83" t="str">
        <f aca="false">IF(C877="","",IF(I877="",IF(H877="OUI","À ENROBER",IF(G877="À SOUDER","NON SOUDÉ","EN ATTENTE RT")),IF(L877="R","À REPRENDRE",IF(H877&lt;&gt;"OUI","⚠ ENROBÉ AVANT ACCEPTATION RT","ENROBÉ"))))</f>
        <v/>
      </c>
      <c r="O877" s="79"/>
    </row>
    <row r="878" customFormat="false" ht="15" hidden="false" customHeight="false" outlineLevel="0" collapsed="false">
      <c r="A878" s="78" t="str">
        <f aca="false">IF('CARNET DE SOUDURE'!E878="","",'CARNET DE SOUDURE'!A878)</f>
        <v/>
      </c>
      <c r="B878" s="93" t="str">
        <f aca="false">IF('CARNET DE SOUDURE'!E878="","",'CARNET DE SOUDURE'!B878&amp;"")</f>
        <v/>
      </c>
      <c r="C878" s="83" t="str">
        <f aca="false">IF('CARNET DE SOUDURE'!E878="","",'CARNET DE SOUDURE'!E878)</f>
        <v/>
      </c>
      <c r="D878" s="78" t="str">
        <f aca="false">IF('CARNET DE SOUDURE'!E878="","",'CARNET DE SOUDURE'!D878&amp;"")</f>
        <v/>
      </c>
      <c r="E878" s="96" t="str">
        <f aca="false">IF(OR('CARNET DE SOUDURE'!E878="",'CARNET DE SOUDURE'!R878=""),"",'CARNET DE SOUDURE'!R878)</f>
        <v/>
      </c>
      <c r="F878" s="81" t="str">
        <f aca="false">IF('CARNET DE SOUDURE'!E878="","",'CARNET DE SOUDURE'!AL878)</f>
        <v/>
      </c>
      <c r="G878" s="81" t="str">
        <f aca="false">IF('CARNET DE SOUDURE'!E878="","",'CARNET DE SOUDURE'!AM878)</f>
        <v/>
      </c>
      <c r="H878" s="81" t="str">
        <f aca="false">IF(C878="","",IF(G878="ACCEPTÉ","OUI","NON"))</f>
        <v/>
      </c>
      <c r="I878" s="82"/>
      <c r="J878" s="79"/>
      <c r="K878" s="80"/>
      <c r="L878" s="80"/>
      <c r="M878" s="80"/>
      <c r="N878" s="83" t="str">
        <f aca="false">IF(C878="","",IF(I878="",IF(H878="OUI","À ENROBER",IF(G878="À SOUDER","NON SOUDÉ","EN ATTENTE RT")),IF(L878="R","À REPRENDRE",IF(H878&lt;&gt;"OUI","⚠ ENROBÉ AVANT ACCEPTATION RT","ENROBÉ"))))</f>
        <v/>
      </c>
      <c r="O878" s="79"/>
    </row>
    <row r="879" customFormat="false" ht="15" hidden="false" customHeight="false" outlineLevel="0" collapsed="false">
      <c r="A879" s="78" t="str">
        <f aca="false">IF('CARNET DE SOUDURE'!E879="","",'CARNET DE SOUDURE'!A879)</f>
        <v/>
      </c>
      <c r="B879" s="93" t="str">
        <f aca="false">IF('CARNET DE SOUDURE'!E879="","",'CARNET DE SOUDURE'!B879&amp;"")</f>
        <v/>
      </c>
      <c r="C879" s="83" t="str">
        <f aca="false">IF('CARNET DE SOUDURE'!E879="","",'CARNET DE SOUDURE'!E879)</f>
        <v/>
      </c>
      <c r="D879" s="78" t="str">
        <f aca="false">IF('CARNET DE SOUDURE'!E879="","",'CARNET DE SOUDURE'!D879&amp;"")</f>
        <v/>
      </c>
      <c r="E879" s="96" t="str">
        <f aca="false">IF(OR('CARNET DE SOUDURE'!E879="",'CARNET DE SOUDURE'!R879=""),"",'CARNET DE SOUDURE'!R879)</f>
        <v/>
      </c>
      <c r="F879" s="81" t="str">
        <f aca="false">IF('CARNET DE SOUDURE'!E879="","",'CARNET DE SOUDURE'!AL879)</f>
        <v/>
      </c>
      <c r="G879" s="81" t="str">
        <f aca="false">IF('CARNET DE SOUDURE'!E879="","",'CARNET DE SOUDURE'!AM879)</f>
        <v/>
      </c>
      <c r="H879" s="81" t="str">
        <f aca="false">IF(C879="","",IF(G879="ACCEPTÉ","OUI","NON"))</f>
        <v/>
      </c>
      <c r="I879" s="82"/>
      <c r="J879" s="79"/>
      <c r="K879" s="80"/>
      <c r="L879" s="80"/>
      <c r="M879" s="80"/>
      <c r="N879" s="83" t="str">
        <f aca="false">IF(C879="","",IF(I879="",IF(H879="OUI","À ENROBER",IF(G879="À SOUDER","NON SOUDÉ","EN ATTENTE RT")),IF(L879="R","À REPRENDRE",IF(H879&lt;&gt;"OUI","⚠ ENROBÉ AVANT ACCEPTATION RT","ENROBÉ"))))</f>
        <v/>
      </c>
      <c r="O879" s="79"/>
    </row>
    <row r="880" customFormat="false" ht="15" hidden="false" customHeight="false" outlineLevel="0" collapsed="false">
      <c r="A880" s="78" t="str">
        <f aca="false">IF('CARNET DE SOUDURE'!E880="","",'CARNET DE SOUDURE'!A880)</f>
        <v/>
      </c>
      <c r="B880" s="93" t="str">
        <f aca="false">IF('CARNET DE SOUDURE'!E880="","",'CARNET DE SOUDURE'!B880&amp;"")</f>
        <v/>
      </c>
      <c r="C880" s="83" t="str">
        <f aca="false">IF('CARNET DE SOUDURE'!E880="","",'CARNET DE SOUDURE'!E880)</f>
        <v/>
      </c>
      <c r="D880" s="78" t="str">
        <f aca="false">IF('CARNET DE SOUDURE'!E880="","",'CARNET DE SOUDURE'!D880&amp;"")</f>
        <v/>
      </c>
      <c r="E880" s="96" t="str">
        <f aca="false">IF(OR('CARNET DE SOUDURE'!E880="",'CARNET DE SOUDURE'!R880=""),"",'CARNET DE SOUDURE'!R880)</f>
        <v/>
      </c>
      <c r="F880" s="81" t="str">
        <f aca="false">IF('CARNET DE SOUDURE'!E880="","",'CARNET DE SOUDURE'!AL880)</f>
        <v/>
      </c>
      <c r="G880" s="81" t="str">
        <f aca="false">IF('CARNET DE SOUDURE'!E880="","",'CARNET DE SOUDURE'!AM880)</f>
        <v/>
      </c>
      <c r="H880" s="81" t="str">
        <f aca="false">IF(C880="","",IF(G880="ACCEPTÉ","OUI","NON"))</f>
        <v/>
      </c>
      <c r="I880" s="82"/>
      <c r="J880" s="79"/>
      <c r="K880" s="80"/>
      <c r="L880" s="80"/>
      <c r="M880" s="80"/>
      <c r="N880" s="83" t="str">
        <f aca="false">IF(C880="","",IF(I880="",IF(H880="OUI","À ENROBER",IF(G880="À SOUDER","NON SOUDÉ","EN ATTENTE RT")),IF(L880="R","À REPRENDRE",IF(H880&lt;&gt;"OUI","⚠ ENROBÉ AVANT ACCEPTATION RT","ENROBÉ"))))</f>
        <v/>
      </c>
      <c r="O880" s="79"/>
    </row>
    <row r="881" customFormat="false" ht="15" hidden="false" customHeight="false" outlineLevel="0" collapsed="false">
      <c r="A881" s="78" t="str">
        <f aca="false">IF('CARNET DE SOUDURE'!E881="","",'CARNET DE SOUDURE'!A881)</f>
        <v/>
      </c>
      <c r="B881" s="93" t="str">
        <f aca="false">IF('CARNET DE SOUDURE'!E881="","",'CARNET DE SOUDURE'!B881&amp;"")</f>
        <v/>
      </c>
      <c r="C881" s="83" t="str">
        <f aca="false">IF('CARNET DE SOUDURE'!E881="","",'CARNET DE SOUDURE'!E881)</f>
        <v/>
      </c>
      <c r="D881" s="78" t="str">
        <f aca="false">IF('CARNET DE SOUDURE'!E881="","",'CARNET DE SOUDURE'!D881&amp;"")</f>
        <v/>
      </c>
      <c r="E881" s="96" t="str">
        <f aca="false">IF(OR('CARNET DE SOUDURE'!E881="",'CARNET DE SOUDURE'!R881=""),"",'CARNET DE SOUDURE'!R881)</f>
        <v/>
      </c>
      <c r="F881" s="81" t="str">
        <f aca="false">IF('CARNET DE SOUDURE'!E881="","",'CARNET DE SOUDURE'!AL881)</f>
        <v/>
      </c>
      <c r="G881" s="81" t="str">
        <f aca="false">IF('CARNET DE SOUDURE'!E881="","",'CARNET DE SOUDURE'!AM881)</f>
        <v/>
      </c>
      <c r="H881" s="81" t="str">
        <f aca="false">IF(C881="","",IF(G881="ACCEPTÉ","OUI","NON"))</f>
        <v/>
      </c>
      <c r="I881" s="82"/>
      <c r="J881" s="79"/>
      <c r="K881" s="80"/>
      <c r="L881" s="80"/>
      <c r="M881" s="80"/>
      <c r="N881" s="83" t="str">
        <f aca="false">IF(C881="","",IF(I881="",IF(H881="OUI","À ENROBER",IF(G881="À SOUDER","NON SOUDÉ","EN ATTENTE RT")),IF(L881="R","À REPRENDRE",IF(H881&lt;&gt;"OUI","⚠ ENROBÉ AVANT ACCEPTATION RT","ENROBÉ"))))</f>
        <v/>
      </c>
      <c r="O881" s="79"/>
    </row>
    <row r="882" customFormat="false" ht="15" hidden="false" customHeight="false" outlineLevel="0" collapsed="false">
      <c r="A882" s="78" t="str">
        <f aca="false">IF('CARNET DE SOUDURE'!E882="","",'CARNET DE SOUDURE'!A882)</f>
        <v/>
      </c>
      <c r="B882" s="93" t="str">
        <f aca="false">IF('CARNET DE SOUDURE'!E882="","",'CARNET DE SOUDURE'!B882&amp;"")</f>
        <v/>
      </c>
      <c r="C882" s="83" t="str">
        <f aca="false">IF('CARNET DE SOUDURE'!E882="","",'CARNET DE SOUDURE'!E882)</f>
        <v/>
      </c>
      <c r="D882" s="78" t="str">
        <f aca="false">IF('CARNET DE SOUDURE'!E882="","",'CARNET DE SOUDURE'!D882&amp;"")</f>
        <v/>
      </c>
      <c r="E882" s="96" t="str">
        <f aca="false">IF(OR('CARNET DE SOUDURE'!E882="",'CARNET DE SOUDURE'!R882=""),"",'CARNET DE SOUDURE'!R882)</f>
        <v/>
      </c>
      <c r="F882" s="81" t="str">
        <f aca="false">IF('CARNET DE SOUDURE'!E882="","",'CARNET DE SOUDURE'!AL882)</f>
        <v/>
      </c>
      <c r="G882" s="81" t="str">
        <f aca="false">IF('CARNET DE SOUDURE'!E882="","",'CARNET DE SOUDURE'!AM882)</f>
        <v/>
      </c>
      <c r="H882" s="81" t="str">
        <f aca="false">IF(C882="","",IF(G882="ACCEPTÉ","OUI","NON"))</f>
        <v/>
      </c>
      <c r="I882" s="82"/>
      <c r="J882" s="79"/>
      <c r="K882" s="80"/>
      <c r="L882" s="80"/>
      <c r="M882" s="80"/>
      <c r="N882" s="83" t="str">
        <f aca="false">IF(C882="","",IF(I882="",IF(H882="OUI","À ENROBER",IF(G882="À SOUDER","NON SOUDÉ","EN ATTENTE RT")),IF(L882="R","À REPRENDRE",IF(H882&lt;&gt;"OUI","⚠ ENROBÉ AVANT ACCEPTATION RT","ENROBÉ"))))</f>
        <v/>
      </c>
      <c r="O882" s="79"/>
    </row>
    <row r="883" customFormat="false" ht="15" hidden="false" customHeight="false" outlineLevel="0" collapsed="false">
      <c r="A883" s="78" t="str">
        <f aca="false">IF('CARNET DE SOUDURE'!E883="","",'CARNET DE SOUDURE'!A883)</f>
        <v/>
      </c>
      <c r="B883" s="93" t="str">
        <f aca="false">IF('CARNET DE SOUDURE'!E883="","",'CARNET DE SOUDURE'!B883&amp;"")</f>
        <v/>
      </c>
      <c r="C883" s="83" t="str">
        <f aca="false">IF('CARNET DE SOUDURE'!E883="","",'CARNET DE SOUDURE'!E883)</f>
        <v/>
      </c>
      <c r="D883" s="78" t="str">
        <f aca="false">IF('CARNET DE SOUDURE'!E883="","",'CARNET DE SOUDURE'!D883&amp;"")</f>
        <v/>
      </c>
      <c r="E883" s="96" t="str">
        <f aca="false">IF(OR('CARNET DE SOUDURE'!E883="",'CARNET DE SOUDURE'!R883=""),"",'CARNET DE SOUDURE'!R883)</f>
        <v/>
      </c>
      <c r="F883" s="81" t="str">
        <f aca="false">IF('CARNET DE SOUDURE'!E883="","",'CARNET DE SOUDURE'!AL883)</f>
        <v/>
      </c>
      <c r="G883" s="81" t="str">
        <f aca="false">IF('CARNET DE SOUDURE'!E883="","",'CARNET DE SOUDURE'!AM883)</f>
        <v/>
      </c>
      <c r="H883" s="81" t="str">
        <f aca="false">IF(C883="","",IF(G883="ACCEPTÉ","OUI","NON"))</f>
        <v/>
      </c>
      <c r="I883" s="82"/>
      <c r="J883" s="79"/>
      <c r="K883" s="80"/>
      <c r="L883" s="80"/>
      <c r="M883" s="80"/>
      <c r="N883" s="83" t="str">
        <f aca="false">IF(C883="","",IF(I883="",IF(H883="OUI","À ENROBER",IF(G883="À SOUDER","NON SOUDÉ","EN ATTENTE RT")),IF(L883="R","À REPRENDRE",IF(H883&lt;&gt;"OUI","⚠ ENROBÉ AVANT ACCEPTATION RT","ENROBÉ"))))</f>
        <v/>
      </c>
      <c r="O883" s="79"/>
    </row>
    <row r="884" customFormat="false" ht="15" hidden="false" customHeight="false" outlineLevel="0" collapsed="false">
      <c r="A884" s="78" t="str">
        <f aca="false">IF('CARNET DE SOUDURE'!E884="","",'CARNET DE SOUDURE'!A884)</f>
        <v/>
      </c>
      <c r="B884" s="93" t="str">
        <f aca="false">IF('CARNET DE SOUDURE'!E884="","",'CARNET DE SOUDURE'!B884&amp;"")</f>
        <v/>
      </c>
      <c r="C884" s="83" t="str">
        <f aca="false">IF('CARNET DE SOUDURE'!E884="","",'CARNET DE SOUDURE'!E884)</f>
        <v/>
      </c>
      <c r="D884" s="78" t="str">
        <f aca="false">IF('CARNET DE SOUDURE'!E884="","",'CARNET DE SOUDURE'!D884&amp;"")</f>
        <v/>
      </c>
      <c r="E884" s="96" t="str">
        <f aca="false">IF(OR('CARNET DE SOUDURE'!E884="",'CARNET DE SOUDURE'!R884=""),"",'CARNET DE SOUDURE'!R884)</f>
        <v/>
      </c>
      <c r="F884" s="81" t="str">
        <f aca="false">IF('CARNET DE SOUDURE'!E884="","",'CARNET DE SOUDURE'!AL884)</f>
        <v/>
      </c>
      <c r="G884" s="81" t="str">
        <f aca="false">IF('CARNET DE SOUDURE'!E884="","",'CARNET DE SOUDURE'!AM884)</f>
        <v/>
      </c>
      <c r="H884" s="81" t="str">
        <f aca="false">IF(C884="","",IF(G884="ACCEPTÉ","OUI","NON"))</f>
        <v/>
      </c>
      <c r="I884" s="82"/>
      <c r="J884" s="79"/>
      <c r="K884" s="80"/>
      <c r="L884" s="80"/>
      <c r="M884" s="80"/>
      <c r="N884" s="83" t="str">
        <f aca="false">IF(C884="","",IF(I884="",IF(H884="OUI","À ENROBER",IF(G884="À SOUDER","NON SOUDÉ","EN ATTENTE RT")),IF(L884="R","À REPRENDRE",IF(H884&lt;&gt;"OUI","⚠ ENROBÉ AVANT ACCEPTATION RT","ENROBÉ"))))</f>
        <v/>
      </c>
      <c r="O884" s="79"/>
    </row>
    <row r="885" customFormat="false" ht="15" hidden="false" customHeight="false" outlineLevel="0" collapsed="false">
      <c r="A885" s="78" t="str">
        <f aca="false">IF('CARNET DE SOUDURE'!E885="","",'CARNET DE SOUDURE'!A885)</f>
        <v/>
      </c>
      <c r="B885" s="93" t="str">
        <f aca="false">IF('CARNET DE SOUDURE'!E885="","",'CARNET DE SOUDURE'!B885&amp;"")</f>
        <v/>
      </c>
      <c r="C885" s="83" t="str">
        <f aca="false">IF('CARNET DE SOUDURE'!E885="","",'CARNET DE SOUDURE'!E885)</f>
        <v/>
      </c>
      <c r="D885" s="78" t="str">
        <f aca="false">IF('CARNET DE SOUDURE'!E885="","",'CARNET DE SOUDURE'!D885&amp;"")</f>
        <v/>
      </c>
      <c r="E885" s="96" t="str">
        <f aca="false">IF(OR('CARNET DE SOUDURE'!E885="",'CARNET DE SOUDURE'!R885=""),"",'CARNET DE SOUDURE'!R885)</f>
        <v/>
      </c>
      <c r="F885" s="81" t="str">
        <f aca="false">IF('CARNET DE SOUDURE'!E885="","",'CARNET DE SOUDURE'!AL885)</f>
        <v/>
      </c>
      <c r="G885" s="81" t="str">
        <f aca="false">IF('CARNET DE SOUDURE'!E885="","",'CARNET DE SOUDURE'!AM885)</f>
        <v/>
      </c>
      <c r="H885" s="81" t="str">
        <f aca="false">IF(C885="","",IF(G885="ACCEPTÉ","OUI","NON"))</f>
        <v/>
      </c>
      <c r="I885" s="82"/>
      <c r="J885" s="79"/>
      <c r="K885" s="80"/>
      <c r="L885" s="80"/>
      <c r="M885" s="80"/>
      <c r="N885" s="83" t="str">
        <f aca="false">IF(C885="","",IF(I885="",IF(H885="OUI","À ENROBER",IF(G885="À SOUDER","NON SOUDÉ","EN ATTENTE RT")),IF(L885="R","À REPRENDRE",IF(H885&lt;&gt;"OUI","⚠ ENROBÉ AVANT ACCEPTATION RT","ENROBÉ"))))</f>
        <v/>
      </c>
      <c r="O885" s="79"/>
    </row>
    <row r="886" customFormat="false" ht="15" hidden="false" customHeight="false" outlineLevel="0" collapsed="false">
      <c r="A886" s="78" t="str">
        <f aca="false">IF('CARNET DE SOUDURE'!E886="","",'CARNET DE SOUDURE'!A886)</f>
        <v/>
      </c>
      <c r="B886" s="93" t="str">
        <f aca="false">IF('CARNET DE SOUDURE'!E886="","",'CARNET DE SOUDURE'!B886&amp;"")</f>
        <v/>
      </c>
      <c r="C886" s="83" t="str">
        <f aca="false">IF('CARNET DE SOUDURE'!E886="","",'CARNET DE SOUDURE'!E886)</f>
        <v/>
      </c>
      <c r="D886" s="78" t="str">
        <f aca="false">IF('CARNET DE SOUDURE'!E886="","",'CARNET DE SOUDURE'!D886&amp;"")</f>
        <v/>
      </c>
      <c r="E886" s="96" t="str">
        <f aca="false">IF(OR('CARNET DE SOUDURE'!E886="",'CARNET DE SOUDURE'!R886=""),"",'CARNET DE SOUDURE'!R886)</f>
        <v/>
      </c>
      <c r="F886" s="81" t="str">
        <f aca="false">IF('CARNET DE SOUDURE'!E886="","",'CARNET DE SOUDURE'!AL886)</f>
        <v/>
      </c>
      <c r="G886" s="81" t="str">
        <f aca="false">IF('CARNET DE SOUDURE'!E886="","",'CARNET DE SOUDURE'!AM886)</f>
        <v/>
      </c>
      <c r="H886" s="81" t="str">
        <f aca="false">IF(C886="","",IF(G886="ACCEPTÉ","OUI","NON"))</f>
        <v/>
      </c>
      <c r="I886" s="82"/>
      <c r="J886" s="79"/>
      <c r="K886" s="80"/>
      <c r="L886" s="80"/>
      <c r="M886" s="80"/>
      <c r="N886" s="83" t="str">
        <f aca="false">IF(C886="","",IF(I886="",IF(H886="OUI","À ENROBER",IF(G886="À SOUDER","NON SOUDÉ","EN ATTENTE RT")),IF(L886="R","À REPRENDRE",IF(H886&lt;&gt;"OUI","⚠ ENROBÉ AVANT ACCEPTATION RT","ENROBÉ"))))</f>
        <v/>
      </c>
      <c r="O886" s="79"/>
    </row>
    <row r="887" customFormat="false" ht="15" hidden="false" customHeight="false" outlineLevel="0" collapsed="false">
      <c r="A887" s="78" t="str">
        <f aca="false">IF('CARNET DE SOUDURE'!E887="","",'CARNET DE SOUDURE'!A887)</f>
        <v/>
      </c>
      <c r="B887" s="93" t="str">
        <f aca="false">IF('CARNET DE SOUDURE'!E887="","",'CARNET DE SOUDURE'!B887&amp;"")</f>
        <v/>
      </c>
      <c r="C887" s="83" t="str">
        <f aca="false">IF('CARNET DE SOUDURE'!E887="","",'CARNET DE SOUDURE'!E887)</f>
        <v/>
      </c>
      <c r="D887" s="78" t="str">
        <f aca="false">IF('CARNET DE SOUDURE'!E887="","",'CARNET DE SOUDURE'!D887&amp;"")</f>
        <v/>
      </c>
      <c r="E887" s="96" t="str">
        <f aca="false">IF(OR('CARNET DE SOUDURE'!E887="",'CARNET DE SOUDURE'!R887=""),"",'CARNET DE SOUDURE'!R887)</f>
        <v/>
      </c>
      <c r="F887" s="81" t="str">
        <f aca="false">IF('CARNET DE SOUDURE'!E887="","",'CARNET DE SOUDURE'!AL887)</f>
        <v/>
      </c>
      <c r="G887" s="81" t="str">
        <f aca="false">IF('CARNET DE SOUDURE'!E887="","",'CARNET DE SOUDURE'!AM887)</f>
        <v/>
      </c>
      <c r="H887" s="81" t="str">
        <f aca="false">IF(C887="","",IF(G887="ACCEPTÉ","OUI","NON"))</f>
        <v/>
      </c>
      <c r="I887" s="82"/>
      <c r="J887" s="79"/>
      <c r="K887" s="80"/>
      <c r="L887" s="80"/>
      <c r="M887" s="80"/>
      <c r="N887" s="83" t="str">
        <f aca="false">IF(C887="","",IF(I887="",IF(H887="OUI","À ENROBER",IF(G887="À SOUDER","NON SOUDÉ","EN ATTENTE RT")),IF(L887="R","À REPRENDRE",IF(H887&lt;&gt;"OUI","⚠ ENROBÉ AVANT ACCEPTATION RT","ENROBÉ"))))</f>
        <v/>
      </c>
      <c r="O887" s="79"/>
    </row>
    <row r="888" customFormat="false" ht="15" hidden="false" customHeight="false" outlineLevel="0" collapsed="false">
      <c r="A888" s="78" t="str">
        <f aca="false">IF('CARNET DE SOUDURE'!E888="","",'CARNET DE SOUDURE'!A888)</f>
        <v/>
      </c>
      <c r="B888" s="93" t="str">
        <f aca="false">IF('CARNET DE SOUDURE'!E888="","",'CARNET DE SOUDURE'!B888&amp;"")</f>
        <v/>
      </c>
      <c r="C888" s="83" t="str">
        <f aca="false">IF('CARNET DE SOUDURE'!E888="","",'CARNET DE SOUDURE'!E888)</f>
        <v/>
      </c>
      <c r="D888" s="78" t="str">
        <f aca="false">IF('CARNET DE SOUDURE'!E888="","",'CARNET DE SOUDURE'!D888&amp;"")</f>
        <v/>
      </c>
      <c r="E888" s="96" t="str">
        <f aca="false">IF(OR('CARNET DE SOUDURE'!E888="",'CARNET DE SOUDURE'!R888=""),"",'CARNET DE SOUDURE'!R888)</f>
        <v/>
      </c>
      <c r="F888" s="81" t="str">
        <f aca="false">IF('CARNET DE SOUDURE'!E888="","",'CARNET DE SOUDURE'!AL888)</f>
        <v/>
      </c>
      <c r="G888" s="81" t="str">
        <f aca="false">IF('CARNET DE SOUDURE'!E888="","",'CARNET DE SOUDURE'!AM888)</f>
        <v/>
      </c>
      <c r="H888" s="81" t="str">
        <f aca="false">IF(C888="","",IF(G888="ACCEPTÉ","OUI","NON"))</f>
        <v/>
      </c>
      <c r="I888" s="82"/>
      <c r="J888" s="79"/>
      <c r="K888" s="80"/>
      <c r="L888" s="80"/>
      <c r="M888" s="80"/>
      <c r="N888" s="83" t="str">
        <f aca="false">IF(C888="","",IF(I888="",IF(H888="OUI","À ENROBER",IF(G888="À SOUDER","NON SOUDÉ","EN ATTENTE RT")),IF(L888="R","À REPRENDRE",IF(H888&lt;&gt;"OUI","⚠ ENROBÉ AVANT ACCEPTATION RT","ENROBÉ"))))</f>
        <v/>
      </c>
      <c r="O888" s="79"/>
    </row>
    <row r="889" customFormat="false" ht="15" hidden="false" customHeight="false" outlineLevel="0" collapsed="false">
      <c r="A889" s="78" t="str">
        <f aca="false">IF('CARNET DE SOUDURE'!E889="","",'CARNET DE SOUDURE'!A889)</f>
        <v/>
      </c>
      <c r="B889" s="93" t="str">
        <f aca="false">IF('CARNET DE SOUDURE'!E889="","",'CARNET DE SOUDURE'!B889&amp;"")</f>
        <v/>
      </c>
      <c r="C889" s="83" t="str">
        <f aca="false">IF('CARNET DE SOUDURE'!E889="","",'CARNET DE SOUDURE'!E889)</f>
        <v/>
      </c>
      <c r="D889" s="78" t="str">
        <f aca="false">IF('CARNET DE SOUDURE'!E889="","",'CARNET DE SOUDURE'!D889&amp;"")</f>
        <v/>
      </c>
      <c r="E889" s="96" t="str">
        <f aca="false">IF(OR('CARNET DE SOUDURE'!E889="",'CARNET DE SOUDURE'!R889=""),"",'CARNET DE SOUDURE'!R889)</f>
        <v/>
      </c>
      <c r="F889" s="81" t="str">
        <f aca="false">IF('CARNET DE SOUDURE'!E889="","",'CARNET DE SOUDURE'!AL889)</f>
        <v/>
      </c>
      <c r="G889" s="81" t="str">
        <f aca="false">IF('CARNET DE SOUDURE'!E889="","",'CARNET DE SOUDURE'!AM889)</f>
        <v/>
      </c>
      <c r="H889" s="81" t="str">
        <f aca="false">IF(C889="","",IF(G889="ACCEPTÉ","OUI","NON"))</f>
        <v/>
      </c>
      <c r="I889" s="82"/>
      <c r="J889" s="79"/>
      <c r="K889" s="80"/>
      <c r="L889" s="80"/>
      <c r="M889" s="80"/>
      <c r="N889" s="83" t="str">
        <f aca="false">IF(C889="","",IF(I889="",IF(H889="OUI","À ENROBER",IF(G889="À SOUDER","NON SOUDÉ","EN ATTENTE RT")),IF(L889="R","À REPRENDRE",IF(H889&lt;&gt;"OUI","⚠ ENROBÉ AVANT ACCEPTATION RT","ENROBÉ"))))</f>
        <v/>
      </c>
      <c r="O889" s="79"/>
    </row>
    <row r="890" customFormat="false" ht="15" hidden="false" customHeight="false" outlineLevel="0" collapsed="false">
      <c r="A890" s="78" t="str">
        <f aca="false">IF('CARNET DE SOUDURE'!E890="","",'CARNET DE SOUDURE'!A890)</f>
        <v/>
      </c>
      <c r="B890" s="93" t="str">
        <f aca="false">IF('CARNET DE SOUDURE'!E890="","",'CARNET DE SOUDURE'!B890&amp;"")</f>
        <v/>
      </c>
      <c r="C890" s="83" t="str">
        <f aca="false">IF('CARNET DE SOUDURE'!E890="","",'CARNET DE SOUDURE'!E890)</f>
        <v/>
      </c>
      <c r="D890" s="78" t="str">
        <f aca="false">IF('CARNET DE SOUDURE'!E890="","",'CARNET DE SOUDURE'!D890&amp;"")</f>
        <v/>
      </c>
      <c r="E890" s="96" t="str">
        <f aca="false">IF(OR('CARNET DE SOUDURE'!E890="",'CARNET DE SOUDURE'!R890=""),"",'CARNET DE SOUDURE'!R890)</f>
        <v/>
      </c>
      <c r="F890" s="81" t="str">
        <f aca="false">IF('CARNET DE SOUDURE'!E890="","",'CARNET DE SOUDURE'!AL890)</f>
        <v/>
      </c>
      <c r="G890" s="81" t="str">
        <f aca="false">IF('CARNET DE SOUDURE'!E890="","",'CARNET DE SOUDURE'!AM890)</f>
        <v/>
      </c>
      <c r="H890" s="81" t="str">
        <f aca="false">IF(C890="","",IF(G890="ACCEPTÉ","OUI","NON"))</f>
        <v/>
      </c>
      <c r="I890" s="82"/>
      <c r="J890" s="79"/>
      <c r="K890" s="80"/>
      <c r="L890" s="80"/>
      <c r="M890" s="80"/>
      <c r="N890" s="83" t="str">
        <f aca="false">IF(C890="","",IF(I890="",IF(H890="OUI","À ENROBER",IF(G890="À SOUDER","NON SOUDÉ","EN ATTENTE RT")),IF(L890="R","À REPRENDRE",IF(H890&lt;&gt;"OUI","⚠ ENROBÉ AVANT ACCEPTATION RT","ENROBÉ"))))</f>
        <v/>
      </c>
      <c r="O890" s="79"/>
    </row>
    <row r="891" customFormat="false" ht="15" hidden="false" customHeight="false" outlineLevel="0" collapsed="false">
      <c r="A891" s="78" t="str">
        <f aca="false">IF('CARNET DE SOUDURE'!E891="","",'CARNET DE SOUDURE'!A891)</f>
        <v/>
      </c>
      <c r="B891" s="93" t="str">
        <f aca="false">IF('CARNET DE SOUDURE'!E891="","",'CARNET DE SOUDURE'!B891&amp;"")</f>
        <v/>
      </c>
      <c r="C891" s="83" t="str">
        <f aca="false">IF('CARNET DE SOUDURE'!E891="","",'CARNET DE SOUDURE'!E891)</f>
        <v/>
      </c>
      <c r="D891" s="78" t="str">
        <f aca="false">IF('CARNET DE SOUDURE'!E891="","",'CARNET DE SOUDURE'!D891&amp;"")</f>
        <v/>
      </c>
      <c r="E891" s="96" t="str">
        <f aca="false">IF(OR('CARNET DE SOUDURE'!E891="",'CARNET DE SOUDURE'!R891=""),"",'CARNET DE SOUDURE'!R891)</f>
        <v/>
      </c>
      <c r="F891" s="81" t="str">
        <f aca="false">IF('CARNET DE SOUDURE'!E891="","",'CARNET DE SOUDURE'!AL891)</f>
        <v/>
      </c>
      <c r="G891" s="81" t="str">
        <f aca="false">IF('CARNET DE SOUDURE'!E891="","",'CARNET DE SOUDURE'!AM891)</f>
        <v/>
      </c>
      <c r="H891" s="81" t="str">
        <f aca="false">IF(C891="","",IF(G891="ACCEPTÉ","OUI","NON"))</f>
        <v/>
      </c>
      <c r="I891" s="82"/>
      <c r="J891" s="79"/>
      <c r="K891" s="80"/>
      <c r="L891" s="80"/>
      <c r="M891" s="80"/>
      <c r="N891" s="83" t="str">
        <f aca="false">IF(C891="","",IF(I891="",IF(H891="OUI","À ENROBER",IF(G891="À SOUDER","NON SOUDÉ","EN ATTENTE RT")),IF(L891="R","À REPRENDRE",IF(H891&lt;&gt;"OUI","⚠ ENROBÉ AVANT ACCEPTATION RT","ENROBÉ"))))</f>
        <v/>
      </c>
      <c r="O891" s="79"/>
    </row>
    <row r="892" customFormat="false" ht="15" hidden="false" customHeight="false" outlineLevel="0" collapsed="false">
      <c r="A892" s="78" t="str">
        <f aca="false">IF('CARNET DE SOUDURE'!E892="","",'CARNET DE SOUDURE'!A892)</f>
        <v/>
      </c>
      <c r="B892" s="93" t="str">
        <f aca="false">IF('CARNET DE SOUDURE'!E892="","",'CARNET DE SOUDURE'!B892&amp;"")</f>
        <v/>
      </c>
      <c r="C892" s="83" t="str">
        <f aca="false">IF('CARNET DE SOUDURE'!E892="","",'CARNET DE SOUDURE'!E892)</f>
        <v/>
      </c>
      <c r="D892" s="78" t="str">
        <f aca="false">IF('CARNET DE SOUDURE'!E892="","",'CARNET DE SOUDURE'!D892&amp;"")</f>
        <v/>
      </c>
      <c r="E892" s="96" t="str">
        <f aca="false">IF(OR('CARNET DE SOUDURE'!E892="",'CARNET DE SOUDURE'!R892=""),"",'CARNET DE SOUDURE'!R892)</f>
        <v/>
      </c>
      <c r="F892" s="81" t="str">
        <f aca="false">IF('CARNET DE SOUDURE'!E892="","",'CARNET DE SOUDURE'!AL892)</f>
        <v/>
      </c>
      <c r="G892" s="81" t="str">
        <f aca="false">IF('CARNET DE SOUDURE'!E892="","",'CARNET DE SOUDURE'!AM892)</f>
        <v/>
      </c>
      <c r="H892" s="81" t="str">
        <f aca="false">IF(C892="","",IF(G892="ACCEPTÉ","OUI","NON"))</f>
        <v/>
      </c>
      <c r="I892" s="82"/>
      <c r="J892" s="79"/>
      <c r="K892" s="80"/>
      <c r="L892" s="80"/>
      <c r="M892" s="80"/>
      <c r="N892" s="83" t="str">
        <f aca="false">IF(C892="","",IF(I892="",IF(H892="OUI","À ENROBER",IF(G892="À SOUDER","NON SOUDÉ","EN ATTENTE RT")),IF(L892="R","À REPRENDRE",IF(H892&lt;&gt;"OUI","⚠ ENROBÉ AVANT ACCEPTATION RT","ENROBÉ"))))</f>
        <v/>
      </c>
      <c r="O892" s="79"/>
    </row>
    <row r="893" customFormat="false" ht="15" hidden="false" customHeight="false" outlineLevel="0" collapsed="false">
      <c r="A893" s="78" t="str">
        <f aca="false">IF('CARNET DE SOUDURE'!E893="","",'CARNET DE SOUDURE'!A893)</f>
        <v/>
      </c>
      <c r="B893" s="93" t="str">
        <f aca="false">IF('CARNET DE SOUDURE'!E893="","",'CARNET DE SOUDURE'!B893&amp;"")</f>
        <v/>
      </c>
      <c r="C893" s="83" t="str">
        <f aca="false">IF('CARNET DE SOUDURE'!E893="","",'CARNET DE SOUDURE'!E893)</f>
        <v/>
      </c>
      <c r="D893" s="78" t="str">
        <f aca="false">IF('CARNET DE SOUDURE'!E893="","",'CARNET DE SOUDURE'!D893&amp;"")</f>
        <v/>
      </c>
      <c r="E893" s="96" t="str">
        <f aca="false">IF(OR('CARNET DE SOUDURE'!E893="",'CARNET DE SOUDURE'!R893=""),"",'CARNET DE SOUDURE'!R893)</f>
        <v/>
      </c>
      <c r="F893" s="81" t="str">
        <f aca="false">IF('CARNET DE SOUDURE'!E893="","",'CARNET DE SOUDURE'!AL893)</f>
        <v/>
      </c>
      <c r="G893" s="81" t="str">
        <f aca="false">IF('CARNET DE SOUDURE'!E893="","",'CARNET DE SOUDURE'!AM893)</f>
        <v/>
      </c>
      <c r="H893" s="81" t="str">
        <f aca="false">IF(C893="","",IF(G893="ACCEPTÉ","OUI","NON"))</f>
        <v/>
      </c>
      <c r="I893" s="82"/>
      <c r="J893" s="79"/>
      <c r="K893" s="80"/>
      <c r="L893" s="80"/>
      <c r="M893" s="80"/>
      <c r="N893" s="83" t="str">
        <f aca="false">IF(C893="","",IF(I893="",IF(H893="OUI","À ENROBER",IF(G893="À SOUDER","NON SOUDÉ","EN ATTENTE RT")),IF(L893="R","À REPRENDRE",IF(H893&lt;&gt;"OUI","⚠ ENROBÉ AVANT ACCEPTATION RT","ENROBÉ"))))</f>
        <v/>
      </c>
      <c r="O893" s="79"/>
    </row>
    <row r="894" customFormat="false" ht="15" hidden="false" customHeight="false" outlineLevel="0" collapsed="false">
      <c r="A894" s="78" t="str">
        <f aca="false">IF('CARNET DE SOUDURE'!E894="","",'CARNET DE SOUDURE'!A894)</f>
        <v/>
      </c>
      <c r="B894" s="93" t="str">
        <f aca="false">IF('CARNET DE SOUDURE'!E894="","",'CARNET DE SOUDURE'!B894&amp;"")</f>
        <v/>
      </c>
      <c r="C894" s="83" t="str">
        <f aca="false">IF('CARNET DE SOUDURE'!E894="","",'CARNET DE SOUDURE'!E894)</f>
        <v/>
      </c>
      <c r="D894" s="78" t="str">
        <f aca="false">IF('CARNET DE SOUDURE'!E894="","",'CARNET DE SOUDURE'!D894&amp;"")</f>
        <v/>
      </c>
      <c r="E894" s="96" t="str">
        <f aca="false">IF(OR('CARNET DE SOUDURE'!E894="",'CARNET DE SOUDURE'!R894=""),"",'CARNET DE SOUDURE'!R894)</f>
        <v/>
      </c>
      <c r="F894" s="81" t="str">
        <f aca="false">IF('CARNET DE SOUDURE'!E894="","",'CARNET DE SOUDURE'!AL894)</f>
        <v/>
      </c>
      <c r="G894" s="81" t="str">
        <f aca="false">IF('CARNET DE SOUDURE'!E894="","",'CARNET DE SOUDURE'!AM894)</f>
        <v/>
      </c>
      <c r="H894" s="81" t="str">
        <f aca="false">IF(C894="","",IF(G894="ACCEPTÉ","OUI","NON"))</f>
        <v/>
      </c>
      <c r="I894" s="82"/>
      <c r="J894" s="79"/>
      <c r="K894" s="80"/>
      <c r="L894" s="80"/>
      <c r="M894" s="80"/>
      <c r="N894" s="83" t="str">
        <f aca="false">IF(C894="","",IF(I894="",IF(H894="OUI","À ENROBER",IF(G894="À SOUDER","NON SOUDÉ","EN ATTENTE RT")),IF(L894="R","À REPRENDRE",IF(H894&lt;&gt;"OUI","⚠ ENROBÉ AVANT ACCEPTATION RT","ENROBÉ"))))</f>
        <v/>
      </c>
      <c r="O894" s="79"/>
    </row>
    <row r="895" customFormat="false" ht="15" hidden="false" customHeight="false" outlineLevel="0" collapsed="false">
      <c r="A895" s="78" t="str">
        <f aca="false">IF('CARNET DE SOUDURE'!E895="","",'CARNET DE SOUDURE'!A895)</f>
        <v/>
      </c>
      <c r="B895" s="93" t="str">
        <f aca="false">IF('CARNET DE SOUDURE'!E895="","",'CARNET DE SOUDURE'!B895&amp;"")</f>
        <v/>
      </c>
      <c r="C895" s="83" t="str">
        <f aca="false">IF('CARNET DE SOUDURE'!E895="","",'CARNET DE SOUDURE'!E895)</f>
        <v/>
      </c>
      <c r="D895" s="78" t="str">
        <f aca="false">IF('CARNET DE SOUDURE'!E895="","",'CARNET DE SOUDURE'!D895&amp;"")</f>
        <v/>
      </c>
      <c r="E895" s="96" t="str">
        <f aca="false">IF(OR('CARNET DE SOUDURE'!E895="",'CARNET DE SOUDURE'!R895=""),"",'CARNET DE SOUDURE'!R895)</f>
        <v/>
      </c>
      <c r="F895" s="81" t="str">
        <f aca="false">IF('CARNET DE SOUDURE'!E895="","",'CARNET DE SOUDURE'!AL895)</f>
        <v/>
      </c>
      <c r="G895" s="81" t="str">
        <f aca="false">IF('CARNET DE SOUDURE'!E895="","",'CARNET DE SOUDURE'!AM895)</f>
        <v/>
      </c>
      <c r="H895" s="81" t="str">
        <f aca="false">IF(C895="","",IF(G895="ACCEPTÉ","OUI","NON"))</f>
        <v/>
      </c>
      <c r="I895" s="82"/>
      <c r="J895" s="79"/>
      <c r="K895" s="80"/>
      <c r="L895" s="80"/>
      <c r="M895" s="80"/>
      <c r="N895" s="83" t="str">
        <f aca="false">IF(C895="","",IF(I895="",IF(H895="OUI","À ENROBER",IF(G895="À SOUDER","NON SOUDÉ","EN ATTENTE RT")),IF(L895="R","À REPRENDRE",IF(H895&lt;&gt;"OUI","⚠ ENROBÉ AVANT ACCEPTATION RT","ENROBÉ"))))</f>
        <v/>
      </c>
      <c r="O895" s="79"/>
    </row>
    <row r="896" customFormat="false" ht="15" hidden="false" customHeight="false" outlineLevel="0" collapsed="false">
      <c r="A896" s="78" t="str">
        <f aca="false">IF('CARNET DE SOUDURE'!E896="","",'CARNET DE SOUDURE'!A896)</f>
        <v/>
      </c>
      <c r="B896" s="93" t="str">
        <f aca="false">IF('CARNET DE SOUDURE'!E896="","",'CARNET DE SOUDURE'!B896&amp;"")</f>
        <v/>
      </c>
      <c r="C896" s="83" t="str">
        <f aca="false">IF('CARNET DE SOUDURE'!E896="","",'CARNET DE SOUDURE'!E896)</f>
        <v/>
      </c>
      <c r="D896" s="78" t="str">
        <f aca="false">IF('CARNET DE SOUDURE'!E896="","",'CARNET DE SOUDURE'!D896&amp;"")</f>
        <v/>
      </c>
      <c r="E896" s="96" t="str">
        <f aca="false">IF(OR('CARNET DE SOUDURE'!E896="",'CARNET DE SOUDURE'!R896=""),"",'CARNET DE SOUDURE'!R896)</f>
        <v/>
      </c>
      <c r="F896" s="81" t="str">
        <f aca="false">IF('CARNET DE SOUDURE'!E896="","",'CARNET DE SOUDURE'!AL896)</f>
        <v/>
      </c>
      <c r="G896" s="81" t="str">
        <f aca="false">IF('CARNET DE SOUDURE'!E896="","",'CARNET DE SOUDURE'!AM896)</f>
        <v/>
      </c>
      <c r="H896" s="81" t="str">
        <f aca="false">IF(C896="","",IF(G896="ACCEPTÉ","OUI","NON"))</f>
        <v/>
      </c>
      <c r="I896" s="82"/>
      <c r="J896" s="79"/>
      <c r="K896" s="80"/>
      <c r="L896" s="80"/>
      <c r="M896" s="80"/>
      <c r="N896" s="83" t="str">
        <f aca="false">IF(C896="","",IF(I896="",IF(H896="OUI","À ENROBER",IF(G896="À SOUDER","NON SOUDÉ","EN ATTENTE RT")),IF(L896="R","À REPRENDRE",IF(H896&lt;&gt;"OUI","⚠ ENROBÉ AVANT ACCEPTATION RT","ENROBÉ"))))</f>
        <v/>
      </c>
      <c r="O896" s="79"/>
    </row>
    <row r="897" customFormat="false" ht="15" hidden="false" customHeight="false" outlineLevel="0" collapsed="false">
      <c r="A897" s="78" t="str">
        <f aca="false">IF('CARNET DE SOUDURE'!E897="","",'CARNET DE SOUDURE'!A897)</f>
        <v/>
      </c>
      <c r="B897" s="93" t="str">
        <f aca="false">IF('CARNET DE SOUDURE'!E897="","",'CARNET DE SOUDURE'!B897&amp;"")</f>
        <v/>
      </c>
      <c r="C897" s="83" t="str">
        <f aca="false">IF('CARNET DE SOUDURE'!E897="","",'CARNET DE SOUDURE'!E897)</f>
        <v/>
      </c>
      <c r="D897" s="78" t="str">
        <f aca="false">IF('CARNET DE SOUDURE'!E897="","",'CARNET DE SOUDURE'!D897&amp;"")</f>
        <v/>
      </c>
      <c r="E897" s="96" t="str">
        <f aca="false">IF(OR('CARNET DE SOUDURE'!E897="",'CARNET DE SOUDURE'!R897=""),"",'CARNET DE SOUDURE'!R897)</f>
        <v/>
      </c>
      <c r="F897" s="81" t="str">
        <f aca="false">IF('CARNET DE SOUDURE'!E897="","",'CARNET DE SOUDURE'!AL897)</f>
        <v/>
      </c>
      <c r="G897" s="81" t="str">
        <f aca="false">IF('CARNET DE SOUDURE'!E897="","",'CARNET DE SOUDURE'!AM897)</f>
        <v/>
      </c>
      <c r="H897" s="81" t="str">
        <f aca="false">IF(C897="","",IF(G897="ACCEPTÉ","OUI","NON"))</f>
        <v/>
      </c>
      <c r="I897" s="82"/>
      <c r="J897" s="79"/>
      <c r="K897" s="80"/>
      <c r="L897" s="80"/>
      <c r="M897" s="80"/>
      <c r="N897" s="83" t="str">
        <f aca="false">IF(C897="","",IF(I897="",IF(H897="OUI","À ENROBER",IF(G897="À SOUDER","NON SOUDÉ","EN ATTENTE RT")),IF(L897="R","À REPRENDRE",IF(H897&lt;&gt;"OUI","⚠ ENROBÉ AVANT ACCEPTATION RT","ENROBÉ"))))</f>
        <v/>
      </c>
      <c r="O897" s="79"/>
    </row>
    <row r="898" customFormat="false" ht="15" hidden="false" customHeight="false" outlineLevel="0" collapsed="false">
      <c r="A898" s="78" t="str">
        <f aca="false">IF('CARNET DE SOUDURE'!E898="","",'CARNET DE SOUDURE'!A898)</f>
        <v/>
      </c>
      <c r="B898" s="93" t="str">
        <f aca="false">IF('CARNET DE SOUDURE'!E898="","",'CARNET DE SOUDURE'!B898&amp;"")</f>
        <v/>
      </c>
      <c r="C898" s="83" t="str">
        <f aca="false">IF('CARNET DE SOUDURE'!E898="","",'CARNET DE SOUDURE'!E898)</f>
        <v/>
      </c>
      <c r="D898" s="78" t="str">
        <f aca="false">IF('CARNET DE SOUDURE'!E898="","",'CARNET DE SOUDURE'!D898&amp;"")</f>
        <v/>
      </c>
      <c r="E898" s="96" t="str">
        <f aca="false">IF(OR('CARNET DE SOUDURE'!E898="",'CARNET DE SOUDURE'!R898=""),"",'CARNET DE SOUDURE'!R898)</f>
        <v/>
      </c>
      <c r="F898" s="81" t="str">
        <f aca="false">IF('CARNET DE SOUDURE'!E898="","",'CARNET DE SOUDURE'!AL898)</f>
        <v/>
      </c>
      <c r="G898" s="81" t="str">
        <f aca="false">IF('CARNET DE SOUDURE'!E898="","",'CARNET DE SOUDURE'!AM898)</f>
        <v/>
      </c>
      <c r="H898" s="81" t="str">
        <f aca="false">IF(C898="","",IF(G898="ACCEPTÉ","OUI","NON"))</f>
        <v/>
      </c>
      <c r="I898" s="82"/>
      <c r="J898" s="79"/>
      <c r="K898" s="80"/>
      <c r="L898" s="80"/>
      <c r="M898" s="80"/>
      <c r="N898" s="83" t="str">
        <f aca="false">IF(C898="","",IF(I898="",IF(H898="OUI","À ENROBER",IF(G898="À SOUDER","NON SOUDÉ","EN ATTENTE RT")),IF(L898="R","À REPRENDRE",IF(H898&lt;&gt;"OUI","⚠ ENROBÉ AVANT ACCEPTATION RT","ENROBÉ"))))</f>
        <v/>
      </c>
      <c r="O898" s="79"/>
    </row>
    <row r="899" customFormat="false" ht="15" hidden="false" customHeight="false" outlineLevel="0" collapsed="false">
      <c r="A899" s="78" t="str">
        <f aca="false">IF('CARNET DE SOUDURE'!E899="","",'CARNET DE SOUDURE'!A899)</f>
        <v/>
      </c>
      <c r="B899" s="93" t="str">
        <f aca="false">IF('CARNET DE SOUDURE'!E899="","",'CARNET DE SOUDURE'!B899&amp;"")</f>
        <v/>
      </c>
      <c r="C899" s="83" t="str">
        <f aca="false">IF('CARNET DE SOUDURE'!E899="","",'CARNET DE SOUDURE'!E899)</f>
        <v/>
      </c>
      <c r="D899" s="78" t="str">
        <f aca="false">IF('CARNET DE SOUDURE'!E899="","",'CARNET DE SOUDURE'!D899&amp;"")</f>
        <v/>
      </c>
      <c r="E899" s="96" t="str">
        <f aca="false">IF(OR('CARNET DE SOUDURE'!E899="",'CARNET DE SOUDURE'!R899=""),"",'CARNET DE SOUDURE'!R899)</f>
        <v/>
      </c>
      <c r="F899" s="81" t="str">
        <f aca="false">IF('CARNET DE SOUDURE'!E899="","",'CARNET DE SOUDURE'!AL899)</f>
        <v/>
      </c>
      <c r="G899" s="81" t="str">
        <f aca="false">IF('CARNET DE SOUDURE'!E899="","",'CARNET DE SOUDURE'!AM899)</f>
        <v/>
      </c>
      <c r="H899" s="81" t="str">
        <f aca="false">IF(C899="","",IF(G899="ACCEPTÉ","OUI","NON"))</f>
        <v/>
      </c>
      <c r="I899" s="82"/>
      <c r="J899" s="79"/>
      <c r="K899" s="80"/>
      <c r="L899" s="80"/>
      <c r="M899" s="80"/>
      <c r="N899" s="83" t="str">
        <f aca="false">IF(C899="","",IF(I899="",IF(H899="OUI","À ENROBER",IF(G899="À SOUDER","NON SOUDÉ","EN ATTENTE RT")),IF(L899="R","À REPRENDRE",IF(H899&lt;&gt;"OUI","⚠ ENROBÉ AVANT ACCEPTATION RT","ENROBÉ"))))</f>
        <v/>
      </c>
      <c r="O899" s="79"/>
    </row>
    <row r="900" customFormat="false" ht="15" hidden="false" customHeight="false" outlineLevel="0" collapsed="false">
      <c r="A900" s="78" t="str">
        <f aca="false">IF('CARNET DE SOUDURE'!E900="","",'CARNET DE SOUDURE'!A900)</f>
        <v/>
      </c>
      <c r="B900" s="93" t="str">
        <f aca="false">IF('CARNET DE SOUDURE'!E900="","",'CARNET DE SOUDURE'!B900&amp;"")</f>
        <v/>
      </c>
      <c r="C900" s="83" t="str">
        <f aca="false">IF('CARNET DE SOUDURE'!E900="","",'CARNET DE SOUDURE'!E900)</f>
        <v/>
      </c>
      <c r="D900" s="78" t="str">
        <f aca="false">IF('CARNET DE SOUDURE'!E900="","",'CARNET DE SOUDURE'!D900&amp;"")</f>
        <v/>
      </c>
      <c r="E900" s="96" t="str">
        <f aca="false">IF(OR('CARNET DE SOUDURE'!E900="",'CARNET DE SOUDURE'!R900=""),"",'CARNET DE SOUDURE'!R900)</f>
        <v/>
      </c>
      <c r="F900" s="81" t="str">
        <f aca="false">IF('CARNET DE SOUDURE'!E900="","",'CARNET DE SOUDURE'!AL900)</f>
        <v/>
      </c>
      <c r="G900" s="81" t="str">
        <f aca="false">IF('CARNET DE SOUDURE'!E900="","",'CARNET DE SOUDURE'!AM900)</f>
        <v/>
      </c>
      <c r="H900" s="81" t="str">
        <f aca="false">IF(C900="","",IF(G900="ACCEPTÉ","OUI","NON"))</f>
        <v/>
      </c>
      <c r="I900" s="82"/>
      <c r="J900" s="79"/>
      <c r="K900" s="80"/>
      <c r="L900" s="80"/>
      <c r="M900" s="80"/>
      <c r="N900" s="83" t="str">
        <f aca="false">IF(C900="","",IF(I900="",IF(H900="OUI","À ENROBER",IF(G900="À SOUDER","NON SOUDÉ","EN ATTENTE RT")),IF(L900="R","À REPRENDRE",IF(H900&lt;&gt;"OUI","⚠ ENROBÉ AVANT ACCEPTATION RT","ENROBÉ"))))</f>
        <v/>
      </c>
      <c r="O900" s="79"/>
    </row>
    <row r="901" customFormat="false" ht="15" hidden="false" customHeight="false" outlineLevel="0" collapsed="false">
      <c r="A901" s="78" t="str">
        <f aca="false">IF('CARNET DE SOUDURE'!E901="","",'CARNET DE SOUDURE'!A901)</f>
        <v/>
      </c>
      <c r="B901" s="93" t="str">
        <f aca="false">IF('CARNET DE SOUDURE'!E901="","",'CARNET DE SOUDURE'!B901&amp;"")</f>
        <v/>
      </c>
      <c r="C901" s="83" t="str">
        <f aca="false">IF('CARNET DE SOUDURE'!E901="","",'CARNET DE SOUDURE'!E901)</f>
        <v/>
      </c>
      <c r="D901" s="78" t="str">
        <f aca="false">IF('CARNET DE SOUDURE'!E901="","",'CARNET DE SOUDURE'!D901&amp;"")</f>
        <v/>
      </c>
      <c r="E901" s="96" t="str">
        <f aca="false">IF(OR('CARNET DE SOUDURE'!E901="",'CARNET DE SOUDURE'!R901=""),"",'CARNET DE SOUDURE'!R901)</f>
        <v/>
      </c>
      <c r="F901" s="81" t="str">
        <f aca="false">IF('CARNET DE SOUDURE'!E901="","",'CARNET DE SOUDURE'!AL901)</f>
        <v/>
      </c>
      <c r="G901" s="81" t="str">
        <f aca="false">IF('CARNET DE SOUDURE'!E901="","",'CARNET DE SOUDURE'!AM901)</f>
        <v/>
      </c>
      <c r="H901" s="81" t="str">
        <f aca="false">IF(C901="","",IF(G901="ACCEPTÉ","OUI","NON"))</f>
        <v/>
      </c>
      <c r="I901" s="82"/>
      <c r="J901" s="79"/>
      <c r="K901" s="80"/>
      <c r="L901" s="80"/>
      <c r="M901" s="80"/>
      <c r="N901" s="83" t="str">
        <f aca="false">IF(C901="","",IF(I901="",IF(H901="OUI","À ENROBER",IF(G901="À SOUDER","NON SOUDÉ","EN ATTENTE RT")),IF(L901="R","À REPRENDRE",IF(H901&lt;&gt;"OUI","⚠ ENROBÉ AVANT ACCEPTATION RT","ENROBÉ"))))</f>
        <v/>
      </c>
      <c r="O901" s="79"/>
    </row>
    <row r="902" customFormat="false" ht="15" hidden="false" customHeight="false" outlineLevel="0" collapsed="false">
      <c r="A902" s="78" t="str">
        <f aca="false">IF('CARNET DE SOUDURE'!E902="","",'CARNET DE SOUDURE'!A902)</f>
        <v/>
      </c>
      <c r="B902" s="93" t="str">
        <f aca="false">IF('CARNET DE SOUDURE'!E902="","",'CARNET DE SOUDURE'!B902&amp;"")</f>
        <v/>
      </c>
      <c r="C902" s="83" t="str">
        <f aca="false">IF('CARNET DE SOUDURE'!E902="","",'CARNET DE SOUDURE'!E902)</f>
        <v/>
      </c>
      <c r="D902" s="78" t="str">
        <f aca="false">IF('CARNET DE SOUDURE'!E902="","",'CARNET DE SOUDURE'!D902&amp;"")</f>
        <v/>
      </c>
      <c r="E902" s="96" t="str">
        <f aca="false">IF(OR('CARNET DE SOUDURE'!E902="",'CARNET DE SOUDURE'!R902=""),"",'CARNET DE SOUDURE'!R902)</f>
        <v/>
      </c>
      <c r="F902" s="81" t="str">
        <f aca="false">IF('CARNET DE SOUDURE'!E902="","",'CARNET DE SOUDURE'!AL902)</f>
        <v/>
      </c>
      <c r="G902" s="81" t="str">
        <f aca="false">IF('CARNET DE SOUDURE'!E902="","",'CARNET DE SOUDURE'!AM902)</f>
        <v/>
      </c>
      <c r="H902" s="81" t="str">
        <f aca="false">IF(C902="","",IF(G902="ACCEPTÉ","OUI","NON"))</f>
        <v/>
      </c>
      <c r="I902" s="82"/>
      <c r="J902" s="79"/>
      <c r="K902" s="80"/>
      <c r="L902" s="80"/>
      <c r="M902" s="80"/>
      <c r="N902" s="83" t="str">
        <f aca="false">IF(C902="","",IF(I902="",IF(H902="OUI","À ENROBER",IF(G902="À SOUDER","NON SOUDÉ","EN ATTENTE RT")),IF(L902="R","À REPRENDRE",IF(H902&lt;&gt;"OUI","⚠ ENROBÉ AVANT ACCEPTATION RT","ENROBÉ"))))</f>
        <v/>
      </c>
      <c r="O902" s="79"/>
    </row>
    <row r="903" customFormat="false" ht="15" hidden="false" customHeight="false" outlineLevel="0" collapsed="false">
      <c r="A903" s="78" t="str">
        <f aca="false">IF('CARNET DE SOUDURE'!E903="","",'CARNET DE SOUDURE'!A903)</f>
        <v/>
      </c>
      <c r="B903" s="93" t="str">
        <f aca="false">IF('CARNET DE SOUDURE'!E903="","",'CARNET DE SOUDURE'!B903&amp;"")</f>
        <v/>
      </c>
      <c r="C903" s="83" t="str">
        <f aca="false">IF('CARNET DE SOUDURE'!E903="","",'CARNET DE SOUDURE'!E903)</f>
        <v/>
      </c>
      <c r="D903" s="78" t="str">
        <f aca="false">IF('CARNET DE SOUDURE'!E903="","",'CARNET DE SOUDURE'!D903&amp;"")</f>
        <v/>
      </c>
      <c r="E903" s="96" t="str">
        <f aca="false">IF(OR('CARNET DE SOUDURE'!E903="",'CARNET DE SOUDURE'!R903=""),"",'CARNET DE SOUDURE'!R903)</f>
        <v/>
      </c>
      <c r="F903" s="81" t="str">
        <f aca="false">IF('CARNET DE SOUDURE'!E903="","",'CARNET DE SOUDURE'!AL903)</f>
        <v/>
      </c>
      <c r="G903" s="81" t="str">
        <f aca="false">IF('CARNET DE SOUDURE'!E903="","",'CARNET DE SOUDURE'!AM903)</f>
        <v/>
      </c>
      <c r="H903" s="81" t="str">
        <f aca="false">IF(C903="","",IF(G903="ACCEPTÉ","OUI","NON"))</f>
        <v/>
      </c>
      <c r="I903" s="82"/>
      <c r="J903" s="79"/>
      <c r="K903" s="80"/>
      <c r="L903" s="80"/>
      <c r="M903" s="80"/>
      <c r="N903" s="83" t="str">
        <f aca="false">IF(C903="","",IF(I903="",IF(H903="OUI","À ENROBER",IF(G903="À SOUDER","NON SOUDÉ","EN ATTENTE RT")),IF(L903="R","À REPRENDRE",IF(H903&lt;&gt;"OUI","⚠ ENROBÉ AVANT ACCEPTATION RT","ENROBÉ"))))</f>
        <v/>
      </c>
      <c r="O903" s="79"/>
    </row>
    <row r="904" customFormat="false" ht="15" hidden="false" customHeight="false" outlineLevel="0" collapsed="false">
      <c r="A904" s="78" t="str">
        <f aca="false">IF('CARNET DE SOUDURE'!E904="","",'CARNET DE SOUDURE'!A904)</f>
        <v/>
      </c>
      <c r="B904" s="93" t="str">
        <f aca="false">IF('CARNET DE SOUDURE'!E904="","",'CARNET DE SOUDURE'!B904&amp;"")</f>
        <v/>
      </c>
      <c r="C904" s="83" t="str">
        <f aca="false">IF('CARNET DE SOUDURE'!E904="","",'CARNET DE SOUDURE'!E904)</f>
        <v/>
      </c>
      <c r="D904" s="78" t="str">
        <f aca="false">IF('CARNET DE SOUDURE'!E904="","",'CARNET DE SOUDURE'!D904&amp;"")</f>
        <v/>
      </c>
      <c r="E904" s="96" t="str">
        <f aca="false">IF(OR('CARNET DE SOUDURE'!E904="",'CARNET DE SOUDURE'!R904=""),"",'CARNET DE SOUDURE'!R904)</f>
        <v/>
      </c>
      <c r="F904" s="81" t="str">
        <f aca="false">IF('CARNET DE SOUDURE'!E904="","",'CARNET DE SOUDURE'!AL904)</f>
        <v/>
      </c>
      <c r="G904" s="81" t="str">
        <f aca="false">IF('CARNET DE SOUDURE'!E904="","",'CARNET DE SOUDURE'!AM904)</f>
        <v/>
      </c>
      <c r="H904" s="81" t="str">
        <f aca="false">IF(C904="","",IF(G904="ACCEPTÉ","OUI","NON"))</f>
        <v/>
      </c>
      <c r="I904" s="82"/>
      <c r="J904" s="79"/>
      <c r="K904" s="80"/>
      <c r="L904" s="80"/>
      <c r="M904" s="80"/>
      <c r="N904" s="83" t="str">
        <f aca="false">IF(C904="","",IF(I904="",IF(H904="OUI","À ENROBER",IF(G904="À SOUDER","NON SOUDÉ","EN ATTENTE RT")),IF(L904="R","À REPRENDRE",IF(H904&lt;&gt;"OUI","⚠ ENROBÉ AVANT ACCEPTATION RT","ENROBÉ"))))</f>
        <v/>
      </c>
      <c r="O904" s="79"/>
    </row>
    <row r="905" customFormat="false" ht="15" hidden="false" customHeight="false" outlineLevel="0" collapsed="false">
      <c r="A905" s="78" t="str">
        <f aca="false">IF('CARNET DE SOUDURE'!E905="","",'CARNET DE SOUDURE'!A905)</f>
        <v/>
      </c>
      <c r="B905" s="93" t="str">
        <f aca="false">IF('CARNET DE SOUDURE'!E905="","",'CARNET DE SOUDURE'!B905&amp;"")</f>
        <v/>
      </c>
      <c r="C905" s="83" t="str">
        <f aca="false">IF('CARNET DE SOUDURE'!E905="","",'CARNET DE SOUDURE'!E905)</f>
        <v/>
      </c>
      <c r="D905" s="78" t="str">
        <f aca="false">IF('CARNET DE SOUDURE'!E905="","",'CARNET DE SOUDURE'!D905&amp;"")</f>
        <v/>
      </c>
      <c r="E905" s="96" t="str">
        <f aca="false">IF(OR('CARNET DE SOUDURE'!E905="",'CARNET DE SOUDURE'!R905=""),"",'CARNET DE SOUDURE'!R905)</f>
        <v/>
      </c>
      <c r="F905" s="81" t="str">
        <f aca="false">IF('CARNET DE SOUDURE'!E905="","",'CARNET DE SOUDURE'!AL905)</f>
        <v/>
      </c>
      <c r="G905" s="81" t="str">
        <f aca="false">IF('CARNET DE SOUDURE'!E905="","",'CARNET DE SOUDURE'!AM905)</f>
        <v/>
      </c>
      <c r="H905" s="81" t="str">
        <f aca="false">IF(C905="","",IF(G905="ACCEPTÉ","OUI","NON"))</f>
        <v/>
      </c>
      <c r="I905" s="82"/>
      <c r="J905" s="79"/>
      <c r="K905" s="80"/>
      <c r="L905" s="80"/>
      <c r="M905" s="80"/>
      <c r="N905" s="83" t="str">
        <f aca="false">IF(C905="","",IF(I905="",IF(H905="OUI","À ENROBER",IF(G905="À SOUDER","NON SOUDÉ","EN ATTENTE RT")),IF(L905="R","À REPRENDRE",IF(H905&lt;&gt;"OUI","⚠ ENROBÉ AVANT ACCEPTATION RT","ENROBÉ"))))</f>
        <v/>
      </c>
      <c r="O905" s="79"/>
    </row>
    <row r="906" customFormat="false" ht="15" hidden="false" customHeight="false" outlineLevel="0" collapsed="false">
      <c r="A906" s="78" t="str">
        <f aca="false">IF('CARNET DE SOUDURE'!E906="","",'CARNET DE SOUDURE'!A906)</f>
        <v/>
      </c>
      <c r="B906" s="93" t="str">
        <f aca="false">IF('CARNET DE SOUDURE'!E906="","",'CARNET DE SOUDURE'!B906&amp;"")</f>
        <v/>
      </c>
      <c r="C906" s="83" t="str">
        <f aca="false">IF('CARNET DE SOUDURE'!E906="","",'CARNET DE SOUDURE'!E906)</f>
        <v/>
      </c>
      <c r="D906" s="78" t="str">
        <f aca="false">IF('CARNET DE SOUDURE'!E906="","",'CARNET DE SOUDURE'!D906&amp;"")</f>
        <v/>
      </c>
      <c r="E906" s="96" t="str">
        <f aca="false">IF(OR('CARNET DE SOUDURE'!E906="",'CARNET DE SOUDURE'!R906=""),"",'CARNET DE SOUDURE'!R906)</f>
        <v/>
      </c>
      <c r="F906" s="81" t="str">
        <f aca="false">IF('CARNET DE SOUDURE'!E906="","",'CARNET DE SOUDURE'!AL906)</f>
        <v/>
      </c>
      <c r="G906" s="81" t="str">
        <f aca="false">IF('CARNET DE SOUDURE'!E906="","",'CARNET DE SOUDURE'!AM906)</f>
        <v/>
      </c>
      <c r="H906" s="81" t="str">
        <f aca="false">IF(C906="","",IF(G906="ACCEPTÉ","OUI","NON"))</f>
        <v/>
      </c>
      <c r="I906" s="82"/>
      <c r="J906" s="79"/>
      <c r="K906" s="80"/>
      <c r="L906" s="80"/>
      <c r="M906" s="80"/>
      <c r="N906" s="83" t="str">
        <f aca="false">IF(C906="","",IF(I906="",IF(H906="OUI","À ENROBER",IF(G906="À SOUDER","NON SOUDÉ","EN ATTENTE RT")),IF(L906="R","À REPRENDRE",IF(H906&lt;&gt;"OUI","⚠ ENROBÉ AVANT ACCEPTATION RT","ENROBÉ"))))</f>
        <v/>
      </c>
      <c r="O906" s="79"/>
    </row>
    <row r="907" customFormat="false" ht="15" hidden="false" customHeight="false" outlineLevel="0" collapsed="false">
      <c r="A907" s="78" t="str">
        <f aca="false">IF('CARNET DE SOUDURE'!E907="","",'CARNET DE SOUDURE'!A907)</f>
        <v/>
      </c>
      <c r="B907" s="93" t="str">
        <f aca="false">IF('CARNET DE SOUDURE'!E907="","",'CARNET DE SOUDURE'!B907&amp;"")</f>
        <v/>
      </c>
      <c r="C907" s="83" t="str">
        <f aca="false">IF('CARNET DE SOUDURE'!E907="","",'CARNET DE SOUDURE'!E907)</f>
        <v/>
      </c>
      <c r="D907" s="78" t="str">
        <f aca="false">IF('CARNET DE SOUDURE'!E907="","",'CARNET DE SOUDURE'!D907&amp;"")</f>
        <v/>
      </c>
      <c r="E907" s="96" t="str">
        <f aca="false">IF(OR('CARNET DE SOUDURE'!E907="",'CARNET DE SOUDURE'!R907=""),"",'CARNET DE SOUDURE'!R907)</f>
        <v/>
      </c>
      <c r="F907" s="81" t="str">
        <f aca="false">IF('CARNET DE SOUDURE'!E907="","",'CARNET DE SOUDURE'!AL907)</f>
        <v/>
      </c>
      <c r="G907" s="81" t="str">
        <f aca="false">IF('CARNET DE SOUDURE'!E907="","",'CARNET DE SOUDURE'!AM907)</f>
        <v/>
      </c>
      <c r="H907" s="81" t="str">
        <f aca="false">IF(C907="","",IF(G907="ACCEPTÉ","OUI","NON"))</f>
        <v/>
      </c>
      <c r="I907" s="82"/>
      <c r="J907" s="79"/>
      <c r="K907" s="80"/>
      <c r="L907" s="80"/>
      <c r="M907" s="80"/>
      <c r="N907" s="83" t="str">
        <f aca="false">IF(C907="","",IF(I907="",IF(H907="OUI","À ENROBER",IF(G907="À SOUDER","NON SOUDÉ","EN ATTENTE RT")),IF(L907="R","À REPRENDRE",IF(H907&lt;&gt;"OUI","⚠ ENROBÉ AVANT ACCEPTATION RT","ENROBÉ"))))</f>
        <v/>
      </c>
      <c r="O907" s="79"/>
    </row>
    <row r="908" customFormat="false" ht="15" hidden="false" customHeight="false" outlineLevel="0" collapsed="false">
      <c r="A908" s="78" t="str">
        <f aca="false">IF('CARNET DE SOUDURE'!E908="","",'CARNET DE SOUDURE'!A908)</f>
        <v/>
      </c>
      <c r="B908" s="93" t="str">
        <f aca="false">IF('CARNET DE SOUDURE'!E908="","",'CARNET DE SOUDURE'!B908&amp;"")</f>
        <v/>
      </c>
      <c r="C908" s="83" t="str">
        <f aca="false">IF('CARNET DE SOUDURE'!E908="","",'CARNET DE SOUDURE'!E908)</f>
        <v/>
      </c>
      <c r="D908" s="78" t="str">
        <f aca="false">IF('CARNET DE SOUDURE'!E908="","",'CARNET DE SOUDURE'!D908&amp;"")</f>
        <v/>
      </c>
      <c r="E908" s="96" t="str">
        <f aca="false">IF(OR('CARNET DE SOUDURE'!E908="",'CARNET DE SOUDURE'!R908=""),"",'CARNET DE SOUDURE'!R908)</f>
        <v/>
      </c>
      <c r="F908" s="81" t="str">
        <f aca="false">IF('CARNET DE SOUDURE'!E908="","",'CARNET DE SOUDURE'!AL908)</f>
        <v/>
      </c>
      <c r="G908" s="81" t="str">
        <f aca="false">IF('CARNET DE SOUDURE'!E908="","",'CARNET DE SOUDURE'!AM908)</f>
        <v/>
      </c>
      <c r="H908" s="81" t="str">
        <f aca="false">IF(C908="","",IF(G908="ACCEPTÉ","OUI","NON"))</f>
        <v/>
      </c>
      <c r="I908" s="82"/>
      <c r="J908" s="79"/>
      <c r="K908" s="80"/>
      <c r="L908" s="80"/>
      <c r="M908" s="80"/>
      <c r="N908" s="83" t="str">
        <f aca="false">IF(C908="","",IF(I908="",IF(H908="OUI","À ENROBER",IF(G908="À SOUDER","NON SOUDÉ","EN ATTENTE RT")),IF(L908="R","À REPRENDRE",IF(H908&lt;&gt;"OUI","⚠ ENROBÉ AVANT ACCEPTATION RT","ENROBÉ"))))</f>
        <v/>
      </c>
      <c r="O908" s="79"/>
    </row>
    <row r="909" customFormat="false" ht="15" hidden="false" customHeight="false" outlineLevel="0" collapsed="false">
      <c r="A909" s="78" t="str">
        <f aca="false">IF('CARNET DE SOUDURE'!E909="","",'CARNET DE SOUDURE'!A909)</f>
        <v/>
      </c>
      <c r="B909" s="93" t="str">
        <f aca="false">IF('CARNET DE SOUDURE'!E909="","",'CARNET DE SOUDURE'!B909&amp;"")</f>
        <v/>
      </c>
      <c r="C909" s="83" t="str">
        <f aca="false">IF('CARNET DE SOUDURE'!E909="","",'CARNET DE SOUDURE'!E909)</f>
        <v/>
      </c>
      <c r="D909" s="78" t="str">
        <f aca="false">IF('CARNET DE SOUDURE'!E909="","",'CARNET DE SOUDURE'!D909&amp;"")</f>
        <v/>
      </c>
      <c r="E909" s="96" t="str">
        <f aca="false">IF(OR('CARNET DE SOUDURE'!E909="",'CARNET DE SOUDURE'!R909=""),"",'CARNET DE SOUDURE'!R909)</f>
        <v/>
      </c>
      <c r="F909" s="81" t="str">
        <f aca="false">IF('CARNET DE SOUDURE'!E909="","",'CARNET DE SOUDURE'!AL909)</f>
        <v/>
      </c>
      <c r="G909" s="81" t="str">
        <f aca="false">IF('CARNET DE SOUDURE'!E909="","",'CARNET DE SOUDURE'!AM909)</f>
        <v/>
      </c>
      <c r="H909" s="81" t="str">
        <f aca="false">IF(C909="","",IF(G909="ACCEPTÉ","OUI","NON"))</f>
        <v/>
      </c>
      <c r="I909" s="82"/>
      <c r="J909" s="79"/>
      <c r="K909" s="80"/>
      <c r="L909" s="80"/>
      <c r="M909" s="80"/>
      <c r="N909" s="83" t="str">
        <f aca="false">IF(C909="","",IF(I909="",IF(H909="OUI","À ENROBER",IF(G909="À SOUDER","NON SOUDÉ","EN ATTENTE RT")),IF(L909="R","À REPRENDRE",IF(H909&lt;&gt;"OUI","⚠ ENROBÉ AVANT ACCEPTATION RT","ENROBÉ"))))</f>
        <v/>
      </c>
      <c r="O909" s="79"/>
    </row>
    <row r="910" customFormat="false" ht="15" hidden="false" customHeight="false" outlineLevel="0" collapsed="false">
      <c r="A910" s="78" t="str">
        <f aca="false">IF('CARNET DE SOUDURE'!E910="","",'CARNET DE SOUDURE'!A910)</f>
        <v/>
      </c>
      <c r="B910" s="93" t="str">
        <f aca="false">IF('CARNET DE SOUDURE'!E910="","",'CARNET DE SOUDURE'!B910&amp;"")</f>
        <v/>
      </c>
      <c r="C910" s="83" t="str">
        <f aca="false">IF('CARNET DE SOUDURE'!E910="","",'CARNET DE SOUDURE'!E910)</f>
        <v/>
      </c>
      <c r="D910" s="78" t="str">
        <f aca="false">IF('CARNET DE SOUDURE'!E910="","",'CARNET DE SOUDURE'!D910&amp;"")</f>
        <v/>
      </c>
      <c r="E910" s="96" t="str">
        <f aca="false">IF(OR('CARNET DE SOUDURE'!E910="",'CARNET DE SOUDURE'!R910=""),"",'CARNET DE SOUDURE'!R910)</f>
        <v/>
      </c>
      <c r="F910" s="81" t="str">
        <f aca="false">IF('CARNET DE SOUDURE'!E910="","",'CARNET DE SOUDURE'!AL910)</f>
        <v/>
      </c>
      <c r="G910" s="81" t="str">
        <f aca="false">IF('CARNET DE SOUDURE'!E910="","",'CARNET DE SOUDURE'!AM910)</f>
        <v/>
      </c>
      <c r="H910" s="81" t="str">
        <f aca="false">IF(C910="","",IF(G910="ACCEPTÉ","OUI","NON"))</f>
        <v/>
      </c>
      <c r="I910" s="82"/>
      <c r="J910" s="79"/>
      <c r="K910" s="80"/>
      <c r="L910" s="80"/>
      <c r="M910" s="80"/>
      <c r="N910" s="83" t="str">
        <f aca="false">IF(C910="","",IF(I910="",IF(H910="OUI","À ENROBER",IF(G910="À SOUDER","NON SOUDÉ","EN ATTENTE RT")),IF(L910="R","À REPRENDRE",IF(H910&lt;&gt;"OUI","⚠ ENROBÉ AVANT ACCEPTATION RT","ENROBÉ"))))</f>
        <v/>
      </c>
      <c r="O910" s="79"/>
    </row>
    <row r="911" customFormat="false" ht="15" hidden="false" customHeight="false" outlineLevel="0" collapsed="false">
      <c r="A911" s="78" t="str">
        <f aca="false">IF('CARNET DE SOUDURE'!E911="","",'CARNET DE SOUDURE'!A911)</f>
        <v/>
      </c>
      <c r="B911" s="93" t="str">
        <f aca="false">IF('CARNET DE SOUDURE'!E911="","",'CARNET DE SOUDURE'!B911&amp;"")</f>
        <v/>
      </c>
      <c r="C911" s="83" t="str">
        <f aca="false">IF('CARNET DE SOUDURE'!E911="","",'CARNET DE SOUDURE'!E911)</f>
        <v/>
      </c>
      <c r="D911" s="78" t="str">
        <f aca="false">IF('CARNET DE SOUDURE'!E911="","",'CARNET DE SOUDURE'!D911&amp;"")</f>
        <v/>
      </c>
      <c r="E911" s="96" t="str">
        <f aca="false">IF(OR('CARNET DE SOUDURE'!E911="",'CARNET DE SOUDURE'!R911=""),"",'CARNET DE SOUDURE'!R911)</f>
        <v/>
      </c>
      <c r="F911" s="81" t="str">
        <f aca="false">IF('CARNET DE SOUDURE'!E911="","",'CARNET DE SOUDURE'!AL911)</f>
        <v/>
      </c>
      <c r="G911" s="81" t="str">
        <f aca="false">IF('CARNET DE SOUDURE'!E911="","",'CARNET DE SOUDURE'!AM911)</f>
        <v/>
      </c>
      <c r="H911" s="81" t="str">
        <f aca="false">IF(C911="","",IF(G911="ACCEPTÉ","OUI","NON"))</f>
        <v/>
      </c>
      <c r="I911" s="82"/>
      <c r="J911" s="79"/>
      <c r="K911" s="80"/>
      <c r="L911" s="80"/>
      <c r="M911" s="80"/>
      <c r="N911" s="83" t="str">
        <f aca="false">IF(C911="","",IF(I911="",IF(H911="OUI","À ENROBER",IF(G911="À SOUDER","NON SOUDÉ","EN ATTENTE RT")),IF(L911="R","À REPRENDRE",IF(H911&lt;&gt;"OUI","⚠ ENROBÉ AVANT ACCEPTATION RT","ENROBÉ"))))</f>
        <v/>
      </c>
      <c r="O911" s="79"/>
    </row>
    <row r="912" customFormat="false" ht="15" hidden="false" customHeight="false" outlineLevel="0" collapsed="false">
      <c r="A912" s="78" t="str">
        <f aca="false">IF('CARNET DE SOUDURE'!E912="","",'CARNET DE SOUDURE'!A912)</f>
        <v/>
      </c>
      <c r="B912" s="93" t="str">
        <f aca="false">IF('CARNET DE SOUDURE'!E912="","",'CARNET DE SOUDURE'!B912&amp;"")</f>
        <v/>
      </c>
      <c r="C912" s="83" t="str">
        <f aca="false">IF('CARNET DE SOUDURE'!E912="","",'CARNET DE SOUDURE'!E912)</f>
        <v/>
      </c>
      <c r="D912" s="78" t="str">
        <f aca="false">IF('CARNET DE SOUDURE'!E912="","",'CARNET DE SOUDURE'!D912&amp;"")</f>
        <v/>
      </c>
      <c r="E912" s="96" t="str">
        <f aca="false">IF(OR('CARNET DE SOUDURE'!E912="",'CARNET DE SOUDURE'!R912=""),"",'CARNET DE SOUDURE'!R912)</f>
        <v/>
      </c>
      <c r="F912" s="81" t="str">
        <f aca="false">IF('CARNET DE SOUDURE'!E912="","",'CARNET DE SOUDURE'!AL912)</f>
        <v/>
      </c>
      <c r="G912" s="81" t="str">
        <f aca="false">IF('CARNET DE SOUDURE'!E912="","",'CARNET DE SOUDURE'!AM912)</f>
        <v/>
      </c>
      <c r="H912" s="81" t="str">
        <f aca="false">IF(C912="","",IF(G912="ACCEPTÉ","OUI","NON"))</f>
        <v/>
      </c>
      <c r="I912" s="82"/>
      <c r="J912" s="79"/>
      <c r="K912" s="80"/>
      <c r="L912" s="80"/>
      <c r="M912" s="80"/>
      <c r="N912" s="83" t="str">
        <f aca="false">IF(C912="","",IF(I912="",IF(H912="OUI","À ENROBER",IF(G912="À SOUDER","NON SOUDÉ","EN ATTENTE RT")),IF(L912="R","À REPRENDRE",IF(H912&lt;&gt;"OUI","⚠ ENROBÉ AVANT ACCEPTATION RT","ENROBÉ"))))</f>
        <v/>
      </c>
      <c r="O912" s="79"/>
    </row>
    <row r="913" customFormat="false" ht="15" hidden="false" customHeight="false" outlineLevel="0" collapsed="false">
      <c r="A913" s="78" t="str">
        <f aca="false">IF('CARNET DE SOUDURE'!E913="","",'CARNET DE SOUDURE'!A913)</f>
        <v/>
      </c>
      <c r="B913" s="93" t="str">
        <f aca="false">IF('CARNET DE SOUDURE'!E913="","",'CARNET DE SOUDURE'!B913&amp;"")</f>
        <v/>
      </c>
      <c r="C913" s="83" t="str">
        <f aca="false">IF('CARNET DE SOUDURE'!E913="","",'CARNET DE SOUDURE'!E913)</f>
        <v/>
      </c>
      <c r="D913" s="78" t="str">
        <f aca="false">IF('CARNET DE SOUDURE'!E913="","",'CARNET DE SOUDURE'!D913&amp;"")</f>
        <v/>
      </c>
      <c r="E913" s="96" t="str">
        <f aca="false">IF(OR('CARNET DE SOUDURE'!E913="",'CARNET DE SOUDURE'!R913=""),"",'CARNET DE SOUDURE'!R913)</f>
        <v/>
      </c>
      <c r="F913" s="81" t="str">
        <f aca="false">IF('CARNET DE SOUDURE'!E913="","",'CARNET DE SOUDURE'!AL913)</f>
        <v/>
      </c>
      <c r="G913" s="81" t="str">
        <f aca="false">IF('CARNET DE SOUDURE'!E913="","",'CARNET DE SOUDURE'!AM913)</f>
        <v/>
      </c>
      <c r="H913" s="81" t="str">
        <f aca="false">IF(C913="","",IF(G913="ACCEPTÉ","OUI","NON"))</f>
        <v/>
      </c>
      <c r="I913" s="82"/>
      <c r="J913" s="79"/>
      <c r="K913" s="80"/>
      <c r="L913" s="80"/>
      <c r="M913" s="80"/>
      <c r="N913" s="83" t="str">
        <f aca="false">IF(C913="","",IF(I913="",IF(H913="OUI","À ENROBER",IF(G913="À SOUDER","NON SOUDÉ","EN ATTENTE RT")),IF(L913="R","À REPRENDRE",IF(H913&lt;&gt;"OUI","⚠ ENROBÉ AVANT ACCEPTATION RT","ENROBÉ"))))</f>
        <v/>
      </c>
      <c r="O913" s="79"/>
    </row>
    <row r="914" customFormat="false" ht="15" hidden="false" customHeight="false" outlineLevel="0" collapsed="false">
      <c r="A914" s="78" t="str">
        <f aca="false">IF('CARNET DE SOUDURE'!E914="","",'CARNET DE SOUDURE'!A914)</f>
        <v/>
      </c>
      <c r="B914" s="93" t="str">
        <f aca="false">IF('CARNET DE SOUDURE'!E914="","",'CARNET DE SOUDURE'!B914&amp;"")</f>
        <v/>
      </c>
      <c r="C914" s="83" t="str">
        <f aca="false">IF('CARNET DE SOUDURE'!E914="","",'CARNET DE SOUDURE'!E914)</f>
        <v/>
      </c>
      <c r="D914" s="78" t="str">
        <f aca="false">IF('CARNET DE SOUDURE'!E914="","",'CARNET DE SOUDURE'!D914&amp;"")</f>
        <v/>
      </c>
      <c r="E914" s="96" t="str">
        <f aca="false">IF(OR('CARNET DE SOUDURE'!E914="",'CARNET DE SOUDURE'!R914=""),"",'CARNET DE SOUDURE'!R914)</f>
        <v/>
      </c>
      <c r="F914" s="81" t="str">
        <f aca="false">IF('CARNET DE SOUDURE'!E914="","",'CARNET DE SOUDURE'!AL914)</f>
        <v/>
      </c>
      <c r="G914" s="81" t="str">
        <f aca="false">IF('CARNET DE SOUDURE'!E914="","",'CARNET DE SOUDURE'!AM914)</f>
        <v/>
      </c>
      <c r="H914" s="81" t="str">
        <f aca="false">IF(C914="","",IF(G914="ACCEPTÉ","OUI","NON"))</f>
        <v/>
      </c>
      <c r="I914" s="82"/>
      <c r="J914" s="79"/>
      <c r="K914" s="80"/>
      <c r="L914" s="80"/>
      <c r="M914" s="80"/>
      <c r="N914" s="83" t="str">
        <f aca="false">IF(C914="","",IF(I914="",IF(H914="OUI","À ENROBER",IF(G914="À SOUDER","NON SOUDÉ","EN ATTENTE RT")),IF(L914="R","À REPRENDRE",IF(H914&lt;&gt;"OUI","⚠ ENROBÉ AVANT ACCEPTATION RT","ENROBÉ"))))</f>
        <v/>
      </c>
      <c r="O914" s="79"/>
    </row>
    <row r="915" customFormat="false" ht="15" hidden="false" customHeight="false" outlineLevel="0" collapsed="false">
      <c r="A915" s="78" t="str">
        <f aca="false">IF('CARNET DE SOUDURE'!E915="","",'CARNET DE SOUDURE'!A915)</f>
        <v/>
      </c>
      <c r="B915" s="93" t="str">
        <f aca="false">IF('CARNET DE SOUDURE'!E915="","",'CARNET DE SOUDURE'!B915&amp;"")</f>
        <v/>
      </c>
      <c r="C915" s="83" t="str">
        <f aca="false">IF('CARNET DE SOUDURE'!E915="","",'CARNET DE SOUDURE'!E915)</f>
        <v/>
      </c>
      <c r="D915" s="78" t="str">
        <f aca="false">IF('CARNET DE SOUDURE'!E915="","",'CARNET DE SOUDURE'!D915&amp;"")</f>
        <v/>
      </c>
      <c r="E915" s="96" t="str">
        <f aca="false">IF(OR('CARNET DE SOUDURE'!E915="",'CARNET DE SOUDURE'!R915=""),"",'CARNET DE SOUDURE'!R915)</f>
        <v/>
      </c>
      <c r="F915" s="81" t="str">
        <f aca="false">IF('CARNET DE SOUDURE'!E915="","",'CARNET DE SOUDURE'!AL915)</f>
        <v/>
      </c>
      <c r="G915" s="81" t="str">
        <f aca="false">IF('CARNET DE SOUDURE'!E915="","",'CARNET DE SOUDURE'!AM915)</f>
        <v/>
      </c>
      <c r="H915" s="81" t="str">
        <f aca="false">IF(C915="","",IF(G915="ACCEPTÉ","OUI","NON"))</f>
        <v/>
      </c>
      <c r="I915" s="82"/>
      <c r="J915" s="79"/>
      <c r="K915" s="80"/>
      <c r="L915" s="80"/>
      <c r="M915" s="80"/>
      <c r="N915" s="83" t="str">
        <f aca="false">IF(C915="","",IF(I915="",IF(H915="OUI","À ENROBER",IF(G915="À SOUDER","NON SOUDÉ","EN ATTENTE RT")),IF(L915="R","À REPRENDRE",IF(H915&lt;&gt;"OUI","⚠ ENROBÉ AVANT ACCEPTATION RT","ENROBÉ"))))</f>
        <v/>
      </c>
      <c r="O915" s="79"/>
    </row>
    <row r="916" customFormat="false" ht="15" hidden="false" customHeight="false" outlineLevel="0" collapsed="false">
      <c r="A916" s="78" t="str">
        <f aca="false">IF('CARNET DE SOUDURE'!E916="","",'CARNET DE SOUDURE'!A916)</f>
        <v/>
      </c>
      <c r="B916" s="93" t="str">
        <f aca="false">IF('CARNET DE SOUDURE'!E916="","",'CARNET DE SOUDURE'!B916&amp;"")</f>
        <v/>
      </c>
      <c r="C916" s="83" t="str">
        <f aca="false">IF('CARNET DE SOUDURE'!E916="","",'CARNET DE SOUDURE'!E916)</f>
        <v/>
      </c>
      <c r="D916" s="78" t="str">
        <f aca="false">IF('CARNET DE SOUDURE'!E916="","",'CARNET DE SOUDURE'!D916&amp;"")</f>
        <v/>
      </c>
      <c r="E916" s="96" t="str">
        <f aca="false">IF(OR('CARNET DE SOUDURE'!E916="",'CARNET DE SOUDURE'!R916=""),"",'CARNET DE SOUDURE'!R916)</f>
        <v/>
      </c>
      <c r="F916" s="81" t="str">
        <f aca="false">IF('CARNET DE SOUDURE'!E916="","",'CARNET DE SOUDURE'!AL916)</f>
        <v/>
      </c>
      <c r="G916" s="81" t="str">
        <f aca="false">IF('CARNET DE SOUDURE'!E916="","",'CARNET DE SOUDURE'!AM916)</f>
        <v/>
      </c>
      <c r="H916" s="81" t="str">
        <f aca="false">IF(C916="","",IF(G916="ACCEPTÉ","OUI","NON"))</f>
        <v/>
      </c>
      <c r="I916" s="82"/>
      <c r="J916" s="79"/>
      <c r="K916" s="80"/>
      <c r="L916" s="80"/>
      <c r="M916" s="80"/>
      <c r="N916" s="83" t="str">
        <f aca="false">IF(C916="","",IF(I916="",IF(H916="OUI","À ENROBER",IF(G916="À SOUDER","NON SOUDÉ","EN ATTENTE RT")),IF(L916="R","À REPRENDRE",IF(H916&lt;&gt;"OUI","⚠ ENROBÉ AVANT ACCEPTATION RT","ENROBÉ"))))</f>
        <v/>
      </c>
      <c r="O916" s="79"/>
    </row>
    <row r="917" customFormat="false" ht="15" hidden="false" customHeight="false" outlineLevel="0" collapsed="false">
      <c r="A917" s="78" t="str">
        <f aca="false">IF('CARNET DE SOUDURE'!E917="","",'CARNET DE SOUDURE'!A917)</f>
        <v/>
      </c>
      <c r="B917" s="93" t="str">
        <f aca="false">IF('CARNET DE SOUDURE'!E917="","",'CARNET DE SOUDURE'!B917&amp;"")</f>
        <v/>
      </c>
      <c r="C917" s="83" t="str">
        <f aca="false">IF('CARNET DE SOUDURE'!E917="","",'CARNET DE SOUDURE'!E917)</f>
        <v/>
      </c>
      <c r="D917" s="78" t="str">
        <f aca="false">IF('CARNET DE SOUDURE'!E917="","",'CARNET DE SOUDURE'!D917&amp;"")</f>
        <v/>
      </c>
      <c r="E917" s="96" t="str">
        <f aca="false">IF(OR('CARNET DE SOUDURE'!E917="",'CARNET DE SOUDURE'!R917=""),"",'CARNET DE SOUDURE'!R917)</f>
        <v/>
      </c>
      <c r="F917" s="81" t="str">
        <f aca="false">IF('CARNET DE SOUDURE'!E917="","",'CARNET DE SOUDURE'!AL917)</f>
        <v/>
      </c>
      <c r="G917" s="81" t="str">
        <f aca="false">IF('CARNET DE SOUDURE'!E917="","",'CARNET DE SOUDURE'!AM917)</f>
        <v/>
      </c>
      <c r="H917" s="81" t="str">
        <f aca="false">IF(C917="","",IF(G917="ACCEPTÉ","OUI","NON"))</f>
        <v/>
      </c>
      <c r="I917" s="82"/>
      <c r="J917" s="79"/>
      <c r="K917" s="80"/>
      <c r="L917" s="80"/>
      <c r="M917" s="80"/>
      <c r="N917" s="83" t="str">
        <f aca="false">IF(C917="","",IF(I917="",IF(H917="OUI","À ENROBER",IF(G917="À SOUDER","NON SOUDÉ","EN ATTENTE RT")),IF(L917="R","À REPRENDRE",IF(H917&lt;&gt;"OUI","⚠ ENROBÉ AVANT ACCEPTATION RT","ENROBÉ"))))</f>
        <v/>
      </c>
      <c r="O917" s="79"/>
    </row>
    <row r="918" customFormat="false" ht="15" hidden="false" customHeight="false" outlineLevel="0" collapsed="false">
      <c r="A918" s="78" t="str">
        <f aca="false">IF('CARNET DE SOUDURE'!E918="","",'CARNET DE SOUDURE'!A918)</f>
        <v/>
      </c>
      <c r="B918" s="93" t="str">
        <f aca="false">IF('CARNET DE SOUDURE'!E918="","",'CARNET DE SOUDURE'!B918&amp;"")</f>
        <v/>
      </c>
      <c r="C918" s="83" t="str">
        <f aca="false">IF('CARNET DE SOUDURE'!E918="","",'CARNET DE SOUDURE'!E918)</f>
        <v/>
      </c>
      <c r="D918" s="78" t="str">
        <f aca="false">IF('CARNET DE SOUDURE'!E918="","",'CARNET DE SOUDURE'!D918&amp;"")</f>
        <v/>
      </c>
      <c r="E918" s="96" t="str">
        <f aca="false">IF(OR('CARNET DE SOUDURE'!E918="",'CARNET DE SOUDURE'!R918=""),"",'CARNET DE SOUDURE'!R918)</f>
        <v/>
      </c>
      <c r="F918" s="81" t="str">
        <f aca="false">IF('CARNET DE SOUDURE'!E918="","",'CARNET DE SOUDURE'!AL918)</f>
        <v/>
      </c>
      <c r="G918" s="81" t="str">
        <f aca="false">IF('CARNET DE SOUDURE'!E918="","",'CARNET DE SOUDURE'!AM918)</f>
        <v/>
      </c>
      <c r="H918" s="81" t="str">
        <f aca="false">IF(C918="","",IF(G918="ACCEPTÉ","OUI","NON"))</f>
        <v/>
      </c>
      <c r="I918" s="82"/>
      <c r="J918" s="79"/>
      <c r="K918" s="80"/>
      <c r="L918" s="80"/>
      <c r="M918" s="80"/>
      <c r="N918" s="83" t="str">
        <f aca="false">IF(C918="","",IF(I918="",IF(H918="OUI","À ENROBER",IF(G918="À SOUDER","NON SOUDÉ","EN ATTENTE RT")),IF(L918="R","À REPRENDRE",IF(H918&lt;&gt;"OUI","⚠ ENROBÉ AVANT ACCEPTATION RT","ENROBÉ"))))</f>
        <v/>
      </c>
      <c r="O918" s="79"/>
    </row>
    <row r="919" customFormat="false" ht="15" hidden="false" customHeight="false" outlineLevel="0" collapsed="false">
      <c r="A919" s="78" t="str">
        <f aca="false">IF('CARNET DE SOUDURE'!E919="","",'CARNET DE SOUDURE'!A919)</f>
        <v/>
      </c>
      <c r="B919" s="93" t="str">
        <f aca="false">IF('CARNET DE SOUDURE'!E919="","",'CARNET DE SOUDURE'!B919&amp;"")</f>
        <v/>
      </c>
      <c r="C919" s="83" t="str">
        <f aca="false">IF('CARNET DE SOUDURE'!E919="","",'CARNET DE SOUDURE'!E919)</f>
        <v/>
      </c>
      <c r="D919" s="78" t="str">
        <f aca="false">IF('CARNET DE SOUDURE'!E919="","",'CARNET DE SOUDURE'!D919&amp;"")</f>
        <v/>
      </c>
      <c r="E919" s="96" t="str">
        <f aca="false">IF(OR('CARNET DE SOUDURE'!E919="",'CARNET DE SOUDURE'!R919=""),"",'CARNET DE SOUDURE'!R919)</f>
        <v/>
      </c>
      <c r="F919" s="81" t="str">
        <f aca="false">IF('CARNET DE SOUDURE'!E919="","",'CARNET DE SOUDURE'!AL919)</f>
        <v/>
      </c>
      <c r="G919" s="81" t="str">
        <f aca="false">IF('CARNET DE SOUDURE'!E919="","",'CARNET DE SOUDURE'!AM919)</f>
        <v/>
      </c>
      <c r="H919" s="81" t="str">
        <f aca="false">IF(C919="","",IF(G919="ACCEPTÉ","OUI","NON"))</f>
        <v/>
      </c>
      <c r="I919" s="82"/>
      <c r="J919" s="79"/>
      <c r="K919" s="80"/>
      <c r="L919" s="80"/>
      <c r="M919" s="80"/>
      <c r="N919" s="83" t="str">
        <f aca="false">IF(C919="","",IF(I919="",IF(H919="OUI","À ENROBER",IF(G919="À SOUDER","NON SOUDÉ","EN ATTENTE RT")),IF(L919="R","À REPRENDRE",IF(H919&lt;&gt;"OUI","⚠ ENROBÉ AVANT ACCEPTATION RT","ENROBÉ"))))</f>
        <v/>
      </c>
      <c r="O919" s="79"/>
    </row>
    <row r="920" customFormat="false" ht="15" hidden="false" customHeight="false" outlineLevel="0" collapsed="false">
      <c r="A920" s="78" t="str">
        <f aca="false">IF('CARNET DE SOUDURE'!E920="","",'CARNET DE SOUDURE'!A920)</f>
        <v/>
      </c>
      <c r="B920" s="93" t="str">
        <f aca="false">IF('CARNET DE SOUDURE'!E920="","",'CARNET DE SOUDURE'!B920&amp;"")</f>
        <v/>
      </c>
      <c r="C920" s="83" t="str">
        <f aca="false">IF('CARNET DE SOUDURE'!E920="","",'CARNET DE SOUDURE'!E920)</f>
        <v/>
      </c>
      <c r="D920" s="78" t="str">
        <f aca="false">IF('CARNET DE SOUDURE'!E920="","",'CARNET DE SOUDURE'!D920&amp;"")</f>
        <v/>
      </c>
      <c r="E920" s="96" t="str">
        <f aca="false">IF(OR('CARNET DE SOUDURE'!E920="",'CARNET DE SOUDURE'!R920=""),"",'CARNET DE SOUDURE'!R920)</f>
        <v/>
      </c>
      <c r="F920" s="81" t="str">
        <f aca="false">IF('CARNET DE SOUDURE'!E920="","",'CARNET DE SOUDURE'!AL920)</f>
        <v/>
      </c>
      <c r="G920" s="81" t="str">
        <f aca="false">IF('CARNET DE SOUDURE'!E920="","",'CARNET DE SOUDURE'!AM920)</f>
        <v/>
      </c>
      <c r="H920" s="81" t="str">
        <f aca="false">IF(C920="","",IF(G920="ACCEPTÉ","OUI","NON"))</f>
        <v/>
      </c>
      <c r="I920" s="82"/>
      <c r="J920" s="79"/>
      <c r="K920" s="80"/>
      <c r="L920" s="80"/>
      <c r="M920" s="80"/>
      <c r="N920" s="83" t="str">
        <f aca="false">IF(C920="","",IF(I920="",IF(H920="OUI","À ENROBER",IF(G920="À SOUDER","NON SOUDÉ","EN ATTENTE RT")),IF(L920="R","À REPRENDRE",IF(H920&lt;&gt;"OUI","⚠ ENROBÉ AVANT ACCEPTATION RT","ENROBÉ"))))</f>
        <v/>
      </c>
      <c r="O920" s="79"/>
    </row>
    <row r="921" customFormat="false" ht="15" hidden="false" customHeight="false" outlineLevel="0" collapsed="false">
      <c r="A921" s="78" t="str">
        <f aca="false">IF('CARNET DE SOUDURE'!E921="","",'CARNET DE SOUDURE'!A921)</f>
        <v/>
      </c>
      <c r="B921" s="93" t="str">
        <f aca="false">IF('CARNET DE SOUDURE'!E921="","",'CARNET DE SOUDURE'!B921&amp;"")</f>
        <v/>
      </c>
      <c r="C921" s="83" t="str">
        <f aca="false">IF('CARNET DE SOUDURE'!E921="","",'CARNET DE SOUDURE'!E921)</f>
        <v/>
      </c>
      <c r="D921" s="78" t="str">
        <f aca="false">IF('CARNET DE SOUDURE'!E921="","",'CARNET DE SOUDURE'!D921&amp;"")</f>
        <v/>
      </c>
      <c r="E921" s="96" t="str">
        <f aca="false">IF(OR('CARNET DE SOUDURE'!E921="",'CARNET DE SOUDURE'!R921=""),"",'CARNET DE SOUDURE'!R921)</f>
        <v/>
      </c>
      <c r="F921" s="81" t="str">
        <f aca="false">IF('CARNET DE SOUDURE'!E921="","",'CARNET DE SOUDURE'!AL921)</f>
        <v/>
      </c>
      <c r="G921" s="81" t="str">
        <f aca="false">IF('CARNET DE SOUDURE'!E921="","",'CARNET DE SOUDURE'!AM921)</f>
        <v/>
      </c>
      <c r="H921" s="81" t="str">
        <f aca="false">IF(C921="","",IF(G921="ACCEPTÉ","OUI","NON"))</f>
        <v/>
      </c>
      <c r="I921" s="82"/>
      <c r="J921" s="79"/>
      <c r="K921" s="80"/>
      <c r="L921" s="80"/>
      <c r="M921" s="80"/>
      <c r="N921" s="83" t="str">
        <f aca="false">IF(C921="","",IF(I921="",IF(H921="OUI","À ENROBER",IF(G921="À SOUDER","NON SOUDÉ","EN ATTENTE RT")),IF(L921="R","À REPRENDRE",IF(H921&lt;&gt;"OUI","⚠ ENROBÉ AVANT ACCEPTATION RT","ENROBÉ"))))</f>
        <v/>
      </c>
      <c r="O921" s="79"/>
    </row>
    <row r="922" customFormat="false" ht="15" hidden="false" customHeight="false" outlineLevel="0" collapsed="false">
      <c r="A922" s="78" t="str">
        <f aca="false">IF('CARNET DE SOUDURE'!E922="","",'CARNET DE SOUDURE'!A922)</f>
        <v/>
      </c>
      <c r="B922" s="93" t="str">
        <f aca="false">IF('CARNET DE SOUDURE'!E922="","",'CARNET DE SOUDURE'!B922&amp;"")</f>
        <v/>
      </c>
      <c r="C922" s="83" t="str">
        <f aca="false">IF('CARNET DE SOUDURE'!E922="","",'CARNET DE SOUDURE'!E922)</f>
        <v/>
      </c>
      <c r="D922" s="78" t="str">
        <f aca="false">IF('CARNET DE SOUDURE'!E922="","",'CARNET DE SOUDURE'!D922&amp;"")</f>
        <v/>
      </c>
      <c r="E922" s="96" t="str">
        <f aca="false">IF(OR('CARNET DE SOUDURE'!E922="",'CARNET DE SOUDURE'!R922=""),"",'CARNET DE SOUDURE'!R922)</f>
        <v/>
      </c>
      <c r="F922" s="81" t="str">
        <f aca="false">IF('CARNET DE SOUDURE'!E922="","",'CARNET DE SOUDURE'!AL922)</f>
        <v/>
      </c>
      <c r="G922" s="81" t="str">
        <f aca="false">IF('CARNET DE SOUDURE'!E922="","",'CARNET DE SOUDURE'!AM922)</f>
        <v/>
      </c>
      <c r="H922" s="81" t="str">
        <f aca="false">IF(C922="","",IF(G922="ACCEPTÉ","OUI","NON"))</f>
        <v/>
      </c>
      <c r="I922" s="82"/>
      <c r="J922" s="79"/>
      <c r="K922" s="80"/>
      <c r="L922" s="80"/>
      <c r="M922" s="80"/>
      <c r="N922" s="83" t="str">
        <f aca="false">IF(C922="","",IF(I922="",IF(H922="OUI","À ENROBER",IF(G922="À SOUDER","NON SOUDÉ","EN ATTENTE RT")),IF(L922="R","À REPRENDRE",IF(H922&lt;&gt;"OUI","⚠ ENROBÉ AVANT ACCEPTATION RT","ENROBÉ"))))</f>
        <v/>
      </c>
      <c r="O922" s="79"/>
    </row>
    <row r="923" customFormat="false" ht="15" hidden="false" customHeight="false" outlineLevel="0" collapsed="false">
      <c r="A923" s="78" t="str">
        <f aca="false">IF('CARNET DE SOUDURE'!E923="","",'CARNET DE SOUDURE'!A923)</f>
        <v/>
      </c>
      <c r="B923" s="93" t="str">
        <f aca="false">IF('CARNET DE SOUDURE'!E923="","",'CARNET DE SOUDURE'!B923&amp;"")</f>
        <v/>
      </c>
      <c r="C923" s="83" t="str">
        <f aca="false">IF('CARNET DE SOUDURE'!E923="","",'CARNET DE SOUDURE'!E923)</f>
        <v/>
      </c>
      <c r="D923" s="78" t="str">
        <f aca="false">IF('CARNET DE SOUDURE'!E923="","",'CARNET DE SOUDURE'!D923&amp;"")</f>
        <v/>
      </c>
      <c r="E923" s="96" t="str">
        <f aca="false">IF(OR('CARNET DE SOUDURE'!E923="",'CARNET DE SOUDURE'!R923=""),"",'CARNET DE SOUDURE'!R923)</f>
        <v/>
      </c>
      <c r="F923" s="81" t="str">
        <f aca="false">IF('CARNET DE SOUDURE'!E923="","",'CARNET DE SOUDURE'!AL923)</f>
        <v/>
      </c>
      <c r="G923" s="81" t="str">
        <f aca="false">IF('CARNET DE SOUDURE'!E923="","",'CARNET DE SOUDURE'!AM923)</f>
        <v/>
      </c>
      <c r="H923" s="81" t="str">
        <f aca="false">IF(C923="","",IF(G923="ACCEPTÉ","OUI","NON"))</f>
        <v/>
      </c>
      <c r="I923" s="82"/>
      <c r="J923" s="79"/>
      <c r="K923" s="80"/>
      <c r="L923" s="80"/>
      <c r="M923" s="80"/>
      <c r="N923" s="83" t="str">
        <f aca="false">IF(C923="","",IF(I923="",IF(H923="OUI","À ENROBER",IF(G923="À SOUDER","NON SOUDÉ","EN ATTENTE RT")),IF(L923="R","À REPRENDRE",IF(H923&lt;&gt;"OUI","⚠ ENROBÉ AVANT ACCEPTATION RT","ENROBÉ"))))</f>
        <v/>
      </c>
      <c r="O923" s="79"/>
    </row>
    <row r="924" customFormat="false" ht="15" hidden="false" customHeight="false" outlineLevel="0" collapsed="false">
      <c r="A924" s="78" t="str">
        <f aca="false">IF('CARNET DE SOUDURE'!E924="","",'CARNET DE SOUDURE'!A924)</f>
        <v/>
      </c>
      <c r="B924" s="93" t="str">
        <f aca="false">IF('CARNET DE SOUDURE'!E924="","",'CARNET DE SOUDURE'!B924&amp;"")</f>
        <v/>
      </c>
      <c r="C924" s="83" t="str">
        <f aca="false">IF('CARNET DE SOUDURE'!E924="","",'CARNET DE SOUDURE'!E924)</f>
        <v/>
      </c>
      <c r="D924" s="78" t="str">
        <f aca="false">IF('CARNET DE SOUDURE'!E924="","",'CARNET DE SOUDURE'!D924&amp;"")</f>
        <v/>
      </c>
      <c r="E924" s="96" t="str">
        <f aca="false">IF(OR('CARNET DE SOUDURE'!E924="",'CARNET DE SOUDURE'!R924=""),"",'CARNET DE SOUDURE'!R924)</f>
        <v/>
      </c>
      <c r="F924" s="81" t="str">
        <f aca="false">IF('CARNET DE SOUDURE'!E924="","",'CARNET DE SOUDURE'!AL924)</f>
        <v/>
      </c>
      <c r="G924" s="81" t="str">
        <f aca="false">IF('CARNET DE SOUDURE'!E924="","",'CARNET DE SOUDURE'!AM924)</f>
        <v/>
      </c>
      <c r="H924" s="81" t="str">
        <f aca="false">IF(C924="","",IF(G924="ACCEPTÉ","OUI","NON"))</f>
        <v/>
      </c>
      <c r="I924" s="82"/>
      <c r="J924" s="79"/>
      <c r="K924" s="80"/>
      <c r="L924" s="80"/>
      <c r="M924" s="80"/>
      <c r="N924" s="83" t="str">
        <f aca="false">IF(C924="","",IF(I924="",IF(H924="OUI","À ENROBER",IF(G924="À SOUDER","NON SOUDÉ","EN ATTENTE RT")),IF(L924="R","À REPRENDRE",IF(H924&lt;&gt;"OUI","⚠ ENROBÉ AVANT ACCEPTATION RT","ENROBÉ"))))</f>
        <v/>
      </c>
      <c r="O924" s="79"/>
    </row>
    <row r="925" customFormat="false" ht="15" hidden="false" customHeight="false" outlineLevel="0" collapsed="false">
      <c r="A925" s="78" t="str">
        <f aca="false">IF('CARNET DE SOUDURE'!E925="","",'CARNET DE SOUDURE'!A925)</f>
        <v/>
      </c>
      <c r="B925" s="93" t="str">
        <f aca="false">IF('CARNET DE SOUDURE'!E925="","",'CARNET DE SOUDURE'!B925&amp;"")</f>
        <v/>
      </c>
      <c r="C925" s="83" t="str">
        <f aca="false">IF('CARNET DE SOUDURE'!E925="","",'CARNET DE SOUDURE'!E925)</f>
        <v/>
      </c>
      <c r="D925" s="78" t="str">
        <f aca="false">IF('CARNET DE SOUDURE'!E925="","",'CARNET DE SOUDURE'!D925&amp;"")</f>
        <v/>
      </c>
      <c r="E925" s="96" t="str">
        <f aca="false">IF(OR('CARNET DE SOUDURE'!E925="",'CARNET DE SOUDURE'!R925=""),"",'CARNET DE SOUDURE'!R925)</f>
        <v/>
      </c>
      <c r="F925" s="81" t="str">
        <f aca="false">IF('CARNET DE SOUDURE'!E925="","",'CARNET DE SOUDURE'!AL925)</f>
        <v/>
      </c>
      <c r="G925" s="81" t="str">
        <f aca="false">IF('CARNET DE SOUDURE'!E925="","",'CARNET DE SOUDURE'!AM925)</f>
        <v/>
      </c>
      <c r="H925" s="81" t="str">
        <f aca="false">IF(C925="","",IF(G925="ACCEPTÉ","OUI","NON"))</f>
        <v/>
      </c>
      <c r="I925" s="82"/>
      <c r="J925" s="79"/>
      <c r="K925" s="80"/>
      <c r="L925" s="80"/>
      <c r="M925" s="80"/>
      <c r="N925" s="83" t="str">
        <f aca="false">IF(C925="","",IF(I925="",IF(H925="OUI","À ENROBER",IF(G925="À SOUDER","NON SOUDÉ","EN ATTENTE RT")),IF(L925="R","À REPRENDRE",IF(H925&lt;&gt;"OUI","⚠ ENROBÉ AVANT ACCEPTATION RT","ENROBÉ"))))</f>
        <v/>
      </c>
      <c r="O925" s="79"/>
    </row>
    <row r="926" customFormat="false" ht="15" hidden="false" customHeight="false" outlineLevel="0" collapsed="false">
      <c r="A926" s="78" t="str">
        <f aca="false">IF('CARNET DE SOUDURE'!E926="","",'CARNET DE SOUDURE'!A926)</f>
        <v/>
      </c>
      <c r="B926" s="93" t="str">
        <f aca="false">IF('CARNET DE SOUDURE'!E926="","",'CARNET DE SOUDURE'!B926&amp;"")</f>
        <v/>
      </c>
      <c r="C926" s="83" t="str">
        <f aca="false">IF('CARNET DE SOUDURE'!E926="","",'CARNET DE SOUDURE'!E926)</f>
        <v/>
      </c>
      <c r="D926" s="78" t="str">
        <f aca="false">IF('CARNET DE SOUDURE'!E926="","",'CARNET DE SOUDURE'!D926&amp;"")</f>
        <v/>
      </c>
      <c r="E926" s="96" t="str">
        <f aca="false">IF(OR('CARNET DE SOUDURE'!E926="",'CARNET DE SOUDURE'!R926=""),"",'CARNET DE SOUDURE'!R926)</f>
        <v/>
      </c>
      <c r="F926" s="81" t="str">
        <f aca="false">IF('CARNET DE SOUDURE'!E926="","",'CARNET DE SOUDURE'!AL926)</f>
        <v/>
      </c>
      <c r="G926" s="81" t="str">
        <f aca="false">IF('CARNET DE SOUDURE'!E926="","",'CARNET DE SOUDURE'!AM926)</f>
        <v/>
      </c>
      <c r="H926" s="81" t="str">
        <f aca="false">IF(C926="","",IF(G926="ACCEPTÉ","OUI","NON"))</f>
        <v/>
      </c>
      <c r="I926" s="82"/>
      <c r="J926" s="79"/>
      <c r="K926" s="80"/>
      <c r="L926" s="80"/>
      <c r="M926" s="80"/>
      <c r="N926" s="83" t="str">
        <f aca="false">IF(C926="","",IF(I926="",IF(H926="OUI","À ENROBER",IF(G926="À SOUDER","NON SOUDÉ","EN ATTENTE RT")),IF(L926="R","À REPRENDRE",IF(H926&lt;&gt;"OUI","⚠ ENROBÉ AVANT ACCEPTATION RT","ENROBÉ"))))</f>
        <v/>
      </c>
      <c r="O926" s="79"/>
    </row>
    <row r="927" customFormat="false" ht="15" hidden="false" customHeight="false" outlineLevel="0" collapsed="false">
      <c r="A927" s="78" t="str">
        <f aca="false">IF('CARNET DE SOUDURE'!E927="","",'CARNET DE SOUDURE'!A927)</f>
        <v/>
      </c>
      <c r="B927" s="93" t="str">
        <f aca="false">IF('CARNET DE SOUDURE'!E927="","",'CARNET DE SOUDURE'!B927&amp;"")</f>
        <v/>
      </c>
      <c r="C927" s="83" t="str">
        <f aca="false">IF('CARNET DE SOUDURE'!E927="","",'CARNET DE SOUDURE'!E927)</f>
        <v/>
      </c>
      <c r="D927" s="78" t="str">
        <f aca="false">IF('CARNET DE SOUDURE'!E927="","",'CARNET DE SOUDURE'!D927&amp;"")</f>
        <v/>
      </c>
      <c r="E927" s="96" t="str">
        <f aca="false">IF(OR('CARNET DE SOUDURE'!E927="",'CARNET DE SOUDURE'!R927=""),"",'CARNET DE SOUDURE'!R927)</f>
        <v/>
      </c>
      <c r="F927" s="81" t="str">
        <f aca="false">IF('CARNET DE SOUDURE'!E927="","",'CARNET DE SOUDURE'!AL927)</f>
        <v/>
      </c>
      <c r="G927" s="81" t="str">
        <f aca="false">IF('CARNET DE SOUDURE'!E927="","",'CARNET DE SOUDURE'!AM927)</f>
        <v/>
      </c>
      <c r="H927" s="81" t="str">
        <f aca="false">IF(C927="","",IF(G927="ACCEPTÉ","OUI","NON"))</f>
        <v/>
      </c>
      <c r="I927" s="82"/>
      <c r="J927" s="79"/>
      <c r="K927" s="80"/>
      <c r="L927" s="80"/>
      <c r="M927" s="80"/>
      <c r="N927" s="83" t="str">
        <f aca="false">IF(C927="","",IF(I927="",IF(H927="OUI","À ENROBER",IF(G927="À SOUDER","NON SOUDÉ","EN ATTENTE RT")),IF(L927="R","À REPRENDRE",IF(H927&lt;&gt;"OUI","⚠ ENROBÉ AVANT ACCEPTATION RT","ENROBÉ"))))</f>
        <v/>
      </c>
      <c r="O927" s="79"/>
    </row>
    <row r="928" customFormat="false" ht="15" hidden="false" customHeight="false" outlineLevel="0" collapsed="false">
      <c r="A928" s="78" t="str">
        <f aca="false">IF('CARNET DE SOUDURE'!E928="","",'CARNET DE SOUDURE'!A928)</f>
        <v/>
      </c>
      <c r="B928" s="93" t="str">
        <f aca="false">IF('CARNET DE SOUDURE'!E928="","",'CARNET DE SOUDURE'!B928&amp;"")</f>
        <v/>
      </c>
      <c r="C928" s="83" t="str">
        <f aca="false">IF('CARNET DE SOUDURE'!E928="","",'CARNET DE SOUDURE'!E928)</f>
        <v/>
      </c>
      <c r="D928" s="78" t="str">
        <f aca="false">IF('CARNET DE SOUDURE'!E928="","",'CARNET DE SOUDURE'!D928&amp;"")</f>
        <v/>
      </c>
      <c r="E928" s="96" t="str">
        <f aca="false">IF(OR('CARNET DE SOUDURE'!E928="",'CARNET DE SOUDURE'!R928=""),"",'CARNET DE SOUDURE'!R928)</f>
        <v/>
      </c>
      <c r="F928" s="81" t="str">
        <f aca="false">IF('CARNET DE SOUDURE'!E928="","",'CARNET DE SOUDURE'!AL928)</f>
        <v/>
      </c>
      <c r="G928" s="81" t="str">
        <f aca="false">IF('CARNET DE SOUDURE'!E928="","",'CARNET DE SOUDURE'!AM928)</f>
        <v/>
      </c>
      <c r="H928" s="81" t="str">
        <f aca="false">IF(C928="","",IF(G928="ACCEPTÉ","OUI","NON"))</f>
        <v/>
      </c>
      <c r="I928" s="82"/>
      <c r="J928" s="79"/>
      <c r="K928" s="80"/>
      <c r="L928" s="80"/>
      <c r="M928" s="80"/>
      <c r="N928" s="83" t="str">
        <f aca="false">IF(C928="","",IF(I928="",IF(H928="OUI","À ENROBER",IF(G928="À SOUDER","NON SOUDÉ","EN ATTENTE RT")),IF(L928="R","À REPRENDRE",IF(H928&lt;&gt;"OUI","⚠ ENROBÉ AVANT ACCEPTATION RT","ENROBÉ"))))</f>
        <v/>
      </c>
      <c r="O928" s="79"/>
    </row>
    <row r="929" customFormat="false" ht="15" hidden="false" customHeight="false" outlineLevel="0" collapsed="false">
      <c r="A929" s="78" t="str">
        <f aca="false">IF('CARNET DE SOUDURE'!E929="","",'CARNET DE SOUDURE'!A929)</f>
        <v/>
      </c>
      <c r="B929" s="93" t="str">
        <f aca="false">IF('CARNET DE SOUDURE'!E929="","",'CARNET DE SOUDURE'!B929&amp;"")</f>
        <v/>
      </c>
      <c r="C929" s="83" t="str">
        <f aca="false">IF('CARNET DE SOUDURE'!E929="","",'CARNET DE SOUDURE'!E929)</f>
        <v/>
      </c>
      <c r="D929" s="78" t="str">
        <f aca="false">IF('CARNET DE SOUDURE'!E929="","",'CARNET DE SOUDURE'!D929&amp;"")</f>
        <v/>
      </c>
      <c r="E929" s="96" t="str">
        <f aca="false">IF(OR('CARNET DE SOUDURE'!E929="",'CARNET DE SOUDURE'!R929=""),"",'CARNET DE SOUDURE'!R929)</f>
        <v/>
      </c>
      <c r="F929" s="81" t="str">
        <f aca="false">IF('CARNET DE SOUDURE'!E929="","",'CARNET DE SOUDURE'!AL929)</f>
        <v/>
      </c>
      <c r="G929" s="81" t="str">
        <f aca="false">IF('CARNET DE SOUDURE'!E929="","",'CARNET DE SOUDURE'!AM929)</f>
        <v/>
      </c>
      <c r="H929" s="81" t="str">
        <f aca="false">IF(C929="","",IF(G929="ACCEPTÉ","OUI","NON"))</f>
        <v/>
      </c>
      <c r="I929" s="82"/>
      <c r="J929" s="79"/>
      <c r="K929" s="80"/>
      <c r="L929" s="80"/>
      <c r="M929" s="80"/>
      <c r="N929" s="83" t="str">
        <f aca="false">IF(C929="","",IF(I929="",IF(H929="OUI","À ENROBER",IF(G929="À SOUDER","NON SOUDÉ","EN ATTENTE RT")),IF(L929="R","À REPRENDRE",IF(H929&lt;&gt;"OUI","⚠ ENROBÉ AVANT ACCEPTATION RT","ENROBÉ"))))</f>
        <v/>
      </c>
      <c r="O929" s="79"/>
    </row>
    <row r="930" customFormat="false" ht="15" hidden="false" customHeight="false" outlineLevel="0" collapsed="false">
      <c r="A930" s="78" t="str">
        <f aca="false">IF('CARNET DE SOUDURE'!E930="","",'CARNET DE SOUDURE'!A930)</f>
        <v/>
      </c>
      <c r="B930" s="93" t="str">
        <f aca="false">IF('CARNET DE SOUDURE'!E930="","",'CARNET DE SOUDURE'!B930&amp;"")</f>
        <v/>
      </c>
      <c r="C930" s="83" t="str">
        <f aca="false">IF('CARNET DE SOUDURE'!E930="","",'CARNET DE SOUDURE'!E930)</f>
        <v/>
      </c>
      <c r="D930" s="78" t="str">
        <f aca="false">IF('CARNET DE SOUDURE'!E930="","",'CARNET DE SOUDURE'!D930&amp;"")</f>
        <v/>
      </c>
      <c r="E930" s="96" t="str">
        <f aca="false">IF(OR('CARNET DE SOUDURE'!E930="",'CARNET DE SOUDURE'!R930=""),"",'CARNET DE SOUDURE'!R930)</f>
        <v/>
      </c>
      <c r="F930" s="81" t="str">
        <f aca="false">IF('CARNET DE SOUDURE'!E930="","",'CARNET DE SOUDURE'!AL930)</f>
        <v/>
      </c>
      <c r="G930" s="81" t="str">
        <f aca="false">IF('CARNET DE SOUDURE'!E930="","",'CARNET DE SOUDURE'!AM930)</f>
        <v/>
      </c>
      <c r="H930" s="81" t="str">
        <f aca="false">IF(C930="","",IF(G930="ACCEPTÉ","OUI","NON"))</f>
        <v/>
      </c>
      <c r="I930" s="82"/>
      <c r="J930" s="79"/>
      <c r="K930" s="80"/>
      <c r="L930" s="80"/>
      <c r="M930" s="80"/>
      <c r="N930" s="83" t="str">
        <f aca="false">IF(C930="","",IF(I930="",IF(H930="OUI","À ENROBER",IF(G930="À SOUDER","NON SOUDÉ","EN ATTENTE RT")),IF(L930="R","À REPRENDRE",IF(H930&lt;&gt;"OUI","⚠ ENROBÉ AVANT ACCEPTATION RT","ENROBÉ"))))</f>
        <v/>
      </c>
      <c r="O930" s="79"/>
    </row>
    <row r="931" customFormat="false" ht="15" hidden="false" customHeight="false" outlineLevel="0" collapsed="false">
      <c r="A931" s="78" t="str">
        <f aca="false">IF('CARNET DE SOUDURE'!E931="","",'CARNET DE SOUDURE'!A931)</f>
        <v/>
      </c>
      <c r="B931" s="93" t="str">
        <f aca="false">IF('CARNET DE SOUDURE'!E931="","",'CARNET DE SOUDURE'!B931&amp;"")</f>
        <v/>
      </c>
      <c r="C931" s="83" t="str">
        <f aca="false">IF('CARNET DE SOUDURE'!E931="","",'CARNET DE SOUDURE'!E931)</f>
        <v/>
      </c>
      <c r="D931" s="78" t="str">
        <f aca="false">IF('CARNET DE SOUDURE'!E931="","",'CARNET DE SOUDURE'!D931&amp;"")</f>
        <v/>
      </c>
      <c r="E931" s="96" t="str">
        <f aca="false">IF(OR('CARNET DE SOUDURE'!E931="",'CARNET DE SOUDURE'!R931=""),"",'CARNET DE SOUDURE'!R931)</f>
        <v/>
      </c>
      <c r="F931" s="81" t="str">
        <f aca="false">IF('CARNET DE SOUDURE'!E931="","",'CARNET DE SOUDURE'!AL931)</f>
        <v/>
      </c>
      <c r="G931" s="81" t="str">
        <f aca="false">IF('CARNET DE SOUDURE'!E931="","",'CARNET DE SOUDURE'!AM931)</f>
        <v/>
      </c>
      <c r="H931" s="81" t="str">
        <f aca="false">IF(C931="","",IF(G931="ACCEPTÉ","OUI","NON"))</f>
        <v/>
      </c>
      <c r="I931" s="82"/>
      <c r="J931" s="79"/>
      <c r="K931" s="80"/>
      <c r="L931" s="80"/>
      <c r="M931" s="80"/>
      <c r="N931" s="83" t="str">
        <f aca="false">IF(C931="","",IF(I931="",IF(H931="OUI","À ENROBER",IF(G931="À SOUDER","NON SOUDÉ","EN ATTENTE RT")),IF(L931="R","À REPRENDRE",IF(H931&lt;&gt;"OUI","⚠ ENROBÉ AVANT ACCEPTATION RT","ENROBÉ"))))</f>
        <v/>
      </c>
      <c r="O931" s="79"/>
    </row>
    <row r="932" customFormat="false" ht="15" hidden="false" customHeight="false" outlineLevel="0" collapsed="false">
      <c r="A932" s="78" t="str">
        <f aca="false">IF('CARNET DE SOUDURE'!E932="","",'CARNET DE SOUDURE'!A932)</f>
        <v/>
      </c>
      <c r="B932" s="93" t="str">
        <f aca="false">IF('CARNET DE SOUDURE'!E932="","",'CARNET DE SOUDURE'!B932&amp;"")</f>
        <v/>
      </c>
      <c r="C932" s="83" t="str">
        <f aca="false">IF('CARNET DE SOUDURE'!E932="","",'CARNET DE SOUDURE'!E932)</f>
        <v/>
      </c>
      <c r="D932" s="78" t="str">
        <f aca="false">IF('CARNET DE SOUDURE'!E932="","",'CARNET DE SOUDURE'!D932&amp;"")</f>
        <v/>
      </c>
      <c r="E932" s="96" t="str">
        <f aca="false">IF(OR('CARNET DE SOUDURE'!E932="",'CARNET DE SOUDURE'!R932=""),"",'CARNET DE SOUDURE'!R932)</f>
        <v/>
      </c>
      <c r="F932" s="81" t="str">
        <f aca="false">IF('CARNET DE SOUDURE'!E932="","",'CARNET DE SOUDURE'!AL932)</f>
        <v/>
      </c>
      <c r="G932" s="81" t="str">
        <f aca="false">IF('CARNET DE SOUDURE'!E932="","",'CARNET DE SOUDURE'!AM932)</f>
        <v/>
      </c>
      <c r="H932" s="81" t="str">
        <f aca="false">IF(C932="","",IF(G932="ACCEPTÉ","OUI","NON"))</f>
        <v/>
      </c>
      <c r="I932" s="82"/>
      <c r="J932" s="79"/>
      <c r="K932" s="80"/>
      <c r="L932" s="80"/>
      <c r="M932" s="80"/>
      <c r="N932" s="83" t="str">
        <f aca="false">IF(C932="","",IF(I932="",IF(H932="OUI","À ENROBER",IF(G932="À SOUDER","NON SOUDÉ","EN ATTENTE RT")),IF(L932="R","À REPRENDRE",IF(H932&lt;&gt;"OUI","⚠ ENROBÉ AVANT ACCEPTATION RT","ENROBÉ"))))</f>
        <v/>
      </c>
      <c r="O932" s="79"/>
    </row>
    <row r="933" customFormat="false" ht="15" hidden="false" customHeight="false" outlineLevel="0" collapsed="false">
      <c r="A933" s="78" t="str">
        <f aca="false">IF('CARNET DE SOUDURE'!E933="","",'CARNET DE SOUDURE'!A933)</f>
        <v/>
      </c>
      <c r="B933" s="93" t="str">
        <f aca="false">IF('CARNET DE SOUDURE'!E933="","",'CARNET DE SOUDURE'!B933&amp;"")</f>
        <v/>
      </c>
      <c r="C933" s="83" t="str">
        <f aca="false">IF('CARNET DE SOUDURE'!E933="","",'CARNET DE SOUDURE'!E933)</f>
        <v/>
      </c>
      <c r="D933" s="78" t="str">
        <f aca="false">IF('CARNET DE SOUDURE'!E933="","",'CARNET DE SOUDURE'!D933&amp;"")</f>
        <v/>
      </c>
      <c r="E933" s="96" t="str">
        <f aca="false">IF(OR('CARNET DE SOUDURE'!E933="",'CARNET DE SOUDURE'!R933=""),"",'CARNET DE SOUDURE'!R933)</f>
        <v/>
      </c>
      <c r="F933" s="81" t="str">
        <f aca="false">IF('CARNET DE SOUDURE'!E933="","",'CARNET DE SOUDURE'!AL933)</f>
        <v/>
      </c>
      <c r="G933" s="81" t="str">
        <f aca="false">IF('CARNET DE SOUDURE'!E933="","",'CARNET DE SOUDURE'!AM933)</f>
        <v/>
      </c>
      <c r="H933" s="81" t="str">
        <f aca="false">IF(C933="","",IF(G933="ACCEPTÉ","OUI","NON"))</f>
        <v/>
      </c>
      <c r="I933" s="82"/>
      <c r="J933" s="79"/>
      <c r="K933" s="80"/>
      <c r="L933" s="80"/>
      <c r="M933" s="80"/>
      <c r="N933" s="83" t="str">
        <f aca="false">IF(C933="","",IF(I933="",IF(H933="OUI","À ENROBER",IF(G933="À SOUDER","NON SOUDÉ","EN ATTENTE RT")),IF(L933="R","À REPRENDRE",IF(H933&lt;&gt;"OUI","⚠ ENROBÉ AVANT ACCEPTATION RT","ENROBÉ"))))</f>
        <v/>
      </c>
      <c r="O933" s="79"/>
    </row>
    <row r="934" customFormat="false" ht="15" hidden="false" customHeight="false" outlineLevel="0" collapsed="false">
      <c r="A934" s="78" t="str">
        <f aca="false">IF('CARNET DE SOUDURE'!E934="","",'CARNET DE SOUDURE'!A934)</f>
        <v/>
      </c>
      <c r="B934" s="93" t="str">
        <f aca="false">IF('CARNET DE SOUDURE'!E934="","",'CARNET DE SOUDURE'!B934&amp;"")</f>
        <v/>
      </c>
      <c r="C934" s="83" t="str">
        <f aca="false">IF('CARNET DE SOUDURE'!E934="","",'CARNET DE SOUDURE'!E934)</f>
        <v/>
      </c>
      <c r="D934" s="78" t="str">
        <f aca="false">IF('CARNET DE SOUDURE'!E934="","",'CARNET DE SOUDURE'!D934&amp;"")</f>
        <v/>
      </c>
      <c r="E934" s="96" t="str">
        <f aca="false">IF(OR('CARNET DE SOUDURE'!E934="",'CARNET DE SOUDURE'!R934=""),"",'CARNET DE SOUDURE'!R934)</f>
        <v/>
      </c>
      <c r="F934" s="81" t="str">
        <f aca="false">IF('CARNET DE SOUDURE'!E934="","",'CARNET DE SOUDURE'!AL934)</f>
        <v/>
      </c>
      <c r="G934" s="81" t="str">
        <f aca="false">IF('CARNET DE SOUDURE'!E934="","",'CARNET DE SOUDURE'!AM934)</f>
        <v/>
      </c>
      <c r="H934" s="81" t="str">
        <f aca="false">IF(C934="","",IF(G934="ACCEPTÉ","OUI","NON"))</f>
        <v/>
      </c>
      <c r="I934" s="82"/>
      <c r="J934" s="79"/>
      <c r="K934" s="80"/>
      <c r="L934" s="80"/>
      <c r="M934" s="80"/>
      <c r="N934" s="83" t="str">
        <f aca="false">IF(C934="","",IF(I934="",IF(H934="OUI","À ENROBER",IF(G934="À SOUDER","NON SOUDÉ","EN ATTENTE RT")),IF(L934="R","À REPRENDRE",IF(H934&lt;&gt;"OUI","⚠ ENROBÉ AVANT ACCEPTATION RT","ENROBÉ"))))</f>
        <v/>
      </c>
      <c r="O934" s="79"/>
    </row>
    <row r="935" customFormat="false" ht="15" hidden="false" customHeight="false" outlineLevel="0" collapsed="false">
      <c r="A935" s="78" t="str">
        <f aca="false">IF('CARNET DE SOUDURE'!E935="","",'CARNET DE SOUDURE'!A935)</f>
        <v/>
      </c>
      <c r="B935" s="93" t="str">
        <f aca="false">IF('CARNET DE SOUDURE'!E935="","",'CARNET DE SOUDURE'!B935&amp;"")</f>
        <v/>
      </c>
      <c r="C935" s="83" t="str">
        <f aca="false">IF('CARNET DE SOUDURE'!E935="","",'CARNET DE SOUDURE'!E935)</f>
        <v/>
      </c>
      <c r="D935" s="78" t="str">
        <f aca="false">IF('CARNET DE SOUDURE'!E935="","",'CARNET DE SOUDURE'!D935&amp;"")</f>
        <v/>
      </c>
      <c r="E935" s="96" t="str">
        <f aca="false">IF(OR('CARNET DE SOUDURE'!E935="",'CARNET DE SOUDURE'!R935=""),"",'CARNET DE SOUDURE'!R935)</f>
        <v/>
      </c>
      <c r="F935" s="81" t="str">
        <f aca="false">IF('CARNET DE SOUDURE'!E935="","",'CARNET DE SOUDURE'!AL935)</f>
        <v/>
      </c>
      <c r="G935" s="81" t="str">
        <f aca="false">IF('CARNET DE SOUDURE'!E935="","",'CARNET DE SOUDURE'!AM935)</f>
        <v/>
      </c>
      <c r="H935" s="81" t="str">
        <f aca="false">IF(C935="","",IF(G935="ACCEPTÉ","OUI","NON"))</f>
        <v/>
      </c>
      <c r="I935" s="82"/>
      <c r="J935" s="79"/>
      <c r="K935" s="80"/>
      <c r="L935" s="80"/>
      <c r="M935" s="80"/>
      <c r="N935" s="83" t="str">
        <f aca="false">IF(C935="","",IF(I935="",IF(H935="OUI","À ENROBER",IF(G935="À SOUDER","NON SOUDÉ","EN ATTENTE RT")),IF(L935="R","À REPRENDRE",IF(H935&lt;&gt;"OUI","⚠ ENROBÉ AVANT ACCEPTATION RT","ENROBÉ"))))</f>
        <v/>
      </c>
      <c r="O935" s="79"/>
    </row>
    <row r="936" customFormat="false" ht="15" hidden="false" customHeight="false" outlineLevel="0" collapsed="false">
      <c r="A936" s="78" t="str">
        <f aca="false">IF('CARNET DE SOUDURE'!E936="","",'CARNET DE SOUDURE'!A936)</f>
        <v/>
      </c>
      <c r="B936" s="93" t="str">
        <f aca="false">IF('CARNET DE SOUDURE'!E936="","",'CARNET DE SOUDURE'!B936&amp;"")</f>
        <v/>
      </c>
      <c r="C936" s="83" t="str">
        <f aca="false">IF('CARNET DE SOUDURE'!E936="","",'CARNET DE SOUDURE'!E936)</f>
        <v/>
      </c>
      <c r="D936" s="78" t="str">
        <f aca="false">IF('CARNET DE SOUDURE'!E936="","",'CARNET DE SOUDURE'!D936&amp;"")</f>
        <v/>
      </c>
      <c r="E936" s="96" t="str">
        <f aca="false">IF(OR('CARNET DE SOUDURE'!E936="",'CARNET DE SOUDURE'!R936=""),"",'CARNET DE SOUDURE'!R936)</f>
        <v/>
      </c>
      <c r="F936" s="81" t="str">
        <f aca="false">IF('CARNET DE SOUDURE'!E936="","",'CARNET DE SOUDURE'!AL936)</f>
        <v/>
      </c>
      <c r="G936" s="81" t="str">
        <f aca="false">IF('CARNET DE SOUDURE'!E936="","",'CARNET DE SOUDURE'!AM936)</f>
        <v/>
      </c>
      <c r="H936" s="81" t="str">
        <f aca="false">IF(C936="","",IF(G936="ACCEPTÉ","OUI","NON"))</f>
        <v/>
      </c>
      <c r="I936" s="82"/>
      <c r="J936" s="79"/>
      <c r="K936" s="80"/>
      <c r="L936" s="80"/>
      <c r="M936" s="80"/>
      <c r="N936" s="83" t="str">
        <f aca="false">IF(C936="","",IF(I936="",IF(H936="OUI","À ENROBER",IF(G936="À SOUDER","NON SOUDÉ","EN ATTENTE RT")),IF(L936="R","À REPRENDRE",IF(H936&lt;&gt;"OUI","⚠ ENROBÉ AVANT ACCEPTATION RT","ENROBÉ"))))</f>
        <v/>
      </c>
      <c r="O936" s="79"/>
    </row>
    <row r="937" customFormat="false" ht="15" hidden="false" customHeight="false" outlineLevel="0" collapsed="false">
      <c r="A937" s="78" t="str">
        <f aca="false">IF('CARNET DE SOUDURE'!E937="","",'CARNET DE SOUDURE'!A937)</f>
        <v/>
      </c>
      <c r="B937" s="93" t="str">
        <f aca="false">IF('CARNET DE SOUDURE'!E937="","",'CARNET DE SOUDURE'!B937&amp;"")</f>
        <v/>
      </c>
      <c r="C937" s="83" t="str">
        <f aca="false">IF('CARNET DE SOUDURE'!E937="","",'CARNET DE SOUDURE'!E937)</f>
        <v/>
      </c>
      <c r="D937" s="78" t="str">
        <f aca="false">IF('CARNET DE SOUDURE'!E937="","",'CARNET DE SOUDURE'!D937&amp;"")</f>
        <v/>
      </c>
      <c r="E937" s="96" t="str">
        <f aca="false">IF(OR('CARNET DE SOUDURE'!E937="",'CARNET DE SOUDURE'!R937=""),"",'CARNET DE SOUDURE'!R937)</f>
        <v/>
      </c>
      <c r="F937" s="81" t="str">
        <f aca="false">IF('CARNET DE SOUDURE'!E937="","",'CARNET DE SOUDURE'!AL937)</f>
        <v/>
      </c>
      <c r="G937" s="81" t="str">
        <f aca="false">IF('CARNET DE SOUDURE'!E937="","",'CARNET DE SOUDURE'!AM937)</f>
        <v/>
      </c>
      <c r="H937" s="81" t="str">
        <f aca="false">IF(C937="","",IF(G937="ACCEPTÉ","OUI","NON"))</f>
        <v/>
      </c>
      <c r="I937" s="82"/>
      <c r="J937" s="79"/>
      <c r="K937" s="80"/>
      <c r="L937" s="80"/>
      <c r="M937" s="80"/>
      <c r="N937" s="83" t="str">
        <f aca="false">IF(C937="","",IF(I937="",IF(H937="OUI","À ENROBER",IF(G937="À SOUDER","NON SOUDÉ","EN ATTENTE RT")),IF(L937="R","À REPRENDRE",IF(H937&lt;&gt;"OUI","⚠ ENROBÉ AVANT ACCEPTATION RT","ENROBÉ"))))</f>
        <v/>
      </c>
      <c r="O937" s="79"/>
    </row>
    <row r="938" customFormat="false" ht="15" hidden="false" customHeight="false" outlineLevel="0" collapsed="false">
      <c r="A938" s="78" t="str">
        <f aca="false">IF('CARNET DE SOUDURE'!E938="","",'CARNET DE SOUDURE'!A938)</f>
        <v/>
      </c>
      <c r="B938" s="93" t="str">
        <f aca="false">IF('CARNET DE SOUDURE'!E938="","",'CARNET DE SOUDURE'!B938&amp;"")</f>
        <v/>
      </c>
      <c r="C938" s="83" t="str">
        <f aca="false">IF('CARNET DE SOUDURE'!E938="","",'CARNET DE SOUDURE'!E938)</f>
        <v/>
      </c>
      <c r="D938" s="78" t="str">
        <f aca="false">IF('CARNET DE SOUDURE'!E938="","",'CARNET DE SOUDURE'!D938&amp;"")</f>
        <v/>
      </c>
      <c r="E938" s="96" t="str">
        <f aca="false">IF(OR('CARNET DE SOUDURE'!E938="",'CARNET DE SOUDURE'!R938=""),"",'CARNET DE SOUDURE'!R938)</f>
        <v/>
      </c>
      <c r="F938" s="81" t="str">
        <f aca="false">IF('CARNET DE SOUDURE'!E938="","",'CARNET DE SOUDURE'!AL938)</f>
        <v/>
      </c>
      <c r="G938" s="81" t="str">
        <f aca="false">IF('CARNET DE SOUDURE'!E938="","",'CARNET DE SOUDURE'!AM938)</f>
        <v/>
      </c>
      <c r="H938" s="81" t="str">
        <f aca="false">IF(C938="","",IF(G938="ACCEPTÉ","OUI","NON"))</f>
        <v/>
      </c>
      <c r="I938" s="82"/>
      <c r="J938" s="79"/>
      <c r="K938" s="80"/>
      <c r="L938" s="80"/>
      <c r="M938" s="80"/>
      <c r="N938" s="83" t="str">
        <f aca="false">IF(C938="","",IF(I938="",IF(H938="OUI","À ENROBER",IF(G938="À SOUDER","NON SOUDÉ","EN ATTENTE RT")),IF(L938="R","À REPRENDRE",IF(H938&lt;&gt;"OUI","⚠ ENROBÉ AVANT ACCEPTATION RT","ENROBÉ"))))</f>
        <v/>
      </c>
      <c r="O938" s="79"/>
    </row>
    <row r="939" customFormat="false" ht="15" hidden="false" customHeight="false" outlineLevel="0" collapsed="false">
      <c r="A939" s="78" t="str">
        <f aca="false">IF('CARNET DE SOUDURE'!E939="","",'CARNET DE SOUDURE'!A939)</f>
        <v/>
      </c>
      <c r="B939" s="93" t="str">
        <f aca="false">IF('CARNET DE SOUDURE'!E939="","",'CARNET DE SOUDURE'!B939&amp;"")</f>
        <v/>
      </c>
      <c r="C939" s="83" t="str">
        <f aca="false">IF('CARNET DE SOUDURE'!E939="","",'CARNET DE SOUDURE'!E939)</f>
        <v/>
      </c>
      <c r="D939" s="78" t="str">
        <f aca="false">IF('CARNET DE SOUDURE'!E939="","",'CARNET DE SOUDURE'!D939&amp;"")</f>
        <v/>
      </c>
      <c r="E939" s="96" t="str">
        <f aca="false">IF(OR('CARNET DE SOUDURE'!E939="",'CARNET DE SOUDURE'!R939=""),"",'CARNET DE SOUDURE'!R939)</f>
        <v/>
      </c>
      <c r="F939" s="81" t="str">
        <f aca="false">IF('CARNET DE SOUDURE'!E939="","",'CARNET DE SOUDURE'!AL939)</f>
        <v/>
      </c>
      <c r="G939" s="81" t="str">
        <f aca="false">IF('CARNET DE SOUDURE'!E939="","",'CARNET DE SOUDURE'!AM939)</f>
        <v/>
      </c>
      <c r="H939" s="81" t="str">
        <f aca="false">IF(C939="","",IF(G939="ACCEPTÉ","OUI","NON"))</f>
        <v/>
      </c>
      <c r="I939" s="82"/>
      <c r="J939" s="79"/>
      <c r="K939" s="80"/>
      <c r="L939" s="80"/>
      <c r="M939" s="80"/>
      <c r="N939" s="83" t="str">
        <f aca="false">IF(C939="","",IF(I939="",IF(H939="OUI","À ENROBER",IF(G939="À SOUDER","NON SOUDÉ","EN ATTENTE RT")),IF(L939="R","À REPRENDRE",IF(H939&lt;&gt;"OUI","⚠ ENROBÉ AVANT ACCEPTATION RT","ENROBÉ"))))</f>
        <v/>
      </c>
      <c r="O939" s="79"/>
    </row>
    <row r="940" customFormat="false" ht="15" hidden="false" customHeight="false" outlineLevel="0" collapsed="false">
      <c r="A940" s="78" t="str">
        <f aca="false">IF('CARNET DE SOUDURE'!E940="","",'CARNET DE SOUDURE'!A940)</f>
        <v/>
      </c>
      <c r="B940" s="93" t="str">
        <f aca="false">IF('CARNET DE SOUDURE'!E940="","",'CARNET DE SOUDURE'!B940&amp;"")</f>
        <v/>
      </c>
      <c r="C940" s="83" t="str">
        <f aca="false">IF('CARNET DE SOUDURE'!E940="","",'CARNET DE SOUDURE'!E940)</f>
        <v/>
      </c>
      <c r="D940" s="78" t="str">
        <f aca="false">IF('CARNET DE SOUDURE'!E940="","",'CARNET DE SOUDURE'!D940&amp;"")</f>
        <v/>
      </c>
      <c r="E940" s="96" t="str">
        <f aca="false">IF(OR('CARNET DE SOUDURE'!E940="",'CARNET DE SOUDURE'!R940=""),"",'CARNET DE SOUDURE'!R940)</f>
        <v/>
      </c>
      <c r="F940" s="81" t="str">
        <f aca="false">IF('CARNET DE SOUDURE'!E940="","",'CARNET DE SOUDURE'!AL940)</f>
        <v/>
      </c>
      <c r="G940" s="81" t="str">
        <f aca="false">IF('CARNET DE SOUDURE'!E940="","",'CARNET DE SOUDURE'!AM940)</f>
        <v/>
      </c>
      <c r="H940" s="81" t="str">
        <f aca="false">IF(C940="","",IF(G940="ACCEPTÉ","OUI","NON"))</f>
        <v/>
      </c>
      <c r="I940" s="82"/>
      <c r="J940" s="79"/>
      <c r="K940" s="80"/>
      <c r="L940" s="80"/>
      <c r="M940" s="80"/>
      <c r="N940" s="83" t="str">
        <f aca="false">IF(C940="","",IF(I940="",IF(H940="OUI","À ENROBER",IF(G940="À SOUDER","NON SOUDÉ","EN ATTENTE RT")),IF(L940="R","À REPRENDRE",IF(H940&lt;&gt;"OUI","⚠ ENROBÉ AVANT ACCEPTATION RT","ENROBÉ"))))</f>
        <v/>
      </c>
      <c r="O940" s="79"/>
    </row>
    <row r="941" customFormat="false" ht="15" hidden="false" customHeight="false" outlineLevel="0" collapsed="false">
      <c r="A941" s="78" t="str">
        <f aca="false">IF('CARNET DE SOUDURE'!E941="","",'CARNET DE SOUDURE'!A941)</f>
        <v/>
      </c>
      <c r="B941" s="93" t="str">
        <f aca="false">IF('CARNET DE SOUDURE'!E941="","",'CARNET DE SOUDURE'!B941&amp;"")</f>
        <v/>
      </c>
      <c r="C941" s="83" t="str">
        <f aca="false">IF('CARNET DE SOUDURE'!E941="","",'CARNET DE SOUDURE'!E941)</f>
        <v/>
      </c>
      <c r="D941" s="78" t="str">
        <f aca="false">IF('CARNET DE SOUDURE'!E941="","",'CARNET DE SOUDURE'!D941&amp;"")</f>
        <v/>
      </c>
      <c r="E941" s="96" t="str">
        <f aca="false">IF(OR('CARNET DE SOUDURE'!E941="",'CARNET DE SOUDURE'!R941=""),"",'CARNET DE SOUDURE'!R941)</f>
        <v/>
      </c>
      <c r="F941" s="81" t="str">
        <f aca="false">IF('CARNET DE SOUDURE'!E941="","",'CARNET DE SOUDURE'!AL941)</f>
        <v/>
      </c>
      <c r="G941" s="81" t="str">
        <f aca="false">IF('CARNET DE SOUDURE'!E941="","",'CARNET DE SOUDURE'!AM941)</f>
        <v/>
      </c>
      <c r="H941" s="81" t="str">
        <f aca="false">IF(C941="","",IF(G941="ACCEPTÉ","OUI","NON"))</f>
        <v/>
      </c>
      <c r="I941" s="82"/>
      <c r="J941" s="79"/>
      <c r="K941" s="80"/>
      <c r="L941" s="80"/>
      <c r="M941" s="80"/>
      <c r="N941" s="83" t="str">
        <f aca="false">IF(C941="","",IF(I941="",IF(H941="OUI","À ENROBER",IF(G941="À SOUDER","NON SOUDÉ","EN ATTENTE RT")),IF(L941="R","À REPRENDRE",IF(H941&lt;&gt;"OUI","⚠ ENROBÉ AVANT ACCEPTATION RT","ENROBÉ"))))</f>
        <v/>
      </c>
      <c r="O941" s="79"/>
    </row>
    <row r="942" customFormat="false" ht="15" hidden="false" customHeight="false" outlineLevel="0" collapsed="false">
      <c r="A942" s="78" t="str">
        <f aca="false">IF('CARNET DE SOUDURE'!E942="","",'CARNET DE SOUDURE'!A942)</f>
        <v/>
      </c>
      <c r="B942" s="93" t="str">
        <f aca="false">IF('CARNET DE SOUDURE'!E942="","",'CARNET DE SOUDURE'!B942&amp;"")</f>
        <v/>
      </c>
      <c r="C942" s="83" t="str">
        <f aca="false">IF('CARNET DE SOUDURE'!E942="","",'CARNET DE SOUDURE'!E942)</f>
        <v/>
      </c>
      <c r="D942" s="78" t="str">
        <f aca="false">IF('CARNET DE SOUDURE'!E942="","",'CARNET DE SOUDURE'!D942&amp;"")</f>
        <v/>
      </c>
      <c r="E942" s="96" t="str">
        <f aca="false">IF(OR('CARNET DE SOUDURE'!E942="",'CARNET DE SOUDURE'!R942=""),"",'CARNET DE SOUDURE'!R942)</f>
        <v/>
      </c>
      <c r="F942" s="81" t="str">
        <f aca="false">IF('CARNET DE SOUDURE'!E942="","",'CARNET DE SOUDURE'!AL942)</f>
        <v/>
      </c>
      <c r="G942" s="81" t="str">
        <f aca="false">IF('CARNET DE SOUDURE'!E942="","",'CARNET DE SOUDURE'!AM942)</f>
        <v/>
      </c>
      <c r="H942" s="81" t="str">
        <f aca="false">IF(C942="","",IF(G942="ACCEPTÉ","OUI","NON"))</f>
        <v/>
      </c>
      <c r="I942" s="82"/>
      <c r="J942" s="79"/>
      <c r="K942" s="80"/>
      <c r="L942" s="80"/>
      <c r="M942" s="80"/>
      <c r="N942" s="83" t="str">
        <f aca="false">IF(C942="","",IF(I942="",IF(H942="OUI","À ENROBER",IF(G942="À SOUDER","NON SOUDÉ","EN ATTENTE RT")),IF(L942="R","À REPRENDRE",IF(H942&lt;&gt;"OUI","⚠ ENROBÉ AVANT ACCEPTATION RT","ENROBÉ"))))</f>
        <v/>
      </c>
      <c r="O942" s="79"/>
    </row>
    <row r="943" customFormat="false" ht="15" hidden="false" customHeight="false" outlineLevel="0" collapsed="false">
      <c r="A943" s="78" t="str">
        <f aca="false">IF('CARNET DE SOUDURE'!E943="","",'CARNET DE SOUDURE'!A943)</f>
        <v/>
      </c>
      <c r="B943" s="93" t="str">
        <f aca="false">IF('CARNET DE SOUDURE'!E943="","",'CARNET DE SOUDURE'!B943&amp;"")</f>
        <v/>
      </c>
      <c r="C943" s="83" t="str">
        <f aca="false">IF('CARNET DE SOUDURE'!E943="","",'CARNET DE SOUDURE'!E943)</f>
        <v/>
      </c>
      <c r="D943" s="78" t="str">
        <f aca="false">IF('CARNET DE SOUDURE'!E943="","",'CARNET DE SOUDURE'!D943&amp;"")</f>
        <v/>
      </c>
      <c r="E943" s="96" t="str">
        <f aca="false">IF(OR('CARNET DE SOUDURE'!E943="",'CARNET DE SOUDURE'!R943=""),"",'CARNET DE SOUDURE'!R943)</f>
        <v/>
      </c>
      <c r="F943" s="81" t="str">
        <f aca="false">IF('CARNET DE SOUDURE'!E943="","",'CARNET DE SOUDURE'!AL943)</f>
        <v/>
      </c>
      <c r="G943" s="81" t="str">
        <f aca="false">IF('CARNET DE SOUDURE'!E943="","",'CARNET DE SOUDURE'!AM943)</f>
        <v/>
      </c>
      <c r="H943" s="81" t="str">
        <f aca="false">IF(C943="","",IF(G943="ACCEPTÉ","OUI","NON"))</f>
        <v/>
      </c>
      <c r="I943" s="82"/>
      <c r="J943" s="79"/>
      <c r="K943" s="80"/>
      <c r="L943" s="80"/>
      <c r="M943" s="80"/>
      <c r="N943" s="83" t="str">
        <f aca="false">IF(C943="","",IF(I943="",IF(H943="OUI","À ENROBER",IF(G943="À SOUDER","NON SOUDÉ","EN ATTENTE RT")),IF(L943="R","À REPRENDRE",IF(H943&lt;&gt;"OUI","⚠ ENROBÉ AVANT ACCEPTATION RT","ENROBÉ"))))</f>
        <v/>
      </c>
      <c r="O943" s="79"/>
    </row>
    <row r="944" customFormat="false" ht="15" hidden="false" customHeight="false" outlineLevel="0" collapsed="false">
      <c r="A944" s="78" t="str">
        <f aca="false">IF('CARNET DE SOUDURE'!E944="","",'CARNET DE SOUDURE'!A944)</f>
        <v/>
      </c>
      <c r="B944" s="93" t="str">
        <f aca="false">IF('CARNET DE SOUDURE'!E944="","",'CARNET DE SOUDURE'!B944&amp;"")</f>
        <v/>
      </c>
      <c r="C944" s="83" t="str">
        <f aca="false">IF('CARNET DE SOUDURE'!E944="","",'CARNET DE SOUDURE'!E944)</f>
        <v/>
      </c>
      <c r="D944" s="78" t="str">
        <f aca="false">IF('CARNET DE SOUDURE'!E944="","",'CARNET DE SOUDURE'!D944&amp;"")</f>
        <v/>
      </c>
      <c r="E944" s="96" t="str">
        <f aca="false">IF(OR('CARNET DE SOUDURE'!E944="",'CARNET DE SOUDURE'!R944=""),"",'CARNET DE SOUDURE'!R944)</f>
        <v/>
      </c>
      <c r="F944" s="81" t="str">
        <f aca="false">IF('CARNET DE SOUDURE'!E944="","",'CARNET DE SOUDURE'!AL944)</f>
        <v/>
      </c>
      <c r="G944" s="81" t="str">
        <f aca="false">IF('CARNET DE SOUDURE'!E944="","",'CARNET DE SOUDURE'!AM944)</f>
        <v/>
      </c>
      <c r="H944" s="81" t="str">
        <f aca="false">IF(C944="","",IF(G944="ACCEPTÉ","OUI","NON"))</f>
        <v/>
      </c>
      <c r="I944" s="82"/>
      <c r="J944" s="79"/>
      <c r="K944" s="80"/>
      <c r="L944" s="80"/>
      <c r="M944" s="80"/>
      <c r="N944" s="83" t="str">
        <f aca="false">IF(C944="","",IF(I944="",IF(H944="OUI","À ENROBER",IF(G944="À SOUDER","NON SOUDÉ","EN ATTENTE RT")),IF(L944="R","À REPRENDRE",IF(H944&lt;&gt;"OUI","⚠ ENROBÉ AVANT ACCEPTATION RT","ENROBÉ"))))</f>
        <v/>
      </c>
      <c r="O944" s="79"/>
    </row>
    <row r="945" customFormat="false" ht="15" hidden="false" customHeight="false" outlineLevel="0" collapsed="false">
      <c r="A945" s="78" t="str">
        <f aca="false">IF('CARNET DE SOUDURE'!E945="","",'CARNET DE SOUDURE'!A945)</f>
        <v/>
      </c>
      <c r="B945" s="93" t="str">
        <f aca="false">IF('CARNET DE SOUDURE'!E945="","",'CARNET DE SOUDURE'!B945&amp;"")</f>
        <v/>
      </c>
      <c r="C945" s="83" t="str">
        <f aca="false">IF('CARNET DE SOUDURE'!E945="","",'CARNET DE SOUDURE'!E945)</f>
        <v/>
      </c>
      <c r="D945" s="78" t="str">
        <f aca="false">IF('CARNET DE SOUDURE'!E945="","",'CARNET DE SOUDURE'!D945&amp;"")</f>
        <v/>
      </c>
      <c r="E945" s="96" t="str">
        <f aca="false">IF(OR('CARNET DE SOUDURE'!E945="",'CARNET DE SOUDURE'!R945=""),"",'CARNET DE SOUDURE'!R945)</f>
        <v/>
      </c>
      <c r="F945" s="81" t="str">
        <f aca="false">IF('CARNET DE SOUDURE'!E945="","",'CARNET DE SOUDURE'!AL945)</f>
        <v/>
      </c>
      <c r="G945" s="81" t="str">
        <f aca="false">IF('CARNET DE SOUDURE'!E945="","",'CARNET DE SOUDURE'!AM945)</f>
        <v/>
      </c>
      <c r="H945" s="81" t="str">
        <f aca="false">IF(C945="","",IF(G945="ACCEPTÉ","OUI","NON"))</f>
        <v/>
      </c>
      <c r="I945" s="82"/>
      <c r="J945" s="79"/>
      <c r="K945" s="80"/>
      <c r="L945" s="80"/>
      <c r="M945" s="80"/>
      <c r="N945" s="83" t="str">
        <f aca="false">IF(C945="","",IF(I945="",IF(H945="OUI","À ENROBER",IF(G945="À SOUDER","NON SOUDÉ","EN ATTENTE RT")),IF(L945="R","À REPRENDRE",IF(H945&lt;&gt;"OUI","⚠ ENROBÉ AVANT ACCEPTATION RT","ENROBÉ"))))</f>
        <v/>
      </c>
      <c r="O945" s="79"/>
    </row>
    <row r="946" customFormat="false" ht="15" hidden="false" customHeight="false" outlineLevel="0" collapsed="false">
      <c r="A946" s="78" t="str">
        <f aca="false">IF('CARNET DE SOUDURE'!E946="","",'CARNET DE SOUDURE'!A946)</f>
        <v/>
      </c>
      <c r="B946" s="93" t="str">
        <f aca="false">IF('CARNET DE SOUDURE'!E946="","",'CARNET DE SOUDURE'!B946&amp;"")</f>
        <v/>
      </c>
      <c r="C946" s="83" t="str">
        <f aca="false">IF('CARNET DE SOUDURE'!E946="","",'CARNET DE SOUDURE'!E946)</f>
        <v/>
      </c>
      <c r="D946" s="78" t="str">
        <f aca="false">IF('CARNET DE SOUDURE'!E946="","",'CARNET DE SOUDURE'!D946&amp;"")</f>
        <v/>
      </c>
      <c r="E946" s="96" t="str">
        <f aca="false">IF(OR('CARNET DE SOUDURE'!E946="",'CARNET DE SOUDURE'!R946=""),"",'CARNET DE SOUDURE'!R946)</f>
        <v/>
      </c>
      <c r="F946" s="81" t="str">
        <f aca="false">IF('CARNET DE SOUDURE'!E946="","",'CARNET DE SOUDURE'!AL946)</f>
        <v/>
      </c>
      <c r="G946" s="81" t="str">
        <f aca="false">IF('CARNET DE SOUDURE'!E946="","",'CARNET DE SOUDURE'!AM946)</f>
        <v/>
      </c>
      <c r="H946" s="81" t="str">
        <f aca="false">IF(C946="","",IF(G946="ACCEPTÉ","OUI","NON"))</f>
        <v/>
      </c>
      <c r="I946" s="82"/>
      <c r="J946" s="79"/>
      <c r="K946" s="80"/>
      <c r="L946" s="80"/>
      <c r="M946" s="80"/>
      <c r="N946" s="83" t="str">
        <f aca="false">IF(C946="","",IF(I946="",IF(H946="OUI","À ENROBER",IF(G946="À SOUDER","NON SOUDÉ","EN ATTENTE RT")),IF(L946="R","À REPRENDRE",IF(H946&lt;&gt;"OUI","⚠ ENROBÉ AVANT ACCEPTATION RT","ENROBÉ"))))</f>
        <v/>
      </c>
      <c r="O946" s="79"/>
    </row>
    <row r="947" customFormat="false" ht="15" hidden="false" customHeight="false" outlineLevel="0" collapsed="false">
      <c r="A947" s="78" t="str">
        <f aca="false">IF('CARNET DE SOUDURE'!E947="","",'CARNET DE SOUDURE'!A947)</f>
        <v/>
      </c>
      <c r="B947" s="93" t="str">
        <f aca="false">IF('CARNET DE SOUDURE'!E947="","",'CARNET DE SOUDURE'!B947&amp;"")</f>
        <v/>
      </c>
      <c r="C947" s="83" t="str">
        <f aca="false">IF('CARNET DE SOUDURE'!E947="","",'CARNET DE SOUDURE'!E947)</f>
        <v/>
      </c>
      <c r="D947" s="78" t="str">
        <f aca="false">IF('CARNET DE SOUDURE'!E947="","",'CARNET DE SOUDURE'!D947&amp;"")</f>
        <v/>
      </c>
      <c r="E947" s="96" t="str">
        <f aca="false">IF(OR('CARNET DE SOUDURE'!E947="",'CARNET DE SOUDURE'!R947=""),"",'CARNET DE SOUDURE'!R947)</f>
        <v/>
      </c>
      <c r="F947" s="81" t="str">
        <f aca="false">IF('CARNET DE SOUDURE'!E947="","",'CARNET DE SOUDURE'!AL947)</f>
        <v/>
      </c>
      <c r="G947" s="81" t="str">
        <f aca="false">IF('CARNET DE SOUDURE'!E947="","",'CARNET DE SOUDURE'!AM947)</f>
        <v/>
      </c>
      <c r="H947" s="81" t="str">
        <f aca="false">IF(C947="","",IF(G947="ACCEPTÉ","OUI","NON"))</f>
        <v/>
      </c>
      <c r="I947" s="82"/>
      <c r="J947" s="79"/>
      <c r="K947" s="80"/>
      <c r="L947" s="80"/>
      <c r="M947" s="80"/>
      <c r="N947" s="83" t="str">
        <f aca="false">IF(C947="","",IF(I947="",IF(H947="OUI","À ENROBER",IF(G947="À SOUDER","NON SOUDÉ","EN ATTENTE RT")),IF(L947="R","À REPRENDRE",IF(H947&lt;&gt;"OUI","⚠ ENROBÉ AVANT ACCEPTATION RT","ENROBÉ"))))</f>
        <v/>
      </c>
      <c r="O947" s="79"/>
    </row>
    <row r="948" customFormat="false" ht="15" hidden="false" customHeight="false" outlineLevel="0" collapsed="false">
      <c r="A948" s="78" t="str">
        <f aca="false">IF('CARNET DE SOUDURE'!E948="","",'CARNET DE SOUDURE'!A948)</f>
        <v/>
      </c>
      <c r="B948" s="93" t="str">
        <f aca="false">IF('CARNET DE SOUDURE'!E948="","",'CARNET DE SOUDURE'!B948&amp;"")</f>
        <v/>
      </c>
      <c r="C948" s="83" t="str">
        <f aca="false">IF('CARNET DE SOUDURE'!E948="","",'CARNET DE SOUDURE'!E948)</f>
        <v/>
      </c>
      <c r="D948" s="78" t="str">
        <f aca="false">IF('CARNET DE SOUDURE'!E948="","",'CARNET DE SOUDURE'!D948&amp;"")</f>
        <v/>
      </c>
      <c r="E948" s="96" t="str">
        <f aca="false">IF(OR('CARNET DE SOUDURE'!E948="",'CARNET DE SOUDURE'!R948=""),"",'CARNET DE SOUDURE'!R948)</f>
        <v/>
      </c>
      <c r="F948" s="81" t="str">
        <f aca="false">IF('CARNET DE SOUDURE'!E948="","",'CARNET DE SOUDURE'!AL948)</f>
        <v/>
      </c>
      <c r="G948" s="81" t="str">
        <f aca="false">IF('CARNET DE SOUDURE'!E948="","",'CARNET DE SOUDURE'!AM948)</f>
        <v/>
      </c>
      <c r="H948" s="81" t="str">
        <f aca="false">IF(C948="","",IF(G948="ACCEPTÉ","OUI","NON"))</f>
        <v/>
      </c>
      <c r="I948" s="82"/>
      <c r="J948" s="79"/>
      <c r="K948" s="80"/>
      <c r="L948" s="80"/>
      <c r="M948" s="80"/>
      <c r="N948" s="83" t="str">
        <f aca="false">IF(C948="","",IF(I948="",IF(H948="OUI","À ENROBER",IF(G948="À SOUDER","NON SOUDÉ","EN ATTENTE RT")),IF(L948="R","À REPRENDRE",IF(H948&lt;&gt;"OUI","⚠ ENROBÉ AVANT ACCEPTATION RT","ENROBÉ"))))</f>
        <v/>
      </c>
      <c r="O948" s="79"/>
    </row>
    <row r="949" customFormat="false" ht="15" hidden="false" customHeight="false" outlineLevel="0" collapsed="false">
      <c r="A949" s="78" t="str">
        <f aca="false">IF('CARNET DE SOUDURE'!E949="","",'CARNET DE SOUDURE'!A949)</f>
        <v/>
      </c>
      <c r="B949" s="93" t="str">
        <f aca="false">IF('CARNET DE SOUDURE'!E949="","",'CARNET DE SOUDURE'!B949&amp;"")</f>
        <v/>
      </c>
      <c r="C949" s="83" t="str">
        <f aca="false">IF('CARNET DE SOUDURE'!E949="","",'CARNET DE SOUDURE'!E949)</f>
        <v/>
      </c>
      <c r="D949" s="78" t="str">
        <f aca="false">IF('CARNET DE SOUDURE'!E949="","",'CARNET DE SOUDURE'!D949&amp;"")</f>
        <v/>
      </c>
      <c r="E949" s="96" t="str">
        <f aca="false">IF(OR('CARNET DE SOUDURE'!E949="",'CARNET DE SOUDURE'!R949=""),"",'CARNET DE SOUDURE'!R949)</f>
        <v/>
      </c>
      <c r="F949" s="81" t="str">
        <f aca="false">IF('CARNET DE SOUDURE'!E949="","",'CARNET DE SOUDURE'!AL949)</f>
        <v/>
      </c>
      <c r="G949" s="81" t="str">
        <f aca="false">IF('CARNET DE SOUDURE'!E949="","",'CARNET DE SOUDURE'!AM949)</f>
        <v/>
      </c>
      <c r="H949" s="81" t="str">
        <f aca="false">IF(C949="","",IF(G949="ACCEPTÉ","OUI","NON"))</f>
        <v/>
      </c>
      <c r="I949" s="82"/>
      <c r="J949" s="79"/>
      <c r="K949" s="80"/>
      <c r="L949" s="80"/>
      <c r="M949" s="80"/>
      <c r="N949" s="83" t="str">
        <f aca="false">IF(C949="","",IF(I949="",IF(H949="OUI","À ENROBER",IF(G949="À SOUDER","NON SOUDÉ","EN ATTENTE RT")),IF(L949="R","À REPRENDRE",IF(H949&lt;&gt;"OUI","⚠ ENROBÉ AVANT ACCEPTATION RT","ENROBÉ"))))</f>
        <v/>
      </c>
      <c r="O949" s="79"/>
    </row>
    <row r="950" customFormat="false" ht="15" hidden="false" customHeight="false" outlineLevel="0" collapsed="false">
      <c r="A950" s="78" t="str">
        <f aca="false">IF('CARNET DE SOUDURE'!E950="","",'CARNET DE SOUDURE'!A950)</f>
        <v/>
      </c>
      <c r="B950" s="93" t="str">
        <f aca="false">IF('CARNET DE SOUDURE'!E950="","",'CARNET DE SOUDURE'!B950&amp;"")</f>
        <v/>
      </c>
      <c r="C950" s="83" t="str">
        <f aca="false">IF('CARNET DE SOUDURE'!E950="","",'CARNET DE SOUDURE'!E950)</f>
        <v/>
      </c>
      <c r="D950" s="78" t="str">
        <f aca="false">IF('CARNET DE SOUDURE'!E950="","",'CARNET DE SOUDURE'!D950&amp;"")</f>
        <v/>
      </c>
      <c r="E950" s="96" t="str">
        <f aca="false">IF(OR('CARNET DE SOUDURE'!E950="",'CARNET DE SOUDURE'!R950=""),"",'CARNET DE SOUDURE'!R950)</f>
        <v/>
      </c>
      <c r="F950" s="81" t="str">
        <f aca="false">IF('CARNET DE SOUDURE'!E950="","",'CARNET DE SOUDURE'!AL950)</f>
        <v/>
      </c>
      <c r="G950" s="81" t="str">
        <f aca="false">IF('CARNET DE SOUDURE'!E950="","",'CARNET DE SOUDURE'!AM950)</f>
        <v/>
      </c>
      <c r="H950" s="81" t="str">
        <f aca="false">IF(C950="","",IF(G950="ACCEPTÉ","OUI","NON"))</f>
        <v/>
      </c>
      <c r="I950" s="82"/>
      <c r="J950" s="79"/>
      <c r="K950" s="80"/>
      <c r="L950" s="80"/>
      <c r="M950" s="80"/>
      <c r="N950" s="83" t="str">
        <f aca="false">IF(C950="","",IF(I950="",IF(H950="OUI","À ENROBER",IF(G950="À SOUDER","NON SOUDÉ","EN ATTENTE RT")),IF(L950="R","À REPRENDRE",IF(H950&lt;&gt;"OUI","⚠ ENROBÉ AVANT ACCEPTATION RT","ENROBÉ"))))</f>
        <v/>
      </c>
      <c r="O950" s="79"/>
    </row>
    <row r="951" customFormat="false" ht="15" hidden="false" customHeight="false" outlineLevel="0" collapsed="false">
      <c r="A951" s="78" t="str">
        <f aca="false">IF('CARNET DE SOUDURE'!E951="","",'CARNET DE SOUDURE'!A951)</f>
        <v/>
      </c>
      <c r="B951" s="93" t="str">
        <f aca="false">IF('CARNET DE SOUDURE'!E951="","",'CARNET DE SOUDURE'!B951&amp;"")</f>
        <v/>
      </c>
      <c r="C951" s="83" t="str">
        <f aca="false">IF('CARNET DE SOUDURE'!E951="","",'CARNET DE SOUDURE'!E951)</f>
        <v/>
      </c>
      <c r="D951" s="78" t="str">
        <f aca="false">IF('CARNET DE SOUDURE'!E951="","",'CARNET DE SOUDURE'!D951&amp;"")</f>
        <v/>
      </c>
      <c r="E951" s="96" t="str">
        <f aca="false">IF(OR('CARNET DE SOUDURE'!E951="",'CARNET DE SOUDURE'!R951=""),"",'CARNET DE SOUDURE'!R951)</f>
        <v/>
      </c>
      <c r="F951" s="81" t="str">
        <f aca="false">IF('CARNET DE SOUDURE'!E951="","",'CARNET DE SOUDURE'!AL951)</f>
        <v/>
      </c>
      <c r="G951" s="81" t="str">
        <f aca="false">IF('CARNET DE SOUDURE'!E951="","",'CARNET DE SOUDURE'!AM951)</f>
        <v/>
      </c>
      <c r="H951" s="81" t="str">
        <f aca="false">IF(C951="","",IF(G951="ACCEPTÉ","OUI","NON"))</f>
        <v/>
      </c>
      <c r="I951" s="82"/>
      <c r="J951" s="79"/>
      <c r="K951" s="80"/>
      <c r="L951" s="80"/>
      <c r="M951" s="80"/>
      <c r="N951" s="83" t="str">
        <f aca="false">IF(C951="","",IF(I951="",IF(H951="OUI","À ENROBER",IF(G951="À SOUDER","NON SOUDÉ","EN ATTENTE RT")),IF(L951="R","À REPRENDRE",IF(H951&lt;&gt;"OUI","⚠ ENROBÉ AVANT ACCEPTATION RT","ENROBÉ"))))</f>
        <v/>
      </c>
      <c r="O951" s="79"/>
    </row>
    <row r="952" customFormat="false" ht="15" hidden="false" customHeight="false" outlineLevel="0" collapsed="false">
      <c r="A952" s="78" t="str">
        <f aca="false">IF('CARNET DE SOUDURE'!E952="","",'CARNET DE SOUDURE'!A952)</f>
        <v/>
      </c>
      <c r="B952" s="93" t="str">
        <f aca="false">IF('CARNET DE SOUDURE'!E952="","",'CARNET DE SOUDURE'!B952&amp;"")</f>
        <v/>
      </c>
      <c r="C952" s="83" t="str">
        <f aca="false">IF('CARNET DE SOUDURE'!E952="","",'CARNET DE SOUDURE'!E952)</f>
        <v/>
      </c>
      <c r="D952" s="78" t="str">
        <f aca="false">IF('CARNET DE SOUDURE'!E952="","",'CARNET DE SOUDURE'!D952&amp;"")</f>
        <v/>
      </c>
      <c r="E952" s="96" t="str">
        <f aca="false">IF(OR('CARNET DE SOUDURE'!E952="",'CARNET DE SOUDURE'!R952=""),"",'CARNET DE SOUDURE'!R952)</f>
        <v/>
      </c>
      <c r="F952" s="81" t="str">
        <f aca="false">IF('CARNET DE SOUDURE'!E952="","",'CARNET DE SOUDURE'!AL952)</f>
        <v/>
      </c>
      <c r="G952" s="81" t="str">
        <f aca="false">IF('CARNET DE SOUDURE'!E952="","",'CARNET DE SOUDURE'!AM952)</f>
        <v/>
      </c>
      <c r="H952" s="81" t="str">
        <f aca="false">IF(C952="","",IF(G952="ACCEPTÉ","OUI","NON"))</f>
        <v/>
      </c>
      <c r="I952" s="82"/>
      <c r="J952" s="79"/>
      <c r="K952" s="80"/>
      <c r="L952" s="80"/>
      <c r="M952" s="80"/>
      <c r="N952" s="83" t="str">
        <f aca="false">IF(C952="","",IF(I952="",IF(H952="OUI","À ENROBER",IF(G952="À SOUDER","NON SOUDÉ","EN ATTENTE RT")),IF(L952="R","À REPRENDRE",IF(H952&lt;&gt;"OUI","⚠ ENROBÉ AVANT ACCEPTATION RT","ENROBÉ"))))</f>
        <v/>
      </c>
      <c r="O952" s="79"/>
    </row>
    <row r="953" customFormat="false" ht="15" hidden="false" customHeight="false" outlineLevel="0" collapsed="false">
      <c r="A953" s="78" t="str">
        <f aca="false">IF('CARNET DE SOUDURE'!E953="","",'CARNET DE SOUDURE'!A953)</f>
        <v/>
      </c>
      <c r="B953" s="93" t="str">
        <f aca="false">IF('CARNET DE SOUDURE'!E953="","",'CARNET DE SOUDURE'!B953&amp;"")</f>
        <v/>
      </c>
      <c r="C953" s="83" t="str">
        <f aca="false">IF('CARNET DE SOUDURE'!E953="","",'CARNET DE SOUDURE'!E953)</f>
        <v/>
      </c>
      <c r="D953" s="78" t="str">
        <f aca="false">IF('CARNET DE SOUDURE'!E953="","",'CARNET DE SOUDURE'!D953&amp;"")</f>
        <v/>
      </c>
      <c r="E953" s="96" t="str">
        <f aca="false">IF(OR('CARNET DE SOUDURE'!E953="",'CARNET DE SOUDURE'!R953=""),"",'CARNET DE SOUDURE'!R953)</f>
        <v/>
      </c>
      <c r="F953" s="81" t="str">
        <f aca="false">IF('CARNET DE SOUDURE'!E953="","",'CARNET DE SOUDURE'!AL953)</f>
        <v/>
      </c>
      <c r="G953" s="81" t="str">
        <f aca="false">IF('CARNET DE SOUDURE'!E953="","",'CARNET DE SOUDURE'!AM953)</f>
        <v/>
      </c>
      <c r="H953" s="81" t="str">
        <f aca="false">IF(C953="","",IF(G953="ACCEPTÉ","OUI","NON"))</f>
        <v/>
      </c>
      <c r="I953" s="82"/>
      <c r="J953" s="79"/>
      <c r="K953" s="80"/>
      <c r="L953" s="80"/>
      <c r="M953" s="80"/>
      <c r="N953" s="83" t="str">
        <f aca="false">IF(C953="","",IF(I953="",IF(H953="OUI","À ENROBER",IF(G953="À SOUDER","NON SOUDÉ","EN ATTENTE RT")),IF(L953="R","À REPRENDRE",IF(H953&lt;&gt;"OUI","⚠ ENROBÉ AVANT ACCEPTATION RT","ENROBÉ"))))</f>
        <v/>
      </c>
      <c r="O953" s="79"/>
    </row>
    <row r="954" customFormat="false" ht="15" hidden="false" customHeight="false" outlineLevel="0" collapsed="false">
      <c r="A954" s="78" t="str">
        <f aca="false">IF('CARNET DE SOUDURE'!E954="","",'CARNET DE SOUDURE'!A954)</f>
        <v/>
      </c>
      <c r="B954" s="93" t="str">
        <f aca="false">IF('CARNET DE SOUDURE'!E954="","",'CARNET DE SOUDURE'!B954&amp;"")</f>
        <v/>
      </c>
      <c r="C954" s="83" t="str">
        <f aca="false">IF('CARNET DE SOUDURE'!E954="","",'CARNET DE SOUDURE'!E954)</f>
        <v/>
      </c>
      <c r="D954" s="78" t="str">
        <f aca="false">IF('CARNET DE SOUDURE'!E954="","",'CARNET DE SOUDURE'!D954&amp;"")</f>
        <v/>
      </c>
      <c r="E954" s="96" t="str">
        <f aca="false">IF(OR('CARNET DE SOUDURE'!E954="",'CARNET DE SOUDURE'!R954=""),"",'CARNET DE SOUDURE'!R954)</f>
        <v/>
      </c>
      <c r="F954" s="81" t="str">
        <f aca="false">IF('CARNET DE SOUDURE'!E954="","",'CARNET DE SOUDURE'!AL954)</f>
        <v/>
      </c>
      <c r="G954" s="81" t="str">
        <f aca="false">IF('CARNET DE SOUDURE'!E954="","",'CARNET DE SOUDURE'!AM954)</f>
        <v/>
      </c>
      <c r="H954" s="81" t="str">
        <f aca="false">IF(C954="","",IF(G954="ACCEPTÉ","OUI","NON"))</f>
        <v/>
      </c>
      <c r="I954" s="82"/>
      <c r="J954" s="79"/>
      <c r="K954" s="80"/>
      <c r="L954" s="80"/>
      <c r="M954" s="80"/>
      <c r="N954" s="83" t="str">
        <f aca="false">IF(C954="","",IF(I954="",IF(H954="OUI","À ENROBER",IF(G954="À SOUDER","NON SOUDÉ","EN ATTENTE RT")),IF(L954="R","À REPRENDRE",IF(H954&lt;&gt;"OUI","⚠ ENROBÉ AVANT ACCEPTATION RT","ENROBÉ"))))</f>
        <v/>
      </c>
      <c r="O954" s="79"/>
    </row>
    <row r="955" customFormat="false" ht="15" hidden="false" customHeight="false" outlineLevel="0" collapsed="false">
      <c r="A955" s="78" t="str">
        <f aca="false">IF('CARNET DE SOUDURE'!E955="","",'CARNET DE SOUDURE'!A955)</f>
        <v/>
      </c>
      <c r="B955" s="93" t="str">
        <f aca="false">IF('CARNET DE SOUDURE'!E955="","",'CARNET DE SOUDURE'!B955&amp;"")</f>
        <v/>
      </c>
      <c r="C955" s="83" t="str">
        <f aca="false">IF('CARNET DE SOUDURE'!E955="","",'CARNET DE SOUDURE'!E955)</f>
        <v/>
      </c>
      <c r="D955" s="78" t="str">
        <f aca="false">IF('CARNET DE SOUDURE'!E955="","",'CARNET DE SOUDURE'!D955&amp;"")</f>
        <v/>
      </c>
      <c r="E955" s="96" t="str">
        <f aca="false">IF(OR('CARNET DE SOUDURE'!E955="",'CARNET DE SOUDURE'!R955=""),"",'CARNET DE SOUDURE'!R955)</f>
        <v/>
      </c>
      <c r="F955" s="81" t="str">
        <f aca="false">IF('CARNET DE SOUDURE'!E955="","",'CARNET DE SOUDURE'!AL955)</f>
        <v/>
      </c>
      <c r="G955" s="81" t="str">
        <f aca="false">IF('CARNET DE SOUDURE'!E955="","",'CARNET DE SOUDURE'!AM955)</f>
        <v/>
      </c>
      <c r="H955" s="81" t="str">
        <f aca="false">IF(C955="","",IF(G955="ACCEPTÉ","OUI","NON"))</f>
        <v/>
      </c>
      <c r="I955" s="82"/>
      <c r="J955" s="79"/>
      <c r="K955" s="80"/>
      <c r="L955" s="80"/>
      <c r="M955" s="80"/>
      <c r="N955" s="83" t="str">
        <f aca="false">IF(C955="","",IF(I955="",IF(H955="OUI","À ENROBER",IF(G955="À SOUDER","NON SOUDÉ","EN ATTENTE RT")),IF(L955="R","À REPRENDRE",IF(H955&lt;&gt;"OUI","⚠ ENROBÉ AVANT ACCEPTATION RT","ENROBÉ"))))</f>
        <v/>
      </c>
      <c r="O955" s="79"/>
    </row>
    <row r="956" customFormat="false" ht="15" hidden="false" customHeight="false" outlineLevel="0" collapsed="false">
      <c r="A956" s="78" t="str">
        <f aca="false">IF('CARNET DE SOUDURE'!E956="","",'CARNET DE SOUDURE'!A956)</f>
        <v/>
      </c>
      <c r="B956" s="93" t="str">
        <f aca="false">IF('CARNET DE SOUDURE'!E956="","",'CARNET DE SOUDURE'!B956&amp;"")</f>
        <v/>
      </c>
      <c r="C956" s="83" t="str">
        <f aca="false">IF('CARNET DE SOUDURE'!E956="","",'CARNET DE SOUDURE'!E956)</f>
        <v/>
      </c>
      <c r="D956" s="78" t="str">
        <f aca="false">IF('CARNET DE SOUDURE'!E956="","",'CARNET DE SOUDURE'!D956&amp;"")</f>
        <v/>
      </c>
      <c r="E956" s="96" t="str">
        <f aca="false">IF(OR('CARNET DE SOUDURE'!E956="",'CARNET DE SOUDURE'!R956=""),"",'CARNET DE SOUDURE'!R956)</f>
        <v/>
      </c>
      <c r="F956" s="81" t="str">
        <f aca="false">IF('CARNET DE SOUDURE'!E956="","",'CARNET DE SOUDURE'!AL956)</f>
        <v/>
      </c>
      <c r="G956" s="81" t="str">
        <f aca="false">IF('CARNET DE SOUDURE'!E956="","",'CARNET DE SOUDURE'!AM956)</f>
        <v/>
      </c>
      <c r="H956" s="81" t="str">
        <f aca="false">IF(C956="","",IF(G956="ACCEPTÉ","OUI","NON"))</f>
        <v/>
      </c>
      <c r="I956" s="82"/>
      <c r="J956" s="79"/>
      <c r="K956" s="80"/>
      <c r="L956" s="80"/>
      <c r="M956" s="80"/>
      <c r="N956" s="83" t="str">
        <f aca="false">IF(C956="","",IF(I956="",IF(H956="OUI","À ENROBER",IF(G956="À SOUDER","NON SOUDÉ","EN ATTENTE RT")),IF(L956="R","À REPRENDRE",IF(H956&lt;&gt;"OUI","⚠ ENROBÉ AVANT ACCEPTATION RT","ENROBÉ"))))</f>
        <v/>
      </c>
      <c r="O956" s="79"/>
    </row>
    <row r="957" customFormat="false" ht="15" hidden="false" customHeight="false" outlineLevel="0" collapsed="false">
      <c r="A957" s="78" t="str">
        <f aca="false">IF('CARNET DE SOUDURE'!E957="","",'CARNET DE SOUDURE'!A957)</f>
        <v/>
      </c>
      <c r="B957" s="93" t="str">
        <f aca="false">IF('CARNET DE SOUDURE'!E957="","",'CARNET DE SOUDURE'!B957&amp;"")</f>
        <v/>
      </c>
      <c r="C957" s="83" t="str">
        <f aca="false">IF('CARNET DE SOUDURE'!E957="","",'CARNET DE SOUDURE'!E957)</f>
        <v/>
      </c>
      <c r="D957" s="78" t="str">
        <f aca="false">IF('CARNET DE SOUDURE'!E957="","",'CARNET DE SOUDURE'!D957&amp;"")</f>
        <v/>
      </c>
      <c r="E957" s="96" t="str">
        <f aca="false">IF(OR('CARNET DE SOUDURE'!E957="",'CARNET DE SOUDURE'!R957=""),"",'CARNET DE SOUDURE'!R957)</f>
        <v/>
      </c>
      <c r="F957" s="81" t="str">
        <f aca="false">IF('CARNET DE SOUDURE'!E957="","",'CARNET DE SOUDURE'!AL957)</f>
        <v/>
      </c>
      <c r="G957" s="81" t="str">
        <f aca="false">IF('CARNET DE SOUDURE'!E957="","",'CARNET DE SOUDURE'!AM957)</f>
        <v/>
      </c>
      <c r="H957" s="81" t="str">
        <f aca="false">IF(C957="","",IF(G957="ACCEPTÉ","OUI","NON"))</f>
        <v/>
      </c>
      <c r="I957" s="82"/>
      <c r="J957" s="79"/>
      <c r="K957" s="80"/>
      <c r="L957" s="80"/>
      <c r="M957" s="80"/>
      <c r="N957" s="83" t="str">
        <f aca="false">IF(C957="","",IF(I957="",IF(H957="OUI","À ENROBER",IF(G957="À SOUDER","NON SOUDÉ","EN ATTENTE RT")),IF(L957="R","À REPRENDRE",IF(H957&lt;&gt;"OUI","⚠ ENROBÉ AVANT ACCEPTATION RT","ENROBÉ"))))</f>
        <v/>
      </c>
      <c r="O957" s="79"/>
    </row>
    <row r="958" customFormat="false" ht="15" hidden="false" customHeight="false" outlineLevel="0" collapsed="false">
      <c r="A958" s="78" t="str">
        <f aca="false">IF('CARNET DE SOUDURE'!E958="","",'CARNET DE SOUDURE'!A958)</f>
        <v/>
      </c>
      <c r="B958" s="93" t="str">
        <f aca="false">IF('CARNET DE SOUDURE'!E958="","",'CARNET DE SOUDURE'!B958&amp;"")</f>
        <v/>
      </c>
      <c r="C958" s="83" t="str">
        <f aca="false">IF('CARNET DE SOUDURE'!E958="","",'CARNET DE SOUDURE'!E958)</f>
        <v/>
      </c>
      <c r="D958" s="78" t="str">
        <f aca="false">IF('CARNET DE SOUDURE'!E958="","",'CARNET DE SOUDURE'!D958&amp;"")</f>
        <v/>
      </c>
      <c r="E958" s="96" t="str">
        <f aca="false">IF(OR('CARNET DE SOUDURE'!E958="",'CARNET DE SOUDURE'!R958=""),"",'CARNET DE SOUDURE'!R958)</f>
        <v/>
      </c>
      <c r="F958" s="81" t="str">
        <f aca="false">IF('CARNET DE SOUDURE'!E958="","",'CARNET DE SOUDURE'!AL958)</f>
        <v/>
      </c>
      <c r="G958" s="81" t="str">
        <f aca="false">IF('CARNET DE SOUDURE'!E958="","",'CARNET DE SOUDURE'!AM958)</f>
        <v/>
      </c>
      <c r="H958" s="81" t="str">
        <f aca="false">IF(C958="","",IF(G958="ACCEPTÉ","OUI","NON"))</f>
        <v/>
      </c>
      <c r="I958" s="82"/>
      <c r="J958" s="79"/>
      <c r="K958" s="80"/>
      <c r="L958" s="80"/>
      <c r="M958" s="80"/>
      <c r="N958" s="83" t="str">
        <f aca="false">IF(C958="","",IF(I958="",IF(H958="OUI","À ENROBER",IF(G958="À SOUDER","NON SOUDÉ","EN ATTENTE RT")),IF(L958="R","À REPRENDRE",IF(H958&lt;&gt;"OUI","⚠ ENROBÉ AVANT ACCEPTATION RT","ENROBÉ"))))</f>
        <v/>
      </c>
      <c r="O958" s="79"/>
    </row>
    <row r="959" customFormat="false" ht="15" hidden="false" customHeight="false" outlineLevel="0" collapsed="false">
      <c r="A959" s="78" t="str">
        <f aca="false">IF('CARNET DE SOUDURE'!E959="","",'CARNET DE SOUDURE'!A959)</f>
        <v/>
      </c>
      <c r="B959" s="93" t="str">
        <f aca="false">IF('CARNET DE SOUDURE'!E959="","",'CARNET DE SOUDURE'!B959&amp;"")</f>
        <v/>
      </c>
      <c r="C959" s="83" t="str">
        <f aca="false">IF('CARNET DE SOUDURE'!E959="","",'CARNET DE SOUDURE'!E959)</f>
        <v/>
      </c>
      <c r="D959" s="78" t="str">
        <f aca="false">IF('CARNET DE SOUDURE'!E959="","",'CARNET DE SOUDURE'!D959&amp;"")</f>
        <v/>
      </c>
      <c r="E959" s="96" t="str">
        <f aca="false">IF(OR('CARNET DE SOUDURE'!E959="",'CARNET DE SOUDURE'!R959=""),"",'CARNET DE SOUDURE'!R959)</f>
        <v/>
      </c>
      <c r="F959" s="81" t="str">
        <f aca="false">IF('CARNET DE SOUDURE'!E959="","",'CARNET DE SOUDURE'!AL959)</f>
        <v/>
      </c>
      <c r="G959" s="81" t="str">
        <f aca="false">IF('CARNET DE SOUDURE'!E959="","",'CARNET DE SOUDURE'!AM959)</f>
        <v/>
      </c>
      <c r="H959" s="81" t="str">
        <f aca="false">IF(C959="","",IF(G959="ACCEPTÉ","OUI","NON"))</f>
        <v/>
      </c>
      <c r="I959" s="82"/>
      <c r="J959" s="79"/>
      <c r="K959" s="80"/>
      <c r="L959" s="80"/>
      <c r="M959" s="80"/>
      <c r="N959" s="83" t="str">
        <f aca="false">IF(C959="","",IF(I959="",IF(H959="OUI","À ENROBER",IF(G959="À SOUDER","NON SOUDÉ","EN ATTENTE RT")),IF(L959="R","À REPRENDRE",IF(H959&lt;&gt;"OUI","⚠ ENROBÉ AVANT ACCEPTATION RT","ENROBÉ"))))</f>
        <v/>
      </c>
      <c r="O959" s="79"/>
    </row>
    <row r="960" customFormat="false" ht="15" hidden="false" customHeight="false" outlineLevel="0" collapsed="false">
      <c r="A960" s="78" t="str">
        <f aca="false">IF('CARNET DE SOUDURE'!E960="","",'CARNET DE SOUDURE'!A960)</f>
        <v/>
      </c>
      <c r="B960" s="93" t="str">
        <f aca="false">IF('CARNET DE SOUDURE'!E960="","",'CARNET DE SOUDURE'!B960&amp;"")</f>
        <v/>
      </c>
      <c r="C960" s="83" t="str">
        <f aca="false">IF('CARNET DE SOUDURE'!E960="","",'CARNET DE SOUDURE'!E960)</f>
        <v/>
      </c>
      <c r="D960" s="78" t="str">
        <f aca="false">IF('CARNET DE SOUDURE'!E960="","",'CARNET DE SOUDURE'!D960&amp;"")</f>
        <v/>
      </c>
      <c r="E960" s="96" t="str">
        <f aca="false">IF(OR('CARNET DE SOUDURE'!E960="",'CARNET DE SOUDURE'!R960=""),"",'CARNET DE SOUDURE'!R960)</f>
        <v/>
      </c>
      <c r="F960" s="81" t="str">
        <f aca="false">IF('CARNET DE SOUDURE'!E960="","",'CARNET DE SOUDURE'!AL960)</f>
        <v/>
      </c>
      <c r="G960" s="81" t="str">
        <f aca="false">IF('CARNET DE SOUDURE'!E960="","",'CARNET DE SOUDURE'!AM960)</f>
        <v/>
      </c>
      <c r="H960" s="81" t="str">
        <f aca="false">IF(C960="","",IF(G960="ACCEPTÉ","OUI","NON"))</f>
        <v/>
      </c>
      <c r="I960" s="82"/>
      <c r="J960" s="79"/>
      <c r="K960" s="80"/>
      <c r="L960" s="80"/>
      <c r="M960" s="80"/>
      <c r="N960" s="83" t="str">
        <f aca="false">IF(C960="","",IF(I960="",IF(H960="OUI","À ENROBER",IF(G960="À SOUDER","NON SOUDÉ","EN ATTENTE RT")),IF(L960="R","À REPRENDRE",IF(H960&lt;&gt;"OUI","⚠ ENROBÉ AVANT ACCEPTATION RT","ENROBÉ"))))</f>
        <v/>
      </c>
      <c r="O960" s="79"/>
    </row>
    <row r="961" customFormat="false" ht="15" hidden="false" customHeight="false" outlineLevel="0" collapsed="false">
      <c r="A961" s="78" t="str">
        <f aca="false">IF('CARNET DE SOUDURE'!E961="","",'CARNET DE SOUDURE'!A961)</f>
        <v/>
      </c>
      <c r="B961" s="93" t="str">
        <f aca="false">IF('CARNET DE SOUDURE'!E961="","",'CARNET DE SOUDURE'!B961&amp;"")</f>
        <v/>
      </c>
      <c r="C961" s="83" t="str">
        <f aca="false">IF('CARNET DE SOUDURE'!E961="","",'CARNET DE SOUDURE'!E961)</f>
        <v/>
      </c>
      <c r="D961" s="78" t="str">
        <f aca="false">IF('CARNET DE SOUDURE'!E961="","",'CARNET DE SOUDURE'!D961&amp;"")</f>
        <v/>
      </c>
      <c r="E961" s="96" t="str">
        <f aca="false">IF(OR('CARNET DE SOUDURE'!E961="",'CARNET DE SOUDURE'!R961=""),"",'CARNET DE SOUDURE'!R961)</f>
        <v/>
      </c>
      <c r="F961" s="81" t="str">
        <f aca="false">IF('CARNET DE SOUDURE'!E961="","",'CARNET DE SOUDURE'!AL961)</f>
        <v/>
      </c>
      <c r="G961" s="81" t="str">
        <f aca="false">IF('CARNET DE SOUDURE'!E961="","",'CARNET DE SOUDURE'!AM961)</f>
        <v/>
      </c>
      <c r="H961" s="81" t="str">
        <f aca="false">IF(C961="","",IF(G961="ACCEPTÉ","OUI","NON"))</f>
        <v/>
      </c>
      <c r="I961" s="82"/>
      <c r="J961" s="79"/>
      <c r="K961" s="80"/>
      <c r="L961" s="80"/>
      <c r="M961" s="80"/>
      <c r="N961" s="83" t="str">
        <f aca="false">IF(C961="","",IF(I961="",IF(H961="OUI","À ENROBER",IF(G961="À SOUDER","NON SOUDÉ","EN ATTENTE RT")),IF(L961="R","À REPRENDRE",IF(H961&lt;&gt;"OUI","⚠ ENROBÉ AVANT ACCEPTATION RT","ENROBÉ"))))</f>
        <v/>
      </c>
      <c r="O961" s="79"/>
    </row>
    <row r="962" customFormat="false" ht="15" hidden="false" customHeight="false" outlineLevel="0" collapsed="false">
      <c r="A962" s="78" t="str">
        <f aca="false">IF('CARNET DE SOUDURE'!E962="","",'CARNET DE SOUDURE'!A962)</f>
        <v/>
      </c>
      <c r="B962" s="93" t="str">
        <f aca="false">IF('CARNET DE SOUDURE'!E962="","",'CARNET DE SOUDURE'!B962&amp;"")</f>
        <v/>
      </c>
      <c r="C962" s="83" t="str">
        <f aca="false">IF('CARNET DE SOUDURE'!E962="","",'CARNET DE SOUDURE'!E962)</f>
        <v/>
      </c>
      <c r="D962" s="78" t="str">
        <f aca="false">IF('CARNET DE SOUDURE'!E962="","",'CARNET DE SOUDURE'!D962&amp;"")</f>
        <v/>
      </c>
      <c r="E962" s="96" t="str">
        <f aca="false">IF(OR('CARNET DE SOUDURE'!E962="",'CARNET DE SOUDURE'!R962=""),"",'CARNET DE SOUDURE'!R962)</f>
        <v/>
      </c>
      <c r="F962" s="81" t="str">
        <f aca="false">IF('CARNET DE SOUDURE'!E962="","",'CARNET DE SOUDURE'!AL962)</f>
        <v/>
      </c>
      <c r="G962" s="81" t="str">
        <f aca="false">IF('CARNET DE SOUDURE'!E962="","",'CARNET DE SOUDURE'!AM962)</f>
        <v/>
      </c>
      <c r="H962" s="81" t="str">
        <f aca="false">IF(C962="","",IF(G962="ACCEPTÉ","OUI","NON"))</f>
        <v/>
      </c>
      <c r="I962" s="82"/>
      <c r="J962" s="79"/>
      <c r="K962" s="80"/>
      <c r="L962" s="80"/>
      <c r="M962" s="80"/>
      <c r="N962" s="83" t="str">
        <f aca="false">IF(C962="","",IF(I962="",IF(H962="OUI","À ENROBER",IF(G962="À SOUDER","NON SOUDÉ","EN ATTENTE RT")),IF(L962="R","À REPRENDRE",IF(H962&lt;&gt;"OUI","⚠ ENROBÉ AVANT ACCEPTATION RT","ENROBÉ"))))</f>
        <v/>
      </c>
      <c r="O962" s="79"/>
    </row>
    <row r="963" customFormat="false" ht="15" hidden="false" customHeight="false" outlineLevel="0" collapsed="false">
      <c r="A963" s="78" t="str">
        <f aca="false">IF('CARNET DE SOUDURE'!E963="","",'CARNET DE SOUDURE'!A963)</f>
        <v/>
      </c>
      <c r="B963" s="93" t="str">
        <f aca="false">IF('CARNET DE SOUDURE'!E963="","",'CARNET DE SOUDURE'!B963&amp;"")</f>
        <v/>
      </c>
      <c r="C963" s="83" t="str">
        <f aca="false">IF('CARNET DE SOUDURE'!E963="","",'CARNET DE SOUDURE'!E963)</f>
        <v/>
      </c>
      <c r="D963" s="78" t="str">
        <f aca="false">IF('CARNET DE SOUDURE'!E963="","",'CARNET DE SOUDURE'!D963&amp;"")</f>
        <v/>
      </c>
      <c r="E963" s="96" t="str">
        <f aca="false">IF(OR('CARNET DE SOUDURE'!E963="",'CARNET DE SOUDURE'!R963=""),"",'CARNET DE SOUDURE'!R963)</f>
        <v/>
      </c>
      <c r="F963" s="81" t="str">
        <f aca="false">IF('CARNET DE SOUDURE'!E963="","",'CARNET DE SOUDURE'!AL963)</f>
        <v/>
      </c>
      <c r="G963" s="81" t="str">
        <f aca="false">IF('CARNET DE SOUDURE'!E963="","",'CARNET DE SOUDURE'!AM963)</f>
        <v/>
      </c>
      <c r="H963" s="81" t="str">
        <f aca="false">IF(C963="","",IF(G963="ACCEPTÉ","OUI","NON"))</f>
        <v/>
      </c>
      <c r="I963" s="82"/>
      <c r="J963" s="79"/>
      <c r="K963" s="80"/>
      <c r="L963" s="80"/>
      <c r="M963" s="80"/>
      <c r="N963" s="83" t="str">
        <f aca="false">IF(C963="","",IF(I963="",IF(H963="OUI","À ENROBER",IF(G963="À SOUDER","NON SOUDÉ","EN ATTENTE RT")),IF(L963="R","À REPRENDRE",IF(H963&lt;&gt;"OUI","⚠ ENROBÉ AVANT ACCEPTATION RT","ENROBÉ"))))</f>
        <v/>
      </c>
      <c r="O963" s="79"/>
    </row>
    <row r="964" customFormat="false" ht="15" hidden="false" customHeight="false" outlineLevel="0" collapsed="false">
      <c r="A964" s="78" t="str">
        <f aca="false">IF('CARNET DE SOUDURE'!E964="","",'CARNET DE SOUDURE'!A964)</f>
        <v/>
      </c>
      <c r="B964" s="93" t="str">
        <f aca="false">IF('CARNET DE SOUDURE'!E964="","",'CARNET DE SOUDURE'!B964&amp;"")</f>
        <v/>
      </c>
      <c r="C964" s="83" t="str">
        <f aca="false">IF('CARNET DE SOUDURE'!E964="","",'CARNET DE SOUDURE'!E964)</f>
        <v/>
      </c>
      <c r="D964" s="78" t="str">
        <f aca="false">IF('CARNET DE SOUDURE'!E964="","",'CARNET DE SOUDURE'!D964&amp;"")</f>
        <v/>
      </c>
      <c r="E964" s="96" t="str">
        <f aca="false">IF(OR('CARNET DE SOUDURE'!E964="",'CARNET DE SOUDURE'!R964=""),"",'CARNET DE SOUDURE'!R964)</f>
        <v/>
      </c>
      <c r="F964" s="81" t="str">
        <f aca="false">IF('CARNET DE SOUDURE'!E964="","",'CARNET DE SOUDURE'!AL964)</f>
        <v/>
      </c>
      <c r="G964" s="81" t="str">
        <f aca="false">IF('CARNET DE SOUDURE'!E964="","",'CARNET DE SOUDURE'!AM964)</f>
        <v/>
      </c>
      <c r="H964" s="81" t="str">
        <f aca="false">IF(C964="","",IF(G964="ACCEPTÉ","OUI","NON"))</f>
        <v/>
      </c>
      <c r="I964" s="82"/>
      <c r="J964" s="79"/>
      <c r="K964" s="80"/>
      <c r="L964" s="80"/>
      <c r="M964" s="80"/>
      <c r="N964" s="83" t="str">
        <f aca="false">IF(C964="","",IF(I964="",IF(H964="OUI","À ENROBER",IF(G964="À SOUDER","NON SOUDÉ","EN ATTENTE RT")),IF(L964="R","À REPRENDRE",IF(H964&lt;&gt;"OUI","⚠ ENROBÉ AVANT ACCEPTATION RT","ENROBÉ"))))</f>
        <v/>
      </c>
      <c r="O964" s="79"/>
    </row>
    <row r="965" customFormat="false" ht="15" hidden="false" customHeight="false" outlineLevel="0" collapsed="false">
      <c r="A965" s="78" t="str">
        <f aca="false">IF('CARNET DE SOUDURE'!E965="","",'CARNET DE SOUDURE'!A965)</f>
        <v/>
      </c>
      <c r="B965" s="93" t="str">
        <f aca="false">IF('CARNET DE SOUDURE'!E965="","",'CARNET DE SOUDURE'!B965&amp;"")</f>
        <v/>
      </c>
      <c r="C965" s="83" t="str">
        <f aca="false">IF('CARNET DE SOUDURE'!E965="","",'CARNET DE SOUDURE'!E965)</f>
        <v/>
      </c>
      <c r="D965" s="78" t="str">
        <f aca="false">IF('CARNET DE SOUDURE'!E965="","",'CARNET DE SOUDURE'!D965&amp;"")</f>
        <v/>
      </c>
      <c r="E965" s="96" t="str">
        <f aca="false">IF(OR('CARNET DE SOUDURE'!E965="",'CARNET DE SOUDURE'!R965=""),"",'CARNET DE SOUDURE'!R965)</f>
        <v/>
      </c>
      <c r="F965" s="81" t="str">
        <f aca="false">IF('CARNET DE SOUDURE'!E965="","",'CARNET DE SOUDURE'!AL965)</f>
        <v/>
      </c>
      <c r="G965" s="81" t="str">
        <f aca="false">IF('CARNET DE SOUDURE'!E965="","",'CARNET DE SOUDURE'!AM965)</f>
        <v/>
      </c>
      <c r="H965" s="81" t="str">
        <f aca="false">IF(C965="","",IF(G965="ACCEPTÉ","OUI","NON"))</f>
        <v/>
      </c>
      <c r="I965" s="82"/>
      <c r="J965" s="79"/>
      <c r="K965" s="80"/>
      <c r="L965" s="80"/>
      <c r="M965" s="80"/>
      <c r="N965" s="83" t="str">
        <f aca="false">IF(C965="","",IF(I965="",IF(H965="OUI","À ENROBER",IF(G965="À SOUDER","NON SOUDÉ","EN ATTENTE RT")),IF(L965="R","À REPRENDRE",IF(H965&lt;&gt;"OUI","⚠ ENROBÉ AVANT ACCEPTATION RT","ENROBÉ"))))</f>
        <v/>
      </c>
      <c r="O965" s="79"/>
    </row>
    <row r="966" customFormat="false" ht="15" hidden="false" customHeight="false" outlineLevel="0" collapsed="false">
      <c r="A966" s="78" t="str">
        <f aca="false">IF('CARNET DE SOUDURE'!E966="","",'CARNET DE SOUDURE'!A966)</f>
        <v/>
      </c>
      <c r="B966" s="93" t="str">
        <f aca="false">IF('CARNET DE SOUDURE'!E966="","",'CARNET DE SOUDURE'!B966&amp;"")</f>
        <v/>
      </c>
      <c r="C966" s="83" t="str">
        <f aca="false">IF('CARNET DE SOUDURE'!E966="","",'CARNET DE SOUDURE'!E966)</f>
        <v/>
      </c>
      <c r="D966" s="78" t="str">
        <f aca="false">IF('CARNET DE SOUDURE'!E966="","",'CARNET DE SOUDURE'!D966&amp;"")</f>
        <v/>
      </c>
      <c r="E966" s="96" t="str">
        <f aca="false">IF(OR('CARNET DE SOUDURE'!E966="",'CARNET DE SOUDURE'!R966=""),"",'CARNET DE SOUDURE'!R966)</f>
        <v/>
      </c>
      <c r="F966" s="81" t="str">
        <f aca="false">IF('CARNET DE SOUDURE'!E966="","",'CARNET DE SOUDURE'!AL966)</f>
        <v/>
      </c>
      <c r="G966" s="81" t="str">
        <f aca="false">IF('CARNET DE SOUDURE'!E966="","",'CARNET DE SOUDURE'!AM966)</f>
        <v/>
      </c>
      <c r="H966" s="81" t="str">
        <f aca="false">IF(C966="","",IF(G966="ACCEPTÉ","OUI","NON"))</f>
        <v/>
      </c>
      <c r="I966" s="82"/>
      <c r="J966" s="79"/>
      <c r="K966" s="80"/>
      <c r="L966" s="80"/>
      <c r="M966" s="80"/>
      <c r="N966" s="83" t="str">
        <f aca="false">IF(C966="","",IF(I966="",IF(H966="OUI","À ENROBER",IF(G966="À SOUDER","NON SOUDÉ","EN ATTENTE RT")),IF(L966="R","À REPRENDRE",IF(H966&lt;&gt;"OUI","⚠ ENROBÉ AVANT ACCEPTATION RT","ENROBÉ"))))</f>
        <v/>
      </c>
      <c r="O966" s="79"/>
    </row>
    <row r="967" customFormat="false" ht="15" hidden="false" customHeight="false" outlineLevel="0" collapsed="false">
      <c r="A967" s="78" t="str">
        <f aca="false">IF('CARNET DE SOUDURE'!E967="","",'CARNET DE SOUDURE'!A967)</f>
        <v/>
      </c>
      <c r="B967" s="93" t="str">
        <f aca="false">IF('CARNET DE SOUDURE'!E967="","",'CARNET DE SOUDURE'!B967&amp;"")</f>
        <v/>
      </c>
      <c r="C967" s="83" t="str">
        <f aca="false">IF('CARNET DE SOUDURE'!E967="","",'CARNET DE SOUDURE'!E967)</f>
        <v/>
      </c>
      <c r="D967" s="78" t="str">
        <f aca="false">IF('CARNET DE SOUDURE'!E967="","",'CARNET DE SOUDURE'!D967&amp;"")</f>
        <v/>
      </c>
      <c r="E967" s="96" t="str">
        <f aca="false">IF(OR('CARNET DE SOUDURE'!E967="",'CARNET DE SOUDURE'!R967=""),"",'CARNET DE SOUDURE'!R967)</f>
        <v/>
      </c>
      <c r="F967" s="81" t="str">
        <f aca="false">IF('CARNET DE SOUDURE'!E967="","",'CARNET DE SOUDURE'!AL967)</f>
        <v/>
      </c>
      <c r="G967" s="81" t="str">
        <f aca="false">IF('CARNET DE SOUDURE'!E967="","",'CARNET DE SOUDURE'!AM967)</f>
        <v/>
      </c>
      <c r="H967" s="81" t="str">
        <f aca="false">IF(C967="","",IF(G967="ACCEPTÉ","OUI","NON"))</f>
        <v/>
      </c>
      <c r="I967" s="82"/>
      <c r="J967" s="79"/>
      <c r="K967" s="80"/>
      <c r="L967" s="80"/>
      <c r="M967" s="80"/>
      <c r="N967" s="83" t="str">
        <f aca="false">IF(C967="","",IF(I967="",IF(H967="OUI","À ENROBER",IF(G967="À SOUDER","NON SOUDÉ","EN ATTENTE RT")),IF(L967="R","À REPRENDRE",IF(H967&lt;&gt;"OUI","⚠ ENROBÉ AVANT ACCEPTATION RT","ENROBÉ"))))</f>
        <v/>
      </c>
      <c r="O967" s="79"/>
    </row>
    <row r="968" customFormat="false" ht="15" hidden="false" customHeight="false" outlineLevel="0" collapsed="false">
      <c r="A968" s="78" t="str">
        <f aca="false">IF('CARNET DE SOUDURE'!E968="","",'CARNET DE SOUDURE'!A968)</f>
        <v/>
      </c>
      <c r="B968" s="93" t="str">
        <f aca="false">IF('CARNET DE SOUDURE'!E968="","",'CARNET DE SOUDURE'!B968&amp;"")</f>
        <v/>
      </c>
      <c r="C968" s="83" t="str">
        <f aca="false">IF('CARNET DE SOUDURE'!E968="","",'CARNET DE SOUDURE'!E968)</f>
        <v/>
      </c>
      <c r="D968" s="78" t="str">
        <f aca="false">IF('CARNET DE SOUDURE'!E968="","",'CARNET DE SOUDURE'!D968&amp;"")</f>
        <v/>
      </c>
      <c r="E968" s="96" t="str">
        <f aca="false">IF(OR('CARNET DE SOUDURE'!E968="",'CARNET DE SOUDURE'!R968=""),"",'CARNET DE SOUDURE'!R968)</f>
        <v/>
      </c>
      <c r="F968" s="81" t="str">
        <f aca="false">IF('CARNET DE SOUDURE'!E968="","",'CARNET DE SOUDURE'!AL968)</f>
        <v/>
      </c>
      <c r="G968" s="81" t="str">
        <f aca="false">IF('CARNET DE SOUDURE'!E968="","",'CARNET DE SOUDURE'!AM968)</f>
        <v/>
      </c>
      <c r="H968" s="81" t="str">
        <f aca="false">IF(C968="","",IF(G968="ACCEPTÉ","OUI","NON"))</f>
        <v/>
      </c>
      <c r="I968" s="82"/>
      <c r="J968" s="79"/>
      <c r="K968" s="80"/>
      <c r="L968" s="80"/>
      <c r="M968" s="80"/>
      <c r="N968" s="83" t="str">
        <f aca="false">IF(C968="","",IF(I968="",IF(H968="OUI","À ENROBER",IF(G968="À SOUDER","NON SOUDÉ","EN ATTENTE RT")),IF(L968="R","À REPRENDRE",IF(H968&lt;&gt;"OUI","⚠ ENROBÉ AVANT ACCEPTATION RT","ENROBÉ"))))</f>
        <v/>
      </c>
      <c r="O968" s="79"/>
    </row>
    <row r="969" customFormat="false" ht="15" hidden="false" customHeight="false" outlineLevel="0" collapsed="false">
      <c r="A969" s="78" t="str">
        <f aca="false">IF('CARNET DE SOUDURE'!E969="","",'CARNET DE SOUDURE'!A969)</f>
        <v/>
      </c>
      <c r="B969" s="93" t="str">
        <f aca="false">IF('CARNET DE SOUDURE'!E969="","",'CARNET DE SOUDURE'!B969&amp;"")</f>
        <v/>
      </c>
      <c r="C969" s="83" t="str">
        <f aca="false">IF('CARNET DE SOUDURE'!E969="","",'CARNET DE SOUDURE'!E969)</f>
        <v/>
      </c>
      <c r="D969" s="78" t="str">
        <f aca="false">IF('CARNET DE SOUDURE'!E969="","",'CARNET DE SOUDURE'!D969&amp;"")</f>
        <v/>
      </c>
      <c r="E969" s="96" t="str">
        <f aca="false">IF(OR('CARNET DE SOUDURE'!E969="",'CARNET DE SOUDURE'!R969=""),"",'CARNET DE SOUDURE'!R969)</f>
        <v/>
      </c>
      <c r="F969" s="81" t="str">
        <f aca="false">IF('CARNET DE SOUDURE'!E969="","",'CARNET DE SOUDURE'!AL969)</f>
        <v/>
      </c>
      <c r="G969" s="81" t="str">
        <f aca="false">IF('CARNET DE SOUDURE'!E969="","",'CARNET DE SOUDURE'!AM969)</f>
        <v/>
      </c>
      <c r="H969" s="81" t="str">
        <f aca="false">IF(C969="","",IF(G969="ACCEPTÉ","OUI","NON"))</f>
        <v/>
      </c>
      <c r="I969" s="82"/>
      <c r="J969" s="79"/>
      <c r="K969" s="80"/>
      <c r="L969" s="80"/>
      <c r="M969" s="80"/>
      <c r="N969" s="83" t="str">
        <f aca="false">IF(C969="","",IF(I969="",IF(H969="OUI","À ENROBER",IF(G969="À SOUDER","NON SOUDÉ","EN ATTENTE RT")),IF(L969="R","À REPRENDRE",IF(H969&lt;&gt;"OUI","⚠ ENROBÉ AVANT ACCEPTATION RT","ENROBÉ"))))</f>
        <v/>
      </c>
      <c r="O969" s="79"/>
    </row>
    <row r="970" customFormat="false" ht="15" hidden="false" customHeight="false" outlineLevel="0" collapsed="false">
      <c r="A970" s="78" t="str">
        <f aca="false">IF('CARNET DE SOUDURE'!E970="","",'CARNET DE SOUDURE'!A970)</f>
        <v/>
      </c>
      <c r="B970" s="93" t="str">
        <f aca="false">IF('CARNET DE SOUDURE'!E970="","",'CARNET DE SOUDURE'!B970&amp;"")</f>
        <v/>
      </c>
      <c r="C970" s="83" t="str">
        <f aca="false">IF('CARNET DE SOUDURE'!E970="","",'CARNET DE SOUDURE'!E970)</f>
        <v/>
      </c>
      <c r="D970" s="78" t="str">
        <f aca="false">IF('CARNET DE SOUDURE'!E970="","",'CARNET DE SOUDURE'!D970&amp;"")</f>
        <v/>
      </c>
      <c r="E970" s="96" t="str">
        <f aca="false">IF(OR('CARNET DE SOUDURE'!E970="",'CARNET DE SOUDURE'!R970=""),"",'CARNET DE SOUDURE'!R970)</f>
        <v/>
      </c>
      <c r="F970" s="81" t="str">
        <f aca="false">IF('CARNET DE SOUDURE'!E970="","",'CARNET DE SOUDURE'!AL970)</f>
        <v/>
      </c>
      <c r="G970" s="81" t="str">
        <f aca="false">IF('CARNET DE SOUDURE'!E970="","",'CARNET DE SOUDURE'!AM970)</f>
        <v/>
      </c>
      <c r="H970" s="81" t="str">
        <f aca="false">IF(C970="","",IF(G970="ACCEPTÉ","OUI","NON"))</f>
        <v/>
      </c>
      <c r="I970" s="82"/>
      <c r="J970" s="79"/>
      <c r="K970" s="80"/>
      <c r="L970" s="80"/>
      <c r="M970" s="80"/>
      <c r="N970" s="83" t="str">
        <f aca="false">IF(C970="","",IF(I970="",IF(H970="OUI","À ENROBER",IF(G970="À SOUDER","NON SOUDÉ","EN ATTENTE RT")),IF(L970="R","À REPRENDRE",IF(H970&lt;&gt;"OUI","⚠ ENROBÉ AVANT ACCEPTATION RT","ENROBÉ"))))</f>
        <v/>
      </c>
      <c r="O970" s="79"/>
    </row>
    <row r="971" customFormat="false" ht="15" hidden="false" customHeight="false" outlineLevel="0" collapsed="false">
      <c r="A971" s="78" t="str">
        <f aca="false">IF('CARNET DE SOUDURE'!E971="","",'CARNET DE SOUDURE'!A971)</f>
        <v/>
      </c>
      <c r="B971" s="93" t="str">
        <f aca="false">IF('CARNET DE SOUDURE'!E971="","",'CARNET DE SOUDURE'!B971&amp;"")</f>
        <v/>
      </c>
      <c r="C971" s="83" t="str">
        <f aca="false">IF('CARNET DE SOUDURE'!E971="","",'CARNET DE SOUDURE'!E971)</f>
        <v/>
      </c>
      <c r="D971" s="78" t="str">
        <f aca="false">IF('CARNET DE SOUDURE'!E971="","",'CARNET DE SOUDURE'!D971&amp;"")</f>
        <v/>
      </c>
      <c r="E971" s="96" t="str">
        <f aca="false">IF(OR('CARNET DE SOUDURE'!E971="",'CARNET DE SOUDURE'!R971=""),"",'CARNET DE SOUDURE'!R971)</f>
        <v/>
      </c>
      <c r="F971" s="81" t="str">
        <f aca="false">IF('CARNET DE SOUDURE'!E971="","",'CARNET DE SOUDURE'!AL971)</f>
        <v/>
      </c>
      <c r="G971" s="81" t="str">
        <f aca="false">IF('CARNET DE SOUDURE'!E971="","",'CARNET DE SOUDURE'!AM971)</f>
        <v/>
      </c>
      <c r="H971" s="81" t="str">
        <f aca="false">IF(C971="","",IF(G971="ACCEPTÉ","OUI","NON"))</f>
        <v/>
      </c>
      <c r="I971" s="82"/>
      <c r="J971" s="79"/>
      <c r="K971" s="80"/>
      <c r="L971" s="80"/>
      <c r="M971" s="80"/>
      <c r="N971" s="83" t="str">
        <f aca="false">IF(C971="","",IF(I971="",IF(H971="OUI","À ENROBER",IF(G971="À SOUDER","NON SOUDÉ","EN ATTENTE RT")),IF(L971="R","À REPRENDRE",IF(H971&lt;&gt;"OUI","⚠ ENROBÉ AVANT ACCEPTATION RT","ENROBÉ"))))</f>
        <v/>
      </c>
      <c r="O971" s="79"/>
    </row>
    <row r="972" customFormat="false" ht="15" hidden="false" customHeight="false" outlineLevel="0" collapsed="false">
      <c r="A972" s="78" t="str">
        <f aca="false">IF('CARNET DE SOUDURE'!E972="","",'CARNET DE SOUDURE'!A972)</f>
        <v/>
      </c>
      <c r="B972" s="93" t="str">
        <f aca="false">IF('CARNET DE SOUDURE'!E972="","",'CARNET DE SOUDURE'!B972&amp;"")</f>
        <v/>
      </c>
      <c r="C972" s="83" t="str">
        <f aca="false">IF('CARNET DE SOUDURE'!E972="","",'CARNET DE SOUDURE'!E972)</f>
        <v/>
      </c>
      <c r="D972" s="78" t="str">
        <f aca="false">IF('CARNET DE SOUDURE'!E972="","",'CARNET DE SOUDURE'!D972&amp;"")</f>
        <v/>
      </c>
      <c r="E972" s="96" t="str">
        <f aca="false">IF(OR('CARNET DE SOUDURE'!E972="",'CARNET DE SOUDURE'!R972=""),"",'CARNET DE SOUDURE'!R972)</f>
        <v/>
      </c>
      <c r="F972" s="81" t="str">
        <f aca="false">IF('CARNET DE SOUDURE'!E972="","",'CARNET DE SOUDURE'!AL972)</f>
        <v/>
      </c>
      <c r="G972" s="81" t="str">
        <f aca="false">IF('CARNET DE SOUDURE'!E972="","",'CARNET DE SOUDURE'!AM972)</f>
        <v/>
      </c>
      <c r="H972" s="81" t="str">
        <f aca="false">IF(C972="","",IF(G972="ACCEPTÉ","OUI","NON"))</f>
        <v/>
      </c>
      <c r="I972" s="82"/>
      <c r="J972" s="79"/>
      <c r="K972" s="80"/>
      <c r="L972" s="80"/>
      <c r="M972" s="80"/>
      <c r="N972" s="83" t="str">
        <f aca="false">IF(C972="","",IF(I972="",IF(H972="OUI","À ENROBER",IF(G972="À SOUDER","NON SOUDÉ","EN ATTENTE RT")),IF(L972="R","À REPRENDRE",IF(H972&lt;&gt;"OUI","⚠ ENROBÉ AVANT ACCEPTATION RT","ENROBÉ"))))</f>
        <v/>
      </c>
      <c r="O972" s="79"/>
    </row>
    <row r="973" customFormat="false" ht="15" hidden="false" customHeight="false" outlineLevel="0" collapsed="false">
      <c r="A973" s="78" t="str">
        <f aca="false">IF('CARNET DE SOUDURE'!E973="","",'CARNET DE SOUDURE'!A973)</f>
        <v/>
      </c>
      <c r="B973" s="93" t="str">
        <f aca="false">IF('CARNET DE SOUDURE'!E973="","",'CARNET DE SOUDURE'!B973&amp;"")</f>
        <v/>
      </c>
      <c r="C973" s="83" t="str">
        <f aca="false">IF('CARNET DE SOUDURE'!E973="","",'CARNET DE SOUDURE'!E973)</f>
        <v/>
      </c>
      <c r="D973" s="78" t="str">
        <f aca="false">IF('CARNET DE SOUDURE'!E973="","",'CARNET DE SOUDURE'!D973&amp;"")</f>
        <v/>
      </c>
      <c r="E973" s="96" t="str">
        <f aca="false">IF(OR('CARNET DE SOUDURE'!E973="",'CARNET DE SOUDURE'!R973=""),"",'CARNET DE SOUDURE'!R973)</f>
        <v/>
      </c>
      <c r="F973" s="81" t="str">
        <f aca="false">IF('CARNET DE SOUDURE'!E973="","",'CARNET DE SOUDURE'!AL973)</f>
        <v/>
      </c>
      <c r="G973" s="81" t="str">
        <f aca="false">IF('CARNET DE SOUDURE'!E973="","",'CARNET DE SOUDURE'!AM973)</f>
        <v/>
      </c>
      <c r="H973" s="81" t="str">
        <f aca="false">IF(C973="","",IF(G973="ACCEPTÉ","OUI","NON"))</f>
        <v/>
      </c>
      <c r="I973" s="82"/>
      <c r="J973" s="79"/>
      <c r="K973" s="80"/>
      <c r="L973" s="80"/>
      <c r="M973" s="80"/>
      <c r="N973" s="83" t="str">
        <f aca="false">IF(C973="","",IF(I973="",IF(H973="OUI","À ENROBER",IF(G973="À SOUDER","NON SOUDÉ","EN ATTENTE RT")),IF(L973="R","À REPRENDRE",IF(H973&lt;&gt;"OUI","⚠ ENROBÉ AVANT ACCEPTATION RT","ENROBÉ"))))</f>
        <v/>
      </c>
      <c r="O973" s="79"/>
    </row>
    <row r="974" customFormat="false" ht="15" hidden="false" customHeight="false" outlineLevel="0" collapsed="false">
      <c r="A974" s="78" t="str">
        <f aca="false">IF('CARNET DE SOUDURE'!E974="","",'CARNET DE SOUDURE'!A974)</f>
        <v/>
      </c>
      <c r="B974" s="93" t="str">
        <f aca="false">IF('CARNET DE SOUDURE'!E974="","",'CARNET DE SOUDURE'!B974&amp;"")</f>
        <v/>
      </c>
      <c r="C974" s="83" t="str">
        <f aca="false">IF('CARNET DE SOUDURE'!E974="","",'CARNET DE SOUDURE'!E974)</f>
        <v/>
      </c>
      <c r="D974" s="78" t="str">
        <f aca="false">IF('CARNET DE SOUDURE'!E974="","",'CARNET DE SOUDURE'!D974&amp;"")</f>
        <v/>
      </c>
      <c r="E974" s="96" t="str">
        <f aca="false">IF(OR('CARNET DE SOUDURE'!E974="",'CARNET DE SOUDURE'!R974=""),"",'CARNET DE SOUDURE'!R974)</f>
        <v/>
      </c>
      <c r="F974" s="81" t="str">
        <f aca="false">IF('CARNET DE SOUDURE'!E974="","",'CARNET DE SOUDURE'!AL974)</f>
        <v/>
      </c>
      <c r="G974" s="81" t="str">
        <f aca="false">IF('CARNET DE SOUDURE'!E974="","",'CARNET DE SOUDURE'!AM974)</f>
        <v/>
      </c>
      <c r="H974" s="81" t="str">
        <f aca="false">IF(C974="","",IF(G974="ACCEPTÉ","OUI","NON"))</f>
        <v/>
      </c>
      <c r="I974" s="82"/>
      <c r="J974" s="79"/>
      <c r="K974" s="80"/>
      <c r="L974" s="80"/>
      <c r="M974" s="80"/>
      <c r="N974" s="83" t="str">
        <f aca="false">IF(C974="","",IF(I974="",IF(H974="OUI","À ENROBER",IF(G974="À SOUDER","NON SOUDÉ","EN ATTENTE RT")),IF(L974="R","À REPRENDRE",IF(H974&lt;&gt;"OUI","⚠ ENROBÉ AVANT ACCEPTATION RT","ENROBÉ"))))</f>
        <v/>
      </c>
      <c r="O974" s="79"/>
    </row>
    <row r="975" customFormat="false" ht="15" hidden="false" customHeight="false" outlineLevel="0" collapsed="false">
      <c r="A975" s="78" t="str">
        <f aca="false">IF('CARNET DE SOUDURE'!E975="","",'CARNET DE SOUDURE'!A975)</f>
        <v/>
      </c>
      <c r="B975" s="93" t="str">
        <f aca="false">IF('CARNET DE SOUDURE'!E975="","",'CARNET DE SOUDURE'!B975&amp;"")</f>
        <v/>
      </c>
      <c r="C975" s="83" t="str">
        <f aca="false">IF('CARNET DE SOUDURE'!E975="","",'CARNET DE SOUDURE'!E975)</f>
        <v/>
      </c>
      <c r="D975" s="78" t="str">
        <f aca="false">IF('CARNET DE SOUDURE'!E975="","",'CARNET DE SOUDURE'!D975&amp;"")</f>
        <v/>
      </c>
      <c r="E975" s="96" t="str">
        <f aca="false">IF(OR('CARNET DE SOUDURE'!E975="",'CARNET DE SOUDURE'!R975=""),"",'CARNET DE SOUDURE'!R975)</f>
        <v/>
      </c>
      <c r="F975" s="81" t="str">
        <f aca="false">IF('CARNET DE SOUDURE'!E975="","",'CARNET DE SOUDURE'!AL975)</f>
        <v/>
      </c>
      <c r="G975" s="81" t="str">
        <f aca="false">IF('CARNET DE SOUDURE'!E975="","",'CARNET DE SOUDURE'!AM975)</f>
        <v/>
      </c>
      <c r="H975" s="81" t="str">
        <f aca="false">IF(C975="","",IF(G975="ACCEPTÉ","OUI","NON"))</f>
        <v/>
      </c>
      <c r="I975" s="82"/>
      <c r="J975" s="79"/>
      <c r="K975" s="80"/>
      <c r="L975" s="80"/>
      <c r="M975" s="80"/>
      <c r="N975" s="83" t="str">
        <f aca="false">IF(C975="","",IF(I975="",IF(H975="OUI","À ENROBER",IF(G975="À SOUDER","NON SOUDÉ","EN ATTENTE RT")),IF(L975="R","À REPRENDRE",IF(H975&lt;&gt;"OUI","⚠ ENROBÉ AVANT ACCEPTATION RT","ENROBÉ"))))</f>
        <v/>
      </c>
      <c r="O975" s="79"/>
    </row>
    <row r="976" customFormat="false" ht="15" hidden="false" customHeight="false" outlineLevel="0" collapsed="false">
      <c r="A976" s="78" t="str">
        <f aca="false">IF('CARNET DE SOUDURE'!E976="","",'CARNET DE SOUDURE'!A976)</f>
        <v/>
      </c>
      <c r="B976" s="93" t="str">
        <f aca="false">IF('CARNET DE SOUDURE'!E976="","",'CARNET DE SOUDURE'!B976&amp;"")</f>
        <v/>
      </c>
      <c r="C976" s="83" t="str">
        <f aca="false">IF('CARNET DE SOUDURE'!E976="","",'CARNET DE SOUDURE'!E976)</f>
        <v/>
      </c>
      <c r="D976" s="78" t="str">
        <f aca="false">IF('CARNET DE SOUDURE'!E976="","",'CARNET DE SOUDURE'!D976&amp;"")</f>
        <v/>
      </c>
      <c r="E976" s="96" t="str">
        <f aca="false">IF(OR('CARNET DE SOUDURE'!E976="",'CARNET DE SOUDURE'!R976=""),"",'CARNET DE SOUDURE'!R976)</f>
        <v/>
      </c>
      <c r="F976" s="81" t="str">
        <f aca="false">IF('CARNET DE SOUDURE'!E976="","",'CARNET DE SOUDURE'!AL976)</f>
        <v/>
      </c>
      <c r="G976" s="81" t="str">
        <f aca="false">IF('CARNET DE SOUDURE'!E976="","",'CARNET DE SOUDURE'!AM976)</f>
        <v/>
      </c>
      <c r="H976" s="81" t="str">
        <f aca="false">IF(C976="","",IF(G976="ACCEPTÉ","OUI","NON"))</f>
        <v/>
      </c>
      <c r="I976" s="82"/>
      <c r="J976" s="79"/>
      <c r="K976" s="80"/>
      <c r="L976" s="80"/>
      <c r="M976" s="80"/>
      <c r="N976" s="83" t="str">
        <f aca="false">IF(C976="","",IF(I976="",IF(H976="OUI","À ENROBER",IF(G976="À SOUDER","NON SOUDÉ","EN ATTENTE RT")),IF(L976="R","À REPRENDRE",IF(H976&lt;&gt;"OUI","⚠ ENROBÉ AVANT ACCEPTATION RT","ENROBÉ"))))</f>
        <v/>
      </c>
      <c r="O976" s="79"/>
    </row>
    <row r="977" customFormat="false" ht="15" hidden="false" customHeight="false" outlineLevel="0" collapsed="false">
      <c r="A977" s="78" t="str">
        <f aca="false">IF('CARNET DE SOUDURE'!E977="","",'CARNET DE SOUDURE'!A977)</f>
        <v/>
      </c>
      <c r="B977" s="93" t="str">
        <f aca="false">IF('CARNET DE SOUDURE'!E977="","",'CARNET DE SOUDURE'!B977&amp;"")</f>
        <v/>
      </c>
      <c r="C977" s="83" t="str">
        <f aca="false">IF('CARNET DE SOUDURE'!E977="","",'CARNET DE SOUDURE'!E977)</f>
        <v/>
      </c>
      <c r="D977" s="78" t="str">
        <f aca="false">IF('CARNET DE SOUDURE'!E977="","",'CARNET DE SOUDURE'!D977&amp;"")</f>
        <v/>
      </c>
      <c r="E977" s="96" t="str">
        <f aca="false">IF(OR('CARNET DE SOUDURE'!E977="",'CARNET DE SOUDURE'!R977=""),"",'CARNET DE SOUDURE'!R977)</f>
        <v/>
      </c>
      <c r="F977" s="81" t="str">
        <f aca="false">IF('CARNET DE SOUDURE'!E977="","",'CARNET DE SOUDURE'!AL977)</f>
        <v/>
      </c>
      <c r="G977" s="81" t="str">
        <f aca="false">IF('CARNET DE SOUDURE'!E977="","",'CARNET DE SOUDURE'!AM977)</f>
        <v/>
      </c>
      <c r="H977" s="81" t="str">
        <f aca="false">IF(C977="","",IF(G977="ACCEPTÉ","OUI","NON"))</f>
        <v/>
      </c>
      <c r="I977" s="82"/>
      <c r="J977" s="79"/>
      <c r="K977" s="80"/>
      <c r="L977" s="80"/>
      <c r="M977" s="80"/>
      <c r="N977" s="83" t="str">
        <f aca="false">IF(C977="","",IF(I977="",IF(H977="OUI","À ENROBER",IF(G977="À SOUDER","NON SOUDÉ","EN ATTENTE RT")),IF(L977="R","À REPRENDRE",IF(H977&lt;&gt;"OUI","⚠ ENROBÉ AVANT ACCEPTATION RT","ENROBÉ"))))</f>
        <v/>
      </c>
      <c r="O977" s="79"/>
    </row>
    <row r="978" customFormat="false" ht="15" hidden="false" customHeight="false" outlineLevel="0" collapsed="false">
      <c r="A978" s="78" t="str">
        <f aca="false">IF('CARNET DE SOUDURE'!E978="","",'CARNET DE SOUDURE'!A978)</f>
        <v/>
      </c>
      <c r="B978" s="93" t="str">
        <f aca="false">IF('CARNET DE SOUDURE'!E978="","",'CARNET DE SOUDURE'!B978&amp;"")</f>
        <v/>
      </c>
      <c r="C978" s="83" t="str">
        <f aca="false">IF('CARNET DE SOUDURE'!E978="","",'CARNET DE SOUDURE'!E978)</f>
        <v/>
      </c>
      <c r="D978" s="78" t="str">
        <f aca="false">IF('CARNET DE SOUDURE'!E978="","",'CARNET DE SOUDURE'!D978&amp;"")</f>
        <v/>
      </c>
      <c r="E978" s="96" t="str">
        <f aca="false">IF(OR('CARNET DE SOUDURE'!E978="",'CARNET DE SOUDURE'!R978=""),"",'CARNET DE SOUDURE'!R978)</f>
        <v/>
      </c>
      <c r="F978" s="81" t="str">
        <f aca="false">IF('CARNET DE SOUDURE'!E978="","",'CARNET DE SOUDURE'!AL978)</f>
        <v/>
      </c>
      <c r="G978" s="81" t="str">
        <f aca="false">IF('CARNET DE SOUDURE'!E978="","",'CARNET DE SOUDURE'!AM978)</f>
        <v/>
      </c>
      <c r="H978" s="81" t="str">
        <f aca="false">IF(C978="","",IF(G978="ACCEPTÉ","OUI","NON"))</f>
        <v/>
      </c>
      <c r="I978" s="82"/>
      <c r="J978" s="79"/>
      <c r="K978" s="80"/>
      <c r="L978" s="80"/>
      <c r="M978" s="80"/>
      <c r="N978" s="83" t="str">
        <f aca="false">IF(C978="","",IF(I978="",IF(H978="OUI","À ENROBER",IF(G978="À SOUDER","NON SOUDÉ","EN ATTENTE RT")),IF(L978="R","À REPRENDRE",IF(H978&lt;&gt;"OUI","⚠ ENROBÉ AVANT ACCEPTATION RT","ENROBÉ"))))</f>
        <v/>
      </c>
      <c r="O978" s="79"/>
    </row>
    <row r="979" customFormat="false" ht="15" hidden="false" customHeight="false" outlineLevel="0" collapsed="false">
      <c r="A979" s="78" t="str">
        <f aca="false">IF('CARNET DE SOUDURE'!E979="","",'CARNET DE SOUDURE'!A979)</f>
        <v/>
      </c>
      <c r="B979" s="93" t="str">
        <f aca="false">IF('CARNET DE SOUDURE'!E979="","",'CARNET DE SOUDURE'!B979&amp;"")</f>
        <v/>
      </c>
      <c r="C979" s="83" t="str">
        <f aca="false">IF('CARNET DE SOUDURE'!E979="","",'CARNET DE SOUDURE'!E979)</f>
        <v/>
      </c>
      <c r="D979" s="78" t="str">
        <f aca="false">IF('CARNET DE SOUDURE'!E979="","",'CARNET DE SOUDURE'!D979&amp;"")</f>
        <v/>
      </c>
      <c r="E979" s="96" t="str">
        <f aca="false">IF(OR('CARNET DE SOUDURE'!E979="",'CARNET DE SOUDURE'!R979=""),"",'CARNET DE SOUDURE'!R979)</f>
        <v/>
      </c>
      <c r="F979" s="81" t="str">
        <f aca="false">IF('CARNET DE SOUDURE'!E979="","",'CARNET DE SOUDURE'!AL979)</f>
        <v/>
      </c>
      <c r="G979" s="81" t="str">
        <f aca="false">IF('CARNET DE SOUDURE'!E979="","",'CARNET DE SOUDURE'!AM979)</f>
        <v/>
      </c>
      <c r="H979" s="81" t="str">
        <f aca="false">IF(C979="","",IF(G979="ACCEPTÉ","OUI","NON"))</f>
        <v/>
      </c>
      <c r="I979" s="82"/>
      <c r="J979" s="79"/>
      <c r="K979" s="80"/>
      <c r="L979" s="80"/>
      <c r="M979" s="80"/>
      <c r="N979" s="83" t="str">
        <f aca="false">IF(C979="","",IF(I979="",IF(H979="OUI","À ENROBER",IF(G979="À SOUDER","NON SOUDÉ","EN ATTENTE RT")),IF(L979="R","À REPRENDRE",IF(H979&lt;&gt;"OUI","⚠ ENROBÉ AVANT ACCEPTATION RT","ENROBÉ"))))</f>
        <v/>
      </c>
      <c r="O979" s="79"/>
    </row>
    <row r="980" customFormat="false" ht="15" hidden="false" customHeight="false" outlineLevel="0" collapsed="false">
      <c r="A980" s="78" t="str">
        <f aca="false">IF('CARNET DE SOUDURE'!E980="","",'CARNET DE SOUDURE'!A980)</f>
        <v/>
      </c>
      <c r="B980" s="93" t="str">
        <f aca="false">IF('CARNET DE SOUDURE'!E980="","",'CARNET DE SOUDURE'!B980&amp;"")</f>
        <v/>
      </c>
      <c r="C980" s="83" t="str">
        <f aca="false">IF('CARNET DE SOUDURE'!E980="","",'CARNET DE SOUDURE'!E980)</f>
        <v/>
      </c>
      <c r="D980" s="78" t="str">
        <f aca="false">IF('CARNET DE SOUDURE'!E980="","",'CARNET DE SOUDURE'!D980&amp;"")</f>
        <v/>
      </c>
      <c r="E980" s="96" t="str">
        <f aca="false">IF(OR('CARNET DE SOUDURE'!E980="",'CARNET DE SOUDURE'!R980=""),"",'CARNET DE SOUDURE'!R980)</f>
        <v/>
      </c>
      <c r="F980" s="81" t="str">
        <f aca="false">IF('CARNET DE SOUDURE'!E980="","",'CARNET DE SOUDURE'!AL980)</f>
        <v/>
      </c>
      <c r="G980" s="81" t="str">
        <f aca="false">IF('CARNET DE SOUDURE'!E980="","",'CARNET DE SOUDURE'!AM980)</f>
        <v/>
      </c>
      <c r="H980" s="81" t="str">
        <f aca="false">IF(C980="","",IF(G980="ACCEPTÉ","OUI","NON"))</f>
        <v/>
      </c>
      <c r="I980" s="82"/>
      <c r="J980" s="79"/>
      <c r="K980" s="80"/>
      <c r="L980" s="80"/>
      <c r="M980" s="80"/>
      <c r="N980" s="83" t="str">
        <f aca="false">IF(C980="","",IF(I980="",IF(H980="OUI","À ENROBER",IF(G980="À SOUDER","NON SOUDÉ","EN ATTENTE RT")),IF(L980="R","À REPRENDRE",IF(H980&lt;&gt;"OUI","⚠ ENROBÉ AVANT ACCEPTATION RT","ENROBÉ"))))</f>
        <v/>
      </c>
      <c r="O980" s="79"/>
    </row>
    <row r="981" customFormat="false" ht="15" hidden="false" customHeight="false" outlineLevel="0" collapsed="false">
      <c r="A981" s="78" t="str">
        <f aca="false">IF('CARNET DE SOUDURE'!E981="","",'CARNET DE SOUDURE'!A981)</f>
        <v/>
      </c>
      <c r="B981" s="93" t="str">
        <f aca="false">IF('CARNET DE SOUDURE'!E981="","",'CARNET DE SOUDURE'!B981&amp;"")</f>
        <v/>
      </c>
      <c r="C981" s="83" t="str">
        <f aca="false">IF('CARNET DE SOUDURE'!E981="","",'CARNET DE SOUDURE'!E981)</f>
        <v/>
      </c>
      <c r="D981" s="78" t="str">
        <f aca="false">IF('CARNET DE SOUDURE'!E981="","",'CARNET DE SOUDURE'!D981&amp;"")</f>
        <v/>
      </c>
      <c r="E981" s="96" t="str">
        <f aca="false">IF(OR('CARNET DE SOUDURE'!E981="",'CARNET DE SOUDURE'!R981=""),"",'CARNET DE SOUDURE'!R981)</f>
        <v/>
      </c>
      <c r="F981" s="81" t="str">
        <f aca="false">IF('CARNET DE SOUDURE'!E981="","",'CARNET DE SOUDURE'!AL981)</f>
        <v/>
      </c>
      <c r="G981" s="81" t="str">
        <f aca="false">IF('CARNET DE SOUDURE'!E981="","",'CARNET DE SOUDURE'!AM981)</f>
        <v/>
      </c>
      <c r="H981" s="81" t="str">
        <f aca="false">IF(C981="","",IF(G981="ACCEPTÉ","OUI","NON"))</f>
        <v/>
      </c>
      <c r="I981" s="82"/>
      <c r="J981" s="79"/>
      <c r="K981" s="80"/>
      <c r="L981" s="80"/>
      <c r="M981" s="80"/>
      <c r="N981" s="83" t="str">
        <f aca="false">IF(C981="","",IF(I981="",IF(H981="OUI","À ENROBER",IF(G981="À SOUDER","NON SOUDÉ","EN ATTENTE RT")),IF(L981="R","À REPRENDRE",IF(H981&lt;&gt;"OUI","⚠ ENROBÉ AVANT ACCEPTATION RT","ENROBÉ"))))</f>
        <v/>
      </c>
      <c r="O981" s="79"/>
    </row>
    <row r="982" customFormat="false" ht="15" hidden="false" customHeight="false" outlineLevel="0" collapsed="false">
      <c r="A982" s="78" t="str">
        <f aca="false">IF('CARNET DE SOUDURE'!E982="","",'CARNET DE SOUDURE'!A982)</f>
        <v/>
      </c>
      <c r="B982" s="93" t="str">
        <f aca="false">IF('CARNET DE SOUDURE'!E982="","",'CARNET DE SOUDURE'!B982&amp;"")</f>
        <v/>
      </c>
      <c r="C982" s="83" t="str">
        <f aca="false">IF('CARNET DE SOUDURE'!E982="","",'CARNET DE SOUDURE'!E982)</f>
        <v/>
      </c>
      <c r="D982" s="78" t="str">
        <f aca="false">IF('CARNET DE SOUDURE'!E982="","",'CARNET DE SOUDURE'!D982&amp;"")</f>
        <v/>
      </c>
      <c r="E982" s="96" t="str">
        <f aca="false">IF(OR('CARNET DE SOUDURE'!E982="",'CARNET DE SOUDURE'!R982=""),"",'CARNET DE SOUDURE'!R982)</f>
        <v/>
      </c>
      <c r="F982" s="81" t="str">
        <f aca="false">IF('CARNET DE SOUDURE'!E982="","",'CARNET DE SOUDURE'!AL982)</f>
        <v/>
      </c>
      <c r="G982" s="81" t="str">
        <f aca="false">IF('CARNET DE SOUDURE'!E982="","",'CARNET DE SOUDURE'!AM982)</f>
        <v/>
      </c>
      <c r="H982" s="81" t="str">
        <f aca="false">IF(C982="","",IF(G982="ACCEPTÉ","OUI","NON"))</f>
        <v/>
      </c>
      <c r="I982" s="82"/>
      <c r="J982" s="79"/>
      <c r="K982" s="80"/>
      <c r="L982" s="80"/>
      <c r="M982" s="80"/>
      <c r="N982" s="83" t="str">
        <f aca="false">IF(C982="","",IF(I982="",IF(H982="OUI","À ENROBER",IF(G982="À SOUDER","NON SOUDÉ","EN ATTENTE RT")),IF(L982="R","À REPRENDRE",IF(H982&lt;&gt;"OUI","⚠ ENROBÉ AVANT ACCEPTATION RT","ENROBÉ"))))</f>
        <v/>
      </c>
      <c r="O982" s="79"/>
    </row>
    <row r="983" customFormat="false" ht="15" hidden="false" customHeight="false" outlineLevel="0" collapsed="false">
      <c r="A983" s="78" t="str">
        <f aca="false">IF('CARNET DE SOUDURE'!E983="","",'CARNET DE SOUDURE'!A983)</f>
        <v/>
      </c>
      <c r="B983" s="93" t="str">
        <f aca="false">IF('CARNET DE SOUDURE'!E983="","",'CARNET DE SOUDURE'!B983&amp;"")</f>
        <v/>
      </c>
      <c r="C983" s="83" t="str">
        <f aca="false">IF('CARNET DE SOUDURE'!E983="","",'CARNET DE SOUDURE'!E983)</f>
        <v/>
      </c>
      <c r="D983" s="78" t="str">
        <f aca="false">IF('CARNET DE SOUDURE'!E983="","",'CARNET DE SOUDURE'!D983&amp;"")</f>
        <v/>
      </c>
      <c r="E983" s="96" t="str">
        <f aca="false">IF(OR('CARNET DE SOUDURE'!E983="",'CARNET DE SOUDURE'!R983=""),"",'CARNET DE SOUDURE'!R983)</f>
        <v/>
      </c>
      <c r="F983" s="81" t="str">
        <f aca="false">IF('CARNET DE SOUDURE'!E983="","",'CARNET DE SOUDURE'!AL983)</f>
        <v/>
      </c>
      <c r="G983" s="81" t="str">
        <f aca="false">IF('CARNET DE SOUDURE'!E983="","",'CARNET DE SOUDURE'!AM983)</f>
        <v/>
      </c>
      <c r="H983" s="81" t="str">
        <f aca="false">IF(C983="","",IF(G983="ACCEPTÉ","OUI","NON"))</f>
        <v/>
      </c>
      <c r="I983" s="82"/>
      <c r="J983" s="79"/>
      <c r="K983" s="80"/>
      <c r="L983" s="80"/>
      <c r="M983" s="80"/>
      <c r="N983" s="83" t="str">
        <f aca="false">IF(C983="","",IF(I983="",IF(H983="OUI","À ENROBER",IF(G983="À SOUDER","NON SOUDÉ","EN ATTENTE RT")),IF(L983="R","À REPRENDRE",IF(H983&lt;&gt;"OUI","⚠ ENROBÉ AVANT ACCEPTATION RT","ENROBÉ"))))</f>
        <v/>
      </c>
      <c r="O983" s="79"/>
    </row>
    <row r="984" customFormat="false" ht="15" hidden="false" customHeight="false" outlineLevel="0" collapsed="false">
      <c r="A984" s="78" t="str">
        <f aca="false">IF('CARNET DE SOUDURE'!E984="","",'CARNET DE SOUDURE'!A984)</f>
        <v/>
      </c>
      <c r="B984" s="93" t="str">
        <f aca="false">IF('CARNET DE SOUDURE'!E984="","",'CARNET DE SOUDURE'!B984&amp;"")</f>
        <v/>
      </c>
      <c r="C984" s="83" t="str">
        <f aca="false">IF('CARNET DE SOUDURE'!E984="","",'CARNET DE SOUDURE'!E984)</f>
        <v/>
      </c>
      <c r="D984" s="78" t="str">
        <f aca="false">IF('CARNET DE SOUDURE'!E984="","",'CARNET DE SOUDURE'!D984&amp;"")</f>
        <v/>
      </c>
      <c r="E984" s="96" t="str">
        <f aca="false">IF(OR('CARNET DE SOUDURE'!E984="",'CARNET DE SOUDURE'!R984=""),"",'CARNET DE SOUDURE'!R984)</f>
        <v/>
      </c>
      <c r="F984" s="81" t="str">
        <f aca="false">IF('CARNET DE SOUDURE'!E984="","",'CARNET DE SOUDURE'!AL984)</f>
        <v/>
      </c>
      <c r="G984" s="81" t="str">
        <f aca="false">IF('CARNET DE SOUDURE'!E984="","",'CARNET DE SOUDURE'!AM984)</f>
        <v/>
      </c>
      <c r="H984" s="81" t="str">
        <f aca="false">IF(C984="","",IF(G984="ACCEPTÉ","OUI","NON"))</f>
        <v/>
      </c>
      <c r="I984" s="82"/>
      <c r="J984" s="79"/>
      <c r="K984" s="80"/>
      <c r="L984" s="80"/>
      <c r="M984" s="80"/>
      <c r="N984" s="83" t="str">
        <f aca="false">IF(C984="","",IF(I984="",IF(H984="OUI","À ENROBER",IF(G984="À SOUDER","NON SOUDÉ","EN ATTENTE RT")),IF(L984="R","À REPRENDRE",IF(H984&lt;&gt;"OUI","⚠ ENROBÉ AVANT ACCEPTATION RT","ENROBÉ"))))</f>
        <v/>
      </c>
      <c r="O984" s="79"/>
    </row>
    <row r="985" customFormat="false" ht="15" hidden="false" customHeight="false" outlineLevel="0" collapsed="false">
      <c r="A985" s="78" t="str">
        <f aca="false">IF('CARNET DE SOUDURE'!E985="","",'CARNET DE SOUDURE'!A985)</f>
        <v/>
      </c>
      <c r="B985" s="93" t="str">
        <f aca="false">IF('CARNET DE SOUDURE'!E985="","",'CARNET DE SOUDURE'!B985&amp;"")</f>
        <v/>
      </c>
      <c r="C985" s="83" t="str">
        <f aca="false">IF('CARNET DE SOUDURE'!E985="","",'CARNET DE SOUDURE'!E985)</f>
        <v/>
      </c>
      <c r="D985" s="78" t="str">
        <f aca="false">IF('CARNET DE SOUDURE'!E985="","",'CARNET DE SOUDURE'!D985&amp;"")</f>
        <v/>
      </c>
      <c r="E985" s="96" t="str">
        <f aca="false">IF(OR('CARNET DE SOUDURE'!E985="",'CARNET DE SOUDURE'!R985=""),"",'CARNET DE SOUDURE'!R985)</f>
        <v/>
      </c>
      <c r="F985" s="81" t="str">
        <f aca="false">IF('CARNET DE SOUDURE'!E985="","",'CARNET DE SOUDURE'!AL985)</f>
        <v/>
      </c>
      <c r="G985" s="81" t="str">
        <f aca="false">IF('CARNET DE SOUDURE'!E985="","",'CARNET DE SOUDURE'!AM985)</f>
        <v/>
      </c>
      <c r="H985" s="81" t="str">
        <f aca="false">IF(C985="","",IF(G985="ACCEPTÉ","OUI","NON"))</f>
        <v/>
      </c>
      <c r="I985" s="82"/>
      <c r="J985" s="79"/>
      <c r="K985" s="80"/>
      <c r="L985" s="80"/>
      <c r="M985" s="80"/>
      <c r="N985" s="83" t="str">
        <f aca="false">IF(C985="","",IF(I985="",IF(H985="OUI","À ENROBER",IF(G985="À SOUDER","NON SOUDÉ","EN ATTENTE RT")),IF(L985="R","À REPRENDRE",IF(H985&lt;&gt;"OUI","⚠ ENROBÉ AVANT ACCEPTATION RT","ENROBÉ"))))</f>
        <v/>
      </c>
      <c r="O985" s="79"/>
    </row>
    <row r="986" customFormat="false" ht="15" hidden="false" customHeight="false" outlineLevel="0" collapsed="false">
      <c r="A986" s="78" t="str">
        <f aca="false">IF('CARNET DE SOUDURE'!E986="","",'CARNET DE SOUDURE'!A986)</f>
        <v/>
      </c>
      <c r="B986" s="93" t="str">
        <f aca="false">IF('CARNET DE SOUDURE'!E986="","",'CARNET DE SOUDURE'!B986&amp;"")</f>
        <v/>
      </c>
      <c r="C986" s="83" t="str">
        <f aca="false">IF('CARNET DE SOUDURE'!E986="","",'CARNET DE SOUDURE'!E986)</f>
        <v/>
      </c>
      <c r="D986" s="78" t="str">
        <f aca="false">IF('CARNET DE SOUDURE'!E986="","",'CARNET DE SOUDURE'!D986&amp;"")</f>
        <v/>
      </c>
      <c r="E986" s="96" t="str">
        <f aca="false">IF(OR('CARNET DE SOUDURE'!E986="",'CARNET DE SOUDURE'!R986=""),"",'CARNET DE SOUDURE'!R986)</f>
        <v/>
      </c>
      <c r="F986" s="81" t="str">
        <f aca="false">IF('CARNET DE SOUDURE'!E986="","",'CARNET DE SOUDURE'!AL986)</f>
        <v/>
      </c>
      <c r="G986" s="81" t="str">
        <f aca="false">IF('CARNET DE SOUDURE'!E986="","",'CARNET DE SOUDURE'!AM986)</f>
        <v/>
      </c>
      <c r="H986" s="81" t="str">
        <f aca="false">IF(C986="","",IF(G986="ACCEPTÉ","OUI","NON"))</f>
        <v/>
      </c>
      <c r="I986" s="82"/>
      <c r="J986" s="79"/>
      <c r="K986" s="80"/>
      <c r="L986" s="80"/>
      <c r="M986" s="80"/>
      <c r="N986" s="83" t="str">
        <f aca="false">IF(C986="","",IF(I986="",IF(H986="OUI","À ENROBER",IF(G986="À SOUDER","NON SOUDÉ","EN ATTENTE RT")),IF(L986="R","À REPRENDRE",IF(H986&lt;&gt;"OUI","⚠ ENROBÉ AVANT ACCEPTATION RT","ENROBÉ"))))</f>
        <v/>
      </c>
      <c r="O986" s="79"/>
    </row>
    <row r="987" customFormat="false" ht="15" hidden="false" customHeight="false" outlineLevel="0" collapsed="false">
      <c r="A987" s="78" t="str">
        <f aca="false">IF('CARNET DE SOUDURE'!E987="","",'CARNET DE SOUDURE'!A987)</f>
        <v/>
      </c>
      <c r="B987" s="93" t="str">
        <f aca="false">IF('CARNET DE SOUDURE'!E987="","",'CARNET DE SOUDURE'!B987&amp;"")</f>
        <v/>
      </c>
      <c r="C987" s="83" t="str">
        <f aca="false">IF('CARNET DE SOUDURE'!E987="","",'CARNET DE SOUDURE'!E987)</f>
        <v/>
      </c>
      <c r="D987" s="78" t="str">
        <f aca="false">IF('CARNET DE SOUDURE'!E987="","",'CARNET DE SOUDURE'!D987&amp;"")</f>
        <v/>
      </c>
      <c r="E987" s="96" t="str">
        <f aca="false">IF(OR('CARNET DE SOUDURE'!E987="",'CARNET DE SOUDURE'!R987=""),"",'CARNET DE SOUDURE'!R987)</f>
        <v/>
      </c>
      <c r="F987" s="81" t="str">
        <f aca="false">IF('CARNET DE SOUDURE'!E987="","",'CARNET DE SOUDURE'!AL987)</f>
        <v/>
      </c>
      <c r="G987" s="81" t="str">
        <f aca="false">IF('CARNET DE SOUDURE'!E987="","",'CARNET DE SOUDURE'!AM987)</f>
        <v/>
      </c>
      <c r="H987" s="81" t="str">
        <f aca="false">IF(C987="","",IF(G987="ACCEPTÉ","OUI","NON"))</f>
        <v/>
      </c>
      <c r="I987" s="82"/>
      <c r="J987" s="79"/>
      <c r="K987" s="80"/>
      <c r="L987" s="80"/>
      <c r="M987" s="80"/>
      <c r="N987" s="83" t="str">
        <f aca="false">IF(C987="","",IF(I987="",IF(H987="OUI","À ENROBER",IF(G987="À SOUDER","NON SOUDÉ","EN ATTENTE RT")),IF(L987="R","À REPRENDRE",IF(H987&lt;&gt;"OUI","⚠ ENROBÉ AVANT ACCEPTATION RT","ENROBÉ"))))</f>
        <v/>
      </c>
      <c r="O987" s="79"/>
    </row>
    <row r="988" customFormat="false" ht="15" hidden="false" customHeight="false" outlineLevel="0" collapsed="false">
      <c r="A988" s="78" t="str">
        <f aca="false">IF('CARNET DE SOUDURE'!E988="","",'CARNET DE SOUDURE'!A988)</f>
        <v/>
      </c>
      <c r="B988" s="93" t="str">
        <f aca="false">IF('CARNET DE SOUDURE'!E988="","",'CARNET DE SOUDURE'!B988&amp;"")</f>
        <v/>
      </c>
      <c r="C988" s="83" t="str">
        <f aca="false">IF('CARNET DE SOUDURE'!E988="","",'CARNET DE SOUDURE'!E988)</f>
        <v/>
      </c>
      <c r="D988" s="78" t="str">
        <f aca="false">IF('CARNET DE SOUDURE'!E988="","",'CARNET DE SOUDURE'!D988&amp;"")</f>
        <v/>
      </c>
      <c r="E988" s="96" t="str">
        <f aca="false">IF(OR('CARNET DE SOUDURE'!E988="",'CARNET DE SOUDURE'!R988=""),"",'CARNET DE SOUDURE'!R988)</f>
        <v/>
      </c>
      <c r="F988" s="81" t="str">
        <f aca="false">IF('CARNET DE SOUDURE'!E988="","",'CARNET DE SOUDURE'!AL988)</f>
        <v/>
      </c>
      <c r="G988" s="81" t="str">
        <f aca="false">IF('CARNET DE SOUDURE'!E988="","",'CARNET DE SOUDURE'!AM988)</f>
        <v/>
      </c>
      <c r="H988" s="81" t="str">
        <f aca="false">IF(C988="","",IF(G988="ACCEPTÉ","OUI","NON"))</f>
        <v/>
      </c>
      <c r="I988" s="82"/>
      <c r="J988" s="79"/>
      <c r="K988" s="80"/>
      <c r="L988" s="80"/>
      <c r="M988" s="80"/>
      <c r="N988" s="83" t="str">
        <f aca="false">IF(C988="","",IF(I988="",IF(H988="OUI","À ENROBER",IF(G988="À SOUDER","NON SOUDÉ","EN ATTENTE RT")),IF(L988="R","À REPRENDRE",IF(H988&lt;&gt;"OUI","⚠ ENROBÉ AVANT ACCEPTATION RT","ENROBÉ"))))</f>
        <v/>
      </c>
      <c r="O988" s="79"/>
    </row>
    <row r="989" customFormat="false" ht="15" hidden="false" customHeight="false" outlineLevel="0" collapsed="false">
      <c r="A989" s="78" t="str">
        <f aca="false">IF('CARNET DE SOUDURE'!E989="","",'CARNET DE SOUDURE'!A989)</f>
        <v/>
      </c>
      <c r="B989" s="93" t="str">
        <f aca="false">IF('CARNET DE SOUDURE'!E989="","",'CARNET DE SOUDURE'!B989&amp;"")</f>
        <v/>
      </c>
      <c r="C989" s="83" t="str">
        <f aca="false">IF('CARNET DE SOUDURE'!E989="","",'CARNET DE SOUDURE'!E989)</f>
        <v/>
      </c>
      <c r="D989" s="78" t="str">
        <f aca="false">IF('CARNET DE SOUDURE'!E989="","",'CARNET DE SOUDURE'!D989&amp;"")</f>
        <v/>
      </c>
      <c r="E989" s="96" t="str">
        <f aca="false">IF(OR('CARNET DE SOUDURE'!E989="",'CARNET DE SOUDURE'!R989=""),"",'CARNET DE SOUDURE'!R989)</f>
        <v/>
      </c>
      <c r="F989" s="81" t="str">
        <f aca="false">IF('CARNET DE SOUDURE'!E989="","",'CARNET DE SOUDURE'!AL989)</f>
        <v/>
      </c>
      <c r="G989" s="81" t="str">
        <f aca="false">IF('CARNET DE SOUDURE'!E989="","",'CARNET DE SOUDURE'!AM989)</f>
        <v/>
      </c>
      <c r="H989" s="81" t="str">
        <f aca="false">IF(C989="","",IF(G989="ACCEPTÉ","OUI","NON"))</f>
        <v/>
      </c>
      <c r="I989" s="82"/>
      <c r="J989" s="79"/>
      <c r="K989" s="80"/>
      <c r="L989" s="80"/>
      <c r="M989" s="80"/>
      <c r="N989" s="83" t="str">
        <f aca="false">IF(C989="","",IF(I989="",IF(H989="OUI","À ENROBER",IF(G989="À SOUDER","NON SOUDÉ","EN ATTENTE RT")),IF(L989="R","À REPRENDRE",IF(H989&lt;&gt;"OUI","⚠ ENROBÉ AVANT ACCEPTATION RT","ENROBÉ"))))</f>
        <v/>
      </c>
      <c r="O989" s="79"/>
    </row>
    <row r="990" customFormat="false" ht="15" hidden="false" customHeight="false" outlineLevel="0" collapsed="false">
      <c r="A990" s="78" t="str">
        <f aca="false">IF('CARNET DE SOUDURE'!E990="","",'CARNET DE SOUDURE'!A990)</f>
        <v/>
      </c>
      <c r="B990" s="93" t="str">
        <f aca="false">IF('CARNET DE SOUDURE'!E990="","",'CARNET DE SOUDURE'!B990&amp;"")</f>
        <v/>
      </c>
      <c r="C990" s="83" t="str">
        <f aca="false">IF('CARNET DE SOUDURE'!E990="","",'CARNET DE SOUDURE'!E990)</f>
        <v/>
      </c>
      <c r="D990" s="78" t="str">
        <f aca="false">IF('CARNET DE SOUDURE'!E990="","",'CARNET DE SOUDURE'!D990&amp;"")</f>
        <v/>
      </c>
      <c r="E990" s="96" t="str">
        <f aca="false">IF(OR('CARNET DE SOUDURE'!E990="",'CARNET DE SOUDURE'!R990=""),"",'CARNET DE SOUDURE'!R990)</f>
        <v/>
      </c>
      <c r="F990" s="81" t="str">
        <f aca="false">IF('CARNET DE SOUDURE'!E990="","",'CARNET DE SOUDURE'!AL990)</f>
        <v/>
      </c>
      <c r="G990" s="81" t="str">
        <f aca="false">IF('CARNET DE SOUDURE'!E990="","",'CARNET DE SOUDURE'!AM990)</f>
        <v/>
      </c>
      <c r="H990" s="81" t="str">
        <f aca="false">IF(C990="","",IF(G990="ACCEPTÉ","OUI","NON"))</f>
        <v/>
      </c>
      <c r="I990" s="82"/>
      <c r="J990" s="79"/>
      <c r="K990" s="80"/>
      <c r="L990" s="80"/>
      <c r="M990" s="80"/>
      <c r="N990" s="83" t="str">
        <f aca="false">IF(C990="","",IF(I990="",IF(H990="OUI","À ENROBER",IF(G990="À SOUDER","NON SOUDÉ","EN ATTENTE RT")),IF(L990="R","À REPRENDRE",IF(H990&lt;&gt;"OUI","⚠ ENROBÉ AVANT ACCEPTATION RT","ENROBÉ"))))</f>
        <v/>
      </c>
      <c r="O990" s="79"/>
    </row>
    <row r="991" customFormat="false" ht="15" hidden="false" customHeight="false" outlineLevel="0" collapsed="false">
      <c r="A991" s="78" t="str">
        <f aca="false">IF('CARNET DE SOUDURE'!E991="","",'CARNET DE SOUDURE'!A991)</f>
        <v/>
      </c>
      <c r="B991" s="93" t="str">
        <f aca="false">IF('CARNET DE SOUDURE'!E991="","",'CARNET DE SOUDURE'!B991&amp;"")</f>
        <v/>
      </c>
      <c r="C991" s="83" t="str">
        <f aca="false">IF('CARNET DE SOUDURE'!E991="","",'CARNET DE SOUDURE'!E991)</f>
        <v/>
      </c>
      <c r="D991" s="78" t="str">
        <f aca="false">IF('CARNET DE SOUDURE'!E991="","",'CARNET DE SOUDURE'!D991&amp;"")</f>
        <v/>
      </c>
      <c r="E991" s="96" t="str">
        <f aca="false">IF(OR('CARNET DE SOUDURE'!E991="",'CARNET DE SOUDURE'!R991=""),"",'CARNET DE SOUDURE'!R991)</f>
        <v/>
      </c>
      <c r="F991" s="81" t="str">
        <f aca="false">IF('CARNET DE SOUDURE'!E991="","",'CARNET DE SOUDURE'!AL991)</f>
        <v/>
      </c>
      <c r="G991" s="81" t="str">
        <f aca="false">IF('CARNET DE SOUDURE'!E991="","",'CARNET DE SOUDURE'!AM991)</f>
        <v/>
      </c>
      <c r="H991" s="81" t="str">
        <f aca="false">IF(C991="","",IF(G991="ACCEPTÉ","OUI","NON"))</f>
        <v/>
      </c>
      <c r="I991" s="82"/>
      <c r="J991" s="79"/>
      <c r="K991" s="80"/>
      <c r="L991" s="80"/>
      <c r="M991" s="80"/>
      <c r="N991" s="83" t="str">
        <f aca="false">IF(C991="","",IF(I991="",IF(H991="OUI","À ENROBER",IF(G991="À SOUDER","NON SOUDÉ","EN ATTENTE RT")),IF(L991="R","À REPRENDRE",IF(H991&lt;&gt;"OUI","⚠ ENROBÉ AVANT ACCEPTATION RT","ENROBÉ"))))</f>
        <v/>
      </c>
      <c r="O991" s="79"/>
    </row>
    <row r="992" customFormat="false" ht="15" hidden="false" customHeight="false" outlineLevel="0" collapsed="false">
      <c r="A992" s="78" t="str">
        <f aca="false">IF('CARNET DE SOUDURE'!E992="","",'CARNET DE SOUDURE'!A992)</f>
        <v/>
      </c>
      <c r="B992" s="93" t="str">
        <f aca="false">IF('CARNET DE SOUDURE'!E992="","",'CARNET DE SOUDURE'!B992&amp;"")</f>
        <v/>
      </c>
      <c r="C992" s="83" t="str">
        <f aca="false">IF('CARNET DE SOUDURE'!E992="","",'CARNET DE SOUDURE'!E992)</f>
        <v/>
      </c>
      <c r="D992" s="78" t="str">
        <f aca="false">IF('CARNET DE SOUDURE'!E992="","",'CARNET DE SOUDURE'!D992&amp;"")</f>
        <v/>
      </c>
      <c r="E992" s="96" t="str">
        <f aca="false">IF(OR('CARNET DE SOUDURE'!E992="",'CARNET DE SOUDURE'!R992=""),"",'CARNET DE SOUDURE'!R992)</f>
        <v/>
      </c>
      <c r="F992" s="81" t="str">
        <f aca="false">IF('CARNET DE SOUDURE'!E992="","",'CARNET DE SOUDURE'!AL992)</f>
        <v/>
      </c>
      <c r="G992" s="81" t="str">
        <f aca="false">IF('CARNET DE SOUDURE'!E992="","",'CARNET DE SOUDURE'!AM992)</f>
        <v/>
      </c>
      <c r="H992" s="81" t="str">
        <f aca="false">IF(C992="","",IF(G992="ACCEPTÉ","OUI","NON"))</f>
        <v/>
      </c>
      <c r="I992" s="82"/>
      <c r="J992" s="79"/>
      <c r="K992" s="80"/>
      <c r="L992" s="80"/>
      <c r="M992" s="80"/>
      <c r="N992" s="83" t="str">
        <f aca="false">IF(C992="","",IF(I992="",IF(H992="OUI","À ENROBER",IF(G992="À SOUDER","NON SOUDÉ","EN ATTENTE RT")),IF(L992="R","À REPRENDRE",IF(H992&lt;&gt;"OUI","⚠ ENROBÉ AVANT ACCEPTATION RT","ENROBÉ"))))</f>
        <v/>
      </c>
      <c r="O992" s="79"/>
    </row>
    <row r="993" customFormat="false" ht="15" hidden="false" customHeight="false" outlineLevel="0" collapsed="false">
      <c r="A993" s="78" t="str">
        <f aca="false">IF('CARNET DE SOUDURE'!E993="","",'CARNET DE SOUDURE'!A993)</f>
        <v/>
      </c>
      <c r="B993" s="93" t="str">
        <f aca="false">IF('CARNET DE SOUDURE'!E993="","",'CARNET DE SOUDURE'!B993&amp;"")</f>
        <v/>
      </c>
      <c r="C993" s="83" t="str">
        <f aca="false">IF('CARNET DE SOUDURE'!E993="","",'CARNET DE SOUDURE'!E993)</f>
        <v/>
      </c>
      <c r="D993" s="78" t="str">
        <f aca="false">IF('CARNET DE SOUDURE'!E993="","",'CARNET DE SOUDURE'!D993&amp;"")</f>
        <v/>
      </c>
      <c r="E993" s="96" t="str">
        <f aca="false">IF(OR('CARNET DE SOUDURE'!E993="",'CARNET DE SOUDURE'!R993=""),"",'CARNET DE SOUDURE'!R993)</f>
        <v/>
      </c>
      <c r="F993" s="81" t="str">
        <f aca="false">IF('CARNET DE SOUDURE'!E993="","",'CARNET DE SOUDURE'!AL993)</f>
        <v/>
      </c>
      <c r="G993" s="81" t="str">
        <f aca="false">IF('CARNET DE SOUDURE'!E993="","",'CARNET DE SOUDURE'!AM993)</f>
        <v/>
      </c>
      <c r="H993" s="81" t="str">
        <f aca="false">IF(C993="","",IF(G993="ACCEPTÉ","OUI","NON"))</f>
        <v/>
      </c>
      <c r="I993" s="82"/>
      <c r="J993" s="79"/>
      <c r="K993" s="80"/>
      <c r="L993" s="80"/>
      <c r="M993" s="80"/>
      <c r="N993" s="83" t="str">
        <f aca="false">IF(C993="","",IF(I993="",IF(H993="OUI","À ENROBER",IF(G993="À SOUDER","NON SOUDÉ","EN ATTENTE RT")),IF(L993="R","À REPRENDRE",IF(H993&lt;&gt;"OUI","⚠ ENROBÉ AVANT ACCEPTATION RT","ENROBÉ"))))</f>
        <v/>
      </c>
      <c r="O993" s="79"/>
    </row>
    <row r="994" customFormat="false" ht="15" hidden="false" customHeight="false" outlineLevel="0" collapsed="false">
      <c r="A994" s="78" t="str">
        <f aca="false">IF('CARNET DE SOUDURE'!E994="","",'CARNET DE SOUDURE'!A994)</f>
        <v/>
      </c>
      <c r="B994" s="93" t="str">
        <f aca="false">IF('CARNET DE SOUDURE'!E994="","",'CARNET DE SOUDURE'!B994&amp;"")</f>
        <v/>
      </c>
      <c r="C994" s="83" t="str">
        <f aca="false">IF('CARNET DE SOUDURE'!E994="","",'CARNET DE SOUDURE'!E994)</f>
        <v/>
      </c>
      <c r="D994" s="78" t="str">
        <f aca="false">IF('CARNET DE SOUDURE'!E994="","",'CARNET DE SOUDURE'!D994&amp;"")</f>
        <v/>
      </c>
      <c r="E994" s="96" t="str">
        <f aca="false">IF(OR('CARNET DE SOUDURE'!E994="",'CARNET DE SOUDURE'!R994=""),"",'CARNET DE SOUDURE'!R994)</f>
        <v/>
      </c>
      <c r="F994" s="81" t="str">
        <f aca="false">IF('CARNET DE SOUDURE'!E994="","",'CARNET DE SOUDURE'!AL994)</f>
        <v/>
      </c>
      <c r="G994" s="81" t="str">
        <f aca="false">IF('CARNET DE SOUDURE'!E994="","",'CARNET DE SOUDURE'!AM994)</f>
        <v/>
      </c>
      <c r="H994" s="81" t="str">
        <f aca="false">IF(C994="","",IF(G994="ACCEPTÉ","OUI","NON"))</f>
        <v/>
      </c>
      <c r="I994" s="82"/>
      <c r="J994" s="79"/>
      <c r="K994" s="80"/>
      <c r="L994" s="80"/>
      <c r="M994" s="80"/>
      <c r="N994" s="83" t="str">
        <f aca="false">IF(C994="","",IF(I994="",IF(H994="OUI","À ENROBER",IF(G994="À SOUDER","NON SOUDÉ","EN ATTENTE RT")),IF(L994="R","À REPRENDRE",IF(H994&lt;&gt;"OUI","⚠ ENROBÉ AVANT ACCEPTATION RT","ENROBÉ"))))</f>
        <v/>
      </c>
      <c r="O994" s="79"/>
    </row>
    <row r="995" customFormat="false" ht="15" hidden="false" customHeight="false" outlineLevel="0" collapsed="false">
      <c r="A995" s="78" t="str">
        <f aca="false">IF('CARNET DE SOUDURE'!E995="","",'CARNET DE SOUDURE'!A995)</f>
        <v/>
      </c>
      <c r="B995" s="93" t="str">
        <f aca="false">IF('CARNET DE SOUDURE'!E995="","",'CARNET DE SOUDURE'!B995&amp;"")</f>
        <v/>
      </c>
      <c r="C995" s="83" t="str">
        <f aca="false">IF('CARNET DE SOUDURE'!E995="","",'CARNET DE SOUDURE'!E995)</f>
        <v/>
      </c>
      <c r="D995" s="78" t="str">
        <f aca="false">IF('CARNET DE SOUDURE'!E995="","",'CARNET DE SOUDURE'!D995&amp;"")</f>
        <v/>
      </c>
      <c r="E995" s="96" t="str">
        <f aca="false">IF(OR('CARNET DE SOUDURE'!E995="",'CARNET DE SOUDURE'!R995=""),"",'CARNET DE SOUDURE'!R995)</f>
        <v/>
      </c>
      <c r="F995" s="81" t="str">
        <f aca="false">IF('CARNET DE SOUDURE'!E995="","",'CARNET DE SOUDURE'!AL995)</f>
        <v/>
      </c>
      <c r="G995" s="81" t="str">
        <f aca="false">IF('CARNET DE SOUDURE'!E995="","",'CARNET DE SOUDURE'!AM995)</f>
        <v/>
      </c>
      <c r="H995" s="81" t="str">
        <f aca="false">IF(C995="","",IF(G995="ACCEPTÉ","OUI","NON"))</f>
        <v/>
      </c>
      <c r="I995" s="82"/>
      <c r="J995" s="79"/>
      <c r="K995" s="80"/>
      <c r="L995" s="80"/>
      <c r="M995" s="80"/>
      <c r="N995" s="83" t="str">
        <f aca="false">IF(C995="","",IF(I995="",IF(H995="OUI","À ENROBER",IF(G995="À SOUDER","NON SOUDÉ","EN ATTENTE RT")),IF(L995="R","À REPRENDRE",IF(H995&lt;&gt;"OUI","⚠ ENROBÉ AVANT ACCEPTATION RT","ENROBÉ"))))</f>
        <v/>
      </c>
      <c r="O995" s="79"/>
    </row>
    <row r="996" customFormat="false" ht="15" hidden="false" customHeight="false" outlineLevel="0" collapsed="false">
      <c r="A996" s="78" t="str">
        <f aca="false">IF('CARNET DE SOUDURE'!E996="","",'CARNET DE SOUDURE'!A996)</f>
        <v/>
      </c>
      <c r="B996" s="93" t="str">
        <f aca="false">IF('CARNET DE SOUDURE'!E996="","",'CARNET DE SOUDURE'!B996&amp;"")</f>
        <v/>
      </c>
      <c r="C996" s="83" t="str">
        <f aca="false">IF('CARNET DE SOUDURE'!E996="","",'CARNET DE SOUDURE'!E996)</f>
        <v/>
      </c>
      <c r="D996" s="78" t="str">
        <f aca="false">IF('CARNET DE SOUDURE'!E996="","",'CARNET DE SOUDURE'!D996&amp;"")</f>
        <v/>
      </c>
      <c r="E996" s="96" t="str">
        <f aca="false">IF(OR('CARNET DE SOUDURE'!E996="",'CARNET DE SOUDURE'!R996=""),"",'CARNET DE SOUDURE'!R996)</f>
        <v/>
      </c>
      <c r="F996" s="81" t="str">
        <f aca="false">IF('CARNET DE SOUDURE'!E996="","",'CARNET DE SOUDURE'!AL996)</f>
        <v/>
      </c>
      <c r="G996" s="81" t="str">
        <f aca="false">IF('CARNET DE SOUDURE'!E996="","",'CARNET DE SOUDURE'!AM996)</f>
        <v/>
      </c>
      <c r="H996" s="81" t="str">
        <f aca="false">IF(C996="","",IF(G996="ACCEPTÉ","OUI","NON"))</f>
        <v/>
      </c>
      <c r="I996" s="82"/>
      <c r="J996" s="79"/>
      <c r="K996" s="80"/>
      <c r="L996" s="80"/>
      <c r="M996" s="80"/>
      <c r="N996" s="83" t="str">
        <f aca="false">IF(C996="","",IF(I996="",IF(H996="OUI","À ENROBER",IF(G996="À SOUDER","NON SOUDÉ","EN ATTENTE RT")),IF(L996="R","À REPRENDRE",IF(H996&lt;&gt;"OUI","⚠ ENROBÉ AVANT ACCEPTATION RT","ENROBÉ"))))</f>
        <v/>
      </c>
      <c r="O996" s="79"/>
    </row>
    <row r="997" customFormat="false" ht="15" hidden="false" customHeight="false" outlineLevel="0" collapsed="false">
      <c r="A997" s="78" t="str">
        <f aca="false">IF('CARNET DE SOUDURE'!E997="","",'CARNET DE SOUDURE'!A997)</f>
        <v/>
      </c>
      <c r="B997" s="93" t="str">
        <f aca="false">IF('CARNET DE SOUDURE'!E997="","",'CARNET DE SOUDURE'!B997&amp;"")</f>
        <v/>
      </c>
      <c r="C997" s="83" t="str">
        <f aca="false">IF('CARNET DE SOUDURE'!E997="","",'CARNET DE SOUDURE'!E997)</f>
        <v/>
      </c>
      <c r="D997" s="78" t="str">
        <f aca="false">IF('CARNET DE SOUDURE'!E997="","",'CARNET DE SOUDURE'!D997&amp;"")</f>
        <v/>
      </c>
      <c r="E997" s="96" t="str">
        <f aca="false">IF(OR('CARNET DE SOUDURE'!E997="",'CARNET DE SOUDURE'!R997=""),"",'CARNET DE SOUDURE'!R997)</f>
        <v/>
      </c>
      <c r="F997" s="81" t="str">
        <f aca="false">IF('CARNET DE SOUDURE'!E997="","",'CARNET DE SOUDURE'!AL997)</f>
        <v/>
      </c>
      <c r="G997" s="81" t="str">
        <f aca="false">IF('CARNET DE SOUDURE'!E997="","",'CARNET DE SOUDURE'!AM997)</f>
        <v/>
      </c>
      <c r="H997" s="81" t="str">
        <f aca="false">IF(C997="","",IF(G997="ACCEPTÉ","OUI","NON"))</f>
        <v/>
      </c>
      <c r="I997" s="82"/>
      <c r="J997" s="79"/>
      <c r="K997" s="80"/>
      <c r="L997" s="80"/>
      <c r="M997" s="80"/>
      <c r="N997" s="83" t="str">
        <f aca="false">IF(C997="","",IF(I997="",IF(H997="OUI","À ENROBER",IF(G997="À SOUDER","NON SOUDÉ","EN ATTENTE RT")),IF(L997="R","À REPRENDRE",IF(H997&lt;&gt;"OUI","⚠ ENROBÉ AVANT ACCEPTATION RT","ENROBÉ"))))</f>
        <v/>
      </c>
      <c r="O997" s="79"/>
    </row>
    <row r="998" customFormat="false" ht="15" hidden="false" customHeight="false" outlineLevel="0" collapsed="false">
      <c r="A998" s="78" t="str">
        <f aca="false">IF('CARNET DE SOUDURE'!E998="","",'CARNET DE SOUDURE'!A998)</f>
        <v/>
      </c>
      <c r="B998" s="93" t="str">
        <f aca="false">IF('CARNET DE SOUDURE'!E998="","",'CARNET DE SOUDURE'!B998&amp;"")</f>
        <v/>
      </c>
      <c r="C998" s="83" t="str">
        <f aca="false">IF('CARNET DE SOUDURE'!E998="","",'CARNET DE SOUDURE'!E998)</f>
        <v/>
      </c>
      <c r="D998" s="78" t="str">
        <f aca="false">IF('CARNET DE SOUDURE'!E998="","",'CARNET DE SOUDURE'!D998&amp;"")</f>
        <v/>
      </c>
      <c r="E998" s="96" t="str">
        <f aca="false">IF(OR('CARNET DE SOUDURE'!E998="",'CARNET DE SOUDURE'!R998=""),"",'CARNET DE SOUDURE'!R998)</f>
        <v/>
      </c>
      <c r="F998" s="81" t="str">
        <f aca="false">IF('CARNET DE SOUDURE'!E998="","",'CARNET DE SOUDURE'!AL998)</f>
        <v/>
      </c>
      <c r="G998" s="81" t="str">
        <f aca="false">IF('CARNET DE SOUDURE'!E998="","",'CARNET DE SOUDURE'!AM998)</f>
        <v/>
      </c>
      <c r="H998" s="81" t="str">
        <f aca="false">IF(C998="","",IF(G998="ACCEPTÉ","OUI","NON"))</f>
        <v/>
      </c>
      <c r="I998" s="82"/>
      <c r="J998" s="79"/>
      <c r="K998" s="80"/>
      <c r="L998" s="80"/>
      <c r="M998" s="80"/>
      <c r="N998" s="83" t="str">
        <f aca="false">IF(C998="","",IF(I998="",IF(H998="OUI","À ENROBER",IF(G998="À SOUDER","NON SOUDÉ","EN ATTENTE RT")),IF(L998="R","À REPRENDRE",IF(H998&lt;&gt;"OUI","⚠ ENROBÉ AVANT ACCEPTATION RT","ENROBÉ"))))</f>
        <v/>
      </c>
      <c r="O998" s="79"/>
    </row>
    <row r="999" customFormat="false" ht="15" hidden="false" customHeight="false" outlineLevel="0" collapsed="false">
      <c r="A999" s="78" t="str">
        <f aca="false">IF('CARNET DE SOUDURE'!E999="","",'CARNET DE SOUDURE'!A999)</f>
        <v/>
      </c>
      <c r="B999" s="93" t="str">
        <f aca="false">IF('CARNET DE SOUDURE'!E999="","",'CARNET DE SOUDURE'!B999&amp;"")</f>
        <v/>
      </c>
      <c r="C999" s="83" t="str">
        <f aca="false">IF('CARNET DE SOUDURE'!E999="","",'CARNET DE SOUDURE'!E999)</f>
        <v/>
      </c>
      <c r="D999" s="78" t="str">
        <f aca="false">IF('CARNET DE SOUDURE'!E999="","",'CARNET DE SOUDURE'!D999&amp;"")</f>
        <v/>
      </c>
      <c r="E999" s="96" t="str">
        <f aca="false">IF(OR('CARNET DE SOUDURE'!E999="",'CARNET DE SOUDURE'!R999=""),"",'CARNET DE SOUDURE'!R999)</f>
        <v/>
      </c>
      <c r="F999" s="81" t="str">
        <f aca="false">IF('CARNET DE SOUDURE'!E999="","",'CARNET DE SOUDURE'!AL999)</f>
        <v/>
      </c>
      <c r="G999" s="81" t="str">
        <f aca="false">IF('CARNET DE SOUDURE'!E999="","",'CARNET DE SOUDURE'!AM999)</f>
        <v/>
      </c>
      <c r="H999" s="81" t="str">
        <f aca="false">IF(C999="","",IF(G999="ACCEPTÉ","OUI","NON"))</f>
        <v/>
      </c>
      <c r="I999" s="82"/>
      <c r="J999" s="79"/>
      <c r="K999" s="80"/>
      <c r="L999" s="80"/>
      <c r="M999" s="80"/>
      <c r="N999" s="83" t="str">
        <f aca="false">IF(C999="","",IF(I999="",IF(H999="OUI","À ENROBER",IF(G999="À SOUDER","NON SOUDÉ","EN ATTENTE RT")),IF(L999="R","À REPRENDRE",IF(H999&lt;&gt;"OUI","⚠ ENROBÉ AVANT ACCEPTATION RT","ENROBÉ"))))</f>
        <v/>
      </c>
      <c r="O999" s="79"/>
    </row>
    <row r="1000" customFormat="false" ht="15" hidden="false" customHeight="false" outlineLevel="0" collapsed="false">
      <c r="A1000" s="78" t="str">
        <f aca="false">IF('CARNET DE SOUDURE'!E1000="","",'CARNET DE SOUDURE'!A1000)</f>
        <v/>
      </c>
      <c r="B1000" s="93" t="str">
        <f aca="false">IF('CARNET DE SOUDURE'!E1000="","",'CARNET DE SOUDURE'!B1000&amp;"")</f>
        <v/>
      </c>
      <c r="C1000" s="83" t="str">
        <f aca="false">IF('CARNET DE SOUDURE'!E1000="","",'CARNET DE SOUDURE'!E1000)</f>
        <v/>
      </c>
      <c r="D1000" s="78" t="str">
        <f aca="false">IF('CARNET DE SOUDURE'!E1000="","",'CARNET DE SOUDURE'!D1000&amp;"")</f>
        <v/>
      </c>
      <c r="E1000" s="96" t="str">
        <f aca="false">IF(OR('CARNET DE SOUDURE'!E1000="",'CARNET DE SOUDURE'!R1000=""),"",'CARNET DE SOUDURE'!R1000)</f>
        <v/>
      </c>
      <c r="F1000" s="81" t="str">
        <f aca="false">IF('CARNET DE SOUDURE'!E1000="","",'CARNET DE SOUDURE'!AL1000)</f>
        <v/>
      </c>
      <c r="G1000" s="81" t="str">
        <f aca="false">IF('CARNET DE SOUDURE'!E1000="","",'CARNET DE SOUDURE'!AM1000)</f>
        <v/>
      </c>
      <c r="H1000" s="81" t="str">
        <f aca="false">IF(C1000="","",IF(G1000="ACCEPTÉ","OUI","NON"))</f>
        <v/>
      </c>
      <c r="I1000" s="82"/>
      <c r="J1000" s="79"/>
      <c r="K1000" s="80"/>
      <c r="L1000" s="80"/>
      <c r="M1000" s="80"/>
      <c r="N1000" s="83" t="str">
        <f aca="false">IF(C1000="","",IF(I1000="",IF(H1000="OUI","À ENROBER",IF(G1000="À SOUDER","NON SOUDÉ","EN ATTENTE RT")),IF(L1000="R","À REPRENDRE",IF(H1000&lt;&gt;"OUI","⚠ ENROBÉ AVANT ACCEPTATION RT","ENROBÉ"))))</f>
        <v/>
      </c>
      <c r="O1000" s="79"/>
    </row>
    <row r="1001" customFormat="false" ht="15" hidden="false" customHeight="false" outlineLevel="0" collapsed="false">
      <c r="A1001" s="78" t="str">
        <f aca="false">IF('CARNET DE SOUDURE'!E1001="","",'CARNET DE SOUDURE'!A1001)</f>
        <v/>
      </c>
      <c r="B1001" s="93" t="str">
        <f aca="false">IF('CARNET DE SOUDURE'!E1001="","",'CARNET DE SOUDURE'!B1001&amp;"")</f>
        <v/>
      </c>
      <c r="C1001" s="83" t="str">
        <f aca="false">IF('CARNET DE SOUDURE'!E1001="","",'CARNET DE SOUDURE'!E1001)</f>
        <v/>
      </c>
      <c r="D1001" s="78" t="str">
        <f aca="false">IF('CARNET DE SOUDURE'!E1001="","",'CARNET DE SOUDURE'!D1001&amp;"")</f>
        <v/>
      </c>
      <c r="E1001" s="96" t="str">
        <f aca="false">IF(OR('CARNET DE SOUDURE'!E1001="",'CARNET DE SOUDURE'!R1001=""),"",'CARNET DE SOUDURE'!R1001)</f>
        <v/>
      </c>
      <c r="F1001" s="81" t="str">
        <f aca="false">IF('CARNET DE SOUDURE'!E1001="","",'CARNET DE SOUDURE'!AL1001)</f>
        <v/>
      </c>
      <c r="G1001" s="81" t="str">
        <f aca="false">IF('CARNET DE SOUDURE'!E1001="","",'CARNET DE SOUDURE'!AM1001)</f>
        <v/>
      </c>
      <c r="H1001" s="81" t="str">
        <f aca="false">IF(C1001="","",IF(G1001="ACCEPTÉ","OUI","NON"))</f>
        <v/>
      </c>
      <c r="I1001" s="82"/>
      <c r="J1001" s="79"/>
      <c r="K1001" s="80"/>
      <c r="L1001" s="80"/>
      <c r="M1001" s="80"/>
      <c r="N1001" s="83" t="str">
        <f aca="false">IF(C1001="","",IF(I1001="",IF(H1001="OUI","À ENROBER",IF(G1001="À SOUDER","NON SOUDÉ","EN ATTENTE RT")),IF(L1001="R","À REPRENDRE",IF(H1001&lt;&gt;"OUI","⚠ ENROBÉ AVANT ACCEPTATION RT","ENROBÉ"))))</f>
        <v/>
      </c>
      <c r="O1001" s="79"/>
    </row>
    <row r="1002" customFormat="false" ht="15" hidden="false" customHeight="false" outlineLevel="0" collapsed="false">
      <c r="A1002" s="78" t="str">
        <f aca="false">IF('CARNET DE SOUDURE'!E1002="","",'CARNET DE SOUDURE'!A1002)</f>
        <v/>
      </c>
      <c r="B1002" s="93" t="str">
        <f aca="false">IF('CARNET DE SOUDURE'!E1002="","",'CARNET DE SOUDURE'!B1002&amp;"")</f>
        <v/>
      </c>
      <c r="C1002" s="83" t="str">
        <f aca="false">IF('CARNET DE SOUDURE'!E1002="","",'CARNET DE SOUDURE'!E1002)</f>
        <v/>
      </c>
      <c r="D1002" s="78" t="str">
        <f aca="false">IF('CARNET DE SOUDURE'!E1002="","",'CARNET DE SOUDURE'!D1002&amp;"")</f>
        <v/>
      </c>
      <c r="E1002" s="96" t="str">
        <f aca="false">IF(OR('CARNET DE SOUDURE'!E1002="",'CARNET DE SOUDURE'!R1002=""),"",'CARNET DE SOUDURE'!R1002)</f>
        <v/>
      </c>
      <c r="F1002" s="81" t="str">
        <f aca="false">IF('CARNET DE SOUDURE'!E1002="","",'CARNET DE SOUDURE'!AL1002)</f>
        <v/>
      </c>
      <c r="G1002" s="81" t="str">
        <f aca="false">IF('CARNET DE SOUDURE'!E1002="","",'CARNET DE SOUDURE'!AM1002)</f>
        <v/>
      </c>
      <c r="H1002" s="81" t="str">
        <f aca="false">IF(C1002="","",IF(G1002="ACCEPTÉ","OUI","NON"))</f>
        <v/>
      </c>
      <c r="I1002" s="82"/>
      <c r="J1002" s="79"/>
      <c r="K1002" s="80"/>
      <c r="L1002" s="80"/>
      <c r="M1002" s="80"/>
      <c r="N1002" s="83" t="str">
        <f aca="false">IF(C1002="","",IF(I1002="",IF(H1002="OUI","À ENROBER",IF(G1002="À SOUDER","NON SOUDÉ","EN ATTENTE RT")),IF(L1002="R","À REPRENDRE",IF(H1002&lt;&gt;"OUI","⚠ ENROBÉ AVANT ACCEPTATION RT","ENROBÉ"))))</f>
        <v/>
      </c>
      <c r="O1002" s="79"/>
    </row>
    <row r="1003" customFormat="false" ht="15" hidden="false" customHeight="false" outlineLevel="0" collapsed="false">
      <c r="A1003" s="78" t="str">
        <f aca="false">IF('CARNET DE SOUDURE'!E1003="","",'CARNET DE SOUDURE'!A1003)</f>
        <v/>
      </c>
      <c r="B1003" s="93" t="str">
        <f aca="false">IF('CARNET DE SOUDURE'!E1003="","",'CARNET DE SOUDURE'!B1003&amp;"")</f>
        <v/>
      </c>
      <c r="C1003" s="83" t="str">
        <f aca="false">IF('CARNET DE SOUDURE'!E1003="","",'CARNET DE SOUDURE'!E1003)</f>
        <v/>
      </c>
      <c r="D1003" s="78" t="str">
        <f aca="false">IF('CARNET DE SOUDURE'!E1003="","",'CARNET DE SOUDURE'!D1003&amp;"")</f>
        <v/>
      </c>
      <c r="E1003" s="96" t="str">
        <f aca="false">IF(OR('CARNET DE SOUDURE'!E1003="",'CARNET DE SOUDURE'!R1003=""),"",'CARNET DE SOUDURE'!R1003)</f>
        <v/>
      </c>
      <c r="F1003" s="81" t="str">
        <f aca="false">IF('CARNET DE SOUDURE'!E1003="","",'CARNET DE SOUDURE'!AL1003)</f>
        <v/>
      </c>
      <c r="G1003" s="81" t="str">
        <f aca="false">IF('CARNET DE SOUDURE'!E1003="","",'CARNET DE SOUDURE'!AM1003)</f>
        <v/>
      </c>
      <c r="H1003" s="81" t="str">
        <f aca="false">IF(C1003="","",IF(G1003="ACCEPTÉ","OUI","NON"))</f>
        <v/>
      </c>
      <c r="I1003" s="82"/>
      <c r="J1003" s="79"/>
      <c r="K1003" s="80"/>
      <c r="L1003" s="80"/>
      <c r="M1003" s="80"/>
      <c r="N1003" s="83" t="str">
        <f aca="false">IF(C1003="","",IF(I1003="",IF(H1003="OUI","À ENROBER",IF(G1003="À SOUDER","NON SOUDÉ","EN ATTENTE RT")),IF(L1003="R","À REPRENDRE",IF(H1003&lt;&gt;"OUI","⚠ ENROBÉ AVANT ACCEPTATION RT","ENROBÉ"))))</f>
        <v/>
      </c>
      <c r="O1003" s="79"/>
    </row>
    <row r="1004" customFormat="false" ht="15" hidden="false" customHeight="false" outlineLevel="0" collapsed="false">
      <c r="A1004" s="78" t="str">
        <f aca="false">IF('CARNET DE SOUDURE'!E1004="","",'CARNET DE SOUDURE'!A1004)</f>
        <v/>
      </c>
      <c r="B1004" s="93" t="str">
        <f aca="false">IF('CARNET DE SOUDURE'!E1004="","",'CARNET DE SOUDURE'!B1004&amp;"")</f>
        <v/>
      </c>
      <c r="C1004" s="83" t="str">
        <f aca="false">IF('CARNET DE SOUDURE'!E1004="","",'CARNET DE SOUDURE'!E1004)</f>
        <v/>
      </c>
      <c r="D1004" s="78" t="str">
        <f aca="false">IF('CARNET DE SOUDURE'!E1004="","",'CARNET DE SOUDURE'!D1004&amp;"")</f>
        <v/>
      </c>
      <c r="E1004" s="96" t="str">
        <f aca="false">IF(OR('CARNET DE SOUDURE'!E1004="",'CARNET DE SOUDURE'!R1004=""),"",'CARNET DE SOUDURE'!R1004)</f>
        <v/>
      </c>
      <c r="F1004" s="81" t="str">
        <f aca="false">IF('CARNET DE SOUDURE'!E1004="","",'CARNET DE SOUDURE'!AL1004)</f>
        <v/>
      </c>
      <c r="G1004" s="81" t="str">
        <f aca="false">IF('CARNET DE SOUDURE'!E1004="","",'CARNET DE SOUDURE'!AM1004)</f>
        <v/>
      </c>
      <c r="H1004" s="81" t="str">
        <f aca="false">IF(C1004="","",IF(G1004="ACCEPTÉ","OUI","NON"))</f>
        <v/>
      </c>
      <c r="I1004" s="82"/>
      <c r="J1004" s="79"/>
      <c r="K1004" s="80"/>
      <c r="L1004" s="80"/>
      <c r="M1004" s="80"/>
      <c r="N1004" s="83" t="str">
        <f aca="false">IF(C1004="","",IF(I1004="",IF(H1004="OUI","À ENROBER",IF(G1004="À SOUDER","NON SOUDÉ","EN ATTENTE RT")),IF(L1004="R","À REPRENDRE",IF(H1004&lt;&gt;"OUI","⚠ ENROBÉ AVANT ACCEPTATION RT","ENROBÉ"))))</f>
        <v/>
      </c>
      <c r="O1004" s="79"/>
    </row>
    <row r="1005" customFormat="false" ht="15" hidden="false" customHeight="false" outlineLevel="0" collapsed="false">
      <c r="A1005" s="78" t="str">
        <f aca="false">IF('CARNET DE SOUDURE'!E1005="","",'CARNET DE SOUDURE'!A1005)</f>
        <v/>
      </c>
      <c r="B1005" s="93" t="str">
        <f aca="false">IF('CARNET DE SOUDURE'!E1005="","",'CARNET DE SOUDURE'!B1005&amp;"")</f>
        <v/>
      </c>
      <c r="C1005" s="83" t="str">
        <f aca="false">IF('CARNET DE SOUDURE'!E1005="","",'CARNET DE SOUDURE'!E1005)</f>
        <v/>
      </c>
      <c r="D1005" s="78" t="str">
        <f aca="false">IF('CARNET DE SOUDURE'!E1005="","",'CARNET DE SOUDURE'!D1005&amp;"")</f>
        <v/>
      </c>
      <c r="E1005" s="96" t="str">
        <f aca="false">IF(OR('CARNET DE SOUDURE'!E1005="",'CARNET DE SOUDURE'!R1005=""),"",'CARNET DE SOUDURE'!R1005)</f>
        <v/>
      </c>
      <c r="F1005" s="81" t="str">
        <f aca="false">IF('CARNET DE SOUDURE'!E1005="","",'CARNET DE SOUDURE'!AL1005)</f>
        <v/>
      </c>
      <c r="G1005" s="81" t="str">
        <f aca="false">IF('CARNET DE SOUDURE'!E1005="","",'CARNET DE SOUDURE'!AM1005)</f>
        <v/>
      </c>
      <c r="H1005" s="81" t="str">
        <f aca="false">IF(C1005="","",IF(G1005="ACCEPTÉ","OUI","NON"))</f>
        <v/>
      </c>
      <c r="I1005" s="82"/>
      <c r="J1005" s="79"/>
      <c r="K1005" s="80"/>
      <c r="L1005" s="80"/>
      <c r="M1005" s="80"/>
      <c r="N1005" s="83" t="str">
        <f aca="false">IF(C1005="","",IF(I1005="",IF(H1005="OUI","À ENROBER",IF(G1005="À SOUDER","NON SOUDÉ","EN ATTENTE RT")),IF(L1005="R","À REPRENDRE",IF(H1005&lt;&gt;"OUI","⚠ ENROBÉ AVANT ACCEPTATION RT","ENROBÉ"))))</f>
        <v/>
      </c>
      <c r="O1005" s="79"/>
    </row>
    <row r="1006" customFormat="false" ht="15" hidden="false" customHeight="false" outlineLevel="0" collapsed="false">
      <c r="A1006" s="78" t="str">
        <f aca="false">IF('CARNET DE SOUDURE'!E1006="","",'CARNET DE SOUDURE'!A1006)</f>
        <v/>
      </c>
      <c r="B1006" s="93" t="str">
        <f aca="false">IF('CARNET DE SOUDURE'!E1006="","",'CARNET DE SOUDURE'!B1006&amp;"")</f>
        <v/>
      </c>
      <c r="C1006" s="83" t="str">
        <f aca="false">IF('CARNET DE SOUDURE'!E1006="","",'CARNET DE SOUDURE'!E1006)</f>
        <v/>
      </c>
      <c r="D1006" s="78" t="str">
        <f aca="false">IF('CARNET DE SOUDURE'!E1006="","",'CARNET DE SOUDURE'!D1006&amp;"")</f>
        <v/>
      </c>
      <c r="E1006" s="96" t="str">
        <f aca="false">IF(OR('CARNET DE SOUDURE'!E1006="",'CARNET DE SOUDURE'!R1006=""),"",'CARNET DE SOUDURE'!R1006)</f>
        <v/>
      </c>
      <c r="F1006" s="81" t="str">
        <f aca="false">IF('CARNET DE SOUDURE'!E1006="","",'CARNET DE SOUDURE'!AL1006)</f>
        <v/>
      </c>
      <c r="G1006" s="81" t="str">
        <f aca="false">IF('CARNET DE SOUDURE'!E1006="","",'CARNET DE SOUDURE'!AM1006)</f>
        <v/>
      </c>
      <c r="H1006" s="81" t="str">
        <f aca="false">IF(C1006="","",IF(G1006="ACCEPTÉ","OUI","NON"))</f>
        <v/>
      </c>
      <c r="I1006" s="82"/>
      <c r="J1006" s="79"/>
      <c r="K1006" s="80"/>
      <c r="L1006" s="80"/>
      <c r="M1006" s="80"/>
      <c r="N1006" s="83" t="str">
        <f aca="false">IF(C1006="","",IF(I1006="",IF(H1006="OUI","À ENROBER",IF(G1006="À SOUDER","NON SOUDÉ","EN ATTENTE RT")),IF(L1006="R","À REPRENDRE",IF(H1006&lt;&gt;"OUI","⚠ ENROBÉ AVANT ACCEPTATION RT","ENROBÉ"))))</f>
        <v/>
      </c>
      <c r="O1006" s="79"/>
    </row>
    <row r="1007" customFormat="false" ht="15" hidden="false" customHeight="false" outlineLevel="0" collapsed="false">
      <c r="A1007" s="78" t="str">
        <f aca="false">IF('CARNET DE SOUDURE'!E1007="","",'CARNET DE SOUDURE'!A1007)</f>
        <v/>
      </c>
      <c r="B1007" s="93" t="str">
        <f aca="false">IF('CARNET DE SOUDURE'!E1007="","",'CARNET DE SOUDURE'!B1007&amp;"")</f>
        <v/>
      </c>
      <c r="C1007" s="83" t="str">
        <f aca="false">IF('CARNET DE SOUDURE'!E1007="","",'CARNET DE SOUDURE'!E1007)</f>
        <v/>
      </c>
      <c r="D1007" s="78" t="str">
        <f aca="false">IF('CARNET DE SOUDURE'!E1007="","",'CARNET DE SOUDURE'!D1007&amp;"")</f>
        <v/>
      </c>
      <c r="E1007" s="96" t="str">
        <f aca="false">IF(OR('CARNET DE SOUDURE'!E1007="",'CARNET DE SOUDURE'!R1007=""),"",'CARNET DE SOUDURE'!R1007)</f>
        <v/>
      </c>
      <c r="F1007" s="81" t="str">
        <f aca="false">IF('CARNET DE SOUDURE'!E1007="","",'CARNET DE SOUDURE'!AL1007)</f>
        <v/>
      </c>
      <c r="G1007" s="81" t="str">
        <f aca="false">IF('CARNET DE SOUDURE'!E1007="","",'CARNET DE SOUDURE'!AM1007)</f>
        <v/>
      </c>
      <c r="H1007" s="81" t="str">
        <f aca="false">IF(C1007="","",IF(G1007="ACCEPTÉ","OUI","NON"))</f>
        <v/>
      </c>
      <c r="I1007" s="82"/>
      <c r="J1007" s="79"/>
      <c r="K1007" s="80"/>
      <c r="L1007" s="80"/>
      <c r="M1007" s="80"/>
      <c r="N1007" s="83" t="str">
        <f aca="false">IF(C1007="","",IF(I1007="",IF(H1007="OUI","À ENROBER",IF(G1007="À SOUDER","NON SOUDÉ","EN ATTENTE RT")),IF(L1007="R","À REPRENDRE",IF(H1007&lt;&gt;"OUI","⚠ ENROBÉ AVANT ACCEPTATION RT","ENROBÉ"))))</f>
        <v/>
      </c>
      <c r="O1007" s="79"/>
    </row>
    <row r="1008" customFormat="false" ht="15" hidden="false" customHeight="false" outlineLevel="0" collapsed="false">
      <c r="A1008" s="78" t="str">
        <f aca="false">IF('CARNET DE SOUDURE'!E1008="","",'CARNET DE SOUDURE'!A1008)</f>
        <v/>
      </c>
      <c r="B1008" s="93" t="str">
        <f aca="false">IF('CARNET DE SOUDURE'!E1008="","",'CARNET DE SOUDURE'!B1008&amp;"")</f>
        <v/>
      </c>
      <c r="C1008" s="83" t="str">
        <f aca="false">IF('CARNET DE SOUDURE'!E1008="","",'CARNET DE SOUDURE'!E1008)</f>
        <v/>
      </c>
      <c r="D1008" s="78" t="str">
        <f aca="false">IF('CARNET DE SOUDURE'!E1008="","",'CARNET DE SOUDURE'!D1008&amp;"")</f>
        <v/>
      </c>
      <c r="E1008" s="96" t="str">
        <f aca="false">IF(OR('CARNET DE SOUDURE'!E1008="",'CARNET DE SOUDURE'!R1008=""),"",'CARNET DE SOUDURE'!R1008)</f>
        <v/>
      </c>
      <c r="F1008" s="81" t="str">
        <f aca="false">IF('CARNET DE SOUDURE'!E1008="","",'CARNET DE SOUDURE'!AL1008)</f>
        <v/>
      </c>
      <c r="G1008" s="81" t="str">
        <f aca="false">IF('CARNET DE SOUDURE'!E1008="","",'CARNET DE SOUDURE'!AM1008)</f>
        <v/>
      </c>
      <c r="H1008" s="81" t="str">
        <f aca="false">IF(C1008="","",IF(G1008="ACCEPTÉ","OUI","NON"))</f>
        <v/>
      </c>
      <c r="I1008" s="82"/>
      <c r="J1008" s="79"/>
      <c r="K1008" s="80"/>
      <c r="L1008" s="80"/>
      <c r="M1008" s="80"/>
      <c r="N1008" s="83" t="str">
        <f aca="false">IF(C1008="","",IF(I1008="",IF(H1008="OUI","À ENROBER",IF(G1008="À SOUDER","NON SOUDÉ","EN ATTENTE RT")),IF(L1008="R","À REPRENDRE",IF(H1008&lt;&gt;"OUI","⚠ ENROBÉ AVANT ACCEPTATION RT","ENROBÉ"))))</f>
        <v/>
      </c>
      <c r="O1008" s="79"/>
    </row>
    <row r="1009" customFormat="false" ht="15" hidden="false" customHeight="false" outlineLevel="0" collapsed="false">
      <c r="A1009" s="78" t="str">
        <f aca="false">IF('CARNET DE SOUDURE'!E1009="","",'CARNET DE SOUDURE'!A1009)</f>
        <v/>
      </c>
      <c r="B1009" s="93" t="str">
        <f aca="false">IF('CARNET DE SOUDURE'!E1009="","",'CARNET DE SOUDURE'!B1009&amp;"")</f>
        <v/>
      </c>
      <c r="C1009" s="83" t="str">
        <f aca="false">IF('CARNET DE SOUDURE'!E1009="","",'CARNET DE SOUDURE'!E1009)</f>
        <v/>
      </c>
      <c r="D1009" s="78" t="str">
        <f aca="false">IF('CARNET DE SOUDURE'!E1009="","",'CARNET DE SOUDURE'!D1009&amp;"")</f>
        <v/>
      </c>
      <c r="E1009" s="96" t="str">
        <f aca="false">IF(OR('CARNET DE SOUDURE'!E1009="",'CARNET DE SOUDURE'!R1009=""),"",'CARNET DE SOUDURE'!R1009)</f>
        <v/>
      </c>
      <c r="F1009" s="81" t="str">
        <f aca="false">IF('CARNET DE SOUDURE'!E1009="","",'CARNET DE SOUDURE'!AL1009)</f>
        <v/>
      </c>
      <c r="G1009" s="81" t="str">
        <f aca="false">IF('CARNET DE SOUDURE'!E1009="","",'CARNET DE SOUDURE'!AM1009)</f>
        <v/>
      </c>
      <c r="H1009" s="81" t="str">
        <f aca="false">IF(C1009="","",IF(G1009="ACCEPTÉ","OUI","NON"))</f>
        <v/>
      </c>
      <c r="I1009" s="82"/>
      <c r="J1009" s="79"/>
      <c r="K1009" s="80"/>
      <c r="L1009" s="80"/>
      <c r="M1009" s="80"/>
      <c r="N1009" s="83" t="str">
        <f aca="false">IF(C1009="","",IF(I1009="",IF(H1009="OUI","À ENROBER",IF(G1009="À SOUDER","NON SOUDÉ","EN ATTENTE RT")),IF(L1009="R","À REPRENDRE",IF(H1009&lt;&gt;"OUI","⚠ ENROBÉ AVANT ACCEPTATION RT","ENROBÉ"))))</f>
        <v/>
      </c>
      <c r="O1009" s="79"/>
    </row>
    <row r="1010" customFormat="false" ht="15" hidden="false" customHeight="false" outlineLevel="0" collapsed="false">
      <c r="A1010" s="78" t="str">
        <f aca="false">IF('CARNET DE SOUDURE'!E1010="","",'CARNET DE SOUDURE'!A1010)</f>
        <v/>
      </c>
      <c r="B1010" s="93" t="str">
        <f aca="false">IF('CARNET DE SOUDURE'!E1010="","",'CARNET DE SOUDURE'!B1010&amp;"")</f>
        <v/>
      </c>
      <c r="C1010" s="83" t="str">
        <f aca="false">IF('CARNET DE SOUDURE'!E1010="","",'CARNET DE SOUDURE'!E1010)</f>
        <v/>
      </c>
      <c r="D1010" s="78" t="str">
        <f aca="false">IF('CARNET DE SOUDURE'!E1010="","",'CARNET DE SOUDURE'!D1010&amp;"")</f>
        <v/>
      </c>
      <c r="E1010" s="96" t="str">
        <f aca="false">IF(OR('CARNET DE SOUDURE'!E1010="",'CARNET DE SOUDURE'!R1010=""),"",'CARNET DE SOUDURE'!R1010)</f>
        <v/>
      </c>
      <c r="F1010" s="81" t="str">
        <f aca="false">IF('CARNET DE SOUDURE'!E1010="","",'CARNET DE SOUDURE'!AL1010)</f>
        <v/>
      </c>
      <c r="G1010" s="81" t="str">
        <f aca="false">IF('CARNET DE SOUDURE'!E1010="","",'CARNET DE SOUDURE'!AM1010)</f>
        <v/>
      </c>
      <c r="H1010" s="81" t="str">
        <f aca="false">IF(C1010="","",IF(G1010="ACCEPTÉ","OUI","NON"))</f>
        <v/>
      </c>
      <c r="I1010" s="82"/>
      <c r="J1010" s="79"/>
      <c r="K1010" s="80"/>
      <c r="L1010" s="80"/>
      <c r="M1010" s="80"/>
      <c r="N1010" s="83" t="str">
        <f aca="false">IF(C1010="","",IF(I1010="",IF(H1010="OUI","À ENROBER",IF(G1010="À SOUDER","NON SOUDÉ","EN ATTENTE RT")),IF(L1010="R","À REPRENDRE",IF(H1010&lt;&gt;"OUI","⚠ ENROBÉ AVANT ACCEPTATION RT","ENROBÉ"))))</f>
        <v/>
      </c>
      <c r="O1010" s="79"/>
    </row>
    <row r="1011" customFormat="false" ht="15" hidden="false" customHeight="false" outlineLevel="0" collapsed="false">
      <c r="A1011" s="78" t="str">
        <f aca="false">IF('CARNET DE SOUDURE'!E1011="","",'CARNET DE SOUDURE'!A1011)</f>
        <v/>
      </c>
      <c r="B1011" s="93" t="str">
        <f aca="false">IF('CARNET DE SOUDURE'!E1011="","",'CARNET DE SOUDURE'!B1011&amp;"")</f>
        <v/>
      </c>
      <c r="C1011" s="83" t="str">
        <f aca="false">IF('CARNET DE SOUDURE'!E1011="","",'CARNET DE SOUDURE'!E1011)</f>
        <v/>
      </c>
      <c r="D1011" s="78" t="str">
        <f aca="false">IF('CARNET DE SOUDURE'!E1011="","",'CARNET DE SOUDURE'!D1011&amp;"")</f>
        <v/>
      </c>
      <c r="E1011" s="96" t="str">
        <f aca="false">IF(OR('CARNET DE SOUDURE'!E1011="",'CARNET DE SOUDURE'!R1011=""),"",'CARNET DE SOUDURE'!R1011)</f>
        <v/>
      </c>
      <c r="F1011" s="81" t="str">
        <f aca="false">IF('CARNET DE SOUDURE'!E1011="","",'CARNET DE SOUDURE'!AL1011)</f>
        <v/>
      </c>
      <c r="G1011" s="81" t="str">
        <f aca="false">IF('CARNET DE SOUDURE'!E1011="","",'CARNET DE SOUDURE'!AM1011)</f>
        <v/>
      </c>
      <c r="H1011" s="81" t="str">
        <f aca="false">IF(C1011="","",IF(G1011="ACCEPTÉ","OUI","NON"))</f>
        <v/>
      </c>
      <c r="I1011" s="82"/>
      <c r="J1011" s="79"/>
      <c r="K1011" s="80"/>
      <c r="L1011" s="80"/>
      <c r="M1011" s="80"/>
      <c r="N1011" s="83" t="str">
        <f aca="false">IF(C1011="","",IF(I1011="",IF(H1011="OUI","À ENROBER",IF(G1011="À SOUDER","NON SOUDÉ","EN ATTENTE RT")),IF(L1011="R","À REPRENDRE",IF(H1011&lt;&gt;"OUI","⚠ ENROBÉ AVANT ACCEPTATION RT","ENROBÉ"))))</f>
        <v/>
      </c>
      <c r="O1011" s="79"/>
    </row>
    <row r="1012" customFormat="false" ht="15" hidden="false" customHeight="false" outlineLevel="0" collapsed="false">
      <c r="A1012" s="78" t="str">
        <f aca="false">IF('CARNET DE SOUDURE'!E1012="","",'CARNET DE SOUDURE'!A1012)</f>
        <v/>
      </c>
      <c r="B1012" s="93" t="str">
        <f aca="false">IF('CARNET DE SOUDURE'!E1012="","",'CARNET DE SOUDURE'!B1012&amp;"")</f>
        <v/>
      </c>
      <c r="C1012" s="83" t="str">
        <f aca="false">IF('CARNET DE SOUDURE'!E1012="","",'CARNET DE SOUDURE'!E1012)</f>
        <v/>
      </c>
      <c r="D1012" s="78" t="str">
        <f aca="false">IF('CARNET DE SOUDURE'!E1012="","",'CARNET DE SOUDURE'!D1012&amp;"")</f>
        <v/>
      </c>
      <c r="E1012" s="96" t="str">
        <f aca="false">IF(OR('CARNET DE SOUDURE'!E1012="",'CARNET DE SOUDURE'!R1012=""),"",'CARNET DE SOUDURE'!R1012)</f>
        <v/>
      </c>
      <c r="F1012" s="81" t="str">
        <f aca="false">IF('CARNET DE SOUDURE'!E1012="","",'CARNET DE SOUDURE'!AL1012)</f>
        <v/>
      </c>
      <c r="G1012" s="81" t="str">
        <f aca="false">IF('CARNET DE SOUDURE'!E1012="","",'CARNET DE SOUDURE'!AM1012)</f>
        <v/>
      </c>
      <c r="H1012" s="81" t="str">
        <f aca="false">IF(C1012="","",IF(G1012="ACCEPTÉ","OUI","NON"))</f>
        <v/>
      </c>
      <c r="I1012" s="82"/>
      <c r="J1012" s="79"/>
      <c r="K1012" s="80"/>
      <c r="L1012" s="80"/>
      <c r="M1012" s="80"/>
      <c r="N1012" s="83" t="str">
        <f aca="false">IF(C1012="","",IF(I1012="",IF(H1012="OUI","À ENROBER",IF(G1012="À SOUDER","NON SOUDÉ","EN ATTENTE RT")),IF(L1012="R","À REPRENDRE",IF(H1012&lt;&gt;"OUI","⚠ ENROBÉ AVANT ACCEPTATION RT","ENROBÉ"))))</f>
        <v/>
      </c>
      <c r="O1012" s="79"/>
    </row>
    <row r="1013" customFormat="false" ht="15" hidden="false" customHeight="false" outlineLevel="0" collapsed="false">
      <c r="A1013" s="78" t="str">
        <f aca="false">IF('CARNET DE SOUDURE'!E1013="","",'CARNET DE SOUDURE'!A1013)</f>
        <v/>
      </c>
      <c r="B1013" s="93" t="str">
        <f aca="false">IF('CARNET DE SOUDURE'!E1013="","",'CARNET DE SOUDURE'!B1013&amp;"")</f>
        <v/>
      </c>
      <c r="C1013" s="83" t="str">
        <f aca="false">IF('CARNET DE SOUDURE'!E1013="","",'CARNET DE SOUDURE'!E1013)</f>
        <v/>
      </c>
      <c r="D1013" s="78" t="str">
        <f aca="false">IF('CARNET DE SOUDURE'!E1013="","",'CARNET DE SOUDURE'!D1013&amp;"")</f>
        <v/>
      </c>
      <c r="E1013" s="96" t="str">
        <f aca="false">IF(OR('CARNET DE SOUDURE'!E1013="",'CARNET DE SOUDURE'!R1013=""),"",'CARNET DE SOUDURE'!R1013)</f>
        <v/>
      </c>
      <c r="F1013" s="81" t="str">
        <f aca="false">IF('CARNET DE SOUDURE'!E1013="","",'CARNET DE SOUDURE'!AL1013)</f>
        <v/>
      </c>
      <c r="G1013" s="81" t="str">
        <f aca="false">IF('CARNET DE SOUDURE'!E1013="","",'CARNET DE SOUDURE'!AM1013)</f>
        <v/>
      </c>
      <c r="H1013" s="81" t="str">
        <f aca="false">IF(C1013="","",IF(G1013="ACCEPTÉ","OUI","NON"))</f>
        <v/>
      </c>
      <c r="I1013" s="82"/>
      <c r="J1013" s="79"/>
      <c r="K1013" s="80"/>
      <c r="L1013" s="80"/>
      <c r="M1013" s="80"/>
      <c r="N1013" s="83" t="str">
        <f aca="false">IF(C1013="","",IF(I1013="",IF(H1013="OUI","À ENROBER",IF(G1013="À SOUDER","NON SOUDÉ","EN ATTENTE RT")),IF(L1013="R","À REPRENDRE",IF(H1013&lt;&gt;"OUI","⚠ ENROBÉ AVANT ACCEPTATION RT","ENROBÉ"))))</f>
        <v/>
      </c>
      <c r="O1013" s="79"/>
    </row>
    <row r="1014" customFormat="false" ht="15" hidden="false" customHeight="false" outlineLevel="0" collapsed="false">
      <c r="A1014" s="78" t="str">
        <f aca="false">IF('CARNET DE SOUDURE'!E1014="","",'CARNET DE SOUDURE'!A1014)</f>
        <v/>
      </c>
      <c r="B1014" s="93" t="str">
        <f aca="false">IF('CARNET DE SOUDURE'!E1014="","",'CARNET DE SOUDURE'!B1014&amp;"")</f>
        <v/>
      </c>
      <c r="C1014" s="83" t="str">
        <f aca="false">IF('CARNET DE SOUDURE'!E1014="","",'CARNET DE SOUDURE'!E1014)</f>
        <v/>
      </c>
      <c r="D1014" s="78" t="str">
        <f aca="false">IF('CARNET DE SOUDURE'!E1014="","",'CARNET DE SOUDURE'!D1014&amp;"")</f>
        <v/>
      </c>
      <c r="E1014" s="96" t="str">
        <f aca="false">IF(OR('CARNET DE SOUDURE'!E1014="",'CARNET DE SOUDURE'!R1014=""),"",'CARNET DE SOUDURE'!R1014)</f>
        <v/>
      </c>
      <c r="F1014" s="81" t="str">
        <f aca="false">IF('CARNET DE SOUDURE'!E1014="","",'CARNET DE SOUDURE'!AL1014)</f>
        <v/>
      </c>
      <c r="G1014" s="81" t="str">
        <f aca="false">IF('CARNET DE SOUDURE'!E1014="","",'CARNET DE SOUDURE'!AM1014)</f>
        <v/>
      </c>
      <c r="H1014" s="81" t="str">
        <f aca="false">IF(C1014="","",IF(G1014="ACCEPTÉ","OUI","NON"))</f>
        <v/>
      </c>
      <c r="I1014" s="82"/>
      <c r="J1014" s="79"/>
      <c r="K1014" s="80"/>
      <c r="L1014" s="80"/>
      <c r="M1014" s="80"/>
      <c r="N1014" s="83" t="str">
        <f aca="false">IF(C1014="","",IF(I1014="",IF(H1014="OUI","À ENROBER",IF(G1014="À SOUDER","NON SOUDÉ","EN ATTENTE RT")),IF(L1014="R","À REPRENDRE",IF(H1014&lt;&gt;"OUI","⚠ ENROBÉ AVANT ACCEPTATION RT","ENROBÉ"))))</f>
        <v/>
      </c>
      <c r="O1014" s="79"/>
    </row>
    <row r="1015" customFormat="false" ht="15" hidden="false" customHeight="false" outlineLevel="0" collapsed="false">
      <c r="A1015" s="78" t="str">
        <f aca="false">IF('CARNET DE SOUDURE'!E1015="","",'CARNET DE SOUDURE'!A1015)</f>
        <v/>
      </c>
      <c r="B1015" s="93" t="str">
        <f aca="false">IF('CARNET DE SOUDURE'!E1015="","",'CARNET DE SOUDURE'!B1015&amp;"")</f>
        <v/>
      </c>
      <c r="C1015" s="83" t="str">
        <f aca="false">IF('CARNET DE SOUDURE'!E1015="","",'CARNET DE SOUDURE'!E1015)</f>
        <v/>
      </c>
      <c r="D1015" s="78" t="str">
        <f aca="false">IF('CARNET DE SOUDURE'!E1015="","",'CARNET DE SOUDURE'!D1015&amp;"")</f>
        <v/>
      </c>
      <c r="E1015" s="96" t="str">
        <f aca="false">IF(OR('CARNET DE SOUDURE'!E1015="",'CARNET DE SOUDURE'!R1015=""),"",'CARNET DE SOUDURE'!R1015)</f>
        <v/>
      </c>
      <c r="F1015" s="81" t="str">
        <f aca="false">IF('CARNET DE SOUDURE'!E1015="","",'CARNET DE SOUDURE'!AL1015)</f>
        <v/>
      </c>
      <c r="G1015" s="81" t="str">
        <f aca="false">IF('CARNET DE SOUDURE'!E1015="","",'CARNET DE SOUDURE'!AM1015)</f>
        <v/>
      </c>
      <c r="H1015" s="81" t="str">
        <f aca="false">IF(C1015="","",IF(G1015="ACCEPTÉ","OUI","NON"))</f>
        <v/>
      </c>
      <c r="I1015" s="82"/>
      <c r="J1015" s="79"/>
      <c r="K1015" s="80"/>
      <c r="L1015" s="80"/>
      <c r="M1015" s="80"/>
      <c r="N1015" s="83" t="str">
        <f aca="false">IF(C1015="","",IF(I1015="",IF(H1015="OUI","À ENROBER",IF(G1015="À SOUDER","NON SOUDÉ","EN ATTENTE RT")),IF(L1015="R","À REPRENDRE",IF(H1015&lt;&gt;"OUI","⚠ ENROBÉ AVANT ACCEPTATION RT","ENROBÉ"))))</f>
        <v/>
      </c>
      <c r="O1015" s="79"/>
    </row>
    <row r="1016" customFormat="false" ht="15" hidden="false" customHeight="false" outlineLevel="0" collapsed="false">
      <c r="A1016" s="78" t="str">
        <f aca="false">IF('CARNET DE SOUDURE'!E1016="","",'CARNET DE SOUDURE'!A1016)</f>
        <v/>
      </c>
      <c r="B1016" s="93" t="str">
        <f aca="false">IF('CARNET DE SOUDURE'!E1016="","",'CARNET DE SOUDURE'!B1016&amp;"")</f>
        <v/>
      </c>
      <c r="C1016" s="83" t="str">
        <f aca="false">IF('CARNET DE SOUDURE'!E1016="","",'CARNET DE SOUDURE'!E1016)</f>
        <v/>
      </c>
      <c r="D1016" s="78" t="str">
        <f aca="false">IF('CARNET DE SOUDURE'!E1016="","",'CARNET DE SOUDURE'!D1016&amp;"")</f>
        <v/>
      </c>
      <c r="E1016" s="96" t="str">
        <f aca="false">IF(OR('CARNET DE SOUDURE'!E1016="",'CARNET DE SOUDURE'!R1016=""),"",'CARNET DE SOUDURE'!R1016)</f>
        <v/>
      </c>
      <c r="F1016" s="81" t="str">
        <f aca="false">IF('CARNET DE SOUDURE'!E1016="","",'CARNET DE SOUDURE'!AL1016)</f>
        <v/>
      </c>
      <c r="G1016" s="81" t="str">
        <f aca="false">IF('CARNET DE SOUDURE'!E1016="","",'CARNET DE SOUDURE'!AM1016)</f>
        <v/>
      </c>
      <c r="H1016" s="81" t="str">
        <f aca="false">IF(C1016="","",IF(G1016="ACCEPTÉ","OUI","NON"))</f>
        <v/>
      </c>
      <c r="I1016" s="82"/>
      <c r="J1016" s="79"/>
      <c r="K1016" s="80"/>
      <c r="L1016" s="80"/>
      <c r="M1016" s="80"/>
      <c r="N1016" s="83" t="str">
        <f aca="false">IF(C1016="","",IF(I1016="",IF(H1016="OUI","À ENROBER",IF(G1016="À SOUDER","NON SOUDÉ","EN ATTENTE RT")),IF(L1016="R","À REPRENDRE",IF(H1016&lt;&gt;"OUI","⚠ ENROBÉ AVANT ACCEPTATION RT","ENROBÉ"))))</f>
        <v/>
      </c>
      <c r="O1016" s="79"/>
    </row>
    <row r="1017" customFormat="false" ht="15" hidden="false" customHeight="false" outlineLevel="0" collapsed="false">
      <c r="A1017" s="78" t="str">
        <f aca="false">IF('CARNET DE SOUDURE'!E1017="","",'CARNET DE SOUDURE'!A1017)</f>
        <v/>
      </c>
      <c r="B1017" s="93" t="str">
        <f aca="false">IF('CARNET DE SOUDURE'!E1017="","",'CARNET DE SOUDURE'!B1017&amp;"")</f>
        <v/>
      </c>
      <c r="C1017" s="83" t="str">
        <f aca="false">IF('CARNET DE SOUDURE'!E1017="","",'CARNET DE SOUDURE'!E1017)</f>
        <v/>
      </c>
      <c r="D1017" s="78" t="str">
        <f aca="false">IF('CARNET DE SOUDURE'!E1017="","",'CARNET DE SOUDURE'!D1017&amp;"")</f>
        <v/>
      </c>
      <c r="E1017" s="96" t="str">
        <f aca="false">IF(OR('CARNET DE SOUDURE'!E1017="",'CARNET DE SOUDURE'!R1017=""),"",'CARNET DE SOUDURE'!R1017)</f>
        <v/>
      </c>
      <c r="F1017" s="81" t="str">
        <f aca="false">IF('CARNET DE SOUDURE'!E1017="","",'CARNET DE SOUDURE'!AL1017)</f>
        <v/>
      </c>
      <c r="G1017" s="81" t="str">
        <f aca="false">IF('CARNET DE SOUDURE'!E1017="","",'CARNET DE SOUDURE'!AM1017)</f>
        <v/>
      </c>
      <c r="H1017" s="81" t="str">
        <f aca="false">IF(C1017="","",IF(G1017="ACCEPTÉ","OUI","NON"))</f>
        <v/>
      </c>
      <c r="I1017" s="82"/>
      <c r="J1017" s="79"/>
      <c r="K1017" s="80"/>
      <c r="L1017" s="80"/>
      <c r="M1017" s="80"/>
      <c r="N1017" s="83" t="str">
        <f aca="false">IF(C1017="","",IF(I1017="",IF(H1017="OUI","À ENROBER",IF(G1017="À SOUDER","NON SOUDÉ","EN ATTENTE RT")),IF(L1017="R","À REPRENDRE",IF(H1017&lt;&gt;"OUI","⚠ ENROBÉ AVANT ACCEPTATION RT","ENROBÉ"))))</f>
        <v/>
      </c>
      <c r="O1017" s="79"/>
    </row>
    <row r="1018" customFormat="false" ht="15" hidden="false" customHeight="false" outlineLevel="0" collapsed="false">
      <c r="A1018" s="78" t="str">
        <f aca="false">IF('CARNET DE SOUDURE'!E1018="","",'CARNET DE SOUDURE'!A1018)</f>
        <v/>
      </c>
      <c r="B1018" s="93" t="str">
        <f aca="false">IF('CARNET DE SOUDURE'!E1018="","",'CARNET DE SOUDURE'!B1018&amp;"")</f>
        <v/>
      </c>
      <c r="C1018" s="83" t="str">
        <f aca="false">IF('CARNET DE SOUDURE'!E1018="","",'CARNET DE SOUDURE'!E1018)</f>
        <v/>
      </c>
      <c r="D1018" s="78" t="str">
        <f aca="false">IF('CARNET DE SOUDURE'!E1018="","",'CARNET DE SOUDURE'!D1018&amp;"")</f>
        <v/>
      </c>
      <c r="E1018" s="96" t="str">
        <f aca="false">IF(OR('CARNET DE SOUDURE'!E1018="",'CARNET DE SOUDURE'!R1018=""),"",'CARNET DE SOUDURE'!R1018)</f>
        <v/>
      </c>
      <c r="F1018" s="81" t="str">
        <f aca="false">IF('CARNET DE SOUDURE'!E1018="","",'CARNET DE SOUDURE'!AL1018)</f>
        <v/>
      </c>
      <c r="G1018" s="81" t="str">
        <f aca="false">IF('CARNET DE SOUDURE'!E1018="","",'CARNET DE SOUDURE'!AM1018)</f>
        <v/>
      </c>
      <c r="H1018" s="81" t="str">
        <f aca="false">IF(C1018="","",IF(G1018="ACCEPTÉ","OUI","NON"))</f>
        <v/>
      </c>
      <c r="I1018" s="82"/>
      <c r="J1018" s="79"/>
      <c r="K1018" s="80"/>
      <c r="L1018" s="80"/>
      <c r="M1018" s="80"/>
      <c r="N1018" s="83" t="str">
        <f aca="false">IF(C1018="","",IF(I1018="",IF(H1018="OUI","À ENROBER",IF(G1018="À SOUDER","NON SOUDÉ","EN ATTENTE RT")),IF(L1018="R","À REPRENDRE",IF(H1018&lt;&gt;"OUI","⚠ ENROBÉ AVANT ACCEPTATION RT","ENROBÉ"))))</f>
        <v/>
      </c>
      <c r="O1018" s="79"/>
    </row>
    <row r="1019" customFormat="false" ht="15" hidden="false" customHeight="false" outlineLevel="0" collapsed="false">
      <c r="A1019" s="78" t="str">
        <f aca="false">IF('CARNET DE SOUDURE'!E1019="","",'CARNET DE SOUDURE'!A1019)</f>
        <v/>
      </c>
      <c r="B1019" s="93" t="str">
        <f aca="false">IF('CARNET DE SOUDURE'!E1019="","",'CARNET DE SOUDURE'!B1019&amp;"")</f>
        <v/>
      </c>
      <c r="C1019" s="83" t="str">
        <f aca="false">IF('CARNET DE SOUDURE'!E1019="","",'CARNET DE SOUDURE'!E1019)</f>
        <v/>
      </c>
      <c r="D1019" s="78" t="str">
        <f aca="false">IF('CARNET DE SOUDURE'!E1019="","",'CARNET DE SOUDURE'!D1019&amp;"")</f>
        <v/>
      </c>
      <c r="E1019" s="96" t="str">
        <f aca="false">IF(OR('CARNET DE SOUDURE'!E1019="",'CARNET DE SOUDURE'!R1019=""),"",'CARNET DE SOUDURE'!R1019)</f>
        <v/>
      </c>
      <c r="F1019" s="81" t="str">
        <f aca="false">IF('CARNET DE SOUDURE'!E1019="","",'CARNET DE SOUDURE'!AL1019)</f>
        <v/>
      </c>
      <c r="G1019" s="81" t="str">
        <f aca="false">IF('CARNET DE SOUDURE'!E1019="","",'CARNET DE SOUDURE'!AM1019)</f>
        <v/>
      </c>
      <c r="H1019" s="81" t="str">
        <f aca="false">IF(C1019="","",IF(G1019="ACCEPTÉ","OUI","NON"))</f>
        <v/>
      </c>
      <c r="I1019" s="82"/>
      <c r="J1019" s="79"/>
      <c r="K1019" s="80"/>
      <c r="L1019" s="80"/>
      <c r="M1019" s="80"/>
      <c r="N1019" s="83" t="str">
        <f aca="false">IF(C1019="","",IF(I1019="",IF(H1019="OUI","À ENROBER",IF(G1019="À SOUDER","NON SOUDÉ","EN ATTENTE RT")),IF(L1019="R","À REPRENDRE",IF(H1019&lt;&gt;"OUI","⚠ ENROBÉ AVANT ACCEPTATION RT","ENROBÉ"))))</f>
        <v/>
      </c>
      <c r="O1019" s="79"/>
    </row>
    <row r="1020" customFormat="false" ht="15" hidden="false" customHeight="false" outlineLevel="0" collapsed="false">
      <c r="A1020" s="78" t="str">
        <f aca="false">IF('CARNET DE SOUDURE'!E1020="","",'CARNET DE SOUDURE'!A1020)</f>
        <v/>
      </c>
      <c r="B1020" s="93" t="str">
        <f aca="false">IF('CARNET DE SOUDURE'!E1020="","",'CARNET DE SOUDURE'!B1020&amp;"")</f>
        <v/>
      </c>
      <c r="C1020" s="83" t="str">
        <f aca="false">IF('CARNET DE SOUDURE'!E1020="","",'CARNET DE SOUDURE'!E1020)</f>
        <v/>
      </c>
      <c r="D1020" s="78" t="str">
        <f aca="false">IF('CARNET DE SOUDURE'!E1020="","",'CARNET DE SOUDURE'!D1020&amp;"")</f>
        <v/>
      </c>
      <c r="E1020" s="96" t="str">
        <f aca="false">IF(OR('CARNET DE SOUDURE'!E1020="",'CARNET DE SOUDURE'!R1020=""),"",'CARNET DE SOUDURE'!R1020)</f>
        <v/>
      </c>
      <c r="F1020" s="81" t="str">
        <f aca="false">IF('CARNET DE SOUDURE'!E1020="","",'CARNET DE SOUDURE'!AL1020)</f>
        <v/>
      </c>
      <c r="G1020" s="81" t="str">
        <f aca="false">IF('CARNET DE SOUDURE'!E1020="","",'CARNET DE SOUDURE'!AM1020)</f>
        <v/>
      </c>
      <c r="H1020" s="81" t="str">
        <f aca="false">IF(C1020="","",IF(G1020="ACCEPTÉ","OUI","NON"))</f>
        <v/>
      </c>
      <c r="I1020" s="82"/>
      <c r="J1020" s="79"/>
      <c r="K1020" s="80"/>
      <c r="L1020" s="80"/>
      <c r="M1020" s="80"/>
      <c r="N1020" s="83" t="str">
        <f aca="false">IF(C1020="","",IF(I1020="",IF(H1020="OUI","À ENROBER",IF(G1020="À SOUDER","NON SOUDÉ","EN ATTENTE RT")),IF(L1020="R","À REPRENDRE",IF(H1020&lt;&gt;"OUI","⚠ ENROBÉ AVANT ACCEPTATION RT","ENROBÉ"))))</f>
        <v/>
      </c>
      <c r="O1020" s="79"/>
    </row>
    <row r="1021" customFormat="false" ht="15" hidden="false" customHeight="false" outlineLevel="0" collapsed="false">
      <c r="A1021" s="78" t="str">
        <f aca="false">IF('CARNET DE SOUDURE'!E1021="","",'CARNET DE SOUDURE'!A1021)</f>
        <v/>
      </c>
      <c r="B1021" s="93" t="str">
        <f aca="false">IF('CARNET DE SOUDURE'!E1021="","",'CARNET DE SOUDURE'!B1021&amp;"")</f>
        <v/>
      </c>
      <c r="C1021" s="83" t="str">
        <f aca="false">IF('CARNET DE SOUDURE'!E1021="","",'CARNET DE SOUDURE'!E1021)</f>
        <v/>
      </c>
      <c r="D1021" s="78" t="str">
        <f aca="false">IF('CARNET DE SOUDURE'!E1021="","",'CARNET DE SOUDURE'!D1021&amp;"")</f>
        <v/>
      </c>
      <c r="E1021" s="96" t="str">
        <f aca="false">IF(OR('CARNET DE SOUDURE'!E1021="",'CARNET DE SOUDURE'!R1021=""),"",'CARNET DE SOUDURE'!R1021)</f>
        <v/>
      </c>
      <c r="F1021" s="81" t="str">
        <f aca="false">IF('CARNET DE SOUDURE'!E1021="","",'CARNET DE SOUDURE'!AL1021)</f>
        <v/>
      </c>
      <c r="G1021" s="81" t="str">
        <f aca="false">IF('CARNET DE SOUDURE'!E1021="","",'CARNET DE SOUDURE'!AM1021)</f>
        <v/>
      </c>
      <c r="H1021" s="81" t="str">
        <f aca="false">IF(C1021="","",IF(G1021="ACCEPTÉ","OUI","NON"))</f>
        <v/>
      </c>
      <c r="I1021" s="82"/>
      <c r="J1021" s="79"/>
      <c r="K1021" s="80"/>
      <c r="L1021" s="80"/>
      <c r="M1021" s="80"/>
      <c r="N1021" s="83" t="str">
        <f aca="false">IF(C1021="","",IF(I1021="",IF(H1021="OUI","À ENROBER",IF(G1021="À SOUDER","NON SOUDÉ","EN ATTENTE RT")),IF(L1021="R","À REPRENDRE",IF(H1021&lt;&gt;"OUI","⚠ ENROBÉ AVANT ACCEPTATION RT","ENROBÉ"))))</f>
        <v/>
      </c>
      <c r="O1021" s="79"/>
    </row>
    <row r="1022" customFormat="false" ht="15" hidden="false" customHeight="false" outlineLevel="0" collapsed="false">
      <c r="A1022" s="78" t="str">
        <f aca="false">IF('CARNET DE SOUDURE'!E1022="","",'CARNET DE SOUDURE'!A1022)</f>
        <v/>
      </c>
      <c r="B1022" s="93" t="str">
        <f aca="false">IF('CARNET DE SOUDURE'!E1022="","",'CARNET DE SOUDURE'!B1022&amp;"")</f>
        <v/>
      </c>
      <c r="C1022" s="83" t="str">
        <f aca="false">IF('CARNET DE SOUDURE'!E1022="","",'CARNET DE SOUDURE'!E1022)</f>
        <v/>
      </c>
      <c r="D1022" s="78" t="str">
        <f aca="false">IF('CARNET DE SOUDURE'!E1022="","",'CARNET DE SOUDURE'!D1022&amp;"")</f>
        <v/>
      </c>
      <c r="E1022" s="96" t="str">
        <f aca="false">IF(OR('CARNET DE SOUDURE'!E1022="",'CARNET DE SOUDURE'!R1022=""),"",'CARNET DE SOUDURE'!R1022)</f>
        <v/>
      </c>
      <c r="F1022" s="81" t="str">
        <f aca="false">IF('CARNET DE SOUDURE'!E1022="","",'CARNET DE SOUDURE'!AL1022)</f>
        <v/>
      </c>
      <c r="G1022" s="81" t="str">
        <f aca="false">IF('CARNET DE SOUDURE'!E1022="","",'CARNET DE SOUDURE'!AM1022)</f>
        <v/>
      </c>
      <c r="H1022" s="81" t="str">
        <f aca="false">IF(C1022="","",IF(G1022="ACCEPTÉ","OUI","NON"))</f>
        <v/>
      </c>
      <c r="I1022" s="82"/>
      <c r="J1022" s="79"/>
      <c r="K1022" s="80"/>
      <c r="L1022" s="80"/>
      <c r="M1022" s="80"/>
      <c r="N1022" s="83" t="str">
        <f aca="false">IF(C1022="","",IF(I1022="",IF(H1022="OUI","À ENROBER",IF(G1022="À SOUDER","NON SOUDÉ","EN ATTENTE RT")),IF(L1022="R","À REPRENDRE",IF(H1022&lt;&gt;"OUI","⚠ ENROBÉ AVANT ACCEPTATION RT","ENROBÉ"))))</f>
        <v/>
      </c>
      <c r="O1022" s="79"/>
    </row>
    <row r="1023" customFormat="false" ht="15" hidden="false" customHeight="false" outlineLevel="0" collapsed="false">
      <c r="A1023" s="78" t="str">
        <f aca="false">IF('CARNET DE SOUDURE'!E1023="","",'CARNET DE SOUDURE'!A1023)</f>
        <v/>
      </c>
      <c r="B1023" s="93" t="str">
        <f aca="false">IF('CARNET DE SOUDURE'!E1023="","",'CARNET DE SOUDURE'!B1023&amp;"")</f>
        <v/>
      </c>
      <c r="C1023" s="83" t="str">
        <f aca="false">IF('CARNET DE SOUDURE'!E1023="","",'CARNET DE SOUDURE'!E1023)</f>
        <v/>
      </c>
      <c r="D1023" s="78" t="str">
        <f aca="false">IF('CARNET DE SOUDURE'!E1023="","",'CARNET DE SOUDURE'!D1023&amp;"")</f>
        <v/>
      </c>
      <c r="E1023" s="96" t="str">
        <f aca="false">IF(OR('CARNET DE SOUDURE'!E1023="",'CARNET DE SOUDURE'!R1023=""),"",'CARNET DE SOUDURE'!R1023)</f>
        <v/>
      </c>
      <c r="F1023" s="81" t="str">
        <f aca="false">IF('CARNET DE SOUDURE'!E1023="","",'CARNET DE SOUDURE'!AL1023)</f>
        <v/>
      </c>
      <c r="G1023" s="81" t="str">
        <f aca="false">IF('CARNET DE SOUDURE'!E1023="","",'CARNET DE SOUDURE'!AM1023)</f>
        <v/>
      </c>
      <c r="H1023" s="81" t="str">
        <f aca="false">IF(C1023="","",IF(G1023="ACCEPTÉ","OUI","NON"))</f>
        <v/>
      </c>
      <c r="I1023" s="82"/>
      <c r="J1023" s="79"/>
      <c r="K1023" s="80"/>
      <c r="L1023" s="80"/>
      <c r="M1023" s="80"/>
      <c r="N1023" s="83" t="str">
        <f aca="false">IF(C1023="","",IF(I1023="",IF(H1023="OUI","À ENROBER",IF(G1023="À SOUDER","NON SOUDÉ","EN ATTENTE RT")),IF(L1023="R","À REPRENDRE",IF(H1023&lt;&gt;"OUI","⚠ ENROBÉ AVANT ACCEPTATION RT","ENROBÉ"))))</f>
        <v/>
      </c>
      <c r="O1023" s="79"/>
    </row>
    <row r="1024" customFormat="false" ht="15" hidden="false" customHeight="false" outlineLevel="0" collapsed="false">
      <c r="A1024" s="78" t="str">
        <f aca="false">IF('CARNET DE SOUDURE'!E1024="","",'CARNET DE SOUDURE'!A1024)</f>
        <v/>
      </c>
      <c r="B1024" s="93" t="str">
        <f aca="false">IF('CARNET DE SOUDURE'!E1024="","",'CARNET DE SOUDURE'!B1024&amp;"")</f>
        <v/>
      </c>
      <c r="C1024" s="83" t="str">
        <f aca="false">IF('CARNET DE SOUDURE'!E1024="","",'CARNET DE SOUDURE'!E1024)</f>
        <v/>
      </c>
      <c r="D1024" s="78" t="str">
        <f aca="false">IF('CARNET DE SOUDURE'!E1024="","",'CARNET DE SOUDURE'!D1024&amp;"")</f>
        <v/>
      </c>
      <c r="E1024" s="96" t="str">
        <f aca="false">IF(OR('CARNET DE SOUDURE'!E1024="",'CARNET DE SOUDURE'!R1024=""),"",'CARNET DE SOUDURE'!R1024)</f>
        <v/>
      </c>
      <c r="F1024" s="81" t="str">
        <f aca="false">IF('CARNET DE SOUDURE'!E1024="","",'CARNET DE SOUDURE'!AL1024)</f>
        <v/>
      </c>
      <c r="G1024" s="81" t="str">
        <f aca="false">IF('CARNET DE SOUDURE'!E1024="","",'CARNET DE SOUDURE'!AM1024)</f>
        <v/>
      </c>
      <c r="H1024" s="81" t="str">
        <f aca="false">IF(C1024="","",IF(G1024="ACCEPTÉ","OUI","NON"))</f>
        <v/>
      </c>
      <c r="I1024" s="82"/>
      <c r="J1024" s="79"/>
      <c r="K1024" s="80"/>
      <c r="L1024" s="80"/>
      <c r="M1024" s="80"/>
      <c r="N1024" s="83" t="str">
        <f aca="false">IF(C1024="","",IF(I1024="",IF(H1024="OUI","À ENROBER",IF(G1024="À SOUDER","NON SOUDÉ","EN ATTENTE RT")),IF(L1024="R","À REPRENDRE",IF(H1024&lt;&gt;"OUI","⚠ ENROBÉ AVANT ACCEPTATION RT","ENROBÉ"))))</f>
        <v/>
      </c>
      <c r="O1024" s="79"/>
    </row>
    <row r="1025" customFormat="false" ht="15" hidden="false" customHeight="false" outlineLevel="0" collapsed="false">
      <c r="A1025" s="78" t="str">
        <f aca="false">IF('CARNET DE SOUDURE'!E1025="","",'CARNET DE SOUDURE'!A1025)</f>
        <v/>
      </c>
      <c r="B1025" s="93" t="str">
        <f aca="false">IF('CARNET DE SOUDURE'!E1025="","",'CARNET DE SOUDURE'!B1025&amp;"")</f>
        <v/>
      </c>
      <c r="C1025" s="83" t="str">
        <f aca="false">IF('CARNET DE SOUDURE'!E1025="","",'CARNET DE SOUDURE'!E1025)</f>
        <v/>
      </c>
      <c r="D1025" s="78" t="str">
        <f aca="false">IF('CARNET DE SOUDURE'!E1025="","",'CARNET DE SOUDURE'!D1025&amp;"")</f>
        <v/>
      </c>
      <c r="E1025" s="96" t="str">
        <f aca="false">IF(OR('CARNET DE SOUDURE'!E1025="",'CARNET DE SOUDURE'!R1025=""),"",'CARNET DE SOUDURE'!R1025)</f>
        <v/>
      </c>
      <c r="F1025" s="81" t="str">
        <f aca="false">IF('CARNET DE SOUDURE'!E1025="","",'CARNET DE SOUDURE'!AL1025)</f>
        <v/>
      </c>
      <c r="G1025" s="81" t="str">
        <f aca="false">IF('CARNET DE SOUDURE'!E1025="","",'CARNET DE SOUDURE'!AM1025)</f>
        <v/>
      </c>
      <c r="H1025" s="81" t="str">
        <f aca="false">IF(C1025="","",IF(G1025="ACCEPTÉ","OUI","NON"))</f>
        <v/>
      </c>
      <c r="I1025" s="82"/>
      <c r="J1025" s="79"/>
      <c r="K1025" s="80"/>
      <c r="L1025" s="80"/>
      <c r="M1025" s="80"/>
      <c r="N1025" s="83" t="str">
        <f aca="false">IF(C1025="","",IF(I1025="",IF(H1025="OUI","À ENROBER",IF(G1025="À SOUDER","NON SOUDÉ","EN ATTENTE RT")),IF(L1025="R","À REPRENDRE",IF(H1025&lt;&gt;"OUI","⚠ ENROBÉ AVANT ACCEPTATION RT","ENROBÉ"))))</f>
        <v/>
      </c>
      <c r="O1025" s="79"/>
    </row>
    <row r="1026" customFormat="false" ht="15" hidden="false" customHeight="false" outlineLevel="0" collapsed="false">
      <c r="A1026" s="78" t="str">
        <f aca="false">IF('CARNET DE SOUDURE'!E1026="","",'CARNET DE SOUDURE'!A1026)</f>
        <v/>
      </c>
      <c r="B1026" s="93" t="str">
        <f aca="false">IF('CARNET DE SOUDURE'!E1026="","",'CARNET DE SOUDURE'!B1026&amp;"")</f>
        <v/>
      </c>
      <c r="C1026" s="83" t="str">
        <f aca="false">IF('CARNET DE SOUDURE'!E1026="","",'CARNET DE SOUDURE'!E1026)</f>
        <v/>
      </c>
      <c r="D1026" s="78" t="str">
        <f aca="false">IF('CARNET DE SOUDURE'!E1026="","",'CARNET DE SOUDURE'!D1026&amp;"")</f>
        <v/>
      </c>
      <c r="E1026" s="96" t="str">
        <f aca="false">IF(OR('CARNET DE SOUDURE'!E1026="",'CARNET DE SOUDURE'!R1026=""),"",'CARNET DE SOUDURE'!R1026)</f>
        <v/>
      </c>
      <c r="F1026" s="81" t="str">
        <f aca="false">IF('CARNET DE SOUDURE'!E1026="","",'CARNET DE SOUDURE'!AL1026)</f>
        <v/>
      </c>
      <c r="G1026" s="81" t="str">
        <f aca="false">IF('CARNET DE SOUDURE'!E1026="","",'CARNET DE SOUDURE'!AM1026)</f>
        <v/>
      </c>
      <c r="H1026" s="81" t="str">
        <f aca="false">IF(C1026="","",IF(G1026="ACCEPTÉ","OUI","NON"))</f>
        <v/>
      </c>
      <c r="I1026" s="82"/>
      <c r="J1026" s="79"/>
      <c r="K1026" s="80"/>
      <c r="L1026" s="80"/>
      <c r="M1026" s="80"/>
      <c r="N1026" s="83" t="str">
        <f aca="false">IF(C1026="","",IF(I1026="",IF(H1026="OUI","À ENROBER",IF(G1026="À SOUDER","NON SOUDÉ","EN ATTENTE RT")),IF(L1026="R","À REPRENDRE",IF(H1026&lt;&gt;"OUI","⚠ ENROBÉ AVANT ACCEPTATION RT","ENROBÉ"))))</f>
        <v/>
      </c>
      <c r="O1026" s="79"/>
    </row>
    <row r="1027" customFormat="false" ht="15" hidden="false" customHeight="false" outlineLevel="0" collapsed="false">
      <c r="A1027" s="78" t="str">
        <f aca="false">IF('CARNET DE SOUDURE'!E1027="","",'CARNET DE SOUDURE'!A1027)</f>
        <v/>
      </c>
      <c r="B1027" s="93" t="str">
        <f aca="false">IF('CARNET DE SOUDURE'!E1027="","",'CARNET DE SOUDURE'!B1027&amp;"")</f>
        <v/>
      </c>
      <c r="C1027" s="83" t="str">
        <f aca="false">IF('CARNET DE SOUDURE'!E1027="","",'CARNET DE SOUDURE'!E1027)</f>
        <v/>
      </c>
      <c r="D1027" s="78" t="str">
        <f aca="false">IF('CARNET DE SOUDURE'!E1027="","",'CARNET DE SOUDURE'!D1027&amp;"")</f>
        <v/>
      </c>
      <c r="E1027" s="96" t="str">
        <f aca="false">IF(OR('CARNET DE SOUDURE'!E1027="",'CARNET DE SOUDURE'!R1027=""),"",'CARNET DE SOUDURE'!R1027)</f>
        <v/>
      </c>
      <c r="F1027" s="81" t="str">
        <f aca="false">IF('CARNET DE SOUDURE'!E1027="","",'CARNET DE SOUDURE'!AL1027)</f>
        <v/>
      </c>
      <c r="G1027" s="81" t="str">
        <f aca="false">IF('CARNET DE SOUDURE'!E1027="","",'CARNET DE SOUDURE'!AM1027)</f>
        <v/>
      </c>
      <c r="H1027" s="81" t="str">
        <f aca="false">IF(C1027="","",IF(G1027="ACCEPTÉ","OUI","NON"))</f>
        <v/>
      </c>
      <c r="I1027" s="82"/>
      <c r="J1027" s="79"/>
      <c r="K1027" s="80"/>
      <c r="L1027" s="80"/>
      <c r="M1027" s="80"/>
      <c r="N1027" s="83" t="str">
        <f aca="false">IF(C1027="","",IF(I1027="",IF(H1027="OUI","À ENROBER",IF(G1027="À SOUDER","NON SOUDÉ","EN ATTENTE RT")),IF(L1027="R","À REPRENDRE",IF(H1027&lt;&gt;"OUI","⚠ ENROBÉ AVANT ACCEPTATION RT","ENROBÉ"))))</f>
        <v/>
      </c>
      <c r="O1027" s="79"/>
    </row>
    <row r="1028" customFormat="false" ht="15" hidden="false" customHeight="false" outlineLevel="0" collapsed="false">
      <c r="A1028" s="78" t="str">
        <f aca="false">IF('CARNET DE SOUDURE'!E1028="","",'CARNET DE SOUDURE'!A1028)</f>
        <v/>
      </c>
      <c r="B1028" s="93" t="str">
        <f aca="false">IF('CARNET DE SOUDURE'!E1028="","",'CARNET DE SOUDURE'!B1028&amp;"")</f>
        <v/>
      </c>
      <c r="C1028" s="83" t="str">
        <f aca="false">IF('CARNET DE SOUDURE'!E1028="","",'CARNET DE SOUDURE'!E1028)</f>
        <v/>
      </c>
      <c r="D1028" s="78" t="str">
        <f aca="false">IF('CARNET DE SOUDURE'!E1028="","",'CARNET DE SOUDURE'!D1028&amp;"")</f>
        <v/>
      </c>
      <c r="E1028" s="96" t="str">
        <f aca="false">IF(OR('CARNET DE SOUDURE'!E1028="",'CARNET DE SOUDURE'!R1028=""),"",'CARNET DE SOUDURE'!R1028)</f>
        <v/>
      </c>
      <c r="F1028" s="81" t="str">
        <f aca="false">IF('CARNET DE SOUDURE'!E1028="","",'CARNET DE SOUDURE'!AL1028)</f>
        <v/>
      </c>
      <c r="G1028" s="81" t="str">
        <f aca="false">IF('CARNET DE SOUDURE'!E1028="","",'CARNET DE SOUDURE'!AM1028)</f>
        <v/>
      </c>
      <c r="H1028" s="81" t="str">
        <f aca="false">IF(C1028="","",IF(G1028="ACCEPTÉ","OUI","NON"))</f>
        <v/>
      </c>
      <c r="I1028" s="82"/>
      <c r="J1028" s="79"/>
      <c r="K1028" s="80"/>
      <c r="L1028" s="80"/>
      <c r="M1028" s="80"/>
      <c r="N1028" s="83" t="str">
        <f aca="false">IF(C1028="","",IF(I1028="",IF(H1028="OUI","À ENROBER",IF(G1028="À SOUDER","NON SOUDÉ","EN ATTENTE RT")),IF(L1028="R","À REPRENDRE",IF(H1028&lt;&gt;"OUI","⚠ ENROBÉ AVANT ACCEPTATION RT","ENROBÉ"))))</f>
        <v/>
      </c>
      <c r="O1028" s="79"/>
    </row>
    <row r="1029" customFormat="false" ht="15" hidden="false" customHeight="false" outlineLevel="0" collapsed="false">
      <c r="A1029" s="78" t="str">
        <f aca="false">IF('CARNET DE SOUDURE'!E1029="","",'CARNET DE SOUDURE'!A1029)</f>
        <v/>
      </c>
      <c r="B1029" s="93" t="str">
        <f aca="false">IF('CARNET DE SOUDURE'!E1029="","",'CARNET DE SOUDURE'!B1029&amp;"")</f>
        <v/>
      </c>
      <c r="C1029" s="83" t="str">
        <f aca="false">IF('CARNET DE SOUDURE'!E1029="","",'CARNET DE SOUDURE'!E1029)</f>
        <v/>
      </c>
      <c r="D1029" s="78" t="str">
        <f aca="false">IF('CARNET DE SOUDURE'!E1029="","",'CARNET DE SOUDURE'!D1029&amp;"")</f>
        <v/>
      </c>
      <c r="E1029" s="96" t="str">
        <f aca="false">IF(OR('CARNET DE SOUDURE'!E1029="",'CARNET DE SOUDURE'!R1029=""),"",'CARNET DE SOUDURE'!R1029)</f>
        <v/>
      </c>
      <c r="F1029" s="81" t="str">
        <f aca="false">IF('CARNET DE SOUDURE'!E1029="","",'CARNET DE SOUDURE'!AL1029)</f>
        <v/>
      </c>
      <c r="G1029" s="81" t="str">
        <f aca="false">IF('CARNET DE SOUDURE'!E1029="","",'CARNET DE SOUDURE'!AM1029)</f>
        <v/>
      </c>
      <c r="H1029" s="81" t="str">
        <f aca="false">IF(C1029="","",IF(G1029="ACCEPTÉ","OUI","NON"))</f>
        <v/>
      </c>
      <c r="I1029" s="82"/>
      <c r="J1029" s="79"/>
      <c r="K1029" s="80"/>
      <c r="L1029" s="80"/>
      <c r="M1029" s="80"/>
      <c r="N1029" s="83" t="str">
        <f aca="false">IF(C1029="","",IF(I1029="",IF(H1029="OUI","À ENROBER",IF(G1029="À SOUDER","NON SOUDÉ","EN ATTENTE RT")),IF(L1029="R","À REPRENDRE",IF(H1029&lt;&gt;"OUI","⚠ ENROBÉ AVANT ACCEPTATION RT","ENROBÉ"))))</f>
        <v/>
      </c>
      <c r="O1029" s="79"/>
    </row>
    <row r="1030" customFormat="false" ht="15" hidden="false" customHeight="false" outlineLevel="0" collapsed="false">
      <c r="A1030" s="78" t="str">
        <f aca="false">IF('CARNET DE SOUDURE'!E1030="","",'CARNET DE SOUDURE'!A1030)</f>
        <v/>
      </c>
      <c r="B1030" s="93" t="str">
        <f aca="false">IF('CARNET DE SOUDURE'!E1030="","",'CARNET DE SOUDURE'!B1030&amp;"")</f>
        <v/>
      </c>
      <c r="C1030" s="83" t="str">
        <f aca="false">IF('CARNET DE SOUDURE'!E1030="","",'CARNET DE SOUDURE'!E1030)</f>
        <v/>
      </c>
      <c r="D1030" s="78" t="str">
        <f aca="false">IF('CARNET DE SOUDURE'!E1030="","",'CARNET DE SOUDURE'!D1030&amp;"")</f>
        <v/>
      </c>
      <c r="E1030" s="96" t="str">
        <f aca="false">IF(OR('CARNET DE SOUDURE'!E1030="",'CARNET DE SOUDURE'!R1030=""),"",'CARNET DE SOUDURE'!R1030)</f>
        <v/>
      </c>
      <c r="F1030" s="81" t="str">
        <f aca="false">IF('CARNET DE SOUDURE'!E1030="","",'CARNET DE SOUDURE'!AL1030)</f>
        <v/>
      </c>
      <c r="G1030" s="81" t="str">
        <f aca="false">IF('CARNET DE SOUDURE'!E1030="","",'CARNET DE SOUDURE'!AM1030)</f>
        <v/>
      </c>
      <c r="H1030" s="81" t="str">
        <f aca="false">IF(C1030="","",IF(G1030="ACCEPTÉ","OUI","NON"))</f>
        <v/>
      </c>
      <c r="I1030" s="82"/>
      <c r="J1030" s="79"/>
      <c r="K1030" s="80"/>
      <c r="L1030" s="80"/>
      <c r="M1030" s="80"/>
      <c r="N1030" s="83" t="str">
        <f aca="false">IF(C1030="","",IF(I1030="",IF(H1030="OUI","À ENROBER",IF(G1030="À SOUDER","NON SOUDÉ","EN ATTENTE RT")),IF(L1030="R","À REPRENDRE",IF(H1030&lt;&gt;"OUI","⚠ ENROBÉ AVANT ACCEPTATION RT","ENROBÉ"))))</f>
        <v/>
      </c>
      <c r="O1030" s="79"/>
    </row>
    <row r="1031" customFormat="false" ht="15" hidden="false" customHeight="false" outlineLevel="0" collapsed="false">
      <c r="A1031" s="78" t="str">
        <f aca="false">IF('CARNET DE SOUDURE'!E1031="","",'CARNET DE SOUDURE'!A1031)</f>
        <v/>
      </c>
      <c r="B1031" s="93" t="str">
        <f aca="false">IF('CARNET DE SOUDURE'!E1031="","",'CARNET DE SOUDURE'!B1031&amp;"")</f>
        <v/>
      </c>
      <c r="C1031" s="83" t="str">
        <f aca="false">IF('CARNET DE SOUDURE'!E1031="","",'CARNET DE SOUDURE'!E1031)</f>
        <v/>
      </c>
      <c r="D1031" s="78" t="str">
        <f aca="false">IF('CARNET DE SOUDURE'!E1031="","",'CARNET DE SOUDURE'!D1031&amp;"")</f>
        <v/>
      </c>
      <c r="E1031" s="96" t="str">
        <f aca="false">IF(OR('CARNET DE SOUDURE'!E1031="",'CARNET DE SOUDURE'!R1031=""),"",'CARNET DE SOUDURE'!R1031)</f>
        <v/>
      </c>
      <c r="F1031" s="81" t="str">
        <f aca="false">IF('CARNET DE SOUDURE'!E1031="","",'CARNET DE SOUDURE'!AL1031)</f>
        <v/>
      </c>
      <c r="G1031" s="81" t="str">
        <f aca="false">IF('CARNET DE SOUDURE'!E1031="","",'CARNET DE SOUDURE'!AM1031)</f>
        <v/>
      </c>
      <c r="H1031" s="81" t="str">
        <f aca="false">IF(C1031="","",IF(G1031="ACCEPTÉ","OUI","NON"))</f>
        <v/>
      </c>
      <c r="I1031" s="82"/>
      <c r="J1031" s="79"/>
      <c r="K1031" s="80"/>
      <c r="L1031" s="80"/>
      <c r="M1031" s="80"/>
      <c r="N1031" s="83" t="str">
        <f aca="false">IF(C1031="","",IF(I1031="",IF(H1031="OUI","À ENROBER",IF(G1031="À SOUDER","NON SOUDÉ","EN ATTENTE RT")),IF(L1031="R","À REPRENDRE",IF(H1031&lt;&gt;"OUI","⚠ ENROBÉ AVANT ACCEPTATION RT","ENROBÉ"))))</f>
        <v/>
      </c>
      <c r="O1031" s="79"/>
    </row>
    <row r="1032" customFormat="false" ht="15" hidden="false" customHeight="false" outlineLevel="0" collapsed="false">
      <c r="A1032" s="78" t="str">
        <f aca="false">IF('CARNET DE SOUDURE'!E1032="","",'CARNET DE SOUDURE'!A1032)</f>
        <v/>
      </c>
      <c r="B1032" s="93" t="str">
        <f aca="false">IF('CARNET DE SOUDURE'!E1032="","",'CARNET DE SOUDURE'!B1032&amp;"")</f>
        <v/>
      </c>
      <c r="C1032" s="83" t="str">
        <f aca="false">IF('CARNET DE SOUDURE'!E1032="","",'CARNET DE SOUDURE'!E1032)</f>
        <v/>
      </c>
      <c r="D1032" s="78" t="str">
        <f aca="false">IF('CARNET DE SOUDURE'!E1032="","",'CARNET DE SOUDURE'!D1032&amp;"")</f>
        <v/>
      </c>
      <c r="E1032" s="96" t="str">
        <f aca="false">IF(OR('CARNET DE SOUDURE'!E1032="",'CARNET DE SOUDURE'!R1032=""),"",'CARNET DE SOUDURE'!R1032)</f>
        <v/>
      </c>
      <c r="F1032" s="81" t="str">
        <f aca="false">IF('CARNET DE SOUDURE'!E1032="","",'CARNET DE SOUDURE'!AL1032)</f>
        <v/>
      </c>
      <c r="G1032" s="81" t="str">
        <f aca="false">IF('CARNET DE SOUDURE'!E1032="","",'CARNET DE SOUDURE'!AM1032)</f>
        <v/>
      </c>
      <c r="H1032" s="81" t="str">
        <f aca="false">IF(C1032="","",IF(G1032="ACCEPTÉ","OUI","NON"))</f>
        <v/>
      </c>
      <c r="I1032" s="82"/>
      <c r="J1032" s="79"/>
      <c r="K1032" s="80"/>
      <c r="L1032" s="80"/>
      <c r="M1032" s="80"/>
      <c r="N1032" s="83" t="str">
        <f aca="false">IF(C1032="","",IF(I1032="",IF(H1032="OUI","À ENROBER",IF(G1032="À SOUDER","NON SOUDÉ","EN ATTENTE RT")),IF(L1032="R","À REPRENDRE",IF(H1032&lt;&gt;"OUI","⚠ ENROBÉ AVANT ACCEPTATION RT","ENROBÉ"))))</f>
        <v/>
      </c>
      <c r="O1032" s="79"/>
    </row>
    <row r="1033" customFormat="false" ht="15" hidden="false" customHeight="false" outlineLevel="0" collapsed="false">
      <c r="A1033" s="78" t="str">
        <f aca="false">IF('CARNET DE SOUDURE'!E1033="","",'CARNET DE SOUDURE'!A1033)</f>
        <v/>
      </c>
      <c r="B1033" s="93" t="str">
        <f aca="false">IF('CARNET DE SOUDURE'!E1033="","",'CARNET DE SOUDURE'!B1033&amp;"")</f>
        <v/>
      </c>
      <c r="C1033" s="83" t="str">
        <f aca="false">IF('CARNET DE SOUDURE'!E1033="","",'CARNET DE SOUDURE'!E1033)</f>
        <v/>
      </c>
      <c r="D1033" s="78" t="str">
        <f aca="false">IF('CARNET DE SOUDURE'!E1033="","",'CARNET DE SOUDURE'!D1033&amp;"")</f>
        <v/>
      </c>
      <c r="E1033" s="96" t="str">
        <f aca="false">IF(OR('CARNET DE SOUDURE'!E1033="",'CARNET DE SOUDURE'!R1033=""),"",'CARNET DE SOUDURE'!R1033)</f>
        <v/>
      </c>
      <c r="F1033" s="81" t="str">
        <f aca="false">IF('CARNET DE SOUDURE'!E1033="","",'CARNET DE SOUDURE'!AL1033)</f>
        <v/>
      </c>
      <c r="G1033" s="81" t="str">
        <f aca="false">IF('CARNET DE SOUDURE'!E1033="","",'CARNET DE SOUDURE'!AM1033)</f>
        <v/>
      </c>
      <c r="H1033" s="81" t="str">
        <f aca="false">IF(C1033="","",IF(G1033="ACCEPTÉ","OUI","NON"))</f>
        <v/>
      </c>
      <c r="I1033" s="82"/>
      <c r="J1033" s="79"/>
      <c r="K1033" s="80"/>
      <c r="L1033" s="80"/>
      <c r="M1033" s="80"/>
      <c r="N1033" s="83" t="str">
        <f aca="false">IF(C1033="","",IF(I1033="",IF(H1033="OUI","À ENROBER",IF(G1033="À SOUDER","NON SOUDÉ","EN ATTENTE RT")),IF(L1033="R","À REPRENDRE",IF(H1033&lt;&gt;"OUI","⚠ ENROBÉ AVANT ACCEPTATION RT","ENROBÉ"))))</f>
        <v/>
      </c>
      <c r="O1033" s="79"/>
    </row>
    <row r="1034" customFormat="false" ht="15" hidden="false" customHeight="false" outlineLevel="0" collapsed="false">
      <c r="A1034" s="78" t="str">
        <f aca="false">IF('CARNET DE SOUDURE'!E1034="","",'CARNET DE SOUDURE'!A1034)</f>
        <v/>
      </c>
      <c r="B1034" s="93" t="str">
        <f aca="false">IF('CARNET DE SOUDURE'!E1034="","",'CARNET DE SOUDURE'!B1034&amp;"")</f>
        <v/>
      </c>
      <c r="C1034" s="83" t="str">
        <f aca="false">IF('CARNET DE SOUDURE'!E1034="","",'CARNET DE SOUDURE'!E1034)</f>
        <v/>
      </c>
      <c r="D1034" s="78" t="str">
        <f aca="false">IF('CARNET DE SOUDURE'!E1034="","",'CARNET DE SOUDURE'!D1034&amp;"")</f>
        <v/>
      </c>
      <c r="E1034" s="96" t="str">
        <f aca="false">IF(OR('CARNET DE SOUDURE'!E1034="",'CARNET DE SOUDURE'!R1034=""),"",'CARNET DE SOUDURE'!R1034)</f>
        <v/>
      </c>
      <c r="F1034" s="81" t="str">
        <f aca="false">IF('CARNET DE SOUDURE'!E1034="","",'CARNET DE SOUDURE'!AL1034)</f>
        <v/>
      </c>
      <c r="G1034" s="81" t="str">
        <f aca="false">IF('CARNET DE SOUDURE'!E1034="","",'CARNET DE SOUDURE'!AM1034)</f>
        <v/>
      </c>
      <c r="H1034" s="81" t="str">
        <f aca="false">IF(C1034="","",IF(G1034="ACCEPTÉ","OUI","NON"))</f>
        <v/>
      </c>
      <c r="I1034" s="82"/>
      <c r="J1034" s="79"/>
      <c r="K1034" s="80"/>
      <c r="L1034" s="80"/>
      <c r="M1034" s="80"/>
      <c r="N1034" s="83" t="str">
        <f aca="false">IF(C1034="","",IF(I1034="",IF(H1034="OUI","À ENROBER",IF(G1034="À SOUDER","NON SOUDÉ","EN ATTENTE RT")),IF(L1034="R","À REPRENDRE",IF(H1034&lt;&gt;"OUI","⚠ ENROBÉ AVANT ACCEPTATION RT","ENROBÉ"))))</f>
        <v/>
      </c>
      <c r="O1034" s="79"/>
    </row>
    <row r="1035" customFormat="false" ht="15" hidden="false" customHeight="false" outlineLevel="0" collapsed="false">
      <c r="A1035" s="78" t="str">
        <f aca="false">IF('CARNET DE SOUDURE'!E1035="","",'CARNET DE SOUDURE'!A1035)</f>
        <v/>
      </c>
      <c r="B1035" s="93" t="str">
        <f aca="false">IF('CARNET DE SOUDURE'!E1035="","",'CARNET DE SOUDURE'!B1035&amp;"")</f>
        <v/>
      </c>
      <c r="C1035" s="83" t="str">
        <f aca="false">IF('CARNET DE SOUDURE'!E1035="","",'CARNET DE SOUDURE'!E1035)</f>
        <v/>
      </c>
      <c r="D1035" s="78" t="str">
        <f aca="false">IF('CARNET DE SOUDURE'!E1035="","",'CARNET DE SOUDURE'!D1035&amp;"")</f>
        <v/>
      </c>
      <c r="E1035" s="96" t="str">
        <f aca="false">IF(OR('CARNET DE SOUDURE'!E1035="",'CARNET DE SOUDURE'!R1035=""),"",'CARNET DE SOUDURE'!R1035)</f>
        <v/>
      </c>
      <c r="F1035" s="81" t="str">
        <f aca="false">IF('CARNET DE SOUDURE'!E1035="","",'CARNET DE SOUDURE'!AL1035)</f>
        <v/>
      </c>
      <c r="G1035" s="81" t="str">
        <f aca="false">IF('CARNET DE SOUDURE'!E1035="","",'CARNET DE SOUDURE'!AM1035)</f>
        <v/>
      </c>
      <c r="H1035" s="81" t="str">
        <f aca="false">IF(C1035="","",IF(G1035="ACCEPTÉ","OUI","NON"))</f>
        <v/>
      </c>
      <c r="I1035" s="82"/>
      <c r="J1035" s="79"/>
      <c r="K1035" s="80"/>
      <c r="L1035" s="80"/>
      <c r="M1035" s="80"/>
      <c r="N1035" s="83" t="str">
        <f aca="false">IF(C1035="","",IF(I1035="",IF(H1035="OUI","À ENROBER",IF(G1035="À SOUDER","NON SOUDÉ","EN ATTENTE RT")),IF(L1035="R","À REPRENDRE",IF(H1035&lt;&gt;"OUI","⚠ ENROBÉ AVANT ACCEPTATION RT","ENROBÉ"))))</f>
        <v/>
      </c>
      <c r="O1035" s="79"/>
    </row>
    <row r="1036" customFormat="false" ht="15" hidden="false" customHeight="false" outlineLevel="0" collapsed="false">
      <c r="A1036" s="78" t="str">
        <f aca="false">IF('CARNET DE SOUDURE'!E1036="","",'CARNET DE SOUDURE'!A1036)</f>
        <v/>
      </c>
      <c r="B1036" s="93" t="str">
        <f aca="false">IF('CARNET DE SOUDURE'!E1036="","",'CARNET DE SOUDURE'!B1036&amp;"")</f>
        <v/>
      </c>
      <c r="C1036" s="83" t="str">
        <f aca="false">IF('CARNET DE SOUDURE'!E1036="","",'CARNET DE SOUDURE'!E1036)</f>
        <v/>
      </c>
      <c r="D1036" s="78" t="str">
        <f aca="false">IF('CARNET DE SOUDURE'!E1036="","",'CARNET DE SOUDURE'!D1036&amp;"")</f>
        <v/>
      </c>
      <c r="E1036" s="96" t="str">
        <f aca="false">IF(OR('CARNET DE SOUDURE'!E1036="",'CARNET DE SOUDURE'!R1036=""),"",'CARNET DE SOUDURE'!R1036)</f>
        <v/>
      </c>
      <c r="F1036" s="81" t="str">
        <f aca="false">IF('CARNET DE SOUDURE'!E1036="","",'CARNET DE SOUDURE'!AL1036)</f>
        <v/>
      </c>
      <c r="G1036" s="81" t="str">
        <f aca="false">IF('CARNET DE SOUDURE'!E1036="","",'CARNET DE SOUDURE'!AM1036)</f>
        <v/>
      </c>
      <c r="H1036" s="81" t="str">
        <f aca="false">IF(C1036="","",IF(G1036="ACCEPTÉ","OUI","NON"))</f>
        <v/>
      </c>
      <c r="I1036" s="82"/>
      <c r="J1036" s="79"/>
      <c r="K1036" s="80"/>
      <c r="L1036" s="80"/>
      <c r="M1036" s="80"/>
      <c r="N1036" s="83" t="str">
        <f aca="false">IF(C1036="","",IF(I1036="",IF(H1036="OUI","À ENROBER",IF(G1036="À SOUDER","NON SOUDÉ","EN ATTENTE RT")),IF(L1036="R","À REPRENDRE",IF(H1036&lt;&gt;"OUI","⚠ ENROBÉ AVANT ACCEPTATION RT","ENROBÉ"))))</f>
        <v/>
      </c>
      <c r="O1036" s="79"/>
    </row>
    <row r="1037" customFormat="false" ht="15" hidden="false" customHeight="false" outlineLevel="0" collapsed="false">
      <c r="A1037" s="78" t="str">
        <f aca="false">IF('CARNET DE SOUDURE'!E1037="","",'CARNET DE SOUDURE'!A1037)</f>
        <v/>
      </c>
      <c r="B1037" s="93" t="str">
        <f aca="false">IF('CARNET DE SOUDURE'!E1037="","",'CARNET DE SOUDURE'!B1037&amp;"")</f>
        <v/>
      </c>
      <c r="C1037" s="83" t="str">
        <f aca="false">IF('CARNET DE SOUDURE'!E1037="","",'CARNET DE SOUDURE'!E1037)</f>
        <v/>
      </c>
      <c r="D1037" s="78" t="str">
        <f aca="false">IF('CARNET DE SOUDURE'!E1037="","",'CARNET DE SOUDURE'!D1037&amp;"")</f>
        <v/>
      </c>
      <c r="E1037" s="96" t="str">
        <f aca="false">IF(OR('CARNET DE SOUDURE'!E1037="",'CARNET DE SOUDURE'!R1037=""),"",'CARNET DE SOUDURE'!R1037)</f>
        <v/>
      </c>
      <c r="F1037" s="81" t="str">
        <f aca="false">IF('CARNET DE SOUDURE'!E1037="","",'CARNET DE SOUDURE'!AL1037)</f>
        <v/>
      </c>
      <c r="G1037" s="81" t="str">
        <f aca="false">IF('CARNET DE SOUDURE'!E1037="","",'CARNET DE SOUDURE'!AM1037)</f>
        <v/>
      </c>
      <c r="H1037" s="81" t="str">
        <f aca="false">IF(C1037="","",IF(G1037="ACCEPTÉ","OUI","NON"))</f>
        <v/>
      </c>
      <c r="I1037" s="82"/>
      <c r="J1037" s="79"/>
      <c r="K1037" s="80"/>
      <c r="L1037" s="80"/>
      <c r="M1037" s="80"/>
      <c r="N1037" s="83" t="str">
        <f aca="false">IF(C1037="","",IF(I1037="",IF(H1037="OUI","À ENROBER",IF(G1037="À SOUDER","NON SOUDÉ","EN ATTENTE RT")),IF(L1037="R","À REPRENDRE",IF(H1037&lt;&gt;"OUI","⚠ ENROBÉ AVANT ACCEPTATION RT","ENROBÉ"))))</f>
        <v/>
      </c>
      <c r="O1037" s="79"/>
    </row>
    <row r="1038" customFormat="false" ht="15" hidden="false" customHeight="false" outlineLevel="0" collapsed="false">
      <c r="A1038" s="78" t="str">
        <f aca="false">IF('CARNET DE SOUDURE'!E1038="","",'CARNET DE SOUDURE'!A1038)</f>
        <v/>
      </c>
      <c r="B1038" s="93" t="str">
        <f aca="false">IF('CARNET DE SOUDURE'!E1038="","",'CARNET DE SOUDURE'!B1038&amp;"")</f>
        <v/>
      </c>
      <c r="C1038" s="83" t="str">
        <f aca="false">IF('CARNET DE SOUDURE'!E1038="","",'CARNET DE SOUDURE'!E1038)</f>
        <v/>
      </c>
      <c r="D1038" s="78" t="str">
        <f aca="false">IF('CARNET DE SOUDURE'!E1038="","",'CARNET DE SOUDURE'!D1038&amp;"")</f>
        <v/>
      </c>
      <c r="E1038" s="96" t="str">
        <f aca="false">IF(OR('CARNET DE SOUDURE'!E1038="",'CARNET DE SOUDURE'!R1038=""),"",'CARNET DE SOUDURE'!R1038)</f>
        <v/>
      </c>
      <c r="F1038" s="81" t="str">
        <f aca="false">IF('CARNET DE SOUDURE'!E1038="","",'CARNET DE SOUDURE'!AL1038)</f>
        <v/>
      </c>
      <c r="G1038" s="81" t="str">
        <f aca="false">IF('CARNET DE SOUDURE'!E1038="","",'CARNET DE SOUDURE'!AM1038)</f>
        <v/>
      </c>
      <c r="H1038" s="81" t="str">
        <f aca="false">IF(C1038="","",IF(G1038="ACCEPTÉ","OUI","NON"))</f>
        <v/>
      </c>
      <c r="I1038" s="82"/>
      <c r="J1038" s="79"/>
      <c r="K1038" s="80"/>
      <c r="L1038" s="80"/>
      <c r="M1038" s="80"/>
      <c r="N1038" s="83" t="str">
        <f aca="false">IF(C1038="","",IF(I1038="",IF(H1038="OUI","À ENROBER",IF(G1038="À SOUDER","NON SOUDÉ","EN ATTENTE RT")),IF(L1038="R","À REPRENDRE",IF(H1038&lt;&gt;"OUI","⚠ ENROBÉ AVANT ACCEPTATION RT","ENROBÉ"))))</f>
        <v/>
      </c>
      <c r="O1038" s="79"/>
    </row>
    <row r="1039" customFormat="false" ht="15" hidden="false" customHeight="false" outlineLevel="0" collapsed="false">
      <c r="A1039" s="78" t="str">
        <f aca="false">IF('CARNET DE SOUDURE'!E1039="","",'CARNET DE SOUDURE'!A1039)</f>
        <v/>
      </c>
      <c r="B1039" s="93" t="str">
        <f aca="false">IF('CARNET DE SOUDURE'!E1039="","",'CARNET DE SOUDURE'!B1039&amp;"")</f>
        <v/>
      </c>
      <c r="C1039" s="83" t="str">
        <f aca="false">IF('CARNET DE SOUDURE'!E1039="","",'CARNET DE SOUDURE'!E1039)</f>
        <v/>
      </c>
      <c r="D1039" s="78" t="str">
        <f aca="false">IF('CARNET DE SOUDURE'!E1039="","",'CARNET DE SOUDURE'!D1039&amp;"")</f>
        <v/>
      </c>
      <c r="E1039" s="96" t="str">
        <f aca="false">IF(OR('CARNET DE SOUDURE'!E1039="",'CARNET DE SOUDURE'!R1039=""),"",'CARNET DE SOUDURE'!R1039)</f>
        <v/>
      </c>
      <c r="F1039" s="81" t="str">
        <f aca="false">IF('CARNET DE SOUDURE'!E1039="","",'CARNET DE SOUDURE'!AL1039)</f>
        <v/>
      </c>
      <c r="G1039" s="81" t="str">
        <f aca="false">IF('CARNET DE SOUDURE'!E1039="","",'CARNET DE SOUDURE'!AM1039)</f>
        <v/>
      </c>
      <c r="H1039" s="81" t="str">
        <f aca="false">IF(C1039="","",IF(G1039="ACCEPTÉ","OUI","NON"))</f>
        <v/>
      </c>
      <c r="I1039" s="82"/>
      <c r="J1039" s="79"/>
      <c r="K1039" s="80"/>
      <c r="L1039" s="80"/>
      <c r="M1039" s="80"/>
      <c r="N1039" s="83" t="str">
        <f aca="false">IF(C1039="","",IF(I1039="",IF(H1039="OUI","À ENROBER",IF(G1039="À SOUDER","NON SOUDÉ","EN ATTENTE RT")),IF(L1039="R","À REPRENDRE",IF(H1039&lt;&gt;"OUI","⚠ ENROBÉ AVANT ACCEPTATION RT","ENROBÉ"))))</f>
        <v/>
      </c>
      <c r="O1039" s="79"/>
    </row>
    <row r="1040" customFormat="false" ht="15" hidden="false" customHeight="false" outlineLevel="0" collapsed="false">
      <c r="A1040" s="78" t="str">
        <f aca="false">IF('CARNET DE SOUDURE'!E1040="","",'CARNET DE SOUDURE'!A1040)</f>
        <v/>
      </c>
      <c r="B1040" s="93" t="str">
        <f aca="false">IF('CARNET DE SOUDURE'!E1040="","",'CARNET DE SOUDURE'!B1040&amp;"")</f>
        <v/>
      </c>
      <c r="C1040" s="83" t="str">
        <f aca="false">IF('CARNET DE SOUDURE'!E1040="","",'CARNET DE SOUDURE'!E1040)</f>
        <v/>
      </c>
      <c r="D1040" s="78" t="str">
        <f aca="false">IF('CARNET DE SOUDURE'!E1040="","",'CARNET DE SOUDURE'!D1040&amp;"")</f>
        <v/>
      </c>
      <c r="E1040" s="96" t="str">
        <f aca="false">IF(OR('CARNET DE SOUDURE'!E1040="",'CARNET DE SOUDURE'!R1040=""),"",'CARNET DE SOUDURE'!R1040)</f>
        <v/>
      </c>
      <c r="F1040" s="81" t="str">
        <f aca="false">IF('CARNET DE SOUDURE'!E1040="","",'CARNET DE SOUDURE'!AL1040)</f>
        <v/>
      </c>
      <c r="G1040" s="81" t="str">
        <f aca="false">IF('CARNET DE SOUDURE'!E1040="","",'CARNET DE SOUDURE'!AM1040)</f>
        <v/>
      </c>
      <c r="H1040" s="81" t="str">
        <f aca="false">IF(C1040="","",IF(G1040="ACCEPTÉ","OUI","NON"))</f>
        <v/>
      </c>
      <c r="I1040" s="82"/>
      <c r="J1040" s="79"/>
      <c r="K1040" s="80"/>
      <c r="L1040" s="80"/>
      <c r="M1040" s="80"/>
      <c r="N1040" s="83" t="str">
        <f aca="false">IF(C1040="","",IF(I1040="",IF(H1040="OUI","À ENROBER",IF(G1040="À SOUDER","NON SOUDÉ","EN ATTENTE RT")),IF(L1040="R","À REPRENDRE",IF(H1040&lt;&gt;"OUI","⚠ ENROBÉ AVANT ACCEPTATION RT","ENROBÉ"))))</f>
        <v/>
      </c>
      <c r="O1040" s="79"/>
    </row>
    <row r="1041" customFormat="false" ht="15" hidden="false" customHeight="false" outlineLevel="0" collapsed="false">
      <c r="A1041" s="78" t="str">
        <f aca="false">IF('CARNET DE SOUDURE'!E1041="","",'CARNET DE SOUDURE'!A1041)</f>
        <v/>
      </c>
      <c r="B1041" s="93" t="str">
        <f aca="false">IF('CARNET DE SOUDURE'!E1041="","",'CARNET DE SOUDURE'!B1041&amp;"")</f>
        <v/>
      </c>
      <c r="C1041" s="83" t="str">
        <f aca="false">IF('CARNET DE SOUDURE'!E1041="","",'CARNET DE SOUDURE'!E1041)</f>
        <v/>
      </c>
      <c r="D1041" s="78" t="str">
        <f aca="false">IF('CARNET DE SOUDURE'!E1041="","",'CARNET DE SOUDURE'!D1041&amp;"")</f>
        <v/>
      </c>
      <c r="E1041" s="96" t="str">
        <f aca="false">IF(OR('CARNET DE SOUDURE'!E1041="",'CARNET DE SOUDURE'!R1041=""),"",'CARNET DE SOUDURE'!R1041)</f>
        <v/>
      </c>
      <c r="F1041" s="81" t="str">
        <f aca="false">IF('CARNET DE SOUDURE'!E1041="","",'CARNET DE SOUDURE'!AL1041)</f>
        <v/>
      </c>
      <c r="G1041" s="81" t="str">
        <f aca="false">IF('CARNET DE SOUDURE'!E1041="","",'CARNET DE SOUDURE'!AM1041)</f>
        <v/>
      </c>
      <c r="H1041" s="81" t="str">
        <f aca="false">IF(C1041="","",IF(G1041="ACCEPTÉ","OUI","NON"))</f>
        <v/>
      </c>
      <c r="I1041" s="82"/>
      <c r="J1041" s="79"/>
      <c r="K1041" s="80"/>
      <c r="L1041" s="80"/>
      <c r="M1041" s="80"/>
      <c r="N1041" s="83" t="str">
        <f aca="false">IF(C1041="","",IF(I1041="",IF(H1041="OUI","À ENROBER",IF(G1041="À SOUDER","NON SOUDÉ","EN ATTENTE RT")),IF(L1041="R","À REPRENDRE",IF(H1041&lt;&gt;"OUI","⚠ ENROBÉ AVANT ACCEPTATION RT","ENROBÉ"))))</f>
        <v/>
      </c>
      <c r="O1041" s="79"/>
    </row>
    <row r="1042" customFormat="false" ht="15" hidden="false" customHeight="false" outlineLevel="0" collapsed="false">
      <c r="A1042" s="78" t="str">
        <f aca="false">IF('CARNET DE SOUDURE'!E1042="","",'CARNET DE SOUDURE'!A1042)</f>
        <v/>
      </c>
      <c r="B1042" s="93" t="str">
        <f aca="false">IF('CARNET DE SOUDURE'!E1042="","",'CARNET DE SOUDURE'!B1042&amp;"")</f>
        <v/>
      </c>
      <c r="C1042" s="83" t="str">
        <f aca="false">IF('CARNET DE SOUDURE'!E1042="","",'CARNET DE SOUDURE'!E1042)</f>
        <v/>
      </c>
      <c r="D1042" s="78" t="str">
        <f aca="false">IF('CARNET DE SOUDURE'!E1042="","",'CARNET DE SOUDURE'!D1042&amp;"")</f>
        <v/>
      </c>
      <c r="E1042" s="96" t="str">
        <f aca="false">IF(OR('CARNET DE SOUDURE'!E1042="",'CARNET DE SOUDURE'!R1042=""),"",'CARNET DE SOUDURE'!R1042)</f>
        <v/>
      </c>
      <c r="F1042" s="81" t="str">
        <f aca="false">IF('CARNET DE SOUDURE'!E1042="","",'CARNET DE SOUDURE'!AL1042)</f>
        <v/>
      </c>
      <c r="G1042" s="81" t="str">
        <f aca="false">IF('CARNET DE SOUDURE'!E1042="","",'CARNET DE SOUDURE'!AM1042)</f>
        <v/>
      </c>
      <c r="H1042" s="81" t="str">
        <f aca="false">IF(C1042="","",IF(G1042="ACCEPTÉ","OUI","NON"))</f>
        <v/>
      </c>
      <c r="I1042" s="82"/>
      <c r="J1042" s="79"/>
      <c r="K1042" s="80"/>
      <c r="L1042" s="80"/>
      <c r="M1042" s="80"/>
      <c r="N1042" s="83" t="str">
        <f aca="false">IF(C1042="","",IF(I1042="",IF(H1042="OUI","À ENROBER",IF(G1042="À SOUDER","NON SOUDÉ","EN ATTENTE RT")),IF(L1042="R","À REPRENDRE",IF(H1042&lt;&gt;"OUI","⚠ ENROBÉ AVANT ACCEPTATION RT","ENROBÉ"))))</f>
        <v/>
      </c>
      <c r="O1042" s="79"/>
    </row>
    <row r="1043" customFormat="false" ht="15" hidden="false" customHeight="false" outlineLevel="0" collapsed="false">
      <c r="A1043" s="78" t="str">
        <f aca="false">IF('CARNET DE SOUDURE'!E1043="","",'CARNET DE SOUDURE'!A1043)</f>
        <v/>
      </c>
      <c r="B1043" s="93" t="str">
        <f aca="false">IF('CARNET DE SOUDURE'!E1043="","",'CARNET DE SOUDURE'!B1043&amp;"")</f>
        <v/>
      </c>
      <c r="C1043" s="83" t="str">
        <f aca="false">IF('CARNET DE SOUDURE'!E1043="","",'CARNET DE SOUDURE'!E1043)</f>
        <v/>
      </c>
      <c r="D1043" s="78" t="str">
        <f aca="false">IF('CARNET DE SOUDURE'!E1043="","",'CARNET DE SOUDURE'!D1043&amp;"")</f>
        <v/>
      </c>
      <c r="E1043" s="96" t="str">
        <f aca="false">IF(OR('CARNET DE SOUDURE'!E1043="",'CARNET DE SOUDURE'!R1043=""),"",'CARNET DE SOUDURE'!R1043)</f>
        <v/>
      </c>
      <c r="F1043" s="81" t="str">
        <f aca="false">IF('CARNET DE SOUDURE'!E1043="","",'CARNET DE SOUDURE'!AL1043)</f>
        <v/>
      </c>
      <c r="G1043" s="81" t="str">
        <f aca="false">IF('CARNET DE SOUDURE'!E1043="","",'CARNET DE SOUDURE'!AM1043)</f>
        <v/>
      </c>
      <c r="H1043" s="81" t="str">
        <f aca="false">IF(C1043="","",IF(G1043="ACCEPTÉ","OUI","NON"))</f>
        <v/>
      </c>
      <c r="I1043" s="82"/>
      <c r="J1043" s="79"/>
      <c r="K1043" s="80"/>
      <c r="L1043" s="80"/>
      <c r="M1043" s="80"/>
      <c r="N1043" s="83" t="str">
        <f aca="false">IF(C1043="","",IF(I1043="",IF(H1043="OUI","À ENROBER",IF(G1043="À SOUDER","NON SOUDÉ","EN ATTENTE RT")),IF(L1043="R","À REPRENDRE",IF(H1043&lt;&gt;"OUI","⚠ ENROBÉ AVANT ACCEPTATION RT","ENROBÉ"))))</f>
        <v/>
      </c>
      <c r="O1043" s="79"/>
    </row>
    <row r="1044" customFormat="false" ht="15" hidden="false" customHeight="false" outlineLevel="0" collapsed="false">
      <c r="A1044" s="78" t="str">
        <f aca="false">IF('CARNET DE SOUDURE'!E1044="","",'CARNET DE SOUDURE'!A1044)</f>
        <v/>
      </c>
      <c r="B1044" s="93" t="str">
        <f aca="false">IF('CARNET DE SOUDURE'!E1044="","",'CARNET DE SOUDURE'!B1044&amp;"")</f>
        <v/>
      </c>
      <c r="C1044" s="83" t="str">
        <f aca="false">IF('CARNET DE SOUDURE'!E1044="","",'CARNET DE SOUDURE'!E1044)</f>
        <v/>
      </c>
      <c r="D1044" s="78" t="str">
        <f aca="false">IF('CARNET DE SOUDURE'!E1044="","",'CARNET DE SOUDURE'!D1044&amp;"")</f>
        <v/>
      </c>
      <c r="E1044" s="96" t="str">
        <f aca="false">IF(OR('CARNET DE SOUDURE'!E1044="",'CARNET DE SOUDURE'!R1044=""),"",'CARNET DE SOUDURE'!R1044)</f>
        <v/>
      </c>
      <c r="F1044" s="81" t="str">
        <f aca="false">IF('CARNET DE SOUDURE'!E1044="","",'CARNET DE SOUDURE'!AL1044)</f>
        <v/>
      </c>
      <c r="G1044" s="81" t="str">
        <f aca="false">IF('CARNET DE SOUDURE'!E1044="","",'CARNET DE SOUDURE'!AM1044)</f>
        <v/>
      </c>
      <c r="H1044" s="81" t="str">
        <f aca="false">IF(C1044="","",IF(G1044="ACCEPTÉ","OUI","NON"))</f>
        <v/>
      </c>
      <c r="I1044" s="82"/>
      <c r="J1044" s="79"/>
      <c r="K1044" s="80"/>
      <c r="L1044" s="80"/>
      <c r="M1044" s="80"/>
      <c r="N1044" s="83" t="str">
        <f aca="false">IF(C1044="","",IF(I1044="",IF(H1044="OUI","À ENROBER",IF(G1044="À SOUDER","NON SOUDÉ","EN ATTENTE RT")),IF(L1044="R","À REPRENDRE",IF(H1044&lt;&gt;"OUI","⚠ ENROBÉ AVANT ACCEPTATION RT","ENROBÉ"))))</f>
        <v/>
      </c>
      <c r="O1044" s="79"/>
    </row>
    <row r="1045" customFormat="false" ht="15" hidden="false" customHeight="false" outlineLevel="0" collapsed="false">
      <c r="A1045" s="78" t="str">
        <f aca="false">IF('CARNET DE SOUDURE'!E1045="","",'CARNET DE SOUDURE'!A1045)</f>
        <v/>
      </c>
      <c r="B1045" s="93" t="str">
        <f aca="false">IF('CARNET DE SOUDURE'!E1045="","",'CARNET DE SOUDURE'!B1045&amp;"")</f>
        <v/>
      </c>
      <c r="C1045" s="83" t="str">
        <f aca="false">IF('CARNET DE SOUDURE'!E1045="","",'CARNET DE SOUDURE'!E1045)</f>
        <v/>
      </c>
      <c r="D1045" s="78" t="str">
        <f aca="false">IF('CARNET DE SOUDURE'!E1045="","",'CARNET DE SOUDURE'!D1045&amp;"")</f>
        <v/>
      </c>
      <c r="E1045" s="96" t="str">
        <f aca="false">IF(OR('CARNET DE SOUDURE'!E1045="",'CARNET DE SOUDURE'!R1045=""),"",'CARNET DE SOUDURE'!R1045)</f>
        <v/>
      </c>
      <c r="F1045" s="81" t="str">
        <f aca="false">IF('CARNET DE SOUDURE'!E1045="","",'CARNET DE SOUDURE'!AL1045)</f>
        <v/>
      </c>
      <c r="G1045" s="81" t="str">
        <f aca="false">IF('CARNET DE SOUDURE'!E1045="","",'CARNET DE SOUDURE'!AM1045)</f>
        <v/>
      </c>
      <c r="H1045" s="81" t="str">
        <f aca="false">IF(C1045="","",IF(G1045="ACCEPTÉ","OUI","NON"))</f>
        <v/>
      </c>
      <c r="I1045" s="82"/>
      <c r="J1045" s="79"/>
      <c r="K1045" s="80"/>
      <c r="L1045" s="80"/>
      <c r="M1045" s="80"/>
      <c r="N1045" s="83" t="str">
        <f aca="false">IF(C1045="","",IF(I1045="",IF(H1045="OUI","À ENROBER",IF(G1045="À SOUDER","NON SOUDÉ","EN ATTENTE RT")),IF(L1045="R","À REPRENDRE",IF(H1045&lt;&gt;"OUI","⚠ ENROBÉ AVANT ACCEPTATION RT","ENROBÉ"))))</f>
        <v/>
      </c>
      <c r="O1045" s="79"/>
    </row>
    <row r="1046" customFormat="false" ht="15" hidden="false" customHeight="false" outlineLevel="0" collapsed="false">
      <c r="A1046" s="78" t="str">
        <f aca="false">IF('CARNET DE SOUDURE'!E1046="","",'CARNET DE SOUDURE'!A1046)</f>
        <v/>
      </c>
      <c r="B1046" s="93" t="str">
        <f aca="false">IF('CARNET DE SOUDURE'!E1046="","",'CARNET DE SOUDURE'!B1046&amp;"")</f>
        <v/>
      </c>
      <c r="C1046" s="83" t="str">
        <f aca="false">IF('CARNET DE SOUDURE'!E1046="","",'CARNET DE SOUDURE'!E1046)</f>
        <v/>
      </c>
      <c r="D1046" s="78" t="str">
        <f aca="false">IF('CARNET DE SOUDURE'!E1046="","",'CARNET DE SOUDURE'!D1046&amp;"")</f>
        <v/>
      </c>
      <c r="E1046" s="96" t="str">
        <f aca="false">IF(OR('CARNET DE SOUDURE'!E1046="",'CARNET DE SOUDURE'!R1046=""),"",'CARNET DE SOUDURE'!R1046)</f>
        <v/>
      </c>
      <c r="F1046" s="81" t="str">
        <f aca="false">IF('CARNET DE SOUDURE'!E1046="","",'CARNET DE SOUDURE'!AL1046)</f>
        <v/>
      </c>
      <c r="G1046" s="81" t="str">
        <f aca="false">IF('CARNET DE SOUDURE'!E1046="","",'CARNET DE SOUDURE'!AM1046)</f>
        <v/>
      </c>
      <c r="H1046" s="81" t="str">
        <f aca="false">IF(C1046="","",IF(G1046="ACCEPTÉ","OUI","NON"))</f>
        <v/>
      </c>
      <c r="I1046" s="82"/>
      <c r="J1046" s="79"/>
      <c r="K1046" s="80"/>
      <c r="L1046" s="80"/>
      <c r="M1046" s="80"/>
      <c r="N1046" s="83" t="str">
        <f aca="false">IF(C1046="","",IF(I1046="",IF(H1046="OUI","À ENROBER",IF(G1046="À SOUDER","NON SOUDÉ","EN ATTENTE RT")),IF(L1046="R","À REPRENDRE",IF(H1046&lt;&gt;"OUI","⚠ ENROBÉ AVANT ACCEPTATION RT","ENROBÉ"))))</f>
        <v/>
      </c>
      <c r="O1046" s="79"/>
    </row>
    <row r="1047" customFormat="false" ht="15" hidden="false" customHeight="false" outlineLevel="0" collapsed="false">
      <c r="A1047" s="78" t="str">
        <f aca="false">IF('CARNET DE SOUDURE'!E1047="","",'CARNET DE SOUDURE'!A1047)</f>
        <v/>
      </c>
      <c r="B1047" s="93" t="str">
        <f aca="false">IF('CARNET DE SOUDURE'!E1047="","",'CARNET DE SOUDURE'!B1047&amp;"")</f>
        <v/>
      </c>
      <c r="C1047" s="83" t="str">
        <f aca="false">IF('CARNET DE SOUDURE'!E1047="","",'CARNET DE SOUDURE'!E1047)</f>
        <v/>
      </c>
      <c r="D1047" s="78" t="str">
        <f aca="false">IF('CARNET DE SOUDURE'!E1047="","",'CARNET DE SOUDURE'!D1047&amp;"")</f>
        <v/>
      </c>
      <c r="E1047" s="96" t="str">
        <f aca="false">IF(OR('CARNET DE SOUDURE'!E1047="",'CARNET DE SOUDURE'!R1047=""),"",'CARNET DE SOUDURE'!R1047)</f>
        <v/>
      </c>
      <c r="F1047" s="81" t="str">
        <f aca="false">IF('CARNET DE SOUDURE'!E1047="","",'CARNET DE SOUDURE'!AL1047)</f>
        <v/>
      </c>
      <c r="G1047" s="81" t="str">
        <f aca="false">IF('CARNET DE SOUDURE'!E1047="","",'CARNET DE SOUDURE'!AM1047)</f>
        <v/>
      </c>
      <c r="H1047" s="81" t="str">
        <f aca="false">IF(C1047="","",IF(G1047="ACCEPTÉ","OUI","NON"))</f>
        <v/>
      </c>
      <c r="I1047" s="82"/>
      <c r="J1047" s="79"/>
      <c r="K1047" s="80"/>
      <c r="L1047" s="80"/>
      <c r="M1047" s="80"/>
      <c r="N1047" s="83" t="str">
        <f aca="false">IF(C1047="","",IF(I1047="",IF(H1047="OUI","À ENROBER",IF(G1047="À SOUDER","NON SOUDÉ","EN ATTENTE RT")),IF(L1047="R","À REPRENDRE",IF(H1047&lt;&gt;"OUI","⚠ ENROBÉ AVANT ACCEPTATION RT","ENROBÉ"))))</f>
        <v/>
      </c>
      <c r="O1047" s="79"/>
    </row>
    <row r="1048" customFormat="false" ht="15" hidden="false" customHeight="false" outlineLevel="0" collapsed="false">
      <c r="A1048" s="78" t="str">
        <f aca="false">IF('CARNET DE SOUDURE'!E1048="","",'CARNET DE SOUDURE'!A1048)</f>
        <v/>
      </c>
      <c r="B1048" s="93" t="str">
        <f aca="false">IF('CARNET DE SOUDURE'!E1048="","",'CARNET DE SOUDURE'!B1048&amp;"")</f>
        <v/>
      </c>
      <c r="C1048" s="83" t="str">
        <f aca="false">IF('CARNET DE SOUDURE'!E1048="","",'CARNET DE SOUDURE'!E1048)</f>
        <v/>
      </c>
      <c r="D1048" s="78" t="str">
        <f aca="false">IF('CARNET DE SOUDURE'!E1048="","",'CARNET DE SOUDURE'!D1048&amp;"")</f>
        <v/>
      </c>
      <c r="E1048" s="96" t="str">
        <f aca="false">IF(OR('CARNET DE SOUDURE'!E1048="",'CARNET DE SOUDURE'!R1048=""),"",'CARNET DE SOUDURE'!R1048)</f>
        <v/>
      </c>
      <c r="F1048" s="81" t="str">
        <f aca="false">IF('CARNET DE SOUDURE'!E1048="","",'CARNET DE SOUDURE'!AL1048)</f>
        <v/>
      </c>
      <c r="G1048" s="81" t="str">
        <f aca="false">IF('CARNET DE SOUDURE'!E1048="","",'CARNET DE SOUDURE'!AM1048)</f>
        <v/>
      </c>
      <c r="H1048" s="81" t="str">
        <f aca="false">IF(C1048="","",IF(G1048="ACCEPTÉ","OUI","NON"))</f>
        <v/>
      </c>
      <c r="I1048" s="82"/>
      <c r="J1048" s="79"/>
      <c r="K1048" s="80"/>
      <c r="L1048" s="80"/>
      <c r="M1048" s="80"/>
      <c r="N1048" s="83" t="str">
        <f aca="false">IF(C1048="","",IF(I1048="",IF(H1048="OUI","À ENROBER",IF(G1048="À SOUDER","NON SOUDÉ","EN ATTENTE RT")),IF(L1048="R","À REPRENDRE",IF(H1048&lt;&gt;"OUI","⚠ ENROBÉ AVANT ACCEPTATION RT","ENROBÉ"))))</f>
        <v/>
      </c>
      <c r="O1048" s="79"/>
    </row>
    <row r="1049" customFormat="false" ht="15" hidden="false" customHeight="false" outlineLevel="0" collapsed="false">
      <c r="A1049" s="78" t="str">
        <f aca="false">IF('CARNET DE SOUDURE'!E1049="","",'CARNET DE SOUDURE'!A1049)</f>
        <v/>
      </c>
      <c r="B1049" s="93" t="str">
        <f aca="false">IF('CARNET DE SOUDURE'!E1049="","",'CARNET DE SOUDURE'!B1049&amp;"")</f>
        <v/>
      </c>
      <c r="C1049" s="83" t="str">
        <f aca="false">IF('CARNET DE SOUDURE'!E1049="","",'CARNET DE SOUDURE'!E1049)</f>
        <v/>
      </c>
      <c r="D1049" s="78" t="str">
        <f aca="false">IF('CARNET DE SOUDURE'!E1049="","",'CARNET DE SOUDURE'!D1049&amp;"")</f>
        <v/>
      </c>
      <c r="E1049" s="96" t="str">
        <f aca="false">IF(OR('CARNET DE SOUDURE'!E1049="",'CARNET DE SOUDURE'!R1049=""),"",'CARNET DE SOUDURE'!R1049)</f>
        <v/>
      </c>
      <c r="F1049" s="81" t="str">
        <f aca="false">IF('CARNET DE SOUDURE'!E1049="","",'CARNET DE SOUDURE'!AL1049)</f>
        <v/>
      </c>
      <c r="G1049" s="81" t="str">
        <f aca="false">IF('CARNET DE SOUDURE'!E1049="","",'CARNET DE SOUDURE'!AM1049)</f>
        <v/>
      </c>
      <c r="H1049" s="81" t="str">
        <f aca="false">IF(C1049="","",IF(G1049="ACCEPTÉ","OUI","NON"))</f>
        <v/>
      </c>
      <c r="I1049" s="82"/>
      <c r="J1049" s="79"/>
      <c r="K1049" s="80"/>
      <c r="L1049" s="80"/>
      <c r="M1049" s="80"/>
      <c r="N1049" s="83" t="str">
        <f aca="false">IF(C1049="","",IF(I1049="",IF(H1049="OUI","À ENROBER",IF(G1049="À SOUDER","NON SOUDÉ","EN ATTENTE RT")),IF(L1049="R","À REPRENDRE",IF(H1049&lt;&gt;"OUI","⚠ ENROBÉ AVANT ACCEPTATION RT","ENROBÉ"))))</f>
        <v/>
      </c>
      <c r="O1049" s="79"/>
    </row>
    <row r="1050" customFormat="false" ht="15" hidden="false" customHeight="false" outlineLevel="0" collapsed="false">
      <c r="A1050" s="78" t="str">
        <f aca="false">IF('CARNET DE SOUDURE'!E1050="","",'CARNET DE SOUDURE'!A1050)</f>
        <v/>
      </c>
      <c r="B1050" s="93" t="str">
        <f aca="false">IF('CARNET DE SOUDURE'!E1050="","",'CARNET DE SOUDURE'!B1050&amp;"")</f>
        <v/>
      </c>
      <c r="C1050" s="83" t="str">
        <f aca="false">IF('CARNET DE SOUDURE'!E1050="","",'CARNET DE SOUDURE'!E1050)</f>
        <v/>
      </c>
      <c r="D1050" s="78" t="str">
        <f aca="false">IF('CARNET DE SOUDURE'!E1050="","",'CARNET DE SOUDURE'!D1050&amp;"")</f>
        <v/>
      </c>
      <c r="E1050" s="96" t="str">
        <f aca="false">IF(OR('CARNET DE SOUDURE'!E1050="",'CARNET DE SOUDURE'!R1050=""),"",'CARNET DE SOUDURE'!R1050)</f>
        <v/>
      </c>
      <c r="F1050" s="81" t="str">
        <f aca="false">IF('CARNET DE SOUDURE'!E1050="","",'CARNET DE SOUDURE'!AL1050)</f>
        <v/>
      </c>
      <c r="G1050" s="81" t="str">
        <f aca="false">IF('CARNET DE SOUDURE'!E1050="","",'CARNET DE SOUDURE'!AM1050)</f>
        <v/>
      </c>
      <c r="H1050" s="81" t="str">
        <f aca="false">IF(C1050="","",IF(G1050="ACCEPTÉ","OUI","NON"))</f>
        <v/>
      </c>
      <c r="I1050" s="82"/>
      <c r="J1050" s="79"/>
      <c r="K1050" s="80"/>
      <c r="L1050" s="80"/>
      <c r="M1050" s="80"/>
      <c r="N1050" s="83" t="str">
        <f aca="false">IF(C1050="","",IF(I1050="",IF(H1050="OUI","À ENROBER",IF(G1050="À SOUDER","NON SOUDÉ","EN ATTENTE RT")),IF(L1050="R","À REPRENDRE",IF(H1050&lt;&gt;"OUI","⚠ ENROBÉ AVANT ACCEPTATION RT","ENROBÉ"))))</f>
        <v/>
      </c>
      <c r="O1050" s="79"/>
    </row>
    <row r="1051" customFormat="false" ht="15" hidden="false" customHeight="false" outlineLevel="0" collapsed="false">
      <c r="A1051" s="78" t="str">
        <f aca="false">IF('CARNET DE SOUDURE'!E1051="","",'CARNET DE SOUDURE'!A1051)</f>
        <v/>
      </c>
      <c r="B1051" s="93" t="str">
        <f aca="false">IF('CARNET DE SOUDURE'!E1051="","",'CARNET DE SOUDURE'!B1051&amp;"")</f>
        <v/>
      </c>
      <c r="C1051" s="83" t="str">
        <f aca="false">IF('CARNET DE SOUDURE'!E1051="","",'CARNET DE SOUDURE'!E1051)</f>
        <v/>
      </c>
      <c r="D1051" s="78" t="str">
        <f aca="false">IF('CARNET DE SOUDURE'!E1051="","",'CARNET DE SOUDURE'!D1051&amp;"")</f>
        <v/>
      </c>
      <c r="E1051" s="96" t="str">
        <f aca="false">IF(OR('CARNET DE SOUDURE'!E1051="",'CARNET DE SOUDURE'!R1051=""),"",'CARNET DE SOUDURE'!R1051)</f>
        <v/>
      </c>
      <c r="F1051" s="81" t="str">
        <f aca="false">IF('CARNET DE SOUDURE'!E1051="","",'CARNET DE SOUDURE'!AL1051)</f>
        <v/>
      </c>
      <c r="G1051" s="81" t="str">
        <f aca="false">IF('CARNET DE SOUDURE'!E1051="","",'CARNET DE SOUDURE'!AM1051)</f>
        <v/>
      </c>
      <c r="H1051" s="81" t="str">
        <f aca="false">IF(C1051="","",IF(G1051="ACCEPTÉ","OUI","NON"))</f>
        <v/>
      </c>
      <c r="I1051" s="82"/>
      <c r="J1051" s="79"/>
      <c r="K1051" s="80"/>
      <c r="L1051" s="80"/>
      <c r="M1051" s="80"/>
      <c r="N1051" s="83" t="str">
        <f aca="false">IF(C1051="","",IF(I1051="",IF(H1051="OUI","À ENROBER",IF(G1051="À SOUDER","NON SOUDÉ","EN ATTENTE RT")),IF(L1051="R","À REPRENDRE",IF(H1051&lt;&gt;"OUI","⚠ ENROBÉ AVANT ACCEPTATION RT","ENROBÉ"))))</f>
        <v/>
      </c>
      <c r="O1051" s="79"/>
    </row>
    <row r="1052" customFormat="false" ht="15" hidden="false" customHeight="false" outlineLevel="0" collapsed="false">
      <c r="A1052" s="78" t="str">
        <f aca="false">IF('CARNET DE SOUDURE'!E1052="","",'CARNET DE SOUDURE'!A1052)</f>
        <v/>
      </c>
      <c r="B1052" s="93" t="str">
        <f aca="false">IF('CARNET DE SOUDURE'!E1052="","",'CARNET DE SOUDURE'!B1052&amp;"")</f>
        <v/>
      </c>
      <c r="C1052" s="83" t="str">
        <f aca="false">IF('CARNET DE SOUDURE'!E1052="","",'CARNET DE SOUDURE'!E1052)</f>
        <v/>
      </c>
      <c r="D1052" s="78" t="str">
        <f aca="false">IF('CARNET DE SOUDURE'!E1052="","",'CARNET DE SOUDURE'!D1052&amp;"")</f>
        <v/>
      </c>
      <c r="E1052" s="96" t="str">
        <f aca="false">IF(OR('CARNET DE SOUDURE'!E1052="",'CARNET DE SOUDURE'!R1052=""),"",'CARNET DE SOUDURE'!R1052)</f>
        <v/>
      </c>
      <c r="F1052" s="81" t="str">
        <f aca="false">IF('CARNET DE SOUDURE'!E1052="","",'CARNET DE SOUDURE'!AL1052)</f>
        <v/>
      </c>
      <c r="G1052" s="81" t="str">
        <f aca="false">IF('CARNET DE SOUDURE'!E1052="","",'CARNET DE SOUDURE'!AM1052)</f>
        <v/>
      </c>
      <c r="H1052" s="81" t="str">
        <f aca="false">IF(C1052="","",IF(G1052="ACCEPTÉ","OUI","NON"))</f>
        <v/>
      </c>
      <c r="I1052" s="82"/>
      <c r="J1052" s="79"/>
      <c r="K1052" s="80"/>
      <c r="L1052" s="80"/>
      <c r="M1052" s="80"/>
      <c r="N1052" s="83" t="str">
        <f aca="false">IF(C1052="","",IF(I1052="",IF(H1052="OUI","À ENROBER",IF(G1052="À SOUDER","NON SOUDÉ","EN ATTENTE RT")),IF(L1052="R","À REPRENDRE",IF(H1052&lt;&gt;"OUI","⚠ ENROBÉ AVANT ACCEPTATION RT","ENROBÉ"))))</f>
        <v/>
      </c>
      <c r="O1052" s="79"/>
    </row>
    <row r="1053" customFormat="false" ht="15" hidden="false" customHeight="false" outlineLevel="0" collapsed="false">
      <c r="A1053" s="78" t="str">
        <f aca="false">IF('CARNET DE SOUDURE'!E1053="","",'CARNET DE SOUDURE'!A1053)</f>
        <v/>
      </c>
      <c r="B1053" s="93" t="str">
        <f aca="false">IF('CARNET DE SOUDURE'!E1053="","",'CARNET DE SOUDURE'!B1053&amp;"")</f>
        <v/>
      </c>
      <c r="C1053" s="83" t="str">
        <f aca="false">IF('CARNET DE SOUDURE'!E1053="","",'CARNET DE SOUDURE'!E1053)</f>
        <v/>
      </c>
      <c r="D1053" s="78" t="str">
        <f aca="false">IF('CARNET DE SOUDURE'!E1053="","",'CARNET DE SOUDURE'!D1053&amp;"")</f>
        <v/>
      </c>
      <c r="E1053" s="96" t="str">
        <f aca="false">IF(OR('CARNET DE SOUDURE'!E1053="",'CARNET DE SOUDURE'!R1053=""),"",'CARNET DE SOUDURE'!R1053)</f>
        <v/>
      </c>
      <c r="F1053" s="81" t="str">
        <f aca="false">IF('CARNET DE SOUDURE'!E1053="","",'CARNET DE SOUDURE'!AL1053)</f>
        <v/>
      </c>
      <c r="G1053" s="81" t="str">
        <f aca="false">IF('CARNET DE SOUDURE'!E1053="","",'CARNET DE SOUDURE'!AM1053)</f>
        <v/>
      </c>
      <c r="H1053" s="81" t="str">
        <f aca="false">IF(C1053="","",IF(G1053="ACCEPTÉ","OUI","NON"))</f>
        <v/>
      </c>
      <c r="I1053" s="82"/>
      <c r="J1053" s="79"/>
      <c r="K1053" s="80"/>
      <c r="L1053" s="80"/>
      <c r="M1053" s="80"/>
      <c r="N1053" s="83" t="str">
        <f aca="false">IF(C1053="","",IF(I1053="",IF(H1053="OUI","À ENROBER",IF(G1053="À SOUDER","NON SOUDÉ","EN ATTENTE RT")),IF(L1053="R","À REPRENDRE",IF(H1053&lt;&gt;"OUI","⚠ ENROBÉ AVANT ACCEPTATION RT","ENROBÉ"))))</f>
        <v/>
      </c>
      <c r="O1053" s="79"/>
    </row>
    <row r="1054" customFormat="false" ht="15" hidden="false" customHeight="false" outlineLevel="0" collapsed="false">
      <c r="A1054" s="78" t="str">
        <f aca="false">IF('CARNET DE SOUDURE'!E1054="","",'CARNET DE SOUDURE'!A1054)</f>
        <v/>
      </c>
      <c r="B1054" s="93" t="str">
        <f aca="false">IF('CARNET DE SOUDURE'!E1054="","",'CARNET DE SOUDURE'!B1054&amp;"")</f>
        <v/>
      </c>
      <c r="C1054" s="83" t="str">
        <f aca="false">IF('CARNET DE SOUDURE'!E1054="","",'CARNET DE SOUDURE'!E1054)</f>
        <v/>
      </c>
      <c r="D1054" s="78" t="str">
        <f aca="false">IF('CARNET DE SOUDURE'!E1054="","",'CARNET DE SOUDURE'!D1054&amp;"")</f>
        <v/>
      </c>
      <c r="E1054" s="96" t="str">
        <f aca="false">IF(OR('CARNET DE SOUDURE'!E1054="",'CARNET DE SOUDURE'!R1054=""),"",'CARNET DE SOUDURE'!R1054)</f>
        <v/>
      </c>
      <c r="F1054" s="81" t="str">
        <f aca="false">IF('CARNET DE SOUDURE'!E1054="","",'CARNET DE SOUDURE'!AL1054)</f>
        <v/>
      </c>
      <c r="G1054" s="81" t="str">
        <f aca="false">IF('CARNET DE SOUDURE'!E1054="","",'CARNET DE SOUDURE'!AM1054)</f>
        <v/>
      </c>
      <c r="H1054" s="81" t="str">
        <f aca="false">IF(C1054="","",IF(G1054="ACCEPTÉ","OUI","NON"))</f>
        <v/>
      </c>
      <c r="I1054" s="82"/>
      <c r="J1054" s="79"/>
      <c r="K1054" s="80"/>
      <c r="L1054" s="80"/>
      <c r="M1054" s="80"/>
      <c r="N1054" s="83" t="str">
        <f aca="false">IF(C1054="","",IF(I1054="",IF(H1054="OUI","À ENROBER",IF(G1054="À SOUDER","NON SOUDÉ","EN ATTENTE RT")),IF(L1054="R","À REPRENDRE",IF(H1054&lt;&gt;"OUI","⚠ ENROBÉ AVANT ACCEPTATION RT","ENROBÉ"))))</f>
        <v/>
      </c>
      <c r="O1054" s="79"/>
    </row>
    <row r="1055" customFormat="false" ht="15" hidden="false" customHeight="false" outlineLevel="0" collapsed="false">
      <c r="A1055" s="78" t="str">
        <f aca="false">IF('CARNET DE SOUDURE'!E1055="","",'CARNET DE SOUDURE'!A1055)</f>
        <v/>
      </c>
      <c r="B1055" s="93" t="str">
        <f aca="false">IF('CARNET DE SOUDURE'!E1055="","",'CARNET DE SOUDURE'!B1055&amp;"")</f>
        <v/>
      </c>
      <c r="C1055" s="83" t="str">
        <f aca="false">IF('CARNET DE SOUDURE'!E1055="","",'CARNET DE SOUDURE'!E1055)</f>
        <v/>
      </c>
      <c r="D1055" s="78" t="str">
        <f aca="false">IF('CARNET DE SOUDURE'!E1055="","",'CARNET DE SOUDURE'!D1055&amp;"")</f>
        <v/>
      </c>
      <c r="E1055" s="96" t="str">
        <f aca="false">IF(OR('CARNET DE SOUDURE'!E1055="",'CARNET DE SOUDURE'!R1055=""),"",'CARNET DE SOUDURE'!R1055)</f>
        <v/>
      </c>
      <c r="F1055" s="81" t="str">
        <f aca="false">IF('CARNET DE SOUDURE'!E1055="","",'CARNET DE SOUDURE'!AL1055)</f>
        <v/>
      </c>
      <c r="G1055" s="81" t="str">
        <f aca="false">IF('CARNET DE SOUDURE'!E1055="","",'CARNET DE SOUDURE'!AM1055)</f>
        <v/>
      </c>
      <c r="H1055" s="81" t="str">
        <f aca="false">IF(C1055="","",IF(G1055="ACCEPTÉ","OUI","NON"))</f>
        <v/>
      </c>
      <c r="I1055" s="82"/>
      <c r="J1055" s="79"/>
      <c r="K1055" s="80"/>
      <c r="L1055" s="80"/>
      <c r="M1055" s="80"/>
      <c r="N1055" s="83" t="str">
        <f aca="false">IF(C1055="","",IF(I1055="",IF(H1055="OUI","À ENROBER",IF(G1055="À SOUDER","NON SOUDÉ","EN ATTENTE RT")),IF(L1055="R","À REPRENDRE",IF(H1055&lt;&gt;"OUI","⚠ ENROBÉ AVANT ACCEPTATION RT","ENROBÉ"))))</f>
        <v/>
      </c>
      <c r="O1055" s="79"/>
    </row>
    <row r="1056" customFormat="false" ht="15" hidden="false" customHeight="false" outlineLevel="0" collapsed="false">
      <c r="A1056" s="78" t="str">
        <f aca="false">IF('CARNET DE SOUDURE'!E1056="","",'CARNET DE SOUDURE'!A1056)</f>
        <v/>
      </c>
      <c r="B1056" s="93" t="str">
        <f aca="false">IF('CARNET DE SOUDURE'!E1056="","",'CARNET DE SOUDURE'!B1056&amp;"")</f>
        <v/>
      </c>
      <c r="C1056" s="83" t="str">
        <f aca="false">IF('CARNET DE SOUDURE'!E1056="","",'CARNET DE SOUDURE'!E1056)</f>
        <v/>
      </c>
      <c r="D1056" s="78" t="str">
        <f aca="false">IF('CARNET DE SOUDURE'!E1056="","",'CARNET DE SOUDURE'!D1056&amp;"")</f>
        <v/>
      </c>
      <c r="E1056" s="96" t="str">
        <f aca="false">IF(OR('CARNET DE SOUDURE'!E1056="",'CARNET DE SOUDURE'!R1056=""),"",'CARNET DE SOUDURE'!R1056)</f>
        <v/>
      </c>
      <c r="F1056" s="81" t="str">
        <f aca="false">IF('CARNET DE SOUDURE'!E1056="","",'CARNET DE SOUDURE'!AL1056)</f>
        <v/>
      </c>
      <c r="G1056" s="81" t="str">
        <f aca="false">IF('CARNET DE SOUDURE'!E1056="","",'CARNET DE SOUDURE'!AM1056)</f>
        <v/>
      </c>
      <c r="H1056" s="81" t="str">
        <f aca="false">IF(C1056="","",IF(G1056="ACCEPTÉ","OUI","NON"))</f>
        <v/>
      </c>
      <c r="I1056" s="82"/>
      <c r="J1056" s="79"/>
      <c r="K1056" s="80"/>
      <c r="L1056" s="80"/>
      <c r="M1056" s="80"/>
      <c r="N1056" s="83" t="str">
        <f aca="false">IF(C1056="","",IF(I1056="",IF(H1056="OUI","À ENROBER",IF(G1056="À SOUDER","NON SOUDÉ","EN ATTENTE RT")),IF(L1056="R","À REPRENDRE",IF(H1056&lt;&gt;"OUI","⚠ ENROBÉ AVANT ACCEPTATION RT","ENROBÉ"))))</f>
        <v/>
      </c>
      <c r="O1056" s="79"/>
    </row>
    <row r="1057" customFormat="false" ht="15" hidden="false" customHeight="false" outlineLevel="0" collapsed="false">
      <c r="A1057" s="78" t="str">
        <f aca="false">IF('CARNET DE SOUDURE'!E1057="","",'CARNET DE SOUDURE'!A1057)</f>
        <v/>
      </c>
      <c r="B1057" s="93" t="str">
        <f aca="false">IF('CARNET DE SOUDURE'!E1057="","",'CARNET DE SOUDURE'!B1057&amp;"")</f>
        <v/>
      </c>
      <c r="C1057" s="83" t="str">
        <f aca="false">IF('CARNET DE SOUDURE'!E1057="","",'CARNET DE SOUDURE'!E1057)</f>
        <v/>
      </c>
      <c r="D1057" s="78" t="str">
        <f aca="false">IF('CARNET DE SOUDURE'!E1057="","",'CARNET DE SOUDURE'!D1057&amp;"")</f>
        <v/>
      </c>
      <c r="E1057" s="96" t="str">
        <f aca="false">IF(OR('CARNET DE SOUDURE'!E1057="",'CARNET DE SOUDURE'!R1057=""),"",'CARNET DE SOUDURE'!R1057)</f>
        <v/>
      </c>
      <c r="F1057" s="81" t="str">
        <f aca="false">IF('CARNET DE SOUDURE'!E1057="","",'CARNET DE SOUDURE'!AL1057)</f>
        <v/>
      </c>
      <c r="G1057" s="81" t="str">
        <f aca="false">IF('CARNET DE SOUDURE'!E1057="","",'CARNET DE SOUDURE'!AM1057)</f>
        <v/>
      </c>
      <c r="H1057" s="81" t="str">
        <f aca="false">IF(C1057="","",IF(G1057="ACCEPTÉ","OUI","NON"))</f>
        <v/>
      </c>
      <c r="I1057" s="82"/>
      <c r="J1057" s="79"/>
      <c r="K1057" s="80"/>
      <c r="L1057" s="80"/>
      <c r="M1057" s="80"/>
      <c r="N1057" s="83" t="str">
        <f aca="false">IF(C1057="","",IF(I1057="",IF(H1057="OUI","À ENROBER",IF(G1057="À SOUDER","NON SOUDÉ","EN ATTENTE RT")),IF(L1057="R","À REPRENDRE",IF(H1057&lt;&gt;"OUI","⚠ ENROBÉ AVANT ACCEPTATION RT","ENROBÉ"))))</f>
        <v/>
      </c>
      <c r="O1057" s="79"/>
    </row>
    <row r="1058" customFormat="false" ht="15" hidden="false" customHeight="false" outlineLevel="0" collapsed="false">
      <c r="A1058" s="78" t="str">
        <f aca="false">IF('CARNET DE SOUDURE'!E1058="","",'CARNET DE SOUDURE'!A1058)</f>
        <v/>
      </c>
      <c r="B1058" s="93" t="str">
        <f aca="false">IF('CARNET DE SOUDURE'!E1058="","",'CARNET DE SOUDURE'!B1058&amp;"")</f>
        <v/>
      </c>
      <c r="C1058" s="83" t="str">
        <f aca="false">IF('CARNET DE SOUDURE'!E1058="","",'CARNET DE SOUDURE'!E1058)</f>
        <v/>
      </c>
      <c r="D1058" s="78" t="str">
        <f aca="false">IF('CARNET DE SOUDURE'!E1058="","",'CARNET DE SOUDURE'!D1058&amp;"")</f>
        <v/>
      </c>
      <c r="E1058" s="96" t="str">
        <f aca="false">IF(OR('CARNET DE SOUDURE'!E1058="",'CARNET DE SOUDURE'!R1058=""),"",'CARNET DE SOUDURE'!R1058)</f>
        <v/>
      </c>
      <c r="F1058" s="81" t="str">
        <f aca="false">IF('CARNET DE SOUDURE'!E1058="","",'CARNET DE SOUDURE'!AL1058)</f>
        <v/>
      </c>
      <c r="G1058" s="81" t="str">
        <f aca="false">IF('CARNET DE SOUDURE'!E1058="","",'CARNET DE SOUDURE'!AM1058)</f>
        <v/>
      </c>
      <c r="H1058" s="81" t="str">
        <f aca="false">IF(C1058="","",IF(G1058="ACCEPTÉ","OUI","NON"))</f>
        <v/>
      </c>
      <c r="I1058" s="82"/>
      <c r="J1058" s="79"/>
      <c r="K1058" s="80"/>
      <c r="L1058" s="80"/>
      <c r="M1058" s="80"/>
      <c r="N1058" s="83" t="str">
        <f aca="false">IF(C1058="","",IF(I1058="",IF(H1058="OUI","À ENROBER",IF(G1058="À SOUDER","NON SOUDÉ","EN ATTENTE RT")),IF(L1058="R","À REPRENDRE",IF(H1058&lt;&gt;"OUI","⚠ ENROBÉ AVANT ACCEPTATION RT","ENROBÉ"))))</f>
        <v/>
      </c>
      <c r="O1058" s="79"/>
    </row>
    <row r="1059" customFormat="false" ht="15" hidden="false" customHeight="false" outlineLevel="0" collapsed="false">
      <c r="A1059" s="78" t="str">
        <f aca="false">IF('CARNET DE SOUDURE'!E1059="","",'CARNET DE SOUDURE'!A1059)</f>
        <v/>
      </c>
      <c r="B1059" s="93" t="str">
        <f aca="false">IF('CARNET DE SOUDURE'!E1059="","",'CARNET DE SOUDURE'!B1059&amp;"")</f>
        <v/>
      </c>
      <c r="C1059" s="83" t="str">
        <f aca="false">IF('CARNET DE SOUDURE'!E1059="","",'CARNET DE SOUDURE'!E1059)</f>
        <v/>
      </c>
      <c r="D1059" s="78" t="str">
        <f aca="false">IF('CARNET DE SOUDURE'!E1059="","",'CARNET DE SOUDURE'!D1059&amp;"")</f>
        <v/>
      </c>
      <c r="E1059" s="96" t="str">
        <f aca="false">IF(OR('CARNET DE SOUDURE'!E1059="",'CARNET DE SOUDURE'!R1059=""),"",'CARNET DE SOUDURE'!R1059)</f>
        <v/>
      </c>
      <c r="F1059" s="81" t="str">
        <f aca="false">IF('CARNET DE SOUDURE'!E1059="","",'CARNET DE SOUDURE'!AL1059)</f>
        <v/>
      </c>
      <c r="G1059" s="81" t="str">
        <f aca="false">IF('CARNET DE SOUDURE'!E1059="","",'CARNET DE SOUDURE'!AM1059)</f>
        <v/>
      </c>
      <c r="H1059" s="81" t="str">
        <f aca="false">IF(C1059="","",IF(G1059="ACCEPTÉ","OUI","NON"))</f>
        <v/>
      </c>
      <c r="I1059" s="82"/>
      <c r="J1059" s="79"/>
      <c r="K1059" s="80"/>
      <c r="L1059" s="80"/>
      <c r="M1059" s="80"/>
      <c r="N1059" s="83" t="str">
        <f aca="false">IF(C1059="","",IF(I1059="",IF(H1059="OUI","À ENROBER",IF(G1059="À SOUDER","NON SOUDÉ","EN ATTENTE RT")),IF(L1059="R","À REPRENDRE",IF(H1059&lt;&gt;"OUI","⚠ ENROBÉ AVANT ACCEPTATION RT","ENROBÉ"))))</f>
        <v/>
      </c>
      <c r="O1059" s="79"/>
    </row>
    <row r="1060" customFormat="false" ht="15" hidden="false" customHeight="false" outlineLevel="0" collapsed="false">
      <c r="A1060" s="78" t="str">
        <f aca="false">IF('CARNET DE SOUDURE'!E1060="","",'CARNET DE SOUDURE'!A1060)</f>
        <v/>
      </c>
      <c r="B1060" s="93" t="str">
        <f aca="false">IF('CARNET DE SOUDURE'!E1060="","",'CARNET DE SOUDURE'!B1060&amp;"")</f>
        <v/>
      </c>
      <c r="C1060" s="83" t="str">
        <f aca="false">IF('CARNET DE SOUDURE'!E1060="","",'CARNET DE SOUDURE'!E1060)</f>
        <v/>
      </c>
      <c r="D1060" s="78" t="str">
        <f aca="false">IF('CARNET DE SOUDURE'!E1060="","",'CARNET DE SOUDURE'!D1060&amp;"")</f>
        <v/>
      </c>
      <c r="E1060" s="96" t="str">
        <f aca="false">IF(OR('CARNET DE SOUDURE'!E1060="",'CARNET DE SOUDURE'!R1060=""),"",'CARNET DE SOUDURE'!R1060)</f>
        <v/>
      </c>
      <c r="F1060" s="81" t="str">
        <f aca="false">IF('CARNET DE SOUDURE'!E1060="","",'CARNET DE SOUDURE'!AL1060)</f>
        <v/>
      </c>
      <c r="G1060" s="81" t="str">
        <f aca="false">IF('CARNET DE SOUDURE'!E1060="","",'CARNET DE SOUDURE'!AM1060)</f>
        <v/>
      </c>
      <c r="H1060" s="81" t="str">
        <f aca="false">IF(C1060="","",IF(G1060="ACCEPTÉ","OUI","NON"))</f>
        <v/>
      </c>
      <c r="I1060" s="82"/>
      <c r="J1060" s="79"/>
      <c r="K1060" s="80"/>
      <c r="L1060" s="80"/>
      <c r="M1060" s="80"/>
      <c r="N1060" s="83" t="str">
        <f aca="false">IF(C1060="","",IF(I1060="",IF(H1060="OUI","À ENROBER",IF(G1060="À SOUDER","NON SOUDÉ","EN ATTENTE RT")),IF(L1060="R","À REPRENDRE",IF(H1060&lt;&gt;"OUI","⚠ ENROBÉ AVANT ACCEPTATION RT","ENROBÉ"))))</f>
        <v/>
      </c>
      <c r="O1060" s="79"/>
    </row>
    <row r="1061" customFormat="false" ht="15" hidden="false" customHeight="false" outlineLevel="0" collapsed="false">
      <c r="A1061" s="78" t="str">
        <f aca="false">IF('CARNET DE SOUDURE'!E1061="","",'CARNET DE SOUDURE'!A1061)</f>
        <v/>
      </c>
      <c r="B1061" s="93" t="str">
        <f aca="false">IF('CARNET DE SOUDURE'!E1061="","",'CARNET DE SOUDURE'!B1061&amp;"")</f>
        <v/>
      </c>
      <c r="C1061" s="83" t="str">
        <f aca="false">IF('CARNET DE SOUDURE'!E1061="","",'CARNET DE SOUDURE'!E1061)</f>
        <v/>
      </c>
      <c r="D1061" s="78" t="str">
        <f aca="false">IF('CARNET DE SOUDURE'!E1061="","",'CARNET DE SOUDURE'!D1061&amp;"")</f>
        <v/>
      </c>
      <c r="E1061" s="96" t="str">
        <f aca="false">IF(OR('CARNET DE SOUDURE'!E1061="",'CARNET DE SOUDURE'!R1061=""),"",'CARNET DE SOUDURE'!R1061)</f>
        <v/>
      </c>
      <c r="F1061" s="81" t="str">
        <f aca="false">IF('CARNET DE SOUDURE'!E1061="","",'CARNET DE SOUDURE'!AL1061)</f>
        <v/>
      </c>
      <c r="G1061" s="81" t="str">
        <f aca="false">IF('CARNET DE SOUDURE'!E1061="","",'CARNET DE SOUDURE'!AM1061)</f>
        <v/>
      </c>
      <c r="H1061" s="81" t="str">
        <f aca="false">IF(C1061="","",IF(G1061="ACCEPTÉ","OUI","NON"))</f>
        <v/>
      </c>
      <c r="I1061" s="82"/>
      <c r="J1061" s="79"/>
      <c r="K1061" s="80"/>
      <c r="L1061" s="80"/>
      <c r="M1061" s="80"/>
      <c r="N1061" s="83" t="str">
        <f aca="false">IF(C1061="","",IF(I1061="",IF(H1061="OUI","À ENROBER",IF(G1061="À SOUDER","NON SOUDÉ","EN ATTENTE RT")),IF(L1061="R","À REPRENDRE",IF(H1061&lt;&gt;"OUI","⚠ ENROBÉ AVANT ACCEPTATION RT","ENROBÉ"))))</f>
        <v/>
      </c>
      <c r="O1061" s="79"/>
    </row>
    <row r="1062" customFormat="false" ht="15" hidden="false" customHeight="false" outlineLevel="0" collapsed="false">
      <c r="A1062" s="78" t="str">
        <f aca="false">IF('CARNET DE SOUDURE'!E1062="","",'CARNET DE SOUDURE'!A1062)</f>
        <v/>
      </c>
      <c r="B1062" s="93" t="str">
        <f aca="false">IF('CARNET DE SOUDURE'!E1062="","",'CARNET DE SOUDURE'!B1062&amp;"")</f>
        <v/>
      </c>
      <c r="C1062" s="83" t="str">
        <f aca="false">IF('CARNET DE SOUDURE'!E1062="","",'CARNET DE SOUDURE'!E1062)</f>
        <v/>
      </c>
      <c r="D1062" s="78" t="str">
        <f aca="false">IF('CARNET DE SOUDURE'!E1062="","",'CARNET DE SOUDURE'!D1062&amp;"")</f>
        <v/>
      </c>
      <c r="E1062" s="96" t="str">
        <f aca="false">IF(OR('CARNET DE SOUDURE'!E1062="",'CARNET DE SOUDURE'!R1062=""),"",'CARNET DE SOUDURE'!R1062)</f>
        <v/>
      </c>
      <c r="F1062" s="81" t="str">
        <f aca="false">IF('CARNET DE SOUDURE'!E1062="","",'CARNET DE SOUDURE'!AL1062)</f>
        <v/>
      </c>
      <c r="G1062" s="81" t="str">
        <f aca="false">IF('CARNET DE SOUDURE'!E1062="","",'CARNET DE SOUDURE'!AM1062)</f>
        <v/>
      </c>
      <c r="H1062" s="81" t="str">
        <f aca="false">IF(C1062="","",IF(G1062="ACCEPTÉ","OUI","NON"))</f>
        <v/>
      </c>
      <c r="I1062" s="82"/>
      <c r="J1062" s="79"/>
      <c r="K1062" s="80"/>
      <c r="L1062" s="80"/>
      <c r="M1062" s="80"/>
      <c r="N1062" s="83" t="str">
        <f aca="false">IF(C1062="","",IF(I1062="",IF(H1062="OUI","À ENROBER",IF(G1062="À SOUDER","NON SOUDÉ","EN ATTENTE RT")),IF(L1062="R","À REPRENDRE",IF(H1062&lt;&gt;"OUI","⚠ ENROBÉ AVANT ACCEPTATION RT","ENROBÉ"))))</f>
        <v/>
      </c>
      <c r="O1062" s="79"/>
    </row>
    <row r="1063" customFormat="false" ht="15" hidden="false" customHeight="false" outlineLevel="0" collapsed="false">
      <c r="A1063" s="78" t="str">
        <f aca="false">IF('CARNET DE SOUDURE'!E1063="","",'CARNET DE SOUDURE'!A1063)</f>
        <v/>
      </c>
      <c r="B1063" s="93" t="str">
        <f aca="false">IF('CARNET DE SOUDURE'!E1063="","",'CARNET DE SOUDURE'!B1063&amp;"")</f>
        <v/>
      </c>
      <c r="C1063" s="83" t="str">
        <f aca="false">IF('CARNET DE SOUDURE'!E1063="","",'CARNET DE SOUDURE'!E1063)</f>
        <v/>
      </c>
      <c r="D1063" s="78" t="str">
        <f aca="false">IF('CARNET DE SOUDURE'!E1063="","",'CARNET DE SOUDURE'!D1063&amp;"")</f>
        <v/>
      </c>
      <c r="E1063" s="96" t="str">
        <f aca="false">IF(OR('CARNET DE SOUDURE'!E1063="",'CARNET DE SOUDURE'!R1063=""),"",'CARNET DE SOUDURE'!R1063)</f>
        <v/>
      </c>
      <c r="F1063" s="81" t="str">
        <f aca="false">IF('CARNET DE SOUDURE'!E1063="","",'CARNET DE SOUDURE'!AL1063)</f>
        <v/>
      </c>
      <c r="G1063" s="81" t="str">
        <f aca="false">IF('CARNET DE SOUDURE'!E1063="","",'CARNET DE SOUDURE'!AM1063)</f>
        <v/>
      </c>
      <c r="H1063" s="81" t="str">
        <f aca="false">IF(C1063="","",IF(G1063="ACCEPTÉ","OUI","NON"))</f>
        <v/>
      </c>
      <c r="I1063" s="82"/>
      <c r="J1063" s="79"/>
      <c r="K1063" s="80"/>
      <c r="L1063" s="80"/>
      <c r="M1063" s="80"/>
      <c r="N1063" s="83" t="str">
        <f aca="false">IF(C1063="","",IF(I1063="",IF(H1063="OUI","À ENROBER",IF(G1063="À SOUDER","NON SOUDÉ","EN ATTENTE RT")),IF(L1063="R","À REPRENDRE",IF(H1063&lt;&gt;"OUI","⚠ ENROBÉ AVANT ACCEPTATION RT","ENROBÉ"))))</f>
        <v/>
      </c>
      <c r="O1063" s="79"/>
    </row>
    <row r="1064" customFormat="false" ht="15" hidden="false" customHeight="false" outlineLevel="0" collapsed="false">
      <c r="A1064" s="78" t="str">
        <f aca="false">IF('CARNET DE SOUDURE'!E1064="","",'CARNET DE SOUDURE'!A1064)</f>
        <v/>
      </c>
      <c r="B1064" s="93" t="str">
        <f aca="false">IF('CARNET DE SOUDURE'!E1064="","",'CARNET DE SOUDURE'!B1064&amp;"")</f>
        <v/>
      </c>
      <c r="C1064" s="83" t="str">
        <f aca="false">IF('CARNET DE SOUDURE'!E1064="","",'CARNET DE SOUDURE'!E1064)</f>
        <v/>
      </c>
      <c r="D1064" s="78" t="str">
        <f aca="false">IF('CARNET DE SOUDURE'!E1064="","",'CARNET DE SOUDURE'!D1064&amp;"")</f>
        <v/>
      </c>
      <c r="E1064" s="96" t="str">
        <f aca="false">IF(OR('CARNET DE SOUDURE'!E1064="",'CARNET DE SOUDURE'!R1064=""),"",'CARNET DE SOUDURE'!R1064)</f>
        <v/>
      </c>
      <c r="F1064" s="81" t="str">
        <f aca="false">IF('CARNET DE SOUDURE'!E1064="","",'CARNET DE SOUDURE'!AL1064)</f>
        <v/>
      </c>
      <c r="G1064" s="81" t="str">
        <f aca="false">IF('CARNET DE SOUDURE'!E1064="","",'CARNET DE SOUDURE'!AM1064)</f>
        <v/>
      </c>
      <c r="H1064" s="81" t="str">
        <f aca="false">IF(C1064="","",IF(G1064="ACCEPTÉ","OUI","NON"))</f>
        <v/>
      </c>
      <c r="I1064" s="82"/>
      <c r="J1064" s="79"/>
      <c r="K1064" s="80"/>
      <c r="L1064" s="80"/>
      <c r="M1064" s="80"/>
      <c r="N1064" s="83" t="str">
        <f aca="false">IF(C1064="","",IF(I1064="",IF(H1064="OUI","À ENROBER",IF(G1064="À SOUDER","NON SOUDÉ","EN ATTENTE RT")),IF(L1064="R","À REPRENDRE",IF(H1064&lt;&gt;"OUI","⚠ ENROBÉ AVANT ACCEPTATION RT","ENROBÉ"))))</f>
        <v/>
      </c>
      <c r="O1064" s="79"/>
    </row>
    <row r="1065" customFormat="false" ht="15" hidden="false" customHeight="false" outlineLevel="0" collapsed="false">
      <c r="A1065" s="78" t="str">
        <f aca="false">IF('CARNET DE SOUDURE'!E1065="","",'CARNET DE SOUDURE'!A1065)</f>
        <v/>
      </c>
      <c r="B1065" s="93" t="str">
        <f aca="false">IF('CARNET DE SOUDURE'!E1065="","",'CARNET DE SOUDURE'!B1065&amp;"")</f>
        <v/>
      </c>
      <c r="C1065" s="83" t="str">
        <f aca="false">IF('CARNET DE SOUDURE'!E1065="","",'CARNET DE SOUDURE'!E1065)</f>
        <v/>
      </c>
      <c r="D1065" s="78" t="str">
        <f aca="false">IF('CARNET DE SOUDURE'!E1065="","",'CARNET DE SOUDURE'!D1065&amp;"")</f>
        <v/>
      </c>
      <c r="E1065" s="96" t="str">
        <f aca="false">IF(OR('CARNET DE SOUDURE'!E1065="",'CARNET DE SOUDURE'!R1065=""),"",'CARNET DE SOUDURE'!R1065)</f>
        <v/>
      </c>
      <c r="F1065" s="81" t="str">
        <f aca="false">IF('CARNET DE SOUDURE'!E1065="","",'CARNET DE SOUDURE'!AL1065)</f>
        <v/>
      </c>
      <c r="G1065" s="81" t="str">
        <f aca="false">IF('CARNET DE SOUDURE'!E1065="","",'CARNET DE SOUDURE'!AM1065)</f>
        <v/>
      </c>
      <c r="H1065" s="81" t="str">
        <f aca="false">IF(C1065="","",IF(G1065="ACCEPTÉ","OUI","NON"))</f>
        <v/>
      </c>
      <c r="I1065" s="82"/>
      <c r="J1065" s="79"/>
      <c r="K1065" s="80"/>
      <c r="L1065" s="80"/>
      <c r="M1065" s="80"/>
      <c r="N1065" s="83" t="str">
        <f aca="false">IF(C1065="","",IF(I1065="",IF(H1065="OUI","À ENROBER",IF(G1065="À SOUDER","NON SOUDÉ","EN ATTENTE RT")),IF(L1065="R","À REPRENDRE",IF(H1065&lt;&gt;"OUI","⚠ ENROBÉ AVANT ACCEPTATION RT","ENROBÉ"))))</f>
        <v/>
      </c>
      <c r="O1065" s="79"/>
    </row>
    <row r="1066" customFormat="false" ht="15" hidden="false" customHeight="false" outlineLevel="0" collapsed="false">
      <c r="A1066" s="78" t="str">
        <f aca="false">IF('CARNET DE SOUDURE'!E1066="","",'CARNET DE SOUDURE'!A1066)</f>
        <v/>
      </c>
      <c r="B1066" s="93" t="str">
        <f aca="false">IF('CARNET DE SOUDURE'!E1066="","",'CARNET DE SOUDURE'!B1066&amp;"")</f>
        <v/>
      </c>
      <c r="C1066" s="83" t="str">
        <f aca="false">IF('CARNET DE SOUDURE'!E1066="","",'CARNET DE SOUDURE'!E1066)</f>
        <v/>
      </c>
      <c r="D1066" s="78" t="str">
        <f aca="false">IF('CARNET DE SOUDURE'!E1066="","",'CARNET DE SOUDURE'!D1066&amp;"")</f>
        <v/>
      </c>
      <c r="E1066" s="96" t="str">
        <f aca="false">IF(OR('CARNET DE SOUDURE'!E1066="",'CARNET DE SOUDURE'!R1066=""),"",'CARNET DE SOUDURE'!R1066)</f>
        <v/>
      </c>
      <c r="F1066" s="81" t="str">
        <f aca="false">IF('CARNET DE SOUDURE'!E1066="","",'CARNET DE SOUDURE'!AL1066)</f>
        <v/>
      </c>
      <c r="G1066" s="81" t="str">
        <f aca="false">IF('CARNET DE SOUDURE'!E1066="","",'CARNET DE SOUDURE'!AM1066)</f>
        <v/>
      </c>
      <c r="H1066" s="81" t="str">
        <f aca="false">IF(C1066="","",IF(G1066="ACCEPTÉ","OUI","NON"))</f>
        <v/>
      </c>
      <c r="I1066" s="82"/>
      <c r="J1066" s="79"/>
      <c r="K1066" s="80"/>
      <c r="L1066" s="80"/>
      <c r="M1066" s="80"/>
      <c r="N1066" s="83" t="str">
        <f aca="false">IF(C1066="","",IF(I1066="",IF(H1066="OUI","À ENROBER",IF(G1066="À SOUDER","NON SOUDÉ","EN ATTENTE RT")),IF(L1066="R","À REPRENDRE",IF(H1066&lt;&gt;"OUI","⚠ ENROBÉ AVANT ACCEPTATION RT","ENROBÉ"))))</f>
        <v/>
      </c>
      <c r="O1066" s="79"/>
    </row>
    <row r="1067" customFormat="false" ht="15" hidden="false" customHeight="false" outlineLevel="0" collapsed="false">
      <c r="A1067" s="78" t="str">
        <f aca="false">IF('CARNET DE SOUDURE'!E1067="","",'CARNET DE SOUDURE'!A1067)</f>
        <v/>
      </c>
      <c r="B1067" s="93" t="str">
        <f aca="false">IF('CARNET DE SOUDURE'!E1067="","",'CARNET DE SOUDURE'!B1067&amp;"")</f>
        <v/>
      </c>
      <c r="C1067" s="83" t="str">
        <f aca="false">IF('CARNET DE SOUDURE'!E1067="","",'CARNET DE SOUDURE'!E1067)</f>
        <v/>
      </c>
      <c r="D1067" s="78" t="str">
        <f aca="false">IF('CARNET DE SOUDURE'!E1067="","",'CARNET DE SOUDURE'!D1067&amp;"")</f>
        <v/>
      </c>
      <c r="E1067" s="96" t="str">
        <f aca="false">IF(OR('CARNET DE SOUDURE'!E1067="",'CARNET DE SOUDURE'!R1067=""),"",'CARNET DE SOUDURE'!R1067)</f>
        <v/>
      </c>
      <c r="F1067" s="81" t="str">
        <f aca="false">IF('CARNET DE SOUDURE'!E1067="","",'CARNET DE SOUDURE'!AL1067)</f>
        <v/>
      </c>
      <c r="G1067" s="81" t="str">
        <f aca="false">IF('CARNET DE SOUDURE'!E1067="","",'CARNET DE SOUDURE'!AM1067)</f>
        <v/>
      </c>
      <c r="H1067" s="81" t="str">
        <f aca="false">IF(C1067="","",IF(G1067="ACCEPTÉ","OUI","NON"))</f>
        <v/>
      </c>
      <c r="I1067" s="82"/>
      <c r="J1067" s="79"/>
      <c r="K1067" s="80"/>
      <c r="L1067" s="80"/>
      <c r="M1067" s="80"/>
      <c r="N1067" s="83" t="str">
        <f aca="false">IF(C1067="","",IF(I1067="",IF(H1067="OUI","À ENROBER",IF(G1067="À SOUDER","NON SOUDÉ","EN ATTENTE RT")),IF(L1067="R","À REPRENDRE",IF(H1067&lt;&gt;"OUI","⚠ ENROBÉ AVANT ACCEPTATION RT","ENROBÉ"))))</f>
        <v/>
      </c>
      <c r="O1067" s="79"/>
    </row>
    <row r="1068" customFormat="false" ht="15" hidden="false" customHeight="false" outlineLevel="0" collapsed="false">
      <c r="A1068" s="78" t="str">
        <f aca="false">IF('CARNET DE SOUDURE'!E1068="","",'CARNET DE SOUDURE'!A1068)</f>
        <v/>
      </c>
      <c r="B1068" s="93" t="str">
        <f aca="false">IF('CARNET DE SOUDURE'!E1068="","",'CARNET DE SOUDURE'!B1068&amp;"")</f>
        <v/>
      </c>
      <c r="C1068" s="83" t="str">
        <f aca="false">IF('CARNET DE SOUDURE'!E1068="","",'CARNET DE SOUDURE'!E1068)</f>
        <v/>
      </c>
      <c r="D1068" s="78" t="str">
        <f aca="false">IF('CARNET DE SOUDURE'!E1068="","",'CARNET DE SOUDURE'!D1068&amp;"")</f>
        <v/>
      </c>
      <c r="E1068" s="96" t="str">
        <f aca="false">IF(OR('CARNET DE SOUDURE'!E1068="",'CARNET DE SOUDURE'!R1068=""),"",'CARNET DE SOUDURE'!R1068)</f>
        <v/>
      </c>
      <c r="F1068" s="81" t="str">
        <f aca="false">IF('CARNET DE SOUDURE'!E1068="","",'CARNET DE SOUDURE'!AL1068)</f>
        <v/>
      </c>
      <c r="G1068" s="81" t="str">
        <f aca="false">IF('CARNET DE SOUDURE'!E1068="","",'CARNET DE SOUDURE'!AM1068)</f>
        <v/>
      </c>
      <c r="H1068" s="81" t="str">
        <f aca="false">IF(C1068="","",IF(G1068="ACCEPTÉ","OUI","NON"))</f>
        <v/>
      </c>
      <c r="I1068" s="82"/>
      <c r="J1068" s="79"/>
      <c r="K1068" s="80"/>
      <c r="L1068" s="80"/>
      <c r="M1068" s="80"/>
      <c r="N1068" s="83" t="str">
        <f aca="false">IF(C1068="","",IF(I1068="",IF(H1068="OUI","À ENROBER",IF(G1068="À SOUDER","NON SOUDÉ","EN ATTENTE RT")),IF(L1068="R","À REPRENDRE",IF(H1068&lt;&gt;"OUI","⚠ ENROBÉ AVANT ACCEPTATION RT","ENROBÉ"))))</f>
        <v/>
      </c>
      <c r="O1068" s="79"/>
    </row>
    <row r="1069" customFormat="false" ht="15" hidden="false" customHeight="false" outlineLevel="0" collapsed="false">
      <c r="A1069" s="78" t="str">
        <f aca="false">IF('CARNET DE SOUDURE'!E1069="","",'CARNET DE SOUDURE'!A1069)</f>
        <v/>
      </c>
      <c r="B1069" s="93" t="str">
        <f aca="false">IF('CARNET DE SOUDURE'!E1069="","",'CARNET DE SOUDURE'!B1069&amp;"")</f>
        <v/>
      </c>
      <c r="C1069" s="83" t="str">
        <f aca="false">IF('CARNET DE SOUDURE'!E1069="","",'CARNET DE SOUDURE'!E1069)</f>
        <v/>
      </c>
      <c r="D1069" s="78" t="str">
        <f aca="false">IF('CARNET DE SOUDURE'!E1069="","",'CARNET DE SOUDURE'!D1069&amp;"")</f>
        <v/>
      </c>
      <c r="E1069" s="96" t="str">
        <f aca="false">IF(OR('CARNET DE SOUDURE'!E1069="",'CARNET DE SOUDURE'!R1069=""),"",'CARNET DE SOUDURE'!R1069)</f>
        <v/>
      </c>
      <c r="F1069" s="81" t="str">
        <f aca="false">IF('CARNET DE SOUDURE'!E1069="","",'CARNET DE SOUDURE'!AL1069)</f>
        <v/>
      </c>
      <c r="G1069" s="81" t="str">
        <f aca="false">IF('CARNET DE SOUDURE'!E1069="","",'CARNET DE SOUDURE'!AM1069)</f>
        <v/>
      </c>
      <c r="H1069" s="81" t="str">
        <f aca="false">IF(C1069="","",IF(G1069="ACCEPTÉ","OUI","NON"))</f>
        <v/>
      </c>
      <c r="I1069" s="82"/>
      <c r="J1069" s="79"/>
      <c r="K1069" s="80"/>
      <c r="L1069" s="80"/>
      <c r="M1069" s="80"/>
      <c r="N1069" s="83" t="str">
        <f aca="false">IF(C1069="","",IF(I1069="",IF(H1069="OUI","À ENROBER",IF(G1069="À SOUDER","NON SOUDÉ","EN ATTENTE RT")),IF(L1069="R","À REPRENDRE",IF(H1069&lt;&gt;"OUI","⚠ ENROBÉ AVANT ACCEPTATION RT","ENROBÉ"))))</f>
        <v/>
      </c>
      <c r="O1069" s="79"/>
    </row>
    <row r="1070" customFormat="false" ht="15" hidden="false" customHeight="false" outlineLevel="0" collapsed="false">
      <c r="A1070" s="78" t="str">
        <f aca="false">IF('CARNET DE SOUDURE'!E1070="","",'CARNET DE SOUDURE'!A1070)</f>
        <v/>
      </c>
      <c r="B1070" s="93" t="str">
        <f aca="false">IF('CARNET DE SOUDURE'!E1070="","",'CARNET DE SOUDURE'!B1070&amp;"")</f>
        <v/>
      </c>
      <c r="C1070" s="83" t="str">
        <f aca="false">IF('CARNET DE SOUDURE'!E1070="","",'CARNET DE SOUDURE'!E1070)</f>
        <v/>
      </c>
      <c r="D1070" s="78" t="str">
        <f aca="false">IF('CARNET DE SOUDURE'!E1070="","",'CARNET DE SOUDURE'!D1070&amp;"")</f>
        <v/>
      </c>
      <c r="E1070" s="96" t="str">
        <f aca="false">IF(OR('CARNET DE SOUDURE'!E1070="",'CARNET DE SOUDURE'!R1070=""),"",'CARNET DE SOUDURE'!R1070)</f>
        <v/>
      </c>
      <c r="F1070" s="81" t="str">
        <f aca="false">IF('CARNET DE SOUDURE'!E1070="","",'CARNET DE SOUDURE'!AL1070)</f>
        <v/>
      </c>
      <c r="G1070" s="81" t="str">
        <f aca="false">IF('CARNET DE SOUDURE'!E1070="","",'CARNET DE SOUDURE'!AM1070)</f>
        <v/>
      </c>
      <c r="H1070" s="81" t="str">
        <f aca="false">IF(C1070="","",IF(G1070="ACCEPTÉ","OUI","NON"))</f>
        <v/>
      </c>
      <c r="I1070" s="82"/>
      <c r="J1070" s="79"/>
      <c r="K1070" s="80"/>
      <c r="L1070" s="80"/>
      <c r="M1070" s="80"/>
      <c r="N1070" s="83" t="str">
        <f aca="false">IF(C1070="","",IF(I1070="",IF(H1070="OUI","À ENROBER",IF(G1070="À SOUDER","NON SOUDÉ","EN ATTENTE RT")),IF(L1070="R","À REPRENDRE",IF(H1070&lt;&gt;"OUI","⚠ ENROBÉ AVANT ACCEPTATION RT","ENROBÉ"))))</f>
        <v/>
      </c>
      <c r="O1070" s="79"/>
    </row>
    <row r="1071" customFormat="false" ht="15" hidden="false" customHeight="false" outlineLevel="0" collapsed="false">
      <c r="A1071" s="78" t="str">
        <f aca="false">IF('CARNET DE SOUDURE'!E1071="","",'CARNET DE SOUDURE'!A1071)</f>
        <v/>
      </c>
      <c r="B1071" s="93" t="str">
        <f aca="false">IF('CARNET DE SOUDURE'!E1071="","",'CARNET DE SOUDURE'!B1071&amp;"")</f>
        <v/>
      </c>
      <c r="C1071" s="83" t="str">
        <f aca="false">IF('CARNET DE SOUDURE'!E1071="","",'CARNET DE SOUDURE'!E1071)</f>
        <v/>
      </c>
      <c r="D1071" s="78" t="str">
        <f aca="false">IF('CARNET DE SOUDURE'!E1071="","",'CARNET DE SOUDURE'!D1071&amp;"")</f>
        <v/>
      </c>
      <c r="E1071" s="96" t="str">
        <f aca="false">IF(OR('CARNET DE SOUDURE'!E1071="",'CARNET DE SOUDURE'!R1071=""),"",'CARNET DE SOUDURE'!R1071)</f>
        <v/>
      </c>
      <c r="F1071" s="81" t="str">
        <f aca="false">IF('CARNET DE SOUDURE'!E1071="","",'CARNET DE SOUDURE'!AL1071)</f>
        <v/>
      </c>
      <c r="G1071" s="81" t="str">
        <f aca="false">IF('CARNET DE SOUDURE'!E1071="","",'CARNET DE SOUDURE'!AM1071)</f>
        <v/>
      </c>
      <c r="H1071" s="81" t="str">
        <f aca="false">IF(C1071="","",IF(G1071="ACCEPTÉ","OUI","NON"))</f>
        <v/>
      </c>
      <c r="I1071" s="82"/>
      <c r="J1071" s="79"/>
      <c r="K1071" s="80"/>
      <c r="L1071" s="80"/>
      <c r="M1071" s="80"/>
      <c r="N1071" s="83" t="str">
        <f aca="false">IF(C1071="","",IF(I1071="",IF(H1071="OUI","À ENROBER",IF(G1071="À SOUDER","NON SOUDÉ","EN ATTENTE RT")),IF(L1071="R","À REPRENDRE",IF(H1071&lt;&gt;"OUI","⚠ ENROBÉ AVANT ACCEPTATION RT","ENROBÉ"))))</f>
        <v/>
      </c>
      <c r="O1071" s="79"/>
    </row>
    <row r="1072" customFormat="false" ht="15" hidden="false" customHeight="false" outlineLevel="0" collapsed="false">
      <c r="A1072" s="78" t="str">
        <f aca="false">IF('CARNET DE SOUDURE'!E1072="","",'CARNET DE SOUDURE'!A1072)</f>
        <v/>
      </c>
      <c r="B1072" s="93" t="str">
        <f aca="false">IF('CARNET DE SOUDURE'!E1072="","",'CARNET DE SOUDURE'!B1072&amp;"")</f>
        <v/>
      </c>
      <c r="C1072" s="83" t="str">
        <f aca="false">IF('CARNET DE SOUDURE'!E1072="","",'CARNET DE SOUDURE'!E1072)</f>
        <v/>
      </c>
      <c r="D1072" s="78" t="str">
        <f aca="false">IF('CARNET DE SOUDURE'!E1072="","",'CARNET DE SOUDURE'!D1072&amp;"")</f>
        <v/>
      </c>
      <c r="E1072" s="96" t="str">
        <f aca="false">IF(OR('CARNET DE SOUDURE'!E1072="",'CARNET DE SOUDURE'!R1072=""),"",'CARNET DE SOUDURE'!R1072)</f>
        <v/>
      </c>
      <c r="F1072" s="81" t="str">
        <f aca="false">IF('CARNET DE SOUDURE'!E1072="","",'CARNET DE SOUDURE'!AL1072)</f>
        <v/>
      </c>
      <c r="G1072" s="81" t="str">
        <f aca="false">IF('CARNET DE SOUDURE'!E1072="","",'CARNET DE SOUDURE'!AM1072)</f>
        <v/>
      </c>
      <c r="H1072" s="81" t="str">
        <f aca="false">IF(C1072="","",IF(G1072="ACCEPTÉ","OUI","NON"))</f>
        <v/>
      </c>
      <c r="I1072" s="82"/>
      <c r="J1072" s="79"/>
      <c r="K1072" s="80"/>
      <c r="L1072" s="80"/>
      <c r="M1072" s="80"/>
      <c r="N1072" s="83" t="str">
        <f aca="false">IF(C1072="","",IF(I1072="",IF(H1072="OUI","À ENROBER",IF(G1072="À SOUDER","NON SOUDÉ","EN ATTENTE RT")),IF(L1072="R","À REPRENDRE",IF(H1072&lt;&gt;"OUI","⚠ ENROBÉ AVANT ACCEPTATION RT","ENROBÉ"))))</f>
        <v/>
      </c>
      <c r="O1072" s="79"/>
    </row>
    <row r="1073" customFormat="false" ht="15" hidden="false" customHeight="false" outlineLevel="0" collapsed="false">
      <c r="A1073" s="78" t="str">
        <f aca="false">IF('CARNET DE SOUDURE'!E1073="","",'CARNET DE SOUDURE'!A1073)</f>
        <v/>
      </c>
      <c r="B1073" s="93" t="str">
        <f aca="false">IF('CARNET DE SOUDURE'!E1073="","",'CARNET DE SOUDURE'!B1073&amp;"")</f>
        <v/>
      </c>
      <c r="C1073" s="83" t="str">
        <f aca="false">IF('CARNET DE SOUDURE'!E1073="","",'CARNET DE SOUDURE'!E1073)</f>
        <v/>
      </c>
      <c r="D1073" s="78" t="str">
        <f aca="false">IF('CARNET DE SOUDURE'!E1073="","",'CARNET DE SOUDURE'!D1073&amp;"")</f>
        <v/>
      </c>
      <c r="E1073" s="96" t="str">
        <f aca="false">IF(OR('CARNET DE SOUDURE'!E1073="",'CARNET DE SOUDURE'!R1073=""),"",'CARNET DE SOUDURE'!R1073)</f>
        <v/>
      </c>
      <c r="F1073" s="81" t="str">
        <f aca="false">IF('CARNET DE SOUDURE'!E1073="","",'CARNET DE SOUDURE'!AL1073)</f>
        <v/>
      </c>
      <c r="G1073" s="81" t="str">
        <f aca="false">IF('CARNET DE SOUDURE'!E1073="","",'CARNET DE SOUDURE'!AM1073)</f>
        <v/>
      </c>
      <c r="H1073" s="81" t="str">
        <f aca="false">IF(C1073="","",IF(G1073="ACCEPTÉ","OUI","NON"))</f>
        <v/>
      </c>
      <c r="I1073" s="82"/>
      <c r="J1073" s="79"/>
      <c r="K1073" s="80"/>
      <c r="L1073" s="80"/>
      <c r="M1073" s="80"/>
      <c r="N1073" s="83" t="str">
        <f aca="false">IF(C1073="","",IF(I1073="",IF(H1073="OUI","À ENROBER",IF(G1073="À SOUDER","NON SOUDÉ","EN ATTENTE RT")),IF(L1073="R","À REPRENDRE",IF(H1073&lt;&gt;"OUI","⚠ ENROBÉ AVANT ACCEPTATION RT","ENROBÉ"))))</f>
        <v/>
      </c>
      <c r="O1073" s="79"/>
    </row>
    <row r="1074" customFormat="false" ht="15" hidden="false" customHeight="false" outlineLevel="0" collapsed="false">
      <c r="A1074" s="78" t="str">
        <f aca="false">IF('CARNET DE SOUDURE'!E1074="","",'CARNET DE SOUDURE'!A1074)</f>
        <v/>
      </c>
      <c r="B1074" s="93" t="str">
        <f aca="false">IF('CARNET DE SOUDURE'!E1074="","",'CARNET DE SOUDURE'!B1074&amp;"")</f>
        <v/>
      </c>
      <c r="C1074" s="83" t="str">
        <f aca="false">IF('CARNET DE SOUDURE'!E1074="","",'CARNET DE SOUDURE'!E1074)</f>
        <v/>
      </c>
      <c r="D1074" s="78" t="str">
        <f aca="false">IF('CARNET DE SOUDURE'!E1074="","",'CARNET DE SOUDURE'!D1074&amp;"")</f>
        <v/>
      </c>
      <c r="E1074" s="96" t="str">
        <f aca="false">IF(OR('CARNET DE SOUDURE'!E1074="",'CARNET DE SOUDURE'!R1074=""),"",'CARNET DE SOUDURE'!R1074)</f>
        <v/>
      </c>
      <c r="F1074" s="81" t="str">
        <f aca="false">IF('CARNET DE SOUDURE'!E1074="","",'CARNET DE SOUDURE'!AL1074)</f>
        <v/>
      </c>
      <c r="G1074" s="81" t="str">
        <f aca="false">IF('CARNET DE SOUDURE'!E1074="","",'CARNET DE SOUDURE'!AM1074)</f>
        <v/>
      </c>
      <c r="H1074" s="81" t="str">
        <f aca="false">IF(C1074="","",IF(G1074="ACCEPTÉ","OUI","NON"))</f>
        <v/>
      </c>
      <c r="I1074" s="82"/>
      <c r="J1074" s="79"/>
      <c r="K1074" s="80"/>
      <c r="L1074" s="80"/>
      <c r="M1074" s="80"/>
      <c r="N1074" s="83" t="str">
        <f aca="false">IF(C1074="","",IF(I1074="",IF(H1074="OUI","À ENROBER",IF(G1074="À SOUDER","NON SOUDÉ","EN ATTENTE RT")),IF(L1074="R","À REPRENDRE",IF(H1074&lt;&gt;"OUI","⚠ ENROBÉ AVANT ACCEPTATION RT","ENROBÉ"))))</f>
        <v/>
      </c>
      <c r="O1074" s="79"/>
    </row>
    <row r="1075" customFormat="false" ht="15" hidden="false" customHeight="false" outlineLevel="0" collapsed="false">
      <c r="A1075" s="78" t="str">
        <f aca="false">IF('CARNET DE SOUDURE'!E1075="","",'CARNET DE SOUDURE'!A1075)</f>
        <v/>
      </c>
      <c r="B1075" s="93" t="str">
        <f aca="false">IF('CARNET DE SOUDURE'!E1075="","",'CARNET DE SOUDURE'!B1075&amp;"")</f>
        <v/>
      </c>
      <c r="C1075" s="83" t="str">
        <f aca="false">IF('CARNET DE SOUDURE'!E1075="","",'CARNET DE SOUDURE'!E1075)</f>
        <v/>
      </c>
      <c r="D1075" s="78" t="str">
        <f aca="false">IF('CARNET DE SOUDURE'!E1075="","",'CARNET DE SOUDURE'!D1075&amp;"")</f>
        <v/>
      </c>
      <c r="E1075" s="96" t="str">
        <f aca="false">IF(OR('CARNET DE SOUDURE'!E1075="",'CARNET DE SOUDURE'!R1075=""),"",'CARNET DE SOUDURE'!R1075)</f>
        <v/>
      </c>
      <c r="F1075" s="81" t="str">
        <f aca="false">IF('CARNET DE SOUDURE'!E1075="","",'CARNET DE SOUDURE'!AL1075)</f>
        <v/>
      </c>
      <c r="G1075" s="81" t="str">
        <f aca="false">IF('CARNET DE SOUDURE'!E1075="","",'CARNET DE SOUDURE'!AM1075)</f>
        <v/>
      </c>
      <c r="H1075" s="81" t="str">
        <f aca="false">IF(C1075="","",IF(G1075="ACCEPTÉ","OUI","NON"))</f>
        <v/>
      </c>
      <c r="I1075" s="82"/>
      <c r="J1075" s="79"/>
      <c r="K1075" s="80"/>
      <c r="L1075" s="80"/>
      <c r="M1075" s="80"/>
      <c r="N1075" s="83" t="str">
        <f aca="false">IF(C1075="","",IF(I1075="",IF(H1075="OUI","À ENROBER",IF(G1075="À SOUDER","NON SOUDÉ","EN ATTENTE RT")),IF(L1075="R","À REPRENDRE",IF(H1075&lt;&gt;"OUI","⚠ ENROBÉ AVANT ACCEPTATION RT","ENROBÉ"))))</f>
        <v/>
      </c>
      <c r="O1075" s="79"/>
    </row>
    <row r="1076" customFormat="false" ht="15" hidden="false" customHeight="false" outlineLevel="0" collapsed="false">
      <c r="A1076" s="78" t="str">
        <f aca="false">IF('CARNET DE SOUDURE'!E1076="","",'CARNET DE SOUDURE'!A1076)</f>
        <v/>
      </c>
      <c r="B1076" s="93" t="str">
        <f aca="false">IF('CARNET DE SOUDURE'!E1076="","",'CARNET DE SOUDURE'!B1076&amp;"")</f>
        <v/>
      </c>
      <c r="C1076" s="83" t="str">
        <f aca="false">IF('CARNET DE SOUDURE'!E1076="","",'CARNET DE SOUDURE'!E1076)</f>
        <v/>
      </c>
      <c r="D1076" s="78" t="str">
        <f aca="false">IF('CARNET DE SOUDURE'!E1076="","",'CARNET DE SOUDURE'!D1076&amp;"")</f>
        <v/>
      </c>
      <c r="E1076" s="96" t="str">
        <f aca="false">IF(OR('CARNET DE SOUDURE'!E1076="",'CARNET DE SOUDURE'!R1076=""),"",'CARNET DE SOUDURE'!R1076)</f>
        <v/>
      </c>
      <c r="F1076" s="81" t="str">
        <f aca="false">IF('CARNET DE SOUDURE'!E1076="","",'CARNET DE SOUDURE'!AL1076)</f>
        <v/>
      </c>
      <c r="G1076" s="81" t="str">
        <f aca="false">IF('CARNET DE SOUDURE'!E1076="","",'CARNET DE SOUDURE'!AM1076)</f>
        <v/>
      </c>
      <c r="H1076" s="81" t="str">
        <f aca="false">IF(C1076="","",IF(G1076="ACCEPTÉ","OUI","NON"))</f>
        <v/>
      </c>
      <c r="I1076" s="82"/>
      <c r="J1076" s="79"/>
      <c r="K1076" s="80"/>
      <c r="L1076" s="80"/>
      <c r="M1076" s="80"/>
      <c r="N1076" s="83" t="str">
        <f aca="false">IF(C1076="","",IF(I1076="",IF(H1076="OUI","À ENROBER",IF(G1076="À SOUDER","NON SOUDÉ","EN ATTENTE RT")),IF(L1076="R","À REPRENDRE",IF(H1076&lt;&gt;"OUI","⚠ ENROBÉ AVANT ACCEPTATION RT","ENROBÉ"))))</f>
        <v/>
      </c>
      <c r="O1076" s="79"/>
    </row>
    <row r="1077" customFormat="false" ht="15" hidden="false" customHeight="false" outlineLevel="0" collapsed="false">
      <c r="A1077" s="78" t="str">
        <f aca="false">IF('CARNET DE SOUDURE'!E1077="","",'CARNET DE SOUDURE'!A1077)</f>
        <v/>
      </c>
      <c r="B1077" s="93" t="str">
        <f aca="false">IF('CARNET DE SOUDURE'!E1077="","",'CARNET DE SOUDURE'!B1077&amp;"")</f>
        <v/>
      </c>
      <c r="C1077" s="83" t="str">
        <f aca="false">IF('CARNET DE SOUDURE'!E1077="","",'CARNET DE SOUDURE'!E1077)</f>
        <v/>
      </c>
      <c r="D1077" s="78" t="str">
        <f aca="false">IF('CARNET DE SOUDURE'!E1077="","",'CARNET DE SOUDURE'!D1077&amp;"")</f>
        <v/>
      </c>
      <c r="E1077" s="96" t="str">
        <f aca="false">IF(OR('CARNET DE SOUDURE'!E1077="",'CARNET DE SOUDURE'!R1077=""),"",'CARNET DE SOUDURE'!R1077)</f>
        <v/>
      </c>
      <c r="F1077" s="81" t="str">
        <f aca="false">IF('CARNET DE SOUDURE'!E1077="","",'CARNET DE SOUDURE'!AL1077)</f>
        <v/>
      </c>
      <c r="G1077" s="81" t="str">
        <f aca="false">IF('CARNET DE SOUDURE'!E1077="","",'CARNET DE SOUDURE'!AM1077)</f>
        <v/>
      </c>
      <c r="H1077" s="81" t="str">
        <f aca="false">IF(C1077="","",IF(G1077="ACCEPTÉ","OUI","NON"))</f>
        <v/>
      </c>
      <c r="I1077" s="82"/>
      <c r="J1077" s="79"/>
      <c r="K1077" s="80"/>
      <c r="L1077" s="80"/>
      <c r="M1077" s="80"/>
      <c r="N1077" s="83" t="str">
        <f aca="false">IF(C1077="","",IF(I1077="",IF(H1077="OUI","À ENROBER",IF(G1077="À SOUDER","NON SOUDÉ","EN ATTENTE RT")),IF(L1077="R","À REPRENDRE",IF(H1077&lt;&gt;"OUI","⚠ ENROBÉ AVANT ACCEPTATION RT","ENROBÉ"))))</f>
        <v/>
      </c>
      <c r="O1077" s="79"/>
    </row>
    <row r="1078" customFormat="false" ht="15" hidden="false" customHeight="false" outlineLevel="0" collapsed="false">
      <c r="A1078" s="78" t="str">
        <f aca="false">IF('CARNET DE SOUDURE'!E1078="","",'CARNET DE SOUDURE'!A1078)</f>
        <v/>
      </c>
      <c r="B1078" s="93" t="str">
        <f aca="false">IF('CARNET DE SOUDURE'!E1078="","",'CARNET DE SOUDURE'!B1078&amp;"")</f>
        <v/>
      </c>
      <c r="C1078" s="83" t="str">
        <f aca="false">IF('CARNET DE SOUDURE'!E1078="","",'CARNET DE SOUDURE'!E1078)</f>
        <v/>
      </c>
      <c r="D1078" s="78" t="str">
        <f aca="false">IF('CARNET DE SOUDURE'!E1078="","",'CARNET DE SOUDURE'!D1078&amp;"")</f>
        <v/>
      </c>
      <c r="E1078" s="96" t="str">
        <f aca="false">IF(OR('CARNET DE SOUDURE'!E1078="",'CARNET DE SOUDURE'!R1078=""),"",'CARNET DE SOUDURE'!R1078)</f>
        <v/>
      </c>
      <c r="F1078" s="81" t="str">
        <f aca="false">IF('CARNET DE SOUDURE'!E1078="","",'CARNET DE SOUDURE'!AL1078)</f>
        <v/>
      </c>
      <c r="G1078" s="81" t="str">
        <f aca="false">IF('CARNET DE SOUDURE'!E1078="","",'CARNET DE SOUDURE'!AM1078)</f>
        <v/>
      </c>
      <c r="H1078" s="81" t="str">
        <f aca="false">IF(C1078="","",IF(G1078="ACCEPTÉ","OUI","NON"))</f>
        <v/>
      </c>
      <c r="I1078" s="82"/>
      <c r="J1078" s="79"/>
      <c r="K1078" s="80"/>
      <c r="L1078" s="80"/>
      <c r="M1078" s="80"/>
      <c r="N1078" s="83" t="str">
        <f aca="false">IF(C1078="","",IF(I1078="",IF(H1078="OUI","À ENROBER",IF(G1078="À SOUDER","NON SOUDÉ","EN ATTENTE RT")),IF(L1078="R","À REPRENDRE",IF(H1078&lt;&gt;"OUI","⚠ ENROBÉ AVANT ACCEPTATION RT","ENROBÉ"))))</f>
        <v/>
      </c>
      <c r="O1078" s="79"/>
    </row>
    <row r="1079" customFormat="false" ht="15" hidden="false" customHeight="false" outlineLevel="0" collapsed="false">
      <c r="A1079" s="78" t="str">
        <f aca="false">IF('CARNET DE SOUDURE'!E1079="","",'CARNET DE SOUDURE'!A1079)</f>
        <v/>
      </c>
      <c r="B1079" s="93" t="str">
        <f aca="false">IF('CARNET DE SOUDURE'!E1079="","",'CARNET DE SOUDURE'!B1079&amp;"")</f>
        <v/>
      </c>
      <c r="C1079" s="83" t="str">
        <f aca="false">IF('CARNET DE SOUDURE'!E1079="","",'CARNET DE SOUDURE'!E1079)</f>
        <v/>
      </c>
      <c r="D1079" s="78" t="str">
        <f aca="false">IF('CARNET DE SOUDURE'!E1079="","",'CARNET DE SOUDURE'!D1079&amp;"")</f>
        <v/>
      </c>
      <c r="E1079" s="96" t="str">
        <f aca="false">IF(OR('CARNET DE SOUDURE'!E1079="",'CARNET DE SOUDURE'!R1079=""),"",'CARNET DE SOUDURE'!R1079)</f>
        <v/>
      </c>
      <c r="F1079" s="81" t="str">
        <f aca="false">IF('CARNET DE SOUDURE'!E1079="","",'CARNET DE SOUDURE'!AL1079)</f>
        <v/>
      </c>
      <c r="G1079" s="81" t="str">
        <f aca="false">IF('CARNET DE SOUDURE'!E1079="","",'CARNET DE SOUDURE'!AM1079)</f>
        <v/>
      </c>
      <c r="H1079" s="81" t="str">
        <f aca="false">IF(C1079="","",IF(G1079="ACCEPTÉ","OUI","NON"))</f>
        <v/>
      </c>
      <c r="I1079" s="82"/>
      <c r="J1079" s="79"/>
      <c r="K1079" s="80"/>
      <c r="L1079" s="80"/>
      <c r="M1079" s="80"/>
      <c r="N1079" s="83" t="str">
        <f aca="false">IF(C1079="","",IF(I1079="",IF(H1079="OUI","À ENROBER",IF(G1079="À SOUDER","NON SOUDÉ","EN ATTENTE RT")),IF(L1079="R","À REPRENDRE",IF(H1079&lt;&gt;"OUI","⚠ ENROBÉ AVANT ACCEPTATION RT","ENROBÉ"))))</f>
        <v/>
      </c>
      <c r="O1079" s="79"/>
    </row>
    <row r="1080" customFormat="false" ht="15" hidden="false" customHeight="false" outlineLevel="0" collapsed="false">
      <c r="A1080" s="78" t="str">
        <f aca="false">IF('CARNET DE SOUDURE'!E1080="","",'CARNET DE SOUDURE'!A1080)</f>
        <v/>
      </c>
      <c r="B1080" s="93" t="str">
        <f aca="false">IF('CARNET DE SOUDURE'!E1080="","",'CARNET DE SOUDURE'!B1080&amp;"")</f>
        <v/>
      </c>
      <c r="C1080" s="83" t="str">
        <f aca="false">IF('CARNET DE SOUDURE'!E1080="","",'CARNET DE SOUDURE'!E1080)</f>
        <v/>
      </c>
      <c r="D1080" s="78" t="str">
        <f aca="false">IF('CARNET DE SOUDURE'!E1080="","",'CARNET DE SOUDURE'!D1080&amp;"")</f>
        <v/>
      </c>
      <c r="E1080" s="96" t="str">
        <f aca="false">IF(OR('CARNET DE SOUDURE'!E1080="",'CARNET DE SOUDURE'!R1080=""),"",'CARNET DE SOUDURE'!R1080)</f>
        <v/>
      </c>
      <c r="F1080" s="81" t="str">
        <f aca="false">IF('CARNET DE SOUDURE'!E1080="","",'CARNET DE SOUDURE'!AL1080)</f>
        <v/>
      </c>
      <c r="G1080" s="81" t="str">
        <f aca="false">IF('CARNET DE SOUDURE'!E1080="","",'CARNET DE SOUDURE'!AM1080)</f>
        <v/>
      </c>
      <c r="H1080" s="81" t="str">
        <f aca="false">IF(C1080="","",IF(G1080="ACCEPTÉ","OUI","NON"))</f>
        <v/>
      </c>
      <c r="I1080" s="82"/>
      <c r="J1080" s="79"/>
      <c r="K1080" s="80"/>
      <c r="L1080" s="80"/>
      <c r="M1080" s="80"/>
      <c r="N1080" s="83" t="str">
        <f aca="false">IF(C1080="","",IF(I1080="",IF(H1080="OUI","À ENROBER",IF(G1080="À SOUDER","NON SOUDÉ","EN ATTENTE RT")),IF(L1080="R","À REPRENDRE",IF(H1080&lt;&gt;"OUI","⚠ ENROBÉ AVANT ACCEPTATION RT","ENROBÉ"))))</f>
        <v/>
      </c>
      <c r="O1080" s="79"/>
    </row>
    <row r="1081" customFormat="false" ht="15" hidden="false" customHeight="false" outlineLevel="0" collapsed="false">
      <c r="A1081" s="78" t="str">
        <f aca="false">IF('CARNET DE SOUDURE'!E1081="","",'CARNET DE SOUDURE'!A1081)</f>
        <v/>
      </c>
      <c r="B1081" s="93" t="str">
        <f aca="false">IF('CARNET DE SOUDURE'!E1081="","",'CARNET DE SOUDURE'!B1081&amp;"")</f>
        <v/>
      </c>
      <c r="C1081" s="83" t="str">
        <f aca="false">IF('CARNET DE SOUDURE'!E1081="","",'CARNET DE SOUDURE'!E1081)</f>
        <v/>
      </c>
      <c r="D1081" s="78" t="str">
        <f aca="false">IF('CARNET DE SOUDURE'!E1081="","",'CARNET DE SOUDURE'!D1081&amp;"")</f>
        <v/>
      </c>
      <c r="E1081" s="96" t="str">
        <f aca="false">IF(OR('CARNET DE SOUDURE'!E1081="",'CARNET DE SOUDURE'!R1081=""),"",'CARNET DE SOUDURE'!R1081)</f>
        <v/>
      </c>
      <c r="F1081" s="81" t="str">
        <f aca="false">IF('CARNET DE SOUDURE'!E1081="","",'CARNET DE SOUDURE'!AL1081)</f>
        <v/>
      </c>
      <c r="G1081" s="81" t="str">
        <f aca="false">IF('CARNET DE SOUDURE'!E1081="","",'CARNET DE SOUDURE'!AM1081)</f>
        <v/>
      </c>
      <c r="H1081" s="81" t="str">
        <f aca="false">IF(C1081="","",IF(G1081="ACCEPTÉ","OUI","NON"))</f>
        <v/>
      </c>
      <c r="I1081" s="82"/>
      <c r="J1081" s="79"/>
      <c r="K1081" s="80"/>
      <c r="L1081" s="80"/>
      <c r="M1081" s="80"/>
      <c r="N1081" s="83" t="str">
        <f aca="false">IF(C1081="","",IF(I1081="",IF(H1081="OUI","À ENROBER",IF(G1081="À SOUDER","NON SOUDÉ","EN ATTENTE RT")),IF(L1081="R","À REPRENDRE",IF(H1081&lt;&gt;"OUI","⚠ ENROBÉ AVANT ACCEPTATION RT","ENROBÉ"))))</f>
        <v/>
      </c>
      <c r="O1081" s="79"/>
    </row>
    <row r="1082" customFormat="false" ht="15" hidden="false" customHeight="false" outlineLevel="0" collapsed="false">
      <c r="A1082" s="78" t="str">
        <f aca="false">IF('CARNET DE SOUDURE'!E1082="","",'CARNET DE SOUDURE'!A1082)</f>
        <v/>
      </c>
      <c r="B1082" s="93" t="str">
        <f aca="false">IF('CARNET DE SOUDURE'!E1082="","",'CARNET DE SOUDURE'!B1082&amp;"")</f>
        <v/>
      </c>
      <c r="C1082" s="83" t="str">
        <f aca="false">IF('CARNET DE SOUDURE'!E1082="","",'CARNET DE SOUDURE'!E1082)</f>
        <v/>
      </c>
      <c r="D1082" s="78" t="str">
        <f aca="false">IF('CARNET DE SOUDURE'!E1082="","",'CARNET DE SOUDURE'!D1082&amp;"")</f>
        <v/>
      </c>
      <c r="E1082" s="96" t="str">
        <f aca="false">IF(OR('CARNET DE SOUDURE'!E1082="",'CARNET DE SOUDURE'!R1082=""),"",'CARNET DE SOUDURE'!R1082)</f>
        <v/>
      </c>
      <c r="F1082" s="81" t="str">
        <f aca="false">IF('CARNET DE SOUDURE'!E1082="","",'CARNET DE SOUDURE'!AL1082)</f>
        <v/>
      </c>
      <c r="G1082" s="81" t="str">
        <f aca="false">IF('CARNET DE SOUDURE'!E1082="","",'CARNET DE SOUDURE'!AM1082)</f>
        <v/>
      </c>
      <c r="H1082" s="81" t="str">
        <f aca="false">IF(C1082="","",IF(G1082="ACCEPTÉ","OUI","NON"))</f>
        <v/>
      </c>
      <c r="I1082" s="82"/>
      <c r="J1082" s="79"/>
      <c r="K1082" s="80"/>
      <c r="L1082" s="80"/>
      <c r="M1082" s="80"/>
      <c r="N1082" s="83" t="str">
        <f aca="false">IF(C1082="","",IF(I1082="",IF(H1082="OUI","À ENROBER",IF(G1082="À SOUDER","NON SOUDÉ","EN ATTENTE RT")),IF(L1082="R","À REPRENDRE",IF(H1082&lt;&gt;"OUI","⚠ ENROBÉ AVANT ACCEPTATION RT","ENROBÉ"))))</f>
        <v/>
      </c>
      <c r="O1082" s="79"/>
    </row>
    <row r="1083" customFormat="false" ht="15" hidden="false" customHeight="false" outlineLevel="0" collapsed="false">
      <c r="A1083" s="78" t="str">
        <f aca="false">IF('CARNET DE SOUDURE'!E1083="","",'CARNET DE SOUDURE'!A1083)</f>
        <v/>
      </c>
      <c r="B1083" s="93" t="str">
        <f aca="false">IF('CARNET DE SOUDURE'!E1083="","",'CARNET DE SOUDURE'!B1083&amp;"")</f>
        <v/>
      </c>
      <c r="C1083" s="83" t="str">
        <f aca="false">IF('CARNET DE SOUDURE'!E1083="","",'CARNET DE SOUDURE'!E1083)</f>
        <v/>
      </c>
      <c r="D1083" s="78" t="str">
        <f aca="false">IF('CARNET DE SOUDURE'!E1083="","",'CARNET DE SOUDURE'!D1083&amp;"")</f>
        <v/>
      </c>
      <c r="E1083" s="96" t="str">
        <f aca="false">IF(OR('CARNET DE SOUDURE'!E1083="",'CARNET DE SOUDURE'!R1083=""),"",'CARNET DE SOUDURE'!R1083)</f>
        <v/>
      </c>
      <c r="F1083" s="81" t="str">
        <f aca="false">IF('CARNET DE SOUDURE'!E1083="","",'CARNET DE SOUDURE'!AL1083)</f>
        <v/>
      </c>
      <c r="G1083" s="81" t="str">
        <f aca="false">IF('CARNET DE SOUDURE'!E1083="","",'CARNET DE SOUDURE'!AM1083)</f>
        <v/>
      </c>
      <c r="H1083" s="81" t="str">
        <f aca="false">IF(C1083="","",IF(G1083="ACCEPTÉ","OUI","NON"))</f>
        <v/>
      </c>
      <c r="I1083" s="82"/>
      <c r="J1083" s="79"/>
      <c r="K1083" s="80"/>
      <c r="L1083" s="80"/>
      <c r="M1083" s="80"/>
      <c r="N1083" s="83" t="str">
        <f aca="false">IF(C1083="","",IF(I1083="",IF(H1083="OUI","À ENROBER",IF(G1083="À SOUDER","NON SOUDÉ","EN ATTENTE RT")),IF(L1083="R","À REPRENDRE",IF(H1083&lt;&gt;"OUI","⚠ ENROBÉ AVANT ACCEPTATION RT","ENROBÉ"))))</f>
        <v/>
      </c>
      <c r="O1083" s="79"/>
    </row>
    <row r="1084" customFormat="false" ht="15" hidden="false" customHeight="false" outlineLevel="0" collapsed="false">
      <c r="A1084" s="78" t="str">
        <f aca="false">IF('CARNET DE SOUDURE'!E1084="","",'CARNET DE SOUDURE'!A1084)</f>
        <v/>
      </c>
      <c r="B1084" s="93" t="str">
        <f aca="false">IF('CARNET DE SOUDURE'!E1084="","",'CARNET DE SOUDURE'!B1084&amp;"")</f>
        <v/>
      </c>
      <c r="C1084" s="83" t="str">
        <f aca="false">IF('CARNET DE SOUDURE'!E1084="","",'CARNET DE SOUDURE'!E1084)</f>
        <v/>
      </c>
      <c r="D1084" s="78" t="str">
        <f aca="false">IF('CARNET DE SOUDURE'!E1084="","",'CARNET DE SOUDURE'!D1084&amp;"")</f>
        <v/>
      </c>
      <c r="E1084" s="96" t="str">
        <f aca="false">IF(OR('CARNET DE SOUDURE'!E1084="",'CARNET DE SOUDURE'!R1084=""),"",'CARNET DE SOUDURE'!R1084)</f>
        <v/>
      </c>
      <c r="F1084" s="81" t="str">
        <f aca="false">IF('CARNET DE SOUDURE'!E1084="","",'CARNET DE SOUDURE'!AL1084)</f>
        <v/>
      </c>
      <c r="G1084" s="81" t="str">
        <f aca="false">IF('CARNET DE SOUDURE'!E1084="","",'CARNET DE SOUDURE'!AM1084)</f>
        <v/>
      </c>
      <c r="H1084" s="81" t="str">
        <f aca="false">IF(C1084="","",IF(G1084="ACCEPTÉ","OUI","NON"))</f>
        <v/>
      </c>
      <c r="I1084" s="82"/>
      <c r="J1084" s="79"/>
      <c r="K1084" s="80"/>
      <c r="L1084" s="80"/>
      <c r="M1084" s="80"/>
      <c r="N1084" s="83" t="str">
        <f aca="false">IF(C1084="","",IF(I1084="",IF(H1084="OUI","À ENROBER",IF(G1084="À SOUDER","NON SOUDÉ","EN ATTENTE RT")),IF(L1084="R","À REPRENDRE",IF(H1084&lt;&gt;"OUI","⚠ ENROBÉ AVANT ACCEPTATION RT","ENROBÉ"))))</f>
        <v/>
      </c>
      <c r="O1084" s="79"/>
    </row>
    <row r="1085" customFormat="false" ht="15" hidden="false" customHeight="false" outlineLevel="0" collapsed="false">
      <c r="A1085" s="78" t="str">
        <f aca="false">IF('CARNET DE SOUDURE'!E1085="","",'CARNET DE SOUDURE'!A1085)</f>
        <v/>
      </c>
      <c r="B1085" s="93" t="str">
        <f aca="false">IF('CARNET DE SOUDURE'!E1085="","",'CARNET DE SOUDURE'!B1085&amp;"")</f>
        <v/>
      </c>
      <c r="C1085" s="83" t="str">
        <f aca="false">IF('CARNET DE SOUDURE'!E1085="","",'CARNET DE SOUDURE'!E1085)</f>
        <v/>
      </c>
      <c r="D1085" s="78" t="str">
        <f aca="false">IF('CARNET DE SOUDURE'!E1085="","",'CARNET DE SOUDURE'!D1085&amp;"")</f>
        <v/>
      </c>
      <c r="E1085" s="96" t="str">
        <f aca="false">IF(OR('CARNET DE SOUDURE'!E1085="",'CARNET DE SOUDURE'!R1085=""),"",'CARNET DE SOUDURE'!R1085)</f>
        <v/>
      </c>
      <c r="F1085" s="81" t="str">
        <f aca="false">IF('CARNET DE SOUDURE'!E1085="","",'CARNET DE SOUDURE'!AL1085)</f>
        <v/>
      </c>
      <c r="G1085" s="81" t="str">
        <f aca="false">IF('CARNET DE SOUDURE'!E1085="","",'CARNET DE SOUDURE'!AM1085)</f>
        <v/>
      </c>
      <c r="H1085" s="81" t="str">
        <f aca="false">IF(C1085="","",IF(G1085="ACCEPTÉ","OUI","NON"))</f>
        <v/>
      </c>
      <c r="I1085" s="82"/>
      <c r="J1085" s="79"/>
      <c r="K1085" s="80"/>
      <c r="L1085" s="80"/>
      <c r="M1085" s="80"/>
      <c r="N1085" s="83" t="str">
        <f aca="false">IF(C1085="","",IF(I1085="",IF(H1085="OUI","À ENROBER",IF(G1085="À SOUDER","NON SOUDÉ","EN ATTENTE RT")),IF(L1085="R","À REPRENDRE",IF(H1085&lt;&gt;"OUI","⚠ ENROBÉ AVANT ACCEPTATION RT","ENROBÉ"))))</f>
        <v/>
      </c>
      <c r="O1085" s="79"/>
    </row>
    <row r="1086" customFormat="false" ht="15" hidden="false" customHeight="false" outlineLevel="0" collapsed="false">
      <c r="A1086" s="78" t="str">
        <f aca="false">IF('CARNET DE SOUDURE'!E1086="","",'CARNET DE SOUDURE'!A1086)</f>
        <v/>
      </c>
      <c r="B1086" s="93" t="str">
        <f aca="false">IF('CARNET DE SOUDURE'!E1086="","",'CARNET DE SOUDURE'!B1086&amp;"")</f>
        <v/>
      </c>
      <c r="C1086" s="83" t="str">
        <f aca="false">IF('CARNET DE SOUDURE'!E1086="","",'CARNET DE SOUDURE'!E1086)</f>
        <v/>
      </c>
      <c r="D1086" s="78" t="str">
        <f aca="false">IF('CARNET DE SOUDURE'!E1086="","",'CARNET DE SOUDURE'!D1086&amp;"")</f>
        <v/>
      </c>
      <c r="E1086" s="96" t="str">
        <f aca="false">IF(OR('CARNET DE SOUDURE'!E1086="",'CARNET DE SOUDURE'!R1086=""),"",'CARNET DE SOUDURE'!R1086)</f>
        <v/>
      </c>
      <c r="F1086" s="81" t="str">
        <f aca="false">IF('CARNET DE SOUDURE'!E1086="","",'CARNET DE SOUDURE'!AL1086)</f>
        <v/>
      </c>
      <c r="G1086" s="81" t="str">
        <f aca="false">IF('CARNET DE SOUDURE'!E1086="","",'CARNET DE SOUDURE'!AM1086)</f>
        <v/>
      </c>
      <c r="H1086" s="81" t="str">
        <f aca="false">IF(C1086="","",IF(G1086="ACCEPTÉ","OUI","NON"))</f>
        <v/>
      </c>
      <c r="I1086" s="82"/>
      <c r="J1086" s="79"/>
      <c r="K1086" s="80"/>
      <c r="L1086" s="80"/>
      <c r="M1086" s="80"/>
      <c r="N1086" s="83" t="str">
        <f aca="false">IF(C1086="","",IF(I1086="",IF(H1086="OUI","À ENROBER",IF(G1086="À SOUDER","NON SOUDÉ","EN ATTENTE RT")),IF(L1086="R","À REPRENDRE",IF(H1086&lt;&gt;"OUI","⚠ ENROBÉ AVANT ACCEPTATION RT","ENROBÉ"))))</f>
        <v/>
      </c>
      <c r="O1086" s="79"/>
    </row>
    <row r="1087" customFormat="false" ht="15" hidden="false" customHeight="false" outlineLevel="0" collapsed="false">
      <c r="A1087" s="78" t="str">
        <f aca="false">IF('CARNET DE SOUDURE'!E1087="","",'CARNET DE SOUDURE'!A1087)</f>
        <v/>
      </c>
      <c r="B1087" s="93" t="str">
        <f aca="false">IF('CARNET DE SOUDURE'!E1087="","",'CARNET DE SOUDURE'!B1087&amp;"")</f>
        <v/>
      </c>
      <c r="C1087" s="83" t="str">
        <f aca="false">IF('CARNET DE SOUDURE'!E1087="","",'CARNET DE SOUDURE'!E1087)</f>
        <v/>
      </c>
      <c r="D1087" s="78" t="str">
        <f aca="false">IF('CARNET DE SOUDURE'!E1087="","",'CARNET DE SOUDURE'!D1087&amp;"")</f>
        <v/>
      </c>
      <c r="E1087" s="96" t="str">
        <f aca="false">IF(OR('CARNET DE SOUDURE'!E1087="",'CARNET DE SOUDURE'!R1087=""),"",'CARNET DE SOUDURE'!R1087)</f>
        <v/>
      </c>
      <c r="F1087" s="81" t="str">
        <f aca="false">IF('CARNET DE SOUDURE'!E1087="","",'CARNET DE SOUDURE'!AL1087)</f>
        <v/>
      </c>
      <c r="G1087" s="81" t="str">
        <f aca="false">IF('CARNET DE SOUDURE'!E1087="","",'CARNET DE SOUDURE'!AM1087)</f>
        <v/>
      </c>
      <c r="H1087" s="81" t="str">
        <f aca="false">IF(C1087="","",IF(G1087="ACCEPTÉ","OUI","NON"))</f>
        <v/>
      </c>
      <c r="I1087" s="82"/>
      <c r="J1087" s="79"/>
      <c r="K1087" s="80"/>
      <c r="L1087" s="80"/>
      <c r="M1087" s="80"/>
      <c r="N1087" s="83" t="str">
        <f aca="false">IF(C1087="","",IF(I1087="",IF(H1087="OUI","À ENROBER",IF(G1087="À SOUDER","NON SOUDÉ","EN ATTENTE RT")),IF(L1087="R","À REPRENDRE",IF(H1087&lt;&gt;"OUI","⚠ ENROBÉ AVANT ACCEPTATION RT","ENROBÉ"))))</f>
        <v/>
      </c>
      <c r="O1087" s="79"/>
    </row>
    <row r="1088" customFormat="false" ht="15" hidden="false" customHeight="false" outlineLevel="0" collapsed="false">
      <c r="A1088" s="78" t="str">
        <f aca="false">IF('CARNET DE SOUDURE'!E1088="","",'CARNET DE SOUDURE'!A1088)</f>
        <v/>
      </c>
      <c r="B1088" s="93" t="str">
        <f aca="false">IF('CARNET DE SOUDURE'!E1088="","",'CARNET DE SOUDURE'!B1088&amp;"")</f>
        <v/>
      </c>
      <c r="C1088" s="83" t="str">
        <f aca="false">IF('CARNET DE SOUDURE'!E1088="","",'CARNET DE SOUDURE'!E1088)</f>
        <v/>
      </c>
      <c r="D1088" s="78" t="str">
        <f aca="false">IF('CARNET DE SOUDURE'!E1088="","",'CARNET DE SOUDURE'!D1088&amp;"")</f>
        <v/>
      </c>
      <c r="E1088" s="96" t="str">
        <f aca="false">IF(OR('CARNET DE SOUDURE'!E1088="",'CARNET DE SOUDURE'!R1088=""),"",'CARNET DE SOUDURE'!R1088)</f>
        <v/>
      </c>
      <c r="F1088" s="81" t="str">
        <f aca="false">IF('CARNET DE SOUDURE'!E1088="","",'CARNET DE SOUDURE'!AL1088)</f>
        <v/>
      </c>
      <c r="G1088" s="81" t="str">
        <f aca="false">IF('CARNET DE SOUDURE'!E1088="","",'CARNET DE SOUDURE'!AM1088)</f>
        <v/>
      </c>
      <c r="H1088" s="81" t="str">
        <f aca="false">IF(C1088="","",IF(G1088="ACCEPTÉ","OUI","NON"))</f>
        <v/>
      </c>
      <c r="I1088" s="82"/>
      <c r="J1088" s="79"/>
      <c r="K1088" s="80"/>
      <c r="L1088" s="80"/>
      <c r="M1088" s="80"/>
      <c r="N1088" s="83" t="str">
        <f aca="false">IF(C1088="","",IF(I1088="",IF(H1088="OUI","À ENROBER",IF(G1088="À SOUDER","NON SOUDÉ","EN ATTENTE RT")),IF(L1088="R","À REPRENDRE",IF(H1088&lt;&gt;"OUI","⚠ ENROBÉ AVANT ACCEPTATION RT","ENROBÉ"))))</f>
        <v/>
      </c>
      <c r="O1088" s="79"/>
    </row>
    <row r="1089" customFormat="false" ht="15" hidden="false" customHeight="false" outlineLevel="0" collapsed="false">
      <c r="A1089" s="78" t="str">
        <f aca="false">IF('CARNET DE SOUDURE'!E1089="","",'CARNET DE SOUDURE'!A1089)</f>
        <v/>
      </c>
      <c r="B1089" s="93" t="str">
        <f aca="false">IF('CARNET DE SOUDURE'!E1089="","",'CARNET DE SOUDURE'!B1089&amp;"")</f>
        <v/>
      </c>
      <c r="C1089" s="83" t="str">
        <f aca="false">IF('CARNET DE SOUDURE'!E1089="","",'CARNET DE SOUDURE'!E1089)</f>
        <v/>
      </c>
      <c r="D1089" s="78" t="str">
        <f aca="false">IF('CARNET DE SOUDURE'!E1089="","",'CARNET DE SOUDURE'!D1089&amp;"")</f>
        <v/>
      </c>
      <c r="E1089" s="96" t="str">
        <f aca="false">IF(OR('CARNET DE SOUDURE'!E1089="",'CARNET DE SOUDURE'!R1089=""),"",'CARNET DE SOUDURE'!R1089)</f>
        <v/>
      </c>
      <c r="F1089" s="81" t="str">
        <f aca="false">IF('CARNET DE SOUDURE'!E1089="","",'CARNET DE SOUDURE'!AL1089)</f>
        <v/>
      </c>
      <c r="G1089" s="81" t="str">
        <f aca="false">IF('CARNET DE SOUDURE'!E1089="","",'CARNET DE SOUDURE'!AM1089)</f>
        <v/>
      </c>
      <c r="H1089" s="81" t="str">
        <f aca="false">IF(C1089="","",IF(G1089="ACCEPTÉ","OUI","NON"))</f>
        <v/>
      </c>
      <c r="I1089" s="82"/>
      <c r="J1089" s="79"/>
      <c r="K1089" s="80"/>
      <c r="L1089" s="80"/>
      <c r="M1089" s="80"/>
      <c r="N1089" s="83" t="str">
        <f aca="false">IF(C1089="","",IF(I1089="",IF(H1089="OUI","À ENROBER",IF(G1089="À SOUDER","NON SOUDÉ","EN ATTENTE RT")),IF(L1089="R","À REPRENDRE",IF(H1089&lt;&gt;"OUI","⚠ ENROBÉ AVANT ACCEPTATION RT","ENROBÉ"))))</f>
        <v/>
      </c>
      <c r="O1089" s="79"/>
    </row>
    <row r="1090" customFormat="false" ht="15" hidden="false" customHeight="false" outlineLevel="0" collapsed="false">
      <c r="A1090" s="78" t="str">
        <f aca="false">IF('CARNET DE SOUDURE'!E1090="","",'CARNET DE SOUDURE'!A1090)</f>
        <v/>
      </c>
      <c r="B1090" s="93" t="str">
        <f aca="false">IF('CARNET DE SOUDURE'!E1090="","",'CARNET DE SOUDURE'!B1090&amp;"")</f>
        <v/>
      </c>
      <c r="C1090" s="83" t="str">
        <f aca="false">IF('CARNET DE SOUDURE'!E1090="","",'CARNET DE SOUDURE'!E1090)</f>
        <v/>
      </c>
      <c r="D1090" s="78" t="str">
        <f aca="false">IF('CARNET DE SOUDURE'!E1090="","",'CARNET DE SOUDURE'!D1090&amp;"")</f>
        <v/>
      </c>
      <c r="E1090" s="96" t="str">
        <f aca="false">IF(OR('CARNET DE SOUDURE'!E1090="",'CARNET DE SOUDURE'!R1090=""),"",'CARNET DE SOUDURE'!R1090)</f>
        <v/>
      </c>
      <c r="F1090" s="81" t="str">
        <f aca="false">IF('CARNET DE SOUDURE'!E1090="","",'CARNET DE SOUDURE'!AL1090)</f>
        <v/>
      </c>
      <c r="G1090" s="81" t="str">
        <f aca="false">IF('CARNET DE SOUDURE'!E1090="","",'CARNET DE SOUDURE'!AM1090)</f>
        <v/>
      </c>
      <c r="H1090" s="81" t="str">
        <f aca="false">IF(C1090="","",IF(G1090="ACCEPTÉ","OUI","NON"))</f>
        <v/>
      </c>
      <c r="I1090" s="82"/>
      <c r="J1090" s="79"/>
      <c r="K1090" s="80"/>
      <c r="L1090" s="80"/>
      <c r="M1090" s="80"/>
      <c r="N1090" s="83" t="str">
        <f aca="false">IF(C1090="","",IF(I1090="",IF(H1090="OUI","À ENROBER",IF(G1090="À SOUDER","NON SOUDÉ","EN ATTENTE RT")),IF(L1090="R","À REPRENDRE",IF(H1090&lt;&gt;"OUI","⚠ ENROBÉ AVANT ACCEPTATION RT","ENROBÉ"))))</f>
        <v/>
      </c>
      <c r="O1090" s="79"/>
    </row>
    <row r="1091" customFormat="false" ht="15" hidden="false" customHeight="false" outlineLevel="0" collapsed="false">
      <c r="A1091" s="78" t="str">
        <f aca="false">IF('CARNET DE SOUDURE'!E1091="","",'CARNET DE SOUDURE'!A1091)</f>
        <v/>
      </c>
      <c r="B1091" s="93" t="str">
        <f aca="false">IF('CARNET DE SOUDURE'!E1091="","",'CARNET DE SOUDURE'!B1091&amp;"")</f>
        <v/>
      </c>
      <c r="C1091" s="83" t="str">
        <f aca="false">IF('CARNET DE SOUDURE'!E1091="","",'CARNET DE SOUDURE'!E1091)</f>
        <v/>
      </c>
      <c r="D1091" s="78" t="str">
        <f aca="false">IF('CARNET DE SOUDURE'!E1091="","",'CARNET DE SOUDURE'!D1091&amp;"")</f>
        <v/>
      </c>
      <c r="E1091" s="96" t="str">
        <f aca="false">IF(OR('CARNET DE SOUDURE'!E1091="",'CARNET DE SOUDURE'!R1091=""),"",'CARNET DE SOUDURE'!R1091)</f>
        <v/>
      </c>
      <c r="F1091" s="81" t="str">
        <f aca="false">IF('CARNET DE SOUDURE'!E1091="","",'CARNET DE SOUDURE'!AL1091)</f>
        <v/>
      </c>
      <c r="G1091" s="81" t="str">
        <f aca="false">IF('CARNET DE SOUDURE'!E1091="","",'CARNET DE SOUDURE'!AM1091)</f>
        <v/>
      </c>
      <c r="H1091" s="81" t="str">
        <f aca="false">IF(C1091="","",IF(G1091="ACCEPTÉ","OUI","NON"))</f>
        <v/>
      </c>
      <c r="I1091" s="82"/>
      <c r="J1091" s="79"/>
      <c r="K1091" s="80"/>
      <c r="L1091" s="80"/>
      <c r="M1091" s="80"/>
      <c r="N1091" s="83" t="str">
        <f aca="false">IF(C1091="","",IF(I1091="",IF(H1091="OUI","À ENROBER",IF(G1091="À SOUDER","NON SOUDÉ","EN ATTENTE RT")),IF(L1091="R","À REPRENDRE",IF(H1091&lt;&gt;"OUI","⚠ ENROBÉ AVANT ACCEPTATION RT","ENROBÉ"))))</f>
        <v/>
      </c>
      <c r="O1091" s="79"/>
    </row>
    <row r="1092" customFormat="false" ht="15" hidden="false" customHeight="false" outlineLevel="0" collapsed="false">
      <c r="A1092" s="78" t="str">
        <f aca="false">IF('CARNET DE SOUDURE'!E1092="","",'CARNET DE SOUDURE'!A1092)</f>
        <v/>
      </c>
      <c r="B1092" s="93" t="str">
        <f aca="false">IF('CARNET DE SOUDURE'!E1092="","",'CARNET DE SOUDURE'!B1092&amp;"")</f>
        <v/>
      </c>
      <c r="C1092" s="83" t="str">
        <f aca="false">IF('CARNET DE SOUDURE'!E1092="","",'CARNET DE SOUDURE'!E1092)</f>
        <v/>
      </c>
      <c r="D1092" s="78" t="str">
        <f aca="false">IF('CARNET DE SOUDURE'!E1092="","",'CARNET DE SOUDURE'!D1092&amp;"")</f>
        <v/>
      </c>
      <c r="E1092" s="96" t="str">
        <f aca="false">IF(OR('CARNET DE SOUDURE'!E1092="",'CARNET DE SOUDURE'!R1092=""),"",'CARNET DE SOUDURE'!R1092)</f>
        <v/>
      </c>
      <c r="F1092" s="81" t="str">
        <f aca="false">IF('CARNET DE SOUDURE'!E1092="","",'CARNET DE SOUDURE'!AL1092)</f>
        <v/>
      </c>
      <c r="G1092" s="81" t="str">
        <f aca="false">IF('CARNET DE SOUDURE'!E1092="","",'CARNET DE SOUDURE'!AM1092)</f>
        <v/>
      </c>
      <c r="H1092" s="81" t="str">
        <f aca="false">IF(C1092="","",IF(G1092="ACCEPTÉ","OUI","NON"))</f>
        <v/>
      </c>
      <c r="I1092" s="82"/>
      <c r="J1092" s="79"/>
      <c r="K1092" s="80"/>
      <c r="L1092" s="80"/>
      <c r="M1092" s="80"/>
      <c r="N1092" s="83" t="str">
        <f aca="false">IF(C1092="","",IF(I1092="",IF(H1092="OUI","À ENROBER",IF(G1092="À SOUDER","NON SOUDÉ","EN ATTENTE RT")),IF(L1092="R","À REPRENDRE",IF(H1092&lt;&gt;"OUI","⚠ ENROBÉ AVANT ACCEPTATION RT","ENROBÉ"))))</f>
        <v/>
      </c>
      <c r="O1092" s="79"/>
    </row>
    <row r="1093" customFormat="false" ht="15" hidden="false" customHeight="false" outlineLevel="0" collapsed="false">
      <c r="A1093" s="78" t="str">
        <f aca="false">IF('CARNET DE SOUDURE'!E1093="","",'CARNET DE SOUDURE'!A1093)</f>
        <v/>
      </c>
      <c r="B1093" s="93" t="str">
        <f aca="false">IF('CARNET DE SOUDURE'!E1093="","",'CARNET DE SOUDURE'!B1093&amp;"")</f>
        <v/>
      </c>
      <c r="C1093" s="83" t="str">
        <f aca="false">IF('CARNET DE SOUDURE'!E1093="","",'CARNET DE SOUDURE'!E1093)</f>
        <v/>
      </c>
      <c r="D1093" s="78" t="str">
        <f aca="false">IF('CARNET DE SOUDURE'!E1093="","",'CARNET DE SOUDURE'!D1093&amp;"")</f>
        <v/>
      </c>
      <c r="E1093" s="96" t="str">
        <f aca="false">IF(OR('CARNET DE SOUDURE'!E1093="",'CARNET DE SOUDURE'!R1093=""),"",'CARNET DE SOUDURE'!R1093)</f>
        <v/>
      </c>
      <c r="F1093" s="81" t="str">
        <f aca="false">IF('CARNET DE SOUDURE'!E1093="","",'CARNET DE SOUDURE'!AL1093)</f>
        <v/>
      </c>
      <c r="G1093" s="81" t="str">
        <f aca="false">IF('CARNET DE SOUDURE'!E1093="","",'CARNET DE SOUDURE'!AM1093)</f>
        <v/>
      </c>
      <c r="H1093" s="81" t="str">
        <f aca="false">IF(C1093="","",IF(G1093="ACCEPTÉ","OUI","NON"))</f>
        <v/>
      </c>
      <c r="I1093" s="82"/>
      <c r="J1093" s="79"/>
      <c r="K1093" s="80"/>
      <c r="L1093" s="80"/>
      <c r="M1093" s="80"/>
      <c r="N1093" s="83" t="str">
        <f aca="false">IF(C1093="","",IF(I1093="",IF(H1093="OUI","À ENROBER",IF(G1093="À SOUDER","NON SOUDÉ","EN ATTENTE RT")),IF(L1093="R","À REPRENDRE",IF(H1093&lt;&gt;"OUI","⚠ ENROBÉ AVANT ACCEPTATION RT","ENROBÉ"))))</f>
        <v/>
      </c>
      <c r="O1093" s="79"/>
    </row>
    <row r="1094" customFormat="false" ht="15" hidden="false" customHeight="false" outlineLevel="0" collapsed="false">
      <c r="A1094" s="78" t="str">
        <f aca="false">IF('CARNET DE SOUDURE'!E1094="","",'CARNET DE SOUDURE'!A1094)</f>
        <v/>
      </c>
      <c r="B1094" s="93" t="str">
        <f aca="false">IF('CARNET DE SOUDURE'!E1094="","",'CARNET DE SOUDURE'!B1094&amp;"")</f>
        <v/>
      </c>
      <c r="C1094" s="83" t="str">
        <f aca="false">IF('CARNET DE SOUDURE'!E1094="","",'CARNET DE SOUDURE'!E1094)</f>
        <v/>
      </c>
      <c r="D1094" s="78" t="str">
        <f aca="false">IF('CARNET DE SOUDURE'!E1094="","",'CARNET DE SOUDURE'!D1094&amp;"")</f>
        <v/>
      </c>
      <c r="E1094" s="96" t="str">
        <f aca="false">IF(OR('CARNET DE SOUDURE'!E1094="",'CARNET DE SOUDURE'!R1094=""),"",'CARNET DE SOUDURE'!R1094)</f>
        <v/>
      </c>
      <c r="F1094" s="81" t="str">
        <f aca="false">IF('CARNET DE SOUDURE'!E1094="","",'CARNET DE SOUDURE'!AL1094)</f>
        <v/>
      </c>
      <c r="G1094" s="81" t="str">
        <f aca="false">IF('CARNET DE SOUDURE'!E1094="","",'CARNET DE SOUDURE'!AM1094)</f>
        <v/>
      </c>
      <c r="H1094" s="81" t="str">
        <f aca="false">IF(C1094="","",IF(G1094="ACCEPTÉ","OUI","NON"))</f>
        <v/>
      </c>
      <c r="I1094" s="82"/>
      <c r="J1094" s="79"/>
      <c r="K1094" s="80"/>
      <c r="L1094" s="80"/>
      <c r="M1094" s="80"/>
      <c r="N1094" s="83" t="str">
        <f aca="false">IF(C1094="","",IF(I1094="",IF(H1094="OUI","À ENROBER",IF(G1094="À SOUDER","NON SOUDÉ","EN ATTENTE RT")),IF(L1094="R","À REPRENDRE",IF(H1094&lt;&gt;"OUI","⚠ ENROBÉ AVANT ACCEPTATION RT","ENROBÉ"))))</f>
        <v/>
      </c>
      <c r="O1094" s="79"/>
    </row>
    <row r="1095" customFormat="false" ht="15" hidden="false" customHeight="false" outlineLevel="0" collapsed="false">
      <c r="A1095" s="78" t="str">
        <f aca="false">IF('CARNET DE SOUDURE'!E1095="","",'CARNET DE SOUDURE'!A1095)</f>
        <v/>
      </c>
      <c r="B1095" s="93" t="str">
        <f aca="false">IF('CARNET DE SOUDURE'!E1095="","",'CARNET DE SOUDURE'!B1095&amp;"")</f>
        <v/>
      </c>
      <c r="C1095" s="83" t="str">
        <f aca="false">IF('CARNET DE SOUDURE'!E1095="","",'CARNET DE SOUDURE'!E1095)</f>
        <v/>
      </c>
      <c r="D1095" s="78" t="str">
        <f aca="false">IF('CARNET DE SOUDURE'!E1095="","",'CARNET DE SOUDURE'!D1095&amp;"")</f>
        <v/>
      </c>
      <c r="E1095" s="96" t="str">
        <f aca="false">IF(OR('CARNET DE SOUDURE'!E1095="",'CARNET DE SOUDURE'!R1095=""),"",'CARNET DE SOUDURE'!R1095)</f>
        <v/>
      </c>
      <c r="F1095" s="81" t="str">
        <f aca="false">IF('CARNET DE SOUDURE'!E1095="","",'CARNET DE SOUDURE'!AL1095)</f>
        <v/>
      </c>
      <c r="G1095" s="81" t="str">
        <f aca="false">IF('CARNET DE SOUDURE'!E1095="","",'CARNET DE SOUDURE'!AM1095)</f>
        <v/>
      </c>
      <c r="H1095" s="81" t="str">
        <f aca="false">IF(C1095="","",IF(G1095="ACCEPTÉ","OUI","NON"))</f>
        <v/>
      </c>
      <c r="I1095" s="82"/>
      <c r="J1095" s="79"/>
      <c r="K1095" s="80"/>
      <c r="L1095" s="80"/>
      <c r="M1095" s="80"/>
      <c r="N1095" s="83" t="str">
        <f aca="false">IF(C1095="","",IF(I1095="",IF(H1095="OUI","À ENROBER",IF(G1095="À SOUDER","NON SOUDÉ","EN ATTENTE RT")),IF(L1095="R","À REPRENDRE",IF(H1095&lt;&gt;"OUI","⚠ ENROBÉ AVANT ACCEPTATION RT","ENROBÉ"))))</f>
        <v/>
      </c>
      <c r="O1095" s="79"/>
    </row>
    <row r="1096" customFormat="false" ht="15" hidden="false" customHeight="false" outlineLevel="0" collapsed="false">
      <c r="A1096" s="78" t="str">
        <f aca="false">IF('CARNET DE SOUDURE'!E1096="","",'CARNET DE SOUDURE'!A1096)</f>
        <v/>
      </c>
      <c r="B1096" s="93" t="str">
        <f aca="false">IF('CARNET DE SOUDURE'!E1096="","",'CARNET DE SOUDURE'!B1096&amp;"")</f>
        <v/>
      </c>
      <c r="C1096" s="83" t="str">
        <f aca="false">IF('CARNET DE SOUDURE'!E1096="","",'CARNET DE SOUDURE'!E1096)</f>
        <v/>
      </c>
      <c r="D1096" s="78" t="str">
        <f aca="false">IF('CARNET DE SOUDURE'!E1096="","",'CARNET DE SOUDURE'!D1096&amp;"")</f>
        <v/>
      </c>
      <c r="E1096" s="96" t="str">
        <f aca="false">IF(OR('CARNET DE SOUDURE'!E1096="",'CARNET DE SOUDURE'!R1096=""),"",'CARNET DE SOUDURE'!R1096)</f>
        <v/>
      </c>
      <c r="F1096" s="81" t="str">
        <f aca="false">IF('CARNET DE SOUDURE'!E1096="","",'CARNET DE SOUDURE'!AL1096)</f>
        <v/>
      </c>
      <c r="G1096" s="81" t="str">
        <f aca="false">IF('CARNET DE SOUDURE'!E1096="","",'CARNET DE SOUDURE'!AM1096)</f>
        <v/>
      </c>
      <c r="H1096" s="81" t="str">
        <f aca="false">IF(C1096="","",IF(G1096="ACCEPTÉ","OUI","NON"))</f>
        <v/>
      </c>
      <c r="I1096" s="82"/>
      <c r="J1096" s="79"/>
      <c r="K1096" s="80"/>
      <c r="L1096" s="80"/>
      <c r="M1096" s="80"/>
      <c r="N1096" s="83" t="str">
        <f aca="false">IF(C1096="","",IF(I1096="",IF(H1096="OUI","À ENROBER",IF(G1096="À SOUDER","NON SOUDÉ","EN ATTENTE RT")),IF(L1096="R","À REPRENDRE",IF(H1096&lt;&gt;"OUI","⚠ ENROBÉ AVANT ACCEPTATION RT","ENROBÉ"))))</f>
        <v/>
      </c>
      <c r="O1096" s="79"/>
    </row>
    <row r="1097" customFormat="false" ht="15" hidden="false" customHeight="false" outlineLevel="0" collapsed="false">
      <c r="A1097" s="78" t="str">
        <f aca="false">IF('CARNET DE SOUDURE'!E1097="","",'CARNET DE SOUDURE'!A1097)</f>
        <v/>
      </c>
      <c r="B1097" s="93" t="str">
        <f aca="false">IF('CARNET DE SOUDURE'!E1097="","",'CARNET DE SOUDURE'!B1097&amp;"")</f>
        <v/>
      </c>
      <c r="C1097" s="83" t="str">
        <f aca="false">IF('CARNET DE SOUDURE'!E1097="","",'CARNET DE SOUDURE'!E1097)</f>
        <v/>
      </c>
      <c r="D1097" s="78" t="str">
        <f aca="false">IF('CARNET DE SOUDURE'!E1097="","",'CARNET DE SOUDURE'!D1097&amp;"")</f>
        <v/>
      </c>
      <c r="E1097" s="96" t="str">
        <f aca="false">IF(OR('CARNET DE SOUDURE'!E1097="",'CARNET DE SOUDURE'!R1097=""),"",'CARNET DE SOUDURE'!R1097)</f>
        <v/>
      </c>
      <c r="F1097" s="81" t="str">
        <f aca="false">IF('CARNET DE SOUDURE'!E1097="","",'CARNET DE SOUDURE'!AL1097)</f>
        <v/>
      </c>
      <c r="G1097" s="81" t="str">
        <f aca="false">IF('CARNET DE SOUDURE'!E1097="","",'CARNET DE SOUDURE'!AM1097)</f>
        <v/>
      </c>
      <c r="H1097" s="81" t="str">
        <f aca="false">IF(C1097="","",IF(G1097="ACCEPTÉ","OUI","NON"))</f>
        <v/>
      </c>
      <c r="I1097" s="82"/>
      <c r="J1097" s="79"/>
      <c r="K1097" s="80"/>
      <c r="L1097" s="80"/>
      <c r="M1097" s="80"/>
      <c r="N1097" s="83" t="str">
        <f aca="false">IF(C1097="","",IF(I1097="",IF(H1097="OUI","À ENROBER",IF(G1097="À SOUDER","NON SOUDÉ","EN ATTENTE RT")),IF(L1097="R","À REPRENDRE",IF(H1097&lt;&gt;"OUI","⚠ ENROBÉ AVANT ACCEPTATION RT","ENROBÉ"))))</f>
        <v/>
      </c>
      <c r="O1097" s="79"/>
    </row>
    <row r="1098" customFormat="false" ht="15" hidden="false" customHeight="false" outlineLevel="0" collapsed="false">
      <c r="A1098" s="78" t="str">
        <f aca="false">IF('CARNET DE SOUDURE'!E1098="","",'CARNET DE SOUDURE'!A1098)</f>
        <v/>
      </c>
      <c r="B1098" s="93" t="str">
        <f aca="false">IF('CARNET DE SOUDURE'!E1098="","",'CARNET DE SOUDURE'!B1098&amp;"")</f>
        <v/>
      </c>
      <c r="C1098" s="83" t="str">
        <f aca="false">IF('CARNET DE SOUDURE'!E1098="","",'CARNET DE SOUDURE'!E1098)</f>
        <v/>
      </c>
      <c r="D1098" s="78" t="str">
        <f aca="false">IF('CARNET DE SOUDURE'!E1098="","",'CARNET DE SOUDURE'!D1098&amp;"")</f>
        <v/>
      </c>
      <c r="E1098" s="96" t="str">
        <f aca="false">IF(OR('CARNET DE SOUDURE'!E1098="",'CARNET DE SOUDURE'!R1098=""),"",'CARNET DE SOUDURE'!R1098)</f>
        <v/>
      </c>
      <c r="F1098" s="81" t="str">
        <f aca="false">IF('CARNET DE SOUDURE'!E1098="","",'CARNET DE SOUDURE'!AL1098)</f>
        <v/>
      </c>
      <c r="G1098" s="81" t="str">
        <f aca="false">IF('CARNET DE SOUDURE'!E1098="","",'CARNET DE SOUDURE'!AM1098)</f>
        <v/>
      </c>
      <c r="H1098" s="81" t="str">
        <f aca="false">IF(C1098="","",IF(G1098="ACCEPTÉ","OUI","NON"))</f>
        <v/>
      </c>
      <c r="I1098" s="82"/>
      <c r="J1098" s="79"/>
      <c r="K1098" s="80"/>
      <c r="L1098" s="80"/>
      <c r="M1098" s="80"/>
      <c r="N1098" s="83" t="str">
        <f aca="false">IF(C1098="","",IF(I1098="",IF(H1098="OUI","À ENROBER",IF(G1098="À SOUDER","NON SOUDÉ","EN ATTENTE RT")),IF(L1098="R","À REPRENDRE",IF(H1098&lt;&gt;"OUI","⚠ ENROBÉ AVANT ACCEPTATION RT","ENROBÉ"))))</f>
        <v/>
      </c>
      <c r="O1098" s="79"/>
    </row>
    <row r="1099" customFormat="false" ht="15" hidden="false" customHeight="false" outlineLevel="0" collapsed="false">
      <c r="A1099" s="78" t="str">
        <f aca="false">IF('CARNET DE SOUDURE'!E1099="","",'CARNET DE SOUDURE'!A1099)</f>
        <v/>
      </c>
      <c r="B1099" s="93" t="str">
        <f aca="false">IF('CARNET DE SOUDURE'!E1099="","",'CARNET DE SOUDURE'!B1099&amp;"")</f>
        <v/>
      </c>
      <c r="C1099" s="83" t="str">
        <f aca="false">IF('CARNET DE SOUDURE'!E1099="","",'CARNET DE SOUDURE'!E1099)</f>
        <v/>
      </c>
      <c r="D1099" s="78" t="str">
        <f aca="false">IF('CARNET DE SOUDURE'!E1099="","",'CARNET DE SOUDURE'!D1099&amp;"")</f>
        <v/>
      </c>
      <c r="E1099" s="96" t="str">
        <f aca="false">IF(OR('CARNET DE SOUDURE'!E1099="",'CARNET DE SOUDURE'!R1099=""),"",'CARNET DE SOUDURE'!R1099)</f>
        <v/>
      </c>
      <c r="F1099" s="81" t="str">
        <f aca="false">IF('CARNET DE SOUDURE'!E1099="","",'CARNET DE SOUDURE'!AL1099)</f>
        <v/>
      </c>
      <c r="G1099" s="81" t="str">
        <f aca="false">IF('CARNET DE SOUDURE'!E1099="","",'CARNET DE SOUDURE'!AM1099)</f>
        <v/>
      </c>
      <c r="H1099" s="81" t="str">
        <f aca="false">IF(C1099="","",IF(G1099="ACCEPTÉ","OUI","NON"))</f>
        <v/>
      </c>
      <c r="I1099" s="82"/>
      <c r="J1099" s="79"/>
      <c r="K1099" s="80"/>
      <c r="L1099" s="80"/>
      <c r="M1099" s="80"/>
      <c r="N1099" s="83" t="str">
        <f aca="false">IF(C1099="","",IF(I1099="",IF(H1099="OUI","À ENROBER",IF(G1099="À SOUDER","NON SOUDÉ","EN ATTENTE RT")),IF(L1099="R","À REPRENDRE",IF(H1099&lt;&gt;"OUI","⚠ ENROBÉ AVANT ACCEPTATION RT","ENROBÉ"))))</f>
        <v/>
      </c>
      <c r="O1099" s="79"/>
    </row>
    <row r="1100" customFormat="false" ht="15" hidden="false" customHeight="false" outlineLevel="0" collapsed="false">
      <c r="A1100" s="78" t="str">
        <f aca="false">IF('CARNET DE SOUDURE'!E1100="","",'CARNET DE SOUDURE'!A1100)</f>
        <v/>
      </c>
      <c r="B1100" s="93" t="str">
        <f aca="false">IF('CARNET DE SOUDURE'!E1100="","",'CARNET DE SOUDURE'!B1100&amp;"")</f>
        <v/>
      </c>
      <c r="C1100" s="83" t="str">
        <f aca="false">IF('CARNET DE SOUDURE'!E1100="","",'CARNET DE SOUDURE'!E1100)</f>
        <v/>
      </c>
      <c r="D1100" s="78" t="str">
        <f aca="false">IF('CARNET DE SOUDURE'!E1100="","",'CARNET DE SOUDURE'!D1100&amp;"")</f>
        <v/>
      </c>
      <c r="E1100" s="96" t="str">
        <f aca="false">IF(OR('CARNET DE SOUDURE'!E1100="",'CARNET DE SOUDURE'!R1100=""),"",'CARNET DE SOUDURE'!R1100)</f>
        <v/>
      </c>
      <c r="F1100" s="81" t="str">
        <f aca="false">IF('CARNET DE SOUDURE'!E1100="","",'CARNET DE SOUDURE'!AL1100)</f>
        <v/>
      </c>
      <c r="G1100" s="81" t="str">
        <f aca="false">IF('CARNET DE SOUDURE'!E1100="","",'CARNET DE SOUDURE'!AM1100)</f>
        <v/>
      </c>
      <c r="H1100" s="81" t="str">
        <f aca="false">IF(C1100="","",IF(G1100="ACCEPTÉ","OUI","NON"))</f>
        <v/>
      </c>
      <c r="I1100" s="82"/>
      <c r="J1100" s="79"/>
      <c r="K1100" s="80"/>
      <c r="L1100" s="80"/>
      <c r="M1100" s="80"/>
      <c r="N1100" s="83" t="str">
        <f aca="false">IF(C1100="","",IF(I1100="",IF(H1100="OUI","À ENROBER",IF(G1100="À SOUDER","NON SOUDÉ","EN ATTENTE RT")),IF(L1100="R","À REPRENDRE",IF(H1100&lt;&gt;"OUI","⚠ ENROBÉ AVANT ACCEPTATION RT","ENROBÉ"))))</f>
        <v/>
      </c>
      <c r="O1100" s="79"/>
    </row>
    <row r="1101" customFormat="false" ht="15" hidden="false" customHeight="false" outlineLevel="0" collapsed="false">
      <c r="A1101" s="78" t="str">
        <f aca="false">IF('CARNET DE SOUDURE'!E1101="","",'CARNET DE SOUDURE'!A1101)</f>
        <v/>
      </c>
      <c r="B1101" s="93" t="str">
        <f aca="false">IF('CARNET DE SOUDURE'!E1101="","",'CARNET DE SOUDURE'!B1101&amp;"")</f>
        <v/>
      </c>
      <c r="C1101" s="83" t="str">
        <f aca="false">IF('CARNET DE SOUDURE'!E1101="","",'CARNET DE SOUDURE'!E1101)</f>
        <v/>
      </c>
      <c r="D1101" s="78" t="str">
        <f aca="false">IF('CARNET DE SOUDURE'!E1101="","",'CARNET DE SOUDURE'!D1101&amp;"")</f>
        <v/>
      </c>
      <c r="E1101" s="96" t="str">
        <f aca="false">IF(OR('CARNET DE SOUDURE'!E1101="",'CARNET DE SOUDURE'!R1101=""),"",'CARNET DE SOUDURE'!R1101)</f>
        <v/>
      </c>
      <c r="F1101" s="81" t="str">
        <f aca="false">IF('CARNET DE SOUDURE'!E1101="","",'CARNET DE SOUDURE'!AL1101)</f>
        <v/>
      </c>
      <c r="G1101" s="81" t="str">
        <f aca="false">IF('CARNET DE SOUDURE'!E1101="","",'CARNET DE SOUDURE'!AM1101)</f>
        <v/>
      </c>
      <c r="H1101" s="81" t="str">
        <f aca="false">IF(C1101="","",IF(G1101="ACCEPTÉ","OUI","NON"))</f>
        <v/>
      </c>
      <c r="I1101" s="82"/>
      <c r="J1101" s="79"/>
      <c r="K1101" s="80"/>
      <c r="L1101" s="80"/>
      <c r="M1101" s="80"/>
      <c r="N1101" s="83" t="str">
        <f aca="false">IF(C1101="","",IF(I1101="",IF(H1101="OUI","À ENROBER",IF(G1101="À SOUDER","NON SOUDÉ","EN ATTENTE RT")),IF(L1101="R","À REPRENDRE",IF(H1101&lt;&gt;"OUI","⚠ ENROBÉ AVANT ACCEPTATION RT","ENROBÉ"))))</f>
        <v/>
      </c>
      <c r="O1101" s="79"/>
    </row>
    <row r="1102" customFormat="false" ht="15" hidden="false" customHeight="false" outlineLevel="0" collapsed="false">
      <c r="A1102" s="78" t="str">
        <f aca="false">IF('CARNET DE SOUDURE'!E1102="","",'CARNET DE SOUDURE'!A1102)</f>
        <v/>
      </c>
      <c r="B1102" s="93" t="str">
        <f aca="false">IF('CARNET DE SOUDURE'!E1102="","",'CARNET DE SOUDURE'!B1102&amp;"")</f>
        <v/>
      </c>
      <c r="C1102" s="83" t="str">
        <f aca="false">IF('CARNET DE SOUDURE'!E1102="","",'CARNET DE SOUDURE'!E1102)</f>
        <v/>
      </c>
      <c r="D1102" s="78" t="str">
        <f aca="false">IF('CARNET DE SOUDURE'!E1102="","",'CARNET DE SOUDURE'!D1102&amp;"")</f>
        <v/>
      </c>
      <c r="E1102" s="96" t="str">
        <f aca="false">IF(OR('CARNET DE SOUDURE'!E1102="",'CARNET DE SOUDURE'!R1102=""),"",'CARNET DE SOUDURE'!R1102)</f>
        <v/>
      </c>
      <c r="F1102" s="81" t="str">
        <f aca="false">IF('CARNET DE SOUDURE'!E1102="","",'CARNET DE SOUDURE'!AL1102)</f>
        <v/>
      </c>
      <c r="G1102" s="81" t="str">
        <f aca="false">IF('CARNET DE SOUDURE'!E1102="","",'CARNET DE SOUDURE'!AM1102)</f>
        <v/>
      </c>
      <c r="H1102" s="81" t="str">
        <f aca="false">IF(C1102="","",IF(G1102="ACCEPTÉ","OUI","NON"))</f>
        <v/>
      </c>
      <c r="I1102" s="82"/>
      <c r="J1102" s="79"/>
      <c r="K1102" s="80"/>
      <c r="L1102" s="80"/>
      <c r="M1102" s="80"/>
      <c r="N1102" s="83" t="str">
        <f aca="false">IF(C1102="","",IF(I1102="",IF(H1102="OUI","À ENROBER",IF(G1102="À SOUDER","NON SOUDÉ","EN ATTENTE RT")),IF(L1102="R","À REPRENDRE",IF(H1102&lt;&gt;"OUI","⚠ ENROBÉ AVANT ACCEPTATION RT","ENROBÉ"))))</f>
        <v/>
      </c>
      <c r="O1102" s="79"/>
    </row>
    <row r="1103" customFormat="false" ht="15" hidden="false" customHeight="false" outlineLevel="0" collapsed="false">
      <c r="A1103" s="78" t="str">
        <f aca="false">IF('CARNET DE SOUDURE'!E1103="","",'CARNET DE SOUDURE'!A1103)</f>
        <v/>
      </c>
      <c r="B1103" s="93" t="str">
        <f aca="false">IF('CARNET DE SOUDURE'!E1103="","",'CARNET DE SOUDURE'!B1103&amp;"")</f>
        <v/>
      </c>
      <c r="C1103" s="83" t="str">
        <f aca="false">IF('CARNET DE SOUDURE'!E1103="","",'CARNET DE SOUDURE'!E1103)</f>
        <v/>
      </c>
      <c r="D1103" s="78" t="str">
        <f aca="false">IF('CARNET DE SOUDURE'!E1103="","",'CARNET DE SOUDURE'!D1103&amp;"")</f>
        <v/>
      </c>
      <c r="E1103" s="96" t="str">
        <f aca="false">IF(OR('CARNET DE SOUDURE'!E1103="",'CARNET DE SOUDURE'!R1103=""),"",'CARNET DE SOUDURE'!R1103)</f>
        <v/>
      </c>
      <c r="F1103" s="81" t="str">
        <f aca="false">IF('CARNET DE SOUDURE'!E1103="","",'CARNET DE SOUDURE'!AL1103)</f>
        <v/>
      </c>
      <c r="G1103" s="81" t="str">
        <f aca="false">IF('CARNET DE SOUDURE'!E1103="","",'CARNET DE SOUDURE'!AM1103)</f>
        <v/>
      </c>
      <c r="H1103" s="81" t="str">
        <f aca="false">IF(C1103="","",IF(G1103="ACCEPTÉ","OUI","NON"))</f>
        <v/>
      </c>
      <c r="I1103" s="82"/>
      <c r="J1103" s="79"/>
      <c r="K1103" s="80"/>
      <c r="L1103" s="80"/>
      <c r="M1103" s="80"/>
      <c r="N1103" s="83" t="str">
        <f aca="false">IF(C1103="","",IF(I1103="",IF(H1103="OUI","À ENROBER",IF(G1103="À SOUDER","NON SOUDÉ","EN ATTENTE RT")),IF(L1103="R","À REPRENDRE",IF(H1103&lt;&gt;"OUI","⚠ ENROBÉ AVANT ACCEPTATION RT","ENROBÉ"))))</f>
        <v/>
      </c>
      <c r="O1103" s="79"/>
    </row>
    <row r="1104" customFormat="false" ht="15" hidden="false" customHeight="false" outlineLevel="0" collapsed="false">
      <c r="A1104" s="78" t="str">
        <f aca="false">IF('CARNET DE SOUDURE'!E1104="","",'CARNET DE SOUDURE'!A1104)</f>
        <v/>
      </c>
      <c r="B1104" s="93" t="str">
        <f aca="false">IF('CARNET DE SOUDURE'!E1104="","",'CARNET DE SOUDURE'!B1104&amp;"")</f>
        <v/>
      </c>
      <c r="C1104" s="83" t="str">
        <f aca="false">IF('CARNET DE SOUDURE'!E1104="","",'CARNET DE SOUDURE'!E1104)</f>
        <v/>
      </c>
      <c r="D1104" s="78" t="str">
        <f aca="false">IF('CARNET DE SOUDURE'!E1104="","",'CARNET DE SOUDURE'!D1104&amp;"")</f>
        <v/>
      </c>
      <c r="E1104" s="96" t="str">
        <f aca="false">IF(OR('CARNET DE SOUDURE'!E1104="",'CARNET DE SOUDURE'!R1104=""),"",'CARNET DE SOUDURE'!R1104)</f>
        <v/>
      </c>
      <c r="F1104" s="81" t="str">
        <f aca="false">IF('CARNET DE SOUDURE'!E1104="","",'CARNET DE SOUDURE'!AL1104)</f>
        <v/>
      </c>
      <c r="G1104" s="81" t="str">
        <f aca="false">IF('CARNET DE SOUDURE'!E1104="","",'CARNET DE SOUDURE'!AM1104)</f>
        <v/>
      </c>
      <c r="H1104" s="81" t="str">
        <f aca="false">IF(C1104="","",IF(G1104="ACCEPTÉ","OUI","NON"))</f>
        <v/>
      </c>
      <c r="I1104" s="82"/>
      <c r="J1104" s="79"/>
      <c r="K1104" s="80"/>
      <c r="L1104" s="80"/>
      <c r="M1104" s="80"/>
      <c r="N1104" s="83" t="str">
        <f aca="false">IF(C1104="","",IF(I1104="",IF(H1104="OUI","À ENROBER",IF(G1104="À SOUDER","NON SOUDÉ","EN ATTENTE RT")),IF(L1104="R","À REPRENDRE",IF(H1104&lt;&gt;"OUI","⚠ ENROBÉ AVANT ACCEPTATION RT","ENROBÉ"))))</f>
        <v/>
      </c>
      <c r="O1104" s="79"/>
    </row>
    <row r="1105" customFormat="false" ht="15" hidden="false" customHeight="false" outlineLevel="0" collapsed="false">
      <c r="A1105" s="78" t="str">
        <f aca="false">IF('CARNET DE SOUDURE'!E1105="","",'CARNET DE SOUDURE'!A1105)</f>
        <v/>
      </c>
      <c r="B1105" s="93" t="str">
        <f aca="false">IF('CARNET DE SOUDURE'!E1105="","",'CARNET DE SOUDURE'!B1105&amp;"")</f>
        <v/>
      </c>
      <c r="C1105" s="83" t="str">
        <f aca="false">IF('CARNET DE SOUDURE'!E1105="","",'CARNET DE SOUDURE'!E1105)</f>
        <v/>
      </c>
      <c r="D1105" s="78" t="str">
        <f aca="false">IF('CARNET DE SOUDURE'!E1105="","",'CARNET DE SOUDURE'!D1105&amp;"")</f>
        <v/>
      </c>
      <c r="E1105" s="96" t="str">
        <f aca="false">IF(OR('CARNET DE SOUDURE'!E1105="",'CARNET DE SOUDURE'!R1105=""),"",'CARNET DE SOUDURE'!R1105)</f>
        <v/>
      </c>
      <c r="F1105" s="81" t="str">
        <f aca="false">IF('CARNET DE SOUDURE'!E1105="","",'CARNET DE SOUDURE'!AL1105)</f>
        <v/>
      </c>
      <c r="G1105" s="81" t="str">
        <f aca="false">IF('CARNET DE SOUDURE'!E1105="","",'CARNET DE SOUDURE'!AM1105)</f>
        <v/>
      </c>
      <c r="H1105" s="81" t="str">
        <f aca="false">IF(C1105="","",IF(G1105="ACCEPTÉ","OUI","NON"))</f>
        <v/>
      </c>
      <c r="I1105" s="82"/>
      <c r="J1105" s="79"/>
      <c r="K1105" s="80"/>
      <c r="L1105" s="80"/>
      <c r="M1105" s="80"/>
      <c r="N1105" s="83" t="str">
        <f aca="false">IF(C1105="","",IF(I1105="",IF(H1105="OUI","À ENROBER",IF(G1105="À SOUDER","NON SOUDÉ","EN ATTENTE RT")),IF(L1105="R","À REPRENDRE",IF(H1105&lt;&gt;"OUI","⚠ ENROBÉ AVANT ACCEPTATION RT","ENROBÉ"))))</f>
        <v/>
      </c>
      <c r="O1105" s="79"/>
    </row>
    <row r="1106" customFormat="false" ht="15" hidden="false" customHeight="false" outlineLevel="0" collapsed="false">
      <c r="A1106" s="78" t="str">
        <f aca="false">IF('CARNET DE SOUDURE'!E1106="","",'CARNET DE SOUDURE'!A1106)</f>
        <v/>
      </c>
      <c r="B1106" s="93" t="str">
        <f aca="false">IF('CARNET DE SOUDURE'!E1106="","",'CARNET DE SOUDURE'!B1106&amp;"")</f>
        <v/>
      </c>
      <c r="C1106" s="83" t="str">
        <f aca="false">IF('CARNET DE SOUDURE'!E1106="","",'CARNET DE SOUDURE'!E1106)</f>
        <v/>
      </c>
      <c r="D1106" s="78" t="str">
        <f aca="false">IF('CARNET DE SOUDURE'!E1106="","",'CARNET DE SOUDURE'!D1106&amp;"")</f>
        <v/>
      </c>
      <c r="E1106" s="96" t="str">
        <f aca="false">IF(OR('CARNET DE SOUDURE'!E1106="",'CARNET DE SOUDURE'!R1106=""),"",'CARNET DE SOUDURE'!R1106)</f>
        <v/>
      </c>
      <c r="F1106" s="81" t="str">
        <f aca="false">IF('CARNET DE SOUDURE'!E1106="","",'CARNET DE SOUDURE'!AL1106)</f>
        <v/>
      </c>
      <c r="G1106" s="81" t="str">
        <f aca="false">IF('CARNET DE SOUDURE'!E1106="","",'CARNET DE SOUDURE'!AM1106)</f>
        <v/>
      </c>
      <c r="H1106" s="81" t="str">
        <f aca="false">IF(C1106="","",IF(G1106="ACCEPTÉ","OUI","NON"))</f>
        <v/>
      </c>
      <c r="I1106" s="82"/>
      <c r="J1106" s="79"/>
      <c r="K1106" s="80"/>
      <c r="L1106" s="80"/>
      <c r="M1106" s="80"/>
      <c r="N1106" s="83" t="str">
        <f aca="false">IF(C1106="","",IF(I1106="",IF(H1106="OUI","À ENROBER",IF(G1106="À SOUDER","NON SOUDÉ","EN ATTENTE RT")),IF(L1106="R","À REPRENDRE",IF(H1106&lt;&gt;"OUI","⚠ ENROBÉ AVANT ACCEPTATION RT","ENROBÉ"))))</f>
        <v/>
      </c>
      <c r="O1106" s="79"/>
    </row>
    <row r="1107" customFormat="false" ht="15" hidden="false" customHeight="false" outlineLevel="0" collapsed="false">
      <c r="A1107" s="78" t="str">
        <f aca="false">IF('CARNET DE SOUDURE'!E1107="","",'CARNET DE SOUDURE'!A1107)</f>
        <v/>
      </c>
      <c r="B1107" s="93" t="str">
        <f aca="false">IF('CARNET DE SOUDURE'!E1107="","",'CARNET DE SOUDURE'!B1107&amp;"")</f>
        <v/>
      </c>
      <c r="C1107" s="83" t="str">
        <f aca="false">IF('CARNET DE SOUDURE'!E1107="","",'CARNET DE SOUDURE'!E1107)</f>
        <v/>
      </c>
      <c r="D1107" s="78" t="str">
        <f aca="false">IF('CARNET DE SOUDURE'!E1107="","",'CARNET DE SOUDURE'!D1107&amp;"")</f>
        <v/>
      </c>
      <c r="E1107" s="96" t="str">
        <f aca="false">IF(OR('CARNET DE SOUDURE'!E1107="",'CARNET DE SOUDURE'!R1107=""),"",'CARNET DE SOUDURE'!R1107)</f>
        <v/>
      </c>
      <c r="F1107" s="81" t="str">
        <f aca="false">IF('CARNET DE SOUDURE'!E1107="","",'CARNET DE SOUDURE'!AL1107)</f>
        <v/>
      </c>
      <c r="G1107" s="81" t="str">
        <f aca="false">IF('CARNET DE SOUDURE'!E1107="","",'CARNET DE SOUDURE'!AM1107)</f>
        <v/>
      </c>
      <c r="H1107" s="81" t="str">
        <f aca="false">IF(C1107="","",IF(G1107="ACCEPTÉ","OUI","NON"))</f>
        <v/>
      </c>
      <c r="I1107" s="82"/>
      <c r="J1107" s="79"/>
      <c r="K1107" s="80"/>
      <c r="L1107" s="80"/>
      <c r="M1107" s="80"/>
      <c r="N1107" s="83" t="str">
        <f aca="false">IF(C1107="","",IF(I1107="",IF(H1107="OUI","À ENROBER",IF(G1107="À SOUDER","NON SOUDÉ","EN ATTENTE RT")),IF(L1107="R","À REPRENDRE",IF(H1107&lt;&gt;"OUI","⚠ ENROBÉ AVANT ACCEPTATION RT","ENROBÉ"))))</f>
        <v/>
      </c>
      <c r="O1107" s="79"/>
    </row>
    <row r="1108" customFormat="false" ht="15" hidden="false" customHeight="false" outlineLevel="0" collapsed="false">
      <c r="A1108" s="78" t="str">
        <f aca="false">IF('CARNET DE SOUDURE'!E1108="","",'CARNET DE SOUDURE'!A1108)</f>
        <v/>
      </c>
      <c r="B1108" s="93" t="str">
        <f aca="false">IF('CARNET DE SOUDURE'!E1108="","",'CARNET DE SOUDURE'!B1108&amp;"")</f>
        <v/>
      </c>
      <c r="C1108" s="83" t="str">
        <f aca="false">IF('CARNET DE SOUDURE'!E1108="","",'CARNET DE SOUDURE'!E1108)</f>
        <v/>
      </c>
      <c r="D1108" s="78" t="str">
        <f aca="false">IF('CARNET DE SOUDURE'!E1108="","",'CARNET DE SOUDURE'!D1108&amp;"")</f>
        <v/>
      </c>
      <c r="E1108" s="96" t="str">
        <f aca="false">IF(OR('CARNET DE SOUDURE'!E1108="",'CARNET DE SOUDURE'!R1108=""),"",'CARNET DE SOUDURE'!R1108)</f>
        <v/>
      </c>
      <c r="F1108" s="81" t="str">
        <f aca="false">IF('CARNET DE SOUDURE'!E1108="","",'CARNET DE SOUDURE'!AL1108)</f>
        <v/>
      </c>
      <c r="G1108" s="81" t="str">
        <f aca="false">IF('CARNET DE SOUDURE'!E1108="","",'CARNET DE SOUDURE'!AM1108)</f>
        <v/>
      </c>
      <c r="H1108" s="81" t="str">
        <f aca="false">IF(C1108="","",IF(G1108="ACCEPTÉ","OUI","NON"))</f>
        <v/>
      </c>
      <c r="I1108" s="82"/>
      <c r="J1108" s="79"/>
      <c r="K1108" s="80"/>
      <c r="L1108" s="80"/>
      <c r="M1108" s="80"/>
      <c r="N1108" s="83" t="str">
        <f aca="false">IF(C1108="","",IF(I1108="",IF(H1108="OUI","À ENROBER",IF(G1108="À SOUDER","NON SOUDÉ","EN ATTENTE RT")),IF(L1108="R","À REPRENDRE",IF(H1108&lt;&gt;"OUI","⚠ ENROBÉ AVANT ACCEPTATION RT","ENROBÉ"))))</f>
        <v/>
      </c>
      <c r="O1108" s="79"/>
    </row>
    <row r="1109" customFormat="false" ht="15" hidden="false" customHeight="false" outlineLevel="0" collapsed="false">
      <c r="A1109" s="78" t="str">
        <f aca="false">IF('CARNET DE SOUDURE'!E1109="","",'CARNET DE SOUDURE'!A1109)</f>
        <v/>
      </c>
      <c r="B1109" s="93" t="str">
        <f aca="false">IF('CARNET DE SOUDURE'!E1109="","",'CARNET DE SOUDURE'!B1109&amp;"")</f>
        <v/>
      </c>
      <c r="C1109" s="83" t="str">
        <f aca="false">IF('CARNET DE SOUDURE'!E1109="","",'CARNET DE SOUDURE'!E1109)</f>
        <v/>
      </c>
      <c r="D1109" s="78" t="str">
        <f aca="false">IF('CARNET DE SOUDURE'!E1109="","",'CARNET DE SOUDURE'!D1109&amp;"")</f>
        <v/>
      </c>
      <c r="E1109" s="96" t="str">
        <f aca="false">IF(OR('CARNET DE SOUDURE'!E1109="",'CARNET DE SOUDURE'!R1109=""),"",'CARNET DE SOUDURE'!R1109)</f>
        <v/>
      </c>
      <c r="F1109" s="81" t="str">
        <f aca="false">IF('CARNET DE SOUDURE'!E1109="","",'CARNET DE SOUDURE'!AL1109)</f>
        <v/>
      </c>
      <c r="G1109" s="81" t="str">
        <f aca="false">IF('CARNET DE SOUDURE'!E1109="","",'CARNET DE SOUDURE'!AM1109)</f>
        <v/>
      </c>
      <c r="H1109" s="81" t="str">
        <f aca="false">IF(C1109="","",IF(G1109="ACCEPTÉ","OUI","NON"))</f>
        <v/>
      </c>
      <c r="I1109" s="82"/>
      <c r="J1109" s="79"/>
      <c r="K1109" s="80"/>
      <c r="L1109" s="80"/>
      <c r="M1109" s="80"/>
      <c r="N1109" s="83" t="str">
        <f aca="false">IF(C1109="","",IF(I1109="",IF(H1109="OUI","À ENROBER",IF(G1109="À SOUDER","NON SOUDÉ","EN ATTENTE RT")),IF(L1109="R","À REPRENDRE",IF(H1109&lt;&gt;"OUI","⚠ ENROBÉ AVANT ACCEPTATION RT","ENROBÉ"))))</f>
        <v/>
      </c>
      <c r="O1109" s="79"/>
    </row>
    <row r="1110" customFormat="false" ht="15" hidden="false" customHeight="false" outlineLevel="0" collapsed="false">
      <c r="A1110" s="78" t="str">
        <f aca="false">IF('CARNET DE SOUDURE'!E1110="","",'CARNET DE SOUDURE'!A1110)</f>
        <v/>
      </c>
      <c r="B1110" s="93" t="str">
        <f aca="false">IF('CARNET DE SOUDURE'!E1110="","",'CARNET DE SOUDURE'!B1110&amp;"")</f>
        <v/>
      </c>
      <c r="C1110" s="83" t="str">
        <f aca="false">IF('CARNET DE SOUDURE'!E1110="","",'CARNET DE SOUDURE'!E1110)</f>
        <v/>
      </c>
      <c r="D1110" s="78" t="str">
        <f aca="false">IF('CARNET DE SOUDURE'!E1110="","",'CARNET DE SOUDURE'!D1110&amp;"")</f>
        <v/>
      </c>
      <c r="E1110" s="96" t="str">
        <f aca="false">IF(OR('CARNET DE SOUDURE'!E1110="",'CARNET DE SOUDURE'!R1110=""),"",'CARNET DE SOUDURE'!R1110)</f>
        <v/>
      </c>
      <c r="F1110" s="81" t="str">
        <f aca="false">IF('CARNET DE SOUDURE'!E1110="","",'CARNET DE SOUDURE'!AL1110)</f>
        <v/>
      </c>
      <c r="G1110" s="81" t="str">
        <f aca="false">IF('CARNET DE SOUDURE'!E1110="","",'CARNET DE SOUDURE'!AM1110)</f>
        <v/>
      </c>
      <c r="H1110" s="81" t="str">
        <f aca="false">IF(C1110="","",IF(G1110="ACCEPTÉ","OUI","NON"))</f>
        <v/>
      </c>
      <c r="I1110" s="82"/>
      <c r="J1110" s="79"/>
      <c r="K1110" s="80"/>
      <c r="L1110" s="80"/>
      <c r="M1110" s="80"/>
      <c r="N1110" s="83" t="str">
        <f aca="false">IF(C1110="","",IF(I1110="",IF(H1110="OUI","À ENROBER",IF(G1110="À SOUDER","NON SOUDÉ","EN ATTENTE RT")),IF(L1110="R","À REPRENDRE",IF(H1110&lt;&gt;"OUI","⚠ ENROBÉ AVANT ACCEPTATION RT","ENROBÉ"))))</f>
        <v/>
      </c>
      <c r="O1110" s="79"/>
    </row>
    <row r="1111" customFormat="false" ht="15" hidden="false" customHeight="false" outlineLevel="0" collapsed="false">
      <c r="A1111" s="78" t="str">
        <f aca="false">IF('CARNET DE SOUDURE'!E1111="","",'CARNET DE SOUDURE'!A1111)</f>
        <v/>
      </c>
      <c r="B1111" s="93" t="str">
        <f aca="false">IF('CARNET DE SOUDURE'!E1111="","",'CARNET DE SOUDURE'!B1111&amp;"")</f>
        <v/>
      </c>
      <c r="C1111" s="83" t="str">
        <f aca="false">IF('CARNET DE SOUDURE'!E1111="","",'CARNET DE SOUDURE'!E1111)</f>
        <v/>
      </c>
      <c r="D1111" s="78" t="str">
        <f aca="false">IF('CARNET DE SOUDURE'!E1111="","",'CARNET DE SOUDURE'!D1111&amp;"")</f>
        <v/>
      </c>
      <c r="E1111" s="96" t="str">
        <f aca="false">IF(OR('CARNET DE SOUDURE'!E1111="",'CARNET DE SOUDURE'!R1111=""),"",'CARNET DE SOUDURE'!R1111)</f>
        <v/>
      </c>
      <c r="F1111" s="81" t="str">
        <f aca="false">IF('CARNET DE SOUDURE'!E1111="","",'CARNET DE SOUDURE'!AL1111)</f>
        <v/>
      </c>
      <c r="G1111" s="81" t="str">
        <f aca="false">IF('CARNET DE SOUDURE'!E1111="","",'CARNET DE SOUDURE'!AM1111)</f>
        <v/>
      </c>
      <c r="H1111" s="81" t="str">
        <f aca="false">IF(C1111="","",IF(G1111="ACCEPTÉ","OUI","NON"))</f>
        <v/>
      </c>
      <c r="I1111" s="82"/>
      <c r="J1111" s="79"/>
      <c r="K1111" s="80"/>
      <c r="L1111" s="80"/>
      <c r="M1111" s="80"/>
      <c r="N1111" s="83" t="str">
        <f aca="false">IF(C1111="","",IF(I1111="",IF(H1111="OUI","À ENROBER",IF(G1111="À SOUDER","NON SOUDÉ","EN ATTENTE RT")),IF(L1111="R","À REPRENDRE",IF(H1111&lt;&gt;"OUI","⚠ ENROBÉ AVANT ACCEPTATION RT","ENROBÉ"))))</f>
        <v/>
      </c>
      <c r="O1111" s="79"/>
    </row>
    <row r="1112" customFormat="false" ht="15" hidden="false" customHeight="false" outlineLevel="0" collapsed="false">
      <c r="A1112" s="78" t="str">
        <f aca="false">IF('CARNET DE SOUDURE'!E1112="","",'CARNET DE SOUDURE'!A1112)</f>
        <v/>
      </c>
      <c r="B1112" s="93" t="str">
        <f aca="false">IF('CARNET DE SOUDURE'!E1112="","",'CARNET DE SOUDURE'!B1112&amp;"")</f>
        <v/>
      </c>
      <c r="C1112" s="83" t="str">
        <f aca="false">IF('CARNET DE SOUDURE'!E1112="","",'CARNET DE SOUDURE'!E1112)</f>
        <v/>
      </c>
      <c r="D1112" s="78" t="str">
        <f aca="false">IF('CARNET DE SOUDURE'!E1112="","",'CARNET DE SOUDURE'!D1112&amp;"")</f>
        <v/>
      </c>
      <c r="E1112" s="96" t="str">
        <f aca="false">IF(OR('CARNET DE SOUDURE'!E1112="",'CARNET DE SOUDURE'!R1112=""),"",'CARNET DE SOUDURE'!R1112)</f>
        <v/>
      </c>
      <c r="F1112" s="81" t="str">
        <f aca="false">IF('CARNET DE SOUDURE'!E1112="","",'CARNET DE SOUDURE'!AL1112)</f>
        <v/>
      </c>
      <c r="G1112" s="81" t="str">
        <f aca="false">IF('CARNET DE SOUDURE'!E1112="","",'CARNET DE SOUDURE'!AM1112)</f>
        <v/>
      </c>
      <c r="H1112" s="81" t="str">
        <f aca="false">IF(C1112="","",IF(G1112="ACCEPTÉ","OUI","NON"))</f>
        <v/>
      </c>
      <c r="I1112" s="82"/>
      <c r="J1112" s="79"/>
      <c r="K1112" s="80"/>
      <c r="L1112" s="80"/>
      <c r="M1112" s="80"/>
      <c r="N1112" s="83" t="str">
        <f aca="false">IF(C1112="","",IF(I1112="",IF(H1112="OUI","À ENROBER",IF(G1112="À SOUDER","NON SOUDÉ","EN ATTENTE RT")),IF(L1112="R","À REPRENDRE",IF(H1112&lt;&gt;"OUI","⚠ ENROBÉ AVANT ACCEPTATION RT","ENROBÉ"))))</f>
        <v/>
      </c>
      <c r="O1112" s="79"/>
    </row>
    <row r="1113" customFormat="false" ht="15" hidden="false" customHeight="false" outlineLevel="0" collapsed="false">
      <c r="A1113" s="78" t="str">
        <f aca="false">IF('CARNET DE SOUDURE'!E1113="","",'CARNET DE SOUDURE'!A1113)</f>
        <v/>
      </c>
      <c r="B1113" s="93" t="str">
        <f aca="false">IF('CARNET DE SOUDURE'!E1113="","",'CARNET DE SOUDURE'!B1113&amp;"")</f>
        <v/>
      </c>
      <c r="C1113" s="83" t="str">
        <f aca="false">IF('CARNET DE SOUDURE'!E1113="","",'CARNET DE SOUDURE'!E1113)</f>
        <v/>
      </c>
      <c r="D1113" s="78" t="str">
        <f aca="false">IF('CARNET DE SOUDURE'!E1113="","",'CARNET DE SOUDURE'!D1113&amp;"")</f>
        <v/>
      </c>
      <c r="E1113" s="96" t="str">
        <f aca="false">IF(OR('CARNET DE SOUDURE'!E1113="",'CARNET DE SOUDURE'!R1113=""),"",'CARNET DE SOUDURE'!R1113)</f>
        <v/>
      </c>
      <c r="F1113" s="81" t="str">
        <f aca="false">IF('CARNET DE SOUDURE'!E1113="","",'CARNET DE SOUDURE'!AL1113)</f>
        <v/>
      </c>
      <c r="G1113" s="81" t="str">
        <f aca="false">IF('CARNET DE SOUDURE'!E1113="","",'CARNET DE SOUDURE'!AM1113)</f>
        <v/>
      </c>
      <c r="H1113" s="81" t="str">
        <f aca="false">IF(C1113="","",IF(G1113="ACCEPTÉ","OUI","NON"))</f>
        <v/>
      </c>
      <c r="I1113" s="82"/>
      <c r="J1113" s="79"/>
      <c r="K1113" s="80"/>
      <c r="L1113" s="80"/>
      <c r="M1113" s="80"/>
      <c r="N1113" s="83" t="str">
        <f aca="false">IF(C1113="","",IF(I1113="",IF(H1113="OUI","À ENROBER",IF(G1113="À SOUDER","NON SOUDÉ","EN ATTENTE RT")),IF(L1113="R","À REPRENDRE",IF(H1113&lt;&gt;"OUI","⚠ ENROBÉ AVANT ACCEPTATION RT","ENROBÉ"))))</f>
        <v/>
      </c>
      <c r="O1113" s="79"/>
    </row>
    <row r="1114" customFormat="false" ht="15" hidden="false" customHeight="false" outlineLevel="0" collapsed="false">
      <c r="A1114" s="78" t="str">
        <f aca="false">IF('CARNET DE SOUDURE'!E1114="","",'CARNET DE SOUDURE'!A1114)</f>
        <v/>
      </c>
      <c r="B1114" s="93" t="str">
        <f aca="false">IF('CARNET DE SOUDURE'!E1114="","",'CARNET DE SOUDURE'!B1114&amp;"")</f>
        <v/>
      </c>
      <c r="C1114" s="83" t="str">
        <f aca="false">IF('CARNET DE SOUDURE'!E1114="","",'CARNET DE SOUDURE'!E1114)</f>
        <v/>
      </c>
      <c r="D1114" s="78" t="str">
        <f aca="false">IF('CARNET DE SOUDURE'!E1114="","",'CARNET DE SOUDURE'!D1114&amp;"")</f>
        <v/>
      </c>
      <c r="E1114" s="96" t="str">
        <f aca="false">IF(OR('CARNET DE SOUDURE'!E1114="",'CARNET DE SOUDURE'!R1114=""),"",'CARNET DE SOUDURE'!R1114)</f>
        <v/>
      </c>
      <c r="F1114" s="81" t="str">
        <f aca="false">IF('CARNET DE SOUDURE'!E1114="","",'CARNET DE SOUDURE'!AL1114)</f>
        <v/>
      </c>
      <c r="G1114" s="81" t="str">
        <f aca="false">IF('CARNET DE SOUDURE'!E1114="","",'CARNET DE SOUDURE'!AM1114)</f>
        <v/>
      </c>
      <c r="H1114" s="81" t="str">
        <f aca="false">IF(C1114="","",IF(G1114="ACCEPTÉ","OUI","NON"))</f>
        <v/>
      </c>
      <c r="I1114" s="82"/>
      <c r="J1114" s="79"/>
      <c r="K1114" s="80"/>
      <c r="L1114" s="80"/>
      <c r="M1114" s="80"/>
      <c r="N1114" s="83" t="str">
        <f aca="false">IF(C1114="","",IF(I1114="",IF(H1114="OUI","À ENROBER",IF(G1114="À SOUDER","NON SOUDÉ","EN ATTENTE RT")),IF(L1114="R","À REPRENDRE",IF(H1114&lt;&gt;"OUI","⚠ ENROBÉ AVANT ACCEPTATION RT","ENROBÉ"))))</f>
        <v/>
      </c>
      <c r="O1114" s="79"/>
    </row>
    <row r="1115" customFormat="false" ht="15" hidden="false" customHeight="false" outlineLevel="0" collapsed="false">
      <c r="A1115" s="78" t="str">
        <f aca="false">IF('CARNET DE SOUDURE'!E1115="","",'CARNET DE SOUDURE'!A1115)</f>
        <v/>
      </c>
      <c r="B1115" s="93" t="str">
        <f aca="false">IF('CARNET DE SOUDURE'!E1115="","",'CARNET DE SOUDURE'!B1115&amp;"")</f>
        <v/>
      </c>
      <c r="C1115" s="83" t="str">
        <f aca="false">IF('CARNET DE SOUDURE'!E1115="","",'CARNET DE SOUDURE'!E1115)</f>
        <v/>
      </c>
      <c r="D1115" s="78" t="str">
        <f aca="false">IF('CARNET DE SOUDURE'!E1115="","",'CARNET DE SOUDURE'!D1115&amp;"")</f>
        <v/>
      </c>
      <c r="E1115" s="96" t="str">
        <f aca="false">IF(OR('CARNET DE SOUDURE'!E1115="",'CARNET DE SOUDURE'!R1115=""),"",'CARNET DE SOUDURE'!R1115)</f>
        <v/>
      </c>
      <c r="F1115" s="81" t="str">
        <f aca="false">IF('CARNET DE SOUDURE'!E1115="","",'CARNET DE SOUDURE'!AL1115)</f>
        <v/>
      </c>
      <c r="G1115" s="81" t="str">
        <f aca="false">IF('CARNET DE SOUDURE'!E1115="","",'CARNET DE SOUDURE'!AM1115)</f>
        <v/>
      </c>
      <c r="H1115" s="81" t="str">
        <f aca="false">IF(C1115="","",IF(G1115="ACCEPTÉ","OUI","NON"))</f>
        <v/>
      </c>
      <c r="I1115" s="82"/>
      <c r="J1115" s="79"/>
      <c r="K1115" s="80"/>
      <c r="L1115" s="80"/>
      <c r="M1115" s="80"/>
      <c r="N1115" s="83" t="str">
        <f aca="false">IF(C1115="","",IF(I1115="",IF(H1115="OUI","À ENROBER",IF(G1115="À SOUDER","NON SOUDÉ","EN ATTENTE RT")),IF(L1115="R","À REPRENDRE",IF(H1115&lt;&gt;"OUI","⚠ ENROBÉ AVANT ACCEPTATION RT","ENROBÉ"))))</f>
        <v/>
      </c>
      <c r="O1115" s="79"/>
    </row>
    <row r="1116" customFormat="false" ht="15" hidden="false" customHeight="false" outlineLevel="0" collapsed="false">
      <c r="A1116" s="78" t="str">
        <f aca="false">IF('CARNET DE SOUDURE'!E1116="","",'CARNET DE SOUDURE'!A1116)</f>
        <v/>
      </c>
      <c r="B1116" s="93" t="str">
        <f aca="false">IF('CARNET DE SOUDURE'!E1116="","",'CARNET DE SOUDURE'!B1116&amp;"")</f>
        <v/>
      </c>
      <c r="C1116" s="83" t="str">
        <f aca="false">IF('CARNET DE SOUDURE'!E1116="","",'CARNET DE SOUDURE'!E1116)</f>
        <v/>
      </c>
      <c r="D1116" s="78" t="str">
        <f aca="false">IF('CARNET DE SOUDURE'!E1116="","",'CARNET DE SOUDURE'!D1116&amp;"")</f>
        <v/>
      </c>
      <c r="E1116" s="96" t="str">
        <f aca="false">IF(OR('CARNET DE SOUDURE'!E1116="",'CARNET DE SOUDURE'!R1116=""),"",'CARNET DE SOUDURE'!R1116)</f>
        <v/>
      </c>
      <c r="F1116" s="81" t="str">
        <f aca="false">IF('CARNET DE SOUDURE'!E1116="","",'CARNET DE SOUDURE'!AL1116)</f>
        <v/>
      </c>
      <c r="G1116" s="81" t="str">
        <f aca="false">IF('CARNET DE SOUDURE'!E1116="","",'CARNET DE SOUDURE'!AM1116)</f>
        <v/>
      </c>
      <c r="H1116" s="81" t="str">
        <f aca="false">IF(C1116="","",IF(G1116="ACCEPTÉ","OUI","NON"))</f>
        <v/>
      </c>
      <c r="I1116" s="82"/>
      <c r="J1116" s="79"/>
      <c r="K1116" s="80"/>
      <c r="L1116" s="80"/>
      <c r="M1116" s="80"/>
      <c r="N1116" s="83" t="str">
        <f aca="false">IF(C1116="","",IF(I1116="",IF(H1116="OUI","À ENROBER",IF(G1116="À SOUDER","NON SOUDÉ","EN ATTENTE RT")),IF(L1116="R","À REPRENDRE",IF(H1116&lt;&gt;"OUI","⚠ ENROBÉ AVANT ACCEPTATION RT","ENROBÉ"))))</f>
        <v/>
      </c>
      <c r="O1116" s="79"/>
    </row>
    <row r="1117" customFormat="false" ht="15" hidden="false" customHeight="false" outlineLevel="0" collapsed="false">
      <c r="A1117" s="78" t="str">
        <f aca="false">IF('CARNET DE SOUDURE'!E1117="","",'CARNET DE SOUDURE'!A1117)</f>
        <v/>
      </c>
      <c r="B1117" s="93" t="str">
        <f aca="false">IF('CARNET DE SOUDURE'!E1117="","",'CARNET DE SOUDURE'!B1117&amp;"")</f>
        <v/>
      </c>
      <c r="C1117" s="83" t="str">
        <f aca="false">IF('CARNET DE SOUDURE'!E1117="","",'CARNET DE SOUDURE'!E1117)</f>
        <v/>
      </c>
      <c r="D1117" s="78" t="str">
        <f aca="false">IF('CARNET DE SOUDURE'!E1117="","",'CARNET DE SOUDURE'!D1117&amp;"")</f>
        <v/>
      </c>
      <c r="E1117" s="96" t="str">
        <f aca="false">IF(OR('CARNET DE SOUDURE'!E1117="",'CARNET DE SOUDURE'!R1117=""),"",'CARNET DE SOUDURE'!R1117)</f>
        <v/>
      </c>
      <c r="F1117" s="81" t="str">
        <f aca="false">IF('CARNET DE SOUDURE'!E1117="","",'CARNET DE SOUDURE'!AL1117)</f>
        <v/>
      </c>
      <c r="G1117" s="81" t="str">
        <f aca="false">IF('CARNET DE SOUDURE'!E1117="","",'CARNET DE SOUDURE'!AM1117)</f>
        <v/>
      </c>
      <c r="H1117" s="81" t="str">
        <f aca="false">IF(C1117="","",IF(G1117="ACCEPTÉ","OUI","NON"))</f>
        <v/>
      </c>
      <c r="I1117" s="82"/>
      <c r="J1117" s="79"/>
      <c r="K1117" s="80"/>
      <c r="L1117" s="80"/>
      <c r="M1117" s="80"/>
      <c r="N1117" s="83" t="str">
        <f aca="false">IF(C1117="","",IF(I1117="",IF(H1117="OUI","À ENROBER",IF(G1117="À SOUDER","NON SOUDÉ","EN ATTENTE RT")),IF(L1117="R","À REPRENDRE",IF(H1117&lt;&gt;"OUI","⚠ ENROBÉ AVANT ACCEPTATION RT","ENROBÉ"))))</f>
        <v/>
      </c>
      <c r="O1117" s="79"/>
    </row>
    <row r="1118" customFormat="false" ht="15" hidden="false" customHeight="false" outlineLevel="0" collapsed="false">
      <c r="A1118" s="78" t="str">
        <f aca="false">IF('CARNET DE SOUDURE'!E1118="","",'CARNET DE SOUDURE'!A1118)</f>
        <v/>
      </c>
      <c r="B1118" s="93" t="str">
        <f aca="false">IF('CARNET DE SOUDURE'!E1118="","",'CARNET DE SOUDURE'!B1118&amp;"")</f>
        <v/>
      </c>
      <c r="C1118" s="83" t="str">
        <f aca="false">IF('CARNET DE SOUDURE'!E1118="","",'CARNET DE SOUDURE'!E1118)</f>
        <v/>
      </c>
      <c r="D1118" s="78" t="str">
        <f aca="false">IF('CARNET DE SOUDURE'!E1118="","",'CARNET DE SOUDURE'!D1118&amp;"")</f>
        <v/>
      </c>
      <c r="E1118" s="96" t="str">
        <f aca="false">IF(OR('CARNET DE SOUDURE'!E1118="",'CARNET DE SOUDURE'!R1118=""),"",'CARNET DE SOUDURE'!R1118)</f>
        <v/>
      </c>
      <c r="F1118" s="81" t="str">
        <f aca="false">IF('CARNET DE SOUDURE'!E1118="","",'CARNET DE SOUDURE'!AL1118)</f>
        <v/>
      </c>
      <c r="G1118" s="81" t="str">
        <f aca="false">IF('CARNET DE SOUDURE'!E1118="","",'CARNET DE SOUDURE'!AM1118)</f>
        <v/>
      </c>
      <c r="H1118" s="81" t="str">
        <f aca="false">IF(C1118="","",IF(G1118="ACCEPTÉ","OUI","NON"))</f>
        <v/>
      </c>
      <c r="I1118" s="82"/>
      <c r="J1118" s="79"/>
      <c r="K1118" s="80"/>
      <c r="L1118" s="80"/>
      <c r="M1118" s="80"/>
      <c r="N1118" s="83" t="str">
        <f aca="false">IF(C1118="","",IF(I1118="",IF(H1118="OUI","À ENROBER",IF(G1118="À SOUDER","NON SOUDÉ","EN ATTENTE RT")),IF(L1118="R","À REPRENDRE",IF(H1118&lt;&gt;"OUI","⚠ ENROBÉ AVANT ACCEPTATION RT","ENROBÉ"))))</f>
        <v/>
      </c>
      <c r="O1118" s="79"/>
    </row>
    <row r="1119" customFormat="false" ht="15" hidden="false" customHeight="false" outlineLevel="0" collapsed="false">
      <c r="A1119" s="78" t="str">
        <f aca="false">IF('CARNET DE SOUDURE'!E1119="","",'CARNET DE SOUDURE'!A1119)</f>
        <v/>
      </c>
      <c r="B1119" s="93" t="str">
        <f aca="false">IF('CARNET DE SOUDURE'!E1119="","",'CARNET DE SOUDURE'!B1119&amp;"")</f>
        <v/>
      </c>
      <c r="C1119" s="83" t="str">
        <f aca="false">IF('CARNET DE SOUDURE'!E1119="","",'CARNET DE SOUDURE'!E1119)</f>
        <v/>
      </c>
      <c r="D1119" s="78" t="str">
        <f aca="false">IF('CARNET DE SOUDURE'!E1119="","",'CARNET DE SOUDURE'!D1119&amp;"")</f>
        <v/>
      </c>
      <c r="E1119" s="96" t="str">
        <f aca="false">IF(OR('CARNET DE SOUDURE'!E1119="",'CARNET DE SOUDURE'!R1119=""),"",'CARNET DE SOUDURE'!R1119)</f>
        <v/>
      </c>
      <c r="F1119" s="81" t="str">
        <f aca="false">IF('CARNET DE SOUDURE'!E1119="","",'CARNET DE SOUDURE'!AL1119)</f>
        <v/>
      </c>
      <c r="G1119" s="81" t="str">
        <f aca="false">IF('CARNET DE SOUDURE'!E1119="","",'CARNET DE SOUDURE'!AM1119)</f>
        <v/>
      </c>
      <c r="H1119" s="81" t="str">
        <f aca="false">IF(C1119="","",IF(G1119="ACCEPTÉ","OUI","NON"))</f>
        <v/>
      </c>
      <c r="I1119" s="82"/>
      <c r="J1119" s="79"/>
      <c r="K1119" s="80"/>
      <c r="L1119" s="80"/>
      <c r="M1119" s="80"/>
      <c r="N1119" s="83" t="str">
        <f aca="false">IF(C1119="","",IF(I1119="",IF(H1119="OUI","À ENROBER",IF(G1119="À SOUDER","NON SOUDÉ","EN ATTENTE RT")),IF(L1119="R","À REPRENDRE",IF(H1119&lt;&gt;"OUI","⚠ ENROBÉ AVANT ACCEPTATION RT","ENROBÉ"))))</f>
        <v/>
      </c>
      <c r="O1119" s="79"/>
    </row>
    <row r="1120" customFormat="false" ht="15" hidden="false" customHeight="false" outlineLevel="0" collapsed="false">
      <c r="A1120" s="78" t="str">
        <f aca="false">IF('CARNET DE SOUDURE'!E1120="","",'CARNET DE SOUDURE'!A1120)</f>
        <v/>
      </c>
      <c r="B1120" s="93" t="str">
        <f aca="false">IF('CARNET DE SOUDURE'!E1120="","",'CARNET DE SOUDURE'!B1120&amp;"")</f>
        <v/>
      </c>
      <c r="C1120" s="83" t="str">
        <f aca="false">IF('CARNET DE SOUDURE'!E1120="","",'CARNET DE SOUDURE'!E1120)</f>
        <v/>
      </c>
      <c r="D1120" s="78" t="str">
        <f aca="false">IF('CARNET DE SOUDURE'!E1120="","",'CARNET DE SOUDURE'!D1120&amp;"")</f>
        <v/>
      </c>
      <c r="E1120" s="96" t="str">
        <f aca="false">IF(OR('CARNET DE SOUDURE'!E1120="",'CARNET DE SOUDURE'!R1120=""),"",'CARNET DE SOUDURE'!R1120)</f>
        <v/>
      </c>
      <c r="F1120" s="81" t="str">
        <f aca="false">IF('CARNET DE SOUDURE'!E1120="","",'CARNET DE SOUDURE'!AL1120)</f>
        <v/>
      </c>
      <c r="G1120" s="81" t="str">
        <f aca="false">IF('CARNET DE SOUDURE'!E1120="","",'CARNET DE SOUDURE'!AM1120)</f>
        <v/>
      </c>
      <c r="H1120" s="81" t="str">
        <f aca="false">IF(C1120="","",IF(G1120="ACCEPTÉ","OUI","NON"))</f>
        <v/>
      </c>
      <c r="I1120" s="82"/>
      <c r="J1120" s="79"/>
      <c r="K1120" s="80"/>
      <c r="L1120" s="80"/>
      <c r="M1120" s="80"/>
      <c r="N1120" s="83" t="str">
        <f aca="false">IF(C1120="","",IF(I1120="",IF(H1120="OUI","À ENROBER",IF(G1120="À SOUDER","NON SOUDÉ","EN ATTENTE RT")),IF(L1120="R","À REPRENDRE",IF(H1120&lt;&gt;"OUI","⚠ ENROBÉ AVANT ACCEPTATION RT","ENROBÉ"))))</f>
        <v/>
      </c>
      <c r="O1120" s="79"/>
    </row>
    <row r="1121" customFormat="false" ht="15" hidden="false" customHeight="false" outlineLevel="0" collapsed="false">
      <c r="A1121" s="78" t="str">
        <f aca="false">IF('CARNET DE SOUDURE'!E1121="","",'CARNET DE SOUDURE'!A1121)</f>
        <v/>
      </c>
      <c r="B1121" s="93" t="str">
        <f aca="false">IF('CARNET DE SOUDURE'!E1121="","",'CARNET DE SOUDURE'!B1121&amp;"")</f>
        <v/>
      </c>
      <c r="C1121" s="83" t="str">
        <f aca="false">IF('CARNET DE SOUDURE'!E1121="","",'CARNET DE SOUDURE'!E1121)</f>
        <v/>
      </c>
      <c r="D1121" s="78" t="str">
        <f aca="false">IF('CARNET DE SOUDURE'!E1121="","",'CARNET DE SOUDURE'!D1121&amp;"")</f>
        <v/>
      </c>
      <c r="E1121" s="96" t="str">
        <f aca="false">IF(OR('CARNET DE SOUDURE'!E1121="",'CARNET DE SOUDURE'!R1121=""),"",'CARNET DE SOUDURE'!R1121)</f>
        <v/>
      </c>
      <c r="F1121" s="81" t="str">
        <f aca="false">IF('CARNET DE SOUDURE'!E1121="","",'CARNET DE SOUDURE'!AL1121)</f>
        <v/>
      </c>
      <c r="G1121" s="81" t="str">
        <f aca="false">IF('CARNET DE SOUDURE'!E1121="","",'CARNET DE SOUDURE'!AM1121)</f>
        <v/>
      </c>
      <c r="H1121" s="81" t="str">
        <f aca="false">IF(C1121="","",IF(G1121="ACCEPTÉ","OUI","NON"))</f>
        <v/>
      </c>
      <c r="I1121" s="82"/>
      <c r="J1121" s="79"/>
      <c r="K1121" s="80"/>
      <c r="L1121" s="80"/>
      <c r="M1121" s="80"/>
      <c r="N1121" s="83" t="str">
        <f aca="false">IF(C1121="","",IF(I1121="",IF(H1121="OUI","À ENROBER",IF(G1121="À SOUDER","NON SOUDÉ","EN ATTENTE RT")),IF(L1121="R","À REPRENDRE",IF(H1121&lt;&gt;"OUI","⚠ ENROBÉ AVANT ACCEPTATION RT","ENROBÉ"))))</f>
        <v/>
      </c>
      <c r="O1121" s="79"/>
    </row>
    <row r="1122" customFormat="false" ht="15" hidden="false" customHeight="false" outlineLevel="0" collapsed="false">
      <c r="A1122" s="78" t="str">
        <f aca="false">IF('CARNET DE SOUDURE'!E1122="","",'CARNET DE SOUDURE'!A1122)</f>
        <v/>
      </c>
      <c r="B1122" s="93" t="str">
        <f aca="false">IF('CARNET DE SOUDURE'!E1122="","",'CARNET DE SOUDURE'!B1122&amp;"")</f>
        <v/>
      </c>
      <c r="C1122" s="83" t="str">
        <f aca="false">IF('CARNET DE SOUDURE'!E1122="","",'CARNET DE SOUDURE'!E1122)</f>
        <v/>
      </c>
      <c r="D1122" s="78" t="str">
        <f aca="false">IF('CARNET DE SOUDURE'!E1122="","",'CARNET DE SOUDURE'!D1122&amp;"")</f>
        <v/>
      </c>
      <c r="E1122" s="96" t="str">
        <f aca="false">IF(OR('CARNET DE SOUDURE'!E1122="",'CARNET DE SOUDURE'!R1122=""),"",'CARNET DE SOUDURE'!R1122)</f>
        <v/>
      </c>
      <c r="F1122" s="81" t="str">
        <f aca="false">IF('CARNET DE SOUDURE'!E1122="","",'CARNET DE SOUDURE'!AL1122)</f>
        <v/>
      </c>
      <c r="G1122" s="81" t="str">
        <f aca="false">IF('CARNET DE SOUDURE'!E1122="","",'CARNET DE SOUDURE'!AM1122)</f>
        <v/>
      </c>
      <c r="H1122" s="81" t="str">
        <f aca="false">IF(C1122="","",IF(G1122="ACCEPTÉ","OUI","NON"))</f>
        <v/>
      </c>
      <c r="I1122" s="82"/>
      <c r="J1122" s="79"/>
      <c r="K1122" s="80"/>
      <c r="L1122" s="80"/>
      <c r="M1122" s="80"/>
      <c r="N1122" s="83" t="str">
        <f aca="false">IF(C1122="","",IF(I1122="",IF(H1122="OUI","À ENROBER",IF(G1122="À SOUDER","NON SOUDÉ","EN ATTENTE RT")),IF(L1122="R","À REPRENDRE",IF(H1122&lt;&gt;"OUI","⚠ ENROBÉ AVANT ACCEPTATION RT","ENROBÉ"))))</f>
        <v/>
      </c>
      <c r="O1122" s="79"/>
    </row>
    <row r="1123" customFormat="false" ht="15" hidden="false" customHeight="false" outlineLevel="0" collapsed="false">
      <c r="A1123" s="78" t="str">
        <f aca="false">IF('CARNET DE SOUDURE'!E1123="","",'CARNET DE SOUDURE'!A1123)</f>
        <v/>
      </c>
      <c r="B1123" s="93" t="str">
        <f aca="false">IF('CARNET DE SOUDURE'!E1123="","",'CARNET DE SOUDURE'!B1123&amp;"")</f>
        <v/>
      </c>
      <c r="C1123" s="83" t="str">
        <f aca="false">IF('CARNET DE SOUDURE'!E1123="","",'CARNET DE SOUDURE'!E1123)</f>
        <v/>
      </c>
      <c r="D1123" s="78" t="str">
        <f aca="false">IF('CARNET DE SOUDURE'!E1123="","",'CARNET DE SOUDURE'!D1123&amp;"")</f>
        <v/>
      </c>
      <c r="E1123" s="96" t="str">
        <f aca="false">IF(OR('CARNET DE SOUDURE'!E1123="",'CARNET DE SOUDURE'!R1123=""),"",'CARNET DE SOUDURE'!R1123)</f>
        <v/>
      </c>
      <c r="F1123" s="81" t="str">
        <f aca="false">IF('CARNET DE SOUDURE'!E1123="","",'CARNET DE SOUDURE'!AL1123)</f>
        <v/>
      </c>
      <c r="G1123" s="81" t="str">
        <f aca="false">IF('CARNET DE SOUDURE'!E1123="","",'CARNET DE SOUDURE'!AM1123)</f>
        <v/>
      </c>
      <c r="H1123" s="81" t="str">
        <f aca="false">IF(C1123="","",IF(G1123="ACCEPTÉ","OUI","NON"))</f>
        <v/>
      </c>
      <c r="I1123" s="82"/>
      <c r="J1123" s="79"/>
      <c r="K1123" s="80"/>
      <c r="L1123" s="80"/>
      <c r="M1123" s="80"/>
      <c r="N1123" s="83" t="str">
        <f aca="false">IF(C1123="","",IF(I1123="",IF(H1123="OUI","À ENROBER",IF(G1123="À SOUDER","NON SOUDÉ","EN ATTENTE RT")),IF(L1123="R","À REPRENDRE",IF(H1123&lt;&gt;"OUI","⚠ ENROBÉ AVANT ACCEPTATION RT","ENROBÉ"))))</f>
        <v/>
      </c>
      <c r="O1123" s="79"/>
    </row>
    <row r="1124" customFormat="false" ht="15" hidden="false" customHeight="false" outlineLevel="0" collapsed="false">
      <c r="A1124" s="78" t="str">
        <f aca="false">IF('CARNET DE SOUDURE'!E1124="","",'CARNET DE SOUDURE'!A1124)</f>
        <v/>
      </c>
      <c r="B1124" s="93" t="str">
        <f aca="false">IF('CARNET DE SOUDURE'!E1124="","",'CARNET DE SOUDURE'!B1124&amp;"")</f>
        <v/>
      </c>
      <c r="C1124" s="83" t="str">
        <f aca="false">IF('CARNET DE SOUDURE'!E1124="","",'CARNET DE SOUDURE'!E1124)</f>
        <v/>
      </c>
      <c r="D1124" s="78" t="str">
        <f aca="false">IF('CARNET DE SOUDURE'!E1124="","",'CARNET DE SOUDURE'!D1124&amp;"")</f>
        <v/>
      </c>
      <c r="E1124" s="96" t="str">
        <f aca="false">IF(OR('CARNET DE SOUDURE'!E1124="",'CARNET DE SOUDURE'!R1124=""),"",'CARNET DE SOUDURE'!R1124)</f>
        <v/>
      </c>
      <c r="F1124" s="81" t="str">
        <f aca="false">IF('CARNET DE SOUDURE'!E1124="","",'CARNET DE SOUDURE'!AL1124)</f>
        <v/>
      </c>
      <c r="G1124" s="81" t="str">
        <f aca="false">IF('CARNET DE SOUDURE'!E1124="","",'CARNET DE SOUDURE'!AM1124)</f>
        <v/>
      </c>
      <c r="H1124" s="81" t="str">
        <f aca="false">IF(C1124="","",IF(G1124="ACCEPTÉ","OUI","NON"))</f>
        <v/>
      </c>
      <c r="I1124" s="82"/>
      <c r="J1124" s="79"/>
      <c r="K1124" s="80"/>
      <c r="L1124" s="80"/>
      <c r="M1124" s="80"/>
      <c r="N1124" s="83" t="str">
        <f aca="false">IF(C1124="","",IF(I1124="",IF(H1124="OUI","À ENROBER",IF(G1124="À SOUDER","NON SOUDÉ","EN ATTENTE RT")),IF(L1124="R","À REPRENDRE",IF(H1124&lt;&gt;"OUI","⚠ ENROBÉ AVANT ACCEPTATION RT","ENROBÉ"))))</f>
        <v/>
      </c>
      <c r="O1124" s="79"/>
    </row>
    <row r="1125" customFormat="false" ht="15" hidden="false" customHeight="false" outlineLevel="0" collapsed="false">
      <c r="A1125" s="78" t="str">
        <f aca="false">IF('CARNET DE SOUDURE'!E1125="","",'CARNET DE SOUDURE'!A1125)</f>
        <v/>
      </c>
      <c r="B1125" s="93" t="str">
        <f aca="false">IF('CARNET DE SOUDURE'!E1125="","",'CARNET DE SOUDURE'!B1125&amp;"")</f>
        <v/>
      </c>
      <c r="C1125" s="83" t="str">
        <f aca="false">IF('CARNET DE SOUDURE'!E1125="","",'CARNET DE SOUDURE'!E1125)</f>
        <v/>
      </c>
      <c r="D1125" s="78" t="str">
        <f aca="false">IF('CARNET DE SOUDURE'!E1125="","",'CARNET DE SOUDURE'!D1125&amp;"")</f>
        <v/>
      </c>
      <c r="E1125" s="96" t="str">
        <f aca="false">IF(OR('CARNET DE SOUDURE'!E1125="",'CARNET DE SOUDURE'!R1125=""),"",'CARNET DE SOUDURE'!R1125)</f>
        <v/>
      </c>
      <c r="F1125" s="81" t="str">
        <f aca="false">IF('CARNET DE SOUDURE'!E1125="","",'CARNET DE SOUDURE'!AL1125)</f>
        <v/>
      </c>
      <c r="G1125" s="81" t="str">
        <f aca="false">IF('CARNET DE SOUDURE'!E1125="","",'CARNET DE SOUDURE'!AM1125)</f>
        <v/>
      </c>
      <c r="H1125" s="81" t="str">
        <f aca="false">IF(C1125="","",IF(G1125="ACCEPTÉ","OUI","NON"))</f>
        <v/>
      </c>
      <c r="I1125" s="82"/>
      <c r="J1125" s="79"/>
      <c r="K1125" s="80"/>
      <c r="L1125" s="80"/>
      <c r="M1125" s="80"/>
      <c r="N1125" s="83" t="str">
        <f aca="false">IF(C1125="","",IF(I1125="",IF(H1125="OUI","À ENROBER",IF(G1125="À SOUDER","NON SOUDÉ","EN ATTENTE RT")),IF(L1125="R","À REPRENDRE",IF(H1125&lt;&gt;"OUI","⚠ ENROBÉ AVANT ACCEPTATION RT","ENROBÉ"))))</f>
        <v/>
      </c>
      <c r="O1125" s="79"/>
    </row>
    <row r="1126" customFormat="false" ht="15" hidden="false" customHeight="false" outlineLevel="0" collapsed="false">
      <c r="A1126" s="78" t="str">
        <f aca="false">IF('CARNET DE SOUDURE'!E1126="","",'CARNET DE SOUDURE'!A1126)</f>
        <v/>
      </c>
      <c r="B1126" s="93" t="str">
        <f aca="false">IF('CARNET DE SOUDURE'!E1126="","",'CARNET DE SOUDURE'!B1126&amp;"")</f>
        <v/>
      </c>
      <c r="C1126" s="83" t="str">
        <f aca="false">IF('CARNET DE SOUDURE'!E1126="","",'CARNET DE SOUDURE'!E1126)</f>
        <v/>
      </c>
      <c r="D1126" s="78" t="str">
        <f aca="false">IF('CARNET DE SOUDURE'!E1126="","",'CARNET DE SOUDURE'!D1126&amp;"")</f>
        <v/>
      </c>
      <c r="E1126" s="96" t="str">
        <f aca="false">IF(OR('CARNET DE SOUDURE'!E1126="",'CARNET DE SOUDURE'!R1126=""),"",'CARNET DE SOUDURE'!R1126)</f>
        <v/>
      </c>
      <c r="F1126" s="81" t="str">
        <f aca="false">IF('CARNET DE SOUDURE'!E1126="","",'CARNET DE SOUDURE'!AL1126)</f>
        <v/>
      </c>
      <c r="G1126" s="81" t="str">
        <f aca="false">IF('CARNET DE SOUDURE'!E1126="","",'CARNET DE SOUDURE'!AM1126)</f>
        <v/>
      </c>
      <c r="H1126" s="81" t="str">
        <f aca="false">IF(C1126="","",IF(G1126="ACCEPTÉ","OUI","NON"))</f>
        <v/>
      </c>
      <c r="I1126" s="82"/>
      <c r="J1126" s="79"/>
      <c r="K1126" s="80"/>
      <c r="L1126" s="80"/>
      <c r="M1126" s="80"/>
      <c r="N1126" s="83" t="str">
        <f aca="false">IF(C1126="","",IF(I1126="",IF(H1126="OUI","À ENROBER",IF(G1126="À SOUDER","NON SOUDÉ","EN ATTENTE RT")),IF(L1126="R","À REPRENDRE",IF(H1126&lt;&gt;"OUI","⚠ ENROBÉ AVANT ACCEPTATION RT","ENROBÉ"))))</f>
        <v/>
      </c>
      <c r="O1126" s="79"/>
    </row>
    <row r="1127" customFormat="false" ht="15" hidden="false" customHeight="false" outlineLevel="0" collapsed="false">
      <c r="A1127" s="78" t="str">
        <f aca="false">IF('CARNET DE SOUDURE'!E1127="","",'CARNET DE SOUDURE'!A1127)</f>
        <v/>
      </c>
      <c r="B1127" s="93" t="str">
        <f aca="false">IF('CARNET DE SOUDURE'!E1127="","",'CARNET DE SOUDURE'!B1127&amp;"")</f>
        <v/>
      </c>
      <c r="C1127" s="83" t="str">
        <f aca="false">IF('CARNET DE SOUDURE'!E1127="","",'CARNET DE SOUDURE'!E1127)</f>
        <v/>
      </c>
      <c r="D1127" s="78" t="str">
        <f aca="false">IF('CARNET DE SOUDURE'!E1127="","",'CARNET DE SOUDURE'!D1127&amp;"")</f>
        <v/>
      </c>
      <c r="E1127" s="96" t="str">
        <f aca="false">IF(OR('CARNET DE SOUDURE'!E1127="",'CARNET DE SOUDURE'!R1127=""),"",'CARNET DE SOUDURE'!R1127)</f>
        <v/>
      </c>
      <c r="F1127" s="81" t="str">
        <f aca="false">IF('CARNET DE SOUDURE'!E1127="","",'CARNET DE SOUDURE'!AL1127)</f>
        <v/>
      </c>
      <c r="G1127" s="81" t="str">
        <f aca="false">IF('CARNET DE SOUDURE'!E1127="","",'CARNET DE SOUDURE'!AM1127)</f>
        <v/>
      </c>
      <c r="H1127" s="81" t="str">
        <f aca="false">IF(C1127="","",IF(G1127="ACCEPTÉ","OUI","NON"))</f>
        <v/>
      </c>
      <c r="I1127" s="82"/>
      <c r="J1127" s="79"/>
      <c r="K1127" s="80"/>
      <c r="L1127" s="80"/>
      <c r="M1127" s="80"/>
      <c r="N1127" s="83" t="str">
        <f aca="false">IF(C1127="","",IF(I1127="",IF(H1127="OUI","À ENROBER",IF(G1127="À SOUDER","NON SOUDÉ","EN ATTENTE RT")),IF(L1127="R","À REPRENDRE",IF(H1127&lt;&gt;"OUI","⚠ ENROBÉ AVANT ACCEPTATION RT","ENROBÉ"))))</f>
        <v/>
      </c>
      <c r="O1127" s="79"/>
    </row>
    <row r="1128" customFormat="false" ht="15" hidden="false" customHeight="false" outlineLevel="0" collapsed="false">
      <c r="A1128" s="78" t="str">
        <f aca="false">IF('CARNET DE SOUDURE'!E1128="","",'CARNET DE SOUDURE'!A1128)</f>
        <v/>
      </c>
      <c r="B1128" s="93" t="str">
        <f aca="false">IF('CARNET DE SOUDURE'!E1128="","",'CARNET DE SOUDURE'!B1128&amp;"")</f>
        <v/>
      </c>
      <c r="C1128" s="83" t="str">
        <f aca="false">IF('CARNET DE SOUDURE'!E1128="","",'CARNET DE SOUDURE'!E1128)</f>
        <v/>
      </c>
      <c r="D1128" s="78" t="str">
        <f aca="false">IF('CARNET DE SOUDURE'!E1128="","",'CARNET DE SOUDURE'!D1128&amp;"")</f>
        <v/>
      </c>
      <c r="E1128" s="96" t="str">
        <f aca="false">IF(OR('CARNET DE SOUDURE'!E1128="",'CARNET DE SOUDURE'!R1128=""),"",'CARNET DE SOUDURE'!R1128)</f>
        <v/>
      </c>
      <c r="F1128" s="81" t="str">
        <f aca="false">IF('CARNET DE SOUDURE'!E1128="","",'CARNET DE SOUDURE'!AL1128)</f>
        <v/>
      </c>
      <c r="G1128" s="81" t="str">
        <f aca="false">IF('CARNET DE SOUDURE'!E1128="","",'CARNET DE SOUDURE'!AM1128)</f>
        <v/>
      </c>
      <c r="H1128" s="81" t="str">
        <f aca="false">IF(C1128="","",IF(G1128="ACCEPTÉ","OUI","NON"))</f>
        <v/>
      </c>
      <c r="I1128" s="82"/>
      <c r="J1128" s="79"/>
      <c r="K1128" s="80"/>
      <c r="L1128" s="80"/>
      <c r="M1128" s="80"/>
      <c r="N1128" s="83" t="str">
        <f aca="false">IF(C1128="","",IF(I1128="",IF(H1128="OUI","À ENROBER",IF(G1128="À SOUDER","NON SOUDÉ","EN ATTENTE RT")),IF(L1128="R","À REPRENDRE",IF(H1128&lt;&gt;"OUI","⚠ ENROBÉ AVANT ACCEPTATION RT","ENROBÉ"))))</f>
        <v/>
      </c>
      <c r="O1128" s="79"/>
    </row>
    <row r="1129" customFormat="false" ht="15" hidden="false" customHeight="false" outlineLevel="0" collapsed="false">
      <c r="A1129" s="78" t="str">
        <f aca="false">IF('CARNET DE SOUDURE'!E1129="","",'CARNET DE SOUDURE'!A1129)</f>
        <v/>
      </c>
      <c r="B1129" s="93" t="str">
        <f aca="false">IF('CARNET DE SOUDURE'!E1129="","",'CARNET DE SOUDURE'!B1129&amp;"")</f>
        <v/>
      </c>
      <c r="C1129" s="83" t="str">
        <f aca="false">IF('CARNET DE SOUDURE'!E1129="","",'CARNET DE SOUDURE'!E1129)</f>
        <v/>
      </c>
      <c r="D1129" s="78" t="str">
        <f aca="false">IF('CARNET DE SOUDURE'!E1129="","",'CARNET DE SOUDURE'!D1129&amp;"")</f>
        <v/>
      </c>
      <c r="E1129" s="96" t="str">
        <f aca="false">IF(OR('CARNET DE SOUDURE'!E1129="",'CARNET DE SOUDURE'!R1129=""),"",'CARNET DE SOUDURE'!R1129)</f>
        <v/>
      </c>
      <c r="F1129" s="81" t="str">
        <f aca="false">IF('CARNET DE SOUDURE'!E1129="","",'CARNET DE SOUDURE'!AL1129)</f>
        <v/>
      </c>
      <c r="G1129" s="81" t="str">
        <f aca="false">IF('CARNET DE SOUDURE'!E1129="","",'CARNET DE SOUDURE'!AM1129)</f>
        <v/>
      </c>
      <c r="H1129" s="81" t="str">
        <f aca="false">IF(C1129="","",IF(G1129="ACCEPTÉ","OUI","NON"))</f>
        <v/>
      </c>
      <c r="I1129" s="82"/>
      <c r="J1129" s="79"/>
      <c r="K1129" s="80"/>
      <c r="L1129" s="80"/>
      <c r="M1129" s="80"/>
      <c r="N1129" s="83" t="str">
        <f aca="false">IF(C1129="","",IF(I1129="",IF(H1129="OUI","À ENROBER",IF(G1129="À SOUDER","NON SOUDÉ","EN ATTENTE RT")),IF(L1129="R","À REPRENDRE",IF(H1129&lt;&gt;"OUI","⚠ ENROBÉ AVANT ACCEPTATION RT","ENROBÉ"))))</f>
        <v/>
      </c>
      <c r="O1129" s="79"/>
    </row>
    <row r="1130" customFormat="false" ht="15" hidden="false" customHeight="false" outlineLevel="0" collapsed="false">
      <c r="A1130" s="78" t="str">
        <f aca="false">IF('CARNET DE SOUDURE'!E1130="","",'CARNET DE SOUDURE'!A1130)</f>
        <v/>
      </c>
      <c r="B1130" s="93" t="str">
        <f aca="false">IF('CARNET DE SOUDURE'!E1130="","",'CARNET DE SOUDURE'!B1130&amp;"")</f>
        <v/>
      </c>
      <c r="C1130" s="83" t="str">
        <f aca="false">IF('CARNET DE SOUDURE'!E1130="","",'CARNET DE SOUDURE'!E1130)</f>
        <v/>
      </c>
      <c r="D1130" s="78" t="str">
        <f aca="false">IF('CARNET DE SOUDURE'!E1130="","",'CARNET DE SOUDURE'!D1130&amp;"")</f>
        <v/>
      </c>
      <c r="E1130" s="96" t="str">
        <f aca="false">IF(OR('CARNET DE SOUDURE'!E1130="",'CARNET DE SOUDURE'!R1130=""),"",'CARNET DE SOUDURE'!R1130)</f>
        <v/>
      </c>
      <c r="F1130" s="81" t="str">
        <f aca="false">IF('CARNET DE SOUDURE'!E1130="","",'CARNET DE SOUDURE'!AL1130)</f>
        <v/>
      </c>
      <c r="G1130" s="81" t="str">
        <f aca="false">IF('CARNET DE SOUDURE'!E1130="","",'CARNET DE SOUDURE'!AM1130)</f>
        <v/>
      </c>
      <c r="H1130" s="81" t="str">
        <f aca="false">IF(C1130="","",IF(G1130="ACCEPTÉ","OUI","NON"))</f>
        <v/>
      </c>
      <c r="I1130" s="82"/>
      <c r="J1130" s="79"/>
      <c r="K1130" s="80"/>
      <c r="L1130" s="80"/>
      <c r="M1130" s="80"/>
      <c r="N1130" s="83" t="str">
        <f aca="false">IF(C1130="","",IF(I1130="",IF(H1130="OUI","À ENROBER",IF(G1130="À SOUDER","NON SOUDÉ","EN ATTENTE RT")),IF(L1130="R","À REPRENDRE",IF(H1130&lt;&gt;"OUI","⚠ ENROBÉ AVANT ACCEPTATION RT","ENROBÉ"))))</f>
        <v/>
      </c>
      <c r="O1130" s="79"/>
    </row>
    <row r="1131" customFormat="false" ht="15" hidden="false" customHeight="false" outlineLevel="0" collapsed="false">
      <c r="A1131" s="78" t="str">
        <f aca="false">IF('CARNET DE SOUDURE'!E1131="","",'CARNET DE SOUDURE'!A1131)</f>
        <v/>
      </c>
      <c r="B1131" s="93" t="str">
        <f aca="false">IF('CARNET DE SOUDURE'!E1131="","",'CARNET DE SOUDURE'!B1131&amp;"")</f>
        <v/>
      </c>
      <c r="C1131" s="83" t="str">
        <f aca="false">IF('CARNET DE SOUDURE'!E1131="","",'CARNET DE SOUDURE'!E1131)</f>
        <v/>
      </c>
      <c r="D1131" s="78" t="str">
        <f aca="false">IF('CARNET DE SOUDURE'!E1131="","",'CARNET DE SOUDURE'!D1131&amp;"")</f>
        <v/>
      </c>
      <c r="E1131" s="96" t="str">
        <f aca="false">IF(OR('CARNET DE SOUDURE'!E1131="",'CARNET DE SOUDURE'!R1131=""),"",'CARNET DE SOUDURE'!R1131)</f>
        <v/>
      </c>
      <c r="F1131" s="81" t="str">
        <f aca="false">IF('CARNET DE SOUDURE'!E1131="","",'CARNET DE SOUDURE'!AL1131)</f>
        <v/>
      </c>
      <c r="G1131" s="81" t="str">
        <f aca="false">IF('CARNET DE SOUDURE'!E1131="","",'CARNET DE SOUDURE'!AM1131)</f>
        <v/>
      </c>
      <c r="H1131" s="81" t="str">
        <f aca="false">IF(C1131="","",IF(G1131="ACCEPTÉ","OUI","NON"))</f>
        <v/>
      </c>
      <c r="I1131" s="82"/>
      <c r="J1131" s="79"/>
      <c r="K1131" s="80"/>
      <c r="L1131" s="80"/>
      <c r="M1131" s="80"/>
      <c r="N1131" s="83" t="str">
        <f aca="false">IF(C1131="","",IF(I1131="",IF(H1131="OUI","À ENROBER",IF(G1131="À SOUDER","NON SOUDÉ","EN ATTENTE RT")),IF(L1131="R","À REPRENDRE",IF(H1131&lt;&gt;"OUI","⚠ ENROBÉ AVANT ACCEPTATION RT","ENROBÉ"))))</f>
        <v/>
      </c>
      <c r="O1131" s="79"/>
    </row>
    <row r="1132" customFormat="false" ht="15" hidden="false" customHeight="false" outlineLevel="0" collapsed="false">
      <c r="A1132" s="78" t="str">
        <f aca="false">IF('CARNET DE SOUDURE'!E1132="","",'CARNET DE SOUDURE'!A1132)</f>
        <v/>
      </c>
      <c r="B1132" s="93" t="str">
        <f aca="false">IF('CARNET DE SOUDURE'!E1132="","",'CARNET DE SOUDURE'!B1132&amp;"")</f>
        <v/>
      </c>
      <c r="C1132" s="83" t="str">
        <f aca="false">IF('CARNET DE SOUDURE'!E1132="","",'CARNET DE SOUDURE'!E1132)</f>
        <v/>
      </c>
      <c r="D1132" s="78" t="str">
        <f aca="false">IF('CARNET DE SOUDURE'!E1132="","",'CARNET DE SOUDURE'!D1132&amp;"")</f>
        <v/>
      </c>
      <c r="E1132" s="96" t="str">
        <f aca="false">IF(OR('CARNET DE SOUDURE'!E1132="",'CARNET DE SOUDURE'!R1132=""),"",'CARNET DE SOUDURE'!R1132)</f>
        <v/>
      </c>
      <c r="F1132" s="81" t="str">
        <f aca="false">IF('CARNET DE SOUDURE'!E1132="","",'CARNET DE SOUDURE'!AL1132)</f>
        <v/>
      </c>
      <c r="G1132" s="81" t="str">
        <f aca="false">IF('CARNET DE SOUDURE'!E1132="","",'CARNET DE SOUDURE'!AM1132)</f>
        <v/>
      </c>
      <c r="H1132" s="81" t="str">
        <f aca="false">IF(C1132="","",IF(G1132="ACCEPTÉ","OUI","NON"))</f>
        <v/>
      </c>
      <c r="I1132" s="82"/>
      <c r="J1132" s="79"/>
      <c r="K1132" s="80"/>
      <c r="L1132" s="80"/>
      <c r="M1132" s="80"/>
      <c r="N1132" s="83" t="str">
        <f aca="false">IF(C1132="","",IF(I1132="",IF(H1132="OUI","À ENROBER",IF(G1132="À SOUDER","NON SOUDÉ","EN ATTENTE RT")),IF(L1132="R","À REPRENDRE",IF(H1132&lt;&gt;"OUI","⚠ ENROBÉ AVANT ACCEPTATION RT","ENROBÉ"))))</f>
        <v/>
      </c>
      <c r="O1132" s="79"/>
    </row>
    <row r="1133" customFormat="false" ht="15" hidden="false" customHeight="false" outlineLevel="0" collapsed="false">
      <c r="A1133" s="78" t="str">
        <f aca="false">IF('CARNET DE SOUDURE'!E1133="","",'CARNET DE SOUDURE'!A1133)</f>
        <v/>
      </c>
      <c r="B1133" s="93" t="str">
        <f aca="false">IF('CARNET DE SOUDURE'!E1133="","",'CARNET DE SOUDURE'!B1133&amp;"")</f>
        <v/>
      </c>
      <c r="C1133" s="83" t="str">
        <f aca="false">IF('CARNET DE SOUDURE'!E1133="","",'CARNET DE SOUDURE'!E1133)</f>
        <v/>
      </c>
      <c r="D1133" s="78" t="str">
        <f aca="false">IF('CARNET DE SOUDURE'!E1133="","",'CARNET DE SOUDURE'!D1133&amp;"")</f>
        <v/>
      </c>
      <c r="E1133" s="96" t="str">
        <f aca="false">IF(OR('CARNET DE SOUDURE'!E1133="",'CARNET DE SOUDURE'!R1133=""),"",'CARNET DE SOUDURE'!R1133)</f>
        <v/>
      </c>
      <c r="F1133" s="81" t="str">
        <f aca="false">IF('CARNET DE SOUDURE'!E1133="","",'CARNET DE SOUDURE'!AL1133)</f>
        <v/>
      </c>
      <c r="G1133" s="81" t="str">
        <f aca="false">IF('CARNET DE SOUDURE'!E1133="","",'CARNET DE SOUDURE'!AM1133)</f>
        <v/>
      </c>
      <c r="H1133" s="81" t="str">
        <f aca="false">IF(C1133="","",IF(G1133="ACCEPTÉ","OUI","NON"))</f>
        <v/>
      </c>
      <c r="I1133" s="82"/>
      <c r="J1133" s="79"/>
      <c r="K1133" s="80"/>
      <c r="L1133" s="80"/>
      <c r="M1133" s="80"/>
      <c r="N1133" s="83" t="str">
        <f aca="false">IF(C1133="","",IF(I1133="",IF(H1133="OUI","À ENROBER",IF(G1133="À SOUDER","NON SOUDÉ","EN ATTENTE RT")),IF(L1133="R","À REPRENDRE",IF(H1133&lt;&gt;"OUI","⚠ ENROBÉ AVANT ACCEPTATION RT","ENROBÉ"))))</f>
        <v/>
      </c>
      <c r="O1133" s="79"/>
    </row>
    <row r="1134" customFormat="false" ht="15" hidden="false" customHeight="false" outlineLevel="0" collapsed="false">
      <c r="A1134" s="78" t="str">
        <f aca="false">IF('CARNET DE SOUDURE'!E1134="","",'CARNET DE SOUDURE'!A1134)</f>
        <v/>
      </c>
      <c r="B1134" s="93" t="str">
        <f aca="false">IF('CARNET DE SOUDURE'!E1134="","",'CARNET DE SOUDURE'!B1134&amp;"")</f>
        <v/>
      </c>
      <c r="C1134" s="83" t="str">
        <f aca="false">IF('CARNET DE SOUDURE'!E1134="","",'CARNET DE SOUDURE'!E1134)</f>
        <v/>
      </c>
      <c r="D1134" s="78" t="str">
        <f aca="false">IF('CARNET DE SOUDURE'!E1134="","",'CARNET DE SOUDURE'!D1134&amp;"")</f>
        <v/>
      </c>
      <c r="E1134" s="96" t="str">
        <f aca="false">IF(OR('CARNET DE SOUDURE'!E1134="",'CARNET DE SOUDURE'!R1134=""),"",'CARNET DE SOUDURE'!R1134)</f>
        <v/>
      </c>
      <c r="F1134" s="81" t="str">
        <f aca="false">IF('CARNET DE SOUDURE'!E1134="","",'CARNET DE SOUDURE'!AL1134)</f>
        <v/>
      </c>
      <c r="G1134" s="81" t="str">
        <f aca="false">IF('CARNET DE SOUDURE'!E1134="","",'CARNET DE SOUDURE'!AM1134)</f>
        <v/>
      </c>
      <c r="H1134" s="81" t="str">
        <f aca="false">IF(C1134="","",IF(G1134="ACCEPTÉ","OUI","NON"))</f>
        <v/>
      </c>
      <c r="I1134" s="82"/>
      <c r="J1134" s="79"/>
      <c r="K1134" s="80"/>
      <c r="L1134" s="80"/>
      <c r="M1134" s="80"/>
      <c r="N1134" s="83" t="str">
        <f aca="false">IF(C1134="","",IF(I1134="",IF(H1134="OUI","À ENROBER",IF(G1134="À SOUDER","NON SOUDÉ","EN ATTENTE RT")),IF(L1134="R","À REPRENDRE",IF(H1134&lt;&gt;"OUI","⚠ ENROBÉ AVANT ACCEPTATION RT","ENROBÉ"))))</f>
        <v/>
      </c>
      <c r="O1134" s="79"/>
    </row>
    <row r="1135" customFormat="false" ht="15" hidden="false" customHeight="false" outlineLevel="0" collapsed="false">
      <c r="A1135" s="78" t="str">
        <f aca="false">IF('CARNET DE SOUDURE'!E1135="","",'CARNET DE SOUDURE'!A1135)</f>
        <v/>
      </c>
      <c r="B1135" s="93" t="str">
        <f aca="false">IF('CARNET DE SOUDURE'!E1135="","",'CARNET DE SOUDURE'!B1135&amp;"")</f>
        <v/>
      </c>
      <c r="C1135" s="83" t="str">
        <f aca="false">IF('CARNET DE SOUDURE'!E1135="","",'CARNET DE SOUDURE'!E1135)</f>
        <v/>
      </c>
      <c r="D1135" s="78" t="str">
        <f aca="false">IF('CARNET DE SOUDURE'!E1135="","",'CARNET DE SOUDURE'!D1135&amp;"")</f>
        <v/>
      </c>
      <c r="E1135" s="96" t="str">
        <f aca="false">IF(OR('CARNET DE SOUDURE'!E1135="",'CARNET DE SOUDURE'!R1135=""),"",'CARNET DE SOUDURE'!R1135)</f>
        <v/>
      </c>
      <c r="F1135" s="81" t="str">
        <f aca="false">IF('CARNET DE SOUDURE'!E1135="","",'CARNET DE SOUDURE'!AL1135)</f>
        <v/>
      </c>
      <c r="G1135" s="81" t="str">
        <f aca="false">IF('CARNET DE SOUDURE'!E1135="","",'CARNET DE SOUDURE'!AM1135)</f>
        <v/>
      </c>
      <c r="H1135" s="81" t="str">
        <f aca="false">IF(C1135="","",IF(G1135="ACCEPTÉ","OUI","NON"))</f>
        <v/>
      </c>
      <c r="I1135" s="82"/>
      <c r="J1135" s="79"/>
      <c r="K1135" s="80"/>
      <c r="L1135" s="80"/>
      <c r="M1135" s="80"/>
      <c r="N1135" s="83" t="str">
        <f aca="false">IF(C1135="","",IF(I1135="",IF(H1135="OUI","À ENROBER",IF(G1135="À SOUDER","NON SOUDÉ","EN ATTENTE RT")),IF(L1135="R","À REPRENDRE",IF(H1135&lt;&gt;"OUI","⚠ ENROBÉ AVANT ACCEPTATION RT","ENROBÉ"))))</f>
        <v/>
      </c>
      <c r="O1135" s="79"/>
    </row>
    <row r="1136" customFormat="false" ht="15" hidden="false" customHeight="false" outlineLevel="0" collapsed="false">
      <c r="A1136" s="78" t="str">
        <f aca="false">IF('CARNET DE SOUDURE'!E1136="","",'CARNET DE SOUDURE'!A1136)</f>
        <v/>
      </c>
      <c r="B1136" s="93" t="str">
        <f aca="false">IF('CARNET DE SOUDURE'!E1136="","",'CARNET DE SOUDURE'!B1136&amp;"")</f>
        <v/>
      </c>
      <c r="C1136" s="83" t="str">
        <f aca="false">IF('CARNET DE SOUDURE'!E1136="","",'CARNET DE SOUDURE'!E1136)</f>
        <v/>
      </c>
      <c r="D1136" s="78" t="str">
        <f aca="false">IF('CARNET DE SOUDURE'!E1136="","",'CARNET DE SOUDURE'!D1136&amp;"")</f>
        <v/>
      </c>
      <c r="E1136" s="96" t="str">
        <f aca="false">IF(OR('CARNET DE SOUDURE'!E1136="",'CARNET DE SOUDURE'!R1136=""),"",'CARNET DE SOUDURE'!R1136)</f>
        <v/>
      </c>
      <c r="F1136" s="81" t="str">
        <f aca="false">IF('CARNET DE SOUDURE'!E1136="","",'CARNET DE SOUDURE'!AL1136)</f>
        <v/>
      </c>
      <c r="G1136" s="81" t="str">
        <f aca="false">IF('CARNET DE SOUDURE'!E1136="","",'CARNET DE SOUDURE'!AM1136)</f>
        <v/>
      </c>
      <c r="H1136" s="81" t="str">
        <f aca="false">IF(C1136="","",IF(G1136="ACCEPTÉ","OUI","NON"))</f>
        <v/>
      </c>
      <c r="I1136" s="82"/>
      <c r="J1136" s="79"/>
      <c r="K1136" s="80"/>
      <c r="L1136" s="80"/>
      <c r="M1136" s="80"/>
      <c r="N1136" s="83" t="str">
        <f aca="false">IF(C1136="","",IF(I1136="",IF(H1136="OUI","À ENROBER",IF(G1136="À SOUDER","NON SOUDÉ","EN ATTENTE RT")),IF(L1136="R","À REPRENDRE",IF(H1136&lt;&gt;"OUI","⚠ ENROBÉ AVANT ACCEPTATION RT","ENROBÉ"))))</f>
        <v/>
      </c>
      <c r="O1136" s="79"/>
    </row>
    <row r="1137" customFormat="false" ht="15" hidden="false" customHeight="false" outlineLevel="0" collapsed="false">
      <c r="A1137" s="78" t="str">
        <f aca="false">IF('CARNET DE SOUDURE'!E1137="","",'CARNET DE SOUDURE'!A1137)</f>
        <v/>
      </c>
      <c r="B1137" s="93" t="str">
        <f aca="false">IF('CARNET DE SOUDURE'!E1137="","",'CARNET DE SOUDURE'!B1137&amp;"")</f>
        <v/>
      </c>
      <c r="C1137" s="83" t="str">
        <f aca="false">IF('CARNET DE SOUDURE'!E1137="","",'CARNET DE SOUDURE'!E1137)</f>
        <v/>
      </c>
      <c r="D1137" s="78" t="str">
        <f aca="false">IF('CARNET DE SOUDURE'!E1137="","",'CARNET DE SOUDURE'!D1137&amp;"")</f>
        <v/>
      </c>
      <c r="E1137" s="96" t="str">
        <f aca="false">IF(OR('CARNET DE SOUDURE'!E1137="",'CARNET DE SOUDURE'!R1137=""),"",'CARNET DE SOUDURE'!R1137)</f>
        <v/>
      </c>
      <c r="F1137" s="81" t="str">
        <f aca="false">IF('CARNET DE SOUDURE'!E1137="","",'CARNET DE SOUDURE'!AL1137)</f>
        <v/>
      </c>
      <c r="G1137" s="81" t="str">
        <f aca="false">IF('CARNET DE SOUDURE'!E1137="","",'CARNET DE SOUDURE'!AM1137)</f>
        <v/>
      </c>
      <c r="H1137" s="81" t="str">
        <f aca="false">IF(C1137="","",IF(G1137="ACCEPTÉ","OUI","NON"))</f>
        <v/>
      </c>
      <c r="I1137" s="82"/>
      <c r="J1137" s="79"/>
      <c r="K1137" s="80"/>
      <c r="L1137" s="80"/>
      <c r="M1137" s="80"/>
      <c r="N1137" s="83" t="str">
        <f aca="false">IF(C1137="","",IF(I1137="",IF(H1137="OUI","À ENROBER",IF(G1137="À SOUDER","NON SOUDÉ","EN ATTENTE RT")),IF(L1137="R","À REPRENDRE",IF(H1137&lt;&gt;"OUI","⚠ ENROBÉ AVANT ACCEPTATION RT","ENROBÉ"))))</f>
        <v/>
      </c>
      <c r="O1137" s="79"/>
    </row>
    <row r="1138" customFormat="false" ht="15" hidden="false" customHeight="false" outlineLevel="0" collapsed="false">
      <c r="A1138" s="78" t="str">
        <f aca="false">IF('CARNET DE SOUDURE'!E1138="","",'CARNET DE SOUDURE'!A1138)</f>
        <v/>
      </c>
      <c r="B1138" s="93" t="str">
        <f aca="false">IF('CARNET DE SOUDURE'!E1138="","",'CARNET DE SOUDURE'!B1138&amp;"")</f>
        <v/>
      </c>
      <c r="C1138" s="83" t="str">
        <f aca="false">IF('CARNET DE SOUDURE'!E1138="","",'CARNET DE SOUDURE'!E1138)</f>
        <v/>
      </c>
      <c r="D1138" s="78" t="str">
        <f aca="false">IF('CARNET DE SOUDURE'!E1138="","",'CARNET DE SOUDURE'!D1138&amp;"")</f>
        <v/>
      </c>
      <c r="E1138" s="96" t="str">
        <f aca="false">IF(OR('CARNET DE SOUDURE'!E1138="",'CARNET DE SOUDURE'!R1138=""),"",'CARNET DE SOUDURE'!R1138)</f>
        <v/>
      </c>
      <c r="F1138" s="81" t="str">
        <f aca="false">IF('CARNET DE SOUDURE'!E1138="","",'CARNET DE SOUDURE'!AL1138)</f>
        <v/>
      </c>
      <c r="G1138" s="81" t="str">
        <f aca="false">IF('CARNET DE SOUDURE'!E1138="","",'CARNET DE SOUDURE'!AM1138)</f>
        <v/>
      </c>
      <c r="H1138" s="81" t="str">
        <f aca="false">IF(C1138="","",IF(G1138="ACCEPTÉ","OUI","NON"))</f>
        <v/>
      </c>
      <c r="I1138" s="82"/>
      <c r="J1138" s="79"/>
      <c r="K1138" s="80"/>
      <c r="L1138" s="80"/>
      <c r="M1138" s="80"/>
      <c r="N1138" s="83" t="str">
        <f aca="false">IF(C1138="","",IF(I1138="",IF(H1138="OUI","À ENROBER",IF(G1138="À SOUDER","NON SOUDÉ","EN ATTENTE RT")),IF(L1138="R","À REPRENDRE",IF(H1138&lt;&gt;"OUI","⚠ ENROBÉ AVANT ACCEPTATION RT","ENROBÉ"))))</f>
        <v/>
      </c>
      <c r="O1138" s="79"/>
    </row>
    <row r="1139" customFormat="false" ht="15" hidden="false" customHeight="false" outlineLevel="0" collapsed="false">
      <c r="A1139" s="78" t="str">
        <f aca="false">IF('CARNET DE SOUDURE'!E1139="","",'CARNET DE SOUDURE'!A1139)</f>
        <v/>
      </c>
      <c r="B1139" s="93" t="str">
        <f aca="false">IF('CARNET DE SOUDURE'!E1139="","",'CARNET DE SOUDURE'!B1139&amp;"")</f>
        <v/>
      </c>
      <c r="C1139" s="83" t="str">
        <f aca="false">IF('CARNET DE SOUDURE'!E1139="","",'CARNET DE SOUDURE'!E1139)</f>
        <v/>
      </c>
      <c r="D1139" s="78" t="str">
        <f aca="false">IF('CARNET DE SOUDURE'!E1139="","",'CARNET DE SOUDURE'!D1139&amp;"")</f>
        <v/>
      </c>
      <c r="E1139" s="96" t="str">
        <f aca="false">IF(OR('CARNET DE SOUDURE'!E1139="",'CARNET DE SOUDURE'!R1139=""),"",'CARNET DE SOUDURE'!R1139)</f>
        <v/>
      </c>
      <c r="F1139" s="81" t="str">
        <f aca="false">IF('CARNET DE SOUDURE'!E1139="","",'CARNET DE SOUDURE'!AL1139)</f>
        <v/>
      </c>
      <c r="G1139" s="81" t="str">
        <f aca="false">IF('CARNET DE SOUDURE'!E1139="","",'CARNET DE SOUDURE'!AM1139)</f>
        <v/>
      </c>
      <c r="H1139" s="81" t="str">
        <f aca="false">IF(C1139="","",IF(G1139="ACCEPTÉ","OUI","NON"))</f>
        <v/>
      </c>
      <c r="I1139" s="82"/>
      <c r="J1139" s="79"/>
      <c r="K1139" s="80"/>
      <c r="L1139" s="80"/>
      <c r="M1139" s="80"/>
      <c r="N1139" s="83" t="str">
        <f aca="false">IF(C1139="","",IF(I1139="",IF(H1139="OUI","À ENROBER",IF(G1139="À SOUDER","NON SOUDÉ","EN ATTENTE RT")),IF(L1139="R","À REPRENDRE",IF(H1139&lt;&gt;"OUI","⚠ ENROBÉ AVANT ACCEPTATION RT","ENROBÉ"))))</f>
        <v/>
      </c>
      <c r="O1139" s="79"/>
    </row>
    <row r="1140" customFormat="false" ht="15" hidden="false" customHeight="false" outlineLevel="0" collapsed="false">
      <c r="A1140" s="78" t="str">
        <f aca="false">IF('CARNET DE SOUDURE'!E1140="","",'CARNET DE SOUDURE'!A1140)</f>
        <v/>
      </c>
      <c r="B1140" s="93" t="str">
        <f aca="false">IF('CARNET DE SOUDURE'!E1140="","",'CARNET DE SOUDURE'!B1140&amp;"")</f>
        <v/>
      </c>
      <c r="C1140" s="83" t="str">
        <f aca="false">IF('CARNET DE SOUDURE'!E1140="","",'CARNET DE SOUDURE'!E1140)</f>
        <v/>
      </c>
      <c r="D1140" s="78" t="str">
        <f aca="false">IF('CARNET DE SOUDURE'!E1140="","",'CARNET DE SOUDURE'!D1140&amp;"")</f>
        <v/>
      </c>
      <c r="E1140" s="96" t="str">
        <f aca="false">IF(OR('CARNET DE SOUDURE'!E1140="",'CARNET DE SOUDURE'!R1140=""),"",'CARNET DE SOUDURE'!R1140)</f>
        <v/>
      </c>
      <c r="F1140" s="81" t="str">
        <f aca="false">IF('CARNET DE SOUDURE'!E1140="","",'CARNET DE SOUDURE'!AL1140)</f>
        <v/>
      </c>
      <c r="G1140" s="81" t="str">
        <f aca="false">IF('CARNET DE SOUDURE'!E1140="","",'CARNET DE SOUDURE'!AM1140)</f>
        <v/>
      </c>
      <c r="H1140" s="81" t="str">
        <f aca="false">IF(C1140="","",IF(G1140="ACCEPTÉ","OUI","NON"))</f>
        <v/>
      </c>
      <c r="I1140" s="82"/>
      <c r="J1140" s="79"/>
      <c r="K1140" s="80"/>
      <c r="L1140" s="80"/>
      <c r="M1140" s="80"/>
      <c r="N1140" s="83" t="str">
        <f aca="false">IF(C1140="","",IF(I1140="",IF(H1140="OUI","À ENROBER",IF(G1140="À SOUDER","NON SOUDÉ","EN ATTENTE RT")),IF(L1140="R","À REPRENDRE",IF(H1140&lt;&gt;"OUI","⚠ ENROBÉ AVANT ACCEPTATION RT","ENROBÉ"))))</f>
        <v/>
      </c>
      <c r="O1140" s="79"/>
    </row>
    <row r="1141" customFormat="false" ht="15" hidden="false" customHeight="false" outlineLevel="0" collapsed="false">
      <c r="A1141" s="78" t="str">
        <f aca="false">IF('CARNET DE SOUDURE'!E1141="","",'CARNET DE SOUDURE'!A1141)</f>
        <v/>
      </c>
      <c r="B1141" s="93" t="str">
        <f aca="false">IF('CARNET DE SOUDURE'!E1141="","",'CARNET DE SOUDURE'!B1141&amp;"")</f>
        <v/>
      </c>
      <c r="C1141" s="83" t="str">
        <f aca="false">IF('CARNET DE SOUDURE'!E1141="","",'CARNET DE SOUDURE'!E1141)</f>
        <v/>
      </c>
      <c r="D1141" s="78" t="str">
        <f aca="false">IF('CARNET DE SOUDURE'!E1141="","",'CARNET DE SOUDURE'!D1141&amp;"")</f>
        <v/>
      </c>
      <c r="E1141" s="96" t="str">
        <f aca="false">IF(OR('CARNET DE SOUDURE'!E1141="",'CARNET DE SOUDURE'!R1141=""),"",'CARNET DE SOUDURE'!R1141)</f>
        <v/>
      </c>
      <c r="F1141" s="81" t="str">
        <f aca="false">IF('CARNET DE SOUDURE'!E1141="","",'CARNET DE SOUDURE'!AL1141)</f>
        <v/>
      </c>
      <c r="G1141" s="81" t="str">
        <f aca="false">IF('CARNET DE SOUDURE'!E1141="","",'CARNET DE SOUDURE'!AM1141)</f>
        <v/>
      </c>
      <c r="H1141" s="81" t="str">
        <f aca="false">IF(C1141="","",IF(G1141="ACCEPTÉ","OUI","NON"))</f>
        <v/>
      </c>
      <c r="I1141" s="82"/>
      <c r="J1141" s="79"/>
      <c r="K1141" s="80"/>
      <c r="L1141" s="80"/>
      <c r="M1141" s="80"/>
      <c r="N1141" s="83" t="str">
        <f aca="false">IF(C1141="","",IF(I1141="",IF(H1141="OUI","À ENROBER",IF(G1141="À SOUDER","NON SOUDÉ","EN ATTENTE RT")),IF(L1141="R","À REPRENDRE",IF(H1141&lt;&gt;"OUI","⚠ ENROBÉ AVANT ACCEPTATION RT","ENROBÉ"))))</f>
        <v/>
      </c>
      <c r="O1141" s="79"/>
    </row>
    <row r="1142" customFormat="false" ht="15" hidden="false" customHeight="false" outlineLevel="0" collapsed="false">
      <c r="A1142" s="78" t="str">
        <f aca="false">IF('CARNET DE SOUDURE'!E1142="","",'CARNET DE SOUDURE'!A1142)</f>
        <v/>
      </c>
      <c r="B1142" s="93" t="str">
        <f aca="false">IF('CARNET DE SOUDURE'!E1142="","",'CARNET DE SOUDURE'!B1142&amp;"")</f>
        <v/>
      </c>
      <c r="C1142" s="83" t="str">
        <f aca="false">IF('CARNET DE SOUDURE'!E1142="","",'CARNET DE SOUDURE'!E1142)</f>
        <v/>
      </c>
      <c r="D1142" s="78" t="str">
        <f aca="false">IF('CARNET DE SOUDURE'!E1142="","",'CARNET DE SOUDURE'!D1142&amp;"")</f>
        <v/>
      </c>
      <c r="E1142" s="96" t="str">
        <f aca="false">IF(OR('CARNET DE SOUDURE'!E1142="",'CARNET DE SOUDURE'!R1142=""),"",'CARNET DE SOUDURE'!R1142)</f>
        <v/>
      </c>
      <c r="F1142" s="81" t="str">
        <f aca="false">IF('CARNET DE SOUDURE'!E1142="","",'CARNET DE SOUDURE'!AL1142)</f>
        <v/>
      </c>
      <c r="G1142" s="81" t="str">
        <f aca="false">IF('CARNET DE SOUDURE'!E1142="","",'CARNET DE SOUDURE'!AM1142)</f>
        <v/>
      </c>
      <c r="H1142" s="81" t="str">
        <f aca="false">IF(C1142="","",IF(G1142="ACCEPTÉ","OUI","NON"))</f>
        <v/>
      </c>
      <c r="I1142" s="82"/>
      <c r="J1142" s="79"/>
      <c r="K1142" s="80"/>
      <c r="L1142" s="80"/>
      <c r="M1142" s="80"/>
      <c r="N1142" s="83" t="str">
        <f aca="false">IF(C1142="","",IF(I1142="",IF(H1142="OUI","À ENROBER",IF(G1142="À SOUDER","NON SOUDÉ","EN ATTENTE RT")),IF(L1142="R","À REPRENDRE",IF(H1142&lt;&gt;"OUI","⚠ ENROBÉ AVANT ACCEPTATION RT","ENROBÉ"))))</f>
        <v/>
      </c>
      <c r="O1142" s="79"/>
    </row>
    <row r="1143" customFormat="false" ht="15" hidden="false" customHeight="false" outlineLevel="0" collapsed="false">
      <c r="A1143" s="78" t="str">
        <f aca="false">IF('CARNET DE SOUDURE'!E1143="","",'CARNET DE SOUDURE'!A1143)</f>
        <v/>
      </c>
      <c r="B1143" s="93" t="str">
        <f aca="false">IF('CARNET DE SOUDURE'!E1143="","",'CARNET DE SOUDURE'!B1143&amp;"")</f>
        <v/>
      </c>
      <c r="C1143" s="83" t="str">
        <f aca="false">IF('CARNET DE SOUDURE'!E1143="","",'CARNET DE SOUDURE'!E1143)</f>
        <v/>
      </c>
      <c r="D1143" s="78" t="str">
        <f aca="false">IF('CARNET DE SOUDURE'!E1143="","",'CARNET DE SOUDURE'!D1143&amp;"")</f>
        <v/>
      </c>
      <c r="E1143" s="96" t="str">
        <f aca="false">IF(OR('CARNET DE SOUDURE'!E1143="",'CARNET DE SOUDURE'!R1143=""),"",'CARNET DE SOUDURE'!R1143)</f>
        <v/>
      </c>
      <c r="F1143" s="81" t="str">
        <f aca="false">IF('CARNET DE SOUDURE'!E1143="","",'CARNET DE SOUDURE'!AL1143)</f>
        <v/>
      </c>
      <c r="G1143" s="81" t="str">
        <f aca="false">IF('CARNET DE SOUDURE'!E1143="","",'CARNET DE SOUDURE'!AM1143)</f>
        <v/>
      </c>
      <c r="H1143" s="81" t="str">
        <f aca="false">IF(C1143="","",IF(G1143="ACCEPTÉ","OUI","NON"))</f>
        <v/>
      </c>
      <c r="I1143" s="82"/>
      <c r="J1143" s="79"/>
      <c r="K1143" s="80"/>
      <c r="L1143" s="80"/>
      <c r="M1143" s="80"/>
      <c r="N1143" s="83" t="str">
        <f aca="false">IF(C1143="","",IF(I1143="",IF(H1143="OUI","À ENROBER",IF(G1143="À SOUDER","NON SOUDÉ","EN ATTENTE RT")),IF(L1143="R","À REPRENDRE",IF(H1143&lt;&gt;"OUI","⚠ ENROBÉ AVANT ACCEPTATION RT","ENROBÉ"))))</f>
        <v/>
      </c>
      <c r="O1143" s="79"/>
    </row>
    <row r="1144" customFormat="false" ht="15" hidden="false" customHeight="false" outlineLevel="0" collapsed="false">
      <c r="A1144" s="78" t="str">
        <f aca="false">IF('CARNET DE SOUDURE'!E1144="","",'CARNET DE SOUDURE'!A1144)</f>
        <v/>
      </c>
      <c r="B1144" s="93" t="str">
        <f aca="false">IF('CARNET DE SOUDURE'!E1144="","",'CARNET DE SOUDURE'!B1144&amp;"")</f>
        <v/>
      </c>
      <c r="C1144" s="83" t="str">
        <f aca="false">IF('CARNET DE SOUDURE'!E1144="","",'CARNET DE SOUDURE'!E1144)</f>
        <v/>
      </c>
      <c r="D1144" s="78" t="str">
        <f aca="false">IF('CARNET DE SOUDURE'!E1144="","",'CARNET DE SOUDURE'!D1144&amp;"")</f>
        <v/>
      </c>
      <c r="E1144" s="96" t="str">
        <f aca="false">IF(OR('CARNET DE SOUDURE'!E1144="",'CARNET DE SOUDURE'!R1144=""),"",'CARNET DE SOUDURE'!R1144)</f>
        <v/>
      </c>
      <c r="F1144" s="81" t="str">
        <f aca="false">IF('CARNET DE SOUDURE'!E1144="","",'CARNET DE SOUDURE'!AL1144)</f>
        <v/>
      </c>
      <c r="G1144" s="81" t="str">
        <f aca="false">IF('CARNET DE SOUDURE'!E1144="","",'CARNET DE SOUDURE'!AM1144)</f>
        <v/>
      </c>
      <c r="H1144" s="81" t="str">
        <f aca="false">IF(C1144="","",IF(G1144="ACCEPTÉ","OUI","NON"))</f>
        <v/>
      </c>
      <c r="I1144" s="82"/>
      <c r="J1144" s="79"/>
      <c r="K1144" s="80"/>
      <c r="L1144" s="80"/>
      <c r="M1144" s="80"/>
      <c r="N1144" s="83" t="str">
        <f aca="false">IF(C1144="","",IF(I1144="",IF(H1144="OUI","À ENROBER",IF(G1144="À SOUDER","NON SOUDÉ","EN ATTENTE RT")),IF(L1144="R","À REPRENDRE",IF(H1144&lt;&gt;"OUI","⚠ ENROBÉ AVANT ACCEPTATION RT","ENROBÉ"))))</f>
        <v/>
      </c>
      <c r="O1144" s="79"/>
    </row>
    <row r="1145" customFormat="false" ht="15" hidden="false" customHeight="false" outlineLevel="0" collapsed="false">
      <c r="A1145" s="78" t="str">
        <f aca="false">IF('CARNET DE SOUDURE'!E1145="","",'CARNET DE SOUDURE'!A1145)</f>
        <v/>
      </c>
      <c r="B1145" s="93" t="str">
        <f aca="false">IF('CARNET DE SOUDURE'!E1145="","",'CARNET DE SOUDURE'!B1145&amp;"")</f>
        <v/>
      </c>
      <c r="C1145" s="83" t="str">
        <f aca="false">IF('CARNET DE SOUDURE'!E1145="","",'CARNET DE SOUDURE'!E1145)</f>
        <v/>
      </c>
      <c r="D1145" s="78" t="str">
        <f aca="false">IF('CARNET DE SOUDURE'!E1145="","",'CARNET DE SOUDURE'!D1145&amp;"")</f>
        <v/>
      </c>
      <c r="E1145" s="96" t="str">
        <f aca="false">IF(OR('CARNET DE SOUDURE'!E1145="",'CARNET DE SOUDURE'!R1145=""),"",'CARNET DE SOUDURE'!R1145)</f>
        <v/>
      </c>
      <c r="F1145" s="81" t="str">
        <f aca="false">IF('CARNET DE SOUDURE'!E1145="","",'CARNET DE SOUDURE'!AL1145)</f>
        <v/>
      </c>
      <c r="G1145" s="81" t="str">
        <f aca="false">IF('CARNET DE SOUDURE'!E1145="","",'CARNET DE SOUDURE'!AM1145)</f>
        <v/>
      </c>
      <c r="H1145" s="81" t="str">
        <f aca="false">IF(C1145="","",IF(G1145="ACCEPTÉ","OUI","NON"))</f>
        <v/>
      </c>
      <c r="I1145" s="82"/>
      <c r="J1145" s="79"/>
      <c r="K1145" s="80"/>
      <c r="L1145" s="80"/>
      <c r="M1145" s="80"/>
      <c r="N1145" s="83" t="str">
        <f aca="false">IF(C1145="","",IF(I1145="",IF(H1145="OUI","À ENROBER",IF(G1145="À SOUDER","NON SOUDÉ","EN ATTENTE RT")),IF(L1145="R","À REPRENDRE",IF(H1145&lt;&gt;"OUI","⚠ ENROBÉ AVANT ACCEPTATION RT","ENROBÉ"))))</f>
        <v/>
      </c>
      <c r="O1145" s="79"/>
    </row>
    <row r="1146" customFormat="false" ht="15" hidden="false" customHeight="false" outlineLevel="0" collapsed="false">
      <c r="A1146" s="78" t="str">
        <f aca="false">IF('CARNET DE SOUDURE'!E1146="","",'CARNET DE SOUDURE'!A1146)</f>
        <v/>
      </c>
      <c r="B1146" s="93" t="str">
        <f aca="false">IF('CARNET DE SOUDURE'!E1146="","",'CARNET DE SOUDURE'!B1146&amp;"")</f>
        <v/>
      </c>
      <c r="C1146" s="83" t="str">
        <f aca="false">IF('CARNET DE SOUDURE'!E1146="","",'CARNET DE SOUDURE'!E1146)</f>
        <v/>
      </c>
      <c r="D1146" s="78" t="str">
        <f aca="false">IF('CARNET DE SOUDURE'!E1146="","",'CARNET DE SOUDURE'!D1146&amp;"")</f>
        <v/>
      </c>
      <c r="E1146" s="96" t="str">
        <f aca="false">IF(OR('CARNET DE SOUDURE'!E1146="",'CARNET DE SOUDURE'!R1146=""),"",'CARNET DE SOUDURE'!R1146)</f>
        <v/>
      </c>
      <c r="F1146" s="81" t="str">
        <f aca="false">IF('CARNET DE SOUDURE'!E1146="","",'CARNET DE SOUDURE'!AL1146)</f>
        <v/>
      </c>
      <c r="G1146" s="81" t="str">
        <f aca="false">IF('CARNET DE SOUDURE'!E1146="","",'CARNET DE SOUDURE'!AM1146)</f>
        <v/>
      </c>
      <c r="H1146" s="81" t="str">
        <f aca="false">IF(C1146="","",IF(G1146="ACCEPTÉ","OUI","NON"))</f>
        <v/>
      </c>
      <c r="I1146" s="82"/>
      <c r="J1146" s="79"/>
      <c r="K1146" s="80"/>
      <c r="L1146" s="80"/>
      <c r="M1146" s="80"/>
      <c r="N1146" s="83" t="str">
        <f aca="false">IF(C1146="","",IF(I1146="",IF(H1146="OUI","À ENROBER",IF(G1146="À SOUDER","NON SOUDÉ","EN ATTENTE RT")),IF(L1146="R","À REPRENDRE",IF(H1146&lt;&gt;"OUI","⚠ ENROBÉ AVANT ACCEPTATION RT","ENROBÉ"))))</f>
        <v/>
      </c>
      <c r="O1146" s="79"/>
    </row>
    <row r="1147" customFormat="false" ht="15" hidden="false" customHeight="false" outlineLevel="0" collapsed="false">
      <c r="A1147" s="78" t="str">
        <f aca="false">IF('CARNET DE SOUDURE'!E1147="","",'CARNET DE SOUDURE'!A1147)</f>
        <v/>
      </c>
      <c r="B1147" s="93" t="str">
        <f aca="false">IF('CARNET DE SOUDURE'!E1147="","",'CARNET DE SOUDURE'!B1147&amp;"")</f>
        <v/>
      </c>
      <c r="C1147" s="83" t="str">
        <f aca="false">IF('CARNET DE SOUDURE'!E1147="","",'CARNET DE SOUDURE'!E1147)</f>
        <v/>
      </c>
      <c r="D1147" s="78" t="str">
        <f aca="false">IF('CARNET DE SOUDURE'!E1147="","",'CARNET DE SOUDURE'!D1147&amp;"")</f>
        <v/>
      </c>
      <c r="E1147" s="96" t="str">
        <f aca="false">IF(OR('CARNET DE SOUDURE'!E1147="",'CARNET DE SOUDURE'!R1147=""),"",'CARNET DE SOUDURE'!R1147)</f>
        <v/>
      </c>
      <c r="F1147" s="81" t="str">
        <f aca="false">IF('CARNET DE SOUDURE'!E1147="","",'CARNET DE SOUDURE'!AL1147)</f>
        <v/>
      </c>
      <c r="G1147" s="81" t="str">
        <f aca="false">IF('CARNET DE SOUDURE'!E1147="","",'CARNET DE SOUDURE'!AM1147)</f>
        <v/>
      </c>
      <c r="H1147" s="81" t="str">
        <f aca="false">IF(C1147="","",IF(G1147="ACCEPTÉ","OUI","NON"))</f>
        <v/>
      </c>
      <c r="I1147" s="82"/>
      <c r="J1147" s="79"/>
      <c r="K1147" s="80"/>
      <c r="L1147" s="80"/>
      <c r="M1147" s="80"/>
      <c r="N1147" s="83" t="str">
        <f aca="false">IF(C1147="","",IF(I1147="",IF(H1147="OUI","À ENROBER",IF(G1147="À SOUDER","NON SOUDÉ","EN ATTENTE RT")),IF(L1147="R","À REPRENDRE",IF(H1147&lt;&gt;"OUI","⚠ ENROBÉ AVANT ACCEPTATION RT","ENROBÉ"))))</f>
        <v/>
      </c>
      <c r="O1147" s="79"/>
    </row>
    <row r="1148" customFormat="false" ht="15" hidden="false" customHeight="false" outlineLevel="0" collapsed="false">
      <c r="A1148" s="78" t="str">
        <f aca="false">IF('CARNET DE SOUDURE'!E1148="","",'CARNET DE SOUDURE'!A1148)</f>
        <v/>
      </c>
      <c r="B1148" s="93" t="str">
        <f aca="false">IF('CARNET DE SOUDURE'!E1148="","",'CARNET DE SOUDURE'!B1148&amp;"")</f>
        <v/>
      </c>
      <c r="C1148" s="83" t="str">
        <f aca="false">IF('CARNET DE SOUDURE'!E1148="","",'CARNET DE SOUDURE'!E1148)</f>
        <v/>
      </c>
      <c r="D1148" s="78" t="str">
        <f aca="false">IF('CARNET DE SOUDURE'!E1148="","",'CARNET DE SOUDURE'!D1148&amp;"")</f>
        <v/>
      </c>
      <c r="E1148" s="96" t="str">
        <f aca="false">IF(OR('CARNET DE SOUDURE'!E1148="",'CARNET DE SOUDURE'!R1148=""),"",'CARNET DE SOUDURE'!R1148)</f>
        <v/>
      </c>
      <c r="F1148" s="81" t="str">
        <f aca="false">IF('CARNET DE SOUDURE'!E1148="","",'CARNET DE SOUDURE'!AL1148)</f>
        <v/>
      </c>
      <c r="G1148" s="81" t="str">
        <f aca="false">IF('CARNET DE SOUDURE'!E1148="","",'CARNET DE SOUDURE'!AM1148)</f>
        <v/>
      </c>
      <c r="H1148" s="81" t="str">
        <f aca="false">IF(C1148="","",IF(G1148="ACCEPTÉ","OUI","NON"))</f>
        <v/>
      </c>
      <c r="I1148" s="82"/>
      <c r="J1148" s="79"/>
      <c r="K1148" s="80"/>
      <c r="L1148" s="80"/>
      <c r="M1148" s="80"/>
      <c r="N1148" s="83" t="str">
        <f aca="false">IF(C1148="","",IF(I1148="",IF(H1148="OUI","À ENROBER",IF(G1148="À SOUDER","NON SOUDÉ","EN ATTENTE RT")),IF(L1148="R","À REPRENDRE",IF(H1148&lt;&gt;"OUI","⚠ ENROBÉ AVANT ACCEPTATION RT","ENROBÉ"))))</f>
        <v/>
      </c>
      <c r="O1148" s="79"/>
    </row>
    <row r="1149" customFormat="false" ht="15" hidden="false" customHeight="false" outlineLevel="0" collapsed="false">
      <c r="A1149" s="78" t="str">
        <f aca="false">IF('CARNET DE SOUDURE'!E1149="","",'CARNET DE SOUDURE'!A1149)</f>
        <v/>
      </c>
      <c r="B1149" s="93" t="str">
        <f aca="false">IF('CARNET DE SOUDURE'!E1149="","",'CARNET DE SOUDURE'!B1149&amp;"")</f>
        <v/>
      </c>
      <c r="C1149" s="83" t="str">
        <f aca="false">IF('CARNET DE SOUDURE'!E1149="","",'CARNET DE SOUDURE'!E1149)</f>
        <v/>
      </c>
      <c r="D1149" s="78" t="str">
        <f aca="false">IF('CARNET DE SOUDURE'!E1149="","",'CARNET DE SOUDURE'!D1149&amp;"")</f>
        <v/>
      </c>
      <c r="E1149" s="96" t="str">
        <f aca="false">IF(OR('CARNET DE SOUDURE'!E1149="",'CARNET DE SOUDURE'!R1149=""),"",'CARNET DE SOUDURE'!R1149)</f>
        <v/>
      </c>
      <c r="F1149" s="81" t="str">
        <f aca="false">IF('CARNET DE SOUDURE'!E1149="","",'CARNET DE SOUDURE'!AL1149)</f>
        <v/>
      </c>
      <c r="G1149" s="81" t="str">
        <f aca="false">IF('CARNET DE SOUDURE'!E1149="","",'CARNET DE SOUDURE'!AM1149)</f>
        <v/>
      </c>
      <c r="H1149" s="81" t="str">
        <f aca="false">IF(C1149="","",IF(G1149="ACCEPTÉ","OUI","NON"))</f>
        <v/>
      </c>
      <c r="I1149" s="82"/>
      <c r="J1149" s="79"/>
      <c r="K1149" s="80"/>
      <c r="L1149" s="80"/>
      <c r="M1149" s="80"/>
      <c r="N1149" s="83" t="str">
        <f aca="false">IF(C1149="","",IF(I1149="",IF(H1149="OUI","À ENROBER",IF(G1149="À SOUDER","NON SOUDÉ","EN ATTENTE RT")),IF(L1149="R","À REPRENDRE",IF(H1149&lt;&gt;"OUI","⚠ ENROBÉ AVANT ACCEPTATION RT","ENROBÉ"))))</f>
        <v/>
      </c>
      <c r="O1149" s="79"/>
    </row>
    <row r="1150" customFormat="false" ht="15" hidden="false" customHeight="false" outlineLevel="0" collapsed="false">
      <c r="A1150" s="78" t="str">
        <f aca="false">IF('CARNET DE SOUDURE'!E1150="","",'CARNET DE SOUDURE'!A1150)</f>
        <v/>
      </c>
      <c r="B1150" s="93" t="str">
        <f aca="false">IF('CARNET DE SOUDURE'!E1150="","",'CARNET DE SOUDURE'!B1150&amp;"")</f>
        <v/>
      </c>
      <c r="C1150" s="83" t="str">
        <f aca="false">IF('CARNET DE SOUDURE'!E1150="","",'CARNET DE SOUDURE'!E1150)</f>
        <v/>
      </c>
      <c r="D1150" s="78" t="str">
        <f aca="false">IF('CARNET DE SOUDURE'!E1150="","",'CARNET DE SOUDURE'!D1150&amp;"")</f>
        <v/>
      </c>
      <c r="E1150" s="96" t="str">
        <f aca="false">IF(OR('CARNET DE SOUDURE'!E1150="",'CARNET DE SOUDURE'!R1150=""),"",'CARNET DE SOUDURE'!R1150)</f>
        <v/>
      </c>
      <c r="F1150" s="81" t="str">
        <f aca="false">IF('CARNET DE SOUDURE'!E1150="","",'CARNET DE SOUDURE'!AL1150)</f>
        <v/>
      </c>
      <c r="G1150" s="81" t="str">
        <f aca="false">IF('CARNET DE SOUDURE'!E1150="","",'CARNET DE SOUDURE'!AM1150)</f>
        <v/>
      </c>
      <c r="H1150" s="81" t="str">
        <f aca="false">IF(C1150="","",IF(G1150="ACCEPTÉ","OUI","NON"))</f>
        <v/>
      </c>
      <c r="I1150" s="82"/>
      <c r="J1150" s="79"/>
      <c r="K1150" s="80"/>
      <c r="L1150" s="80"/>
      <c r="M1150" s="80"/>
      <c r="N1150" s="83" t="str">
        <f aca="false">IF(C1150="","",IF(I1150="",IF(H1150="OUI","À ENROBER",IF(G1150="À SOUDER","NON SOUDÉ","EN ATTENTE RT")),IF(L1150="R","À REPRENDRE",IF(H1150&lt;&gt;"OUI","⚠ ENROBÉ AVANT ACCEPTATION RT","ENROBÉ"))))</f>
        <v/>
      </c>
      <c r="O1150" s="79"/>
    </row>
    <row r="1151" customFormat="false" ht="15" hidden="false" customHeight="false" outlineLevel="0" collapsed="false">
      <c r="A1151" s="78" t="str">
        <f aca="false">IF('CARNET DE SOUDURE'!E1151="","",'CARNET DE SOUDURE'!A1151)</f>
        <v/>
      </c>
      <c r="B1151" s="93" t="str">
        <f aca="false">IF('CARNET DE SOUDURE'!E1151="","",'CARNET DE SOUDURE'!B1151&amp;"")</f>
        <v/>
      </c>
      <c r="C1151" s="83" t="str">
        <f aca="false">IF('CARNET DE SOUDURE'!E1151="","",'CARNET DE SOUDURE'!E1151)</f>
        <v/>
      </c>
      <c r="D1151" s="78" t="str">
        <f aca="false">IF('CARNET DE SOUDURE'!E1151="","",'CARNET DE SOUDURE'!D1151&amp;"")</f>
        <v/>
      </c>
      <c r="E1151" s="96" t="str">
        <f aca="false">IF(OR('CARNET DE SOUDURE'!E1151="",'CARNET DE SOUDURE'!R1151=""),"",'CARNET DE SOUDURE'!R1151)</f>
        <v/>
      </c>
      <c r="F1151" s="81" t="str">
        <f aca="false">IF('CARNET DE SOUDURE'!E1151="","",'CARNET DE SOUDURE'!AL1151)</f>
        <v/>
      </c>
      <c r="G1151" s="81" t="str">
        <f aca="false">IF('CARNET DE SOUDURE'!E1151="","",'CARNET DE SOUDURE'!AM1151)</f>
        <v/>
      </c>
      <c r="H1151" s="81" t="str">
        <f aca="false">IF(C1151="","",IF(G1151="ACCEPTÉ","OUI","NON"))</f>
        <v/>
      </c>
      <c r="I1151" s="82"/>
      <c r="J1151" s="79"/>
      <c r="K1151" s="80"/>
      <c r="L1151" s="80"/>
      <c r="M1151" s="80"/>
      <c r="N1151" s="83" t="str">
        <f aca="false">IF(C1151="","",IF(I1151="",IF(H1151="OUI","À ENROBER",IF(G1151="À SOUDER","NON SOUDÉ","EN ATTENTE RT")),IF(L1151="R","À REPRENDRE",IF(H1151&lt;&gt;"OUI","⚠ ENROBÉ AVANT ACCEPTATION RT","ENROBÉ"))))</f>
        <v/>
      </c>
      <c r="O1151" s="79"/>
    </row>
    <row r="1152" customFormat="false" ht="15" hidden="false" customHeight="false" outlineLevel="0" collapsed="false">
      <c r="A1152" s="78" t="str">
        <f aca="false">IF('CARNET DE SOUDURE'!E1152="","",'CARNET DE SOUDURE'!A1152)</f>
        <v/>
      </c>
      <c r="B1152" s="93" t="str">
        <f aca="false">IF('CARNET DE SOUDURE'!E1152="","",'CARNET DE SOUDURE'!B1152&amp;"")</f>
        <v/>
      </c>
      <c r="C1152" s="83" t="str">
        <f aca="false">IF('CARNET DE SOUDURE'!E1152="","",'CARNET DE SOUDURE'!E1152)</f>
        <v/>
      </c>
      <c r="D1152" s="78" t="str">
        <f aca="false">IF('CARNET DE SOUDURE'!E1152="","",'CARNET DE SOUDURE'!D1152&amp;"")</f>
        <v/>
      </c>
      <c r="E1152" s="96" t="str">
        <f aca="false">IF(OR('CARNET DE SOUDURE'!E1152="",'CARNET DE SOUDURE'!R1152=""),"",'CARNET DE SOUDURE'!R1152)</f>
        <v/>
      </c>
      <c r="F1152" s="81" t="str">
        <f aca="false">IF('CARNET DE SOUDURE'!E1152="","",'CARNET DE SOUDURE'!AL1152)</f>
        <v/>
      </c>
      <c r="G1152" s="81" t="str">
        <f aca="false">IF('CARNET DE SOUDURE'!E1152="","",'CARNET DE SOUDURE'!AM1152)</f>
        <v/>
      </c>
      <c r="H1152" s="81" t="str">
        <f aca="false">IF(C1152="","",IF(G1152="ACCEPTÉ","OUI","NON"))</f>
        <v/>
      </c>
      <c r="I1152" s="82"/>
      <c r="J1152" s="79"/>
      <c r="K1152" s="80"/>
      <c r="L1152" s="80"/>
      <c r="M1152" s="80"/>
      <c r="N1152" s="83" t="str">
        <f aca="false">IF(C1152="","",IF(I1152="",IF(H1152="OUI","À ENROBER",IF(G1152="À SOUDER","NON SOUDÉ","EN ATTENTE RT")),IF(L1152="R","À REPRENDRE",IF(H1152&lt;&gt;"OUI","⚠ ENROBÉ AVANT ACCEPTATION RT","ENROBÉ"))))</f>
        <v/>
      </c>
      <c r="O1152" s="79"/>
    </row>
    <row r="1153" customFormat="false" ht="15" hidden="false" customHeight="false" outlineLevel="0" collapsed="false">
      <c r="A1153" s="78" t="str">
        <f aca="false">IF('CARNET DE SOUDURE'!E1153="","",'CARNET DE SOUDURE'!A1153)</f>
        <v/>
      </c>
      <c r="B1153" s="93" t="str">
        <f aca="false">IF('CARNET DE SOUDURE'!E1153="","",'CARNET DE SOUDURE'!B1153&amp;"")</f>
        <v/>
      </c>
      <c r="C1153" s="83" t="str">
        <f aca="false">IF('CARNET DE SOUDURE'!E1153="","",'CARNET DE SOUDURE'!E1153)</f>
        <v/>
      </c>
      <c r="D1153" s="78" t="str">
        <f aca="false">IF('CARNET DE SOUDURE'!E1153="","",'CARNET DE SOUDURE'!D1153&amp;"")</f>
        <v/>
      </c>
      <c r="E1153" s="96" t="str">
        <f aca="false">IF(OR('CARNET DE SOUDURE'!E1153="",'CARNET DE SOUDURE'!R1153=""),"",'CARNET DE SOUDURE'!R1153)</f>
        <v/>
      </c>
      <c r="F1153" s="81" t="str">
        <f aca="false">IF('CARNET DE SOUDURE'!E1153="","",'CARNET DE SOUDURE'!AL1153)</f>
        <v/>
      </c>
      <c r="G1153" s="81" t="str">
        <f aca="false">IF('CARNET DE SOUDURE'!E1153="","",'CARNET DE SOUDURE'!AM1153)</f>
        <v/>
      </c>
      <c r="H1153" s="81" t="str">
        <f aca="false">IF(C1153="","",IF(G1153="ACCEPTÉ","OUI","NON"))</f>
        <v/>
      </c>
      <c r="I1153" s="82"/>
      <c r="J1153" s="79"/>
      <c r="K1153" s="80"/>
      <c r="L1153" s="80"/>
      <c r="M1153" s="80"/>
      <c r="N1153" s="83" t="str">
        <f aca="false">IF(C1153="","",IF(I1153="",IF(H1153="OUI","À ENROBER",IF(G1153="À SOUDER","NON SOUDÉ","EN ATTENTE RT")),IF(L1153="R","À REPRENDRE",IF(H1153&lt;&gt;"OUI","⚠ ENROBÉ AVANT ACCEPTATION RT","ENROBÉ"))))</f>
        <v/>
      </c>
      <c r="O1153" s="79"/>
    </row>
    <row r="1154" customFormat="false" ht="15" hidden="false" customHeight="false" outlineLevel="0" collapsed="false">
      <c r="A1154" s="78" t="str">
        <f aca="false">IF('CARNET DE SOUDURE'!E1154="","",'CARNET DE SOUDURE'!A1154)</f>
        <v/>
      </c>
      <c r="B1154" s="93" t="str">
        <f aca="false">IF('CARNET DE SOUDURE'!E1154="","",'CARNET DE SOUDURE'!B1154&amp;"")</f>
        <v/>
      </c>
      <c r="C1154" s="83" t="str">
        <f aca="false">IF('CARNET DE SOUDURE'!E1154="","",'CARNET DE SOUDURE'!E1154)</f>
        <v/>
      </c>
      <c r="D1154" s="78" t="str">
        <f aca="false">IF('CARNET DE SOUDURE'!E1154="","",'CARNET DE SOUDURE'!D1154&amp;"")</f>
        <v/>
      </c>
      <c r="E1154" s="96" t="str">
        <f aca="false">IF(OR('CARNET DE SOUDURE'!E1154="",'CARNET DE SOUDURE'!R1154=""),"",'CARNET DE SOUDURE'!R1154)</f>
        <v/>
      </c>
      <c r="F1154" s="81" t="str">
        <f aca="false">IF('CARNET DE SOUDURE'!E1154="","",'CARNET DE SOUDURE'!AL1154)</f>
        <v/>
      </c>
      <c r="G1154" s="81" t="str">
        <f aca="false">IF('CARNET DE SOUDURE'!E1154="","",'CARNET DE SOUDURE'!AM1154)</f>
        <v/>
      </c>
      <c r="H1154" s="81" t="str">
        <f aca="false">IF(C1154="","",IF(G1154="ACCEPTÉ","OUI","NON"))</f>
        <v/>
      </c>
      <c r="I1154" s="82"/>
      <c r="J1154" s="79"/>
      <c r="K1154" s="80"/>
      <c r="L1154" s="80"/>
      <c r="M1154" s="80"/>
      <c r="N1154" s="83" t="str">
        <f aca="false">IF(C1154="","",IF(I1154="",IF(H1154="OUI","À ENROBER",IF(G1154="À SOUDER","NON SOUDÉ","EN ATTENTE RT")),IF(L1154="R","À REPRENDRE",IF(H1154&lt;&gt;"OUI","⚠ ENROBÉ AVANT ACCEPTATION RT","ENROBÉ"))))</f>
        <v/>
      </c>
      <c r="O1154" s="79"/>
    </row>
    <row r="1155" customFormat="false" ht="15" hidden="false" customHeight="false" outlineLevel="0" collapsed="false">
      <c r="A1155" s="78" t="str">
        <f aca="false">IF('CARNET DE SOUDURE'!E1155="","",'CARNET DE SOUDURE'!A1155)</f>
        <v/>
      </c>
      <c r="B1155" s="93" t="str">
        <f aca="false">IF('CARNET DE SOUDURE'!E1155="","",'CARNET DE SOUDURE'!B1155&amp;"")</f>
        <v/>
      </c>
      <c r="C1155" s="83" t="str">
        <f aca="false">IF('CARNET DE SOUDURE'!E1155="","",'CARNET DE SOUDURE'!E1155)</f>
        <v/>
      </c>
      <c r="D1155" s="78" t="str">
        <f aca="false">IF('CARNET DE SOUDURE'!E1155="","",'CARNET DE SOUDURE'!D1155&amp;"")</f>
        <v/>
      </c>
      <c r="E1155" s="96" t="str">
        <f aca="false">IF(OR('CARNET DE SOUDURE'!E1155="",'CARNET DE SOUDURE'!R1155=""),"",'CARNET DE SOUDURE'!R1155)</f>
        <v/>
      </c>
      <c r="F1155" s="81" t="str">
        <f aca="false">IF('CARNET DE SOUDURE'!E1155="","",'CARNET DE SOUDURE'!AL1155)</f>
        <v/>
      </c>
      <c r="G1155" s="81" t="str">
        <f aca="false">IF('CARNET DE SOUDURE'!E1155="","",'CARNET DE SOUDURE'!AM1155)</f>
        <v/>
      </c>
      <c r="H1155" s="81" t="str">
        <f aca="false">IF(C1155="","",IF(G1155="ACCEPTÉ","OUI","NON"))</f>
        <v/>
      </c>
      <c r="I1155" s="82"/>
      <c r="J1155" s="79"/>
      <c r="K1155" s="80"/>
      <c r="L1155" s="80"/>
      <c r="M1155" s="80"/>
      <c r="N1155" s="83" t="str">
        <f aca="false">IF(C1155="","",IF(I1155="",IF(H1155="OUI","À ENROBER",IF(G1155="À SOUDER","NON SOUDÉ","EN ATTENTE RT")),IF(L1155="R","À REPRENDRE",IF(H1155&lt;&gt;"OUI","⚠ ENROBÉ AVANT ACCEPTATION RT","ENROBÉ"))))</f>
        <v/>
      </c>
      <c r="O1155" s="79"/>
    </row>
    <row r="1156" customFormat="false" ht="15" hidden="false" customHeight="false" outlineLevel="0" collapsed="false">
      <c r="A1156" s="78" t="str">
        <f aca="false">IF('CARNET DE SOUDURE'!E1156="","",'CARNET DE SOUDURE'!A1156)</f>
        <v/>
      </c>
      <c r="B1156" s="93" t="str">
        <f aca="false">IF('CARNET DE SOUDURE'!E1156="","",'CARNET DE SOUDURE'!B1156&amp;"")</f>
        <v/>
      </c>
      <c r="C1156" s="83" t="str">
        <f aca="false">IF('CARNET DE SOUDURE'!E1156="","",'CARNET DE SOUDURE'!E1156)</f>
        <v/>
      </c>
      <c r="D1156" s="78" t="str">
        <f aca="false">IF('CARNET DE SOUDURE'!E1156="","",'CARNET DE SOUDURE'!D1156&amp;"")</f>
        <v/>
      </c>
      <c r="E1156" s="96" t="str">
        <f aca="false">IF(OR('CARNET DE SOUDURE'!E1156="",'CARNET DE SOUDURE'!R1156=""),"",'CARNET DE SOUDURE'!R1156)</f>
        <v/>
      </c>
      <c r="F1156" s="81" t="str">
        <f aca="false">IF('CARNET DE SOUDURE'!E1156="","",'CARNET DE SOUDURE'!AL1156)</f>
        <v/>
      </c>
      <c r="G1156" s="81" t="str">
        <f aca="false">IF('CARNET DE SOUDURE'!E1156="","",'CARNET DE SOUDURE'!AM1156)</f>
        <v/>
      </c>
      <c r="H1156" s="81" t="str">
        <f aca="false">IF(C1156="","",IF(G1156="ACCEPTÉ","OUI","NON"))</f>
        <v/>
      </c>
      <c r="I1156" s="82"/>
      <c r="J1156" s="79"/>
      <c r="K1156" s="80"/>
      <c r="L1156" s="80"/>
      <c r="M1156" s="80"/>
      <c r="N1156" s="83" t="str">
        <f aca="false">IF(C1156="","",IF(I1156="",IF(H1156="OUI","À ENROBER",IF(G1156="À SOUDER","NON SOUDÉ","EN ATTENTE RT")),IF(L1156="R","À REPRENDRE",IF(H1156&lt;&gt;"OUI","⚠ ENROBÉ AVANT ACCEPTATION RT","ENROBÉ"))))</f>
        <v/>
      </c>
      <c r="O1156" s="79"/>
    </row>
    <row r="1157" customFormat="false" ht="15" hidden="false" customHeight="false" outlineLevel="0" collapsed="false">
      <c r="A1157" s="78" t="str">
        <f aca="false">IF('CARNET DE SOUDURE'!E1157="","",'CARNET DE SOUDURE'!A1157)</f>
        <v/>
      </c>
      <c r="B1157" s="93" t="str">
        <f aca="false">IF('CARNET DE SOUDURE'!E1157="","",'CARNET DE SOUDURE'!B1157&amp;"")</f>
        <v/>
      </c>
      <c r="C1157" s="83" t="str">
        <f aca="false">IF('CARNET DE SOUDURE'!E1157="","",'CARNET DE SOUDURE'!E1157)</f>
        <v/>
      </c>
      <c r="D1157" s="78" t="str">
        <f aca="false">IF('CARNET DE SOUDURE'!E1157="","",'CARNET DE SOUDURE'!D1157&amp;"")</f>
        <v/>
      </c>
      <c r="E1157" s="96" t="str">
        <f aca="false">IF(OR('CARNET DE SOUDURE'!E1157="",'CARNET DE SOUDURE'!R1157=""),"",'CARNET DE SOUDURE'!R1157)</f>
        <v/>
      </c>
      <c r="F1157" s="81" t="str">
        <f aca="false">IF('CARNET DE SOUDURE'!E1157="","",'CARNET DE SOUDURE'!AL1157)</f>
        <v/>
      </c>
      <c r="G1157" s="81" t="str">
        <f aca="false">IF('CARNET DE SOUDURE'!E1157="","",'CARNET DE SOUDURE'!AM1157)</f>
        <v/>
      </c>
      <c r="H1157" s="81" t="str">
        <f aca="false">IF(C1157="","",IF(G1157="ACCEPTÉ","OUI","NON"))</f>
        <v/>
      </c>
      <c r="I1157" s="82"/>
      <c r="J1157" s="79"/>
      <c r="K1157" s="80"/>
      <c r="L1157" s="80"/>
      <c r="M1157" s="80"/>
      <c r="N1157" s="83" t="str">
        <f aca="false">IF(C1157="","",IF(I1157="",IF(H1157="OUI","À ENROBER",IF(G1157="À SOUDER","NON SOUDÉ","EN ATTENTE RT")),IF(L1157="R","À REPRENDRE",IF(H1157&lt;&gt;"OUI","⚠ ENROBÉ AVANT ACCEPTATION RT","ENROBÉ"))))</f>
        <v/>
      </c>
      <c r="O1157" s="79"/>
    </row>
    <row r="1158" customFormat="false" ht="15" hidden="false" customHeight="false" outlineLevel="0" collapsed="false">
      <c r="A1158" s="78" t="str">
        <f aca="false">IF('CARNET DE SOUDURE'!E1158="","",'CARNET DE SOUDURE'!A1158)</f>
        <v/>
      </c>
      <c r="B1158" s="93" t="str">
        <f aca="false">IF('CARNET DE SOUDURE'!E1158="","",'CARNET DE SOUDURE'!B1158&amp;"")</f>
        <v/>
      </c>
      <c r="C1158" s="83" t="str">
        <f aca="false">IF('CARNET DE SOUDURE'!E1158="","",'CARNET DE SOUDURE'!E1158)</f>
        <v/>
      </c>
      <c r="D1158" s="78" t="str">
        <f aca="false">IF('CARNET DE SOUDURE'!E1158="","",'CARNET DE SOUDURE'!D1158&amp;"")</f>
        <v/>
      </c>
      <c r="E1158" s="96" t="str">
        <f aca="false">IF(OR('CARNET DE SOUDURE'!E1158="",'CARNET DE SOUDURE'!R1158=""),"",'CARNET DE SOUDURE'!R1158)</f>
        <v/>
      </c>
      <c r="F1158" s="81" t="str">
        <f aca="false">IF('CARNET DE SOUDURE'!E1158="","",'CARNET DE SOUDURE'!AL1158)</f>
        <v/>
      </c>
      <c r="G1158" s="81" t="str">
        <f aca="false">IF('CARNET DE SOUDURE'!E1158="","",'CARNET DE SOUDURE'!AM1158)</f>
        <v/>
      </c>
      <c r="H1158" s="81" t="str">
        <f aca="false">IF(C1158="","",IF(G1158="ACCEPTÉ","OUI","NON"))</f>
        <v/>
      </c>
      <c r="I1158" s="82"/>
      <c r="J1158" s="79"/>
      <c r="K1158" s="80"/>
      <c r="L1158" s="80"/>
      <c r="M1158" s="80"/>
      <c r="N1158" s="83" t="str">
        <f aca="false">IF(C1158="","",IF(I1158="",IF(H1158="OUI","À ENROBER",IF(G1158="À SOUDER","NON SOUDÉ","EN ATTENTE RT")),IF(L1158="R","À REPRENDRE",IF(H1158&lt;&gt;"OUI","⚠ ENROBÉ AVANT ACCEPTATION RT","ENROBÉ"))))</f>
        <v/>
      </c>
      <c r="O1158" s="79"/>
    </row>
    <row r="1159" customFormat="false" ht="15" hidden="false" customHeight="false" outlineLevel="0" collapsed="false">
      <c r="A1159" s="78" t="str">
        <f aca="false">IF('CARNET DE SOUDURE'!E1159="","",'CARNET DE SOUDURE'!A1159)</f>
        <v/>
      </c>
      <c r="B1159" s="93" t="str">
        <f aca="false">IF('CARNET DE SOUDURE'!E1159="","",'CARNET DE SOUDURE'!B1159&amp;"")</f>
        <v/>
      </c>
      <c r="C1159" s="83" t="str">
        <f aca="false">IF('CARNET DE SOUDURE'!E1159="","",'CARNET DE SOUDURE'!E1159)</f>
        <v/>
      </c>
      <c r="D1159" s="78" t="str">
        <f aca="false">IF('CARNET DE SOUDURE'!E1159="","",'CARNET DE SOUDURE'!D1159&amp;"")</f>
        <v/>
      </c>
      <c r="E1159" s="96" t="str">
        <f aca="false">IF(OR('CARNET DE SOUDURE'!E1159="",'CARNET DE SOUDURE'!R1159=""),"",'CARNET DE SOUDURE'!R1159)</f>
        <v/>
      </c>
      <c r="F1159" s="81" t="str">
        <f aca="false">IF('CARNET DE SOUDURE'!E1159="","",'CARNET DE SOUDURE'!AL1159)</f>
        <v/>
      </c>
      <c r="G1159" s="81" t="str">
        <f aca="false">IF('CARNET DE SOUDURE'!E1159="","",'CARNET DE SOUDURE'!AM1159)</f>
        <v/>
      </c>
      <c r="H1159" s="81" t="str">
        <f aca="false">IF(C1159="","",IF(G1159="ACCEPTÉ","OUI","NON"))</f>
        <v/>
      </c>
      <c r="I1159" s="82"/>
      <c r="J1159" s="79"/>
      <c r="K1159" s="80"/>
      <c r="L1159" s="80"/>
      <c r="M1159" s="80"/>
      <c r="N1159" s="83" t="str">
        <f aca="false">IF(C1159="","",IF(I1159="",IF(H1159="OUI","À ENROBER",IF(G1159="À SOUDER","NON SOUDÉ","EN ATTENTE RT")),IF(L1159="R","À REPRENDRE",IF(H1159&lt;&gt;"OUI","⚠ ENROBÉ AVANT ACCEPTATION RT","ENROBÉ"))))</f>
        <v/>
      </c>
      <c r="O1159" s="79"/>
    </row>
    <row r="1160" customFormat="false" ht="15" hidden="false" customHeight="false" outlineLevel="0" collapsed="false">
      <c r="A1160" s="78" t="str">
        <f aca="false">IF('CARNET DE SOUDURE'!E1160="","",'CARNET DE SOUDURE'!A1160)</f>
        <v/>
      </c>
      <c r="B1160" s="93" t="str">
        <f aca="false">IF('CARNET DE SOUDURE'!E1160="","",'CARNET DE SOUDURE'!B1160&amp;"")</f>
        <v/>
      </c>
      <c r="C1160" s="83" t="str">
        <f aca="false">IF('CARNET DE SOUDURE'!E1160="","",'CARNET DE SOUDURE'!E1160)</f>
        <v/>
      </c>
      <c r="D1160" s="78" t="str">
        <f aca="false">IF('CARNET DE SOUDURE'!E1160="","",'CARNET DE SOUDURE'!D1160&amp;"")</f>
        <v/>
      </c>
      <c r="E1160" s="96" t="str">
        <f aca="false">IF(OR('CARNET DE SOUDURE'!E1160="",'CARNET DE SOUDURE'!R1160=""),"",'CARNET DE SOUDURE'!R1160)</f>
        <v/>
      </c>
      <c r="F1160" s="81" t="str">
        <f aca="false">IF('CARNET DE SOUDURE'!E1160="","",'CARNET DE SOUDURE'!AL1160)</f>
        <v/>
      </c>
      <c r="G1160" s="81" t="str">
        <f aca="false">IF('CARNET DE SOUDURE'!E1160="","",'CARNET DE SOUDURE'!AM1160)</f>
        <v/>
      </c>
      <c r="H1160" s="81" t="str">
        <f aca="false">IF(C1160="","",IF(G1160="ACCEPTÉ","OUI","NON"))</f>
        <v/>
      </c>
      <c r="I1160" s="82"/>
      <c r="J1160" s="79"/>
      <c r="K1160" s="80"/>
      <c r="L1160" s="80"/>
      <c r="M1160" s="80"/>
      <c r="N1160" s="83" t="str">
        <f aca="false">IF(C1160="","",IF(I1160="",IF(H1160="OUI","À ENROBER",IF(G1160="À SOUDER","NON SOUDÉ","EN ATTENTE RT")),IF(L1160="R","À REPRENDRE",IF(H1160&lt;&gt;"OUI","⚠ ENROBÉ AVANT ACCEPTATION RT","ENROBÉ"))))</f>
        <v/>
      </c>
      <c r="O1160" s="79"/>
    </row>
    <row r="1161" customFormat="false" ht="15" hidden="false" customHeight="false" outlineLevel="0" collapsed="false">
      <c r="A1161" s="78" t="str">
        <f aca="false">IF('CARNET DE SOUDURE'!E1161="","",'CARNET DE SOUDURE'!A1161)</f>
        <v/>
      </c>
      <c r="B1161" s="93" t="str">
        <f aca="false">IF('CARNET DE SOUDURE'!E1161="","",'CARNET DE SOUDURE'!B1161&amp;"")</f>
        <v/>
      </c>
      <c r="C1161" s="83" t="str">
        <f aca="false">IF('CARNET DE SOUDURE'!E1161="","",'CARNET DE SOUDURE'!E1161)</f>
        <v/>
      </c>
      <c r="D1161" s="78" t="str">
        <f aca="false">IF('CARNET DE SOUDURE'!E1161="","",'CARNET DE SOUDURE'!D1161&amp;"")</f>
        <v/>
      </c>
      <c r="E1161" s="96" t="str">
        <f aca="false">IF(OR('CARNET DE SOUDURE'!E1161="",'CARNET DE SOUDURE'!R1161=""),"",'CARNET DE SOUDURE'!R1161)</f>
        <v/>
      </c>
      <c r="F1161" s="81" t="str">
        <f aca="false">IF('CARNET DE SOUDURE'!E1161="","",'CARNET DE SOUDURE'!AL1161)</f>
        <v/>
      </c>
      <c r="G1161" s="81" t="str">
        <f aca="false">IF('CARNET DE SOUDURE'!E1161="","",'CARNET DE SOUDURE'!AM1161)</f>
        <v/>
      </c>
      <c r="H1161" s="81" t="str">
        <f aca="false">IF(C1161="","",IF(G1161="ACCEPTÉ","OUI","NON"))</f>
        <v/>
      </c>
      <c r="I1161" s="82"/>
      <c r="J1161" s="79"/>
      <c r="K1161" s="80"/>
      <c r="L1161" s="80"/>
      <c r="M1161" s="80"/>
      <c r="N1161" s="83" t="str">
        <f aca="false">IF(C1161="","",IF(I1161="",IF(H1161="OUI","À ENROBER",IF(G1161="À SOUDER","NON SOUDÉ","EN ATTENTE RT")),IF(L1161="R","À REPRENDRE",IF(H1161&lt;&gt;"OUI","⚠ ENROBÉ AVANT ACCEPTATION RT","ENROBÉ"))))</f>
        <v/>
      </c>
      <c r="O1161" s="79"/>
    </row>
    <row r="1162" customFormat="false" ht="15" hidden="false" customHeight="false" outlineLevel="0" collapsed="false">
      <c r="A1162" s="78" t="str">
        <f aca="false">IF('CARNET DE SOUDURE'!E1162="","",'CARNET DE SOUDURE'!A1162)</f>
        <v/>
      </c>
      <c r="B1162" s="93" t="str">
        <f aca="false">IF('CARNET DE SOUDURE'!E1162="","",'CARNET DE SOUDURE'!B1162&amp;"")</f>
        <v/>
      </c>
      <c r="C1162" s="83" t="str">
        <f aca="false">IF('CARNET DE SOUDURE'!E1162="","",'CARNET DE SOUDURE'!E1162)</f>
        <v/>
      </c>
      <c r="D1162" s="78" t="str">
        <f aca="false">IF('CARNET DE SOUDURE'!E1162="","",'CARNET DE SOUDURE'!D1162&amp;"")</f>
        <v/>
      </c>
      <c r="E1162" s="96" t="str">
        <f aca="false">IF(OR('CARNET DE SOUDURE'!E1162="",'CARNET DE SOUDURE'!R1162=""),"",'CARNET DE SOUDURE'!R1162)</f>
        <v/>
      </c>
      <c r="F1162" s="81" t="str">
        <f aca="false">IF('CARNET DE SOUDURE'!E1162="","",'CARNET DE SOUDURE'!AL1162)</f>
        <v/>
      </c>
      <c r="G1162" s="81" t="str">
        <f aca="false">IF('CARNET DE SOUDURE'!E1162="","",'CARNET DE SOUDURE'!AM1162)</f>
        <v/>
      </c>
      <c r="H1162" s="81" t="str">
        <f aca="false">IF(C1162="","",IF(G1162="ACCEPTÉ","OUI","NON"))</f>
        <v/>
      </c>
      <c r="I1162" s="82"/>
      <c r="J1162" s="79"/>
      <c r="K1162" s="80"/>
      <c r="L1162" s="80"/>
      <c r="M1162" s="80"/>
      <c r="N1162" s="83" t="str">
        <f aca="false">IF(C1162="","",IF(I1162="",IF(H1162="OUI","À ENROBER",IF(G1162="À SOUDER","NON SOUDÉ","EN ATTENTE RT")),IF(L1162="R","À REPRENDRE",IF(H1162&lt;&gt;"OUI","⚠ ENROBÉ AVANT ACCEPTATION RT","ENROBÉ"))))</f>
        <v/>
      </c>
      <c r="O1162" s="79"/>
    </row>
    <row r="1163" customFormat="false" ht="15" hidden="false" customHeight="false" outlineLevel="0" collapsed="false">
      <c r="A1163" s="78" t="str">
        <f aca="false">IF('CARNET DE SOUDURE'!E1163="","",'CARNET DE SOUDURE'!A1163)</f>
        <v/>
      </c>
      <c r="B1163" s="93" t="str">
        <f aca="false">IF('CARNET DE SOUDURE'!E1163="","",'CARNET DE SOUDURE'!B1163&amp;"")</f>
        <v/>
      </c>
      <c r="C1163" s="83" t="str">
        <f aca="false">IF('CARNET DE SOUDURE'!E1163="","",'CARNET DE SOUDURE'!E1163)</f>
        <v/>
      </c>
      <c r="D1163" s="78" t="str">
        <f aca="false">IF('CARNET DE SOUDURE'!E1163="","",'CARNET DE SOUDURE'!D1163&amp;"")</f>
        <v/>
      </c>
      <c r="E1163" s="96" t="str">
        <f aca="false">IF(OR('CARNET DE SOUDURE'!E1163="",'CARNET DE SOUDURE'!R1163=""),"",'CARNET DE SOUDURE'!R1163)</f>
        <v/>
      </c>
      <c r="F1163" s="81" t="str">
        <f aca="false">IF('CARNET DE SOUDURE'!E1163="","",'CARNET DE SOUDURE'!AL1163)</f>
        <v/>
      </c>
      <c r="G1163" s="81" t="str">
        <f aca="false">IF('CARNET DE SOUDURE'!E1163="","",'CARNET DE SOUDURE'!AM1163)</f>
        <v/>
      </c>
      <c r="H1163" s="81" t="str">
        <f aca="false">IF(C1163="","",IF(G1163="ACCEPTÉ","OUI","NON"))</f>
        <v/>
      </c>
      <c r="I1163" s="82"/>
      <c r="J1163" s="79"/>
      <c r="K1163" s="80"/>
      <c r="L1163" s="80"/>
      <c r="M1163" s="80"/>
      <c r="N1163" s="83" t="str">
        <f aca="false">IF(C1163="","",IF(I1163="",IF(H1163="OUI","À ENROBER",IF(G1163="À SOUDER","NON SOUDÉ","EN ATTENTE RT")),IF(L1163="R","À REPRENDRE",IF(H1163&lt;&gt;"OUI","⚠ ENROBÉ AVANT ACCEPTATION RT","ENROBÉ"))))</f>
        <v/>
      </c>
      <c r="O1163" s="79"/>
    </row>
    <row r="1164" customFormat="false" ht="15" hidden="false" customHeight="false" outlineLevel="0" collapsed="false">
      <c r="A1164" s="78" t="str">
        <f aca="false">IF('CARNET DE SOUDURE'!E1164="","",'CARNET DE SOUDURE'!A1164)</f>
        <v/>
      </c>
      <c r="B1164" s="93" t="str">
        <f aca="false">IF('CARNET DE SOUDURE'!E1164="","",'CARNET DE SOUDURE'!B1164&amp;"")</f>
        <v/>
      </c>
      <c r="C1164" s="83" t="str">
        <f aca="false">IF('CARNET DE SOUDURE'!E1164="","",'CARNET DE SOUDURE'!E1164)</f>
        <v/>
      </c>
      <c r="D1164" s="78" t="str">
        <f aca="false">IF('CARNET DE SOUDURE'!E1164="","",'CARNET DE SOUDURE'!D1164&amp;"")</f>
        <v/>
      </c>
      <c r="E1164" s="96" t="str">
        <f aca="false">IF(OR('CARNET DE SOUDURE'!E1164="",'CARNET DE SOUDURE'!R1164=""),"",'CARNET DE SOUDURE'!R1164)</f>
        <v/>
      </c>
      <c r="F1164" s="81" t="str">
        <f aca="false">IF('CARNET DE SOUDURE'!E1164="","",'CARNET DE SOUDURE'!AL1164)</f>
        <v/>
      </c>
      <c r="G1164" s="81" t="str">
        <f aca="false">IF('CARNET DE SOUDURE'!E1164="","",'CARNET DE SOUDURE'!AM1164)</f>
        <v/>
      </c>
      <c r="H1164" s="81" t="str">
        <f aca="false">IF(C1164="","",IF(G1164="ACCEPTÉ","OUI","NON"))</f>
        <v/>
      </c>
      <c r="I1164" s="82"/>
      <c r="J1164" s="79"/>
      <c r="K1164" s="80"/>
      <c r="L1164" s="80"/>
      <c r="M1164" s="80"/>
      <c r="N1164" s="83" t="str">
        <f aca="false">IF(C1164="","",IF(I1164="",IF(H1164="OUI","À ENROBER",IF(G1164="À SOUDER","NON SOUDÉ","EN ATTENTE RT")),IF(L1164="R","À REPRENDRE",IF(H1164&lt;&gt;"OUI","⚠ ENROBÉ AVANT ACCEPTATION RT","ENROBÉ"))))</f>
        <v/>
      </c>
      <c r="O1164" s="79"/>
    </row>
    <row r="1165" customFormat="false" ht="15" hidden="false" customHeight="false" outlineLevel="0" collapsed="false">
      <c r="A1165" s="78" t="str">
        <f aca="false">IF('CARNET DE SOUDURE'!E1165="","",'CARNET DE SOUDURE'!A1165)</f>
        <v/>
      </c>
      <c r="B1165" s="93" t="str">
        <f aca="false">IF('CARNET DE SOUDURE'!E1165="","",'CARNET DE SOUDURE'!B1165&amp;"")</f>
        <v/>
      </c>
      <c r="C1165" s="83" t="str">
        <f aca="false">IF('CARNET DE SOUDURE'!E1165="","",'CARNET DE SOUDURE'!E1165)</f>
        <v/>
      </c>
      <c r="D1165" s="78" t="str">
        <f aca="false">IF('CARNET DE SOUDURE'!E1165="","",'CARNET DE SOUDURE'!D1165&amp;"")</f>
        <v/>
      </c>
      <c r="E1165" s="96" t="str">
        <f aca="false">IF(OR('CARNET DE SOUDURE'!E1165="",'CARNET DE SOUDURE'!R1165=""),"",'CARNET DE SOUDURE'!R1165)</f>
        <v/>
      </c>
      <c r="F1165" s="81" t="str">
        <f aca="false">IF('CARNET DE SOUDURE'!E1165="","",'CARNET DE SOUDURE'!AL1165)</f>
        <v/>
      </c>
      <c r="G1165" s="81" t="str">
        <f aca="false">IF('CARNET DE SOUDURE'!E1165="","",'CARNET DE SOUDURE'!AM1165)</f>
        <v/>
      </c>
      <c r="H1165" s="81" t="str">
        <f aca="false">IF(C1165="","",IF(G1165="ACCEPTÉ","OUI","NON"))</f>
        <v/>
      </c>
      <c r="I1165" s="82"/>
      <c r="J1165" s="79"/>
      <c r="K1165" s="80"/>
      <c r="L1165" s="80"/>
      <c r="M1165" s="80"/>
      <c r="N1165" s="83" t="str">
        <f aca="false">IF(C1165="","",IF(I1165="",IF(H1165="OUI","À ENROBER",IF(G1165="À SOUDER","NON SOUDÉ","EN ATTENTE RT")),IF(L1165="R","À REPRENDRE",IF(H1165&lt;&gt;"OUI","⚠ ENROBÉ AVANT ACCEPTATION RT","ENROBÉ"))))</f>
        <v/>
      </c>
      <c r="O1165" s="79"/>
    </row>
    <row r="1166" customFormat="false" ht="15" hidden="false" customHeight="false" outlineLevel="0" collapsed="false">
      <c r="A1166" s="78" t="str">
        <f aca="false">IF('CARNET DE SOUDURE'!E1166="","",'CARNET DE SOUDURE'!A1166)</f>
        <v/>
      </c>
      <c r="B1166" s="93" t="str">
        <f aca="false">IF('CARNET DE SOUDURE'!E1166="","",'CARNET DE SOUDURE'!B1166&amp;"")</f>
        <v/>
      </c>
      <c r="C1166" s="83" t="str">
        <f aca="false">IF('CARNET DE SOUDURE'!E1166="","",'CARNET DE SOUDURE'!E1166)</f>
        <v/>
      </c>
      <c r="D1166" s="78" t="str">
        <f aca="false">IF('CARNET DE SOUDURE'!E1166="","",'CARNET DE SOUDURE'!D1166&amp;"")</f>
        <v/>
      </c>
      <c r="E1166" s="96" t="str">
        <f aca="false">IF(OR('CARNET DE SOUDURE'!E1166="",'CARNET DE SOUDURE'!R1166=""),"",'CARNET DE SOUDURE'!R1166)</f>
        <v/>
      </c>
      <c r="F1166" s="81" t="str">
        <f aca="false">IF('CARNET DE SOUDURE'!E1166="","",'CARNET DE SOUDURE'!AL1166)</f>
        <v/>
      </c>
      <c r="G1166" s="81" t="str">
        <f aca="false">IF('CARNET DE SOUDURE'!E1166="","",'CARNET DE SOUDURE'!AM1166)</f>
        <v/>
      </c>
      <c r="H1166" s="81" t="str">
        <f aca="false">IF(C1166="","",IF(G1166="ACCEPTÉ","OUI","NON"))</f>
        <v/>
      </c>
      <c r="I1166" s="82"/>
      <c r="J1166" s="79"/>
      <c r="K1166" s="80"/>
      <c r="L1166" s="80"/>
      <c r="M1166" s="80"/>
      <c r="N1166" s="83" t="str">
        <f aca="false">IF(C1166="","",IF(I1166="",IF(H1166="OUI","À ENROBER",IF(G1166="À SOUDER","NON SOUDÉ","EN ATTENTE RT")),IF(L1166="R","À REPRENDRE",IF(H1166&lt;&gt;"OUI","⚠ ENROBÉ AVANT ACCEPTATION RT","ENROBÉ"))))</f>
        <v/>
      </c>
      <c r="O1166" s="79"/>
    </row>
    <row r="1167" customFormat="false" ht="15" hidden="false" customHeight="false" outlineLevel="0" collapsed="false">
      <c r="A1167" s="78" t="str">
        <f aca="false">IF('CARNET DE SOUDURE'!E1167="","",'CARNET DE SOUDURE'!A1167)</f>
        <v/>
      </c>
      <c r="B1167" s="93" t="str">
        <f aca="false">IF('CARNET DE SOUDURE'!E1167="","",'CARNET DE SOUDURE'!B1167&amp;"")</f>
        <v/>
      </c>
      <c r="C1167" s="83" t="str">
        <f aca="false">IF('CARNET DE SOUDURE'!E1167="","",'CARNET DE SOUDURE'!E1167)</f>
        <v/>
      </c>
      <c r="D1167" s="78" t="str">
        <f aca="false">IF('CARNET DE SOUDURE'!E1167="","",'CARNET DE SOUDURE'!D1167&amp;"")</f>
        <v/>
      </c>
      <c r="E1167" s="96" t="str">
        <f aca="false">IF(OR('CARNET DE SOUDURE'!E1167="",'CARNET DE SOUDURE'!R1167=""),"",'CARNET DE SOUDURE'!R1167)</f>
        <v/>
      </c>
      <c r="F1167" s="81" t="str">
        <f aca="false">IF('CARNET DE SOUDURE'!E1167="","",'CARNET DE SOUDURE'!AL1167)</f>
        <v/>
      </c>
      <c r="G1167" s="81" t="str">
        <f aca="false">IF('CARNET DE SOUDURE'!E1167="","",'CARNET DE SOUDURE'!AM1167)</f>
        <v/>
      </c>
      <c r="H1167" s="81" t="str">
        <f aca="false">IF(C1167="","",IF(G1167="ACCEPTÉ","OUI","NON"))</f>
        <v/>
      </c>
      <c r="I1167" s="82"/>
      <c r="J1167" s="79"/>
      <c r="K1167" s="80"/>
      <c r="L1167" s="80"/>
      <c r="M1167" s="80"/>
      <c r="N1167" s="83" t="str">
        <f aca="false">IF(C1167="","",IF(I1167="",IF(H1167="OUI","À ENROBER",IF(G1167="À SOUDER","NON SOUDÉ","EN ATTENTE RT")),IF(L1167="R","À REPRENDRE",IF(H1167&lt;&gt;"OUI","⚠ ENROBÉ AVANT ACCEPTATION RT","ENROBÉ"))))</f>
        <v/>
      </c>
      <c r="O1167" s="79"/>
    </row>
    <row r="1168" customFormat="false" ht="15" hidden="false" customHeight="false" outlineLevel="0" collapsed="false">
      <c r="A1168" s="78" t="str">
        <f aca="false">IF('CARNET DE SOUDURE'!E1168="","",'CARNET DE SOUDURE'!A1168)</f>
        <v/>
      </c>
      <c r="B1168" s="93" t="str">
        <f aca="false">IF('CARNET DE SOUDURE'!E1168="","",'CARNET DE SOUDURE'!B1168&amp;"")</f>
        <v/>
      </c>
      <c r="C1168" s="83" t="str">
        <f aca="false">IF('CARNET DE SOUDURE'!E1168="","",'CARNET DE SOUDURE'!E1168)</f>
        <v/>
      </c>
      <c r="D1168" s="78" t="str">
        <f aca="false">IF('CARNET DE SOUDURE'!E1168="","",'CARNET DE SOUDURE'!D1168&amp;"")</f>
        <v/>
      </c>
      <c r="E1168" s="96" t="str">
        <f aca="false">IF(OR('CARNET DE SOUDURE'!E1168="",'CARNET DE SOUDURE'!R1168=""),"",'CARNET DE SOUDURE'!R1168)</f>
        <v/>
      </c>
      <c r="F1168" s="81" t="str">
        <f aca="false">IF('CARNET DE SOUDURE'!E1168="","",'CARNET DE SOUDURE'!AL1168)</f>
        <v/>
      </c>
      <c r="G1168" s="81" t="str">
        <f aca="false">IF('CARNET DE SOUDURE'!E1168="","",'CARNET DE SOUDURE'!AM1168)</f>
        <v/>
      </c>
      <c r="H1168" s="81" t="str">
        <f aca="false">IF(C1168="","",IF(G1168="ACCEPTÉ","OUI","NON"))</f>
        <v/>
      </c>
      <c r="I1168" s="82"/>
      <c r="J1168" s="79"/>
      <c r="K1168" s="80"/>
      <c r="L1168" s="80"/>
      <c r="M1168" s="80"/>
      <c r="N1168" s="83" t="str">
        <f aca="false">IF(C1168="","",IF(I1168="",IF(H1168="OUI","À ENROBER",IF(G1168="À SOUDER","NON SOUDÉ","EN ATTENTE RT")),IF(L1168="R","À REPRENDRE",IF(H1168&lt;&gt;"OUI","⚠ ENROBÉ AVANT ACCEPTATION RT","ENROBÉ"))))</f>
        <v/>
      </c>
      <c r="O1168" s="79"/>
    </row>
    <row r="1169" customFormat="false" ht="15" hidden="false" customHeight="false" outlineLevel="0" collapsed="false">
      <c r="A1169" s="78" t="str">
        <f aca="false">IF('CARNET DE SOUDURE'!E1169="","",'CARNET DE SOUDURE'!A1169)</f>
        <v/>
      </c>
      <c r="B1169" s="93" t="str">
        <f aca="false">IF('CARNET DE SOUDURE'!E1169="","",'CARNET DE SOUDURE'!B1169&amp;"")</f>
        <v/>
      </c>
      <c r="C1169" s="83" t="str">
        <f aca="false">IF('CARNET DE SOUDURE'!E1169="","",'CARNET DE SOUDURE'!E1169)</f>
        <v/>
      </c>
      <c r="D1169" s="78" t="str">
        <f aca="false">IF('CARNET DE SOUDURE'!E1169="","",'CARNET DE SOUDURE'!D1169&amp;"")</f>
        <v/>
      </c>
      <c r="E1169" s="96" t="str">
        <f aca="false">IF(OR('CARNET DE SOUDURE'!E1169="",'CARNET DE SOUDURE'!R1169=""),"",'CARNET DE SOUDURE'!R1169)</f>
        <v/>
      </c>
      <c r="F1169" s="81" t="str">
        <f aca="false">IF('CARNET DE SOUDURE'!E1169="","",'CARNET DE SOUDURE'!AL1169)</f>
        <v/>
      </c>
      <c r="G1169" s="81" t="str">
        <f aca="false">IF('CARNET DE SOUDURE'!E1169="","",'CARNET DE SOUDURE'!AM1169)</f>
        <v/>
      </c>
      <c r="H1169" s="81" t="str">
        <f aca="false">IF(C1169="","",IF(G1169="ACCEPTÉ","OUI","NON"))</f>
        <v/>
      </c>
      <c r="I1169" s="82"/>
      <c r="J1169" s="79"/>
      <c r="K1169" s="80"/>
      <c r="L1169" s="80"/>
      <c r="M1169" s="80"/>
      <c r="N1169" s="83" t="str">
        <f aca="false">IF(C1169="","",IF(I1169="",IF(H1169="OUI","À ENROBER",IF(G1169="À SOUDER","NON SOUDÉ","EN ATTENTE RT")),IF(L1169="R","À REPRENDRE",IF(H1169&lt;&gt;"OUI","⚠ ENROBÉ AVANT ACCEPTATION RT","ENROBÉ"))))</f>
        <v/>
      </c>
      <c r="O1169" s="79"/>
    </row>
    <row r="1170" customFormat="false" ht="15" hidden="false" customHeight="false" outlineLevel="0" collapsed="false">
      <c r="A1170" s="78" t="str">
        <f aca="false">IF('CARNET DE SOUDURE'!E1170="","",'CARNET DE SOUDURE'!A1170)</f>
        <v/>
      </c>
      <c r="B1170" s="93" t="str">
        <f aca="false">IF('CARNET DE SOUDURE'!E1170="","",'CARNET DE SOUDURE'!B1170&amp;"")</f>
        <v/>
      </c>
      <c r="C1170" s="83" t="str">
        <f aca="false">IF('CARNET DE SOUDURE'!E1170="","",'CARNET DE SOUDURE'!E1170)</f>
        <v/>
      </c>
      <c r="D1170" s="78" t="str">
        <f aca="false">IF('CARNET DE SOUDURE'!E1170="","",'CARNET DE SOUDURE'!D1170&amp;"")</f>
        <v/>
      </c>
      <c r="E1170" s="96" t="str">
        <f aca="false">IF(OR('CARNET DE SOUDURE'!E1170="",'CARNET DE SOUDURE'!R1170=""),"",'CARNET DE SOUDURE'!R1170)</f>
        <v/>
      </c>
      <c r="F1170" s="81" t="str">
        <f aca="false">IF('CARNET DE SOUDURE'!E1170="","",'CARNET DE SOUDURE'!AL1170)</f>
        <v/>
      </c>
      <c r="G1170" s="81" t="str">
        <f aca="false">IF('CARNET DE SOUDURE'!E1170="","",'CARNET DE SOUDURE'!AM1170)</f>
        <v/>
      </c>
      <c r="H1170" s="81" t="str">
        <f aca="false">IF(C1170="","",IF(G1170="ACCEPTÉ","OUI","NON"))</f>
        <v/>
      </c>
      <c r="I1170" s="82"/>
      <c r="J1170" s="79"/>
      <c r="K1170" s="80"/>
      <c r="L1170" s="80"/>
      <c r="M1170" s="80"/>
      <c r="N1170" s="83" t="str">
        <f aca="false">IF(C1170="","",IF(I1170="",IF(H1170="OUI","À ENROBER",IF(G1170="À SOUDER","NON SOUDÉ","EN ATTENTE RT")),IF(L1170="R","À REPRENDRE",IF(H1170&lt;&gt;"OUI","⚠ ENROBÉ AVANT ACCEPTATION RT","ENROBÉ"))))</f>
        <v/>
      </c>
      <c r="O1170" s="79"/>
    </row>
    <row r="1171" customFormat="false" ht="15" hidden="false" customHeight="false" outlineLevel="0" collapsed="false">
      <c r="A1171" s="78" t="str">
        <f aca="false">IF('CARNET DE SOUDURE'!E1171="","",'CARNET DE SOUDURE'!A1171)</f>
        <v/>
      </c>
      <c r="B1171" s="93" t="str">
        <f aca="false">IF('CARNET DE SOUDURE'!E1171="","",'CARNET DE SOUDURE'!B1171&amp;"")</f>
        <v/>
      </c>
      <c r="C1171" s="83" t="str">
        <f aca="false">IF('CARNET DE SOUDURE'!E1171="","",'CARNET DE SOUDURE'!E1171)</f>
        <v/>
      </c>
      <c r="D1171" s="78" t="str">
        <f aca="false">IF('CARNET DE SOUDURE'!E1171="","",'CARNET DE SOUDURE'!D1171&amp;"")</f>
        <v/>
      </c>
      <c r="E1171" s="96" t="str">
        <f aca="false">IF(OR('CARNET DE SOUDURE'!E1171="",'CARNET DE SOUDURE'!R1171=""),"",'CARNET DE SOUDURE'!R1171)</f>
        <v/>
      </c>
      <c r="F1171" s="81" t="str">
        <f aca="false">IF('CARNET DE SOUDURE'!E1171="","",'CARNET DE SOUDURE'!AL1171)</f>
        <v/>
      </c>
      <c r="G1171" s="81" t="str">
        <f aca="false">IF('CARNET DE SOUDURE'!E1171="","",'CARNET DE SOUDURE'!AM1171)</f>
        <v/>
      </c>
      <c r="H1171" s="81" t="str">
        <f aca="false">IF(C1171="","",IF(G1171="ACCEPTÉ","OUI","NON"))</f>
        <v/>
      </c>
      <c r="I1171" s="82"/>
      <c r="J1171" s="79"/>
      <c r="K1171" s="80"/>
      <c r="L1171" s="80"/>
      <c r="M1171" s="80"/>
      <c r="N1171" s="83" t="str">
        <f aca="false">IF(C1171="","",IF(I1171="",IF(H1171="OUI","À ENROBER",IF(G1171="À SOUDER","NON SOUDÉ","EN ATTENTE RT")),IF(L1171="R","À REPRENDRE",IF(H1171&lt;&gt;"OUI","⚠ ENROBÉ AVANT ACCEPTATION RT","ENROBÉ"))))</f>
        <v/>
      </c>
      <c r="O1171" s="79"/>
    </row>
    <row r="1172" customFormat="false" ht="15" hidden="false" customHeight="false" outlineLevel="0" collapsed="false">
      <c r="A1172" s="78" t="str">
        <f aca="false">IF('CARNET DE SOUDURE'!E1172="","",'CARNET DE SOUDURE'!A1172)</f>
        <v/>
      </c>
      <c r="B1172" s="93" t="str">
        <f aca="false">IF('CARNET DE SOUDURE'!E1172="","",'CARNET DE SOUDURE'!B1172&amp;"")</f>
        <v/>
      </c>
      <c r="C1172" s="83" t="str">
        <f aca="false">IF('CARNET DE SOUDURE'!E1172="","",'CARNET DE SOUDURE'!E1172)</f>
        <v/>
      </c>
      <c r="D1172" s="78" t="str">
        <f aca="false">IF('CARNET DE SOUDURE'!E1172="","",'CARNET DE SOUDURE'!D1172&amp;"")</f>
        <v/>
      </c>
      <c r="E1172" s="96" t="str">
        <f aca="false">IF(OR('CARNET DE SOUDURE'!E1172="",'CARNET DE SOUDURE'!R1172=""),"",'CARNET DE SOUDURE'!R1172)</f>
        <v/>
      </c>
      <c r="F1172" s="81" t="str">
        <f aca="false">IF('CARNET DE SOUDURE'!E1172="","",'CARNET DE SOUDURE'!AL1172)</f>
        <v/>
      </c>
      <c r="G1172" s="81" t="str">
        <f aca="false">IF('CARNET DE SOUDURE'!E1172="","",'CARNET DE SOUDURE'!AM1172)</f>
        <v/>
      </c>
      <c r="H1172" s="81" t="str">
        <f aca="false">IF(C1172="","",IF(G1172="ACCEPTÉ","OUI","NON"))</f>
        <v/>
      </c>
      <c r="I1172" s="82"/>
      <c r="J1172" s="79"/>
      <c r="K1172" s="80"/>
      <c r="L1172" s="80"/>
      <c r="M1172" s="80"/>
      <c r="N1172" s="83" t="str">
        <f aca="false">IF(C1172="","",IF(I1172="",IF(H1172="OUI","À ENROBER",IF(G1172="À SOUDER","NON SOUDÉ","EN ATTENTE RT")),IF(L1172="R","À REPRENDRE",IF(H1172&lt;&gt;"OUI","⚠ ENROBÉ AVANT ACCEPTATION RT","ENROBÉ"))))</f>
        <v/>
      </c>
      <c r="O1172" s="79"/>
    </row>
    <row r="1173" customFormat="false" ht="15" hidden="false" customHeight="false" outlineLevel="0" collapsed="false">
      <c r="A1173" s="78" t="str">
        <f aca="false">IF('CARNET DE SOUDURE'!E1173="","",'CARNET DE SOUDURE'!A1173)</f>
        <v/>
      </c>
      <c r="B1173" s="93" t="str">
        <f aca="false">IF('CARNET DE SOUDURE'!E1173="","",'CARNET DE SOUDURE'!B1173&amp;"")</f>
        <v/>
      </c>
      <c r="C1173" s="83" t="str">
        <f aca="false">IF('CARNET DE SOUDURE'!E1173="","",'CARNET DE SOUDURE'!E1173)</f>
        <v/>
      </c>
      <c r="D1173" s="78" t="str">
        <f aca="false">IF('CARNET DE SOUDURE'!E1173="","",'CARNET DE SOUDURE'!D1173&amp;"")</f>
        <v/>
      </c>
      <c r="E1173" s="96" t="str">
        <f aca="false">IF(OR('CARNET DE SOUDURE'!E1173="",'CARNET DE SOUDURE'!R1173=""),"",'CARNET DE SOUDURE'!R1173)</f>
        <v/>
      </c>
      <c r="F1173" s="81" t="str">
        <f aca="false">IF('CARNET DE SOUDURE'!E1173="","",'CARNET DE SOUDURE'!AL1173)</f>
        <v/>
      </c>
      <c r="G1173" s="81" t="str">
        <f aca="false">IF('CARNET DE SOUDURE'!E1173="","",'CARNET DE SOUDURE'!AM1173)</f>
        <v/>
      </c>
      <c r="H1173" s="81" t="str">
        <f aca="false">IF(C1173="","",IF(G1173="ACCEPTÉ","OUI","NON"))</f>
        <v/>
      </c>
      <c r="I1173" s="82"/>
      <c r="J1173" s="79"/>
      <c r="K1173" s="80"/>
      <c r="L1173" s="80"/>
      <c r="M1173" s="80"/>
      <c r="N1173" s="83" t="str">
        <f aca="false">IF(C1173="","",IF(I1173="",IF(H1173="OUI","À ENROBER",IF(G1173="À SOUDER","NON SOUDÉ","EN ATTENTE RT")),IF(L1173="R","À REPRENDRE",IF(H1173&lt;&gt;"OUI","⚠ ENROBÉ AVANT ACCEPTATION RT","ENROBÉ"))))</f>
        <v/>
      </c>
      <c r="O1173" s="79"/>
    </row>
    <row r="1174" customFormat="false" ht="15" hidden="false" customHeight="false" outlineLevel="0" collapsed="false">
      <c r="A1174" s="78" t="str">
        <f aca="false">IF('CARNET DE SOUDURE'!E1174="","",'CARNET DE SOUDURE'!A1174)</f>
        <v/>
      </c>
      <c r="B1174" s="93" t="str">
        <f aca="false">IF('CARNET DE SOUDURE'!E1174="","",'CARNET DE SOUDURE'!B1174&amp;"")</f>
        <v/>
      </c>
      <c r="C1174" s="83" t="str">
        <f aca="false">IF('CARNET DE SOUDURE'!E1174="","",'CARNET DE SOUDURE'!E1174)</f>
        <v/>
      </c>
      <c r="D1174" s="78" t="str">
        <f aca="false">IF('CARNET DE SOUDURE'!E1174="","",'CARNET DE SOUDURE'!D1174&amp;"")</f>
        <v/>
      </c>
      <c r="E1174" s="96" t="str">
        <f aca="false">IF(OR('CARNET DE SOUDURE'!E1174="",'CARNET DE SOUDURE'!R1174=""),"",'CARNET DE SOUDURE'!R1174)</f>
        <v/>
      </c>
      <c r="F1174" s="81" t="str">
        <f aca="false">IF('CARNET DE SOUDURE'!E1174="","",'CARNET DE SOUDURE'!AL1174)</f>
        <v/>
      </c>
      <c r="G1174" s="81" t="str">
        <f aca="false">IF('CARNET DE SOUDURE'!E1174="","",'CARNET DE SOUDURE'!AM1174)</f>
        <v/>
      </c>
      <c r="H1174" s="81" t="str">
        <f aca="false">IF(C1174="","",IF(G1174="ACCEPTÉ","OUI","NON"))</f>
        <v/>
      </c>
      <c r="I1174" s="82"/>
      <c r="J1174" s="79"/>
      <c r="K1174" s="80"/>
      <c r="L1174" s="80"/>
      <c r="M1174" s="80"/>
      <c r="N1174" s="83" t="str">
        <f aca="false">IF(C1174="","",IF(I1174="",IF(H1174="OUI","À ENROBER",IF(G1174="À SOUDER","NON SOUDÉ","EN ATTENTE RT")),IF(L1174="R","À REPRENDRE",IF(H1174&lt;&gt;"OUI","⚠ ENROBÉ AVANT ACCEPTATION RT","ENROBÉ"))))</f>
        <v/>
      </c>
      <c r="O1174" s="79"/>
    </row>
    <row r="1175" customFormat="false" ht="15" hidden="false" customHeight="false" outlineLevel="0" collapsed="false">
      <c r="A1175" s="78" t="str">
        <f aca="false">IF('CARNET DE SOUDURE'!E1175="","",'CARNET DE SOUDURE'!A1175)</f>
        <v/>
      </c>
      <c r="B1175" s="93" t="str">
        <f aca="false">IF('CARNET DE SOUDURE'!E1175="","",'CARNET DE SOUDURE'!B1175&amp;"")</f>
        <v/>
      </c>
      <c r="C1175" s="83" t="str">
        <f aca="false">IF('CARNET DE SOUDURE'!E1175="","",'CARNET DE SOUDURE'!E1175)</f>
        <v/>
      </c>
      <c r="D1175" s="78" t="str">
        <f aca="false">IF('CARNET DE SOUDURE'!E1175="","",'CARNET DE SOUDURE'!D1175&amp;"")</f>
        <v/>
      </c>
      <c r="E1175" s="96" t="str">
        <f aca="false">IF(OR('CARNET DE SOUDURE'!E1175="",'CARNET DE SOUDURE'!R1175=""),"",'CARNET DE SOUDURE'!R1175)</f>
        <v/>
      </c>
      <c r="F1175" s="81" t="str">
        <f aca="false">IF('CARNET DE SOUDURE'!E1175="","",'CARNET DE SOUDURE'!AL1175)</f>
        <v/>
      </c>
      <c r="G1175" s="81" t="str">
        <f aca="false">IF('CARNET DE SOUDURE'!E1175="","",'CARNET DE SOUDURE'!AM1175)</f>
        <v/>
      </c>
      <c r="H1175" s="81" t="str">
        <f aca="false">IF(C1175="","",IF(G1175="ACCEPTÉ","OUI","NON"))</f>
        <v/>
      </c>
      <c r="I1175" s="82"/>
      <c r="J1175" s="79"/>
      <c r="K1175" s="80"/>
      <c r="L1175" s="80"/>
      <c r="M1175" s="80"/>
      <c r="N1175" s="83" t="str">
        <f aca="false">IF(C1175="","",IF(I1175="",IF(H1175="OUI","À ENROBER",IF(G1175="À SOUDER","NON SOUDÉ","EN ATTENTE RT")),IF(L1175="R","À REPRENDRE",IF(H1175&lt;&gt;"OUI","⚠ ENROBÉ AVANT ACCEPTATION RT","ENROBÉ"))))</f>
        <v/>
      </c>
      <c r="O1175" s="79"/>
    </row>
    <row r="1176" customFormat="false" ht="15" hidden="false" customHeight="false" outlineLevel="0" collapsed="false">
      <c r="A1176" s="78" t="str">
        <f aca="false">IF('CARNET DE SOUDURE'!E1176="","",'CARNET DE SOUDURE'!A1176)</f>
        <v/>
      </c>
      <c r="B1176" s="93" t="str">
        <f aca="false">IF('CARNET DE SOUDURE'!E1176="","",'CARNET DE SOUDURE'!B1176&amp;"")</f>
        <v/>
      </c>
      <c r="C1176" s="83" t="str">
        <f aca="false">IF('CARNET DE SOUDURE'!E1176="","",'CARNET DE SOUDURE'!E1176)</f>
        <v/>
      </c>
      <c r="D1176" s="78" t="str">
        <f aca="false">IF('CARNET DE SOUDURE'!E1176="","",'CARNET DE SOUDURE'!D1176&amp;"")</f>
        <v/>
      </c>
      <c r="E1176" s="96" t="str">
        <f aca="false">IF(OR('CARNET DE SOUDURE'!E1176="",'CARNET DE SOUDURE'!R1176=""),"",'CARNET DE SOUDURE'!R1176)</f>
        <v/>
      </c>
      <c r="F1176" s="81" t="str">
        <f aca="false">IF('CARNET DE SOUDURE'!E1176="","",'CARNET DE SOUDURE'!AL1176)</f>
        <v/>
      </c>
      <c r="G1176" s="81" t="str">
        <f aca="false">IF('CARNET DE SOUDURE'!E1176="","",'CARNET DE SOUDURE'!AM1176)</f>
        <v/>
      </c>
      <c r="H1176" s="81" t="str">
        <f aca="false">IF(C1176="","",IF(G1176="ACCEPTÉ","OUI","NON"))</f>
        <v/>
      </c>
      <c r="I1176" s="82"/>
      <c r="J1176" s="79"/>
      <c r="K1176" s="80"/>
      <c r="L1176" s="80"/>
      <c r="M1176" s="80"/>
      <c r="N1176" s="83" t="str">
        <f aca="false">IF(C1176="","",IF(I1176="",IF(H1176="OUI","À ENROBER",IF(G1176="À SOUDER","NON SOUDÉ","EN ATTENTE RT")),IF(L1176="R","À REPRENDRE",IF(H1176&lt;&gt;"OUI","⚠ ENROBÉ AVANT ACCEPTATION RT","ENROBÉ"))))</f>
        <v/>
      </c>
      <c r="O1176" s="79"/>
    </row>
    <row r="1177" customFormat="false" ht="15" hidden="false" customHeight="false" outlineLevel="0" collapsed="false">
      <c r="A1177" s="78" t="str">
        <f aca="false">IF('CARNET DE SOUDURE'!E1177="","",'CARNET DE SOUDURE'!A1177)</f>
        <v/>
      </c>
      <c r="B1177" s="93" t="str">
        <f aca="false">IF('CARNET DE SOUDURE'!E1177="","",'CARNET DE SOUDURE'!B1177&amp;"")</f>
        <v/>
      </c>
      <c r="C1177" s="83" t="str">
        <f aca="false">IF('CARNET DE SOUDURE'!E1177="","",'CARNET DE SOUDURE'!E1177)</f>
        <v/>
      </c>
      <c r="D1177" s="78" t="str">
        <f aca="false">IF('CARNET DE SOUDURE'!E1177="","",'CARNET DE SOUDURE'!D1177&amp;"")</f>
        <v/>
      </c>
      <c r="E1177" s="96" t="str">
        <f aca="false">IF(OR('CARNET DE SOUDURE'!E1177="",'CARNET DE SOUDURE'!R1177=""),"",'CARNET DE SOUDURE'!R1177)</f>
        <v/>
      </c>
      <c r="F1177" s="81" t="str">
        <f aca="false">IF('CARNET DE SOUDURE'!E1177="","",'CARNET DE SOUDURE'!AL1177)</f>
        <v/>
      </c>
      <c r="G1177" s="81" t="str">
        <f aca="false">IF('CARNET DE SOUDURE'!E1177="","",'CARNET DE SOUDURE'!AM1177)</f>
        <v/>
      </c>
      <c r="H1177" s="81" t="str">
        <f aca="false">IF(C1177="","",IF(G1177="ACCEPTÉ","OUI","NON"))</f>
        <v/>
      </c>
      <c r="I1177" s="82"/>
      <c r="J1177" s="79"/>
      <c r="K1177" s="80"/>
      <c r="L1177" s="80"/>
      <c r="M1177" s="80"/>
      <c r="N1177" s="83" t="str">
        <f aca="false">IF(C1177="","",IF(I1177="",IF(H1177="OUI","À ENROBER",IF(G1177="À SOUDER","NON SOUDÉ","EN ATTENTE RT")),IF(L1177="R","À REPRENDRE",IF(H1177&lt;&gt;"OUI","⚠ ENROBÉ AVANT ACCEPTATION RT","ENROBÉ"))))</f>
        <v/>
      </c>
      <c r="O1177" s="79"/>
    </row>
    <row r="1178" customFormat="false" ht="15" hidden="false" customHeight="false" outlineLevel="0" collapsed="false">
      <c r="A1178" s="78" t="str">
        <f aca="false">IF('CARNET DE SOUDURE'!E1178="","",'CARNET DE SOUDURE'!A1178)</f>
        <v/>
      </c>
      <c r="B1178" s="93" t="str">
        <f aca="false">IF('CARNET DE SOUDURE'!E1178="","",'CARNET DE SOUDURE'!B1178&amp;"")</f>
        <v/>
      </c>
      <c r="C1178" s="83" t="str">
        <f aca="false">IF('CARNET DE SOUDURE'!E1178="","",'CARNET DE SOUDURE'!E1178)</f>
        <v/>
      </c>
      <c r="D1178" s="78" t="str">
        <f aca="false">IF('CARNET DE SOUDURE'!E1178="","",'CARNET DE SOUDURE'!D1178&amp;"")</f>
        <v/>
      </c>
      <c r="E1178" s="96" t="str">
        <f aca="false">IF(OR('CARNET DE SOUDURE'!E1178="",'CARNET DE SOUDURE'!R1178=""),"",'CARNET DE SOUDURE'!R1178)</f>
        <v/>
      </c>
      <c r="F1178" s="81" t="str">
        <f aca="false">IF('CARNET DE SOUDURE'!E1178="","",'CARNET DE SOUDURE'!AL1178)</f>
        <v/>
      </c>
      <c r="G1178" s="81" t="str">
        <f aca="false">IF('CARNET DE SOUDURE'!E1178="","",'CARNET DE SOUDURE'!AM1178)</f>
        <v/>
      </c>
      <c r="H1178" s="81" t="str">
        <f aca="false">IF(C1178="","",IF(G1178="ACCEPTÉ","OUI","NON"))</f>
        <v/>
      </c>
      <c r="I1178" s="82"/>
      <c r="J1178" s="79"/>
      <c r="K1178" s="80"/>
      <c r="L1178" s="80"/>
      <c r="M1178" s="80"/>
      <c r="N1178" s="83" t="str">
        <f aca="false">IF(C1178="","",IF(I1178="",IF(H1178="OUI","À ENROBER",IF(G1178="À SOUDER","NON SOUDÉ","EN ATTENTE RT")),IF(L1178="R","À REPRENDRE",IF(H1178&lt;&gt;"OUI","⚠ ENROBÉ AVANT ACCEPTATION RT","ENROBÉ"))))</f>
        <v/>
      </c>
      <c r="O1178" s="79"/>
    </row>
    <row r="1179" customFormat="false" ht="15" hidden="false" customHeight="false" outlineLevel="0" collapsed="false">
      <c r="A1179" s="78" t="str">
        <f aca="false">IF('CARNET DE SOUDURE'!E1179="","",'CARNET DE SOUDURE'!A1179)</f>
        <v/>
      </c>
      <c r="B1179" s="93" t="str">
        <f aca="false">IF('CARNET DE SOUDURE'!E1179="","",'CARNET DE SOUDURE'!B1179&amp;"")</f>
        <v/>
      </c>
      <c r="C1179" s="83" t="str">
        <f aca="false">IF('CARNET DE SOUDURE'!E1179="","",'CARNET DE SOUDURE'!E1179)</f>
        <v/>
      </c>
      <c r="D1179" s="78" t="str">
        <f aca="false">IF('CARNET DE SOUDURE'!E1179="","",'CARNET DE SOUDURE'!D1179&amp;"")</f>
        <v/>
      </c>
      <c r="E1179" s="96" t="str">
        <f aca="false">IF(OR('CARNET DE SOUDURE'!E1179="",'CARNET DE SOUDURE'!R1179=""),"",'CARNET DE SOUDURE'!R1179)</f>
        <v/>
      </c>
      <c r="F1179" s="81" t="str">
        <f aca="false">IF('CARNET DE SOUDURE'!E1179="","",'CARNET DE SOUDURE'!AL1179)</f>
        <v/>
      </c>
      <c r="G1179" s="81" t="str">
        <f aca="false">IF('CARNET DE SOUDURE'!E1179="","",'CARNET DE SOUDURE'!AM1179)</f>
        <v/>
      </c>
      <c r="H1179" s="81" t="str">
        <f aca="false">IF(C1179="","",IF(G1179="ACCEPTÉ","OUI","NON"))</f>
        <v/>
      </c>
      <c r="I1179" s="82"/>
      <c r="J1179" s="79"/>
      <c r="K1179" s="80"/>
      <c r="L1179" s="80"/>
      <c r="M1179" s="80"/>
      <c r="N1179" s="83" t="str">
        <f aca="false">IF(C1179="","",IF(I1179="",IF(H1179="OUI","À ENROBER",IF(G1179="À SOUDER","NON SOUDÉ","EN ATTENTE RT")),IF(L1179="R","À REPRENDRE",IF(H1179&lt;&gt;"OUI","⚠ ENROBÉ AVANT ACCEPTATION RT","ENROBÉ"))))</f>
        <v/>
      </c>
      <c r="O1179" s="79"/>
    </row>
    <row r="1180" customFormat="false" ht="15" hidden="false" customHeight="false" outlineLevel="0" collapsed="false">
      <c r="A1180" s="78" t="str">
        <f aca="false">IF('CARNET DE SOUDURE'!E1180="","",'CARNET DE SOUDURE'!A1180)</f>
        <v/>
      </c>
      <c r="B1180" s="93" t="str">
        <f aca="false">IF('CARNET DE SOUDURE'!E1180="","",'CARNET DE SOUDURE'!B1180&amp;"")</f>
        <v/>
      </c>
      <c r="C1180" s="83" t="str">
        <f aca="false">IF('CARNET DE SOUDURE'!E1180="","",'CARNET DE SOUDURE'!E1180)</f>
        <v/>
      </c>
      <c r="D1180" s="78" t="str">
        <f aca="false">IF('CARNET DE SOUDURE'!E1180="","",'CARNET DE SOUDURE'!D1180&amp;"")</f>
        <v/>
      </c>
      <c r="E1180" s="96" t="str">
        <f aca="false">IF(OR('CARNET DE SOUDURE'!E1180="",'CARNET DE SOUDURE'!R1180=""),"",'CARNET DE SOUDURE'!R1180)</f>
        <v/>
      </c>
      <c r="F1180" s="81" t="str">
        <f aca="false">IF('CARNET DE SOUDURE'!E1180="","",'CARNET DE SOUDURE'!AL1180)</f>
        <v/>
      </c>
      <c r="G1180" s="81" t="str">
        <f aca="false">IF('CARNET DE SOUDURE'!E1180="","",'CARNET DE SOUDURE'!AM1180)</f>
        <v/>
      </c>
      <c r="H1180" s="81" t="str">
        <f aca="false">IF(C1180="","",IF(G1180="ACCEPTÉ","OUI","NON"))</f>
        <v/>
      </c>
      <c r="I1180" s="82"/>
      <c r="J1180" s="79"/>
      <c r="K1180" s="80"/>
      <c r="L1180" s="80"/>
      <c r="M1180" s="80"/>
      <c r="N1180" s="83" t="str">
        <f aca="false">IF(C1180="","",IF(I1180="",IF(H1180="OUI","À ENROBER",IF(G1180="À SOUDER","NON SOUDÉ","EN ATTENTE RT")),IF(L1180="R","À REPRENDRE",IF(H1180&lt;&gt;"OUI","⚠ ENROBÉ AVANT ACCEPTATION RT","ENROBÉ"))))</f>
        <v/>
      </c>
      <c r="O1180" s="79"/>
    </row>
    <row r="1181" customFormat="false" ht="15" hidden="false" customHeight="false" outlineLevel="0" collapsed="false">
      <c r="A1181" s="78" t="str">
        <f aca="false">IF('CARNET DE SOUDURE'!E1181="","",'CARNET DE SOUDURE'!A1181)</f>
        <v/>
      </c>
      <c r="B1181" s="93" t="str">
        <f aca="false">IF('CARNET DE SOUDURE'!E1181="","",'CARNET DE SOUDURE'!B1181&amp;"")</f>
        <v/>
      </c>
      <c r="C1181" s="83" t="str">
        <f aca="false">IF('CARNET DE SOUDURE'!E1181="","",'CARNET DE SOUDURE'!E1181)</f>
        <v/>
      </c>
      <c r="D1181" s="78" t="str">
        <f aca="false">IF('CARNET DE SOUDURE'!E1181="","",'CARNET DE SOUDURE'!D1181&amp;"")</f>
        <v/>
      </c>
      <c r="E1181" s="96" t="str">
        <f aca="false">IF(OR('CARNET DE SOUDURE'!E1181="",'CARNET DE SOUDURE'!R1181=""),"",'CARNET DE SOUDURE'!R1181)</f>
        <v/>
      </c>
      <c r="F1181" s="81" t="str">
        <f aca="false">IF('CARNET DE SOUDURE'!E1181="","",'CARNET DE SOUDURE'!AL1181)</f>
        <v/>
      </c>
      <c r="G1181" s="81" t="str">
        <f aca="false">IF('CARNET DE SOUDURE'!E1181="","",'CARNET DE SOUDURE'!AM1181)</f>
        <v/>
      </c>
      <c r="H1181" s="81" t="str">
        <f aca="false">IF(C1181="","",IF(G1181="ACCEPTÉ","OUI","NON"))</f>
        <v/>
      </c>
      <c r="I1181" s="82"/>
      <c r="J1181" s="79"/>
      <c r="K1181" s="80"/>
      <c r="L1181" s="80"/>
      <c r="M1181" s="80"/>
      <c r="N1181" s="83" t="str">
        <f aca="false">IF(C1181="","",IF(I1181="",IF(H1181="OUI","À ENROBER",IF(G1181="À SOUDER","NON SOUDÉ","EN ATTENTE RT")),IF(L1181="R","À REPRENDRE",IF(H1181&lt;&gt;"OUI","⚠ ENROBÉ AVANT ACCEPTATION RT","ENROBÉ"))))</f>
        <v/>
      </c>
      <c r="O1181" s="79"/>
    </row>
    <row r="1182" customFormat="false" ht="15" hidden="false" customHeight="false" outlineLevel="0" collapsed="false">
      <c r="A1182" s="78" t="str">
        <f aca="false">IF('CARNET DE SOUDURE'!E1182="","",'CARNET DE SOUDURE'!A1182)</f>
        <v/>
      </c>
      <c r="B1182" s="93" t="str">
        <f aca="false">IF('CARNET DE SOUDURE'!E1182="","",'CARNET DE SOUDURE'!B1182&amp;"")</f>
        <v/>
      </c>
      <c r="C1182" s="83" t="str">
        <f aca="false">IF('CARNET DE SOUDURE'!E1182="","",'CARNET DE SOUDURE'!E1182)</f>
        <v/>
      </c>
      <c r="D1182" s="78" t="str">
        <f aca="false">IF('CARNET DE SOUDURE'!E1182="","",'CARNET DE SOUDURE'!D1182&amp;"")</f>
        <v/>
      </c>
      <c r="E1182" s="96" t="str">
        <f aca="false">IF(OR('CARNET DE SOUDURE'!E1182="",'CARNET DE SOUDURE'!R1182=""),"",'CARNET DE SOUDURE'!R1182)</f>
        <v/>
      </c>
      <c r="F1182" s="81" t="str">
        <f aca="false">IF('CARNET DE SOUDURE'!E1182="","",'CARNET DE SOUDURE'!AL1182)</f>
        <v/>
      </c>
      <c r="G1182" s="81" t="str">
        <f aca="false">IF('CARNET DE SOUDURE'!E1182="","",'CARNET DE SOUDURE'!AM1182)</f>
        <v/>
      </c>
      <c r="H1182" s="81" t="str">
        <f aca="false">IF(C1182="","",IF(G1182="ACCEPTÉ","OUI","NON"))</f>
        <v/>
      </c>
      <c r="I1182" s="82"/>
      <c r="J1182" s="79"/>
      <c r="K1182" s="80"/>
      <c r="L1182" s="80"/>
      <c r="M1182" s="80"/>
      <c r="N1182" s="83" t="str">
        <f aca="false">IF(C1182="","",IF(I1182="",IF(H1182="OUI","À ENROBER",IF(G1182="À SOUDER","NON SOUDÉ","EN ATTENTE RT")),IF(L1182="R","À REPRENDRE",IF(H1182&lt;&gt;"OUI","⚠ ENROBÉ AVANT ACCEPTATION RT","ENROBÉ"))))</f>
        <v/>
      </c>
      <c r="O1182" s="79"/>
    </row>
    <row r="1183" customFormat="false" ht="15" hidden="false" customHeight="false" outlineLevel="0" collapsed="false">
      <c r="A1183" s="78" t="str">
        <f aca="false">IF('CARNET DE SOUDURE'!E1183="","",'CARNET DE SOUDURE'!A1183)</f>
        <v/>
      </c>
      <c r="B1183" s="93" t="str">
        <f aca="false">IF('CARNET DE SOUDURE'!E1183="","",'CARNET DE SOUDURE'!B1183&amp;"")</f>
        <v/>
      </c>
      <c r="C1183" s="83" t="str">
        <f aca="false">IF('CARNET DE SOUDURE'!E1183="","",'CARNET DE SOUDURE'!E1183)</f>
        <v/>
      </c>
      <c r="D1183" s="78" t="str">
        <f aca="false">IF('CARNET DE SOUDURE'!E1183="","",'CARNET DE SOUDURE'!D1183&amp;"")</f>
        <v/>
      </c>
      <c r="E1183" s="96" t="str">
        <f aca="false">IF(OR('CARNET DE SOUDURE'!E1183="",'CARNET DE SOUDURE'!R1183=""),"",'CARNET DE SOUDURE'!R1183)</f>
        <v/>
      </c>
      <c r="F1183" s="81" t="str">
        <f aca="false">IF('CARNET DE SOUDURE'!E1183="","",'CARNET DE SOUDURE'!AL1183)</f>
        <v/>
      </c>
      <c r="G1183" s="81" t="str">
        <f aca="false">IF('CARNET DE SOUDURE'!E1183="","",'CARNET DE SOUDURE'!AM1183)</f>
        <v/>
      </c>
      <c r="H1183" s="81" t="str">
        <f aca="false">IF(C1183="","",IF(G1183="ACCEPTÉ","OUI","NON"))</f>
        <v/>
      </c>
      <c r="I1183" s="82"/>
      <c r="J1183" s="79"/>
      <c r="K1183" s="80"/>
      <c r="L1183" s="80"/>
      <c r="M1183" s="80"/>
      <c r="N1183" s="83" t="str">
        <f aca="false">IF(C1183="","",IF(I1183="",IF(H1183="OUI","À ENROBER",IF(G1183="À SOUDER","NON SOUDÉ","EN ATTENTE RT")),IF(L1183="R","À REPRENDRE",IF(H1183&lt;&gt;"OUI","⚠ ENROBÉ AVANT ACCEPTATION RT","ENROBÉ"))))</f>
        <v/>
      </c>
      <c r="O1183" s="79"/>
    </row>
    <row r="1184" customFormat="false" ht="15" hidden="false" customHeight="false" outlineLevel="0" collapsed="false">
      <c r="A1184" s="78" t="str">
        <f aca="false">IF('CARNET DE SOUDURE'!E1184="","",'CARNET DE SOUDURE'!A1184)</f>
        <v/>
      </c>
      <c r="B1184" s="93" t="str">
        <f aca="false">IF('CARNET DE SOUDURE'!E1184="","",'CARNET DE SOUDURE'!B1184&amp;"")</f>
        <v/>
      </c>
      <c r="C1184" s="83" t="str">
        <f aca="false">IF('CARNET DE SOUDURE'!E1184="","",'CARNET DE SOUDURE'!E1184)</f>
        <v/>
      </c>
      <c r="D1184" s="78" t="str">
        <f aca="false">IF('CARNET DE SOUDURE'!E1184="","",'CARNET DE SOUDURE'!D1184&amp;"")</f>
        <v/>
      </c>
      <c r="E1184" s="96" t="str">
        <f aca="false">IF(OR('CARNET DE SOUDURE'!E1184="",'CARNET DE SOUDURE'!R1184=""),"",'CARNET DE SOUDURE'!R1184)</f>
        <v/>
      </c>
      <c r="F1184" s="81" t="str">
        <f aca="false">IF('CARNET DE SOUDURE'!E1184="","",'CARNET DE SOUDURE'!AL1184)</f>
        <v/>
      </c>
      <c r="G1184" s="81" t="str">
        <f aca="false">IF('CARNET DE SOUDURE'!E1184="","",'CARNET DE SOUDURE'!AM1184)</f>
        <v/>
      </c>
      <c r="H1184" s="81" t="str">
        <f aca="false">IF(C1184="","",IF(G1184="ACCEPTÉ","OUI","NON"))</f>
        <v/>
      </c>
      <c r="I1184" s="82"/>
      <c r="J1184" s="79"/>
      <c r="K1184" s="80"/>
      <c r="L1184" s="80"/>
      <c r="M1184" s="80"/>
      <c r="N1184" s="83" t="str">
        <f aca="false">IF(C1184="","",IF(I1184="",IF(H1184="OUI","À ENROBER",IF(G1184="À SOUDER","NON SOUDÉ","EN ATTENTE RT")),IF(L1184="R","À REPRENDRE",IF(H1184&lt;&gt;"OUI","⚠ ENROBÉ AVANT ACCEPTATION RT","ENROBÉ"))))</f>
        <v/>
      </c>
      <c r="O1184" s="79"/>
    </row>
    <row r="1185" customFormat="false" ht="15" hidden="false" customHeight="false" outlineLevel="0" collapsed="false">
      <c r="A1185" s="78" t="str">
        <f aca="false">IF('CARNET DE SOUDURE'!E1185="","",'CARNET DE SOUDURE'!A1185)</f>
        <v/>
      </c>
      <c r="B1185" s="93" t="str">
        <f aca="false">IF('CARNET DE SOUDURE'!E1185="","",'CARNET DE SOUDURE'!B1185&amp;"")</f>
        <v/>
      </c>
      <c r="C1185" s="83" t="str">
        <f aca="false">IF('CARNET DE SOUDURE'!E1185="","",'CARNET DE SOUDURE'!E1185)</f>
        <v/>
      </c>
      <c r="D1185" s="78" t="str">
        <f aca="false">IF('CARNET DE SOUDURE'!E1185="","",'CARNET DE SOUDURE'!D1185&amp;"")</f>
        <v/>
      </c>
      <c r="E1185" s="96" t="str">
        <f aca="false">IF(OR('CARNET DE SOUDURE'!E1185="",'CARNET DE SOUDURE'!R1185=""),"",'CARNET DE SOUDURE'!R1185)</f>
        <v/>
      </c>
      <c r="F1185" s="81" t="str">
        <f aca="false">IF('CARNET DE SOUDURE'!E1185="","",'CARNET DE SOUDURE'!AL1185)</f>
        <v/>
      </c>
      <c r="G1185" s="81" t="str">
        <f aca="false">IF('CARNET DE SOUDURE'!E1185="","",'CARNET DE SOUDURE'!AM1185)</f>
        <v/>
      </c>
      <c r="H1185" s="81" t="str">
        <f aca="false">IF(C1185="","",IF(G1185="ACCEPTÉ","OUI","NON"))</f>
        <v/>
      </c>
      <c r="I1185" s="82"/>
      <c r="J1185" s="79"/>
      <c r="K1185" s="80"/>
      <c r="L1185" s="80"/>
      <c r="M1185" s="80"/>
      <c r="N1185" s="83" t="str">
        <f aca="false">IF(C1185="","",IF(I1185="",IF(H1185="OUI","À ENROBER",IF(G1185="À SOUDER","NON SOUDÉ","EN ATTENTE RT")),IF(L1185="R","À REPRENDRE",IF(H1185&lt;&gt;"OUI","⚠ ENROBÉ AVANT ACCEPTATION RT","ENROBÉ"))))</f>
        <v/>
      </c>
      <c r="O1185" s="79"/>
    </row>
    <row r="1186" customFormat="false" ht="15" hidden="false" customHeight="false" outlineLevel="0" collapsed="false">
      <c r="A1186" s="78" t="str">
        <f aca="false">IF('CARNET DE SOUDURE'!E1186="","",'CARNET DE SOUDURE'!A1186)</f>
        <v/>
      </c>
      <c r="B1186" s="93" t="str">
        <f aca="false">IF('CARNET DE SOUDURE'!E1186="","",'CARNET DE SOUDURE'!B1186&amp;"")</f>
        <v/>
      </c>
      <c r="C1186" s="83" t="str">
        <f aca="false">IF('CARNET DE SOUDURE'!E1186="","",'CARNET DE SOUDURE'!E1186)</f>
        <v/>
      </c>
      <c r="D1186" s="78" t="str">
        <f aca="false">IF('CARNET DE SOUDURE'!E1186="","",'CARNET DE SOUDURE'!D1186&amp;"")</f>
        <v/>
      </c>
      <c r="E1186" s="96" t="str">
        <f aca="false">IF(OR('CARNET DE SOUDURE'!E1186="",'CARNET DE SOUDURE'!R1186=""),"",'CARNET DE SOUDURE'!R1186)</f>
        <v/>
      </c>
      <c r="F1186" s="81" t="str">
        <f aca="false">IF('CARNET DE SOUDURE'!E1186="","",'CARNET DE SOUDURE'!AL1186)</f>
        <v/>
      </c>
      <c r="G1186" s="81" t="str">
        <f aca="false">IF('CARNET DE SOUDURE'!E1186="","",'CARNET DE SOUDURE'!AM1186)</f>
        <v/>
      </c>
      <c r="H1186" s="81" t="str">
        <f aca="false">IF(C1186="","",IF(G1186="ACCEPTÉ","OUI","NON"))</f>
        <v/>
      </c>
      <c r="I1186" s="82"/>
      <c r="J1186" s="79"/>
      <c r="K1186" s="80"/>
      <c r="L1186" s="80"/>
      <c r="M1186" s="80"/>
      <c r="N1186" s="83" t="str">
        <f aca="false">IF(C1186="","",IF(I1186="",IF(H1186="OUI","À ENROBER",IF(G1186="À SOUDER","NON SOUDÉ","EN ATTENTE RT")),IF(L1186="R","À REPRENDRE",IF(H1186&lt;&gt;"OUI","⚠ ENROBÉ AVANT ACCEPTATION RT","ENROBÉ"))))</f>
        <v/>
      </c>
      <c r="O1186" s="79"/>
    </row>
    <row r="1187" customFormat="false" ht="15" hidden="false" customHeight="false" outlineLevel="0" collapsed="false">
      <c r="A1187" s="78" t="str">
        <f aca="false">IF('CARNET DE SOUDURE'!E1187="","",'CARNET DE SOUDURE'!A1187)</f>
        <v/>
      </c>
      <c r="B1187" s="93" t="str">
        <f aca="false">IF('CARNET DE SOUDURE'!E1187="","",'CARNET DE SOUDURE'!B1187&amp;"")</f>
        <v/>
      </c>
      <c r="C1187" s="83" t="str">
        <f aca="false">IF('CARNET DE SOUDURE'!E1187="","",'CARNET DE SOUDURE'!E1187)</f>
        <v/>
      </c>
      <c r="D1187" s="78" t="str">
        <f aca="false">IF('CARNET DE SOUDURE'!E1187="","",'CARNET DE SOUDURE'!D1187&amp;"")</f>
        <v/>
      </c>
      <c r="E1187" s="96" t="str">
        <f aca="false">IF(OR('CARNET DE SOUDURE'!E1187="",'CARNET DE SOUDURE'!R1187=""),"",'CARNET DE SOUDURE'!R1187)</f>
        <v/>
      </c>
      <c r="F1187" s="81" t="str">
        <f aca="false">IF('CARNET DE SOUDURE'!E1187="","",'CARNET DE SOUDURE'!AL1187)</f>
        <v/>
      </c>
      <c r="G1187" s="81" t="str">
        <f aca="false">IF('CARNET DE SOUDURE'!E1187="","",'CARNET DE SOUDURE'!AM1187)</f>
        <v/>
      </c>
      <c r="H1187" s="81" t="str">
        <f aca="false">IF(C1187="","",IF(G1187="ACCEPTÉ","OUI","NON"))</f>
        <v/>
      </c>
      <c r="I1187" s="82"/>
      <c r="J1187" s="79"/>
      <c r="K1187" s="80"/>
      <c r="L1187" s="80"/>
      <c r="M1187" s="80"/>
      <c r="N1187" s="83" t="str">
        <f aca="false">IF(C1187="","",IF(I1187="",IF(H1187="OUI","À ENROBER",IF(G1187="À SOUDER","NON SOUDÉ","EN ATTENTE RT")),IF(L1187="R","À REPRENDRE",IF(H1187&lt;&gt;"OUI","⚠ ENROBÉ AVANT ACCEPTATION RT","ENROBÉ"))))</f>
        <v/>
      </c>
      <c r="O1187" s="79"/>
    </row>
    <row r="1188" customFormat="false" ht="15" hidden="false" customHeight="false" outlineLevel="0" collapsed="false">
      <c r="A1188" s="78" t="str">
        <f aca="false">IF('CARNET DE SOUDURE'!E1188="","",'CARNET DE SOUDURE'!A1188)</f>
        <v/>
      </c>
      <c r="B1188" s="93" t="str">
        <f aca="false">IF('CARNET DE SOUDURE'!E1188="","",'CARNET DE SOUDURE'!B1188&amp;"")</f>
        <v/>
      </c>
      <c r="C1188" s="83" t="str">
        <f aca="false">IF('CARNET DE SOUDURE'!E1188="","",'CARNET DE SOUDURE'!E1188)</f>
        <v/>
      </c>
      <c r="D1188" s="78" t="str">
        <f aca="false">IF('CARNET DE SOUDURE'!E1188="","",'CARNET DE SOUDURE'!D1188&amp;"")</f>
        <v/>
      </c>
      <c r="E1188" s="96" t="str">
        <f aca="false">IF(OR('CARNET DE SOUDURE'!E1188="",'CARNET DE SOUDURE'!R1188=""),"",'CARNET DE SOUDURE'!R1188)</f>
        <v/>
      </c>
      <c r="F1188" s="81" t="str">
        <f aca="false">IF('CARNET DE SOUDURE'!E1188="","",'CARNET DE SOUDURE'!AL1188)</f>
        <v/>
      </c>
      <c r="G1188" s="81" t="str">
        <f aca="false">IF('CARNET DE SOUDURE'!E1188="","",'CARNET DE SOUDURE'!AM1188)</f>
        <v/>
      </c>
      <c r="H1188" s="81" t="str">
        <f aca="false">IF(C1188="","",IF(G1188="ACCEPTÉ","OUI","NON"))</f>
        <v/>
      </c>
      <c r="I1188" s="82"/>
      <c r="J1188" s="79"/>
      <c r="K1188" s="80"/>
      <c r="L1188" s="80"/>
      <c r="M1188" s="80"/>
      <c r="N1188" s="83" t="str">
        <f aca="false">IF(C1188="","",IF(I1188="",IF(H1188="OUI","À ENROBER",IF(G1188="À SOUDER","NON SOUDÉ","EN ATTENTE RT")),IF(L1188="R","À REPRENDRE",IF(H1188&lt;&gt;"OUI","⚠ ENROBÉ AVANT ACCEPTATION RT","ENROBÉ"))))</f>
        <v/>
      </c>
      <c r="O1188" s="79"/>
    </row>
    <row r="1189" customFormat="false" ht="15" hidden="false" customHeight="false" outlineLevel="0" collapsed="false">
      <c r="A1189" s="78" t="str">
        <f aca="false">IF('CARNET DE SOUDURE'!E1189="","",'CARNET DE SOUDURE'!A1189)</f>
        <v/>
      </c>
      <c r="B1189" s="93" t="str">
        <f aca="false">IF('CARNET DE SOUDURE'!E1189="","",'CARNET DE SOUDURE'!B1189&amp;"")</f>
        <v/>
      </c>
      <c r="C1189" s="83" t="str">
        <f aca="false">IF('CARNET DE SOUDURE'!E1189="","",'CARNET DE SOUDURE'!E1189)</f>
        <v/>
      </c>
      <c r="D1189" s="78" t="str">
        <f aca="false">IF('CARNET DE SOUDURE'!E1189="","",'CARNET DE SOUDURE'!D1189&amp;"")</f>
        <v/>
      </c>
      <c r="E1189" s="96" t="str">
        <f aca="false">IF(OR('CARNET DE SOUDURE'!E1189="",'CARNET DE SOUDURE'!R1189=""),"",'CARNET DE SOUDURE'!R1189)</f>
        <v/>
      </c>
      <c r="F1189" s="81" t="str">
        <f aca="false">IF('CARNET DE SOUDURE'!E1189="","",'CARNET DE SOUDURE'!AL1189)</f>
        <v/>
      </c>
      <c r="G1189" s="81" t="str">
        <f aca="false">IF('CARNET DE SOUDURE'!E1189="","",'CARNET DE SOUDURE'!AM1189)</f>
        <v/>
      </c>
      <c r="H1189" s="81" t="str">
        <f aca="false">IF(C1189="","",IF(G1189="ACCEPTÉ","OUI","NON"))</f>
        <v/>
      </c>
      <c r="I1189" s="82"/>
      <c r="J1189" s="79"/>
      <c r="K1189" s="80"/>
      <c r="L1189" s="80"/>
      <c r="M1189" s="80"/>
      <c r="N1189" s="83" t="str">
        <f aca="false">IF(C1189="","",IF(I1189="",IF(H1189="OUI","À ENROBER",IF(G1189="À SOUDER","NON SOUDÉ","EN ATTENTE RT")),IF(L1189="R","À REPRENDRE",IF(H1189&lt;&gt;"OUI","⚠ ENROBÉ AVANT ACCEPTATION RT","ENROBÉ"))))</f>
        <v/>
      </c>
      <c r="O1189" s="79"/>
    </row>
    <row r="1190" customFormat="false" ht="15" hidden="false" customHeight="false" outlineLevel="0" collapsed="false">
      <c r="A1190" s="78" t="str">
        <f aca="false">IF('CARNET DE SOUDURE'!E1190="","",'CARNET DE SOUDURE'!A1190)</f>
        <v/>
      </c>
      <c r="B1190" s="93" t="str">
        <f aca="false">IF('CARNET DE SOUDURE'!E1190="","",'CARNET DE SOUDURE'!B1190&amp;"")</f>
        <v/>
      </c>
      <c r="C1190" s="83" t="str">
        <f aca="false">IF('CARNET DE SOUDURE'!E1190="","",'CARNET DE SOUDURE'!E1190)</f>
        <v/>
      </c>
      <c r="D1190" s="78" t="str">
        <f aca="false">IF('CARNET DE SOUDURE'!E1190="","",'CARNET DE SOUDURE'!D1190&amp;"")</f>
        <v/>
      </c>
      <c r="E1190" s="96" t="str">
        <f aca="false">IF(OR('CARNET DE SOUDURE'!E1190="",'CARNET DE SOUDURE'!R1190=""),"",'CARNET DE SOUDURE'!R1190)</f>
        <v/>
      </c>
      <c r="F1190" s="81" t="str">
        <f aca="false">IF('CARNET DE SOUDURE'!E1190="","",'CARNET DE SOUDURE'!AL1190)</f>
        <v/>
      </c>
      <c r="G1190" s="81" t="str">
        <f aca="false">IF('CARNET DE SOUDURE'!E1190="","",'CARNET DE SOUDURE'!AM1190)</f>
        <v/>
      </c>
      <c r="H1190" s="81" t="str">
        <f aca="false">IF(C1190="","",IF(G1190="ACCEPTÉ","OUI","NON"))</f>
        <v/>
      </c>
      <c r="I1190" s="82"/>
      <c r="J1190" s="79"/>
      <c r="K1190" s="80"/>
      <c r="L1190" s="80"/>
      <c r="M1190" s="80"/>
      <c r="N1190" s="83" t="str">
        <f aca="false">IF(C1190="","",IF(I1190="",IF(H1190="OUI","À ENROBER",IF(G1190="À SOUDER","NON SOUDÉ","EN ATTENTE RT")),IF(L1190="R","À REPRENDRE",IF(H1190&lt;&gt;"OUI","⚠ ENROBÉ AVANT ACCEPTATION RT","ENROBÉ"))))</f>
        <v/>
      </c>
      <c r="O1190" s="79"/>
    </row>
    <row r="1191" customFormat="false" ht="15" hidden="false" customHeight="false" outlineLevel="0" collapsed="false">
      <c r="A1191" s="78" t="str">
        <f aca="false">IF('CARNET DE SOUDURE'!E1191="","",'CARNET DE SOUDURE'!A1191)</f>
        <v/>
      </c>
      <c r="B1191" s="93" t="str">
        <f aca="false">IF('CARNET DE SOUDURE'!E1191="","",'CARNET DE SOUDURE'!B1191&amp;"")</f>
        <v/>
      </c>
      <c r="C1191" s="83" t="str">
        <f aca="false">IF('CARNET DE SOUDURE'!E1191="","",'CARNET DE SOUDURE'!E1191)</f>
        <v/>
      </c>
      <c r="D1191" s="78" t="str">
        <f aca="false">IF('CARNET DE SOUDURE'!E1191="","",'CARNET DE SOUDURE'!D1191&amp;"")</f>
        <v/>
      </c>
      <c r="E1191" s="96" t="str">
        <f aca="false">IF(OR('CARNET DE SOUDURE'!E1191="",'CARNET DE SOUDURE'!R1191=""),"",'CARNET DE SOUDURE'!R1191)</f>
        <v/>
      </c>
      <c r="F1191" s="81" t="str">
        <f aca="false">IF('CARNET DE SOUDURE'!E1191="","",'CARNET DE SOUDURE'!AL1191)</f>
        <v/>
      </c>
      <c r="G1191" s="81" t="str">
        <f aca="false">IF('CARNET DE SOUDURE'!E1191="","",'CARNET DE SOUDURE'!AM1191)</f>
        <v/>
      </c>
      <c r="H1191" s="81" t="str">
        <f aca="false">IF(C1191="","",IF(G1191="ACCEPTÉ","OUI","NON"))</f>
        <v/>
      </c>
      <c r="I1191" s="82"/>
      <c r="J1191" s="79"/>
      <c r="K1191" s="80"/>
      <c r="L1191" s="80"/>
      <c r="M1191" s="80"/>
      <c r="N1191" s="83" t="str">
        <f aca="false">IF(C1191="","",IF(I1191="",IF(H1191="OUI","À ENROBER",IF(G1191="À SOUDER","NON SOUDÉ","EN ATTENTE RT")),IF(L1191="R","À REPRENDRE",IF(H1191&lt;&gt;"OUI","⚠ ENROBÉ AVANT ACCEPTATION RT","ENROBÉ"))))</f>
        <v/>
      </c>
      <c r="O1191" s="79"/>
    </row>
    <row r="1192" customFormat="false" ht="15" hidden="false" customHeight="false" outlineLevel="0" collapsed="false">
      <c r="A1192" s="78" t="str">
        <f aca="false">IF('CARNET DE SOUDURE'!E1192="","",'CARNET DE SOUDURE'!A1192)</f>
        <v/>
      </c>
      <c r="B1192" s="93" t="str">
        <f aca="false">IF('CARNET DE SOUDURE'!E1192="","",'CARNET DE SOUDURE'!B1192&amp;"")</f>
        <v/>
      </c>
      <c r="C1192" s="83" t="str">
        <f aca="false">IF('CARNET DE SOUDURE'!E1192="","",'CARNET DE SOUDURE'!E1192)</f>
        <v/>
      </c>
      <c r="D1192" s="78" t="str">
        <f aca="false">IF('CARNET DE SOUDURE'!E1192="","",'CARNET DE SOUDURE'!D1192&amp;"")</f>
        <v/>
      </c>
      <c r="E1192" s="96" t="str">
        <f aca="false">IF(OR('CARNET DE SOUDURE'!E1192="",'CARNET DE SOUDURE'!R1192=""),"",'CARNET DE SOUDURE'!R1192)</f>
        <v/>
      </c>
      <c r="F1192" s="81" t="str">
        <f aca="false">IF('CARNET DE SOUDURE'!E1192="","",'CARNET DE SOUDURE'!AL1192)</f>
        <v/>
      </c>
      <c r="G1192" s="81" t="str">
        <f aca="false">IF('CARNET DE SOUDURE'!E1192="","",'CARNET DE SOUDURE'!AM1192)</f>
        <v/>
      </c>
      <c r="H1192" s="81" t="str">
        <f aca="false">IF(C1192="","",IF(G1192="ACCEPTÉ","OUI","NON"))</f>
        <v/>
      </c>
      <c r="I1192" s="82"/>
      <c r="J1192" s="79"/>
      <c r="K1192" s="80"/>
      <c r="L1192" s="80"/>
      <c r="M1192" s="80"/>
      <c r="N1192" s="83" t="str">
        <f aca="false">IF(C1192="","",IF(I1192="",IF(H1192="OUI","À ENROBER",IF(G1192="À SOUDER","NON SOUDÉ","EN ATTENTE RT")),IF(L1192="R","À REPRENDRE",IF(H1192&lt;&gt;"OUI","⚠ ENROBÉ AVANT ACCEPTATION RT","ENROBÉ"))))</f>
        <v/>
      </c>
      <c r="O1192" s="79"/>
    </row>
    <row r="1193" customFormat="false" ht="15" hidden="false" customHeight="false" outlineLevel="0" collapsed="false">
      <c r="A1193" s="78" t="str">
        <f aca="false">IF('CARNET DE SOUDURE'!E1193="","",'CARNET DE SOUDURE'!A1193)</f>
        <v/>
      </c>
      <c r="B1193" s="93" t="str">
        <f aca="false">IF('CARNET DE SOUDURE'!E1193="","",'CARNET DE SOUDURE'!B1193&amp;"")</f>
        <v/>
      </c>
      <c r="C1193" s="83" t="str">
        <f aca="false">IF('CARNET DE SOUDURE'!E1193="","",'CARNET DE SOUDURE'!E1193)</f>
        <v/>
      </c>
      <c r="D1193" s="78" t="str">
        <f aca="false">IF('CARNET DE SOUDURE'!E1193="","",'CARNET DE SOUDURE'!D1193&amp;"")</f>
        <v/>
      </c>
      <c r="E1193" s="96" t="str">
        <f aca="false">IF(OR('CARNET DE SOUDURE'!E1193="",'CARNET DE SOUDURE'!R1193=""),"",'CARNET DE SOUDURE'!R1193)</f>
        <v/>
      </c>
      <c r="F1193" s="81" t="str">
        <f aca="false">IF('CARNET DE SOUDURE'!E1193="","",'CARNET DE SOUDURE'!AL1193)</f>
        <v/>
      </c>
      <c r="G1193" s="81" t="str">
        <f aca="false">IF('CARNET DE SOUDURE'!E1193="","",'CARNET DE SOUDURE'!AM1193)</f>
        <v/>
      </c>
      <c r="H1193" s="81" t="str">
        <f aca="false">IF(C1193="","",IF(G1193="ACCEPTÉ","OUI","NON"))</f>
        <v/>
      </c>
      <c r="I1193" s="82"/>
      <c r="J1193" s="79"/>
      <c r="K1193" s="80"/>
      <c r="L1193" s="80"/>
      <c r="M1193" s="80"/>
      <c r="N1193" s="83" t="str">
        <f aca="false">IF(C1193="","",IF(I1193="",IF(H1193="OUI","À ENROBER",IF(G1193="À SOUDER","NON SOUDÉ","EN ATTENTE RT")),IF(L1193="R","À REPRENDRE",IF(H1193&lt;&gt;"OUI","⚠ ENROBÉ AVANT ACCEPTATION RT","ENROBÉ"))))</f>
        <v/>
      </c>
      <c r="O1193" s="79"/>
    </row>
    <row r="1194" customFormat="false" ht="15" hidden="false" customHeight="false" outlineLevel="0" collapsed="false">
      <c r="A1194" s="78" t="str">
        <f aca="false">IF('CARNET DE SOUDURE'!E1194="","",'CARNET DE SOUDURE'!A1194)</f>
        <v/>
      </c>
      <c r="B1194" s="93" t="str">
        <f aca="false">IF('CARNET DE SOUDURE'!E1194="","",'CARNET DE SOUDURE'!B1194&amp;"")</f>
        <v/>
      </c>
      <c r="C1194" s="83" t="str">
        <f aca="false">IF('CARNET DE SOUDURE'!E1194="","",'CARNET DE SOUDURE'!E1194)</f>
        <v/>
      </c>
      <c r="D1194" s="78" t="str">
        <f aca="false">IF('CARNET DE SOUDURE'!E1194="","",'CARNET DE SOUDURE'!D1194&amp;"")</f>
        <v/>
      </c>
      <c r="E1194" s="96" t="str">
        <f aca="false">IF(OR('CARNET DE SOUDURE'!E1194="",'CARNET DE SOUDURE'!R1194=""),"",'CARNET DE SOUDURE'!R1194)</f>
        <v/>
      </c>
      <c r="F1194" s="81" t="str">
        <f aca="false">IF('CARNET DE SOUDURE'!E1194="","",'CARNET DE SOUDURE'!AL1194)</f>
        <v/>
      </c>
      <c r="G1194" s="81" t="str">
        <f aca="false">IF('CARNET DE SOUDURE'!E1194="","",'CARNET DE SOUDURE'!AM1194)</f>
        <v/>
      </c>
      <c r="H1194" s="81" t="str">
        <f aca="false">IF(C1194="","",IF(G1194="ACCEPTÉ","OUI","NON"))</f>
        <v/>
      </c>
      <c r="I1194" s="82"/>
      <c r="J1194" s="79"/>
      <c r="K1194" s="80"/>
      <c r="L1194" s="80"/>
      <c r="M1194" s="80"/>
      <c r="N1194" s="83" t="str">
        <f aca="false">IF(C1194="","",IF(I1194="",IF(H1194="OUI","À ENROBER",IF(G1194="À SOUDER","NON SOUDÉ","EN ATTENTE RT")),IF(L1194="R","À REPRENDRE",IF(H1194&lt;&gt;"OUI","⚠ ENROBÉ AVANT ACCEPTATION RT","ENROBÉ"))))</f>
        <v/>
      </c>
      <c r="O1194" s="79"/>
    </row>
    <row r="1195" customFormat="false" ht="15" hidden="false" customHeight="false" outlineLevel="0" collapsed="false">
      <c r="A1195" s="78" t="str">
        <f aca="false">IF('CARNET DE SOUDURE'!E1195="","",'CARNET DE SOUDURE'!A1195)</f>
        <v/>
      </c>
      <c r="B1195" s="93" t="str">
        <f aca="false">IF('CARNET DE SOUDURE'!E1195="","",'CARNET DE SOUDURE'!B1195&amp;"")</f>
        <v/>
      </c>
      <c r="C1195" s="83" t="str">
        <f aca="false">IF('CARNET DE SOUDURE'!E1195="","",'CARNET DE SOUDURE'!E1195)</f>
        <v/>
      </c>
      <c r="D1195" s="78" t="str">
        <f aca="false">IF('CARNET DE SOUDURE'!E1195="","",'CARNET DE SOUDURE'!D1195&amp;"")</f>
        <v/>
      </c>
      <c r="E1195" s="96" t="str">
        <f aca="false">IF(OR('CARNET DE SOUDURE'!E1195="",'CARNET DE SOUDURE'!R1195=""),"",'CARNET DE SOUDURE'!R1195)</f>
        <v/>
      </c>
      <c r="F1195" s="81" t="str">
        <f aca="false">IF('CARNET DE SOUDURE'!E1195="","",'CARNET DE SOUDURE'!AL1195)</f>
        <v/>
      </c>
      <c r="G1195" s="81" t="str">
        <f aca="false">IF('CARNET DE SOUDURE'!E1195="","",'CARNET DE SOUDURE'!AM1195)</f>
        <v/>
      </c>
      <c r="H1195" s="81" t="str">
        <f aca="false">IF(C1195="","",IF(G1195="ACCEPTÉ","OUI","NON"))</f>
        <v/>
      </c>
      <c r="I1195" s="82"/>
      <c r="J1195" s="79"/>
      <c r="K1195" s="80"/>
      <c r="L1195" s="80"/>
      <c r="M1195" s="80"/>
      <c r="N1195" s="83" t="str">
        <f aca="false">IF(C1195="","",IF(I1195="",IF(H1195="OUI","À ENROBER",IF(G1195="À SOUDER","NON SOUDÉ","EN ATTENTE RT")),IF(L1195="R","À REPRENDRE",IF(H1195&lt;&gt;"OUI","⚠ ENROBÉ AVANT ACCEPTATION RT","ENROBÉ"))))</f>
        <v/>
      </c>
      <c r="O1195" s="79"/>
    </row>
    <row r="1196" customFormat="false" ht="15" hidden="false" customHeight="false" outlineLevel="0" collapsed="false">
      <c r="A1196" s="78" t="str">
        <f aca="false">IF('CARNET DE SOUDURE'!E1196="","",'CARNET DE SOUDURE'!A1196)</f>
        <v/>
      </c>
      <c r="B1196" s="93" t="str">
        <f aca="false">IF('CARNET DE SOUDURE'!E1196="","",'CARNET DE SOUDURE'!B1196&amp;"")</f>
        <v/>
      </c>
      <c r="C1196" s="83" t="str">
        <f aca="false">IF('CARNET DE SOUDURE'!E1196="","",'CARNET DE SOUDURE'!E1196)</f>
        <v/>
      </c>
      <c r="D1196" s="78" t="str">
        <f aca="false">IF('CARNET DE SOUDURE'!E1196="","",'CARNET DE SOUDURE'!D1196&amp;"")</f>
        <v/>
      </c>
      <c r="E1196" s="96" t="str">
        <f aca="false">IF(OR('CARNET DE SOUDURE'!E1196="",'CARNET DE SOUDURE'!R1196=""),"",'CARNET DE SOUDURE'!R1196)</f>
        <v/>
      </c>
      <c r="F1196" s="81" t="str">
        <f aca="false">IF('CARNET DE SOUDURE'!E1196="","",'CARNET DE SOUDURE'!AL1196)</f>
        <v/>
      </c>
      <c r="G1196" s="81" t="str">
        <f aca="false">IF('CARNET DE SOUDURE'!E1196="","",'CARNET DE SOUDURE'!AM1196)</f>
        <v/>
      </c>
      <c r="H1196" s="81" t="str">
        <f aca="false">IF(C1196="","",IF(G1196="ACCEPTÉ","OUI","NON"))</f>
        <v/>
      </c>
      <c r="I1196" s="82"/>
      <c r="J1196" s="79"/>
      <c r="K1196" s="80"/>
      <c r="L1196" s="80"/>
      <c r="M1196" s="80"/>
      <c r="N1196" s="83" t="str">
        <f aca="false">IF(C1196="","",IF(I1196="",IF(H1196="OUI","À ENROBER",IF(G1196="À SOUDER","NON SOUDÉ","EN ATTENTE RT")),IF(L1196="R","À REPRENDRE",IF(H1196&lt;&gt;"OUI","⚠ ENROBÉ AVANT ACCEPTATION RT","ENROBÉ"))))</f>
        <v/>
      </c>
      <c r="O1196" s="79"/>
    </row>
    <row r="1197" customFormat="false" ht="15" hidden="false" customHeight="false" outlineLevel="0" collapsed="false">
      <c r="A1197" s="78" t="str">
        <f aca="false">IF('CARNET DE SOUDURE'!E1197="","",'CARNET DE SOUDURE'!A1197)</f>
        <v/>
      </c>
      <c r="B1197" s="93" t="str">
        <f aca="false">IF('CARNET DE SOUDURE'!E1197="","",'CARNET DE SOUDURE'!B1197&amp;"")</f>
        <v/>
      </c>
      <c r="C1197" s="83" t="str">
        <f aca="false">IF('CARNET DE SOUDURE'!E1197="","",'CARNET DE SOUDURE'!E1197)</f>
        <v/>
      </c>
      <c r="D1197" s="78" t="str">
        <f aca="false">IF('CARNET DE SOUDURE'!E1197="","",'CARNET DE SOUDURE'!D1197&amp;"")</f>
        <v/>
      </c>
      <c r="E1197" s="96" t="str">
        <f aca="false">IF(OR('CARNET DE SOUDURE'!E1197="",'CARNET DE SOUDURE'!R1197=""),"",'CARNET DE SOUDURE'!R1197)</f>
        <v/>
      </c>
      <c r="F1197" s="81" t="str">
        <f aca="false">IF('CARNET DE SOUDURE'!E1197="","",'CARNET DE SOUDURE'!AL1197)</f>
        <v/>
      </c>
      <c r="G1197" s="81" t="str">
        <f aca="false">IF('CARNET DE SOUDURE'!E1197="","",'CARNET DE SOUDURE'!AM1197)</f>
        <v/>
      </c>
      <c r="H1197" s="81" t="str">
        <f aca="false">IF(C1197="","",IF(G1197="ACCEPTÉ","OUI","NON"))</f>
        <v/>
      </c>
      <c r="I1197" s="82"/>
      <c r="J1197" s="79"/>
      <c r="K1197" s="80"/>
      <c r="L1197" s="80"/>
      <c r="M1197" s="80"/>
      <c r="N1197" s="83" t="str">
        <f aca="false">IF(C1197="","",IF(I1197="",IF(H1197="OUI","À ENROBER",IF(G1197="À SOUDER","NON SOUDÉ","EN ATTENTE RT")),IF(L1197="R","À REPRENDRE",IF(H1197&lt;&gt;"OUI","⚠ ENROBÉ AVANT ACCEPTATION RT","ENROBÉ"))))</f>
        <v/>
      </c>
      <c r="O1197" s="79"/>
    </row>
    <row r="1198" customFormat="false" ht="15" hidden="false" customHeight="false" outlineLevel="0" collapsed="false">
      <c r="A1198" s="78" t="str">
        <f aca="false">IF('CARNET DE SOUDURE'!E1198="","",'CARNET DE SOUDURE'!A1198)</f>
        <v/>
      </c>
      <c r="B1198" s="93" t="str">
        <f aca="false">IF('CARNET DE SOUDURE'!E1198="","",'CARNET DE SOUDURE'!B1198&amp;"")</f>
        <v/>
      </c>
      <c r="C1198" s="83" t="str">
        <f aca="false">IF('CARNET DE SOUDURE'!E1198="","",'CARNET DE SOUDURE'!E1198)</f>
        <v/>
      </c>
      <c r="D1198" s="78" t="str">
        <f aca="false">IF('CARNET DE SOUDURE'!E1198="","",'CARNET DE SOUDURE'!D1198&amp;"")</f>
        <v/>
      </c>
      <c r="E1198" s="96" t="str">
        <f aca="false">IF(OR('CARNET DE SOUDURE'!E1198="",'CARNET DE SOUDURE'!R1198=""),"",'CARNET DE SOUDURE'!R1198)</f>
        <v/>
      </c>
      <c r="F1198" s="81" t="str">
        <f aca="false">IF('CARNET DE SOUDURE'!E1198="","",'CARNET DE SOUDURE'!AL1198)</f>
        <v/>
      </c>
      <c r="G1198" s="81" t="str">
        <f aca="false">IF('CARNET DE SOUDURE'!E1198="","",'CARNET DE SOUDURE'!AM1198)</f>
        <v/>
      </c>
      <c r="H1198" s="81" t="str">
        <f aca="false">IF(C1198="","",IF(G1198="ACCEPTÉ","OUI","NON"))</f>
        <v/>
      </c>
      <c r="I1198" s="82"/>
      <c r="J1198" s="79"/>
      <c r="K1198" s="80"/>
      <c r="L1198" s="80"/>
      <c r="M1198" s="80"/>
      <c r="N1198" s="83" t="str">
        <f aca="false">IF(C1198="","",IF(I1198="",IF(H1198="OUI","À ENROBER",IF(G1198="À SOUDER","NON SOUDÉ","EN ATTENTE RT")),IF(L1198="R","À REPRENDRE",IF(H1198&lt;&gt;"OUI","⚠ ENROBÉ AVANT ACCEPTATION RT","ENROBÉ"))))</f>
        <v/>
      </c>
      <c r="O1198" s="79"/>
    </row>
    <row r="1199" customFormat="false" ht="15" hidden="false" customHeight="false" outlineLevel="0" collapsed="false">
      <c r="A1199" s="78" t="str">
        <f aca="false">IF('CARNET DE SOUDURE'!E1199="","",'CARNET DE SOUDURE'!A1199)</f>
        <v/>
      </c>
      <c r="B1199" s="93" t="str">
        <f aca="false">IF('CARNET DE SOUDURE'!E1199="","",'CARNET DE SOUDURE'!B1199&amp;"")</f>
        <v/>
      </c>
      <c r="C1199" s="83" t="str">
        <f aca="false">IF('CARNET DE SOUDURE'!E1199="","",'CARNET DE SOUDURE'!E1199)</f>
        <v/>
      </c>
      <c r="D1199" s="78" t="str">
        <f aca="false">IF('CARNET DE SOUDURE'!E1199="","",'CARNET DE SOUDURE'!D1199&amp;"")</f>
        <v/>
      </c>
      <c r="E1199" s="96" t="str">
        <f aca="false">IF(OR('CARNET DE SOUDURE'!E1199="",'CARNET DE SOUDURE'!R1199=""),"",'CARNET DE SOUDURE'!R1199)</f>
        <v/>
      </c>
      <c r="F1199" s="81" t="str">
        <f aca="false">IF('CARNET DE SOUDURE'!E1199="","",'CARNET DE SOUDURE'!AL1199)</f>
        <v/>
      </c>
      <c r="G1199" s="81" t="str">
        <f aca="false">IF('CARNET DE SOUDURE'!E1199="","",'CARNET DE SOUDURE'!AM1199)</f>
        <v/>
      </c>
      <c r="H1199" s="81" t="str">
        <f aca="false">IF(C1199="","",IF(G1199="ACCEPTÉ","OUI","NON"))</f>
        <v/>
      </c>
      <c r="I1199" s="82"/>
      <c r="J1199" s="79"/>
      <c r="K1199" s="80"/>
      <c r="L1199" s="80"/>
      <c r="M1199" s="80"/>
      <c r="N1199" s="83" t="str">
        <f aca="false">IF(C1199="","",IF(I1199="",IF(H1199="OUI","À ENROBER",IF(G1199="À SOUDER","NON SOUDÉ","EN ATTENTE RT")),IF(L1199="R","À REPRENDRE",IF(H1199&lt;&gt;"OUI","⚠ ENROBÉ AVANT ACCEPTATION RT","ENROBÉ"))))</f>
        <v/>
      </c>
      <c r="O1199" s="79"/>
    </row>
    <row r="1200" customFormat="false" ht="15" hidden="false" customHeight="false" outlineLevel="0" collapsed="false">
      <c r="A1200" s="78" t="str">
        <f aca="false">IF('CARNET DE SOUDURE'!E1200="","",'CARNET DE SOUDURE'!A1200)</f>
        <v/>
      </c>
      <c r="B1200" s="93" t="str">
        <f aca="false">IF('CARNET DE SOUDURE'!E1200="","",'CARNET DE SOUDURE'!B1200&amp;"")</f>
        <v/>
      </c>
      <c r="C1200" s="83" t="str">
        <f aca="false">IF('CARNET DE SOUDURE'!E1200="","",'CARNET DE SOUDURE'!E1200)</f>
        <v/>
      </c>
      <c r="D1200" s="78" t="str">
        <f aca="false">IF('CARNET DE SOUDURE'!E1200="","",'CARNET DE SOUDURE'!D1200&amp;"")</f>
        <v/>
      </c>
      <c r="E1200" s="96" t="str">
        <f aca="false">IF(OR('CARNET DE SOUDURE'!E1200="",'CARNET DE SOUDURE'!R1200=""),"",'CARNET DE SOUDURE'!R1200)</f>
        <v/>
      </c>
      <c r="F1200" s="81" t="str">
        <f aca="false">IF('CARNET DE SOUDURE'!E1200="","",'CARNET DE SOUDURE'!AL1200)</f>
        <v/>
      </c>
      <c r="G1200" s="81" t="str">
        <f aca="false">IF('CARNET DE SOUDURE'!E1200="","",'CARNET DE SOUDURE'!AM1200)</f>
        <v/>
      </c>
      <c r="H1200" s="81" t="str">
        <f aca="false">IF(C1200="","",IF(G1200="ACCEPTÉ","OUI","NON"))</f>
        <v/>
      </c>
      <c r="I1200" s="82"/>
      <c r="J1200" s="79"/>
      <c r="K1200" s="80"/>
      <c r="L1200" s="80"/>
      <c r="M1200" s="80"/>
      <c r="N1200" s="83" t="str">
        <f aca="false">IF(C1200="","",IF(I1200="",IF(H1200="OUI","À ENROBER",IF(G1200="À SOUDER","NON SOUDÉ","EN ATTENTE RT")),IF(L1200="R","À REPRENDRE",IF(H1200&lt;&gt;"OUI","⚠ ENROBÉ AVANT ACCEPTATION RT","ENROBÉ"))))</f>
        <v/>
      </c>
      <c r="O1200" s="79"/>
    </row>
    <row r="1201" customFormat="false" ht="15" hidden="false" customHeight="false" outlineLevel="0" collapsed="false">
      <c r="A1201" s="78" t="str">
        <f aca="false">IF('CARNET DE SOUDURE'!E1201="","",'CARNET DE SOUDURE'!A1201)</f>
        <v/>
      </c>
      <c r="B1201" s="93" t="str">
        <f aca="false">IF('CARNET DE SOUDURE'!E1201="","",'CARNET DE SOUDURE'!B1201&amp;"")</f>
        <v/>
      </c>
      <c r="C1201" s="83" t="str">
        <f aca="false">IF('CARNET DE SOUDURE'!E1201="","",'CARNET DE SOUDURE'!E1201)</f>
        <v/>
      </c>
      <c r="D1201" s="78" t="str">
        <f aca="false">IF('CARNET DE SOUDURE'!E1201="","",'CARNET DE SOUDURE'!D1201&amp;"")</f>
        <v/>
      </c>
      <c r="E1201" s="96" t="str">
        <f aca="false">IF(OR('CARNET DE SOUDURE'!E1201="",'CARNET DE SOUDURE'!R1201=""),"",'CARNET DE SOUDURE'!R1201)</f>
        <v/>
      </c>
      <c r="F1201" s="81" t="str">
        <f aca="false">IF('CARNET DE SOUDURE'!E1201="","",'CARNET DE SOUDURE'!AL1201)</f>
        <v/>
      </c>
      <c r="G1201" s="81" t="str">
        <f aca="false">IF('CARNET DE SOUDURE'!E1201="","",'CARNET DE SOUDURE'!AM1201)</f>
        <v/>
      </c>
      <c r="H1201" s="81" t="str">
        <f aca="false">IF(C1201="","",IF(G1201="ACCEPTÉ","OUI","NON"))</f>
        <v/>
      </c>
      <c r="I1201" s="82"/>
      <c r="J1201" s="79"/>
      <c r="K1201" s="80"/>
      <c r="L1201" s="80"/>
      <c r="M1201" s="80"/>
      <c r="N1201" s="83" t="str">
        <f aca="false">IF(C1201="","",IF(I1201="",IF(H1201="OUI","À ENROBER",IF(G1201="À SOUDER","NON SOUDÉ","EN ATTENTE RT")),IF(L1201="R","À REPRENDRE",IF(H1201&lt;&gt;"OUI","⚠ ENROBÉ AVANT ACCEPTATION RT","ENROBÉ"))))</f>
        <v/>
      </c>
      <c r="O1201" s="79"/>
    </row>
    <row r="1202" customFormat="false" ht="15" hidden="false" customHeight="false" outlineLevel="0" collapsed="false">
      <c r="A1202" s="78" t="str">
        <f aca="false">IF('CARNET DE SOUDURE'!E1202="","",'CARNET DE SOUDURE'!A1202)</f>
        <v/>
      </c>
      <c r="B1202" s="93" t="str">
        <f aca="false">IF('CARNET DE SOUDURE'!E1202="","",'CARNET DE SOUDURE'!B1202&amp;"")</f>
        <v/>
      </c>
      <c r="C1202" s="83" t="str">
        <f aca="false">IF('CARNET DE SOUDURE'!E1202="","",'CARNET DE SOUDURE'!E1202)</f>
        <v/>
      </c>
      <c r="D1202" s="78" t="str">
        <f aca="false">IF('CARNET DE SOUDURE'!E1202="","",'CARNET DE SOUDURE'!D1202&amp;"")</f>
        <v/>
      </c>
      <c r="E1202" s="96" t="str">
        <f aca="false">IF(OR('CARNET DE SOUDURE'!E1202="",'CARNET DE SOUDURE'!R1202=""),"",'CARNET DE SOUDURE'!R1202)</f>
        <v/>
      </c>
      <c r="F1202" s="81" t="str">
        <f aca="false">IF('CARNET DE SOUDURE'!E1202="","",'CARNET DE SOUDURE'!AL1202)</f>
        <v/>
      </c>
      <c r="G1202" s="81" t="str">
        <f aca="false">IF('CARNET DE SOUDURE'!E1202="","",'CARNET DE SOUDURE'!AM1202)</f>
        <v/>
      </c>
      <c r="H1202" s="81" t="str">
        <f aca="false">IF(C1202="","",IF(G1202="ACCEPTÉ","OUI","NON"))</f>
        <v/>
      </c>
      <c r="I1202" s="82"/>
      <c r="J1202" s="79"/>
      <c r="K1202" s="80"/>
      <c r="L1202" s="80"/>
      <c r="M1202" s="80"/>
      <c r="N1202" s="83" t="str">
        <f aca="false">IF(C1202="","",IF(I1202="",IF(H1202="OUI","À ENROBER",IF(G1202="À SOUDER","NON SOUDÉ","EN ATTENTE RT")),IF(L1202="R","À REPRENDRE",IF(H1202&lt;&gt;"OUI","⚠ ENROBÉ AVANT ACCEPTATION RT","ENROBÉ"))))</f>
        <v/>
      </c>
      <c r="O1202" s="79"/>
    </row>
    <row r="1203" customFormat="false" ht="15" hidden="false" customHeight="false" outlineLevel="0" collapsed="false">
      <c r="A1203" s="78" t="str">
        <f aca="false">IF('CARNET DE SOUDURE'!E1203="","",'CARNET DE SOUDURE'!A1203)</f>
        <v/>
      </c>
      <c r="B1203" s="93" t="str">
        <f aca="false">IF('CARNET DE SOUDURE'!E1203="","",'CARNET DE SOUDURE'!B1203&amp;"")</f>
        <v/>
      </c>
      <c r="C1203" s="83" t="str">
        <f aca="false">IF('CARNET DE SOUDURE'!E1203="","",'CARNET DE SOUDURE'!E1203)</f>
        <v/>
      </c>
      <c r="D1203" s="78" t="str">
        <f aca="false">IF('CARNET DE SOUDURE'!E1203="","",'CARNET DE SOUDURE'!D1203&amp;"")</f>
        <v/>
      </c>
      <c r="E1203" s="96" t="str">
        <f aca="false">IF(OR('CARNET DE SOUDURE'!E1203="",'CARNET DE SOUDURE'!R1203=""),"",'CARNET DE SOUDURE'!R1203)</f>
        <v/>
      </c>
      <c r="F1203" s="81" t="str">
        <f aca="false">IF('CARNET DE SOUDURE'!E1203="","",'CARNET DE SOUDURE'!AL1203)</f>
        <v/>
      </c>
      <c r="G1203" s="81" t="str">
        <f aca="false">IF('CARNET DE SOUDURE'!E1203="","",'CARNET DE SOUDURE'!AM1203)</f>
        <v/>
      </c>
      <c r="H1203" s="81" t="str">
        <f aca="false">IF(C1203="","",IF(G1203="ACCEPTÉ","OUI","NON"))</f>
        <v/>
      </c>
      <c r="I1203" s="82"/>
      <c r="J1203" s="79"/>
      <c r="K1203" s="80"/>
      <c r="L1203" s="80"/>
      <c r="M1203" s="80"/>
      <c r="N1203" s="83" t="str">
        <f aca="false">IF(C1203="","",IF(I1203="",IF(H1203="OUI","À ENROBER",IF(G1203="À SOUDER","NON SOUDÉ","EN ATTENTE RT")),IF(L1203="R","À REPRENDRE",IF(H1203&lt;&gt;"OUI","⚠ ENROBÉ AVANT ACCEPTATION RT","ENROBÉ"))))</f>
        <v/>
      </c>
      <c r="O1203" s="79"/>
    </row>
    <row r="1204" customFormat="false" ht="15" hidden="false" customHeight="false" outlineLevel="0" collapsed="false">
      <c r="A1204" s="78" t="str">
        <f aca="false">IF('CARNET DE SOUDURE'!E1204="","",'CARNET DE SOUDURE'!A1204)</f>
        <v/>
      </c>
      <c r="B1204" s="93" t="str">
        <f aca="false">IF('CARNET DE SOUDURE'!E1204="","",'CARNET DE SOUDURE'!B1204&amp;"")</f>
        <v/>
      </c>
      <c r="C1204" s="83" t="str">
        <f aca="false">IF('CARNET DE SOUDURE'!E1204="","",'CARNET DE SOUDURE'!E1204)</f>
        <v/>
      </c>
      <c r="D1204" s="78" t="str">
        <f aca="false">IF('CARNET DE SOUDURE'!E1204="","",'CARNET DE SOUDURE'!D1204&amp;"")</f>
        <v/>
      </c>
      <c r="E1204" s="96" t="str">
        <f aca="false">IF(OR('CARNET DE SOUDURE'!E1204="",'CARNET DE SOUDURE'!R1204=""),"",'CARNET DE SOUDURE'!R1204)</f>
        <v/>
      </c>
      <c r="F1204" s="81" t="str">
        <f aca="false">IF('CARNET DE SOUDURE'!E1204="","",'CARNET DE SOUDURE'!AL1204)</f>
        <v/>
      </c>
      <c r="G1204" s="81" t="str">
        <f aca="false">IF('CARNET DE SOUDURE'!E1204="","",'CARNET DE SOUDURE'!AM1204)</f>
        <v/>
      </c>
      <c r="H1204" s="81" t="str">
        <f aca="false">IF(C1204="","",IF(G1204="ACCEPTÉ","OUI","NON"))</f>
        <v/>
      </c>
      <c r="I1204" s="82"/>
      <c r="J1204" s="79"/>
      <c r="K1204" s="80"/>
      <c r="L1204" s="80"/>
      <c r="M1204" s="80"/>
      <c r="N1204" s="83" t="str">
        <f aca="false">IF(C1204="","",IF(I1204="",IF(H1204="OUI","À ENROBER",IF(G1204="À SOUDER","NON SOUDÉ","EN ATTENTE RT")),IF(L1204="R","À REPRENDRE",IF(H1204&lt;&gt;"OUI","⚠ ENROBÉ AVANT ACCEPTATION RT","ENROBÉ"))))</f>
        <v/>
      </c>
      <c r="O1204" s="79"/>
    </row>
    <row r="1205" customFormat="false" ht="15" hidden="false" customHeight="false" outlineLevel="0" collapsed="false">
      <c r="A1205" s="78" t="str">
        <f aca="false">IF('CARNET DE SOUDURE'!E1205="","",'CARNET DE SOUDURE'!A1205)</f>
        <v/>
      </c>
      <c r="B1205" s="93" t="str">
        <f aca="false">IF('CARNET DE SOUDURE'!E1205="","",'CARNET DE SOUDURE'!B1205&amp;"")</f>
        <v/>
      </c>
      <c r="C1205" s="83" t="str">
        <f aca="false">IF('CARNET DE SOUDURE'!E1205="","",'CARNET DE SOUDURE'!E1205)</f>
        <v/>
      </c>
      <c r="D1205" s="78" t="str">
        <f aca="false">IF('CARNET DE SOUDURE'!E1205="","",'CARNET DE SOUDURE'!D1205&amp;"")</f>
        <v/>
      </c>
      <c r="E1205" s="96" t="str">
        <f aca="false">IF(OR('CARNET DE SOUDURE'!E1205="",'CARNET DE SOUDURE'!R1205=""),"",'CARNET DE SOUDURE'!R1205)</f>
        <v/>
      </c>
      <c r="F1205" s="81" t="str">
        <f aca="false">IF('CARNET DE SOUDURE'!E1205="","",'CARNET DE SOUDURE'!AL1205)</f>
        <v/>
      </c>
      <c r="G1205" s="81" t="str">
        <f aca="false">IF('CARNET DE SOUDURE'!E1205="","",'CARNET DE SOUDURE'!AM1205)</f>
        <v/>
      </c>
      <c r="H1205" s="81" t="str">
        <f aca="false">IF(C1205="","",IF(G1205="ACCEPTÉ","OUI","NON"))</f>
        <v/>
      </c>
      <c r="I1205" s="82"/>
      <c r="J1205" s="79"/>
      <c r="K1205" s="80"/>
      <c r="L1205" s="80"/>
      <c r="M1205" s="80"/>
      <c r="N1205" s="83" t="str">
        <f aca="false">IF(C1205="","",IF(I1205="",IF(H1205="OUI","À ENROBER",IF(G1205="À SOUDER","NON SOUDÉ","EN ATTENTE RT")),IF(L1205="R","À REPRENDRE",IF(H1205&lt;&gt;"OUI","⚠ ENROBÉ AVANT ACCEPTATION RT","ENROBÉ"))))</f>
        <v/>
      </c>
      <c r="O1205" s="79"/>
    </row>
    <row r="1206" customFormat="false" ht="15" hidden="false" customHeight="false" outlineLevel="0" collapsed="false">
      <c r="A1206" s="78" t="str">
        <f aca="false">IF('CARNET DE SOUDURE'!E1206="","",'CARNET DE SOUDURE'!A1206)</f>
        <v/>
      </c>
      <c r="B1206" s="93" t="str">
        <f aca="false">IF('CARNET DE SOUDURE'!E1206="","",'CARNET DE SOUDURE'!B1206&amp;"")</f>
        <v/>
      </c>
      <c r="C1206" s="83" t="str">
        <f aca="false">IF('CARNET DE SOUDURE'!E1206="","",'CARNET DE SOUDURE'!E1206)</f>
        <v/>
      </c>
      <c r="D1206" s="78" t="str">
        <f aca="false">IF('CARNET DE SOUDURE'!E1206="","",'CARNET DE SOUDURE'!D1206&amp;"")</f>
        <v/>
      </c>
      <c r="E1206" s="96" t="str">
        <f aca="false">IF(OR('CARNET DE SOUDURE'!E1206="",'CARNET DE SOUDURE'!R1206=""),"",'CARNET DE SOUDURE'!R1206)</f>
        <v/>
      </c>
      <c r="F1206" s="81" t="str">
        <f aca="false">IF('CARNET DE SOUDURE'!E1206="","",'CARNET DE SOUDURE'!AL1206)</f>
        <v/>
      </c>
      <c r="G1206" s="81" t="str">
        <f aca="false">IF('CARNET DE SOUDURE'!E1206="","",'CARNET DE SOUDURE'!AM1206)</f>
        <v/>
      </c>
      <c r="H1206" s="81" t="str">
        <f aca="false">IF(C1206="","",IF(G1206="ACCEPTÉ","OUI","NON"))</f>
        <v/>
      </c>
      <c r="I1206" s="82"/>
      <c r="J1206" s="79"/>
      <c r="K1206" s="80"/>
      <c r="L1206" s="80"/>
      <c r="M1206" s="80"/>
      <c r="N1206" s="83" t="str">
        <f aca="false">IF(C1206="","",IF(I1206="",IF(H1206="OUI","À ENROBER",IF(G1206="À SOUDER","NON SOUDÉ","EN ATTENTE RT")),IF(L1206="R","À REPRENDRE",IF(H1206&lt;&gt;"OUI","⚠ ENROBÉ AVANT ACCEPTATION RT","ENROBÉ"))))</f>
        <v/>
      </c>
      <c r="O1206" s="79"/>
    </row>
    <row r="1207" customFormat="false" ht="15" hidden="false" customHeight="false" outlineLevel="0" collapsed="false">
      <c r="A1207" s="78" t="str">
        <f aca="false">IF('CARNET DE SOUDURE'!E1207="","",'CARNET DE SOUDURE'!A1207)</f>
        <v/>
      </c>
      <c r="B1207" s="93" t="str">
        <f aca="false">IF('CARNET DE SOUDURE'!E1207="","",'CARNET DE SOUDURE'!B1207&amp;"")</f>
        <v/>
      </c>
      <c r="C1207" s="83" t="str">
        <f aca="false">IF('CARNET DE SOUDURE'!E1207="","",'CARNET DE SOUDURE'!E1207)</f>
        <v/>
      </c>
      <c r="D1207" s="78" t="str">
        <f aca="false">IF('CARNET DE SOUDURE'!E1207="","",'CARNET DE SOUDURE'!D1207&amp;"")</f>
        <v/>
      </c>
      <c r="E1207" s="96" t="str">
        <f aca="false">IF(OR('CARNET DE SOUDURE'!E1207="",'CARNET DE SOUDURE'!R1207=""),"",'CARNET DE SOUDURE'!R1207)</f>
        <v/>
      </c>
      <c r="F1207" s="81" t="str">
        <f aca="false">IF('CARNET DE SOUDURE'!E1207="","",'CARNET DE SOUDURE'!AL1207)</f>
        <v/>
      </c>
      <c r="G1207" s="81" t="str">
        <f aca="false">IF('CARNET DE SOUDURE'!E1207="","",'CARNET DE SOUDURE'!AM1207)</f>
        <v/>
      </c>
      <c r="H1207" s="81" t="str">
        <f aca="false">IF(C1207="","",IF(G1207="ACCEPTÉ","OUI","NON"))</f>
        <v/>
      </c>
      <c r="I1207" s="82"/>
      <c r="J1207" s="79"/>
      <c r="K1207" s="80"/>
      <c r="L1207" s="80"/>
      <c r="M1207" s="80"/>
      <c r="N1207" s="83" t="str">
        <f aca="false">IF(C1207="","",IF(I1207="",IF(H1207="OUI","À ENROBER",IF(G1207="À SOUDER","NON SOUDÉ","EN ATTENTE RT")),IF(L1207="R","À REPRENDRE",IF(H1207&lt;&gt;"OUI","⚠ ENROBÉ AVANT ACCEPTATION RT","ENROBÉ"))))</f>
        <v/>
      </c>
      <c r="O1207" s="79"/>
    </row>
    <row r="1208" customFormat="false" ht="15" hidden="false" customHeight="false" outlineLevel="0" collapsed="false">
      <c r="A1208" s="78" t="str">
        <f aca="false">IF('CARNET DE SOUDURE'!E1208="","",'CARNET DE SOUDURE'!A1208)</f>
        <v/>
      </c>
      <c r="B1208" s="93" t="str">
        <f aca="false">IF('CARNET DE SOUDURE'!E1208="","",'CARNET DE SOUDURE'!B1208&amp;"")</f>
        <v/>
      </c>
      <c r="C1208" s="83" t="str">
        <f aca="false">IF('CARNET DE SOUDURE'!E1208="","",'CARNET DE SOUDURE'!E1208)</f>
        <v/>
      </c>
      <c r="D1208" s="78" t="str">
        <f aca="false">IF('CARNET DE SOUDURE'!E1208="","",'CARNET DE SOUDURE'!D1208&amp;"")</f>
        <v/>
      </c>
      <c r="E1208" s="96" t="str">
        <f aca="false">IF(OR('CARNET DE SOUDURE'!E1208="",'CARNET DE SOUDURE'!R1208=""),"",'CARNET DE SOUDURE'!R1208)</f>
        <v/>
      </c>
      <c r="F1208" s="81" t="str">
        <f aca="false">IF('CARNET DE SOUDURE'!E1208="","",'CARNET DE SOUDURE'!AL1208)</f>
        <v/>
      </c>
      <c r="G1208" s="81" t="str">
        <f aca="false">IF('CARNET DE SOUDURE'!E1208="","",'CARNET DE SOUDURE'!AM1208)</f>
        <v/>
      </c>
      <c r="H1208" s="81" t="str">
        <f aca="false">IF(C1208="","",IF(G1208="ACCEPTÉ","OUI","NON"))</f>
        <v/>
      </c>
      <c r="I1208" s="82"/>
      <c r="J1208" s="79"/>
      <c r="K1208" s="80"/>
      <c r="L1208" s="80"/>
      <c r="M1208" s="80"/>
      <c r="N1208" s="83" t="str">
        <f aca="false">IF(C1208="","",IF(I1208="",IF(H1208="OUI","À ENROBER",IF(G1208="À SOUDER","NON SOUDÉ","EN ATTENTE RT")),IF(L1208="R","À REPRENDRE",IF(H1208&lt;&gt;"OUI","⚠ ENROBÉ AVANT ACCEPTATION RT","ENROBÉ"))))</f>
        <v/>
      </c>
      <c r="O1208" s="79"/>
    </row>
    <row r="1209" customFormat="false" ht="15" hidden="false" customHeight="false" outlineLevel="0" collapsed="false">
      <c r="A1209" s="78" t="str">
        <f aca="false">IF('CARNET DE SOUDURE'!E1209="","",'CARNET DE SOUDURE'!A1209)</f>
        <v/>
      </c>
      <c r="B1209" s="93" t="str">
        <f aca="false">IF('CARNET DE SOUDURE'!E1209="","",'CARNET DE SOUDURE'!B1209&amp;"")</f>
        <v/>
      </c>
      <c r="C1209" s="83" t="str">
        <f aca="false">IF('CARNET DE SOUDURE'!E1209="","",'CARNET DE SOUDURE'!E1209)</f>
        <v/>
      </c>
      <c r="D1209" s="78" t="str">
        <f aca="false">IF('CARNET DE SOUDURE'!E1209="","",'CARNET DE SOUDURE'!D1209&amp;"")</f>
        <v/>
      </c>
      <c r="E1209" s="96" t="str">
        <f aca="false">IF(OR('CARNET DE SOUDURE'!E1209="",'CARNET DE SOUDURE'!R1209=""),"",'CARNET DE SOUDURE'!R1209)</f>
        <v/>
      </c>
      <c r="F1209" s="81" t="str">
        <f aca="false">IF('CARNET DE SOUDURE'!E1209="","",'CARNET DE SOUDURE'!AL1209)</f>
        <v/>
      </c>
      <c r="G1209" s="81" t="str">
        <f aca="false">IF('CARNET DE SOUDURE'!E1209="","",'CARNET DE SOUDURE'!AM1209)</f>
        <v/>
      </c>
      <c r="H1209" s="81" t="str">
        <f aca="false">IF(C1209="","",IF(G1209="ACCEPTÉ","OUI","NON"))</f>
        <v/>
      </c>
      <c r="I1209" s="82"/>
      <c r="J1209" s="79"/>
      <c r="K1209" s="80"/>
      <c r="L1209" s="80"/>
      <c r="M1209" s="80"/>
      <c r="N1209" s="83" t="str">
        <f aca="false">IF(C1209="","",IF(I1209="",IF(H1209="OUI","À ENROBER",IF(G1209="À SOUDER","NON SOUDÉ","EN ATTENTE RT")),IF(L1209="R","À REPRENDRE",IF(H1209&lt;&gt;"OUI","⚠ ENROBÉ AVANT ACCEPTATION RT","ENROBÉ"))))</f>
        <v/>
      </c>
      <c r="O1209" s="79"/>
    </row>
    <row r="1210" customFormat="false" ht="15" hidden="false" customHeight="false" outlineLevel="0" collapsed="false">
      <c r="A1210" s="78" t="str">
        <f aca="false">IF('CARNET DE SOUDURE'!E1210="","",'CARNET DE SOUDURE'!A1210)</f>
        <v/>
      </c>
      <c r="B1210" s="93" t="str">
        <f aca="false">IF('CARNET DE SOUDURE'!E1210="","",'CARNET DE SOUDURE'!B1210&amp;"")</f>
        <v/>
      </c>
      <c r="C1210" s="83" t="str">
        <f aca="false">IF('CARNET DE SOUDURE'!E1210="","",'CARNET DE SOUDURE'!E1210)</f>
        <v/>
      </c>
      <c r="D1210" s="78" t="str">
        <f aca="false">IF('CARNET DE SOUDURE'!E1210="","",'CARNET DE SOUDURE'!D1210&amp;"")</f>
        <v/>
      </c>
      <c r="E1210" s="96" t="str">
        <f aca="false">IF(OR('CARNET DE SOUDURE'!E1210="",'CARNET DE SOUDURE'!R1210=""),"",'CARNET DE SOUDURE'!R1210)</f>
        <v/>
      </c>
      <c r="F1210" s="81" t="str">
        <f aca="false">IF('CARNET DE SOUDURE'!E1210="","",'CARNET DE SOUDURE'!AL1210)</f>
        <v/>
      </c>
      <c r="G1210" s="81" t="str">
        <f aca="false">IF('CARNET DE SOUDURE'!E1210="","",'CARNET DE SOUDURE'!AM1210)</f>
        <v/>
      </c>
      <c r="H1210" s="81" t="str">
        <f aca="false">IF(C1210="","",IF(G1210="ACCEPTÉ","OUI","NON"))</f>
        <v/>
      </c>
      <c r="I1210" s="82"/>
      <c r="J1210" s="79"/>
      <c r="K1210" s="80"/>
      <c r="L1210" s="80"/>
      <c r="M1210" s="80"/>
      <c r="N1210" s="83" t="str">
        <f aca="false">IF(C1210="","",IF(I1210="",IF(H1210="OUI","À ENROBER",IF(G1210="À SOUDER","NON SOUDÉ","EN ATTENTE RT")),IF(L1210="R","À REPRENDRE",IF(H1210&lt;&gt;"OUI","⚠ ENROBÉ AVANT ACCEPTATION RT","ENROBÉ"))))</f>
        <v/>
      </c>
      <c r="O1210" s="79"/>
    </row>
    <row r="1211" customFormat="false" ht="15" hidden="false" customHeight="false" outlineLevel="0" collapsed="false">
      <c r="A1211" s="78" t="str">
        <f aca="false">IF('CARNET DE SOUDURE'!E1211="","",'CARNET DE SOUDURE'!A1211)</f>
        <v/>
      </c>
      <c r="B1211" s="93" t="str">
        <f aca="false">IF('CARNET DE SOUDURE'!E1211="","",'CARNET DE SOUDURE'!B1211&amp;"")</f>
        <v/>
      </c>
      <c r="C1211" s="83" t="str">
        <f aca="false">IF('CARNET DE SOUDURE'!E1211="","",'CARNET DE SOUDURE'!E1211)</f>
        <v/>
      </c>
      <c r="D1211" s="78" t="str">
        <f aca="false">IF('CARNET DE SOUDURE'!E1211="","",'CARNET DE SOUDURE'!D1211&amp;"")</f>
        <v/>
      </c>
      <c r="E1211" s="96" t="str">
        <f aca="false">IF(OR('CARNET DE SOUDURE'!E1211="",'CARNET DE SOUDURE'!R1211=""),"",'CARNET DE SOUDURE'!R1211)</f>
        <v/>
      </c>
      <c r="F1211" s="81" t="str">
        <f aca="false">IF('CARNET DE SOUDURE'!E1211="","",'CARNET DE SOUDURE'!AL1211)</f>
        <v/>
      </c>
      <c r="G1211" s="81" t="str">
        <f aca="false">IF('CARNET DE SOUDURE'!E1211="","",'CARNET DE SOUDURE'!AM1211)</f>
        <v/>
      </c>
      <c r="H1211" s="81" t="str">
        <f aca="false">IF(C1211="","",IF(G1211="ACCEPTÉ","OUI","NON"))</f>
        <v/>
      </c>
      <c r="I1211" s="82"/>
      <c r="J1211" s="79"/>
      <c r="K1211" s="80"/>
      <c r="L1211" s="80"/>
      <c r="M1211" s="80"/>
      <c r="N1211" s="83" t="str">
        <f aca="false">IF(C1211="","",IF(I1211="",IF(H1211="OUI","À ENROBER",IF(G1211="À SOUDER","NON SOUDÉ","EN ATTENTE RT")),IF(L1211="R","À REPRENDRE",IF(H1211&lt;&gt;"OUI","⚠ ENROBÉ AVANT ACCEPTATION RT","ENROBÉ"))))</f>
        <v/>
      </c>
      <c r="O1211" s="79"/>
    </row>
    <row r="1212" customFormat="false" ht="15" hidden="false" customHeight="false" outlineLevel="0" collapsed="false">
      <c r="A1212" s="78" t="str">
        <f aca="false">IF('CARNET DE SOUDURE'!E1212="","",'CARNET DE SOUDURE'!A1212)</f>
        <v/>
      </c>
      <c r="B1212" s="93" t="str">
        <f aca="false">IF('CARNET DE SOUDURE'!E1212="","",'CARNET DE SOUDURE'!B1212&amp;"")</f>
        <v/>
      </c>
      <c r="C1212" s="83" t="str">
        <f aca="false">IF('CARNET DE SOUDURE'!E1212="","",'CARNET DE SOUDURE'!E1212)</f>
        <v/>
      </c>
      <c r="D1212" s="78" t="str">
        <f aca="false">IF('CARNET DE SOUDURE'!E1212="","",'CARNET DE SOUDURE'!D1212&amp;"")</f>
        <v/>
      </c>
      <c r="E1212" s="96" t="str">
        <f aca="false">IF(OR('CARNET DE SOUDURE'!E1212="",'CARNET DE SOUDURE'!R1212=""),"",'CARNET DE SOUDURE'!R1212)</f>
        <v/>
      </c>
      <c r="F1212" s="81" t="str">
        <f aca="false">IF('CARNET DE SOUDURE'!E1212="","",'CARNET DE SOUDURE'!AL1212)</f>
        <v/>
      </c>
      <c r="G1212" s="81" t="str">
        <f aca="false">IF('CARNET DE SOUDURE'!E1212="","",'CARNET DE SOUDURE'!AM1212)</f>
        <v/>
      </c>
      <c r="H1212" s="81" t="str">
        <f aca="false">IF(C1212="","",IF(G1212="ACCEPTÉ","OUI","NON"))</f>
        <v/>
      </c>
      <c r="I1212" s="82"/>
      <c r="J1212" s="79"/>
      <c r="K1212" s="80"/>
      <c r="L1212" s="80"/>
      <c r="M1212" s="80"/>
      <c r="N1212" s="83" t="str">
        <f aca="false">IF(C1212="","",IF(I1212="",IF(H1212="OUI","À ENROBER",IF(G1212="À SOUDER","NON SOUDÉ","EN ATTENTE RT")),IF(L1212="R","À REPRENDRE",IF(H1212&lt;&gt;"OUI","⚠ ENROBÉ AVANT ACCEPTATION RT","ENROBÉ"))))</f>
        <v/>
      </c>
      <c r="O1212" s="79"/>
    </row>
    <row r="1213" customFormat="false" ht="15" hidden="false" customHeight="false" outlineLevel="0" collapsed="false">
      <c r="A1213" s="78" t="str">
        <f aca="false">IF('CARNET DE SOUDURE'!E1213="","",'CARNET DE SOUDURE'!A1213)</f>
        <v/>
      </c>
      <c r="B1213" s="93" t="str">
        <f aca="false">IF('CARNET DE SOUDURE'!E1213="","",'CARNET DE SOUDURE'!B1213&amp;"")</f>
        <v/>
      </c>
      <c r="C1213" s="83" t="str">
        <f aca="false">IF('CARNET DE SOUDURE'!E1213="","",'CARNET DE SOUDURE'!E1213)</f>
        <v/>
      </c>
      <c r="D1213" s="78" t="str">
        <f aca="false">IF('CARNET DE SOUDURE'!E1213="","",'CARNET DE SOUDURE'!D1213&amp;"")</f>
        <v/>
      </c>
      <c r="E1213" s="96" t="str">
        <f aca="false">IF(OR('CARNET DE SOUDURE'!E1213="",'CARNET DE SOUDURE'!R1213=""),"",'CARNET DE SOUDURE'!R1213)</f>
        <v/>
      </c>
      <c r="F1213" s="81" t="str">
        <f aca="false">IF('CARNET DE SOUDURE'!E1213="","",'CARNET DE SOUDURE'!AL1213)</f>
        <v/>
      </c>
      <c r="G1213" s="81" t="str">
        <f aca="false">IF('CARNET DE SOUDURE'!E1213="","",'CARNET DE SOUDURE'!AM1213)</f>
        <v/>
      </c>
      <c r="H1213" s="81" t="str">
        <f aca="false">IF(C1213="","",IF(G1213="ACCEPTÉ","OUI","NON"))</f>
        <v/>
      </c>
      <c r="I1213" s="82"/>
      <c r="J1213" s="79"/>
      <c r="K1213" s="80"/>
      <c r="L1213" s="80"/>
      <c r="M1213" s="80"/>
      <c r="N1213" s="83" t="str">
        <f aca="false">IF(C1213="","",IF(I1213="",IF(H1213="OUI","À ENROBER",IF(G1213="À SOUDER","NON SOUDÉ","EN ATTENTE RT")),IF(L1213="R","À REPRENDRE",IF(H1213&lt;&gt;"OUI","⚠ ENROBÉ AVANT ACCEPTATION RT","ENROBÉ"))))</f>
        <v/>
      </c>
      <c r="O1213" s="79"/>
    </row>
    <row r="1214" customFormat="false" ht="15" hidden="false" customHeight="false" outlineLevel="0" collapsed="false">
      <c r="A1214" s="78" t="str">
        <f aca="false">IF('CARNET DE SOUDURE'!E1214="","",'CARNET DE SOUDURE'!A1214)</f>
        <v/>
      </c>
      <c r="B1214" s="93" t="str">
        <f aca="false">IF('CARNET DE SOUDURE'!E1214="","",'CARNET DE SOUDURE'!B1214&amp;"")</f>
        <v/>
      </c>
      <c r="C1214" s="83" t="str">
        <f aca="false">IF('CARNET DE SOUDURE'!E1214="","",'CARNET DE SOUDURE'!E1214)</f>
        <v/>
      </c>
      <c r="D1214" s="78" t="str">
        <f aca="false">IF('CARNET DE SOUDURE'!E1214="","",'CARNET DE SOUDURE'!D1214&amp;"")</f>
        <v/>
      </c>
      <c r="E1214" s="96" t="str">
        <f aca="false">IF(OR('CARNET DE SOUDURE'!E1214="",'CARNET DE SOUDURE'!R1214=""),"",'CARNET DE SOUDURE'!R1214)</f>
        <v/>
      </c>
      <c r="F1214" s="81" t="str">
        <f aca="false">IF('CARNET DE SOUDURE'!E1214="","",'CARNET DE SOUDURE'!AL1214)</f>
        <v/>
      </c>
      <c r="G1214" s="81" t="str">
        <f aca="false">IF('CARNET DE SOUDURE'!E1214="","",'CARNET DE SOUDURE'!AM1214)</f>
        <v/>
      </c>
      <c r="H1214" s="81" t="str">
        <f aca="false">IF(C1214="","",IF(G1214="ACCEPTÉ","OUI","NON"))</f>
        <v/>
      </c>
      <c r="I1214" s="82"/>
      <c r="J1214" s="79"/>
      <c r="K1214" s="80"/>
      <c r="L1214" s="80"/>
      <c r="M1214" s="80"/>
      <c r="N1214" s="83" t="str">
        <f aca="false">IF(C1214="","",IF(I1214="",IF(H1214="OUI","À ENROBER",IF(G1214="À SOUDER","NON SOUDÉ","EN ATTENTE RT")),IF(L1214="R","À REPRENDRE",IF(H1214&lt;&gt;"OUI","⚠ ENROBÉ AVANT ACCEPTATION RT","ENROBÉ"))))</f>
        <v/>
      </c>
      <c r="O1214" s="79"/>
    </row>
    <row r="1215" customFormat="false" ht="15" hidden="false" customHeight="false" outlineLevel="0" collapsed="false">
      <c r="A1215" s="78" t="str">
        <f aca="false">IF('CARNET DE SOUDURE'!E1215="","",'CARNET DE SOUDURE'!A1215)</f>
        <v/>
      </c>
      <c r="B1215" s="93" t="str">
        <f aca="false">IF('CARNET DE SOUDURE'!E1215="","",'CARNET DE SOUDURE'!B1215&amp;"")</f>
        <v/>
      </c>
      <c r="C1215" s="83" t="str">
        <f aca="false">IF('CARNET DE SOUDURE'!E1215="","",'CARNET DE SOUDURE'!E1215)</f>
        <v/>
      </c>
      <c r="D1215" s="78" t="str">
        <f aca="false">IF('CARNET DE SOUDURE'!E1215="","",'CARNET DE SOUDURE'!D1215&amp;"")</f>
        <v/>
      </c>
      <c r="E1215" s="96" t="str">
        <f aca="false">IF(OR('CARNET DE SOUDURE'!E1215="",'CARNET DE SOUDURE'!R1215=""),"",'CARNET DE SOUDURE'!R1215)</f>
        <v/>
      </c>
      <c r="F1215" s="81" t="str">
        <f aca="false">IF('CARNET DE SOUDURE'!E1215="","",'CARNET DE SOUDURE'!AL1215)</f>
        <v/>
      </c>
      <c r="G1215" s="81" t="str">
        <f aca="false">IF('CARNET DE SOUDURE'!E1215="","",'CARNET DE SOUDURE'!AM1215)</f>
        <v/>
      </c>
      <c r="H1215" s="81" t="str">
        <f aca="false">IF(C1215="","",IF(G1215="ACCEPTÉ","OUI","NON"))</f>
        <v/>
      </c>
      <c r="I1215" s="82"/>
      <c r="J1215" s="79"/>
      <c r="K1215" s="80"/>
      <c r="L1215" s="80"/>
      <c r="M1215" s="80"/>
      <c r="N1215" s="83" t="str">
        <f aca="false">IF(C1215="","",IF(I1215="",IF(H1215="OUI","À ENROBER",IF(G1215="À SOUDER","NON SOUDÉ","EN ATTENTE RT")),IF(L1215="R","À REPRENDRE",IF(H1215&lt;&gt;"OUI","⚠ ENROBÉ AVANT ACCEPTATION RT","ENROBÉ"))))</f>
        <v/>
      </c>
      <c r="O1215" s="79"/>
    </row>
    <row r="1216" customFormat="false" ht="15" hidden="false" customHeight="false" outlineLevel="0" collapsed="false">
      <c r="A1216" s="78" t="str">
        <f aca="false">IF('CARNET DE SOUDURE'!E1216="","",'CARNET DE SOUDURE'!A1216)</f>
        <v/>
      </c>
      <c r="B1216" s="93" t="str">
        <f aca="false">IF('CARNET DE SOUDURE'!E1216="","",'CARNET DE SOUDURE'!B1216&amp;"")</f>
        <v/>
      </c>
      <c r="C1216" s="83" t="str">
        <f aca="false">IF('CARNET DE SOUDURE'!E1216="","",'CARNET DE SOUDURE'!E1216)</f>
        <v/>
      </c>
      <c r="D1216" s="78" t="str">
        <f aca="false">IF('CARNET DE SOUDURE'!E1216="","",'CARNET DE SOUDURE'!D1216&amp;"")</f>
        <v/>
      </c>
      <c r="E1216" s="96" t="str">
        <f aca="false">IF(OR('CARNET DE SOUDURE'!E1216="",'CARNET DE SOUDURE'!R1216=""),"",'CARNET DE SOUDURE'!R1216)</f>
        <v/>
      </c>
      <c r="F1216" s="81" t="str">
        <f aca="false">IF('CARNET DE SOUDURE'!E1216="","",'CARNET DE SOUDURE'!AL1216)</f>
        <v/>
      </c>
      <c r="G1216" s="81" t="str">
        <f aca="false">IF('CARNET DE SOUDURE'!E1216="","",'CARNET DE SOUDURE'!AM1216)</f>
        <v/>
      </c>
      <c r="H1216" s="81" t="str">
        <f aca="false">IF(C1216="","",IF(G1216="ACCEPTÉ","OUI","NON"))</f>
        <v/>
      </c>
      <c r="I1216" s="82"/>
      <c r="J1216" s="79"/>
      <c r="K1216" s="80"/>
      <c r="L1216" s="80"/>
      <c r="M1216" s="80"/>
      <c r="N1216" s="83" t="str">
        <f aca="false">IF(C1216="","",IF(I1216="",IF(H1216="OUI","À ENROBER",IF(G1216="À SOUDER","NON SOUDÉ","EN ATTENTE RT")),IF(L1216="R","À REPRENDRE",IF(H1216&lt;&gt;"OUI","⚠ ENROBÉ AVANT ACCEPTATION RT","ENROBÉ"))))</f>
        <v/>
      </c>
      <c r="O1216" s="79"/>
    </row>
    <row r="1217" customFormat="false" ht="15" hidden="false" customHeight="false" outlineLevel="0" collapsed="false">
      <c r="A1217" s="78" t="str">
        <f aca="false">IF('CARNET DE SOUDURE'!E1217="","",'CARNET DE SOUDURE'!A1217)</f>
        <v/>
      </c>
      <c r="B1217" s="93" t="str">
        <f aca="false">IF('CARNET DE SOUDURE'!E1217="","",'CARNET DE SOUDURE'!B1217&amp;"")</f>
        <v/>
      </c>
      <c r="C1217" s="83" t="str">
        <f aca="false">IF('CARNET DE SOUDURE'!E1217="","",'CARNET DE SOUDURE'!E1217)</f>
        <v/>
      </c>
      <c r="D1217" s="78" t="str">
        <f aca="false">IF('CARNET DE SOUDURE'!E1217="","",'CARNET DE SOUDURE'!D1217&amp;"")</f>
        <v/>
      </c>
      <c r="E1217" s="96" t="str">
        <f aca="false">IF(OR('CARNET DE SOUDURE'!E1217="",'CARNET DE SOUDURE'!R1217=""),"",'CARNET DE SOUDURE'!R1217)</f>
        <v/>
      </c>
      <c r="F1217" s="81" t="str">
        <f aca="false">IF('CARNET DE SOUDURE'!E1217="","",'CARNET DE SOUDURE'!AL1217)</f>
        <v/>
      </c>
      <c r="G1217" s="81" t="str">
        <f aca="false">IF('CARNET DE SOUDURE'!E1217="","",'CARNET DE SOUDURE'!AM1217)</f>
        <v/>
      </c>
      <c r="H1217" s="81" t="str">
        <f aca="false">IF(C1217="","",IF(G1217="ACCEPTÉ","OUI","NON"))</f>
        <v/>
      </c>
      <c r="I1217" s="82"/>
      <c r="J1217" s="79"/>
      <c r="K1217" s="80"/>
      <c r="L1217" s="80"/>
      <c r="M1217" s="80"/>
      <c r="N1217" s="83" t="str">
        <f aca="false">IF(C1217="","",IF(I1217="",IF(H1217="OUI","À ENROBER",IF(G1217="À SOUDER","NON SOUDÉ","EN ATTENTE RT")),IF(L1217="R","À REPRENDRE",IF(H1217&lt;&gt;"OUI","⚠ ENROBÉ AVANT ACCEPTATION RT","ENROBÉ"))))</f>
        <v/>
      </c>
      <c r="O1217" s="79"/>
    </row>
    <row r="1218" customFormat="false" ht="15" hidden="false" customHeight="false" outlineLevel="0" collapsed="false">
      <c r="A1218" s="78" t="str">
        <f aca="false">IF('CARNET DE SOUDURE'!E1218="","",'CARNET DE SOUDURE'!A1218)</f>
        <v/>
      </c>
      <c r="B1218" s="93" t="str">
        <f aca="false">IF('CARNET DE SOUDURE'!E1218="","",'CARNET DE SOUDURE'!B1218&amp;"")</f>
        <v/>
      </c>
      <c r="C1218" s="83" t="str">
        <f aca="false">IF('CARNET DE SOUDURE'!E1218="","",'CARNET DE SOUDURE'!E1218)</f>
        <v/>
      </c>
      <c r="D1218" s="78" t="str">
        <f aca="false">IF('CARNET DE SOUDURE'!E1218="","",'CARNET DE SOUDURE'!D1218&amp;"")</f>
        <v/>
      </c>
      <c r="E1218" s="96" t="str">
        <f aca="false">IF(OR('CARNET DE SOUDURE'!E1218="",'CARNET DE SOUDURE'!R1218=""),"",'CARNET DE SOUDURE'!R1218)</f>
        <v/>
      </c>
      <c r="F1218" s="81" t="str">
        <f aca="false">IF('CARNET DE SOUDURE'!E1218="","",'CARNET DE SOUDURE'!AL1218)</f>
        <v/>
      </c>
      <c r="G1218" s="81" t="str">
        <f aca="false">IF('CARNET DE SOUDURE'!E1218="","",'CARNET DE SOUDURE'!AM1218)</f>
        <v/>
      </c>
      <c r="H1218" s="81" t="str">
        <f aca="false">IF(C1218="","",IF(G1218="ACCEPTÉ","OUI","NON"))</f>
        <v/>
      </c>
      <c r="I1218" s="82"/>
      <c r="J1218" s="79"/>
      <c r="K1218" s="80"/>
      <c r="L1218" s="80"/>
      <c r="M1218" s="80"/>
      <c r="N1218" s="83" t="str">
        <f aca="false">IF(C1218="","",IF(I1218="",IF(H1218="OUI","À ENROBER",IF(G1218="À SOUDER","NON SOUDÉ","EN ATTENTE RT")),IF(L1218="R","À REPRENDRE",IF(H1218&lt;&gt;"OUI","⚠ ENROBÉ AVANT ACCEPTATION RT","ENROBÉ"))))</f>
        <v/>
      </c>
      <c r="O1218" s="79"/>
    </row>
    <row r="1219" customFormat="false" ht="15" hidden="false" customHeight="false" outlineLevel="0" collapsed="false">
      <c r="A1219" s="78" t="str">
        <f aca="false">IF('CARNET DE SOUDURE'!E1219="","",'CARNET DE SOUDURE'!A1219)</f>
        <v/>
      </c>
      <c r="B1219" s="93" t="str">
        <f aca="false">IF('CARNET DE SOUDURE'!E1219="","",'CARNET DE SOUDURE'!B1219&amp;"")</f>
        <v/>
      </c>
      <c r="C1219" s="83" t="str">
        <f aca="false">IF('CARNET DE SOUDURE'!E1219="","",'CARNET DE SOUDURE'!E1219)</f>
        <v/>
      </c>
      <c r="D1219" s="78" t="str">
        <f aca="false">IF('CARNET DE SOUDURE'!E1219="","",'CARNET DE SOUDURE'!D1219&amp;"")</f>
        <v/>
      </c>
      <c r="E1219" s="96" t="str">
        <f aca="false">IF(OR('CARNET DE SOUDURE'!E1219="",'CARNET DE SOUDURE'!R1219=""),"",'CARNET DE SOUDURE'!R1219)</f>
        <v/>
      </c>
      <c r="F1219" s="81" t="str">
        <f aca="false">IF('CARNET DE SOUDURE'!E1219="","",'CARNET DE SOUDURE'!AL1219)</f>
        <v/>
      </c>
      <c r="G1219" s="81" t="str">
        <f aca="false">IF('CARNET DE SOUDURE'!E1219="","",'CARNET DE SOUDURE'!AM1219)</f>
        <v/>
      </c>
      <c r="H1219" s="81" t="str">
        <f aca="false">IF(C1219="","",IF(G1219="ACCEPTÉ","OUI","NON"))</f>
        <v/>
      </c>
      <c r="I1219" s="82"/>
      <c r="J1219" s="79"/>
      <c r="K1219" s="80"/>
      <c r="L1219" s="80"/>
      <c r="M1219" s="80"/>
      <c r="N1219" s="83" t="str">
        <f aca="false">IF(C1219="","",IF(I1219="",IF(H1219="OUI","À ENROBER",IF(G1219="À SOUDER","NON SOUDÉ","EN ATTENTE RT")),IF(L1219="R","À REPRENDRE",IF(H1219&lt;&gt;"OUI","⚠ ENROBÉ AVANT ACCEPTATION RT","ENROBÉ"))))</f>
        <v/>
      </c>
      <c r="O1219" s="79"/>
    </row>
    <row r="1220" customFormat="false" ht="15" hidden="false" customHeight="false" outlineLevel="0" collapsed="false">
      <c r="A1220" s="78" t="str">
        <f aca="false">IF('CARNET DE SOUDURE'!E1220="","",'CARNET DE SOUDURE'!A1220)</f>
        <v/>
      </c>
      <c r="B1220" s="93" t="str">
        <f aca="false">IF('CARNET DE SOUDURE'!E1220="","",'CARNET DE SOUDURE'!B1220&amp;"")</f>
        <v/>
      </c>
      <c r="C1220" s="83" t="str">
        <f aca="false">IF('CARNET DE SOUDURE'!E1220="","",'CARNET DE SOUDURE'!E1220)</f>
        <v/>
      </c>
      <c r="D1220" s="78" t="str">
        <f aca="false">IF('CARNET DE SOUDURE'!E1220="","",'CARNET DE SOUDURE'!D1220&amp;"")</f>
        <v/>
      </c>
      <c r="E1220" s="96" t="str">
        <f aca="false">IF(OR('CARNET DE SOUDURE'!E1220="",'CARNET DE SOUDURE'!R1220=""),"",'CARNET DE SOUDURE'!R1220)</f>
        <v/>
      </c>
      <c r="F1220" s="81" t="str">
        <f aca="false">IF('CARNET DE SOUDURE'!E1220="","",'CARNET DE SOUDURE'!AL1220)</f>
        <v/>
      </c>
      <c r="G1220" s="81" t="str">
        <f aca="false">IF('CARNET DE SOUDURE'!E1220="","",'CARNET DE SOUDURE'!AM1220)</f>
        <v/>
      </c>
      <c r="H1220" s="81" t="str">
        <f aca="false">IF(C1220="","",IF(G1220="ACCEPTÉ","OUI","NON"))</f>
        <v/>
      </c>
      <c r="I1220" s="82"/>
      <c r="J1220" s="79"/>
      <c r="K1220" s="80"/>
      <c r="L1220" s="80"/>
      <c r="M1220" s="80"/>
      <c r="N1220" s="83" t="str">
        <f aca="false">IF(C1220="","",IF(I1220="",IF(H1220="OUI","À ENROBER",IF(G1220="À SOUDER","NON SOUDÉ","EN ATTENTE RT")),IF(L1220="R","À REPRENDRE",IF(H1220&lt;&gt;"OUI","⚠ ENROBÉ AVANT ACCEPTATION RT","ENROBÉ"))))</f>
        <v/>
      </c>
      <c r="O1220" s="79"/>
    </row>
    <row r="1221" customFormat="false" ht="15" hidden="false" customHeight="false" outlineLevel="0" collapsed="false">
      <c r="A1221" s="78" t="str">
        <f aca="false">IF('CARNET DE SOUDURE'!E1221="","",'CARNET DE SOUDURE'!A1221)</f>
        <v/>
      </c>
      <c r="B1221" s="93" t="str">
        <f aca="false">IF('CARNET DE SOUDURE'!E1221="","",'CARNET DE SOUDURE'!B1221&amp;"")</f>
        <v/>
      </c>
      <c r="C1221" s="83" t="str">
        <f aca="false">IF('CARNET DE SOUDURE'!E1221="","",'CARNET DE SOUDURE'!E1221)</f>
        <v/>
      </c>
      <c r="D1221" s="78" t="str">
        <f aca="false">IF('CARNET DE SOUDURE'!E1221="","",'CARNET DE SOUDURE'!D1221&amp;"")</f>
        <v/>
      </c>
      <c r="E1221" s="96" t="str">
        <f aca="false">IF(OR('CARNET DE SOUDURE'!E1221="",'CARNET DE SOUDURE'!R1221=""),"",'CARNET DE SOUDURE'!R1221)</f>
        <v/>
      </c>
      <c r="F1221" s="81" t="str">
        <f aca="false">IF('CARNET DE SOUDURE'!E1221="","",'CARNET DE SOUDURE'!AL1221)</f>
        <v/>
      </c>
      <c r="G1221" s="81" t="str">
        <f aca="false">IF('CARNET DE SOUDURE'!E1221="","",'CARNET DE SOUDURE'!AM1221)</f>
        <v/>
      </c>
      <c r="H1221" s="81" t="str">
        <f aca="false">IF(C1221="","",IF(G1221="ACCEPTÉ","OUI","NON"))</f>
        <v/>
      </c>
      <c r="I1221" s="82"/>
      <c r="J1221" s="79"/>
      <c r="K1221" s="80"/>
      <c r="L1221" s="80"/>
      <c r="M1221" s="80"/>
      <c r="N1221" s="83" t="str">
        <f aca="false">IF(C1221="","",IF(I1221="",IF(H1221="OUI","À ENROBER",IF(G1221="À SOUDER","NON SOUDÉ","EN ATTENTE RT")),IF(L1221="R","À REPRENDRE",IF(H1221&lt;&gt;"OUI","⚠ ENROBÉ AVANT ACCEPTATION RT","ENROBÉ"))))</f>
        <v/>
      </c>
      <c r="O1221" s="79"/>
    </row>
    <row r="1222" customFormat="false" ht="15" hidden="false" customHeight="false" outlineLevel="0" collapsed="false">
      <c r="A1222" s="78" t="str">
        <f aca="false">IF('CARNET DE SOUDURE'!E1222="","",'CARNET DE SOUDURE'!A1222)</f>
        <v/>
      </c>
      <c r="B1222" s="93" t="str">
        <f aca="false">IF('CARNET DE SOUDURE'!E1222="","",'CARNET DE SOUDURE'!B1222&amp;"")</f>
        <v/>
      </c>
      <c r="C1222" s="83" t="str">
        <f aca="false">IF('CARNET DE SOUDURE'!E1222="","",'CARNET DE SOUDURE'!E1222)</f>
        <v/>
      </c>
      <c r="D1222" s="78" t="str">
        <f aca="false">IF('CARNET DE SOUDURE'!E1222="","",'CARNET DE SOUDURE'!D1222&amp;"")</f>
        <v/>
      </c>
      <c r="E1222" s="96" t="str">
        <f aca="false">IF(OR('CARNET DE SOUDURE'!E1222="",'CARNET DE SOUDURE'!R1222=""),"",'CARNET DE SOUDURE'!R1222)</f>
        <v/>
      </c>
      <c r="F1222" s="81" t="str">
        <f aca="false">IF('CARNET DE SOUDURE'!E1222="","",'CARNET DE SOUDURE'!AL1222)</f>
        <v/>
      </c>
      <c r="G1222" s="81" t="str">
        <f aca="false">IF('CARNET DE SOUDURE'!E1222="","",'CARNET DE SOUDURE'!AM1222)</f>
        <v/>
      </c>
      <c r="H1222" s="81" t="str">
        <f aca="false">IF(C1222="","",IF(G1222="ACCEPTÉ","OUI","NON"))</f>
        <v/>
      </c>
      <c r="I1222" s="82"/>
      <c r="J1222" s="79"/>
      <c r="K1222" s="80"/>
      <c r="L1222" s="80"/>
      <c r="M1222" s="80"/>
      <c r="N1222" s="83" t="str">
        <f aca="false">IF(C1222="","",IF(I1222="",IF(H1222="OUI","À ENROBER",IF(G1222="À SOUDER","NON SOUDÉ","EN ATTENTE RT")),IF(L1222="R","À REPRENDRE",IF(H1222&lt;&gt;"OUI","⚠ ENROBÉ AVANT ACCEPTATION RT","ENROBÉ"))))</f>
        <v/>
      </c>
      <c r="O1222" s="79"/>
    </row>
    <row r="1223" customFormat="false" ht="15" hidden="false" customHeight="false" outlineLevel="0" collapsed="false">
      <c r="A1223" s="78" t="str">
        <f aca="false">IF('CARNET DE SOUDURE'!E1223="","",'CARNET DE SOUDURE'!A1223)</f>
        <v/>
      </c>
      <c r="B1223" s="93" t="str">
        <f aca="false">IF('CARNET DE SOUDURE'!E1223="","",'CARNET DE SOUDURE'!B1223&amp;"")</f>
        <v/>
      </c>
      <c r="C1223" s="83" t="str">
        <f aca="false">IF('CARNET DE SOUDURE'!E1223="","",'CARNET DE SOUDURE'!E1223)</f>
        <v/>
      </c>
      <c r="D1223" s="78" t="str">
        <f aca="false">IF('CARNET DE SOUDURE'!E1223="","",'CARNET DE SOUDURE'!D1223&amp;"")</f>
        <v/>
      </c>
      <c r="E1223" s="96" t="str">
        <f aca="false">IF(OR('CARNET DE SOUDURE'!E1223="",'CARNET DE SOUDURE'!R1223=""),"",'CARNET DE SOUDURE'!R1223)</f>
        <v/>
      </c>
      <c r="F1223" s="81" t="str">
        <f aca="false">IF('CARNET DE SOUDURE'!E1223="","",'CARNET DE SOUDURE'!AL1223)</f>
        <v/>
      </c>
      <c r="G1223" s="81" t="str">
        <f aca="false">IF('CARNET DE SOUDURE'!E1223="","",'CARNET DE SOUDURE'!AM1223)</f>
        <v/>
      </c>
      <c r="H1223" s="81" t="str">
        <f aca="false">IF(C1223="","",IF(G1223="ACCEPTÉ","OUI","NON"))</f>
        <v/>
      </c>
      <c r="I1223" s="82"/>
      <c r="J1223" s="79"/>
      <c r="K1223" s="80"/>
      <c r="L1223" s="80"/>
      <c r="M1223" s="80"/>
      <c r="N1223" s="83" t="str">
        <f aca="false">IF(C1223="","",IF(I1223="",IF(H1223="OUI","À ENROBER",IF(G1223="À SOUDER","NON SOUDÉ","EN ATTENTE RT")),IF(L1223="R","À REPRENDRE",IF(H1223&lt;&gt;"OUI","⚠ ENROBÉ AVANT ACCEPTATION RT","ENROBÉ"))))</f>
        <v/>
      </c>
      <c r="O1223" s="79"/>
    </row>
    <row r="1224" customFormat="false" ht="15" hidden="false" customHeight="false" outlineLevel="0" collapsed="false">
      <c r="A1224" s="78" t="str">
        <f aca="false">IF('CARNET DE SOUDURE'!E1224="","",'CARNET DE SOUDURE'!A1224)</f>
        <v/>
      </c>
      <c r="B1224" s="93" t="str">
        <f aca="false">IF('CARNET DE SOUDURE'!E1224="","",'CARNET DE SOUDURE'!B1224&amp;"")</f>
        <v/>
      </c>
      <c r="C1224" s="83" t="str">
        <f aca="false">IF('CARNET DE SOUDURE'!E1224="","",'CARNET DE SOUDURE'!E1224)</f>
        <v/>
      </c>
      <c r="D1224" s="78" t="str">
        <f aca="false">IF('CARNET DE SOUDURE'!E1224="","",'CARNET DE SOUDURE'!D1224&amp;"")</f>
        <v/>
      </c>
      <c r="E1224" s="96" t="str">
        <f aca="false">IF(OR('CARNET DE SOUDURE'!E1224="",'CARNET DE SOUDURE'!R1224=""),"",'CARNET DE SOUDURE'!R1224)</f>
        <v/>
      </c>
      <c r="F1224" s="81" t="str">
        <f aca="false">IF('CARNET DE SOUDURE'!E1224="","",'CARNET DE SOUDURE'!AL1224)</f>
        <v/>
      </c>
      <c r="G1224" s="81" t="str">
        <f aca="false">IF('CARNET DE SOUDURE'!E1224="","",'CARNET DE SOUDURE'!AM1224)</f>
        <v/>
      </c>
      <c r="H1224" s="81" t="str">
        <f aca="false">IF(C1224="","",IF(G1224="ACCEPTÉ","OUI","NON"))</f>
        <v/>
      </c>
      <c r="I1224" s="82"/>
      <c r="J1224" s="79"/>
      <c r="K1224" s="80"/>
      <c r="L1224" s="80"/>
      <c r="M1224" s="80"/>
      <c r="N1224" s="83" t="str">
        <f aca="false">IF(C1224="","",IF(I1224="",IF(H1224="OUI","À ENROBER",IF(G1224="À SOUDER","NON SOUDÉ","EN ATTENTE RT")),IF(L1224="R","À REPRENDRE",IF(H1224&lt;&gt;"OUI","⚠ ENROBÉ AVANT ACCEPTATION RT","ENROBÉ"))))</f>
        <v/>
      </c>
      <c r="O1224" s="79"/>
    </row>
    <row r="1225" customFormat="false" ht="15" hidden="false" customHeight="false" outlineLevel="0" collapsed="false">
      <c r="A1225" s="78" t="str">
        <f aca="false">IF('CARNET DE SOUDURE'!E1225="","",'CARNET DE SOUDURE'!A1225)</f>
        <v/>
      </c>
      <c r="B1225" s="93" t="str">
        <f aca="false">IF('CARNET DE SOUDURE'!E1225="","",'CARNET DE SOUDURE'!B1225&amp;"")</f>
        <v/>
      </c>
      <c r="C1225" s="83" t="str">
        <f aca="false">IF('CARNET DE SOUDURE'!E1225="","",'CARNET DE SOUDURE'!E1225)</f>
        <v/>
      </c>
      <c r="D1225" s="78" t="str">
        <f aca="false">IF('CARNET DE SOUDURE'!E1225="","",'CARNET DE SOUDURE'!D1225&amp;"")</f>
        <v/>
      </c>
      <c r="E1225" s="96" t="str">
        <f aca="false">IF(OR('CARNET DE SOUDURE'!E1225="",'CARNET DE SOUDURE'!R1225=""),"",'CARNET DE SOUDURE'!R1225)</f>
        <v/>
      </c>
      <c r="F1225" s="81" t="str">
        <f aca="false">IF('CARNET DE SOUDURE'!E1225="","",'CARNET DE SOUDURE'!AL1225)</f>
        <v/>
      </c>
      <c r="G1225" s="81" t="str">
        <f aca="false">IF('CARNET DE SOUDURE'!E1225="","",'CARNET DE SOUDURE'!AM1225)</f>
        <v/>
      </c>
      <c r="H1225" s="81" t="str">
        <f aca="false">IF(C1225="","",IF(G1225="ACCEPTÉ","OUI","NON"))</f>
        <v/>
      </c>
      <c r="I1225" s="82"/>
      <c r="J1225" s="79"/>
      <c r="K1225" s="80"/>
      <c r="L1225" s="80"/>
      <c r="M1225" s="80"/>
      <c r="N1225" s="83" t="str">
        <f aca="false">IF(C1225="","",IF(I1225="",IF(H1225="OUI","À ENROBER",IF(G1225="À SOUDER","NON SOUDÉ","EN ATTENTE RT")),IF(L1225="R","À REPRENDRE",IF(H1225&lt;&gt;"OUI","⚠ ENROBÉ AVANT ACCEPTATION RT","ENROBÉ"))))</f>
        <v/>
      </c>
      <c r="O1225" s="79"/>
    </row>
    <row r="1226" customFormat="false" ht="15" hidden="false" customHeight="false" outlineLevel="0" collapsed="false">
      <c r="A1226" s="78" t="str">
        <f aca="false">IF('CARNET DE SOUDURE'!E1226="","",'CARNET DE SOUDURE'!A1226)</f>
        <v/>
      </c>
      <c r="B1226" s="93" t="str">
        <f aca="false">IF('CARNET DE SOUDURE'!E1226="","",'CARNET DE SOUDURE'!B1226&amp;"")</f>
        <v/>
      </c>
      <c r="C1226" s="83" t="str">
        <f aca="false">IF('CARNET DE SOUDURE'!E1226="","",'CARNET DE SOUDURE'!E1226)</f>
        <v/>
      </c>
      <c r="D1226" s="78" t="str">
        <f aca="false">IF('CARNET DE SOUDURE'!E1226="","",'CARNET DE SOUDURE'!D1226&amp;"")</f>
        <v/>
      </c>
      <c r="E1226" s="96" t="str">
        <f aca="false">IF(OR('CARNET DE SOUDURE'!E1226="",'CARNET DE SOUDURE'!R1226=""),"",'CARNET DE SOUDURE'!R1226)</f>
        <v/>
      </c>
      <c r="F1226" s="81" t="str">
        <f aca="false">IF('CARNET DE SOUDURE'!E1226="","",'CARNET DE SOUDURE'!AL1226)</f>
        <v/>
      </c>
      <c r="G1226" s="81" t="str">
        <f aca="false">IF('CARNET DE SOUDURE'!E1226="","",'CARNET DE SOUDURE'!AM1226)</f>
        <v/>
      </c>
      <c r="H1226" s="81" t="str">
        <f aca="false">IF(C1226="","",IF(G1226="ACCEPTÉ","OUI","NON"))</f>
        <v/>
      </c>
      <c r="I1226" s="82"/>
      <c r="J1226" s="79"/>
      <c r="K1226" s="80"/>
      <c r="L1226" s="80"/>
      <c r="M1226" s="80"/>
      <c r="N1226" s="83" t="str">
        <f aca="false">IF(C1226="","",IF(I1226="",IF(H1226="OUI","À ENROBER",IF(G1226="À SOUDER","NON SOUDÉ","EN ATTENTE RT")),IF(L1226="R","À REPRENDRE",IF(H1226&lt;&gt;"OUI","⚠ ENROBÉ AVANT ACCEPTATION RT","ENROBÉ"))))</f>
        <v/>
      </c>
      <c r="O1226" s="79"/>
    </row>
    <row r="1227" customFormat="false" ht="15" hidden="false" customHeight="false" outlineLevel="0" collapsed="false">
      <c r="A1227" s="78" t="str">
        <f aca="false">IF('CARNET DE SOUDURE'!E1227="","",'CARNET DE SOUDURE'!A1227)</f>
        <v/>
      </c>
      <c r="B1227" s="93" t="str">
        <f aca="false">IF('CARNET DE SOUDURE'!E1227="","",'CARNET DE SOUDURE'!B1227&amp;"")</f>
        <v/>
      </c>
      <c r="C1227" s="83" t="str">
        <f aca="false">IF('CARNET DE SOUDURE'!E1227="","",'CARNET DE SOUDURE'!E1227)</f>
        <v/>
      </c>
      <c r="D1227" s="78" t="str">
        <f aca="false">IF('CARNET DE SOUDURE'!E1227="","",'CARNET DE SOUDURE'!D1227&amp;"")</f>
        <v/>
      </c>
      <c r="E1227" s="96" t="str">
        <f aca="false">IF(OR('CARNET DE SOUDURE'!E1227="",'CARNET DE SOUDURE'!R1227=""),"",'CARNET DE SOUDURE'!R1227)</f>
        <v/>
      </c>
      <c r="F1227" s="81" t="str">
        <f aca="false">IF('CARNET DE SOUDURE'!E1227="","",'CARNET DE SOUDURE'!AL1227)</f>
        <v/>
      </c>
      <c r="G1227" s="81" t="str">
        <f aca="false">IF('CARNET DE SOUDURE'!E1227="","",'CARNET DE SOUDURE'!AM1227)</f>
        <v/>
      </c>
      <c r="H1227" s="81" t="str">
        <f aca="false">IF(C1227="","",IF(G1227="ACCEPTÉ","OUI","NON"))</f>
        <v/>
      </c>
      <c r="I1227" s="82"/>
      <c r="J1227" s="79"/>
      <c r="K1227" s="80"/>
      <c r="L1227" s="80"/>
      <c r="M1227" s="80"/>
      <c r="N1227" s="83" t="str">
        <f aca="false">IF(C1227="","",IF(I1227="",IF(H1227="OUI","À ENROBER",IF(G1227="À SOUDER","NON SOUDÉ","EN ATTENTE RT")),IF(L1227="R","À REPRENDRE",IF(H1227&lt;&gt;"OUI","⚠ ENROBÉ AVANT ACCEPTATION RT","ENROBÉ"))))</f>
        <v/>
      </c>
      <c r="O1227" s="79"/>
    </row>
    <row r="1228" customFormat="false" ht="15" hidden="false" customHeight="false" outlineLevel="0" collapsed="false">
      <c r="A1228" s="78" t="str">
        <f aca="false">IF('CARNET DE SOUDURE'!E1228="","",'CARNET DE SOUDURE'!A1228)</f>
        <v/>
      </c>
      <c r="B1228" s="93" t="str">
        <f aca="false">IF('CARNET DE SOUDURE'!E1228="","",'CARNET DE SOUDURE'!B1228&amp;"")</f>
        <v/>
      </c>
      <c r="C1228" s="83" t="str">
        <f aca="false">IF('CARNET DE SOUDURE'!E1228="","",'CARNET DE SOUDURE'!E1228)</f>
        <v/>
      </c>
      <c r="D1228" s="78" t="str">
        <f aca="false">IF('CARNET DE SOUDURE'!E1228="","",'CARNET DE SOUDURE'!D1228&amp;"")</f>
        <v/>
      </c>
      <c r="E1228" s="96" t="str">
        <f aca="false">IF(OR('CARNET DE SOUDURE'!E1228="",'CARNET DE SOUDURE'!R1228=""),"",'CARNET DE SOUDURE'!R1228)</f>
        <v/>
      </c>
      <c r="F1228" s="81" t="str">
        <f aca="false">IF('CARNET DE SOUDURE'!E1228="","",'CARNET DE SOUDURE'!AL1228)</f>
        <v/>
      </c>
      <c r="G1228" s="81" t="str">
        <f aca="false">IF('CARNET DE SOUDURE'!E1228="","",'CARNET DE SOUDURE'!AM1228)</f>
        <v/>
      </c>
      <c r="H1228" s="81" t="str">
        <f aca="false">IF(C1228="","",IF(G1228="ACCEPTÉ","OUI","NON"))</f>
        <v/>
      </c>
      <c r="I1228" s="82"/>
      <c r="J1228" s="79"/>
      <c r="K1228" s="80"/>
      <c r="L1228" s="80"/>
      <c r="M1228" s="80"/>
      <c r="N1228" s="83" t="str">
        <f aca="false">IF(C1228="","",IF(I1228="",IF(H1228="OUI","À ENROBER",IF(G1228="À SOUDER","NON SOUDÉ","EN ATTENTE RT")),IF(L1228="R","À REPRENDRE",IF(H1228&lt;&gt;"OUI","⚠ ENROBÉ AVANT ACCEPTATION RT","ENROBÉ"))))</f>
        <v/>
      </c>
      <c r="O1228" s="79"/>
    </row>
    <row r="1229" customFormat="false" ht="15" hidden="false" customHeight="false" outlineLevel="0" collapsed="false">
      <c r="A1229" s="78" t="str">
        <f aca="false">IF('CARNET DE SOUDURE'!E1229="","",'CARNET DE SOUDURE'!A1229)</f>
        <v/>
      </c>
      <c r="B1229" s="93" t="str">
        <f aca="false">IF('CARNET DE SOUDURE'!E1229="","",'CARNET DE SOUDURE'!B1229&amp;"")</f>
        <v/>
      </c>
      <c r="C1229" s="83" t="str">
        <f aca="false">IF('CARNET DE SOUDURE'!E1229="","",'CARNET DE SOUDURE'!E1229)</f>
        <v/>
      </c>
      <c r="D1229" s="78" t="str">
        <f aca="false">IF('CARNET DE SOUDURE'!E1229="","",'CARNET DE SOUDURE'!D1229&amp;"")</f>
        <v/>
      </c>
      <c r="E1229" s="96" t="str">
        <f aca="false">IF(OR('CARNET DE SOUDURE'!E1229="",'CARNET DE SOUDURE'!R1229=""),"",'CARNET DE SOUDURE'!R1229)</f>
        <v/>
      </c>
      <c r="F1229" s="81" t="str">
        <f aca="false">IF('CARNET DE SOUDURE'!E1229="","",'CARNET DE SOUDURE'!AL1229)</f>
        <v/>
      </c>
      <c r="G1229" s="81" t="str">
        <f aca="false">IF('CARNET DE SOUDURE'!E1229="","",'CARNET DE SOUDURE'!AM1229)</f>
        <v/>
      </c>
      <c r="H1229" s="81" t="str">
        <f aca="false">IF(C1229="","",IF(G1229="ACCEPTÉ","OUI","NON"))</f>
        <v/>
      </c>
      <c r="I1229" s="82"/>
      <c r="J1229" s="79"/>
      <c r="K1229" s="80"/>
      <c r="L1229" s="80"/>
      <c r="M1229" s="80"/>
      <c r="N1229" s="83" t="str">
        <f aca="false">IF(C1229="","",IF(I1229="",IF(H1229="OUI","À ENROBER",IF(G1229="À SOUDER","NON SOUDÉ","EN ATTENTE RT")),IF(L1229="R","À REPRENDRE",IF(H1229&lt;&gt;"OUI","⚠ ENROBÉ AVANT ACCEPTATION RT","ENROBÉ"))))</f>
        <v/>
      </c>
      <c r="O1229" s="79"/>
    </row>
    <row r="1230" customFormat="false" ht="15" hidden="false" customHeight="false" outlineLevel="0" collapsed="false">
      <c r="A1230" s="78" t="str">
        <f aca="false">IF('CARNET DE SOUDURE'!E1230="","",'CARNET DE SOUDURE'!A1230)</f>
        <v/>
      </c>
      <c r="B1230" s="93" t="str">
        <f aca="false">IF('CARNET DE SOUDURE'!E1230="","",'CARNET DE SOUDURE'!B1230&amp;"")</f>
        <v/>
      </c>
      <c r="C1230" s="83" t="str">
        <f aca="false">IF('CARNET DE SOUDURE'!E1230="","",'CARNET DE SOUDURE'!E1230)</f>
        <v/>
      </c>
      <c r="D1230" s="78" t="str">
        <f aca="false">IF('CARNET DE SOUDURE'!E1230="","",'CARNET DE SOUDURE'!D1230&amp;"")</f>
        <v/>
      </c>
      <c r="E1230" s="96" t="str">
        <f aca="false">IF(OR('CARNET DE SOUDURE'!E1230="",'CARNET DE SOUDURE'!R1230=""),"",'CARNET DE SOUDURE'!R1230)</f>
        <v/>
      </c>
      <c r="F1230" s="81" t="str">
        <f aca="false">IF('CARNET DE SOUDURE'!E1230="","",'CARNET DE SOUDURE'!AL1230)</f>
        <v/>
      </c>
      <c r="G1230" s="81" t="str">
        <f aca="false">IF('CARNET DE SOUDURE'!E1230="","",'CARNET DE SOUDURE'!AM1230)</f>
        <v/>
      </c>
      <c r="H1230" s="81" t="str">
        <f aca="false">IF(C1230="","",IF(G1230="ACCEPTÉ","OUI","NON"))</f>
        <v/>
      </c>
      <c r="I1230" s="82"/>
      <c r="J1230" s="79"/>
      <c r="K1230" s="80"/>
      <c r="L1230" s="80"/>
      <c r="M1230" s="80"/>
      <c r="N1230" s="83" t="str">
        <f aca="false">IF(C1230="","",IF(I1230="",IF(H1230="OUI","À ENROBER",IF(G1230="À SOUDER","NON SOUDÉ","EN ATTENTE RT")),IF(L1230="R","À REPRENDRE",IF(H1230&lt;&gt;"OUI","⚠ ENROBÉ AVANT ACCEPTATION RT","ENROBÉ"))))</f>
        <v/>
      </c>
      <c r="O1230" s="79"/>
    </row>
    <row r="1231" customFormat="false" ht="15" hidden="false" customHeight="false" outlineLevel="0" collapsed="false">
      <c r="A1231" s="78" t="str">
        <f aca="false">IF('CARNET DE SOUDURE'!E1231="","",'CARNET DE SOUDURE'!A1231)</f>
        <v/>
      </c>
      <c r="B1231" s="93" t="str">
        <f aca="false">IF('CARNET DE SOUDURE'!E1231="","",'CARNET DE SOUDURE'!B1231&amp;"")</f>
        <v/>
      </c>
      <c r="C1231" s="83" t="str">
        <f aca="false">IF('CARNET DE SOUDURE'!E1231="","",'CARNET DE SOUDURE'!E1231)</f>
        <v/>
      </c>
      <c r="D1231" s="78" t="str">
        <f aca="false">IF('CARNET DE SOUDURE'!E1231="","",'CARNET DE SOUDURE'!D1231&amp;"")</f>
        <v/>
      </c>
      <c r="E1231" s="96" t="str">
        <f aca="false">IF(OR('CARNET DE SOUDURE'!E1231="",'CARNET DE SOUDURE'!R1231=""),"",'CARNET DE SOUDURE'!R1231)</f>
        <v/>
      </c>
      <c r="F1231" s="81" t="str">
        <f aca="false">IF('CARNET DE SOUDURE'!E1231="","",'CARNET DE SOUDURE'!AL1231)</f>
        <v/>
      </c>
      <c r="G1231" s="81" t="str">
        <f aca="false">IF('CARNET DE SOUDURE'!E1231="","",'CARNET DE SOUDURE'!AM1231)</f>
        <v/>
      </c>
      <c r="H1231" s="81" t="str">
        <f aca="false">IF(C1231="","",IF(G1231="ACCEPTÉ","OUI","NON"))</f>
        <v/>
      </c>
      <c r="I1231" s="82"/>
      <c r="J1231" s="79"/>
      <c r="K1231" s="80"/>
      <c r="L1231" s="80"/>
      <c r="M1231" s="80"/>
      <c r="N1231" s="83" t="str">
        <f aca="false">IF(C1231="","",IF(I1231="",IF(H1231="OUI","À ENROBER",IF(G1231="À SOUDER","NON SOUDÉ","EN ATTENTE RT")),IF(L1231="R","À REPRENDRE",IF(H1231&lt;&gt;"OUI","⚠ ENROBÉ AVANT ACCEPTATION RT","ENROBÉ"))))</f>
        <v/>
      </c>
      <c r="O1231" s="79"/>
    </row>
    <row r="1232" customFormat="false" ht="15" hidden="false" customHeight="false" outlineLevel="0" collapsed="false">
      <c r="A1232" s="78" t="str">
        <f aca="false">IF('CARNET DE SOUDURE'!E1232="","",'CARNET DE SOUDURE'!A1232)</f>
        <v/>
      </c>
      <c r="B1232" s="93" t="str">
        <f aca="false">IF('CARNET DE SOUDURE'!E1232="","",'CARNET DE SOUDURE'!B1232&amp;"")</f>
        <v/>
      </c>
      <c r="C1232" s="83" t="str">
        <f aca="false">IF('CARNET DE SOUDURE'!E1232="","",'CARNET DE SOUDURE'!E1232)</f>
        <v/>
      </c>
      <c r="D1232" s="78" t="str">
        <f aca="false">IF('CARNET DE SOUDURE'!E1232="","",'CARNET DE SOUDURE'!D1232&amp;"")</f>
        <v/>
      </c>
      <c r="E1232" s="96" t="str">
        <f aca="false">IF(OR('CARNET DE SOUDURE'!E1232="",'CARNET DE SOUDURE'!R1232=""),"",'CARNET DE SOUDURE'!R1232)</f>
        <v/>
      </c>
      <c r="F1232" s="81" t="str">
        <f aca="false">IF('CARNET DE SOUDURE'!E1232="","",'CARNET DE SOUDURE'!AL1232)</f>
        <v/>
      </c>
      <c r="G1232" s="81" t="str">
        <f aca="false">IF('CARNET DE SOUDURE'!E1232="","",'CARNET DE SOUDURE'!AM1232)</f>
        <v/>
      </c>
      <c r="H1232" s="81" t="str">
        <f aca="false">IF(C1232="","",IF(G1232="ACCEPTÉ","OUI","NON"))</f>
        <v/>
      </c>
      <c r="I1232" s="82"/>
      <c r="J1232" s="79"/>
      <c r="K1232" s="80"/>
      <c r="L1232" s="80"/>
      <c r="M1232" s="80"/>
      <c r="N1232" s="83" t="str">
        <f aca="false">IF(C1232="","",IF(I1232="",IF(H1232="OUI","À ENROBER",IF(G1232="À SOUDER","NON SOUDÉ","EN ATTENTE RT")),IF(L1232="R","À REPRENDRE",IF(H1232&lt;&gt;"OUI","⚠ ENROBÉ AVANT ACCEPTATION RT","ENROBÉ"))))</f>
        <v/>
      </c>
      <c r="O1232" s="79"/>
    </row>
    <row r="1233" customFormat="false" ht="15" hidden="false" customHeight="false" outlineLevel="0" collapsed="false">
      <c r="A1233" s="78" t="str">
        <f aca="false">IF('CARNET DE SOUDURE'!E1233="","",'CARNET DE SOUDURE'!A1233)</f>
        <v/>
      </c>
      <c r="B1233" s="93" t="str">
        <f aca="false">IF('CARNET DE SOUDURE'!E1233="","",'CARNET DE SOUDURE'!B1233&amp;"")</f>
        <v/>
      </c>
      <c r="C1233" s="83" t="str">
        <f aca="false">IF('CARNET DE SOUDURE'!E1233="","",'CARNET DE SOUDURE'!E1233)</f>
        <v/>
      </c>
      <c r="D1233" s="78" t="str">
        <f aca="false">IF('CARNET DE SOUDURE'!E1233="","",'CARNET DE SOUDURE'!D1233&amp;"")</f>
        <v/>
      </c>
      <c r="E1233" s="96" t="str">
        <f aca="false">IF(OR('CARNET DE SOUDURE'!E1233="",'CARNET DE SOUDURE'!R1233=""),"",'CARNET DE SOUDURE'!R1233)</f>
        <v/>
      </c>
      <c r="F1233" s="81" t="str">
        <f aca="false">IF('CARNET DE SOUDURE'!E1233="","",'CARNET DE SOUDURE'!AL1233)</f>
        <v/>
      </c>
      <c r="G1233" s="81" t="str">
        <f aca="false">IF('CARNET DE SOUDURE'!E1233="","",'CARNET DE SOUDURE'!AM1233)</f>
        <v/>
      </c>
      <c r="H1233" s="81" t="str">
        <f aca="false">IF(C1233="","",IF(G1233="ACCEPTÉ","OUI","NON"))</f>
        <v/>
      </c>
      <c r="I1233" s="82"/>
      <c r="J1233" s="79"/>
      <c r="K1233" s="80"/>
      <c r="L1233" s="80"/>
      <c r="M1233" s="80"/>
      <c r="N1233" s="83" t="str">
        <f aca="false">IF(C1233="","",IF(I1233="",IF(H1233="OUI","À ENROBER",IF(G1233="À SOUDER","NON SOUDÉ","EN ATTENTE RT")),IF(L1233="R","À REPRENDRE",IF(H1233&lt;&gt;"OUI","⚠ ENROBÉ AVANT ACCEPTATION RT","ENROBÉ"))))</f>
        <v/>
      </c>
      <c r="O1233" s="79"/>
    </row>
    <row r="1234" customFormat="false" ht="15" hidden="false" customHeight="false" outlineLevel="0" collapsed="false">
      <c r="A1234" s="78" t="str">
        <f aca="false">IF('CARNET DE SOUDURE'!E1234="","",'CARNET DE SOUDURE'!A1234)</f>
        <v/>
      </c>
      <c r="B1234" s="93" t="str">
        <f aca="false">IF('CARNET DE SOUDURE'!E1234="","",'CARNET DE SOUDURE'!B1234&amp;"")</f>
        <v/>
      </c>
      <c r="C1234" s="83" t="str">
        <f aca="false">IF('CARNET DE SOUDURE'!E1234="","",'CARNET DE SOUDURE'!E1234)</f>
        <v/>
      </c>
      <c r="D1234" s="78" t="str">
        <f aca="false">IF('CARNET DE SOUDURE'!E1234="","",'CARNET DE SOUDURE'!D1234&amp;"")</f>
        <v/>
      </c>
      <c r="E1234" s="96" t="str">
        <f aca="false">IF(OR('CARNET DE SOUDURE'!E1234="",'CARNET DE SOUDURE'!R1234=""),"",'CARNET DE SOUDURE'!R1234)</f>
        <v/>
      </c>
      <c r="F1234" s="81" t="str">
        <f aca="false">IF('CARNET DE SOUDURE'!E1234="","",'CARNET DE SOUDURE'!AL1234)</f>
        <v/>
      </c>
      <c r="G1234" s="81" t="str">
        <f aca="false">IF('CARNET DE SOUDURE'!E1234="","",'CARNET DE SOUDURE'!AM1234)</f>
        <v/>
      </c>
      <c r="H1234" s="81" t="str">
        <f aca="false">IF(C1234="","",IF(G1234="ACCEPTÉ","OUI","NON"))</f>
        <v/>
      </c>
      <c r="I1234" s="82"/>
      <c r="J1234" s="79"/>
      <c r="K1234" s="80"/>
      <c r="L1234" s="80"/>
      <c r="M1234" s="80"/>
      <c r="N1234" s="83" t="str">
        <f aca="false">IF(C1234="","",IF(I1234="",IF(H1234="OUI","À ENROBER",IF(G1234="À SOUDER","NON SOUDÉ","EN ATTENTE RT")),IF(L1234="R","À REPRENDRE",IF(H1234&lt;&gt;"OUI","⚠ ENROBÉ AVANT ACCEPTATION RT","ENROBÉ"))))</f>
        <v/>
      </c>
      <c r="O1234" s="79"/>
    </row>
    <row r="1235" customFormat="false" ht="15" hidden="false" customHeight="false" outlineLevel="0" collapsed="false">
      <c r="A1235" s="78" t="str">
        <f aca="false">IF('CARNET DE SOUDURE'!E1235="","",'CARNET DE SOUDURE'!A1235)</f>
        <v/>
      </c>
      <c r="B1235" s="93" t="str">
        <f aca="false">IF('CARNET DE SOUDURE'!E1235="","",'CARNET DE SOUDURE'!B1235&amp;"")</f>
        <v/>
      </c>
      <c r="C1235" s="83" t="str">
        <f aca="false">IF('CARNET DE SOUDURE'!E1235="","",'CARNET DE SOUDURE'!E1235)</f>
        <v/>
      </c>
      <c r="D1235" s="78" t="str">
        <f aca="false">IF('CARNET DE SOUDURE'!E1235="","",'CARNET DE SOUDURE'!D1235&amp;"")</f>
        <v/>
      </c>
      <c r="E1235" s="96" t="str">
        <f aca="false">IF(OR('CARNET DE SOUDURE'!E1235="",'CARNET DE SOUDURE'!R1235=""),"",'CARNET DE SOUDURE'!R1235)</f>
        <v/>
      </c>
      <c r="F1235" s="81" t="str">
        <f aca="false">IF('CARNET DE SOUDURE'!E1235="","",'CARNET DE SOUDURE'!AL1235)</f>
        <v/>
      </c>
      <c r="G1235" s="81" t="str">
        <f aca="false">IF('CARNET DE SOUDURE'!E1235="","",'CARNET DE SOUDURE'!AM1235)</f>
        <v/>
      </c>
      <c r="H1235" s="81" t="str">
        <f aca="false">IF(C1235="","",IF(G1235="ACCEPTÉ","OUI","NON"))</f>
        <v/>
      </c>
      <c r="I1235" s="82"/>
      <c r="J1235" s="79"/>
      <c r="K1235" s="80"/>
      <c r="L1235" s="80"/>
      <c r="M1235" s="80"/>
      <c r="N1235" s="83" t="str">
        <f aca="false">IF(C1235="","",IF(I1235="",IF(H1235="OUI","À ENROBER",IF(G1235="À SOUDER","NON SOUDÉ","EN ATTENTE RT")),IF(L1235="R","À REPRENDRE",IF(H1235&lt;&gt;"OUI","⚠ ENROBÉ AVANT ACCEPTATION RT","ENROBÉ"))))</f>
        <v/>
      </c>
      <c r="O1235" s="79"/>
    </row>
    <row r="1236" customFormat="false" ht="15" hidden="false" customHeight="false" outlineLevel="0" collapsed="false">
      <c r="A1236" s="78" t="str">
        <f aca="false">IF('CARNET DE SOUDURE'!E1236="","",'CARNET DE SOUDURE'!A1236)</f>
        <v/>
      </c>
      <c r="B1236" s="93" t="str">
        <f aca="false">IF('CARNET DE SOUDURE'!E1236="","",'CARNET DE SOUDURE'!B1236&amp;"")</f>
        <v/>
      </c>
      <c r="C1236" s="83" t="str">
        <f aca="false">IF('CARNET DE SOUDURE'!E1236="","",'CARNET DE SOUDURE'!E1236)</f>
        <v/>
      </c>
      <c r="D1236" s="78" t="str">
        <f aca="false">IF('CARNET DE SOUDURE'!E1236="","",'CARNET DE SOUDURE'!D1236&amp;"")</f>
        <v/>
      </c>
      <c r="E1236" s="96" t="str">
        <f aca="false">IF(OR('CARNET DE SOUDURE'!E1236="",'CARNET DE SOUDURE'!R1236=""),"",'CARNET DE SOUDURE'!R1236)</f>
        <v/>
      </c>
      <c r="F1236" s="81" t="str">
        <f aca="false">IF('CARNET DE SOUDURE'!E1236="","",'CARNET DE SOUDURE'!AL1236)</f>
        <v/>
      </c>
      <c r="G1236" s="81" t="str">
        <f aca="false">IF('CARNET DE SOUDURE'!E1236="","",'CARNET DE SOUDURE'!AM1236)</f>
        <v/>
      </c>
      <c r="H1236" s="81" t="str">
        <f aca="false">IF(C1236="","",IF(G1236="ACCEPTÉ","OUI","NON"))</f>
        <v/>
      </c>
      <c r="I1236" s="82"/>
      <c r="J1236" s="79"/>
      <c r="K1236" s="80"/>
      <c r="L1236" s="80"/>
      <c r="M1236" s="80"/>
      <c r="N1236" s="83" t="str">
        <f aca="false">IF(C1236="","",IF(I1236="",IF(H1236="OUI","À ENROBER",IF(G1236="À SOUDER","NON SOUDÉ","EN ATTENTE RT")),IF(L1236="R","À REPRENDRE",IF(H1236&lt;&gt;"OUI","⚠ ENROBÉ AVANT ACCEPTATION RT","ENROBÉ"))))</f>
        <v/>
      </c>
      <c r="O1236" s="79"/>
    </row>
    <row r="1237" customFormat="false" ht="15" hidden="false" customHeight="false" outlineLevel="0" collapsed="false">
      <c r="A1237" s="78" t="str">
        <f aca="false">IF('CARNET DE SOUDURE'!E1237="","",'CARNET DE SOUDURE'!A1237)</f>
        <v/>
      </c>
      <c r="B1237" s="93" t="str">
        <f aca="false">IF('CARNET DE SOUDURE'!E1237="","",'CARNET DE SOUDURE'!B1237&amp;"")</f>
        <v/>
      </c>
      <c r="C1237" s="83" t="str">
        <f aca="false">IF('CARNET DE SOUDURE'!E1237="","",'CARNET DE SOUDURE'!E1237)</f>
        <v/>
      </c>
      <c r="D1237" s="78" t="str">
        <f aca="false">IF('CARNET DE SOUDURE'!E1237="","",'CARNET DE SOUDURE'!D1237&amp;"")</f>
        <v/>
      </c>
      <c r="E1237" s="96" t="str">
        <f aca="false">IF(OR('CARNET DE SOUDURE'!E1237="",'CARNET DE SOUDURE'!R1237=""),"",'CARNET DE SOUDURE'!R1237)</f>
        <v/>
      </c>
      <c r="F1237" s="81" t="str">
        <f aca="false">IF('CARNET DE SOUDURE'!E1237="","",'CARNET DE SOUDURE'!AL1237)</f>
        <v/>
      </c>
      <c r="G1237" s="81" t="str">
        <f aca="false">IF('CARNET DE SOUDURE'!E1237="","",'CARNET DE SOUDURE'!AM1237)</f>
        <v/>
      </c>
      <c r="H1237" s="81" t="str">
        <f aca="false">IF(C1237="","",IF(G1237="ACCEPTÉ","OUI","NON"))</f>
        <v/>
      </c>
      <c r="I1237" s="82"/>
      <c r="J1237" s="79"/>
      <c r="K1237" s="80"/>
      <c r="L1237" s="80"/>
      <c r="M1237" s="80"/>
      <c r="N1237" s="83" t="str">
        <f aca="false">IF(C1237="","",IF(I1237="",IF(H1237="OUI","À ENROBER",IF(G1237="À SOUDER","NON SOUDÉ","EN ATTENTE RT")),IF(L1237="R","À REPRENDRE",IF(H1237&lt;&gt;"OUI","⚠ ENROBÉ AVANT ACCEPTATION RT","ENROBÉ"))))</f>
        <v/>
      </c>
      <c r="O1237" s="79"/>
    </row>
    <row r="1238" customFormat="false" ht="15" hidden="false" customHeight="false" outlineLevel="0" collapsed="false">
      <c r="A1238" s="78" t="str">
        <f aca="false">IF('CARNET DE SOUDURE'!E1238="","",'CARNET DE SOUDURE'!A1238)</f>
        <v/>
      </c>
      <c r="B1238" s="93" t="str">
        <f aca="false">IF('CARNET DE SOUDURE'!E1238="","",'CARNET DE SOUDURE'!B1238&amp;"")</f>
        <v/>
      </c>
      <c r="C1238" s="83" t="str">
        <f aca="false">IF('CARNET DE SOUDURE'!E1238="","",'CARNET DE SOUDURE'!E1238)</f>
        <v/>
      </c>
      <c r="D1238" s="78" t="str">
        <f aca="false">IF('CARNET DE SOUDURE'!E1238="","",'CARNET DE SOUDURE'!D1238&amp;"")</f>
        <v/>
      </c>
      <c r="E1238" s="96" t="str">
        <f aca="false">IF(OR('CARNET DE SOUDURE'!E1238="",'CARNET DE SOUDURE'!R1238=""),"",'CARNET DE SOUDURE'!R1238)</f>
        <v/>
      </c>
      <c r="F1238" s="81" t="str">
        <f aca="false">IF('CARNET DE SOUDURE'!E1238="","",'CARNET DE SOUDURE'!AL1238)</f>
        <v/>
      </c>
      <c r="G1238" s="81" t="str">
        <f aca="false">IF('CARNET DE SOUDURE'!E1238="","",'CARNET DE SOUDURE'!AM1238)</f>
        <v/>
      </c>
      <c r="H1238" s="81" t="str">
        <f aca="false">IF(C1238="","",IF(G1238="ACCEPTÉ","OUI","NON"))</f>
        <v/>
      </c>
      <c r="I1238" s="82"/>
      <c r="J1238" s="79"/>
      <c r="K1238" s="80"/>
      <c r="L1238" s="80"/>
      <c r="M1238" s="80"/>
      <c r="N1238" s="83" t="str">
        <f aca="false">IF(C1238="","",IF(I1238="",IF(H1238="OUI","À ENROBER",IF(G1238="À SOUDER","NON SOUDÉ","EN ATTENTE RT")),IF(L1238="R","À REPRENDRE",IF(H1238&lt;&gt;"OUI","⚠ ENROBÉ AVANT ACCEPTATION RT","ENROBÉ"))))</f>
        <v/>
      </c>
      <c r="O1238" s="79"/>
    </row>
    <row r="1239" customFormat="false" ht="15" hidden="false" customHeight="false" outlineLevel="0" collapsed="false">
      <c r="A1239" s="78" t="str">
        <f aca="false">IF('CARNET DE SOUDURE'!E1239="","",'CARNET DE SOUDURE'!A1239)</f>
        <v/>
      </c>
      <c r="B1239" s="93" t="str">
        <f aca="false">IF('CARNET DE SOUDURE'!E1239="","",'CARNET DE SOUDURE'!B1239&amp;"")</f>
        <v/>
      </c>
      <c r="C1239" s="83" t="str">
        <f aca="false">IF('CARNET DE SOUDURE'!E1239="","",'CARNET DE SOUDURE'!E1239)</f>
        <v/>
      </c>
      <c r="D1239" s="78" t="str">
        <f aca="false">IF('CARNET DE SOUDURE'!E1239="","",'CARNET DE SOUDURE'!D1239&amp;"")</f>
        <v/>
      </c>
      <c r="E1239" s="96" t="str">
        <f aca="false">IF(OR('CARNET DE SOUDURE'!E1239="",'CARNET DE SOUDURE'!R1239=""),"",'CARNET DE SOUDURE'!R1239)</f>
        <v/>
      </c>
      <c r="F1239" s="81" t="str">
        <f aca="false">IF('CARNET DE SOUDURE'!E1239="","",'CARNET DE SOUDURE'!AL1239)</f>
        <v/>
      </c>
      <c r="G1239" s="81" t="str">
        <f aca="false">IF('CARNET DE SOUDURE'!E1239="","",'CARNET DE SOUDURE'!AM1239)</f>
        <v/>
      </c>
      <c r="H1239" s="81" t="str">
        <f aca="false">IF(C1239="","",IF(G1239="ACCEPTÉ","OUI","NON"))</f>
        <v/>
      </c>
      <c r="I1239" s="82"/>
      <c r="J1239" s="79"/>
      <c r="K1239" s="80"/>
      <c r="L1239" s="80"/>
      <c r="M1239" s="80"/>
      <c r="N1239" s="83" t="str">
        <f aca="false">IF(C1239="","",IF(I1239="",IF(H1239="OUI","À ENROBER",IF(G1239="À SOUDER","NON SOUDÉ","EN ATTENTE RT")),IF(L1239="R","À REPRENDRE",IF(H1239&lt;&gt;"OUI","⚠ ENROBÉ AVANT ACCEPTATION RT","ENROBÉ"))))</f>
        <v/>
      </c>
      <c r="O1239" s="79"/>
    </row>
    <row r="1240" customFormat="false" ht="15" hidden="false" customHeight="false" outlineLevel="0" collapsed="false">
      <c r="A1240" s="78" t="str">
        <f aca="false">IF('CARNET DE SOUDURE'!E1240="","",'CARNET DE SOUDURE'!A1240)</f>
        <v/>
      </c>
      <c r="B1240" s="93" t="str">
        <f aca="false">IF('CARNET DE SOUDURE'!E1240="","",'CARNET DE SOUDURE'!B1240&amp;"")</f>
        <v/>
      </c>
      <c r="C1240" s="83" t="str">
        <f aca="false">IF('CARNET DE SOUDURE'!E1240="","",'CARNET DE SOUDURE'!E1240)</f>
        <v/>
      </c>
      <c r="D1240" s="78" t="str">
        <f aca="false">IF('CARNET DE SOUDURE'!E1240="","",'CARNET DE SOUDURE'!D1240&amp;"")</f>
        <v/>
      </c>
      <c r="E1240" s="96" t="str">
        <f aca="false">IF(OR('CARNET DE SOUDURE'!E1240="",'CARNET DE SOUDURE'!R1240=""),"",'CARNET DE SOUDURE'!R1240)</f>
        <v/>
      </c>
      <c r="F1240" s="81" t="str">
        <f aca="false">IF('CARNET DE SOUDURE'!E1240="","",'CARNET DE SOUDURE'!AL1240)</f>
        <v/>
      </c>
      <c r="G1240" s="81" t="str">
        <f aca="false">IF('CARNET DE SOUDURE'!E1240="","",'CARNET DE SOUDURE'!AM1240)</f>
        <v/>
      </c>
      <c r="H1240" s="81" t="str">
        <f aca="false">IF(C1240="","",IF(G1240="ACCEPTÉ","OUI","NON"))</f>
        <v/>
      </c>
      <c r="I1240" s="82"/>
      <c r="J1240" s="79"/>
      <c r="K1240" s="80"/>
      <c r="L1240" s="80"/>
      <c r="M1240" s="80"/>
      <c r="N1240" s="83" t="str">
        <f aca="false">IF(C1240="","",IF(I1240="",IF(H1240="OUI","À ENROBER",IF(G1240="À SOUDER","NON SOUDÉ","EN ATTENTE RT")),IF(L1240="R","À REPRENDRE",IF(H1240&lt;&gt;"OUI","⚠ ENROBÉ AVANT ACCEPTATION RT","ENROBÉ"))))</f>
        <v/>
      </c>
      <c r="O1240" s="79"/>
    </row>
    <row r="1241" customFormat="false" ht="15" hidden="false" customHeight="false" outlineLevel="0" collapsed="false">
      <c r="A1241" s="78" t="str">
        <f aca="false">IF('CARNET DE SOUDURE'!E1241="","",'CARNET DE SOUDURE'!A1241)</f>
        <v/>
      </c>
      <c r="B1241" s="93" t="str">
        <f aca="false">IF('CARNET DE SOUDURE'!E1241="","",'CARNET DE SOUDURE'!B1241&amp;"")</f>
        <v/>
      </c>
      <c r="C1241" s="83" t="str">
        <f aca="false">IF('CARNET DE SOUDURE'!E1241="","",'CARNET DE SOUDURE'!E1241)</f>
        <v/>
      </c>
      <c r="D1241" s="78" t="str">
        <f aca="false">IF('CARNET DE SOUDURE'!E1241="","",'CARNET DE SOUDURE'!D1241&amp;"")</f>
        <v/>
      </c>
      <c r="E1241" s="96" t="str">
        <f aca="false">IF(OR('CARNET DE SOUDURE'!E1241="",'CARNET DE SOUDURE'!R1241=""),"",'CARNET DE SOUDURE'!R1241)</f>
        <v/>
      </c>
      <c r="F1241" s="81" t="str">
        <f aca="false">IF('CARNET DE SOUDURE'!E1241="","",'CARNET DE SOUDURE'!AL1241)</f>
        <v/>
      </c>
      <c r="G1241" s="81" t="str">
        <f aca="false">IF('CARNET DE SOUDURE'!E1241="","",'CARNET DE SOUDURE'!AM1241)</f>
        <v/>
      </c>
      <c r="H1241" s="81" t="str">
        <f aca="false">IF(C1241="","",IF(G1241="ACCEPTÉ","OUI","NON"))</f>
        <v/>
      </c>
      <c r="I1241" s="82"/>
      <c r="J1241" s="79"/>
      <c r="K1241" s="80"/>
      <c r="L1241" s="80"/>
      <c r="M1241" s="80"/>
      <c r="N1241" s="83" t="str">
        <f aca="false">IF(C1241="","",IF(I1241="",IF(H1241="OUI","À ENROBER",IF(G1241="À SOUDER","NON SOUDÉ","EN ATTENTE RT")),IF(L1241="R","À REPRENDRE",IF(H1241&lt;&gt;"OUI","⚠ ENROBÉ AVANT ACCEPTATION RT","ENROBÉ"))))</f>
        <v/>
      </c>
      <c r="O1241" s="79"/>
    </row>
    <row r="1242" customFormat="false" ht="15" hidden="false" customHeight="false" outlineLevel="0" collapsed="false">
      <c r="A1242" s="78" t="str">
        <f aca="false">IF('CARNET DE SOUDURE'!E1242="","",'CARNET DE SOUDURE'!A1242)</f>
        <v/>
      </c>
      <c r="B1242" s="93" t="str">
        <f aca="false">IF('CARNET DE SOUDURE'!E1242="","",'CARNET DE SOUDURE'!B1242&amp;"")</f>
        <v/>
      </c>
      <c r="C1242" s="83" t="str">
        <f aca="false">IF('CARNET DE SOUDURE'!E1242="","",'CARNET DE SOUDURE'!E1242)</f>
        <v/>
      </c>
      <c r="D1242" s="78" t="str">
        <f aca="false">IF('CARNET DE SOUDURE'!E1242="","",'CARNET DE SOUDURE'!D1242&amp;"")</f>
        <v/>
      </c>
      <c r="E1242" s="96" t="str">
        <f aca="false">IF(OR('CARNET DE SOUDURE'!E1242="",'CARNET DE SOUDURE'!R1242=""),"",'CARNET DE SOUDURE'!R1242)</f>
        <v/>
      </c>
      <c r="F1242" s="81" t="str">
        <f aca="false">IF('CARNET DE SOUDURE'!E1242="","",'CARNET DE SOUDURE'!AL1242)</f>
        <v/>
      </c>
      <c r="G1242" s="81" t="str">
        <f aca="false">IF('CARNET DE SOUDURE'!E1242="","",'CARNET DE SOUDURE'!AM1242)</f>
        <v/>
      </c>
      <c r="H1242" s="81" t="str">
        <f aca="false">IF(C1242="","",IF(G1242="ACCEPTÉ","OUI","NON"))</f>
        <v/>
      </c>
      <c r="I1242" s="82"/>
      <c r="J1242" s="79"/>
      <c r="K1242" s="80"/>
      <c r="L1242" s="80"/>
      <c r="M1242" s="80"/>
      <c r="N1242" s="83" t="str">
        <f aca="false">IF(C1242="","",IF(I1242="",IF(H1242="OUI","À ENROBER",IF(G1242="À SOUDER","NON SOUDÉ","EN ATTENTE RT")),IF(L1242="R","À REPRENDRE",IF(H1242&lt;&gt;"OUI","⚠ ENROBÉ AVANT ACCEPTATION RT","ENROBÉ"))))</f>
        <v/>
      </c>
      <c r="O1242" s="79"/>
    </row>
    <row r="1243" customFormat="false" ht="15" hidden="false" customHeight="false" outlineLevel="0" collapsed="false">
      <c r="A1243" s="78" t="str">
        <f aca="false">IF('CARNET DE SOUDURE'!E1243="","",'CARNET DE SOUDURE'!A1243)</f>
        <v/>
      </c>
      <c r="B1243" s="93" t="str">
        <f aca="false">IF('CARNET DE SOUDURE'!E1243="","",'CARNET DE SOUDURE'!B1243&amp;"")</f>
        <v/>
      </c>
      <c r="C1243" s="83" t="str">
        <f aca="false">IF('CARNET DE SOUDURE'!E1243="","",'CARNET DE SOUDURE'!E1243)</f>
        <v/>
      </c>
      <c r="D1243" s="78" t="str">
        <f aca="false">IF('CARNET DE SOUDURE'!E1243="","",'CARNET DE SOUDURE'!D1243&amp;"")</f>
        <v/>
      </c>
      <c r="E1243" s="96" t="str">
        <f aca="false">IF(OR('CARNET DE SOUDURE'!E1243="",'CARNET DE SOUDURE'!R1243=""),"",'CARNET DE SOUDURE'!R1243)</f>
        <v/>
      </c>
      <c r="F1243" s="81" t="str">
        <f aca="false">IF('CARNET DE SOUDURE'!E1243="","",'CARNET DE SOUDURE'!AL1243)</f>
        <v/>
      </c>
      <c r="G1243" s="81" t="str">
        <f aca="false">IF('CARNET DE SOUDURE'!E1243="","",'CARNET DE SOUDURE'!AM1243)</f>
        <v/>
      </c>
      <c r="H1243" s="81" t="str">
        <f aca="false">IF(C1243="","",IF(G1243="ACCEPTÉ","OUI","NON"))</f>
        <v/>
      </c>
      <c r="I1243" s="82"/>
      <c r="J1243" s="79"/>
      <c r="K1243" s="80"/>
      <c r="L1243" s="80"/>
      <c r="M1243" s="80"/>
      <c r="N1243" s="83" t="str">
        <f aca="false">IF(C1243="","",IF(I1243="",IF(H1243="OUI","À ENROBER",IF(G1243="À SOUDER","NON SOUDÉ","EN ATTENTE RT")),IF(L1243="R","À REPRENDRE",IF(H1243&lt;&gt;"OUI","⚠ ENROBÉ AVANT ACCEPTATION RT","ENROBÉ"))))</f>
        <v/>
      </c>
      <c r="O1243" s="79"/>
    </row>
    <row r="1244" customFormat="false" ht="15" hidden="false" customHeight="false" outlineLevel="0" collapsed="false">
      <c r="A1244" s="78" t="str">
        <f aca="false">IF('CARNET DE SOUDURE'!E1244="","",'CARNET DE SOUDURE'!A1244)</f>
        <v/>
      </c>
      <c r="B1244" s="93" t="str">
        <f aca="false">IF('CARNET DE SOUDURE'!E1244="","",'CARNET DE SOUDURE'!B1244&amp;"")</f>
        <v/>
      </c>
      <c r="C1244" s="83" t="str">
        <f aca="false">IF('CARNET DE SOUDURE'!E1244="","",'CARNET DE SOUDURE'!E1244)</f>
        <v/>
      </c>
      <c r="D1244" s="78" t="str">
        <f aca="false">IF('CARNET DE SOUDURE'!E1244="","",'CARNET DE SOUDURE'!D1244&amp;"")</f>
        <v/>
      </c>
      <c r="E1244" s="96" t="str">
        <f aca="false">IF(OR('CARNET DE SOUDURE'!E1244="",'CARNET DE SOUDURE'!R1244=""),"",'CARNET DE SOUDURE'!R1244)</f>
        <v/>
      </c>
      <c r="F1244" s="81" t="str">
        <f aca="false">IF('CARNET DE SOUDURE'!E1244="","",'CARNET DE SOUDURE'!AL1244)</f>
        <v/>
      </c>
      <c r="G1244" s="81" t="str">
        <f aca="false">IF('CARNET DE SOUDURE'!E1244="","",'CARNET DE SOUDURE'!AM1244)</f>
        <v/>
      </c>
      <c r="H1244" s="81" t="str">
        <f aca="false">IF(C1244="","",IF(G1244="ACCEPTÉ","OUI","NON"))</f>
        <v/>
      </c>
      <c r="I1244" s="82"/>
      <c r="J1244" s="79"/>
      <c r="K1244" s="80"/>
      <c r="L1244" s="80"/>
      <c r="M1244" s="80"/>
      <c r="N1244" s="83" t="str">
        <f aca="false">IF(C1244="","",IF(I1244="",IF(H1244="OUI","À ENROBER",IF(G1244="À SOUDER","NON SOUDÉ","EN ATTENTE RT")),IF(L1244="R","À REPRENDRE",IF(H1244&lt;&gt;"OUI","⚠ ENROBÉ AVANT ACCEPTATION RT","ENROBÉ"))))</f>
        <v/>
      </c>
      <c r="O1244" s="79"/>
    </row>
    <row r="1245" customFormat="false" ht="15" hidden="false" customHeight="false" outlineLevel="0" collapsed="false">
      <c r="A1245" s="78" t="str">
        <f aca="false">IF('CARNET DE SOUDURE'!E1245="","",'CARNET DE SOUDURE'!A1245)</f>
        <v/>
      </c>
      <c r="B1245" s="93" t="str">
        <f aca="false">IF('CARNET DE SOUDURE'!E1245="","",'CARNET DE SOUDURE'!B1245&amp;"")</f>
        <v/>
      </c>
      <c r="C1245" s="83" t="str">
        <f aca="false">IF('CARNET DE SOUDURE'!E1245="","",'CARNET DE SOUDURE'!E1245)</f>
        <v/>
      </c>
      <c r="D1245" s="78" t="str">
        <f aca="false">IF('CARNET DE SOUDURE'!E1245="","",'CARNET DE SOUDURE'!D1245&amp;"")</f>
        <v/>
      </c>
      <c r="E1245" s="96" t="str">
        <f aca="false">IF(OR('CARNET DE SOUDURE'!E1245="",'CARNET DE SOUDURE'!R1245=""),"",'CARNET DE SOUDURE'!R1245)</f>
        <v/>
      </c>
      <c r="F1245" s="81" t="str">
        <f aca="false">IF('CARNET DE SOUDURE'!E1245="","",'CARNET DE SOUDURE'!AL1245)</f>
        <v/>
      </c>
      <c r="G1245" s="81" t="str">
        <f aca="false">IF('CARNET DE SOUDURE'!E1245="","",'CARNET DE SOUDURE'!AM1245)</f>
        <v/>
      </c>
      <c r="H1245" s="81" t="str">
        <f aca="false">IF(C1245="","",IF(G1245="ACCEPTÉ","OUI","NON"))</f>
        <v/>
      </c>
      <c r="I1245" s="82"/>
      <c r="J1245" s="79"/>
      <c r="K1245" s="80"/>
      <c r="L1245" s="80"/>
      <c r="M1245" s="80"/>
      <c r="N1245" s="83" t="str">
        <f aca="false">IF(C1245="","",IF(I1245="",IF(H1245="OUI","À ENROBER",IF(G1245="À SOUDER","NON SOUDÉ","EN ATTENTE RT")),IF(L1245="R","À REPRENDRE",IF(H1245&lt;&gt;"OUI","⚠ ENROBÉ AVANT ACCEPTATION RT","ENROBÉ"))))</f>
        <v/>
      </c>
      <c r="O1245" s="79"/>
    </row>
    <row r="1246" customFormat="false" ht="15" hidden="false" customHeight="false" outlineLevel="0" collapsed="false">
      <c r="A1246" s="78" t="str">
        <f aca="false">IF('CARNET DE SOUDURE'!E1246="","",'CARNET DE SOUDURE'!A1246)</f>
        <v/>
      </c>
      <c r="B1246" s="93" t="str">
        <f aca="false">IF('CARNET DE SOUDURE'!E1246="","",'CARNET DE SOUDURE'!B1246&amp;"")</f>
        <v/>
      </c>
      <c r="C1246" s="83" t="str">
        <f aca="false">IF('CARNET DE SOUDURE'!E1246="","",'CARNET DE SOUDURE'!E1246)</f>
        <v/>
      </c>
      <c r="D1246" s="78" t="str">
        <f aca="false">IF('CARNET DE SOUDURE'!E1246="","",'CARNET DE SOUDURE'!D1246&amp;"")</f>
        <v/>
      </c>
      <c r="E1246" s="96" t="str">
        <f aca="false">IF(OR('CARNET DE SOUDURE'!E1246="",'CARNET DE SOUDURE'!R1246=""),"",'CARNET DE SOUDURE'!R1246)</f>
        <v/>
      </c>
      <c r="F1246" s="81" t="str">
        <f aca="false">IF('CARNET DE SOUDURE'!E1246="","",'CARNET DE SOUDURE'!AL1246)</f>
        <v/>
      </c>
      <c r="G1246" s="81" t="str">
        <f aca="false">IF('CARNET DE SOUDURE'!E1246="","",'CARNET DE SOUDURE'!AM1246)</f>
        <v/>
      </c>
      <c r="H1246" s="81" t="str">
        <f aca="false">IF(C1246="","",IF(G1246="ACCEPTÉ","OUI","NON"))</f>
        <v/>
      </c>
      <c r="I1246" s="82"/>
      <c r="J1246" s="79"/>
      <c r="K1246" s="80"/>
      <c r="L1246" s="80"/>
      <c r="M1246" s="80"/>
      <c r="N1246" s="83" t="str">
        <f aca="false">IF(C1246="","",IF(I1246="",IF(H1246="OUI","À ENROBER",IF(G1246="À SOUDER","NON SOUDÉ","EN ATTENTE RT")),IF(L1246="R","À REPRENDRE",IF(H1246&lt;&gt;"OUI","⚠ ENROBÉ AVANT ACCEPTATION RT","ENROBÉ"))))</f>
        <v/>
      </c>
      <c r="O1246" s="79"/>
    </row>
    <row r="1247" customFormat="false" ht="15" hidden="false" customHeight="false" outlineLevel="0" collapsed="false">
      <c r="A1247" s="78" t="str">
        <f aca="false">IF('CARNET DE SOUDURE'!E1247="","",'CARNET DE SOUDURE'!A1247)</f>
        <v/>
      </c>
      <c r="B1247" s="93" t="str">
        <f aca="false">IF('CARNET DE SOUDURE'!E1247="","",'CARNET DE SOUDURE'!B1247&amp;"")</f>
        <v/>
      </c>
      <c r="C1247" s="83" t="str">
        <f aca="false">IF('CARNET DE SOUDURE'!E1247="","",'CARNET DE SOUDURE'!E1247)</f>
        <v/>
      </c>
      <c r="D1247" s="78" t="str">
        <f aca="false">IF('CARNET DE SOUDURE'!E1247="","",'CARNET DE SOUDURE'!D1247&amp;"")</f>
        <v/>
      </c>
      <c r="E1247" s="96" t="str">
        <f aca="false">IF(OR('CARNET DE SOUDURE'!E1247="",'CARNET DE SOUDURE'!R1247=""),"",'CARNET DE SOUDURE'!R1247)</f>
        <v/>
      </c>
      <c r="F1247" s="81" t="str">
        <f aca="false">IF('CARNET DE SOUDURE'!E1247="","",'CARNET DE SOUDURE'!AL1247)</f>
        <v/>
      </c>
      <c r="G1247" s="81" t="str">
        <f aca="false">IF('CARNET DE SOUDURE'!E1247="","",'CARNET DE SOUDURE'!AM1247)</f>
        <v/>
      </c>
      <c r="H1247" s="81" t="str">
        <f aca="false">IF(C1247="","",IF(G1247="ACCEPTÉ","OUI","NON"))</f>
        <v/>
      </c>
      <c r="I1247" s="82"/>
      <c r="J1247" s="79"/>
      <c r="K1247" s="80"/>
      <c r="L1247" s="80"/>
      <c r="M1247" s="80"/>
      <c r="N1247" s="83" t="str">
        <f aca="false">IF(C1247="","",IF(I1247="",IF(H1247="OUI","À ENROBER",IF(G1247="À SOUDER","NON SOUDÉ","EN ATTENTE RT")),IF(L1247="R","À REPRENDRE",IF(H1247&lt;&gt;"OUI","⚠ ENROBÉ AVANT ACCEPTATION RT","ENROBÉ"))))</f>
        <v/>
      </c>
      <c r="O1247" s="79"/>
    </row>
    <row r="1248" customFormat="false" ht="15" hidden="false" customHeight="false" outlineLevel="0" collapsed="false">
      <c r="A1248" s="78" t="str">
        <f aca="false">IF('CARNET DE SOUDURE'!E1248="","",'CARNET DE SOUDURE'!A1248)</f>
        <v/>
      </c>
      <c r="B1248" s="93" t="str">
        <f aca="false">IF('CARNET DE SOUDURE'!E1248="","",'CARNET DE SOUDURE'!B1248&amp;"")</f>
        <v/>
      </c>
      <c r="C1248" s="83" t="str">
        <f aca="false">IF('CARNET DE SOUDURE'!E1248="","",'CARNET DE SOUDURE'!E1248)</f>
        <v/>
      </c>
      <c r="D1248" s="78" t="str">
        <f aca="false">IF('CARNET DE SOUDURE'!E1248="","",'CARNET DE SOUDURE'!D1248&amp;"")</f>
        <v/>
      </c>
      <c r="E1248" s="96" t="str">
        <f aca="false">IF(OR('CARNET DE SOUDURE'!E1248="",'CARNET DE SOUDURE'!R1248=""),"",'CARNET DE SOUDURE'!R1248)</f>
        <v/>
      </c>
      <c r="F1248" s="81" t="str">
        <f aca="false">IF('CARNET DE SOUDURE'!E1248="","",'CARNET DE SOUDURE'!AL1248)</f>
        <v/>
      </c>
      <c r="G1248" s="81" t="str">
        <f aca="false">IF('CARNET DE SOUDURE'!E1248="","",'CARNET DE SOUDURE'!AM1248)</f>
        <v/>
      </c>
      <c r="H1248" s="81" t="str">
        <f aca="false">IF(C1248="","",IF(G1248="ACCEPTÉ","OUI","NON"))</f>
        <v/>
      </c>
      <c r="I1248" s="82"/>
      <c r="J1248" s="79"/>
      <c r="K1248" s="80"/>
      <c r="L1248" s="80"/>
      <c r="M1248" s="80"/>
      <c r="N1248" s="83" t="str">
        <f aca="false">IF(C1248="","",IF(I1248="",IF(H1248="OUI","À ENROBER",IF(G1248="À SOUDER","NON SOUDÉ","EN ATTENTE RT")),IF(L1248="R","À REPRENDRE",IF(H1248&lt;&gt;"OUI","⚠ ENROBÉ AVANT ACCEPTATION RT","ENROBÉ"))))</f>
        <v/>
      </c>
      <c r="O1248" s="79"/>
    </row>
    <row r="1249" customFormat="false" ht="15" hidden="false" customHeight="false" outlineLevel="0" collapsed="false">
      <c r="A1249" s="78" t="str">
        <f aca="false">IF('CARNET DE SOUDURE'!E1249="","",'CARNET DE SOUDURE'!A1249)</f>
        <v/>
      </c>
      <c r="B1249" s="93" t="str">
        <f aca="false">IF('CARNET DE SOUDURE'!E1249="","",'CARNET DE SOUDURE'!B1249&amp;"")</f>
        <v/>
      </c>
      <c r="C1249" s="83" t="str">
        <f aca="false">IF('CARNET DE SOUDURE'!E1249="","",'CARNET DE SOUDURE'!E1249)</f>
        <v/>
      </c>
      <c r="D1249" s="78" t="str">
        <f aca="false">IF('CARNET DE SOUDURE'!E1249="","",'CARNET DE SOUDURE'!D1249&amp;"")</f>
        <v/>
      </c>
      <c r="E1249" s="96" t="str">
        <f aca="false">IF(OR('CARNET DE SOUDURE'!E1249="",'CARNET DE SOUDURE'!R1249=""),"",'CARNET DE SOUDURE'!R1249)</f>
        <v/>
      </c>
      <c r="F1249" s="81" t="str">
        <f aca="false">IF('CARNET DE SOUDURE'!E1249="","",'CARNET DE SOUDURE'!AL1249)</f>
        <v/>
      </c>
      <c r="G1249" s="81" t="str">
        <f aca="false">IF('CARNET DE SOUDURE'!E1249="","",'CARNET DE SOUDURE'!AM1249)</f>
        <v/>
      </c>
      <c r="H1249" s="81" t="str">
        <f aca="false">IF(C1249="","",IF(G1249="ACCEPTÉ","OUI","NON"))</f>
        <v/>
      </c>
      <c r="I1249" s="82"/>
      <c r="J1249" s="79"/>
      <c r="K1249" s="80"/>
      <c r="L1249" s="80"/>
      <c r="M1249" s="80"/>
      <c r="N1249" s="83" t="str">
        <f aca="false">IF(C1249="","",IF(I1249="",IF(H1249="OUI","À ENROBER",IF(G1249="À SOUDER","NON SOUDÉ","EN ATTENTE RT")),IF(L1249="R","À REPRENDRE",IF(H1249&lt;&gt;"OUI","⚠ ENROBÉ AVANT ACCEPTATION RT","ENROBÉ"))))</f>
        <v/>
      </c>
      <c r="O1249" s="79"/>
    </row>
    <row r="1250" customFormat="false" ht="15" hidden="false" customHeight="false" outlineLevel="0" collapsed="false">
      <c r="A1250" s="78" t="str">
        <f aca="false">IF('CARNET DE SOUDURE'!E1250="","",'CARNET DE SOUDURE'!A1250)</f>
        <v/>
      </c>
      <c r="B1250" s="93" t="str">
        <f aca="false">IF('CARNET DE SOUDURE'!E1250="","",'CARNET DE SOUDURE'!B1250&amp;"")</f>
        <v/>
      </c>
      <c r="C1250" s="83" t="str">
        <f aca="false">IF('CARNET DE SOUDURE'!E1250="","",'CARNET DE SOUDURE'!E1250)</f>
        <v/>
      </c>
      <c r="D1250" s="78" t="str">
        <f aca="false">IF('CARNET DE SOUDURE'!E1250="","",'CARNET DE SOUDURE'!D1250&amp;"")</f>
        <v/>
      </c>
      <c r="E1250" s="96" t="str">
        <f aca="false">IF(OR('CARNET DE SOUDURE'!E1250="",'CARNET DE SOUDURE'!R1250=""),"",'CARNET DE SOUDURE'!R1250)</f>
        <v/>
      </c>
      <c r="F1250" s="81" t="str">
        <f aca="false">IF('CARNET DE SOUDURE'!E1250="","",'CARNET DE SOUDURE'!AL1250)</f>
        <v/>
      </c>
      <c r="G1250" s="81" t="str">
        <f aca="false">IF('CARNET DE SOUDURE'!E1250="","",'CARNET DE SOUDURE'!AM1250)</f>
        <v/>
      </c>
      <c r="H1250" s="81" t="str">
        <f aca="false">IF(C1250="","",IF(G1250="ACCEPTÉ","OUI","NON"))</f>
        <v/>
      </c>
      <c r="I1250" s="82"/>
      <c r="J1250" s="79"/>
      <c r="K1250" s="80"/>
      <c r="L1250" s="80"/>
      <c r="M1250" s="80"/>
      <c r="N1250" s="83" t="str">
        <f aca="false">IF(C1250="","",IF(I1250="",IF(H1250="OUI","À ENROBER",IF(G1250="À SOUDER","NON SOUDÉ","EN ATTENTE RT")),IF(L1250="R","À REPRENDRE",IF(H1250&lt;&gt;"OUI","⚠ ENROBÉ AVANT ACCEPTATION RT","ENROBÉ"))))</f>
        <v/>
      </c>
      <c r="O1250" s="79"/>
    </row>
    <row r="1251" customFormat="false" ht="15" hidden="false" customHeight="false" outlineLevel="0" collapsed="false">
      <c r="A1251" s="78" t="str">
        <f aca="false">IF('CARNET DE SOUDURE'!E1251="","",'CARNET DE SOUDURE'!A1251)</f>
        <v/>
      </c>
      <c r="B1251" s="93" t="str">
        <f aca="false">IF('CARNET DE SOUDURE'!E1251="","",'CARNET DE SOUDURE'!B1251&amp;"")</f>
        <v/>
      </c>
      <c r="C1251" s="83" t="str">
        <f aca="false">IF('CARNET DE SOUDURE'!E1251="","",'CARNET DE SOUDURE'!E1251)</f>
        <v/>
      </c>
      <c r="D1251" s="78" t="str">
        <f aca="false">IF('CARNET DE SOUDURE'!E1251="","",'CARNET DE SOUDURE'!D1251&amp;"")</f>
        <v/>
      </c>
      <c r="E1251" s="96" t="str">
        <f aca="false">IF(OR('CARNET DE SOUDURE'!E1251="",'CARNET DE SOUDURE'!R1251=""),"",'CARNET DE SOUDURE'!R1251)</f>
        <v/>
      </c>
      <c r="F1251" s="81" t="str">
        <f aca="false">IF('CARNET DE SOUDURE'!E1251="","",'CARNET DE SOUDURE'!AL1251)</f>
        <v/>
      </c>
      <c r="G1251" s="81" t="str">
        <f aca="false">IF('CARNET DE SOUDURE'!E1251="","",'CARNET DE SOUDURE'!AM1251)</f>
        <v/>
      </c>
      <c r="H1251" s="81" t="str">
        <f aca="false">IF(C1251="","",IF(G1251="ACCEPTÉ","OUI","NON"))</f>
        <v/>
      </c>
      <c r="I1251" s="82"/>
      <c r="J1251" s="79"/>
      <c r="K1251" s="80"/>
      <c r="L1251" s="80"/>
      <c r="M1251" s="80"/>
      <c r="N1251" s="83" t="str">
        <f aca="false">IF(C1251="","",IF(I1251="",IF(H1251="OUI","À ENROBER",IF(G1251="À SOUDER","NON SOUDÉ","EN ATTENTE RT")),IF(L1251="R","À REPRENDRE",IF(H1251&lt;&gt;"OUI","⚠ ENROBÉ AVANT ACCEPTATION RT","ENROBÉ"))))</f>
        <v/>
      </c>
      <c r="O1251" s="79"/>
    </row>
    <row r="1252" customFormat="false" ht="15" hidden="false" customHeight="false" outlineLevel="0" collapsed="false">
      <c r="A1252" s="78" t="str">
        <f aca="false">IF('CARNET DE SOUDURE'!E1252="","",'CARNET DE SOUDURE'!A1252)</f>
        <v/>
      </c>
      <c r="B1252" s="93" t="str">
        <f aca="false">IF('CARNET DE SOUDURE'!E1252="","",'CARNET DE SOUDURE'!B1252&amp;"")</f>
        <v/>
      </c>
      <c r="C1252" s="83" t="str">
        <f aca="false">IF('CARNET DE SOUDURE'!E1252="","",'CARNET DE SOUDURE'!E1252)</f>
        <v/>
      </c>
      <c r="D1252" s="78" t="str">
        <f aca="false">IF('CARNET DE SOUDURE'!E1252="","",'CARNET DE SOUDURE'!D1252&amp;"")</f>
        <v/>
      </c>
      <c r="E1252" s="96" t="str">
        <f aca="false">IF(OR('CARNET DE SOUDURE'!E1252="",'CARNET DE SOUDURE'!R1252=""),"",'CARNET DE SOUDURE'!R1252)</f>
        <v/>
      </c>
      <c r="F1252" s="81" t="str">
        <f aca="false">IF('CARNET DE SOUDURE'!E1252="","",'CARNET DE SOUDURE'!AL1252)</f>
        <v/>
      </c>
      <c r="G1252" s="81" t="str">
        <f aca="false">IF('CARNET DE SOUDURE'!E1252="","",'CARNET DE SOUDURE'!AM1252)</f>
        <v/>
      </c>
      <c r="H1252" s="81" t="str">
        <f aca="false">IF(C1252="","",IF(G1252="ACCEPTÉ","OUI","NON"))</f>
        <v/>
      </c>
      <c r="I1252" s="82"/>
      <c r="J1252" s="79"/>
      <c r="K1252" s="80"/>
      <c r="L1252" s="80"/>
      <c r="M1252" s="80"/>
      <c r="N1252" s="83" t="str">
        <f aca="false">IF(C1252="","",IF(I1252="",IF(H1252="OUI","À ENROBER",IF(G1252="À SOUDER","NON SOUDÉ","EN ATTENTE RT")),IF(L1252="R","À REPRENDRE",IF(H1252&lt;&gt;"OUI","⚠ ENROBÉ AVANT ACCEPTATION RT","ENROBÉ"))))</f>
        <v/>
      </c>
      <c r="O1252" s="79"/>
    </row>
    <row r="1253" customFormat="false" ht="15" hidden="false" customHeight="false" outlineLevel="0" collapsed="false">
      <c r="A1253" s="78" t="str">
        <f aca="false">IF('CARNET DE SOUDURE'!E1253="","",'CARNET DE SOUDURE'!A1253)</f>
        <v/>
      </c>
      <c r="B1253" s="93" t="str">
        <f aca="false">IF('CARNET DE SOUDURE'!E1253="","",'CARNET DE SOUDURE'!B1253&amp;"")</f>
        <v/>
      </c>
      <c r="C1253" s="83" t="str">
        <f aca="false">IF('CARNET DE SOUDURE'!E1253="","",'CARNET DE SOUDURE'!E1253)</f>
        <v/>
      </c>
      <c r="D1253" s="78" t="str">
        <f aca="false">IF('CARNET DE SOUDURE'!E1253="","",'CARNET DE SOUDURE'!D1253&amp;"")</f>
        <v/>
      </c>
      <c r="E1253" s="96" t="str">
        <f aca="false">IF(OR('CARNET DE SOUDURE'!E1253="",'CARNET DE SOUDURE'!R1253=""),"",'CARNET DE SOUDURE'!R1253)</f>
        <v/>
      </c>
      <c r="F1253" s="81" t="str">
        <f aca="false">IF('CARNET DE SOUDURE'!E1253="","",'CARNET DE SOUDURE'!AL1253)</f>
        <v/>
      </c>
      <c r="G1253" s="81" t="str">
        <f aca="false">IF('CARNET DE SOUDURE'!E1253="","",'CARNET DE SOUDURE'!AM1253)</f>
        <v/>
      </c>
      <c r="H1253" s="81" t="str">
        <f aca="false">IF(C1253="","",IF(G1253="ACCEPTÉ","OUI","NON"))</f>
        <v/>
      </c>
      <c r="I1253" s="82"/>
      <c r="J1253" s="79"/>
      <c r="K1253" s="80"/>
      <c r="L1253" s="80"/>
      <c r="M1253" s="80"/>
      <c r="N1253" s="83" t="str">
        <f aca="false">IF(C1253="","",IF(I1253="",IF(H1253="OUI","À ENROBER",IF(G1253="À SOUDER","NON SOUDÉ","EN ATTENTE RT")),IF(L1253="R","À REPRENDRE",IF(H1253&lt;&gt;"OUI","⚠ ENROBÉ AVANT ACCEPTATION RT","ENROBÉ"))))</f>
        <v/>
      </c>
      <c r="O1253" s="79"/>
    </row>
    <row r="1254" customFormat="false" ht="15" hidden="false" customHeight="false" outlineLevel="0" collapsed="false">
      <c r="A1254" s="78" t="str">
        <f aca="false">IF('CARNET DE SOUDURE'!E1254="","",'CARNET DE SOUDURE'!A1254)</f>
        <v/>
      </c>
      <c r="B1254" s="93" t="str">
        <f aca="false">IF('CARNET DE SOUDURE'!E1254="","",'CARNET DE SOUDURE'!B1254&amp;"")</f>
        <v/>
      </c>
      <c r="C1254" s="83" t="str">
        <f aca="false">IF('CARNET DE SOUDURE'!E1254="","",'CARNET DE SOUDURE'!E1254)</f>
        <v/>
      </c>
      <c r="D1254" s="78" t="str">
        <f aca="false">IF('CARNET DE SOUDURE'!E1254="","",'CARNET DE SOUDURE'!D1254&amp;"")</f>
        <v/>
      </c>
      <c r="E1254" s="96" t="str">
        <f aca="false">IF(OR('CARNET DE SOUDURE'!E1254="",'CARNET DE SOUDURE'!R1254=""),"",'CARNET DE SOUDURE'!R1254)</f>
        <v/>
      </c>
      <c r="F1254" s="81" t="str">
        <f aca="false">IF('CARNET DE SOUDURE'!E1254="","",'CARNET DE SOUDURE'!AL1254)</f>
        <v/>
      </c>
      <c r="G1254" s="81" t="str">
        <f aca="false">IF('CARNET DE SOUDURE'!E1254="","",'CARNET DE SOUDURE'!AM1254)</f>
        <v/>
      </c>
      <c r="H1254" s="81" t="str">
        <f aca="false">IF(C1254="","",IF(G1254="ACCEPTÉ","OUI","NON"))</f>
        <v/>
      </c>
      <c r="I1254" s="82"/>
      <c r="J1254" s="79"/>
      <c r="K1254" s="80"/>
      <c r="L1254" s="80"/>
      <c r="M1254" s="80"/>
      <c r="N1254" s="83" t="str">
        <f aca="false">IF(C1254="","",IF(I1254="",IF(H1254="OUI","À ENROBER",IF(G1254="À SOUDER","NON SOUDÉ","EN ATTENTE RT")),IF(L1254="R","À REPRENDRE",IF(H1254&lt;&gt;"OUI","⚠ ENROBÉ AVANT ACCEPTATION RT","ENROBÉ"))))</f>
        <v/>
      </c>
      <c r="O1254" s="79"/>
    </row>
    <row r="1255" customFormat="false" ht="15" hidden="false" customHeight="false" outlineLevel="0" collapsed="false">
      <c r="A1255" s="78" t="str">
        <f aca="false">IF('CARNET DE SOUDURE'!E1255="","",'CARNET DE SOUDURE'!A1255)</f>
        <v/>
      </c>
      <c r="B1255" s="93" t="str">
        <f aca="false">IF('CARNET DE SOUDURE'!E1255="","",'CARNET DE SOUDURE'!B1255&amp;"")</f>
        <v/>
      </c>
      <c r="C1255" s="83" t="str">
        <f aca="false">IF('CARNET DE SOUDURE'!E1255="","",'CARNET DE SOUDURE'!E1255)</f>
        <v/>
      </c>
      <c r="D1255" s="78" t="str">
        <f aca="false">IF('CARNET DE SOUDURE'!E1255="","",'CARNET DE SOUDURE'!D1255&amp;"")</f>
        <v/>
      </c>
      <c r="E1255" s="96" t="str">
        <f aca="false">IF(OR('CARNET DE SOUDURE'!E1255="",'CARNET DE SOUDURE'!R1255=""),"",'CARNET DE SOUDURE'!R1255)</f>
        <v/>
      </c>
      <c r="F1255" s="81" t="str">
        <f aca="false">IF('CARNET DE SOUDURE'!E1255="","",'CARNET DE SOUDURE'!AL1255)</f>
        <v/>
      </c>
      <c r="G1255" s="81" t="str">
        <f aca="false">IF('CARNET DE SOUDURE'!E1255="","",'CARNET DE SOUDURE'!AM1255)</f>
        <v/>
      </c>
      <c r="H1255" s="81" t="str">
        <f aca="false">IF(C1255="","",IF(G1255="ACCEPTÉ","OUI","NON"))</f>
        <v/>
      </c>
      <c r="I1255" s="82"/>
      <c r="J1255" s="79"/>
      <c r="K1255" s="80"/>
      <c r="L1255" s="80"/>
      <c r="M1255" s="80"/>
      <c r="N1255" s="83" t="str">
        <f aca="false">IF(C1255="","",IF(I1255="",IF(H1255="OUI","À ENROBER",IF(G1255="À SOUDER","NON SOUDÉ","EN ATTENTE RT")),IF(L1255="R","À REPRENDRE",IF(H1255&lt;&gt;"OUI","⚠ ENROBÉ AVANT ACCEPTATION RT","ENROBÉ"))))</f>
        <v/>
      </c>
      <c r="O1255" s="79"/>
    </row>
    <row r="1256" customFormat="false" ht="15" hidden="false" customHeight="false" outlineLevel="0" collapsed="false">
      <c r="A1256" s="78" t="str">
        <f aca="false">IF('CARNET DE SOUDURE'!E1256="","",'CARNET DE SOUDURE'!A1256)</f>
        <v/>
      </c>
      <c r="B1256" s="93" t="str">
        <f aca="false">IF('CARNET DE SOUDURE'!E1256="","",'CARNET DE SOUDURE'!B1256&amp;"")</f>
        <v/>
      </c>
      <c r="C1256" s="83" t="str">
        <f aca="false">IF('CARNET DE SOUDURE'!E1256="","",'CARNET DE SOUDURE'!E1256)</f>
        <v/>
      </c>
      <c r="D1256" s="78" t="str">
        <f aca="false">IF('CARNET DE SOUDURE'!E1256="","",'CARNET DE SOUDURE'!D1256&amp;"")</f>
        <v/>
      </c>
      <c r="E1256" s="96" t="str">
        <f aca="false">IF(OR('CARNET DE SOUDURE'!E1256="",'CARNET DE SOUDURE'!R1256=""),"",'CARNET DE SOUDURE'!R1256)</f>
        <v/>
      </c>
      <c r="F1256" s="81" t="str">
        <f aca="false">IF('CARNET DE SOUDURE'!E1256="","",'CARNET DE SOUDURE'!AL1256)</f>
        <v/>
      </c>
      <c r="G1256" s="81" t="str">
        <f aca="false">IF('CARNET DE SOUDURE'!E1256="","",'CARNET DE SOUDURE'!AM1256)</f>
        <v/>
      </c>
      <c r="H1256" s="81" t="str">
        <f aca="false">IF(C1256="","",IF(G1256="ACCEPTÉ","OUI","NON"))</f>
        <v/>
      </c>
      <c r="I1256" s="82"/>
      <c r="J1256" s="79"/>
      <c r="K1256" s="80"/>
      <c r="L1256" s="80"/>
      <c r="M1256" s="80"/>
      <c r="N1256" s="83" t="str">
        <f aca="false">IF(C1256="","",IF(I1256="",IF(H1256="OUI","À ENROBER",IF(G1256="À SOUDER","NON SOUDÉ","EN ATTENTE RT")),IF(L1256="R","À REPRENDRE",IF(H1256&lt;&gt;"OUI","⚠ ENROBÉ AVANT ACCEPTATION RT","ENROBÉ"))))</f>
        <v/>
      </c>
      <c r="O1256" s="79"/>
    </row>
    <row r="1257" customFormat="false" ht="15" hidden="false" customHeight="false" outlineLevel="0" collapsed="false">
      <c r="A1257" s="78" t="str">
        <f aca="false">IF('CARNET DE SOUDURE'!E1257="","",'CARNET DE SOUDURE'!A1257)</f>
        <v/>
      </c>
      <c r="B1257" s="93" t="str">
        <f aca="false">IF('CARNET DE SOUDURE'!E1257="","",'CARNET DE SOUDURE'!B1257&amp;"")</f>
        <v/>
      </c>
      <c r="C1257" s="83" t="str">
        <f aca="false">IF('CARNET DE SOUDURE'!E1257="","",'CARNET DE SOUDURE'!E1257)</f>
        <v/>
      </c>
      <c r="D1257" s="78" t="str">
        <f aca="false">IF('CARNET DE SOUDURE'!E1257="","",'CARNET DE SOUDURE'!D1257&amp;"")</f>
        <v/>
      </c>
      <c r="E1257" s="96" t="str">
        <f aca="false">IF(OR('CARNET DE SOUDURE'!E1257="",'CARNET DE SOUDURE'!R1257=""),"",'CARNET DE SOUDURE'!R1257)</f>
        <v/>
      </c>
      <c r="F1257" s="81" t="str">
        <f aca="false">IF('CARNET DE SOUDURE'!E1257="","",'CARNET DE SOUDURE'!AL1257)</f>
        <v/>
      </c>
      <c r="G1257" s="81" t="str">
        <f aca="false">IF('CARNET DE SOUDURE'!E1257="","",'CARNET DE SOUDURE'!AM1257)</f>
        <v/>
      </c>
      <c r="H1257" s="81" t="str">
        <f aca="false">IF(C1257="","",IF(G1257="ACCEPTÉ","OUI","NON"))</f>
        <v/>
      </c>
      <c r="I1257" s="82"/>
      <c r="J1257" s="79"/>
      <c r="K1257" s="80"/>
      <c r="L1257" s="80"/>
      <c r="M1257" s="80"/>
      <c r="N1257" s="83" t="str">
        <f aca="false">IF(C1257="","",IF(I1257="",IF(H1257="OUI","À ENROBER",IF(G1257="À SOUDER","NON SOUDÉ","EN ATTENTE RT")),IF(L1257="R","À REPRENDRE",IF(H1257&lt;&gt;"OUI","⚠ ENROBÉ AVANT ACCEPTATION RT","ENROBÉ"))))</f>
        <v/>
      </c>
      <c r="O1257" s="79"/>
    </row>
    <row r="1258" customFormat="false" ht="15" hidden="false" customHeight="false" outlineLevel="0" collapsed="false">
      <c r="A1258" s="78" t="str">
        <f aca="false">IF('CARNET DE SOUDURE'!E1258="","",'CARNET DE SOUDURE'!A1258)</f>
        <v/>
      </c>
      <c r="B1258" s="93" t="str">
        <f aca="false">IF('CARNET DE SOUDURE'!E1258="","",'CARNET DE SOUDURE'!B1258&amp;"")</f>
        <v/>
      </c>
      <c r="C1258" s="83" t="str">
        <f aca="false">IF('CARNET DE SOUDURE'!E1258="","",'CARNET DE SOUDURE'!E1258)</f>
        <v/>
      </c>
      <c r="D1258" s="78" t="str">
        <f aca="false">IF('CARNET DE SOUDURE'!E1258="","",'CARNET DE SOUDURE'!D1258&amp;"")</f>
        <v/>
      </c>
      <c r="E1258" s="96" t="str">
        <f aca="false">IF(OR('CARNET DE SOUDURE'!E1258="",'CARNET DE SOUDURE'!R1258=""),"",'CARNET DE SOUDURE'!R1258)</f>
        <v/>
      </c>
      <c r="F1258" s="81" t="str">
        <f aca="false">IF('CARNET DE SOUDURE'!E1258="","",'CARNET DE SOUDURE'!AL1258)</f>
        <v/>
      </c>
      <c r="G1258" s="81" t="str">
        <f aca="false">IF('CARNET DE SOUDURE'!E1258="","",'CARNET DE SOUDURE'!AM1258)</f>
        <v/>
      </c>
      <c r="H1258" s="81" t="str">
        <f aca="false">IF(C1258="","",IF(G1258="ACCEPTÉ","OUI","NON"))</f>
        <v/>
      </c>
      <c r="I1258" s="82"/>
      <c r="J1258" s="79"/>
      <c r="K1258" s="80"/>
      <c r="L1258" s="80"/>
      <c r="M1258" s="80"/>
      <c r="N1258" s="83" t="str">
        <f aca="false">IF(C1258="","",IF(I1258="",IF(H1258="OUI","À ENROBER",IF(G1258="À SOUDER","NON SOUDÉ","EN ATTENTE RT")),IF(L1258="R","À REPRENDRE",IF(H1258&lt;&gt;"OUI","⚠ ENROBÉ AVANT ACCEPTATION RT","ENROBÉ"))))</f>
        <v/>
      </c>
      <c r="O1258" s="79"/>
    </row>
    <row r="1259" customFormat="false" ht="15" hidden="false" customHeight="false" outlineLevel="0" collapsed="false">
      <c r="A1259" s="78" t="str">
        <f aca="false">IF('CARNET DE SOUDURE'!E1259="","",'CARNET DE SOUDURE'!A1259)</f>
        <v/>
      </c>
      <c r="B1259" s="93" t="str">
        <f aca="false">IF('CARNET DE SOUDURE'!E1259="","",'CARNET DE SOUDURE'!B1259&amp;"")</f>
        <v/>
      </c>
      <c r="C1259" s="83" t="str">
        <f aca="false">IF('CARNET DE SOUDURE'!E1259="","",'CARNET DE SOUDURE'!E1259)</f>
        <v/>
      </c>
      <c r="D1259" s="78" t="str">
        <f aca="false">IF('CARNET DE SOUDURE'!E1259="","",'CARNET DE SOUDURE'!D1259&amp;"")</f>
        <v/>
      </c>
      <c r="E1259" s="96" t="str">
        <f aca="false">IF(OR('CARNET DE SOUDURE'!E1259="",'CARNET DE SOUDURE'!R1259=""),"",'CARNET DE SOUDURE'!R1259)</f>
        <v/>
      </c>
      <c r="F1259" s="81" t="str">
        <f aca="false">IF('CARNET DE SOUDURE'!E1259="","",'CARNET DE SOUDURE'!AL1259)</f>
        <v/>
      </c>
      <c r="G1259" s="81" t="str">
        <f aca="false">IF('CARNET DE SOUDURE'!E1259="","",'CARNET DE SOUDURE'!AM1259)</f>
        <v/>
      </c>
      <c r="H1259" s="81" t="str">
        <f aca="false">IF(C1259="","",IF(G1259="ACCEPTÉ","OUI","NON"))</f>
        <v/>
      </c>
      <c r="I1259" s="82"/>
      <c r="J1259" s="79"/>
      <c r="K1259" s="80"/>
      <c r="L1259" s="80"/>
      <c r="M1259" s="80"/>
      <c r="N1259" s="83" t="str">
        <f aca="false">IF(C1259="","",IF(I1259="",IF(H1259="OUI","À ENROBER",IF(G1259="À SOUDER","NON SOUDÉ","EN ATTENTE RT")),IF(L1259="R","À REPRENDRE",IF(H1259&lt;&gt;"OUI","⚠ ENROBÉ AVANT ACCEPTATION RT","ENROBÉ"))))</f>
        <v/>
      </c>
      <c r="O1259" s="79"/>
    </row>
    <row r="1260" customFormat="false" ht="15" hidden="false" customHeight="false" outlineLevel="0" collapsed="false">
      <c r="A1260" s="78" t="str">
        <f aca="false">IF('CARNET DE SOUDURE'!E1260="","",'CARNET DE SOUDURE'!A1260)</f>
        <v/>
      </c>
      <c r="B1260" s="93" t="str">
        <f aca="false">IF('CARNET DE SOUDURE'!E1260="","",'CARNET DE SOUDURE'!B1260&amp;"")</f>
        <v/>
      </c>
      <c r="C1260" s="83" t="str">
        <f aca="false">IF('CARNET DE SOUDURE'!E1260="","",'CARNET DE SOUDURE'!E1260)</f>
        <v/>
      </c>
      <c r="D1260" s="78" t="str">
        <f aca="false">IF('CARNET DE SOUDURE'!E1260="","",'CARNET DE SOUDURE'!D1260&amp;"")</f>
        <v/>
      </c>
      <c r="E1260" s="96" t="str">
        <f aca="false">IF(OR('CARNET DE SOUDURE'!E1260="",'CARNET DE SOUDURE'!R1260=""),"",'CARNET DE SOUDURE'!R1260)</f>
        <v/>
      </c>
      <c r="F1260" s="81" t="str">
        <f aca="false">IF('CARNET DE SOUDURE'!E1260="","",'CARNET DE SOUDURE'!AL1260)</f>
        <v/>
      </c>
      <c r="G1260" s="81" t="str">
        <f aca="false">IF('CARNET DE SOUDURE'!E1260="","",'CARNET DE SOUDURE'!AM1260)</f>
        <v/>
      </c>
      <c r="H1260" s="81" t="str">
        <f aca="false">IF(C1260="","",IF(G1260="ACCEPTÉ","OUI","NON"))</f>
        <v/>
      </c>
      <c r="I1260" s="82"/>
      <c r="J1260" s="79"/>
      <c r="K1260" s="80"/>
      <c r="L1260" s="80"/>
      <c r="M1260" s="80"/>
      <c r="N1260" s="83" t="str">
        <f aca="false">IF(C1260="","",IF(I1260="",IF(H1260="OUI","À ENROBER",IF(G1260="À SOUDER","NON SOUDÉ","EN ATTENTE RT")),IF(L1260="R","À REPRENDRE",IF(H1260&lt;&gt;"OUI","⚠ ENROBÉ AVANT ACCEPTATION RT","ENROBÉ"))))</f>
        <v/>
      </c>
      <c r="O1260" s="79"/>
    </row>
    <row r="1261" customFormat="false" ht="15" hidden="false" customHeight="false" outlineLevel="0" collapsed="false">
      <c r="A1261" s="78" t="str">
        <f aca="false">IF('CARNET DE SOUDURE'!E1261="","",'CARNET DE SOUDURE'!A1261)</f>
        <v/>
      </c>
      <c r="B1261" s="93" t="str">
        <f aca="false">IF('CARNET DE SOUDURE'!E1261="","",'CARNET DE SOUDURE'!B1261&amp;"")</f>
        <v/>
      </c>
      <c r="C1261" s="83" t="str">
        <f aca="false">IF('CARNET DE SOUDURE'!E1261="","",'CARNET DE SOUDURE'!E1261)</f>
        <v/>
      </c>
      <c r="D1261" s="78" t="str">
        <f aca="false">IF('CARNET DE SOUDURE'!E1261="","",'CARNET DE SOUDURE'!D1261&amp;"")</f>
        <v/>
      </c>
      <c r="E1261" s="96" t="str">
        <f aca="false">IF(OR('CARNET DE SOUDURE'!E1261="",'CARNET DE SOUDURE'!R1261=""),"",'CARNET DE SOUDURE'!R1261)</f>
        <v/>
      </c>
      <c r="F1261" s="81" t="str">
        <f aca="false">IF('CARNET DE SOUDURE'!E1261="","",'CARNET DE SOUDURE'!AL1261)</f>
        <v/>
      </c>
      <c r="G1261" s="81" t="str">
        <f aca="false">IF('CARNET DE SOUDURE'!E1261="","",'CARNET DE SOUDURE'!AM1261)</f>
        <v/>
      </c>
      <c r="H1261" s="81" t="str">
        <f aca="false">IF(C1261="","",IF(G1261="ACCEPTÉ","OUI","NON"))</f>
        <v/>
      </c>
      <c r="I1261" s="82"/>
      <c r="J1261" s="79"/>
      <c r="K1261" s="80"/>
      <c r="L1261" s="80"/>
      <c r="M1261" s="80"/>
      <c r="N1261" s="83" t="str">
        <f aca="false">IF(C1261="","",IF(I1261="",IF(H1261="OUI","À ENROBER",IF(G1261="À SOUDER","NON SOUDÉ","EN ATTENTE RT")),IF(L1261="R","À REPRENDRE",IF(H1261&lt;&gt;"OUI","⚠ ENROBÉ AVANT ACCEPTATION RT","ENROBÉ"))))</f>
        <v/>
      </c>
      <c r="O1261" s="79"/>
    </row>
    <row r="1262" customFormat="false" ht="15" hidden="false" customHeight="false" outlineLevel="0" collapsed="false">
      <c r="A1262" s="78" t="str">
        <f aca="false">IF('CARNET DE SOUDURE'!E1262="","",'CARNET DE SOUDURE'!A1262)</f>
        <v/>
      </c>
      <c r="B1262" s="93" t="str">
        <f aca="false">IF('CARNET DE SOUDURE'!E1262="","",'CARNET DE SOUDURE'!B1262&amp;"")</f>
        <v/>
      </c>
      <c r="C1262" s="83" t="str">
        <f aca="false">IF('CARNET DE SOUDURE'!E1262="","",'CARNET DE SOUDURE'!E1262)</f>
        <v/>
      </c>
      <c r="D1262" s="78" t="str">
        <f aca="false">IF('CARNET DE SOUDURE'!E1262="","",'CARNET DE SOUDURE'!D1262&amp;"")</f>
        <v/>
      </c>
      <c r="E1262" s="96" t="str">
        <f aca="false">IF(OR('CARNET DE SOUDURE'!E1262="",'CARNET DE SOUDURE'!R1262=""),"",'CARNET DE SOUDURE'!R1262)</f>
        <v/>
      </c>
      <c r="F1262" s="81" t="str">
        <f aca="false">IF('CARNET DE SOUDURE'!E1262="","",'CARNET DE SOUDURE'!AL1262)</f>
        <v/>
      </c>
      <c r="G1262" s="81" t="str">
        <f aca="false">IF('CARNET DE SOUDURE'!E1262="","",'CARNET DE SOUDURE'!AM1262)</f>
        <v/>
      </c>
      <c r="H1262" s="81" t="str">
        <f aca="false">IF(C1262="","",IF(G1262="ACCEPTÉ","OUI","NON"))</f>
        <v/>
      </c>
      <c r="I1262" s="82"/>
      <c r="J1262" s="79"/>
      <c r="K1262" s="80"/>
      <c r="L1262" s="80"/>
      <c r="M1262" s="80"/>
      <c r="N1262" s="83" t="str">
        <f aca="false">IF(C1262="","",IF(I1262="",IF(H1262="OUI","À ENROBER",IF(G1262="À SOUDER","NON SOUDÉ","EN ATTENTE RT")),IF(L1262="R","À REPRENDRE",IF(H1262&lt;&gt;"OUI","⚠ ENROBÉ AVANT ACCEPTATION RT","ENROBÉ"))))</f>
        <v/>
      </c>
      <c r="O1262" s="79"/>
    </row>
    <row r="1263" customFormat="false" ht="15" hidden="false" customHeight="false" outlineLevel="0" collapsed="false">
      <c r="A1263" s="78" t="str">
        <f aca="false">IF('CARNET DE SOUDURE'!E1263="","",'CARNET DE SOUDURE'!A1263)</f>
        <v/>
      </c>
      <c r="B1263" s="93" t="str">
        <f aca="false">IF('CARNET DE SOUDURE'!E1263="","",'CARNET DE SOUDURE'!B1263&amp;"")</f>
        <v/>
      </c>
      <c r="C1263" s="83" t="str">
        <f aca="false">IF('CARNET DE SOUDURE'!E1263="","",'CARNET DE SOUDURE'!E1263)</f>
        <v/>
      </c>
      <c r="D1263" s="78" t="str">
        <f aca="false">IF('CARNET DE SOUDURE'!E1263="","",'CARNET DE SOUDURE'!D1263&amp;"")</f>
        <v/>
      </c>
      <c r="E1263" s="96" t="str">
        <f aca="false">IF(OR('CARNET DE SOUDURE'!E1263="",'CARNET DE SOUDURE'!R1263=""),"",'CARNET DE SOUDURE'!R1263)</f>
        <v/>
      </c>
      <c r="F1263" s="81" t="str">
        <f aca="false">IF('CARNET DE SOUDURE'!E1263="","",'CARNET DE SOUDURE'!AL1263)</f>
        <v/>
      </c>
      <c r="G1263" s="81" t="str">
        <f aca="false">IF('CARNET DE SOUDURE'!E1263="","",'CARNET DE SOUDURE'!AM1263)</f>
        <v/>
      </c>
      <c r="H1263" s="81" t="str">
        <f aca="false">IF(C1263="","",IF(G1263="ACCEPTÉ","OUI","NON"))</f>
        <v/>
      </c>
      <c r="I1263" s="82"/>
      <c r="J1263" s="79"/>
      <c r="K1263" s="80"/>
      <c r="L1263" s="80"/>
      <c r="M1263" s="80"/>
      <c r="N1263" s="83" t="str">
        <f aca="false">IF(C1263="","",IF(I1263="",IF(H1263="OUI","À ENROBER",IF(G1263="À SOUDER","NON SOUDÉ","EN ATTENTE RT")),IF(L1263="R","À REPRENDRE",IF(H1263&lt;&gt;"OUI","⚠ ENROBÉ AVANT ACCEPTATION RT","ENROBÉ"))))</f>
        <v/>
      </c>
      <c r="O1263" s="79"/>
    </row>
    <row r="1264" customFormat="false" ht="15" hidden="false" customHeight="false" outlineLevel="0" collapsed="false">
      <c r="A1264" s="78" t="str">
        <f aca="false">IF('CARNET DE SOUDURE'!E1264="","",'CARNET DE SOUDURE'!A1264)</f>
        <v/>
      </c>
      <c r="B1264" s="93" t="str">
        <f aca="false">IF('CARNET DE SOUDURE'!E1264="","",'CARNET DE SOUDURE'!B1264&amp;"")</f>
        <v/>
      </c>
      <c r="C1264" s="83" t="str">
        <f aca="false">IF('CARNET DE SOUDURE'!E1264="","",'CARNET DE SOUDURE'!E1264)</f>
        <v/>
      </c>
      <c r="D1264" s="78" t="str">
        <f aca="false">IF('CARNET DE SOUDURE'!E1264="","",'CARNET DE SOUDURE'!D1264&amp;"")</f>
        <v/>
      </c>
      <c r="E1264" s="96" t="str">
        <f aca="false">IF(OR('CARNET DE SOUDURE'!E1264="",'CARNET DE SOUDURE'!R1264=""),"",'CARNET DE SOUDURE'!R1264)</f>
        <v/>
      </c>
      <c r="F1264" s="81" t="str">
        <f aca="false">IF('CARNET DE SOUDURE'!E1264="","",'CARNET DE SOUDURE'!AL1264)</f>
        <v/>
      </c>
      <c r="G1264" s="81" t="str">
        <f aca="false">IF('CARNET DE SOUDURE'!E1264="","",'CARNET DE SOUDURE'!AM1264)</f>
        <v/>
      </c>
      <c r="H1264" s="81" t="str">
        <f aca="false">IF(C1264="","",IF(G1264="ACCEPTÉ","OUI","NON"))</f>
        <v/>
      </c>
      <c r="I1264" s="82"/>
      <c r="J1264" s="79"/>
      <c r="K1264" s="80"/>
      <c r="L1264" s="80"/>
      <c r="M1264" s="80"/>
      <c r="N1264" s="83" t="str">
        <f aca="false">IF(C1264="","",IF(I1264="",IF(H1264="OUI","À ENROBER",IF(G1264="À SOUDER","NON SOUDÉ","EN ATTENTE RT")),IF(L1264="R","À REPRENDRE",IF(H1264&lt;&gt;"OUI","⚠ ENROBÉ AVANT ACCEPTATION RT","ENROBÉ"))))</f>
        <v/>
      </c>
      <c r="O1264" s="79"/>
    </row>
    <row r="1265" customFormat="false" ht="15" hidden="false" customHeight="false" outlineLevel="0" collapsed="false">
      <c r="A1265" s="78" t="str">
        <f aca="false">IF('CARNET DE SOUDURE'!E1265="","",'CARNET DE SOUDURE'!A1265)</f>
        <v/>
      </c>
      <c r="B1265" s="93" t="str">
        <f aca="false">IF('CARNET DE SOUDURE'!E1265="","",'CARNET DE SOUDURE'!B1265&amp;"")</f>
        <v/>
      </c>
      <c r="C1265" s="83" t="str">
        <f aca="false">IF('CARNET DE SOUDURE'!E1265="","",'CARNET DE SOUDURE'!E1265)</f>
        <v/>
      </c>
      <c r="D1265" s="78" t="str">
        <f aca="false">IF('CARNET DE SOUDURE'!E1265="","",'CARNET DE SOUDURE'!D1265&amp;"")</f>
        <v/>
      </c>
      <c r="E1265" s="96" t="str">
        <f aca="false">IF(OR('CARNET DE SOUDURE'!E1265="",'CARNET DE SOUDURE'!R1265=""),"",'CARNET DE SOUDURE'!R1265)</f>
        <v/>
      </c>
      <c r="F1265" s="81" t="str">
        <f aca="false">IF('CARNET DE SOUDURE'!E1265="","",'CARNET DE SOUDURE'!AL1265)</f>
        <v/>
      </c>
      <c r="G1265" s="81" t="str">
        <f aca="false">IF('CARNET DE SOUDURE'!E1265="","",'CARNET DE SOUDURE'!AM1265)</f>
        <v/>
      </c>
      <c r="H1265" s="81" t="str">
        <f aca="false">IF(C1265="","",IF(G1265="ACCEPTÉ","OUI","NON"))</f>
        <v/>
      </c>
      <c r="I1265" s="82"/>
      <c r="J1265" s="79"/>
      <c r="K1265" s="80"/>
      <c r="L1265" s="80"/>
      <c r="M1265" s="80"/>
      <c r="N1265" s="83" t="str">
        <f aca="false">IF(C1265="","",IF(I1265="",IF(H1265="OUI","À ENROBER",IF(G1265="À SOUDER","NON SOUDÉ","EN ATTENTE RT")),IF(L1265="R","À REPRENDRE",IF(H1265&lt;&gt;"OUI","⚠ ENROBÉ AVANT ACCEPTATION RT","ENROBÉ"))))</f>
        <v/>
      </c>
      <c r="O1265" s="79"/>
    </row>
    <row r="1266" customFormat="false" ht="15" hidden="false" customHeight="false" outlineLevel="0" collapsed="false">
      <c r="A1266" s="78" t="str">
        <f aca="false">IF('CARNET DE SOUDURE'!E1266="","",'CARNET DE SOUDURE'!A1266)</f>
        <v/>
      </c>
      <c r="B1266" s="93" t="str">
        <f aca="false">IF('CARNET DE SOUDURE'!E1266="","",'CARNET DE SOUDURE'!B1266&amp;"")</f>
        <v/>
      </c>
      <c r="C1266" s="83" t="str">
        <f aca="false">IF('CARNET DE SOUDURE'!E1266="","",'CARNET DE SOUDURE'!E1266)</f>
        <v/>
      </c>
      <c r="D1266" s="78" t="str">
        <f aca="false">IF('CARNET DE SOUDURE'!E1266="","",'CARNET DE SOUDURE'!D1266&amp;"")</f>
        <v/>
      </c>
      <c r="E1266" s="96" t="str">
        <f aca="false">IF(OR('CARNET DE SOUDURE'!E1266="",'CARNET DE SOUDURE'!R1266=""),"",'CARNET DE SOUDURE'!R1266)</f>
        <v/>
      </c>
      <c r="F1266" s="81" t="str">
        <f aca="false">IF('CARNET DE SOUDURE'!E1266="","",'CARNET DE SOUDURE'!AL1266)</f>
        <v/>
      </c>
      <c r="G1266" s="81" t="str">
        <f aca="false">IF('CARNET DE SOUDURE'!E1266="","",'CARNET DE SOUDURE'!AM1266)</f>
        <v/>
      </c>
      <c r="H1266" s="81" t="str">
        <f aca="false">IF(C1266="","",IF(G1266="ACCEPTÉ","OUI","NON"))</f>
        <v/>
      </c>
      <c r="I1266" s="82"/>
      <c r="J1266" s="79"/>
      <c r="K1266" s="80"/>
      <c r="L1266" s="80"/>
      <c r="M1266" s="80"/>
      <c r="N1266" s="83" t="str">
        <f aca="false">IF(C1266="","",IF(I1266="",IF(H1266="OUI","À ENROBER",IF(G1266="À SOUDER","NON SOUDÉ","EN ATTENTE RT")),IF(L1266="R","À REPRENDRE",IF(H1266&lt;&gt;"OUI","⚠ ENROBÉ AVANT ACCEPTATION RT","ENROBÉ"))))</f>
        <v/>
      </c>
      <c r="O1266" s="79"/>
    </row>
    <row r="1267" customFormat="false" ht="15" hidden="false" customHeight="false" outlineLevel="0" collapsed="false">
      <c r="A1267" s="78" t="str">
        <f aca="false">IF('CARNET DE SOUDURE'!E1267="","",'CARNET DE SOUDURE'!A1267)</f>
        <v/>
      </c>
      <c r="B1267" s="93" t="str">
        <f aca="false">IF('CARNET DE SOUDURE'!E1267="","",'CARNET DE SOUDURE'!B1267&amp;"")</f>
        <v/>
      </c>
      <c r="C1267" s="83" t="str">
        <f aca="false">IF('CARNET DE SOUDURE'!E1267="","",'CARNET DE SOUDURE'!E1267)</f>
        <v/>
      </c>
      <c r="D1267" s="78" t="str">
        <f aca="false">IF('CARNET DE SOUDURE'!E1267="","",'CARNET DE SOUDURE'!D1267&amp;"")</f>
        <v/>
      </c>
      <c r="E1267" s="96" t="str">
        <f aca="false">IF(OR('CARNET DE SOUDURE'!E1267="",'CARNET DE SOUDURE'!R1267=""),"",'CARNET DE SOUDURE'!R1267)</f>
        <v/>
      </c>
      <c r="F1267" s="81" t="str">
        <f aca="false">IF('CARNET DE SOUDURE'!E1267="","",'CARNET DE SOUDURE'!AL1267)</f>
        <v/>
      </c>
      <c r="G1267" s="81" t="str">
        <f aca="false">IF('CARNET DE SOUDURE'!E1267="","",'CARNET DE SOUDURE'!AM1267)</f>
        <v/>
      </c>
      <c r="H1267" s="81" t="str">
        <f aca="false">IF(C1267="","",IF(G1267="ACCEPTÉ","OUI","NON"))</f>
        <v/>
      </c>
      <c r="I1267" s="82"/>
      <c r="J1267" s="79"/>
      <c r="K1267" s="80"/>
      <c r="L1267" s="80"/>
      <c r="M1267" s="80"/>
      <c r="N1267" s="83" t="str">
        <f aca="false">IF(C1267="","",IF(I1267="",IF(H1267="OUI","À ENROBER",IF(G1267="À SOUDER","NON SOUDÉ","EN ATTENTE RT")),IF(L1267="R","À REPRENDRE",IF(H1267&lt;&gt;"OUI","⚠ ENROBÉ AVANT ACCEPTATION RT","ENROBÉ"))))</f>
        <v/>
      </c>
      <c r="O1267" s="79"/>
    </row>
    <row r="1268" customFormat="false" ht="15" hidden="false" customHeight="false" outlineLevel="0" collapsed="false">
      <c r="A1268" s="78" t="str">
        <f aca="false">IF('CARNET DE SOUDURE'!E1268="","",'CARNET DE SOUDURE'!A1268)</f>
        <v/>
      </c>
      <c r="B1268" s="93" t="str">
        <f aca="false">IF('CARNET DE SOUDURE'!E1268="","",'CARNET DE SOUDURE'!B1268&amp;"")</f>
        <v/>
      </c>
      <c r="C1268" s="83" t="str">
        <f aca="false">IF('CARNET DE SOUDURE'!E1268="","",'CARNET DE SOUDURE'!E1268)</f>
        <v/>
      </c>
      <c r="D1268" s="78" t="str">
        <f aca="false">IF('CARNET DE SOUDURE'!E1268="","",'CARNET DE SOUDURE'!D1268&amp;"")</f>
        <v/>
      </c>
      <c r="E1268" s="96" t="str">
        <f aca="false">IF(OR('CARNET DE SOUDURE'!E1268="",'CARNET DE SOUDURE'!R1268=""),"",'CARNET DE SOUDURE'!R1268)</f>
        <v/>
      </c>
      <c r="F1268" s="81" t="str">
        <f aca="false">IF('CARNET DE SOUDURE'!E1268="","",'CARNET DE SOUDURE'!AL1268)</f>
        <v/>
      </c>
      <c r="G1268" s="81" t="str">
        <f aca="false">IF('CARNET DE SOUDURE'!E1268="","",'CARNET DE SOUDURE'!AM1268)</f>
        <v/>
      </c>
      <c r="H1268" s="81" t="str">
        <f aca="false">IF(C1268="","",IF(G1268="ACCEPTÉ","OUI","NON"))</f>
        <v/>
      </c>
      <c r="I1268" s="82"/>
      <c r="J1268" s="79"/>
      <c r="K1268" s="80"/>
      <c r="L1268" s="80"/>
      <c r="M1268" s="80"/>
      <c r="N1268" s="83" t="str">
        <f aca="false">IF(C1268="","",IF(I1268="",IF(H1268="OUI","À ENROBER",IF(G1268="À SOUDER","NON SOUDÉ","EN ATTENTE RT")),IF(L1268="R","À REPRENDRE",IF(H1268&lt;&gt;"OUI","⚠ ENROBÉ AVANT ACCEPTATION RT","ENROBÉ"))))</f>
        <v/>
      </c>
      <c r="O1268" s="79"/>
    </row>
    <row r="1269" customFormat="false" ht="15" hidden="false" customHeight="false" outlineLevel="0" collapsed="false">
      <c r="A1269" s="78" t="str">
        <f aca="false">IF('CARNET DE SOUDURE'!E1269="","",'CARNET DE SOUDURE'!A1269)</f>
        <v/>
      </c>
      <c r="B1269" s="93" t="str">
        <f aca="false">IF('CARNET DE SOUDURE'!E1269="","",'CARNET DE SOUDURE'!B1269&amp;"")</f>
        <v/>
      </c>
      <c r="C1269" s="83" t="str">
        <f aca="false">IF('CARNET DE SOUDURE'!E1269="","",'CARNET DE SOUDURE'!E1269)</f>
        <v/>
      </c>
      <c r="D1269" s="78" t="str">
        <f aca="false">IF('CARNET DE SOUDURE'!E1269="","",'CARNET DE SOUDURE'!D1269&amp;"")</f>
        <v/>
      </c>
      <c r="E1269" s="96" t="str">
        <f aca="false">IF(OR('CARNET DE SOUDURE'!E1269="",'CARNET DE SOUDURE'!R1269=""),"",'CARNET DE SOUDURE'!R1269)</f>
        <v/>
      </c>
      <c r="F1269" s="81" t="str">
        <f aca="false">IF('CARNET DE SOUDURE'!E1269="","",'CARNET DE SOUDURE'!AL1269)</f>
        <v/>
      </c>
      <c r="G1269" s="81" t="str">
        <f aca="false">IF('CARNET DE SOUDURE'!E1269="","",'CARNET DE SOUDURE'!AM1269)</f>
        <v/>
      </c>
      <c r="H1269" s="81" t="str">
        <f aca="false">IF(C1269="","",IF(G1269="ACCEPTÉ","OUI","NON"))</f>
        <v/>
      </c>
      <c r="I1269" s="82"/>
      <c r="J1269" s="79"/>
      <c r="K1269" s="80"/>
      <c r="L1269" s="80"/>
      <c r="M1269" s="80"/>
      <c r="N1269" s="83" t="str">
        <f aca="false">IF(C1269="","",IF(I1269="",IF(H1269="OUI","À ENROBER",IF(G1269="À SOUDER","NON SOUDÉ","EN ATTENTE RT")),IF(L1269="R","À REPRENDRE",IF(H1269&lt;&gt;"OUI","⚠ ENROBÉ AVANT ACCEPTATION RT","ENROBÉ"))))</f>
        <v/>
      </c>
      <c r="O1269" s="79"/>
    </row>
    <row r="1270" customFormat="false" ht="15" hidden="false" customHeight="false" outlineLevel="0" collapsed="false">
      <c r="A1270" s="78" t="str">
        <f aca="false">IF('CARNET DE SOUDURE'!E1270="","",'CARNET DE SOUDURE'!A1270)</f>
        <v/>
      </c>
      <c r="B1270" s="93" t="str">
        <f aca="false">IF('CARNET DE SOUDURE'!E1270="","",'CARNET DE SOUDURE'!B1270&amp;"")</f>
        <v/>
      </c>
      <c r="C1270" s="83" t="str">
        <f aca="false">IF('CARNET DE SOUDURE'!E1270="","",'CARNET DE SOUDURE'!E1270)</f>
        <v/>
      </c>
      <c r="D1270" s="78" t="str">
        <f aca="false">IF('CARNET DE SOUDURE'!E1270="","",'CARNET DE SOUDURE'!D1270&amp;"")</f>
        <v/>
      </c>
      <c r="E1270" s="96" t="str">
        <f aca="false">IF(OR('CARNET DE SOUDURE'!E1270="",'CARNET DE SOUDURE'!R1270=""),"",'CARNET DE SOUDURE'!R1270)</f>
        <v/>
      </c>
      <c r="F1270" s="81" t="str">
        <f aca="false">IF('CARNET DE SOUDURE'!E1270="","",'CARNET DE SOUDURE'!AL1270)</f>
        <v/>
      </c>
      <c r="G1270" s="81" t="str">
        <f aca="false">IF('CARNET DE SOUDURE'!E1270="","",'CARNET DE SOUDURE'!AM1270)</f>
        <v/>
      </c>
      <c r="H1270" s="81" t="str">
        <f aca="false">IF(C1270="","",IF(G1270="ACCEPTÉ","OUI","NON"))</f>
        <v/>
      </c>
      <c r="I1270" s="82"/>
      <c r="J1270" s="79"/>
      <c r="K1270" s="80"/>
      <c r="L1270" s="80"/>
      <c r="M1270" s="80"/>
      <c r="N1270" s="83" t="str">
        <f aca="false">IF(C1270="","",IF(I1270="",IF(H1270="OUI","À ENROBER",IF(G1270="À SOUDER","NON SOUDÉ","EN ATTENTE RT")),IF(L1270="R","À REPRENDRE",IF(H1270&lt;&gt;"OUI","⚠ ENROBÉ AVANT ACCEPTATION RT","ENROBÉ"))))</f>
        <v/>
      </c>
      <c r="O1270" s="79"/>
    </row>
    <row r="1271" customFormat="false" ht="15" hidden="false" customHeight="false" outlineLevel="0" collapsed="false">
      <c r="A1271" s="78" t="str">
        <f aca="false">IF('CARNET DE SOUDURE'!E1271="","",'CARNET DE SOUDURE'!A1271)</f>
        <v/>
      </c>
      <c r="B1271" s="93" t="str">
        <f aca="false">IF('CARNET DE SOUDURE'!E1271="","",'CARNET DE SOUDURE'!B1271&amp;"")</f>
        <v/>
      </c>
      <c r="C1271" s="83" t="str">
        <f aca="false">IF('CARNET DE SOUDURE'!E1271="","",'CARNET DE SOUDURE'!E1271)</f>
        <v/>
      </c>
      <c r="D1271" s="78" t="str">
        <f aca="false">IF('CARNET DE SOUDURE'!E1271="","",'CARNET DE SOUDURE'!D1271&amp;"")</f>
        <v/>
      </c>
      <c r="E1271" s="96" t="str">
        <f aca="false">IF(OR('CARNET DE SOUDURE'!E1271="",'CARNET DE SOUDURE'!R1271=""),"",'CARNET DE SOUDURE'!R1271)</f>
        <v/>
      </c>
      <c r="F1271" s="81" t="str">
        <f aca="false">IF('CARNET DE SOUDURE'!E1271="","",'CARNET DE SOUDURE'!AL1271)</f>
        <v/>
      </c>
      <c r="G1271" s="81" t="str">
        <f aca="false">IF('CARNET DE SOUDURE'!E1271="","",'CARNET DE SOUDURE'!AM1271)</f>
        <v/>
      </c>
      <c r="H1271" s="81" t="str">
        <f aca="false">IF(C1271="","",IF(G1271="ACCEPTÉ","OUI","NON"))</f>
        <v/>
      </c>
      <c r="I1271" s="82"/>
      <c r="J1271" s="79"/>
      <c r="K1271" s="80"/>
      <c r="L1271" s="80"/>
      <c r="M1271" s="80"/>
      <c r="N1271" s="83" t="str">
        <f aca="false">IF(C1271="","",IF(I1271="",IF(H1271="OUI","À ENROBER",IF(G1271="À SOUDER","NON SOUDÉ","EN ATTENTE RT")),IF(L1271="R","À REPRENDRE",IF(H1271&lt;&gt;"OUI","⚠ ENROBÉ AVANT ACCEPTATION RT","ENROBÉ"))))</f>
        <v/>
      </c>
      <c r="O1271" s="79"/>
    </row>
    <row r="1272" customFormat="false" ht="15" hidden="false" customHeight="false" outlineLevel="0" collapsed="false">
      <c r="A1272" s="78" t="str">
        <f aca="false">IF('CARNET DE SOUDURE'!E1272="","",'CARNET DE SOUDURE'!A1272)</f>
        <v/>
      </c>
      <c r="B1272" s="93" t="str">
        <f aca="false">IF('CARNET DE SOUDURE'!E1272="","",'CARNET DE SOUDURE'!B1272&amp;"")</f>
        <v/>
      </c>
      <c r="C1272" s="83" t="str">
        <f aca="false">IF('CARNET DE SOUDURE'!E1272="","",'CARNET DE SOUDURE'!E1272)</f>
        <v/>
      </c>
      <c r="D1272" s="78" t="str">
        <f aca="false">IF('CARNET DE SOUDURE'!E1272="","",'CARNET DE SOUDURE'!D1272&amp;"")</f>
        <v/>
      </c>
      <c r="E1272" s="96" t="str">
        <f aca="false">IF(OR('CARNET DE SOUDURE'!E1272="",'CARNET DE SOUDURE'!R1272=""),"",'CARNET DE SOUDURE'!R1272)</f>
        <v/>
      </c>
      <c r="F1272" s="81" t="str">
        <f aca="false">IF('CARNET DE SOUDURE'!E1272="","",'CARNET DE SOUDURE'!AL1272)</f>
        <v/>
      </c>
      <c r="G1272" s="81" t="str">
        <f aca="false">IF('CARNET DE SOUDURE'!E1272="","",'CARNET DE SOUDURE'!AM1272)</f>
        <v/>
      </c>
      <c r="H1272" s="81" t="str">
        <f aca="false">IF(C1272="","",IF(G1272="ACCEPTÉ","OUI","NON"))</f>
        <v/>
      </c>
      <c r="I1272" s="82"/>
      <c r="J1272" s="79"/>
      <c r="K1272" s="80"/>
      <c r="L1272" s="80"/>
      <c r="M1272" s="80"/>
      <c r="N1272" s="83" t="str">
        <f aca="false">IF(C1272="","",IF(I1272="",IF(H1272="OUI","À ENROBER",IF(G1272="À SOUDER","NON SOUDÉ","EN ATTENTE RT")),IF(L1272="R","À REPRENDRE",IF(H1272&lt;&gt;"OUI","⚠ ENROBÉ AVANT ACCEPTATION RT","ENROBÉ"))))</f>
        <v/>
      </c>
      <c r="O1272" s="79"/>
    </row>
    <row r="1273" customFormat="false" ht="15" hidden="false" customHeight="false" outlineLevel="0" collapsed="false">
      <c r="A1273" s="78" t="str">
        <f aca="false">IF('CARNET DE SOUDURE'!E1273="","",'CARNET DE SOUDURE'!A1273)</f>
        <v/>
      </c>
      <c r="B1273" s="93" t="str">
        <f aca="false">IF('CARNET DE SOUDURE'!E1273="","",'CARNET DE SOUDURE'!B1273&amp;"")</f>
        <v/>
      </c>
      <c r="C1273" s="83" t="str">
        <f aca="false">IF('CARNET DE SOUDURE'!E1273="","",'CARNET DE SOUDURE'!E1273)</f>
        <v/>
      </c>
      <c r="D1273" s="78" t="str">
        <f aca="false">IF('CARNET DE SOUDURE'!E1273="","",'CARNET DE SOUDURE'!D1273&amp;"")</f>
        <v/>
      </c>
      <c r="E1273" s="96" t="str">
        <f aca="false">IF(OR('CARNET DE SOUDURE'!E1273="",'CARNET DE SOUDURE'!R1273=""),"",'CARNET DE SOUDURE'!R1273)</f>
        <v/>
      </c>
      <c r="F1273" s="81" t="str">
        <f aca="false">IF('CARNET DE SOUDURE'!E1273="","",'CARNET DE SOUDURE'!AL1273)</f>
        <v/>
      </c>
      <c r="G1273" s="81" t="str">
        <f aca="false">IF('CARNET DE SOUDURE'!E1273="","",'CARNET DE SOUDURE'!AM1273)</f>
        <v/>
      </c>
      <c r="H1273" s="81" t="str">
        <f aca="false">IF(C1273="","",IF(G1273="ACCEPTÉ","OUI","NON"))</f>
        <v/>
      </c>
      <c r="I1273" s="82"/>
      <c r="J1273" s="79"/>
      <c r="K1273" s="80"/>
      <c r="L1273" s="80"/>
      <c r="M1273" s="80"/>
      <c r="N1273" s="83" t="str">
        <f aca="false">IF(C1273="","",IF(I1273="",IF(H1273="OUI","À ENROBER",IF(G1273="À SOUDER","NON SOUDÉ","EN ATTENTE RT")),IF(L1273="R","À REPRENDRE",IF(H1273&lt;&gt;"OUI","⚠ ENROBÉ AVANT ACCEPTATION RT","ENROBÉ"))))</f>
        <v/>
      </c>
      <c r="O1273" s="79"/>
    </row>
    <row r="1274" customFormat="false" ht="15" hidden="false" customHeight="false" outlineLevel="0" collapsed="false">
      <c r="A1274" s="78" t="str">
        <f aca="false">IF('CARNET DE SOUDURE'!E1274="","",'CARNET DE SOUDURE'!A1274)</f>
        <v/>
      </c>
      <c r="B1274" s="93" t="str">
        <f aca="false">IF('CARNET DE SOUDURE'!E1274="","",'CARNET DE SOUDURE'!B1274&amp;"")</f>
        <v/>
      </c>
      <c r="C1274" s="83" t="str">
        <f aca="false">IF('CARNET DE SOUDURE'!E1274="","",'CARNET DE SOUDURE'!E1274)</f>
        <v/>
      </c>
      <c r="D1274" s="78" t="str">
        <f aca="false">IF('CARNET DE SOUDURE'!E1274="","",'CARNET DE SOUDURE'!D1274&amp;"")</f>
        <v/>
      </c>
      <c r="E1274" s="96" t="str">
        <f aca="false">IF(OR('CARNET DE SOUDURE'!E1274="",'CARNET DE SOUDURE'!R1274=""),"",'CARNET DE SOUDURE'!R1274)</f>
        <v/>
      </c>
      <c r="F1274" s="81" t="str">
        <f aca="false">IF('CARNET DE SOUDURE'!E1274="","",'CARNET DE SOUDURE'!AL1274)</f>
        <v/>
      </c>
      <c r="G1274" s="81" t="str">
        <f aca="false">IF('CARNET DE SOUDURE'!E1274="","",'CARNET DE SOUDURE'!AM1274)</f>
        <v/>
      </c>
      <c r="H1274" s="81" t="str">
        <f aca="false">IF(C1274="","",IF(G1274="ACCEPTÉ","OUI","NON"))</f>
        <v/>
      </c>
      <c r="I1274" s="82"/>
      <c r="J1274" s="79"/>
      <c r="K1274" s="80"/>
      <c r="L1274" s="80"/>
      <c r="M1274" s="80"/>
      <c r="N1274" s="83" t="str">
        <f aca="false">IF(C1274="","",IF(I1274="",IF(H1274="OUI","À ENROBER",IF(G1274="À SOUDER","NON SOUDÉ","EN ATTENTE RT")),IF(L1274="R","À REPRENDRE",IF(H1274&lt;&gt;"OUI","⚠ ENROBÉ AVANT ACCEPTATION RT","ENROBÉ"))))</f>
        <v/>
      </c>
      <c r="O1274" s="79"/>
    </row>
    <row r="1275" customFormat="false" ht="15" hidden="false" customHeight="false" outlineLevel="0" collapsed="false">
      <c r="A1275" s="78" t="str">
        <f aca="false">IF('CARNET DE SOUDURE'!E1275="","",'CARNET DE SOUDURE'!A1275)</f>
        <v/>
      </c>
      <c r="B1275" s="93" t="str">
        <f aca="false">IF('CARNET DE SOUDURE'!E1275="","",'CARNET DE SOUDURE'!B1275&amp;"")</f>
        <v/>
      </c>
      <c r="C1275" s="83" t="str">
        <f aca="false">IF('CARNET DE SOUDURE'!E1275="","",'CARNET DE SOUDURE'!E1275)</f>
        <v/>
      </c>
      <c r="D1275" s="78" t="str">
        <f aca="false">IF('CARNET DE SOUDURE'!E1275="","",'CARNET DE SOUDURE'!D1275&amp;"")</f>
        <v/>
      </c>
      <c r="E1275" s="96" t="str">
        <f aca="false">IF(OR('CARNET DE SOUDURE'!E1275="",'CARNET DE SOUDURE'!R1275=""),"",'CARNET DE SOUDURE'!R1275)</f>
        <v/>
      </c>
      <c r="F1275" s="81" t="str">
        <f aca="false">IF('CARNET DE SOUDURE'!E1275="","",'CARNET DE SOUDURE'!AL1275)</f>
        <v/>
      </c>
      <c r="G1275" s="81" t="str">
        <f aca="false">IF('CARNET DE SOUDURE'!E1275="","",'CARNET DE SOUDURE'!AM1275)</f>
        <v/>
      </c>
      <c r="H1275" s="81" t="str">
        <f aca="false">IF(C1275="","",IF(G1275="ACCEPTÉ","OUI","NON"))</f>
        <v/>
      </c>
      <c r="I1275" s="82"/>
      <c r="J1275" s="79"/>
      <c r="K1275" s="80"/>
      <c r="L1275" s="80"/>
      <c r="M1275" s="80"/>
      <c r="N1275" s="83" t="str">
        <f aca="false">IF(C1275="","",IF(I1275="",IF(H1275="OUI","À ENROBER",IF(G1275="À SOUDER","NON SOUDÉ","EN ATTENTE RT")),IF(L1275="R","À REPRENDRE",IF(H1275&lt;&gt;"OUI","⚠ ENROBÉ AVANT ACCEPTATION RT","ENROBÉ"))))</f>
        <v/>
      </c>
      <c r="O1275" s="79"/>
    </row>
    <row r="1276" customFormat="false" ht="15" hidden="false" customHeight="false" outlineLevel="0" collapsed="false">
      <c r="A1276" s="78" t="str">
        <f aca="false">IF('CARNET DE SOUDURE'!E1276="","",'CARNET DE SOUDURE'!A1276)</f>
        <v/>
      </c>
      <c r="B1276" s="93" t="str">
        <f aca="false">IF('CARNET DE SOUDURE'!E1276="","",'CARNET DE SOUDURE'!B1276&amp;"")</f>
        <v/>
      </c>
      <c r="C1276" s="83" t="str">
        <f aca="false">IF('CARNET DE SOUDURE'!E1276="","",'CARNET DE SOUDURE'!E1276)</f>
        <v/>
      </c>
      <c r="D1276" s="78" t="str">
        <f aca="false">IF('CARNET DE SOUDURE'!E1276="","",'CARNET DE SOUDURE'!D1276&amp;"")</f>
        <v/>
      </c>
      <c r="E1276" s="96" t="str">
        <f aca="false">IF(OR('CARNET DE SOUDURE'!E1276="",'CARNET DE SOUDURE'!R1276=""),"",'CARNET DE SOUDURE'!R1276)</f>
        <v/>
      </c>
      <c r="F1276" s="81" t="str">
        <f aca="false">IF('CARNET DE SOUDURE'!E1276="","",'CARNET DE SOUDURE'!AL1276)</f>
        <v/>
      </c>
      <c r="G1276" s="81" t="str">
        <f aca="false">IF('CARNET DE SOUDURE'!E1276="","",'CARNET DE SOUDURE'!AM1276)</f>
        <v/>
      </c>
      <c r="H1276" s="81" t="str">
        <f aca="false">IF(C1276="","",IF(G1276="ACCEPTÉ","OUI","NON"))</f>
        <v/>
      </c>
      <c r="I1276" s="82"/>
      <c r="J1276" s="79"/>
      <c r="K1276" s="80"/>
      <c r="L1276" s="80"/>
      <c r="M1276" s="80"/>
      <c r="N1276" s="83" t="str">
        <f aca="false">IF(C1276="","",IF(I1276="",IF(H1276="OUI","À ENROBER",IF(G1276="À SOUDER","NON SOUDÉ","EN ATTENTE RT")),IF(L1276="R","À REPRENDRE",IF(H1276&lt;&gt;"OUI","⚠ ENROBÉ AVANT ACCEPTATION RT","ENROBÉ"))))</f>
        <v/>
      </c>
      <c r="O1276" s="79"/>
    </row>
    <row r="1277" customFormat="false" ht="15" hidden="false" customHeight="false" outlineLevel="0" collapsed="false">
      <c r="A1277" s="78" t="str">
        <f aca="false">IF('CARNET DE SOUDURE'!E1277="","",'CARNET DE SOUDURE'!A1277)</f>
        <v/>
      </c>
      <c r="B1277" s="93" t="str">
        <f aca="false">IF('CARNET DE SOUDURE'!E1277="","",'CARNET DE SOUDURE'!B1277&amp;"")</f>
        <v/>
      </c>
      <c r="C1277" s="83" t="str">
        <f aca="false">IF('CARNET DE SOUDURE'!E1277="","",'CARNET DE SOUDURE'!E1277)</f>
        <v/>
      </c>
      <c r="D1277" s="78" t="str">
        <f aca="false">IF('CARNET DE SOUDURE'!E1277="","",'CARNET DE SOUDURE'!D1277&amp;"")</f>
        <v/>
      </c>
      <c r="E1277" s="96" t="str">
        <f aca="false">IF(OR('CARNET DE SOUDURE'!E1277="",'CARNET DE SOUDURE'!R1277=""),"",'CARNET DE SOUDURE'!R1277)</f>
        <v/>
      </c>
      <c r="F1277" s="81" t="str">
        <f aca="false">IF('CARNET DE SOUDURE'!E1277="","",'CARNET DE SOUDURE'!AL1277)</f>
        <v/>
      </c>
      <c r="G1277" s="81" t="str">
        <f aca="false">IF('CARNET DE SOUDURE'!E1277="","",'CARNET DE SOUDURE'!AM1277)</f>
        <v/>
      </c>
      <c r="H1277" s="81" t="str">
        <f aca="false">IF(C1277="","",IF(G1277="ACCEPTÉ","OUI","NON"))</f>
        <v/>
      </c>
      <c r="I1277" s="82"/>
      <c r="J1277" s="79"/>
      <c r="K1277" s="80"/>
      <c r="L1277" s="80"/>
      <c r="M1277" s="80"/>
      <c r="N1277" s="83" t="str">
        <f aca="false">IF(C1277="","",IF(I1277="",IF(H1277="OUI","À ENROBER",IF(G1277="À SOUDER","NON SOUDÉ","EN ATTENTE RT")),IF(L1277="R","À REPRENDRE",IF(H1277&lt;&gt;"OUI","⚠ ENROBÉ AVANT ACCEPTATION RT","ENROBÉ"))))</f>
        <v/>
      </c>
      <c r="O1277" s="79"/>
    </row>
    <row r="1278" customFormat="false" ht="15" hidden="false" customHeight="false" outlineLevel="0" collapsed="false">
      <c r="A1278" s="78" t="str">
        <f aca="false">IF('CARNET DE SOUDURE'!E1278="","",'CARNET DE SOUDURE'!A1278)</f>
        <v/>
      </c>
      <c r="B1278" s="93" t="str">
        <f aca="false">IF('CARNET DE SOUDURE'!E1278="","",'CARNET DE SOUDURE'!B1278&amp;"")</f>
        <v/>
      </c>
      <c r="C1278" s="83" t="str">
        <f aca="false">IF('CARNET DE SOUDURE'!E1278="","",'CARNET DE SOUDURE'!E1278)</f>
        <v/>
      </c>
      <c r="D1278" s="78" t="str">
        <f aca="false">IF('CARNET DE SOUDURE'!E1278="","",'CARNET DE SOUDURE'!D1278&amp;"")</f>
        <v/>
      </c>
      <c r="E1278" s="96" t="str">
        <f aca="false">IF(OR('CARNET DE SOUDURE'!E1278="",'CARNET DE SOUDURE'!R1278=""),"",'CARNET DE SOUDURE'!R1278)</f>
        <v/>
      </c>
      <c r="F1278" s="81" t="str">
        <f aca="false">IF('CARNET DE SOUDURE'!E1278="","",'CARNET DE SOUDURE'!AL1278)</f>
        <v/>
      </c>
      <c r="G1278" s="81" t="str">
        <f aca="false">IF('CARNET DE SOUDURE'!E1278="","",'CARNET DE SOUDURE'!AM1278)</f>
        <v/>
      </c>
      <c r="H1278" s="81" t="str">
        <f aca="false">IF(C1278="","",IF(G1278="ACCEPTÉ","OUI","NON"))</f>
        <v/>
      </c>
      <c r="I1278" s="82"/>
      <c r="J1278" s="79"/>
      <c r="K1278" s="80"/>
      <c r="L1278" s="80"/>
      <c r="M1278" s="80"/>
      <c r="N1278" s="83" t="str">
        <f aca="false">IF(C1278="","",IF(I1278="",IF(H1278="OUI","À ENROBER",IF(G1278="À SOUDER","NON SOUDÉ","EN ATTENTE RT")),IF(L1278="R","À REPRENDRE",IF(H1278&lt;&gt;"OUI","⚠ ENROBÉ AVANT ACCEPTATION RT","ENROBÉ"))))</f>
        <v/>
      </c>
      <c r="O1278" s="79"/>
    </row>
    <row r="1279" customFormat="false" ht="15" hidden="false" customHeight="false" outlineLevel="0" collapsed="false">
      <c r="A1279" s="78" t="str">
        <f aca="false">IF('CARNET DE SOUDURE'!E1279="","",'CARNET DE SOUDURE'!A1279)</f>
        <v/>
      </c>
      <c r="B1279" s="93" t="str">
        <f aca="false">IF('CARNET DE SOUDURE'!E1279="","",'CARNET DE SOUDURE'!B1279&amp;"")</f>
        <v/>
      </c>
      <c r="C1279" s="83" t="str">
        <f aca="false">IF('CARNET DE SOUDURE'!E1279="","",'CARNET DE SOUDURE'!E1279)</f>
        <v/>
      </c>
      <c r="D1279" s="78" t="str">
        <f aca="false">IF('CARNET DE SOUDURE'!E1279="","",'CARNET DE SOUDURE'!D1279&amp;"")</f>
        <v/>
      </c>
      <c r="E1279" s="96" t="str">
        <f aca="false">IF(OR('CARNET DE SOUDURE'!E1279="",'CARNET DE SOUDURE'!R1279=""),"",'CARNET DE SOUDURE'!R1279)</f>
        <v/>
      </c>
      <c r="F1279" s="81" t="str">
        <f aca="false">IF('CARNET DE SOUDURE'!E1279="","",'CARNET DE SOUDURE'!AL1279)</f>
        <v/>
      </c>
      <c r="G1279" s="81" t="str">
        <f aca="false">IF('CARNET DE SOUDURE'!E1279="","",'CARNET DE SOUDURE'!AM1279)</f>
        <v/>
      </c>
      <c r="H1279" s="81" t="str">
        <f aca="false">IF(C1279="","",IF(G1279="ACCEPTÉ","OUI","NON"))</f>
        <v/>
      </c>
      <c r="I1279" s="82"/>
      <c r="J1279" s="79"/>
      <c r="K1279" s="80"/>
      <c r="L1279" s="80"/>
      <c r="M1279" s="80"/>
      <c r="N1279" s="83" t="str">
        <f aca="false">IF(C1279="","",IF(I1279="",IF(H1279="OUI","À ENROBER",IF(G1279="À SOUDER","NON SOUDÉ","EN ATTENTE RT")),IF(L1279="R","À REPRENDRE",IF(H1279&lt;&gt;"OUI","⚠ ENROBÉ AVANT ACCEPTATION RT","ENROBÉ"))))</f>
        <v/>
      </c>
      <c r="O1279" s="79"/>
    </row>
    <row r="1280" customFormat="false" ht="15" hidden="false" customHeight="false" outlineLevel="0" collapsed="false">
      <c r="A1280" s="78" t="str">
        <f aca="false">IF('CARNET DE SOUDURE'!E1280="","",'CARNET DE SOUDURE'!A1280)</f>
        <v/>
      </c>
      <c r="B1280" s="93" t="str">
        <f aca="false">IF('CARNET DE SOUDURE'!E1280="","",'CARNET DE SOUDURE'!B1280&amp;"")</f>
        <v/>
      </c>
      <c r="C1280" s="83" t="str">
        <f aca="false">IF('CARNET DE SOUDURE'!E1280="","",'CARNET DE SOUDURE'!E1280)</f>
        <v/>
      </c>
      <c r="D1280" s="78" t="str">
        <f aca="false">IF('CARNET DE SOUDURE'!E1280="","",'CARNET DE SOUDURE'!D1280&amp;"")</f>
        <v/>
      </c>
      <c r="E1280" s="96" t="str">
        <f aca="false">IF(OR('CARNET DE SOUDURE'!E1280="",'CARNET DE SOUDURE'!R1280=""),"",'CARNET DE SOUDURE'!R1280)</f>
        <v/>
      </c>
      <c r="F1280" s="81" t="str">
        <f aca="false">IF('CARNET DE SOUDURE'!E1280="","",'CARNET DE SOUDURE'!AL1280)</f>
        <v/>
      </c>
      <c r="G1280" s="81" t="str">
        <f aca="false">IF('CARNET DE SOUDURE'!E1280="","",'CARNET DE SOUDURE'!AM1280)</f>
        <v/>
      </c>
      <c r="H1280" s="81" t="str">
        <f aca="false">IF(C1280="","",IF(G1280="ACCEPTÉ","OUI","NON"))</f>
        <v/>
      </c>
      <c r="I1280" s="82"/>
      <c r="J1280" s="79"/>
      <c r="K1280" s="80"/>
      <c r="L1280" s="80"/>
      <c r="M1280" s="80"/>
      <c r="N1280" s="83" t="str">
        <f aca="false">IF(C1280="","",IF(I1280="",IF(H1280="OUI","À ENROBER",IF(G1280="À SOUDER","NON SOUDÉ","EN ATTENTE RT")),IF(L1280="R","À REPRENDRE",IF(H1280&lt;&gt;"OUI","⚠ ENROBÉ AVANT ACCEPTATION RT","ENROBÉ"))))</f>
        <v/>
      </c>
      <c r="O1280" s="79"/>
    </row>
    <row r="1281" customFormat="false" ht="15" hidden="false" customHeight="false" outlineLevel="0" collapsed="false">
      <c r="A1281" s="78" t="str">
        <f aca="false">IF('CARNET DE SOUDURE'!E1281="","",'CARNET DE SOUDURE'!A1281)</f>
        <v/>
      </c>
      <c r="B1281" s="93" t="str">
        <f aca="false">IF('CARNET DE SOUDURE'!E1281="","",'CARNET DE SOUDURE'!B1281&amp;"")</f>
        <v/>
      </c>
      <c r="C1281" s="83" t="str">
        <f aca="false">IF('CARNET DE SOUDURE'!E1281="","",'CARNET DE SOUDURE'!E1281)</f>
        <v/>
      </c>
      <c r="D1281" s="78" t="str">
        <f aca="false">IF('CARNET DE SOUDURE'!E1281="","",'CARNET DE SOUDURE'!D1281&amp;"")</f>
        <v/>
      </c>
      <c r="E1281" s="96" t="str">
        <f aca="false">IF(OR('CARNET DE SOUDURE'!E1281="",'CARNET DE SOUDURE'!R1281=""),"",'CARNET DE SOUDURE'!R1281)</f>
        <v/>
      </c>
      <c r="F1281" s="81" t="str">
        <f aca="false">IF('CARNET DE SOUDURE'!E1281="","",'CARNET DE SOUDURE'!AL1281)</f>
        <v/>
      </c>
      <c r="G1281" s="81" t="str">
        <f aca="false">IF('CARNET DE SOUDURE'!E1281="","",'CARNET DE SOUDURE'!AM1281)</f>
        <v/>
      </c>
      <c r="H1281" s="81" t="str">
        <f aca="false">IF(C1281="","",IF(G1281="ACCEPTÉ","OUI","NON"))</f>
        <v/>
      </c>
      <c r="I1281" s="82"/>
      <c r="J1281" s="79"/>
      <c r="K1281" s="80"/>
      <c r="L1281" s="80"/>
      <c r="M1281" s="80"/>
      <c r="N1281" s="83" t="str">
        <f aca="false">IF(C1281="","",IF(I1281="",IF(H1281="OUI","À ENROBER",IF(G1281="À SOUDER","NON SOUDÉ","EN ATTENTE RT")),IF(L1281="R","À REPRENDRE",IF(H1281&lt;&gt;"OUI","⚠ ENROBÉ AVANT ACCEPTATION RT","ENROBÉ"))))</f>
        <v/>
      </c>
      <c r="O1281" s="79"/>
    </row>
    <row r="1282" customFormat="false" ht="15" hidden="false" customHeight="false" outlineLevel="0" collapsed="false">
      <c r="A1282" s="78" t="str">
        <f aca="false">IF('CARNET DE SOUDURE'!E1282="","",'CARNET DE SOUDURE'!A1282)</f>
        <v/>
      </c>
      <c r="B1282" s="93" t="str">
        <f aca="false">IF('CARNET DE SOUDURE'!E1282="","",'CARNET DE SOUDURE'!B1282&amp;"")</f>
        <v/>
      </c>
      <c r="C1282" s="83" t="str">
        <f aca="false">IF('CARNET DE SOUDURE'!E1282="","",'CARNET DE SOUDURE'!E1282)</f>
        <v/>
      </c>
      <c r="D1282" s="78" t="str">
        <f aca="false">IF('CARNET DE SOUDURE'!E1282="","",'CARNET DE SOUDURE'!D1282&amp;"")</f>
        <v/>
      </c>
      <c r="E1282" s="96" t="str">
        <f aca="false">IF(OR('CARNET DE SOUDURE'!E1282="",'CARNET DE SOUDURE'!R1282=""),"",'CARNET DE SOUDURE'!R1282)</f>
        <v/>
      </c>
      <c r="F1282" s="81" t="str">
        <f aca="false">IF('CARNET DE SOUDURE'!E1282="","",'CARNET DE SOUDURE'!AL1282)</f>
        <v/>
      </c>
      <c r="G1282" s="81" t="str">
        <f aca="false">IF('CARNET DE SOUDURE'!E1282="","",'CARNET DE SOUDURE'!AM1282)</f>
        <v/>
      </c>
      <c r="H1282" s="81" t="str">
        <f aca="false">IF(C1282="","",IF(G1282="ACCEPTÉ","OUI","NON"))</f>
        <v/>
      </c>
      <c r="I1282" s="82"/>
      <c r="J1282" s="79"/>
      <c r="K1282" s="80"/>
      <c r="L1282" s="80"/>
      <c r="M1282" s="80"/>
      <c r="N1282" s="83" t="str">
        <f aca="false">IF(C1282="","",IF(I1282="",IF(H1282="OUI","À ENROBER",IF(G1282="À SOUDER","NON SOUDÉ","EN ATTENTE RT")),IF(L1282="R","À REPRENDRE",IF(H1282&lt;&gt;"OUI","⚠ ENROBÉ AVANT ACCEPTATION RT","ENROBÉ"))))</f>
        <v/>
      </c>
      <c r="O1282" s="79"/>
    </row>
    <row r="1283" customFormat="false" ht="15" hidden="false" customHeight="false" outlineLevel="0" collapsed="false">
      <c r="A1283" s="78" t="str">
        <f aca="false">IF('CARNET DE SOUDURE'!E1283="","",'CARNET DE SOUDURE'!A1283)</f>
        <v/>
      </c>
      <c r="B1283" s="93" t="str">
        <f aca="false">IF('CARNET DE SOUDURE'!E1283="","",'CARNET DE SOUDURE'!B1283&amp;"")</f>
        <v/>
      </c>
      <c r="C1283" s="83" t="str">
        <f aca="false">IF('CARNET DE SOUDURE'!E1283="","",'CARNET DE SOUDURE'!E1283)</f>
        <v/>
      </c>
      <c r="D1283" s="78" t="str">
        <f aca="false">IF('CARNET DE SOUDURE'!E1283="","",'CARNET DE SOUDURE'!D1283&amp;"")</f>
        <v/>
      </c>
      <c r="E1283" s="96" t="str">
        <f aca="false">IF(OR('CARNET DE SOUDURE'!E1283="",'CARNET DE SOUDURE'!R1283=""),"",'CARNET DE SOUDURE'!R1283)</f>
        <v/>
      </c>
      <c r="F1283" s="81" t="str">
        <f aca="false">IF('CARNET DE SOUDURE'!E1283="","",'CARNET DE SOUDURE'!AL1283)</f>
        <v/>
      </c>
      <c r="G1283" s="81" t="str">
        <f aca="false">IF('CARNET DE SOUDURE'!E1283="","",'CARNET DE SOUDURE'!AM1283)</f>
        <v/>
      </c>
      <c r="H1283" s="81" t="str">
        <f aca="false">IF(C1283="","",IF(G1283="ACCEPTÉ","OUI","NON"))</f>
        <v/>
      </c>
      <c r="I1283" s="82"/>
      <c r="J1283" s="79"/>
      <c r="K1283" s="80"/>
      <c r="L1283" s="80"/>
      <c r="M1283" s="80"/>
      <c r="N1283" s="83" t="str">
        <f aca="false">IF(C1283="","",IF(I1283="",IF(H1283="OUI","À ENROBER",IF(G1283="À SOUDER","NON SOUDÉ","EN ATTENTE RT")),IF(L1283="R","À REPRENDRE",IF(H1283&lt;&gt;"OUI","⚠ ENROBÉ AVANT ACCEPTATION RT","ENROBÉ"))))</f>
        <v/>
      </c>
      <c r="O1283" s="79"/>
    </row>
    <row r="1284" customFormat="false" ht="15" hidden="false" customHeight="false" outlineLevel="0" collapsed="false">
      <c r="A1284" s="78" t="str">
        <f aca="false">IF('CARNET DE SOUDURE'!E1284="","",'CARNET DE SOUDURE'!A1284)</f>
        <v/>
      </c>
      <c r="B1284" s="93" t="str">
        <f aca="false">IF('CARNET DE SOUDURE'!E1284="","",'CARNET DE SOUDURE'!B1284&amp;"")</f>
        <v/>
      </c>
      <c r="C1284" s="83" t="str">
        <f aca="false">IF('CARNET DE SOUDURE'!E1284="","",'CARNET DE SOUDURE'!E1284)</f>
        <v/>
      </c>
      <c r="D1284" s="78" t="str">
        <f aca="false">IF('CARNET DE SOUDURE'!E1284="","",'CARNET DE SOUDURE'!D1284&amp;"")</f>
        <v/>
      </c>
      <c r="E1284" s="96" t="str">
        <f aca="false">IF(OR('CARNET DE SOUDURE'!E1284="",'CARNET DE SOUDURE'!R1284=""),"",'CARNET DE SOUDURE'!R1284)</f>
        <v/>
      </c>
      <c r="F1284" s="81" t="str">
        <f aca="false">IF('CARNET DE SOUDURE'!E1284="","",'CARNET DE SOUDURE'!AL1284)</f>
        <v/>
      </c>
      <c r="G1284" s="81" t="str">
        <f aca="false">IF('CARNET DE SOUDURE'!E1284="","",'CARNET DE SOUDURE'!AM1284)</f>
        <v/>
      </c>
      <c r="H1284" s="81" t="str">
        <f aca="false">IF(C1284="","",IF(G1284="ACCEPTÉ","OUI","NON"))</f>
        <v/>
      </c>
      <c r="I1284" s="82"/>
      <c r="J1284" s="79"/>
      <c r="K1284" s="80"/>
      <c r="L1284" s="80"/>
      <c r="M1284" s="80"/>
      <c r="N1284" s="83" t="str">
        <f aca="false">IF(C1284="","",IF(I1284="",IF(H1284="OUI","À ENROBER",IF(G1284="À SOUDER","NON SOUDÉ","EN ATTENTE RT")),IF(L1284="R","À REPRENDRE",IF(H1284&lt;&gt;"OUI","⚠ ENROBÉ AVANT ACCEPTATION RT","ENROBÉ"))))</f>
        <v/>
      </c>
      <c r="O1284" s="79"/>
    </row>
    <row r="1285" customFormat="false" ht="15" hidden="false" customHeight="false" outlineLevel="0" collapsed="false">
      <c r="A1285" s="78" t="str">
        <f aca="false">IF('CARNET DE SOUDURE'!E1285="","",'CARNET DE SOUDURE'!A1285)</f>
        <v/>
      </c>
      <c r="B1285" s="93" t="str">
        <f aca="false">IF('CARNET DE SOUDURE'!E1285="","",'CARNET DE SOUDURE'!B1285&amp;"")</f>
        <v/>
      </c>
      <c r="C1285" s="83" t="str">
        <f aca="false">IF('CARNET DE SOUDURE'!E1285="","",'CARNET DE SOUDURE'!E1285)</f>
        <v/>
      </c>
      <c r="D1285" s="78" t="str">
        <f aca="false">IF('CARNET DE SOUDURE'!E1285="","",'CARNET DE SOUDURE'!D1285&amp;"")</f>
        <v/>
      </c>
      <c r="E1285" s="96" t="str">
        <f aca="false">IF(OR('CARNET DE SOUDURE'!E1285="",'CARNET DE SOUDURE'!R1285=""),"",'CARNET DE SOUDURE'!R1285)</f>
        <v/>
      </c>
      <c r="F1285" s="81" t="str">
        <f aca="false">IF('CARNET DE SOUDURE'!E1285="","",'CARNET DE SOUDURE'!AL1285)</f>
        <v/>
      </c>
      <c r="G1285" s="81" t="str">
        <f aca="false">IF('CARNET DE SOUDURE'!E1285="","",'CARNET DE SOUDURE'!AM1285)</f>
        <v/>
      </c>
      <c r="H1285" s="81" t="str">
        <f aca="false">IF(C1285="","",IF(G1285="ACCEPTÉ","OUI","NON"))</f>
        <v/>
      </c>
      <c r="I1285" s="82"/>
      <c r="J1285" s="79"/>
      <c r="K1285" s="80"/>
      <c r="L1285" s="80"/>
      <c r="M1285" s="80"/>
      <c r="N1285" s="83" t="str">
        <f aca="false">IF(C1285="","",IF(I1285="",IF(H1285="OUI","À ENROBER",IF(G1285="À SOUDER","NON SOUDÉ","EN ATTENTE RT")),IF(L1285="R","À REPRENDRE",IF(H1285&lt;&gt;"OUI","⚠ ENROBÉ AVANT ACCEPTATION RT","ENROBÉ"))))</f>
        <v/>
      </c>
      <c r="O1285" s="79"/>
    </row>
    <row r="1286" customFormat="false" ht="15" hidden="false" customHeight="false" outlineLevel="0" collapsed="false">
      <c r="A1286" s="78" t="str">
        <f aca="false">IF('CARNET DE SOUDURE'!E1286="","",'CARNET DE SOUDURE'!A1286)</f>
        <v/>
      </c>
      <c r="B1286" s="93" t="str">
        <f aca="false">IF('CARNET DE SOUDURE'!E1286="","",'CARNET DE SOUDURE'!B1286&amp;"")</f>
        <v/>
      </c>
      <c r="C1286" s="83" t="str">
        <f aca="false">IF('CARNET DE SOUDURE'!E1286="","",'CARNET DE SOUDURE'!E1286)</f>
        <v/>
      </c>
      <c r="D1286" s="78" t="str">
        <f aca="false">IF('CARNET DE SOUDURE'!E1286="","",'CARNET DE SOUDURE'!D1286&amp;"")</f>
        <v/>
      </c>
      <c r="E1286" s="96" t="str">
        <f aca="false">IF(OR('CARNET DE SOUDURE'!E1286="",'CARNET DE SOUDURE'!R1286=""),"",'CARNET DE SOUDURE'!R1286)</f>
        <v/>
      </c>
      <c r="F1286" s="81" t="str">
        <f aca="false">IF('CARNET DE SOUDURE'!E1286="","",'CARNET DE SOUDURE'!AL1286)</f>
        <v/>
      </c>
      <c r="G1286" s="81" t="str">
        <f aca="false">IF('CARNET DE SOUDURE'!E1286="","",'CARNET DE SOUDURE'!AM1286)</f>
        <v/>
      </c>
      <c r="H1286" s="81" t="str">
        <f aca="false">IF(C1286="","",IF(G1286="ACCEPTÉ","OUI","NON"))</f>
        <v/>
      </c>
      <c r="I1286" s="82"/>
      <c r="J1286" s="79"/>
      <c r="K1286" s="80"/>
      <c r="L1286" s="80"/>
      <c r="M1286" s="80"/>
      <c r="N1286" s="83" t="str">
        <f aca="false">IF(C1286="","",IF(I1286="",IF(H1286="OUI","À ENROBER",IF(G1286="À SOUDER","NON SOUDÉ","EN ATTENTE RT")),IF(L1286="R","À REPRENDRE",IF(H1286&lt;&gt;"OUI","⚠ ENROBÉ AVANT ACCEPTATION RT","ENROBÉ"))))</f>
        <v/>
      </c>
      <c r="O1286" s="79"/>
    </row>
    <row r="1287" customFormat="false" ht="15" hidden="false" customHeight="false" outlineLevel="0" collapsed="false">
      <c r="A1287" s="78" t="str">
        <f aca="false">IF('CARNET DE SOUDURE'!E1287="","",'CARNET DE SOUDURE'!A1287)</f>
        <v/>
      </c>
      <c r="B1287" s="93" t="str">
        <f aca="false">IF('CARNET DE SOUDURE'!E1287="","",'CARNET DE SOUDURE'!B1287&amp;"")</f>
        <v/>
      </c>
      <c r="C1287" s="83" t="str">
        <f aca="false">IF('CARNET DE SOUDURE'!E1287="","",'CARNET DE SOUDURE'!E1287)</f>
        <v/>
      </c>
      <c r="D1287" s="78" t="str">
        <f aca="false">IF('CARNET DE SOUDURE'!E1287="","",'CARNET DE SOUDURE'!D1287&amp;"")</f>
        <v/>
      </c>
      <c r="E1287" s="96" t="str">
        <f aca="false">IF(OR('CARNET DE SOUDURE'!E1287="",'CARNET DE SOUDURE'!R1287=""),"",'CARNET DE SOUDURE'!R1287)</f>
        <v/>
      </c>
      <c r="F1287" s="81" t="str">
        <f aca="false">IF('CARNET DE SOUDURE'!E1287="","",'CARNET DE SOUDURE'!AL1287)</f>
        <v/>
      </c>
      <c r="G1287" s="81" t="str">
        <f aca="false">IF('CARNET DE SOUDURE'!E1287="","",'CARNET DE SOUDURE'!AM1287)</f>
        <v/>
      </c>
      <c r="H1287" s="81" t="str">
        <f aca="false">IF(C1287="","",IF(G1287="ACCEPTÉ","OUI","NON"))</f>
        <v/>
      </c>
      <c r="I1287" s="82"/>
      <c r="J1287" s="79"/>
      <c r="K1287" s="80"/>
      <c r="L1287" s="80"/>
      <c r="M1287" s="80"/>
      <c r="N1287" s="83" t="str">
        <f aca="false">IF(C1287="","",IF(I1287="",IF(H1287="OUI","À ENROBER",IF(G1287="À SOUDER","NON SOUDÉ","EN ATTENTE RT")),IF(L1287="R","À REPRENDRE",IF(H1287&lt;&gt;"OUI","⚠ ENROBÉ AVANT ACCEPTATION RT","ENROBÉ"))))</f>
        <v/>
      </c>
      <c r="O1287" s="79"/>
    </row>
    <row r="1288" customFormat="false" ht="15" hidden="false" customHeight="false" outlineLevel="0" collapsed="false">
      <c r="A1288" s="78" t="str">
        <f aca="false">IF('CARNET DE SOUDURE'!E1288="","",'CARNET DE SOUDURE'!A1288)</f>
        <v/>
      </c>
      <c r="B1288" s="93" t="str">
        <f aca="false">IF('CARNET DE SOUDURE'!E1288="","",'CARNET DE SOUDURE'!B1288&amp;"")</f>
        <v/>
      </c>
      <c r="C1288" s="83" t="str">
        <f aca="false">IF('CARNET DE SOUDURE'!E1288="","",'CARNET DE SOUDURE'!E1288)</f>
        <v/>
      </c>
      <c r="D1288" s="78" t="str">
        <f aca="false">IF('CARNET DE SOUDURE'!E1288="","",'CARNET DE SOUDURE'!D1288&amp;"")</f>
        <v/>
      </c>
      <c r="E1288" s="96" t="str">
        <f aca="false">IF(OR('CARNET DE SOUDURE'!E1288="",'CARNET DE SOUDURE'!R1288=""),"",'CARNET DE SOUDURE'!R1288)</f>
        <v/>
      </c>
      <c r="F1288" s="81" t="str">
        <f aca="false">IF('CARNET DE SOUDURE'!E1288="","",'CARNET DE SOUDURE'!AL1288)</f>
        <v/>
      </c>
      <c r="G1288" s="81" t="str">
        <f aca="false">IF('CARNET DE SOUDURE'!E1288="","",'CARNET DE SOUDURE'!AM1288)</f>
        <v/>
      </c>
      <c r="H1288" s="81" t="str">
        <f aca="false">IF(C1288="","",IF(G1288="ACCEPTÉ","OUI","NON"))</f>
        <v/>
      </c>
      <c r="I1288" s="82"/>
      <c r="J1288" s="79"/>
      <c r="K1288" s="80"/>
      <c r="L1288" s="80"/>
      <c r="M1288" s="80"/>
      <c r="N1288" s="83" t="str">
        <f aca="false">IF(C1288="","",IF(I1288="",IF(H1288="OUI","À ENROBER",IF(G1288="À SOUDER","NON SOUDÉ","EN ATTENTE RT")),IF(L1288="R","À REPRENDRE",IF(H1288&lt;&gt;"OUI","⚠ ENROBÉ AVANT ACCEPTATION RT","ENROBÉ"))))</f>
        <v/>
      </c>
      <c r="O1288" s="79"/>
    </row>
    <row r="1289" customFormat="false" ht="15" hidden="false" customHeight="false" outlineLevel="0" collapsed="false">
      <c r="A1289" s="78" t="str">
        <f aca="false">IF('CARNET DE SOUDURE'!E1289="","",'CARNET DE SOUDURE'!A1289)</f>
        <v/>
      </c>
      <c r="B1289" s="93" t="str">
        <f aca="false">IF('CARNET DE SOUDURE'!E1289="","",'CARNET DE SOUDURE'!B1289&amp;"")</f>
        <v/>
      </c>
      <c r="C1289" s="83" t="str">
        <f aca="false">IF('CARNET DE SOUDURE'!E1289="","",'CARNET DE SOUDURE'!E1289)</f>
        <v/>
      </c>
      <c r="D1289" s="78" t="str">
        <f aca="false">IF('CARNET DE SOUDURE'!E1289="","",'CARNET DE SOUDURE'!D1289&amp;"")</f>
        <v/>
      </c>
      <c r="E1289" s="96" t="str">
        <f aca="false">IF(OR('CARNET DE SOUDURE'!E1289="",'CARNET DE SOUDURE'!R1289=""),"",'CARNET DE SOUDURE'!R1289)</f>
        <v/>
      </c>
      <c r="F1289" s="81" t="str">
        <f aca="false">IF('CARNET DE SOUDURE'!E1289="","",'CARNET DE SOUDURE'!AL1289)</f>
        <v/>
      </c>
      <c r="G1289" s="81" t="str">
        <f aca="false">IF('CARNET DE SOUDURE'!E1289="","",'CARNET DE SOUDURE'!AM1289)</f>
        <v/>
      </c>
      <c r="H1289" s="81" t="str">
        <f aca="false">IF(C1289="","",IF(G1289="ACCEPTÉ","OUI","NON"))</f>
        <v/>
      </c>
      <c r="I1289" s="82"/>
      <c r="J1289" s="79"/>
      <c r="K1289" s="80"/>
      <c r="L1289" s="80"/>
      <c r="M1289" s="80"/>
      <c r="N1289" s="83" t="str">
        <f aca="false">IF(C1289="","",IF(I1289="",IF(H1289="OUI","À ENROBER",IF(G1289="À SOUDER","NON SOUDÉ","EN ATTENTE RT")),IF(L1289="R","À REPRENDRE",IF(H1289&lt;&gt;"OUI","⚠ ENROBÉ AVANT ACCEPTATION RT","ENROBÉ"))))</f>
        <v/>
      </c>
      <c r="O1289" s="79"/>
    </row>
    <row r="1290" customFormat="false" ht="15" hidden="false" customHeight="false" outlineLevel="0" collapsed="false">
      <c r="A1290" s="78" t="str">
        <f aca="false">IF('CARNET DE SOUDURE'!E1290="","",'CARNET DE SOUDURE'!A1290)</f>
        <v/>
      </c>
      <c r="B1290" s="93" t="str">
        <f aca="false">IF('CARNET DE SOUDURE'!E1290="","",'CARNET DE SOUDURE'!B1290&amp;"")</f>
        <v/>
      </c>
      <c r="C1290" s="83" t="str">
        <f aca="false">IF('CARNET DE SOUDURE'!E1290="","",'CARNET DE SOUDURE'!E1290)</f>
        <v/>
      </c>
      <c r="D1290" s="78" t="str">
        <f aca="false">IF('CARNET DE SOUDURE'!E1290="","",'CARNET DE SOUDURE'!D1290&amp;"")</f>
        <v/>
      </c>
      <c r="E1290" s="96" t="str">
        <f aca="false">IF(OR('CARNET DE SOUDURE'!E1290="",'CARNET DE SOUDURE'!R1290=""),"",'CARNET DE SOUDURE'!R1290)</f>
        <v/>
      </c>
      <c r="F1290" s="81" t="str">
        <f aca="false">IF('CARNET DE SOUDURE'!E1290="","",'CARNET DE SOUDURE'!AL1290)</f>
        <v/>
      </c>
      <c r="G1290" s="81" t="str">
        <f aca="false">IF('CARNET DE SOUDURE'!E1290="","",'CARNET DE SOUDURE'!AM1290)</f>
        <v/>
      </c>
      <c r="H1290" s="81" t="str">
        <f aca="false">IF(C1290="","",IF(G1290="ACCEPTÉ","OUI","NON"))</f>
        <v/>
      </c>
      <c r="I1290" s="82"/>
      <c r="J1290" s="79"/>
      <c r="K1290" s="80"/>
      <c r="L1290" s="80"/>
      <c r="M1290" s="80"/>
      <c r="N1290" s="83" t="str">
        <f aca="false">IF(C1290="","",IF(I1290="",IF(H1290="OUI","À ENROBER",IF(G1290="À SOUDER","NON SOUDÉ","EN ATTENTE RT")),IF(L1290="R","À REPRENDRE",IF(H1290&lt;&gt;"OUI","⚠ ENROBÉ AVANT ACCEPTATION RT","ENROBÉ"))))</f>
        <v/>
      </c>
      <c r="O1290" s="79"/>
    </row>
    <row r="1291" customFormat="false" ht="15" hidden="false" customHeight="false" outlineLevel="0" collapsed="false">
      <c r="A1291" s="78" t="str">
        <f aca="false">IF('CARNET DE SOUDURE'!E1291="","",'CARNET DE SOUDURE'!A1291)</f>
        <v/>
      </c>
      <c r="B1291" s="93" t="str">
        <f aca="false">IF('CARNET DE SOUDURE'!E1291="","",'CARNET DE SOUDURE'!B1291&amp;"")</f>
        <v/>
      </c>
      <c r="C1291" s="83" t="str">
        <f aca="false">IF('CARNET DE SOUDURE'!E1291="","",'CARNET DE SOUDURE'!E1291)</f>
        <v/>
      </c>
      <c r="D1291" s="78" t="str">
        <f aca="false">IF('CARNET DE SOUDURE'!E1291="","",'CARNET DE SOUDURE'!D1291&amp;"")</f>
        <v/>
      </c>
      <c r="E1291" s="96" t="str">
        <f aca="false">IF(OR('CARNET DE SOUDURE'!E1291="",'CARNET DE SOUDURE'!R1291=""),"",'CARNET DE SOUDURE'!R1291)</f>
        <v/>
      </c>
      <c r="F1291" s="81" t="str">
        <f aca="false">IF('CARNET DE SOUDURE'!E1291="","",'CARNET DE SOUDURE'!AL1291)</f>
        <v/>
      </c>
      <c r="G1291" s="81" t="str">
        <f aca="false">IF('CARNET DE SOUDURE'!E1291="","",'CARNET DE SOUDURE'!AM1291)</f>
        <v/>
      </c>
      <c r="H1291" s="81" t="str">
        <f aca="false">IF(C1291="","",IF(G1291="ACCEPTÉ","OUI","NON"))</f>
        <v/>
      </c>
      <c r="I1291" s="82"/>
      <c r="J1291" s="79"/>
      <c r="K1291" s="80"/>
      <c r="L1291" s="80"/>
      <c r="M1291" s="80"/>
      <c r="N1291" s="83" t="str">
        <f aca="false">IF(C1291="","",IF(I1291="",IF(H1291="OUI","À ENROBER",IF(G1291="À SOUDER","NON SOUDÉ","EN ATTENTE RT")),IF(L1291="R","À REPRENDRE",IF(H1291&lt;&gt;"OUI","⚠ ENROBÉ AVANT ACCEPTATION RT","ENROBÉ"))))</f>
        <v/>
      </c>
      <c r="O1291" s="79"/>
    </row>
    <row r="1292" customFormat="false" ht="15" hidden="false" customHeight="false" outlineLevel="0" collapsed="false">
      <c r="A1292" s="78" t="str">
        <f aca="false">IF('CARNET DE SOUDURE'!E1292="","",'CARNET DE SOUDURE'!A1292)</f>
        <v/>
      </c>
      <c r="B1292" s="93" t="str">
        <f aca="false">IF('CARNET DE SOUDURE'!E1292="","",'CARNET DE SOUDURE'!B1292&amp;"")</f>
        <v/>
      </c>
      <c r="C1292" s="83" t="str">
        <f aca="false">IF('CARNET DE SOUDURE'!E1292="","",'CARNET DE SOUDURE'!E1292)</f>
        <v/>
      </c>
      <c r="D1292" s="78" t="str">
        <f aca="false">IF('CARNET DE SOUDURE'!E1292="","",'CARNET DE SOUDURE'!D1292&amp;"")</f>
        <v/>
      </c>
      <c r="E1292" s="96" t="str">
        <f aca="false">IF(OR('CARNET DE SOUDURE'!E1292="",'CARNET DE SOUDURE'!R1292=""),"",'CARNET DE SOUDURE'!R1292)</f>
        <v/>
      </c>
      <c r="F1292" s="81" t="str">
        <f aca="false">IF('CARNET DE SOUDURE'!E1292="","",'CARNET DE SOUDURE'!AL1292)</f>
        <v/>
      </c>
      <c r="G1292" s="81" t="str">
        <f aca="false">IF('CARNET DE SOUDURE'!E1292="","",'CARNET DE SOUDURE'!AM1292)</f>
        <v/>
      </c>
      <c r="H1292" s="81" t="str">
        <f aca="false">IF(C1292="","",IF(G1292="ACCEPTÉ","OUI","NON"))</f>
        <v/>
      </c>
      <c r="I1292" s="82"/>
      <c r="J1292" s="79"/>
      <c r="K1292" s="80"/>
      <c r="L1292" s="80"/>
      <c r="M1292" s="80"/>
      <c r="N1292" s="83" t="str">
        <f aca="false">IF(C1292="","",IF(I1292="",IF(H1292="OUI","À ENROBER",IF(G1292="À SOUDER","NON SOUDÉ","EN ATTENTE RT")),IF(L1292="R","À REPRENDRE",IF(H1292&lt;&gt;"OUI","⚠ ENROBÉ AVANT ACCEPTATION RT","ENROBÉ"))))</f>
        <v/>
      </c>
      <c r="O1292" s="79"/>
    </row>
    <row r="1293" customFormat="false" ht="15" hidden="false" customHeight="false" outlineLevel="0" collapsed="false">
      <c r="A1293" s="78" t="str">
        <f aca="false">IF('CARNET DE SOUDURE'!E1293="","",'CARNET DE SOUDURE'!A1293)</f>
        <v/>
      </c>
      <c r="B1293" s="93" t="str">
        <f aca="false">IF('CARNET DE SOUDURE'!E1293="","",'CARNET DE SOUDURE'!B1293&amp;"")</f>
        <v/>
      </c>
      <c r="C1293" s="83" t="str">
        <f aca="false">IF('CARNET DE SOUDURE'!E1293="","",'CARNET DE SOUDURE'!E1293)</f>
        <v/>
      </c>
      <c r="D1293" s="78" t="str">
        <f aca="false">IF('CARNET DE SOUDURE'!E1293="","",'CARNET DE SOUDURE'!D1293&amp;"")</f>
        <v/>
      </c>
      <c r="E1293" s="96" t="str">
        <f aca="false">IF(OR('CARNET DE SOUDURE'!E1293="",'CARNET DE SOUDURE'!R1293=""),"",'CARNET DE SOUDURE'!R1293)</f>
        <v/>
      </c>
      <c r="F1293" s="81" t="str">
        <f aca="false">IF('CARNET DE SOUDURE'!E1293="","",'CARNET DE SOUDURE'!AL1293)</f>
        <v/>
      </c>
      <c r="G1293" s="81" t="str">
        <f aca="false">IF('CARNET DE SOUDURE'!E1293="","",'CARNET DE SOUDURE'!AM1293)</f>
        <v/>
      </c>
      <c r="H1293" s="81" t="str">
        <f aca="false">IF(C1293="","",IF(G1293="ACCEPTÉ","OUI","NON"))</f>
        <v/>
      </c>
      <c r="I1293" s="82"/>
      <c r="J1293" s="79"/>
      <c r="K1293" s="80"/>
      <c r="L1293" s="80"/>
      <c r="M1293" s="80"/>
      <c r="N1293" s="83" t="str">
        <f aca="false">IF(C1293="","",IF(I1293="",IF(H1293="OUI","À ENROBER",IF(G1293="À SOUDER","NON SOUDÉ","EN ATTENTE RT")),IF(L1293="R","À REPRENDRE",IF(H1293&lt;&gt;"OUI","⚠ ENROBÉ AVANT ACCEPTATION RT","ENROBÉ"))))</f>
        <v/>
      </c>
      <c r="O1293" s="79"/>
    </row>
    <row r="1294" customFormat="false" ht="15" hidden="false" customHeight="false" outlineLevel="0" collapsed="false">
      <c r="A1294" s="78" t="str">
        <f aca="false">IF('CARNET DE SOUDURE'!E1294="","",'CARNET DE SOUDURE'!A1294)</f>
        <v/>
      </c>
      <c r="B1294" s="93" t="str">
        <f aca="false">IF('CARNET DE SOUDURE'!E1294="","",'CARNET DE SOUDURE'!B1294&amp;"")</f>
        <v/>
      </c>
      <c r="C1294" s="83" t="str">
        <f aca="false">IF('CARNET DE SOUDURE'!E1294="","",'CARNET DE SOUDURE'!E1294)</f>
        <v/>
      </c>
      <c r="D1294" s="78" t="str">
        <f aca="false">IF('CARNET DE SOUDURE'!E1294="","",'CARNET DE SOUDURE'!D1294&amp;"")</f>
        <v/>
      </c>
      <c r="E1294" s="96" t="str">
        <f aca="false">IF(OR('CARNET DE SOUDURE'!E1294="",'CARNET DE SOUDURE'!R1294=""),"",'CARNET DE SOUDURE'!R1294)</f>
        <v/>
      </c>
      <c r="F1294" s="81" t="str">
        <f aca="false">IF('CARNET DE SOUDURE'!E1294="","",'CARNET DE SOUDURE'!AL1294)</f>
        <v/>
      </c>
      <c r="G1294" s="81" t="str">
        <f aca="false">IF('CARNET DE SOUDURE'!E1294="","",'CARNET DE SOUDURE'!AM1294)</f>
        <v/>
      </c>
      <c r="H1294" s="81" t="str">
        <f aca="false">IF(C1294="","",IF(G1294="ACCEPTÉ","OUI","NON"))</f>
        <v/>
      </c>
      <c r="I1294" s="82"/>
      <c r="J1294" s="79"/>
      <c r="K1294" s="80"/>
      <c r="L1294" s="80"/>
      <c r="M1294" s="80"/>
      <c r="N1294" s="83" t="str">
        <f aca="false">IF(C1294="","",IF(I1294="",IF(H1294="OUI","À ENROBER",IF(G1294="À SOUDER","NON SOUDÉ","EN ATTENTE RT")),IF(L1294="R","À REPRENDRE",IF(H1294&lt;&gt;"OUI","⚠ ENROBÉ AVANT ACCEPTATION RT","ENROBÉ"))))</f>
        <v/>
      </c>
      <c r="O1294" s="79"/>
    </row>
    <row r="1295" customFormat="false" ht="15" hidden="false" customHeight="false" outlineLevel="0" collapsed="false">
      <c r="A1295" s="78" t="str">
        <f aca="false">IF('CARNET DE SOUDURE'!E1295="","",'CARNET DE SOUDURE'!A1295)</f>
        <v/>
      </c>
      <c r="B1295" s="93" t="str">
        <f aca="false">IF('CARNET DE SOUDURE'!E1295="","",'CARNET DE SOUDURE'!B1295&amp;"")</f>
        <v/>
      </c>
      <c r="C1295" s="83" t="str">
        <f aca="false">IF('CARNET DE SOUDURE'!E1295="","",'CARNET DE SOUDURE'!E1295)</f>
        <v/>
      </c>
      <c r="D1295" s="78" t="str">
        <f aca="false">IF('CARNET DE SOUDURE'!E1295="","",'CARNET DE SOUDURE'!D1295&amp;"")</f>
        <v/>
      </c>
      <c r="E1295" s="96" t="str">
        <f aca="false">IF(OR('CARNET DE SOUDURE'!E1295="",'CARNET DE SOUDURE'!R1295=""),"",'CARNET DE SOUDURE'!R1295)</f>
        <v/>
      </c>
      <c r="F1295" s="81" t="str">
        <f aca="false">IF('CARNET DE SOUDURE'!E1295="","",'CARNET DE SOUDURE'!AL1295)</f>
        <v/>
      </c>
      <c r="G1295" s="81" t="str">
        <f aca="false">IF('CARNET DE SOUDURE'!E1295="","",'CARNET DE SOUDURE'!AM1295)</f>
        <v/>
      </c>
      <c r="H1295" s="81" t="str">
        <f aca="false">IF(C1295="","",IF(G1295="ACCEPTÉ","OUI","NON"))</f>
        <v/>
      </c>
      <c r="I1295" s="82"/>
      <c r="J1295" s="79"/>
      <c r="K1295" s="80"/>
      <c r="L1295" s="80"/>
      <c r="M1295" s="80"/>
      <c r="N1295" s="83" t="str">
        <f aca="false">IF(C1295="","",IF(I1295="",IF(H1295="OUI","À ENROBER",IF(G1295="À SOUDER","NON SOUDÉ","EN ATTENTE RT")),IF(L1295="R","À REPRENDRE",IF(H1295&lt;&gt;"OUI","⚠ ENROBÉ AVANT ACCEPTATION RT","ENROBÉ"))))</f>
        <v/>
      </c>
      <c r="O1295" s="79"/>
    </row>
    <row r="1296" customFormat="false" ht="15" hidden="false" customHeight="false" outlineLevel="0" collapsed="false">
      <c r="A1296" s="78" t="str">
        <f aca="false">IF('CARNET DE SOUDURE'!E1296="","",'CARNET DE SOUDURE'!A1296)</f>
        <v/>
      </c>
      <c r="B1296" s="93" t="str">
        <f aca="false">IF('CARNET DE SOUDURE'!E1296="","",'CARNET DE SOUDURE'!B1296&amp;"")</f>
        <v/>
      </c>
      <c r="C1296" s="83" t="str">
        <f aca="false">IF('CARNET DE SOUDURE'!E1296="","",'CARNET DE SOUDURE'!E1296)</f>
        <v/>
      </c>
      <c r="D1296" s="78" t="str">
        <f aca="false">IF('CARNET DE SOUDURE'!E1296="","",'CARNET DE SOUDURE'!D1296&amp;"")</f>
        <v/>
      </c>
      <c r="E1296" s="96" t="str">
        <f aca="false">IF(OR('CARNET DE SOUDURE'!E1296="",'CARNET DE SOUDURE'!R1296=""),"",'CARNET DE SOUDURE'!R1296)</f>
        <v/>
      </c>
      <c r="F1296" s="81" t="str">
        <f aca="false">IF('CARNET DE SOUDURE'!E1296="","",'CARNET DE SOUDURE'!AL1296)</f>
        <v/>
      </c>
      <c r="G1296" s="81" t="str">
        <f aca="false">IF('CARNET DE SOUDURE'!E1296="","",'CARNET DE SOUDURE'!AM1296)</f>
        <v/>
      </c>
      <c r="H1296" s="81" t="str">
        <f aca="false">IF(C1296="","",IF(G1296="ACCEPTÉ","OUI","NON"))</f>
        <v/>
      </c>
      <c r="I1296" s="82"/>
      <c r="J1296" s="79"/>
      <c r="K1296" s="80"/>
      <c r="L1296" s="80"/>
      <c r="M1296" s="80"/>
      <c r="N1296" s="83" t="str">
        <f aca="false">IF(C1296="","",IF(I1296="",IF(H1296="OUI","À ENROBER",IF(G1296="À SOUDER","NON SOUDÉ","EN ATTENTE RT")),IF(L1296="R","À REPRENDRE",IF(H1296&lt;&gt;"OUI","⚠ ENROBÉ AVANT ACCEPTATION RT","ENROBÉ"))))</f>
        <v/>
      </c>
      <c r="O1296" s="79"/>
    </row>
    <row r="1297" customFormat="false" ht="15" hidden="false" customHeight="false" outlineLevel="0" collapsed="false">
      <c r="A1297" s="78" t="str">
        <f aca="false">IF('CARNET DE SOUDURE'!E1297="","",'CARNET DE SOUDURE'!A1297)</f>
        <v/>
      </c>
      <c r="B1297" s="93" t="str">
        <f aca="false">IF('CARNET DE SOUDURE'!E1297="","",'CARNET DE SOUDURE'!B1297&amp;"")</f>
        <v/>
      </c>
      <c r="C1297" s="83" t="str">
        <f aca="false">IF('CARNET DE SOUDURE'!E1297="","",'CARNET DE SOUDURE'!E1297)</f>
        <v/>
      </c>
      <c r="D1297" s="78" t="str">
        <f aca="false">IF('CARNET DE SOUDURE'!E1297="","",'CARNET DE SOUDURE'!D1297&amp;"")</f>
        <v/>
      </c>
      <c r="E1297" s="96" t="str">
        <f aca="false">IF(OR('CARNET DE SOUDURE'!E1297="",'CARNET DE SOUDURE'!R1297=""),"",'CARNET DE SOUDURE'!R1297)</f>
        <v/>
      </c>
      <c r="F1297" s="81" t="str">
        <f aca="false">IF('CARNET DE SOUDURE'!E1297="","",'CARNET DE SOUDURE'!AL1297)</f>
        <v/>
      </c>
      <c r="G1297" s="81" t="str">
        <f aca="false">IF('CARNET DE SOUDURE'!E1297="","",'CARNET DE SOUDURE'!AM1297)</f>
        <v/>
      </c>
      <c r="H1297" s="81" t="str">
        <f aca="false">IF(C1297="","",IF(G1297="ACCEPTÉ","OUI","NON"))</f>
        <v/>
      </c>
      <c r="I1297" s="82"/>
      <c r="J1297" s="79"/>
      <c r="K1297" s="80"/>
      <c r="L1297" s="80"/>
      <c r="M1297" s="80"/>
      <c r="N1297" s="83" t="str">
        <f aca="false">IF(C1297="","",IF(I1297="",IF(H1297="OUI","À ENROBER",IF(G1297="À SOUDER","NON SOUDÉ","EN ATTENTE RT")),IF(L1297="R","À REPRENDRE",IF(H1297&lt;&gt;"OUI","⚠ ENROBÉ AVANT ACCEPTATION RT","ENROBÉ"))))</f>
        <v/>
      </c>
      <c r="O1297" s="79"/>
    </row>
    <row r="1298" customFormat="false" ht="15" hidden="false" customHeight="false" outlineLevel="0" collapsed="false">
      <c r="A1298" s="78" t="str">
        <f aca="false">IF('CARNET DE SOUDURE'!E1298="","",'CARNET DE SOUDURE'!A1298)</f>
        <v/>
      </c>
      <c r="B1298" s="93" t="str">
        <f aca="false">IF('CARNET DE SOUDURE'!E1298="","",'CARNET DE SOUDURE'!B1298&amp;"")</f>
        <v/>
      </c>
      <c r="C1298" s="83" t="str">
        <f aca="false">IF('CARNET DE SOUDURE'!E1298="","",'CARNET DE SOUDURE'!E1298)</f>
        <v/>
      </c>
      <c r="D1298" s="78" t="str">
        <f aca="false">IF('CARNET DE SOUDURE'!E1298="","",'CARNET DE SOUDURE'!D1298&amp;"")</f>
        <v/>
      </c>
      <c r="E1298" s="96" t="str">
        <f aca="false">IF(OR('CARNET DE SOUDURE'!E1298="",'CARNET DE SOUDURE'!R1298=""),"",'CARNET DE SOUDURE'!R1298)</f>
        <v/>
      </c>
      <c r="F1298" s="81" t="str">
        <f aca="false">IF('CARNET DE SOUDURE'!E1298="","",'CARNET DE SOUDURE'!AL1298)</f>
        <v/>
      </c>
      <c r="G1298" s="81" t="str">
        <f aca="false">IF('CARNET DE SOUDURE'!E1298="","",'CARNET DE SOUDURE'!AM1298)</f>
        <v/>
      </c>
      <c r="H1298" s="81" t="str">
        <f aca="false">IF(C1298="","",IF(G1298="ACCEPTÉ","OUI","NON"))</f>
        <v/>
      </c>
      <c r="I1298" s="82"/>
      <c r="J1298" s="79"/>
      <c r="K1298" s="80"/>
      <c r="L1298" s="80"/>
      <c r="M1298" s="80"/>
      <c r="N1298" s="83" t="str">
        <f aca="false">IF(C1298="","",IF(I1298="",IF(H1298="OUI","À ENROBER",IF(G1298="À SOUDER","NON SOUDÉ","EN ATTENTE RT")),IF(L1298="R","À REPRENDRE",IF(H1298&lt;&gt;"OUI","⚠ ENROBÉ AVANT ACCEPTATION RT","ENROBÉ"))))</f>
        <v/>
      </c>
      <c r="O1298" s="79"/>
    </row>
    <row r="1299" customFormat="false" ht="15" hidden="false" customHeight="false" outlineLevel="0" collapsed="false">
      <c r="A1299" s="78" t="str">
        <f aca="false">IF('CARNET DE SOUDURE'!E1299="","",'CARNET DE SOUDURE'!A1299)</f>
        <v/>
      </c>
      <c r="B1299" s="93" t="str">
        <f aca="false">IF('CARNET DE SOUDURE'!E1299="","",'CARNET DE SOUDURE'!B1299&amp;"")</f>
        <v/>
      </c>
      <c r="C1299" s="83" t="str">
        <f aca="false">IF('CARNET DE SOUDURE'!E1299="","",'CARNET DE SOUDURE'!E1299)</f>
        <v/>
      </c>
      <c r="D1299" s="78" t="str">
        <f aca="false">IF('CARNET DE SOUDURE'!E1299="","",'CARNET DE SOUDURE'!D1299&amp;"")</f>
        <v/>
      </c>
      <c r="E1299" s="96" t="str">
        <f aca="false">IF(OR('CARNET DE SOUDURE'!E1299="",'CARNET DE SOUDURE'!R1299=""),"",'CARNET DE SOUDURE'!R1299)</f>
        <v/>
      </c>
      <c r="F1299" s="81" t="str">
        <f aca="false">IF('CARNET DE SOUDURE'!E1299="","",'CARNET DE SOUDURE'!AL1299)</f>
        <v/>
      </c>
      <c r="G1299" s="81" t="str">
        <f aca="false">IF('CARNET DE SOUDURE'!E1299="","",'CARNET DE SOUDURE'!AM1299)</f>
        <v/>
      </c>
      <c r="H1299" s="81" t="str">
        <f aca="false">IF(C1299="","",IF(G1299="ACCEPTÉ","OUI","NON"))</f>
        <v/>
      </c>
      <c r="I1299" s="82"/>
      <c r="J1299" s="79"/>
      <c r="K1299" s="80"/>
      <c r="L1299" s="80"/>
      <c r="M1299" s="80"/>
      <c r="N1299" s="83" t="str">
        <f aca="false">IF(C1299="","",IF(I1299="",IF(H1299="OUI","À ENROBER",IF(G1299="À SOUDER","NON SOUDÉ","EN ATTENTE RT")),IF(L1299="R","À REPRENDRE",IF(H1299&lt;&gt;"OUI","⚠ ENROBÉ AVANT ACCEPTATION RT","ENROBÉ"))))</f>
        <v/>
      </c>
      <c r="O1299" s="79"/>
    </row>
    <row r="1300" customFormat="false" ht="15" hidden="false" customHeight="false" outlineLevel="0" collapsed="false">
      <c r="A1300" s="78" t="str">
        <f aca="false">IF('CARNET DE SOUDURE'!E1300="","",'CARNET DE SOUDURE'!A1300)</f>
        <v/>
      </c>
      <c r="B1300" s="93" t="str">
        <f aca="false">IF('CARNET DE SOUDURE'!E1300="","",'CARNET DE SOUDURE'!B1300&amp;"")</f>
        <v/>
      </c>
      <c r="C1300" s="83" t="str">
        <f aca="false">IF('CARNET DE SOUDURE'!E1300="","",'CARNET DE SOUDURE'!E1300)</f>
        <v/>
      </c>
      <c r="D1300" s="78" t="str">
        <f aca="false">IF('CARNET DE SOUDURE'!E1300="","",'CARNET DE SOUDURE'!D1300&amp;"")</f>
        <v/>
      </c>
      <c r="E1300" s="96" t="str">
        <f aca="false">IF(OR('CARNET DE SOUDURE'!E1300="",'CARNET DE SOUDURE'!R1300=""),"",'CARNET DE SOUDURE'!R1300)</f>
        <v/>
      </c>
      <c r="F1300" s="81" t="str">
        <f aca="false">IF('CARNET DE SOUDURE'!E1300="","",'CARNET DE SOUDURE'!AL1300)</f>
        <v/>
      </c>
      <c r="G1300" s="81" t="str">
        <f aca="false">IF('CARNET DE SOUDURE'!E1300="","",'CARNET DE SOUDURE'!AM1300)</f>
        <v/>
      </c>
      <c r="H1300" s="81" t="str">
        <f aca="false">IF(C1300="","",IF(G1300="ACCEPTÉ","OUI","NON"))</f>
        <v/>
      </c>
      <c r="I1300" s="82"/>
      <c r="J1300" s="79"/>
      <c r="K1300" s="80"/>
      <c r="L1300" s="80"/>
      <c r="M1300" s="80"/>
      <c r="N1300" s="83" t="str">
        <f aca="false">IF(C1300="","",IF(I1300="",IF(H1300="OUI","À ENROBER",IF(G1300="À SOUDER","NON SOUDÉ","EN ATTENTE RT")),IF(L1300="R","À REPRENDRE",IF(H1300&lt;&gt;"OUI","⚠ ENROBÉ AVANT ACCEPTATION RT","ENROBÉ"))))</f>
        <v/>
      </c>
      <c r="O1300" s="79"/>
    </row>
    <row r="1301" customFormat="false" ht="15" hidden="false" customHeight="false" outlineLevel="0" collapsed="false">
      <c r="A1301" s="78" t="str">
        <f aca="false">IF('CARNET DE SOUDURE'!E1301="","",'CARNET DE SOUDURE'!A1301)</f>
        <v/>
      </c>
      <c r="B1301" s="93" t="str">
        <f aca="false">IF('CARNET DE SOUDURE'!E1301="","",'CARNET DE SOUDURE'!B1301&amp;"")</f>
        <v/>
      </c>
      <c r="C1301" s="83" t="str">
        <f aca="false">IF('CARNET DE SOUDURE'!E1301="","",'CARNET DE SOUDURE'!E1301)</f>
        <v/>
      </c>
      <c r="D1301" s="78" t="str">
        <f aca="false">IF('CARNET DE SOUDURE'!E1301="","",'CARNET DE SOUDURE'!D1301&amp;"")</f>
        <v/>
      </c>
      <c r="E1301" s="96" t="str">
        <f aca="false">IF(OR('CARNET DE SOUDURE'!E1301="",'CARNET DE SOUDURE'!R1301=""),"",'CARNET DE SOUDURE'!R1301)</f>
        <v/>
      </c>
      <c r="F1301" s="81" t="str">
        <f aca="false">IF('CARNET DE SOUDURE'!E1301="","",'CARNET DE SOUDURE'!AL1301)</f>
        <v/>
      </c>
      <c r="G1301" s="81" t="str">
        <f aca="false">IF('CARNET DE SOUDURE'!E1301="","",'CARNET DE SOUDURE'!AM1301)</f>
        <v/>
      </c>
      <c r="H1301" s="81" t="str">
        <f aca="false">IF(C1301="","",IF(G1301="ACCEPTÉ","OUI","NON"))</f>
        <v/>
      </c>
      <c r="I1301" s="82"/>
      <c r="J1301" s="79"/>
      <c r="K1301" s="80"/>
      <c r="L1301" s="80"/>
      <c r="M1301" s="80"/>
      <c r="N1301" s="83" t="str">
        <f aca="false">IF(C1301="","",IF(I1301="",IF(H1301="OUI","À ENROBER",IF(G1301="À SOUDER","NON SOUDÉ","EN ATTENTE RT")),IF(L1301="R","À REPRENDRE",IF(H1301&lt;&gt;"OUI","⚠ ENROBÉ AVANT ACCEPTATION RT","ENROBÉ"))))</f>
        <v/>
      </c>
      <c r="O1301" s="79"/>
    </row>
    <row r="1302" customFormat="false" ht="15" hidden="false" customHeight="false" outlineLevel="0" collapsed="false">
      <c r="A1302" s="78" t="str">
        <f aca="false">IF('CARNET DE SOUDURE'!E1302="","",'CARNET DE SOUDURE'!A1302)</f>
        <v/>
      </c>
      <c r="B1302" s="93" t="str">
        <f aca="false">IF('CARNET DE SOUDURE'!E1302="","",'CARNET DE SOUDURE'!B1302&amp;"")</f>
        <v/>
      </c>
      <c r="C1302" s="83" t="str">
        <f aca="false">IF('CARNET DE SOUDURE'!E1302="","",'CARNET DE SOUDURE'!E1302)</f>
        <v/>
      </c>
      <c r="D1302" s="78" t="str">
        <f aca="false">IF('CARNET DE SOUDURE'!E1302="","",'CARNET DE SOUDURE'!D1302&amp;"")</f>
        <v/>
      </c>
      <c r="E1302" s="96" t="str">
        <f aca="false">IF(OR('CARNET DE SOUDURE'!E1302="",'CARNET DE SOUDURE'!R1302=""),"",'CARNET DE SOUDURE'!R1302)</f>
        <v/>
      </c>
      <c r="F1302" s="81" t="str">
        <f aca="false">IF('CARNET DE SOUDURE'!E1302="","",'CARNET DE SOUDURE'!AL1302)</f>
        <v/>
      </c>
      <c r="G1302" s="81" t="str">
        <f aca="false">IF('CARNET DE SOUDURE'!E1302="","",'CARNET DE SOUDURE'!AM1302)</f>
        <v/>
      </c>
      <c r="H1302" s="81" t="str">
        <f aca="false">IF(C1302="","",IF(G1302="ACCEPTÉ","OUI","NON"))</f>
        <v/>
      </c>
      <c r="I1302" s="82"/>
      <c r="J1302" s="79"/>
      <c r="K1302" s="80"/>
      <c r="L1302" s="80"/>
      <c r="M1302" s="80"/>
      <c r="N1302" s="83" t="str">
        <f aca="false">IF(C1302="","",IF(I1302="",IF(H1302="OUI","À ENROBER",IF(G1302="À SOUDER","NON SOUDÉ","EN ATTENTE RT")),IF(L1302="R","À REPRENDRE",IF(H1302&lt;&gt;"OUI","⚠ ENROBÉ AVANT ACCEPTATION RT","ENROBÉ"))))</f>
        <v/>
      </c>
      <c r="O1302" s="79"/>
    </row>
    <row r="1303" customFormat="false" ht="15" hidden="false" customHeight="false" outlineLevel="0" collapsed="false">
      <c r="A1303" s="78" t="str">
        <f aca="false">IF('CARNET DE SOUDURE'!E1303="","",'CARNET DE SOUDURE'!A1303)</f>
        <v/>
      </c>
      <c r="B1303" s="93" t="str">
        <f aca="false">IF('CARNET DE SOUDURE'!E1303="","",'CARNET DE SOUDURE'!B1303&amp;"")</f>
        <v/>
      </c>
      <c r="C1303" s="83" t="str">
        <f aca="false">IF('CARNET DE SOUDURE'!E1303="","",'CARNET DE SOUDURE'!E1303)</f>
        <v/>
      </c>
      <c r="D1303" s="78" t="str">
        <f aca="false">IF('CARNET DE SOUDURE'!E1303="","",'CARNET DE SOUDURE'!D1303&amp;"")</f>
        <v/>
      </c>
      <c r="E1303" s="96" t="str">
        <f aca="false">IF(OR('CARNET DE SOUDURE'!E1303="",'CARNET DE SOUDURE'!R1303=""),"",'CARNET DE SOUDURE'!R1303)</f>
        <v/>
      </c>
      <c r="F1303" s="81" t="str">
        <f aca="false">IF('CARNET DE SOUDURE'!E1303="","",'CARNET DE SOUDURE'!AL1303)</f>
        <v/>
      </c>
      <c r="G1303" s="81" t="str">
        <f aca="false">IF('CARNET DE SOUDURE'!E1303="","",'CARNET DE SOUDURE'!AM1303)</f>
        <v/>
      </c>
      <c r="H1303" s="81" t="str">
        <f aca="false">IF(C1303="","",IF(G1303="ACCEPTÉ","OUI","NON"))</f>
        <v/>
      </c>
      <c r="I1303" s="82"/>
      <c r="J1303" s="79"/>
      <c r="K1303" s="80"/>
      <c r="L1303" s="80"/>
      <c r="M1303" s="80"/>
      <c r="N1303" s="83" t="str">
        <f aca="false">IF(C1303="","",IF(I1303="",IF(H1303="OUI","À ENROBER",IF(G1303="À SOUDER","NON SOUDÉ","EN ATTENTE RT")),IF(L1303="R","À REPRENDRE",IF(H1303&lt;&gt;"OUI","⚠ ENROBÉ AVANT ACCEPTATION RT","ENROBÉ"))))</f>
        <v/>
      </c>
      <c r="O1303" s="79"/>
    </row>
    <row r="1304" customFormat="false" ht="15" hidden="false" customHeight="false" outlineLevel="0" collapsed="false">
      <c r="A1304" s="78" t="str">
        <f aca="false">IF('CARNET DE SOUDURE'!E1304="","",'CARNET DE SOUDURE'!A1304)</f>
        <v/>
      </c>
      <c r="B1304" s="93" t="str">
        <f aca="false">IF('CARNET DE SOUDURE'!E1304="","",'CARNET DE SOUDURE'!B1304&amp;"")</f>
        <v/>
      </c>
      <c r="C1304" s="83" t="str">
        <f aca="false">IF('CARNET DE SOUDURE'!E1304="","",'CARNET DE SOUDURE'!E1304)</f>
        <v/>
      </c>
      <c r="D1304" s="78" t="str">
        <f aca="false">IF('CARNET DE SOUDURE'!E1304="","",'CARNET DE SOUDURE'!D1304&amp;"")</f>
        <v/>
      </c>
      <c r="E1304" s="96" t="str">
        <f aca="false">IF(OR('CARNET DE SOUDURE'!E1304="",'CARNET DE SOUDURE'!R1304=""),"",'CARNET DE SOUDURE'!R1304)</f>
        <v/>
      </c>
      <c r="F1304" s="81" t="str">
        <f aca="false">IF('CARNET DE SOUDURE'!E1304="","",'CARNET DE SOUDURE'!AL1304)</f>
        <v/>
      </c>
      <c r="G1304" s="81" t="str">
        <f aca="false">IF('CARNET DE SOUDURE'!E1304="","",'CARNET DE SOUDURE'!AM1304)</f>
        <v/>
      </c>
      <c r="H1304" s="81" t="str">
        <f aca="false">IF(C1304="","",IF(G1304="ACCEPTÉ","OUI","NON"))</f>
        <v/>
      </c>
      <c r="I1304" s="82"/>
      <c r="J1304" s="79"/>
      <c r="K1304" s="80"/>
      <c r="L1304" s="80"/>
      <c r="M1304" s="80"/>
      <c r="N1304" s="83" t="str">
        <f aca="false">IF(C1304="","",IF(I1304="",IF(H1304="OUI","À ENROBER",IF(G1304="À SOUDER","NON SOUDÉ","EN ATTENTE RT")),IF(L1304="R","À REPRENDRE",IF(H1304&lt;&gt;"OUI","⚠ ENROBÉ AVANT ACCEPTATION RT","ENROBÉ"))))</f>
        <v/>
      </c>
      <c r="O1304" s="79"/>
    </row>
    <row r="1305" customFormat="false" ht="15" hidden="false" customHeight="false" outlineLevel="0" collapsed="false">
      <c r="A1305" s="78" t="str">
        <f aca="false">IF('CARNET DE SOUDURE'!E1305="","",'CARNET DE SOUDURE'!A1305)</f>
        <v/>
      </c>
      <c r="B1305" s="93" t="str">
        <f aca="false">IF('CARNET DE SOUDURE'!E1305="","",'CARNET DE SOUDURE'!B1305&amp;"")</f>
        <v/>
      </c>
      <c r="C1305" s="83" t="str">
        <f aca="false">IF('CARNET DE SOUDURE'!E1305="","",'CARNET DE SOUDURE'!E1305)</f>
        <v/>
      </c>
      <c r="D1305" s="78" t="str">
        <f aca="false">IF('CARNET DE SOUDURE'!E1305="","",'CARNET DE SOUDURE'!D1305&amp;"")</f>
        <v/>
      </c>
      <c r="E1305" s="96" t="str">
        <f aca="false">IF(OR('CARNET DE SOUDURE'!E1305="",'CARNET DE SOUDURE'!R1305=""),"",'CARNET DE SOUDURE'!R1305)</f>
        <v/>
      </c>
      <c r="F1305" s="81" t="str">
        <f aca="false">IF('CARNET DE SOUDURE'!E1305="","",'CARNET DE SOUDURE'!AL1305)</f>
        <v/>
      </c>
      <c r="G1305" s="81" t="str">
        <f aca="false">IF('CARNET DE SOUDURE'!E1305="","",'CARNET DE SOUDURE'!AM1305)</f>
        <v/>
      </c>
      <c r="H1305" s="81" t="str">
        <f aca="false">IF(C1305="","",IF(G1305="ACCEPTÉ","OUI","NON"))</f>
        <v/>
      </c>
      <c r="I1305" s="82"/>
      <c r="J1305" s="79"/>
      <c r="K1305" s="80"/>
      <c r="L1305" s="80"/>
      <c r="M1305" s="80"/>
      <c r="N1305" s="83" t="str">
        <f aca="false">IF(C1305="","",IF(I1305="",IF(H1305="OUI","À ENROBER",IF(G1305="À SOUDER","NON SOUDÉ","EN ATTENTE RT")),IF(L1305="R","À REPRENDRE",IF(H1305&lt;&gt;"OUI","⚠ ENROBÉ AVANT ACCEPTATION RT","ENROBÉ"))))</f>
        <v/>
      </c>
      <c r="O1305" s="79"/>
    </row>
    <row r="1306" customFormat="false" ht="15" hidden="false" customHeight="false" outlineLevel="0" collapsed="false">
      <c r="A1306" s="78" t="str">
        <f aca="false">IF('CARNET DE SOUDURE'!E1306="","",'CARNET DE SOUDURE'!A1306)</f>
        <v/>
      </c>
      <c r="B1306" s="93" t="str">
        <f aca="false">IF('CARNET DE SOUDURE'!E1306="","",'CARNET DE SOUDURE'!B1306&amp;"")</f>
        <v/>
      </c>
      <c r="C1306" s="83" t="str">
        <f aca="false">IF('CARNET DE SOUDURE'!E1306="","",'CARNET DE SOUDURE'!E1306)</f>
        <v/>
      </c>
      <c r="D1306" s="78" t="str">
        <f aca="false">IF('CARNET DE SOUDURE'!E1306="","",'CARNET DE SOUDURE'!D1306&amp;"")</f>
        <v/>
      </c>
      <c r="E1306" s="96" t="str">
        <f aca="false">IF(OR('CARNET DE SOUDURE'!E1306="",'CARNET DE SOUDURE'!R1306=""),"",'CARNET DE SOUDURE'!R1306)</f>
        <v/>
      </c>
      <c r="F1306" s="81" t="str">
        <f aca="false">IF('CARNET DE SOUDURE'!E1306="","",'CARNET DE SOUDURE'!AL1306)</f>
        <v/>
      </c>
      <c r="G1306" s="81" t="str">
        <f aca="false">IF('CARNET DE SOUDURE'!E1306="","",'CARNET DE SOUDURE'!AM1306)</f>
        <v/>
      </c>
      <c r="H1306" s="81" t="str">
        <f aca="false">IF(C1306="","",IF(G1306="ACCEPTÉ","OUI","NON"))</f>
        <v/>
      </c>
      <c r="I1306" s="82"/>
      <c r="J1306" s="79"/>
      <c r="K1306" s="80"/>
      <c r="L1306" s="80"/>
      <c r="M1306" s="80"/>
      <c r="N1306" s="83" t="str">
        <f aca="false">IF(C1306="","",IF(I1306="",IF(H1306="OUI","À ENROBER",IF(G1306="À SOUDER","NON SOUDÉ","EN ATTENTE RT")),IF(L1306="R","À REPRENDRE",IF(H1306&lt;&gt;"OUI","⚠ ENROBÉ AVANT ACCEPTATION RT","ENROBÉ"))))</f>
        <v/>
      </c>
      <c r="O1306" s="79"/>
    </row>
    <row r="1307" customFormat="false" ht="15" hidden="false" customHeight="false" outlineLevel="0" collapsed="false">
      <c r="A1307" s="78" t="str">
        <f aca="false">IF('CARNET DE SOUDURE'!E1307="","",'CARNET DE SOUDURE'!A1307)</f>
        <v/>
      </c>
      <c r="B1307" s="93" t="str">
        <f aca="false">IF('CARNET DE SOUDURE'!E1307="","",'CARNET DE SOUDURE'!B1307&amp;"")</f>
        <v/>
      </c>
      <c r="C1307" s="83" t="str">
        <f aca="false">IF('CARNET DE SOUDURE'!E1307="","",'CARNET DE SOUDURE'!E1307)</f>
        <v/>
      </c>
      <c r="D1307" s="78" t="str">
        <f aca="false">IF('CARNET DE SOUDURE'!E1307="","",'CARNET DE SOUDURE'!D1307&amp;"")</f>
        <v/>
      </c>
      <c r="E1307" s="96" t="str">
        <f aca="false">IF(OR('CARNET DE SOUDURE'!E1307="",'CARNET DE SOUDURE'!R1307=""),"",'CARNET DE SOUDURE'!R1307)</f>
        <v/>
      </c>
      <c r="F1307" s="81" t="str">
        <f aca="false">IF('CARNET DE SOUDURE'!E1307="","",'CARNET DE SOUDURE'!AL1307)</f>
        <v/>
      </c>
      <c r="G1307" s="81" t="str">
        <f aca="false">IF('CARNET DE SOUDURE'!E1307="","",'CARNET DE SOUDURE'!AM1307)</f>
        <v/>
      </c>
      <c r="H1307" s="81" t="str">
        <f aca="false">IF(C1307="","",IF(G1307="ACCEPTÉ","OUI","NON"))</f>
        <v/>
      </c>
      <c r="I1307" s="82"/>
      <c r="J1307" s="79"/>
      <c r="K1307" s="80"/>
      <c r="L1307" s="80"/>
      <c r="M1307" s="80"/>
      <c r="N1307" s="83" t="str">
        <f aca="false">IF(C1307="","",IF(I1307="",IF(H1307="OUI","À ENROBER",IF(G1307="À SOUDER","NON SOUDÉ","EN ATTENTE RT")),IF(L1307="R","À REPRENDRE",IF(H1307&lt;&gt;"OUI","⚠ ENROBÉ AVANT ACCEPTATION RT","ENROBÉ"))))</f>
        <v/>
      </c>
      <c r="O1307" s="79"/>
    </row>
    <row r="1308" customFormat="false" ht="15" hidden="false" customHeight="false" outlineLevel="0" collapsed="false">
      <c r="A1308" s="78" t="str">
        <f aca="false">IF('CARNET DE SOUDURE'!E1308="","",'CARNET DE SOUDURE'!A1308)</f>
        <v/>
      </c>
      <c r="B1308" s="93" t="str">
        <f aca="false">IF('CARNET DE SOUDURE'!E1308="","",'CARNET DE SOUDURE'!B1308&amp;"")</f>
        <v/>
      </c>
      <c r="C1308" s="83" t="str">
        <f aca="false">IF('CARNET DE SOUDURE'!E1308="","",'CARNET DE SOUDURE'!E1308)</f>
        <v/>
      </c>
      <c r="D1308" s="78" t="str">
        <f aca="false">IF('CARNET DE SOUDURE'!E1308="","",'CARNET DE SOUDURE'!D1308&amp;"")</f>
        <v/>
      </c>
      <c r="E1308" s="96" t="str">
        <f aca="false">IF(OR('CARNET DE SOUDURE'!E1308="",'CARNET DE SOUDURE'!R1308=""),"",'CARNET DE SOUDURE'!R1308)</f>
        <v/>
      </c>
      <c r="F1308" s="81" t="str">
        <f aca="false">IF('CARNET DE SOUDURE'!E1308="","",'CARNET DE SOUDURE'!AL1308)</f>
        <v/>
      </c>
      <c r="G1308" s="81" t="str">
        <f aca="false">IF('CARNET DE SOUDURE'!E1308="","",'CARNET DE SOUDURE'!AM1308)</f>
        <v/>
      </c>
      <c r="H1308" s="81" t="str">
        <f aca="false">IF(C1308="","",IF(G1308="ACCEPTÉ","OUI","NON"))</f>
        <v/>
      </c>
      <c r="I1308" s="82"/>
      <c r="J1308" s="79"/>
      <c r="K1308" s="80"/>
      <c r="L1308" s="80"/>
      <c r="M1308" s="80"/>
      <c r="N1308" s="83" t="str">
        <f aca="false">IF(C1308="","",IF(I1308="",IF(H1308="OUI","À ENROBER",IF(G1308="À SOUDER","NON SOUDÉ","EN ATTENTE RT")),IF(L1308="R","À REPRENDRE",IF(H1308&lt;&gt;"OUI","⚠ ENROBÉ AVANT ACCEPTATION RT","ENROBÉ"))))</f>
        <v/>
      </c>
      <c r="O1308" s="79"/>
    </row>
    <row r="1309" customFormat="false" ht="15" hidden="false" customHeight="false" outlineLevel="0" collapsed="false">
      <c r="A1309" s="78" t="str">
        <f aca="false">IF('CARNET DE SOUDURE'!E1309="","",'CARNET DE SOUDURE'!A1309)</f>
        <v/>
      </c>
      <c r="B1309" s="93" t="str">
        <f aca="false">IF('CARNET DE SOUDURE'!E1309="","",'CARNET DE SOUDURE'!B1309&amp;"")</f>
        <v/>
      </c>
      <c r="C1309" s="83" t="str">
        <f aca="false">IF('CARNET DE SOUDURE'!E1309="","",'CARNET DE SOUDURE'!E1309)</f>
        <v/>
      </c>
      <c r="D1309" s="78" t="str">
        <f aca="false">IF('CARNET DE SOUDURE'!E1309="","",'CARNET DE SOUDURE'!D1309&amp;"")</f>
        <v/>
      </c>
      <c r="E1309" s="96" t="str">
        <f aca="false">IF(OR('CARNET DE SOUDURE'!E1309="",'CARNET DE SOUDURE'!R1309=""),"",'CARNET DE SOUDURE'!R1309)</f>
        <v/>
      </c>
      <c r="F1309" s="81" t="str">
        <f aca="false">IF('CARNET DE SOUDURE'!E1309="","",'CARNET DE SOUDURE'!AL1309)</f>
        <v/>
      </c>
      <c r="G1309" s="81" t="str">
        <f aca="false">IF('CARNET DE SOUDURE'!E1309="","",'CARNET DE SOUDURE'!AM1309)</f>
        <v/>
      </c>
      <c r="H1309" s="81" t="str">
        <f aca="false">IF(C1309="","",IF(G1309="ACCEPTÉ","OUI","NON"))</f>
        <v/>
      </c>
      <c r="I1309" s="82"/>
      <c r="J1309" s="79"/>
      <c r="K1309" s="80"/>
      <c r="L1309" s="80"/>
      <c r="M1309" s="80"/>
      <c r="N1309" s="83" t="str">
        <f aca="false">IF(C1309="","",IF(I1309="",IF(H1309="OUI","À ENROBER",IF(G1309="À SOUDER","NON SOUDÉ","EN ATTENTE RT")),IF(L1309="R","À REPRENDRE",IF(H1309&lt;&gt;"OUI","⚠ ENROBÉ AVANT ACCEPTATION RT","ENROBÉ"))))</f>
        <v/>
      </c>
      <c r="O1309" s="79"/>
    </row>
    <row r="1310" customFormat="false" ht="15" hidden="false" customHeight="false" outlineLevel="0" collapsed="false">
      <c r="A1310" s="78" t="str">
        <f aca="false">IF('CARNET DE SOUDURE'!E1310="","",'CARNET DE SOUDURE'!A1310)</f>
        <v/>
      </c>
      <c r="B1310" s="93" t="str">
        <f aca="false">IF('CARNET DE SOUDURE'!E1310="","",'CARNET DE SOUDURE'!B1310&amp;"")</f>
        <v/>
      </c>
      <c r="C1310" s="83" t="str">
        <f aca="false">IF('CARNET DE SOUDURE'!E1310="","",'CARNET DE SOUDURE'!E1310)</f>
        <v/>
      </c>
      <c r="D1310" s="78" t="str">
        <f aca="false">IF('CARNET DE SOUDURE'!E1310="","",'CARNET DE SOUDURE'!D1310&amp;"")</f>
        <v/>
      </c>
      <c r="E1310" s="96" t="str">
        <f aca="false">IF(OR('CARNET DE SOUDURE'!E1310="",'CARNET DE SOUDURE'!R1310=""),"",'CARNET DE SOUDURE'!R1310)</f>
        <v/>
      </c>
      <c r="F1310" s="81" t="str">
        <f aca="false">IF('CARNET DE SOUDURE'!E1310="","",'CARNET DE SOUDURE'!AL1310)</f>
        <v/>
      </c>
      <c r="G1310" s="81" t="str">
        <f aca="false">IF('CARNET DE SOUDURE'!E1310="","",'CARNET DE SOUDURE'!AM1310)</f>
        <v/>
      </c>
      <c r="H1310" s="81" t="str">
        <f aca="false">IF(C1310="","",IF(G1310="ACCEPTÉ","OUI","NON"))</f>
        <v/>
      </c>
      <c r="I1310" s="82"/>
      <c r="J1310" s="79"/>
      <c r="K1310" s="80"/>
      <c r="L1310" s="80"/>
      <c r="M1310" s="80"/>
      <c r="N1310" s="83" t="str">
        <f aca="false">IF(C1310="","",IF(I1310="",IF(H1310="OUI","À ENROBER",IF(G1310="À SOUDER","NON SOUDÉ","EN ATTENTE RT")),IF(L1310="R","À REPRENDRE",IF(H1310&lt;&gt;"OUI","⚠ ENROBÉ AVANT ACCEPTATION RT","ENROBÉ"))))</f>
        <v/>
      </c>
      <c r="O1310" s="79"/>
    </row>
    <row r="1311" customFormat="false" ht="15" hidden="false" customHeight="false" outlineLevel="0" collapsed="false">
      <c r="A1311" s="78" t="str">
        <f aca="false">IF('CARNET DE SOUDURE'!E1311="","",'CARNET DE SOUDURE'!A1311)</f>
        <v/>
      </c>
      <c r="B1311" s="93" t="str">
        <f aca="false">IF('CARNET DE SOUDURE'!E1311="","",'CARNET DE SOUDURE'!B1311&amp;"")</f>
        <v/>
      </c>
      <c r="C1311" s="83" t="str">
        <f aca="false">IF('CARNET DE SOUDURE'!E1311="","",'CARNET DE SOUDURE'!E1311)</f>
        <v/>
      </c>
      <c r="D1311" s="78" t="str">
        <f aca="false">IF('CARNET DE SOUDURE'!E1311="","",'CARNET DE SOUDURE'!D1311&amp;"")</f>
        <v/>
      </c>
      <c r="E1311" s="96" t="str">
        <f aca="false">IF(OR('CARNET DE SOUDURE'!E1311="",'CARNET DE SOUDURE'!R1311=""),"",'CARNET DE SOUDURE'!R1311)</f>
        <v/>
      </c>
      <c r="F1311" s="81" t="str">
        <f aca="false">IF('CARNET DE SOUDURE'!E1311="","",'CARNET DE SOUDURE'!AL1311)</f>
        <v/>
      </c>
      <c r="G1311" s="81" t="str">
        <f aca="false">IF('CARNET DE SOUDURE'!E1311="","",'CARNET DE SOUDURE'!AM1311)</f>
        <v/>
      </c>
      <c r="H1311" s="81" t="str">
        <f aca="false">IF(C1311="","",IF(G1311="ACCEPTÉ","OUI","NON"))</f>
        <v/>
      </c>
      <c r="I1311" s="82"/>
      <c r="J1311" s="79"/>
      <c r="K1311" s="80"/>
      <c r="L1311" s="80"/>
      <c r="M1311" s="80"/>
      <c r="N1311" s="83" t="str">
        <f aca="false">IF(C1311="","",IF(I1311="",IF(H1311="OUI","À ENROBER",IF(G1311="À SOUDER","NON SOUDÉ","EN ATTENTE RT")),IF(L1311="R","À REPRENDRE",IF(H1311&lt;&gt;"OUI","⚠ ENROBÉ AVANT ACCEPTATION RT","ENROBÉ"))))</f>
        <v/>
      </c>
      <c r="O1311" s="79"/>
    </row>
    <row r="1312" customFormat="false" ht="15" hidden="false" customHeight="false" outlineLevel="0" collapsed="false">
      <c r="A1312" s="78" t="str">
        <f aca="false">IF('CARNET DE SOUDURE'!E1312="","",'CARNET DE SOUDURE'!A1312)</f>
        <v/>
      </c>
      <c r="B1312" s="93" t="str">
        <f aca="false">IF('CARNET DE SOUDURE'!E1312="","",'CARNET DE SOUDURE'!B1312&amp;"")</f>
        <v/>
      </c>
      <c r="C1312" s="83" t="str">
        <f aca="false">IF('CARNET DE SOUDURE'!E1312="","",'CARNET DE SOUDURE'!E1312)</f>
        <v/>
      </c>
      <c r="D1312" s="78" t="str">
        <f aca="false">IF('CARNET DE SOUDURE'!E1312="","",'CARNET DE SOUDURE'!D1312&amp;"")</f>
        <v/>
      </c>
      <c r="E1312" s="96" t="str">
        <f aca="false">IF(OR('CARNET DE SOUDURE'!E1312="",'CARNET DE SOUDURE'!R1312=""),"",'CARNET DE SOUDURE'!R1312)</f>
        <v/>
      </c>
      <c r="F1312" s="81" t="str">
        <f aca="false">IF('CARNET DE SOUDURE'!E1312="","",'CARNET DE SOUDURE'!AL1312)</f>
        <v/>
      </c>
      <c r="G1312" s="81" t="str">
        <f aca="false">IF('CARNET DE SOUDURE'!E1312="","",'CARNET DE SOUDURE'!AM1312)</f>
        <v/>
      </c>
      <c r="H1312" s="81" t="str">
        <f aca="false">IF(C1312="","",IF(G1312="ACCEPTÉ","OUI","NON"))</f>
        <v/>
      </c>
      <c r="I1312" s="82"/>
      <c r="J1312" s="79"/>
      <c r="K1312" s="80"/>
      <c r="L1312" s="80"/>
      <c r="M1312" s="80"/>
      <c r="N1312" s="83" t="str">
        <f aca="false">IF(C1312="","",IF(I1312="",IF(H1312="OUI","À ENROBER",IF(G1312="À SOUDER","NON SOUDÉ","EN ATTENTE RT")),IF(L1312="R","À REPRENDRE",IF(H1312&lt;&gt;"OUI","⚠ ENROBÉ AVANT ACCEPTATION RT","ENROBÉ"))))</f>
        <v/>
      </c>
      <c r="O1312" s="79"/>
    </row>
    <row r="1313" customFormat="false" ht="15" hidden="false" customHeight="false" outlineLevel="0" collapsed="false">
      <c r="A1313" s="78" t="str">
        <f aca="false">IF('CARNET DE SOUDURE'!E1313="","",'CARNET DE SOUDURE'!A1313)</f>
        <v/>
      </c>
      <c r="B1313" s="93" t="str">
        <f aca="false">IF('CARNET DE SOUDURE'!E1313="","",'CARNET DE SOUDURE'!B1313&amp;"")</f>
        <v/>
      </c>
      <c r="C1313" s="83" t="str">
        <f aca="false">IF('CARNET DE SOUDURE'!E1313="","",'CARNET DE SOUDURE'!E1313)</f>
        <v/>
      </c>
      <c r="D1313" s="78" t="str">
        <f aca="false">IF('CARNET DE SOUDURE'!E1313="","",'CARNET DE SOUDURE'!D1313&amp;"")</f>
        <v/>
      </c>
      <c r="E1313" s="96" t="str">
        <f aca="false">IF(OR('CARNET DE SOUDURE'!E1313="",'CARNET DE SOUDURE'!R1313=""),"",'CARNET DE SOUDURE'!R1313)</f>
        <v/>
      </c>
      <c r="F1313" s="81" t="str">
        <f aca="false">IF('CARNET DE SOUDURE'!E1313="","",'CARNET DE SOUDURE'!AL1313)</f>
        <v/>
      </c>
      <c r="G1313" s="81" t="str">
        <f aca="false">IF('CARNET DE SOUDURE'!E1313="","",'CARNET DE SOUDURE'!AM1313)</f>
        <v/>
      </c>
      <c r="H1313" s="81" t="str">
        <f aca="false">IF(C1313="","",IF(G1313="ACCEPTÉ","OUI","NON"))</f>
        <v/>
      </c>
      <c r="I1313" s="82"/>
      <c r="J1313" s="79"/>
      <c r="K1313" s="80"/>
      <c r="L1313" s="80"/>
      <c r="M1313" s="80"/>
      <c r="N1313" s="83" t="str">
        <f aca="false">IF(C1313="","",IF(I1313="",IF(H1313="OUI","À ENROBER",IF(G1313="À SOUDER","NON SOUDÉ","EN ATTENTE RT")),IF(L1313="R","À REPRENDRE",IF(H1313&lt;&gt;"OUI","⚠ ENROBÉ AVANT ACCEPTATION RT","ENROBÉ"))))</f>
        <v/>
      </c>
      <c r="O1313" s="79"/>
    </row>
    <row r="1314" customFormat="false" ht="15" hidden="false" customHeight="false" outlineLevel="0" collapsed="false">
      <c r="A1314" s="78" t="str">
        <f aca="false">IF('CARNET DE SOUDURE'!E1314="","",'CARNET DE SOUDURE'!A1314)</f>
        <v/>
      </c>
      <c r="B1314" s="93" t="str">
        <f aca="false">IF('CARNET DE SOUDURE'!E1314="","",'CARNET DE SOUDURE'!B1314&amp;"")</f>
        <v/>
      </c>
      <c r="C1314" s="83" t="str">
        <f aca="false">IF('CARNET DE SOUDURE'!E1314="","",'CARNET DE SOUDURE'!E1314)</f>
        <v/>
      </c>
      <c r="D1314" s="78" t="str">
        <f aca="false">IF('CARNET DE SOUDURE'!E1314="","",'CARNET DE SOUDURE'!D1314&amp;"")</f>
        <v/>
      </c>
      <c r="E1314" s="96" t="str">
        <f aca="false">IF(OR('CARNET DE SOUDURE'!E1314="",'CARNET DE SOUDURE'!R1314=""),"",'CARNET DE SOUDURE'!R1314)</f>
        <v/>
      </c>
      <c r="F1314" s="81" t="str">
        <f aca="false">IF('CARNET DE SOUDURE'!E1314="","",'CARNET DE SOUDURE'!AL1314)</f>
        <v/>
      </c>
      <c r="G1314" s="81" t="str">
        <f aca="false">IF('CARNET DE SOUDURE'!E1314="","",'CARNET DE SOUDURE'!AM1314)</f>
        <v/>
      </c>
      <c r="H1314" s="81" t="str">
        <f aca="false">IF(C1314="","",IF(G1314="ACCEPTÉ","OUI","NON"))</f>
        <v/>
      </c>
      <c r="I1314" s="82"/>
      <c r="J1314" s="79"/>
      <c r="K1314" s="80"/>
      <c r="L1314" s="80"/>
      <c r="M1314" s="80"/>
      <c r="N1314" s="83" t="str">
        <f aca="false">IF(C1314="","",IF(I1314="",IF(H1314="OUI","À ENROBER",IF(G1314="À SOUDER","NON SOUDÉ","EN ATTENTE RT")),IF(L1314="R","À REPRENDRE",IF(H1314&lt;&gt;"OUI","⚠ ENROBÉ AVANT ACCEPTATION RT","ENROBÉ"))))</f>
        <v/>
      </c>
      <c r="O1314" s="79"/>
    </row>
    <row r="1315" customFormat="false" ht="15" hidden="false" customHeight="false" outlineLevel="0" collapsed="false">
      <c r="A1315" s="78" t="str">
        <f aca="false">IF('CARNET DE SOUDURE'!E1315="","",'CARNET DE SOUDURE'!A1315)</f>
        <v/>
      </c>
      <c r="B1315" s="93" t="str">
        <f aca="false">IF('CARNET DE SOUDURE'!E1315="","",'CARNET DE SOUDURE'!B1315&amp;"")</f>
        <v/>
      </c>
      <c r="C1315" s="83" t="str">
        <f aca="false">IF('CARNET DE SOUDURE'!E1315="","",'CARNET DE SOUDURE'!E1315)</f>
        <v/>
      </c>
      <c r="D1315" s="78" t="str">
        <f aca="false">IF('CARNET DE SOUDURE'!E1315="","",'CARNET DE SOUDURE'!D1315&amp;"")</f>
        <v/>
      </c>
      <c r="E1315" s="96" t="str">
        <f aca="false">IF(OR('CARNET DE SOUDURE'!E1315="",'CARNET DE SOUDURE'!R1315=""),"",'CARNET DE SOUDURE'!R1315)</f>
        <v/>
      </c>
      <c r="F1315" s="81" t="str">
        <f aca="false">IF('CARNET DE SOUDURE'!E1315="","",'CARNET DE SOUDURE'!AL1315)</f>
        <v/>
      </c>
      <c r="G1315" s="81" t="str">
        <f aca="false">IF('CARNET DE SOUDURE'!E1315="","",'CARNET DE SOUDURE'!AM1315)</f>
        <v/>
      </c>
      <c r="H1315" s="81" t="str">
        <f aca="false">IF(C1315="","",IF(G1315="ACCEPTÉ","OUI","NON"))</f>
        <v/>
      </c>
      <c r="I1315" s="82"/>
      <c r="J1315" s="79"/>
      <c r="K1315" s="80"/>
      <c r="L1315" s="80"/>
      <c r="M1315" s="80"/>
      <c r="N1315" s="83" t="str">
        <f aca="false">IF(C1315="","",IF(I1315="",IF(H1315="OUI","À ENROBER",IF(G1315="À SOUDER","NON SOUDÉ","EN ATTENTE RT")),IF(L1315="R","À REPRENDRE",IF(H1315&lt;&gt;"OUI","⚠ ENROBÉ AVANT ACCEPTATION RT","ENROBÉ"))))</f>
        <v/>
      </c>
      <c r="O1315" s="79"/>
    </row>
    <row r="1316" customFormat="false" ht="15" hidden="false" customHeight="false" outlineLevel="0" collapsed="false">
      <c r="A1316" s="78" t="str">
        <f aca="false">IF('CARNET DE SOUDURE'!E1316="","",'CARNET DE SOUDURE'!A1316)</f>
        <v/>
      </c>
      <c r="B1316" s="93" t="str">
        <f aca="false">IF('CARNET DE SOUDURE'!E1316="","",'CARNET DE SOUDURE'!B1316&amp;"")</f>
        <v/>
      </c>
      <c r="C1316" s="83" t="str">
        <f aca="false">IF('CARNET DE SOUDURE'!E1316="","",'CARNET DE SOUDURE'!E1316)</f>
        <v/>
      </c>
      <c r="D1316" s="78" t="str">
        <f aca="false">IF('CARNET DE SOUDURE'!E1316="","",'CARNET DE SOUDURE'!D1316&amp;"")</f>
        <v/>
      </c>
      <c r="E1316" s="96" t="str">
        <f aca="false">IF(OR('CARNET DE SOUDURE'!E1316="",'CARNET DE SOUDURE'!R1316=""),"",'CARNET DE SOUDURE'!R1316)</f>
        <v/>
      </c>
      <c r="F1316" s="81" t="str">
        <f aca="false">IF('CARNET DE SOUDURE'!E1316="","",'CARNET DE SOUDURE'!AL1316)</f>
        <v/>
      </c>
      <c r="G1316" s="81" t="str">
        <f aca="false">IF('CARNET DE SOUDURE'!E1316="","",'CARNET DE SOUDURE'!AM1316)</f>
        <v/>
      </c>
      <c r="H1316" s="81" t="str">
        <f aca="false">IF(C1316="","",IF(G1316="ACCEPTÉ","OUI","NON"))</f>
        <v/>
      </c>
      <c r="I1316" s="82"/>
      <c r="J1316" s="79"/>
      <c r="K1316" s="80"/>
      <c r="L1316" s="80"/>
      <c r="M1316" s="80"/>
      <c r="N1316" s="83" t="str">
        <f aca="false">IF(C1316="","",IF(I1316="",IF(H1316="OUI","À ENROBER",IF(G1316="À SOUDER","NON SOUDÉ","EN ATTENTE RT")),IF(L1316="R","À REPRENDRE",IF(H1316&lt;&gt;"OUI","⚠ ENROBÉ AVANT ACCEPTATION RT","ENROBÉ"))))</f>
        <v/>
      </c>
      <c r="O1316" s="79"/>
    </row>
    <row r="1317" customFormat="false" ht="15" hidden="false" customHeight="false" outlineLevel="0" collapsed="false">
      <c r="A1317" s="78" t="str">
        <f aca="false">IF('CARNET DE SOUDURE'!E1317="","",'CARNET DE SOUDURE'!A1317)</f>
        <v/>
      </c>
      <c r="B1317" s="93" t="str">
        <f aca="false">IF('CARNET DE SOUDURE'!E1317="","",'CARNET DE SOUDURE'!B1317&amp;"")</f>
        <v/>
      </c>
      <c r="C1317" s="83" t="str">
        <f aca="false">IF('CARNET DE SOUDURE'!E1317="","",'CARNET DE SOUDURE'!E1317)</f>
        <v/>
      </c>
      <c r="D1317" s="78" t="str">
        <f aca="false">IF('CARNET DE SOUDURE'!E1317="","",'CARNET DE SOUDURE'!D1317&amp;"")</f>
        <v/>
      </c>
      <c r="E1317" s="96" t="str">
        <f aca="false">IF(OR('CARNET DE SOUDURE'!E1317="",'CARNET DE SOUDURE'!R1317=""),"",'CARNET DE SOUDURE'!R1317)</f>
        <v/>
      </c>
      <c r="F1317" s="81" t="str">
        <f aca="false">IF('CARNET DE SOUDURE'!E1317="","",'CARNET DE SOUDURE'!AL1317)</f>
        <v/>
      </c>
      <c r="G1317" s="81" t="str">
        <f aca="false">IF('CARNET DE SOUDURE'!E1317="","",'CARNET DE SOUDURE'!AM1317)</f>
        <v/>
      </c>
      <c r="H1317" s="81" t="str">
        <f aca="false">IF(C1317="","",IF(G1317="ACCEPTÉ","OUI","NON"))</f>
        <v/>
      </c>
      <c r="I1317" s="82"/>
      <c r="J1317" s="79"/>
      <c r="K1317" s="80"/>
      <c r="L1317" s="80"/>
      <c r="M1317" s="80"/>
      <c r="N1317" s="83" t="str">
        <f aca="false">IF(C1317="","",IF(I1317="",IF(H1317="OUI","À ENROBER",IF(G1317="À SOUDER","NON SOUDÉ","EN ATTENTE RT")),IF(L1317="R","À REPRENDRE",IF(H1317&lt;&gt;"OUI","⚠ ENROBÉ AVANT ACCEPTATION RT","ENROBÉ"))))</f>
        <v/>
      </c>
      <c r="O1317" s="79"/>
    </row>
    <row r="1318" customFormat="false" ht="15" hidden="false" customHeight="false" outlineLevel="0" collapsed="false">
      <c r="A1318" s="78" t="str">
        <f aca="false">IF('CARNET DE SOUDURE'!E1318="","",'CARNET DE SOUDURE'!A1318)</f>
        <v/>
      </c>
      <c r="B1318" s="93" t="str">
        <f aca="false">IF('CARNET DE SOUDURE'!E1318="","",'CARNET DE SOUDURE'!B1318&amp;"")</f>
        <v/>
      </c>
      <c r="C1318" s="83" t="str">
        <f aca="false">IF('CARNET DE SOUDURE'!E1318="","",'CARNET DE SOUDURE'!E1318)</f>
        <v/>
      </c>
      <c r="D1318" s="78" t="str">
        <f aca="false">IF('CARNET DE SOUDURE'!E1318="","",'CARNET DE SOUDURE'!D1318&amp;"")</f>
        <v/>
      </c>
      <c r="E1318" s="96" t="str">
        <f aca="false">IF(OR('CARNET DE SOUDURE'!E1318="",'CARNET DE SOUDURE'!R1318=""),"",'CARNET DE SOUDURE'!R1318)</f>
        <v/>
      </c>
      <c r="F1318" s="81" t="str">
        <f aca="false">IF('CARNET DE SOUDURE'!E1318="","",'CARNET DE SOUDURE'!AL1318)</f>
        <v/>
      </c>
      <c r="G1318" s="81" t="str">
        <f aca="false">IF('CARNET DE SOUDURE'!E1318="","",'CARNET DE SOUDURE'!AM1318)</f>
        <v/>
      </c>
      <c r="H1318" s="81" t="str">
        <f aca="false">IF(C1318="","",IF(G1318="ACCEPTÉ","OUI","NON"))</f>
        <v/>
      </c>
      <c r="I1318" s="82"/>
      <c r="J1318" s="79"/>
      <c r="K1318" s="80"/>
      <c r="L1318" s="80"/>
      <c r="M1318" s="80"/>
      <c r="N1318" s="83" t="str">
        <f aca="false">IF(C1318="","",IF(I1318="",IF(H1318="OUI","À ENROBER",IF(G1318="À SOUDER","NON SOUDÉ","EN ATTENTE RT")),IF(L1318="R","À REPRENDRE",IF(H1318&lt;&gt;"OUI","⚠ ENROBÉ AVANT ACCEPTATION RT","ENROBÉ"))))</f>
        <v/>
      </c>
      <c r="O1318" s="79"/>
    </row>
    <row r="1319" customFormat="false" ht="15" hidden="false" customHeight="false" outlineLevel="0" collapsed="false">
      <c r="A1319" s="78" t="str">
        <f aca="false">IF('CARNET DE SOUDURE'!E1319="","",'CARNET DE SOUDURE'!A1319)</f>
        <v/>
      </c>
      <c r="B1319" s="93" t="str">
        <f aca="false">IF('CARNET DE SOUDURE'!E1319="","",'CARNET DE SOUDURE'!B1319&amp;"")</f>
        <v/>
      </c>
      <c r="C1319" s="83" t="str">
        <f aca="false">IF('CARNET DE SOUDURE'!E1319="","",'CARNET DE SOUDURE'!E1319)</f>
        <v/>
      </c>
      <c r="D1319" s="78" t="str">
        <f aca="false">IF('CARNET DE SOUDURE'!E1319="","",'CARNET DE SOUDURE'!D1319&amp;"")</f>
        <v/>
      </c>
      <c r="E1319" s="96" t="str">
        <f aca="false">IF(OR('CARNET DE SOUDURE'!E1319="",'CARNET DE SOUDURE'!R1319=""),"",'CARNET DE SOUDURE'!R1319)</f>
        <v/>
      </c>
      <c r="F1319" s="81" t="str">
        <f aca="false">IF('CARNET DE SOUDURE'!E1319="","",'CARNET DE SOUDURE'!AL1319)</f>
        <v/>
      </c>
      <c r="G1319" s="81" t="str">
        <f aca="false">IF('CARNET DE SOUDURE'!E1319="","",'CARNET DE SOUDURE'!AM1319)</f>
        <v/>
      </c>
      <c r="H1319" s="81" t="str">
        <f aca="false">IF(C1319="","",IF(G1319="ACCEPTÉ","OUI","NON"))</f>
        <v/>
      </c>
      <c r="I1319" s="82"/>
      <c r="J1319" s="79"/>
      <c r="K1319" s="80"/>
      <c r="L1319" s="80"/>
      <c r="M1319" s="80"/>
      <c r="N1319" s="83" t="str">
        <f aca="false">IF(C1319="","",IF(I1319="",IF(H1319="OUI","À ENROBER",IF(G1319="À SOUDER","NON SOUDÉ","EN ATTENTE RT")),IF(L1319="R","À REPRENDRE",IF(H1319&lt;&gt;"OUI","⚠ ENROBÉ AVANT ACCEPTATION RT","ENROBÉ"))))</f>
        <v/>
      </c>
      <c r="O1319" s="79"/>
    </row>
    <row r="1320" customFormat="false" ht="15" hidden="false" customHeight="false" outlineLevel="0" collapsed="false">
      <c r="A1320" s="78" t="str">
        <f aca="false">IF('CARNET DE SOUDURE'!E1320="","",'CARNET DE SOUDURE'!A1320)</f>
        <v/>
      </c>
      <c r="B1320" s="93" t="str">
        <f aca="false">IF('CARNET DE SOUDURE'!E1320="","",'CARNET DE SOUDURE'!B1320&amp;"")</f>
        <v/>
      </c>
      <c r="C1320" s="83" t="str">
        <f aca="false">IF('CARNET DE SOUDURE'!E1320="","",'CARNET DE SOUDURE'!E1320)</f>
        <v/>
      </c>
      <c r="D1320" s="78" t="str">
        <f aca="false">IF('CARNET DE SOUDURE'!E1320="","",'CARNET DE SOUDURE'!D1320&amp;"")</f>
        <v/>
      </c>
      <c r="E1320" s="96" t="str">
        <f aca="false">IF(OR('CARNET DE SOUDURE'!E1320="",'CARNET DE SOUDURE'!R1320=""),"",'CARNET DE SOUDURE'!R1320)</f>
        <v/>
      </c>
      <c r="F1320" s="81" t="str">
        <f aca="false">IF('CARNET DE SOUDURE'!E1320="","",'CARNET DE SOUDURE'!AL1320)</f>
        <v/>
      </c>
      <c r="G1320" s="81" t="str">
        <f aca="false">IF('CARNET DE SOUDURE'!E1320="","",'CARNET DE SOUDURE'!AM1320)</f>
        <v/>
      </c>
      <c r="H1320" s="81" t="str">
        <f aca="false">IF(C1320="","",IF(G1320="ACCEPTÉ","OUI","NON"))</f>
        <v/>
      </c>
      <c r="I1320" s="82"/>
      <c r="J1320" s="79"/>
      <c r="K1320" s="80"/>
      <c r="L1320" s="80"/>
      <c r="M1320" s="80"/>
      <c r="N1320" s="83" t="str">
        <f aca="false">IF(C1320="","",IF(I1320="",IF(H1320="OUI","À ENROBER",IF(G1320="À SOUDER","NON SOUDÉ","EN ATTENTE RT")),IF(L1320="R","À REPRENDRE",IF(H1320&lt;&gt;"OUI","⚠ ENROBÉ AVANT ACCEPTATION RT","ENROBÉ"))))</f>
        <v/>
      </c>
      <c r="O1320" s="79"/>
    </row>
    <row r="1321" customFormat="false" ht="15" hidden="false" customHeight="false" outlineLevel="0" collapsed="false">
      <c r="A1321" s="78" t="str">
        <f aca="false">IF('CARNET DE SOUDURE'!E1321="","",'CARNET DE SOUDURE'!A1321)</f>
        <v/>
      </c>
      <c r="B1321" s="93" t="str">
        <f aca="false">IF('CARNET DE SOUDURE'!E1321="","",'CARNET DE SOUDURE'!B1321&amp;"")</f>
        <v/>
      </c>
      <c r="C1321" s="83" t="str">
        <f aca="false">IF('CARNET DE SOUDURE'!E1321="","",'CARNET DE SOUDURE'!E1321)</f>
        <v/>
      </c>
      <c r="D1321" s="78" t="str">
        <f aca="false">IF('CARNET DE SOUDURE'!E1321="","",'CARNET DE SOUDURE'!D1321&amp;"")</f>
        <v/>
      </c>
      <c r="E1321" s="96" t="str">
        <f aca="false">IF(OR('CARNET DE SOUDURE'!E1321="",'CARNET DE SOUDURE'!R1321=""),"",'CARNET DE SOUDURE'!R1321)</f>
        <v/>
      </c>
      <c r="F1321" s="81" t="str">
        <f aca="false">IF('CARNET DE SOUDURE'!E1321="","",'CARNET DE SOUDURE'!AL1321)</f>
        <v/>
      </c>
      <c r="G1321" s="81" t="str">
        <f aca="false">IF('CARNET DE SOUDURE'!E1321="","",'CARNET DE SOUDURE'!AM1321)</f>
        <v/>
      </c>
      <c r="H1321" s="81" t="str">
        <f aca="false">IF(C1321="","",IF(G1321="ACCEPTÉ","OUI","NON"))</f>
        <v/>
      </c>
      <c r="I1321" s="82"/>
      <c r="J1321" s="79"/>
      <c r="K1321" s="80"/>
      <c r="L1321" s="80"/>
      <c r="M1321" s="80"/>
      <c r="N1321" s="83" t="str">
        <f aca="false">IF(C1321="","",IF(I1321="",IF(H1321="OUI","À ENROBER",IF(G1321="À SOUDER","NON SOUDÉ","EN ATTENTE RT")),IF(L1321="R","À REPRENDRE",IF(H1321&lt;&gt;"OUI","⚠ ENROBÉ AVANT ACCEPTATION RT","ENROBÉ"))))</f>
        <v/>
      </c>
      <c r="O1321" s="79"/>
    </row>
    <row r="1322" customFormat="false" ht="15" hidden="false" customHeight="false" outlineLevel="0" collapsed="false">
      <c r="A1322" s="78" t="str">
        <f aca="false">IF('CARNET DE SOUDURE'!E1322="","",'CARNET DE SOUDURE'!A1322)</f>
        <v/>
      </c>
      <c r="B1322" s="93" t="str">
        <f aca="false">IF('CARNET DE SOUDURE'!E1322="","",'CARNET DE SOUDURE'!B1322&amp;"")</f>
        <v/>
      </c>
      <c r="C1322" s="83" t="str">
        <f aca="false">IF('CARNET DE SOUDURE'!E1322="","",'CARNET DE SOUDURE'!E1322)</f>
        <v/>
      </c>
      <c r="D1322" s="78" t="str">
        <f aca="false">IF('CARNET DE SOUDURE'!E1322="","",'CARNET DE SOUDURE'!D1322&amp;"")</f>
        <v/>
      </c>
      <c r="E1322" s="96" t="str">
        <f aca="false">IF(OR('CARNET DE SOUDURE'!E1322="",'CARNET DE SOUDURE'!R1322=""),"",'CARNET DE SOUDURE'!R1322)</f>
        <v/>
      </c>
      <c r="F1322" s="81" t="str">
        <f aca="false">IF('CARNET DE SOUDURE'!E1322="","",'CARNET DE SOUDURE'!AL1322)</f>
        <v/>
      </c>
      <c r="G1322" s="81" t="str">
        <f aca="false">IF('CARNET DE SOUDURE'!E1322="","",'CARNET DE SOUDURE'!AM1322)</f>
        <v/>
      </c>
      <c r="H1322" s="81" t="str">
        <f aca="false">IF(C1322="","",IF(G1322="ACCEPTÉ","OUI","NON"))</f>
        <v/>
      </c>
      <c r="I1322" s="82"/>
      <c r="J1322" s="79"/>
      <c r="K1322" s="80"/>
      <c r="L1322" s="80"/>
      <c r="M1322" s="80"/>
      <c r="N1322" s="83" t="str">
        <f aca="false">IF(C1322="","",IF(I1322="",IF(H1322="OUI","À ENROBER",IF(G1322="À SOUDER","NON SOUDÉ","EN ATTENTE RT")),IF(L1322="R","À REPRENDRE",IF(H1322&lt;&gt;"OUI","⚠ ENROBÉ AVANT ACCEPTATION RT","ENROBÉ"))))</f>
        <v/>
      </c>
      <c r="O1322" s="79"/>
    </row>
    <row r="1323" customFormat="false" ht="15" hidden="false" customHeight="false" outlineLevel="0" collapsed="false">
      <c r="A1323" s="78" t="str">
        <f aca="false">IF('CARNET DE SOUDURE'!E1323="","",'CARNET DE SOUDURE'!A1323)</f>
        <v/>
      </c>
      <c r="B1323" s="93" t="str">
        <f aca="false">IF('CARNET DE SOUDURE'!E1323="","",'CARNET DE SOUDURE'!B1323&amp;"")</f>
        <v/>
      </c>
      <c r="C1323" s="83" t="str">
        <f aca="false">IF('CARNET DE SOUDURE'!E1323="","",'CARNET DE SOUDURE'!E1323)</f>
        <v/>
      </c>
      <c r="D1323" s="78" t="str">
        <f aca="false">IF('CARNET DE SOUDURE'!E1323="","",'CARNET DE SOUDURE'!D1323&amp;"")</f>
        <v/>
      </c>
      <c r="E1323" s="96" t="str">
        <f aca="false">IF(OR('CARNET DE SOUDURE'!E1323="",'CARNET DE SOUDURE'!R1323=""),"",'CARNET DE SOUDURE'!R1323)</f>
        <v/>
      </c>
      <c r="F1323" s="81" t="str">
        <f aca="false">IF('CARNET DE SOUDURE'!E1323="","",'CARNET DE SOUDURE'!AL1323)</f>
        <v/>
      </c>
      <c r="G1323" s="81" t="str">
        <f aca="false">IF('CARNET DE SOUDURE'!E1323="","",'CARNET DE SOUDURE'!AM1323)</f>
        <v/>
      </c>
      <c r="H1323" s="81" t="str">
        <f aca="false">IF(C1323="","",IF(G1323="ACCEPTÉ","OUI","NON"))</f>
        <v/>
      </c>
      <c r="I1323" s="82"/>
      <c r="J1323" s="79"/>
      <c r="K1323" s="80"/>
      <c r="L1323" s="80"/>
      <c r="M1323" s="80"/>
      <c r="N1323" s="83" t="str">
        <f aca="false">IF(C1323="","",IF(I1323="",IF(H1323="OUI","À ENROBER",IF(G1323="À SOUDER","NON SOUDÉ","EN ATTENTE RT")),IF(L1323="R","À REPRENDRE",IF(H1323&lt;&gt;"OUI","⚠ ENROBÉ AVANT ACCEPTATION RT","ENROBÉ"))))</f>
        <v/>
      </c>
      <c r="O1323" s="79"/>
    </row>
    <row r="1324" customFormat="false" ht="15" hidden="false" customHeight="false" outlineLevel="0" collapsed="false">
      <c r="A1324" s="78" t="str">
        <f aca="false">IF('CARNET DE SOUDURE'!E1324="","",'CARNET DE SOUDURE'!A1324)</f>
        <v/>
      </c>
      <c r="B1324" s="93" t="str">
        <f aca="false">IF('CARNET DE SOUDURE'!E1324="","",'CARNET DE SOUDURE'!B1324&amp;"")</f>
        <v/>
      </c>
      <c r="C1324" s="83" t="str">
        <f aca="false">IF('CARNET DE SOUDURE'!E1324="","",'CARNET DE SOUDURE'!E1324)</f>
        <v/>
      </c>
      <c r="D1324" s="78" t="str">
        <f aca="false">IF('CARNET DE SOUDURE'!E1324="","",'CARNET DE SOUDURE'!D1324&amp;"")</f>
        <v/>
      </c>
      <c r="E1324" s="96" t="str">
        <f aca="false">IF(OR('CARNET DE SOUDURE'!E1324="",'CARNET DE SOUDURE'!R1324=""),"",'CARNET DE SOUDURE'!R1324)</f>
        <v/>
      </c>
      <c r="F1324" s="81" t="str">
        <f aca="false">IF('CARNET DE SOUDURE'!E1324="","",'CARNET DE SOUDURE'!AL1324)</f>
        <v/>
      </c>
      <c r="G1324" s="81" t="str">
        <f aca="false">IF('CARNET DE SOUDURE'!E1324="","",'CARNET DE SOUDURE'!AM1324)</f>
        <v/>
      </c>
      <c r="H1324" s="81" t="str">
        <f aca="false">IF(C1324="","",IF(G1324="ACCEPTÉ","OUI","NON"))</f>
        <v/>
      </c>
      <c r="I1324" s="82"/>
      <c r="J1324" s="79"/>
      <c r="K1324" s="80"/>
      <c r="L1324" s="80"/>
      <c r="M1324" s="80"/>
      <c r="N1324" s="83" t="str">
        <f aca="false">IF(C1324="","",IF(I1324="",IF(H1324="OUI","À ENROBER",IF(G1324="À SOUDER","NON SOUDÉ","EN ATTENTE RT")),IF(L1324="R","À REPRENDRE",IF(H1324&lt;&gt;"OUI","⚠ ENROBÉ AVANT ACCEPTATION RT","ENROBÉ"))))</f>
        <v/>
      </c>
      <c r="O1324" s="79"/>
    </row>
    <row r="1325" customFormat="false" ht="15" hidden="false" customHeight="false" outlineLevel="0" collapsed="false">
      <c r="A1325" s="78" t="str">
        <f aca="false">IF('CARNET DE SOUDURE'!E1325="","",'CARNET DE SOUDURE'!A1325)</f>
        <v/>
      </c>
      <c r="B1325" s="93" t="str">
        <f aca="false">IF('CARNET DE SOUDURE'!E1325="","",'CARNET DE SOUDURE'!B1325&amp;"")</f>
        <v/>
      </c>
      <c r="C1325" s="83" t="str">
        <f aca="false">IF('CARNET DE SOUDURE'!E1325="","",'CARNET DE SOUDURE'!E1325)</f>
        <v/>
      </c>
      <c r="D1325" s="78" t="str">
        <f aca="false">IF('CARNET DE SOUDURE'!E1325="","",'CARNET DE SOUDURE'!D1325&amp;"")</f>
        <v/>
      </c>
      <c r="E1325" s="96" t="str">
        <f aca="false">IF(OR('CARNET DE SOUDURE'!E1325="",'CARNET DE SOUDURE'!R1325=""),"",'CARNET DE SOUDURE'!R1325)</f>
        <v/>
      </c>
      <c r="F1325" s="81" t="str">
        <f aca="false">IF('CARNET DE SOUDURE'!E1325="","",'CARNET DE SOUDURE'!AL1325)</f>
        <v/>
      </c>
      <c r="G1325" s="81" t="str">
        <f aca="false">IF('CARNET DE SOUDURE'!E1325="","",'CARNET DE SOUDURE'!AM1325)</f>
        <v/>
      </c>
      <c r="H1325" s="81" t="str">
        <f aca="false">IF(C1325="","",IF(G1325="ACCEPTÉ","OUI","NON"))</f>
        <v/>
      </c>
      <c r="I1325" s="82"/>
      <c r="J1325" s="79"/>
      <c r="K1325" s="80"/>
      <c r="L1325" s="80"/>
      <c r="M1325" s="80"/>
      <c r="N1325" s="83" t="str">
        <f aca="false">IF(C1325="","",IF(I1325="",IF(H1325="OUI","À ENROBER",IF(G1325="À SOUDER","NON SOUDÉ","EN ATTENTE RT")),IF(L1325="R","À REPRENDRE",IF(H1325&lt;&gt;"OUI","⚠ ENROBÉ AVANT ACCEPTATION RT","ENROBÉ"))))</f>
        <v/>
      </c>
      <c r="O1325" s="79"/>
    </row>
    <row r="1326" customFormat="false" ht="15" hidden="false" customHeight="false" outlineLevel="0" collapsed="false">
      <c r="A1326" s="78" t="str">
        <f aca="false">IF('CARNET DE SOUDURE'!E1326="","",'CARNET DE SOUDURE'!A1326)</f>
        <v/>
      </c>
      <c r="B1326" s="93" t="str">
        <f aca="false">IF('CARNET DE SOUDURE'!E1326="","",'CARNET DE SOUDURE'!B1326&amp;"")</f>
        <v/>
      </c>
      <c r="C1326" s="83" t="str">
        <f aca="false">IF('CARNET DE SOUDURE'!E1326="","",'CARNET DE SOUDURE'!E1326)</f>
        <v/>
      </c>
      <c r="D1326" s="78" t="str">
        <f aca="false">IF('CARNET DE SOUDURE'!E1326="","",'CARNET DE SOUDURE'!D1326&amp;"")</f>
        <v/>
      </c>
      <c r="E1326" s="96" t="str">
        <f aca="false">IF(OR('CARNET DE SOUDURE'!E1326="",'CARNET DE SOUDURE'!R1326=""),"",'CARNET DE SOUDURE'!R1326)</f>
        <v/>
      </c>
      <c r="F1326" s="81" t="str">
        <f aca="false">IF('CARNET DE SOUDURE'!E1326="","",'CARNET DE SOUDURE'!AL1326)</f>
        <v/>
      </c>
      <c r="G1326" s="81" t="str">
        <f aca="false">IF('CARNET DE SOUDURE'!E1326="","",'CARNET DE SOUDURE'!AM1326)</f>
        <v/>
      </c>
      <c r="H1326" s="81" t="str">
        <f aca="false">IF(C1326="","",IF(G1326="ACCEPTÉ","OUI","NON"))</f>
        <v/>
      </c>
      <c r="I1326" s="82"/>
      <c r="J1326" s="79"/>
      <c r="K1326" s="80"/>
      <c r="L1326" s="80"/>
      <c r="M1326" s="80"/>
      <c r="N1326" s="83" t="str">
        <f aca="false">IF(C1326="","",IF(I1326="",IF(H1326="OUI","À ENROBER",IF(G1326="À SOUDER","NON SOUDÉ","EN ATTENTE RT")),IF(L1326="R","À REPRENDRE",IF(H1326&lt;&gt;"OUI","⚠ ENROBÉ AVANT ACCEPTATION RT","ENROBÉ"))))</f>
        <v/>
      </c>
      <c r="O1326" s="79"/>
    </row>
    <row r="1327" customFormat="false" ht="15" hidden="false" customHeight="false" outlineLevel="0" collapsed="false">
      <c r="A1327" s="78" t="str">
        <f aca="false">IF('CARNET DE SOUDURE'!E1327="","",'CARNET DE SOUDURE'!A1327)</f>
        <v/>
      </c>
      <c r="B1327" s="93" t="str">
        <f aca="false">IF('CARNET DE SOUDURE'!E1327="","",'CARNET DE SOUDURE'!B1327&amp;"")</f>
        <v/>
      </c>
      <c r="C1327" s="83" t="str">
        <f aca="false">IF('CARNET DE SOUDURE'!E1327="","",'CARNET DE SOUDURE'!E1327)</f>
        <v/>
      </c>
      <c r="D1327" s="78" t="str">
        <f aca="false">IF('CARNET DE SOUDURE'!E1327="","",'CARNET DE SOUDURE'!D1327&amp;"")</f>
        <v/>
      </c>
      <c r="E1327" s="96" t="str">
        <f aca="false">IF(OR('CARNET DE SOUDURE'!E1327="",'CARNET DE SOUDURE'!R1327=""),"",'CARNET DE SOUDURE'!R1327)</f>
        <v/>
      </c>
      <c r="F1327" s="81" t="str">
        <f aca="false">IF('CARNET DE SOUDURE'!E1327="","",'CARNET DE SOUDURE'!AL1327)</f>
        <v/>
      </c>
      <c r="G1327" s="81" t="str">
        <f aca="false">IF('CARNET DE SOUDURE'!E1327="","",'CARNET DE SOUDURE'!AM1327)</f>
        <v/>
      </c>
      <c r="H1327" s="81" t="str">
        <f aca="false">IF(C1327="","",IF(G1327="ACCEPTÉ","OUI","NON"))</f>
        <v/>
      </c>
      <c r="I1327" s="82"/>
      <c r="J1327" s="79"/>
      <c r="K1327" s="80"/>
      <c r="L1327" s="80"/>
      <c r="M1327" s="80"/>
      <c r="N1327" s="83" t="str">
        <f aca="false">IF(C1327="","",IF(I1327="",IF(H1327="OUI","À ENROBER",IF(G1327="À SOUDER","NON SOUDÉ","EN ATTENTE RT")),IF(L1327="R","À REPRENDRE",IF(H1327&lt;&gt;"OUI","⚠ ENROBÉ AVANT ACCEPTATION RT","ENROBÉ"))))</f>
        <v/>
      </c>
      <c r="O1327" s="79"/>
    </row>
    <row r="1328" customFormat="false" ht="15" hidden="false" customHeight="false" outlineLevel="0" collapsed="false">
      <c r="A1328" s="78" t="str">
        <f aca="false">IF('CARNET DE SOUDURE'!E1328="","",'CARNET DE SOUDURE'!A1328)</f>
        <v/>
      </c>
      <c r="B1328" s="93" t="str">
        <f aca="false">IF('CARNET DE SOUDURE'!E1328="","",'CARNET DE SOUDURE'!B1328&amp;"")</f>
        <v/>
      </c>
      <c r="C1328" s="83" t="str">
        <f aca="false">IF('CARNET DE SOUDURE'!E1328="","",'CARNET DE SOUDURE'!E1328)</f>
        <v/>
      </c>
      <c r="D1328" s="78" t="str">
        <f aca="false">IF('CARNET DE SOUDURE'!E1328="","",'CARNET DE SOUDURE'!D1328&amp;"")</f>
        <v/>
      </c>
      <c r="E1328" s="96" t="str">
        <f aca="false">IF(OR('CARNET DE SOUDURE'!E1328="",'CARNET DE SOUDURE'!R1328=""),"",'CARNET DE SOUDURE'!R1328)</f>
        <v/>
      </c>
      <c r="F1328" s="81" t="str">
        <f aca="false">IF('CARNET DE SOUDURE'!E1328="","",'CARNET DE SOUDURE'!AL1328)</f>
        <v/>
      </c>
      <c r="G1328" s="81" t="str">
        <f aca="false">IF('CARNET DE SOUDURE'!E1328="","",'CARNET DE SOUDURE'!AM1328)</f>
        <v/>
      </c>
      <c r="H1328" s="81" t="str">
        <f aca="false">IF(C1328="","",IF(G1328="ACCEPTÉ","OUI","NON"))</f>
        <v/>
      </c>
      <c r="I1328" s="82"/>
      <c r="J1328" s="79"/>
      <c r="K1328" s="80"/>
      <c r="L1328" s="80"/>
      <c r="M1328" s="80"/>
      <c r="N1328" s="83" t="str">
        <f aca="false">IF(C1328="","",IF(I1328="",IF(H1328="OUI","À ENROBER",IF(G1328="À SOUDER","NON SOUDÉ","EN ATTENTE RT")),IF(L1328="R","À REPRENDRE",IF(H1328&lt;&gt;"OUI","⚠ ENROBÉ AVANT ACCEPTATION RT","ENROBÉ"))))</f>
        <v/>
      </c>
      <c r="O1328" s="79"/>
    </row>
    <row r="1329" customFormat="false" ht="15" hidden="false" customHeight="false" outlineLevel="0" collapsed="false">
      <c r="A1329" s="78" t="str">
        <f aca="false">IF('CARNET DE SOUDURE'!E1329="","",'CARNET DE SOUDURE'!A1329)</f>
        <v/>
      </c>
      <c r="B1329" s="93" t="str">
        <f aca="false">IF('CARNET DE SOUDURE'!E1329="","",'CARNET DE SOUDURE'!B1329&amp;"")</f>
        <v/>
      </c>
      <c r="C1329" s="83" t="str">
        <f aca="false">IF('CARNET DE SOUDURE'!E1329="","",'CARNET DE SOUDURE'!E1329)</f>
        <v/>
      </c>
      <c r="D1329" s="78" t="str">
        <f aca="false">IF('CARNET DE SOUDURE'!E1329="","",'CARNET DE SOUDURE'!D1329&amp;"")</f>
        <v/>
      </c>
      <c r="E1329" s="96" t="str">
        <f aca="false">IF(OR('CARNET DE SOUDURE'!E1329="",'CARNET DE SOUDURE'!R1329=""),"",'CARNET DE SOUDURE'!R1329)</f>
        <v/>
      </c>
      <c r="F1329" s="81" t="str">
        <f aca="false">IF('CARNET DE SOUDURE'!E1329="","",'CARNET DE SOUDURE'!AL1329)</f>
        <v/>
      </c>
      <c r="G1329" s="81" t="str">
        <f aca="false">IF('CARNET DE SOUDURE'!E1329="","",'CARNET DE SOUDURE'!AM1329)</f>
        <v/>
      </c>
      <c r="H1329" s="81" t="str">
        <f aca="false">IF(C1329="","",IF(G1329="ACCEPTÉ","OUI","NON"))</f>
        <v/>
      </c>
      <c r="I1329" s="82"/>
      <c r="J1329" s="79"/>
      <c r="K1329" s="80"/>
      <c r="L1329" s="80"/>
      <c r="M1329" s="80"/>
      <c r="N1329" s="83" t="str">
        <f aca="false">IF(C1329="","",IF(I1329="",IF(H1329="OUI","À ENROBER",IF(G1329="À SOUDER","NON SOUDÉ","EN ATTENTE RT")),IF(L1329="R","À REPRENDRE",IF(H1329&lt;&gt;"OUI","⚠ ENROBÉ AVANT ACCEPTATION RT","ENROBÉ"))))</f>
        <v/>
      </c>
      <c r="O1329" s="79"/>
    </row>
    <row r="1330" customFormat="false" ht="15" hidden="false" customHeight="false" outlineLevel="0" collapsed="false">
      <c r="A1330" s="78" t="str">
        <f aca="false">IF('CARNET DE SOUDURE'!E1330="","",'CARNET DE SOUDURE'!A1330)</f>
        <v/>
      </c>
      <c r="B1330" s="93" t="str">
        <f aca="false">IF('CARNET DE SOUDURE'!E1330="","",'CARNET DE SOUDURE'!B1330&amp;"")</f>
        <v/>
      </c>
      <c r="C1330" s="83" t="str">
        <f aca="false">IF('CARNET DE SOUDURE'!E1330="","",'CARNET DE SOUDURE'!E1330)</f>
        <v/>
      </c>
      <c r="D1330" s="78" t="str">
        <f aca="false">IF('CARNET DE SOUDURE'!E1330="","",'CARNET DE SOUDURE'!D1330&amp;"")</f>
        <v/>
      </c>
      <c r="E1330" s="96" t="str">
        <f aca="false">IF(OR('CARNET DE SOUDURE'!E1330="",'CARNET DE SOUDURE'!R1330=""),"",'CARNET DE SOUDURE'!R1330)</f>
        <v/>
      </c>
      <c r="F1330" s="81" t="str">
        <f aca="false">IF('CARNET DE SOUDURE'!E1330="","",'CARNET DE SOUDURE'!AL1330)</f>
        <v/>
      </c>
      <c r="G1330" s="81" t="str">
        <f aca="false">IF('CARNET DE SOUDURE'!E1330="","",'CARNET DE SOUDURE'!AM1330)</f>
        <v/>
      </c>
      <c r="H1330" s="81" t="str">
        <f aca="false">IF(C1330="","",IF(G1330="ACCEPTÉ","OUI","NON"))</f>
        <v/>
      </c>
      <c r="I1330" s="82"/>
      <c r="J1330" s="79"/>
      <c r="K1330" s="80"/>
      <c r="L1330" s="80"/>
      <c r="M1330" s="80"/>
      <c r="N1330" s="83" t="str">
        <f aca="false">IF(C1330="","",IF(I1330="",IF(H1330="OUI","À ENROBER",IF(G1330="À SOUDER","NON SOUDÉ","EN ATTENTE RT")),IF(L1330="R","À REPRENDRE",IF(H1330&lt;&gt;"OUI","⚠ ENROBÉ AVANT ACCEPTATION RT","ENROBÉ"))))</f>
        <v/>
      </c>
      <c r="O1330" s="79"/>
    </row>
    <row r="1331" customFormat="false" ht="15" hidden="false" customHeight="false" outlineLevel="0" collapsed="false">
      <c r="A1331" s="78" t="str">
        <f aca="false">IF('CARNET DE SOUDURE'!E1331="","",'CARNET DE SOUDURE'!A1331)</f>
        <v/>
      </c>
      <c r="B1331" s="93" t="str">
        <f aca="false">IF('CARNET DE SOUDURE'!E1331="","",'CARNET DE SOUDURE'!B1331&amp;"")</f>
        <v/>
      </c>
      <c r="C1331" s="83" t="str">
        <f aca="false">IF('CARNET DE SOUDURE'!E1331="","",'CARNET DE SOUDURE'!E1331)</f>
        <v/>
      </c>
      <c r="D1331" s="78" t="str">
        <f aca="false">IF('CARNET DE SOUDURE'!E1331="","",'CARNET DE SOUDURE'!D1331&amp;"")</f>
        <v/>
      </c>
      <c r="E1331" s="96" t="str">
        <f aca="false">IF(OR('CARNET DE SOUDURE'!E1331="",'CARNET DE SOUDURE'!R1331=""),"",'CARNET DE SOUDURE'!R1331)</f>
        <v/>
      </c>
      <c r="F1331" s="81" t="str">
        <f aca="false">IF('CARNET DE SOUDURE'!E1331="","",'CARNET DE SOUDURE'!AL1331)</f>
        <v/>
      </c>
      <c r="G1331" s="81" t="str">
        <f aca="false">IF('CARNET DE SOUDURE'!E1331="","",'CARNET DE SOUDURE'!AM1331)</f>
        <v/>
      </c>
      <c r="H1331" s="81" t="str">
        <f aca="false">IF(C1331="","",IF(G1331="ACCEPTÉ","OUI","NON"))</f>
        <v/>
      </c>
      <c r="I1331" s="82"/>
      <c r="J1331" s="79"/>
      <c r="K1331" s="80"/>
      <c r="L1331" s="80"/>
      <c r="M1331" s="80"/>
      <c r="N1331" s="83" t="str">
        <f aca="false">IF(C1331="","",IF(I1331="",IF(H1331="OUI","À ENROBER",IF(G1331="À SOUDER","NON SOUDÉ","EN ATTENTE RT")),IF(L1331="R","À REPRENDRE",IF(H1331&lt;&gt;"OUI","⚠ ENROBÉ AVANT ACCEPTATION RT","ENROBÉ"))))</f>
        <v/>
      </c>
      <c r="O1331" s="79"/>
    </row>
    <row r="1332" customFormat="false" ht="15" hidden="false" customHeight="false" outlineLevel="0" collapsed="false">
      <c r="A1332" s="78" t="str">
        <f aca="false">IF('CARNET DE SOUDURE'!E1332="","",'CARNET DE SOUDURE'!A1332)</f>
        <v/>
      </c>
      <c r="B1332" s="93" t="str">
        <f aca="false">IF('CARNET DE SOUDURE'!E1332="","",'CARNET DE SOUDURE'!B1332&amp;"")</f>
        <v/>
      </c>
      <c r="C1332" s="83" t="str">
        <f aca="false">IF('CARNET DE SOUDURE'!E1332="","",'CARNET DE SOUDURE'!E1332)</f>
        <v/>
      </c>
      <c r="D1332" s="78" t="str">
        <f aca="false">IF('CARNET DE SOUDURE'!E1332="","",'CARNET DE SOUDURE'!D1332&amp;"")</f>
        <v/>
      </c>
      <c r="E1332" s="96" t="str">
        <f aca="false">IF(OR('CARNET DE SOUDURE'!E1332="",'CARNET DE SOUDURE'!R1332=""),"",'CARNET DE SOUDURE'!R1332)</f>
        <v/>
      </c>
      <c r="F1332" s="81" t="str">
        <f aca="false">IF('CARNET DE SOUDURE'!E1332="","",'CARNET DE SOUDURE'!AL1332)</f>
        <v/>
      </c>
      <c r="G1332" s="81" t="str">
        <f aca="false">IF('CARNET DE SOUDURE'!E1332="","",'CARNET DE SOUDURE'!AM1332)</f>
        <v/>
      </c>
      <c r="H1332" s="81" t="str">
        <f aca="false">IF(C1332="","",IF(G1332="ACCEPTÉ","OUI","NON"))</f>
        <v/>
      </c>
      <c r="I1332" s="82"/>
      <c r="J1332" s="79"/>
      <c r="K1332" s="80"/>
      <c r="L1332" s="80"/>
      <c r="M1332" s="80"/>
      <c r="N1332" s="83" t="str">
        <f aca="false">IF(C1332="","",IF(I1332="",IF(H1332="OUI","À ENROBER",IF(G1332="À SOUDER","NON SOUDÉ","EN ATTENTE RT")),IF(L1332="R","À REPRENDRE",IF(H1332&lt;&gt;"OUI","⚠ ENROBÉ AVANT ACCEPTATION RT","ENROBÉ"))))</f>
        <v/>
      </c>
      <c r="O1332" s="79"/>
    </row>
    <row r="1333" customFormat="false" ht="15" hidden="false" customHeight="false" outlineLevel="0" collapsed="false">
      <c r="A1333" s="78" t="str">
        <f aca="false">IF('CARNET DE SOUDURE'!E1333="","",'CARNET DE SOUDURE'!A1333)</f>
        <v/>
      </c>
      <c r="B1333" s="93" t="str">
        <f aca="false">IF('CARNET DE SOUDURE'!E1333="","",'CARNET DE SOUDURE'!B1333&amp;"")</f>
        <v/>
      </c>
      <c r="C1333" s="83" t="str">
        <f aca="false">IF('CARNET DE SOUDURE'!E1333="","",'CARNET DE SOUDURE'!E1333)</f>
        <v/>
      </c>
      <c r="D1333" s="78" t="str">
        <f aca="false">IF('CARNET DE SOUDURE'!E1333="","",'CARNET DE SOUDURE'!D1333&amp;"")</f>
        <v/>
      </c>
      <c r="E1333" s="96" t="str">
        <f aca="false">IF(OR('CARNET DE SOUDURE'!E1333="",'CARNET DE SOUDURE'!R1333=""),"",'CARNET DE SOUDURE'!R1333)</f>
        <v/>
      </c>
      <c r="F1333" s="81" t="str">
        <f aca="false">IF('CARNET DE SOUDURE'!E1333="","",'CARNET DE SOUDURE'!AL1333)</f>
        <v/>
      </c>
      <c r="G1333" s="81" t="str">
        <f aca="false">IF('CARNET DE SOUDURE'!E1333="","",'CARNET DE SOUDURE'!AM1333)</f>
        <v/>
      </c>
      <c r="H1333" s="81" t="str">
        <f aca="false">IF(C1333="","",IF(G1333="ACCEPTÉ","OUI","NON"))</f>
        <v/>
      </c>
      <c r="I1333" s="82"/>
      <c r="J1333" s="79"/>
      <c r="K1333" s="80"/>
      <c r="L1333" s="80"/>
      <c r="M1333" s="80"/>
      <c r="N1333" s="83" t="str">
        <f aca="false">IF(C1333="","",IF(I1333="",IF(H1333="OUI","À ENROBER",IF(G1333="À SOUDER","NON SOUDÉ","EN ATTENTE RT")),IF(L1333="R","À REPRENDRE",IF(H1333&lt;&gt;"OUI","⚠ ENROBÉ AVANT ACCEPTATION RT","ENROBÉ"))))</f>
        <v/>
      </c>
      <c r="O1333" s="79"/>
    </row>
    <row r="1334" customFormat="false" ht="15" hidden="false" customHeight="false" outlineLevel="0" collapsed="false">
      <c r="A1334" s="78" t="str">
        <f aca="false">IF('CARNET DE SOUDURE'!E1334="","",'CARNET DE SOUDURE'!A1334)</f>
        <v/>
      </c>
      <c r="B1334" s="93" t="str">
        <f aca="false">IF('CARNET DE SOUDURE'!E1334="","",'CARNET DE SOUDURE'!B1334&amp;"")</f>
        <v/>
      </c>
      <c r="C1334" s="83" t="str">
        <f aca="false">IF('CARNET DE SOUDURE'!E1334="","",'CARNET DE SOUDURE'!E1334)</f>
        <v/>
      </c>
      <c r="D1334" s="78" t="str">
        <f aca="false">IF('CARNET DE SOUDURE'!E1334="","",'CARNET DE SOUDURE'!D1334&amp;"")</f>
        <v/>
      </c>
      <c r="E1334" s="96" t="str">
        <f aca="false">IF(OR('CARNET DE SOUDURE'!E1334="",'CARNET DE SOUDURE'!R1334=""),"",'CARNET DE SOUDURE'!R1334)</f>
        <v/>
      </c>
      <c r="F1334" s="81" t="str">
        <f aca="false">IF('CARNET DE SOUDURE'!E1334="","",'CARNET DE SOUDURE'!AL1334)</f>
        <v/>
      </c>
      <c r="G1334" s="81" t="str">
        <f aca="false">IF('CARNET DE SOUDURE'!E1334="","",'CARNET DE SOUDURE'!AM1334)</f>
        <v/>
      </c>
      <c r="H1334" s="81" t="str">
        <f aca="false">IF(C1334="","",IF(G1334="ACCEPTÉ","OUI","NON"))</f>
        <v/>
      </c>
      <c r="I1334" s="82"/>
      <c r="J1334" s="79"/>
      <c r="K1334" s="80"/>
      <c r="L1334" s="80"/>
      <c r="M1334" s="80"/>
      <c r="N1334" s="83" t="str">
        <f aca="false">IF(C1334="","",IF(I1334="",IF(H1334="OUI","À ENROBER",IF(G1334="À SOUDER","NON SOUDÉ","EN ATTENTE RT")),IF(L1334="R","À REPRENDRE",IF(H1334&lt;&gt;"OUI","⚠ ENROBÉ AVANT ACCEPTATION RT","ENROBÉ"))))</f>
        <v/>
      </c>
      <c r="O1334" s="79"/>
    </row>
    <row r="1335" customFormat="false" ht="15" hidden="false" customHeight="false" outlineLevel="0" collapsed="false">
      <c r="A1335" s="78" t="str">
        <f aca="false">IF('CARNET DE SOUDURE'!E1335="","",'CARNET DE SOUDURE'!A1335)</f>
        <v/>
      </c>
      <c r="B1335" s="93" t="str">
        <f aca="false">IF('CARNET DE SOUDURE'!E1335="","",'CARNET DE SOUDURE'!B1335&amp;"")</f>
        <v/>
      </c>
      <c r="C1335" s="83" t="str">
        <f aca="false">IF('CARNET DE SOUDURE'!E1335="","",'CARNET DE SOUDURE'!E1335)</f>
        <v/>
      </c>
      <c r="D1335" s="78" t="str">
        <f aca="false">IF('CARNET DE SOUDURE'!E1335="","",'CARNET DE SOUDURE'!D1335&amp;"")</f>
        <v/>
      </c>
      <c r="E1335" s="96" t="str">
        <f aca="false">IF(OR('CARNET DE SOUDURE'!E1335="",'CARNET DE SOUDURE'!R1335=""),"",'CARNET DE SOUDURE'!R1335)</f>
        <v/>
      </c>
      <c r="F1335" s="81" t="str">
        <f aca="false">IF('CARNET DE SOUDURE'!E1335="","",'CARNET DE SOUDURE'!AL1335)</f>
        <v/>
      </c>
      <c r="G1335" s="81" t="str">
        <f aca="false">IF('CARNET DE SOUDURE'!E1335="","",'CARNET DE SOUDURE'!AM1335)</f>
        <v/>
      </c>
      <c r="H1335" s="81" t="str">
        <f aca="false">IF(C1335="","",IF(G1335="ACCEPTÉ","OUI","NON"))</f>
        <v/>
      </c>
      <c r="I1335" s="82"/>
      <c r="J1335" s="79"/>
      <c r="K1335" s="80"/>
      <c r="L1335" s="80"/>
      <c r="M1335" s="80"/>
      <c r="N1335" s="83" t="str">
        <f aca="false">IF(C1335="","",IF(I1335="",IF(H1335="OUI","À ENROBER",IF(G1335="À SOUDER","NON SOUDÉ","EN ATTENTE RT")),IF(L1335="R","À REPRENDRE",IF(H1335&lt;&gt;"OUI","⚠ ENROBÉ AVANT ACCEPTATION RT","ENROBÉ"))))</f>
        <v/>
      </c>
      <c r="O1335" s="79"/>
    </row>
    <row r="1336" customFormat="false" ht="15" hidden="false" customHeight="false" outlineLevel="0" collapsed="false">
      <c r="A1336" s="78" t="str">
        <f aca="false">IF('CARNET DE SOUDURE'!E1336="","",'CARNET DE SOUDURE'!A1336)</f>
        <v/>
      </c>
      <c r="B1336" s="93" t="str">
        <f aca="false">IF('CARNET DE SOUDURE'!E1336="","",'CARNET DE SOUDURE'!B1336&amp;"")</f>
        <v/>
      </c>
      <c r="C1336" s="83" t="str">
        <f aca="false">IF('CARNET DE SOUDURE'!E1336="","",'CARNET DE SOUDURE'!E1336)</f>
        <v/>
      </c>
      <c r="D1336" s="78" t="str">
        <f aca="false">IF('CARNET DE SOUDURE'!E1336="","",'CARNET DE SOUDURE'!D1336&amp;"")</f>
        <v/>
      </c>
      <c r="E1336" s="96" t="str">
        <f aca="false">IF(OR('CARNET DE SOUDURE'!E1336="",'CARNET DE SOUDURE'!R1336=""),"",'CARNET DE SOUDURE'!R1336)</f>
        <v/>
      </c>
      <c r="F1336" s="81" t="str">
        <f aca="false">IF('CARNET DE SOUDURE'!E1336="","",'CARNET DE SOUDURE'!AL1336)</f>
        <v/>
      </c>
      <c r="G1336" s="81" t="str">
        <f aca="false">IF('CARNET DE SOUDURE'!E1336="","",'CARNET DE SOUDURE'!AM1336)</f>
        <v/>
      </c>
      <c r="H1336" s="81" t="str">
        <f aca="false">IF(C1336="","",IF(G1336="ACCEPTÉ","OUI","NON"))</f>
        <v/>
      </c>
      <c r="I1336" s="82"/>
      <c r="J1336" s="79"/>
      <c r="K1336" s="80"/>
      <c r="L1336" s="80"/>
      <c r="M1336" s="80"/>
      <c r="N1336" s="83" t="str">
        <f aca="false">IF(C1336="","",IF(I1336="",IF(H1336="OUI","À ENROBER",IF(G1336="À SOUDER","NON SOUDÉ","EN ATTENTE RT")),IF(L1336="R","À REPRENDRE",IF(H1336&lt;&gt;"OUI","⚠ ENROBÉ AVANT ACCEPTATION RT","ENROBÉ"))))</f>
        <v/>
      </c>
      <c r="O1336" s="79"/>
    </row>
    <row r="1337" customFormat="false" ht="15" hidden="false" customHeight="false" outlineLevel="0" collapsed="false">
      <c r="A1337" s="78" t="str">
        <f aca="false">IF('CARNET DE SOUDURE'!E1337="","",'CARNET DE SOUDURE'!A1337)</f>
        <v/>
      </c>
      <c r="B1337" s="93" t="str">
        <f aca="false">IF('CARNET DE SOUDURE'!E1337="","",'CARNET DE SOUDURE'!B1337&amp;"")</f>
        <v/>
      </c>
      <c r="C1337" s="83" t="str">
        <f aca="false">IF('CARNET DE SOUDURE'!E1337="","",'CARNET DE SOUDURE'!E1337)</f>
        <v/>
      </c>
      <c r="D1337" s="78" t="str">
        <f aca="false">IF('CARNET DE SOUDURE'!E1337="","",'CARNET DE SOUDURE'!D1337&amp;"")</f>
        <v/>
      </c>
      <c r="E1337" s="96" t="str">
        <f aca="false">IF(OR('CARNET DE SOUDURE'!E1337="",'CARNET DE SOUDURE'!R1337=""),"",'CARNET DE SOUDURE'!R1337)</f>
        <v/>
      </c>
      <c r="F1337" s="81" t="str">
        <f aca="false">IF('CARNET DE SOUDURE'!E1337="","",'CARNET DE SOUDURE'!AL1337)</f>
        <v/>
      </c>
      <c r="G1337" s="81" t="str">
        <f aca="false">IF('CARNET DE SOUDURE'!E1337="","",'CARNET DE SOUDURE'!AM1337)</f>
        <v/>
      </c>
      <c r="H1337" s="81" t="str">
        <f aca="false">IF(C1337="","",IF(G1337="ACCEPTÉ","OUI","NON"))</f>
        <v/>
      </c>
      <c r="I1337" s="82"/>
      <c r="J1337" s="79"/>
      <c r="K1337" s="80"/>
      <c r="L1337" s="80"/>
      <c r="M1337" s="80"/>
      <c r="N1337" s="83" t="str">
        <f aca="false">IF(C1337="","",IF(I1337="",IF(H1337="OUI","À ENROBER",IF(G1337="À SOUDER","NON SOUDÉ","EN ATTENTE RT")),IF(L1337="R","À REPRENDRE",IF(H1337&lt;&gt;"OUI","⚠ ENROBÉ AVANT ACCEPTATION RT","ENROBÉ"))))</f>
        <v/>
      </c>
      <c r="O1337" s="79"/>
    </row>
    <row r="1338" customFormat="false" ht="15" hidden="false" customHeight="false" outlineLevel="0" collapsed="false">
      <c r="A1338" s="78" t="str">
        <f aca="false">IF('CARNET DE SOUDURE'!E1338="","",'CARNET DE SOUDURE'!A1338)</f>
        <v/>
      </c>
      <c r="B1338" s="93" t="str">
        <f aca="false">IF('CARNET DE SOUDURE'!E1338="","",'CARNET DE SOUDURE'!B1338&amp;"")</f>
        <v/>
      </c>
      <c r="C1338" s="83" t="str">
        <f aca="false">IF('CARNET DE SOUDURE'!E1338="","",'CARNET DE SOUDURE'!E1338)</f>
        <v/>
      </c>
      <c r="D1338" s="78" t="str">
        <f aca="false">IF('CARNET DE SOUDURE'!E1338="","",'CARNET DE SOUDURE'!D1338&amp;"")</f>
        <v/>
      </c>
      <c r="E1338" s="96" t="str">
        <f aca="false">IF(OR('CARNET DE SOUDURE'!E1338="",'CARNET DE SOUDURE'!R1338=""),"",'CARNET DE SOUDURE'!R1338)</f>
        <v/>
      </c>
      <c r="F1338" s="81" t="str">
        <f aca="false">IF('CARNET DE SOUDURE'!E1338="","",'CARNET DE SOUDURE'!AL1338)</f>
        <v/>
      </c>
      <c r="G1338" s="81" t="str">
        <f aca="false">IF('CARNET DE SOUDURE'!E1338="","",'CARNET DE SOUDURE'!AM1338)</f>
        <v/>
      </c>
      <c r="H1338" s="81" t="str">
        <f aca="false">IF(C1338="","",IF(G1338="ACCEPTÉ","OUI","NON"))</f>
        <v/>
      </c>
      <c r="I1338" s="82"/>
      <c r="J1338" s="79"/>
      <c r="K1338" s="80"/>
      <c r="L1338" s="80"/>
      <c r="M1338" s="80"/>
      <c r="N1338" s="83" t="str">
        <f aca="false">IF(C1338="","",IF(I1338="",IF(H1338="OUI","À ENROBER",IF(G1338="À SOUDER","NON SOUDÉ","EN ATTENTE RT")),IF(L1338="R","À REPRENDRE",IF(H1338&lt;&gt;"OUI","⚠ ENROBÉ AVANT ACCEPTATION RT","ENROBÉ"))))</f>
        <v/>
      </c>
      <c r="O1338" s="79"/>
    </row>
    <row r="1339" customFormat="false" ht="15" hidden="false" customHeight="false" outlineLevel="0" collapsed="false">
      <c r="A1339" s="78" t="str">
        <f aca="false">IF('CARNET DE SOUDURE'!E1339="","",'CARNET DE SOUDURE'!A1339)</f>
        <v/>
      </c>
      <c r="B1339" s="93" t="str">
        <f aca="false">IF('CARNET DE SOUDURE'!E1339="","",'CARNET DE SOUDURE'!B1339&amp;"")</f>
        <v/>
      </c>
      <c r="C1339" s="83" t="str">
        <f aca="false">IF('CARNET DE SOUDURE'!E1339="","",'CARNET DE SOUDURE'!E1339)</f>
        <v/>
      </c>
      <c r="D1339" s="78" t="str">
        <f aca="false">IF('CARNET DE SOUDURE'!E1339="","",'CARNET DE SOUDURE'!D1339&amp;"")</f>
        <v/>
      </c>
      <c r="E1339" s="96" t="str">
        <f aca="false">IF(OR('CARNET DE SOUDURE'!E1339="",'CARNET DE SOUDURE'!R1339=""),"",'CARNET DE SOUDURE'!R1339)</f>
        <v/>
      </c>
      <c r="F1339" s="81" t="str">
        <f aca="false">IF('CARNET DE SOUDURE'!E1339="","",'CARNET DE SOUDURE'!AL1339)</f>
        <v/>
      </c>
      <c r="G1339" s="81" t="str">
        <f aca="false">IF('CARNET DE SOUDURE'!E1339="","",'CARNET DE SOUDURE'!AM1339)</f>
        <v/>
      </c>
      <c r="H1339" s="81" t="str">
        <f aca="false">IF(C1339="","",IF(G1339="ACCEPTÉ","OUI","NON"))</f>
        <v/>
      </c>
      <c r="I1339" s="82"/>
      <c r="J1339" s="79"/>
      <c r="K1339" s="80"/>
      <c r="L1339" s="80"/>
      <c r="M1339" s="80"/>
      <c r="N1339" s="83" t="str">
        <f aca="false">IF(C1339="","",IF(I1339="",IF(H1339="OUI","À ENROBER",IF(G1339="À SOUDER","NON SOUDÉ","EN ATTENTE RT")),IF(L1339="R","À REPRENDRE",IF(H1339&lt;&gt;"OUI","⚠ ENROBÉ AVANT ACCEPTATION RT","ENROBÉ"))))</f>
        <v/>
      </c>
      <c r="O1339" s="79"/>
    </row>
    <row r="1340" customFormat="false" ht="15" hidden="false" customHeight="false" outlineLevel="0" collapsed="false">
      <c r="A1340" s="78" t="str">
        <f aca="false">IF('CARNET DE SOUDURE'!E1340="","",'CARNET DE SOUDURE'!A1340)</f>
        <v/>
      </c>
      <c r="B1340" s="93" t="str">
        <f aca="false">IF('CARNET DE SOUDURE'!E1340="","",'CARNET DE SOUDURE'!B1340&amp;"")</f>
        <v/>
      </c>
      <c r="C1340" s="83" t="str">
        <f aca="false">IF('CARNET DE SOUDURE'!E1340="","",'CARNET DE SOUDURE'!E1340)</f>
        <v/>
      </c>
      <c r="D1340" s="78" t="str">
        <f aca="false">IF('CARNET DE SOUDURE'!E1340="","",'CARNET DE SOUDURE'!D1340&amp;"")</f>
        <v/>
      </c>
      <c r="E1340" s="96" t="str">
        <f aca="false">IF(OR('CARNET DE SOUDURE'!E1340="",'CARNET DE SOUDURE'!R1340=""),"",'CARNET DE SOUDURE'!R1340)</f>
        <v/>
      </c>
      <c r="F1340" s="81" t="str">
        <f aca="false">IF('CARNET DE SOUDURE'!E1340="","",'CARNET DE SOUDURE'!AL1340)</f>
        <v/>
      </c>
      <c r="G1340" s="81" t="str">
        <f aca="false">IF('CARNET DE SOUDURE'!E1340="","",'CARNET DE SOUDURE'!AM1340)</f>
        <v/>
      </c>
      <c r="H1340" s="81" t="str">
        <f aca="false">IF(C1340="","",IF(G1340="ACCEPTÉ","OUI","NON"))</f>
        <v/>
      </c>
      <c r="I1340" s="82"/>
      <c r="J1340" s="79"/>
      <c r="K1340" s="80"/>
      <c r="L1340" s="80"/>
      <c r="M1340" s="80"/>
      <c r="N1340" s="83" t="str">
        <f aca="false">IF(C1340="","",IF(I1340="",IF(H1340="OUI","À ENROBER",IF(G1340="À SOUDER","NON SOUDÉ","EN ATTENTE RT")),IF(L1340="R","À REPRENDRE",IF(H1340&lt;&gt;"OUI","⚠ ENROBÉ AVANT ACCEPTATION RT","ENROBÉ"))))</f>
        <v/>
      </c>
      <c r="O1340" s="79"/>
    </row>
    <row r="1341" customFormat="false" ht="15" hidden="false" customHeight="false" outlineLevel="0" collapsed="false">
      <c r="A1341" s="78" t="str">
        <f aca="false">IF('CARNET DE SOUDURE'!E1341="","",'CARNET DE SOUDURE'!A1341)</f>
        <v/>
      </c>
      <c r="B1341" s="93" t="str">
        <f aca="false">IF('CARNET DE SOUDURE'!E1341="","",'CARNET DE SOUDURE'!B1341&amp;"")</f>
        <v/>
      </c>
      <c r="C1341" s="83" t="str">
        <f aca="false">IF('CARNET DE SOUDURE'!E1341="","",'CARNET DE SOUDURE'!E1341)</f>
        <v/>
      </c>
      <c r="D1341" s="78" t="str">
        <f aca="false">IF('CARNET DE SOUDURE'!E1341="","",'CARNET DE SOUDURE'!D1341&amp;"")</f>
        <v/>
      </c>
      <c r="E1341" s="96" t="str">
        <f aca="false">IF(OR('CARNET DE SOUDURE'!E1341="",'CARNET DE SOUDURE'!R1341=""),"",'CARNET DE SOUDURE'!R1341)</f>
        <v/>
      </c>
      <c r="F1341" s="81" t="str">
        <f aca="false">IF('CARNET DE SOUDURE'!E1341="","",'CARNET DE SOUDURE'!AL1341)</f>
        <v/>
      </c>
      <c r="G1341" s="81" t="str">
        <f aca="false">IF('CARNET DE SOUDURE'!E1341="","",'CARNET DE SOUDURE'!AM1341)</f>
        <v/>
      </c>
      <c r="H1341" s="81" t="str">
        <f aca="false">IF(C1341="","",IF(G1341="ACCEPTÉ","OUI","NON"))</f>
        <v/>
      </c>
      <c r="I1341" s="82"/>
      <c r="J1341" s="79"/>
      <c r="K1341" s="80"/>
      <c r="L1341" s="80"/>
      <c r="M1341" s="80"/>
      <c r="N1341" s="83" t="str">
        <f aca="false">IF(C1341="","",IF(I1341="",IF(H1341="OUI","À ENROBER",IF(G1341="À SOUDER","NON SOUDÉ","EN ATTENTE RT")),IF(L1341="R","À REPRENDRE",IF(H1341&lt;&gt;"OUI","⚠ ENROBÉ AVANT ACCEPTATION RT","ENROBÉ"))))</f>
        <v/>
      </c>
      <c r="O1341" s="79"/>
    </row>
    <row r="1342" customFormat="false" ht="15" hidden="false" customHeight="false" outlineLevel="0" collapsed="false">
      <c r="A1342" s="78" t="str">
        <f aca="false">IF('CARNET DE SOUDURE'!E1342="","",'CARNET DE SOUDURE'!A1342)</f>
        <v/>
      </c>
      <c r="B1342" s="93" t="str">
        <f aca="false">IF('CARNET DE SOUDURE'!E1342="","",'CARNET DE SOUDURE'!B1342&amp;"")</f>
        <v/>
      </c>
      <c r="C1342" s="83" t="str">
        <f aca="false">IF('CARNET DE SOUDURE'!E1342="","",'CARNET DE SOUDURE'!E1342)</f>
        <v/>
      </c>
      <c r="D1342" s="78" t="str">
        <f aca="false">IF('CARNET DE SOUDURE'!E1342="","",'CARNET DE SOUDURE'!D1342&amp;"")</f>
        <v/>
      </c>
      <c r="E1342" s="96" t="str">
        <f aca="false">IF(OR('CARNET DE SOUDURE'!E1342="",'CARNET DE SOUDURE'!R1342=""),"",'CARNET DE SOUDURE'!R1342)</f>
        <v/>
      </c>
      <c r="F1342" s="81" t="str">
        <f aca="false">IF('CARNET DE SOUDURE'!E1342="","",'CARNET DE SOUDURE'!AL1342)</f>
        <v/>
      </c>
      <c r="G1342" s="81" t="str">
        <f aca="false">IF('CARNET DE SOUDURE'!E1342="","",'CARNET DE SOUDURE'!AM1342)</f>
        <v/>
      </c>
      <c r="H1342" s="81" t="str">
        <f aca="false">IF(C1342="","",IF(G1342="ACCEPTÉ","OUI","NON"))</f>
        <v/>
      </c>
      <c r="I1342" s="82"/>
      <c r="J1342" s="79"/>
      <c r="K1342" s="80"/>
      <c r="L1342" s="80"/>
      <c r="M1342" s="80"/>
      <c r="N1342" s="83" t="str">
        <f aca="false">IF(C1342="","",IF(I1342="",IF(H1342="OUI","À ENROBER",IF(G1342="À SOUDER","NON SOUDÉ","EN ATTENTE RT")),IF(L1342="R","À REPRENDRE",IF(H1342&lt;&gt;"OUI","⚠ ENROBÉ AVANT ACCEPTATION RT","ENROBÉ"))))</f>
        <v/>
      </c>
      <c r="O1342" s="79"/>
    </row>
    <row r="1343" customFormat="false" ht="15" hidden="false" customHeight="false" outlineLevel="0" collapsed="false">
      <c r="A1343" s="78" t="str">
        <f aca="false">IF('CARNET DE SOUDURE'!E1343="","",'CARNET DE SOUDURE'!A1343)</f>
        <v/>
      </c>
      <c r="B1343" s="93" t="str">
        <f aca="false">IF('CARNET DE SOUDURE'!E1343="","",'CARNET DE SOUDURE'!B1343&amp;"")</f>
        <v/>
      </c>
      <c r="C1343" s="83" t="str">
        <f aca="false">IF('CARNET DE SOUDURE'!E1343="","",'CARNET DE SOUDURE'!E1343)</f>
        <v/>
      </c>
      <c r="D1343" s="78" t="str">
        <f aca="false">IF('CARNET DE SOUDURE'!E1343="","",'CARNET DE SOUDURE'!D1343&amp;"")</f>
        <v/>
      </c>
      <c r="E1343" s="96" t="str">
        <f aca="false">IF(OR('CARNET DE SOUDURE'!E1343="",'CARNET DE SOUDURE'!R1343=""),"",'CARNET DE SOUDURE'!R1343)</f>
        <v/>
      </c>
      <c r="F1343" s="81" t="str">
        <f aca="false">IF('CARNET DE SOUDURE'!E1343="","",'CARNET DE SOUDURE'!AL1343)</f>
        <v/>
      </c>
      <c r="G1343" s="81" t="str">
        <f aca="false">IF('CARNET DE SOUDURE'!E1343="","",'CARNET DE SOUDURE'!AM1343)</f>
        <v/>
      </c>
      <c r="H1343" s="81" t="str">
        <f aca="false">IF(C1343="","",IF(G1343="ACCEPTÉ","OUI","NON"))</f>
        <v/>
      </c>
      <c r="I1343" s="82"/>
      <c r="J1343" s="79"/>
      <c r="K1343" s="80"/>
      <c r="L1343" s="80"/>
      <c r="M1343" s="80"/>
      <c r="N1343" s="83" t="str">
        <f aca="false">IF(C1343="","",IF(I1343="",IF(H1343="OUI","À ENROBER",IF(G1343="À SOUDER","NON SOUDÉ","EN ATTENTE RT")),IF(L1343="R","À REPRENDRE",IF(H1343&lt;&gt;"OUI","⚠ ENROBÉ AVANT ACCEPTATION RT","ENROBÉ"))))</f>
        <v/>
      </c>
      <c r="O1343" s="79"/>
    </row>
    <row r="1344" customFormat="false" ht="15" hidden="false" customHeight="false" outlineLevel="0" collapsed="false">
      <c r="A1344" s="78" t="str">
        <f aca="false">IF('CARNET DE SOUDURE'!E1344="","",'CARNET DE SOUDURE'!A1344)</f>
        <v/>
      </c>
      <c r="B1344" s="93" t="str">
        <f aca="false">IF('CARNET DE SOUDURE'!E1344="","",'CARNET DE SOUDURE'!B1344&amp;"")</f>
        <v/>
      </c>
      <c r="C1344" s="83" t="str">
        <f aca="false">IF('CARNET DE SOUDURE'!E1344="","",'CARNET DE SOUDURE'!E1344)</f>
        <v/>
      </c>
      <c r="D1344" s="78" t="str">
        <f aca="false">IF('CARNET DE SOUDURE'!E1344="","",'CARNET DE SOUDURE'!D1344&amp;"")</f>
        <v/>
      </c>
      <c r="E1344" s="96" t="str">
        <f aca="false">IF(OR('CARNET DE SOUDURE'!E1344="",'CARNET DE SOUDURE'!R1344=""),"",'CARNET DE SOUDURE'!R1344)</f>
        <v/>
      </c>
      <c r="F1344" s="81" t="str">
        <f aca="false">IF('CARNET DE SOUDURE'!E1344="","",'CARNET DE SOUDURE'!AL1344)</f>
        <v/>
      </c>
      <c r="G1344" s="81" t="str">
        <f aca="false">IF('CARNET DE SOUDURE'!E1344="","",'CARNET DE SOUDURE'!AM1344)</f>
        <v/>
      </c>
      <c r="H1344" s="81" t="str">
        <f aca="false">IF(C1344="","",IF(G1344="ACCEPTÉ","OUI","NON"))</f>
        <v/>
      </c>
      <c r="I1344" s="82"/>
      <c r="J1344" s="79"/>
      <c r="K1344" s="80"/>
      <c r="L1344" s="80"/>
      <c r="M1344" s="80"/>
      <c r="N1344" s="83" t="str">
        <f aca="false">IF(C1344="","",IF(I1344="",IF(H1344="OUI","À ENROBER",IF(G1344="À SOUDER","NON SOUDÉ","EN ATTENTE RT")),IF(L1344="R","À REPRENDRE",IF(H1344&lt;&gt;"OUI","⚠ ENROBÉ AVANT ACCEPTATION RT","ENROBÉ"))))</f>
        <v/>
      </c>
      <c r="O1344" s="79"/>
    </row>
    <row r="1345" customFormat="false" ht="15" hidden="false" customHeight="false" outlineLevel="0" collapsed="false">
      <c r="A1345" s="78" t="str">
        <f aca="false">IF('CARNET DE SOUDURE'!E1345="","",'CARNET DE SOUDURE'!A1345)</f>
        <v/>
      </c>
      <c r="B1345" s="93" t="str">
        <f aca="false">IF('CARNET DE SOUDURE'!E1345="","",'CARNET DE SOUDURE'!B1345&amp;"")</f>
        <v/>
      </c>
      <c r="C1345" s="83" t="str">
        <f aca="false">IF('CARNET DE SOUDURE'!E1345="","",'CARNET DE SOUDURE'!E1345)</f>
        <v/>
      </c>
      <c r="D1345" s="78" t="str">
        <f aca="false">IF('CARNET DE SOUDURE'!E1345="","",'CARNET DE SOUDURE'!D1345&amp;"")</f>
        <v/>
      </c>
      <c r="E1345" s="96" t="str">
        <f aca="false">IF(OR('CARNET DE SOUDURE'!E1345="",'CARNET DE SOUDURE'!R1345=""),"",'CARNET DE SOUDURE'!R1345)</f>
        <v/>
      </c>
      <c r="F1345" s="81" t="str">
        <f aca="false">IF('CARNET DE SOUDURE'!E1345="","",'CARNET DE SOUDURE'!AL1345)</f>
        <v/>
      </c>
      <c r="G1345" s="81" t="str">
        <f aca="false">IF('CARNET DE SOUDURE'!E1345="","",'CARNET DE SOUDURE'!AM1345)</f>
        <v/>
      </c>
      <c r="H1345" s="81" t="str">
        <f aca="false">IF(C1345="","",IF(G1345="ACCEPTÉ","OUI","NON"))</f>
        <v/>
      </c>
      <c r="I1345" s="82"/>
      <c r="J1345" s="79"/>
      <c r="K1345" s="80"/>
      <c r="L1345" s="80"/>
      <c r="M1345" s="80"/>
      <c r="N1345" s="83" t="str">
        <f aca="false">IF(C1345="","",IF(I1345="",IF(H1345="OUI","À ENROBER",IF(G1345="À SOUDER","NON SOUDÉ","EN ATTENTE RT")),IF(L1345="R","À REPRENDRE",IF(H1345&lt;&gt;"OUI","⚠ ENROBÉ AVANT ACCEPTATION RT","ENROBÉ"))))</f>
        <v/>
      </c>
      <c r="O1345" s="79"/>
    </row>
    <row r="1346" customFormat="false" ht="15" hidden="false" customHeight="false" outlineLevel="0" collapsed="false">
      <c r="A1346" s="78" t="str">
        <f aca="false">IF('CARNET DE SOUDURE'!E1346="","",'CARNET DE SOUDURE'!A1346)</f>
        <v/>
      </c>
      <c r="B1346" s="93" t="str">
        <f aca="false">IF('CARNET DE SOUDURE'!E1346="","",'CARNET DE SOUDURE'!B1346&amp;"")</f>
        <v/>
      </c>
      <c r="C1346" s="83" t="str">
        <f aca="false">IF('CARNET DE SOUDURE'!E1346="","",'CARNET DE SOUDURE'!E1346)</f>
        <v/>
      </c>
      <c r="D1346" s="78" t="str">
        <f aca="false">IF('CARNET DE SOUDURE'!E1346="","",'CARNET DE SOUDURE'!D1346&amp;"")</f>
        <v/>
      </c>
      <c r="E1346" s="96" t="str">
        <f aca="false">IF(OR('CARNET DE SOUDURE'!E1346="",'CARNET DE SOUDURE'!R1346=""),"",'CARNET DE SOUDURE'!R1346)</f>
        <v/>
      </c>
      <c r="F1346" s="81" t="str">
        <f aca="false">IF('CARNET DE SOUDURE'!E1346="","",'CARNET DE SOUDURE'!AL1346)</f>
        <v/>
      </c>
      <c r="G1346" s="81" t="str">
        <f aca="false">IF('CARNET DE SOUDURE'!E1346="","",'CARNET DE SOUDURE'!AM1346)</f>
        <v/>
      </c>
      <c r="H1346" s="81" t="str">
        <f aca="false">IF(C1346="","",IF(G1346="ACCEPTÉ","OUI","NON"))</f>
        <v/>
      </c>
      <c r="I1346" s="82"/>
      <c r="J1346" s="79"/>
      <c r="K1346" s="80"/>
      <c r="L1346" s="80"/>
      <c r="M1346" s="80"/>
      <c r="N1346" s="83" t="str">
        <f aca="false">IF(C1346="","",IF(I1346="",IF(H1346="OUI","À ENROBER",IF(G1346="À SOUDER","NON SOUDÉ","EN ATTENTE RT")),IF(L1346="R","À REPRENDRE",IF(H1346&lt;&gt;"OUI","⚠ ENROBÉ AVANT ACCEPTATION RT","ENROBÉ"))))</f>
        <v/>
      </c>
      <c r="O1346" s="79"/>
    </row>
    <row r="1347" customFormat="false" ht="15" hidden="false" customHeight="false" outlineLevel="0" collapsed="false">
      <c r="A1347" s="78" t="str">
        <f aca="false">IF('CARNET DE SOUDURE'!E1347="","",'CARNET DE SOUDURE'!A1347)</f>
        <v/>
      </c>
      <c r="B1347" s="93" t="str">
        <f aca="false">IF('CARNET DE SOUDURE'!E1347="","",'CARNET DE SOUDURE'!B1347&amp;"")</f>
        <v/>
      </c>
      <c r="C1347" s="83" t="str">
        <f aca="false">IF('CARNET DE SOUDURE'!E1347="","",'CARNET DE SOUDURE'!E1347)</f>
        <v/>
      </c>
      <c r="D1347" s="78" t="str">
        <f aca="false">IF('CARNET DE SOUDURE'!E1347="","",'CARNET DE SOUDURE'!D1347&amp;"")</f>
        <v/>
      </c>
      <c r="E1347" s="96" t="str">
        <f aca="false">IF(OR('CARNET DE SOUDURE'!E1347="",'CARNET DE SOUDURE'!R1347=""),"",'CARNET DE SOUDURE'!R1347)</f>
        <v/>
      </c>
      <c r="F1347" s="81" t="str">
        <f aca="false">IF('CARNET DE SOUDURE'!E1347="","",'CARNET DE SOUDURE'!AL1347)</f>
        <v/>
      </c>
      <c r="G1347" s="81" t="str">
        <f aca="false">IF('CARNET DE SOUDURE'!E1347="","",'CARNET DE SOUDURE'!AM1347)</f>
        <v/>
      </c>
      <c r="H1347" s="81" t="str">
        <f aca="false">IF(C1347="","",IF(G1347="ACCEPTÉ","OUI","NON"))</f>
        <v/>
      </c>
      <c r="I1347" s="82"/>
      <c r="J1347" s="79"/>
      <c r="K1347" s="80"/>
      <c r="L1347" s="80"/>
      <c r="M1347" s="80"/>
      <c r="N1347" s="83" t="str">
        <f aca="false">IF(C1347="","",IF(I1347="",IF(H1347="OUI","À ENROBER",IF(G1347="À SOUDER","NON SOUDÉ","EN ATTENTE RT")),IF(L1347="R","À REPRENDRE",IF(H1347&lt;&gt;"OUI","⚠ ENROBÉ AVANT ACCEPTATION RT","ENROBÉ"))))</f>
        <v/>
      </c>
      <c r="O1347" s="79"/>
    </row>
    <row r="1348" customFormat="false" ht="15" hidden="false" customHeight="false" outlineLevel="0" collapsed="false">
      <c r="A1348" s="78" t="str">
        <f aca="false">IF('CARNET DE SOUDURE'!E1348="","",'CARNET DE SOUDURE'!A1348)</f>
        <v/>
      </c>
      <c r="B1348" s="93" t="str">
        <f aca="false">IF('CARNET DE SOUDURE'!E1348="","",'CARNET DE SOUDURE'!B1348&amp;"")</f>
        <v/>
      </c>
      <c r="C1348" s="83" t="str">
        <f aca="false">IF('CARNET DE SOUDURE'!E1348="","",'CARNET DE SOUDURE'!E1348)</f>
        <v/>
      </c>
      <c r="D1348" s="78" t="str">
        <f aca="false">IF('CARNET DE SOUDURE'!E1348="","",'CARNET DE SOUDURE'!D1348&amp;"")</f>
        <v/>
      </c>
      <c r="E1348" s="96" t="str">
        <f aca="false">IF(OR('CARNET DE SOUDURE'!E1348="",'CARNET DE SOUDURE'!R1348=""),"",'CARNET DE SOUDURE'!R1348)</f>
        <v/>
      </c>
      <c r="F1348" s="81" t="str">
        <f aca="false">IF('CARNET DE SOUDURE'!E1348="","",'CARNET DE SOUDURE'!AL1348)</f>
        <v/>
      </c>
      <c r="G1348" s="81" t="str">
        <f aca="false">IF('CARNET DE SOUDURE'!E1348="","",'CARNET DE SOUDURE'!AM1348)</f>
        <v/>
      </c>
      <c r="H1348" s="81" t="str">
        <f aca="false">IF(C1348="","",IF(G1348="ACCEPTÉ","OUI","NON"))</f>
        <v/>
      </c>
      <c r="I1348" s="82"/>
      <c r="J1348" s="79"/>
      <c r="K1348" s="80"/>
      <c r="L1348" s="80"/>
      <c r="M1348" s="80"/>
      <c r="N1348" s="83" t="str">
        <f aca="false">IF(C1348="","",IF(I1348="",IF(H1348="OUI","À ENROBER",IF(G1348="À SOUDER","NON SOUDÉ","EN ATTENTE RT")),IF(L1348="R","À REPRENDRE",IF(H1348&lt;&gt;"OUI","⚠ ENROBÉ AVANT ACCEPTATION RT","ENROBÉ"))))</f>
        <v/>
      </c>
      <c r="O1348" s="79"/>
    </row>
    <row r="1349" customFormat="false" ht="15" hidden="false" customHeight="false" outlineLevel="0" collapsed="false">
      <c r="A1349" s="78" t="str">
        <f aca="false">IF('CARNET DE SOUDURE'!E1349="","",'CARNET DE SOUDURE'!A1349)</f>
        <v/>
      </c>
      <c r="B1349" s="93" t="str">
        <f aca="false">IF('CARNET DE SOUDURE'!E1349="","",'CARNET DE SOUDURE'!B1349&amp;"")</f>
        <v/>
      </c>
      <c r="C1349" s="83" t="str">
        <f aca="false">IF('CARNET DE SOUDURE'!E1349="","",'CARNET DE SOUDURE'!E1349)</f>
        <v/>
      </c>
      <c r="D1349" s="78" t="str">
        <f aca="false">IF('CARNET DE SOUDURE'!E1349="","",'CARNET DE SOUDURE'!D1349&amp;"")</f>
        <v/>
      </c>
      <c r="E1349" s="96" t="str">
        <f aca="false">IF(OR('CARNET DE SOUDURE'!E1349="",'CARNET DE SOUDURE'!R1349=""),"",'CARNET DE SOUDURE'!R1349)</f>
        <v/>
      </c>
      <c r="F1349" s="81" t="str">
        <f aca="false">IF('CARNET DE SOUDURE'!E1349="","",'CARNET DE SOUDURE'!AL1349)</f>
        <v/>
      </c>
      <c r="G1349" s="81" t="str">
        <f aca="false">IF('CARNET DE SOUDURE'!E1349="","",'CARNET DE SOUDURE'!AM1349)</f>
        <v/>
      </c>
      <c r="H1349" s="81" t="str">
        <f aca="false">IF(C1349="","",IF(G1349="ACCEPTÉ","OUI","NON"))</f>
        <v/>
      </c>
      <c r="I1349" s="82"/>
      <c r="J1349" s="79"/>
      <c r="K1349" s="80"/>
      <c r="L1349" s="80"/>
      <c r="M1349" s="80"/>
      <c r="N1349" s="83" t="str">
        <f aca="false">IF(C1349="","",IF(I1349="",IF(H1349="OUI","À ENROBER",IF(G1349="À SOUDER","NON SOUDÉ","EN ATTENTE RT")),IF(L1349="R","À REPRENDRE",IF(H1349&lt;&gt;"OUI","⚠ ENROBÉ AVANT ACCEPTATION RT","ENROBÉ"))))</f>
        <v/>
      </c>
      <c r="O1349" s="79"/>
    </row>
    <row r="1350" customFormat="false" ht="15" hidden="false" customHeight="false" outlineLevel="0" collapsed="false">
      <c r="A1350" s="78" t="str">
        <f aca="false">IF('CARNET DE SOUDURE'!E1350="","",'CARNET DE SOUDURE'!A1350)</f>
        <v/>
      </c>
      <c r="B1350" s="93" t="str">
        <f aca="false">IF('CARNET DE SOUDURE'!E1350="","",'CARNET DE SOUDURE'!B1350&amp;"")</f>
        <v/>
      </c>
      <c r="C1350" s="83" t="str">
        <f aca="false">IF('CARNET DE SOUDURE'!E1350="","",'CARNET DE SOUDURE'!E1350)</f>
        <v/>
      </c>
      <c r="D1350" s="78" t="str">
        <f aca="false">IF('CARNET DE SOUDURE'!E1350="","",'CARNET DE SOUDURE'!D1350&amp;"")</f>
        <v/>
      </c>
      <c r="E1350" s="96" t="str">
        <f aca="false">IF(OR('CARNET DE SOUDURE'!E1350="",'CARNET DE SOUDURE'!R1350=""),"",'CARNET DE SOUDURE'!R1350)</f>
        <v/>
      </c>
      <c r="F1350" s="81" t="str">
        <f aca="false">IF('CARNET DE SOUDURE'!E1350="","",'CARNET DE SOUDURE'!AL1350)</f>
        <v/>
      </c>
      <c r="G1350" s="81" t="str">
        <f aca="false">IF('CARNET DE SOUDURE'!E1350="","",'CARNET DE SOUDURE'!AM1350)</f>
        <v/>
      </c>
      <c r="H1350" s="81" t="str">
        <f aca="false">IF(C1350="","",IF(G1350="ACCEPTÉ","OUI","NON"))</f>
        <v/>
      </c>
      <c r="I1350" s="82"/>
      <c r="J1350" s="79"/>
      <c r="K1350" s="80"/>
      <c r="L1350" s="80"/>
      <c r="M1350" s="80"/>
      <c r="N1350" s="83" t="str">
        <f aca="false">IF(C1350="","",IF(I1350="",IF(H1350="OUI","À ENROBER",IF(G1350="À SOUDER","NON SOUDÉ","EN ATTENTE RT")),IF(L1350="R","À REPRENDRE",IF(H1350&lt;&gt;"OUI","⚠ ENROBÉ AVANT ACCEPTATION RT","ENROBÉ"))))</f>
        <v/>
      </c>
      <c r="O1350" s="79"/>
    </row>
    <row r="1351" customFormat="false" ht="15" hidden="false" customHeight="false" outlineLevel="0" collapsed="false">
      <c r="A1351" s="78" t="str">
        <f aca="false">IF('CARNET DE SOUDURE'!E1351="","",'CARNET DE SOUDURE'!A1351)</f>
        <v/>
      </c>
      <c r="B1351" s="93" t="str">
        <f aca="false">IF('CARNET DE SOUDURE'!E1351="","",'CARNET DE SOUDURE'!B1351&amp;"")</f>
        <v/>
      </c>
      <c r="C1351" s="83" t="str">
        <f aca="false">IF('CARNET DE SOUDURE'!E1351="","",'CARNET DE SOUDURE'!E1351)</f>
        <v/>
      </c>
      <c r="D1351" s="78" t="str">
        <f aca="false">IF('CARNET DE SOUDURE'!E1351="","",'CARNET DE SOUDURE'!D1351&amp;"")</f>
        <v/>
      </c>
      <c r="E1351" s="96" t="str">
        <f aca="false">IF(OR('CARNET DE SOUDURE'!E1351="",'CARNET DE SOUDURE'!R1351=""),"",'CARNET DE SOUDURE'!R1351)</f>
        <v/>
      </c>
      <c r="F1351" s="81" t="str">
        <f aca="false">IF('CARNET DE SOUDURE'!E1351="","",'CARNET DE SOUDURE'!AL1351)</f>
        <v/>
      </c>
      <c r="G1351" s="81" t="str">
        <f aca="false">IF('CARNET DE SOUDURE'!E1351="","",'CARNET DE SOUDURE'!AM1351)</f>
        <v/>
      </c>
      <c r="H1351" s="81" t="str">
        <f aca="false">IF(C1351="","",IF(G1351="ACCEPTÉ","OUI","NON"))</f>
        <v/>
      </c>
      <c r="I1351" s="82"/>
      <c r="J1351" s="79"/>
      <c r="K1351" s="80"/>
      <c r="L1351" s="80"/>
      <c r="M1351" s="80"/>
      <c r="N1351" s="83" t="str">
        <f aca="false">IF(C1351="","",IF(I1351="",IF(H1351="OUI","À ENROBER",IF(G1351="À SOUDER","NON SOUDÉ","EN ATTENTE RT")),IF(L1351="R","À REPRENDRE",IF(H1351&lt;&gt;"OUI","⚠ ENROBÉ AVANT ACCEPTATION RT","ENROBÉ"))))</f>
        <v/>
      </c>
      <c r="O1351" s="79"/>
    </row>
    <row r="1352" customFormat="false" ht="15" hidden="false" customHeight="false" outlineLevel="0" collapsed="false">
      <c r="A1352" s="78" t="str">
        <f aca="false">IF('CARNET DE SOUDURE'!E1352="","",'CARNET DE SOUDURE'!A1352)</f>
        <v/>
      </c>
      <c r="B1352" s="93" t="str">
        <f aca="false">IF('CARNET DE SOUDURE'!E1352="","",'CARNET DE SOUDURE'!B1352&amp;"")</f>
        <v/>
      </c>
      <c r="C1352" s="83" t="str">
        <f aca="false">IF('CARNET DE SOUDURE'!E1352="","",'CARNET DE SOUDURE'!E1352)</f>
        <v/>
      </c>
      <c r="D1352" s="78" t="str">
        <f aca="false">IF('CARNET DE SOUDURE'!E1352="","",'CARNET DE SOUDURE'!D1352&amp;"")</f>
        <v/>
      </c>
      <c r="E1352" s="96" t="str">
        <f aca="false">IF(OR('CARNET DE SOUDURE'!E1352="",'CARNET DE SOUDURE'!R1352=""),"",'CARNET DE SOUDURE'!R1352)</f>
        <v/>
      </c>
      <c r="F1352" s="81" t="str">
        <f aca="false">IF('CARNET DE SOUDURE'!E1352="","",'CARNET DE SOUDURE'!AL1352)</f>
        <v/>
      </c>
      <c r="G1352" s="81" t="str">
        <f aca="false">IF('CARNET DE SOUDURE'!E1352="","",'CARNET DE SOUDURE'!AM1352)</f>
        <v/>
      </c>
      <c r="H1352" s="81" t="str">
        <f aca="false">IF(C1352="","",IF(G1352="ACCEPTÉ","OUI","NON"))</f>
        <v/>
      </c>
      <c r="I1352" s="82"/>
      <c r="J1352" s="79"/>
      <c r="K1352" s="80"/>
      <c r="L1352" s="80"/>
      <c r="M1352" s="80"/>
      <c r="N1352" s="83" t="str">
        <f aca="false">IF(C1352="","",IF(I1352="",IF(H1352="OUI","À ENROBER",IF(G1352="À SOUDER","NON SOUDÉ","EN ATTENTE RT")),IF(L1352="R","À REPRENDRE",IF(H1352&lt;&gt;"OUI","⚠ ENROBÉ AVANT ACCEPTATION RT","ENROBÉ"))))</f>
        <v/>
      </c>
      <c r="O1352" s="79"/>
    </row>
    <row r="1353" customFormat="false" ht="15" hidden="false" customHeight="false" outlineLevel="0" collapsed="false">
      <c r="A1353" s="78" t="str">
        <f aca="false">IF('CARNET DE SOUDURE'!E1353="","",'CARNET DE SOUDURE'!A1353)</f>
        <v/>
      </c>
      <c r="B1353" s="93" t="str">
        <f aca="false">IF('CARNET DE SOUDURE'!E1353="","",'CARNET DE SOUDURE'!B1353&amp;"")</f>
        <v/>
      </c>
      <c r="C1353" s="83" t="str">
        <f aca="false">IF('CARNET DE SOUDURE'!E1353="","",'CARNET DE SOUDURE'!E1353)</f>
        <v/>
      </c>
      <c r="D1353" s="78" t="str">
        <f aca="false">IF('CARNET DE SOUDURE'!E1353="","",'CARNET DE SOUDURE'!D1353&amp;"")</f>
        <v/>
      </c>
      <c r="E1353" s="96" t="str">
        <f aca="false">IF(OR('CARNET DE SOUDURE'!E1353="",'CARNET DE SOUDURE'!R1353=""),"",'CARNET DE SOUDURE'!R1353)</f>
        <v/>
      </c>
      <c r="F1353" s="81" t="str">
        <f aca="false">IF('CARNET DE SOUDURE'!E1353="","",'CARNET DE SOUDURE'!AL1353)</f>
        <v/>
      </c>
      <c r="G1353" s="81" t="str">
        <f aca="false">IF('CARNET DE SOUDURE'!E1353="","",'CARNET DE SOUDURE'!AM1353)</f>
        <v/>
      </c>
      <c r="H1353" s="81" t="str">
        <f aca="false">IF(C1353="","",IF(G1353="ACCEPTÉ","OUI","NON"))</f>
        <v/>
      </c>
      <c r="I1353" s="82"/>
      <c r="J1353" s="79"/>
      <c r="K1353" s="80"/>
      <c r="L1353" s="80"/>
      <c r="M1353" s="80"/>
      <c r="N1353" s="83" t="str">
        <f aca="false">IF(C1353="","",IF(I1353="",IF(H1353="OUI","À ENROBER",IF(G1353="À SOUDER","NON SOUDÉ","EN ATTENTE RT")),IF(L1353="R","À REPRENDRE",IF(H1353&lt;&gt;"OUI","⚠ ENROBÉ AVANT ACCEPTATION RT","ENROBÉ"))))</f>
        <v/>
      </c>
      <c r="O1353" s="79"/>
    </row>
    <row r="1354" customFormat="false" ht="15" hidden="false" customHeight="false" outlineLevel="0" collapsed="false">
      <c r="A1354" s="78" t="str">
        <f aca="false">IF('CARNET DE SOUDURE'!E1354="","",'CARNET DE SOUDURE'!A1354)</f>
        <v/>
      </c>
      <c r="B1354" s="93" t="str">
        <f aca="false">IF('CARNET DE SOUDURE'!E1354="","",'CARNET DE SOUDURE'!B1354&amp;"")</f>
        <v/>
      </c>
      <c r="C1354" s="83" t="str">
        <f aca="false">IF('CARNET DE SOUDURE'!E1354="","",'CARNET DE SOUDURE'!E1354)</f>
        <v/>
      </c>
      <c r="D1354" s="78" t="str">
        <f aca="false">IF('CARNET DE SOUDURE'!E1354="","",'CARNET DE SOUDURE'!D1354&amp;"")</f>
        <v/>
      </c>
      <c r="E1354" s="96" t="str">
        <f aca="false">IF(OR('CARNET DE SOUDURE'!E1354="",'CARNET DE SOUDURE'!R1354=""),"",'CARNET DE SOUDURE'!R1354)</f>
        <v/>
      </c>
      <c r="F1354" s="81" t="str">
        <f aca="false">IF('CARNET DE SOUDURE'!E1354="","",'CARNET DE SOUDURE'!AL1354)</f>
        <v/>
      </c>
      <c r="G1354" s="81" t="str">
        <f aca="false">IF('CARNET DE SOUDURE'!E1354="","",'CARNET DE SOUDURE'!AM1354)</f>
        <v/>
      </c>
      <c r="H1354" s="81" t="str">
        <f aca="false">IF(C1354="","",IF(G1354="ACCEPTÉ","OUI","NON"))</f>
        <v/>
      </c>
      <c r="I1354" s="82"/>
      <c r="J1354" s="79"/>
      <c r="K1354" s="80"/>
      <c r="L1354" s="80"/>
      <c r="M1354" s="80"/>
      <c r="N1354" s="83" t="str">
        <f aca="false">IF(C1354="","",IF(I1354="",IF(H1354="OUI","À ENROBER",IF(G1354="À SOUDER","NON SOUDÉ","EN ATTENTE RT")),IF(L1354="R","À REPRENDRE",IF(H1354&lt;&gt;"OUI","⚠ ENROBÉ AVANT ACCEPTATION RT","ENROBÉ"))))</f>
        <v/>
      </c>
      <c r="O1354" s="79"/>
    </row>
    <row r="1355" customFormat="false" ht="15" hidden="false" customHeight="false" outlineLevel="0" collapsed="false">
      <c r="A1355" s="78" t="str">
        <f aca="false">IF('CARNET DE SOUDURE'!E1355="","",'CARNET DE SOUDURE'!A1355)</f>
        <v/>
      </c>
      <c r="B1355" s="93" t="str">
        <f aca="false">IF('CARNET DE SOUDURE'!E1355="","",'CARNET DE SOUDURE'!B1355&amp;"")</f>
        <v/>
      </c>
      <c r="C1355" s="83" t="str">
        <f aca="false">IF('CARNET DE SOUDURE'!E1355="","",'CARNET DE SOUDURE'!E1355)</f>
        <v/>
      </c>
      <c r="D1355" s="78" t="str">
        <f aca="false">IF('CARNET DE SOUDURE'!E1355="","",'CARNET DE SOUDURE'!D1355&amp;"")</f>
        <v/>
      </c>
      <c r="E1355" s="96" t="str">
        <f aca="false">IF(OR('CARNET DE SOUDURE'!E1355="",'CARNET DE SOUDURE'!R1355=""),"",'CARNET DE SOUDURE'!R1355)</f>
        <v/>
      </c>
      <c r="F1355" s="81" t="str">
        <f aca="false">IF('CARNET DE SOUDURE'!E1355="","",'CARNET DE SOUDURE'!AL1355)</f>
        <v/>
      </c>
      <c r="G1355" s="81" t="str">
        <f aca="false">IF('CARNET DE SOUDURE'!E1355="","",'CARNET DE SOUDURE'!AM1355)</f>
        <v/>
      </c>
      <c r="H1355" s="81" t="str">
        <f aca="false">IF(C1355="","",IF(G1355="ACCEPTÉ","OUI","NON"))</f>
        <v/>
      </c>
      <c r="I1355" s="82"/>
      <c r="J1355" s="79"/>
      <c r="K1355" s="80"/>
      <c r="L1355" s="80"/>
      <c r="M1355" s="80"/>
      <c r="N1355" s="83" t="str">
        <f aca="false">IF(C1355="","",IF(I1355="",IF(H1355="OUI","À ENROBER",IF(G1355="À SOUDER","NON SOUDÉ","EN ATTENTE RT")),IF(L1355="R","À REPRENDRE",IF(H1355&lt;&gt;"OUI","⚠ ENROBÉ AVANT ACCEPTATION RT","ENROBÉ"))))</f>
        <v/>
      </c>
      <c r="O1355" s="79"/>
    </row>
    <row r="1356" customFormat="false" ht="15" hidden="false" customHeight="false" outlineLevel="0" collapsed="false">
      <c r="A1356" s="78" t="str">
        <f aca="false">IF('CARNET DE SOUDURE'!E1356="","",'CARNET DE SOUDURE'!A1356)</f>
        <v/>
      </c>
      <c r="B1356" s="93" t="str">
        <f aca="false">IF('CARNET DE SOUDURE'!E1356="","",'CARNET DE SOUDURE'!B1356&amp;"")</f>
        <v/>
      </c>
      <c r="C1356" s="83" t="str">
        <f aca="false">IF('CARNET DE SOUDURE'!E1356="","",'CARNET DE SOUDURE'!E1356)</f>
        <v/>
      </c>
      <c r="D1356" s="78" t="str">
        <f aca="false">IF('CARNET DE SOUDURE'!E1356="","",'CARNET DE SOUDURE'!D1356&amp;"")</f>
        <v/>
      </c>
      <c r="E1356" s="96" t="str">
        <f aca="false">IF(OR('CARNET DE SOUDURE'!E1356="",'CARNET DE SOUDURE'!R1356=""),"",'CARNET DE SOUDURE'!R1356)</f>
        <v/>
      </c>
      <c r="F1356" s="81" t="str">
        <f aca="false">IF('CARNET DE SOUDURE'!E1356="","",'CARNET DE SOUDURE'!AL1356)</f>
        <v/>
      </c>
      <c r="G1356" s="81" t="str">
        <f aca="false">IF('CARNET DE SOUDURE'!E1356="","",'CARNET DE SOUDURE'!AM1356)</f>
        <v/>
      </c>
      <c r="H1356" s="81" t="str">
        <f aca="false">IF(C1356="","",IF(G1356="ACCEPTÉ","OUI","NON"))</f>
        <v/>
      </c>
      <c r="I1356" s="82"/>
      <c r="J1356" s="79"/>
      <c r="K1356" s="80"/>
      <c r="L1356" s="80"/>
      <c r="M1356" s="80"/>
      <c r="N1356" s="83" t="str">
        <f aca="false">IF(C1356="","",IF(I1356="",IF(H1356="OUI","À ENROBER",IF(G1356="À SOUDER","NON SOUDÉ","EN ATTENTE RT")),IF(L1356="R","À REPRENDRE",IF(H1356&lt;&gt;"OUI","⚠ ENROBÉ AVANT ACCEPTATION RT","ENROBÉ"))))</f>
        <v/>
      </c>
      <c r="O1356" s="79"/>
    </row>
    <row r="1357" customFormat="false" ht="15" hidden="false" customHeight="false" outlineLevel="0" collapsed="false">
      <c r="A1357" s="78" t="str">
        <f aca="false">IF('CARNET DE SOUDURE'!E1357="","",'CARNET DE SOUDURE'!A1357)</f>
        <v/>
      </c>
      <c r="B1357" s="93" t="str">
        <f aca="false">IF('CARNET DE SOUDURE'!E1357="","",'CARNET DE SOUDURE'!B1357&amp;"")</f>
        <v/>
      </c>
      <c r="C1357" s="83" t="str">
        <f aca="false">IF('CARNET DE SOUDURE'!E1357="","",'CARNET DE SOUDURE'!E1357)</f>
        <v/>
      </c>
      <c r="D1357" s="78" t="str">
        <f aca="false">IF('CARNET DE SOUDURE'!E1357="","",'CARNET DE SOUDURE'!D1357&amp;"")</f>
        <v/>
      </c>
      <c r="E1357" s="96" t="str">
        <f aca="false">IF(OR('CARNET DE SOUDURE'!E1357="",'CARNET DE SOUDURE'!R1357=""),"",'CARNET DE SOUDURE'!R1357)</f>
        <v/>
      </c>
      <c r="F1357" s="81" t="str">
        <f aca="false">IF('CARNET DE SOUDURE'!E1357="","",'CARNET DE SOUDURE'!AL1357)</f>
        <v/>
      </c>
      <c r="G1357" s="81" t="str">
        <f aca="false">IF('CARNET DE SOUDURE'!E1357="","",'CARNET DE SOUDURE'!AM1357)</f>
        <v/>
      </c>
      <c r="H1357" s="81" t="str">
        <f aca="false">IF(C1357="","",IF(G1357="ACCEPTÉ","OUI","NON"))</f>
        <v/>
      </c>
      <c r="I1357" s="82"/>
      <c r="J1357" s="79"/>
      <c r="K1357" s="80"/>
      <c r="L1357" s="80"/>
      <c r="M1357" s="80"/>
      <c r="N1357" s="83" t="str">
        <f aca="false">IF(C1357="","",IF(I1357="",IF(H1357="OUI","À ENROBER",IF(G1357="À SOUDER","NON SOUDÉ","EN ATTENTE RT")),IF(L1357="R","À REPRENDRE",IF(H1357&lt;&gt;"OUI","⚠ ENROBÉ AVANT ACCEPTATION RT","ENROBÉ"))))</f>
        <v/>
      </c>
      <c r="O1357" s="79"/>
    </row>
    <row r="1358" customFormat="false" ht="15" hidden="false" customHeight="false" outlineLevel="0" collapsed="false">
      <c r="A1358" s="78" t="str">
        <f aca="false">IF('CARNET DE SOUDURE'!E1358="","",'CARNET DE SOUDURE'!A1358)</f>
        <v/>
      </c>
      <c r="B1358" s="93" t="str">
        <f aca="false">IF('CARNET DE SOUDURE'!E1358="","",'CARNET DE SOUDURE'!B1358&amp;"")</f>
        <v/>
      </c>
      <c r="C1358" s="83" t="str">
        <f aca="false">IF('CARNET DE SOUDURE'!E1358="","",'CARNET DE SOUDURE'!E1358)</f>
        <v/>
      </c>
      <c r="D1358" s="78" t="str">
        <f aca="false">IF('CARNET DE SOUDURE'!E1358="","",'CARNET DE SOUDURE'!D1358&amp;"")</f>
        <v/>
      </c>
      <c r="E1358" s="96" t="str">
        <f aca="false">IF(OR('CARNET DE SOUDURE'!E1358="",'CARNET DE SOUDURE'!R1358=""),"",'CARNET DE SOUDURE'!R1358)</f>
        <v/>
      </c>
      <c r="F1358" s="81" t="str">
        <f aca="false">IF('CARNET DE SOUDURE'!E1358="","",'CARNET DE SOUDURE'!AL1358)</f>
        <v/>
      </c>
      <c r="G1358" s="81" t="str">
        <f aca="false">IF('CARNET DE SOUDURE'!E1358="","",'CARNET DE SOUDURE'!AM1358)</f>
        <v/>
      </c>
      <c r="H1358" s="81" t="str">
        <f aca="false">IF(C1358="","",IF(G1358="ACCEPTÉ","OUI","NON"))</f>
        <v/>
      </c>
      <c r="I1358" s="82"/>
      <c r="J1358" s="79"/>
      <c r="K1358" s="80"/>
      <c r="L1358" s="80"/>
      <c r="M1358" s="80"/>
      <c r="N1358" s="83" t="str">
        <f aca="false">IF(C1358="","",IF(I1358="",IF(H1358="OUI","À ENROBER",IF(G1358="À SOUDER","NON SOUDÉ","EN ATTENTE RT")),IF(L1358="R","À REPRENDRE",IF(H1358&lt;&gt;"OUI","⚠ ENROBÉ AVANT ACCEPTATION RT","ENROBÉ"))))</f>
        <v/>
      </c>
      <c r="O1358" s="79"/>
    </row>
    <row r="1359" customFormat="false" ht="15" hidden="false" customHeight="false" outlineLevel="0" collapsed="false">
      <c r="A1359" s="78" t="str">
        <f aca="false">IF('CARNET DE SOUDURE'!E1359="","",'CARNET DE SOUDURE'!A1359)</f>
        <v/>
      </c>
      <c r="B1359" s="93" t="str">
        <f aca="false">IF('CARNET DE SOUDURE'!E1359="","",'CARNET DE SOUDURE'!B1359&amp;"")</f>
        <v/>
      </c>
      <c r="C1359" s="83" t="str">
        <f aca="false">IF('CARNET DE SOUDURE'!E1359="","",'CARNET DE SOUDURE'!E1359)</f>
        <v/>
      </c>
      <c r="D1359" s="78" t="str">
        <f aca="false">IF('CARNET DE SOUDURE'!E1359="","",'CARNET DE SOUDURE'!D1359&amp;"")</f>
        <v/>
      </c>
      <c r="E1359" s="96" t="str">
        <f aca="false">IF(OR('CARNET DE SOUDURE'!E1359="",'CARNET DE SOUDURE'!R1359=""),"",'CARNET DE SOUDURE'!R1359)</f>
        <v/>
      </c>
      <c r="F1359" s="81" t="str">
        <f aca="false">IF('CARNET DE SOUDURE'!E1359="","",'CARNET DE SOUDURE'!AL1359)</f>
        <v/>
      </c>
      <c r="G1359" s="81" t="str">
        <f aca="false">IF('CARNET DE SOUDURE'!E1359="","",'CARNET DE SOUDURE'!AM1359)</f>
        <v/>
      </c>
      <c r="H1359" s="81" t="str">
        <f aca="false">IF(C1359="","",IF(G1359="ACCEPTÉ","OUI","NON"))</f>
        <v/>
      </c>
      <c r="I1359" s="82"/>
      <c r="J1359" s="79"/>
      <c r="K1359" s="80"/>
      <c r="L1359" s="80"/>
      <c r="M1359" s="80"/>
      <c r="N1359" s="83" t="str">
        <f aca="false">IF(C1359="","",IF(I1359="",IF(H1359="OUI","À ENROBER",IF(G1359="À SOUDER","NON SOUDÉ","EN ATTENTE RT")),IF(L1359="R","À REPRENDRE",IF(H1359&lt;&gt;"OUI","⚠ ENROBÉ AVANT ACCEPTATION RT","ENROBÉ"))))</f>
        <v/>
      </c>
      <c r="O1359" s="79"/>
    </row>
    <row r="1360" customFormat="false" ht="15" hidden="false" customHeight="false" outlineLevel="0" collapsed="false">
      <c r="A1360" s="78" t="str">
        <f aca="false">IF('CARNET DE SOUDURE'!E1360="","",'CARNET DE SOUDURE'!A1360)</f>
        <v/>
      </c>
      <c r="B1360" s="93" t="str">
        <f aca="false">IF('CARNET DE SOUDURE'!E1360="","",'CARNET DE SOUDURE'!B1360&amp;"")</f>
        <v/>
      </c>
      <c r="C1360" s="83" t="str">
        <f aca="false">IF('CARNET DE SOUDURE'!E1360="","",'CARNET DE SOUDURE'!E1360)</f>
        <v/>
      </c>
      <c r="D1360" s="78" t="str">
        <f aca="false">IF('CARNET DE SOUDURE'!E1360="","",'CARNET DE SOUDURE'!D1360&amp;"")</f>
        <v/>
      </c>
      <c r="E1360" s="96" t="str">
        <f aca="false">IF(OR('CARNET DE SOUDURE'!E1360="",'CARNET DE SOUDURE'!R1360=""),"",'CARNET DE SOUDURE'!R1360)</f>
        <v/>
      </c>
      <c r="F1360" s="81" t="str">
        <f aca="false">IF('CARNET DE SOUDURE'!E1360="","",'CARNET DE SOUDURE'!AL1360)</f>
        <v/>
      </c>
      <c r="G1360" s="81" t="str">
        <f aca="false">IF('CARNET DE SOUDURE'!E1360="","",'CARNET DE SOUDURE'!AM1360)</f>
        <v/>
      </c>
      <c r="H1360" s="81" t="str">
        <f aca="false">IF(C1360="","",IF(G1360="ACCEPTÉ","OUI","NON"))</f>
        <v/>
      </c>
      <c r="I1360" s="82"/>
      <c r="J1360" s="79"/>
      <c r="K1360" s="80"/>
      <c r="L1360" s="80"/>
      <c r="M1360" s="80"/>
      <c r="N1360" s="83" t="str">
        <f aca="false">IF(C1360="","",IF(I1360="",IF(H1360="OUI","À ENROBER",IF(G1360="À SOUDER","NON SOUDÉ","EN ATTENTE RT")),IF(L1360="R","À REPRENDRE",IF(H1360&lt;&gt;"OUI","⚠ ENROBÉ AVANT ACCEPTATION RT","ENROBÉ"))))</f>
        <v/>
      </c>
      <c r="O1360" s="79"/>
    </row>
    <row r="1361" customFormat="false" ht="15" hidden="false" customHeight="false" outlineLevel="0" collapsed="false">
      <c r="A1361" s="78" t="str">
        <f aca="false">IF('CARNET DE SOUDURE'!E1361="","",'CARNET DE SOUDURE'!A1361)</f>
        <v/>
      </c>
      <c r="B1361" s="93" t="str">
        <f aca="false">IF('CARNET DE SOUDURE'!E1361="","",'CARNET DE SOUDURE'!B1361&amp;"")</f>
        <v/>
      </c>
      <c r="C1361" s="83" t="str">
        <f aca="false">IF('CARNET DE SOUDURE'!E1361="","",'CARNET DE SOUDURE'!E1361)</f>
        <v/>
      </c>
      <c r="D1361" s="78" t="str">
        <f aca="false">IF('CARNET DE SOUDURE'!E1361="","",'CARNET DE SOUDURE'!D1361&amp;"")</f>
        <v/>
      </c>
      <c r="E1361" s="96" t="str">
        <f aca="false">IF(OR('CARNET DE SOUDURE'!E1361="",'CARNET DE SOUDURE'!R1361=""),"",'CARNET DE SOUDURE'!R1361)</f>
        <v/>
      </c>
      <c r="F1361" s="81" t="str">
        <f aca="false">IF('CARNET DE SOUDURE'!E1361="","",'CARNET DE SOUDURE'!AL1361)</f>
        <v/>
      </c>
      <c r="G1361" s="81" t="str">
        <f aca="false">IF('CARNET DE SOUDURE'!E1361="","",'CARNET DE SOUDURE'!AM1361)</f>
        <v/>
      </c>
      <c r="H1361" s="81" t="str">
        <f aca="false">IF(C1361="","",IF(G1361="ACCEPTÉ","OUI","NON"))</f>
        <v/>
      </c>
      <c r="I1361" s="82"/>
      <c r="J1361" s="79"/>
      <c r="K1361" s="80"/>
      <c r="L1361" s="80"/>
      <c r="M1361" s="80"/>
      <c r="N1361" s="83" t="str">
        <f aca="false">IF(C1361="","",IF(I1361="",IF(H1361="OUI","À ENROBER",IF(G1361="À SOUDER","NON SOUDÉ","EN ATTENTE RT")),IF(L1361="R","À REPRENDRE",IF(H1361&lt;&gt;"OUI","⚠ ENROBÉ AVANT ACCEPTATION RT","ENROBÉ"))))</f>
        <v/>
      </c>
      <c r="O1361" s="79"/>
    </row>
    <row r="1362" customFormat="false" ht="15" hidden="false" customHeight="false" outlineLevel="0" collapsed="false">
      <c r="A1362" s="78" t="str">
        <f aca="false">IF('CARNET DE SOUDURE'!E1362="","",'CARNET DE SOUDURE'!A1362)</f>
        <v/>
      </c>
      <c r="B1362" s="93" t="str">
        <f aca="false">IF('CARNET DE SOUDURE'!E1362="","",'CARNET DE SOUDURE'!B1362&amp;"")</f>
        <v/>
      </c>
      <c r="C1362" s="83" t="str">
        <f aca="false">IF('CARNET DE SOUDURE'!E1362="","",'CARNET DE SOUDURE'!E1362)</f>
        <v/>
      </c>
      <c r="D1362" s="78" t="str">
        <f aca="false">IF('CARNET DE SOUDURE'!E1362="","",'CARNET DE SOUDURE'!D1362&amp;"")</f>
        <v/>
      </c>
      <c r="E1362" s="96" t="str">
        <f aca="false">IF(OR('CARNET DE SOUDURE'!E1362="",'CARNET DE SOUDURE'!R1362=""),"",'CARNET DE SOUDURE'!R1362)</f>
        <v/>
      </c>
      <c r="F1362" s="81" t="str">
        <f aca="false">IF('CARNET DE SOUDURE'!E1362="","",'CARNET DE SOUDURE'!AL1362)</f>
        <v/>
      </c>
      <c r="G1362" s="81" t="str">
        <f aca="false">IF('CARNET DE SOUDURE'!E1362="","",'CARNET DE SOUDURE'!AM1362)</f>
        <v/>
      </c>
      <c r="H1362" s="81" t="str">
        <f aca="false">IF(C1362="","",IF(G1362="ACCEPTÉ","OUI","NON"))</f>
        <v/>
      </c>
      <c r="I1362" s="82"/>
      <c r="J1362" s="79"/>
      <c r="K1362" s="80"/>
      <c r="L1362" s="80"/>
      <c r="M1362" s="80"/>
      <c r="N1362" s="83" t="str">
        <f aca="false">IF(C1362="","",IF(I1362="",IF(H1362="OUI","À ENROBER",IF(G1362="À SOUDER","NON SOUDÉ","EN ATTENTE RT")),IF(L1362="R","À REPRENDRE",IF(H1362&lt;&gt;"OUI","⚠ ENROBÉ AVANT ACCEPTATION RT","ENROBÉ"))))</f>
        <v/>
      </c>
      <c r="O1362" s="79"/>
    </row>
    <row r="1363" customFormat="false" ht="15" hidden="false" customHeight="false" outlineLevel="0" collapsed="false">
      <c r="A1363" s="78" t="str">
        <f aca="false">IF('CARNET DE SOUDURE'!E1363="","",'CARNET DE SOUDURE'!A1363)</f>
        <v/>
      </c>
      <c r="B1363" s="93" t="str">
        <f aca="false">IF('CARNET DE SOUDURE'!E1363="","",'CARNET DE SOUDURE'!B1363&amp;"")</f>
        <v/>
      </c>
      <c r="C1363" s="83" t="str">
        <f aca="false">IF('CARNET DE SOUDURE'!E1363="","",'CARNET DE SOUDURE'!E1363)</f>
        <v/>
      </c>
      <c r="D1363" s="78" t="str">
        <f aca="false">IF('CARNET DE SOUDURE'!E1363="","",'CARNET DE SOUDURE'!D1363&amp;"")</f>
        <v/>
      </c>
      <c r="E1363" s="96" t="str">
        <f aca="false">IF(OR('CARNET DE SOUDURE'!E1363="",'CARNET DE SOUDURE'!R1363=""),"",'CARNET DE SOUDURE'!R1363)</f>
        <v/>
      </c>
      <c r="F1363" s="81" t="str">
        <f aca="false">IF('CARNET DE SOUDURE'!E1363="","",'CARNET DE SOUDURE'!AL1363)</f>
        <v/>
      </c>
      <c r="G1363" s="81" t="str">
        <f aca="false">IF('CARNET DE SOUDURE'!E1363="","",'CARNET DE SOUDURE'!AM1363)</f>
        <v/>
      </c>
      <c r="H1363" s="81" t="str">
        <f aca="false">IF(C1363="","",IF(G1363="ACCEPTÉ","OUI","NON"))</f>
        <v/>
      </c>
      <c r="I1363" s="82"/>
      <c r="J1363" s="79"/>
      <c r="K1363" s="80"/>
      <c r="L1363" s="80"/>
      <c r="M1363" s="80"/>
      <c r="N1363" s="83" t="str">
        <f aca="false">IF(C1363="","",IF(I1363="",IF(H1363="OUI","À ENROBER",IF(G1363="À SOUDER","NON SOUDÉ","EN ATTENTE RT")),IF(L1363="R","À REPRENDRE",IF(H1363&lt;&gt;"OUI","⚠ ENROBÉ AVANT ACCEPTATION RT","ENROBÉ"))))</f>
        <v/>
      </c>
      <c r="O1363" s="79"/>
    </row>
    <row r="1364" customFormat="false" ht="15" hidden="false" customHeight="false" outlineLevel="0" collapsed="false">
      <c r="A1364" s="78" t="str">
        <f aca="false">IF('CARNET DE SOUDURE'!E1364="","",'CARNET DE SOUDURE'!A1364)</f>
        <v/>
      </c>
      <c r="B1364" s="93" t="str">
        <f aca="false">IF('CARNET DE SOUDURE'!E1364="","",'CARNET DE SOUDURE'!B1364&amp;"")</f>
        <v/>
      </c>
      <c r="C1364" s="83" t="str">
        <f aca="false">IF('CARNET DE SOUDURE'!E1364="","",'CARNET DE SOUDURE'!E1364)</f>
        <v/>
      </c>
      <c r="D1364" s="78" t="str">
        <f aca="false">IF('CARNET DE SOUDURE'!E1364="","",'CARNET DE SOUDURE'!D1364&amp;"")</f>
        <v/>
      </c>
      <c r="E1364" s="96" t="str">
        <f aca="false">IF(OR('CARNET DE SOUDURE'!E1364="",'CARNET DE SOUDURE'!R1364=""),"",'CARNET DE SOUDURE'!R1364)</f>
        <v/>
      </c>
      <c r="F1364" s="81" t="str">
        <f aca="false">IF('CARNET DE SOUDURE'!E1364="","",'CARNET DE SOUDURE'!AL1364)</f>
        <v/>
      </c>
      <c r="G1364" s="81" t="str">
        <f aca="false">IF('CARNET DE SOUDURE'!E1364="","",'CARNET DE SOUDURE'!AM1364)</f>
        <v/>
      </c>
      <c r="H1364" s="81" t="str">
        <f aca="false">IF(C1364="","",IF(G1364="ACCEPTÉ","OUI","NON"))</f>
        <v/>
      </c>
      <c r="I1364" s="82"/>
      <c r="J1364" s="79"/>
      <c r="K1364" s="80"/>
      <c r="L1364" s="80"/>
      <c r="M1364" s="80"/>
      <c r="N1364" s="83" t="str">
        <f aca="false">IF(C1364="","",IF(I1364="",IF(H1364="OUI","À ENROBER",IF(G1364="À SOUDER","NON SOUDÉ","EN ATTENTE RT")),IF(L1364="R","À REPRENDRE",IF(H1364&lt;&gt;"OUI","⚠ ENROBÉ AVANT ACCEPTATION RT","ENROBÉ"))))</f>
        <v/>
      </c>
      <c r="O1364" s="79"/>
    </row>
    <row r="1365" customFormat="false" ht="15" hidden="false" customHeight="false" outlineLevel="0" collapsed="false">
      <c r="A1365" s="78" t="str">
        <f aca="false">IF('CARNET DE SOUDURE'!E1365="","",'CARNET DE SOUDURE'!A1365)</f>
        <v/>
      </c>
      <c r="B1365" s="93" t="str">
        <f aca="false">IF('CARNET DE SOUDURE'!E1365="","",'CARNET DE SOUDURE'!B1365&amp;"")</f>
        <v/>
      </c>
      <c r="C1365" s="83" t="str">
        <f aca="false">IF('CARNET DE SOUDURE'!E1365="","",'CARNET DE SOUDURE'!E1365)</f>
        <v/>
      </c>
      <c r="D1365" s="78" t="str">
        <f aca="false">IF('CARNET DE SOUDURE'!E1365="","",'CARNET DE SOUDURE'!D1365&amp;"")</f>
        <v/>
      </c>
      <c r="E1365" s="96" t="str">
        <f aca="false">IF(OR('CARNET DE SOUDURE'!E1365="",'CARNET DE SOUDURE'!R1365=""),"",'CARNET DE SOUDURE'!R1365)</f>
        <v/>
      </c>
      <c r="F1365" s="81" t="str">
        <f aca="false">IF('CARNET DE SOUDURE'!E1365="","",'CARNET DE SOUDURE'!AL1365)</f>
        <v/>
      </c>
      <c r="G1365" s="81" t="str">
        <f aca="false">IF('CARNET DE SOUDURE'!E1365="","",'CARNET DE SOUDURE'!AM1365)</f>
        <v/>
      </c>
      <c r="H1365" s="81" t="str">
        <f aca="false">IF(C1365="","",IF(G1365="ACCEPTÉ","OUI","NON"))</f>
        <v/>
      </c>
      <c r="I1365" s="82"/>
      <c r="J1365" s="79"/>
      <c r="K1365" s="80"/>
      <c r="L1365" s="80"/>
      <c r="M1365" s="80"/>
      <c r="N1365" s="83" t="str">
        <f aca="false">IF(C1365="","",IF(I1365="",IF(H1365="OUI","À ENROBER",IF(G1365="À SOUDER","NON SOUDÉ","EN ATTENTE RT")),IF(L1365="R","À REPRENDRE",IF(H1365&lt;&gt;"OUI","⚠ ENROBÉ AVANT ACCEPTATION RT","ENROBÉ"))))</f>
        <v/>
      </c>
      <c r="O1365" s="79"/>
    </row>
    <row r="1366" customFormat="false" ht="15" hidden="false" customHeight="false" outlineLevel="0" collapsed="false">
      <c r="A1366" s="78" t="str">
        <f aca="false">IF('CARNET DE SOUDURE'!E1366="","",'CARNET DE SOUDURE'!A1366)</f>
        <v/>
      </c>
      <c r="B1366" s="93" t="str">
        <f aca="false">IF('CARNET DE SOUDURE'!E1366="","",'CARNET DE SOUDURE'!B1366&amp;"")</f>
        <v/>
      </c>
      <c r="C1366" s="83" t="str">
        <f aca="false">IF('CARNET DE SOUDURE'!E1366="","",'CARNET DE SOUDURE'!E1366)</f>
        <v/>
      </c>
      <c r="D1366" s="78" t="str">
        <f aca="false">IF('CARNET DE SOUDURE'!E1366="","",'CARNET DE SOUDURE'!D1366&amp;"")</f>
        <v/>
      </c>
      <c r="E1366" s="96" t="str">
        <f aca="false">IF(OR('CARNET DE SOUDURE'!E1366="",'CARNET DE SOUDURE'!R1366=""),"",'CARNET DE SOUDURE'!R1366)</f>
        <v/>
      </c>
      <c r="F1366" s="81" t="str">
        <f aca="false">IF('CARNET DE SOUDURE'!E1366="","",'CARNET DE SOUDURE'!AL1366)</f>
        <v/>
      </c>
      <c r="G1366" s="81" t="str">
        <f aca="false">IF('CARNET DE SOUDURE'!E1366="","",'CARNET DE SOUDURE'!AM1366)</f>
        <v/>
      </c>
      <c r="H1366" s="81" t="str">
        <f aca="false">IF(C1366="","",IF(G1366="ACCEPTÉ","OUI","NON"))</f>
        <v/>
      </c>
      <c r="I1366" s="82"/>
      <c r="J1366" s="79"/>
      <c r="K1366" s="80"/>
      <c r="L1366" s="80"/>
      <c r="M1366" s="80"/>
      <c r="N1366" s="83" t="str">
        <f aca="false">IF(C1366="","",IF(I1366="",IF(H1366="OUI","À ENROBER",IF(G1366="À SOUDER","NON SOUDÉ","EN ATTENTE RT")),IF(L1366="R","À REPRENDRE",IF(H1366&lt;&gt;"OUI","⚠ ENROBÉ AVANT ACCEPTATION RT","ENROBÉ"))))</f>
        <v/>
      </c>
      <c r="O1366" s="79"/>
    </row>
    <row r="1367" customFormat="false" ht="15" hidden="false" customHeight="false" outlineLevel="0" collapsed="false">
      <c r="A1367" s="78" t="str">
        <f aca="false">IF('CARNET DE SOUDURE'!E1367="","",'CARNET DE SOUDURE'!A1367)</f>
        <v/>
      </c>
      <c r="B1367" s="93" t="str">
        <f aca="false">IF('CARNET DE SOUDURE'!E1367="","",'CARNET DE SOUDURE'!B1367&amp;"")</f>
        <v/>
      </c>
      <c r="C1367" s="83" t="str">
        <f aca="false">IF('CARNET DE SOUDURE'!E1367="","",'CARNET DE SOUDURE'!E1367)</f>
        <v/>
      </c>
      <c r="D1367" s="78" t="str">
        <f aca="false">IF('CARNET DE SOUDURE'!E1367="","",'CARNET DE SOUDURE'!D1367&amp;"")</f>
        <v/>
      </c>
      <c r="E1367" s="96" t="str">
        <f aca="false">IF(OR('CARNET DE SOUDURE'!E1367="",'CARNET DE SOUDURE'!R1367=""),"",'CARNET DE SOUDURE'!R1367)</f>
        <v/>
      </c>
      <c r="F1367" s="81" t="str">
        <f aca="false">IF('CARNET DE SOUDURE'!E1367="","",'CARNET DE SOUDURE'!AL1367)</f>
        <v/>
      </c>
      <c r="G1367" s="81" t="str">
        <f aca="false">IF('CARNET DE SOUDURE'!E1367="","",'CARNET DE SOUDURE'!AM1367)</f>
        <v/>
      </c>
      <c r="H1367" s="81" t="str">
        <f aca="false">IF(C1367="","",IF(G1367="ACCEPTÉ","OUI","NON"))</f>
        <v/>
      </c>
      <c r="I1367" s="82"/>
      <c r="J1367" s="79"/>
      <c r="K1367" s="80"/>
      <c r="L1367" s="80"/>
      <c r="M1367" s="80"/>
      <c r="N1367" s="83" t="str">
        <f aca="false">IF(C1367="","",IF(I1367="",IF(H1367="OUI","À ENROBER",IF(G1367="À SOUDER","NON SOUDÉ","EN ATTENTE RT")),IF(L1367="R","À REPRENDRE",IF(H1367&lt;&gt;"OUI","⚠ ENROBÉ AVANT ACCEPTATION RT","ENROBÉ"))))</f>
        <v/>
      </c>
      <c r="O1367" s="79"/>
    </row>
    <row r="1368" customFormat="false" ht="15" hidden="false" customHeight="false" outlineLevel="0" collapsed="false">
      <c r="A1368" s="78" t="str">
        <f aca="false">IF('CARNET DE SOUDURE'!E1368="","",'CARNET DE SOUDURE'!A1368)</f>
        <v/>
      </c>
      <c r="B1368" s="93" t="str">
        <f aca="false">IF('CARNET DE SOUDURE'!E1368="","",'CARNET DE SOUDURE'!B1368&amp;"")</f>
        <v/>
      </c>
      <c r="C1368" s="83" t="str">
        <f aca="false">IF('CARNET DE SOUDURE'!E1368="","",'CARNET DE SOUDURE'!E1368)</f>
        <v/>
      </c>
      <c r="D1368" s="78" t="str">
        <f aca="false">IF('CARNET DE SOUDURE'!E1368="","",'CARNET DE SOUDURE'!D1368&amp;"")</f>
        <v/>
      </c>
      <c r="E1368" s="96" t="str">
        <f aca="false">IF(OR('CARNET DE SOUDURE'!E1368="",'CARNET DE SOUDURE'!R1368=""),"",'CARNET DE SOUDURE'!R1368)</f>
        <v/>
      </c>
      <c r="F1368" s="81" t="str">
        <f aca="false">IF('CARNET DE SOUDURE'!E1368="","",'CARNET DE SOUDURE'!AL1368)</f>
        <v/>
      </c>
      <c r="G1368" s="81" t="str">
        <f aca="false">IF('CARNET DE SOUDURE'!E1368="","",'CARNET DE SOUDURE'!AM1368)</f>
        <v/>
      </c>
      <c r="H1368" s="81" t="str">
        <f aca="false">IF(C1368="","",IF(G1368="ACCEPTÉ","OUI","NON"))</f>
        <v/>
      </c>
      <c r="I1368" s="82"/>
      <c r="J1368" s="79"/>
      <c r="K1368" s="80"/>
      <c r="L1368" s="80"/>
      <c r="M1368" s="80"/>
      <c r="N1368" s="83" t="str">
        <f aca="false">IF(C1368="","",IF(I1368="",IF(H1368="OUI","À ENROBER",IF(G1368="À SOUDER","NON SOUDÉ","EN ATTENTE RT")),IF(L1368="R","À REPRENDRE",IF(H1368&lt;&gt;"OUI","⚠ ENROBÉ AVANT ACCEPTATION RT","ENROBÉ"))))</f>
        <v/>
      </c>
      <c r="O1368" s="79"/>
    </row>
    <row r="1369" customFormat="false" ht="15" hidden="false" customHeight="false" outlineLevel="0" collapsed="false">
      <c r="A1369" s="78" t="str">
        <f aca="false">IF('CARNET DE SOUDURE'!E1369="","",'CARNET DE SOUDURE'!A1369)</f>
        <v/>
      </c>
      <c r="B1369" s="93" t="str">
        <f aca="false">IF('CARNET DE SOUDURE'!E1369="","",'CARNET DE SOUDURE'!B1369&amp;"")</f>
        <v/>
      </c>
      <c r="C1369" s="83" t="str">
        <f aca="false">IF('CARNET DE SOUDURE'!E1369="","",'CARNET DE SOUDURE'!E1369)</f>
        <v/>
      </c>
      <c r="D1369" s="78" t="str">
        <f aca="false">IF('CARNET DE SOUDURE'!E1369="","",'CARNET DE SOUDURE'!D1369&amp;"")</f>
        <v/>
      </c>
      <c r="E1369" s="96" t="str">
        <f aca="false">IF(OR('CARNET DE SOUDURE'!E1369="",'CARNET DE SOUDURE'!R1369=""),"",'CARNET DE SOUDURE'!R1369)</f>
        <v/>
      </c>
      <c r="F1369" s="81" t="str">
        <f aca="false">IF('CARNET DE SOUDURE'!E1369="","",'CARNET DE SOUDURE'!AL1369)</f>
        <v/>
      </c>
      <c r="G1369" s="81" t="str">
        <f aca="false">IF('CARNET DE SOUDURE'!E1369="","",'CARNET DE SOUDURE'!AM1369)</f>
        <v/>
      </c>
      <c r="H1369" s="81" t="str">
        <f aca="false">IF(C1369="","",IF(G1369="ACCEPTÉ","OUI","NON"))</f>
        <v/>
      </c>
      <c r="I1369" s="82"/>
      <c r="J1369" s="79"/>
      <c r="K1369" s="80"/>
      <c r="L1369" s="80"/>
      <c r="M1369" s="80"/>
      <c r="N1369" s="83" t="str">
        <f aca="false">IF(C1369="","",IF(I1369="",IF(H1369="OUI","À ENROBER",IF(G1369="À SOUDER","NON SOUDÉ","EN ATTENTE RT")),IF(L1369="R","À REPRENDRE",IF(H1369&lt;&gt;"OUI","⚠ ENROBÉ AVANT ACCEPTATION RT","ENROBÉ"))))</f>
        <v/>
      </c>
      <c r="O1369" s="79"/>
    </row>
    <row r="1370" customFormat="false" ht="15" hidden="false" customHeight="false" outlineLevel="0" collapsed="false">
      <c r="A1370" s="78" t="str">
        <f aca="false">IF('CARNET DE SOUDURE'!E1370="","",'CARNET DE SOUDURE'!A1370)</f>
        <v/>
      </c>
      <c r="B1370" s="93" t="str">
        <f aca="false">IF('CARNET DE SOUDURE'!E1370="","",'CARNET DE SOUDURE'!B1370&amp;"")</f>
        <v/>
      </c>
      <c r="C1370" s="83" t="str">
        <f aca="false">IF('CARNET DE SOUDURE'!E1370="","",'CARNET DE SOUDURE'!E1370)</f>
        <v/>
      </c>
      <c r="D1370" s="78" t="str">
        <f aca="false">IF('CARNET DE SOUDURE'!E1370="","",'CARNET DE SOUDURE'!D1370&amp;"")</f>
        <v/>
      </c>
      <c r="E1370" s="96" t="str">
        <f aca="false">IF(OR('CARNET DE SOUDURE'!E1370="",'CARNET DE SOUDURE'!R1370=""),"",'CARNET DE SOUDURE'!R1370)</f>
        <v/>
      </c>
      <c r="F1370" s="81" t="str">
        <f aca="false">IF('CARNET DE SOUDURE'!E1370="","",'CARNET DE SOUDURE'!AL1370)</f>
        <v/>
      </c>
      <c r="G1370" s="81" t="str">
        <f aca="false">IF('CARNET DE SOUDURE'!E1370="","",'CARNET DE SOUDURE'!AM1370)</f>
        <v/>
      </c>
      <c r="H1370" s="81" t="str">
        <f aca="false">IF(C1370="","",IF(G1370="ACCEPTÉ","OUI","NON"))</f>
        <v/>
      </c>
      <c r="I1370" s="82"/>
      <c r="J1370" s="79"/>
      <c r="K1370" s="80"/>
      <c r="L1370" s="80"/>
      <c r="M1370" s="80"/>
      <c r="N1370" s="83" t="str">
        <f aca="false">IF(C1370="","",IF(I1370="",IF(H1370="OUI","À ENROBER",IF(G1370="À SOUDER","NON SOUDÉ","EN ATTENTE RT")),IF(L1370="R","À REPRENDRE",IF(H1370&lt;&gt;"OUI","⚠ ENROBÉ AVANT ACCEPTATION RT","ENROBÉ"))))</f>
        <v/>
      </c>
      <c r="O1370" s="79"/>
    </row>
    <row r="1371" customFormat="false" ht="15" hidden="false" customHeight="false" outlineLevel="0" collapsed="false">
      <c r="A1371" s="78" t="str">
        <f aca="false">IF('CARNET DE SOUDURE'!E1371="","",'CARNET DE SOUDURE'!A1371)</f>
        <v/>
      </c>
      <c r="B1371" s="93" t="str">
        <f aca="false">IF('CARNET DE SOUDURE'!E1371="","",'CARNET DE SOUDURE'!B1371&amp;"")</f>
        <v/>
      </c>
      <c r="C1371" s="83" t="str">
        <f aca="false">IF('CARNET DE SOUDURE'!E1371="","",'CARNET DE SOUDURE'!E1371)</f>
        <v/>
      </c>
      <c r="D1371" s="78" t="str">
        <f aca="false">IF('CARNET DE SOUDURE'!E1371="","",'CARNET DE SOUDURE'!D1371&amp;"")</f>
        <v/>
      </c>
      <c r="E1371" s="96" t="str">
        <f aca="false">IF(OR('CARNET DE SOUDURE'!E1371="",'CARNET DE SOUDURE'!R1371=""),"",'CARNET DE SOUDURE'!R1371)</f>
        <v/>
      </c>
      <c r="F1371" s="81" t="str">
        <f aca="false">IF('CARNET DE SOUDURE'!E1371="","",'CARNET DE SOUDURE'!AL1371)</f>
        <v/>
      </c>
      <c r="G1371" s="81" t="str">
        <f aca="false">IF('CARNET DE SOUDURE'!E1371="","",'CARNET DE SOUDURE'!AM1371)</f>
        <v/>
      </c>
      <c r="H1371" s="81" t="str">
        <f aca="false">IF(C1371="","",IF(G1371="ACCEPTÉ","OUI","NON"))</f>
        <v/>
      </c>
      <c r="I1371" s="82"/>
      <c r="J1371" s="79"/>
      <c r="K1371" s="80"/>
      <c r="L1371" s="80"/>
      <c r="M1371" s="80"/>
      <c r="N1371" s="83" t="str">
        <f aca="false">IF(C1371="","",IF(I1371="",IF(H1371="OUI","À ENROBER",IF(G1371="À SOUDER","NON SOUDÉ","EN ATTENTE RT")),IF(L1371="R","À REPRENDRE",IF(H1371&lt;&gt;"OUI","⚠ ENROBÉ AVANT ACCEPTATION RT","ENROBÉ"))))</f>
        <v/>
      </c>
      <c r="O1371" s="79"/>
    </row>
    <row r="1372" customFormat="false" ht="15" hidden="false" customHeight="false" outlineLevel="0" collapsed="false">
      <c r="A1372" s="78" t="str">
        <f aca="false">IF('CARNET DE SOUDURE'!E1372="","",'CARNET DE SOUDURE'!A1372)</f>
        <v/>
      </c>
      <c r="B1372" s="93" t="str">
        <f aca="false">IF('CARNET DE SOUDURE'!E1372="","",'CARNET DE SOUDURE'!B1372&amp;"")</f>
        <v/>
      </c>
      <c r="C1372" s="83" t="str">
        <f aca="false">IF('CARNET DE SOUDURE'!E1372="","",'CARNET DE SOUDURE'!E1372)</f>
        <v/>
      </c>
      <c r="D1372" s="78" t="str">
        <f aca="false">IF('CARNET DE SOUDURE'!E1372="","",'CARNET DE SOUDURE'!D1372&amp;"")</f>
        <v/>
      </c>
      <c r="E1372" s="96" t="str">
        <f aca="false">IF(OR('CARNET DE SOUDURE'!E1372="",'CARNET DE SOUDURE'!R1372=""),"",'CARNET DE SOUDURE'!R1372)</f>
        <v/>
      </c>
      <c r="F1372" s="81" t="str">
        <f aca="false">IF('CARNET DE SOUDURE'!E1372="","",'CARNET DE SOUDURE'!AL1372)</f>
        <v/>
      </c>
      <c r="G1372" s="81" t="str">
        <f aca="false">IF('CARNET DE SOUDURE'!E1372="","",'CARNET DE SOUDURE'!AM1372)</f>
        <v/>
      </c>
      <c r="H1372" s="81" t="str">
        <f aca="false">IF(C1372="","",IF(G1372="ACCEPTÉ","OUI","NON"))</f>
        <v/>
      </c>
      <c r="I1372" s="82"/>
      <c r="J1372" s="79"/>
      <c r="K1372" s="80"/>
      <c r="L1372" s="80"/>
      <c r="M1372" s="80"/>
      <c r="N1372" s="83" t="str">
        <f aca="false">IF(C1372="","",IF(I1372="",IF(H1372="OUI","À ENROBER",IF(G1372="À SOUDER","NON SOUDÉ","EN ATTENTE RT")),IF(L1372="R","À REPRENDRE",IF(H1372&lt;&gt;"OUI","⚠ ENROBÉ AVANT ACCEPTATION RT","ENROBÉ"))))</f>
        <v/>
      </c>
      <c r="O1372" s="79"/>
    </row>
    <row r="1373" customFormat="false" ht="15" hidden="false" customHeight="false" outlineLevel="0" collapsed="false">
      <c r="A1373" s="78" t="str">
        <f aca="false">IF('CARNET DE SOUDURE'!E1373="","",'CARNET DE SOUDURE'!A1373)</f>
        <v/>
      </c>
      <c r="B1373" s="93" t="str">
        <f aca="false">IF('CARNET DE SOUDURE'!E1373="","",'CARNET DE SOUDURE'!B1373&amp;"")</f>
        <v/>
      </c>
      <c r="C1373" s="83" t="str">
        <f aca="false">IF('CARNET DE SOUDURE'!E1373="","",'CARNET DE SOUDURE'!E1373)</f>
        <v/>
      </c>
      <c r="D1373" s="78" t="str">
        <f aca="false">IF('CARNET DE SOUDURE'!E1373="","",'CARNET DE SOUDURE'!D1373&amp;"")</f>
        <v/>
      </c>
      <c r="E1373" s="96" t="str">
        <f aca="false">IF(OR('CARNET DE SOUDURE'!E1373="",'CARNET DE SOUDURE'!R1373=""),"",'CARNET DE SOUDURE'!R1373)</f>
        <v/>
      </c>
      <c r="F1373" s="81" t="str">
        <f aca="false">IF('CARNET DE SOUDURE'!E1373="","",'CARNET DE SOUDURE'!AL1373)</f>
        <v/>
      </c>
      <c r="G1373" s="81" t="str">
        <f aca="false">IF('CARNET DE SOUDURE'!E1373="","",'CARNET DE SOUDURE'!AM1373)</f>
        <v/>
      </c>
      <c r="H1373" s="81" t="str">
        <f aca="false">IF(C1373="","",IF(G1373="ACCEPTÉ","OUI","NON"))</f>
        <v/>
      </c>
      <c r="I1373" s="82"/>
      <c r="J1373" s="79"/>
      <c r="K1373" s="80"/>
      <c r="L1373" s="80"/>
      <c r="M1373" s="80"/>
      <c r="N1373" s="83" t="str">
        <f aca="false">IF(C1373="","",IF(I1373="",IF(H1373="OUI","À ENROBER",IF(G1373="À SOUDER","NON SOUDÉ","EN ATTENTE RT")),IF(L1373="R","À REPRENDRE",IF(H1373&lt;&gt;"OUI","⚠ ENROBÉ AVANT ACCEPTATION RT","ENROBÉ"))))</f>
        <v/>
      </c>
      <c r="O1373" s="79"/>
    </row>
    <row r="1374" customFormat="false" ht="15" hidden="false" customHeight="false" outlineLevel="0" collapsed="false">
      <c r="A1374" s="78" t="str">
        <f aca="false">IF('CARNET DE SOUDURE'!E1374="","",'CARNET DE SOUDURE'!A1374)</f>
        <v/>
      </c>
      <c r="B1374" s="93" t="str">
        <f aca="false">IF('CARNET DE SOUDURE'!E1374="","",'CARNET DE SOUDURE'!B1374&amp;"")</f>
        <v/>
      </c>
      <c r="C1374" s="83" t="str">
        <f aca="false">IF('CARNET DE SOUDURE'!E1374="","",'CARNET DE SOUDURE'!E1374)</f>
        <v/>
      </c>
      <c r="D1374" s="78" t="str">
        <f aca="false">IF('CARNET DE SOUDURE'!E1374="","",'CARNET DE SOUDURE'!D1374&amp;"")</f>
        <v/>
      </c>
      <c r="E1374" s="96" t="str">
        <f aca="false">IF(OR('CARNET DE SOUDURE'!E1374="",'CARNET DE SOUDURE'!R1374=""),"",'CARNET DE SOUDURE'!R1374)</f>
        <v/>
      </c>
      <c r="F1374" s="81" t="str">
        <f aca="false">IF('CARNET DE SOUDURE'!E1374="","",'CARNET DE SOUDURE'!AL1374)</f>
        <v/>
      </c>
      <c r="G1374" s="81" t="str">
        <f aca="false">IF('CARNET DE SOUDURE'!E1374="","",'CARNET DE SOUDURE'!AM1374)</f>
        <v/>
      </c>
      <c r="H1374" s="81" t="str">
        <f aca="false">IF(C1374="","",IF(G1374="ACCEPTÉ","OUI","NON"))</f>
        <v/>
      </c>
      <c r="I1374" s="82"/>
      <c r="J1374" s="79"/>
      <c r="K1374" s="80"/>
      <c r="L1374" s="80"/>
      <c r="M1374" s="80"/>
      <c r="N1374" s="83" t="str">
        <f aca="false">IF(C1374="","",IF(I1374="",IF(H1374="OUI","À ENROBER",IF(G1374="À SOUDER","NON SOUDÉ","EN ATTENTE RT")),IF(L1374="R","À REPRENDRE",IF(H1374&lt;&gt;"OUI","⚠ ENROBÉ AVANT ACCEPTATION RT","ENROBÉ"))))</f>
        <v/>
      </c>
      <c r="O1374" s="79"/>
    </row>
    <row r="1375" customFormat="false" ht="15" hidden="false" customHeight="false" outlineLevel="0" collapsed="false">
      <c r="A1375" s="78" t="str">
        <f aca="false">IF('CARNET DE SOUDURE'!E1375="","",'CARNET DE SOUDURE'!A1375)</f>
        <v/>
      </c>
      <c r="B1375" s="93" t="str">
        <f aca="false">IF('CARNET DE SOUDURE'!E1375="","",'CARNET DE SOUDURE'!B1375&amp;"")</f>
        <v/>
      </c>
      <c r="C1375" s="83" t="str">
        <f aca="false">IF('CARNET DE SOUDURE'!E1375="","",'CARNET DE SOUDURE'!E1375)</f>
        <v/>
      </c>
      <c r="D1375" s="78" t="str">
        <f aca="false">IF('CARNET DE SOUDURE'!E1375="","",'CARNET DE SOUDURE'!D1375&amp;"")</f>
        <v/>
      </c>
      <c r="E1375" s="96" t="str">
        <f aca="false">IF(OR('CARNET DE SOUDURE'!E1375="",'CARNET DE SOUDURE'!R1375=""),"",'CARNET DE SOUDURE'!R1375)</f>
        <v/>
      </c>
      <c r="F1375" s="81" t="str">
        <f aca="false">IF('CARNET DE SOUDURE'!E1375="","",'CARNET DE SOUDURE'!AL1375)</f>
        <v/>
      </c>
      <c r="G1375" s="81" t="str">
        <f aca="false">IF('CARNET DE SOUDURE'!E1375="","",'CARNET DE SOUDURE'!AM1375)</f>
        <v/>
      </c>
      <c r="H1375" s="81" t="str">
        <f aca="false">IF(C1375="","",IF(G1375="ACCEPTÉ","OUI","NON"))</f>
        <v/>
      </c>
      <c r="I1375" s="82"/>
      <c r="J1375" s="79"/>
      <c r="K1375" s="80"/>
      <c r="L1375" s="80"/>
      <c r="M1375" s="80"/>
      <c r="N1375" s="83" t="str">
        <f aca="false">IF(C1375="","",IF(I1375="",IF(H1375="OUI","À ENROBER",IF(G1375="À SOUDER","NON SOUDÉ","EN ATTENTE RT")),IF(L1375="R","À REPRENDRE",IF(H1375&lt;&gt;"OUI","⚠ ENROBÉ AVANT ACCEPTATION RT","ENROBÉ"))))</f>
        <v/>
      </c>
      <c r="O1375" s="79"/>
    </row>
    <row r="1376" customFormat="false" ht="15" hidden="false" customHeight="false" outlineLevel="0" collapsed="false">
      <c r="A1376" s="78" t="str">
        <f aca="false">IF('CARNET DE SOUDURE'!E1376="","",'CARNET DE SOUDURE'!A1376)</f>
        <v/>
      </c>
      <c r="B1376" s="93" t="str">
        <f aca="false">IF('CARNET DE SOUDURE'!E1376="","",'CARNET DE SOUDURE'!B1376&amp;"")</f>
        <v/>
      </c>
      <c r="C1376" s="83" t="str">
        <f aca="false">IF('CARNET DE SOUDURE'!E1376="","",'CARNET DE SOUDURE'!E1376)</f>
        <v/>
      </c>
      <c r="D1376" s="78" t="str">
        <f aca="false">IF('CARNET DE SOUDURE'!E1376="","",'CARNET DE SOUDURE'!D1376&amp;"")</f>
        <v/>
      </c>
      <c r="E1376" s="96" t="str">
        <f aca="false">IF(OR('CARNET DE SOUDURE'!E1376="",'CARNET DE SOUDURE'!R1376=""),"",'CARNET DE SOUDURE'!R1376)</f>
        <v/>
      </c>
      <c r="F1376" s="81" t="str">
        <f aca="false">IF('CARNET DE SOUDURE'!E1376="","",'CARNET DE SOUDURE'!AL1376)</f>
        <v/>
      </c>
      <c r="G1376" s="81" t="str">
        <f aca="false">IF('CARNET DE SOUDURE'!E1376="","",'CARNET DE SOUDURE'!AM1376)</f>
        <v/>
      </c>
      <c r="H1376" s="81" t="str">
        <f aca="false">IF(C1376="","",IF(G1376="ACCEPTÉ","OUI","NON"))</f>
        <v/>
      </c>
      <c r="I1376" s="82"/>
      <c r="J1376" s="79"/>
      <c r="K1376" s="80"/>
      <c r="L1376" s="80"/>
      <c r="M1376" s="80"/>
      <c r="N1376" s="83" t="str">
        <f aca="false">IF(C1376="","",IF(I1376="",IF(H1376="OUI","À ENROBER",IF(G1376="À SOUDER","NON SOUDÉ","EN ATTENTE RT")),IF(L1376="R","À REPRENDRE",IF(H1376&lt;&gt;"OUI","⚠ ENROBÉ AVANT ACCEPTATION RT","ENROBÉ"))))</f>
        <v/>
      </c>
      <c r="O1376" s="79"/>
    </row>
    <row r="1377" customFormat="false" ht="15" hidden="false" customHeight="false" outlineLevel="0" collapsed="false">
      <c r="A1377" s="78" t="str">
        <f aca="false">IF('CARNET DE SOUDURE'!E1377="","",'CARNET DE SOUDURE'!A1377)</f>
        <v/>
      </c>
      <c r="B1377" s="93" t="str">
        <f aca="false">IF('CARNET DE SOUDURE'!E1377="","",'CARNET DE SOUDURE'!B1377&amp;"")</f>
        <v/>
      </c>
      <c r="C1377" s="83" t="str">
        <f aca="false">IF('CARNET DE SOUDURE'!E1377="","",'CARNET DE SOUDURE'!E1377)</f>
        <v/>
      </c>
      <c r="D1377" s="78" t="str">
        <f aca="false">IF('CARNET DE SOUDURE'!E1377="","",'CARNET DE SOUDURE'!D1377&amp;"")</f>
        <v/>
      </c>
      <c r="E1377" s="96" t="str">
        <f aca="false">IF(OR('CARNET DE SOUDURE'!E1377="",'CARNET DE SOUDURE'!R1377=""),"",'CARNET DE SOUDURE'!R1377)</f>
        <v/>
      </c>
      <c r="F1377" s="81" t="str">
        <f aca="false">IF('CARNET DE SOUDURE'!E1377="","",'CARNET DE SOUDURE'!AL1377)</f>
        <v/>
      </c>
      <c r="G1377" s="81" t="str">
        <f aca="false">IF('CARNET DE SOUDURE'!E1377="","",'CARNET DE SOUDURE'!AM1377)</f>
        <v/>
      </c>
      <c r="H1377" s="81" t="str">
        <f aca="false">IF(C1377="","",IF(G1377="ACCEPTÉ","OUI","NON"))</f>
        <v/>
      </c>
      <c r="I1377" s="82"/>
      <c r="J1377" s="79"/>
      <c r="K1377" s="80"/>
      <c r="L1377" s="80"/>
      <c r="M1377" s="80"/>
      <c r="N1377" s="83" t="str">
        <f aca="false">IF(C1377="","",IF(I1377="",IF(H1377="OUI","À ENROBER",IF(G1377="À SOUDER","NON SOUDÉ","EN ATTENTE RT")),IF(L1377="R","À REPRENDRE",IF(H1377&lt;&gt;"OUI","⚠ ENROBÉ AVANT ACCEPTATION RT","ENROBÉ"))))</f>
        <v/>
      </c>
      <c r="O1377" s="79"/>
    </row>
    <row r="1378" customFormat="false" ht="15" hidden="false" customHeight="false" outlineLevel="0" collapsed="false">
      <c r="A1378" s="78" t="str">
        <f aca="false">IF('CARNET DE SOUDURE'!E1378="","",'CARNET DE SOUDURE'!A1378)</f>
        <v/>
      </c>
      <c r="B1378" s="93" t="str">
        <f aca="false">IF('CARNET DE SOUDURE'!E1378="","",'CARNET DE SOUDURE'!B1378&amp;"")</f>
        <v/>
      </c>
      <c r="C1378" s="83" t="str">
        <f aca="false">IF('CARNET DE SOUDURE'!E1378="","",'CARNET DE SOUDURE'!E1378)</f>
        <v/>
      </c>
      <c r="D1378" s="78" t="str">
        <f aca="false">IF('CARNET DE SOUDURE'!E1378="","",'CARNET DE SOUDURE'!D1378&amp;"")</f>
        <v/>
      </c>
      <c r="E1378" s="96" t="str">
        <f aca="false">IF(OR('CARNET DE SOUDURE'!E1378="",'CARNET DE SOUDURE'!R1378=""),"",'CARNET DE SOUDURE'!R1378)</f>
        <v/>
      </c>
      <c r="F1378" s="81" t="str">
        <f aca="false">IF('CARNET DE SOUDURE'!E1378="","",'CARNET DE SOUDURE'!AL1378)</f>
        <v/>
      </c>
      <c r="G1378" s="81" t="str">
        <f aca="false">IF('CARNET DE SOUDURE'!E1378="","",'CARNET DE SOUDURE'!AM1378)</f>
        <v/>
      </c>
      <c r="H1378" s="81" t="str">
        <f aca="false">IF(C1378="","",IF(G1378="ACCEPTÉ","OUI","NON"))</f>
        <v/>
      </c>
      <c r="I1378" s="82"/>
      <c r="J1378" s="79"/>
      <c r="K1378" s="80"/>
      <c r="L1378" s="80"/>
      <c r="M1378" s="80"/>
      <c r="N1378" s="83" t="str">
        <f aca="false">IF(C1378="","",IF(I1378="",IF(H1378="OUI","À ENROBER",IF(G1378="À SOUDER","NON SOUDÉ","EN ATTENTE RT")),IF(L1378="R","À REPRENDRE",IF(H1378&lt;&gt;"OUI","⚠ ENROBÉ AVANT ACCEPTATION RT","ENROBÉ"))))</f>
        <v/>
      </c>
      <c r="O1378" s="79"/>
    </row>
    <row r="1379" customFormat="false" ht="15" hidden="false" customHeight="false" outlineLevel="0" collapsed="false">
      <c r="A1379" s="78" t="str">
        <f aca="false">IF('CARNET DE SOUDURE'!E1379="","",'CARNET DE SOUDURE'!A1379)</f>
        <v/>
      </c>
      <c r="B1379" s="93" t="str">
        <f aca="false">IF('CARNET DE SOUDURE'!E1379="","",'CARNET DE SOUDURE'!B1379&amp;"")</f>
        <v/>
      </c>
      <c r="C1379" s="83" t="str">
        <f aca="false">IF('CARNET DE SOUDURE'!E1379="","",'CARNET DE SOUDURE'!E1379)</f>
        <v/>
      </c>
      <c r="D1379" s="78" t="str">
        <f aca="false">IF('CARNET DE SOUDURE'!E1379="","",'CARNET DE SOUDURE'!D1379&amp;"")</f>
        <v/>
      </c>
      <c r="E1379" s="96" t="str">
        <f aca="false">IF(OR('CARNET DE SOUDURE'!E1379="",'CARNET DE SOUDURE'!R1379=""),"",'CARNET DE SOUDURE'!R1379)</f>
        <v/>
      </c>
      <c r="F1379" s="81" t="str">
        <f aca="false">IF('CARNET DE SOUDURE'!E1379="","",'CARNET DE SOUDURE'!AL1379)</f>
        <v/>
      </c>
      <c r="G1379" s="81" t="str">
        <f aca="false">IF('CARNET DE SOUDURE'!E1379="","",'CARNET DE SOUDURE'!AM1379)</f>
        <v/>
      </c>
      <c r="H1379" s="81" t="str">
        <f aca="false">IF(C1379="","",IF(G1379="ACCEPTÉ","OUI","NON"))</f>
        <v/>
      </c>
      <c r="I1379" s="82"/>
      <c r="J1379" s="79"/>
      <c r="K1379" s="80"/>
      <c r="L1379" s="80"/>
      <c r="M1379" s="80"/>
      <c r="N1379" s="83" t="str">
        <f aca="false">IF(C1379="","",IF(I1379="",IF(H1379="OUI","À ENROBER",IF(G1379="À SOUDER","NON SOUDÉ","EN ATTENTE RT")),IF(L1379="R","À REPRENDRE",IF(H1379&lt;&gt;"OUI","⚠ ENROBÉ AVANT ACCEPTATION RT","ENROBÉ"))))</f>
        <v/>
      </c>
      <c r="O1379" s="79"/>
    </row>
    <row r="1380" customFormat="false" ht="15" hidden="false" customHeight="false" outlineLevel="0" collapsed="false">
      <c r="A1380" s="78" t="str">
        <f aca="false">IF('CARNET DE SOUDURE'!E1380="","",'CARNET DE SOUDURE'!A1380)</f>
        <v/>
      </c>
      <c r="B1380" s="93" t="str">
        <f aca="false">IF('CARNET DE SOUDURE'!E1380="","",'CARNET DE SOUDURE'!B1380&amp;"")</f>
        <v/>
      </c>
      <c r="C1380" s="83" t="str">
        <f aca="false">IF('CARNET DE SOUDURE'!E1380="","",'CARNET DE SOUDURE'!E1380)</f>
        <v/>
      </c>
      <c r="D1380" s="78" t="str">
        <f aca="false">IF('CARNET DE SOUDURE'!E1380="","",'CARNET DE SOUDURE'!D1380&amp;"")</f>
        <v/>
      </c>
      <c r="E1380" s="96" t="str">
        <f aca="false">IF(OR('CARNET DE SOUDURE'!E1380="",'CARNET DE SOUDURE'!R1380=""),"",'CARNET DE SOUDURE'!R1380)</f>
        <v/>
      </c>
      <c r="F1380" s="81" t="str">
        <f aca="false">IF('CARNET DE SOUDURE'!E1380="","",'CARNET DE SOUDURE'!AL1380)</f>
        <v/>
      </c>
      <c r="G1380" s="81" t="str">
        <f aca="false">IF('CARNET DE SOUDURE'!E1380="","",'CARNET DE SOUDURE'!AM1380)</f>
        <v/>
      </c>
      <c r="H1380" s="81" t="str">
        <f aca="false">IF(C1380="","",IF(G1380="ACCEPTÉ","OUI","NON"))</f>
        <v/>
      </c>
      <c r="I1380" s="82"/>
      <c r="J1380" s="79"/>
      <c r="K1380" s="80"/>
      <c r="L1380" s="80"/>
      <c r="M1380" s="80"/>
      <c r="N1380" s="83" t="str">
        <f aca="false">IF(C1380="","",IF(I1380="",IF(H1380="OUI","À ENROBER",IF(G1380="À SOUDER","NON SOUDÉ","EN ATTENTE RT")),IF(L1380="R","À REPRENDRE",IF(H1380&lt;&gt;"OUI","⚠ ENROBÉ AVANT ACCEPTATION RT","ENROBÉ"))))</f>
        <v/>
      </c>
      <c r="O1380" s="79"/>
    </row>
    <row r="1381" customFormat="false" ht="15" hidden="false" customHeight="false" outlineLevel="0" collapsed="false">
      <c r="A1381" s="78" t="str">
        <f aca="false">IF('CARNET DE SOUDURE'!E1381="","",'CARNET DE SOUDURE'!A1381)</f>
        <v/>
      </c>
      <c r="B1381" s="93" t="str">
        <f aca="false">IF('CARNET DE SOUDURE'!E1381="","",'CARNET DE SOUDURE'!B1381&amp;"")</f>
        <v/>
      </c>
      <c r="C1381" s="83" t="str">
        <f aca="false">IF('CARNET DE SOUDURE'!E1381="","",'CARNET DE SOUDURE'!E1381)</f>
        <v/>
      </c>
      <c r="D1381" s="78" t="str">
        <f aca="false">IF('CARNET DE SOUDURE'!E1381="","",'CARNET DE SOUDURE'!D1381&amp;"")</f>
        <v/>
      </c>
      <c r="E1381" s="96" t="str">
        <f aca="false">IF(OR('CARNET DE SOUDURE'!E1381="",'CARNET DE SOUDURE'!R1381=""),"",'CARNET DE SOUDURE'!R1381)</f>
        <v/>
      </c>
      <c r="F1381" s="81" t="str">
        <f aca="false">IF('CARNET DE SOUDURE'!E1381="","",'CARNET DE SOUDURE'!AL1381)</f>
        <v/>
      </c>
      <c r="G1381" s="81" t="str">
        <f aca="false">IF('CARNET DE SOUDURE'!E1381="","",'CARNET DE SOUDURE'!AM1381)</f>
        <v/>
      </c>
      <c r="H1381" s="81" t="str">
        <f aca="false">IF(C1381="","",IF(G1381="ACCEPTÉ","OUI","NON"))</f>
        <v/>
      </c>
      <c r="I1381" s="82"/>
      <c r="J1381" s="79"/>
      <c r="K1381" s="80"/>
      <c r="L1381" s="80"/>
      <c r="M1381" s="80"/>
      <c r="N1381" s="83" t="str">
        <f aca="false">IF(C1381="","",IF(I1381="",IF(H1381="OUI","À ENROBER",IF(G1381="À SOUDER","NON SOUDÉ","EN ATTENTE RT")),IF(L1381="R","À REPRENDRE",IF(H1381&lt;&gt;"OUI","⚠ ENROBÉ AVANT ACCEPTATION RT","ENROBÉ"))))</f>
        <v/>
      </c>
      <c r="O1381" s="79"/>
    </row>
    <row r="1382" customFormat="false" ht="15" hidden="false" customHeight="false" outlineLevel="0" collapsed="false">
      <c r="A1382" s="78" t="str">
        <f aca="false">IF('CARNET DE SOUDURE'!E1382="","",'CARNET DE SOUDURE'!A1382)</f>
        <v/>
      </c>
      <c r="B1382" s="93" t="str">
        <f aca="false">IF('CARNET DE SOUDURE'!E1382="","",'CARNET DE SOUDURE'!B1382&amp;"")</f>
        <v/>
      </c>
      <c r="C1382" s="83" t="str">
        <f aca="false">IF('CARNET DE SOUDURE'!E1382="","",'CARNET DE SOUDURE'!E1382)</f>
        <v/>
      </c>
      <c r="D1382" s="78" t="str">
        <f aca="false">IF('CARNET DE SOUDURE'!E1382="","",'CARNET DE SOUDURE'!D1382&amp;"")</f>
        <v/>
      </c>
      <c r="E1382" s="96" t="str">
        <f aca="false">IF(OR('CARNET DE SOUDURE'!E1382="",'CARNET DE SOUDURE'!R1382=""),"",'CARNET DE SOUDURE'!R1382)</f>
        <v/>
      </c>
      <c r="F1382" s="81" t="str">
        <f aca="false">IF('CARNET DE SOUDURE'!E1382="","",'CARNET DE SOUDURE'!AL1382)</f>
        <v/>
      </c>
      <c r="G1382" s="81" t="str">
        <f aca="false">IF('CARNET DE SOUDURE'!E1382="","",'CARNET DE SOUDURE'!AM1382)</f>
        <v/>
      </c>
      <c r="H1382" s="81" t="str">
        <f aca="false">IF(C1382="","",IF(G1382="ACCEPTÉ","OUI","NON"))</f>
        <v/>
      </c>
      <c r="I1382" s="82"/>
      <c r="J1382" s="79"/>
      <c r="K1382" s="80"/>
      <c r="L1382" s="80"/>
      <c r="M1382" s="80"/>
      <c r="N1382" s="83" t="str">
        <f aca="false">IF(C1382="","",IF(I1382="",IF(H1382="OUI","À ENROBER",IF(G1382="À SOUDER","NON SOUDÉ","EN ATTENTE RT")),IF(L1382="R","À REPRENDRE",IF(H1382&lt;&gt;"OUI","⚠ ENROBÉ AVANT ACCEPTATION RT","ENROBÉ"))))</f>
        <v/>
      </c>
      <c r="O1382" s="79"/>
    </row>
    <row r="1383" customFormat="false" ht="15" hidden="false" customHeight="false" outlineLevel="0" collapsed="false">
      <c r="A1383" s="78" t="str">
        <f aca="false">IF('CARNET DE SOUDURE'!E1383="","",'CARNET DE SOUDURE'!A1383)</f>
        <v/>
      </c>
      <c r="B1383" s="93" t="str">
        <f aca="false">IF('CARNET DE SOUDURE'!E1383="","",'CARNET DE SOUDURE'!B1383&amp;"")</f>
        <v/>
      </c>
      <c r="C1383" s="83" t="str">
        <f aca="false">IF('CARNET DE SOUDURE'!E1383="","",'CARNET DE SOUDURE'!E1383)</f>
        <v/>
      </c>
      <c r="D1383" s="78" t="str">
        <f aca="false">IF('CARNET DE SOUDURE'!E1383="","",'CARNET DE SOUDURE'!D1383&amp;"")</f>
        <v/>
      </c>
      <c r="E1383" s="96" t="str">
        <f aca="false">IF(OR('CARNET DE SOUDURE'!E1383="",'CARNET DE SOUDURE'!R1383=""),"",'CARNET DE SOUDURE'!R1383)</f>
        <v/>
      </c>
      <c r="F1383" s="81" t="str">
        <f aca="false">IF('CARNET DE SOUDURE'!E1383="","",'CARNET DE SOUDURE'!AL1383)</f>
        <v/>
      </c>
      <c r="G1383" s="81" t="str">
        <f aca="false">IF('CARNET DE SOUDURE'!E1383="","",'CARNET DE SOUDURE'!AM1383)</f>
        <v/>
      </c>
      <c r="H1383" s="81" t="str">
        <f aca="false">IF(C1383="","",IF(G1383="ACCEPTÉ","OUI","NON"))</f>
        <v/>
      </c>
      <c r="I1383" s="82"/>
      <c r="J1383" s="79"/>
      <c r="K1383" s="80"/>
      <c r="L1383" s="80"/>
      <c r="M1383" s="80"/>
      <c r="N1383" s="83" t="str">
        <f aca="false">IF(C1383="","",IF(I1383="",IF(H1383="OUI","À ENROBER",IF(G1383="À SOUDER","NON SOUDÉ","EN ATTENTE RT")),IF(L1383="R","À REPRENDRE",IF(H1383&lt;&gt;"OUI","⚠ ENROBÉ AVANT ACCEPTATION RT","ENROBÉ"))))</f>
        <v/>
      </c>
      <c r="O1383" s="79"/>
    </row>
    <row r="1384" customFormat="false" ht="15" hidden="false" customHeight="false" outlineLevel="0" collapsed="false">
      <c r="A1384" s="78" t="str">
        <f aca="false">IF('CARNET DE SOUDURE'!E1384="","",'CARNET DE SOUDURE'!A1384)</f>
        <v/>
      </c>
      <c r="B1384" s="93" t="str">
        <f aca="false">IF('CARNET DE SOUDURE'!E1384="","",'CARNET DE SOUDURE'!B1384&amp;"")</f>
        <v/>
      </c>
      <c r="C1384" s="83" t="str">
        <f aca="false">IF('CARNET DE SOUDURE'!E1384="","",'CARNET DE SOUDURE'!E1384)</f>
        <v/>
      </c>
      <c r="D1384" s="78" t="str">
        <f aca="false">IF('CARNET DE SOUDURE'!E1384="","",'CARNET DE SOUDURE'!D1384&amp;"")</f>
        <v/>
      </c>
      <c r="E1384" s="96" t="str">
        <f aca="false">IF(OR('CARNET DE SOUDURE'!E1384="",'CARNET DE SOUDURE'!R1384=""),"",'CARNET DE SOUDURE'!R1384)</f>
        <v/>
      </c>
      <c r="F1384" s="81" t="str">
        <f aca="false">IF('CARNET DE SOUDURE'!E1384="","",'CARNET DE SOUDURE'!AL1384)</f>
        <v/>
      </c>
      <c r="G1384" s="81" t="str">
        <f aca="false">IF('CARNET DE SOUDURE'!E1384="","",'CARNET DE SOUDURE'!AM1384)</f>
        <v/>
      </c>
      <c r="H1384" s="81" t="str">
        <f aca="false">IF(C1384="","",IF(G1384="ACCEPTÉ","OUI","NON"))</f>
        <v/>
      </c>
      <c r="I1384" s="82"/>
      <c r="J1384" s="79"/>
      <c r="K1384" s="80"/>
      <c r="L1384" s="80"/>
      <c r="M1384" s="80"/>
      <c r="N1384" s="83" t="str">
        <f aca="false">IF(C1384="","",IF(I1384="",IF(H1384="OUI","À ENROBER",IF(G1384="À SOUDER","NON SOUDÉ","EN ATTENTE RT")),IF(L1384="R","À REPRENDRE",IF(H1384&lt;&gt;"OUI","⚠ ENROBÉ AVANT ACCEPTATION RT","ENROBÉ"))))</f>
        <v/>
      </c>
      <c r="O1384" s="79"/>
    </row>
    <row r="1385" customFormat="false" ht="15" hidden="false" customHeight="false" outlineLevel="0" collapsed="false">
      <c r="A1385" s="78" t="str">
        <f aca="false">IF('CARNET DE SOUDURE'!E1385="","",'CARNET DE SOUDURE'!A1385)</f>
        <v/>
      </c>
      <c r="B1385" s="93" t="str">
        <f aca="false">IF('CARNET DE SOUDURE'!E1385="","",'CARNET DE SOUDURE'!B1385&amp;"")</f>
        <v/>
      </c>
      <c r="C1385" s="83" t="str">
        <f aca="false">IF('CARNET DE SOUDURE'!E1385="","",'CARNET DE SOUDURE'!E1385)</f>
        <v/>
      </c>
      <c r="D1385" s="78" t="str">
        <f aca="false">IF('CARNET DE SOUDURE'!E1385="","",'CARNET DE SOUDURE'!D1385&amp;"")</f>
        <v/>
      </c>
      <c r="E1385" s="96" t="str">
        <f aca="false">IF(OR('CARNET DE SOUDURE'!E1385="",'CARNET DE SOUDURE'!R1385=""),"",'CARNET DE SOUDURE'!R1385)</f>
        <v/>
      </c>
      <c r="F1385" s="81" t="str">
        <f aca="false">IF('CARNET DE SOUDURE'!E1385="","",'CARNET DE SOUDURE'!AL1385)</f>
        <v/>
      </c>
      <c r="G1385" s="81" t="str">
        <f aca="false">IF('CARNET DE SOUDURE'!E1385="","",'CARNET DE SOUDURE'!AM1385)</f>
        <v/>
      </c>
      <c r="H1385" s="81" t="str">
        <f aca="false">IF(C1385="","",IF(G1385="ACCEPTÉ","OUI","NON"))</f>
        <v/>
      </c>
      <c r="I1385" s="82"/>
      <c r="J1385" s="79"/>
      <c r="K1385" s="80"/>
      <c r="L1385" s="80"/>
      <c r="M1385" s="80"/>
      <c r="N1385" s="83" t="str">
        <f aca="false">IF(C1385="","",IF(I1385="",IF(H1385="OUI","À ENROBER",IF(G1385="À SOUDER","NON SOUDÉ","EN ATTENTE RT")),IF(L1385="R","À REPRENDRE",IF(H1385&lt;&gt;"OUI","⚠ ENROBÉ AVANT ACCEPTATION RT","ENROBÉ"))))</f>
        <v/>
      </c>
      <c r="O1385" s="79"/>
    </row>
    <row r="1386" customFormat="false" ht="15" hidden="false" customHeight="false" outlineLevel="0" collapsed="false">
      <c r="A1386" s="78" t="str">
        <f aca="false">IF('CARNET DE SOUDURE'!E1386="","",'CARNET DE SOUDURE'!A1386)</f>
        <v/>
      </c>
      <c r="B1386" s="93" t="str">
        <f aca="false">IF('CARNET DE SOUDURE'!E1386="","",'CARNET DE SOUDURE'!B1386&amp;"")</f>
        <v/>
      </c>
      <c r="C1386" s="83" t="str">
        <f aca="false">IF('CARNET DE SOUDURE'!E1386="","",'CARNET DE SOUDURE'!E1386)</f>
        <v/>
      </c>
      <c r="D1386" s="78" t="str">
        <f aca="false">IF('CARNET DE SOUDURE'!E1386="","",'CARNET DE SOUDURE'!D1386&amp;"")</f>
        <v/>
      </c>
      <c r="E1386" s="96" t="str">
        <f aca="false">IF(OR('CARNET DE SOUDURE'!E1386="",'CARNET DE SOUDURE'!R1386=""),"",'CARNET DE SOUDURE'!R1386)</f>
        <v/>
      </c>
      <c r="F1386" s="81" t="str">
        <f aca="false">IF('CARNET DE SOUDURE'!E1386="","",'CARNET DE SOUDURE'!AL1386)</f>
        <v/>
      </c>
      <c r="G1386" s="81" t="str">
        <f aca="false">IF('CARNET DE SOUDURE'!E1386="","",'CARNET DE SOUDURE'!AM1386)</f>
        <v/>
      </c>
      <c r="H1386" s="81" t="str">
        <f aca="false">IF(C1386="","",IF(G1386="ACCEPTÉ","OUI","NON"))</f>
        <v/>
      </c>
      <c r="I1386" s="82"/>
      <c r="J1386" s="79"/>
      <c r="K1386" s="80"/>
      <c r="L1386" s="80"/>
      <c r="M1386" s="80"/>
      <c r="N1386" s="83" t="str">
        <f aca="false">IF(C1386="","",IF(I1386="",IF(H1386="OUI","À ENROBER",IF(G1386="À SOUDER","NON SOUDÉ","EN ATTENTE RT")),IF(L1386="R","À REPRENDRE",IF(H1386&lt;&gt;"OUI","⚠ ENROBÉ AVANT ACCEPTATION RT","ENROBÉ"))))</f>
        <v/>
      </c>
      <c r="O1386" s="79"/>
    </row>
    <row r="1387" customFormat="false" ht="15" hidden="false" customHeight="false" outlineLevel="0" collapsed="false">
      <c r="A1387" s="78" t="str">
        <f aca="false">IF('CARNET DE SOUDURE'!E1387="","",'CARNET DE SOUDURE'!A1387)</f>
        <v/>
      </c>
      <c r="B1387" s="93" t="str">
        <f aca="false">IF('CARNET DE SOUDURE'!E1387="","",'CARNET DE SOUDURE'!B1387&amp;"")</f>
        <v/>
      </c>
      <c r="C1387" s="83" t="str">
        <f aca="false">IF('CARNET DE SOUDURE'!E1387="","",'CARNET DE SOUDURE'!E1387)</f>
        <v/>
      </c>
      <c r="D1387" s="78" t="str">
        <f aca="false">IF('CARNET DE SOUDURE'!E1387="","",'CARNET DE SOUDURE'!D1387&amp;"")</f>
        <v/>
      </c>
      <c r="E1387" s="96" t="str">
        <f aca="false">IF(OR('CARNET DE SOUDURE'!E1387="",'CARNET DE SOUDURE'!R1387=""),"",'CARNET DE SOUDURE'!R1387)</f>
        <v/>
      </c>
      <c r="F1387" s="81" t="str">
        <f aca="false">IF('CARNET DE SOUDURE'!E1387="","",'CARNET DE SOUDURE'!AL1387)</f>
        <v/>
      </c>
      <c r="G1387" s="81" t="str">
        <f aca="false">IF('CARNET DE SOUDURE'!E1387="","",'CARNET DE SOUDURE'!AM1387)</f>
        <v/>
      </c>
      <c r="H1387" s="81" t="str">
        <f aca="false">IF(C1387="","",IF(G1387="ACCEPTÉ","OUI","NON"))</f>
        <v/>
      </c>
      <c r="I1387" s="82"/>
      <c r="J1387" s="79"/>
      <c r="K1387" s="80"/>
      <c r="L1387" s="80"/>
      <c r="M1387" s="80"/>
      <c r="N1387" s="83" t="str">
        <f aca="false">IF(C1387="","",IF(I1387="",IF(H1387="OUI","À ENROBER",IF(G1387="À SOUDER","NON SOUDÉ","EN ATTENTE RT")),IF(L1387="R","À REPRENDRE",IF(H1387&lt;&gt;"OUI","⚠ ENROBÉ AVANT ACCEPTATION RT","ENROBÉ"))))</f>
        <v/>
      </c>
      <c r="O1387" s="79"/>
    </row>
    <row r="1388" customFormat="false" ht="15" hidden="false" customHeight="false" outlineLevel="0" collapsed="false">
      <c r="A1388" s="78" t="str">
        <f aca="false">IF('CARNET DE SOUDURE'!E1388="","",'CARNET DE SOUDURE'!A1388)</f>
        <v/>
      </c>
      <c r="B1388" s="93" t="str">
        <f aca="false">IF('CARNET DE SOUDURE'!E1388="","",'CARNET DE SOUDURE'!B1388&amp;"")</f>
        <v/>
      </c>
      <c r="C1388" s="83" t="str">
        <f aca="false">IF('CARNET DE SOUDURE'!E1388="","",'CARNET DE SOUDURE'!E1388)</f>
        <v/>
      </c>
      <c r="D1388" s="78" t="str">
        <f aca="false">IF('CARNET DE SOUDURE'!E1388="","",'CARNET DE SOUDURE'!D1388&amp;"")</f>
        <v/>
      </c>
      <c r="E1388" s="96" t="str">
        <f aca="false">IF(OR('CARNET DE SOUDURE'!E1388="",'CARNET DE SOUDURE'!R1388=""),"",'CARNET DE SOUDURE'!R1388)</f>
        <v/>
      </c>
      <c r="F1388" s="81" t="str">
        <f aca="false">IF('CARNET DE SOUDURE'!E1388="","",'CARNET DE SOUDURE'!AL1388)</f>
        <v/>
      </c>
      <c r="G1388" s="81" t="str">
        <f aca="false">IF('CARNET DE SOUDURE'!E1388="","",'CARNET DE SOUDURE'!AM1388)</f>
        <v/>
      </c>
      <c r="H1388" s="81" t="str">
        <f aca="false">IF(C1388="","",IF(G1388="ACCEPTÉ","OUI","NON"))</f>
        <v/>
      </c>
      <c r="I1388" s="82"/>
      <c r="J1388" s="79"/>
      <c r="K1388" s="80"/>
      <c r="L1388" s="80"/>
      <c r="M1388" s="80"/>
      <c r="N1388" s="83" t="str">
        <f aca="false">IF(C1388="","",IF(I1388="",IF(H1388="OUI","À ENROBER",IF(G1388="À SOUDER","NON SOUDÉ","EN ATTENTE RT")),IF(L1388="R","À REPRENDRE",IF(H1388&lt;&gt;"OUI","⚠ ENROBÉ AVANT ACCEPTATION RT","ENROBÉ"))))</f>
        <v/>
      </c>
      <c r="O1388" s="79"/>
    </row>
    <row r="1389" customFormat="false" ht="15" hidden="false" customHeight="false" outlineLevel="0" collapsed="false">
      <c r="A1389" s="78" t="str">
        <f aca="false">IF('CARNET DE SOUDURE'!E1389="","",'CARNET DE SOUDURE'!A1389)</f>
        <v/>
      </c>
      <c r="B1389" s="93" t="str">
        <f aca="false">IF('CARNET DE SOUDURE'!E1389="","",'CARNET DE SOUDURE'!B1389&amp;"")</f>
        <v/>
      </c>
      <c r="C1389" s="83" t="str">
        <f aca="false">IF('CARNET DE SOUDURE'!E1389="","",'CARNET DE SOUDURE'!E1389)</f>
        <v/>
      </c>
      <c r="D1389" s="78" t="str">
        <f aca="false">IF('CARNET DE SOUDURE'!E1389="","",'CARNET DE SOUDURE'!D1389&amp;"")</f>
        <v/>
      </c>
      <c r="E1389" s="96" t="str">
        <f aca="false">IF(OR('CARNET DE SOUDURE'!E1389="",'CARNET DE SOUDURE'!R1389=""),"",'CARNET DE SOUDURE'!R1389)</f>
        <v/>
      </c>
      <c r="F1389" s="81" t="str">
        <f aca="false">IF('CARNET DE SOUDURE'!E1389="","",'CARNET DE SOUDURE'!AL1389)</f>
        <v/>
      </c>
      <c r="G1389" s="81" t="str">
        <f aca="false">IF('CARNET DE SOUDURE'!E1389="","",'CARNET DE SOUDURE'!AM1389)</f>
        <v/>
      </c>
      <c r="H1389" s="81" t="str">
        <f aca="false">IF(C1389="","",IF(G1389="ACCEPTÉ","OUI","NON"))</f>
        <v/>
      </c>
      <c r="I1389" s="82"/>
      <c r="J1389" s="79"/>
      <c r="K1389" s="80"/>
      <c r="L1389" s="80"/>
      <c r="M1389" s="80"/>
      <c r="N1389" s="83" t="str">
        <f aca="false">IF(C1389="","",IF(I1389="",IF(H1389="OUI","À ENROBER",IF(G1389="À SOUDER","NON SOUDÉ","EN ATTENTE RT")),IF(L1389="R","À REPRENDRE",IF(H1389&lt;&gt;"OUI","⚠ ENROBÉ AVANT ACCEPTATION RT","ENROBÉ"))))</f>
        <v/>
      </c>
      <c r="O1389" s="79"/>
    </row>
    <row r="1390" customFormat="false" ht="15" hidden="false" customHeight="false" outlineLevel="0" collapsed="false">
      <c r="A1390" s="78" t="str">
        <f aca="false">IF('CARNET DE SOUDURE'!E1390="","",'CARNET DE SOUDURE'!A1390)</f>
        <v/>
      </c>
      <c r="B1390" s="93" t="str">
        <f aca="false">IF('CARNET DE SOUDURE'!E1390="","",'CARNET DE SOUDURE'!B1390&amp;"")</f>
        <v/>
      </c>
      <c r="C1390" s="83" t="str">
        <f aca="false">IF('CARNET DE SOUDURE'!E1390="","",'CARNET DE SOUDURE'!E1390)</f>
        <v/>
      </c>
      <c r="D1390" s="78" t="str">
        <f aca="false">IF('CARNET DE SOUDURE'!E1390="","",'CARNET DE SOUDURE'!D1390&amp;"")</f>
        <v/>
      </c>
      <c r="E1390" s="96" t="str">
        <f aca="false">IF(OR('CARNET DE SOUDURE'!E1390="",'CARNET DE SOUDURE'!R1390=""),"",'CARNET DE SOUDURE'!R1390)</f>
        <v/>
      </c>
      <c r="F1390" s="81" t="str">
        <f aca="false">IF('CARNET DE SOUDURE'!E1390="","",'CARNET DE SOUDURE'!AL1390)</f>
        <v/>
      </c>
      <c r="G1390" s="81" t="str">
        <f aca="false">IF('CARNET DE SOUDURE'!E1390="","",'CARNET DE SOUDURE'!AM1390)</f>
        <v/>
      </c>
      <c r="H1390" s="81" t="str">
        <f aca="false">IF(C1390="","",IF(G1390="ACCEPTÉ","OUI","NON"))</f>
        <v/>
      </c>
      <c r="I1390" s="82"/>
      <c r="J1390" s="79"/>
      <c r="K1390" s="80"/>
      <c r="L1390" s="80"/>
      <c r="M1390" s="80"/>
      <c r="N1390" s="83" t="str">
        <f aca="false">IF(C1390="","",IF(I1390="",IF(H1390="OUI","À ENROBER",IF(G1390="À SOUDER","NON SOUDÉ","EN ATTENTE RT")),IF(L1390="R","À REPRENDRE",IF(H1390&lt;&gt;"OUI","⚠ ENROBÉ AVANT ACCEPTATION RT","ENROBÉ"))))</f>
        <v/>
      </c>
      <c r="O1390" s="79"/>
    </row>
    <row r="1391" customFormat="false" ht="15" hidden="false" customHeight="false" outlineLevel="0" collapsed="false">
      <c r="A1391" s="78" t="str">
        <f aca="false">IF('CARNET DE SOUDURE'!E1391="","",'CARNET DE SOUDURE'!A1391)</f>
        <v/>
      </c>
      <c r="B1391" s="93" t="str">
        <f aca="false">IF('CARNET DE SOUDURE'!E1391="","",'CARNET DE SOUDURE'!B1391&amp;"")</f>
        <v/>
      </c>
      <c r="C1391" s="83" t="str">
        <f aca="false">IF('CARNET DE SOUDURE'!E1391="","",'CARNET DE SOUDURE'!E1391)</f>
        <v/>
      </c>
      <c r="D1391" s="78" t="str">
        <f aca="false">IF('CARNET DE SOUDURE'!E1391="","",'CARNET DE SOUDURE'!D1391&amp;"")</f>
        <v/>
      </c>
      <c r="E1391" s="96" t="str">
        <f aca="false">IF(OR('CARNET DE SOUDURE'!E1391="",'CARNET DE SOUDURE'!R1391=""),"",'CARNET DE SOUDURE'!R1391)</f>
        <v/>
      </c>
      <c r="F1391" s="81" t="str">
        <f aca="false">IF('CARNET DE SOUDURE'!E1391="","",'CARNET DE SOUDURE'!AL1391)</f>
        <v/>
      </c>
      <c r="G1391" s="81" t="str">
        <f aca="false">IF('CARNET DE SOUDURE'!E1391="","",'CARNET DE SOUDURE'!AM1391)</f>
        <v/>
      </c>
      <c r="H1391" s="81" t="str">
        <f aca="false">IF(C1391="","",IF(G1391="ACCEPTÉ","OUI","NON"))</f>
        <v/>
      </c>
      <c r="I1391" s="82"/>
      <c r="J1391" s="79"/>
      <c r="K1391" s="80"/>
      <c r="L1391" s="80"/>
      <c r="M1391" s="80"/>
      <c r="N1391" s="83" t="str">
        <f aca="false">IF(C1391="","",IF(I1391="",IF(H1391="OUI","À ENROBER",IF(G1391="À SOUDER","NON SOUDÉ","EN ATTENTE RT")),IF(L1391="R","À REPRENDRE",IF(H1391&lt;&gt;"OUI","⚠ ENROBÉ AVANT ACCEPTATION RT","ENROBÉ"))))</f>
        <v/>
      </c>
      <c r="O1391" s="79"/>
    </row>
    <row r="1392" customFormat="false" ht="15" hidden="false" customHeight="false" outlineLevel="0" collapsed="false">
      <c r="A1392" s="78" t="str">
        <f aca="false">IF('CARNET DE SOUDURE'!E1392="","",'CARNET DE SOUDURE'!A1392)</f>
        <v/>
      </c>
      <c r="B1392" s="93" t="str">
        <f aca="false">IF('CARNET DE SOUDURE'!E1392="","",'CARNET DE SOUDURE'!B1392&amp;"")</f>
        <v/>
      </c>
      <c r="C1392" s="83" t="str">
        <f aca="false">IF('CARNET DE SOUDURE'!E1392="","",'CARNET DE SOUDURE'!E1392)</f>
        <v/>
      </c>
      <c r="D1392" s="78" t="str">
        <f aca="false">IF('CARNET DE SOUDURE'!E1392="","",'CARNET DE SOUDURE'!D1392&amp;"")</f>
        <v/>
      </c>
      <c r="E1392" s="96" t="str">
        <f aca="false">IF(OR('CARNET DE SOUDURE'!E1392="",'CARNET DE SOUDURE'!R1392=""),"",'CARNET DE SOUDURE'!R1392)</f>
        <v/>
      </c>
      <c r="F1392" s="81" t="str">
        <f aca="false">IF('CARNET DE SOUDURE'!E1392="","",'CARNET DE SOUDURE'!AL1392)</f>
        <v/>
      </c>
      <c r="G1392" s="81" t="str">
        <f aca="false">IF('CARNET DE SOUDURE'!E1392="","",'CARNET DE SOUDURE'!AM1392)</f>
        <v/>
      </c>
      <c r="H1392" s="81" t="str">
        <f aca="false">IF(C1392="","",IF(G1392="ACCEPTÉ","OUI","NON"))</f>
        <v/>
      </c>
      <c r="I1392" s="82"/>
      <c r="J1392" s="79"/>
      <c r="K1392" s="80"/>
      <c r="L1392" s="80"/>
      <c r="M1392" s="80"/>
      <c r="N1392" s="83" t="str">
        <f aca="false">IF(C1392="","",IF(I1392="",IF(H1392="OUI","À ENROBER",IF(G1392="À SOUDER","NON SOUDÉ","EN ATTENTE RT")),IF(L1392="R","À REPRENDRE",IF(H1392&lt;&gt;"OUI","⚠ ENROBÉ AVANT ACCEPTATION RT","ENROBÉ"))))</f>
        <v/>
      </c>
      <c r="O1392" s="79"/>
    </row>
    <row r="1393" customFormat="false" ht="15" hidden="false" customHeight="false" outlineLevel="0" collapsed="false">
      <c r="A1393" s="78" t="str">
        <f aca="false">IF('CARNET DE SOUDURE'!E1393="","",'CARNET DE SOUDURE'!A1393)</f>
        <v/>
      </c>
      <c r="B1393" s="93" t="str">
        <f aca="false">IF('CARNET DE SOUDURE'!E1393="","",'CARNET DE SOUDURE'!B1393&amp;"")</f>
        <v/>
      </c>
      <c r="C1393" s="83" t="str">
        <f aca="false">IF('CARNET DE SOUDURE'!E1393="","",'CARNET DE SOUDURE'!E1393)</f>
        <v/>
      </c>
      <c r="D1393" s="78" t="str">
        <f aca="false">IF('CARNET DE SOUDURE'!E1393="","",'CARNET DE SOUDURE'!D1393&amp;"")</f>
        <v/>
      </c>
      <c r="E1393" s="96" t="str">
        <f aca="false">IF(OR('CARNET DE SOUDURE'!E1393="",'CARNET DE SOUDURE'!R1393=""),"",'CARNET DE SOUDURE'!R1393)</f>
        <v/>
      </c>
      <c r="F1393" s="81" t="str">
        <f aca="false">IF('CARNET DE SOUDURE'!E1393="","",'CARNET DE SOUDURE'!AL1393)</f>
        <v/>
      </c>
      <c r="G1393" s="81" t="str">
        <f aca="false">IF('CARNET DE SOUDURE'!E1393="","",'CARNET DE SOUDURE'!AM1393)</f>
        <v/>
      </c>
      <c r="H1393" s="81" t="str">
        <f aca="false">IF(C1393="","",IF(G1393="ACCEPTÉ","OUI","NON"))</f>
        <v/>
      </c>
      <c r="I1393" s="82"/>
      <c r="J1393" s="79"/>
      <c r="K1393" s="80"/>
      <c r="L1393" s="80"/>
      <c r="M1393" s="80"/>
      <c r="N1393" s="83" t="str">
        <f aca="false">IF(C1393="","",IF(I1393="",IF(H1393="OUI","À ENROBER",IF(G1393="À SOUDER","NON SOUDÉ","EN ATTENTE RT")),IF(L1393="R","À REPRENDRE",IF(H1393&lt;&gt;"OUI","⚠ ENROBÉ AVANT ACCEPTATION RT","ENROBÉ"))))</f>
        <v/>
      </c>
      <c r="O1393" s="79"/>
    </row>
    <row r="1394" customFormat="false" ht="15" hidden="false" customHeight="false" outlineLevel="0" collapsed="false">
      <c r="A1394" s="78" t="str">
        <f aca="false">IF('CARNET DE SOUDURE'!E1394="","",'CARNET DE SOUDURE'!A1394)</f>
        <v/>
      </c>
      <c r="B1394" s="93" t="str">
        <f aca="false">IF('CARNET DE SOUDURE'!E1394="","",'CARNET DE SOUDURE'!B1394&amp;"")</f>
        <v/>
      </c>
      <c r="C1394" s="83" t="str">
        <f aca="false">IF('CARNET DE SOUDURE'!E1394="","",'CARNET DE SOUDURE'!E1394)</f>
        <v/>
      </c>
      <c r="D1394" s="78" t="str">
        <f aca="false">IF('CARNET DE SOUDURE'!E1394="","",'CARNET DE SOUDURE'!D1394&amp;"")</f>
        <v/>
      </c>
      <c r="E1394" s="96" t="str">
        <f aca="false">IF(OR('CARNET DE SOUDURE'!E1394="",'CARNET DE SOUDURE'!R1394=""),"",'CARNET DE SOUDURE'!R1394)</f>
        <v/>
      </c>
      <c r="F1394" s="81" t="str">
        <f aca="false">IF('CARNET DE SOUDURE'!E1394="","",'CARNET DE SOUDURE'!AL1394)</f>
        <v/>
      </c>
      <c r="G1394" s="81" t="str">
        <f aca="false">IF('CARNET DE SOUDURE'!E1394="","",'CARNET DE SOUDURE'!AM1394)</f>
        <v/>
      </c>
      <c r="H1394" s="81" t="str">
        <f aca="false">IF(C1394="","",IF(G1394="ACCEPTÉ","OUI","NON"))</f>
        <v/>
      </c>
      <c r="I1394" s="82"/>
      <c r="J1394" s="79"/>
      <c r="K1394" s="80"/>
      <c r="L1394" s="80"/>
      <c r="M1394" s="80"/>
      <c r="N1394" s="83" t="str">
        <f aca="false">IF(C1394="","",IF(I1394="",IF(H1394="OUI","À ENROBER",IF(G1394="À SOUDER","NON SOUDÉ","EN ATTENTE RT")),IF(L1394="R","À REPRENDRE",IF(H1394&lt;&gt;"OUI","⚠ ENROBÉ AVANT ACCEPTATION RT","ENROBÉ"))))</f>
        <v/>
      </c>
      <c r="O1394" s="79"/>
    </row>
    <row r="1395" customFormat="false" ht="15" hidden="false" customHeight="false" outlineLevel="0" collapsed="false">
      <c r="A1395" s="78" t="str">
        <f aca="false">IF('CARNET DE SOUDURE'!E1395="","",'CARNET DE SOUDURE'!A1395)</f>
        <v/>
      </c>
      <c r="B1395" s="93" t="str">
        <f aca="false">IF('CARNET DE SOUDURE'!E1395="","",'CARNET DE SOUDURE'!B1395&amp;"")</f>
        <v/>
      </c>
      <c r="C1395" s="83" t="str">
        <f aca="false">IF('CARNET DE SOUDURE'!E1395="","",'CARNET DE SOUDURE'!E1395)</f>
        <v/>
      </c>
      <c r="D1395" s="78" t="str">
        <f aca="false">IF('CARNET DE SOUDURE'!E1395="","",'CARNET DE SOUDURE'!D1395&amp;"")</f>
        <v/>
      </c>
      <c r="E1395" s="96" t="str">
        <f aca="false">IF(OR('CARNET DE SOUDURE'!E1395="",'CARNET DE SOUDURE'!R1395=""),"",'CARNET DE SOUDURE'!R1395)</f>
        <v/>
      </c>
      <c r="F1395" s="81" t="str">
        <f aca="false">IF('CARNET DE SOUDURE'!E1395="","",'CARNET DE SOUDURE'!AL1395)</f>
        <v/>
      </c>
      <c r="G1395" s="81" t="str">
        <f aca="false">IF('CARNET DE SOUDURE'!E1395="","",'CARNET DE SOUDURE'!AM1395)</f>
        <v/>
      </c>
      <c r="H1395" s="81" t="str">
        <f aca="false">IF(C1395="","",IF(G1395="ACCEPTÉ","OUI","NON"))</f>
        <v/>
      </c>
      <c r="I1395" s="82"/>
      <c r="J1395" s="79"/>
      <c r="K1395" s="80"/>
      <c r="L1395" s="80"/>
      <c r="M1395" s="80"/>
      <c r="N1395" s="83" t="str">
        <f aca="false">IF(C1395="","",IF(I1395="",IF(H1395="OUI","À ENROBER",IF(G1395="À SOUDER","NON SOUDÉ","EN ATTENTE RT")),IF(L1395="R","À REPRENDRE",IF(H1395&lt;&gt;"OUI","⚠ ENROBÉ AVANT ACCEPTATION RT","ENROBÉ"))))</f>
        <v/>
      </c>
      <c r="O1395" s="79"/>
    </row>
    <row r="1396" customFormat="false" ht="15" hidden="false" customHeight="false" outlineLevel="0" collapsed="false">
      <c r="A1396" s="78" t="str">
        <f aca="false">IF('CARNET DE SOUDURE'!E1396="","",'CARNET DE SOUDURE'!A1396)</f>
        <v/>
      </c>
      <c r="B1396" s="93" t="str">
        <f aca="false">IF('CARNET DE SOUDURE'!E1396="","",'CARNET DE SOUDURE'!B1396&amp;"")</f>
        <v/>
      </c>
      <c r="C1396" s="83" t="str">
        <f aca="false">IF('CARNET DE SOUDURE'!E1396="","",'CARNET DE SOUDURE'!E1396)</f>
        <v/>
      </c>
      <c r="D1396" s="78" t="str">
        <f aca="false">IF('CARNET DE SOUDURE'!E1396="","",'CARNET DE SOUDURE'!D1396&amp;"")</f>
        <v/>
      </c>
      <c r="E1396" s="96" t="str">
        <f aca="false">IF(OR('CARNET DE SOUDURE'!E1396="",'CARNET DE SOUDURE'!R1396=""),"",'CARNET DE SOUDURE'!R1396)</f>
        <v/>
      </c>
      <c r="F1396" s="81" t="str">
        <f aca="false">IF('CARNET DE SOUDURE'!E1396="","",'CARNET DE SOUDURE'!AL1396)</f>
        <v/>
      </c>
      <c r="G1396" s="81" t="str">
        <f aca="false">IF('CARNET DE SOUDURE'!E1396="","",'CARNET DE SOUDURE'!AM1396)</f>
        <v/>
      </c>
      <c r="H1396" s="81" t="str">
        <f aca="false">IF(C1396="","",IF(G1396="ACCEPTÉ","OUI","NON"))</f>
        <v/>
      </c>
      <c r="I1396" s="82"/>
      <c r="J1396" s="79"/>
      <c r="K1396" s="80"/>
      <c r="L1396" s="80"/>
      <c r="M1396" s="80"/>
      <c r="N1396" s="83" t="str">
        <f aca="false">IF(C1396="","",IF(I1396="",IF(H1396="OUI","À ENROBER",IF(G1396="À SOUDER","NON SOUDÉ","EN ATTENTE RT")),IF(L1396="R","À REPRENDRE",IF(H1396&lt;&gt;"OUI","⚠ ENROBÉ AVANT ACCEPTATION RT","ENROBÉ"))))</f>
        <v/>
      </c>
      <c r="O1396" s="79"/>
    </row>
    <row r="1397" customFormat="false" ht="15" hidden="false" customHeight="false" outlineLevel="0" collapsed="false">
      <c r="A1397" s="78" t="str">
        <f aca="false">IF('CARNET DE SOUDURE'!E1397="","",'CARNET DE SOUDURE'!A1397)</f>
        <v/>
      </c>
      <c r="B1397" s="93" t="str">
        <f aca="false">IF('CARNET DE SOUDURE'!E1397="","",'CARNET DE SOUDURE'!B1397&amp;"")</f>
        <v/>
      </c>
      <c r="C1397" s="83" t="str">
        <f aca="false">IF('CARNET DE SOUDURE'!E1397="","",'CARNET DE SOUDURE'!E1397)</f>
        <v/>
      </c>
      <c r="D1397" s="78" t="str">
        <f aca="false">IF('CARNET DE SOUDURE'!E1397="","",'CARNET DE SOUDURE'!D1397&amp;"")</f>
        <v/>
      </c>
      <c r="E1397" s="96" t="str">
        <f aca="false">IF(OR('CARNET DE SOUDURE'!E1397="",'CARNET DE SOUDURE'!R1397=""),"",'CARNET DE SOUDURE'!R1397)</f>
        <v/>
      </c>
      <c r="F1397" s="81" t="str">
        <f aca="false">IF('CARNET DE SOUDURE'!E1397="","",'CARNET DE SOUDURE'!AL1397)</f>
        <v/>
      </c>
      <c r="G1397" s="81" t="str">
        <f aca="false">IF('CARNET DE SOUDURE'!E1397="","",'CARNET DE SOUDURE'!AM1397)</f>
        <v/>
      </c>
      <c r="H1397" s="81" t="str">
        <f aca="false">IF(C1397="","",IF(G1397="ACCEPTÉ","OUI","NON"))</f>
        <v/>
      </c>
      <c r="I1397" s="82"/>
      <c r="J1397" s="79"/>
      <c r="K1397" s="80"/>
      <c r="L1397" s="80"/>
      <c r="M1397" s="80"/>
      <c r="N1397" s="83" t="str">
        <f aca="false">IF(C1397="","",IF(I1397="",IF(H1397="OUI","À ENROBER",IF(G1397="À SOUDER","NON SOUDÉ","EN ATTENTE RT")),IF(L1397="R","À REPRENDRE",IF(H1397&lt;&gt;"OUI","⚠ ENROBÉ AVANT ACCEPTATION RT","ENROBÉ"))))</f>
        <v/>
      </c>
      <c r="O1397" s="79"/>
    </row>
    <row r="1398" customFormat="false" ht="15" hidden="false" customHeight="false" outlineLevel="0" collapsed="false">
      <c r="A1398" s="78" t="str">
        <f aca="false">IF('CARNET DE SOUDURE'!E1398="","",'CARNET DE SOUDURE'!A1398)</f>
        <v/>
      </c>
      <c r="B1398" s="93" t="str">
        <f aca="false">IF('CARNET DE SOUDURE'!E1398="","",'CARNET DE SOUDURE'!B1398&amp;"")</f>
        <v/>
      </c>
      <c r="C1398" s="83" t="str">
        <f aca="false">IF('CARNET DE SOUDURE'!E1398="","",'CARNET DE SOUDURE'!E1398)</f>
        <v/>
      </c>
      <c r="D1398" s="78" t="str">
        <f aca="false">IF('CARNET DE SOUDURE'!E1398="","",'CARNET DE SOUDURE'!D1398&amp;"")</f>
        <v/>
      </c>
      <c r="E1398" s="96" t="str">
        <f aca="false">IF(OR('CARNET DE SOUDURE'!E1398="",'CARNET DE SOUDURE'!R1398=""),"",'CARNET DE SOUDURE'!R1398)</f>
        <v/>
      </c>
      <c r="F1398" s="81" t="str">
        <f aca="false">IF('CARNET DE SOUDURE'!E1398="","",'CARNET DE SOUDURE'!AL1398)</f>
        <v/>
      </c>
      <c r="G1398" s="81" t="str">
        <f aca="false">IF('CARNET DE SOUDURE'!E1398="","",'CARNET DE SOUDURE'!AM1398)</f>
        <v/>
      </c>
      <c r="H1398" s="81" t="str">
        <f aca="false">IF(C1398="","",IF(G1398="ACCEPTÉ","OUI","NON"))</f>
        <v/>
      </c>
      <c r="I1398" s="82"/>
      <c r="J1398" s="79"/>
      <c r="K1398" s="80"/>
      <c r="L1398" s="80"/>
      <c r="M1398" s="80"/>
      <c r="N1398" s="83" t="str">
        <f aca="false">IF(C1398="","",IF(I1398="",IF(H1398="OUI","À ENROBER",IF(G1398="À SOUDER","NON SOUDÉ","EN ATTENTE RT")),IF(L1398="R","À REPRENDRE",IF(H1398&lt;&gt;"OUI","⚠ ENROBÉ AVANT ACCEPTATION RT","ENROBÉ"))))</f>
        <v/>
      </c>
      <c r="O1398" s="79"/>
    </row>
    <row r="1399" customFormat="false" ht="15" hidden="false" customHeight="false" outlineLevel="0" collapsed="false">
      <c r="A1399" s="78" t="str">
        <f aca="false">IF('CARNET DE SOUDURE'!E1399="","",'CARNET DE SOUDURE'!A1399)</f>
        <v/>
      </c>
      <c r="B1399" s="93" t="str">
        <f aca="false">IF('CARNET DE SOUDURE'!E1399="","",'CARNET DE SOUDURE'!B1399&amp;"")</f>
        <v/>
      </c>
      <c r="C1399" s="83" t="str">
        <f aca="false">IF('CARNET DE SOUDURE'!E1399="","",'CARNET DE SOUDURE'!E1399)</f>
        <v/>
      </c>
      <c r="D1399" s="78" t="str">
        <f aca="false">IF('CARNET DE SOUDURE'!E1399="","",'CARNET DE SOUDURE'!D1399&amp;"")</f>
        <v/>
      </c>
      <c r="E1399" s="96" t="str">
        <f aca="false">IF(OR('CARNET DE SOUDURE'!E1399="",'CARNET DE SOUDURE'!R1399=""),"",'CARNET DE SOUDURE'!R1399)</f>
        <v/>
      </c>
      <c r="F1399" s="81" t="str">
        <f aca="false">IF('CARNET DE SOUDURE'!E1399="","",'CARNET DE SOUDURE'!AL1399)</f>
        <v/>
      </c>
      <c r="G1399" s="81" t="str">
        <f aca="false">IF('CARNET DE SOUDURE'!E1399="","",'CARNET DE SOUDURE'!AM1399)</f>
        <v/>
      </c>
      <c r="H1399" s="81" t="str">
        <f aca="false">IF(C1399="","",IF(G1399="ACCEPTÉ","OUI","NON"))</f>
        <v/>
      </c>
      <c r="I1399" s="82"/>
      <c r="J1399" s="79"/>
      <c r="K1399" s="80"/>
      <c r="L1399" s="80"/>
      <c r="M1399" s="80"/>
      <c r="N1399" s="83" t="str">
        <f aca="false">IF(C1399="","",IF(I1399="",IF(H1399="OUI","À ENROBER",IF(G1399="À SOUDER","NON SOUDÉ","EN ATTENTE RT")),IF(L1399="R","À REPRENDRE",IF(H1399&lt;&gt;"OUI","⚠ ENROBÉ AVANT ACCEPTATION RT","ENROBÉ"))))</f>
        <v/>
      </c>
      <c r="O1399" s="79"/>
    </row>
    <row r="1400" customFormat="false" ht="15" hidden="false" customHeight="false" outlineLevel="0" collapsed="false">
      <c r="A1400" s="78" t="str">
        <f aca="false">IF('CARNET DE SOUDURE'!E1400="","",'CARNET DE SOUDURE'!A1400)</f>
        <v/>
      </c>
      <c r="B1400" s="93" t="str">
        <f aca="false">IF('CARNET DE SOUDURE'!E1400="","",'CARNET DE SOUDURE'!B1400&amp;"")</f>
        <v/>
      </c>
      <c r="C1400" s="83" t="str">
        <f aca="false">IF('CARNET DE SOUDURE'!E1400="","",'CARNET DE SOUDURE'!E1400)</f>
        <v/>
      </c>
      <c r="D1400" s="78" t="str">
        <f aca="false">IF('CARNET DE SOUDURE'!E1400="","",'CARNET DE SOUDURE'!D1400&amp;"")</f>
        <v/>
      </c>
      <c r="E1400" s="96" t="str">
        <f aca="false">IF(OR('CARNET DE SOUDURE'!E1400="",'CARNET DE SOUDURE'!R1400=""),"",'CARNET DE SOUDURE'!R1400)</f>
        <v/>
      </c>
      <c r="F1400" s="81" t="str">
        <f aca="false">IF('CARNET DE SOUDURE'!E1400="","",'CARNET DE SOUDURE'!AL1400)</f>
        <v/>
      </c>
      <c r="G1400" s="81" t="str">
        <f aca="false">IF('CARNET DE SOUDURE'!E1400="","",'CARNET DE SOUDURE'!AM1400)</f>
        <v/>
      </c>
      <c r="H1400" s="81" t="str">
        <f aca="false">IF(C1400="","",IF(G1400="ACCEPTÉ","OUI","NON"))</f>
        <v/>
      </c>
      <c r="I1400" s="82"/>
      <c r="J1400" s="79"/>
      <c r="K1400" s="80"/>
      <c r="L1400" s="80"/>
      <c r="M1400" s="80"/>
      <c r="N1400" s="83" t="str">
        <f aca="false">IF(C1400="","",IF(I1400="",IF(H1400="OUI","À ENROBER",IF(G1400="À SOUDER","NON SOUDÉ","EN ATTENTE RT")),IF(L1400="R","À REPRENDRE",IF(H1400&lt;&gt;"OUI","⚠ ENROBÉ AVANT ACCEPTATION RT","ENROBÉ"))))</f>
        <v/>
      </c>
      <c r="O1400" s="79"/>
    </row>
    <row r="1401" customFormat="false" ht="15" hidden="false" customHeight="false" outlineLevel="0" collapsed="false">
      <c r="A1401" s="78" t="str">
        <f aca="false">IF('CARNET DE SOUDURE'!E1401="","",'CARNET DE SOUDURE'!A1401)</f>
        <v/>
      </c>
      <c r="B1401" s="93" t="str">
        <f aca="false">IF('CARNET DE SOUDURE'!E1401="","",'CARNET DE SOUDURE'!B1401&amp;"")</f>
        <v/>
      </c>
      <c r="C1401" s="83" t="str">
        <f aca="false">IF('CARNET DE SOUDURE'!E1401="","",'CARNET DE SOUDURE'!E1401)</f>
        <v/>
      </c>
      <c r="D1401" s="78" t="str">
        <f aca="false">IF('CARNET DE SOUDURE'!E1401="","",'CARNET DE SOUDURE'!D1401&amp;"")</f>
        <v/>
      </c>
      <c r="E1401" s="96" t="str">
        <f aca="false">IF(OR('CARNET DE SOUDURE'!E1401="",'CARNET DE SOUDURE'!R1401=""),"",'CARNET DE SOUDURE'!R1401)</f>
        <v/>
      </c>
      <c r="F1401" s="81" t="str">
        <f aca="false">IF('CARNET DE SOUDURE'!E1401="","",'CARNET DE SOUDURE'!AL1401)</f>
        <v/>
      </c>
      <c r="G1401" s="81" t="str">
        <f aca="false">IF('CARNET DE SOUDURE'!E1401="","",'CARNET DE SOUDURE'!AM1401)</f>
        <v/>
      </c>
      <c r="H1401" s="81" t="str">
        <f aca="false">IF(C1401="","",IF(G1401="ACCEPTÉ","OUI","NON"))</f>
        <v/>
      </c>
      <c r="I1401" s="82"/>
      <c r="J1401" s="79"/>
      <c r="K1401" s="80"/>
      <c r="L1401" s="80"/>
      <c r="M1401" s="80"/>
      <c r="N1401" s="83" t="str">
        <f aca="false">IF(C1401="","",IF(I1401="",IF(H1401="OUI","À ENROBER",IF(G1401="À SOUDER","NON SOUDÉ","EN ATTENTE RT")),IF(L1401="R","À REPRENDRE",IF(H1401&lt;&gt;"OUI","⚠ ENROBÉ AVANT ACCEPTATION RT","ENROBÉ"))))</f>
        <v/>
      </c>
      <c r="O1401" s="79"/>
    </row>
    <row r="1402" customFormat="false" ht="15" hidden="false" customHeight="false" outlineLevel="0" collapsed="false">
      <c r="A1402" s="78" t="str">
        <f aca="false">IF('CARNET DE SOUDURE'!E1402="","",'CARNET DE SOUDURE'!A1402)</f>
        <v/>
      </c>
      <c r="B1402" s="93" t="str">
        <f aca="false">IF('CARNET DE SOUDURE'!E1402="","",'CARNET DE SOUDURE'!B1402&amp;"")</f>
        <v/>
      </c>
      <c r="C1402" s="83" t="str">
        <f aca="false">IF('CARNET DE SOUDURE'!E1402="","",'CARNET DE SOUDURE'!E1402)</f>
        <v/>
      </c>
      <c r="D1402" s="78" t="str">
        <f aca="false">IF('CARNET DE SOUDURE'!E1402="","",'CARNET DE SOUDURE'!D1402&amp;"")</f>
        <v/>
      </c>
      <c r="E1402" s="96" t="str">
        <f aca="false">IF(OR('CARNET DE SOUDURE'!E1402="",'CARNET DE SOUDURE'!R1402=""),"",'CARNET DE SOUDURE'!R1402)</f>
        <v/>
      </c>
      <c r="F1402" s="81" t="str">
        <f aca="false">IF('CARNET DE SOUDURE'!E1402="","",'CARNET DE SOUDURE'!AL1402)</f>
        <v/>
      </c>
      <c r="G1402" s="81" t="str">
        <f aca="false">IF('CARNET DE SOUDURE'!E1402="","",'CARNET DE SOUDURE'!AM1402)</f>
        <v/>
      </c>
      <c r="H1402" s="81" t="str">
        <f aca="false">IF(C1402="","",IF(G1402="ACCEPTÉ","OUI","NON"))</f>
        <v/>
      </c>
      <c r="I1402" s="82"/>
      <c r="J1402" s="79"/>
      <c r="K1402" s="80"/>
      <c r="L1402" s="80"/>
      <c r="M1402" s="80"/>
      <c r="N1402" s="83" t="str">
        <f aca="false">IF(C1402="","",IF(I1402="",IF(H1402="OUI","À ENROBER",IF(G1402="À SOUDER","NON SOUDÉ","EN ATTENTE RT")),IF(L1402="R","À REPRENDRE",IF(H1402&lt;&gt;"OUI","⚠ ENROBÉ AVANT ACCEPTATION RT","ENROBÉ"))))</f>
        <v/>
      </c>
      <c r="O1402" s="79"/>
    </row>
    <row r="1403" customFormat="false" ht="15" hidden="false" customHeight="false" outlineLevel="0" collapsed="false">
      <c r="A1403" s="78" t="str">
        <f aca="false">IF('CARNET DE SOUDURE'!E1403="","",'CARNET DE SOUDURE'!A1403)</f>
        <v/>
      </c>
      <c r="B1403" s="93" t="str">
        <f aca="false">IF('CARNET DE SOUDURE'!E1403="","",'CARNET DE SOUDURE'!B1403&amp;"")</f>
        <v/>
      </c>
      <c r="C1403" s="83" t="str">
        <f aca="false">IF('CARNET DE SOUDURE'!E1403="","",'CARNET DE SOUDURE'!E1403)</f>
        <v/>
      </c>
      <c r="D1403" s="78" t="str">
        <f aca="false">IF('CARNET DE SOUDURE'!E1403="","",'CARNET DE SOUDURE'!D1403&amp;"")</f>
        <v/>
      </c>
      <c r="E1403" s="96" t="str">
        <f aca="false">IF(OR('CARNET DE SOUDURE'!E1403="",'CARNET DE SOUDURE'!R1403=""),"",'CARNET DE SOUDURE'!R1403)</f>
        <v/>
      </c>
      <c r="F1403" s="81" t="str">
        <f aca="false">IF('CARNET DE SOUDURE'!E1403="","",'CARNET DE SOUDURE'!AL1403)</f>
        <v/>
      </c>
      <c r="G1403" s="81" t="str">
        <f aca="false">IF('CARNET DE SOUDURE'!E1403="","",'CARNET DE SOUDURE'!AM1403)</f>
        <v/>
      </c>
      <c r="H1403" s="81" t="str">
        <f aca="false">IF(C1403="","",IF(G1403="ACCEPTÉ","OUI","NON"))</f>
        <v/>
      </c>
      <c r="I1403" s="82"/>
      <c r="J1403" s="79"/>
      <c r="K1403" s="80"/>
      <c r="L1403" s="80"/>
      <c r="M1403" s="80"/>
      <c r="N1403" s="83" t="str">
        <f aca="false">IF(C1403="","",IF(I1403="",IF(H1403="OUI","À ENROBER",IF(G1403="À SOUDER","NON SOUDÉ","EN ATTENTE RT")),IF(L1403="R","À REPRENDRE",IF(H1403&lt;&gt;"OUI","⚠ ENROBÉ AVANT ACCEPTATION RT","ENROBÉ"))))</f>
        <v/>
      </c>
      <c r="O1403" s="79"/>
    </row>
    <row r="1404" customFormat="false" ht="15" hidden="false" customHeight="false" outlineLevel="0" collapsed="false">
      <c r="A1404" s="78" t="str">
        <f aca="false">IF('CARNET DE SOUDURE'!E1404="","",'CARNET DE SOUDURE'!A1404)</f>
        <v/>
      </c>
      <c r="B1404" s="93" t="str">
        <f aca="false">IF('CARNET DE SOUDURE'!E1404="","",'CARNET DE SOUDURE'!B1404&amp;"")</f>
        <v/>
      </c>
      <c r="C1404" s="83" t="str">
        <f aca="false">IF('CARNET DE SOUDURE'!E1404="","",'CARNET DE SOUDURE'!E1404)</f>
        <v/>
      </c>
      <c r="D1404" s="78" t="str">
        <f aca="false">IF('CARNET DE SOUDURE'!E1404="","",'CARNET DE SOUDURE'!D1404&amp;"")</f>
        <v/>
      </c>
      <c r="E1404" s="96" t="str">
        <f aca="false">IF(OR('CARNET DE SOUDURE'!E1404="",'CARNET DE SOUDURE'!R1404=""),"",'CARNET DE SOUDURE'!R1404)</f>
        <v/>
      </c>
      <c r="F1404" s="81" t="str">
        <f aca="false">IF('CARNET DE SOUDURE'!E1404="","",'CARNET DE SOUDURE'!AL1404)</f>
        <v/>
      </c>
      <c r="G1404" s="81" t="str">
        <f aca="false">IF('CARNET DE SOUDURE'!E1404="","",'CARNET DE SOUDURE'!AM1404)</f>
        <v/>
      </c>
      <c r="H1404" s="81" t="str">
        <f aca="false">IF(C1404="","",IF(G1404="ACCEPTÉ","OUI","NON"))</f>
        <v/>
      </c>
      <c r="I1404" s="82"/>
      <c r="J1404" s="79"/>
      <c r="K1404" s="80"/>
      <c r="L1404" s="80"/>
      <c r="M1404" s="80"/>
      <c r="N1404" s="83" t="str">
        <f aca="false">IF(C1404="","",IF(I1404="",IF(H1404="OUI","À ENROBER",IF(G1404="À SOUDER","NON SOUDÉ","EN ATTENTE RT")),IF(L1404="R","À REPRENDRE",IF(H1404&lt;&gt;"OUI","⚠ ENROBÉ AVANT ACCEPTATION RT","ENROBÉ"))))</f>
        <v/>
      </c>
      <c r="O1404" s="79"/>
    </row>
    <row r="1405" customFormat="false" ht="15" hidden="false" customHeight="false" outlineLevel="0" collapsed="false">
      <c r="A1405" s="78" t="str">
        <f aca="false">IF('CARNET DE SOUDURE'!E1405="","",'CARNET DE SOUDURE'!A1405)</f>
        <v/>
      </c>
      <c r="B1405" s="93" t="str">
        <f aca="false">IF('CARNET DE SOUDURE'!E1405="","",'CARNET DE SOUDURE'!B1405&amp;"")</f>
        <v/>
      </c>
      <c r="C1405" s="83" t="str">
        <f aca="false">IF('CARNET DE SOUDURE'!E1405="","",'CARNET DE SOUDURE'!E1405)</f>
        <v/>
      </c>
      <c r="D1405" s="78" t="str">
        <f aca="false">IF('CARNET DE SOUDURE'!E1405="","",'CARNET DE SOUDURE'!D1405&amp;"")</f>
        <v/>
      </c>
      <c r="E1405" s="96" t="str">
        <f aca="false">IF(OR('CARNET DE SOUDURE'!E1405="",'CARNET DE SOUDURE'!R1405=""),"",'CARNET DE SOUDURE'!R1405)</f>
        <v/>
      </c>
      <c r="F1405" s="81" t="str">
        <f aca="false">IF('CARNET DE SOUDURE'!E1405="","",'CARNET DE SOUDURE'!AL1405)</f>
        <v/>
      </c>
      <c r="G1405" s="81" t="str">
        <f aca="false">IF('CARNET DE SOUDURE'!E1405="","",'CARNET DE SOUDURE'!AM1405)</f>
        <v/>
      </c>
      <c r="H1405" s="81" t="str">
        <f aca="false">IF(C1405="","",IF(G1405="ACCEPTÉ","OUI","NON"))</f>
        <v/>
      </c>
      <c r="I1405" s="82"/>
      <c r="J1405" s="79"/>
      <c r="K1405" s="80"/>
      <c r="L1405" s="80"/>
      <c r="M1405" s="80"/>
      <c r="N1405" s="83" t="str">
        <f aca="false">IF(C1405="","",IF(I1405="",IF(H1405="OUI","À ENROBER",IF(G1405="À SOUDER","NON SOUDÉ","EN ATTENTE RT")),IF(L1405="R","À REPRENDRE",IF(H1405&lt;&gt;"OUI","⚠ ENROBÉ AVANT ACCEPTATION RT","ENROBÉ"))))</f>
        <v/>
      </c>
      <c r="O1405" s="79"/>
    </row>
    <row r="1406" customFormat="false" ht="15" hidden="false" customHeight="false" outlineLevel="0" collapsed="false">
      <c r="A1406" s="78" t="str">
        <f aca="false">IF('CARNET DE SOUDURE'!E1406="","",'CARNET DE SOUDURE'!A1406)</f>
        <v/>
      </c>
      <c r="B1406" s="93" t="str">
        <f aca="false">IF('CARNET DE SOUDURE'!E1406="","",'CARNET DE SOUDURE'!B1406&amp;"")</f>
        <v/>
      </c>
      <c r="C1406" s="83" t="str">
        <f aca="false">IF('CARNET DE SOUDURE'!E1406="","",'CARNET DE SOUDURE'!E1406)</f>
        <v/>
      </c>
      <c r="D1406" s="78" t="str">
        <f aca="false">IF('CARNET DE SOUDURE'!E1406="","",'CARNET DE SOUDURE'!D1406&amp;"")</f>
        <v/>
      </c>
      <c r="E1406" s="96" t="str">
        <f aca="false">IF(OR('CARNET DE SOUDURE'!E1406="",'CARNET DE SOUDURE'!R1406=""),"",'CARNET DE SOUDURE'!R1406)</f>
        <v/>
      </c>
      <c r="F1406" s="81" t="str">
        <f aca="false">IF('CARNET DE SOUDURE'!E1406="","",'CARNET DE SOUDURE'!AL1406)</f>
        <v/>
      </c>
      <c r="G1406" s="81" t="str">
        <f aca="false">IF('CARNET DE SOUDURE'!E1406="","",'CARNET DE SOUDURE'!AM1406)</f>
        <v/>
      </c>
      <c r="H1406" s="81" t="str">
        <f aca="false">IF(C1406="","",IF(G1406="ACCEPTÉ","OUI","NON"))</f>
        <v/>
      </c>
      <c r="I1406" s="82"/>
      <c r="J1406" s="79"/>
      <c r="K1406" s="80"/>
      <c r="L1406" s="80"/>
      <c r="M1406" s="80"/>
      <c r="N1406" s="83" t="str">
        <f aca="false">IF(C1406="","",IF(I1406="",IF(H1406="OUI","À ENROBER",IF(G1406="À SOUDER","NON SOUDÉ","EN ATTENTE RT")),IF(L1406="R","À REPRENDRE",IF(H1406&lt;&gt;"OUI","⚠ ENROBÉ AVANT ACCEPTATION RT","ENROBÉ"))))</f>
        <v/>
      </c>
      <c r="O1406" s="79"/>
    </row>
    <row r="1407" customFormat="false" ht="15" hidden="false" customHeight="false" outlineLevel="0" collapsed="false">
      <c r="A1407" s="78" t="str">
        <f aca="false">IF('CARNET DE SOUDURE'!E1407="","",'CARNET DE SOUDURE'!A1407)</f>
        <v/>
      </c>
      <c r="B1407" s="93" t="str">
        <f aca="false">IF('CARNET DE SOUDURE'!E1407="","",'CARNET DE SOUDURE'!B1407&amp;"")</f>
        <v/>
      </c>
      <c r="C1407" s="83" t="str">
        <f aca="false">IF('CARNET DE SOUDURE'!E1407="","",'CARNET DE SOUDURE'!E1407)</f>
        <v/>
      </c>
      <c r="D1407" s="78" t="str">
        <f aca="false">IF('CARNET DE SOUDURE'!E1407="","",'CARNET DE SOUDURE'!D1407&amp;"")</f>
        <v/>
      </c>
      <c r="E1407" s="96" t="str">
        <f aca="false">IF(OR('CARNET DE SOUDURE'!E1407="",'CARNET DE SOUDURE'!R1407=""),"",'CARNET DE SOUDURE'!R1407)</f>
        <v/>
      </c>
      <c r="F1407" s="81" t="str">
        <f aca="false">IF('CARNET DE SOUDURE'!E1407="","",'CARNET DE SOUDURE'!AL1407)</f>
        <v/>
      </c>
      <c r="G1407" s="81" t="str">
        <f aca="false">IF('CARNET DE SOUDURE'!E1407="","",'CARNET DE SOUDURE'!AM1407)</f>
        <v/>
      </c>
      <c r="H1407" s="81" t="str">
        <f aca="false">IF(C1407="","",IF(G1407="ACCEPTÉ","OUI","NON"))</f>
        <v/>
      </c>
      <c r="I1407" s="82"/>
      <c r="J1407" s="79"/>
      <c r="K1407" s="80"/>
      <c r="L1407" s="80"/>
      <c r="M1407" s="80"/>
      <c r="N1407" s="83" t="str">
        <f aca="false">IF(C1407="","",IF(I1407="",IF(H1407="OUI","À ENROBER",IF(G1407="À SOUDER","NON SOUDÉ","EN ATTENTE RT")),IF(L1407="R","À REPRENDRE",IF(H1407&lt;&gt;"OUI","⚠ ENROBÉ AVANT ACCEPTATION RT","ENROBÉ"))))</f>
        <v/>
      </c>
      <c r="O1407" s="79"/>
    </row>
    <row r="1408" customFormat="false" ht="15" hidden="false" customHeight="false" outlineLevel="0" collapsed="false">
      <c r="A1408" s="78" t="str">
        <f aca="false">IF('CARNET DE SOUDURE'!E1408="","",'CARNET DE SOUDURE'!A1408)</f>
        <v/>
      </c>
      <c r="B1408" s="93" t="str">
        <f aca="false">IF('CARNET DE SOUDURE'!E1408="","",'CARNET DE SOUDURE'!B1408&amp;"")</f>
        <v/>
      </c>
      <c r="C1408" s="83" t="str">
        <f aca="false">IF('CARNET DE SOUDURE'!E1408="","",'CARNET DE SOUDURE'!E1408)</f>
        <v/>
      </c>
      <c r="D1408" s="78" t="str">
        <f aca="false">IF('CARNET DE SOUDURE'!E1408="","",'CARNET DE SOUDURE'!D1408&amp;"")</f>
        <v/>
      </c>
      <c r="E1408" s="96" t="str">
        <f aca="false">IF(OR('CARNET DE SOUDURE'!E1408="",'CARNET DE SOUDURE'!R1408=""),"",'CARNET DE SOUDURE'!R1408)</f>
        <v/>
      </c>
      <c r="F1408" s="81" t="str">
        <f aca="false">IF('CARNET DE SOUDURE'!E1408="","",'CARNET DE SOUDURE'!AL1408)</f>
        <v/>
      </c>
      <c r="G1408" s="81" t="str">
        <f aca="false">IF('CARNET DE SOUDURE'!E1408="","",'CARNET DE SOUDURE'!AM1408)</f>
        <v/>
      </c>
      <c r="H1408" s="81" t="str">
        <f aca="false">IF(C1408="","",IF(G1408="ACCEPTÉ","OUI","NON"))</f>
        <v/>
      </c>
      <c r="I1408" s="82"/>
      <c r="J1408" s="79"/>
      <c r="K1408" s="80"/>
      <c r="L1408" s="80"/>
      <c r="M1408" s="80"/>
      <c r="N1408" s="83" t="str">
        <f aca="false">IF(C1408="","",IF(I1408="",IF(H1408="OUI","À ENROBER",IF(G1408="À SOUDER","NON SOUDÉ","EN ATTENTE RT")),IF(L1408="R","À REPRENDRE",IF(H1408&lt;&gt;"OUI","⚠ ENROBÉ AVANT ACCEPTATION RT","ENROBÉ"))))</f>
        <v/>
      </c>
      <c r="O1408" s="79"/>
    </row>
    <row r="1409" customFormat="false" ht="15" hidden="false" customHeight="false" outlineLevel="0" collapsed="false">
      <c r="A1409" s="78" t="str">
        <f aca="false">IF('CARNET DE SOUDURE'!E1409="","",'CARNET DE SOUDURE'!A1409)</f>
        <v/>
      </c>
      <c r="B1409" s="93" t="str">
        <f aca="false">IF('CARNET DE SOUDURE'!E1409="","",'CARNET DE SOUDURE'!B1409&amp;"")</f>
        <v/>
      </c>
      <c r="C1409" s="83" t="str">
        <f aca="false">IF('CARNET DE SOUDURE'!E1409="","",'CARNET DE SOUDURE'!E1409)</f>
        <v/>
      </c>
      <c r="D1409" s="78" t="str">
        <f aca="false">IF('CARNET DE SOUDURE'!E1409="","",'CARNET DE SOUDURE'!D1409&amp;"")</f>
        <v/>
      </c>
      <c r="E1409" s="96" t="str">
        <f aca="false">IF(OR('CARNET DE SOUDURE'!E1409="",'CARNET DE SOUDURE'!R1409=""),"",'CARNET DE SOUDURE'!R1409)</f>
        <v/>
      </c>
      <c r="F1409" s="81" t="str">
        <f aca="false">IF('CARNET DE SOUDURE'!E1409="","",'CARNET DE SOUDURE'!AL1409)</f>
        <v/>
      </c>
      <c r="G1409" s="81" t="str">
        <f aca="false">IF('CARNET DE SOUDURE'!E1409="","",'CARNET DE SOUDURE'!AM1409)</f>
        <v/>
      </c>
      <c r="H1409" s="81" t="str">
        <f aca="false">IF(C1409="","",IF(G1409="ACCEPTÉ","OUI","NON"))</f>
        <v/>
      </c>
      <c r="I1409" s="82"/>
      <c r="J1409" s="79"/>
      <c r="K1409" s="80"/>
      <c r="L1409" s="80"/>
      <c r="M1409" s="80"/>
      <c r="N1409" s="83" t="str">
        <f aca="false">IF(C1409="","",IF(I1409="",IF(H1409="OUI","À ENROBER",IF(G1409="À SOUDER","NON SOUDÉ","EN ATTENTE RT")),IF(L1409="R","À REPRENDRE",IF(H1409&lt;&gt;"OUI","⚠ ENROBÉ AVANT ACCEPTATION RT","ENROBÉ"))))</f>
        <v/>
      </c>
      <c r="O1409" s="79"/>
    </row>
    <row r="1410" customFormat="false" ht="15" hidden="false" customHeight="false" outlineLevel="0" collapsed="false">
      <c r="A1410" s="78" t="str">
        <f aca="false">IF('CARNET DE SOUDURE'!E1410="","",'CARNET DE SOUDURE'!A1410)</f>
        <v/>
      </c>
      <c r="B1410" s="93" t="str">
        <f aca="false">IF('CARNET DE SOUDURE'!E1410="","",'CARNET DE SOUDURE'!B1410&amp;"")</f>
        <v/>
      </c>
      <c r="C1410" s="83" t="str">
        <f aca="false">IF('CARNET DE SOUDURE'!E1410="","",'CARNET DE SOUDURE'!E1410)</f>
        <v/>
      </c>
      <c r="D1410" s="78" t="str">
        <f aca="false">IF('CARNET DE SOUDURE'!E1410="","",'CARNET DE SOUDURE'!D1410&amp;"")</f>
        <v/>
      </c>
      <c r="E1410" s="96" t="str">
        <f aca="false">IF(OR('CARNET DE SOUDURE'!E1410="",'CARNET DE SOUDURE'!R1410=""),"",'CARNET DE SOUDURE'!R1410)</f>
        <v/>
      </c>
      <c r="F1410" s="81" t="str">
        <f aca="false">IF('CARNET DE SOUDURE'!E1410="","",'CARNET DE SOUDURE'!AL1410)</f>
        <v/>
      </c>
      <c r="G1410" s="81" t="str">
        <f aca="false">IF('CARNET DE SOUDURE'!E1410="","",'CARNET DE SOUDURE'!AM1410)</f>
        <v/>
      </c>
      <c r="H1410" s="81" t="str">
        <f aca="false">IF(C1410="","",IF(G1410="ACCEPTÉ","OUI","NON"))</f>
        <v/>
      </c>
      <c r="I1410" s="82"/>
      <c r="J1410" s="79"/>
      <c r="K1410" s="80"/>
      <c r="L1410" s="80"/>
      <c r="M1410" s="80"/>
      <c r="N1410" s="83" t="str">
        <f aca="false">IF(C1410="","",IF(I1410="",IF(H1410="OUI","À ENROBER",IF(G1410="À SOUDER","NON SOUDÉ","EN ATTENTE RT")),IF(L1410="R","À REPRENDRE",IF(H1410&lt;&gt;"OUI","⚠ ENROBÉ AVANT ACCEPTATION RT","ENROBÉ"))))</f>
        <v/>
      </c>
      <c r="O1410" s="79"/>
    </row>
    <row r="1411" customFormat="false" ht="15" hidden="false" customHeight="false" outlineLevel="0" collapsed="false">
      <c r="A1411" s="78" t="str">
        <f aca="false">IF('CARNET DE SOUDURE'!E1411="","",'CARNET DE SOUDURE'!A1411)</f>
        <v/>
      </c>
      <c r="B1411" s="93" t="str">
        <f aca="false">IF('CARNET DE SOUDURE'!E1411="","",'CARNET DE SOUDURE'!B1411&amp;"")</f>
        <v/>
      </c>
      <c r="C1411" s="83" t="str">
        <f aca="false">IF('CARNET DE SOUDURE'!E1411="","",'CARNET DE SOUDURE'!E1411)</f>
        <v/>
      </c>
      <c r="D1411" s="78" t="str">
        <f aca="false">IF('CARNET DE SOUDURE'!E1411="","",'CARNET DE SOUDURE'!D1411&amp;"")</f>
        <v/>
      </c>
      <c r="E1411" s="96" t="str">
        <f aca="false">IF(OR('CARNET DE SOUDURE'!E1411="",'CARNET DE SOUDURE'!R1411=""),"",'CARNET DE SOUDURE'!R1411)</f>
        <v/>
      </c>
      <c r="F1411" s="81" t="str">
        <f aca="false">IF('CARNET DE SOUDURE'!E1411="","",'CARNET DE SOUDURE'!AL1411)</f>
        <v/>
      </c>
      <c r="G1411" s="81" t="str">
        <f aca="false">IF('CARNET DE SOUDURE'!E1411="","",'CARNET DE SOUDURE'!AM1411)</f>
        <v/>
      </c>
      <c r="H1411" s="81" t="str">
        <f aca="false">IF(C1411="","",IF(G1411="ACCEPTÉ","OUI","NON"))</f>
        <v/>
      </c>
      <c r="I1411" s="82"/>
      <c r="J1411" s="79"/>
      <c r="K1411" s="80"/>
      <c r="L1411" s="80"/>
      <c r="M1411" s="80"/>
      <c r="N1411" s="83" t="str">
        <f aca="false">IF(C1411="","",IF(I1411="",IF(H1411="OUI","À ENROBER",IF(G1411="À SOUDER","NON SOUDÉ","EN ATTENTE RT")),IF(L1411="R","À REPRENDRE",IF(H1411&lt;&gt;"OUI","⚠ ENROBÉ AVANT ACCEPTATION RT","ENROBÉ"))))</f>
        <v/>
      </c>
      <c r="O1411" s="79"/>
    </row>
    <row r="1412" customFormat="false" ht="15" hidden="false" customHeight="false" outlineLevel="0" collapsed="false">
      <c r="A1412" s="78" t="str">
        <f aca="false">IF('CARNET DE SOUDURE'!E1412="","",'CARNET DE SOUDURE'!A1412)</f>
        <v/>
      </c>
      <c r="B1412" s="93" t="str">
        <f aca="false">IF('CARNET DE SOUDURE'!E1412="","",'CARNET DE SOUDURE'!B1412&amp;"")</f>
        <v/>
      </c>
      <c r="C1412" s="83" t="str">
        <f aca="false">IF('CARNET DE SOUDURE'!E1412="","",'CARNET DE SOUDURE'!E1412)</f>
        <v/>
      </c>
      <c r="D1412" s="78" t="str">
        <f aca="false">IF('CARNET DE SOUDURE'!E1412="","",'CARNET DE SOUDURE'!D1412&amp;"")</f>
        <v/>
      </c>
      <c r="E1412" s="96" t="str">
        <f aca="false">IF(OR('CARNET DE SOUDURE'!E1412="",'CARNET DE SOUDURE'!R1412=""),"",'CARNET DE SOUDURE'!R1412)</f>
        <v/>
      </c>
      <c r="F1412" s="81" t="str">
        <f aca="false">IF('CARNET DE SOUDURE'!E1412="","",'CARNET DE SOUDURE'!AL1412)</f>
        <v/>
      </c>
      <c r="G1412" s="81" t="str">
        <f aca="false">IF('CARNET DE SOUDURE'!E1412="","",'CARNET DE SOUDURE'!AM1412)</f>
        <v/>
      </c>
      <c r="H1412" s="81" t="str">
        <f aca="false">IF(C1412="","",IF(G1412="ACCEPTÉ","OUI","NON"))</f>
        <v/>
      </c>
      <c r="I1412" s="82"/>
      <c r="J1412" s="79"/>
      <c r="K1412" s="80"/>
      <c r="L1412" s="80"/>
      <c r="M1412" s="80"/>
      <c r="N1412" s="83" t="str">
        <f aca="false">IF(C1412="","",IF(I1412="",IF(H1412="OUI","À ENROBER",IF(G1412="À SOUDER","NON SOUDÉ","EN ATTENTE RT")),IF(L1412="R","À REPRENDRE",IF(H1412&lt;&gt;"OUI","⚠ ENROBÉ AVANT ACCEPTATION RT","ENROBÉ"))))</f>
        <v/>
      </c>
      <c r="O1412" s="79"/>
    </row>
    <row r="1413" customFormat="false" ht="15" hidden="false" customHeight="false" outlineLevel="0" collapsed="false">
      <c r="A1413" s="78" t="str">
        <f aca="false">IF('CARNET DE SOUDURE'!E1413="","",'CARNET DE SOUDURE'!A1413)</f>
        <v/>
      </c>
      <c r="B1413" s="93" t="str">
        <f aca="false">IF('CARNET DE SOUDURE'!E1413="","",'CARNET DE SOUDURE'!B1413&amp;"")</f>
        <v/>
      </c>
      <c r="C1413" s="83" t="str">
        <f aca="false">IF('CARNET DE SOUDURE'!E1413="","",'CARNET DE SOUDURE'!E1413)</f>
        <v/>
      </c>
      <c r="D1413" s="78" t="str">
        <f aca="false">IF('CARNET DE SOUDURE'!E1413="","",'CARNET DE SOUDURE'!D1413&amp;"")</f>
        <v/>
      </c>
      <c r="E1413" s="96" t="str">
        <f aca="false">IF(OR('CARNET DE SOUDURE'!E1413="",'CARNET DE SOUDURE'!R1413=""),"",'CARNET DE SOUDURE'!R1413)</f>
        <v/>
      </c>
      <c r="F1413" s="81" t="str">
        <f aca="false">IF('CARNET DE SOUDURE'!E1413="","",'CARNET DE SOUDURE'!AL1413)</f>
        <v/>
      </c>
      <c r="G1413" s="81" t="str">
        <f aca="false">IF('CARNET DE SOUDURE'!E1413="","",'CARNET DE SOUDURE'!AM1413)</f>
        <v/>
      </c>
      <c r="H1413" s="81" t="str">
        <f aca="false">IF(C1413="","",IF(G1413="ACCEPTÉ","OUI","NON"))</f>
        <v/>
      </c>
      <c r="I1413" s="82"/>
      <c r="J1413" s="79"/>
      <c r="K1413" s="80"/>
      <c r="L1413" s="80"/>
      <c r="M1413" s="80"/>
      <c r="N1413" s="83" t="str">
        <f aca="false">IF(C1413="","",IF(I1413="",IF(H1413="OUI","À ENROBER",IF(G1413="À SOUDER","NON SOUDÉ","EN ATTENTE RT")),IF(L1413="R","À REPRENDRE",IF(H1413&lt;&gt;"OUI","⚠ ENROBÉ AVANT ACCEPTATION RT","ENROBÉ"))))</f>
        <v/>
      </c>
      <c r="O1413" s="79"/>
    </row>
    <row r="1414" customFormat="false" ht="15" hidden="false" customHeight="false" outlineLevel="0" collapsed="false">
      <c r="A1414" s="78" t="str">
        <f aca="false">IF('CARNET DE SOUDURE'!E1414="","",'CARNET DE SOUDURE'!A1414)</f>
        <v/>
      </c>
      <c r="B1414" s="93" t="str">
        <f aca="false">IF('CARNET DE SOUDURE'!E1414="","",'CARNET DE SOUDURE'!B1414&amp;"")</f>
        <v/>
      </c>
      <c r="C1414" s="83" t="str">
        <f aca="false">IF('CARNET DE SOUDURE'!E1414="","",'CARNET DE SOUDURE'!E1414)</f>
        <v/>
      </c>
      <c r="D1414" s="78" t="str">
        <f aca="false">IF('CARNET DE SOUDURE'!E1414="","",'CARNET DE SOUDURE'!D1414&amp;"")</f>
        <v/>
      </c>
      <c r="E1414" s="96" t="str">
        <f aca="false">IF(OR('CARNET DE SOUDURE'!E1414="",'CARNET DE SOUDURE'!R1414=""),"",'CARNET DE SOUDURE'!R1414)</f>
        <v/>
      </c>
      <c r="F1414" s="81" t="str">
        <f aca="false">IF('CARNET DE SOUDURE'!E1414="","",'CARNET DE SOUDURE'!AL1414)</f>
        <v/>
      </c>
      <c r="G1414" s="81" t="str">
        <f aca="false">IF('CARNET DE SOUDURE'!E1414="","",'CARNET DE SOUDURE'!AM1414)</f>
        <v/>
      </c>
      <c r="H1414" s="81" t="str">
        <f aca="false">IF(C1414="","",IF(G1414="ACCEPTÉ","OUI","NON"))</f>
        <v/>
      </c>
      <c r="I1414" s="82"/>
      <c r="J1414" s="79"/>
      <c r="K1414" s="80"/>
      <c r="L1414" s="80"/>
      <c r="M1414" s="80"/>
      <c r="N1414" s="83" t="str">
        <f aca="false">IF(C1414="","",IF(I1414="",IF(H1414="OUI","À ENROBER",IF(G1414="À SOUDER","NON SOUDÉ","EN ATTENTE RT")),IF(L1414="R","À REPRENDRE",IF(H1414&lt;&gt;"OUI","⚠ ENROBÉ AVANT ACCEPTATION RT","ENROBÉ"))))</f>
        <v/>
      </c>
      <c r="O1414" s="79"/>
    </row>
    <row r="1415" customFormat="false" ht="15" hidden="false" customHeight="false" outlineLevel="0" collapsed="false">
      <c r="A1415" s="78" t="str">
        <f aca="false">IF('CARNET DE SOUDURE'!E1415="","",'CARNET DE SOUDURE'!A1415)</f>
        <v/>
      </c>
      <c r="B1415" s="93" t="str">
        <f aca="false">IF('CARNET DE SOUDURE'!E1415="","",'CARNET DE SOUDURE'!B1415&amp;"")</f>
        <v/>
      </c>
      <c r="C1415" s="83" t="str">
        <f aca="false">IF('CARNET DE SOUDURE'!E1415="","",'CARNET DE SOUDURE'!E1415)</f>
        <v/>
      </c>
      <c r="D1415" s="78" t="str">
        <f aca="false">IF('CARNET DE SOUDURE'!E1415="","",'CARNET DE SOUDURE'!D1415&amp;"")</f>
        <v/>
      </c>
      <c r="E1415" s="96" t="str">
        <f aca="false">IF(OR('CARNET DE SOUDURE'!E1415="",'CARNET DE SOUDURE'!R1415=""),"",'CARNET DE SOUDURE'!R1415)</f>
        <v/>
      </c>
      <c r="F1415" s="81" t="str">
        <f aca="false">IF('CARNET DE SOUDURE'!E1415="","",'CARNET DE SOUDURE'!AL1415)</f>
        <v/>
      </c>
      <c r="G1415" s="81" t="str">
        <f aca="false">IF('CARNET DE SOUDURE'!E1415="","",'CARNET DE SOUDURE'!AM1415)</f>
        <v/>
      </c>
      <c r="H1415" s="81" t="str">
        <f aca="false">IF(C1415="","",IF(G1415="ACCEPTÉ","OUI","NON"))</f>
        <v/>
      </c>
      <c r="I1415" s="82"/>
      <c r="J1415" s="79"/>
      <c r="K1415" s="80"/>
      <c r="L1415" s="80"/>
      <c r="M1415" s="80"/>
      <c r="N1415" s="83" t="str">
        <f aca="false">IF(C1415="","",IF(I1415="",IF(H1415="OUI","À ENROBER",IF(G1415="À SOUDER","NON SOUDÉ","EN ATTENTE RT")),IF(L1415="R","À REPRENDRE",IF(H1415&lt;&gt;"OUI","⚠ ENROBÉ AVANT ACCEPTATION RT","ENROBÉ"))))</f>
        <v/>
      </c>
      <c r="O1415" s="79"/>
    </row>
    <row r="1416" customFormat="false" ht="15" hidden="false" customHeight="false" outlineLevel="0" collapsed="false">
      <c r="A1416" s="78" t="str">
        <f aca="false">IF('CARNET DE SOUDURE'!E1416="","",'CARNET DE SOUDURE'!A1416)</f>
        <v/>
      </c>
      <c r="B1416" s="93" t="str">
        <f aca="false">IF('CARNET DE SOUDURE'!E1416="","",'CARNET DE SOUDURE'!B1416&amp;"")</f>
        <v/>
      </c>
      <c r="C1416" s="83" t="str">
        <f aca="false">IF('CARNET DE SOUDURE'!E1416="","",'CARNET DE SOUDURE'!E1416)</f>
        <v/>
      </c>
      <c r="D1416" s="78" t="str">
        <f aca="false">IF('CARNET DE SOUDURE'!E1416="","",'CARNET DE SOUDURE'!D1416&amp;"")</f>
        <v/>
      </c>
      <c r="E1416" s="96" t="str">
        <f aca="false">IF(OR('CARNET DE SOUDURE'!E1416="",'CARNET DE SOUDURE'!R1416=""),"",'CARNET DE SOUDURE'!R1416)</f>
        <v/>
      </c>
      <c r="F1416" s="81" t="str">
        <f aca="false">IF('CARNET DE SOUDURE'!E1416="","",'CARNET DE SOUDURE'!AL1416)</f>
        <v/>
      </c>
      <c r="G1416" s="81" t="str">
        <f aca="false">IF('CARNET DE SOUDURE'!E1416="","",'CARNET DE SOUDURE'!AM1416)</f>
        <v/>
      </c>
      <c r="H1416" s="81" t="str">
        <f aca="false">IF(C1416="","",IF(G1416="ACCEPTÉ","OUI","NON"))</f>
        <v/>
      </c>
      <c r="I1416" s="82"/>
      <c r="J1416" s="79"/>
      <c r="K1416" s="80"/>
      <c r="L1416" s="80"/>
      <c r="M1416" s="80"/>
      <c r="N1416" s="83" t="str">
        <f aca="false">IF(C1416="","",IF(I1416="",IF(H1416="OUI","À ENROBER",IF(G1416="À SOUDER","NON SOUDÉ","EN ATTENTE RT")),IF(L1416="R","À REPRENDRE",IF(H1416&lt;&gt;"OUI","⚠ ENROBÉ AVANT ACCEPTATION RT","ENROBÉ"))))</f>
        <v/>
      </c>
      <c r="O1416" s="79"/>
    </row>
    <row r="1417" customFormat="false" ht="15" hidden="false" customHeight="false" outlineLevel="0" collapsed="false">
      <c r="A1417" s="78" t="str">
        <f aca="false">IF('CARNET DE SOUDURE'!E1417="","",'CARNET DE SOUDURE'!A1417)</f>
        <v/>
      </c>
      <c r="B1417" s="93" t="str">
        <f aca="false">IF('CARNET DE SOUDURE'!E1417="","",'CARNET DE SOUDURE'!B1417&amp;"")</f>
        <v/>
      </c>
      <c r="C1417" s="83" t="str">
        <f aca="false">IF('CARNET DE SOUDURE'!E1417="","",'CARNET DE SOUDURE'!E1417)</f>
        <v/>
      </c>
      <c r="D1417" s="78" t="str">
        <f aca="false">IF('CARNET DE SOUDURE'!E1417="","",'CARNET DE SOUDURE'!D1417&amp;"")</f>
        <v/>
      </c>
      <c r="E1417" s="96" t="str">
        <f aca="false">IF(OR('CARNET DE SOUDURE'!E1417="",'CARNET DE SOUDURE'!R1417=""),"",'CARNET DE SOUDURE'!R1417)</f>
        <v/>
      </c>
      <c r="F1417" s="81" t="str">
        <f aca="false">IF('CARNET DE SOUDURE'!E1417="","",'CARNET DE SOUDURE'!AL1417)</f>
        <v/>
      </c>
      <c r="G1417" s="81" t="str">
        <f aca="false">IF('CARNET DE SOUDURE'!E1417="","",'CARNET DE SOUDURE'!AM1417)</f>
        <v/>
      </c>
      <c r="H1417" s="81" t="str">
        <f aca="false">IF(C1417="","",IF(G1417="ACCEPTÉ","OUI","NON"))</f>
        <v/>
      </c>
      <c r="I1417" s="82"/>
      <c r="J1417" s="79"/>
      <c r="K1417" s="80"/>
      <c r="L1417" s="80"/>
      <c r="M1417" s="80"/>
      <c r="N1417" s="83" t="str">
        <f aca="false">IF(C1417="","",IF(I1417="",IF(H1417="OUI","À ENROBER",IF(G1417="À SOUDER","NON SOUDÉ","EN ATTENTE RT")),IF(L1417="R","À REPRENDRE",IF(H1417&lt;&gt;"OUI","⚠ ENROBÉ AVANT ACCEPTATION RT","ENROBÉ"))))</f>
        <v/>
      </c>
      <c r="O1417" s="79"/>
    </row>
    <row r="1418" customFormat="false" ht="15" hidden="false" customHeight="false" outlineLevel="0" collapsed="false">
      <c r="A1418" s="78" t="str">
        <f aca="false">IF('CARNET DE SOUDURE'!E1418="","",'CARNET DE SOUDURE'!A1418)</f>
        <v/>
      </c>
      <c r="B1418" s="93" t="str">
        <f aca="false">IF('CARNET DE SOUDURE'!E1418="","",'CARNET DE SOUDURE'!B1418&amp;"")</f>
        <v/>
      </c>
      <c r="C1418" s="83" t="str">
        <f aca="false">IF('CARNET DE SOUDURE'!E1418="","",'CARNET DE SOUDURE'!E1418)</f>
        <v/>
      </c>
      <c r="D1418" s="78" t="str">
        <f aca="false">IF('CARNET DE SOUDURE'!E1418="","",'CARNET DE SOUDURE'!D1418&amp;"")</f>
        <v/>
      </c>
      <c r="E1418" s="96" t="str">
        <f aca="false">IF(OR('CARNET DE SOUDURE'!E1418="",'CARNET DE SOUDURE'!R1418=""),"",'CARNET DE SOUDURE'!R1418)</f>
        <v/>
      </c>
      <c r="F1418" s="81" t="str">
        <f aca="false">IF('CARNET DE SOUDURE'!E1418="","",'CARNET DE SOUDURE'!AL1418)</f>
        <v/>
      </c>
      <c r="G1418" s="81" t="str">
        <f aca="false">IF('CARNET DE SOUDURE'!E1418="","",'CARNET DE SOUDURE'!AM1418)</f>
        <v/>
      </c>
      <c r="H1418" s="81" t="str">
        <f aca="false">IF(C1418="","",IF(G1418="ACCEPTÉ","OUI","NON"))</f>
        <v/>
      </c>
      <c r="I1418" s="82"/>
      <c r="J1418" s="79"/>
      <c r="K1418" s="80"/>
      <c r="L1418" s="80"/>
      <c r="M1418" s="80"/>
      <c r="N1418" s="83" t="str">
        <f aca="false">IF(C1418="","",IF(I1418="",IF(H1418="OUI","À ENROBER",IF(G1418="À SOUDER","NON SOUDÉ","EN ATTENTE RT")),IF(L1418="R","À REPRENDRE",IF(H1418&lt;&gt;"OUI","⚠ ENROBÉ AVANT ACCEPTATION RT","ENROBÉ"))))</f>
        <v/>
      </c>
      <c r="O1418" s="79"/>
    </row>
    <row r="1419" customFormat="false" ht="15" hidden="false" customHeight="false" outlineLevel="0" collapsed="false">
      <c r="A1419" s="78" t="str">
        <f aca="false">IF('CARNET DE SOUDURE'!E1419="","",'CARNET DE SOUDURE'!A1419)</f>
        <v/>
      </c>
      <c r="B1419" s="93" t="str">
        <f aca="false">IF('CARNET DE SOUDURE'!E1419="","",'CARNET DE SOUDURE'!B1419&amp;"")</f>
        <v/>
      </c>
      <c r="C1419" s="83" t="str">
        <f aca="false">IF('CARNET DE SOUDURE'!E1419="","",'CARNET DE SOUDURE'!E1419)</f>
        <v/>
      </c>
      <c r="D1419" s="78" t="str">
        <f aca="false">IF('CARNET DE SOUDURE'!E1419="","",'CARNET DE SOUDURE'!D1419&amp;"")</f>
        <v/>
      </c>
      <c r="E1419" s="96" t="str">
        <f aca="false">IF(OR('CARNET DE SOUDURE'!E1419="",'CARNET DE SOUDURE'!R1419=""),"",'CARNET DE SOUDURE'!R1419)</f>
        <v/>
      </c>
      <c r="F1419" s="81" t="str">
        <f aca="false">IF('CARNET DE SOUDURE'!E1419="","",'CARNET DE SOUDURE'!AL1419)</f>
        <v/>
      </c>
      <c r="G1419" s="81" t="str">
        <f aca="false">IF('CARNET DE SOUDURE'!E1419="","",'CARNET DE SOUDURE'!AM1419)</f>
        <v/>
      </c>
      <c r="H1419" s="81" t="str">
        <f aca="false">IF(C1419="","",IF(G1419="ACCEPTÉ","OUI","NON"))</f>
        <v/>
      </c>
      <c r="I1419" s="82"/>
      <c r="J1419" s="79"/>
      <c r="K1419" s="80"/>
      <c r="L1419" s="80"/>
      <c r="M1419" s="80"/>
      <c r="N1419" s="83" t="str">
        <f aca="false">IF(C1419="","",IF(I1419="",IF(H1419="OUI","À ENROBER",IF(G1419="À SOUDER","NON SOUDÉ","EN ATTENTE RT")),IF(L1419="R","À REPRENDRE",IF(H1419&lt;&gt;"OUI","⚠ ENROBÉ AVANT ACCEPTATION RT","ENROBÉ"))))</f>
        <v/>
      </c>
      <c r="O1419" s="79"/>
    </row>
    <row r="1420" customFormat="false" ht="15" hidden="false" customHeight="false" outlineLevel="0" collapsed="false">
      <c r="A1420" s="78" t="str">
        <f aca="false">IF('CARNET DE SOUDURE'!E1420="","",'CARNET DE SOUDURE'!A1420)</f>
        <v/>
      </c>
      <c r="B1420" s="93" t="str">
        <f aca="false">IF('CARNET DE SOUDURE'!E1420="","",'CARNET DE SOUDURE'!B1420&amp;"")</f>
        <v/>
      </c>
      <c r="C1420" s="83" t="str">
        <f aca="false">IF('CARNET DE SOUDURE'!E1420="","",'CARNET DE SOUDURE'!E1420)</f>
        <v/>
      </c>
      <c r="D1420" s="78" t="str">
        <f aca="false">IF('CARNET DE SOUDURE'!E1420="","",'CARNET DE SOUDURE'!D1420&amp;"")</f>
        <v/>
      </c>
      <c r="E1420" s="96" t="str">
        <f aca="false">IF(OR('CARNET DE SOUDURE'!E1420="",'CARNET DE SOUDURE'!R1420=""),"",'CARNET DE SOUDURE'!R1420)</f>
        <v/>
      </c>
      <c r="F1420" s="81" t="str">
        <f aca="false">IF('CARNET DE SOUDURE'!E1420="","",'CARNET DE SOUDURE'!AL1420)</f>
        <v/>
      </c>
      <c r="G1420" s="81" t="str">
        <f aca="false">IF('CARNET DE SOUDURE'!E1420="","",'CARNET DE SOUDURE'!AM1420)</f>
        <v/>
      </c>
      <c r="H1420" s="81" t="str">
        <f aca="false">IF(C1420="","",IF(G1420="ACCEPTÉ","OUI","NON"))</f>
        <v/>
      </c>
      <c r="I1420" s="82"/>
      <c r="J1420" s="79"/>
      <c r="K1420" s="80"/>
      <c r="L1420" s="80"/>
      <c r="M1420" s="80"/>
      <c r="N1420" s="83" t="str">
        <f aca="false">IF(C1420="","",IF(I1420="",IF(H1420="OUI","À ENROBER",IF(G1420="À SOUDER","NON SOUDÉ","EN ATTENTE RT")),IF(L1420="R","À REPRENDRE",IF(H1420&lt;&gt;"OUI","⚠ ENROBÉ AVANT ACCEPTATION RT","ENROBÉ"))))</f>
        <v/>
      </c>
      <c r="O1420" s="79"/>
    </row>
    <row r="1421" customFormat="false" ht="15" hidden="false" customHeight="false" outlineLevel="0" collapsed="false">
      <c r="A1421" s="78" t="str">
        <f aca="false">IF('CARNET DE SOUDURE'!E1421="","",'CARNET DE SOUDURE'!A1421)</f>
        <v/>
      </c>
      <c r="B1421" s="93" t="str">
        <f aca="false">IF('CARNET DE SOUDURE'!E1421="","",'CARNET DE SOUDURE'!B1421&amp;"")</f>
        <v/>
      </c>
      <c r="C1421" s="83" t="str">
        <f aca="false">IF('CARNET DE SOUDURE'!E1421="","",'CARNET DE SOUDURE'!E1421)</f>
        <v/>
      </c>
      <c r="D1421" s="78" t="str">
        <f aca="false">IF('CARNET DE SOUDURE'!E1421="","",'CARNET DE SOUDURE'!D1421&amp;"")</f>
        <v/>
      </c>
      <c r="E1421" s="96" t="str">
        <f aca="false">IF(OR('CARNET DE SOUDURE'!E1421="",'CARNET DE SOUDURE'!R1421=""),"",'CARNET DE SOUDURE'!R1421)</f>
        <v/>
      </c>
      <c r="F1421" s="81" t="str">
        <f aca="false">IF('CARNET DE SOUDURE'!E1421="","",'CARNET DE SOUDURE'!AL1421)</f>
        <v/>
      </c>
      <c r="G1421" s="81" t="str">
        <f aca="false">IF('CARNET DE SOUDURE'!E1421="","",'CARNET DE SOUDURE'!AM1421)</f>
        <v/>
      </c>
      <c r="H1421" s="81" t="str">
        <f aca="false">IF(C1421="","",IF(G1421="ACCEPTÉ","OUI","NON"))</f>
        <v/>
      </c>
      <c r="I1421" s="82"/>
      <c r="J1421" s="79"/>
      <c r="K1421" s="80"/>
      <c r="L1421" s="80"/>
      <c r="M1421" s="80"/>
      <c r="N1421" s="83" t="str">
        <f aca="false">IF(C1421="","",IF(I1421="",IF(H1421="OUI","À ENROBER",IF(G1421="À SOUDER","NON SOUDÉ","EN ATTENTE RT")),IF(L1421="R","À REPRENDRE",IF(H1421&lt;&gt;"OUI","⚠ ENROBÉ AVANT ACCEPTATION RT","ENROBÉ"))))</f>
        <v/>
      </c>
      <c r="O1421" s="79"/>
    </row>
    <row r="1422" customFormat="false" ht="15" hidden="false" customHeight="false" outlineLevel="0" collapsed="false">
      <c r="A1422" s="78" t="str">
        <f aca="false">IF('CARNET DE SOUDURE'!E1422="","",'CARNET DE SOUDURE'!A1422)</f>
        <v/>
      </c>
      <c r="B1422" s="93" t="str">
        <f aca="false">IF('CARNET DE SOUDURE'!E1422="","",'CARNET DE SOUDURE'!B1422&amp;"")</f>
        <v/>
      </c>
      <c r="C1422" s="83" t="str">
        <f aca="false">IF('CARNET DE SOUDURE'!E1422="","",'CARNET DE SOUDURE'!E1422)</f>
        <v/>
      </c>
      <c r="D1422" s="78" t="str">
        <f aca="false">IF('CARNET DE SOUDURE'!E1422="","",'CARNET DE SOUDURE'!D1422&amp;"")</f>
        <v/>
      </c>
      <c r="E1422" s="96" t="str">
        <f aca="false">IF(OR('CARNET DE SOUDURE'!E1422="",'CARNET DE SOUDURE'!R1422=""),"",'CARNET DE SOUDURE'!R1422)</f>
        <v/>
      </c>
      <c r="F1422" s="81" t="str">
        <f aca="false">IF('CARNET DE SOUDURE'!E1422="","",'CARNET DE SOUDURE'!AL1422)</f>
        <v/>
      </c>
      <c r="G1422" s="81" t="str">
        <f aca="false">IF('CARNET DE SOUDURE'!E1422="","",'CARNET DE SOUDURE'!AM1422)</f>
        <v/>
      </c>
      <c r="H1422" s="81" t="str">
        <f aca="false">IF(C1422="","",IF(G1422="ACCEPTÉ","OUI","NON"))</f>
        <v/>
      </c>
      <c r="I1422" s="82"/>
      <c r="J1422" s="79"/>
      <c r="K1422" s="80"/>
      <c r="L1422" s="80"/>
      <c r="M1422" s="80"/>
      <c r="N1422" s="83" t="str">
        <f aca="false">IF(C1422="","",IF(I1422="",IF(H1422="OUI","À ENROBER",IF(G1422="À SOUDER","NON SOUDÉ","EN ATTENTE RT")),IF(L1422="R","À REPRENDRE",IF(H1422&lt;&gt;"OUI","⚠ ENROBÉ AVANT ACCEPTATION RT","ENROBÉ"))))</f>
        <v/>
      </c>
      <c r="O1422" s="79"/>
    </row>
    <row r="1423" customFormat="false" ht="15" hidden="false" customHeight="false" outlineLevel="0" collapsed="false">
      <c r="A1423" s="78" t="str">
        <f aca="false">IF('CARNET DE SOUDURE'!E1423="","",'CARNET DE SOUDURE'!A1423)</f>
        <v/>
      </c>
      <c r="B1423" s="93" t="str">
        <f aca="false">IF('CARNET DE SOUDURE'!E1423="","",'CARNET DE SOUDURE'!B1423&amp;"")</f>
        <v/>
      </c>
      <c r="C1423" s="83" t="str">
        <f aca="false">IF('CARNET DE SOUDURE'!E1423="","",'CARNET DE SOUDURE'!E1423)</f>
        <v/>
      </c>
      <c r="D1423" s="78" t="str">
        <f aca="false">IF('CARNET DE SOUDURE'!E1423="","",'CARNET DE SOUDURE'!D1423&amp;"")</f>
        <v/>
      </c>
      <c r="E1423" s="96" t="str">
        <f aca="false">IF(OR('CARNET DE SOUDURE'!E1423="",'CARNET DE SOUDURE'!R1423=""),"",'CARNET DE SOUDURE'!R1423)</f>
        <v/>
      </c>
      <c r="F1423" s="81" t="str">
        <f aca="false">IF('CARNET DE SOUDURE'!E1423="","",'CARNET DE SOUDURE'!AL1423)</f>
        <v/>
      </c>
      <c r="G1423" s="81" t="str">
        <f aca="false">IF('CARNET DE SOUDURE'!E1423="","",'CARNET DE SOUDURE'!AM1423)</f>
        <v/>
      </c>
      <c r="H1423" s="81" t="str">
        <f aca="false">IF(C1423="","",IF(G1423="ACCEPTÉ","OUI","NON"))</f>
        <v/>
      </c>
      <c r="I1423" s="82"/>
      <c r="J1423" s="79"/>
      <c r="K1423" s="80"/>
      <c r="L1423" s="80"/>
      <c r="M1423" s="80"/>
      <c r="N1423" s="83" t="str">
        <f aca="false">IF(C1423="","",IF(I1423="",IF(H1423="OUI","À ENROBER",IF(G1423="À SOUDER","NON SOUDÉ","EN ATTENTE RT")),IF(L1423="R","À REPRENDRE",IF(H1423&lt;&gt;"OUI","⚠ ENROBÉ AVANT ACCEPTATION RT","ENROBÉ"))))</f>
        <v/>
      </c>
      <c r="O1423" s="79"/>
    </row>
    <row r="1424" customFormat="false" ht="15" hidden="false" customHeight="false" outlineLevel="0" collapsed="false">
      <c r="A1424" s="78" t="str">
        <f aca="false">IF('CARNET DE SOUDURE'!E1424="","",'CARNET DE SOUDURE'!A1424)</f>
        <v/>
      </c>
      <c r="B1424" s="93" t="str">
        <f aca="false">IF('CARNET DE SOUDURE'!E1424="","",'CARNET DE SOUDURE'!B1424&amp;"")</f>
        <v/>
      </c>
      <c r="C1424" s="83" t="str">
        <f aca="false">IF('CARNET DE SOUDURE'!E1424="","",'CARNET DE SOUDURE'!E1424)</f>
        <v/>
      </c>
      <c r="D1424" s="78" t="str">
        <f aca="false">IF('CARNET DE SOUDURE'!E1424="","",'CARNET DE SOUDURE'!D1424&amp;"")</f>
        <v/>
      </c>
      <c r="E1424" s="96" t="str">
        <f aca="false">IF(OR('CARNET DE SOUDURE'!E1424="",'CARNET DE SOUDURE'!R1424=""),"",'CARNET DE SOUDURE'!R1424)</f>
        <v/>
      </c>
      <c r="F1424" s="81" t="str">
        <f aca="false">IF('CARNET DE SOUDURE'!E1424="","",'CARNET DE SOUDURE'!AL1424)</f>
        <v/>
      </c>
      <c r="G1424" s="81" t="str">
        <f aca="false">IF('CARNET DE SOUDURE'!E1424="","",'CARNET DE SOUDURE'!AM1424)</f>
        <v/>
      </c>
      <c r="H1424" s="81" t="str">
        <f aca="false">IF(C1424="","",IF(G1424="ACCEPTÉ","OUI","NON"))</f>
        <v/>
      </c>
      <c r="I1424" s="82"/>
      <c r="J1424" s="79"/>
      <c r="K1424" s="80"/>
      <c r="L1424" s="80"/>
      <c r="M1424" s="80"/>
      <c r="N1424" s="83" t="str">
        <f aca="false">IF(C1424="","",IF(I1424="",IF(H1424="OUI","À ENROBER",IF(G1424="À SOUDER","NON SOUDÉ","EN ATTENTE RT")),IF(L1424="R","À REPRENDRE",IF(H1424&lt;&gt;"OUI","⚠ ENROBÉ AVANT ACCEPTATION RT","ENROBÉ"))))</f>
        <v/>
      </c>
      <c r="O1424" s="79"/>
    </row>
    <row r="1425" customFormat="false" ht="15" hidden="false" customHeight="false" outlineLevel="0" collapsed="false">
      <c r="A1425" s="78" t="str">
        <f aca="false">IF('CARNET DE SOUDURE'!E1425="","",'CARNET DE SOUDURE'!A1425)</f>
        <v/>
      </c>
      <c r="B1425" s="93" t="str">
        <f aca="false">IF('CARNET DE SOUDURE'!E1425="","",'CARNET DE SOUDURE'!B1425&amp;"")</f>
        <v/>
      </c>
      <c r="C1425" s="83" t="str">
        <f aca="false">IF('CARNET DE SOUDURE'!E1425="","",'CARNET DE SOUDURE'!E1425)</f>
        <v/>
      </c>
      <c r="D1425" s="78" t="str">
        <f aca="false">IF('CARNET DE SOUDURE'!E1425="","",'CARNET DE SOUDURE'!D1425&amp;"")</f>
        <v/>
      </c>
      <c r="E1425" s="96" t="str">
        <f aca="false">IF(OR('CARNET DE SOUDURE'!E1425="",'CARNET DE SOUDURE'!R1425=""),"",'CARNET DE SOUDURE'!R1425)</f>
        <v/>
      </c>
      <c r="F1425" s="81" t="str">
        <f aca="false">IF('CARNET DE SOUDURE'!E1425="","",'CARNET DE SOUDURE'!AL1425)</f>
        <v/>
      </c>
      <c r="G1425" s="81" t="str">
        <f aca="false">IF('CARNET DE SOUDURE'!E1425="","",'CARNET DE SOUDURE'!AM1425)</f>
        <v/>
      </c>
      <c r="H1425" s="81" t="str">
        <f aca="false">IF(C1425="","",IF(G1425="ACCEPTÉ","OUI","NON"))</f>
        <v/>
      </c>
      <c r="I1425" s="82"/>
      <c r="J1425" s="79"/>
      <c r="K1425" s="80"/>
      <c r="L1425" s="80"/>
      <c r="M1425" s="80"/>
      <c r="N1425" s="83" t="str">
        <f aca="false">IF(C1425="","",IF(I1425="",IF(H1425="OUI","À ENROBER",IF(G1425="À SOUDER","NON SOUDÉ","EN ATTENTE RT")),IF(L1425="R","À REPRENDRE",IF(H1425&lt;&gt;"OUI","⚠ ENROBÉ AVANT ACCEPTATION RT","ENROBÉ"))))</f>
        <v/>
      </c>
      <c r="O1425" s="79"/>
    </row>
    <row r="1426" customFormat="false" ht="15" hidden="false" customHeight="false" outlineLevel="0" collapsed="false">
      <c r="A1426" s="78" t="str">
        <f aca="false">IF('CARNET DE SOUDURE'!E1426="","",'CARNET DE SOUDURE'!A1426)</f>
        <v/>
      </c>
      <c r="B1426" s="93" t="str">
        <f aca="false">IF('CARNET DE SOUDURE'!E1426="","",'CARNET DE SOUDURE'!B1426&amp;"")</f>
        <v/>
      </c>
      <c r="C1426" s="83" t="str">
        <f aca="false">IF('CARNET DE SOUDURE'!E1426="","",'CARNET DE SOUDURE'!E1426)</f>
        <v/>
      </c>
      <c r="D1426" s="78" t="str">
        <f aca="false">IF('CARNET DE SOUDURE'!E1426="","",'CARNET DE SOUDURE'!D1426&amp;"")</f>
        <v/>
      </c>
      <c r="E1426" s="96" t="str">
        <f aca="false">IF(OR('CARNET DE SOUDURE'!E1426="",'CARNET DE SOUDURE'!R1426=""),"",'CARNET DE SOUDURE'!R1426)</f>
        <v/>
      </c>
      <c r="F1426" s="81" t="str">
        <f aca="false">IF('CARNET DE SOUDURE'!E1426="","",'CARNET DE SOUDURE'!AL1426)</f>
        <v/>
      </c>
      <c r="G1426" s="81" t="str">
        <f aca="false">IF('CARNET DE SOUDURE'!E1426="","",'CARNET DE SOUDURE'!AM1426)</f>
        <v/>
      </c>
      <c r="H1426" s="81" t="str">
        <f aca="false">IF(C1426="","",IF(G1426="ACCEPTÉ","OUI","NON"))</f>
        <v/>
      </c>
      <c r="I1426" s="82"/>
      <c r="J1426" s="79"/>
      <c r="K1426" s="80"/>
      <c r="L1426" s="80"/>
      <c r="M1426" s="80"/>
      <c r="N1426" s="83" t="str">
        <f aca="false">IF(C1426="","",IF(I1426="",IF(H1426="OUI","À ENROBER",IF(G1426="À SOUDER","NON SOUDÉ","EN ATTENTE RT")),IF(L1426="R","À REPRENDRE",IF(H1426&lt;&gt;"OUI","⚠ ENROBÉ AVANT ACCEPTATION RT","ENROBÉ"))))</f>
        <v/>
      </c>
      <c r="O1426" s="79"/>
    </row>
    <row r="1427" customFormat="false" ht="15" hidden="false" customHeight="false" outlineLevel="0" collapsed="false">
      <c r="A1427" s="78" t="str">
        <f aca="false">IF('CARNET DE SOUDURE'!E1427="","",'CARNET DE SOUDURE'!A1427)</f>
        <v/>
      </c>
      <c r="B1427" s="93" t="str">
        <f aca="false">IF('CARNET DE SOUDURE'!E1427="","",'CARNET DE SOUDURE'!B1427&amp;"")</f>
        <v/>
      </c>
      <c r="C1427" s="83" t="str">
        <f aca="false">IF('CARNET DE SOUDURE'!E1427="","",'CARNET DE SOUDURE'!E1427)</f>
        <v/>
      </c>
      <c r="D1427" s="78" t="str">
        <f aca="false">IF('CARNET DE SOUDURE'!E1427="","",'CARNET DE SOUDURE'!D1427&amp;"")</f>
        <v/>
      </c>
      <c r="E1427" s="96" t="str">
        <f aca="false">IF(OR('CARNET DE SOUDURE'!E1427="",'CARNET DE SOUDURE'!R1427=""),"",'CARNET DE SOUDURE'!R1427)</f>
        <v/>
      </c>
      <c r="F1427" s="81" t="str">
        <f aca="false">IF('CARNET DE SOUDURE'!E1427="","",'CARNET DE SOUDURE'!AL1427)</f>
        <v/>
      </c>
      <c r="G1427" s="81" t="str">
        <f aca="false">IF('CARNET DE SOUDURE'!E1427="","",'CARNET DE SOUDURE'!AM1427)</f>
        <v/>
      </c>
      <c r="H1427" s="81" t="str">
        <f aca="false">IF(C1427="","",IF(G1427="ACCEPTÉ","OUI","NON"))</f>
        <v/>
      </c>
      <c r="I1427" s="82"/>
      <c r="J1427" s="79"/>
      <c r="K1427" s="80"/>
      <c r="L1427" s="80"/>
      <c r="M1427" s="80"/>
      <c r="N1427" s="83" t="str">
        <f aca="false">IF(C1427="","",IF(I1427="",IF(H1427="OUI","À ENROBER",IF(G1427="À SOUDER","NON SOUDÉ","EN ATTENTE RT")),IF(L1427="R","À REPRENDRE",IF(H1427&lt;&gt;"OUI","⚠ ENROBÉ AVANT ACCEPTATION RT","ENROBÉ"))))</f>
        <v/>
      </c>
      <c r="O1427" s="79"/>
    </row>
    <row r="1428" customFormat="false" ht="15" hidden="false" customHeight="false" outlineLevel="0" collapsed="false">
      <c r="A1428" s="78" t="str">
        <f aca="false">IF('CARNET DE SOUDURE'!E1428="","",'CARNET DE SOUDURE'!A1428)</f>
        <v/>
      </c>
      <c r="B1428" s="93" t="str">
        <f aca="false">IF('CARNET DE SOUDURE'!E1428="","",'CARNET DE SOUDURE'!B1428&amp;"")</f>
        <v/>
      </c>
      <c r="C1428" s="83" t="str">
        <f aca="false">IF('CARNET DE SOUDURE'!E1428="","",'CARNET DE SOUDURE'!E1428)</f>
        <v/>
      </c>
      <c r="D1428" s="78" t="str">
        <f aca="false">IF('CARNET DE SOUDURE'!E1428="","",'CARNET DE SOUDURE'!D1428&amp;"")</f>
        <v/>
      </c>
      <c r="E1428" s="96" t="str">
        <f aca="false">IF(OR('CARNET DE SOUDURE'!E1428="",'CARNET DE SOUDURE'!R1428=""),"",'CARNET DE SOUDURE'!R1428)</f>
        <v/>
      </c>
      <c r="F1428" s="81" t="str">
        <f aca="false">IF('CARNET DE SOUDURE'!E1428="","",'CARNET DE SOUDURE'!AL1428)</f>
        <v/>
      </c>
      <c r="G1428" s="81" t="str">
        <f aca="false">IF('CARNET DE SOUDURE'!E1428="","",'CARNET DE SOUDURE'!AM1428)</f>
        <v/>
      </c>
      <c r="H1428" s="81" t="str">
        <f aca="false">IF(C1428="","",IF(G1428="ACCEPTÉ","OUI","NON"))</f>
        <v/>
      </c>
      <c r="I1428" s="82"/>
      <c r="J1428" s="79"/>
      <c r="K1428" s="80"/>
      <c r="L1428" s="80"/>
      <c r="M1428" s="80"/>
      <c r="N1428" s="83" t="str">
        <f aca="false">IF(C1428="","",IF(I1428="",IF(H1428="OUI","À ENROBER",IF(G1428="À SOUDER","NON SOUDÉ","EN ATTENTE RT")),IF(L1428="R","À REPRENDRE",IF(H1428&lt;&gt;"OUI","⚠ ENROBÉ AVANT ACCEPTATION RT","ENROBÉ"))))</f>
        <v/>
      </c>
      <c r="O1428" s="79"/>
    </row>
    <row r="1429" customFormat="false" ht="15" hidden="false" customHeight="false" outlineLevel="0" collapsed="false">
      <c r="A1429" s="78" t="str">
        <f aca="false">IF('CARNET DE SOUDURE'!E1429="","",'CARNET DE SOUDURE'!A1429)</f>
        <v/>
      </c>
      <c r="B1429" s="93" t="str">
        <f aca="false">IF('CARNET DE SOUDURE'!E1429="","",'CARNET DE SOUDURE'!B1429&amp;"")</f>
        <v/>
      </c>
      <c r="C1429" s="83" t="str">
        <f aca="false">IF('CARNET DE SOUDURE'!E1429="","",'CARNET DE SOUDURE'!E1429)</f>
        <v/>
      </c>
      <c r="D1429" s="78" t="str">
        <f aca="false">IF('CARNET DE SOUDURE'!E1429="","",'CARNET DE SOUDURE'!D1429&amp;"")</f>
        <v/>
      </c>
      <c r="E1429" s="96" t="str">
        <f aca="false">IF(OR('CARNET DE SOUDURE'!E1429="",'CARNET DE SOUDURE'!R1429=""),"",'CARNET DE SOUDURE'!R1429)</f>
        <v/>
      </c>
      <c r="F1429" s="81" t="str">
        <f aca="false">IF('CARNET DE SOUDURE'!E1429="","",'CARNET DE SOUDURE'!AL1429)</f>
        <v/>
      </c>
      <c r="G1429" s="81" t="str">
        <f aca="false">IF('CARNET DE SOUDURE'!E1429="","",'CARNET DE SOUDURE'!AM1429)</f>
        <v/>
      </c>
      <c r="H1429" s="81" t="str">
        <f aca="false">IF(C1429="","",IF(G1429="ACCEPTÉ","OUI","NON"))</f>
        <v/>
      </c>
      <c r="I1429" s="82"/>
      <c r="J1429" s="79"/>
      <c r="K1429" s="80"/>
      <c r="L1429" s="80"/>
      <c r="M1429" s="80"/>
      <c r="N1429" s="83" t="str">
        <f aca="false">IF(C1429="","",IF(I1429="",IF(H1429="OUI","À ENROBER",IF(G1429="À SOUDER","NON SOUDÉ","EN ATTENTE RT")),IF(L1429="R","À REPRENDRE",IF(H1429&lt;&gt;"OUI","⚠ ENROBÉ AVANT ACCEPTATION RT","ENROBÉ"))))</f>
        <v/>
      </c>
      <c r="O1429" s="79"/>
    </row>
    <row r="1430" customFormat="false" ht="15" hidden="false" customHeight="false" outlineLevel="0" collapsed="false">
      <c r="A1430" s="78" t="str">
        <f aca="false">IF('CARNET DE SOUDURE'!E1430="","",'CARNET DE SOUDURE'!A1430)</f>
        <v/>
      </c>
      <c r="B1430" s="93" t="str">
        <f aca="false">IF('CARNET DE SOUDURE'!E1430="","",'CARNET DE SOUDURE'!B1430&amp;"")</f>
        <v/>
      </c>
      <c r="C1430" s="83" t="str">
        <f aca="false">IF('CARNET DE SOUDURE'!E1430="","",'CARNET DE SOUDURE'!E1430)</f>
        <v/>
      </c>
      <c r="D1430" s="78" t="str">
        <f aca="false">IF('CARNET DE SOUDURE'!E1430="","",'CARNET DE SOUDURE'!D1430&amp;"")</f>
        <v/>
      </c>
      <c r="E1430" s="96" t="str">
        <f aca="false">IF(OR('CARNET DE SOUDURE'!E1430="",'CARNET DE SOUDURE'!R1430=""),"",'CARNET DE SOUDURE'!R1430)</f>
        <v/>
      </c>
      <c r="F1430" s="81" t="str">
        <f aca="false">IF('CARNET DE SOUDURE'!E1430="","",'CARNET DE SOUDURE'!AL1430)</f>
        <v/>
      </c>
      <c r="G1430" s="81" t="str">
        <f aca="false">IF('CARNET DE SOUDURE'!E1430="","",'CARNET DE SOUDURE'!AM1430)</f>
        <v/>
      </c>
      <c r="H1430" s="81" t="str">
        <f aca="false">IF(C1430="","",IF(G1430="ACCEPTÉ","OUI","NON"))</f>
        <v/>
      </c>
      <c r="I1430" s="82"/>
      <c r="J1430" s="79"/>
      <c r="K1430" s="80"/>
      <c r="L1430" s="80"/>
      <c r="M1430" s="80"/>
      <c r="N1430" s="83" t="str">
        <f aca="false">IF(C1430="","",IF(I1430="",IF(H1430="OUI","À ENROBER",IF(G1430="À SOUDER","NON SOUDÉ","EN ATTENTE RT")),IF(L1430="R","À REPRENDRE",IF(H1430&lt;&gt;"OUI","⚠ ENROBÉ AVANT ACCEPTATION RT","ENROBÉ"))))</f>
        <v/>
      </c>
      <c r="O1430" s="79"/>
    </row>
    <row r="1431" customFormat="false" ht="15" hidden="false" customHeight="false" outlineLevel="0" collapsed="false">
      <c r="A1431" s="78" t="str">
        <f aca="false">IF('CARNET DE SOUDURE'!E1431="","",'CARNET DE SOUDURE'!A1431)</f>
        <v/>
      </c>
      <c r="B1431" s="93" t="str">
        <f aca="false">IF('CARNET DE SOUDURE'!E1431="","",'CARNET DE SOUDURE'!B1431&amp;"")</f>
        <v/>
      </c>
      <c r="C1431" s="83" t="str">
        <f aca="false">IF('CARNET DE SOUDURE'!E1431="","",'CARNET DE SOUDURE'!E1431)</f>
        <v/>
      </c>
      <c r="D1431" s="78" t="str">
        <f aca="false">IF('CARNET DE SOUDURE'!E1431="","",'CARNET DE SOUDURE'!D1431&amp;"")</f>
        <v/>
      </c>
      <c r="E1431" s="96" t="str">
        <f aca="false">IF(OR('CARNET DE SOUDURE'!E1431="",'CARNET DE SOUDURE'!R1431=""),"",'CARNET DE SOUDURE'!R1431)</f>
        <v/>
      </c>
      <c r="F1431" s="81" t="str">
        <f aca="false">IF('CARNET DE SOUDURE'!E1431="","",'CARNET DE SOUDURE'!AL1431)</f>
        <v/>
      </c>
      <c r="G1431" s="81" t="str">
        <f aca="false">IF('CARNET DE SOUDURE'!E1431="","",'CARNET DE SOUDURE'!AM1431)</f>
        <v/>
      </c>
      <c r="H1431" s="81" t="str">
        <f aca="false">IF(C1431="","",IF(G1431="ACCEPTÉ","OUI","NON"))</f>
        <v/>
      </c>
      <c r="I1431" s="82"/>
      <c r="J1431" s="79"/>
      <c r="K1431" s="80"/>
      <c r="L1431" s="80"/>
      <c r="M1431" s="80"/>
      <c r="N1431" s="83" t="str">
        <f aca="false">IF(C1431="","",IF(I1431="",IF(H1431="OUI","À ENROBER",IF(G1431="À SOUDER","NON SOUDÉ","EN ATTENTE RT")),IF(L1431="R","À REPRENDRE",IF(H1431&lt;&gt;"OUI","⚠ ENROBÉ AVANT ACCEPTATION RT","ENROBÉ"))))</f>
        <v/>
      </c>
      <c r="O1431" s="79"/>
    </row>
    <row r="1432" customFormat="false" ht="15" hidden="false" customHeight="false" outlineLevel="0" collapsed="false">
      <c r="A1432" s="78" t="str">
        <f aca="false">IF('CARNET DE SOUDURE'!E1432="","",'CARNET DE SOUDURE'!A1432)</f>
        <v/>
      </c>
      <c r="B1432" s="93" t="str">
        <f aca="false">IF('CARNET DE SOUDURE'!E1432="","",'CARNET DE SOUDURE'!B1432&amp;"")</f>
        <v/>
      </c>
      <c r="C1432" s="83" t="str">
        <f aca="false">IF('CARNET DE SOUDURE'!E1432="","",'CARNET DE SOUDURE'!E1432)</f>
        <v/>
      </c>
      <c r="D1432" s="78" t="str">
        <f aca="false">IF('CARNET DE SOUDURE'!E1432="","",'CARNET DE SOUDURE'!D1432&amp;"")</f>
        <v/>
      </c>
      <c r="E1432" s="96" t="str">
        <f aca="false">IF(OR('CARNET DE SOUDURE'!E1432="",'CARNET DE SOUDURE'!R1432=""),"",'CARNET DE SOUDURE'!R1432)</f>
        <v/>
      </c>
      <c r="F1432" s="81" t="str">
        <f aca="false">IF('CARNET DE SOUDURE'!E1432="","",'CARNET DE SOUDURE'!AL1432)</f>
        <v/>
      </c>
      <c r="G1432" s="81" t="str">
        <f aca="false">IF('CARNET DE SOUDURE'!E1432="","",'CARNET DE SOUDURE'!AM1432)</f>
        <v/>
      </c>
      <c r="H1432" s="81" t="str">
        <f aca="false">IF(C1432="","",IF(G1432="ACCEPTÉ","OUI","NON"))</f>
        <v/>
      </c>
      <c r="I1432" s="82"/>
      <c r="J1432" s="79"/>
      <c r="K1432" s="80"/>
      <c r="L1432" s="80"/>
      <c r="M1432" s="80"/>
      <c r="N1432" s="83" t="str">
        <f aca="false">IF(C1432="","",IF(I1432="",IF(H1432="OUI","À ENROBER",IF(G1432="À SOUDER","NON SOUDÉ","EN ATTENTE RT")),IF(L1432="R","À REPRENDRE",IF(H1432&lt;&gt;"OUI","⚠ ENROBÉ AVANT ACCEPTATION RT","ENROBÉ"))))</f>
        <v/>
      </c>
      <c r="O1432" s="79"/>
    </row>
    <row r="1433" customFormat="false" ht="15" hidden="false" customHeight="false" outlineLevel="0" collapsed="false">
      <c r="A1433" s="78" t="str">
        <f aca="false">IF('CARNET DE SOUDURE'!E1433="","",'CARNET DE SOUDURE'!A1433)</f>
        <v/>
      </c>
      <c r="B1433" s="93" t="str">
        <f aca="false">IF('CARNET DE SOUDURE'!E1433="","",'CARNET DE SOUDURE'!B1433&amp;"")</f>
        <v/>
      </c>
      <c r="C1433" s="83" t="str">
        <f aca="false">IF('CARNET DE SOUDURE'!E1433="","",'CARNET DE SOUDURE'!E1433)</f>
        <v/>
      </c>
      <c r="D1433" s="78" t="str">
        <f aca="false">IF('CARNET DE SOUDURE'!E1433="","",'CARNET DE SOUDURE'!D1433&amp;"")</f>
        <v/>
      </c>
      <c r="E1433" s="96" t="str">
        <f aca="false">IF(OR('CARNET DE SOUDURE'!E1433="",'CARNET DE SOUDURE'!R1433=""),"",'CARNET DE SOUDURE'!R1433)</f>
        <v/>
      </c>
      <c r="F1433" s="81" t="str">
        <f aca="false">IF('CARNET DE SOUDURE'!E1433="","",'CARNET DE SOUDURE'!AL1433)</f>
        <v/>
      </c>
      <c r="G1433" s="81" t="str">
        <f aca="false">IF('CARNET DE SOUDURE'!E1433="","",'CARNET DE SOUDURE'!AM1433)</f>
        <v/>
      </c>
      <c r="H1433" s="81" t="str">
        <f aca="false">IF(C1433="","",IF(G1433="ACCEPTÉ","OUI","NON"))</f>
        <v/>
      </c>
      <c r="I1433" s="82"/>
      <c r="J1433" s="79"/>
      <c r="K1433" s="80"/>
      <c r="L1433" s="80"/>
      <c r="M1433" s="80"/>
      <c r="N1433" s="83" t="str">
        <f aca="false">IF(C1433="","",IF(I1433="",IF(H1433="OUI","À ENROBER",IF(G1433="À SOUDER","NON SOUDÉ","EN ATTENTE RT")),IF(L1433="R","À REPRENDRE",IF(H1433&lt;&gt;"OUI","⚠ ENROBÉ AVANT ACCEPTATION RT","ENROBÉ"))))</f>
        <v/>
      </c>
      <c r="O1433" s="79"/>
    </row>
    <row r="1434" customFormat="false" ht="15" hidden="false" customHeight="false" outlineLevel="0" collapsed="false">
      <c r="A1434" s="78" t="str">
        <f aca="false">IF('CARNET DE SOUDURE'!E1434="","",'CARNET DE SOUDURE'!A1434)</f>
        <v/>
      </c>
      <c r="B1434" s="93" t="str">
        <f aca="false">IF('CARNET DE SOUDURE'!E1434="","",'CARNET DE SOUDURE'!B1434&amp;"")</f>
        <v/>
      </c>
      <c r="C1434" s="83" t="str">
        <f aca="false">IF('CARNET DE SOUDURE'!E1434="","",'CARNET DE SOUDURE'!E1434)</f>
        <v/>
      </c>
      <c r="D1434" s="78" t="str">
        <f aca="false">IF('CARNET DE SOUDURE'!E1434="","",'CARNET DE SOUDURE'!D1434&amp;"")</f>
        <v/>
      </c>
      <c r="E1434" s="96" t="str">
        <f aca="false">IF(OR('CARNET DE SOUDURE'!E1434="",'CARNET DE SOUDURE'!R1434=""),"",'CARNET DE SOUDURE'!R1434)</f>
        <v/>
      </c>
      <c r="F1434" s="81" t="str">
        <f aca="false">IF('CARNET DE SOUDURE'!E1434="","",'CARNET DE SOUDURE'!AL1434)</f>
        <v/>
      </c>
      <c r="G1434" s="81" t="str">
        <f aca="false">IF('CARNET DE SOUDURE'!E1434="","",'CARNET DE SOUDURE'!AM1434)</f>
        <v/>
      </c>
      <c r="H1434" s="81" t="str">
        <f aca="false">IF(C1434="","",IF(G1434="ACCEPTÉ","OUI","NON"))</f>
        <v/>
      </c>
      <c r="I1434" s="82"/>
      <c r="J1434" s="79"/>
      <c r="K1434" s="80"/>
      <c r="L1434" s="80"/>
      <c r="M1434" s="80"/>
      <c r="N1434" s="83" t="str">
        <f aca="false">IF(C1434="","",IF(I1434="",IF(H1434="OUI","À ENROBER",IF(G1434="À SOUDER","NON SOUDÉ","EN ATTENTE RT")),IF(L1434="R","À REPRENDRE",IF(H1434&lt;&gt;"OUI","⚠ ENROBÉ AVANT ACCEPTATION RT","ENROBÉ"))))</f>
        <v/>
      </c>
      <c r="O1434" s="79"/>
    </row>
    <row r="1435" customFormat="false" ht="15" hidden="false" customHeight="false" outlineLevel="0" collapsed="false">
      <c r="A1435" s="78" t="str">
        <f aca="false">IF('CARNET DE SOUDURE'!E1435="","",'CARNET DE SOUDURE'!A1435)</f>
        <v/>
      </c>
      <c r="B1435" s="93" t="str">
        <f aca="false">IF('CARNET DE SOUDURE'!E1435="","",'CARNET DE SOUDURE'!B1435&amp;"")</f>
        <v/>
      </c>
      <c r="C1435" s="83" t="str">
        <f aca="false">IF('CARNET DE SOUDURE'!E1435="","",'CARNET DE SOUDURE'!E1435)</f>
        <v/>
      </c>
      <c r="D1435" s="78" t="str">
        <f aca="false">IF('CARNET DE SOUDURE'!E1435="","",'CARNET DE SOUDURE'!D1435&amp;"")</f>
        <v/>
      </c>
      <c r="E1435" s="96" t="str">
        <f aca="false">IF(OR('CARNET DE SOUDURE'!E1435="",'CARNET DE SOUDURE'!R1435=""),"",'CARNET DE SOUDURE'!R1435)</f>
        <v/>
      </c>
      <c r="F1435" s="81" t="str">
        <f aca="false">IF('CARNET DE SOUDURE'!E1435="","",'CARNET DE SOUDURE'!AL1435)</f>
        <v/>
      </c>
      <c r="G1435" s="81" t="str">
        <f aca="false">IF('CARNET DE SOUDURE'!E1435="","",'CARNET DE SOUDURE'!AM1435)</f>
        <v/>
      </c>
      <c r="H1435" s="81" t="str">
        <f aca="false">IF(C1435="","",IF(G1435="ACCEPTÉ","OUI","NON"))</f>
        <v/>
      </c>
      <c r="I1435" s="82"/>
      <c r="J1435" s="79"/>
      <c r="K1435" s="80"/>
      <c r="L1435" s="80"/>
      <c r="M1435" s="80"/>
      <c r="N1435" s="83" t="str">
        <f aca="false">IF(C1435="","",IF(I1435="",IF(H1435="OUI","À ENROBER",IF(G1435="À SOUDER","NON SOUDÉ","EN ATTENTE RT")),IF(L1435="R","À REPRENDRE",IF(H1435&lt;&gt;"OUI","⚠ ENROBÉ AVANT ACCEPTATION RT","ENROBÉ"))))</f>
        <v/>
      </c>
      <c r="O1435" s="79"/>
    </row>
    <row r="1436" customFormat="false" ht="15" hidden="false" customHeight="false" outlineLevel="0" collapsed="false">
      <c r="A1436" s="78" t="str">
        <f aca="false">IF('CARNET DE SOUDURE'!E1436="","",'CARNET DE SOUDURE'!A1436)</f>
        <v/>
      </c>
      <c r="B1436" s="93" t="str">
        <f aca="false">IF('CARNET DE SOUDURE'!E1436="","",'CARNET DE SOUDURE'!B1436&amp;"")</f>
        <v/>
      </c>
      <c r="C1436" s="83" t="str">
        <f aca="false">IF('CARNET DE SOUDURE'!E1436="","",'CARNET DE SOUDURE'!E1436)</f>
        <v/>
      </c>
      <c r="D1436" s="78" t="str">
        <f aca="false">IF('CARNET DE SOUDURE'!E1436="","",'CARNET DE SOUDURE'!D1436&amp;"")</f>
        <v/>
      </c>
      <c r="E1436" s="96" t="str">
        <f aca="false">IF(OR('CARNET DE SOUDURE'!E1436="",'CARNET DE SOUDURE'!R1436=""),"",'CARNET DE SOUDURE'!R1436)</f>
        <v/>
      </c>
      <c r="F1436" s="81" t="str">
        <f aca="false">IF('CARNET DE SOUDURE'!E1436="","",'CARNET DE SOUDURE'!AL1436)</f>
        <v/>
      </c>
      <c r="G1436" s="81" t="str">
        <f aca="false">IF('CARNET DE SOUDURE'!E1436="","",'CARNET DE SOUDURE'!AM1436)</f>
        <v/>
      </c>
      <c r="H1436" s="81" t="str">
        <f aca="false">IF(C1436="","",IF(G1436="ACCEPTÉ","OUI","NON"))</f>
        <v/>
      </c>
      <c r="I1436" s="82"/>
      <c r="J1436" s="79"/>
      <c r="K1436" s="80"/>
      <c r="L1436" s="80"/>
      <c r="M1436" s="80"/>
      <c r="N1436" s="83" t="str">
        <f aca="false">IF(C1436="","",IF(I1436="",IF(H1436="OUI","À ENROBER",IF(G1436="À SOUDER","NON SOUDÉ","EN ATTENTE RT")),IF(L1436="R","À REPRENDRE",IF(H1436&lt;&gt;"OUI","⚠ ENROBÉ AVANT ACCEPTATION RT","ENROBÉ"))))</f>
        <v/>
      </c>
      <c r="O1436" s="79"/>
    </row>
    <row r="1437" customFormat="false" ht="15" hidden="false" customHeight="false" outlineLevel="0" collapsed="false">
      <c r="A1437" s="78" t="str">
        <f aca="false">IF('CARNET DE SOUDURE'!E1437="","",'CARNET DE SOUDURE'!A1437)</f>
        <v/>
      </c>
      <c r="B1437" s="93" t="str">
        <f aca="false">IF('CARNET DE SOUDURE'!E1437="","",'CARNET DE SOUDURE'!B1437&amp;"")</f>
        <v/>
      </c>
      <c r="C1437" s="83" t="str">
        <f aca="false">IF('CARNET DE SOUDURE'!E1437="","",'CARNET DE SOUDURE'!E1437)</f>
        <v/>
      </c>
      <c r="D1437" s="78" t="str">
        <f aca="false">IF('CARNET DE SOUDURE'!E1437="","",'CARNET DE SOUDURE'!D1437&amp;"")</f>
        <v/>
      </c>
      <c r="E1437" s="96" t="str">
        <f aca="false">IF(OR('CARNET DE SOUDURE'!E1437="",'CARNET DE SOUDURE'!R1437=""),"",'CARNET DE SOUDURE'!R1437)</f>
        <v/>
      </c>
      <c r="F1437" s="81" t="str">
        <f aca="false">IF('CARNET DE SOUDURE'!E1437="","",'CARNET DE SOUDURE'!AL1437)</f>
        <v/>
      </c>
      <c r="G1437" s="81" t="str">
        <f aca="false">IF('CARNET DE SOUDURE'!E1437="","",'CARNET DE SOUDURE'!AM1437)</f>
        <v/>
      </c>
      <c r="H1437" s="81" t="str">
        <f aca="false">IF(C1437="","",IF(G1437="ACCEPTÉ","OUI","NON"))</f>
        <v/>
      </c>
      <c r="I1437" s="82"/>
      <c r="J1437" s="79"/>
      <c r="K1437" s="80"/>
      <c r="L1437" s="80"/>
      <c r="M1437" s="80"/>
      <c r="N1437" s="83" t="str">
        <f aca="false">IF(C1437="","",IF(I1437="",IF(H1437="OUI","À ENROBER",IF(G1437="À SOUDER","NON SOUDÉ","EN ATTENTE RT")),IF(L1437="R","À REPRENDRE",IF(H1437&lt;&gt;"OUI","⚠ ENROBÉ AVANT ACCEPTATION RT","ENROBÉ"))))</f>
        <v/>
      </c>
      <c r="O1437" s="79"/>
    </row>
    <row r="1438" customFormat="false" ht="15" hidden="false" customHeight="false" outlineLevel="0" collapsed="false">
      <c r="A1438" s="78" t="str">
        <f aca="false">IF('CARNET DE SOUDURE'!E1438="","",'CARNET DE SOUDURE'!A1438)</f>
        <v/>
      </c>
      <c r="B1438" s="93" t="str">
        <f aca="false">IF('CARNET DE SOUDURE'!E1438="","",'CARNET DE SOUDURE'!B1438&amp;"")</f>
        <v/>
      </c>
      <c r="C1438" s="83" t="str">
        <f aca="false">IF('CARNET DE SOUDURE'!E1438="","",'CARNET DE SOUDURE'!E1438)</f>
        <v/>
      </c>
      <c r="D1438" s="78" t="str">
        <f aca="false">IF('CARNET DE SOUDURE'!E1438="","",'CARNET DE SOUDURE'!D1438&amp;"")</f>
        <v/>
      </c>
      <c r="E1438" s="96" t="str">
        <f aca="false">IF(OR('CARNET DE SOUDURE'!E1438="",'CARNET DE SOUDURE'!R1438=""),"",'CARNET DE SOUDURE'!R1438)</f>
        <v/>
      </c>
      <c r="F1438" s="81" t="str">
        <f aca="false">IF('CARNET DE SOUDURE'!E1438="","",'CARNET DE SOUDURE'!AL1438)</f>
        <v/>
      </c>
      <c r="G1438" s="81" t="str">
        <f aca="false">IF('CARNET DE SOUDURE'!E1438="","",'CARNET DE SOUDURE'!AM1438)</f>
        <v/>
      </c>
      <c r="H1438" s="81" t="str">
        <f aca="false">IF(C1438="","",IF(G1438="ACCEPTÉ","OUI","NON"))</f>
        <v/>
      </c>
      <c r="I1438" s="82"/>
      <c r="J1438" s="79"/>
      <c r="K1438" s="80"/>
      <c r="L1438" s="80"/>
      <c r="M1438" s="80"/>
      <c r="N1438" s="83" t="str">
        <f aca="false">IF(C1438="","",IF(I1438="",IF(H1438="OUI","À ENROBER",IF(G1438="À SOUDER","NON SOUDÉ","EN ATTENTE RT")),IF(L1438="R","À REPRENDRE",IF(H1438&lt;&gt;"OUI","⚠ ENROBÉ AVANT ACCEPTATION RT","ENROBÉ"))))</f>
        <v/>
      </c>
      <c r="O1438" s="79"/>
    </row>
    <row r="1439" customFormat="false" ht="15" hidden="false" customHeight="false" outlineLevel="0" collapsed="false">
      <c r="A1439" s="78" t="str">
        <f aca="false">IF('CARNET DE SOUDURE'!E1439="","",'CARNET DE SOUDURE'!A1439)</f>
        <v/>
      </c>
      <c r="B1439" s="93" t="str">
        <f aca="false">IF('CARNET DE SOUDURE'!E1439="","",'CARNET DE SOUDURE'!B1439&amp;"")</f>
        <v/>
      </c>
      <c r="C1439" s="83" t="str">
        <f aca="false">IF('CARNET DE SOUDURE'!E1439="","",'CARNET DE SOUDURE'!E1439)</f>
        <v/>
      </c>
      <c r="D1439" s="78" t="str">
        <f aca="false">IF('CARNET DE SOUDURE'!E1439="","",'CARNET DE SOUDURE'!D1439&amp;"")</f>
        <v/>
      </c>
      <c r="E1439" s="96" t="str">
        <f aca="false">IF(OR('CARNET DE SOUDURE'!E1439="",'CARNET DE SOUDURE'!R1439=""),"",'CARNET DE SOUDURE'!R1439)</f>
        <v/>
      </c>
      <c r="F1439" s="81" t="str">
        <f aca="false">IF('CARNET DE SOUDURE'!E1439="","",'CARNET DE SOUDURE'!AL1439)</f>
        <v/>
      </c>
      <c r="G1439" s="81" t="str">
        <f aca="false">IF('CARNET DE SOUDURE'!E1439="","",'CARNET DE SOUDURE'!AM1439)</f>
        <v/>
      </c>
      <c r="H1439" s="81" t="str">
        <f aca="false">IF(C1439="","",IF(G1439="ACCEPTÉ","OUI","NON"))</f>
        <v/>
      </c>
      <c r="I1439" s="82"/>
      <c r="J1439" s="79"/>
      <c r="K1439" s="80"/>
      <c r="L1439" s="80"/>
      <c r="M1439" s="80"/>
      <c r="N1439" s="83" t="str">
        <f aca="false">IF(C1439="","",IF(I1439="",IF(H1439="OUI","À ENROBER",IF(G1439="À SOUDER","NON SOUDÉ","EN ATTENTE RT")),IF(L1439="R","À REPRENDRE",IF(H1439&lt;&gt;"OUI","⚠ ENROBÉ AVANT ACCEPTATION RT","ENROBÉ"))))</f>
        <v/>
      </c>
      <c r="O1439" s="79"/>
    </row>
    <row r="1440" customFormat="false" ht="15" hidden="false" customHeight="false" outlineLevel="0" collapsed="false">
      <c r="A1440" s="78" t="str">
        <f aca="false">IF('CARNET DE SOUDURE'!E1440="","",'CARNET DE SOUDURE'!A1440)</f>
        <v/>
      </c>
      <c r="B1440" s="93" t="str">
        <f aca="false">IF('CARNET DE SOUDURE'!E1440="","",'CARNET DE SOUDURE'!B1440&amp;"")</f>
        <v/>
      </c>
      <c r="C1440" s="83" t="str">
        <f aca="false">IF('CARNET DE SOUDURE'!E1440="","",'CARNET DE SOUDURE'!E1440)</f>
        <v/>
      </c>
      <c r="D1440" s="78" t="str">
        <f aca="false">IF('CARNET DE SOUDURE'!E1440="","",'CARNET DE SOUDURE'!D1440&amp;"")</f>
        <v/>
      </c>
      <c r="E1440" s="96" t="str">
        <f aca="false">IF(OR('CARNET DE SOUDURE'!E1440="",'CARNET DE SOUDURE'!R1440=""),"",'CARNET DE SOUDURE'!R1440)</f>
        <v/>
      </c>
      <c r="F1440" s="81" t="str">
        <f aca="false">IF('CARNET DE SOUDURE'!E1440="","",'CARNET DE SOUDURE'!AL1440)</f>
        <v/>
      </c>
      <c r="G1440" s="81" t="str">
        <f aca="false">IF('CARNET DE SOUDURE'!E1440="","",'CARNET DE SOUDURE'!AM1440)</f>
        <v/>
      </c>
      <c r="H1440" s="81" t="str">
        <f aca="false">IF(C1440="","",IF(G1440="ACCEPTÉ","OUI","NON"))</f>
        <v/>
      </c>
      <c r="I1440" s="82"/>
      <c r="J1440" s="79"/>
      <c r="K1440" s="80"/>
      <c r="L1440" s="80"/>
      <c r="M1440" s="80"/>
      <c r="N1440" s="83" t="str">
        <f aca="false">IF(C1440="","",IF(I1440="",IF(H1440="OUI","À ENROBER",IF(G1440="À SOUDER","NON SOUDÉ","EN ATTENTE RT")),IF(L1440="R","À REPRENDRE",IF(H1440&lt;&gt;"OUI","⚠ ENROBÉ AVANT ACCEPTATION RT","ENROBÉ"))))</f>
        <v/>
      </c>
      <c r="O1440" s="79"/>
    </row>
    <row r="1441" customFormat="false" ht="15" hidden="false" customHeight="false" outlineLevel="0" collapsed="false">
      <c r="A1441" s="78" t="str">
        <f aca="false">IF('CARNET DE SOUDURE'!E1441="","",'CARNET DE SOUDURE'!A1441)</f>
        <v/>
      </c>
      <c r="B1441" s="93" t="str">
        <f aca="false">IF('CARNET DE SOUDURE'!E1441="","",'CARNET DE SOUDURE'!B1441&amp;"")</f>
        <v/>
      </c>
      <c r="C1441" s="83" t="str">
        <f aca="false">IF('CARNET DE SOUDURE'!E1441="","",'CARNET DE SOUDURE'!E1441)</f>
        <v/>
      </c>
      <c r="D1441" s="78" t="str">
        <f aca="false">IF('CARNET DE SOUDURE'!E1441="","",'CARNET DE SOUDURE'!D1441&amp;"")</f>
        <v/>
      </c>
      <c r="E1441" s="96" t="str">
        <f aca="false">IF(OR('CARNET DE SOUDURE'!E1441="",'CARNET DE SOUDURE'!R1441=""),"",'CARNET DE SOUDURE'!R1441)</f>
        <v/>
      </c>
      <c r="F1441" s="81" t="str">
        <f aca="false">IF('CARNET DE SOUDURE'!E1441="","",'CARNET DE SOUDURE'!AL1441)</f>
        <v/>
      </c>
      <c r="G1441" s="81" t="str">
        <f aca="false">IF('CARNET DE SOUDURE'!E1441="","",'CARNET DE SOUDURE'!AM1441)</f>
        <v/>
      </c>
      <c r="H1441" s="81" t="str">
        <f aca="false">IF(C1441="","",IF(G1441="ACCEPTÉ","OUI","NON"))</f>
        <v/>
      </c>
      <c r="I1441" s="82"/>
      <c r="J1441" s="79"/>
      <c r="K1441" s="80"/>
      <c r="L1441" s="80"/>
      <c r="M1441" s="80"/>
      <c r="N1441" s="83" t="str">
        <f aca="false">IF(C1441="","",IF(I1441="",IF(H1441="OUI","À ENROBER",IF(G1441="À SOUDER","NON SOUDÉ","EN ATTENTE RT")),IF(L1441="R","À REPRENDRE",IF(H1441&lt;&gt;"OUI","⚠ ENROBÉ AVANT ACCEPTATION RT","ENROBÉ"))))</f>
        <v/>
      </c>
      <c r="O1441" s="79"/>
    </row>
    <row r="1442" customFormat="false" ht="15" hidden="false" customHeight="false" outlineLevel="0" collapsed="false">
      <c r="A1442" s="78" t="str">
        <f aca="false">IF('CARNET DE SOUDURE'!E1442="","",'CARNET DE SOUDURE'!A1442)</f>
        <v/>
      </c>
      <c r="B1442" s="93" t="str">
        <f aca="false">IF('CARNET DE SOUDURE'!E1442="","",'CARNET DE SOUDURE'!B1442&amp;"")</f>
        <v/>
      </c>
      <c r="C1442" s="83" t="str">
        <f aca="false">IF('CARNET DE SOUDURE'!E1442="","",'CARNET DE SOUDURE'!E1442)</f>
        <v/>
      </c>
      <c r="D1442" s="78" t="str">
        <f aca="false">IF('CARNET DE SOUDURE'!E1442="","",'CARNET DE SOUDURE'!D1442&amp;"")</f>
        <v/>
      </c>
      <c r="E1442" s="96" t="str">
        <f aca="false">IF(OR('CARNET DE SOUDURE'!E1442="",'CARNET DE SOUDURE'!R1442=""),"",'CARNET DE SOUDURE'!R1442)</f>
        <v/>
      </c>
      <c r="F1442" s="81" t="str">
        <f aca="false">IF('CARNET DE SOUDURE'!E1442="","",'CARNET DE SOUDURE'!AL1442)</f>
        <v/>
      </c>
      <c r="G1442" s="81" t="str">
        <f aca="false">IF('CARNET DE SOUDURE'!E1442="","",'CARNET DE SOUDURE'!AM1442)</f>
        <v/>
      </c>
      <c r="H1442" s="81" t="str">
        <f aca="false">IF(C1442="","",IF(G1442="ACCEPTÉ","OUI","NON"))</f>
        <v/>
      </c>
      <c r="I1442" s="82"/>
      <c r="J1442" s="79"/>
      <c r="K1442" s="80"/>
      <c r="L1442" s="80"/>
      <c r="M1442" s="80"/>
      <c r="N1442" s="83" t="str">
        <f aca="false">IF(C1442="","",IF(I1442="",IF(H1442="OUI","À ENROBER",IF(G1442="À SOUDER","NON SOUDÉ","EN ATTENTE RT")),IF(L1442="R","À REPRENDRE",IF(H1442&lt;&gt;"OUI","⚠ ENROBÉ AVANT ACCEPTATION RT","ENROBÉ"))))</f>
        <v/>
      </c>
      <c r="O1442" s="79"/>
    </row>
    <row r="1443" customFormat="false" ht="15" hidden="false" customHeight="false" outlineLevel="0" collapsed="false">
      <c r="A1443" s="78" t="str">
        <f aca="false">IF('CARNET DE SOUDURE'!E1443="","",'CARNET DE SOUDURE'!A1443)</f>
        <v/>
      </c>
      <c r="B1443" s="93" t="str">
        <f aca="false">IF('CARNET DE SOUDURE'!E1443="","",'CARNET DE SOUDURE'!B1443&amp;"")</f>
        <v/>
      </c>
      <c r="C1443" s="83" t="str">
        <f aca="false">IF('CARNET DE SOUDURE'!E1443="","",'CARNET DE SOUDURE'!E1443)</f>
        <v/>
      </c>
      <c r="D1443" s="78" t="str">
        <f aca="false">IF('CARNET DE SOUDURE'!E1443="","",'CARNET DE SOUDURE'!D1443&amp;"")</f>
        <v/>
      </c>
      <c r="E1443" s="96" t="str">
        <f aca="false">IF(OR('CARNET DE SOUDURE'!E1443="",'CARNET DE SOUDURE'!R1443=""),"",'CARNET DE SOUDURE'!R1443)</f>
        <v/>
      </c>
      <c r="F1443" s="81" t="str">
        <f aca="false">IF('CARNET DE SOUDURE'!E1443="","",'CARNET DE SOUDURE'!AL1443)</f>
        <v/>
      </c>
      <c r="G1443" s="81" t="str">
        <f aca="false">IF('CARNET DE SOUDURE'!E1443="","",'CARNET DE SOUDURE'!AM1443)</f>
        <v/>
      </c>
      <c r="H1443" s="81" t="str">
        <f aca="false">IF(C1443="","",IF(G1443="ACCEPTÉ","OUI","NON"))</f>
        <v/>
      </c>
      <c r="I1443" s="82"/>
      <c r="J1443" s="79"/>
      <c r="K1443" s="80"/>
      <c r="L1443" s="80"/>
      <c r="M1443" s="80"/>
      <c r="N1443" s="83" t="str">
        <f aca="false">IF(C1443="","",IF(I1443="",IF(H1443="OUI","À ENROBER",IF(G1443="À SOUDER","NON SOUDÉ","EN ATTENTE RT")),IF(L1443="R","À REPRENDRE",IF(H1443&lt;&gt;"OUI","⚠ ENROBÉ AVANT ACCEPTATION RT","ENROBÉ"))))</f>
        <v/>
      </c>
      <c r="O1443" s="79"/>
    </row>
    <row r="1444" customFormat="false" ht="15" hidden="false" customHeight="false" outlineLevel="0" collapsed="false">
      <c r="A1444" s="78" t="str">
        <f aca="false">IF('CARNET DE SOUDURE'!E1444="","",'CARNET DE SOUDURE'!A1444)</f>
        <v/>
      </c>
      <c r="B1444" s="93" t="str">
        <f aca="false">IF('CARNET DE SOUDURE'!E1444="","",'CARNET DE SOUDURE'!B1444&amp;"")</f>
        <v/>
      </c>
      <c r="C1444" s="83" t="str">
        <f aca="false">IF('CARNET DE SOUDURE'!E1444="","",'CARNET DE SOUDURE'!E1444)</f>
        <v/>
      </c>
      <c r="D1444" s="78" t="str">
        <f aca="false">IF('CARNET DE SOUDURE'!E1444="","",'CARNET DE SOUDURE'!D1444&amp;"")</f>
        <v/>
      </c>
      <c r="E1444" s="96" t="str">
        <f aca="false">IF(OR('CARNET DE SOUDURE'!E1444="",'CARNET DE SOUDURE'!R1444=""),"",'CARNET DE SOUDURE'!R1444)</f>
        <v/>
      </c>
      <c r="F1444" s="81" t="str">
        <f aca="false">IF('CARNET DE SOUDURE'!E1444="","",'CARNET DE SOUDURE'!AL1444)</f>
        <v/>
      </c>
      <c r="G1444" s="81" t="str">
        <f aca="false">IF('CARNET DE SOUDURE'!E1444="","",'CARNET DE SOUDURE'!AM1444)</f>
        <v/>
      </c>
      <c r="H1444" s="81" t="str">
        <f aca="false">IF(C1444="","",IF(G1444="ACCEPTÉ","OUI","NON"))</f>
        <v/>
      </c>
      <c r="I1444" s="82"/>
      <c r="J1444" s="79"/>
      <c r="K1444" s="80"/>
      <c r="L1444" s="80"/>
      <c r="M1444" s="80"/>
      <c r="N1444" s="83" t="str">
        <f aca="false">IF(C1444="","",IF(I1444="",IF(H1444="OUI","À ENROBER",IF(G1444="À SOUDER","NON SOUDÉ","EN ATTENTE RT")),IF(L1444="R","À REPRENDRE",IF(H1444&lt;&gt;"OUI","⚠ ENROBÉ AVANT ACCEPTATION RT","ENROBÉ"))))</f>
        <v/>
      </c>
      <c r="O1444" s="79"/>
    </row>
    <row r="1445" customFormat="false" ht="15" hidden="false" customHeight="false" outlineLevel="0" collapsed="false">
      <c r="A1445" s="78" t="str">
        <f aca="false">IF('CARNET DE SOUDURE'!E1445="","",'CARNET DE SOUDURE'!A1445)</f>
        <v/>
      </c>
      <c r="B1445" s="93" t="str">
        <f aca="false">IF('CARNET DE SOUDURE'!E1445="","",'CARNET DE SOUDURE'!B1445&amp;"")</f>
        <v/>
      </c>
      <c r="C1445" s="83" t="str">
        <f aca="false">IF('CARNET DE SOUDURE'!E1445="","",'CARNET DE SOUDURE'!E1445)</f>
        <v/>
      </c>
      <c r="D1445" s="78" t="str">
        <f aca="false">IF('CARNET DE SOUDURE'!E1445="","",'CARNET DE SOUDURE'!D1445&amp;"")</f>
        <v/>
      </c>
      <c r="E1445" s="96" t="str">
        <f aca="false">IF(OR('CARNET DE SOUDURE'!E1445="",'CARNET DE SOUDURE'!R1445=""),"",'CARNET DE SOUDURE'!R1445)</f>
        <v/>
      </c>
      <c r="F1445" s="81" t="str">
        <f aca="false">IF('CARNET DE SOUDURE'!E1445="","",'CARNET DE SOUDURE'!AL1445)</f>
        <v/>
      </c>
      <c r="G1445" s="81" t="str">
        <f aca="false">IF('CARNET DE SOUDURE'!E1445="","",'CARNET DE SOUDURE'!AM1445)</f>
        <v/>
      </c>
      <c r="H1445" s="81" t="str">
        <f aca="false">IF(C1445="","",IF(G1445="ACCEPTÉ","OUI","NON"))</f>
        <v/>
      </c>
      <c r="I1445" s="82"/>
      <c r="J1445" s="79"/>
      <c r="K1445" s="80"/>
      <c r="L1445" s="80"/>
      <c r="M1445" s="80"/>
      <c r="N1445" s="83" t="str">
        <f aca="false">IF(C1445="","",IF(I1445="",IF(H1445="OUI","À ENROBER",IF(G1445="À SOUDER","NON SOUDÉ","EN ATTENTE RT")),IF(L1445="R","À REPRENDRE",IF(H1445&lt;&gt;"OUI","⚠ ENROBÉ AVANT ACCEPTATION RT","ENROBÉ"))))</f>
        <v/>
      </c>
      <c r="O1445" s="79"/>
    </row>
    <row r="1446" customFormat="false" ht="15" hidden="false" customHeight="false" outlineLevel="0" collapsed="false">
      <c r="A1446" s="78" t="str">
        <f aca="false">IF('CARNET DE SOUDURE'!E1446="","",'CARNET DE SOUDURE'!A1446)</f>
        <v/>
      </c>
      <c r="B1446" s="93" t="str">
        <f aca="false">IF('CARNET DE SOUDURE'!E1446="","",'CARNET DE SOUDURE'!B1446&amp;"")</f>
        <v/>
      </c>
      <c r="C1446" s="83" t="str">
        <f aca="false">IF('CARNET DE SOUDURE'!E1446="","",'CARNET DE SOUDURE'!E1446)</f>
        <v/>
      </c>
      <c r="D1446" s="78" t="str">
        <f aca="false">IF('CARNET DE SOUDURE'!E1446="","",'CARNET DE SOUDURE'!D1446&amp;"")</f>
        <v/>
      </c>
      <c r="E1446" s="96" t="str">
        <f aca="false">IF(OR('CARNET DE SOUDURE'!E1446="",'CARNET DE SOUDURE'!R1446=""),"",'CARNET DE SOUDURE'!R1446)</f>
        <v/>
      </c>
      <c r="F1446" s="81" t="str">
        <f aca="false">IF('CARNET DE SOUDURE'!E1446="","",'CARNET DE SOUDURE'!AL1446)</f>
        <v/>
      </c>
      <c r="G1446" s="81" t="str">
        <f aca="false">IF('CARNET DE SOUDURE'!E1446="","",'CARNET DE SOUDURE'!AM1446)</f>
        <v/>
      </c>
      <c r="H1446" s="81" t="str">
        <f aca="false">IF(C1446="","",IF(G1446="ACCEPTÉ","OUI","NON"))</f>
        <v/>
      </c>
      <c r="I1446" s="82"/>
      <c r="J1446" s="79"/>
      <c r="K1446" s="80"/>
      <c r="L1446" s="80"/>
      <c r="M1446" s="80"/>
      <c r="N1446" s="83" t="str">
        <f aca="false">IF(C1446="","",IF(I1446="",IF(H1446="OUI","À ENROBER",IF(G1446="À SOUDER","NON SOUDÉ","EN ATTENTE RT")),IF(L1446="R","À REPRENDRE",IF(H1446&lt;&gt;"OUI","⚠ ENROBÉ AVANT ACCEPTATION RT","ENROBÉ"))))</f>
        <v/>
      </c>
      <c r="O1446" s="79"/>
    </row>
    <row r="1447" customFormat="false" ht="15" hidden="false" customHeight="false" outlineLevel="0" collapsed="false">
      <c r="A1447" s="78" t="str">
        <f aca="false">IF('CARNET DE SOUDURE'!E1447="","",'CARNET DE SOUDURE'!A1447)</f>
        <v/>
      </c>
      <c r="B1447" s="93" t="str">
        <f aca="false">IF('CARNET DE SOUDURE'!E1447="","",'CARNET DE SOUDURE'!B1447&amp;"")</f>
        <v/>
      </c>
      <c r="C1447" s="83" t="str">
        <f aca="false">IF('CARNET DE SOUDURE'!E1447="","",'CARNET DE SOUDURE'!E1447)</f>
        <v/>
      </c>
      <c r="D1447" s="78" t="str">
        <f aca="false">IF('CARNET DE SOUDURE'!E1447="","",'CARNET DE SOUDURE'!D1447&amp;"")</f>
        <v/>
      </c>
      <c r="E1447" s="96" t="str">
        <f aca="false">IF(OR('CARNET DE SOUDURE'!E1447="",'CARNET DE SOUDURE'!R1447=""),"",'CARNET DE SOUDURE'!R1447)</f>
        <v/>
      </c>
      <c r="F1447" s="81" t="str">
        <f aca="false">IF('CARNET DE SOUDURE'!E1447="","",'CARNET DE SOUDURE'!AL1447)</f>
        <v/>
      </c>
      <c r="G1447" s="81" t="str">
        <f aca="false">IF('CARNET DE SOUDURE'!E1447="","",'CARNET DE SOUDURE'!AM1447)</f>
        <v/>
      </c>
      <c r="H1447" s="81" t="str">
        <f aca="false">IF(C1447="","",IF(G1447="ACCEPTÉ","OUI","NON"))</f>
        <v/>
      </c>
      <c r="I1447" s="82"/>
      <c r="J1447" s="79"/>
      <c r="K1447" s="80"/>
      <c r="L1447" s="80"/>
      <c r="M1447" s="80"/>
      <c r="N1447" s="83" t="str">
        <f aca="false">IF(C1447="","",IF(I1447="",IF(H1447="OUI","À ENROBER",IF(G1447="À SOUDER","NON SOUDÉ","EN ATTENTE RT")),IF(L1447="R","À REPRENDRE",IF(H1447&lt;&gt;"OUI","⚠ ENROBÉ AVANT ACCEPTATION RT","ENROBÉ"))))</f>
        <v/>
      </c>
      <c r="O1447" s="79"/>
    </row>
    <row r="1448" customFormat="false" ht="15" hidden="false" customHeight="false" outlineLevel="0" collapsed="false">
      <c r="A1448" s="78" t="str">
        <f aca="false">IF('CARNET DE SOUDURE'!E1448="","",'CARNET DE SOUDURE'!A1448)</f>
        <v/>
      </c>
      <c r="B1448" s="93" t="str">
        <f aca="false">IF('CARNET DE SOUDURE'!E1448="","",'CARNET DE SOUDURE'!B1448&amp;"")</f>
        <v/>
      </c>
      <c r="C1448" s="83" t="str">
        <f aca="false">IF('CARNET DE SOUDURE'!E1448="","",'CARNET DE SOUDURE'!E1448)</f>
        <v/>
      </c>
      <c r="D1448" s="78" t="str">
        <f aca="false">IF('CARNET DE SOUDURE'!E1448="","",'CARNET DE SOUDURE'!D1448&amp;"")</f>
        <v/>
      </c>
      <c r="E1448" s="96" t="str">
        <f aca="false">IF(OR('CARNET DE SOUDURE'!E1448="",'CARNET DE SOUDURE'!R1448=""),"",'CARNET DE SOUDURE'!R1448)</f>
        <v/>
      </c>
      <c r="F1448" s="81" t="str">
        <f aca="false">IF('CARNET DE SOUDURE'!E1448="","",'CARNET DE SOUDURE'!AL1448)</f>
        <v/>
      </c>
      <c r="G1448" s="81" t="str">
        <f aca="false">IF('CARNET DE SOUDURE'!E1448="","",'CARNET DE SOUDURE'!AM1448)</f>
        <v/>
      </c>
      <c r="H1448" s="81" t="str">
        <f aca="false">IF(C1448="","",IF(G1448="ACCEPTÉ","OUI","NON"))</f>
        <v/>
      </c>
      <c r="I1448" s="82"/>
      <c r="J1448" s="79"/>
      <c r="K1448" s="80"/>
      <c r="L1448" s="80"/>
      <c r="M1448" s="80"/>
      <c r="N1448" s="83" t="str">
        <f aca="false">IF(C1448="","",IF(I1448="",IF(H1448="OUI","À ENROBER",IF(G1448="À SOUDER","NON SOUDÉ","EN ATTENTE RT")),IF(L1448="R","À REPRENDRE",IF(H1448&lt;&gt;"OUI","⚠ ENROBÉ AVANT ACCEPTATION RT","ENROBÉ"))))</f>
        <v/>
      </c>
      <c r="O1448" s="79"/>
    </row>
    <row r="1449" customFormat="false" ht="15" hidden="false" customHeight="false" outlineLevel="0" collapsed="false">
      <c r="A1449" s="78" t="str">
        <f aca="false">IF('CARNET DE SOUDURE'!E1449="","",'CARNET DE SOUDURE'!A1449)</f>
        <v/>
      </c>
      <c r="B1449" s="93" t="str">
        <f aca="false">IF('CARNET DE SOUDURE'!E1449="","",'CARNET DE SOUDURE'!B1449&amp;"")</f>
        <v/>
      </c>
      <c r="C1449" s="83" t="str">
        <f aca="false">IF('CARNET DE SOUDURE'!E1449="","",'CARNET DE SOUDURE'!E1449)</f>
        <v/>
      </c>
      <c r="D1449" s="78" t="str">
        <f aca="false">IF('CARNET DE SOUDURE'!E1449="","",'CARNET DE SOUDURE'!D1449&amp;"")</f>
        <v/>
      </c>
      <c r="E1449" s="96" t="str">
        <f aca="false">IF(OR('CARNET DE SOUDURE'!E1449="",'CARNET DE SOUDURE'!R1449=""),"",'CARNET DE SOUDURE'!R1449)</f>
        <v/>
      </c>
      <c r="F1449" s="81" t="str">
        <f aca="false">IF('CARNET DE SOUDURE'!E1449="","",'CARNET DE SOUDURE'!AL1449)</f>
        <v/>
      </c>
      <c r="G1449" s="81" t="str">
        <f aca="false">IF('CARNET DE SOUDURE'!E1449="","",'CARNET DE SOUDURE'!AM1449)</f>
        <v/>
      </c>
      <c r="H1449" s="81" t="str">
        <f aca="false">IF(C1449="","",IF(G1449="ACCEPTÉ","OUI","NON"))</f>
        <v/>
      </c>
      <c r="I1449" s="82"/>
      <c r="J1449" s="79"/>
      <c r="K1449" s="80"/>
      <c r="L1449" s="80"/>
      <c r="M1449" s="80"/>
      <c r="N1449" s="83" t="str">
        <f aca="false">IF(C1449="","",IF(I1449="",IF(H1449="OUI","À ENROBER",IF(G1449="À SOUDER","NON SOUDÉ","EN ATTENTE RT")),IF(L1449="R","À REPRENDRE",IF(H1449&lt;&gt;"OUI","⚠ ENROBÉ AVANT ACCEPTATION RT","ENROBÉ"))))</f>
        <v/>
      </c>
      <c r="O1449" s="79"/>
    </row>
    <row r="1450" customFormat="false" ht="15" hidden="false" customHeight="false" outlineLevel="0" collapsed="false">
      <c r="A1450" s="78" t="str">
        <f aca="false">IF('CARNET DE SOUDURE'!E1450="","",'CARNET DE SOUDURE'!A1450)</f>
        <v/>
      </c>
      <c r="B1450" s="93" t="str">
        <f aca="false">IF('CARNET DE SOUDURE'!E1450="","",'CARNET DE SOUDURE'!B1450&amp;"")</f>
        <v/>
      </c>
      <c r="C1450" s="83" t="str">
        <f aca="false">IF('CARNET DE SOUDURE'!E1450="","",'CARNET DE SOUDURE'!E1450)</f>
        <v/>
      </c>
      <c r="D1450" s="78" t="str">
        <f aca="false">IF('CARNET DE SOUDURE'!E1450="","",'CARNET DE SOUDURE'!D1450&amp;"")</f>
        <v/>
      </c>
      <c r="E1450" s="96" t="str">
        <f aca="false">IF(OR('CARNET DE SOUDURE'!E1450="",'CARNET DE SOUDURE'!R1450=""),"",'CARNET DE SOUDURE'!R1450)</f>
        <v/>
      </c>
      <c r="F1450" s="81" t="str">
        <f aca="false">IF('CARNET DE SOUDURE'!E1450="","",'CARNET DE SOUDURE'!AL1450)</f>
        <v/>
      </c>
      <c r="G1450" s="81" t="str">
        <f aca="false">IF('CARNET DE SOUDURE'!E1450="","",'CARNET DE SOUDURE'!AM1450)</f>
        <v/>
      </c>
      <c r="H1450" s="81" t="str">
        <f aca="false">IF(C1450="","",IF(G1450="ACCEPTÉ","OUI","NON"))</f>
        <v/>
      </c>
      <c r="I1450" s="82"/>
      <c r="J1450" s="79"/>
      <c r="K1450" s="80"/>
      <c r="L1450" s="80"/>
      <c r="M1450" s="80"/>
      <c r="N1450" s="83" t="str">
        <f aca="false">IF(C1450="","",IF(I1450="",IF(H1450="OUI","À ENROBER",IF(G1450="À SOUDER","NON SOUDÉ","EN ATTENTE RT")),IF(L1450="R","À REPRENDRE",IF(H1450&lt;&gt;"OUI","⚠ ENROBÉ AVANT ACCEPTATION RT","ENROBÉ"))))</f>
        <v/>
      </c>
      <c r="O1450" s="79"/>
    </row>
    <row r="1451" customFormat="false" ht="15" hidden="false" customHeight="false" outlineLevel="0" collapsed="false">
      <c r="A1451" s="78" t="str">
        <f aca="false">IF('CARNET DE SOUDURE'!E1451="","",'CARNET DE SOUDURE'!A1451)</f>
        <v/>
      </c>
      <c r="B1451" s="93" t="str">
        <f aca="false">IF('CARNET DE SOUDURE'!E1451="","",'CARNET DE SOUDURE'!B1451&amp;"")</f>
        <v/>
      </c>
      <c r="C1451" s="83" t="str">
        <f aca="false">IF('CARNET DE SOUDURE'!E1451="","",'CARNET DE SOUDURE'!E1451)</f>
        <v/>
      </c>
      <c r="D1451" s="78" t="str">
        <f aca="false">IF('CARNET DE SOUDURE'!E1451="","",'CARNET DE SOUDURE'!D1451&amp;"")</f>
        <v/>
      </c>
      <c r="E1451" s="96" t="str">
        <f aca="false">IF(OR('CARNET DE SOUDURE'!E1451="",'CARNET DE SOUDURE'!R1451=""),"",'CARNET DE SOUDURE'!R1451)</f>
        <v/>
      </c>
      <c r="F1451" s="81" t="str">
        <f aca="false">IF('CARNET DE SOUDURE'!E1451="","",'CARNET DE SOUDURE'!AL1451)</f>
        <v/>
      </c>
      <c r="G1451" s="81" t="str">
        <f aca="false">IF('CARNET DE SOUDURE'!E1451="","",'CARNET DE SOUDURE'!AM1451)</f>
        <v/>
      </c>
      <c r="H1451" s="81" t="str">
        <f aca="false">IF(C1451="","",IF(G1451="ACCEPTÉ","OUI","NON"))</f>
        <v/>
      </c>
      <c r="I1451" s="82"/>
      <c r="J1451" s="79"/>
      <c r="K1451" s="80"/>
      <c r="L1451" s="80"/>
      <c r="M1451" s="80"/>
      <c r="N1451" s="83" t="str">
        <f aca="false">IF(C1451="","",IF(I1451="",IF(H1451="OUI","À ENROBER",IF(G1451="À SOUDER","NON SOUDÉ","EN ATTENTE RT")),IF(L1451="R","À REPRENDRE",IF(H1451&lt;&gt;"OUI","⚠ ENROBÉ AVANT ACCEPTATION RT","ENROBÉ"))))</f>
        <v/>
      </c>
      <c r="O1451" s="79"/>
    </row>
    <row r="1452" customFormat="false" ht="15" hidden="false" customHeight="false" outlineLevel="0" collapsed="false">
      <c r="A1452" s="78" t="str">
        <f aca="false">IF('CARNET DE SOUDURE'!E1452="","",'CARNET DE SOUDURE'!A1452)</f>
        <v/>
      </c>
      <c r="B1452" s="93" t="str">
        <f aca="false">IF('CARNET DE SOUDURE'!E1452="","",'CARNET DE SOUDURE'!B1452&amp;"")</f>
        <v/>
      </c>
      <c r="C1452" s="83" t="str">
        <f aca="false">IF('CARNET DE SOUDURE'!E1452="","",'CARNET DE SOUDURE'!E1452)</f>
        <v/>
      </c>
      <c r="D1452" s="78" t="str">
        <f aca="false">IF('CARNET DE SOUDURE'!E1452="","",'CARNET DE SOUDURE'!D1452&amp;"")</f>
        <v/>
      </c>
      <c r="E1452" s="96" t="str">
        <f aca="false">IF(OR('CARNET DE SOUDURE'!E1452="",'CARNET DE SOUDURE'!R1452=""),"",'CARNET DE SOUDURE'!R1452)</f>
        <v/>
      </c>
      <c r="F1452" s="81" t="str">
        <f aca="false">IF('CARNET DE SOUDURE'!E1452="","",'CARNET DE SOUDURE'!AL1452)</f>
        <v/>
      </c>
      <c r="G1452" s="81" t="str">
        <f aca="false">IF('CARNET DE SOUDURE'!E1452="","",'CARNET DE SOUDURE'!AM1452)</f>
        <v/>
      </c>
      <c r="H1452" s="81" t="str">
        <f aca="false">IF(C1452="","",IF(G1452="ACCEPTÉ","OUI","NON"))</f>
        <v/>
      </c>
      <c r="I1452" s="82"/>
      <c r="J1452" s="79"/>
      <c r="K1452" s="80"/>
      <c r="L1452" s="80"/>
      <c r="M1452" s="80"/>
      <c r="N1452" s="83" t="str">
        <f aca="false">IF(C1452="","",IF(I1452="",IF(H1452="OUI","À ENROBER",IF(G1452="À SOUDER","NON SOUDÉ","EN ATTENTE RT")),IF(L1452="R","À REPRENDRE",IF(H1452&lt;&gt;"OUI","⚠ ENROBÉ AVANT ACCEPTATION RT","ENROBÉ"))))</f>
        <v/>
      </c>
      <c r="O1452" s="79"/>
    </row>
    <row r="1453" customFormat="false" ht="15" hidden="false" customHeight="false" outlineLevel="0" collapsed="false">
      <c r="A1453" s="78" t="str">
        <f aca="false">IF('CARNET DE SOUDURE'!E1453="","",'CARNET DE SOUDURE'!A1453)</f>
        <v/>
      </c>
      <c r="B1453" s="93" t="str">
        <f aca="false">IF('CARNET DE SOUDURE'!E1453="","",'CARNET DE SOUDURE'!B1453&amp;"")</f>
        <v/>
      </c>
      <c r="C1453" s="83" t="str">
        <f aca="false">IF('CARNET DE SOUDURE'!E1453="","",'CARNET DE SOUDURE'!E1453)</f>
        <v/>
      </c>
      <c r="D1453" s="78" t="str">
        <f aca="false">IF('CARNET DE SOUDURE'!E1453="","",'CARNET DE SOUDURE'!D1453&amp;"")</f>
        <v/>
      </c>
      <c r="E1453" s="96" t="str">
        <f aca="false">IF(OR('CARNET DE SOUDURE'!E1453="",'CARNET DE SOUDURE'!R1453=""),"",'CARNET DE SOUDURE'!R1453)</f>
        <v/>
      </c>
      <c r="F1453" s="81" t="str">
        <f aca="false">IF('CARNET DE SOUDURE'!E1453="","",'CARNET DE SOUDURE'!AL1453)</f>
        <v/>
      </c>
      <c r="G1453" s="81" t="str">
        <f aca="false">IF('CARNET DE SOUDURE'!E1453="","",'CARNET DE SOUDURE'!AM1453)</f>
        <v/>
      </c>
      <c r="H1453" s="81" t="str">
        <f aca="false">IF(C1453="","",IF(G1453="ACCEPTÉ","OUI","NON"))</f>
        <v/>
      </c>
      <c r="I1453" s="82"/>
      <c r="J1453" s="79"/>
      <c r="K1453" s="80"/>
      <c r="L1453" s="80"/>
      <c r="M1453" s="80"/>
      <c r="N1453" s="83" t="str">
        <f aca="false">IF(C1453="","",IF(I1453="",IF(H1453="OUI","À ENROBER",IF(G1453="À SOUDER","NON SOUDÉ","EN ATTENTE RT")),IF(L1453="R","À REPRENDRE",IF(H1453&lt;&gt;"OUI","⚠ ENROBÉ AVANT ACCEPTATION RT","ENROBÉ"))))</f>
        <v/>
      </c>
      <c r="O1453" s="79"/>
    </row>
    <row r="1454" customFormat="false" ht="15" hidden="false" customHeight="false" outlineLevel="0" collapsed="false">
      <c r="A1454" s="78" t="str">
        <f aca="false">IF('CARNET DE SOUDURE'!E1454="","",'CARNET DE SOUDURE'!A1454)</f>
        <v/>
      </c>
      <c r="B1454" s="93" t="str">
        <f aca="false">IF('CARNET DE SOUDURE'!E1454="","",'CARNET DE SOUDURE'!B1454&amp;"")</f>
        <v/>
      </c>
      <c r="C1454" s="83" t="str">
        <f aca="false">IF('CARNET DE SOUDURE'!E1454="","",'CARNET DE SOUDURE'!E1454)</f>
        <v/>
      </c>
      <c r="D1454" s="78" t="str">
        <f aca="false">IF('CARNET DE SOUDURE'!E1454="","",'CARNET DE SOUDURE'!D1454&amp;"")</f>
        <v/>
      </c>
      <c r="E1454" s="96" t="str">
        <f aca="false">IF(OR('CARNET DE SOUDURE'!E1454="",'CARNET DE SOUDURE'!R1454=""),"",'CARNET DE SOUDURE'!R1454)</f>
        <v/>
      </c>
      <c r="F1454" s="81" t="str">
        <f aca="false">IF('CARNET DE SOUDURE'!E1454="","",'CARNET DE SOUDURE'!AL1454)</f>
        <v/>
      </c>
      <c r="G1454" s="81" t="str">
        <f aca="false">IF('CARNET DE SOUDURE'!E1454="","",'CARNET DE SOUDURE'!AM1454)</f>
        <v/>
      </c>
      <c r="H1454" s="81" t="str">
        <f aca="false">IF(C1454="","",IF(G1454="ACCEPTÉ","OUI","NON"))</f>
        <v/>
      </c>
      <c r="I1454" s="82"/>
      <c r="J1454" s="79"/>
      <c r="K1454" s="80"/>
      <c r="L1454" s="80"/>
      <c r="M1454" s="80"/>
      <c r="N1454" s="83" t="str">
        <f aca="false">IF(C1454="","",IF(I1454="",IF(H1454="OUI","À ENROBER",IF(G1454="À SOUDER","NON SOUDÉ","EN ATTENTE RT")),IF(L1454="R","À REPRENDRE",IF(H1454&lt;&gt;"OUI","⚠ ENROBÉ AVANT ACCEPTATION RT","ENROBÉ"))))</f>
        <v/>
      </c>
      <c r="O1454" s="79"/>
    </row>
    <row r="1455" customFormat="false" ht="15" hidden="false" customHeight="false" outlineLevel="0" collapsed="false">
      <c r="A1455" s="78" t="str">
        <f aca="false">IF('CARNET DE SOUDURE'!E1455="","",'CARNET DE SOUDURE'!A1455)</f>
        <v/>
      </c>
      <c r="B1455" s="93" t="str">
        <f aca="false">IF('CARNET DE SOUDURE'!E1455="","",'CARNET DE SOUDURE'!B1455&amp;"")</f>
        <v/>
      </c>
      <c r="C1455" s="83" t="str">
        <f aca="false">IF('CARNET DE SOUDURE'!E1455="","",'CARNET DE SOUDURE'!E1455)</f>
        <v/>
      </c>
      <c r="D1455" s="78" t="str">
        <f aca="false">IF('CARNET DE SOUDURE'!E1455="","",'CARNET DE SOUDURE'!D1455&amp;"")</f>
        <v/>
      </c>
      <c r="E1455" s="96" t="str">
        <f aca="false">IF(OR('CARNET DE SOUDURE'!E1455="",'CARNET DE SOUDURE'!R1455=""),"",'CARNET DE SOUDURE'!R1455)</f>
        <v/>
      </c>
      <c r="F1455" s="81" t="str">
        <f aca="false">IF('CARNET DE SOUDURE'!E1455="","",'CARNET DE SOUDURE'!AL1455)</f>
        <v/>
      </c>
      <c r="G1455" s="81" t="str">
        <f aca="false">IF('CARNET DE SOUDURE'!E1455="","",'CARNET DE SOUDURE'!AM1455)</f>
        <v/>
      </c>
      <c r="H1455" s="81" t="str">
        <f aca="false">IF(C1455="","",IF(G1455="ACCEPTÉ","OUI","NON"))</f>
        <v/>
      </c>
      <c r="I1455" s="82"/>
      <c r="J1455" s="79"/>
      <c r="K1455" s="80"/>
      <c r="L1455" s="80"/>
      <c r="M1455" s="80"/>
      <c r="N1455" s="83" t="str">
        <f aca="false">IF(C1455="","",IF(I1455="",IF(H1455="OUI","À ENROBER",IF(G1455="À SOUDER","NON SOUDÉ","EN ATTENTE RT")),IF(L1455="R","À REPRENDRE",IF(H1455&lt;&gt;"OUI","⚠ ENROBÉ AVANT ACCEPTATION RT","ENROBÉ"))))</f>
        <v/>
      </c>
      <c r="O1455" s="79"/>
    </row>
    <row r="1456" customFormat="false" ht="15" hidden="false" customHeight="false" outlineLevel="0" collapsed="false">
      <c r="A1456" s="78" t="str">
        <f aca="false">IF('CARNET DE SOUDURE'!E1456="","",'CARNET DE SOUDURE'!A1456)</f>
        <v/>
      </c>
      <c r="B1456" s="93" t="str">
        <f aca="false">IF('CARNET DE SOUDURE'!E1456="","",'CARNET DE SOUDURE'!B1456&amp;"")</f>
        <v/>
      </c>
      <c r="C1456" s="83" t="str">
        <f aca="false">IF('CARNET DE SOUDURE'!E1456="","",'CARNET DE SOUDURE'!E1456)</f>
        <v/>
      </c>
      <c r="D1456" s="78" t="str">
        <f aca="false">IF('CARNET DE SOUDURE'!E1456="","",'CARNET DE SOUDURE'!D1456&amp;"")</f>
        <v/>
      </c>
      <c r="E1456" s="96" t="str">
        <f aca="false">IF(OR('CARNET DE SOUDURE'!E1456="",'CARNET DE SOUDURE'!R1456=""),"",'CARNET DE SOUDURE'!R1456)</f>
        <v/>
      </c>
      <c r="F1456" s="81" t="str">
        <f aca="false">IF('CARNET DE SOUDURE'!E1456="","",'CARNET DE SOUDURE'!AL1456)</f>
        <v/>
      </c>
      <c r="G1456" s="81" t="str">
        <f aca="false">IF('CARNET DE SOUDURE'!E1456="","",'CARNET DE SOUDURE'!AM1456)</f>
        <v/>
      </c>
      <c r="H1456" s="81" t="str">
        <f aca="false">IF(C1456="","",IF(G1456="ACCEPTÉ","OUI","NON"))</f>
        <v/>
      </c>
      <c r="I1456" s="82"/>
      <c r="J1456" s="79"/>
      <c r="K1456" s="80"/>
      <c r="L1456" s="80"/>
      <c r="M1456" s="80"/>
      <c r="N1456" s="83" t="str">
        <f aca="false">IF(C1456="","",IF(I1456="",IF(H1456="OUI","À ENROBER",IF(G1456="À SOUDER","NON SOUDÉ","EN ATTENTE RT")),IF(L1456="R","À REPRENDRE",IF(H1456&lt;&gt;"OUI","⚠ ENROBÉ AVANT ACCEPTATION RT","ENROBÉ"))))</f>
        <v/>
      </c>
      <c r="O1456" s="79"/>
    </row>
    <row r="1457" customFormat="false" ht="15" hidden="false" customHeight="false" outlineLevel="0" collapsed="false">
      <c r="A1457" s="78" t="str">
        <f aca="false">IF('CARNET DE SOUDURE'!E1457="","",'CARNET DE SOUDURE'!A1457)</f>
        <v/>
      </c>
      <c r="B1457" s="93" t="str">
        <f aca="false">IF('CARNET DE SOUDURE'!E1457="","",'CARNET DE SOUDURE'!B1457&amp;"")</f>
        <v/>
      </c>
      <c r="C1457" s="83" t="str">
        <f aca="false">IF('CARNET DE SOUDURE'!E1457="","",'CARNET DE SOUDURE'!E1457)</f>
        <v/>
      </c>
      <c r="D1457" s="78" t="str">
        <f aca="false">IF('CARNET DE SOUDURE'!E1457="","",'CARNET DE SOUDURE'!D1457&amp;"")</f>
        <v/>
      </c>
      <c r="E1457" s="96" t="str">
        <f aca="false">IF(OR('CARNET DE SOUDURE'!E1457="",'CARNET DE SOUDURE'!R1457=""),"",'CARNET DE SOUDURE'!R1457)</f>
        <v/>
      </c>
      <c r="F1457" s="81" t="str">
        <f aca="false">IF('CARNET DE SOUDURE'!E1457="","",'CARNET DE SOUDURE'!AL1457)</f>
        <v/>
      </c>
      <c r="G1457" s="81" t="str">
        <f aca="false">IF('CARNET DE SOUDURE'!E1457="","",'CARNET DE SOUDURE'!AM1457)</f>
        <v/>
      </c>
      <c r="H1457" s="81" t="str">
        <f aca="false">IF(C1457="","",IF(G1457="ACCEPTÉ","OUI","NON"))</f>
        <v/>
      </c>
      <c r="I1457" s="82"/>
      <c r="J1457" s="79"/>
      <c r="K1457" s="80"/>
      <c r="L1457" s="80"/>
      <c r="M1457" s="80"/>
      <c r="N1457" s="83" t="str">
        <f aca="false">IF(C1457="","",IF(I1457="",IF(H1457="OUI","À ENROBER",IF(G1457="À SOUDER","NON SOUDÉ","EN ATTENTE RT")),IF(L1457="R","À REPRENDRE",IF(H1457&lt;&gt;"OUI","⚠ ENROBÉ AVANT ACCEPTATION RT","ENROBÉ"))))</f>
        <v/>
      </c>
      <c r="O1457" s="79"/>
    </row>
    <row r="1458" customFormat="false" ht="15" hidden="false" customHeight="false" outlineLevel="0" collapsed="false">
      <c r="A1458" s="78" t="str">
        <f aca="false">IF('CARNET DE SOUDURE'!E1458="","",'CARNET DE SOUDURE'!A1458)</f>
        <v/>
      </c>
      <c r="B1458" s="93" t="str">
        <f aca="false">IF('CARNET DE SOUDURE'!E1458="","",'CARNET DE SOUDURE'!B1458&amp;"")</f>
        <v/>
      </c>
      <c r="C1458" s="83" t="str">
        <f aca="false">IF('CARNET DE SOUDURE'!E1458="","",'CARNET DE SOUDURE'!E1458)</f>
        <v/>
      </c>
      <c r="D1458" s="78" t="str">
        <f aca="false">IF('CARNET DE SOUDURE'!E1458="","",'CARNET DE SOUDURE'!D1458&amp;"")</f>
        <v/>
      </c>
      <c r="E1458" s="96" t="str">
        <f aca="false">IF(OR('CARNET DE SOUDURE'!E1458="",'CARNET DE SOUDURE'!R1458=""),"",'CARNET DE SOUDURE'!R1458)</f>
        <v/>
      </c>
      <c r="F1458" s="81" t="str">
        <f aca="false">IF('CARNET DE SOUDURE'!E1458="","",'CARNET DE SOUDURE'!AL1458)</f>
        <v/>
      </c>
      <c r="G1458" s="81" t="str">
        <f aca="false">IF('CARNET DE SOUDURE'!E1458="","",'CARNET DE SOUDURE'!AM1458)</f>
        <v/>
      </c>
      <c r="H1458" s="81" t="str">
        <f aca="false">IF(C1458="","",IF(G1458="ACCEPTÉ","OUI","NON"))</f>
        <v/>
      </c>
      <c r="I1458" s="82"/>
      <c r="J1458" s="79"/>
      <c r="K1458" s="80"/>
      <c r="L1458" s="80"/>
      <c r="M1458" s="80"/>
      <c r="N1458" s="83" t="str">
        <f aca="false">IF(C1458="","",IF(I1458="",IF(H1458="OUI","À ENROBER",IF(G1458="À SOUDER","NON SOUDÉ","EN ATTENTE RT")),IF(L1458="R","À REPRENDRE",IF(H1458&lt;&gt;"OUI","⚠ ENROBÉ AVANT ACCEPTATION RT","ENROBÉ"))))</f>
        <v/>
      </c>
      <c r="O1458" s="79"/>
    </row>
    <row r="1459" customFormat="false" ht="15" hidden="false" customHeight="false" outlineLevel="0" collapsed="false">
      <c r="A1459" s="78" t="str">
        <f aca="false">IF('CARNET DE SOUDURE'!E1459="","",'CARNET DE SOUDURE'!A1459)</f>
        <v/>
      </c>
      <c r="B1459" s="93" t="str">
        <f aca="false">IF('CARNET DE SOUDURE'!E1459="","",'CARNET DE SOUDURE'!B1459&amp;"")</f>
        <v/>
      </c>
      <c r="C1459" s="83" t="str">
        <f aca="false">IF('CARNET DE SOUDURE'!E1459="","",'CARNET DE SOUDURE'!E1459)</f>
        <v/>
      </c>
      <c r="D1459" s="78" t="str">
        <f aca="false">IF('CARNET DE SOUDURE'!E1459="","",'CARNET DE SOUDURE'!D1459&amp;"")</f>
        <v/>
      </c>
      <c r="E1459" s="96" t="str">
        <f aca="false">IF(OR('CARNET DE SOUDURE'!E1459="",'CARNET DE SOUDURE'!R1459=""),"",'CARNET DE SOUDURE'!R1459)</f>
        <v/>
      </c>
      <c r="F1459" s="81" t="str">
        <f aca="false">IF('CARNET DE SOUDURE'!E1459="","",'CARNET DE SOUDURE'!AL1459)</f>
        <v/>
      </c>
      <c r="G1459" s="81" t="str">
        <f aca="false">IF('CARNET DE SOUDURE'!E1459="","",'CARNET DE SOUDURE'!AM1459)</f>
        <v/>
      </c>
      <c r="H1459" s="81" t="str">
        <f aca="false">IF(C1459="","",IF(G1459="ACCEPTÉ","OUI","NON"))</f>
        <v/>
      </c>
      <c r="I1459" s="82"/>
      <c r="J1459" s="79"/>
      <c r="K1459" s="80"/>
      <c r="L1459" s="80"/>
      <c r="M1459" s="80"/>
      <c r="N1459" s="83" t="str">
        <f aca="false">IF(C1459="","",IF(I1459="",IF(H1459="OUI","À ENROBER",IF(G1459="À SOUDER","NON SOUDÉ","EN ATTENTE RT")),IF(L1459="R","À REPRENDRE",IF(H1459&lt;&gt;"OUI","⚠ ENROBÉ AVANT ACCEPTATION RT","ENROBÉ"))))</f>
        <v/>
      </c>
      <c r="O1459" s="79"/>
    </row>
    <row r="1460" customFormat="false" ht="15" hidden="false" customHeight="false" outlineLevel="0" collapsed="false">
      <c r="A1460" s="78" t="str">
        <f aca="false">IF('CARNET DE SOUDURE'!E1460="","",'CARNET DE SOUDURE'!A1460)</f>
        <v/>
      </c>
      <c r="B1460" s="93" t="str">
        <f aca="false">IF('CARNET DE SOUDURE'!E1460="","",'CARNET DE SOUDURE'!B1460&amp;"")</f>
        <v/>
      </c>
      <c r="C1460" s="83" t="str">
        <f aca="false">IF('CARNET DE SOUDURE'!E1460="","",'CARNET DE SOUDURE'!E1460)</f>
        <v/>
      </c>
      <c r="D1460" s="78" t="str">
        <f aca="false">IF('CARNET DE SOUDURE'!E1460="","",'CARNET DE SOUDURE'!D1460&amp;"")</f>
        <v/>
      </c>
      <c r="E1460" s="96" t="str">
        <f aca="false">IF(OR('CARNET DE SOUDURE'!E1460="",'CARNET DE SOUDURE'!R1460=""),"",'CARNET DE SOUDURE'!R1460)</f>
        <v/>
      </c>
      <c r="F1460" s="81" t="str">
        <f aca="false">IF('CARNET DE SOUDURE'!E1460="","",'CARNET DE SOUDURE'!AL1460)</f>
        <v/>
      </c>
      <c r="G1460" s="81" t="str">
        <f aca="false">IF('CARNET DE SOUDURE'!E1460="","",'CARNET DE SOUDURE'!AM1460)</f>
        <v/>
      </c>
      <c r="H1460" s="81" t="str">
        <f aca="false">IF(C1460="","",IF(G1460="ACCEPTÉ","OUI","NON"))</f>
        <v/>
      </c>
      <c r="I1460" s="82"/>
      <c r="J1460" s="79"/>
      <c r="K1460" s="80"/>
      <c r="L1460" s="80"/>
      <c r="M1460" s="80"/>
      <c r="N1460" s="83" t="str">
        <f aca="false">IF(C1460="","",IF(I1460="",IF(H1460="OUI","À ENROBER",IF(G1460="À SOUDER","NON SOUDÉ","EN ATTENTE RT")),IF(L1460="R","À REPRENDRE",IF(H1460&lt;&gt;"OUI","⚠ ENROBÉ AVANT ACCEPTATION RT","ENROBÉ"))))</f>
        <v/>
      </c>
      <c r="O1460" s="79"/>
    </row>
    <row r="1461" customFormat="false" ht="15" hidden="false" customHeight="false" outlineLevel="0" collapsed="false">
      <c r="A1461" s="78" t="str">
        <f aca="false">IF('CARNET DE SOUDURE'!E1461="","",'CARNET DE SOUDURE'!A1461)</f>
        <v/>
      </c>
      <c r="B1461" s="93" t="str">
        <f aca="false">IF('CARNET DE SOUDURE'!E1461="","",'CARNET DE SOUDURE'!B1461&amp;"")</f>
        <v/>
      </c>
      <c r="C1461" s="83" t="str">
        <f aca="false">IF('CARNET DE SOUDURE'!E1461="","",'CARNET DE SOUDURE'!E1461)</f>
        <v/>
      </c>
      <c r="D1461" s="78" t="str">
        <f aca="false">IF('CARNET DE SOUDURE'!E1461="","",'CARNET DE SOUDURE'!D1461&amp;"")</f>
        <v/>
      </c>
      <c r="E1461" s="96" t="str">
        <f aca="false">IF(OR('CARNET DE SOUDURE'!E1461="",'CARNET DE SOUDURE'!R1461=""),"",'CARNET DE SOUDURE'!R1461)</f>
        <v/>
      </c>
      <c r="F1461" s="81" t="str">
        <f aca="false">IF('CARNET DE SOUDURE'!E1461="","",'CARNET DE SOUDURE'!AL1461)</f>
        <v/>
      </c>
      <c r="G1461" s="81" t="str">
        <f aca="false">IF('CARNET DE SOUDURE'!E1461="","",'CARNET DE SOUDURE'!AM1461)</f>
        <v/>
      </c>
      <c r="H1461" s="81" t="str">
        <f aca="false">IF(C1461="","",IF(G1461="ACCEPTÉ","OUI","NON"))</f>
        <v/>
      </c>
      <c r="I1461" s="82"/>
      <c r="J1461" s="79"/>
      <c r="K1461" s="80"/>
      <c r="L1461" s="80"/>
      <c r="M1461" s="80"/>
      <c r="N1461" s="83" t="str">
        <f aca="false">IF(C1461="","",IF(I1461="",IF(H1461="OUI","À ENROBER",IF(G1461="À SOUDER","NON SOUDÉ","EN ATTENTE RT")),IF(L1461="R","À REPRENDRE",IF(H1461&lt;&gt;"OUI","⚠ ENROBÉ AVANT ACCEPTATION RT","ENROBÉ"))))</f>
        <v/>
      </c>
      <c r="O1461" s="79"/>
    </row>
    <row r="1462" customFormat="false" ht="15" hidden="false" customHeight="false" outlineLevel="0" collapsed="false">
      <c r="A1462" s="78" t="str">
        <f aca="false">IF('CARNET DE SOUDURE'!E1462="","",'CARNET DE SOUDURE'!A1462)</f>
        <v/>
      </c>
      <c r="B1462" s="93" t="str">
        <f aca="false">IF('CARNET DE SOUDURE'!E1462="","",'CARNET DE SOUDURE'!B1462&amp;"")</f>
        <v/>
      </c>
      <c r="C1462" s="83" t="str">
        <f aca="false">IF('CARNET DE SOUDURE'!E1462="","",'CARNET DE SOUDURE'!E1462)</f>
        <v/>
      </c>
      <c r="D1462" s="78" t="str">
        <f aca="false">IF('CARNET DE SOUDURE'!E1462="","",'CARNET DE SOUDURE'!D1462&amp;"")</f>
        <v/>
      </c>
      <c r="E1462" s="96" t="str">
        <f aca="false">IF(OR('CARNET DE SOUDURE'!E1462="",'CARNET DE SOUDURE'!R1462=""),"",'CARNET DE SOUDURE'!R1462)</f>
        <v/>
      </c>
      <c r="F1462" s="81" t="str">
        <f aca="false">IF('CARNET DE SOUDURE'!E1462="","",'CARNET DE SOUDURE'!AL1462)</f>
        <v/>
      </c>
      <c r="G1462" s="81" t="str">
        <f aca="false">IF('CARNET DE SOUDURE'!E1462="","",'CARNET DE SOUDURE'!AM1462)</f>
        <v/>
      </c>
      <c r="H1462" s="81" t="str">
        <f aca="false">IF(C1462="","",IF(G1462="ACCEPTÉ","OUI","NON"))</f>
        <v/>
      </c>
      <c r="I1462" s="82"/>
      <c r="J1462" s="79"/>
      <c r="K1462" s="80"/>
      <c r="L1462" s="80"/>
      <c r="M1462" s="80"/>
      <c r="N1462" s="83" t="str">
        <f aca="false">IF(C1462="","",IF(I1462="",IF(H1462="OUI","À ENROBER",IF(G1462="À SOUDER","NON SOUDÉ","EN ATTENTE RT")),IF(L1462="R","À REPRENDRE",IF(H1462&lt;&gt;"OUI","⚠ ENROBÉ AVANT ACCEPTATION RT","ENROBÉ"))))</f>
        <v/>
      </c>
      <c r="O1462" s="79"/>
    </row>
    <row r="1463" customFormat="false" ht="15" hidden="false" customHeight="false" outlineLevel="0" collapsed="false">
      <c r="A1463" s="78" t="str">
        <f aca="false">IF('CARNET DE SOUDURE'!E1463="","",'CARNET DE SOUDURE'!A1463)</f>
        <v/>
      </c>
      <c r="B1463" s="93" t="str">
        <f aca="false">IF('CARNET DE SOUDURE'!E1463="","",'CARNET DE SOUDURE'!B1463&amp;"")</f>
        <v/>
      </c>
      <c r="C1463" s="83" t="str">
        <f aca="false">IF('CARNET DE SOUDURE'!E1463="","",'CARNET DE SOUDURE'!E1463)</f>
        <v/>
      </c>
      <c r="D1463" s="78" t="str">
        <f aca="false">IF('CARNET DE SOUDURE'!E1463="","",'CARNET DE SOUDURE'!D1463&amp;"")</f>
        <v/>
      </c>
      <c r="E1463" s="96" t="str">
        <f aca="false">IF(OR('CARNET DE SOUDURE'!E1463="",'CARNET DE SOUDURE'!R1463=""),"",'CARNET DE SOUDURE'!R1463)</f>
        <v/>
      </c>
      <c r="F1463" s="81" t="str">
        <f aca="false">IF('CARNET DE SOUDURE'!E1463="","",'CARNET DE SOUDURE'!AL1463)</f>
        <v/>
      </c>
      <c r="G1463" s="81" t="str">
        <f aca="false">IF('CARNET DE SOUDURE'!E1463="","",'CARNET DE SOUDURE'!AM1463)</f>
        <v/>
      </c>
      <c r="H1463" s="81" t="str">
        <f aca="false">IF(C1463="","",IF(G1463="ACCEPTÉ","OUI","NON"))</f>
        <v/>
      </c>
      <c r="I1463" s="82"/>
      <c r="J1463" s="79"/>
      <c r="K1463" s="80"/>
      <c r="L1463" s="80"/>
      <c r="M1463" s="80"/>
      <c r="N1463" s="83" t="str">
        <f aca="false">IF(C1463="","",IF(I1463="",IF(H1463="OUI","À ENROBER",IF(G1463="À SOUDER","NON SOUDÉ","EN ATTENTE RT")),IF(L1463="R","À REPRENDRE",IF(H1463&lt;&gt;"OUI","⚠ ENROBÉ AVANT ACCEPTATION RT","ENROBÉ"))))</f>
        <v/>
      </c>
      <c r="O1463" s="79"/>
    </row>
    <row r="1464" customFormat="false" ht="15" hidden="false" customHeight="false" outlineLevel="0" collapsed="false">
      <c r="A1464" s="78" t="str">
        <f aca="false">IF('CARNET DE SOUDURE'!E1464="","",'CARNET DE SOUDURE'!A1464)</f>
        <v/>
      </c>
      <c r="B1464" s="93" t="str">
        <f aca="false">IF('CARNET DE SOUDURE'!E1464="","",'CARNET DE SOUDURE'!B1464&amp;"")</f>
        <v/>
      </c>
      <c r="C1464" s="83" t="str">
        <f aca="false">IF('CARNET DE SOUDURE'!E1464="","",'CARNET DE SOUDURE'!E1464)</f>
        <v/>
      </c>
      <c r="D1464" s="78" t="str">
        <f aca="false">IF('CARNET DE SOUDURE'!E1464="","",'CARNET DE SOUDURE'!D1464&amp;"")</f>
        <v/>
      </c>
      <c r="E1464" s="96" t="str">
        <f aca="false">IF(OR('CARNET DE SOUDURE'!E1464="",'CARNET DE SOUDURE'!R1464=""),"",'CARNET DE SOUDURE'!R1464)</f>
        <v/>
      </c>
      <c r="F1464" s="81" t="str">
        <f aca="false">IF('CARNET DE SOUDURE'!E1464="","",'CARNET DE SOUDURE'!AL1464)</f>
        <v/>
      </c>
      <c r="G1464" s="81" t="str">
        <f aca="false">IF('CARNET DE SOUDURE'!E1464="","",'CARNET DE SOUDURE'!AM1464)</f>
        <v/>
      </c>
      <c r="H1464" s="81" t="str">
        <f aca="false">IF(C1464="","",IF(G1464="ACCEPTÉ","OUI","NON"))</f>
        <v/>
      </c>
      <c r="I1464" s="82"/>
      <c r="J1464" s="79"/>
      <c r="K1464" s="80"/>
      <c r="L1464" s="80"/>
      <c r="M1464" s="80"/>
      <c r="N1464" s="83" t="str">
        <f aca="false">IF(C1464="","",IF(I1464="",IF(H1464="OUI","À ENROBER",IF(G1464="À SOUDER","NON SOUDÉ","EN ATTENTE RT")),IF(L1464="R","À REPRENDRE",IF(H1464&lt;&gt;"OUI","⚠ ENROBÉ AVANT ACCEPTATION RT","ENROBÉ"))))</f>
        <v/>
      </c>
      <c r="O1464" s="79"/>
    </row>
    <row r="1465" customFormat="false" ht="15" hidden="false" customHeight="false" outlineLevel="0" collapsed="false">
      <c r="A1465" s="78" t="str">
        <f aca="false">IF('CARNET DE SOUDURE'!E1465="","",'CARNET DE SOUDURE'!A1465)</f>
        <v/>
      </c>
      <c r="B1465" s="93" t="str">
        <f aca="false">IF('CARNET DE SOUDURE'!E1465="","",'CARNET DE SOUDURE'!B1465&amp;"")</f>
        <v/>
      </c>
      <c r="C1465" s="83" t="str">
        <f aca="false">IF('CARNET DE SOUDURE'!E1465="","",'CARNET DE SOUDURE'!E1465)</f>
        <v/>
      </c>
      <c r="D1465" s="78" t="str">
        <f aca="false">IF('CARNET DE SOUDURE'!E1465="","",'CARNET DE SOUDURE'!D1465&amp;"")</f>
        <v/>
      </c>
      <c r="E1465" s="96" t="str">
        <f aca="false">IF(OR('CARNET DE SOUDURE'!E1465="",'CARNET DE SOUDURE'!R1465=""),"",'CARNET DE SOUDURE'!R1465)</f>
        <v/>
      </c>
      <c r="F1465" s="81" t="str">
        <f aca="false">IF('CARNET DE SOUDURE'!E1465="","",'CARNET DE SOUDURE'!AL1465)</f>
        <v/>
      </c>
      <c r="G1465" s="81" t="str">
        <f aca="false">IF('CARNET DE SOUDURE'!E1465="","",'CARNET DE SOUDURE'!AM1465)</f>
        <v/>
      </c>
      <c r="H1465" s="81" t="str">
        <f aca="false">IF(C1465="","",IF(G1465="ACCEPTÉ","OUI","NON"))</f>
        <v/>
      </c>
      <c r="I1465" s="82"/>
      <c r="J1465" s="79"/>
      <c r="K1465" s="80"/>
      <c r="L1465" s="80"/>
      <c r="M1465" s="80"/>
      <c r="N1465" s="83" t="str">
        <f aca="false">IF(C1465="","",IF(I1465="",IF(H1465="OUI","À ENROBER",IF(G1465="À SOUDER","NON SOUDÉ","EN ATTENTE RT")),IF(L1465="R","À REPRENDRE",IF(H1465&lt;&gt;"OUI","⚠ ENROBÉ AVANT ACCEPTATION RT","ENROBÉ"))))</f>
        <v/>
      </c>
      <c r="O1465" s="79"/>
    </row>
    <row r="1466" customFormat="false" ht="15" hidden="false" customHeight="false" outlineLevel="0" collapsed="false">
      <c r="A1466" s="78" t="str">
        <f aca="false">IF('CARNET DE SOUDURE'!E1466="","",'CARNET DE SOUDURE'!A1466)</f>
        <v/>
      </c>
      <c r="B1466" s="93" t="str">
        <f aca="false">IF('CARNET DE SOUDURE'!E1466="","",'CARNET DE SOUDURE'!B1466&amp;"")</f>
        <v/>
      </c>
      <c r="C1466" s="83" t="str">
        <f aca="false">IF('CARNET DE SOUDURE'!E1466="","",'CARNET DE SOUDURE'!E1466)</f>
        <v/>
      </c>
      <c r="D1466" s="78" t="str">
        <f aca="false">IF('CARNET DE SOUDURE'!E1466="","",'CARNET DE SOUDURE'!D1466&amp;"")</f>
        <v/>
      </c>
      <c r="E1466" s="96" t="str">
        <f aca="false">IF(OR('CARNET DE SOUDURE'!E1466="",'CARNET DE SOUDURE'!R1466=""),"",'CARNET DE SOUDURE'!R1466)</f>
        <v/>
      </c>
      <c r="F1466" s="81" t="str">
        <f aca="false">IF('CARNET DE SOUDURE'!E1466="","",'CARNET DE SOUDURE'!AL1466)</f>
        <v/>
      </c>
      <c r="G1466" s="81" t="str">
        <f aca="false">IF('CARNET DE SOUDURE'!E1466="","",'CARNET DE SOUDURE'!AM1466)</f>
        <v/>
      </c>
      <c r="H1466" s="81" t="str">
        <f aca="false">IF(C1466="","",IF(G1466="ACCEPTÉ","OUI","NON"))</f>
        <v/>
      </c>
      <c r="I1466" s="82"/>
      <c r="J1466" s="79"/>
      <c r="K1466" s="80"/>
      <c r="L1466" s="80"/>
      <c r="M1466" s="80"/>
      <c r="N1466" s="83" t="str">
        <f aca="false">IF(C1466="","",IF(I1466="",IF(H1466="OUI","À ENROBER",IF(G1466="À SOUDER","NON SOUDÉ","EN ATTENTE RT")),IF(L1466="R","À REPRENDRE",IF(H1466&lt;&gt;"OUI","⚠ ENROBÉ AVANT ACCEPTATION RT","ENROBÉ"))))</f>
        <v/>
      </c>
      <c r="O1466" s="79"/>
    </row>
    <row r="1467" customFormat="false" ht="15" hidden="false" customHeight="false" outlineLevel="0" collapsed="false">
      <c r="A1467" s="78" t="str">
        <f aca="false">IF('CARNET DE SOUDURE'!E1467="","",'CARNET DE SOUDURE'!A1467)</f>
        <v/>
      </c>
      <c r="B1467" s="93" t="str">
        <f aca="false">IF('CARNET DE SOUDURE'!E1467="","",'CARNET DE SOUDURE'!B1467&amp;"")</f>
        <v/>
      </c>
      <c r="C1467" s="83" t="str">
        <f aca="false">IF('CARNET DE SOUDURE'!E1467="","",'CARNET DE SOUDURE'!E1467)</f>
        <v/>
      </c>
      <c r="D1467" s="78" t="str">
        <f aca="false">IF('CARNET DE SOUDURE'!E1467="","",'CARNET DE SOUDURE'!D1467&amp;"")</f>
        <v/>
      </c>
      <c r="E1467" s="96" t="str">
        <f aca="false">IF(OR('CARNET DE SOUDURE'!E1467="",'CARNET DE SOUDURE'!R1467=""),"",'CARNET DE SOUDURE'!R1467)</f>
        <v/>
      </c>
      <c r="F1467" s="81" t="str">
        <f aca="false">IF('CARNET DE SOUDURE'!E1467="","",'CARNET DE SOUDURE'!AL1467)</f>
        <v/>
      </c>
      <c r="G1467" s="81" t="str">
        <f aca="false">IF('CARNET DE SOUDURE'!E1467="","",'CARNET DE SOUDURE'!AM1467)</f>
        <v/>
      </c>
      <c r="H1467" s="81" t="str">
        <f aca="false">IF(C1467="","",IF(G1467="ACCEPTÉ","OUI","NON"))</f>
        <v/>
      </c>
      <c r="I1467" s="82"/>
      <c r="J1467" s="79"/>
      <c r="K1467" s="80"/>
      <c r="L1467" s="80"/>
      <c r="M1467" s="80"/>
      <c r="N1467" s="83" t="str">
        <f aca="false">IF(C1467="","",IF(I1467="",IF(H1467="OUI","À ENROBER",IF(G1467="À SOUDER","NON SOUDÉ","EN ATTENTE RT")),IF(L1467="R","À REPRENDRE",IF(H1467&lt;&gt;"OUI","⚠ ENROBÉ AVANT ACCEPTATION RT","ENROBÉ"))))</f>
        <v/>
      </c>
      <c r="O1467" s="79"/>
    </row>
    <row r="1468" customFormat="false" ht="15" hidden="false" customHeight="false" outlineLevel="0" collapsed="false">
      <c r="A1468" s="78" t="str">
        <f aca="false">IF('CARNET DE SOUDURE'!E1468="","",'CARNET DE SOUDURE'!A1468)</f>
        <v/>
      </c>
      <c r="B1468" s="93" t="str">
        <f aca="false">IF('CARNET DE SOUDURE'!E1468="","",'CARNET DE SOUDURE'!B1468&amp;"")</f>
        <v/>
      </c>
      <c r="C1468" s="83" t="str">
        <f aca="false">IF('CARNET DE SOUDURE'!E1468="","",'CARNET DE SOUDURE'!E1468)</f>
        <v/>
      </c>
      <c r="D1468" s="78" t="str">
        <f aca="false">IF('CARNET DE SOUDURE'!E1468="","",'CARNET DE SOUDURE'!D1468&amp;"")</f>
        <v/>
      </c>
      <c r="E1468" s="96" t="str">
        <f aca="false">IF(OR('CARNET DE SOUDURE'!E1468="",'CARNET DE SOUDURE'!R1468=""),"",'CARNET DE SOUDURE'!R1468)</f>
        <v/>
      </c>
      <c r="F1468" s="81" t="str">
        <f aca="false">IF('CARNET DE SOUDURE'!E1468="","",'CARNET DE SOUDURE'!AL1468)</f>
        <v/>
      </c>
      <c r="G1468" s="81" t="str">
        <f aca="false">IF('CARNET DE SOUDURE'!E1468="","",'CARNET DE SOUDURE'!AM1468)</f>
        <v/>
      </c>
      <c r="H1468" s="81" t="str">
        <f aca="false">IF(C1468="","",IF(G1468="ACCEPTÉ","OUI","NON"))</f>
        <v/>
      </c>
      <c r="I1468" s="82"/>
      <c r="J1468" s="79"/>
      <c r="K1468" s="80"/>
      <c r="L1468" s="80"/>
      <c r="M1468" s="80"/>
      <c r="N1468" s="83" t="str">
        <f aca="false">IF(C1468="","",IF(I1468="",IF(H1468="OUI","À ENROBER",IF(G1468="À SOUDER","NON SOUDÉ","EN ATTENTE RT")),IF(L1468="R","À REPRENDRE",IF(H1468&lt;&gt;"OUI","⚠ ENROBÉ AVANT ACCEPTATION RT","ENROBÉ"))))</f>
        <v/>
      </c>
      <c r="O1468" s="79"/>
    </row>
    <row r="1469" customFormat="false" ht="15" hidden="false" customHeight="false" outlineLevel="0" collapsed="false">
      <c r="A1469" s="78" t="str">
        <f aca="false">IF('CARNET DE SOUDURE'!E1469="","",'CARNET DE SOUDURE'!A1469)</f>
        <v/>
      </c>
      <c r="B1469" s="93" t="str">
        <f aca="false">IF('CARNET DE SOUDURE'!E1469="","",'CARNET DE SOUDURE'!B1469&amp;"")</f>
        <v/>
      </c>
      <c r="C1469" s="83" t="str">
        <f aca="false">IF('CARNET DE SOUDURE'!E1469="","",'CARNET DE SOUDURE'!E1469)</f>
        <v/>
      </c>
      <c r="D1469" s="78" t="str">
        <f aca="false">IF('CARNET DE SOUDURE'!E1469="","",'CARNET DE SOUDURE'!D1469&amp;"")</f>
        <v/>
      </c>
      <c r="E1469" s="96" t="str">
        <f aca="false">IF(OR('CARNET DE SOUDURE'!E1469="",'CARNET DE SOUDURE'!R1469=""),"",'CARNET DE SOUDURE'!R1469)</f>
        <v/>
      </c>
      <c r="F1469" s="81" t="str">
        <f aca="false">IF('CARNET DE SOUDURE'!E1469="","",'CARNET DE SOUDURE'!AL1469)</f>
        <v/>
      </c>
      <c r="G1469" s="81" t="str">
        <f aca="false">IF('CARNET DE SOUDURE'!E1469="","",'CARNET DE SOUDURE'!AM1469)</f>
        <v/>
      </c>
      <c r="H1469" s="81" t="str">
        <f aca="false">IF(C1469="","",IF(G1469="ACCEPTÉ","OUI","NON"))</f>
        <v/>
      </c>
      <c r="I1469" s="82"/>
      <c r="J1469" s="79"/>
      <c r="K1469" s="80"/>
      <c r="L1469" s="80"/>
      <c r="M1469" s="80"/>
      <c r="N1469" s="83" t="str">
        <f aca="false">IF(C1469="","",IF(I1469="",IF(H1469="OUI","À ENROBER",IF(G1469="À SOUDER","NON SOUDÉ","EN ATTENTE RT")),IF(L1469="R","À REPRENDRE",IF(H1469&lt;&gt;"OUI","⚠ ENROBÉ AVANT ACCEPTATION RT","ENROBÉ"))))</f>
        <v/>
      </c>
      <c r="O1469" s="79"/>
    </row>
    <row r="1470" customFormat="false" ht="15" hidden="false" customHeight="false" outlineLevel="0" collapsed="false">
      <c r="A1470" s="78" t="str">
        <f aca="false">IF('CARNET DE SOUDURE'!E1470="","",'CARNET DE SOUDURE'!A1470)</f>
        <v/>
      </c>
      <c r="B1470" s="93" t="str">
        <f aca="false">IF('CARNET DE SOUDURE'!E1470="","",'CARNET DE SOUDURE'!B1470&amp;"")</f>
        <v/>
      </c>
      <c r="C1470" s="83" t="str">
        <f aca="false">IF('CARNET DE SOUDURE'!E1470="","",'CARNET DE SOUDURE'!E1470)</f>
        <v/>
      </c>
      <c r="D1470" s="78" t="str">
        <f aca="false">IF('CARNET DE SOUDURE'!E1470="","",'CARNET DE SOUDURE'!D1470&amp;"")</f>
        <v/>
      </c>
      <c r="E1470" s="96" t="str">
        <f aca="false">IF(OR('CARNET DE SOUDURE'!E1470="",'CARNET DE SOUDURE'!R1470=""),"",'CARNET DE SOUDURE'!R1470)</f>
        <v/>
      </c>
      <c r="F1470" s="81" t="str">
        <f aca="false">IF('CARNET DE SOUDURE'!E1470="","",'CARNET DE SOUDURE'!AL1470)</f>
        <v/>
      </c>
      <c r="G1470" s="81" t="str">
        <f aca="false">IF('CARNET DE SOUDURE'!E1470="","",'CARNET DE SOUDURE'!AM1470)</f>
        <v/>
      </c>
      <c r="H1470" s="81" t="str">
        <f aca="false">IF(C1470="","",IF(G1470="ACCEPTÉ","OUI","NON"))</f>
        <v/>
      </c>
      <c r="I1470" s="82"/>
      <c r="J1470" s="79"/>
      <c r="K1470" s="80"/>
      <c r="L1470" s="80"/>
      <c r="M1470" s="80"/>
      <c r="N1470" s="83" t="str">
        <f aca="false">IF(C1470="","",IF(I1470="",IF(H1470="OUI","À ENROBER",IF(G1470="À SOUDER","NON SOUDÉ","EN ATTENTE RT")),IF(L1470="R","À REPRENDRE",IF(H1470&lt;&gt;"OUI","⚠ ENROBÉ AVANT ACCEPTATION RT","ENROBÉ"))))</f>
        <v/>
      </c>
      <c r="O1470" s="79"/>
    </row>
    <row r="1471" customFormat="false" ht="15" hidden="false" customHeight="false" outlineLevel="0" collapsed="false">
      <c r="A1471" s="78" t="str">
        <f aca="false">IF('CARNET DE SOUDURE'!E1471="","",'CARNET DE SOUDURE'!A1471)</f>
        <v/>
      </c>
      <c r="B1471" s="93" t="str">
        <f aca="false">IF('CARNET DE SOUDURE'!E1471="","",'CARNET DE SOUDURE'!B1471&amp;"")</f>
        <v/>
      </c>
      <c r="C1471" s="83" t="str">
        <f aca="false">IF('CARNET DE SOUDURE'!E1471="","",'CARNET DE SOUDURE'!E1471)</f>
        <v/>
      </c>
      <c r="D1471" s="78" t="str">
        <f aca="false">IF('CARNET DE SOUDURE'!E1471="","",'CARNET DE SOUDURE'!D1471&amp;"")</f>
        <v/>
      </c>
      <c r="E1471" s="96" t="str">
        <f aca="false">IF(OR('CARNET DE SOUDURE'!E1471="",'CARNET DE SOUDURE'!R1471=""),"",'CARNET DE SOUDURE'!R1471)</f>
        <v/>
      </c>
      <c r="F1471" s="81" t="str">
        <f aca="false">IF('CARNET DE SOUDURE'!E1471="","",'CARNET DE SOUDURE'!AL1471)</f>
        <v/>
      </c>
      <c r="G1471" s="81" t="str">
        <f aca="false">IF('CARNET DE SOUDURE'!E1471="","",'CARNET DE SOUDURE'!AM1471)</f>
        <v/>
      </c>
      <c r="H1471" s="81" t="str">
        <f aca="false">IF(C1471="","",IF(G1471="ACCEPTÉ","OUI","NON"))</f>
        <v/>
      </c>
      <c r="I1471" s="82"/>
      <c r="J1471" s="79"/>
      <c r="K1471" s="80"/>
      <c r="L1471" s="80"/>
      <c r="M1471" s="80"/>
      <c r="N1471" s="83" t="str">
        <f aca="false">IF(C1471="","",IF(I1471="",IF(H1471="OUI","À ENROBER",IF(G1471="À SOUDER","NON SOUDÉ","EN ATTENTE RT")),IF(L1471="R","À REPRENDRE",IF(H1471&lt;&gt;"OUI","⚠ ENROBÉ AVANT ACCEPTATION RT","ENROBÉ"))))</f>
        <v/>
      </c>
      <c r="O1471" s="79"/>
    </row>
    <row r="1472" customFormat="false" ht="15" hidden="false" customHeight="false" outlineLevel="0" collapsed="false">
      <c r="A1472" s="78" t="str">
        <f aca="false">IF('CARNET DE SOUDURE'!E1472="","",'CARNET DE SOUDURE'!A1472)</f>
        <v/>
      </c>
      <c r="B1472" s="93" t="str">
        <f aca="false">IF('CARNET DE SOUDURE'!E1472="","",'CARNET DE SOUDURE'!B1472&amp;"")</f>
        <v/>
      </c>
      <c r="C1472" s="83" t="str">
        <f aca="false">IF('CARNET DE SOUDURE'!E1472="","",'CARNET DE SOUDURE'!E1472)</f>
        <v/>
      </c>
      <c r="D1472" s="78" t="str">
        <f aca="false">IF('CARNET DE SOUDURE'!E1472="","",'CARNET DE SOUDURE'!D1472&amp;"")</f>
        <v/>
      </c>
      <c r="E1472" s="96" t="str">
        <f aca="false">IF(OR('CARNET DE SOUDURE'!E1472="",'CARNET DE SOUDURE'!R1472=""),"",'CARNET DE SOUDURE'!R1472)</f>
        <v/>
      </c>
      <c r="F1472" s="81" t="str">
        <f aca="false">IF('CARNET DE SOUDURE'!E1472="","",'CARNET DE SOUDURE'!AL1472)</f>
        <v/>
      </c>
      <c r="G1472" s="81" t="str">
        <f aca="false">IF('CARNET DE SOUDURE'!E1472="","",'CARNET DE SOUDURE'!AM1472)</f>
        <v/>
      </c>
      <c r="H1472" s="81" t="str">
        <f aca="false">IF(C1472="","",IF(G1472="ACCEPTÉ","OUI","NON"))</f>
        <v/>
      </c>
      <c r="I1472" s="82"/>
      <c r="J1472" s="79"/>
      <c r="K1472" s="80"/>
      <c r="L1472" s="80"/>
      <c r="M1472" s="80"/>
      <c r="N1472" s="83" t="str">
        <f aca="false">IF(C1472="","",IF(I1472="",IF(H1472="OUI","À ENROBER",IF(G1472="À SOUDER","NON SOUDÉ","EN ATTENTE RT")),IF(L1472="R","À REPRENDRE",IF(H1472&lt;&gt;"OUI","⚠ ENROBÉ AVANT ACCEPTATION RT","ENROBÉ"))))</f>
        <v/>
      </c>
      <c r="O1472" s="79"/>
    </row>
    <row r="1473" customFormat="false" ht="15" hidden="false" customHeight="false" outlineLevel="0" collapsed="false">
      <c r="A1473" s="78" t="str">
        <f aca="false">IF('CARNET DE SOUDURE'!E1473="","",'CARNET DE SOUDURE'!A1473)</f>
        <v/>
      </c>
      <c r="B1473" s="93" t="str">
        <f aca="false">IF('CARNET DE SOUDURE'!E1473="","",'CARNET DE SOUDURE'!B1473&amp;"")</f>
        <v/>
      </c>
      <c r="C1473" s="83" t="str">
        <f aca="false">IF('CARNET DE SOUDURE'!E1473="","",'CARNET DE SOUDURE'!E1473)</f>
        <v/>
      </c>
      <c r="D1473" s="78" t="str">
        <f aca="false">IF('CARNET DE SOUDURE'!E1473="","",'CARNET DE SOUDURE'!D1473&amp;"")</f>
        <v/>
      </c>
      <c r="E1473" s="96" t="str">
        <f aca="false">IF(OR('CARNET DE SOUDURE'!E1473="",'CARNET DE SOUDURE'!R1473=""),"",'CARNET DE SOUDURE'!R1473)</f>
        <v/>
      </c>
      <c r="F1473" s="81" t="str">
        <f aca="false">IF('CARNET DE SOUDURE'!E1473="","",'CARNET DE SOUDURE'!AL1473)</f>
        <v/>
      </c>
      <c r="G1473" s="81" t="str">
        <f aca="false">IF('CARNET DE SOUDURE'!E1473="","",'CARNET DE SOUDURE'!AM1473)</f>
        <v/>
      </c>
      <c r="H1473" s="81" t="str">
        <f aca="false">IF(C1473="","",IF(G1473="ACCEPTÉ","OUI","NON"))</f>
        <v/>
      </c>
      <c r="I1473" s="82"/>
      <c r="J1473" s="79"/>
      <c r="K1473" s="80"/>
      <c r="L1473" s="80"/>
      <c r="M1473" s="80"/>
      <c r="N1473" s="83" t="str">
        <f aca="false">IF(C1473="","",IF(I1473="",IF(H1473="OUI","À ENROBER",IF(G1473="À SOUDER","NON SOUDÉ","EN ATTENTE RT")),IF(L1473="R","À REPRENDRE",IF(H1473&lt;&gt;"OUI","⚠ ENROBÉ AVANT ACCEPTATION RT","ENROBÉ"))))</f>
        <v/>
      </c>
      <c r="O1473" s="79"/>
    </row>
    <row r="1474" customFormat="false" ht="15" hidden="false" customHeight="false" outlineLevel="0" collapsed="false">
      <c r="A1474" s="78" t="str">
        <f aca="false">IF('CARNET DE SOUDURE'!E1474="","",'CARNET DE SOUDURE'!A1474)</f>
        <v/>
      </c>
      <c r="B1474" s="93" t="str">
        <f aca="false">IF('CARNET DE SOUDURE'!E1474="","",'CARNET DE SOUDURE'!B1474&amp;"")</f>
        <v/>
      </c>
      <c r="C1474" s="83" t="str">
        <f aca="false">IF('CARNET DE SOUDURE'!E1474="","",'CARNET DE SOUDURE'!E1474)</f>
        <v/>
      </c>
      <c r="D1474" s="78" t="str">
        <f aca="false">IF('CARNET DE SOUDURE'!E1474="","",'CARNET DE SOUDURE'!D1474&amp;"")</f>
        <v/>
      </c>
      <c r="E1474" s="96" t="str">
        <f aca="false">IF(OR('CARNET DE SOUDURE'!E1474="",'CARNET DE SOUDURE'!R1474=""),"",'CARNET DE SOUDURE'!R1474)</f>
        <v/>
      </c>
      <c r="F1474" s="81" t="str">
        <f aca="false">IF('CARNET DE SOUDURE'!E1474="","",'CARNET DE SOUDURE'!AL1474)</f>
        <v/>
      </c>
      <c r="G1474" s="81" t="str">
        <f aca="false">IF('CARNET DE SOUDURE'!E1474="","",'CARNET DE SOUDURE'!AM1474)</f>
        <v/>
      </c>
      <c r="H1474" s="81" t="str">
        <f aca="false">IF(C1474="","",IF(G1474="ACCEPTÉ","OUI","NON"))</f>
        <v/>
      </c>
      <c r="I1474" s="82"/>
      <c r="J1474" s="79"/>
      <c r="K1474" s="80"/>
      <c r="L1474" s="80"/>
      <c r="M1474" s="80"/>
      <c r="N1474" s="83" t="str">
        <f aca="false">IF(C1474="","",IF(I1474="",IF(H1474="OUI","À ENROBER",IF(G1474="À SOUDER","NON SOUDÉ","EN ATTENTE RT")),IF(L1474="R","À REPRENDRE",IF(H1474&lt;&gt;"OUI","⚠ ENROBÉ AVANT ACCEPTATION RT","ENROBÉ"))))</f>
        <v/>
      </c>
      <c r="O1474" s="79"/>
    </row>
    <row r="1475" customFormat="false" ht="15" hidden="false" customHeight="false" outlineLevel="0" collapsed="false">
      <c r="A1475" s="78" t="str">
        <f aca="false">IF('CARNET DE SOUDURE'!E1475="","",'CARNET DE SOUDURE'!A1475)</f>
        <v/>
      </c>
      <c r="B1475" s="93" t="str">
        <f aca="false">IF('CARNET DE SOUDURE'!E1475="","",'CARNET DE SOUDURE'!B1475&amp;"")</f>
        <v/>
      </c>
      <c r="C1475" s="83" t="str">
        <f aca="false">IF('CARNET DE SOUDURE'!E1475="","",'CARNET DE SOUDURE'!E1475)</f>
        <v/>
      </c>
      <c r="D1475" s="78" t="str">
        <f aca="false">IF('CARNET DE SOUDURE'!E1475="","",'CARNET DE SOUDURE'!D1475&amp;"")</f>
        <v/>
      </c>
      <c r="E1475" s="96" t="str">
        <f aca="false">IF(OR('CARNET DE SOUDURE'!E1475="",'CARNET DE SOUDURE'!R1475=""),"",'CARNET DE SOUDURE'!R1475)</f>
        <v/>
      </c>
      <c r="F1475" s="81" t="str">
        <f aca="false">IF('CARNET DE SOUDURE'!E1475="","",'CARNET DE SOUDURE'!AL1475)</f>
        <v/>
      </c>
      <c r="G1475" s="81" t="str">
        <f aca="false">IF('CARNET DE SOUDURE'!E1475="","",'CARNET DE SOUDURE'!AM1475)</f>
        <v/>
      </c>
      <c r="H1475" s="81" t="str">
        <f aca="false">IF(C1475="","",IF(G1475="ACCEPTÉ","OUI","NON"))</f>
        <v/>
      </c>
      <c r="I1475" s="82"/>
      <c r="J1475" s="79"/>
      <c r="K1475" s="80"/>
      <c r="L1475" s="80"/>
      <c r="M1475" s="80"/>
      <c r="N1475" s="83" t="str">
        <f aca="false">IF(C1475="","",IF(I1475="",IF(H1475="OUI","À ENROBER",IF(G1475="À SOUDER","NON SOUDÉ","EN ATTENTE RT")),IF(L1475="R","À REPRENDRE",IF(H1475&lt;&gt;"OUI","⚠ ENROBÉ AVANT ACCEPTATION RT","ENROBÉ"))))</f>
        <v/>
      </c>
      <c r="O1475" s="79"/>
    </row>
    <row r="1476" customFormat="false" ht="15" hidden="false" customHeight="false" outlineLevel="0" collapsed="false">
      <c r="A1476" s="78" t="str">
        <f aca="false">IF('CARNET DE SOUDURE'!E1476="","",'CARNET DE SOUDURE'!A1476)</f>
        <v/>
      </c>
      <c r="B1476" s="93" t="str">
        <f aca="false">IF('CARNET DE SOUDURE'!E1476="","",'CARNET DE SOUDURE'!B1476&amp;"")</f>
        <v/>
      </c>
      <c r="C1476" s="83" t="str">
        <f aca="false">IF('CARNET DE SOUDURE'!E1476="","",'CARNET DE SOUDURE'!E1476)</f>
        <v/>
      </c>
      <c r="D1476" s="78" t="str">
        <f aca="false">IF('CARNET DE SOUDURE'!E1476="","",'CARNET DE SOUDURE'!D1476&amp;"")</f>
        <v/>
      </c>
      <c r="E1476" s="96" t="str">
        <f aca="false">IF(OR('CARNET DE SOUDURE'!E1476="",'CARNET DE SOUDURE'!R1476=""),"",'CARNET DE SOUDURE'!R1476)</f>
        <v/>
      </c>
      <c r="F1476" s="81" t="str">
        <f aca="false">IF('CARNET DE SOUDURE'!E1476="","",'CARNET DE SOUDURE'!AL1476)</f>
        <v/>
      </c>
      <c r="G1476" s="81" t="str">
        <f aca="false">IF('CARNET DE SOUDURE'!E1476="","",'CARNET DE SOUDURE'!AM1476)</f>
        <v/>
      </c>
      <c r="H1476" s="81" t="str">
        <f aca="false">IF(C1476="","",IF(G1476="ACCEPTÉ","OUI","NON"))</f>
        <v/>
      </c>
      <c r="I1476" s="82"/>
      <c r="J1476" s="79"/>
      <c r="K1476" s="80"/>
      <c r="L1476" s="80"/>
      <c r="M1476" s="80"/>
      <c r="N1476" s="83" t="str">
        <f aca="false">IF(C1476="","",IF(I1476="",IF(H1476="OUI","À ENROBER",IF(G1476="À SOUDER","NON SOUDÉ","EN ATTENTE RT")),IF(L1476="R","À REPRENDRE",IF(H1476&lt;&gt;"OUI","⚠ ENROBÉ AVANT ACCEPTATION RT","ENROBÉ"))))</f>
        <v/>
      </c>
      <c r="O1476" s="79"/>
    </row>
    <row r="1477" customFormat="false" ht="15" hidden="false" customHeight="false" outlineLevel="0" collapsed="false">
      <c r="A1477" s="78" t="str">
        <f aca="false">IF('CARNET DE SOUDURE'!E1477="","",'CARNET DE SOUDURE'!A1477)</f>
        <v/>
      </c>
      <c r="B1477" s="93" t="str">
        <f aca="false">IF('CARNET DE SOUDURE'!E1477="","",'CARNET DE SOUDURE'!B1477&amp;"")</f>
        <v/>
      </c>
      <c r="C1477" s="83" t="str">
        <f aca="false">IF('CARNET DE SOUDURE'!E1477="","",'CARNET DE SOUDURE'!E1477)</f>
        <v/>
      </c>
      <c r="D1477" s="78" t="str">
        <f aca="false">IF('CARNET DE SOUDURE'!E1477="","",'CARNET DE SOUDURE'!D1477&amp;"")</f>
        <v/>
      </c>
      <c r="E1477" s="96" t="str">
        <f aca="false">IF(OR('CARNET DE SOUDURE'!E1477="",'CARNET DE SOUDURE'!R1477=""),"",'CARNET DE SOUDURE'!R1477)</f>
        <v/>
      </c>
      <c r="F1477" s="81" t="str">
        <f aca="false">IF('CARNET DE SOUDURE'!E1477="","",'CARNET DE SOUDURE'!AL1477)</f>
        <v/>
      </c>
      <c r="G1477" s="81" t="str">
        <f aca="false">IF('CARNET DE SOUDURE'!E1477="","",'CARNET DE SOUDURE'!AM1477)</f>
        <v/>
      </c>
      <c r="H1477" s="81" t="str">
        <f aca="false">IF(C1477="","",IF(G1477="ACCEPTÉ","OUI","NON"))</f>
        <v/>
      </c>
      <c r="I1477" s="82"/>
      <c r="J1477" s="79"/>
      <c r="K1477" s="80"/>
      <c r="L1477" s="80"/>
      <c r="M1477" s="80"/>
      <c r="N1477" s="83" t="str">
        <f aca="false">IF(C1477="","",IF(I1477="",IF(H1477="OUI","À ENROBER",IF(G1477="À SOUDER","NON SOUDÉ","EN ATTENTE RT")),IF(L1477="R","À REPRENDRE",IF(H1477&lt;&gt;"OUI","⚠ ENROBÉ AVANT ACCEPTATION RT","ENROBÉ"))))</f>
        <v/>
      </c>
      <c r="O1477" s="79"/>
    </row>
    <row r="1478" customFormat="false" ht="15" hidden="false" customHeight="false" outlineLevel="0" collapsed="false">
      <c r="A1478" s="78" t="str">
        <f aca="false">IF('CARNET DE SOUDURE'!E1478="","",'CARNET DE SOUDURE'!A1478)</f>
        <v/>
      </c>
      <c r="B1478" s="93" t="str">
        <f aca="false">IF('CARNET DE SOUDURE'!E1478="","",'CARNET DE SOUDURE'!B1478&amp;"")</f>
        <v/>
      </c>
      <c r="C1478" s="83" t="str">
        <f aca="false">IF('CARNET DE SOUDURE'!E1478="","",'CARNET DE SOUDURE'!E1478)</f>
        <v/>
      </c>
      <c r="D1478" s="78" t="str">
        <f aca="false">IF('CARNET DE SOUDURE'!E1478="","",'CARNET DE SOUDURE'!D1478&amp;"")</f>
        <v/>
      </c>
      <c r="E1478" s="96" t="str">
        <f aca="false">IF(OR('CARNET DE SOUDURE'!E1478="",'CARNET DE SOUDURE'!R1478=""),"",'CARNET DE SOUDURE'!R1478)</f>
        <v/>
      </c>
      <c r="F1478" s="81" t="str">
        <f aca="false">IF('CARNET DE SOUDURE'!E1478="","",'CARNET DE SOUDURE'!AL1478)</f>
        <v/>
      </c>
      <c r="G1478" s="81" t="str">
        <f aca="false">IF('CARNET DE SOUDURE'!E1478="","",'CARNET DE SOUDURE'!AM1478)</f>
        <v/>
      </c>
      <c r="H1478" s="81" t="str">
        <f aca="false">IF(C1478="","",IF(G1478="ACCEPTÉ","OUI","NON"))</f>
        <v/>
      </c>
      <c r="I1478" s="82"/>
      <c r="J1478" s="79"/>
      <c r="K1478" s="80"/>
      <c r="L1478" s="80"/>
      <c r="M1478" s="80"/>
      <c r="N1478" s="83" t="str">
        <f aca="false">IF(C1478="","",IF(I1478="",IF(H1478="OUI","À ENROBER",IF(G1478="À SOUDER","NON SOUDÉ","EN ATTENTE RT")),IF(L1478="R","À REPRENDRE",IF(H1478&lt;&gt;"OUI","⚠ ENROBÉ AVANT ACCEPTATION RT","ENROBÉ"))))</f>
        <v/>
      </c>
      <c r="O1478" s="79"/>
    </row>
    <row r="1479" customFormat="false" ht="15" hidden="false" customHeight="false" outlineLevel="0" collapsed="false">
      <c r="A1479" s="78" t="str">
        <f aca="false">IF('CARNET DE SOUDURE'!E1479="","",'CARNET DE SOUDURE'!A1479)</f>
        <v/>
      </c>
      <c r="B1479" s="93" t="str">
        <f aca="false">IF('CARNET DE SOUDURE'!E1479="","",'CARNET DE SOUDURE'!B1479&amp;"")</f>
        <v/>
      </c>
      <c r="C1479" s="83" t="str">
        <f aca="false">IF('CARNET DE SOUDURE'!E1479="","",'CARNET DE SOUDURE'!E1479)</f>
        <v/>
      </c>
      <c r="D1479" s="78" t="str">
        <f aca="false">IF('CARNET DE SOUDURE'!E1479="","",'CARNET DE SOUDURE'!D1479&amp;"")</f>
        <v/>
      </c>
      <c r="E1479" s="96" t="str">
        <f aca="false">IF(OR('CARNET DE SOUDURE'!E1479="",'CARNET DE SOUDURE'!R1479=""),"",'CARNET DE SOUDURE'!R1479)</f>
        <v/>
      </c>
      <c r="F1479" s="81" t="str">
        <f aca="false">IF('CARNET DE SOUDURE'!E1479="","",'CARNET DE SOUDURE'!AL1479)</f>
        <v/>
      </c>
      <c r="G1479" s="81" t="str">
        <f aca="false">IF('CARNET DE SOUDURE'!E1479="","",'CARNET DE SOUDURE'!AM1479)</f>
        <v/>
      </c>
      <c r="H1479" s="81" t="str">
        <f aca="false">IF(C1479="","",IF(G1479="ACCEPTÉ","OUI","NON"))</f>
        <v/>
      </c>
      <c r="I1479" s="82"/>
      <c r="J1479" s="79"/>
      <c r="K1479" s="80"/>
      <c r="L1479" s="80"/>
      <c r="M1479" s="80"/>
      <c r="N1479" s="83" t="str">
        <f aca="false">IF(C1479="","",IF(I1479="",IF(H1479="OUI","À ENROBER",IF(G1479="À SOUDER","NON SOUDÉ","EN ATTENTE RT")),IF(L1479="R","À REPRENDRE",IF(H1479&lt;&gt;"OUI","⚠ ENROBÉ AVANT ACCEPTATION RT","ENROBÉ"))))</f>
        <v/>
      </c>
      <c r="O1479" s="79"/>
    </row>
    <row r="1480" customFormat="false" ht="15" hidden="false" customHeight="false" outlineLevel="0" collapsed="false">
      <c r="A1480" s="78" t="str">
        <f aca="false">IF('CARNET DE SOUDURE'!E1480="","",'CARNET DE SOUDURE'!A1480)</f>
        <v/>
      </c>
      <c r="B1480" s="93" t="str">
        <f aca="false">IF('CARNET DE SOUDURE'!E1480="","",'CARNET DE SOUDURE'!B1480&amp;"")</f>
        <v/>
      </c>
      <c r="C1480" s="83" t="str">
        <f aca="false">IF('CARNET DE SOUDURE'!E1480="","",'CARNET DE SOUDURE'!E1480)</f>
        <v/>
      </c>
      <c r="D1480" s="78" t="str">
        <f aca="false">IF('CARNET DE SOUDURE'!E1480="","",'CARNET DE SOUDURE'!D1480&amp;"")</f>
        <v/>
      </c>
      <c r="E1480" s="96" t="str">
        <f aca="false">IF(OR('CARNET DE SOUDURE'!E1480="",'CARNET DE SOUDURE'!R1480=""),"",'CARNET DE SOUDURE'!R1480)</f>
        <v/>
      </c>
      <c r="F1480" s="81" t="str">
        <f aca="false">IF('CARNET DE SOUDURE'!E1480="","",'CARNET DE SOUDURE'!AL1480)</f>
        <v/>
      </c>
      <c r="G1480" s="81" t="str">
        <f aca="false">IF('CARNET DE SOUDURE'!E1480="","",'CARNET DE SOUDURE'!AM1480)</f>
        <v/>
      </c>
      <c r="H1480" s="81" t="str">
        <f aca="false">IF(C1480="","",IF(G1480="ACCEPTÉ","OUI","NON"))</f>
        <v/>
      </c>
      <c r="I1480" s="82"/>
      <c r="J1480" s="79"/>
      <c r="K1480" s="80"/>
      <c r="L1480" s="80"/>
      <c r="M1480" s="80"/>
      <c r="N1480" s="83" t="str">
        <f aca="false">IF(C1480="","",IF(I1480="",IF(H1480="OUI","À ENROBER",IF(G1480="À SOUDER","NON SOUDÉ","EN ATTENTE RT")),IF(L1480="R","À REPRENDRE",IF(H1480&lt;&gt;"OUI","⚠ ENROBÉ AVANT ACCEPTATION RT","ENROBÉ"))))</f>
        <v/>
      </c>
      <c r="O1480" s="79"/>
    </row>
    <row r="1481" customFormat="false" ht="15" hidden="false" customHeight="false" outlineLevel="0" collapsed="false">
      <c r="A1481" s="78" t="str">
        <f aca="false">IF('CARNET DE SOUDURE'!E1481="","",'CARNET DE SOUDURE'!A1481)</f>
        <v/>
      </c>
      <c r="B1481" s="93" t="str">
        <f aca="false">IF('CARNET DE SOUDURE'!E1481="","",'CARNET DE SOUDURE'!B1481&amp;"")</f>
        <v/>
      </c>
      <c r="C1481" s="83" t="str">
        <f aca="false">IF('CARNET DE SOUDURE'!E1481="","",'CARNET DE SOUDURE'!E1481)</f>
        <v/>
      </c>
      <c r="D1481" s="78" t="str">
        <f aca="false">IF('CARNET DE SOUDURE'!E1481="","",'CARNET DE SOUDURE'!D1481&amp;"")</f>
        <v/>
      </c>
      <c r="E1481" s="96" t="str">
        <f aca="false">IF(OR('CARNET DE SOUDURE'!E1481="",'CARNET DE SOUDURE'!R1481=""),"",'CARNET DE SOUDURE'!R1481)</f>
        <v/>
      </c>
      <c r="F1481" s="81" t="str">
        <f aca="false">IF('CARNET DE SOUDURE'!E1481="","",'CARNET DE SOUDURE'!AL1481)</f>
        <v/>
      </c>
      <c r="G1481" s="81" t="str">
        <f aca="false">IF('CARNET DE SOUDURE'!E1481="","",'CARNET DE SOUDURE'!AM1481)</f>
        <v/>
      </c>
      <c r="H1481" s="81" t="str">
        <f aca="false">IF(C1481="","",IF(G1481="ACCEPTÉ","OUI","NON"))</f>
        <v/>
      </c>
      <c r="I1481" s="82"/>
      <c r="J1481" s="79"/>
      <c r="K1481" s="80"/>
      <c r="L1481" s="80"/>
      <c r="M1481" s="80"/>
      <c r="N1481" s="83" t="str">
        <f aca="false">IF(C1481="","",IF(I1481="",IF(H1481="OUI","À ENROBER",IF(G1481="À SOUDER","NON SOUDÉ","EN ATTENTE RT")),IF(L1481="R","À REPRENDRE",IF(H1481&lt;&gt;"OUI","⚠ ENROBÉ AVANT ACCEPTATION RT","ENROBÉ"))))</f>
        <v/>
      </c>
      <c r="O1481" s="79"/>
    </row>
    <row r="1482" customFormat="false" ht="15" hidden="false" customHeight="false" outlineLevel="0" collapsed="false">
      <c r="A1482" s="78" t="str">
        <f aca="false">IF('CARNET DE SOUDURE'!E1482="","",'CARNET DE SOUDURE'!A1482)</f>
        <v/>
      </c>
      <c r="B1482" s="93" t="str">
        <f aca="false">IF('CARNET DE SOUDURE'!E1482="","",'CARNET DE SOUDURE'!B1482&amp;"")</f>
        <v/>
      </c>
      <c r="C1482" s="83" t="str">
        <f aca="false">IF('CARNET DE SOUDURE'!E1482="","",'CARNET DE SOUDURE'!E1482)</f>
        <v/>
      </c>
      <c r="D1482" s="78" t="str">
        <f aca="false">IF('CARNET DE SOUDURE'!E1482="","",'CARNET DE SOUDURE'!D1482&amp;"")</f>
        <v/>
      </c>
      <c r="E1482" s="96" t="str">
        <f aca="false">IF(OR('CARNET DE SOUDURE'!E1482="",'CARNET DE SOUDURE'!R1482=""),"",'CARNET DE SOUDURE'!R1482)</f>
        <v/>
      </c>
      <c r="F1482" s="81" t="str">
        <f aca="false">IF('CARNET DE SOUDURE'!E1482="","",'CARNET DE SOUDURE'!AL1482)</f>
        <v/>
      </c>
      <c r="G1482" s="81" t="str">
        <f aca="false">IF('CARNET DE SOUDURE'!E1482="","",'CARNET DE SOUDURE'!AM1482)</f>
        <v/>
      </c>
      <c r="H1482" s="81" t="str">
        <f aca="false">IF(C1482="","",IF(G1482="ACCEPTÉ","OUI","NON"))</f>
        <v/>
      </c>
      <c r="I1482" s="82"/>
      <c r="J1482" s="79"/>
      <c r="K1482" s="80"/>
      <c r="L1482" s="80"/>
      <c r="M1482" s="80"/>
      <c r="N1482" s="83" t="str">
        <f aca="false">IF(C1482="","",IF(I1482="",IF(H1482="OUI","À ENROBER",IF(G1482="À SOUDER","NON SOUDÉ","EN ATTENTE RT")),IF(L1482="R","À REPRENDRE",IF(H1482&lt;&gt;"OUI","⚠ ENROBÉ AVANT ACCEPTATION RT","ENROBÉ"))))</f>
        <v/>
      </c>
      <c r="O1482" s="79"/>
    </row>
    <row r="1483" customFormat="false" ht="15" hidden="false" customHeight="false" outlineLevel="0" collapsed="false">
      <c r="A1483" s="78" t="str">
        <f aca="false">IF('CARNET DE SOUDURE'!E1483="","",'CARNET DE SOUDURE'!A1483)</f>
        <v/>
      </c>
      <c r="B1483" s="93" t="str">
        <f aca="false">IF('CARNET DE SOUDURE'!E1483="","",'CARNET DE SOUDURE'!B1483&amp;"")</f>
        <v/>
      </c>
      <c r="C1483" s="83" t="str">
        <f aca="false">IF('CARNET DE SOUDURE'!E1483="","",'CARNET DE SOUDURE'!E1483)</f>
        <v/>
      </c>
      <c r="D1483" s="78" t="str">
        <f aca="false">IF('CARNET DE SOUDURE'!E1483="","",'CARNET DE SOUDURE'!D1483&amp;"")</f>
        <v/>
      </c>
      <c r="E1483" s="96" t="str">
        <f aca="false">IF(OR('CARNET DE SOUDURE'!E1483="",'CARNET DE SOUDURE'!R1483=""),"",'CARNET DE SOUDURE'!R1483)</f>
        <v/>
      </c>
      <c r="F1483" s="81" t="str">
        <f aca="false">IF('CARNET DE SOUDURE'!E1483="","",'CARNET DE SOUDURE'!AL1483)</f>
        <v/>
      </c>
      <c r="G1483" s="81" t="str">
        <f aca="false">IF('CARNET DE SOUDURE'!E1483="","",'CARNET DE SOUDURE'!AM1483)</f>
        <v/>
      </c>
      <c r="H1483" s="81" t="str">
        <f aca="false">IF(C1483="","",IF(G1483="ACCEPTÉ","OUI","NON"))</f>
        <v/>
      </c>
      <c r="I1483" s="82"/>
      <c r="J1483" s="79"/>
      <c r="K1483" s="80"/>
      <c r="L1483" s="80"/>
      <c r="M1483" s="80"/>
      <c r="N1483" s="83" t="str">
        <f aca="false">IF(C1483="","",IF(I1483="",IF(H1483="OUI","À ENROBER",IF(G1483="À SOUDER","NON SOUDÉ","EN ATTENTE RT")),IF(L1483="R","À REPRENDRE",IF(H1483&lt;&gt;"OUI","⚠ ENROBÉ AVANT ACCEPTATION RT","ENROBÉ"))))</f>
        <v/>
      </c>
      <c r="O1483" s="79"/>
    </row>
    <row r="1484" customFormat="false" ht="15" hidden="false" customHeight="false" outlineLevel="0" collapsed="false">
      <c r="A1484" s="78" t="str">
        <f aca="false">IF('CARNET DE SOUDURE'!E1484="","",'CARNET DE SOUDURE'!A1484)</f>
        <v/>
      </c>
      <c r="B1484" s="93" t="str">
        <f aca="false">IF('CARNET DE SOUDURE'!E1484="","",'CARNET DE SOUDURE'!B1484&amp;"")</f>
        <v/>
      </c>
      <c r="C1484" s="83" t="str">
        <f aca="false">IF('CARNET DE SOUDURE'!E1484="","",'CARNET DE SOUDURE'!E1484)</f>
        <v/>
      </c>
      <c r="D1484" s="78" t="str">
        <f aca="false">IF('CARNET DE SOUDURE'!E1484="","",'CARNET DE SOUDURE'!D1484&amp;"")</f>
        <v/>
      </c>
      <c r="E1484" s="96" t="str">
        <f aca="false">IF(OR('CARNET DE SOUDURE'!E1484="",'CARNET DE SOUDURE'!R1484=""),"",'CARNET DE SOUDURE'!R1484)</f>
        <v/>
      </c>
      <c r="F1484" s="81" t="str">
        <f aca="false">IF('CARNET DE SOUDURE'!E1484="","",'CARNET DE SOUDURE'!AL1484)</f>
        <v/>
      </c>
      <c r="G1484" s="81" t="str">
        <f aca="false">IF('CARNET DE SOUDURE'!E1484="","",'CARNET DE SOUDURE'!AM1484)</f>
        <v/>
      </c>
      <c r="H1484" s="81" t="str">
        <f aca="false">IF(C1484="","",IF(G1484="ACCEPTÉ","OUI","NON"))</f>
        <v/>
      </c>
      <c r="I1484" s="82"/>
      <c r="J1484" s="79"/>
      <c r="K1484" s="80"/>
      <c r="L1484" s="80"/>
      <c r="M1484" s="80"/>
      <c r="N1484" s="83" t="str">
        <f aca="false">IF(C1484="","",IF(I1484="",IF(H1484="OUI","À ENROBER",IF(G1484="À SOUDER","NON SOUDÉ","EN ATTENTE RT")),IF(L1484="R","À REPRENDRE",IF(H1484&lt;&gt;"OUI","⚠ ENROBÉ AVANT ACCEPTATION RT","ENROBÉ"))))</f>
        <v/>
      </c>
      <c r="O1484" s="79"/>
    </row>
    <row r="1485" customFormat="false" ht="15" hidden="false" customHeight="false" outlineLevel="0" collapsed="false">
      <c r="A1485" s="78" t="str">
        <f aca="false">IF('CARNET DE SOUDURE'!E1485="","",'CARNET DE SOUDURE'!A1485)</f>
        <v/>
      </c>
      <c r="B1485" s="93" t="str">
        <f aca="false">IF('CARNET DE SOUDURE'!E1485="","",'CARNET DE SOUDURE'!B1485&amp;"")</f>
        <v/>
      </c>
      <c r="C1485" s="83" t="str">
        <f aca="false">IF('CARNET DE SOUDURE'!E1485="","",'CARNET DE SOUDURE'!E1485)</f>
        <v/>
      </c>
      <c r="D1485" s="78" t="str">
        <f aca="false">IF('CARNET DE SOUDURE'!E1485="","",'CARNET DE SOUDURE'!D1485&amp;"")</f>
        <v/>
      </c>
      <c r="E1485" s="96" t="str">
        <f aca="false">IF(OR('CARNET DE SOUDURE'!E1485="",'CARNET DE SOUDURE'!R1485=""),"",'CARNET DE SOUDURE'!R1485)</f>
        <v/>
      </c>
      <c r="F1485" s="81" t="str">
        <f aca="false">IF('CARNET DE SOUDURE'!E1485="","",'CARNET DE SOUDURE'!AL1485)</f>
        <v/>
      </c>
      <c r="G1485" s="81" t="str">
        <f aca="false">IF('CARNET DE SOUDURE'!E1485="","",'CARNET DE SOUDURE'!AM1485)</f>
        <v/>
      </c>
      <c r="H1485" s="81" t="str">
        <f aca="false">IF(C1485="","",IF(G1485="ACCEPTÉ","OUI","NON"))</f>
        <v/>
      </c>
      <c r="I1485" s="82"/>
      <c r="J1485" s="79"/>
      <c r="K1485" s="80"/>
      <c r="L1485" s="80"/>
      <c r="M1485" s="80"/>
      <c r="N1485" s="83" t="str">
        <f aca="false">IF(C1485="","",IF(I1485="",IF(H1485="OUI","À ENROBER",IF(G1485="À SOUDER","NON SOUDÉ","EN ATTENTE RT")),IF(L1485="R","À REPRENDRE",IF(H1485&lt;&gt;"OUI","⚠ ENROBÉ AVANT ACCEPTATION RT","ENROBÉ"))))</f>
        <v/>
      </c>
      <c r="O1485" s="79"/>
    </row>
    <row r="1486" customFormat="false" ht="15" hidden="false" customHeight="false" outlineLevel="0" collapsed="false">
      <c r="A1486" s="78" t="str">
        <f aca="false">IF('CARNET DE SOUDURE'!E1486="","",'CARNET DE SOUDURE'!A1486)</f>
        <v/>
      </c>
      <c r="B1486" s="93" t="str">
        <f aca="false">IF('CARNET DE SOUDURE'!E1486="","",'CARNET DE SOUDURE'!B1486&amp;"")</f>
        <v/>
      </c>
      <c r="C1486" s="83" t="str">
        <f aca="false">IF('CARNET DE SOUDURE'!E1486="","",'CARNET DE SOUDURE'!E1486)</f>
        <v/>
      </c>
      <c r="D1486" s="78" t="str">
        <f aca="false">IF('CARNET DE SOUDURE'!E1486="","",'CARNET DE SOUDURE'!D1486&amp;"")</f>
        <v/>
      </c>
      <c r="E1486" s="96" t="str">
        <f aca="false">IF(OR('CARNET DE SOUDURE'!E1486="",'CARNET DE SOUDURE'!R1486=""),"",'CARNET DE SOUDURE'!R1486)</f>
        <v/>
      </c>
      <c r="F1486" s="81" t="str">
        <f aca="false">IF('CARNET DE SOUDURE'!E1486="","",'CARNET DE SOUDURE'!AL1486)</f>
        <v/>
      </c>
      <c r="G1486" s="81" t="str">
        <f aca="false">IF('CARNET DE SOUDURE'!E1486="","",'CARNET DE SOUDURE'!AM1486)</f>
        <v/>
      </c>
      <c r="H1486" s="81" t="str">
        <f aca="false">IF(C1486="","",IF(G1486="ACCEPTÉ","OUI","NON"))</f>
        <v/>
      </c>
      <c r="I1486" s="82"/>
      <c r="J1486" s="79"/>
      <c r="K1486" s="80"/>
      <c r="L1486" s="80"/>
      <c r="M1486" s="80"/>
      <c r="N1486" s="83" t="str">
        <f aca="false">IF(C1486="","",IF(I1486="",IF(H1486="OUI","À ENROBER",IF(G1486="À SOUDER","NON SOUDÉ","EN ATTENTE RT")),IF(L1486="R","À REPRENDRE",IF(H1486&lt;&gt;"OUI","⚠ ENROBÉ AVANT ACCEPTATION RT","ENROBÉ"))))</f>
        <v/>
      </c>
      <c r="O1486" s="79"/>
    </row>
    <row r="1487" customFormat="false" ht="15" hidden="false" customHeight="false" outlineLevel="0" collapsed="false">
      <c r="A1487" s="78" t="str">
        <f aca="false">IF('CARNET DE SOUDURE'!E1487="","",'CARNET DE SOUDURE'!A1487)</f>
        <v/>
      </c>
      <c r="B1487" s="93" t="str">
        <f aca="false">IF('CARNET DE SOUDURE'!E1487="","",'CARNET DE SOUDURE'!B1487&amp;"")</f>
        <v/>
      </c>
      <c r="C1487" s="83" t="str">
        <f aca="false">IF('CARNET DE SOUDURE'!E1487="","",'CARNET DE SOUDURE'!E1487)</f>
        <v/>
      </c>
      <c r="D1487" s="78" t="str">
        <f aca="false">IF('CARNET DE SOUDURE'!E1487="","",'CARNET DE SOUDURE'!D1487&amp;"")</f>
        <v/>
      </c>
      <c r="E1487" s="96" t="str">
        <f aca="false">IF(OR('CARNET DE SOUDURE'!E1487="",'CARNET DE SOUDURE'!R1487=""),"",'CARNET DE SOUDURE'!R1487)</f>
        <v/>
      </c>
      <c r="F1487" s="81" t="str">
        <f aca="false">IF('CARNET DE SOUDURE'!E1487="","",'CARNET DE SOUDURE'!AL1487)</f>
        <v/>
      </c>
      <c r="G1487" s="81" t="str">
        <f aca="false">IF('CARNET DE SOUDURE'!E1487="","",'CARNET DE SOUDURE'!AM1487)</f>
        <v/>
      </c>
      <c r="H1487" s="81" t="str">
        <f aca="false">IF(C1487="","",IF(G1487="ACCEPTÉ","OUI","NON"))</f>
        <v/>
      </c>
      <c r="I1487" s="82"/>
      <c r="J1487" s="79"/>
      <c r="K1487" s="80"/>
      <c r="L1487" s="80"/>
      <c r="M1487" s="80"/>
      <c r="N1487" s="83" t="str">
        <f aca="false">IF(C1487="","",IF(I1487="",IF(H1487="OUI","À ENROBER",IF(G1487="À SOUDER","NON SOUDÉ","EN ATTENTE RT")),IF(L1487="R","À REPRENDRE",IF(H1487&lt;&gt;"OUI","⚠ ENROBÉ AVANT ACCEPTATION RT","ENROBÉ"))))</f>
        <v/>
      </c>
      <c r="O1487" s="79"/>
    </row>
    <row r="1488" customFormat="false" ht="15" hidden="false" customHeight="false" outlineLevel="0" collapsed="false">
      <c r="A1488" s="78" t="str">
        <f aca="false">IF('CARNET DE SOUDURE'!E1488="","",'CARNET DE SOUDURE'!A1488)</f>
        <v/>
      </c>
      <c r="B1488" s="93" t="str">
        <f aca="false">IF('CARNET DE SOUDURE'!E1488="","",'CARNET DE SOUDURE'!B1488&amp;"")</f>
        <v/>
      </c>
      <c r="C1488" s="83" t="str">
        <f aca="false">IF('CARNET DE SOUDURE'!E1488="","",'CARNET DE SOUDURE'!E1488)</f>
        <v/>
      </c>
      <c r="D1488" s="78" t="str">
        <f aca="false">IF('CARNET DE SOUDURE'!E1488="","",'CARNET DE SOUDURE'!D1488&amp;"")</f>
        <v/>
      </c>
      <c r="E1488" s="96" t="str">
        <f aca="false">IF(OR('CARNET DE SOUDURE'!E1488="",'CARNET DE SOUDURE'!R1488=""),"",'CARNET DE SOUDURE'!R1488)</f>
        <v/>
      </c>
      <c r="F1488" s="81" t="str">
        <f aca="false">IF('CARNET DE SOUDURE'!E1488="","",'CARNET DE SOUDURE'!AL1488)</f>
        <v/>
      </c>
      <c r="G1488" s="81" t="str">
        <f aca="false">IF('CARNET DE SOUDURE'!E1488="","",'CARNET DE SOUDURE'!AM1488)</f>
        <v/>
      </c>
      <c r="H1488" s="81" t="str">
        <f aca="false">IF(C1488="","",IF(G1488="ACCEPTÉ","OUI","NON"))</f>
        <v/>
      </c>
      <c r="I1488" s="82"/>
      <c r="J1488" s="79"/>
      <c r="K1488" s="80"/>
      <c r="L1488" s="80"/>
      <c r="M1488" s="80"/>
      <c r="N1488" s="83" t="str">
        <f aca="false">IF(C1488="","",IF(I1488="",IF(H1488="OUI","À ENROBER",IF(G1488="À SOUDER","NON SOUDÉ","EN ATTENTE RT")),IF(L1488="R","À REPRENDRE",IF(H1488&lt;&gt;"OUI","⚠ ENROBÉ AVANT ACCEPTATION RT","ENROBÉ"))))</f>
        <v/>
      </c>
      <c r="O1488" s="79"/>
    </row>
    <row r="1489" customFormat="false" ht="15" hidden="false" customHeight="false" outlineLevel="0" collapsed="false">
      <c r="A1489" s="78" t="str">
        <f aca="false">IF('CARNET DE SOUDURE'!E1489="","",'CARNET DE SOUDURE'!A1489)</f>
        <v/>
      </c>
      <c r="B1489" s="93" t="str">
        <f aca="false">IF('CARNET DE SOUDURE'!E1489="","",'CARNET DE SOUDURE'!B1489&amp;"")</f>
        <v/>
      </c>
      <c r="C1489" s="83" t="str">
        <f aca="false">IF('CARNET DE SOUDURE'!E1489="","",'CARNET DE SOUDURE'!E1489)</f>
        <v/>
      </c>
      <c r="D1489" s="78" t="str">
        <f aca="false">IF('CARNET DE SOUDURE'!E1489="","",'CARNET DE SOUDURE'!D1489&amp;"")</f>
        <v/>
      </c>
      <c r="E1489" s="96" t="str">
        <f aca="false">IF(OR('CARNET DE SOUDURE'!E1489="",'CARNET DE SOUDURE'!R1489=""),"",'CARNET DE SOUDURE'!R1489)</f>
        <v/>
      </c>
      <c r="F1489" s="81" t="str">
        <f aca="false">IF('CARNET DE SOUDURE'!E1489="","",'CARNET DE SOUDURE'!AL1489)</f>
        <v/>
      </c>
      <c r="G1489" s="81" t="str">
        <f aca="false">IF('CARNET DE SOUDURE'!E1489="","",'CARNET DE SOUDURE'!AM1489)</f>
        <v/>
      </c>
      <c r="H1489" s="81" t="str">
        <f aca="false">IF(C1489="","",IF(G1489="ACCEPTÉ","OUI","NON"))</f>
        <v/>
      </c>
      <c r="I1489" s="82"/>
      <c r="J1489" s="79"/>
      <c r="K1489" s="80"/>
      <c r="L1489" s="80"/>
      <c r="M1489" s="80"/>
      <c r="N1489" s="83" t="str">
        <f aca="false">IF(C1489="","",IF(I1489="",IF(H1489="OUI","À ENROBER",IF(G1489="À SOUDER","NON SOUDÉ","EN ATTENTE RT")),IF(L1489="R","À REPRENDRE",IF(H1489&lt;&gt;"OUI","⚠ ENROBÉ AVANT ACCEPTATION RT","ENROBÉ"))))</f>
        <v/>
      </c>
      <c r="O1489" s="79"/>
    </row>
    <row r="1490" customFormat="false" ht="15" hidden="false" customHeight="false" outlineLevel="0" collapsed="false">
      <c r="A1490" s="78" t="str">
        <f aca="false">IF('CARNET DE SOUDURE'!E1490="","",'CARNET DE SOUDURE'!A1490)</f>
        <v/>
      </c>
      <c r="B1490" s="93" t="str">
        <f aca="false">IF('CARNET DE SOUDURE'!E1490="","",'CARNET DE SOUDURE'!B1490&amp;"")</f>
        <v/>
      </c>
      <c r="C1490" s="83" t="str">
        <f aca="false">IF('CARNET DE SOUDURE'!E1490="","",'CARNET DE SOUDURE'!E1490)</f>
        <v/>
      </c>
      <c r="D1490" s="78" t="str">
        <f aca="false">IF('CARNET DE SOUDURE'!E1490="","",'CARNET DE SOUDURE'!D1490&amp;"")</f>
        <v/>
      </c>
      <c r="E1490" s="96" t="str">
        <f aca="false">IF(OR('CARNET DE SOUDURE'!E1490="",'CARNET DE SOUDURE'!R1490=""),"",'CARNET DE SOUDURE'!R1490)</f>
        <v/>
      </c>
      <c r="F1490" s="81" t="str">
        <f aca="false">IF('CARNET DE SOUDURE'!E1490="","",'CARNET DE SOUDURE'!AL1490)</f>
        <v/>
      </c>
      <c r="G1490" s="81" t="str">
        <f aca="false">IF('CARNET DE SOUDURE'!E1490="","",'CARNET DE SOUDURE'!AM1490)</f>
        <v/>
      </c>
      <c r="H1490" s="81" t="str">
        <f aca="false">IF(C1490="","",IF(G1490="ACCEPTÉ","OUI","NON"))</f>
        <v/>
      </c>
      <c r="I1490" s="82"/>
      <c r="J1490" s="79"/>
      <c r="K1490" s="80"/>
      <c r="L1490" s="80"/>
      <c r="M1490" s="80"/>
      <c r="N1490" s="83" t="str">
        <f aca="false">IF(C1490="","",IF(I1490="",IF(H1490="OUI","À ENROBER",IF(G1490="À SOUDER","NON SOUDÉ","EN ATTENTE RT")),IF(L1490="R","À REPRENDRE",IF(H1490&lt;&gt;"OUI","⚠ ENROBÉ AVANT ACCEPTATION RT","ENROBÉ"))))</f>
        <v/>
      </c>
      <c r="O1490" s="79"/>
    </row>
    <row r="1491" customFormat="false" ht="15" hidden="false" customHeight="false" outlineLevel="0" collapsed="false">
      <c r="A1491" s="78" t="str">
        <f aca="false">IF('CARNET DE SOUDURE'!E1491="","",'CARNET DE SOUDURE'!A1491)</f>
        <v/>
      </c>
      <c r="B1491" s="93" t="str">
        <f aca="false">IF('CARNET DE SOUDURE'!E1491="","",'CARNET DE SOUDURE'!B1491&amp;"")</f>
        <v/>
      </c>
      <c r="C1491" s="83" t="str">
        <f aca="false">IF('CARNET DE SOUDURE'!E1491="","",'CARNET DE SOUDURE'!E1491)</f>
        <v/>
      </c>
      <c r="D1491" s="78" t="str">
        <f aca="false">IF('CARNET DE SOUDURE'!E1491="","",'CARNET DE SOUDURE'!D1491&amp;"")</f>
        <v/>
      </c>
      <c r="E1491" s="96" t="str">
        <f aca="false">IF(OR('CARNET DE SOUDURE'!E1491="",'CARNET DE SOUDURE'!R1491=""),"",'CARNET DE SOUDURE'!R1491)</f>
        <v/>
      </c>
      <c r="F1491" s="81" t="str">
        <f aca="false">IF('CARNET DE SOUDURE'!E1491="","",'CARNET DE SOUDURE'!AL1491)</f>
        <v/>
      </c>
      <c r="G1491" s="81" t="str">
        <f aca="false">IF('CARNET DE SOUDURE'!E1491="","",'CARNET DE SOUDURE'!AM1491)</f>
        <v/>
      </c>
      <c r="H1491" s="81" t="str">
        <f aca="false">IF(C1491="","",IF(G1491="ACCEPTÉ","OUI","NON"))</f>
        <v/>
      </c>
      <c r="I1491" s="82"/>
      <c r="J1491" s="79"/>
      <c r="K1491" s="80"/>
      <c r="L1491" s="80"/>
      <c r="M1491" s="80"/>
      <c r="N1491" s="83" t="str">
        <f aca="false">IF(C1491="","",IF(I1491="",IF(H1491="OUI","À ENROBER",IF(G1491="À SOUDER","NON SOUDÉ","EN ATTENTE RT")),IF(L1491="R","À REPRENDRE",IF(H1491&lt;&gt;"OUI","⚠ ENROBÉ AVANT ACCEPTATION RT","ENROBÉ"))))</f>
        <v/>
      </c>
      <c r="O1491" s="79"/>
    </row>
    <row r="1492" customFormat="false" ht="15" hidden="false" customHeight="false" outlineLevel="0" collapsed="false">
      <c r="A1492" s="78" t="str">
        <f aca="false">IF('CARNET DE SOUDURE'!E1492="","",'CARNET DE SOUDURE'!A1492)</f>
        <v/>
      </c>
      <c r="B1492" s="93" t="str">
        <f aca="false">IF('CARNET DE SOUDURE'!E1492="","",'CARNET DE SOUDURE'!B1492&amp;"")</f>
        <v/>
      </c>
      <c r="C1492" s="83" t="str">
        <f aca="false">IF('CARNET DE SOUDURE'!E1492="","",'CARNET DE SOUDURE'!E1492)</f>
        <v/>
      </c>
      <c r="D1492" s="78" t="str">
        <f aca="false">IF('CARNET DE SOUDURE'!E1492="","",'CARNET DE SOUDURE'!D1492&amp;"")</f>
        <v/>
      </c>
      <c r="E1492" s="96" t="str">
        <f aca="false">IF(OR('CARNET DE SOUDURE'!E1492="",'CARNET DE SOUDURE'!R1492=""),"",'CARNET DE SOUDURE'!R1492)</f>
        <v/>
      </c>
      <c r="F1492" s="81" t="str">
        <f aca="false">IF('CARNET DE SOUDURE'!E1492="","",'CARNET DE SOUDURE'!AL1492)</f>
        <v/>
      </c>
      <c r="G1492" s="81" t="str">
        <f aca="false">IF('CARNET DE SOUDURE'!E1492="","",'CARNET DE SOUDURE'!AM1492)</f>
        <v/>
      </c>
      <c r="H1492" s="81" t="str">
        <f aca="false">IF(C1492="","",IF(G1492="ACCEPTÉ","OUI","NON"))</f>
        <v/>
      </c>
      <c r="I1492" s="82"/>
      <c r="J1492" s="79"/>
      <c r="K1492" s="80"/>
      <c r="L1492" s="80"/>
      <c r="M1492" s="80"/>
      <c r="N1492" s="83" t="str">
        <f aca="false">IF(C1492="","",IF(I1492="",IF(H1492="OUI","À ENROBER",IF(G1492="À SOUDER","NON SOUDÉ","EN ATTENTE RT")),IF(L1492="R","À REPRENDRE",IF(H1492&lt;&gt;"OUI","⚠ ENROBÉ AVANT ACCEPTATION RT","ENROBÉ"))))</f>
        <v/>
      </c>
      <c r="O1492" s="79"/>
    </row>
    <row r="1493" customFormat="false" ht="15" hidden="false" customHeight="false" outlineLevel="0" collapsed="false">
      <c r="A1493" s="78" t="str">
        <f aca="false">IF('CARNET DE SOUDURE'!E1493="","",'CARNET DE SOUDURE'!A1493)</f>
        <v/>
      </c>
      <c r="B1493" s="93" t="str">
        <f aca="false">IF('CARNET DE SOUDURE'!E1493="","",'CARNET DE SOUDURE'!B1493&amp;"")</f>
        <v/>
      </c>
      <c r="C1493" s="83" t="str">
        <f aca="false">IF('CARNET DE SOUDURE'!E1493="","",'CARNET DE SOUDURE'!E1493)</f>
        <v/>
      </c>
      <c r="D1493" s="78" t="str">
        <f aca="false">IF('CARNET DE SOUDURE'!E1493="","",'CARNET DE SOUDURE'!D1493&amp;"")</f>
        <v/>
      </c>
      <c r="E1493" s="96" t="str">
        <f aca="false">IF(OR('CARNET DE SOUDURE'!E1493="",'CARNET DE SOUDURE'!R1493=""),"",'CARNET DE SOUDURE'!R1493)</f>
        <v/>
      </c>
      <c r="F1493" s="81" t="str">
        <f aca="false">IF('CARNET DE SOUDURE'!E1493="","",'CARNET DE SOUDURE'!AL1493)</f>
        <v/>
      </c>
      <c r="G1493" s="81" t="str">
        <f aca="false">IF('CARNET DE SOUDURE'!E1493="","",'CARNET DE SOUDURE'!AM1493)</f>
        <v/>
      </c>
      <c r="H1493" s="81" t="str">
        <f aca="false">IF(C1493="","",IF(G1493="ACCEPTÉ","OUI","NON"))</f>
        <v/>
      </c>
      <c r="I1493" s="82"/>
      <c r="J1493" s="79"/>
      <c r="K1493" s="80"/>
      <c r="L1493" s="80"/>
      <c r="M1493" s="80"/>
      <c r="N1493" s="83" t="str">
        <f aca="false">IF(C1493="","",IF(I1493="",IF(H1493="OUI","À ENROBER",IF(G1493="À SOUDER","NON SOUDÉ","EN ATTENTE RT")),IF(L1493="R","À REPRENDRE",IF(H1493&lt;&gt;"OUI","⚠ ENROBÉ AVANT ACCEPTATION RT","ENROBÉ"))))</f>
        <v/>
      </c>
      <c r="O1493" s="79"/>
    </row>
    <row r="1494" customFormat="false" ht="15" hidden="false" customHeight="false" outlineLevel="0" collapsed="false">
      <c r="A1494" s="78" t="str">
        <f aca="false">IF('CARNET DE SOUDURE'!E1494="","",'CARNET DE SOUDURE'!A1494)</f>
        <v/>
      </c>
      <c r="B1494" s="93" t="str">
        <f aca="false">IF('CARNET DE SOUDURE'!E1494="","",'CARNET DE SOUDURE'!B1494&amp;"")</f>
        <v/>
      </c>
      <c r="C1494" s="83" t="str">
        <f aca="false">IF('CARNET DE SOUDURE'!E1494="","",'CARNET DE SOUDURE'!E1494)</f>
        <v/>
      </c>
      <c r="D1494" s="78" t="str">
        <f aca="false">IF('CARNET DE SOUDURE'!E1494="","",'CARNET DE SOUDURE'!D1494&amp;"")</f>
        <v/>
      </c>
      <c r="E1494" s="96" t="str">
        <f aca="false">IF(OR('CARNET DE SOUDURE'!E1494="",'CARNET DE SOUDURE'!R1494=""),"",'CARNET DE SOUDURE'!R1494)</f>
        <v/>
      </c>
      <c r="F1494" s="81" t="str">
        <f aca="false">IF('CARNET DE SOUDURE'!E1494="","",'CARNET DE SOUDURE'!AL1494)</f>
        <v/>
      </c>
      <c r="G1494" s="81" t="str">
        <f aca="false">IF('CARNET DE SOUDURE'!E1494="","",'CARNET DE SOUDURE'!AM1494)</f>
        <v/>
      </c>
      <c r="H1494" s="81" t="str">
        <f aca="false">IF(C1494="","",IF(G1494="ACCEPTÉ","OUI","NON"))</f>
        <v/>
      </c>
      <c r="I1494" s="82"/>
      <c r="J1494" s="79"/>
      <c r="K1494" s="80"/>
      <c r="L1494" s="80"/>
      <c r="M1494" s="80"/>
      <c r="N1494" s="83" t="str">
        <f aca="false">IF(C1494="","",IF(I1494="",IF(H1494="OUI","À ENROBER",IF(G1494="À SOUDER","NON SOUDÉ","EN ATTENTE RT")),IF(L1494="R","À REPRENDRE",IF(H1494&lt;&gt;"OUI","⚠ ENROBÉ AVANT ACCEPTATION RT","ENROBÉ"))))</f>
        <v/>
      </c>
      <c r="O1494" s="79"/>
    </row>
    <row r="1495" customFormat="false" ht="15" hidden="false" customHeight="false" outlineLevel="0" collapsed="false">
      <c r="A1495" s="78" t="str">
        <f aca="false">IF('CARNET DE SOUDURE'!E1495="","",'CARNET DE SOUDURE'!A1495)</f>
        <v/>
      </c>
      <c r="B1495" s="93" t="str">
        <f aca="false">IF('CARNET DE SOUDURE'!E1495="","",'CARNET DE SOUDURE'!B1495&amp;"")</f>
        <v/>
      </c>
      <c r="C1495" s="83" t="str">
        <f aca="false">IF('CARNET DE SOUDURE'!E1495="","",'CARNET DE SOUDURE'!E1495)</f>
        <v/>
      </c>
      <c r="D1495" s="78" t="str">
        <f aca="false">IF('CARNET DE SOUDURE'!E1495="","",'CARNET DE SOUDURE'!D1495&amp;"")</f>
        <v/>
      </c>
      <c r="E1495" s="96" t="str">
        <f aca="false">IF(OR('CARNET DE SOUDURE'!E1495="",'CARNET DE SOUDURE'!R1495=""),"",'CARNET DE SOUDURE'!R1495)</f>
        <v/>
      </c>
      <c r="F1495" s="81" t="str">
        <f aca="false">IF('CARNET DE SOUDURE'!E1495="","",'CARNET DE SOUDURE'!AL1495)</f>
        <v/>
      </c>
      <c r="G1495" s="81" t="str">
        <f aca="false">IF('CARNET DE SOUDURE'!E1495="","",'CARNET DE SOUDURE'!AM1495)</f>
        <v/>
      </c>
      <c r="H1495" s="81" t="str">
        <f aca="false">IF(C1495="","",IF(G1495="ACCEPTÉ","OUI","NON"))</f>
        <v/>
      </c>
      <c r="I1495" s="82"/>
      <c r="J1495" s="79"/>
      <c r="K1495" s="80"/>
      <c r="L1495" s="80"/>
      <c r="M1495" s="80"/>
      <c r="N1495" s="83" t="str">
        <f aca="false">IF(C1495="","",IF(I1495="",IF(H1495="OUI","À ENROBER",IF(G1495="À SOUDER","NON SOUDÉ","EN ATTENTE RT")),IF(L1495="R","À REPRENDRE",IF(H1495&lt;&gt;"OUI","⚠ ENROBÉ AVANT ACCEPTATION RT","ENROBÉ"))))</f>
        <v/>
      </c>
      <c r="O1495" s="79"/>
    </row>
    <row r="1496" customFormat="false" ht="15" hidden="false" customHeight="false" outlineLevel="0" collapsed="false">
      <c r="A1496" s="78" t="str">
        <f aca="false">IF('CARNET DE SOUDURE'!E1496="","",'CARNET DE SOUDURE'!A1496)</f>
        <v/>
      </c>
      <c r="B1496" s="93" t="str">
        <f aca="false">IF('CARNET DE SOUDURE'!E1496="","",'CARNET DE SOUDURE'!B1496&amp;"")</f>
        <v/>
      </c>
      <c r="C1496" s="83" t="str">
        <f aca="false">IF('CARNET DE SOUDURE'!E1496="","",'CARNET DE SOUDURE'!E1496)</f>
        <v/>
      </c>
      <c r="D1496" s="78" t="str">
        <f aca="false">IF('CARNET DE SOUDURE'!E1496="","",'CARNET DE SOUDURE'!D1496&amp;"")</f>
        <v/>
      </c>
      <c r="E1496" s="96" t="str">
        <f aca="false">IF(OR('CARNET DE SOUDURE'!E1496="",'CARNET DE SOUDURE'!R1496=""),"",'CARNET DE SOUDURE'!R1496)</f>
        <v/>
      </c>
      <c r="F1496" s="81" t="str">
        <f aca="false">IF('CARNET DE SOUDURE'!E1496="","",'CARNET DE SOUDURE'!AL1496)</f>
        <v/>
      </c>
      <c r="G1496" s="81" t="str">
        <f aca="false">IF('CARNET DE SOUDURE'!E1496="","",'CARNET DE SOUDURE'!AM1496)</f>
        <v/>
      </c>
      <c r="H1496" s="81" t="str">
        <f aca="false">IF(C1496="","",IF(G1496="ACCEPTÉ","OUI","NON"))</f>
        <v/>
      </c>
      <c r="I1496" s="82"/>
      <c r="J1496" s="79"/>
      <c r="K1496" s="80"/>
      <c r="L1496" s="80"/>
      <c r="M1496" s="80"/>
      <c r="N1496" s="83" t="str">
        <f aca="false">IF(C1496="","",IF(I1496="",IF(H1496="OUI","À ENROBER",IF(G1496="À SOUDER","NON SOUDÉ","EN ATTENTE RT")),IF(L1496="R","À REPRENDRE",IF(H1496&lt;&gt;"OUI","⚠ ENROBÉ AVANT ACCEPTATION RT","ENROBÉ"))))</f>
        <v/>
      </c>
      <c r="O1496" s="79"/>
    </row>
    <row r="1497" customFormat="false" ht="15" hidden="false" customHeight="false" outlineLevel="0" collapsed="false">
      <c r="A1497" s="78" t="str">
        <f aca="false">IF('CARNET DE SOUDURE'!E1497="","",'CARNET DE SOUDURE'!A1497)</f>
        <v/>
      </c>
      <c r="B1497" s="93" t="str">
        <f aca="false">IF('CARNET DE SOUDURE'!E1497="","",'CARNET DE SOUDURE'!B1497&amp;"")</f>
        <v/>
      </c>
      <c r="C1497" s="83" t="str">
        <f aca="false">IF('CARNET DE SOUDURE'!E1497="","",'CARNET DE SOUDURE'!E1497)</f>
        <v/>
      </c>
      <c r="D1497" s="78" t="str">
        <f aca="false">IF('CARNET DE SOUDURE'!E1497="","",'CARNET DE SOUDURE'!D1497&amp;"")</f>
        <v/>
      </c>
      <c r="E1497" s="96" t="str">
        <f aca="false">IF(OR('CARNET DE SOUDURE'!E1497="",'CARNET DE SOUDURE'!R1497=""),"",'CARNET DE SOUDURE'!R1497)</f>
        <v/>
      </c>
      <c r="F1497" s="81" t="str">
        <f aca="false">IF('CARNET DE SOUDURE'!E1497="","",'CARNET DE SOUDURE'!AL1497)</f>
        <v/>
      </c>
      <c r="G1497" s="81" t="str">
        <f aca="false">IF('CARNET DE SOUDURE'!E1497="","",'CARNET DE SOUDURE'!AM1497)</f>
        <v/>
      </c>
      <c r="H1497" s="81" t="str">
        <f aca="false">IF(C1497="","",IF(G1497="ACCEPTÉ","OUI","NON"))</f>
        <v/>
      </c>
      <c r="I1497" s="82"/>
      <c r="J1497" s="79"/>
      <c r="K1497" s="80"/>
      <c r="L1497" s="80"/>
      <c r="M1497" s="80"/>
      <c r="N1497" s="83" t="str">
        <f aca="false">IF(C1497="","",IF(I1497="",IF(H1497="OUI","À ENROBER",IF(G1497="À SOUDER","NON SOUDÉ","EN ATTENTE RT")),IF(L1497="R","À REPRENDRE",IF(H1497&lt;&gt;"OUI","⚠ ENROBÉ AVANT ACCEPTATION RT","ENROBÉ"))))</f>
        <v/>
      </c>
      <c r="O1497" s="79"/>
    </row>
    <row r="1498" customFormat="false" ht="15" hidden="false" customHeight="false" outlineLevel="0" collapsed="false">
      <c r="A1498" s="78" t="str">
        <f aca="false">IF('CARNET DE SOUDURE'!E1498="","",'CARNET DE SOUDURE'!A1498)</f>
        <v/>
      </c>
      <c r="B1498" s="93" t="str">
        <f aca="false">IF('CARNET DE SOUDURE'!E1498="","",'CARNET DE SOUDURE'!B1498&amp;"")</f>
        <v/>
      </c>
      <c r="C1498" s="83" t="str">
        <f aca="false">IF('CARNET DE SOUDURE'!E1498="","",'CARNET DE SOUDURE'!E1498)</f>
        <v/>
      </c>
      <c r="D1498" s="78" t="str">
        <f aca="false">IF('CARNET DE SOUDURE'!E1498="","",'CARNET DE SOUDURE'!D1498&amp;"")</f>
        <v/>
      </c>
      <c r="E1498" s="96" t="str">
        <f aca="false">IF(OR('CARNET DE SOUDURE'!E1498="",'CARNET DE SOUDURE'!R1498=""),"",'CARNET DE SOUDURE'!R1498)</f>
        <v/>
      </c>
      <c r="F1498" s="81" t="str">
        <f aca="false">IF('CARNET DE SOUDURE'!E1498="","",'CARNET DE SOUDURE'!AL1498)</f>
        <v/>
      </c>
      <c r="G1498" s="81" t="str">
        <f aca="false">IF('CARNET DE SOUDURE'!E1498="","",'CARNET DE SOUDURE'!AM1498)</f>
        <v/>
      </c>
      <c r="H1498" s="81" t="str">
        <f aca="false">IF(C1498="","",IF(G1498="ACCEPTÉ","OUI","NON"))</f>
        <v/>
      </c>
      <c r="I1498" s="82"/>
      <c r="J1498" s="79"/>
      <c r="K1498" s="80"/>
      <c r="L1498" s="80"/>
      <c r="M1498" s="80"/>
      <c r="N1498" s="83" t="str">
        <f aca="false">IF(C1498="","",IF(I1498="",IF(H1498="OUI","À ENROBER",IF(G1498="À SOUDER","NON SOUDÉ","EN ATTENTE RT")),IF(L1498="R","À REPRENDRE",IF(H1498&lt;&gt;"OUI","⚠ ENROBÉ AVANT ACCEPTATION RT","ENROBÉ"))))</f>
        <v/>
      </c>
      <c r="O1498" s="79"/>
    </row>
    <row r="1499" customFormat="false" ht="15" hidden="false" customHeight="false" outlineLevel="0" collapsed="false">
      <c r="A1499" s="78" t="str">
        <f aca="false">IF('CARNET DE SOUDURE'!E1499="","",'CARNET DE SOUDURE'!A1499)</f>
        <v/>
      </c>
      <c r="B1499" s="93" t="str">
        <f aca="false">IF('CARNET DE SOUDURE'!E1499="","",'CARNET DE SOUDURE'!B1499&amp;"")</f>
        <v/>
      </c>
      <c r="C1499" s="83" t="str">
        <f aca="false">IF('CARNET DE SOUDURE'!E1499="","",'CARNET DE SOUDURE'!E1499)</f>
        <v/>
      </c>
      <c r="D1499" s="78" t="str">
        <f aca="false">IF('CARNET DE SOUDURE'!E1499="","",'CARNET DE SOUDURE'!D1499&amp;"")</f>
        <v/>
      </c>
      <c r="E1499" s="96" t="str">
        <f aca="false">IF(OR('CARNET DE SOUDURE'!E1499="",'CARNET DE SOUDURE'!R1499=""),"",'CARNET DE SOUDURE'!R1499)</f>
        <v/>
      </c>
      <c r="F1499" s="81" t="str">
        <f aca="false">IF('CARNET DE SOUDURE'!E1499="","",'CARNET DE SOUDURE'!AL1499)</f>
        <v/>
      </c>
      <c r="G1499" s="81" t="str">
        <f aca="false">IF('CARNET DE SOUDURE'!E1499="","",'CARNET DE SOUDURE'!AM1499)</f>
        <v/>
      </c>
      <c r="H1499" s="81" t="str">
        <f aca="false">IF(C1499="","",IF(G1499="ACCEPTÉ","OUI","NON"))</f>
        <v/>
      </c>
      <c r="I1499" s="82"/>
      <c r="J1499" s="79"/>
      <c r="K1499" s="80"/>
      <c r="L1499" s="80"/>
      <c r="M1499" s="80"/>
      <c r="N1499" s="83" t="str">
        <f aca="false">IF(C1499="","",IF(I1499="",IF(H1499="OUI","À ENROBER",IF(G1499="À SOUDER","NON SOUDÉ","EN ATTENTE RT")),IF(L1499="R","À REPRENDRE",IF(H1499&lt;&gt;"OUI","⚠ ENROBÉ AVANT ACCEPTATION RT","ENROBÉ"))))</f>
        <v/>
      </c>
      <c r="O1499" s="79"/>
    </row>
    <row r="1500" customFormat="false" ht="15" hidden="false" customHeight="false" outlineLevel="0" collapsed="false">
      <c r="A1500" s="78" t="str">
        <f aca="false">IF('CARNET DE SOUDURE'!E1500="","",'CARNET DE SOUDURE'!A1500)</f>
        <v/>
      </c>
      <c r="B1500" s="93" t="str">
        <f aca="false">IF('CARNET DE SOUDURE'!E1500="","",'CARNET DE SOUDURE'!B1500&amp;"")</f>
        <v/>
      </c>
      <c r="C1500" s="83" t="str">
        <f aca="false">IF('CARNET DE SOUDURE'!E1500="","",'CARNET DE SOUDURE'!E1500)</f>
        <v/>
      </c>
      <c r="D1500" s="78" t="str">
        <f aca="false">IF('CARNET DE SOUDURE'!E1500="","",'CARNET DE SOUDURE'!D1500&amp;"")</f>
        <v/>
      </c>
      <c r="E1500" s="96" t="str">
        <f aca="false">IF(OR('CARNET DE SOUDURE'!E1500="",'CARNET DE SOUDURE'!R1500=""),"",'CARNET DE SOUDURE'!R1500)</f>
        <v/>
      </c>
      <c r="F1500" s="81" t="str">
        <f aca="false">IF('CARNET DE SOUDURE'!E1500="","",'CARNET DE SOUDURE'!AL1500)</f>
        <v/>
      </c>
      <c r="G1500" s="81" t="str">
        <f aca="false">IF('CARNET DE SOUDURE'!E1500="","",'CARNET DE SOUDURE'!AM1500)</f>
        <v/>
      </c>
      <c r="H1500" s="81" t="str">
        <f aca="false">IF(C1500="","",IF(G1500="ACCEPTÉ","OUI","NON"))</f>
        <v/>
      </c>
      <c r="I1500" s="82"/>
      <c r="J1500" s="79"/>
      <c r="K1500" s="80"/>
      <c r="L1500" s="80"/>
      <c r="M1500" s="80"/>
      <c r="N1500" s="83" t="str">
        <f aca="false">IF(C1500="","",IF(I1500="",IF(H1500="OUI","À ENROBER",IF(G1500="À SOUDER","NON SOUDÉ","EN ATTENTE RT")),IF(L1500="R","À REPRENDRE",IF(H1500&lt;&gt;"OUI","⚠ ENROBÉ AVANT ACCEPTATION RT","ENROBÉ"))))</f>
        <v/>
      </c>
      <c r="O1500" s="79"/>
    </row>
    <row r="1501" customFormat="false" ht="15" hidden="false" customHeight="false" outlineLevel="0" collapsed="false">
      <c r="A1501" s="78" t="str">
        <f aca="false">IF('CARNET DE SOUDURE'!E1501="","",'CARNET DE SOUDURE'!A1501)</f>
        <v/>
      </c>
      <c r="B1501" s="93" t="str">
        <f aca="false">IF('CARNET DE SOUDURE'!E1501="","",'CARNET DE SOUDURE'!B1501&amp;"")</f>
        <v/>
      </c>
      <c r="C1501" s="83" t="str">
        <f aca="false">IF('CARNET DE SOUDURE'!E1501="","",'CARNET DE SOUDURE'!E1501)</f>
        <v/>
      </c>
      <c r="D1501" s="78" t="str">
        <f aca="false">IF('CARNET DE SOUDURE'!E1501="","",'CARNET DE SOUDURE'!D1501&amp;"")</f>
        <v/>
      </c>
      <c r="E1501" s="96" t="str">
        <f aca="false">IF(OR('CARNET DE SOUDURE'!E1501="",'CARNET DE SOUDURE'!R1501=""),"",'CARNET DE SOUDURE'!R1501)</f>
        <v/>
      </c>
      <c r="F1501" s="81" t="str">
        <f aca="false">IF('CARNET DE SOUDURE'!E1501="","",'CARNET DE SOUDURE'!AL1501)</f>
        <v/>
      </c>
      <c r="G1501" s="81" t="str">
        <f aca="false">IF('CARNET DE SOUDURE'!E1501="","",'CARNET DE SOUDURE'!AM1501)</f>
        <v/>
      </c>
      <c r="H1501" s="81" t="str">
        <f aca="false">IF(C1501="","",IF(G1501="ACCEPTÉ","OUI","NON"))</f>
        <v/>
      </c>
      <c r="I1501" s="82"/>
      <c r="J1501" s="79"/>
      <c r="K1501" s="80"/>
      <c r="L1501" s="80"/>
      <c r="M1501" s="80"/>
      <c r="N1501" s="83" t="str">
        <f aca="false">IF(C1501="","",IF(I1501="",IF(H1501="OUI","À ENROBER",IF(G1501="À SOUDER","NON SOUDÉ","EN ATTENTE RT")),IF(L1501="R","À REPRENDRE",IF(H1501&lt;&gt;"OUI","⚠ ENROBÉ AVANT ACCEPTATION RT","ENROBÉ"))))</f>
        <v/>
      </c>
      <c r="O1501" s="79"/>
    </row>
    <row r="1502" customFormat="false" ht="15" hidden="false" customHeight="false" outlineLevel="0" collapsed="false">
      <c r="A1502" s="78" t="str">
        <f aca="false">IF('CARNET DE SOUDURE'!E1502="","",'CARNET DE SOUDURE'!A1502)</f>
        <v/>
      </c>
      <c r="B1502" s="93" t="str">
        <f aca="false">IF('CARNET DE SOUDURE'!E1502="","",'CARNET DE SOUDURE'!B1502&amp;"")</f>
        <v/>
      </c>
      <c r="C1502" s="83" t="str">
        <f aca="false">IF('CARNET DE SOUDURE'!E1502="","",'CARNET DE SOUDURE'!E1502)</f>
        <v/>
      </c>
      <c r="D1502" s="78" t="str">
        <f aca="false">IF('CARNET DE SOUDURE'!E1502="","",'CARNET DE SOUDURE'!D1502&amp;"")</f>
        <v/>
      </c>
      <c r="E1502" s="96" t="str">
        <f aca="false">IF(OR('CARNET DE SOUDURE'!E1502="",'CARNET DE SOUDURE'!R1502=""),"",'CARNET DE SOUDURE'!R1502)</f>
        <v/>
      </c>
      <c r="F1502" s="81" t="str">
        <f aca="false">IF('CARNET DE SOUDURE'!E1502="","",'CARNET DE SOUDURE'!AL1502)</f>
        <v/>
      </c>
      <c r="G1502" s="81" t="str">
        <f aca="false">IF('CARNET DE SOUDURE'!E1502="","",'CARNET DE SOUDURE'!AM1502)</f>
        <v/>
      </c>
      <c r="H1502" s="81" t="str">
        <f aca="false">IF(C1502="","",IF(G1502="ACCEPTÉ","OUI","NON"))</f>
        <v/>
      </c>
      <c r="I1502" s="82"/>
      <c r="J1502" s="79"/>
      <c r="K1502" s="80"/>
      <c r="L1502" s="80"/>
      <c r="M1502" s="80"/>
      <c r="N1502" s="83" t="str">
        <f aca="false">IF(C1502="","",IF(I1502="",IF(H1502="OUI","À ENROBER",IF(G1502="À SOUDER","NON SOUDÉ","EN ATTENTE RT")),IF(L1502="R","À REPRENDRE",IF(H1502&lt;&gt;"OUI","⚠ ENROBÉ AVANT ACCEPTATION RT","ENROBÉ"))))</f>
        <v/>
      </c>
      <c r="O1502" s="79"/>
    </row>
    <row r="1503" customFormat="false" ht="15" hidden="false" customHeight="false" outlineLevel="0" collapsed="false">
      <c r="A1503" s="78" t="str">
        <f aca="false">IF('CARNET DE SOUDURE'!E1503="","",'CARNET DE SOUDURE'!A1503)</f>
        <v/>
      </c>
      <c r="B1503" s="93" t="str">
        <f aca="false">IF('CARNET DE SOUDURE'!E1503="","",'CARNET DE SOUDURE'!B1503&amp;"")</f>
        <v/>
      </c>
      <c r="C1503" s="83" t="str">
        <f aca="false">IF('CARNET DE SOUDURE'!E1503="","",'CARNET DE SOUDURE'!E1503)</f>
        <v/>
      </c>
      <c r="D1503" s="78" t="str">
        <f aca="false">IF('CARNET DE SOUDURE'!E1503="","",'CARNET DE SOUDURE'!D1503&amp;"")</f>
        <v/>
      </c>
      <c r="E1503" s="96" t="str">
        <f aca="false">IF(OR('CARNET DE SOUDURE'!E1503="",'CARNET DE SOUDURE'!R1503=""),"",'CARNET DE SOUDURE'!R1503)</f>
        <v/>
      </c>
      <c r="F1503" s="81" t="str">
        <f aca="false">IF('CARNET DE SOUDURE'!E1503="","",'CARNET DE SOUDURE'!AL1503)</f>
        <v/>
      </c>
      <c r="G1503" s="81" t="str">
        <f aca="false">IF('CARNET DE SOUDURE'!E1503="","",'CARNET DE SOUDURE'!AM1503)</f>
        <v/>
      </c>
      <c r="H1503" s="81" t="str">
        <f aca="false">IF(C1503="","",IF(G1503="ACCEPTÉ","OUI","NON"))</f>
        <v/>
      </c>
      <c r="I1503" s="82"/>
      <c r="J1503" s="79"/>
      <c r="K1503" s="80"/>
      <c r="L1503" s="80"/>
      <c r="M1503" s="80"/>
      <c r="N1503" s="83" t="str">
        <f aca="false">IF(C1503="","",IF(I1503="",IF(H1503="OUI","À ENROBER",IF(G1503="À SOUDER","NON SOUDÉ","EN ATTENTE RT")),IF(L1503="R","À REPRENDRE",IF(H1503&lt;&gt;"OUI","⚠ ENROBÉ AVANT ACCEPTATION RT","ENROBÉ"))))</f>
        <v/>
      </c>
      <c r="O1503" s="79"/>
    </row>
    <row r="1504" customFormat="false" ht="15" hidden="false" customHeight="false" outlineLevel="0" collapsed="false">
      <c r="A1504" s="78" t="str">
        <f aca="false">IF('CARNET DE SOUDURE'!E1504="","",'CARNET DE SOUDURE'!A1504)</f>
        <v/>
      </c>
      <c r="B1504" s="93" t="str">
        <f aca="false">IF('CARNET DE SOUDURE'!E1504="","",'CARNET DE SOUDURE'!B1504&amp;"")</f>
        <v/>
      </c>
      <c r="C1504" s="83" t="str">
        <f aca="false">IF('CARNET DE SOUDURE'!E1504="","",'CARNET DE SOUDURE'!E1504)</f>
        <v/>
      </c>
      <c r="D1504" s="78" t="str">
        <f aca="false">IF('CARNET DE SOUDURE'!E1504="","",'CARNET DE SOUDURE'!D1504&amp;"")</f>
        <v/>
      </c>
      <c r="E1504" s="96" t="str">
        <f aca="false">IF(OR('CARNET DE SOUDURE'!E1504="",'CARNET DE SOUDURE'!R1504=""),"",'CARNET DE SOUDURE'!R1504)</f>
        <v/>
      </c>
      <c r="F1504" s="81" t="str">
        <f aca="false">IF('CARNET DE SOUDURE'!E1504="","",'CARNET DE SOUDURE'!AL1504)</f>
        <v/>
      </c>
      <c r="G1504" s="81" t="str">
        <f aca="false">IF('CARNET DE SOUDURE'!E1504="","",'CARNET DE SOUDURE'!AM1504)</f>
        <v/>
      </c>
      <c r="H1504" s="81" t="str">
        <f aca="false">IF(C1504="","",IF(G1504="ACCEPTÉ","OUI","NON"))</f>
        <v/>
      </c>
      <c r="I1504" s="82"/>
      <c r="J1504" s="79"/>
      <c r="K1504" s="80"/>
      <c r="L1504" s="80"/>
      <c r="M1504" s="80"/>
      <c r="N1504" s="83" t="str">
        <f aca="false">IF(C1504="","",IF(I1504="",IF(H1504="OUI","À ENROBER",IF(G1504="À SOUDER","NON SOUDÉ","EN ATTENTE RT")),IF(L1504="R","À REPRENDRE",IF(H1504&lt;&gt;"OUI","⚠ ENROBÉ AVANT ACCEPTATION RT","ENROBÉ"))))</f>
        <v/>
      </c>
      <c r="O1504" s="79"/>
    </row>
    <row r="1505" customFormat="false" ht="15" hidden="false" customHeight="false" outlineLevel="0" collapsed="false">
      <c r="A1505" s="78" t="str">
        <f aca="false">IF('CARNET DE SOUDURE'!E1505="","",'CARNET DE SOUDURE'!A1505)</f>
        <v/>
      </c>
      <c r="B1505" s="93" t="str">
        <f aca="false">IF('CARNET DE SOUDURE'!E1505="","",'CARNET DE SOUDURE'!B1505&amp;"")</f>
        <v/>
      </c>
      <c r="C1505" s="83" t="str">
        <f aca="false">IF('CARNET DE SOUDURE'!E1505="","",'CARNET DE SOUDURE'!E1505)</f>
        <v/>
      </c>
      <c r="D1505" s="78" t="str">
        <f aca="false">IF('CARNET DE SOUDURE'!E1505="","",'CARNET DE SOUDURE'!D1505&amp;"")</f>
        <v/>
      </c>
      <c r="E1505" s="96" t="str">
        <f aca="false">IF(OR('CARNET DE SOUDURE'!E1505="",'CARNET DE SOUDURE'!R1505=""),"",'CARNET DE SOUDURE'!R1505)</f>
        <v/>
      </c>
      <c r="F1505" s="81" t="str">
        <f aca="false">IF('CARNET DE SOUDURE'!E1505="","",'CARNET DE SOUDURE'!AL1505)</f>
        <v/>
      </c>
      <c r="G1505" s="81" t="str">
        <f aca="false">IF('CARNET DE SOUDURE'!E1505="","",'CARNET DE SOUDURE'!AM1505)</f>
        <v/>
      </c>
      <c r="H1505" s="81" t="str">
        <f aca="false">IF(C1505="","",IF(G1505="ACCEPTÉ","OUI","NON"))</f>
        <v/>
      </c>
      <c r="I1505" s="82"/>
      <c r="J1505" s="79"/>
      <c r="K1505" s="80"/>
      <c r="L1505" s="80"/>
      <c r="M1505" s="80"/>
      <c r="N1505" s="83" t="str">
        <f aca="false">IF(C1505="","",IF(I1505="",IF(H1505="OUI","À ENROBER",IF(G1505="À SOUDER","NON SOUDÉ","EN ATTENTE RT")),IF(L1505="R","À REPRENDRE",IF(H1505&lt;&gt;"OUI","⚠ ENROBÉ AVANT ACCEPTATION RT","ENROBÉ"))))</f>
        <v/>
      </c>
      <c r="O1505" s="79"/>
    </row>
    <row r="1506" customFormat="false" ht="15" hidden="false" customHeight="false" outlineLevel="0" collapsed="false">
      <c r="A1506" s="78" t="str">
        <f aca="false">IF('CARNET DE SOUDURE'!E1506="","",'CARNET DE SOUDURE'!A1506)</f>
        <v/>
      </c>
      <c r="B1506" s="93" t="str">
        <f aca="false">IF('CARNET DE SOUDURE'!E1506="","",'CARNET DE SOUDURE'!B1506&amp;"")</f>
        <v/>
      </c>
      <c r="C1506" s="83" t="str">
        <f aca="false">IF('CARNET DE SOUDURE'!E1506="","",'CARNET DE SOUDURE'!E1506)</f>
        <v/>
      </c>
      <c r="D1506" s="78" t="str">
        <f aca="false">IF('CARNET DE SOUDURE'!E1506="","",'CARNET DE SOUDURE'!D1506&amp;"")</f>
        <v/>
      </c>
      <c r="E1506" s="96" t="str">
        <f aca="false">IF(OR('CARNET DE SOUDURE'!E1506="",'CARNET DE SOUDURE'!R1506=""),"",'CARNET DE SOUDURE'!R1506)</f>
        <v/>
      </c>
      <c r="F1506" s="81" t="str">
        <f aca="false">IF('CARNET DE SOUDURE'!E1506="","",'CARNET DE SOUDURE'!AL1506)</f>
        <v/>
      </c>
      <c r="G1506" s="81" t="str">
        <f aca="false">IF('CARNET DE SOUDURE'!E1506="","",'CARNET DE SOUDURE'!AM1506)</f>
        <v/>
      </c>
      <c r="H1506" s="81" t="str">
        <f aca="false">IF(C1506="","",IF(G1506="ACCEPTÉ","OUI","NON"))</f>
        <v/>
      </c>
      <c r="I1506" s="82"/>
      <c r="J1506" s="79"/>
      <c r="K1506" s="80"/>
      <c r="L1506" s="80"/>
      <c r="M1506" s="80"/>
      <c r="N1506" s="83" t="str">
        <f aca="false">IF(C1506="","",IF(I1506="",IF(H1506="OUI","À ENROBER",IF(G1506="À SOUDER","NON SOUDÉ","EN ATTENTE RT")),IF(L1506="R","À REPRENDRE",IF(H1506&lt;&gt;"OUI","⚠ ENROBÉ AVANT ACCEPTATION RT","ENROBÉ"))))</f>
        <v/>
      </c>
      <c r="O1506" s="79"/>
    </row>
  </sheetData>
  <mergeCells count="6">
    <mergeCell ref="A1:O1"/>
    <mergeCell ref="A2:O2"/>
    <mergeCell ref="A3:B3"/>
    <mergeCell ref="D3:E3"/>
    <mergeCell ref="G3:H3"/>
    <mergeCell ref="J3:K3"/>
  </mergeCells>
  <conditionalFormatting sqref="N7:N1506">
    <cfRule type="cellIs" priority="2" operator="equal" aboveAverage="0" equalAverage="0" bottom="0" percent="0" rank="0" text="" dxfId="1">
      <formula>"ENROBÉ"</formula>
    </cfRule>
    <cfRule type="cellIs" priority="3" operator="equal" aboveAverage="0" equalAverage="0" bottom="0" percent="0" rank="0" text="" dxfId="24">
      <formula>"À ENROBER"</formula>
    </cfRule>
    <cfRule type="cellIs" priority="4" operator="equal" aboveAverage="0" equalAverage="0" bottom="0" percent="0" rank="0" text="" dxfId="27">
      <formula>"EN ATTENTE RT"</formula>
    </cfRule>
    <cfRule type="cellIs" priority="5" operator="equal" aboveAverage="0" equalAverage="0" bottom="0" percent="0" rank="0" text="" dxfId="29">
      <formula>"NON SOUDÉ"</formula>
    </cfRule>
    <cfRule type="cellIs" priority="6" operator="equal" aboveAverage="0" equalAverage="0" bottom="0" percent="0" rank="0" text="" dxfId="0">
      <formula>"À REPRENDRE"</formula>
    </cfRule>
    <cfRule type="cellIs" priority="7" operator="equal" aboveAverage="0" equalAverage="0" bottom="0" percent="0" rank="0" text="" dxfId="0">
      <formula>"⚠ ENROBÉ AVANT ACCEPTATION RT"</formula>
    </cfRule>
  </conditionalFormatting>
  <conditionalFormatting sqref="G7:G1506">
    <cfRule type="cellIs" priority="8" operator="equal" aboveAverage="0" equalAverage="0" bottom="0" percent="0" rank="0" text="" dxfId="1">
      <formula>"ACCEPTÉ"</formula>
    </cfRule>
    <cfRule type="cellIs" priority="9" operator="equal" aboveAverage="0" equalAverage="0" bottom="0" percent="0" rank="0" text="" dxfId="27">
      <formula>"À RADIOGRAPHIER"</formula>
    </cfRule>
    <cfRule type="cellIs" priority="10" operator="equal" aboveAverage="0" equalAverage="0" bottom="0" percent="0" rank="0" text="" dxfId="27">
      <formula>"RÉPARÉ – À RADIOGRAPHIER"</formula>
    </cfRule>
    <cfRule type="cellIs" priority="11" operator="equal" aboveAverage="0" equalAverage="0" bottom="0" percent="0" rank="0" text="" dxfId="24">
      <formula>"NX – RT À REFAIRE"</formula>
    </cfRule>
    <cfRule type="cellIs" priority="12" operator="equal" aboveAverage="0" equalAverage="0" bottom="0" percent="0" rank="0" text="" dxfId="0">
      <formula>"À RÉPARER"</formula>
    </cfRule>
    <cfRule type="cellIs" priority="13" operator="equal" aboveAverage="0" equalAverage="0" bottom="0" percent="0" rank="0" text="" dxfId="26">
      <formula>"COUPE – À RESOUDER"</formula>
    </cfRule>
    <cfRule type="cellIs" priority="14" operator="equal" aboveAverage="0" equalAverage="0" bottom="0" percent="0" rank="0" text="" dxfId="0">
      <formula>"VT REJETÉ – À REPRENDRE"</formula>
    </cfRule>
    <cfRule type="cellIs" priority="15" operator="equal" aboveAverage="0" equalAverage="0" bottom="0" percent="0" rank="0" text="" dxfId="28">
      <formula>"VT EN ATTENTE"</formula>
    </cfRule>
    <cfRule type="cellIs" priority="16" operator="equal" aboveAverage="0" equalAverage="0" bottom="0" percent="0" rank="0" text="" dxfId="29">
      <formula>"À SOUDER"</formula>
    </cfRule>
  </conditionalFormatting>
  <conditionalFormatting sqref="F7:F1506">
    <cfRule type="cellIs" priority="17" operator="equal" aboveAverage="0" equalAverage="0" bottom="0" percent="0" rank="0" text="" dxfId="1">
      <formula>"A"</formula>
    </cfRule>
    <cfRule type="cellIs" priority="18" operator="equal" aboveAverage="0" equalAverage="0" bottom="0" percent="0" rank="0" text="" dxfId="0">
      <formula>"R"</formula>
    </cfRule>
    <cfRule type="cellIs" priority="19" operator="equal" aboveAverage="0" equalAverage="0" bottom="0" percent="0" rank="0" text="" dxfId="24">
      <formula>"NX"</formula>
    </cfRule>
    <cfRule type="cellIs" priority="20" operator="equal" aboveAverage="0" equalAverage="0" bottom="0" percent="0" rank="0" text="" dxfId="25">
      <formula>"NT"</formula>
    </cfRule>
    <cfRule type="cellIs" priority="21" operator="equal" aboveAverage="0" equalAverage="0" bottom="0" percent="0" rank="0" text="" dxfId="26">
      <formula>"CO"</formula>
    </cfRule>
  </conditionalFormatting>
  <conditionalFormatting sqref="L7:L1506">
    <cfRule type="cellIs" priority="22" operator="equal" aboveAverage="0" equalAverage="0" bottom="0" percent="0" rank="0" text="" dxfId="1">
      <formula>"A"</formula>
    </cfRule>
    <cfRule type="cellIs" priority="23" operator="equal" aboveAverage="0" equalAverage="0" bottom="0" percent="0" rank="0" text="" dxfId="0">
      <formula>"R"</formula>
    </cfRule>
    <cfRule type="cellIs" priority="24" operator="equal" aboveAverage="0" equalAverage="0" bottom="0" percent="0" rank="0" text="" dxfId="24">
      <formula>"NX"</formula>
    </cfRule>
    <cfRule type="cellIs" priority="25" operator="equal" aboveAverage="0" equalAverage="0" bottom="0" percent="0" rank="0" text="" dxfId="25">
      <formula>"NT"</formula>
    </cfRule>
    <cfRule type="cellIs" priority="26" operator="equal" aboveAverage="0" equalAverage="0" bottom="0" percent="0" rank="0" text="" dxfId="26">
      <formula>"CO"</formula>
    </cfRule>
  </conditionalFormatting>
  <conditionalFormatting sqref="H7:H1506">
    <cfRule type="cellIs" priority="27" operator="equal" aboveAverage="0" equalAverage="0" bottom="0" percent="0" rank="0" text="" dxfId="30">
      <formula>"OUI"</formula>
    </cfRule>
  </conditionalFormatting>
  <dataValidations count="3">
    <dataValidation allowBlank="true" error="Holiday test (balai électrique) : A = Accepté, R = Rejeté" errorStyle="stop" errorTitle="Valeur non valide" operator="between" prompt="Holiday test (balai électrique) : A = Accepté, R = Rejeté" showDropDown="false" showErrorMessage="true" showInputMessage="true" sqref="L7:L1506" type="list">
      <formula1>"A,R"</formula1>
      <formula2>0</formula2>
    </dataValidation>
    <dataValidation allowBlank="true" error="Choisir le type de revêtement" errorStyle="stop" errorTitle="Valeur non valide" operator="between" prompt="Choisir le type de revêtement" showDropDown="false" showErrorMessage="true" showInputMessage="true" sqref="J7:J1506" type="list">
      <formula1>PARAMÈTRES!$F$32:$F$35</formula1>
      <formula2>0</formula2>
    </dataValidation>
    <dataValidation allowBlank="true" errorStyle="stop" operator="between" showDropDown="false" showErrorMessage="false" showInputMessage="false" sqref="I7:I1506" type="date">
      <formula1>DATE(2020,1,1)</formula1>
      <formula2>DATE(2040,12,31)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B2:M1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1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7"/>
    <col collapsed="false" customWidth="true" hidden="false" outlineLevel="0" max="6" min="6" style="0" width="20"/>
    <col collapsed="false" customWidth="true" hidden="false" outlineLevel="0" max="7" min="7" style="0" width="12"/>
    <col collapsed="false" customWidth="true" hidden="false" outlineLevel="0" max="8" min="8" style="0" width="24"/>
    <col collapsed="false" customWidth="true" hidden="false" outlineLevel="0" max="10" min="9" style="0" width="10"/>
    <col collapsed="false" customWidth="true" hidden="false" outlineLevel="0" max="11" min="11" style="0" width="12"/>
    <col collapsed="false" customWidth="true" hidden="false" outlineLevel="0" max="12" min="12" style="0" width="26"/>
  </cols>
  <sheetData>
    <row r="2" customFormat="false" ht="33.75" hidden="false" customHeight="true" outlineLevel="0" collapsed="false">
      <c r="B2" s="97" t="s">
        <v>646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</row>
    <row r="4" customFormat="false" ht="19.7" hidden="false" customHeight="false" outlineLevel="0" collapsed="false">
      <c r="B4" s="98" t="s">
        <v>647</v>
      </c>
      <c r="C4" s="99" t="n">
        <f aca="true">TODAY()</f>
        <v>46293</v>
      </c>
      <c r="G4" s="98" t="s">
        <v>648</v>
      </c>
      <c r="I4" s="100" t="n">
        <f aca="false">SUM('CARNET DE SOUDURE'!$AO$7:$AO$1506)</f>
        <v>9</v>
      </c>
    </row>
    <row r="5" customFormat="false" ht="15" hidden="false" customHeight="true" outlineLevel="0" collapsed="false">
      <c r="B5" s="98" t="s">
        <v>649</v>
      </c>
      <c r="D5" s="101" t="s">
        <v>2</v>
      </c>
      <c r="E5" s="101"/>
      <c r="G5" s="102" t="s">
        <v>650</v>
      </c>
      <c r="H5" s="102"/>
      <c r="I5" s="102"/>
      <c r="J5" s="102"/>
      <c r="K5" s="102"/>
      <c r="L5" s="102"/>
    </row>
    <row r="7" customFormat="false" ht="15" hidden="false" customHeight="false" outlineLevel="0" collapsed="false">
      <c r="B7" s="103" t="str">
        <f aca="false">"RAPPORT DU "&amp;TEXT($C$4,"dd/mm/yyyy")</f>
        <v>RAPPORT DU 28/09/2026</v>
      </c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</row>
    <row r="8" customFormat="false" ht="15" hidden="false" customHeight="true" outlineLevel="0" collapsed="false">
      <c r="B8" s="104" t="s">
        <v>19</v>
      </c>
      <c r="C8" s="104"/>
      <c r="D8" s="104" t="s">
        <v>651</v>
      </c>
      <c r="E8" s="104"/>
      <c r="F8" s="104" t="s">
        <v>652</v>
      </c>
      <c r="G8" s="104"/>
      <c r="H8" s="104" t="s">
        <v>653</v>
      </c>
      <c r="I8" s="104"/>
      <c r="J8" s="104" t="s">
        <v>654</v>
      </c>
      <c r="K8" s="104"/>
      <c r="L8" s="104" t="s">
        <v>655</v>
      </c>
      <c r="M8" s="105"/>
    </row>
    <row r="9" customFormat="false" ht="25.5" hidden="false" customHeight="true" outlineLevel="0" collapsed="false">
      <c r="B9" s="106" t="n">
        <f aca="false">COUNTIF('CARNET DE SOUDURE'!$R$7:$R$1506,$C$4)</f>
        <v>0</v>
      </c>
      <c r="C9" s="106"/>
      <c r="D9" s="106" t="n">
        <f aca="false">COUNTIF('CARNET DE SOUDURE'!$S$7:$S$1506,$C$4)</f>
        <v>0</v>
      </c>
      <c r="E9" s="106"/>
      <c r="F9" s="106" t="n">
        <f aca="false">COUNTIF('CARNET DE SOUDURE'!$V$7:$V$1506,$C$4)+COUNTIF('CARNET DE SOUDURE'!$AA$7:$AA$1506,$C$4)+COUNTIF('CARNET DE SOUDURE'!$AF$7:$AF$1506,$C$4)</f>
        <v>0</v>
      </c>
      <c r="G9" s="106"/>
      <c r="H9" s="106" t="n">
        <f aca="false">COUNTIFS('CARNET DE SOUDURE'!$V$7:$V$1506,$C$4,'CARNET DE SOUDURE'!$X$7:$X$1506,"A")+COUNTIFS('CARNET DE SOUDURE'!$AA$7:$AA$1506,$C$4,'CARNET DE SOUDURE'!$AC$7:$AC$1506,"A")+COUNTIFS('CARNET DE SOUDURE'!$AF$7:$AF$1506,$C$4,'CARNET DE SOUDURE'!$AH$7:$AH$1506,"A")</f>
        <v>0</v>
      </c>
      <c r="I9" s="106"/>
      <c r="J9" s="106" t="n">
        <f aca="false">COUNTIFS('CARNET DE SOUDURE'!$V$7:$V$1506,$C$4,'CARNET DE SOUDURE'!$X$7:$X$1506,"R")+COUNTIFS('CARNET DE SOUDURE'!$V$7:$V$1506,$C$4,'CARNET DE SOUDURE'!$X$7:$X$1506,"NT")+COUNTIFS('CARNET DE SOUDURE'!$V$7:$V$1506,$C$4,'CARNET DE SOUDURE'!$X$7:$X$1506,"CO")+COUNTIFS('CARNET DE SOUDURE'!$AA$7:$AA$1506,$C$4,'CARNET DE SOUDURE'!$AC$7:$AC$1506,"R")+COUNTIFS('CARNET DE SOUDURE'!$AA$7:$AA$1506,$C$4,'CARNET DE SOUDURE'!$AC$7:$AC$1506,"NT")+COUNTIFS('CARNET DE SOUDURE'!$AA$7:$AA$1506,$C$4,'CARNET DE SOUDURE'!$AC$7:$AC$1506,"CO")+COUNTIFS('CARNET DE SOUDURE'!$AF$7:$AF$1506,$C$4,'CARNET DE SOUDURE'!$AH$7:$AH$1506,"R")+COUNTIFS('CARNET DE SOUDURE'!$AF$7:$AF$1506,$C$4,'CARNET DE SOUDURE'!$AH$7:$AH$1506,"NT")+COUNTIFS('CARNET DE SOUDURE'!$AF$7:$AF$1506,$C$4,'CARNET DE SOUDURE'!$AH$7:$AH$1506,"CO")</f>
        <v>0</v>
      </c>
      <c r="K9" s="106"/>
      <c r="L9" s="106" t="n">
        <f aca="false">COUNTIFS('CARNET DE SOUDURE'!$V$7:$V$1506,$C$4,'CARNET DE SOUDURE'!$X$7:$X$1506,"NX")+COUNTIFS('CARNET DE SOUDURE'!$AA$7:$AA$1506,$C$4,'CARNET DE SOUDURE'!$AC$7:$AC$1506,"NX")+COUNTIFS('CARNET DE SOUDURE'!$AF$7:$AF$1506,$C$4,'CARNET DE SOUDURE'!$AH$7:$AH$1506,"NX")</f>
        <v>0</v>
      </c>
      <c r="M9" s="106"/>
    </row>
    <row r="11" customFormat="false" ht="30" hidden="false" customHeight="true" outlineLevel="0" collapsed="false">
      <c r="B11" s="37" t="s">
        <v>656</v>
      </c>
      <c r="C11" s="37" t="s">
        <v>17</v>
      </c>
      <c r="D11" s="37" t="s">
        <v>62</v>
      </c>
      <c r="E11" s="37" t="s">
        <v>61</v>
      </c>
      <c r="F11" s="37" t="s">
        <v>657</v>
      </c>
      <c r="G11" s="37" t="s">
        <v>75</v>
      </c>
      <c r="H11" s="37" t="s">
        <v>658</v>
      </c>
      <c r="I11" s="37" t="s">
        <v>652</v>
      </c>
      <c r="J11" s="37" t="s">
        <v>97</v>
      </c>
      <c r="K11" s="37" t="s">
        <v>659</v>
      </c>
      <c r="L11" s="37" t="s">
        <v>660</v>
      </c>
    </row>
    <row r="12" customFormat="false" ht="15" hidden="false" customHeight="false" outlineLevel="0" collapsed="false">
      <c r="B12" s="107" t="n">
        <f aca="false">IF(1&gt;$I$4,"",1)</f>
        <v>1</v>
      </c>
      <c r="C12" s="107" t="str">
        <f aca="false">IF($B12="","",INDEX('CARNET DE SOUDURE'!$B$7:$B$1506,MATCH(1,'CARNET DE SOUDURE'!$AP$7:$AP$1506,0)))</f>
        <v>TFT 716 → TL7-MMFW2</v>
      </c>
      <c r="D12" s="107" t="str">
        <f aca="false">IF($B12="","",INDEX('CARNET DE SOUDURE'!$E$7:$E$1506,MATCH(1,'CARNET DE SOUDURE'!$AP$7:$AP$1506,0)))</f>
        <v>JN°045Racc</v>
      </c>
      <c r="E12" s="107" t="str">
        <f aca="false">IF($B12="","",INDEX('CARNET DE SOUDURE'!$D$7:$D$1506,MATCH(1,'CARNET DE SOUDURE'!$AP$7:$AP$1506,0)))</f>
        <v>0.00</v>
      </c>
      <c r="F12" s="107" t="str">
        <f aca="false">IF($B12="","",INDEX('CARNET DE SOUDURE'!$O$7:$O$1506,MATCH(1,'CARNET DE SOUDURE'!$AP$7:$AP$1506,0))&amp;" / "&amp;INDEX('CARNET DE SOUDURE'!$P$7:$P$1506,MATCH(1,'CARNET DE SOUDURE'!$AP$7:$AP$1506,0))&amp;" / "&amp;INDEX('CARNET DE SOUDURE'!$Q$7:$Q$1506,MATCH(1,'CARNET DE SOUDURE'!$AP$7:$AP$1506,0)))</f>
        <v>WR-09 / WR-09 / WR-09</v>
      </c>
      <c r="G12" s="108" t="n">
        <f aca="false">IF($B12="","",INDEX('CARNET DE SOUDURE'!$R$7:$R$1506,MATCH(1,'CARNET DE SOUDURE'!$AP$7:$AP$1506,0)))</f>
        <v>45909</v>
      </c>
      <c r="H12" s="109" t="str">
        <f aca="false">IF($B12="","",INDEX('CARNET DE SOUDURE'!$AM$7:$AM$1506,MATCH(1,'CARNET DE SOUDURE'!$AP$7:$AP$1506,0)))</f>
        <v>À RADIOGRAPHIER</v>
      </c>
      <c r="I12" s="110" t="n">
        <f aca="false">IF($B12="","",INDEX('CARNET DE SOUDURE'!$AK$7:$AK$1506,MATCH(1,'CARNET DE SOUDURE'!$AP$7:$AP$1506,0)))</f>
        <v>0</v>
      </c>
      <c r="J12" s="110" t="n">
        <f aca="false">IF($B12="","",INDEX('CARNET DE SOUDURE'!$AN$7:$AN$1506,MATCH(1,'CARNET DE SOUDURE'!$AP$7:$AP$1506,0)))</f>
        <v>384</v>
      </c>
      <c r="K12" s="111"/>
      <c r="L12" s="111"/>
    </row>
    <row r="13" customFormat="false" ht="15" hidden="false" customHeight="false" outlineLevel="0" collapsed="false">
      <c r="B13" s="112" t="n">
        <f aca="false">IF(2&gt;$I$4,"",2)</f>
        <v>2</v>
      </c>
      <c r="C13" s="112" t="str">
        <f aca="false">IF($B13="","",INDEX('CARNET DE SOUDURE'!$B$7:$B$1506,MATCH(2,'CARNET DE SOUDURE'!$AP$7:$AP$1506,0)))</f>
        <v>TFT 716 → TL7-MMFW2</v>
      </c>
      <c r="D13" s="112" t="str">
        <f aca="false">IF($B13="","",INDEX('CARNET DE SOUDURE'!$E$7:$E$1506,MATCH(2,'CARNET DE SOUDURE'!$AP$7:$AP$1506,0)))</f>
        <v>JN°136Racc</v>
      </c>
      <c r="E13" s="112" t="str">
        <f aca="false">IF($B13="","",INDEX('CARNET DE SOUDURE'!$D$7:$D$1506,MATCH(2,'CARNET DE SOUDURE'!$AP$7:$AP$1506,0)))</f>
        <v>1.00</v>
      </c>
      <c r="F13" s="112" t="str">
        <f aca="false">IF($B13="","",INDEX('CARNET DE SOUDURE'!$O$7:$O$1506,MATCH(2,'CARNET DE SOUDURE'!$AP$7:$AP$1506,0))&amp;" / "&amp;INDEX('CARNET DE SOUDURE'!$P$7:$P$1506,MATCH(2,'CARNET DE SOUDURE'!$AP$7:$AP$1506,0))&amp;" / "&amp;INDEX('CARNET DE SOUDURE'!$Q$7:$Q$1506,MATCH(2,'CARNET DE SOUDURE'!$AP$7:$AP$1506,0)))</f>
        <v>WR-02 / WR-02 / WR-02</v>
      </c>
      <c r="G13" s="113" t="n">
        <f aca="false">IF($B13="","",INDEX('CARNET DE SOUDURE'!$R$7:$R$1506,MATCH(2,'CARNET DE SOUDURE'!$AP$7:$AP$1506,0)))</f>
        <v>45911</v>
      </c>
      <c r="H13" s="114" t="str">
        <f aca="false">IF($B13="","",INDEX('CARNET DE SOUDURE'!$AM$7:$AM$1506,MATCH(2,'CARNET DE SOUDURE'!$AP$7:$AP$1506,0)))</f>
        <v>À RADIOGRAPHIER</v>
      </c>
      <c r="I13" s="115" t="n">
        <f aca="false">IF($B13="","",INDEX('CARNET DE SOUDURE'!$AK$7:$AK$1506,MATCH(2,'CARNET DE SOUDURE'!$AP$7:$AP$1506,0)))</f>
        <v>0</v>
      </c>
      <c r="J13" s="115" t="n">
        <f aca="false">IF($B13="","",INDEX('CARNET DE SOUDURE'!$AN$7:$AN$1506,MATCH(2,'CARNET DE SOUDURE'!$AP$7:$AP$1506,0)))</f>
        <v>382</v>
      </c>
      <c r="K13" s="111"/>
      <c r="L13" s="111"/>
    </row>
    <row r="14" customFormat="false" ht="15" hidden="false" customHeight="false" outlineLevel="0" collapsed="false">
      <c r="B14" s="107" t="n">
        <f aca="false">IF(3&gt;$I$4,"",3)</f>
        <v>3</v>
      </c>
      <c r="C14" s="107" t="str">
        <f aca="false">IF($B14="","",INDEX('CARNET DE SOUDURE'!$B$7:$B$1506,MATCH(3,'CARNET DE SOUDURE'!$AP$7:$AP$1506,0)))</f>
        <v>TFT 716 → TL7-MMFW2</v>
      </c>
      <c r="D14" s="107" t="str">
        <f aca="false">IF($B14="","",INDEX('CARNET DE SOUDURE'!$E$7:$E$1506,MATCH(3,'CARNET DE SOUDURE'!$AP$7:$AP$1506,0)))</f>
        <v>JN°140Racc</v>
      </c>
      <c r="E14" s="107" t="str">
        <f aca="false">IF($B14="","",INDEX('CARNET DE SOUDURE'!$D$7:$D$1506,MATCH(3,'CARNET DE SOUDURE'!$AP$7:$AP$1506,0)))</f>
        <v>1.00</v>
      </c>
      <c r="F14" s="107" t="str">
        <f aca="false">IF($B14="","",INDEX('CARNET DE SOUDURE'!$O$7:$O$1506,MATCH(3,'CARNET DE SOUDURE'!$AP$7:$AP$1506,0))&amp;" / "&amp;INDEX('CARNET DE SOUDURE'!$P$7:$P$1506,MATCH(3,'CARNET DE SOUDURE'!$AP$7:$AP$1506,0))&amp;" / "&amp;INDEX('CARNET DE SOUDURE'!$Q$7:$Q$1506,MATCH(3,'CARNET DE SOUDURE'!$AP$7:$AP$1506,0)))</f>
        <v>WR-09 / WR-09 / WR-09</v>
      </c>
      <c r="G14" s="108" t="n">
        <f aca="false">IF($B14="","",INDEX('CARNET DE SOUDURE'!$R$7:$R$1506,MATCH(3,'CARNET DE SOUDURE'!$AP$7:$AP$1506,0)))</f>
        <v>45912</v>
      </c>
      <c r="H14" s="109" t="str">
        <f aca="false">IF($B14="","",INDEX('CARNET DE SOUDURE'!$AM$7:$AM$1506,MATCH(3,'CARNET DE SOUDURE'!$AP$7:$AP$1506,0)))</f>
        <v>À RADIOGRAPHIER</v>
      </c>
      <c r="I14" s="110" t="n">
        <f aca="false">IF($B14="","",INDEX('CARNET DE SOUDURE'!$AK$7:$AK$1506,MATCH(3,'CARNET DE SOUDURE'!$AP$7:$AP$1506,0)))</f>
        <v>0</v>
      </c>
      <c r="J14" s="110" t="n">
        <f aca="false">IF($B14="","",INDEX('CARNET DE SOUDURE'!$AN$7:$AN$1506,MATCH(3,'CARNET DE SOUDURE'!$AP$7:$AP$1506,0)))</f>
        <v>381</v>
      </c>
      <c r="K14" s="111"/>
      <c r="L14" s="111"/>
    </row>
    <row r="15" customFormat="false" ht="15" hidden="false" customHeight="false" outlineLevel="0" collapsed="false">
      <c r="B15" s="112" t="n">
        <f aca="false">IF(4&gt;$I$4,"",4)</f>
        <v>4</v>
      </c>
      <c r="C15" s="112" t="str">
        <f aca="false">IF($B15="","",INDEX('CARNET DE SOUDURE'!$B$7:$B$1506,MATCH(4,'CARNET DE SOUDURE'!$AP$7:$AP$1506,0)))</f>
        <v>TFT 716 → TL7-MMFW2</v>
      </c>
      <c r="D15" s="112" t="str">
        <f aca="false">IF($B15="","",INDEX('CARNET DE SOUDURE'!$E$7:$E$1506,MATCH(4,'CARNET DE SOUDURE'!$AP$7:$AP$1506,0)))</f>
        <v>JN°142</v>
      </c>
      <c r="E15" s="112" t="str">
        <f aca="false">IF($B15="","",INDEX('CARNET DE SOUDURE'!$D$7:$D$1506,MATCH(4,'CARNET DE SOUDURE'!$AP$7:$AP$1506,0)))</f>
        <v>1.00</v>
      </c>
      <c r="F15" s="112" t="str">
        <f aca="false">IF($B15="","",INDEX('CARNET DE SOUDURE'!$O$7:$O$1506,MATCH(4,'CARNET DE SOUDURE'!$AP$7:$AP$1506,0))&amp;" / "&amp;INDEX('CARNET DE SOUDURE'!$P$7:$P$1506,MATCH(4,'CARNET DE SOUDURE'!$AP$7:$AP$1506,0))&amp;" / "&amp;INDEX('CARNET DE SOUDURE'!$Q$7:$Q$1506,MATCH(4,'CARNET DE SOUDURE'!$AP$7:$AP$1506,0)))</f>
        <v>WR-02 / WR-02 / WR-02</v>
      </c>
      <c r="G15" s="113" t="n">
        <f aca="false">IF($B15="","",INDEX('CARNET DE SOUDURE'!$R$7:$R$1506,MATCH(4,'CARNET DE SOUDURE'!$AP$7:$AP$1506,0)))</f>
        <v>45912</v>
      </c>
      <c r="H15" s="114" t="str">
        <f aca="false">IF($B15="","",INDEX('CARNET DE SOUDURE'!$AM$7:$AM$1506,MATCH(4,'CARNET DE SOUDURE'!$AP$7:$AP$1506,0)))</f>
        <v>À RADIOGRAPHIER</v>
      </c>
      <c r="I15" s="115" t="n">
        <f aca="false">IF($B15="","",INDEX('CARNET DE SOUDURE'!$AK$7:$AK$1506,MATCH(4,'CARNET DE SOUDURE'!$AP$7:$AP$1506,0)))</f>
        <v>0</v>
      </c>
      <c r="J15" s="115" t="n">
        <f aca="false">IF($B15="","",INDEX('CARNET DE SOUDURE'!$AN$7:$AN$1506,MATCH(4,'CARNET DE SOUDURE'!$AP$7:$AP$1506,0)))</f>
        <v>381</v>
      </c>
      <c r="K15" s="111"/>
      <c r="L15" s="111"/>
    </row>
    <row r="16" customFormat="false" ht="15" hidden="false" customHeight="false" outlineLevel="0" collapsed="false">
      <c r="B16" s="107" t="n">
        <f aca="false">IF(5&gt;$I$4,"",5)</f>
        <v>5</v>
      </c>
      <c r="C16" s="107" t="str">
        <f aca="false">IF($B16="","",INDEX('CARNET DE SOUDURE'!$B$7:$B$1506,MATCH(5,'CARNET DE SOUDURE'!$AP$7:$AP$1506,0)))</f>
        <v>TFT 716 → TL7-MMFW2</v>
      </c>
      <c r="D16" s="107" t="str">
        <f aca="false">IF($B16="","",INDEX('CARNET DE SOUDURE'!$E$7:$E$1506,MATCH(5,'CARNET DE SOUDURE'!$AP$7:$AP$1506,0)))</f>
        <v>JN°142 A</v>
      </c>
      <c r="E16" s="107" t="str">
        <f aca="false">IF($B16="","",INDEX('CARNET DE SOUDURE'!$D$7:$D$1506,MATCH(5,'CARNET DE SOUDURE'!$AP$7:$AP$1506,0)))</f>
        <v>1.00</v>
      </c>
      <c r="F16" s="107" t="str">
        <f aca="false">IF($B16="","",INDEX('CARNET DE SOUDURE'!$O$7:$O$1506,MATCH(5,'CARNET DE SOUDURE'!$AP$7:$AP$1506,0))&amp;" / "&amp;INDEX('CARNET DE SOUDURE'!$P$7:$P$1506,MATCH(5,'CARNET DE SOUDURE'!$AP$7:$AP$1506,0))&amp;" / "&amp;INDEX('CARNET DE SOUDURE'!$Q$7:$Q$1506,MATCH(5,'CARNET DE SOUDURE'!$AP$7:$AP$1506,0)))</f>
        <v>WR-02 / WR-02 / WR-02</v>
      </c>
      <c r="G16" s="108" t="n">
        <f aca="false">IF($B16="","",INDEX('CARNET DE SOUDURE'!$R$7:$R$1506,MATCH(5,'CARNET DE SOUDURE'!$AP$7:$AP$1506,0)))</f>
        <v>45913</v>
      </c>
      <c r="H16" s="109" t="str">
        <f aca="false">IF($B16="","",INDEX('CARNET DE SOUDURE'!$AM$7:$AM$1506,MATCH(5,'CARNET DE SOUDURE'!$AP$7:$AP$1506,0)))</f>
        <v>À RADIOGRAPHIER</v>
      </c>
      <c r="I16" s="110" t="n">
        <f aca="false">IF($B16="","",INDEX('CARNET DE SOUDURE'!$AK$7:$AK$1506,MATCH(5,'CARNET DE SOUDURE'!$AP$7:$AP$1506,0)))</f>
        <v>0</v>
      </c>
      <c r="J16" s="110" t="n">
        <f aca="false">IF($B16="","",INDEX('CARNET DE SOUDURE'!$AN$7:$AN$1506,MATCH(5,'CARNET DE SOUDURE'!$AP$7:$AP$1506,0)))</f>
        <v>380</v>
      </c>
      <c r="K16" s="111"/>
      <c r="L16" s="111"/>
    </row>
    <row r="17" customFormat="false" ht="15" hidden="false" customHeight="false" outlineLevel="0" collapsed="false">
      <c r="B17" s="112" t="n">
        <f aca="false">IF(6&gt;$I$4,"",6)</f>
        <v>6</v>
      </c>
      <c r="C17" s="112" t="str">
        <f aca="false">IF($B17="","",INDEX('CARNET DE SOUDURE'!$B$7:$B$1506,MATCH(6,'CARNET DE SOUDURE'!$AP$7:$AP$1506,0)))</f>
        <v>TFT 716 → TL7-MMFW2</v>
      </c>
      <c r="D17" s="112" t="str">
        <f aca="false">IF($B17="","",INDEX('CARNET DE SOUDURE'!$E$7:$E$1506,MATCH(6,'CARNET DE SOUDURE'!$AP$7:$AP$1506,0)))</f>
        <v>JN°142 B</v>
      </c>
      <c r="E17" s="112" t="str">
        <f aca="false">IF($B17="","",INDEX('CARNET DE SOUDURE'!$D$7:$D$1506,MATCH(6,'CARNET DE SOUDURE'!$AP$7:$AP$1506,0)))</f>
        <v>1.00</v>
      </c>
      <c r="F17" s="112" t="str">
        <f aca="false">IF($B17="","",INDEX('CARNET DE SOUDURE'!$O$7:$O$1506,MATCH(6,'CARNET DE SOUDURE'!$AP$7:$AP$1506,0))&amp;" / "&amp;INDEX('CARNET DE SOUDURE'!$P$7:$P$1506,MATCH(6,'CARNET DE SOUDURE'!$AP$7:$AP$1506,0))&amp;" / "&amp;INDEX('CARNET DE SOUDURE'!$Q$7:$Q$1506,MATCH(6,'CARNET DE SOUDURE'!$AP$7:$AP$1506,0)))</f>
        <v>WR-09 / WR-09 / WR-09</v>
      </c>
      <c r="G17" s="113" t="n">
        <f aca="false">IF($B17="","",INDEX('CARNET DE SOUDURE'!$R$7:$R$1506,MATCH(6,'CARNET DE SOUDURE'!$AP$7:$AP$1506,0)))</f>
        <v>45913</v>
      </c>
      <c r="H17" s="114" t="str">
        <f aca="false">IF($B17="","",INDEX('CARNET DE SOUDURE'!$AM$7:$AM$1506,MATCH(6,'CARNET DE SOUDURE'!$AP$7:$AP$1506,0)))</f>
        <v>À RADIOGRAPHIER</v>
      </c>
      <c r="I17" s="115" t="n">
        <f aca="false">IF($B17="","",INDEX('CARNET DE SOUDURE'!$AK$7:$AK$1506,MATCH(6,'CARNET DE SOUDURE'!$AP$7:$AP$1506,0)))</f>
        <v>0</v>
      </c>
      <c r="J17" s="115" t="n">
        <f aca="false">IF($B17="","",INDEX('CARNET DE SOUDURE'!$AN$7:$AN$1506,MATCH(6,'CARNET DE SOUDURE'!$AP$7:$AP$1506,0)))</f>
        <v>380</v>
      </c>
      <c r="K17" s="111"/>
      <c r="L17" s="111"/>
    </row>
    <row r="18" customFormat="false" ht="15" hidden="false" customHeight="false" outlineLevel="0" collapsed="false">
      <c r="B18" s="107" t="n">
        <f aca="false">IF(7&gt;$I$4,"",7)</f>
        <v>7</v>
      </c>
      <c r="C18" s="107" t="str">
        <f aca="false">IF($B18="","",INDEX('CARNET DE SOUDURE'!$B$7:$B$1506,MATCH(7,'CARNET DE SOUDURE'!$AP$7:$AP$1506,0)))</f>
        <v>TFT 716 → TL7-MMFW2</v>
      </c>
      <c r="D18" s="107" t="str">
        <f aca="false">IF($B18="","",INDEX('CARNET DE SOUDURE'!$E$7:$E$1506,MATCH(7,'CARNET DE SOUDURE'!$AP$7:$AP$1506,0)))</f>
        <v>JN°143Racc</v>
      </c>
      <c r="E18" s="107" t="str">
        <f aca="false">IF($B18="","",INDEX('CARNET DE SOUDURE'!$D$7:$D$1506,MATCH(7,'CARNET DE SOUDURE'!$AP$7:$AP$1506,0)))</f>
        <v>1.00</v>
      </c>
      <c r="F18" s="107" t="str">
        <f aca="false">IF($B18="","",INDEX('CARNET DE SOUDURE'!$O$7:$O$1506,MATCH(7,'CARNET DE SOUDURE'!$AP$7:$AP$1506,0))&amp;" / "&amp;INDEX('CARNET DE SOUDURE'!$P$7:$P$1506,MATCH(7,'CARNET DE SOUDURE'!$AP$7:$AP$1506,0))&amp;" / "&amp;INDEX('CARNET DE SOUDURE'!$Q$7:$Q$1506,MATCH(7,'CARNET DE SOUDURE'!$AP$7:$AP$1506,0)))</f>
        <v>WR-02 / WR-02 / WR-02</v>
      </c>
      <c r="G18" s="108" t="n">
        <f aca="false">IF($B18="","",INDEX('CARNET DE SOUDURE'!$R$7:$R$1506,MATCH(7,'CARNET DE SOUDURE'!$AP$7:$AP$1506,0)))</f>
        <v>45913</v>
      </c>
      <c r="H18" s="109" t="str">
        <f aca="false">IF($B18="","",INDEX('CARNET DE SOUDURE'!$AM$7:$AM$1506,MATCH(7,'CARNET DE SOUDURE'!$AP$7:$AP$1506,0)))</f>
        <v>À RADIOGRAPHIER</v>
      </c>
      <c r="I18" s="110" t="n">
        <f aca="false">IF($B18="","",INDEX('CARNET DE SOUDURE'!$AK$7:$AK$1506,MATCH(7,'CARNET DE SOUDURE'!$AP$7:$AP$1506,0)))</f>
        <v>0</v>
      </c>
      <c r="J18" s="110" t="n">
        <f aca="false">IF($B18="","",INDEX('CARNET DE SOUDURE'!$AN$7:$AN$1506,MATCH(7,'CARNET DE SOUDURE'!$AP$7:$AP$1506,0)))</f>
        <v>380</v>
      </c>
      <c r="K18" s="111"/>
      <c r="L18" s="111"/>
    </row>
    <row r="19" customFormat="false" ht="15" hidden="false" customHeight="false" outlineLevel="0" collapsed="false">
      <c r="B19" s="112" t="n">
        <f aca="false">IF(8&gt;$I$4,"",8)</f>
        <v>8</v>
      </c>
      <c r="C19" s="112" t="str">
        <f aca="false">IF($B19="","",INDEX('CARNET DE SOUDURE'!$B$7:$B$1506,MATCH(8,'CARNET DE SOUDURE'!$AP$7:$AP$1506,0)))</f>
        <v>TFT 716 → TL7-MMFW2</v>
      </c>
      <c r="D19" s="112" t="str">
        <f aca="false">IF($B19="","",INDEX('CARNET DE SOUDURE'!$E$7:$E$1506,MATCH(8,'CARNET DE SOUDURE'!$AP$7:$AP$1506,0)))</f>
        <v>JN°199</v>
      </c>
      <c r="E19" s="112" t="str">
        <f aca="false">IF($B19="","",INDEX('CARNET DE SOUDURE'!$D$7:$D$1506,MATCH(8,'CARNET DE SOUDURE'!$AP$7:$AP$1506,0)))</f>
        <v>2.00</v>
      </c>
      <c r="F19" s="112" t="str">
        <f aca="false">IF($B19="","",INDEX('CARNET DE SOUDURE'!$O$7:$O$1506,MATCH(8,'CARNET DE SOUDURE'!$AP$7:$AP$1506,0))&amp;" / "&amp;INDEX('CARNET DE SOUDURE'!$P$7:$P$1506,MATCH(8,'CARNET DE SOUDURE'!$AP$7:$AP$1506,0))&amp;" / "&amp;INDEX('CARNET DE SOUDURE'!$Q$7:$Q$1506,MATCH(8,'CARNET DE SOUDURE'!$AP$7:$AP$1506,0)))</f>
        <v>WR-02 / WR-02 / WR-02</v>
      </c>
      <c r="G19" s="113" t="n">
        <f aca="false">IF($B19="","",INDEX('CARNET DE SOUDURE'!$R$7:$R$1506,MATCH(8,'CARNET DE SOUDURE'!$AP$7:$AP$1506,0)))</f>
        <v>45915</v>
      </c>
      <c r="H19" s="114" t="str">
        <f aca="false">IF($B19="","",INDEX('CARNET DE SOUDURE'!$AM$7:$AM$1506,MATCH(8,'CARNET DE SOUDURE'!$AP$7:$AP$1506,0)))</f>
        <v>À RADIOGRAPHIER</v>
      </c>
      <c r="I19" s="115" t="n">
        <f aca="false">IF($B19="","",INDEX('CARNET DE SOUDURE'!$AK$7:$AK$1506,MATCH(8,'CARNET DE SOUDURE'!$AP$7:$AP$1506,0)))</f>
        <v>0</v>
      </c>
      <c r="J19" s="115" t="n">
        <f aca="false">IF($B19="","",INDEX('CARNET DE SOUDURE'!$AN$7:$AN$1506,MATCH(8,'CARNET DE SOUDURE'!$AP$7:$AP$1506,0)))</f>
        <v>378</v>
      </c>
      <c r="K19" s="111"/>
      <c r="L19" s="111"/>
    </row>
    <row r="20" customFormat="false" ht="15" hidden="false" customHeight="false" outlineLevel="0" collapsed="false">
      <c r="B20" s="107" t="n">
        <f aca="false">IF(9&gt;$I$4,"",9)</f>
        <v>9</v>
      </c>
      <c r="C20" s="107" t="str">
        <f aca="false">IF($B20="","",INDEX('CARNET DE SOUDURE'!$B$7:$B$1506,MATCH(9,'CARNET DE SOUDURE'!$AP$7:$AP$1506,0)))</f>
        <v>TFT 716 → TL7-MMFW2</v>
      </c>
      <c r="D20" s="107" t="str">
        <f aca="false">IF($B20="","",INDEX('CARNET DE SOUDURE'!$E$7:$E$1506,MATCH(9,'CARNET DE SOUDURE'!$AP$7:$AP$1506,0)))</f>
        <v>JN°201</v>
      </c>
      <c r="E20" s="107" t="str">
        <f aca="false">IF($B20="","",INDEX('CARNET DE SOUDURE'!$D$7:$D$1506,MATCH(9,'CARNET DE SOUDURE'!$AP$7:$AP$1506,0)))</f>
        <v>2.00</v>
      </c>
      <c r="F20" s="107" t="str">
        <f aca="false">IF($B20="","",INDEX('CARNET DE SOUDURE'!$O$7:$O$1506,MATCH(9,'CARNET DE SOUDURE'!$AP$7:$AP$1506,0))&amp;" / "&amp;INDEX('CARNET DE SOUDURE'!$P$7:$P$1506,MATCH(9,'CARNET DE SOUDURE'!$AP$7:$AP$1506,0))&amp;" / "&amp;INDEX('CARNET DE SOUDURE'!$Q$7:$Q$1506,MATCH(9,'CARNET DE SOUDURE'!$AP$7:$AP$1506,0)))</f>
        <v>WR-02 / WR-09 / WR-09</v>
      </c>
      <c r="G20" s="108" t="n">
        <f aca="false">IF($B20="","",INDEX('CARNET DE SOUDURE'!$R$7:$R$1506,MATCH(9,'CARNET DE SOUDURE'!$AP$7:$AP$1506,0)))</f>
        <v>45913</v>
      </c>
      <c r="H20" s="109" t="str">
        <f aca="false">IF($B20="","",INDEX('CARNET DE SOUDURE'!$AM$7:$AM$1506,MATCH(9,'CARNET DE SOUDURE'!$AP$7:$AP$1506,0)))</f>
        <v>À RADIOGRAPHIER</v>
      </c>
      <c r="I20" s="110" t="n">
        <f aca="false">IF($B20="","",INDEX('CARNET DE SOUDURE'!$AK$7:$AK$1506,MATCH(9,'CARNET DE SOUDURE'!$AP$7:$AP$1506,0)))</f>
        <v>0</v>
      </c>
      <c r="J20" s="110" t="n">
        <f aca="false">IF($B20="","",INDEX('CARNET DE SOUDURE'!$AN$7:$AN$1506,MATCH(9,'CARNET DE SOUDURE'!$AP$7:$AP$1506,0)))</f>
        <v>380</v>
      </c>
      <c r="K20" s="111"/>
      <c r="L20" s="111"/>
    </row>
    <row r="21" customFormat="false" ht="15" hidden="false" customHeight="false" outlineLevel="0" collapsed="false">
      <c r="B21" s="112" t="str">
        <f aca="false">IF(10&gt;$I$4,"",10)</f>
        <v/>
      </c>
      <c r="C21" s="112" t="str">
        <f aca="false">IF($B21="","",INDEX('CARNET DE SOUDURE'!$B$7:$B$1506,MATCH(10,'CARNET DE SOUDURE'!$AP$7:$AP$1506,0)))</f>
        <v/>
      </c>
      <c r="D21" s="112" t="str">
        <f aca="false">IF($B21="","",INDEX('CARNET DE SOUDURE'!$E$7:$E$1506,MATCH(10,'CARNET DE SOUDURE'!$AP$7:$AP$1506,0)))</f>
        <v/>
      </c>
      <c r="E21" s="112" t="str">
        <f aca="false">IF($B21="","",INDEX('CARNET DE SOUDURE'!$D$7:$D$1506,MATCH(10,'CARNET DE SOUDURE'!$AP$7:$AP$1506,0)))</f>
        <v/>
      </c>
      <c r="F21" s="112" t="str">
        <f aca="false">IF($B21="","",INDEX('CARNET DE SOUDURE'!$O$7:$O$1506,MATCH(10,'CARNET DE SOUDURE'!$AP$7:$AP$1506,0))&amp;" / "&amp;INDEX('CARNET DE SOUDURE'!$P$7:$P$1506,MATCH(10,'CARNET DE SOUDURE'!$AP$7:$AP$1506,0))&amp;" / "&amp;INDEX('CARNET DE SOUDURE'!$Q$7:$Q$1506,MATCH(10,'CARNET DE SOUDURE'!$AP$7:$AP$1506,0)))</f>
        <v/>
      </c>
      <c r="G21" s="113" t="str">
        <f aca="false">IF($B21="","",INDEX('CARNET DE SOUDURE'!$R$7:$R$1506,MATCH(10,'CARNET DE SOUDURE'!$AP$7:$AP$1506,0)))</f>
        <v/>
      </c>
      <c r="H21" s="114" t="str">
        <f aca="false">IF($B21="","",INDEX('CARNET DE SOUDURE'!$AM$7:$AM$1506,MATCH(10,'CARNET DE SOUDURE'!$AP$7:$AP$1506,0)))</f>
        <v/>
      </c>
      <c r="I21" s="115" t="str">
        <f aca="false">IF($B21="","",INDEX('CARNET DE SOUDURE'!$AK$7:$AK$1506,MATCH(10,'CARNET DE SOUDURE'!$AP$7:$AP$1506,0)))</f>
        <v/>
      </c>
      <c r="J21" s="115" t="str">
        <f aca="false">IF($B21="","",INDEX('CARNET DE SOUDURE'!$AN$7:$AN$1506,MATCH(10,'CARNET DE SOUDURE'!$AP$7:$AP$1506,0)))</f>
        <v/>
      </c>
      <c r="K21" s="111"/>
      <c r="L21" s="111"/>
    </row>
    <row r="22" customFormat="false" ht="15" hidden="false" customHeight="false" outlineLevel="0" collapsed="false">
      <c r="B22" s="107" t="str">
        <f aca="false">IF(11&gt;$I$4,"",11)</f>
        <v/>
      </c>
      <c r="C22" s="107" t="str">
        <f aca="false">IF($B22="","",INDEX('CARNET DE SOUDURE'!$B$7:$B$1506,MATCH(11,'CARNET DE SOUDURE'!$AP$7:$AP$1506,0)))</f>
        <v/>
      </c>
      <c r="D22" s="107" t="str">
        <f aca="false">IF($B22="","",INDEX('CARNET DE SOUDURE'!$E$7:$E$1506,MATCH(11,'CARNET DE SOUDURE'!$AP$7:$AP$1506,0)))</f>
        <v/>
      </c>
      <c r="E22" s="107" t="str">
        <f aca="false">IF($B22="","",INDEX('CARNET DE SOUDURE'!$D$7:$D$1506,MATCH(11,'CARNET DE SOUDURE'!$AP$7:$AP$1506,0)))</f>
        <v/>
      </c>
      <c r="F22" s="107" t="str">
        <f aca="false">IF($B22="","",INDEX('CARNET DE SOUDURE'!$O$7:$O$1506,MATCH(11,'CARNET DE SOUDURE'!$AP$7:$AP$1506,0))&amp;" / "&amp;INDEX('CARNET DE SOUDURE'!$P$7:$P$1506,MATCH(11,'CARNET DE SOUDURE'!$AP$7:$AP$1506,0))&amp;" / "&amp;INDEX('CARNET DE SOUDURE'!$Q$7:$Q$1506,MATCH(11,'CARNET DE SOUDURE'!$AP$7:$AP$1506,0)))</f>
        <v/>
      </c>
      <c r="G22" s="108" t="str">
        <f aca="false">IF($B22="","",INDEX('CARNET DE SOUDURE'!$R$7:$R$1506,MATCH(11,'CARNET DE SOUDURE'!$AP$7:$AP$1506,0)))</f>
        <v/>
      </c>
      <c r="H22" s="109" t="str">
        <f aca="false">IF($B22="","",INDEX('CARNET DE SOUDURE'!$AM$7:$AM$1506,MATCH(11,'CARNET DE SOUDURE'!$AP$7:$AP$1506,0)))</f>
        <v/>
      </c>
      <c r="I22" s="110" t="str">
        <f aca="false">IF($B22="","",INDEX('CARNET DE SOUDURE'!$AK$7:$AK$1506,MATCH(11,'CARNET DE SOUDURE'!$AP$7:$AP$1506,0)))</f>
        <v/>
      </c>
      <c r="J22" s="110" t="str">
        <f aca="false">IF($B22="","",INDEX('CARNET DE SOUDURE'!$AN$7:$AN$1506,MATCH(11,'CARNET DE SOUDURE'!$AP$7:$AP$1506,0)))</f>
        <v/>
      </c>
      <c r="K22" s="111"/>
      <c r="L22" s="111"/>
    </row>
    <row r="23" customFormat="false" ht="15" hidden="false" customHeight="false" outlineLevel="0" collapsed="false">
      <c r="B23" s="112" t="str">
        <f aca="false">IF(12&gt;$I$4,"",12)</f>
        <v/>
      </c>
      <c r="C23" s="112" t="str">
        <f aca="false">IF($B23="","",INDEX('CARNET DE SOUDURE'!$B$7:$B$1506,MATCH(12,'CARNET DE SOUDURE'!$AP$7:$AP$1506,0)))</f>
        <v/>
      </c>
      <c r="D23" s="112" t="str">
        <f aca="false">IF($B23="","",INDEX('CARNET DE SOUDURE'!$E$7:$E$1506,MATCH(12,'CARNET DE SOUDURE'!$AP$7:$AP$1506,0)))</f>
        <v/>
      </c>
      <c r="E23" s="112" t="str">
        <f aca="false">IF($B23="","",INDEX('CARNET DE SOUDURE'!$D$7:$D$1506,MATCH(12,'CARNET DE SOUDURE'!$AP$7:$AP$1506,0)))</f>
        <v/>
      </c>
      <c r="F23" s="112" t="str">
        <f aca="false">IF($B23="","",INDEX('CARNET DE SOUDURE'!$O$7:$O$1506,MATCH(12,'CARNET DE SOUDURE'!$AP$7:$AP$1506,0))&amp;" / "&amp;INDEX('CARNET DE SOUDURE'!$P$7:$P$1506,MATCH(12,'CARNET DE SOUDURE'!$AP$7:$AP$1506,0))&amp;" / "&amp;INDEX('CARNET DE SOUDURE'!$Q$7:$Q$1506,MATCH(12,'CARNET DE SOUDURE'!$AP$7:$AP$1506,0)))</f>
        <v/>
      </c>
      <c r="G23" s="113" t="str">
        <f aca="false">IF($B23="","",INDEX('CARNET DE SOUDURE'!$R$7:$R$1506,MATCH(12,'CARNET DE SOUDURE'!$AP$7:$AP$1506,0)))</f>
        <v/>
      </c>
      <c r="H23" s="114" t="str">
        <f aca="false">IF($B23="","",INDEX('CARNET DE SOUDURE'!$AM$7:$AM$1506,MATCH(12,'CARNET DE SOUDURE'!$AP$7:$AP$1506,0)))</f>
        <v/>
      </c>
      <c r="I23" s="115" t="str">
        <f aca="false">IF($B23="","",INDEX('CARNET DE SOUDURE'!$AK$7:$AK$1506,MATCH(12,'CARNET DE SOUDURE'!$AP$7:$AP$1506,0)))</f>
        <v/>
      </c>
      <c r="J23" s="115" t="str">
        <f aca="false">IF($B23="","",INDEX('CARNET DE SOUDURE'!$AN$7:$AN$1506,MATCH(12,'CARNET DE SOUDURE'!$AP$7:$AP$1506,0)))</f>
        <v/>
      </c>
      <c r="K23" s="111"/>
      <c r="L23" s="111"/>
    </row>
    <row r="24" customFormat="false" ht="15" hidden="false" customHeight="false" outlineLevel="0" collapsed="false">
      <c r="B24" s="107" t="str">
        <f aca="false">IF(13&gt;$I$4,"",13)</f>
        <v/>
      </c>
      <c r="C24" s="107" t="str">
        <f aca="false">IF($B24="","",INDEX('CARNET DE SOUDURE'!$B$7:$B$1506,MATCH(13,'CARNET DE SOUDURE'!$AP$7:$AP$1506,0)))</f>
        <v/>
      </c>
      <c r="D24" s="107" t="str">
        <f aca="false">IF($B24="","",INDEX('CARNET DE SOUDURE'!$E$7:$E$1506,MATCH(13,'CARNET DE SOUDURE'!$AP$7:$AP$1506,0)))</f>
        <v/>
      </c>
      <c r="E24" s="107" t="str">
        <f aca="false">IF($B24="","",INDEX('CARNET DE SOUDURE'!$D$7:$D$1506,MATCH(13,'CARNET DE SOUDURE'!$AP$7:$AP$1506,0)))</f>
        <v/>
      </c>
      <c r="F24" s="107" t="str">
        <f aca="false">IF($B24="","",INDEX('CARNET DE SOUDURE'!$O$7:$O$1506,MATCH(13,'CARNET DE SOUDURE'!$AP$7:$AP$1506,0))&amp;" / "&amp;INDEX('CARNET DE SOUDURE'!$P$7:$P$1506,MATCH(13,'CARNET DE SOUDURE'!$AP$7:$AP$1506,0))&amp;" / "&amp;INDEX('CARNET DE SOUDURE'!$Q$7:$Q$1506,MATCH(13,'CARNET DE SOUDURE'!$AP$7:$AP$1506,0)))</f>
        <v/>
      </c>
      <c r="G24" s="108" t="str">
        <f aca="false">IF($B24="","",INDEX('CARNET DE SOUDURE'!$R$7:$R$1506,MATCH(13,'CARNET DE SOUDURE'!$AP$7:$AP$1506,0)))</f>
        <v/>
      </c>
      <c r="H24" s="109" t="str">
        <f aca="false">IF($B24="","",INDEX('CARNET DE SOUDURE'!$AM$7:$AM$1506,MATCH(13,'CARNET DE SOUDURE'!$AP$7:$AP$1506,0)))</f>
        <v/>
      </c>
      <c r="I24" s="110" t="str">
        <f aca="false">IF($B24="","",INDEX('CARNET DE SOUDURE'!$AK$7:$AK$1506,MATCH(13,'CARNET DE SOUDURE'!$AP$7:$AP$1506,0)))</f>
        <v/>
      </c>
      <c r="J24" s="110" t="str">
        <f aca="false">IF($B24="","",INDEX('CARNET DE SOUDURE'!$AN$7:$AN$1506,MATCH(13,'CARNET DE SOUDURE'!$AP$7:$AP$1506,0)))</f>
        <v/>
      </c>
      <c r="K24" s="111"/>
      <c r="L24" s="111"/>
    </row>
    <row r="25" customFormat="false" ht="15" hidden="false" customHeight="false" outlineLevel="0" collapsed="false">
      <c r="B25" s="112" t="str">
        <f aca="false">IF(14&gt;$I$4,"",14)</f>
        <v/>
      </c>
      <c r="C25" s="112" t="str">
        <f aca="false">IF($B25="","",INDEX('CARNET DE SOUDURE'!$B$7:$B$1506,MATCH(14,'CARNET DE SOUDURE'!$AP$7:$AP$1506,0)))</f>
        <v/>
      </c>
      <c r="D25" s="112" t="str">
        <f aca="false">IF($B25="","",INDEX('CARNET DE SOUDURE'!$E$7:$E$1506,MATCH(14,'CARNET DE SOUDURE'!$AP$7:$AP$1506,0)))</f>
        <v/>
      </c>
      <c r="E25" s="112" t="str">
        <f aca="false">IF($B25="","",INDEX('CARNET DE SOUDURE'!$D$7:$D$1506,MATCH(14,'CARNET DE SOUDURE'!$AP$7:$AP$1506,0)))</f>
        <v/>
      </c>
      <c r="F25" s="112" t="str">
        <f aca="false">IF($B25="","",INDEX('CARNET DE SOUDURE'!$O$7:$O$1506,MATCH(14,'CARNET DE SOUDURE'!$AP$7:$AP$1506,0))&amp;" / "&amp;INDEX('CARNET DE SOUDURE'!$P$7:$P$1506,MATCH(14,'CARNET DE SOUDURE'!$AP$7:$AP$1506,0))&amp;" / "&amp;INDEX('CARNET DE SOUDURE'!$Q$7:$Q$1506,MATCH(14,'CARNET DE SOUDURE'!$AP$7:$AP$1506,0)))</f>
        <v/>
      </c>
      <c r="G25" s="113" t="str">
        <f aca="false">IF($B25="","",INDEX('CARNET DE SOUDURE'!$R$7:$R$1506,MATCH(14,'CARNET DE SOUDURE'!$AP$7:$AP$1506,0)))</f>
        <v/>
      </c>
      <c r="H25" s="114" t="str">
        <f aca="false">IF($B25="","",INDEX('CARNET DE SOUDURE'!$AM$7:$AM$1506,MATCH(14,'CARNET DE SOUDURE'!$AP$7:$AP$1506,0)))</f>
        <v/>
      </c>
      <c r="I25" s="115" t="str">
        <f aca="false">IF($B25="","",INDEX('CARNET DE SOUDURE'!$AK$7:$AK$1506,MATCH(14,'CARNET DE SOUDURE'!$AP$7:$AP$1506,0)))</f>
        <v/>
      </c>
      <c r="J25" s="115" t="str">
        <f aca="false">IF($B25="","",INDEX('CARNET DE SOUDURE'!$AN$7:$AN$1506,MATCH(14,'CARNET DE SOUDURE'!$AP$7:$AP$1506,0)))</f>
        <v/>
      </c>
      <c r="K25" s="111"/>
      <c r="L25" s="111"/>
    </row>
    <row r="26" customFormat="false" ht="15" hidden="false" customHeight="false" outlineLevel="0" collapsed="false">
      <c r="B26" s="107" t="str">
        <f aca="false">IF(15&gt;$I$4,"",15)</f>
        <v/>
      </c>
      <c r="C26" s="107" t="str">
        <f aca="false">IF($B26="","",INDEX('CARNET DE SOUDURE'!$B$7:$B$1506,MATCH(15,'CARNET DE SOUDURE'!$AP$7:$AP$1506,0)))</f>
        <v/>
      </c>
      <c r="D26" s="107" t="str">
        <f aca="false">IF($B26="","",INDEX('CARNET DE SOUDURE'!$E$7:$E$1506,MATCH(15,'CARNET DE SOUDURE'!$AP$7:$AP$1506,0)))</f>
        <v/>
      </c>
      <c r="E26" s="107" t="str">
        <f aca="false">IF($B26="","",INDEX('CARNET DE SOUDURE'!$D$7:$D$1506,MATCH(15,'CARNET DE SOUDURE'!$AP$7:$AP$1506,0)))</f>
        <v/>
      </c>
      <c r="F26" s="107" t="str">
        <f aca="false">IF($B26="","",INDEX('CARNET DE SOUDURE'!$O$7:$O$1506,MATCH(15,'CARNET DE SOUDURE'!$AP$7:$AP$1506,0))&amp;" / "&amp;INDEX('CARNET DE SOUDURE'!$P$7:$P$1506,MATCH(15,'CARNET DE SOUDURE'!$AP$7:$AP$1506,0))&amp;" / "&amp;INDEX('CARNET DE SOUDURE'!$Q$7:$Q$1506,MATCH(15,'CARNET DE SOUDURE'!$AP$7:$AP$1506,0)))</f>
        <v/>
      </c>
      <c r="G26" s="108" t="str">
        <f aca="false">IF($B26="","",INDEX('CARNET DE SOUDURE'!$R$7:$R$1506,MATCH(15,'CARNET DE SOUDURE'!$AP$7:$AP$1506,0)))</f>
        <v/>
      </c>
      <c r="H26" s="109" t="str">
        <f aca="false">IF($B26="","",INDEX('CARNET DE SOUDURE'!$AM$7:$AM$1506,MATCH(15,'CARNET DE SOUDURE'!$AP$7:$AP$1506,0)))</f>
        <v/>
      </c>
      <c r="I26" s="110" t="str">
        <f aca="false">IF($B26="","",INDEX('CARNET DE SOUDURE'!$AK$7:$AK$1506,MATCH(15,'CARNET DE SOUDURE'!$AP$7:$AP$1506,0)))</f>
        <v/>
      </c>
      <c r="J26" s="110" t="str">
        <f aca="false">IF($B26="","",INDEX('CARNET DE SOUDURE'!$AN$7:$AN$1506,MATCH(15,'CARNET DE SOUDURE'!$AP$7:$AP$1506,0)))</f>
        <v/>
      </c>
      <c r="K26" s="111"/>
      <c r="L26" s="111"/>
    </row>
    <row r="27" customFormat="false" ht="15" hidden="false" customHeight="false" outlineLevel="0" collapsed="false">
      <c r="B27" s="112" t="str">
        <f aca="false">IF(16&gt;$I$4,"",16)</f>
        <v/>
      </c>
      <c r="C27" s="112" t="str">
        <f aca="false">IF($B27="","",INDEX('CARNET DE SOUDURE'!$B$7:$B$1506,MATCH(16,'CARNET DE SOUDURE'!$AP$7:$AP$1506,0)))</f>
        <v/>
      </c>
      <c r="D27" s="112" t="str">
        <f aca="false">IF($B27="","",INDEX('CARNET DE SOUDURE'!$E$7:$E$1506,MATCH(16,'CARNET DE SOUDURE'!$AP$7:$AP$1506,0)))</f>
        <v/>
      </c>
      <c r="E27" s="112" t="str">
        <f aca="false">IF($B27="","",INDEX('CARNET DE SOUDURE'!$D$7:$D$1506,MATCH(16,'CARNET DE SOUDURE'!$AP$7:$AP$1506,0)))</f>
        <v/>
      </c>
      <c r="F27" s="112" t="str">
        <f aca="false">IF($B27="","",INDEX('CARNET DE SOUDURE'!$O$7:$O$1506,MATCH(16,'CARNET DE SOUDURE'!$AP$7:$AP$1506,0))&amp;" / "&amp;INDEX('CARNET DE SOUDURE'!$P$7:$P$1506,MATCH(16,'CARNET DE SOUDURE'!$AP$7:$AP$1506,0))&amp;" / "&amp;INDEX('CARNET DE SOUDURE'!$Q$7:$Q$1506,MATCH(16,'CARNET DE SOUDURE'!$AP$7:$AP$1506,0)))</f>
        <v/>
      </c>
      <c r="G27" s="113" t="str">
        <f aca="false">IF($B27="","",INDEX('CARNET DE SOUDURE'!$R$7:$R$1506,MATCH(16,'CARNET DE SOUDURE'!$AP$7:$AP$1506,0)))</f>
        <v/>
      </c>
      <c r="H27" s="114" t="str">
        <f aca="false">IF($B27="","",INDEX('CARNET DE SOUDURE'!$AM$7:$AM$1506,MATCH(16,'CARNET DE SOUDURE'!$AP$7:$AP$1506,0)))</f>
        <v/>
      </c>
      <c r="I27" s="115" t="str">
        <f aca="false">IF($B27="","",INDEX('CARNET DE SOUDURE'!$AK$7:$AK$1506,MATCH(16,'CARNET DE SOUDURE'!$AP$7:$AP$1506,0)))</f>
        <v/>
      </c>
      <c r="J27" s="115" t="str">
        <f aca="false">IF($B27="","",INDEX('CARNET DE SOUDURE'!$AN$7:$AN$1506,MATCH(16,'CARNET DE SOUDURE'!$AP$7:$AP$1506,0)))</f>
        <v/>
      </c>
      <c r="K27" s="111"/>
      <c r="L27" s="111"/>
    </row>
    <row r="28" customFormat="false" ht="15" hidden="false" customHeight="false" outlineLevel="0" collapsed="false">
      <c r="B28" s="107" t="str">
        <f aca="false">IF(17&gt;$I$4,"",17)</f>
        <v/>
      </c>
      <c r="C28" s="107" t="str">
        <f aca="false">IF($B28="","",INDEX('CARNET DE SOUDURE'!$B$7:$B$1506,MATCH(17,'CARNET DE SOUDURE'!$AP$7:$AP$1506,0)))</f>
        <v/>
      </c>
      <c r="D28" s="107" t="str">
        <f aca="false">IF($B28="","",INDEX('CARNET DE SOUDURE'!$E$7:$E$1506,MATCH(17,'CARNET DE SOUDURE'!$AP$7:$AP$1506,0)))</f>
        <v/>
      </c>
      <c r="E28" s="107" t="str">
        <f aca="false">IF($B28="","",INDEX('CARNET DE SOUDURE'!$D$7:$D$1506,MATCH(17,'CARNET DE SOUDURE'!$AP$7:$AP$1506,0)))</f>
        <v/>
      </c>
      <c r="F28" s="107" t="str">
        <f aca="false">IF($B28="","",INDEX('CARNET DE SOUDURE'!$O$7:$O$1506,MATCH(17,'CARNET DE SOUDURE'!$AP$7:$AP$1506,0))&amp;" / "&amp;INDEX('CARNET DE SOUDURE'!$P$7:$P$1506,MATCH(17,'CARNET DE SOUDURE'!$AP$7:$AP$1506,0))&amp;" / "&amp;INDEX('CARNET DE SOUDURE'!$Q$7:$Q$1506,MATCH(17,'CARNET DE SOUDURE'!$AP$7:$AP$1506,0)))</f>
        <v/>
      </c>
      <c r="G28" s="108" t="str">
        <f aca="false">IF($B28="","",INDEX('CARNET DE SOUDURE'!$R$7:$R$1506,MATCH(17,'CARNET DE SOUDURE'!$AP$7:$AP$1506,0)))</f>
        <v/>
      </c>
      <c r="H28" s="109" t="str">
        <f aca="false">IF($B28="","",INDEX('CARNET DE SOUDURE'!$AM$7:$AM$1506,MATCH(17,'CARNET DE SOUDURE'!$AP$7:$AP$1506,0)))</f>
        <v/>
      </c>
      <c r="I28" s="110" t="str">
        <f aca="false">IF($B28="","",INDEX('CARNET DE SOUDURE'!$AK$7:$AK$1506,MATCH(17,'CARNET DE SOUDURE'!$AP$7:$AP$1506,0)))</f>
        <v/>
      </c>
      <c r="J28" s="110" t="str">
        <f aca="false">IF($B28="","",INDEX('CARNET DE SOUDURE'!$AN$7:$AN$1506,MATCH(17,'CARNET DE SOUDURE'!$AP$7:$AP$1506,0)))</f>
        <v/>
      </c>
      <c r="K28" s="111"/>
      <c r="L28" s="111"/>
    </row>
    <row r="29" customFormat="false" ht="15" hidden="false" customHeight="false" outlineLevel="0" collapsed="false">
      <c r="B29" s="112" t="str">
        <f aca="false">IF(18&gt;$I$4,"",18)</f>
        <v/>
      </c>
      <c r="C29" s="112" t="str">
        <f aca="false">IF($B29="","",INDEX('CARNET DE SOUDURE'!$B$7:$B$1506,MATCH(18,'CARNET DE SOUDURE'!$AP$7:$AP$1506,0)))</f>
        <v/>
      </c>
      <c r="D29" s="112" t="str">
        <f aca="false">IF($B29="","",INDEX('CARNET DE SOUDURE'!$E$7:$E$1506,MATCH(18,'CARNET DE SOUDURE'!$AP$7:$AP$1506,0)))</f>
        <v/>
      </c>
      <c r="E29" s="112" t="str">
        <f aca="false">IF($B29="","",INDEX('CARNET DE SOUDURE'!$D$7:$D$1506,MATCH(18,'CARNET DE SOUDURE'!$AP$7:$AP$1506,0)))</f>
        <v/>
      </c>
      <c r="F29" s="112" t="str">
        <f aca="false">IF($B29="","",INDEX('CARNET DE SOUDURE'!$O$7:$O$1506,MATCH(18,'CARNET DE SOUDURE'!$AP$7:$AP$1506,0))&amp;" / "&amp;INDEX('CARNET DE SOUDURE'!$P$7:$P$1506,MATCH(18,'CARNET DE SOUDURE'!$AP$7:$AP$1506,0))&amp;" / "&amp;INDEX('CARNET DE SOUDURE'!$Q$7:$Q$1506,MATCH(18,'CARNET DE SOUDURE'!$AP$7:$AP$1506,0)))</f>
        <v/>
      </c>
      <c r="G29" s="113" t="str">
        <f aca="false">IF($B29="","",INDEX('CARNET DE SOUDURE'!$R$7:$R$1506,MATCH(18,'CARNET DE SOUDURE'!$AP$7:$AP$1506,0)))</f>
        <v/>
      </c>
      <c r="H29" s="114" t="str">
        <f aca="false">IF($B29="","",INDEX('CARNET DE SOUDURE'!$AM$7:$AM$1506,MATCH(18,'CARNET DE SOUDURE'!$AP$7:$AP$1506,0)))</f>
        <v/>
      </c>
      <c r="I29" s="115" t="str">
        <f aca="false">IF($B29="","",INDEX('CARNET DE SOUDURE'!$AK$7:$AK$1506,MATCH(18,'CARNET DE SOUDURE'!$AP$7:$AP$1506,0)))</f>
        <v/>
      </c>
      <c r="J29" s="115" t="str">
        <f aca="false">IF($B29="","",INDEX('CARNET DE SOUDURE'!$AN$7:$AN$1506,MATCH(18,'CARNET DE SOUDURE'!$AP$7:$AP$1506,0)))</f>
        <v/>
      </c>
      <c r="K29" s="111"/>
      <c r="L29" s="111"/>
    </row>
    <row r="30" customFormat="false" ht="15" hidden="false" customHeight="false" outlineLevel="0" collapsed="false">
      <c r="B30" s="107" t="str">
        <f aca="false">IF(19&gt;$I$4,"",19)</f>
        <v/>
      </c>
      <c r="C30" s="107" t="str">
        <f aca="false">IF($B30="","",INDEX('CARNET DE SOUDURE'!$B$7:$B$1506,MATCH(19,'CARNET DE SOUDURE'!$AP$7:$AP$1506,0)))</f>
        <v/>
      </c>
      <c r="D30" s="107" t="str">
        <f aca="false">IF($B30="","",INDEX('CARNET DE SOUDURE'!$E$7:$E$1506,MATCH(19,'CARNET DE SOUDURE'!$AP$7:$AP$1506,0)))</f>
        <v/>
      </c>
      <c r="E30" s="107" t="str">
        <f aca="false">IF($B30="","",INDEX('CARNET DE SOUDURE'!$D$7:$D$1506,MATCH(19,'CARNET DE SOUDURE'!$AP$7:$AP$1506,0)))</f>
        <v/>
      </c>
      <c r="F30" s="107" t="str">
        <f aca="false">IF($B30="","",INDEX('CARNET DE SOUDURE'!$O$7:$O$1506,MATCH(19,'CARNET DE SOUDURE'!$AP$7:$AP$1506,0))&amp;" / "&amp;INDEX('CARNET DE SOUDURE'!$P$7:$P$1506,MATCH(19,'CARNET DE SOUDURE'!$AP$7:$AP$1506,0))&amp;" / "&amp;INDEX('CARNET DE SOUDURE'!$Q$7:$Q$1506,MATCH(19,'CARNET DE SOUDURE'!$AP$7:$AP$1506,0)))</f>
        <v/>
      </c>
      <c r="G30" s="108" t="str">
        <f aca="false">IF($B30="","",INDEX('CARNET DE SOUDURE'!$R$7:$R$1506,MATCH(19,'CARNET DE SOUDURE'!$AP$7:$AP$1506,0)))</f>
        <v/>
      </c>
      <c r="H30" s="109" t="str">
        <f aca="false">IF($B30="","",INDEX('CARNET DE SOUDURE'!$AM$7:$AM$1506,MATCH(19,'CARNET DE SOUDURE'!$AP$7:$AP$1506,0)))</f>
        <v/>
      </c>
      <c r="I30" s="110" t="str">
        <f aca="false">IF($B30="","",INDEX('CARNET DE SOUDURE'!$AK$7:$AK$1506,MATCH(19,'CARNET DE SOUDURE'!$AP$7:$AP$1506,0)))</f>
        <v/>
      </c>
      <c r="J30" s="110" t="str">
        <f aca="false">IF($B30="","",INDEX('CARNET DE SOUDURE'!$AN$7:$AN$1506,MATCH(19,'CARNET DE SOUDURE'!$AP$7:$AP$1506,0)))</f>
        <v/>
      </c>
      <c r="K30" s="111"/>
      <c r="L30" s="111"/>
    </row>
    <row r="31" customFormat="false" ht="15" hidden="false" customHeight="false" outlineLevel="0" collapsed="false">
      <c r="B31" s="112" t="str">
        <f aca="false">IF(20&gt;$I$4,"",20)</f>
        <v/>
      </c>
      <c r="C31" s="112" t="str">
        <f aca="false">IF($B31="","",INDEX('CARNET DE SOUDURE'!$B$7:$B$1506,MATCH(20,'CARNET DE SOUDURE'!$AP$7:$AP$1506,0)))</f>
        <v/>
      </c>
      <c r="D31" s="112" t="str">
        <f aca="false">IF($B31="","",INDEX('CARNET DE SOUDURE'!$E$7:$E$1506,MATCH(20,'CARNET DE SOUDURE'!$AP$7:$AP$1506,0)))</f>
        <v/>
      </c>
      <c r="E31" s="112" t="str">
        <f aca="false">IF($B31="","",INDEX('CARNET DE SOUDURE'!$D$7:$D$1506,MATCH(20,'CARNET DE SOUDURE'!$AP$7:$AP$1506,0)))</f>
        <v/>
      </c>
      <c r="F31" s="112" t="str">
        <f aca="false">IF($B31="","",INDEX('CARNET DE SOUDURE'!$O$7:$O$1506,MATCH(20,'CARNET DE SOUDURE'!$AP$7:$AP$1506,0))&amp;" / "&amp;INDEX('CARNET DE SOUDURE'!$P$7:$P$1506,MATCH(20,'CARNET DE SOUDURE'!$AP$7:$AP$1506,0))&amp;" / "&amp;INDEX('CARNET DE SOUDURE'!$Q$7:$Q$1506,MATCH(20,'CARNET DE SOUDURE'!$AP$7:$AP$1506,0)))</f>
        <v/>
      </c>
      <c r="G31" s="113" t="str">
        <f aca="false">IF($B31="","",INDEX('CARNET DE SOUDURE'!$R$7:$R$1506,MATCH(20,'CARNET DE SOUDURE'!$AP$7:$AP$1506,0)))</f>
        <v/>
      </c>
      <c r="H31" s="114" t="str">
        <f aca="false">IF($B31="","",INDEX('CARNET DE SOUDURE'!$AM$7:$AM$1506,MATCH(20,'CARNET DE SOUDURE'!$AP$7:$AP$1506,0)))</f>
        <v/>
      </c>
      <c r="I31" s="115" t="str">
        <f aca="false">IF($B31="","",INDEX('CARNET DE SOUDURE'!$AK$7:$AK$1506,MATCH(20,'CARNET DE SOUDURE'!$AP$7:$AP$1506,0)))</f>
        <v/>
      </c>
      <c r="J31" s="115" t="str">
        <f aca="false">IF($B31="","",INDEX('CARNET DE SOUDURE'!$AN$7:$AN$1506,MATCH(20,'CARNET DE SOUDURE'!$AP$7:$AP$1506,0)))</f>
        <v/>
      </c>
      <c r="K31" s="111"/>
      <c r="L31" s="111"/>
    </row>
    <row r="32" customFormat="false" ht="15" hidden="false" customHeight="false" outlineLevel="0" collapsed="false">
      <c r="B32" s="107" t="str">
        <f aca="false">IF(21&gt;$I$4,"",21)</f>
        <v/>
      </c>
      <c r="C32" s="107" t="str">
        <f aca="false">IF($B32="","",INDEX('CARNET DE SOUDURE'!$B$7:$B$1506,MATCH(21,'CARNET DE SOUDURE'!$AP$7:$AP$1506,0)))</f>
        <v/>
      </c>
      <c r="D32" s="107" t="str">
        <f aca="false">IF($B32="","",INDEX('CARNET DE SOUDURE'!$E$7:$E$1506,MATCH(21,'CARNET DE SOUDURE'!$AP$7:$AP$1506,0)))</f>
        <v/>
      </c>
      <c r="E32" s="107" t="str">
        <f aca="false">IF($B32="","",INDEX('CARNET DE SOUDURE'!$D$7:$D$1506,MATCH(21,'CARNET DE SOUDURE'!$AP$7:$AP$1506,0)))</f>
        <v/>
      </c>
      <c r="F32" s="107" t="str">
        <f aca="false">IF($B32="","",INDEX('CARNET DE SOUDURE'!$O$7:$O$1506,MATCH(21,'CARNET DE SOUDURE'!$AP$7:$AP$1506,0))&amp;" / "&amp;INDEX('CARNET DE SOUDURE'!$P$7:$P$1506,MATCH(21,'CARNET DE SOUDURE'!$AP$7:$AP$1506,0))&amp;" / "&amp;INDEX('CARNET DE SOUDURE'!$Q$7:$Q$1506,MATCH(21,'CARNET DE SOUDURE'!$AP$7:$AP$1506,0)))</f>
        <v/>
      </c>
      <c r="G32" s="108" t="str">
        <f aca="false">IF($B32="","",INDEX('CARNET DE SOUDURE'!$R$7:$R$1506,MATCH(21,'CARNET DE SOUDURE'!$AP$7:$AP$1506,0)))</f>
        <v/>
      </c>
      <c r="H32" s="109" t="str">
        <f aca="false">IF($B32="","",INDEX('CARNET DE SOUDURE'!$AM$7:$AM$1506,MATCH(21,'CARNET DE SOUDURE'!$AP$7:$AP$1506,0)))</f>
        <v/>
      </c>
      <c r="I32" s="110" t="str">
        <f aca="false">IF($B32="","",INDEX('CARNET DE SOUDURE'!$AK$7:$AK$1506,MATCH(21,'CARNET DE SOUDURE'!$AP$7:$AP$1506,0)))</f>
        <v/>
      </c>
      <c r="J32" s="110" t="str">
        <f aca="false">IF($B32="","",INDEX('CARNET DE SOUDURE'!$AN$7:$AN$1506,MATCH(21,'CARNET DE SOUDURE'!$AP$7:$AP$1506,0)))</f>
        <v/>
      </c>
      <c r="K32" s="111"/>
      <c r="L32" s="111"/>
    </row>
    <row r="33" customFormat="false" ht="15" hidden="false" customHeight="false" outlineLevel="0" collapsed="false">
      <c r="B33" s="112" t="str">
        <f aca="false">IF(22&gt;$I$4,"",22)</f>
        <v/>
      </c>
      <c r="C33" s="112" t="str">
        <f aca="false">IF($B33="","",INDEX('CARNET DE SOUDURE'!$B$7:$B$1506,MATCH(22,'CARNET DE SOUDURE'!$AP$7:$AP$1506,0)))</f>
        <v/>
      </c>
      <c r="D33" s="112" t="str">
        <f aca="false">IF($B33="","",INDEX('CARNET DE SOUDURE'!$E$7:$E$1506,MATCH(22,'CARNET DE SOUDURE'!$AP$7:$AP$1506,0)))</f>
        <v/>
      </c>
      <c r="E33" s="112" t="str">
        <f aca="false">IF($B33="","",INDEX('CARNET DE SOUDURE'!$D$7:$D$1506,MATCH(22,'CARNET DE SOUDURE'!$AP$7:$AP$1506,0)))</f>
        <v/>
      </c>
      <c r="F33" s="112" t="str">
        <f aca="false">IF($B33="","",INDEX('CARNET DE SOUDURE'!$O$7:$O$1506,MATCH(22,'CARNET DE SOUDURE'!$AP$7:$AP$1506,0))&amp;" / "&amp;INDEX('CARNET DE SOUDURE'!$P$7:$P$1506,MATCH(22,'CARNET DE SOUDURE'!$AP$7:$AP$1506,0))&amp;" / "&amp;INDEX('CARNET DE SOUDURE'!$Q$7:$Q$1506,MATCH(22,'CARNET DE SOUDURE'!$AP$7:$AP$1506,0)))</f>
        <v/>
      </c>
      <c r="G33" s="113" t="str">
        <f aca="false">IF($B33="","",INDEX('CARNET DE SOUDURE'!$R$7:$R$1506,MATCH(22,'CARNET DE SOUDURE'!$AP$7:$AP$1506,0)))</f>
        <v/>
      </c>
      <c r="H33" s="114" t="str">
        <f aca="false">IF($B33="","",INDEX('CARNET DE SOUDURE'!$AM$7:$AM$1506,MATCH(22,'CARNET DE SOUDURE'!$AP$7:$AP$1506,0)))</f>
        <v/>
      </c>
      <c r="I33" s="115" t="str">
        <f aca="false">IF($B33="","",INDEX('CARNET DE SOUDURE'!$AK$7:$AK$1506,MATCH(22,'CARNET DE SOUDURE'!$AP$7:$AP$1506,0)))</f>
        <v/>
      </c>
      <c r="J33" s="115" t="str">
        <f aca="false">IF($B33="","",INDEX('CARNET DE SOUDURE'!$AN$7:$AN$1506,MATCH(22,'CARNET DE SOUDURE'!$AP$7:$AP$1506,0)))</f>
        <v/>
      </c>
      <c r="K33" s="111"/>
      <c r="L33" s="111"/>
    </row>
    <row r="34" customFormat="false" ht="15" hidden="false" customHeight="false" outlineLevel="0" collapsed="false">
      <c r="B34" s="107" t="str">
        <f aca="false">IF(23&gt;$I$4,"",23)</f>
        <v/>
      </c>
      <c r="C34" s="107" t="str">
        <f aca="false">IF($B34="","",INDEX('CARNET DE SOUDURE'!$B$7:$B$1506,MATCH(23,'CARNET DE SOUDURE'!$AP$7:$AP$1506,0)))</f>
        <v/>
      </c>
      <c r="D34" s="107" t="str">
        <f aca="false">IF($B34="","",INDEX('CARNET DE SOUDURE'!$E$7:$E$1506,MATCH(23,'CARNET DE SOUDURE'!$AP$7:$AP$1506,0)))</f>
        <v/>
      </c>
      <c r="E34" s="107" t="str">
        <f aca="false">IF($B34="","",INDEX('CARNET DE SOUDURE'!$D$7:$D$1506,MATCH(23,'CARNET DE SOUDURE'!$AP$7:$AP$1506,0)))</f>
        <v/>
      </c>
      <c r="F34" s="107" t="str">
        <f aca="false">IF($B34="","",INDEX('CARNET DE SOUDURE'!$O$7:$O$1506,MATCH(23,'CARNET DE SOUDURE'!$AP$7:$AP$1506,0))&amp;" / "&amp;INDEX('CARNET DE SOUDURE'!$P$7:$P$1506,MATCH(23,'CARNET DE SOUDURE'!$AP$7:$AP$1506,0))&amp;" / "&amp;INDEX('CARNET DE SOUDURE'!$Q$7:$Q$1506,MATCH(23,'CARNET DE SOUDURE'!$AP$7:$AP$1506,0)))</f>
        <v/>
      </c>
      <c r="G34" s="108" t="str">
        <f aca="false">IF($B34="","",INDEX('CARNET DE SOUDURE'!$R$7:$R$1506,MATCH(23,'CARNET DE SOUDURE'!$AP$7:$AP$1506,0)))</f>
        <v/>
      </c>
      <c r="H34" s="109" t="str">
        <f aca="false">IF($B34="","",INDEX('CARNET DE SOUDURE'!$AM$7:$AM$1506,MATCH(23,'CARNET DE SOUDURE'!$AP$7:$AP$1506,0)))</f>
        <v/>
      </c>
      <c r="I34" s="110" t="str">
        <f aca="false">IF($B34="","",INDEX('CARNET DE SOUDURE'!$AK$7:$AK$1506,MATCH(23,'CARNET DE SOUDURE'!$AP$7:$AP$1506,0)))</f>
        <v/>
      </c>
      <c r="J34" s="110" t="str">
        <f aca="false">IF($B34="","",INDEX('CARNET DE SOUDURE'!$AN$7:$AN$1506,MATCH(23,'CARNET DE SOUDURE'!$AP$7:$AP$1506,0)))</f>
        <v/>
      </c>
      <c r="K34" s="111"/>
      <c r="L34" s="111"/>
    </row>
    <row r="35" customFormat="false" ht="15" hidden="false" customHeight="false" outlineLevel="0" collapsed="false">
      <c r="B35" s="112" t="str">
        <f aca="false">IF(24&gt;$I$4,"",24)</f>
        <v/>
      </c>
      <c r="C35" s="112" t="str">
        <f aca="false">IF($B35="","",INDEX('CARNET DE SOUDURE'!$B$7:$B$1506,MATCH(24,'CARNET DE SOUDURE'!$AP$7:$AP$1506,0)))</f>
        <v/>
      </c>
      <c r="D35" s="112" t="str">
        <f aca="false">IF($B35="","",INDEX('CARNET DE SOUDURE'!$E$7:$E$1506,MATCH(24,'CARNET DE SOUDURE'!$AP$7:$AP$1506,0)))</f>
        <v/>
      </c>
      <c r="E35" s="112" t="str">
        <f aca="false">IF($B35="","",INDEX('CARNET DE SOUDURE'!$D$7:$D$1506,MATCH(24,'CARNET DE SOUDURE'!$AP$7:$AP$1506,0)))</f>
        <v/>
      </c>
      <c r="F35" s="112" t="str">
        <f aca="false">IF($B35="","",INDEX('CARNET DE SOUDURE'!$O$7:$O$1506,MATCH(24,'CARNET DE SOUDURE'!$AP$7:$AP$1506,0))&amp;" / "&amp;INDEX('CARNET DE SOUDURE'!$P$7:$P$1506,MATCH(24,'CARNET DE SOUDURE'!$AP$7:$AP$1506,0))&amp;" / "&amp;INDEX('CARNET DE SOUDURE'!$Q$7:$Q$1506,MATCH(24,'CARNET DE SOUDURE'!$AP$7:$AP$1506,0)))</f>
        <v/>
      </c>
      <c r="G35" s="113" t="str">
        <f aca="false">IF($B35="","",INDEX('CARNET DE SOUDURE'!$R$7:$R$1506,MATCH(24,'CARNET DE SOUDURE'!$AP$7:$AP$1506,0)))</f>
        <v/>
      </c>
      <c r="H35" s="114" t="str">
        <f aca="false">IF($B35="","",INDEX('CARNET DE SOUDURE'!$AM$7:$AM$1506,MATCH(24,'CARNET DE SOUDURE'!$AP$7:$AP$1506,0)))</f>
        <v/>
      </c>
      <c r="I35" s="115" t="str">
        <f aca="false">IF($B35="","",INDEX('CARNET DE SOUDURE'!$AK$7:$AK$1506,MATCH(24,'CARNET DE SOUDURE'!$AP$7:$AP$1506,0)))</f>
        <v/>
      </c>
      <c r="J35" s="115" t="str">
        <f aca="false">IF($B35="","",INDEX('CARNET DE SOUDURE'!$AN$7:$AN$1506,MATCH(24,'CARNET DE SOUDURE'!$AP$7:$AP$1506,0)))</f>
        <v/>
      </c>
      <c r="K35" s="111"/>
      <c r="L35" s="111"/>
    </row>
    <row r="36" customFormat="false" ht="15" hidden="false" customHeight="false" outlineLevel="0" collapsed="false">
      <c r="B36" s="107" t="str">
        <f aca="false">IF(25&gt;$I$4,"",25)</f>
        <v/>
      </c>
      <c r="C36" s="107" t="str">
        <f aca="false">IF($B36="","",INDEX('CARNET DE SOUDURE'!$B$7:$B$1506,MATCH(25,'CARNET DE SOUDURE'!$AP$7:$AP$1506,0)))</f>
        <v/>
      </c>
      <c r="D36" s="107" t="str">
        <f aca="false">IF($B36="","",INDEX('CARNET DE SOUDURE'!$E$7:$E$1506,MATCH(25,'CARNET DE SOUDURE'!$AP$7:$AP$1506,0)))</f>
        <v/>
      </c>
      <c r="E36" s="107" t="str">
        <f aca="false">IF($B36="","",INDEX('CARNET DE SOUDURE'!$D$7:$D$1506,MATCH(25,'CARNET DE SOUDURE'!$AP$7:$AP$1506,0)))</f>
        <v/>
      </c>
      <c r="F36" s="107" t="str">
        <f aca="false">IF($B36="","",INDEX('CARNET DE SOUDURE'!$O$7:$O$1506,MATCH(25,'CARNET DE SOUDURE'!$AP$7:$AP$1506,0))&amp;" / "&amp;INDEX('CARNET DE SOUDURE'!$P$7:$P$1506,MATCH(25,'CARNET DE SOUDURE'!$AP$7:$AP$1506,0))&amp;" / "&amp;INDEX('CARNET DE SOUDURE'!$Q$7:$Q$1506,MATCH(25,'CARNET DE SOUDURE'!$AP$7:$AP$1506,0)))</f>
        <v/>
      </c>
      <c r="G36" s="108" t="str">
        <f aca="false">IF($B36="","",INDEX('CARNET DE SOUDURE'!$R$7:$R$1506,MATCH(25,'CARNET DE SOUDURE'!$AP$7:$AP$1506,0)))</f>
        <v/>
      </c>
      <c r="H36" s="109" t="str">
        <f aca="false">IF($B36="","",INDEX('CARNET DE SOUDURE'!$AM$7:$AM$1506,MATCH(25,'CARNET DE SOUDURE'!$AP$7:$AP$1506,0)))</f>
        <v/>
      </c>
      <c r="I36" s="110" t="str">
        <f aca="false">IF($B36="","",INDEX('CARNET DE SOUDURE'!$AK$7:$AK$1506,MATCH(25,'CARNET DE SOUDURE'!$AP$7:$AP$1506,0)))</f>
        <v/>
      </c>
      <c r="J36" s="110" t="str">
        <f aca="false">IF($B36="","",INDEX('CARNET DE SOUDURE'!$AN$7:$AN$1506,MATCH(25,'CARNET DE SOUDURE'!$AP$7:$AP$1506,0)))</f>
        <v/>
      </c>
      <c r="K36" s="111"/>
      <c r="L36" s="111"/>
    </row>
    <row r="37" customFormat="false" ht="15" hidden="false" customHeight="false" outlineLevel="0" collapsed="false">
      <c r="B37" s="112" t="str">
        <f aca="false">IF(26&gt;$I$4,"",26)</f>
        <v/>
      </c>
      <c r="C37" s="112" t="str">
        <f aca="false">IF($B37="","",INDEX('CARNET DE SOUDURE'!$B$7:$B$1506,MATCH(26,'CARNET DE SOUDURE'!$AP$7:$AP$1506,0)))</f>
        <v/>
      </c>
      <c r="D37" s="112" t="str">
        <f aca="false">IF($B37="","",INDEX('CARNET DE SOUDURE'!$E$7:$E$1506,MATCH(26,'CARNET DE SOUDURE'!$AP$7:$AP$1506,0)))</f>
        <v/>
      </c>
      <c r="E37" s="112" t="str">
        <f aca="false">IF($B37="","",INDEX('CARNET DE SOUDURE'!$D$7:$D$1506,MATCH(26,'CARNET DE SOUDURE'!$AP$7:$AP$1506,0)))</f>
        <v/>
      </c>
      <c r="F37" s="112" t="str">
        <f aca="false">IF($B37="","",INDEX('CARNET DE SOUDURE'!$O$7:$O$1506,MATCH(26,'CARNET DE SOUDURE'!$AP$7:$AP$1506,0))&amp;" / "&amp;INDEX('CARNET DE SOUDURE'!$P$7:$P$1506,MATCH(26,'CARNET DE SOUDURE'!$AP$7:$AP$1506,0))&amp;" / "&amp;INDEX('CARNET DE SOUDURE'!$Q$7:$Q$1506,MATCH(26,'CARNET DE SOUDURE'!$AP$7:$AP$1506,0)))</f>
        <v/>
      </c>
      <c r="G37" s="113" t="str">
        <f aca="false">IF($B37="","",INDEX('CARNET DE SOUDURE'!$R$7:$R$1506,MATCH(26,'CARNET DE SOUDURE'!$AP$7:$AP$1506,0)))</f>
        <v/>
      </c>
      <c r="H37" s="114" t="str">
        <f aca="false">IF($B37="","",INDEX('CARNET DE SOUDURE'!$AM$7:$AM$1506,MATCH(26,'CARNET DE SOUDURE'!$AP$7:$AP$1506,0)))</f>
        <v/>
      </c>
      <c r="I37" s="115" t="str">
        <f aca="false">IF($B37="","",INDEX('CARNET DE SOUDURE'!$AK$7:$AK$1506,MATCH(26,'CARNET DE SOUDURE'!$AP$7:$AP$1506,0)))</f>
        <v/>
      </c>
      <c r="J37" s="115" t="str">
        <f aca="false">IF($B37="","",INDEX('CARNET DE SOUDURE'!$AN$7:$AN$1506,MATCH(26,'CARNET DE SOUDURE'!$AP$7:$AP$1506,0)))</f>
        <v/>
      </c>
      <c r="K37" s="111"/>
      <c r="L37" s="111"/>
    </row>
    <row r="38" customFormat="false" ht="15" hidden="false" customHeight="false" outlineLevel="0" collapsed="false">
      <c r="B38" s="107" t="str">
        <f aca="false">IF(27&gt;$I$4,"",27)</f>
        <v/>
      </c>
      <c r="C38" s="107" t="str">
        <f aca="false">IF($B38="","",INDEX('CARNET DE SOUDURE'!$B$7:$B$1506,MATCH(27,'CARNET DE SOUDURE'!$AP$7:$AP$1506,0)))</f>
        <v/>
      </c>
      <c r="D38" s="107" t="str">
        <f aca="false">IF($B38="","",INDEX('CARNET DE SOUDURE'!$E$7:$E$1506,MATCH(27,'CARNET DE SOUDURE'!$AP$7:$AP$1506,0)))</f>
        <v/>
      </c>
      <c r="E38" s="107" t="str">
        <f aca="false">IF($B38="","",INDEX('CARNET DE SOUDURE'!$D$7:$D$1506,MATCH(27,'CARNET DE SOUDURE'!$AP$7:$AP$1506,0)))</f>
        <v/>
      </c>
      <c r="F38" s="107" t="str">
        <f aca="false">IF($B38="","",INDEX('CARNET DE SOUDURE'!$O$7:$O$1506,MATCH(27,'CARNET DE SOUDURE'!$AP$7:$AP$1506,0))&amp;" / "&amp;INDEX('CARNET DE SOUDURE'!$P$7:$P$1506,MATCH(27,'CARNET DE SOUDURE'!$AP$7:$AP$1506,0))&amp;" / "&amp;INDEX('CARNET DE SOUDURE'!$Q$7:$Q$1506,MATCH(27,'CARNET DE SOUDURE'!$AP$7:$AP$1506,0)))</f>
        <v/>
      </c>
      <c r="G38" s="108" t="str">
        <f aca="false">IF($B38="","",INDEX('CARNET DE SOUDURE'!$R$7:$R$1506,MATCH(27,'CARNET DE SOUDURE'!$AP$7:$AP$1506,0)))</f>
        <v/>
      </c>
      <c r="H38" s="109" t="str">
        <f aca="false">IF($B38="","",INDEX('CARNET DE SOUDURE'!$AM$7:$AM$1506,MATCH(27,'CARNET DE SOUDURE'!$AP$7:$AP$1506,0)))</f>
        <v/>
      </c>
      <c r="I38" s="110" t="str">
        <f aca="false">IF($B38="","",INDEX('CARNET DE SOUDURE'!$AK$7:$AK$1506,MATCH(27,'CARNET DE SOUDURE'!$AP$7:$AP$1506,0)))</f>
        <v/>
      </c>
      <c r="J38" s="110" t="str">
        <f aca="false">IF($B38="","",INDEX('CARNET DE SOUDURE'!$AN$7:$AN$1506,MATCH(27,'CARNET DE SOUDURE'!$AP$7:$AP$1506,0)))</f>
        <v/>
      </c>
      <c r="K38" s="111"/>
      <c r="L38" s="111"/>
    </row>
    <row r="39" customFormat="false" ht="15" hidden="false" customHeight="false" outlineLevel="0" collapsed="false">
      <c r="B39" s="112" t="str">
        <f aca="false">IF(28&gt;$I$4,"",28)</f>
        <v/>
      </c>
      <c r="C39" s="112" t="str">
        <f aca="false">IF($B39="","",INDEX('CARNET DE SOUDURE'!$B$7:$B$1506,MATCH(28,'CARNET DE SOUDURE'!$AP$7:$AP$1506,0)))</f>
        <v/>
      </c>
      <c r="D39" s="112" t="str">
        <f aca="false">IF($B39="","",INDEX('CARNET DE SOUDURE'!$E$7:$E$1506,MATCH(28,'CARNET DE SOUDURE'!$AP$7:$AP$1506,0)))</f>
        <v/>
      </c>
      <c r="E39" s="112" t="str">
        <f aca="false">IF($B39="","",INDEX('CARNET DE SOUDURE'!$D$7:$D$1506,MATCH(28,'CARNET DE SOUDURE'!$AP$7:$AP$1506,0)))</f>
        <v/>
      </c>
      <c r="F39" s="112" t="str">
        <f aca="false">IF($B39="","",INDEX('CARNET DE SOUDURE'!$O$7:$O$1506,MATCH(28,'CARNET DE SOUDURE'!$AP$7:$AP$1506,0))&amp;" / "&amp;INDEX('CARNET DE SOUDURE'!$P$7:$P$1506,MATCH(28,'CARNET DE SOUDURE'!$AP$7:$AP$1506,0))&amp;" / "&amp;INDEX('CARNET DE SOUDURE'!$Q$7:$Q$1506,MATCH(28,'CARNET DE SOUDURE'!$AP$7:$AP$1506,0)))</f>
        <v/>
      </c>
      <c r="G39" s="113" t="str">
        <f aca="false">IF($B39="","",INDEX('CARNET DE SOUDURE'!$R$7:$R$1506,MATCH(28,'CARNET DE SOUDURE'!$AP$7:$AP$1506,0)))</f>
        <v/>
      </c>
      <c r="H39" s="114" t="str">
        <f aca="false">IF($B39="","",INDEX('CARNET DE SOUDURE'!$AM$7:$AM$1506,MATCH(28,'CARNET DE SOUDURE'!$AP$7:$AP$1506,0)))</f>
        <v/>
      </c>
      <c r="I39" s="115" t="str">
        <f aca="false">IF($B39="","",INDEX('CARNET DE SOUDURE'!$AK$7:$AK$1506,MATCH(28,'CARNET DE SOUDURE'!$AP$7:$AP$1506,0)))</f>
        <v/>
      </c>
      <c r="J39" s="115" t="str">
        <f aca="false">IF($B39="","",INDEX('CARNET DE SOUDURE'!$AN$7:$AN$1506,MATCH(28,'CARNET DE SOUDURE'!$AP$7:$AP$1506,0)))</f>
        <v/>
      </c>
      <c r="K39" s="111"/>
      <c r="L39" s="111"/>
    </row>
    <row r="40" customFormat="false" ht="15" hidden="false" customHeight="false" outlineLevel="0" collapsed="false">
      <c r="B40" s="107" t="str">
        <f aca="false">IF(29&gt;$I$4,"",29)</f>
        <v/>
      </c>
      <c r="C40" s="107" t="str">
        <f aca="false">IF($B40="","",INDEX('CARNET DE SOUDURE'!$B$7:$B$1506,MATCH(29,'CARNET DE SOUDURE'!$AP$7:$AP$1506,0)))</f>
        <v/>
      </c>
      <c r="D40" s="107" t="str">
        <f aca="false">IF($B40="","",INDEX('CARNET DE SOUDURE'!$E$7:$E$1506,MATCH(29,'CARNET DE SOUDURE'!$AP$7:$AP$1506,0)))</f>
        <v/>
      </c>
      <c r="E40" s="107" t="str">
        <f aca="false">IF($B40="","",INDEX('CARNET DE SOUDURE'!$D$7:$D$1506,MATCH(29,'CARNET DE SOUDURE'!$AP$7:$AP$1506,0)))</f>
        <v/>
      </c>
      <c r="F40" s="107" t="str">
        <f aca="false">IF($B40="","",INDEX('CARNET DE SOUDURE'!$O$7:$O$1506,MATCH(29,'CARNET DE SOUDURE'!$AP$7:$AP$1506,0))&amp;" / "&amp;INDEX('CARNET DE SOUDURE'!$P$7:$P$1506,MATCH(29,'CARNET DE SOUDURE'!$AP$7:$AP$1506,0))&amp;" / "&amp;INDEX('CARNET DE SOUDURE'!$Q$7:$Q$1506,MATCH(29,'CARNET DE SOUDURE'!$AP$7:$AP$1506,0)))</f>
        <v/>
      </c>
      <c r="G40" s="108" t="str">
        <f aca="false">IF($B40="","",INDEX('CARNET DE SOUDURE'!$R$7:$R$1506,MATCH(29,'CARNET DE SOUDURE'!$AP$7:$AP$1506,0)))</f>
        <v/>
      </c>
      <c r="H40" s="109" t="str">
        <f aca="false">IF($B40="","",INDEX('CARNET DE SOUDURE'!$AM$7:$AM$1506,MATCH(29,'CARNET DE SOUDURE'!$AP$7:$AP$1506,0)))</f>
        <v/>
      </c>
      <c r="I40" s="110" t="str">
        <f aca="false">IF($B40="","",INDEX('CARNET DE SOUDURE'!$AK$7:$AK$1506,MATCH(29,'CARNET DE SOUDURE'!$AP$7:$AP$1506,0)))</f>
        <v/>
      </c>
      <c r="J40" s="110" t="str">
        <f aca="false">IF($B40="","",INDEX('CARNET DE SOUDURE'!$AN$7:$AN$1506,MATCH(29,'CARNET DE SOUDURE'!$AP$7:$AP$1506,0)))</f>
        <v/>
      </c>
      <c r="K40" s="111"/>
      <c r="L40" s="111"/>
    </row>
    <row r="41" customFormat="false" ht="15" hidden="false" customHeight="false" outlineLevel="0" collapsed="false">
      <c r="B41" s="112" t="str">
        <f aca="false">IF(30&gt;$I$4,"",30)</f>
        <v/>
      </c>
      <c r="C41" s="112" t="str">
        <f aca="false">IF($B41="","",INDEX('CARNET DE SOUDURE'!$B$7:$B$1506,MATCH(30,'CARNET DE SOUDURE'!$AP$7:$AP$1506,0)))</f>
        <v/>
      </c>
      <c r="D41" s="112" t="str">
        <f aca="false">IF($B41="","",INDEX('CARNET DE SOUDURE'!$E$7:$E$1506,MATCH(30,'CARNET DE SOUDURE'!$AP$7:$AP$1506,0)))</f>
        <v/>
      </c>
      <c r="E41" s="112" t="str">
        <f aca="false">IF($B41="","",INDEX('CARNET DE SOUDURE'!$D$7:$D$1506,MATCH(30,'CARNET DE SOUDURE'!$AP$7:$AP$1506,0)))</f>
        <v/>
      </c>
      <c r="F41" s="112" t="str">
        <f aca="false">IF($B41="","",INDEX('CARNET DE SOUDURE'!$O$7:$O$1506,MATCH(30,'CARNET DE SOUDURE'!$AP$7:$AP$1506,0))&amp;" / "&amp;INDEX('CARNET DE SOUDURE'!$P$7:$P$1506,MATCH(30,'CARNET DE SOUDURE'!$AP$7:$AP$1506,0))&amp;" / "&amp;INDEX('CARNET DE SOUDURE'!$Q$7:$Q$1506,MATCH(30,'CARNET DE SOUDURE'!$AP$7:$AP$1506,0)))</f>
        <v/>
      </c>
      <c r="G41" s="113" t="str">
        <f aca="false">IF($B41="","",INDEX('CARNET DE SOUDURE'!$R$7:$R$1506,MATCH(30,'CARNET DE SOUDURE'!$AP$7:$AP$1506,0)))</f>
        <v/>
      </c>
      <c r="H41" s="114" t="str">
        <f aca="false">IF($B41="","",INDEX('CARNET DE SOUDURE'!$AM$7:$AM$1506,MATCH(30,'CARNET DE SOUDURE'!$AP$7:$AP$1506,0)))</f>
        <v/>
      </c>
      <c r="I41" s="115" t="str">
        <f aca="false">IF($B41="","",INDEX('CARNET DE SOUDURE'!$AK$7:$AK$1506,MATCH(30,'CARNET DE SOUDURE'!$AP$7:$AP$1506,0)))</f>
        <v/>
      </c>
      <c r="J41" s="115" t="str">
        <f aca="false">IF($B41="","",INDEX('CARNET DE SOUDURE'!$AN$7:$AN$1506,MATCH(30,'CARNET DE SOUDURE'!$AP$7:$AP$1506,0)))</f>
        <v/>
      </c>
      <c r="K41" s="111"/>
      <c r="L41" s="111"/>
    </row>
    <row r="42" customFormat="false" ht="15" hidden="false" customHeight="false" outlineLevel="0" collapsed="false">
      <c r="B42" s="107" t="str">
        <f aca="false">IF(31&gt;$I$4,"",31)</f>
        <v/>
      </c>
      <c r="C42" s="107" t="str">
        <f aca="false">IF($B42="","",INDEX('CARNET DE SOUDURE'!$B$7:$B$1506,MATCH(31,'CARNET DE SOUDURE'!$AP$7:$AP$1506,0)))</f>
        <v/>
      </c>
      <c r="D42" s="107" t="str">
        <f aca="false">IF($B42="","",INDEX('CARNET DE SOUDURE'!$E$7:$E$1506,MATCH(31,'CARNET DE SOUDURE'!$AP$7:$AP$1506,0)))</f>
        <v/>
      </c>
      <c r="E42" s="107" t="str">
        <f aca="false">IF($B42="","",INDEX('CARNET DE SOUDURE'!$D$7:$D$1506,MATCH(31,'CARNET DE SOUDURE'!$AP$7:$AP$1506,0)))</f>
        <v/>
      </c>
      <c r="F42" s="107" t="str">
        <f aca="false">IF($B42="","",INDEX('CARNET DE SOUDURE'!$O$7:$O$1506,MATCH(31,'CARNET DE SOUDURE'!$AP$7:$AP$1506,0))&amp;" / "&amp;INDEX('CARNET DE SOUDURE'!$P$7:$P$1506,MATCH(31,'CARNET DE SOUDURE'!$AP$7:$AP$1506,0))&amp;" / "&amp;INDEX('CARNET DE SOUDURE'!$Q$7:$Q$1506,MATCH(31,'CARNET DE SOUDURE'!$AP$7:$AP$1506,0)))</f>
        <v/>
      </c>
      <c r="G42" s="108" t="str">
        <f aca="false">IF($B42="","",INDEX('CARNET DE SOUDURE'!$R$7:$R$1506,MATCH(31,'CARNET DE SOUDURE'!$AP$7:$AP$1506,0)))</f>
        <v/>
      </c>
      <c r="H42" s="109" t="str">
        <f aca="false">IF($B42="","",INDEX('CARNET DE SOUDURE'!$AM$7:$AM$1506,MATCH(31,'CARNET DE SOUDURE'!$AP$7:$AP$1506,0)))</f>
        <v/>
      </c>
      <c r="I42" s="110" t="str">
        <f aca="false">IF($B42="","",INDEX('CARNET DE SOUDURE'!$AK$7:$AK$1506,MATCH(31,'CARNET DE SOUDURE'!$AP$7:$AP$1506,0)))</f>
        <v/>
      </c>
      <c r="J42" s="110" t="str">
        <f aca="false">IF($B42="","",INDEX('CARNET DE SOUDURE'!$AN$7:$AN$1506,MATCH(31,'CARNET DE SOUDURE'!$AP$7:$AP$1506,0)))</f>
        <v/>
      </c>
      <c r="K42" s="111"/>
      <c r="L42" s="111"/>
    </row>
    <row r="43" customFormat="false" ht="15" hidden="false" customHeight="false" outlineLevel="0" collapsed="false">
      <c r="B43" s="112" t="str">
        <f aca="false">IF(32&gt;$I$4,"",32)</f>
        <v/>
      </c>
      <c r="C43" s="112" t="str">
        <f aca="false">IF($B43="","",INDEX('CARNET DE SOUDURE'!$B$7:$B$1506,MATCH(32,'CARNET DE SOUDURE'!$AP$7:$AP$1506,0)))</f>
        <v/>
      </c>
      <c r="D43" s="112" t="str">
        <f aca="false">IF($B43="","",INDEX('CARNET DE SOUDURE'!$E$7:$E$1506,MATCH(32,'CARNET DE SOUDURE'!$AP$7:$AP$1506,0)))</f>
        <v/>
      </c>
      <c r="E43" s="112" t="str">
        <f aca="false">IF($B43="","",INDEX('CARNET DE SOUDURE'!$D$7:$D$1506,MATCH(32,'CARNET DE SOUDURE'!$AP$7:$AP$1506,0)))</f>
        <v/>
      </c>
      <c r="F43" s="112" t="str">
        <f aca="false">IF($B43="","",INDEX('CARNET DE SOUDURE'!$O$7:$O$1506,MATCH(32,'CARNET DE SOUDURE'!$AP$7:$AP$1506,0))&amp;" / "&amp;INDEX('CARNET DE SOUDURE'!$P$7:$P$1506,MATCH(32,'CARNET DE SOUDURE'!$AP$7:$AP$1506,0))&amp;" / "&amp;INDEX('CARNET DE SOUDURE'!$Q$7:$Q$1506,MATCH(32,'CARNET DE SOUDURE'!$AP$7:$AP$1506,0)))</f>
        <v/>
      </c>
      <c r="G43" s="113" t="str">
        <f aca="false">IF($B43="","",INDEX('CARNET DE SOUDURE'!$R$7:$R$1506,MATCH(32,'CARNET DE SOUDURE'!$AP$7:$AP$1506,0)))</f>
        <v/>
      </c>
      <c r="H43" s="114" t="str">
        <f aca="false">IF($B43="","",INDEX('CARNET DE SOUDURE'!$AM$7:$AM$1506,MATCH(32,'CARNET DE SOUDURE'!$AP$7:$AP$1506,0)))</f>
        <v/>
      </c>
      <c r="I43" s="115" t="str">
        <f aca="false">IF($B43="","",INDEX('CARNET DE SOUDURE'!$AK$7:$AK$1506,MATCH(32,'CARNET DE SOUDURE'!$AP$7:$AP$1506,0)))</f>
        <v/>
      </c>
      <c r="J43" s="115" t="str">
        <f aca="false">IF($B43="","",INDEX('CARNET DE SOUDURE'!$AN$7:$AN$1506,MATCH(32,'CARNET DE SOUDURE'!$AP$7:$AP$1506,0)))</f>
        <v/>
      </c>
      <c r="K43" s="111"/>
      <c r="L43" s="111"/>
    </row>
    <row r="44" customFormat="false" ht="15" hidden="false" customHeight="false" outlineLevel="0" collapsed="false">
      <c r="B44" s="107" t="str">
        <f aca="false">IF(33&gt;$I$4,"",33)</f>
        <v/>
      </c>
      <c r="C44" s="107" t="str">
        <f aca="false">IF($B44="","",INDEX('CARNET DE SOUDURE'!$B$7:$B$1506,MATCH(33,'CARNET DE SOUDURE'!$AP$7:$AP$1506,0)))</f>
        <v/>
      </c>
      <c r="D44" s="107" t="str">
        <f aca="false">IF($B44="","",INDEX('CARNET DE SOUDURE'!$E$7:$E$1506,MATCH(33,'CARNET DE SOUDURE'!$AP$7:$AP$1506,0)))</f>
        <v/>
      </c>
      <c r="E44" s="107" t="str">
        <f aca="false">IF($B44="","",INDEX('CARNET DE SOUDURE'!$D$7:$D$1506,MATCH(33,'CARNET DE SOUDURE'!$AP$7:$AP$1506,0)))</f>
        <v/>
      </c>
      <c r="F44" s="107" t="str">
        <f aca="false">IF($B44="","",INDEX('CARNET DE SOUDURE'!$O$7:$O$1506,MATCH(33,'CARNET DE SOUDURE'!$AP$7:$AP$1506,0))&amp;" / "&amp;INDEX('CARNET DE SOUDURE'!$P$7:$P$1506,MATCH(33,'CARNET DE SOUDURE'!$AP$7:$AP$1506,0))&amp;" / "&amp;INDEX('CARNET DE SOUDURE'!$Q$7:$Q$1506,MATCH(33,'CARNET DE SOUDURE'!$AP$7:$AP$1506,0)))</f>
        <v/>
      </c>
      <c r="G44" s="108" t="str">
        <f aca="false">IF($B44="","",INDEX('CARNET DE SOUDURE'!$R$7:$R$1506,MATCH(33,'CARNET DE SOUDURE'!$AP$7:$AP$1506,0)))</f>
        <v/>
      </c>
      <c r="H44" s="109" t="str">
        <f aca="false">IF($B44="","",INDEX('CARNET DE SOUDURE'!$AM$7:$AM$1506,MATCH(33,'CARNET DE SOUDURE'!$AP$7:$AP$1506,0)))</f>
        <v/>
      </c>
      <c r="I44" s="110" t="str">
        <f aca="false">IF($B44="","",INDEX('CARNET DE SOUDURE'!$AK$7:$AK$1506,MATCH(33,'CARNET DE SOUDURE'!$AP$7:$AP$1506,0)))</f>
        <v/>
      </c>
      <c r="J44" s="110" t="str">
        <f aca="false">IF($B44="","",INDEX('CARNET DE SOUDURE'!$AN$7:$AN$1506,MATCH(33,'CARNET DE SOUDURE'!$AP$7:$AP$1506,0)))</f>
        <v/>
      </c>
      <c r="K44" s="111"/>
      <c r="L44" s="111"/>
    </row>
    <row r="45" customFormat="false" ht="15" hidden="false" customHeight="false" outlineLevel="0" collapsed="false">
      <c r="B45" s="112" t="str">
        <f aca="false">IF(34&gt;$I$4,"",34)</f>
        <v/>
      </c>
      <c r="C45" s="112" t="str">
        <f aca="false">IF($B45="","",INDEX('CARNET DE SOUDURE'!$B$7:$B$1506,MATCH(34,'CARNET DE SOUDURE'!$AP$7:$AP$1506,0)))</f>
        <v/>
      </c>
      <c r="D45" s="112" t="str">
        <f aca="false">IF($B45="","",INDEX('CARNET DE SOUDURE'!$E$7:$E$1506,MATCH(34,'CARNET DE SOUDURE'!$AP$7:$AP$1506,0)))</f>
        <v/>
      </c>
      <c r="E45" s="112" t="str">
        <f aca="false">IF($B45="","",INDEX('CARNET DE SOUDURE'!$D$7:$D$1506,MATCH(34,'CARNET DE SOUDURE'!$AP$7:$AP$1506,0)))</f>
        <v/>
      </c>
      <c r="F45" s="112" t="str">
        <f aca="false">IF($B45="","",INDEX('CARNET DE SOUDURE'!$O$7:$O$1506,MATCH(34,'CARNET DE SOUDURE'!$AP$7:$AP$1506,0))&amp;" / "&amp;INDEX('CARNET DE SOUDURE'!$P$7:$P$1506,MATCH(34,'CARNET DE SOUDURE'!$AP$7:$AP$1506,0))&amp;" / "&amp;INDEX('CARNET DE SOUDURE'!$Q$7:$Q$1506,MATCH(34,'CARNET DE SOUDURE'!$AP$7:$AP$1506,0)))</f>
        <v/>
      </c>
      <c r="G45" s="113" t="str">
        <f aca="false">IF($B45="","",INDEX('CARNET DE SOUDURE'!$R$7:$R$1506,MATCH(34,'CARNET DE SOUDURE'!$AP$7:$AP$1506,0)))</f>
        <v/>
      </c>
      <c r="H45" s="114" t="str">
        <f aca="false">IF($B45="","",INDEX('CARNET DE SOUDURE'!$AM$7:$AM$1506,MATCH(34,'CARNET DE SOUDURE'!$AP$7:$AP$1506,0)))</f>
        <v/>
      </c>
      <c r="I45" s="115" t="str">
        <f aca="false">IF($B45="","",INDEX('CARNET DE SOUDURE'!$AK$7:$AK$1506,MATCH(34,'CARNET DE SOUDURE'!$AP$7:$AP$1506,0)))</f>
        <v/>
      </c>
      <c r="J45" s="115" t="str">
        <f aca="false">IF($B45="","",INDEX('CARNET DE SOUDURE'!$AN$7:$AN$1506,MATCH(34,'CARNET DE SOUDURE'!$AP$7:$AP$1506,0)))</f>
        <v/>
      </c>
      <c r="K45" s="111"/>
      <c r="L45" s="111"/>
    </row>
    <row r="46" customFormat="false" ht="15" hidden="false" customHeight="false" outlineLevel="0" collapsed="false">
      <c r="B46" s="107" t="str">
        <f aca="false">IF(35&gt;$I$4,"",35)</f>
        <v/>
      </c>
      <c r="C46" s="107" t="str">
        <f aca="false">IF($B46="","",INDEX('CARNET DE SOUDURE'!$B$7:$B$1506,MATCH(35,'CARNET DE SOUDURE'!$AP$7:$AP$1506,0)))</f>
        <v/>
      </c>
      <c r="D46" s="107" t="str">
        <f aca="false">IF($B46="","",INDEX('CARNET DE SOUDURE'!$E$7:$E$1506,MATCH(35,'CARNET DE SOUDURE'!$AP$7:$AP$1506,0)))</f>
        <v/>
      </c>
      <c r="E46" s="107" t="str">
        <f aca="false">IF($B46="","",INDEX('CARNET DE SOUDURE'!$D$7:$D$1506,MATCH(35,'CARNET DE SOUDURE'!$AP$7:$AP$1506,0)))</f>
        <v/>
      </c>
      <c r="F46" s="107" t="str">
        <f aca="false">IF($B46="","",INDEX('CARNET DE SOUDURE'!$O$7:$O$1506,MATCH(35,'CARNET DE SOUDURE'!$AP$7:$AP$1506,0))&amp;" / "&amp;INDEX('CARNET DE SOUDURE'!$P$7:$P$1506,MATCH(35,'CARNET DE SOUDURE'!$AP$7:$AP$1506,0))&amp;" / "&amp;INDEX('CARNET DE SOUDURE'!$Q$7:$Q$1506,MATCH(35,'CARNET DE SOUDURE'!$AP$7:$AP$1506,0)))</f>
        <v/>
      </c>
      <c r="G46" s="108" t="str">
        <f aca="false">IF($B46="","",INDEX('CARNET DE SOUDURE'!$R$7:$R$1506,MATCH(35,'CARNET DE SOUDURE'!$AP$7:$AP$1506,0)))</f>
        <v/>
      </c>
      <c r="H46" s="109" t="str">
        <f aca="false">IF($B46="","",INDEX('CARNET DE SOUDURE'!$AM$7:$AM$1506,MATCH(35,'CARNET DE SOUDURE'!$AP$7:$AP$1506,0)))</f>
        <v/>
      </c>
      <c r="I46" s="110" t="str">
        <f aca="false">IF($B46="","",INDEX('CARNET DE SOUDURE'!$AK$7:$AK$1506,MATCH(35,'CARNET DE SOUDURE'!$AP$7:$AP$1506,0)))</f>
        <v/>
      </c>
      <c r="J46" s="110" t="str">
        <f aca="false">IF($B46="","",INDEX('CARNET DE SOUDURE'!$AN$7:$AN$1506,MATCH(35,'CARNET DE SOUDURE'!$AP$7:$AP$1506,0)))</f>
        <v/>
      </c>
      <c r="K46" s="111"/>
      <c r="L46" s="111"/>
    </row>
    <row r="47" customFormat="false" ht="15" hidden="false" customHeight="false" outlineLevel="0" collapsed="false">
      <c r="B47" s="112" t="str">
        <f aca="false">IF(36&gt;$I$4,"",36)</f>
        <v/>
      </c>
      <c r="C47" s="112" t="str">
        <f aca="false">IF($B47="","",INDEX('CARNET DE SOUDURE'!$B$7:$B$1506,MATCH(36,'CARNET DE SOUDURE'!$AP$7:$AP$1506,0)))</f>
        <v/>
      </c>
      <c r="D47" s="112" t="str">
        <f aca="false">IF($B47="","",INDEX('CARNET DE SOUDURE'!$E$7:$E$1506,MATCH(36,'CARNET DE SOUDURE'!$AP$7:$AP$1506,0)))</f>
        <v/>
      </c>
      <c r="E47" s="112" t="str">
        <f aca="false">IF($B47="","",INDEX('CARNET DE SOUDURE'!$D$7:$D$1506,MATCH(36,'CARNET DE SOUDURE'!$AP$7:$AP$1506,0)))</f>
        <v/>
      </c>
      <c r="F47" s="112" t="str">
        <f aca="false">IF($B47="","",INDEX('CARNET DE SOUDURE'!$O$7:$O$1506,MATCH(36,'CARNET DE SOUDURE'!$AP$7:$AP$1506,0))&amp;" / "&amp;INDEX('CARNET DE SOUDURE'!$P$7:$P$1506,MATCH(36,'CARNET DE SOUDURE'!$AP$7:$AP$1506,0))&amp;" / "&amp;INDEX('CARNET DE SOUDURE'!$Q$7:$Q$1506,MATCH(36,'CARNET DE SOUDURE'!$AP$7:$AP$1506,0)))</f>
        <v/>
      </c>
      <c r="G47" s="113" t="str">
        <f aca="false">IF($B47="","",INDEX('CARNET DE SOUDURE'!$R$7:$R$1506,MATCH(36,'CARNET DE SOUDURE'!$AP$7:$AP$1506,0)))</f>
        <v/>
      </c>
      <c r="H47" s="114" t="str">
        <f aca="false">IF($B47="","",INDEX('CARNET DE SOUDURE'!$AM$7:$AM$1506,MATCH(36,'CARNET DE SOUDURE'!$AP$7:$AP$1506,0)))</f>
        <v/>
      </c>
      <c r="I47" s="115" t="str">
        <f aca="false">IF($B47="","",INDEX('CARNET DE SOUDURE'!$AK$7:$AK$1506,MATCH(36,'CARNET DE SOUDURE'!$AP$7:$AP$1506,0)))</f>
        <v/>
      </c>
      <c r="J47" s="115" t="str">
        <f aca="false">IF($B47="","",INDEX('CARNET DE SOUDURE'!$AN$7:$AN$1506,MATCH(36,'CARNET DE SOUDURE'!$AP$7:$AP$1506,0)))</f>
        <v/>
      </c>
      <c r="K47" s="111"/>
      <c r="L47" s="111"/>
    </row>
    <row r="48" customFormat="false" ht="15" hidden="false" customHeight="false" outlineLevel="0" collapsed="false">
      <c r="B48" s="107" t="str">
        <f aca="false">IF(37&gt;$I$4,"",37)</f>
        <v/>
      </c>
      <c r="C48" s="107" t="str">
        <f aca="false">IF($B48="","",INDEX('CARNET DE SOUDURE'!$B$7:$B$1506,MATCH(37,'CARNET DE SOUDURE'!$AP$7:$AP$1506,0)))</f>
        <v/>
      </c>
      <c r="D48" s="107" t="str">
        <f aca="false">IF($B48="","",INDEX('CARNET DE SOUDURE'!$E$7:$E$1506,MATCH(37,'CARNET DE SOUDURE'!$AP$7:$AP$1506,0)))</f>
        <v/>
      </c>
      <c r="E48" s="107" t="str">
        <f aca="false">IF($B48="","",INDEX('CARNET DE SOUDURE'!$D$7:$D$1506,MATCH(37,'CARNET DE SOUDURE'!$AP$7:$AP$1506,0)))</f>
        <v/>
      </c>
      <c r="F48" s="107" t="str">
        <f aca="false">IF($B48="","",INDEX('CARNET DE SOUDURE'!$O$7:$O$1506,MATCH(37,'CARNET DE SOUDURE'!$AP$7:$AP$1506,0))&amp;" / "&amp;INDEX('CARNET DE SOUDURE'!$P$7:$P$1506,MATCH(37,'CARNET DE SOUDURE'!$AP$7:$AP$1506,0))&amp;" / "&amp;INDEX('CARNET DE SOUDURE'!$Q$7:$Q$1506,MATCH(37,'CARNET DE SOUDURE'!$AP$7:$AP$1506,0)))</f>
        <v/>
      </c>
      <c r="G48" s="108" t="str">
        <f aca="false">IF($B48="","",INDEX('CARNET DE SOUDURE'!$R$7:$R$1506,MATCH(37,'CARNET DE SOUDURE'!$AP$7:$AP$1506,0)))</f>
        <v/>
      </c>
      <c r="H48" s="109" t="str">
        <f aca="false">IF($B48="","",INDEX('CARNET DE SOUDURE'!$AM$7:$AM$1506,MATCH(37,'CARNET DE SOUDURE'!$AP$7:$AP$1506,0)))</f>
        <v/>
      </c>
      <c r="I48" s="110" t="str">
        <f aca="false">IF($B48="","",INDEX('CARNET DE SOUDURE'!$AK$7:$AK$1506,MATCH(37,'CARNET DE SOUDURE'!$AP$7:$AP$1506,0)))</f>
        <v/>
      </c>
      <c r="J48" s="110" t="str">
        <f aca="false">IF($B48="","",INDEX('CARNET DE SOUDURE'!$AN$7:$AN$1506,MATCH(37,'CARNET DE SOUDURE'!$AP$7:$AP$1506,0)))</f>
        <v/>
      </c>
      <c r="K48" s="111"/>
      <c r="L48" s="111"/>
    </row>
    <row r="49" customFormat="false" ht="15" hidden="false" customHeight="false" outlineLevel="0" collapsed="false">
      <c r="B49" s="112" t="str">
        <f aca="false">IF(38&gt;$I$4,"",38)</f>
        <v/>
      </c>
      <c r="C49" s="112" t="str">
        <f aca="false">IF($B49="","",INDEX('CARNET DE SOUDURE'!$B$7:$B$1506,MATCH(38,'CARNET DE SOUDURE'!$AP$7:$AP$1506,0)))</f>
        <v/>
      </c>
      <c r="D49" s="112" t="str">
        <f aca="false">IF($B49="","",INDEX('CARNET DE SOUDURE'!$E$7:$E$1506,MATCH(38,'CARNET DE SOUDURE'!$AP$7:$AP$1506,0)))</f>
        <v/>
      </c>
      <c r="E49" s="112" t="str">
        <f aca="false">IF($B49="","",INDEX('CARNET DE SOUDURE'!$D$7:$D$1506,MATCH(38,'CARNET DE SOUDURE'!$AP$7:$AP$1506,0)))</f>
        <v/>
      </c>
      <c r="F49" s="112" t="str">
        <f aca="false">IF($B49="","",INDEX('CARNET DE SOUDURE'!$O$7:$O$1506,MATCH(38,'CARNET DE SOUDURE'!$AP$7:$AP$1506,0))&amp;" / "&amp;INDEX('CARNET DE SOUDURE'!$P$7:$P$1506,MATCH(38,'CARNET DE SOUDURE'!$AP$7:$AP$1506,0))&amp;" / "&amp;INDEX('CARNET DE SOUDURE'!$Q$7:$Q$1506,MATCH(38,'CARNET DE SOUDURE'!$AP$7:$AP$1506,0)))</f>
        <v/>
      </c>
      <c r="G49" s="113" t="str">
        <f aca="false">IF($B49="","",INDEX('CARNET DE SOUDURE'!$R$7:$R$1506,MATCH(38,'CARNET DE SOUDURE'!$AP$7:$AP$1506,0)))</f>
        <v/>
      </c>
      <c r="H49" s="114" t="str">
        <f aca="false">IF($B49="","",INDEX('CARNET DE SOUDURE'!$AM$7:$AM$1506,MATCH(38,'CARNET DE SOUDURE'!$AP$7:$AP$1506,0)))</f>
        <v/>
      </c>
      <c r="I49" s="115" t="str">
        <f aca="false">IF($B49="","",INDEX('CARNET DE SOUDURE'!$AK$7:$AK$1506,MATCH(38,'CARNET DE SOUDURE'!$AP$7:$AP$1506,0)))</f>
        <v/>
      </c>
      <c r="J49" s="115" t="str">
        <f aca="false">IF($B49="","",INDEX('CARNET DE SOUDURE'!$AN$7:$AN$1506,MATCH(38,'CARNET DE SOUDURE'!$AP$7:$AP$1506,0)))</f>
        <v/>
      </c>
      <c r="K49" s="111"/>
      <c r="L49" s="111"/>
    </row>
    <row r="50" customFormat="false" ht="15" hidden="false" customHeight="false" outlineLevel="0" collapsed="false">
      <c r="B50" s="107" t="str">
        <f aca="false">IF(39&gt;$I$4,"",39)</f>
        <v/>
      </c>
      <c r="C50" s="107" t="str">
        <f aca="false">IF($B50="","",INDEX('CARNET DE SOUDURE'!$B$7:$B$1506,MATCH(39,'CARNET DE SOUDURE'!$AP$7:$AP$1506,0)))</f>
        <v/>
      </c>
      <c r="D50" s="107" t="str">
        <f aca="false">IF($B50="","",INDEX('CARNET DE SOUDURE'!$E$7:$E$1506,MATCH(39,'CARNET DE SOUDURE'!$AP$7:$AP$1506,0)))</f>
        <v/>
      </c>
      <c r="E50" s="107" t="str">
        <f aca="false">IF($B50="","",INDEX('CARNET DE SOUDURE'!$D$7:$D$1506,MATCH(39,'CARNET DE SOUDURE'!$AP$7:$AP$1506,0)))</f>
        <v/>
      </c>
      <c r="F50" s="107" t="str">
        <f aca="false">IF($B50="","",INDEX('CARNET DE SOUDURE'!$O$7:$O$1506,MATCH(39,'CARNET DE SOUDURE'!$AP$7:$AP$1506,0))&amp;" / "&amp;INDEX('CARNET DE SOUDURE'!$P$7:$P$1506,MATCH(39,'CARNET DE SOUDURE'!$AP$7:$AP$1506,0))&amp;" / "&amp;INDEX('CARNET DE SOUDURE'!$Q$7:$Q$1506,MATCH(39,'CARNET DE SOUDURE'!$AP$7:$AP$1506,0)))</f>
        <v/>
      </c>
      <c r="G50" s="108" t="str">
        <f aca="false">IF($B50="","",INDEX('CARNET DE SOUDURE'!$R$7:$R$1506,MATCH(39,'CARNET DE SOUDURE'!$AP$7:$AP$1506,0)))</f>
        <v/>
      </c>
      <c r="H50" s="109" t="str">
        <f aca="false">IF($B50="","",INDEX('CARNET DE SOUDURE'!$AM$7:$AM$1506,MATCH(39,'CARNET DE SOUDURE'!$AP$7:$AP$1506,0)))</f>
        <v/>
      </c>
      <c r="I50" s="110" t="str">
        <f aca="false">IF($B50="","",INDEX('CARNET DE SOUDURE'!$AK$7:$AK$1506,MATCH(39,'CARNET DE SOUDURE'!$AP$7:$AP$1506,0)))</f>
        <v/>
      </c>
      <c r="J50" s="110" t="str">
        <f aca="false">IF($B50="","",INDEX('CARNET DE SOUDURE'!$AN$7:$AN$1506,MATCH(39,'CARNET DE SOUDURE'!$AP$7:$AP$1506,0)))</f>
        <v/>
      </c>
      <c r="K50" s="111"/>
      <c r="L50" s="111"/>
    </row>
    <row r="51" customFormat="false" ht="15" hidden="false" customHeight="false" outlineLevel="0" collapsed="false">
      <c r="B51" s="112" t="str">
        <f aca="false">IF(40&gt;$I$4,"",40)</f>
        <v/>
      </c>
      <c r="C51" s="112" t="str">
        <f aca="false">IF($B51="","",INDEX('CARNET DE SOUDURE'!$B$7:$B$1506,MATCH(40,'CARNET DE SOUDURE'!$AP$7:$AP$1506,0)))</f>
        <v/>
      </c>
      <c r="D51" s="112" t="str">
        <f aca="false">IF($B51="","",INDEX('CARNET DE SOUDURE'!$E$7:$E$1506,MATCH(40,'CARNET DE SOUDURE'!$AP$7:$AP$1506,0)))</f>
        <v/>
      </c>
      <c r="E51" s="112" t="str">
        <f aca="false">IF($B51="","",INDEX('CARNET DE SOUDURE'!$D$7:$D$1506,MATCH(40,'CARNET DE SOUDURE'!$AP$7:$AP$1506,0)))</f>
        <v/>
      </c>
      <c r="F51" s="112" t="str">
        <f aca="false">IF($B51="","",INDEX('CARNET DE SOUDURE'!$O$7:$O$1506,MATCH(40,'CARNET DE SOUDURE'!$AP$7:$AP$1506,0))&amp;" / "&amp;INDEX('CARNET DE SOUDURE'!$P$7:$P$1506,MATCH(40,'CARNET DE SOUDURE'!$AP$7:$AP$1506,0))&amp;" / "&amp;INDEX('CARNET DE SOUDURE'!$Q$7:$Q$1506,MATCH(40,'CARNET DE SOUDURE'!$AP$7:$AP$1506,0)))</f>
        <v/>
      </c>
      <c r="G51" s="113" t="str">
        <f aca="false">IF($B51="","",INDEX('CARNET DE SOUDURE'!$R$7:$R$1506,MATCH(40,'CARNET DE SOUDURE'!$AP$7:$AP$1506,0)))</f>
        <v/>
      </c>
      <c r="H51" s="114" t="str">
        <f aca="false">IF($B51="","",INDEX('CARNET DE SOUDURE'!$AM$7:$AM$1506,MATCH(40,'CARNET DE SOUDURE'!$AP$7:$AP$1506,0)))</f>
        <v/>
      </c>
      <c r="I51" s="115" t="str">
        <f aca="false">IF($B51="","",INDEX('CARNET DE SOUDURE'!$AK$7:$AK$1506,MATCH(40,'CARNET DE SOUDURE'!$AP$7:$AP$1506,0)))</f>
        <v/>
      </c>
      <c r="J51" s="115" t="str">
        <f aca="false">IF($B51="","",INDEX('CARNET DE SOUDURE'!$AN$7:$AN$1506,MATCH(40,'CARNET DE SOUDURE'!$AP$7:$AP$1506,0)))</f>
        <v/>
      </c>
      <c r="K51" s="111"/>
      <c r="L51" s="111"/>
    </row>
    <row r="52" customFormat="false" ht="15" hidden="false" customHeight="false" outlineLevel="0" collapsed="false">
      <c r="B52" s="107" t="str">
        <f aca="false">IF(41&gt;$I$4,"",41)</f>
        <v/>
      </c>
      <c r="C52" s="107" t="str">
        <f aca="false">IF($B52="","",INDEX('CARNET DE SOUDURE'!$B$7:$B$1506,MATCH(41,'CARNET DE SOUDURE'!$AP$7:$AP$1506,0)))</f>
        <v/>
      </c>
      <c r="D52" s="107" t="str">
        <f aca="false">IF($B52="","",INDEX('CARNET DE SOUDURE'!$E$7:$E$1506,MATCH(41,'CARNET DE SOUDURE'!$AP$7:$AP$1506,0)))</f>
        <v/>
      </c>
      <c r="E52" s="107" t="str">
        <f aca="false">IF($B52="","",INDEX('CARNET DE SOUDURE'!$D$7:$D$1506,MATCH(41,'CARNET DE SOUDURE'!$AP$7:$AP$1506,0)))</f>
        <v/>
      </c>
      <c r="F52" s="107" t="str">
        <f aca="false">IF($B52="","",INDEX('CARNET DE SOUDURE'!$O$7:$O$1506,MATCH(41,'CARNET DE SOUDURE'!$AP$7:$AP$1506,0))&amp;" / "&amp;INDEX('CARNET DE SOUDURE'!$P$7:$P$1506,MATCH(41,'CARNET DE SOUDURE'!$AP$7:$AP$1506,0))&amp;" / "&amp;INDEX('CARNET DE SOUDURE'!$Q$7:$Q$1506,MATCH(41,'CARNET DE SOUDURE'!$AP$7:$AP$1506,0)))</f>
        <v/>
      </c>
      <c r="G52" s="108" t="str">
        <f aca="false">IF($B52="","",INDEX('CARNET DE SOUDURE'!$R$7:$R$1506,MATCH(41,'CARNET DE SOUDURE'!$AP$7:$AP$1506,0)))</f>
        <v/>
      </c>
      <c r="H52" s="109" t="str">
        <f aca="false">IF($B52="","",INDEX('CARNET DE SOUDURE'!$AM$7:$AM$1506,MATCH(41,'CARNET DE SOUDURE'!$AP$7:$AP$1506,0)))</f>
        <v/>
      </c>
      <c r="I52" s="110" t="str">
        <f aca="false">IF($B52="","",INDEX('CARNET DE SOUDURE'!$AK$7:$AK$1506,MATCH(41,'CARNET DE SOUDURE'!$AP$7:$AP$1506,0)))</f>
        <v/>
      </c>
      <c r="J52" s="110" t="str">
        <f aca="false">IF($B52="","",INDEX('CARNET DE SOUDURE'!$AN$7:$AN$1506,MATCH(41,'CARNET DE SOUDURE'!$AP$7:$AP$1506,0)))</f>
        <v/>
      </c>
      <c r="K52" s="111"/>
      <c r="L52" s="111"/>
    </row>
    <row r="53" customFormat="false" ht="15" hidden="false" customHeight="false" outlineLevel="0" collapsed="false">
      <c r="B53" s="112" t="str">
        <f aca="false">IF(42&gt;$I$4,"",42)</f>
        <v/>
      </c>
      <c r="C53" s="112" t="str">
        <f aca="false">IF($B53="","",INDEX('CARNET DE SOUDURE'!$B$7:$B$1506,MATCH(42,'CARNET DE SOUDURE'!$AP$7:$AP$1506,0)))</f>
        <v/>
      </c>
      <c r="D53" s="112" t="str">
        <f aca="false">IF($B53="","",INDEX('CARNET DE SOUDURE'!$E$7:$E$1506,MATCH(42,'CARNET DE SOUDURE'!$AP$7:$AP$1506,0)))</f>
        <v/>
      </c>
      <c r="E53" s="112" t="str">
        <f aca="false">IF($B53="","",INDEX('CARNET DE SOUDURE'!$D$7:$D$1506,MATCH(42,'CARNET DE SOUDURE'!$AP$7:$AP$1506,0)))</f>
        <v/>
      </c>
      <c r="F53" s="112" t="str">
        <f aca="false">IF($B53="","",INDEX('CARNET DE SOUDURE'!$O$7:$O$1506,MATCH(42,'CARNET DE SOUDURE'!$AP$7:$AP$1506,0))&amp;" / "&amp;INDEX('CARNET DE SOUDURE'!$P$7:$P$1506,MATCH(42,'CARNET DE SOUDURE'!$AP$7:$AP$1506,0))&amp;" / "&amp;INDEX('CARNET DE SOUDURE'!$Q$7:$Q$1506,MATCH(42,'CARNET DE SOUDURE'!$AP$7:$AP$1506,0)))</f>
        <v/>
      </c>
      <c r="G53" s="113" t="str">
        <f aca="false">IF($B53="","",INDEX('CARNET DE SOUDURE'!$R$7:$R$1506,MATCH(42,'CARNET DE SOUDURE'!$AP$7:$AP$1506,0)))</f>
        <v/>
      </c>
      <c r="H53" s="114" t="str">
        <f aca="false">IF($B53="","",INDEX('CARNET DE SOUDURE'!$AM$7:$AM$1506,MATCH(42,'CARNET DE SOUDURE'!$AP$7:$AP$1506,0)))</f>
        <v/>
      </c>
      <c r="I53" s="115" t="str">
        <f aca="false">IF($B53="","",INDEX('CARNET DE SOUDURE'!$AK$7:$AK$1506,MATCH(42,'CARNET DE SOUDURE'!$AP$7:$AP$1506,0)))</f>
        <v/>
      </c>
      <c r="J53" s="115" t="str">
        <f aca="false">IF($B53="","",INDEX('CARNET DE SOUDURE'!$AN$7:$AN$1506,MATCH(42,'CARNET DE SOUDURE'!$AP$7:$AP$1506,0)))</f>
        <v/>
      </c>
      <c r="K53" s="111"/>
      <c r="L53" s="111"/>
    </row>
    <row r="54" customFormat="false" ht="15" hidden="false" customHeight="false" outlineLevel="0" collapsed="false">
      <c r="B54" s="107" t="str">
        <f aca="false">IF(43&gt;$I$4,"",43)</f>
        <v/>
      </c>
      <c r="C54" s="107" t="str">
        <f aca="false">IF($B54="","",INDEX('CARNET DE SOUDURE'!$B$7:$B$1506,MATCH(43,'CARNET DE SOUDURE'!$AP$7:$AP$1506,0)))</f>
        <v/>
      </c>
      <c r="D54" s="107" t="str">
        <f aca="false">IF($B54="","",INDEX('CARNET DE SOUDURE'!$E$7:$E$1506,MATCH(43,'CARNET DE SOUDURE'!$AP$7:$AP$1506,0)))</f>
        <v/>
      </c>
      <c r="E54" s="107" t="str">
        <f aca="false">IF($B54="","",INDEX('CARNET DE SOUDURE'!$D$7:$D$1506,MATCH(43,'CARNET DE SOUDURE'!$AP$7:$AP$1506,0)))</f>
        <v/>
      </c>
      <c r="F54" s="107" t="str">
        <f aca="false">IF($B54="","",INDEX('CARNET DE SOUDURE'!$O$7:$O$1506,MATCH(43,'CARNET DE SOUDURE'!$AP$7:$AP$1506,0))&amp;" / "&amp;INDEX('CARNET DE SOUDURE'!$P$7:$P$1506,MATCH(43,'CARNET DE SOUDURE'!$AP$7:$AP$1506,0))&amp;" / "&amp;INDEX('CARNET DE SOUDURE'!$Q$7:$Q$1506,MATCH(43,'CARNET DE SOUDURE'!$AP$7:$AP$1506,0)))</f>
        <v/>
      </c>
      <c r="G54" s="108" t="str">
        <f aca="false">IF($B54="","",INDEX('CARNET DE SOUDURE'!$R$7:$R$1506,MATCH(43,'CARNET DE SOUDURE'!$AP$7:$AP$1506,0)))</f>
        <v/>
      </c>
      <c r="H54" s="109" t="str">
        <f aca="false">IF($B54="","",INDEX('CARNET DE SOUDURE'!$AM$7:$AM$1506,MATCH(43,'CARNET DE SOUDURE'!$AP$7:$AP$1506,0)))</f>
        <v/>
      </c>
      <c r="I54" s="110" t="str">
        <f aca="false">IF($B54="","",INDEX('CARNET DE SOUDURE'!$AK$7:$AK$1506,MATCH(43,'CARNET DE SOUDURE'!$AP$7:$AP$1506,0)))</f>
        <v/>
      </c>
      <c r="J54" s="110" t="str">
        <f aca="false">IF($B54="","",INDEX('CARNET DE SOUDURE'!$AN$7:$AN$1506,MATCH(43,'CARNET DE SOUDURE'!$AP$7:$AP$1506,0)))</f>
        <v/>
      </c>
      <c r="K54" s="111"/>
      <c r="L54" s="111"/>
    </row>
    <row r="55" customFormat="false" ht="15" hidden="false" customHeight="false" outlineLevel="0" collapsed="false">
      <c r="B55" s="112" t="str">
        <f aca="false">IF(44&gt;$I$4,"",44)</f>
        <v/>
      </c>
      <c r="C55" s="112" t="str">
        <f aca="false">IF($B55="","",INDEX('CARNET DE SOUDURE'!$B$7:$B$1506,MATCH(44,'CARNET DE SOUDURE'!$AP$7:$AP$1506,0)))</f>
        <v/>
      </c>
      <c r="D55" s="112" t="str">
        <f aca="false">IF($B55="","",INDEX('CARNET DE SOUDURE'!$E$7:$E$1506,MATCH(44,'CARNET DE SOUDURE'!$AP$7:$AP$1506,0)))</f>
        <v/>
      </c>
      <c r="E55" s="112" t="str">
        <f aca="false">IF($B55="","",INDEX('CARNET DE SOUDURE'!$D$7:$D$1506,MATCH(44,'CARNET DE SOUDURE'!$AP$7:$AP$1506,0)))</f>
        <v/>
      </c>
      <c r="F55" s="112" t="str">
        <f aca="false">IF($B55="","",INDEX('CARNET DE SOUDURE'!$O$7:$O$1506,MATCH(44,'CARNET DE SOUDURE'!$AP$7:$AP$1506,0))&amp;" / "&amp;INDEX('CARNET DE SOUDURE'!$P$7:$P$1506,MATCH(44,'CARNET DE SOUDURE'!$AP$7:$AP$1506,0))&amp;" / "&amp;INDEX('CARNET DE SOUDURE'!$Q$7:$Q$1506,MATCH(44,'CARNET DE SOUDURE'!$AP$7:$AP$1506,0)))</f>
        <v/>
      </c>
      <c r="G55" s="113" t="str">
        <f aca="false">IF($B55="","",INDEX('CARNET DE SOUDURE'!$R$7:$R$1506,MATCH(44,'CARNET DE SOUDURE'!$AP$7:$AP$1506,0)))</f>
        <v/>
      </c>
      <c r="H55" s="114" t="str">
        <f aca="false">IF($B55="","",INDEX('CARNET DE SOUDURE'!$AM$7:$AM$1506,MATCH(44,'CARNET DE SOUDURE'!$AP$7:$AP$1506,0)))</f>
        <v/>
      </c>
      <c r="I55" s="115" t="str">
        <f aca="false">IF($B55="","",INDEX('CARNET DE SOUDURE'!$AK$7:$AK$1506,MATCH(44,'CARNET DE SOUDURE'!$AP$7:$AP$1506,0)))</f>
        <v/>
      </c>
      <c r="J55" s="115" t="str">
        <f aca="false">IF($B55="","",INDEX('CARNET DE SOUDURE'!$AN$7:$AN$1506,MATCH(44,'CARNET DE SOUDURE'!$AP$7:$AP$1506,0)))</f>
        <v/>
      </c>
      <c r="K55" s="111"/>
      <c r="L55" s="111"/>
    </row>
    <row r="56" customFormat="false" ht="15" hidden="false" customHeight="false" outlineLevel="0" collapsed="false">
      <c r="B56" s="107" t="str">
        <f aca="false">IF(45&gt;$I$4,"",45)</f>
        <v/>
      </c>
      <c r="C56" s="107" t="str">
        <f aca="false">IF($B56="","",INDEX('CARNET DE SOUDURE'!$B$7:$B$1506,MATCH(45,'CARNET DE SOUDURE'!$AP$7:$AP$1506,0)))</f>
        <v/>
      </c>
      <c r="D56" s="107" t="str">
        <f aca="false">IF($B56="","",INDEX('CARNET DE SOUDURE'!$E$7:$E$1506,MATCH(45,'CARNET DE SOUDURE'!$AP$7:$AP$1506,0)))</f>
        <v/>
      </c>
      <c r="E56" s="107" t="str">
        <f aca="false">IF($B56="","",INDEX('CARNET DE SOUDURE'!$D$7:$D$1506,MATCH(45,'CARNET DE SOUDURE'!$AP$7:$AP$1506,0)))</f>
        <v/>
      </c>
      <c r="F56" s="107" t="str">
        <f aca="false">IF($B56="","",INDEX('CARNET DE SOUDURE'!$O$7:$O$1506,MATCH(45,'CARNET DE SOUDURE'!$AP$7:$AP$1506,0))&amp;" / "&amp;INDEX('CARNET DE SOUDURE'!$P$7:$P$1506,MATCH(45,'CARNET DE SOUDURE'!$AP$7:$AP$1506,0))&amp;" / "&amp;INDEX('CARNET DE SOUDURE'!$Q$7:$Q$1506,MATCH(45,'CARNET DE SOUDURE'!$AP$7:$AP$1506,0)))</f>
        <v/>
      </c>
      <c r="G56" s="108" t="str">
        <f aca="false">IF($B56="","",INDEX('CARNET DE SOUDURE'!$R$7:$R$1506,MATCH(45,'CARNET DE SOUDURE'!$AP$7:$AP$1506,0)))</f>
        <v/>
      </c>
      <c r="H56" s="109" t="str">
        <f aca="false">IF($B56="","",INDEX('CARNET DE SOUDURE'!$AM$7:$AM$1506,MATCH(45,'CARNET DE SOUDURE'!$AP$7:$AP$1506,0)))</f>
        <v/>
      </c>
      <c r="I56" s="110" t="str">
        <f aca="false">IF($B56="","",INDEX('CARNET DE SOUDURE'!$AK$7:$AK$1506,MATCH(45,'CARNET DE SOUDURE'!$AP$7:$AP$1506,0)))</f>
        <v/>
      </c>
      <c r="J56" s="110" t="str">
        <f aca="false">IF($B56="","",INDEX('CARNET DE SOUDURE'!$AN$7:$AN$1506,MATCH(45,'CARNET DE SOUDURE'!$AP$7:$AP$1506,0)))</f>
        <v/>
      </c>
      <c r="K56" s="111"/>
      <c r="L56" s="111"/>
    </row>
    <row r="57" customFormat="false" ht="15" hidden="false" customHeight="false" outlineLevel="0" collapsed="false">
      <c r="B57" s="112" t="str">
        <f aca="false">IF(46&gt;$I$4,"",46)</f>
        <v/>
      </c>
      <c r="C57" s="112" t="str">
        <f aca="false">IF($B57="","",INDEX('CARNET DE SOUDURE'!$B$7:$B$1506,MATCH(46,'CARNET DE SOUDURE'!$AP$7:$AP$1506,0)))</f>
        <v/>
      </c>
      <c r="D57" s="112" t="str">
        <f aca="false">IF($B57="","",INDEX('CARNET DE SOUDURE'!$E$7:$E$1506,MATCH(46,'CARNET DE SOUDURE'!$AP$7:$AP$1506,0)))</f>
        <v/>
      </c>
      <c r="E57" s="112" t="str">
        <f aca="false">IF($B57="","",INDEX('CARNET DE SOUDURE'!$D$7:$D$1506,MATCH(46,'CARNET DE SOUDURE'!$AP$7:$AP$1506,0)))</f>
        <v/>
      </c>
      <c r="F57" s="112" t="str">
        <f aca="false">IF($B57="","",INDEX('CARNET DE SOUDURE'!$O$7:$O$1506,MATCH(46,'CARNET DE SOUDURE'!$AP$7:$AP$1506,0))&amp;" / "&amp;INDEX('CARNET DE SOUDURE'!$P$7:$P$1506,MATCH(46,'CARNET DE SOUDURE'!$AP$7:$AP$1506,0))&amp;" / "&amp;INDEX('CARNET DE SOUDURE'!$Q$7:$Q$1506,MATCH(46,'CARNET DE SOUDURE'!$AP$7:$AP$1506,0)))</f>
        <v/>
      </c>
      <c r="G57" s="113" t="str">
        <f aca="false">IF($B57="","",INDEX('CARNET DE SOUDURE'!$R$7:$R$1506,MATCH(46,'CARNET DE SOUDURE'!$AP$7:$AP$1506,0)))</f>
        <v/>
      </c>
      <c r="H57" s="114" t="str">
        <f aca="false">IF($B57="","",INDEX('CARNET DE SOUDURE'!$AM$7:$AM$1506,MATCH(46,'CARNET DE SOUDURE'!$AP$7:$AP$1506,0)))</f>
        <v/>
      </c>
      <c r="I57" s="115" t="str">
        <f aca="false">IF($B57="","",INDEX('CARNET DE SOUDURE'!$AK$7:$AK$1506,MATCH(46,'CARNET DE SOUDURE'!$AP$7:$AP$1506,0)))</f>
        <v/>
      </c>
      <c r="J57" s="115" t="str">
        <f aca="false">IF($B57="","",INDEX('CARNET DE SOUDURE'!$AN$7:$AN$1506,MATCH(46,'CARNET DE SOUDURE'!$AP$7:$AP$1506,0)))</f>
        <v/>
      </c>
      <c r="K57" s="111"/>
      <c r="L57" s="111"/>
    </row>
    <row r="58" customFormat="false" ht="15" hidden="false" customHeight="false" outlineLevel="0" collapsed="false">
      <c r="B58" s="107" t="str">
        <f aca="false">IF(47&gt;$I$4,"",47)</f>
        <v/>
      </c>
      <c r="C58" s="107" t="str">
        <f aca="false">IF($B58="","",INDEX('CARNET DE SOUDURE'!$B$7:$B$1506,MATCH(47,'CARNET DE SOUDURE'!$AP$7:$AP$1506,0)))</f>
        <v/>
      </c>
      <c r="D58" s="107" t="str">
        <f aca="false">IF($B58="","",INDEX('CARNET DE SOUDURE'!$E$7:$E$1506,MATCH(47,'CARNET DE SOUDURE'!$AP$7:$AP$1506,0)))</f>
        <v/>
      </c>
      <c r="E58" s="107" t="str">
        <f aca="false">IF($B58="","",INDEX('CARNET DE SOUDURE'!$D$7:$D$1506,MATCH(47,'CARNET DE SOUDURE'!$AP$7:$AP$1506,0)))</f>
        <v/>
      </c>
      <c r="F58" s="107" t="str">
        <f aca="false">IF($B58="","",INDEX('CARNET DE SOUDURE'!$O$7:$O$1506,MATCH(47,'CARNET DE SOUDURE'!$AP$7:$AP$1506,0))&amp;" / "&amp;INDEX('CARNET DE SOUDURE'!$P$7:$P$1506,MATCH(47,'CARNET DE SOUDURE'!$AP$7:$AP$1506,0))&amp;" / "&amp;INDEX('CARNET DE SOUDURE'!$Q$7:$Q$1506,MATCH(47,'CARNET DE SOUDURE'!$AP$7:$AP$1506,0)))</f>
        <v/>
      </c>
      <c r="G58" s="108" t="str">
        <f aca="false">IF($B58="","",INDEX('CARNET DE SOUDURE'!$R$7:$R$1506,MATCH(47,'CARNET DE SOUDURE'!$AP$7:$AP$1506,0)))</f>
        <v/>
      </c>
      <c r="H58" s="109" t="str">
        <f aca="false">IF($B58="","",INDEX('CARNET DE SOUDURE'!$AM$7:$AM$1506,MATCH(47,'CARNET DE SOUDURE'!$AP$7:$AP$1506,0)))</f>
        <v/>
      </c>
      <c r="I58" s="110" t="str">
        <f aca="false">IF($B58="","",INDEX('CARNET DE SOUDURE'!$AK$7:$AK$1506,MATCH(47,'CARNET DE SOUDURE'!$AP$7:$AP$1506,0)))</f>
        <v/>
      </c>
      <c r="J58" s="110" t="str">
        <f aca="false">IF($B58="","",INDEX('CARNET DE SOUDURE'!$AN$7:$AN$1506,MATCH(47,'CARNET DE SOUDURE'!$AP$7:$AP$1506,0)))</f>
        <v/>
      </c>
      <c r="K58" s="111"/>
      <c r="L58" s="111"/>
    </row>
    <row r="59" customFormat="false" ht="15" hidden="false" customHeight="false" outlineLevel="0" collapsed="false">
      <c r="B59" s="112" t="str">
        <f aca="false">IF(48&gt;$I$4,"",48)</f>
        <v/>
      </c>
      <c r="C59" s="112" t="str">
        <f aca="false">IF($B59="","",INDEX('CARNET DE SOUDURE'!$B$7:$B$1506,MATCH(48,'CARNET DE SOUDURE'!$AP$7:$AP$1506,0)))</f>
        <v/>
      </c>
      <c r="D59" s="112" t="str">
        <f aca="false">IF($B59="","",INDEX('CARNET DE SOUDURE'!$E$7:$E$1506,MATCH(48,'CARNET DE SOUDURE'!$AP$7:$AP$1506,0)))</f>
        <v/>
      </c>
      <c r="E59" s="112" t="str">
        <f aca="false">IF($B59="","",INDEX('CARNET DE SOUDURE'!$D$7:$D$1506,MATCH(48,'CARNET DE SOUDURE'!$AP$7:$AP$1506,0)))</f>
        <v/>
      </c>
      <c r="F59" s="112" t="str">
        <f aca="false">IF($B59="","",INDEX('CARNET DE SOUDURE'!$O$7:$O$1506,MATCH(48,'CARNET DE SOUDURE'!$AP$7:$AP$1506,0))&amp;" / "&amp;INDEX('CARNET DE SOUDURE'!$P$7:$P$1506,MATCH(48,'CARNET DE SOUDURE'!$AP$7:$AP$1506,0))&amp;" / "&amp;INDEX('CARNET DE SOUDURE'!$Q$7:$Q$1506,MATCH(48,'CARNET DE SOUDURE'!$AP$7:$AP$1506,0)))</f>
        <v/>
      </c>
      <c r="G59" s="113" t="str">
        <f aca="false">IF($B59="","",INDEX('CARNET DE SOUDURE'!$R$7:$R$1506,MATCH(48,'CARNET DE SOUDURE'!$AP$7:$AP$1506,0)))</f>
        <v/>
      </c>
      <c r="H59" s="114" t="str">
        <f aca="false">IF($B59="","",INDEX('CARNET DE SOUDURE'!$AM$7:$AM$1506,MATCH(48,'CARNET DE SOUDURE'!$AP$7:$AP$1506,0)))</f>
        <v/>
      </c>
      <c r="I59" s="115" t="str">
        <f aca="false">IF($B59="","",INDEX('CARNET DE SOUDURE'!$AK$7:$AK$1506,MATCH(48,'CARNET DE SOUDURE'!$AP$7:$AP$1506,0)))</f>
        <v/>
      </c>
      <c r="J59" s="115" t="str">
        <f aca="false">IF($B59="","",INDEX('CARNET DE SOUDURE'!$AN$7:$AN$1506,MATCH(48,'CARNET DE SOUDURE'!$AP$7:$AP$1506,0)))</f>
        <v/>
      </c>
      <c r="K59" s="111"/>
      <c r="L59" s="111"/>
    </row>
    <row r="60" customFormat="false" ht="15" hidden="false" customHeight="false" outlineLevel="0" collapsed="false">
      <c r="B60" s="107" t="str">
        <f aca="false">IF(49&gt;$I$4,"",49)</f>
        <v/>
      </c>
      <c r="C60" s="107" t="str">
        <f aca="false">IF($B60="","",INDEX('CARNET DE SOUDURE'!$B$7:$B$1506,MATCH(49,'CARNET DE SOUDURE'!$AP$7:$AP$1506,0)))</f>
        <v/>
      </c>
      <c r="D60" s="107" t="str">
        <f aca="false">IF($B60="","",INDEX('CARNET DE SOUDURE'!$E$7:$E$1506,MATCH(49,'CARNET DE SOUDURE'!$AP$7:$AP$1506,0)))</f>
        <v/>
      </c>
      <c r="E60" s="107" t="str">
        <f aca="false">IF($B60="","",INDEX('CARNET DE SOUDURE'!$D$7:$D$1506,MATCH(49,'CARNET DE SOUDURE'!$AP$7:$AP$1506,0)))</f>
        <v/>
      </c>
      <c r="F60" s="107" t="str">
        <f aca="false">IF($B60="","",INDEX('CARNET DE SOUDURE'!$O$7:$O$1506,MATCH(49,'CARNET DE SOUDURE'!$AP$7:$AP$1506,0))&amp;" / "&amp;INDEX('CARNET DE SOUDURE'!$P$7:$P$1506,MATCH(49,'CARNET DE SOUDURE'!$AP$7:$AP$1506,0))&amp;" / "&amp;INDEX('CARNET DE SOUDURE'!$Q$7:$Q$1506,MATCH(49,'CARNET DE SOUDURE'!$AP$7:$AP$1506,0)))</f>
        <v/>
      </c>
      <c r="G60" s="108" t="str">
        <f aca="false">IF($B60="","",INDEX('CARNET DE SOUDURE'!$R$7:$R$1506,MATCH(49,'CARNET DE SOUDURE'!$AP$7:$AP$1506,0)))</f>
        <v/>
      </c>
      <c r="H60" s="109" t="str">
        <f aca="false">IF($B60="","",INDEX('CARNET DE SOUDURE'!$AM$7:$AM$1506,MATCH(49,'CARNET DE SOUDURE'!$AP$7:$AP$1506,0)))</f>
        <v/>
      </c>
      <c r="I60" s="110" t="str">
        <f aca="false">IF($B60="","",INDEX('CARNET DE SOUDURE'!$AK$7:$AK$1506,MATCH(49,'CARNET DE SOUDURE'!$AP$7:$AP$1506,0)))</f>
        <v/>
      </c>
      <c r="J60" s="110" t="str">
        <f aca="false">IF($B60="","",INDEX('CARNET DE SOUDURE'!$AN$7:$AN$1506,MATCH(49,'CARNET DE SOUDURE'!$AP$7:$AP$1506,0)))</f>
        <v/>
      </c>
      <c r="K60" s="111"/>
      <c r="L60" s="111"/>
    </row>
    <row r="61" customFormat="false" ht="15" hidden="false" customHeight="false" outlineLevel="0" collapsed="false">
      <c r="B61" s="112" t="str">
        <f aca="false">IF(50&gt;$I$4,"",50)</f>
        <v/>
      </c>
      <c r="C61" s="112" t="str">
        <f aca="false">IF($B61="","",INDEX('CARNET DE SOUDURE'!$B$7:$B$1506,MATCH(50,'CARNET DE SOUDURE'!$AP$7:$AP$1506,0)))</f>
        <v/>
      </c>
      <c r="D61" s="112" t="str">
        <f aca="false">IF($B61="","",INDEX('CARNET DE SOUDURE'!$E$7:$E$1506,MATCH(50,'CARNET DE SOUDURE'!$AP$7:$AP$1506,0)))</f>
        <v/>
      </c>
      <c r="E61" s="112" t="str">
        <f aca="false">IF($B61="","",INDEX('CARNET DE SOUDURE'!$D$7:$D$1506,MATCH(50,'CARNET DE SOUDURE'!$AP$7:$AP$1506,0)))</f>
        <v/>
      </c>
      <c r="F61" s="112" t="str">
        <f aca="false">IF($B61="","",INDEX('CARNET DE SOUDURE'!$O$7:$O$1506,MATCH(50,'CARNET DE SOUDURE'!$AP$7:$AP$1506,0))&amp;" / "&amp;INDEX('CARNET DE SOUDURE'!$P$7:$P$1506,MATCH(50,'CARNET DE SOUDURE'!$AP$7:$AP$1506,0))&amp;" / "&amp;INDEX('CARNET DE SOUDURE'!$Q$7:$Q$1506,MATCH(50,'CARNET DE SOUDURE'!$AP$7:$AP$1506,0)))</f>
        <v/>
      </c>
      <c r="G61" s="113" t="str">
        <f aca="false">IF($B61="","",INDEX('CARNET DE SOUDURE'!$R$7:$R$1506,MATCH(50,'CARNET DE SOUDURE'!$AP$7:$AP$1506,0)))</f>
        <v/>
      </c>
      <c r="H61" s="114" t="str">
        <f aca="false">IF($B61="","",INDEX('CARNET DE SOUDURE'!$AM$7:$AM$1506,MATCH(50,'CARNET DE SOUDURE'!$AP$7:$AP$1506,0)))</f>
        <v/>
      </c>
      <c r="I61" s="115" t="str">
        <f aca="false">IF($B61="","",INDEX('CARNET DE SOUDURE'!$AK$7:$AK$1506,MATCH(50,'CARNET DE SOUDURE'!$AP$7:$AP$1506,0)))</f>
        <v/>
      </c>
      <c r="J61" s="115" t="str">
        <f aca="false">IF($B61="","",INDEX('CARNET DE SOUDURE'!$AN$7:$AN$1506,MATCH(50,'CARNET DE SOUDURE'!$AP$7:$AP$1506,0)))</f>
        <v/>
      </c>
      <c r="K61" s="111"/>
      <c r="L61" s="111"/>
    </row>
    <row r="62" customFormat="false" ht="15" hidden="false" customHeight="false" outlineLevel="0" collapsed="false">
      <c r="B62" s="107" t="str">
        <f aca="false">IF(51&gt;$I$4,"",51)</f>
        <v/>
      </c>
      <c r="C62" s="107" t="str">
        <f aca="false">IF($B62="","",INDEX('CARNET DE SOUDURE'!$B$7:$B$1506,MATCH(51,'CARNET DE SOUDURE'!$AP$7:$AP$1506,0)))</f>
        <v/>
      </c>
      <c r="D62" s="107" t="str">
        <f aca="false">IF($B62="","",INDEX('CARNET DE SOUDURE'!$E$7:$E$1506,MATCH(51,'CARNET DE SOUDURE'!$AP$7:$AP$1506,0)))</f>
        <v/>
      </c>
      <c r="E62" s="107" t="str">
        <f aca="false">IF($B62="","",INDEX('CARNET DE SOUDURE'!$D$7:$D$1506,MATCH(51,'CARNET DE SOUDURE'!$AP$7:$AP$1506,0)))</f>
        <v/>
      </c>
      <c r="F62" s="107" t="str">
        <f aca="false">IF($B62="","",INDEX('CARNET DE SOUDURE'!$O$7:$O$1506,MATCH(51,'CARNET DE SOUDURE'!$AP$7:$AP$1506,0))&amp;" / "&amp;INDEX('CARNET DE SOUDURE'!$P$7:$P$1506,MATCH(51,'CARNET DE SOUDURE'!$AP$7:$AP$1506,0))&amp;" / "&amp;INDEX('CARNET DE SOUDURE'!$Q$7:$Q$1506,MATCH(51,'CARNET DE SOUDURE'!$AP$7:$AP$1506,0)))</f>
        <v/>
      </c>
      <c r="G62" s="108" t="str">
        <f aca="false">IF($B62="","",INDEX('CARNET DE SOUDURE'!$R$7:$R$1506,MATCH(51,'CARNET DE SOUDURE'!$AP$7:$AP$1506,0)))</f>
        <v/>
      </c>
      <c r="H62" s="109" t="str">
        <f aca="false">IF($B62="","",INDEX('CARNET DE SOUDURE'!$AM$7:$AM$1506,MATCH(51,'CARNET DE SOUDURE'!$AP$7:$AP$1506,0)))</f>
        <v/>
      </c>
      <c r="I62" s="110" t="str">
        <f aca="false">IF($B62="","",INDEX('CARNET DE SOUDURE'!$AK$7:$AK$1506,MATCH(51,'CARNET DE SOUDURE'!$AP$7:$AP$1506,0)))</f>
        <v/>
      </c>
      <c r="J62" s="110" t="str">
        <f aca="false">IF($B62="","",INDEX('CARNET DE SOUDURE'!$AN$7:$AN$1506,MATCH(51,'CARNET DE SOUDURE'!$AP$7:$AP$1506,0)))</f>
        <v/>
      </c>
      <c r="K62" s="111"/>
      <c r="L62" s="111"/>
    </row>
    <row r="63" customFormat="false" ht="15" hidden="false" customHeight="false" outlineLevel="0" collapsed="false">
      <c r="B63" s="112" t="str">
        <f aca="false">IF(52&gt;$I$4,"",52)</f>
        <v/>
      </c>
      <c r="C63" s="112" t="str">
        <f aca="false">IF($B63="","",INDEX('CARNET DE SOUDURE'!$B$7:$B$1506,MATCH(52,'CARNET DE SOUDURE'!$AP$7:$AP$1506,0)))</f>
        <v/>
      </c>
      <c r="D63" s="112" t="str">
        <f aca="false">IF($B63="","",INDEX('CARNET DE SOUDURE'!$E$7:$E$1506,MATCH(52,'CARNET DE SOUDURE'!$AP$7:$AP$1506,0)))</f>
        <v/>
      </c>
      <c r="E63" s="112" t="str">
        <f aca="false">IF($B63="","",INDEX('CARNET DE SOUDURE'!$D$7:$D$1506,MATCH(52,'CARNET DE SOUDURE'!$AP$7:$AP$1506,0)))</f>
        <v/>
      </c>
      <c r="F63" s="112" t="str">
        <f aca="false">IF($B63="","",INDEX('CARNET DE SOUDURE'!$O$7:$O$1506,MATCH(52,'CARNET DE SOUDURE'!$AP$7:$AP$1506,0))&amp;" / "&amp;INDEX('CARNET DE SOUDURE'!$P$7:$P$1506,MATCH(52,'CARNET DE SOUDURE'!$AP$7:$AP$1506,0))&amp;" / "&amp;INDEX('CARNET DE SOUDURE'!$Q$7:$Q$1506,MATCH(52,'CARNET DE SOUDURE'!$AP$7:$AP$1506,0)))</f>
        <v/>
      </c>
      <c r="G63" s="113" t="str">
        <f aca="false">IF($B63="","",INDEX('CARNET DE SOUDURE'!$R$7:$R$1506,MATCH(52,'CARNET DE SOUDURE'!$AP$7:$AP$1506,0)))</f>
        <v/>
      </c>
      <c r="H63" s="114" t="str">
        <f aca="false">IF($B63="","",INDEX('CARNET DE SOUDURE'!$AM$7:$AM$1506,MATCH(52,'CARNET DE SOUDURE'!$AP$7:$AP$1506,0)))</f>
        <v/>
      </c>
      <c r="I63" s="115" t="str">
        <f aca="false">IF($B63="","",INDEX('CARNET DE SOUDURE'!$AK$7:$AK$1506,MATCH(52,'CARNET DE SOUDURE'!$AP$7:$AP$1506,0)))</f>
        <v/>
      </c>
      <c r="J63" s="115" t="str">
        <f aca="false">IF($B63="","",INDEX('CARNET DE SOUDURE'!$AN$7:$AN$1506,MATCH(52,'CARNET DE SOUDURE'!$AP$7:$AP$1506,0)))</f>
        <v/>
      </c>
      <c r="K63" s="111"/>
      <c r="L63" s="111"/>
    </row>
    <row r="64" customFormat="false" ht="15" hidden="false" customHeight="false" outlineLevel="0" collapsed="false">
      <c r="B64" s="107" t="str">
        <f aca="false">IF(53&gt;$I$4,"",53)</f>
        <v/>
      </c>
      <c r="C64" s="107" t="str">
        <f aca="false">IF($B64="","",INDEX('CARNET DE SOUDURE'!$B$7:$B$1506,MATCH(53,'CARNET DE SOUDURE'!$AP$7:$AP$1506,0)))</f>
        <v/>
      </c>
      <c r="D64" s="107" t="str">
        <f aca="false">IF($B64="","",INDEX('CARNET DE SOUDURE'!$E$7:$E$1506,MATCH(53,'CARNET DE SOUDURE'!$AP$7:$AP$1506,0)))</f>
        <v/>
      </c>
      <c r="E64" s="107" t="str">
        <f aca="false">IF($B64="","",INDEX('CARNET DE SOUDURE'!$D$7:$D$1506,MATCH(53,'CARNET DE SOUDURE'!$AP$7:$AP$1506,0)))</f>
        <v/>
      </c>
      <c r="F64" s="107" t="str">
        <f aca="false">IF($B64="","",INDEX('CARNET DE SOUDURE'!$O$7:$O$1506,MATCH(53,'CARNET DE SOUDURE'!$AP$7:$AP$1506,0))&amp;" / "&amp;INDEX('CARNET DE SOUDURE'!$P$7:$P$1506,MATCH(53,'CARNET DE SOUDURE'!$AP$7:$AP$1506,0))&amp;" / "&amp;INDEX('CARNET DE SOUDURE'!$Q$7:$Q$1506,MATCH(53,'CARNET DE SOUDURE'!$AP$7:$AP$1506,0)))</f>
        <v/>
      </c>
      <c r="G64" s="108" t="str">
        <f aca="false">IF($B64="","",INDEX('CARNET DE SOUDURE'!$R$7:$R$1506,MATCH(53,'CARNET DE SOUDURE'!$AP$7:$AP$1506,0)))</f>
        <v/>
      </c>
      <c r="H64" s="109" t="str">
        <f aca="false">IF($B64="","",INDEX('CARNET DE SOUDURE'!$AM$7:$AM$1506,MATCH(53,'CARNET DE SOUDURE'!$AP$7:$AP$1506,0)))</f>
        <v/>
      </c>
      <c r="I64" s="110" t="str">
        <f aca="false">IF($B64="","",INDEX('CARNET DE SOUDURE'!$AK$7:$AK$1506,MATCH(53,'CARNET DE SOUDURE'!$AP$7:$AP$1506,0)))</f>
        <v/>
      </c>
      <c r="J64" s="110" t="str">
        <f aca="false">IF($B64="","",INDEX('CARNET DE SOUDURE'!$AN$7:$AN$1506,MATCH(53,'CARNET DE SOUDURE'!$AP$7:$AP$1506,0)))</f>
        <v/>
      </c>
      <c r="K64" s="111"/>
      <c r="L64" s="111"/>
    </row>
    <row r="65" customFormat="false" ht="15" hidden="false" customHeight="false" outlineLevel="0" collapsed="false">
      <c r="B65" s="112" t="str">
        <f aca="false">IF(54&gt;$I$4,"",54)</f>
        <v/>
      </c>
      <c r="C65" s="112" t="str">
        <f aca="false">IF($B65="","",INDEX('CARNET DE SOUDURE'!$B$7:$B$1506,MATCH(54,'CARNET DE SOUDURE'!$AP$7:$AP$1506,0)))</f>
        <v/>
      </c>
      <c r="D65" s="112" t="str">
        <f aca="false">IF($B65="","",INDEX('CARNET DE SOUDURE'!$E$7:$E$1506,MATCH(54,'CARNET DE SOUDURE'!$AP$7:$AP$1506,0)))</f>
        <v/>
      </c>
      <c r="E65" s="112" t="str">
        <f aca="false">IF($B65="","",INDEX('CARNET DE SOUDURE'!$D$7:$D$1506,MATCH(54,'CARNET DE SOUDURE'!$AP$7:$AP$1506,0)))</f>
        <v/>
      </c>
      <c r="F65" s="112" t="str">
        <f aca="false">IF($B65="","",INDEX('CARNET DE SOUDURE'!$O$7:$O$1506,MATCH(54,'CARNET DE SOUDURE'!$AP$7:$AP$1506,0))&amp;" / "&amp;INDEX('CARNET DE SOUDURE'!$P$7:$P$1506,MATCH(54,'CARNET DE SOUDURE'!$AP$7:$AP$1506,0))&amp;" / "&amp;INDEX('CARNET DE SOUDURE'!$Q$7:$Q$1506,MATCH(54,'CARNET DE SOUDURE'!$AP$7:$AP$1506,0)))</f>
        <v/>
      </c>
      <c r="G65" s="113" t="str">
        <f aca="false">IF($B65="","",INDEX('CARNET DE SOUDURE'!$R$7:$R$1506,MATCH(54,'CARNET DE SOUDURE'!$AP$7:$AP$1506,0)))</f>
        <v/>
      </c>
      <c r="H65" s="114" t="str">
        <f aca="false">IF($B65="","",INDEX('CARNET DE SOUDURE'!$AM$7:$AM$1506,MATCH(54,'CARNET DE SOUDURE'!$AP$7:$AP$1506,0)))</f>
        <v/>
      </c>
      <c r="I65" s="115" t="str">
        <f aca="false">IF($B65="","",INDEX('CARNET DE SOUDURE'!$AK$7:$AK$1506,MATCH(54,'CARNET DE SOUDURE'!$AP$7:$AP$1506,0)))</f>
        <v/>
      </c>
      <c r="J65" s="115" t="str">
        <f aca="false">IF($B65="","",INDEX('CARNET DE SOUDURE'!$AN$7:$AN$1506,MATCH(54,'CARNET DE SOUDURE'!$AP$7:$AP$1506,0)))</f>
        <v/>
      </c>
      <c r="K65" s="111"/>
      <c r="L65" s="111"/>
    </row>
    <row r="66" customFormat="false" ht="15" hidden="false" customHeight="false" outlineLevel="0" collapsed="false">
      <c r="B66" s="107" t="str">
        <f aca="false">IF(55&gt;$I$4,"",55)</f>
        <v/>
      </c>
      <c r="C66" s="107" t="str">
        <f aca="false">IF($B66="","",INDEX('CARNET DE SOUDURE'!$B$7:$B$1506,MATCH(55,'CARNET DE SOUDURE'!$AP$7:$AP$1506,0)))</f>
        <v/>
      </c>
      <c r="D66" s="107" t="str">
        <f aca="false">IF($B66="","",INDEX('CARNET DE SOUDURE'!$E$7:$E$1506,MATCH(55,'CARNET DE SOUDURE'!$AP$7:$AP$1506,0)))</f>
        <v/>
      </c>
      <c r="E66" s="107" t="str">
        <f aca="false">IF($B66="","",INDEX('CARNET DE SOUDURE'!$D$7:$D$1506,MATCH(55,'CARNET DE SOUDURE'!$AP$7:$AP$1506,0)))</f>
        <v/>
      </c>
      <c r="F66" s="107" t="str">
        <f aca="false">IF($B66="","",INDEX('CARNET DE SOUDURE'!$O$7:$O$1506,MATCH(55,'CARNET DE SOUDURE'!$AP$7:$AP$1506,0))&amp;" / "&amp;INDEX('CARNET DE SOUDURE'!$P$7:$P$1506,MATCH(55,'CARNET DE SOUDURE'!$AP$7:$AP$1506,0))&amp;" / "&amp;INDEX('CARNET DE SOUDURE'!$Q$7:$Q$1506,MATCH(55,'CARNET DE SOUDURE'!$AP$7:$AP$1506,0)))</f>
        <v/>
      </c>
      <c r="G66" s="108" t="str">
        <f aca="false">IF($B66="","",INDEX('CARNET DE SOUDURE'!$R$7:$R$1506,MATCH(55,'CARNET DE SOUDURE'!$AP$7:$AP$1506,0)))</f>
        <v/>
      </c>
      <c r="H66" s="109" t="str">
        <f aca="false">IF($B66="","",INDEX('CARNET DE SOUDURE'!$AM$7:$AM$1506,MATCH(55,'CARNET DE SOUDURE'!$AP$7:$AP$1506,0)))</f>
        <v/>
      </c>
      <c r="I66" s="110" t="str">
        <f aca="false">IF($B66="","",INDEX('CARNET DE SOUDURE'!$AK$7:$AK$1506,MATCH(55,'CARNET DE SOUDURE'!$AP$7:$AP$1506,0)))</f>
        <v/>
      </c>
      <c r="J66" s="110" t="str">
        <f aca="false">IF($B66="","",INDEX('CARNET DE SOUDURE'!$AN$7:$AN$1506,MATCH(55,'CARNET DE SOUDURE'!$AP$7:$AP$1506,0)))</f>
        <v/>
      </c>
      <c r="K66" s="111"/>
      <c r="L66" s="111"/>
    </row>
    <row r="67" customFormat="false" ht="15" hidden="false" customHeight="false" outlineLevel="0" collapsed="false">
      <c r="B67" s="112" t="str">
        <f aca="false">IF(56&gt;$I$4,"",56)</f>
        <v/>
      </c>
      <c r="C67" s="112" t="str">
        <f aca="false">IF($B67="","",INDEX('CARNET DE SOUDURE'!$B$7:$B$1506,MATCH(56,'CARNET DE SOUDURE'!$AP$7:$AP$1506,0)))</f>
        <v/>
      </c>
      <c r="D67" s="112" t="str">
        <f aca="false">IF($B67="","",INDEX('CARNET DE SOUDURE'!$E$7:$E$1506,MATCH(56,'CARNET DE SOUDURE'!$AP$7:$AP$1506,0)))</f>
        <v/>
      </c>
      <c r="E67" s="112" t="str">
        <f aca="false">IF($B67="","",INDEX('CARNET DE SOUDURE'!$D$7:$D$1506,MATCH(56,'CARNET DE SOUDURE'!$AP$7:$AP$1506,0)))</f>
        <v/>
      </c>
      <c r="F67" s="112" t="str">
        <f aca="false">IF($B67="","",INDEX('CARNET DE SOUDURE'!$O$7:$O$1506,MATCH(56,'CARNET DE SOUDURE'!$AP$7:$AP$1506,0))&amp;" / "&amp;INDEX('CARNET DE SOUDURE'!$P$7:$P$1506,MATCH(56,'CARNET DE SOUDURE'!$AP$7:$AP$1506,0))&amp;" / "&amp;INDEX('CARNET DE SOUDURE'!$Q$7:$Q$1506,MATCH(56,'CARNET DE SOUDURE'!$AP$7:$AP$1506,0)))</f>
        <v/>
      </c>
      <c r="G67" s="113" t="str">
        <f aca="false">IF($B67="","",INDEX('CARNET DE SOUDURE'!$R$7:$R$1506,MATCH(56,'CARNET DE SOUDURE'!$AP$7:$AP$1506,0)))</f>
        <v/>
      </c>
      <c r="H67" s="114" t="str">
        <f aca="false">IF($B67="","",INDEX('CARNET DE SOUDURE'!$AM$7:$AM$1506,MATCH(56,'CARNET DE SOUDURE'!$AP$7:$AP$1506,0)))</f>
        <v/>
      </c>
      <c r="I67" s="115" t="str">
        <f aca="false">IF($B67="","",INDEX('CARNET DE SOUDURE'!$AK$7:$AK$1506,MATCH(56,'CARNET DE SOUDURE'!$AP$7:$AP$1506,0)))</f>
        <v/>
      </c>
      <c r="J67" s="115" t="str">
        <f aca="false">IF($B67="","",INDEX('CARNET DE SOUDURE'!$AN$7:$AN$1506,MATCH(56,'CARNET DE SOUDURE'!$AP$7:$AP$1506,0)))</f>
        <v/>
      </c>
      <c r="K67" s="111"/>
      <c r="L67" s="111"/>
    </row>
    <row r="68" customFormat="false" ht="15" hidden="false" customHeight="false" outlineLevel="0" collapsed="false">
      <c r="B68" s="107" t="str">
        <f aca="false">IF(57&gt;$I$4,"",57)</f>
        <v/>
      </c>
      <c r="C68" s="107" t="str">
        <f aca="false">IF($B68="","",INDEX('CARNET DE SOUDURE'!$B$7:$B$1506,MATCH(57,'CARNET DE SOUDURE'!$AP$7:$AP$1506,0)))</f>
        <v/>
      </c>
      <c r="D68" s="107" t="str">
        <f aca="false">IF($B68="","",INDEX('CARNET DE SOUDURE'!$E$7:$E$1506,MATCH(57,'CARNET DE SOUDURE'!$AP$7:$AP$1506,0)))</f>
        <v/>
      </c>
      <c r="E68" s="107" t="str">
        <f aca="false">IF($B68="","",INDEX('CARNET DE SOUDURE'!$D$7:$D$1506,MATCH(57,'CARNET DE SOUDURE'!$AP$7:$AP$1506,0)))</f>
        <v/>
      </c>
      <c r="F68" s="107" t="str">
        <f aca="false">IF($B68="","",INDEX('CARNET DE SOUDURE'!$O$7:$O$1506,MATCH(57,'CARNET DE SOUDURE'!$AP$7:$AP$1506,0))&amp;" / "&amp;INDEX('CARNET DE SOUDURE'!$P$7:$P$1506,MATCH(57,'CARNET DE SOUDURE'!$AP$7:$AP$1506,0))&amp;" / "&amp;INDEX('CARNET DE SOUDURE'!$Q$7:$Q$1506,MATCH(57,'CARNET DE SOUDURE'!$AP$7:$AP$1506,0)))</f>
        <v/>
      </c>
      <c r="G68" s="108" t="str">
        <f aca="false">IF($B68="","",INDEX('CARNET DE SOUDURE'!$R$7:$R$1506,MATCH(57,'CARNET DE SOUDURE'!$AP$7:$AP$1506,0)))</f>
        <v/>
      </c>
      <c r="H68" s="109" t="str">
        <f aca="false">IF($B68="","",INDEX('CARNET DE SOUDURE'!$AM$7:$AM$1506,MATCH(57,'CARNET DE SOUDURE'!$AP$7:$AP$1506,0)))</f>
        <v/>
      </c>
      <c r="I68" s="110" t="str">
        <f aca="false">IF($B68="","",INDEX('CARNET DE SOUDURE'!$AK$7:$AK$1506,MATCH(57,'CARNET DE SOUDURE'!$AP$7:$AP$1506,0)))</f>
        <v/>
      </c>
      <c r="J68" s="110" t="str">
        <f aca="false">IF($B68="","",INDEX('CARNET DE SOUDURE'!$AN$7:$AN$1506,MATCH(57,'CARNET DE SOUDURE'!$AP$7:$AP$1506,0)))</f>
        <v/>
      </c>
      <c r="K68" s="111"/>
      <c r="L68" s="111"/>
    </row>
    <row r="69" customFormat="false" ht="15" hidden="false" customHeight="false" outlineLevel="0" collapsed="false">
      <c r="B69" s="112" t="str">
        <f aca="false">IF(58&gt;$I$4,"",58)</f>
        <v/>
      </c>
      <c r="C69" s="112" t="str">
        <f aca="false">IF($B69="","",INDEX('CARNET DE SOUDURE'!$B$7:$B$1506,MATCH(58,'CARNET DE SOUDURE'!$AP$7:$AP$1506,0)))</f>
        <v/>
      </c>
      <c r="D69" s="112" t="str">
        <f aca="false">IF($B69="","",INDEX('CARNET DE SOUDURE'!$E$7:$E$1506,MATCH(58,'CARNET DE SOUDURE'!$AP$7:$AP$1506,0)))</f>
        <v/>
      </c>
      <c r="E69" s="112" t="str">
        <f aca="false">IF($B69="","",INDEX('CARNET DE SOUDURE'!$D$7:$D$1506,MATCH(58,'CARNET DE SOUDURE'!$AP$7:$AP$1506,0)))</f>
        <v/>
      </c>
      <c r="F69" s="112" t="str">
        <f aca="false">IF($B69="","",INDEX('CARNET DE SOUDURE'!$O$7:$O$1506,MATCH(58,'CARNET DE SOUDURE'!$AP$7:$AP$1506,0))&amp;" / "&amp;INDEX('CARNET DE SOUDURE'!$P$7:$P$1506,MATCH(58,'CARNET DE SOUDURE'!$AP$7:$AP$1506,0))&amp;" / "&amp;INDEX('CARNET DE SOUDURE'!$Q$7:$Q$1506,MATCH(58,'CARNET DE SOUDURE'!$AP$7:$AP$1506,0)))</f>
        <v/>
      </c>
      <c r="G69" s="113" t="str">
        <f aca="false">IF($B69="","",INDEX('CARNET DE SOUDURE'!$R$7:$R$1506,MATCH(58,'CARNET DE SOUDURE'!$AP$7:$AP$1506,0)))</f>
        <v/>
      </c>
      <c r="H69" s="114" t="str">
        <f aca="false">IF($B69="","",INDEX('CARNET DE SOUDURE'!$AM$7:$AM$1506,MATCH(58,'CARNET DE SOUDURE'!$AP$7:$AP$1506,0)))</f>
        <v/>
      </c>
      <c r="I69" s="115" t="str">
        <f aca="false">IF($B69="","",INDEX('CARNET DE SOUDURE'!$AK$7:$AK$1506,MATCH(58,'CARNET DE SOUDURE'!$AP$7:$AP$1506,0)))</f>
        <v/>
      </c>
      <c r="J69" s="115" t="str">
        <f aca="false">IF($B69="","",INDEX('CARNET DE SOUDURE'!$AN$7:$AN$1506,MATCH(58,'CARNET DE SOUDURE'!$AP$7:$AP$1506,0)))</f>
        <v/>
      </c>
      <c r="K69" s="111"/>
      <c r="L69" s="111"/>
    </row>
    <row r="70" customFormat="false" ht="15" hidden="false" customHeight="false" outlineLevel="0" collapsed="false">
      <c r="B70" s="107" t="str">
        <f aca="false">IF(59&gt;$I$4,"",59)</f>
        <v/>
      </c>
      <c r="C70" s="107" t="str">
        <f aca="false">IF($B70="","",INDEX('CARNET DE SOUDURE'!$B$7:$B$1506,MATCH(59,'CARNET DE SOUDURE'!$AP$7:$AP$1506,0)))</f>
        <v/>
      </c>
      <c r="D70" s="107" t="str">
        <f aca="false">IF($B70="","",INDEX('CARNET DE SOUDURE'!$E$7:$E$1506,MATCH(59,'CARNET DE SOUDURE'!$AP$7:$AP$1506,0)))</f>
        <v/>
      </c>
      <c r="E70" s="107" t="str">
        <f aca="false">IF($B70="","",INDEX('CARNET DE SOUDURE'!$D$7:$D$1506,MATCH(59,'CARNET DE SOUDURE'!$AP$7:$AP$1506,0)))</f>
        <v/>
      </c>
      <c r="F70" s="107" t="str">
        <f aca="false">IF($B70="","",INDEX('CARNET DE SOUDURE'!$O$7:$O$1506,MATCH(59,'CARNET DE SOUDURE'!$AP$7:$AP$1506,0))&amp;" / "&amp;INDEX('CARNET DE SOUDURE'!$P$7:$P$1506,MATCH(59,'CARNET DE SOUDURE'!$AP$7:$AP$1506,0))&amp;" / "&amp;INDEX('CARNET DE SOUDURE'!$Q$7:$Q$1506,MATCH(59,'CARNET DE SOUDURE'!$AP$7:$AP$1506,0)))</f>
        <v/>
      </c>
      <c r="G70" s="108" t="str">
        <f aca="false">IF($B70="","",INDEX('CARNET DE SOUDURE'!$R$7:$R$1506,MATCH(59,'CARNET DE SOUDURE'!$AP$7:$AP$1506,0)))</f>
        <v/>
      </c>
      <c r="H70" s="109" t="str">
        <f aca="false">IF($B70="","",INDEX('CARNET DE SOUDURE'!$AM$7:$AM$1506,MATCH(59,'CARNET DE SOUDURE'!$AP$7:$AP$1506,0)))</f>
        <v/>
      </c>
      <c r="I70" s="110" t="str">
        <f aca="false">IF($B70="","",INDEX('CARNET DE SOUDURE'!$AK$7:$AK$1506,MATCH(59,'CARNET DE SOUDURE'!$AP$7:$AP$1506,0)))</f>
        <v/>
      </c>
      <c r="J70" s="110" t="str">
        <f aca="false">IF($B70="","",INDEX('CARNET DE SOUDURE'!$AN$7:$AN$1506,MATCH(59,'CARNET DE SOUDURE'!$AP$7:$AP$1506,0)))</f>
        <v/>
      </c>
      <c r="K70" s="111"/>
      <c r="L70" s="111"/>
    </row>
    <row r="71" customFormat="false" ht="15" hidden="false" customHeight="false" outlineLevel="0" collapsed="false">
      <c r="B71" s="112" t="str">
        <f aca="false">IF(60&gt;$I$4,"",60)</f>
        <v/>
      </c>
      <c r="C71" s="112" t="str">
        <f aca="false">IF($B71="","",INDEX('CARNET DE SOUDURE'!$B$7:$B$1506,MATCH(60,'CARNET DE SOUDURE'!$AP$7:$AP$1506,0)))</f>
        <v/>
      </c>
      <c r="D71" s="112" t="str">
        <f aca="false">IF($B71="","",INDEX('CARNET DE SOUDURE'!$E$7:$E$1506,MATCH(60,'CARNET DE SOUDURE'!$AP$7:$AP$1506,0)))</f>
        <v/>
      </c>
      <c r="E71" s="112" t="str">
        <f aca="false">IF($B71="","",INDEX('CARNET DE SOUDURE'!$D$7:$D$1506,MATCH(60,'CARNET DE SOUDURE'!$AP$7:$AP$1506,0)))</f>
        <v/>
      </c>
      <c r="F71" s="112" t="str">
        <f aca="false">IF($B71="","",INDEX('CARNET DE SOUDURE'!$O$7:$O$1506,MATCH(60,'CARNET DE SOUDURE'!$AP$7:$AP$1506,0))&amp;" / "&amp;INDEX('CARNET DE SOUDURE'!$P$7:$P$1506,MATCH(60,'CARNET DE SOUDURE'!$AP$7:$AP$1506,0))&amp;" / "&amp;INDEX('CARNET DE SOUDURE'!$Q$7:$Q$1506,MATCH(60,'CARNET DE SOUDURE'!$AP$7:$AP$1506,0)))</f>
        <v/>
      </c>
      <c r="G71" s="113" t="str">
        <f aca="false">IF($B71="","",INDEX('CARNET DE SOUDURE'!$R$7:$R$1506,MATCH(60,'CARNET DE SOUDURE'!$AP$7:$AP$1506,0)))</f>
        <v/>
      </c>
      <c r="H71" s="114" t="str">
        <f aca="false">IF($B71="","",INDEX('CARNET DE SOUDURE'!$AM$7:$AM$1506,MATCH(60,'CARNET DE SOUDURE'!$AP$7:$AP$1506,0)))</f>
        <v/>
      </c>
      <c r="I71" s="115" t="str">
        <f aca="false">IF($B71="","",INDEX('CARNET DE SOUDURE'!$AK$7:$AK$1506,MATCH(60,'CARNET DE SOUDURE'!$AP$7:$AP$1506,0)))</f>
        <v/>
      </c>
      <c r="J71" s="115" t="str">
        <f aca="false">IF($B71="","",INDEX('CARNET DE SOUDURE'!$AN$7:$AN$1506,MATCH(60,'CARNET DE SOUDURE'!$AP$7:$AP$1506,0)))</f>
        <v/>
      </c>
      <c r="K71" s="111"/>
      <c r="L71" s="111"/>
    </row>
    <row r="72" customFormat="false" ht="15" hidden="false" customHeight="false" outlineLevel="0" collapsed="false">
      <c r="B72" s="107" t="str">
        <f aca="false">IF(61&gt;$I$4,"",61)</f>
        <v/>
      </c>
      <c r="C72" s="107" t="str">
        <f aca="false">IF($B72="","",INDEX('CARNET DE SOUDURE'!$B$7:$B$1506,MATCH(61,'CARNET DE SOUDURE'!$AP$7:$AP$1506,0)))</f>
        <v/>
      </c>
      <c r="D72" s="107" t="str">
        <f aca="false">IF($B72="","",INDEX('CARNET DE SOUDURE'!$E$7:$E$1506,MATCH(61,'CARNET DE SOUDURE'!$AP$7:$AP$1506,0)))</f>
        <v/>
      </c>
      <c r="E72" s="107" t="str">
        <f aca="false">IF($B72="","",INDEX('CARNET DE SOUDURE'!$D$7:$D$1506,MATCH(61,'CARNET DE SOUDURE'!$AP$7:$AP$1506,0)))</f>
        <v/>
      </c>
      <c r="F72" s="107" t="str">
        <f aca="false">IF($B72="","",INDEX('CARNET DE SOUDURE'!$O$7:$O$1506,MATCH(61,'CARNET DE SOUDURE'!$AP$7:$AP$1506,0))&amp;" / "&amp;INDEX('CARNET DE SOUDURE'!$P$7:$P$1506,MATCH(61,'CARNET DE SOUDURE'!$AP$7:$AP$1506,0))&amp;" / "&amp;INDEX('CARNET DE SOUDURE'!$Q$7:$Q$1506,MATCH(61,'CARNET DE SOUDURE'!$AP$7:$AP$1506,0)))</f>
        <v/>
      </c>
      <c r="G72" s="108" t="str">
        <f aca="false">IF($B72="","",INDEX('CARNET DE SOUDURE'!$R$7:$R$1506,MATCH(61,'CARNET DE SOUDURE'!$AP$7:$AP$1506,0)))</f>
        <v/>
      </c>
      <c r="H72" s="109" t="str">
        <f aca="false">IF($B72="","",INDEX('CARNET DE SOUDURE'!$AM$7:$AM$1506,MATCH(61,'CARNET DE SOUDURE'!$AP$7:$AP$1506,0)))</f>
        <v/>
      </c>
      <c r="I72" s="110" t="str">
        <f aca="false">IF($B72="","",INDEX('CARNET DE SOUDURE'!$AK$7:$AK$1506,MATCH(61,'CARNET DE SOUDURE'!$AP$7:$AP$1506,0)))</f>
        <v/>
      </c>
      <c r="J72" s="110" t="str">
        <f aca="false">IF($B72="","",INDEX('CARNET DE SOUDURE'!$AN$7:$AN$1506,MATCH(61,'CARNET DE SOUDURE'!$AP$7:$AP$1506,0)))</f>
        <v/>
      </c>
      <c r="K72" s="111"/>
      <c r="L72" s="111"/>
    </row>
    <row r="73" customFormat="false" ht="15" hidden="false" customHeight="false" outlineLevel="0" collapsed="false">
      <c r="B73" s="112" t="str">
        <f aca="false">IF(62&gt;$I$4,"",62)</f>
        <v/>
      </c>
      <c r="C73" s="112" t="str">
        <f aca="false">IF($B73="","",INDEX('CARNET DE SOUDURE'!$B$7:$B$1506,MATCH(62,'CARNET DE SOUDURE'!$AP$7:$AP$1506,0)))</f>
        <v/>
      </c>
      <c r="D73" s="112" t="str">
        <f aca="false">IF($B73="","",INDEX('CARNET DE SOUDURE'!$E$7:$E$1506,MATCH(62,'CARNET DE SOUDURE'!$AP$7:$AP$1506,0)))</f>
        <v/>
      </c>
      <c r="E73" s="112" t="str">
        <f aca="false">IF($B73="","",INDEX('CARNET DE SOUDURE'!$D$7:$D$1506,MATCH(62,'CARNET DE SOUDURE'!$AP$7:$AP$1506,0)))</f>
        <v/>
      </c>
      <c r="F73" s="112" t="str">
        <f aca="false">IF($B73="","",INDEX('CARNET DE SOUDURE'!$O$7:$O$1506,MATCH(62,'CARNET DE SOUDURE'!$AP$7:$AP$1506,0))&amp;" / "&amp;INDEX('CARNET DE SOUDURE'!$P$7:$P$1506,MATCH(62,'CARNET DE SOUDURE'!$AP$7:$AP$1506,0))&amp;" / "&amp;INDEX('CARNET DE SOUDURE'!$Q$7:$Q$1506,MATCH(62,'CARNET DE SOUDURE'!$AP$7:$AP$1506,0)))</f>
        <v/>
      </c>
      <c r="G73" s="113" t="str">
        <f aca="false">IF($B73="","",INDEX('CARNET DE SOUDURE'!$R$7:$R$1506,MATCH(62,'CARNET DE SOUDURE'!$AP$7:$AP$1506,0)))</f>
        <v/>
      </c>
      <c r="H73" s="114" t="str">
        <f aca="false">IF($B73="","",INDEX('CARNET DE SOUDURE'!$AM$7:$AM$1506,MATCH(62,'CARNET DE SOUDURE'!$AP$7:$AP$1506,0)))</f>
        <v/>
      </c>
      <c r="I73" s="115" t="str">
        <f aca="false">IF($B73="","",INDEX('CARNET DE SOUDURE'!$AK$7:$AK$1506,MATCH(62,'CARNET DE SOUDURE'!$AP$7:$AP$1506,0)))</f>
        <v/>
      </c>
      <c r="J73" s="115" t="str">
        <f aca="false">IF($B73="","",INDEX('CARNET DE SOUDURE'!$AN$7:$AN$1506,MATCH(62,'CARNET DE SOUDURE'!$AP$7:$AP$1506,0)))</f>
        <v/>
      </c>
      <c r="K73" s="111"/>
      <c r="L73" s="111"/>
    </row>
    <row r="74" customFormat="false" ht="15" hidden="false" customHeight="false" outlineLevel="0" collapsed="false">
      <c r="B74" s="107" t="str">
        <f aca="false">IF(63&gt;$I$4,"",63)</f>
        <v/>
      </c>
      <c r="C74" s="107" t="str">
        <f aca="false">IF($B74="","",INDEX('CARNET DE SOUDURE'!$B$7:$B$1506,MATCH(63,'CARNET DE SOUDURE'!$AP$7:$AP$1506,0)))</f>
        <v/>
      </c>
      <c r="D74" s="107" t="str">
        <f aca="false">IF($B74="","",INDEX('CARNET DE SOUDURE'!$E$7:$E$1506,MATCH(63,'CARNET DE SOUDURE'!$AP$7:$AP$1506,0)))</f>
        <v/>
      </c>
      <c r="E74" s="107" t="str">
        <f aca="false">IF($B74="","",INDEX('CARNET DE SOUDURE'!$D$7:$D$1506,MATCH(63,'CARNET DE SOUDURE'!$AP$7:$AP$1506,0)))</f>
        <v/>
      </c>
      <c r="F74" s="107" t="str">
        <f aca="false">IF($B74="","",INDEX('CARNET DE SOUDURE'!$O$7:$O$1506,MATCH(63,'CARNET DE SOUDURE'!$AP$7:$AP$1506,0))&amp;" / "&amp;INDEX('CARNET DE SOUDURE'!$P$7:$P$1506,MATCH(63,'CARNET DE SOUDURE'!$AP$7:$AP$1506,0))&amp;" / "&amp;INDEX('CARNET DE SOUDURE'!$Q$7:$Q$1506,MATCH(63,'CARNET DE SOUDURE'!$AP$7:$AP$1506,0)))</f>
        <v/>
      </c>
      <c r="G74" s="108" t="str">
        <f aca="false">IF($B74="","",INDEX('CARNET DE SOUDURE'!$R$7:$R$1506,MATCH(63,'CARNET DE SOUDURE'!$AP$7:$AP$1506,0)))</f>
        <v/>
      </c>
      <c r="H74" s="109" t="str">
        <f aca="false">IF($B74="","",INDEX('CARNET DE SOUDURE'!$AM$7:$AM$1506,MATCH(63,'CARNET DE SOUDURE'!$AP$7:$AP$1506,0)))</f>
        <v/>
      </c>
      <c r="I74" s="110" t="str">
        <f aca="false">IF($B74="","",INDEX('CARNET DE SOUDURE'!$AK$7:$AK$1506,MATCH(63,'CARNET DE SOUDURE'!$AP$7:$AP$1506,0)))</f>
        <v/>
      </c>
      <c r="J74" s="110" t="str">
        <f aca="false">IF($B74="","",INDEX('CARNET DE SOUDURE'!$AN$7:$AN$1506,MATCH(63,'CARNET DE SOUDURE'!$AP$7:$AP$1506,0)))</f>
        <v/>
      </c>
      <c r="K74" s="111"/>
      <c r="L74" s="111"/>
    </row>
    <row r="75" customFormat="false" ht="15" hidden="false" customHeight="false" outlineLevel="0" collapsed="false">
      <c r="B75" s="112" t="str">
        <f aca="false">IF(64&gt;$I$4,"",64)</f>
        <v/>
      </c>
      <c r="C75" s="112" t="str">
        <f aca="false">IF($B75="","",INDEX('CARNET DE SOUDURE'!$B$7:$B$1506,MATCH(64,'CARNET DE SOUDURE'!$AP$7:$AP$1506,0)))</f>
        <v/>
      </c>
      <c r="D75" s="112" t="str">
        <f aca="false">IF($B75="","",INDEX('CARNET DE SOUDURE'!$E$7:$E$1506,MATCH(64,'CARNET DE SOUDURE'!$AP$7:$AP$1506,0)))</f>
        <v/>
      </c>
      <c r="E75" s="112" t="str">
        <f aca="false">IF($B75="","",INDEX('CARNET DE SOUDURE'!$D$7:$D$1506,MATCH(64,'CARNET DE SOUDURE'!$AP$7:$AP$1506,0)))</f>
        <v/>
      </c>
      <c r="F75" s="112" t="str">
        <f aca="false">IF($B75="","",INDEX('CARNET DE SOUDURE'!$O$7:$O$1506,MATCH(64,'CARNET DE SOUDURE'!$AP$7:$AP$1506,0))&amp;" / "&amp;INDEX('CARNET DE SOUDURE'!$P$7:$P$1506,MATCH(64,'CARNET DE SOUDURE'!$AP$7:$AP$1506,0))&amp;" / "&amp;INDEX('CARNET DE SOUDURE'!$Q$7:$Q$1506,MATCH(64,'CARNET DE SOUDURE'!$AP$7:$AP$1506,0)))</f>
        <v/>
      </c>
      <c r="G75" s="113" t="str">
        <f aca="false">IF($B75="","",INDEX('CARNET DE SOUDURE'!$R$7:$R$1506,MATCH(64,'CARNET DE SOUDURE'!$AP$7:$AP$1506,0)))</f>
        <v/>
      </c>
      <c r="H75" s="114" t="str">
        <f aca="false">IF($B75="","",INDEX('CARNET DE SOUDURE'!$AM$7:$AM$1506,MATCH(64,'CARNET DE SOUDURE'!$AP$7:$AP$1506,0)))</f>
        <v/>
      </c>
      <c r="I75" s="115" t="str">
        <f aca="false">IF($B75="","",INDEX('CARNET DE SOUDURE'!$AK$7:$AK$1506,MATCH(64,'CARNET DE SOUDURE'!$AP$7:$AP$1506,0)))</f>
        <v/>
      </c>
      <c r="J75" s="115" t="str">
        <f aca="false">IF($B75="","",INDEX('CARNET DE SOUDURE'!$AN$7:$AN$1506,MATCH(64,'CARNET DE SOUDURE'!$AP$7:$AP$1506,0)))</f>
        <v/>
      </c>
      <c r="K75" s="111"/>
      <c r="L75" s="111"/>
    </row>
    <row r="76" customFormat="false" ht="15" hidden="false" customHeight="false" outlineLevel="0" collapsed="false">
      <c r="B76" s="107" t="str">
        <f aca="false">IF(65&gt;$I$4,"",65)</f>
        <v/>
      </c>
      <c r="C76" s="107" t="str">
        <f aca="false">IF($B76="","",INDEX('CARNET DE SOUDURE'!$B$7:$B$1506,MATCH(65,'CARNET DE SOUDURE'!$AP$7:$AP$1506,0)))</f>
        <v/>
      </c>
      <c r="D76" s="107" t="str">
        <f aca="false">IF($B76="","",INDEX('CARNET DE SOUDURE'!$E$7:$E$1506,MATCH(65,'CARNET DE SOUDURE'!$AP$7:$AP$1506,0)))</f>
        <v/>
      </c>
      <c r="E76" s="107" t="str">
        <f aca="false">IF($B76="","",INDEX('CARNET DE SOUDURE'!$D$7:$D$1506,MATCH(65,'CARNET DE SOUDURE'!$AP$7:$AP$1506,0)))</f>
        <v/>
      </c>
      <c r="F76" s="107" t="str">
        <f aca="false">IF($B76="","",INDEX('CARNET DE SOUDURE'!$O$7:$O$1506,MATCH(65,'CARNET DE SOUDURE'!$AP$7:$AP$1506,0))&amp;" / "&amp;INDEX('CARNET DE SOUDURE'!$P$7:$P$1506,MATCH(65,'CARNET DE SOUDURE'!$AP$7:$AP$1506,0))&amp;" / "&amp;INDEX('CARNET DE SOUDURE'!$Q$7:$Q$1506,MATCH(65,'CARNET DE SOUDURE'!$AP$7:$AP$1506,0)))</f>
        <v/>
      </c>
      <c r="G76" s="108" t="str">
        <f aca="false">IF($B76="","",INDEX('CARNET DE SOUDURE'!$R$7:$R$1506,MATCH(65,'CARNET DE SOUDURE'!$AP$7:$AP$1506,0)))</f>
        <v/>
      </c>
      <c r="H76" s="109" t="str">
        <f aca="false">IF($B76="","",INDEX('CARNET DE SOUDURE'!$AM$7:$AM$1506,MATCH(65,'CARNET DE SOUDURE'!$AP$7:$AP$1506,0)))</f>
        <v/>
      </c>
      <c r="I76" s="110" t="str">
        <f aca="false">IF($B76="","",INDEX('CARNET DE SOUDURE'!$AK$7:$AK$1506,MATCH(65,'CARNET DE SOUDURE'!$AP$7:$AP$1506,0)))</f>
        <v/>
      </c>
      <c r="J76" s="110" t="str">
        <f aca="false">IF($B76="","",INDEX('CARNET DE SOUDURE'!$AN$7:$AN$1506,MATCH(65,'CARNET DE SOUDURE'!$AP$7:$AP$1506,0)))</f>
        <v/>
      </c>
      <c r="K76" s="111"/>
      <c r="L76" s="111"/>
    </row>
    <row r="77" customFormat="false" ht="15" hidden="false" customHeight="false" outlineLevel="0" collapsed="false">
      <c r="B77" s="112" t="str">
        <f aca="false">IF(66&gt;$I$4,"",66)</f>
        <v/>
      </c>
      <c r="C77" s="112" t="str">
        <f aca="false">IF($B77="","",INDEX('CARNET DE SOUDURE'!$B$7:$B$1506,MATCH(66,'CARNET DE SOUDURE'!$AP$7:$AP$1506,0)))</f>
        <v/>
      </c>
      <c r="D77" s="112" t="str">
        <f aca="false">IF($B77="","",INDEX('CARNET DE SOUDURE'!$E$7:$E$1506,MATCH(66,'CARNET DE SOUDURE'!$AP$7:$AP$1506,0)))</f>
        <v/>
      </c>
      <c r="E77" s="112" t="str">
        <f aca="false">IF($B77="","",INDEX('CARNET DE SOUDURE'!$D$7:$D$1506,MATCH(66,'CARNET DE SOUDURE'!$AP$7:$AP$1506,0)))</f>
        <v/>
      </c>
      <c r="F77" s="112" t="str">
        <f aca="false">IF($B77="","",INDEX('CARNET DE SOUDURE'!$O$7:$O$1506,MATCH(66,'CARNET DE SOUDURE'!$AP$7:$AP$1506,0))&amp;" / "&amp;INDEX('CARNET DE SOUDURE'!$P$7:$P$1506,MATCH(66,'CARNET DE SOUDURE'!$AP$7:$AP$1506,0))&amp;" / "&amp;INDEX('CARNET DE SOUDURE'!$Q$7:$Q$1506,MATCH(66,'CARNET DE SOUDURE'!$AP$7:$AP$1506,0)))</f>
        <v/>
      </c>
      <c r="G77" s="113" t="str">
        <f aca="false">IF($B77="","",INDEX('CARNET DE SOUDURE'!$R$7:$R$1506,MATCH(66,'CARNET DE SOUDURE'!$AP$7:$AP$1506,0)))</f>
        <v/>
      </c>
      <c r="H77" s="114" t="str">
        <f aca="false">IF($B77="","",INDEX('CARNET DE SOUDURE'!$AM$7:$AM$1506,MATCH(66,'CARNET DE SOUDURE'!$AP$7:$AP$1506,0)))</f>
        <v/>
      </c>
      <c r="I77" s="115" t="str">
        <f aca="false">IF($B77="","",INDEX('CARNET DE SOUDURE'!$AK$7:$AK$1506,MATCH(66,'CARNET DE SOUDURE'!$AP$7:$AP$1506,0)))</f>
        <v/>
      </c>
      <c r="J77" s="115" t="str">
        <f aca="false">IF($B77="","",INDEX('CARNET DE SOUDURE'!$AN$7:$AN$1506,MATCH(66,'CARNET DE SOUDURE'!$AP$7:$AP$1506,0)))</f>
        <v/>
      </c>
      <c r="K77" s="111"/>
      <c r="L77" s="111"/>
    </row>
    <row r="78" customFormat="false" ht="15" hidden="false" customHeight="false" outlineLevel="0" collapsed="false">
      <c r="B78" s="107" t="str">
        <f aca="false">IF(67&gt;$I$4,"",67)</f>
        <v/>
      </c>
      <c r="C78" s="107" t="str">
        <f aca="false">IF($B78="","",INDEX('CARNET DE SOUDURE'!$B$7:$B$1506,MATCH(67,'CARNET DE SOUDURE'!$AP$7:$AP$1506,0)))</f>
        <v/>
      </c>
      <c r="D78" s="107" t="str">
        <f aca="false">IF($B78="","",INDEX('CARNET DE SOUDURE'!$E$7:$E$1506,MATCH(67,'CARNET DE SOUDURE'!$AP$7:$AP$1506,0)))</f>
        <v/>
      </c>
      <c r="E78" s="107" t="str">
        <f aca="false">IF($B78="","",INDEX('CARNET DE SOUDURE'!$D$7:$D$1506,MATCH(67,'CARNET DE SOUDURE'!$AP$7:$AP$1506,0)))</f>
        <v/>
      </c>
      <c r="F78" s="107" t="str">
        <f aca="false">IF($B78="","",INDEX('CARNET DE SOUDURE'!$O$7:$O$1506,MATCH(67,'CARNET DE SOUDURE'!$AP$7:$AP$1506,0))&amp;" / "&amp;INDEX('CARNET DE SOUDURE'!$P$7:$P$1506,MATCH(67,'CARNET DE SOUDURE'!$AP$7:$AP$1506,0))&amp;" / "&amp;INDEX('CARNET DE SOUDURE'!$Q$7:$Q$1506,MATCH(67,'CARNET DE SOUDURE'!$AP$7:$AP$1506,0)))</f>
        <v/>
      </c>
      <c r="G78" s="108" t="str">
        <f aca="false">IF($B78="","",INDEX('CARNET DE SOUDURE'!$R$7:$R$1506,MATCH(67,'CARNET DE SOUDURE'!$AP$7:$AP$1506,0)))</f>
        <v/>
      </c>
      <c r="H78" s="109" t="str">
        <f aca="false">IF($B78="","",INDEX('CARNET DE SOUDURE'!$AM$7:$AM$1506,MATCH(67,'CARNET DE SOUDURE'!$AP$7:$AP$1506,0)))</f>
        <v/>
      </c>
      <c r="I78" s="110" t="str">
        <f aca="false">IF($B78="","",INDEX('CARNET DE SOUDURE'!$AK$7:$AK$1506,MATCH(67,'CARNET DE SOUDURE'!$AP$7:$AP$1506,0)))</f>
        <v/>
      </c>
      <c r="J78" s="110" t="str">
        <f aca="false">IF($B78="","",INDEX('CARNET DE SOUDURE'!$AN$7:$AN$1506,MATCH(67,'CARNET DE SOUDURE'!$AP$7:$AP$1506,0)))</f>
        <v/>
      </c>
      <c r="K78" s="111"/>
      <c r="L78" s="111"/>
    </row>
    <row r="79" customFormat="false" ht="15" hidden="false" customHeight="false" outlineLevel="0" collapsed="false">
      <c r="B79" s="112" t="str">
        <f aca="false">IF(68&gt;$I$4,"",68)</f>
        <v/>
      </c>
      <c r="C79" s="112" t="str">
        <f aca="false">IF($B79="","",INDEX('CARNET DE SOUDURE'!$B$7:$B$1506,MATCH(68,'CARNET DE SOUDURE'!$AP$7:$AP$1506,0)))</f>
        <v/>
      </c>
      <c r="D79" s="112" t="str">
        <f aca="false">IF($B79="","",INDEX('CARNET DE SOUDURE'!$E$7:$E$1506,MATCH(68,'CARNET DE SOUDURE'!$AP$7:$AP$1506,0)))</f>
        <v/>
      </c>
      <c r="E79" s="112" t="str">
        <f aca="false">IF($B79="","",INDEX('CARNET DE SOUDURE'!$D$7:$D$1506,MATCH(68,'CARNET DE SOUDURE'!$AP$7:$AP$1506,0)))</f>
        <v/>
      </c>
      <c r="F79" s="112" t="str">
        <f aca="false">IF($B79="","",INDEX('CARNET DE SOUDURE'!$O$7:$O$1506,MATCH(68,'CARNET DE SOUDURE'!$AP$7:$AP$1506,0))&amp;" / "&amp;INDEX('CARNET DE SOUDURE'!$P$7:$P$1506,MATCH(68,'CARNET DE SOUDURE'!$AP$7:$AP$1506,0))&amp;" / "&amp;INDEX('CARNET DE SOUDURE'!$Q$7:$Q$1506,MATCH(68,'CARNET DE SOUDURE'!$AP$7:$AP$1506,0)))</f>
        <v/>
      </c>
      <c r="G79" s="113" t="str">
        <f aca="false">IF($B79="","",INDEX('CARNET DE SOUDURE'!$R$7:$R$1506,MATCH(68,'CARNET DE SOUDURE'!$AP$7:$AP$1506,0)))</f>
        <v/>
      </c>
      <c r="H79" s="114" t="str">
        <f aca="false">IF($B79="","",INDEX('CARNET DE SOUDURE'!$AM$7:$AM$1506,MATCH(68,'CARNET DE SOUDURE'!$AP$7:$AP$1506,0)))</f>
        <v/>
      </c>
      <c r="I79" s="115" t="str">
        <f aca="false">IF($B79="","",INDEX('CARNET DE SOUDURE'!$AK$7:$AK$1506,MATCH(68,'CARNET DE SOUDURE'!$AP$7:$AP$1506,0)))</f>
        <v/>
      </c>
      <c r="J79" s="115" t="str">
        <f aca="false">IF($B79="","",INDEX('CARNET DE SOUDURE'!$AN$7:$AN$1506,MATCH(68,'CARNET DE SOUDURE'!$AP$7:$AP$1506,0)))</f>
        <v/>
      </c>
      <c r="K79" s="111"/>
      <c r="L79" s="111"/>
    </row>
    <row r="80" customFormat="false" ht="15" hidden="false" customHeight="false" outlineLevel="0" collapsed="false">
      <c r="B80" s="107" t="str">
        <f aca="false">IF(69&gt;$I$4,"",69)</f>
        <v/>
      </c>
      <c r="C80" s="107" t="str">
        <f aca="false">IF($B80="","",INDEX('CARNET DE SOUDURE'!$B$7:$B$1506,MATCH(69,'CARNET DE SOUDURE'!$AP$7:$AP$1506,0)))</f>
        <v/>
      </c>
      <c r="D80" s="107" t="str">
        <f aca="false">IF($B80="","",INDEX('CARNET DE SOUDURE'!$E$7:$E$1506,MATCH(69,'CARNET DE SOUDURE'!$AP$7:$AP$1506,0)))</f>
        <v/>
      </c>
      <c r="E80" s="107" t="str">
        <f aca="false">IF($B80="","",INDEX('CARNET DE SOUDURE'!$D$7:$D$1506,MATCH(69,'CARNET DE SOUDURE'!$AP$7:$AP$1506,0)))</f>
        <v/>
      </c>
      <c r="F80" s="107" t="str">
        <f aca="false">IF($B80="","",INDEX('CARNET DE SOUDURE'!$O$7:$O$1506,MATCH(69,'CARNET DE SOUDURE'!$AP$7:$AP$1506,0))&amp;" / "&amp;INDEX('CARNET DE SOUDURE'!$P$7:$P$1506,MATCH(69,'CARNET DE SOUDURE'!$AP$7:$AP$1506,0))&amp;" / "&amp;INDEX('CARNET DE SOUDURE'!$Q$7:$Q$1506,MATCH(69,'CARNET DE SOUDURE'!$AP$7:$AP$1506,0)))</f>
        <v/>
      </c>
      <c r="G80" s="108" t="str">
        <f aca="false">IF($B80="","",INDEX('CARNET DE SOUDURE'!$R$7:$R$1506,MATCH(69,'CARNET DE SOUDURE'!$AP$7:$AP$1506,0)))</f>
        <v/>
      </c>
      <c r="H80" s="109" t="str">
        <f aca="false">IF($B80="","",INDEX('CARNET DE SOUDURE'!$AM$7:$AM$1506,MATCH(69,'CARNET DE SOUDURE'!$AP$7:$AP$1506,0)))</f>
        <v/>
      </c>
      <c r="I80" s="110" t="str">
        <f aca="false">IF($B80="","",INDEX('CARNET DE SOUDURE'!$AK$7:$AK$1506,MATCH(69,'CARNET DE SOUDURE'!$AP$7:$AP$1506,0)))</f>
        <v/>
      </c>
      <c r="J80" s="110" t="str">
        <f aca="false">IF($B80="","",INDEX('CARNET DE SOUDURE'!$AN$7:$AN$1506,MATCH(69,'CARNET DE SOUDURE'!$AP$7:$AP$1506,0)))</f>
        <v/>
      </c>
      <c r="K80" s="111"/>
      <c r="L80" s="111"/>
    </row>
    <row r="81" customFormat="false" ht="15" hidden="false" customHeight="false" outlineLevel="0" collapsed="false">
      <c r="B81" s="112" t="str">
        <f aca="false">IF(70&gt;$I$4,"",70)</f>
        <v/>
      </c>
      <c r="C81" s="112" t="str">
        <f aca="false">IF($B81="","",INDEX('CARNET DE SOUDURE'!$B$7:$B$1506,MATCH(70,'CARNET DE SOUDURE'!$AP$7:$AP$1506,0)))</f>
        <v/>
      </c>
      <c r="D81" s="112" t="str">
        <f aca="false">IF($B81="","",INDEX('CARNET DE SOUDURE'!$E$7:$E$1506,MATCH(70,'CARNET DE SOUDURE'!$AP$7:$AP$1506,0)))</f>
        <v/>
      </c>
      <c r="E81" s="112" t="str">
        <f aca="false">IF($B81="","",INDEX('CARNET DE SOUDURE'!$D$7:$D$1506,MATCH(70,'CARNET DE SOUDURE'!$AP$7:$AP$1506,0)))</f>
        <v/>
      </c>
      <c r="F81" s="112" t="str">
        <f aca="false">IF($B81="","",INDEX('CARNET DE SOUDURE'!$O$7:$O$1506,MATCH(70,'CARNET DE SOUDURE'!$AP$7:$AP$1506,0))&amp;" / "&amp;INDEX('CARNET DE SOUDURE'!$P$7:$P$1506,MATCH(70,'CARNET DE SOUDURE'!$AP$7:$AP$1506,0))&amp;" / "&amp;INDEX('CARNET DE SOUDURE'!$Q$7:$Q$1506,MATCH(70,'CARNET DE SOUDURE'!$AP$7:$AP$1506,0)))</f>
        <v/>
      </c>
      <c r="G81" s="113" t="str">
        <f aca="false">IF($B81="","",INDEX('CARNET DE SOUDURE'!$R$7:$R$1506,MATCH(70,'CARNET DE SOUDURE'!$AP$7:$AP$1506,0)))</f>
        <v/>
      </c>
      <c r="H81" s="114" t="str">
        <f aca="false">IF($B81="","",INDEX('CARNET DE SOUDURE'!$AM$7:$AM$1506,MATCH(70,'CARNET DE SOUDURE'!$AP$7:$AP$1506,0)))</f>
        <v/>
      </c>
      <c r="I81" s="115" t="str">
        <f aca="false">IF($B81="","",INDEX('CARNET DE SOUDURE'!$AK$7:$AK$1506,MATCH(70,'CARNET DE SOUDURE'!$AP$7:$AP$1506,0)))</f>
        <v/>
      </c>
      <c r="J81" s="115" t="str">
        <f aca="false">IF($B81="","",INDEX('CARNET DE SOUDURE'!$AN$7:$AN$1506,MATCH(70,'CARNET DE SOUDURE'!$AP$7:$AP$1506,0)))</f>
        <v/>
      </c>
      <c r="K81" s="111"/>
      <c r="L81" s="111"/>
    </row>
    <row r="82" customFormat="false" ht="15" hidden="false" customHeight="false" outlineLevel="0" collapsed="false">
      <c r="B82" s="107" t="str">
        <f aca="false">IF(71&gt;$I$4,"",71)</f>
        <v/>
      </c>
      <c r="C82" s="107" t="str">
        <f aca="false">IF($B82="","",INDEX('CARNET DE SOUDURE'!$B$7:$B$1506,MATCH(71,'CARNET DE SOUDURE'!$AP$7:$AP$1506,0)))</f>
        <v/>
      </c>
      <c r="D82" s="107" t="str">
        <f aca="false">IF($B82="","",INDEX('CARNET DE SOUDURE'!$E$7:$E$1506,MATCH(71,'CARNET DE SOUDURE'!$AP$7:$AP$1506,0)))</f>
        <v/>
      </c>
      <c r="E82" s="107" t="str">
        <f aca="false">IF($B82="","",INDEX('CARNET DE SOUDURE'!$D$7:$D$1506,MATCH(71,'CARNET DE SOUDURE'!$AP$7:$AP$1506,0)))</f>
        <v/>
      </c>
      <c r="F82" s="107" t="str">
        <f aca="false">IF($B82="","",INDEX('CARNET DE SOUDURE'!$O$7:$O$1506,MATCH(71,'CARNET DE SOUDURE'!$AP$7:$AP$1506,0))&amp;" / "&amp;INDEX('CARNET DE SOUDURE'!$P$7:$P$1506,MATCH(71,'CARNET DE SOUDURE'!$AP$7:$AP$1506,0))&amp;" / "&amp;INDEX('CARNET DE SOUDURE'!$Q$7:$Q$1506,MATCH(71,'CARNET DE SOUDURE'!$AP$7:$AP$1506,0)))</f>
        <v/>
      </c>
      <c r="G82" s="108" t="str">
        <f aca="false">IF($B82="","",INDEX('CARNET DE SOUDURE'!$R$7:$R$1506,MATCH(71,'CARNET DE SOUDURE'!$AP$7:$AP$1506,0)))</f>
        <v/>
      </c>
      <c r="H82" s="109" t="str">
        <f aca="false">IF($B82="","",INDEX('CARNET DE SOUDURE'!$AM$7:$AM$1506,MATCH(71,'CARNET DE SOUDURE'!$AP$7:$AP$1506,0)))</f>
        <v/>
      </c>
      <c r="I82" s="110" t="str">
        <f aca="false">IF($B82="","",INDEX('CARNET DE SOUDURE'!$AK$7:$AK$1506,MATCH(71,'CARNET DE SOUDURE'!$AP$7:$AP$1506,0)))</f>
        <v/>
      </c>
      <c r="J82" s="110" t="str">
        <f aca="false">IF($B82="","",INDEX('CARNET DE SOUDURE'!$AN$7:$AN$1506,MATCH(71,'CARNET DE SOUDURE'!$AP$7:$AP$1506,0)))</f>
        <v/>
      </c>
      <c r="K82" s="111"/>
      <c r="L82" s="111"/>
    </row>
    <row r="83" customFormat="false" ht="15" hidden="false" customHeight="false" outlineLevel="0" collapsed="false">
      <c r="B83" s="112" t="str">
        <f aca="false">IF(72&gt;$I$4,"",72)</f>
        <v/>
      </c>
      <c r="C83" s="112" t="str">
        <f aca="false">IF($B83="","",INDEX('CARNET DE SOUDURE'!$B$7:$B$1506,MATCH(72,'CARNET DE SOUDURE'!$AP$7:$AP$1506,0)))</f>
        <v/>
      </c>
      <c r="D83" s="112" t="str">
        <f aca="false">IF($B83="","",INDEX('CARNET DE SOUDURE'!$E$7:$E$1506,MATCH(72,'CARNET DE SOUDURE'!$AP$7:$AP$1506,0)))</f>
        <v/>
      </c>
      <c r="E83" s="112" t="str">
        <f aca="false">IF($B83="","",INDEX('CARNET DE SOUDURE'!$D$7:$D$1506,MATCH(72,'CARNET DE SOUDURE'!$AP$7:$AP$1506,0)))</f>
        <v/>
      </c>
      <c r="F83" s="112" t="str">
        <f aca="false">IF($B83="","",INDEX('CARNET DE SOUDURE'!$O$7:$O$1506,MATCH(72,'CARNET DE SOUDURE'!$AP$7:$AP$1506,0))&amp;" / "&amp;INDEX('CARNET DE SOUDURE'!$P$7:$P$1506,MATCH(72,'CARNET DE SOUDURE'!$AP$7:$AP$1506,0))&amp;" / "&amp;INDEX('CARNET DE SOUDURE'!$Q$7:$Q$1506,MATCH(72,'CARNET DE SOUDURE'!$AP$7:$AP$1506,0)))</f>
        <v/>
      </c>
      <c r="G83" s="113" t="str">
        <f aca="false">IF($B83="","",INDEX('CARNET DE SOUDURE'!$R$7:$R$1506,MATCH(72,'CARNET DE SOUDURE'!$AP$7:$AP$1506,0)))</f>
        <v/>
      </c>
      <c r="H83" s="114" t="str">
        <f aca="false">IF($B83="","",INDEX('CARNET DE SOUDURE'!$AM$7:$AM$1506,MATCH(72,'CARNET DE SOUDURE'!$AP$7:$AP$1506,0)))</f>
        <v/>
      </c>
      <c r="I83" s="115" t="str">
        <f aca="false">IF($B83="","",INDEX('CARNET DE SOUDURE'!$AK$7:$AK$1506,MATCH(72,'CARNET DE SOUDURE'!$AP$7:$AP$1506,0)))</f>
        <v/>
      </c>
      <c r="J83" s="115" t="str">
        <f aca="false">IF($B83="","",INDEX('CARNET DE SOUDURE'!$AN$7:$AN$1506,MATCH(72,'CARNET DE SOUDURE'!$AP$7:$AP$1506,0)))</f>
        <v/>
      </c>
      <c r="K83" s="111"/>
      <c r="L83" s="111"/>
    </row>
    <row r="84" customFormat="false" ht="15" hidden="false" customHeight="false" outlineLevel="0" collapsed="false">
      <c r="B84" s="107" t="str">
        <f aca="false">IF(73&gt;$I$4,"",73)</f>
        <v/>
      </c>
      <c r="C84" s="107" t="str">
        <f aca="false">IF($B84="","",INDEX('CARNET DE SOUDURE'!$B$7:$B$1506,MATCH(73,'CARNET DE SOUDURE'!$AP$7:$AP$1506,0)))</f>
        <v/>
      </c>
      <c r="D84" s="107" t="str">
        <f aca="false">IF($B84="","",INDEX('CARNET DE SOUDURE'!$E$7:$E$1506,MATCH(73,'CARNET DE SOUDURE'!$AP$7:$AP$1506,0)))</f>
        <v/>
      </c>
      <c r="E84" s="107" t="str">
        <f aca="false">IF($B84="","",INDEX('CARNET DE SOUDURE'!$D$7:$D$1506,MATCH(73,'CARNET DE SOUDURE'!$AP$7:$AP$1506,0)))</f>
        <v/>
      </c>
      <c r="F84" s="107" t="str">
        <f aca="false">IF($B84="","",INDEX('CARNET DE SOUDURE'!$O$7:$O$1506,MATCH(73,'CARNET DE SOUDURE'!$AP$7:$AP$1506,0))&amp;" / "&amp;INDEX('CARNET DE SOUDURE'!$P$7:$P$1506,MATCH(73,'CARNET DE SOUDURE'!$AP$7:$AP$1506,0))&amp;" / "&amp;INDEX('CARNET DE SOUDURE'!$Q$7:$Q$1506,MATCH(73,'CARNET DE SOUDURE'!$AP$7:$AP$1506,0)))</f>
        <v/>
      </c>
      <c r="G84" s="108" t="str">
        <f aca="false">IF($B84="","",INDEX('CARNET DE SOUDURE'!$R$7:$R$1506,MATCH(73,'CARNET DE SOUDURE'!$AP$7:$AP$1506,0)))</f>
        <v/>
      </c>
      <c r="H84" s="109" t="str">
        <f aca="false">IF($B84="","",INDEX('CARNET DE SOUDURE'!$AM$7:$AM$1506,MATCH(73,'CARNET DE SOUDURE'!$AP$7:$AP$1506,0)))</f>
        <v/>
      </c>
      <c r="I84" s="110" t="str">
        <f aca="false">IF($B84="","",INDEX('CARNET DE SOUDURE'!$AK$7:$AK$1506,MATCH(73,'CARNET DE SOUDURE'!$AP$7:$AP$1506,0)))</f>
        <v/>
      </c>
      <c r="J84" s="110" t="str">
        <f aca="false">IF($B84="","",INDEX('CARNET DE SOUDURE'!$AN$7:$AN$1506,MATCH(73,'CARNET DE SOUDURE'!$AP$7:$AP$1506,0)))</f>
        <v/>
      </c>
      <c r="K84" s="111"/>
      <c r="L84" s="111"/>
    </row>
    <row r="85" customFormat="false" ht="15" hidden="false" customHeight="false" outlineLevel="0" collapsed="false">
      <c r="B85" s="112" t="str">
        <f aca="false">IF(74&gt;$I$4,"",74)</f>
        <v/>
      </c>
      <c r="C85" s="112" t="str">
        <f aca="false">IF($B85="","",INDEX('CARNET DE SOUDURE'!$B$7:$B$1506,MATCH(74,'CARNET DE SOUDURE'!$AP$7:$AP$1506,0)))</f>
        <v/>
      </c>
      <c r="D85" s="112" t="str">
        <f aca="false">IF($B85="","",INDEX('CARNET DE SOUDURE'!$E$7:$E$1506,MATCH(74,'CARNET DE SOUDURE'!$AP$7:$AP$1506,0)))</f>
        <v/>
      </c>
      <c r="E85" s="112" t="str">
        <f aca="false">IF($B85="","",INDEX('CARNET DE SOUDURE'!$D$7:$D$1506,MATCH(74,'CARNET DE SOUDURE'!$AP$7:$AP$1506,0)))</f>
        <v/>
      </c>
      <c r="F85" s="112" t="str">
        <f aca="false">IF($B85="","",INDEX('CARNET DE SOUDURE'!$O$7:$O$1506,MATCH(74,'CARNET DE SOUDURE'!$AP$7:$AP$1506,0))&amp;" / "&amp;INDEX('CARNET DE SOUDURE'!$P$7:$P$1506,MATCH(74,'CARNET DE SOUDURE'!$AP$7:$AP$1506,0))&amp;" / "&amp;INDEX('CARNET DE SOUDURE'!$Q$7:$Q$1506,MATCH(74,'CARNET DE SOUDURE'!$AP$7:$AP$1506,0)))</f>
        <v/>
      </c>
      <c r="G85" s="113" t="str">
        <f aca="false">IF($B85="","",INDEX('CARNET DE SOUDURE'!$R$7:$R$1506,MATCH(74,'CARNET DE SOUDURE'!$AP$7:$AP$1506,0)))</f>
        <v/>
      </c>
      <c r="H85" s="114" t="str">
        <f aca="false">IF($B85="","",INDEX('CARNET DE SOUDURE'!$AM$7:$AM$1506,MATCH(74,'CARNET DE SOUDURE'!$AP$7:$AP$1506,0)))</f>
        <v/>
      </c>
      <c r="I85" s="115" t="str">
        <f aca="false">IF($B85="","",INDEX('CARNET DE SOUDURE'!$AK$7:$AK$1506,MATCH(74,'CARNET DE SOUDURE'!$AP$7:$AP$1506,0)))</f>
        <v/>
      </c>
      <c r="J85" s="115" t="str">
        <f aca="false">IF($B85="","",INDEX('CARNET DE SOUDURE'!$AN$7:$AN$1506,MATCH(74,'CARNET DE SOUDURE'!$AP$7:$AP$1506,0)))</f>
        <v/>
      </c>
      <c r="K85" s="111"/>
      <c r="L85" s="111"/>
    </row>
    <row r="86" customFormat="false" ht="15" hidden="false" customHeight="false" outlineLevel="0" collapsed="false">
      <c r="B86" s="107" t="str">
        <f aca="false">IF(75&gt;$I$4,"",75)</f>
        <v/>
      </c>
      <c r="C86" s="107" t="str">
        <f aca="false">IF($B86="","",INDEX('CARNET DE SOUDURE'!$B$7:$B$1506,MATCH(75,'CARNET DE SOUDURE'!$AP$7:$AP$1506,0)))</f>
        <v/>
      </c>
      <c r="D86" s="107" t="str">
        <f aca="false">IF($B86="","",INDEX('CARNET DE SOUDURE'!$E$7:$E$1506,MATCH(75,'CARNET DE SOUDURE'!$AP$7:$AP$1506,0)))</f>
        <v/>
      </c>
      <c r="E86" s="107" t="str">
        <f aca="false">IF($B86="","",INDEX('CARNET DE SOUDURE'!$D$7:$D$1506,MATCH(75,'CARNET DE SOUDURE'!$AP$7:$AP$1506,0)))</f>
        <v/>
      </c>
      <c r="F86" s="107" t="str">
        <f aca="false">IF($B86="","",INDEX('CARNET DE SOUDURE'!$O$7:$O$1506,MATCH(75,'CARNET DE SOUDURE'!$AP$7:$AP$1506,0))&amp;" / "&amp;INDEX('CARNET DE SOUDURE'!$P$7:$P$1506,MATCH(75,'CARNET DE SOUDURE'!$AP$7:$AP$1506,0))&amp;" / "&amp;INDEX('CARNET DE SOUDURE'!$Q$7:$Q$1506,MATCH(75,'CARNET DE SOUDURE'!$AP$7:$AP$1506,0)))</f>
        <v/>
      </c>
      <c r="G86" s="108" t="str">
        <f aca="false">IF($B86="","",INDEX('CARNET DE SOUDURE'!$R$7:$R$1506,MATCH(75,'CARNET DE SOUDURE'!$AP$7:$AP$1506,0)))</f>
        <v/>
      </c>
      <c r="H86" s="109" t="str">
        <f aca="false">IF($B86="","",INDEX('CARNET DE SOUDURE'!$AM$7:$AM$1506,MATCH(75,'CARNET DE SOUDURE'!$AP$7:$AP$1506,0)))</f>
        <v/>
      </c>
      <c r="I86" s="110" t="str">
        <f aca="false">IF($B86="","",INDEX('CARNET DE SOUDURE'!$AK$7:$AK$1506,MATCH(75,'CARNET DE SOUDURE'!$AP$7:$AP$1506,0)))</f>
        <v/>
      </c>
      <c r="J86" s="110" t="str">
        <f aca="false">IF($B86="","",INDEX('CARNET DE SOUDURE'!$AN$7:$AN$1506,MATCH(75,'CARNET DE SOUDURE'!$AP$7:$AP$1506,0)))</f>
        <v/>
      </c>
      <c r="K86" s="111"/>
      <c r="L86" s="111"/>
    </row>
    <row r="87" customFormat="false" ht="15" hidden="false" customHeight="false" outlineLevel="0" collapsed="false">
      <c r="B87" s="112" t="str">
        <f aca="false">IF(76&gt;$I$4,"",76)</f>
        <v/>
      </c>
      <c r="C87" s="112" t="str">
        <f aca="false">IF($B87="","",INDEX('CARNET DE SOUDURE'!$B$7:$B$1506,MATCH(76,'CARNET DE SOUDURE'!$AP$7:$AP$1506,0)))</f>
        <v/>
      </c>
      <c r="D87" s="112" t="str">
        <f aca="false">IF($B87="","",INDEX('CARNET DE SOUDURE'!$E$7:$E$1506,MATCH(76,'CARNET DE SOUDURE'!$AP$7:$AP$1506,0)))</f>
        <v/>
      </c>
      <c r="E87" s="112" t="str">
        <f aca="false">IF($B87="","",INDEX('CARNET DE SOUDURE'!$D$7:$D$1506,MATCH(76,'CARNET DE SOUDURE'!$AP$7:$AP$1506,0)))</f>
        <v/>
      </c>
      <c r="F87" s="112" t="str">
        <f aca="false">IF($B87="","",INDEX('CARNET DE SOUDURE'!$O$7:$O$1506,MATCH(76,'CARNET DE SOUDURE'!$AP$7:$AP$1506,0))&amp;" / "&amp;INDEX('CARNET DE SOUDURE'!$P$7:$P$1506,MATCH(76,'CARNET DE SOUDURE'!$AP$7:$AP$1506,0))&amp;" / "&amp;INDEX('CARNET DE SOUDURE'!$Q$7:$Q$1506,MATCH(76,'CARNET DE SOUDURE'!$AP$7:$AP$1506,0)))</f>
        <v/>
      </c>
      <c r="G87" s="113" t="str">
        <f aca="false">IF($B87="","",INDEX('CARNET DE SOUDURE'!$R$7:$R$1506,MATCH(76,'CARNET DE SOUDURE'!$AP$7:$AP$1506,0)))</f>
        <v/>
      </c>
      <c r="H87" s="114" t="str">
        <f aca="false">IF($B87="","",INDEX('CARNET DE SOUDURE'!$AM$7:$AM$1506,MATCH(76,'CARNET DE SOUDURE'!$AP$7:$AP$1506,0)))</f>
        <v/>
      </c>
      <c r="I87" s="115" t="str">
        <f aca="false">IF($B87="","",INDEX('CARNET DE SOUDURE'!$AK$7:$AK$1506,MATCH(76,'CARNET DE SOUDURE'!$AP$7:$AP$1506,0)))</f>
        <v/>
      </c>
      <c r="J87" s="115" t="str">
        <f aca="false">IF($B87="","",INDEX('CARNET DE SOUDURE'!$AN$7:$AN$1506,MATCH(76,'CARNET DE SOUDURE'!$AP$7:$AP$1506,0)))</f>
        <v/>
      </c>
      <c r="K87" s="111"/>
      <c r="L87" s="111"/>
    </row>
    <row r="88" customFormat="false" ht="15" hidden="false" customHeight="false" outlineLevel="0" collapsed="false">
      <c r="B88" s="107" t="str">
        <f aca="false">IF(77&gt;$I$4,"",77)</f>
        <v/>
      </c>
      <c r="C88" s="107" t="str">
        <f aca="false">IF($B88="","",INDEX('CARNET DE SOUDURE'!$B$7:$B$1506,MATCH(77,'CARNET DE SOUDURE'!$AP$7:$AP$1506,0)))</f>
        <v/>
      </c>
      <c r="D88" s="107" t="str">
        <f aca="false">IF($B88="","",INDEX('CARNET DE SOUDURE'!$E$7:$E$1506,MATCH(77,'CARNET DE SOUDURE'!$AP$7:$AP$1506,0)))</f>
        <v/>
      </c>
      <c r="E88" s="107" t="str">
        <f aca="false">IF($B88="","",INDEX('CARNET DE SOUDURE'!$D$7:$D$1506,MATCH(77,'CARNET DE SOUDURE'!$AP$7:$AP$1506,0)))</f>
        <v/>
      </c>
      <c r="F88" s="107" t="str">
        <f aca="false">IF($B88="","",INDEX('CARNET DE SOUDURE'!$O$7:$O$1506,MATCH(77,'CARNET DE SOUDURE'!$AP$7:$AP$1506,0))&amp;" / "&amp;INDEX('CARNET DE SOUDURE'!$P$7:$P$1506,MATCH(77,'CARNET DE SOUDURE'!$AP$7:$AP$1506,0))&amp;" / "&amp;INDEX('CARNET DE SOUDURE'!$Q$7:$Q$1506,MATCH(77,'CARNET DE SOUDURE'!$AP$7:$AP$1506,0)))</f>
        <v/>
      </c>
      <c r="G88" s="108" t="str">
        <f aca="false">IF($B88="","",INDEX('CARNET DE SOUDURE'!$R$7:$R$1506,MATCH(77,'CARNET DE SOUDURE'!$AP$7:$AP$1506,0)))</f>
        <v/>
      </c>
      <c r="H88" s="109" t="str">
        <f aca="false">IF($B88="","",INDEX('CARNET DE SOUDURE'!$AM$7:$AM$1506,MATCH(77,'CARNET DE SOUDURE'!$AP$7:$AP$1506,0)))</f>
        <v/>
      </c>
      <c r="I88" s="110" t="str">
        <f aca="false">IF($B88="","",INDEX('CARNET DE SOUDURE'!$AK$7:$AK$1506,MATCH(77,'CARNET DE SOUDURE'!$AP$7:$AP$1506,0)))</f>
        <v/>
      </c>
      <c r="J88" s="110" t="str">
        <f aca="false">IF($B88="","",INDEX('CARNET DE SOUDURE'!$AN$7:$AN$1506,MATCH(77,'CARNET DE SOUDURE'!$AP$7:$AP$1506,0)))</f>
        <v/>
      </c>
      <c r="K88" s="111"/>
      <c r="L88" s="111"/>
    </row>
    <row r="89" customFormat="false" ht="15" hidden="false" customHeight="false" outlineLevel="0" collapsed="false">
      <c r="B89" s="112" t="str">
        <f aca="false">IF(78&gt;$I$4,"",78)</f>
        <v/>
      </c>
      <c r="C89" s="112" t="str">
        <f aca="false">IF($B89="","",INDEX('CARNET DE SOUDURE'!$B$7:$B$1506,MATCH(78,'CARNET DE SOUDURE'!$AP$7:$AP$1506,0)))</f>
        <v/>
      </c>
      <c r="D89" s="112" t="str">
        <f aca="false">IF($B89="","",INDEX('CARNET DE SOUDURE'!$E$7:$E$1506,MATCH(78,'CARNET DE SOUDURE'!$AP$7:$AP$1506,0)))</f>
        <v/>
      </c>
      <c r="E89" s="112" t="str">
        <f aca="false">IF($B89="","",INDEX('CARNET DE SOUDURE'!$D$7:$D$1506,MATCH(78,'CARNET DE SOUDURE'!$AP$7:$AP$1506,0)))</f>
        <v/>
      </c>
      <c r="F89" s="112" t="str">
        <f aca="false">IF($B89="","",INDEX('CARNET DE SOUDURE'!$O$7:$O$1506,MATCH(78,'CARNET DE SOUDURE'!$AP$7:$AP$1506,0))&amp;" / "&amp;INDEX('CARNET DE SOUDURE'!$P$7:$P$1506,MATCH(78,'CARNET DE SOUDURE'!$AP$7:$AP$1506,0))&amp;" / "&amp;INDEX('CARNET DE SOUDURE'!$Q$7:$Q$1506,MATCH(78,'CARNET DE SOUDURE'!$AP$7:$AP$1506,0)))</f>
        <v/>
      </c>
      <c r="G89" s="113" t="str">
        <f aca="false">IF($B89="","",INDEX('CARNET DE SOUDURE'!$R$7:$R$1506,MATCH(78,'CARNET DE SOUDURE'!$AP$7:$AP$1506,0)))</f>
        <v/>
      </c>
      <c r="H89" s="114" t="str">
        <f aca="false">IF($B89="","",INDEX('CARNET DE SOUDURE'!$AM$7:$AM$1506,MATCH(78,'CARNET DE SOUDURE'!$AP$7:$AP$1506,0)))</f>
        <v/>
      </c>
      <c r="I89" s="115" t="str">
        <f aca="false">IF($B89="","",INDEX('CARNET DE SOUDURE'!$AK$7:$AK$1506,MATCH(78,'CARNET DE SOUDURE'!$AP$7:$AP$1506,0)))</f>
        <v/>
      </c>
      <c r="J89" s="115" t="str">
        <f aca="false">IF($B89="","",INDEX('CARNET DE SOUDURE'!$AN$7:$AN$1506,MATCH(78,'CARNET DE SOUDURE'!$AP$7:$AP$1506,0)))</f>
        <v/>
      </c>
      <c r="K89" s="111"/>
      <c r="L89" s="111"/>
    </row>
    <row r="90" customFormat="false" ht="15" hidden="false" customHeight="false" outlineLevel="0" collapsed="false">
      <c r="B90" s="107" t="str">
        <f aca="false">IF(79&gt;$I$4,"",79)</f>
        <v/>
      </c>
      <c r="C90" s="107" t="str">
        <f aca="false">IF($B90="","",INDEX('CARNET DE SOUDURE'!$B$7:$B$1506,MATCH(79,'CARNET DE SOUDURE'!$AP$7:$AP$1506,0)))</f>
        <v/>
      </c>
      <c r="D90" s="107" t="str">
        <f aca="false">IF($B90="","",INDEX('CARNET DE SOUDURE'!$E$7:$E$1506,MATCH(79,'CARNET DE SOUDURE'!$AP$7:$AP$1506,0)))</f>
        <v/>
      </c>
      <c r="E90" s="107" t="str">
        <f aca="false">IF($B90="","",INDEX('CARNET DE SOUDURE'!$D$7:$D$1506,MATCH(79,'CARNET DE SOUDURE'!$AP$7:$AP$1506,0)))</f>
        <v/>
      </c>
      <c r="F90" s="107" t="str">
        <f aca="false">IF($B90="","",INDEX('CARNET DE SOUDURE'!$O$7:$O$1506,MATCH(79,'CARNET DE SOUDURE'!$AP$7:$AP$1506,0))&amp;" / "&amp;INDEX('CARNET DE SOUDURE'!$P$7:$P$1506,MATCH(79,'CARNET DE SOUDURE'!$AP$7:$AP$1506,0))&amp;" / "&amp;INDEX('CARNET DE SOUDURE'!$Q$7:$Q$1506,MATCH(79,'CARNET DE SOUDURE'!$AP$7:$AP$1506,0)))</f>
        <v/>
      </c>
      <c r="G90" s="108" t="str">
        <f aca="false">IF($B90="","",INDEX('CARNET DE SOUDURE'!$R$7:$R$1506,MATCH(79,'CARNET DE SOUDURE'!$AP$7:$AP$1506,0)))</f>
        <v/>
      </c>
      <c r="H90" s="109" t="str">
        <f aca="false">IF($B90="","",INDEX('CARNET DE SOUDURE'!$AM$7:$AM$1506,MATCH(79,'CARNET DE SOUDURE'!$AP$7:$AP$1506,0)))</f>
        <v/>
      </c>
      <c r="I90" s="110" t="str">
        <f aca="false">IF($B90="","",INDEX('CARNET DE SOUDURE'!$AK$7:$AK$1506,MATCH(79,'CARNET DE SOUDURE'!$AP$7:$AP$1506,0)))</f>
        <v/>
      </c>
      <c r="J90" s="110" t="str">
        <f aca="false">IF($B90="","",INDEX('CARNET DE SOUDURE'!$AN$7:$AN$1506,MATCH(79,'CARNET DE SOUDURE'!$AP$7:$AP$1506,0)))</f>
        <v/>
      </c>
      <c r="K90" s="111"/>
      <c r="L90" s="111"/>
    </row>
    <row r="91" customFormat="false" ht="15" hidden="false" customHeight="false" outlineLevel="0" collapsed="false">
      <c r="B91" s="112" t="str">
        <f aca="false">IF(80&gt;$I$4,"",80)</f>
        <v/>
      </c>
      <c r="C91" s="112" t="str">
        <f aca="false">IF($B91="","",INDEX('CARNET DE SOUDURE'!$B$7:$B$1506,MATCH(80,'CARNET DE SOUDURE'!$AP$7:$AP$1506,0)))</f>
        <v/>
      </c>
      <c r="D91" s="112" t="str">
        <f aca="false">IF($B91="","",INDEX('CARNET DE SOUDURE'!$E$7:$E$1506,MATCH(80,'CARNET DE SOUDURE'!$AP$7:$AP$1506,0)))</f>
        <v/>
      </c>
      <c r="E91" s="112" t="str">
        <f aca="false">IF($B91="","",INDEX('CARNET DE SOUDURE'!$D$7:$D$1506,MATCH(80,'CARNET DE SOUDURE'!$AP$7:$AP$1506,0)))</f>
        <v/>
      </c>
      <c r="F91" s="112" t="str">
        <f aca="false">IF($B91="","",INDEX('CARNET DE SOUDURE'!$O$7:$O$1506,MATCH(80,'CARNET DE SOUDURE'!$AP$7:$AP$1506,0))&amp;" / "&amp;INDEX('CARNET DE SOUDURE'!$P$7:$P$1506,MATCH(80,'CARNET DE SOUDURE'!$AP$7:$AP$1506,0))&amp;" / "&amp;INDEX('CARNET DE SOUDURE'!$Q$7:$Q$1506,MATCH(80,'CARNET DE SOUDURE'!$AP$7:$AP$1506,0)))</f>
        <v/>
      </c>
      <c r="G91" s="113" t="str">
        <f aca="false">IF($B91="","",INDEX('CARNET DE SOUDURE'!$R$7:$R$1506,MATCH(80,'CARNET DE SOUDURE'!$AP$7:$AP$1506,0)))</f>
        <v/>
      </c>
      <c r="H91" s="114" t="str">
        <f aca="false">IF($B91="","",INDEX('CARNET DE SOUDURE'!$AM$7:$AM$1506,MATCH(80,'CARNET DE SOUDURE'!$AP$7:$AP$1506,0)))</f>
        <v/>
      </c>
      <c r="I91" s="115" t="str">
        <f aca="false">IF($B91="","",INDEX('CARNET DE SOUDURE'!$AK$7:$AK$1506,MATCH(80,'CARNET DE SOUDURE'!$AP$7:$AP$1506,0)))</f>
        <v/>
      </c>
      <c r="J91" s="115" t="str">
        <f aca="false">IF($B91="","",INDEX('CARNET DE SOUDURE'!$AN$7:$AN$1506,MATCH(80,'CARNET DE SOUDURE'!$AP$7:$AP$1506,0)))</f>
        <v/>
      </c>
      <c r="K91" s="111"/>
      <c r="L91" s="111"/>
    </row>
    <row r="92" customFormat="false" ht="15" hidden="false" customHeight="false" outlineLevel="0" collapsed="false">
      <c r="B92" s="107" t="str">
        <f aca="false">IF(81&gt;$I$4,"",81)</f>
        <v/>
      </c>
      <c r="C92" s="107" t="str">
        <f aca="false">IF($B92="","",INDEX('CARNET DE SOUDURE'!$B$7:$B$1506,MATCH(81,'CARNET DE SOUDURE'!$AP$7:$AP$1506,0)))</f>
        <v/>
      </c>
      <c r="D92" s="107" t="str">
        <f aca="false">IF($B92="","",INDEX('CARNET DE SOUDURE'!$E$7:$E$1506,MATCH(81,'CARNET DE SOUDURE'!$AP$7:$AP$1506,0)))</f>
        <v/>
      </c>
      <c r="E92" s="107" t="str">
        <f aca="false">IF($B92="","",INDEX('CARNET DE SOUDURE'!$D$7:$D$1506,MATCH(81,'CARNET DE SOUDURE'!$AP$7:$AP$1506,0)))</f>
        <v/>
      </c>
      <c r="F92" s="107" t="str">
        <f aca="false">IF($B92="","",INDEX('CARNET DE SOUDURE'!$O$7:$O$1506,MATCH(81,'CARNET DE SOUDURE'!$AP$7:$AP$1506,0))&amp;" / "&amp;INDEX('CARNET DE SOUDURE'!$P$7:$P$1506,MATCH(81,'CARNET DE SOUDURE'!$AP$7:$AP$1506,0))&amp;" / "&amp;INDEX('CARNET DE SOUDURE'!$Q$7:$Q$1506,MATCH(81,'CARNET DE SOUDURE'!$AP$7:$AP$1506,0)))</f>
        <v/>
      </c>
      <c r="G92" s="108" t="str">
        <f aca="false">IF($B92="","",INDEX('CARNET DE SOUDURE'!$R$7:$R$1506,MATCH(81,'CARNET DE SOUDURE'!$AP$7:$AP$1506,0)))</f>
        <v/>
      </c>
      <c r="H92" s="109" t="str">
        <f aca="false">IF($B92="","",INDEX('CARNET DE SOUDURE'!$AM$7:$AM$1506,MATCH(81,'CARNET DE SOUDURE'!$AP$7:$AP$1506,0)))</f>
        <v/>
      </c>
      <c r="I92" s="110" t="str">
        <f aca="false">IF($B92="","",INDEX('CARNET DE SOUDURE'!$AK$7:$AK$1506,MATCH(81,'CARNET DE SOUDURE'!$AP$7:$AP$1506,0)))</f>
        <v/>
      </c>
      <c r="J92" s="110" t="str">
        <f aca="false">IF($B92="","",INDEX('CARNET DE SOUDURE'!$AN$7:$AN$1506,MATCH(81,'CARNET DE SOUDURE'!$AP$7:$AP$1506,0)))</f>
        <v/>
      </c>
      <c r="K92" s="111"/>
      <c r="L92" s="111"/>
    </row>
    <row r="93" customFormat="false" ht="15" hidden="false" customHeight="false" outlineLevel="0" collapsed="false">
      <c r="B93" s="112" t="str">
        <f aca="false">IF(82&gt;$I$4,"",82)</f>
        <v/>
      </c>
      <c r="C93" s="112" t="str">
        <f aca="false">IF($B93="","",INDEX('CARNET DE SOUDURE'!$B$7:$B$1506,MATCH(82,'CARNET DE SOUDURE'!$AP$7:$AP$1506,0)))</f>
        <v/>
      </c>
      <c r="D93" s="112" t="str">
        <f aca="false">IF($B93="","",INDEX('CARNET DE SOUDURE'!$E$7:$E$1506,MATCH(82,'CARNET DE SOUDURE'!$AP$7:$AP$1506,0)))</f>
        <v/>
      </c>
      <c r="E93" s="112" t="str">
        <f aca="false">IF($B93="","",INDEX('CARNET DE SOUDURE'!$D$7:$D$1506,MATCH(82,'CARNET DE SOUDURE'!$AP$7:$AP$1506,0)))</f>
        <v/>
      </c>
      <c r="F93" s="112" t="str">
        <f aca="false">IF($B93="","",INDEX('CARNET DE SOUDURE'!$O$7:$O$1506,MATCH(82,'CARNET DE SOUDURE'!$AP$7:$AP$1506,0))&amp;" / "&amp;INDEX('CARNET DE SOUDURE'!$P$7:$P$1506,MATCH(82,'CARNET DE SOUDURE'!$AP$7:$AP$1506,0))&amp;" / "&amp;INDEX('CARNET DE SOUDURE'!$Q$7:$Q$1506,MATCH(82,'CARNET DE SOUDURE'!$AP$7:$AP$1506,0)))</f>
        <v/>
      </c>
      <c r="G93" s="113" t="str">
        <f aca="false">IF($B93="","",INDEX('CARNET DE SOUDURE'!$R$7:$R$1506,MATCH(82,'CARNET DE SOUDURE'!$AP$7:$AP$1506,0)))</f>
        <v/>
      </c>
      <c r="H93" s="114" t="str">
        <f aca="false">IF($B93="","",INDEX('CARNET DE SOUDURE'!$AM$7:$AM$1506,MATCH(82,'CARNET DE SOUDURE'!$AP$7:$AP$1506,0)))</f>
        <v/>
      </c>
      <c r="I93" s="115" t="str">
        <f aca="false">IF($B93="","",INDEX('CARNET DE SOUDURE'!$AK$7:$AK$1506,MATCH(82,'CARNET DE SOUDURE'!$AP$7:$AP$1506,0)))</f>
        <v/>
      </c>
      <c r="J93" s="115" t="str">
        <f aca="false">IF($B93="","",INDEX('CARNET DE SOUDURE'!$AN$7:$AN$1506,MATCH(82,'CARNET DE SOUDURE'!$AP$7:$AP$1506,0)))</f>
        <v/>
      </c>
      <c r="K93" s="111"/>
      <c r="L93" s="111"/>
    </row>
    <row r="94" customFormat="false" ht="15" hidden="false" customHeight="false" outlineLevel="0" collapsed="false">
      <c r="B94" s="107" t="str">
        <f aca="false">IF(83&gt;$I$4,"",83)</f>
        <v/>
      </c>
      <c r="C94" s="107" t="str">
        <f aca="false">IF($B94="","",INDEX('CARNET DE SOUDURE'!$B$7:$B$1506,MATCH(83,'CARNET DE SOUDURE'!$AP$7:$AP$1506,0)))</f>
        <v/>
      </c>
      <c r="D94" s="107" t="str">
        <f aca="false">IF($B94="","",INDEX('CARNET DE SOUDURE'!$E$7:$E$1506,MATCH(83,'CARNET DE SOUDURE'!$AP$7:$AP$1506,0)))</f>
        <v/>
      </c>
      <c r="E94" s="107" t="str">
        <f aca="false">IF($B94="","",INDEX('CARNET DE SOUDURE'!$D$7:$D$1506,MATCH(83,'CARNET DE SOUDURE'!$AP$7:$AP$1506,0)))</f>
        <v/>
      </c>
      <c r="F94" s="107" t="str">
        <f aca="false">IF($B94="","",INDEX('CARNET DE SOUDURE'!$O$7:$O$1506,MATCH(83,'CARNET DE SOUDURE'!$AP$7:$AP$1506,0))&amp;" / "&amp;INDEX('CARNET DE SOUDURE'!$P$7:$P$1506,MATCH(83,'CARNET DE SOUDURE'!$AP$7:$AP$1506,0))&amp;" / "&amp;INDEX('CARNET DE SOUDURE'!$Q$7:$Q$1506,MATCH(83,'CARNET DE SOUDURE'!$AP$7:$AP$1506,0)))</f>
        <v/>
      </c>
      <c r="G94" s="108" t="str">
        <f aca="false">IF($B94="","",INDEX('CARNET DE SOUDURE'!$R$7:$R$1506,MATCH(83,'CARNET DE SOUDURE'!$AP$7:$AP$1506,0)))</f>
        <v/>
      </c>
      <c r="H94" s="109" t="str">
        <f aca="false">IF($B94="","",INDEX('CARNET DE SOUDURE'!$AM$7:$AM$1506,MATCH(83,'CARNET DE SOUDURE'!$AP$7:$AP$1506,0)))</f>
        <v/>
      </c>
      <c r="I94" s="110" t="str">
        <f aca="false">IF($B94="","",INDEX('CARNET DE SOUDURE'!$AK$7:$AK$1506,MATCH(83,'CARNET DE SOUDURE'!$AP$7:$AP$1506,0)))</f>
        <v/>
      </c>
      <c r="J94" s="110" t="str">
        <f aca="false">IF($B94="","",INDEX('CARNET DE SOUDURE'!$AN$7:$AN$1506,MATCH(83,'CARNET DE SOUDURE'!$AP$7:$AP$1506,0)))</f>
        <v/>
      </c>
      <c r="K94" s="111"/>
      <c r="L94" s="111"/>
    </row>
    <row r="95" customFormat="false" ht="15" hidden="false" customHeight="false" outlineLevel="0" collapsed="false">
      <c r="B95" s="112" t="str">
        <f aca="false">IF(84&gt;$I$4,"",84)</f>
        <v/>
      </c>
      <c r="C95" s="112" t="str">
        <f aca="false">IF($B95="","",INDEX('CARNET DE SOUDURE'!$B$7:$B$1506,MATCH(84,'CARNET DE SOUDURE'!$AP$7:$AP$1506,0)))</f>
        <v/>
      </c>
      <c r="D95" s="112" t="str">
        <f aca="false">IF($B95="","",INDEX('CARNET DE SOUDURE'!$E$7:$E$1506,MATCH(84,'CARNET DE SOUDURE'!$AP$7:$AP$1506,0)))</f>
        <v/>
      </c>
      <c r="E95" s="112" t="str">
        <f aca="false">IF($B95="","",INDEX('CARNET DE SOUDURE'!$D$7:$D$1506,MATCH(84,'CARNET DE SOUDURE'!$AP$7:$AP$1506,0)))</f>
        <v/>
      </c>
      <c r="F95" s="112" t="str">
        <f aca="false">IF($B95="","",INDEX('CARNET DE SOUDURE'!$O$7:$O$1506,MATCH(84,'CARNET DE SOUDURE'!$AP$7:$AP$1506,0))&amp;" / "&amp;INDEX('CARNET DE SOUDURE'!$P$7:$P$1506,MATCH(84,'CARNET DE SOUDURE'!$AP$7:$AP$1506,0))&amp;" / "&amp;INDEX('CARNET DE SOUDURE'!$Q$7:$Q$1506,MATCH(84,'CARNET DE SOUDURE'!$AP$7:$AP$1506,0)))</f>
        <v/>
      </c>
      <c r="G95" s="113" t="str">
        <f aca="false">IF($B95="","",INDEX('CARNET DE SOUDURE'!$R$7:$R$1506,MATCH(84,'CARNET DE SOUDURE'!$AP$7:$AP$1506,0)))</f>
        <v/>
      </c>
      <c r="H95" s="114" t="str">
        <f aca="false">IF($B95="","",INDEX('CARNET DE SOUDURE'!$AM$7:$AM$1506,MATCH(84,'CARNET DE SOUDURE'!$AP$7:$AP$1506,0)))</f>
        <v/>
      </c>
      <c r="I95" s="115" t="str">
        <f aca="false">IF($B95="","",INDEX('CARNET DE SOUDURE'!$AK$7:$AK$1506,MATCH(84,'CARNET DE SOUDURE'!$AP$7:$AP$1506,0)))</f>
        <v/>
      </c>
      <c r="J95" s="115" t="str">
        <f aca="false">IF($B95="","",INDEX('CARNET DE SOUDURE'!$AN$7:$AN$1506,MATCH(84,'CARNET DE SOUDURE'!$AP$7:$AP$1506,0)))</f>
        <v/>
      </c>
      <c r="K95" s="111"/>
      <c r="L95" s="111"/>
    </row>
    <row r="96" customFormat="false" ht="15" hidden="false" customHeight="false" outlineLevel="0" collapsed="false">
      <c r="B96" s="107" t="str">
        <f aca="false">IF(85&gt;$I$4,"",85)</f>
        <v/>
      </c>
      <c r="C96" s="107" t="str">
        <f aca="false">IF($B96="","",INDEX('CARNET DE SOUDURE'!$B$7:$B$1506,MATCH(85,'CARNET DE SOUDURE'!$AP$7:$AP$1506,0)))</f>
        <v/>
      </c>
      <c r="D96" s="107" t="str">
        <f aca="false">IF($B96="","",INDEX('CARNET DE SOUDURE'!$E$7:$E$1506,MATCH(85,'CARNET DE SOUDURE'!$AP$7:$AP$1506,0)))</f>
        <v/>
      </c>
      <c r="E96" s="107" t="str">
        <f aca="false">IF($B96="","",INDEX('CARNET DE SOUDURE'!$D$7:$D$1506,MATCH(85,'CARNET DE SOUDURE'!$AP$7:$AP$1506,0)))</f>
        <v/>
      </c>
      <c r="F96" s="107" t="str">
        <f aca="false">IF($B96="","",INDEX('CARNET DE SOUDURE'!$O$7:$O$1506,MATCH(85,'CARNET DE SOUDURE'!$AP$7:$AP$1506,0))&amp;" / "&amp;INDEX('CARNET DE SOUDURE'!$P$7:$P$1506,MATCH(85,'CARNET DE SOUDURE'!$AP$7:$AP$1506,0))&amp;" / "&amp;INDEX('CARNET DE SOUDURE'!$Q$7:$Q$1506,MATCH(85,'CARNET DE SOUDURE'!$AP$7:$AP$1506,0)))</f>
        <v/>
      </c>
      <c r="G96" s="108" t="str">
        <f aca="false">IF($B96="","",INDEX('CARNET DE SOUDURE'!$R$7:$R$1506,MATCH(85,'CARNET DE SOUDURE'!$AP$7:$AP$1506,0)))</f>
        <v/>
      </c>
      <c r="H96" s="109" t="str">
        <f aca="false">IF($B96="","",INDEX('CARNET DE SOUDURE'!$AM$7:$AM$1506,MATCH(85,'CARNET DE SOUDURE'!$AP$7:$AP$1506,0)))</f>
        <v/>
      </c>
      <c r="I96" s="110" t="str">
        <f aca="false">IF($B96="","",INDEX('CARNET DE SOUDURE'!$AK$7:$AK$1506,MATCH(85,'CARNET DE SOUDURE'!$AP$7:$AP$1506,0)))</f>
        <v/>
      </c>
      <c r="J96" s="110" t="str">
        <f aca="false">IF($B96="","",INDEX('CARNET DE SOUDURE'!$AN$7:$AN$1506,MATCH(85,'CARNET DE SOUDURE'!$AP$7:$AP$1506,0)))</f>
        <v/>
      </c>
      <c r="K96" s="111"/>
      <c r="L96" s="111"/>
    </row>
    <row r="97" customFormat="false" ht="15" hidden="false" customHeight="false" outlineLevel="0" collapsed="false">
      <c r="B97" s="112" t="str">
        <f aca="false">IF(86&gt;$I$4,"",86)</f>
        <v/>
      </c>
      <c r="C97" s="112" t="str">
        <f aca="false">IF($B97="","",INDEX('CARNET DE SOUDURE'!$B$7:$B$1506,MATCH(86,'CARNET DE SOUDURE'!$AP$7:$AP$1506,0)))</f>
        <v/>
      </c>
      <c r="D97" s="112" t="str">
        <f aca="false">IF($B97="","",INDEX('CARNET DE SOUDURE'!$E$7:$E$1506,MATCH(86,'CARNET DE SOUDURE'!$AP$7:$AP$1506,0)))</f>
        <v/>
      </c>
      <c r="E97" s="112" t="str">
        <f aca="false">IF($B97="","",INDEX('CARNET DE SOUDURE'!$D$7:$D$1506,MATCH(86,'CARNET DE SOUDURE'!$AP$7:$AP$1506,0)))</f>
        <v/>
      </c>
      <c r="F97" s="112" t="str">
        <f aca="false">IF($B97="","",INDEX('CARNET DE SOUDURE'!$O$7:$O$1506,MATCH(86,'CARNET DE SOUDURE'!$AP$7:$AP$1506,0))&amp;" / "&amp;INDEX('CARNET DE SOUDURE'!$P$7:$P$1506,MATCH(86,'CARNET DE SOUDURE'!$AP$7:$AP$1506,0))&amp;" / "&amp;INDEX('CARNET DE SOUDURE'!$Q$7:$Q$1506,MATCH(86,'CARNET DE SOUDURE'!$AP$7:$AP$1506,0)))</f>
        <v/>
      </c>
      <c r="G97" s="113" t="str">
        <f aca="false">IF($B97="","",INDEX('CARNET DE SOUDURE'!$R$7:$R$1506,MATCH(86,'CARNET DE SOUDURE'!$AP$7:$AP$1506,0)))</f>
        <v/>
      </c>
      <c r="H97" s="114" t="str">
        <f aca="false">IF($B97="","",INDEX('CARNET DE SOUDURE'!$AM$7:$AM$1506,MATCH(86,'CARNET DE SOUDURE'!$AP$7:$AP$1506,0)))</f>
        <v/>
      </c>
      <c r="I97" s="115" t="str">
        <f aca="false">IF($B97="","",INDEX('CARNET DE SOUDURE'!$AK$7:$AK$1506,MATCH(86,'CARNET DE SOUDURE'!$AP$7:$AP$1506,0)))</f>
        <v/>
      </c>
      <c r="J97" s="115" t="str">
        <f aca="false">IF($B97="","",INDEX('CARNET DE SOUDURE'!$AN$7:$AN$1506,MATCH(86,'CARNET DE SOUDURE'!$AP$7:$AP$1506,0)))</f>
        <v/>
      </c>
      <c r="K97" s="111"/>
      <c r="L97" s="111"/>
    </row>
    <row r="98" customFormat="false" ht="15" hidden="false" customHeight="false" outlineLevel="0" collapsed="false">
      <c r="B98" s="107" t="str">
        <f aca="false">IF(87&gt;$I$4,"",87)</f>
        <v/>
      </c>
      <c r="C98" s="107" t="str">
        <f aca="false">IF($B98="","",INDEX('CARNET DE SOUDURE'!$B$7:$B$1506,MATCH(87,'CARNET DE SOUDURE'!$AP$7:$AP$1506,0)))</f>
        <v/>
      </c>
      <c r="D98" s="107" t="str">
        <f aca="false">IF($B98="","",INDEX('CARNET DE SOUDURE'!$E$7:$E$1506,MATCH(87,'CARNET DE SOUDURE'!$AP$7:$AP$1506,0)))</f>
        <v/>
      </c>
      <c r="E98" s="107" t="str">
        <f aca="false">IF($B98="","",INDEX('CARNET DE SOUDURE'!$D$7:$D$1506,MATCH(87,'CARNET DE SOUDURE'!$AP$7:$AP$1506,0)))</f>
        <v/>
      </c>
      <c r="F98" s="107" t="str">
        <f aca="false">IF($B98="","",INDEX('CARNET DE SOUDURE'!$O$7:$O$1506,MATCH(87,'CARNET DE SOUDURE'!$AP$7:$AP$1506,0))&amp;" / "&amp;INDEX('CARNET DE SOUDURE'!$P$7:$P$1506,MATCH(87,'CARNET DE SOUDURE'!$AP$7:$AP$1506,0))&amp;" / "&amp;INDEX('CARNET DE SOUDURE'!$Q$7:$Q$1506,MATCH(87,'CARNET DE SOUDURE'!$AP$7:$AP$1506,0)))</f>
        <v/>
      </c>
      <c r="G98" s="108" t="str">
        <f aca="false">IF($B98="","",INDEX('CARNET DE SOUDURE'!$R$7:$R$1506,MATCH(87,'CARNET DE SOUDURE'!$AP$7:$AP$1506,0)))</f>
        <v/>
      </c>
      <c r="H98" s="109" t="str">
        <f aca="false">IF($B98="","",INDEX('CARNET DE SOUDURE'!$AM$7:$AM$1506,MATCH(87,'CARNET DE SOUDURE'!$AP$7:$AP$1506,0)))</f>
        <v/>
      </c>
      <c r="I98" s="110" t="str">
        <f aca="false">IF($B98="","",INDEX('CARNET DE SOUDURE'!$AK$7:$AK$1506,MATCH(87,'CARNET DE SOUDURE'!$AP$7:$AP$1506,0)))</f>
        <v/>
      </c>
      <c r="J98" s="110" t="str">
        <f aca="false">IF($B98="","",INDEX('CARNET DE SOUDURE'!$AN$7:$AN$1506,MATCH(87,'CARNET DE SOUDURE'!$AP$7:$AP$1506,0)))</f>
        <v/>
      </c>
      <c r="K98" s="111"/>
      <c r="L98" s="111"/>
    </row>
    <row r="99" customFormat="false" ht="15" hidden="false" customHeight="false" outlineLevel="0" collapsed="false">
      <c r="B99" s="112" t="str">
        <f aca="false">IF(88&gt;$I$4,"",88)</f>
        <v/>
      </c>
      <c r="C99" s="112" t="str">
        <f aca="false">IF($B99="","",INDEX('CARNET DE SOUDURE'!$B$7:$B$1506,MATCH(88,'CARNET DE SOUDURE'!$AP$7:$AP$1506,0)))</f>
        <v/>
      </c>
      <c r="D99" s="112" t="str">
        <f aca="false">IF($B99="","",INDEX('CARNET DE SOUDURE'!$E$7:$E$1506,MATCH(88,'CARNET DE SOUDURE'!$AP$7:$AP$1506,0)))</f>
        <v/>
      </c>
      <c r="E99" s="112" t="str">
        <f aca="false">IF($B99="","",INDEX('CARNET DE SOUDURE'!$D$7:$D$1506,MATCH(88,'CARNET DE SOUDURE'!$AP$7:$AP$1506,0)))</f>
        <v/>
      </c>
      <c r="F99" s="112" t="str">
        <f aca="false">IF($B99="","",INDEX('CARNET DE SOUDURE'!$O$7:$O$1506,MATCH(88,'CARNET DE SOUDURE'!$AP$7:$AP$1506,0))&amp;" / "&amp;INDEX('CARNET DE SOUDURE'!$P$7:$P$1506,MATCH(88,'CARNET DE SOUDURE'!$AP$7:$AP$1506,0))&amp;" / "&amp;INDEX('CARNET DE SOUDURE'!$Q$7:$Q$1506,MATCH(88,'CARNET DE SOUDURE'!$AP$7:$AP$1506,0)))</f>
        <v/>
      </c>
      <c r="G99" s="113" t="str">
        <f aca="false">IF($B99="","",INDEX('CARNET DE SOUDURE'!$R$7:$R$1506,MATCH(88,'CARNET DE SOUDURE'!$AP$7:$AP$1506,0)))</f>
        <v/>
      </c>
      <c r="H99" s="114" t="str">
        <f aca="false">IF($B99="","",INDEX('CARNET DE SOUDURE'!$AM$7:$AM$1506,MATCH(88,'CARNET DE SOUDURE'!$AP$7:$AP$1506,0)))</f>
        <v/>
      </c>
      <c r="I99" s="115" t="str">
        <f aca="false">IF($B99="","",INDEX('CARNET DE SOUDURE'!$AK$7:$AK$1506,MATCH(88,'CARNET DE SOUDURE'!$AP$7:$AP$1506,0)))</f>
        <v/>
      </c>
      <c r="J99" s="115" t="str">
        <f aca="false">IF($B99="","",INDEX('CARNET DE SOUDURE'!$AN$7:$AN$1506,MATCH(88,'CARNET DE SOUDURE'!$AP$7:$AP$1506,0)))</f>
        <v/>
      </c>
      <c r="K99" s="111"/>
      <c r="L99" s="111"/>
    </row>
    <row r="100" customFormat="false" ht="15" hidden="false" customHeight="false" outlineLevel="0" collapsed="false">
      <c r="B100" s="107" t="str">
        <f aca="false">IF(89&gt;$I$4,"",89)</f>
        <v/>
      </c>
      <c r="C100" s="107" t="str">
        <f aca="false">IF($B100="","",INDEX('CARNET DE SOUDURE'!$B$7:$B$1506,MATCH(89,'CARNET DE SOUDURE'!$AP$7:$AP$1506,0)))</f>
        <v/>
      </c>
      <c r="D100" s="107" t="str">
        <f aca="false">IF($B100="","",INDEX('CARNET DE SOUDURE'!$E$7:$E$1506,MATCH(89,'CARNET DE SOUDURE'!$AP$7:$AP$1506,0)))</f>
        <v/>
      </c>
      <c r="E100" s="107" t="str">
        <f aca="false">IF($B100="","",INDEX('CARNET DE SOUDURE'!$D$7:$D$1506,MATCH(89,'CARNET DE SOUDURE'!$AP$7:$AP$1506,0)))</f>
        <v/>
      </c>
      <c r="F100" s="107" t="str">
        <f aca="false">IF($B100="","",INDEX('CARNET DE SOUDURE'!$O$7:$O$1506,MATCH(89,'CARNET DE SOUDURE'!$AP$7:$AP$1506,0))&amp;" / "&amp;INDEX('CARNET DE SOUDURE'!$P$7:$P$1506,MATCH(89,'CARNET DE SOUDURE'!$AP$7:$AP$1506,0))&amp;" / "&amp;INDEX('CARNET DE SOUDURE'!$Q$7:$Q$1506,MATCH(89,'CARNET DE SOUDURE'!$AP$7:$AP$1506,0)))</f>
        <v/>
      </c>
      <c r="G100" s="108" t="str">
        <f aca="false">IF($B100="","",INDEX('CARNET DE SOUDURE'!$R$7:$R$1506,MATCH(89,'CARNET DE SOUDURE'!$AP$7:$AP$1506,0)))</f>
        <v/>
      </c>
      <c r="H100" s="109" t="str">
        <f aca="false">IF($B100="","",INDEX('CARNET DE SOUDURE'!$AM$7:$AM$1506,MATCH(89,'CARNET DE SOUDURE'!$AP$7:$AP$1506,0)))</f>
        <v/>
      </c>
      <c r="I100" s="110" t="str">
        <f aca="false">IF($B100="","",INDEX('CARNET DE SOUDURE'!$AK$7:$AK$1506,MATCH(89,'CARNET DE SOUDURE'!$AP$7:$AP$1506,0)))</f>
        <v/>
      </c>
      <c r="J100" s="110" t="str">
        <f aca="false">IF($B100="","",INDEX('CARNET DE SOUDURE'!$AN$7:$AN$1506,MATCH(89,'CARNET DE SOUDURE'!$AP$7:$AP$1506,0)))</f>
        <v/>
      </c>
      <c r="K100" s="111"/>
      <c r="L100" s="111"/>
    </row>
    <row r="101" customFormat="false" ht="15" hidden="false" customHeight="false" outlineLevel="0" collapsed="false">
      <c r="B101" s="112" t="str">
        <f aca="false">IF(90&gt;$I$4,"",90)</f>
        <v/>
      </c>
      <c r="C101" s="112" t="str">
        <f aca="false">IF($B101="","",INDEX('CARNET DE SOUDURE'!$B$7:$B$1506,MATCH(90,'CARNET DE SOUDURE'!$AP$7:$AP$1506,0)))</f>
        <v/>
      </c>
      <c r="D101" s="112" t="str">
        <f aca="false">IF($B101="","",INDEX('CARNET DE SOUDURE'!$E$7:$E$1506,MATCH(90,'CARNET DE SOUDURE'!$AP$7:$AP$1506,0)))</f>
        <v/>
      </c>
      <c r="E101" s="112" t="str">
        <f aca="false">IF($B101="","",INDEX('CARNET DE SOUDURE'!$D$7:$D$1506,MATCH(90,'CARNET DE SOUDURE'!$AP$7:$AP$1506,0)))</f>
        <v/>
      </c>
      <c r="F101" s="112" t="str">
        <f aca="false">IF($B101="","",INDEX('CARNET DE SOUDURE'!$O$7:$O$1506,MATCH(90,'CARNET DE SOUDURE'!$AP$7:$AP$1506,0))&amp;" / "&amp;INDEX('CARNET DE SOUDURE'!$P$7:$P$1506,MATCH(90,'CARNET DE SOUDURE'!$AP$7:$AP$1506,0))&amp;" / "&amp;INDEX('CARNET DE SOUDURE'!$Q$7:$Q$1506,MATCH(90,'CARNET DE SOUDURE'!$AP$7:$AP$1506,0)))</f>
        <v/>
      </c>
      <c r="G101" s="113" t="str">
        <f aca="false">IF($B101="","",INDEX('CARNET DE SOUDURE'!$R$7:$R$1506,MATCH(90,'CARNET DE SOUDURE'!$AP$7:$AP$1506,0)))</f>
        <v/>
      </c>
      <c r="H101" s="114" t="str">
        <f aca="false">IF($B101="","",INDEX('CARNET DE SOUDURE'!$AM$7:$AM$1506,MATCH(90,'CARNET DE SOUDURE'!$AP$7:$AP$1506,0)))</f>
        <v/>
      </c>
      <c r="I101" s="115" t="str">
        <f aca="false">IF($B101="","",INDEX('CARNET DE SOUDURE'!$AK$7:$AK$1506,MATCH(90,'CARNET DE SOUDURE'!$AP$7:$AP$1506,0)))</f>
        <v/>
      </c>
      <c r="J101" s="115" t="str">
        <f aca="false">IF($B101="","",INDEX('CARNET DE SOUDURE'!$AN$7:$AN$1506,MATCH(90,'CARNET DE SOUDURE'!$AP$7:$AP$1506,0)))</f>
        <v/>
      </c>
      <c r="K101" s="111"/>
      <c r="L101" s="111"/>
    </row>
    <row r="102" customFormat="false" ht="15" hidden="false" customHeight="false" outlineLevel="0" collapsed="false">
      <c r="B102" s="107" t="str">
        <f aca="false">IF(91&gt;$I$4,"",91)</f>
        <v/>
      </c>
      <c r="C102" s="107" t="str">
        <f aca="false">IF($B102="","",INDEX('CARNET DE SOUDURE'!$B$7:$B$1506,MATCH(91,'CARNET DE SOUDURE'!$AP$7:$AP$1506,0)))</f>
        <v/>
      </c>
      <c r="D102" s="107" t="str">
        <f aca="false">IF($B102="","",INDEX('CARNET DE SOUDURE'!$E$7:$E$1506,MATCH(91,'CARNET DE SOUDURE'!$AP$7:$AP$1506,0)))</f>
        <v/>
      </c>
      <c r="E102" s="107" t="str">
        <f aca="false">IF($B102="","",INDEX('CARNET DE SOUDURE'!$D$7:$D$1506,MATCH(91,'CARNET DE SOUDURE'!$AP$7:$AP$1506,0)))</f>
        <v/>
      </c>
      <c r="F102" s="107" t="str">
        <f aca="false">IF($B102="","",INDEX('CARNET DE SOUDURE'!$O$7:$O$1506,MATCH(91,'CARNET DE SOUDURE'!$AP$7:$AP$1506,0))&amp;" / "&amp;INDEX('CARNET DE SOUDURE'!$P$7:$P$1506,MATCH(91,'CARNET DE SOUDURE'!$AP$7:$AP$1506,0))&amp;" / "&amp;INDEX('CARNET DE SOUDURE'!$Q$7:$Q$1506,MATCH(91,'CARNET DE SOUDURE'!$AP$7:$AP$1506,0)))</f>
        <v/>
      </c>
      <c r="G102" s="108" t="str">
        <f aca="false">IF($B102="","",INDEX('CARNET DE SOUDURE'!$R$7:$R$1506,MATCH(91,'CARNET DE SOUDURE'!$AP$7:$AP$1506,0)))</f>
        <v/>
      </c>
      <c r="H102" s="109" t="str">
        <f aca="false">IF($B102="","",INDEX('CARNET DE SOUDURE'!$AM$7:$AM$1506,MATCH(91,'CARNET DE SOUDURE'!$AP$7:$AP$1506,0)))</f>
        <v/>
      </c>
      <c r="I102" s="110" t="str">
        <f aca="false">IF($B102="","",INDEX('CARNET DE SOUDURE'!$AK$7:$AK$1506,MATCH(91,'CARNET DE SOUDURE'!$AP$7:$AP$1506,0)))</f>
        <v/>
      </c>
      <c r="J102" s="110" t="str">
        <f aca="false">IF($B102="","",INDEX('CARNET DE SOUDURE'!$AN$7:$AN$1506,MATCH(91,'CARNET DE SOUDURE'!$AP$7:$AP$1506,0)))</f>
        <v/>
      </c>
      <c r="K102" s="111"/>
      <c r="L102" s="111"/>
    </row>
    <row r="103" customFormat="false" ht="15" hidden="false" customHeight="false" outlineLevel="0" collapsed="false">
      <c r="B103" s="112" t="str">
        <f aca="false">IF(92&gt;$I$4,"",92)</f>
        <v/>
      </c>
      <c r="C103" s="112" t="str">
        <f aca="false">IF($B103="","",INDEX('CARNET DE SOUDURE'!$B$7:$B$1506,MATCH(92,'CARNET DE SOUDURE'!$AP$7:$AP$1506,0)))</f>
        <v/>
      </c>
      <c r="D103" s="112" t="str">
        <f aca="false">IF($B103="","",INDEX('CARNET DE SOUDURE'!$E$7:$E$1506,MATCH(92,'CARNET DE SOUDURE'!$AP$7:$AP$1506,0)))</f>
        <v/>
      </c>
      <c r="E103" s="112" t="str">
        <f aca="false">IF($B103="","",INDEX('CARNET DE SOUDURE'!$D$7:$D$1506,MATCH(92,'CARNET DE SOUDURE'!$AP$7:$AP$1506,0)))</f>
        <v/>
      </c>
      <c r="F103" s="112" t="str">
        <f aca="false">IF($B103="","",INDEX('CARNET DE SOUDURE'!$O$7:$O$1506,MATCH(92,'CARNET DE SOUDURE'!$AP$7:$AP$1506,0))&amp;" / "&amp;INDEX('CARNET DE SOUDURE'!$P$7:$P$1506,MATCH(92,'CARNET DE SOUDURE'!$AP$7:$AP$1506,0))&amp;" / "&amp;INDEX('CARNET DE SOUDURE'!$Q$7:$Q$1506,MATCH(92,'CARNET DE SOUDURE'!$AP$7:$AP$1506,0)))</f>
        <v/>
      </c>
      <c r="G103" s="113" t="str">
        <f aca="false">IF($B103="","",INDEX('CARNET DE SOUDURE'!$R$7:$R$1506,MATCH(92,'CARNET DE SOUDURE'!$AP$7:$AP$1506,0)))</f>
        <v/>
      </c>
      <c r="H103" s="114" t="str">
        <f aca="false">IF($B103="","",INDEX('CARNET DE SOUDURE'!$AM$7:$AM$1506,MATCH(92,'CARNET DE SOUDURE'!$AP$7:$AP$1506,0)))</f>
        <v/>
      </c>
      <c r="I103" s="115" t="str">
        <f aca="false">IF($B103="","",INDEX('CARNET DE SOUDURE'!$AK$7:$AK$1506,MATCH(92,'CARNET DE SOUDURE'!$AP$7:$AP$1506,0)))</f>
        <v/>
      </c>
      <c r="J103" s="115" t="str">
        <f aca="false">IF($B103="","",INDEX('CARNET DE SOUDURE'!$AN$7:$AN$1506,MATCH(92,'CARNET DE SOUDURE'!$AP$7:$AP$1506,0)))</f>
        <v/>
      </c>
      <c r="K103" s="111"/>
      <c r="L103" s="111"/>
    </row>
    <row r="104" customFormat="false" ht="15" hidden="false" customHeight="false" outlineLevel="0" collapsed="false">
      <c r="B104" s="107" t="str">
        <f aca="false">IF(93&gt;$I$4,"",93)</f>
        <v/>
      </c>
      <c r="C104" s="107" t="str">
        <f aca="false">IF($B104="","",INDEX('CARNET DE SOUDURE'!$B$7:$B$1506,MATCH(93,'CARNET DE SOUDURE'!$AP$7:$AP$1506,0)))</f>
        <v/>
      </c>
      <c r="D104" s="107" t="str">
        <f aca="false">IF($B104="","",INDEX('CARNET DE SOUDURE'!$E$7:$E$1506,MATCH(93,'CARNET DE SOUDURE'!$AP$7:$AP$1506,0)))</f>
        <v/>
      </c>
      <c r="E104" s="107" t="str">
        <f aca="false">IF($B104="","",INDEX('CARNET DE SOUDURE'!$D$7:$D$1506,MATCH(93,'CARNET DE SOUDURE'!$AP$7:$AP$1506,0)))</f>
        <v/>
      </c>
      <c r="F104" s="107" t="str">
        <f aca="false">IF($B104="","",INDEX('CARNET DE SOUDURE'!$O$7:$O$1506,MATCH(93,'CARNET DE SOUDURE'!$AP$7:$AP$1506,0))&amp;" / "&amp;INDEX('CARNET DE SOUDURE'!$P$7:$P$1506,MATCH(93,'CARNET DE SOUDURE'!$AP$7:$AP$1506,0))&amp;" / "&amp;INDEX('CARNET DE SOUDURE'!$Q$7:$Q$1506,MATCH(93,'CARNET DE SOUDURE'!$AP$7:$AP$1506,0)))</f>
        <v/>
      </c>
      <c r="G104" s="108" t="str">
        <f aca="false">IF($B104="","",INDEX('CARNET DE SOUDURE'!$R$7:$R$1506,MATCH(93,'CARNET DE SOUDURE'!$AP$7:$AP$1506,0)))</f>
        <v/>
      </c>
      <c r="H104" s="109" t="str">
        <f aca="false">IF($B104="","",INDEX('CARNET DE SOUDURE'!$AM$7:$AM$1506,MATCH(93,'CARNET DE SOUDURE'!$AP$7:$AP$1506,0)))</f>
        <v/>
      </c>
      <c r="I104" s="110" t="str">
        <f aca="false">IF($B104="","",INDEX('CARNET DE SOUDURE'!$AK$7:$AK$1506,MATCH(93,'CARNET DE SOUDURE'!$AP$7:$AP$1506,0)))</f>
        <v/>
      </c>
      <c r="J104" s="110" t="str">
        <f aca="false">IF($B104="","",INDEX('CARNET DE SOUDURE'!$AN$7:$AN$1506,MATCH(93,'CARNET DE SOUDURE'!$AP$7:$AP$1506,0)))</f>
        <v/>
      </c>
      <c r="K104" s="111"/>
      <c r="L104" s="111"/>
    </row>
    <row r="105" customFormat="false" ht="15" hidden="false" customHeight="false" outlineLevel="0" collapsed="false">
      <c r="B105" s="112" t="str">
        <f aca="false">IF(94&gt;$I$4,"",94)</f>
        <v/>
      </c>
      <c r="C105" s="112" t="str">
        <f aca="false">IF($B105="","",INDEX('CARNET DE SOUDURE'!$B$7:$B$1506,MATCH(94,'CARNET DE SOUDURE'!$AP$7:$AP$1506,0)))</f>
        <v/>
      </c>
      <c r="D105" s="112" t="str">
        <f aca="false">IF($B105="","",INDEX('CARNET DE SOUDURE'!$E$7:$E$1506,MATCH(94,'CARNET DE SOUDURE'!$AP$7:$AP$1506,0)))</f>
        <v/>
      </c>
      <c r="E105" s="112" t="str">
        <f aca="false">IF($B105="","",INDEX('CARNET DE SOUDURE'!$D$7:$D$1506,MATCH(94,'CARNET DE SOUDURE'!$AP$7:$AP$1506,0)))</f>
        <v/>
      </c>
      <c r="F105" s="112" t="str">
        <f aca="false">IF($B105="","",INDEX('CARNET DE SOUDURE'!$O$7:$O$1506,MATCH(94,'CARNET DE SOUDURE'!$AP$7:$AP$1506,0))&amp;" / "&amp;INDEX('CARNET DE SOUDURE'!$P$7:$P$1506,MATCH(94,'CARNET DE SOUDURE'!$AP$7:$AP$1506,0))&amp;" / "&amp;INDEX('CARNET DE SOUDURE'!$Q$7:$Q$1506,MATCH(94,'CARNET DE SOUDURE'!$AP$7:$AP$1506,0)))</f>
        <v/>
      </c>
      <c r="G105" s="113" t="str">
        <f aca="false">IF($B105="","",INDEX('CARNET DE SOUDURE'!$R$7:$R$1506,MATCH(94,'CARNET DE SOUDURE'!$AP$7:$AP$1506,0)))</f>
        <v/>
      </c>
      <c r="H105" s="114" t="str">
        <f aca="false">IF($B105="","",INDEX('CARNET DE SOUDURE'!$AM$7:$AM$1506,MATCH(94,'CARNET DE SOUDURE'!$AP$7:$AP$1506,0)))</f>
        <v/>
      </c>
      <c r="I105" s="115" t="str">
        <f aca="false">IF($B105="","",INDEX('CARNET DE SOUDURE'!$AK$7:$AK$1506,MATCH(94,'CARNET DE SOUDURE'!$AP$7:$AP$1506,0)))</f>
        <v/>
      </c>
      <c r="J105" s="115" t="str">
        <f aca="false">IF($B105="","",INDEX('CARNET DE SOUDURE'!$AN$7:$AN$1506,MATCH(94,'CARNET DE SOUDURE'!$AP$7:$AP$1506,0)))</f>
        <v/>
      </c>
      <c r="K105" s="111"/>
      <c r="L105" s="111"/>
    </row>
    <row r="106" customFormat="false" ht="15" hidden="false" customHeight="false" outlineLevel="0" collapsed="false">
      <c r="B106" s="107" t="str">
        <f aca="false">IF(95&gt;$I$4,"",95)</f>
        <v/>
      </c>
      <c r="C106" s="107" t="str">
        <f aca="false">IF($B106="","",INDEX('CARNET DE SOUDURE'!$B$7:$B$1506,MATCH(95,'CARNET DE SOUDURE'!$AP$7:$AP$1506,0)))</f>
        <v/>
      </c>
      <c r="D106" s="107" t="str">
        <f aca="false">IF($B106="","",INDEX('CARNET DE SOUDURE'!$E$7:$E$1506,MATCH(95,'CARNET DE SOUDURE'!$AP$7:$AP$1506,0)))</f>
        <v/>
      </c>
      <c r="E106" s="107" t="str">
        <f aca="false">IF($B106="","",INDEX('CARNET DE SOUDURE'!$D$7:$D$1506,MATCH(95,'CARNET DE SOUDURE'!$AP$7:$AP$1506,0)))</f>
        <v/>
      </c>
      <c r="F106" s="107" t="str">
        <f aca="false">IF($B106="","",INDEX('CARNET DE SOUDURE'!$O$7:$O$1506,MATCH(95,'CARNET DE SOUDURE'!$AP$7:$AP$1506,0))&amp;" / "&amp;INDEX('CARNET DE SOUDURE'!$P$7:$P$1506,MATCH(95,'CARNET DE SOUDURE'!$AP$7:$AP$1506,0))&amp;" / "&amp;INDEX('CARNET DE SOUDURE'!$Q$7:$Q$1506,MATCH(95,'CARNET DE SOUDURE'!$AP$7:$AP$1506,0)))</f>
        <v/>
      </c>
      <c r="G106" s="108" t="str">
        <f aca="false">IF($B106="","",INDEX('CARNET DE SOUDURE'!$R$7:$R$1506,MATCH(95,'CARNET DE SOUDURE'!$AP$7:$AP$1506,0)))</f>
        <v/>
      </c>
      <c r="H106" s="109" t="str">
        <f aca="false">IF($B106="","",INDEX('CARNET DE SOUDURE'!$AM$7:$AM$1506,MATCH(95,'CARNET DE SOUDURE'!$AP$7:$AP$1506,0)))</f>
        <v/>
      </c>
      <c r="I106" s="110" t="str">
        <f aca="false">IF($B106="","",INDEX('CARNET DE SOUDURE'!$AK$7:$AK$1506,MATCH(95,'CARNET DE SOUDURE'!$AP$7:$AP$1506,0)))</f>
        <v/>
      </c>
      <c r="J106" s="110" t="str">
        <f aca="false">IF($B106="","",INDEX('CARNET DE SOUDURE'!$AN$7:$AN$1506,MATCH(95,'CARNET DE SOUDURE'!$AP$7:$AP$1506,0)))</f>
        <v/>
      </c>
      <c r="K106" s="111"/>
      <c r="L106" s="111"/>
    </row>
    <row r="107" customFormat="false" ht="15" hidden="false" customHeight="false" outlineLevel="0" collapsed="false">
      <c r="B107" s="112" t="str">
        <f aca="false">IF(96&gt;$I$4,"",96)</f>
        <v/>
      </c>
      <c r="C107" s="112" t="str">
        <f aca="false">IF($B107="","",INDEX('CARNET DE SOUDURE'!$B$7:$B$1506,MATCH(96,'CARNET DE SOUDURE'!$AP$7:$AP$1506,0)))</f>
        <v/>
      </c>
      <c r="D107" s="112" t="str">
        <f aca="false">IF($B107="","",INDEX('CARNET DE SOUDURE'!$E$7:$E$1506,MATCH(96,'CARNET DE SOUDURE'!$AP$7:$AP$1506,0)))</f>
        <v/>
      </c>
      <c r="E107" s="112" t="str">
        <f aca="false">IF($B107="","",INDEX('CARNET DE SOUDURE'!$D$7:$D$1506,MATCH(96,'CARNET DE SOUDURE'!$AP$7:$AP$1506,0)))</f>
        <v/>
      </c>
      <c r="F107" s="112" t="str">
        <f aca="false">IF($B107="","",INDEX('CARNET DE SOUDURE'!$O$7:$O$1506,MATCH(96,'CARNET DE SOUDURE'!$AP$7:$AP$1506,0))&amp;" / "&amp;INDEX('CARNET DE SOUDURE'!$P$7:$P$1506,MATCH(96,'CARNET DE SOUDURE'!$AP$7:$AP$1506,0))&amp;" / "&amp;INDEX('CARNET DE SOUDURE'!$Q$7:$Q$1506,MATCH(96,'CARNET DE SOUDURE'!$AP$7:$AP$1506,0)))</f>
        <v/>
      </c>
      <c r="G107" s="113" t="str">
        <f aca="false">IF($B107="","",INDEX('CARNET DE SOUDURE'!$R$7:$R$1506,MATCH(96,'CARNET DE SOUDURE'!$AP$7:$AP$1506,0)))</f>
        <v/>
      </c>
      <c r="H107" s="114" t="str">
        <f aca="false">IF($B107="","",INDEX('CARNET DE SOUDURE'!$AM$7:$AM$1506,MATCH(96,'CARNET DE SOUDURE'!$AP$7:$AP$1506,0)))</f>
        <v/>
      </c>
      <c r="I107" s="115" t="str">
        <f aca="false">IF($B107="","",INDEX('CARNET DE SOUDURE'!$AK$7:$AK$1506,MATCH(96,'CARNET DE SOUDURE'!$AP$7:$AP$1506,0)))</f>
        <v/>
      </c>
      <c r="J107" s="115" t="str">
        <f aca="false">IF($B107="","",INDEX('CARNET DE SOUDURE'!$AN$7:$AN$1506,MATCH(96,'CARNET DE SOUDURE'!$AP$7:$AP$1506,0)))</f>
        <v/>
      </c>
      <c r="K107" s="111"/>
      <c r="L107" s="111"/>
    </row>
    <row r="108" customFormat="false" ht="15" hidden="false" customHeight="false" outlineLevel="0" collapsed="false">
      <c r="B108" s="107" t="str">
        <f aca="false">IF(97&gt;$I$4,"",97)</f>
        <v/>
      </c>
      <c r="C108" s="107" t="str">
        <f aca="false">IF($B108="","",INDEX('CARNET DE SOUDURE'!$B$7:$B$1506,MATCH(97,'CARNET DE SOUDURE'!$AP$7:$AP$1506,0)))</f>
        <v/>
      </c>
      <c r="D108" s="107" t="str">
        <f aca="false">IF($B108="","",INDEX('CARNET DE SOUDURE'!$E$7:$E$1506,MATCH(97,'CARNET DE SOUDURE'!$AP$7:$AP$1506,0)))</f>
        <v/>
      </c>
      <c r="E108" s="107" t="str">
        <f aca="false">IF($B108="","",INDEX('CARNET DE SOUDURE'!$D$7:$D$1506,MATCH(97,'CARNET DE SOUDURE'!$AP$7:$AP$1506,0)))</f>
        <v/>
      </c>
      <c r="F108" s="107" t="str">
        <f aca="false">IF($B108="","",INDEX('CARNET DE SOUDURE'!$O$7:$O$1506,MATCH(97,'CARNET DE SOUDURE'!$AP$7:$AP$1506,0))&amp;" / "&amp;INDEX('CARNET DE SOUDURE'!$P$7:$P$1506,MATCH(97,'CARNET DE SOUDURE'!$AP$7:$AP$1506,0))&amp;" / "&amp;INDEX('CARNET DE SOUDURE'!$Q$7:$Q$1506,MATCH(97,'CARNET DE SOUDURE'!$AP$7:$AP$1506,0)))</f>
        <v/>
      </c>
      <c r="G108" s="108" t="str">
        <f aca="false">IF($B108="","",INDEX('CARNET DE SOUDURE'!$R$7:$R$1506,MATCH(97,'CARNET DE SOUDURE'!$AP$7:$AP$1506,0)))</f>
        <v/>
      </c>
      <c r="H108" s="109" t="str">
        <f aca="false">IF($B108="","",INDEX('CARNET DE SOUDURE'!$AM$7:$AM$1506,MATCH(97,'CARNET DE SOUDURE'!$AP$7:$AP$1506,0)))</f>
        <v/>
      </c>
      <c r="I108" s="110" t="str">
        <f aca="false">IF($B108="","",INDEX('CARNET DE SOUDURE'!$AK$7:$AK$1506,MATCH(97,'CARNET DE SOUDURE'!$AP$7:$AP$1506,0)))</f>
        <v/>
      </c>
      <c r="J108" s="110" t="str">
        <f aca="false">IF($B108="","",INDEX('CARNET DE SOUDURE'!$AN$7:$AN$1506,MATCH(97,'CARNET DE SOUDURE'!$AP$7:$AP$1506,0)))</f>
        <v/>
      </c>
      <c r="K108" s="111"/>
      <c r="L108" s="111"/>
    </row>
    <row r="109" customFormat="false" ht="15" hidden="false" customHeight="false" outlineLevel="0" collapsed="false">
      <c r="B109" s="112" t="str">
        <f aca="false">IF(98&gt;$I$4,"",98)</f>
        <v/>
      </c>
      <c r="C109" s="112" t="str">
        <f aca="false">IF($B109="","",INDEX('CARNET DE SOUDURE'!$B$7:$B$1506,MATCH(98,'CARNET DE SOUDURE'!$AP$7:$AP$1506,0)))</f>
        <v/>
      </c>
      <c r="D109" s="112" t="str">
        <f aca="false">IF($B109="","",INDEX('CARNET DE SOUDURE'!$E$7:$E$1506,MATCH(98,'CARNET DE SOUDURE'!$AP$7:$AP$1506,0)))</f>
        <v/>
      </c>
      <c r="E109" s="112" t="str">
        <f aca="false">IF($B109="","",INDEX('CARNET DE SOUDURE'!$D$7:$D$1506,MATCH(98,'CARNET DE SOUDURE'!$AP$7:$AP$1506,0)))</f>
        <v/>
      </c>
      <c r="F109" s="112" t="str">
        <f aca="false">IF($B109="","",INDEX('CARNET DE SOUDURE'!$O$7:$O$1506,MATCH(98,'CARNET DE SOUDURE'!$AP$7:$AP$1506,0))&amp;" / "&amp;INDEX('CARNET DE SOUDURE'!$P$7:$P$1506,MATCH(98,'CARNET DE SOUDURE'!$AP$7:$AP$1506,0))&amp;" / "&amp;INDEX('CARNET DE SOUDURE'!$Q$7:$Q$1506,MATCH(98,'CARNET DE SOUDURE'!$AP$7:$AP$1506,0)))</f>
        <v/>
      </c>
      <c r="G109" s="113" t="str">
        <f aca="false">IF($B109="","",INDEX('CARNET DE SOUDURE'!$R$7:$R$1506,MATCH(98,'CARNET DE SOUDURE'!$AP$7:$AP$1506,0)))</f>
        <v/>
      </c>
      <c r="H109" s="114" t="str">
        <f aca="false">IF($B109="","",INDEX('CARNET DE SOUDURE'!$AM$7:$AM$1506,MATCH(98,'CARNET DE SOUDURE'!$AP$7:$AP$1506,0)))</f>
        <v/>
      </c>
      <c r="I109" s="115" t="str">
        <f aca="false">IF($B109="","",INDEX('CARNET DE SOUDURE'!$AK$7:$AK$1506,MATCH(98,'CARNET DE SOUDURE'!$AP$7:$AP$1506,0)))</f>
        <v/>
      </c>
      <c r="J109" s="115" t="str">
        <f aca="false">IF($B109="","",INDEX('CARNET DE SOUDURE'!$AN$7:$AN$1506,MATCH(98,'CARNET DE SOUDURE'!$AP$7:$AP$1506,0)))</f>
        <v/>
      </c>
      <c r="K109" s="111"/>
      <c r="L109" s="111"/>
    </row>
    <row r="110" customFormat="false" ht="15" hidden="false" customHeight="false" outlineLevel="0" collapsed="false">
      <c r="B110" s="107" t="str">
        <f aca="false">IF(99&gt;$I$4,"",99)</f>
        <v/>
      </c>
      <c r="C110" s="107" t="str">
        <f aca="false">IF($B110="","",INDEX('CARNET DE SOUDURE'!$B$7:$B$1506,MATCH(99,'CARNET DE SOUDURE'!$AP$7:$AP$1506,0)))</f>
        <v/>
      </c>
      <c r="D110" s="107" t="str">
        <f aca="false">IF($B110="","",INDEX('CARNET DE SOUDURE'!$E$7:$E$1506,MATCH(99,'CARNET DE SOUDURE'!$AP$7:$AP$1506,0)))</f>
        <v/>
      </c>
      <c r="E110" s="107" t="str">
        <f aca="false">IF($B110="","",INDEX('CARNET DE SOUDURE'!$D$7:$D$1506,MATCH(99,'CARNET DE SOUDURE'!$AP$7:$AP$1506,0)))</f>
        <v/>
      </c>
      <c r="F110" s="107" t="str">
        <f aca="false">IF($B110="","",INDEX('CARNET DE SOUDURE'!$O$7:$O$1506,MATCH(99,'CARNET DE SOUDURE'!$AP$7:$AP$1506,0))&amp;" / "&amp;INDEX('CARNET DE SOUDURE'!$P$7:$P$1506,MATCH(99,'CARNET DE SOUDURE'!$AP$7:$AP$1506,0))&amp;" / "&amp;INDEX('CARNET DE SOUDURE'!$Q$7:$Q$1506,MATCH(99,'CARNET DE SOUDURE'!$AP$7:$AP$1506,0)))</f>
        <v/>
      </c>
      <c r="G110" s="108" t="str">
        <f aca="false">IF($B110="","",INDEX('CARNET DE SOUDURE'!$R$7:$R$1506,MATCH(99,'CARNET DE SOUDURE'!$AP$7:$AP$1506,0)))</f>
        <v/>
      </c>
      <c r="H110" s="109" t="str">
        <f aca="false">IF($B110="","",INDEX('CARNET DE SOUDURE'!$AM$7:$AM$1506,MATCH(99,'CARNET DE SOUDURE'!$AP$7:$AP$1506,0)))</f>
        <v/>
      </c>
      <c r="I110" s="110" t="str">
        <f aca="false">IF($B110="","",INDEX('CARNET DE SOUDURE'!$AK$7:$AK$1506,MATCH(99,'CARNET DE SOUDURE'!$AP$7:$AP$1506,0)))</f>
        <v/>
      </c>
      <c r="J110" s="110" t="str">
        <f aca="false">IF($B110="","",INDEX('CARNET DE SOUDURE'!$AN$7:$AN$1506,MATCH(99,'CARNET DE SOUDURE'!$AP$7:$AP$1506,0)))</f>
        <v/>
      </c>
      <c r="K110" s="111"/>
      <c r="L110" s="111"/>
    </row>
    <row r="111" customFormat="false" ht="15" hidden="false" customHeight="false" outlineLevel="0" collapsed="false">
      <c r="B111" s="112" t="str">
        <f aca="false">IF(100&gt;$I$4,"",100)</f>
        <v/>
      </c>
      <c r="C111" s="112" t="str">
        <f aca="false">IF($B111="","",INDEX('CARNET DE SOUDURE'!$B$7:$B$1506,MATCH(100,'CARNET DE SOUDURE'!$AP$7:$AP$1506,0)))</f>
        <v/>
      </c>
      <c r="D111" s="112" t="str">
        <f aca="false">IF($B111="","",INDEX('CARNET DE SOUDURE'!$E$7:$E$1506,MATCH(100,'CARNET DE SOUDURE'!$AP$7:$AP$1506,0)))</f>
        <v/>
      </c>
      <c r="E111" s="112" t="str">
        <f aca="false">IF($B111="","",INDEX('CARNET DE SOUDURE'!$D$7:$D$1506,MATCH(100,'CARNET DE SOUDURE'!$AP$7:$AP$1506,0)))</f>
        <v/>
      </c>
      <c r="F111" s="112" t="str">
        <f aca="false">IF($B111="","",INDEX('CARNET DE SOUDURE'!$O$7:$O$1506,MATCH(100,'CARNET DE SOUDURE'!$AP$7:$AP$1506,0))&amp;" / "&amp;INDEX('CARNET DE SOUDURE'!$P$7:$P$1506,MATCH(100,'CARNET DE SOUDURE'!$AP$7:$AP$1506,0))&amp;" / "&amp;INDEX('CARNET DE SOUDURE'!$Q$7:$Q$1506,MATCH(100,'CARNET DE SOUDURE'!$AP$7:$AP$1506,0)))</f>
        <v/>
      </c>
      <c r="G111" s="113" t="str">
        <f aca="false">IF($B111="","",INDEX('CARNET DE SOUDURE'!$R$7:$R$1506,MATCH(100,'CARNET DE SOUDURE'!$AP$7:$AP$1506,0)))</f>
        <v/>
      </c>
      <c r="H111" s="114" t="str">
        <f aca="false">IF($B111="","",INDEX('CARNET DE SOUDURE'!$AM$7:$AM$1506,MATCH(100,'CARNET DE SOUDURE'!$AP$7:$AP$1506,0)))</f>
        <v/>
      </c>
      <c r="I111" s="115" t="str">
        <f aca="false">IF($B111="","",INDEX('CARNET DE SOUDURE'!$AK$7:$AK$1506,MATCH(100,'CARNET DE SOUDURE'!$AP$7:$AP$1506,0)))</f>
        <v/>
      </c>
      <c r="J111" s="115" t="str">
        <f aca="false">IF($B111="","",INDEX('CARNET DE SOUDURE'!$AN$7:$AN$1506,MATCH(100,'CARNET DE SOUDURE'!$AP$7:$AP$1506,0)))</f>
        <v/>
      </c>
      <c r="K111" s="111"/>
      <c r="L111" s="111"/>
    </row>
    <row r="112" customFormat="false" ht="15" hidden="false" customHeight="false" outlineLevel="0" collapsed="false">
      <c r="B112" s="107" t="str">
        <f aca="false">IF(101&gt;$I$4,"",101)</f>
        <v/>
      </c>
      <c r="C112" s="107" t="str">
        <f aca="false">IF($B112="","",INDEX('CARNET DE SOUDURE'!$B$7:$B$1506,MATCH(101,'CARNET DE SOUDURE'!$AP$7:$AP$1506,0)))</f>
        <v/>
      </c>
      <c r="D112" s="107" t="str">
        <f aca="false">IF($B112="","",INDEX('CARNET DE SOUDURE'!$E$7:$E$1506,MATCH(101,'CARNET DE SOUDURE'!$AP$7:$AP$1506,0)))</f>
        <v/>
      </c>
      <c r="E112" s="107" t="str">
        <f aca="false">IF($B112="","",INDEX('CARNET DE SOUDURE'!$D$7:$D$1506,MATCH(101,'CARNET DE SOUDURE'!$AP$7:$AP$1506,0)))</f>
        <v/>
      </c>
      <c r="F112" s="107" t="str">
        <f aca="false">IF($B112="","",INDEX('CARNET DE SOUDURE'!$O$7:$O$1506,MATCH(101,'CARNET DE SOUDURE'!$AP$7:$AP$1506,0))&amp;" / "&amp;INDEX('CARNET DE SOUDURE'!$P$7:$P$1506,MATCH(101,'CARNET DE SOUDURE'!$AP$7:$AP$1506,0))&amp;" / "&amp;INDEX('CARNET DE SOUDURE'!$Q$7:$Q$1506,MATCH(101,'CARNET DE SOUDURE'!$AP$7:$AP$1506,0)))</f>
        <v/>
      </c>
      <c r="G112" s="108" t="str">
        <f aca="false">IF($B112="","",INDEX('CARNET DE SOUDURE'!$R$7:$R$1506,MATCH(101,'CARNET DE SOUDURE'!$AP$7:$AP$1506,0)))</f>
        <v/>
      </c>
      <c r="H112" s="109" t="str">
        <f aca="false">IF($B112="","",INDEX('CARNET DE SOUDURE'!$AM$7:$AM$1506,MATCH(101,'CARNET DE SOUDURE'!$AP$7:$AP$1506,0)))</f>
        <v/>
      </c>
      <c r="I112" s="110" t="str">
        <f aca="false">IF($B112="","",INDEX('CARNET DE SOUDURE'!$AK$7:$AK$1506,MATCH(101,'CARNET DE SOUDURE'!$AP$7:$AP$1506,0)))</f>
        <v/>
      </c>
      <c r="J112" s="110" t="str">
        <f aca="false">IF($B112="","",INDEX('CARNET DE SOUDURE'!$AN$7:$AN$1506,MATCH(101,'CARNET DE SOUDURE'!$AP$7:$AP$1506,0)))</f>
        <v/>
      </c>
      <c r="K112" s="111"/>
      <c r="L112" s="111"/>
    </row>
    <row r="113" customFormat="false" ht="15" hidden="false" customHeight="false" outlineLevel="0" collapsed="false">
      <c r="B113" s="112" t="str">
        <f aca="false">IF(102&gt;$I$4,"",102)</f>
        <v/>
      </c>
      <c r="C113" s="112" t="str">
        <f aca="false">IF($B113="","",INDEX('CARNET DE SOUDURE'!$B$7:$B$1506,MATCH(102,'CARNET DE SOUDURE'!$AP$7:$AP$1506,0)))</f>
        <v/>
      </c>
      <c r="D113" s="112" t="str">
        <f aca="false">IF($B113="","",INDEX('CARNET DE SOUDURE'!$E$7:$E$1506,MATCH(102,'CARNET DE SOUDURE'!$AP$7:$AP$1506,0)))</f>
        <v/>
      </c>
      <c r="E113" s="112" t="str">
        <f aca="false">IF($B113="","",INDEX('CARNET DE SOUDURE'!$D$7:$D$1506,MATCH(102,'CARNET DE SOUDURE'!$AP$7:$AP$1506,0)))</f>
        <v/>
      </c>
      <c r="F113" s="112" t="str">
        <f aca="false">IF($B113="","",INDEX('CARNET DE SOUDURE'!$O$7:$O$1506,MATCH(102,'CARNET DE SOUDURE'!$AP$7:$AP$1506,0))&amp;" / "&amp;INDEX('CARNET DE SOUDURE'!$P$7:$P$1506,MATCH(102,'CARNET DE SOUDURE'!$AP$7:$AP$1506,0))&amp;" / "&amp;INDEX('CARNET DE SOUDURE'!$Q$7:$Q$1506,MATCH(102,'CARNET DE SOUDURE'!$AP$7:$AP$1506,0)))</f>
        <v/>
      </c>
      <c r="G113" s="113" t="str">
        <f aca="false">IF($B113="","",INDEX('CARNET DE SOUDURE'!$R$7:$R$1506,MATCH(102,'CARNET DE SOUDURE'!$AP$7:$AP$1506,0)))</f>
        <v/>
      </c>
      <c r="H113" s="114" t="str">
        <f aca="false">IF($B113="","",INDEX('CARNET DE SOUDURE'!$AM$7:$AM$1506,MATCH(102,'CARNET DE SOUDURE'!$AP$7:$AP$1506,0)))</f>
        <v/>
      </c>
      <c r="I113" s="115" t="str">
        <f aca="false">IF($B113="","",INDEX('CARNET DE SOUDURE'!$AK$7:$AK$1506,MATCH(102,'CARNET DE SOUDURE'!$AP$7:$AP$1506,0)))</f>
        <v/>
      </c>
      <c r="J113" s="115" t="str">
        <f aca="false">IF($B113="","",INDEX('CARNET DE SOUDURE'!$AN$7:$AN$1506,MATCH(102,'CARNET DE SOUDURE'!$AP$7:$AP$1506,0)))</f>
        <v/>
      </c>
      <c r="K113" s="111"/>
      <c r="L113" s="111"/>
    </row>
    <row r="114" customFormat="false" ht="15" hidden="false" customHeight="false" outlineLevel="0" collapsed="false">
      <c r="B114" s="107" t="str">
        <f aca="false">IF(103&gt;$I$4,"",103)</f>
        <v/>
      </c>
      <c r="C114" s="107" t="str">
        <f aca="false">IF($B114="","",INDEX('CARNET DE SOUDURE'!$B$7:$B$1506,MATCH(103,'CARNET DE SOUDURE'!$AP$7:$AP$1506,0)))</f>
        <v/>
      </c>
      <c r="D114" s="107" t="str">
        <f aca="false">IF($B114="","",INDEX('CARNET DE SOUDURE'!$E$7:$E$1506,MATCH(103,'CARNET DE SOUDURE'!$AP$7:$AP$1506,0)))</f>
        <v/>
      </c>
      <c r="E114" s="107" t="str">
        <f aca="false">IF($B114="","",INDEX('CARNET DE SOUDURE'!$D$7:$D$1506,MATCH(103,'CARNET DE SOUDURE'!$AP$7:$AP$1506,0)))</f>
        <v/>
      </c>
      <c r="F114" s="107" t="str">
        <f aca="false">IF($B114="","",INDEX('CARNET DE SOUDURE'!$O$7:$O$1506,MATCH(103,'CARNET DE SOUDURE'!$AP$7:$AP$1506,0))&amp;" / "&amp;INDEX('CARNET DE SOUDURE'!$P$7:$P$1506,MATCH(103,'CARNET DE SOUDURE'!$AP$7:$AP$1506,0))&amp;" / "&amp;INDEX('CARNET DE SOUDURE'!$Q$7:$Q$1506,MATCH(103,'CARNET DE SOUDURE'!$AP$7:$AP$1506,0)))</f>
        <v/>
      </c>
      <c r="G114" s="108" t="str">
        <f aca="false">IF($B114="","",INDEX('CARNET DE SOUDURE'!$R$7:$R$1506,MATCH(103,'CARNET DE SOUDURE'!$AP$7:$AP$1506,0)))</f>
        <v/>
      </c>
      <c r="H114" s="109" t="str">
        <f aca="false">IF($B114="","",INDEX('CARNET DE SOUDURE'!$AM$7:$AM$1506,MATCH(103,'CARNET DE SOUDURE'!$AP$7:$AP$1506,0)))</f>
        <v/>
      </c>
      <c r="I114" s="110" t="str">
        <f aca="false">IF($B114="","",INDEX('CARNET DE SOUDURE'!$AK$7:$AK$1506,MATCH(103,'CARNET DE SOUDURE'!$AP$7:$AP$1506,0)))</f>
        <v/>
      </c>
      <c r="J114" s="110" t="str">
        <f aca="false">IF($B114="","",INDEX('CARNET DE SOUDURE'!$AN$7:$AN$1506,MATCH(103,'CARNET DE SOUDURE'!$AP$7:$AP$1506,0)))</f>
        <v/>
      </c>
      <c r="K114" s="111"/>
      <c r="L114" s="111"/>
    </row>
    <row r="115" customFormat="false" ht="15" hidden="false" customHeight="false" outlineLevel="0" collapsed="false">
      <c r="B115" s="112" t="str">
        <f aca="false">IF(104&gt;$I$4,"",104)</f>
        <v/>
      </c>
      <c r="C115" s="112" t="str">
        <f aca="false">IF($B115="","",INDEX('CARNET DE SOUDURE'!$B$7:$B$1506,MATCH(104,'CARNET DE SOUDURE'!$AP$7:$AP$1506,0)))</f>
        <v/>
      </c>
      <c r="D115" s="112" t="str">
        <f aca="false">IF($B115="","",INDEX('CARNET DE SOUDURE'!$E$7:$E$1506,MATCH(104,'CARNET DE SOUDURE'!$AP$7:$AP$1506,0)))</f>
        <v/>
      </c>
      <c r="E115" s="112" t="str">
        <f aca="false">IF($B115="","",INDEX('CARNET DE SOUDURE'!$D$7:$D$1506,MATCH(104,'CARNET DE SOUDURE'!$AP$7:$AP$1506,0)))</f>
        <v/>
      </c>
      <c r="F115" s="112" t="str">
        <f aca="false">IF($B115="","",INDEX('CARNET DE SOUDURE'!$O$7:$O$1506,MATCH(104,'CARNET DE SOUDURE'!$AP$7:$AP$1506,0))&amp;" / "&amp;INDEX('CARNET DE SOUDURE'!$P$7:$P$1506,MATCH(104,'CARNET DE SOUDURE'!$AP$7:$AP$1506,0))&amp;" / "&amp;INDEX('CARNET DE SOUDURE'!$Q$7:$Q$1506,MATCH(104,'CARNET DE SOUDURE'!$AP$7:$AP$1506,0)))</f>
        <v/>
      </c>
      <c r="G115" s="113" t="str">
        <f aca="false">IF($B115="","",INDEX('CARNET DE SOUDURE'!$R$7:$R$1506,MATCH(104,'CARNET DE SOUDURE'!$AP$7:$AP$1506,0)))</f>
        <v/>
      </c>
      <c r="H115" s="114" t="str">
        <f aca="false">IF($B115="","",INDEX('CARNET DE SOUDURE'!$AM$7:$AM$1506,MATCH(104,'CARNET DE SOUDURE'!$AP$7:$AP$1506,0)))</f>
        <v/>
      </c>
      <c r="I115" s="115" t="str">
        <f aca="false">IF($B115="","",INDEX('CARNET DE SOUDURE'!$AK$7:$AK$1506,MATCH(104,'CARNET DE SOUDURE'!$AP$7:$AP$1506,0)))</f>
        <v/>
      </c>
      <c r="J115" s="115" t="str">
        <f aca="false">IF($B115="","",INDEX('CARNET DE SOUDURE'!$AN$7:$AN$1506,MATCH(104,'CARNET DE SOUDURE'!$AP$7:$AP$1506,0)))</f>
        <v/>
      </c>
      <c r="K115" s="111"/>
      <c r="L115" s="111"/>
    </row>
    <row r="116" customFormat="false" ht="15" hidden="false" customHeight="false" outlineLevel="0" collapsed="false">
      <c r="B116" s="107" t="str">
        <f aca="false">IF(105&gt;$I$4,"",105)</f>
        <v/>
      </c>
      <c r="C116" s="107" t="str">
        <f aca="false">IF($B116="","",INDEX('CARNET DE SOUDURE'!$B$7:$B$1506,MATCH(105,'CARNET DE SOUDURE'!$AP$7:$AP$1506,0)))</f>
        <v/>
      </c>
      <c r="D116" s="107" t="str">
        <f aca="false">IF($B116="","",INDEX('CARNET DE SOUDURE'!$E$7:$E$1506,MATCH(105,'CARNET DE SOUDURE'!$AP$7:$AP$1506,0)))</f>
        <v/>
      </c>
      <c r="E116" s="107" t="str">
        <f aca="false">IF($B116="","",INDEX('CARNET DE SOUDURE'!$D$7:$D$1506,MATCH(105,'CARNET DE SOUDURE'!$AP$7:$AP$1506,0)))</f>
        <v/>
      </c>
      <c r="F116" s="107" t="str">
        <f aca="false">IF($B116="","",INDEX('CARNET DE SOUDURE'!$O$7:$O$1506,MATCH(105,'CARNET DE SOUDURE'!$AP$7:$AP$1506,0))&amp;" / "&amp;INDEX('CARNET DE SOUDURE'!$P$7:$P$1506,MATCH(105,'CARNET DE SOUDURE'!$AP$7:$AP$1506,0))&amp;" / "&amp;INDEX('CARNET DE SOUDURE'!$Q$7:$Q$1506,MATCH(105,'CARNET DE SOUDURE'!$AP$7:$AP$1506,0)))</f>
        <v/>
      </c>
      <c r="G116" s="108" t="str">
        <f aca="false">IF($B116="","",INDEX('CARNET DE SOUDURE'!$R$7:$R$1506,MATCH(105,'CARNET DE SOUDURE'!$AP$7:$AP$1506,0)))</f>
        <v/>
      </c>
      <c r="H116" s="109" t="str">
        <f aca="false">IF($B116="","",INDEX('CARNET DE SOUDURE'!$AM$7:$AM$1506,MATCH(105,'CARNET DE SOUDURE'!$AP$7:$AP$1506,0)))</f>
        <v/>
      </c>
      <c r="I116" s="110" t="str">
        <f aca="false">IF($B116="","",INDEX('CARNET DE SOUDURE'!$AK$7:$AK$1506,MATCH(105,'CARNET DE SOUDURE'!$AP$7:$AP$1506,0)))</f>
        <v/>
      </c>
      <c r="J116" s="110" t="str">
        <f aca="false">IF($B116="","",INDEX('CARNET DE SOUDURE'!$AN$7:$AN$1506,MATCH(105,'CARNET DE SOUDURE'!$AP$7:$AP$1506,0)))</f>
        <v/>
      </c>
      <c r="K116" s="111"/>
      <c r="L116" s="111"/>
    </row>
    <row r="117" customFormat="false" ht="15" hidden="false" customHeight="false" outlineLevel="0" collapsed="false">
      <c r="B117" s="112" t="str">
        <f aca="false">IF(106&gt;$I$4,"",106)</f>
        <v/>
      </c>
      <c r="C117" s="112" t="str">
        <f aca="false">IF($B117="","",INDEX('CARNET DE SOUDURE'!$B$7:$B$1506,MATCH(106,'CARNET DE SOUDURE'!$AP$7:$AP$1506,0)))</f>
        <v/>
      </c>
      <c r="D117" s="112" t="str">
        <f aca="false">IF($B117="","",INDEX('CARNET DE SOUDURE'!$E$7:$E$1506,MATCH(106,'CARNET DE SOUDURE'!$AP$7:$AP$1506,0)))</f>
        <v/>
      </c>
      <c r="E117" s="112" t="str">
        <f aca="false">IF($B117="","",INDEX('CARNET DE SOUDURE'!$D$7:$D$1506,MATCH(106,'CARNET DE SOUDURE'!$AP$7:$AP$1506,0)))</f>
        <v/>
      </c>
      <c r="F117" s="112" t="str">
        <f aca="false">IF($B117="","",INDEX('CARNET DE SOUDURE'!$O$7:$O$1506,MATCH(106,'CARNET DE SOUDURE'!$AP$7:$AP$1506,0))&amp;" / "&amp;INDEX('CARNET DE SOUDURE'!$P$7:$P$1506,MATCH(106,'CARNET DE SOUDURE'!$AP$7:$AP$1506,0))&amp;" / "&amp;INDEX('CARNET DE SOUDURE'!$Q$7:$Q$1506,MATCH(106,'CARNET DE SOUDURE'!$AP$7:$AP$1506,0)))</f>
        <v/>
      </c>
      <c r="G117" s="113" t="str">
        <f aca="false">IF($B117="","",INDEX('CARNET DE SOUDURE'!$R$7:$R$1506,MATCH(106,'CARNET DE SOUDURE'!$AP$7:$AP$1506,0)))</f>
        <v/>
      </c>
      <c r="H117" s="114" t="str">
        <f aca="false">IF($B117="","",INDEX('CARNET DE SOUDURE'!$AM$7:$AM$1506,MATCH(106,'CARNET DE SOUDURE'!$AP$7:$AP$1506,0)))</f>
        <v/>
      </c>
      <c r="I117" s="115" t="str">
        <f aca="false">IF($B117="","",INDEX('CARNET DE SOUDURE'!$AK$7:$AK$1506,MATCH(106,'CARNET DE SOUDURE'!$AP$7:$AP$1506,0)))</f>
        <v/>
      </c>
      <c r="J117" s="115" t="str">
        <f aca="false">IF($B117="","",INDEX('CARNET DE SOUDURE'!$AN$7:$AN$1506,MATCH(106,'CARNET DE SOUDURE'!$AP$7:$AP$1506,0)))</f>
        <v/>
      </c>
      <c r="K117" s="111"/>
      <c r="L117" s="111"/>
    </row>
    <row r="118" customFormat="false" ht="15" hidden="false" customHeight="false" outlineLevel="0" collapsed="false">
      <c r="B118" s="107" t="str">
        <f aca="false">IF(107&gt;$I$4,"",107)</f>
        <v/>
      </c>
      <c r="C118" s="107" t="str">
        <f aca="false">IF($B118="","",INDEX('CARNET DE SOUDURE'!$B$7:$B$1506,MATCH(107,'CARNET DE SOUDURE'!$AP$7:$AP$1506,0)))</f>
        <v/>
      </c>
      <c r="D118" s="107" t="str">
        <f aca="false">IF($B118="","",INDEX('CARNET DE SOUDURE'!$E$7:$E$1506,MATCH(107,'CARNET DE SOUDURE'!$AP$7:$AP$1506,0)))</f>
        <v/>
      </c>
      <c r="E118" s="107" t="str">
        <f aca="false">IF($B118="","",INDEX('CARNET DE SOUDURE'!$D$7:$D$1506,MATCH(107,'CARNET DE SOUDURE'!$AP$7:$AP$1506,0)))</f>
        <v/>
      </c>
      <c r="F118" s="107" t="str">
        <f aca="false">IF($B118="","",INDEX('CARNET DE SOUDURE'!$O$7:$O$1506,MATCH(107,'CARNET DE SOUDURE'!$AP$7:$AP$1506,0))&amp;" / "&amp;INDEX('CARNET DE SOUDURE'!$P$7:$P$1506,MATCH(107,'CARNET DE SOUDURE'!$AP$7:$AP$1506,0))&amp;" / "&amp;INDEX('CARNET DE SOUDURE'!$Q$7:$Q$1506,MATCH(107,'CARNET DE SOUDURE'!$AP$7:$AP$1506,0)))</f>
        <v/>
      </c>
      <c r="G118" s="108" t="str">
        <f aca="false">IF($B118="","",INDEX('CARNET DE SOUDURE'!$R$7:$R$1506,MATCH(107,'CARNET DE SOUDURE'!$AP$7:$AP$1506,0)))</f>
        <v/>
      </c>
      <c r="H118" s="109" t="str">
        <f aca="false">IF($B118="","",INDEX('CARNET DE SOUDURE'!$AM$7:$AM$1506,MATCH(107,'CARNET DE SOUDURE'!$AP$7:$AP$1506,0)))</f>
        <v/>
      </c>
      <c r="I118" s="110" t="str">
        <f aca="false">IF($B118="","",INDEX('CARNET DE SOUDURE'!$AK$7:$AK$1506,MATCH(107,'CARNET DE SOUDURE'!$AP$7:$AP$1506,0)))</f>
        <v/>
      </c>
      <c r="J118" s="110" t="str">
        <f aca="false">IF($B118="","",INDEX('CARNET DE SOUDURE'!$AN$7:$AN$1506,MATCH(107,'CARNET DE SOUDURE'!$AP$7:$AP$1506,0)))</f>
        <v/>
      </c>
      <c r="K118" s="111"/>
      <c r="L118" s="111"/>
    </row>
    <row r="119" customFormat="false" ht="15" hidden="false" customHeight="false" outlineLevel="0" collapsed="false">
      <c r="B119" s="112" t="str">
        <f aca="false">IF(108&gt;$I$4,"",108)</f>
        <v/>
      </c>
      <c r="C119" s="112" t="str">
        <f aca="false">IF($B119="","",INDEX('CARNET DE SOUDURE'!$B$7:$B$1506,MATCH(108,'CARNET DE SOUDURE'!$AP$7:$AP$1506,0)))</f>
        <v/>
      </c>
      <c r="D119" s="112" t="str">
        <f aca="false">IF($B119="","",INDEX('CARNET DE SOUDURE'!$E$7:$E$1506,MATCH(108,'CARNET DE SOUDURE'!$AP$7:$AP$1506,0)))</f>
        <v/>
      </c>
      <c r="E119" s="112" t="str">
        <f aca="false">IF($B119="","",INDEX('CARNET DE SOUDURE'!$D$7:$D$1506,MATCH(108,'CARNET DE SOUDURE'!$AP$7:$AP$1506,0)))</f>
        <v/>
      </c>
      <c r="F119" s="112" t="str">
        <f aca="false">IF($B119="","",INDEX('CARNET DE SOUDURE'!$O$7:$O$1506,MATCH(108,'CARNET DE SOUDURE'!$AP$7:$AP$1506,0))&amp;" / "&amp;INDEX('CARNET DE SOUDURE'!$P$7:$P$1506,MATCH(108,'CARNET DE SOUDURE'!$AP$7:$AP$1506,0))&amp;" / "&amp;INDEX('CARNET DE SOUDURE'!$Q$7:$Q$1506,MATCH(108,'CARNET DE SOUDURE'!$AP$7:$AP$1506,0)))</f>
        <v/>
      </c>
      <c r="G119" s="113" t="str">
        <f aca="false">IF($B119="","",INDEX('CARNET DE SOUDURE'!$R$7:$R$1506,MATCH(108,'CARNET DE SOUDURE'!$AP$7:$AP$1506,0)))</f>
        <v/>
      </c>
      <c r="H119" s="114" t="str">
        <f aca="false">IF($B119="","",INDEX('CARNET DE SOUDURE'!$AM$7:$AM$1506,MATCH(108,'CARNET DE SOUDURE'!$AP$7:$AP$1506,0)))</f>
        <v/>
      </c>
      <c r="I119" s="115" t="str">
        <f aca="false">IF($B119="","",INDEX('CARNET DE SOUDURE'!$AK$7:$AK$1506,MATCH(108,'CARNET DE SOUDURE'!$AP$7:$AP$1506,0)))</f>
        <v/>
      </c>
      <c r="J119" s="115" t="str">
        <f aca="false">IF($B119="","",INDEX('CARNET DE SOUDURE'!$AN$7:$AN$1506,MATCH(108,'CARNET DE SOUDURE'!$AP$7:$AP$1506,0)))</f>
        <v/>
      </c>
      <c r="K119" s="111"/>
      <c r="L119" s="111"/>
    </row>
    <row r="120" customFormat="false" ht="15" hidden="false" customHeight="false" outlineLevel="0" collapsed="false">
      <c r="B120" s="107" t="str">
        <f aca="false">IF(109&gt;$I$4,"",109)</f>
        <v/>
      </c>
      <c r="C120" s="107" t="str">
        <f aca="false">IF($B120="","",INDEX('CARNET DE SOUDURE'!$B$7:$B$1506,MATCH(109,'CARNET DE SOUDURE'!$AP$7:$AP$1506,0)))</f>
        <v/>
      </c>
      <c r="D120" s="107" t="str">
        <f aca="false">IF($B120="","",INDEX('CARNET DE SOUDURE'!$E$7:$E$1506,MATCH(109,'CARNET DE SOUDURE'!$AP$7:$AP$1506,0)))</f>
        <v/>
      </c>
      <c r="E120" s="107" t="str">
        <f aca="false">IF($B120="","",INDEX('CARNET DE SOUDURE'!$D$7:$D$1506,MATCH(109,'CARNET DE SOUDURE'!$AP$7:$AP$1506,0)))</f>
        <v/>
      </c>
      <c r="F120" s="107" t="str">
        <f aca="false">IF($B120="","",INDEX('CARNET DE SOUDURE'!$O$7:$O$1506,MATCH(109,'CARNET DE SOUDURE'!$AP$7:$AP$1506,0))&amp;" / "&amp;INDEX('CARNET DE SOUDURE'!$P$7:$P$1506,MATCH(109,'CARNET DE SOUDURE'!$AP$7:$AP$1506,0))&amp;" / "&amp;INDEX('CARNET DE SOUDURE'!$Q$7:$Q$1506,MATCH(109,'CARNET DE SOUDURE'!$AP$7:$AP$1506,0)))</f>
        <v/>
      </c>
      <c r="G120" s="108" t="str">
        <f aca="false">IF($B120="","",INDEX('CARNET DE SOUDURE'!$R$7:$R$1506,MATCH(109,'CARNET DE SOUDURE'!$AP$7:$AP$1506,0)))</f>
        <v/>
      </c>
      <c r="H120" s="109" t="str">
        <f aca="false">IF($B120="","",INDEX('CARNET DE SOUDURE'!$AM$7:$AM$1506,MATCH(109,'CARNET DE SOUDURE'!$AP$7:$AP$1506,0)))</f>
        <v/>
      </c>
      <c r="I120" s="110" t="str">
        <f aca="false">IF($B120="","",INDEX('CARNET DE SOUDURE'!$AK$7:$AK$1506,MATCH(109,'CARNET DE SOUDURE'!$AP$7:$AP$1506,0)))</f>
        <v/>
      </c>
      <c r="J120" s="110" t="str">
        <f aca="false">IF($B120="","",INDEX('CARNET DE SOUDURE'!$AN$7:$AN$1506,MATCH(109,'CARNET DE SOUDURE'!$AP$7:$AP$1506,0)))</f>
        <v/>
      </c>
      <c r="K120" s="111"/>
      <c r="L120" s="111"/>
    </row>
    <row r="121" customFormat="false" ht="15" hidden="false" customHeight="false" outlineLevel="0" collapsed="false">
      <c r="B121" s="112" t="str">
        <f aca="false">IF(110&gt;$I$4,"",110)</f>
        <v/>
      </c>
      <c r="C121" s="112" t="str">
        <f aca="false">IF($B121="","",INDEX('CARNET DE SOUDURE'!$B$7:$B$1506,MATCH(110,'CARNET DE SOUDURE'!$AP$7:$AP$1506,0)))</f>
        <v/>
      </c>
      <c r="D121" s="112" t="str">
        <f aca="false">IF($B121="","",INDEX('CARNET DE SOUDURE'!$E$7:$E$1506,MATCH(110,'CARNET DE SOUDURE'!$AP$7:$AP$1506,0)))</f>
        <v/>
      </c>
      <c r="E121" s="112" t="str">
        <f aca="false">IF($B121="","",INDEX('CARNET DE SOUDURE'!$D$7:$D$1506,MATCH(110,'CARNET DE SOUDURE'!$AP$7:$AP$1506,0)))</f>
        <v/>
      </c>
      <c r="F121" s="112" t="str">
        <f aca="false">IF($B121="","",INDEX('CARNET DE SOUDURE'!$O$7:$O$1506,MATCH(110,'CARNET DE SOUDURE'!$AP$7:$AP$1506,0))&amp;" / "&amp;INDEX('CARNET DE SOUDURE'!$P$7:$P$1506,MATCH(110,'CARNET DE SOUDURE'!$AP$7:$AP$1506,0))&amp;" / "&amp;INDEX('CARNET DE SOUDURE'!$Q$7:$Q$1506,MATCH(110,'CARNET DE SOUDURE'!$AP$7:$AP$1506,0)))</f>
        <v/>
      </c>
      <c r="G121" s="113" t="str">
        <f aca="false">IF($B121="","",INDEX('CARNET DE SOUDURE'!$R$7:$R$1506,MATCH(110,'CARNET DE SOUDURE'!$AP$7:$AP$1506,0)))</f>
        <v/>
      </c>
      <c r="H121" s="114" t="str">
        <f aca="false">IF($B121="","",INDEX('CARNET DE SOUDURE'!$AM$7:$AM$1506,MATCH(110,'CARNET DE SOUDURE'!$AP$7:$AP$1506,0)))</f>
        <v/>
      </c>
      <c r="I121" s="115" t="str">
        <f aca="false">IF($B121="","",INDEX('CARNET DE SOUDURE'!$AK$7:$AK$1506,MATCH(110,'CARNET DE SOUDURE'!$AP$7:$AP$1506,0)))</f>
        <v/>
      </c>
      <c r="J121" s="115" t="str">
        <f aca="false">IF($B121="","",INDEX('CARNET DE SOUDURE'!$AN$7:$AN$1506,MATCH(110,'CARNET DE SOUDURE'!$AP$7:$AP$1506,0)))</f>
        <v/>
      </c>
      <c r="K121" s="111"/>
      <c r="L121" s="111"/>
    </row>
    <row r="122" customFormat="false" ht="15" hidden="false" customHeight="false" outlineLevel="0" collapsed="false">
      <c r="B122" s="107" t="str">
        <f aca="false">IF(111&gt;$I$4,"",111)</f>
        <v/>
      </c>
      <c r="C122" s="107" t="str">
        <f aca="false">IF($B122="","",INDEX('CARNET DE SOUDURE'!$B$7:$B$1506,MATCH(111,'CARNET DE SOUDURE'!$AP$7:$AP$1506,0)))</f>
        <v/>
      </c>
      <c r="D122" s="107" t="str">
        <f aca="false">IF($B122="","",INDEX('CARNET DE SOUDURE'!$E$7:$E$1506,MATCH(111,'CARNET DE SOUDURE'!$AP$7:$AP$1506,0)))</f>
        <v/>
      </c>
      <c r="E122" s="107" t="str">
        <f aca="false">IF($B122="","",INDEX('CARNET DE SOUDURE'!$D$7:$D$1506,MATCH(111,'CARNET DE SOUDURE'!$AP$7:$AP$1506,0)))</f>
        <v/>
      </c>
      <c r="F122" s="107" t="str">
        <f aca="false">IF($B122="","",INDEX('CARNET DE SOUDURE'!$O$7:$O$1506,MATCH(111,'CARNET DE SOUDURE'!$AP$7:$AP$1506,0))&amp;" / "&amp;INDEX('CARNET DE SOUDURE'!$P$7:$P$1506,MATCH(111,'CARNET DE SOUDURE'!$AP$7:$AP$1506,0))&amp;" / "&amp;INDEX('CARNET DE SOUDURE'!$Q$7:$Q$1506,MATCH(111,'CARNET DE SOUDURE'!$AP$7:$AP$1506,0)))</f>
        <v/>
      </c>
      <c r="G122" s="108" t="str">
        <f aca="false">IF($B122="","",INDEX('CARNET DE SOUDURE'!$R$7:$R$1506,MATCH(111,'CARNET DE SOUDURE'!$AP$7:$AP$1506,0)))</f>
        <v/>
      </c>
      <c r="H122" s="109" t="str">
        <f aca="false">IF($B122="","",INDEX('CARNET DE SOUDURE'!$AM$7:$AM$1506,MATCH(111,'CARNET DE SOUDURE'!$AP$7:$AP$1506,0)))</f>
        <v/>
      </c>
      <c r="I122" s="110" t="str">
        <f aca="false">IF($B122="","",INDEX('CARNET DE SOUDURE'!$AK$7:$AK$1506,MATCH(111,'CARNET DE SOUDURE'!$AP$7:$AP$1506,0)))</f>
        <v/>
      </c>
      <c r="J122" s="110" t="str">
        <f aca="false">IF($B122="","",INDEX('CARNET DE SOUDURE'!$AN$7:$AN$1506,MATCH(111,'CARNET DE SOUDURE'!$AP$7:$AP$1506,0)))</f>
        <v/>
      </c>
      <c r="K122" s="111"/>
      <c r="L122" s="111"/>
    </row>
    <row r="123" customFormat="false" ht="15" hidden="false" customHeight="false" outlineLevel="0" collapsed="false">
      <c r="B123" s="112" t="str">
        <f aca="false">IF(112&gt;$I$4,"",112)</f>
        <v/>
      </c>
      <c r="C123" s="112" t="str">
        <f aca="false">IF($B123="","",INDEX('CARNET DE SOUDURE'!$B$7:$B$1506,MATCH(112,'CARNET DE SOUDURE'!$AP$7:$AP$1506,0)))</f>
        <v/>
      </c>
      <c r="D123" s="112" t="str">
        <f aca="false">IF($B123="","",INDEX('CARNET DE SOUDURE'!$E$7:$E$1506,MATCH(112,'CARNET DE SOUDURE'!$AP$7:$AP$1506,0)))</f>
        <v/>
      </c>
      <c r="E123" s="112" t="str">
        <f aca="false">IF($B123="","",INDEX('CARNET DE SOUDURE'!$D$7:$D$1506,MATCH(112,'CARNET DE SOUDURE'!$AP$7:$AP$1506,0)))</f>
        <v/>
      </c>
      <c r="F123" s="112" t="str">
        <f aca="false">IF($B123="","",INDEX('CARNET DE SOUDURE'!$O$7:$O$1506,MATCH(112,'CARNET DE SOUDURE'!$AP$7:$AP$1506,0))&amp;" / "&amp;INDEX('CARNET DE SOUDURE'!$P$7:$P$1506,MATCH(112,'CARNET DE SOUDURE'!$AP$7:$AP$1506,0))&amp;" / "&amp;INDEX('CARNET DE SOUDURE'!$Q$7:$Q$1506,MATCH(112,'CARNET DE SOUDURE'!$AP$7:$AP$1506,0)))</f>
        <v/>
      </c>
      <c r="G123" s="113" t="str">
        <f aca="false">IF($B123="","",INDEX('CARNET DE SOUDURE'!$R$7:$R$1506,MATCH(112,'CARNET DE SOUDURE'!$AP$7:$AP$1506,0)))</f>
        <v/>
      </c>
      <c r="H123" s="114" t="str">
        <f aca="false">IF($B123="","",INDEX('CARNET DE SOUDURE'!$AM$7:$AM$1506,MATCH(112,'CARNET DE SOUDURE'!$AP$7:$AP$1506,0)))</f>
        <v/>
      </c>
      <c r="I123" s="115" t="str">
        <f aca="false">IF($B123="","",INDEX('CARNET DE SOUDURE'!$AK$7:$AK$1506,MATCH(112,'CARNET DE SOUDURE'!$AP$7:$AP$1506,0)))</f>
        <v/>
      </c>
      <c r="J123" s="115" t="str">
        <f aca="false">IF($B123="","",INDEX('CARNET DE SOUDURE'!$AN$7:$AN$1506,MATCH(112,'CARNET DE SOUDURE'!$AP$7:$AP$1506,0)))</f>
        <v/>
      </c>
      <c r="K123" s="111"/>
      <c r="L123" s="111"/>
    </row>
    <row r="124" customFormat="false" ht="15" hidden="false" customHeight="false" outlineLevel="0" collapsed="false">
      <c r="B124" s="107" t="str">
        <f aca="false">IF(113&gt;$I$4,"",113)</f>
        <v/>
      </c>
      <c r="C124" s="107" t="str">
        <f aca="false">IF($B124="","",INDEX('CARNET DE SOUDURE'!$B$7:$B$1506,MATCH(113,'CARNET DE SOUDURE'!$AP$7:$AP$1506,0)))</f>
        <v/>
      </c>
      <c r="D124" s="107" t="str">
        <f aca="false">IF($B124="","",INDEX('CARNET DE SOUDURE'!$E$7:$E$1506,MATCH(113,'CARNET DE SOUDURE'!$AP$7:$AP$1506,0)))</f>
        <v/>
      </c>
      <c r="E124" s="107" t="str">
        <f aca="false">IF($B124="","",INDEX('CARNET DE SOUDURE'!$D$7:$D$1506,MATCH(113,'CARNET DE SOUDURE'!$AP$7:$AP$1506,0)))</f>
        <v/>
      </c>
      <c r="F124" s="107" t="str">
        <f aca="false">IF($B124="","",INDEX('CARNET DE SOUDURE'!$O$7:$O$1506,MATCH(113,'CARNET DE SOUDURE'!$AP$7:$AP$1506,0))&amp;" / "&amp;INDEX('CARNET DE SOUDURE'!$P$7:$P$1506,MATCH(113,'CARNET DE SOUDURE'!$AP$7:$AP$1506,0))&amp;" / "&amp;INDEX('CARNET DE SOUDURE'!$Q$7:$Q$1506,MATCH(113,'CARNET DE SOUDURE'!$AP$7:$AP$1506,0)))</f>
        <v/>
      </c>
      <c r="G124" s="108" t="str">
        <f aca="false">IF($B124="","",INDEX('CARNET DE SOUDURE'!$R$7:$R$1506,MATCH(113,'CARNET DE SOUDURE'!$AP$7:$AP$1506,0)))</f>
        <v/>
      </c>
      <c r="H124" s="109" t="str">
        <f aca="false">IF($B124="","",INDEX('CARNET DE SOUDURE'!$AM$7:$AM$1506,MATCH(113,'CARNET DE SOUDURE'!$AP$7:$AP$1506,0)))</f>
        <v/>
      </c>
      <c r="I124" s="110" t="str">
        <f aca="false">IF($B124="","",INDEX('CARNET DE SOUDURE'!$AK$7:$AK$1506,MATCH(113,'CARNET DE SOUDURE'!$AP$7:$AP$1506,0)))</f>
        <v/>
      </c>
      <c r="J124" s="110" t="str">
        <f aca="false">IF($B124="","",INDEX('CARNET DE SOUDURE'!$AN$7:$AN$1506,MATCH(113,'CARNET DE SOUDURE'!$AP$7:$AP$1506,0)))</f>
        <v/>
      </c>
      <c r="K124" s="111"/>
      <c r="L124" s="111"/>
    </row>
    <row r="125" customFormat="false" ht="15" hidden="false" customHeight="false" outlineLevel="0" collapsed="false">
      <c r="B125" s="112" t="str">
        <f aca="false">IF(114&gt;$I$4,"",114)</f>
        <v/>
      </c>
      <c r="C125" s="112" t="str">
        <f aca="false">IF($B125="","",INDEX('CARNET DE SOUDURE'!$B$7:$B$1506,MATCH(114,'CARNET DE SOUDURE'!$AP$7:$AP$1506,0)))</f>
        <v/>
      </c>
      <c r="D125" s="112" t="str">
        <f aca="false">IF($B125="","",INDEX('CARNET DE SOUDURE'!$E$7:$E$1506,MATCH(114,'CARNET DE SOUDURE'!$AP$7:$AP$1506,0)))</f>
        <v/>
      </c>
      <c r="E125" s="112" t="str">
        <f aca="false">IF($B125="","",INDEX('CARNET DE SOUDURE'!$D$7:$D$1506,MATCH(114,'CARNET DE SOUDURE'!$AP$7:$AP$1506,0)))</f>
        <v/>
      </c>
      <c r="F125" s="112" t="str">
        <f aca="false">IF($B125="","",INDEX('CARNET DE SOUDURE'!$O$7:$O$1506,MATCH(114,'CARNET DE SOUDURE'!$AP$7:$AP$1506,0))&amp;" / "&amp;INDEX('CARNET DE SOUDURE'!$P$7:$P$1506,MATCH(114,'CARNET DE SOUDURE'!$AP$7:$AP$1506,0))&amp;" / "&amp;INDEX('CARNET DE SOUDURE'!$Q$7:$Q$1506,MATCH(114,'CARNET DE SOUDURE'!$AP$7:$AP$1506,0)))</f>
        <v/>
      </c>
      <c r="G125" s="113" t="str">
        <f aca="false">IF($B125="","",INDEX('CARNET DE SOUDURE'!$R$7:$R$1506,MATCH(114,'CARNET DE SOUDURE'!$AP$7:$AP$1506,0)))</f>
        <v/>
      </c>
      <c r="H125" s="114" t="str">
        <f aca="false">IF($B125="","",INDEX('CARNET DE SOUDURE'!$AM$7:$AM$1506,MATCH(114,'CARNET DE SOUDURE'!$AP$7:$AP$1506,0)))</f>
        <v/>
      </c>
      <c r="I125" s="115" t="str">
        <f aca="false">IF($B125="","",INDEX('CARNET DE SOUDURE'!$AK$7:$AK$1506,MATCH(114,'CARNET DE SOUDURE'!$AP$7:$AP$1506,0)))</f>
        <v/>
      </c>
      <c r="J125" s="115" t="str">
        <f aca="false">IF($B125="","",INDEX('CARNET DE SOUDURE'!$AN$7:$AN$1506,MATCH(114,'CARNET DE SOUDURE'!$AP$7:$AP$1506,0)))</f>
        <v/>
      </c>
      <c r="K125" s="111"/>
      <c r="L125" s="111"/>
    </row>
    <row r="126" customFormat="false" ht="15" hidden="false" customHeight="false" outlineLevel="0" collapsed="false">
      <c r="B126" s="107" t="str">
        <f aca="false">IF(115&gt;$I$4,"",115)</f>
        <v/>
      </c>
      <c r="C126" s="107" t="str">
        <f aca="false">IF($B126="","",INDEX('CARNET DE SOUDURE'!$B$7:$B$1506,MATCH(115,'CARNET DE SOUDURE'!$AP$7:$AP$1506,0)))</f>
        <v/>
      </c>
      <c r="D126" s="107" t="str">
        <f aca="false">IF($B126="","",INDEX('CARNET DE SOUDURE'!$E$7:$E$1506,MATCH(115,'CARNET DE SOUDURE'!$AP$7:$AP$1506,0)))</f>
        <v/>
      </c>
      <c r="E126" s="107" t="str">
        <f aca="false">IF($B126="","",INDEX('CARNET DE SOUDURE'!$D$7:$D$1506,MATCH(115,'CARNET DE SOUDURE'!$AP$7:$AP$1506,0)))</f>
        <v/>
      </c>
      <c r="F126" s="107" t="str">
        <f aca="false">IF($B126="","",INDEX('CARNET DE SOUDURE'!$O$7:$O$1506,MATCH(115,'CARNET DE SOUDURE'!$AP$7:$AP$1506,0))&amp;" / "&amp;INDEX('CARNET DE SOUDURE'!$P$7:$P$1506,MATCH(115,'CARNET DE SOUDURE'!$AP$7:$AP$1506,0))&amp;" / "&amp;INDEX('CARNET DE SOUDURE'!$Q$7:$Q$1506,MATCH(115,'CARNET DE SOUDURE'!$AP$7:$AP$1506,0)))</f>
        <v/>
      </c>
      <c r="G126" s="108" t="str">
        <f aca="false">IF($B126="","",INDEX('CARNET DE SOUDURE'!$R$7:$R$1506,MATCH(115,'CARNET DE SOUDURE'!$AP$7:$AP$1506,0)))</f>
        <v/>
      </c>
      <c r="H126" s="109" t="str">
        <f aca="false">IF($B126="","",INDEX('CARNET DE SOUDURE'!$AM$7:$AM$1506,MATCH(115,'CARNET DE SOUDURE'!$AP$7:$AP$1506,0)))</f>
        <v/>
      </c>
      <c r="I126" s="110" t="str">
        <f aca="false">IF($B126="","",INDEX('CARNET DE SOUDURE'!$AK$7:$AK$1506,MATCH(115,'CARNET DE SOUDURE'!$AP$7:$AP$1506,0)))</f>
        <v/>
      </c>
      <c r="J126" s="110" t="str">
        <f aca="false">IF($B126="","",INDEX('CARNET DE SOUDURE'!$AN$7:$AN$1506,MATCH(115,'CARNET DE SOUDURE'!$AP$7:$AP$1506,0)))</f>
        <v/>
      </c>
      <c r="K126" s="111"/>
      <c r="L126" s="111"/>
    </row>
    <row r="127" customFormat="false" ht="15" hidden="false" customHeight="false" outlineLevel="0" collapsed="false">
      <c r="B127" s="112" t="str">
        <f aca="false">IF(116&gt;$I$4,"",116)</f>
        <v/>
      </c>
      <c r="C127" s="112" t="str">
        <f aca="false">IF($B127="","",INDEX('CARNET DE SOUDURE'!$B$7:$B$1506,MATCH(116,'CARNET DE SOUDURE'!$AP$7:$AP$1506,0)))</f>
        <v/>
      </c>
      <c r="D127" s="112" t="str">
        <f aca="false">IF($B127="","",INDEX('CARNET DE SOUDURE'!$E$7:$E$1506,MATCH(116,'CARNET DE SOUDURE'!$AP$7:$AP$1506,0)))</f>
        <v/>
      </c>
      <c r="E127" s="112" t="str">
        <f aca="false">IF($B127="","",INDEX('CARNET DE SOUDURE'!$D$7:$D$1506,MATCH(116,'CARNET DE SOUDURE'!$AP$7:$AP$1506,0)))</f>
        <v/>
      </c>
      <c r="F127" s="112" t="str">
        <f aca="false">IF($B127="","",INDEX('CARNET DE SOUDURE'!$O$7:$O$1506,MATCH(116,'CARNET DE SOUDURE'!$AP$7:$AP$1506,0))&amp;" / "&amp;INDEX('CARNET DE SOUDURE'!$P$7:$P$1506,MATCH(116,'CARNET DE SOUDURE'!$AP$7:$AP$1506,0))&amp;" / "&amp;INDEX('CARNET DE SOUDURE'!$Q$7:$Q$1506,MATCH(116,'CARNET DE SOUDURE'!$AP$7:$AP$1506,0)))</f>
        <v/>
      </c>
      <c r="G127" s="113" t="str">
        <f aca="false">IF($B127="","",INDEX('CARNET DE SOUDURE'!$R$7:$R$1506,MATCH(116,'CARNET DE SOUDURE'!$AP$7:$AP$1506,0)))</f>
        <v/>
      </c>
      <c r="H127" s="114" t="str">
        <f aca="false">IF($B127="","",INDEX('CARNET DE SOUDURE'!$AM$7:$AM$1506,MATCH(116,'CARNET DE SOUDURE'!$AP$7:$AP$1506,0)))</f>
        <v/>
      </c>
      <c r="I127" s="115" t="str">
        <f aca="false">IF($B127="","",INDEX('CARNET DE SOUDURE'!$AK$7:$AK$1506,MATCH(116,'CARNET DE SOUDURE'!$AP$7:$AP$1506,0)))</f>
        <v/>
      </c>
      <c r="J127" s="115" t="str">
        <f aca="false">IF($B127="","",INDEX('CARNET DE SOUDURE'!$AN$7:$AN$1506,MATCH(116,'CARNET DE SOUDURE'!$AP$7:$AP$1506,0)))</f>
        <v/>
      </c>
      <c r="K127" s="111"/>
      <c r="L127" s="111"/>
    </row>
    <row r="128" customFormat="false" ht="15" hidden="false" customHeight="false" outlineLevel="0" collapsed="false">
      <c r="B128" s="107" t="str">
        <f aca="false">IF(117&gt;$I$4,"",117)</f>
        <v/>
      </c>
      <c r="C128" s="107" t="str">
        <f aca="false">IF($B128="","",INDEX('CARNET DE SOUDURE'!$B$7:$B$1506,MATCH(117,'CARNET DE SOUDURE'!$AP$7:$AP$1506,0)))</f>
        <v/>
      </c>
      <c r="D128" s="107" t="str">
        <f aca="false">IF($B128="","",INDEX('CARNET DE SOUDURE'!$E$7:$E$1506,MATCH(117,'CARNET DE SOUDURE'!$AP$7:$AP$1506,0)))</f>
        <v/>
      </c>
      <c r="E128" s="107" t="str">
        <f aca="false">IF($B128="","",INDEX('CARNET DE SOUDURE'!$D$7:$D$1506,MATCH(117,'CARNET DE SOUDURE'!$AP$7:$AP$1506,0)))</f>
        <v/>
      </c>
      <c r="F128" s="107" t="str">
        <f aca="false">IF($B128="","",INDEX('CARNET DE SOUDURE'!$O$7:$O$1506,MATCH(117,'CARNET DE SOUDURE'!$AP$7:$AP$1506,0))&amp;" / "&amp;INDEX('CARNET DE SOUDURE'!$P$7:$P$1506,MATCH(117,'CARNET DE SOUDURE'!$AP$7:$AP$1506,0))&amp;" / "&amp;INDEX('CARNET DE SOUDURE'!$Q$7:$Q$1506,MATCH(117,'CARNET DE SOUDURE'!$AP$7:$AP$1506,0)))</f>
        <v/>
      </c>
      <c r="G128" s="108" t="str">
        <f aca="false">IF($B128="","",INDEX('CARNET DE SOUDURE'!$R$7:$R$1506,MATCH(117,'CARNET DE SOUDURE'!$AP$7:$AP$1506,0)))</f>
        <v/>
      </c>
      <c r="H128" s="109" t="str">
        <f aca="false">IF($B128="","",INDEX('CARNET DE SOUDURE'!$AM$7:$AM$1506,MATCH(117,'CARNET DE SOUDURE'!$AP$7:$AP$1506,0)))</f>
        <v/>
      </c>
      <c r="I128" s="110" t="str">
        <f aca="false">IF($B128="","",INDEX('CARNET DE SOUDURE'!$AK$7:$AK$1506,MATCH(117,'CARNET DE SOUDURE'!$AP$7:$AP$1506,0)))</f>
        <v/>
      </c>
      <c r="J128" s="110" t="str">
        <f aca="false">IF($B128="","",INDEX('CARNET DE SOUDURE'!$AN$7:$AN$1506,MATCH(117,'CARNET DE SOUDURE'!$AP$7:$AP$1506,0)))</f>
        <v/>
      </c>
      <c r="K128" s="111"/>
      <c r="L128" s="111"/>
    </row>
    <row r="129" customFormat="false" ht="15" hidden="false" customHeight="false" outlineLevel="0" collapsed="false">
      <c r="B129" s="112" t="str">
        <f aca="false">IF(118&gt;$I$4,"",118)</f>
        <v/>
      </c>
      <c r="C129" s="112" t="str">
        <f aca="false">IF($B129="","",INDEX('CARNET DE SOUDURE'!$B$7:$B$1506,MATCH(118,'CARNET DE SOUDURE'!$AP$7:$AP$1506,0)))</f>
        <v/>
      </c>
      <c r="D129" s="112" t="str">
        <f aca="false">IF($B129="","",INDEX('CARNET DE SOUDURE'!$E$7:$E$1506,MATCH(118,'CARNET DE SOUDURE'!$AP$7:$AP$1506,0)))</f>
        <v/>
      </c>
      <c r="E129" s="112" t="str">
        <f aca="false">IF($B129="","",INDEX('CARNET DE SOUDURE'!$D$7:$D$1506,MATCH(118,'CARNET DE SOUDURE'!$AP$7:$AP$1506,0)))</f>
        <v/>
      </c>
      <c r="F129" s="112" t="str">
        <f aca="false">IF($B129="","",INDEX('CARNET DE SOUDURE'!$O$7:$O$1506,MATCH(118,'CARNET DE SOUDURE'!$AP$7:$AP$1506,0))&amp;" / "&amp;INDEX('CARNET DE SOUDURE'!$P$7:$P$1506,MATCH(118,'CARNET DE SOUDURE'!$AP$7:$AP$1506,0))&amp;" / "&amp;INDEX('CARNET DE SOUDURE'!$Q$7:$Q$1506,MATCH(118,'CARNET DE SOUDURE'!$AP$7:$AP$1506,0)))</f>
        <v/>
      </c>
      <c r="G129" s="113" t="str">
        <f aca="false">IF($B129="","",INDEX('CARNET DE SOUDURE'!$R$7:$R$1506,MATCH(118,'CARNET DE SOUDURE'!$AP$7:$AP$1506,0)))</f>
        <v/>
      </c>
      <c r="H129" s="114" t="str">
        <f aca="false">IF($B129="","",INDEX('CARNET DE SOUDURE'!$AM$7:$AM$1506,MATCH(118,'CARNET DE SOUDURE'!$AP$7:$AP$1506,0)))</f>
        <v/>
      </c>
      <c r="I129" s="115" t="str">
        <f aca="false">IF($B129="","",INDEX('CARNET DE SOUDURE'!$AK$7:$AK$1506,MATCH(118,'CARNET DE SOUDURE'!$AP$7:$AP$1506,0)))</f>
        <v/>
      </c>
      <c r="J129" s="115" t="str">
        <f aca="false">IF($B129="","",INDEX('CARNET DE SOUDURE'!$AN$7:$AN$1506,MATCH(118,'CARNET DE SOUDURE'!$AP$7:$AP$1506,0)))</f>
        <v/>
      </c>
      <c r="K129" s="111"/>
      <c r="L129" s="111"/>
    </row>
    <row r="130" customFormat="false" ht="15" hidden="false" customHeight="false" outlineLevel="0" collapsed="false">
      <c r="B130" s="107" t="str">
        <f aca="false">IF(119&gt;$I$4,"",119)</f>
        <v/>
      </c>
      <c r="C130" s="107" t="str">
        <f aca="false">IF($B130="","",INDEX('CARNET DE SOUDURE'!$B$7:$B$1506,MATCH(119,'CARNET DE SOUDURE'!$AP$7:$AP$1506,0)))</f>
        <v/>
      </c>
      <c r="D130" s="107" t="str">
        <f aca="false">IF($B130="","",INDEX('CARNET DE SOUDURE'!$E$7:$E$1506,MATCH(119,'CARNET DE SOUDURE'!$AP$7:$AP$1506,0)))</f>
        <v/>
      </c>
      <c r="E130" s="107" t="str">
        <f aca="false">IF($B130="","",INDEX('CARNET DE SOUDURE'!$D$7:$D$1506,MATCH(119,'CARNET DE SOUDURE'!$AP$7:$AP$1506,0)))</f>
        <v/>
      </c>
      <c r="F130" s="107" t="str">
        <f aca="false">IF($B130="","",INDEX('CARNET DE SOUDURE'!$O$7:$O$1506,MATCH(119,'CARNET DE SOUDURE'!$AP$7:$AP$1506,0))&amp;" / "&amp;INDEX('CARNET DE SOUDURE'!$P$7:$P$1506,MATCH(119,'CARNET DE SOUDURE'!$AP$7:$AP$1506,0))&amp;" / "&amp;INDEX('CARNET DE SOUDURE'!$Q$7:$Q$1506,MATCH(119,'CARNET DE SOUDURE'!$AP$7:$AP$1506,0)))</f>
        <v/>
      </c>
      <c r="G130" s="108" t="str">
        <f aca="false">IF($B130="","",INDEX('CARNET DE SOUDURE'!$R$7:$R$1506,MATCH(119,'CARNET DE SOUDURE'!$AP$7:$AP$1506,0)))</f>
        <v/>
      </c>
      <c r="H130" s="109" t="str">
        <f aca="false">IF($B130="","",INDEX('CARNET DE SOUDURE'!$AM$7:$AM$1506,MATCH(119,'CARNET DE SOUDURE'!$AP$7:$AP$1506,0)))</f>
        <v/>
      </c>
      <c r="I130" s="110" t="str">
        <f aca="false">IF($B130="","",INDEX('CARNET DE SOUDURE'!$AK$7:$AK$1506,MATCH(119,'CARNET DE SOUDURE'!$AP$7:$AP$1506,0)))</f>
        <v/>
      </c>
      <c r="J130" s="110" t="str">
        <f aca="false">IF($B130="","",INDEX('CARNET DE SOUDURE'!$AN$7:$AN$1506,MATCH(119,'CARNET DE SOUDURE'!$AP$7:$AP$1506,0)))</f>
        <v/>
      </c>
      <c r="K130" s="111"/>
      <c r="L130" s="111"/>
    </row>
    <row r="131" customFormat="false" ht="15" hidden="false" customHeight="false" outlineLevel="0" collapsed="false">
      <c r="B131" s="112" t="str">
        <f aca="false">IF(120&gt;$I$4,"",120)</f>
        <v/>
      </c>
      <c r="C131" s="112" t="str">
        <f aca="false">IF($B131="","",INDEX('CARNET DE SOUDURE'!$B$7:$B$1506,MATCH(120,'CARNET DE SOUDURE'!$AP$7:$AP$1506,0)))</f>
        <v/>
      </c>
      <c r="D131" s="112" t="str">
        <f aca="false">IF($B131="","",INDEX('CARNET DE SOUDURE'!$E$7:$E$1506,MATCH(120,'CARNET DE SOUDURE'!$AP$7:$AP$1506,0)))</f>
        <v/>
      </c>
      <c r="E131" s="112" t="str">
        <f aca="false">IF($B131="","",INDEX('CARNET DE SOUDURE'!$D$7:$D$1506,MATCH(120,'CARNET DE SOUDURE'!$AP$7:$AP$1506,0)))</f>
        <v/>
      </c>
      <c r="F131" s="112" t="str">
        <f aca="false">IF($B131="","",INDEX('CARNET DE SOUDURE'!$O$7:$O$1506,MATCH(120,'CARNET DE SOUDURE'!$AP$7:$AP$1506,0))&amp;" / "&amp;INDEX('CARNET DE SOUDURE'!$P$7:$P$1506,MATCH(120,'CARNET DE SOUDURE'!$AP$7:$AP$1506,0))&amp;" / "&amp;INDEX('CARNET DE SOUDURE'!$Q$7:$Q$1506,MATCH(120,'CARNET DE SOUDURE'!$AP$7:$AP$1506,0)))</f>
        <v/>
      </c>
      <c r="G131" s="113" t="str">
        <f aca="false">IF($B131="","",INDEX('CARNET DE SOUDURE'!$R$7:$R$1506,MATCH(120,'CARNET DE SOUDURE'!$AP$7:$AP$1506,0)))</f>
        <v/>
      </c>
      <c r="H131" s="114" t="str">
        <f aca="false">IF($B131="","",INDEX('CARNET DE SOUDURE'!$AM$7:$AM$1506,MATCH(120,'CARNET DE SOUDURE'!$AP$7:$AP$1506,0)))</f>
        <v/>
      </c>
      <c r="I131" s="115" t="str">
        <f aca="false">IF($B131="","",INDEX('CARNET DE SOUDURE'!$AK$7:$AK$1506,MATCH(120,'CARNET DE SOUDURE'!$AP$7:$AP$1506,0)))</f>
        <v/>
      </c>
      <c r="J131" s="115" t="str">
        <f aca="false">IF($B131="","",INDEX('CARNET DE SOUDURE'!$AN$7:$AN$1506,MATCH(120,'CARNET DE SOUDURE'!$AP$7:$AP$1506,0)))</f>
        <v/>
      </c>
      <c r="K131" s="111"/>
      <c r="L131" s="111"/>
    </row>
    <row r="132" customFormat="false" ht="15" hidden="false" customHeight="false" outlineLevel="0" collapsed="false">
      <c r="B132" s="107" t="str">
        <f aca="false">IF(121&gt;$I$4,"",121)</f>
        <v/>
      </c>
      <c r="C132" s="107" t="str">
        <f aca="false">IF($B132="","",INDEX('CARNET DE SOUDURE'!$B$7:$B$1506,MATCH(121,'CARNET DE SOUDURE'!$AP$7:$AP$1506,0)))</f>
        <v/>
      </c>
      <c r="D132" s="107" t="str">
        <f aca="false">IF($B132="","",INDEX('CARNET DE SOUDURE'!$E$7:$E$1506,MATCH(121,'CARNET DE SOUDURE'!$AP$7:$AP$1506,0)))</f>
        <v/>
      </c>
      <c r="E132" s="107" t="str">
        <f aca="false">IF($B132="","",INDEX('CARNET DE SOUDURE'!$D$7:$D$1506,MATCH(121,'CARNET DE SOUDURE'!$AP$7:$AP$1506,0)))</f>
        <v/>
      </c>
      <c r="F132" s="107" t="str">
        <f aca="false">IF($B132="","",INDEX('CARNET DE SOUDURE'!$O$7:$O$1506,MATCH(121,'CARNET DE SOUDURE'!$AP$7:$AP$1506,0))&amp;" / "&amp;INDEX('CARNET DE SOUDURE'!$P$7:$P$1506,MATCH(121,'CARNET DE SOUDURE'!$AP$7:$AP$1506,0))&amp;" / "&amp;INDEX('CARNET DE SOUDURE'!$Q$7:$Q$1506,MATCH(121,'CARNET DE SOUDURE'!$AP$7:$AP$1506,0)))</f>
        <v/>
      </c>
      <c r="G132" s="108" t="str">
        <f aca="false">IF($B132="","",INDEX('CARNET DE SOUDURE'!$R$7:$R$1506,MATCH(121,'CARNET DE SOUDURE'!$AP$7:$AP$1506,0)))</f>
        <v/>
      </c>
      <c r="H132" s="109" t="str">
        <f aca="false">IF($B132="","",INDEX('CARNET DE SOUDURE'!$AM$7:$AM$1506,MATCH(121,'CARNET DE SOUDURE'!$AP$7:$AP$1506,0)))</f>
        <v/>
      </c>
      <c r="I132" s="110" t="str">
        <f aca="false">IF($B132="","",INDEX('CARNET DE SOUDURE'!$AK$7:$AK$1506,MATCH(121,'CARNET DE SOUDURE'!$AP$7:$AP$1506,0)))</f>
        <v/>
      </c>
      <c r="J132" s="110" t="str">
        <f aca="false">IF($B132="","",INDEX('CARNET DE SOUDURE'!$AN$7:$AN$1506,MATCH(121,'CARNET DE SOUDURE'!$AP$7:$AP$1506,0)))</f>
        <v/>
      </c>
      <c r="K132" s="111"/>
      <c r="L132" s="111"/>
    </row>
    <row r="133" customFormat="false" ht="15" hidden="false" customHeight="false" outlineLevel="0" collapsed="false">
      <c r="B133" s="112" t="str">
        <f aca="false">IF(122&gt;$I$4,"",122)</f>
        <v/>
      </c>
      <c r="C133" s="112" t="str">
        <f aca="false">IF($B133="","",INDEX('CARNET DE SOUDURE'!$B$7:$B$1506,MATCH(122,'CARNET DE SOUDURE'!$AP$7:$AP$1506,0)))</f>
        <v/>
      </c>
      <c r="D133" s="112" t="str">
        <f aca="false">IF($B133="","",INDEX('CARNET DE SOUDURE'!$E$7:$E$1506,MATCH(122,'CARNET DE SOUDURE'!$AP$7:$AP$1506,0)))</f>
        <v/>
      </c>
      <c r="E133" s="112" t="str">
        <f aca="false">IF($B133="","",INDEX('CARNET DE SOUDURE'!$D$7:$D$1506,MATCH(122,'CARNET DE SOUDURE'!$AP$7:$AP$1506,0)))</f>
        <v/>
      </c>
      <c r="F133" s="112" t="str">
        <f aca="false">IF($B133="","",INDEX('CARNET DE SOUDURE'!$O$7:$O$1506,MATCH(122,'CARNET DE SOUDURE'!$AP$7:$AP$1506,0))&amp;" / "&amp;INDEX('CARNET DE SOUDURE'!$P$7:$P$1506,MATCH(122,'CARNET DE SOUDURE'!$AP$7:$AP$1506,0))&amp;" / "&amp;INDEX('CARNET DE SOUDURE'!$Q$7:$Q$1506,MATCH(122,'CARNET DE SOUDURE'!$AP$7:$AP$1506,0)))</f>
        <v/>
      </c>
      <c r="G133" s="113" t="str">
        <f aca="false">IF($B133="","",INDEX('CARNET DE SOUDURE'!$R$7:$R$1506,MATCH(122,'CARNET DE SOUDURE'!$AP$7:$AP$1506,0)))</f>
        <v/>
      </c>
      <c r="H133" s="114" t="str">
        <f aca="false">IF($B133="","",INDEX('CARNET DE SOUDURE'!$AM$7:$AM$1506,MATCH(122,'CARNET DE SOUDURE'!$AP$7:$AP$1506,0)))</f>
        <v/>
      </c>
      <c r="I133" s="115" t="str">
        <f aca="false">IF($B133="","",INDEX('CARNET DE SOUDURE'!$AK$7:$AK$1506,MATCH(122,'CARNET DE SOUDURE'!$AP$7:$AP$1506,0)))</f>
        <v/>
      </c>
      <c r="J133" s="115" t="str">
        <f aca="false">IF($B133="","",INDEX('CARNET DE SOUDURE'!$AN$7:$AN$1506,MATCH(122,'CARNET DE SOUDURE'!$AP$7:$AP$1506,0)))</f>
        <v/>
      </c>
      <c r="K133" s="111"/>
      <c r="L133" s="111"/>
    </row>
    <row r="134" customFormat="false" ht="15" hidden="false" customHeight="false" outlineLevel="0" collapsed="false">
      <c r="B134" s="107" t="str">
        <f aca="false">IF(123&gt;$I$4,"",123)</f>
        <v/>
      </c>
      <c r="C134" s="107" t="str">
        <f aca="false">IF($B134="","",INDEX('CARNET DE SOUDURE'!$B$7:$B$1506,MATCH(123,'CARNET DE SOUDURE'!$AP$7:$AP$1506,0)))</f>
        <v/>
      </c>
      <c r="D134" s="107" t="str">
        <f aca="false">IF($B134="","",INDEX('CARNET DE SOUDURE'!$E$7:$E$1506,MATCH(123,'CARNET DE SOUDURE'!$AP$7:$AP$1506,0)))</f>
        <v/>
      </c>
      <c r="E134" s="107" t="str">
        <f aca="false">IF($B134="","",INDEX('CARNET DE SOUDURE'!$D$7:$D$1506,MATCH(123,'CARNET DE SOUDURE'!$AP$7:$AP$1506,0)))</f>
        <v/>
      </c>
      <c r="F134" s="107" t="str">
        <f aca="false">IF($B134="","",INDEX('CARNET DE SOUDURE'!$O$7:$O$1506,MATCH(123,'CARNET DE SOUDURE'!$AP$7:$AP$1506,0))&amp;" / "&amp;INDEX('CARNET DE SOUDURE'!$P$7:$P$1506,MATCH(123,'CARNET DE SOUDURE'!$AP$7:$AP$1506,0))&amp;" / "&amp;INDEX('CARNET DE SOUDURE'!$Q$7:$Q$1506,MATCH(123,'CARNET DE SOUDURE'!$AP$7:$AP$1506,0)))</f>
        <v/>
      </c>
      <c r="G134" s="108" t="str">
        <f aca="false">IF($B134="","",INDEX('CARNET DE SOUDURE'!$R$7:$R$1506,MATCH(123,'CARNET DE SOUDURE'!$AP$7:$AP$1506,0)))</f>
        <v/>
      </c>
      <c r="H134" s="109" t="str">
        <f aca="false">IF($B134="","",INDEX('CARNET DE SOUDURE'!$AM$7:$AM$1506,MATCH(123,'CARNET DE SOUDURE'!$AP$7:$AP$1506,0)))</f>
        <v/>
      </c>
      <c r="I134" s="110" t="str">
        <f aca="false">IF($B134="","",INDEX('CARNET DE SOUDURE'!$AK$7:$AK$1506,MATCH(123,'CARNET DE SOUDURE'!$AP$7:$AP$1506,0)))</f>
        <v/>
      </c>
      <c r="J134" s="110" t="str">
        <f aca="false">IF($B134="","",INDEX('CARNET DE SOUDURE'!$AN$7:$AN$1506,MATCH(123,'CARNET DE SOUDURE'!$AP$7:$AP$1506,0)))</f>
        <v/>
      </c>
      <c r="K134" s="111"/>
      <c r="L134" s="111"/>
    </row>
    <row r="135" customFormat="false" ht="15" hidden="false" customHeight="false" outlineLevel="0" collapsed="false">
      <c r="B135" s="112" t="str">
        <f aca="false">IF(124&gt;$I$4,"",124)</f>
        <v/>
      </c>
      <c r="C135" s="112" t="str">
        <f aca="false">IF($B135="","",INDEX('CARNET DE SOUDURE'!$B$7:$B$1506,MATCH(124,'CARNET DE SOUDURE'!$AP$7:$AP$1506,0)))</f>
        <v/>
      </c>
      <c r="D135" s="112" t="str">
        <f aca="false">IF($B135="","",INDEX('CARNET DE SOUDURE'!$E$7:$E$1506,MATCH(124,'CARNET DE SOUDURE'!$AP$7:$AP$1506,0)))</f>
        <v/>
      </c>
      <c r="E135" s="112" t="str">
        <f aca="false">IF($B135="","",INDEX('CARNET DE SOUDURE'!$D$7:$D$1506,MATCH(124,'CARNET DE SOUDURE'!$AP$7:$AP$1506,0)))</f>
        <v/>
      </c>
      <c r="F135" s="112" t="str">
        <f aca="false">IF($B135="","",INDEX('CARNET DE SOUDURE'!$O$7:$O$1506,MATCH(124,'CARNET DE SOUDURE'!$AP$7:$AP$1506,0))&amp;" / "&amp;INDEX('CARNET DE SOUDURE'!$P$7:$P$1506,MATCH(124,'CARNET DE SOUDURE'!$AP$7:$AP$1506,0))&amp;" / "&amp;INDEX('CARNET DE SOUDURE'!$Q$7:$Q$1506,MATCH(124,'CARNET DE SOUDURE'!$AP$7:$AP$1506,0)))</f>
        <v/>
      </c>
      <c r="G135" s="113" t="str">
        <f aca="false">IF($B135="","",INDEX('CARNET DE SOUDURE'!$R$7:$R$1506,MATCH(124,'CARNET DE SOUDURE'!$AP$7:$AP$1506,0)))</f>
        <v/>
      </c>
      <c r="H135" s="114" t="str">
        <f aca="false">IF($B135="","",INDEX('CARNET DE SOUDURE'!$AM$7:$AM$1506,MATCH(124,'CARNET DE SOUDURE'!$AP$7:$AP$1506,0)))</f>
        <v/>
      </c>
      <c r="I135" s="115" t="str">
        <f aca="false">IF($B135="","",INDEX('CARNET DE SOUDURE'!$AK$7:$AK$1506,MATCH(124,'CARNET DE SOUDURE'!$AP$7:$AP$1506,0)))</f>
        <v/>
      </c>
      <c r="J135" s="115" t="str">
        <f aca="false">IF($B135="","",INDEX('CARNET DE SOUDURE'!$AN$7:$AN$1506,MATCH(124,'CARNET DE SOUDURE'!$AP$7:$AP$1506,0)))</f>
        <v/>
      </c>
      <c r="K135" s="111"/>
      <c r="L135" s="111"/>
    </row>
    <row r="136" customFormat="false" ht="15" hidden="false" customHeight="false" outlineLevel="0" collapsed="false">
      <c r="B136" s="107" t="str">
        <f aca="false">IF(125&gt;$I$4,"",125)</f>
        <v/>
      </c>
      <c r="C136" s="107" t="str">
        <f aca="false">IF($B136="","",INDEX('CARNET DE SOUDURE'!$B$7:$B$1506,MATCH(125,'CARNET DE SOUDURE'!$AP$7:$AP$1506,0)))</f>
        <v/>
      </c>
      <c r="D136" s="107" t="str">
        <f aca="false">IF($B136="","",INDEX('CARNET DE SOUDURE'!$E$7:$E$1506,MATCH(125,'CARNET DE SOUDURE'!$AP$7:$AP$1506,0)))</f>
        <v/>
      </c>
      <c r="E136" s="107" t="str">
        <f aca="false">IF($B136="","",INDEX('CARNET DE SOUDURE'!$D$7:$D$1506,MATCH(125,'CARNET DE SOUDURE'!$AP$7:$AP$1506,0)))</f>
        <v/>
      </c>
      <c r="F136" s="107" t="str">
        <f aca="false">IF($B136="","",INDEX('CARNET DE SOUDURE'!$O$7:$O$1506,MATCH(125,'CARNET DE SOUDURE'!$AP$7:$AP$1506,0))&amp;" / "&amp;INDEX('CARNET DE SOUDURE'!$P$7:$P$1506,MATCH(125,'CARNET DE SOUDURE'!$AP$7:$AP$1506,0))&amp;" / "&amp;INDEX('CARNET DE SOUDURE'!$Q$7:$Q$1506,MATCH(125,'CARNET DE SOUDURE'!$AP$7:$AP$1506,0)))</f>
        <v/>
      </c>
      <c r="G136" s="108" t="str">
        <f aca="false">IF($B136="","",INDEX('CARNET DE SOUDURE'!$R$7:$R$1506,MATCH(125,'CARNET DE SOUDURE'!$AP$7:$AP$1506,0)))</f>
        <v/>
      </c>
      <c r="H136" s="109" t="str">
        <f aca="false">IF($B136="","",INDEX('CARNET DE SOUDURE'!$AM$7:$AM$1506,MATCH(125,'CARNET DE SOUDURE'!$AP$7:$AP$1506,0)))</f>
        <v/>
      </c>
      <c r="I136" s="110" t="str">
        <f aca="false">IF($B136="","",INDEX('CARNET DE SOUDURE'!$AK$7:$AK$1506,MATCH(125,'CARNET DE SOUDURE'!$AP$7:$AP$1506,0)))</f>
        <v/>
      </c>
      <c r="J136" s="110" t="str">
        <f aca="false">IF($B136="","",INDEX('CARNET DE SOUDURE'!$AN$7:$AN$1506,MATCH(125,'CARNET DE SOUDURE'!$AP$7:$AP$1506,0)))</f>
        <v/>
      </c>
      <c r="K136" s="111"/>
      <c r="L136" s="111"/>
    </row>
    <row r="137" customFormat="false" ht="15" hidden="false" customHeight="false" outlineLevel="0" collapsed="false">
      <c r="B137" s="112" t="str">
        <f aca="false">IF(126&gt;$I$4,"",126)</f>
        <v/>
      </c>
      <c r="C137" s="112" t="str">
        <f aca="false">IF($B137="","",INDEX('CARNET DE SOUDURE'!$B$7:$B$1506,MATCH(126,'CARNET DE SOUDURE'!$AP$7:$AP$1506,0)))</f>
        <v/>
      </c>
      <c r="D137" s="112" t="str">
        <f aca="false">IF($B137="","",INDEX('CARNET DE SOUDURE'!$E$7:$E$1506,MATCH(126,'CARNET DE SOUDURE'!$AP$7:$AP$1506,0)))</f>
        <v/>
      </c>
      <c r="E137" s="112" t="str">
        <f aca="false">IF($B137="","",INDEX('CARNET DE SOUDURE'!$D$7:$D$1506,MATCH(126,'CARNET DE SOUDURE'!$AP$7:$AP$1506,0)))</f>
        <v/>
      </c>
      <c r="F137" s="112" t="str">
        <f aca="false">IF($B137="","",INDEX('CARNET DE SOUDURE'!$O$7:$O$1506,MATCH(126,'CARNET DE SOUDURE'!$AP$7:$AP$1506,0))&amp;" / "&amp;INDEX('CARNET DE SOUDURE'!$P$7:$P$1506,MATCH(126,'CARNET DE SOUDURE'!$AP$7:$AP$1506,0))&amp;" / "&amp;INDEX('CARNET DE SOUDURE'!$Q$7:$Q$1506,MATCH(126,'CARNET DE SOUDURE'!$AP$7:$AP$1506,0)))</f>
        <v/>
      </c>
      <c r="G137" s="113" t="str">
        <f aca="false">IF($B137="","",INDEX('CARNET DE SOUDURE'!$R$7:$R$1506,MATCH(126,'CARNET DE SOUDURE'!$AP$7:$AP$1506,0)))</f>
        <v/>
      </c>
      <c r="H137" s="114" t="str">
        <f aca="false">IF($B137="","",INDEX('CARNET DE SOUDURE'!$AM$7:$AM$1506,MATCH(126,'CARNET DE SOUDURE'!$AP$7:$AP$1506,0)))</f>
        <v/>
      </c>
      <c r="I137" s="115" t="str">
        <f aca="false">IF($B137="","",INDEX('CARNET DE SOUDURE'!$AK$7:$AK$1506,MATCH(126,'CARNET DE SOUDURE'!$AP$7:$AP$1506,0)))</f>
        <v/>
      </c>
      <c r="J137" s="115" t="str">
        <f aca="false">IF($B137="","",INDEX('CARNET DE SOUDURE'!$AN$7:$AN$1506,MATCH(126,'CARNET DE SOUDURE'!$AP$7:$AP$1506,0)))</f>
        <v/>
      </c>
      <c r="K137" s="111"/>
      <c r="L137" s="111"/>
    </row>
    <row r="138" customFormat="false" ht="15" hidden="false" customHeight="false" outlineLevel="0" collapsed="false">
      <c r="B138" s="107" t="str">
        <f aca="false">IF(127&gt;$I$4,"",127)</f>
        <v/>
      </c>
      <c r="C138" s="107" t="str">
        <f aca="false">IF($B138="","",INDEX('CARNET DE SOUDURE'!$B$7:$B$1506,MATCH(127,'CARNET DE SOUDURE'!$AP$7:$AP$1506,0)))</f>
        <v/>
      </c>
      <c r="D138" s="107" t="str">
        <f aca="false">IF($B138="","",INDEX('CARNET DE SOUDURE'!$E$7:$E$1506,MATCH(127,'CARNET DE SOUDURE'!$AP$7:$AP$1506,0)))</f>
        <v/>
      </c>
      <c r="E138" s="107" t="str">
        <f aca="false">IF($B138="","",INDEX('CARNET DE SOUDURE'!$D$7:$D$1506,MATCH(127,'CARNET DE SOUDURE'!$AP$7:$AP$1506,0)))</f>
        <v/>
      </c>
      <c r="F138" s="107" t="str">
        <f aca="false">IF($B138="","",INDEX('CARNET DE SOUDURE'!$O$7:$O$1506,MATCH(127,'CARNET DE SOUDURE'!$AP$7:$AP$1506,0))&amp;" / "&amp;INDEX('CARNET DE SOUDURE'!$P$7:$P$1506,MATCH(127,'CARNET DE SOUDURE'!$AP$7:$AP$1506,0))&amp;" / "&amp;INDEX('CARNET DE SOUDURE'!$Q$7:$Q$1506,MATCH(127,'CARNET DE SOUDURE'!$AP$7:$AP$1506,0)))</f>
        <v/>
      </c>
      <c r="G138" s="108" t="str">
        <f aca="false">IF($B138="","",INDEX('CARNET DE SOUDURE'!$R$7:$R$1506,MATCH(127,'CARNET DE SOUDURE'!$AP$7:$AP$1506,0)))</f>
        <v/>
      </c>
      <c r="H138" s="109" t="str">
        <f aca="false">IF($B138="","",INDEX('CARNET DE SOUDURE'!$AM$7:$AM$1506,MATCH(127,'CARNET DE SOUDURE'!$AP$7:$AP$1506,0)))</f>
        <v/>
      </c>
      <c r="I138" s="110" t="str">
        <f aca="false">IF($B138="","",INDEX('CARNET DE SOUDURE'!$AK$7:$AK$1506,MATCH(127,'CARNET DE SOUDURE'!$AP$7:$AP$1506,0)))</f>
        <v/>
      </c>
      <c r="J138" s="110" t="str">
        <f aca="false">IF($B138="","",INDEX('CARNET DE SOUDURE'!$AN$7:$AN$1506,MATCH(127,'CARNET DE SOUDURE'!$AP$7:$AP$1506,0)))</f>
        <v/>
      </c>
      <c r="K138" s="111"/>
      <c r="L138" s="111"/>
    </row>
    <row r="139" customFormat="false" ht="15" hidden="false" customHeight="false" outlineLevel="0" collapsed="false">
      <c r="B139" s="112" t="str">
        <f aca="false">IF(128&gt;$I$4,"",128)</f>
        <v/>
      </c>
      <c r="C139" s="112" t="str">
        <f aca="false">IF($B139="","",INDEX('CARNET DE SOUDURE'!$B$7:$B$1506,MATCH(128,'CARNET DE SOUDURE'!$AP$7:$AP$1506,0)))</f>
        <v/>
      </c>
      <c r="D139" s="112" t="str">
        <f aca="false">IF($B139="","",INDEX('CARNET DE SOUDURE'!$E$7:$E$1506,MATCH(128,'CARNET DE SOUDURE'!$AP$7:$AP$1506,0)))</f>
        <v/>
      </c>
      <c r="E139" s="112" t="str">
        <f aca="false">IF($B139="","",INDEX('CARNET DE SOUDURE'!$D$7:$D$1506,MATCH(128,'CARNET DE SOUDURE'!$AP$7:$AP$1506,0)))</f>
        <v/>
      </c>
      <c r="F139" s="112" t="str">
        <f aca="false">IF($B139="","",INDEX('CARNET DE SOUDURE'!$O$7:$O$1506,MATCH(128,'CARNET DE SOUDURE'!$AP$7:$AP$1506,0))&amp;" / "&amp;INDEX('CARNET DE SOUDURE'!$P$7:$P$1506,MATCH(128,'CARNET DE SOUDURE'!$AP$7:$AP$1506,0))&amp;" / "&amp;INDEX('CARNET DE SOUDURE'!$Q$7:$Q$1506,MATCH(128,'CARNET DE SOUDURE'!$AP$7:$AP$1506,0)))</f>
        <v/>
      </c>
      <c r="G139" s="113" t="str">
        <f aca="false">IF($B139="","",INDEX('CARNET DE SOUDURE'!$R$7:$R$1506,MATCH(128,'CARNET DE SOUDURE'!$AP$7:$AP$1506,0)))</f>
        <v/>
      </c>
      <c r="H139" s="114" t="str">
        <f aca="false">IF($B139="","",INDEX('CARNET DE SOUDURE'!$AM$7:$AM$1506,MATCH(128,'CARNET DE SOUDURE'!$AP$7:$AP$1506,0)))</f>
        <v/>
      </c>
      <c r="I139" s="115" t="str">
        <f aca="false">IF($B139="","",INDEX('CARNET DE SOUDURE'!$AK$7:$AK$1506,MATCH(128,'CARNET DE SOUDURE'!$AP$7:$AP$1506,0)))</f>
        <v/>
      </c>
      <c r="J139" s="115" t="str">
        <f aca="false">IF($B139="","",INDEX('CARNET DE SOUDURE'!$AN$7:$AN$1506,MATCH(128,'CARNET DE SOUDURE'!$AP$7:$AP$1506,0)))</f>
        <v/>
      </c>
      <c r="K139" s="111"/>
      <c r="L139" s="111"/>
    </row>
    <row r="140" customFormat="false" ht="15" hidden="false" customHeight="false" outlineLevel="0" collapsed="false">
      <c r="B140" s="107" t="str">
        <f aca="false">IF(129&gt;$I$4,"",129)</f>
        <v/>
      </c>
      <c r="C140" s="107" t="str">
        <f aca="false">IF($B140="","",INDEX('CARNET DE SOUDURE'!$B$7:$B$1506,MATCH(129,'CARNET DE SOUDURE'!$AP$7:$AP$1506,0)))</f>
        <v/>
      </c>
      <c r="D140" s="107" t="str">
        <f aca="false">IF($B140="","",INDEX('CARNET DE SOUDURE'!$E$7:$E$1506,MATCH(129,'CARNET DE SOUDURE'!$AP$7:$AP$1506,0)))</f>
        <v/>
      </c>
      <c r="E140" s="107" t="str">
        <f aca="false">IF($B140="","",INDEX('CARNET DE SOUDURE'!$D$7:$D$1506,MATCH(129,'CARNET DE SOUDURE'!$AP$7:$AP$1506,0)))</f>
        <v/>
      </c>
      <c r="F140" s="107" t="str">
        <f aca="false">IF($B140="","",INDEX('CARNET DE SOUDURE'!$O$7:$O$1506,MATCH(129,'CARNET DE SOUDURE'!$AP$7:$AP$1506,0))&amp;" / "&amp;INDEX('CARNET DE SOUDURE'!$P$7:$P$1506,MATCH(129,'CARNET DE SOUDURE'!$AP$7:$AP$1506,0))&amp;" / "&amp;INDEX('CARNET DE SOUDURE'!$Q$7:$Q$1506,MATCH(129,'CARNET DE SOUDURE'!$AP$7:$AP$1506,0)))</f>
        <v/>
      </c>
      <c r="G140" s="108" t="str">
        <f aca="false">IF($B140="","",INDEX('CARNET DE SOUDURE'!$R$7:$R$1506,MATCH(129,'CARNET DE SOUDURE'!$AP$7:$AP$1506,0)))</f>
        <v/>
      </c>
      <c r="H140" s="109" t="str">
        <f aca="false">IF($B140="","",INDEX('CARNET DE SOUDURE'!$AM$7:$AM$1506,MATCH(129,'CARNET DE SOUDURE'!$AP$7:$AP$1506,0)))</f>
        <v/>
      </c>
      <c r="I140" s="110" t="str">
        <f aca="false">IF($B140="","",INDEX('CARNET DE SOUDURE'!$AK$7:$AK$1506,MATCH(129,'CARNET DE SOUDURE'!$AP$7:$AP$1506,0)))</f>
        <v/>
      </c>
      <c r="J140" s="110" t="str">
        <f aca="false">IF($B140="","",INDEX('CARNET DE SOUDURE'!$AN$7:$AN$1506,MATCH(129,'CARNET DE SOUDURE'!$AP$7:$AP$1506,0)))</f>
        <v/>
      </c>
      <c r="K140" s="111"/>
      <c r="L140" s="111"/>
    </row>
    <row r="141" customFormat="false" ht="15" hidden="false" customHeight="false" outlineLevel="0" collapsed="false">
      <c r="B141" s="112" t="str">
        <f aca="false">IF(130&gt;$I$4,"",130)</f>
        <v/>
      </c>
      <c r="C141" s="112" t="str">
        <f aca="false">IF($B141="","",INDEX('CARNET DE SOUDURE'!$B$7:$B$1506,MATCH(130,'CARNET DE SOUDURE'!$AP$7:$AP$1506,0)))</f>
        <v/>
      </c>
      <c r="D141" s="112" t="str">
        <f aca="false">IF($B141="","",INDEX('CARNET DE SOUDURE'!$E$7:$E$1506,MATCH(130,'CARNET DE SOUDURE'!$AP$7:$AP$1506,0)))</f>
        <v/>
      </c>
      <c r="E141" s="112" t="str">
        <f aca="false">IF($B141="","",INDEX('CARNET DE SOUDURE'!$D$7:$D$1506,MATCH(130,'CARNET DE SOUDURE'!$AP$7:$AP$1506,0)))</f>
        <v/>
      </c>
      <c r="F141" s="112" t="str">
        <f aca="false">IF($B141="","",INDEX('CARNET DE SOUDURE'!$O$7:$O$1506,MATCH(130,'CARNET DE SOUDURE'!$AP$7:$AP$1506,0))&amp;" / "&amp;INDEX('CARNET DE SOUDURE'!$P$7:$P$1506,MATCH(130,'CARNET DE SOUDURE'!$AP$7:$AP$1506,0))&amp;" / "&amp;INDEX('CARNET DE SOUDURE'!$Q$7:$Q$1506,MATCH(130,'CARNET DE SOUDURE'!$AP$7:$AP$1506,0)))</f>
        <v/>
      </c>
      <c r="G141" s="113" t="str">
        <f aca="false">IF($B141="","",INDEX('CARNET DE SOUDURE'!$R$7:$R$1506,MATCH(130,'CARNET DE SOUDURE'!$AP$7:$AP$1506,0)))</f>
        <v/>
      </c>
      <c r="H141" s="114" t="str">
        <f aca="false">IF($B141="","",INDEX('CARNET DE SOUDURE'!$AM$7:$AM$1506,MATCH(130,'CARNET DE SOUDURE'!$AP$7:$AP$1506,0)))</f>
        <v/>
      </c>
      <c r="I141" s="115" t="str">
        <f aca="false">IF($B141="","",INDEX('CARNET DE SOUDURE'!$AK$7:$AK$1506,MATCH(130,'CARNET DE SOUDURE'!$AP$7:$AP$1506,0)))</f>
        <v/>
      </c>
      <c r="J141" s="115" t="str">
        <f aca="false">IF($B141="","",INDEX('CARNET DE SOUDURE'!$AN$7:$AN$1506,MATCH(130,'CARNET DE SOUDURE'!$AP$7:$AP$1506,0)))</f>
        <v/>
      </c>
      <c r="K141" s="111"/>
      <c r="L141" s="111"/>
    </row>
    <row r="142" customFormat="false" ht="15" hidden="false" customHeight="false" outlineLevel="0" collapsed="false">
      <c r="B142" s="107" t="str">
        <f aca="false">IF(131&gt;$I$4,"",131)</f>
        <v/>
      </c>
      <c r="C142" s="107" t="str">
        <f aca="false">IF($B142="","",INDEX('CARNET DE SOUDURE'!$B$7:$B$1506,MATCH(131,'CARNET DE SOUDURE'!$AP$7:$AP$1506,0)))</f>
        <v/>
      </c>
      <c r="D142" s="107" t="str">
        <f aca="false">IF($B142="","",INDEX('CARNET DE SOUDURE'!$E$7:$E$1506,MATCH(131,'CARNET DE SOUDURE'!$AP$7:$AP$1506,0)))</f>
        <v/>
      </c>
      <c r="E142" s="107" t="str">
        <f aca="false">IF($B142="","",INDEX('CARNET DE SOUDURE'!$D$7:$D$1506,MATCH(131,'CARNET DE SOUDURE'!$AP$7:$AP$1506,0)))</f>
        <v/>
      </c>
      <c r="F142" s="107" t="str">
        <f aca="false">IF($B142="","",INDEX('CARNET DE SOUDURE'!$O$7:$O$1506,MATCH(131,'CARNET DE SOUDURE'!$AP$7:$AP$1506,0))&amp;" / "&amp;INDEX('CARNET DE SOUDURE'!$P$7:$P$1506,MATCH(131,'CARNET DE SOUDURE'!$AP$7:$AP$1506,0))&amp;" / "&amp;INDEX('CARNET DE SOUDURE'!$Q$7:$Q$1506,MATCH(131,'CARNET DE SOUDURE'!$AP$7:$AP$1506,0)))</f>
        <v/>
      </c>
      <c r="G142" s="108" t="str">
        <f aca="false">IF($B142="","",INDEX('CARNET DE SOUDURE'!$R$7:$R$1506,MATCH(131,'CARNET DE SOUDURE'!$AP$7:$AP$1506,0)))</f>
        <v/>
      </c>
      <c r="H142" s="109" t="str">
        <f aca="false">IF($B142="","",INDEX('CARNET DE SOUDURE'!$AM$7:$AM$1506,MATCH(131,'CARNET DE SOUDURE'!$AP$7:$AP$1506,0)))</f>
        <v/>
      </c>
      <c r="I142" s="110" t="str">
        <f aca="false">IF($B142="","",INDEX('CARNET DE SOUDURE'!$AK$7:$AK$1506,MATCH(131,'CARNET DE SOUDURE'!$AP$7:$AP$1506,0)))</f>
        <v/>
      </c>
      <c r="J142" s="110" t="str">
        <f aca="false">IF($B142="","",INDEX('CARNET DE SOUDURE'!$AN$7:$AN$1506,MATCH(131,'CARNET DE SOUDURE'!$AP$7:$AP$1506,0)))</f>
        <v/>
      </c>
      <c r="K142" s="111"/>
      <c r="L142" s="111"/>
    </row>
    <row r="143" customFormat="false" ht="15" hidden="false" customHeight="false" outlineLevel="0" collapsed="false">
      <c r="B143" s="112" t="str">
        <f aca="false">IF(132&gt;$I$4,"",132)</f>
        <v/>
      </c>
      <c r="C143" s="112" t="str">
        <f aca="false">IF($B143="","",INDEX('CARNET DE SOUDURE'!$B$7:$B$1506,MATCH(132,'CARNET DE SOUDURE'!$AP$7:$AP$1506,0)))</f>
        <v/>
      </c>
      <c r="D143" s="112" t="str">
        <f aca="false">IF($B143="","",INDEX('CARNET DE SOUDURE'!$E$7:$E$1506,MATCH(132,'CARNET DE SOUDURE'!$AP$7:$AP$1506,0)))</f>
        <v/>
      </c>
      <c r="E143" s="112" t="str">
        <f aca="false">IF($B143="","",INDEX('CARNET DE SOUDURE'!$D$7:$D$1506,MATCH(132,'CARNET DE SOUDURE'!$AP$7:$AP$1506,0)))</f>
        <v/>
      </c>
      <c r="F143" s="112" t="str">
        <f aca="false">IF($B143="","",INDEX('CARNET DE SOUDURE'!$O$7:$O$1506,MATCH(132,'CARNET DE SOUDURE'!$AP$7:$AP$1506,0))&amp;" / "&amp;INDEX('CARNET DE SOUDURE'!$P$7:$P$1506,MATCH(132,'CARNET DE SOUDURE'!$AP$7:$AP$1506,0))&amp;" / "&amp;INDEX('CARNET DE SOUDURE'!$Q$7:$Q$1506,MATCH(132,'CARNET DE SOUDURE'!$AP$7:$AP$1506,0)))</f>
        <v/>
      </c>
      <c r="G143" s="113" t="str">
        <f aca="false">IF($B143="","",INDEX('CARNET DE SOUDURE'!$R$7:$R$1506,MATCH(132,'CARNET DE SOUDURE'!$AP$7:$AP$1506,0)))</f>
        <v/>
      </c>
      <c r="H143" s="114" t="str">
        <f aca="false">IF($B143="","",INDEX('CARNET DE SOUDURE'!$AM$7:$AM$1506,MATCH(132,'CARNET DE SOUDURE'!$AP$7:$AP$1506,0)))</f>
        <v/>
      </c>
      <c r="I143" s="115" t="str">
        <f aca="false">IF($B143="","",INDEX('CARNET DE SOUDURE'!$AK$7:$AK$1506,MATCH(132,'CARNET DE SOUDURE'!$AP$7:$AP$1506,0)))</f>
        <v/>
      </c>
      <c r="J143" s="115" t="str">
        <f aca="false">IF($B143="","",INDEX('CARNET DE SOUDURE'!$AN$7:$AN$1506,MATCH(132,'CARNET DE SOUDURE'!$AP$7:$AP$1506,0)))</f>
        <v/>
      </c>
      <c r="K143" s="111"/>
      <c r="L143" s="111"/>
    </row>
    <row r="144" customFormat="false" ht="15" hidden="false" customHeight="false" outlineLevel="0" collapsed="false">
      <c r="B144" s="107" t="str">
        <f aca="false">IF(133&gt;$I$4,"",133)</f>
        <v/>
      </c>
      <c r="C144" s="107" t="str">
        <f aca="false">IF($B144="","",INDEX('CARNET DE SOUDURE'!$B$7:$B$1506,MATCH(133,'CARNET DE SOUDURE'!$AP$7:$AP$1506,0)))</f>
        <v/>
      </c>
      <c r="D144" s="107" t="str">
        <f aca="false">IF($B144="","",INDEX('CARNET DE SOUDURE'!$E$7:$E$1506,MATCH(133,'CARNET DE SOUDURE'!$AP$7:$AP$1506,0)))</f>
        <v/>
      </c>
      <c r="E144" s="107" t="str">
        <f aca="false">IF($B144="","",INDEX('CARNET DE SOUDURE'!$D$7:$D$1506,MATCH(133,'CARNET DE SOUDURE'!$AP$7:$AP$1506,0)))</f>
        <v/>
      </c>
      <c r="F144" s="107" t="str">
        <f aca="false">IF($B144="","",INDEX('CARNET DE SOUDURE'!$O$7:$O$1506,MATCH(133,'CARNET DE SOUDURE'!$AP$7:$AP$1506,0))&amp;" / "&amp;INDEX('CARNET DE SOUDURE'!$P$7:$P$1506,MATCH(133,'CARNET DE SOUDURE'!$AP$7:$AP$1506,0))&amp;" / "&amp;INDEX('CARNET DE SOUDURE'!$Q$7:$Q$1506,MATCH(133,'CARNET DE SOUDURE'!$AP$7:$AP$1506,0)))</f>
        <v/>
      </c>
      <c r="G144" s="108" t="str">
        <f aca="false">IF($B144="","",INDEX('CARNET DE SOUDURE'!$R$7:$R$1506,MATCH(133,'CARNET DE SOUDURE'!$AP$7:$AP$1506,0)))</f>
        <v/>
      </c>
      <c r="H144" s="109" t="str">
        <f aca="false">IF($B144="","",INDEX('CARNET DE SOUDURE'!$AM$7:$AM$1506,MATCH(133,'CARNET DE SOUDURE'!$AP$7:$AP$1506,0)))</f>
        <v/>
      </c>
      <c r="I144" s="110" t="str">
        <f aca="false">IF($B144="","",INDEX('CARNET DE SOUDURE'!$AK$7:$AK$1506,MATCH(133,'CARNET DE SOUDURE'!$AP$7:$AP$1506,0)))</f>
        <v/>
      </c>
      <c r="J144" s="110" t="str">
        <f aca="false">IF($B144="","",INDEX('CARNET DE SOUDURE'!$AN$7:$AN$1506,MATCH(133,'CARNET DE SOUDURE'!$AP$7:$AP$1506,0)))</f>
        <v/>
      </c>
      <c r="K144" s="111"/>
      <c r="L144" s="111"/>
    </row>
    <row r="145" customFormat="false" ht="15" hidden="false" customHeight="false" outlineLevel="0" collapsed="false">
      <c r="B145" s="112" t="str">
        <f aca="false">IF(134&gt;$I$4,"",134)</f>
        <v/>
      </c>
      <c r="C145" s="112" t="str">
        <f aca="false">IF($B145="","",INDEX('CARNET DE SOUDURE'!$B$7:$B$1506,MATCH(134,'CARNET DE SOUDURE'!$AP$7:$AP$1506,0)))</f>
        <v/>
      </c>
      <c r="D145" s="112" t="str">
        <f aca="false">IF($B145="","",INDEX('CARNET DE SOUDURE'!$E$7:$E$1506,MATCH(134,'CARNET DE SOUDURE'!$AP$7:$AP$1506,0)))</f>
        <v/>
      </c>
      <c r="E145" s="112" t="str">
        <f aca="false">IF($B145="","",INDEX('CARNET DE SOUDURE'!$D$7:$D$1506,MATCH(134,'CARNET DE SOUDURE'!$AP$7:$AP$1506,0)))</f>
        <v/>
      </c>
      <c r="F145" s="112" t="str">
        <f aca="false">IF($B145="","",INDEX('CARNET DE SOUDURE'!$O$7:$O$1506,MATCH(134,'CARNET DE SOUDURE'!$AP$7:$AP$1506,0))&amp;" / "&amp;INDEX('CARNET DE SOUDURE'!$P$7:$P$1506,MATCH(134,'CARNET DE SOUDURE'!$AP$7:$AP$1506,0))&amp;" / "&amp;INDEX('CARNET DE SOUDURE'!$Q$7:$Q$1506,MATCH(134,'CARNET DE SOUDURE'!$AP$7:$AP$1506,0)))</f>
        <v/>
      </c>
      <c r="G145" s="113" t="str">
        <f aca="false">IF($B145="","",INDEX('CARNET DE SOUDURE'!$R$7:$R$1506,MATCH(134,'CARNET DE SOUDURE'!$AP$7:$AP$1506,0)))</f>
        <v/>
      </c>
      <c r="H145" s="114" t="str">
        <f aca="false">IF($B145="","",INDEX('CARNET DE SOUDURE'!$AM$7:$AM$1506,MATCH(134,'CARNET DE SOUDURE'!$AP$7:$AP$1506,0)))</f>
        <v/>
      </c>
      <c r="I145" s="115" t="str">
        <f aca="false">IF($B145="","",INDEX('CARNET DE SOUDURE'!$AK$7:$AK$1506,MATCH(134,'CARNET DE SOUDURE'!$AP$7:$AP$1506,0)))</f>
        <v/>
      </c>
      <c r="J145" s="115" t="str">
        <f aca="false">IF($B145="","",INDEX('CARNET DE SOUDURE'!$AN$7:$AN$1506,MATCH(134,'CARNET DE SOUDURE'!$AP$7:$AP$1506,0)))</f>
        <v/>
      </c>
      <c r="K145" s="111"/>
      <c r="L145" s="111"/>
    </row>
    <row r="146" customFormat="false" ht="15" hidden="false" customHeight="false" outlineLevel="0" collapsed="false">
      <c r="B146" s="107" t="str">
        <f aca="false">IF(135&gt;$I$4,"",135)</f>
        <v/>
      </c>
      <c r="C146" s="107" t="str">
        <f aca="false">IF($B146="","",INDEX('CARNET DE SOUDURE'!$B$7:$B$1506,MATCH(135,'CARNET DE SOUDURE'!$AP$7:$AP$1506,0)))</f>
        <v/>
      </c>
      <c r="D146" s="107" t="str">
        <f aca="false">IF($B146="","",INDEX('CARNET DE SOUDURE'!$E$7:$E$1506,MATCH(135,'CARNET DE SOUDURE'!$AP$7:$AP$1506,0)))</f>
        <v/>
      </c>
      <c r="E146" s="107" t="str">
        <f aca="false">IF($B146="","",INDEX('CARNET DE SOUDURE'!$D$7:$D$1506,MATCH(135,'CARNET DE SOUDURE'!$AP$7:$AP$1506,0)))</f>
        <v/>
      </c>
      <c r="F146" s="107" t="str">
        <f aca="false">IF($B146="","",INDEX('CARNET DE SOUDURE'!$O$7:$O$1506,MATCH(135,'CARNET DE SOUDURE'!$AP$7:$AP$1506,0))&amp;" / "&amp;INDEX('CARNET DE SOUDURE'!$P$7:$P$1506,MATCH(135,'CARNET DE SOUDURE'!$AP$7:$AP$1506,0))&amp;" / "&amp;INDEX('CARNET DE SOUDURE'!$Q$7:$Q$1506,MATCH(135,'CARNET DE SOUDURE'!$AP$7:$AP$1506,0)))</f>
        <v/>
      </c>
      <c r="G146" s="108" t="str">
        <f aca="false">IF($B146="","",INDEX('CARNET DE SOUDURE'!$R$7:$R$1506,MATCH(135,'CARNET DE SOUDURE'!$AP$7:$AP$1506,0)))</f>
        <v/>
      </c>
      <c r="H146" s="109" t="str">
        <f aca="false">IF($B146="","",INDEX('CARNET DE SOUDURE'!$AM$7:$AM$1506,MATCH(135,'CARNET DE SOUDURE'!$AP$7:$AP$1506,0)))</f>
        <v/>
      </c>
      <c r="I146" s="110" t="str">
        <f aca="false">IF($B146="","",INDEX('CARNET DE SOUDURE'!$AK$7:$AK$1506,MATCH(135,'CARNET DE SOUDURE'!$AP$7:$AP$1506,0)))</f>
        <v/>
      </c>
      <c r="J146" s="110" t="str">
        <f aca="false">IF($B146="","",INDEX('CARNET DE SOUDURE'!$AN$7:$AN$1506,MATCH(135,'CARNET DE SOUDURE'!$AP$7:$AP$1506,0)))</f>
        <v/>
      </c>
      <c r="K146" s="111"/>
      <c r="L146" s="111"/>
    </row>
    <row r="147" customFormat="false" ht="15" hidden="false" customHeight="false" outlineLevel="0" collapsed="false">
      <c r="B147" s="112" t="str">
        <f aca="false">IF(136&gt;$I$4,"",136)</f>
        <v/>
      </c>
      <c r="C147" s="112" t="str">
        <f aca="false">IF($B147="","",INDEX('CARNET DE SOUDURE'!$B$7:$B$1506,MATCH(136,'CARNET DE SOUDURE'!$AP$7:$AP$1506,0)))</f>
        <v/>
      </c>
      <c r="D147" s="112" t="str">
        <f aca="false">IF($B147="","",INDEX('CARNET DE SOUDURE'!$E$7:$E$1506,MATCH(136,'CARNET DE SOUDURE'!$AP$7:$AP$1506,0)))</f>
        <v/>
      </c>
      <c r="E147" s="112" t="str">
        <f aca="false">IF($B147="","",INDEX('CARNET DE SOUDURE'!$D$7:$D$1506,MATCH(136,'CARNET DE SOUDURE'!$AP$7:$AP$1506,0)))</f>
        <v/>
      </c>
      <c r="F147" s="112" t="str">
        <f aca="false">IF($B147="","",INDEX('CARNET DE SOUDURE'!$O$7:$O$1506,MATCH(136,'CARNET DE SOUDURE'!$AP$7:$AP$1506,0))&amp;" / "&amp;INDEX('CARNET DE SOUDURE'!$P$7:$P$1506,MATCH(136,'CARNET DE SOUDURE'!$AP$7:$AP$1506,0))&amp;" / "&amp;INDEX('CARNET DE SOUDURE'!$Q$7:$Q$1506,MATCH(136,'CARNET DE SOUDURE'!$AP$7:$AP$1506,0)))</f>
        <v/>
      </c>
      <c r="G147" s="113" t="str">
        <f aca="false">IF($B147="","",INDEX('CARNET DE SOUDURE'!$R$7:$R$1506,MATCH(136,'CARNET DE SOUDURE'!$AP$7:$AP$1506,0)))</f>
        <v/>
      </c>
      <c r="H147" s="114" t="str">
        <f aca="false">IF($B147="","",INDEX('CARNET DE SOUDURE'!$AM$7:$AM$1506,MATCH(136,'CARNET DE SOUDURE'!$AP$7:$AP$1506,0)))</f>
        <v/>
      </c>
      <c r="I147" s="115" t="str">
        <f aca="false">IF($B147="","",INDEX('CARNET DE SOUDURE'!$AK$7:$AK$1506,MATCH(136,'CARNET DE SOUDURE'!$AP$7:$AP$1506,0)))</f>
        <v/>
      </c>
      <c r="J147" s="115" t="str">
        <f aca="false">IF($B147="","",INDEX('CARNET DE SOUDURE'!$AN$7:$AN$1506,MATCH(136,'CARNET DE SOUDURE'!$AP$7:$AP$1506,0)))</f>
        <v/>
      </c>
      <c r="K147" s="111"/>
      <c r="L147" s="111"/>
    </row>
    <row r="148" customFormat="false" ht="15" hidden="false" customHeight="false" outlineLevel="0" collapsed="false">
      <c r="B148" s="107" t="str">
        <f aca="false">IF(137&gt;$I$4,"",137)</f>
        <v/>
      </c>
      <c r="C148" s="107" t="str">
        <f aca="false">IF($B148="","",INDEX('CARNET DE SOUDURE'!$B$7:$B$1506,MATCH(137,'CARNET DE SOUDURE'!$AP$7:$AP$1506,0)))</f>
        <v/>
      </c>
      <c r="D148" s="107" t="str">
        <f aca="false">IF($B148="","",INDEX('CARNET DE SOUDURE'!$E$7:$E$1506,MATCH(137,'CARNET DE SOUDURE'!$AP$7:$AP$1506,0)))</f>
        <v/>
      </c>
      <c r="E148" s="107" t="str">
        <f aca="false">IF($B148="","",INDEX('CARNET DE SOUDURE'!$D$7:$D$1506,MATCH(137,'CARNET DE SOUDURE'!$AP$7:$AP$1506,0)))</f>
        <v/>
      </c>
      <c r="F148" s="107" t="str">
        <f aca="false">IF($B148="","",INDEX('CARNET DE SOUDURE'!$O$7:$O$1506,MATCH(137,'CARNET DE SOUDURE'!$AP$7:$AP$1506,0))&amp;" / "&amp;INDEX('CARNET DE SOUDURE'!$P$7:$P$1506,MATCH(137,'CARNET DE SOUDURE'!$AP$7:$AP$1506,0))&amp;" / "&amp;INDEX('CARNET DE SOUDURE'!$Q$7:$Q$1506,MATCH(137,'CARNET DE SOUDURE'!$AP$7:$AP$1506,0)))</f>
        <v/>
      </c>
      <c r="G148" s="108" t="str">
        <f aca="false">IF($B148="","",INDEX('CARNET DE SOUDURE'!$R$7:$R$1506,MATCH(137,'CARNET DE SOUDURE'!$AP$7:$AP$1506,0)))</f>
        <v/>
      </c>
      <c r="H148" s="109" t="str">
        <f aca="false">IF($B148="","",INDEX('CARNET DE SOUDURE'!$AM$7:$AM$1506,MATCH(137,'CARNET DE SOUDURE'!$AP$7:$AP$1506,0)))</f>
        <v/>
      </c>
      <c r="I148" s="110" t="str">
        <f aca="false">IF($B148="","",INDEX('CARNET DE SOUDURE'!$AK$7:$AK$1506,MATCH(137,'CARNET DE SOUDURE'!$AP$7:$AP$1506,0)))</f>
        <v/>
      </c>
      <c r="J148" s="110" t="str">
        <f aca="false">IF($B148="","",INDEX('CARNET DE SOUDURE'!$AN$7:$AN$1506,MATCH(137,'CARNET DE SOUDURE'!$AP$7:$AP$1506,0)))</f>
        <v/>
      </c>
      <c r="K148" s="111"/>
      <c r="L148" s="111"/>
    </row>
    <row r="149" customFormat="false" ht="15" hidden="false" customHeight="false" outlineLevel="0" collapsed="false">
      <c r="B149" s="112" t="str">
        <f aca="false">IF(138&gt;$I$4,"",138)</f>
        <v/>
      </c>
      <c r="C149" s="112" t="str">
        <f aca="false">IF($B149="","",INDEX('CARNET DE SOUDURE'!$B$7:$B$1506,MATCH(138,'CARNET DE SOUDURE'!$AP$7:$AP$1506,0)))</f>
        <v/>
      </c>
      <c r="D149" s="112" t="str">
        <f aca="false">IF($B149="","",INDEX('CARNET DE SOUDURE'!$E$7:$E$1506,MATCH(138,'CARNET DE SOUDURE'!$AP$7:$AP$1506,0)))</f>
        <v/>
      </c>
      <c r="E149" s="112" t="str">
        <f aca="false">IF($B149="","",INDEX('CARNET DE SOUDURE'!$D$7:$D$1506,MATCH(138,'CARNET DE SOUDURE'!$AP$7:$AP$1506,0)))</f>
        <v/>
      </c>
      <c r="F149" s="112" t="str">
        <f aca="false">IF($B149="","",INDEX('CARNET DE SOUDURE'!$O$7:$O$1506,MATCH(138,'CARNET DE SOUDURE'!$AP$7:$AP$1506,0))&amp;" / "&amp;INDEX('CARNET DE SOUDURE'!$P$7:$P$1506,MATCH(138,'CARNET DE SOUDURE'!$AP$7:$AP$1506,0))&amp;" / "&amp;INDEX('CARNET DE SOUDURE'!$Q$7:$Q$1506,MATCH(138,'CARNET DE SOUDURE'!$AP$7:$AP$1506,0)))</f>
        <v/>
      </c>
      <c r="G149" s="113" t="str">
        <f aca="false">IF($B149="","",INDEX('CARNET DE SOUDURE'!$R$7:$R$1506,MATCH(138,'CARNET DE SOUDURE'!$AP$7:$AP$1506,0)))</f>
        <v/>
      </c>
      <c r="H149" s="114" t="str">
        <f aca="false">IF($B149="","",INDEX('CARNET DE SOUDURE'!$AM$7:$AM$1506,MATCH(138,'CARNET DE SOUDURE'!$AP$7:$AP$1506,0)))</f>
        <v/>
      </c>
      <c r="I149" s="115" t="str">
        <f aca="false">IF($B149="","",INDEX('CARNET DE SOUDURE'!$AK$7:$AK$1506,MATCH(138,'CARNET DE SOUDURE'!$AP$7:$AP$1506,0)))</f>
        <v/>
      </c>
      <c r="J149" s="115" t="str">
        <f aca="false">IF($B149="","",INDEX('CARNET DE SOUDURE'!$AN$7:$AN$1506,MATCH(138,'CARNET DE SOUDURE'!$AP$7:$AP$1506,0)))</f>
        <v/>
      </c>
      <c r="K149" s="111"/>
      <c r="L149" s="111"/>
    </row>
    <row r="150" customFormat="false" ht="15" hidden="false" customHeight="false" outlineLevel="0" collapsed="false">
      <c r="B150" s="107" t="str">
        <f aca="false">IF(139&gt;$I$4,"",139)</f>
        <v/>
      </c>
      <c r="C150" s="107" t="str">
        <f aca="false">IF($B150="","",INDEX('CARNET DE SOUDURE'!$B$7:$B$1506,MATCH(139,'CARNET DE SOUDURE'!$AP$7:$AP$1506,0)))</f>
        <v/>
      </c>
      <c r="D150" s="107" t="str">
        <f aca="false">IF($B150="","",INDEX('CARNET DE SOUDURE'!$E$7:$E$1506,MATCH(139,'CARNET DE SOUDURE'!$AP$7:$AP$1506,0)))</f>
        <v/>
      </c>
      <c r="E150" s="107" t="str">
        <f aca="false">IF($B150="","",INDEX('CARNET DE SOUDURE'!$D$7:$D$1506,MATCH(139,'CARNET DE SOUDURE'!$AP$7:$AP$1506,0)))</f>
        <v/>
      </c>
      <c r="F150" s="107" t="str">
        <f aca="false">IF($B150="","",INDEX('CARNET DE SOUDURE'!$O$7:$O$1506,MATCH(139,'CARNET DE SOUDURE'!$AP$7:$AP$1506,0))&amp;" / "&amp;INDEX('CARNET DE SOUDURE'!$P$7:$P$1506,MATCH(139,'CARNET DE SOUDURE'!$AP$7:$AP$1506,0))&amp;" / "&amp;INDEX('CARNET DE SOUDURE'!$Q$7:$Q$1506,MATCH(139,'CARNET DE SOUDURE'!$AP$7:$AP$1506,0)))</f>
        <v/>
      </c>
      <c r="G150" s="108" t="str">
        <f aca="false">IF($B150="","",INDEX('CARNET DE SOUDURE'!$R$7:$R$1506,MATCH(139,'CARNET DE SOUDURE'!$AP$7:$AP$1506,0)))</f>
        <v/>
      </c>
      <c r="H150" s="109" t="str">
        <f aca="false">IF($B150="","",INDEX('CARNET DE SOUDURE'!$AM$7:$AM$1506,MATCH(139,'CARNET DE SOUDURE'!$AP$7:$AP$1506,0)))</f>
        <v/>
      </c>
      <c r="I150" s="110" t="str">
        <f aca="false">IF($B150="","",INDEX('CARNET DE SOUDURE'!$AK$7:$AK$1506,MATCH(139,'CARNET DE SOUDURE'!$AP$7:$AP$1506,0)))</f>
        <v/>
      </c>
      <c r="J150" s="110" t="str">
        <f aca="false">IF($B150="","",INDEX('CARNET DE SOUDURE'!$AN$7:$AN$1506,MATCH(139,'CARNET DE SOUDURE'!$AP$7:$AP$1506,0)))</f>
        <v/>
      </c>
      <c r="K150" s="111"/>
      <c r="L150" s="111"/>
    </row>
    <row r="151" customFormat="false" ht="15" hidden="false" customHeight="false" outlineLevel="0" collapsed="false">
      <c r="B151" s="112" t="str">
        <f aca="false">IF(140&gt;$I$4,"",140)</f>
        <v/>
      </c>
      <c r="C151" s="112" t="str">
        <f aca="false">IF($B151="","",INDEX('CARNET DE SOUDURE'!$B$7:$B$1506,MATCH(140,'CARNET DE SOUDURE'!$AP$7:$AP$1506,0)))</f>
        <v/>
      </c>
      <c r="D151" s="112" t="str">
        <f aca="false">IF($B151="","",INDEX('CARNET DE SOUDURE'!$E$7:$E$1506,MATCH(140,'CARNET DE SOUDURE'!$AP$7:$AP$1506,0)))</f>
        <v/>
      </c>
      <c r="E151" s="112" t="str">
        <f aca="false">IF($B151="","",INDEX('CARNET DE SOUDURE'!$D$7:$D$1506,MATCH(140,'CARNET DE SOUDURE'!$AP$7:$AP$1506,0)))</f>
        <v/>
      </c>
      <c r="F151" s="112" t="str">
        <f aca="false">IF($B151="","",INDEX('CARNET DE SOUDURE'!$O$7:$O$1506,MATCH(140,'CARNET DE SOUDURE'!$AP$7:$AP$1506,0))&amp;" / "&amp;INDEX('CARNET DE SOUDURE'!$P$7:$P$1506,MATCH(140,'CARNET DE SOUDURE'!$AP$7:$AP$1506,0))&amp;" / "&amp;INDEX('CARNET DE SOUDURE'!$Q$7:$Q$1506,MATCH(140,'CARNET DE SOUDURE'!$AP$7:$AP$1506,0)))</f>
        <v/>
      </c>
      <c r="G151" s="113" t="str">
        <f aca="false">IF($B151="","",INDEX('CARNET DE SOUDURE'!$R$7:$R$1506,MATCH(140,'CARNET DE SOUDURE'!$AP$7:$AP$1506,0)))</f>
        <v/>
      </c>
      <c r="H151" s="114" t="str">
        <f aca="false">IF($B151="","",INDEX('CARNET DE SOUDURE'!$AM$7:$AM$1506,MATCH(140,'CARNET DE SOUDURE'!$AP$7:$AP$1506,0)))</f>
        <v/>
      </c>
      <c r="I151" s="115" t="str">
        <f aca="false">IF($B151="","",INDEX('CARNET DE SOUDURE'!$AK$7:$AK$1506,MATCH(140,'CARNET DE SOUDURE'!$AP$7:$AP$1506,0)))</f>
        <v/>
      </c>
      <c r="J151" s="115" t="str">
        <f aca="false">IF($B151="","",INDEX('CARNET DE SOUDURE'!$AN$7:$AN$1506,MATCH(140,'CARNET DE SOUDURE'!$AP$7:$AP$1506,0)))</f>
        <v/>
      </c>
      <c r="K151" s="111"/>
      <c r="L151" s="111"/>
    </row>
    <row r="152" customFormat="false" ht="15" hidden="false" customHeight="false" outlineLevel="0" collapsed="false">
      <c r="B152" s="107" t="str">
        <f aca="false">IF(141&gt;$I$4,"",141)</f>
        <v/>
      </c>
      <c r="C152" s="107" t="str">
        <f aca="false">IF($B152="","",INDEX('CARNET DE SOUDURE'!$B$7:$B$1506,MATCH(141,'CARNET DE SOUDURE'!$AP$7:$AP$1506,0)))</f>
        <v/>
      </c>
      <c r="D152" s="107" t="str">
        <f aca="false">IF($B152="","",INDEX('CARNET DE SOUDURE'!$E$7:$E$1506,MATCH(141,'CARNET DE SOUDURE'!$AP$7:$AP$1506,0)))</f>
        <v/>
      </c>
      <c r="E152" s="107" t="str">
        <f aca="false">IF($B152="","",INDEX('CARNET DE SOUDURE'!$D$7:$D$1506,MATCH(141,'CARNET DE SOUDURE'!$AP$7:$AP$1506,0)))</f>
        <v/>
      </c>
      <c r="F152" s="107" t="str">
        <f aca="false">IF($B152="","",INDEX('CARNET DE SOUDURE'!$O$7:$O$1506,MATCH(141,'CARNET DE SOUDURE'!$AP$7:$AP$1506,0))&amp;" / "&amp;INDEX('CARNET DE SOUDURE'!$P$7:$P$1506,MATCH(141,'CARNET DE SOUDURE'!$AP$7:$AP$1506,0))&amp;" / "&amp;INDEX('CARNET DE SOUDURE'!$Q$7:$Q$1506,MATCH(141,'CARNET DE SOUDURE'!$AP$7:$AP$1506,0)))</f>
        <v/>
      </c>
      <c r="G152" s="108" t="str">
        <f aca="false">IF($B152="","",INDEX('CARNET DE SOUDURE'!$R$7:$R$1506,MATCH(141,'CARNET DE SOUDURE'!$AP$7:$AP$1506,0)))</f>
        <v/>
      </c>
      <c r="H152" s="109" t="str">
        <f aca="false">IF($B152="","",INDEX('CARNET DE SOUDURE'!$AM$7:$AM$1506,MATCH(141,'CARNET DE SOUDURE'!$AP$7:$AP$1506,0)))</f>
        <v/>
      </c>
      <c r="I152" s="110" t="str">
        <f aca="false">IF($B152="","",INDEX('CARNET DE SOUDURE'!$AK$7:$AK$1506,MATCH(141,'CARNET DE SOUDURE'!$AP$7:$AP$1506,0)))</f>
        <v/>
      </c>
      <c r="J152" s="110" t="str">
        <f aca="false">IF($B152="","",INDEX('CARNET DE SOUDURE'!$AN$7:$AN$1506,MATCH(141,'CARNET DE SOUDURE'!$AP$7:$AP$1506,0)))</f>
        <v/>
      </c>
      <c r="K152" s="111"/>
      <c r="L152" s="111"/>
    </row>
    <row r="153" customFormat="false" ht="15" hidden="false" customHeight="false" outlineLevel="0" collapsed="false">
      <c r="B153" s="112" t="str">
        <f aca="false">IF(142&gt;$I$4,"",142)</f>
        <v/>
      </c>
      <c r="C153" s="112" t="str">
        <f aca="false">IF($B153="","",INDEX('CARNET DE SOUDURE'!$B$7:$B$1506,MATCH(142,'CARNET DE SOUDURE'!$AP$7:$AP$1506,0)))</f>
        <v/>
      </c>
      <c r="D153" s="112" t="str">
        <f aca="false">IF($B153="","",INDEX('CARNET DE SOUDURE'!$E$7:$E$1506,MATCH(142,'CARNET DE SOUDURE'!$AP$7:$AP$1506,0)))</f>
        <v/>
      </c>
      <c r="E153" s="112" t="str">
        <f aca="false">IF($B153="","",INDEX('CARNET DE SOUDURE'!$D$7:$D$1506,MATCH(142,'CARNET DE SOUDURE'!$AP$7:$AP$1506,0)))</f>
        <v/>
      </c>
      <c r="F153" s="112" t="str">
        <f aca="false">IF($B153="","",INDEX('CARNET DE SOUDURE'!$O$7:$O$1506,MATCH(142,'CARNET DE SOUDURE'!$AP$7:$AP$1506,0))&amp;" / "&amp;INDEX('CARNET DE SOUDURE'!$P$7:$P$1506,MATCH(142,'CARNET DE SOUDURE'!$AP$7:$AP$1506,0))&amp;" / "&amp;INDEX('CARNET DE SOUDURE'!$Q$7:$Q$1506,MATCH(142,'CARNET DE SOUDURE'!$AP$7:$AP$1506,0)))</f>
        <v/>
      </c>
      <c r="G153" s="113" t="str">
        <f aca="false">IF($B153="","",INDEX('CARNET DE SOUDURE'!$R$7:$R$1506,MATCH(142,'CARNET DE SOUDURE'!$AP$7:$AP$1506,0)))</f>
        <v/>
      </c>
      <c r="H153" s="114" t="str">
        <f aca="false">IF($B153="","",INDEX('CARNET DE SOUDURE'!$AM$7:$AM$1506,MATCH(142,'CARNET DE SOUDURE'!$AP$7:$AP$1506,0)))</f>
        <v/>
      </c>
      <c r="I153" s="115" t="str">
        <f aca="false">IF($B153="","",INDEX('CARNET DE SOUDURE'!$AK$7:$AK$1506,MATCH(142,'CARNET DE SOUDURE'!$AP$7:$AP$1506,0)))</f>
        <v/>
      </c>
      <c r="J153" s="115" t="str">
        <f aca="false">IF($B153="","",INDEX('CARNET DE SOUDURE'!$AN$7:$AN$1506,MATCH(142,'CARNET DE SOUDURE'!$AP$7:$AP$1506,0)))</f>
        <v/>
      </c>
      <c r="K153" s="111"/>
      <c r="L153" s="111"/>
    </row>
    <row r="154" customFormat="false" ht="15" hidden="false" customHeight="false" outlineLevel="0" collapsed="false">
      <c r="B154" s="107" t="str">
        <f aca="false">IF(143&gt;$I$4,"",143)</f>
        <v/>
      </c>
      <c r="C154" s="107" t="str">
        <f aca="false">IF($B154="","",INDEX('CARNET DE SOUDURE'!$B$7:$B$1506,MATCH(143,'CARNET DE SOUDURE'!$AP$7:$AP$1506,0)))</f>
        <v/>
      </c>
      <c r="D154" s="107" t="str">
        <f aca="false">IF($B154="","",INDEX('CARNET DE SOUDURE'!$E$7:$E$1506,MATCH(143,'CARNET DE SOUDURE'!$AP$7:$AP$1506,0)))</f>
        <v/>
      </c>
      <c r="E154" s="107" t="str">
        <f aca="false">IF($B154="","",INDEX('CARNET DE SOUDURE'!$D$7:$D$1506,MATCH(143,'CARNET DE SOUDURE'!$AP$7:$AP$1506,0)))</f>
        <v/>
      </c>
      <c r="F154" s="107" t="str">
        <f aca="false">IF($B154="","",INDEX('CARNET DE SOUDURE'!$O$7:$O$1506,MATCH(143,'CARNET DE SOUDURE'!$AP$7:$AP$1506,0))&amp;" / "&amp;INDEX('CARNET DE SOUDURE'!$P$7:$P$1506,MATCH(143,'CARNET DE SOUDURE'!$AP$7:$AP$1506,0))&amp;" / "&amp;INDEX('CARNET DE SOUDURE'!$Q$7:$Q$1506,MATCH(143,'CARNET DE SOUDURE'!$AP$7:$AP$1506,0)))</f>
        <v/>
      </c>
      <c r="G154" s="108" t="str">
        <f aca="false">IF($B154="","",INDEX('CARNET DE SOUDURE'!$R$7:$R$1506,MATCH(143,'CARNET DE SOUDURE'!$AP$7:$AP$1506,0)))</f>
        <v/>
      </c>
      <c r="H154" s="109" t="str">
        <f aca="false">IF($B154="","",INDEX('CARNET DE SOUDURE'!$AM$7:$AM$1506,MATCH(143,'CARNET DE SOUDURE'!$AP$7:$AP$1506,0)))</f>
        <v/>
      </c>
      <c r="I154" s="110" t="str">
        <f aca="false">IF($B154="","",INDEX('CARNET DE SOUDURE'!$AK$7:$AK$1506,MATCH(143,'CARNET DE SOUDURE'!$AP$7:$AP$1506,0)))</f>
        <v/>
      </c>
      <c r="J154" s="110" t="str">
        <f aca="false">IF($B154="","",INDEX('CARNET DE SOUDURE'!$AN$7:$AN$1506,MATCH(143,'CARNET DE SOUDURE'!$AP$7:$AP$1506,0)))</f>
        <v/>
      </c>
      <c r="K154" s="111"/>
      <c r="L154" s="111"/>
    </row>
    <row r="155" customFormat="false" ht="15" hidden="false" customHeight="false" outlineLevel="0" collapsed="false">
      <c r="B155" s="112" t="str">
        <f aca="false">IF(144&gt;$I$4,"",144)</f>
        <v/>
      </c>
      <c r="C155" s="112" t="str">
        <f aca="false">IF($B155="","",INDEX('CARNET DE SOUDURE'!$B$7:$B$1506,MATCH(144,'CARNET DE SOUDURE'!$AP$7:$AP$1506,0)))</f>
        <v/>
      </c>
      <c r="D155" s="112" t="str">
        <f aca="false">IF($B155="","",INDEX('CARNET DE SOUDURE'!$E$7:$E$1506,MATCH(144,'CARNET DE SOUDURE'!$AP$7:$AP$1506,0)))</f>
        <v/>
      </c>
      <c r="E155" s="112" t="str">
        <f aca="false">IF($B155="","",INDEX('CARNET DE SOUDURE'!$D$7:$D$1506,MATCH(144,'CARNET DE SOUDURE'!$AP$7:$AP$1506,0)))</f>
        <v/>
      </c>
      <c r="F155" s="112" t="str">
        <f aca="false">IF($B155="","",INDEX('CARNET DE SOUDURE'!$O$7:$O$1506,MATCH(144,'CARNET DE SOUDURE'!$AP$7:$AP$1506,0))&amp;" / "&amp;INDEX('CARNET DE SOUDURE'!$P$7:$P$1506,MATCH(144,'CARNET DE SOUDURE'!$AP$7:$AP$1506,0))&amp;" / "&amp;INDEX('CARNET DE SOUDURE'!$Q$7:$Q$1506,MATCH(144,'CARNET DE SOUDURE'!$AP$7:$AP$1506,0)))</f>
        <v/>
      </c>
      <c r="G155" s="113" t="str">
        <f aca="false">IF($B155="","",INDEX('CARNET DE SOUDURE'!$R$7:$R$1506,MATCH(144,'CARNET DE SOUDURE'!$AP$7:$AP$1506,0)))</f>
        <v/>
      </c>
      <c r="H155" s="114" t="str">
        <f aca="false">IF($B155="","",INDEX('CARNET DE SOUDURE'!$AM$7:$AM$1506,MATCH(144,'CARNET DE SOUDURE'!$AP$7:$AP$1506,0)))</f>
        <v/>
      </c>
      <c r="I155" s="115" t="str">
        <f aca="false">IF($B155="","",INDEX('CARNET DE SOUDURE'!$AK$7:$AK$1506,MATCH(144,'CARNET DE SOUDURE'!$AP$7:$AP$1506,0)))</f>
        <v/>
      </c>
      <c r="J155" s="115" t="str">
        <f aca="false">IF($B155="","",INDEX('CARNET DE SOUDURE'!$AN$7:$AN$1506,MATCH(144,'CARNET DE SOUDURE'!$AP$7:$AP$1506,0)))</f>
        <v/>
      </c>
      <c r="K155" s="111"/>
      <c r="L155" s="111"/>
    </row>
    <row r="156" customFormat="false" ht="15" hidden="false" customHeight="false" outlineLevel="0" collapsed="false">
      <c r="B156" s="107" t="str">
        <f aca="false">IF(145&gt;$I$4,"",145)</f>
        <v/>
      </c>
      <c r="C156" s="107" t="str">
        <f aca="false">IF($B156="","",INDEX('CARNET DE SOUDURE'!$B$7:$B$1506,MATCH(145,'CARNET DE SOUDURE'!$AP$7:$AP$1506,0)))</f>
        <v/>
      </c>
      <c r="D156" s="107" t="str">
        <f aca="false">IF($B156="","",INDEX('CARNET DE SOUDURE'!$E$7:$E$1506,MATCH(145,'CARNET DE SOUDURE'!$AP$7:$AP$1506,0)))</f>
        <v/>
      </c>
      <c r="E156" s="107" t="str">
        <f aca="false">IF($B156="","",INDEX('CARNET DE SOUDURE'!$D$7:$D$1506,MATCH(145,'CARNET DE SOUDURE'!$AP$7:$AP$1506,0)))</f>
        <v/>
      </c>
      <c r="F156" s="107" t="str">
        <f aca="false">IF($B156="","",INDEX('CARNET DE SOUDURE'!$O$7:$O$1506,MATCH(145,'CARNET DE SOUDURE'!$AP$7:$AP$1506,0))&amp;" / "&amp;INDEX('CARNET DE SOUDURE'!$P$7:$P$1506,MATCH(145,'CARNET DE SOUDURE'!$AP$7:$AP$1506,0))&amp;" / "&amp;INDEX('CARNET DE SOUDURE'!$Q$7:$Q$1506,MATCH(145,'CARNET DE SOUDURE'!$AP$7:$AP$1506,0)))</f>
        <v/>
      </c>
      <c r="G156" s="108" t="str">
        <f aca="false">IF($B156="","",INDEX('CARNET DE SOUDURE'!$R$7:$R$1506,MATCH(145,'CARNET DE SOUDURE'!$AP$7:$AP$1506,0)))</f>
        <v/>
      </c>
      <c r="H156" s="109" t="str">
        <f aca="false">IF($B156="","",INDEX('CARNET DE SOUDURE'!$AM$7:$AM$1506,MATCH(145,'CARNET DE SOUDURE'!$AP$7:$AP$1506,0)))</f>
        <v/>
      </c>
      <c r="I156" s="110" t="str">
        <f aca="false">IF($B156="","",INDEX('CARNET DE SOUDURE'!$AK$7:$AK$1506,MATCH(145,'CARNET DE SOUDURE'!$AP$7:$AP$1506,0)))</f>
        <v/>
      </c>
      <c r="J156" s="110" t="str">
        <f aca="false">IF($B156="","",INDEX('CARNET DE SOUDURE'!$AN$7:$AN$1506,MATCH(145,'CARNET DE SOUDURE'!$AP$7:$AP$1506,0)))</f>
        <v/>
      </c>
      <c r="K156" s="111"/>
      <c r="L156" s="111"/>
    </row>
    <row r="157" customFormat="false" ht="15" hidden="false" customHeight="false" outlineLevel="0" collapsed="false">
      <c r="B157" s="112" t="str">
        <f aca="false">IF(146&gt;$I$4,"",146)</f>
        <v/>
      </c>
      <c r="C157" s="112" t="str">
        <f aca="false">IF($B157="","",INDEX('CARNET DE SOUDURE'!$B$7:$B$1506,MATCH(146,'CARNET DE SOUDURE'!$AP$7:$AP$1506,0)))</f>
        <v/>
      </c>
      <c r="D157" s="112" t="str">
        <f aca="false">IF($B157="","",INDEX('CARNET DE SOUDURE'!$E$7:$E$1506,MATCH(146,'CARNET DE SOUDURE'!$AP$7:$AP$1506,0)))</f>
        <v/>
      </c>
      <c r="E157" s="112" t="str">
        <f aca="false">IF($B157="","",INDEX('CARNET DE SOUDURE'!$D$7:$D$1506,MATCH(146,'CARNET DE SOUDURE'!$AP$7:$AP$1506,0)))</f>
        <v/>
      </c>
      <c r="F157" s="112" t="str">
        <f aca="false">IF($B157="","",INDEX('CARNET DE SOUDURE'!$O$7:$O$1506,MATCH(146,'CARNET DE SOUDURE'!$AP$7:$AP$1506,0))&amp;" / "&amp;INDEX('CARNET DE SOUDURE'!$P$7:$P$1506,MATCH(146,'CARNET DE SOUDURE'!$AP$7:$AP$1506,0))&amp;" / "&amp;INDEX('CARNET DE SOUDURE'!$Q$7:$Q$1506,MATCH(146,'CARNET DE SOUDURE'!$AP$7:$AP$1506,0)))</f>
        <v/>
      </c>
      <c r="G157" s="113" t="str">
        <f aca="false">IF($B157="","",INDEX('CARNET DE SOUDURE'!$R$7:$R$1506,MATCH(146,'CARNET DE SOUDURE'!$AP$7:$AP$1506,0)))</f>
        <v/>
      </c>
      <c r="H157" s="114" t="str">
        <f aca="false">IF($B157="","",INDEX('CARNET DE SOUDURE'!$AM$7:$AM$1506,MATCH(146,'CARNET DE SOUDURE'!$AP$7:$AP$1506,0)))</f>
        <v/>
      </c>
      <c r="I157" s="115" t="str">
        <f aca="false">IF($B157="","",INDEX('CARNET DE SOUDURE'!$AK$7:$AK$1506,MATCH(146,'CARNET DE SOUDURE'!$AP$7:$AP$1506,0)))</f>
        <v/>
      </c>
      <c r="J157" s="115" t="str">
        <f aca="false">IF($B157="","",INDEX('CARNET DE SOUDURE'!$AN$7:$AN$1506,MATCH(146,'CARNET DE SOUDURE'!$AP$7:$AP$1506,0)))</f>
        <v/>
      </c>
      <c r="K157" s="111"/>
      <c r="L157" s="111"/>
    </row>
    <row r="158" customFormat="false" ht="15" hidden="false" customHeight="false" outlineLevel="0" collapsed="false">
      <c r="B158" s="107" t="str">
        <f aca="false">IF(147&gt;$I$4,"",147)</f>
        <v/>
      </c>
      <c r="C158" s="107" t="str">
        <f aca="false">IF($B158="","",INDEX('CARNET DE SOUDURE'!$B$7:$B$1506,MATCH(147,'CARNET DE SOUDURE'!$AP$7:$AP$1506,0)))</f>
        <v/>
      </c>
      <c r="D158" s="107" t="str">
        <f aca="false">IF($B158="","",INDEX('CARNET DE SOUDURE'!$E$7:$E$1506,MATCH(147,'CARNET DE SOUDURE'!$AP$7:$AP$1506,0)))</f>
        <v/>
      </c>
      <c r="E158" s="107" t="str">
        <f aca="false">IF($B158="","",INDEX('CARNET DE SOUDURE'!$D$7:$D$1506,MATCH(147,'CARNET DE SOUDURE'!$AP$7:$AP$1506,0)))</f>
        <v/>
      </c>
      <c r="F158" s="107" t="str">
        <f aca="false">IF($B158="","",INDEX('CARNET DE SOUDURE'!$O$7:$O$1506,MATCH(147,'CARNET DE SOUDURE'!$AP$7:$AP$1506,0))&amp;" / "&amp;INDEX('CARNET DE SOUDURE'!$P$7:$P$1506,MATCH(147,'CARNET DE SOUDURE'!$AP$7:$AP$1506,0))&amp;" / "&amp;INDEX('CARNET DE SOUDURE'!$Q$7:$Q$1506,MATCH(147,'CARNET DE SOUDURE'!$AP$7:$AP$1506,0)))</f>
        <v/>
      </c>
      <c r="G158" s="108" t="str">
        <f aca="false">IF($B158="","",INDEX('CARNET DE SOUDURE'!$R$7:$R$1506,MATCH(147,'CARNET DE SOUDURE'!$AP$7:$AP$1506,0)))</f>
        <v/>
      </c>
      <c r="H158" s="109" t="str">
        <f aca="false">IF($B158="","",INDEX('CARNET DE SOUDURE'!$AM$7:$AM$1506,MATCH(147,'CARNET DE SOUDURE'!$AP$7:$AP$1506,0)))</f>
        <v/>
      </c>
      <c r="I158" s="110" t="str">
        <f aca="false">IF($B158="","",INDEX('CARNET DE SOUDURE'!$AK$7:$AK$1506,MATCH(147,'CARNET DE SOUDURE'!$AP$7:$AP$1506,0)))</f>
        <v/>
      </c>
      <c r="J158" s="110" t="str">
        <f aca="false">IF($B158="","",INDEX('CARNET DE SOUDURE'!$AN$7:$AN$1506,MATCH(147,'CARNET DE SOUDURE'!$AP$7:$AP$1506,0)))</f>
        <v/>
      </c>
      <c r="K158" s="111"/>
      <c r="L158" s="111"/>
    </row>
    <row r="159" customFormat="false" ht="15" hidden="false" customHeight="false" outlineLevel="0" collapsed="false">
      <c r="B159" s="112" t="str">
        <f aca="false">IF(148&gt;$I$4,"",148)</f>
        <v/>
      </c>
      <c r="C159" s="112" t="str">
        <f aca="false">IF($B159="","",INDEX('CARNET DE SOUDURE'!$B$7:$B$1506,MATCH(148,'CARNET DE SOUDURE'!$AP$7:$AP$1506,0)))</f>
        <v/>
      </c>
      <c r="D159" s="112" t="str">
        <f aca="false">IF($B159="","",INDEX('CARNET DE SOUDURE'!$E$7:$E$1506,MATCH(148,'CARNET DE SOUDURE'!$AP$7:$AP$1506,0)))</f>
        <v/>
      </c>
      <c r="E159" s="112" t="str">
        <f aca="false">IF($B159="","",INDEX('CARNET DE SOUDURE'!$D$7:$D$1506,MATCH(148,'CARNET DE SOUDURE'!$AP$7:$AP$1506,0)))</f>
        <v/>
      </c>
      <c r="F159" s="112" t="str">
        <f aca="false">IF($B159="","",INDEX('CARNET DE SOUDURE'!$O$7:$O$1506,MATCH(148,'CARNET DE SOUDURE'!$AP$7:$AP$1506,0))&amp;" / "&amp;INDEX('CARNET DE SOUDURE'!$P$7:$P$1506,MATCH(148,'CARNET DE SOUDURE'!$AP$7:$AP$1506,0))&amp;" / "&amp;INDEX('CARNET DE SOUDURE'!$Q$7:$Q$1506,MATCH(148,'CARNET DE SOUDURE'!$AP$7:$AP$1506,0)))</f>
        <v/>
      </c>
      <c r="G159" s="113" t="str">
        <f aca="false">IF($B159="","",INDEX('CARNET DE SOUDURE'!$R$7:$R$1506,MATCH(148,'CARNET DE SOUDURE'!$AP$7:$AP$1506,0)))</f>
        <v/>
      </c>
      <c r="H159" s="114" t="str">
        <f aca="false">IF($B159="","",INDEX('CARNET DE SOUDURE'!$AM$7:$AM$1506,MATCH(148,'CARNET DE SOUDURE'!$AP$7:$AP$1506,0)))</f>
        <v/>
      </c>
      <c r="I159" s="115" t="str">
        <f aca="false">IF($B159="","",INDEX('CARNET DE SOUDURE'!$AK$7:$AK$1506,MATCH(148,'CARNET DE SOUDURE'!$AP$7:$AP$1506,0)))</f>
        <v/>
      </c>
      <c r="J159" s="115" t="str">
        <f aca="false">IF($B159="","",INDEX('CARNET DE SOUDURE'!$AN$7:$AN$1506,MATCH(148,'CARNET DE SOUDURE'!$AP$7:$AP$1506,0)))</f>
        <v/>
      </c>
      <c r="K159" s="111"/>
      <c r="L159" s="111"/>
    </row>
    <row r="160" customFormat="false" ht="15" hidden="false" customHeight="false" outlineLevel="0" collapsed="false">
      <c r="B160" s="107" t="str">
        <f aca="false">IF(149&gt;$I$4,"",149)</f>
        <v/>
      </c>
      <c r="C160" s="107" t="str">
        <f aca="false">IF($B160="","",INDEX('CARNET DE SOUDURE'!$B$7:$B$1506,MATCH(149,'CARNET DE SOUDURE'!$AP$7:$AP$1506,0)))</f>
        <v/>
      </c>
      <c r="D160" s="107" t="str">
        <f aca="false">IF($B160="","",INDEX('CARNET DE SOUDURE'!$E$7:$E$1506,MATCH(149,'CARNET DE SOUDURE'!$AP$7:$AP$1506,0)))</f>
        <v/>
      </c>
      <c r="E160" s="107" t="str">
        <f aca="false">IF($B160="","",INDEX('CARNET DE SOUDURE'!$D$7:$D$1506,MATCH(149,'CARNET DE SOUDURE'!$AP$7:$AP$1506,0)))</f>
        <v/>
      </c>
      <c r="F160" s="107" t="str">
        <f aca="false">IF($B160="","",INDEX('CARNET DE SOUDURE'!$O$7:$O$1506,MATCH(149,'CARNET DE SOUDURE'!$AP$7:$AP$1506,0))&amp;" / "&amp;INDEX('CARNET DE SOUDURE'!$P$7:$P$1506,MATCH(149,'CARNET DE SOUDURE'!$AP$7:$AP$1506,0))&amp;" / "&amp;INDEX('CARNET DE SOUDURE'!$Q$7:$Q$1506,MATCH(149,'CARNET DE SOUDURE'!$AP$7:$AP$1506,0)))</f>
        <v/>
      </c>
      <c r="G160" s="108" t="str">
        <f aca="false">IF($B160="","",INDEX('CARNET DE SOUDURE'!$R$7:$R$1506,MATCH(149,'CARNET DE SOUDURE'!$AP$7:$AP$1506,0)))</f>
        <v/>
      </c>
      <c r="H160" s="109" t="str">
        <f aca="false">IF($B160="","",INDEX('CARNET DE SOUDURE'!$AM$7:$AM$1506,MATCH(149,'CARNET DE SOUDURE'!$AP$7:$AP$1506,0)))</f>
        <v/>
      </c>
      <c r="I160" s="110" t="str">
        <f aca="false">IF($B160="","",INDEX('CARNET DE SOUDURE'!$AK$7:$AK$1506,MATCH(149,'CARNET DE SOUDURE'!$AP$7:$AP$1506,0)))</f>
        <v/>
      </c>
      <c r="J160" s="110" t="str">
        <f aca="false">IF($B160="","",INDEX('CARNET DE SOUDURE'!$AN$7:$AN$1506,MATCH(149,'CARNET DE SOUDURE'!$AP$7:$AP$1506,0)))</f>
        <v/>
      </c>
      <c r="K160" s="111"/>
      <c r="L160" s="111"/>
    </row>
    <row r="161" customFormat="false" ht="15" hidden="false" customHeight="false" outlineLevel="0" collapsed="false">
      <c r="B161" s="112" t="str">
        <f aca="false">IF(150&gt;$I$4,"",150)</f>
        <v/>
      </c>
      <c r="C161" s="112" t="str">
        <f aca="false">IF($B161="","",INDEX('CARNET DE SOUDURE'!$B$7:$B$1506,MATCH(150,'CARNET DE SOUDURE'!$AP$7:$AP$1506,0)))</f>
        <v/>
      </c>
      <c r="D161" s="112" t="str">
        <f aca="false">IF($B161="","",INDEX('CARNET DE SOUDURE'!$E$7:$E$1506,MATCH(150,'CARNET DE SOUDURE'!$AP$7:$AP$1506,0)))</f>
        <v/>
      </c>
      <c r="E161" s="112" t="str">
        <f aca="false">IF($B161="","",INDEX('CARNET DE SOUDURE'!$D$7:$D$1506,MATCH(150,'CARNET DE SOUDURE'!$AP$7:$AP$1506,0)))</f>
        <v/>
      </c>
      <c r="F161" s="112" t="str">
        <f aca="false">IF($B161="","",INDEX('CARNET DE SOUDURE'!$O$7:$O$1506,MATCH(150,'CARNET DE SOUDURE'!$AP$7:$AP$1506,0))&amp;" / "&amp;INDEX('CARNET DE SOUDURE'!$P$7:$P$1506,MATCH(150,'CARNET DE SOUDURE'!$AP$7:$AP$1506,0))&amp;" / "&amp;INDEX('CARNET DE SOUDURE'!$Q$7:$Q$1506,MATCH(150,'CARNET DE SOUDURE'!$AP$7:$AP$1506,0)))</f>
        <v/>
      </c>
      <c r="G161" s="113" t="str">
        <f aca="false">IF($B161="","",INDEX('CARNET DE SOUDURE'!$R$7:$R$1506,MATCH(150,'CARNET DE SOUDURE'!$AP$7:$AP$1506,0)))</f>
        <v/>
      </c>
      <c r="H161" s="114" t="str">
        <f aca="false">IF($B161="","",INDEX('CARNET DE SOUDURE'!$AM$7:$AM$1506,MATCH(150,'CARNET DE SOUDURE'!$AP$7:$AP$1506,0)))</f>
        <v/>
      </c>
      <c r="I161" s="115" t="str">
        <f aca="false">IF($B161="","",INDEX('CARNET DE SOUDURE'!$AK$7:$AK$1506,MATCH(150,'CARNET DE SOUDURE'!$AP$7:$AP$1506,0)))</f>
        <v/>
      </c>
      <c r="J161" s="115" t="str">
        <f aca="false">IF($B161="","",INDEX('CARNET DE SOUDURE'!$AN$7:$AN$1506,MATCH(150,'CARNET DE SOUDURE'!$AP$7:$AP$1506,0)))</f>
        <v/>
      </c>
      <c r="K161" s="111"/>
      <c r="L161" s="111"/>
    </row>
  </sheetData>
  <mergeCells count="15">
    <mergeCell ref="B2:M2"/>
    <mergeCell ref="D5:E5"/>
    <mergeCell ref="G5:L5"/>
    <mergeCell ref="B7:M7"/>
    <mergeCell ref="B8:C8"/>
    <mergeCell ref="D8:E8"/>
    <mergeCell ref="F8:G8"/>
    <mergeCell ref="H8:I8"/>
    <mergeCell ref="J8:K8"/>
    <mergeCell ref="B9:C9"/>
    <mergeCell ref="D9:E9"/>
    <mergeCell ref="F9:G9"/>
    <mergeCell ref="H9:I9"/>
    <mergeCell ref="J9:K9"/>
    <mergeCell ref="L9:M9"/>
  </mergeCells>
  <conditionalFormatting sqref="H12:H161">
    <cfRule type="cellIs" priority="2" operator="equal" aboveAverage="0" equalAverage="0" bottom="0" percent="0" rank="0" text="" dxfId="1">
      <formula>"ACCEPTÉ"</formula>
    </cfRule>
    <cfRule type="cellIs" priority="3" operator="equal" aboveAverage="0" equalAverage="0" bottom="0" percent="0" rank="0" text="" dxfId="27">
      <formula>"À RADIOGRAPHIER"</formula>
    </cfRule>
    <cfRule type="cellIs" priority="4" operator="equal" aboveAverage="0" equalAverage="0" bottom="0" percent="0" rank="0" text="" dxfId="27">
      <formula>"RÉPARÉ – À RADIOGRAPHIER"</formula>
    </cfRule>
    <cfRule type="cellIs" priority="5" operator="equal" aboveAverage="0" equalAverage="0" bottom="0" percent="0" rank="0" text="" dxfId="24">
      <formula>"NX – RT À REFAIRE"</formula>
    </cfRule>
    <cfRule type="cellIs" priority="6" operator="equal" aboveAverage="0" equalAverage="0" bottom="0" percent="0" rank="0" text="" dxfId="0">
      <formula>"À RÉPARER"</formula>
    </cfRule>
    <cfRule type="cellIs" priority="7" operator="equal" aboveAverage="0" equalAverage="0" bottom="0" percent="0" rank="0" text="" dxfId="26">
      <formula>"COUPE – À RESOUDER"</formula>
    </cfRule>
    <cfRule type="cellIs" priority="8" operator="equal" aboveAverage="0" equalAverage="0" bottom="0" percent="0" rank="0" text="" dxfId="0">
      <formula>"VT REJETÉ – À REPRENDRE"</formula>
    </cfRule>
    <cfRule type="cellIs" priority="9" operator="equal" aboveAverage="0" equalAverage="0" bottom="0" percent="0" rank="0" text="" dxfId="28">
      <formula>"VT EN ATTENTE"</formula>
    </cfRule>
    <cfRule type="cellIs" priority="10" operator="equal" aboveAverage="0" equalAverage="0" bottom="0" percent="0" rank="0" text="" dxfId="29">
      <formula>"À SOUDER"</formula>
    </cfRule>
  </conditionalFormatting>
  <conditionalFormatting sqref="J12:J161">
    <cfRule type="expression" priority="11" aboveAverage="0" equalAverage="0" bottom="0" percent="0" rank="0" text="" dxfId="0">
      <formula>AND(ISNUMBER(J12),J12&gt;3)</formula>
    </cfRule>
  </conditionalFormatting>
  <dataValidations count="1">
    <dataValidation allowBlank="true" error="Choisir une ligne ou TOUTES" errorStyle="stop" errorTitle="Valeur non valide" operator="between" prompt="Choisir une ligne ou TOUTES" showDropDown="false" showErrorMessage="true" showInputMessage="true" sqref="D5" type="list">
      <formula1>PARAMÈTRES!$B$32:$B$40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B2:P1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1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7" min="6" style="0" width="11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9"/>
    <col collapsed="false" customWidth="true" hidden="false" outlineLevel="0" max="13" min="13" style="0" width="24"/>
    <col collapsed="false" customWidth="true" hidden="false" outlineLevel="0" max="14" min="14" style="0" width="10"/>
    <col collapsed="false" customWidth="true" hidden="true" outlineLevel="0" max="16" min="16" style="0" width="13"/>
  </cols>
  <sheetData>
    <row r="2" customFormat="false" ht="33.75" hidden="false" customHeight="true" outlineLevel="0" collapsed="false">
      <c r="B2" s="116" t="s">
        <v>661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</row>
    <row r="4" customFormat="false" ht="19.7" hidden="false" customHeight="false" outlineLevel="0" collapsed="false">
      <c r="B4" s="98" t="s">
        <v>647</v>
      </c>
      <c r="C4" s="99" t="n">
        <f aca="false">'PROGRAMME RT'!C4</f>
        <v>46293</v>
      </c>
      <c r="G4" s="98" t="s">
        <v>648</v>
      </c>
      <c r="I4" s="100" t="n">
        <f aca="false">SUM('CARNET DE SOUDURE'!$AQ$7:$AQ$1506)</f>
        <v>3</v>
      </c>
      <c r="K4" s="117" t="s">
        <v>662</v>
      </c>
      <c r="L4" s="118" t="s">
        <v>663</v>
      </c>
    </row>
    <row r="5" customFormat="false" ht="15" hidden="false" customHeight="true" outlineLevel="0" collapsed="false">
      <c r="B5" s="98" t="s">
        <v>649</v>
      </c>
      <c r="D5" s="101" t="s">
        <v>2</v>
      </c>
      <c r="E5" s="101"/>
      <c r="G5" s="102" t="s">
        <v>664</v>
      </c>
      <c r="H5" s="102"/>
      <c r="I5" s="102"/>
      <c r="J5" s="102"/>
      <c r="K5" s="102"/>
      <c r="L5" s="102"/>
      <c r="P5" s="0" t="str">
        <f aca="false">IF(D5="TOUTES","*",D5)</f>
        <v>*</v>
      </c>
    </row>
    <row r="7" customFormat="false" ht="15" hidden="false" customHeight="true" outlineLevel="0" collapsed="false">
      <c r="B7" s="119" t="s">
        <v>665</v>
      </c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</row>
    <row r="8" customFormat="false" ht="15" hidden="false" customHeight="true" outlineLevel="0" collapsed="false">
      <c r="B8" s="120" t="s">
        <v>666</v>
      </c>
      <c r="C8" s="120"/>
      <c r="D8" s="120" t="s">
        <v>667</v>
      </c>
      <c r="E8" s="120"/>
      <c r="F8" s="120" t="s">
        <v>668</v>
      </c>
      <c r="G8" s="120"/>
      <c r="H8" s="120" t="s">
        <v>669</v>
      </c>
      <c r="I8" s="120"/>
      <c r="J8" s="120" t="s">
        <v>670</v>
      </c>
      <c r="K8" s="120"/>
      <c r="L8" s="120" t="s">
        <v>671</v>
      </c>
      <c r="M8" s="120"/>
      <c r="N8" s="120"/>
    </row>
    <row r="9" customFormat="false" ht="25.5" hidden="false" customHeight="true" outlineLevel="0" collapsed="false">
      <c r="B9" s="106" t="n">
        <f aca="false">COUNTIFS('CARNET DE SOUDURE'!$B$7:$B$1506,$P$5,'CARNET DE SOUDURE'!$X$7:$X$1506,"R")+COUNTIFS('CARNET DE SOUDURE'!$B$7:$B$1506,$P$5,'CARNET DE SOUDURE'!$X$7:$X$1506,"NX")+COUNTIFS('CARNET DE SOUDURE'!$B$7:$B$1506,$P$5,'CARNET DE SOUDURE'!$X$7:$X$1506,"NT")+COUNTIFS('CARNET DE SOUDURE'!$B$7:$B$1506,$P$5,'CARNET DE SOUDURE'!$X$7:$X$1506,"CO")</f>
        <v>3</v>
      </c>
      <c r="C9" s="106"/>
      <c r="D9" s="106" t="n">
        <f aca="false">COUNTIFS('CARNET DE SOUDURE'!$B$7:$B$1506,$P$5,'CARNET DE SOUDURE'!$X$7:$X$1506,"R")</f>
        <v>2</v>
      </c>
      <c r="E9" s="106"/>
      <c r="F9" s="106" t="n">
        <f aca="false">COUNTIFS('CARNET DE SOUDURE'!$B$7:$B$1506,$P$5,'CARNET DE SOUDURE'!$X$7:$X$1506,"NX")</f>
        <v>1</v>
      </c>
      <c r="G9" s="106"/>
      <c r="H9" s="106" t="n">
        <f aca="false">COUNTIFS('CARNET DE SOUDURE'!$B$7:$B$1506,$P$5,'CARNET DE SOUDURE'!$X$7:$X$1506,"NT")</f>
        <v>0</v>
      </c>
      <c r="I9" s="106"/>
      <c r="J9" s="106" t="n">
        <f aca="false">COUNTIFS('CARNET DE SOUDURE'!$B$7:$B$1506,$P$5,'CARNET DE SOUDURE'!$X$7:$X$1506,"CO")</f>
        <v>0</v>
      </c>
      <c r="K9" s="106"/>
      <c r="L9" s="106" t="n">
        <f aca="false">COUNTIFS('CARNET DE SOUDURE'!$B$7:$B$1506,$P$5,'CARNET DE SOUDURE'!$X$7:$X$1506,"R",'CARNET DE SOUDURE'!$AM$7:$AM$1506,"&lt;&gt;ACCEPTÉ")+COUNTIFS('CARNET DE SOUDURE'!$B$7:$B$1506,$P$5,'CARNET DE SOUDURE'!$X$7:$X$1506,"NX",'CARNET DE SOUDURE'!$AM$7:$AM$1506,"&lt;&gt;ACCEPTÉ")+COUNTIFS('CARNET DE SOUDURE'!$B$7:$B$1506,$P$5,'CARNET DE SOUDURE'!$X$7:$X$1506,"NT",'CARNET DE SOUDURE'!$AM$7:$AM$1506,"&lt;&gt;ACCEPTÉ")+COUNTIFS('CARNET DE SOUDURE'!$B$7:$B$1506,$P$5,'CARNET DE SOUDURE'!$X$7:$X$1506,"CO",'CARNET DE SOUDURE'!$AM$7:$AM$1506,"&lt;&gt;ACCEPTÉ")</f>
        <v>0</v>
      </c>
      <c r="M9" s="106"/>
      <c r="N9" s="106"/>
    </row>
    <row r="11" customFormat="false" ht="30" hidden="false" customHeight="true" outlineLevel="0" collapsed="false">
      <c r="B11" s="37" t="s">
        <v>656</v>
      </c>
      <c r="C11" s="37" t="s">
        <v>17</v>
      </c>
      <c r="D11" s="37" t="s">
        <v>637</v>
      </c>
      <c r="E11" s="37" t="s">
        <v>657</v>
      </c>
      <c r="F11" s="37" t="s">
        <v>79</v>
      </c>
      <c r="G11" s="37" t="s">
        <v>672</v>
      </c>
      <c r="H11" s="37" t="s">
        <v>673</v>
      </c>
      <c r="I11" s="37" t="s">
        <v>674</v>
      </c>
      <c r="J11" s="37" t="s">
        <v>675</v>
      </c>
      <c r="K11" s="37" t="s">
        <v>676</v>
      </c>
      <c r="L11" s="37" t="s">
        <v>95</v>
      </c>
      <c r="M11" s="37" t="s">
        <v>677</v>
      </c>
      <c r="N11" s="37" t="s">
        <v>97</v>
      </c>
    </row>
    <row r="12" customFormat="false" ht="15" hidden="false" customHeight="false" outlineLevel="0" collapsed="false">
      <c r="B12" s="107" t="n">
        <f aca="false">IF(1&gt;$I$4,"",1)</f>
        <v>1</v>
      </c>
      <c r="C12" s="107" t="str">
        <f aca="false">IF($B12="","",INDEX('CARNET DE SOUDURE'!$B$7:$B$1506,MATCH(1,'CARNET DE SOUDURE'!$AR$7:$AR$1506,0)))</f>
        <v>TFT 716 → TL7-MMFW2</v>
      </c>
      <c r="D12" s="107" t="str">
        <f aca="false">IF($B12="","",INDEX('CARNET DE SOUDURE'!$E$7:$E$1506,MATCH(1,'CARNET DE SOUDURE'!$AR$7:$AR$1506,0)))</f>
        <v>JN°063/R</v>
      </c>
      <c r="E12" s="107" t="str">
        <f aca="false">IF($B12="","",INDEX('CARNET DE SOUDURE'!$O$7:$O$1506,MATCH(1,'CARNET DE SOUDURE'!$AR$7:$AR$1506,0))&amp;" / "&amp;INDEX('CARNET DE SOUDURE'!$P$7:$P$1506,MATCH(1,'CARNET DE SOUDURE'!$AR$7:$AR$1506,0))&amp;" / "&amp;INDEX('CARNET DE SOUDURE'!$Q$7:$Q$1506,MATCH(1,'CARNET DE SOUDURE'!$AR$7:$AR$1506,0)))</f>
        <v>WR-05 / WR-05 / WR-02</v>
      </c>
      <c r="F12" s="108" t="n">
        <f aca="false">IF($B12="","",INDEX('CARNET DE SOUDURE'!$V$7:$V$1506,MATCH(1,'CARNET DE SOUDURE'!$AR$7:$AR$1506,0)))</f>
        <v>45890</v>
      </c>
      <c r="G12" s="107" t="str">
        <f aca="false">IF($B12="","",INDEX('CARNET DE SOUDURE'!$W$7:$W$1506,MATCH(1,'CARNET DE SOUDURE'!$AR$7:$AR$1506,0))&amp;"")</f>
        <v>L-RT-04</v>
      </c>
      <c r="H12" s="109" t="str">
        <f aca="false">IF($B12="","",INDEX('CARNET DE SOUDURE'!$X$7:$X$1506,MATCH(1,'CARNET DE SOUDURE'!$AR$7:$AR$1506,0)))</f>
        <v>R</v>
      </c>
      <c r="I12" s="107" t="str">
        <f aca="false">IF($B12="","",INDEX('CARNET DE SOUDURE'!$Y$7:$Y$1506,MATCH(1,'CARNET DE SOUDURE'!$AR$7:$AR$1506,0))&amp;IF(INDEX('CARNET DE SOUDURE'!$AD$7:$AD$1506,MATCH(1,'CARNET DE SOUDURE'!$AR$7:$AR$1506,0))&lt;&gt;""," / "&amp;INDEX('CARNET DE SOUDURE'!$AD$7:$AD$1506,MATCH(1,'CARNET DE SOUDURE'!$AR$7:$AR$1506,0)),""))</f>
        <v>WR-10</v>
      </c>
      <c r="J12" s="107" t="str">
        <f aca="false">IF($B12="","",INDEX('CARNET DE SOUDURE'!$Z$7:$Z$1506,MATCH(1,'CARNET DE SOUDURE'!$AR$7:$AR$1506,0))&amp;IF(INDEX('CARNET DE SOUDURE'!$AE$7:$AE$1506,MATCH(1,'CARNET DE SOUDURE'!$AR$7:$AR$1506,0))&lt;&gt;""," / "&amp;INDEX('CARNET DE SOUDURE'!$AE$7:$AE$1506,MATCH(1,'CARNET DE SOUDURE'!$AR$7:$AR$1506,0)),""))</f>
        <v>A</v>
      </c>
      <c r="K12" s="107" t="str">
        <f aca="false">IF($B12="","",INDEX('CARNET DE SOUDURE'!$AC$7:$AC$1506,MATCH(1,'CARNET DE SOUDURE'!$AR$7:$AR$1506,0))&amp;IF(INDEX('CARNET DE SOUDURE'!$AH$7:$AH$1506,MATCH(1,'CARNET DE SOUDURE'!$AR$7:$AR$1506,0))&lt;&gt;""," / "&amp;INDEX('CARNET DE SOUDURE'!$AH$7:$AH$1506,MATCH(1,'CARNET DE SOUDURE'!$AR$7:$AR$1506,0)),""))</f>
        <v>A</v>
      </c>
      <c r="L12" s="109" t="str">
        <f aca="false">IF($B12="","",INDEX('CARNET DE SOUDURE'!$AL$7:$AL$1506,MATCH(1,'CARNET DE SOUDURE'!$AR$7:$AR$1506,0)))</f>
        <v>A</v>
      </c>
      <c r="M12" s="109" t="str">
        <f aca="false">IF($B12="","",INDEX('CARNET DE SOUDURE'!$AM$7:$AM$1506,MATCH(1,'CARNET DE SOUDURE'!$AR$7:$AR$1506,0)))</f>
        <v>ACCEPTÉ</v>
      </c>
      <c r="N12" s="110" t="str">
        <f aca="false">IF($B12="","",INDEX('CARNET DE SOUDURE'!$AN$7:$AN$1506,MATCH(1,'CARNET DE SOUDURE'!$AR$7:$AR$1506,0)))</f>
        <v/>
      </c>
    </row>
    <row r="13" customFormat="false" ht="15" hidden="false" customHeight="false" outlineLevel="0" collapsed="false">
      <c r="B13" s="112" t="n">
        <f aca="false">IF(2&gt;$I$4,"",2)</f>
        <v>2</v>
      </c>
      <c r="C13" s="112" t="str">
        <f aca="false">IF($B13="","",INDEX('CARNET DE SOUDURE'!$B$7:$B$1506,MATCH(2,'CARNET DE SOUDURE'!$AR$7:$AR$1506,0)))</f>
        <v>TFT 716 → TL7-MMFW2</v>
      </c>
      <c r="D13" s="112" t="str">
        <f aca="false">IF($B13="","",INDEX('CARNET DE SOUDURE'!$E$7:$E$1506,MATCH(2,'CARNET DE SOUDURE'!$AR$7:$AR$1506,0)))</f>
        <v>JN°104 NX</v>
      </c>
      <c r="E13" s="112" t="str">
        <f aca="false">IF($B13="","",INDEX('CARNET DE SOUDURE'!$O$7:$O$1506,MATCH(2,'CARNET DE SOUDURE'!$AR$7:$AR$1506,0))&amp;" / "&amp;INDEX('CARNET DE SOUDURE'!$P$7:$P$1506,MATCH(2,'CARNET DE SOUDURE'!$AR$7:$AR$1506,0))&amp;" / "&amp;INDEX('CARNET DE SOUDURE'!$Q$7:$Q$1506,MATCH(2,'CARNET DE SOUDURE'!$AR$7:$AR$1506,0)))</f>
        <v>WR-05 / WR-05 / WR-06</v>
      </c>
      <c r="F13" s="113" t="n">
        <f aca="false">IF($B13="","",INDEX('CARNET DE SOUDURE'!$V$7:$V$1506,MATCH(2,'CARNET DE SOUDURE'!$AR$7:$AR$1506,0)))</f>
        <v>45893</v>
      </c>
      <c r="G13" s="112" t="str">
        <f aca="false">IF($B13="","",INDEX('CARNET DE SOUDURE'!$W$7:$W$1506,MATCH(2,'CARNET DE SOUDURE'!$AR$7:$AR$1506,0))&amp;"")</f>
        <v>L-RT-07</v>
      </c>
      <c r="H13" s="114" t="str">
        <f aca="false">IF($B13="","",INDEX('CARNET DE SOUDURE'!$X$7:$X$1506,MATCH(2,'CARNET DE SOUDURE'!$AR$7:$AR$1506,0)))</f>
        <v>NX</v>
      </c>
      <c r="I13" s="112" t="str">
        <f aca="false">IF($B13="","",INDEX('CARNET DE SOUDURE'!$Y$7:$Y$1506,MATCH(2,'CARNET DE SOUDURE'!$AR$7:$AR$1506,0))&amp;IF(INDEX('CARNET DE SOUDURE'!$AD$7:$AD$1506,MATCH(2,'CARNET DE SOUDURE'!$AR$7:$AR$1506,0))&lt;&gt;""," / "&amp;INDEX('CARNET DE SOUDURE'!$AD$7:$AD$1506,MATCH(2,'CARNET DE SOUDURE'!$AR$7:$AR$1506,0)),""))</f>
        <v/>
      </c>
      <c r="J13" s="112" t="str">
        <f aca="false">IF($B13="","",INDEX('CARNET DE SOUDURE'!$Z$7:$Z$1506,MATCH(2,'CARNET DE SOUDURE'!$AR$7:$AR$1506,0))&amp;IF(INDEX('CARNET DE SOUDURE'!$AE$7:$AE$1506,MATCH(2,'CARNET DE SOUDURE'!$AR$7:$AR$1506,0))&lt;&gt;""," / "&amp;INDEX('CARNET DE SOUDURE'!$AE$7:$AE$1506,MATCH(2,'CARNET DE SOUDURE'!$AR$7:$AR$1506,0)),""))</f>
        <v/>
      </c>
      <c r="K13" s="112" t="str">
        <f aca="false">IF($B13="","",INDEX('CARNET DE SOUDURE'!$AC$7:$AC$1506,MATCH(2,'CARNET DE SOUDURE'!$AR$7:$AR$1506,0))&amp;IF(INDEX('CARNET DE SOUDURE'!$AH$7:$AH$1506,MATCH(2,'CARNET DE SOUDURE'!$AR$7:$AR$1506,0))&lt;&gt;""," / "&amp;INDEX('CARNET DE SOUDURE'!$AH$7:$AH$1506,MATCH(2,'CARNET DE SOUDURE'!$AR$7:$AR$1506,0)),""))</f>
        <v>A</v>
      </c>
      <c r="L13" s="114" t="str">
        <f aca="false">IF($B13="","",INDEX('CARNET DE SOUDURE'!$AL$7:$AL$1506,MATCH(2,'CARNET DE SOUDURE'!$AR$7:$AR$1506,0)))</f>
        <v>A</v>
      </c>
      <c r="M13" s="114" t="str">
        <f aca="false">IF($B13="","",INDEX('CARNET DE SOUDURE'!$AM$7:$AM$1506,MATCH(2,'CARNET DE SOUDURE'!$AR$7:$AR$1506,0)))</f>
        <v>ACCEPTÉ</v>
      </c>
      <c r="N13" s="115" t="str">
        <f aca="false">IF($B13="","",INDEX('CARNET DE SOUDURE'!$AN$7:$AN$1506,MATCH(2,'CARNET DE SOUDURE'!$AR$7:$AR$1506,0)))</f>
        <v/>
      </c>
    </row>
    <row r="14" customFormat="false" ht="15" hidden="false" customHeight="false" outlineLevel="0" collapsed="false">
      <c r="B14" s="107" t="n">
        <f aca="false">IF(3&gt;$I$4,"",3)</f>
        <v>3</v>
      </c>
      <c r="C14" s="107" t="str">
        <f aca="false">IF($B14="","",INDEX('CARNET DE SOUDURE'!$B$7:$B$1506,MATCH(3,'CARNET DE SOUDURE'!$AR$7:$AR$1506,0)))</f>
        <v>TFT 716 → TL7-MMFW2</v>
      </c>
      <c r="D14" s="107" t="str">
        <f aca="false">IF($B14="","",INDEX('CARNET DE SOUDURE'!$E$7:$E$1506,MATCH(3,'CARNET DE SOUDURE'!$AR$7:$AR$1506,0)))</f>
        <v>JN°122R</v>
      </c>
      <c r="E14" s="107" t="str">
        <f aca="false">IF($B14="","",INDEX('CARNET DE SOUDURE'!$O$7:$O$1506,MATCH(3,'CARNET DE SOUDURE'!$AR$7:$AR$1506,0))&amp;" / "&amp;INDEX('CARNET DE SOUDURE'!$P$7:$P$1506,MATCH(3,'CARNET DE SOUDURE'!$AR$7:$AR$1506,0))&amp;" / "&amp;INDEX('CARNET DE SOUDURE'!$Q$7:$Q$1506,MATCH(3,'CARNET DE SOUDURE'!$AR$7:$AR$1506,0)))</f>
        <v>WR-05 / WR-05 / WR-06</v>
      </c>
      <c r="F14" s="108" t="n">
        <f aca="false">IF($B14="","",INDEX('CARNET DE SOUDURE'!$V$7:$V$1506,MATCH(3,'CARNET DE SOUDURE'!$AR$7:$AR$1506,0)))</f>
        <v>45894</v>
      </c>
      <c r="G14" s="107" t="str">
        <f aca="false">IF($B14="","",INDEX('CARNET DE SOUDURE'!$W$7:$W$1506,MATCH(3,'CARNET DE SOUDURE'!$AR$7:$AR$1506,0))&amp;"")</f>
        <v>L-RT-09</v>
      </c>
      <c r="H14" s="109" t="str">
        <f aca="false">IF($B14="","",INDEX('CARNET DE SOUDURE'!$X$7:$X$1506,MATCH(3,'CARNET DE SOUDURE'!$AR$7:$AR$1506,0)))</f>
        <v>R</v>
      </c>
      <c r="I14" s="107" t="str">
        <f aca="false">IF($B14="","",INDEX('CARNET DE SOUDURE'!$Y$7:$Y$1506,MATCH(3,'CARNET DE SOUDURE'!$AR$7:$AR$1506,0))&amp;IF(INDEX('CARNET DE SOUDURE'!$AD$7:$AD$1506,MATCH(3,'CARNET DE SOUDURE'!$AR$7:$AR$1506,0))&lt;&gt;""," / "&amp;INDEX('CARNET DE SOUDURE'!$AD$7:$AD$1506,MATCH(3,'CARNET DE SOUDURE'!$AR$7:$AR$1506,0)),""))</f>
        <v>WR-09</v>
      </c>
      <c r="J14" s="107" t="str">
        <f aca="false">IF($B14="","",INDEX('CARNET DE SOUDURE'!$Z$7:$Z$1506,MATCH(3,'CARNET DE SOUDURE'!$AR$7:$AR$1506,0))&amp;IF(INDEX('CARNET DE SOUDURE'!$AE$7:$AE$1506,MATCH(3,'CARNET DE SOUDURE'!$AR$7:$AR$1506,0))&lt;&gt;""," / "&amp;INDEX('CARNET DE SOUDURE'!$AE$7:$AE$1506,MATCH(3,'CARNET DE SOUDURE'!$AR$7:$AR$1506,0)),""))</f>
        <v>A</v>
      </c>
      <c r="K14" s="107" t="str">
        <f aca="false">IF($B14="","",INDEX('CARNET DE SOUDURE'!$AC$7:$AC$1506,MATCH(3,'CARNET DE SOUDURE'!$AR$7:$AR$1506,0))&amp;IF(INDEX('CARNET DE SOUDURE'!$AH$7:$AH$1506,MATCH(3,'CARNET DE SOUDURE'!$AR$7:$AR$1506,0))&lt;&gt;""," / "&amp;INDEX('CARNET DE SOUDURE'!$AH$7:$AH$1506,MATCH(3,'CARNET DE SOUDURE'!$AR$7:$AR$1506,0)),""))</f>
        <v>A</v>
      </c>
      <c r="L14" s="109" t="str">
        <f aca="false">IF($B14="","",INDEX('CARNET DE SOUDURE'!$AL$7:$AL$1506,MATCH(3,'CARNET DE SOUDURE'!$AR$7:$AR$1506,0)))</f>
        <v>A</v>
      </c>
      <c r="M14" s="109" t="str">
        <f aca="false">IF($B14="","",INDEX('CARNET DE SOUDURE'!$AM$7:$AM$1506,MATCH(3,'CARNET DE SOUDURE'!$AR$7:$AR$1506,0)))</f>
        <v>ACCEPTÉ</v>
      </c>
      <c r="N14" s="110" t="str">
        <f aca="false">IF($B14="","",INDEX('CARNET DE SOUDURE'!$AN$7:$AN$1506,MATCH(3,'CARNET DE SOUDURE'!$AR$7:$AR$1506,0)))</f>
        <v/>
      </c>
    </row>
    <row r="15" customFormat="false" ht="15" hidden="false" customHeight="false" outlineLevel="0" collapsed="false">
      <c r="B15" s="112" t="str">
        <f aca="false">IF(4&gt;$I$4,"",4)</f>
        <v/>
      </c>
      <c r="C15" s="112" t="str">
        <f aca="false">IF($B15="","",INDEX('CARNET DE SOUDURE'!$B$7:$B$1506,MATCH(4,'CARNET DE SOUDURE'!$AR$7:$AR$1506,0)))</f>
        <v/>
      </c>
      <c r="D15" s="112" t="str">
        <f aca="false">IF($B15="","",INDEX('CARNET DE SOUDURE'!$E$7:$E$1506,MATCH(4,'CARNET DE SOUDURE'!$AR$7:$AR$1506,0)))</f>
        <v/>
      </c>
      <c r="E15" s="112" t="str">
        <f aca="false">IF($B15="","",INDEX('CARNET DE SOUDURE'!$O$7:$O$1506,MATCH(4,'CARNET DE SOUDURE'!$AR$7:$AR$1506,0))&amp;" / "&amp;INDEX('CARNET DE SOUDURE'!$P$7:$P$1506,MATCH(4,'CARNET DE SOUDURE'!$AR$7:$AR$1506,0))&amp;" / "&amp;INDEX('CARNET DE SOUDURE'!$Q$7:$Q$1506,MATCH(4,'CARNET DE SOUDURE'!$AR$7:$AR$1506,0)))</f>
        <v/>
      </c>
      <c r="F15" s="113" t="str">
        <f aca="false">IF($B15="","",INDEX('CARNET DE SOUDURE'!$V$7:$V$1506,MATCH(4,'CARNET DE SOUDURE'!$AR$7:$AR$1506,0)))</f>
        <v/>
      </c>
      <c r="G15" s="112" t="str">
        <f aca="false">IF($B15="","",INDEX('CARNET DE SOUDURE'!$W$7:$W$1506,MATCH(4,'CARNET DE SOUDURE'!$AR$7:$AR$1506,0))&amp;"")</f>
        <v/>
      </c>
      <c r="H15" s="114" t="str">
        <f aca="false">IF($B15="","",INDEX('CARNET DE SOUDURE'!$X$7:$X$1506,MATCH(4,'CARNET DE SOUDURE'!$AR$7:$AR$1506,0)))</f>
        <v/>
      </c>
      <c r="I15" s="112" t="str">
        <f aca="false">IF($B15="","",INDEX('CARNET DE SOUDURE'!$Y$7:$Y$1506,MATCH(4,'CARNET DE SOUDURE'!$AR$7:$AR$1506,0))&amp;IF(INDEX('CARNET DE SOUDURE'!$AD$7:$AD$1506,MATCH(4,'CARNET DE SOUDURE'!$AR$7:$AR$1506,0))&lt;&gt;""," / "&amp;INDEX('CARNET DE SOUDURE'!$AD$7:$AD$1506,MATCH(4,'CARNET DE SOUDURE'!$AR$7:$AR$1506,0)),""))</f>
        <v/>
      </c>
      <c r="J15" s="112" t="str">
        <f aca="false">IF($B15="","",INDEX('CARNET DE SOUDURE'!$Z$7:$Z$1506,MATCH(4,'CARNET DE SOUDURE'!$AR$7:$AR$1506,0))&amp;IF(INDEX('CARNET DE SOUDURE'!$AE$7:$AE$1506,MATCH(4,'CARNET DE SOUDURE'!$AR$7:$AR$1506,0))&lt;&gt;""," / "&amp;INDEX('CARNET DE SOUDURE'!$AE$7:$AE$1506,MATCH(4,'CARNET DE SOUDURE'!$AR$7:$AR$1506,0)),""))</f>
        <v/>
      </c>
      <c r="K15" s="112" t="str">
        <f aca="false">IF($B15="","",INDEX('CARNET DE SOUDURE'!$AC$7:$AC$1506,MATCH(4,'CARNET DE SOUDURE'!$AR$7:$AR$1506,0))&amp;IF(INDEX('CARNET DE SOUDURE'!$AH$7:$AH$1506,MATCH(4,'CARNET DE SOUDURE'!$AR$7:$AR$1506,0))&lt;&gt;""," / "&amp;INDEX('CARNET DE SOUDURE'!$AH$7:$AH$1506,MATCH(4,'CARNET DE SOUDURE'!$AR$7:$AR$1506,0)),""))</f>
        <v/>
      </c>
      <c r="L15" s="114" t="str">
        <f aca="false">IF($B15="","",INDEX('CARNET DE SOUDURE'!$AL$7:$AL$1506,MATCH(4,'CARNET DE SOUDURE'!$AR$7:$AR$1506,0)))</f>
        <v/>
      </c>
      <c r="M15" s="114" t="str">
        <f aca="false">IF($B15="","",INDEX('CARNET DE SOUDURE'!$AM$7:$AM$1506,MATCH(4,'CARNET DE SOUDURE'!$AR$7:$AR$1506,0)))</f>
        <v/>
      </c>
      <c r="N15" s="115" t="str">
        <f aca="false">IF($B15="","",INDEX('CARNET DE SOUDURE'!$AN$7:$AN$1506,MATCH(4,'CARNET DE SOUDURE'!$AR$7:$AR$1506,0)))</f>
        <v/>
      </c>
    </row>
    <row r="16" customFormat="false" ht="15" hidden="false" customHeight="false" outlineLevel="0" collapsed="false">
      <c r="B16" s="107" t="str">
        <f aca="false">IF(5&gt;$I$4,"",5)</f>
        <v/>
      </c>
      <c r="C16" s="107" t="str">
        <f aca="false">IF($B16="","",INDEX('CARNET DE SOUDURE'!$B$7:$B$1506,MATCH(5,'CARNET DE SOUDURE'!$AR$7:$AR$1506,0)))</f>
        <v/>
      </c>
      <c r="D16" s="107" t="str">
        <f aca="false">IF($B16="","",INDEX('CARNET DE SOUDURE'!$E$7:$E$1506,MATCH(5,'CARNET DE SOUDURE'!$AR$7:$AR$1506,0)))</f>
        <v/>
      </c>
      <c r="E16" s="107" t="str">
        <f aca="false">IF($B16="","",INDEX('CARNET DE SOUDURE'!$O$7:$O$1506,MATCH(5,'CARNET DE SOUDURE'!$AR$7:$AR$1506,0))&amp;" / "&amp;INDEX('CARNET DE SOUDURE'!$P$7:$P$1506,MATCH(5,'CARNET DE SOUDURE'!$AR$7:$AR$1506,0))&amp;" / "&amp;INDEX('CARNET DE SOUDURE'!$Q$7:$Q$1506,MATCH(5,'CARNET DE SOUDURE'!$AR$7:$AR$1506,0)))</f>
        <v/>
      </c>
      <c r="F16" s="108" t="str">
        <f aca="false">IF($B16="","",INDEX('CARNET DE SOUDURE'!$V$7:$V$1506,MATCH(5,'CARNET DE SOUDURE'!$AR$7:$AR$1506,0)))</f>
        <v/>
      </c>
      <c r="G16" s="107" t="str">
        <f aca="false">IF($B16="","",INDEX('CARNET DE SOUDURE'!$W$7:$W$1506,MATCH(5,'CARNET DE SOUDURE'!$AR$7:$AR$1506,0))&amp;"")</f>
        <v/>
      </c>
      <c r="H16" s="109" t="str">
        <f aca="false">IF($B16="","",INDEX('CARNET DE SOUDURE'!$X$7:$X$1506,MATCH(5,'CARNET DE SOUDURE'!$AR$7:$AR$1506,0)))</f>
        <v/>
      </c>
      <c r="I16" s="107" t="str">
        <f aca="false">IF($B16="","",INDEX('CARNET DE SOUDURE'!$Y$7:$Y$1506,MATCH(5,'CARNET DE SOUDURE'!$AR$7:$AR$1506,0))&amp;IF(INDEX('CARNET DE SOUDURE'!$AD$7:$AD$1506,MATCH(5,'CARNET DE SOUDURE'!$AR$7:$AR$1506,0))&lt;&gt;""," / "&amp;INDEX('CARNET DE SOUDURE'!$AD$7:$AD$1506,MATCH(5,'CARNET DE SOUDURE'!$AR$7:$AR$1506,0)),""))</f>
        <v/>
      </c>
      <c r="J16" s="107" t="str">
        <f aca="false">IF($B16="","",INDEX('CARNET DE SOUDURE'!$Z$7:$Z$1506,MATCH(5,'CARNET DE SOUDURE'!$AR$7:$AR$1506,0))&amp;IF(INDEX('CARNET DE SOUDURE'!$AE$7:$AE$1506,MATCH(5,'CARNET DE SOUDURE'!$AR$7:$AR$1506,0))&lt;&gt;""," / "&amp;INDEX('CARNET DE SOUDURE'!$AE$7:$AE$1506,MATCH(5,'CARNET DE SOUDURE'!$AR$7:$AR$1506,0)),""))</f>
        <v/>
      </c>
      <c r="K16" s="107" t="str">
        <f aca="false">IF($B16="","",INDEX('CARNET DE SOUDURE'!$AC$7:$AC$1506,MATCH(5,'CARNET DE SOUDURE'!$AR$7:$AR$1506,0))&amp;IF(INDEX('CARNET DE SOUDURE'!$AH$7:$AH$1506,MATCH(5,'CARNET DE SOUDURE'!$AR$7:$AR$1506,0))&lt;&gt;""," / "&amp;INDEX('CARNET DE SOUDURE'!$AH$7:$AH$1506,MATCH(5,'CARNET DE SOUDURE'!$AR$7:$AR$1506,0)),""))</f>
        <v/>
      </c>
      <c r="L16" s="109" t="str">
        <f aca="false">IF($B16="","",INDEX('CARNET DE SOUDURE'!$AL$7:$AL$1506,MATCH(5,'CARNET DE SOUDURE'!$AR$7:$AR$1506,0)))</f>
        <v/>
      </c>
      <c r="M16" s="109" t="str">
        <f aca="false">IF($B16="","",INDEX('CARNET DE SOUDURE'!$AM$7:$AM$1506,MATCH(5,'CARNET DE SOUDURE'!$AR$7:$AR$1506,0)))</f>
        <v/>
      </c>
      <c r="N16" s="110" t="str">
        <f aca="false">IF($B16="","",INDEX('CARNET DE SOUDURE'!$AN$7:$AN$1506,MATCH(5,'CARNET DE SOUDURE'!$AR$7:$AR$1506,0)))</f>
        <v/>
      </c>
    </row>
    <row r="17" customFormat="false" ht="15" hidden="false" customHeight="false" outlineLevel="0" collapsed="false">
      <c r="B17" s="112" t="str">
        <f aca="false">IF(6&gt;$I$4,"",6)</f>
        <v/>
      </c>
      <c r="C17" s="112" t="str">
        <f aca="false">IF($B17="","",INDEX('CARNET DE SOUDURE'!$B$7:$B$1506,MATCH(6,'CARNET DE SOUDURE'!$AR$7:$AR$1506,0)))</f>
        <v/>
      </c>
      <c r="D17" s="112" t="str">
        <f aca="false">IF($B17="","",INDEX('CARNET DE SOUDURE'!$E$7:$E$1506,MATCH(6,'CARNET DE SOUDURE'!$AR$7:$AR$1506,0)))</f>
        <v/>
      </c>
      <c r="E17" s="112" t="str">
        <f aca="false">IF($B17="","",INDEX('CARNET DE SOUDURE'!$O$7:$O$1506,MATCH(6,'CARNET DE SOUDURE'!$AR$7:$AR$1506,0))&amp;" / "&amp;INDEX('CARNET DE SOUDURE'!$P$7:$P$1506,MATCH(6,'CARNET DE SOUDURE'!$AR$7:$AR$1506,0))&amp;" / "&amp;INDEX('CARNET DE SOUDURE'!$Q$7:$Q$1506,MATCH(6,'CARNET DE SOUDURE'!$AR$7:$AR$1506,0)))</f>
        <v/>
      </c>
      <c r="F17" s="113" t="str">
        <f aca="false">IF($B17="","",INDEX('CARNET DE SOUDURE'!$V$7:$V$1506,MATCH(6,'CARNET DE SOUDURE'!$AR$7:$AR$1506,0)))</f>
        <v/>
      </c>
      <c r="G17" s="112" t="str">
        <f aca="false">IF($B17="","",INDEX('CARNET DE SOUDURE'!$W$7:$W$1506,MATCH(6,'CARNET DE SOUDURE'!$AR$7:$AR$1506,0))&amp;"")</f>
        <v/>
      </c>
      <c r="H17" s="114" t="str">
        <f aca="false">IF($B17="","",INDEX('CARNET DE SOUDURE'!$X$7:$X$1506,MATCH(6,'CARNET DE SOUDURE'!$AR$7:$AR$1506,0)))</f>
        <v/>
      </c>
      <c r="I17" s="112" t="str">
        <f aca="false">IF($B17="","",INDEX('CARNET DE SOUDURE'!$Y$7:$Y$1506,MATCH(6,'CARNET DE SOUDURE'!$AR$7:$AR$1506,0))&amp;IF(INDEX('CARNET DE SOUDURE'!$AD$7:$AD$1506,MATCH(6,'CARNET DE SOUDURE'!$AR$7:$AR$1506,0))&lt;&gt;""," / "&amp;INDEX('CARNET DE SOUDURE'!$AD$7:$AD$1506,MATCH(6,'CARNET DE SOUDURE'!$AR$7:$AR$1506,0)),""))</f>
        <v/>
      </c>
      <c r="J17" s="112" t="str">
        <f aca="false">IF($B17="","",INDEX('CARNET DE SOUDURE'!$Z$7:$Z$1506,MATCH(6,'CARNET DE SOUDURE'!$AR$7:$AR$1506,0))&amp;IF(INDEX('CARNET DE SOUDURE'!$AE$7:$AE$1506,MATCH(6,'CARNET DE SOUDURE'!$AR$7:$AR$1506,0))&lt;&gt;""," / "&amp;INDEX('CARNET DE SOUDURE'!$AE$7:$AE$1506,MATCH(6,'CARNET DE SOUDURE'!$AR$7:$AR$1506,0)),""))</f>
        <v/>
      </c>
      <c r="K17" s="112" t="str">
        <f aca="false">IF($B17="","",INDEX('CARNET DE SOUDURE'!$AC$7:$AC$1506,MATCH(6,'CARNET DE SOUDURE'!$AR$7:$AR$1506,0))&amp;IF(INDEX('CARNET DE SOUDURE'!$AH$7:$AH$1506,MATCH(6,'CARNET DE SOUDURE'!$AR$7:$AR$1506,0))&lt;&gt;""," / "&amp;INDEX('CARNET DE SOUDURE'!$AH$7:$AH$1506,MATCH(6,'CARNET DE SOUDURE'!$AR$7:$AR$1506,0)),""))</f>
        <v/>
      </c>
      <c r="L17" s="114" t="str">
        <f aca="false">IF($B17="","",INDEX('CARNET DE SOUDURE'!$AL$7:$AL$1506,MATCH(6,'CARNET DE SOUDURE'!$AR$7:$AR$1506,0)))</f>
        <v/>
      </c>
      <c r="M17" s="114" t="str">
        <f aca="false">IF($B17="","",INDEX('CARNET DE SOUDURE'!$AM$7:$AM$1506,MATCH(6,'CARNET DE SOUDURE'!$AR$7:$AR$1506,0)))</f>
        <v/>
      </c>
      <c r="N17" s="115" t="str">
        <f aca="false">IF($B17="","",INDEX('CARNET DE SOUDURE'!$AN$7:$AN$1506,MATCH(6,'CARNET DE SOUDURE'!$AR$7:$AR$1506,0)))</f>
        <v/>
      </c>
    </row>
    <row r="18" customFormat="false" ht="15" hidden="false" customHeight="false" outlineLevel="0" collapsed="false">
      <c r="B18" s="107" t="str">
        <f aca="false">IF(7&gt;$I$4,"",7)</f>
        <v/>
      </c>
      <c r="C18" s="107" t="str">
        <f aca="false">IF($B18="","",INDEX('CARNET DE SOUDURE'!$B$7:$B$1506,MATCH(7,'CARNET DE SOUDURE'!$AR$7:$AR$1506,0)))</f>
        <v/>
      </c>
      <c r="D18" s="107" t="str">
        <f aca="false">IF($B18="","",INDEX('CARNET DE SOUDURE'!$E$7:$E$1506,MATCH(7,'CARNET DE SOUDURE'!$AR$7:$AR$1506,0)))</f>
        <v/>
      </c>
      <c r="E18" s="107" t="str">
        <f aca="false">IF($B18="","",INDEX('CARNET DE SOUDURE'!$O$7:$O$1506,MATCH(7,'CARNET DE SOUDURE'!$AR$7:$AR$1506,0))&amp;" / "&amp;INDEX('CARNET DE SOUDURE'!$P$7:$P$1506,MATCH(7,'CARNET DE SOUDURE'!$AR$7:$AR$1506,0))&amp;" / "&amp;INDEX('CARNET DE SOUDURE'!$Q$7:$Q$1506,MATCH(7,'CARNET DE SOUDURE'!$AR$7:$AR$1506,0)))</f>
        <v/>
      </c>
      <c r="F18" s="108" t="str">
        <f aca="false">IF($B18="","",INDEX('CARNET DE SOUDURE'!$V$7:$V$1506,MATCH(7,'CARNET DE SOUDURE'!$AR$7:$AR$1506,0)))</f>
        <v/>
      </c>
      <c r="G18" s="107" t="str">
        <f aca="false">IF($B18="","",INDEX('CARNET DE SOUDURE'!$W$7:$W$1506,MATCH(7,'CARNET DE SOUDURE'!$AR$7:$AR$1506,0))&amp;"")</f>
        <v/>
      </c>
      <c r="H18" s="109" t="str">
        <f aca="false">IF($B18="","",INDEX('CARNET DE SOUDURE'!$X$7:$X$1506,MATCH(7,'CARNET DE SOUDURE'!$AR$7:$AR$1506,0)))</f>
        <v/>
      </c>
      <c r="I18" s="107" t="str">
        <f aca="false">IF($B18="","",INDEX('CARNET DE SOUDURE'!$Y$7:$Y$1506,MATCH(7,'CARNET DE SOUDURE'!$AR$7:$AR$1506,0))&amp;IF(INDEX('CARNET DE SOUDURE'!$AD$7:$AD$1506,MATCH(7,'CARNET DE SOUDURE'!$AR$7:$AR$1506,0))&lt;&gt;""," / "&amp;INDEX('CARNET DE SOUDURE'!$AD$7:$AD$1506,MATCH(7,'CARNET DE SOUDURE'!$AR$7:$AR$1506,0)),""))</f>
        <v/>
      </c>
      <c r="J18" s="107" t="str">
        <f aca="false">IF($B18="","",INDEX('CARNET DE SOUDURE'!$Z$7:$Z$1506,MATCH(7,'CARNET DE SOUDURE'!$AR$7:$AR$1506,0))&amp;IF(INDEX('CARNET DE SOUDURE'!$AE$7:$AE$1506,MATCH(7,'CARNET DE SOUDURE'!$AR$7:$AR$1506,0))&lt;&gt;""," / "&amp;INDEX('CARNET DE SOUDURE'!$AE$7:$AE$1506,MATCH(7,'CARNET DE SOUDURE'!$AR$7:$AR$1506,0)),""))</f>
        <v/>
      </c>
      <c r="K18" s="107" t="str">
        <f aca="false">IF($B18="","",INDEX('CARNET DE SOUDURE'!$AC$7:$AC$1506,MATCH(7,'CARNET DE SOUDURE'!$AR$7:$AR$1506,0))&amp;IF(INDEX('CARNET DE SOUDURE'!$AH$7:$AH$1506,MATCH(7,'CARNET DE SOUDURE'!$AR$7:$AR$1506,0))&lt;&gt;""," / "&amp;INDEX('CARNET DE SOUDURE'!$AH$7:$AH$1506,MATCH(7,'CARNET DE SOUDURE'!$AR$7:$AR$1506,0)),""))</f>
        <v/>
      </c>
      <c r="L18" s="109" t="str">
        <f aca="false">IF($B18="","",INDEX('CARNET DE SOUDURE'!$AL$7:$AL$1506,MATCH(7,'CARNET DE SOUDURE'!$AR$7:$AR$1506,0)))</f>
        <v/>
      </c>
      <c r="M18" s="109" t="str">
        <f aca="false">IF($B18="","",INDEX('CARNET DE SOUDURE'!$AM$7:$AM$1506,MATCH(7,'CARNET DE SOUDURE'!$AR$7:$AR$1506,0)))</f>
        <v/>
      </c>
      <c r="N18" s="110" t="str">
        <f aca="false">IF($B18="","",INDEX('CARNET DE SOUDURE'!$AN$7:$AN$1506,MATCH(7,'CARNET DE SOUDURE'!$AR$7:$AR$1506,0)))</f>
        <v/>
      </c>
    </row>
    <row r="19" customFormat="false" ht="15" hidden="false" customHeight="false" outlineLevel="0" collapsed="false">
      <c r="B19" s="112" t="str">
        <f aca="false">IF(8&gt;$I$4,"",8)</f>
        <v/>
      </c>
      <c r="C19" s="112" t="str">
        <f aca="false">IF($B19="","",INDEX('CARNET DE SOUDURE'!$B$7:$B$1506,MATCH(8,'CARNET DE SOUDURE'!$AR$7:$AR$1506,0)))</f>
        <v/>
      </c>
      <c r="D19" s="112" t="str">
        <f aca="false">IF($B19="","",INDEX('CARNET DE SOUDURE'!$E$7:$E$1506,MATCH(8,'CARNET DE SOUDURE'!$AR$7:$AR$1506,0)))</f>
        <v/>
      </c>
      <c r="E19" s="112" t="str">
        <f aca="false">IF($B19="","",INDEX('CARNET DE SOUDURE'!$O$7:$O$1506,MATCH(8,'CARNET DE SOUDURE'!$AR$7:$AR$1506,0))&amp;" / "&amp;INDEX('CARNET DE SOUDURE'!$P$7:$P$1506,MATCH(8,'CARNET DE SOUDURE'!$AR$7:$AR$1506,0))&amp;" / "&amp;INDEX('CARNET DE SOUDURE'!$Q$7:$Q$1506,MATCH(8,'CARNET DE SOUDURE'!$AR$7:$AR$1506,0)))</f>
        <v/>
      </c>
      <c r="F19" s="113" t="str">
        <f aca="false">IF($B19="","",INDEX('CARNET DE SOUDURE'!$V$7:$V$1506,MATCH(8,'CARNET DE SOUDURE'!$AR$7:$AR$1506,0)))</f>
        <v/>
      </c>
      <c r="G19" s="112" t="str">
        <f aca="false">IF($B19="","",INDEX('CARNET DE SOUDURE'!$W$7:$W$1506,MATCH(8,'CARNET DE SOUDURE'!$AR$7:$AR$1506,0))&amp;"")</f>
        <v/>
      </c>
      <c r="H19" s="114" t="str">
        <f aca="false">IF($B19="","",INDEX('CARNET DE SOUDURE'!$X$7:$X$1506,MATCH(8,'CARNET DE SOUDURE'!$AR$7:$AR$1506,0)))</f>
        <v/>
      </c>
      <c r="I19" s="112" t="str">
        <f aca="false">IF($B19="","",INDEX('CARNET DE SOUDURE'!$Y$7:$Y$1506,MATCH(8,'CARNET DE SOUDURE'!$AR$7:$AR$1506,0))&amp;IF(INDEX('CARNET DE SOUDURE'!$AD$7:$AD$1506,MATCH(8,'CARNET DE SOUDURE'!$AR$7:$AR$1506,0))&lt;&gt;""," / "&amp;INDEX('CARNET DE SOUDURE'!$AD$7:$AD$1506,MATCH(8,'CARNET DE SOUDURE'!$AR$7:$AR$1506,0)),""))</f>
        <v/>
      </c>
      <c r="J19" s="112" t="str">
        <f aca="false">IF($B19="","",INDEX('CARNET DE SOUDURE'!$Z$7:$Z$1506,MATCH(8,'CARNET DE SOUDURE'!$AR$7:$AR$1506,0))&amp;IF(INDEX('CARNET DE SOUDURE'!$AE$7:$AE$1506,MATCH(8,'CARNET DE SOUDURE'!$AR$7:$AR$1506,0))&lt;&gt;""," / "&amp;INDEX('CARNET DE SOUDURE'!$AE$7:$AE$1506,MATCH(8,'CARNET DE SOUDURE'!$AR$7:$AR$1506,0)),""))</f>
        <v/>
      </c>
      <c r="K19" s="112" t="str">
        <f aca="false">IF($B19="","",INDEX('CARNET DE SOUDURE'!$AC$7:$AC$1506,MATCH(8,'CARNET DE SOUDURE'!$AR$7:$AR$1506,0))&amp;IF(INDEX('CARNET DE SOUDURE'!$AH$7:$AH$1506,MATCH(8,'CARNET DE SOUDURE'!$AR$7:$AR$1506,0))&lt;&gt;""," / "&amp;INDEX('CARNET DE SOUDURE'!$AH$7:$AH$1506,MATCH(8,'CARNET DE SOUDURE'!$AR$7:$AR$1506,0)),""))</f>
        <v/>
      </c>
      <c r="L19" s="114" t="str">
        <f aca="false">IF($B19="","",INDEX('CARNET DE SOUDURE'!$AL$7:$AL$1506,MATCH(8,'CARNET DE SOUDURE'!$AR$7:$AR$1506,0)))</f>
        <v/>
      </c>
      <c r="M19" s="114" t="str">
        <f aca="false">IF($B19="","",INDEX('CARNET DE SOUDURE'!$AM$7:$AM$1506,MATCH(8,'CARNET DE SOUDURE'!$AR$7:$AR$1506,0)))</f>
        <v/>
      </c>
      <c r="N19" s="115" t="str">
        <f aca="false">IF($B19="","",INDEX('CARNET DE SOUDURE'!$AN$7:$AN$1506,MATCH(8,'CARNET DE SOUDURE'!$AR$7:$AR$1506,0)))</f>
        <v/>
      </c>
    </row>
    <row r="20" customFormat="false" ht="15" hidden="false" customHeight="false" outlineLevel="0" collapsed="false">
      <c r="B20" s="107" t="str">
        <f aca="false">IF(9&gt;$I$4,"",9)</f>
        <v/>
      </c>
      <c r="C20" s="107" t="str">
        <f aca="false">IF($B20="","",INDEX('CARNET DE SOUDURE'!$B$7:$B$1506,MATCH(9,'CARNET DE SOUDURE'!$AR$7:$AR$1506,0)))</f>
        <v/>
      </c>
      <c r="D20" s="107" t="str">
        <f aca="false">IF($B20="","",INDEX('CARNET DE SOUDURE'!$E$7:$E$1506,MATCH(9,'CARNET DE SOUDURE'!$AR$7:$AR$1506,0)))</f>
        <v/>
      </c>
      <c r="E20" s="107" t="str">
        <f aca="false">IF($B20="","",INDEX('CARNET DE SOUDURE'!$O$7:$O$1506,MATCH(9,'CARNET DE SOUDURE'!$AR$7:$AR$1506,0))&amp;" / "&amp;INDEX('CARNET DE SOUDURE'!$P$7:$P$1506,MATCH(9,'CARNET DE SOUDURE'!$AR$7:$AR$1506,0))&amp;" / "&amp;INDEX('CARNET DE SOUDURE'!$Q$7:$Q$1506,MATCH(9,'CARNET DE SOUDURE'!$AR$7:$AR$1506,0)))</f>
        <v/>
      </c>
      <c r="F20" s="108" t="str">
        <f aca="false">IF($B20="","",INDEX('CARNET DE SOUDURE'!$V$7:$V$1506,MATCH(9,'CARNET DE SOUDURE'!$AR$7:$AR$1506,0)))</f>
        <v/>
      </c>
      <c r="G20" s="107" t="str">
        <f aca="false">IF($B20="","",INDEX('CARNET DE SOUDURE'!$W$7:$W$1506,MATCH(9,'CARNET DE SOUDURE'!$AR$7:$AR$1506,0))&amp;"")</f>
        <v/>
      </c>
      <c r="H20" s="109" t="str">
        <f aca="false">IF($B20="","",INDEX('CARNET DE SOUDURE'!$X$7:$X$1506,MATCH(9,'CARNET DE SOUDURE'!$AR$7:$AR$1506,0)))</f>
        <v/>
      </c>
      <c r="I20" s="107" t="str">
        <f aca="false">IF($B20="","",INDEX('CARNET DE SOUDURE'!$Y$7:$Y$1506,MATCH(9,'CARNET DE SOUDURE'!$AR$7:$AR$1506,0))&amp;IF(INDEX('CARNET DE SOUDURE'!$AD$7:$AD$1506,MATCH(9,'CARNET DE SOUDURE'!$AR$7:$AR$1506,0))&lt;&gt;""," / "&amp;INDEX('CARNET DE SOUDURE'!$AD$7:$AD$1506,MATCH(9,'CARNET DE SOUDURE'!$AR$7:$AR$1506,0)),""))</f>
        <v/>
      </c>
      <c r="J20" s="107" t="str">
        <f aca="false">IF($B20="","",INDEX('CARNET DE SOUDURE'!$Z$7:$Z$1506,MATCH(9,'CARNET DE SOUDURE'!$AR$7:$AR$1506,0))&amp;IF(INDEX('CARNET DE SOUDURE'!$AE$7:$AE$1506,MATCH(9,'CARNET DE SOUDURE'!$AR$7:$AR$1506,0))&lt;&gt;""," / "&amp;INDEX('CARNET DE SOUDURE'!$AE$7:$AE$1506,MATCH(9,'CARNET DE SOUDURE'!$AR$7:$AR$1506,0)),""))</f>
        <v/>
      </c>
      <c r="K20" s="107" t="str">
        <f aca="false">IF($B20="","",INDEX('CARNET DE SOUDURE'!$AC$7:$AC$1506,MATCH(9,'CARNET DE SOUDURE'!$AR$7:$AR$1506,0))&amp;IF(INDEX('CARNET DE SOUDURE'!$AH$7:$AH$1506,MATCH(9,'CARNET DE SOUDURE'!$AR$7:$AR$1506,0))&lt;&gt;""," / "&amp;INDEX('CARNET DE SOUDURE'!$AH$7:$AH$1506,MATCH(9,'CARNET DE SOUDURE'!$AR$7:$AR$1506,0)),""))</f>
        <v/>
      </c>
      <c r="L20" s="109" t="str">
        <f aca="false">IF($B20="","",INDEX('CARNET DE SOUDURE'!$AL$7:$AL$1506,MATCH(9,'CARNET DE SOUDURE'!$AR$7:$AR$1506,0)))</f>
        <v/>
      </c>
      <c r="M20" s="109" t="str">
        <f aca="false">IF($B20="","",INDEX('CARNET DE SOUDURE'!$AM$7:$AM$1506,MATCH(9,'CARNET DE SOUDURE'!$AR$7:$AR$1506,0)))</f>
        <v/>
      </c>
      <c r="N20" s="110" t="str">
        <f aca="false">IF($B20="","",INDEX('CARNET DE SOUDURE'!$AN$7:$AN$1506,MATCH(9,'CARNET DE SOUDURE'!$AR$7:$AR$1506,0)))</f>
        <v/>
      </c>
    </row>
    <row r="21" customFormat="false" ht="15" hidden="false" customHeight="false" outlineLevel="0" collapsed="false">
      <c r="B21" s="112" t="str">
        <f aca="false">IF(10&gt;$I$4,"",10)</f>
        <v/>
      </c>
      <c r="C21" s="112" t="str">
        <f aca="false">IF($B21="","",INDEX('CARNET DE SOUDURE'!$B$7:$B$1506,MATCH(10,'CARNET DE SOUDURE'!$AR$7:$AR$1506,0)))</f>
        <v/>
      </c>
      <c r="D21" s="112" t="str">
        <f aca="false">IF($B21="","",INDEX('CARNET DE SOUDURE'!$E$7:$E$1506,MATCH(10,'CARNET DE SOUDURE'!$AR$7:$AR$1506,0)))</f>
        <v/>
      </c>
      <c r="E21" s="112" t="str">
        <f aca="false">IF($B21="","",INDEX('CARNET DE SOUDURE'!$O$7:$O$1506,MATCH(10,'CARNET DE SOUDURE'!$AR$7:$AR$1506,0))&amp;" / "&amp;INDEX('CARNET DE SOUDURE'!$P$7:$P$1506,MATCH(10,'CARNET DE SOUDURE'!$AR$7:$AR$1506,0))&amp;" / "&amp;INDEX('CARNET DE SOUDURE'!$Q$7:$Q$1506,MATCH(10,'CARNET DE SOUDURE'!$AR$7:$AR$1506,0)))</f>
        <v/>
      </c>
      <c r="F21" s="113" t="str">
        <f aca="false">IF($B21="","",INDEX('CARNET DE SOUDURE'!$V$7:$V$1506,MATCH(10,'CARNET DE SOUDURE'!$AR$7:$AR$1506,0)))</f>
        <v/>
      </c>
      <c r="G21" s="112" t="str">
        <f aca="false">IF($B21="","",INDEX('CARNET DE SOUDURE'!$W$7:$W$1506,MATCH(10,'CARNET DE SOUDURE'!$AR$7:$AR$1506,0))&amp;"")</f>
        <v/>
      </c>
      <c r="H21" s="114" t="str">
        <f aca="false">IF($B21="","",INDEX('CARNET DE SOUDURE'!$X$7:$X$1506,MATCH(10,'CARNET DE SOUDURE'!$AR$7:$AR$1506,0)))</f>
        <v/>
      </c>
      <c r="I21" s="112" t="str">
        <f aca="false">IF($B21="","",INDEX('CARNET DE SOUDURE'!$Y$7:$Y$1506,MATCH(10,'CARNET DE SOUDURE'!$AR$7:$AR$1506,0))&amp;IF(INDEX('CARNET DE SOUDURE'!$AD$7:$AD$1506,MATCH(10,'CARNET DE SOUDURE'!$AR$7:$AR$1506,0))&lt;&gt;""," / "&amp;INDEX('CARNET DE SOUDURE'!$AD$7:$AD$1506,MATCH(10,'CARNET DE SOUDURE'!$AR$7:$AR$1506,0)),""))</f>
        <v/>
      </c>
      <c r="J21" s="112" t="str">
        <f aca="false">IF($B21="","",INDEX('CARNET DE SOUDURE'!$Z$7:$Z$1506,MATCH(10,'CARNET DE SOUDURE'!$AR$7:$AR$1506,0))&amp;IF(INDEX('CARNET DE SOUDURE'!$AE$7:$AE$1506,MATCH(10,'CARNET DE SOUDURE'!$AR$7:$AR$1506,0))&lt;&gt;""," / "&amp;INDEX('CARNET DE SOUDURE'!$AE$7:$AE$1506,MATCH(10,'CARNET DE SOUDURE'!$AR$7:$AR$1506,0)),""))</f>
        <v/>
      </c>
      <c r="K21" s="112" t="str">
        <f aca="false">IF($B21="","",INDEX('CARNET DE SOUDURE'!$AC$7:$AC$1506,MATCH(10,'CARNET DE SOUDURE'!$AR$7:$AR$1506,0))&amp;IF(INDEX('CARNET DE SOUDURE'!$AH$7:$AH$1506,MATCH(10,'CARNET DE SOUDURE'!$AR$7:$AR$1506,0))&lt;&gt;""," / "&amp;INDEX('CARNET DE SOUDURE'!$AH$7:$AH$1506,MATCH(10,'CARNET DE SOUDURE'!$AR$7:$AR$1506,0)),""))</f>
        <v/>
      </c>
      <c r="L21" s="114" t="str">
        <f aca="false">IF($B21="","",INDEX('CARNET DE SOUDURE'!$AL$7:$AL$1506,MATCH(10,'CARNET DE SOUDURE'!$AR$7:$AR$1506,0)))</f>
        <v/>
      </c>
      <c r="M21" s="114" t="str">
        <f aca="false">IF($B21="","",INDEX('CARNET DE SOUDURE'!$AM$7:$AM$1506,MATCH(10,'CARNET DE SOUDURE'!$AR$7:$AR$1506,0)))</f>
        <v/>
      </c>
      <c r="N21" s="115" t="str">
        <f aca="false">IF($B21="","",INDEX('CARNET DE SOUDURE'!$AN$7:$AN$1506,MATCH(10,'CARNET DE SOUDURE'!$AR$7:$AR$1506,0)))</f>
        <v/>
      </c>
    </row>
    <row r="22" customFormat="false" ht="15" hidden="false" customHeight="false" outlineLevel="0" collapsed="false">
      <c r="B22" s="107" t="str">
        <f aca="false">IF(11&gt;$I$4,"",11)</f>
        <v/>
      </c>
      <c r="C22" s="107" t="str">
        <f aca="false">IF($B22="","",INDEX('CARNET DE SOUDURE'!$B$7:$B$1506,MATCH(11,'CARNET DE SOUDURE'!$AR$7:$AR$1506,0)))</f>
        <v/>
      </c>
      <c r="D22" s="107" t="str">
        <f aca="false">IF($B22="","",INDEX('CARNET DE SOUDURE'!$E$7:$E$1506,MATCH(11,'CARNET DE SOUDURE'!$AR$7:$AR$1506,0)))</f>
        <v/>
      </c>
      <c r="E22" s="107" t="str">
        <f aca="false">IF($B22="","",INDEX('CARNET DE SOUDURE'!$O$7:$O$1506,MATCH(11,'CARNET DE SOUDURE'!$AR$7:$AR$1506,0))&amp;" / "&amp;INDEX('CARNET DE SOUDURE'!$P$7:$P$1506,MATCH(11,'CARNET DE SOUDURE'!$AR$7:$AR$1506,0))&amp;" / "&amp;INDEX('CARNET DE SOUDURE'!$Q$7:$Q$1506,MATCH(11,'CARNET DE SOUDURE'!$AR$7:$AR$1506,0)))</f>
        <v/>
      </c>
      <c r="F22" s="108" t="str">
        <f aca="false">IF($B22="","",INDEX('CARNET DE SOUDURE'!$V$7:$V$1506,MATCH(11,'CARNET DE SOUDURE'!$AR$7:$AR$1506,0)))</f>
        <v/>
      </c>
      <c r="G22" s="107" t="str">
        <f aca="false">IF($B22="","",INDEX('CARNET DE SOUDURE'!$W$7:$W$1506,MATCH(11,'CARNET DE SOUDURE'!$AR$7:$AR$1506,0))&amp;"")</f>
        <v/>
      </c>
      <c r="H22" s="109" t="str">
        <f aca="false">IF($B22="","",INDEX('CARNET DE SOUDURE'!$X$7:$X$1506,MATCH(11,'CARNET DE SOUDURE'!$AR$7:$AR$1506,0)))</f>
        <v/>
      </c>
      <c r="I22" s="107" t="str">
        <f aca="false">IF($B22="","",INDEX('CARNET DE SOUDURE'!$Y$7:$Y$1506,MATCH(11,'CARNET DE SOUDURE'!$AR$7:$AR$1506,0))&amp;IF(INDEX('CARNET DE SOUDURE'!$AD$7:$AD$1506,MATCH(11,'CARNET DE SOUDURE'!$AR$7:$AR$1506,0))&lt;&gt;""," / "&amp;INDEX('CARNET DE SOUDURE'!$AD$7:$AD$1506,MATCH(11,'CARNET DE SOUDURE'!$AR$7:$AR$1506,0)),""))</f>
        <v/>
      </c>
      <c r="J22" s="107" t="str">
        <f aca="false">IF($B22="","",INDEX('CARNET DE SOUDURE'!$Z$7:$Z$1506,MATCH(11,'CARNET DE SOUDURE'!$AR$7:$AR$1506,0))&amp;IF(INDEX('CARNET DE SOUDURE'!$AE$7:$AE$1506,MATCH(11,'CARNET DE SOUDURE'!$AR$7:$AR$1506,0))&lt;&gt;""," / "&amp;INDEX('CARNET DE SOUDURE'!$AE$7:$AE$1506,MATCH(11,'CARNET DE SOUDURE'!$AR$7:$AR$1506,0)),""))</f>
        <v/>
      </c>
      <c r="K22" s="107" t="str">
        <f aca="false">IF($B22="","",INDEX('CARNET DE SOUDURE'!$AC$7:$AC$1506,MATCH(11,'CARNET DE SOUDURE'!$AR$7:$AR$1506,0))&amp;IF(INDEX('CARNET DE SOUDURE'!$AH$7:$AH$1506,MATCH(11,'CARNET DE SOUDURE'!$AR$7:$AR$1506,0))&lt;&gt;""," / "&amp;INDEX('CARNET DE SOUDURE'!$AH$7:$AH$1506,MATCH(11,'CARNET DE SOUDURE'!$AR$7:$AR$1506,0)),""))</f>
        <v/>
      </c>
      <c r="L22" s="109" t="str">
        <f aca="false">IF($B22="","",INDEX('CARNET DE SOUDURE'!$AL$7:$AL$1506,MATCH(11,'CARNET DE SOUDURE'!$AR$7:$AR$1506,0)))</f>
        <v/>
      </c>
      <c r="M22" s="109" t="str">
        <f aca="false">IF($B22="","",INDEX('CARNET DE SOUDURE'!$AM$7:$AM$1506,MATCH(11,'CARNET DE SOUDURE'!$AR$7:$AR$1506,0)))</f>
        <v/>
      </c>
      <c r="N22" s="110" t="str">
        <f aca="false">IF($B22="","",INDEX('CARNET DE SOUDURE'!$AN$7:$AN$1506,MATCH(11,'CARNET DE SOUDURE'!$AR$7:$AR$1506,0)))</f>
        <v/>
      </c>
    </row>
    <row r="23" customFormat="false" ht="15" hidden="false" customHeight="false" outlineLevel="0" collapsed="false">
      <c r="B23" s="112" t="str">
        <f aca="false">IF(12&gt;$I$4,"",12)</f>
        <v/>
      </c>
      <c r="C23" s="112" t="str">
        <f aca="false">IF($B23="","",INDEX('CARNET DE SOUDURE'!$B$7:$B$1506,MATCH(12,'CARNET DE SOUDURE'!$AR$7:$AR$1506,0)))</f>
        <v/>
      </c>
      <c r="D23" s="112" t="str">
        <f aca="false">IF($B23="","",INDEX('CARNET DE SOUDURE'!$E$7:$E$1506,MATCH(12,'CARNET DE SOUDURE'!$AR$7:$AR$1506,0)))</f>
        <v/>
      </c>
      <c r="E23" s="112" t="str">
        <f aca="false">IF($B23="","",INDEX('CARNET DE SOUDURE'!$O$7:$O$1506,MATCH(12,'CARNET DE SOUDURE'!$AR$7:$AR$1506,0))&amp;" / "&amp;INDEX('CARNET DE SOUDURE'!$P$7:$P$1506,MATCH(12,'CARNET DE SOUDURE'!$AR$7:$AR$1506,0))&amp;" / "&amp;INDEX('CARNET DE SOUDURE'!$Q$7:$Q$1506,MATCH(12,'CARNET DE SOUDURE'!$AR$7:$AR$1506,0)))</f>
        <v/>
      </c>
      <c r="F23" s="113" t="str">
        <f aca="false">IF($B23="","",INDEX('CARNET DE SOUDURE'!$V$7:$V$1506,MATCH(12,'CARNET DE SOUDURE'!$AR$7:$AR$1506,0)))</f>
        <v/>
      </c>
      <c r="G23" s="112" t="str">
        <f aca="false">IF($B23="","",INDEX('CARNET DE SOUDURE'!$W$7:$W$1506,MATCH(12,'CARNET DE SOUDURE'!$AR$7:$AR$1506,0))&amp;"")</f>
        <v/>
      </c>
      <c r="H23" s="114" t="str">
        <f aca="false">IF($B23="","",INDEX('CARNET DE SOUDURE'!$X$7:$X$1506,MATCH(12,'CARNET DE SOUDURE'!$AR$7:$AR$1506,0)))</f>
        <v/>
      </c>
      <c r="I23" s="112" t="str">
        <f aca="false">IF($B23="","",INDEX('CARNET DE SOUDURE'!$Y$7:$Y$1506,MATCH(12,'CARNET DE SOUDURE'!$AR$7:$AR$1506,0))&amp;IF(INDEX('CARNET DE SOUDURE'!$AD$7:$AD$1506,MATCH(12,'CARNET DE SOUDURE'!$AR$7:$AR$1506,0))&lt;&gt;""," / "&amp;INDEX('CARNET DE SOUDURE'!$AD$7:$AD$1506,MATCH(12,'CARNET DE SOUDURE'!$AR$7:$AR$1506,0)),""))</f>
        <v/>
      </c>
      <c r="J23" s="112" t="str">
        <f aca="false">IF($B23="","",INDEX('CARNET DE SOUDURE'!$Z$7:$Z$1506,MATCH(12,'CARNET DE SOUDURE'!$AR$7:$AR$1506,0))&amp;IF(INDEX('CARNET DE SOUDURE'!$AE$7:$AE$1506,MATCH(12,'CARNET DE SOUDURE'!$AR$7:$AR$1506,0))&lt;&gt;""," / "&amp;INDEX('CARNET DE SOUDURE'!$AE$7:$AE$1506,MATCH(12,'CARNET DE SOUDURE'!$AR$7:$AR$1506,0)),""))</f>
        <v/>
      </c>
      <c r="K23" s="112" t="str">
        <f aca="false">IF($B23="","",INDEX('CARNET DE SOUDURE'!$AC$7:$AC$1506,MATCH(12,'CARNET DE SOUDURE'!$AR$7:$AR$1506,0))&amp;IF(INDEX('CARNET DE SOUDURE'!$AH$7:$AH$1506,MATCH(12,'CARNET DE SOUDURE'!$AR$7:$AR$1506,0))&lt;&gt;""," / "&amp;INDEX('CARNET DE SOUDURE'!$AH$7:$AH$1506,MATCH(12,'CARNET DE SOUDURE'!$AR$7:$AR$1506,0)),""))</f>
        <v/>
      </c>
      <c r="L23" s="114" t="str">
        <f aca="false">IF($B23="","",INDEX('CARNET DE SOUDURE'!$AL$7:$AL$1506,MATCH(12,'CARNET DE SOUDURE'!$AR$7:$AR$1506,0)))</f>
        <v/>
      </c>
      <c r="M23" s="114" t="str">
        <f aca="false">IF($B23="","",INDEX('CARNET DE SOUDURE'!$AM$7:$AM$1506,MATCH(12,'CARNET DE SOUDURE'!$AR$7:$AR$1506,0)))</f>
        <v/>
      </c>
      <c r="N23" s="115" t="str">
        <f aca="false">IF($B23="","",INDEX('CARNET DE SOUDURE'!$AN$7:$AN$1506,MATCH(12,'CARNET DE SOUDURE'!$AR$7:$AR$1506,0)))</f>
        <v/>
      </c>
    </row>
    <row r="24" customFormat="false" ht="15" hidden="false" customHeight="false" outlineLevel="0" collapsed="false">
      <c r="B24" s="107" t="str">
        <f aca="false">IF(13&gt;$I$4,"",13)</f>
        <v/>
      </c>
      <c r="C24" s="107" t="str">
        <f aca="false">IF($B24="","",INDEX('CARNET DE SOUDURE'!$B$7:$B$1506,MATCH(13,'CARNET DE SOUDURE'!$AR$7:$AR$1506,0)))</f>
        <v/>
      </c>
      <c r="D24" s="107" t="str">
        <f aca="false">IF($B24="","",INDEX('CARNET DE SOUDURE'!$E$7:$E$1506,MATCH(13,'CARNET DE SOUDURE'!$AR$7:$AR$1506,0)))</f>
        <v/>
      </c>
      <c r="E24" s="107" t="str">
        <f aca="false">IF($B24="","",INDEX('CARNET DE SOUDURE'!$O$7:$O$1506,MATCH(13,'CARNET DE SOUDURE'!$AR$7:$AR$1506,0))&amp;" / "&amp;INDEX('CARNET DE SOUDURE'!$P$7:$P$1506,MATCH(13,'CARNET DE SOUDURE'!$AR$7:$AR$1506,0))&amp;" / "&amp;INDEX('CARNET DE SOUDURE'!$Q$7:$Q$1506,MATCH(13,'CARNET DE SOUDURE'!$AR$7:$AR$1506,0)))</f>
        <v/>
      </c>
      <c r="F24" s="108" t="str">
        <f aca="false">IF($B24="","",INDEX('CARNET DE SOUDURE'!$V$7:$V$1506,MATCH(13,'CARNET DE SOUDURE'!$AR$7:$AR$1506,0)))</f>
        <v/>
      </c>
      <c r="G24" s="107" t="str">
        <f aca="false">IF($B24="","",INDEX('CARNET DE SOUDURE'!$W$7:$W$1506,MATCH(13,'CARNET DE SOUDURE'!$AR$7:$AR$1506,0))&amp;"")</f>
        <v/>
      </c>
      <c r="H24" s="109" t="str">
        <f aca="false">IF($B24="","",INDEX('CARNET DE SOUDURE'!$X$7:$X$1506,MATCH(13,'CARNET DE SOUDURE'!$AR$7:$AR$1506,0)))</f>
        <v/>
      </c>
      <c r="I24" s="107" t="str">
        <f aca="false">IF($B24="","",INDEX('CARNET DE SOUDURE'!$Y$7:$Y$1506,MATCH(13,'CARNET DE SOUDURE'!$AR$7:$AR$1506,0))&amp;IF(INDEX('CARNET DE SOUDURE'!$AD$7:$AD$1506,MATCH(13,'CARNET DE SOUDURE'!$AR$7:$AR$1506,0))&lt;&gt;""," / "&amp;INDEX('CARNET DE SOUDURE'!$AD$7:$AD$1506,MATCH(13,'CARNET DE SOUDURE'!$AR$7:$AR$1506,0)),""))</f>
        <v/>
      </c>
      <c r="J24" s="107" t="str">
        <f aca="false">IF($B24="","",INDEX('CARNET DE SOUDURE'!$Z$7:$Z$1506,MATCH(13,'CARNET DE SOUDURE'!$AR$7:$AR$1506,0))&amp;IF(INDEX('CARNET DE SOUDURE'!$AE$7:$AE$1506,MATCH(13,'CARNET DE SOUDURE'!$AR$7:$AR$1506,0))&lt;&gt;""," / "&amp;INDEX('CARNET DE SOUDURE'!$AE$7:$AE$1506,MATCH(13,'CARNET DE SOUDURE'!$AR$7:$AR$1506,0)),""))</f>
        <v/>
      </c>
      <c r="K24" s="107" t="str">
        <f aca="false">IF($B24="","",INDEX('CARNET DE SOUDURE'!$AC$7:$AC$1506,MATCH(13,'CARNET DE SOUDURE'!$AR$7:$AR$1506,0))&amp;IF(INDEX('CARNET DE SOUDURE'!$AH$7:$AH$1506,MATCH(13,'CARNET DE SOUDURE'!$AR$7:$AR$1506,0))&lt;&gt;""," / "&amp;INDEX('CARNET DE SOUDURE'!$AH$7:$AH$1506,MATCH(13,'CARNET DE SOUDURE'!$AR$7:$AR$1506,0)),""))</f>
        <v/>
      </c>
      <c r="L24" s="109" t="str">
        <f aca="false">IF($B24="","",INDEX('CARNET DE SOUDURE'!$AL$7:$AL$1506,MATCH(13,'CARNET DE SOUDURE'!$AR$7:$AR$1506,0)))</f>
        <v/>
      </c>
      <c r="M24" s="109" t="str">
        <f aca="false">IF($B24="","",INDEX('CARNET DE SOUDURE'!$AM$7:$AM$1506,MATCH(13,'CARNET DE SOUDURE'!$AR$7:$AR$1506,0)))</f>
        <v/>
      </c>
      <c r="N24" s="110" t="str">
        <f aca="false">IF($B24="","",INDEX('CARNET DE SOUDURE'!$AN$7:$AN$1506,MATCH(13,'CARNET DE SOUDURE'!$AR$7:$AR$1506,0)))</f>
        <v/>
      </c>
    </row>
    <row r="25" customFormat="false" ht="15" hidden="false" customHeight="false" outlineLevel="0" collapsed="false">
      <c r="B25" s="112" t="str">
        <f aca="false">IF(14&gt;$I$4,"",14)</f>
        <v/>
      </c>
      <c r="C25" s="112" t="str">
        <f aca="false">IF($B25="","",INDEX('CARNET DE SOUDURE'!$B$7:$B$1506,MATCH(14,'CARNET DE SOUDURE'!$AR$7:$AR$1506,0)))</f>
        <v/>
      </c>
      <c r="D25" s="112" t="str">
        <f aca="false">IF($B25="","",INDEX('CARNET DE SOUDURE'!$E$7:$E$1506,MATCH(14,'CARNET DE SOUDURE'!$AR$7:$AR$1506,0)))</f>
        <v/>
      </c>
      <c r="E25" s="112" t="str">
        <f aca="false">IF($B25="","",INDEX('CARNET DE SOUDURE'!$O$7:$O$1506,MATCH(14,'CARNET DE SOUDURE'!$AR$7:$AR$1506,0))&amp;" / "&amp;INDEX('CARNET DE SOUDURE'!$P$7:$P$1506,MATCH(14,'CARNET DE SOUDURE'!$AR$7:$AR$1506,0))&amp;" / "&amp;INDEX('CARNET DE SOUDURE'!$Q$7:$Q$1506,MATCH(14,'CARNET DE SOUDURE'!$AR$7:$AR$1506,0)))</f>
        <v/>
      </c>
      <c r="F25" s="113" t="str">
        <f aca="false">IF($B25="","",INDEX('CARNET DE SOUDURE'!$V$7:$V$1506,MATCH(14,'CARNET DE SOUDURE'!$AR$7:$AR$1506,0)))</f>
        <v/>
      </c>
      <c r="G25" s="112" t="str">
        <f aca="false">IF($B25="","",INDEX('CARNET DE SOUDURE'!$W$7:$W$1506,MATCH(14,'CARNET DE SOUDURE'!$AR$7:$AR$1506,0))&amp;"")</f>
        <v/>
      </c>
      <c r="H25" s="114" t="str">
        <f aca="false">IF($B25="","",INDEX('CARNET DE SOUDURE'!$X$7:$X$1506,MATCH(14,'CARNET DE SOUDURE'!$AR$7:$AR$1506,0)))</f>
        <v/>
      </c>
      <c r="I25" s="112" t="str">
        <f aca="false">IF($B25="","",INDEX('CARNET DE SOUDURE'!$Y$7:$Y$1506,MATCH(14,'CARNET DE SOUDURE'!$AR$7:$AR$1506,0))&amp;IF(INDEX('CARNET DE SOUDURE'!$AD$7:$AD$1506,MATCH(14,'CARNET DE SOUDURE'!$AR$7:$AR$1506,0))&lt;&gt;""," / "&amp;INDEX('CARNET DE SOUDURE'!$AD$7:$AD$1506,MATCH(14,'CARNET DE SOUDURE'!$AR$7:$AR$1506,0)),""))</f>
        <v/>
      </c>
      <c r="J25" s="112" t="str">
        <f aca="false">IF($B25="","",INDEX('CARNET DE SOUDURE'!$Z$7:$Z$1506,MATCH(14,'CARNET DE SOUDURE'!$AR$7:$AR$1506,0))&amp;IF(INDEX('CARNET DE SOUDURE'!$AE$7:$AE$1506,MATCH(14,'CARNET DE SOUDURE'!$AR$7:$AR$1506,0))&lt;&gt;""," / "&amp;INDEX('CARNET DE SOUDURE'!$AE$7:$AE$1506,MATCH(14,'CARNET DE SOUDURE'!$AR$7:$AR$1506,0)),""))</f>
        <v/>
      </c>
      <c r="K25" s="112" t="str">
        <f aca="false">IF($B25="","",INDEX('CARNET DE SOUDURE'!$AC$7:$AC$1506,MATCH(14,'CARNET DE SOUDURE'!$AR$7:$AR$1506,0))&amp;IF(INDEX('CARNET DE SOUDURE'!$AH$7:$AH$1506,MATCH(14,'CARNET DE SOUDURE'!$AR$7:$AR$1506,0))&lt;&gt;""," / "&amp;INDEX('CARNET DE SOUDURE'!$AH$7:$AH$1506,MATCH(14,'CARNET DE SOUDURE'!$AR$7:$AR$1506,0)),""))</f>
        <v/>
      </c>
      <c r="L25" s="114" t="str">
        <f aca="false">IF($B25="","",INDEX('CARNET DE SOUDURE'!$AL$7:$AL$1506,MATCH(14,'CARNET DE SOUDURE'!$AR$7:$AR$1506,0)))</f>
        <v/>
      </c>
      <c r="M25" s="114" t="str">
        <f aca="false">IF($B25="","",INDEX('CARNET DE SOUDURE'!$AM$7:$AM$1506,MATCH(14,'CARNET DE SOUDURE'!$AR$7:$AR$1506,0)))</f>
        <v/>
      </c>
      <c r="N25" s="115" t="str">
        <f aca="false">IF($B25="","",INDEX('CARNET DE SOUDURE'!$AN$7:$AN$1506,MATCH(14,'CARNET DE SOUDURE'!$AR$7:$AR$1506,0)))</f>
        <v/>
      </c>
    </row>
    <row r="26" customFormat="false" ht="15" hidden="false" customHeight="false" outlineLevel="0" collapsed="false">
      <c r="B26" s="107" t="str">
        <f aca="false">IF(15&gt;$I$4,"",15)</f>
        <v/>
      </c>
      <c r="C26" s="107" t="str">
        <f aca="false">IF($B26="","",INDEX('CARNET DE SOUDURE'!$B$7:$B$1506,MATCH(15,'CARNET DE SOUDURE'!$AR$7:$AR$1506,0)))</f>
        <v/>
      </c>
      <c r="D26" s="107" t="str">
        <f aca="false">IF($B26="","",INDEX('CARNET DE SOUDURE'!$E$7:$E$1506,MATCH(15,'CARNET DE SOUDURE'!$AR$7:$AR$1506,0)))</f>
        <v/>
      </c>
      <c r="E26" s="107" t="str">
        <f aca="false">IF($B26="","",INDEX('CARNET DE SOUDURE'!$O$7:$O$1506,MATCH(15,'CARNET DE SOUDURE'!$AR$7:$AR$1506,0))&amp;" / "&amp;INDEX('CARNET DE SOUDURE'!$P$7:$P$1506,MATCH(15,'CARNET DE SOUDURE'!$AR$7:$AR$1506,0))&amp;" / "&amp;INDEX('CARNET DE SOUDURE'!$Q$7:$Q$1506,MATCH(15,'CARNET DE SOUDURE'!$AR$7:$AR$1506,0)))</f>
        <v/>
      </c>
      <c r="F26" s="108" t="str">
        <f aca="false">IF($B26="","",INDEX('CARNET DE SOUDURE'!$V$7:$V$1506,MATCH(15,'CARNET DE SOUDURE'!$AR$7:$AR$1506,0)))</f>
        <v/>
      </c>
      <c r="G26" s="107" t="str">
        <f aca="false">IF($B26="","",INDEX('CARNET DE SOUDURE'!$W$7:$W$1506,MATCH(15,'CARNET DE SOUDURE'!$AR$7:$AR$1506,0))&amp;"")</f>
        <v/>
      </c>
      <c r="H26" s="109" t="str">
        <f aca="false">IF($B26="","",INDEX('CARNET DE SOUDURE'!$X$7:$X$1506,MATCH(15,'CARNET DE SOUDURE'!$AR$7:$AR$1506,0)))</f>
        <v/>
      </c>
      <c r="I26" s="107" t="str">
        <f aca="false">IF($B26="","",INDEX('CARNET DE SOUDURE'!$Y$7:$Y$1506,MATCH(15,'CARNET DE SOUDURE'!$AR$7:$AR$1506,0))&amp;IF(INDEX('CARNET DE SOUDURE'!$AD$7:$AD$1506,MATCH(15,'CARNET DE SOUDURE'!$AR$7:$AR$1506,0))&lt;&gt;""," / "&amp;INDEX('CARNET DE SOUDURE'!$AD$7:$AD$1506,MATCH(15,'CARNET DE SOUDURE'!$AR$7:$AR$1506,0)),""))</f>
        <v/>
      </c>
      <c r="J26" s="107" t="str">
        <f aca="false">IF($B26="","",INDEX('CARNET DE SOUDURE'!$Z$7:$Z$1506,MATCH(15,'CARNET DE SOUDURE'!$AR$7:$AR$1506,0))&amp;IF(INDEX('CARNET DE SOUDURE'!$AE$7:$AE$1506,MATCH(15,'CARNET DE SOUDURE'!$AR$7:$AR$1506,0))&lt;&gt;""," / "&amp;INDEX('CARNET DE SOUDURE'!$AE$7:$AE$1506,MATCH(15,'CARNET DE SOUDURE'!$AR$7:$AR$1506,0)),""))</f>
        <v/>
      </c>
      <c r="K26" s="107" t="str">
        <f aca="false">IF($B26="","",INDEX('CARNET DE SOUDURE'!$AC$7:$AC$1506,MATCH(15,'CARNET DE SOUDURE'!$AR$7:$AR$1506,0))&amp;IF(INDEX('CARNET DE SOUDURE'!$AH$7:$AH$1506,MATCH(15,'CARNET DE SOUDURE'!$AR$7:$AR$1506,0))&lt;&gt;""," / "&amp;INDEX('CARNET DE SOUDURE'!$AH$7:$AH$1506,MATCH(15,'CARNET DE SOUDURE'!$AR$7:$AR$1506,0)),""))</f>
        <v/>
      </c>
      <c r="L26" s="109" t="str">
        <f aca="false">IF($B26="","",INDEX('CARNET DE SOUDURE'!$AL$7:$AL$1506,MATCH(15,'CARNET DE SOUDURE'!$AR$7:$AR$1506,0)))</f>
        <v/>
      </c>
      <c r="M26" s="109" t="str">
        <f aca="false">IF($B26="","",INDEX('CARNET DE SOUDURE'!$AM$7:$AM$1506,MATCH(15,'CARNET DE SOUDURE'!$AR$7:$AR$1506,0)))</f>
        <v/>
      </c>
      <c r="N26" s="110" t="str">
        <f aca="false">IF($B26="","",INDEX('CARNET DE SOUDURE'!$AN$7:$AN$1506,MATCH(15,'CARNET DE SOUDURE'!$AR$7:$AR$1506,0)))</f>
        <v/>
      </c>
    </row>
    <row r="27" customFormat="false" ht="15" hidden="false" customHeight="false" outlineLevel="0" collapsed="false">
      <c r="B27" s="112" t="str">
        <f aca="false">IF(16&gt;$I$4,"",16)</f>
        <v/>
      </c>
      <c r="C27" s="112" t="str">
        <f aca="false">IF($B27="","",INDEX('CARNET DE SOUDURE'!$B$7:$B$1506,MATCH(16,'CARNET DE SOUDURE'!$AR$7:$AR$1506,0)))</f>
        <v/>
      </c>
      <c r="D27" s="112" t="str">
        <f aca="false">IF($B27="","",INDEX('CARNET DE SOUDURE'!$E$7:$E$1506,MATCH(16,'CARNET DE SOUDURE'!$AR$7:$AR$1506,0)))</f>
        <v/>
      </c>
      <c r="E27" s="112" t="str">
        <f aca="false">IF($B27="","",INDEX('CARNET DE SOUDURE'!$O$7:$O$1506,MATCH(16,'CARNET DE SOUDURE'!$AR$7:$AR$1506,0))&amp;" / "&amp;INDEX('CARNET DE SOUDURE'!$P$7:$P$1506,MATCH(16,'CARNET DE SOUDURE'!$AR$7:$AR$1506,0))&amp;" / "&amp;INDEX('CARNET DE SOUDURE'!$Q$7:$Q$1506,MATCH(16,'CARNET DE SOUDURE'!$AR$7:$AR$1506,0)))</f>
        <v/>
      </c>
      <c r="F27" s="113" t="str">
        <f aca="false">IF($B27="","",INDEX('CARNET DE SOUDURE'!$V$7:$V$1506,MATCH(16,'CARNET DE SOUDURE'!$AR$7:$AR$1506,0)))</f>
        <v/>
      </c>
      <c r="G27" s="112" t="str">
        <f aca="false">IF($B27="","",INDEX('CARNET DE SOUDURE'!$W$7:$W$1506,MATCH(16,'CARNET DE SOUDURE'!$AR$7:$AR$1506,0))&amp;"")</f>
        <v/>
      </c>
      <c r="H27" s="114" t="str">
        <f aca="false">IF($B27="","",INDEX('CARNET DE SOUDURE'!$X$7:$X$1506,MATCH(16,'CARNET DE SOUDURE'!$AR$7:$AR$1506,0)))</f>
        <v/>
      </c>
      <c r="I27" s="112" t="str">
        <f aca="false">IF($B27="","",INDEX('CARNET DE SOUDURE'!$Y$7:$Y$1506,MATCH(16,'CARNET DE SOUDURE'!$AR$7:$AR$1506,0))&amp;IF(INDEX('CARNET DE SOUDURE'!$AD$7:$AD$1506,MATCH(16,'CARNET DE SOUDURE'!$AR$7:$AR$1506,0))&lt;&gt;""," / "&amp;INDEX('CARNET DE SOUDURE'!$AD$7:$AD$1506,MATCH(16,'CARNET DE SOUDURE'!$AR$7:$AR$1506,0)),""))</f>
        <v/>
      </c>
      <c r="J27" s="112" t="str">
        <f aca="false">IF($B27="","",INDEX('CARNET DE SOUDURE'!$Z$7:$Z$1506,MATCH(16,'CARNET DE SOUDURE'!$AR$7:$AR$1506,0))&amp;IF(INDEX('CARNET DE SOUDURE'!$AE$7:$AE$1506,MATCH(16,'CARNET DE SOUDURE'!$AR$7:$AR$1506,0))&lt;&gt;""," / "&amp;INDEX('CARNET DE SOUDURE'!$AE$7:$AE$1506,MATCH(16,'CARNET DE SOUDURE'!$AR$7:$AR$1506,0)),""))</f>
        <v/>
      </c>
      <c r="K27" s="112" t="str">
        <f aca="false">IF($B27="","",INDEX('CARNET DE SOUDURE'!$AC$7:$AC$1506,MATCH(16,'CARNET DE SOUDURE'!$AR$7:$AR$1506,0))&amp;IF(INDEX('CARNET DE SOUDURE'!$AH$7:$AH$1506,MATCH(16,'CARNET DE SOUDURE'!$AR$7:$AR$1506,0))&lt;&gt;""," / "&amp;INDEX('CARNET DE SOUDURE'!$AH$7:$AH$1506,MATCH(16,'CARNET DE SOUDURE'!$AR$7:$AR$1506,0)),""))</f>
        <v/>
      </c>
      <c r="L27" s="114" t="str">
        <f aca="false">IF($B27="","",INDEX('CARNET DE SOUDURE'!$AL$7:$AL$1506,MATCH(16,'CARNET DE SOUDURE'!$AR$7:$AR$1506,0)))</f>
        <v/>
      </c>
      <c r="M27" s="114" t="str">
        <f aca="false">IF($B27="","",INDEX('CARNET DE SOUDURE'!$AM$7:$AM$1506,MATCH(16,'CARNET DE SOUDURE'!$AR$7:$AR$1506,0)))</f>
        <v/>
      </c>
      <c r="N27" s="115" t="str">
        <f aca="false">IF($B27="","",INDEX('CARNET DE SOUDURE'!$AN$7:$AN$1506,MATCH(16,'CARNET DE SOUDURE'!$AR$7:$AR$1506,0)))</f>
        <v/>
      </c>
    </row>
    <row r="28" customFormat="false" ht="15" hidden="false" customHeight="false" outlineLevel="0" collapsed="false">
      <c r="B28" s="107" t="str">
        <f aca="false">IF(17&gt;$I$4,"",17)</f>
        <v/>
      </c>
      <c r="C28" s="107" t="str">
        <f aca="false">IF($B28="","",INDEX('CARNET DE SOUDURE'!$B$7:$B$1506,MATCH(17,'CARNET DE SOUDURE'!$AR$7:$AR$1506,0)))</f>
        <v/>
      </c>
      <c r="D28" s="107" t="str">
        <f aca="false">IF($B28="","",INDEX('CARNET DE SOUDURE'!$E$7:$E$1506,MATCH(17,'CARNET DE SOUDURE'!$AR$7:$AR$1506,0)))</f>
        <v/>
      </c>
      <c r="E28" s="107" t="str">
        <f aca="false">IF($B28="","",INDEX('CARNET DE SOUDURE'!$O$7:$O$1506,MATCH(17,'CARNET DE SOUDURE'!$AR$7:$AR$1506,0))&amp;" / "&amp;INDEX('CARNET DE SOUDURE'!$P$7:$P$1506,MATCH(17,'CARNET DE SOUDURE'!$AR$7:$AR$1506,0))&amp;" / "&amp;INDEX('CARNET DE SOUDURE'!$Q$7:$Q$1506,MATCH(17,'CARNET DE SOUDURE'!$AR$7:$AR$1506,0)))</f>
        <v/>
      </c>
      <c r="F28" s="108" t="str">
        <f aca="false">IF($B28="","",INDEX('CARNET DE SOUDURE'!$V$7:$V$1506,MATCH(17,'CARNET DE SOUDURE'!$AR$7:$AR$1506,0)))</f>
        <v/>
      </c>
      <c r="G28" s="107" t="str">
        <f aca="false">IF($B28="","",INDEX('CARNET DE SOUDURE'!$W$7:$W$1506,MATCH(17,'CARNET DE SOUDURE'!$AR$7:$AR$1506,0))&amp;"")</f>
        <v/>
      </c>
      <c r="H28" s="109" t="str">
        <f aca="false">IF($B28="","",INDEX('CARNET DE SOUDURE'!$X$7:$X$1506,MATCH(17,'CARNET DE SOUDURE'!$AR$7:$AR$1506,0)))</f>
        <v/>
      </c>
      <c r="I28" s="107" t="str">
        <f aca="false">IF($B28="","",INDEX('CARNET DE SOUDURE'!$Y$7:$Y$1506,MATCH(17,'CARNET DE SOUDURE'!$AR$7:$AR$1506,0))&amp;IF(INDEX('CARNET DE SOUDURE'!$AD$7:$AD$1506,MATCH(17,'CARNET DE SOUDURE'!$AR$7:$AR$1506,0))&lt;&gt;""," / "&amp;INDEX('CARNET DE SOUDURE'!$AD$7:$AD$1506,MATCH(17,'CARNET DE SOUDURE'!$AR$7:$AR$1506,0)),""))</f>
        <v/>
      </c>
      <c r="J28" s="107" t="str">
        <f aca="false">IF($B28="","",INDEX('CARNET DE SOUDURE'!$Z$7:$Z$1506,MATCH(17,'CARNET DE SOUDURE'!$AR$7:$AR$1506,0))&amp;IF(INDEX('CARNET DE SOUDURE'!$AE$7:$AE$1506,MATCH(17,'CARNET DE SOUDURE'!$AR$7:$AR$1506,0))&lt;&gt;""," / "&amp;INDEX('CARNET DE SOUDURE'!$AE$7:$AE$1506,MATCH(17,'CARNET DE SOUDURE'!$AR$7:$AR$1506,0)),""))</f>
        <v/>
      </c>
      <c r="K28" s="107" t="str">
        <f aca="false">IF($B28="","",INDEX('CARNET DE SOUDURE'!$AC$7:$AC$1506,MATCH(17,'CARNET DE SOUDURE'!$AR$7:$AR$1506,0))&amp;IF(INDEX('CARNET DE SOUDURE'!$AH$7:$AH$1506,MATCH(17,'CARNET DE SOUDURE'!$AR$7:$AR$1506,0))&lt;&gt;""," / "&amp;INDEX('CARNET DE SOUDURE'!$AH$7:$AH$1506,MATCH(17,'CARNET DE SOUDURE'!$AR$7:$AR$1506,0)),""))</f>
        <v/>
      </c>
      <c r="L28" s="109" t="str">
        <f aca="false">IF($B28="","",INDEX('CARNET DE SOUDURE'!$AL$7:$AL$1506,MATCH(17,'CARNET DE SOUDURE'!$AR$7:$AR$1506,0)))</f>
        <v/>
      </c>
      <c r="M28" s="109" t="str">
        <f aca="false">IF($B28="","",INDEX('CARNET DE SOUDURE'!$AM$7:$AM$1506,MATCH(17,'CARNET DE SOUDURE'!$AR$7:$AR$1506,0)))</f>
        <v/>
      </c>
      <c r="N28" s="110" t="str">
        <f aca="false">IF($B28="","",INDEX('CARNET DE SOUDURE'!$AN$7:$AN$1506,MATCH(17,'CARNET DE SOUDURE'!$AR$7:$AR$1506,0)))</f>
        <v/>
      </c>
    </row>
    <row r="29" customFormat="false" ht="15" hidden="false" customHeight="false" outlineLevel="0" collapsed="false">
      <c r="B29" s="112" t="str">
        <f aca="false">IF(18&gt;$I$4,"",18)</f>
        <v/>
      </c>
      <c r="C29" s="112" t="str">
        <f aca="false">IF($B29="","",INDEX('CARNET DE SOUDURE'!$B$7:$B$1506,MATCH(18,'CARNET DE SOUDURE'!$AR$7:$AR$1506,0)))</f>
        <v/>
      </c>
      <c r="D29" s="112" t="str">
        <f aca="false">IF($B29="","",INDEX('CARNET DE SOUDURE'!$E$7:$E$1506,MATCH(18,'CARNET DE SOUDURE'!$AR$7:$AR$1506,0)))</f>
        <v/>
      </c>
      <c r="E29" s="112" t="str">
        <f aca="false">IF($B29="","",INDEX('CARNET DE SOUDURE'!$O$7:$O$1506,MATCH(18,'CARNET DE SOUDURE'!$AR$7:$AR$1506,0))&amp;" / "&amp;INDEX('CARNET DE SOUDURE'!$P$7:$P$1506,MATCH(18,'CARNET DE SOUDURE'!$AR$7:$AR$1506,0))&amp;" / "&amp;INDEX('CARNET DE SOUDURE'!$Q$7:$Q$1506,MATCH(18,'CARNET DE SOUDURE'!$AR$7:$AR$1506,0)))</f>
        <v/>
      </c>
      <c r="F29" s="113" t="str">
        <f aca="false">IF($B29="","",INDEX('CARNET DE SOUDURE'!$V$7:$V$1506,MATCH(18,'CARNET DE SOUDURE'!$AR$7:$AR$1506,0)))</f>
        <v/>
      </c>
      <c r="G29" s="112" t="str">
        <f aca="false">IF($B29="","",INDEX('CARNET DE SOUDURE'!$W$7:$W$1506,MATCH(18,'CARNET DE SOUDURE'!$AR$7:$AR$1506,0))&amp;"")</f>
        <v/>
      </c>
      <c r="H29" s="114" t="str">
        <f aca="false">IF($B29="","",INDEX('CARNET DE SOUDURE'!$X$7:$X$1506,MATCH(18,'CARNET DE SOUDURE'!$AR$7:$AR$1506,0)))</f>
        <v/>
      </c>
      <c r="I29" s="112" t="str">
        <f aca="false">IF($B29="","",INDEX('CARNET DE SOUDURE'!$Y$7:$Y$1506,MATCH(18,'CARNET DE SOUDURE'!$AR$7:$AR$1506,0))&amp;IF(INDEX('CARNET DE SOUDURE'!$AD$7:$AD$1506,MATCH(18,'CARNET DE SOUDURE'!$AR$7:$AR$1506,0))&lt;&gt;""," / "&amp;INDEX('CARNET DE SOUDURE'!$AD$7:$AD$1506,MATCH(18,'CARNET DE SOUDURE'!$AR$7:$AR$1506,0)),""))</f>
        <v/>
      </c>
      <c r="J29" s="112" t="str">
        <f aca="false">IF($B29="","",INDEX('CARNET DE SOUDURE'!$Z$7:$Z$1506,MATCH(18,'CARNET DE SOUDURE'!$AR$7:$AR$1506,0))&amp;IF(INDEX('CARNET DE SOUDURE'!$AE$7:$AE$1506,MATCH(18,'CARNET DE SOUDURE'!$AR$7:$AR$1506,0))&lt;&gt;""," / "&amp;INDEX('CARNET DE SOUDURE'!$AE$7:$AE$1506,MATCH(18,'CARNET DE SOUDURE'!$AR$7:$AR$1506,0)),""))</f>
        <v/>
      </c>
      <c r="K29" s="112" t="str">
        <f aca="false">IF($B29="","",INDEX('CARNET DE SOUDURE'!$AC$7:$AC$1506,MATCH(18,'CARNET DE SOUDURE'!$AR$7:$AR$1506,0))&amp;IF(INDEX('CARNET DE SOUDURE'!$AH$7:$AH$1506,MATCH(18,'CARNET DE SOUDURE'!$AR$7:$AR$1506,0))&lt;&gt;""," / "&amp;INDEX('CARNET DE SOUDURE'!$AH$7:$AH$1506,MATCH(18,'CARNET DE SOUDURE'!$AR$7:$AR$1506,0)),""))</f>
        <v/>
      </c>
      <c r="L29" s="114" t="str">
        <f aca="false">IF($B29="","",INDEX('CARNET DE SOUDURE'!$AL$7:$AL$1506,MATCH(18,'CARNET DE SOUDURE'!$AR$7:$AR$1506,0)))</f>
        <v/>
      </c>
      <c r="M29" s="114" t="str">
        <f aca="false">IF($B29="","",INDEX('CARNET DE SOUDURE'!$AM$7:$AM$1506,MATCH(18,'CARNET DE SOUDURE'!$AR$7:$AR$1506,0)))</f>
        <v/>
      </c>
      <c r="N29" s="115" t="str">
        <f aca="false">IF($B29="","",INDEX('CARNET DE SOUDURE'!$AN$7:$AN$1506,MATCH(18,'CARNET DE SOUDURE'!$AR$7:$AR$1506,0)))</f>
        <v/>
      </c>
    </row>
    <row r="30" customFormat="false" ht="15" hidden="false" customHeight="false" outlineLevel="0" collapsed="false">
      <c r="B30" s="107" t="str">
        <f aca="false">IF(19&gt;$I$4,"",19)</f>
        <v/>
      </c>
      <c r="C30" s="107" t="str">
        <f aca="false">IF($B30="","",INDEX('CARNET DE SOUDURE'!$B$7:$B$1506,MATCH(19,'CARNET DE SOUDURE'!$AR$7:$AR$1506,0)))</f>
        <v/>
      </c>
      <c r="D30" s="107" t="str">
        <f aca="false">IF($B30="","",INDEX('CARNET DE SOUDURE'!$E$7:$E$1506,MATCH(19,'CARNET DE SOUDURE'!$AR$7:$AR$1506,0)))</f>
        <v/>
      </c>
      <c r="E30" s="107" t="str">
        <f aca="false">IF($B30="","",INDEX('CARNET DE SOUDURE'!$O$7:$O$1506,MATCH(19,'CARNET DE SOUDURE'!$AR$7:$AR$1506,0))&amp;" / "&amp;INDEX('CARNET DE SOUDURE'!$P$7:$P$1506,MATCH(19,'CARNET DE SOUDURE'!$AR$7:$AR$1506,0))&amp;" / "&amp;INDEX('CARNET DE SOUDURE'!$Q$7:$Q$1506,MATCH(19,'CARNET DE SOUDURE'!$AR$7:$AR$1506,0)))</f>
        <v/>
      </c>
      <c r="F30" s="108" t="str">
        <f aca="false">IF($B30="","",INDEX('CARNET DE SOUDURE'!$V$7:$V$1506,MATCH(19,'CARNET DE SOUDURE'!$AR$7:$AR$1506,0)))</f>
        <v/>
      </c>
      <c r="G30" s="107" t="str">
        <f aca="false">IF($B30="","",INDEX('CARNET DE SOUDURE'!$W$7:$W$1506,MATCH(19,'CARNET DE SOUDURE'!$AR$7:$AR$1506,0))&amp;"")</f>
        <v/>
      </c>
      <c r="H30" s="109" t="str">
        <f aca="false">IF($B30="","",INDEX('CARNET DE SOUDURE'!$X$7:$X$1506,MATCH(19,'CARNET DE SOUDURE'!$AR$7:$AR$1506,0)))</f>
        <v/>
      </c>
      <c r="I30" s="107" t="str">
        <f aca="false">IF($B30="","",INDEX('CARNET DE SOUDURE'!$Y$7:$Y$1506,MATCH(19,'CARNET DE SOUDURE'!$AR$7:$AR$1506,0))&amp;IF(INDEX('CARNET DE SOUDURE'!$AD$7:$AD$1506,MATCH(19,'CARNET DE SOUDURE'!$AR$7:$AR$1506,0))&lt;&gt;""," / "&amp;INDEX('CARNET DE SOUDURE'!$AD$7:$AD$1506,MATCH(19,'CARNET DE SOUDURE'!$AR$7:$AR$1506,0)),""))</f>
        <v/>
      </c>
      <c r="J30" s="107" t="str">
        <f aca="false">IF($B30="","",INDEX('CARNET DE SOUDURE'!$Z$7:$Z$1506,MATCH(19,'CARNET DE SOUDURE'!$AR$7:$AR$1506,0))&amp;IF(INDEX('CARNET DE SOUDURE'!$AE$7:$AE$1506,MATCH(19,'CARNET DE SOUDURE'!$AR$7:$AR$1506,0))&lt;&gt;""," / "&amp;INDEX('CARNET DE SOUDURE'!$AE$7:$AE$1506,MATCH(19,'CARNET DE SOUDURE'!$AR$7:$AR$1506,0)),""))</f>
        <v/>
      </c>
      <c r="K30" s="107" t="str">
        <f aca="false">IF($B30="","",INDEX('CARNET DE SOUDURE'!$AC$7:$AC$1506,MATCH(19,'CARNET DE SOUDURE'!$AR$7:$AR$1506,0))&amp;IF(INDEX('CARNET DE SOUDURE'!$AH$7:$AH$1506,MATCH(19,'CARNET DE SOUDURE'!$AR$7:$AR$1506,0))&lt;&gt;""," / "&amp;INDEX('CARNET DE SOUDURE'!$AH$7:$AH$1506,MATCH(19,'CARNET DE SOUDURE'!$AR$7:$AR$1506,0)),""))</f>
        <v/>
      </c>
      <c r="L30" s="109" t="str">
        <f aca="false">IF($B30="","",INDEX('CARNET DE SOUDURE'!$AL$7:$AL$1506,MATCH(19,'CARNET DE SOUDURE'!$AR$7:$AR$1506,0)))</f>
        <v/>
      </c>
      <c r="M30" s="109" t="str">
        <f aca="false">IF($B30="","",INDEX('CARNET DE SOUDURE'!$AM$7:$AM$1506,MATCH(19,'CARNET DE SOUDURE'!$AR$7:$AR$1506,0)))</f>
        <v/>
      </c>
      <c r="N30" s="110" t="str">
        <f aca="false">IF($B30="","",INDEX('CARNET DE SOUDURE'!$AN$7:$AN$1506,MATCH(19,'CARNET DE SOUDURE'!$AR$7:$AR$1506,0)))</f>
        <v/>
      </c>
    </row>
    <row r="31" customFormat="false" ht="15" hidden="false" customHeight="false" outlineLevel="0" collapsed="false">
      <c r="B31" s="112" t="str">
        <f aca="false">IF(20&gt;$I$4,"",20)</f>
        <v/>
      </c>
      <c r="C31" s="112" t="str">
        <f aca="false">IF($B31="","",INDEX('CARNET DE SOUDURE'!$B$7:$B$1506,MATCH(20,'CARNET DE SOUDURE'!$AR$7:$AR$1506,0)))</f>
        <v/>
      </c>
      <c r="D31" s="112" t="str">
        <f aca="false">IF($B31="","",INDEX('CARNET DE SOUDURE'!$E$7:$E$1506,MATCH(20,'CARNET DE SOUDURE'!$AR$7:$AR$1506,0)))</f>
        <v/>
      </c>
      <c r="E31" s="112" t="str">
        <f aca="false">IF($B31="","",INDEX('CARNET DE SOUDURE'!$O$7:$O$1506,MATCH(20,'CARNET DE SOUDURE'!$AR$7:$AR$1506,0))&amp;" / "&amp;INDEX('CARNET DE SOUDURE'!$P$7:$P$1506,MATCH(20,'CARNET DE SOUDURE'!$AR$7:$AR$1506,0))&amp;" / "&amp;INDEX('CARNET DE SOUDURE'!$Q$7:$Q$1506,MATCH(20,'CARNET DE SOUDURE'!$AR$7:$AR$1506,0)))</f>
        <v/>
      </c>
      <c r="F31" s="113" t="str">
        <f aca="false">IF($B31="","",INDEX('CARNET DE SOUDURE'!$V$7:$V$1506,MATCH(20,'CARNET DE SOUDURE'!$AR$7:$AR$1506,0)))</f>
        <v/>
      </c>
      <c r="G31" s="112" t="str">
        <f aca="false">IF($B31="","",INDEX('CARNET DE SOUDURE'!$W$7:$W$1506,MATCH(20,'CARNET DE SOUDURE'!$AR$7:$AR$1506,0))&amp;"")</f>
        <v/>
      </c>
      <c r="H31" s="114" t="str">
        <f aca="false">IF($B31="","",INDEX('CARNET DE SOUDURE'!$X$7:$X$1506,MATCH(20,'CARNET DE SOUDURE'!$AR$7:$AR$1506,0)))</f>
        <v/>
      </c>
      <c r="I31" s="112" t="str">
        <f aca="false">IF($B31="","",INDEX('CARNET DE SOUDURE'!$Y$7:$Y$1506,MATCH(20,'CARNET DE SOUDURE'!$AR$7:$AR$1506,0))&amp;IF(INDEX('CARNET DE SOUDURE'!$AD$7:$AD$1506,MATCH(20,'CARNET DE SOUDURE'!$AR$7:$AR$1506,0))&lt;&gt;""," / "&amp;INDEX('CARNET DE SOUDURE'!$AD$7:$AD$1506,MATCH(20,'CARNET DE SOUDURE'!$AR$7:$AR$1506,0)),""))</f>
        <v/>
      </c>
      <c r="J31" s="112" t="str">
        <f aca="false">IF($B31="","",INDEX('CARNET DE SOUDURE'!$Z$7:$Z$1506,MATCH(20,'CARNET DE SOUDURE'!$AR$7:$AR$1506,0))&amp;IF(INDEX('CARNET DE SOUDURE'!$AE$7:$AE$1506,MATCH(20,'CARNET DE SOUDURE'!$AR$7:$AR$1506,0))&lt;&gt;""," / "&amp;INDEX('CARNET DE SOUDURE'!$AE$7:$AE$1506,MATCH(20,'CARNET DE SOUDURE'!$AR$7:$AR$1506,0)),""))</f>
        <v/>
      </c>
      <c r="K31" s="112" t="str">
        <f aca="false">IF($B31="","",INDEX('CARNET DE SOUDURE'!$AC$7:$AC$1506,MATCH(20,'CARNET DE SOUDURE'!$AR$7:$AR$1506,0))&amp;IF(INDEX('CARNET DE SOUDURE'!$AH$7:$AH$1506,MATCH(20,'CARNET DE SOUDURE'!$AR$7:$AR$1506,0))&lt;&gt;""," / "&amp;INDEX('CARNET DE SOUDURE'!$AH$7:$AH$1506,MATCH(20,'CARNET DE SOUDURE'!$AR$7:$AR$1506,0)),""))</f>
        <v/>
      </c>
      <c r="L31" s="114" t="str">
        <f aca="false">IF($B31="","",INDEX('CARNET DE SOUDURE'!$AL$7:$AL$1506,MATCH(20,'CARNET DE SOUDURE'!$AR$7:$AR$1506,0)))</f>
        <v/>
      </c>
      <c r="M31" s="114" t="str">
        <f aca="false">IF($B31="","",INDEX('CARNET DE SOUDURE'!$AM$7:$AM$1506,MATCH(20,'CARNET DE SOUDURE'!$AR$7:$AR$1506,0)))</f>
        <v/>
      </c>
      <c r="N31" s="115" t="str">
        <f aca="false">IF($B31="","",INDEX('CARNET DE SOUDURE'!$AN$7:$AN$1506,MATCH(20,'CARNET DE SOUDURE'!$AR$7:$AR$1506,0)))</f>
        <v/>
      </c>
    </row>
    <row r="32" customFormat="false" ht="15" hidden="false" customHeight="false" outlineLevel="0" collapsed="false">
      <c r="B32" s="107" t="str">
        <f aca="false">IF(21&gt;$I$4,"",21)</f>
        <v/>
      </c>
      <c r="C32" s="107" t="str">
        <f aca="false">IF($B32="","",INDEX('CARNET DE SOUDURE'!$B$7:$B$1506,MATCH(21,'CARNET DE SOUDURE'!$AR$7:$AR$1506,0)))</f>
        <v/>
      </c>
      <c r="D32" s="107" t="str">
        <f aca="false">IF($B32="","",INDEX('CARNET DE SOUDURE'!$E$7:$E$1506,MATCH(21,'CARNET DE SOUDURE'!$AR$7:$AR$1506,0)))</f>
        <v/>
      </c>
      <c r="E32" s="107" t="str">
        <f aca="false">IF($B32="","",INDEX('CARNET DE SOUDURE'!$O$7:$O$1506,MATCH(21,'CARNET DE SOUDURE'!$AR$7:$AR$1506,0))&amp;" / "&amp;INDEX('CARNET DE SOUDURE'!$P$7:$P$1506,MATCH(21,'CARNET DE SOUDURE'!$AR$7:$AR$1506,0))&amp;" / "&amp;INDEX('CARNET DE SOUDURE'!$Q$7:$Q$1506,MATCH(21,'CARNET DE SOUDURE'!$AR$7:$AR$1506,0)))</f>
        <v/>
      </c>
      <c r="F32" s="108" t="str">
        <f aca="false">IF($B32="","",INDEX('CARNET DE SOUDURE'!$V$7:$V$1506,MATCH(21,'CARNET DE SOUDURE'!$AR$7:$AR$1506,0)))</f>
        <v/>
      </c>
      <c r="G32" s="107" t="str">
        <f aca="false">IF($B32="","",INDEX('CARNET DE SOUDURE'!$W$7:$W$1506,MATCH(21,'CARNET DE SOUDURE'!$AR$7:$AR$1506,0))&amp;"")</f>
        <v/>
      </c>
      <c r="H32" s="109" t="str">
        <f aca="false">IF($B32="","",INDEX('CARNET DE SOUDURE'!$X$7:$X$1506,MATCH(21,'CARNET DE SOUDURE'!$AR$7:$AR$1506,0)))</f>
        <v/>
      </c>
      <c r="I32" s="107" t="str">
        <f aca="false">IF($B32="","",INDEX('CARNET DE SOUDURE'!$Y$7:$Y$1506,MATCH(21,'CARNET DE SOUDURE'!$AR$7:$AR$1506,0))&amp;IF(INDEX('CARNET DE SOUDURE'!$AD$7:$AD$1506,MATCH(21,'CARNET DE SOUDURE'!$AR$7:$AR$1506,0))&lt;&gt;""," / "&amp;INDEX('CARNET DE SOUDURE'!$AD$7:$AD$1506,MATCH(21,'CARNET DE SOUDURE'!$AR$7:$AR$1506,0)),""))</f>
        <v/>
      </c>
      <c r="J32" s="107" t="str">
        <f aca="false">IF($B32="","",INDEX('CARNET DE SOUDURE'!$Z$7:$Z$1506,MATCH(21,'CARNET DE SOUDURE'!$AR$7:$AR$1506,0))&amp;IF(INDEX('CARNET DE SOUDURE'!$AE$7:$AE$1506,MATCH(21,'CARNET DE SOUDURE'!$AR$7:$AR$1506,0))&lt;&gt;""," / "&amp;INDEX('CARNET DE SOUDURE'!$AE$7:$AE$1506,MATCH(21,'CARNET DE SOUDURE'!$AR$7:$AR$1506,0)),""))</f>
        <v/>
      </c>
      <c r="K32" s="107" t="str">
        <f aca="false">IF($B32="","",INDEX('CARNET DE SOUDURE'!$AC$7:$AC$1506,MATCH(21,'CARNET DE SOUDURE'!$AR$7:$AR$1506,0))&amp;IF(INDEX('CARNET DE SOUDURE'!$AH$7:$AH$1506,MATCH(21,'CARNET DE SOUDURE'!$AR$7:$AR$1506,0))&lt;&gt;""," / "&amp;INDEX('CARNET DE SOUDURE'!$AH$7:$AH$1506,MATCH(21,'CARNET DE SOUDURE'!$AR$7:$AR$1506,0)),""))</f>
        <v/>
      </c>
      <c r="L32" s="109" t="str">
        <f aca="false">IF($B32="","",INDEX('CARNET DE SOUDURE'!$AL$7:$AL$1506,MATCH(21,'CARNET DE SOUDURE'!$AR$7:$AR$1506,0)))</f>
        <v/>
      </c>
      <c r="M32" s="109" t="str">
        <f aca="false">IF($B32="","",INDEX('CARNET DE SOUDURE'!$AM$7:$AM$1506,MATCH(21,'CARNET DE SOUDURE'!$AR$7:$AR$1506,0)))</f>
        <v/>
      </c>
      <c r="N32" s="110" t="str">
        <f aca="false">IF($B32="","",INDEX('CARNET DE SOUDURE'!$AN$7:$AN$1506,MATCH(21,'CARNET DE SOUDURE'!$AR$7:$AR$1506,0)))</f>
        <v/>
      </c>
    </row>
    <row r="33" customFormat="false" ht="15" hidden="false" customHeight="false" outlineLevel="0" collapsed="false">
      <c r="B33" s="112" t="str">
        <f aca="false">IF(22&gt;$I$4,"",22)</f>
        <v/>
      </c>
      <c r="C33" s="112" t="str">
        <f aca="false">IF($B33="","",INDEX('CARNET DE SOUDURE'!$B$7:$B$1506,MATCH(22,'CARNET DE SOUDURE'!$AR$7:$AR$1506,0)))</f>
        <v/>
      </c>
      <c r="D33" s="112" t="str">
        <f aca="false">IF($B33="","",INDEX('CARNET DE SOUDURE'!$E$7:$E$1506,MATCH(22,'CARNET DE SOUDURE'!$AR$7:$AR$1506,0)))</f>
        <v/>
      </c>
      <c r="E33" s="112" t="str">
        <f aca="false">IF($B33="","",INDEX('CARNET DE SOUDURE'!$O$7:$O$1506,MATCH(22,'CARNET DE SOUDURE'!$AR$7:$AR$1506,0))&amp;" / "&amp;INDEX('CARNET DE SOUDURE'!$P$7:$P$1506,MATCH(22,'CARNET DE SOUDURE'!$AR$7:$AR$1506,0))&amp;" / "&amp;INDEX('CARNET DE SOUDURE'!$Q$7:$Q$1506,MATCH(22,'CARNET DE SOUDURE'!$AR$7:$AR$1506,0)))</f>
        <v/>
      </c>
      <c r="F33" s="113" t="str">
        <f aca="false">IF($B33="","",INDEX('CARNET DE SOUDURE'!$V$7:$V$1506,MATCH(22,'CARNET DE SOUDURE'!$AR$7:$AR$1506,0)))</f>
        <v/>
      </c>
      <c r="G33" s="112" t="str">
        <f aca="false">IF($B33="","",INDEX('CARNET DE SOUDURE'!$W$7:$W$1506,MATCH(22,'CARNET DE SOUDURE'!$AR$7:$AR$1506,0))&amp;"")</f>
        <v/>
      </c>
      <c r="H33" s="114" t="str">
        <f aca="false">IF($B33="","",INDEX('CARNET DE SOUDURE'!$X$7:$X$1506,MATCH(22,'CARNET DE SOUDURE'!$AR$7:$AR$1506,0)))</f>
        <v/>
      </c>
      <c r="I33" s="112" t="str">
        <f aca="false">IF($B33="","",INDEX('CARNET DE SOUDURE'!$Y$7:$Y$1506,MATCH(22,'CARNET DE SOUDURE'!$AR$7:$AR$1506,0))&amp;IF(INDEX('CARNET DE SOUDURE'!$AD$7:$AD$1506,MATCH(22,'CARNET DE SOUDURE'!$AR$7:$AR$1506,0))&lt;&gt;""," / "&amp;INDEX('CARNET DE SOUDURE'!$AD$7:$AD$1506,MATCH(22,'CARNET DE SOUDURE'!$AR$7:$AR$1506,0)),""))</f>
        <v/>
      </c>
      <c r="J33" s="112" t="str">
        <f aca="false">IF($B33="","",INDEX('CARNET DE SOUDURE'!$Z$7:$Z$1506,MATCH(22,'CARNET DE SOUDURE'!$AR$7:$AR$1506,0))&amp;IF(INDEX('CARNET DE SOUDURE'!$AE$7:$AE$1506,MATCH(22,'CARNET DE SOUDURE'!$AR$7:$AR$1506,0))&lt;&gt;""," / "&amp;INDEX('CARNET DE SOUDURE'!$AE$7:$AE$1506,MATCH(22,'CARNET DE SOUDURE'!$AR$7:$AR$1506,0)),""))</f>
        <v/>
      </c>
      <c r="K33" s="112" t="str">
        <f aca="false">IF($B33="","",INDEX('CARNET DE SOUDURE'!$AC$7:$AC$1506,MATCH(22,'CARNET DE SOUDURE'!$AR$7:$AR$1506,0))&amp;IF(INDEX('CARNET DE SOUDURE'!$AH$7:$AH$1506,MATCH(22,'CARNET DE SOUDURE'!$AR$7:$AR$1506,0))&lt;&gt;""," / "&amp;INDEX('CARNET DE SOUDURE'!$AH$7:$AH$1506,MATCH(22,'CARNET DE SOUDURE'!$AR$7:$AR$1506,0)),""))</f>
        <v/>
      </c>
      <c r="L33" s="114" t="str">
        <f aca="false">IF($B33="","",INDEX('CARNET DE SOUDURE'!$AL$7:$AL$1506,MATCH(22,'CARNET DE SOUDURE'!$AR$7:$AR$1506,0)))</f>
        <v/>
      </c>
      <c r="M33" s="114" t="str">
        <f aca="false">IF($B33="","",INDEX('CARNET DE SOUDURE'!$AM$7:$AM$1506,MATCH(22,'CARNET DE SOUDURE'!$AR$7:$AR$1506,0)))</f>
        <v/>
      </c>
      <c r="N33" s="115" t="str">
        <f aca="false">IF($B33="","",INDEX('CARNET DE SOUDURE'!$AN$7:$AN$1506,MATCH(22,'CARNET DE SOUDURE'!$AR$7:$AR$1506,0)))</f>
        <v/>
      </c>
    </row>
    <row r="34" customFormat="false" ht="15" hidden="false" customHeight="false" outlineLevel="0" collapsed="false">
      <c r="B34" s="107" t="str">
        <f aca="false">IF(23&gt;$I$4,"",23)</f>
        <v/>
      </c>
      <c r="C34" s="107" t="str">
        <f aca="false">IF($B34="","",INDEX('CARNET DE SOUDURE'!$B$7:$B$1506,MATCH(23,'CARNET DE SOUDURE'!$AR$7:$AR$1506,0)))</f>
        <v/>
      </c>
      <c r="D34" s="107" t="str">
        <f aca="false">IF($B34="","",INDEX('CARNET DE SOUDURE'!$E$7:$E$1506,MATCH(23,'CARNET DE SOUDURE'!$AR$7:$AR$1506,0)))</f>
        <v/>
      </c>
      <c r="E34" s="107" t="str">
        <f aca="false">IF($B34="","",INDEX('CARNET DE SOUDURE'!$O$7:$O$1506,MATCH(23,'CARNET DE SOUDURE'!$AR$7:$AR$1506,0))&amp;" / "&amp;INDEX('CARNET DE SOUDURE'!$P$7:$P$1506,MATCH(23,'CARNET DE SOUDURE'!$AR$7:$AR$1506,0))&amp;" / "&amp;INDEX('CARNET DE SOUDURE'!$Q$7:$Q$1506,MATCH(23,'CARNET DE SOUDURE'!$AR$7:$AR$1506,0)))</f>
        <v/>
      </c>
      <c r="F34" s="108" t="str">
        <f aca="false">IF($B34="","",INDEX('CARNET DE SOUDURE'!$V$7:$V$1506,MATCH(23,'CARNET DE SOUDURE'!$AR$7:$AR$1506,0)))</f>
        <v/>
      </c>
      <c r="G34" s="107" t="str">
        <f aca="false">IF($B34="","",INDEX('CARNET DE SOUDURE'!$W$7:$W$1506,MATCH(23,'CARNET DE SOUDURE'!$AR$7:$AR$1506,0))&amp;"")</f>
        <v/>
      </c>
      <c r="H34" s="109" t="str">
        <f aca="false">IF($B34="","",INDEX('CARNET DE SOUDURE'!$X$7:$X$1506,MATCH(23,'CARNET DE SOUDURE'!$AR$7:$AR$1506,0)))</f>
        <v/>
      </c>
      <c r="I34" s="107" t="str">
        <f aca="false">IF($B34="","",INDEX('CARNET DE SOUDURE'!$Y$7:$Y$1506,MATCH(23,'CARNET DE SOUDURE'!$AR$7:$AR$1506,0))&amp;IF(INDEX('CARNET DE SOUDURE'!$AD$7:$AD$1506,MATCH(23,'CARNET DE SOUDURE'!$AR$7:$AR$1506,0))&lt;&gt;""," / "&amp;INDEX('CARNET DE SOUDURE'!$AD$7:$AD$1506,MATCH(23,'CARNET DE SOUDURE'!$AR$7:$AR$1506,0)),""))</f>
        <v/>
      </c>
      <c r="J34" s="107" t="str">
        <f aca="false">IF($B34="","",INDEX('CARNET DE SOUDURE'!$Z$7:$Z$1506,MATCH(23,'CARNET DE SOUDURE'!$AR$7:$AR$1506,0))&amp;IF(INDEX('CARNET DE SOUDURE'!$AE$7:$AE$1506,MATCH(23,'CARNET DE SOUDURE'!$AR$7:$AR$1506,0))&lt;&gt;""," / "&amp;INDEX('CARNET DE SOUDURE'!$AE$7:$AE$1506,MATCH(23,'CARNET DE SOUDURE'!$AR$7:$AR$1506,0)),""))</f>
        <v/>
      </c>
      <c r="K34" s="107" t="str">
        <f aca="false">IF($B34="","",INDEX('CARNET DE SOUDURE'!$AC$7:$AC$1506,MATCH(23,'CARNET DE SOUDURE'!$AR$7:$AR$1506,0))&amp;IF(INDEX('CARNET DE SOUDURE'!$AH$7:$AH$1506,MATCH(23,'CARNET DE SOUDURE'!$AR$7:$AR$1506,0))&lt;&gt;""," / "&amp;INDEX('CARNET DE SOUDURE'!$AH$7:$AH$1506,MATCH(23,'CARNET DE SOUDURE'!$AR$7:$AR$1506,0)),""))</f>
        <v/>
      </c>
      <c r="L34" s="109" t="str">
        <f aca="false">IF($B34="","",INDEX('CARNET DE SOUDURE'!$AL$7:$AL$1506,MATCH(23,'CARNET DE SOUDURE'!$AR$7:$AR$1506,0)))</f>
        <v/>
      </c>
      <c r="M34" s="109" t="str">
        <f aca="false">IF($B34="","",INDEX('CARNET DE SOUDURE'!$AM$7:$AM$1506,MATCH(23,'CARNET DE SOUDURE'!$AR$7:$AR$1506,0)))</f>
        <v/>
      </c>
      <c r="N34" s="110" t="str">
        <f aca="false">IF($B34="","",INDEX('CARNET DE SOUDURE'!$AN$7:$AN$1506,MATCH(23,'CARNET DE SOUDURE'!$AR$7:$AR$1506,0)))</f>
        <v/>
      </c>
    </row>
    <row r="35" customFormat="false" ht="15" hidden="false" customHeight="false" outlineLevel="0" collapsed="false">
      <c r="B35" s="112" t="str">
        <f aca="false">IF(24&gt;$I$4,"",24)</f>
        <v/>
      </c>
      <c r="C35" s="112" t="str">
        <f aca="false">IF($B35="","",INDEX('CARNET DE SOUDURE'!$B$7:$B$1506,MATCH(24,'CARNET DE SOUDURE'!$AR$7:$AR$1506,0)))</f>
        <v/>
      </c>
      <c r="D35" s="112" t="str">
        <f aca="false">IF($B35="","",INDEX('CARNET DE SOUDURE'!$E$7:$E$1506,MATCH(24,'CARNET DE SOUDURE'!$AR$7:$AR$1506,0)))</f>
        <v/>
      </c>
      <c r="E35" s="112" t="str">
        <f aca="false">IF($B35="","",INDEX('CARNET DE SOUDURE'!$O$7:$O$1506,MATCH(24,'CARNET DE SOUDURE'!$AR$7:$AR$1506,0))&amp;" / "&amp;INDEX('CARNET DE SOUDURE'!$P$7:$P$1506,MATCH(24,'CARNET DE SOUDURE'!$AR$7:$AR$1506,0))&amp;" / "&amp;INDEX('CARNET DE SOUDURE'!$Q$7:$Q$1506,MATCH(24,'CARNET DE SOUDURE'!$AR$7:$AR$1506,0)))</f>
        <v/>
      </c>
      <c r="F35" s="113" t="str">
        <f aca="false">IF($B35="","",INDEX('CARNET DE SOUDURE'!$V$7:$V$1506,MATCH(24,'CARNET DE SOUDURE'!$AR$7:$AR$1506,0)))</f>
        <v/>
      </c>
      <c r="G35" s="112" t="str">
        <f aca="false">IF($B35="","",INDEX('CARNET DE SOUDURE'!$W$7:$W$1506,MATCH(24,'CARNET DE SOUDURE'!$AR$7:$AR$1506,0))&amp;"")</f>
        <v/>
      </c>
      <c r="H35" s="114" t="str">
        <f aca="false">IF($B35="","",INDEX('CARNET DE SOUDURE'!$X$7:$X$1506,MATCH(24,'CARNET DE SOUDURE'!$AR$7:$AR$1506,0)))</f>
        <v/>
      </c>
      <c r="I35" s="112" t="str">
        <f aca="false">IF($B35="","",INDEX('CARNET DE SOUDURE'!$Y$7:$Y$1506,MATCH(24,'CARNET DE SOUDURE'!$AR$7:$AR$1506,0))&amp;IF(INDEX('CARNET DE SOUDURE'!$AD$7:$AD$1506,MATCH(24,'CARNET DE SOUDURE'!$AR$7:$AR$1506,0))&lt;&gt;""," / "&amp;INDEX('CARNET DE SOUDURE'!$AD$7:$AD$1506,MATCH(24,'CARNET DE SOUDURE'!$AR$7:$AR$1506,0)),""))</f>
        <v/>
      </c>
      <c r="J35" s="112" t="str">
        <f aca="false">IF($B35="","",INDEX('CARNET DE SOUDURE'!$Z$7:$Z$1506,MATCH(24,'CARNET DE SOUDURE'!$AR$7:$AR$1506,0))&amp;IF(INDEX('CARNET DE SOUDURE'!$AE$7:$AE$1506,MATCH(24,'CARNET DE SOUDURE'!$AR$7:$AR$1506,0))&lt;&gt;""," / "&amp;INDEX('CARNET DE SOUDURE'!$AE$7:$AE$1506,MATCH(24,'CARNET DE SOUDURE'!$AR$7:$AR$1506,0)),""))</f>
        <v/>
      </c>
      <c r="K35" s="112" t="str">
        <f aca="false">IF($B35="","",INDEX('CARNET DE SOUDURE'!$AC$7:$AC$1506,MATCH(24,'CARNET DE SOUDURE'!$AR$7:$AR$1506,0))&amp;IF(INDEX('CARNET DE SOUDURE'!$AH$7:$AH$1506,MATCH(24,'CARNET DE SOUDURE'!$AR$7:$AR$1506,0))&lt;&gt;""," / "&amp;INDEX('CARNET DE SOUDURE'!$AH$7:$AH$1506,MATCH(24,'CARNET DE SOUDURE'!$AR$7:$AR$1506,0)),""))</f>
        <v/>
      </c>
      <c r="L35" s="114" t="str">
        <f aca="false">IF($B35="","",INDEX('CARNET DE SOUDURE'!$AL$7:$AL$1506,MATCH(24,'CARNET DE SOUDURE'!$AR$7:$AR$1506,0)))</f>
        <v/>
      </c>
      <c r="M35" s="114" t="str">
        <f aca="false">IF($B35="","",INDEX('CARNET DE SOUDURE'!$AM$7:$AM$1506,MATCH(24,'CARNET DE SOUDURE'!$AR$7:$AR$1506,0)))</f>
        <v/>
      </c>
      <c r="N35" s="115" t="str">
        <f aca="false">IF($B35="","",INDEX('CARNET DE SOUDURE'!$AN$7:$AN$1506,MATCH(24,'CARNET DE SOUDURE'!$AR$7:$AR$1506,0)))</f>
        <v/>
      </c>
    </row>
    <row r="36" customFormat="false" ht="15" hidden="false" customHeight="false" outlineLevel="0" collapsed="false">
      <c r="B36" s="107" t="str">
        <f aca="false">IF(25&gt;$I$4,"",25)</f>
        <v/>
      </c>
      <c r="C36" s="107" t="str">
        <f aca="false">IF($B36="","",INDEX('CARNET DE SOUDURE'!$B$7:$B$1506,MATCH(25,'CARNET DE SOUDURE'!$AR$7:$AR$1506,0)))</f>
        <v/>
      </c>
      <c r="D36" s="107" t="str">
        <f aca="false">IF($B36="","",INDEX('CARNET DE SOUDURE'!$E$7:$E$1506,MATCH(25,'CARNET DE SOUDURE'!$AR$7:$AR$1506,0)))</f>
        <v/>
      </c>
      <c r="E36" s="107" t="str">
        <f aca="false">IF($B36="","",INDEX('CARNET DE SOUDURE'!$O$7:$O$1506,MATCH(25,'CARNET DE SOUDURE'!$AR$7:$AR$1506,0))&amp;" / "&amp;INDEX('CARNET DE SOUDURE'!$P$7:$P$1506,MATCH(25,'CARNET DE SOUDURE'!$AR$7:$AR$1506,0))&amp;" / "&amp;INDEX('CARNET DE SOUDURE'!$Q$7:$Q$1506,MATCH(25,'CARNET DE SOUDURE'!$AR$7:$AR$1506,0)))</f>
        <v/>
      </c>
      <c r="F36" s="108" t="str">
        <f aca="false">IF($B36="","",INDEX('CARNET DE SOUDURE'!$V$7:$V$1506,MATCH(25,'CARNET DE SOUDURE'!$AR$7:$AR$1506,0)))</f>
        <v/>
      </c>
      <c r="G36" s="107" t="str">
        <f aca="false">IF($B36="","",INDEX('CARNET DE SOUDURE'!$W$7:$W$1506,MATCH(25,'CARNET DE SOUDURE'!$AR$7:$AR$1506,0))&amp;"")</f>
        <v/>
      </c>
      <c r="H36" s="109" t="str">
        <f aca="false">IF($B36="","",INDEX('CARNET DE SOUDURE'!$X$7:$X$1506,MATCH(25,'CARNET DE SOUDURE'!$AR$7:$AR$1506,0)))</f>
        <v/>
      </c>
      <c r="I36" s="107" t="str">
        <f aca="false">IF($B36="","",INDEX('CARNET DE SOUDURE'!$Y$7:$Y$1506,MATCH(25,'CARNET DE SOUDURE'!$AR$7:$AR$1506,0))&amp;IF(INDEX('CARNET DE SOUDURE'!$AD$7:$AD$1506,MATCH(25,'CARNET DE SOUDURE'!$AR$7:$AR$1506,0))&lt;&gt;""," / "&amp;INDEX('CARNET DE SOUDURE'!$AD$7:$AD$1506,MATCH(25,'CARNET DE SOUDURE'!$AR$7:$AR$1506,0)),""))</f>
        <v/>
      </c>
      <c r="J36" s="107" t="str">
        <f aca="false">IF($B36="","",INDEX('CARNET DE SOUDURE'!$Z$7:$Z$1506,MATCH(25,'CARNET DE SOUDURE'!$AR$7:$AR$1506,0))&amp;IF(INDEX('CARNET DE SOUDURE'!$AE$7:$AE$1506,MATCH(25,'CARNET DE SOUDURE'!$AR$7:$AR$1506,0))&lt;&gt;""," / "&amp;INDEX('CARNET DE SOUDURE'!$AE$7:$AE$1506,MATCH(25,'CARNET DE SOUDURE'!$AR$7:$AR$1506,0)),""))</f>
        <v/>
      </c>
      <c r="K36" s="107" t="str">
        <f aca="false">IF($B36="","",INDEX('CARNET DE SOUDURE'!$AC$7:$AC$1506,MATCH(25,'CARNET DE SOUDURE'!$AR$7:$AR$1506,0))&amp;IF(INDEX('CARNET DE SOUDURE'!$AH$7:$AH$1506,MATCH(25,'CARNET DE SOUDURE'!$AR$7:$AR$1506,0))&lt;&gt;""," / "&amp;INDEX('CARNET DE SOUDURE'!$AH$7:$AH$1506,MATCH(25,'CARNET DE SOUDURE'!$AR$7:$AR$1506,0)),""))</f>
        <v/>
      </c>
      <c r="L36" s="109" t="str">
        <f aca="false">IF($B36="","",INDEX('CARNET DE SOUDURE'!$AL$7:$AL$1506,MATCH(25,'CARNET DE SOUDURE'!$AR$7:$AR$1506,0)))</f>
        <v/>
      </c>
      <c r="M36" s="109" t="str">
        <f aca="false">IF($B36="","",INDEX('CARNET DE SOUDURE'!$AM$7:$AM$1506,MATCH(25,'CARNET DE SOUDURE'!$AR$7:$AR$1506,0)))</f>
        <v/>
      </c>
      <c r="N36" s="110" t="str">
        <f aca="false">IF($B36="","",INDEX('CARNET DE SOUDURE'!$AN$7:$AN$1506,MATCH(25,'CARNET DE SOUDURE'!$AR$7:$AR$1506,0)))</f>
        <v/>
      </c>
    </row>
    <row r="37" customFormat="false" ht="15" hidden="false" customHeight="false" outlineLevel="0" collapsed="false">
      <c r="B37" s="112" t="str">
        <f aca="false">IF(26&gt;$I$4,"",26)</f>
        <v/>
      </c>
      <c r="C37" s="112" t="str">
        <f aca="false">IF($B37="","",INDEX('CARNET DE SOUDURE'!$B$7:$B$1506,MATCH(26,'CARNET DE SOUDURE'!$AR$7:$AR$1506,0)))</f>
        <v/>
      </c>
      <c r="D37" s="112" t="str">
        <f aca="false">IF($B37="","",INDEX('CARNET DE SOUDURE'!$E$7:$E$1506,MATCH(26,'CARNET DE SOUDURE'!$AR$7:$AR$1506,0)))</f>
        <v/>
      </c>
      <c r="E37" s="112" t="str">
        <f aca="false">IF($B37="","",INDEX('CARNET DE SOUDURE'!$O$7:$O$1506,MATCH(26,'CARNET DE SOUDURE'!$AR$7:$AR$1506,0))&amp;" / "&amp;INDEX('CARNET DE SOUDURE'!$P$7:$P$1506,MATCH(26,'CARNET DE SOUDURE'!$AR$7:$AR$1506,0))&amp;" / "&amp;INDEX('CARNET DE SOUDURE'!$Q$7:$Q$1506,MATCH(26,'CARNET DE SOUDURE'!$AR$7:$AR$1506,0)))</f>
        <v/>
      </c>
      <c r="F37" s="113" t="str">
        <f aca="false">IF($B37="","",INDEX('CARNET DE SOUDURE'!$V$7:$V$1506,MATCH(26,'CARNET DE SOUDURE'!$AR$7:$AR$1506,0)))</f>
        <v/>
      </c>
      <c r="G37" s="112" t="str">
        <f aca="false">IF($B37="","",INDEX('CARNET DE SOUDURE'!$W$7:$W$1506,MATCH(26,'CARNET DE SOUDURE'!$AR$7:$AR$1506,0))&amp;"")</f>
        <v/>
      </c>
      <c r="H37" s="114" t="str">
        <f aca="false">IF($B37="","",INDEX('CARNET DE SOUDURE'!$X$7:$X$1506,MATCH(26,'CARNET DE SOUDURE'!$AR$7:$AR$1506,0)))</f>
        <v/>
      </c>
      <c r="I37" s="112" t="str">
        <f aca="false">IF($B37="","",INDEX('CARNET DE SOUDURE'!$Y$7:$Y$1506,MATCH(26,'CARNET DE SOUDURE'!$AR$7:$AR$1506,0))&amp;IF(INDEX('CARNET DE SOUDURE'!$AD$7:$AD$1506,MATCH(26,'CARNET DE SOUDURE'!$AR$7:$AR$1506,0))&lt;&gt;""," / "&amp;INDEX('CARNET DE SOUDURE'!$AD$7:$AD$1506,MATCH(26,'CARNET DE SOUDURE'!$AR$7:$AR$1506,0)),""))</f>
        <v/>
      </c>
      <c r="J37" s="112" t="str">
        <f aca="false">IF($B37="","",INDEX('CARNET DE SOUDURE'!$Z$7:$Z$1506,MATCH(26,'CARNET DE SOUDURE'!$AR$7:$AR$1506,0))&amp;IF(INDEX('CARNET DE SOUDURE'!$AE$7:$AE$1506,MATCH(26,'CARNET DE SOUDURE'!$AR$7:$AR$1506,0))&lt;&gt;""," / "&amp;INDEX('CARNET DE SOUDURE'!$AE$7:$AE$1506,MATCH(26,'CARNET DE SOUDURE'!$AR$7:$AR$1506,0)),""))</f>
        <v/>
      </c>
      <c r="K37" s="112" t="str">
        <f aca="false">IF($B37="","",INDEX('CARNET DE SOUDURE'!$AC$7:$AC$1506,MATCH(26,'CARNET DE SOUDURE'!$AR$7:$AR$1506,0))&amp;IF(INDEX('CARNET DE SOUDURE'!$AH$7:$AH$1506,MATCH(26,'CARNET DE SOUDURE'!$AR$7:$AR$1506,0))&lt;&gt;""," / "&amp;INDEX('CARNET DE SOUDURE'!$AH$7:$AH$1506,MATCH(26,'CARNET DE SOUDURE'!$AR$7:$AR$1506,0)),""))</f>
        <v/>
      </c>
      <c r="L37" s="114" t="str">
        <f aca="false">IF($B37="","",INDEX('CARNET DE SOUDURE'!$AL$7:$AL$1506,MATCH(26,'CARNET DE SOUDURE'!$AR$7:$AR$1506,0)))</f>
        <v/>
      </c>
      <c r="M37" s="114" t="str">
        <f aca="false">IF($B37="","",INDEX('CARNET DE SOUDURE'!$AM$7:$AM$1506,MATCH(26,'CARNET DE SOUDURE'!$AR$7:$AR$1506,0)))</f>
        <v/>
      </c>
      <c r="N37" s="115" t="str">
        <f aca="false">IF($B37="","",INDEX('CARNET DE SOUDURE'!$AN$7:$AN$1506,MATCH(26,'CARNET DE SOUDURE'!$AR$7:$AR$1506,0)))</f>
        <v/>
      </c>
    </row>
    <row r="38" customFormat="false" ht="15" hidden="false" customHeight="false" outlineLevel="0" collapsed="false">
      <c r="B38" s="107" t="str">
        <f aca="false">IF(27&gt;$I$4,"",27)</f>
        <v/>
      </c>
      <c r="C38" s="107" t="str">
        <f aca="false">IF($B38="","",INDEX('CARNET DE SOUDURE'!$B$7:$B$1506,MATCH(27,'CARNET DE SOUDURE'!$AR$7:$AR$1506,0)))</f>
        <v/>
      </c>
      <c r="D38" s="107" t="str">
        <f aca="false">IF($B38="","",INDEX('CARNET DE SOUDURE'!$E$7:$E$1506,MATCH(27,'CARNET DE SOUDURE'!$AR$7:$AR$1506,0)))</f>
        <v/>
      </c>
      <c r="E38" s="107" t="str">
        <f aca="false">IF($B38="","",INDEX('CARNET DE SOUDURE'!$O$7:$O$1506,MATCH(27,'CARNET DE SOUDURE'!$AR$7:$AR$1506,0))&amp;" / "&amp;INDEX('CARNET DE SOUDURE'!$P$7:$P$1506,MATCH(27,'CARNET DE SOUDURE'!$AR$7:$AR$1506,0))&amp;" / "&amp;INDEX('CARNET DE SOUDURE'!$Q$7:$Q$1506,MATCH(27,'CARNET DE SOUDURE'!$AR$7:$AR$1506,0)))</f>
        <v/>
      </c>
      <c r="F38" s="108" t="str">
        <f aca="false">IF($B38="","",INDEX('CARNET DE SOUDURE'!$V$7:$V$1506,MATCH(27,'CARNET DE SOUDURE'!$AR$7:$AR$1506,0)))</f>
        <v/>
      </c>
      <c r="G38" s="107" t="str">
        <f aca="false">IF($B38="","",INDEX('CARNET DE SOUDURE'!$W$7:$W$1506,MATCH(27,'CARNET DE SOUDURE'!$AR$7:$AR$1506,0))&amp;"")</f>
        <v/>
      </c>
      <c r="H38" s="109" t="str">
        <f aca="false">IF($B38="","",INDEX('CARNET DE SOUDURE'!$X$7:$X$1506,MATCH(27,'CARNET DE SOUDURE'!$AR$7:$AR$1506,0)))</f>
        <v/>
      </c>
      <c r="I38" s="107" t="str">
        <f aca="false">IF($B38="","",INDEX('CARNET DE SOUDURE'!$Y$7:$Y$1506,MATCH(27,'CARNET DE SOUDURE'!$AR$7:$AR$1506,0))&amp;IF(INDEX('CARNET DE SOUDURE'!$AD$7:$AD$1506,MATCH(27,'CARNET DE SOUDURE'!$AR$7:$AR$1506,0))&lt;&gt;""," / "&amp;INDEX('CARNET DE SOUDURE'!$AD$7:$AD$1506,MATCH(27,'CARNET DE SOUDURE'!$AR$7:$AR$1506,0)),""))</f>
        <v/>
      </c>
      <c r="J38" s="107" t="str">
        <f aca="false">IF($B38="","",INDEX('CARNET DE SOUDURE'!$Z$7:$Z$1506,MATCH(27,'CARNET DE SOUDURE'!$AR$7:$AR$1506,0))&amp;IF(INDEX('CARNET DE SOUDURE'!$AE$7:$AE$1506,MATCH(27,'CARNET DE SOUDURE'!$AR$7:$AR$1506,0))&lt;&gt;""," / "&amp;INDEX('CARNET DE SOUDURE'!$AE$7:$AE$1506,MATCH(27,'CARNET DE SOUDURE'!$AR$7:$AR$1506,0)),""))</f>
        <v/>
      </c>
      <c r="K38" s="107" t="str">
        <f aca="false">IF($B38="","",INDEX('CARNET DE SOUDURE'!$AC$7:$AC$1506,MATCH(27,'CARNET DE SOUDURE'!$AR$7:$AR$1506,0))&amp;IF(INDEX('CARNET DE SOUDURE'!$AH$7:$AH$1506,MATCH(27,'CARNET DE SOUDURE'!$AR$7:$AR$1506,0))&lt;&gt;""," / "&amp;INDEX('CARNET DE SOUDURE'!$AH$7:$AH$1506,MATCH(27,'CARNET DE SOUDURE'!$AR$7:$AR$1506,0)),""))</f>
        <v/>
      </c>
      <c r="L38" s="109" t="str">
        <f aca="false">IF($B38="","",INDEX('CARNET DE SOUDURE'!$AL$7:$AL$1506,MATCH(27,'CARNET DE SOUDURE'!$AR$7:$AR$1506,0)))</f>
        <v/>
      </c>
      <c r="M38" s="109" t="str">
        <f aca="false">IF($B38="","",INDEX('CARNET DE SOUDURE'!$AM$7:$AM$1506,MATCH(27,'CARNET DE SOUDURE'!$AR$7:$AR$1506,0)))</f>
        <v/>
      </c>
      <c r="N38" s="110" t="str">
        <f aca="false">IF($B38="","",INDEX('CARNET DE SOUDURE'!$AN$7:$AN$1506,MATCH(27,'CARNET DE SOUDURE'!$AR$7:$AR$1506,0)))</f>
        <v/>
      </c>
    </row>
    <row r="39" customFormat="false" ht="15" hidden="false" customHeight="false" outlineLevel="0" collapsed="false">
      <c r="B39" s="112" t="str">
        <f aca="false">IF(28&gt;$I$4,"",28)</f>
        <v/>
      </c>
      <c r="C39" s="112" t="str">
        <f aca="false">IF($B39="","",INDEX('CARNET DE SOUDURE'!$B$7:$B$1506,MATCH(28,'CARNET DE SOUDURE'!$AR$7:$AR$1506,0)))</f>
        <v/>
      </c>
      <c r="D39" s="112" t="str">
        <f aca="false">IF($B39="","",INDEX('CARNET DE SOUDURE'!$E$7:$E$1506,MATCH(28,'CARNET DE SOUDURE'!$AR$7:$AR$1506,0)))</f>
        <v/>
      </c>
      <c r="E39" s="112" t="str">
        <f aca="false">IF($B39="","",INDEX('CARNET DE SOUDURE'!$O$7:$O$1506,MATCH(28,'CARNET DE SOUDURE'!$AR$7:$AR$1506,0))&amp;" / "&amp;INDEX('CARNET DE SOUDURE'!$P$7:$P$1506,MATCH(28,'CARNET DE SOUDURE'!$AR$7:$AR$1506,0))&amp;" / "&amp;INDEX('CARNET DE SOUDURE'!$Q$7:$Q$1506,MATCH(28,'CARNET DE SOUDURE'!$AR$7:$AR$1506,0)))</f>
        <v/>
      </c>
      <c r="F39" s="113" t="str">
        <f aca="false">IF($B39="","",INDEX('CARNET DE SOUDURE'!$V$7:$V$1506,MATCH(28,'CARNET DE SOUDURE'!$AR$7:$AR$1506,0)))</f>
        <v/>
      </c>
      <c r="G39" s="112" t="str">
        <f aca="false">IF($B39="","",INDEX('CARNET DE SOUDURE'!$W$7:$W$1506,MATCH(28,'CARNET DE SOUDURE'!$AR$7:$AR$1506,0))&amp;"")</f>
        <v/>
      </c>
      <c r="H39" s="114" t="str">
        <f aca="false">IF($B39="","",INDEX('CARNET DE SOUDURE'!$X$7:$X$1506,MATCH(28,'CARNET DE SOUDURE'!$AR$7:$AR$1506,0)))</f>
        <v/>
      </c>
      <c r="I39" s="112" t="str">
        <f aca="false">IF($B39="","",INDEX('CARNET DE SOUDURE'!$Y$7:$Y$1506,MATCH(28,'CARNET DE SOUDURE'!$AR$7:$AR$1506,0))&amp;IF(INDEX('CARNET DE SOUDURE'!$AD$7:$AD$1506,MATCH(28,'CARNET DE SOUDURE'!$AR$7:$AR$1506,0))&lt;&gt;""," / "&amp;INDEX('CARNET DE SOUDURE'!$AD$7:$AD$1506,MATCH(28,'CARNET DE SOUDURE'!$AR$7:$AR$1506,0)),""))</f>
        <v/>
      </c>
      <c r="J39" s="112" t="str">
        <f aca="false">IF($B39="","",INDEX('CARNET DE SOUDURE'!$Z$7:$Z$1506,MATCH(28,'CARNET DE SOUDURE'!$AR$7:$AR$1506,0))&amp;IF(INDEX('CARNET DE SOUDURE'!$AE$7:$AE$1506,MATCH(28,'CARNET DE SOUDURE'!$AR$7:$AR$1506,0))&lt;&gt;""," / "&amp;INDEX('CARNET DE SOUDURE'!$AE$7:$AE$1506,MATCH(28,'CARNET DE SOUDURE'!$AR$7:$AR$1506,0)),""))</f>
        <v/>
      </c>
      <c r="K39" s="112" t="str">
        <f aca="false">IF($B39="","",INDEX('CARNET DE SOUDURE'!$AC$7:$AC$1506,MATCH(28,'CARNET DE SOUDURE'!$AR$7:$AR$1506,0))&amp;IF(INDEX('CARNET DE SOUDURE'!$AH$7:$AH$1506,MATCH(28,'CARNET DE SOUDURE'!$AR$7:$AR$1506,0))&lt;&gt;""," / "&amp;INDEX('CARNET DE SOUDURE'!$AH$7:$AH$1506,MATCH(28,'CARNET DE SOUDURE'!$AR$7:$AR$1506,0)),""))</f>
        <v/>
      </c>
      <c r="L39" s="114" t="str">
        <f aca="false">IF($B39="","",INDEX('CARNET DE SOUDURE'!$AL$7:$AL$1506,MATCH(28,'CARNET DE SOUDURE'!$AR$7:$AR$1506,0)))</f>
        <v/>
      </c>
      <c r="M39" s="114" t="str">
        <f aca="false">IF($B39="","",INDEX('CARNET DE SOUDURE'!$AM$7:$AM$1506,MATCH(28,'CARNET DE SOUDURE'!$AR$7:$AR$1506,0)))</f>
        <v/>
      </c>
      <c r="N39" s="115" t="str">
        <f aca="false">IF($B39="","",INDEX('CARNET DE SOUDURE'!$AN$7:$AN$1506,MATCH(28,'CARNET DE SOUDURE'!$AR$7:$AR$1506,0)))</f>
        <v/>
      </c>
    </row>
    <row r="40" customFormat="false" ht="15" hidden="false" customHeight="false" outlineLevel="0" collapsed="false">
      <c r="B40" s="107" t="str">
        <f aca="false">IF(29&gt;$I$4,"",29)</f>
        <v/>
      </c>
      <c r="C40" s="107" t="str">
        <f aca="false">IF($B40="","",INDEX('CARNET DE SOUDURE'!$B$7:$B$1506,MATCH(29,'CARNET DE SOUDURE'!$AR$7:$AR$1506,0)))</f>
        <v/>
      </c>
      <c r="D40" s="107" t="str">
        <f aca="false">IF($B40="","",INDEX('CARNET DE SOUDURE'!$E$7:$E$1506,MATCH(29,'CARNET DE SOUDURE'!$AR$7:$AR$1506,0)))</f>
        <v/>
      </c>
      <c r="E40" s="107" t="str">
        <f aca="false">IF($B40="","",INDEX('CARNET DE SOUDURE'!$O$7:$O$1506,MATCH(29,'CARNET DE SOUDURE'!$AR$7:$AR$1506,0))&amp;" / "&amp;INDEX('CARNET DE SOUDURE'!$P$7:$P$1506,MATCH(29,'CARNET DE SOUDURE'!$AR$7:$AR$1506,0))&amp;" / "&amp;INDEX('CARNET DE SOUDURE'!$Q$7:$Q$1506,MATCH(29,'CARNET DE SOUDURE'!$AR$7:$AR$1506,0)))</f>
        <v/>
      </c>
      <c r="F40" s="108" t="str">
        <f aca="false">IF($B40="","",INDEX('CARNET DE SOUDURE'!$V$7:$V$1506,MATCH(29,'CARNET DE SOUDURE'!$AR$7:$AR$1506,0)))</f>
        <v/>
      </c>
      <c r="G40" s="107" t="str">
        <f aca="false">IF($B40="","",INDEX('CARNET DE SOUDURE'!$W$7:$W$1506,MATCH(29,'CARNET DE SOUDURE'!$AR$7:$AR$1506,0))&amp;"")</f>
        <v/>
      </c>
      <c r="H40" s="109" t="str">
        <f aca="false">IF($B40="","",INDEX('CARNET DE SOUDURE'!$X$7:$X$1506,MATCH(29,'CARNET DE SOUDURE'!$AR$7:$AR$1506,0)))</f>
        <v/>
      </c>
      <c r="I40" s="107" t="str">
        <f aca="false">IF($B40="","",INDEX('CARNET DE SOUDURE'!$Y$7:$Y$1506,MATCH(29,'CARNET DE SOUDURE'!$AR$7:$AR$1506,0))&amp;IF(INDEX('CARNET DE SOUDURE'!$AD$7:$AD$1506,MATCH(29,'CARNET DE SOUDURE'!$AR$7:$AR$1506,0))&lt;&gt;""," / "&amp;INDEX('CARNET DE SOUDURE'!$AD$7:$AD$1506,MATCH(29,'CARNET DE SOUDURE'!$AR$7:$AR$1506,0)),""))</f>
        <v/>
      </c>
      <c r="J40" s="107" t="str">
        <f aca="false">IF($B40="","",INDEX('CARNET DE SOUDURE'!$Z$7:$Z$1506,MATCH(29,'CARNET DE SOUDURE'!$AR$7:$AR$1506,0))&amp;IF(INDEX('CARNET DE SOUDURE'!$AE$7:$AE$1506,MATCH(29,'CARNET DE SOUDURE'!$AR$7:$AR$1506,0))&lt;&gt;""," / "&amp;INDEX('CARNET DE SOUDURE'!$AE$7:$AE$1506,MATCH(29,'CARNET DE SOUDURE'!$AR$7:$AR$1506,0)),""))</f>
        <v/>
      </c>
      <c r="K40" s="107" t="str">
        <f aca="false">IF($B40="","",INDEX('CARNET DE SOUDURE'!$AC$7:$AC$1506,MATCH(29,'CARNET DE SOUDURE'!$AR$7:$AR$1506,0))&amp;IF(INDEX('CARNET DE SOUDURE'!$AH$7:$AH$1506,MATCH(29,'CARNET DE SOUDURE'!$AR$7:$AR$1506,0))&lt;&gt;""," / "&amp;INDEX('CARNET DE SOUDURE'!$AH$7:$AH$1506,MATCH(29,'CARNET DE SOUDURE'!$AR$7:$AR$1506,0)),""))</f>
        <v/>
      </c>
      <c r="L40" s="109" t="str">
        <f aca="false">IF($B40="","",INDEX('CARNET DE SOUDURE'!$AL$7:$AL$1506,MATCH(29,'CARNET DE SOUDURE'!$AR$7:$AR$1506,0)))</f>
        <v/>
      </c>
      <c r="M40" s="109" t="str">
        <f aca="false">IF($B40="","",INDEX('CARNET DE SOUDURE'!$AM$7:$AM$1506,MATCH(29,'CARNET DE SOUDURE'!$AR$7:$AR$1506,0)))</f>
        <v/>
      </c>
      <c r="N40" s="110" t="str">
        <f aca="false">IF($B40="","",INDEX('CARNET DE SOUDURE'!$AN$7:$AN$1506,MATCH(29,'CARNET DE SOUDURE'!$AR$7:$AR$1506,0)))</f>
        <v/>
      </c>
    </row>
    <row r="41" customFormat="false" ht="15" hidden="false" customHeight="false" outlineLevel="0" collapsed="false">
      <c r="B41" s="112" t="str">
        <f aca="false">IF(30&gt;$I$4,"",30)</f>
        <v/>
      </c>
      <c r="C41" s="112" t="str">
        <f aca="false">IF($B41="","",INDEX('CARNET DE SOUDURE'!$B$7:$B$1506,MATCH(30,'CARNET DE SOUDURE'!$AR$7:$AR$1506,0)))</f>
        <v/>
      </c>
      <c r="D41" s="112" t="str">
        <f aca="false">IF($B41="","",INDEX('CARNET DE SOUDURE'!$E$7:$E$1506,MATCH(30,'CARNET DE SOUDURE'!$AR$7:$AR$1506,0)))</f>
        <v/>
      </c>
      <c r="E41" s="112" t="str">
        <f aca="false">IF($B41="","",INDEX('CARNET DE SOUDURE'!$O$7:$O$1506,MATCH(30,'CARNET DE SOUDURE'!$AR$7:$AR$1506,0))&amp;" / "&amp;INDEX('CARNET DE SOUDURE'!$P$7:$P$1506,MATCH(30,'CARNET DE SOUDURE'!$AR$7:$AR$1506,0))&amp;" / "&amp;INDEX('CARNET DE SOUDURE'!$Q$7:$Q$1506,MATCH(30,'CARNET DE SOUDURE'!$AR$7:$AR$1506,0)))</f>
        <v/>
      </c>
      <c r="F41" s="113" t="str">
        <f aca="false">IF($B41="","",INDEX('CARNET DE SOUDURE'!$V$7:$V$1506,MATCH(30,'CARNET DE SOUDURE'!$AR$7:$AR$1506,0)))</f>
        <v/>
      </c>
      <c r="G41" s="112" t="str">
        <f aca="false">IF($B41="","",INDEX('CARNET DE SOUDURE'!$W$7:$W$1506,MATCH(30,'CARNET DE SOUDURE'!$AR$7:$AR$1506,0))&amp;"")</f>
        <v/>
      </c>
      <c r="H41" s="114" t="str">
        <f aca="false">IF($B41="","",INDEX('CARNET DE SOUDURE'!$X$7:$X$1506,MATCH(30,'CARNET DE SOUDURE'!$AR$7:$AR$1506,0)))</f>
        <v/>
      </c>
      <c r="I41" s="112" t="str">
        <f aca="false">IF($B41="","",INDEX('CARNET DE SOUDURE'!$Y$7:$Y$1506,MATCH(30,'CARNET DE SOUDURE'!$AR$7:$AR$1506,0))&amp;IF(INDEX('CARNET DE SOUDURE'!$AD$7:$AD$1506,MATCH(30,'CARNET DE SOUDURE'!$AR$7:$AR$1506,0))&lt;&gt;""," / "&amp;INDEX('CARNET DE SOUDURE'!$AD$7:$AD$1506,MATCH(30,'CARNET DE SOUDURE'!$AR$7:$AR$1506,0)),""))</f>
        <v/>
      </c>
      <c r="J41" s="112" t="str">
        <f aca="false">IF($B41="","",INDEX('CARNET DE SOUDURE'!$Z$7:$Z$1506,MATCH(30,'CARNET DE SOUDURE'!$AR$7:$AR$1506,0))&amp;IF(INDEX('CARNET DE SOUDURE'!$AE$7:$AE$1506,MATCH(30,'CARNET DE SOUDURE'!$AR$7:$AR$1506,0))&lt;&gt;""," / "&amp;INDEX('CARNET DE SOUDURE'!$AE$7:$AE$1506,MATCH(30,'CARNET DE SOUDURE'!$AR$7:$AR$1506,0)),""))</f>
        <v/>
      </c>
      <c r="K41" s="112" t="str">
        <f aca="false">IF($B41="","",INDEX('CARNET DE SOUDURE'!$AC$7:$AC$1506,MATCH(30,'CARNET DE SOUDURE'!$AR$7:$AR$1506,0))&amp;IF(INDEX('CARNET DE SOUDURE'!$AH$7:$AH$1506,MATCH(30,'CARNET DE SOUDURE'!$AR$7:$AR$1506,0))&lt;&gt;""," / "&amp;INDEX('CARNET DE SOUDURE'!$AH$7:$AH$1506,MATCH(30,'CARNET DE SOUDURE'!$AR$7:$AR$1506,0)),""))</f>
        <v/>
      </c>
      <c r="L41" s="114" t="str">
        <f aca="false">IF($B41="","",INDEX('CARNET DE SOUDURE'!$AL$7:$AL$1506,MATCH(30,'CARNET DE SOUDURE'!$AR$7:$AR$1506,0)))</f>
        <v/>
      </c>
      <c r="M41" s="114" t="str">
        <f aca="false">IF($B41="","",INDEX('CARNET DE SOUDURE'!$AM$7:$AM$1506,MATCH(30,'CARNET DE SOUDURE'!$AR$7:$AR$1506,0)))</f>
        <v/>
      </c>
      <c r="N41" s="115" t="str">
        <f aca="false">IF($B41="","",INDEX('CARNET DE SOUDURE'!$AN$7:$AN$1506,MATCH(30,'CARNET DE SOUDURE'!$AR$7:$AR$1506,0)))</f>
        <v/>
      </c>
    </row>
    <row r="42" customFormat="false" ht="15" hidden="false" customHeight="false" outlineLevel="0" collapsed="false">
      <c r="B42" s="107" t="str">
        <f aca="false">IF(31&gt;$I$4,"",31)</f>
        <v/>
      </c>
      <c r="C42" s="107" t="str">
        <f aca="false">IF($B42="","",INDEX('CARNET DE SOUDURE'!$B$7:$B$1506,MATCH(31,'CARNET DE SOUDURE'!$AR$7:$AR$1506,0)))</f>
        <v/>
      </c>
      <c r="D42" s="107" t="str">
        <f aca="false">IF($B42="","",INDEX('CARNET DE SOUDURE'!$E$7:$E$1506,MATCH(31,'CARNET DE SOUDURE'!$AR$7:$AR$1506,0)))</f>
        <v/>
      </c>
      <c r="E42" s="107" t="str">
        <f aca="false">IF($B42="","",INDEX('CARNET DE SOUDURE'!$O$7:$O$1506,MATCH(31,'CARNET DE SOUDURE'!$AR$7:$AR$1506,0))&amp;" / "&amp;INDEX('CARNET DE SOUDURE'!$P$7:$P$1506,MATCH(31,'CARNET DE SOUDURE'!$AR$7:$AR$1506,0))&amp;" / "&amp;INDEX('CARNET DE SOUDURE'!$Q$7:$Q$1506,MATCH(31,'CARNET DE SOUDURE'!$AR$7:$AR$1506,0)))</f>
        <v/>
      </c>
      <c r="F42" s="108" t="str">
        <f aca="false">IF($B42="","",INDEX('CARNET DE SOUDURE'!$V$7:$V$1506,MATCH(31,'CARNET DE SOUDURE'!$AR$7:$AR$1506,0)))</f>
        <v/>
      </c>
      <c r="G42" s="107" t="str">
        <f aca="false">IF($B42="","",INDEX('CARNET DE SOUDURE'!$W$7:$W$1506,MATCH(31,'CARNET DE SOUDURE'!$AR$7:$AR$1506,0))&amp;"")</f>
        <v/>
      </c>
      <c r="H42" s="109" t="str">
        <f aca="false">IF($B42="","",INDEX('CARNET DE SOUDURE'!$X$7:$X$1506,MATCH(31,'CARNET DE SOUDURE'!$AR$7:$AR$1506,0)))</f>
        <v/>
      </c>
      <c r="I42" s="107" t="str">
        <f aca="false">IF($B42="","",INDEX('CARNET DE SOUDURE'!$Y$7:$Y$1506,MATCH(31,'CARNET DE SOUDURE'!$AR$7:$AR$1506,0))&amp;IF(INDEX('CARNET DE SOUDURE'!$AD$7:$AD$1506,MATCH(31,'CARNET DE SOUDURE'!$AR$7:$AR$1506,0))&lt;&gt;""," / "&amp;INDEX('CARNET DE SOUDURE'!$AD$7:$AD$1506,MATCH(31,'CARNET DE SOUDURE'!$AR$7:$AR$1506,0)),""))</f>
        <v/>
      </c>
      <c r="J42" s="107" t="str">
        <f aca="false">IF($B42="","",INDEX('CARNET DE SOUDURE'!$Z$7:$Z$1506,MATCH(31,'CARNET DE SOUDURE'!$AR$7:$AR$1506,0))&amp;IF(INDEX('CARNET DE SOUDURE'!$AE$7:$AE$1506,MATCH(31,'CARNET DE SOUDURE'!$AR$7:$AR$1506,0))&lt;&gt;""," / "&amp;INDEX('CARNET DE SOUDURE'!$AE$7:$AE$1506,MATCH(31,'CARNET DE SOUDURE'!$AR$7:$AR$1506,0)),""))</f>
        <v/>
      </c>
      <c r="K42" s="107" t="str">
        <f aca="false">IF($B42="","",INDEX('CARNET DE SOUDURE'!$AC$7:$AC$1506,MATCH(31,'CARNET DE SOUDURE'!$AR$7:$AR$1506,0))&amp;IF(INDEX('CARNET DE SOUDURE'!$AH$7:$AH$1506,MATCH(31,'CARNET DE SOUDURE'!$AR$7:$AR$1506,0))&lt;&gt;""," / "&amp;INDEX('CARNET DE SOUDURE'!$AH$7:$AH$1506,MATCH(31,'CARNET DE SOUDURE'!$AR$7:$AR$1506,0)),""))</f>
        <v/>
      </c>
      <c r="L42" s="109" t="str">
        <f aca="false">IF($B42="","",INDEX('CARNET DE SOUDURE'!$AL$7:$AL$1506,MATCH(31,'CARNET DE SOUDURE'!$AR$7:$AR$1506,0)))</f>
        <v/>
      </c>
      <c r="M42" s="109" t="str">
        <f aca="false">IF($B42="","",INDEX('CARNET DE SOUDURE'!$AM$7:$AM$1506,MATCH(31,'CARNET DE SOUDURE'!$AR$7:$AR$1506,0)))</f>
        <v/>
      </c>
      <c r="N42" s="110" t="str">
        <f aca="false">IF($B42="","",INDEX('CARNET DE SOUDURE'!$AN$7:$AN$1506,MATCH(31,'CARNET DE SOUDURE'!$AR$7:$AR$1506,0)))</f>
        <v/>
      </c>
    </row>
    <row r="43" customFormat="false" ht="15" hidden="false" customHeight="false" outlineLevel="0" collapsed="false">
      <c r="B43" s="112" t="str">
        <f aca="false">IF(32&gt;$I$4,"",32)</f>
        <v/>
      </c>
      <c r="C43" s="112" t="str">
        <f aca="false">IF($B43="","",INDEX('CARNET DE SOUDURE'!$B$7:$B$1506,MATCH(32,'CARNET DE SOUDURE'!$AR$7:$AR$1506,0)))</f>
        <v/>
      </c>
      <c r="D43" s="112" t="str">
        <f aca="false">IF($B43="","",INDEX('CARNET DE SOUDURE'!$E$7:$E$1506,MATCH(32,'CARNET DE SOUDURE'!$AR$7:$AR$1506,0)))</f>
        <v/>
      </c>
      <c r="E43" s="112" t="str">
        <f aca="false">IF($B43="","",INDEX('CARNET DE SOUDURE'!$O$7:$O$1506,MATCH(32,'CARNET DE SOUDURE'!$AR$7:$AR$1506,0))&amp;" / "&amp;INDEX('CARNET DE SOUDURE'!$P$7:$P$1506,MATCH(32,'CARNET DE SOUDURE'!$AR$7:$AR$1506,0))&amp;" / "&amp;INDEX('CARNET DE SOUDURE'!$Q$7:$Q$1506,MATCH(32,'CARNET DE SOUDURE'!$AR$7:$AR$1506,0)))</f>
        <v/>
      </c>
      <c r="F43" s="113" t="str">
        <f aca="false">IF($B43="","",INDEX('CARNET DE SOUDURE'!$V$7:$V$1506,MATCH(32,'CARNET DE SOUDURE'!$AR$7:$AR$1506,0)))</f>
        <v/>
      </c>
      <c r="G43" s="112" t="str">
        <f aca="false">IF($B43="","",INDEX('CARNET DE SOUDURE'!$W$7:$W$1506,MATCH(32,'CARNET DE SOUDURE'!$AR$7:$AR$1506,0))&amp;"")</f>
        <v/>
      </c>
      <c r="H43" s="114" t="str">
        <f aca="false">IF($B43="","",INDEX('CARNET DE SOUDURE'!$X$7:$X$1506,MATCH(32,'CARNET DE SOUDURE'!$AR$7:$AR$1506,0)))</f>
        <v/>
      </c>
      <c r="I43" s="112" t="str">
        <f aca="false">IF($B43="","",INDEX('CARNET DE SOUDURE'!$Y$7:$Y$1506,MATCH(32,'CARNET DE SOUDURE'!$AR$7:$AR$1506,0))&amp;IF(INDEX('CARNET DE SOUDURE'!$AD$7:$AD$1506,MATCH(32,'CARNET DE SOUDURE'!$AR$7:$AR$1506,0))&lt;&gt;""," / "&amp;INDEX('CARNET DE SOUDURE'!$AD$7:$AD$1506,MATCH(32,'CARNET DE SOUDURE'!$AR$7:$AR$1506,0)),""))</f>
        <v/>
      </c>
      <c r="J43" s="112" t="str">
        <f aca="false">IF($B43="","",INDEX('CARNET DE SOUDURE'!$Z$7:$Z$1506,MATCH(32,'CARNET DE SOUDURE'!$AR$7:$AR$1506,0))&amp;IF(INDEX('CARNET DE SOUDURE'!$AE$7:$AE$1506,MATCH(32,'CARNET DE SOUDURE'!$AR$7:$AR$1506,0))&lt;&gt;""," / "&amp;INDEX('CARNET DE SOUDURE'!$AE$7:$AE$1506,MATCH(32,'CARNET DE SOUDURE'!$AR$7:$AR$1506,0)),""))</f>
        <v/>
      </c>
      <c r="K43" s="112" t="str">
        <f aca="false">IF($B43="","",INDEX('CARNET DE SOUDURE'!$AC$7:$AC$1506,MATCH(32,'CARNET DE SOUDURE'!$AR$7:$AR$1506,0))&amp;IF(INDEX('CARNET DE SOUDURE'!$AH$7:$AH$1506,MATCH(32,'CARNET DE SOUDURE'!$AR$7:$AR$1506,0))&lt;&gt;""," / "&amp;INDEX('CARNET DE SOUDURE'!$AH$7:$AH$1506,MATCH(32,'CARNET DE SOUDURE'!$AR$7:$AR$1506,0)),""))</f>
        <v/>
      </c>
      <c r="L43" s="114" t="str">
        <f aca="false">IF($B43="","",INDEX('CARNET DE SOUDURE'!$AL$7:$AL$1506,MATCH(32,'CARNET DE SOUDURE'!$AR$7:$AR$1506,0)))</f>
        <v/>
      </c>
      <c r="M43" s="114" t="str">
        <f aca="false">IF($B43="","",INDEX('CARNET DE SOUDURE'!$AM$7:$AM$1506,MATCH(32,'CARNET DE SOUDURE'!$AR$7:$AR$1506,0)))</f>
        <v/>
      </c>
      <c r="N43" s="115" t="str">
        <f aca="false">IF($B43="","",INDEX('CARNET DE SOUDURE'!$AN$7:$AN$1506,MATCH(32,'CARNET DE SOUDURE'!$AR$7:$AR$1506,0)))</f>
        <v/>
      </c>
    </row>
    <row r="44" customFormat="false" ht="15" hidden="false" customHeight="false" outlineLevel="0" collapsed="false">
      <c r="B44" s="107" t="str">
        <f aca="false">IF(33&gt;$I$4,"",33)</f>
        <v/>
      </c>
      <c r="C44" s="107" t="str">
        <f aca="false">IF($B44="","",INDEX('CARNET DE SOUDURE'!$B$7:$B$1506,MATCH(33,'CARNET DE SOUDURE'!$AR$7:$AR$1506,0)))</f>
        <v/>
      </c>
      <c r="D44" s="107" t="str">
        <f aca="false">IF($B44="","",INDEX('CARNET DE SOUDURE'!$E$7:$E$1506,MATCH(33,'CARNET DE SOUDURE'!$AR$7:$AR$1506,0)))</f>
        <v/>
      </c>
      <c r="E44" s="107" t="str">
        <f aca="false">IF($B44="","",INDEX('CARNET DE SOUDURE'!$O$7:$O$1506,MATCH(33,'CARNET DE SOUDURE'!$AR$7:$AR$1506,0))&amp;" / "&amp;INDEX('CARNET DE SOUDURE'!$P$7:$P$1506,MATCH(33,'CARNET DE SOUDURE'!$AR$7:$AR$1506,0))&amp;" / "&amp;INDEX('CARNET DE SOUDURE'!$Q$7:$Q$1506,MATCH(33,'CARNET DE SOUDURE'!$AR$7:$AR$1506,0)))</f>
        <v/>
      </c>
      <c r="F44" s="108" t="str">
        <f aca="false">IF($B44="","",INDEX('CARNET DE SOUDURE'!$V$7:$V$1506,MATCH(33,'CARNET DE SOUDURE'!$AR$7:$AR$1506,0)))</f>
        <v/>
      </c>
      <c r="G44" s="107" t="str">
        <f aca="false">IF($B44="","",INDEX('CARNET DE SOUDURE'!$W$7:$W$1506,MATCH(33,'CARNET DE SOUDURE'!$AR$7:$AR$1506,0))&amp;"")</f>
        <v/>
      </c>
      <c r="H44" s="109" t="str">
        <f aca="false">IF($B44="","",INDEX('CARNET DE SOUDURE'!$X$7:$X$1506,MATCH(33,'CARNET DE SOUDURE'!$AR$7:$AR$1506,0)))</f>
        <v/>
      </c>
      <c r="I44" s="107" t="str">
        <f aca="false">IF($B44="","",INDEX('CARNET DE SOUDURE'!$Y$7:$Y$1506,MATCH(33,'CARNET DE SOUDURE'!$AR$7:$AR$1506,0))&amp;IF(INDEX('CARNET DE SOUDURE'!$AD$7:$AD$1506,MATCH(33,'CARNET DE SOUDURE'!$AR$7:$AR$1506,0))&lt;&gt;""," / "&amp;INDEX('CARNET DE SOUDURE'!$AD$7:$AD$1506,MATCH(33,'CARNET DE SOUDURE'!$AR$7:$AR$1506,0)),""))</f>
        <v/>
      </c>
      <c r="J44" s="107" t="str">
        <f aca="false">IF($B44="","",INDEX('CARNET DE SOUDURE'!$Z$7:$Z$1506,MATCH(33,'CARNET DE SOUDURE'!$AR$7:$AR$1506,0))&amp;IF(INDEX('CARNET DE SOUDURE'!$AE$7:$AE$1506,MATCH(33,'CARNET DE SOUDURE'!$AR$7:$AR$1506,0))&lt;&gt;""," / "&amp;INDEX('CARNET DE SOUDURE'!$AE$7:$AE$1506,MATCH(33,'CARNET DE SOUDURE'!$AR$7:$AR$1506,0)),""))</f>
        <v/>
      </c>
      <c r="K44" s="107" t="str">
        <f aca="false">IF($B44="","",INDEX('CARNET DE SOUDURE'!$AC$7:$AC$1506,MATCH(33,'CARNET DE SOUDURE'!$AR$7:$AR$1506,0))&amp;IF(INDEX('CARNET DE SOUDURE'!$AH$7:$AH$1506,MATCH(33,'CARNET DE SOUDURE'!$AR$7:$AR$1506,0))&lt;&gt;""," / "&amp;INDEX('CARNET DE SOUDURE'!$AH$7:$AH$1506,MATCH(33,'CARNET DE SOUDURE'!$AR$7:$AR$1506,0)),""))</f>
        <v/>
      </c>
      <c r="L44" s="109" t="str">
        <f aca="false">IF($B44="","",INDEX('CARNET DE SOUDURE'!$AL$7:$AL$1506,MATCH(33,'CARNET DE SOUDURE'!$AR$7:$AR$1506,0)))</f>
        <v/>
      </c>
      <c r="M44" s="109" t="str">
        <f aca="false">IF($B44="","",INDEX('CARNET DE SOUDURE'!$AM$7:$AM$1506,MATCH(33,'CARNET DE SOUDURE'!$AR$7:$AR$1506,0)))</f>
        <v/>
      </c>
      <c r="N44" s="110" t="str">
        <f aca="false">IF($B44="","",INDEX('CARNET DE SOUDURE'!$AN$7:$AN$1506,MATCH(33,'CARNET DE SOUDURE'!$AR$7:$AR$1506,0)))</f>
        <v/>
      </c>
    </row>
    <row r="45" customFormat="false" ht="15" hidden="false" customHeight="false" outlineLevel="0" collapsed="false">
      <c r="B45" s="112" t="str">
        <f aca="false">IF(34&gt;$I$4,"",34)</f>
        <v/>
      </c>
      <c r="C45" s="112" t="str">
        <f aca="false">IF($B45="","",INDEX('CARNET DE SOUDURE'!$B$7:$B$1506,MATCH(34,'CARNET DE SOUDURE'!$AR$7:$AR$1506,0)))</f>
        <v/>
      </c>
      <c r="D45" s="112" t="str">
        <f aca="false">IF($B45="","",INDEX('CARNET DE SOUDURE'!$E$7:$E$1506,MATCH(34,'CARNET DE SOUDURE'!$AR$7:$AR$1506,0)))</f>
        <v/>
      </c>
      <c r="E45" s="112" t="str">
        <f aca="false">IF($B45="","",INDEX('CARNET DE SOUDURE'!$O$7:$O$1506,MATCH(34,'CARNET DE SOUDURE'!$AR$7:$AR$1506,0))&amp;" / "&amp;INDEX('CARNET DE SOUDURE'!$P$7:$P$1506,MATCH(34,'CARNET DE SOUDURE'!$AR$7:$AR$1506,0))&amp;" / "&amp;INDEX('CARNET DE SOUDURE'!$Q$7:$Q$1506,MATCH(34,'CARNET DE SOUDURE'!$AR$7:$AR$1506,0)))</f>
        <v/>
      </c>
      <c r="F45" s="113" t="str">
        <f aca="false">IF($B45="","",INDEX('CARNET DE SOUDURE'!$V$7:$V$1506,MATCH(34,'CARNET DE SOUDURE'!$AR$7:$AR$1506,0)))</f>
        <v/>
      </c>
      <c r="G45" s="112" t="str">
        <f aca="false">IF($B45="","",INDEX('CARNET DE SOUDURE'!$W$7:$W$1506,MATCH(34,'CARNET DE SOUDURE'!$AR$7:$AR$1506,0))&amp;"")</f>
        <v/>
      </c>
      <c r="H45" s="114" t="str">
        <f aca="false">IF($B45="","",INDEX('CARNET DE SOUDURE'!$X$7:$X$1506,MATCH(34,'CARNET DE SOUDURE'!$AR$7:$AR$1506,0)))</f>
        <v/>
      </c>
      <c r="I45" s="112" t="str">
        <f aca="false">IF($B45="","",INDEX('CARNET DE SOUDURE'!$Y$7:$Y$1506,MATCH(34,'CARNET DE SOUDURE'!$AR$7:$AR$1506,0))&amp;IF(INDEX('CARNET DE SOUDURE'!$AD$7:$AD$1506,MATCH(34,'CARNET DE SOUDURE'!$AR$7:$AR$1506,0))&lt;&gt;""," / "&amp;INDEX('CARNET DE SOUDURE'!$AD$7:$AD$1506,MATCH(34,'CARNET DE SOUDURE'!$AR$7:$AR$1506,0)),""))</f>
        <v/>
      </c>
      <c r="J45" s="112" t="str">
        <f aca="false">IF($B45="","",INDEX('CARNET DE SOUDURE'!$Z$7:$Z$1506,MATCH(34,'CARNET DE SOUDURE'!$AR$7:$AR$1506,0))&amp;IF(INDEX('CARNET DE SOUDURE'!$AE$7:$AE$1506,MATCH(34,'CARNET DE SOUDURE'!$AR$7:$AR$1506,0))&lt;&gt;""," / "&amp;INDEX('CARNET DE SOUDURE'!$AE$7:$AE$1506,MATCH(34,'CARNET DE SOUDURE'!$AR$7:$AR$1506,0)),""))</f>
        <v/>
      </c>
      <c r="K45" s="112" t="str">
        <f aca="false">IF($B45="","",INDEX('CARNET DE SOUDURE'!$AC$7:$AC$1506,MATCH(34,'CARNET DE SOUDURE'!$AR$7:$AR$1506,0))&amp;IF(INDEX('CARNET DE SOUDURE'!$AH$7:$AH$1506,MATCH(34,'CARNET DE SOUDURE'!$AR$7:$AR$1506,0))&lt;&gt;""," / "&amp;INDEX('CARNET DE SOUDURE'!$AH$7:$AH$1506,MATCH(34,'CARNET DE SOUDURE'!$AR$7:$AR$1506,0)),""))</f>
        <v/>
      </c>
      <c r="L45" s="114" t="str">
        <f aca="false">IF($B45="","",INDEX('CARNET DE SOUDURE'!$AL$7:$AL$1506,MATCH(34,'CARNET DE SOUDURE'!$AR$7:$AR$1506,0)))</f>
        <v/>
      </c>
      <c r="M45" s="114" t="str">
        <f aca="false">IF($B45="","",INDEX('CARNET DE SOUDURE'!$AM$7:$AM$1506,MATCH(34,'CARNET DE SOUDURE'!$AR$7:$AR$1506,0)))</f>
        <v/>
      </c>
      <c r="N45" s="115" t="str">
        <f aca="false">IF($B45="","",INDEX('CARNET DE SOUDURE'!$AN$7:$AN$1506,MATCH(34,'CARNET DE SOUDURE'!$AR$7:$AR$1506,0)))</f>
        <v/>
      </c>
    </row>
    <row r="46" customFormat="false" ht="15" hidden="false" customHeight="false" outlineLevel="0" collapsed="false">
      <c r="B46" s="107" t="str">
        <f aca="false">IF(35&gt;$I$4,"",35)</f>
        <v/>
      </c>
      <c r="C46" s="107" t="str">
        <f aca="false">IF($B46="","",INDEX('CARNET DE SOUDURE'!$B$7:$B$1506,MATCH(35,'CARNET DE SOUDURE'!$AR$7:$AR$1506,0)))</f>
        <v/>
      </c>
      <c r="D46" s="107" t="str">
        <f aca="false">IF($B46="","",INDEX('CARNET DE SOUDURE'!$E$7:$E$1506,MATCH(35,'CARNET DE SOUDURE'!$AR$7:$AR$1506,0)))</f>
        <v/>
      </c>
      <c r="E46" s="107" t="str">
        <f aca="false">IF($B46="","",INDEX('CARNET DE SOUDURE'!$O$7:$O$1506,MATCH(35,'CARNET DE SOUDURE'!$AR$7:$AR$1506,0))&amp;" / "&amp;INDEX('CARNET DE SOUDURE'!$P$7:$P$1506,MATCH(35,'CARNET DE SOUDURE'!$AR$7:$AR$1506,0))&amp;" / "&amp;INDEX('CARNET DE SOUDURE'!$Q$7:$Q$1506,MATCH(35,'CARNET DE SOUDURE'!$AR$7:$AR$1506,0)))</f>
        <v/>
      </c>
      <c r="F46" s="108" t="str">
        <f aca="false">IF($B46="","",INDEX('CARNET DE SOUDURE'!$V$7:$V$1506,MATCH(35,'CARNET DE SOUDURE'!$AR$7:$AR$1506,0)))</f>
        <v/>
      </c>
      <c r="G46" s="107" t="str">
        <f aca="false">IF($B46="","",INDEX('CARNET DE SOUDURE'!$W$7:$W$1506,MATCH(35,'CARNET DE SOUDURE'!$AR$7:$AR$1506,0))&amp;"")</f>
        <v/>
      </c>
      <c r="H46" s="109" t="str">
        <f aca="false">IF($B46="","",INDEX('CARNET DE SOUDURE'!$X$7:$X$1506,MATCH(35,'CARNET DE SOUDURE'!$AR$7:$AR$1506,0)))</f>
        <v/>
      </c>
      <c r="I46" s="107" t="str">
        <f aca="false">IF($B46="","",INDEX('CARNET DE SOUDURE'!$Y$7:$Y$1506,MATCH(35,'CARNET DE SOUDURE'!$AR$7:$AR$1506,0))&amp;IF(INDEX('CARNET DE SOUDURE'!$AD$7:$AD$1506,MATCH(35,'CARNET DE SOUDURE'!$AR$7:$AR$1506,0))&lt;&gt;""," / "&amp;INDEX('CARNET DE SOUDURE'!$AD$7:$AD$1506,MATCH(35,'CARNET DE SOUDURE'!$AR$7:$AR$1506,0)),""))</f>
        <v/>
      </c>
      <c r="J46" s="107" t="str">
        <f aca="false">IF($B46="","",INDEX('CARNET DE SOUDURE'!$Z$7:$Z$1506,MATCH(35,'CARNET DE SOUDURE'!$AR$7:$AR$1506,0))&amp;IF(INDEX('CARNET DE SOUDURE'!$AE$7:$AE$1506,MATCH(35,'CARNET DE SOUDURE'!$AR$7:$AR$1506,0))&lt;&gt;""," / "&amp;INDEX('CARNET DE SOUDURE'!$AE$7:$AE$1506,MATCH(35,'CARNET DE SOUDURE'!$AR$7:$AR$1506,0)),""))</f>
        <v/>
      </c>
      <c r="K46" s="107" t="str">
        <f aca="false">IF($B46="","",INDEX('CARNET DE SOUDURE'!$AC$7:$AC$1506,MATCH(35,'CARNET DE SOUDURE'!$AR$7:$AR$1506,0))&amp;IF(INDEX('CARNET DE SOUDURE'!$AH$7:$AH$1506,MATCH(35,'CARNET DE SOUDURE'!$AR$7:$AR$1506,0))&lt;&gt;""," / "&amp;INDEX('CARNET DE SOUDURE'!$AH$7:$AH$1506,MATCH(35,'CARNET DE SOUDURE'!$AR$7:$AR$1506,0)),""))</f>
        <v/>
      </c>
      <c r="L46" s="109" t="str">
        <f aca="false">IF($B46="","",INDEX('CARNET DE SOUDURE'!$AL$7:$AL$1506,MATCH(35,'CARNET DE SOUDURE'!$AR$7:$AR$1506,0)))</f>
        <v/>
      </c>
      <c r="M46" s="109" t="str">
        <f aca="false">IF($B46="","",INDEX('CARNET DE SOUDURE'!$AM$7:$AM$1506,MATCH(35,'CARNET DE SOUDURE'!$AR$7:$AR$1506,0)))</f>
        <v/>
      </c>
      <c r="N46" s="110" t="str">
        <f aca="false">IF($B46="","",INDEX('CARNET DE SOUDURE'!$AN$7:$AN$1506,MATCH(35,'CARNET DE SOUDURE'!$AR$7:$AR$1506,0)))</f>
        <v/>
      </c>
    </row>
    <row r="47" customFormat="false" ht="15" hidden="false" customHeight="false" outlineLevel="0" collapsed="false">
      <c r="B47" s="112" t="str">
        <f aca="false">IF(36&gt;$I$4,"",36)</f>
        <v/>
      </c>
      <c r="C47" s="112" t="str">
        <f aca="false">IF($B47="","",INDEX('CARNET DE SOUDURE'!$B$7:$B$1506,MATCH(36,'CARNET DE SOUDURE'!$AR$7:$AR$1506,0)))</f>
        <v/>
      </c>
      <c r="D47" s="112" t="str">
        <f aca="false">IF($B47="","",INDEX('CARNET DE SOUDURE'!$E$7:$E$1506,MATCH(36,'CARNET DE SOUDURE'!$AR$7:$AR$1506,0)))</f>
        <v/>
      </c>
      <c r="E47" s="112" t="str">
        <f aca="false">IF($B47="","",INDEX('CARNET DE SOUDURE'!$O$7:$O$1506,MATCH(36,'CARNET DE SOUDURE'!$AR$7:$AR$1506,0))&amp;" / "&amp;INDEX('CARNET DE SOUDURE'!$P$7:$P$1506,MATCH(36,'CARNET DE SOUDURE'!$AR$7:$AR$1506,0))&amp;" / "&amp;INDEX('CARNET DE SOUDURE'!$Q$7:$Q$1506,MATCH(36,'CARNET DE SOUDURE'!$AR$7:$AR$1506,0)))</f>
        <v/>
      </c>
      <c r="F47" s="113" t="str">
        <f aca="false">IF($B47="","",INDEX('CARNET DE SOUDURE'!$V$7:$V$1506,MATCH(36,'CARNET DE SOUDURE'!$AR$7:$AR$1506,0)))</f>
        <v/>
      </c>
      <c r="G47" s="112" t="str">
        <f aca="false">IF($B47="","",INDEX('CARNET DE SOUDURE'!$W$7:$W$1506,MATCH(36,'CARNET DE SOUDURE'!$AR$7:$AR$1506,0))&amp;"")</f>
        <v/>
      </c>
      <c r="H47" s="114" t="str">
        <f aca="false">IF($B47="","",INDEX('CARNET DE SOUDURE'!$X$7:$X$1506,MATCH(36,'CARNET DE SOUDURE'!$AR$7:$AR$1506,0)))</f>
        <v/>
      </c>
      <c r="I47" s="112" t="str">
        <f aca="false">IF($B47="","",INDEX('CARNET DE SOUDURE'!$Y$7:$Y$1506,MATCH(36,'CARNET DE SOUDURE'!$AR$7:$AR$1506,0))&amp;IF(INDEX('CARNET DE SOUDURE'!$AD$7:$AD$1506,MATCH(36,'CARNET DE SOUDURE'!$AR$7:$AR$1506,0))&lt;&gt;""," / "&amp;INDEX('CARNET DE SOUDURE'!$AD$7:$AD$1506,MATCH(36,'CARNET DE SOUDURE'!$AR$7:$AR$1506,0)),""))</f>
        <v/>
      </c>
      <c r="J47" s="112" t="str">
        <f aca="false">IF($B47="","",INDEX('CARNET DE SOUDURE'!$Z$7:$Z$1506,MATCH(36,'CARNET DE SOUDURE'!$AR$7:$AR$1506,0))&amp;IF(INDEX('CARNET DE SOUDURE'!$AE$7:$AE$1506,MATCH(36,'CARNET DE SOUDURE'!$AR$7:$AR$1506,0))&lt;&gt;""," / "&amp;INDEX('CARNET DE SOUDURE'!$AE$7:$AE$1506,MATCH(36,'CARNET DE SOUDURE'!$AR$7:$AR$1506,0)),""))</f>
        <v/>
      </c>
      <c r="K47" s="112" t="str">
        <f aca="false">IF($B47="","",INDEX('CARNET DE SOUDURE'!$AC$7:$AC$1506,MATCH(36,'CARNET DE SOUDURE'!$AR$7:$AR$1506,0))&amp;IF(INDEX('CARNET DE SOUDURE'!$AH$7:$AH$1506,MATCH(36,'CARNET DE SOUDURE'!$AR$7:$AR$1506,0))&lt;&gt;""," / "&amp;INDEX('CARNET DE SOUDURE'!$AH$7:$AH$1506,MATCH(36,'CARNET DE SOUDURE'!$AR$7:$AR$1506,0)),""))</f>
        <v/>
      </c>
      <c r="L47" s="114" t="str">
        <f aca="false">IF($B47="","",INDEX('CARNET DE SOUDURE'!$AL$7:$AL$1506,MATCH(36,'CARNET DE SOUDURE'!$AR$7:$AR$1506,0)))</f>
        <v/>
      </c>
      <c r="M47" s="114" t="str">
        <f aca="false">IF($B47="","",INDEX('CARNET DE SOUDURE'!$AM$7:$AM$1506,MATCH(36,'CARNET DE SOUDURE'!$AR$7:$AR$1506,0)))</f>
        <v/>
      </c>
      <c r="N47" s="115" t="str">
        <f aca="false">IF($B47="","",INDEX('CARNET DE SOUDURE'!$AN$7:$AN$1506,MATCH(36,'CARNET DE SOUDURE'!$AR$7:$AR$1506,0)))</f>
        <v/>
      </c>
    </row>
    <row r="48" customFormat="false" ht="15" hidden="false" customHeight="false" outlineLevel="0" collapsed="false">
      <c r="B48" s="107" t="str">
        <f aca="false">IF(37&gt;$I$4,"",37)</f>
        <v/>
      </c>
      <c r="C48" s="107" t="str">
        <f aca="false">IF($B48="","",INDEX('CARNET DE SOUDURE'!$B$7:$B$1506,MATCH(37,'CARNET DE SOUDURE'!$AR$7:$AR$1506,0)))</f>
        <v/>
      </c>
      <c r="D48" s="107" t="str">
        <f aca="false">IF($B48="","",INDEX('CARNET DE SOUDURE'!$E$7:$E$1506,MATCH(37,'CARNET DE SOUDURE'!$AR$7:$AR$1506,0)))</f>
        <v/>
      </c>
      <c r="E48" s="107" t="str">
        <f aca="false">IF($B48="","",INDEX('CARNET DE SOUDURE'!$O$7:$O$1506,MATCH(37,'CARNET DE SOUDURE'!$AR$7:$AR$1506,0))&amp;" / "&amp;INDEX('CARNET DE SOUDURE'!$P$7:$P$1506,MATCH(37,'CARNET DE SOUDURE'!$AR$7:$AR$1506,0))&amp;" / "&amp;INDEX('CARNET DE SOUDURE'!$Q$7:$Q$1506,MATCH(37,'CARNET DE SOUDURE'!$AR$7:$AR$1506,0)))</f>
        <v/>
      </c>
      <c r="F48" s="108" t="str">
        <f aca="false">IF($B48="","",INDEX('CARNET DE SOUDURE'!$V$7:$V$1506,MATCH(37,'CARNET DE SOUDURE'!$AR$7:$AR$1506,0)))</f>
        <v/>
      </c>
      <c r="G48" s="107" t="str">
        <f aca="false">IF($B48="","",INDEX('CARNET DE SOUDURE'!$W$7:$W$1506,MATCH(37,'CARNET DE SOUDURE'!$AR$7:$AR$1506,0))&amp;"")</f>
        <v/>
      </c>
      <c r="H48" s="109" t="str">
        <f aca="false">IF($B48="","",INDEX('CARNET DE SOUDURE'!$X$7:$X$1506,MATCH(37,'CARNET DE SOUDURE'!$AR$7:$AR$1506,0)))</f>
        <v/>
      </c>
      <c r="I48" s="107" t="str">
        <f aca="false">IF($B48="","",INDEX('CARNET DE SOUDURE'!$Y$7:$Y$1506,MATCH(37,'CARNET DE SOUDURE'!$AR$7:$AR$1506,0))&amp;IF(INDEX('CARNET DE SOUDURE'!$AD$7:$AD$1506,MATCH(37,'CARNET DE SOUDURE'!$AR$7:$AR$1506,0))&lt;&gt;""," / "&amp;INDEX('CARNET DE SOUDURE'!$AD$7:$AD$1506,MATCH(37,'CARNET DE SOUDURE'!$AR$7:$AR$1506,0)),""))</f>
        <v/>
      </c>
      <c r="J48" s="107" t="str">
        <f aca="false">IF($B48="","",INDEX('CARNET DE SOUDURE'!$Z$7:$Z$1506,MATCH(37,'CARNET DE SOUDURE'!$AR$7:$AR$1506,0))&amp;IF(INDEX('CARNET DE SOUDURE'!$AE$7:$AE$1506,MATCH(37,'CARNET DE SOUDURE'!$AR$7:$AR$1506,0))&lt;&gt;""," / "&amp;INDEX('CARNET DE SOUDURE'!$AE$7:$AE$1506,MATCH(37,'CARNET DE SOUDURE'!$AR$7:$AR$1506,0)),""))</f>
        <v/>
      </c>
      <c r="K48" s="107" t="str">
        <f aca="false">IF($B48="","",INDEX('CARNET DE SOUDURE'!$AC$7:$AC$1506,MATCH(37,'CARNET DE SOUDURE'!$AR$7:$AR$1506,0))&amp;IF(INDEX('CARNET DE SOUDURE'!$AH$7:$AH$1506,MATCH(37,'CARNET DE SOUDURE'!$AR$7:$AR$1506,0))&lt;&gt;""," / "&amp;INDEX('CARNET DE SOUDURE'!$AH$7:$AH$1506,MATCH(37,'CARNET DE SOUDURE'!$AR$7:$AR$1506,0)),""))</f>
        <v/>
      </c>
      <c r="L48" s="109" t="str">
        <f aca="false">IF($B48="","",INDEX('CARNET DE SOUDURE'!$AL$7:$AL$1506,MATCH(37,'CARNET DE SOUDURE'!$AR$7:$AR$1506,0)))</f>
        <v/>
      </c>
      <c r="M48" s="109" t="str">
        <f aca="false">IF($B48="","",INDEX('CARNET DE SOUDURE'!$AM$7:$AM$1506,MATCH(37,'CARNET DE SOUDURE'!$AR$7:$AR$1506,0)))</f>
        <v/>
      </c>
      <c r="N48" s="110" t="str">
        <f aca="false">IF($B48="","",INDEX('CARNET DE SOUDURE'!$AN$7:$AN$1506,MATCH(37,'CARNET DE SOUDURE'!$AR$7:$AR$1506,0)))</f>
        <v/>
      </c>
    </row>
    <row r="49" customFormat="false" ht="15" hidden="false" customHeight="false" outlineLevel="0" collapsed="false">
      <c r="B49" s="112" t="str">
        <f aca="false">IF(38&gt;$I$4,"",38)</f>
        <v/>
      </c>
      <c r="C49" s="112" t="str">
        <f aca="false">IF($B49="","",INDEX('CARNET DE SOUDURE'!$B$7:$B$1506,MATCH(38,'CARNET DE SOUDURE'!$AR$7:$AR$1506,0)))</f>
        <v/>
      </c>
      <c r="D49" s="112" t="str">
        <f aca="false">IF($B49="","",INDEX('CARNET DE SOUDURE'!$E$7:$E$1506,MATCH(38,'CARNET DE SOUDURE'!$AR$7:$AR$1506,0)))</f>
        <v/>
      </c>
      <c r="E49" s="112" t="str">
        <f aca="false">IF($B49="","",INDEX('CARNET DE SOUDURE'!$O$7:$O$1506,MATCH(38,'CARNET DE SOUDURE'!$AR$7:$AR$1506,0))&amp;" / "&amp;INDEX('CARNET DE SOUDURE'!$P$7:$P$1506,MATCH(38,'CARNET DE SOUDURE'!$AR$7:$AR$1506,0))&amp;" / "&amp;INDEX('CARNET DE SOUDURE'!$Q$7:$Q$1506,MATCH(38,'CARNET DE SOUDURE'!$AR$7:$AR$1506,0)))</f>
        <v/>
      </c>
      <c r="F49" s="113" t="str">
        <f aca="false">IF($B49="","",INDEX('CARNET DE SOUDURE'!$V$7:$V$1506,MATCH(38,'CARNET DE SOUDURE'!$AR$7:$AR$1506,0)))</f>
        <v/>
      </c>
      <c r="G49" s="112" t="str">
        <f aca="false">IF($B49="","",INDEX('CARNET DE SOUDURE'!$W$7:$W$1506,MATCH(38,'CARNET DE SOUDURE'!$AR$7:$AR$1506,0))&amp;"")</f>
        <v/>
      </c>
      <c r="H49" s="114" t="str">
        <f aca="false">IF($B49="","",INDEX('CARNET DE SOUDURE'!$X$7:$X$1506,MATCH(38,'CARNET DE SOUDURE'!$AR$7:$AR$1506,0)))</f>
        <v/>
      </c>
      <c r="I49" s="112" t="str">
        <f aca="false">IF($B49="","",INDEX('CARNET DE SOUDURE'!$Y$7:$Y$1506,MATCH(38,'CARNET DE SOUDURE'!$AR$7:$AR$1506,0))&amp;IF(INDEX('CARNET DE SOUDURE'!$AD$7:$AD$1506,MATCH(38,'CARNET DE SOUDURE'!$AR$7:$AR$1506,0))&lt;&gt;""," / "&amp;INDEX('CARNET DE SOUDURE'!$AD$7:$AD$1506,MATCH(38,'CARNET DE SOUDURE'!$AR$7:$AR$1506,0)),""))</f>
        <v/>
      </c>
      <c r="J49" s="112" t="str">
        <f aca="false">IF($B49="","",INDEX('CARNET DE SOUDURE'!$Z$7:$Z$1506,MATCH(38,'CARNET DE SOUDURE'!$AR$7:$AR$1506,0))&amp;IF(INDEX('CARNET DE SOUDURE'!$AE$7:$AE$1506,MATCH(38,'CARNET DE SOUDURE'!$AR$7:$AR$1506,0))&lt;&gt;""," / "&amp;INDEX('CARNET DE SOUDURE'!$AE$7:$AE$1506,MATCH(38,'CARNET DE SOUDURE'!$AR$7:$AR$1506,0)),""))</f>
        <v/>
      </c>
      <c r="K49" s="112" t="str">
        <f aca="false">IF($B49="","",INDEX('CARNET DE SOUDURE'!$AC$7:$AC$1506,MATCH(38,'CARNET DE SOUDURE'!$AR$7:$AR$1506,0))&amp;IF(INDEX('CARNET DE SOUDURE'!$AH$7:$AH$1506,MATCH(38,'CARNET DE SOUDURE'!$AR$7:$AR$1506,0))&lt;&gt;""," / "&amp;INDEX('CARNET DE SOUDURE'!$AH$7:$AH$1506,MATCH(38,'CARNET DE SOUDURE'!$AR$7:$AR$1506,0)),""))</f>
        <v/>
      </c>
      <c r="L49" s="114" t="str">
        <f aca="false">IF($B49="","",INDEX('CARNET DE SOUDURE'!$AL$7:$AL$1506,MATCH(38,'CARNET DE SOUDURE'!$AR$7:$AR$1506,0)))</f>
        <v/>
      </c>
      <c r="M49" s="114" t="str">
        <f aca="false">IF($B49="","",INDEX('CARNET DE SOUDURE'!$AM$7:$AM$1506,MATCH(38,'CARNET DE SOUDURE'!$AR$7:$AR$1506,0)))</f>
        <v/>
      </c>
      <c r="N49" s="115" t="str">
        <f aca="false">IF($B49="","",INDEX('CARNET DE SOUDURE'!$AN$7:$AN$1506,MATCH(38,'CARNET DE SOUDURE'!$AR$7:$AR$1506,0)))</f>
        <v/>
      </c>
    </row>
    <row r="50" customFormat="false" ht="15" hidden="false" customHeight="false" outlineLevel="0" collapsed="false">
      <c r="B50" s="107" t="str">
        <f aca="false">IF(39&gt;$I$4,"",39)</f>
        <v/>
      </c>
      <c r="C50" s="107" t="str">
        <f aca="false">IF($B50="","",INDEX('CARNET DE SOUDURE'!$B$7:$B$1506,MATCH(39,'CARNET DE SOUDURE'!$AR$7:$AR$1506,0)))</f>
        <v/>
      </c>
      <c r="D50" s="107" t="str">
        <f aca="false">IF($B50="","",INDEX('CARNET DE SOUDURE'!$E$7:$E$1506,MATCH(39,'CARNET DE SOUDURE'!$AR$7:$AR$1506,0)))</f>
        <v/>
      </c>
      <c r="E50" s="107" t="str">
        <f aca="false">IF($B50="","",INDEX('CARNET DE SOUDURE'!$O$7:$O$1506,MATCH(39,'CARNET DE SOUDURE'!$AR$7:$AR$1506,0))&amp;" / "&amp;INDEX('CARNET DE SOUDURE'!$P$7:$P$1506,MATCH(39,'CARNET DE SOUDURE'!$AR$7:$AR$1506,0))&amp;" / "&amp;INDEX('CARNET DE SOUDURE'!$Q$7:$Q$1506,MATCH(39,'CARNET DE SOUDURE'!$AR$7:$AR$1506,0)))</f>
        <v/>
      </c>
      <c r="F50" s="108" t="str">
        <f aca="false">IF($B50="","",INDEX('CARNET DE SOUDURE'!$V$7:$V$1506,MATCH(39,'CARNET DE SOUDURE'!$AR$7:$AR$1506,0)))</f>
        <v/>
      </c>
      <c r="G50" s="107" t="str">
        <f aca="false">IF($B50="","",INDEX('CARNET DE SOUDURE'!$W$7:$W$1506,MATCH(39,'CARNET DE SOUDURE'!$AR$7:$AR$1506,0))&amp;"")</f>
        <v/>
      </c>
      <c r="H50" s="109" t="str">
        <f aca="false">IF($B50="","",INDEX('CARNET DE SOUDURE'!$X$7:$X$1506,MATCH(39,'CARNET DE SOUDURE'!$AR$7:$AR$1506,0)))</f>
        <v/>
      </c>
      <c r="I50" s="107" t="str">
        <f aca="false">IF($B50="","",INDEX('CARNET DE SOUDURE'!$Y$7:$Y$1506,MATCH(39,'CARNET DE SOUDURE'!$AR$7:$AR$1506,0))&amp;IF(INDEX('CARNET DE SOUDURE'!$AD$7:$AD$1506,MATCH(39,'CARNET DE SOUDURE'!$AR$7:$AR$1506,0))&lt;&gt;""," / "&amp;INDEX('CARNET DE SOUDURE'!$AD$7:$AD$1506,MATCH(39,'CARNET DE SOUDURE'!$AR$7:$AR$1506,0)),""))</f>
        <v/>
      </c>
      <c r="J50" s="107" t="str">
        <f aca="false">IF($B50="","",INDEX('CARNET DE SOUDURE'!$Z$7:$Z$1506,MATCH(39,'CARNET DE SOUDURE'!$AR$7:$AR$1506,0))&amp;IF(INDEX('CARNET DE SOUDURE'!$AE$7:$AE$1506,MATCH(39,'CARNET DE SOUDURE'!$AR$7:$AR$1506,0))&lt;&gt;""," / "&amp;INDEX('CARNET DE SOUDURE'!$AE$7:$AE$1506,MATCH(39,'CARNET DE SOUDURE'!$AR$7:$AR$1506,0)),""))</f>
        <v/>
      </c>
      <c r="K50" s="107" t="str">
        <f aca="false">IF($B50="","",INDEX('CARNET DE SOUDURE'!$AC$7:$AC$1506,MATCH(39,'CARNET DE SOUDURE'!$AR$7:$AR$1506,0))&amp;IF(INDEX('CARNET DE SOUDURE'!$AH$7:$AH$1506,MATCH(39,'CARNET DE SOUDURE'!$AR$7:$AR$1506,0))&lt;&gt;""," / "&amp;INDEX('CARNET DE SOUDURE'!$AH$7:$AH$1506,MATCH(39,'CARNET DE SOUDURE'!$AR$7:$AR$1506,0)),""))</f>
        <v/>
      </c>
      <c r="L50" s="109" t="str">
        <f aca="false">IF($B50="","",INDEX('CARNET DE SOUDURE'!$AL$7:$AL$1506,MATCH(39,'CARNET DE SOUDURE'!$AR$7:$AR$1506,0)))</f>
        <v/>
      </c>
      <c r="M50" s="109" t="str">
        <f aca="false">IF($B50="","",INDEX('CARNET DE SOUDURE'!$AM$7:$AM$1506,MATCH(39,'CARNET DE SOUDURE'!$AR$7:$AR$1506,0)))</f>
        <v/>
      </c>
      <c r="N50" s="110" t="str">
        <f aca="false">IF($B50="","",INDEX('CARNET DE SOUDURE'!$AN$7:$AN$1506,MATCH(39,'CARNET DE SOUDURE'!$AR$7:$AR$1506,0)))</f>
        <v/>
      </c>
    </row>
    <row r="51" customFormat="false" ht="15" hidden="false" customHeight="false" outlineLevel="0" collapsed="false">
      <c r="B51" s="112" t="str">
        <f aca="false">IF(40&gt;$I$4,"",40)</f>
        <v/>
      </c>
      <c r="C51" s="112" t="str">
        <f aca="false">IF($B51="","",INDEX('CARNET DE SOUDURE'!$B$7:$B$1506,MATCH(40,'CARNET DE SOUDURE'!$AR$7:$AR$1506,0)))</f>
        <v/>
      </c>
      <c r="D51" s="112" t="str">
        <f aca="false">IF($B51="","",INDEX('CARNET DE SOUDURE'!$E$7:$E$1506,MATCH(40,'CARNET DE SOUDURE'!$AR$7:$AR$1506,0)))</f>
        <v/>
      </c>
      <c r="E51" s="112" t="str">
        <f aca="false">IF($B51="","",INDEX('CARNET DE SOUDURE'!$O$7:$O$1506,MATCH(40,'CARNET DE SOUDURE'!$AR$7:$AR$1506,0))&amp;" / "&amp;INDEX('CARNET DE SOUDURE'!$P$7:$P$1506,MATCH(40,'CARNET DE SOUDURE'!$AR$7:$AR$1506,0))&amp;" / "&amp;INDEX('CARNET DE SOUDURE'!$Q$7:$Q$1506,MATCH(40,'CARNET DE SOUDURE'!$AR$7:$AR$1506,0)))</f>
        <v/>
      </c>
      <c r="F51" s="113" t="str">
        <f aca="false">IF($B51="","",INDEX('CARNET DE SOUDURE'!$V$7:$V$1506,MATCH(40,'CARNET DE SOUDURE'!$AR$7:$AR$1506,0)))</f>
        <v/>
      </c>
      <c r="G51" s="112" t="str">
        <f aca="false">IF($B51="","",INDEX('CARNET DE SOUDURE'!$W$7:$W$1506,MATCH(40,'CARNET DE SOUDURE'!$AR$7:$AR$1506,0))&amp;"")</f>
        <v/>
      </c>
      <c r="H51" s="114" t="str">
        <f aca="false">IF($B51="","",INDEX('CARNET DE SOUDURE'!$X$7:$X$1506,MATCH(40,'CARNET DE SOUDURE'!$AR$7:$AR$1506,0)))</f>
        <v/>
      </c>
      <c r="I51" s="112" t="str">
        <f aca="false">IF($B51="","",INDEX('CARNET DE SOUDURE'!$Y$7:$Y$1506,MATCH(40,'CARNET DE SOUDURE'!$AR$7:$AR$1506,0))&amp;IF(INDEX('CARNET DE SOUDURE'!$AD$7:$AD$1506,MATCH(40,'CARNET DE SOUDURE'!$AR$7:$AR$1506,0))&lt;&gt;""," / "&amp;INDEX('CARNET DE SOUDURE'!$AD$7:$AD$1506,MATCH(40,'CARNET DE SOUDURE'!$AR$7:$AR$1506,0)),""))</f>
        <v/>
      </c>
      <c r="J51" s="112" t="str">
        <f aca="false">IF($B51="","",INDEX('CARNET DE SOUDURE'!$Z$7:$Z$1506,MATCH(40,'CARNET DE SOUDURE'!$AR$7:$AR$1506,0))&amp;IF(INDEX('CARNET DE SOUDURE'!$AE$7:$AE$1506,MATCH(40,'CARNET DE SOUDURE'!$AR$7:$AR$1506,0))&lt;&gt;""," / "&amp;INDEX('CARNET DE SOUDURE'!$AE$7:$AE$1506,MATCH(40,'CARNET DE SOUDURE'!$AR$7:$AR$1506,0)),""))</f>
        <v/>
      </c>
      <c r="K51" s="112" t="str">
        <f aca="false">IF($B51="","",INDEX('CARNET DE SOUDURE'!$AC$7:$AC$1506,MATCH(40,'CARNET DE SOUDURE'!$AR$7:$AR$1506,0))&amp;IF(INDEX('CARNET DE SOUDURE'!$AH$7:$AH$1506,MATCH(40,'CARNET DE SOUDURE'!$AR$7:$AR$1506,0))&lt;&gt;""," / "&amp;INDEX('CARNET DE SOUDURE'!$AH$7:$AH$1506,MATCH(40,'CARNET DE SOUDURE'!$AR$7:$AR$1506,0)),""))</f>
        <v/>
      </c>
      <c r="L51" s="114" t="str">
        <f aca="false">IF($B51="","",INDEX('CARNET DE SOUDURE'!$AL$7:$AL$1506,MATCH(40,'CARNET DE SOUDURE'!$AR$7:$AR$1506,0)))</f>
        <v/>
      </c>
      <c r="M51" s="114" t="str">
        <f aca="false">IF($B51="","",INDEX('CARNET DE SOUDURE'!$AM$7:$AM$1506,MATCH(40,'CARNET DE SOUDURE'!$AR$7:$AR$1506,0)))</f>
        <v/>
      </c>
      <c r="N51" s="115" t="str">
        <f aca="false">IF($B51="","",INDEX('CARNET DE SOUDURE'!$AN$7:$AN$1506,MATCH(40,'CARNET DE SOUDURE'!$AR$7:$AR$1506,0)))</f>
        <v/>
      </c>
    </row>
    <row r="52" customFormat="false" ht="15" hidden="false" customHeight="false" outlineLevel="0" collapsed="false">
      <c r="B52" s="107" t="str">
        <f aca="false">IF(41&gt;$I$4,"",41)</f>
        <v/>
      </c>
      <c r="C52" s="107" t="str">
        <f aca="false">IF($B52="","",INDEX('CARNET DE SOUDURE'!$B$7:$B$1506,MATCH(41,'CARNET DE SOUDURE'!$AR$7:$AR$1506,0)))</f>
        <v/>
      </c>
      <c r="D52" s="107" t="str">
        <f aca="false">IF($B52="","",INDEX('CARNET DE SOUDURE'!$E$7:$E$1506,MATCH(41,'CARNET DE SOUDURE'!$AR$7:$AR$1506,0)))</f>
        <v/>
      </c>
      <c r="E52" s="107" t="str">
        <f aca="false">IF($B52="","",INDEX('CARNET DE SOUDURE'!$O$7:$O$1506,MATCH(41,'CARNET DE SOUDURE'!$AR$7:$AR$1506,0))&amp;" / "&amp;INDEX('CARNET DE SOUDURE'!$P$7:$P$1506,MATCH(41,'CARNET DE SOUDURE'!$AR$7:$AR$1506,0))&amp;" / "&amp;INDEX('CARNET DE SOUDURE'!$Q$7:$Q$1506,MATCH(41,'CARNET DE SOUDURE'!$AR$7:$AR$1506,0)))</f>
        <v/>
      </c>
      <c r="F52" s="108" t="str">
        <f aca="false">IF($B52="","",INDEX('CARNET DE SOUDURE'!$V$7:$V$1506,MATCH(41,'CARNET DE SOUDURE'!$AR$7:$AR$1506,0)))</f>
        <v/>
      </c>
      <c r="G52" s="107" t="str">
        <f aca="false">IF($B52="","",INDEX('CARNET DE SOUDURE'!$W$7:$W$1506,MATCH(41,'CARNET DE SOUDURE'!$AR$7:$AR$1506,0))&amp;"")</f>
        <v/>
      </c>
      <c r="H52" s="109" t="str">
        <f aca="false">IF($B52="","",INDEX('CARNET DE SOUDURE'!$X$7:$X$1506,MATCH(41,'CARNET DE SOUDURE'!$AR$7:$AR$1506,0)))</f>
        <v/>
      </c>
      <c r="I52" s="107" t="str">
        <f aca="false">IF($B52="","",INDEX('CARNET DE SOUDURE'!$Y$7:$Y$1506,MATCH(41,'CARNET DE SOUDURE'!$AR$7:$AR$1506,0))&amp;IF(INDEX('CARNET DE SOUDURE'!$AD$7:$AD$1506,MATCH(41,'CARNET DE SOUDURE'!$AR$7:$AR$1506,0))&lt;&gt;""," / "&amp;INDEX('CARNET DE SOUDURE'!$AD$7:$AD$1506,MATCH(41,'CARNET DE SOUDURE'!$AR$7:$AR$1506,0)),""))</f>
        <v/>
      </c>
      <c r="J52" s="107" t="str">
        <f aca="false">IF($B52="","",INDEX('CARNET DE SOUDURE'!$Z$7:$Z$1506,MATCH(41,'CARNET DE SOUDURE'!$AR$7:$AR$1506,0))&amp;IF(INDEX('CARNET DE SOUDURE'!$AE$7:$AE$1506,MATCH(41,'CARNET DE SOUDURE'!$AR$7:$AR$1506,0))&lt;&gt;""," / "&amp;INDEX('CARNET DE SOUDURE'!$AE$7:$AE$1506,MATCH(41,'CARNET DE SOUDURE'!$AR$7:$AR$1506,0)),""))</f>
        <v/>
      </c>
      <c r="K52" s="107" t="str">
        <f aca="false">IF($B52="","",INDEX('CARNET DE SOUDURE'!$AC$7:$AC$1506,MATCH(41,'CARNET DE SOUDURE'!$AR$7:$AR$1506,0))&amp;IF(INDEX('CARNET DE SOUDURE'!$AH$7:$AH$1506,MATCH(41,'CARNET DE SOUDURE'!$AR$7:$AR$1506,0))&lt;&gt;""," / "&amp;INDEX('CARNET DE SOUDURE'!$AH$7:$AH$1506,MATCH(41,'CARNET DE SOUDURE'!$AR$7:$AR$1506,0)),""))</f>
        <v/>
      </c>
      <c r="L52" s="109" t="str">
        <f aca="false">IF($B52="","",INDEX('CARNET DE SOUDURE'!$AL$7:$AL$1506,MATCH(41,'CARNET DE SOUDURE'!$AR$7:$AR$1506,0)))</f>
        <v/>
      </c>
      <c r="M52" s="109" t="str">
        <f aca="false">IF($B52="","",INDEX('CARNET DE SOUDURE'!$AM$7:$AM$1506,MATCH(41,'CARNET DE SOUDURE'!$AR$7:$AR$1506,0)))</f>
        <v/>
      </c>
      <c r="N52" s="110" t="str">
        <f aca="false">IF($B52="","",INDEX('CARNET DE SOUDURE'!$AN$7:$AN$1506,MATCH(41,'CARNET DE SOUDURE'!$AR$7:$AR$1506,0)))</f>
        <v/>
      </c>
    </row>
    <row r="53" customFormat="false" ht="15" hidden="false" customHeight="false" outlineLevel="0" collapsed="false">
      <c r="B53" s="112" t="str">
        <f aca="false">IF(42&gt;$I$4,"",42)</f>
        <v/>
      </c>
      <c r="C53" s="112" t="str">
        <f aca="false">IF($B53="","",INDEX('CARNET DE SOUDURE'!$B$7:$B$1506,MATCH(42,'CARNET DE SOUDURE'!$AR$7:$AR$1506,0)))</f>
        <v/>
      </c>
      <c r="D53" s="112" t="str">
        <f aca="false">IF($B53="","",INDEX('CARNET DE SOUDURE'!$E$7:$E$1506,MATCH(42,'CARNET DE SOUDURE'!$AR$7:$AR$1506,0)))</f>
        <v/>
      </c>
      <c r="E53" s="112" t="str">
        <f aca="false">IF($B53="","",INDEX('CARNET DE SOUDURE'!$O$7:$O$1506,MATCH(42,'CARNET DE SOUDURE'!$AR$7:$AR$1506,0))&amp;" / "&amp;INDEX('CARNET DE SOUDURE'!$P$7:$P$1506,MATCH(42,'CARNET DE SOUDURE'!$AR$7:$AR$1506,0))&amp;" / "&amp;INDEX('CARNET DE SOUDURE'!$Q$7:$Q$1506,MATCH(42,'CARNET DE SOUDURE'!$AR$7:$AR$1506,0)))</f>
        <v/>
      </c>
      <c r="F53" s="113" t="str">
        <f aca="false">IF($B53="","",INDEX('CARNET DE SOUDURE'!$V$7:$V$1506,MATCH(42,'CARNET DE SOUDURE'!$AR$7:$AR$1506,0)))</f>
        <v/>
      </c>
      <c r="G53" s="112" t="str">
        <f aca="false">IF($B53="","",INDEX('CARNET DE SOUDURE'!$W$7:$W$1506,MATCH(42,'CARNET DE SOUDURE'!$AR$7:$AR$1506,0))&amp;"")</f>
        <v/>
      </c>
      <c r="H53" s="114" t="str">
        <f aca="false">IF($B53="","",INDEX('CARNET DE SOUDURE'!$X$7:$X$1506,MATCH(42,'CARNET DE SOUDURE'!$AR$7:$AR$1506,0)))</f>
        <v/>
      </c>
      <c r="I53" s="112" t="str">
        <f aca="false">IF($B53="","",INDEX('CARNET DE SOUDURE'!$Y$7:$Y$1506,MATCH(42,'CARNET DE SOUDURE'!$AR$7:$AR$1506,0))&amp;IF(INDEX('CARNET DE SOUDURE'!$AD$7:$AD$1506,MATCH(42,'CARNET DE SOUDURE'!$AR$7:$AR$1506,0))&lt;&gt;""," / "&amp;INDEX('CARNET DE SOUDURE'!$AD$7:$AD$1506,MATCH(42,'CARNET DE SOUDURE'!$AR$7:$AR$1506,0)),""))</f>
        <v/>
      </c>
      <c r="J53" s="112" t="str">
        <f aca="false">IF($B53="","",INDEX('CARNET DE SOUDURE'!$Z$7:$Z$1506,MATCH(42,'CARNET DE SOUDURE'!$AR$7:$AR$1506,0))&amp;IF(INDEX('CARNET DE SOUDURE'!$AE$7:$AE$1506,MATCH(42,'CARNET DE SOUDURE'!$AR$7:$AR$1506,0))&lt;&gt;""," / "&amp;INDEX('CARNET DE SOUDURE'!$AE$7:$AE$1506,MATCH(42,'CARNET DE SOUDURE'!$AR$7:$AR$1506,0)),""))</f>
        <v/>
      </c>
      <c r="K53" s="112" t="str">
        <f aca="false">IF($B53="","",INDEX('CARNET DE SOUDURE'!$AC$7:$AC$1506,MATCH(42,'CARNET DE SOUDURE'!$AR$7:$AR$1506,0))&amp;IF(INDEX('CARNET DE SOUDURE'!$AH$7:$AH$1506,MATCH(42,'CARNET DE SOUDURE'!$AR$7:$AR$1506,0))&lt;&gt;""," / "&amp;INDEX('CARNET DE SOUDURE'!$AH$7:$AH$1506,MATCH(42,'CARNET DE SOUDURE'!$AR$7:$AR$1506,0)),""))</f>
        <v/>
      </c>
      <c r="L53" s="114" t="str">
        <f aca="false">IF($B53="","",INDEX('CARNET DE SOUDURE'!$AL$7:$AL$1506,MATCH(42,'CARNET DE SOUDURE'!$AR$7:$AR$1506,0)))</f>
        <v/>
      </c>
      <c r="M53" s="114" t="str">
        <f aca="false">IF($B53="","",INDEX('CARNET DE SOUDURE'!$AM$7:$AM$1506,MATCH(42,'CARNET DE SOUDURE'!$AR$7:$AR$1506,0)))</f>
        <v/>
      </c>
      <c r="N53" s="115" t="str">
        <f aca="false">IF($B53="","",INDEX('CARNET DE SOUDURE'!$AN$7:$AN$1506,MATCH(42,'CARNET DE SOUDURE'!$AR$7:$AR$1506,0)))</f>
        <v/>
      </c>
    </row>
    <row r="54" customFormat="false" ht="15" hidden="false" customHeight="false" outlineLevel="0" collapsed="false">
      <c r="B54" s="107" t="str">
        <f aca="false">IF(43&gt;$I$4,"",43)</f>
        <v/>
      </c>
      <c r="C54" s="107" t="str">
        <f aca="false">IF($B54="","",INDEX('CARNET DE SOUDURE'!$B$7:$B$1506,MATCH(43,'CARNET DE SOUDURE'!$AR$7:$AR$1506,0)))</f>
        <v/>
      </c>
      <c r="D54" s="107" t="str">
        <f aca="false">IF($B54="","",INDEX('CARNET DE SOUDURE'!$E$7:$E$1506,MATCH(43,'CARNET DE SOUDURE'!$AR$7:$AR$1506,0)))</f>
        <v/>
      </c>
      <c r="E54" s="107" t="str">
        <f aca="false">IF($B54="","",INDEX('CARNET DE SOUDURE'!$O$7:$O$1506,MATCH(43,'CARNET DE SOUDURE'!$AR$7:$AR$1506,0))&amp;" / "&amp;INDEX('CARNET DE SOUDURE'!$P$7:$P$1506,MATCH(43,'CARNET DE SOUDURE'!$AR$7:$AR$1506,0))&amp;" / "&amp;INDEX('CARNET DE SOUDURE'!$Q$7:$Q$1506,MATCH(43,'CARNET DE SOUDURE'!$AR$7:$AR$1506,0)))</f>
        <v/>
      </c>
      <c r="F54" s="108" t="str">
        <f aca="false">IF($B54="","",INDEX('CARNET DE SOUDURE'!$V$7:$V$1506,MATCH(43,'CARNET DE SOUDURE'!$AR$7:$AR$1506,0)))</f>
        <v/>
      </c>
      <c r="G54" s="107" t="str">
        <f aca="false">IF($B54="","",INDEX('CARNET DE SOUDURE'!$W$7:$W$1506,MATCH(43,'CARNET DE SOUDURE'!$AR$7:$AR$1506,0))&amp;"")</f>
        <v/>
      </c>
      <c r="H54" s="109" t="str">
        <f aca="false">IF($B54="","",INDEX('CARNET DE SOUDURE'!$X$7:$X$1506,MATCH(43,'CARNET DE SOUDURE'!$AR$7:$AR$1506,0)))</f>
        <v/>
      </c>
      <c r="I54" s="107" t="str">
        <f aca="false">IF($B54="","",INDEX('CARNET DE SOUDURE'!$Y$7:$Y$1506,MATCH(43,'CARNET DE SOUDURE'!$AR$7:$AR$1506,0))&amp;IF(INDEX('CARNET DE SOUDURE'!$AD$7:$AD$1506,MATCH(43,'CARNET DE SOUDURE'!$AR$7:$AR$1506,0))&lt;&gt;""," / "&amp;INDEX('CARNET DE SOUDURE'!$AD$7:$AD$1506,MATCH(43,'CARNET DE SOUDURE'!$AR$7:$AR$1506,0)),""))</f>
        <v/>
      </c>
      <c r="J54" s="107" t="str">
        <f aca="false">IF($B54="","",INDEX('CARNET DE SOUDURE'!$Z$7:$Z$1506,MATCH(43,'CARNET DE SOUDURE'!$AR$7:$AR$1506,0))&amp;IF(INDEX('CARNET DE SOUDURE'!$AE$7:$AE$1506,MATCH(43,'CARNET DE SOUDURE'!$AR$7:$AR$1506,0))&lt;&gt;""," / "&amp;INDEX('CARNET DE SOUDURE'!$AE$7:$AE$1506,MATCH(43,'CARNET DE SOUDURE'!$AR$7:$AR$1506,0)),""))</f>
        <v/>
      </c>
      <c r="K54" s="107" t="str">
        <f aca="false">IF($B54="","",INDEX('CARNET DE SOUDURE'!$AC$7:$AC$1506,MATCH(43,'CARNET DE SOUDURE'!$AR$7:$AR$1506,0))&amp;IF(INDEX('CARNET DE SOUDURE'!$AH$7:$AH$1506,MATCH(43,'CARNET DE SOUDURE'!$AR$7:$AR$1506,0))&lt;&gt;""," / "&amp;INDEX('CARNET DE SOUDURE'!$AH$7:$AH$1506,MATCH(43,'CARNET DE SOUDURE'!$AR$7:$AR$1506,0)),""))</f>
        <v/>
      </c>
      <c r="L54" s="109" t="str">
        <f aca="false">IF($B54="","",INDEX('CARNET DE SOUDURE'!$AL$7:$AL$1506,MATCH(43,'CARNET DE SOUDURE'!$AR$7:$AR$1506,0)))</f>
        <v/>
      </c>
      <c r="M54" s="109" t="str">
        <f aca="false">IF($B54="","",INDEX('CARNET DE SOUDURE'!$AM$7:$AM$1506,MATCH(43,'CARNET DE SOUDURE'!$AR$7:$AR$1506,0)))</f>
        <v/>
      </c>
      <c r="N54" s="110" t="str">
        <f aca="false">IF($B54="","",INDEX('CARNET DE SOUDURE'!$AN$7:$AN$1506,MATCH(43,'CARNET DE SOUDURE'!$AR$7:$AR$1506,0)))</f>
        <v/>
      </c>
    </row>
    <row r="55" customFormat="false" ht="15" hidden="false" customHeight="false" outlineLevel="0" collapsed="false">
      <c r="B55" s="112" t="str">
        <f aca="false">IF(44&gt;$I$4,"",44)</f>
        <v/>
      </c>
      <c r="C55" s="112" t="str">
        <f aca="false">IF($B55="","",INDEX('CARNET DE SOUDURE'!$B$7:$B$1506,MATCH(44,'CARNET DE SOUDURE'!$AR$7:$AR$1506,0)))</f>
        <v/>
      </c>
      <c r="D55" s="112" t="str">
        <f aca="false">IF($B55="","",INDEX('CARNET DE SOUDURE'!$E$7:$E$1506,MATCH(44,'CARNET DE SOUDURE'!$AR$7:$AR$1506,0)))</f>
        <v/>
      </c>
      <c r="E55" s="112" t="str">
        <f aca="false">IF($B55="","",INDEX('CARNET DE SOUDURE'!$O$7:$O$1506,MATCH(44,'CARNET DE SOUDURE'!$AR$7:$AR$1506,0))&amp;" / "&amp;INDEX('CARNET DE SOUDURE'!$P$7:$P$1506,MATCH(44,'CARNET DE SOUDURE'!$AR$7:$AR$1506,0))&amp;" / "&amp;INDEX('CARNET DE SOUDURE'!$Q$7:$Q$1506,MATCH(44,'CARNET DE SOUDURE'!$AR$7:$AR$1506,0)))</f>
        <v/>
      </c>
      <c r="F55" s="113" t="str">
        <f aca="false">IF($B55="","",INDEX('CARNET DE SOUDURE'!$V$7:$V$1506,MATCH(44,'CARNET DE SOUDURE'!$AR$7:$AR$1506,0)))</f>
        <v/>
      </c>
      <c r="G55" s="112" t="str">
        <f aca="false">IF($B55="","",INDEX('CARNET DE SOUDURE'!$W$7:$W$1506,MATCH(44,'CARNET DE SOUDURE'!$AR$7:$AR$1506,0))&amp;"")</f>
        <v/>
      </c>
      <c r="H55" s="114" t="str">
        <f aca="false">IF($B55="","",INDEX('CARNET DE SOUDURE'!$X$7:$X$1506,MATCH(44,'CARNET DE SOUDURE'!$AR$7:$AR$1506,0)))</f>
        <v/>
      </c>
      <c r="I55" s="112" t="str">
        <f aca="false">IF($B55="","",INDEX('CARNET DE SOUDURE'!$Y$7:$Y$1506,MATCH(44,'CARNET DE SOUDURE'!$AR$7:$AR$1506,0))&amp;IF(INDEX('CARNET DE SOUDURE'!$AD$7:$AD$1506,MATCH(44,'CARNET DE SOUDURE'!$AR$7:$AR$1506,0))&lt;&gt;""," / "&amp;INDEX('CARNET DE SOUDURE'!$AD$7:$AD$1506,MATCH(44,'CARNET DE SOUDURE'!$AR$7:$AR$1506,0)),""))</f>
        <v/>
      </c>
      <c r="J55" s="112" t="str">
        <f aca="false">IF($B55="","",INDEX('CARNET DE SOUDURE'!$Z$7:$Z$1506,MATCH(44,'CARNET DE SOUDURE'!$AR$7:$AR$1506,0))&amp;IF(INDEX('CARNET DE SOUDURE'!$AE$7:$AE$1506,MATCH(44,'CARNET DE SOUDURE'!$AR$7:$AR$1506,0))&lt;&gt;""," / "&amp;INDEX('CARNET DE SOUDURE'!$AE$7:$AE$1506,MATCH(44,'CARNET DE SOUDURE'!$AR$7:$AR$1506,0)),""))</f>
        <v/>
      </c>
      <c r="K55" s="112" t="str">
        <f aca="false">IF($B55="","",INDEX('CARNET DE SOUDURE'!$AC$7:$AC$1506,MATCH(44,'CARNET DE SOUDURE'!$AR$7:$AR$1506,0))&amp;IF(INDEX('CARNET DE SOUDURE'!$AH$7:$AH$1506,MATCH(44,'CARNET DE SOUDURE'!$AR$7:$AR$1506,0))&lt;&gt;""," / "&amp;INDEX('CARNET DE SOUDURE'!$AH$7:$AH$1506,MATCH(44,'CARNET DE SOUDURE'!$AR$7:$AR$1506,0)),""))</f>
        <v/>
      </c>
      <c r="L55" s="114" t="str">
        <f aca="false">IF($B55="","",INDEX('CARNET DE SOUDURE'!$AL$7:$AL$1506,MATCH(44,'CARNET DE SOUDURE'!$AR$7:$AR$1506,0)))</f>
        <v/>
      </c>
      <c r="M55" s="114" t="str">
        <f aca="false">IF($B55="","",INDEX('CARNET DE SOUDURE'!$AM$7:$AM$1506,MATCH(44,'CARNET DE SOUDURE'!$AR$7:$AR$1506,0)))</f>
        <v/>
      </c>
      <c r="N55" s="115" t="str">
        <f aca="false">IF($B55="","",INDEX('CARNET DE SOUDURE'!$AN$7:$AN$1506,MATCH(44,'CARNET DE SOUDURE'!$AR$7:$AR$1506,0)))</f>
        <v/>
      </c>
    </row>
    <row r="56" customFormat="false" ht="15" hidden="false" customHeight="false" outlineLevel="0" collapsed="false">
      <c r="B56" s="107" t="str">
        <f aca="false">IF(45&gt;$I$4,"",45)</f>
        <v/>
      </c>
      <c r="C56" s="107" t="str">
        <f aca="false">IF($B56="","",INDEX('CARNET DE SOUDURE'!$B$7:$B$1506,MATCH(45,'CARNET DE SOUDURE'!$AR$7:$AR$1506,0)))</f>
        <v/>
      </c>
      <c r="D56" s="107" t="str">
        <f aca="false">IF($B56="","",INDEX('CARNET DE SOUDURE'!$E$7:$E$1506,MATCH(45,'CARNET DE SOUDURE'!$AR$7:$AR$1506,0)))</f>
        <v/>
      </c>
      <c r="E56" s="107" t="str">
        <f aca="false">IF($B56="","",INDEX('CARNET DE SOUDURE'!$O$7:$O$1506,MATCH(45,'CARNET DE SOUDURE'!$AR$7:$AR$1506,0))&amp;" / "&amp;INDEX('CARNET DE SOUDURE'!$P$7:$P$1506,MATCH(45,'CARNET DE SOUDURE'!$AR$7:$AR$1506,0))&amp;" / "&amp;INDEX('CARNET DE SOUDURE'!$Q$7:$Q$1506,MATCH(45,'CARNET DE SOUDURE'!$AR$7:$AR$1506,0)))</f>
        <v/>
      </c>
      <c r="F56" s="108" t="str">
        <f aca="false">IF($B56="","",INDEX('CARNET DE SOUDURE'!$V$7:$V$1506,MATCH(45,'CARNET DE SOUDURE'!$AR$7:$AR$1506,0)))</f>
        <v/>
      </c>
      <c r="G56" s="107" t="str">
        <f aca="false">IF($B56="","",INDEX('CARNET DE SOUDURE'!$W$7:$W$1506,MATCH(45,'CARNET DE SOUDURE'!$AR$7:$AR$1506,0))&amp;"")</f>
        <v/>
      </c>
      <c r="H56" s="109" t="str">
        <f aca="false">IF($B56="","",INDEX('CARNET DE SOUDURE'!$X$7:$X$1506,MATCH(45,'CARNET DE SOUDURE'!$AR$7:$AR$1506,0)))</f>
        <v/>
      </c>
      <c r="I56" s="107" t="str">
        <f aca="false">IF($B56="","",INDEX('CARNET DE SOUDURE'!$Y$7:$Y$1506,MATCH(45,'CARNET DE SOUDURE'!$AR$7:$AR$1506,0))&amp;IF(INDEX('CARNET DE SOUDURE'!$AD$7:$AD$1506,MATCH(45,'CARNET DE SOUDURE'!$AR$7:$AR$1506,0))&lt;&gt;""," / "&amp;INDEX('CARNET DE SOUDURE'!$AD$7:$AD$1506,MATCH(45,'CARNET DE SOUDURE'!$AR$7:$AR$1506,0)),""))</f>
        <v/>
      </c>
      <c r="J56" s="107" t="str">
        <f aca="false">IF($B56="","",INDEX('CARNET DE SOUDURE'!$Z$7:$Z$1506,MATCH(45,'CARNET DE SOUDURE'!$AR$7:$AR$1506,0))&amp;IF(INDEX('CARNET DE SOUDURE'!$AE$7:$AE$1506,MATCH(45,'CARNET DE SOUDURE'!$AR$7:$AR$1506,0))&lt;&gt;""," / "&amp;INDEX('CARNET DE SOUDURE'!$AE$7:$AE$1506,MATCH(45,'CARNET DE SOUDURE'!$AR$7:$AR$1506,0)),""))</f>
        <v/>
      </c>
      <c r="K56" s="107" t="str">
        <f aca="false">IF($B56="","",INDEX('CARNET DE SOUDURE'!$AC$7:$AC$1506,MATCH(45,'CARNET DE SOUDURE'!$AR$7:$AR$1506,0))&amp;IF(INDEX('CARNET DE SOUDURE'!$AH$7:$AH$1506,MATCH(45,'CARNET DE SOUDURE'!$AR$7:$AR$1506,0))&lt;&gt;""," / "&amp;INDEX('CARNET DE SOUDURE'!$AH$7:$AH$1506,MATCH(45,'CARNET DE SOUDURE'!$AR$7:$AR$1506,0)),""))</f>
        <v/>
      </c>
      <c r="L56" s="109" t="str">
        <f aca="false">IF($B56="","",INDEX('CARNET DE SOUDURE'!$AL$7:$AL$1506,MATCH(45,'CARNET DE SOUDURE'!$AR$7:$AR$1506,0)))</f>
        <v/>
      </c>
      <c r="M56" s="109" t="str">
        <f aca="false">IF($B56="","",INDEX('CARNET DE SOUDURE'!$AM$7:$AM$1506,MATCH(45,'CARNET DE SOUDURE'!$AR$7:$AR$1506,0)))</f>
        <v/>
      </c>
      <c r="N56" s="110" t="str">
        <f aca="false">IF($B56="","",INDEX('CARNET DE SOUDURE'!$AN$7:$AN$1506,MATCH(45,'CARNET DE SOUDURE'!$AR$7:$AR$1506,0)))</f>
        <v/>
      </c>
    </row>
    <row r="57" customFormat="false" ht="15" hidden="false" customHeight="false" outlineLevel="0" collapsed="false">
      <c r="B57" s="112" t="str">
        <f aca="false">IF(46&gt;$I$4,"",46)</f>
        <v/>
      </c>
      <c r="C57" s="112" t="str">
        <f aca="false">IF($B57="","",INDEX('CARNET DE SOUDURE'!$B$7:$B$1506,MATCH(46,'CARNET DE SOUDURE'!$AR$7:$AR$1506,0)))</f>
        <v/>
      </c>
      <c r="D57" s="112" t="str">
        <f aca="false">IF($B57="","",INDEX('CARNET DE SOUDURE'!$E$7:$E$1506,MATCH(46,'CARNET DE SOUDURE'!$AR$7:$AR$1506,0)))</f>
        <v/>
      </c>
      <c r="E57" s="112" t="str">
        <f aca="false">IF($B57="","",INDEX('CARNET DE SOUDURE'!$O$7:$O$1506,MATCH(46,'CARNET DE SOUDURE'!$AR$7:$AR$1506,0))&amp;" / "&amp;INDEX('CARNET DE SOUDURE'!$P$7:$P$1506,MATCH(46,'CARNET DE SOUDURE'!$AR$7:$AR$1506,0))&amp;" / "&amp;INDEX('CARNET DE SOUDURE'!$Q$7:$Q$1506,MATCH(46,'CARNET DE SOUDURE'!$AR$7:$AR$1506,0)))</f>
        <v/>
      </c>
      <c r="F57" s="113" t="str">
        <f aca="false">IF($B57="","",INDEX('CARNET DE SOUDURE'!$V$7:$V$1506,MATCH(46,'CARNET DE SOUDURE'!$AR$7:$AR$1506,0)))</f>
        <v/>
      </c>
      <c r="G57" s="112" t="str">
        <f aca="false">IF($B57="","",INDEX('CARNET DE SOUDURE'!$W$7:$W$1506,MATCH(46,'CARNET DE SOUDURE'!$AR$7:$AR$1506,0))&amp;"")</f>
        <v/>
      </c>
      <c r="H57" s="114" t="str">
        <f aca="false">IF($B57="","",INDEX('CARNET DE SOUDURE'!$X$7:$X$1506,MATCH(46,'CARNET DE SOUDURE'!$AR$7:$AR$1506,0)))</f>
        <v/>
      </c>
      <c r="I57" s="112" t="str">
        <f aca="false">IF($B57="","",INDEX('CARNET DE SOUDURE'!$Y$7:$Y$1506,MATCH(46,'CARNET DE SOUDURE'!$AR$7:$AR$1506,0))&amp;IF(INDEX('CARNET DE SOUDURE'!$AD$7:$AD$1506,MATCH(46,'CARNET DE SOUDURE'!$AR$7:$AR$1506,0))&lt;&gt;""," / "&amp;INDEX('CARNET DE SOUDURE'!$AD$7:$AD$1506,MATCH(46,'CARNET DE SOUDURE'!$AR$7:$AR$1506,0)),""))</f>
        <v/>
      </c>
      <c r="J57" s="112" t="str">
        <f aca="false">IF($B57="","",INDEX('CARNET DE SOUDURE'!$Z$7:$Z$1506,MATCH(46,'CARNET DE SOUDURE'!$AR$7:$AR$1506,0))&amp;IF(INDEX('CARNET DE SOUDURE'!$AE$7:$AE$1506,MATCH(46,'CARNET DE SOUDURE'!$AR$7:$AR$1506,0))&lt;&gt;""," / "&amp;INDEX('CARNET DE SOUDURE'!$AE$7:$AE$1506,MATCH(46,'CARNET DE SOUDURE'!$AR$7:$AR$1506,0)),""))</f>
        <v/>
      </c>
      <c r="K57" s="112" t="str">
        <f aca="false">IF($B57="","",INDEX('CARNET DE SOUDURE'!$AC$7:$AC$1506,MATCH(46,'CARNET DE SOUDURE'!$AR$7:$AR$1506,0))&amp;IF(INDEX('CARNET DE SOUDURE'!$AH$7:$AH$1506,MATCH(46,'CARNET DE SOUDURE'!$AR$7:$AR$1506,0))&lt;&gt;""," / "&amp;INDEX('CARNET DE SOUDURE'!$AH$7:$AH$1506,MATCH(46,'CARNET DE SOUDURE'!$AR$7:$AR$1506,0)),""))</f>
        <v/>
      </c>
      <c r="L57" s="114" t="str">
        <f aca="false">IF($B57="","",INDEX('CARNET DE SOUDURE'!$AL$7:$AL$1506,MATCH(46,'CARNET DE SOUDURE'!$AR$7:$AR$1506,0)))</f>
        <v/>
      </c>
      <c r="M57" s="114" t="str">
        <f aca="false">IF($B57="","",INDEX('CARNET DE SOUDURE'!$AM$7:$AM$1506,MATCH(46,'CARNET DE SOUDURE'!$AR$7:$AR$1506,0)))</f>
        <v/>
      </c>
      <c r="N57" s="115" t="str">
        <f aca="false">IF($B57="","",INDEX('CARNET DE SOUDURE'!$AN$7:$AN$1506,MATCH(46,'CARNET DE SOUDURE'!$AR$7:$AR$1506,0)))</f>
        <v/>
      </c>
    </row>
    <row r="58" customFormat="false" ht="15" hidden="false" customHeight="false" outlineLevel="0" collapsed="false">
      <c r="B58" s="107" t="str">
        <f aca="false">IF(47&gt;$I$4,"",47)</f>
        <v/>
      </c>
      <c r="C58" s="107" t="str">
        <f aca="false">IF($B58="","",INDEX('CARNET DE SOUDURE'!$B$7:$B$1506,MATCH(47,'CARNET DE SOUDURE'!$AR$7:$AR$1506,0)))</f>
        <v/>
      </c>
      <c r="D58" s="107" t="str">
        <f aca="false">IF($B58="","",INDEX('CARNET DE SOUDURE'!$E$7:$E$1506,MATCH(47,'CARNET DE SOUDURE'!$AR$7:$AR$1506,0)))</f>
        <v/>
      </c>
      <c r="E58" s="107" t="str">
        <f aca="false">IF($B58="","",INDEX('CARNET DE SOUDURE'!$O$7:$O$1506,MATCH(47,'CARNET DE SOUDURE'!$AR$7:$AR$1506,0))&amp;" / "&amp;INDEX('CARNET DE SOUDURE'!$P$7:$P$1506,MATCH(47,'CARNET DE SOUDURE'!$AR$7:$AR$1506,0))&amp;" / "&amp;INDEX('CARNET DE SOUDURE'!$Q$7:$Q$1506,MATCH(47,'CARNET DE SOUDURE'!$AR$7:$AR$1506,0)))</f>
        <v/>
      </c>
      <c r="F58" s="108" t="str">
        <f aca="false">IF($B58="","",INDEX('CARNET DE SOUDURE'!$V$7:$V$1506,MATCH(47,'CARNET DE SOUDURE'!$AR$7:$AR$1506,0)))</f>
        <v/>
      </c>
      <c r="G58" s="107" t="str">
        <f aca="false">IF($B58="","",INDEX('CARNET DE SOUDURE'!$W$7:$W$1506,MATCH(47,'CARNET DE SOUDURE'!$AR$7:$AR$1506,0))&amp;"")</f>
        <v/>
      </c>
      <c r="H58" s="109" t="str">
        <f aca="false">IF($B58="","",INDEX('CARNET DE SOUDURE'!$X$7:$X$1506,MATCH(47,'CARNET DE SOUDURE'!$AR$7:$AR$1506,0)))</f>
        <v/>
      </c>
      <c r="I58" s="107" t="str">
        <f aca="false">IF($B58="","",INDEX('CARNET DE SOUDURE'!$Y$7:$Y$1506,MATCH(47,'CARNET DE SOUDURE'!$AR$7:$AR$1506,0))&amp;IF(INDEX('CARNET DE SOUDURE'!$AD$7:$AD$1506,MATCH(47,'CARNET DE SOUDURE'!$AR$7:$AR$1506,0))&lt;&gt;""," / "&amp;INDEX('CARNET DE SOUDURE'!$AD$7:$AD$1506,MATCH(47,'CARNET DE SOUDURE'!$AR$7:$AR$1506,0)),""))</f>
        <v/>
      </c>
      <c r="J58" s="107" t="str">
        <f aca="false">IF($B58="","",INDEX('CARNET DE SOUDURE'!$Z$7:$Z$1506,MATCH(47,'CARNET DE SOUDURE'!$AR$7:$AR$1506,0))&amp;IF(INDEX('CARNET DE SOUDURE'!$AE$7:$AE$1506,MATCH(47,'CARNET DE SOUDURE'!$AR$7:$AR$1506,0))&lt;&gt;""," / "&amp;INDEX('CARNET DE SOUDURE'!$AE$7:$AE$1506,MATCH(47,'CARNET DE SOUDURE'!$AR$7:$AR$1506,0)),""))</f>
        <v/>
      </c>
      <c r="K58" s="107" t="str">
        <f aca="false">IF($B58="","",INDEX('CARNET DE SOUDURE'!$AC$7:$AC$1506,MATCH(47,'CARNET DE SOUDURE'!$AR$7:$AR$1506,0))&amp;IF(INDEX('CARNET DE SOUDURE'!$AH$7:$AH$1506,MATCH(47,'CARNET DE SOUDURE'!$AR$7:$AR$1506,0))&lt;&gt;""," / "&amp;INDEX('CARNET DE SOUDURE'!$AH$7:$AH$1506,MATCH(47,'CARNET DE SOUDURE'!$AR$7:$AR$1506,0)),""))</f>
        <v/>
      </c>
      <c r="L58" s="109" t="str">
        <f aca="false">IF($B58="","",INDEX('CARNET DE SOUDURE'!$AL$7:$AL$1506,MATCH(47,'CARNET DE SOUDURE'!$AR$7:$AR$1506,0)))</f>
        <v/>
      </c>
      <c r="M58" s="109" t="str">
        <f aca="false">IF($B58="","",INDEX('CARNET DE SOUDURE'!$AM$7:$AM$1506,MATCH(47,'CARNET DE SOUDURE'!$AR$7:$AR$1506,0)))</f>
        <v/>
      </c>
      <c r="N58" s="110" t="str">
        <f aca="false">IF($B58="","",INDEX('CARNET DE SOUDURE'!$AN$7:$AN$1506,MATCH(47,'CARNET DE SOUDURE'!$AR$7:$AR$1506,0)))</f>
        <v/>
      </c>
    </row>
    <row r="59" customFormat="false" ht="15" hidden="false" customHeight="false" outlineLevel="0" collapsed="false">
      <c r="B59" s="112" t="str">
        <f aca="false">IF(48&gt;$I$4,"",48)</f>
        <v/>
      </c>
      <c r="C59" s="112" t="str">
        <f aca="false">IF($B59="","",INDEX('CARNET DE SOUDURE'!$B$7:$B$1506,MATCH(48,'CARNET DE SOUDURE'!$AR$7:$AR$1506,0)))</f>
        <v/>
      </c>
      <c r="D59" s="112" t="str">
        <f aca="false">IF($B59="","",INDEX('CARNET DE SOUDURE'!$E$7:$E$1506,MATCH(48,'CARNET DE SOUDURE'!$AR$7:$AR$1506,0)))</f>
        <v/>
      </c>
      <c r="E59" s="112" t="str">
        <f aca="false">IF($B59="","",INDEX('CARNET DE SOUDURE'!$O$7:$O$1506,MATCH(48,'CARNET DE SOUDURE'!$AR$7:$AR$1506,0))&amp;" / "&amp;INDEX('CARNET DE SOUDURE'!$P$7:$P$1506,MATCH(48,'CARNET DE SOUDURE'!$AR$7:$AR$1506,0))&amp;" / "&amp;INDEX('CARNET DE SOUDURE'!$Q$7:$Q$1506,MATCH(48,'CARNET DE SOUDURE'!$AR$7:$AR$1506,0)))</f>
        <v/>
      </c>
      <c r="F59" s="113" t="str">
        <f aca="false">IF($B59="","",INDEX('CARNET DE SOUDURE'!$V$7:$V$1506,MATCH(48,'CARNET DE SOUDURE'!$AR$7:$AR$1506,0)))</f>
        <v/>
      </c>
      <c r="G59" s="112" t="str">
        <f aca="false">IF($B59="","",INDEX('CARNET DE SOUDURE'!$W$7:$W$1506,MATCH(48,'CARNET DE SOUDURE'!$AR$7:$AR$1506,0))&amp;"")</f>
        <v/>
      </c>
      <c r="H59" s="114" t="str">
        <f aca="false">IF($B59="","",INDEX('CARNET DE SOUDURE'!$X$7:$X$1506,MATCH(48,'CARNET DE SOUDURE'!$AR$7:$AR$1506,0)))</f>
        <v/>
      </c>
      <c r="I59" s="112" t="str">
        <f aca="false">IF($B59="","",INDEX('CARNET DE SOUDURE'!$Y$7:$Y$1506,MATCH(48,'CARNET DE SOUDURE'!$AR$7:$AR$1506,0))&amp;IF(INDEX('CARNET DE SOUDURE'!$AD$7:$AD$1506,MATCH(48,'CARNET DE SOUDURE'!$AR$7:$AR$1506,0))&lt;&gt;""," / "&amp;INDEX('CARNET DE SOUDURE'!$AD$7:$AD$1506,MATCH(48,'CARNET DE SOUDURE'!$AR$7:$AR$1506,0)),""))</f>
        <v/>
      </c>
      <c r="J59" s="112" t="str">
        <f aca="false">IF($B59="","",INDEX('CARNET DE SOUDURE'!$Z$7:$Z$1506,MATCH(48,'CARNET DE SOUDURE'!$AR$7:$AR$1506,0))&amp;IF(INDEX('CARNET DE SOUDURE'!$AE$7:$AE$1506,MATCH(48,'CARNET DE SOUDURE'!$AR$7:$AR$1506,0))&lt;&gt;""," / "&amp;INDEX('CARNET DE SOUDURE'!$AE$7:$AE$1506,MATCH(48,'CARNET DE SOUDURE'!$AR$7:$AR$1506,0)),""))</f>
        <v/>
      </c>
      <c r="K59" s="112" t="str">
        <f aca="false">IF($B59="","",INDEX('CARNET DE SOUDURE'!$AC$7:$AC$1506,MATCH(48,'CARNET DE SOUDURE'!$AR$7:$AR$1506,0))&amp;IF(INDEX('CARNET DE SOUDURE'!$AH$7:$AH$1506,MATCH(48,'CARNET DE SOUDURE'!$AR$7:$AR$1506,0))&lt;&gt;""," / "&amp;INDEX('CARNET DE SOUDURE'!$AH$7:$AH$1506,MATCH(48,'CARNET DE SOUDURE'!$AR$7:$AR$1506,0)),""))</f>
        <v/>
      </c>
      <c r="L59" s="114" t="str">
        <f aca="false">IF($B59="","",INDEX('CARNET DE SOUDURE'!$AL$7:$AL$1506,MATCH(48,'CARNET DE SOUDURE'!$AR$7:$AR$1506,0)))</f>
        <v/>
      </c>
      <c r="M59" s="114" t="str">
        <f aca="false">IF($B59="","",INDEX('CARNET DE SOUDURE'!$AM$7:$AM$1506,MATCH(48,'CARNET DE SOUDURE'!$AR$7:$AR$1506,0)))</f>
        <v/>
      </c>
      <c r="N59" s="115" t="str">
        <f aca="false">IF($B59="","",INDEX('CARNET DE SOUDURE'!$AN$7:$AN$1506,MATCH(48,'CARNET DE SOUDURE'!$AR$7:$AR$1506,0)))</f>
        <v/>
      </c>
    </row>
    <row r="60" customFormat="false" ht="15" hidden="false" customHeight="false" outlineLevel="0" collapsed="false">
      <c r="B60" s="107" t="str">
        <f aca="false">IF(49&gt;$I$4,"",49)</f>
        <v/>
      </c>
      <c r="C60" s="107" t="str">
        <f aca="false">IF($B60="","",INDEX('CARNET DE SOUDURE'!$B$7:$B$1506,MATCH(49,'CARNET DE SOUDURE'!$AR$7:$AR$1506,0)))</f>
        <v/>
      </c>
      <c r="D60" s="107" t="str">
        <f aca="false">IF($B60="","",INDEX('CARNET DE SOUDURE'!$E$7:$E$1506,MATCH(49,'CARNET DE SOUDURE'!$AR$7:$AR$1506,0)))</f>
        <v/>
      </c>
      <c r="E60" s="107" t="str">
        <f aca="false">IF($B60="","",INDEX('CARNET DE SOUDURE'!$O$7:$O$1506,MATCH(49,'CARNET DE SOUDURE'!$AR$7:$AR$1506,0))&amp;" / "&amp;INDEX('CARNET DE SOUDURE'!$P$7:$P$1506,MATCH(49,'CARNET DE SOUDURE'!$AR$7:$AR$1506,0))&amp;" / "&amp;INDEX('CARNET DE SOUDURE'!$Q$7:$Q$1506,MATCH(49,'CARNET DE SOUDURE'!$AR$7:$AR$1506,0)))</f>
        <v/>
      </c>
      <c r="F60" s="108" t="str">
        <f aca="false">IF($B60="","",INDEX('CARNET DE SOUDURE'!$V$7:$V$1506,MATCH(49,'CARNET DE SOUDURE'!$AR$7:$AR$1506,0)))</f>
        <v/>
      </c>
      <c r="G60" s="107" t="str">
        <f aca="false">IF($B60="","",INDEX('CARNET DE SOUDURE'!$W$7:$W$1506,MATCH(49,'CARNET DE SOUDURE'!$AR$7:$AR$1506,0))&amp;"")</f>
        <v/>
      </c>
      <c r="H60" s="109" t="str">
        <f aca="false">IF($B60="","",INDEX('CARNET DE SOUDURE'!$X$7:$X$1506,MATCH(49,'CARNET DE SOUDURE'!$AR$7:$AR$1506,0)))</f>
        <v/>
      </c>
      <c r="I60" s="107" t="str">
        <f aca="false">IF($B60="","",INDEX('CARNET DE SOUDURE'!$Y$7:$Y$1506,MATCH(49,'CARNET DE SOUDURE'!$AR$7:$AR$1506,0))&amp;IF(INDEX('CARNET DE SOUDURE'!$AD$7:$AD$1506,MATCH(49,'CARNET DE SOUDURE'!$AR$7:$AR$1506,0))&lt;&gt;""," / "&amp;INDEX('CARNET DE SOUDURE'!$AD$7:$AD$1506,MATCH(49,'CARNET DE SOUDURE'!$AR$7:$AR$1506,0)),""))</f>
        <v/>
      </c>
      <c r="J60" s="107" t="str">
        <f aca="false">IF($B60="","",INDEX('CARNET DE SOUDURE'!$Z$7:$Z$1506,MATCH(49,'CARNET DE SOUDURE'!$AR$7:$AR$1506,0))&amp;IF(INDEX('CARNET DE SOUDURE'!$AE$7:$AE$1506,MATCH(49,'CARNET DE SOUDURE'!$AR$7:$AR$1506,0))&lt;&gt;""," / "&amp;INDEX('CARNET DE SOUDURE'!$AE$7:$AE$1506,MATCH(49,'CARNET DE SOUDURE'!$AR$7:$AR$1506,0)),""))</f>
        <v/>
      </c>
      <c r="K60" s="107" t="str">
        <f aca="false">IF($B60="","",INDEX('CARNET DE SOUDURE'!$AC$7:$AC$1506,MATCH(49,'CARNET DE SOUDURE'!$AR$7:$AR$1506,0))&amp;IF(INDEX('CARNET DE SOUDURE'!$AH$7:$AH$1506,MATCH(49,'CARNET DE SOUDURE'!$AR$7:$AR$1506,0))&lt;&gt;""," / "&amp;INDEX('CARNET DE SOUDURE'!$AH$7:$AH$1506,MATCH(49,'CARNET DE SOUDURE'!$AR$7:$AR$1506,0)),""))</f>
        <v/>
      </c>
      <c r="L60" s="109" t="str">
        <f aca="false">IF($B60="","",INDEX('CARNET DE SOUDURE'!$AL$7:$AL$1506,MATCH(49,'CARNET DE SOUDURE'!$AR$7:$AR$1506,0)))</f>
        <v/>
      </c>
      <c r="M60" s="109" t="str">
        <f aca="false">IF($B60="","",INDEX('CARNET DE SOUDURE'!$AM$7:$AM$1506,MATCH(49,'CARNET DE SOUDURE'!$AR$7:$AR$1506,0)))</f>
        <v/>
      </c>
      <c r="N60" s="110" t="str">
        <f aca="false">IF($B60="","",INDEX('CARNET DE SOUDURE'!$AN$7:$AN$1506,MATCH(49,'CARNET DE SOUDURE'!$AR$7:$AR$1506,0)))</f>
        <v/>
      </c>
    </row>
    <row r="61" customFormat="false" ht="15" hidden="false" customHeight="false" outlineLevel="0" collapsed="false">
      <c r="B61" s="112" t="str">
        <f aca="false">IF(50&gt;$I$4,"",50)</f>
        <v/>
      </c>
      <c r="C61" s="112" t="str">
        <f aca="false">IF($B61="","",INDEX('CARNET DE SOUDURE'!$B$7:$B$1506,MATCH(50,'CARNET DE SOUDURE'!$AR$7:$AR$1506,0)))</f>
        <v/>
      </c>
      <c r="D61" s="112" t="str">
        <f aca="false">IF($B61="","",INDEX('CARNET DE SOUDURE'!$E$7:$E$1506,MATCH(50,'CARNET DE SOUDURE'!$AR$7:$AR$1506,0)))</f>
        <v/>
      </c>
      <c r="E61" s="112" t="str">
        <f aca="false">IF($B61="","",INDEX('CARNET DE SOUDURE'!$O$7:$O$1506,MATCH(50,'CARNET DE SOUDURE'!$AR$7:$AR$1506,0))&amp;" / "&amp;INDEX('CARNET DE SOUDURE'!$P$7:$P$1506,MATCH(50,'CARNET DE SOUDURE'!$AR$7:$AR$1506,0))&amp;" / "&amp;INDEX('CARNET DE SOUDURE'!$Q$7:$Q$1506,MATCH(50,'CARNET DE SOUDURE'!$AR$7:$AR$1506,0)))</f>
        <v/>
      </c>
      <c r="F61" s="113" t="str">
        <f aca="false">IF($B61="","",INDEX('CARNET DE SOUDURE'!$V$7:$V$1506,MATCH(50,'CARNET DE SOUDURE'!$AR$7:$AR$1506,0)))</f>
        <v/>
      </c>
      <c r="G61" s="112" t="str">
        <f aca="false">IF($B61="","",INDEX('CARNET DE SOUDURE'!$W$7:$W$1506,MATCH(50,'CARNET DE SOUDURE'!$AR$7:$AR$1506,0))&amp;"")</f>
        <v/>
      </c>
      <c r="H61" s="114" t="str">
        <f aca="false">IF($B61="","",INDEX('CARNET DE SOUDURE'!$X$7:$X$1506,MATCH(50,'CARNET DE SOUDURE'!$AR$7:$AR$1506,0)))</f>
        <v/>
      </c>
      <c r="I61" s="112" t="str">
        <f aca="false">IF($B61="","",INDEX('CARNET DE SOUDURE'!$Y$7:$Y$1506,MATCH(50,'CARNET DE SOUDURE'!$AR$7:$AR$1506,0))&amp;IF(INDEX('CARNET DE SOUDURE'!$AD$7:$AD$1506,MATCH(50,'CARNET DE SOUDURE'!$AR$7:$AR$1506,0))&lt;&gt;""," / "&amp;INDEX('CARNET DE SOUDURE'!$AD$7:$AD$1506,MATCH(50,'CARNET DE SOUDURE'!$AR$7:$AR$1506,0)),""))</f>
        <v/>
      </c>
      <c r="J61" s="112" t="str">
        <f aca="false">IF($B61="","",INDEX('CARNET DE SOUDURE'!$Z$7:$Z$1506,MATCH(50,'CARNET DE SOUDURE'!$AR$7:$AR$1506,0))&amp;IF(INDEX('CARNET DE SOUDURE'!$AE$7:$AE$1506,MATCH(50,'CARNET DE SOUDURE'!$AR$7:$AR$1506,0))&lt;&gt;""," / "&amp;INDEX('CARNET DE SOUDURE'!$AE$7:$AE$1506,MATCH(50,'CARNET DE SOUDURE'!$AR$7:$AR$1506,0)),""))</f>
        <v/>
      </c>
      <c r="K61" s="112" t="str">
        <f aca="false">IF($B61="","",INDEX('CARNET DE SOUDURE'!$AC$7:$AC$1506,MATCH(50,'CARNET DE SOUDURE'!$AR$7:$AR$1506,0))&amp;IF(INDEX('CARNET DE SOUDURE'!$AH$7:$AH$1506,MATCH(50,'CARNET DE SOUDURE'!$AR$7:$AR$1506,0))&lt;&gt;""," / "&amp;INDEX('CARNET DE SOUDURE'!$AH$7:$AH$1506,MATCH(50,'CARNET DE SOUDURE'!$AR$7:$AR$1506,0)),""))</f>
        <v/>
      </c>
      <c r="L61" s="114" t="str">
        <f aca="false">IF($B61="","",INDEX('CARNET DE SOUDURE'!$AL$7:$AL$1506,MATCH(50,'CARNET DE SOUDURE'!$AR$7:$AR$1506,0)))</f>
        <v/>
      </c>
      <c r="M61" s="114" t="str">
        <f aca="false">IF($B61="","",INDEX('CARNET DE SOUDURE'!$AM$7:$AM$1506,MATCH(50,'CARNET DE SOUDURE'!$AR$7:$AR$1506,0)))</f>
        <v/>
      </c>
      <c r="N61" s="115" t="str">
        <f aca="false">IF($B61="","",INDEX('CARNET DE SOUDURE'!$AN$7:$AN$1506,MATCH(50,'CARNET DE SOUDURE'!$AR$7:$AR$1506,0)))</f>
        <v/>
      </c>
    </row>
    <row r="62" customFormat="false" ht="15" hidden="false" customHeight="false" outlineLevel="0" collapsed="false">
      <c r="B62" s="107" t="str">
        <f aca="false">IF(51&gt;$I$4,"",51)</f>
        <v/>
      </c>
      <c r="C62" s="107" t="str">
        <f aca="false">IF($B62="","",INDEX('CARNET DE SOUDURE'!$B$7:$B$1506,MATCH(51,'CARNET DE SOUDURE'!$AR$7:$AR$1506,0)))</f>
        <v/>
      </c>
      <c r="D62" s="107" t="str">
        <f aca="false">IF($B62="","",INDEX('CARNET DE SOUDURE'!$E$7:$E$1506,MATCH(51,'CARNET DE SOUDURE'!$AR$7:$AR$1506,0)))</f>
        <v/>
      </c>
      <c r="E62" s="107" t="str">
        <f aca="false">IF($B62="","",INDEX('CARNET DE SOUDURE'!$O$7:$O$1506,MATCH(51,'CARNET DE SOUDURE'!$AR$7:$AR$1506,0))&amp;" / "&amp;INDEX('CARNET DE SOUDURE'!$P$7:$P$1506,MATCH(51,'CARNET DE SOUDURE'!$AR$7:$AR$1506,0))&amp;" / "&amp;INDEX('CARNET DE SOUDURE'!$Q$7:$Q$1506,MATCH(51,'CARNET DE SOUDURE'!$AR$7:$AR$1506,0)))</f>
        <v/>
      </c>
      <c r="F62" s="108" t="str">
        <f aca="false">IF($B62="","",INDEX('CARNET DE SOUDURE'!$V$7:$V$1506,MATCH(51,'CARNET DE SOUDURE'!$AR$7:$AR$1506,0)))</f>
        <v/>
      </c>
      <c r="G62" s="107" t="str">
        <f aca="false">IF($B62="","",INDEX('CARNET DE SOUDURE'!$W$7:$W$1506,MATCH(51,'CARNET DE SOUDURE'!$AR$7:$AR$1506,0))&amp;"")</f>
        <v/>
      </c>
      <c r="H62" s="109" t="str">
        <f aca="false">IF($B62="","",INDEX('CARNET DE SOUDURE'!$X$7:$X$1506,MATCH(51,'CARNET DE SOUDURE'!$AR$7:$AR$1506,0)))</f>
        <v/>
      </c>
      <c r="I62" s="107" t="str">
        <f aca="false">IF($B62="","",INDEX('CARNET DE SOUDURE'!$Y$7:$Y$1506,MATCH(51,'CARNET DE SOUDURE'!$AR$7:$AR$1506,0))&amp;IF(INDEX('CARNET DE SOUDURE'!$AD$7:$AD$1506,MATCH(51,'CARNET DE SOUDURE'!$AR$7:$AR$1506,0))&lt;&gt;""," / "&amp;INDEX('CARNET DE SOUDURE'!$AD$7:$AD$1506,MATCH(51,'CARNET DE SOUDURE'!$AR$7:$AR$1506,0)),""))</f>
        <v/>
      </c>
      <c r="J62" s="107" t="str">
        <f aca="false">IF($B62="","",INDEX('CARNET DE SOUDURE'!$Z$7:$Z$1506,MATCH(51,'CARNET DE SOUDURE'!$AR$7:$AR$1506,0))&amp;IF(INDEX('CARNET DE SOUDURE'!$AE$7:$AE$1506,MATCH(51,'CARNET DE SOUDURE'!$AR$7:$AR$1506,0))&lt;&gt;""," / "&amp;INDEX('CARNET DE SOUDURE'!$AE$7:$AE$1506,MATCH(51,'CARNET DE SOUDURE'!$AR$7:$AR$1506,0)),""))</f>
        <v/>
      </c>
      <c r="K62" s="107" t="str">
        <f aca="false">IF($B62="","",INDEX('CARNET DE SOUDURE'!$AC$7:$AC$1506,MATCH(51,'CARNET DE SOUDURE'!$AR$7:$AR$1506,0))&amp;IF(INDEX('CARNET DE SOUDURE'!$AH$7:$AH$1506,MATCH(51,'CARNET DE SOUDURE'!$AR$7:$AR$1506,0))&lt;&gt;""," / "&amp;INDEX('CARNET DE SOUDURE'!$AH$7:$AH$1506,MATCH(51,'CARNET DE SOUDURE'!$AR$7:$AR$1506,0)),""))</f>
        <v/>
      </c>
      <c r="L62" s="109" t="str">
        <f aca="false">IF($B62="","",INDEX('CARNET DE SOUDURE'!$AL$7:$AL$1506,MATCH(51,'CARNET DE SOUDURE'!$AR$7:$AR$1506,0)))</f>
        <v/>
      </c>
      <c r="M62" s="109" t="str">
        <f aca="false">IF($B62="","",INDEX('CARNET DE SOUDURE'!$AM$7:$AM$1506,MATCH(51,'CARNET DE SOUDURE'!$AR$7:$AR$1506,0)))</f>
        <v/>
      </c>
      <c r="N62" s="110" t="str">
        <f aca="false">IF($B62="","",INDEX('CARNET DE SOUDURE'!$AN$7:$AN$1506,MATCH(51,'CARNET DE SOUDURE'!$AR$7:$AR$1506,0)))</f>
        <v/>
      </c>
    </row>
    <row r="63" customFormat="false" ht="15" hidden="false" customHeight="false" outlineLevel="0" collapsed="false">
      <c r="B63" s="112" t="str">
        <f aca="false">IF(52&gt;$I$4,"",52)</f>
        <v/>
      </c>
      <c r="C63" s="112" t="str">
        <f aca="false">IF($B63="","",INDEX('CARNET DE SOUDURE'!$B$7:$B$1506,MATCH(52,'CARNET DE SOUDURE'!$AR$7:$AR$1506,0)))</f>
        <v/>
      </c>
      <c r="D63" s="112" t="str">
        <f aca="false">IF($B63="","",INDEX('CARNET DE SOUDURE'!$E$7:$E$1506,MATCH(52,'CARNET DE SOUDURE'!$AR$7:$AR$1506,0)))</f>
        <v/>
      </c>
      <c r="E63" s="112" t="str">
        <f aca="false">IF($B63="","",INDEX('CARNET DE SOUDURE'!$O$7:$O$1506,MATCH(52,'CARNET DE SOUDURE'!$AR$7:$AR$1506,0))&amp;" / "&amp;INDEX('CARNET DE SOUDURE'!$P$7:$P$1506,MATCH(52,'CARNET DE SOUDURE'!$AR$7:$AR$1506,0))&amp;" / "&amp;INDEX('CARNET DE SOUDURE'!$Q$7:$Q$1506,MATCH(52,'CARNET DE SOUDURE'!$AR$7:$AR$1506,0)))</f>
        <v/>
      </c>
      <c r="F63" s="113" t="str">
        <f aca="false">IF($B63="","",INDEX('CARNET DE SOUDURE'!$V$7:$V$1506,MATCH(52,'CARNET DE SOUDURE'!$AR$7:$AR$1506,0)))</f>
        <v/>
      </c>
      <c r="G63" s="112" t="str">
        <f aca="false">IF($B63="","",INDEX('CARNET DE SOUDURE'!$W$7:$W$1506,MATCH(52,'CARNET DE SOUDURE'!$AR$7:$AR$1506,0))&amp;"")</f>
        <v/>
      </c>
      <c r="H63" s="114" t="str">
        <f aca="false">IF($B63="","",INDEX('CARNET DE SOUDURE'!$X$7:$X$1506,MATCH(52,'CARNET DE SOUDURE'!$AR$7:$AR$1506,0)))</f>
        <v/>
      </c>
      <c r="I63" s="112" t="str">
        <f aca="false">IF($B63="","",INDEX('CARNET DE SOUDURE'!$Y$7:$Y$1506,MATCH(52,'CARNET DE SOUDURE'!$AR$7:$AR$1506,0))&amp;IF(INDEX('CARNET DE SOUDURE'!$AD$7:$AD$1506,MATCH(52,'CARNET DE SOUDURE'!$AR$7:$AR$1506,0))&lt;&gt;""," / "&amp;INDEX('CARNET DE SOUDURE'!$AD$7:$AD$1506,MATCH(52,'CARNET DE SOUDURE'!$AR$7:$AR$1506,0)),""))</f>
        <v/>
      </c>
      <c r="J63" s="112" t="str">
        <f aca="false">IF($B63="","",INDEX('CARNET DE SOUDURE'!$Z$7:$Z$1506,MATCH(52,'CARNET DE SOUDURE'!$AR$7:$AR$1506,0))&amp;IF(INDEX('CARNET DE SOUDURE'!$AE$7:$AE$1506,MATCH(52,'CARNET DE SOUDURE'!$AR$7:$AR$1506,0))&lt;&gt;""," / "&amp;INDEX('CARNET DE SOUDURE'!$AE$7:$AE$1506,MATCH(52,'CARNET DE SOUDURE'!$AR$7:$AR$1506,0)),""))</f>
        <v/>
      </c>
      <c r="K63" s="112" t="str">
        <f aca="false">IF($B63="","",INDEX('CARNET DE SOUDURE'!$AC$7:$AC$1506,MATCH(52,'CARNET DE SOUDURE'!$AR$7:$AR$1506,0))&amp;IF(INDEX('CARNET DE SOUDURE'!$AH$7:$AH$1506,MATCH(52,'CARNET DE SOUDURE'!$AR$7:$AR$1506,0))&lt;&gt;""," / "&amp;INDEX('CARNET DE SOUDURE'!$AH$7:$AH$1506,MATCH(52,'CARNET DE SOUDURE'!$AR$7:$AR$1506,0)),""))</f>
        <v/>
      </c>
      <c r="L63" s="114" t="str">
        <f aca="false">IF($B63="","",INDEX('CARNET DE SOUDURE'!$AL$7:$AL$1506,MATCH(52,'CARNET DE SOUDURE'!$AR$7:$AR$1506,0)))</f>
        <v/>
      </c>
      <c r="M63" s="114" t="str">
        <f aca="false">IF($B63="","",INDEX('CARNET DE SOUDURE'!$AM$7:$AM$1506,MATCH(52,'CARNET DE SOUDURE'!$AR$7:$AR$1506,0)))</f>
        <v/>
      </c>
      <c r="N63" s="115" t="str">
        <f aca="false">IF($B63="","",INDEX('CARNET DE SOUDURE'!$AN$7:$AN$1506,MATCH(52,'CARNET DE SOUDURE'!$AR$7:$AR$1506,0)))</f>
        <v/>
      </c>
    </row>
    <row r="64" customFormat="false" ht="15" hidden="false" customHeight="false" outlineLevel="0" collapsed="false">
      <c r="B64" s="107" t="str">
        <f aca="false">IF(53&gt;$I$4,"",53)</f>
        <v/>
      </c>
      <c r="C64" s="107" t="str">
        <f aca="false">IF($B64="","",INDEX('CARNET DE SOUDURE'!$B$7:$B$1506,MATCH(53,'CARNET DE SOUDURE'!$AR$7:$AR$1506,0)))</f>
        <v/>
      </c>
      <c r="D64" s="107" t="str">
        <f aca="false">IF($B64="","",INDEX('CARNET DE SOUDURE'!$E$7:$E$1506,MATCH(53,'CARNET DE SOUDURE'!$AR$7:$AR$1506,0)))</f>
        <v/>
      </c>
      <c r="E64" s="107" t="str">
        <f aca="false">IF($B64="","",INDEX('CARNET DE SOUDURE'!$O$7:$O$1506,MATCH(53,'CARNET DE SOUDURE'!$AR$7:$AR$1506,0))&amp;" / "&amp;INDEX('CARNET DE SOUDURE'!$P$7:$P$1506,MATCH(53,'CARNET DE SOUDURE'!$AR$7:$AR$1506,0))&amp;" / "&amp;INDEX('CARNET DE SOUDURE'!$Q$7:$Q$1506,MATCH(53,'CARNET DE SOUDURE'!$AR$7:$AR$1506,0)))</f>
        <v/>
      </c>
      <c r="F64" s="108" t="str">
        <f aca="false">IF($B64="","",INDEX('CARNET DE SOUDURE'!$V$7:$V$1506,MATCH(53,'CARNET DE SOUDURE'!$AR$7:$AR$1506,0)))</f>
        <v/>
      </c>
      <c r="G64" s="107" t="str">
        <f aca="false">IF($B64="","",INDEX('CARNET DE SOUDURE'!$W$7:$W$1506,MATCH(53,'CARNET DE SOUDURE'!$AR$7:$AR$1506,0))&amp;"")</f>
        <v/>
      </c>
      <c r="H64" s="109" t="str">
        <f aca="false">IF($B64="","",INDEX('CARNET DE SOUDURE'!$X$7:$X$1506,MATCH(53,'CARNET DE SOUDURE'!$AR$7:$AR$1506,0)))</f>
        <v/>
      </c>
      <c r="I64" s="107" t="str">
        <f aca="false">IF($B64="","",INDEX('CARNET DE SOUDURE'!$Y$7:$Y$1506,MATCH(53,'CARNET DE SOUDURE'!$AR$7:$AR$1506,0))&amp;IF(INDEX('CARNET DE SOUDURE'!$AD$7:$AD$1506,MATCH(53,'CARNET DE SOUDURE'!$AR$7:$AR$1506,0))&lt;&gt;""," / "&amp;INDEX('CARNET DE SOUDURE'!$AD$7:$AD$1506,MATCH(53,'CARNET DE SOUDURE'!$AR$7:$AR$1506,0)),""))</f>
        <v/>
      </c>
      <c r="J64" s="107" t="str">
        <f aca="false">IF($B64="","",INDEX('CARNET DE SOUDURE'!$Z$7:$Z$1506,MATCH(53,'CARNET DE SOUDURE'!$AR$7:$AR$1506,0))&amp;IF(INDEX('CARNET DE SOUDURE'!$AE$7:$AE$1506,MATCH(53,'CARNET DE SOUDURE'!$AR$7:$AR$1506,0))&lt;&gt;""," / "&amp;INDEX('CARNET DE SOUDURE'!$AE$7:$AE$1506,MATCH(53,'CARNET DE SOUDURE'!$AR$7:$AR$1506,0)),""))</f>
        <v/>
      </c>
      <c r="K64" s="107" t="str">
        <f aca="false">IF($B64="","",INDEX('CARNET DE SOUDURE'!$AC$7:$AC$1506,MATCH(53,'CARNET DE SOUDURE'!$AR$7:$AR$1506,0))&amp;IF(INDEX('CARNET DE SOUDURE'!$AH$7:$AH$1506,MATCH(53,'CARNET DE SOUDURE'!$AR$7:$AR$1506,0))&lt;&gt;""," / "&amp;INDEX('CARNET DE SOUDURE'!$AH$7:$AH$1506,MATCH(53,'CARNET DE SOUDURE'!$AR$7:$AR$1506,0)),""))</f>
        <v/>
      </c>
      <c r="L64" s="109" t="str">
        <f aca="false">IF($B64="","",INDEX('CARNET DE SOUDURE'!$AL$7:$AL$1506,MATCH(53,'CARNET DE SOUDURE'!$AR$7:$AR$1506,0)))</f>
        <v/>
      </c>
      <c r="M64" s="109" t="str">
        <f aca="false">IF($B64="","",INDEX('CARNET DE SOUDURE'!$AM$7:$AM$1506,MATCH(53,'CARNET DE SOUDURE'!$AR$7:$AR$1506,0)))</f>
        <v/>
      </c>
      <c r="N64" s="110" t="str">
        <f aca="false">IF($B64="","",INDEX('CARNET DE SOUDURE'!$AN$7:$AN$1506,MATCH(53,'CARNET DE SOUDURE'!$AR$7:$AR$1506,0)))</f>
        <v/>
      </c>
    </row>
    <row r="65" customFormat="false" ht="15" hidden="false" customHeight="false" outlineLevel="0" collapsed="false">
      <c r="B65" s="112" t="str">
        <f aca="false">IF(54&gt;$I$4,"",54)</f>
        <v/>
      </c>
      <c r="C65" s="112" t="str">
        <f aca="false">IF($B65="","",INDEX('CARNET DE SOUDURE'!$B$7:$B$1506,MATCH(54,'CARNET DE SOUDURE'!$AR$7:$AR$1506,0)))</f>
        <v/>
      </c>
      <c r="D65" s="112" t="str">
        <f aca="false">IF($B65="","",INDEX('CARNET DE SOUDURE'!$E$7:$E$1506,MATCH(54,'CARNET DE SOUDURE'!$AR$7:$AR$1506,0)))</f>
        <v/>
      </c>
      <c r="E65" s="112" t="str">
        <f aca="false">IF($B65="","",INDEX('CARNET DE SOUDURE'!$O$7:$O$1506,MATCH(54,'CARNET DE SOUDURE'!$AR$7:$AR$1506,0))&amp;" / "&amp;INDEX('CARNET DE SOUDURE'!$P$7:$P$1506,MATCH(54,'CARNET DE SOUDURE'!$AR$7:$AR$1506,0))&amp;" / "&amp;INDEX('CARNET DE SOUDURE'!$Q$7:$Q$1506,MATCH(54,'CARNET DE SOUDURE'!$AR$7:$AR$1506,0)))</f>
        <v/>
      </c>
      <c r="F65" s="113" t="str">
        <f aca="false">IF($B65="","",INDEX('CARNET DE SOUDURE'!$V$7:$V$1506,MATCH(54,'CARNET DE SOUDURE'!$AR$7:$AR$1506,0)))</f>
        <v/>
      </c>
      <c r="G65" s="112" t="str">
        <f aca="false">IF($B65="","",INDEX('CARNET DE SOUDURE'!$W$7:$W$1506,MATCH(54,'CARNET DE SOUDURE'!$AR$7:$AR$1506,0))&amp;"")</f>
        <v/>
      </c>
      <c r="H65" s="114" t="str">
        <f aca="false">IF($B65="","",INDEX('CARNET DE SOUDURE'!$X$7:$X$1506,MATCH(54,'CARNET DE SOUDURE'!$AR$7:$AR$1506,0)))</f>
        <v/>
      </c>
      <c r="I65" s="112" t="str">
        <f aca="false">IF($B65="","",INDEX('CARNET DE SOUDURE'!$Y$7:$Y$1506,MATCH(54,'CARNET DE SOUDURE'!$AR$7:$AR$1506,0))&amp;IF(INDEX('CARNET DE SOUDURE'!$AD$7:$AD$1506,MATCH(54,'CARNET DE SOUDURE'!$AR$7:$AR$1506,0))&lt;&gt;""," / "&amp;INDEX('CARNET DE SOUDURE'!$AD$7:$AD$1506,MATCH(54,'CARNET DE SOUDURE'!$AR$7:$AR$1506,0)),""))</f>
        <v/>
      </c>
      <c r="J65" s="112" t="str">
        <f aca="false">IF($B65="","",INDEX('CARNET DE SOUDURE'!$Z$7:$Z$1506,MATCH(54,'CARNET DE SOUDURE'!$AR$7:$AR$1506,0))&amp;IF(INDEX('CARNET DE SOUDURE'!$AE$7:$AE$1506,MATCH(54,'CARNET DE SOUDURE'!$AR$7:$AR$1506,0))&lt;&gt;""," / "&amp;INDEX('CARNET DE SOUDURE'!$AE$7:$AE$1506,MATCH(54,'CARNET DE SOUDURE'!$AR$7:$AR$1506,0)),""))</f>
        <v/>
      </c>
      <c r="K65" s="112" t="str">
        <f aca="false">IF($B65="","",INDEX('CARNET DE SOUDURE'!$AC$7:$AC$1506,MATCH(54,'CARNET DE SOUDURE'!$AR$7:$AR$1506,0))&amp;IF(INDEX('CARNET DE SOUDURE'!$AH$7:$AH$1506,MATCH(54,'CARNET DE SOUDURE'!$AR$7:$AR$1506,0))&lt;&gt;""," / "&amp;INDEX('CARNET DE SOUDURE'!$AH$7:$AH$1506,MATCH(54,'CARNET DE SOUDURE'!$AR$7:$AR$1506,0)),""))</f>
        <v/>
      </c>
      <c r="L65" s="114" t="str">
        <f aca="false">IF($B65="","",INDEX('CARNET DE SOUDURE'!$AL$7:$AL$1506,MATCH(54,'CARNET DE SOUDURE'!$AR$7:$AR$1506,0)))</f>
        <v/>
      </c>
      <c r="M65" s="114" t="str">
        <f aca="false">IF($B65="","",INDEX('CARNET DE SOUDURE'!$AM$7:$AM$1506,MATCH(54,'CARNET DE SOUDURE'!$AR$7:$AR$1506,0)))</f>
        <v/>
      </c>
      <c r="N65" s="115" t="str">
        <f aca="false">IF($B65="","",INDEX('CARNET DE SOUDURE'!$AN$7:$AN$1506,MATCH(54,'CARNET DE SOUDURE'!$AR$7:$AR$1506,0)))</f>
        <v/>
      </c>
    </row>
    <row r="66" customFormat="false" ht="15" hidden="false" customHeight="false" outlineLevel="0" collapsed="false">
      <c r="B66" s="107" t="str">
        <f aca="false">IF(55&gt;$I$4,"",55)</f>
        <v/>
      </c>
      <c r="C66" s="107" t="str">
        <f aca="false">IF($B66="","",INDEX('CARNET DE SOUDURE'!$B$7:$B$1506,MATCH(55,'CARNET DE SOUDURE'!$AR$7:$AR$1506,0)))</f>
        <v/>
      </c>
      <c r="D66" s="107" t="str">
        <f aca="false">IF($B66="","",INDEX('CARNET DE SOUDURE'!$E$7:$E$1506,MATCH(55,'CARNET DE SOUDURE'!$AR$7:$AR$1506,0)))</f>
        <v/>
      </c>
      <c r="E66" s="107" t="str">
        <f aca="false">IF($B66="","",INDEX('CARNET DE SOUDURE'!$O$7:$O$1506,MATCH(55,'CARNET DE SOUDURE'!$AR$7:$AR$1506,0))&amp;" / "&amp;INDEX('CARNET DE SOUDURE'!$P$7:$P$1506,MATCH(55,'CARNET DE SOUDURE'!$AR$7:$AR$1506,0))&amp;" / "&amp;INDEX('CARNET DE SOUDURE'!$Q$7:$Q$1506,MATCH(55,'CARNET DE SOUDURE'!$AR$7:$AR$1506,0)))</f>
        <v/>
      </c>
      <c r="F66" s="108" t="str">
        <f aca="false">IF($B66="","",INDEX('CARNET DE SOUDURE'!$V$7:$V$1506,MATCH(55,'CARNET DE SOUDURE'!$AR$7:$AR$1506,0)))</f>
        <v/>
      </c>
      <c r="G66" s="107" t="str">
        <f aca="false">IF($B66="","",INDEX('CARNET DE SOUDURE'!$W$7:$W$1506,MATCH(55,'CARNET DE SOUDURE'!$AR$7:$AR$1506,0))&amp;"")</f>
        <v/>
      </c>
      <c r="H66" s="109" t="str">
        <f aca="false">IF($B66="","",INDEX('CARNET DE SOUDURE'!$X$7:$X$1506,MATCH(55,'CARNET DE SOUDURE'!$AR$7:$AR$1506,0)))</f>
        <v/>
      </c>
      <c r="I66" s="107" t="str">
        <f aca="false">IF($B66="","",INDEX('CARNET DE SOUDURE'!$Y$7:$Y$1506,MATCH(55,'CARNET DE SOUDURE'!$AR$7:$AR$1506,0))&amp;IF(INDEX('CARNET DE SOUDURE'!$AD$7:$AD$1506,MATCH(55,'CARNET DE SOUDURE'!$AR$7:$AR$1506,0))&lt;&gt;""," / "&amp;INDEX('CARNET DE SOUDURE'!$AD$7:$AD$1506,MATCH(55,'CARNET DE SOUDURE'!$AR$7:$AR$1506,0)),""))</f>
        <v/>
      </c>
      <c r="J66" s="107" t="str">
        <f aca="false">IF($B66="","",INDEX('CARNET DE SOUDURE'!$Z$7:$Z$1506,MATCH(55,'CARNET DE SOUDURE'!$AR$7:$AR$1506,0))&amp;IF(INDEX('CARNET DE SOUDURE'!$AE$7:$AE$1506,MATCH(55,'CARNET DE SOUDURE'!$AR$7:$AR$1506,0))&lt;&gt;""," / "&amp;INDEX('CARNET DE SOUDURE'!$AE$7:$AE$1506,MATCH(55,'CARNET DE SOUDURE'!$AR$7:$AR$1506,0)),""))</f>
        <v/>
      </c>
      <c r="K66" s="107" t="str">
        <f aca="false">IF($B66="","",INDEX('CARNET DE SOUDURE'!$AC$7:$AC$1506,MATCH(55,'CARNET DE SOUDURE'!$AR$7:$AR$1506,0))&amp;IF(INDEX('CARNET DE SOUDURE'!$AH$7:$AH$1506,MATCH(55,'CARNET DE SOUDURE'!$AR$7:$AR$1506,0))&lt;&gt;""," / "&amp;INDEX('CARNET DE SOUDURE'!$AH$7:$AH$1506,MATCH(55,'CARNET DE SOUDURE'!$AR$7:$AR$1506,0)),""))</f>
        <v/>
      </c>
      <c r="L66" s="109" t="str">
        <f aca="false">IF($B66="","",INDEX('CARNET DE SOUDURE'!$AL$7:$AL$1506,MATCH(55,'CARNET DE SOUDURE'!$AR$7:$AR$1506,0)))</f>
        <v/>
      </c>
      <c r="M66" s="109" t="str">
        <f aca="false">IF($B66="","",INDEX('CARNET DE SOUDURE'!$AM$7:$AM$1506,MATCH(55,'CARNET DE SOUDURE'!$AR$7:$AR$1506,0)))</f>
        <v/>
      </c>
      <c r="N66" s="110" t="str">
        <f aca="false">IF($B66="","",INDEX('CARNET DE SOUDURE'!$AN$7:$AN$1506,MATCH(55,'CARNET DE SOUDURE'!$AR$7:$AR$1506,0)))</f>
        <v/>
      </c>
    </row>
    <row r="67" customFormat="false" ht="15" hidden="false" customHeight="false" outlineLevel="0" collapsed="false">
      <c r="B67" s="112" t="str">
        <f aca="false">IF(56&gt;$I$4,"",56)</f>
        <v/>
      </c>
      <c r="C67" s="112" t="str">
        <f aca="false">IF($B67="","",INDEX('CARNET DE SOUDURE'!$B$7:$B$1506,MATCH(56,'CARNET DE SOUDURE'!$AR$7:$AR$1506,0)))</f>
        <v/>
      </c>
      <c r="D67" s="112" t="str">
        <f aca="false">IF($B67="","",INDEX('CARNET DE SOUDURE'!$E$7:$E$1506,MATCH(56,'CARNET DE SOUDURE'!$AR$7:$AR$1506,0)))</f>
        <v/>
      </c>
      <c r="E67" s="112" t="str">
        <f aca="false">IF($B67="","",INDEX('CARNET DE SOUDURE'!$O$7:$O$1506,MATCH(56,'CARNET DE SOUDURE'!$AR$7:$AR$1506,0))&amp;" / "&amp;INDEX('CARNET DE SOUDURE'!$P$7:$P$1506,MATCH(56,'CARNET DE SOUDURE'!$AR$7:$AR$1506,0))&amp;" / "&amp;INDEX('CARNET DE SOUDURE'!$Q$7:$Q$1506,MATCH(56,'CARNET DE SOUDURE'!$AR$7:$AR$1506,0)))</f>
        <v/>
      </c>
      <c r="F67" s="113" t="str">
        <f aca="false">IF($B67="","",INDEX('CARNET DE SOUDURE'!$V$7:$V$1506,MATCH(56,'CARNET DE SOUDURE'!$AR$7:$AR$1506,0)))</f>
        <v/>
      </c>
      <c r="G67" s="112" t="str">
        <f aca="false">IF($B67="","",INDEX('CARNET DE SOUDURE'!$W$7:$W$1506,MATCH(56,'CARNET DE SOUDURE'!$AR$7:$AR$1506,0))&amp;"")</f>
        <v/>
      </c>
      <c r="H67" s="114" t="str">
        <f aca="false">IF($B67="","",INDEX('CARNET DE SOUDURE'!$X$7:$X$1506,MATCH(56,'CARNET DE SOUDURE'!$AR$7:$AR$1506,0)))</f>
        <v/>
      </c>
      <c r="I67" s="112" t="str">
        <f aca="false">IF($B67="","",INDEX('CARNET DE SOUDURE'!$Y$7:$Y$1506,MATCH(56,'CARNET DE SOUDURE'!$AR$7:$AR$1506,0))&amp;IF(INDEX('CARNET DE SOUDURE'!$AD$7:$AD$1506,MATCH(56,'CARNET DE SOUDURE'!$AR$7:$AR$1506,0))&lt;&gt;""," / "&amp;INDEX('CARNET DE SOUDURE'!$AD$7:$AD$1506,MATCH(56,'CARNET DE SOUDURE'!$AR$7:$AR$1506,0)),""))</f>
        <v/>
      </c>
      <c r="J67" s="112" t="str">
        <f aca="false">IF($B67="","",INDEX('CARNET DE SOUDURE'!$Z$7:$Z$1506,MATCH(56,'CARNET DE SOUDURE'!$AR$7:$AR$1506,0))&amp;IF(INDEX('CARNET DE SOUDURE'!$AE$7:$AE$1506,MATCH(56,'CARNET DE SOUDURE'!$AR$7:$AR$1506,0))&lt;&gt;""," / "&amp;INDEX('CARNET DE SOUDURE'!$AE$7:$AE$1506,MATCH(56,'CARNET DE SOUDURE'!$AR$7:$AR$1506,0)),""))</f>
        <v/>
      </c>
      <c r="K67" s="112" t="str">
        <f aca="false">IF($B67="","",INDEX('CARNET DE SOUDURE'!$AC$7:$AC$1506,MATCH(56,'CARNET DE SOUDURE'!$AR$7:$AR$1506,0))&amp;IF(INDEX('CARNET DE SOUDURE'!$AH$7:$AH$1506,MATCH(56,'CARNET DE SOUDURE'!$AR$7:$AR$1506,0))&lt;&gt;""," / "&amp;INDEX('CARNET DE SOUDURE'!$AH$7:$AH$1506,MATCH(56,'CARNET DE SOUDURE'!$AR$7:$AR$1506,0)),""))</f>
        <v/>
      </c>
      <c r="L67" s="114" t="str">
        <f aca="false">IF($B67="","",INDEX('CARNET DE SOUDURE'!$AL$7:$AL$1506,MATCH(56,'CARNET DE SOUDURE'!$AR$7:$AR$1506,0)))</f>
        <v/>
      </c>
      <c r="M67" s="114" t="str">
        <f aca="false">IF($B67="","",INDEX('CARNET DE SOUDURE'!$AM$7:$AM$1506,MATCH(56,'CARNET DE SOUDURE'!$AR$7:$AR$1506,0)))</f>
        <v/>
      </c>
      <c r="N67" s="115" t="str">
        <f aca="false">IF($B67="","",INDEX('CARNET DE SOUDURE'!$AN$7:$AN$1506,MATCH(56,'CARNET DE SOUDURE'!$AR$7:$AR$1506,0)))</f>
        <v/>
      </c>
    </row>
    <row r="68" customFormat="false" ht="15" hidden="false" customHeight="false" outlineLevel="0" collapsed="false">
      <c r="B68" s="107" t="str">
        <f aca="false">IF(57&gt;$I$4,"",57)</f>
        <v/>
      </c>
      <c r="C68" s="107" t="str">
        <f aca="false">IF($B68="","",INDEX('CARNET DE SOUDURE'!$B$7:$B$1506,MATCH(57,'CARNET DE SOUDURE'!$AR$7:$AR$1506,0)))</f>
        <v/>
      </c>
      <c r="D68" s="107" t="str">
        <f aca="false">IF($B68="","",INDEX('CARNET DE SOUDURE'!$E$7:$E$1506,MATCH(57,'CARNET DE SOUDURE'!$AR$7:$AR$1506,0)))</f>
        <v/>
      </c>
      <c r="E68" s="107" t="str">
        <f aca="false">IF($B68="","",INDEX('CARNET DE SOUDURE'!$O$7:$O$1506,MATCH(57,'CARNET DE SOUDURE'!$AR$7:$AR$1506,0))&amp;" / "&amp;INDEX('CARNET DE SOUDURE'!$P$7:$P$1506,MATCH(57,'CARNET DE SOUDURE'!$AR$7:$AR$1506,0))&amp;" / "&amp;INDEX('CARNET DE SOUDURE'!$Q$7:$Q$1506,MATCH(57,'CARNET DE SOUDURE'!$AR$7:$AR$1506,0)))</f>
        <v/>
      </c>
      <c r="F68" s="108" t="str">
        <f aca="false">IF($B68="","",INDEX('CARNET DE SOUDURE'!$V$7:$V$1506,MATCH(57,'CARNET DE SOUDURE'!$AR$7:$AR$1506,0)))</f>
        <v/>
      </c>
      <c r="G68" s="107" t="str">
        <f aca="false">IF($B68="","",INDEX('CARNET DE SOUDURE'!$W$7:$W$1506,MATCH(57,'CARNET DE SOUDURE'!$AR$7:$AR$1506,0))&amp;"")</f>
        <v/>
      </c>
      <c r="H68" s="109" t="str">
        <f aca="false">IF($B68="","",INDEX('CARNET DE SOUDURE'!$X$7:$X$1506,MATCH(57,'CARNET DE SOUDURE'!$AR$7:$AR$1506,0)))</f>
        <v/>
      </c>
      <c r="I68" s="107" t="str">
        <f aca="false">IF($B68="","",INDEX('CARNET DE SOUDURE'!$Y$7:$Y$1506,MATCH(57,'CARNET DE SOUDURE'!$AR$7:$AR$1506,0))&amp;IF(INDEX('CARNET DE SOUDURE'!$AD$7:$AD$1506,MATCH(57,'CARNET DE SOUDURE'!$AR$7:$AR$1506,0))&lt;&gt;""," / "&amp;INDEX('CARNET DE SOUDURE'!$AD$7:$AD$1506,MATCH(57,'CARNET DE SOUDURE'!$AR$7:$AR$1506,0)),""))</f>
        <v/>
      </c>
      <c r="J68" s="107" t="str">
        <f aca="false">IF($B68="","",INDEX('CARNET DE SOUDURE'!$Z$7:$Z$1506,MATCH(57,'CARNET DE SOUDURE'!$AR$7:$AR$1506,0))&amp;IF(INDEX('CARNET DE SOUDURE'!$AE$7:$AE$1506,MATCH(57,'CARNET DE SOUDURE'!$AR$7:$AR$1506,0))&lt;&gt;""," / "&amp;INDEX('CARNET DE SOUDURE'!$AE$7:$AE$1506,MATCH(57,'CARNET DE SOUDURE'!$AR$7:$AR$1506,0)),""))</f>
        <v/>
      </c>
      <c r="K68" s="107" t="str">
        <f aca="false">IF($B68="","",INDEX('CARNET DE SOUDURE'!$AC$7:$AC$1506,MATCH(57,'CARNET DE SOUDURE'!$AR$7:$AR$1506,0))&amp;IF(INDEX('CARNET DE SOUDURE'!$AH$7:$AH$1506,MATCH(57,'CARNET DE SOUDURE'!$AR$7:$AR$1506,0))&lt;&gt;""," / "&amp;INDEX('CARNET DE SOUDURE'!$AH$7:$AH$1506,MATCH(57,'CARNET DE SOUDURE'!$AR$7:$AR$1506,0)),""))</f>
        <v/>
      </c>
      <c r="L68" s="109" t="str">
        <f aca="false">IF($B68="","",INDEX('CARNET DE SOUDURE'!$AL$7:$AL$1506,MATCH(57,'CARNET DE SOUDURE'!$AR$7:$AR$1506,0)))</f>
        <v/>
      </c>
      <c r="M68" s="109" t="str">
        <f aca="false">IF($B68="","",INDEX('CARNET DE SOUDURE'!$AM$7:$AM$1506,MATCH(57,'CARNET DE SOUDURE'!$AR$7:$AR$1506,0)))</f>
        <v/>
      </c>
      <c r="N68" s="110" t="str">
        <f aca="false">IF($B68="","",INDEX('CARNET DE SOUDURE'!$AN$7:$AN$1506,MATCH(57,'CARNET DE SOUDURE'!$AR$7:$AR$1506,0)))</f>
        <v/>
      </c>
    </row>
    <row r="69" customFormat="false" ht="15" hidden="false" customHeight="false" outlineLevel="0" collapsed="false">
      <c r="B69" s="112" t="str">
        <f aca="false">IF(58&gt;$I$4,"",58)</f>
        <v/>
      </c>
      <c r="C69" s="112" t="str">
        <f aca="false">IF($B69="","",INDEX('CARNET DE SOUDURE'!$B$7:$B$1506,MATCH(58,'CARNET DE SOUDURE'!$AR$7:$AR$1506,0)))</f>
        <v/>
      </c>
      <c r="D69" s="112" t="str">
        <f aca="false">IF($B69="","",INDEX('CARNET DE SOUDURE'!$E$7:$E$1506,MATCH(58,'CARNET DE SOUDURE'!$AR$7:$AR$1506,0)))</f>
        <v/>
      </c>
      <c r="E69" s="112" t="str">
        <f aca="false">IF($B69="","",INDEX('CARNET DE SOUDURE'!$O$7:$O$1506,MATCH(58,'CARNET DE SOUDURE'!$AR$7:$AR$1506,0))&amp;" / "&amp;INDEX('CARNET DE SOUDURE'!$P$7:$P$1506,MATCH(58,'CARNET DE SOUDURE'!$AR$7:$AR$1506,0))&amp;" / "&amp;INDEX('CARNET DE SOUDURE'!$Q$7:$Q$1506,MATCH(58,'CARNET DE SOUDURE'!$AR$7:$AR$1506,0)))</f>
        <v/>
      </c>
      <c r="F69" s="113" t="str">
        <f aca="false">IF($B69="","",INDEX('CARNET DE SOUDURE'!$V$7:$V$1506,MATCH(58,'CARNET DE SOUDURE'!$AR$7:$AR$1506,0)))</f>
        <v/>
      </c>
      <c r="G69" s="112" t="str">
        <f aca="false">IF($B69="","",INDEX('CARNET DE SOUDURE'!$W$7:$W$1506,MATCH(58,'CARNET DE SOUDURE'!$AR$7:$AR$1506,0))&amp;"")</f>
        <v/>
      </c>
      <c r="H69" s="114" t="str">
        <f aca="false">IF($B69="","",INDEX('CARNET DE SOUDURE'!$X$7:$X$1506,MATCH(58,'CARNET DE SOUDURE'!$AR$7:$AR$1506,0)))</f>
        <v/>
      </c>
      <c r="I69" s="112" t="str">
        <f aca="false">IF($B69="","",INDEX('CARNET DE SOUDURE'!$Y$7:$Y$1506,MATCH(58,'CARNET DE SOUDURE'!$AR$7:$AR$1506,0))&amp;IF(INDEX('CARNET DE SOUDURE'!$AD$7:$AD$1506,MATCH(58,'CARNET DE SOUDURE'!$AR$7:$AR$1506,0))&lt;&gt;""," / "&amp;INDEX('CARNET DE SOUDURE'!$AD$7:$AD$1506,MATCH(58,'CARNET DE SOUDURE'!$AR$7:$AR$1506,0)),""))</f>
        <v/>
      </c>
      <c r="J69" s="112" t="str">
        <f aca="false">IF($B69="","",INDEX('CARNET DE SOUDURE'!$Z$7:$Z$1506,MATCH(58,'CARNET DE SOUDURE'!$AR$7:$AR$1506,0))&amp;IF(INDEX('CARNET DE SOUDURE'!$AE$7:$AE$1506,MATCH(58,'CARNET DE SOUDURE'!$AR$7:$AR$1506,0))&lt;&gt;""," / "&amp;INDEX('CARNET DE SOUDURE'!$AE$7:$AE$1506,MATCH(58,'CARNET DE SOUDURE'!$AR$7:$AR$1506,0)),""))</f>
        <v/>
      </c>
      <c r="K69" s="112" t="str">
        <f aca="false">IF($B69="","",INDEX('CARNET DE SOUDURE'!$AC$7:$AC$1506,MATCH(58,'CARNET DE SOUDURE'!$AR$7:$AR$1506,0))&amp;IF(INDEX('CARNET DE SOUDURE'!$AH$7:$AH$1506,MATCH(58,'CARNET DE SOUDURE'!$AR$7:$AR$1506,0))&lt;&gt;""," / "&amp;INDEX('CARNET DE SOUDURE'!$AH$7:$AH$1506,MATCH(58,'CARNET DE SOUDURE'!$AR$7:$AR$1506,0)),""))</f>
        <v/>
      </c>
      <c r="L69" s="114" t="str">
        <f aca="false">IF($B69="","",INDEX('CARNET DE SOUDURE'!$AL$7:$AL$1506,MATCH(58,'CARNET DE SOUDURE'!$AR$7:$AR$1506,0)))</f>
        <v/>
      </c>
      <c r="M69" s="114" t="str">
        <f aca="false">IF($B69="","",INDEX('CARNET DE SOUDURE'!$AM$7:$AM$1506,MATCH(58,'CARNET DE SOUDURE'!$AR$7:$AR$1506,0)))</f>
        <v/>
      </c>
      <c r="N69" s="115" t="str">
        <f aca="false">IF($B69="","",INDEX('CARNET DE SOUDURE'!$AN$7:$AN$1506,MATCH(58,'CARNET DE SOUDURE'!$AR$7:$AR$1506,0)))</f>
        <v/>
      </c>
    </row>
    <row r="70" customFormat="false" ht="15" hidden="false" customHeight="false" outlineLevel="0" collapsed="false">
      <c r="B70" s="107" t="str">
        <f aca="false">IF(59&gt;$I$4,"",59)</f>
        <v/>
      </c>
      <c r="C70" s="107" t="str">
        <f aca="false">IF($B70="","",INDEX('CARNET DE SOUDURE'!$B$7:$B$1506,MATCH(59,'CARNET DE SOUDURE'!$AR$7:$AR$1506,0)))</f>
        <v/>
      </c>
      <c r="D70" s="107" t="str">
        <f aca="false">IF($B70="","",INDEX('CARNET DE SOUDURE'!$E$7:$E$1506,MATCH(59,'CARNET DE SOUDURE'!$AR$7:$AR$1506,0)))</f>
        <v/>
      </c>
      <c r="E70" s="107" t="str">
        <f aca="false">IF($B70="","",INDEX('CARNET DE SOUDURE'!$O$7:$O$1506,MATCH(59,'CARNET DE SOUDURE'!$AR$7:$AR$1506,0))&amp;" / "&amp;INDEX('CARNET DE SOUDURE'!$P$7:$P$1506,MATCH(59,'CARNET DE SOUDURE'!$AR$7:$AR$1506,0))&amp;" / "&amp;INDEX('CARNET DE SOUDURE'!$Q$7:$Q$1506,MATCH(59,'CARNET DE SOUDURE'!$AR$7:$AR$1506,0)))</f>
        <v/>
      </c>
      <c r="F70" s="108" t="str">
        <f aca="false">IF($B70="","",INDEX('CARNET DE SOUDURE'!$V$7:$V$1506,MATCH(59,'CARNET DE SOUDURE'!$AR$7:$AR$1506,0)))</f>
        <v/>
      </c>
      <c r="G70" s="107" t="str">
        <f aca="false">IF($B70="","",INDEX('CARNET DE SOUDURE'!$W$7:$W$1506,MATCH(59,'CARNET DE SOUDURE'!$AR$7:$AR$1506,0))&amp;"")</f>
        <v/>
      </c>
      <c r="H70" s="109" t="str">
        <f aca="false">IF($B70="","",INDEX('CARNET DE SOUDURE'!$X$7:$X$1506,MATCH(59,'CARNET DE SOUDURE'!$AR$7:$AR$1506,0)))</f>
        <v/>
      </c>
      <c r="I70" s="107" t="str">
        <f aca="false">IF($B70="","",INDEX('CARNET DE SOUDURE'!$Y$7:$Y$1506,MATCH(59,'CARNET DE SOUDURE'!$AR$7:$AR$1506,0))&amp;IF(INDEX('CARNET DE SOUDURE'!$AD$7:$AD$1506,MATCH(59,'CARNET DE SOUDURE'!$AR$7:$AR$1506,0))&lt;&gt;""," / "&amp;INDEX('CARNET DE SOUDURE'!$AD$7:$AD$1506,MATCH(59,'CARNET DE SOUDURE'!$AR$7:$AR$1506,0)),""))</f>
        <v/>
      </c>
      <c r="J70" s="107" t="str">
        <f aca="false">IF($B70="","",INDEX('CARNET DE SOUDURE'!$Z$7:$Z$1506,MATCH(59,'CARNET DE SOUDURE'!$AR$7:$AR$1506,0))&amp;IF(INDEX('CARNET DE SOUDURE'!$AE$7:$AE$1506,MATCH(59,'CARNET DE SOUDURE'!$AR$7:$AR$1506,0))&lt;&gt;""," / "&amp;INDEX('CARNET DE SOUDURE'!$AE$7:$AE$1506,MATCH(59,'CARNET DE SOUDURE'!$AR$7:$AR$1506,0)),""))</f>
        <v/>
      </c>
      <c r="K70" s="107" t="str">
        <f aca="false">IF($B70="","",INDEX('CARNET DE SOUDURE'!$AC$7:$AC$1506,MATCH(59,'CARNET DE SOUDURE'!$AR$7:$AR$1506,0))&amp;IF(INDEX('CARNET DE SOUDURE'!$AH$7:$AH$1506,MATCH(59,'CARNET DE SOUDURE'!$AR$7:$AR$1506,0))&lt;&gt;""," / "&amp;INDEX('CARNET DE SOUDURE'!$AH$7:$AH$1506,MATCH(59,'CARNET DE SOUDURE'!$AR$7:$AR$1506,0)),""))</f>
        <v/>
      </c>
      <c r="L70" s="109" t="str">
        <f aca="false">IF($B70="","",INDEX('CARNET DE SOUDURE'!$AL$7:$AL$1506,MATCH(59,'CARNET DE SOUDURE'!$AR$7:$AR$1506,0)))</f>
        <v/>
      </c>
      <c r="M70" s="109" t="str">
        <f aca="false">IF($B70="","",INDEX('CARNET DE SOUDURE'!$AM$7:$AM$1506,MATCH(59,'CARNET DE SOUDURE'!$AR$7:$AR$1506,0)))</f>
        <v/>
      </c>
      <c r="N70" s="110" t="str">
        <f aca="false">IF($B70="","",INDEX('CARNET DE SOUDURE'!$AN$7:$AN$1506,MATCH(59,'CARNET DE SOUDURE'!$AR$7:$AR$1506,0)))</f>
        <v/>
      </c>
    </row>
    <row r="71" customFormat="false" ht="15" hidden="false" customHeight="false" outlineLevel="0" collapsed="false">
      <c r="B71" s="112" t="str">
        <f aca="false">IF(60&gt;$I$4,"",60)</f>
        <v/>
      </c>
      <c r="C71" s="112" t="str">
        <f aca="false">IF($B71="","",INDEX('CARNET DE SOUDURE'!$B$7:$B$1506,MATCH(60,'CARNET DE SOUDURE'!$AR$7:$AR$1506,0)))</f>
        <v/>
      </c>
      <c r="D71" s="112" t="str">
        <f aca="false">IF($B71="","",INDEX('CARNET DE SOUDURE'!$E$7:$E$1506,MATCH(60,'CARNET DE SOUDURE'!$AR$7:$AR$1506,0)))</f>
        <v/>
      </c>
      <c r="E71" s="112" t="str">
        <f aca="false">IF($B71="","",INDEX('CARNET DE SOUDURE'!$O$7:$O$1506,MATCH(60,'CARNET DE SOUDURE'!$AR$7:$AR$1506,0))&amp;" / "&amp;INDEX('CARNET DE SOUDURE'!$P$7:$P$1506,MATCH(60,'CARNET DE SOUDURE'!$AR$7:$AR$1506,0))&amp;" / "&amp;INDEX('CARNET DE SOUDURE'!$Q$7:$Q$1506,MATCH(60,'CARNET DE SOUDURE'!$AR$7:$AR$1506,0)))</f>
        <v/>
      </c>
      <c r="F71" s="113" t="str">
        <f aca="false">IF($B71="","",INDEX('CARNET DE SOUDURE'!$V$7:$V$1506,MATCH(60,'CARNET DE SOUDURE'!$AR$7:$AR$1506,0)))</f>
        <v/>
      </c>
      <c r="G71" s="112" t="str">
        <f aca="false">IF($B71="","",INDEX('CARNET DE SOUDURE'!$W$7:$W$1506,MATCH(60,'CARNET DE SOUDURE'!$AR$7:$AR$1506,0))&amp;"")</f>
        <v/>
      </c>
      <c r="H71" s="114" t="str">
        <f aca="false">IF($B71="","",INDEX('CARNET DE SOUDURE'!$X$7:$X$1506,MATCH(60,'CARNET DE SOUDURE'!$AR$7:$AR$1506,0)))</f>
        <v/>
      </c>
      <c r="I71" s="112" t="str">
        <f aca="false">IF($B71="","",INDEX('CARNET DE SOUDURE'!$Y$7:$Y$1506,MATCH(60,'CARNET DE SOUDURE'!$AR$7:$AR$1506,0))&amp;IF(INDEX('CARNET DE SOUDURE'!$AD$7:$AD$1506,MATCH(60,'CARNET DE SOUDURE'!$AR$7:$AR$1506,0))&lt;&gt;""," / "&amp;INDEX('CARNET DE SOUDURE'!$AD$7:$AD$1506,MATCH(60,'CARNET DE SOUDURE'!$AR$7:$AR$1506,0)),""))</f>
        <v/>
      </c>
      <c r="J71" s="112" t="str">
        <f aca="false">IF($B71="","",INDEX('CARNET DE SOUDURE'!$Z$7:$Z$1506,MATCH(60,'CARNET DE SOUDURE'!$AR$7:$AR$1506,0))&amp;IF(INDEX('CARNET DE SOUDURE'!$AE$7:$AE$1506,MATCH(60,'CARNET DE SOUDURE'!$AR$7:$AR$1506,0))&lt;&gt;""," / "&amp;INDEX('CARNET DE SOUDURE'!$AE$7:$AE$1506,MATCH(60,'CARNET DE SOUDURE'!$AR$7:$AR$1506,0)),""))</f>
        <v/>
      </c>
      <c r="K71" s="112" t="str">
        <f aca="false">IF($B71="","",INDEX('CARNET DE SOUDURE'!$AC$7:$AC$1506,MATCH(60,'CARNET DE SOUDURE'!$AR$7:$AR$1506,0))&amp;IF(INDEX('CARNET DE SOUDURE'!$AH$7:$AH$1506,MATCH(60,'CARNET DE SOUDURE'!$AR$7:$AR$1506,0))&lt;&gt;""," / "&amp;INDEX('CARNET DE SOUDURE'!$AH$7:$AH$1506,MATCH(60,'CARNET DE SOUDURE'!$AR$7:$AR$1506,0)),""))</f>
        <v/>
      </c>
      <c r="L71" s="114" t="str">
        <f aca="false">IF($B71="","",INDEX('CARNET DE SOUDURE'!$AL$7:$AL$1506,MATCH(60,'CARNET DE SOUDURE'!$AR$7:$AR$1506,0)))</f>
        <v/>
      </c>
      <c r="M71" s="114" t="str">
        <f aca="false">IF($B71="","",INDEX('CARNET DE SOUDURE'!$AM$7:$AM$1506,MATCH(60,'CARNET DE SOUDURE'!$AR$7:$AR$1506,0)))</f>
        <v/>
      </c>
      <c r="N71" s="115" t="str">
        <f aca="false">IF($B71="","",INDEX('CARNET DE SOUDURE'!$AN$7:$AN$1506,MATCH(60,'CARNET DE SOUDURE'!$AR$7:$AR$1506,0)))</f>
        <v/>
      </c>
    </row>
    <row r="72" customFormat="false" ht="15" hidden="false" customHeight="false" outlineLevel="0" collapsed="false">
      <c r="B72" s="107" t="str">
        <f aca="false">IF(61&gt;$I$4,"",61)</f>
        <v/>
      </c>
      <c r="C72" s="107" t="str">
        <f aca="false">IF($B72="","",INDEX('CARNET DE SOUDURE'!$B$7:$B$1506,MATCH(61,'CARNET DE SOUDURE'!$AR$7:$AR$1506,0)))</f>
        <v/>
      </c>
      <c r="D72" s="107" t="str">
        <f aca="false">IF($B72="","",INDEX('CARNET DE SOUDURE'!$E$7:$E$1506,MATCH(61,'CARNET DE SOUDURE'!$AR$7:$AR$1506,0)))</f>
        <v/>
      </c>
      <c r="E72" s="107" t="str">
        <f aca="false">IF($B72="","",INDEX('CARNET DE SOUDURE'!$O$7:$O$1506,MATCH(61,'CARNET DE SOUDURE'!$AR$7:$AR$1506,0))&amp;" / "&amp;INDEX('CARNET DE SOUDURE'!$P$7:$P$1506,MATCH(61,'CARNET DE SOUDURE'!$AR$7:$AR$1506,0))&amp;" / "&amp;INDEX('CARNET DE SOUDURE'!$Q$7:$Q$1506,MATCH(61,'CARNET DE SOUDURE'!$AR$7:$AR$1506,0)))</f>
        <v/>
      </c>
      <c r="F72" s="108" t="str">
        <f aca="false">IF($B72="","",INDEX('CARNET DE SOUDURE'!$V$7:$V$1506,MATCH(61,'CARNET DE SOUDURE'!$AR$7:$AR$1506,0)))</f>
        <v/>
      </c>
      <c r="G72" s="107" t="str">
        <f aca="false">IF($B72="","",INDEX('CARNET DE SOUDURE'!$W$7:$W$1506,MATCH(61,'CARNET DE SOUDURE'!$AR$7:$AR$1506,0))&amp;"")</f>
        <v/>
      </c>
      <c r="H72" s="109" t="str">
        <f aca="false">IF($B72="","",INDEX('CARNET DE SOUDURE'!$X$7:$X$1506,MATCH(61,'CARNET DE SOUDURE'!$AR$7:$AR$1506,0)))</f>
        <v/>
      </c>
      <c r="I72" s="107" t="str">
        <f aca="false">IF($B72="","",INDEX('CARNET DE SOUDURE'!$Y$7:$Y$1506,MATCH(61,'CARNET DE SOUDURE'!$AR$7:$AR$1506,0))&amp;IF(INDEX('CARNET DE SOUDURE'!$AD$7:$AD$1506,MATCH(61,'CARNET DE SOUDURE'!$AR$7:$AR$1506,0))&lt;&gt;""," / "&amp;INDEX('CARNET DE SOUDURE'!$AD$7:$AD$1506,MATCH(61,'CARNET DE SOUDURE'!$AR$7:$AR$1506,0)),""))</f>
        <v/>
      </c>
      <c r="J72" s="107" t="str">
        <f aca="false">IF($B72="","",INDEX('CARNET DE SOUDURE'!$Z$7:$Z$1506,MATCH(61,'CARNET DE SOUDURE'!$AR$7:$AR$1506,0))&amp;IF(INDEX('CARNET DE SOUDURE'!$AE$7:$AE$1506,MATCH(61,'CARNET DE SOUDURE'!$AR$7:$AR$1506,0))&lt;&gt;""," / "&amp;INDEX('CARNET DE SOUDURE'!$AE$7:$AE$1506,MATCH(61,'CARNET DE SOUDURE'!$AR$7:$AR$1506,0)),""))</f>
        <v/>
      </c>
      <c r="K72" s="107" t="str">
        <f aca="false">IF($B72="","",INDEX('CARNET DE SOUDURE'!$AC$7:$AC$1506,MATCH(61,'CARNET DE SOUDURE'!$AR$7:$AR$1506,0))&amp;IF(INDEX('CARNET DE SOUDURE'!$AH$7:$AH$1506,MATCH(61,'CARNET DE SOUDURE'!$AR$7:$AR$1506,0))&lt;&gt;""," / "&amp;INDEX('CARNET DE SOUDURE'!$AH$7:$AH$1506,MATCH(61,'CARNET DE SOUDURE'!$AR$7:$AR$1506,0)),""))</f>
        <v/>
      </c>
      <c r="L72" s="109" t="str">
        <f aca="false">IF($B72="","",INDEX('CARNET DE SOUDURE'!$AL$7:$AL$1506,MATCH(61,'CARNET DE SOUDURE'!$AR$7:$AR$1506,0)))</f>
        <v/>
      </c>
      <c r="M72" s="109" t="str">
        <f aca="false">IF($B72="","",INDEX('CARNET DE SOUDURE'!$AM$7:$AM$1506,MATCH(61,'CARNET DE SOUDURE'!$AR$7:$AR$1506,0)))</f>
        <v/>
      </c>
      <c r="N72" s="110" t="str">
        <f aca="false">IF($B72="","",INDEX('CARNET DE SOUDURE'!$AN$7:$AN$1506,MATCH(61,'CARNET DE SOUDURE'!$AR$7:$AR$1506,0)))</f>
        <v/>
      </c>
    </row>
    <row r="73" customFormat="false" ht="15" hidden="false" customHeight="false" outlineLevel="0" collapsed="false">
      <c r="B73" s="112" t="str">
        <f aca="false">IF(62&gt;$I$4,"",62)</f>
        <v/>
      </c>
      <c r="C73" s="112" t="str">
        <f aca="false">IF($B73="","",INDEX('CARNET DE SOUDURE'!$B$7:$B$1506,MATCH(62,'CARNET DE SOUDURE'!$AR$7:$AR$1506,0)))</f>
        <v/>
      </c>
      <c r="D73" s="112" t="str">
        <f aca="false">IF($B73="","",INDEX('CARNET DE SOUDURE'!$E$7:$E$1506,MATCH(62,'CARNET DE SOUDURE'!$AR$7:$AR$1506,0)))</f>
        <v/>
      </c>
      <c r="E73" s="112" t="str">
        <f aca="false">IF($B73="","",INDEX('CARNET DE SOUDURE'!$O$7:$O$1506,MATCH(62,'CARNET DE SOUDURE'!$AR$7:$AR$1506,0))&amp;" / "&amp;INDEX('CARNET DE SOUDURE'!$P$7:$P$1506,MATCH(62,'CARNET DE SOUDURE'!$AR$7:$AR$1506,0))&amp;" / "&amp;INDEX('CARNET DE SOUDURE'!$Q$7:$Q$1506,MATCH(62,'CARNET DE SOUDURE'!$AR$7:$AR$1506,0)))</f>
        <v/>
      </c>
      <c r="F73" s="113" t="str">
        <f aca="false">IF($B73="","",INDEX('CARNET DE SOUDURE'!$V$7:$V$1506,MATCH(62,'CARNET DE SOUDURE'!$AR$7:$AR$1506,0)))</f>
        <v/>
      </c>
      <c r="G73" s="112" t="str">
        <f aca="false">IF($B73="","",INDEX('CARNET DE SOUDURE'!$W$7:$W$1506,MATCH(62,'CARNET DE SOUDURE'!$AR$7:$AR$1506,0))&amp;"")</f>
        <v/>
      </c>
      <c r="H73" s="114" t="str">
        <f aca="false">IF($B73="","",INDEX('CARNET DE SOUDURE'!$X$7:$X$1506,MATCH(62,'CARNET DE SOUDURE'!$AR$7:$AR$1506,0)))</f>
        <v/>
      </c>
      <c r="I73" s="112" t="str">
        <f aca="false">IF($B73="","",INDEX('CARNET DE SOUDURE'!$Y$7:$Y$1506,MATCH(62,'CARNET DE SOUDURE'!$AR$7:$AR$1506,0))&amp;IF(INDEX('CARNET DE SOUDURE'!$AD$7:$AD$1506,MATCH(62,'CARNET DE SOUDURE'!$AR$7:$AR$1506,0))&lt;&gt;""," / "&amp;INDEX('CARNET DE SOUDURE'!$AD$7:$AD$1506,MATCH(62,'CARNET DE SOUDURE'!$AR$7:$AR$1506,0)),""))</f>
        <v/>
      </c>
      <c r="J73" s="112" t="str">
        <f aca="false">IF($B73="","",INDEX('CARNET DE SOUDURE'!$Z$7:$Z$1506,MATCH(62,'CARNET DE SOUDURE'!$AR$7:$AR$1506,0))&amp;IF(INDEX('CARNET DE SOUDURE'!$AE$7:$AE$1506,MATCH(62,'CARNET DE SOUDURE'!$AR$7:$AR$1506,0))&lt;&gt;""," / "&amp;INDEX('CARNET DE SOUDURE'!$AE$7:$AE$1506,MATCH(62,'CARNET DE SOUDURE'!$AR$7:$AR$1506,0)),""))</f>
        <v/>
      </c>
      <c r="K73" s="112" t="str">
        <f aca="false">IF($B73="","",INDEX('CARNET DE SOUDURE'!$AC$7:$AC$1506,MATCH(62,'CARNET DE SOUDURE'!$AR$7:$AR$1506,0))&amp;IF(INDEX('CARNET DE SOUDURE'!$AH$7:$AH$1506,MATCH(62,'CARNET DE SOUDURE'!$AR$7:$AR$1506,0))&lt;&gt;""," / "&amp;INDEX('CARNET DE SOUDURE'!$AH$7:$AH$1506,MATCH(62,'CARNET DE SOUDURE'!$AR$7:$AR$1506,0)),""))</f>
        <v/>
      </c>
      <c r="L73" s="114" t="str">
        <f aca="false">IF($B73="","",INDEX('CARNET DE SOUDURE'!$AL$7:$AL$1506,MATCH(62,'CARNET DE SOUDURE'!$AR$7:$AR$1506,0)))</f>
        <v/>
      </c>
      <c r="M73" s="114" t="str">
        <f aca="false">IF($B73="","",INDEX('CARNET DE SOUDURE'!$AM$7:$AM$1506,MATCH(62,'CARNET DE SOUDURE'!$AR$7:$AR$1506,0)))</f>
        <v/>
      </c>
      <c r="N73" s="115" t="str">
        <f aca="false">IF($B73="","",INDEX('CARNET DE SOUDURE'!$AN$7:$AN$1506,MATCH(62,'CARNET DE SOUDURE'!$AR$7:$AR$1506,0)))</f>
        <v/>
      </c>
    </row>
    <row r="74" customFormat="false" ht="15" hidden="false" customHeight="false" outlineLevel="0" collapsed="false">
      <c r="B74" s="107" t="str">
        <f aca="false">IF(63&gt;$I$4,"",63)</f>
        <v/>
      </c>
      <c r="C74" s="107" t="str">
        <f aca="false">IF($B74="","",INDEX('CARNET DE SOUDURE'!$B$7:$B$1506,MATCH(63,'CARNET DE SOUDURE'!$AR$7:$AR$1506,0)))</f>
        <v/>
      </c>
      <c r="D74" s="107" t="str">
        <f aca="false">IF($B74="","",INDEX('CARNET DE SOUDURE'!$E$7:$E$1506,MATCH(63,'CARNET DE SOUDURE'!$AR$7:$AR$1506,0)))</f>
        <v/>
      </c>
      <c r="E74" s="107" t="str">
        <f aca="false">IF($B74="","",INDEX('CARNET DE SOUDURE'!$O$7:$O$1506,MATCH(63,'CARNET DE SOUDURE'!$AR$7:$AR$1506,0))&amp;" / "&amp;INDEX('CARNET DE SOUDURE'!$P$7:$P$1506,MATCH(63,'CARNET DE SOUDURE'!$AR$7:$AR$1506,0))&amp;" / "&amp;INDEX('CARNET DE SOUDURE'!$Q$7:$Q$1506,MATCH(63,'CARNET DE SOUDURE'!$AR$7:$AR$1506,0)))</f>
        <v/>
      </c>
      <c r="F74" s="108" t="str">
        <f aca="false">IF($B74="","",INDEX('CARNET DE SOUDURE'!$V$7:$V$1506,MATCH(63,'CARNET DE SOUDURE'!$AR$7:$AR$1506,0)))</f>
        <v/>
      </c>
      <c r="G74" s="107" t="str">
        <f aca="false">IF($B74="","",INDEX('CARNET DE SOUDURE'!$W$7:$W$1506,MATCH(63,'CARNET DE SOUDURE'!$AR$7:$AR$1506,0))&amp;"")</f>
        <v/>
      </c>
      <c r="H74" s="109" t="str">
        <f aca="false">IF($B74="","",INDEX('CARNET DE SOUDURE'!$X$7:$X$1506,MATCH(63,'CARNET DE SOUDURE'!$AR$7:$AR$1506,0)))</f>
        <v/>
      </c>
      <c r="I74" s="107" t="str">
        <f aca="false">IF($B74="","",INDEX('CARNET DE SOUDURE'!$Y$7:$Y$1506,MATCH(63,'CARNET DE SOUDURE'!$AR$7:$AR$1506,0))&amp;IF(INDEX('CARNET DE SOUDURE'!$AD$7:$AD$1506,MATCH(63,'CARNET DE SOUDURE'!$AR$7:$AR$1506,0))&lt;&gt;""," / "&amp;INDEX('CARNET DE SOUDURE'!$AD$7:$AD$1506,MATCH(63,'CARNET DE SOUDURE'!$AR$7:$AR$1506,0)),""))</f>
        <v/>
      </c>
      <c r="J74" s="107" t="str">
        <f aca="false">IF($B74="","",INDEX('CARNET DE SOUDURE'!$Z$7:$Z$1506,MATCH(63,'CARNET DE SOUDURE'!$AR$7:$AR$1506,0))&amp;IF(INDEX('CARNET DE SOUDURE'!$AE$7:$AE$1506,MATCH(63,'CARNET DE SOUDURE'!$AR$7:$AR$1506,0))&lt;&gt;""," / "&amp;INDEX('CARNET DE SOUDURE'!$AE$7:$AE$1506,MATCH(63,'CARNET DE SOUDURE'!$AR$7:$AR$1506,0)),""))</f>
        <v/>
      </c>
      <c r="K74" s="107" t="str">
        <f aca="false">IF($B74="","",INDEX('CARNET DE SOUDURE'!$AC$7:$AC$1506,MATCH(63,'CARNET DE SOUDURE'!$AR$7:$AR$1506,0))&amp;IF(INDEX('CARNET DE SOUDURE'!$AH$7:$AH$1506,MATCH(63,'CARNET DE SOUDURE'!$AR$7:$AR$1506,0))&lt;&gt;""," / "&amp;INDEX('CARNET DE SOUDURE'!$AH$7:$AH$1506,MATCH(63,'CARNET DE SOUDURE'!$AR$7:$AR$1506,0)),""))</f>
        <v/>
      </c>
      <c r="L74" s="109" t="str">
        <f aca="false">IF($B74="","",INDEX('CARNET DE SOUDURE'!$AL$7:$AL$1506,MATCH(63,'CARNET DE SOUDURE'!$AR$7:$AR$1506,0)))</f>
        <v/>
      </c>
      <c r="M74" s="109" t="str">
        <f aca="false">IF($B74="","",INDEX('CARNET DE SOUDURE'!$AM$7:$AM$1506,MATCH(63,'CARNET DE SOUDURE'!$AR$7:$AR$1506,0)))</f>
        <v/>
      </c>
      <c r="N74" s="110" t="str">
        <f aca="false">IF($B74="","",INDEX('CARNET DE SOUDURE'!$AN$7:$AN$1506,MATCH(63,'CARNET DE SOUDURE'!$AR$7:$AR$1506,0)))</f>
        <v/>
      </c>
    </row>
    <row r="75" customFormat="false" ht="15" hidden="false" customHeight="false" outlineLevel="0" collapsed="false">
      <c r="B75" s="112" t="str">
        <f aca="false">IF(64&gt;$I$4,"",64)</f>
        <v/>
      </c>
      <c r="C75" s="112" t="str">
        <f aca="false">IF($B75="","",INDEX('CARNET DE SOUDURE'!$B$7:$B$1506,MATCH(64,'CARNET DE SOUDURE'!$AR$7:$AR$1506,0)))</f>
        <v/>
      </c>
      <c r="D75" s="112" t="str">
        <f aca="false">IF($B75="","",INDEX('CARNET DE SOUDURE'!$E$7:$E$1506,MATCH(64,'CARNET DE SOUDURE'!$AR$7:$AR$1506,0)))</f>
        <v/>
      </c>
      <c r="E75" s="112" t="str">
        <f aca="false">IF($B75="","",INDEX('CARNET DE SOUDURE'!$O$7:$O$1506,MATCH(64,'CARNET DE SOUDURE'!$AR$7:$AR$1506,0))&amp;" / "&amp;INDEX('CARNET DE SOUDURE'!$P$7:$P$1506,MATCH(64,'CARNET DE SOUDURE'!$AR$7:$AR$1506,0))&amp;" / "&amp;INDEX('CARNET DE SOUDURE'!$Q$7:$Q$1506,MATCH(64,'CARNET DE SOUDURE'!$AR$7:$AR$1506,0)))</f>
        <v/>
      </c>
      <c r="F75" s="113" t="str">
        <f aca="false">IF($B75="","",INDEX('CARNET DE SOUDURE'!$V$7:$V$1506,MATCH(64,'CARNET DE SOUDURE'!$AR$7:$AR$1506,0)))</f>
        <v/>
      </c>
      <c r="G75" s="112" t="str">
        <f aca="false">IF($B75="","",INDEX('CARNET DE SOUDURE'!$W$7:$W$1506,MATCH(64,'CARNET DE SOUDURE'!$AR$7:$AR$1506,0))&amp;"")</f>
        <v/>
      </c>
      <c r="H75" s="114" t="str">
        <f aca="false">IF($B75="","",INDEX('CARNET DE SOUDURE'!$X$7:$X$1506,MATCH(64,'CARNET DE SOUDURE'!$AR$7:$AR$1506,0)))</f>
        <v/>
      </c>
      <c r="I75" s="112" t="str">
        <f aca="false">IF($B75="","",INDEX('CARNET DE SOUDURE'!$Y$7:$Y$1506,MATCH(64,'CARNET DE SOUDURE'!$AR$7:$AR$1506,0))&amp;IF(INDEX('CARNET DE SOUDURE'!$AD$7:$AD$1506,MATCH(64,'CARNET DE SOUDURE'!$AR$7:$AR$1506,0))&lt;&gt;""," / "&amp;INDEX('CARNET DE SOUDURE'!$AD$7:$AD$1506,MATCH(64,'CARNET DE SOUDURE'!$AR$7:$AR$1506,0)),""))</f>
        <v/>
      </c>
      <c r="J75" s="112" t="str">
        <f aca="false">IF($B75="","",INDEX('CARNET DE SOUDURE'!$Z$7:$Z$1506,MATCH(64,'CARNET DE SOUDURE'!$AR$7:$AR$1506,0))&amp;IF(INDEX('CARNET DE SOUDURE'!$AE$7:$AE$1506,MATCH(64,'CARNET DE SOUDURE'!$AR$7:$AR$1506,0))&lt;&gt;""," / "&amp;INDEX('CARNET DE SOUDURE'!$AE$7:$AE$1506,MATCH(64,'CARNET DE SOUDURE'!$AR$7:$AR$1506,0)),""))</f>
        <v/>
      </c>
      <c r="K75" s="112" t="str">
        <f aca="false">IF($B75="","",INDEX('CARNET DE SOUDURE'!$AC$7:$AC$1506,MATCH(64,'CARNET DE SOUDURE'!$AR$7:$AR$1506,0))&amp;IF(INDEX('CARNET DE SOUDURE'!$AH$7:$AH$1506,MATCH(64,'CARNET DE SOUDURE'!$AR$7:$AR$1506,0))&lt;&gt;""," / "&amp;INDEX('CARNET DE SOUDURE'!$AH$7:$AH$1506,MATCH(64,'CARNET DE SOUDURE'!$AR$7:$AR$1506,0)),""))</f>
        <v/>
      </c>
      <c r="L75" s="114" t="str">
        <f aca="false">IF($B75="","",INDEX('CARNET DE SOUDURE'!$AL$7:$AL$1506,MATCH(64,'CARNET DE SOUDURE'!$AR$7:$AR$1506,0)))</f>
        <v/>
      </c>
      <c r="M75" s="114" t="str">
        <f aca="false">IF($B75="","",INDEX('CARNET DE SOUDURE'!$AM$7:$AM$1506,MATCH(64,'CARNET DE SOUDURE'!$AR$7:$AR$1506,0)))</f>
        <v/>
      </c>
      <c r="N75" s="115" t="str">
        <f aca="false">IF($B75="","",INDEX('CARNET DE SOUDURE'!$AN$7:$AN$1506,MATCH(64,'CARNET DE SOUDURE'!$AR$7:$AR$1506,0)))</f>
        <v/>
      </c>
    </row>
    <row r="76" customFormat="false" ht="15" hidden="false" customHeight="false" outlineLevel="0" collapsed="false">
      <c r="B76" s="107" t="str">
        <f aca="false">IF(65&gt;$I$4,"",65)</f>
        <v/>
      </c>
      <c r="C76" s="107" t="str">
        <f aca="false">IF($B76="","",INDEX('CARNET DE SOUDURE'!$B$7:$B$1506,MATCH(65,'CARNET DE SOUDURE'!$AR$7:$AR$1506,0)))</f>
        <v/>
      </c>
      <c r="D76" s="107" t="str">
        <f aca="false">IF($B76="","",INDEX('CARNET DE SOUDURE'!$E$7:$E$1506,MATCH(65,'CARNET DE SOUDURE'!$AR$7:$AR$1506,0)))</f>
        <v/>
      </c>
      <c r="E76" s="107" t="str">
        <f aca="false">IF($B76="","",INDEX('CARNET DE SOUDURE'!$O$7:$O$1506,MATCH(65,'CARNET DE SOUDURE'!$AR$7:$AR$1506,0))&amp;" / "&amp;INDEX('CARNET DE SOUDURE'!$P$7:$P$1506,MATCH(65,'CARNET DE SOUDURE'!$AR$7:$AR$1506,0))&amp;" / "&amp;INDEX('CARNET DE SOUDURE'!$Q$7:$Q$1506,MATCH(65,'CARNET DE SOUDURE'!$AR$7:$AR$1506,0)))</f>
        <v/>
      </c>
      <c r="F76" s="108" t="str">
        <f aca="false">IF($B76="","",INDEX('CARNET DE SOUDURE'!$V$7:$V$1506,MATCH(65,'CARNET DE SOUDURE'!$AR$7:$AR$1506,0)))</f>
        <v/>
      </c>
      <c r="G76" s="107" t="str">
        <f aca="false">IF($B76="","",INDEX('CARNET DE SOUDURE'!$W$7:$W$1506,MATCH(65,'CARNET DE SOUDURE'!$AR$7:$AR$1506,0))&amp;"")</f>
        <v/>
      </c>
      <c r="H76" s="109" t="str">
        <f aca="false">IF($B76="","",INDEX('CARNET DE SOUDURE'!$X$7:$X$1506,MATCH(65,'CARNET DE SOUDURE'!$AR$7:$AR$1506,0)))</f>
        <v/>
      </c>
      <c r="I76" s="107" t="str">
        <f aca="false">IF($B76="","",INDEX('CARNET DE SOUDURE'!$Y$7:$Y$1506,MATCH(65,'CARNET DE SOUDURE'!$AR$7:$AR$1506,0))&amp;IF(INDEX('CARNET DE SOUDURE'!$AD$7:$AD$1506,MATCH(65,'CARNET DE SOUDURE'!$AR$7:$AR$1506,0))&lt;&gt;""," / "&amp;INDEX('CARNET DE SOUDURE'!$AD$7:$AD$1506,MATCH(65,'CARNET DE SOUDURE'!$AR$7:$AR$1506,0)),""))</f>
        <v/>
      </c>
      <c r="J76" s="107" t="str">
        <f aca="false">IF($B76="","",INDEX('CARNET DE SOUDURE'!$Z$7:$Z$1506,MATCH(65,'CARNET DE SOUDURE'!$AR$7:$AR$1506,0))&amp;IF(INDEX('CARNET DE SOUDURE'!$AE$7:$AE$1506,MATCH(65,'CARNET DE SOUDURE'!$AR$7:$AR$1506,0))&lt;&gt;""," / "&amp;INDEX('CARNET DE SOUDURE'!$AE$7:$AE$1506,MATCH(65,'CARNET DE SOUDURE'!$AR$7:$AR$1506,0)),""))</f>
        <v/>
      </c>
      <c r="K76" s="107" t="str">
        <f aca="false">IF($B76="","",INDEX('CARNET DE SOUDURE'!$AC$7:$AC$1506,MATCH(65,'CARNET DE SOUDURE'!$AR$7:$AR$1506,0))&amp;IF(INDEX('CARNET DE SOUDURE'!$AH$7:$AH$1506,MATCH(65,'CARNET DE SOUDURE'!$AR$7:$AR$1506,0))&lt;&gt;""," / "&amp;INDEX('CARNET DE SOUDURE'!$AH$7:$AH$1506,MATCH(65,'CARNET DE SOUDURE'!$AR$7:$AR$1506,0)),""))</f>
        <v/>
      </c>
      <c r="L76" s="109" t="str">
        <f aca="false">IF($B76="","",INDEX('CARNET DE SOUDURE'!$AL$7:$AL$1506,MATCH(65,'CARNET DE SOUDURE'!$AR$7:$AR$1506,0)))</f>
        <v/>
      </c>
      <c r="M76" s="109" t="str">
        <f aca="false">IF($B76="","",INDEX('CARNET DE SOUDURE'!$AM$7:$AM$1506,MATCH(65,'CARNET DE SOUDURE'!$AR$7:$AR$1506,0)))</f>
        <v/>
      </c>
      <c r="N76" s="110" t="str">
        <f aca="false">IF($B76="","",INDEX('CARNET DE SOUDURE'!$AN$7:$AN$1506,MATCH(65,'CARNET DE SOUDURE'!$AR$7:$AR$1506,0)))</f>
        <v/>
      </c>
    </row>
    <row r="77" customFormat="false" ht="15" hidden="false" customHeight="false" outlineLevel="0" collapsed="false">
      <c r="B77" s="112" t="str">
        <f aca="false">IF(66&gt;$I$4,"",66)</f>
        <v/>
      </c>
      <c r="C77" s="112" t="str">
        <f aca="false">IF($B77="","",INDEX('CARNET DE SOUDURE'!$B$7:$B$1506,MATCH(66,'CARNET DE SOUDURE'!$AR$7:$AR$1506,0)))</f>
        <v/>
      </c>
      <c r="D77" s="112" t="str">
        <f aca="false">IF($B77="","",INDEX('CARNET DE SOUDURE'!$E$7:$E$1506,MATCH(66,'CARNET DE SOUDURE'!$AR$7:$AR$1506,0)))</f>
        <v/>
      </c>
      <c r="E77" s="112" t="str">
        <f aca="false">IF($B77="","",INDEX('CARNET DE SOUDURE'!$O$7:$O$1506,MATCH(66,'CARNET DE SOUDURE'!$AR$7:$AR$1506,0))&amp;" / "&amp;INDEX('CARNET DE SOUDURE'!$P$7:$P$1506,MATCH(66,'CARNET DE SOUDURE'!$AR$7:$AR$1506,0))&amp;" / "&amp;INDEX('CARNET DE SOUDURE'!$Q$7:$Q$1506,MATCH(66,'CARNET DE SOUDURE'!$AR$7:$AR$1506,0)))</f>
        <v/>
      </c>
      <c r="F77" s="113" t="str">
        <f aca="false">IF($B77="","",INDEX('CARNET DE SOUDURE'!$V$7:$V$1506,MATCH(66,'CARNET DE SOUDURE'!$AR$7:$AR$1506,0)))</f>
        <v/>
      </c>
      <c r="G77" s="112" t="str">
        <f aca="false">IF($B77="","",INDEX('CARNET DE SOUDURE'!$W$7:$W$1506,MATCH(66,'CARNET DE SOUDURE'!$AR$7:$AR$1506,0))&amp;"")</f>
        <v/>
      </c>
      <c r="H77" s="114" t="str">
        <f aca="false">IF($B77="","",INDEX('CARNET DE SOUDURE'!$X$7:$X$1506,MATCH(66,'CARNET DE SOUDURE'!$AR$7:$AR$1506,0)))</f>
        <v/>
      </c>
      <c r="I77" s="112" t="str">
        <f aca="false">IF($B77="","",INDEX('CARNET DE SOUDURE'!$Y$7:$Y$1506,MATCH(66,'CARNET DE SOUDURE'!$AR$7:$AR$1506,0))&amp;IF(INDEX('CARNET DE SOUDURE'!$AD$7:$AD$1506,MATCH(66,'CARNET DE SOUDURE'!$AR$7:$AR$1506,0))&lt;&gt;""," / "&amp;INDEX('CARNET DE SOUDURE'!$AD$7:$AD$1506,MATCH(66,'CARNET DE SOUDURE'!$AR$7:$AR$1506,0)),""))</f>
        <v/>
      </c>
      <c r="J77" s="112" t="str">
        <f aca="false">IF($B77="","",INDEX('CARNET DE SOUDURE'!$Z$7:$Z$1506,MATCH(66,'CARNET DE SOUDURE'!$AR$7:$AR$1506,0))&amp;IF(INDEX('CARNET DE SOUDURE'!$AE$7:$AE$1506,MATCH(66,'CARNET DE SOUDURE'!$AR$7:$AR$1506,0))&lt;&gt;""," / "&amp;INDEX('CARNET DE SOUDURE'!$AE$7:$AE$1506,MATCH(66,'CARNET DE SOUDURE'!$AR$7:$AR$1506,0)),""))</f>
        <v/>
      </c>
      <c r="K77" s="112" t="str">
        <f aca="false">IF($B77="","",INDEX('CARNET DE SOUDURE'!$AC$7:$AC$1506,MATCH(66,'CARNET DE SOUDURE'!$AR$7:$AR$1506,0))&amp;IF(INDEX('CARNET DE SOUDURE'!$AH$7:$AH$1506,MATCH(66,'CARNET DE SOUDURE'!$AR$7:$AR$1506,0))&lt;&gt;""," / "&amp;INDEX('CARNET DE SOUDURE'!$AH$7:$AH$1506,MATCH(66,'CARNET DE SOUDURE'!$AR$7:$AR$1506,0)),""))</f>
        <v/>
      </c>
      <c r="L77" s="114" t="str">
        <f aca="false">IF($B77="","",INDEX('CARNET DE SOUDURE'!$AL$7:$AL$1506,MATCH(66,'CARNET DE SOUDURE'!$AR$7:$AR$1506,0)))</f>
        <v/>
      </c>
      <c r="M77" s="114" t="str">
        <f aca="false">IF($B77="","",INDEX('CARNET DE SOUDURE'!$AM$7:$AM$1506,MATCH(66,'CARNET DE SOUDURE'!$AR$7:$AR$1506,0)))</f>
        <v/>
      </c>
      <c r="N77" s="115" t="str">
        <f aca="false">IF($B77="","",INDEX('CARNET DE SOUDURE'!$AN$7:$AN$1506,MATCH(66,'CARNET DE SOUDURE'!$AR$7:$AR$1506,0)))</f>
        <v/>
      </c>
    </row>
    <row r="78" customFormat="false" ht="15" hidden="false" customHeight="false" outlineLevel="0" collapsed="false">
      <c r="B78" s="107" t="str">
        <f aca="false">IF(67&gt;$I$4,"",67)</f>
        <v/>
      </c>
      <c r="C78" s="107" t="str">
        <f aca="false">IF($B78="","",INDEX('CARNET DE SOUDURE'!$B$7:$B$1506,MATCH(67,'CARNET DE SOUDURE'!$AR$7:$AR$1506,0)))</f>
        <v/>
      </c>
      <c r="D78" s="107" t="str">
        <f aca="false">IF($B78="","",INDEX('CARNET DE SOUDURE'!$E$7:$E$1506,MATCH(67,'CARNET DE SOUDURE'!$AR$7:$AR$1506,0)))</f>
        <v/>
      </c>
      <c r="E78" s="107" t="str">
        <f aca="false">IF($B78="","",INDEX('CARNET DE SOUDURE'!$O$7:$O$1506,MATCH(67,'CARNET DE SOUDURE'!$AR$7:$AR$1506,0))&amp;" / "&amp;INDEX('CARNET DE SOUDURE'!$P$7:$P$1506,MATCH(67,'CARNET DE SOUDURE'!$AR$7:$AR$1506,0))&amp;" / "&amp;INDEX('CARNET DE SOUDURE'!$Q$7:$Q$1506,MATCH(67,'CARNET DE SOUDURE'!$AR$7:$AR$1506,0)))</f>
        <v/>
      </c>
      <c r="F78" s="108" t="str">
        <f aca="false">IF($B78="","",INDEX('CARNET DE SOUDURE'!$V$7:$V$1506,MATCH(67,'CARNET DE SOUDURE'!$AR$7:$AR$1506,0)))</f>
        <v/>
      </c>
      <c r="G78" s="107" t="str">
        <f aca="false">IF($B78="","",INDEX('CARNET DE SOUDURE'!$W$7:$W$1506,MATCH(67,'CARNET DE SOUDURE'!$AR$7:$AR$1506,0))&amp;"")</f>
        <v/>
      </c>
      <c r="H78" s="109" t="str">
        <f aca="false">IF($B78="","",INDEX('CARNET DE SOUDURE'!$X$7:$X$1506,MATCH(67,'CARNET DE SOUDURE'!$AR$7:$AR$1506,0)))</f>
        <v/>
      </c>
      <c r="I78" s="107" t="str">
        <f aca="false">IF($B78="","",INDEX('CARNET DE SOUDURE'!$Y$7:$Y$1506,MATCH(67,'CARNET DE SOUDURE'!$AR$7:$AR$1506,0))&amp;IF(INDEX('CARNET DE SOUDURE'!$AD$7:$AD$1506,MATCH(67,'CARNET DE SOUDURE'!$AR$7:$AR$1506,0))&lt;&gt;""," / "&amp;INDEX('CARNET DE SOUDURE'!$AD$7:$AD$1506,MATCH(67,'CARNET DE SOUDURE'!$AR$7:$AR$1506,0)),""))</f>
        <v/>
      </c>
      <c r="J78" s="107" t="str">
        <f aca="false">IF($B78="","",INDEX('CARNET DE SOUDURE'!$Z$7:$Z$1506,MATCH(67,'CARNET DE SOUDURE'!$AR$7:$AR$1506,0))&amp;IF(INDEX('CARNET DE SOUDURE'!$AE$7:$AE$1506,MATCH(67,'CARNET DE SOUDURE'!$AR$7:$AR$1506,0))&lt;&gt;""," / "&amp;INDEX('CARNET DE SOUDURE'!$AE$7:$AE$1506,MATCH(67,'CARNET DE SOUDURE'!$AR$7:$AR$1506,0)),""))</f>
        <v/>
      </c>
      <c r="K78" s="107" t="str">
        <f aca="false">IF($B78="","",INDEX('CARNET DE SOUDURE'!$AC$7:$AC$1506,MATCH(67,'CARNET DE SOUDURE'!$AR$7:$AR$1506,0))&amp;IF(INDEX('CARNET DE SOUDURE'!$AH$7:$AH$1506,MATCH(67,'CARNET DE SOUDURE'!$AR$7:$AR$1506,0))&lt;&gt;""," / "&amp;INDEX('CARNET DE SOUDURE'!$AH$7:$AH$1506,MATCH(67,'CARNET DE SOUDURE'!$AR$7:$AR$1506,0)),""))</f>
        <v/>
      </c>
      <c r="L78" s="109" t="str">
        <f aca="false">IF($B78="","",INDEX('CARNET DE SOUDURE'!$AL$7:$AL$1506,MATCH(67,'CARNET DE SOUDURE'!$AR$7:$AR$1506,0)))</f>
        <v/>
      </c>
      <c r="M78" s="109" t="str">
        <f aca="false">IF($B78="","",INDEX('CARNET DE SOUDURE'!$AM$7:$AM$1506,MATCH(67,'CARNET DE SOUDURE'!$AR$7:$AR$1506,0)))</f>
        <v/>
      </c>
      <c r="N78" s="110" t="str">
        <f aca="false">IF($B78="","",INDEX('CARNET DE SOUDURE'!$AN$7:$AN$1506,MATCH(67,'CARNET DE SOUDURE'!$AR$7:$AR$1506,0)))</f>
        <v/>
      </c>
    </row>
    <row r="79" customFormat="false" ht="15" hidden="false" customHeight="false" outlineLevel="0" collapsed="false">
      <c r="B79" s="112" t="str">
        <f aca="false">IF(68&gt;$I$4,"",68)</f>
        <v/>
      </c>
      <c r="C79" s="112" t="str">
        <f aca="false">IF($B79="","",INDEX('CARNET DE SOUDURE'!$B$7:$B$1506,MATCH(68,'CARNET DE SOUDURE'!$AR$7:$AR$1506,0)))</f>
        <v/>
      </c>
      <c r="D79" s="112" t="str">
        <f aca="false">IF($B79="","",INDEX('CARNET DE SOUDURE'!$E$7:$E$1506,MATCH(68,'CARNET DE SOUDURE'!$AR$7:$AR$1506,0)))</f>
        <v/>
      </c>
      <c r="E79" s="112" t="str">
        <f aca="false">IF($B79="","",INDEX('CARNET DE SOUDURE'!$O$7:$O$1506,MATCH(68,'CARNET DE SOUDURE'!$AR$7:$AR$1506,0))&amp;" / "&amp;INDEX('CARNET DE SOUDURE'!$P$7:$P$1506,MATCH(68,'CARNET DE SOUDURE'!$AR$7:$AR$1506,0))&amp;" / "&amp;INDEX('CARNET DE SOUDURE'!$Q$7:$Q$1506,MATCH(68,'CARNET DE SOUDURE'!$AR$7:$AR$1506,0)))</f>
        <v/>
      </c>
      <c r="F79" s="113" t="str">
        <f aca="false">IF($B79="","",INDEX('CARNET DE SOUDURE'!$V$7:$V$1506,MATCH(68,'CARNET DE SOUDURE'!$AR$7:$AR$1506,0)))</f>
        <v/>
      </c>
      <c r="G79" s="112" t="str">
        <f aca="false">IF($B79="","",INDEX('CARNET DE SOUDURE'!$W$7:$W$1506,MATCH(68,'CARNET DE SOUDURE'!$AR$7:$AR$1506,0))&amp;"")</f>
        <v/>
      </c>
      <c r="H79" s="114" t="str">
        <f aca="false">IF($B79="","",INDEX('CARNET DE SOUDURE'!$X$7:$X$1506,MATCH(68,'CARNET DE SOUDURE'!$AR$7:$AR$1506,0)))</f>
        <v/>
      </c>
      <c r="I79" s="112" t="str">
        <f aca="false">IF($B79="","",INDEX('CARNET DE SOUDURE'!$Y$7:$Y$1506,MATCH(68,'CARNET DE SOUDURE'!$AR$7:$AR$1506,0))&amp;IF(INDEX('CARNET DE SOUDURE'!$AD$7:$AD$1506,MATCH(68,'CARNET DE SOUDURE'!$AR$7:$AR$1506,0))&lt;&gt;""," / "&amp;INDEX('CARNET DE SOUDURE'!$AD$7:$AD$1506,MATCH(68,'CARNET DE SOUDURE'!$AR$7:$AR$1506,0)),""))</f>
        <v/>
      </c>
      <c r="J79" s="112" t="str">
        <f aca="false">IF($B79="","",INDEX('CARNET DE SOUDURE'!$Z$7:$Z$1506,MATCH(68,'CARNET DE SOUDURE'!$AR$7:$AR$1506,0))&amp;IF(INDEX('CARNET DE SOUDURE'!$AE$7:$AE$1506,MATCH(68,'CARNET DE SOUDURE'!$AR$7:$AR$1506,0))&lt;&gt;""," / "&amp;INDEX('CARNET DE SOUDURE'!$AE$7:$AE$1506,MATCH(68,'CARNET DE SOUDURE'!$AR$7:$AR$1506,0)),""))</f>
        <v/>
      </c>
      <c r="K79" s="112" t="str">
        <f aca="false">IF($B79="","",INDEX('CARNET DE SOUDURE'!$AC$7:$AC$1506,MATCH(68,'CARNET DE SOUDURE'!$AR$7:$AR$1506,0))&amp;IF(INDEX('CARNET DE SOUDURE'!$AH$7:$AH$1506,MATCH(68,'CARNET DE SOUDURE'!$AR$7:$AR$1506,0))&lt;&gt;""," / "&amp;INDEX('CARNET DE SOUDURE'!$AH$7:$AH$1506,MATCH(68,'CARNET DE SOUDURE'!$AR$7:$AR$1506,0)),""))</f>
        <v/>
      </c>
      <c r="L79" s="114" t="str">
        <f aca="false">IF($B79="","",INDEX('CARNET DE SOUDURE'!$AL$7:$AL$1506,MATCH(68,'CARNET DE SOUDURE'!$AR$7:$AR$1506,0)))</f>
        <v/>
      </c>
      <c r="M79" s="114" t="str">
        <f aca="false">IF($B79="","",INDEX('CARNET DE SOUDURE'!$AM$7:$AM$1506,MATCH(68,'CARNET DE SOUDURE'!$AR$7:$AR$1506,0)))</f>
        <v/>
      </c>
      <c r="N79" s="115" t="str">
        <f aca="false">IF($B79="","",INDEX('CARNET DE SOUDURE'!$AN$7:$AN$1506,MATCH(68,'CARNET DE SOUDURE'!$AR$7:$AR$1506,0)))</f>
        <v/>
      </c>
    </row>
    <row r="80" customFormat="false" ht="15" hidden="false" customHeight="false" outlineLevel="0" collapsed="false">
      <c r="B80" s="107" t="str">
        <f aca="false">IF(69&gt;$I$4,"",69)</f>
        <v/>
      </c>
      <c r="C80" s="107" t="str">
        <f aca="false">IF($B80="","",INDEX('CARNET DE SOUDURE'!$B$7:$B$1506,MATCH(69,'CARNET DE SOUDURE'!$AR$7:$AR$1506,0)))</f>
        <v/>
      </c>
      <c r="D80" s="107" t="str">
        <f aca="false">IF($B80="","",INDEX('CARNET DE SOUDURE'!$E$7:$E$1506,MATCH(69,'CARNET DE SOUDURE'!$AR$7:$AR$1506,0)))</f>
        <v/>
      </c>
      <c r="E80" s="107" t="str">
        <f aca="false">IF($B80="","",INDEX('CARNET DE SOUDURE'!$O$7:$O$1506,MATCH(69,'CARNET DE SOUDURE'!$AR$7:$AR$1506,0))&amp;" / "&amp;INDEX('CARNET DE SOUDURE'!$P$7:$P$1506,MATCH(69,'CARNET DE SOUDURE'!$AR$7:$AR$1506,0))&amp;" / "&amp;INDEX('CARNET DE SOUDURE'!$Q$7:$Q$1506,MATCH(69,'CARNET DE SOUDURE'!$AR$7:$AR$1506,0)))</f>
        <v/>
      </c>
      <c r="F80" s="108" t="str">
        <f aca="false">IF($B80="","",INDEX('CARNET DE SOUDURE'!$V$7:$V$1506,MATCH(69,'CARNET DE SOUDURE'!$AR$7:$AR$1506,0)))</f>
        <v/>
      </c>
      <c r="G80" s="107" t="str">
        <f aca="false">IF($B80="","",INDEX('CARNET DE SOUDURE'!$W$7:$W$1506,MATCH(69,'CARNET DE SOUDURE'!$AR$7:$AR$1506,0))&amp;"")</f>
        <v/>
      </c>
      <c r="H80" s="109" t="str">
        <f aca="false">IF($B80="","",INDEX('CARNET DE SOUDURE'!$X$7:$X$1506,MATCH(69,'CARNET DE SOUDURE'!$AR$7:$AR$1506,0)))</f>
        <v/>
      </c>
      <c r="I80" s="107" t="str">
        <f aca="false">IF($B80="","",INDEX('CARNET DE SOUDURE'!$Y$7:$Y$1506,MATCH(69,'CARNET DE SOUDURE'!$AR$7:$AR$1506,0))&amp;IF(INDEX('CARNET DE SOUDURE'!$AD$7:$AD$1506,MATCH(69,'CARNET DE SOUDURE'!$AR$7:$AR$1506,0))&lt;&gt;""," / "&amp;INDEX('CARNET DE SOUDURE'!$AD$7:$AD$1506,MATCH(69,'CARNET DE SOUDURE'!$AR$7:$AR$1506,0)),""))</f>
        <v/>
      </c>
      <c r="J80" s="107" t="str">
        <f aca="false">IF($B80="","",INDEX('CARNET DE SOUDURE'!$Z$7:$Z$1506,MATCH(69,'CARNET DE SOUDURE'!$AR$7:$AR$1506,0))&amp;IF(INDEX('CARNET DE SOUDURE'!$AE$7:$AE$1506,MATCH(69,'CARNET DE SOUDURE'!$AR$7:$AR$1506,0))&lt;&gt;""," / "&amp;INDEX('CARNET DE SOUDURE'!$AE$7:$AE$1506,MATCH(69,'CARNET DE SOUDURE'!$AR$7:$AR$1506,0)),""))</f>
        <v/>
      </c>
      <c r="K80" s="107" t="str">
        <f aca="false">IF($B80="","",INDEX('CARNET DE SOUDURE'!$AC$7:$AC$1506,MATCH(69,'CARNET DE SOUDURE'!$AR$7:$AR$1506,0))&amp;IF(INDEX('CARNET DE SOUDURE'!$AH$7:$AH$1506,MATCH(69,'CARNET DE SOUDURE'!$AR$7:$AR$1506,0))&lt;&gt;""," / "&amp;INDEX('CARNET DE SOUDURE'!$AH$7:$AH$1506,MATCH(69,'CARNET DE SOUDURE'!$AR$7:$AR$1506,0)),""))</f>
        <v/>
      </c>
      <c r="L80" s="109" t="str">
        <f aca="false">IF($B80="","",INDEX('CARNET DE SOUDURE'!$AL$7:$AL$1506,MATCH(69,'CARNET DE SOUDURE'!$AR$7:$AR$1506,0)))</f>
        <v/>
      </c>
      <c r="M80" s="109" t="str">
        <f aca="false">IF($B80="","",INDEX('CARNET DE SOUDURE'!$AM$7:$AM$1506,MATCH(69,'CARNET DE SOUDURE'!$AR$7:$AR$1506,0)))</f>
        <v/>
      </c>
      <c r="N80" s="110" t="str">
        <f aca="false">IF($B80="","",INDEX('CARNET DE SOUDURE'!$AN$7:$AN$1506,MATCH(69,'CARNET DE SOUDURE'!$AR$7:$AR$1506,0)))</f>
        <v/>
      </c>
    </row>
    <row r="81" customFormat="false" ht="15" hidden="false" customHeight="false" outlineLevel="0" collapsed="false">
      <c r="B81" s="112" t="str">
        <f aca="false">IF(70&gt;$I$4,"",70)</f>
        <v/>
      </c>
      <c r="C81" s="112" t="str">
        <f aca="false">IF($B81="","",INDEX('CARNET DE SOUDURE'!$B$7:$B$1506,MATCH(70,'CARNET DE SOUDURE'!$AR$7:$AR$1506,0)))</f>
        <v/>
      </c>
      <c r="D81" s="112" t="str">
        <f aca="false">IF($B81="","",INDEX('CARNET DE SOUDURE'!$E$7:$E$1506,MATCH(70,'CARNET DE SOUDURE'!$AR$7:$AR$1506,0)))</f>
        <v/>
      </c>
      <c r="E81" s="112" t="str">
        <f aca="false">IF($B81="","",INDEX('CARNET DE SOUDURE'!$O$7:$O$1506,MATCH(70,'CARNET DE SOUDURE'!$AR$7:$AR$1506,0))&amp;" / "&amp;INDEX('CARNET DE SOUDURE'!$P$7:$P$1506,MATCH(70,'CARNET DE SOUDURE'!$AR$7:$AR$1506,0))&amp;" / "&amp;INDEX('CARNET DE SOUDURE'!$Q$7:$Q$1506,MATCH(70,'CARNET DE SOUDURE'!$AR$7:$AR$1506,0)))</f>
        <v/>
      </c>
      <c r="F81" s="113" t="str">
        <f aca="false">IF($B81="","",INDEX('CARNET DE SOUDURE'!$V$7:$V$1506,MATCH(70,'CARNET DE SOUDURE'!$AR$7:$AR$1506,0)))</f>
        <v/>
      </c>
      <c r="G81" s="112" t="str">
        <f aca="false">IF($B81="","",INDEX('CARNET DE SOUDURE'!$W$7:$W$1506,MATCH(70,'CARNET DE SOUDURE'!$AR$7:$AR$1506,0))&amp;"")</f>
        <v/>
      </c>
      <c r="H81" s="114" t="str">
        <f aca="false">IF($B81="","",INDEX('CARNET DE SOUDURE'!$X$7:$X$1506,MATCH(70,'CARNET DE SOUDURE'!$AR$7:$AR$1506,0)))</f>
        <v/>
      </c>
      <c r="I81" s="112" t="str">
        <f aca="false">IF($B81="","",INDEX('CARNET DE SOUDURE'!$Y$7:$Y$1506,MATCH(70,'CARNET DE SOUDURE'!$AR$7:$AR$1506,0))&amp;IF(INDEX('CARNET DE SOUDURE'!$AD$7:$AD$1506,MATCH(70,'CARNET DE SOUDURE'!$AR$7:$AR$1506,0))&lt;&gt;""," / "&amp;INDEX('CARNET DE SOUDURE'!$AD$7:$AD$1506,MATCH(70,'CARNET DE SOUDURE'!$AR$7:$AR$1506,0)),""))</f>
        <v/>
      </c>
      <c r="J81" s="112" t="str">
        <f aca="false">IF($B81="","",INDEX('CARNET DE SOUDURE'!$Z$7:$Z$1506,MATCH(70,'CARNET DE SOUDURE'!$AR$7:$AR$1506,0))&amp;IF(INDEX('CARNET DE SOUDURE'!$AE$7:$AE$1506,MATCH(70,'CARNET DE SOUDURE'!$AR$7:$AR$1506,0))&lt;&gt;""," / "&amp;INDEX('CARNET DE SOUDURE'!$AE$7:$AE$1506,MATCH(70,'CARNET DE SOUDURE'!$AR$7:$AR$1506,0)),""))</f>
        <v/>
      </c>
      <c r="K81" s="112" t="str">
        <f aca="false">IF($B81="","",INDEX('CARNET DE SOUDURE'!$AC$7:$AC$1506,MATCH(70,'CARNET DE SOUDURE'!$AR$7:$AR$1506,0))&amp;IF(INDEX('CARNET DE SOUDURE'!$AH$7:$AH$1506,MATCH(70,'CARNET DE SOUDURE'!$AR$7:$AR$1506,0))&lt;&gt;""," / "&amp;INDEX('CARNET DE SOUDURE'!$AH$7:$AH$1506,MATCH(70,'CARNET DE SOUDURE'!$AR$7:$AR$1506,0)),""))</f>
        <v/>
      </c>
      <c r="L81" s="114" t="str">
        <f aca="false">IF($B81="","",INDEX('CARNET DE SOUDURE'!$AL$7:$AL$1506,MATCH(70,'CARNET DE SOUDURE'!$AR$7:$AR$1506,0)))</f>
        <v/>
      </c>
      <c r="M81" s="114" t="str">
        <f aca="false">IF($B81="","",INDEX('CARNET DE SOUDURE'!$AM$7:$AM$1506,MATCH(70,'CARNET DE SOUDURE'!$AR$7:$AR$1506,0)))</f>
        <v/>
      </c>
      <c r="N81" s="115" t="str">
        <f aca="false">IF($B81="","",INDEX('CARNET DE SOUDURE'!$AN$7:$AN$1506,MATCH(70,'CARNET DE SOUDURE'!$AR$7:$AR$1506,0)))</f>
        <v/>
      </c>
    </row>
    <row r="82" customFormat="false" ht="15" hidden="false" customHeight="false" outlineLevel="0" collapsed="false">
      <c r="B82" s="107" t="str">
        <f aca="false">IF(71&gt;$I$4,"",71)</f>
        <v/>
      </c>
      <c r="C82" s="107" t="str">
        <f aca="false">IF($B82="","",INDEX('CARNET DE SOUDURE'!$B$7:$B$1506,MATCH(71,'CARNET DE SOUDURE'!$AR$7:$AR$1506,0)))</f>
        <v/>
      </c>
      <c r="D82" s="107" t="str">
        <f aca="false">IF($B82="","",INDEX('CARNET DE SOUDURE'!$E$7:$E$1506,MATCH(71,'CARNET DE SOUDURE'!$AR$7:$AR$1506,0)))</f>
        <v/>
      </c>
      <c r="E82" s="107" t="str">
        <f aca="false">IF($B82="","",INDEX('CARNET DE SOUDURE'!$O$7:$O$1506,MATCH(71,'CARNET DE SOUDURE'!$AR$7:$AR$1506,0))&amp;" / "&amp;INDEX('CARNET DE SOUDURE'!$P$7:$P$1506,MATCH(71,'CARNET DE SOUDURE'!$AR$7:$AR$1506,0))&amp;" / "&amp;INDEX('CARNET DE SOUDURE'!$Q$7:$Q$1506,MATCH(71,'CARNET DE SOUDURE'!$AR$7:$AR$1506,0)))</f>
        <v/>
      </c>
      <c r="F82" s="108" t="str">
        <f aca="false">IF($B82="","",INDEX('CARNET DE SOUDURE'!$V$7:$V$1506,MATCH(71,'CARNET DE SOUDURE'!$AR$7:$AR$1506,0)))</f>
        <v/>
      </c>
      <c r="G82" s="107" t="str">
        <f aca="false">IF($B82="","",INDEX('CARNET DE SOUDURE'!$W$7:$W$1506,MATCH(71,'CARNET DE SOUDURE'!$AR$7:$AR$1506,0))&amp;"")</f>
        <v/>
      </c>
      <c r="H82" s="109" t="str">
        <f aca="false">IF($B82="","",INDEX('CARNET DE SOUDURE'!$X$7:$X$1506,MATCH(71,'CARNET DE SOUDURE'!$AR$7:$AR$1506,0)))</f>
        <v/>
      </c>
      <c r="I82" s="107" t="str">
        <f aca="false">IF($B82="","",INDEX('CARNET DE SOUDURE'!$Y$7:$Y$1506,MATCH(71,'CARNET DE SOUDURE'!$AR$7:$AR$1506,0))&amp;IF(INDEX('CARNET DE SOUDURE'!$AD$7:$AD$1506,MATCH(71,'CARNET DE SOUDURE'!$AR$7:$AR$1506,0))&lt;&gt;""," / "&amp;INDEX('CARNET DE SOUDURE'!$AD$7:$AD$1506,MATCH(71,'CARNET DE SOUDURE'!$AR$7:$AR$1506,0)),""))</f>
        <v/>
      </c>
      <c r="J82" s="107" t="str">
        <f aca="false">IF($B82="","",INDEX('CARNET DE SOUDURE'!$Z$7:$Z$1506,MATCH(71,'CARNET DE SOUDURE'!$AR$7:$AR$1506,0))&amp;IF(INDEX('CARNET DE SOUDURE'!$AE$7:$AE$1506,MATCH(71,'CARNET DE SOUDURE'!$AR$7:$AR$1506,0))&lt;&gt;""," / "&amp;INDEX('CARNET DE SOUDURE'!$AE$7:$AE$1506,MATCH(71,'CARNET DE SOUDURE'!$AR$7:$AR$1506,0)),""))</f>
        <v/>
      </c>
      <c r="K82" s="107" t="str">
        <f aca="false">IF($B82="","",INDEX('CARNET DE SOUDURE'!$AC$7:$AC$1506,MATCH(71,'CARNET DE SOUDURE'!$AR$7:$AR$1506,0))&amp;IF(INDEX('CARNET DE SOUDURE'!$AH$7:$AH$1506,MATCH(71,'CARNET DE SOUDURE'!$AR$7:$AR$1506,0))&lt;&gt;""," / "&amp;INDEX('CARNET DE SOUDURE'!$AH$7:$AH$1506,MATCH(71,'CARNET DE SOUDURE'!$AR$7:$AR$1506,0)),""))</f>
        <v/>
      </c>
      <c r="L82" s="109" t="str">
        <f aca="false">IF($B82="","",INDEX('CARNET DE SOUDURE'!$AL$7:$AL$1506,MATCH(71,'CARNET DE SOUDURE'!$AR$7:$AR$1506,0)))</f>
        <v/>
      </c>
      <c r="M82" s="109" t="str">
        <f aca="false">IF($B82="","",INDEX('CARNET DE SOUDURE'!$AM$7:$AM$1506,MATCH(71,'CARNET DE SOUDURE'!$AR$7:$AR$1506,0)))</f>
        <v/>
      </c>
      <c r="N82" s="110" t="str">
        <f aca="false">IF($B82="","",INDEX('CARNET DE SOUDURE'!$AN$7:$AN$1506,MATCH(71,'CARNET DE SOUDURE'!$AR$7:$AR$1506,0)))</f>
        <v/>
      </c>
    </row>
    <row r="83" customFormat="false" ht="15" hidden="false" customHeight="false" outlineLevel="0" collapsed="false">
      <c r="B83" s="112" t="str">
        <f aca="false">IF(72&gt;$I$4,"",72)</f>
        <v/>
      </c>
      <c r="C83" s="112" t="str">
        <f aca="false">IF($B83="","",INDEX('CARNET DE SOUDURE'!$B$7:$B$1506,MATCH(72,'CARNET DE SOUDURE'!$AR$7:$AR$1506,0)))</f>
        <v/>
      </c>
      <c r="D83" s="112" t="str">
        <f aca="false">IF($B83="","",INDEX('CARNET DE SOUDURE'!$E$7:$E$1506,MATCH(72,'CARNET DE SOUDURE'!$AR$7:$AR$1506,0)))</f>
        <v/>
      </c>
      <c r="E83" s="112" t="str">
        <f aca="false">IF($B83="","",INDEX('CARNET DE SOUDURE'!$O$7:$O$1506,MATCH(72,'CARNET DE SOUDURE'!$AR$7:$AR$1506,0))&amp;" / "&amp;INDEX('CARNET DE SOUDURE'!$P$7:$P$1506,MATCH(72,'CARNET DE SOUDURE'!$AR$7:$AR$1506,0))&amp;" / "&amp;INDEX('CARNET DE SOUDURE'!$Q$7:$Q$1506,MATCH(72,'CARNET DE SOUDURE'!$AR$7:$AR$1506,0)))</f>
        <v/>
      </c>
      <c r="F83" s="113" t="str">
        <f aca="false">IF($B83="","",INDEX('CARNET DE SOUDURE'!$V$7:$V$1506,MATCH(72,'CARNET DE SOUDURE'!$AR$7:$AR$1506,0)))</f>
        <v/>
      </c>
      <c r="G83" s="112" t="str">
        <f aca="false">IF($B83="","",INDEX('CARNET DE SOUDURE'!$W$7:$W$1506,MATCH(72,'CARNET DE SOUDURE'!$AR$7:$AR$1506,0))&amp;"")</f>
        <v/>
      </c>
      <c r="H83" s="114" t="str">
        <f aca="false">IF($B83="","",INDEX('CARNET DE SOUDURE'!$X$7:$X$1506,MATCH(72,'CARNET DE SOUDURE'!$AR$7:$AR$1506,0)))</f>
        <v/>
      </c>
      <c r="I83" s="112" t="str">
        <f aca="false">IF($B83="","",INDEX('CARNET DE SOUDURE'!$Y$7:$Y$1506,MATCH(72,'CARNET DE SOUDURE'!$AR$7:$AR$1506,0))&amp;IF(INDEX('CARNET DE SOUDURE'!$AD$7:$AD$1506,MATCH(72,'CARNET DE SOUDURE'!$AR$7:$AR$1506,0))&lt;&gt;""," / "&amp;INDEX('CARNET DE SOUDURE'!$AD$7:$AD$1506,MATCH(72,'CARNET DE SOUDURE'!$AR$7:$AR$1506,0)),""))</f>
        <v/>
      </c>
      <c r="J83" s="112" t="str">
        <f aca="false">IF($B83="","",INDEX('CARNET DE SOUDURE'!$Z$7:$Z$1506,MATCH(72,'CARNET DE SOUDURE'!$AR$7:$AR$1506,0))&amp;IF(INDEX('CARNET DE SOUDURE'!$AE$7:$AE$1506,MATCH(72,'CARNET DE SOUDURE'!$AR$7:$AR$1506,0))&lt;&gt;""," / "&amp;INDEX('CARNET DE SOUDURE'!$AE$7:$AE$1506,MATCH(72,'CARNET DE SOUDURE'!$AR$7:$AR$1506,0)),""))</f>
        <v/>
      </c>
      <c r="K83" s="112" t="str">
        <f aca="false">IF($B83="","",INDEX('CARNET DE SOUDURE'!$AC$7:$AC$1506,MATCH(72,'CARNET DE SOUDURE'!$AR$7:$AR$1506,0))&amp;IF(INDEX('CARNET DE SOUDURE'!$AH$7:$AH$1506,MATCH(72,'CARNET DE SOUDURE'!$AR$7:$AR$1506,0))&lt;&gt;""," / "&amp;INDEX('CARNET DE SOUDURE'!$AH$7:$AH$1506,MATCH(72,'CARNET DE SOUDURE'!$AR$7:$AR$1506,0)),""))</f>
        <v/>
      </c>
      <c r="L83" s="114" t="str">
        <f aca="false">IF($B83="","",INDEX('CARNET DE SOUDURE'!$AL$7:$AL$1506,MATCH(72,'CARNET DE SOUDURE'!$AR$7:$AR$1506,0)))</f>
        <v/>
      </c>
      <c r="M83" s="114" t="str">
        <f aca="false">IF($B83="","",INDEX('CARNET DE SOUDURE'!$AM$7:$AM$1506,MATCH(72,'CARNET DE SOUDURE'!$AR$7:$AR$1506,0)))</f>
        <v/>
      </c>
      <c r="N83" s="115" t="str">
        <f aca="false">IF($B83="","",INDEX('CARNET DE SOUDURE'!$AN$7:$AN$1506,MATCH(72,'CARNET DE SOUDURE'!$AR$7:$AR$1506,0)))</f>
        <v/>
      </c>
    </row>
    <row r="84" customFormat="false" ht="15" hidden="false" customHeight="false" outlineLevel="0" collapsed="false">
      <c r="B84" s="107" t="str">
        <f aca="false">IF(73&gt;$I$4,"",73)</f>
        <v/>
      </c>
      <c r="C84" s="107" t="str">
        <f aca="false">IF($B84="","",INDEX('CARNET DE SOUDURE'!$B$7:$B$1506,MATCH(73,'CARNET DE SOUDURE'!$AR$7:$AR$1506,0)))</f>
        <v/>
      </c>
      <c r="D84" s="107" t="str">
        <f aca="false">IF($B84="","",INDEX('CARNET DE SOUDURE'!$E$7:$E$1506,MATCH(73,'CARNET DE SOUDURE'!$AR$7:$AR$1506,0)))</f>
        <v/>
      </c>
      <c r="E84" s="107" t="str">
        <f aca="false">IF($B84="","",INDEX('CARNET DE SOUDURE'!$O$7:$O$1506,MATCH(73,'CARNET DE SOUDURE'!$AR$7:$AR$1506,0))&amp;" / "&amp;INDEX('CARNET DE SOUDURE'!$P$7:$P$1506,MATCH(73,'CARNET DE SOUDURE'!$AR$7:$AR$1506,0))&amp;" / "&amp;INDEX('CARNET DE SOUDURE'!$Q$7:$Q$1506,MATCH(73,'CARNET DE SOUDURE'!$AR$7:$AR$1506,0)))</f>
        <v/>
      </c>
      <c r="F84" s="108" t="str">
        <f aca="false">IF($B84="","",INDEX('CARNET DE SOUDURE'!$V$7:$V$1506,MATCH(73,'CARNET DE SOUDURE'!$AR$7:$AR$1506,0)))</f>
        <v/>
      </c>
      <c r="G84" s="107" t="str">
        <f aca="false">IF($B84="","",INDEX('CARNET DE SOUDURE'!$W$7:$W$1506,MATCH(73,'CARNET DE SOUDURE'!$AR$7:$AR$1506,0))&amp;"")</f>
        <v/>
      </c>
      <c r="H84" s="109" t="str">
        <f aca="false">IF($B84="","",INDEX('CARNET DE SOUDURE'!$X$7:$X$1506,MATCH(73,'CARNET DE SOUDURE'!$AR$7:$AR$1506,0)))</f>
        <v/>
      </c>
      <c r="I84" s="107" t="str">
        <f aca="false">IF($B84="","",INDEX('CARNET DE SOUDURE'!$Y$7:$Y$1506,MATCH(73,'CARNET DE SOUDURE'!$AR$7:$AR$1506,0))&amp;IF(INDEX('CARNET DE SOUDURE'!$AD$7:$AD$1506,MATCH(73,'CARNET DE SOUDURE'!$AR$7:$AR$1506,0))&lt;&gt;""," / "&amp;INDEX('CARNET DE SOUDURE'!$AD$7:$AD$1506,MATCH(73,'CARNET DE SOUDURE'!$AR$7:$AR$1506,0)),""))</f>
        <v/>
      </c>
      <c r="J84" s="107" t="str">
        <f aca="false">IF($B84="","",INDEX('CARNET DE SOUDURE'!$Z$7:$Z$1506,MATCH(73,'CARNET DE SOUDURE'!$AR$7:$AR$1506,0))&amp;IF(INDEX('CARNET DE SOUDURE'!$AE$7:$AE$1506,MATCH(73,'CARNET DE SOUDURE'!$AR$7:$AR$1506,0))&lt;&gt;""," / "&amp;INDEX('CARNET DE SOUDURE'!$AE$7:$AE$1506,MATCH(73,'CARNET DE SOUDURE'!$AR$7:$AR$1506,0)),""))</f>
        <v/>
      </c>
      <c r="K84" s="107" t="str">
        <f aca="false">IF($B84="","",INDEX('CARNET DE SOUDURE'!$AC$7:$AC$1506,MATCH(73,'CARNET DE SOUDURE'!$AR$7:$AR$1506,0))&amp;IF(INDEX('CARNET DE SOUDURE'!$AH$7:$AH$1506,MATCH(73,'CARNET DE SOUDURE'!$AR$7:$AR$1506,0))&lt;&gt;""," / "&amp;INDEX('CARNET DE SOUDURE'!$AH$7:$AH$1506,MATCH(73,'CARNET DE SOUDURE'!$AR$7:$AR$1506,0)),""))</f>
        <v/>
      </c>
      <c r="L84" s="109" t="str">
        <f aca="false">IF($B84="","",INDEX('CARNET DE SOUDURE'!$AL$7:$AL$1506,MATCH(73,'CARNET DE SOUDURE'!$AR$7:$AR$1506,0)))</f>
        <v/>
      </c>
      <c r="M84" s="109" t="str">
        <f aca="false">IF($B84="","",INDEX('CARNET DE SOUDURE'!$AM$7:$AM$1506,MATCH(73,'CARNET DE SOUDURE'!$AR$7:$AR$1506,0)))</f>
        <v/>
      </c>
      <c r="N84" s="110" t="str">
        <f aca="false">IF($B84="","",INDEX('CARNET DE SOUDURE'!$AN$7:$AN$1506,MATCH(73,'CARNET DE SOUDURE'!$AR$7:$AR$1506,0)))</f>
        <v/>
      </c>
    </row>
    <row r="85" customFormat="false" ht="15" hidden="false" customHeight="false" outlineLevel="0" collapsed="false">
      <c r="B85" s="112" t="str">
        <f aca="false">IF(74&gt;$I$4,"",74)</f>
        <v/>
      </c>
      <c r="C85" s="112" t="str">
        <f aca="false">IF($B85="","",INDEX('CARNET DE SOUDURE'!$B$7:$B$1506,MATCH(74,'CARNET DE SOUDURE'!$AR$7:$AR$1506,0)))</f>
        <v/>
      </c>
      <c r="D85" s="112" t="str">
        <f aca="false">IF($B85="","",INDEX('CARNET DE SOUDURE'!$E$7:$E$1506,MATCH(74,'CARNET DE SOUDURE'!$AR$7:$AR$1506,0)))</f>
        <v/>
      </c>
      <c r="E85" s="112" t="str">
        <f aca="false">IF($B85="","",INDEX('CARNET DE SOUDURE'!$O$7:$O$1506,MATCH(74,'CARNET DE SOUDURE'!$AR$7:$AR$1506,0))&amp;" / "&amp;INDEX('CARNET DE SOUDURE'!$P$7:$P$1506,MATCH(74,'CARNET DE SOUDURE'!$AR$7:$AR$1506,0))&amp;" / "&amp;INDEX('CARNET DE SOUDURE'!$Q$7:$Q$1506,MATCH(74,'CARNET DE SOUDURE'!$AR$7:$AR$1506,0)))</f>
        <v/>
      </c>
      <c r="F85" s="113" t="str">
        <f aca="false">IF($B85="","",INDEX('CARNET DE SOUDURE'!$V$7:$V$1506,MATCH(74,'CARNET DE SOUDURE'!$AR$7:$AR$1506,0)))</f>
        <v/>
      </c>
      <c r="G85" s="112" t="str">
        <f aca="false">IF($B85="","",INDEX('CARNET DE SOUDURE'!$W$7:$W$1506,MATCH(74,'CARNET DE SOUDURE'!$AR$7:$AR$1506,0))&amp;"")</f>
        <v/>
      </c>
      <c r="H85" s="114" t="str">
        <f aca="false">IF($B85="","",INDEX('CARNET DE SOUDURE'!$X$7:$X$1506,MATCH(74,'CARNET DE SOUDURE'!$AR$7:$AR$1506,0)))</f>
        <v/>
      </c>
      <c r="I85" s="112" t="str">
        <f aca="false">IF($B85="","",INDEX('CARNET DE SOUDURE'!$Y$7:$Y$1506,MATCH(74,'CARNET DE SOUDURE'!$AR$7:$AR$1506,0))&amp;IF(INDEX('CARNET DE SOUDURE'!$AD$7:$AD$1506,MATCH(74,'CARNET DE SOUDURE'!$AR$7:$AR$1506,0))&lt;&gt;""," / "&amp;INDEX('CARNET DE SOUDURE'!$AD$7:$AD$1506,MATCH(74,'CARNET DE SOUDURE'!$AR$7:$AR$1506,0)),""))</f>
        <v/>
      </c>
      <c r="J85" s="112" t="str">
        <f aca="false">IF($B85="","",INDEX('CARNET DE SOUDURE'!$Z$7:$Z$1506,MATCH(74,'CARNET DE SOUDURE'!$AR$7:$AR$1506,0))&amp;IF(INDEX('CARNET DE SOUDURE'!$AE$7:$AE$1506,MATCH(74,'CARNET DE SOUDURE'!$AR$7:$AR$1506,0))&lt;&gt;""," / "&amp;INDEX('CARNET DE SOUDURE'!$AE$7:$AE$1506,MATCH(74,'CARNET DE SOUDURE'!$AR$7:$AR$1506,0)),""))</f>
        <v/>
      </c>
      <c r="K85" s="112" t="str">
        <f aca="false">IF($B85="","",INDEX('CARNET DE SOUDURE'!$AC$7:$AC$1506,MATCH(74,'CARNET DE SOUDURE'!$AR$7:$AR$1506,0))&amp;IF(INDEX('CARNET DE SOUDURE'!$AH$7:$AH$1506,MATCH(74,'CARNET DE SOUDURE'!$AR$7:$AR$1506,0))&lt;&gt;""," / "&amp;INDEX('CARNET DE SOUDURE'!$AH$7:$AH$1506,MATCH(74,'CARNET DE SOUDURE'!$AR$7:$AR$1506,0)),""))</f>
        <v/>
      </c>
      <c r="L85" s="114" t="str">
        <f aca="false">IF($B85="","",INDEX('CARNET DE SOUDURE'!$AL$7:$AL$1506,MATCH(74,'CARNET DE SOUDURE'!$AR$7:$AR$1506,0)))</f>
        <v/>
      </c>
      <c r="M85" s="114" t="str">
        <f aca="false">IF($B85="","",INDEX('CARNET DE SOUDURE'!$AM$7:$AM$1506,MATCH(74,'CARNET DE SOUDURE'!$AR$7:$AR$1506,0)))</f>
        <v/>
      </c>
      <c r="N85" s="115" t="str">
        <f aca="false">IF($B85="","",INDEX('CARNET DE SOUDURE'!$AN$7:$AN$1506,MATCH(74,'CARNET DE SOUDURE'!$AR$7:$AR$1506,0)))</f>
        <v/>
      </c>
    </row>
    <row r="86" customFormat="false" ht="15" hidden="false" customHeight="false" outlineLevel="0" collapsed="false">
      <c r="B86" s="107" t="str">
        <f aca="false">IF(75&gt;$I$4,"",75)</f>
        <v/>
      </c>
      <c r="C86" s="107" t="str">
        <f aca="false">IF($B86="","",INDEX('CARNET DE SOUDURE'!$B$7:$B$1506,MATCH(75,'CARNET DE SOUDURE'!$AR$7:$AR$1506,0)))</f>
        <v/>
      </c>
      <c r="D86" s="107" t="str">
        <f aca="false">IF($B86="","",INDEX('CARNET DE SOUDURE'!$E$7:$E$1506,MATCH(75,'CARNET DE SOUDURE'!$AR$7:$AR$1506,0)))</f>
        <v/>
      </c>
      <c r="E86" s="107" t="str">
        <f aca="false">IF($B86="","",INDEX('CARNET DE SOUDURE'!$O$7:$O$1506,MATCH(75,'CARNET DE SOUDURE'!$AR$7:$AR$1506,0))&amp;" / "&amp;INDEX('CARNET DE SOUDURE'!$P$7:$P$1506,MATCH(75,'CARNET DE SOUDURE'!$AR$7:$AR$1506,0))&amp;" / "&amp;INDEX('CARNET DE SOUDURE'!$Q$7:$Q$1506,MATCH(75,'CARNET DE SOUDURE'!$AR$7:$AR$1506,0)))</f>
        <v/>
      </c>
      <c r="F86" s="108" t="str">
        <f aca="false">IF($B86="","",INDEX('CARNET DE SOUDURE'!$V$7:$V$1506,MATCH(75,'CARNET DE SOUDURE'!$AR$7:$AR$1506,0)))</f>
        <v/>
      </c>
      <c r="G86" s="107" t="str">
        <f aca="false">IF($B86="","",INDEX('CARNET DE SOUDURE'!$W$7:$W$1506,MATCH(75,'CARNET DE SOUDURE'!$AR$7:$AR$1506,0))&amp;"")</f>
        <v/>
      </c>
      <c r="H86" s="109" t="str">
        <f aca="false">IF($B86="","",INDEX('CARNET DE SOUDURE'!$X$7:$X$1506,MATCH(75,'CARNET DE SOUDURE'!$AR$7:$AR$1506,0)))</f>
        <v/>
      </c>
      <c r="I86" s="107" t="str">
        <f aca="false">IF($B86="","",INDEX('CARNET DE SOUDURE'!$Y$7:$Y$1506,MATCH(75,'CARNET DE SOUDURE'!$AR$7:$AR$1506,0))&amp;IF(INDEX('CARNET DE SOUDURE'!$AD$7:$AD$1506,MATCH(75,'CARNET DE SOUDURE'!$AR$7:$AR$1506,0))&lt;&gt;""," / "&amp;INDEX('CARNET DE SOUDURE'!$AD$7:$AD$1506,MATCH(75,'CARNET DE SOUDURE'!$AR$7:$AR$1506,0)),""))</f>
        <v/>
      </c>
      <c r="J86" s="107" t="str">
        <f aca="false">IF($B86="","",INDEX('CARNET DE SOUDURE'!$Z$7:$Z$1506,MATCH(75,'CARNET DE SOUDURE'!$AR$7:$AR$1506,0))&amp;IF(INDEX('CARNET DE SOUDURE'!$AE$7:$AE$1506,MATCH(75,'CARNET DE SOUDURE'!$AR$7:$AR$1506,0))&lt;&gt;""," / "&amp;INDEX('CARNET DE SOUDURE'!$AE$7:$AE$1506,MATCH(75,'CARNET DE SOUDURE'!$AR$7:$AR$1506,0)),""))</f>
        <v/>
      </c>
      <c r="K86" s="107" t="str">
        <f aca="false">IF($B86="","",INDEX('CARNET DE SOUDURE'!$AC$7:$AC$1506,MATCH(75,'CARNET DE SOUDURE'!$AR$7:$AR$1506,0))&amp;IF(INDEX('CARNET DE SOUDURE'!$AH$7:$AH$1506,MATCH(75,'CARNET DE SOUDURE'!$AR$7:$AR$1506,0))&lt;&gt;""," / "&amp;INDEX('CARNET DE SOUDURE'!$AH$7:$AH$1506,MATCH(75,'CARNET DE SOUDURE'!$AR$7:$AR$1506,0)),""))</f>
        <v/>
      </c>
      <c r="L86" s="109" t="str">
        <f aca="false">IF($B86="","",INDEX('CARNET DE SOUDURE'!$AL$7:$AL$1506,MATCH(75,'CARNET DE SOUDURE'!$AR$7:$AR$1506,0)))</f>
        <v/>
      </c>
      <c r="M86" s="109" t="str">
        <f aca="false">IF($B86="","",INDEX('CARNET DE SOUDURE'!$AM$7:$AM$1506,MATCH(75,'CARNET DE SOUDURE'!$AR$7:$AR$1506,0)))</f>
        <v/>
      </c>
      <c r="N86" s="110" t="str">
        <f aca="false">IF($B86="","",INDEX('CARNET DE SOUDURE'!$AN$7:$AN$1506,MATCH(75,'CARNET DE SOUDURE'!$AR$7:$AR$1506,0)))</f>
        <v/>
      </c>
    </row>
    <row r="87" customFormat="false" ht="15" hidden="false" customHeight="false" outlineLevel="0" collapsed="false">
      <c r="B87" s="112" t="str">
        <f aca="false">IF(76&gt;$I$4,"",76)</f>
        <v/>
      </c>
      <c r="C87" s="112" t="str">
        <f aca="false">IF($B87="","",INDEX('CARNET DE SOUDURE'!$B$7:$B$1506,MATCH(76,'CARNET DE SOUDURE'!$AR$7:$AR$1506,0)))</f>
        <v/>
      </c>
      <c r="D87" s="112" t="str">
        <f aca="false">IF($B87="","",INDEX('CARNET DE SOUDURE'!$E$7:$E$1506,MATCH(76,'CARNET DE SOUDURE'!$AR$7:$AR$1506,0)))</f>
        <v/>
      </c>
      <c r="E87" s="112" t="str">
        <f aca="false">IF($B87="","",INDEX('CARNET DE SOUDURE'!$O$7:$O$1506,MATCH(76,'CARNET DE SOUDURE'!$AR$7:$AR$1506,0))&amp;" / "&amp;INDEX('CARNET DE SOUDURE'!$P$7:$P$1506,MATCH(76,'CARNET DE SOUDURE'!$AR$7:$AR$1506,0))&amp;" / "&amp;INDEX('CARNET DE SOUDURE'!$Q$7:$Q$1506,MATCH(76,'CARNET DE SOUDURE'!$AR$7:$AR$1506,0)))</f>
        <v/>
      </c>
      <c r="F87" s="113" t="str">
        <f aca="false">IF($B87="","",INDEX('CARNET DE SOUDURE'!$V$7:$V$1506,MATCH(76,'CARNET DE SOUDURE'!$AR$7:$AR$1506,0)))</f>
        <v/>
      </c>
      <c r="G87" s="112" t="str">
        <f aca="false">IF($B87="","",INDEX('CARNET DE SOUDURE'!$W$7:$W$1506,MATCH(76,'CARNET DE SOUDURE'!$AR$7:$AR$1506,0))&amp;"")</f>
        <v/>
      </c>
      <c r="H87" s="114" t="str">
        <f aca="false">IF($B87="","",INDEX('CARNET DE SOUDURE'!$X$7:$X$1506,MATCH(76,'CARNET DE SOUDURE'!$AR$7:$AR$1506,0)))</f>
        <v/>
      </c>
      <c r="I87" s="112" t="str">
        <f aca="false">IF($B87="","",INDEX('CARNET DE SOUDURE'!$Y$7:$Y$1506,MATCH(76,'CARNET DE SOUDURE'!$AR$7:$AR$1506,0))&amp;IF(INDEX('CARNET DE SOUDURE'!$AD$7:$AD$1506,MATCH(76,'CARNET DE SOUDURE'!$AR$7:$AR$1506,0))&lt;&gt;""," / "&amp;INDEX('CARNET DE SOUDURE'!$AD$7:$AD$1506,MATCH(76,'CARNET DE SOUDURE'!$AR$7:$AR$1506,0)),""))</f>
        <v/>
      </c>
      <c r="J87" s="112" t="str">
        <f aca="false">IF($B87="","",INDEX('CARNET DE SOUDURE'!$Z$7:$Z$1506,MATCH(76,'CARNET DE SOUDURE'!$AR$7:$AR$1506,0))&amp;IF(INDEX('CARNET DE SOUDURE'!$AE$7:$AE$1506,MATCH(76,'CARNET DE SOUDURE'!$AR$7:$AR$1506,0))&lt;&gt;""," / "&amp;INDEX('CARNET DE SOUDURE'!$AE$7:$AE$1506,MATCH(76,'CARNET DE SOUDURE'!$AR$7:$AR$1506,0)),""))</f>
        <v/>
      </c>
      <c r="K87" s="112" t="str">
        <f aca="false">IF($B87="","",INDEX('CARNET DE SOUDURE'!$AC$7:$AC$1506,MATCH(76,'CARNET DE SOUDURE'!$AR$7:$AR$1506,0))&amp;IF(INDEX('CARNET DE SOUDURE'!$AH$7:$AH$1506,MATCH(76,'CARNET DE SOUDURE'!$AR$7:$AR$1506,0))&lt;&gt;""," / "&amp;INDEX('CARNET DE SOUDURE'!$AH$7:$AH$1506,MATCH(76,'CARNET DE SOUDURE'!$AR$7:$AR$1506,0)),""))</f>
        <v/>
      </c>
      <c r="L87" s="114" t="str">
        <f aca="false">IF($B87="","",INDEX('CARNET DE SOUDURE'!$AL$7:$AL$1506,MATCH(76,'CARNET DE SOUDURE'!$AR$7:$AR$1506,0)))</f>
        <v/>
      </c>
      <c r="M87" s="114" t="str">
        <f aca="false">IF($B87="","",INDEX('CARNET DE SOUDURE'!$AM$7:$AM$1506,MATCH(76,'CARNET DE SOUDURE'!$AR$7:$AR$1506,0)))</f>
        <v/>
      </c>
      <c r="N87" s="115" t="str">
        <f aca="false">IF($B87="","",INDEX('CARNET DE SOUDURE'!$AN$7:$AN$1506,MATCH(76,'CARNET DE SOUDURE'!$AR$7:$AR$1506,0)))</f>
        <v/>
      </c>
    </row>
    <row r="88" customFormat="false" ht="15" hidden="false" customHeight="false" outlineLevel="0" collapsed="false">
      <c r="B88" s="107" t="str">
        <f aca="false">IF(77&gt;$I$4,"",77)</f>
        <v/>
      </c>
      <c r="C88" s="107" t="str">
        <f aca="false">IF($B88="","",INDEX('CARNET DE SOUDURE'!$B$7:$B$1506,MATCH(77,'CARNET DE SOUDURE'!$AR$7:$AR$1506,0)))</f>
        <v/>
      </c>
      <c r="D88" s="107" t="str">
        <f aca="false">IF($B88="","",INDEX('CARNET DE SOUDURE'!$E$7:$E$1506,MATCH(77,'CARNET DE SOUDURE'!$AR$7:$AR$1506,0)))</f>
        <v/>
      </c>
      <c r="E88" s="107" t="str">
        <f aca="false">IF($B88="","",INDEX('CARNET DE SOUDURE'!$O$7:$O$1506,MATCH(77,'CARNET DE SOUDURE'!$AR$7:$AR$1506,0))&amp;" / "&amp;INDEX('CARNET DE SOUDURE'!$P$7:$P$1506,MATCH(77,'CARNET DE SOUDURE'!$AR$7:$AR$1506,0))&amp;" / "&amp;INDEX('CARNET DE SOUDURE'!$Q$7:$Q$1506,MATCH(77,'CARNET DE SOUDURE'!$AR$7:$AR$1506,0)))</f>
        <v/>
      </c>
      <c r="F88" s="108" t="str">
        <f aca="false">IF($B88="","",INDEX('CARNET DE SOUDURE'!$V$7:$V$1506,MATCH(77,'CARNET DE SOUDURE'!$AR$7:$AR$1506,0)))</f>
        <v/>
      </c>
      <c r="G88" s="107" t="str">
        <f aca="false">IF($B88="","",INDEX('CARNET DE SOUDURE'!$W$7:$W$1506,MATCH(77,'CARNET DE SOUDURE'!$AR$7:$AR$1506,0))&amp;"")</f>
        <v/>
      </c>
      <c r="H88" s="109" t="str">
        <f aca="false">IF($B88="","",INDEX('CARNET DE SOUDURE'!$X$7:$X$1506,MATCH(77,'CARNET DE SOUDURE'!$AR$7:$AR$1506,0)))</f>
        <v/>
      </c>
      <c r="I88" s="107" t="str">
        <f aca="false">IF($B88="","",INDEX('CARNET DE SOUDURE'!$Y$7:$Y$1506,MATCH(77,'CARNET DE SOUDURE'!$AR$7:$AR$1506,0))&amp;IF(INDEX('CARNET DE SOUDURE'!$AD$7:$AD$1506,MATCH(77,'CARNET DE SOUDURE'!$AR$7:$AR$1506,0))&lt;&gt;""," / "&amp;INDEX('CARNET DE SOUDURE'!$AD$7:$AD$1506,MATCH(77,'CARNET DE SOUDURE'!$AR$7:$AR$1506,0)),""))</f>
        <v/>
      </c>
      <c r="J88" s="107" t="str">
        <f aca="false">IF($B88="","",INDEX('CARNET DE SOUDURE'!$Z$7:$Z$1506,MATCH(77,'CARNET DE SOUDURE'!$AR$7:$AR$1506,0))&amp;IF(INDEX('CARNET DE SOUDURE'!$AE$7:$AE$1506,MATCH(77,'CARNET DE SOUDURE'!$AR$7:$AR$1506,0))&lt;&gt;""," / "&amp;INDEX('CARNET DE SOUDURE'!$AE$7:$AE$1506,MATCH(77,'CARNET DE SOUDURE'!$AR$7:$AR$1506,0)),""))</f>
        <v/>
      </c>
      <c r="K88" s="107" t="str">
        <f aca="false">IF($B88="","",INDEX('CARNET DE SOUDURE'!$AC$7:$AC$1506,MATCH(77,'CARNET DE SOUDURE'!$AR$7:$AR$1506,0))&amp;IF(INDEX('CARNET DE SOUDURE'!$AH$7:$AH$1506,MATCH(77,'CARNET DE SOUDURE'!$AR$7:$AR$1506,0))&lt;&gt;""," / "&amp;INDEX('CARNET DE SOUDURE'!$AH$7:$AH$1506,MATCH(77,'CARNET DE SOUDURE'!$AR$7:$AR$1506,0)),""))</f>
        <v/>
      </c>
      <c r="L88" s="109" t="str">
        <f aca="false">IF($B88="","",INDEX('CARNET DE SOUDURE'!$AL$7:$AL$1506,MATCH(77,'CARNET DE SOUDURE'!$AR$7:$AR$1506,0)))</f>
        <v/>
      </c>
      <c r="M88" s="109" t="str">
        <f aca="false">IF($B88="","",INDEX('CARNET DE SOUDURE'!$AM$7:$AM$1506,MATCH(77,'CARNET DE SOUDURE'!$AR$7:$AR$1506,0)))</f>
        <v/>
      </c>
      <c r="N88" s="110" t="str">
        <f aca="false">IF($B88="","",INDEX('CARNET DE SOUDURE'!$AN$7:$AN$1506,MATCH(77,'CARNET DE SOUDURE'!$AR$7:$AR$1506,0)))</f>
        <v/>
      </c>
    </row>
    <row r="89" customFormat="false" ht="15" hidden="false" customHeight="false" outlineLevel="0" collapsed="false">
      <c r="B89" s="112" t="str">
        <f aca="false">IF(78&gt;$I$4,"",78)</f>
        <v/>
      </c>
      <c r="C89" s="112" t="str">
        <f aca="false">IF($B89="","",INDEX('CARNET DE SOUDURE'!$B$7:$B$1506,MATCH(78,'CARNET DE SOUDURE'!$AR$7:$AR$1506,0)))</f>
        <v/>
      </c>
      <c r="D89" s="112" t="str">
        <f aca="false">IF($B89="","",INDEX('CARNET DE SOUDURE'!$E$7:$E$1506,MATCH(78,'CARNET DE SOUDURE'!$AR$7:$AR$1506,0)))</f>
        <v/>
      </c>
      <c r="E89" s="112" t="str">
        <f aca="false">IF($B89="","",INDEX('CARNET DE SOUDURE'!$O$7:$O$1506,MATCH(78,'CARNET DE SOUDURE'!$AR$7:$AR$1506,0))&amp;" / "&amp;INDEX('CARNET DE SOUDURE'!$P$7:$P$1506,MATCH(78,'CARNET DE SOUDURE'!$AR$7:$AR$1506,0))&amp;" / "&amp;INDEX('CARNET DE SOUDURE'!$Q$7:$Q$1506,MATCH(78,'CARNET DE SOUDURE'!$AR$7:$AR$1506,0)))</f>
        <v/>
      </c>
      <c r="F89" s="113" t="str">
        <f aca="false">IF($B89="","",INDEX('CARNET DE SOUDURE'!$V$7:$V$1506,MATCH(78,'CARNET DE SOUDURE'!$AR$7:$AR$1506,0)))</f>
        <v/>
      </c>
      <c r="G89" s="112" t="str">
        <f aca="false">IF($B89="","",INDEX('CARNET DE SOUDURE'!$W$7:$W$1506,MATCH(78,'CARNET DE SOUDURE'!$AR$7:$AR$1506,0))&amp;"")</f>
        <v/>
      </c>
      <c r="H89" s="114" t="str">
        <f aca="false">IF($B89="","",INDEX('CARNET DE SOUDURE'!$X$7:$X$1506,MATCH(78,'CARNET DE SOUDURE'!$AR$7:$AR$1506,0)))</f>
        <v/>
      </c>
      <c r="I89" s="112" t="str">
        <f aca="false">IF($B89="","",INDEX('CARNET DE SOUDURE'!$Y$7:$Y$1506,MATCH(78,'CARNET DE SOUDURE'!$AR$7:$AR$1506,0))&amp;IF(INDEX('CARNET DE SOUDURE'!$AD$7:$AD$1506,MATCH(78,'CARNET DE SOUDURE'!$AR$7:$AR$1506,0))&lt;&gt;""," / "&amp;INDEX('CARNET DE SOUDURE'!$AD$7:$AD$1506,MATCH(78,'CARNET DE SOUDURE'!$AR$7:$AR$1506,0)),""))</f>
        <v/>
      </c>
      <c r="J89" s="112" t="str">
        <f aca="false">IF($B89="","",INDEX('CARNET DE SOUDURE'!$Z$7:$Z$1506,MATCH(78,'CARNET DE SOUDURE'!$AR$7:$AR$1506,0))&amp;IF(INDEX('CARNET DE SOUDURE'!$AE$7:$AE$1506,MATCH(78,'CARNET DE SOUDURE'!$AR$7:$AR$1506,0))&lt;&gt;""," / "&amp;INDEX('CARNET DE SOUDURE'!$AE$7:$AE$1506,MATCH(78,'CARNET DE SOUDURE'!$AR$7:$AR$1506,0)),""))</f>
        <v/>
      </c>
      <c r="K89" s="112" t="str">
        <f aca="false">IF($B89="","",INDEX('CARNET DE SOUDURE'!$AC$7:$AC$1506,MATCH(78,'CARNET DE SOUDURE'!$AR$7:$AR$1506,0))&amp;IF(INDEX('CARNET DE SOUDURE'!$AH$7:$AH$1506,MATCH(78,'CARNET DE SOUDURE'!$AR$7:$AR$1506,0))&lt;&gt;""," / "&amp;INDEX('CARNET DE SOUDURE'!$AH$7:$AH$1506,MATCH(78,'CARNET DE SOUDURE'!$AR$7:$AR$1506,0)),""))</f>
        <v/>
      </c>
      <c r="L89" s="114" t="str">
        <f aca="false">IF($B89="","",INDEX('CARNET DE SOUDURE'!$AL$7:$AL$1506,MATCH(78,'CARNET DE SOUDURE'!$AR$7:$AR$1506,0)))</f>
        <v/>
      </c>
      <c r="M89" s="114" t="str">
        <f aca="false">IF($B89="","",INDEX('CARNET DE SOUDURE'!$AM$7:$AM$1506,MATCH(78,'CARNET DE SOUDURE'!$AR$7:$AR$1506,0)))</f>
        <v/>
      </c>
      <c r="N89" s="115" t="str">
        <f aca="false">IF($B89="","",INDEX('CARNET DE SOUDURE'!$AN$7:$AN$1506,MATCH(78,'CARNET DE SOUDURE'!$AR$7:$AR$1506,0)))</f>
        <v/>
      </c>
    </row>
    <row r="90" customFormat="false" ht="15" hidden="false" customHeight="false" outlineLevel="0" collapsed="false">
      <c r="B90" s="107" t="str">
        <f aca="false">IF(79&gt;$I$4,"",79)</f>
        <v/>
      </c>
      <c r="C90" s="107" t="str">
        <f aca="false">IF($B90="","",INDEX('CARNET DE SOUDURE'!$B$7:$B$1506,MATCH(79,'CARNET DE SOUDURE'!$AR$7:$AR$1506,0)))</f>
        <v/>
      </c>
      <c r="D90" s="107" t="str">
        <f aca="false">IF($B90="","",INDEX('CARNET DE SOUDURE'!$E$7:$E$1506,MATCH(79,'CARNET DE SOUDURE'!$AR$7:$AR$1506,0)))</f>
        <v/>
      </c>
      <c r="E90" s="107" t="str">
        <f aca="false">IF($B90="","",INDEX('CARNET DE SOUDURE'!$O$7:$O$1506,MATCH(79,'CARNET DE SOUDURE'!$AR$7:$AR$1506,0))&amp;" / "&amp;INDEX('CARNET DE SOUDURE'!$P$7:$P$1506,MATCH(79,'CARNET DE SOUDURE'!$AR$7:$AR$1506,0))&amp;" / "&amp;INDEX('CARNET DE SOUDURE'!$Q$7:$Q$1506,MATCH(79,'CARNET DE SOUDURE'!$AR$7:$AR$1506,0)))</f>
        <v/>
      </c>
      <c r="F90" s="108" t="str">
        <f aca="false">IF($B90="","",INDEX('CARNET DE SOUDURE'!$V$7:$V$1506,MATCH(79,'CARNET DE SOUDURE'!$AR$7:$AR$1506,0)))</f>
        <v/>
      </c>
      <c r="G90" s="107" t="str">
        <f aca="false">IF($B90="","",INDEX('CARNET DE SOUDURE'!$W$7:$W$1506,MATCH(79,'CARNET DE SOUDURE'!$AR$7:$AR$1506,0))&amp;"")</f>
        <v/>
      </c>
      <c r="H90" s="109" t="str">
        <f aca="false">IF($B90="","",INDEX('CARNET DE SOUDURE'!$X$7:$X$1506,MATCH(79,'CARNET DE SOUDURE'!$AR$7:$AR$1506,0)))</f>
        <v/>
      </c>
      <c r="I90" s="107" t="str">
        <f aca="false">IF($B90="","",INDEX('CARNET DE SOUDURE'!$Y$7:$Y$1506,MATCH(79,'CARNET DE SOUDURE'!$AR$7:$AR$1506,0))&amp;IF(INDEX('CARNET DE SOUDURE'!$AD$7:$AD$1506,MATCH(79,'CARNET DE SOUDURE'!$AR$7:$AR$1506,0))&lt;&gt;""," / "&amp;INDEX('CARNET DE SOUDURE'!$AD$7:$AD$1506,MATCH(79,'CARNET DE SOUDURE'!$AR$7:$AR$1506,0)),""))</f>
        <v/>
      </c>
      <c r="J90" s="107" t="str">
        <f aca="false">IF($B90="","",INDEX('CARNET DE SOUDURE'!$Z$7:$Z$1506,MATCH(79,'CARNET DE SOUDURE'!$AR$7:$AR$1506,0))&amp;IF(INDEX('CARNET DE SOUDURE'!$AE$7:$AE$1506,MATCH(79,'CARNET DE SOUDURE'!$AR$7:$AR$1506,0))&lt;&gt;""," / "&amp;INDEX('CARNET DE SOUDURE'!$AE$7:$AE$1506,MATCH(79,'CARNET DE SOUDURE'!$AR$7:$AR$1506,0)),""))</f>
        <v/>
      </c>
      <c r="K90" s="107" t="str">
        <f aca="false">IF($B90="","",INDEX('CARNET DE SOUDURE'!$AC$7:$AC$1506,MATCH(79,'CARNET DE SOUDURE'!$AR$7:$AR$1506,0))&amp;IF(INDEX('CARNET DE SOUDURE'!$AH$7:$AH$1506,MATCH(79,'CARNET DE SOUDURE'!$AR$7:$AR$1506,0))&lt;&gt;""," / "&amp;INDEX('CARNET DE SOUDURE'!$AH$7:$AH$1506,MATCH(79,'CARNET DE SOUDURE'!$AR$7:$AR$1506,0)),""))</f>
        <v/>
      </c>
      <c r="L90" s="109" t="str">
        <f aca="false">IF($B90="","",INDEX('CARNET DE SOUDURE'!$AL$7:$AL$1506,MATCH(79,'CARNET DE SOUDURE'!$AR$7:$AR$1506,0)))</f>
        <v/>
      </c>
      <c r="M90" s="109" t="str">
        <f aca="false">IF($B90="","",INDEX('CARNET DE SOUDURE'!$AM$7:$AM$1506,MATCH(79,'CARNET DE SOUDURE'!$AR$7:$AR$1506,0)))</f>
        <v/>
      </c>
      <c r="N90" s="110" t="str">
        <f aca="false">IF($B90="","",INDEX('CARNET DE SOUDURE'!$AN$7:$AN$1506,MATCH(79,'CARNET DE SOUDURE'!$AR$7:$AR$1506,0)))</f>
        <v/>
      </c>
    </row>
    <row r="91" customFormat="false" ht="15" hidden="false" customHeight="false" outlineLevel="0" collapsed="false">
      <c r="B91" s="112" t="str">
        <f aca="false">IF(80&gt;$I$4,"",80)</f>
        <v/>
      </c>
      <c r="C91" s="112" t="str">
        <f aca="false">IF($B91="","",INDEX('CARNET DE SOUDURE'!$B$7:$B$1506,MATCH(80,'CARNET DE SOUDURE'!$AR$7:$AR$1506,0)))</f>
        <v/>
      </c>
      <c r="D91" s="112" t="str">
        <f aca="false">IF($B91="","",INDEX('CARNET DE SOUDURE'!$E$7:$E$1506,MATCH(80,'CARNET DE SOUDURE'!$AR$7:$AR$1506,0)))</f>
        <v/>
      </c>
      <c r="E91" s="112" t="str">
        <f aca="false">IF($B91="","",INDEX('CARNET DE SOUDURE'!$O$7:$O$1506,MATCH(80,'CARNET DE SOUDURE'!$AR$7:$AR$1506,0))&amp;" / "&amp;INDEX('CARNET DE SOUDURE'!$P$7:$P$1506,MATCH(80,'CARNET DE SOUDURE'!$AR$7:$AR$1506,0))&amp;" / "&amp;INDEX('CARNET DE SOUDURE'!$Q$7:$Q$1506,MATCH(80,'CARNET DE SOUDURE'!$AR$7:$AR$1506,0)))</f>
        <v/>
      </c>
      <c r="F91" s="113" t="str">
        <f aca="false">IF($B91="","",INDEX('CARNET DE SOUDURE'!$V$7:$V$1506,MATCH(80,'CARNET DE SOUDURE'!$AR$7:$AR$1506,0)))</f>
        <v/>
      </c>
      <c r="G91" s="112" t="str">
        <f aca="false">IF($B91="","",INDEX('CARNET DE SOUDURE'!$W$7:$W$1506,MATCH(80,'CARNET DE SOUDURE'!$AR$7:$AR$1506,0))&amp;"")</f>
        <v/>
      </c>
      <c r="H91" s="114" t="str">
        <f aca="false">IF($B91="","",INDEX('CARNET DE SOUDURE'!$X$7:$X$1506,MATCH(80,'CARNET DE SOUDURE'!$AR$7:$AR$1506,0)))</f>
        <v/>
      </c>
      <c r="I91" s="112" t="str">
        <f aca="false">IF($B91="","",INDEX('CARNET DE SOUDURE'!$Y$7:$Y$1506,MATCH(80,'CARNET DE SOUDURE'!$AR$7:$AR$1506,0))&amp;IF(INDEX('CARNET DE SOUDURE'!$AD$7:$AD$1506,MATCH(80,'CARNET DE SOUDURE'!$AR$7:$AR$1506,0))&lt;&gt;""," / "&amp;INDEX('CARNET DE SOUDURE'!$AD$7:$AD$1506,MATCH(80,'CARNET DE SOUDURE'!$AR$7:$AR$1506,0)),""))</f>
        <v/>
      </c>
      <c r="J91" s="112" t="str">
        <f aca="false">IF($B91="","",INDEX('CARNET DE SOUDURE'!$Z$7:$Z$1506,MATCH(80,'CARNET DE SOUDURE'!$AR$7:$AR$1506,0))&amp;IF(INDEX('CARNET DE SOUDURE'!$AE$7:$AE$1506,MATCH(80,'CARNET DE SOUDURE'!$AR$7:$AR$1506,0))&lt;&gt;""," / "&amp;INDEX('CARNET DE SOUDURE'!$AE$7:$AE$1506,MATCH(80,'CARNET DE SOUDURE'!$AR$7:$AR$1506,0)),""))</f>
        <v/>
      </c>
      <c r="K91" s="112" t="str">
        <f aca="false">IF($B91="","",INDEX('CARNET DE SOUDURE'!$AC$7:$AC$1506,MATCH(80,'CARNET DE SOUDURE'!$AR$7:$AR$1506,0))&amp;IF(INDEX('CARNET DE SOUDURE'!$AH$7:$AH$1506,MATCH(80,'CARNET DE SOUDURE'!$AR$7:$AR$1506,0))&lt;&gt;""," / "&amp;INDEX('CARNET DE SOUDURE'!$AH$7:$AH$1506,MATCH(80,'CARNET DE SOUDURE'!$AR$7:$AR$1506,0)),""))</f>
        <v/>
      </c>
      <c r="L91" s="114" t="str">
        <f aca="false">IF($B91="","",INDEX('CARNET DE SOUDURE'!$AL$7:$AL$1506,MATCH(80,'CARNET DE SOUDURE'!$AR$7:$AR$1506,0)))</f>
        <v/>
      </c>
      <c r="M91" s="114" t="str">
        <f aca="false">IF($B91="","",INDEX('CARNET DE SOUDURE'!$AM$7:$AM$1506,MATCH(80,'CARNET DE SOUDURE'!$AR$7:$AR$1506,0)))</f>
        <v/>
      </c>
      <c r="N91" s="115" t="str">
        <f aca="false">IF($B91="","",INDEX('CARNET DE SOUDURE'!$AN$7:$AN$1506,MATCH(80,'CARNET DE SOUDURE'!$AR$7:$AR$1506,0)))</f>
        <v/>
      </c>
    </row>
    <row r="92" customFormat="false" ht="15" hidden="false" customHeight="false" outlineLevel="0" collapsed="false">
      <c r="B92" s="107" t="str">
        <f aca="false">IF(81&gt;$I$4,"",81)</f>
        <v/>
      </c>
      <c r="C92" s="107" t="str">
        <f aca="false">IF($B92="","",INDEX('CARNET DE SOUDURE'!$B$7:$B$1506,MATCH(81,'CARNET DE SOUDURE'!$AR$7:$AR$1506,0)))</f>
        <v/>
      </c>
      <c r="D92" s="107" t="str">
        <f aca="false">IF($B92="","",INDEX('CARNET DE SOUDURE'!$E$7:$E$1506,MATCH(81,'CARNET DE SOUDURE'!$AR$7:$AR$1506,0)))</f>
        <v/>
      </c>
      <c r="E92" s="107" t="str">
        <f aca="false">IF($B92="","",INDEX('CARNET DE SOUDURE'!$O$7:$O$1506,MATCH(81,'CARNET DE SOUDURE'!$AR$7:$AR$1506,0))&amp;" / "&amp;INDEX('CARNET DE SOUDURE'!$P$7:$P$1506,MATCH(81,'CARNET DE SOUDURE'!$AR$7:$AR$1506,0))&amp;" / "&amp;INDEX('CARNET DE SOUDURE'!$Q$7:$Q$1506,MATCH(81,'CARNET DE SOUDURE'!$AR$7:$AR$1506,0)))</f>
        <v/>
      </c>
      <c r="F92" s="108" t="str">
        <f aca="false">IF($B92="","",INDEX('CARNET DE SOUDURE'!$V$7:$V$1506,MATCH(81,'CARNET DE SOUDURE'!$AR$7:$AR$1506,0)))</f>
        <v/>
      </c>
      <c r="G92" s="107" t="str">
        <f aca="false">IF($B92="","",INDEX('CARNET DE SOUDURE'!$W$7:$W$1506,MATCH(81,'CARNET DE SOUDURE'!$AR$7:$AR$1506,0))&amp;"")</f>
        <v/>
      </c>
      <c r="H92" s="109" t="str">
        <f aca="false">IF($B92="","",INDEX('CARNET DE SOUDURE'!$X$7:$X$1506,MATCH(81,'CARNET DE SOUDURE'!$AR$7:$AR$1506,0)))</f>
        <v/>
      </c>
      <c r="I92" s="107" t="str">
        <f aca="false">IF($B92="","",INDEX('CARNET DE SOUDURE'!$Y$7:$Y$1506,MATCH(81,'CARNET DE SOUDURE'!$AR$7:$AR$1506,0))&amp;IF(INDEX('CARNET DE SOUDURE'!$AD$7:$AD$1506,MATCH(81,'CARNET DE SOUDURE'!$AR$7:$AR$1506,0))&lt;&gt;""," / "&amp;INDEX('CARNET DE SOUDURE'!$AD$7:$AD$1506,MATCH(81,'CARNET DE SOUDURE'!$AR$7:$AR$1506,0)),""))</f>
        <v/>
      </c>
      <c r="J92" s="107" t="str">
        <f aca="false">IF($B92="","",INDEX('CARNET DE SOUDURE'!$Z$7:$Z$1506,MATCH(81,'CARNET DE SOUDURE'!$AR$7:$AR$1506,0))&amp;IF(INDEX('CARNET DE SOUDURE'!$AE$7:$AE$1506,MATCH(81,'CARNET DE SOUDURE'!$AR$7:$AR$1506,0))&lt;&gt;""," / "&amp;INDEX('CARNET DE SOUDURE'!$AE$7:$AE$1506,MATCH(81,'CARNET DE SOUDURE'!$AR$7:$AR$1506,0)),""))</f>
        <v/>
      </c>
      <c r="K92" s="107" t="str">
        <f aca="false">IF($B92="","",INDEX('CARNET DE SOUDURE'!$AC$7:$AC$1506,MATCH(81,'CARNET DE SOUDURE'!$AR$7:$AR$1506,0))&amp;IF(INDEX('CARNET DE SOUDURE'!$AH$7:$AH$1506,MATCH(81,'CARNET DE SOUDURE'!$AR$7:$AR$1506,0))&lt;&gt;""," / "&amp;INDEX('CARNET DE SOUDURE'!$AH$7:$AH$1506,MATCH(81,'CARNET DE SOUDURE'!$AR$7:$AR$1506,0)),""))</f>
        <v/>
      </c>
      <c r="L92" s="109" t="str">
        <f aca="false">IF($B92="","",INDEX('CARNET DE SOUDURE'!$AL$7:$AL$1506,MATCH(81,'CARNET DE SOUDURE'!$AR$7:$AR$1506,0)))</f>
        <v/>
      </c>
      <c r="M92" s="109" t="str">
        <f aca="false">IF($B92="","",INDEX('CARNET DE SOUDURE'!$AM$7:$AM$1506,MATCH(81,'CARNET DE SOUDURE'!$AR$7:$AR$1506,0)))</f>
        <v/>
      </c>
      <c r="N92" s="110" t="str">
        <f aca="false">IF($B92="","",INDEX('CARNET DE SOUDURE'!$AN$7:$AN$1506,MATCH(81,'CARNET DE SOUDURE'!$AR$7:$AR$1506,0)))</f>
        <v/>
      </c>
    </row>
    <row r="93" customFormat="false" ht="15" hidden="false" customHeight="false" outlineLevel="0" collapsed="false">
      <c r="B93" s="112" t="str">
        <f aca="false">IF(82&gt;$I$4,"",82)</f>
        <v/>
      </c>
      <c r="C93" s="112" t="str">
        <f aca="false">IF($B93="","",INDEX('CARNET DE SOUDURE'!$B$7:$B$1506,MATCH(82,'CARNET DE SOUDURE'!$AR$7:$AR$1506,0)))</f>
        <v/>
      </c>
      <c r="D93" s="112" t="str">
        <f aca="false">IF($B93="","",INDEX('CARNET DE SOUDURE'!$E$7:$E$1506,MATCH(82,'CARNET DE SOUDURE'!$AR$7:$AR$1506,0)))</f>
        <v/>
      </c>
      <c r="E93" s="112" t="str">
        <f aca="false">IF($B93="","",INDEX('CARNET DE SOUDURE'!$O$7:$O$1506,MATCH(82,'CARNET DE SOUDURE'!$AR$7:$AR$1506,0))&amp;" / "&amp;INDEX('CARNET DE SOUDURE'!$P$7:$P$1506,MATCH(82,'CARNET DE SOUDURE'!$AR$7:$AR$1506,0))&amp;" / "&amp;INDEX('CARNET DE SOUDURE'!$Q$7:$Q$1506,MATCH(82,'CARNET DE SOUDURE'!$AR$7:$AR$1506,0)))</f>
        <v/>
      </c>
      <c r="F93" s="113" t="str">
        <f aca="false">IF($B93="","",INDEX('CARNET DE SOUDURE'!$V$7:$V$1506,MATCH(82,'CARNET DE SOUDURE'!$AR$7:$AR$1506,0)))</f>
        <v/>
      </c>
      <c r="G93" s="112" t="str">
        <f aca="false">IF($B93="","",INDEX('CARNET DE SOUDURE'!$W$7:$W$1506,MATCH(82,'CARNET DE SOUDURE'!$AR$7:$AR$1506,0))&amp;"")</f>
        <v/>
      </c>
      <c r="H93" s="114" t="str">
        <f aca="false">IF($B93="","",INDEX('CARNET DE SOUDURE'!$X$7:$X$1506,MATCH(82,'CARNET DE SOUDURE'!$AR$7:$AR$1506,0)))</f>
        <v/>
      </c>
      <c r="I93" s="112" t="str">
        <f aca="false">IF($B93="","",INDEX('CARNET DE SOUDURE'!$Y$7:$Y$1506,MATCH(82,'CARNET DE SOUDURE'!$AR$7:$AR$1506,0))&amp;IF(INDEX('CARNET DE SOUDURE'!$AD$7:$AD$1506,MATCH(82,'CARNET DE SOUDURE'!$AR$7:$AR$1506,0))&lt;&gt;""," / "&amp;INDEX('CARNET DE SOUDURE'!$AD$7:$AD$1506,MATCH(82,'CARNET DE SOUDURE'!$AR$7:$AR$1506,0)),""))</f>
        <v/>
      </c>
      <c r="J93" s="112" t="str">
        <f aca="false">IF($B93="","",INDEX('CARNET DE SOUDURE'!$Z$7:$Z$1506,MATCH(82,'CARNET DE SOUDURE'!$AR$7:$AR$1506,0))&amp;IF(INDEX('CARNET DE SOUDURE'!$AE$7:$AE$1506,MATCH(82,'CARNET DE SOUDURE'!$AR$7:$AR$1506,0))&lt;&gt;""," / "&amp;INDEX('CARNET DE SOUDURE'!$AE$7:$AE$1506,MATCH(82,'CARNET DE SOUDURE'!$AR$7:$AR$1506,0)),""))</f>
        <v/>
      </c>
      <c r="K93" s="112" t="str">
        <f aca="false">IF($B93="","",INDEX('CARNET DE SOUDURE'!$AC$7:$AC$1506,MATCH(82,'CARNET DE SOUDURE'!$AR$7:$AR$1506,0))&amp;IF(INDEX('CARNET DE SOUDURE'!$AH$7:$AH$1506,MATCH(82,'CARNET DE SOUDURE'!$AR$7:$AR$1506,0))&lt;&gt;""," / "&amp;INDEX('CARNET DE SOUDURE'!$AH$7:$AH$1506,MATCH(82,'CARNET DE SOUDURE'!$AR$7:$AR$1506,0)),""))</f>
        <v/>
      </c>
      <c r="L93" s="114" t="str">
        <f aca="false">IF($B93="","",INDEX('CARNET DE SOUDURE'!$AL$7:$AL$1506,MATCH(82,'CARNET DE SOUDURE'!$AR$7:$AR$1506,0)))</f>
        <v/>
      </c>
      <c r="M93" s="114" t="str">
        <f aca="false">IF($B93="","",INDEX('CARNET DE SOUDURE'!$AM$7:$AM$1506,MATCH(82,'CARNET DE SOUDURE'!$AR$7:$AR$1506,0)))</f>
        <v/>
      </c>
      <c r="N93" s="115" t="str">
        <f aca="false">IF($B93="","",INDEX('CARNET DE SOUDURE'!$AN$7:$AN$1506,MATCH(82,'CARNET DE SOUDURE'!$AR$7:$AR$1506,0)))</f>
        <v/>
      </c>
    </row>
    <row r="94" customFormat="false" ht="15" hidden="false" customHeight="false" outlineLevel="0" collapsed="false">
      <c r="B94" s="107" t="str">
        <f aca="false">IF(83&gt;$I$4,"",83)</f>
        <v/>
      </c>
      <c r="C94" s="107" t="str">
        <f aca="false">IF($B94="","",INDEX('CARNET DE SOUDURE'!$B$7:$B$1506,MATCH(83,'CARNET DE SOUDURE'!$AR$7:$AR$1506,0)))</f>
        <v/>
      </c>
      <c r="D94" s="107" t="str">
        <f aca="false">IF($B94="","",INDEX('CARNET DE SOUDURE'!$E$7:$E$1506,MATCH(83,'CARNET DE SOUDURE'!$AR$7:$AR$1506,0)))</f>
        <v/>
      </c>
      <c r="E94" s="107" t="str">
        <f aca="false">IF($B94="","",INDEX('CARNET DE SOUDURE'!$O$7:$O$1506,MATCH(83,'CARNET DE SOUDURE'!$AR$7:$AR$1506,0))&amp;" / "&amp;INDEX('CARNET DE SOUDURE'!$P$7:$P$1506,MATCH(83,'CARNET DE SOUDURE'!$AR$7:$AR$1506,0))&amp;" / "&amp;INDEX('CARNET DE SOUDURE'!$Q$7:$Q$1506,MATCH(83,'CARNET DE SOUDURE'!$AR$7:$AR$1506,0)))</f>
        <v/>
      </c>
      <c r="F94" s="108" t="str">
        <f aca="false">IF($B94="","",INDEX('CARNET DE SOUDURE'!$V$7:$V$1506,MATCH(83,'CARNET DE SOUDURE'!$AR$7:$AR$1506,0)))</f>
        <v/>
      </c>
      <c r="G94" s="107" t="str">
        <f aca="false">IF($B94="","",INDEX('CARNET DE SOUDURE'!$W$7:$W$1506,MATCH(83,'CARNET DE SOUDURE'!$AR$7:$AR$1506,0))&amp;"")</f>
        <v/>
      </c>
      <c r="H94" s="109" t="str">
        <f aca="false">IF($B94="","",INDEX('CARNET DE SOUDURE'!$X$7:$X$1506,MATCH(83,'CARNET DE SOUDURE'!$AR$7:$AR$1506,0)))</f>
        <v/>
      </c>
      <c r="I94" s="107" t="str">
        <f aca="false">IF($B94="","",INDEX('CARNET DE SOUDURE'!$Y$7:$Y$1506,MATCH(83,'CARNET DE SOUDURE'!$AR$7:$AR$1506,0))&amp;IF(INDEX('CARNET DE SOUDURE'!$AD$7:$AD$1506,MATCH(83,'CARNET DE SOUDURE'!$AR$7:$AR$1506,0))&lt;&gt;""," / "&amp;INDEX('CARNET DE SOUDURE'!$AD$7:$AD$1506,MATCH(83,'CARNET DE SOUDURE'!$AR$7:$AR$1506,0)),""))</f>
        <v/>
      </c>
      <c r="J94" s="107" t="str">
        <f aca="false">IF($B94="","",INDEX('CARNET DE SOUDURE'!$Z$7:$Z$1506,MATCH(83,'CARNET DE SOUDURE'!$AR$7:$AR$1506,0))&amp;IF(INDEX('CARNET DE SOUDURE'!$AE$7:$AE$1506,MATCH(83,'CARNET DE SOUDURE'!$AR$7:$AR$1506,0))&lt;&gt;""," / "&amp;INDEX('CARNET DE SOUDURE'!$AE$7:$AE$1506,MATCH(83,'CARNET DE SOUDURE'!$AR$7:$AR$1506,0)),""))</f>
        <v/>
      </c>
      <c r="K94" s="107" t="str">
        <f aca="false">IF($B94="","",INDEX('CARNET DE SOUDURE'!$AC$7:$AC$1506,MATCH(83,'CARNET DE SOUDURE'!$AR$7:$AR$1506,0))&amp;IF(INDEX('CARNET DE SOUDURE'!$AH$7:$AH$1506,MATCH(83,'CARNET DE SOUDURE'!$AR$7:$AR$1506,0))&lt;&gt;""," / "&amp;INDEX('CARNET DE SOUDURE'!$AH$7:$AH$1506,MATCH(83,'CARNET DE SOUDURE'!$AR$7:$AR$1506,0)),""))</f>
        <v/>
      </c>
      <c r="L94" s="109" t="str">
        <f aca="false">IF($B94="","",INDEX('CARNET DE SOUDURE'!$AL$7:$AL$1506,MATCH(83,'CARNET DE SOUDURE'!$AR$7:$AR$1506,0)))</f>
        <v/>
      </c>
      <c r="M94" s="109" t="str">
        <f aca="false">IF($B94="","",INDEX('CARNET DE SOUDURE'!$AM$7:$AM$1506,MATCH(83,'CARNET DE SOUDURE'!$AR$7:$AR$1506,0)))</f>
        <v/>
      </c>
      <c r="N94" s="110" t="str">
        <f aca="false">IF($B94="","",INDEX('CARNET DE SOUDURE'!$AN$7:$AN$1506,MATCH(83,'CARNET DE SOUDURE'!$AR$7:$AR$1506,0)))</f>
        <v/>
      </c>
    </row>
    <row r="95" customFormat="false" ht="15" hidden="false" customHeight="false" outlineLevel="0" collapsed="false">
      <c r="B95" s="112" t="str">
        <f aca="false">IF(84&gt;$I$4,"",84)</f>
        <v/>
      </c>
      <c r="C95" s="112" t="str">
        <f aca="false">IF($B95="","",INDEX('CARNET DE SOUDURE'!$B$7:$B$1506,MATCH(84,'CARNET DE SOUDURE'!$AR$7:$AR$1506,0)))</f>
        <v/>
      </c>
      <c r="D95" s="112" t="str">
        <f aca="false">IF($B95="","",INDEX('CARNET DE SOUDURE'!$E$7:$E$1506,MATCH(84,'CARNET DE SOUDURE'!$AR$7:$AR$1506,0)))</f>
        <v/>
      </c>
      <c r="E95" s="112" t="str">
        <f aca="false">IF($B95="","",INDEX('CARNET DE SOUDURE'!$O$7:$O$1506,MATCH(84,'CARNET DE SOUDURE'!$AR$7:$AR$1506,0))&amp;" / "&amp;INDEX('CARNET DE SOUDURE'!$P$7:$P$1506,MATCH(84,'CARNET DE SOUDURE'!$AR$7:$AR$1506,0))&amp;" / "&amp;INDEX('CARNET DE SOUDURE'!$Q$7:$Q$1506,MATCH(84,'CARNET DE SOUDURE'!$AR$7:$AR$1506,0)))</f>
        <v/>
      </c>
      <c r="F95" s="113" t="str">
        <f aca="false">IF($B95="","",INDEX('CARNET DE SOUDURE'!$V$7:$V$1506,MATCH(84,'CARNET DE SOUDURE'!$AR$7:$AR$1506,0)))</f>
        <v/>
      </c>
      <c r="G95" s="112" t="str">
        <f aca="false">IF($B95="","",INDEX('CARNET DE SOUDURE'!$W$7:$W$1506,MATCH(84,'CARNET DE SOUDURE'!$AR$7:$AR$1506,0))&amp;"")</f>
        <v/>
      </c>
      <c r="H95" s="114" t="str">
        <f aca="false">IF($B95="","",INDEX('CARNET DE SOUDURE'!$X$7:$X$1506,MATCH(84,'CARNET DE SOUDURE'!$AR$7:$AR$1506,0)))</f>
        <v/>
      </c>
      <c r="I95" s="112" t="str">
        <f aca="false">IF($B95="","",INDEX('CARNET DE SOUDURE'!$Y$7:$Y$1506,MATCH(84,'CARNET DE SOUDURE'!$AR$7:$AR$1506,0))&amp;IF(INDEX('CARNET DE SOUDURE'!$AD$7:$AD$1506,MATCH(84,'CARNET DE SOUDURE'!$AR$7:$AR$1506,0))&lt;&gt;""," / "&amp;INDEX('CARNET DE SOUDURE'!$AD$7:$AD$1506,MATCH(84,'CARNET DE SOUDURE'!$AR$7:$AR$1506,0)),""))</f>
        <v/>
      </c>
      <c r="J95" s="112" t="str">
        <f aca="false">IF($B95="","",INDEX('CARNET DE SOUDURE'!$Z$7:$Z$1506,MATCH(84,'CARNET DE SOUDURE'!$AR$7:$AR$1506,0))&amp;IF(INDEX('CARNET DE SOUDURE'!$AE$7:$AE$1506,MATCH(84,'CARNET DE SOUDURE'!$AR$7:$AR$1506,0))&lt;&gt;""," / "&amp;INDEX('CARNET DE SOUDURE'!$AE$7:$AE$1506,MATCH(84,'CARNET DE SOUDURE'!$AR$7:$AR$1506,0)),""))</f>
        <v/>
      </c>
      <c r="K95" s="112" t="str">
        <f aca="false">IF($B95="","",INDEX('CARNET DE SOUDURE'!$AC$7:$AC$1506,MATCH(84,'CARNET DE SOUDURE'!$AR$7:$AR$1506,0))&amp;IF(INDEX('CARNET DE SOUDURE'!$AH$7:$AH$1506,MATCH(84,'CARNET DE SOUDURE'!$AR$7:$AR$1506,0))&lt;&gt;""," / "&amp;INDEX('CARNET DE SOUDURE'!$AH$7:$AH$1506,MATCH(84,'CARNET DE SOUDURE'!$AR$7:$AR$1506,0)),""))</f>
        <v/>
      </c>
      <c r="L95" s="114" t="str">
        <f aca="false">IF($B95="","",INDEX('CARNET DE SOUDURE'!$AL$7:$AL$1506,MATCH(84,'CARNET DE SOUDURE'!$AR$7:$AR$1506,0)))</f>
        <v/>
      </c>
      <c r="M95" s="114" t="str">
        <f aca="false">IF($B95="","",INDEX('CARNET DE SOUDURE'!$AM$7:$AM$1506,MATCH(84,'CARNET DE SOUDURE'!$AR$7:$AR$1506,0)))</f>
        <v/>
      </c>
      <c r="N95" s="115" t="str">
        <f aca="false">IF($B95="","",INDEX('CARNET DE SOUDURE'!$AN$7:$AN$1506,MATCH(84,'CARNET DE SOUDURE'!$AR$7:$AR$1506,0)))</f>
        <v/>
      </c>
    </row>
    <row r="96" customFormat="false" ht="15" hidden="false" customHeight="false" outlineLevel="0" collapsed="false">
      <c r="B96" s="107" t="str">
        <f aca="false">IF(85&gt;$I$4,"",85)</f>
        <v/>
      </c>
      <c r="C96" s="107" t="str">
        <f aca="false">IF($B96="","",INDEX('CARNET DE SOUDURE'!$B$7:$B$1506,MATCH(85,'CARNET DE SOUDURE'!$AR$7:$AR$1506,0)))</f>
        <v/>
      </c>
      <c r="D96" s="107" t="str">
        <f aca="false">IF($B96="","",INDEX('CARNET DE SOUDURE'!$E$7:$E$1506,MATCH(85,'CARNET DE SOUDURE'!$AR$7:$AR$1506,0)))</f>
        <v/>
      </c>
      <c r="E96" s="107" t="str">
        <f aca="false">IF($B96="","",INDEX('CARNET DE SOUDURE'!$O$7:$O$1506,MATCH(85,'CARNET DE SOUDURE'!$AR$7:$AR$1506,0))&amp;" / "&amp;INDEX('CARNET DE SOUDURE'!$P$7:$P$1506,MATCH(85,'CARNET DE SOUDURE'!$AR$7:$AR$1506,0))&amp;" / "&amp;INDEX('CARNET DE SOUDURE'!$Q$7:$Q$1506,MATCH(85,'CARNET DE SOUDURE'!$AR$7:$AR$1506,0)))</f>
        <v/>
      </c>
      <c r="F96" s="108" t="str">
        <f aca="false">IF($B96="","",INDEX('CARNET DE SOUDURE'!$V$7:$V$1506,MATCH(85,'CARNET DE SOUDURE'!$AR$7:$AR$1506,0)))</f>
        <v/>
      </c>
      <c r="G96" s="107" t="str">
        <f aca="false">IF($B96="","",INDEX('CARNET DE SOUDURE'!$W$7:$W$1506,MATCH(85,'CARNET DE SOUDURE'!$AR$7:$AR$1506,0))&amp;"")</f>
        <v/>
      </c>
      <c r="H96" s="109" t="str">
        <f aca="false">IF($B96="","",INDEX('CARNET DE SOUDURE'!$X$7:$X$1506,MATCH(85,'CARNET DE SOUDURE'!$AR$7:$AR$1506,0)))</f>
        <v/>
      </c>
      <c r="I96" s="107" t="str">
        <f aca="false">IF($B96="","",INDEX('CARNET DE SOUDURE'!$Y$7:$Y$1506,MATCH(85,'CARNET DE SOUDURE'!$AR$7:$AR$1506,0))&amp;IF(INDEX('CARNET DE SOUDURE'!$AD$7:$AD$1506,MATCH(85,'CARNET DE SOUDURE'!$AR$7:$AR$1506,0))&lt;&gt;""," / "&amp;INDEX('CARNET DE SOUDURE'!$AD$7:$AD$1506,MATCH(85,'CARNET DE SOUDURE'!$AR$7:$AR$1506,0)),""))</f>
        <v/>
      </c>
      <c r="J96" s="107" t="str">
        <f aca="false">IF($B96="","",INDEX('CARNET DE SOUDURE'!$Z$7:$Z$1506,MATCH(85,'CARNET DE SOUDURE'!$AR$7:$AR$1506,0))&amp;IF(INDEX('CARNET DE SOUDURE'!$AE$7:$AE$1506,MATCH(85,'CARNET DE SOUDURE'!$AR$7:$AR$1506,0))&lt;&gt;""," / "&amp;INDEX('CARNET DE SOUDURE'!$AE$7:$AE$1506,MATCH(85,'CARNET DE SOUDURE'!$AR$7:$AR$1506,0)),""))</f>
        <v/>
      </c>
      <c r="K96" s="107" t="str">
        <f aca="false">IF($B96="","",INDEX('CARNET DE SOUDURE'!$AC$7:$AC$1506,MATCH(85,'CARNET DE SOUDURE'!$AR$7:$AR$1506,0))&amp;IF(INDEX('CARNET DE SOUDURE'!$AH$7:$AH$1506,MATCH(85,'CARNET DE SOUDURE'!$AR$7:$AR$1506,0))&lt;&gt;""," / "&amp;INDEX('CARNET DE SOUDURE'!$AH$7:$AH$1506,MATCH(85,'CARNET DE SOUDURE'!$AR$7:$AR$1506,0)),""))</f>
        <v/>
      </c>
      <c r="L96" s="109" t="str">
        <f aca="false">IF($B96="","",INDEX('CARNET DE SOUDURE'!$AL$7:$AL$1506,MATCH(85,'CARNET DE SOUDURE'!$AR$7:$AR$1506,0)))</f>
        <v/>
      </c>
      <c r="M96" s="109" t="str">
        <f aca="false">IF($B96="","",INDEX('CARNET DE SOUDURE'!$AM$7:$AM$1506,MATCH(85,'CARNET DE SOUDURE'!$AR$7:$AR$1506,0)))</f>
        <v/>
      </c>
      <c r="N96" s="110" t="str">
        <f aca="false">IF($B96="","",INDEX('CARNET DE SOUDURE'!$AN$7:$AN$1506,MATCH(85,'CARNET DE SOUDURE'!$AR$7:$AR$1506,0)))</f>
        <v/>
      </c>
    </row>
    <row r="97" customFormat="false" ht="15" hidden="false" customHeight="false" outlineLevel="0" collapsed="false">
      <c r="B97" s="112" t="str">
        <f aca="false">IF(86&gt;$I$4,"",86)</f>
        <v/>
      </c>
      <c r="C97" s="112" t="str">
        <f aca="false">IF($B97="","",INDEX('CARNET DE SOUDURE'!$B$7:$B$1506,MATCH(86,'CARNET DE SOUDURE'!$AR$7:$AR$1506,0)))</f>
        <v/>
      </c>
      <c r="D97" s="112" t="str">
        <f aca="false">IF($B97="","",INDEX('CARNET DE SOUDURE'!$E$7:$E$1506,MATCH(86,'CARNET DE SOUDURE'!$AR$7:$AR$1506,0)))</f>
        <v/>
      </c>
      <c r="E97" s="112" t="str">
        <f aca="false">IF($B97="","",INDEX('CARNET DE SOUDURE'!$O$7:$O$1506,MATCH(86,'CARNET DE SOUDURE'!$AR$7:$AR$1506,0))&amp;" / "&amp;INDEX('CARNET DE SOUDURE'!$P$7:$P$1506,MATCH(86,'CARNET DE SOUDURE'!$AR$7:$AR$1506,0))&amp;" / "&amp;INDEX('CARNET DE SOUDURE'!$Q$7:$Q$1506,MATCH(86,'CARNET DE SOUDURE'!$AR$7:$AR$1506,0)))</f>
        <v/>
      </c>
      <c r="F97" s="113" t="str">
        <f aca="false">IF($B97="","",INDEX('CARNET DE SOUDURE'!$V$7:$V$1506,MATCH(86,'CARNET DE SOUDURE'!$AR$7:$AR$1506,0)))</f>
        <v/>
      </c>
      <c r="G97" s="112" t="str">
        <f aca="false">IF($B97="","",INDEX('CARNET DE SOUDURE'!$W$7:$W$1506,MATCH(86,'CARNET DE SOUDURE'!$AR$7:$AR$1506,0))&amp;"")</f>
        <v/>
      </c>
      <c r="H97" s="114" t="str">
        <f aca="false">IF($B97="","",INDEX('CARNET DE SOUDURE'!$X$7:$X$1506,MATCH(86,'CARNET DE SOUDURE'!$AR$7:$AR$1506,0)))</f>
        <v/>
      </c>
      <c r="I97" s="112" t="str">
        <f aca="false">IF($B97="","",INDEX('CARNET DE SOUDURE'!$Y$7:$Y$1506,MATCH(86,'CARNET DE SOUDURE'!$AR$7:$AR$1506,0))&amp;IF(INDEX('CARNET DE SOUDURE'!$AD$7:$AD$1506,MATCH(86,'CARNET DE SOUDURE'!$AR$7:$AR$1506,0))&lt;&gt;""," / "&amp;INDEX('CARNET DE SOUDURE'!$AD$7:$AD$1506,MATCH(86,'CARNET DE SOUDURE'!$AR$7:$AR$1506,0)),""))</f>
        <v/>
      </c>
      <c r="J97" s="112" t="str">
        <f aca="false">IF($B97="","",INDEX('CARNET DE SOUDURE'!$Z$7:$Z$1506,MATCH(86,'CARNET DE SOUDURE'!$AR$7:$AR$1506,0))&amp;IF(INDEX('CARNET DE SOUDURE'!$AE$7:$AE$1506,MATCH(86,'CARNET DE SOUDURE'!$AR$7:$AR$1506,0))&lt;&gt;""," / "&amp;INDEX('CARNET DE SOUDURE'!$AE$7:$AE$1506,MATCH(86,'CARNET DE SOUDURE'!$AR$7:$AR$1506,0)),""))</f>
        <v/>
      </c>
      <c r="K97" s="112" t="str">
        <f aca="false">IF($B97="","",INDEX('CARNET DE SOUDURE'!$AC$7:$AC$1506,MATCH(86,'CARNET DE SOUDURE'!$AR$7:$AR$1506,0))&amp;IF(INDEX('CARNET DE SOUDURE'!$AH$7:$AH$1506,MATCH(86,'CARNET DE SOUDURE'!$AR$7:$AR$1506,0))&lt;&gt;""," / "&amp;INDEX('CARNET DE SOUDURE'!$AH$7:$AH$1506,MATCH(86,'CARNET DE SOUDURE'!$AR$7:$AR$1506,0)),""))</f>
        <v/>
      </c>
      <c r="L97" s="114" t="str">
        <f aca="false">IF($B97="","",INDEX('CARNET DE SOUDURE'!$AL$7:$AL$1506,MATCH(86,'CARNET DE SOUDURE'!$AR$7:$AR$1506,0)))</f>
        <v/>
      </c>
      <c r="M97" s="114" t="str">
        <f aca="false">IF($B97="","",INDEX('CARNET DE SOUDURE'!$AM$7:$AM$1506,MATCH(86,'CARNET DE SOUDURE'!$AR$7:$AR$1506,0)))</f>
        <v/>
      </c>
      <c r="N97" s="115" t="str">
        <f aca="false">IF($B97="","",INDEX('CARNET DE SOUDURE'!$AN$7:$AN$1506,MATCH(86,'CARNET DE SOUDURE'!$AR$7:$AR$1506,0)))</f>
        <v/>
      </c>
    </row>
    <row r="98" customFormat="false" ht="15" hidden="false" customHeight="false" outlineLevel="0" collapsed="false">
      <c r="B98" s="107" t="str">
        <f aca="false">IF(87&gt;$I$4,"",87)</f>
        <v/>
      </c>
      <c r="C98" s="107" t="str">
        <f aca="false">IF($B98="","",INDEX('CARNET DE SOUDURE'!$B$7:$B$1506,MATCH(87,'CARNET DE SOUDURE'!$AR$7:$AR$1506,0)))</f>
        <v/>
      </c>
      <c r="D98" s="107" t="str">
        <f aca="false">IF($B98="","",INDEX('CARNET DE SOUDURE'!$E$7:$E$1506,MATCH(87,'CARNET DE SOUDURE'!$AR$7:$AR$1506,0)))</f>
        <v/>
      </c>
      <c r="E98" s="107" t="str">
        <f aca="false">IF($B98="","",INDEX('CARNET DE SOUDURE'!$O$7:$O$1506,MATCH(87,'CARNET DE SOUDURE'!$AR$7:$AR$1506,0))&amp;" / "&amp;INDEX('CARNET DE SOUDURE'!$P$7:$P$1506,MATCH(87,'CARNET DE SOUDURE'!$AR$7:$AR$1506,0))&amp;" / "&amp;INDEX('CARNET DE SOUDURE'!$Q$7:$Q$1506,MATCH(87,'CARNET DE SOUDURE'!$AR$7:$AR$1506,0)))</f>
        <v/>
      </c>
      <c r="F98" s="108" t="str">
        <f aca="false">IF($B98="","",INDEX('CARNET DE SOUDURE'!$V$7:$V$1506,MATCH(87,'CARNET DE SOUDURE'!$AR$7:$AR$1506,0)))</f>
        <v/>
      </c>
      <c r="G98" s="107" t="str">
        <f aca="false">IF($B98="","",INDEX('CARNET DE SOUDURE'!$W$7:$W$1506,MATCH(87,'CARNET DE SOUDURE'!$AR$7:$AR$1506,0))&amp;"")</f>
        <v/>
      </c>
      <c r="H98" s="109" t="str">
        <f aca="false">IF($B98="","",INDEX('CARNET DE SOUDURE'!$X$7:$X$1506,MATCH(87,'CARNET DE SOUDURE'!$AR$7:$AR$1506,0)))</f>
        <v/>
      </c>
      <c r="I98" s="107" t="str">
        <f aca="false">IF($B98="","",INDEX('CARNET DE SOUDURE'!$Y$7:$Y$1506,MATCH(87,'CARNET DE SOUDURE'!$AR$7:$AR$1506,0))&amp;IF(INDEX('CARNET DE SOUDURE'!$AD$7:$AD$1506,MATCH(87,'CARNET DE SOUDURE'!$AR$7:$AR$1506,0))&lt;&gt;""," / "&amp;INDEX('CARNET DE SOUDURE'!$AD$7:$AD$1506,MATCH(87,'CARNET DE SOUDURE'!$AR$7:$AR$1506,0)),""))</f>
        <v/>
      </c>
      <c r="J98" s="107" t="str">
        <f aca="false">IF($B98="","",INDEX('CARNET DE SOUDURE'!$Z$7:$Z$1506,MATCH(87,'CARNET DE SOUDURE'!$AR$7:$AR$1506,0))&amp;IF(INDEX('CARNET DE SOUDURE'!$AE$7:$AE$1506,MATCH(87,'CARNET DE SOUDURE'!$AR$7:$AR$1506,0))&lt;&gt;""," / "&amp;INDEX('CARNET DE SOUDURE'!$AE$7:$AE$1506,MATCH(87,'CARNET DE SOUDURE'!$AR$7:$AR$1506,0)),""))</f>
        <v/>
      </c>
      <c r="K98" s="107" t="str">
        <f aca="false">IF($B98="","",INDEX('CARNET DE SOUDURE'!$AC$7:$AC$1506,MATCH(87,'CARNET DE SOUDURE'!$AR$7:$AR$1506,0))&amp;IF(INDEX('CARNET DE SOUDURE'!$AH$7:$AH$1506,MATCH(87,'CARNET DE SOUDURE'!$AR$7:$AR$1506,0))&lt;&gt;""," / "&amp;INDEX('CARNET DE SOUDURE'!$AH$7:$AH$1506,MATCH(87,'CARNET DE SOUDURE'!$AR$7:$AR$1506,0)),""))</f>
        <v/>
      </c>
      <c r="L98" s="109" t="str">
        <f aca="false">IF($B98="","",INDEX('CARNET DE SOUDURE'!$AL$7:$AL$1506,MATCH(87,'CARNET DE SOUDURE'!$AR$7:$AR$1506,0)))</f>
        <v/>
      </c>
      <c r="M98" s="109" t="str">
        <f aca="false">IF($B98="","",INDEX('CARNET DE SOUDURE'!$AM$7:$AM$1506,MATCH(87,'CARNET DE SOUDURE'!$AR$7:$AR$1506,0)))</f>
        <v/>
      </c>
      <c r="N98" s="110" t="str">
        <f aca="false">IF($B98="","",INDEX('CARNET DE SOUDURE'!$AN$7:$AN$1506,MATCH(87,'CARNET DE SOUDURE'!$AR$7:$AR$1506,0)))</f>
        <v/>
      </c>
    </row>
    <row r="99" customFormat="false" ht="15" hidden="false" customHeight="false" outlineLevel="0" collapsed="false">
      <c r="B99" s="112" t="str">
        <f aca="false">IF(88&gt;$I$4,"",88)</f>
        <v/>
      </c>
      <c r="C99" s="112" t="str">
        <f aca="false">IF($B99="","",INDEX('CARNET DE SOUDURE'!$B$7:$B$1506,MATCH(88,'CARNET DE SOUDURE'!$AR$7:$AR$1506,0)))</f>
        <v/>
      </c>
      <c r="D99" s="112" t="str">
        <f aca="false">IF($B99="","",INDEX('CARNET DE SOUDURE'!$E$7:$E$1506,MATCH(88,'CARNET DE SOUDURE'!$AR$7:$AR$1506,0)))</f>
        <v/>
      </c>
      <c r="E99" s="112" t="str">
        <f aca="false">IF($B99="","",INDEX('CARNET DE SOUDURE'!$O$7:$O$1506,MATCH(88,'CARNET DE SOUDURE'!$AR$7:$AR$1506,0))&amp;" / "&amp;INDEX('CARNET DE SOUDURE'!$P$7:$P$1506,MATCH(88,'CARNET DE SOUDURE'!$AR$7:$AR$1506,0))&amp;" / "&amp;INDEX('CARNET DE SOUDURE'!$Q$7:$Q$1506,MATCH(88,'CARNET DE SOUDURE'!$AR$7:$AR$1506,0)))</f>
        <v/>
      </c>
      <c r="F99" s="113" t="str">
        <f aca="false">IF($B99="","",INDEX('CARNET DE SOUDURE'!$V$7:$V$1506,MATCH(88,'CARNET DE SOUDURE'!$AR$7:$AR$1506,0)))</f>
        <v/>
      </c>
      <c r="G99" s="112" t="str">
        <f aca="false">IF($B99="","",INDEX('CARNET DE SOUDURE'!$W$7:$W$1506,MATCH(88,'CARNET DE SOUDURE'!$AR$7:$AR$1506,0))&amp;"")</f>
        <v/>
      </c>
      <c r="H99" s="114" t="str">
        <f aca="false">IF($B99="","",INDEX('CARNET DE SOUDURE'!$X$7:$X$1506,MATCH(88,'CARNET DE SOUDURE'!$AR$7:$AR$1506,0)))</f>
        <v/>
      </c>
      <c r="I99" s="112" t="str">
        <f aca="false">IF($B99="","",INDEX('CARNET DE SOUDURE'!$Y$7:$Y$1506,MATCH(88,'CARNET DE SOUDURE'!$AR$7:$AR$1506,0))&amp;IF(INDEX('CARNET DE SOUDURE'!$AD$7:$AD$1506,MATCH(88,'CARNET DE SOUDURE'!$AR$7:$AR$1506,0))&lt;&gt;""," / "&amp;INDEX('CARNET DE SOUDURE'!$AD$7:$AD$1506,MATCH(88,'CARNET DE SOUDURE'!$AR$7:$AR$1506,0)),""))</f>
        <v/>
      </c>
      <c r="J99" s="112" t="str">
        <f aca="false">IF($B99="","",INDEX('CARNET DE SOUDURE'!$Z$7:$Z$1506,MATCH(88,'CARNET DE SOUDURE'!$AR$7:$AR$1506,0))&amp;IF(INDEX('CARNET DE SOUDURE'!$AE$7:$AE$1506,MATCH(88,'CARNET DE SOUDURE'!$AR$7:$AR$1506,0))&lt;&gt;""," / "&amp;INDEX('CARNET DE SOUDURE'!$AE$7:$AE$1506,MATCH(88,'CARNET DE SOUDURE'!$AR$7:$AR$1506,0)),""))</f>
        <v/>
      </c>
      <c r="K99" s="112" t="str">
        <f aca="false">IF($B99="","",INDEX('CARNET DE SOUDURE'!$AC$7:$AC$1506,MATCH(88,'CARNET DE SOUDURE'!$AR$7:$AR$1506,0))&amp;IF(INDEX('CARNET DE SOUDURE'!$AH$7:$AH$1506,MATCH(88,'CARNET DE SOUDURE'!$AR$7:$AR$1506,0))&lt;&gt;""," / "&amp;INDEX('CARNET DE SOUDURE'!$AH$7:$AH$1506,MATCH(88,'CARNET DE SOUDURE'!$AR$7:$AR$1506,0)),""))</f>
        <v/>
      </c>
      <c r="L99" s="114" t="str">
        <f aca="false">IF($B99="","",INDEX('CARNET DE SOUDURE'!$AL$7:$AL$1506,MATCH(88,'CARNET DE SOUDURE'!$AR$7:$AR$1506,0)))</f>
        <v/>
      </c>
      <c r="M99" s="114" t="str">
        <f aca="false">IF($B99="","",INDEX('CARNET DE SOUDURE'!$AM$7:$AM$1506,MATCH(88,'CARNET DE SOUDURE'!$AR$7:$AR$1506,0)))</f>
        <v/>
      </c>
      <c r="N99" s="115" t="str">
        <f aca="false">IF($B99="","",INDEX('CARNET DE SOUDURE'!$AN$7:$AN$1506,MATCH(88,'CARNET DE SOUDURE'!$AR$7:$AR$1506,0)))</f>
        <v/>
      </c>
    </row>
    <row r="100" customFormat="false" ht="15" hidden="false" customHeight="false" outlineLevel="0" collapsed="false">
      <c r="B100" s="107" t="str">
        <f aca="false">IF(89&gt;$I$4,"",89)</f>
        <v/>
      </c>
      <c r="C100" s="107" t="str">
        <f aca="false">IF($B100="","",INDEX('CARNET DE SOUDURE'!$B$7:$B$1506,MATCH(89,'CARNET DE SOUDURE'!$AR$7:$AR$1506,0)))</f>
        <v/>
      </c>
      <c r="D100" s="107" t="str">
        <f aca="false">IF($B100="","",INDEX('CARNET DE SOUDURE'!$E$7:$E$1506,MATCH(89,'CARNET DE SOUDURE'!$AR$7:$AR$1506,0)))</f>
        <v/>
      </c>
      <c r="E100" s="107" t="str">
        <f aca="false">IF($B100="","",INDEX('CARNET DE SOUDURE'!$O$7:$O$1506,MATCH(89,'CARNET DE SOUDURE'!$AR$7:$AR$1506,0))&amp;" / "&amp;INDEX('CARNET DE SOUDURE'!$P$7:$P$1506,MATCH(89,'CARNET DE SOUDURE'!$AR$7:$AR$1506,0))&amp;" / "&amp;INDEX('CARNET DE SOUDURE'!$Q$7:$Q$1506,MATCH(89,'CARNET DE SOUDURE'!$AR$7:$AR$1506,0)))</f>
        <v/>
      </c>
      <c r="F100" s="108" t="str">
        <f aca="false">IF($B100="","",INDEX('CARNET DE SOUDURE'!$V$7:$V$1506,MATCH(89,'CARNET DE SOUDURE'!$AR$7:$AR$1506,0)))</f>
        <v/>
      </c>
      <c r="G100" s="107" t="str">
        <f aca="false">IF($B100="","",INDEX('CARNET DE SOUDURE'!$W$7:$W$1506,MATCH(89,'CARNET DE SOUDURE'!$AR$7:$AR$1506,0))&amp;"")</f>
        <v/>
      </c>
      <c r="H100" s="109" t="str">
        <f aca="false">IF($B100="","",INDEX('CARNET DE SOUDURE'!$X$7:$X$1506,MATCH(89,'CARNET DE SOUDURE'!$AR$7:$AR$1506,0)))</f>
        <v/>
      </c>
      <c r="I100" s="107" t="str">
        <f aca="false">IF($B100="","",INDEX('CARNET DE SOUDURE'!$Y$7:$Y$1506,MATCH(89,'CARNET DE SOUDURE'!$AR$7:$AR$1506,0))&amp;IF(INDEX('CARNET DE SOUDURE'!$AD$7:$AD$1506,MATCH(89,'CARNET DE SOUDURE'!$AR$7:$AR$1506,0))&lt;&gt;""," / "&amp;INDEX('CARNET DE SOUDURE'!$AD$7:$AD$1506,MATCH(89,'CARNET DE SOUDURE'!$AR$7:$AR$1506,0)),""))</f>
        <v/>
      </c>
      <c r="J100" s="107" t="str">
        <f aca="false">IF($B100="","",INDEX('CARNET DE SOUDURE'!$Z$7:$Z$1506,MATCH(89,'CARNET DE SOUDURE'!$AR$7:$AR$1506,0))&amp;IF(INDEX('CARNET DE SOUDURE'!$AE$7:$AE$1506,MATCH(89,'CARNET DE SOUDURE'!$AR$7:$AR$1506,0))&lt;&gt;""," / "&amp;INDEX('CARNET DE SOUDURE'!$AE$7:$AE$1506,MATCH(89,'CARNET DE SOUDURE'!$AR$7:$AR$1506,0)),""))</f>
        <v/>
      </c>
      <c r="K100" s="107" t="str">
        <f aca="false">IF($B100="","",INDEX('CARNET DE SOUDURE'!$AC$7:$AC$1506,MATCH(89,'CARNET DE SOUDURE'!$AR$7:$AR$1506,0))&amp;IF(INDEX('CARNET DE SOUDURE'!$AH$7:$AH$1506,MATCH(89,'CARNET DE SOUDURE'!$AR$7:$AR$1506,0))&lt;&gt;""," / "&amp;INDEX('CARNET DE SOUDURE'!$AH$7:$AH$1506,MATCH(89,'CARNET DE SOUDURE'!$AR$7:$AR$1506,0)),""))</f>
        <v/>
      </c>
      <c r="L100" s="109" t="str">
        <f aca="false">IF($B100="","",INDEX('CARNET DE SOUDURE'!$AL$7:$AL$1506,MATCH(89,'CARNET DE SOUDURE'!$AR$7:$AR$1506,0)))</f>
        <v/>
      </c>
      <c r="M100" s="109" t="str">
        <f aca="false">IF($B100="","",INDEX('CARNET DE SOUDURE'!$AM$7:$AM$1506,MATCH(89,'CARNET DE SOUDURE'!$AR$7:$AR$1506,0)))</f>
        <v/>
      </c>
      <c r="N100" s="110" t="str">
        <f aca="false">IF($B100="","",INDEX('CARNET DE SOUDURE'!$AN$7:$AN$1506,MATCH(89,'CARNET DE SOUDURE'!$AR$7:$AR$1506,0)))</f>
        <v/>
      </c>
    </row>
    <row r="101" customFormat="false" ht="15" hidden="false" customHeight="false" outlineLevel="0" collapsed="false">
      <c r="B101" s="112" t="str">
        <f aca="false">IF(90&gt;$I$4,"",90)</f>
        <v/>
      </c>
      <c r="C101" s="112" t="str">
        <f aca="false">IF($B101="","",INDEX('CARNET DE SOUDURE'!$B$7:$B$1506,MATCH(90,'CARNET DE SOUDURE'!$AR$7:$AR$1506,0)))</f>
        <v/>
      </c>
      <c r="D101" s="112" t="str">
        <f aca="false">IF($B101="","",INDEX('CARNET DE SOUDURE'!$E$7:$E$1506,MATCH(90,'CARNET DE SOUDURE'!$AR$7:$AR$1506,0)))</f>
        <v/>
      </c>
      <c r="E101" s="112" t="str">
        <f aca="false">IF($B101="","",INDEX('CARNET DE SOUDURE'!$O$7:$O$1506,MATCH(90,'CARNET DE SOUDURE'!$AR$7:$AR$1506,0))&amp;" / "&amp;INDEX('CARNET DE SOUDURE'!$P$7:$P$1506,MATCH(90,'CARNET DE SOUDURE'!$AR$7:$AR$1506,0))&amp;" / "&amp;INDEX('CARNET DE SOUDURE'!$Q$7:$Q$1506,MATCH(90,'CARNET DE SOUDURE'!$AR$7:$AR$1506,0)))</f>
        <v/>
      </c>
      <c r="F101" s="113" t="str">
        <f aca="false">IF($B101="","",INDEX('CARNET DE SOUDURE'!$V$7:$V$1506,MATCH(90,'CARNET DE SOUDURE'!$AR$7:$AR$1506,0)))</f>
        <v/>
      </c>
      <c r="G101" s="112" t="str">
        <f aca="false">IF($B101="","",INDEX('CARNET DE SOUDURE'!$W$7:$W$1506,MATCH(90,'CARNET DE SOUDURE'!$AR$7:$AR$1506,0))&amp;"")</f>
        <v/>
      </c>
      <c r="H101" s="114" t="str">
        <f aca="false">IF($B101="","",INDEX('CARNET DE SOUDURE'!$X$7:$X$1506,MATCH(90,'CARNET DE SOUDURE'!$AR$7:$AR$1506,0)))</f>
        <v/>
      </c>
      <c r="I101" s="112" t="str">
        <f aca="false">IF($B101="","",INDEX('CARNET DE SOUDURE'!$Y$7:$Y$1506,MATCH(90,'CARNET DE SOUDURE'!$AR$7:$AR$1506,0))&amp;IF(INDEX('CARNET DE SOUDURE'!$AD$7:$AD$1506,MATCH(90,'CARNET DE SOUDURE'!$AR$7:$AR$1506,0))&lt;&gt;""," / "&amp;INDEX('CARNET DE SOUDURE'!$AD$7:$AD$1506,MATCH(90,'CARNET DE SOUDURE'!$AR$7:$AR$1506,0)),""))</f>
        <v/>
      </c>
      <c r="J101" s="112" t="str">
        <f aca="false">IF($B101="","",INDEX('CARNET DE SOUDURE'!$Z$7:$Z$1506,MATCH(90,'CARNET DE SOUDURE'!$AR$7:$AR$1506,0))&amp;IF(INDEX('CARNET DE SOUDURE'!$AE$7:$AE$1506,MATCH(90,'CARNET DE SOUDURE'!$AR$7:$AR$1506,0))&lt;&gt;""," / "&amp;INDEX('CARNET DE SOUDURE'!$AE$7:$AE$1506,MATCH(90,'CARNET DE SOUDURE'!$AR$7:$AR$1506,0)),""))</f>
        <v/>
      </c>
      <c r="K101" s="112" t="str">
        <f aca="false">IF($B101="","",INDEX('CARNET DE SOUDURE'!$AC$7:$AC$1506,MATCH(90,'CARNET DE SOUDURE'!$AR$7:$AR$1506,0))&amp;IF(INDEX('CARNET DE SOUDURE'!$AH$7:$AH$1506,MATCH(90,'CARNET DE SOUDURE'!$AR$7:$AR$1506,0))&lt;&gt;""," / "&amp;INDEX('CARNET DE SOUDURE'!$AH$7:$AH$1506,MATCH(90,'CARNET DE SOUDURE'!$AR$7:$AR$1506,0)),""))</f>
        <v/>
      </c>
      <c r="L101" s="114" t="str">
        <f aca="false">IF($B101="","",INDEX('CARNET DE SOUDURE'!$AL$7:$AL$1506,MATCH(90,'CARNET DE SOUDURE'!$AR$7:$AR$1506,0)))</f>
        <v/>
      </c>
      <c r="M101" s="114" t="str">
        <f aca="false">IF($B101="","",INDEX('CARNET DE SOUDURE'!$AM$7:$AM$1506,MATCH(90,'CARNET DE SOUDURE'!$AR$7:$AR$1506,0)))</f>
        <v/>
      </c>
      <c r="N101" s="115" t="str">
        <f aca="false">IF($B101="","",INDEX('CARNET DE SOUDURE'!$AN$7:$AN$1506,MATCH(90,'CARNET DE SOUDURE'!$AR$7:$AR$1506,0)))</f>
        <v/>
      </c>
    </row>
    <row r="102" customFormat="false" ht="15" hidden="false" customHeight="false" outlineLevel="0" collapsed="false">
      <c r="B102" s="107" t="str">
        <f aca="false">IF(91&gt;$I$4,"",91)</f>
        <v/>
      </c>
      <c r="C102" s="107" t="str">
        <f aca="false">IF($B102="","",INDEX('CARNET DE SOUDURE'!$B$7:$B$1506,MATCH(91,'CARNET DE SOUDURE'!$AR$7:$AR$1506,0)))</f>
        <v/>
      </c>
      <c r="D102" s="107" t="str">
        <f aca="false">IF($B102="","",INDEX('CARNET DE SOUDURE'!$E$7:$E$1506,MATCH(91,'CARNET DE SOUDURE'!$AR$7:$AR$1506,0)))</f>
        <v/>
      </c>
      <c r="E102" s="107" t="str">
        <f aca="false">IF($B102="","",INDEX('CARNET DE SOUDURE'!$O$7:$O$1506,MATCH(91,'CARNET DE SOUDURE'!$AR$7:$AR$1506,0))&amp;" / "&amp;INDEX('CARNET DE SOUDURE'!$P$7:$P$1506,MATCH(91,'CARNET DE SOUDURE'!$AR$7:$AR$1506,0))&amp;" / "&amp;INDEX('CARNET DE SOUDURE'!$Q$7:$Q$1506,MATCH(91,'CARNET DE SOUDURE'!$AR$7:$AR$1506,0)))</f>
        <v/>
      </c>
      <c r="F102" s="108" t="str">
        <f aca="false">IF($B102="","",INDEX('CARNET DE SOUDURE'!$V$7:$V$1506,MATCH(91,'CARNET DE SOUDURE'!$AR$7:$AR$1506,0)))</f>
        <v/>
      </c>
      <c r="G102" s="107" t="str">
        <f aca="false">IF($B102="","",INDEX('CARNET DE SOUDURE'!$W$7:$W$1506,MATCH(91,'CARNET DE SOUDURE'!$AR$7:$AR$1506,0))&amp;"")</f>
        <v/>
      </c>
      <c r="H102" s="109" t="str">
        <f aca="false">IF($B102="","",INDEX('CARNET DE SOUDURE'!$X$7:$X$1506,MATCH(91,'CARNET DE SOUDURE'!$AR$7:$AR$1506,0)))</f>
        <v/>
      </c>
      <c r="I102" s="107" t="str">
        <f aca="false">IF($B102="","",INDEX('CARNET DE SOUDURE'!$Y$7:$Y$1506,MATCH(91,'CARNET DE SOUDURE'!$AR$7:$AR$1506,0))&amp;IF(INDEX('CARNET DE SOUDURE'!$AD$7:$AD$1506,MATCH(91,'CARNET DE SOUDURE'!$AR$7:$AR$1506,0))&lt;&gt;""," / "&amp;INDEX('CARNET DE SOUDURE'!$AD$7:$AD$1506,MATCH(91,'CARNET DE SOUDURE'!$AR$7:$AR$1506,0)),""))</f>
        <v/>
      </c>
      <c r="J102" s="107" t="str">
        <f aca="false">IF($B102="","",INDEX('CARNET DE SOUDURE'!$Z$7:$Z$1506,MATCH(91,'CARNET DE SOUDURE'!$AR$7:$AR$1506,0))&amp;IF(INDEX('CARNET DE SOUDURE'!$AE$7:$AE$1506,MATCH(91,'CARNET DE SOUDURE'!$AR$7:$AR$1506,0))&lt;&gt;""," / "&amp;INDEX('CARNET DE SOUDURE'!$AE$7:$AE$1506,MATCH(91,'CARNET DE SOUDURE'!$AR$7:$AR$1506,0)),""))</f>
        <v/>
      </c>
      <c r="K102" s="107" t="str">
        <f aca="false">IF($B102="","",INDEX('CARNET DE SOUDURE'!$AC$7:$AC$1506,MATCH(91,'CARNET DE SOUDURE'!$AR$7:$AR$1506,0))&amp;IF(INDEX('CARNET DE SOUDURE'!$AH$7:$AH$1506,MATCH(91,'CARNET DE SOUDURE'!$AR$7:$AR$1506,0))&lt;&gt;""," / "&amp;INDEX('CARNET DE SOUDURE'!$AH$7:$AH$1506,MATCH(91,'CARNET DE SOUDURE'!$AR$7:$AR$1506,0)),""))</f>
        <v/>
      </c>
      <c r="L102" s="109" t="str">
        <f aca="false">IF($B102="","",INDEX('CARNET DE SOUDURE'!$AL$7:$AL$1506,MATCH(91,'CARNET DE SOUDURE'!$AR$7:$AR$1506,0)))</f>
        <v/>
      </c>
      <c r="M102" s="109" t="str">
        <f aca="false">IF($B102="","",INDEX('CARNET DE SOUDURE'!$AM$7:$AM$1506,MATCH(91,'CARNET DE SOUDURE'!$AR$7:$AR$1506,0)))</f>
        <v/>
      </c>
      <c r="N102" s="110" t="str">
        <f aca="false">IF($B102="","",INDEX('CARNET DE SOUDURE'!$AN$7:$AN$1506,MATCH(91,'CARNET DE SOUDURE'!$AR$7:$AR$1506,0)))</f>
        <v/>
      </c>
    </row>
    <row r="103" customFormat="false" ht="15" hidden="false" customHeight="false" outlineLevel="0" collapsed="false">
      <c r="B103" s="112" t="str">
        <f aca="false">IF(92&gt;$I$4,"",92)</f>
        <v/>
      </c>
      <c r="C103" s="112" t="str">
        <f aca="false">IF($B103="","",INDEX('CARNET DE SOUDURE'!$B$7:$B$1506,MATCH(92,'CARNET DE SOUDURE'!$AR$7:$AR$1506,0)))</f>
        <v/>
      </c>
      <c r="D103" s="112" t="str">
        <f aca="false">IF($B103="","",INDEX('CARNET DE SOUDURE'!$E$7:$E$1506,MATCH(92,'CARNET DE SOUDURE'!$AR$7:$AR$1506,0)))</f>
        <v/>
      </c>
      <c r="E103" s="112" t="str">
        <f aca="false">IF($B103="","",INDEX('CARNET DE SOUDURE'!$O$7:$O$1506,MATCH(92,'CARNET DE SOUDURE'!$AR$7:$AR$1506,0))&amp;" / "&amp;INDEX('CARNET DE SOUDURE'!$P$7:$P$1506,MATCH(92,'CARNET DE SOUDURE'!$AR$7:$AR$1506,0))&amp;" / "&amp;INDEX('CARNET DE SOUDURE'!$Q$7:$Q$1506,MATCH(92,'CARNET DE SOUDURE'!$AR$7:$AR$1506,0)))</f>
        <v/>
      </c>
      <c r="F103" s="113" t="str">
        <f aca="false">IF($B103="","",INDEX('CARNET DE SOUDURE'!$V$7:$V$1506,MATCH(92,'CARNET DE SOUDURE'!$AR$7:$AR$1506,0)))</f>
        <v/>
      </c>
      <c r="G103" s="112" t="str">
        <f aca="false">IF($B103="","",INDEX('CARNET DE SOUDURE'!$W$7:$W$1506,MATCH(92,'CARNET DE SOUDURE'!$AR$7:$AR$1506,0))&amp;"")</f>
        <v/>
      </c>
      <c r="H103" s="114" t="str">
        <f aca="false">IF($B103="","",INDEX('CARNET DE SOUDURE'!$X$7:$X$1506,MATCH(92,'CARNET DE SOUDURE'!$AR$7:$AR$1506,0)))</f>
        <v/>
      </c>
      <c r="I103" s="112" t="str">
        <f aca="false">IF($B103="","",INDEX('CARNET DE SOUDURE'!$Y$7:$Y$1506,MATCH(92,'CARNET DE SOUDURE'!$AR$7:$AR$1506,0))&amp;IF(INDEX('CARNET DE SOUDURE'!$AD$7:$AD$1506,MATCH(92,'CARNET DE SOUDURE'!$AR$7:$AR$1506,0))&lt;&gt;""," / "&amp;INDEX('CARNET DE SOUDURE'!$AD$7:$AD$1506,MATCH(92,'CARNET DE SOUDURE'!$AR$7:$AR$1506,0)),""))</f>
        <v/>
      </c>
      <c r="J103" s="112" t="str">
        <f aca="false">IF($B103="","",INDEX('CARNET DE SOUDURE'!$Z$7:$Z$1506,MATCH(92,'CARNET DE SOUDURE'!$AR$7:$AR$1506,0))&amp;IF(INDEX('CARNET DE SOUDURE'!$AE$7:$AE$1506,MATCH(92,'CARNET DE SOUDURE'!$AR$7:$AR$1506,0))&lt;&gt;""," / "&amp;INDEX('CARNET DE SOUDURE'!$AE$7:$AE$1506,MATCH(92,'CARNET DE SOUDURE'!$AR$7:$AR$1506,0)),""))</f>
        <v/>
      </c>
      <c r="K103" s="112" t="str">
        <f aca="false">IF($B103="","",INDEX('CARNET DE SOUDURE'!$AC$7:$AC$1506,MATCH(92,'CARNET DE SOUDURE'!$AR$7:$AR$1506,0))&amp;IF(INDEX('CARNET DE SOUDURE'!$AH$7:$AH$1506,MATCH(92,'CARNET DE SOUDURE'!$AR$7:$AR$1506,0))&lt;&gt;""," / "&amp;INDEX('CARNET DE SOUDURE'!$AH$7:$AH$1506,MATCH(92,'CARNET DE SOUDURE'!$AR$7:$AR$1506,0)),""))</f>
        <v/>
      </c>
      <c r="L103" s="114" t="str">
        <f aca="false">IF($B103="","",INDEX('CARNET DE SOUDURE'!$AL$7:$AL$1506,MATCH(92,'CARNET DE SOUDURE'!$AR$7:$AR$1506,0)))</f>
        <v/>
      </c>
      <c r="M103" s="114" t="str">
        <f aca="false">IF($B103="","",INDEX('CARNET DE SOUDURE'!$AM$7:$AM$1506,MATCH(92,'CARNET DE SOUDURE'!$AR$7:$AR$1506,0)))</f>
        <v/>
      </c>
      <c r="N103" s="115" t="str">
        <f aca="false">IF($B103="","",INDEX('CARNET DE SOUDURE'!$AN$7:$AN$1506,MATCH(92,'CARNET DE SOUDURE'!$AR$7:$AR$1506,0)))</f>
        <v/>
      </c>
    </row>
    <row r="104" customFormat="false" ht="15" hidden="false" customHeight="false" outlineLevel="0" collapsed="false">
      <c r="B104" s="107" t="str">
        <f aca="false">IF(93&gt;$I$4,"",93)</f>
        <v/>
      </c>
      <c r="C104" s="107" t="str">
        <f aca="false">IF($B104="","",INDEX('CARNET DE SOUDURE'!$B$7:$B$1506,MATCH(93,'CARNET DE SOUDURE'!$AR$7:$AR$1506,0)))</f>
        <v/>
      </c>
      <c r="D104" s="107" t="str">
        <f aca="false">IF($B104="","",INDEX('CARNET DE SOUDURE'!$E$7:$E$1506,MATCH(93,'CARNET DE SOUDURE'!$AR$7:$AR$1506,0)))</f>
        <v/>
      </c>
      <c r="E104" s="107" t="str">
        <f aca="false">IF($B104="","",INDEX('CARNET DE SOUDURE'!$O$7:$O$1506,MATCH(93,'CARNET DE SOUDURE'!$AR$7:$AR$1506,0))&amp;" / "&amp;INDEX('CARNET DE SOUDURE'!$P$7:$P$1506,MATCH(93,'CARNET DE SOUDURE'!$AR$7:$AR$1506,0))&amp;" / "&amp;INDEX('CARNET DE SOUDURE'!$Q$7:$Q$1506,MATCH(93,'CARNET DE SOUDURE'!$AR$7:$AR$1506,0)))</f>
        <v/>
      </c>
      <c r="F104" s="108" t="str">
        <f aca="false">IF($B104="","",INDEX('CARNET DE SOUDURE'!$V$7:$V$1506,MATCH(93,'CARNET DE SOUDURE'!$AR$7:$AR$1506,0)))</f>
        <v/>
      </c>
      <c r="G104" s="107" t="str">
        <f aca="false">IF($B104="","",INDEX('CARNET DE SOUDURE'!$W$7:$W$1506,MATCH(93,'CARNET DE SOUDURE'!$AR$7:$AR$1506,0))&amp;"")</f>
        <v/>
      </c>
      <c r="H104" s="109" t="str">
        <f aca="false">IF($B104="","",INDEX('CARNET DE SOUDURE'!$X$7:$X$1506,MATCH(93,'CARNET DE SOUDURE'!$AR$7:$AR$1506,0)))</f>
        <v/>
      </c>
      <c r="I104" s="107" t="str">
        <f aca="false">IF($B104="","",INDEX('CARNET DE SOUDURE'!$Y$7:$Y$1506,MATCH(93,'CARNET DE SOUDURE'!$AR$7:$AR$1506,0))&amp;IF(INDEX('CARNET DE SOUDURE'!$AD$7:$AD$1506,MATCH(93,'CARNET DE SOUDURE'!$AR$7:$AR$1506,0))&lt;&gt;""," / "&amp;INDEX('CARNET DE SOUDURE'!$AD$7:$AD$1506,MATCH(93,'CARNET DE SOUDURE'!$AR$7:$AR$1506,0)),""))</f>
        <v/>
      </c>
      <c r="J104" s="107" t="str">
        <f aca="false">IF($B104="","",INDEX('CARNET DE SOUDURE'!$Z$7:$Z$1506,MATCH(93,'CARNET DE SOUDURE'!$AR$7:$AR$1506,0))&amp;IF(INDEX('CARNET DE SOUDURE'!$AE$7:$AE$1506,MATCH(93,'CARNET DE SOUDURE'!$AR$7:$AR$1506,0))&lt;&gt;""," / "&amp;INDEX('CARNET DE SOUDURE'!$AE$7:$AE$1506,MATCH(93,'CARNET DE SOUDURE'!$AR$7:$AR$1506,0)),""))</f>
        <v/>
      </c>
      <c r="K104" s="107" t="str">
        <f aca="false">IF($B104="","",INDEX('CARNET DE SOUDURE'!$AC$7:$AC$1506,MATCH(93,'CARNET DE SOUDURE'!$AR$7:$AR$1506,0))&amp;IF(INDEX('CARNET DE SOUDURE'!$AH$7:$AH$1506,MATCH(93,'CARNET DE SOUDURE'!$AR$7:$AR$1506,0))&lt;&gt;""," / "&amp;INDEX('CARNET DE SOUDURE'!$AH$7:$AH$1506,MATCH(93,'CARNET DE SOUDURE'!$AR$7:$AR$1506,0)),""))</f>
        <v/>
      </c>
      <c r="L104" s="109" t="str">
        <f aca="false">IF($B104="","",INDEX('CARNET DE SOUDURE'!$AL$7:$AL$1506,MATCH(93,'CARNET DE SOUDURE'!$AR$7:$AR$1506,0)))</f>
        <v/>
      </c>
      <c r="M104" s="109" t="str">
        <f aca="false">IF($B104="","",INDEX('CARNET DE SOUDURE'!$AM$7:$AM$1506,MATCH(93,'CARNET DE SOUDURE'!$AR$7:$AR$1506,0)))</f>
        <v/>
      </c>
      <c r="N104" s="110" t="str">
        <f aca="false">IF($B104="","",INDEX('CARNET DE SOUDURE'!$AN$7:$AN$1506,MATCH(93,'CARNET DE SOUDURE'!$AR$7:$AR$1506,0)))</f>
        <v/>
      </c>
    </row>
    <row r="105" customFormat="false" ht="15" hidden="false" customHeight="false" outlineLevel="0" collapsed="false">
      <c r="B105" s="112" t="str">
        <f aca="false">IF(94&gt;$I$4,"",94)</f>
        <v/>
      </c>
      <c r="C105" s="112" t="str">
        <f aca="false">IF($B105="","",INDEX('CARNET DE SOUDURE'!$B$7:$B$1506,MATCH(94,'CARNET DE SOUDURE'!$AR$7:$AR$1506,0)))</f>
        <v/>
      </c>
      <c r="D105" s="112" t="str">
        <f aca="false">IF($B105="","",INDEX('CARNET DE SOUDURE'!$E$7:$E$1506,MATCH(94,'CARNET DE SOUDURE'!$AR$7:$AR$1506,0)))</f>
        <v/>
      </c>
      <c r="E105" s="112" t="str">
        <f aca="false">IF($B105="","",INDEX('CARNET DE SOUDURE'!$O$7:$O$1506,MATCH(94,'CARNET DE SOUDURE'!$AR$7:$AR$1506,0))&amp;" / "&amp;INDEX('CARNET DE SOUDURE'!$P$7:$P$1506,MATCH(94,'CARNET DE SOUDURE'!$AR$7:$AR$1506,0))&amp;" / "&amp;INDEX('CARNET DE SOUDURE'!$Q$7:$Q$1506,MATCH(94,'CARNET DE SOUDURE'!$AR$7:$AR$1506,0)))</f>
        <v/>
      </c>
      <c r="F105" s="113" t="str">
        <f aca="false">IF($B105="","",INDEX('CARNET DE SOUDURE'!$V$7:$V$1506,MATCH(94,'CARNET DE SOUDURE'!$AR$7:$AR$1506,0)))</f>
        <v/>
      </c>
      <c r="G105" s="112" t="str">
        <f aca="false">IF($B105="","",INDEX('CARNET DE SOUDURE'!$W$7:$W$1506,MATCH(94,'CARNET DE SOUDURE'!$AR$7:$AR$1506,0))&amp;"")</f>
        <v/>
      </c>
      <c r="H105" s="114" t="str">
        <f aca="false">IF($B105="","",INDEX('CARNET DE SOUDURE'!$X$7:$X$1506,MATCH(94,'CARNET DE SOUDURE'!$AR$7:$AR$1506,0)))</f>
        <v/>
      </c>
      <c r="I105" s="112" t="str">
        <f aca="false">IF($B105="","",INDEX('CARNET DE SOUDURE'!$Y$7:$Y$1506,MATCH(94,'CARNET DE SOUDURE'!$AR$7:$AR$1506,0))&amp;IF(INDEX('CARNET DE SOUDURE'!$AD$7:$AD$1506,MATCH(94,'CARNET DE SOUDURE'!$AR$7:$AR$1506,0))&lt;&gt;""," / "&amp;INDEX('CARNET DE SOUDURE'!$AD$7:$AD$1506,MATCH(94,'CARNET DE SOUDURE'!$AR$7:$AR$1506,0)),""))</f>
        <v/>
      </c>
      <c r="J105" s="112" t="str">
        <f aca="false">IF($B105="","",INDEX('CARNET DE SOUDURE'!$Z$7:$Z$1506,MATCH(94,'CARNET DE SOUDURE'!$AR$7:$AR$1506,0))&amp;IF(INDEX('CARNET DE SOUDURE'!$AE$7:$AE$1506,MATCH(94,'CARNET DE SOUDURE'!$AR$7:$AR$1506,0))&lt;&gt;""," / "&amp;INDEX('CARNET DE SOUDURE'!$AE$7:$AE$1506,MATCH(94,'CARNET DE SOUDURE'!$AR$7:$AR$1506,0)),""))</f>
        <v/>
      </c>
      <c r="K105" s="112" t="str">
        <f aca="false">IF($B105="","",INDEX('CARNET DE SOUDURE'!$AC$7:$AC$1506,MATCH(94,'CARNET DE SOUDURE'!$AR$7:$AR$1506,0))&amp;IF(INDEX('CARNET DE SOUDURE'!$AH$7:$AH$1506,MATCH(94,'CARNET DE SOUDURE'!$AR$7:$AR$1506,0))&lt;&gt;""," / "&amp;INDEX('CARNET DE SOUDURE'!$AH$7:$AH$1506,MATCH(94,'CARNET DE SOUDURE'!$AR$7:$AR$1506,0)),""))</f>
        <v/>
      </c>
      <c r="L105" s="114" t="str">
        <f aca="false">IF($B105="","",INDEX('CARNET DE SOUDURE'!$AL$7:$AL$1506,MATCH(94,'CARNET DE SOUDURE'!$AR$7:$AR$1506,0)))</f>
        <v/>
      </c>
      <c r="M105" s="114" t="str">
        <f aca="false">IF($B105="","",INDEX('CARNET DE SOUDURE'!$AM$7:$AM$1506,MATCH(94,'CARNET DE SOUDURE'!$AR$7:$AR$1506,0)))</f>
        <v/>
      </c>
      <c r="N105" s="115" t="str">
        <f aca="false">IF($B105="","",INDEX('CARNET DE SOUDURE'!$AN$7:$AN$1506,MATCH(94,'CARNET DE SOUDURE'!$AR$7:$AR$1506,0)))</f>
        <v/>
      </c>
    </row>
    <row r="106" customFormat="false" ht="15" hidden="false" customHeight="false" outlineLevel="0" collapsed="false">
      <c r="B106" s="107" t="str">
        <f aca="false">IF(95&gt;$I$4,"",95)</f>
        <v/>
      </c>
      <c r="C106" s="107" t="str">
        <f aca="false">IF($B106="","",INDEX('CARNET DE SOUDURE'!$B$7:$B$1506,MATCH(95,'CARNET DE SOUDURE'!$AR$7:$AR$1506,0)))</f>
        <v/>
      </c>
      <c r="D106" s="107" t="str">
        <f aca="false">IF($B106="","",INDEX('CARNET DE SOUDURE'!$E$7:$E$1506,MATCH(95,'CARNET DE SOUDURE'!$AR$7:$AR$1506,0)))</f>
        <v/>
      </c>
      <c r="E106" s="107" t="str">
        <f aca="false">IF($B106="","",INDEX('CARNET DE SOUDURE'!$O$7:$O$1506,MATCH(95,'CARNET DE SOUDURE'!$AR$7:$AR$1506,0))&amp;" / "&amp;INDEX('CARNET DE SOUDURE'!$P$7:$P$1506,MATCH(95,'CARNET DE SOUDURE'!$AR$7:$AR$1506,0))&amp;" / "&amp;INDEX('CARNET DE SOUDURE'!$Q$7:$Q$1506,MATCH(95,'CARNET DE SOUDURE'!$AR$7:$AR$1506,0)))</f>
        <v/>
      </c>
      <c r="F106" s="108" t="str">
        <f aca="false">IF($B106="","",INDEX('CARNET DE SOUDURE'!$V$7:$V$1506,MATCH(95,'CARNET DE SOUDURE'!$AR$7:$AR$1506,0)))</f>
        <v/>
      </c>
      <c r="G106" s="107" t="str">
        <f aca="false">IF($B106="","",INDEX('CARNET DE SOUDURE'!$W$7:$W$1506,MATCH(95,'CARNET DE SOUDURE'!$AR$7:$AR$1506,0))&amp;"")</f>
        <v/>
      </c>
      <c r="H106" s="109" t="str">
        <f aca="false">IF($B106="","",INDEX('CARNET DE SOUDURE'!$X$7:$X$1506,MATCH(95,'CARNET DE SOUDURE'!$AR$7:$AR$1506,0)))</f>
        <v/>
      </c>
      <c r="I106" s="107" t="str">
        <f aca="false">IF($B106="","",INDEX('CARNET DE SOUDURE'!$Y$7:$Y$1506,MATCH(95,'CARNET DE SOUDURE'!$AR$7:$AR$1506,0))&amp;IF(INDEX('CARNET DE SOUDURE'!$AD$7:$AD$1506,MATCH(95,'CARNET DE SOUDURE'!$AR$7:$AR$1506,0))&lt;&gt;""," / "&amp;INDEX('CARNET DE SOUDURE'!$AD$7:$AD$1506,MATCH(95,'CARNET DE SOUDURE'!$AR$7:$AR$1506,0)),""))</f>
        <v/>
      </c>
      <c r="J106" s="107" t="str">
        <f aca="false">IF($B106="","",INDEX('CARNET DE SOUDURE'!$Z$7:$Z$1506,MATCH(95,'CARNET DE SOUDURE'!$AR$7:$AR$1506,0))&amp;IF(INDEX('CARNET DE SOUDURE'!$AE$7:$AE$1506,MATCH(95,'CARNET DE SOUDURE'!$AR$7:$AR$1506,0))&lt;&gt;""," / "&amp;INDEX('CARNET DE SOUDURE'!$AE$7:$AE$1506,MATCH(95,'CARNET DE SOUDURE'!$AR$7:$AR$1506,0)),""))</f>
        <v/>
      </c>
      <c r="K106" s="107" t="str">
        <f aca="false">IF($B106="","",INDEX('CARNET DE SOUDURE'!$AC$7:$AC$1506,MATCH(95,'CARNET DE SOUDURE'!$AR$7:$AR$1506,0))&amp;IF(INDEX('CARNET DE SOUDURE'!$AH$7:$AH$1506,MATCH(95,'CARNET DE SOUDURE'!$AR$7:$AR$1506,0))&lt;&gt;""," / "&amp;INDEX('CARNET DE SOUDURE'!$AH$7:$AH$1506,MATCH(95,'CARNET DE SOUDURE'!$AR$7:$AR$1506,0)),""))</f>
        <v/>
      </c>
      <c r="L106" s="109" t="str">
        <f aca="false">IF($B106="","",INDEX('CARNET DE SOUDURE'!$AL$7:$AL$1506,MATCH(95,'CARNET DE SOUDURE'!$AR$7:$AR$1506,0)))</f>
        <v/>
      </c>
      <c r="M106" s="109" t="str">
        <f aca="false">IF($B106="","",INDEX('CARNET DE SOUDURE'!$AM$7:$AM$1506,MATCH(95,'CARNET DE SOUDURE'!$AR$7:$AR$1506,0)))</f>
        <v/>
      </c>
      <c r="N106" s="110" t="str">
        <f aca="false">IF($B106="","",INDEX('CARNET DE SOUDURE'!$AN$7:$AN$1506,MATCH(95,'CARNET DE SOUDURE'!$AR$7:$AR$1506,0)))</f>
        <v/>
      </c>
    </row>
    <row r="107" customFormat="false" ht="15" hidden="false" customHeight="false" outlineLevel="0" collapsed="false">
      <c r="B107" s="112" t="str">
        <f aca="false">IF(96&gt;$I$4,"",96)</f>
        <v/>
      </c>
      <c r="C107" s="112" t="str">
        <f aca="false">IF($B107="","",INDEX('CARNET DE SOUDURE'!$B$7:$B$1506,MATCH(96,'CARNET DE SOUDURE'!$AR$7:$AR$1506,0)))</f>
        <v/>
      </c>
      <c r="D107" s="112" t="str">
        <f aca="false">IF($B107="","",INDEX('CARNET DE SOUDURE'!$E$7:$E$1506,MATCH(96,'CARNET DE SOUDURE'!$AR$7:$AR$1506,0)))</f>
        <v/>
      </c>
      <c r="E107" s="112" t="str">
        <f aca="false">IF($B107="","",INDEX('CARNET DE SOUDURE'!$O$7:$O$1506,MATCH(96,'CARNET DE SOUDURE'!$AR$7:$AR$1506,0))&amp;" / "&amp;INDEX('CARNET DE SOUDURE'!$P$7:$P$1506,MATCH(96,'CARNET DE SOUDURE'!$AR$7:$AR$1506,0))&amp;" / "&amp;INDEX('CARNET DE SOUDURE'!$Q$7:$Q$1506,MATCH(96,'CARNET DE SOUDURE'!$AR$7:$AR$1506,0)))</f>
        <v/>
      </c>
      <c r="F107" s="113" t="str">
        <f aca="false">IF($B107="","",INDEX('CARNET DE SOUDURE'!$V$7:$V$1506,MATCH(96,'CARNET DE SOUDURE'!$AR$7:$AR$1506,0)))</f>
        <v/>
      </c>
      <c r="G107" s="112" t="str">
        <f aca="false">IF($B107="","",INDEX('CARNET DE SOUDURE'!$W$7:$W$1506,MATCH(96,'CARNET DE SOUDURE'!$AR$7:$AR$1506,0))&amp;"")</f>
        <v/>
      </c>
      <c r="H107" s="114" t="str">
        <f aca="false">IF($B107="","",INDEX('CARNET DE SOUDURE'!$X$7:$X$1506,MATCH(96,'CARNET DE SOUDURE'!$AR$7:$AR$1506,0)))</f>
        <v/>
      </c>
      <c r="I107" s="112" t="str">
        <f aca="false">IF($B107="","",INDEX('CARNET DE SOUDURE'!$Y$7:$Y$1506,MATCH(96,'CARNET DE SOUDURE'!$AR$7:$AR$1506,0))&amp;IF(INDEX('CARNET DE SOUDURE'!$AD$7:$AD$1506,MATCH(96,'CARNET DE SOUDURE'!$AR$7:$AR$1506,0))&lt;&gt;""," / "&amp;INDEX('CARNET DE SOUDURE'!$AD$7:$AD$1506,MATCH(96,'CARNET DE SOUDURE'!$AR$7:$AR$1506,0)),""))</f>
        <v/>
      </c>
      <c r="J107" s="112" t="str">
        <f aca="false">IF($B107="","",INDEX('CARNET DE SOUDURE'!$Z$7:$Z$1506,MATCH(96,'CARNET DE SOUDURE'!$AR$7:$AR$1506,0))&amp;IF(INDEX('CARNET DE SOUDURE'!$AE$7:$AE$1506,MATCH(96,'CARNET DE SOUDURE'!$AR$7:$AR$1506,0))&lt;&gt;""," / "&amp;INDEX('CARNET DE SOUDURE'!$AE$7:$AE$1506,MATCH(96,'CARNET DE SOUDURE'!$AR$7:$AR$1506,0)),""))</f>
        <v/>
      </c>
      <c r="K107" s="112" t="str">
        <f aca="false">IF($B107="","",INDEX('CARNET DE SOUDURE'!$AC$7:$AC$1506,MATCH(96,'CARNET DE SOUDURE'!$AR$7:$AR$1506,0))&amp;IF(INDEX('CARNET DE SOUDURE'!$AH$7:$AH$1506,MATCH(96,'CARNET DE SOUDURE'!$AR$7:$AR$1506,0))&lt;&gt;""," / "&amp;INDEX('CARNET DE SOUDURE'!$AH$7:$AH$1506,MATCH(96,'CARNET DE SOUDURE'!$AR$7:$AR$1506,0)),""))</f>
        <v/>
      </c>
      <c r="L107" s="114" t="str">
        <f aca="false">IF($B107="","",INDEX('CARNET DE SOUDURE'!$AL$7:$AL$1506,MATCH(96,'CARNET DE SOUDURE'!$AR$7:$AR$1506,0)))</f>
        <v/>
      </c>
      <c r="M107" s="114" t="str">
        <f aca="false">IF($B107="","",INDEX('CARNET DE SOUDURE'!$AM$7:$AM$1506,MATCH(96,'CARNET DE SOUDURE'!$AR$7:$AR$1506,0)))</f>
        <v/>
      </c>
      <c r="N107" s="115" t="str">
        <f aca="false">IF($B107="","",INDEX('CARNET DE SOUDURE'!$AN$7:$AN$1506,MATCH(96,'CARNET DE SOUDURE'!$AR$7:$AR$1506,0)))</f>
        <v/>
      </c>
    </row>
    <row r="108" customFormat="false" ht="15" hidden="false" customHeight="false" outlineLevel="0" collapsed="false">
      <c r="B108" s="107" t="str">
        <f aca="false">IF(97&gt;$I$4,"",97)</f>
        <v/>
      </c>
      <c r="C108" s="107" t="str">
        <f aca="false">IF($B108="","",INDEX('CARNET DE SOUDURE'!$B$7:$B$1506,MATCH(97,'CARNET DE SOUDURE'!$AR$7:$AR$1506,0)))</f>
        <v/>
      </c>
      <c r="D108" s="107" t="str">
        <f aca="false">IF($B108="","",INDEX('CARNET DE SOUDURE'!$E$7:$E$1506,MATCH(97,'CARNET DE SOUDURE'!$AR$7:$AR$1506,0)))</f>
        <v/>
      </c>
      <c r="E108" s="107" t="str">
        <f aca="false">IF($B108="","",INDEX('CARNET DE SOUDURE'!$O$7:$O$1506,MATCH(97,'CARNET DE SOUDURE'!$AR$7:$AR$1506,0))&amp;" / "&amp;INDEX('CARNET DE SOUDURE'!$P$7:$P$1506,MATCH(97,'CARNET DE SOUDURE'!$AR$7:$AR$1506,0))&amp;" / "&amp;INDEX('CARNET DE SOUDURE'!$Q$7:$Q$1506,MATCH(97,'CARNET DE SOUDURE'!$AR$7:$AR$1506,0)))</f>
        <v/>
      </c>
      <c r="F108" s="108" t="str">
        <f aca="false">IF($B108="","",INDEX('CARNET DE SOUDURE'!$V$7:$V$1506,MATCH(97,'CARNET DE SOUDURE'!$AR$7:$AR$1506,0)))</f>
        <v/>
      </c>
      <c r="G108" s="107" t="str">
        <f aca="false">IF($B108="","",INDEX('CARNET DE SOUDURE'!$W$7:$W$1506,MATCH(97,'CARNET DE SOUDURE'!$AR$7:$AR$1506,0))&amp;"")</f>
        <v/>
      </c>
      <c r="H108" s="109" t="str">
        <f aca="false">IF($B108="","",INDEX('CARNET DE SOUDURE'!$X$7:$X$1506,MATCH(97,'CARNET DE SOUDURE'!$AR$7:$AR$1506,0)))</f>
        <v/>
      </c>
      <c r="I108" s="107" t="str">
        <f aca="false">IF($B108="","",INDEX('CARNET DE SOUDURE'!$Y$7:$Y$1506,MATCH(97,'CARNET DE SOUDURE'!$AR$7:$AR$1506,0))&amp;IF(INDEX('CARNET DE SOUDURE'!$AD$7:$AD$1506,MATCH(97,'CARNET DE SOUDURE'!$AR$7:$AR$1506,0))&lt;&gt;""," / "&amp;INDEX('CARNET DE SOUDURE'!$AD$7:$AD$1506,MATCH(97,'CARNET DE SOUDURE'!$AR$7:$AR$1506,0)),""))</f>
        <v/>
      </c>
      <c r="J108" s="107" t="str">
        <f aca="false">IF($B108="","",INDEX('CARNET DE SOUDURE'!$Z$7:$Z$1506,MATCH(97,'CARNET DE SOUDURE'!$AR$7:$AR$1506,0))&amp;IF(INDEX('CARNET DE SOUDURE'!$AE$7:$AE$1506,MATCH(97,'CARNET DE SOUDURE'!$AR$7:$AR$1506,0))&lt;&gt;""," / "&amp;INDEX('CARNET DE SOUDURE'!$AE$7:$AE$1506,MATCH(97,'CARNET DE SOUDURE'!$AR$7:$AR$1506,0)),""))</f>
        <v/>
      </c>
      <c r="K108" s="107" t="str">
        <f aca="false">IF($B108="","",INDEX('CARNET DE SOUDURE'!$AC$7:$AC$1506,MATCH(97,'CARNET DE SOUDURE'!$AR$7:$AR$1506,0))&amp;IF(INDEX('CARNET DE SOUDURE'!$AH$7:$AH$1506,MATCH(97,'CARNET DE SOUDURE'!$AR$7:$AR$1506,0))&lt;&gt;""," / "&amp;INDEX('CARNET DE SOUDURE'!$AH$7:$AH$1506,MATCH(97,'CARNET DE SOUDURE'!$AR$7:$AR$1506,0)),""))</f>
        <v/>
      </c>
      <c r="L108" s="109" t="str">
        <f aca="false">IF($B108="","",INDEX('CARNET DE SOUDURE'!$AL$7:$AL$1506,MATCH(97,'CARNET DE SOUDURE'!$AR$7:$AR$1506,0)))</f>
        <v/>
      </c>
      <c r="M108" s="109" t="str">
        <f aca="false">IF($B108="","",INDEX('CARNET DE SOUDURE'!$AM$7:$AM$1506,MATCH(97,'CARNET DE SOUDURE'!$AR$7:$AR$1506,0)))</f>
        <v/>
      </c>
      <c r="N108" s="110" t="str">
        <f aca="false">IF($B108="","",INDEX('CARNET DE SOUDURE'!$AN$7:$AN$1506,MATCH(97,'CARNET DE SOUDURE'!$AR$7:$AR$1506,0)))</f>
        <v/>
      </c>
    </row>
    <row r="109" customFormat="false" ht="15" hidden="false" customHeight="false" outlineLevel="0" collapsed="false">
      <c r="B109" s="112" t="str">
        <f aca="false">IF(98&gt;$I$4,"",98)</f>
        <v/>
      </c>
      <c r="C109" s="112" t="str">
        <f aca="false">IF($B109="","",INDEX('CARNET DE SOUDURE'!$B$7:$B$1506,MATCH(98,'CARNET DE SOUDURE'!$AR$7:$AR$1506,0)))</f>
        <v/>
      </c>
      <c r="D109" s="112" t="str">
        <f aca="false">IF($B109="","",INDEX('CARNET DE SOUDURE'!$E$7:$E$1506,MATCH(98,'CARNET DE SOUDURE'!$AR$7:$AR$1506,0)))</f>
        <v/>
      </c>
      <c r="E109" s="112" t="str">
        <f aca="false">IF($B109="","",INDEX('CARNET DE SOUDURE'!$O$7:$O$1506,MATCH(98,'CARNET DE SOUDURE'!$AR$7:$AR$1506,0))&amp;" / "&amp;INDEX('CARNET DE SOUDURE'!$P$7:$P$1506,MATCH(98,'CARNET DE SOUDURE'!$AR$7:$AR$1506,0))&amp;" / "&amp;INDEX('CARNET DE SOUDURE'!$Q$7:$Q$1506,MATCH(98,'CARNET DE SOUDURE'!$AR$7:$AR$1506,0)))</f>
        <v/>
      </c>
      <c r="F109" s="113" t="str">
        <f aca="false">IF($B109="","",INDEX('CARNET DE SOUDURE'!$V$7:$V$1506,MATCH(98,'CARNET DE SOUDURE'!$AR$7:$AR$1506,0)))</f>
        <v/>
      </c>
      <c r="G109" s="112" t="str">
        <f aca="false">IF($B109="","",INDEX('CARNET DE SOUDURE'!$W$7:$W$1506,MATCH(98,'CARNET DE SOUDURE'!$AR$7:$AR$1506,0))&amp;"")</f>
        <v/>
      </c>
      <c r="H109" s="114" t="str">
        <f aca="false">IF($B109="","",INDEX('CARNET DE SOUDURE'!$X$7:$X$1506,MATCH(98,'CARNET DE SOUDURE'!$AR$7:$AR$1506,0)))</f>
        <v/>
      </c>
      <c r="I109" s="112" t="str">
        <f aca="false">IF($B109="","",INDEX('CARNET DE SOUDURE'!$Y$7:$Y$1506,MATCH(98,'CARNET DE SOUDURE'!$AR$7:$AR$1506,0))&amp;IF(INDEX('CARNET DE SOUDURE'!$AD$7:$AD$1506,MATCH(98,'CARNET DE SOUDURE'!$AR$7:$AR$1506,0))&lt;&gt;""," / "&amp;INDEX('CARNET DE SOUDURE'!$AD$7:$AD$1506,MATCH(98,'CARNET DE SOUDURE'!$AR$7:$AR$1506,0)),""))</f>
        <v/>
      </c>
      <c r="J109" s="112" t="str">
        <f aca="false">IF($B109="","",INDEX('CARNET DE SOUDURE'!$Z$7:$Z$1506,MATCH(98,'CARNET DE SOUDURE'!$AR$7:$AR$1506,0))&amp;IF(INDEX('CARNET DE SOUDURE'!$AE$7:$AE$1506,MATCH(98,'CARNET DE SOUDURE'!$AR$7:$AR$1506,0))&lt;&gt;""," / "&amp;INDEX('CARNET DE SOUDURE'!$AE$7:$AE$1506,MATCH(98,'CARNET DE SOUDURE'!$AR$7:$AR$1506,0)),""))</f>
        <v/>
      </c>
      <c r="K109" s="112" t="str">
        <f aca="false">IF($B109="","",INDEX('CARNET DE SOUDURE'!$AC$7:$AC$1506,MATCH(98,'CARNET DE SOUDURE'!$AR$7:$AR$1506,0))&amp;IF(INDEX('CARNET DE SOUDURE'!$AH$7:$AH$1506,MATCH(98,'CARNET DE SOUDURE'!$AR$7:$AR$1506,0))&lt;&gt;""," / "&amp;INDEX('CARNET DE SOUDURE'!$AH$7:$AH$1506,MATCH(98,'CARNET DE SOUDURE'!$AR$7:$AR$1506,0)),""))</f>
        <v/>
      </c>
      <c r="L109" s="114" t="str">
        <f aca="false">IF($B109="","",INDEX('CARNET DE SOUDURE'!$AL$7:$AL$1506,MATCH(98,'CARNET DE SOUDURE'!$AR$7:$AR$1506,0)))</f>
        <v/>
      </c>
      <c r="M109" s="114" t="str">
        <f aca="false">IF($B109="","",INDEX('CARNET DE SOUDURE'!$AM$7:$AM$1506,MATCH(98,'CARNET DE SOUDURE'!$AR$7:$AR$1506,0)))</f>
        <v/>
      </c>
      <c r="N109" s="115" t="str">
        <f aca="false">IF($B109="","",INDEX('CARNET DE SOUDURE'!$AN$7:$AN$1506,MATCH(98,'CARNET DE SOUDURE'!$AR$7:$AR$1506,0)))</f>
        <v/>
      </c>
    </row>
    <row r="110" customFormat="false" ht="15" hidden="false" customHeight="false" outlineLevel="0" collapsed="false">
      <c r="B110" s="107" t="str">
        <f aca="false">IF(99&gt;$I$4,"",99)</f>
        <v/>
      </c>
      <c r="C110" s="107" t="str">
        <f aca="false">IF($B110="","",INDEX('CARNET DE SOUDURE'!$B$7:$B$1506,MATCH(99,'CARNET DE SOUDURE'!$AR$7:$AR$1506,0)))</f>
        <v/>
      </c>
      <c r="D110" s="107" t="str">
        <f aca="false">IF($B110="","",INDEX('CARNET DE SOUDURE'!$E$7:$E$1506,MATCH(99,'CARNET DE SOUDURE'!$AR$7:$AR$1506,0)))</f>
        <v/>
      </c>
      <c r="E110" s="107" t="str">
        <f aca="false">IF($B110="","",INDEX('CARNET DE SOUDURE'!$O$7:$O$1506,MATCH(99,'CARNET DE SOUDURE'!$AR$7:$AR$1506,0))&amp;" / "&amp;INDEX('CARNET DE SOUDURE'!$P$7:$P$1506,MATCH(99,'CARNET DE SOUDURE'!$AR$7:$AR$1506,0))&amp;" / "&amp;INDEX('CARNET DE SOUDURE'!$Q$7:$Q$1506,MATCH(99,'CARNET DE SOUDURE'!$AR$7:$AR$1506,0)))</f>
        <v/>
      </c>
      <c r="F110" s="108" t="str">
        <f aca="false">IF($B110="","",INDEX('CARNET DE SOUDURE'!$V$7:$V$1506,MATCH(99,'CARNET DE SOUDURE'!$AR$7:$AR$1506,0)))</f>
        <v/>
      </c>
      <c r="G110" s="107" t="str">
        <f aca="false">IF($B110="","",INDEX('CARNET DE SOUDURE'!$W$7:$W$1506,MATCH(99,'CARNET DE SOUDURE'!$AR$7:$AR$1506,0))&amp;"")</f>
        <v/>
      </c>
      <c r="H110" s="109" t="str">
        <f aca="false">IF($B110="","",INDEX('CARNET DE SOUDURE'!$X$7:$X$1506,MATCH(99,'CARNET DE SOUDURE'!$AR$7:$AR$1506,0)))</f>
        <v/>
      </c>
      <c r="I110" s="107" t="str">
        <f aca="false">IF($B110="","",INDEX('CARNET DE SOUDURE'!$Y$7:$Y$1506,MATCH(99,'CARNET DE SOUDURE'!$AR$7:$AR$1506,0))&amp;IF(INDEX('CARNET DE SOUDURE'!$AD$7:$AD$1506,MATCH(99,'CARNET DE SOUDURE'!$AR$7:$AR$1506,0))&lt;&gt;""," / "&amp;INDEX('CARNET DE SOUDURE'!$AD$7:$AD$1506,MATCH(99,'CARNET DE SOUDURE'!$AR$7:$AR$1506,0)),""))</f>
        <v/>
      </c>
      <c r="J110" s="107" t="str">
        <f aca="false">IF($B110="","",INDEX('CARNET DE SOUDURE'!$Z$7:$Z$1506,MATCH(99,'CARNET DE SOUDURE'!$AR$7:$AR$1506,0))&amp;IF(INDEX('CARNET DE SOUDURE'!$AE$7:$AE$1506,MATCH(99,'CARNET DE SOUDURE'!$AR$7:$AR$1506,0))&lt;&gt;""," / "&amp;INDEX('CARNET DE SOUDURE'!$AE$7:$AE$1506,MATCH(99,'CARNET DE SOUDURE'!$AR$7:$AR$1506,0)),""))</f>
        <v/>
      </c>
      <c r="K110" s="107" t="str">
        <f aca="false">IF($B110="","",INDEX('CARNET DE SOUDURE'!$AC$7:$AC$1506,MATCH(99,'CARNET DE SOUDURE'!$AR$7:$AR$1506,0))&amp;IF(INDEX('CARNET DE SOUDURE'!$AH$7:$AH$1506,MATCH(99,'CARNET DE SOUDURE'!$AR$7:$AR$1506,0))&lt;&gt;""," / "&amp;INDEX('CARNET DE SOUDURE'!$AH$7:$AH$1506,MATCH(99,'CARNET DE SOUDURE'!$AR$7:$AR$1506,0)),""))</f>
        <v/>
      </c>
      <c r="L110" s="109" t="str">
        <f aca="false">IF($B110="","",INDEX('CARNET DE SOUDURE'!$AL$7:$AL$1506,MATCH(99,'CARNET DE SOUDURE'!$AR$7:$AR$1506,0)))</f>
        <v/>
      </c>
      <c r="M110" s="109" t="str">
        <f aca="false">IF($B110="","",INDEX('CARNET DE SOUDURE'!$AM$7:$AM$1506,MATCH(99,'CARNET DE SOUDURE'!$AR$7:$AR$1506,0)))</f>
        <v/>
      </c>
      <c r="N110" s="110" t="str">
        <f aca="false">IF($B110="","",INDEX('CARNET DE SOUDURE'!$AN$7:$AN$1506,MATCH(99,'CARNET DE SOUDURE'!$AR$7:$AR$1506,0)))</f>
        <v/>
      </c>
    </row>
    <row r="111" customFormat="false" ht="15" hidden="false" customHeight="false" outlineLevel="0" collapsed="false">
      <c r="B111" s="112" t="str">
        <f aca="false">IF(100&gt;$I$4,"",100)</f>
        <v/>
      </c>
      <c r="C111" s="112" t="str">
        <f aca="false">IF($B111="","",INDEX('CARNET DE SOUDURE'!$B$7:$B$1506,MATCH(100,'CARNET DE SOUDURE'!$AR$7:$AR$1506,0)))</f>
        <v/>
      </c>
      <c r="D111" s="112" t="str">
        <f aca="false">IF($B111="","",INDEX('CARNET DE SOUDURE'!$E$7:$E$1506,MATCH(100,'CARNET DE SOUDURE'!$AR$7:$AR$1506,0)))</f>
        <v/>
      </c>
      <c r="E111" s="112" t="str">
        <f aca="false">IF($B111="","",INDEX('CARNET DE SOUDURE'!$O$7:$O$1506,MATCH(100,'CARNET DE SOUDURE'!$AR$7:$AR$1506,0))&amp;" / "&amp;INDEX('CARNET DE SOUDURE'!$P$7:$P$1506,MATCH(100,'CARNET DE SOUDURE'!$AR$7:$AR$1506,0))&amp;" / "&amp;INDEX('CARNET DE SOUDURE'!$Q$7:$Q$1506,MATCH(100,'CARNET DE SOUDURE'!$AR$7:$AR$1506,0)))</f>
        <v/>
      </c>
      <c r="F111" s="113" t="str">
        <f aca="false">IF($B111="","",INDEX('CARNET DE SOUDURE'!$V$7:$V$1506,MATCH(100,'CARNET DE SOUDURE'!$AR$7:$AR$1506,0)))</f>
        <v/>
      </c>
      <c r="G111" s="112" t="str">
        <f aca="false">IF($B111="","",INDEX('CARNET DE SOUDURE'!$W$7:$W$1506,MATCH(100,'CARNET DE SOUDURE'!$AR$7:$AR$1506,0))&amp;"")</f>
        <v/>
      </c>
      <c r="H111" s="114" t="str">
        <f aca="false">IF($B111="","",INDEX('CARNET DE SOUDURE'!$X$7:$X$1506,MATCH(100,'CARNET DE SOUDURE'!$AR$7:$AR$1506,0)))</f>
        <v/>
      </c>
      <c r="I111" s="112" t="str">
        <f aca="false">IF($B111="","",INDEX('CARNET DE SOUDURE'!$Y$7:$Y$1506,MATCH(100,'CARNET DE SOUDURE'!$AR$7:$AR$1506,0))&amp;IF(INDEX('CARNET DE SOUDURE'!$AD$7:$AD$1506,MATCH(100,'CARNET DE SOUDURE'!$AR$7:$AR$1506,0))&lt;&gt;""," / "&amp;INDEX('CARNET DE SOUDURE'!$AD$7:$AD$1506,MATCH(100,'CARNET DE SOUDURE'!$AR$7:$AR$1506,0)),""))</f>
        <v/>
      </c>
      <c r="J111" s="112" t="str">
        <f aca="false">IF($B111="","",INDEX('CARNET DE SOUDURE'!$Z$7:$Z$1506,MATCH(100,'CARNET DE SOUDURE'!$AR$7:$AR$1506,0))&amp;IF(INDEX('CARNET DE SOUDURE'!$AE$7:$AE$1506,MATCH(100,'CARNET DE SOUDURE'!$AR$7:$AR$1506,0))&lt;&gt;""," / "&amp;INDEX('CARNET DE SOUDURE'!$AE$7:$AE$1506,MATCH(100,'CARNET DE SOUDURE'!$AR$7:$AR$1506,0)),""))</f>
        <v/>
      </c>
      <c r="K111" s="112" t="str">
        <f aca="false">IF($B111="","",INDEX('CARNET DE SOUDURE'!$AC$7:$AC$1506,MATCH(100,'CARNET DE SOUDURE'!$AR$7:$AR$1506,0))&amp;IF(INDEX('CARNET DE SOUDURE'!$AH$7:$AH$1506,MATCH(100,'CARNET DE SOUDURE'!$AR$7:$AR$1506,0))&lt;&gt;""," / "&amp;INDEX('CARNET DE SOUDURE'!$AH$7:$AH$1506,MATCH(100,'CARNET DE SOUDURE'!$AR$7:$AR$1506,0)),""))</f>
        <v/>
      </c>
      <c r="L111" s="114" t="str">
        <f aca="false">IF($B111="","",INDEX('CARNET DE SOUDURE'!$AL$7:$AL$1506,MATCH(100,'CARNET DE SOUDURE'!$AR$7:$AR$1506,0)))</f>
        <v/>
      </c>
      <c r="M111" s="114" t="str">
        <f aca="false">IF($B111="","",INDEX('CARNET DE SOUDURE'!$AM$7:$AM$1506,MATCH(100,'CARNET DE SOUDURE'!$AR$7:$AR$1506,0)))</f>
        <v/>
      </c>
      <c r="N111" s="115" t="str">
        <f aca="false">IF($B111="","",INDEX('CARNET DE SOUDURE'!$AN$7:$AN$1506,MATCH(100,'CARNET DE SOUDURE'!$AR$7:$AR$1506,0)))</f>
        <v/>
      </c>
    </row>
    <row r="112" customFormat="false" ht="15" hidden="false" customHeight="false" outlineLevel="0" collapsed="false">
      <c r="B112" s="107" t="str">
        <f aca="false">IF(101&gt;$I$4,"",101)</f>
        <v/>
      </c>
      <c r="C112" s="107" t="str">
        <f aca="false">IF($B112="","",INDEX('CARNET DE SOUDURE'!$B$7:$B$1506,MATCH(101,'CARNET DE SOUDURE'!$AR$7:$AR$1506,0)))</f>
        <v/>
      </c>
      <c r="D112" s="107" t="str">
        <f aca="false">IF($B112="","",INDEX('CARNET DE SOUDURE'!$E$7:$E$1506,MATCH(101,'CARNET DE SOUDURE'!$AR$7:$AR$1506,0)))</f>
        <v/>
      </c>
      <c r="E112" s="107" t="str">
        <f aca="false">IF($B112="","",INDEX('CARNET DE SOUDURE'!$O$7:$O$1506,MATCH(101,'CARNET DE SOUDURE'!$AR$7:$AR$1506,0))&amp;" / "&amp;INDEX('CARNET DE SOUDURE'!$P$7:$P$1506,MATCH(101,'CARNET DE SOUDURE'!$AR$7:$AR$1506,0))&amp;" / "&amp;INDEX('CARNET DE SOUDURE'!$Q$7:$Q$1506,MATCH(101,'CARNET DE SOUDURE'!$AR$7:$AR$1506,0)))</f>
        <v/>
      </c>
      <c r="F112" s="108" t="str">
        <f aca="false">IF($B112="","",INDEX('CARNET DE SOUDURE'!$V$7:$V$1506,MATCH(101,'CARNET DE SOUDURE'!$AR$7:$AR$1506,0)))</f>
        <v/>
      </c>
      <c r="G112" s="107" t="str">
        <f aca="false">IF($B112="","",INDEX('CARNET DE SOUDURE'!$W$7:$W$1506,MATCH(101,'CARNET DE SOUDURE'!$AR$7:$AR$1506,0))&amp;"")</f>
        <v/>
      </c>
      <c r="H112" s="109" t="str">
        <f aca="false">IF($B112="","",INDEX('CARNET DE SOUDURE'!$X$7:$X$1506,MATCH(101,'CARNET DE SOUDURE'!$AR$7:$AR$1506,0)))</f>
        <v/>
      </c>
      <c r="I112" s="107" t="str">
        <f aca="false">IF($B112="","",INDEX('CARNET DE SOUDURE'!$Y$7:$Y$1506,MATCH(101,'CARNET DE SOUDURE'!$AR$7:$AR$1506,0))&amp;IF(INDEX('CARNET DE SOUDURE'!$AD$7:$AD$1506,MATCH(101,'CARNET DE SOUDURE'!$AR$7:$AR$1506,0))&lt;&gt;""," / "&amp;INDEX('CARNET DE SOUDURE'!$AD$7:$AD$1506,MATCH(101,'CARNET DE SOUDURE'!$AR$7:$AR$1506,0)),""))</f>
        <v/>
      </c>
      <c r="J112" s="107" t="str">
        <f aca="false">IF($B112="","",INDEX('CARNET DE SOUDURE'!$Z$7:$Z$1506,MATCH(101,'CARNET DE SOUDURE'!$AR$7:$AR$1506,0))&amp;IF(INDEX('CARNET DE SOUDURE'!$AE$7:$AE$1506,MATCH(101,'CARNET DE SOUDURE'!$AR$7:$AR$1506,0))&lt;&gt;""," / "&amp;INDEX('CARNET DE SOUDURE'!$AE$7:$AE$1506,MATCH(101,'CARNET DE SOUDURE'!$AR$7:$AR$1506,0)),""))</f>
        <v/>
      </c>
      <c r="K112" s="107" t="str">
        <f aca="false">IF($B112="","",INDEX('CARNET DE SOUDURE'!$AC$7:$AC$1506,MATCH(101,'CARNET DE SOUDURE'!$AR$7:$AR$1506,0))&amp;IF(INDEX('CARNET DE SOUDURE'!$AH$7:$AH$1506,MATCH(101,'CARNET DE SOUDURE'!$AR$7:$AR$1506,0))&lt;&gt;""," / "&amp;INDEX('CARNET DE SOUDURE'!$AH$7:$AH$1506,MATCH(101,'CARNET DE SOUDURE'!$AR$7:$AR$1506,0)),""))</f>
        <v/>
      </c>
      <c r="L112" s="109" t="str">
        <f aca="false">IF($B112="","",INDEX('CARNET DE SOUDURE'!$AL$7:$AL$1506,MATCH(101,'CARNET DE SOUDURE'!$AR$7:$AR$1506,0)))</f>
        <v/>
      </c>
      <c r="M112" s="109" t="str">
        <f aca="false">IF($B112="","",INDEX('CARNET DE SOUDURE'!$AM$7:$AM$1506,MATCH(101,'CARNET DE SOUDURE'!$AR$7:$AR$1506,0)))</f>
        <v/>
      </c>
      <c r="N112" s="110" t="str">
        <f aca="false">IF($B112="","",INDEX('CARNET DE SOUDURE'!$AN$7:$AN$1506,MATCH(101,'CARNET DE SOUDURE'!$AR$7:$AR$1506,0)))</f>
        <v/>
      </c>
    </row>
    <row r="113" customFormat="false" ht="15" hidden="false" customHeight="false" outlineLevel="0" collapsed="false">
      <c r="B113" s="112" t="str">
        <f aca="false">IF(102&gt;$I$4,"",102)</f>
        <v/>
      </c>
      <c r="C113" s="112" t="str">
        <f aca="false">IF($B113="","",INDEX('CARNET DE SOUDURE'!$B$7:$B$1506,MATCH(102,'CARNET DE SOUDURE'!$AR$7:$AR$1506,0)))</f>
        <v/>
      </c>
      <c r="D113" s="112" t="str">
        <f aca="false">IF($B113="","",INDEX('CARNET DE SOUDURE'!$E$7:$E$1506,MATCH(102,'CARNET DE SOUDURE'!$AR$7:$AR$1506,0)))</f>
        <v/>
      </c>
      <c r="E113" s="112" t="str">
        <f aca="false">IF($B113="","",INDEX('CARNET DE SOUDURE'!$O$7:$O$1506,MATCH(102,'CARNET DE SOUDURE'!$AR$7:$AR$1506,0))&amp;" / "&amp;INDEX('CARNET DE SOUDURE'!$P$7:$P$1506,MATCH(102,'CARNET DE SOUDURE'!$AR$7:$AR$1506,0))&amp;" / "&amp;INDEX('CARNET DE SOUDURE'!$Q$7:$Q$1506,MATCH(102,'CARNET DE SOUDURE'!$AR$7:$AR$1506,0)))</f>
        <v/>
      </c>
      <c r="F113" s="113" t="str">
        <f aca="false">IF($B113="","",INDEX('CARNET DE SOUDURE'!$V$7:$V$1506,MATCH(102,'CARNET DE SOUDURE'!$AR$7:$AR$1506,0)))</f>
        <v/>
      </c>
      <c r="G113" s="112" t="str">
        <f aca="false">IF($B113="","",INDEX('CARNET DE SOUDURE'!$W$7:$W$1506,MATCH(102,'CARNET DE SOUDURE'!$AR$7:$AR$1506,0))&amp;"")</f>
        <v/>
      </c>
      <c r="H113" s="114" t="str">
        <f aca="false">IF($B113="","",INDEX('CARNET DE SOUDURE'!$X$7:$X$1506,MATCH(102,'CARNET DE SOUDURE'!$AR$7:$AR$1506,0)))</f>
        <v/>
      </c>
      <c r="I113" s="112" t="str">
        <f aca="false">IF($B113="","",INDEX('CARNET DE SOUDURE'!$Y$7:$Y$1506,MATCH(102,'CARNET DE SOUDURE'!$AR$7:$AR$1506,0))&amp;IF(INDEX('CARNET DE SOUDURE'!$AD$7:$AD$1506,MATCH(102,'CARNET DE SOUDURE'!$AR$7:$AR$1506,0))&lt;&gt;""," / "&amp;INDEX('CARNET DE SOUDURE'!$AD$7:$AD$1506,MATCH(102,'CARNET DE SOUDURE'!$AR$7:$AR$1506,0)),""))</f>
        <v/>
      </c>
      <c r="J113" s="112" t="str">
        <f aca="false">IF($B113="","",INDEX('CARNET DE SOUDURE'!$Z$7:$Z$1506,MATCH(102,'CARNET DE SOUDURE'!$AR$7:$AR$1506,0))&amp;IF(INDEX('CARNET DE SOUDURE'!$AE$7:$AE$1506,MATCH(102,'CARNET DE SOUDURE'!$AR$7:$AR$1506,0))&lt;&gt;""," / "&amp;INDEX('CARNET DE SOUDURE'!$AE$7:$AE$1506,MATCH(102,'CARNET DE SOUDURE'!$AR$7:$AR$1506,0)),""))</f>
        <v/>
      </c>
      <c r="K113" s="112" t="str">
        <f aca="false">IF($B113="","",INDEX('CARNET DE SOUDURE'!$AC$7:$AC$1506,MATCH(102,'CARNET DE SOUDURE'!$AR$7:$AR$1506,0))&amp;IF(INDEX('CARNET DE SOUDURE'!$AH$7:$AH$1506,MATCH(102,'CARNET DE SOUDURE'!$AR$7:$AR$1506,0))&lt;&gt;""," / "&amp;INDEX('CARNET DE SOUDURE'!$AH$7:$AH$1506,MATCH(102,'CARNET DE SOUDURE'!$AR$7:$AR$1506,0)),""))</f>
        <v/>
      </c>
      <c r="L113" s="114" t="str">
        <f aca="false">IF($B113="","",INDEX('CARNET DE SOUDURE'!$AL$7:$AL$1506,MATCH(102,'CARNET DE SOUDURE'!$AR$7:$AR$1506,0)))</f>
        <v/>
      </c>
      <c r="M113" s="114" t="str">
        <f aca="false">IF($B113="","",INDEX('CARNET DE SOUDURE'!$AM$7:$AM$1506,MATCH(102,'CARNET DE SOUDURE'!$AR$7:$AR$1506,0)))</f>
        <v/>
      </c>
      <c r="N113" s="115" t="str">
        <f aca="false">IF($B113="","",INDEX('CARNET DE SOUDURE'!$AN$7:$AN$1506,MATCH(102,'CARNET DE SOUDURE'!$AR$7:$AR$1506,0)))</f>
        <v/>
      </c>
    </row>
    <row r="114" customFormat="false" ht="15" hidden="false" customHeight="false" outlineLevel="0" collapsed="false">
      <c r="B114" s="107" t="str">
        <f aca="false">IF(103&gt;$I$4,"",103)</f>
        <v/>
      </c>
      <c r="C114" s="107" t="str">
        <f aca="false">IF($B114="","",INDEX('CARNET DE SOUDURE'!$B$7:$B$1506,MATCH(103,'CARNET DE SOUDURE'!$AR$7:$AR$1506,0)))</f>
        <v/>
      </c>
      <c r="D114" s="107" t="str">
        <f aca="false">IF($B114="","",INDEX('CARNET DE SOUDURE'!$E$7:$E$1506,MATCH(103,'CARNET DE SOUDURE'!$AR$7:$AR$1506,0)))</f>
        <v/>
      </c>
      <c r="E114" s="107" t="str">
        <f aca="false">IF($B114="","",INDEX('CARNET DE SOUDURE'!$O$7:$O$1506,MATCH(103,'CARNET DE SOUDURE'!$AR$7:$AR$1506,0))&amp;" / "&amp;INDEX('CARNET DE SOUDURE'!$P$7:$P$1506,MATCH(103,'CARNET DE SOUDURE'!$AR$7:$AR$1506,0))&amp;" / "&amp;INDEX('CARNET DE SOUDURE'!$Q$7:$Q$1506,MATCH(103,'CARNET DE SOUDURE'!$AR$7:$AR$1506,0)))</f>
        <v/>
      </c>
      <c r="F114" s="108" t="str">
        <f aca="false">IF($B114="","",INDEX('CARNET DE SOUDURE'!$V$7:$V$1506,MATCH(103,'CARNET DE SOUDURE'!$AR$7:$AR$1506,0)))</f>
        <v/>
      </c>
      <c r="G114" s="107" t="str">
        <f aca="false">IF($B114="","",INDEX('CARNET DE SOUDURE'!$W$7:$W$1506,MATCH(103,'CARNET DE SOUDURE'!$AR$7:$AR$1506,0))&amp;"")</f>
        <v/>
      </c>
      <c r="H114" s="109" t="str">
        <f aca="false">IF($B114="","",INDEX('CARNET DE SOUDURE'!$X$7:$X$1506,MATCH(103,'CARNET DE SOUDURE'!$AR$7:$AR$1506,0)))</f>
        <v/>
      </c>
      <c r="I114" s="107" t="str">
        <f aca="false">IF($B114="","",INDEX('CARNET DE SOUDURE'!$Y$7:$Y$1506,MATCH(103,'CARNET DE SOUDURE'!$AR$7:$AR$1506,0))&amp;IF(INDEX('CARNET DE SOUDURE'!$AD$7:$AD$1506,MATCH(103,'CARNET DE SOUDURE'!$AR$7:$AR$1506,0))&lt;&gt;""," / "&amp;INDEX('CARNET DE SOUDURE'!$AD$7:$AD$1506,MATCH(103,'CARNET DE SOUDURE'!$AR$7:$AR$1506,0)),""))</f>
        <v/>
      </c>
      <c r="J114" s="107" t="str">
        <f aca="false">IF($B114="","",INDEX('CARNET DE SOUDURE'!$Z$7:$Z$1506,MATCH(103,'CARNET DE SOUDURE'!$AR$7:$AR$1506,0))&amp;IF(INDEX('CARNET DE SOUDURE'!$AE$7:$AE$1506,MATCH(103,'CARNET DE SOUDURE'!$AR$7:$AR$1506,0))&lt;&gt;""," / "&amp;INDEX('CARNET DE SOUDURE'!$AE$7:$AE$1506,MATCH(103,'CARNET DE SOUDURE'!$AR$7:$AR$1506,0)),""))</f>
        <v/>
      </c>
      <c r="K114" s="107" t="str">
        <f aca="false">IF($B114="","",INDEX('CARNET DE SOUDURE'!$AC$7:$AC$1506,MATCH(103,'CARNET DE SOUDURE'!$AR$7:$AR$1506,0))&amp;IF(INDEX('CARNET DE SOUDURE'!$AH$7:$AH$1506,MATCH(103,'CARNET DE SOUDURE'!$AR$7:$AR$1506,0))&lt;&gt;""," / "&amp;INDEX('CARNET DE SOUDURE'!$AH$7:$AH$1506,MATCH(103,'CARNET DE SOUDURE'!$AR$7:$AR$1506,0)),""))</f>
        <v/>
      </c>
      <c r="L114" s="109" t="str">
        <f aca="false">IF($B114="","",INDEX('CARNET DE SOUDURE'!$AL$7:$AL$1506,MATCH(103,'CARNET DE SOUDURE'!$AR$7:$AR$1506,0)))</f>
        <v/>
      </c>
      <c r="M114" s="109" t="str">
        <f aca="false">IF($B114="","",INDEX('CARNET DE SOUDURE'!$AM$7:$AM$1506,MATCH(103,'CARNET DE SOUDURE'!$AR$7:$AR$1506,0)))</f>
        <v/>
      </c>
      <c r="N114" s="110" t="str">
        <f aca="false">IF($B114="","",INDEX('CARNET DE SOUDURE'!$AN$7:$AN$1506,MATCH(103,'CARNET DE SOUDURE'!$AR$7:$AR$1506,0)))</f>
        <v/>
      </c>
    </row>
    <row r="115" customFormat="false" ht="15" hidden="false" customHeight="false" outlineLevel="0" collapsed="false">
      <c r="B115" s="112" t="str">
        <f aca="false">IF(104&gt;$I$4,"",104)</f>
        <v/>
      </c>
      <c r="C115" s="112" t="str">
        <f aca="false">IF($B115="","",INDEX('CARNET DE SOUDURE'!$B$7:$B$1506,MATCH(104,'CARNET DE SOUDURE'!$AR$7:$AR$1506,0)))</f>
        <v/>
      </c>
      <c r="D115" s="112" t="str">
        <f aca="false">IF($B115="","",INDEX('CARNET DE SOUDURE'!$E$7:$E$1506,MATCH(104,'CARNET DE SOUDURE'!$AR$7:$AR$1506,0)))</f>
        <v/>
      </c>
      <c r="E115" s="112" t="str">
        <f aca="false">IF($B115="","",INDEX('CARNET DE SOUDURE'!$O$7:$O$1506,MATCH(104,'CARNET DE SOUDURE'!$AR$7:$AR$1506,0))&amp;" / "&amp;INDEX('CARNET DE SOUDURE'!$P$7:$P$1506,MATCH(104,'CARNET DE SOUDURE'!$AR$7:$AR$1506,0))&amp;" / "&amp;INDEX('CARNET DE SOUDURE'!$Q$7:$Q$1506,MATCH(104,'CARNET DE SOUDURE'!$AR$7:$AR$1506,0)))</f>
        <v/>
      </c>
      <c r="F115" s="113" t="str">
        <f aca="false">IF($B115="","",INDEX('CARNET DE SOUDURE'!$V$7:$V$1506,MATCH(104,'CARNET DE SOUDURE'!$AR$7:$AR$1506,0)))</f>
        <v/>
      </c>
      <c r="G115" s="112" t="str">
        <f aca="false">IF($B115="","",INDEX('CARNET DE SOUDURE'!$W$7:$W$1506,MATCH(104,'CARNET DE SOUDURE'!$AR$7:$AR$1506,0))&amp;"")</f>
        <v/>
      </c>
      <c r="H115" s="114" t="str">
        <f aca="false">IF($B115="","",INDEX('CARNET DE SOUDURE'!$X$7:$X$1506,MATCH(104,'CARNET DE SOUDURE'!$AR$7:$AR$1506,0)))</f>
        <v/>
      </c>
      <c r="I115" s="112" t="str">
        <f aca="false">IF($B115="","",INDEX('CARNET DE SOUDURE'!$Y$7:$Y$1506,MATCH(104,'CARNET DE SOUDURE'!$AR$7:$AR$1506,0))&amp;IF(INDEX('CARNET DE SOUDURE'!$AD$7:$AD$1506,MATCH(104,'CARNET DE SOUDURE'!$AR$7:$AR$1506,0))&lt;&gt;""," / "&amp;INDEX('CARNET DE SOUDURE'!$AD$7:$AD$1506,MATCH(104,'CARNET DE SOUDURE'!$AR$7:$AR$1506,0)),""))</f>
        <v/>
      </c>
      <c r="J115" s="112" t="str">
        <f aca="false">IF($B115="","",INDEX('CARNET DE SOUDURE'!$Z$7:$Z$1506,MATCH(104,'CARNET DE SOUDURE'!$AR$7:$AR$1506,0))&amp;IF(INDEX('CARNET DE SOUDURE'!$AE$7:$AE$1506,MATCH(104,'CARNET DE SOUDURE'!$AR$7:$AR$1506,0))&lt;&gt;""," / "&amp;INDEX('CARNET DE SOUDURE'!$AE$7:$AE$1506,MATCH(104,'CARNET DE SOUDURE'!$AR$7:$AR$1506,0)),""))</f>
        <v/>
      </c>
      <c r="K115" s="112" t="str">
        <f aca="false">IF($B115="","",INDEX('CARNET DE SOUDURE'!$AC$7:$AC$1506,MATCH(104,'CARNET DE SOUDURE'!$AR$7:$AR$1506,0))&amp;IF(INDEX('CARNET DE SOUDURE'!$AH$7:$AH$1506,MATCH(104,'CARNET DE SOUDURE'!$AR$7:$AR$1506,0))&lt;&gt;""," / "&amp;INDEX('CARNET DE SOUDURE'!$AH$7:$AH$1506,MATCH(104,'CARNET DE SOUDURE'!$AR$7:$AR$1506,0)),""))</f>
        <v/>
      </c>
      <c r="L115" s="114" t="str">
        <f aca="false">IF($B115="","",INDEX('CARNET DE SOUDURE'!$AL$7:$AL$1506,MATCH(104,'CARNET DE SOUDURE'!$AR$7:$AR$1506,0)))</f>
        <v/>
      </c>
      <c r="M115" s="114" t="str">
        <f aca="false">IF($B115="","",INDEX('CARNET DE SOUDURE'!$AM$7:$AM$1506,MATCH(104,'CARNET DE SOUDURE'!$AR$7:$AR$1506,0)))</f>
        <v/>
      </c>
      <c r="N115" s="115" t="str">
        <f aca="false">IF($B115="","",INDEX('CARNET DE SOUDURE'!$AN$7:$AN$1506,MATCH(104,'CARNET DE SOUDURE'!$AR$7:$AR$1506,0)))</f>
        <v/>
      </c>
    </row>
    <row r="116" customFormat="false" ht="15" hidden="false" customHeight="false" outlineLevel="0" collapsed="false">
      <c r="B116" s="107" t="str">
        <f aca="false">IF(105&gt;$I$4,"",105)</f>
        <v/>
      </c>
      <c r="C116" s="107" t="str">
        <f aca="false">IF($B116="","",INDEX('CARNET DE SOUDURE'!$B$7:$B$1506,MATCH(105,'CARNET DE SOUDURE'!$AR$7:$AR$1506,0)))</f>
        <v/>
      </c>
      <c r="D116" s="107" t="str">
        <f aca="false">IF($B116="","",INDEX('CARNET DE SOUDURE'!$E$7:$E$1506,MATCH(105,'CARNET DE SOUDURE'!$AR$7:$AR$1506,0)))</f>
        <v/>
      </c>
      <c r="E116" s="107" t="str">
        <f aca="false">IF($B116="","",INDEX('CARNET DE SOUDURE'!$O$7:$O$1506,MATCH(105,'CARNET DE SOUDURE'!$AR$7:$AR$1506,0))&amp;" / "&amp;INDEX('CARNET DE SOUDURE'!$P$7:$P$1506,MATCH(105,'CARNET DE SOUDURE'!$AR$7:$AR$1506,0))&amp;" / "&amp;INDEX('CARNET DE SOUDURE'!$Q$7:$Q$1506,MATCH(105,'CARNET DE SOUDURE'!$AR$7:$AR$1506,0)))</f>
        <v/>
      </c>
      <c r="F116" s="108" t="str">
        <f aca="false">IF($B116="","",INDEX('CARNET DE SOUDURE'!$V$7:$V$1506,MATCH(105,'CARNET DE SOUDURE'!$AR$7:$AR$1506,0)))</f>
        <v/>
      </c>
      <c r="G116" s="107" t="str">
        <f aca="false">IF($B116="","",INDEX('CARNET DE SOUDURE'!$W$7:$W$1506,MATCH(105,'CARNET DE SOUDURE'!$AR$7:$AR$1506,0))&amp;"")</f>
        <v/>
      </c>
      <c r="H116" s="109" t="str">
        <f aca="false">IF($B116="","",INDEX('CARNET DE SOUDURE'!$X$7:$X$1506,MATCH(105,'CARNET DE SOUDURE'!$AR$7:$AR$1506,0)))</f>
        <v/>
      </c>
      <c r="I116" s="107" t="str">
        <f aca="false">IF($B116="","",INDEX('CARNET DE SOUDURE'!$Y$7:$Y$1506,MATCH(105,'CARNET DE SOUDURE'!$AR$7:$AR$1506,0))&amp;IF(INDEX('CARNET DE SOUDURE'!$AD$7:$AD$1506,MATCH(105,'CARNET DE SOUDURE'!$AR$7:$AR$1506,0))&lt;&gt;""," / "&amp;INDEX('CARNET DE SOUDURE'!$AD$7:$AD$1506,MATCH(105,'CARNET DE SOUDURE'!$AR$7:$AR$1506,0)),""))</f>
        <v/>
      </c>
      <c r="J116" s="107" t="str">
        <f aca="false">IF($B116="","",INDEX('CARNET DE SOUDURE'!$Z$7:$Z$1506,MATCH(105,'CARNET DE SOUDURE'!$AR$7:$AR$1506,0))&amp;IF(INDEX('CARNET DE SOUDURE'!$AE$7:$AE$1506,MATCH(105,'CARNET DE SOUDURE'!$AR$7:$AR$1506,0))&lt;&gt;""," / "&amp;INDEX('CARNET DE SOUDURE'!$AE$7:$AE$1506,MATCH(105,'CARNET DE SOUDURE'!$AR$7:$AR$1506,0)),""))</f>
        <v/>
      </c>
      <c r="K116" s="107" t="str">
        <f aca="false">IF($B116="","",INDEX('CARNET DE SOUDURE'!$AC$7:$AC$1506,MATCH(105,'CARNET DE SOUDURE'!$AR$7:$AR$1506,0))&amp;IF(INDEX('CARNET DE SOUDURE'!$AH$7:$AH$1506,MATCH(105,'CARNET DE SOUDURE'!$AR$7:$AR$1506,0))&lt;&gt;""," / "&amp;INDEX('CARNET DE SOUDURE'!$AH$7:$AH$1506,MATCH(105,'CARNET DE SOUDURE'!$AR$7:$AR$1506,0)),""))</f>
        <v/>
      </c>
      <c r="L116" s="109" t="str">
        <f aca="false">IF($B116="","",INDEX('CARNET DE SOUDURE'!$AL$7:$AL$1506,MATCH(105,'CARNET DE SOUDURE'!$AR$7:$AR$1506,0)))</f>
        <v/>
      </c>
      <c r="M116" s="109" t="str">
        <f aca="false">IF($B116="","",INDEX('CARNET DE SOUDURE'!$AM$7:$AM$1506,MATCH(105,'CARNET DE SOUDURE'!$AR$7:$AR$1506,0)))</f>
        <v/>
      </c>
      <c r="N116" s="110" t="str">
        <f aca="false">IF($B116="","",INDEX('CARNET DE SOUDURE'!$AN$7:$AN$1506,MATCH(105,'CARNET DE SOUDURE'!$AR$7:$AR$1506,0)))</f>
        <v/>
      </c>
    </row>
    <row r="117" customFormat="false" ht="15" hidden="false" customHeight="false" outlineLevel="0" collapsed="false">
      <c r="B117" s="112" t="str">
        <f aca="false">IF(106&gt;$I$4,"",106)</f>
        <v/>
      </c>
      <c r="C117" s="112" t="str">
        <f aca="false">IF($B117="","",INDEX('CARNET DE SOUDURE'!$B$7:$B$1506,MATCH(106,'CARNET DE SOUDURE'!$AR$7:$AR$1506,0)))</f>
        <v/>
      </c>
      <c r="D117" s="112" t="str">
        <f aca="false">IF($B117="","",INDEX('CARNET DE SOUDURE'!$E$7:$E$1506,MATCH(106,'CARNET DE SOUDURE'!$AR$7:$AR$1506,0)))</f>
        <v/>
      </c>
      <c r="E117" s="112" t="str">
        <f aca="false">IF($B117="","",INDEX('CARNET DE SOUDURE'!$O$7:$O$1506,MATCH(106,'CARNET DE SOUDURE'!$AR$7:$AR$1506,0))&amp;" / "&amp;INDEX('CARNET DE SOUDURE'!$P$7:$P$1506,MATCH(106,'CARNET DE SOUDURE'!$AR$7:$AR$1506,0))&amp;" / "&amp;INDEX('CARNET DE SOUDURE'!$Q$7:$Q$1506,MATCH(106,'CARNET DE SOUDURE'!$AR$7:$AR$1506,0)))</f>
        <v/>
      </c>
      <c r="F117" s="113" t="str">
        <f aca="false">IF($B117="","",INDEX('CARNET DE SOUDURE'!$V$7:$V$1506,MATCH(106,'CARNET DE SOUDURE'!$AR$7:$AR$1506,0)))</f>
        <v/>
      </c>
      <c r="G117" s="112" t="str">
        <f aca="false">IF($B117="","",INDEX('CARNET DE SOUDURE'!$W$7:$W$1506,MATCH(106,'CARNET DE SOUDURE'!$AR$7:$AR$1506,0))&amp;"")</f>
        <v/>
      </c>
      <c r="H117" s="114" t="str">
        <f aca="false">IF($B117="","",INDEX('CARNET DE SOUDURE'!$X$7:$X$1506,MATCH(106,'CARNET DE SOUDURE'!$AR$7:$AR$1506,0)))</f>
        <v/>
      </c>
      <c r="I117" s="112" t="str">
        <f aca="false">IF($B117="","",INDEX('CARNET DE SOUDURE'!$Y$7:$Y$1506,MATCH(106,'CARNET DE SOUDURE'!$AR$7:$AR$1506,0))&amp;IF(INDEX('CARNET DE SOUDURE'!$AD$7:$AD$1506,MATCH(106,'CARNET DE SOUDURE'!$AR$7:$AR$1506,0))&lt;&gt;""," / "&amp;INDEX('CARNET DE SOUDURE'!$AD$7:$AD$1506,MATCH(106,'CARNET DE SOUDURE'!$AR$7:$AR$1506,0)),""))</f>
        <v/>
      </c>
      <c r="J117" s="112" t="str">
        <f aca="false">IF($B117="","",INDEX('CARNET DE SOUDURE'!$Z$7:$Z$1506,MATCH(106,'CARNET DE SOUDURE'!$AR$7:$AR$1506,0))&amp;IF(INDEX('CARNET DE SOUDURE'!$AE$7:$AE$1506,MATCH(106,'CARNET DE SOUDURE'!$AR$7:$AR$1506,0))&lt;&gt;""," / "&amp;INDEX('CARNET DE SOUDURE'!$AE$7:$AE$1506,MATCH(106,'CARNET DE SOUDURE'!$AR$7:$AR$1506,0)),""))</f>
        <v/>
      </c>
      <c r="K117" s="112" t="str">
        <f aca="false">IF($B117="","",INDEX('CARNET DE SOUDURE'!$AC$7:$AC$1506,MATCH(106,'CARNET DE SOUDURE'!$AR$7:$AR$1506,0))&amp;IF(INDEX('CARNET DE SOUDURE'!$AH$7:$AH$1506,MATCH(106,'CARNET DE SOUDURE'!$AR$7:$AR$1506,0))&lt;&gt;""," / "&amp;INDEX('CARNET DE SOUDURE'!$AH$7:$AH$1506,MATCH(106,'CARNET DE SOUDURE'!$AR$7:$AR$1506,0)),""))</f>
        <v/>
      </c>
      <c r="L117" s="114" t="str">
        <f aca="false">IF($B117="","",INDEX('CARNET DE SOUDURE'!$AL$7:$AL$1506,MATCH(106,'CARNET DE SOUDURE'!$AR$7:$AR$1506,0)))</f>
        <v/>
      </c>
      <c r="M117" s="114" t="str">
        <f aca="false">IF($B117="","",INDEX('CARNET DE SOUDURE'!$AM$7:$AM$1506,MATCH(106,'CARNET DE SOUDURE'!$AR$7:$AR$1506,0)))</f>
        <v/>
      </c>
      <c r="N117" s="115" t="str">
        <f aca="false">IF($B117="","",INDEX('CARNET DE SOUDURE'!$AN$7:$AN$1506,MATCH(106,'CARNET DE SOUDURE'!$AR$7:$AR$1506,0)))</f>
        <v/>
      </c>
    </row>
    <row r="118" customFormat="false" ht="15" hidden="false" customHeight="false" outlineLevel="0" collapsed="false">
      <c r="B118" s="107" t="str">
        <f aca="false">IF(107&gt;$I$4,"",107)</f>
        <v/>
      </c>
      <c r="C118" s="107" t="str">
        <f aca="false">IF($B118="","",INDEX('CARNET DE SOUDURE'!$B$7:$B$1506,MATCH(107,'CARNET DE SOUDURE'!$AR$7:$AR$1506,0)))</f>
        <v/>
      </c>
      <c r="D118" s="107" t="str">
        <f aca="false">IF($B118="","",INDEX('CARNET DE SOUDURE'!$E$7:$E$1506,MATCH(107,'CARNET DE SOUDURE'!$AR$7:$AR$1506,0)))</f>
        <v/>
      </c>
      <c r="E118" s="107" t="str">
        <f aca="false">IF($B118="","",INDEX('CARNET DE SOUDURE'!$O$7:$O$1506,MATCH(107,'CARNET DE SOUDURE'!$AR$7:$AR$1506,0))&amp;" / "&amp;INDEX('CARNET DE SOUDURE'!$P$7:$P$1506,MATCH(107,'CARNET DE SOUDURE'!$AR$7:$AR$1506,0))&amp;" / "&amp;INDEX('CARNET DE SOUDURE'!$Q$7:$Q$1506,MATCH(107,'CARNET DE SOUDURE'!$AR$7:$AR$1506,0)))</f>
        <v/>
      </c>
      <c r="F118" s="108" t="str">
        <f aca="false">IF($B118="","",INDEX('CARNET DE SOUDURE'!$V$7:$V$1506,MATCH(107,'CARNET DE SOUDURE'!$AR$7:$AR$1506,0)))</f>
        <v/>
      </c>
      <c r="G118" s="107" t="str">
        <f aca="false">IF($B118="","",INDEX('CARNET DE SOUDURE'!$W$7:$W$1506,MATCH(107,'CARNET DE SOUDURE'!$AR$7:$AR$1506,0))&amp;"")</f>
        <v/>
      </c>
      <c r="H118" s="109" t="str">
        <f aca="false">IF($B118="","",INDEX('CARNET DE SOUDURE'!$X$7:$X$1506,MATCH(107,'CARNET DE SOUDURE'!$AR$7:$AR$1506,0)))</f>
        <v/>
      </c>
      <c r="I118" s="107" t="str">
        <f aca="false">IF($B118="","",INDEX('CARNET DE SOUDURE'!$Y$7:$Y$1506,MATCH(107,'CARNET DE SOUDURE'!$AR$7:$AR$1506,0))&amp;IF(INDEX('CARNET DE SOUDURE'!$AD$7:$AD$1506,MATCH(107,'CARNET DE SOUDURE'!$AR$7:$AR$1506,0))&lt;&gt;""," / "&amp;INDEX('CARNET DE SOUDURE'!$AD$7:$AD$1506,MATCH(107,'CARNET DE SOUDURE'!$AR$7:$AR$1506,0)),""))</f>
        <v/>
      </c>
      <c r="J118" s="107" t="str">
        <f aca="false">IF($B118="","",INDEX('CARNET DE SOUDURE'!$Z$7:$Z$1506,MATCH(107,'CARNET DE SOUDURE'!$AR$7:$AR$1506,0))&amp;IF(INDEX('CARNET DE SOUDURE'!$AE$7:$AE$1506,MATCH(107,'CARNET DE SOUDURE'!$AR$7:$AR$1506,0))&lt;&gt;""," / "&amp;INDEX('CARNET DE SOUDURE'!$AE$7:$AE$1506,MATCH(107,'CARNET DE SOUDURE'!$AR$7:$AR$1506,0)),""))</f>
        <v/>
      </c>
      <c r="K118" s="107" t="str">
        <f aca="false">IF($B118="","",INDEX('CARNET DE SOUDURE'!$AC$7:$AC$1506,MATCH(107,'CARNET DE SOUDURE'!$AR$7:$AR$1506,0))&amp;IF(INDEX('CARNET DE SOUDURE'!$AH$7:$AH$1506,MATCH(107,'CARNET DE SOUDURE'!$AR$7:$AR$1506,0))&lt;&gt;""," / "&amp;INDEX('CARNET DE SOUDURE'!$AH$7:$AH$1506,MATCH(107,'CARNET DE SOUDURE'!$AR$7:$AR$1506,0)),""))</f>
        <v/>
      </c>
      <c r="L118" s="109" t="str">
        <f aca="false">IF($B118="","",INDEX('CARNET DE SOUDURE'!$AL$7:$AL$1506,MATCH(107,'CARNET DE SOUDURE'!$AR$7:$AR$1506,0)))</f>
        <v/>
      </c>
      <c r="M118" s="109" t="str">
        <f aca="false">IF($B118="","",INDEX('CARNET DE SOUDURE'!$AM$7:$AM$1506,MATCH(107,'CARNET DE SOUDURE'!$AR$7:$AR$1506,0)))</f>
        <v/>
      </c>
      <c r="N118" s="110" t="str">
        <f aca="false">IF($B118="","",INDEX('CARNET DE SOUDURE'!$AN$7:$AN$1506,MATCH(107,'CARNET DE SOUDURE'!$AR$7:$AR$1506,0)))</f>
        <v/>
      </c>
    </row>
    <row r="119" customFormat="false" ht="15" hidden="false" customHeight="false" outlineLevel="0" collapsed="false">
      <c r="B119" s="112" t="str">
        <f aca="false">IF(108&gt;$I$4,"",108)</f>
        <v/>
      </c>
      <c r="C119" s="112" t="str">
        <f aca="false">IF($B119="","",INDEX('CARNET DE SOUDURE'!$B$7:$B$1506,MATCH(108,'CARNET DE SOUDURE'!$AR$7:$AR$1506,0)))</f>
        <v/>
      </c>
      <c r="D119" s="112" t="str">
        <f aca="false">IF($B119="","",INDEX('CARNET DE SOUDURE'!$E$7:$E$1506,MATCH(108,'CARNET DE SOUDURE'!$AR$7:$AR$1506,0)))</f>
        <v/>
      </c>
      <c r="E119" s="112" t="str">
        <f aca="false">IF($B119="","",INDEX('CARNET DE SOUDURE'!$O$7:$O$1506,MATCH(108,'CARNET DE SOUDURE'!$AR$7:$AR$1506,0))&amp;" / "&amp;INDEX('CARNET DE SOUDURE'!$P$7:$P$1506,MATCH(108,'CARNET DE SOUDURE'!$AR$7:$AR$1506,0))&amp;" / "&amp;INDEX('CARNET DE SOUDURE'!$Q$7:$Q$1506,MATCH(108,'CARNET DE SOUDURE'!$AR$7:$AR$1506,0)))</f>
        <v/>
      </c>
      <c r="F119" s="113" t="str">
        <f aca="false">IF($B119="","",INDEX('CARNET DE SOUDURE'!$V$7:$V$1506,MATCH(108,'CARNET DE SOUDURE'!$AR$7:$AR$1506,0)))</f>
        <v/>
      </c>
      <c r="G119" s="112" t="str">
        <f aca="false">IF($B119="","",INDEX('CARNET DE SOUDURE'!$W$7:$W$1506,MATCH(108,'CARNET DE SOUDURE'!$AR$7:$AR$1506,0))&amp;"")</f>
        <v/>
      </c>
      <c r="H119" s="114" t="str">
        <f aca="false">IF($B119="","",INDEX('CARNET DE SOUDURE'!$X$7:$X$1506,MATCH(108,'CARNET DE SOUDURE'!$AR$7:$AR$1506,0)))</f>
        <v/>
      </c>
      <c r="I119" s="112" t="str">
        <f aca="false">IF($B119="","",INDEX('CARNET DE SOUDURE'!$Y$7:$Y$1506,MATCH(108,'CARNET DE SOUDURE'!$AR$7:$AR$1506,0))&amp;IF(INDEX('CARNET DE SOUDURE'!$AD$7:$AD$1506,MATCH(108,'CARNET DE SOUDURE'!$AR$7:$AR$1506,0))&lt;&gt;""," / "&amp;INDEX('CARNET DE SOUDURE'!$AD$7:$AD$1506,MATCH(108,'CARNET DE SOUDURE'!$AR$7:$AR$1506,0)),""))</f>
        <v/>
      </c>
      <c r="J119" s="112" t="str">
        <f aca="false">IF($B119="","",INDEX('CARNET DE SOUDURE'!$Z$7:$Z$1506,MATCH(108,'CARNET DE SOUDURE'!$AR$7:$AR$1506,0))&amp;IF(INDEX('CARNET DE SOUDURE'!$AE$7:$AE$1506,MATCH(108,'CARNET DE SOUDURE'!$AR$7:$AR$1506,0))&lt;&gt;""," / "&amp;INDEX('CARNET DE SOUDURE'!$AE$7:$AE$1506,MATCH(108,'CARNET DE SOUDURE'!$AR$7:$AR$1506,0)),""))</f>
        <v/>
      </c>
      <c r="K119" s="112" t="str">
        <f aca="false">IF($B119="","",INDEX('CARNET DE SOUDURE'!$AC$7:$AC$1506,MATCH(108,'CARNET DE SOUDURE'!$AR$7:$AR$1506,0))&amp;IF(INDEX('CARNET DE SOUDURE'!$AH$7:$AH$1506,MATCH(108,'CARNET DE SOUDURE'!$AR$7:$AR$1506,0))&lt;&gt;""," / "&amp;INDEX('CARNET DE SOUDURE'!$AH$7:$AH$1506,MATCH(108,'CARNET DE SOUDURE'!$AR$7:$AR$1506,0)),""))</f>
        <v/>
      </c>
      <c r="L119" s="114" t="str">
        <f aca="false">IF($B119="","",INDEX('CARNET DE SOUDURE'!$AL$7:$AL$1506,MATCH(108,'CARNET DE SOUDURE'!$AR$7:$AR$1506,0)))</f>
        <v/>
      </c>
      <c r="M119" s="114" t="str">
        <f aca="false">IF($B119="","",INDEX('CARNET DE SOUDURE'!$AM$7:$AM$1506,MATCH(108,'CARNET DE SOUDURE'!$AR$7:$AR$1506,0)))</f>
        <v/>
      </c>
      <c r="N119" s="115" t="str">
        <f aca="false">IF($B119="","",INDEX('CARNET DE SOUDURE'!$AN$7:$AN$1506,MATCH(108,'CARNET DE SOUDURE'!$AR$7:$AR$1506,0)))</f>
        <v/>
      </c>
    </row>
    <row r="120" customFormat="false" ht="15" hidden="false" customHeight="false" outlineLevel="0" collapsed="false">
      <c r="B120" s="107" t="str">
        <f aca="false">IF(109&gt;$I$4,"",109)</f>
        <v/>
      </c>
      <c r="C120" s="107" t="str">
        <f aca="false">IF($B120="","",INDEX('CARNET DE SOUDURE'!$B$7:$B$1506,MATCH(109,'CARNET DE SOUDURE'!$AR$7:$AR$1506,0)))</f>
        <v/>
      </c>
      <c r="D120" s="107" t="str">
        <f aca="false">IF($B120="","",INDEX('CARNET DE SOUDURE'!$E$7:$E$1506,MATCH(109,'CARNET DE SOUDURE'!$AR$7:$AR$1506,0)))</f>
        <v/>
      </c>
      <c r="E120" s="107" t="str">
        <f aca="false">IF($B120="","",INDEX('CARNET DE SOUDURE'!$O$7:$O$1506,MATCH(109,'CARNET DE SOUDURE'!$AR$7:$AR$1506,0))&amp;" / "&amp;INDEX('CARNET DE SOUDURE'!$P$7:$P$1506,MATCH(109,'CARNET DE SOUDURE'!$AR$7:$AR$1506,0))&amp;" / "&amp;INDEX('CARNET DE SOUDURE'!$Q$7:$Q$1506,MATCH(109,'CARNET DE SOUDURE'!$AR$7:$AR$1506,0)))</f>
        <v/>
      </c>
      <c r="F120" s="108" t="str">
        <f aca="false">IF($B120="","",INDEX('CARNET DE SOUDURE'!$V$7:$V$1506,MATCH(109,'CARNET DE SOUDURE'!$AR$7:$AR$1506,0)))</f>
        <v/>
      </c>
      <c r="G120" s="107" t="str">
        <f aca="false">IF($B120="","",INDEX('CARNET DE SOUDURE'!$W$7:$W$1506,MATCH(109,'CARNET DE SOUDURE'!$AR$7:$AR$1506,0))&amp;"")</f>
        <v/>
      </c>
      <c r="H120" s="109" t="str">
        <f aca="false">IF($B120="","",INDEX('CARNET DE SOUDURE'!$X$7:$X$1506,MATCH(109,'CARNET DE SOUDURE'!$AR$7:$AR$1506,0)))</f>
        <v/>
      </c>
      <c r="I120" s="107" t="str">
        <f aca="false">IF($B120="","",INDEX('CARNET DE SOUDURE'!$Y$7:$Y$1506,MATCH(109,'CARNET DE SOUDURE'!$AR$7:$AR$1506,0))&amp;IF(INDEX('CARNET DE SOUDURE'!$AD$7:$AD$1506,MATCH(109,'CARNET DE SOUDURE'!$AR$7:$AR$1506,0))&lt;&gt;""," / "&amp;INDEX('CARNET DE SOUDURE'!$AD$7:$AD$1506,MATCH(109,'CARNET DE SOUDURE'!$AR$7:$AR$1506,0)),""))</f>
        <v/>
      </c>
      <c r="J120" s="107" t="str">
        <f aca="false">IF($B120="","",INDEX('CARNET DE SOUDURE'!$Z$7:$Z$1506,MATCH(109,'CARNET DE SOUDURE'!$AR$7:$AR$1506,0))&amp;IF(INDEX('CARNET DE SOUDURE'!$AE$7:$AE$1506,MATCH(109,'CARNET DE SOUDURE'!$AR$7:$AR$1506,0))&lt;&gt;""," / "&amp;INDEX('CARNET DE SOUDURE'!$AE$7:$AE$1506,MATCH(109,'CARNET DE SOUDURE'!$AR$7:$AR$1506,0)),""))</f>
        <v/>
      </c>
      <c r="K120" s="107" t="str">
        <f aca="false">IF($B120="","",INDEX('CARNET DE SOUDURE'!$AC$7:$AC$1506,MATCH(109,'CARNET DE SOUDURE'!$AR$7:$AR$1506,0))&amp;IF(INDEX('CARNET DE SOUDURE'!$AH$7:$AH$1506,MATCH(109,'CARNET DE SOUDURE'!$AR$7:$AR$1506,0))&lt;&gt;""," / "&amp;INDEX('CARNET DE SOUDURE'!$AH$7:$AH$1506,MATCH(109,'CARNET DE SOUDURE'!$AR$7:$AR$1506,0)),""))</f>
        <v/>
      </c>
      <c r="L120" s="109" t="str">
        <f aca="false">IF($B120="","",INDEX('CARNET DE SOUDURE'!$AL$7:$AL$1506,MATCH(109,'CARNET DE SOUDURE'!$AR$7:$AR$1506,0)))</f>
        <v/>
      </c>
      <c r="M120" s="109" t="str">
        <f aca="false">IF($B120="","",INDEX('CARNET DE SOUDURE'!$AM$7:$AM$1506,MATCH(109,'CARNET DE SOUDURE'!$AR$7:$AR$1506,0)))</f>
        <v/>
      </c>
      <c r="N120" s="110" t="str">
        <f aca="false">IF($B120="","",INDEX('CARNET DE SOUDURE'!$AN$7:$AN$1506,MATCH(109,'CARNET DE SOUDURE'!$AR$7:$AR$1506,0)))</f>
        <v/>
      </c>
    </row>
    <row r="121" customFormat="false" ht="15" hidden="false" customHeight="false" outlineLevel="0" collapsed="false">
      <c r="B121" s="112" t="str">
        <f aca="false">IF(110&gt;$I$4,"",110)</f>
        <v/>
      </c>
      <c r="C121" s="112" t="str">
        <f aca="false">IF($B121="","",INDEX('CARNET DE SOUDURE'!$B$7:$B$1506,MATCH(110,'CARNET DE SOUDURE'!$AR$7:$AR$1506,0)))</f>
        <v/>
      </c>
      <c r="D121" s="112" t="str">
        <f aca="false">IF($B121="","",INDEX('CARNET DE SOUDURE'!$E$7:$E$1506,MATCH(110,'CARNET DE SOUDURE'!$AR$7:$AR$1506,0)))</f>
        <v/>
      </c>
      <c r="E121" s="112" t="str">
        <f aca="false">IF($B121="","",INDEX('CARNET DE SOUDURE'!$O$7:$O$1506,MATCH(110,'CARNET DE SOUDURE'!$AR$7:$AR$1506,0))&amp;" / "&amp;INDEX('CARNET DE SOUDURE'!$P$7:$P$1506,MATCH(110,'CARNET DE SOUDURE'!$AR$7:$AR$1506,0))&amp;" / "&amp;INDEX('CARNET DE SOUDURE'!$Q$7:$Q$1506,MATCH(110,'CARNET DE SOUDURE'!$AR$7:$AR$1506,0)))</f>
        <v/>
      </c>
      <c r="F121" s="113" t="str">
        <f aca="false">IF($B121="","",INDEX('CARNET DE SOUDURE'!$V$7:$V$1506,MATCH(110,'CARNET DE SOUDURE'!$AR$7:$AR$1506,0)))</f>
        <v/>
      </c>
      <c r="G121" s="112" t="str">
        <f aca="false">IF($B121="","",INDEX('CARNET DE SOUDURE'!$W$7:$W$1506,MATCH(110,'CARNET DE SOUDURE'!$AR$7:$AR$1506,0))&amp;"")</f>
        <v/>
      </c>
      <c r="H121" s="114" t="str">
        <f aca="false">IF($B121="","",INDEX('CARNET DE SOUDURE'!$X$7:$X$1506,MATCH(110,'CARNET DE SOUDURE'!$AR$7:$AR$1506,0)))</f>
        <v/>
      </c>
      <c r="I121" s="112" t="str">
        <f aca="false">IF($B121="","",INDEX('CARNET DE SOUDURE'!$Y$7:$Y$1506,MATCH(110,'CARNET DE SOUDURE'!$AR$7:$AR$1506,0))&amp;IF(INDEX('CARNET DE SOUDURE'!$AD$7:$AD$1506,MATCH(110,'CARNET DE SOUDURE'!$AR$7:$AR$1506,0))&lt;&gt;""," / "&amp;INDEX('CARNET DE SOUDURE'!$AD$7:$AD$1506,MATCH(110,'CARNET DE SOUDURE'!$AR$7:$AR$1506,0)),""))</f>
        <v/>
      </c>
      <c r="J121" s="112" t="str">
        <f aca="false">IF($B121="","",INDEX('CARNET DE SOUDURE'!$Z$7:$Z$1506,MATCH(110,'CARNET DE SOUDURE'!$AR$7:$AR$1506,0))&amp;IF(INDEX('CARNET DE SOUDURE'!$AE$7:$AE$1506,MATCH(110,'CARNET DE SOUDURE'!$AR$7:$AR$1506,0))&lt;&gt;""," / "&amp;INDEX('CARNET DE SOUDURE'!$AE$7:$AE$1506,MATCH(110,'CARNET DE SOUDURE'!$AR$7:$AR$1506,0)),""))</f>
        <v/>
      </c>
      <c r="K121" s="112" t="str">
        <f aca="false">IF($B121="","",INDEX('CARNET DE SOUDURE'!$AC$7:$AC$1506,MATCH(110,'CARNET DE SOUDURE'!$AR$7:$AR$1506,0))&amp;IF(INDEX('CARNET DE SOUDURE'!$AH$7:$AH$1506,MATCH(110,'CARNET DE SOUDURE'!$AR$7:$AR$1506,0))&lt;&gt;""," / "&amp;INDEX('CARNET DE SOUDURE'!$AH$7:$AH$1506,MATCH(110,'CARNET DE SOUDURE'!$AR$7:$AR$1506,0)),""))</f>
        <v/>
      </c>
      <c r="L121" s="114" t="str">
        <f aca="false">IF($B121="","",INDEX('CARNET DE SOUDURE'!$AL$7:$AL$1506,MATCH(110,'CARNET DE SOUDURE'!$AR$7:$AR$1506,0)))</f>
        <v/>
      </c>
      <c r="M121" s="114" t="str">
        <f aca="false">IF($B121="","",INDEX('CARNET DE SOUDURE'!$AM$7:$AM$1506,MATCH(110,'CARNET DE SOUDURE'!$AR$7:$AR$1506,0)))</f>
        <v/>
      </c>
      <c r="N121" s="115" t="str">
        <f aca="false">IF($B121="","",INDEX('CARNET DE SOUDURE'!$AN$7:$AN$1506,MATCH(110,'CARNET DE SOUDURE'!$AR$7:$AR$1506,0)))</f>
        <v/>
      </c>
    </row>
    <row r="122" customFormat="false" ht="15" hidden="false" customHeight="false" outlineLevel="0" collapsed="false">
      <c r="B122" s="107" t="str">
        <f aca="false">IF(111&gt;$I$4,"",111)</f>
        <v/>
      </c>
      <c r="C122" s="107" t="str">
        <f aca="false">IF($B122="","",INDEX('CARNET DE SOUDURE'!$B$7:$B$1506,MATCH(111,'CARNET DE SOUDURE'!$AR$7:$AR$1506,0)))</f>
        <v/>
      </c>
      <c r="D122" s="107" t="str">
        <f aca="false">IF($B122="","",INDEX('CARNET DE SOUDURE'!$E$7:$E$1506,MATCH(111,'CARNET DE SOUDURE'!$AR$7:$AR$1506,0)))</f>
        <v/>
      </c>
      <c r="E122" s="107" t="str">
        <f aca="false">IF($B122="","",INDEX('CARNET DE SOUDURE'!$O$7:$O$1506,MATCH(111,'CARNET DE SOUDURE'!$AR$7:$AR$1506,0))&amp;" / "&amp;INDEX('CARNET DE SOUDURE'!$P$7:$P$1506,MATCH(111,'CARNET DE SOUDURE'!$AR$7:$AR$1506,0))&amp;" / "&amp;INDEX('CARNET DE SOUDURE'!$Q$7:$Q$1506,MATCH(111,'CARNET DE SOUDURE'!$AR$7:$AR$1506,0)))</f>
        <v/>
      </c>
      <c r="F122" s="108" t="str">
        <f aca="false">IF($B122="","",INDEX('CARNET DE SOUDURE'!$V$7:$V$1506,MATCH(111,'CARNET DE SOUDURE'!$AR$7:$AR$1506,0)))</f>
        <v/>
      </c>
      <c r="G122" s="107" t="str">
        <f aca="false">IF($B122="","",INDEX('CARNET DE SOUDURE'!$W$7:$W$1506,MATCH(111,'CARNET DE SOUDURE'!$AR$7:$AR$1506,0))&amp;"")</f>
        <v/>
      </c>
      <c r="H122" s="109" t="str">
        <f aca="false">IF($B122="","",INDEX('CARNET DE SOUDURE'!$X$7:$X$1506,MATCH(111,'CARNET DE SOUDURE'!$AR$7:$AR$1506,0)))</f>
        <v/>
      </c>
      <c r="I122" s="107" t="str">
        <f aca="false">IF($B122="","",INDEX('CARNET DE SOUDURE'!$Y$7:$Y$1506,MATCH(111,'CARNET DE SOUDURE'!$AR$7:$AR$1506,0))&amp;IF(INDEX('CARNET DE SOUDURE'!$AD$7:$AD$1506,MATCH(111,'CARNET DE SOUDURE'!$AR$7:$AR$1506,0))&lt;&gt;""," / "&amp;INDEX('CARNET DE SOUDURE'!$AD$7:$AD$1506,MATCH(111,'CARNET DE SOUDURE'!$AR$7:$AR$1506,0)),""))</f>
        <v/>
      </c>
      <c r="J122" s="107" t="str">
        <f aca="false">IF($B122="","",INDEX('CARNET DE SOUDURE'!$Z$7:$Z$1506,MATCH(111,'CARNET DE SOUDURE'!$AR$7:$AR$1506,0))&amp;IF(INDEX('CARNET DE SOUDURE'!$AE$7:$AE$1506,MATCH(111,'CARNET DE SOUDURE'!$AR$7:$AR$1506,0))&lt;&gt;""," / "&amp;INDEX('CARNET DE SOUDURE'!$AE$7:$AE$1506,MATCH(111,'CARNET DE SOUDURE'!$AR$7:$AR$1506,0)),""))</f>
        <v/>
      </c>
      <c r="K122" s="107" t="str">
        <f aca="false">IF($B122="","",INDEX('CARNET DE SOUDURE'!$AC$7:$AC$1506,MATCH(111,'CARNET DE SOUDURE'!$AR$7:$AR$1506,0))&amp;IF(INDEX('CARNET DE SOUDURE'!$AH$7:$AH$1506,MATCH(111,'CARNET DE SOUDURE'!$AR$7:$AR$1506,0))&lt;&gt;""," / "&amp;INDEX('CARNET DE SOUDURE'!$AH$7:$AH$1506,MATCH(111,'CARNET DE SOUDURE'!$AR$7:$AR$1506,0)),""))</f>
        <v/>
      </c>
      <c r="L122" s="109" t="str">
        <f aca="false">IF($B122="","",INDEX('CARNET DE SOUDURE'!$AL$7:$AL$1506,MATCH(111,'CARNET DE SOUDURE'!$AR$7:$AR$1506,0)))</f>
        <v/>
      </c>
      <c r="M122" s="109" t="str">
        <f aca="false">IF($B122="","",INDEX('CARNET DE SOUDURE'!$AM$7:$AM$1506,MATCH(111,'CARNET DE SOUDURE'!$AR$7:$AR$1506,0)))</f>
        <v/>
      </c>
      <c r="N122" s="110" t="str">
        <f aca="false">IF($B122="","",INDEX('CARNET DE SOUDURE'!$AN$7:$AN$1506,MATCH(111,'CARNET DE SOUDURE'!$AR$7:$AR$1506,0)))</f>
        <v/>
      </c>
    </row>
    <row r="123" customFormat="false" ht="15" hidden="false" customHeight="false" outlineLevel="0" collapsed="false">
      <c r="B123" s="112" t="str">
        <f aca="false">IF(112&gt;$I$4,"",112)</f>
        <v/>
      </c>
      <c r="C123" s="112" t="str">
        <f aca="false">IF($B123="","",INDEX('CARNET DE SOUDURE'!$B$7:$B$1506,MATCH(112,'CARNET DE SOUDURE'!$AR$7:$AR$1506,0)))</f>
        <v/>
      </c>
      <c r="D123" s="112" t="str">
        <f aca="false">IF($B123="","",INDEX('CARNET DE SOUDURE'!$E$7:$E$1506,MATCH(112,'CARNET DE SOUDURE'!$AR$7:$AR$1506,0)))</f>
        <v/>
      </c>
      <c r="E123" s="112" t="str">
        <f aca="false">IF($B123="","",INDEX('CARNET DE SOUDURE'!$O$7:$O$1506,MATCH(112,'CARNET DE SOUDURE'!$AR$7:$AR$1506,0))&amp;" / "&amp;INDEX('CARNET DE SOUDURE'!$P$7:$P$1506,MATCH(112,'CARNET DE SOUDURE'!$AR$7:$AR$1506,0))&amp;" / "&amp;INDEX('CARNET DE SOUDURE'!$Q$7:$Q$1506,MATCH(112,'CARNET DE SOUDURE'!$AR$7:$AR$1506,0)))</f>
        <v/>
      </c>
      <c r="F123" s="113" t="str">
        <f aca="false">IF($B123="","",INDEX('CARNET DE SOUDURE'!$V$7:$V$1506,MATCH(112,'CARNET DE SOUDURE'!$AR$7:$AR$1506,0)))</f>
        <v/>
      </c>
      <c r="G123" s="112" t="str">
        <f aca="false">IF($B123="","",INDEX('CARNET DE SOUDURE'!$W$7:$W$1506,MATCH(112,'CARNET DE SOUDURE'!$AR$7:$AR$1506,0))&amp;"")</f>
        <v/>
      </c>
      <c r="H123" s="114" t="str">
        <f aca="false">IF($B123="","",INDEX('CARNET DE SOUDURE'!$X$7:$X$1506,MATCH(112,'CARNET DE SOUDURE'!$AR$7:$AR$1506,0)))</f>
        <v/>
      </c>
      <c r="I123" s="112" t="str">
        <f aca="false">IF($B123="","",INDEX('CARNET DE SOUDURE'!$Y$7:$Y$1506,MATCH(112,'CARNET DE SOUDURE'!$AR$7:$AR$1506,0))&amp;IF(INDEX('CARNET DE SOUDURE'!$AD$7:$AD$1506,MATCH(112,'CARNET DE SOUDURE'!$AR$7:$AR$1506,0))&lt;&gt;""," / "&amp;INDEX('CARNET DE SOUDURE'!$AD$7:$AD$1506,MATCH(112,'CARNET DE SOUDURE'!$AR$7:$AR$1506,0)),""))</f>
        <v/>
      </c>
      <c r="J123" s="112" t="str">
        <f aca="false">IF($B123="","",INDEX('CARNET DE SOUDURE'!$Z$7:$Z$1506,MATCH(112,'CARNET DE SOUDURE'!$AR$7:$AR$1506,0))&amp;IF(INDEX('CARNET DE SOUDURE'!$AE$7:$AE$1506,MATCH(112,'CARNET DE SOUDURE'!$AR$7:$AR$1506,0))&lt;&gt;""," / "&amp;INDEX('CARNET DE SOUDURE'!$AE$7:$AE$1506,MATCH(112,'CARNET DE SOUDURE'!$AR$7:$AR$1506,0)),""))</f>
        <v/>
      </c>
      <c r="K123" s="112" t="str">
        <f aca="false">IF($B123="","",INDEX('CARNET DE SOUDURE'!$AC$7:$AC$1506,MATCH(112,'CARNET DE SOUDURE'!$AR$7:$AR$1506,0))&amp;IF(INDEX('CARNET DE SOUDURE'!$AH$7:$AH$1506,MATCH(112,'CARNET DE SOUDURE'!$AR$7:$AR$1506,0))&lt;&gt;""," / "&amp;INDEX('CARNET DE SOUDURE'!$AH$7:$AH$1506,MATCH(112,'CARNET DE SOUDURE'!$AR$7:$AR$1506,0)),""))</f>
        <v/>
      </c>
      <c r="L123" s="114" t="str">
        <f aca="false">IF($B123="","",INDEX('CARNET DE SOUDURE'!$AL$7:$AL$1506,MATCH(112,'CARNET DE SOUDURE'!$AR$7:$AR$1506,0)))</f>
        <v/>
      </c>
      <c r="M123" s="114" t="str">
        <f aca="false">IF($B123="","",INDEX('CARNET DE SOUDURE'!$AM$7:$AM$1506,MATCH(112,'CARNET DE SOUDURE'!$AR$7:$AR$1506,0)))</f>
        <v/>
      </c>
      <c r="N123" s="115" t="str">
        <f aca="false">IF($B123="","",INDEX('CARNET DE SOUDURE'!$AN$7:$AN$1506,MATCH(112,'CARNET DE SOUDURE'!$AR$7:$AR$1506,0)))</f>
        <v/>
      </c>
    </row>
    <row r="124" customFormat="false" ht="15" hidden="false" customHeight="false" outlineLevel="0" collapsed="false">
      <c r="B124" s="107" t="str">
        <f aca="false">IF(113&gt;$I$4,"",113)</f>
        <v/>
      </c>
      <c r="C124" s="107" t="str">
        <f aca="false">IF($B124="","",INDEX('CARNET DE SOUDURE'!$B$7:$B$1506,MATCH(113,'CARNET DE SOUDURE'!$AR$7:$AR$1506,0)))</f>
        <v/>
      </c>
      <c r="D124" s="107" t="str">
        <f aca="false">IF($B124="","",INDEX('CARNET DE SOUDURE'!$E$7:$E$1506,MATCH(113,'CARNET DE SOUDURE'!$AR$7:$AR$1506,0)))</f>
        <v/>
      </c>
      <c r="E124" s="107" t="str">
        <f aca="false">IF($B124="","",INDEX('CARNET DE SOUDURE'!$O$7:$O$1506,MATCH(113,'CARNET DE SOUDURE'!$AR$7:$AR$1506,0))&amp;" / "&amp;INDEX('CARNET DE SOUDURE'!$P$7:$P$1506,MATCH(113,'CARNET DE SOUDURE'!$AR$7:$AR$1506,0))&amp;" / "&amp;INDEX('CARNET DE SOUDURE'!$Q$7:$Q$1506,MATCH(113,'CARNET DE SOUDURE'!$AR$7:$AR$1506,0)))</f>
        <v/>
      </c>
      <c r="F124" s="108" t="str">
        <f aca="false">IF($B124="","",INDEX('CARNET DE SOUDURE'!$V$7:$V$1506,MATCH(113,'CARNET DE SOUDURE'!$AR$7:$AR$1506,0)))</f>
        <v/>
      </c>
      <c r="G124" s="107" t="str">
        <f aca="false">IF($B124="","",INDEX('CARNET DE SOUDURE'!$W$7:$W$1506,MATCH(113,'CARNET DE SOUDURE'!$AR$7:$AR$1506,0))&amp;"")</f>
        <v/>
      </c>
      <c r="H124" s="109" t="str">
        <f aca="false">IF($B124="","",INDEX('CARNET DE SOUDURE'!$X$7:$X$1506,MATCH(113,'CARNET DE SOUDURE'!$AR$7:$AR$1506,0)))</f>
        <v/>
      </c>
      <c r="I124" s="107" t="str">
        <f aca="false">IF($B124="","",INDEX('CARNET DE SOUDURE'!$Y$7:$Y$1506,MATCH(113,'CARNET DE SOUDURE'!$AR$7:$AR$1506,0))&amp;IF(INDEX('CARNET DE SOUDURE'!$AD$7:$AD$1506,MATCH(113,'CARNET DE SOUDURE'!$AR$7:$AR$1506,0))&lt;&gt;""," / "&amp;INDEX('CARNET DE SOUDURE'!$AD$7:$AD$1506,MATCH(113,'CARNET DE SOUDURE'!$AR$7:$AR$1506,0)),""))</f>
        <v/>
      </c>
      <c r="J124" s="107" t="str">
        <f aca="false">IF($B124="","",INDEX('CARNET DE SOUDURE'!$Z$7:$Z$1506,MATCH(113,'CARNET DE SOUDURE'!$AR$7:$AR$1506,0))&amp;IF(INDEX('CARNET DE SOUDURE'!$AE$7:$AE$1506,MATCH(113,'CARNET DE SOUDURE'!$AR$7:$AR$1506,0))&lt;&gt;""," / "&amp;INDEX('CARNET DE SOUDURE'!$AE$7:$AE$1506,MATCH(113,'CARNET DE SOUDURE'!$AR$7:$AR$1506,0)),""))</f>
        <v/>
      </c>
      <c r="K124" s="107" t="str">
        <f aca="false">IF($B124="","",INDEX('CARNET DE SOUDURE'!$AC$7:$AC$1506,MATCH(113,'CARNET DE SOUDURE'!$AR$7:$AR$1506,0))&amp;IF(INDEX('CARNET DE SOUDURE'!$AH$7:$AH$1506,MATCH(113,'CARNET DE SOUDURE'!$AR$7:$AR$1506,0))&lt;&gt;""," / "&amp;INDEX('CARNET DE SOUDURE'!$AH$7:$AH$1506,MATCH(113,'CARNET DE SOUDURE'!$AR$7:$AR$1506,0)),""))</f>
        <v/>
      </c>
      <c r="L124" s="109" t="str">
        <f aca="false">IF($B124="","",INDEX('CARNET DE SOUDURE'!$AL$7:$AL$1506,MATCH(113,'CARNET DE SOUDURE'!$AR$7:$AR$1506,0)))</f>
        <v/>
      </c>
      <c r="M124" s="109" t="str">
        <f aca="false">IF($B124="","",INDEX('CARNET DE SOUDURE'!$AM$7:$AM$1506,MATCH(113,'CARNET DE SOUDURE'!$AR$7:$AR$1506,0)))</f>
        <v/>
      </c>
      <c r="N124" s="110" t="str">
        <f aca="false">IF($B124="","",INDEX('CARNET DE SOUDURE'!$AN$7:$AN$1506,MATCH(113,'CARNET DE SOUDURE'!$AR$7:$AR$1506,0)))</f>
        <v/>
      </c>
    </row>
    <row r="125" customFormat="false" ht="15" hidden="false" customHeight="false" outlineLevel="0" collapsed="false">
      <c r="B125" s="112" t="str">
        <f aca="false">IF(114&gt;$I$4,"",114)</f>
        <v/>
      </c>
      <c r="C125" s="112" t="str">
        <f aca="false">IF($B125="","",INDEX('CARNET DE SOUDURE'!$B$7:$B$1506,MATCH(114,'CARNET DE SOUDURE'!$AR$7:$AR$1506,0)))</f>
        <v/>
      </c>
      <c r="D125" s="112" t="str">
        <f aca="false">IF($B125="","",INDEX('CARNET DE SOUDURE'!$E$7:$E$1506,MATCH(114,'CARNET DE SOUDURE'!$AR$7:$AR$1506,0)))</f>
        <v/>
      </c>
      <c r="E125" s="112" t="str">
        <f aca="false">IF($B125="","",INDEX('CARNET DE SOUDURE'!$O$7:$O$1506,MATCH(114,'CARNET DE SOUDURE'!$AR$7:$AR$1506,0))&amp;" / "&amp;INDEX('CARNET DE SOUDURE'!$P$7:$P$1506,MATCH(114,'CARNET DE SOUDURE'!$AR$7:$AR$1506,0))&amp;" / "&amp;INDEX('CARNET DE SOUDURE'!$Q$7:$Q$1506,MATCH(114,'CARNET DE SOUDURE'!$AR$7:$AR$1506,0)))</f>
        <v/>
      </c>
      <c r="F125" s="113" t="str">
        <f aca="false">IF($B125="","",INDEX('CARNET DE SOUDURE'!$V$7:$V$1506,MATCH(114,'CARNET DE SOUDURE'!$AR$7:$AR$1506,0)))</f>
        <v/>
      </c>
      <c r="G125" s="112" t="str">
        <f aca="false">IF($B125="","",INDEX('CARNET DE SOUDURE'!$W$7:$W$1506,MATCH(114,'CARNET DE SOUDURE'!$AR$7:$AR$1506,0))&amp;"")</f>
        <v/>
      </c>
      <c r="H125" s="114" t="str">
        <f aca="false">IF($B125="","",INDEX('CARNET DE SOUDURE'!$X$7:$X$1506,MATCH(114,'CARNET DE SOUDURE'!$AR$7:$AR$1506,0)))</f>
        <v/>
      </c>
      <c r="I125" s="112" t="str">
        <f aca="false">IF($B125="","",INDEX('CARNET DE SOUDURE'!$Y$7:$Y$1506,MATCH(114,'CARNET DE SOUDURE'!$AR$7:$AR$1506,0))&amp;IF(INDEX('CARNET DE SOUDURE'!$AD$7:$AD$1506,MATCH(114,'CARNET DE SOUDURE'!$AR$7:$AR$1506,0))&lt;&gt;""," / "&amp;INDEX('CARNET DE SOUDURE'!$AD$7:$AD$1506,MATCH(114,'CARNET DE SOUDURE'!$AR$7:$AR$1506,0)),""))</f>
        <v/>
      </c>
      <c r="J125" s="112" t="str">
        <f aca="false">IF($B125="","",INDEX('CARNET DE SOUDURE'!$Z$7:$Z$1506,MATCH(114,'CARNET DE SOUDURE'!$AR$7:$AR$1506,0))&amp;IF(INDEX('CARNET DE SOUDURE'!$AE$7:$AE$1506,MATCH(114,'CARNET DE SOUDURE'!$AR$7:$AR$1506,0))&lt;&gt;""," / "&amp;INDEX('CARNET DE SOUDURE'!$AE$7:$AE$1506,MATCH(114,'CARNET DE SOUDURE'!$AR$7:$AR$1506,0)),""))</f>
        <v/>
      </c>
      <c r="K125" s="112" t="str">
        <f aca="false">IF($B125="","",INDEX('CARNET DE SOUDURE'!$AC$7:$AC$1506,MATCH(114,'CARNET DE SOUDURE'!$AR$7:$AR$1506,0))&amp;IF(INDEX('CARNET DE SOUDURE'!$AH$7:$AH$1506,MATCH(114,'CARNET DE SOUDURE'!$AR$7:$AR$1506,0))&lt;&gt;""," / "&amp;INDEX('CARNET DE SOUDURE'!$AH$7:$AH$1506,MATCH(114,'CARNET DE SOUDURE'!$AR$7:$AR$1506,0)),""))</f>
        <v/>
      </c>
      <c r="L125" s="114" t="str">
        <f aca="false">IF($B125="","",INDEX('CARNET DE SOUDURE'!$AL$7:$AL$1506,MATCH(114,'CARNET DE SOUDURE'!$AR$7:$AR$1506,0)))</f>
        <v/>
      </c>
      <c r="M125" s="114" t="str">
        <f aca="false">IF($B125="","",INDEX('CARNET DE SOUDURE'!$AM$7:$AM$1506,MATCH(114,'CARNET DE SOUDURE'!$AR$7:$AR$1506,0)))</f>
        <v/>
      </c>
      <c r="N125" s="115" t="str">
        <f aca="false">IF($B125="","",INDEX('CARNET DE SOUDURE'!$AN$7:$AN$1506,MATCH(114,'CARNET DE SOUDURE'!$AR$7:$AR$1506,0)))</f>
        <v/>
      </c>
    </row>
    <row r="126" customFormat="false" ht="15" hidden="false" customHeight="false" outlineLevel="0" collapsed="false">
      <c r="B126" s="107" t="str">
        <f aca="false">IF(115&gt;$I$4,"",115)</f>
        <v/>
      </c>
      <c r="C126" s="107" t="str">
        <f aca="false">IF($B126="","",INDEX('CARNET DE SOUDURE'!$B$7:$B$1506,MATCH(115,'CARNET DE SOUDURE'!$AR$7:$AR$1506,0)))</f>
        <v/>
      </c>
      <c r="D126" s="107" t="str">
        <f aca="false">IF($B126="","",INDEX('CARNET DE SOUDURE'!$E$7:$E$1506,MATCH(115,'CARNET DE SOUDURE'!$AR$7:$AR$1506,0)))</f>
        <v/>
      </c>
      <c r="E126" s="107" t="str">
        <f aca="false">IF($B126="","",INDEX('CARNET DE SOUDURE'!$O$7:$O$1506,MATCH(115,'CARNET DE SOUDURE'!$AR$7:$AR$1506,0))&amp;" / "&amp;INDEX('CARNET DE SOUDURE'!$P$7:$P$1506,MATCH(115,'CARNET DE SOUDURE'!$AR$7:$AR$1506,0))&amp;" / "&amp;INDEX('CARNET DE SOUDURE'!$Q$7:$Q$1506,MATCH(115,'CARNET DE SOUDURE'!$AR$7:$AR$1506,0)))</f>
        <v/>
      </c>
      <c r="F126" s="108" t="str">
        <f aca="false">IF($B126="","",INDEX('CARNET DE SOUDURE'!$V$7:$V$1506,MATCH(115,'CARNET DE SOUDURE'!$AR$7:$AR$1506,0)))</f>
        <v/>
      </c>
      <c r="G126" s="107" t="str">
        <f aca="false">IF($B126="","",INDEX('CARNET DE SOUDURE'!$W$7:$W$1506,MATCH(115,'CARNET DE SOUDURE'!$AR$7:$AR$1506,0))&amp;"")</f>
        <v/>
      </c>
      <c r="H126" s="109" t="str">
        <f aca="false">IF($B126="","",INDEX('CARNET DE SOUDURE'!$X$7:$X$1506,MATCH(115,'CARNET DE SOUDURE'!$AR$7:$AR$1506,0)))</f>
        <v/>
      </c>
      <c r="I126" s="107" t="str">
        <f aca="false">IF($B126="","",INDEX('CARNET DE SOUDURE'!$Y$7:$Y$1506,MATCH(115,'CARNET DE SOUDURE'!$AR$7:$AR$1506,0))&amp;IF(INDEX('CARNET DE SOUDURE'!$AD$7:$AD$1506,MATCH(115,'CARNET DE SOUDURE'!$AR$7:$AR$1506,0))&lt;&gt;""," / "&amp;INDEX('CARNET DE SOUDURE'!$AD$7:$AD$1506,MATCH(115,'CARNET DE SOUDURE'!$AR$7:$AR$1506,0)),""))</f>
        <v/>
      </c>
      <c r="J126" s="107" t="str">
        <f aca="false">IF($B126="","",INDEX('CARNET DE SOUDURE'!$Z$7:$Z$1506,MATCH(115,'CARNET DE SOUDURE'!$AR$7:$AR$1506,0))&amp;IF(INDEX('CARNET DE SOUDURE'!$AE$7:$AE$1506,MATCH(115,'CARNET DE SOUDURE'!$AR$7:$AR$1506,0))&lt;&gt;""," / "&amp;INDEX('CARNET DE SOUDURE'!$AE$7:$AE$1506,MATCH(115,'CARNET DE SOUDURE'!$AR$7:$AR$1506,0)),""))</f>
        <v/>
      </c>
      <c r="K126" s="107" t="str">
        <f aca="false">IF($B126="","",INDEX('CARNET DE SOUDURE'!$AC$7:$AC$1506,MATCH(115,'CARNET DE SOUDURE'!$AR$7:$AR$1506,0))&amp;IF(INDEX('CARNET DE SOUDURE'!$AH$7:$AH$1506,MATCH(115,'CARNET DE SOUDURE'!$AR$7:$AR$1506,0))&lt;&gt;""," / "&amp;INDEX('CARNET DE SOUDURE'!$AH$7:$AH$1506,MATCH(115,'CARNET DE SOUDURE'!$AR$7:$AR$1506,0)),""))</f>
        <v/>
      </c>
      <c r="L126" s="109" t="str">
        <f aca="false">IF($B126="","",INDEX('CARNET DE SOUDURE'!$AL$7:$AL$1506,MATCH(115,'CARNET DE SOUDURE'!$AR$7:$AR$1506,0)))</f>
        <v/>
      </c>
      <c r="M126" s="109" t="str">
        <f aca="false">IF($B126="","",INDEX('CARNET DE SOUDURE'!$AM$7:$AM$1506,MATCH(115,'CARNET DE SOUDURE'!$AR$7:$AR$1506,0)))</f>
        <v/>
      </c>
      <c r="N126" s="110" t="str">
        <f aca="false">IF($B126="","",INDEX('CARNET DE SOUDURE'!$AN$7:$AN$1506,MATCH(115,'CARNET DE SOUDURE'!$AR$7:$AR$1506,0)))</f>
        <v/>
      </c>
    </row>
    <row r="127" customFormat="false" ht="15" hidden="false" customHeight="false" outlineLevel="0" collapsed="false">
      <c r="B127" s="112" t="str">
        <f aca="false">IF(116&gt;$I$4,"",116)</f>
        <v/>
      </c>
      <c r="C127" s="112" t="str">
        <f aca="false">IF($B127="","",INDEX('CARNET DE SOUDURE'!$B$7:$B$1506,MATCH(116,'CARNET DE SOUDURE'!$AR$7:$AR$1506,0)))</f>
        <v/>
      </c>
      <c r="D127" s="112" t="str">
        <f aca="false">IF($B127="","",INDEX('CARNET DE SOUDURE'!$E$7:$E$1506,MATCH(116,'CARNET DE SOUDURE'!$AR$7:$AR$1506,0)))</f>
        <v/>
      </c>
      <c r="E127" s="112" t="str">
        <f aca="false">IF($B127="","",INDEX('CARNET DE SOUDURE'!$O$7:$O$1506,MATCH(116,'CARNET DE SOUDURE'!$AR$7:$AR$1506,0))&amp;" / "&amp;INDEX('CARNET DE SOUDURE'!$P$7:$P$1506,MATCH(116,'CARNET DE SOUDURE'!$AR$7:$AR$1506,0))&amp;" / "&amp;INDEX('CARNET DE SOUDURE'!$Q$7:$Q$1506,MATCH(116,'CARNET DE SOUDURE'!$AR$7:$AR$1506,0)))</f>
        <v/>
      </c>
      <c r="F127" s="113" t="str">
        <f aca="false">IF($B127="","",INDEX('CARNET DE SOUDURE'!$V$7:$V$1506,MATCH(116,'CARNET DE SOUDURE'!$AR$7:$AR$1506,0)))</f>
        <v/>
      </c>
      <c r="G127" s="112" t="str">
        <f aca="false">IF($B127="","",INDEX('CARNET DE SOUDURE'!$W$7:$W$1506,MATCH(116,'CARNET DE SOUDURE'!$AR$7:$AR$1506,0))&amp;"")</f>
        <v/>
      </c>
      <c r="H127" s="114" t="str">
        <f aca="false">IF($B127="","",INDEX('CARNET DE SOUDURE'!$X$7:$X$1506,MATCH(116,'CARNET DE SOUDURE'!$AR$7:$AR$1506,0)))</f>
        <v/>
      </c>
      <c r="I127" s="112" t="str">
        <f aca="false">IF($B127="","",INDEX('CARNET DE SOUDURE'!$Y$7:$Y$1506,MATCH(116,'CARNET DE SOUDURE'!$AR$7:$AR$1506,0))&amp;IF(INDEX('CARNET DE SOUDURE'!$AD$7:$AD$1506,MATCH(116,'CARNET DE SOUDURE'!$AR$7:$AR$1506,0))&lt;&gt;""," / "&amp;INDEX('CARNET DE SOUDURE'!$AD$7:$AD$1506,MATCH(116,'CARNET DE SOUDURE'!$AR$7:$AR$1506,0)),""))</f>
        <v/>
      </c>
      <c r="J127" s="112" t="str">
        <f aca="false">IF($B127="","",INDEX('CARNET DE SOUDURE'!$Z$7:$Z$1506,MATCH(116,'CARNET DE SOUDURE'!$AR$7:$AR$1506,0))&amp;IF(INDEX('CARNET DE SOUDURE'!$AE$7:$AE$1506,MATCH(116,'CARNET DE SOUDURE'!$AR$7:$AR$1506,0))&lt;&gt;""," / "&amp;INDEX('CARNET DE SOUDURE'!$AE$7:$AE$1506,MATCH(116,'CARNET DE SOUDURE'!$AR$7:$AR$1506,0)),""))</f>
        <v/>
      </c>
      <c r="K127" s="112" t="str">
        <f aca="false">IF($B127="","",INDEX('CARNET DE SOUDURE'!$AC$7:$AC$1506,MATCH(116,'CARNET DE SOUDURE'!$AR$7:$AR$1506,0))&amp;IF(INDEX('CARNET DE SOUDURE'!$AH$7:$AH$1506,MATCH(116,'CARNET DE SOUDURE'!$AR$7:$AR$1506,0))&lt;&gt;""," / "&amp;INDEX('CARNET DE SOUDURE'!$AH$7:$AH$1506,MATCH(116,'CARNET DE SOUDURE'!$AR$7:$AR$1506,0)),""))</f>
        <v/>
      </c>
      <c r="L127" s="114" t="str">
        <f aca="false">IF($B127="","",INDEX('CARNET DE SOUDURE'!$AL$7:$AL$1506,MATCH(116,'CARNET DE SOUDURE'!$AR$7:$AR$1506,0)))</f>
        <v/>
      </c>
      <c r="M127" s="114" t="str">
        <f aca="false">IF($B127="","",INDEX('CARNET DE SOUDURE'!$AM$7:$AM$1506,MATCH(116,'CARNET DE SOUDURE'!$AR$7:$AR$1506,0)))</f>
        <v/>
      </c>
      <c r="N127" s="115" t="str">
        <f aca="false">IF($B127="","",INDEX('CARNET DE SOUDURE'!$AN$7:$AN$1506,MATCH(116,'CARNET DE SOUDURE'!$AR$7:$AR$1506,0)))</f>
        <v/>
      </c>
    </row>
    <row r="128" customFormat="false" ht="15" hidden="false" customHeight="false" outlineLevel="0" collapsed="false">
      <c r="B128" s="107" t="str">
        <f aca="false">IF(117&gt;$I$4,"",117)</f>
        <v/>
      </c>
      <c r="C128" s="107" t="str">
        <f aca="false">IF($B128="","",INDEX('CARNET DE SOUDURE'!$B$7:$B$1506,MATCH(117,'CARNET DE SOUDURE'!$AR$7:$AR$1506,0)))</f>
        <v/>
      </c>
      <c r="D128" s="107" t="str">
        <f aca="false">IF($B128="","",INDEX('CARNET DE SOUDURE'!$E$7:$E$1506,MATCH(117,'CARNET DE SOUDURE'!$AR$7:$AR$1506,0)))</f>
        <v/>
      </c>
      <c r="E128" s="107" t="str">
        <f aca="false">IF($B128="","",INDEX('CARNET DE SOUDURE'!$O$7:$O$1506,MATCH(117,'CARNET DE SOUDURE'!$AR$7:$AR$1506,0))&amp;" / "&amp;INDEX('CARNET DE SOUDURE'!$P$7:$P$1506,MATCH(117,'CARNET DE SOUDURE'!$AR$7:$AR$1506,0))&amp;" / "&amp;INDEX('CARNET DE SOUDURE'!$Q$7:$Q$1506,MATCH(117,'CARNET DE SOUDURE'!$AR$7:$AR$1506,0)))</f>
        <v/>
      </c>
      <c r="F128" s="108" t="str">
        <f aca="false">IF($B128="","",INDEX('CARNET DE SOUDURE'!$V$7:$V$1506,MATCH(117,'CARNET DE SOUDURE'!$AR$7:$AR$1506,0)))</f>
        <v/>
      </c>
      <c r="G128" s="107" t="str">
        <f aca="false">IF($B128="","",INDEX('CARNET DE SOUDURE'!$W$7:$W$1506,MATCH(117,'CARNET DE SOUDURE'!$AR$7:$AR$1506,0))&amp;"")</f>
        <v/>
      </c>
      <c r="H128" s="109" t="str">
        <f aca="false">IF($B128="","",INDEX('CARNET DE SOUDURE'!$X$7:$X$1506,MATCH(117,'CARNET DE SOUDURE'!$AR$7:$AR$1506,0)))</f>
        <v/>
      </c>
      <c r="I128" s="107" t="str">
        <f aca="false">IF($B128="","",INDEX('CARNET DE SOUDURE'!$Y$7:$Y$1506,MATCH(117,'CARNET DE SOUDURE'!$AR$7:$AR$1506,0))&amp;IF(INDEX('CARNET DE SOUDURE'!$AD$7:$AD$1506,MATCH(117,'CARNET DE SOUDURE'!$AR$7:$AR$1506,0))&lt;&gt;""," / "&amp;INDEX('CARNET DE SOUDURE'!$AD$7:$AD$1506,MATCH(117,'CARNET DE SOUDURE'!$AR$7:$AR$1506,0)),""))</f>
        <v/>
      </c>
      <c r="J128" s="107" t="str">
        <f aca="false">IF($B128="","",INDEX('CARNET DE SOUDURE'!$Z$7:$Z$1506,MATCH(117,'CARNET DE SOUDURE'!$AR$7:$AR$1506,0))&amp;IF(INDEX('CARNET DE SOUDURE'!$AE$7:$AE$1506,MATCH(117,'CARNET DE SOUDURE'!$AR$7:$AR$1506,0))&lt;&gt;""," / "&amp;INDEX('CARNET DE SOUDURE'!$AE$7:$AE$1506,MATCH(117,'CARNET DE SOUDURE'!$AR$7:$AR$1506,0)),""))</f>
        <v/>
      </c>
      <c r="K128" s="107" t="str">
        <f aca="false">IF($B128="","",INDEX('CARNET DE SOUDURE'!$AC$7:$AC$1506,MATCH(117,'CARNET DE SOUDURE'!$AR$7:$AR$1506,0))&amp;IF(INDEX('CARNET DE SOUDURE'!$AH$7:$AH$1506,MATCH(117,'CARNET DE SOUDURE'!$AR$7:$AR$1506,0))&lt;&gt;""," / "&amp;INDEX('CARNET DE SOUDURE'!$AH$7:$AH$1506,MATCH(117,'CARNET DE SOUDURE'!$AR$7:$AR$1506,0)),""))</f>
        <v/>
      </c>
      <c r="L128" s="109" t="str">
        <f aca="false">IF($B128="","",INDEX('CARNET DE SOUDURE'!$AL$7:$AL$1506,MATCH(117,'CARNET DE SOUDURE'!$AR$7:$AR$1506,0)))</f>
        <v/>
      </c>
      <c r="M128" s="109" t="str">
        <f aca="false">IF($B128="","",INDEX('CARNET DE SOUDURE'!$AM$7:$AM$1506,MATCH(117,'CARNET DE SOUDURE'!$AR$7:$AR$1506,0)))</f>
        <v/>
      </c>
      <c r="N128" s="110" t="str">
        <f aca="false">IF($B128="","",INDEX('CARNET DE SOUDURE'!$AN$7:$AN$1506,MATCH(117,'CARNET DE SOUDURE'!$AR$7:$AR$1506,0)))</f>
        <v/>
      </c>
    </row>
    <row r="129" customFormat="false" ht="15" hidden="false" customHeight="false" outlineLevel="0" collapsed="false">
      <c r="B129" s="112" t="str">
        <f aca="false">IF(118&gt;$I$4,"",118)</f>
        <v/>
      </c>
      <c r="C129" s="112" t="str">
        <f aca="false">IF($B129="","",INDEX('CARNET DE SOUDURE'!$B$7:$B$1506,MATCH(118,'CARNET DE SOUDURE'!$AR$7:$AR$1506,0)))</f>
        <v/>
      </c>
      <c r="D129" s="112" t="str">
        <f aca="false">IF($B129="","",INDEX('CARNET DE SOUDURE'!$E$7:$E$1506,MATCH(118,'CARNET DE SOUDURE'!$AR$7:$AR$1506,0)))</f>
        <v/>
      </c>
      <c r="E129" s="112" t="str">
        <f aca="false">IF($B129="","",INDEX('CARNET DE SOUDURE'!$O$7:$O$1506,MATCH(118,'CARNET DE SOUDURE'!$AR$7:$AR$1506,0))&amp;" / "&amp;INDEX('CARNET DE SOUDURE'!$P$7:$P$1506,MATCH(118,'CARNET DE SOUDURE'!$AR$7:$AR$1506,0))&amp;" / "&amp;INDEX('CARNET DE SOUDURE'!$Q$7:$Q$1506,MATCH(118,'CARNET DE SOUDURE'!$AR$7:$AR$1506,0)))</f>
        <v/>
      </c>
      <c r="F129" s="113" t="str">
        <f aca="false">IF($B129="","",INDEX('CARNET DE SOUDURE'!$V$7:$V$1506,MATCH(118,'CARNET DE SOUDURE'!$AR$7:$AR$1506,0)))</f>
        <v/>
      </c>
      <c r="G129" s="112" t="str">
        <f aca="false">IF($B129="","",INDEX('CARNET DE SOUDURE'!$W$7:$W$1506,MATCH(118,'CARNET DE SOUDURE'!$AR$7:$AR$1506,0))&amp;"")</f>
        <v/>
      </c>
      <c r="H129" s="114" t="str">
        <f aca="false">IF($B129="","",INDEX('CARNET DE SOUDURE'!$X$7:$X$1506,MATCH(118,'CARNET DE SOUDURE'!$AR$7:$AR$1506,0)))</f>
        <v/>
      </c>
      <c r="I129" s="112" t="str">
        <f aca="false">IF($B129="","",INDEX('CARNET DE SOUDURE'!$Y$7:$Y$1506,MATCH(118,'CARNET DE SOUDURE'!$AR$7:$AR$1506,0))&amp;IF(INDEX('CARNET DE SOUDURE'!$AD$7:$AD$1506,MATCH(118,'CARNET DE SOUDURE'!$AR$7:$AR$1506,0))&lt;&gt;""," / "&amp;INDEX('CARNET DE SOUDURE'!$AD$7:$AD$1506,MATCH(118,'CARNET DE SOUDURE'!$AR$7:$AR$1506,0)),""))</f>
        <v/>
      </c>
      <c r="J129" s="112" t="str">
        <f aca="false">IF($B129="","",INDEX('CARNET DE SOUDURE'!$Z$7:$Z$1506,MATCH(118,'CARNET DE SOUDURE'!$AR$7:$AR$1506,0))&amp;IF(INDEX('CARNET DE SOUDURE'!$AE$7:$AE$1506,MATCH(118,'CARNET DE SOUDURE'!$AR$7:$AR$1506,0))&lt;&gt;""," / "&amp;INDEX('CARNET DE SOUDURE'!$AE$7:$AE$1506,MATCH(118,'CARNET DE SOUDURE'!$AR$7:$AR$1506,0)),""))</f>
        <v/>
      </c>
      <c r="K129" s="112" t="str">
        <f aca="false">IF($B129="","",INDEX('CARNET DE SOUDURE'!$AC$7:$AC$1506,MATCH(118,'CARNET DE SOUDURE'!$AR$7:$AR$1506,0))&amp;IF(INDEX('CARNET DE SOUDURE'!$AH$7:$AH$1506,MATCH(118,'CARNET DE SOUDURE'!$AR$7:$AR$1506,0))&lt;&gt;""," / "&amp;INDEX('CARNET DE SOUDURE'!$AH$7:$AH$1506,MATCH(118,'CARNET DE SOUDURE'!$AR$7:$AR$1506,0)),""))</f>
        <v/>
      </c>
      <c r="L129" s="114" t="str">
        <f aca="false">IF($B129="","",INDEX('CARNET DE SOUDURE'!$AL$7:$AL$1506,MATCH(118,'CARNET DE SOUDURE'!$AR$7:$AR$1506,0)))</f>
        <v/>
      </c>
      <c r="M129" s="114" t="str">
        <f aca="false">IF($B129="","",INDEX('CARNET DE SOUDURE'!$AM$7:$AM$1506,MATCH(118,'CARNET DE SOUDURE'!$AR$7:$AR$1506,0)))</f>
        <v/>
      </c>
      <c r="N129" s="115" t="str">
        <f aca="false">IF($B129="","",INDEX('CARNET DE SOUDURE'!$AN$7:$AN$1506,MATCH(118,'CARNET DE SOUDURE'!$AR$7:$AR$1506,0)))</f>
        <v/>
      </c>
    </row>
    <row r="130" customFormat="false" ht="15" hidden="false" customHeight="false" outlineLevel="0" collapsed="false">
      <c r="B130" s="107" t="str">
        <f aca="false">IF(119&gt;$I$4,"",119)</f>
        <v/>
      </c>
      <c r="C130" s="107" t="str">
        <f aca="false">IF($B130="","",INDEX('CARNET DE SOUDURE'!$B$7:$B$1506,MATCH(119,'CARNET DE SOUDURE'!$AR$7:$AR$1506,0)))</f>
        <v/>
      </c>
      <c r="D130" s="107" t="str">
        <f aca="false">IF($B130="","",INDEX('CARNET DE SOUDURE'!$E$7:$E$1506,MATCH(119,'CARNET DE SOUDURE'!$AR$7:$AR$1506,0)))</f>
        <v/>
      </c>
      <c r="E130" s="107" t="str">
        <f aca="false">IF($B130="","",INDEX('CARNET DE SOUDURE'!$O$7:$O$1506,MATCH(119,'CARNET DE SOUDURE'!$AR$7:$AR$1506,0))&amp;" / "&amp;INDEX('CARNET DE SOUDURE'!$P$7:$P$1506,MATCH(119,'CARNET DE SOUDURE'!$AR$7:$AR$1506,0))&amp;" / "&amp;INDEX('CARNET DE SOUDURE'!$Q$7:$Q$1506,MATCH(119,'CARNET DE SOUDURE'!$AR$7:$AR$1506,0)))</f>
        <v/>
      </c>
      <c r="F130" s="108" t="str">
        <f aca="false">IF($B130="","",INDEX('CARNET DE SOUDURE'!$V$7:$V$1506,MATCH(119,'CARNET DE SOUDURE'!$AR$7:$AR$1506,0)))</f>
        <v/>
      </c>
      <c r="G130" s="107" t="str">
        <f aca="false">IF($B130="","",INDEX('CARNET DE SOUDURE'!$W$7:$W$1506,MATCH(119,'CARNET DE SOUDURE'!$AR$7:$AR$1506,0))&amp;"")</f>
        <v/>
      </c>
      <c r="H130" s="109" t="str">
        <f aca="false">IF($B130="","",INDEX('CARNET DE SOUDURE'!$X$7:$X$1506,MATCH(119,'CARNET DE SOUDURE'!$AR$7:$AR$1506,0)))</f>
        <v/>
      </c>
      <c r="I130" s="107" t="str">
        <f aca="false">IF($B130="","",INDEX('CARNET DE SOUDURE'!$Y$7:$Y$1506,MATCH(119,'CARNET DE SOUDURE'!$AR$7:$AR$1506,0))&amp;IF(INDEX('CARNET DE SOUDURE'!$AD$7:$AD$1506,MATCH(119,'CARNET DE SOUDURE'!$AR$7:$AR$1506,0))&lt;&gt;""," / "&amp;INDEX('CARNET DE SOUDURE'!$AD$7:$AD$1506,MATCH(119,'CARNET DE SOUDURE'!$AR$7:$AR$1506,0)),""))</f>
        <v/>
      </c>
      <c r="J130" s="107" t="str">
        <f aca="false">IF($B130="","",INDEX('CARNET DE SOUDURE'!$Z$7:$Z$1506,MATCH(119,'CARNET DE SOUDURE'!$AR$7:$AR$1506,0))&amp;IF(INDEX('CARNET DE SOUDURE'!$AE$7:$AE$1506,MATCH(119,'CARNET DE SOUDURE'!$AR$7:$AR$1506,0))&lt;&gt;""," / "&amp;INDEX('CARNET DE SOUDURE'!$AE$7:$AE$1506,MATCH(119,'CARNET DE SOUDURE'!$AR$7:$AR$1506,0)),""))</f>
        <v/>
      </c>
      <c r="K130" s="107" t="str">
        <f aca="false">IF($B130="","",INDEX('CARNET DE SOUDURE'!$AC$7:$AC$1506,MATCH(119,'CARNET DE SOUDURE'!$AR$7:$AR$1506,0))&amp;IF(INDEX('CARNET DE SOUDURE'!$AH$7:$AH$1506,MATCH(119,'CARNET DE SOUDURE'!$AR$7:$AR$1506,0))&lt;&gt;""," / "&amp;INDEX('CARNET DE SOUDURE'!$AH$7:$AH$1506,MATCH(119,'CARNET DE SOUDURE'!$AR$7:$AR$1506,0)),""))</f>
        <v/>
      </c>
      <c r="L130" s="109" t="str">
        <f aca="false">IF($B130="","",INDEX('CARNET DE SOUDURE'!$AL$7:$AL$1506,MATCH(119,'CARNET DE SOUDURE'!$AR$7:$AR$1506,0)))</f>
        <v/>
      </c>
      <c r="M130" s="109" t="str">
        <f aca="false">IF($B130="","",INDEX('CARNET DE SOUDURE'!$AM$7:$AM$1506,MATCH(119,'CARNET DE SOUDURE'!$AR$7:$AR$1506,0)))</f>
        <v/>
      </c>
      <c r="N130" s="110" t="str">
        <f aca="false">IF($B130="","",INDEX('CARNET DE SOUDURE'!$AN$7:$AN$1506,MATCH(119,'CARNET DE SOUDURE'!$AR$7:$AR$1506,0)))</f>
        <v/>
      </c>
    </row>
    <row r="131" customFormat="false" ht="15" hidden="false" customHeight="false" outlineLevel="0" collapsed="false">
      <c r="B131" s="112" t="str">
        <f aca="false">IF(120&gt;$I$4,"",120)</f>
        <v/>
      </c>
      <c r="C131" s="112" t="str">
        <f aca="false">IF($B131="","",INDEX('CARNET DE SOUDURE'!$B$7:$B$1506,MATCH(120,'CARNET DE SOUDURE'!$AR$7:$AR$1506,0)))</f>
        <v/>
      </c>
      <c r="D131" s="112" t="str">
        <f aca="false">IF($B131="","",INDEX('CARNET DE SOUDURE'!$E$7:$E$1506,MATCH(120,'CARNET DE SOUDURE'!$AR$7:$AR$1506,0)))</f>
        <v/>
      </c>
      <c r="E131" s="112" t="str">
        <f aca="false">IF($B131="","",INDEX('CARNET DE SOUDURE'!$O$7:$O$1506,MATCH(120,'CARNET DE SOUDURE'!$AR$7:$AR$1506,0))&amp;" / "&amp;INDEX('CARNET DE SOUDURE'!$P$7:$P$1506,MATCH(120,'CARNET DE SOUDURE'!$AR$7:$AR$1506,0))&amp;" / "&amp;INDEX('CARNET DE SOUDURE'!$Q$7:$Q$1506,MATCH(120,'CARNET DE SOUDURE'!$AR$7:$AR$1506,0)))</f>
        <v/>
      </c>
      <c r="F131" s="113" t="str">
        <f aca="false">IF($B131="","",INDEX('CARNET DE SOUDURE'!$V$7:$V$1506,MATCH(120,'CARNET DE SOUDURE'!$AR$7:$AR$1506,0)))</f>
        <v/>
      </c>
      <c r="G131" s="112" t="str">
        <f aca="false">IF($B131="","",INDEX('CARNET DE SOUDURE'!$W$7:$W$1506,MATCH(120,'CARNET DE SOUDURE'!$AR$7:$AR$1506,0))&amp;"")</f>
        <v/>
      </c>
      <c r="H131" s="114" t="str">
        <f aca="false">IF($B131="","",INDEX('CARNET DE SOUDURE'!$X$7:$X$1506,MATCH(120,'CARNET DE SOUDURE'!$AR$7:$AR$1506,0)))</f>
        <v/>
      </c>
      <c r="I131" s="112" t="str">
        <f aca="false">IF($B131="","",INDEX('CARNET DE SOUDURE'!$Y$7:$Y$1506,MATCH(120,'CARNET DE SOUDURE'!$AR$7:$AR$1506,0))&amp;IF(INDEX('CARNET DE SOUDURE'!$AD$7:$AD$1506,MATCH(120,'CARNET DE SOUDURE'!$AR$7:$AR$1506,0))&lt;&gt;""," / "&amp;INDEX('CARNET DE SOUDURE'!$AD$7:$AD$1506,MATCH(120,'CARNET DE SOUDURE'!$AR$7:$AR$1506,0)),""))</f>
        <v/>
      </c>
      <c r="J131" s="112" t="str">
        <f aca="false">IF($B131="","",INDEX('CARNET DE SOUDURE'!$Z$7:$Z$1506,MATCH(120,'CARNET DE SOUDURE'!$AR$7:$AR$1506,0))&amp;IF(INDEX('CARNET DE SOUDURE'!$AE$7:$AE$1506,MATCH(120,'CARNET DE SOUDURE'!$AR$7:$AR$1506,0))&lt;&gt;""," / "&amp;INDEX('CARNET DE SOUDURE'!$AE$7:$AE$1506,MATCH(120,'CARNET DE SOUDURE'!$AR$7:$AR$1506,0)),""))</f>
        <v/>
      </c>
      <c r="K131" s="112" t="str">
        <f aca="false">IF($B131="","",INDEX('CARNET DE SOUDURE'!$AC$7:$AC$1506,MATCH(120,'CARNET DE SOUDURE'!$AR$7:$AR$1506,0))&amp;IF(INDEX('CARNET DE SOUDURE'!$AH$7:$AH$1506,MATCH(120,'CARNET DE SOUDURE'!$AR$7:$AR$1506,0))&lt;&gt;""," / "&amp;INDEX('CARNET DE SOUDURE'!$AH$7:$AH$1506,MATCH(120,'CARNET DE SOUDURE'!$AR$7:$AR$1506,0)),""))</f>
        <v/>
      </c>
      <c r="L131" s="114" t="str">
        <f aca="false">IF($B131="","",INDEX('CARNET DE SOUDURE'!$AL$7:$AL$1506,MATCH(120,'CARNET DE SOUDURE'!$AR$7:$AR$1506,0)))</f>
        <v/>
      </c>
      <c r="M131" s="114" t="str">
        <f aca="false">IF($B131="","",INDEX('CARNET DE SOUDURE'!$AM$7:$AM$1506,MATCH(120,'CARNET DE SOUDURE'!$AR$7:$AR$1506,0)))</f>
        <v/>
      </c>
      <c r="N131" s="115" t="str">
        <f aca="false">IF($B131="","",INDEX('CARNET DE SOUDURE'!$AN$7:$AN$1506,MATCH(120,'CARNET DE SOUDURE'!$AR$7:$AR$1506,0)))</f>
        <v/>
      </c>
    </row>
    <row r="132" customFormat="false" ht="15" hidden="false" customHeight="false" outlineLevel="0" collapsed="false">
      <c r="B132" s="107" t="str">
        <f aca="false">IF(121&gt;$I$4,"",121)</f>
        <v/>
      </c>
      <c r="C132" s="107" t="str">
        <f aca="false">IF($B132="","",INDEX('CARNET DE SOUDURE'!$B$7:$B$1506,MATCH(121,'CARNET DE SOUDURE'!$AR$7:$AR$1506,0)))</f>
        <v/>
      </c>
      <c r="D132" s="107" t="str">
        <f aca="false">IF($B132="","",INDEX('CARNET DE SOUDURE'!$E$7:$E$1506,MATCH(121,'CARNET DE SOUDURE'!$AR$7:$AR$1506,0)))</f>
        <v/>
      </c>
      <c r="E132" s="107" t="str">
        <f aca="false">IF($B132="","",INDEX('CARNET DE SOUDURE'!$O$7:$O$1506,MATCH(121,'CARNET DE SOUDURE'!$AR$7:$AR$1506,0))&amp;" / "&amp;INDEX('CARNET DE SOUDURE'!$P$7:$P$1506,MATCH(121,'CARNET DE SOUDURE'!$AR$7:$AR$1506,0))&amp;" / "&amp;INDEX('CARNET DE SOUDURE'!$Q$7:$Q$1506,MATCH(121,'CARNET DE SOUDURE'!$AR$7:$AR$1506,0)))</f>
        <v/>
      </c>
      <c r="F132" s="108" t="str">
        <f aca="false">IF($B132="","",INDEX('CARNET DE SOUDURE'!$V$7:$V$1506,MATCH(121,'CARNET DE SOUDURE'!$AR$7:$AR$1506,0)))</f>
        <v/>
      </c>
      <c r="G132" s="107" t="str">
        <f aca="false">IF($B132="","",INDEX('CARNET DE SOUDURE'!$W$7:$W$1506,MATCH(121,'CARNET DE SOUDURE'!$AR$7:$AR$1506,0))&amp;"")</f>
        <v/>
      </c>
      <c r="H132" s="109" t="str">
        <f aca="false">IF($B132="","",INDEX('CARNET DE SOUDURE'!$X$7:$X$1506,MATCH(121,'CARNET DE SOUDURE'!$AR$7:$AR$1506,0)))</f>
        <v/>
      </c>
      <c r="I132" s="107" t="str">
        <f aca="false">IF($B132="","",INDEX('CARNET DE SOUDURE'!$Y$7:$Y$1506,MATCH(121,'CARNET DE SOUDURE'!$AR$7:$AR$1506,0))&amp;IF(INDEX('CARNET DE SOUDURE'!$AD$7:$AD$1506,MATCH(121,'CARNET DE SOUDURE'!$AR$7:$AR$1506,0))&lt;&gt;""," / "&amp;INDEX('CARNET DE SOUDURE'!$AD$7:$AD$1506,MATCH(121,'CARNET DE SOUDURE'!$AR$7:$AR$1506,0)),""))</f>
        <v/>
      </c>
      <c r="J132" s="107" t="str">
        <f aca="false">IF($B132="","",INDEX('CARNET DE SOUDURE'!$Z$7:$Z$1506,MATCH(121,'CARNET DE SOUDURE'!$AR$7:$AR$1506,0))&amp;IF(INDEX('CARNET DE SOUDURE'!$AE$7:$AE$1506,MATCH(121,'CARNET DE SOUDURE'!$AR$7:$AR$1506,0))&lt;&gt;""," / "&amp;INDEX('CARNET DE SOUDURE'!$AE$7:$AE$1506,MATCH(121,'CARNET DE SOUDURE'!$AR$7:$AR$1506,0)),""))</f>
        <v/>
      </c>
      <c r="K132" s="107" t="str">
        <f aca="false">IF($B132="","",INDEX('CARNET DE SOUDURE'!$AC$7:$AC$1506,MATCH(121,'CARNET DE SOUDURE'!$AR$7:$AR$1506,0))&amp;IF(INDEX('CARNET DE SOUDURE'!$AH$7:$AH$1506,MATCH(121,'CARNET DE SOUDURE'!$AR$7:$AR$1506,0))&lt;&gt;""," / "&amp;INDEX('CARNET DE SOUDURE'!$AH$7:$AH$1506,MATCH(121,'CARNET DE SOUDURE'!$AR$7:$AR$1506,0)),""))</f>
        <v/>
      </c>
      <c r="L132" s="109" t="str">
        <f aca="false">IF($B132="","",INDEX('CARNET DE SOUDURE'!$AL$7:$AL$1506,MATCH(121,'CARNET DE SOUDURE'!$AR$7:$AR$1506,0)))</f>
        <v/>
      </c>
      <c r="M132" s="109" t="str">
        <f aca="false">IF($B132="","",INDEX('CARNET DE SOUDURE'!$AM$7:$AM$1506,MATCH(121,'CARNET DE SOUDURE'!$AR$7:$AR$1506,0)))</f>
        <v/>
      </c>
      <c r="N132" s="110" t="str">
        <f aca="false">IF($B132="","",INDEX('CARNET DE SOUDURE'!$AN$7:$AN$1506,MATCH(121,'CARNET DE SOUDURE'!$AR$7:$AR$1506,0)))</f>
        <v/>
      </c>
    </row>
    <row r="133" customFormat="false" ht="15" hidden="false" customHeight="false" outlineLevel="0" collapsed="false">
      <c r="B133" s="112" t="str">
        <f aca="false">IF(122&gt;$I$4,"",122)</f>
        <v/>
      </c>
      <c r="C133" s="112" t="str">
        <f aca="false">IF($B133="","",INDEX('CARNET DE SOUDURE'!$B$7:$B$1506,MATCH(122,'CARNET DE SOUDURE'!$AR$7:$AR$1506,0)))</f>
        <v/>
      </c>
      <c r="D133" s="112" t="str">
        <f aca="false">IF($B133="","",INDEX('CARNET DE SOUDURE'!$E$7:$E$1506,MATCH(122,'CARNET DE SOUDURE'!$AR$7:$AR$1506,0)))</f>
        <v/>
      </c>
      <c r="E133" s="112" t="str">
        <f aca="false">IF($B133="","",INDEX('CARNET DE SOUDURE'!$O$7:$O$1506,MATCH(122,'CARNET DE SOUDURE'!$AR$7:$AR$1506,0))&amp;" / "&amp;INDEX('CARNET DE SOUDURE'!$P$7:$P$1506,MATCH(122,'CARNET DE SOUDURE'!$AR$7:$AR$1506,0))&amp;" / "&amp;INDEX('CARNET DE SOUDURE'!$Q$7:$Q$1506,MATCH(122,'CARNET DE SOUDURE'!$AR$7:$AR$1506,0)))</f>
        <v/>
      </c>
      <c r="F133" s="113" t="str">
        <f aca="false">IF($B133="","",INDEX('CARNET DE SOUDURE'!$V$7:$V$1506,MATCH(122,'CARNET DE SOUDURE'!$AR$7:$AR$1506,0)))</f>
        <v/>
      </c>
      <c r="G133" s="112" t="str">
        <f aca="false">IF($B133="","",INDEX('CARNET DE SOUDURE'!$W$7:$W$1506,MATCH(122,'CARNET DE SOUDURE'!$AR$7:$AR$1506,0))&amp;"")</f>
        <v/>
      </c>
      <c r="H133" s="114" t="str">
        <f aca="false">IF($B133="","",INDEX('CARNET DE SOUDURE'!$X$7:$X$1506,MATCH(122,'CARNET DE SOUDURE'!$AR$7:$AR$1506,0)))</f>
        <v/>
      </c>
      <c r="I133" s="112" t="str">
        <f aca="false">IF($B133="","",INDEX('CARNET DE SOUDURE'!$Y$7:$Y$1506,MATCH(122,'CARNET DE SOUDURE'!$AR$7:$AR$1506,0))&amp;IF(INDEX('CARNET DE SOUDURE'!$AD$7:$AD$1506,MATCH(122,'CARNET DE SOUDURE'!$AR$7:$AR$1506,0))&lt;&gt;""," / "&amp;INDEX('CARNET DE SOUDURE'!$AD$7:$AD$1506,MATCH(122,'CARNET DE SOUDURE'!$AR$7:$AR$1506,0)),""))</f>
        <v/>
      </c>
      <c r="J133" s="112" t="str">
        <f aca="false">IF($B133="","",INDEX('CARNET DE SOUDURE'!$Z$7:$Z$1506,MATCH(122,'CARNET DE SOUDURE'!$AR$7:$AR$1506,0))&amp;IF(INDEX('CARNET DE SOUDURE'!$AE$7:$AE$1506,MATCH(122,'CARNET DE SOUDURE'!$AR$7:$AR$1506,0))&lt;&gt;""," / "&amp;INDEX('CARNET DE SOUDURE'!$AE$7:$AE$1506,MATCH(122,'CARNET DE SOUDURE'!$AR$7:$AR$1506,0)),""))</f>
        <v/>
      </c>
      <c r="K133" s="112" t="str">
        <f aca="false">IF($B133="","",INDEX('CARNET DE SOUDURE'!$AC$7:$AC$1506,MATCH(122,'CARNET DE SOUDURE'!$AR$7:$AR$1506,0))&amp;IF(INDEX('CARNET DE SOUDURE'!$AH$7:$AH$1506,MATCH(122,'CARNET DE SOUDURE'!$AR$7:$AR$1506,0))&lt;&gt;""," / "&amp;INDEX('CARNET DE SOUDURE'!$AH$7:$AH$1506,MATCH(122,'CARNET DE SOUDURE'!$AR$7:$AR$1506,0)),""))</f>
        <v/>
      </c>
      <c r="L133" s="114" t="str">
        <f aca="false">IF($B133="","",INDEX('CARNET DE SOUDURE'!$AL$7:$AL$1506,MATCH(122,'CARNET DE SOUDURE'!$AR$7:$AR$1506,0)))</f>
        <v/>
      </c>
      <c r="M133" s="114" t="str">
        <f aca="false">IF($B133="","",INDEX('CARNET DE SOUDURE'!$AM$7:$AM$1506,MATCH(122,'CARNET DE SOUDURE'!$AR$7:$AR$1506,0)))</f>
        <v/>
      </c>
      <c r="N133" s="115" t="str">
        <f aca="false">IF($B133="","",INDEX('CARNET DE SOUDURE'!$AN$7:$AN$1506,MATCH(122,'CARNET DE SOUDURE'!$AR$7:$AR$1506,0)))</f>
        <v/>
      </c>
    </row>
    <row r="134" customFormat="false" ht="15" hidden="false" customHeight="false" outlineLevel="0" collapsed="false">
      <c r="B134" s="107" t="str">
        <f aca="false">IF(123&gt;$I$4,"",123)</f>
        <v/>
      </c>
      <c r="C134" s="107" t="str">
        <f aca="false">IF($B134="","",INDEX('CARNET DE SOUDURE'!$B$7:$B$1506,MATCH(123,'CARNET DE SOUDURE'!$AR$7:$AR$1506,0)))</f>
        <v/>
      </c>
      <c r="D134" s="107" t="str">
        <f aca="false">IF($B134="","",INDEX('CARNET DE SOUDURE'!$E$7:$E$1506,MATCH(123,'CARNET DE SOUDURE'!$AR$7:$AR$1506,0)))</f>
        <v/>
      </c>
      <c r="E134" s="107" t="str">
        <f aca="false">IF($B134="","",INDEX('CARNET DE SOUDURE'!$O$7:$O$1506,MATCH(123,'CARNET DE SOUDURE'!$AR$7:$AR$1506,0))&amp;" / "&amp;INDEX('CARNET DE SOUDURE'!$P$7:$P$1506,MATCH(123,'CARNET DE SOUDURE'!$AR$7:$AR$1506,0))&amp;" / "&amp;INDEX('CARNET DE SOUDURE'!$Q$7:$Q$1506,MATCH(123,'CARNET DE SOUDURE'!$AR$7:$AR$1506,0)))</f>
        <v/>
      </c>
      <c r="F134" s="108" t="str">
        <f aca="false">IF($B134="","",INDEX('CARNET DE SOUDURE'!$V$7:$V$1506,MATCH(123,'CARNET DE SOUDURE'!$AR$7:$AR$1506,0)))</f>
        <v/>
      </c>
      <c r="G134" s="107" t="str">
        <f aca="false">IF($B134="","",INDEX('CARNET DE SOUDURE'!$W$7:$W$1506,MATCH(123,'CARNET DE SOUDURE'!$AR$7:$AR$1506,0))&amp;"")</f>
        <v/>
      </c>
      <c r="H134" s="109" t="str">
        <f aca="false">IF($B134="","",INDEX('CARNET DE SOUDURE'!$X$7:$X$1506,MATCH(123,'CARNET DE SOUDURE'!$AR$7:$AR$1506,0)))</f>
        <v/>
      </c>
      <c r="I134" s="107" t="str">
        <f aca="false">IF($B134="","",INDEX('CARNET DE SOUDURE'!$Y$7:$Y$1506,MATCH(123,'CARNET DE SOUDURE'!$AR$7:$AR$1506,0))&amp;IF(INDEX('CARNET DE SOUDURE'!$AD$7:$AD$1506,MATCH(123,'CARNET DE SOUDURE'!$AR$7:$AR$1506,0))&lt;&gt;""," / "&amp;INDEX('CARNET DE SOUDURE'!$AD$7:$AD$1506,MATCH(123,'CARNET DE SOUDURE'!$AR$7:$AR$1506,0)),""))</f>
        <v/>
      </c>
      <c r="J134" s="107" t="str">
        <f aca="false">IF($B134="","",INDEX('CARNET DE SOUDURE'!$Z$7:$Z$1506,MATCH(123,'CARNET DE SOUDURE'!$AR$7:$AR$1506,0))&amp;IF(INDEX('CARNET DE SOUDURE'!$AE$7:$AE$1506,MATCH(123,'CARNET DE SOUDURE'!$AR$7:$AR$1506,0))&lt;&gt;""," / "&amp;INDEX('CARNET DE SOUDURE'!$AE$7:$AE$1506,MATCH(123,'CARNET DE SOUDURE'!$AR$7:$AR$1506,0)),""))</f>
        <v/>
      </c>
      <c r="K134" s="107" t="str">
        <f aca="false">IF($B134="","",INDEX('CARNET DE SOUDURE'!$AC$7:$AC$1506,MATCH(123,'CARNET DE SOUDURE'!$AR$7:$AR$1506,0))&amp;IF(INDEX('CARNET DE SOUDURE'!$AH$7:$AH$1506,MATCH(123,'CARNET DE SOUDURE'!$AR$7:$AR$1506,0))&lt;&gt;""," / "&amp;INDEX('CARNET DE SOUDURE'!$AH$7:$AH$1506,MATCH(123,'CARNET DE SOUDURE'!$AR$7:$AR$1506,0)),""))</f>
        <v/>
      </c>
      <c r="L134" s="109" t="str">
        <f aca="false">IF($B134="","",INDEX('CARNET DE SOUDURE'!$AL$7:$AL$1506,MATCH(123,'CARNET DE SOUDURE'!$AR$7:$AR$1506,0)))</f>
        <v/>
      </c>
      <c r="M134" s="109" t="str">
        <f aca="false">IF($B134="","",INDEX('CARNET DE SOUDURE'!$AM$7:$AM$1506,MATCH(123,'CARNET DE SOUDURE'!$AR$7:$AR$1506,0)))</f>
        <v/>
      </c>
      <c r="N134" s="110" t="str">
        <f aca="false">IF($B134="","",INDEX('CARNET DE SOUDURE'!$AN$7:$AN$1506,MATCH(123,'CARNET DE SOUDURE'!$AR$7:$AR$1506,0)))</f>
        <v/>
      </c>
    </row>
    <row r="135" customFormat="false" ht="15" hidden="false" customHeight="false" outlineLevel="0" collapsed="false">
      <c r="B135" s="112" t="str">
        <f aca="false">IF(124&gt;$I$4,"",124)</f>
        <v/>
      </c>
      <c r="C135" s="112" t="str">
        <f aca="false">IF($B135="","",INDEX('CARNET DE SOUDURE'!$B$7:$B$1506,MATCH(124,'CARNET DE SOUDURE'!$AR$7:$AR$1506,0)))</f>
        <v/>
      </c>
      <c r="D135" s="112" t="str">
        <f aca="false">IF($B135="","",INDEX('CARNET DE SOUDURE'!$E$7:$E$1506,MATCH(124,'CARNET DE SOUDURE'!$AR$7:$AR$1506,0)))</f>
        <v/>
      </c>
      <c r="E135" s="112" t="str">
        <f aca="false">IF($B135="","",INDEX('CARNET DE SOUDURE'!$O$7:$O$1506,MATCH(124,'CARNET DE SOUDURE'!$AR$7:$AR$1506,0))&amp;" / "&amp;INDEX('CARNET DE SOUDURE'!$P$7:$P$1506,MATCH(124,'CARNET DE SOUDURE'!$AR$7:$AR$1506,0))&amp;" / "&amp;INDEX('CARNET DE SOUDURE'!$Q$7:$Q$1506,MATCH(124,'CARNET DE SOUDURE'!$AR$7:$AR$1506,0)))</f>
        <v/>
      </c>
      <c r="F135" s="113" t="str">
        <f aca="false">IF($B135="","",INDEX('CARNET DE SOUDURE'!$V$7:$V$1506,MATCH(124,'CARNET DE SOUDURE'!$AR$7:$AR$1506,0)))</f>
        <v/>
      </c>
      <c r="G135" s="112" t="str">
        <f aca="false">IF($B135="","",INDEX('CARNET DE SOUDURE'!$W$7:$W$1506,MATCH(124,'CARNET DE SOUDURE'!$AR$7:$AR$1506,0))&amp;"")</f>
        <v/>
      </c>
      <c r="H135" s="114" t="str">
        <f aca="false">IF($B135="","",INDEX('CARNET DE SOUDURE'!$X$7:$X$1506,MATCH(124,'CARNET DE SOUDURE'!$AR$7:$AR$1506,0)))</f>
        <v/>
      </c>
      <c r="I135" s="112" t="str">
        <f aca="false">IF($B135="","",INDEX('CARNET DE SOUDURE'!$Y$7:$Y$1506,MATCH(124,'CARNET DE SOUDURE'!$AR$7:$AR$1506,0))&amp;IF(INDEX('CARNET DE SOUDURE'!$AD$7:$AD$1506,MATCH(124,'CARNET DE SOUDURE'!$AR$7:$AR$1506,0))&lt;&gt;""," / "&amp;INDEX('CARNET DE SOUDURE'!$AD$7:$AD$1506,MATCH(124,'CARNET DE SOUDURE'!$AR$7:$AR$1506,0)),""))</f>
        <v/>
      </c>
      <c r="J135" s="112" t="str">
        <f aca="false">IF($B135="","",INDEX('CARNET DE SOUDURE'!$Z$7:$Z$1506,MATCH(124,'CARNET DE SOUDURE'!$AR$7:$AR$1506,0))&amp;IF(INDEX('CARNET DE SOUDURE'!$AE$7:$AE$1506,MATCH(124,'CARNET DE SOUDURE'!$AR$7:$AR$1506,0))&lt;&gt;""," / "&amp;INDEX('CARNET DE SOUDURE'!$AE$7:$AE$1506,MATCH(124,'CARNET DE SOUDURE'!$AR$7:$AR$1506,0)),""))</f>
        <v/>
      </c>
      <c r="K135" s="112" t="str">
        <f aca="false">IF($B135="","",INDEX('CARNET DE SOUDURE'!$AC$7:$AC$1506,MATCH(124,'CARNET DE SOUDURE'!$AR$7:$AR$1506,0))&amp;IF(INDEX('CARNET DE SOUDURE'!$AH$7:$AH$1506,MATCH(124,'CARNET DE SOUDURE'!$AR$7:$AR$1506,0))&lt;&gt;""," / "&amp;INDEX('CARNET DE SOUDURE'!$AH$7:$AH$1506,MATCH(124,'CARNET DE SOUDURE'!$AR$7:$AR$1506,0)),""))</f>
        <v/>
      </c>
      <c r="L135" s="114" t="str">
        <f aca="false">IF($B135="","",INDEX('CARNET DE SOUDURE'!$AL$7:$AL$1506,MATCH(124,'CARNET DE SOUDURE'!$AR$7:$AR$1506,0)))</f>
        <v/>
      </c>
      <c r="M135" s="114" t="str">
        <f aca="false">IF($B135="","",INDEX('CARNET DE SOUDURE'!$AM$7:$AM$1506,MATCH(124,'CARNET DE SOUDURE'!$AR$7:$AR$1506,0)))</f>
        <v/>
      </c>
      <c r="N135" s="115" t="str">
        <f aca="false">IF($B135="","",INDEX('CARNET DE SOUDURE'!$AN$7:$AN$1506,MATCH(124,'CARNET DE SOUDURE'!$AR$7:$AR$1506,0)))</f>
        <v/>
      </c>
    </row>
    <row r="136" customFormat="false" ht="15" hidden="false" customHeight="false" outlineLevel="0" collapsed="false">
      <c r="B136" s="107" t="str">
        <f aca="false">IF(125&gt;$I$4,"",125)</f>
        <v/>
      </c>
      <c r="C136" s="107" t="str">
        <f aca="false">IF($B136="","",INDEX('CARNET DE SOUDURE'!$B$7:$B$1506,MATCH(125,'CARNET DE SOUDURE'!$AR$7:$AR$1506,0)))</f>
        <v/>
      </c>
      <c r="D136" s="107" t="str">
        <f aca="false">IF($B136="","",INDEX('CARNET DE SOUDURE'!$E$7:$E$1506,MATCH(125,'CARNET DE SOUDURE'!$AR$7:$AR$1506,0)))</f>
        <v/>
      </c>
      <c r="E136" s="107" t="str">
        <f aca="false">IF($B136="","",INDEX('CARNET DE SOUDURE'!$O$7:$O$1506,MATCH(125,'CARNET DE SOUDURE'!$AR$7:$AR$1506,0))&amp;" / "&amp;INDEX('CARNET DE SOUDURE'!$P$7:$P$1506,MATCH(125,'CARNET DE SOUDURE'!$AR$7:$AR$1506,0))&amp;" / "&amp;INDEX('CARNET DE SOUDURE'!$Q$7:$Q$1506,MATCH(125,'CARNET DE SOUDURE'!$AR$7:$AR$1506,0)))</f>
        <v/>
      </c>
      <c r="F136" s="108" t="str">
        <f aca="false">IF($B136="","",INDEX('CARNET DE SOUDURE'!$V$7:$V$1506,MATCH(125,'CARNET DE SOUDURE'!$AR$7:$AR$1506,0)))</f>
        <v/>
      </c>
      <c r="G136" s="107" t="str">
        <f aca="false">IF($B136="","",INDEX('CARNET DE SOUDURE'!$W$7:$W$1506,MATCH(125,'CARNET DE SOUDURE'!$AR$7:$AR$1506,0))&amp;"")</f>
        <v/>
      </c>
      <c r="H136" s="109" t="str">
        <f aca="false">IF($B136="","",INDEX('CARNET DE SOUDURE'!$X$7:$X$1506,MATCH(125,'CARNET DE SOUDURE'!$AR$7:$AR$1506,0)))</f>
        <v/>
      </c>
      <c r="I136" s="107" t="str">
        <f aca="false">IF($B136="","",INDEX('CARNET DE SOUDURE'!$Y$7:$Y$1506,MATCH(125,'CARNET DE SOUDURE'!$AR$7:$AR$1506,0))&amp;IF(INDEX('CARNET DE SOUDURE'!$AD$7:$AD$1506,MATCH(125,'CARNET DE SOUDURE'!$AR$7:$AR$1506,0))&lt;&gt;""," / "&amp;INDEX('CARNET DE SOUDURE'!$AD$7:$AD$1506,MATCH(125,'CARNET DE SOUDURE'!$AR$7:$AR$1506,0)),""))</f>
        <v/>
      </c>
      <c r="J136" s="107" t="str">
        <f aca="false">IF($B136="","",INDEX('CARNET DE SOUDURE'!$Z$7:$Z$1506,MATCH(125,'CARNET DE SOUDURE'!$AR$7:$AR$1506,0))&amp;IF(INDEX('CARNET DE SOUDURE'!$AE$7:$AE$1506,MATCH(125,'CARNET DE SOUDURE'!$AR$7:$AR$1506,0))&lt;&gt;""," / "&amp;INDEX('CARNET DE SOUDURE'!$AE$7:$AE$1506,MATCH(125,'CARNET DE SOUDURE'!$AR$7:$AR$1506,0)),""))</f>
        <v/>
      </c>
      <c r="K136" s="107" t="str">
        <f aca="false">IF($B136="","",INDEX('CARNET DE SOUDURE'!$AC$7:$AC$1506,MATCH(125,'CARNET DE SOUDURE'!$AR$7:$AR$1506,0))&amp;IF(INDEX('CARNET DE SOUDURE'!$AH$7:$AH$1506,MATCH(125,'CARNET DE SOUDURE'!$AR$7:$AR$1506,0))&lt;&gt;""," / "&amp;INDEX('CARNET DE SOUDURE'!$AH$7:$AH$1506,MATCH(125,'CARNET DE SOUDURE'!$AR$7:$AR$1506,0)),""))</f>
        <v/>
      </c>
      <c r="L136" s="109" t="str">
        <f aca="false">IF($B136="","",INDEX('CARNET DE SOUDURE'!$AL$7:$AL$1506,MATCH(125,'CARNET DE SOUDURE'!$AR$7:$AR$1506,0)))</f>
        <v/>
      </c>
      <c r="M136" s="109" t="str">
        <f aca="false">IF($B136="","",INDEX('CARNET DE SOUDURE'!$AM$7:$AM$1506,MATCH(125,'CARNET DE SOUDURE'!$AR$7:$AR$1506,0)))</f>
        <v/>
      </c>
      <c r="N136" s="110" t="str">
        <f aca="false">IF($B136="","",INDEX('CARNET DE SOUDURE'!$AN$7:$AN$1506,MATCH(125,'CARNET DE SOUDURE'!$AR$7:$AR$1506,0)))</f>
        <v/>
      </c>
    </row>
    <row r="137" customFormat="false" ht="15" hidden="false" customHeight="false" outlineLevel="0" collapsed="false">
      <c r="B137" s="112" t="str">
        <f aca="false">IF(126&gt;$I$4,"",126)</f>
        <v/>
      </c>
      <c r="C137" s="112" t="str">
        <f aca="false">IF($B137="","",INDEX('CARNET DE SOUDURE'!$B$7:$B$1506,MATCH(126,'CARNET DE SOUDURE'!$AR$7:$AR$1506,0)))</f>
        <v/>
      </c>
      <c r="D137" s="112" t="str">
        <f aca="false">IF($B137="","",INDEX('CARNET DE SOUDURE'!$E$7:$E$1506,MATCH(126,'CARNET DE SOUDURE'!$AR$7:$AR$1506,0)))</f>
        <v/>
      </c>
      <c r="E137" s="112" t="str">
        <f aca="false">IF($B137="","",INDEX('CARNET DE SOUDURE'!$O$7:$O$1506,MATCH(126,'CARNET DE SOUDURE'!$AR$7:$AR$1506,0))&amp;" / "&amp;INDEX('CARNET DE SOUDURE'!$P$7:$P$1506,MATCH(126,'CARNET DE SOUDURE'!$AR$7:$AR$1506,0))&amp;" / "&amp;INDEX('CARNET DE SOUDURE'!$Q$7:$Q$1506,MATCH(126,'CARNET DE SOUDURE'!$AR$7:$AR$1506,0)))</f>
        <v/>
      </c>
      <c r="F137" s="113" t="str">
        <f aca="false">IF($B137="","",INDEX('CARNET DE SOUDURE'!$V$7:$V$1506,MATCH(126,'CARNET DE SOUDURE'!$AR$7:$AR$1506,0)))</f>
        <v/>
      </c>
      <c r="G137" s="112" t="str">
        <f aca="false">IF($B137="","",INDEX('CARNET DE SOUDURE'!$W$7:$W$1506,MATCH(126,'CARNET DE SOUDURE'!$AR$7:$AR$1506,0))&amp;"")</f>
        <v/>
      </c>
      <c r="H137" s="114" t="str">
        <f aca="false">IF($B137="","",INDEX('CARNET DE SOUDURE'!$X$7:$X$1506,MATCH(126,'CARNET DE SOUDURE'!$AR$7:$AR$1506,0)))</f>
        <v/>
      </c>
      <c r="I137" s="112" t="str">
        <f aca="false">IF($B137="","",INDEX('CARNET DE SOUDURE'!$Y$7:$Y$1506,MATCH(126,'CARNET DE SOUDURE'!$AR$7:$AR$1506,0))&amp;IF(INDEX('CARNET DE SOUDURE'!$AD$7:$AD$1506,MATCH(126,'CARNET DE SOUDURE'!$AR$7:$AR$1506,0))&lt;&gt;""," / "&amp;INDEX('CARNET DE SOUDURE'!$AD$7:$AD$1506,MATCH(126,'CARNET DE SOUDURE'!$AR$7:$AR$1506,0)),""))</f>
        <v/>
      </c>
      <c r="J137" s="112" t="str">
        <f aca="false">IF($B137="","",INDEX('CARNET DE SOUDURE'!$Z$7:$Z$1506,MATCH(126,'CARNET DE SOUDURE'!$AR$7:$AR$1506,0))&amp;IF(INDEX('CARNET DE SOUDURE'!$AE$7:$AE$1506,MATCH(126,'CARNET DE SOUDURE'!$AR$7:$AR$1506,0))&lt;&gt;""," / "&amp;INDEX('CARNET DE SOUDURE'!$AE$7:$AE$1506,MATCH(126,'CARNET DE SOUDURE'!$AR$7:$AR$1506,0)),""))</f>
        <v/>
      </c>
      <c r="K137" s="112" t="str">
        <f aca="false">IF($B137="","",INDEX('CARNET DE SOUDURE'!$AC$7:$AC$1506,MATCH(126,'CARNET DE SOUDURE'!$AR$7:$AR$1506,0))&amp;IF(INDEX('CARNET DE SOUDURE'!$AH$7:$AH$1506,MATCH(126,'CARNET DE SOUDURE'!$AR$7:$AR$1506,0))&lt;&gt;""," / "&amp;INDEX('CARNET DE SOUDURE'!$AH$7:$AH$1506,MATCH(126,'CARNET DE SOUDURE'!$AR$7:$AR$1506,0)),""))</f>
        <v/>
      </c>
      <c r="L137" s="114" t="str">
        <f aca="false">IF($B137="","",INDEX('CARNET DE SOUDURE'!$AL$7:$AL$1506,MATCH(126,'CARNET DE SOUDURE'!$AR$7:$AR$1506,0)))</f>
        <v/>
      </c>
      <c r="M137" s="114" t="str">
        <f aca="false">IF($B137="","",INDEX('CARNET DE SOUDURE'!$AM$7:$AM$1506,MATCH(126,'CARNET DE SOUDURE'!$AR$7:$AR$1506,0)))</f>
        <v/>
      </c>
      <c r="N137" s="115" t="str">
        <f aca="false">IF($B137="","",INDEX('CARNET DE SOUDURE'!$AN$7:$AN$1506,MATCH(126,'CARNET DE SOUDURE'!$AR$7:$AR$1506,0)))</f>
        <v/>
      </c>
    </row>
    <row r="138" customFormat="false" ht="15" hidden="false" customHeight="false" outlineLevel="0" collapsed="false">
      <c r="B138" s="107" t="str">
        <f aca="false">IF(127&gt;$I$4,"",127)</f>
        <v/>
      </c>
      <c r="C138" s="107" t="str">
        <f aca="false">IF($B138="","",INDEX('CARNET DE SOUDURE'!$B$7:$B$1506,MATCH(127,'CARNET DE SOUDURE'!$AR$7:$AR$1506,0)))</f>
        <v/>
      </c>
      <c r="D138" s="107" t="str">
        <f aca="false">IF($B138="","",INDEX('CARNET DE SOUDURE'!$E$7:$E$1506,MATCH(127,'CARNET DE SOUDURE'!$AR$7:$AR$1506,0)))</f>
        <v/>
      </c>
      <c r="E138" s="107" t="str">
        <f aca="false">IF($B138="","",INDEX('CARNET DE SOUDURE'!$O$7:$O$1506,MATCH(127,'CARNET DE SOUDURE'!$AR$7:$AR$1506,0))&amp;" / "&amp;INDEX('CARNET DE SOUDURE'!$P$7:$P$1506,MATCH(127,'CARNET DE SOUDURE'!$AR$7:$AR$1506,0))&amp;" / "&amp;INDEX('CARNET DE SOUDURE'!$Q$7:$Q$1506,MATCH(127,'CARNET DE SOUDURE'!$AR$7:$AR$1506,0)))</f>
        <v/>
      </c>
      <c r="F138" s="108" t="str">
        <f aca="false">IF($B138="","",INDEX('CARNET DE SOUDURE'!$V$7:$V$1506,MATCH(127,'CARNET DE SOUDURE'!$AR$7:$AR$1506,0)))</f>
        <v/>
      </c>
      <c r="G138" s="107" t="str">
        <f aca="false">IF($B138="","",INDEX('CARNET DE SOUDURE'!$W$7:$W$1506,MATCH(127,'CARNET DE SOUDURE'!$AR$7:$AR$1506,0))&amp;"")</f>
        <v/>
      </c>
      <c r="H138" s="109" t="str">
        <f aca="false">IF($B138="","",INDEX('CARNET DE SOUDURE'!$X$7:$X$1506,MATCH(127,'CARNET DE SOUDURE'!$AR$7:$AR$1506,0)))</f>
        <v/>
      </c>
      <c r="I138" s="107" t="str">
        <f aca="false">IF($B138="","",INDEX('CARNET DE SOUDURE'!$Y$7:$Y$1506,MATCH(127,'CARNET DE SOUDURE'!$AR$7:$AR$1506,0))&amp;IF(INDEX('CARNET DE SOUDURE'!$AD$7:$AD$1506,MATCH(127,'CARNET DE SOUDURE'!$AR$7:$AR$1506,0))&lt;&gt;""," / "&amp;INDEX('CARNET DE SOUDURE'!$AD$7:$AD$1506,MATCH(127,'CARNET DE SOUDURE'!$AR$7:$AR$1506,0)),""))</f>
        <v/>
      </c>
      <c r="J138" s="107" t="str">
        <f aca="false">IF($B138="","",INDEX('CARNET DE SOUDURE'!$Z$7:$Z$1506,MATCH(127,'CARNET DE SOUDURE'!$AR$7:$AR$1506,0))&amp;IF(INDEX('CARNET DE SOUDURE'!$AE$7:$AE$1506,MATCH(127,'CARNET DE SOUDURE'!$AR$7:$AR$1506,0))&lt;&gt;""," / "&amp;INDEX('CARNET DE SOUDURE'!$AE$7:$AE$1506,MATCH(127,'CARNET DE SOUDURE'!$AR$7:$AR$1506,0)),""))</f>
        <v/>
      </c>
      <c r="K138" s="107" t="str">
        <f aca="false">IF($B138="","",INDEX('CARNET DE SOUDURE'!$AC$7:$AC$1506,MATCH(127,'CARNET DE SOUDURE'!$AR$7:$AR$1506,0))&amp;IF(INDEX('CARNET DE SOUDURE'!$AH$7:$AH$1506,MATCH(127,'CARNET DE SOUDURE'!$AR$7:$AR$1506,0))&lt;&gt;""," / "&amp;INDEX('CARNET DE SOUDURE'!$AH$7:$AH$1506,MATCH(127,'CARNET DE SOUDURE'!$AR$7:$AR$1506,0)),""))</f>
        <v/>
      </c>
      <c r="L138" s="109" t="str">
        <f aca="false">IF($B138="","",INDEX('CARNET DE SOUDURE'!$AL$7:$AL$1506,MATCH(127,'CARNET DE SOUDURE'!$AR$7:$AR$1506,0)))</f>
        <v/>
      </c>
      <c r="M138" s="109" t="str">
        <f aca="false">IF($B138="","",INDEX('CARNET DE SOUDURE'!$AM$7:$AM$1506,MATCH(127,'CARNET DE SOUDURE'!$AR$7:$AR$1506,0)))</f>
        <v/>
      </c>
      <c r="N138" s="110" t="str">
        <f aca="false">IF($B138="","",INDEX('CARNET DE SOUDURE'!$AN$7:$AN$1506,MATCH(127,'CARNET DE SOUDURE'!$AR$7:$AR$1506,0)))</f>
        <v/>
      </c>
    </row>
    <row r="139" customFormat="false" ht="15" hidden="false" customHeight="false" outlineLevel="0" collapsed="false">
      <c r="B139" s="112" t="str">
        <f aca="false">IF(128&gt;$I$4,"",128)</f>
        <v/>
      </c>
      <c r="C139" s="112" t="str">
        <f aca="false">IF($B139="","",INDEX('CARNET DE SOUDURE'!$B$7:$B$1506,MATCH(128,'CARNET DE SOUDURE'!$AR$7:$AR$1506,0)))</f>
        <v/>
      </c>
      <c r="D139" s="112" t="str">
        <f aca="false">IF($B139="","",INDEX('CARNET DE SOUDURE'!$E$7:$E$1506,MATCH(128,'CARNET DE SOUDURE'!$AR$7:$AR$1506,0)))</f>
        <v/>
      </c>
      <c r="E139" s="112" t="str">
        <f aca="false">IF($B139="","",INDEX('CARNET DE SOUDURE'!$O$7:$O$1506,MATCH(128,'CARNET DE SOUDURE'!$AR$7:$AR$1506,0))&amp;" / "&amp;INDEX('CARNET DE SOUDURE'!$P$7:$P$1506,MATCH(128,'CARNET DE SOUDURE'!$AR$7:$AR$1506,0))&amp;" / "&amp;INDEX('CARNET DE SOUDURE'!$Q$7:$Q$1506,MATCH(128,'CARNET DE SOUDURE'!$AR$7:$AR$1506,0)))</f>
        <v/>
      </c>
      <c r="F139" s="113" t="str">
        <f aca="false">IF($B139="","",INDEX('CARNET DE SOUDURE'!$V$7:$V$1506,MATCH(128,'CARNET DE SOUDURE'!$AR$7:$AR$1506,0)))</f>
        <v/>
      </c>
      <c r="G139" s="112" t="str">
        <f aca="false">IF($B139="","",INDEX('CARNET DE SOUDURE'!$W$7:$W$1506,MATCH(128,'CARNET DE SOUDURE'!$AR$7:$AR$1506,0))&amp;"")</f>
        <v/>
      </c>
      <c r="H139" s="114" t="str">
        <f aca="false">IF($B139="","",INDEX('CARNET DE SOUDURE'!$X$7:$X$1506,MATCH(128,'CARNET DE SOUDURE'!$AR$7:$AR$1506,0)))</f>
        <v/>
      </c>
      <c r="I139" s="112" t="str">
        <f aca="false">IF($B139="","",INDEX('CARNET DE SOUDURE'!$Y$7:$Y$1506,MATCH(128,'CARNET DE SOUDURE'!$AR$7:$AR$1506,0))&amp;IF(INDEX('CARNET DE SOUDURE'!$AD$7:$AD$1506,MATCH(128,'CARNET DE SOUDURE'!$AR$7:$AR$1506,0))&lt;&gt;""," / "&amp;INDEX('CARNET DE SOUDURE'!$AD$7:$AD$1506,MATCH(128,'CARNET DE SOUDURE'!$AR$7:$AR$1506,0)),""))</f>
        <v/>
      </c>
      <c r="J139" s="112" t="str">
        <f aca="false">IF($B139="","",INDEX('CARNET DE SOUDURE'!$Z$7:$Z$1506,MATCH(128,'CARNET DE SOUDURE'!$AR$7:$AR$1506,0))&amp;IF(INDEX('CARNET DE SOUDURE'!$AE$7:$AE$1506,MATCH(128,'CARNET DE SOUDURE'!$AR$7:$AR$1506,0))&lt;&gt;""," / "&amp;INDEX('CARNET DE SOUDURE'!$AE$7:$AE$1506,MATCH(128,'CARNET DE SOUDURE'!$AR$7:$AR$1506,0)),""))</f>
        <v/>
      </c>
      <c r="K139" s="112" t="str">
        <f aca="false">IF($B139="","",INDEX('CARNET DE SOUDURE'!$AC$7:$AC$1506,MATCH(128,'CARNET DE SOUDURE'!$AR$7:$AR$1506,0))&amp;IF(INDEX('CARNET DE SOUDURE'!$AH$7:$AH$1506,MATCH(128,'CARNET DE SOUDURE'!$AR$7:$AR$1506,0))&lt;&gt;""," / "&amp;INDEX('CARNET DE SOUDURE'!$AH$7:$AH$1506,MATCH(128,'CARNET DE SOUDURE'!$AR$7:$AR$1506,0)),""))</f>
        <v/>
      </c>
      <c r="L139" s="114" t="str">
        <f aca="false">IF($B139="","",INDEX('CARNET DE SOUDURE'!$AL$7:$AL$1506,MATCH(128,'CARNET DE SOUDURE'!$AR$7:$AR$1506,0)))</f>
        <v/>
      </c>
      <c r="M139" s="114" t="str">
        <f aca="false">IF($B139="","",INDEX('CARNET DE SOUDURE'!$AM$7:$AM$1506,MATCH(128,'CARNET DE SOUDURE'!$AR$7:$AR$1506,0)))</f>
        <v/>
      </c>
      <c r="N139" s="115" t="str">
        <f aca="false">IF($B139="","",INDEX('CARNET DE SOUDURE'!$AN$7:$AN$1506,MATCH(128,'CARNET DE SOUDURE'!$AR$7:$AR$1506,0)))</f>
        <v/>
      </c>
    </row>
    <row r="140" customFormat="false" ht="15" hidden="false" customHeight="false" outlineLevel="0" collapsed="false">
      <c r="B140" s="107" t="str">
        <f aca="false">IF(129&gt;$I$4,"",129)</f>
        <v/>
      </c>
      <c r="C140" s="107" t="str">
        <f aca="false">IF($B140="","",INDEX('CARNET DE SOUDURE'!$B$7:$B$1506,MATCH(129,'CARNET DE SOUDURE'!$AR$7:$AR$1506,0)))</f>
        <v/>
      </c>
      <c r="D140" s="107" t="str">
        <f aca="false">IF($B140="","",INDEX('CARNET DE SOUDURE'!$E$7:$E$1506,MATCH(129,'CARNET DE SOUDURE'!$AR$7:$AR$1506,0)))</f>
        <v/>
      </c>
      <c r="E140" s="107" t="str">
        <f aca="false">IF($B140="","",INDEX('CARNET DE SOUDURE'!$O$7:$O$1506,MATCH(129,'CARNET DE SOUDURE'!$AR$7:$AR$1506,0))&amp;" / "&amp;INDEX('CARNET DE SOUDURE'!$P$7:$P$1506,MATCH(129,'CARNET DE SOUDURE'!$AR$7:$AR$1506,0))&amp;" / "&amp;INDEX('CARNET DE SOUDURE'!$Q$7:$Q$1506,MATCH(129,'CARNET DE SOUDURE'!$AR$7:$AR$1506,0)))</f>
        <v/>
      </c>
      <c r="F140" s="108" t="str">
        <f aca="false">IF($B140="","",INDEX('CARNET DE SOUDURE'!$V$7:$V$1506,MATCH(129,'CARNET DE SOUDURE'!$AR$7:$AR$1506,0)))</f>
        <v/>
      </c>
      <c r="G140" s="107" t="str">
        <f aca="false">IF($B140="","",INDEX('CARNET DE SOUDURE'!$W$7:$W$1506,MATCH(129,'CARNET DE SOUDURE'!$AR$7:$AR$1506,0))&amp;"")</f>
        <v/>
      </c>
      <c r="H140" s="109" t="str">
        <f aca="false">IF($B140="","",INDEX('CARNET DE SOUDURE'!$X$7:$X$1506,MATCH(129,'CARNET DE SOUDURE'!$AR$7:$AR$1506,0)))</f>
        <v/>
      </c>
      <c r="I140" s="107" t="str">
        <f aca="false">IF($B140="","",INDEX('CARNET DE SOUDURE'!$Y$7:$Y$1506,MATCH(129,'CARNET DE SOUDURE'!$AR$7:$AR$1506,0))&amp;IF(INDEX('CARNET DE SOUDURE'!$AD$7:$AD$1506,MATCH(129,'CARNET DE SOUDURE'!$AR$7:$AR$1506,0))&lt;&gt;""," / "&amp;INDEX('CARNET DE SOUDURE'!$AD$7:$AD$1506,MATCH(129,'CARNET DE SOUDURE'!$AR$7:$AR$1506,0)),""))</f>
        <v/>
      </c>
      <c r="J140" s="107" t="str">
        <f aca="false">IF($B140="","",INDEX('CARNET DE SOUDURE'!$Z$7:$Z$1506,MATCH(129,'CARNET DE SOUDURE'!$AR$7:$AR$1506,0))&amp;IF(INDEX('CARNET DE SOUDURE'!$AE$7:$AE$1506,MATCH(129,'CARNET DE SOUDURE'!$AR$7:$AR$1506,0))&lt;&gt;""," / "&amp;INDEX('CARNET DE SOUDURE'!$AE$7:$AE$1506,MATCH(129,'CARNET DE SOUDURE'!$AR$7:$AR$1506,0)),""))</f>
        <v/>
      </c>
      <c r="K140" s="107" t="str">
        <f aca="false">IF($B140="","",INDEX('CARNET DE SOUDURE'!$AC$7:$AC$1506,MATCH(129,'CARNET DE SOUDURE'!$AR$7:$AR$1506,0))&amp;IF(INDEX('CARNET DE SOUDURE'!$AH$7:$AH$1506,MATCH(129,'CARNET DE SOUDURE'!$AR$7:$AR$1506,0))&lt;&gt;""," / "&amp;INDEX('CARNET DE SOUDURE'!$AH$7:$AH$1506,MATCH(129,'CARNET DE SOUDURE'!$AR$7:$AR$1506,0)),""))</f>
        <v/>
      </c>
      <c r="L140" s="109" t="str">
        <f aca="false">IF($B140="","",INDEX('CARNET DE SOUDURE'!$AL$7:$AL$1506,MATCH(129,'CARNET DE SOUDURE'!$AR$7:$AR$1506,0)))</f>
        <v/>
      </c>
      <c r="M140" s="109" t="str">
        <f aca="false">IF($B140="","",INDEX('CARNET DE SOUDURE'!$AM$7:$AM$1506,MATCH(129,'CARNET DE SOUDURE'!$AR$7:$AR$1506,0)))</f>
        <v/>
      </c>
      <c r="N140" s="110" t="str">
        <f aca="false">IF($B140="","",INDEX('CARNET DE SOUDURE'!$AN$7:$AN$1506,MATCH(129,'CARNET DE SOUDURE'!$AR$7:$AR$1506,0)))</f>
        <v/>
      </c>
    </row>
    <row r="141" customFormat="false" ht="15" hidden="false" customHeight="false" outlineLevel="0" collapsed="false">
      <c r="B141" s="112" t="str">
        <f aca="false">IF(130&gt;$I$4,"",130)</f>
        <v/>
      </c>
      <c r="C141" s="112" t="str">
        <f aca="false">IF($B141="","",INDEX('CARNET DE SOUDURE'!$B$7:$B$1506,MATCH(130,'CARNET DE SOUDURE'!$AR$7:$AR$1506,0)))</f>
        <v/>
      </c>
      <c r="D141" s="112" t="str">
        <f aca="false">IF($B141="","",INDEX('CARNET DE SOUDURE'!$E$7:$E$1506,MATCH(130,'CARNET DE SOUDURE'!$AR$7:$AR$1506,0)))</f>
        <v/>
      </c>
      <c r="E141" s="112" t="str">
        <f aca="false">IF($B141="","",INDEX('CARNET DE SOUDURE'!$O$7:$O$1506,MATCH(130,'CARNET DE SOUDURE'!$AR$7:$AR$1506,0))&amp;" / "&amp;INDEX('CARNET DE SOUDURE'!$P$7:$P$1506,MATCH(130,'CARNET DE SOUDURE'!$AR$7:$AR$1506,0))&amp;" / "&amp;INDEX('CARNET DE SOUDURE'!$Q$7:$Q$1506,MATCH(130,'CARNET DE SOUDURE'!$AR$7:$AR$1506,0)))</f>
        <v/>
      </c>
      <c r="F141" s="113" t="str">
        <f aca="false">IF($B141="","",INDEX('CARNET DE SOUDURE'!$V$7:$V$1506,MATCH(130,'CARNET DE SOUDURE'!$AR$7:$AR$1506,0)))</f>
        <v/>
      </c>
      <c r="G141" s="112" t="str">
        <f aca="false">IF($B141="","",INDEX('CARNET DE SOUDURE'!$W$7:$W$1506,MATCH(130,'CARNET DE SOUDURE'!$AR$7:$AR$1506,0))&amp;"")</f>
        <v/>
      </c>
      <c r="H141" s="114" t="str">
        <f aca="false">IF($B141="","",INDEX('CARNET DE SOUDURE'!$X$7:$X$1506,MATCH(130,'CARNET DE SOUDURE'!$AR$7:$AR$1506,0)))</f>
        <v/>
      </c>
      <c r="I141" s="112" t="str">
        <f aca="false">IF($B141="","",INDEX('CARNET DE SOUDURE'!$Y$7:$Y$1506,MATCH(130,'CARNET DE SOUDURE'!$AR$7:$AR$1506,0))&amp;IF(INDEX('CARNET DE SOUDURE'!$AD$7:$AD$1506,MATCH(130,'CARNET DE SOUDURE'!$AR$7:$AR$1506,0))&lt;&gt;""," / "&amp;INDEX('CARNET DE SOUDURE'!$AD$7:$AD$1506,MATCH(130,'CARNET DE SOUDURE'!$AR$7:$AR$1506,0)),""))</f>
        <v/>
      </c>
      <c r="J141" s="112" t="str">
        <f aca="false">IF($B141="","",INDEX('CARNET DE SOUDURE'!$Z$7:$Z$1506,MATCH(130,'CARNET DE SOUDURE'!$AR$7:$AR$1506,0))&amp;IF(INDEX('CARNET DE SOUDURE'!$AE$7:$AE$1506,MATCH(130,'CARNET DE SOUDURE'!$AR$7:$AR$1506,0))&lt;&gt;""," / "&amp;INDEX('CARNET DE SOUDURE'!$AE$7:$AE$1506,MATCH(130,'CARNET DE SOUDURE'!$AR$7:$AR$1506,0)),""))</f>
        <v/>
      </c>
      <c r="K141" s="112" t="str">
        <f aca="false">IF($B141="","",INDEX('CARNET DE SOUDURE'!$AC$7:$AC$1506,MATCH(130,'CARNET DE SOUDURE'!$AR$7:$AR$1506,0))&amp;IF(INDEX('CARNET DE SOUDURE'!$AH$7:$AH$1506,MATCH(130,'CARNET DE SOUDURE'!$AR$7:$AR$1506,0))&lt;&gt;""," / "&amp;INDEX('CARNET DE SOUDURE'!$AH$7:$AH$1506,MATCH(130,'CARNET DE SOUDURE'!$AR$7:$AR$1506,0)),""))</f>
        <v/>
      </c>
      <c r="L141" s="114" t="str">
        <f aca="false">IF($B141="","",INDEX('CARNET DE SOUDURE'!$AL$7:$AL$1506,MATCH(130,'CARNET DE SOUDURE'!$AR$7:$AR$1506,0)))</f>
        <v/>
      </c>
      <c r="M141" s="114" t="str">
        <f aca="false">IF($B141="","",INDEX('CARNET DE SOUDURE'!$AM$7:$AM$1506,MATCH(130,'CARNET DE SOUDURE'!$AR$7:$AR$1506,0)))</f>
        <v/>
      </c>
      <c r="N141" s="115" t="str">
        <f aca="false">IF($B141="","",INDEX('CARNET DE SOUDURE'!$AN$7:$AN$1506,MATCH(130,'CARNET DE SOUDURE'!$AR$7:$AR$1506,0)))</f>
        <v/>
      </c>
    </row>
    <row r="142" customFormat="false" ht="15" hidden="false" customHeight="false" outlineLevel="0" collapsed="false">
      <c r="B142" s="107" t="str">
        <f aca="false">IF(131&gt;$I$4,"",131)</f>
        <v/>
      </c>
      <c r="C142" s="107" t="str">
        <f aca="false">IF($B142="","",INDEX('CARNET DE SOUDURE'!$B$7:$B$1506,MATCH(131,'CARNET DE SOUDURE'!$AR$7:$AR$1506,0)))</f>
        <v/>
      </c>
      <c r="D142" s="107" t="str">
        <f aca="false">IF($B142="","",INDEX('CARNET DE SOUDURE'!$E$7:$E$1506,MATCH(131,'CARNET DE SOUDURE'!$AR$7:$AR$1506,0)))</f>
        <v/>
      </c>
      <c r="E142" s="107" t="str">
        <f aca="false">IF($B142="","",INDEX('CARNET DE SOUDURE'!$O$7:$O$1506,MATCH(131,'CARNET DE SOUDURE'!$AR$7:$AR$1506,0))&amp;" / "&amp;INDEX('CARNET DE SOUDURE'!$P$7:$P$1506,MATCH(131,'CARNET DE SOUDURE'!$AR$7:$AR$1506,0))&amp;" / "&amp;INDEX('CARNET DE SOUDURE'!$Q$7:$Q$1506,MATCH(131,'CARNET DE SOUDURE'!$AR$7:$AR$1506,0)))</f>
        <v/>
      </c>
      <c r="F142" s="108" t="str">
        <f aca="false">IF($B142="","",INDEX('CARNET DE SOUDURE'!$V$7:$V$1506,MATCH(131,'CARNET DE SOUDURE'!$AR$7:$AR$1506,0)))</f>
        <v/>
      </c>
      <c r="G142" s="107" t="str">
        <f aca="false">IF($B142="","",INDEX('CARNET DE SOUDURE'!$W$7:$W$1506,MATCH(131,'CARNET DE SOUDURE'!$AR$7:$AR$1506,0))&amp;"")</f>
        <v/>
      </c>
      <c r="H142" s="109" t="str">
        <f aca="false">IF($B142="","",INDEX('CARNET DE SOUDURE'!$X$7:$X$1506,MATCH(131,'CARNET DE SOUDURE'!$AR$7:$AR$1506,0)))</f>
        <v/>
      </c>
      <c r="I142" s="107" t="str">
        <f aca="false">IF($B142="","",INDEX('CARNET DE SOUDURE'!$Y$7:$Y$1506,MATCH(131,'CARNET DE SOUDURE'!$AR$7:$AR$1506,0))&amp;IF(INDEX('CARNET DE SOUDURE'!$AD$7:$AD$1506,MATCH(131,'CARNET DE SOUDURE'!$AR$7:$AR$1506,0))&lt;&gt;""," / "&amp;INDEX('CARNET DE SOUDURE'!$AD$7:$AD$1506,MATCH(131,'CARNET DE SOUDURE'!$AR$7:$AR$1506,0)),""))</f>
        <v/>
      </c>
      <c r="J142" s="107" t="str">
        <f aca="false">IF($B142="","",INDEX('CARNET DE SOUDURE'!$Z$7:$Z$1506,MATCH(131,'CARNET DE SOUDURE'!$AR$7:$AR$1506,0))&amp;IF(INDEX('CARNET DE SOUDURE'!$AE$7:$AE$1506,MATCH(131,'CARNET DE SOUDURE'!$AR$7:$AR$1506,0))&lt;&gt;""," / "&amp;INDEX('CARNET DE SOUDURE'!$AE$7:$AE$1506,MATCH(131,'CARNET DE SOUDURE'!$AR$7:$AR$1506,0)),""))</f>
        <v/>
      </c>
      <c r="K142" s="107" t="str">
        <f aca="false">IF($B142="","",INDEX('CARNET DE SOUDURE'!$AC$7:$AC$1506,MATCH(131,'CARNET DE SOUDURE'!$AR$7:$AR$1506,0))&amp;IF(INDEX('CARNET DE SOUDURE'!$AH$7:$AH$1506,MATCH(131,'CARNET DE SOUDURE'!$AR$7:$AR$1506,0))&lt;&gt;""," / "&amp;INDEX('CARNET DE SOUDURE'!$AH$7:$AH$1506,MATCH(131,'CARNET DE SOUDURE'!$AR$7:$AR$1506,0)),""))</f>
        <v/>
      </c>
      <c r="L142" s="109" t="str">
        <f aca="false">IF($B142="","",INDEX('CARNET DE SOUDURE'!$AL$7:$AL$1506,MATCH(131,'CARNET DE SOUDURE'!$AR$7:$AR$1506,0)))</f>
        <v/>
      </c>
      <c r="M142" s="109" t="str">
        <f aca="false">IF($B142="","",INDEX('CARNET DE SOUDURE'!$AM$7:$AM$1506,MATCH(131,'CARNET DE SOUDURE'!$AR$7:$AR$1506,0)))</f>
        <v/>
      </c>
      <c r="N142" s="110" t="str">
        <f aca="false">IF($B142="","",INDEX('CARNET DE SOUDURE'!$AN$7:$AN$1506,MATCH(131,'CARNET DE SOUDURE'!$AR$7:$AR$1506,0)))</f>
        <v/>
      </c>
    </row>
    <row r="143" customFormat="false" ht="15" hidden="false" customHeight="false" outlineLevel="0" collapsed="false">
      <c r="B143" s="112" t="str">
        <f aca="false">IF(132&gt;$I$4,"",132)</f>
        <v/>
      </c>
      <c r="C143" s="112" t="str">
        <f aca="false">IF($B143="","",INDEX('CARNET DE SOUDURE'!$B$7:$B$1506,MATCH(132,'CARNET DE SOUDURE'!$AR$7:$AR$1506,0)))</f>
        <v/>
      </c>
      <c r="D143" s="112" t="str">
        <f aca="false">IF($B143="","",INDEX('CARNET DE SOUDURE'!$E$7:$E$1506,MATCH(132,'CARNET DE SOUDURE'!$AR$7:$AR$1506,0)))</f>
        <v/>
      </c>
      <c r="E143" s="112" t="str">
        <f aca="false">IF($B143="","",INDEX('CARNET DE SOUDURE'!$O$7:$O$1506,MATCH(132,'CARNET DE SOUDURE'!$AR$7:$AR$1506,0))&amp;" / "&amp;INDEX('CARNET DE SOUDURE'!$P$7:$P$1506,MATCH(132,'CARNET DE SOUDURE'!$AR$7:$AR$1506,0))&amp;" / "&amp;INDEX('CARNET DE SOUDURE'!$Q$7:$Q$1506,MATCH(132,'CARNET DE SOUDURE'!$AR$7:$AR$1506,0)))</f>
        <v/>
      </c>
      <c r="F143" s="113" t="str">
        <f aca="false">IF($B143="","",INDEX('CARNET DE SOUDURE'!$V$7:$V$1506,MATCH(132,'CARNET DE SOUDURE'!$AR$7:$AR$1506,0)))</f>
        <v/>
      </c>
      <c r="G143" s="112" t="str">
        <f aca="false">IF($B143="","",INDEX('CARNET DE SOUDURE'!$W$7:$W$1506,MATCH(132,'CARNET DE SOUDURE'!$AR$7:$AR$1506,0))&amp;"")</f>
        <v/>
      </c>
      <c r="H143" s="114" t="str">
        <f aca="false">IF($B143="","",INDEX('CARNET DE SOUDURE'!$X$7:$X$1506,MATCH(132,'CARNET DE SOUDURE'!$AR$7:$AR$1506,0)))</f>
        <v/>
      </c>
      <c r="I143" s="112" t="str">
        <f aca="false">IF($B143="","",INDEX('CARNET DE SOUDURE'!$Y$7:$Y$1506,MATCH(132,'CARNET DE SOUDURE'!$AR$7:$AR$1506,0))&amp;IF(INDEX('CARNET DE SOUDURE'!$AD$7:$AD$1506,MATCH(132,'CARNET DE SOUDURE'!$AR$7:$AR$1506,0))&lt;&gt;""," / "&amp;INDEX('CARNET DE SOUDURE'!$AD$7:$AD$1506,MATCH(132,'CARNET DE SOUDURE'!$AR$7:$AR$1506,0)),""))</f>
        <v/>
      </c>
      <c r="J143" s="112" t="str">
        <f aca="false">IF($B143="","",INDEX('CARNET DE SOUDURE'!$Z$7:$Z$1506,MATCH(132,'CARNET DE SOUDURE'!$AR$7:$AR$1506,0))&amp;IF(INDEX('CARNET DE SOUDURE'!$AE$7:$AE$1506,MATCH(132,'CARNET DE SOUDURE'!$AR$7:$AR$1506,0))&lt;&gt;""," / "&amp;INDEX('CARNET DE SOUDURE'!$AE$7:$AE$1506,MATCH(132,'CARNET DE SOUDURE'!$AR$7:$AR$1506,0)),""))</f>
        <v/>
      </c>
      <c r="K143" s="112" t="str">
        <f aca="false">IF($B143="","",INDEX('CARNET DE SOUDURE'!$AC$7:$AC$1506,MATCH(132,'CARNET DE SOUDURE'!$AR$7:$AR$1506,0))&amp;IF(INDEX('CARNET DE SOUDURE'!$AH$7:$AH$1506,MATCH(132,'CARNET DE SOUDURE'!$AR$7:$AR$1506,0))&lt;&gt;""," / "&amp;INDEX('CARNET DE SOUDURE'!$AH$7:$AH$1506,MATCH(132,'CARNET DE SOUDURE'!$AR$7:$AR$1506,0)),""))</f>
        <v/>
      </c>
      <c r="L143" s="114" t="str">
        <f aca="false">IF($B143="","",INDEX('CARNET DE SOUDURE'!$AL$7:$AL$1506,MATCH(132,'CARNET DE SOUDURE'!$AR$7:$AR$1506,0)))</f>
        <v/>
      </c>
      <c r="M143" s="114" t="str">
        <f aca="false">IF($B143="","",INDEX('CARNET DE SOUDURE'!$AM$7:$AM$1506,MATCH(132,'CARNET DE SOUDURE'!$AR$7:$AR$1506,0)))</f>
        <v/>
      </c>
      <c r="N143" s="115" t="str">
        <f aca="false">IF($B143="","",INDEX('CARNET DE SOUDURE'!$AN$7:$AN$1506,MATCH(132,'CARNET DE SOUDURE'!$AR$7:$AR$1506,0)))</f>
        <v/>
      </c>
    </row>
    <row r="144" customFormat="false" ht="15" hidden="false" customHeight="false" outlineLevel="0" collapsed="false">
      <c r="B144" s="107" t="str">
        <f aca="false">IF(133&gt;$I$4,"",133)</f>
        <v/>
      </c>
      <c r="C144" s="107" t="str">
        <f aca="false">IF($B144="","",INDEX('CARNET DE SOUDURE'!$B$7:$B$1506,MATCH(133,'CARNET DE SOUDURE'!$AR$7:$AR$1506,0)))</f>
        <v/>
      </c>
      <c r="D144" s="107" t="str">
        <f aca="false">IF($B144="","",INDEX('CARNET DE SOUDURE'!$E$7:$E$1506,MATCH(133,'CARNET DE SOUDURE'!$AR$7:$AR$1506,0)))</f>
        <v/>
      </c>
      <c r="E144" s="107" t="str">
        <f aca="false">IF($B144="","",INDEX('CARNET DE SOUDURE'!$O$7:$O$1506,MATCH(133,'CARNET DE SOUDURE'!$AR$7:$AR$1506,0))&amp;" / "&amp;INDEX('CARNET DE SOUDURE'!$P$7:$P$1506,MATCH(133,'CARNET DE SOUDURE'!$AR$7:$AR$1506,0))&amp;" / "&amp;INDEX('CARNET DE SOUDURE'!$Q$7:$Q$1506,MATCH(133,'CARNET DE SOUDURE'!$AR$7:$AR$1506,0)))</f>
        <v/>
      </c>
      <c r="F144" s="108" t="str">
        <f aca="false">IF($B144="","",INDEX('CARNET DE SOUDURE'!$V$7:$V$1506,MATCH(133,'CARNET DE SOUDURE'!$AR$7:$AR$1506,0)))</f>
        <v/>
      </c>
      <c r="G144" s="107" t="str">
        <f aca="false">IF($B144="","",INDEX('CARNET DE SOUDURE'!$W$7:$W$1506,MATCH(133,'CARNET DE SOUDURE'!$AR$7:$AR$1506,0))&amp;"")</f>
        <v/>
      </c>
      <c r="H144" s="109" t="str">
        <f aca="false">IF($B144="","",INDEX('CARNET DE SOUDURE'!$X$7:$X$1506,MATCH(133,'CARNET DE SOUDURE'!$AR$7:$AR$1506,0)))</f>
        <v/>
      </c>
      <c r="I144" s="107" t="str">
        <f aca="false">IF($B144="","",INDEX('CARNET DE SOUDURE'!$Y$7:$Y$1506,MATCH(133,'CARNET DE SOUDURE'!$AR$7:$AR$1506,0))&amp;IF(INDEX('CARNET DE SOUDURE'!$AD$7:$AD$1506,MATCH(133,'CARNET DE SOUDURE'!$AR$7:$AR$1506,0))&lt;&gt;""," / "&amp;INDEX('CARNET DE SOUDURE'!$AD$7:$AD$1506,MATCH(133,'CARNET DE SOUDURE'!$AR$7:$AR$1506,0)),""))</f>
        <v/>
      </c>
      <c r="J144" s="107" t="str">
        <f aca="false">IF($B144="","",INDEX('CARNET DE SOUDURE'!$Z$7:$Z$1506,MATCH(133,'CARNET DE SOUDURE'!$AR$7:$AR$1506,0))&amp;IF(INDEX('CARNET DE SOUDURE'!$AE$7:$AE$1506,MATCH(133,'CARNET DE SOUDURE'!$AR$7:$AR$1506,0))&lt;&gt;""," / "&amp;INDEX('CARNET DE SOUDURE'!$AE$7:$AE$1506,MATCH(133,'CARNET DE SOUDURE'!$AR$7:$AR$1506,0)),""))</f>
        <v/>
      </c>
      <c r="K144" s="107" t="str">
        <f aca="false">IF($B144="","",INDEX('CARNET DE SOUDURE'!$AC$7:$AC$1506,MATCH(133,'CARNET DE SOUDURE'!$AR$7:$AR$1506,0))&amp;IF(INDEX('CARNET DE SOUDURE'!$AH$7:$AH$1506,MATCH(133,'CARNET DE SOUDURE'!$AR$7:$AR$1506,0))&lt;&gt;""," / "&amp;INDEX('CARNET DE SOUDURE'!$AH$7:$AH$1506,MATCH(133,'CARNET DE SOUDURE'!$AR$7:$AR$1506,0)),""))</f>
        <v/>
      </c>
      <c r="L144" s="109" t="str">
        <f aca="false">IF($B144="","",INDEX('CARNET DE SOUDURE'!$AL$7:$AL$1506,MATCH(133,'CARNET DE SOUDURE'!$AR$7:$AR$1506,0)))</f>
        <v/>
      </c>
      <c r="M144" s="109" t="str">
        <f aca="false">IF($B144="","",INDEX('CARNET DE SOUDURE'!$AM$7:$AM$1506,MATCH(133,'CARNET DE SOUDURE'!$AR$7:$AR$1506,0)))</f>
        <v/>
      </c>
      <c r="N144" s="110" t="str">
        <f aca="false">IF($B144="","",INDEX('CARNET DE SOUDURE'!$AN$7:$AN$1506,MATCH(133,'CARNET DE SOUDURE'!$AR$7:$AR$1506,0)))</f>
        <v/>
      </c>
    </row>
    <row r="145" customFormat="false" ht="15" hidden="false" customHeight="false" outlineLevel="0" collapsed="false">
      <c r="B145" s="112" t="str">
        <f aca="false">IF(134&gt;$I$4,"",134)</f>
        <v/>
      </c>
      <c r="C145" s="112" t="str">
        <f aca="false">IF($B145="","",INDEX('CARNET DE SOUDURE'!$B$7:$B$1506,MATCH(134,'CARNET DE SOUDURE'!$AR$7:$AR$1506,0)))</f>
        <v/>
      </c>
      <c r="D145" s="112" t="str">
        <f aca="false">IF($B145="","",INDEX('CARNET DE SOUDURE'!$E$7:$E$1506,MATCH(134,'CARNET DE SOUDURE'!$AR$7:$AR$1506,0)))</f>
        <v/>
      </c>
      <c r="E145" s="112" t="str">
        <f aca="false">IF($B145="","",INDEX('CARNET DE SOUDURE'!$O$7:$O$1506,MATCH(134,'CARNET DE SOUDURE'!$AR$7:$AR$1506,0))&amp;" / "&amp;INDEX('CARNET DE SOUDURE'!$P$7:$P$1506,MATCH(134,'CARNET DE SOUDURE'!$AR$7:$AR$1506,0))&amp;" / "&amp;INDEX('CARNET DE SOUDURE'!$Q$7:$Q$1506,MATCH(134,'CARNET DE SOUDURE'!$AR$7:$AR$1506,0)))</f>
        <v/>
      </c>
      <c r="F145" s="113" t="str">
        <f aca="false">IF($B145="","",INDEX('CARNET DE SOUDURE'!$V$7:$V$1506,MATCH(134,'CARNET DE SOUDURE'!$AR$7:$AR$1506,0)))</f>
        <v/>
      </c>
      <c r="G145" s="112" t="str">
        <f aca="false">IF($B145="","",INDEX('CARNET DE SOUDURE'!$W$7:$W$1506,MATCH(134,'CARNET DE SOUDURE'!$AR$7:$AR$1506,0))&amp;"")</f>
        <v/>
      </c>
      <c r="H145" s="114" t="str">
        <f aca="false">IF($B145="","",INDEX('CARNET DE SOUDURE'!$X$7:$X$1506,MATCH(134,'CARNET DE SOUDURE'!$AR$7:$AR$1506,0)))</f>
        <v/>
      </c>
      <c r="I145" s="112" t="str">
        <f aca="false">IF($B145="","",INDEX('CARNET DE SOUDURE'!$Y$7:$Y$1506,MATCH(134,'CARNET DE SOUDURE'!$AR$7:$AR$1506,0))&amp;IF(INDEX('CARNET DE SOUDURE'!$AD$7:$AD$1506,MATCH(134,'CARNET DE SOUDURE'!$AR$7:$AR$1506,0))&lt;&gt;""," / "&amp;INDEX('CARNET DE SOUDURE'!$AD$7:$AD$1506,MATCH(134,'CARNET DE SOUDURE'!$AR$7:$AR$1506,0)),""))</f>
        <v/>
      </c>
      <c r="J145" s="112" t="str">
        <f aca="false">IF($B145="","",INDEX('CARNET DE SOUDURE'!$Z$7:$Z$1506,MATCH(134,'CARNET DE SOUDURE'!$AR$7:$AR$1506,0))&amp;IF(INDEX('CARNET DE SOUDURE'!$AE$7:$AE$1506,MATCH(134,'CARNET DE SOUDURE'!$AR$7:$AR$1506,0))&lt;&gt;""," / "&amp;INDEX('CARNET DE SOUDURE'!$AE$7:$AE$1506,MATCH(134,'CARNET DE SOUDURE'!$AR$7:$AR$1506,0)),""))</f>
        <v/>
      </c>
      <c r="K145" s="112" t="str">
        <f aca="false">IF($B145="","",INDEX('CARNET DE SOUDURE'!$AC$7:$AC$1506,MATCH(134,'CARNET DE SOUDURE'!$AR$7:$AR$1506,0))&amp;IF(INDEX('CARNET DE SOUDURE'!$AH$7:$AH$1506,MATCH(134,'CARNET DE SOUDURE'!$AR$7:$AR$1506,0))&lt;&gt;""," / "&amp;INDEX('CARNET DE SOUDURE'!$AH$7:$AH$1506,MATCH(134,'CARNET DE SOUDURE'!$AR$7:$AR$1506,0)),""))</f>
        <v/>
      </c>
      <c r="L145" s="114" t="str">
        <f aca="false">IF($B145="","",INDEX('CARNET DE SOUDURE'!$AL$7:$AL$1506,MATCH(134,'CARNET DE SOUDURE'!$AR$7:$AR$1506,0)))</f>
        <v/>
      </c>
      <c r="M145" s="114" t="str">
        <f aca="false">IF($B145="","",INDEX('CARNET DE SOUDURE'!$AM$7:$AM$1506,MATCH(134,'CARNET DE SOUDURE'!$AR$7:$AR$1506,0)))</f>
        <v/>
      </c>
      <c r="N145" s="115" t="str">
        <f aca="false">IF($B145="","",INDEX('CARNET DE SOUDURE'!$AN$7:$AN$1506,MATCH(134,'CARNET DE SOUDURE'!$AR$7:$AR$1506,0)))</f>
        <v/>
      </c>
    </row>
    <row r="146" customFormat="false" ht="15" hidden="false" customHeight="false" outlineLevel="0" collapsed="false">
      <c r="B146" s="107" t="str">
        <f aca="false">IF(135&gt;$I$4,"",135)</f>
        <v/>
      </c>
      <c r="C146" s="107" t="str">
        <f aca="false">IF($B146="","",INDEX('CARNET DE SOUDURE'!$B$7:$B$1506,MATCH(135,'CARNET DE SOUDURE'!$AR$7:$AR$1506,0)))</f>
        <v/>
      </c>
      <c r="D146" s="107" t="str">
        <f aca="false">IF($B146="","",INDEX('CARNET DE SOUDURE'!$E$7:$E$1506,MATCH(135,'CARNET DE SOUDURE'!$AR$7:$AR$1506,0)))</f>
        <v/>
      </c>
      <c r="E146" s="107" t="str">
        <f aca="false">IF($B146="","",INDEX('CARNET DE SOUDURE'!$O$7:$O$1506,MATCH(135,'CARNET DE SOUDURE'!$AR$7:$AR$1506,0))&amp;" / "&amp;INDEX('CARNET DE SOUDURE'!$P$7:$P$1506,MATCH(135,'CARNET DE SOUDURE'!$AR$7:$AR$1506,0))&amp;" / "&amp;INDEX('CARNET DE SOUDURE'!$Q$7:$Q$1506,MATCH(135,'CARNET DE SOUDURE'!$AR$7:$AR$1506,0)))</f>
        <v/>
      </c>
      <c r="F146" s="108" t="str">
        <f aca="false">IF($B146="","",INDEX('CARNET DE SOUDURE'!$V$7:$V$1506,MATCH(135,'CARNET DE SOUDURE'!$AR$7:$AR$1506,0)))</f>
        <v/>
      </c>
      <c r="G146" s="107" t="str">
        <f aca="false">IF($B146="","",INDEX('CARNET DE SOUDURE'!$W$7:$W$1506,MATCH(135,'CARNET DE SOUDURE'!$AR$7:$AR$1506,0))&amp;"")</f>
        <v/>
      </c>
      <c r="H146" s="109" t="str">
        <f aca="false">IF($B146="","",INDEX('CARNET DE SOUDURE'!$X$7:$X$1506,MATCH(135,'CARNET DE SOUDURE'!$AR$7:$AR$1506,0)))</f>
        <v/>
      </c>
      <c r="I146" s="107" t="str">
        <f aca="false">IF($B146="","",INDEX('CARNET DE SOUDURE'!$Y$7:$Y$1506,MATCH(135,'CARNET DE SOUDURE'!$AR$7:$AR$1506,0))&amp;IF(INDEX('CARNET DE SOUDURE'!$AD$7:$AD$1506,MATCH(135,'CARNET DE SOUDURE'!$AR$7:$AR$1506,0))&lt;&gt;""," / "&amp;INDEX('CARNET DE SOUDURE'!$AD$7:$AD$1506,MATCH(135,'CARNET DE SOUDURE'!$AR$7:$AR$1506,0)),""))</f>
        <v/>
      </c>
      <c r="J146" s="107" t="str">
        <f aca="false">IF($B146="","",INDEX('CARNET DE SOUDURE'!$Z$7:$Z$1506,MATCH(135,'CARNET DE SOUDURE'!$AR$7:$AR$1506,0))&amp;IF(INDEX('CARNET DE SOUDURE'!$AE$7:$AE$1506,MATCH(135,'CARNET DE SOUDURE'!$AR$7:$AR$1506,0))&lt;&gt;""," / "&amp;INDEX('CARNET DE SOUDURE'!$AE$7:$AE$1506,MATCH(135,'CARNET DE SOUDURE'!$AR$7:$AR$1506,0)),""))</f>
        <v/>
      </c>
      <c r="K146" s="107" t="str">
        <f aca="false">IF($B146="","",INDEX('CARNET DE SOUDURE'!$AC$7:$AC$1506,MATCH(135,'CARNET DE SOUDURE'!$AR$7:$AR$1506,0))&amp;IF(INDEX('CARNET DE SOUDURE'!$AH$7:$AH$1506,MATCH(135,'CARNET DE SOUDURE'!$AR$7:$AR$1506,0))&lt;&gt;""," / "&amp;INDEX('CARNET DE SOUDURE'!$AH$7:$AH$1506,MATCH(135,'CARNET DE SOUDURE'!$AR$7:$AR$1506,0)),""))</f>
        <v/>
      </c>
      <c r="L146" s="109" t="str">
        <f aca="false">IF($B146="","",INDEX('CARNET DE SOUDURE'!$AL$7:$AL$1506,MATCH(135,'CARNET DE SOUDURE'!$AR$7:$AR$1506,0)))</f>
        <v/>
      </c>
      <c r="M146" s="109" t="str">
        <f aca="false">IF($B146="","",INDEX('CARNET DE SOUDURE'!$AM$7:$AM$1506,MATCH(135,'CARNET DE SOUDURE'!$AR$7:$AR$1506,0)))</f>
        <v/>
      </c>
      <c r="N146" s="110" t="str">
        <f aca="false">IF($B146="","",INDEX('CARNET DE SOUDURE'!$AN$7:$AN$1506,MATCH(135,'CARNET DE SOUDURE'!$AR$7:$AR$1506,0)))</f>
        <v/>
      </c>
    </row>
    <row r="147" customFormat="false" ht="15" hidden="false" customHeight="false" outlineLevel="0" collapsed="false">
      <c r="B147" s="112" t="str">
        <f aca="false">IF(136&gt;$I$4,"",136)</f>
        <v/>
      </c>
      <c r="C147" s="112" t="str">
        <f aca="false">IF($B147="","",INDEX('CARNET DE SOUDURE'!$B$7:$B$1506,MATCH(136,'CARNET DE SOUDURE'!$AR$7:$AR$1506,0)))</f>
        <v/>
      </c>
      <c r="D147" s="112" t="str">
        <f aca="false">IF($B147="","",INDEX('CARNET DE SOUDURE'!$E$7:$E$1506,MATCH(136,'CARNET DE SOUDURE'!$AR$7:$AR$1506,0)))</f>
        <v/>
      </c>
      <c r="E147" s="112" t="str">
        <f aca="false">IF($B147="","",INDEX('CARNET DE SOUDURE'!$O$7:$O$1506,MATCH(136,'CARNET DE SOUDURE'!$AR$7:$AR$1506,0))&amp;" / "&amp;INDEX('CARNET DE SOUDURE'!$P$7:$P$1506,MATCH(136,'CARNET DE SOUDURE'!$AR$7:$AR$1506,0))&amp;" / "&amp;INDEX('CARNET DE SOUDURE'!$Q$7:$Q$1506,MATCH(136,'CARNET DE SOUDURE'!$AR$7:$AR$1506,0)))</f>
        <v/>
      </c>
      <c r="F147" s="113" t="str">
        <f aca="false">IF($B147="","",INDEX('CARNET DE SOUDURE'!$V$7:$V$1506,MATCH(136,'CARNET DE SOUDURE'!$AR$7:$AR$1506,0)))</f>
        <v/>
      </c>
      <c r="G147" s="112" t="str">
        <f aca="false">IF($B147="","",INDEX('CARNET DE SOUDURE'!$W$7:$W$1506,MATCH(136,'CARNET DE SOUDURE'!$AR$7:$AR$1506,0))&amp;"")</f>
        <v/>
      </c>
      <c r="H147" s="114" t="str">
        <f aca="false">IF($B147="","",INDEX('CARNET DE SOUDURE'!$X$7:$X$1506,MATCH(136,'CARNET DE SOUDURE'!$AR$7:$AR$1506,0)))</f>
        <v/>
      </c>
      <c r="I147" s="112" t="str">
        <f aca="false">IF($B147="","",INDEX('CARNET DE SOUDURE'!$Y$7:$Y$1506,MATCH(136,'CARNET DE SOUDURE'!$AR$7:$AR$1506,0))&amp;IF(INDEX('CARNET DE SOUDURE'!$AD$7:$AD$1506,MATCH(136,'CARNET DE SOUDURE'!$AR$7:$AR$1506,0))&lt;&gt;""," / "&amp;INDEX('CARNET DE SOUDURE'!$AD$7:$AD$1506,MATCH(136,'CARNET DE SOUDURE'!$AR$7:$AR$1506,0)),""))</f>
        <v/>
      </c>
      <c r="J147" s="112" t="str">
        <f aca="false">IF($B147="","",INDEX('CARNET DE SOUDURE'!$Z$7:$Z$1506,MATCH(136,'CARNET DE SOUDURE'!$AR$7:$AR$1506,0))&amp;IF(INDEX('CARNET DE SOUDURE'!$AE$7:$AE$1506,MATCH(136,'CARNET DE SOUDURE'!$AR$7:$AR$1506,0))&lt;&gt;""," / "&amp;INDEX('CARNET DE SOUDURE'!$AE$7:$AE$1506,MATCH(136,'CARNET DE SOUDURE'!$AR$7:$AR$1506,0)),""))</f>
        <v/>
      </c>
      <c r="K147" s="112" t="str">
        <f aca="false">IF($B147="","",INDEX('CARNET DE SOUDURE'!$AC$7:$AC$1506,MATCH(136,'CARNET DE SOUDURE'!$AR$7:$AR$1506,0))&amp;IF(INDEX('CARNET DE SOUDURE'!$AH$7:$AH$1506,MATCH(136,'CARNET DE SOUDURE'!$AR$7:$AR$1506,0))&lt;&gt;""," / "&amp;INDEX('CARNET DE SOUDURE'!$AH$7:$AH$1506,MATCH(136,'CARNET DE SOUDURE'!$AR$7:$AR$1506,0)),""))</f>
        <v/>
      </c>
      <c r="L147" s="114" t="str">
        <f aca="false">IF($B147="","",INDEX('CARNET DE SOUDURE'!$AL$7:$AL$1506,MATCH(136,'CARNET DE SOUDURE'!$AR$7:$AR$1506,0)))</f>
        <v/>
      </c>
      <c r="M147" s="114" t="str">
        <f aca="false">IF($B147="","",INDEX('CARNET DE SOUDURE'!$AM$7:$AM$1506,MATCH(136,'CARNET DE SOUDURE'!$AR$7:$AR$1506,0)))</f>
        <v/>
      </c>
      <c r="N147" s="115" t="str">
        <f aca="false">IF($B147="","",INDEX('CARNET DE SOUDURE'!$AN$7:$AN$1506,MATCH(136,'CARNET DE SOUDURE'!$AR$7:$AR$1506,0)))</f>
        <v/>
      </c>
    </row>
    <row r="148" customFormat="false" ht="15" hidden="false" customHeight="false" outlineLevel="0" collapsed="false">
      <c r="B148" s="107" t="str">
        <f aca="false">IF(137&gt;$I$4,"",137)</f>
        <v/>
      </c>
      <c r="C148" s="107" t="str">
        <f aca="false">IF($B148="","",INDEX('CARNET DE SOUDURE'!$B$7:$B$1506,MATCH(137,'CARNET DE SOUDURE'!$AR$7:$AR$1506,0)))</f>
        <v/>
      </c>
      <c r="D148" s="107" t="str">
        <f aca="false">IF($B148="","",INDEX('CARNET DE SOUDURE'!$E$7:$E$1506,MATCH(137,'CARNET DE SOUDURE'!$AR$7:$AR$1506,0)))</f>
        <v/>
      </c>
      <c r="E148" s="107" t="str">
        <f aca="false">IF($B148="","",INDEX('CARNET DE SOUDURE'!$O$7:$O$1506,MATCH(137,'CARNET DE SOUDURE'!$AR$7:$AR$1506,0))&amp;" / "&amp;INDEX('CARNET DE SOUDURE'!$P$7:$P$1506,MATCH(137,'CARNET DE SOUDURE'!$AR$7:$AR$1506,0))&amp;" / "&amp;INDEX('CARNET DE SOUDURE'!$Q$7:$Q$1506,MATCH(137,'CARNET DE SOUDURE'!$AR$7:$AR$1506,0)))</f>
        <v/>
      </c>
      <c r="F148" s="108" t="str">
        <f aca="false">IF($B148="","",INDEX('CARNET DE SOUDURE'!$V$7:$V$1506,MATCH(137,'CARNET DE SOUDURE'!$AR$7:$AR$1506,0)))</f>
        <v/>
      </c>
      <c r="G148" s="107" t="str">
        <f aca="false">IF($B148="","",INDEX('CARNET DE SOUDURE'!$W$7:$W$1506,MATCH(137,'CARNET DE SOUDURE'!$AR$7:$AR$1506,0))&amp;"")</f>
        <v/>
      </c>
      <c r="H148" s="109" t="str">
        <f aca="false">IF($B148="","",INDEX('CARNET DE SOUDURE'!$X$7:$X$1506,MATCH(137,'CARNET DE SOUDURE'!$AR$7:$AR$1506,0)))</f>
        <v/>
      </c>
      <c r="I148" s="107" t="str">
        <f aca="false">IF($B148="","",INDEX('CARNET DE SOUDURE'!$Y$7:$Y$1506,MATCH(137,'CARNET DE SOUDURE'!$AR$7:$AR$1506,0))&amp;IF(INDEX('CARNET DE SOUDURE'!$AD$7:$AD$1506,MATCH(137,'CARNET DE SOUDURE'!$AR$7:$AR$1506,0))&lt;&gt;""," / "&amp;INDEX('CARNET DE SOUDURE'!$AD$7:$AD$1506,MATCH(137,'CARNET DE SOUDURE'!$AR$7:$AR$1506,0)),""))</f>
        <v/>
      </c>
      <c r="J148" s="107" t="str">
        <f aca="false">IF($B148="","",INDEX('CARNET DE SOUDURE'!$Z$7:$Z$1506,MATCH(137,'CARNET DE SOUDURE'!$AR$7:$AR$1506,0))&amp;IF(INDEX('CARNET DE SOUDURE'!$AE$7:$AE$1506,MATCH(137,'CARNET DE SOUDURE'!$AR$7:$AR$1506,0))&lt;&gt;""," / "&amp;INDEX('CARNET DE SOUDURE'!$AE$7:$AE$1506,MATCH(137,'CARNET DE SOUDURE'!$AR$7:$AR$1506,0)),""))</f>
        <v/>
      </c>
      <c r="K148" s="107" t="str">
        <f aca="false">IF($B148="","",INDEX('CARNET DE SOUDURE'!$AC$7:$AC$1506,MATCH(137,'CARNET DE SOUDURE'!$AR$7:$AR$1506,0))&amp;IF(INDEX('CARNET DE SOUDURE'!$AH$7:$AH$1506,MATCH(137,'CARNET DE SOUDURE'!$AR$7:$AR$1506,0))&lt;&gt;""," / "&amp;INDEX('CARNET DE SOUDURE'!$AH$7:$AH$1506,MATCH(137,'CARNET DE SOUDURE'!$AR$7:$AR$1506,0)),""))</f>
        <v/>
      </c>
      <c r="L148" s="109" t="str">
        <f aca="false">IF($B148="","",INDEX('CARNET DE SOUDURE'!$AL$7:$AL$1506,MATCH(137,'CARNET DE SOUDURE'!$AR$7:$AR$1506,0)))</f>
        <v/>
      </c>
      <c r="M148" s="109" t="str">
        <f aca="false">IF($B148="","",INDEX('CARNET DE SOUDURE'!$AM$7:$AM$1506,MATCH(137,'CARNET DE SOUDURE'!$AR$7:$AR$1506,0)))</f>
        <v/>
      </c>
      <c r="N148" s="110" t="str">
        <f aca="false">IF($B148="","",INDEX('CARNET DE SOUDURE'!$AN$7:$AN$1506,MATCH(137,'CARNET DE SOUDURE'!$AR$7:$AR$1506,0)))</f>
        <v/>
      </c>
    </row>
    <row r="149" customFormat="false" ht="15" hidden="false" customHeight="false" outlineLevel="0" collapsed="false">
      <c r="B149" s="112" t="str">
        <f aca="false">IF(138&gt;$I$4,"",138)</f>
        <v/>
      </c>
      <c r="C149" s="112" t="str">
        <f aca="false">IF($B149="","",INDEX('CARNET DE SOUDURE'!$B$7:$B$1506,MATCH(138,'CARNET DE SOUDURE'!$AR$7:$AR$1506,0)))</f>
        <v/>
      </c>
      <c r="D149" s="112" t="str">
        <f aca="false">IF($B149="","",INDEX('CARNET DE SOUDURE'!$E$7:$E$1506,MATCH(138,'CARNET DE SOUDURE'!$AR$7:$AR$1506,0)))</f>
        <v/>
      </c>
      <c r="E149" s="112" t="str">
        <f aca="false">IF($B149="","",INDEX('CARNET DE SOUDURE'!$O$7:$O$1506,MATCH(138,'CARNET DE SOUDURE'!$AR$7:$AR$1506,0))&amp;" / "&amp;INDEX('CARNET DE SOUDURE'!$P$7:$P$1506,MATCH(138,'CARNET DE SOUDURE'!$AR$7:$AR$1506,0))&amp;" / "&amp;INDEX('CARNET DE SOUDURE'!$Q$7:$Q$1506,MATCH(138,'CARNET DE SOUDURE'!$AR$7:$AR$1506,0)))</f>
        <v/>
      </c>
      <c r="F149" s="113" t="str">
        <f aca="false">IF($B149="","",INDEX('CARNET DE SOUDURE'!$V$7:$V$1506,MATCH(138,'CARNET DE SOUDURE'!$AR$7:$AR$1506,0)))</f>
        <v/>
      </c>
      <c r="G149" s="112" t="str">
        <f aca="false">IF($B149="","",INDEX('CARNET DE SOUDURE'!$W$7:$W$1506,MATCH(138,'CARNET DE SOUDURE'!$AR$7:$AR$1506,0))&amp;"")</f>
        <v/>
      </c>
      <c r="H149" s="114" t="str">
        <f aca="false">IF($B149="","",INDEX('CARNET DE SOUDURE'!$X$7:$X$1506,MATCH(138,'CARNET DE SOUDURE'!$AR$7:$AR$1506,0)))</f>
        <v/>
      </c>
      <c r="I149" s="112" t="str">
        <f aca="false">IF($B149="","",INDEX('CARNET DE SOUDURE'!$Y$7:$Y$1506,MATCH(138,'CARNET DE SOUDURE'!$AR$7:$AR$1506,0))&amp;IF(INDEX('CARNET DE SOUDURE'!$AD$7:$AD$1506,MATCH(138,'CARNET DE SOUDURE'!$AR$7:$AR$1506,0))&lt;&gt;""," / "&amp;INDEX('CARNET DE SOUDURE'!$AD$7:$AD$1506,MATCH(138,'CARNET DE SOUDURE'!$AR$7:$AR$1506,0)),""))</f>
        <v/>
      </c>
      <c r="J149" s="112" t="str">
        <f aca="false">IF($B149="","",INDEX('CARNET DE SOUDURE'!$Z$7:$Z$1506,MATCH(138,'CARNET DE SOUDURE'!$AR$7:$AR$1506,0))&amp;IF(INDEX('CARNET DE SOUDURE'!$AE$7:$AE$1506,MATCH(138,'CARNET DE SOUDURE'!$AR$7:$AR$1506,0))&lt;&gt;""," / "&amp;INDEX('CARNET DE SOUDURE'!$AE$7:$AE$1506,MATCH(138,'CARNET DE SOUDURE'!$AR$7:$AR$1506,0)),""))</f>
        <v/>
      </c>
      <c r="K149" s="112" t="str">
        <f aca="false">IF($B149="","",INDEX('CARNET DE SOUDURE'!$AC$7:$AC$1506,MATCH(138,'CARNET DE SOUDURE'!$AR$7:$AR$1506,0))&amp;IF(INDEX('CARNET DE SOUDURE'!$AH$7:$AH$1506,MATCH(138,'CARNET DE SOUDURE'!$AR$7:$AR$1506,0))&lt;&gt;""," / "&amp;INDEX('CARNET DE SOUDURE'!$AH$7:$AH$1506,MATCH(138,'CARNET DE SOUDURE'!$AR$7:$AR$1506,0)),""))</f>
        <v/>
      </c>
      <c r="L149" s="114" t="str">
        <f aca="false">IF($B149="","",INDEX('CARNET DE SOUDURE'!$AL$7:$AL$1506,MATCH(138,'CARNET DE SOUDURE'!$AR$7:$AR$1506,0)))</f>
        <v/>
      </c>
      <c r="M149" s="114" t="str">
        <f aca="false">IF($B149="","",INDEX('CARNET DE SOUDURE'!$AM$7:$AM$1506,MATCH(138,'CARNET DE SOUDURE'!$AR$7:$AR$1506,0)))</f>
        <v/>
      </c>
      <c r="N149" s="115" t="str">
        <f aca="false">IF($B149="","",INDEX('CARNET DE SOUDURE'!$AN$7:$AN$1506,MATCH(138,'CARNET DE SOUDURE'!$AR$7:$AR$1506,0)))</f>
        <v/>
      </c>
    </row>
    <row r="150" customFormat="false" ht="15" hidden="false" customHeight="false" outlineLevel="0" collapsed="false">
      <c r="B150" s="107" t="str">
        <f aca="false">IF(139&gt;$I$4,"",139)</f>
        <v/>
      </c>
      <c r="C150" s="107" t="str">
        <f aca="false">IF($B150="","",INDEX('CARNET DE SOUDURE'!$B$7:$B$1506,MATCH(139,'CARNET DE SOUDURE'!$AR$7:$AR$1506,0)))</f>
        <v/>
      </c>
      <c r="D150" s="107" t="str">
        <f aca="false">IF($B150="","",INDEX('CARNET DE SOUDURE'!$E$7:$E$1506,MATCH(139,'CARNET DE SOUDURE'!$AR$7:$AR$1506,0)))</f>
        <v/>
      </c>
      <c r="E150" s="107" t="str">
        <f aca="false">IF($B150="","",INDEX('CARNET DE SOUDURE'!$O$7:$O$1506,MATCH(139,'CARNET DE SOUDURE'!$AR$7:$AR$1506,0))&amp;" / "&amp;INDEX('CARNET DE SOUDURE'!$P$7:$P$1506,MATCH(139,'CARNET DE SOUDURE'!$AR$7:$AR$1506,0))&amp;" / "&amp;INDEX('CARNET DE SOUDURE'!$Q$7:$Q$1506,MATCH(139,'CARNET DE SOUDURE'!$AR$7:$AR$1506,0)))</f>
        <v/>
      </c>
      <c r="F150" s="108" t="str">
        <f aca="false">IF($B150="","",INDEX('CARNET DE SOUDURE'!$V$7:$V$1506,MATCH(139,'CARNET DE SOUDURE'!$AR$7:$AR$1506,0)))</f>
        <v/>
      </c>
      <c r="G150" s="107" t="str">
        <f aca="false">IF($B150="","",INDEX('CARNET DE SOUDURE'!$W$7:$W$1506,MATCH(139,'CARNET DE SOUDURE'!$AR$7:$AR$1506,0))&amp;"")</f>
        <v/>
      </c>
      <c r="H150" s="109" t="str">
        <f aca="false">IF($B150="","",INDEX('CARNET DE SOUDURE'!$X$7:$X$1506,MATCH(139,'CARNET DE SOUDURE'!$AR$7:$AR$1506,0)))</f>
        <v/>
      </c>
      <c r="I150" s="107" t="str">
        <f aca="false">IF($B150="","",INDEX('CARNET DE SOUDURE'!$Y$7:$Y$1506,MATCH(139,'CARNET DE SOUDURE'!$AR$7:$AR$1506,0))&amp;IF(INDEX('CARNET DE SOUDURE'!$AD$7:$AD$1506,MATCH(139,'CARNET DE SOUDURE'!$AR$7:$AR$1506,0))&lt;&gt;""," / "&amp;INDEX('CARNET DE SOUDURE'!$AD$7:$AD$1506,MATCH(139,'CARNET DE SOUDURE'!$AR$7:$AR$1506,0)),""))</f>
        <v/>
      </c>
      <c r="J150" s="107" t="str">
        <f aca="false">IF($B150="","",INDEX('CARNET DE SOUDURE'!$Z$7:$Z$1506,MATCH(139,'CARNET DE SOUDURE'!$AR$7:$AR$1506,0))&amp;IF(INDEX('CARNET DE SOUDURE'!$AE$7:$AE$1506,MATCH(139,'CARNET DE SOUDURE'!$AR$7:$AR$1506,0))&lt;&gt;""," / "&amp;INDEX('CARNET DE SOUDURE'!$AE$7:$AE$1506,MATCH(139,'CARNET DE SOUDURE'!$AR$7:$AR$1506,0)),""))</f>
        <v/>
      </c>
      <c r="K150" s="107" t="str">
        <f aca="false">IF($B150="","",INDEX('CARNET DE SOUDURE'!$AC$7:$AC$1506,MATCH(139,'CARNET DE SOUDURE'!$AR$7:$AR$1506,0))&amp;IF(INDEX('CARNET DE SOUDURE'!$AH$7:$AH$1506,MATCH(139,'CARNET DE SOUDURE'!$AR$7:$AR$1506,0))&lt;&gt;""," / "&amp;INDEX('CARNET DE SOUDURE'!$AH$7:$AH$1506,MATCH(139,'CARNET DE SOUDURE'!$AR$7:$AR$1506,0)),""))</f>
        <v/>
      </c>
      <c r="L150" s="109" t="str">
        <f aca="false">IF($B150="","",INDEX('CARNET DE SOUDURE'!$AL$7:$AL$1506,MATCH(139,'CARNET DE SOUDURE'!$AR$7:$AR$1506,0)))</f>
        <v/>
      </c>
      <c r="M150" s="109" t="str">
        <f aca="false">IF($B150="","",INDEX('CARNET DE SOUDURE'!$AM$7:$AM$1506,MATCH(139,'CARNET DE SOUDURE'!$AR$7:$AR$1506,0)))</f>
        <v/>
      </c>
      <c r="N150" s="110" t="str">
        <f aca="false">IF($B150="","",INDEX('CARNET DE SOUDURE'!$AN$7:$AN$1506,MATCH(139,'CARNET DE SOUDURE'!$AR$7:$AR$1506,0)))</f>
        <v/>
      </c>
    </row>
    <row r="151" customFormat="false" ht="15" hidden="false" customHeight="false" outlineLevel="0" collapsed="false">
      <c r="B151" s="112" t="str">
        <f aca="false">IF(140&gt;$I$4,"",140)</f>
        <v/>
      </c>
      <c r="C151" s="112" t="str">
        <f aca="false">IF($B151="","",INDEX('CARNET DE SOUDURE'!$B$7:$B$1506,MATCH(140,'CARNET DE SOUDURE'!$AR$7:$AR$1506,0)))</f>
        <v/>
      </c>
      <c r="D151" s="112" t="str">
        <f aca="false">IF($B151="","",INDEX('CARNET DE SOUDURE'!$E$7:$E$1506,MATCH(140,'CARNET DE SOUDURE'!$AR$7:$AR$1506,0)))</f>
        <v/>
      </c>
      <c r="E151" s="112" t="str">
        <f aca="false">IF($B151="","",INDEX('CARNET DE SOUDURE'!$O$7:$O$1506,MATCH(140,'CARNET DE SOUDURE'!$AR$7:$AR$1506,0))&amp;" / "&amp;INDEX('CARNET DE SOUDURE'!$P$7:$P$1506,MATCH(140,'CARNET DE SOUDURE'!$AR$7:$AR$1506,0))&amp;" / "&amp;INDEX('CARNET DE SOUDURE'!$Q$7:$Q$1506,MATCH(140,'CARNET DE SOUDURE'!$AR$7:$AR$1506,0)))</f>
        <v/>
      </c>
      <c r="F151" s="113" t="str">
        <f aca="false">IF($B151="","",INDEX('CARNET DE SOUDURE'!$V$7:$V$1506,MATCH(140,'CARNET DE SOUDURE'!$AR$7:$AR$1506,0)))</f>
        <v/>
      </c>
      <c r="G151" s="112" t="str">
        <f aca="false">IF($B151="","",INDEX('CARNET DE SOUDURE'!$W$7:$W$1506,MATCH(140,'CARNET DE SOUDURE'!$AR$7:$AR$1506,0))&amp;"")</f>
        <v/>
      </c>
      <c r="H151" s="114" t="str">
        <f aca="false">IF($B151="","",INDEX('CARNET DE SOUDURE'!$X$7:$X$1506,MATCH(140,'CARNET DE SOUDURE'!$AR$7:$AR$1506,0)))</f>
        <v/>
      </c>
      <c r="I151" s="112" t="str">
        <f aca="false">IF($B151="","",INDEX('CARNET DE SOUDURE'!$Y$7:$Y$1506,MATCH(140,'CARNET DE SOUDURE'!$AR$7:$AR$1506,0))&amp;IF(INDEX('CARNET DE SOUDURE'!$AD$7:$AD$1506,MATCH(140,'CARNET DE SOUDURE'!$AR$7:$AR$1506,0))&lt;&gt;""," / "&amp;INDEX('CARNET DE SOUDURE'!$AD$7:$AD$1506,MATCH(140,'CARNET DE SOUDURE'!$AR$7:$AR$1506,0)),""))</f>
        <v/>
      </c>
      <c r="J151" s="112" t="str">
        <f aca="false">IF($B151="","",INDEX('CARNET DE SOUDURE'!$Z$7:$Z$1506,MATCH(140,'CARNET DE SOUDURE'!$AR$7:$AR$1506,0))&amp;IF(INDEX('CARNET DE SOUDURE'!$AE$7:$AE$1506,MATCH(140,'CARNET DE SOUDURE'!$AR$7:$AR$1506,0))&lt;&gt;""," / "&amp;INDEX('CARNET DE SOUDURE'!$AE$7:$AE$1506,MATCH(140,'CARNET DE SOUDURE'!$AR$7:$AR$1506,0)),""))</f>
        <v/>
      </c>
      <c r="K151" s="112" t="str">
        <f aca="false">IF($B151="","",INDEX('CARNET DE SOUDURE'!$AC$7:$AC$1506,MATCH(140,'CARNET DE SOUDURE'!$AR$7:$AR$1506,0))&amp;IF(INDEX('CARNET DE SOUDURE'!$AH$7:$AH$1506,MATCH(140,'CARNET DE SOUDURE'!$AR$7:$AR$1506,0))&lt;&gt;""," / "&amp;INDEX('CARNET DE SOUDURE'!$AH$7:$AH$1506,MATCH(140,'CARNET DE SOUDURE'!$AR$7:$AR$1506,0)),""))</f>
        <v/>
      </c>
      <c r="L151" s="114" t="str">
        <f aca="false">IF($B151="","",INDEX('CARNET DE SOUDURE'!$AL$7:$AL$1506,MATCH(140,'CARNET DE SOUDURE'!$AR$7:$AR$1506,0)))</f>
        <v/>
      </c>
      <c r="M151" s="114" t="str">
        <f aca="false">IF($B151="","",INDEX('CARNET DE SOUDURE'!$AM$7:$AM$1506,MATCH(140,'CARNET DE SOUDURE'!$AR$7:$AR$1506,0)))</f>
        <v/>
      </c>
      <c r="N151" s="115" t="str">
        <f aca="false">IF($B151="","",INDEX('CARNET DE SOUDURE'!$AN$7:$AN$1506,MATCH(140,'CARNET DE SOUDURE'!$AR$7:$AR$1506,0)))</f>
        <v/>
      </c>
    </row>
    <row r="152" customFormat="false" ht="15" hidden="false" customHeight="false" outlineLevel="0" collapsed="false">
      <c r="B152" s="107" t="str">
        <f aca="false">IF(141&gt;$I$4,"",141)</f>
        <v/>
      </c>
      <c r="C152" s="107" t="str">
        <f aca="false">IF($B152="","",INDEX('CARNET DE SOUDURE'!$B$7:$B$1506,MATCH(141,'CARNET DE SOUDURE'!$AR$7:$AR$1506,0)))</f>
        <v/>
      </c>
      <c r="D152" s="107" t="str">
        <f aca="false">IF($B152="","",INDEX('CARNET DE SOUDURE'!$E$7:$E$1506,MATCH(141,'CARNET DE SOUDURE'!$AR$7:$AR$1506,0)))</f>
        <v/>
      </c>
      <c r="E152" s="107" t="str">
        <f aca="false">IF($B152="","",INDEX('CARNET DE SOUDURE'!$O$7:$O$1506,MATCH(141,'CARNET DE SOUDURE'!$AR$7:$AR$1506,0))&amp;" / "&amp;INDEX('CARNET DE SOUDURE'!$P$7:$P$1506,MATCH(141,'CARNET DE SOUDURE'!$AR$7:$AR$1506,0))&amp;" / "&amp;INDEX('CARNET DE SOUDURE'!$Q$7:$Q$1506,MATCH(141,'CARNET DE SOUDURE'!$AR$7:$AR$1506,0)))</f>
        <v/>
      </c>
      <c r="F152" s="108" t="str">
        <f aca="false">IF($B152="","",INDEX('CARNET DE SOUDURE'!$V$7:$V$1506,MATCH(141,'CARNET DE SOUDURE'!$AR$7:$AR$1506,0)))</f>
        <v/>
      </c>
      <c r="G152" s="107" t="str">
        <f aca="false">IF($B152="","",INDEX('CARNET DE SOUDURE'!$W$7:$W$1506,MATCH(141,'CARNET DE SOUDURE'!$AR$7:$AR$1506,0))&amp;"")</f>
        <v/>
      </c>
      <c r="H152" s="109" t="str">
        <f aca="false">IF($B152="","",INDEX('CARNET DE SOUDURE'!$X$7:$X$1506,MATCH(141,'CARNET DE SOUDURE'!$AR$7:$AR$1506,0)))</f>
        <v/>
      </c>
      <c r="I152" s="107" t="str">
        <f aca="false">IF($B152="","",INDEX('CARNET DE SOUDURE'!$Y$7:$Y$1506,MATCH(141,'CARNET DE SOUDURE'!$AR$7:$AR$1506,0))&amp;IF(INDEX('CARNET DE SOUDURE'!$AD$7:$AD$1506,MATCH(141,'CARNET DE SOUDURE'!$AR$7:$AR$1506,0))&lt;&gt;""," / "&amp;INDEX('CARNET DE SOUDURE'!$AD$7:$AD$1506,MATCH(141,'CARNET DE SOUDURE'!$AR$7:$AR$1506,0)),""))</f>
        <v/>
      </c>
      <c r="J152" s="107" t="str">
        <f aca="false">IF($B152="","",INDEX('CARNET DE SOUDURE'!$Z$7:$Z$1506,MATCH(141,'CARNET DE SOUDURE'!$AR$7:$AR$1506,0))&amp;IF(INDEX('CARNET DE SOUDURE'!$AE$7:$AE$1506,MATCH(141,'CARNET DE SOUDURE'!$AR$7:$AR$1506,0))&lt;&gt;""," / "&amp;INDEX('CARNET DE SOUDURE'!$AE$7:$AE$1506,MATCH(141,'CARNET DE SOUDURE'!$AR$7:$AR$1506,0)),""))</f>
        <v/>
      </c>
      <c r="K152" s="107" t="str">
        <f aca="false">IF($B152="","",INDEX('CARNET DE SOUDURE'!$AC$7:$AC$1506,MATCH(141,'CARNET DE SOUDURE'!$AR$7:$AR$1506,0))&amp;IF(INDEX('CARNET DE SOUDURE'!$AH$7:$AH$1506,MATCH(141,'CARNET DE SOUDURE'!$AR$7:$AR$1506,0))&lt;&gt;""," / "&amp;INDEX('CARNET DE SOUDURE'!$AH$7:$AH$1506,MATCH(141,'CARNET DE SOUDURE'!$AR$7:$AR$1506,0)),""))</f>
        <v/>
      </c>
      <c r="L152" s="109" t="str">
        <f aca="false">IF($B152="","",INDEX('CARNET DE SOUDURE'!$AL$7:$AL$1506,MATCH(141,'CARNET DE SOUDURE'!$AR$7:$AR$1506,0)))</f>
        <v/>
      </c>
      <c r="M152" s="109" t="str">
        <f aca="false">IF($B152="","",INDEX('CARNET DE SOUDURE'!$AM$7:$AM$1506,MATCH(141,'CARNET DE SOUDURE'!$AR$7:$AR$1506,0)))</f>
        <v/>
      </c>
      <c r="N152" s="110" t="str">
        <f aca="false">IF($B152="","",INDEX('CARNET DE SOUDURE'!$AN$7:$AN$1506,MATCH(141,'CARNET DE SOUDURE'!$AR$7:$AR$1506,0)))</f>
        <v/>
      </c>
    </row>
    <row r="153" customFormat="false" ht="15" hidden="false" customHeight="false" outlineLevel="0" collapsed="false">
      <c r="B153" s="112" t="str">
        <f aca="false">IF(142&gt;$I$4,"",142)</f>
        <v/>
      </c>
      <c r="C153" s="112" t="str">
        <f aca="false">IF($B153="","",INDEX('CARNET DE SOUDURE'!$B$7:$B$1506,MATCH(142,'CARNET DE SOUDURE'!$AR$7:$AR$1506,0)))</f>
        <v/>
      </c>
      <c r="D153" s="112" t="str">
        <f aca="false">IF($B153="","",INDEX('CARNET DE SOUDURE'!$E$7:$E$1506,MATCH(142,'CARNET DE SOUDURE'!$AR$7:$AR$1506,0)))</f>
        <v/>
      </c>
      <c r="E153" s="112" t="str">
        <f aca="false">IF($B153="","",INDEX('CARNET DE SOUDURE'!$O$7:$O$1506,MATCH(142,'CARNET DE SOUDURE'!$AR$7:$AR$1506,0))&amp;" / "&amp;INDEX('CARNET DE SOUDURE'!$P$7:$P$1506,MATCH(142,'CARNET DE SOUDURE'!$AR$7:$AR$1506,0))&amp;" / "&amp;INDEX('CARNET DE SOUDURE'!$Q$7:$Q$1506,MATCH(142,'CARNET DE SOUDURE'!$AR$7:$AR$1506,0)))</f>
        <v/>
      </c>
      <c r="F153" s="113" t="str">
        <f aca="false">IF($B153="","",INDEX('CARNET DE SOUDURE'!$V$7:$V$1506,MATCH(142,'CARNET DE SOUDURE'!$AR$7:$AR$1506,0)))</f>
        <v/>
      </c>
      <c r="G153" s="112" t="str">
        <f aca="false">IF($B153="","",INDEX('CARNET DE SOUDURE'!$W$7:$W$1506,MATCH(142,'CARNET DE SOUDURE'!$AR$7:$AR$1506,0))&amp;"")</f>
        <v/>
      </c>
      <c r="H153" s="114" t="str">
        <f aca="false">IF($B153="","",INDEX('CARNET DE SOUDURE'!$X$7:$X$1506,MATCH(142,'CARNET DE SOUDURE'!$AR$7:$AR$1506,0)))</f>
        <v/>
      </c>
      <c r="I153" s="112" t="str">
        <f aca="false">IF($B153="","",INDEX('CARNET DE SOUDURE'!$Y$7:$Y$1506,MATCH(142,'CARNET DE SOUDURE'!$AR$7:$AR$1506,0))&amp;IF(INDEX('CARNET DE SOUDURE'!$AD$7:$AD$1506,MATCH(142,'CARNET DE SOUDURE'!$AR$7:$AR$1506,0))&lt;&gt;""," / "&amp;INDEX('CARNET DE SOUDURE'!$AD$7:$AD$1506,MATCH(142,'CARNET DE SOUDURE'!$AR$7:$AR$1506,0)),""))</f>
        <v/>
      </c>
      <c r="J153" s="112" t="str">
        <f aca="false">IF($B153="","",INDEX('CARNET DE SOUDURE'!$Z$7:$Z$1506,MATCH(142,'CARNET DE SOUDURE'!$AR$7:$AR$1506,0))&amp;IF(INDEX('CARNET DE SOUDURE'!$AE$7:$AE$1506,MATCH(142,'CARNET DE SOUDURE'!$AR$7:$AR$1506,0))&lt;&gt;""," / "&amp;INDEX('CARNET DE SOUDURE'!$AE$7:$AE$1506,MATCH(142,'CARNET DE SOUDURE'!$AR$7:$AR$1506,0)),""))</f>
        <v/>
      </c>
      <c r="K153" s="112" t="str">
        <f aca="false">IF($B153="","",INDEX('CARNET DE SOUDURE'!$AC$7:$AC$1506,MATCH(142,'CARNET DE SOUDURE'!$AR$7:$AR$1506,0))&amp;IF(INDEX('CARNET DE SOUDURE'!$AH$7:$AH$1506,MATCH(142,'CARNET DE SOUDURE'!$AR$7:$AR$1506,0))&lt;&gt;""," / "&amp;INDEX('CARNET DE SOUDURE'!$AH$7:$AH$1506,MATCH(142,'CARNET DE SOUDURE'!$AR$7:$AR$1506,0)),""))</f>
        <v/>
      </c>
      <c r="L153" s="114" t="str">
        <f aca="false">IF($B153="","",INDEX('CARNET DE SOUDURE'!$AL$7:$AL$1506,MATCH(142,'CARNET DE SOUDURE'!$AR$7:$AR$1506,0)))</f>
        <v/>
      </c>
      <c r="M153" s="114" t="str">
        <f aca="false">IF($B153="","",INDEX('CARNET DE SOUDURE'!$AM$7:$AM$1506,MATCH(142,'CARNET DE SOUDURE'!$AR$7:$AR$1506,0)))</f>
        <v/>
      </c>
      <c r="N153" s="115" t="str">
        <f aca="false">IF($B153="","",INDEX('CARNET DE SOUDURE'!$AN$7:$AN$1506,MATCH(142,'CARNET DE SOUDURE'!$AR$7:$AR$1506,0)))</f>
        <v/>
      </c>
    </row>
    <row r="154" customFormat="false" ht="15" hidden="false" customHeight="false" outlineLevel="0" collapsed="false">
      <c r="B154" s="107" t="str">
        <f aca="false">IF(143&gt;$I$4,"",143)</f>
        <v/>
      </c>
      <c r="C154" s="107" t="str">
        <f aca="false">IF($B154="","",INDEX('CARNET DE SOUDURE'!$B$7:$B$1506,MATCH(143,'CARNET DE SOUDURE'!$AR$7:$AR$1506,0)))</f>
        <v/>
      </c>
      <c r="D154" s="107" t="str">
        <f aca="false">IF($B154="","",INDEX('CARNET DE SOUDURE'!$E$7:$E$1506,MATCH(143,'CARNET DE SOUDURE'!$AR$7:$AR$1506,0)))</f>
        <v/>
      </c>
      <c r="E154" s="107" t="str">
        <f aca="false">IF($B154="","",INDEX('CARNET DE SOUDURE'!$O$7:$O$1506,MATCH(143,'CARNET DE SOUDURE'!$AR$7:$AR$1506,0))&amp;" / "&amp;INDEX('CARNET DE SOUDURE'!$P$7:$P$1506,MATCH(143,'CARNET DE SOUDURE'!$AR$7:$AR$1506,0))&amp;" / "&amp;INDEX('CARNET DE SOUDURE'!$Q$7:$Q$1506,MATCH(143,'CARNET DE SOUDURE'!$AR$7:$AR$1506,0)))</f>
        <v/>
      </c>
      <c r="F154" s="108" t="str">
        <f aca="false">IF($B154="","",INDEX('CARNET DE SOUDURE'!$V$7:$V$1506,MATCH(143,'CARNET DE SOUDURE'!$AR$7:$AR$1506,0)))</f>
        <v/>
      </c>
      <c r="G154" s="107" t="str">
        <f aca="false">IF($B154="","",INDEX('CARNET DE SOUDURE'!$W$7:$W$1506,MATCH(143,'CARNET DE SOUDURE'!$AR$7:$AR$1506,0))&amp;"")</f>
        <v/>
      </c>
      <c r="H154" s="109" t="str">
        <f aca="false">IF($B154="","",INDEX('CARNET DE SOUDURE'!$X$7:$X$1506,MATCH(143,'CARNET DE SOUDURE'!$AR$7:$AR$1506,0)))</f>
        <v/>
      </c>
      <c r="I154" s="107" t="str">
        <f aca="false">IF($B154="","",INDEX('CARNET DE SOUDURE'!$Y$7:$Y$1506,MATCH(143,'CARNET DE SOUDURE'!$AR$7:$AR$1506,0))&amp;IF(INDEX('CARNET DE SOUDURE'!$AD$7:$AD$1506,MATCH(143,'CARNET DE SOUDURE'!$AR$7:$AR$1506,0))&lt;&gt;""," / "&amp;INDEX('CARNET DE SOUDURE'!$AD$7:$AD$1506,MATCH(143,'CARNET DE SOUDURE'!$AR$7:$AR$1506,0)),""))</f>
        <v/>
      </c>
      <c r="J154" s="107" t="str">
        <f aca="false">IF($B154="","",INDEX('CARNET DE SOUDURE'!$Z$7:$Z$1506,MATCH(143,'CARNET DE SOUDURE'!$AR$7:$AR$1506,0))&amp;IF(INDEX('CARNET DE SOUDURE'!$AE$7:$AE$1506,MATCH(143,'CARNET DE SOUDURE'!$AR$7:$AR$1506,0))&lt;&gt;""," / "&amp;INDEX('CARNET DE SOUDURE'!$AE$7:$AE$1506,MATCH(143,'CARNET DE SOUDURE'!$AR$7:$AR$1506,0)),""))</f>
        <v/>
      </c>
      <c r="K154" s="107" t="str">
        <f aca="false">IF($B154="","",INDEX('CARNET DE SOUDURE'!$AC$7:$AC$1506,MATCH(143,'CARNET DE SOUDURE'!$AR$7:$AR$1506,0))&amp;IF(INDEX('CARNET DE SOUDURE'!$AH$7:$AH$1506,MATCH(143,'CARNET DE SOUDURE'!$AR$7:$AR$1506,0))&lt;&gt;""," / "&amp;INDEX('CARNET DE SOUDURE'!$AH$7:$AH$1506,MATCH(143,'CARNET DE SOUDURE'!$AR$7:$AR$1506,0)),""))</f>
        <v/>
      </c>
      <c r="L154" s="109" t="str">
        <f aca="false">IF($B154="","",INDEX('CARNET DE SOUDURE'!$AL$7:$AL$1506,MATCH(143,'CARNET DE SOUDURE'!$AR$7:$AR$1506,0)))</f>
        <v/>
      </c>
      <c r="M154" s="109" t="str">
        <f aca="false">IF($B154="","",INDEX('CARNET DE SOUDURE'!$AM$7:$AM$1506,MATCH(143,'CARNET DE SOUDURE'!$AR$7:$AR$1506,0)))</f>
        <v/>
      </c>
      <c r="N154" s="110" t="str">
        <f aca="false">IF($B154="","",INDEX('CARNET DE SOUDURE'!$AN$7:$AN$1506,MATCH(143,'CARNET DE SOUDURE'!$AR$7:$AR$1506,0)))</f>
        <v/>
      </c>
    </row>
    <row r="155" customFormat="false" ht="15" hidden="false" customHeight="false" outlineLevel="0" collapsed="false">
      <c r="B155" s="112" t="str">
        <f aca="false">IF(144&gt;$I$4,"",144)</f>
        <v/>
      </c>
      <c r="C155" s="112" t="str">
        <f aca="false">IF($B155="","",INDEX('CARNET DE SOUDURE'!$B$7:$B$1506,MATCH(144,'CARNET DE SOUDURE'!$AR$7:$AR$1506,0)))</f>
        <v/>
      </c>
      <c r="D155" s="112" t="str">
        <f aca="false">IF($B155="","",INDEX('CARNET DE SOUDURE'!$E$7:$E$1506,MATCH(144,'CARNET DE SOUDURE'!$AR$7:$AR$1506,0)))</f>
        <v/>
      </c>
      <c r="E155" s="112" t="str">
        <f aca="false">IF($B155="","",INDEX('CARNET DE SOUDURE'!$O$7:$O$1506,MATCH(144,'CARNET DE SOUDURE'!$AR$7:$AR$1506,0))&amp;" / "&amp;INDEX('CARNET DE SOUDURE'!$P$7:$P$1506,MATCH(144,'CARNET DE SOUDURE'!$AR$7:$AR$1506,0))&amp;" / "&amp;INDEX('CARNET DE SOUDURE'!$Q$7:$Q$1506,MATCH(144,'CARNET DE SOUDURE'!$AR$7:$AR$1506,0)))</f>
        <v/>
      </c>
      <c r="F155" s="113" t="str">
        <f aca="false">IF($B155="","",INDEX('CARNET DE SOUDURE'!$V$7:$V$1506,MATCH(144,'CARNET DE SOUDURE'!$AR$7:$AR$1506,0)))</f>
        <v/>
      </c>
      <c r="G155" s="112" t="str">
        <f aca="false">IF($B155="","",INDEX('CARNET DE SOUDURE'!$W$7:$W$1506,MATCH(144,'CARNET DE SOUDURE'!$AR$7:$AR$1506,0))&amp;"")</f>
        <v/>
      </c>
      <c r="H155" s="114" t="str">
        <f aca="false">IF($B155="","",INDEX('CARNET DE SOUDURE'!$X$7:$X$1506,MATCH(144,'CARNET DE SOUDURE'!$AR$7:$AR$1506,0)))</f>
        <v/>
      </c>
      <c r="I155" s="112" t="str">
        <f aca="false">IF($B155="","",INDEX('CARNET DE SOUDURE'!$Y$7:$Y$1506,MATCH(144,'CARNET DE SOUDURE'!$AR$7:$AR$1506,0))&amp;IF(INDEX('CARNET DE SOUDURE'!$AD$7:$AD$1506,MATCH(144,'CARNET DE SOUDURE'!$AR$7:$AR$1506,0))&lt;&gt;""," / "&amp;INDEX('CARNET DE SOUDURE'!$AD$7:$AD$1506,MATCH(144,'CARNET DE SOUDURE'!$AR$7:$AR$1506,0)),""))</f>
        <v/>
      </c>
      <c r="J155" s="112" t="str">
        <f aca="false">IF($B155="","",INDEX('CARNET DE SOUDURE'!$Z$7:$Z$1506,MATCH(144,'CARNET DE SOUDURE'!$AR$7:$AR$1506,0))&amp;IF(INDEX('CARNET DE SOUDURE'!$AE$7:$AE$1506,MATCH(144,'CARNET DE SOUDURE'!$AR$7:$AR$1506,0))&lt;&gt;""," / "&amp;INDEX('CARNET DE SOUDURE'!$AE$7:$AE$1506,MATCH(144,'CARNET DE SOUDURE'!$AR$7:$AR$1506,0)),""))</f>
        <v/>
      </c>
      <c r="K155" s="112" t="str">
        <f aca="false">IF($B155="","",INDEX('CARNET DE SOUDURE'!$AC$7:$AC$1506,MATCH(144,'CARNET DE SOUDURE'!$AR$7:$AR$1506,0))&amp;IF(INDEX('CARNET DE SOUDURE'!$AH$7:$AH$1506,MATCH(144,'CARNET DE SOUDURE'!$AR$7:$AR$1506,0))&lt;&gt;""," / "&amp;INDEX('CARNET DE SOUDURE'!$AH$7:$AH$1506,MATCH(144,'CARNET DE SOUDURE'!$AR$7:$AR$1506,0)),""))</f>
        <v/>
      </c>
      <c r="L155" s="114" t="str">
        <f aca="false">IF($B155="","",INDEX('CARNET DE SOUDURE'!$AL$7:$AL$1506,MATCH(144,'CARNET DE SOUDURE'!$AR$7:$AR$1506,0)))</f>
        <v/>
      </c>
      <c r="M155" s="114" t="str">
        <f aca="false">IF($B155="","",INDEX('CARNET DE SOUDURE'!$AM$7:$AM$1506,MATCH(144,'CARNET DE SOUDURE'!$AR$7:$AR$1506,0)))</f>
        <v/>
      </c>
      <c r="N155" s="115" t="str">
        <f aca="false">IF($B155="","",INDEX('CARNET DE SOUDURE'!$AN$7:$AN$1506,MATCH(144,'CARNET DE SOUDURE'!$AR$7:$AR$1506,0)))</f>
        <v/>
      </c>
    </row>
    <row r="156" customFormat="false" ht="15" hidden="false" customHeight="false" outlineLevel="0" collapsed="false">
      <c r="B156" s="107" t="str">
        <f aca="false">IF(145&gt;$I$4,"",145)</f>
        <v/>
      </c>
      <c r="C156" s="107" t="str">
        <f aca="false">IF($B156="","",INDEX('CARNET DE SOUDURE'!$B$7:$B$1506,MATCH(145,'CARNET DE SOUDURE'!$AR$7:$AR$1506,0)))</f>
        <v/>
      </c>
      <c r="D156" s="107" t="str">
        <f aca="false">IF($B156="","",INDEX('CARNET DE SOUDURE'!$E$7:$E$1506,MATCH(145,'CARNET DE SOUDURE'!$AR$7:$AR$1506,0)))</f>
        <v/>
      </c>
      <c r="E156" s="107" t="str">
        <f aca="false">IF($B156="","",INDEX('CARNET DE SOUDURE'!$O$7:$O$1506,MATCH(145,'CARNET DE SOUDURE'!$AR$7:$AR$1506,0))&amp;" / "&amp;INDEX('CARNET DE SOUDURE'!$P$7:$P$1506,MATCH(145,'CARNET DE SOUDURE'!$AR$7:$AR$1506,0))&amp;" / "&amp;INDEX('CARNET DE SOUDURE'!$Q$7:$Q$1506,MATCH(145,'CARNET DE SOUDURE'!$AR$7:$AR$1506,0)))</f>
        <v/>
      </c>
      <c r="F156" s="108" t="str">
        <f aca="false">IF($B156="","",INDEX('CARNET DE SOUDURE'!$V$7:$V$1506,MATCH(145,'CARNET DE SOUDURE'!$AR$7:$AR$1506,0)))</f>
        <v/>
      </c>
      <c r="G156" s="107" t="str">
        <f aca="false">IF($B156="","",INDEX('CARNET DE SOUDURE'!$W$7:$W$1506,MATCH(145,'CARNET DE SOUDURE'!$AR$7:$AR$1506,0))&amp;"")</f>
        <v/>
      </c>
      <c r="H156" s="109" t="str">
        <f aca="false">IF($B156="","",INDEX('CARNET DE SOUDURE'!$X$7:$X$1506,MATCH(145,'CARNET DE SOUDURE'!$AR$7:$AR$1506,0)))</f>
        <v/>
      </c>
      <c r="I156" s="107" t="str">
        <f aca="false">IF($B156="","",INDEX('CARNET DE SOUDURE'!$Y$7:$Y$1506,MATCH(145,'CARNET DE SOUDURE'!$AR$7:$AR$1506,0))&amp;IF(INDEX('CARNET DE SOUDURE'!$AD$7:$AD$1506,MATCH(145,'CARNET DE SOUDURE'!$AR$7:$AR$1506,0))&lt;&gt;""," / "&amp;INDEX('CARNET DE SOUDURE'!$AD$7:$AD$1506,MATCH(145,'CARNET DE SOUDURE'!$AR$7:$AR$1506,0)),""))</f>
        <v/>
      </c>
      <c r="J156" s="107" t="str">
        <f aca="false">IF($B156="","",INDEX('CARNET DE SOUDURE'!$Z$7:$Z$1506,MATCH(145,'CARNET DE SOUDURE'!$AR$7:$AR$1506,0))&amp;IF(INDEX('CARNET DE SOUDURE'!$AE$7:$AE$1506,MATCH(145,'CARNET DE SOUDURE'!$AR$7:$AR$1506,0))&lt;&gt;""," / "&amp;INDEX('CARNET DE SOUDURE'!$AE$7:$AE$1506,MATCH(145,'CARNET DE SOUDURE'!$AR$7:$AR$1506,0)),""))</f>
        <v/>
      </c>
      <c r="K156" s="107" t="str">
        <f aca="false">IF($B156="","",INDEX('CARNET DE SOUDURE'!$AC$7:$AC$1506,MATCH(145,'CARNET DE SOUDURE'!$AR$7:$AR$1506,0))&amp;IF(INDEX('CARNET DE SOUDURE'!$AH$7:$AH$1506,MATCH(145,'CARNET DE SOUDURE'!$AR$7:$AR$1506,0))&lt;&gt;""," / "&amp;INDEX('CARNET DE SOUDURE'!$AH$7:$AH$1506,MATCH(145,'CARNET DE SOUDURE'!$AR$7:$AR$1506,0)),""))</f>
        <v/>
      </c>
      <c r="L156" s="109" t="str">
        <f aca="false">IF($B156="","",INDEX('CARNET DE SOUDURE'!$AL$7:$AL$1506,MATCH(145,'CARNET DE SOUDURE'!$AR$7:$AR$1506,0)))</f>
        <v/>
      </c>
      <c r="M156" s="109" t="str">
        <f aca="false">IF($B156="","",INDEX('CARNET DE SOUDURE'!$AM$7:$AM$1506,MATCH(145,'CARNET DE SOUDURE'!$AR$7:$AR$1506,0)))</f>
        <v/>
      </c>
      <c r="N156" s="110" t="str">
        <f aca="false">IF($B156="","",INDEX('CARNET DE SOUDURE'!$AN$7:$AN$1506,MATCH(145,'CARNET DE SOUDURE'!$AR$7:$AR$1506,0)))</f>
        <v/>
      </c>
    </row>
    <row r="157" customFormat="false" ht="15" hidden="false" customHeight="false" outlineLevel="0" collapsed="false">
      <c r="B157" s="112" t="str">
        <f aca="false">IF(146&gt;$I$4,"",146)</f>
        <v/>
      </c>
      <c r="C157" s="112" t="str">
        <f aca="false">IF($B157="","",INDEX('CARNET DE SOUDURE'!$B$7:$B$1506,MATCH(146,'CARNET DE SOUDURE'!$AR$7:$AR$1506,0)))</f>
        <v/>
      </c>
      <c r="D157" s="112" t="str">
        <f aca="false">IF($B157="","",INDEX('CARNET DE SOUDURE'!$E$7:$E$1506,MATCH(146,'CARNET DE SOUDURE'!$AR$7:$AR$1506,0)))</f>
        <v/>
      </c>
      <c r="E157" s="112" t="str">
        <f aca="false">IF($B157="","",INDEX('CARNET DE SOUDURE'!$O$7:$O$1506,MATCH(146,'CARNET DE SOUDURE'!$AR$7:$AR$1506,0))&amp;" / "&amp;INDEX('CARNET DE SOUDURE'!$P$7:$P$1506,MATCH(146,'CARNET DE SOUDURE'!$AR$7:$AR$1506,0))&amp;" / "&amp;INDEX('CARNET DE SOUDURE'!$Q$7:$Q$1506,MATCH(146,'CARNET DE SOUDURE'!$AR$7:$AR$1506,0)))</f>
        <v/>
      </c>
      <c r="F157" s="113" t="str">
        <f aca="false">IF($B157="","",INDEX('CARNET DE SOUDURE'!$V$7:$V$1506,MATCH(146,'CARNET DE SOUDURE'!$AR$7:$AR$1506,0)))</f>
        <v/>
      </c>
      <c r="G157" s="112" t="str">
        <f aca="false">IF($B157="","",INDEX('CARNET DE SOUDURE'!$W$7:$W$1506,MATCH(146,'CARNET DE SOUDURE'!$AR$7:$AR$1506,0))&amp;"")</f>
        <v/>
      </c>
      <c r="H157" s="114" t="str">
        <f aca="false">IF($B157="","",INDEX('CARNET DE SOUDURE'!$X$7:$X$1506,MATCH(146,'CARNET DE SOUDURE'!$AR$7:$AR$1506,0)))</f>
        <v/>
      </c>
      <c r="I157" s="112" t="str">
        <f aca="false">IF($B157="","",INDEX('CARNET DE SOUDURE'!$Y$7:$Y$1506,MATCH(146,'CARNET DE SOUDURE'!$AR$7:$AR$1506,0))&amp;IF(INDEX('CARNET DE SOUDURE'!$AD$7:$AD$1506,MATCH(146,'CARNET DE SOUDURE'!$AR$7:$AR$1506,0))&lt;&gt;""," / "&amp;INDEX('CARNET DE SOUDURE'!$AD$7:$AD$1506,MATCH(146,'CARNET DE SOUDURE'!$AR$7:$AR$1506,0)),""))</f>
        <v/>
      </c>
      <c r="J157" s="112" t="str">
        <f aca="false">IF($B157="","",INDEX('CARNET DE SOUDURE'!$Z$7:$Z$1506,MATCH(146,'CARNET DE SOUDURE'!$AR$7:$AR$1506,0))&amp;IF(INDEX('CARNET DE SOUDURE'!$AE$7:$AE$1506,MATCH(146,'CARNET DE SOUDURE'!$AR$7:$AR$1506,0))&lt;&gt;""," / "&amp;INDEX('CARNET DE SOUDURE'!$AE$7:$AE$1506,MATCH(146,'CARNET DE SOUDURE'!$AR$7:$AR$1506,0)),""))</f>
        <v/>
      </c>
      <c r="K157" s="112" t="str">
        <f aca="false">IF($B157="","",INDEX('CARNET DE SOUDURE'!$AC$7:$AC$1506,MATCH(146,'CARNET DE SOUDURE'!$AR$7:$AR$1506,0))&amp;IF(INDEX('CARNET DE SOUDURE'!$AH$7:$AH$1506,MATCH(146,'CARNET DE SOUDURE'!$AR$7:$AR$1506,0))&lt;&gt;""," / "&amp;INDEX('CARNET DE SOUDURE'!$AH$7:$AH$1506,MATCH(146,'CARNET DE SOUDURE'!$AR$7:$AR$1506,0)),""))</f>
        <v/>
      </c>
      <c r="L157" s="114" t="str">
        <f aca="false">IF($B157="","",INDEX('CARNET DE SOUDURE'!$AL$7:$AL$1506,MATCH(146,'CARNET DE SOUDURE'!$AR$7:$AR$1506,0)))</f>
        <v/>
      </c>
      <c r="M157" s="114" t="str">
        <f aca="false">IF($B157="","",INDEX('CARNET DE SOUDURE'!$AM$7:$AM$1506,MATCH(146,'CARNET DE SOUDURE'!$AR$7:$AR$1506,0)))</f>
        <v/>
      </c>
      <c r="N157" s="115" t="str">
        <f aca="false">IF($B157="","",INDEX('CARNET DE SOUDURE'!$AN$7:$AN$1506,MATCH(146,'CARNET DE SOUDURE'!$AR$7:$AR$1506,0)))</f>
        <v/>
      </c>
    </row>
    <row r="158" customFormat="false" ht="15" hidden="false" customHeight="false" outlineLevel="0" collapsed="false">
      <c r="B158" s="107" t="str">
        <f aca="false">IF(147&gt;$I$4,"",147)</f>
        <v/>
      </c>
      <c r="C158" s="107" t="str">
        <f aca="false">IF($B158="","",INDEX('CARNET DE SOUDURE'!$B$7:$B$1506,MATCH(147,'CARNET DE SOUDURE'!$AR$7:$AR$1506,0)))</f>
        <v/>
      </c>
      <c r="D158" s="107" t="str">
        <f aca="false">IF($B158="","",INDEX('CARNET DE SOUDURE'!$E$7:$E$1506,MATCH(147,'CARNET DE SOUDURE'!$AR$7:$AR$1506,0)))</f>
        <v/>
      </c>
      <c r="E158" s="107" t="str">
        <f aca="false">IF($B158="","",INDEX('CARNET DE SOUDURE'!$O$7:$O$1506,MATCH(147,'CARNET DE SOUDURE'!$AR$7:$AR$1506,0))&amp;" / "&amp;INDEX('CARNET DE SOUDURE'!$P$7:$P$1506,MATCH(147,'CARNET DE SOUDURE'!$AR$7:$AR$1506,0))&amp;" / "&amp;INDEX('CARNET DE SOUDURE'!$Q$7:$Q$1506,MATCH(147,'CARNET DE SOUDURE'!$AR$7:$AR$1506,0)))</f>
        <v/>
      </c>
      <c r="F158" s="108" t="str">
        <f aca="false">IF($B158="","",INDEX('CARNET DE SOUDURE'!$V$7:$V$1506,MATCH(147,'CARNET DE SOUDURE'!$AR$7:$AR$1506,0)))</f>
        <v/>
      </c>
      <c r="G158" s="107" t="str">
        <f aca="false">IF($B158="","",INDEX('CARNET DE SOUDURE'!$W$7:$W$1506,MATCH(147,'CARNET DE SOUDURE'!$AR$7:$AR$1506,0))&amp;"")</f>
        <v/>
      </c>
      <c r="H158" s="109" t="str">
        <f aca="false">IF($B158="","",INDEX('CARNET DE SOUDURE'!$X$7:$X$1506,MATCH(147,'CARNET DE SOUDURE'!$AR$7:$AR$1506,0)))</f>
        <v/>
      </c>
      <c r="I158" s="107" t="str">
        <f aca="false">IF($B158="","",INDEX('CARNET DE SOUDURE'!$Y$7:$Y$1506,MATCH(147,'CARNET DE SOUDURE'!$AR$7:$AR$1506,0))&amp;IF(INDEX('CARNET DE SOUDURE'!$AD$7:$AD$1506,MATCH(147,'CARNET DE SOUDURE'!$AR$7:$AR$1506,0))&lt;&gt;""," / "&amp;INDEX('CARNET DE SOUDURE'!$AD$7:$AD$1506,MATCH(147,'CARNET DE SOUDURE'!$AR$7:$AR$1506,0)),""))</f>
        <v/>
      </c>
      <c r="J158" s="107" t="str">
        <f aca="false">IF($B158="","",INDEX('CARNET DE SOUDURE'!$Z$7:$Z$1506,MATCH(147,'CARNET DE SOUDURE'!$AR$7:$AR$1506,0))&amp;IF(INDEX('CARNET DE SOUDURE'!$AE$7:$AE$1506,MATCH(147,'CARNET DE SOUDURE'!$AR$7:$AR$1506,0))&lt;&gt;""," / "&amp;INDEX('CARNET DE SOUDURE'!$AE$7:$AE$1506,MATCH(147,'CARNET DE SOUDURE'!$AR$7:$AR$1506,0)),""))</f>
        <v/>
      </c>
      <c r="K158" s="107" t="str">
        <f aca="false">IF($B158="","",INDEX('CARNET DE SOUDURE'!$AC$7:$AC$1506,MATCH(147,'CARNET DE SOUDURE'!$AR$7:$AR$1506,0))&amp;IF(INDEX('CARNET DE SOUDURE'!$AH$7:$AH$1506,MATCH(147,'CARNET DE SOUDURE'!$AR$7:$AR$1506,0))&lt;&gt;""," / "&amp;INDEX('CARNET DE SOUDURE'!$AH$7:$AH$1506,MATCH(147,'CARNET DE SOUDURE'!$AR$7:$AR$1506,0)),""))</f>
        <v/>
      </c>
      <c r="L158" s="109" t="str">
        <f aca="false">IF($B158="","",INDEX('CARNET DE SOUDURE'!$AL$7:$AL$1506,MATCH(147,'CARNET DE SOUDURE'!$AR$7:$AR$1506,0)))</f>
        <v/>
      </c>
      <c r="M158" s="109" t="str">
        <f aca="false">IF($B158="","",INDEX('CARNET DE SOUDURE'!$AM$7:$AM$1506,MATCH(147,'CARNET DE SOUDURE'!$AR$7:$AR$1506,0)))</f>
        <v/>
      </c>
      <c r="N158" s="110" t="str">
        <f aca="false">IF($B158="","",INDEX('CARNET DE SOUDURE'!$AN$7:$AN$1506,MATCH(147,'CARNET DE SOUDURE'!$AR$7:$AR$1506,0)))</f>
        <v/>
      </c>
    </row>
    <row r="159" customFormat="false" ht="15" hidden="false" customHeight="false" outlineLevel="0" collapsed="false">
      <c r="B159" s="112" t="str">
        <f aca="false">IF(148&gt;$I$4,"",148)</f>
        <v/>
      </c>
      <c r="C159" s="112" t="str">
        <f aca="false">IF($B159="","",INDEX('CARNET DE SOUDURE'!$B$7:$B$1506,MATCH(148,'CARNET DE SOUDURE'!$AR$7:$AR$1506,0)))</f>
        <v/>
      </c>
      <c r="D159" s="112" t="str">
        <f aca="false">IF($B159="","",INDEX('CARNET DE SOUDURE'!$E$7:$E$1506,MATCH(148,'CARNET DE SOUDURE'!$AR$7:$AR$1506,0)))</f>
        <v/>
      </c>
      <c r="E159" s="112" t="str">
        <f aca="false">IF($B159="","",INDEX('CARNET DE SOUDURE'!$O$7:$O$1506,MATCH(148,'CARNET DE SOUDURE'!$AR$7:$AR$1506,0))&amp;" / "&amp;INDEX('CARNET DE SOUDURE'!$P$7:$P$1506,MATCH(148,'CARNET DE SOUDURE'!$AR$7:$AR$1506,0))&amp;" / "&amp;INDEX('CARNET DE SOUDURE'!$Q$7:$Q$1506,MATCH(148,'CARNET DE SOUDURE'!$AR$7:$AR$1506,0)))</f>
        <v/>
      </c>
      <c r="F159" s="113" t="str">
        <f aca="false">IF($B159="","",INDEX('CARNET DE SOUDURE'!$V$7:$V$1506,MATCH(148,'CARNET DE SOUDURE'!$AR$7:$AR$1506,0)))</f>
        <v/>
      </c>
      <c r="G159" s="112" t="str">
        <f aca="false">IF($B159="","",INDEX('CARNET DE SOUDURE'!$W$7:$W$1506,MATCH(148,'CARNET DE SOUDURE'!$AR$7:$AR$1506,0))&amp;"")</f>
        <v/>
      </c>
      <c r="H159" s="114" t="str">
        <f aca="false">IF($B159="","",INDEX('CARNET DE SOUDURE'!$X$7:$X$1506,MATCH(148,'CARNET DE SOUDURE'!$AR$7:$AR$1506,0)))</f>
        <v/>
      </c>
      <c r="I159" s="112" t="str">
        <f aca="false">IF($B159="","",INDEX('CARNET DE SOUDURE'!$Y$7:$Y$1506,MATCH(148,'CARNET DE SOUDURE'!$AR$7:$AR$1506,0))&amp;IF(INDEX('CARNET DE SOUDURE'!$AD$7:$AD$1506,MATCH(148,'CARNET DE SOUDURE'!$AR$7:$AR$1506,0))&lt;&gt;""," / "&amp;INDEX('CARNET DE SOUDURE'!$AD$7:$AD$1506,MATCH(148,'CARNET DE SOUDURE'!$AR$7:$AR$1506,0)),""))</f>
        <v/>
      </c>
      <c r="J159" s="112" t="str">
        <f aca="false">IF($B159="","",INDEX('CARNET DE SOUDURE'!$Z$7:$Z$1506,MATCH(148,'CARNET DE SOUDURE'!$AR$7:$AR$1506,0))&amp;IF(INDEX('CARNET DE SOUDURE'!$AE$7:$AE$1506,MATCH(148,'CARNET DE SOUDURE'!$AR$7:$AR$1506,0))&lt;&gt;""," / "&amp;INDEX('CARNET DE SOUDURE'!$AE$7:$AE$1506,MATCH(148,'CARNET DE SOUDURE'!$AR$7:$AR$1506,0)),""))</f>
        <v/>
      </c>
      <c r="K159" s="112" t="str">
        <f aca="false">IF($B159="","",INDEX('CARNET DE SOUDURE'!$AC$7:$AC$1506,MATCH(148,'CARNET DE SOUDURE'!$AR$7:$AR$1506,0))&amp;IF(INDEX('CARNET DE SOUDURE'!$AH$7:$AH$1506,MATCH(148,'CARNET DE SOUDURE'!$AR$7:$AR$1506,0))&lt;&gt;""," / "&amp;INDEX('CARNET DE SOUDURE'!$AH$7:$AH$1506,MATCH(148,'CARNET DE SOUDURE'!$AR$7:$AR$1506,0)),""))</f>
        <v/>
      </c>
      <c r="L159" s="114" t="str">
        <f aca="false">IF($B159="","",INDEX('CARNET DE SOUDURE'!$AL$7:$AL$1506,MATCH(148,'CARNET DE SOUDURE'!$AR$7:$AR$1506,0)))</f>
        <v/>
      </c>
      <c r="M159" s="114" t="str">
        <f aca="false">IF($B159="","",INDEX('CARNET DE SOUDURE'!$AM$7:$AM$1506,MATCH(148,'CARNET DE SOUDURE'!$AR$7:$AR$1506,0)))</f>
        <v/>
      </c>
      <c r="N159" s="115" t="str">
        <f aca="false">IF($B159="","",INDEX('CARNET DE SOUDURE'!$AN$7:$AN$1506,MATCH(148,'CARNET DE SOUDURE'!$AR$7:$AR$1506,0)))</f>
        <v/>
      </c>
    </row>
    <row r="160" customFormat="false" ht="15" hidden="false" customHeight="false" outlineLevel="0" collapsed="false">
      <c r="B160" s="107" t="str">
        <f aca="false">IF(149&gt;$I$4,"",149)</f>
        <v/>
      </c>
      <c r="C160" s="107" t="str">
        <f aca="false">IF($B160="","",INDEX('CARNET DE SOUDURE'!$B$7:$B$1506,MATCH(149,'CARNET DE SOUDURE'!$AR$7:$AR$1506,0)))</f>
        <v/>
      </c>
      <c r="D160" s="107" t="str">
        <f aca="false">IF($B160="","",INDEX('CARNET DE SOUDURE'!$E$7:$E$1506,MATCH(149,'CARNET DE SOUDURE'!$AR$7:$AR$1506,0)))</f>
        <v/>
      </c>
      <c r="E160" s="107" t="str">
        <f aca="false">IF($B160="","",INDEX('CARNET DE SOUDURE'!$O$7:$O$1506,MATCH(149,'CARNET DE SOUDURE'!$AR$7:$AR$1506,0))&amp;" / "&amp;INDEX('CARNET DE SOUDURE'!$P$7:$P$1506,MATCH(149,'CARNET DE SOUDURE'!$AR$7:$AR$1506,0))&amp;" / "&amp;INDEX('CARNET DE SOUDURE'!$Q$7:$Q$1506,MATCH(149,'CARNET DE SOUDURE'!$AR$7:$AR$1506,0)))</f>
        <v/>
      </c>
      <c r="F160" s="108" t="str">
        <f aca="false">IF($B160="","",INDEX('CARNET DE SOUDURE'!$V$7:$V$1506,MATCH(149,'CARNET DE SOUDURE'!$AR$7:$AR$1506,0)))</f>
        <v/>
      </c>
      <c r="G160" s="107" t="str">
        <f aca="false">IF($B160="","",INDEX('CARNET DE SOUDURE'!$W$7:$W$1506,MATCH(149,'CARNET DE SOUDURE'!$AR$7:$AR$1506,0))&amp;"")</f>
        <v/>
      </c>
      <c r="H160" s="109" t="str">
        <f aca="false">IF($B160="","",INDEX('CARNET DE SOUDURE'!$X$7:$X$1506,MATCH(149,'CARNET DE SOUDURE'!$AR$7:$AR$1506,0)))</f>
        <v/>
      </c>
      <c r="I160" s="107" t="str">
        <f aca="false">IF($B160="","",INDEX('CARNET DE SOUDURE'!$Y$7:$Y$1506,MATCH(149,'CARNET DE SOUDURE'!$AR$7:$AR$1506,0))&amp;IF(INDEX('CARNET DE SOUDURE'!$AD$7:$AD$1506,MATCH(149,'CARNET DE SOUDURE'!$AR$7:$AR$1506,0))&lt;&gt;""," / "&amp;INDEX('CARNET DE SOUDURE'!$AD$7:$AD$1506,MATCH(149,'CARNET DE SOUDURE'!$AR$7:$AR$1506,0)),""))</f>
        <v/>
      </c>
      <c r="J160" s="107" t="str">
        <f aca="false">IF($B160="","",INDEX('CARNET DE SOUDURE'!$Z$7:$Z$1506,MATCH(149,'CARNET DE SOUDURE'!$AR$7:$AR$1506,0))&amp;IF(INDEX('CARNET DE SOUDURE'!$AE$7:$AE$1506,MATCH(149,'CARNET DE SOUDURE'!$AR$7:$AR$1506,0))&lt;&gt;""," / "&amp;INDEX('CARNET DE SOUDURE'!$AE$7:$AE$1506,MATCH(149,'CARNET DE SOUDURE'!$AR$7:$AR$1506,0)),""))</f>
        <v/>
      </c>
      <c r="K160" s="107" t="str">
        <f aca="false">IF($B160="","",INDEX('CARNET DE SOUDURE'!$AC$7:$AC$1506,MATCH(149,'CARNET DE SOUDURE'!$AR$7:$AR$1506,0))&amp;IF(INDEX('CARNET DE SOUDURE'!$AH$7:$AH$1506,MATCH(149,'CARNET DE SOUDURE'!$AR$7:$AR$1506,0))&lt;&gt;""," / "&amp;INDEX('CARNET DE SOUDURE'!$AH$7:$AH$1506,MATCH(149,'CARNET DE SOUDURE'!$AR$7:$AR$1506,0)),""))</f>
        <v/>
      </c>
      <c r="L160" s="109" t="str">
        <f aca="false">IF($B160="","",INDEX('CARNET DE SOUDURE'!$AL$7:$AL$1506,MATCH(149,'CARNET DE SOUDURE'!$AR$7:$AR$1506,0)))</f>
        <v/>
      </c>
      <c r="M160" s="109" t="str">
        <f aca="false">IF($B160="","",INDEX('CARNET DE SOUDURE'!$AM$7:$AM$1506,MATCH(149,'CARNET DE SOUDURE'!$AR$7:$AR$1506,0)))</f>
        <v/>
      </c>
      <c r="N160" s="110" t="str">
        <f aca="false">IF($B160="","",INDEX('CARNET DE SOUDURE'!$AN$7:$AN$1506,MATCH(149,'CARNET DE SOUDURE'!$AR$7:$AR$1506,0)))</f>
        <v/>
      </c>
    </row>
    <row r="161" customFormat="false" ht="15" hidden="false" customHeight="false" outlineLevel="0" collapsed="false">
      <c r="B161" s="112" t="str">
        <f aca="false">IF(150&gt;$I$4,"",150)</f>
        <v/>
      </c>
      <c r="C161" s="112" t="str">
        <f aca="false">IF($B161="","",INDEX('CARNET DE SOUDURE'!$B$7:$B$1506,MATCH(150,'CARNET DE SOUDURE'!$AR$7:$AR$1506,0)))</f>
        <v/>
      </c>
      <c r="D161" s="112" t="str">
        <f aca="false">IF($B161="","",INDEX('CARNET DE SOUDURE'!$E$7:$E$1506,MATCH(150,'CARNET DE SOUDURE'!$AR$7:$AR$1506,0)))</f>
        <v/>
      </c>
      <c r="E161" s="112" t="str">
        <f aca="false">IF($B161="","",INDEX('CARNET DE SOUDURE'!$O$7:$O$1506,MATCH(150,'CARNET DE SOUDURE'!$AR$7:$AR$1506,0))&amp;" / "&amp;INDEX('CARNET DE SOUDURE'!$P$7:$P$1506,MATCH(150,'CARNET DE SOUDURE'!$AR$7:$AR$1506,0))&amp;" / "&amp;INDEX('CARNET DE SOUDURE'!$Q$7:$Q$1506,MATCH(150,'CARNET DE SOUDURE'!$AR$7:$AR$1506,0)))</f>
        <v/>
      </c>
      <c r="F161" s="113" t="str">
        <f aca="false">IF($B161="","",INDEX('CARNET DE SOUDURE'!$V$7:$V$1506,MATCH(150,'CARNET DE SOUDURE'!$AR$7:$AR$1506,0)))</f>
        <v/>
      </c>
      <c r="G161" s="112" t="str">
        <f aca="false">IF($B161="","",INDEX('CARNET DE SOUDURE'!$W$7:$W$1506,MATCH(150,'CARNET DE SOUDURE'!$AR$7:$AR$1506,0))&amp;"")</f>
        <v/>
      </c>
      <c r="H161" s="114" t="str">
        <f aca="false">IF($B161="","",INDEX('CARNET DE SOUDURE'!$X$7:$X$1506,MATCH(150,'CARNET DE SOUDURE'!$AR$7:$AR$1506,0)))</f>
        <v/>
      </c>
      <c r="I161" s="112" t="str">
        <f aca="false">IF($B161="","",INDEX('CARNET DE SOUDURE'!$Y$7:$Y$1506,MATCH(150,'CARNET DE SOUDURE'!$AR$7:$AR$1506,0))&amp;IF(INDEX('CARNET DE SOUDURE'!$AD$7:$AD$1506,MATCH(150,'CARNET DE SOUDURE'!$AR$7:$AR$1506,0))&lt;&gt;""," / "&amp;INDEX('CARNET DE SOUDURE'!$AD$7:$AD$1506,MATCH(150,'CARNET DE SOUDURE'!$AR$7:$AR$1506,0)),""))</f>
        <v/>
      </c>
      <c r="J161" s="112" t="str">
        <f aca="false">IF($B161="","",INDEX('CARNET DE SOUDURE'!$Z$7:$Z$1506,MATCH(150,'CARNET DE SOUDURE'!$AR$7:$AR$1506,0))&amp;IF(INDEX('CARNET DE SOUDURE'!$AE$7:$AE$1506,MATCH(150,'CARNET DE SOUDURE'!$AR$7:$AR$1506,0))&lt;&gt;""," / "&amp;INDEX('CARNET DE SOUDURE'!$AE$7:$AE$1506,MATCH(150,'CARNET DE SOUDURE'!$AR$7:$AR$1506,0)),""))</f>
        <v/>
      </c>
      <c r="K161" s="112" t="str">
        <f aca="false">IF($B161="","",INDEX('CARNET DE SOUDURE'!$AC$7:$AC$1506,MATCH(150,'CARNET DE SOUDURE'!$AR$7:$AR$1506,0))&amp;IF(INDEX('CARNET DE SOUDURE'!$AH$7:$AH$1506,MATCH(150,'CARNET DE SOUDURE'!$AR$7:$AR$1506,0))&lt;&gt;""," / "&amp;INDEX('CARNET DE SOUDURE'!$AH$7:$AH$1506,MATCH(150,'CARNET DE SOUDURE'!$AR$7:$AR$1506,0)),""))</f>
        <v/>
      </c>
      <c r="L161" s="114" t="str">
        <f aca="false">IF($B161="","",INDEX('CARNET DE SOUDURE'!$AL$7:$AL$1506,MATCH(150,'CARNET DE SOUDURE'!$AR$7:$AR$1506,0)))</f>
        <v/>
      </c>
      <c r="M161" s="114" t="str">
        <f aca="false">IF($B161="","",INDEX('CARNET DE SOUDURE'!$AM$7:$AM$1506,MATCH(150,'CARNET DE SOUDURE'!$AR$7:$AR$1506,0)))</f>
        <v/>
      </c>
      <c r="N161" s="115" t="str">
        <f aca="false">IF($B161="","",INDEX('CARNET DE SOUDURE'!$AN$7:$AN$1506,MATCH(150,'CARNET DE SOUDURE'!$AR$7:$AR$1506,0)))</f>
        <v/>
      </c>
    </row>
  </sheetData>
  <mergeCells count="16">
    <mergeCell ref="B2:N2"/>
    <mergeCell ref="D5:E5"/>
    <mergeCell ref="G5:L5"/>
    <mergeCell ref="B7:N7"/>
    <mergeCell ref="B8:C8"/>
    <mergeCell ref="D8:E8"/>
    <mergeCell ref="F8:G8"/>
    <mergeCell ref="H8:I8"/>
    <mergeCell ref="J8:K8"/>
    <mergeCell ref="L8:N8"/>
    <mergeCell ref="B9:C9"/>
    <mergeCell ref="D9:E9"/>
    <mergeCell ref="F9:G9"/>
    <mergeCell ref="H9:I9"/>
    <mergeCell ref="J9:K9"/>
    <mergeCell ref="L9:N9"/>
  </mergeCells>
  <conditionalFormatting sqref="M12:M161">
    <cfRule type="cellIs" priority="2" operator="equal" aboveAverage="0" equalAverage="0" bottom="0" percent="0" rank="0" text="" dxfId="1">
      <formula>"ACCEPTÉ"</formula>
    </cfRule>
    <cfRule type="cellIs" priority="3" operator="equal" aboveAverage="0" equalAverage="0" bottom="0" percent="0" rank="0" text="" dxfId="27">
      <formula>"À RADIOGRAPHIER"</formula>
    </cfRule>
    <cfRule type="cellIs" priority="4" operator="equal" aboveAverage="0" equalAverage="0" bottom="0" percent="0" rank="0" text="" dxfId="27">
      <formula>"RÉPARÉ – À RADIOGRAPHIER"</formula>
    </cfRule>
    <cfRule type="cellIs" priority="5" operator="equal" aboveAverage="0" equalAverage="0" bottom="0" percent="0" rank="0" text="" dxfId="24">
      <formula>"NX – RT À REFAIRE"</formula>
    </cfRule>
    <cfRule type="cellIs" priority="6" operator="equal" aboveAverage="0" equalAverage="0" bottom="0" percent="0" rank="0" text="" dxfId="0">
      <formula>"À RÉPARER"</formula>
    </cfRule>
    <cfRule type="cellIs" priority="7" operator="equal" aboveAverage="0" equalAverage="0" bottom="0" percent="0" rank="0" text="" dxfId="26">
      <formula>"COUPE – À RESOUDER"</formula>
    </cfRule>
    <cfRule type="cellIs" priority="8" operator="equal" aboveAverage="0" equalAverage="0" bottom="0" percent="0" rank="0" text="" dxfId="0">
      <formula>"VT REJETÉ – À REPRENDRE"</formula>
    </cfRule>
    <cfRule type="cellIs" priority="9" operator="equal" aboveAverage="0" equalAverage="0" bottom="0" percent="0" rank="0" text="" dxfId="28">
      <formula>"VT EN ATTENTE"</formula>
    </cfRule>
    <cfRule type="cellIs" priority="10" operator="equal" aboveAverage="0" equalAverage="0" bottom="0" percent="0" rank="0" text="" dxfId="29">
      <formula>"À SOUDER"</formula>
    </cfRule>
  </conditionalFormatting>
  <conditionalFormatting sqref="N12:N161">
    <cfRule type="expression" priority="11" aboveAverage="0" equalAverage="0" bottom="0" percent="0" rank="0" text="" dxfId="0">
      <formula>AND(ISNUMBER(N12),N12&gt;3)</formula>
    </cfRule>
  </conditionalFormatting>
  <conditionalFormatting sqref="H12:H161">
    <cfRule type="cellIs" priority="12" operator="equal" aboveAverage="0" equalAverage="0" bottom="0" percent="0" rank="0" text="" dxfId="1">
      <formula>"A"</formula>
    </cfRule>
    <cfRule type="cellIs" priority="13" operator="equal" aboveAverage="0" equalAverage="0" bottom="0" percent="0" rank="0" text="" dxfId="0">
      <formula>"R"</formula>
    </cfRule>
    <cfRule type="cellIs" priority="14" operator="equal" aboveAverage="0" equalAverage="0" bottom="0" percent="0" rank="0" text="" dxfId="24">
      <formula>"NX"</formula>
    </cfRule>
    <cfRule type="cellIs" priority="15" operator="equal" aboveAverage="0" equalAverage="0" bottom="0" percent="0" rank="0" text="" dxfId="25">
      <formula>"NT"</formula>
    </cfRule>
    <cfRule type="cellIs" priority="16" operator="equal" aboveAverage="0" equalAverage="0" bottom="0" percent="0" rank="0" text="" dxfId="26">
      <formula>"CO"</formula>
    </cfRule>
  </conditionalFormatting>
  <conditionalFormatting sqref="L12:L161">
    <cfRule type="cellIs" priority="17" operator="equal" aboveAverage="0" equalAverage="0" bottom="0" percent="0" rank="0" text="" dxfId="1">
      <formula>"A"</formula>
    </cfRule>
    <cfRule type="cellIs" priority="18" operator="equal" aboveAverage="0" equalAverage="0" bottom="0" percent="0" rank="0" text="" dxfId="0">
      <formula>"R"</formula>
    </cfRule>
    <cfRule type="cellIs" priority="19" operator="equal" aboveAverage="0" equalAverage="0" bottom="0" percent="0" rank="0" text="" dxfId="24">
      <formula>"NX"</formula>
    </cfRule>
    <cfRule type="cellIs" priority="20" operator="equal" aboveAverage="0" equalAverage="0" bottom="0" percent="0" rank="0" text="" dxfId="25">
      <formula>"NT"</formula>
    </cfRule>
    <cfRule type="cellIs" priority="21" operator="equal" aboveAverage="0" equalAverage="0" bottom="0" percent="0" rank="0" text="" dxfId="26">
      <formula>"CO"</formula>
    </cfRule>
  </conditionalFormatting>
  <dataValidations count="2">
    <dataValidation allowBlank="true" error="Choisir une ligne ou TOUTES" errorStyle="stop" errorTitle="Valeur non valide" operator="between" prompt="Choisir une ligne ou TOUTES" showDropDown="false" showErrorMessage="true" showInputMessage="true" sqref="D5" type="list">
      <formula1>PARAMÈTRES!$B$32:$B$40</formula1>
      <formula2>0</formula2>
    </dataValidation>
    <dataValidation allowBlank="true" error="TOUS ou EN COURS" errorStyle="stop" errorTitle="Valeur non valide" operator="between" prompt="TOUS ou EN COURS" showDropDown="false" showErrorMessage="true" showInputMessage="true" sqref="L4" type="list">
      <formula1>"TOUS,EN COURS"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766E"/>
    <pageSetUpPr fitToPage="false"/>
  </sheetPr>
  <dimension ref="B2:K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3" min="3" style="0" width="28"/>
    <col collapsed="false" customWidth="true" hidden="false" outlineLevel="0" max="4" min="4" style="0" width="26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1" min="10" style="0" width="14"/>
  </cols>
  <sheetData>
    <row r="2" customFormat="false" ht="33.75" hidden="false" customHeight="true" outlineLevel="0" collapsed="false">
      <c r="B2" s="121" t="s">
        <v>678</v>
      </c>
      <c r="C2" s="121"/>
      <c r="D2" s="121"/>
      <c r="E2" s="121"/>
      <c r="F2" s="121"/>
      <c r="G2" s="121"/>
      <c r="H2" s="121"/>
      <c r="I2" s="121"/>
      <c r="J2" s="121"/>
      <c r="K2" s="121"/>
    </row>
    <row r="3" customFormat="false" ht="15" hidden="false" customHeight="true" outlineLevel="0" collapsed="false">
      <c r="B3" s="60" t="s">
        <v>679</v>
      </c>
      <c r="C3" s="60"/>
      <c r="D3" s="60"/>
      <c r="E3" s="60"/>
      <c r="F3" s="60"/>
      <c r="G3" s="60"/>
      <c r="H3" s="60"/>
      <c r="I3" s="60"/>
      <c r="J3" s="60"/>
      <c r="K3" s="60"/>
    </row>
    <row r="5" customFormat="false" ht="33.75" hidden="false" customHeight="true" outlineLevel="0" collapsed="false">
      <c r="B5" s="54" t="s">
        <v>42</v>
      </c>
      <c r="C5" s="54" t="s">
        <v>680</v>
      </c>
      <c r="D5" s="54" t="s">
        <v>681</v>
      </c>
      <c r="E5" s="54" t="s">
        <v>30</v>
      </c>
      <c r="F5" s="54" t="s">
        <v>19</v>
      </c>
      <c r="G5" s="54" t="s">
        <v>682</v>
      </c>
      <c r="H5" s="54" t="s">
        <v>683</v>
      </c>
      <c r="I5" s="54" t="s">
        <v>27</v>
      </c>
      <c r="J5" s="54" t="s">
        <v>684</v>
      </c>
      <c r="K5" s="54" t="s">
        <v>45</v>
      </c>
    </row>
    <row r="6" customFormat="false" ht="15" hidden="false" customHeight="false" outlineLevel="0" collapsed="false">
      <c r="B6" s="122" t="s">
        <v>685</v>
      </c>
      <c r="C6" s="123" t="s">
        <v>686</v>
      </c>
      <c r="D6" s="123" t="s">
        <v>687</v>
      </c>
      <c r="E6" s="111" t="s">
        <v>688</v>
      </c>
      <c r="F6" s="107" t="n">
        <f aca="false">SUMPRODUCT(--((('CARNET DE SOUDURE'!$O$7:$O$1506=B6)+('CARNET DE SOUDURE'!$P$7:$P$1506=B6)+('CARNET DE SOUDURE'!$Q$7:$Q$1506=B6))&gt;0))</f>
        <v>0</v>
      </c>
      <c r="G6" s="107" t="n">
        <f aca="false">SUMPRODUCT(((('CARNET DE SOUDURE'!$O$7:$O$1506=B6)+('CARNET DE SOUDURE'!$P$7:$P$1506=B6)+('CARNET DE SOUDURE'!$Q$7:$Q$1506=B6))&gt;0)*(('CARNET DE SOUDURE'!$X$7:$X$1506="A")+('CARNET DE SOUDURE'!$X$7:$X$1506="R")+('CARNET DE SOUDURE'!$X$7:$X$1506="NT")+('CARNET DE SOUDURE'!$X$7:$X$1506="CO")))</f>
        <v>0</v>
      </c>
      <c r="H6" s="107" t="n">
        <f aca="false">SUMPRODUCT(((('CARNET DE SOUDURE'!$O$7:$O$1506=B6)+('CARNET DE SOUDURE'!$P$7:$P$1506=B6)+('CARNET DE SOUDURE'!$Q$7:$Q$1506=B6))&gt;0)*(('CARNET DE SOUDURE'!$X$7:$X$1506="R")+('CARNET DE SOUDURE'!$X$7:$X$1506="NT")+('CARNET DE SOUDURE'!$X$7:$X$1506="CO")))</f>
        <v>0</v>
      </c>
      <c r="I6" s="40" t="n">
        <f aca="false">IFERROR(H6/G6,0)</f>
        <v>0</v>
      </c>
      <c r="J6" s="107" t="n">
        <f aca="false">COUNTIF('CARNET DE SOUDURE'!$Y$7:$Y$1506,B6)+COUNTIF('CARNET DE SOUDURE'!$AD$7:$AD$1506,B6)</f>
        <v>0</v>
      </c>
      <c r="K6" s="109" t="str">
        <f aca="false">IF(G6=0,"—",IF(I6&lt;=0.02,"Excellent",IF(I6&lt;=0.05,"Bon","À surveiller")))</f>
        <v>—</v>
      </c>
    </row>
    <row r="7" customFormat="false" ht="15" hidden="false" customHeight="false" outlineLevel="0" collapsed="false">
      <c r="B7" s="122" t="s">
        <v>125</v>
      </c>
      <c r="C7" s="123" t="s">
        <v>689</v>
      </c>
      <c r="D7" s="123" t="s">
        <v>690</v>
      </c>
      <c r="E7" s="111" t="s">
        <v>688</v>
      </c>
      <c r="F7" s="107" t="n">
        <f aca="false">SUMPRODUCT(--((('CARNET DE SOUDURE'!$O$7:$O$1506=B7)+('CARNET DE SOUDURE'!$P$7:$P$1506=B7)+('CARNET DE SOUDURE'!$Q$7:$Q$1506=B7))&gt;0))</f>
        <v>86</v>
      </c>
      <c r="G7" s="107" t="n">
        <f aca="false">SUMPRODUCT(((('CARNET DE SOUDURE'!$O$7:$O$1506=B7)+('CARNET DE SOUDURE'!$P$7:$P$1506=B7)+('CARNET DE SOUDURE'!$Q$7:$Q$1506=B7))&gt;0)*(('CARNET DE SOUDURE'!$X$7:$X$1506="A")+('CARNET DE SOUDURE'!$X$7:$X$1506="R")+('CARNET DE SOUDURE'!$X$7:$X$1506="NT")+('CARNET DE SOUDURE'!$X$7:$X$1506="CO")))</f>
        <v>80</v>
      </c>
      <c r="H7" s="107" t="n">
        <f aca="false">SUMPRODUCT(((('CARNET DE SOUDURE'!$O$7:$O$1506=B7)+('CARNET DE SOUDURE'!$P$7:$P$1506=B7)+('CARNET DE SOUDURE'!$Q$7:$Q$1506=B7))&gt;0)*(('CARNET DE SOUDURE'!$X$7:$X$1506="R")+('CARNET DE SOUDURE'!$X$7:$X$1506="NT")+('CARNET DE SOUDURE'!$X$7:$X$1506="CO")))</f>
        <v>1</v>
      </c>
      <c r="I7" s="40" t="n">
        <f aca="false">IFERROR(H7/G7,0)</f>
        <v>0.0125</v>
      </c>
      <c r="J7" s="107" t="n">
        <f aca="false">COUNTIF('CARNET DE SOUDURE'!$Y$7:$Y$1506,B7)+COUNTIF('CARNET DE SOUDURE'!$AD$7:$AD$1506,B7)</f>
        <v>0</v>
      </c>
      <c r="K7" s="109" t="str">
        <f aca="false">IF(G7=0,"—",IF(I7&lt;=0.02,"Excellent",IF(I7&lt;=0.05,"Bon","À surveiller")))</f>
        <v>Excellent</v>
      </c>
    </row>
    <row r="8" customFormat="false" ht="15" hidden="false" customHeight="false" outlineLevel="0" collapsed="false">
      <c r="B8" s="122" t="s">
        <v>691</v>
      </c>
      <c r="C8" s="123" t="s">
        <v>692</v>
      </c>
      <c r="D8" s="123" t="s">
        <v>693</v>
      </c>
      <c r="E8" s="111" t="s">
        <v>688</v>
      </c>
      <c r="F8" s="107" t="n">
        <f aca="false">SUMPRODUCT(--((('CARNET DE SOUDURE'!$O$7:$O$1506=B8)+('CARNET DE SOUDURE'!$P$7:$P$1506=B8)+('CARNET DE SOUDURE'!$Q$7:$Q$1506=B8))&gt;0))</f>
        <v>0</v>
      </c>
      <c r="G8" s="107" t="n">
        <f aca="false">SUMPRODUCT(((('CARNET DE SOUDURE'!$O$7:$O$1506=B8)+('CARNET DE SOUDURE'!$P$7:$P$1506=B8)+('CARNET DE SOUDURE'!$Q$7:$Q$1506=B8))&gt;0)*(('CARNET DE SOUDURE'!$X$7:$X$1506="A")+('CARNET DE SOUDURE'!$X$7:$X$1506="R")+('CARNET DE SOUDURE'!$X$7:$X$1506="NT")+('CARNET DE SOUDURE'!$X$7:$X$1506="CO")))</f>
        <v>0</v>
      </c>
      <c r="H8" s="107" t="n">
        <f aca="false">SUMPRODUCT(((('CARNET DE SOUDURE'!$O$7:$O$1506=B8)+('CARNET DE SOUDURE'!$P$7:$P$1506=B8)+('CARNET DE SOUDURE'!$Q$7:$Q$1506=B8))&gt;0)*(('CARNET DE SOUDURE'!$X$7:$X$1506="R")+('CARNET DE SOUDURE'!$X$7:$X$1506="NT")+('CARNET DE SOUDURE'!$X$7:$X$1506="CO")))</f>
        <v>0</v>
      </c>
      <c r="I8" s="40" t="n">
        <f aca="false">IFERROR(H8/G8,0)</f>
        <v>0</v>
      </c>
      <c r="J8" s="107" t="n">
        <f aca="false">COUNTIF('CARNET DE SOUDURE'!$Y$7:$Y$1506,B8)+COUNTIF('CARNET DE SOUDURE'!$AD$7:$AD$1506,B8)</f>
        <v>0</v>
      </c>
      <c r="K8" s="109" t="str">
        <f aca="false">IF(G8=0,"—",IF(I8&lt;=0.02,"Excellent",IF(I8&lt;=0.05,"Bon","À surveiller")))</f>
        <v>—</v>
      </c>
    </row>
    <row r="9" customFormat="false" ht="15" hidden="false" customHeight="false" outlineLevel="0" collapsed="false">
      <c r="B9" s="122" t="s">
        <v>694</v>
      </c>
      <c r="C9" s="123" t="s">
        <v>695</v>
      </c>
      <c r="D9" s="123" t="s">
        <v>696</v>
      </c>
      <c r="E9" s="111" t="s">
        <v>697</v>
      </c>
      <c r="F9" s="107" t="n">
        <f aca="false">SUMPRODUCT(--((('CARNET DE SOUDURE'!$O$7:$O$1506=B9)+('CARNET DE SOUDURE'!$P$7:$P$1506=B9)+('CARNET DE SOUDURE'!$Q$7:$Q$1506=B9))&gt;0))</f>
        <v>0</v>
      </c>
      <c r="G9" s="107" t="n">
        <f aca="false">SUMPRODUCT(((('CARNET DE SOUDURE'!$O$7:$O$1506=B9)+('CARNET DE SOUDURE'!$P$7:$P$1506=B9)+('CARNET DE SOUDURE'!$Q$7:$Q$1506=B9))&gt;0)*(('CARNET DE SOUDURE'!$X$7:$X$1506="A")+('CARNET DE SOUDURE'!$X$7:$X$1506="R")+('CARNET DE SOUDURE'!$X$7:$X$1506="NT")+('CARNET DE SOUDURE'!$X$7:$X$1506="CO")))</f>
        <v>0</v>
      </c>
      <c r="H9" s="107" t="n">
        <f aca="false">SUMPRODUCT(((('CARNET DE SOUDURE'!$O$7:$O$1506=B9)+('CARNET DE SOUDURE'!$P$7:$P$1506=B9)+('CARNET DE SOUDURE'!$Q$7:$Q$1506=B9))&gt;0)*(('CARNET DE SOUDURE'!$X$7:$X$1506="R")+('CARNET DE SOUDURE'!$X$7:$X$1506="NT")+('CARNET DE SOUDURE'!$X$7:$X$1506="CO")))</f>
        <v>0</v>
      </c>
      <c r="I9" s="40" t="n">
        <f aca="false">IFERROR(H9/G9,0)</f>
        <v>0</v>
      </c>
      <c r="J9" s="107" t="n">
        <f aca="false">COUNTIF('CARNET DE SOUDURE'!$Y$7:$Y$1506,B9)+COUNTIF('CARNET DE SOUDURE'!$AD$7:$AD$1506,B9)</f>
        <v>0</v>
      </c>
      <c r="K9" s="109" t="str">
        <f aca="false">IF(G9=0,"—",IF(I9&lt;=0.02,"Excellent",IF(I9&lt;=0.05,"Bon","À surveiller")))</f>
        <v>—</v>
      </c>
    </row>
    <row r="10" customFormat="false" ht="15" hidden="false" customHeight="false" outlineLevel="0" collapsed="false">
      <c r="B10" s="122" t="s">
        <v>141</v>
      </c>
      <c r="C10" s="123" t="s">
        <v>698</v>
      </c>
      <c r="D10" s="123" t="s">
        <v>699</v>
      </c>
      <c r="E10" s="111" t="s">
        <v>688</v>
      </c>
      <c r="F10" s="107" t="n">
        <f aca="false">SUMPRODUCT(--((('CARNET DE SOUDURE'!$O$7:$O$1506=B10)+('CARNET DE SOUDURE'!$P$7:$P$1506=B10)+('CARNET DE SOUDURE'!$Q$7:$Q$1506=B10))&gt;0))</f>
        <v>169</v>
      </c>
      <c r="G10" s="107" t="n">
        <f aca="false">SUMPRODUCT(((('CARNET DE SOUDURE'!$O$7:$O$1506=B10)+('CARNET DE SOUDURE'!$P$7:$P$1506=B10)+('CARNET DE SOUDURE'!$Q$7:$Q$1506=B10))&gt;0)*(('CARNET DE SOUDURE'!$X$7:$X$1506="A")+('CARNET DE SOUDURE'!$X$7:$X$1506="R")+('CARNET DE SOUDURE'!$X$7:$X$1506="NT")+('CARNET DE SOUDURE'!$X$7:$X$1506="CO")))</f>
        <v>168</v>
      </c>
      <c r="H10" s="107" t="n">
        <f aca="false">SUMPRODUCT(((('CARNET DE SOUDURE'!$O$7:$O$1506=B10)+('CARNET DE SOUDURE'!$P$7:$P$1506=B10)+('CARNET DE SOUDURE'!$Q$7:$Q$1506=B10))&gt;0)*(('CARNET DE SOUDURE'!$X$7:$X$1506="R")+('CARNET DE SOUDURE'!$X$7:$X$1506="NT")+('CARNET DE SOUDURE'!$X$7:$X$1506="CO")))</f>
        <v>2</v>
      </c>
      <c r="I10" s="40" t="n">
        <f aca="false">IFERROR(H10/G10,0)</f>
        <v>0.0119047619047619</v>
      </c>
      <c r="J10" s="107" t="n">
        <f aca="false">COUNTIF('CARNET DE SOUDURE'!$Y$7:$Y$1506,B10)+COUNTIF('CARNET DE SOUDURE'!$AD$7:$AD$1506,B10)</f>
        <v>0</v>
      </c>
      <c r="K10" s="109" t="str">
        <f aca="false">IF(G10=0,"—",IF(I10&lt;=0.02,"Excellent",IF(I10&lt;=0.05,"Bon","À surveiller")))</f>
        <v>Excellent</v>
      </c>
    </row>
    <row r="11" customFormat="false" ht="15" hidden="false" customHeight="false" outlineLevel="0" collapsed="false">
      <c r="B11" s="122" t="s">
        <v>134</v>
      </c>
      <c r="C11" s="123" t="s">
        <v>700</v>
      </c>
      <c r="D11" s="123" t="s">
        <v>701</v>
      </c>
      <c r="E11" s="111" t="s">
        <v>688</v>
      </c>
      <c r="F11" s="107" t="n">
        <f aca="false">SUMPRODUCT(--((('CARNET DE SOUDURE'!$O$7:$O$1506=B11)+('CARNET DE SOUDURE'!$P$7:$P$1506=B11)+('CARNET DE SOUDURE'!$Q$7:$Q$1506=B11))&gt;0))</f>
        <v>62</v>
      </c>
      <c r="G11" s="107" t="n">
        <f aca="false">SUMPRODUCT(((('CARNET DE SOUDURE'!$O$7:$O$1506=B11)+('CARNET DE SOUDURE'!$P$7:$P$1506=B11)+('CARNET DE SOUDURE'!$Q$7:$Q$1506=B11))&gt;0)*(('CARNET DE SOUDURE'!$X$7:$X$1506="A")+('CARNET DE SOUDURE'!$X$7:$X$1506="R")+('CARNET DE SOUDURE'!$X$7:$X$1506="NT")+('CARNET DE SOUDURE'!$X$7:$X$1506="CO")))</f>
        <v>61</v>
      </c>
      <c r="H11" s="107" t="n">
        <f aca="false">SUMPRODUCT(((('CARNET DE SOUDURE'!$O$7:$O$1506=B11)+('CARNET DE SOUDURE'!$P$7:$P$1506=B11)+('CARNET DE SOUDURE'!$Q$7:$Q$1506=B11))&gt;0)*(('CARNET DE SOUDURE'!$X$7:$X$1506="R")+('CARNET DE SOUDURE'!$X$7:$X$1506="NT")+('CARNET DE SOUDURE'!$X$7:$X$1506="CO")))</f>
        <v>1</v>
      </c>
      <c r="I11" s="40" t="n">
        <f aca="false">IFERROR(H11/G11,0)</f>
        <v>0.0163934426229508</v>
      </c>
      <c r="J11" s="107" t="n">
        <f aca="false">COUNTIF('CARNET DE SOUDURE'!$Y$7:$Y$1506,B11)+COUNTIF('CARNET DE SOUDURE'!$AD$7:$AD$1506,B11)</f>
        <v>0</v>
      </c>
      <c r="K11" s="109" t="str">
        <f aca="false">IF(G11=0,"—",IF(I11&lt;=0.02,"Excellent",IF(I11&lt;=0.05,"Bon","À surveiller")))</f>
        <v>Excellent</v>
      </c>
    </row>
    <row r="12" customFormat="false" ht="15" hidden="false" customHeight="false" outlineLevel="0" collapsed="false">
      <c r="B12" s="122" t="s">
        <v>702</v>
      </c>
      <c r="C12" s="123"/>
      <c r="D12" s="123"/>
      <c r="E12" s="111"/>
      <c r="F12" s="107" t="n">
        <f aca="false">SUMPRODUCT(--((('CARNET DE SOUDURE'!$O$7:$O$1506=B12)+('CARNET DE SOUDURE'!$P$7:$P$1506=B12)+('CARNET DE SOUDURE'!$Q$7:$Q$1506=B12))&gt;0))</f>
        <v>0</v>
      </c>
      <c r="G12" s="107" t="n">
        <f aca="false">SUMPRODUCT(((('CARNET DE SOUDURE'!$O$7:$O$1506=B12)+('CARNET DE SOUDURE'!$P$7:$P$1506=B12)+('CARNET DE SOUDURE'!$Q$7:$Q$1506=B12))&gt;0)*(('CARNET DE SOUDURE'!$X$7:$X$1506="A")+('CARNET DE SOUDURE'!$X$7:$X$1506="R")+('CARNET DE SOUDURE'!$X$7:$X$1506="NT")+('CARNET DE SOUDURE'!$X$7:$X$1506="CO")))</f>
        <v>0</v>
      </c>
      <c r="H12" s="107" t="n">
        <f aca="false">SUMPRODUCT(((('CARNET DE SOUDURE'!$O$7:$O$1506=B12)+('CARNET DE SOUDURE'!$P$7:$P$1506=B12)+('CARNET DE SOUDURE'!$Q$7:$Q$1506=B12))&gt;0)*(('CARNET DE SOUDURE'!$X$7:$X$1506="R")+('CARNET DE SOUDURE'!$X$7:$X$1506="NT")+('CARNET DE SOUDURE'!$X$7:$X$1506="CO")))</f>
        <v>0</v>
      </c>
      <c r="I12" s="40" t="n">
        <f aca="false">IFERROR(H12/G12,0)</f>
        <v>0</v>
      </c>
      <c r="J12" s="107" t="n">
        <f aca="false">COUNTIF('CARNET DE SOUDURE'!$Y$7:$Y$1506,B12)+COUNTIF('CARNET DE SOUDURE'!$AD$7:$AD$1506,B12)</f>
        <v>0</v>
      </c>
      <c r="K12" s="109" t="str">
        <f aca="false">IF(G12=0,"—",IF(I12&lt;=0.02,"Excellent",IF(I12&lt;=0.05,"Bon","À surveiller")))</f>
        <v>—</v>
      </c>
    </row>
    <row r="13" customFormat="false" ht="15" hidden="false" customHeight="false" outlineLevel="0" collapsed="false">
      <c r="B13" s="122" t="s">
        <v>703</v>
      </c>
      <c r="C13" s="123"/>
      <c r="D13" s="123"/>
      <c r="E13" s="111"/>
      <c r="F13" s="107" t="n">
        <f aca="false">SUMPRODUCT(--((('CARNET DE SOUDURE'!$O$7:$O$1506=B13)+('CARNET DE SOUDURE'!$P$7:$P$1506=B13)+('CARNET DE SOUDURE'!$Q$7:$Q$1506=B13))&gt;0))</f>
        <v>0</v>
      </c>
      <c r="G13" s="107" t="n">
        <f aca="false">SUMPRODUCT(((('CARNET DE SOUDURE'!$O$7:$O$1506=B13)+('CARNET DE SOUDURE'!$P$7:$P$1506=B13)+('CARNET DE SOUDURE'!$Q$7:$Q$1506=B13))&gt;0)*(('CARNET DE SOUDURE'!$X$7:$X$1506="A")+('CARNET DE SOUDURE'!$X$7:$X$1506="R")+('CARNET DE SOUDURE'!$X$7:$X$1506="NT")+('CARNET DE SOUDURE'!$X$7:$X$1506="CO")))</f>
        <v>0</v>
      </c>
      <c r="H13" s="107" t="n">
        <f aca="false">SUMPRODUCT(((('CARNET DE SOUDURE'!$O$7:$O$1506=B13)+('CARNET DE SOUDURE'!$P$7:$P$1506=B13)+('CARNET DE SOUDURE'!$Q$7:$Q$1506=B13))&gt;0)*(('CARNET DE SOUDURE'!$X$7:$X$1506="R")+('CARNET DE SOUDURE'!$X$7:$X$1506="NT")+('CARNET DE SOUDURE'!$X$7:$X$1506="CO")))</f>
        <v>0</v>
      </c>
      <c r="I13" s="40" t="n">
        <f aca="false">IFERROR(H13/G13,0)</f>
        <v>0</v>
      </c>
      <c r="J13" s="107" t="n">
        <f aca="false">COUNTIF('CARNET DE SOUDURE'!$Y$7:$Y$1506,B13)+COUNTIF('CARNET DE SOUDURE'!$AD$7:$AD$1506,B13)</f>
        <v>0</v>
      </c>
      <c r="K13" s="109" t="str">
        <f aca="false">IF(G13=0,"—",IF(I13&lt;=0.02,"Excellent",IF(I13&lt;=0.05,"Bon","À surveiller")))</f>
        <v>—</v>
      </c>
    </row>
    <row r="14" customFormat="false" ht="15" hidden="false" customHeight="false" outlineLevel="0" collapsed="false">
      <c r="B14" s="122" t="s">
        <v>117</v>
      </c>
      <c r="C14" s="123" t="s">
        <v>704</v>
      </c>
      <c r="D14" s="123" t="s">
        <v>705</v>
      </c>
      <c r="E14" s="111" t="s">
        <v>688</v>
      </c>
      <c r="F14" s="107" t="n">
        <f aca="false">SUMPRODUCT(--((('CARNET DE SOUDURE'!$O$7:$O$1506=B14)+('CARNET DE SOUDURE'!$P$7:$P$1506=B14)+('CARNET DE SOUDURE'!$Q$7:$Q$1506=B14))&gt;0))</f>
        <v>14</v>
      </c>
      <c r="G14" s="107" t="n">
        <f aca="false">SUMPRODUCT(((('CARNET DE SOUDURE'!$O$7:$O$1506=B14)+('CARNET DE SOUDURE'!$P$7:$P$1506=B14)+('CARNET DE SOUDURE'!$Q$7:$Q$1506=B14))&gt;0)*(('CARNET DE SOUDURE'!$X$7:$X$1506="A")+('CARNET DE SOUDURE'!$X$7:$X$1506="R")+('CARNET DE SOUDURE'!$X$7:$X$1506="NT")+('CARNET DE SOUDURE'!$X$7:$X$1506="CO")))</f>
        <v>10</v>
      </c>
      <c r="H14" s="107" t="n">
        <f aca="false">SUMPRODUCT(((('CARNET DE SOUDURE'!$O$7:$O$1506=B14)+('CARNET DE SOUDURE'!$P$7:$P$1506=B14)+('CARNET DE SOUDURE'!$Q$7:$Q$1506=B14))&gt;0)*(('CARNET DE SOUDURE'!$X$7:$X$1506="R")+('CARNET DE SOUDURE'!$X$7:$X$1506="NT")+('CARNET DE SOUDURE'!$X$7:$X$1506="CO")))</f>
        <v>0</v>
      </c>
      <c r="I14" s="40" t="n">
        <f aca="false">IFERROR(H14/G14,0)</f>
        <v>0</v>
      </c>
      <c r="J14" s="107" t="n">
        <f aca="false">COUNTIF('CARNET DE SOUDURE'!$Y$7:$Y$1506,B14)+COUNTIF('CARNET DE SOUDURE'!$AD$7:$AD$1506,B14)</f>
        <v>1</v>
      </c>
      <c r="K14" s="109" t="str">
        <f aca="false">IF(G14=0,"—",IF(I14&lt;=0.02,"Excellent",IF(I14&lt;=0.05,"Bon","À surveiller")))</f>
        <v>Excellent</v>
      </c>
    </row>
    <row r="15" customFormat="false" ht="15" hidden="false" customHeight="false" outlineLevel="0" collapsed="false">
      <c r="B15" s="122" t="s">
        <v>204</v>
      </c>
      <c r="C15" s="123" t="s">
        <v>706</v>
      </c>
      <c r="D15" s="123" t="s">
        <v>707</v>
      </c>
      <c r="E15" s="111" t="s">
        <v>688</v>
      </c>
      <c r="F15" s="107" t="n">
        <f aca="false">SUMPRODUCT(--((('CARNET DE SOUDURE'!$O$7:$O$1506=B15)+('CARNET DE SOUDURE'!$P$7:$P$1506=B15)+('CARNET DE SOUDURE'!$Q$7:$Q$1506=B15))&gt;0))</f>
        <v>39</v>
      </c>
      <c r="G15" s="107" t="n">
        <f aca="false">SUMPRODUCT(((('CARNET DE SOUDURE'!$O$7:$O$1506=B15)+('CARNET DE SOUDURE'!$P$7:$P$1506=B15)+('CARNET DE SOUDURE'!$Q$7:$Q$1506=B15))&gt;0)*(('CARNET DE SOUDURE'!$X$7:$X$1506="A")+('CARNET DE SOUDURE'!$X$7:$X$1506="R")+('CARNET DE SOUDURE'!$X$7:$X$1506="NT")+('CARNET DE SOUDURE'!$X$7:$X$1506="CO")))</f>
        <v>39</v>
      </c>
      <c r="H15" s="107" t="n">
        <f aca="false">SUMPRODUCT(((('CARNET DE SOUDURE'!$O$7:$O$1506=B15)+('CARNET DE SOUDURE'!$P$7:$P$1506=B15)+('CARNET DE SOUDURE'!$Q$7:$Q$1506=B15))&gt;0)*(('CARNET DE SOUDURE'!$X$7:$X$1506="R")+('CARNET DE SOUDURE'!$X$7:$X$1506="NT")+('CARNET DE SOUDURE'!$X$7:$X$1506="CO")))</f>
        <v>0</v>
      </c>
      <c r="I15" s="40" t="n">
        <f aca="false">IFERROR(H15/G15,0)</f>
        <v>0</v>
      </c>
      <c r="J15" s="107" t="n">
        <f aca="false">COUNTIF('CARNET DE SOUDURE'!$Y$7:$Y$1506,B15)+COUNTIF('CARNET DE SOUDURE'!$AD$7:$AD$1506,B15)</f>
        <v>1</v>
      </c>
      <c r="K15" s="109" t="str">
        <f aca="false">IF(G15=0,"—",IF(I15&lt;=0.02,"Excellent",IF(I15&lt;=0.05,"Bon","À surveiller")))</f>
        <v>Excellent</v>
      </c>
    </row>
    <row r="16" customFormat="false" ht="15" hidden="false" customHeight="false" outlineLevel="0" collapsed="false">
      <c r="B16" s="122" t="s">
        <v>708</v>
      </c>
      <c r="C16" s="123" t="s">
        <v>709</v>
      </c>
      <c r="D16" s="123" t="s">
        <v>696</v>
      </c>
      <c r="E16" s="111" t="s">
        <v>697</v>
      </c>
      <c r="F16" s="107" t="n">
        <f aca="false">SUMPRODUCT(--((('CARNET DE SOUDURE'!$O$7:$O$1506=B16)+('CARNET DE SOUDURE'!$P$7:$P$1506=B16)+('CARNET DE SOUDURE'!$Q$7:$Q$1506=B16))&gt;0))</f>
        <v>0</v>
      </c>
      <c r="G16" s="107" t="n">
        <f aca="false">SUMPRODUCT(((('CARNET DE SOUDURE'!$O$7:$O$1506=B16)+('CARNET DE SOUDURE'!$P$7:$P$1506=B16)+('CARNET DE SOUDURE'!$Q$7:$Q$1506=B16))&gt;0)*(('CARNET DE SOUDURE'!$X$7:$X$1506="A")+('CARNET DE SOUDURE'!$X$7:$X$1506="R")+('CARNET DE SOUDURE'!$X$7:$X$1506="NT")+('CARNET DE SOUDURE'!$X$7:$X$1506="CO")))</f>
        <v>0</v>
      </c>
      <c r="H16" s="107" t="n">
        <f aca="false">SUMPRODUCT(((('CARNET DE SOUDURE'!$O$7:$O$1506=B16)+('CARNET DE SOUDURE'!$P$7:$P$1506=B16)+('CARNET DE SOUDURE'!$Q$7:$Q$1506=B16))&gt;0)*(('CARNET DE SOUDURE'!$X$7:$X$1506="R")+('CARNET DE SOUDURE'!$X$7:$X$1506="NT")+('CARNET DE SOUDURE'!$X$7:$X$1506="CO")))</f>
        <v>0</v>
      </c>
      <c r="I16" s="40" t="n">
        <f aca="false">IFERROR(H16/G16,0)</f>
        <v>0</v>
      </c>
      <c r="J16" s="107" t="n">
        <f aca="false">COUNTIF('CARNET DE SOUDURE'!$Y$7:$Y$1506,B16)+COUNTIF('CARNET DE SOUDURE'!$AD$7:$AD$1506,B16)</f>
        <v>0</v>
      </c>
      <c r="K16" s="109" t="str">
        <f aca="false">IF(G16=0,"—",IF(I16&lt;=0.02,"Excellent",IF(I16&lt;=0.05,"Bon","À surveiller")))</f>
        <v>—</v>
      </c>
    </row>
    <row r="17" customFormat="false" ht="15" hidden="false" customHeight="false" outlineLevel="0" collapsed="false">
      <c r="B17" s="122" t="s">
        <v>710</v>
      </c>
      <c r="C17" s="123"/>
      <c r="D17" s="123"/>
      <c r="E17" s="111"/>
      <c r="F17" s="107" t="n">
        <f aca="false">SUMPRODUCT(--((('CARNET DE SOUDURE'!$O$7:$O$1506=B17)+('CARNET DE SOUDURE'!$P$7:$P$1506=B17)+('CARNET DE SOUDURE'!$Q$7:$Q$1506=B17))&gt;0))</f>
        <v>0</v>
      </c>
      <c r="G17" s="107" t="n">
        <f aca="false">SUMPRODUCT(((('CARNET DE SOUDURE'!$O$7:$O$1506=B17)+('CARNET DE SOUDURE'!$P$7:$P$1506=B17)+('CARNET DE SOUDURE'!$Q$7:$Q$1506=B17))&gt;0)*(('CARNET DE SOUDURE'!$X$7:$X$1506="A")+('CARNET DE SOUDURE'!$X$7:$X$1506="R")+('CARNET DE SOUDURE'!$X$7:$X$1506="NT")+('CARNET DE SOUDURE'!$X$7:$X$1506="CO")))</f>
        <v>0</v>
      </c>
      <c r="H17" s="107" t="n">
        <f aca="false">SUMPRODUCT(((('CARNET DE SOUDURE'!$O$7:$O$1506=B17)+('CARNET DE SOUDURE'!$P$7:$P$1506=B17)+('CARNET DE SOUDURE'!$Q$7:$Q$1506=B17))&gt;0)*(('CARNET DE SOUDURE'!$X$7:$X$1506="R")+('CARNET DE SOUDURE'!$X$7:$X$1506="NT")+('CARNET DE SOUDURE'!$X$7:$X$1506="CO")))</f>
        <v>0</v>
      </c>
      <c r="I17" s="40" t="n">
        <f aca="false">IFERROR(H17/G17,0)</f>
        <v>0</v>
      </c>
      <c r="J17" s="107" t="n">
        <f aca="false">COUNTIF('CARNET DE SOUDURE'!$Y$7:$Y$1506,B17)+COUNTIF('CARNET DE SOUDURE'!$AD$7:$AD$1506,B17)</f>
        <v>0</v>
      </c>
      <c r="K17" s="109" t="str">
        <f aca="false">IF(G17=0,"—",IF(I17&lt;=0.02,"Excellent",IF(I17&lt;=0.05,"Bon","À surveiller")))</f>
        <v>—</v>
      </c>
    </row>
    <row r="18" customFormat="false" ht="15" hidden="false" customHeight="false" outlineLevel="0" collapsed="false">
      <c r="B18" s="122" t="s">
        <v>711</v>
      </c>
      <c r="C18" s="123"/>
      <c r="D18" s="123"/>
      <c r="E18" s="111"/>
      <c r="F18" s="107" t="n">
        <f aca="false">SUMPRODUCT(--((('CARNET DE SOUDURE'!$O$7:$O$1506=B18)+('CARNET DE SOUDURE'!$P$7:$P$1506=B18)+('CARNET DE SOUDURE'!$Q$7:$Q$1506=B18))&gt;0))</f>
        <v>0</v>
      </c>
      <c r="G18" s="107" t="n">
        <f aca="false">SUMPRODUCT(((('CARNET DE SOUDURE'!$O$7:$O$1506=B18)+('CARNET DE SOUDURE'!$P$7:$P$1506=B18)+('CARNET DE SOUDURE'!$Q$7:$Q$1506=B18))&gt;0)*(('CARNET DE SOUDURE'!$X$7:$X$1506="A")+('CARNET DE SOUDURE'!$X$7:$X$1506="R")+('CARNET DE SOUDURE'!$X$7:$X$1506="NT")+('CARNET DE SOUDURE'!$X$7:$X$1506="CO")))</f>
        <v>0</v>
      </c>
      <c r="H18" s="107" t="n">
        <f aca="false">SUMPRODUCT(((('CARNET DE SOUDURE'!$O$7:$O$1506=B18)+('CARNET DE SOUDURE'!$P$7:$P$1506=B18)+('CARNET DE SOUDURE'!$Q$7:$Q$1506=B18))&gt;0)*(('CARNET DE SOUDURE'!$X$7:$X$1506="R")+('CARNET DE SOUDURE'!$X$7:$X$1506="NT")+('CARNET DE SOUDURE'!$X$7:$X$1506="CO")))</f>
        <v>0</v>
      </c>
      <c r="I18" s="40" t="n">
        <f aca="false">IFERROR(H18/G18,0)</f>
        <v>0</v>
      </c>
      <c r="J18" s="107" t="n">
        <f aca="false">COUNTIF('CARNET DE SOUDURE'!$Y$7:$Y$1506,B18)+COUNTIF('CARNET DE SOUDURE'!$AD$7:$AD$1506,B18)</f>
        <v>0</v>
      </c>
      <c r="K18" s="109" t="str">
        <f aca="false">IF(G18=0,"—",IF(I18&lt;=0.02,"Excellent",IF(I18&lt;=0.05,"Bon","À surveiller")))</f>
        <v>—</v>
      </c>
    </row>
    <row r="19" customFormat="false" ht="15" hidden="false" customHeight="false" outlineLevel="0" collapsed="false">
      <c r="B19" s="122" t="s">
        <v>712</v>
      </c>
      <c r="C19" s="123"/>
      <c r="D19" s="123"/>
      <c r="E19" s="111"/>
      <c r="F19" s="107" t="n">
        <f aca="false">SUMPRODUCT(--((('CARNET DE SOUDURE'!$O$7:$O$1506=B19)+('CARNET DE SOUDURE'!$P$7:$P$1506=B19)+('CARNET DE SOUDURE'!$Q$7:$Q$1506=B19))&gt;0))</f>
        <v>0</v>
      </c>
      <c r="G19" s="107" t="n">
        <f aca="false">SUMPRODUCT(((('CARNET DE SOUDURE'!$O$7:$O$1506=B19)+('CARNET DE SOUDURE'!$P$7:$P$1506=B19)+('CARNET DE SOUDURE'!$Q$7:$Q$1506=B19))&gt;0)*(('CARNET DE SOUDURE'!$X$7:$X$1506="A")+('CARNET DE SOUDURE'!$X$7:$X$1506="R")+('CARNET DE SOUDURE'!$X$7:$X$1506="NT")+('CARNET DE SOUDURE'!$X$7:$X$1506="CO")))</f>
        <v>0</v>
      </c>
      <c r="H19" s="107" t="n">
        <f aca="false">SUMPRODUCT(((('CARNET DE SOUDURE'!$O$7:$O$1506=B19)+('CARNET DE SOUDURE'!$P$7:$P$1506=B19)+('CARNET DE SOUDURE'!$Q$7:$Q$1506=B19))&gt;0)*(('CARNET DE SOUDURE'!$X$7:$X$1506="R")+('CARNET DE SOUDURE'!$X$7:$X$1506="NT")+('CARNET DE SOUDURE'!$X$7:$X$1506="CO")))</f>
        <v>0</v>
      </c>
      <c r="I19" s="40" t="n">
        <f aca="false">IFERROR(H19/G19,0)</f>
        <v>0</v>
      </c>
      <c r="J19" s="107" t="n">
        <f aca="false">COUNTIF('CARNET DE SOUDURE'!$Y$7:$Y$1506,B19)+COUNTIF('CARNET DE SOUDURE'!$AD$7:$AD$1506,B19)</f>
        <v>0</v>
      </c>
      <c r="K19" s="109" t="str">
        <f aca="false">IF(G19=0,"—",IF(I19&lt;=0.02,"Excellent",IF(I19&lt;=0.05,"Bon","À surveiller")))</f>
        <v>—</v>
      </c>
    </row>
    <row r="20" customFormat="false" ht="15" hidden="false" customHeight="false" outlineLevel="0" collapsed="false">
      <c r="B20" s="122" t="s">
        <v>713</v>
      </c>
      <c r="C20" s="123"/>
      <c r="D20" s="123"/>
      <c r="E20" s="111"/>
      <c r="F20" s="107" t="n">
        <f aca="false">SUMPRODUCT(--((('CARNET DE SOUDURE'!$O$7:$O$1506=B20)+('CARNET DE SOUDURE'!$P$7:$P$1506=B20)+('CARNET DE SOUDURE'!$Q$7:$Q$1506=B20))&gt;0))</f>
        <v>0</v>
      </c>
      <c r="G20" s="107" t="n">
        <f aca="false">SUMPRODUCT(((('CARNET DE SOUDURE'!$O$7:$O$1506=B20)+('CARNET DE SOUDURE'!$P$7:$P$1506=B20)+('CARNET DE SOUDURE'!$Q$7:$Q$1506=B20))&gt;0)*(('CARNET DE SOUDURE'!$X$7:$X$1506="A")+('CARNET DE SOUDURE'!$X$7:$X$1506="R")+('CARNET DE SOUDURE'!$X$7:$X$1506="NT")+('CARNET DE SOUDURE'!$X$7:$X$1506="CO")))</f>
        <v>0</v>
      </c>
      <c r="H20" s="107" t="n">
        <f aca="false">SUMPRODUCT(((('CARNET DE SOUDURE'!$O$7:$O$1506=B20)+('CARNET DE SOUDURE'!$P$7:$P$1506=B20)+('CARNET DE SOUDURE'!$Q$7:$Q$1506=B20))&gt;0)*(('CARNET DE SOUDURE'!$X$7:$X$1506="R")+('CARNET DE SOUDURE'!$X$7:$X$1506="NT")+('CARNET DE SOUDURE'!$X$7:$X$1506="CO")))</f>
        <v>0</v>
      </c>
      <c r="I20" s="40" t="n">
        <f aca="false">IFERROR(H20/G20,0)</f>
        <v>0</v>
      </c>
      <c r="J20" s="107" t="n">
        <f aca="false">COUNTIF('CARNET DE SOUDURE'!$Y$7:$Y$1506,B20)+COUNTIF('CARNET DE SOUDURE'!$AD$7:$AD$1506,B20)</f>
        <v>0</v>
      </c>
      <c r="K20" s="109" t="str">
        <f aca="false">IF(G20=0,"—",IF(I20&lt;=0.02,"Excellent",IF(I20&lt;=0.05,"Bon","À surveiller")))</f>
        <v>—</v>
      </c>
    </row>
    <row r="21" customFormat="false" ht="15" hidden="false" customHeight="false" outlineLevel="0" collapsed="false">
      <c r="B21" s="54" t="s">
        <v>29</v>
      </c>
      <c r="C21" s="54"/>
      <c r="D21" s="54"/>
      <c r="E21" s="54"/>
      <c r="F21" s="54" t="n">
        <f aca="false">SUMPRODUCT(--((('CARNET DE SOUDURE'!$O$7:$O$1506&lt;&gt;"")+('CARNET DE SOUDURE'!$P$7:$P$1506&lt;&gt;"")+('CARNET DE SOUDURE'!$Q$7:$Q$1506&lt;&gt;""))&gt;0))</f>
        <v>197</v>
      </c>
      <c r="G21" s="54" t="n">
        <f aca="false">COUNTIF('CARNET DE SOUDURE'!$X$7:$X$1506,"A")+COUNTIF('CARNET DE SOUDURE'!$X$7:$X$1506,"R")+COUNTIF('CARNET DE SOUDURE'!$X$7:$X$1506,"NT")+COUNTIF('CARNET DE SOUDURE'!$X$7:$X$1506,"CO")</f>
        <v>187</v>
      </c>
      <c r="H21" s="54" t="n">
        <f aca="false">COUNTIF('CARNET DE SOUDURE'!$X$7:$X$1506,"R")+COUNTIF('CARNET DE SOUDURE'!$X$7:$X$1506,"NT")+COUNTIF('CARNET DE SOUDURE'!$X$7:$X$1506,"CO")</f>
        <v>2</v>
      </c>
      <c r="I21" s="124" t="n">
        <f aca="false">IFERROR(H21/G21,0)</f>
        <v>0.0106951871657754</v>
      </c>
      <c r="J21" s="54" t="n">
        <f aca="false">SUM(J6:J20)</f>
        <v>2</v>
      </c>
      <c r="K21" s="54"/>
    </row>
  </sheetData>
  <mergeCells count="2">
    <mergeCell ref="B2:K2"/>
    <mergeCell ref="B3:K3"/>
  </mergeCells>
  <conditionalFormatting sqref="I6:I20">
    <cfRule type="dataBar" priority="2">
      <dataBar showValue="1" minLength="10" maxLength="90">
        <cfvo type="num" val="0"/>
        <cfvo type="num" val="0.2"/>
        <color rgb="FFF4B183"/>
      </dataBar>
      <extLst>
        <ext xmlns:x14="http://schemas.microsoft.com/office/spreadsheetml/2009/9/main" uri="{B025F937-C7B1-47D3-B67F-A62EFF666E3E}">
          <x14:id>{E1E769F0-623B-48DC-B35A-1493F4FB2436}</x14:id>
        </ext>
      </extLst>
    </cfRule>
  </conditionalFormatting>
  <conditionalFormatting sqref="K6:K20">
    <cfRule type="cellIs" priority="3" operator="equal" aboveAverage="0" equalAverage="0" bottom="0" percent="0" rank="0" text="" dxfId="1">
      <formula>"Excellent"</formula>
    </cfRule>
    <cfRule type="cellIs" priority="4" operator="equal" aboveAverage="0" equalAverage="0" bottom="0" percent="0" rank="0" text="" dxfId="0">
      <formula>"À surveiller"</formula>
    </cfRule>
  </conditionalFormatting>
  <conditionalFormatting sqref="E6:E20">
    <cfRule type="cellIs" priority="5" operator="equal" aboveAverage="0" equalAverage="0" bottom="0" percent="0" rank="0" text="" dxfId="0">
      <formula>"Non qualifié"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E769F0-623B-48DC-B35A-1493F4FB2436}">
            <x14:dataBar minLength="10" maxLength="90" axisPosition="none" gradient="true">
              <x14:cfvo type="num">
                <xm:f>0</xm:f>
              </x14:cfvo>
              <x14:cfvo type="num">
                <xm:f>0.2</xm:f>
              </x14:cfvo>
              <x14:negativeFillColor rgb="FFF4B183"/>
              <x14:axisColor rgb="FF000000"/>
            </x14:dataBar>
          </x14:cfRule>
          <xm:sqref>I6:I20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B2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40"/>
    <col collapsed="false" customWidth="true" hidden="false" outlineLevel="0" max="5" min="5" style="0" width="34"/>
    <col collapsed="false" customWidth="true" hidden="false" outlineLevel="0" max="6" min="6" style="0" width="30"/>
  </cols>
  <sheetData>
    <row r="2" customFormat="false" ht="33.75" hidden="false" customHeight="true" outlineLevel="0" collapsed="false">
      <c r="B2" s="121" t="s">
        <v>714</v>
      </c>
      <c r="C2" s="121"/>
      <c r="D2" s="121"/>
      <c r="E2" s="121"/>
      <c r="F2" s="121"/>
      <c r="G2" s="121"/>
      <c r="H2" s="121"/>
    </row>
    <row r="4" customFormat="false" ht="15" hidden="false" customHeight="true" outlineLevel="0" collapsed="false">
      <c r="B4" s="125" t="s">
        <v>715</v>
      </c>
      <c r="C4" s="126" t="s">
        <v>716</v>
      </c>
      <c r="D4" s="126"/>
      <c r="E4" s="126"/>
      <c r="F4" s="126"/>
    </row>
    <row r="5" customFormat="false" ht="15" hidden="false" customHeight="true" outlineLevel="0" collapsed="false">
      <c r="B5" s="125" t="s">
        <v>717</v>
      </c>
      <c r="C5" s="126" t="s">
        <v>718</v>
      </c>
      <c r="D5" s="126"/>
      <c r="E5" s="126"/>
      <c r="F5" s="126"/>
    </row>
    <row r="6" customFormat="false" ht="15" hidden="false" customHeight="true" outlineLevel="0" collapsed="false">
      <c r="B6" s="125" t="s">
        <v>719</v>
      </c>
      <c r="C6" s="126" t="s">
        <v>720</v>
      </c>
      <c r="D6" s="126"/>
      <c r="E6" s="126"/>
      <c r="F6" s="126"/>
    </row>
    <row r="7" customFormat="false" ht="15" hidden="false" customHeight="true" outlineLevel="0" collapsed="false">
      <c r="B7" s="125" t="s">
        <v>721</v>
      </c>
      <c r="C7" s="126" t="s">
        <v>722</v>
      </c>
      <c r="D7" s="126"/>
      <c r="E7" s="126"/>
      <c r="F7" s="126"/>
    </row>
    <row r="8" customFormat="false" ht="15" hidden="false" customHeight="true" outlineLevel="0" collapsed="false">
      <c r="B8" s="125" t="s">
        <v>723</v>
      </c>
      <c r="C8" s="126" t="s">
        <v>724</v>
      </c>
      <c r="D8" s="126"/>
      <c r="E8" s="126"/>
      <c r="F8" s="126"/>
    </row>
    <row r="10" customFormat="false" ht="24" hidden="false" customHeight="true" outlineLevel="0" collapsed="false">
      <c r="B10" s="36" t="s">
        <v>725</v>
      </c>
      <c r="C10" s="36"/>
      <c r="D10" s="36"/>
      <c r="E10" s="36"/>
      <c r="F10" s="36"/>
    </row>
    <row r="11" customFormat="false" ht="15" hidden="false" customHeight="false" outlineLevel="0" collapsed="false">
      <c r="B11" s="65" t="s">
        <v>17</v>
      </c>
      <c r="C11" s="65" t="s">
        <v>726</v>
      </c>
      <c r="D11" s="65" t="s">
        <v>64</v>
      </c>
      <c r="E11" s="65" t="s">
        <v>18</v>
      </c>
    </row>
    <row r="12" customFormat="false" ht="15" hidden="false" customHeight="false" outlineLevel="0" collapsed="false">
      <c r="B12" s="111" t="s">
        <v>575</v>
      </c>
      <c r="C12" s="123" t="s">
        <v>727</v>
      </c>
      <c r="D12" s="111" t="s">
        <v>106</v>
      </c>
      <c r="E12" s="127" t="n">
        <v>200</v>
      </c>
    </row>
    <row r="13" customFormat="false" ht="15" hidden="false" customHeight="false" outlineLevel="0" collapsed="false">
      <c r="B13" s="111" t="s">
        <v>585</v>
      </c>
      <c r="C13" s="123" t="s">
        <v>728</v>
      </c>
      <c r="D13" s="111" t="s">
        <v>106</v>
      </c>
      <c r="E13" s="127" t="n">
        <v>200</v>
      </c>
    </row>
    <row r="14" customFormat="false" ht="15" hidden="false" customHeight="false" outlineLevel="0" collapsed="false">
      <c r="B14" s="111" t="s">
        <v>586</v>
      </c>
      <c r="C14" s="123" t="s">
        <v>729</v>
      </c>
      <c r="D14" s="111" t="s">
        <v>106</v>
      </c>
      <c r="E14" s="127" t="n">
        <v>200</v>
      </c>
    </row>
    <row r="15" customFormat="false" ht="15" hidden="false" customHeight="false" outlineLevel="0" collapsed="false">
      <c r="B15" s="111" t="s">
        <v>102</v>
      </c>
      <c r="C15" s="123" t="s">
        <v>730</v>
      </c>
      <c r="D15" s="111" t="s">
        <v>106</v>
      </c>
      <c r="E15" s="127" t="n">
        <v>204</v>
      </c>
    </row>
    <row r="16" customFormat="false" ht="15" hidden="false" customHeight="false" outlineLevel="0" collapsed="false">
      <c r="B16" s="111"/>
      <c r="C16" s="123"/>
      <c r="D16" s="111"/>
      <c r="E16" s="127"/>
    </row>
    <row r="17" customFormat="false" ht="15" hidden="false" customHeight="false" outlineLevel="0" collapsed="false">
      <c r="B17" s="111"/>
      <c r="C17" s="123"/>
      <c r="D17" s="111"/>
      <c r="E17" s="127"/>
    </row>
    <row r="18" customFormat="false" ht="15" hidden="false" customHeight="false" outlineLevel="0" collapsed="false">
      <c r="B18" s="111"/>
      <c r="C18" s="123"/>
      <c r="D18" s="111"/>
      <c r="E18" s="127"/>
    </row>
    <row r="19" customFormat="false" ht="15" hidden="false" customHeight="false" outlineLevel="0" collapsed="false">
      <c r="B19" s="111"/>
      <c r="C19" s="123"/>
      <c r="D19" s="111"/>
      <c r="E19" s="127"/>
    </row>
    <row r="22" customFormat="false" ht="24" hidden="false" customHeight="true" outlineLevel="0" collapsed="false">
      <c r="B22" s="36" t="s">
        <v>731</v>
      </c>
      <c r="C22" s="36"/>
      <c r="D22" s="36"/>
      <c r="E22" s="36"/>
      <c r="F22" s="36"/>
    </row>
    <row r="23" customFormat="false" ht="15" hidden="false" customHeight="false" outlineLevel="0" collapsed="false">
      <c r="B23" s="65" t="s">
        <v>732</v>
      </c>
      <c r="C23" s="65" t="s">
        <v>733</v>
      </c>
      <c r="D23" s="65" t="s">
        <v>734</v>
      </c>
      <c r="E23" s="65" t="s">
        <v>735</v>
      </c>
    </row>
    <row r="24" customFormat="false" ht="15" hidden="false" customHeight="false" outlineLevel="0" collapsed="false">
      <c r="B24" s="128" t="s">
        <v>105</v>
      </c>
      <c r="C24" s="107" t="s">
        <v>736</v>
      </c>
      <c r="D24" s="129" t="s">
        <v>737</v>
      </c>
      <c r="E24" s="129" t="s">
        <v>738</v>
      </c>
    </row>
    <row r="25" customFormat="false" ht="15" hidden="false" customHeight="false" outlineLevel="0" collapsed="false">
      <c r="B25" s="130" t="s">
        <v>265</v>
      </c>
      <c r="C25" s="107" t="s">
        <v>736</v>
      </c>
      <c r="D25" s="129" t="s">
        <v>739</v>
      </c>
      <c r="E25" s="129" t="s">
        <v>740</v>
      </c>
    </row>
    <row r="26" customFormat="false" ht="15" hidden="false" customHeight="false" outlineLevel="0" collapsed="false">
      <c r="B26" s="131" t="s">
        <v>356</v>
      </c>
      <c r="C26" s="107" t="s">
        <v>741</v>
      </c>
      <c r="D26" s="129" t="s">
        <v>742</v>
      </c>
      <c r="E26" s="129" t="s">
        <v>743</v>
      </c>
    </row>
    <row r="27" customFormat="false" ht="15" hidden="false" customHeight="false" outlineLevel="0" collapsed="false">
      <c r="B27" s="132" t="s">
        <v>744</v>
      </c>
      <c r="C27" s="107" t="s">
        <v>741</v>
      </c>
      <c r="D27" s="129" t="s">
        <v>745</v>
      </c>
      <c r="E27" s="129" t="s">
        <v>746</v>
      </c>
    </row>
    <row r="28" customFormat="false" ht="15" hidden="false" customHeight="false" outlineLevel="0" collapsed="false">
      <c r="B28" s="133" t="s">
        <v>747</v>
      </c>
      <c r="C28" s="107" t="s">
        <v>741</v>
      </c>
      <c r="D28" s="129" t="s">
        <v>745</v>
      </c>
      <c r="E28" s="129" t="s">
        <v>746</v>
      </c>
    </row>
    <row r="30" customFormat="false" ht="24" hidden="false" customHeight="true" outlineLevel="0" collapsed="false">
      <c r="B30" s="36" t="s">
        <v>748</v>
      </c>
      <c r="C30" s="36"/>
      <c r="D30" s="36"/>
      <c r="E30" s="36"/>
      <c r="F30" s="36"/>
    </row>
    <row r="31" customFormat="false" ht="15" hidden="false" customHeight="false" outlineLevel="0" collapsed="false">
      <c r="B31" s="65" t="s">
        <v>749</v>
      </c>
      <c r="C31" s="65" t="s">
        <v>750</v>
      </c>
      <c r="D31" s="65" t="s">
        <v>741</v>
      </c>
      <c r="E31" s="65" t="s">
        <v>751</v>
      </c>
      <c r="F31" s="65" t="s">
        <v>752</v>
      </c>
    </row>
    <row r="32" customFormat="false" ht="15" hidden="false" customHeight="false" outlineLevel="0" collapsed="false">
      <c r="B32" s="38" t="s">
        <v>2</v>
      </c>
      <c r="C32" s="107" t="s">
        <v>105</v>
      </c>
      <c r="D32" s="107" t="s">
        <v>105</v>
      </c>
      <c r="E32" s="129" t="s">
        <v>33</v>
      </c>
      <c r="F32" s="123" t="s">
        <v>753</v>
      </c>
    </row>
    <row r="33" customFormat="false" ht="15" hidden="false" customHeight="false" outlineLevel="0" collapsed="false">
      <c r="B33" s="107" t="str">
        <f aca="false">IF(B12="","",B12)</f>
        <v>ISB-302</v>
      </c>
      <c r="C33" s="107" t="s">
        <v>265</v>
      </c>
      <c r="D33" s="107" t="s">
        <v>265</v>
      </c>
      <c r="E33" s="129" t="s">
        <v>34</v>
      </c>
      <c r="F33" s="123" t="s">
        <v>754</v>
      </c>
    </row>
    <row r="34" customFormat="false" ht="15" hidden="false" customHeight="false" outlineLevel="0" collapsed="false">
      <c r="B34" s="107" t="str">
        <f aca="false">IF(B13="","",B13)</f>
        <v>ISB-303</v>
      </c>
      <c r="D34" s="107" t="s">
        <v>356</v>
      </c>
      <c r="E34" s="129" t="s">
        <v>35</v>
      </c>
      <c r="F34" s="123" t="s">
        <v>755</v>
      </c>
    </row>
    <row r="35" customFormat="false" ht="15" hidden="false" customHeight="false" outlineLevel="0" collapsed="false">
      <c r="B35" s="107" t="str">
        <f aca="false">IF(B14="","",B14)</f>
        <v>ISB-304</v>
      </c>
      <c r="D35" s="107" t="s">
        <v>744</v>
      </c>
      <c r="E35" s="129" t="s">
        <v>12</v>
      </c>
      <c r="F35" s="123" t="s">
        <v>756</v>
      </c>
    </row>
    <row r="36" customFormat="false" ht="15" hidden="false" customHeight="false" outlineLevel="0" collapsed="false">
      <c r="B36" s="107" t="str">
        <f aca="false">IF(B15="","",B15)</f>
        <v>TFT 716 → TL7-MMFW2</v>
      </c>
      <c r="D36" s="107" t="s">
        <v>747</v>
      </c>
      <c r="E36" s="129" t="s">
        <v>36</v>
      </c>
    </row>
    <row r="37" customFormat="false" ht="15" hidden="false" customHeight="false" outlineLevel="0" collapsed="false">
      <c r="B37" s="107" t="str">
        <f aca="false">IF(B16="","",B16)</f>
        <v/>
      </c>
      <c r="E37" s="129" t="s">
        <v>37</v>
      </c>
    </row>
    <row r="38" customFormat="false" ht="15" hidden="false" customHeight="false" outlineLevel="0" collapsed="false">
      <c r="B38" s="107" t="str">
        <f aca="false">IF(B17="","",B17)</f>
        <v/>
      </c>
      <c r="E38" s="129" t="s">
        <v>38</v>
      </c>
    </row>
    <row r="39" customFormat="false" ht="15" hidden="false" customHeight="false" outlineLevel="0" collapsed="false">
      <c r="B39" s="107" t="str">
        <f aca="false">IF(B18="","",B18)</f>
        <v/>
      </c>
      <c r="E39" s="129" t="s">
        <v>39</v>
      </c>
    </row>
    <row r="40" customFormat="false" ht="15" hidden="false" customHeight="false" outlineLevel="0" collapsed="false">
      <c r="B40" s="107" t="str">
        <f aca="false">IF(B19="","",B19)</f>
        <v/>
      </c>
      <c r="E40" s="129" t="s">
        <v>40</v>
      </c>
    </row>
  </sheetData>
  <mergeCells count="9">
    <mergeCell ref="B2:H2"/>
    <mergeCell ref="C4:F4"/>
    <mergeCell ref="C5:F5"/>
    <mergeCell ref="C6:F6"/>
    <mergeCell ref="C7:F7"/>
    <mergeCell ref="C8:F8"/>
    <mergeCell ref="B10:F10"/>
    <mergeCell ref="B22:F22"/>
    <mergeCell ref="B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B2:C18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00"/>
  </cols>
  <sheetData>
    <row r="2" customFormat="false" ht="33.75" hidden="false" customHeight="true" outlineLevel="0" collapsed="false">
      <c r="B2" s="121" t="s">
        <v>757</v>
      </c>
      <c r="C2" s="121"/>
    </row>
    <row r="4" customFormat="false" ht="36" hidden="false" customHeight="true" outlineLevel="0" collapsed="false">
      <c r="B4" s="134" t="s">
        <v>758</v>
      </c>
      <c r="C4" s="135" t="s">
        <v>759</v>
      </c>
    </row>
    <row r="5" customFormat="false" ht="36" hidden="false" customHeight="true" outlineLevel="0" collapsed="false">
      <c r="B5" s="134" t="s">
        <v>760</v>
      </c>
      <c r="C5" s="135" t="s">
        <v>761</v>
      </c>
    </row>
    <row r="6" customFormat="false" ht="36" hidden="false" customHeight="true" outlineLevel="0" collapsed="false">
      <c r="B6" s="134" t="s">
        <v>762</v>
      </c>
      <c r="C6" s="135" t="s">
        <v>763</v>
      </c>
    </row>
    <row r="7" customFormat="false" ht="36" hidden="false" customHeight="true" outlineLevel="0" collapsed="false">
      <c r="B7" s="134" t="s">
        <v>764</v>
      </c>
      <c r="C7" s="135" t="s">
        <v>765</v>
      </c>
    </row>
    <row r="8" customFormat="false" ht="36" hidden="false" customHeight="true" outlineLevel="0" collapsed="false">
      <c r="B8" s="134" t="s">
        <v>766</v>
      </c>
      <c r="C8" s="135" t="s">
        <v>767</v>
      </c>
    </row>
    <row r="9" customFormat="false" ht="36" hidden="false" customHeight="true" outlineLevel="0" collapsed="false">
      <c r="B9" s="134" t="s">
        <v>768</v>
      </c>
      <c r="C9" s="135" t="s">
        <v>769</v>
      </c>
    </row>
    <row r="10" customFormat="false" ht="36" hidden="false" customHeight="true" outlineLevel="0" collapsed="false">
      <c r="B10" s="134" t="s">
        <v>770</v>
      </c>
      <c r="C10" s="135" t="s">
        <v>771</v>
      </c>
    </row>
    <row r="11" customFormat="false" ht="36" hidden="false" customHeight="true" outlineLevel="0" collapsed="false">
      <c r="B11" s="134" t="s">
        <v>772</v>
      </c>
      <c r="C11" s="135" t="s">
        <v>773</v>
      </c>
    </row>
    <row r="12" customFormat="false" ht="36" hidden="false" customHeight="true" outlineLevel="0" collapsed="false">
      <c r="B12" s="134" t="s">
        <v>774</v>
      </c>
      <c r="C12" s="135" t="s">
        <v>775</v>
      </c>
    </row>
    <row r="13" customFormat="false" ht="36" hidden="false" customHeight="true" outlineLevel="0" collapsed="false">
      <c r="B13" s="134" t="s">
        <v>776</v>
      </c>
      <c r="C13" s="135" t="s">
        <v>777</v>
      </c>
    </row>
    <row r="14" customFormat="false" ht="36" hidden="false" customHeight="true" outlineLevel="0" collapsed="false">
      <c r="B14" s="134" t="s">
        <v>778</v>
      </c>
      <c r="C14" s="135" t="s">
        <v>779</v>
      </c>
    </row>
    <row r="15" customFormat="false" ht="9.75" hidden="false" customHeight="true" outlineLevel="0" collapsed="false">
      <c r="B15" s="134"/>
      <c r="C15" s="135"/>
    </row>
    <row r="16" customFormat="false" ht="36" hidden="false" customHeight="true" outlineLevel="0" collapsed="false">
      <c r="B16" s="134" t="s">
        <v>780</v>
      </c>
      <c r="C16" s="135" t="s">
        <v>781</v>
      </c>
    </row>
    <row r="17" customFormat="false" ht="36" hidden="false" customHeight="true" outlineLevel="0" collapsed="false">
      <c r="B17" s="134" t="s">
        <v>782</v>
      </c>
      <c r="C17" s="135" t="s">
        <v>783</v>
      </c>
    </row>
    <row r="18" customFormat="false" ht="36" hidden="false" customHeight="true" outlineLevel="0" collapsed="false">
      <c r="B18" s="134" t="s">
        <v>784</v>
      </c>
      <c r="C18" s="135" t="s">
        <v>785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1F4E78"/>
    <pageSetUpPr fitToPage="true"/>
  </sheetPr>
  <dimension ref="A1:Z46"/>
  <sheetViews>
    <sheetView showGridLines="false" workbookViewId="0">
      <selection activeCell="E5" sqref="E5"/>
    </sheetView>
  </sheetViews>
  <sheetFormatPr defaultRowHeight="15"/>
  <cols>
    <col min="1" max="1" width="8" customWidth="true"/>
    <col min="2" max="2" width="8" customWidth="true"/>
    <col min="3" max="3" width="6" customWidth="true"/>
    <col min="4" max="4" width="9" customWidth="true"/>
    <col min="5" max="5" width="8" customWidth="true"/>
    <col min="6" max="6" width="11" customWidth="true"/>
    <col min="7" max="7" width="7" customWidth="true"/>
    <col min="8" max="8" width="8" customWidth="true"/>
    <col min="9" max="9" width="11" customWidth="true"/>
    <col min="10" max="10" width="7" customWidth="true"/>
    <col min="11" max="11" width="5" customWidth="true"/>
    <col min="12" max="12" width="5" customWidth="true"/>
    <col min="13" max="13" width="10" customWidth="true"/>
    <col min="14" max="14" width="9" customWidth="true"/>
    <col min="15" max="15" width="7" customWidth="true"/>
    <col min="16" max="16" width="7" customWidth="true"/>
    <col min="17" max="17" width="7" customWidth="true"/>
    <col min="18" max="18" width="9" customWidth="true"/>
    <col min="19" max="19" width="9" customWidth="true"/>
    <col min="20" max="20" width="9" customWidth="true"/>
    <col min="21" max="21" width="9" customWidth="true"/>
    <col min="22" max="22" width="9" customWidth="true"/>
    <col min="23" max="23" width="9" customWidth="true"/>
    <col min="24" max="25" width="3" customWidth="true"/>
    <col min="26" max="26" width="44" customWidth="true"/>
  </cols>
  <sheetData>
    <row r="1" ht="22" customHeight="true">
      <c r="A1" s="136"/>
      <c r="B1" s="136"/>
      <c r="C1" s="136"/>
      <c r="D1" s="140">
        <f>PARAMÈTRES!$C$4</f>
      </c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37" t="inlineStr">
        <is>
          <t xml:space="preserve">Code :</t>
        </is>
      </c>
      <c r="T1" s="137"/>
      <c r="U1" s="137"/>
      <c r="V1" s="137"/>
      <c r="W1" s="137"/>
      <c r="Z1" s="151" t="inlineStr">
        <is>
          <t xml:space="preserve">Calcul (ne pas modifier)</t>
        </is>
      </c>
    </row>
    <row r="2" ht="22" customHeight="true">
      <c r="A2" s="136"/>
      <c r="B2" s="136"/>
      <c r="C2" s="136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37" t="inlineStr">
        <is>
          <t xml:space="preserve">Date :</t>
        </is>
      </c>
      <c r="T2" s="137"/>
      <c r="U2" s="137"/>
      <c r="V2" s="137"/>
      <c r="W2" s="137"/>
      <c r="Z2" s="151">
        <f>COUNTIF('CARNET DE SOUDURE'!$B$7:$B$1506,$E$5)</f>
      </c>
    </row>
    <row r="3" ht="22" customHeight="true">
      <c r="A3" s="136"/>
      <c r="B3" s="136"/>
      <c r="C3" s="136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36">
        <f>"Page "&amp;$Z$4&amp;"/"&amp;$Z$3</f>
      </c>
      <c r="T3" s="136"/>
      <c r="U3" s="136"/>
      <c r="V3" s="136"/>
      <c r="W3" s="136"/>
      <c r="Z3" s="151">
        <f>MAX(1,ROUNDUP($Z$2/35,0))</f>
      </c>
    </row>
    <row r="4" ht="26" customHeight="true">
      <c r="A4" s="139" t="inlineStr">
        <is>
          <t xml:space="preserve">Carnet de soudure</t>
        </is>
      </c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Z4" s="151">
        <f>IF(ISNUMBER($U$5),MIN(MAX(1,INT($U$5)),$Z$3),1)</f>
      </c>
    </row>
    <row r="5" ht="22" customHeight="true">
      <c r="A5" s="149" t="inlineStr">
        <is>
          <t xml:space="preserve">Ligne / ouvrage :</t>
        </is>
      </c>
      <c r="B5" s="149"/>
      <c r="C5" s="149"/>
      <c r="D5" s="149"/>
      <c r="E5" s="147" t="inlineStr">
        <is>
          <t xml:space="preserve">TFT 716 → TL7-MMFW2</t>
        </is>
      </c>
      <c r="F5" s="147"/>
      <c r="G5" s="147"/>
      <c r="H5" s="147"/>
      <c r="I5" s="147"/>
      <c r="J5" s="149" t="inlineStr">
        <is>
          <t xml:space="preserve">Longueur TOTAL :</t>
        </is>
      </c>
      <c r="K5" s="149"/>
      <c r="L5" s="146">
        <f>SUMIF(BARDAGE!$I$7:$I$1506,$E$5,BARDAGE!$F$7:$F$1506)</f>
      </c>
      <c r="M5" s="146"/>
      <c r="N5" s="149" t="inlineStr">
        <is>
          <t xml:space="preserve">ZONE A :</t>
        </is>
      </c>
      <c r="O5" s="146">
        <f>SUMPRODUCT(('CARNET DE SOUDURE'!$B$7:$B$1506=$E$5)*('CARNET DE SOUDURE'!$F$7:$F$1506="A")*SUMIF(BARDAGE!$B$7:$B$1506,'CARNET DE SOUDURE'!$K$7:$K$1506,BARDAGE!$F$7:$F$1506))</f>
      </c>
      <c r="P5" s="146"/>
      <c r="Q5" s="149" t="inlineStr">
        <is>
          <t xml:space="preserve">ZONE D :</t>
        </is>
      </c>
      <c r="R5" s="146">
        <f>SUMPRODUCT(('CARNET DE SOUDURE'!$B$7:$B$1506=$E$5)*('CARNET DE SOUDURE'!$F$7:$F$1506="D")*SUMIF(BARDAGE!$B$7:$B$1506,'CARNET DE SOUDURE'!$K$7:$K$1506,BARDAGE!$F$7:$F$1506))</f>
      </c>
      <c r="S5" s="146"/>
      <c r="T5" s="149" t="inlineStr">
        <is>
          <t xml:space="preserve">Page :</t>
        </is>
      </c>
      <c r="U5" s="147">
        <v>1</v>
      </c>
      <c r="V5" s="148">
        <f>"/ "&amp;$Z$3</f>
      </c>
      <c r="W5" s="148"/>
      <c r="Z5" s="151" t="inlineStr">
        <is>
          <t xml:space="preserve">◀ Choisissez la ligne (case E5) et la page (case U5)</t>
        </is>
      </c>
    </row>
    <row r="6">
      <c r="A6" s="149" t="inlineStr">
        <is>
          <t xml:space="preserve">Identification de soudure</t>
        </is>
      </c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 t="inlineStr">
        <is>
          <t xml:space="preserve">Repère soudeurs</t>
        </is>
      </c>
      <c r="P6" s="149"/>
      <c r="Q6" s="149"/>
      <c r="R6" s="149" t="inlineStr">
        <is>
          <t xml:space="preserve">Nuance :</t>
        </is>
      </c>
      <c r="S6" s="149"/>
      <c r="T6" s="148">
        <f>IFERROR(INDEX('CARNET DE SOUDURE'!$I$7:$I$1506,MATCH($E$5,'CARNET DE SOUDURE'!$B$7:$B$1506,0))&amp;"","")</f>
      </c>
      <c r="U6" s="148"/>
      <c r="V6" s="148"/>
      <c r="W6" s="148"/>
    </row>
    <row r="7" ht="80" customHeight="true">
      <c r="A7" s="141" t="inlineStr">
        <is>
          <t xml:space="preserve">Fiche tronçon N°</t>
        </is>
      </c>
      <c r="B7" s="141" t="inlineStr">
        <is>
          <t xml:space="preserve">PK N°</t>
        </is>
      </c>
      <c r="C7" s="141" t="inlineStr">
        <is>
          <t xml:space="preserve">Zone</t>
        </is>
      </c>
      <c r="D7" s="141" t="inlineStr">
        <is>
          <t xml:space="preserve">N° joint</t>
        </is>
      </c>
      <c r="E7" s="142" t="inlineStr">
        <is>
          <t xml:space="preserve">Pipe 1</t>
        </is>
      </c>
      <c r="F7" s="142" t="inlineStr">
        <is>
          <t xml:space="preserve">N° Coulée 1</t>
        </is>
      </c>
      <c r="G7" s="142" t="inlineStr">
        <is>
          <t xml:space="preserve">Longueur 1</t>
        </is>
      </c>
      <c r="H7" s="142" t="inlineStr">
        <is>
          <t xml:space="preserve">Pipe 2</t>
        </is>
      </c>
      <c r="I7" s="142" t="inlineStr">
        <is>
          <t xml:space="preserve">N° Coulée 2</t>
        </is>
      </c>
      <c r="J7" s="142" t="inlineStr">
        <is>
          <t xml:space="preserve">Longueur 2</t>
        </is>
      </c>
      <c r="K7" s="141" t="inlineStr">
        <is>
          <t xml:space="preserve">Ø (")</t>
        </is>
      </c>
      <c r="L7" s="141" t="inlineStr">
        <is>
          <t xml:space="preserve">EP</t>
        </is>
      </c>
      <c r="M7" s="143" t="inlineStr">
        <is>
          <t xml:space="preserve">Date de soudage</t>
        </is>
      </c>
      <c r="N7" s="141" t="inlineStr">
        <is>
          <t xml:space="preserve">WPS</t>
        </is>
      </c>
      <c r="O7" s="141" t="inlineStr">
        <is>
          <t xml:space="preserve">1ère passe</t>
        </is>
      </c>
      <c r="P7" s="141" t="inlineStr">
        <is>
          <t xml:space="preserve">2ème passe</t>
        </is>
      </c>
      <c r="Q7" s="141" t="inlineStr">
        <is>
          <t xml:space="preserve">B+F</t>
        </is>
      </c>
      <c r="R7" s="141" t="inlineStr">
        <is>
          <t xml:space="preserve">VT-FINAL rapport n°</t>
        </is>
      </c>
      <c r="S7" s="141" t="inlineStr">
        <is>
          <t xml:space="preserve">RT-FINAL rapport n°</t>
        </is>
      </c>
      <c r="T7" s="141" t="inlineStr">
        <is>
          <t xml:space="preserve">VT-01 rapport n°</t>
        </is>
      </c>
      <c r="U7" s="141" t="inlineStr">
        <is>
          <t xml:space="preserve">RT-01 rapport n°</t>
        </is>
      </c>
      <c r="V7" s="141" t="inlineStr">
        <is>
          <t xml:space="preserve">VT-02 rapport n°</t>
        </is>
      </c>
      <c r="W7" s="141" t="inlineStr">
        <is>
          <t xml:space="preserve">RT-02 rapport n°</t>
        </is>
      </c>
    </row>
    <row r="8" ht="17" customHeight="true">
      <c r="A8" s="136">
        <f>IF($Z8="","",INDEX('CARNET DE SOUDURE'!$C$7:$C$1506,$Z8)&amp;"")</f>
      </c>
      <c r="B8" s="136">
        <f>IF($Z8="","",INDEX('CARNET DE SOUDURE'!$D$7:$D$1506,$Z8)&amp;"")</f>
      </c>
      <c r="C8" s="136">
        <f>IF($Z8="","",INDEX('CARNET DE SOUDURE'!$F$7:$F$1506,$Z8)&amp;"")</f>
      </c>
      <c r="D8" s="136">
        <f>IF($Z8="","",INDEX('CARNET DE SOUDURE'!$E$7:$E$1506,$Z8)&amp;"")</f>
      </c>
      <c r="E8" s="136">
        <f>IF($Z8="","",INDEX('CARNET DE SOUDURE'!$K$7:$K$1506,$Z8)&amp;"")</f>
      </c>
      <c r="F8" s="136">
        <f>IF($Z8="","",INDEX('CARNET DE SOUDURE'!$L$7:$L$1506,$Z8)&amp;"")</f>
      </c>
      <c r="G8" s="144">
        <f>IF(E8="","",IFERROR(INDEX(BARDAGE!$F$7:$F$1506,MATCH(E8,BARDAGE!$B$7:$B$1506,0)),""))</f>
      </c>
      <c r="H8" s="136">
        <f>IF($Z8="","",INDEX('CARNET DE SOUDURE'!$M$7:$M$1506,$Z8)&amp;"")</f>
      </c>
      <c r="I8" s="136">
        <f>IF($Z8="","",INDEX('CARNET DE SOUDURE'!$N$7:$N$1506,$Z8)&amp;"")</f>
      </c>
      <c r="J8" s="144">
        <f>IF(H8="","",IFERROR(INDEX(BARDAGE!$F$7:$F$1506,MATCH(H8,BARDAGE!$B$7:$B$1506,0)),""))</f>
      </c>
      <c r="K8" s="136">
        <f>IF($Z8="","",INDEX('CARNET DE SOUDURE'!$G$7:$G$1506,$Z8)&amp;"")</f>
      </c>
      <c r="L8" s="136">
        <f>IF($Z8="","",IF(INDEX('CARNET DE SOUDURE'!$H$7:$H$1506,$Z8)="","",INDEX('CARNET DE SOUDURE'!$H$7:$H$1506,$Z8)))</f>
      </c>
      <c r="M8" s="145">
        <f>IF($Z8="","",IF(INDEX('CARNET DE SOUDURE'!$R$7:$R$1506,$Z8)="","",INDEX('CARNET DE SOUDURE'!$R$7:$R$1506,$Z8)))</f>
      </c>
      <c r="N8" s="136">
        <f>IF($Z8="","",INDEX('CARNET DE SOUDURE'!$J$7:$J$1506,$Z8)&amp;"")</f>
      </c>
      <c r="O8" s="136">
        <f>IF($Z8="","",INDEX('CARNET DE SOUDURE'!$O$7:$O$1506,$Z8)&amp;"")</f>
      </c>
      <c r="P8" s="136">
        <f>IF($Z8="","",INDEX('CARNET DE SOUDURE'!$P$7:$P$1506,$Z8)&amp;"")</f>
      </c>
      <c r="Q8" s="136">
        <f>IF($Z8="","",INDEX('CARNET DE SOUDURE'!$Q$7:$Q$1506,$Z8)&amp;"")</f>
      </c>
      <c r="R8" s="136">
        <f>IF($Z8="","",INDEX('CARNET DE SOUDURE'!$T$7:$T$1506,$Z8)&amp;"")</f>
      </c>
      <c r="S8" s="136">
        <f>IF($Z8="","",IF(INDEX('CARNET DE SOUDURE'!$AG$7:$AG$1506,$Z8)&lt;&gt;"",INDEX('CARNET DE SOUDURE'!$AG$7:$AG$1506,$Z8)&amp;"",IF(INDEX('CARNET DE SOUDURE'!$AB$7:$AB$1506,$Z8)&lt;&gt;"",INDEX('CARNET DE SOUDURE'!$AB$7:$AB$1506,$Z8)&amp;"",INDEX('CARNET DE SOUDURE'!$W$7:$W$1506,$Z8)&amp;"")))</f>
      </c>
      <c r="T8" s="136">
        <f>IF($Z8="","",INDEX('CARNET DE SOUDURE'!$T$7:$T$1506,$Z8)&amp;"")</f>
      </c>
      <c r="U8" s="136">
        <f>IF($Z8="","",INDEX('CARNET DE SOUDURE'!$W$7:$W$1506,$Z8)&amp;"")</f>
      </c>
      <c r="V8" s="136">
        <f>IF($Z8="","",IF(INDEX('CARNET DE SOUDURE'!$AE$7:$AE$1506,$Z8)&lt;&gt;"",INDEX('CARNET DE SOUDURE'!$AE$7:$AE$1506,$Z8)&amp;"",INDEX('CARNET DE SOUDURE'!$Z$7:$Z$1506,$Z8)&amp;""))</f>
      </c>
      <c r="W8" s="136">
        <f>IF($Z8="","",IF(INDEX('CARNET DE SOUDURE'!$AG$7:$AG$1506,$Z8)&lt;&gt;"",INDEX('CARNET DE SOUDURE'!$AG$7:$AG$1506,$Z8)&amp;"",INDEX('CARNET DE SOUDURE'!$AB$7:$AB$1506,$Z8)&amp;""))</f>
      </c>
      <c r="Z8" s="151">
        <f t="array" ref="Z8">IFERROR(SMALL(IF('CARNET DE SOUDURE'!$B$7:$B$1506=$E$5,ROW('CARNET DE SOUDURE'!$B$7:$B$1506)-6),($Z$4-1)*35+1),"")</f>
      </c>
    </row>
    <row r="9" ht="17" customHeight="true">
      <c r="A9" s="136">
        <f>IF($Z9="","",INDEX('CARNET DE SOUDURE'!$C$7:$C$1506,$Z9)&amp;"")</f>
      </c>
      <c r="B9" s="136">
        <f>IF($Z9="","",INDEX('CARNET DE SOUDURE'!$D$7:$D$1506,$Z9)&amp;"")</f>
      </c>
      <c r="C9" s="136">
        <f>IF($Z9="","",INDEX('CARNET DE SOUDURE'!$F$7:$F$1506,$Z9)&amp;"")</f>
      </c>
      <c r="D9" s="136">
        <f>IF($Z9="","",INDEX('CARNET DE SOUDURE'!$E$7:$E$1506,$Z9)&amp;"")</f>
      </c>
      <c r="E9" s="136">
        <f>IF($Z9="","",INDEX('CARNET DE SOUDURE'!$K$7:$K$1506,$Z9)&amp;"")</f>
      </c>
      <c r="F9" s="136">
        <f>IF($Z9="","",INDEX('CARNET DE SOUDURE'!$L$7:$L$1506,$Z9)&amp;"")</f>
      </c>
      <c r="G9" s="144">
        <f>IF(E9="","",IFERROR(INDEX(BARDAGE!$F$7:$F$1506,MATCH(E9,BARDAGE!$B$7:$B$1506,0)),""))</f>
      </c>
      <c r="H9" s="136">
        <f>IF($Z9="","",INDEX('CARNET DE SOUDURE'!$M$7:$M$1506,$Z9)&amp;"")</f>
      </c>
      <c r="I9" s="136">
        <f>IF($Z9="","",INDEX('CARNET DE SOUDURE'!$N$7:$N$1506,$Z9)&amp;"")</f>
      </c>
      <c r="J9" s="144">
        <f>IF(H9="","",IFERROR(INDEX(BARDAGE!$F$7:$F$1506,MATCH(H9,BARDAGE!$B$7:$B$1506,0)),""))</f>
      </c>
      <c r="K9" s="136">
        <f>IF($Z9="","",INDEX('CARNET DE SOUDURE'!$G$7:$G$1506,$Z9)&amp;"")</f>
      </c>
      <c r="L9" s="136">
        <f>IF($Z9="","",IF(INDEX('CARNET DE SOUDURE'!$H$7:$H$1506,$Z9)="","",INDEX('CARNET DE SOUDURE'!$H$7:$H$1506,$Z9)))</f>
      </c>
      <c r="M9" s="145">
        <f>IF($Z9="","",IF(INDEX('CARNET DE SOUDURE'!$R$7:$R$1506,$Z9)="","",INDEX('CARNET DE SOUDURE'!$R$7:$R$1506,$Z9)))</f>
      </c>
      <c r="N9" s="136">
        <f>IF($Z9="","",INDEX('CARNET DE SOUDURE'!$J$7:$J$1506,$Z9)&amp;"")</f>
      </c>
      <c r="O9" s="136">
        <f>IF($Z9="","",INDEX('CARNET DE SOUDURE'!$O$7:$O$1506,$Z9)&amp;"")</f>
      </c>
      <c r="P9" s="136">
        <f>IF($Z9="","",INDEX('CARNET DE SOUDURE'!$P$7:$P$1506,$Z9)&amp;"")</f>
      </c>
      <c r="Q9" s="136">
        <f>IF($Z9="","",INDEX('CARNET DE SOUDURE'!$Q$7:$Q$1506,$Z9)&amp;"")</f>
      </c>
      <c r="R9" s="136">
        <f>IF($Z9="","",INDEX('CARNET DE SOUDURE'!$T$7:$T$1506,$Z9)&amp;"")</f>
      </c>
      <c r="S9" s="136">
        <f>IF($Z9="","",IF(INDEX('CARNET DE SOUDURE'!$AG$7:$AG$1506,$Z9)&lt;&gt;"",INDEX('CARNET DE SOUDURE'!$AG$7:$AG$1506,$Z9)&amp;"",IF(INDEX('CARNET DE SOUDURE'!$AB$7:$AB$1506,$Z9)&lt;&gt;"",INDEX('CARNET DE SOUDURE'!$AB$7:$AB$1506,$Z9)&amp;"",INDEX('CARNET DE SOUDURE'!$W$7:$W$1506,$Z9)&amp;"")))</f>
      </c>
      <c r="T9" s="136">
        <f>IF($Z9="","",INDEX('CARNET DE SOUDURE'!$T$7:$T$1506,$Z9)&amp;"")</f>
      </c>
      <c r="U9" s="136">
        <f>IF($Z9="","",INDEX('CARNET DE SOUDURE'!$W$7:$W$1506,$Z9)&amp;"")</f>
      </c>
      <c r="V9" s="136">
        <f>IF($Z9="","",IF(INDEX('CARNET DE SOUDURE'!$AE$7:$AE$1506,$Z9)&lt;&gt;"",INDEX('CARNET DE SOUDURE'!$AE$7:$AE$1506,$Z9)&amp;"",INDEX('CARNET DE SOUDURE'!$Z$7:$Z$1506,$Z9)&amp;""))</f>
      </c>
      <c r="W9" s="136">
        <f>IF($Z9="","",IF(INDEX('CARNET DE SOUDURE'!$AG$7:$AG$1506,$Z9)&lt;&gt;"",INDEX('CARNET DE SOUDURE'!$AG$7:$AG$1506,$Z9)&amp;"",INDEX('CARNET DE SOUDURE'!$AB$7:$AB$1506,$Z9)&amp;""))</f>
      </c>
      <c r="Z9" s="151">
        <f t="array" ref="Z9">IFERROR(SMALL(IF('CARNET DE SOUDURE'!$B$7:$B$1506=$E$5,ROW('CARNET DE SOUDURE'!$B$7:$B$1506)-6),($Z$4-1)*35+2),"")</f>
      </c>
    </row>
    <row r="10" ht="17" customHeight="true">
      <c r="A10" s="136">
        <f>IF($Z10="","",INDEX('CARNET DE SOUDURE'!$C$7:$C$1506,$Z10)&amp;"")</f>
      </c>
      <c r="B10" s="136">
        <f>IF($Z10="","",INDEX('CARNET DE SOUDURE'!$D$7:$D$1506,$Z10)&amp;"")</f>
      </c>
      <c r="C10" s="136">
        <f>IF($Z10="","",INDEX('CARNET DE SOUDURE'!$F$7:$F$1506,$Z10)&amp;"")</f>
      </c>
      <c r="D10" s="136">
        <f>IF($Z10="","",INDEX('CARNET DE SOUDURE'!$E$7:$E$1506,$Z10)&amp;"")</f>
      </c>
      <c r="E10" s="136">
        <f>IF($Z10="","",INDEX('CARNET DE SOUDURE'!$K$7:$K$1506,$Z10)&amp;"")</f>
      </c>
      <c r="F10" s="136">
        <f>IF($Z10="","",INDEX('CARNET DE SOUDURE'!$L$7:$L$1506,$Z10)&amp;"")</f>
      </c>
      <c r="G10" s="144">
        <f>IF(E10="","",IFERROR(INDEX(BARDAGE!$F$7:$F$1506,MATCH(E10,BARDAGE!$B$7:$B$1506,0)),""))</f>
      </c>
      <c r="H10" s="136">
        <f>IF($Z10="","",INDEX('CARNET DE SOUDURE'!$M$7:$M$1506,$Z10)&amp;"")</f>
      </c>
      <c r="I10" s="136">
        <f>IF($Z10="","",INDEX('CARNET DE SOUDURE'!$N$7:$N$1506,$Z10)&amp;"")</f>
      </c>
      <c r="J10" s="144">
        <f>IF(H10="","",IFERROR(INDEX(BARDAGE!$F$7:$F$1506,MATCH(H10,BARDAGE!$B$7:$B$1506,0)),""))</f>
      </c>
      <c r="K10" s="136">
        <f>IF($Z10="","",INDEX('CARNET DE SOUDURE'!$G$7:$G$1506,$Z10)&amp;"")</f>
      </c>
      <c r="L10" s="136">
        <f>IF($Z10="","",IF(INDEX('CARNET DE SOUDURE'!$H$7:$H$1506,$Z10)="","",INDEX('CARNET DE SOUDURE'!$H$7:$H$1506,$Z10)))</f>
      </c>
      <c r="M10" s="145">
        <f>IF($Z10="","",IF(INDEX('CARNET DE SOUDURE'!$R$7:$R$1506,$Z10)="","",INDEX('CARNET DE SOUDURE'!$R$7:$R$1506,$Z10)))</f>
      </c>
      <c r="N10" s="136">
        <f>IF($Z10="","",INDEX('CARNET DE SOUDURE'!$J$7:$J$1506,$Z10)&amp;"")</f>
      </c>
      <c r="O10" s="136">
        <f>IF($Z10="","",INDEX('CARNET DE SOUDURE'!$O$7:$O$1506,$Z10)&amp;"")</f>
      </c>
      <c r="P10" s="136">
        <f>IF($Z10="","",INDEX('CARNET DE SOUDURE'!$P$7:$P$1506,$Z10)&amp;"")</f>
      </c>
      <c r="Q10" s="136">
        <f>IF($Z10="","",INDEX('CARNET DE SOUDURE'!$Q$7:$Q$1506,$Z10)&amp;"")</f>
      </c>
      <c r="R10" s="136">
        <f>IF($Z10="","",INDEX('CARNET DE SOUDURE'!$T$7:$T$1506,$Z10)&amp;"")</f>
      </c>
      <c r="S10" s="136">
        <f>IF($Z10="","",IF(INDEX('CARNET DE SOUDURE'!$AG$7:$AG$1506,$Z10)&lt;&gt;"",INDEX('CARNET DE SOUDURE'!$AG$7:$AG$1506,$Z10)&amp;"",IF(INDEX('CARNET DE SOUDURE'!$AB$7:$AB$1506,$Z10)&lt;&gt;"",INDEX('CARNET DE SOUDURE'!$AB$7:$AB$1506,$Z10)&amp;"",INDEX('CARNET DE SOUDURE'!$W$7:$W$1506,$Z10)&amp;"")))</f>
      </c>
      <c r="T10" s="136">
        <f>IF($Z10="","",INDEX('CARNET DE SOUDURE'!$T$7:$T$1506,$Z10)&amp;"")</f>
      </c>
      <c r="U10" s="136">
        <f>IF($Z10="","",INDEX('CARNET DE SOUDURE'!$W$7:$W$1506,$Z10)&amp;"")</f>
      </c>
      <c r="V10" s="136">
        <f>IF($Z10="","",IF(INDEX('CARNET DE SOUDURE'!$AE$7:$AE$1506,$Z10)&lt;&gt;"",INDEX('CARNET DE SOUDURE'!$AE$7:$AE$1506,$Z10)&amp;"",INDEX('CARNET DE SOUDURE'!$Z$7:$Z$1506,$Z10)&amp;""))</f>
      </c>
      <c r="W10" s="136">
        <f>IF($Z10="","",IF(INDEX('CARNET DE SOUDURE'!$AG$7:$AG$1506,$Z10)&lt;&gt;"",INDEX('CARNET DE SOUDURE'!$AG$7:$AG$1506,$Z10)&amp;"",INDEX('CARNET DE SOUDURE'!$AB$7:$AB$1506,$Z10)&amp;""))</f>
      </c>
      <c r="Z10" s="151">
        <f t="array" ref="Z10">IFERROR(SMALL(IF('CARNET DE SOUDURE'!$B$7:$B$1506=$E$5,ROW('CARNET DE SOUDURE'!$B$7:$B$1506)-6),($Z$4-1)*35+3),"")</f>
      </c>
    </row>
    <row r="11" ht="17" customHeight="true">
      <c r="A11" s="136">
        <f>IF($Z11="","",INDEX('CARNET DE SOUDURE'!$C$7:$C$1506,$Z11)&amp;"")</f>
      </c>
      <c r="B11" s="136">
        <f>IF($Z11="","",INDEX('CARNET DE SOUDURE'!$D$7:$D$1506,$Z11)&amp;"")</f>
      </c>
      <c r="C11" s="136">
        <f>IF($Z11="","",INDEX('CARNET DE SOUDURE'!$F$7:$F$1506,$Z11)&amp;"")</f>
      </c>
      <c r="D11" s="136">
        <f>IF($Z11="","",INDEX('CARNET DE SOUDURE'!$E$7:$E$1506,$Z11)&amp;"")</f>
      </c>
      <c r="E11" s="136">
        <f>IF($Z11="","",INDEX('CARNET DE SOUDURE'!$K$7:$K$1506,$Z11)&amp;"")</f>
      </c>
      <c r="F11" s="136">
        <f>IF($Z11="","",INDEX('CARNET DE SOUDURE'!$L$7:$L$1506,$Z11)&amp;"")</f>
      </c>
      <c r="G11" s="144">
        <f>IF(E11="","",IFERROR(INDEX(BARDAGE!$F$7:$F$1506,MATCH(E11,BARDAGE!$B$7:$B$1506,0)),""))</f>
      </c>
      <c r="H11" s="136">
        <f>IF($Z11="","",INDEX('CARNET DE SOUDURE'!$M$7:$M$1506,$Z11)&amp;"")</f>
      </c>
      <c r="I11" s="136">
        <f>IF($Z11="","",INDEX('CARNET DE SOUDURE'!$N$7:$N$1506,$Z11)&amp;"")</f>
      </c>
      <c r="J11" s="144">
        <f>IF(H11="","",IFERROR(INDEX(BARDAGE!$F$7:$F$1506,MATCH(H11,BARDAGE!$B$7:$B$1506,0)),""))</f>
      </c>
      <c r="K11" s="136">
        <f>IF($Z11="","",INDEX('CARNET DE SOUDURE'!$G$7:$G$1506,$Z11)&amp;"")</f>
      </c>
      <c r="L11" s="136">
        <f>IF($Z11="","",IF(INDEX('CARNET DE SOUDURE'!$H$7:$H$1506,$Z11)="","",INDEX('CARNET DE SOUDURE'!$H$7:$H$1506,$Z11)))</f>
      </c>
      <c r="M11" s="145">
        <f>IF($Z11="","",IF(INDEX('CARNET DE SOUDURE'!$R$7:$R$1506,$Z11)="","",INDEX('CARNET DE SOUDURE'!$R$7:$R$1506,$Z11)))</f>
      </c>
      <c r="N11" s="136">
        <f>IF($Z11="","",INDEX('CARNET DE SOUDURE'!$J$7:$J$1506,$Z11)&amp;"")</f>
      </c>
      <c r="O11" s="136">
        <f>IF($Z11="","",INDEX('CARNET DE SOUDURE'!$O$7:$O$1506,$Z11)&amp;"")</f>
      </c>
      <c r="P11" s="136">
        <f>IF($Z11="","",INDEX('CARNET DE SOUDURE'!$P$7:$P$1506,$Z11)&amp;"")</f>
      </c>
      <c r="Q11" s="136">
        <f>IF($Z11="","",INDEX('CARNET DE SOUDURE'!$Q$7:$Q$1506,$Z11)&amp;"")</f>
      </c>
      <c r="R11" s="136">
        <f>IF($Z11="","",INDEX('CARNET DE SOUDURE'!$T$7:$T$1506,$Z11)&amp;"")</f>
      </c>
      <c r="S11" s="136">
        <f>IF($Z11="","",IF(INDEX('CARNET DE SOUDURE'!$AG$7:$AG$1506,$Z11)&lt;&gt;"",INDEX('CARNET DE SOUDURE'!$AG$7:$AG$1506,$Z11)&amp;"",IF(INDEX('CARNET DE SOUDURE'!$AB$7:$AB$1506,$Z11)&lt;&gt;"",INDEX('CARNET DE SOUDURE'!$AB$7:$AB$1506,$Z11)&amp;"",INDEX('CARNET DE SOUDURE'!$W$7:$W$1506,$Z11)&amp;"")))</f>
      </c>
      <c r="T11" s="136">
        <f>IF($Z11="","",INDEX('CARNET DE SOUDURE'!$T$7:$T$1506,$Z11)&amp;"")</f>
      </c>
      <c r="U11" s="136">
        <f>IF($Z11="","",INDEX('CARNET DE SOUDURE'!$W$7:$W$1506,$Z11)&amp;"")</f>
      </c>
      <c r="V11" s="136">
        <f>IF($Z11="","",IF(INDEX('CARNET DE SOUDURE'!$AE$7:$AE$1506,$Z11)&lt;&gt;"",INDEX('CARNET DE SOUDURE'!$AE$7:$AE$1506,$Z11)&amp;"",INDEX('CARNET DE SOUDURE'!$Z$7:$Z$1506,$Z11)&amp;""))</f>
      </c>
      <c r="W11" s="136">
        <f>IF($Z11="","",IF(INDEX('CARNET DE SOUDURE'!$AG$7:$AG$1506,$Z11)&lt;&gt;"",INDEX('CARNET DE SOUDURE'!$AG$7:$AG$1506,$Z11)&amp;"",INDEX('CARNET DE SOUDURE'!$AB$7:$AB$1506,$Z11)&amp;""))</f>
      </c>
      <c r="Z11" s="151">
        <f t="array" ref="Z11">IFERROR(SMALL(IF('CARNET DE SOUDURE'!$B$7:$B$1506=$E$5,ROW('CARNET DE SOUDURE'!$B$7:$B$1506)-6),($Z$4-1)*35+4),"")</f>
      </c>
    </row>
    <row r="12" ht="17" customHeight="true">
      <c r="A12" s="136">
        <f>IF($Z12="","",INDEX('CARNET DE SOUDURE'!$C$7:$C$1506,$Z12)&amp;"")</f>
      </c>
      <c r="B12" s="136">
        <f>IF($Z12="","",INDEX('CARNET DE SOUDURE'!$D$7:$D$1506,$Z12)&amp;"")</f>
      </c>
      <c r="C12" s="136">
        <f>IF($Z12="","",INDEX('CARNET DE SOUDURE'!$F$7:$F$1506,$Z12)&amp;"")</f>
      </c>
      <c r="D12" s="136">
        <f>IF($Z12="","",INDEX('CARNET DE SOUDURE'!$E$7:$E$1506,$Z12)&amp;"")</f>
      </c>
      <c r="E12" s="136">
        <f>IF($Z12="","",INDEX('CARNET DE SOUDURE'!$K$7:$K$1506,$Z12)&amp;"")</f>
      </c>
      <c r="F12" s="136">
        <f>IF($Z12="","",INDEX('CARNET DE SOUDURE'!$L$7:$L$1506,$Z12)&amp;"")</f>
      </c>
      <c r="G12" s="144">
        <f>IF(E12="","",IFERROR(INDEX(BARDAGE!$F$7:$F$1506,MATCH(E12,BARDAGE!$B$7:$B$1506,0)),""))</f>
      </c>
      <c r="H12" s="136">
        <f>IF($Z12="","",INDEX('CARNET DE SOUDURE'!$M$7:$M$1506,$Z12)&amp;"")</f>
      </c>
      <c r="I12" s="136">
        <f>IF($Z12="","",INDEX('CARNET DE SOUDURE'!$N$7:$N$1506,$Z12)&amp;"")</f>
      </c>
      <c r="J12" s="144">
        <f>IF(H12="","",IFERROR(INDEX(BARDAGE!$F$7:$F$1506,MATCH(H12,BARDAGE!$B$7:$B$1506,0)),""))</f>
      </c>
      <c r="K12" s="136">
        <f>IF($Z12="","",INDEX('CARNET DE SOUDURE'!$G$7:$G$1506,$Z12)&amp;"")</f>
      </c>
      <c r="L12" s="136">
        <f>IF($Z12="","",IF(INDEX('CARNET DE SOUDURE'!$H$7:$H$1506,$Z12)="","",INDEX('CARNET DE SOUDURE'!$H$7:$H$1506,$Z12)))</f>
      </c>
      <c r="M12" s="145">
        <f>IF($Z12="","",IF(INDEX('CARNET DE SOUDURE'!$R$7:$R$1506,$Z12)="","",INDEX('CARNET DE SOUDURE'!$R$7:$R$1506,$Z12)))</f>
      </c>
      <c r="N12" s="136">
        <f>IF($Z12="","",INDEX('CARNET DE SOUDURE'!$J$7:$J$1506,$Z12)&amp;"")</f>
      </c>
      <c r="O12" s="136">
        <f>IF($Z12="","",INDEX('CARNET DE SOUDURE'!$O$7:$O$1506,$Z12)&amp;"")</f>
      </c>
      <c r="P12" s="136">
        <f>IF($Z12="","",INDEX('CARNET DE SOUDURE'!$P$7:$P$1506,$Z12)&amp;"")</f>
      </c>
      <c r="Q12" s="136">
        <f>IF($Z12="","",INDEX('CARNET DE SOUDURE'!$Q$7:$Q$1506,$Z12)&amp;"")</f>
      </c>
      <c r="R12" s="136">
        <f>IF($Z12="","",INDEX('CARNET DE SOUDURE'!$T$7:$T$1506,$Z12)&amp;"")</f>
      </c>
      <c r="S12" s="136">
        <f>IF($Z12="","",IF(INDEX('CARNET DE SOUDURE'!$AG$7:$AG$1506,$Z12)&lt;&gt;"",INDEX('CARNET DE SOUDURE'!$AG$7:$AG$1506,$Z12)&amp;"",IF(INDEX('CARNET DE SOUDURE'!$AB$7:$AB$1506,$Z12)&lt;&gt;"",INDEX('CARNET DE SOUDURE'!$AB$7:$AB$1506,$Z12)&amp;"",INDEX('CARNET DE SOUDURE'!$W$7:$W$1506,$Z12)&amp;"")))</f>
      </c>
      <c r="T12" s="136">
        <f>IF($Z12="","",INDEX('CARNET DE SOUDURE'!$T$7:$T$1506,$Z12)&amp;"")</f>
      </c>
      <c r="U12" s="136">
        <f>IF($Z12="","",INDEX('CARNET DE SOUDURE'!$W$7:$W$1506,$Z12)&amp;"")</f>
      </c>
      <c r="V12" s="136">
        <f>IF($Z12="","",IF(INDEX('CARNET DE SOUDURE'!$AE$7:$AE$1506,$Z12)&lt;&gt;"",INDEX('CARNET DE SOUDURE'!$AE$7:$AE$1506,$Z12)&amp;"",INDEX('CARNET DE SOUDURE'!$Z$7:$Z$1506,$Z12)&amp;""))</f>
      </c>
      <c r="W12" s="136">
        <f>IF($Z12="","",IF(INDEX('CARNET DE SOUDURE'!$AG$7:$AG$1506,$Z12)&lt;&gt;"",INDEX('CARNET DE SOUDURE'!$AG$7:$AG$1506,$Z12)&amp;"",INDEX('CARNET DE SOUDURE'!$AB$7:$AB$1506,$Z12)&amp;""))</f>
      </c>
      <c r="Z12" s="151">
        <f t="array" ref="Z12">IFERROR(SMALL(IF('CARNET DE SOUDURE'!$B$7:$B$1506=$E$5,ROW('CARNET DE SOUDURE'!$B$7:$B$1506)-6),($Z$4-1)*35+5),"")</f>
      </c>
    </row>
    <row r="13" ht="17" customHeight="true">
      <c r="A13" s="136">
        <f>IF($Z13="","",INDEX('CARNET DE SOUDURE'!$C$7:$C$1506,$Z13)&amp;"")</f>
      </c>
      <c r="B13" s="136">
        <f>IF($Z13="","",INDEX('CARNET DE SOUDURE'!$D$7:$D$1506,$Z13)&amp;"")</f>
      </c>
      <c r="C13" s="136">
        <f>IF($Z13="","",INDEX('CARNET DE SOUDURE'!$F$7:$F$1506,$Z13)&amp;"")</f>
      </c>
      <c r="D13" s="136">
        <f>IF($Z13="","",INDEX('CARNET DE SOUDURE'!$E$7:$E$1506,$Z13)&amp;"")</f>
      </c>
      <c r="E13" s="136">
        <f>IF($Z13="","",INDEX('CARNET DE SOUDURE'!$K$7:$K$1506,$Z13)&amp;"")</f>
      </c>
      <c r="F13" s="136">
        <f>IF($Z13="","",INDEX('CARNET DE SOUDURE'!$L$7:$L$1506,$Z13)&amp;"")</f>
      </c>
      <c r="G13" s="144">
        <f>IF(E13="","",IFERROR(INDEX(BARDAGE!$F$7:$F$1506,MATCH(E13,BARDAGE!$B$7:$B$1506,0)),""))</f>
      </c>
      <c r="H13" s="136">
        <f>IF($Z13="","",INDEX('CARNET DE SOUDURE'!$M$7:$M$1506,$Z13)&amp;"")</f>
      </c>
      <c r="I13" s="136">
        <f>IF($Z13="","",INDEX('CARNET DE SOUDURE'!$N$7:$N$1506,$Z13)&amp;"")</f>
      </c>
      <c r="J13" s="144">
        <f>IF(H13="","",IFERROR(INDEX(BARDAGE!$F$7:$F$1506,MATCH(H13,BARDAGE!$B$7:$B$1506,0)),""))</f>
      </c>
      <c r="K13" s="136">
        <f>IF($Z13="","",INDEX('CARNET DE SOUDURE'!$G$7:$G$1506,$Z13)&amp;"")</f>
      </c>
      <c r="L13" s="136">
        <f>IF($Z13="","",IF(INDEX('CARNET DE SOUDURE'!$H$7:$H$1506,$Z13)="","",INDEX('CARNET DE SOUDURE'!$H$7:$H$1506,$Z13)))</f>
      </c>
      <c r="M13" s="145">
        <f>IF($Z13="","",IF(INDEX('CARNET DE SOUDURE'!$R$7:$R$1506,$Z13)="","",INDEX('CARNET DE SOUDURE'!$R$7:$R$1506,$Z13)))</f>
      </c>
      <c r="N13" s="136">
        <f>IF($Z13="","",INDEX('CARNET DE SOUDURE'!$J$7:$J$1506,$Z13)&amp;"")</f>
      </c>
      <c r="O13" s="136">
        <f>IF($Z13="","",INDEX('CARNET DE SOUDURE'!$O$7:$O$1506,$Z13)&amp;"")</f>
      </c>
      <c r="P13" s="136">
        <f>IF($Z13="","",INDEX('CARNET DE SOUDURE'!$P$7:$P$1506,$Z13)&amp;"")</f>
      </c>
      <c r="Q13" s="136">
        <f>IF($Z13="","",INDEX('CARNET DE SOUDURE'!$Q$7:$Q$1506,$Z13)&amp;"")</f>
      </c>
      <c r="R13" s="136">
        <f>IF($Z13="","",INDEX('CARNET DE SOUDURE'!$T$7:$T$1506,$Z13)&amp;"")</f>
      </c>
      <c r="S13" s="136">
        <f>IF($Z13="","",IF(INDEX('CARNET DE SOUDURE'!$AG$7:$AG$1506,$Z13)&lt;&gt;"",INDEX('CARNET DE SOUDURE'!$AG$7:$AG$1506,$Z13)&amp;"",IF(INDEX('CARNET DE SOUDURE'!$AB$7:$AB$1506,$Z13)&lt;&gt;"",INDEX('CARNET DE SOUDURE'!$AB$7:$AB$1506,$Z13)&amp;"",INDEX('CARNET DE SOUDURE'!$W$7:$W$1506,$Z13)&amp;"")))</f>
      </c>
      <c r="T13" s="136">
        <f>IF($Z13="","",INDEX('CARNET DE SOUDURE'!$T$7:$T$1506,$Z13)&amp;"")</f>
      </c>
      <c r="U13" s="136">
        <f>IF($Z13="","",INDEX('CARNET DE SOUDURE'!$W$7:$W$1506,$Z13)&amp;"")</f>
      </c>
      <c r="V13" s="136">
        <f>IF($Z13="","",IF(INDEX('CARNET DE SOUDURE'!$AE$7:$AE$1506,$Z13)&lt;&gt;"",INDEX('CARNET DE SOUDURE'!$AE$7:$AE$1506,$Z13)&amp;"",INDEX('CARNET DE SOUDURE'!$Z$7:$Z$1506,$Z13)&amp;""))</f>
      </c>
      <c r="W13" s="136">
        <f>IF($Z13="","",IF(INDEX('CARNET DE SOUDURE'!$AG$7:$AG$1506,$Z13)&lt;&gt;"",INDEX('CARNET DE SOUDURE'!$AG$7:$AG$1506,$Z13)&amp;"",INDEX('CARNET DE SOUDURE'!$AB$7:$AB$1506,$Z13)&amp;""))</f>
      </c>
      <c r="Z13" s="151">
        <f t="array" ref="Z13">IFERROR(SMALL(IF('CARNET DE SOUDURE'!$B$7:$B$1506=$E$5,ROW('CARNET DE SOUDURE'!$B$7:$B$1506)-6),($Z$4-1)*35+6),"")</f>
      </c>
    </row>
    <row r="14" ht="17" customHeight="true">
      <c r="A14" s="136">
        <f>IF($Z14="","",INDEX('CARNET DE SOUDURE'!$C$7:$C$1506,$Z14)&amp;"")</f>
      </c>
      <c r="B14" s="136">
        <f>IF($Z14="","",INDEX('CARNET DE SOUDURE'!$D$7:$D$1506,$Z14)&amp;"")</f>
      </c>
      <c r="C14" s="136">
        <f>IF($Z14="","",INDEX('CARNET DE SOUDURE'!$F$7:$F$1506,$Z14)&amp;"")</f>
      </c>
      <c r="D14" s="136">
        <f>IF($Z14="","",INDEX('CARNET DE SOUDURE'!$E$7:$E$1506,$Z14)&amp;"")</f>
      </c>
      <c r="E14" s="136">
        <f>IF($Z14="","",INDEX('CARNET DE SOUDURE'!$K$7:$K$1506,$Z14)&amp;"")</f>
      </c>
      <c r="F14" s="136">
        <f>IF($Z14="","",INDEX('CARNET DE SOUDURE'!$L$7:$L$1506,$Z14)&amp;"")</f>
      </c>
      <c r="G14" s="144">
        <f>IF(E14="","",IFERROR(INDEX(BARDAGE!$F$7:$F$1506,MATCH(E14,BARDAGE!$B$7:$B$1506,0)),""))</f>
      </c>
      <c r="H14" s="136">
        <f>IF($Z14="","",INDEX('CARNET DE SOUDURE'!$M$7:$M$1506,$Z14)&amp;"")</f>
      </c>
      <c r="I14" s="136">
        <f>IF($Z14="","",INDEX('CARNET DE SOUDURE'!$N$7:$N$1506,$Z14)&amp;"")</f>
      </c>
      <c r="J14" s="144">
        <f>IF(H14="","",IFERROR(INDEX(BARDAGE!$F$7:$F$1506,MATCH(H14,BARDAGE!$B$7:$B$1506,0)),""))</f>
      </c>
      <c r="K14" s="136">
        <f>IF($Z14="","",INDEX('CARNET DE SOUDURE'!$G$7:$G$1506,$Z14)&amp;"")</f>
      </c>
      <c r="L14" s="136">
        <f>IF($Z14="","",IF(INDEX('CARNET DE SOUDURE'!$H$7:$H$1506,$Z14)="","",INDEX('CARNET DE SOUDURE'!$H$7:$H$1506,$Z14)))</f>
      </c>
      <c r="M14" s="145">
        <f>IF($Z14="","",IF(INDEX('CARNET DE SOUDURE'!$R$7:$R$1506,$Z14)="","",INDEX('CARNET DE SOUDURE'!$R$7:$R$1506,$Z14)))</f>
      </c>
      <c r="N14" s="136">
        <f>IF($Z14="","",INDEX('CARNET DE SOUDURE'!$J$7:$J$1506,$Z14)&amp;"")</f>
      </c>
      <c r="O14" s="136">
        <f>IF($Z14="","",INDEX('CARNET DE SOUDURE'!$O$7:$O$1506,$Z14)&amp;"")</f>
      </c>
      <c r="P14" s="136">
        <f>IF($Z14="","",INDEX('CARNET DE SOUDURE'!$P$7:$P$1506,$Z14)&amp;"")</f>
      </c>
      <c r="Q14" s="136">
        <f>IF($Z14="","",INDEX('CARNET DE SOUDURE'!$Q$7:$Q$1506,$Z14)&amp;"")</f>
      </c>
      <c r="R14" s="136">
        <f>IF($Z14="","",INDEX('CARNET DE SOUDURE'!$T$7:$T$1506,$Z14)&amp;"")</f>
      </c>
      <c r="S14" s="136">
        <f>IF($Z14="","",IF(INDEX('CARNET DE SOUDURE'!$AG$7:$AG$1506,$Z14)&lt;&gt;"",INDEX('CARNET DE SOUDURE'!$AG$7:$AG$1506,$Z14)&amp;"",IF(INDEX('CARNET DE SOUDURE'!$AB$7:$AB$1506,$Z14)&lt;&gt;"",INDEX('CARNET DE SOUDURE'!$AB$7:$AB$1506,$Z14)&amp;"",INDEX('CARNET DE SOUDURE'!$W$7:$W$1506,$Z14)&amp;"")))</f>
      </c>
      <c r="T14" s="136">
        <f>IF($Z14="","",INDEX('CARNET DE SOUDURE'!$T$7:$T$1506,$Z14)&amp;"")</f>
      </c>
      <c r="U14" s="136">
        <f>IF($Z14="","",INDEX('CARNET DE SOUDURE'!$W$7:$W$1506,$Z14)&amp;"")</f>
      </c>
      <c r="V14" s="136">
        <f>IF($Z14="","",IF(INDEX('CARNET DE SOUDURE'!$AE$7:$AE$1506,$Z14)&lt;&gt;"",INDEX('CARNET DE SOUDURE'!$AE$7:$AE$1506,$Z14)&amp;"",INDEX('CARNET DE SOUDURE'!$Z$7:$Z$1506,$Z14)&amp;""))</f>
      </c>
      <c r="W14" s="136">
        <f>IF($Z14="","",IF(INDEX('CARNET DE SOUDURE'!$AG$7:$AG$1506,$Z14)&lt;&gt;"",INDEX('CARNET DE SOUDURE'!$AG$7:$AG$1506,$Z14)&amp;"",INDEX('CARNET DE SOUDURE'!$AB$7:$AB$1506,$Z14)&amp;""))</f>
      </c>
      <c r="Z14" s="151">
        <f t="array" ref="Z14">IFERROR(SMALL(IF('CARNET DE SOUDURE'!$B$7:$B$1506=$E$5,ROW('CARNET DE SOUDURE'!$B$7:$B$1506)-6),($Z$4-1)*35+7),"")</f>
      </c>
    </row>
    <row r="15" ht="17" customHeight="true">
      <c r="A15" s="136">
        <f>IF($Z15="","",INDEX('CARNET DE SOUDURE'!$C$7:$C$1506,$Z15)&amp;"")</f>
      </c>
      <c r="B15" s="136">
        <f>IF($Z15="","",INDEX('CARNET DE SOUDURE'!$D$7:$D$1506,$Z15)&amp;"")</f>
      </c>
      <c r="C15" s="136">
        <f>IF($Z15="","",INDEX('CARNET DE SOUDURE'!$F$7:$F$1506,$Z15)&amp;"")</f>
      </c>
      <c r="D15" s="136">
        <f>IF($Z15="","",INDEX('CARNET DE SOUDURE'!$E$7:$E$1506,$Z15)&amp;"")</f>
      </c>
      <c r="E15" s="136">
        <f>IF($Z15="","",INDEX('CARNET DE SOUDURE'!$K$7:$K$1506,$Z15)&amp;"")</f>
      </c>
      <c r="F15" s="136">
        <f>IF($Z15="","",INDEX('CARNET DE SOUDURE'!$L$7:$L$1506,$Z15)&amp;"")</f>
      </c>
      <c r="G15" s="144">
        <f>IF(E15="","",IFERROR(INDEX(BARDAGE!$F$7:$F$1506,MATCH(E15,BARDAGE!$B$7:$B$1506,0)),""))</f>
      </c>
      <c r="H15" s="136">
        <f>IF($Z15="","",INDEX('CARNET DE SOUDURE'!$M$7:$M$1506,$Z15)&amp;"")</f>
      </c>
      <c r="I15" s="136">
        <f>IF($Z15="","",INDEX('CARNET DE SOUDURE'!$N$7:$N$1506,$Z15)&amp;"")</f>
      </c>
      <c r="J15" s="144">
        <f>IF(H15="","",IFERROR(INDEX(BARDAGE!$F$7:$F$1506,MATCH(H15,BARDAGE!$B$7:$B$1506,0)),""))</f>
      </c>
      <c r="K15" s="136">
        <f>IF($Z15="","",INDEX('CARNET DE SOUDURE'!$G$7:$G$1506,$Z15)&amp;"")</f>
      </c>
      <c r="L15" s="136">
        <f>IF($Z15="","",IF(INDEX('CARNET DE SOUDURE'!$H$7:$H$1506,$Z15)="","",INDEX('CARNET DE SOUDURE'!$H$7:$H$1506,$Z15)))</f>
      </c>
      <c r="M15" s="145">
        <f>IF($Z15="","",IF(INDEX('CARNET DE SOUDURE'!$R$7:$R$1506,$Z15)="","",INDEX('CARNET DE SOUDURE'!$R$7:$R$1506,$Z15)))</f>
      </c>
      <c r="N15" s="136">
        <f>IF($Z15="","",INDEX('CARNET DE SOUDURE'!$J$7:$J$1506,$Z15)&amp;"")</f>
      </c>
      <c r="O15" s="136">
        <f>IF($Z15="","",INDEX('CARNET DE SOUDURE'!$O$7:$O$1506,$Z15)&amp;"")</f>
      </c>
      <c r="P15" s="136">
        <f>IF($Z15="","",INDEX('CARNET DE SOUDURE'!$P$7:$P$1506,$Z15)&amp;"")</f>
      </c>
      <c r="Q15" s="136">
        <f>IF($Z15="","",INDEX('CARNET DE SOUDURE'!$Q$7:$Q$1506,$Z15)&amp;"")</f>
      </c>
      <c r="R15" s="136">
        <f>IF($Z15="","",INDEX('CARNET DE SOUDURE'!$T$7:$T$1506,$Z15)&amp;"")</f>
      </c>
      <c r="S15" s="136">
        <f>IF($Z15="","",IF(INDEX('CARNET DE SOUDURE'!$AG$7:$AG$1506,$Z15)&lt;&gt;"",INDEX('CARNET DE SOUDURE'!$AG$7:$AG$1506,$Z15)&amp;"",IF(INDEX('CARNET DE SOUDURE'!$AB$7:$AB$1506,$Z15)&lt;&gt;"",INDEX('CARNET DE SOUDURE'!$AB$7:$AB$1506,$Z15)&amp;"",INDEX('CARNET DE SOUDURE'!$W$7:$W$1506,$Z15)&amp;"")))</f>
      </c>
      <c r="T15" s="136">
        <f>IF($Z15="","",INDEX('CARNET DE SOUDURE'!$T$7:$T$1506,$Z15)&amp;"")</f>
      </c>
      <c r="U15" s="136">
        <f>IF($Z15="","",INDEX('CARNET DE SOUDURE'!$W$7:$W$1506,$Z15)&amp;"")</f>
      </c>
      <c r="V15" s="136">
        <f>IF($Z15="","",IF(INDEX('CARNET DE SOUDURE'!$AE$7:$AE$1506,$Z15)&lt;&gt;"",INDEX('CARNET DE SOUDURE'!$AE$7:$AE$1506,$Z15)&amp;"",INDEX('CARNET DE SOUDURE'!$Z$7:$Z$1506,$Z15)&amp;""))</f>
      </c>
      <c r="W15" s="136">
        <f>IF($Z15="","",IF(INDEX('CARNET DE SOUDURE'!$AG$7:$AG$1506,$Z15)&lt;&gt;"",INDEX('CARNET DE SOUDURE'!$AG$7:$AG$1506,$Z15)&amp;"",INDEX('CARNET DE SOUDURE'!$AB$7:$AB$1506,$Z15)&amp;""))</f>
      </c>
      <c r="Z15" s="151">
        <f t="array" ref="Z15">IFERROR(SMALL(IF('CARNET DE SOUDURE'!$B$7:$B$1506=$E$5,ROW('CARNET DE SOUDURE'!$B$7:$B$1506)-6),($Z$4-1)*35+8),"")</f>
      </c>
    </row>
    <row r="16" ht="17" customHeight="true">
      <c r="A16" s="136">
        <f>IF($Z16="","",INDEX('CARNET DE SOUDURE'!$C$7:$C$1506,$Z16)&amp;"")</f>
      </c>
      <c r="B16" s="136">
        <f>IF($Z16="","",INDEX('CARNET DE SOUDURE'!$D$7:$D$1506,$Z16)&amp;"")</f>
      </c>
      <c r="C16" s="136">
        <f>IF($Z16="","",INDEX('CARNET DE SOUDURE'!$F$7:$F$1506,$Z16)&amp;"")</f>
      </c>
      <c r="D16" s="136">
        <f>IF($Z16="","",INDEX('CARNET DE SOUDURE'!$E$7:$E$1506,$Z16)&amp;"")</f>
      </c>
      <c r="E16" s="136">
        <f>IF($Z16="","",INDEX('CARNET DE SOUDURE'!$K$7:$K$1506,$Z16)&amp;"")</f>
      </c>
      <c r="F16" s="136">
        <f>IF($Z16="","",INDEX('CARNET DE SOUDURE'!$L$7:$L$1506,$Z16)&amp;"")</f>
      </c>
      <c r="G16" s="144">
        <f>IF(E16="","",IFERROR(INDEX(BARDAGE!$F$7:$F$1506,MATCH(E16,BARDAGE!$B$7:$B$1506,0)),""))</f>
      </c>
      <c r="H16" s="136">
        <f>IF($Z16="","",INDEX('CARNET DE SOUDURE'!$M$7:$M$1506,$Z16)&amp;"")</f>
      </c>
      <c r="I16" s="136">
        <f>IF($Z16="","",INDEX('CARNET DE SOUDURE'!$N$7:$N$1506,$Z16)&amp;"")</f>
      </c>
      <c r="J16" s="144">
        <f>IF(H16="","",IFERROR(INDEX(BARDAGE!$F$7:$F$1506,MATCH(H16,BARDAGE!$B$7:$B$1506,0)),""))</f>
      </c>
      <c r="K16" s="136">
        <f>IF($Z16="","",INDEX('CARNET DE SOUDURE'!$G$7:$G$1506,$Z16)&amp;"")</f>
      </c>
      <c r="L16" s="136">
        <f>IF($Z16="","",IF(INDEX('CARNET DE SOUDURE'!$H$7:$H$1506,$Z16)="","",INDEX('CARNET DE SOUDURE'!$H$7:$H$1506,$Z16)))</f>
      </c>
      <c r="M16" s="145">
        <f>IF($Z16="","",IF(INDEX('CARNET DE SOUDURE'!$R$7:$R$1506,$Z16)="","",INDEX('CARNET DE SOUDURE'!$R$7:$R$1506,$Z16)))</f>
      </c>
      <c r="N16" s="136">
        <f>IF($Z16="","",INDEX('CARNET DE SOUDURE'!$J$7:$J$1506,$Z16)&amp;"")</f>
      </c>
      <c r="O16" s="136">
        <f>IF($Z16="","",INDEX('CARNET DE SOUDURE'!$O$7:$O$1506,$Z16)&amp;"")</f>
      </c>
      <c r="P16" s="136">
        <f>IF($Z16="","",INDEX('CARNET DE SOUDURE'!$P$7:$P$1506,$Z16)&amp;"")</f>
      </c>
      <c r="Q16" s="136">
        <f>IF($Z16="","",INDEX('CARNET DE SOUDURE'!$Q$7:$Q$1506,$Z16)&amp;"")</f>
      </c>
      <c r="R16" s="136">
        <f>IF($Z16="","",INDEX('CARNET DE SOUDURE'!$T$7:$T$1506,$Z16)&amp;"")</f>
      </c>
      <c r="S16" s="136">
        <f>IF($Z16="","",IF(INDEX('CARNET DE SOUDURE'!$AG$7:$AG$1506,$Z16)&lt;&gt;"",INDEX('CARNET DE SOUDURE'!$AG$7:$AG$1506,$Z16)&amp;"",IF(INDEX('CARNET DE SOUDURE'!$AB$7:$AB$1506,$Z16)&lt;&gt;"",INDEX('CARNET DE SOUDURE'!$AB$7:$AB$1506,$Z16)&amp;"",INDEX('CARNET DE SOUDURE'!$W$7:$W$1506,$Z16)&amp;"")))</f>
      </c>
      <c r="T16" s="136">
        <f>IF($Z16="","",INDEX('CARNET DE SOUDURE'!$T$7:$T$1506,$Z16)&amp;"")</f>
      </c>
      <c r="U16" s="136">
        <f>IF($Z16="","",INDEX('CARNET DE SOUDURE'!$W$7:$W$1506,$Z16)&amp;"")</f>
      </c>
      <c r="V16" s="136">
        <f>IF($Z16="","",IF(INDEX('CARNET DE SOUDURE'!$AE$7:$AE$1506,$Z16)&lt;&gt;"",INDEX('CARNET DE SOUDURE'!$AE$7:$AE$1506,$Z16)&amp;"",INDEX('CARNET DE SOUDURE'!$Z$7:$Z$1506,$Z16)&amp;""))</f>
      </c>
      <c r="W16" s="136">
        <f>IF($Z16="","",IF(INDEX('CARNET DE SOUDURE'!$AG$7:$AG$1506,$Z16)&lt;&gt;"",INDEX('CARNET DE SOUDURE'!$AG$7:$AG$1506,$Z16)&amp;"",INDEX('CARNET DE SOUDURE'!$AB$7:$AB$1506,$Z16)&amp;""))</f>
      </c>
      <c r="Z16" s="151">
        <f t="array" ref="Z16">IFERROR(SMALL(IF('CARNET DE SOUDURE'!$B$7:$B$1506=$E$5,ROW('CARNET DE SOUDURE'!$B$7:$B$1506)-6),($Z$4-1)*35+9),"")</f>
      </c>
    </row>
    <row r="17" ht="17" customHeight="true">
      <c r="A17" s="136">
        <f>IF($Z17="","",INDEX('CARNET DE SOUDURE'!$C$7:$C$1506,$Z17)&amp;"")</f>
      </c>
      <c r="B17" s="136">
        <f>IF($Z17="","",INDEX('CARNET DE SOUDURE'!$D$7:$D$1506,$Z17)&amp;"")</f>
      </c>
      <c r="C17" s="136">
        <f>IF($Z17="","",INDEX('CARNET DE SOUDURE'!$F$7:$F$1506,$Z17)&amp;"")</f>
      </c>
      <c r="D17" s="136">
        <f>IF($Z17="","",INDEX('CARNET DE SOUDURE'!$E$7:$E$1506,$Z17)&amp;"")</f>
      </c>
      <c r="E17" s="136">
        <f>IF($Z17="","",INDEX('CARNET DE SOUDURE'!$K$7:$K$1506,$Z17)&amp;"")</f>
      </c>
      <c r="F17" s="136">
        <f>IF($Z17="","",INDEX('CARNET DE SOUDURE'!$L$7:$L$1506,$Z17)&amp;"")</f>
      </c>
      <c r="G17" s="144">
        <f>IF(E17="","",IFERROR(INDEX(BARDAGE!$F$7:$F$1506,MATCH(E17,BARDAGE!$B$7:$B$1506,0)),""))</f>
      </c>
      <c r="H17" s="136">
        <f>IF($Z17="","",INDEX('CARNET DE SOUDURE'!$M$7:$M$1506,$Z17)&amp;"")</f>
      </c>
      <c r="I17" s="136">
        <f>IF($Z17="","",INDEX('CARNET DE SOUDURE'!$N$7:$N$1506,$Z17)&amp;"")</f>
      </c>
      <c r="J17" s="144">
        <f>IF(H17="","",IFERROR(INDEX(BARDAGE!$F$7:$F$1506,MATCH(H17,BARDAGE!$B$7:$B$1506,0)),""))</f>
      </c>
      <c r="K17" s="136">
        <f>IF($Z17="","",INDEX('CARNET DE SOUDURE'!$G$7:$G$1506,$Z17)&amp;"")</f>
      </c>
      <c r="L17" s="136">
        <f>IF($Z17="","",IF(INDEX('CARNET DE SOUDURE'!$H$7:$H$1506,$Z17)="","",INDEX('CARNET DE SOUDURE'!$H$7:$H$1506,$Z17)))</f>
      </c>
      <c r="M17" s="145">
        <f>IF($Z17="","",IF(INDEX('CARNET DE SOUDURE'!$R$7:$R$1506,$Z17)="","",INDEX('CARNET DE SOUDURE'!$R$7:$R$1506,$Z17)))</f>
      </c>
      <c r="N17" s="136">
        <f>IF($Z17="","",INDEX('CARNET DE SOUDURE'!$J$7:$J$1506,$Z17)&amp;"")</f>
      </c>
      <c r="O17" s="136">
        <f>IF($Z17="","",INDEX('CARNET DE SOUDURE'!$O$7:$O$1506,$Z17)&amp;"")</f>
      </c>
      <c r="P17" s="136">
        <f>IF($Z17="","",INDEX('CARNET DE SOUDURE'!$P$7:$P$1506,$Z17)&amp;"")</f>
      </c>
      <c r="Q17" s="136">
        <f>IF($Z17="","",INDEX('CARNET DE SOUDURE'!$Q$7:$Q$1506,$Z17)&amp;"")</f>
      </c>
      <c r="R17" s="136">
        <f>IF($Z17="","",INDEX('CARNET DE SOUDURE'!$T$7:$T$1506,$Z17)&amp;"")</f>
      </c>
      <c r="S17" s="136">
        <f>IF($Z17="","",IF(INDEX('CARNET DE SOUDURE'!$AG$7:$AG$1506,$Z17)&lt;&gt;"",INDEX('CARNET DE SOUDURE'!$AG$7:$AG$1506,$Z17)&amp;"",IF(INDEX('CARNET DE SOUDURE'!$AB$7:$AB$1506,$Z17)&lt;&gt;"",INDEX('CARNET DE SOUDURE'!$AB$7:$AB$1506,$Z17)&amp;"",INDEX('CARNET DE SOUDURE'!$W$7:$W$1506,$Z17)&amp;"")))</f>
      </c>
      <c r="T17" s="136">
        <f>IF($Z17="","",INDEX('CARNET DE SOUDURE'!$T$7:$T$1506,$Z17)&amp;"")</f>
      </c>
      <c r="U17" s="136">
        <f>IF($Z17="","",INDEX('CARNET DE SOUDURE'!$W$7:$W$1506,$Z17)&amp;"")</f>
      </c>
      <c r="V17" s="136">
        <f>IF($Z17="","",IF(INDEX('CARNET DE SOUDURE'!$AE$7:$AE$1506,$Z17)&lt;&gt;"",INDEX('CARNET DE SOUDURE'!$AE$7:$AE$1506,$Z17)&amp;"",INDEX('CARNET DE SOUDURE'!$Z$7:$Z$1506,$Z17)&amp;""))</f>
      </c>
      <c r="W17" s="136">
        <f>IF($Z17="","",IF(INDEX('CARNET DE SOUDURE'!$AG$7:$AG$1506,$Z17)&lt;&gt;"",INDEX('CARNET DE SOUDURE'!$AG$7:$AG$1506,$Z17)&amp;"",INDEX('CARNET DE SOUDURE'!$AB$7:$AB$1506,$Z17)&amp;""))</f>
      </c>
      <c r="Z17" s="151">
        <f t="array" ref="Z17">IFERROR(SMALL(IF('CARNET DE SOUDURE'!$B$7:$B$1506=$E$5,ROW('CARNET DE SOUDURE'!$B$7:$B$1506)-6),($Z$4-1)*35+10),"")</f>
      </c>
    </row>
    <row r="18" ht="17" customHeight="true">
      <c r="A18" s="136">
        <f>IF($Z18="","",INDEX('CARNET DE SOUDURE'!$C$7:$C$1506,$Z18)&amp;"")</f>
      </c>
      <c r="B18" s="136">
        <f>IF($Z18="","",INDEX('CARNET DE SOUDURE'!$D$7:$D$1506,$Z18)&amp;"")</f>
      </c>
      <c r="C18" s="136">
        <f>IF($Z18="","",INDEX('CARNET DE SOUDURE'!$F$7:$F$1506,$Z18)&amp;"")</f>
      </c>
      <c r="D18" s="136">
        <f>IF($Z18="","",INDEX('CARNET DE SOUDURE'!$E$7:$E$1506,$Z18)&amp;"")</f>
      </c>
      <c r="E18" s="136">
        <f>IF($Z18="","",INDEX('CARNET DE SOUDURE'!$K$7:$K$1506,$Z18)&amp;"")</f>
      </c>
      <c r="F18" s="136">
        <f>IF($Z18="","",INDEX('CARNET DE SOUDURE'!$L$7:$L$1506,$Z18)&amp;"")</f>
      </c>
      <c r="G18" s="144">
        <f>IF(E18="","",IFERROR(INDEX(BARDAGE!$F$7:$F$1506,MATCH(E18,BARDAGE!$B$7:$B$1506,0)),""))</f>
      </c>
      <c r="H18" s="136">
        <f>IF($Z18="","",INDEX('CARNET DE SOUDURE'!$M$7:$M$1506,$Z18)&amp;"")</f>
      </c>
      <c r="I18" s="136">
        <f>IF($Z18="","",INDEX('CARNET DE SOUDURE'!$N$7:$N$1506,$Z18)&amp;"")</f>
      </c>
      <c r="J18" s="144">
        <f>IF(H18="","",IFERROR(INDEX(BARDAGE!$F$7:$F$1506,MATCH(H18,BARDAGE!$B$7:$B$1506,0)),""))</f>
      </c>
      <c r="K18" s="136">
        <f>IF($Z18="","",INDEX('CARNET DE SOUDURE'!$G$7:$G$1506,$Z18)&amp;"")</f>
      </c>
      <c r="L18" s="136">
        <f>IF($Z18="","",IF(INDEX('CARNET DE SOUDURE'!$H$7:$H$1506,$Z18)="","",INDEX('CARNET DE SOUDURE'!$H$7:$H$1506,$Z18)))</f>
      </c>
      <c r="M18" s="145">
        <f>IF($Z18="","",IF(INDEX('CARNET DE SOUDURE'!$R$7:$R$1506,$Z18)="","",INDEX('CARNET DE SOUDURE'!$R$7:$R$1506,$Z18)))</f>
      </c>
      <c r="N18" s="136">
        <f>IF($Z18="","",INDEX('CARNET DE SOUDURE'!$J$7:$J$1506,$Z18)&amp;"")</f>
      </c>
      <c r="O18" s="136">
        <f>IF($Z18="","",INDEX('CARNET DE SOUDURE'!$O$7:$O$1506,$Z18)&amp;"")</f>
      </c>
      <c r="P18" s="136">
        <f>IF($Z18="","",INDEX('CARNET DE SOUDURE'!$P$7:$P$1506,$Z18)&amp;"")</f>
      </c>
      <c r="Q18" s="136">
        <f>IF($Z18="","",INDEX('CARNET DE SOUDURE'!$Q$7:$Q$1506,$Z18)&amp;"")</f>
      </c>
      <c r="R18" s="136">
        <f>IF($Z18="","",INDEX('CARNET DE SOUDURE'!$T$7:$T$1506,$Z18)&amp;"")</f>
      </c>
      <c r="S18" s="136">
        <f>IF($Z18="","",IF(INDEX('CARNET DE SOUDURE'!$AG$7:$AG$1506,$Z18)&lt;&gt;"",INDEX('CARNET DE SOUDURE'!$AG$7:$AG$1506,$Z18)&amp;"",IF(INDEX('CARNET DE SOUDURE'!$AB$7:$AB$1506,$Z18)&lt;&gt;"",INDEX('CARNET DE SOUDURE'!$AB$7:$AB$1506,$Z18)&amp;"",INDEX('CARNET DE SOUDURE'!$W$7:$W$1506,$Z18)&amp;"")))</f>
      </c>
      <c r="T18" s="136">
        <f>IF($Z18="","",INDEX('CARNET DE SOUDURE'!$T$7:$T$1506,$Z18)&amp;"")</f>
      </c>
      <c r="U18" s="136">
        <f>IF($Z18="","",INDEX('CARNET DE SOUDURE'!$W$7:$W$1506,$Z18)&amp;"")</f>
      </c>
      <c r="V18" s="136">
        <f>IF($Z18="","",IF(INDEX('CARNET DE SOUDURE'!$AE$7:$AE$1506,$Z18)&lt;&gt;"",INDEX('CARNET DE SOUDURE'!$AE$7:$AE$1506,$Z18)&amp;"",INDEX('CARNET DE SOUDURE'!$Z$7:$Z$1506,$Z18)&amp;""))</f>
      </c>
      <c r="W18" s="136">
        <f>IF($Z18="","",IF(INDEX('CARNET DE SOUDURE'!$AG$7:$AG$1506,$Z18)&lt;&gt;"",INDEX('CARNET DE SOUDURE'!$AG$7:$AG$1506,$Z18)&amp;"",INDEX('CARNET DE SOUDURE'!$AB$7:$AB$1506,$Z18)&amp;""))</f>
      </c>
      <c r="Z18" s="151">
        <f t="array" ref="Z18">IFERROR(SMALL(IF('CARNET DE SOUDURE'!$B$7:$B$1506=$E$5,ROW('CARNET DE SOUDURE'!$B$7:$B$1506)-6),($Z$4-1)*35+11),"")</f>
      </c>
    </row>
    <row r="19" ht="17" customHeight="true">
      <c r="A19" s="136">
        <f>IF($Z19="","",INDEX('CARNET DE SOUDURE'!$C$7:$C$1506,$Z19)&amp;"")</f>
      </c>
      <c r="B19" s="136">
        <f>IF($Z19="","",INDEX('CARNET DE SOUDURE'!$D$7:$D$1506,$Z19)&amp;"")</f>
      </c>
      <c r="C19" s="136">
        <f>IF($Z19="","",INDEX('CARNET DE SOUDURE'!$F$7:$F$1506,$Z19)&amp;"")</f>
      </c>
      <c r="D19" s="136">
        <f>IF($Z19="","",INDEX('CARNET DE SOUDURE'!$E$7:$E$1506,$Z19)&amp;"")</f>
      </c>
      <c r="E19" s="136">
        <f>IF($Z19="","",INDEX('CARNET DE SOUDURE'!$K$7:$K$1506,$Z19)&amp;"")</f>
      </c>
      <c r="F19" s="136">
        <f>IF($Z19="","",INDEX('CARNET DE SOUDURE'!$L$7:$L$1506,$Z19)&amp;"")</f>
      </c>
      <c r="G19" s="144">
        <f>IF(E19="","",IFERROR(INDEX(BARDAGE!$F$7:$F$1506,MATCH(E19,BARDAGE!$B$7:$B$1506,0)),""))</f>
      </c>
      <c r="H19" s="136">
        <f>IF($Z19="","",INDEX('CARNET DE SOUDURE'!$M$7:$M$1506,$Z19)&amp;"")</f>
      </c>
      <c r="I19" s="136">
        <f>IF($Z19="","",INDEX('CARNET DE SOUDURE'!$N$7:$N$1506,$Z19)&amp;"")</f>
      </c>
      <c r="J19" s="144">
        <f>IF(H19="","",IFERROR(INDEX(BARDAGE!$F$7:$F$1506,MATCH(H19,BARDAGE!$B$7:$B$1506,0)),""))</f>
      </c>
      <c r="K19" s="136">
        <f>IF($Z19="","",INDEX('CARNET DE SOUDURE'!$G$7:$G$1506,$Z19)&amp;"")</f>
      </c>
      <c r="L19" s="136">
        <f>IF($Z19="","",IF(INDEX('CARNET DE SOUDURE'!$H$7:$H$1506,$Z19)="","",INDEX('CARNET DE SOUDURE'!$H$7:$H$1506,$Z19)))</f>
      </c>
      <c r="M19" s="145">
        <f>IF($Z19="","",IF(INDEX('CARNET DE SOUDURE'!$R$7:$R$1506,$Z19)="","",INDEX('CARNET DE SOUDURE'!$R$7:$R$1506,$Z19)))</f>
      </c>
      <c r="N19" s="136">
        <f>IF($Z19="","",INDEX('CARNET DE SOUDURE'!$J$7:$J$1506,$Z19)&amp;"")</f>
      </c>
      <c r="O19" s="136">
        <f>IF($Z19="","",INDEX('CARNET DE SOUDURE'!$O$7:$O$1506,$Z19)&amp;"")</f>
      </c>
      <c r="P19" s="136">
        <f>IF($Z19="","",INDEX('CARNET DE SOUDURE'!$P$7:$P$1506,$Z19)&amp;"")</f>
      </c>
      <c r="Q19" s="136">
        <f>IF($Z19="","",INDEX('CARNET DE SOUDURE'!$Q$7:$Q$1506,$Z19)&amp;"")</f>
      </c>
      <c r="R19" s="136">
        <f>IF($Z19="","",INDEX('CARNET DE SOUDURE'!$T$7:$T$1506,$Z19)&amp;"")</f>
      </c>
      <c r="S19" s="136">
        <f>IF($Z19="","",IF(INDEX('CARNET DE SOUDURE'!$AG$7:$AG$1506,$Z19)&lt;&gt;"",INDEX('CARNET DE SOUDURE'!$AG$7:$AG$1506,$Z19)&amp;"",IF(INDEX('CARNET DE SOUDURE'!$AB$7:$AB$1506,$Z19)&lt;&gt;"",INDEX('CARNET DE SOUDURE'!$AB$7:$AB$1506,$Z19)&amp;"",INDEX('CARNET DE SOUDURE'!$W$7:$W$1506,$Z19)&amp;"")))</f>
      </c>
      <c r="T19" s="136">
        <f>IF($Z19="","",INDEX('CARNET DE SOUDURE'!$T$7:$T$1506,$Z19)&amp;"")</f>
      </c>
      <c r="U19" s="136">
        <f>IF($Z19="","",INDEX('CARNET DE SOUDURE'!$W$7:$W$1506,$Z19)&amp;"")</f>
      </c>
      <c r="V19" s="136">
        <f>IF($Z19="","",IF(INDEX('CARNET DE SOUDURE'!$AE$7:$AE$1506,$Z19)&lt;&gt;"",INDEX('CARNET DE SOUDURE'!$AE$7:$AE$1506,$Z19)&amp;"",INDEX('CARNET DE SOUDURE'!$Z$7:$Z$1506,$Z19)&amp;""))</f>
      </c>
      <c r="W19" s="136">
        <f>IF($Z19="","",IF(INDEX('CARNET DE SOUDURE'!$AG$7:$AG$1506,$Z19)&lt;&gt;"",INDEX('CARNET DE SOUDURE'!$AG$7:$AG$1506,$Z19)&amp;"",INDEX('CARNET DE SOUDURE'!$AB$7:$AB$1506,$Z19)&amp;""))</f>
      </c>
      <c r="Z19" s="151">
        <f t="array" ref="Z19">IFERROR(SMALL(IF('CARNET DE SOUDURE'!$B$7:$B$1506=$E$5,ROW('CARNET DE SOUDURE'!$B$7:$B$1506)-6),($Z$4-1)*35+12),"")</f>
      </c>
    </row>
    <row r="20" ht="17" customHeight="true">
      <c r="A20" s="136">
        <f>IF($Z20="","",INDEX('CARNET DE SOUDURE'!$C$7:$C$1506,$Z20)&amp;"")</f>
      </c>
      <c r="B20" s="136">
        <f>IF($Z20="","",INDEX('CARNET DE SOUDURE'!$D$7:$D$1506,$Z20)&amp;"")</f>
      </c>
      <c r="C20" s="136">
        <f>IF($Z20="","",INDEX('CARNET DE SOUDURE'!$F$7:$F$1506,$Z20)&amp;"")</f>
      </c>
      <c r="D20" s="136">
        <f>IF($Z20="","",INDEX('CARNET DE SOUDURE'!$E$7:$E$1506,$Z20)&amp;"")</f>
      </c>
      <c r="E20" s="136">
        <f>IF($Z20="","",INDEX('CARNET DE SOUDURE'!$K$7:$K$1506,$Z20)&amp;"")</f>
      </c>
      <c r="F20" s="136">
        <f>IF($Z20="","",INDEX('CARNET DE SOUDURE'!$L$7:$L$1506,$Z20)&amp;"")</f>
      </c>
      <c r="G20" s="144">
        <f>IF(E20="","",IFERROR(INDEX(BARDAGE!$F$7:$F$1506,MATCH(E20,BARDAGE!$B$7:$B$1506,0)),""))</f>
      </c>
      <c r="H20" s="136">
        <f>IF($Z20="","",INDEX('CARNET DE SOUDURE'!$M$7:$M$1506,$Z20)&amp;"")</f>
      </c>
      <c r="I20" s="136">
        <f>IF($Z20="","",INDEX('CARNET DE SOUDURE'!$N$7:$N$1506,$Z20)&amp;"")</f>
      </c>
      <c r="J20" s="144">
        <f>IF(H20="","",IFERROR(INDEX(BARDAGE!$F$7:$F$1506,MATCH(H20,BARDAGE!$B$7:$B$1506,0)),""))</f>
      </c>
      <c r="K20" s="136">
        <f>IF($Z20="","",INDEX('CARNET DE SOUDURE'!$G$7:$G$1506,$Z20)&amp;"")</f>
      </c>
      <c r="L20" s="136">
        <f>IF($Z20="","",IF(INDEX('CARNET DE SOUDURE'!$H$7:$H$1506,$Z20)="","",INDEX('CARNET DE SOUDURE'!$H$7:$H$1506,$Z20)))</f>
      </c>
      <c r="M20" s="145">
        <f>IF($Z20="","",IF(INDEX('CARNET DE SOUDURE'!$R$7:$R$1506,$Z20)="","",INDEX('CARNET DE SOUDURE'!$R$7:$R$1506,$Z20)))</f>
      </c>
      <c r="N20" s="136">
        <f>IF($Z20="","",INDEX('CARNET DE SOUDURE'!$J$7:$J$1506,$Z20)&amp;"")</f>
      </c>
      <c r="O20" s="136">
        <f>IF($Z20="","",INDEX('CARNET DE SOUDURE'!$O$7:$O$1506,$Z20)&amp;"")</f>
      </c>
      <c r="P20" s="136">
        <f>IF($Z20="","",INDEX('CARNET DE SOUDURE'!$P$7:$P$1506,$Z20)&amp;"")</f>
      </c>
      <c r="Q20" s="136">
        <f>IF($Z20="","",INDEX('CARNET DE SOUDURE'!$Q$7:$Q$1506,$Z20)&amp;"")</f>
      </c>
      <c r="R20" s="136">
        <f>IF($Z20="","",INDEX('CARNET DE SOUDURE'!$T$7:$T$1506,$Z20)&amp;"")</f>
      </c>
      <c r="S20" s="136">
        <f>IF($Z20="","",IF(INDEX('CARNET DE SOUDURE'!$AG$7:$AG$1506,$Z20)&lt;&gt;"",INDEX('CARNET DE SOUDURE'!$AG$7:$AG$1506,$Z20)&amp;"",IF(INDEX('CARNET DE SOUDURE'!$AB$7:$AB$1506,$Z20)&lt;&gt;"",INDEX('CARNET DE SOUDURE'!$AB$7:$AB$1506,$Z20)&amp;"",INDEX('CARNET DE SOUDURE'!$W$7:$W$1506,$Z20)&amp;"")))</f>
      </c>
      <c r="T20" s="136">
        <f>IF($Z20="","",INDEX('CARNET DE SOUDURE'!$T$7:$T$1506,$Z20)&amp;"")</f>
      </c>
      <c r="U20" s="136">
        <f>IF($Z20="","",INDEX('CARNET DE SOUDURE'!$W$7:$W$1506,$Z20)&amp;"")</f>
      </c>
      <c r="V20" s="136">
        <f>IF($Z20="","",IF(INDEX('CARNET DE SOUDURE'!$AE$7:$AE$1506,$Z20)&lt;&gt;"",INDEX('CARNET DE SOUDURE'!$AE$7:$AE$1506,$Z20)&amp;"",INDEX('CARNET DE SOUDURE'!$Z$7:$Z$1506,$Z20)&amp;""))</f>
      </c>
      <c r="W20" s="136">
        <f>IF($Z20="","",IF(INDEX('CARNET DE SOUDURE'!$AG$7:$AG$1506,$Z20)&lt;&gt;"",INDEX('CARNET DE SOUDURE'!$AG$7:$AG$1506,$Z20)&amp;"",INDEX('CARNET DE SOUDURE'!$AB$7:$AB$1506,$Z20)&amp;""))</f>
      </c>
      <c r="Z20" s="151">
        <f t="array" ref="Z20">IFERROR(SMALL(IF('CARNET DE SOUDURE'!$B$7:$B$1506=$E$5,ROW('CARNET DE SOUDURE'!$B$7:$B$1506)-6),($Z$4-1)*35+13),"")</f>
      </c>
    </row>
    <row r="21" ht="17" customHeight="true">
      <c r="A21" s="136">
        <f>IF($Z21="","",INDEX('CARNET DE SOUDURE'!$C$7:$C$1506,$Z21)&amp;"")</f>
      </c>
      <c r="B21" s="136">
        <f>IF($Z21="","",INDEX('CARNET DE SOUDURE'!$D$7:$D$1506,$Z21)&amp;"")</f>
      </c>
      <c r="C21" s="136">
        <f>IF($Z21="","",INDEX('CARNET DE SOUDURE'!$F$7:$F$1506,$Z21)&amp;"")</f>
      </c>
      <c r="D21" s="136">
        <f>IF($Z21="","",INDEX('CARNET DE SOUDURE'!$E$7:$E$1506,$Z21)&amp;"")</f>
      </c>
      <c r="E21" s="136">
        <f>IF($Z21="","",INDEX('CARNET DE SOUDURE'!$K$7:$K$1506,$Z21)&amp;"")</f>
      </c>
      <c r="F21" s="136">
        <f>IF($Z21="","",INDEX('CARNET DE SOUDURE'!$L$7:$L$1506,$Z21)&amp;"")</f>
      </c>
      <c r="G21" s="144">
        <f>IF(E21="","",IFERROR(INDEX(BARDAGE!$F$7:$F$1506,MATCH(E21,BARDAGE!$B$7:$B$1506,0)),""))</f>
      </c>
      <c r="H21" s="136">
        <f>IF($Z21="","",INDEX('CARNET DE SOUDURE'!$M$7:$M$1506,$Z21)&amp;"")</f>
      </c>
      <c r="I21" s="136">
        <f>IF($Z21="","",INDEX('CARNET DE SOUDURE'!$N$7:$N$1506,$Z21)&amp;"")</f>
      </c>
      <c r="J21" s="144">
        <f>IF(H21="","",IFERROR(INDEX(BARDAGE!$F$7:$F$1506,MATCH(H21,BARDAGE!$B$7:$B$1506,0)),""))</f>
      </c>
      <c r="K21" s="136">
        <f>IF($Z21="","",INDEX('CARNET DE SOUDURE'!$G$7:$G$1506,$Z21)&amp;"")</f>
      </c>
      <c r="L21" s="136">
        <f>IF($Z21="","",IF(INDEX('CARNET DE SOUDURE'!$H$7:$H$1506,$Z21)="","",INDEX('CARNET DE SOUDURE'!$H$7:$H$1506,$Z21)))</f>
      </c>
      <c r="M21" s="145">
        <f>IF($Z21="","",IF(INDEX('CARNET DE SOUDURE'!$R$7:$R$1506,$Z21)="","",INDEX('CARNET DE SOUDURE'!$R$7:$R$1506,$Z21)))</f>
      </c>
      <c r="N21" s="136">
        <f>IF($Z21="","",INDEX('CARNET DE SOUDURE'!$J$7:$J$1506,$Z21)&amp;"")</f>
      </c>
      <c r="O21" s="136">
        <f>IF($Z21="","",INDEX('CARNET DE SOUDURE'!$O$7:$O$1506,$Z21)&amp;"")</f>
      </c>
      <c r="P21" s="136">
        <f>IF($Z21="","",INDEX('CARNET DE SOUDURE'!$P$7:$P$1506,$Z21)&amp;"")</f>
      </c>
      <c r="Q21" s="136">
        <f>IF($Z21="","",INDEX('CARNET DE SOUDURE'!$Q$7:$Q$1506,$Z21)&amp;"")</f>
      </c>
      <c r="R21" s="136">
        <f>IF($Z21="","",INDEX('CARNET DE SOUDURE'!$T$7:$T$1506,$Z21)&amp;"")</f>
      </c>
      <c r="S21" s="136">
        <f>IF($Z21="","",IF(INDEX('CARNET DE SOUDURE'!$AG$7:$AG$1506,$Z21)&lt;&gt;"",INDEX('CARNET DE SOUDURE'!$AG$7:$AG$1506,$Z21)&amp;"",IF(INDEX('CARNET DE SOUDURE'!$AB$7:$AB$1506,$Z21)&lt;&gt;"",INDEX('CARNET DE SOUDURE'!$AB$7:$AB$1506,$Z21)&amp;"",INDEX('CARNET DE SOUDURE'!$W$7:$W$1506,$Z21)&amp;"")))</f>
      </c>
      <c r="T21" s="136">
        <f>IF($Z21="","",INDEX('CARNET DE SOUDURE'!$T$7:$T$1506,$Z21)&amp;"")</f>
      </c>
      <c r="U21" s="136">
        <f>IF($Z21="","",INDEX('CARNET DE SOUDURE'!$W$7:$W$1506,$Z21)&amp;"")</f>
      </c>
      <c r="V21" s="136">
        <f>IF($Z21="","",IF(INDEX('CARNET DE SOUDURE'!$AE$7:$AE$1506,$Z21)&lt;&gt;"",INDEX('CARNET DE SOUDURE'!$AE$7:$AE$1506,$Z21)&amp;"",INDEX('CARNET DE SOUDURE'!$Z$7:$Z$1506,$Z21)&amp;""))</f>
      </c>
      <c r="W21" s="136">
        <f>IF($Z21="","",IF(INDEX('CARNET DE SOUDURE'!$AG$7:$AG$1506,$Z21)&lt;&gt;"",INDEX('CARNET DE SOUDURE'!$AG$7:$AG$1506,$Z21)&amp;"",INDEX('CARNET DE SOUDURE'!$AB$7:$AB$1506,$Z21)&amp;""))</f>
      </c>
      <c r="Z21" s="151">
        <f t="array" ref="Z21">IFERROR(SMALL(IF('CARNET DE SOUDURE'!$B$7:$B$1506=$E$5,ROW('CARNET DE SOUDURE'!$B$7:$B$1506)-6),($Z$4-1)*35+14),"")</f>
      </c>
    </row>
    <row r="22" ht="17" customHeight="true">
      <c r="A22" s="136">
        <f>IF($Z22="","",INDEX('CARNET DE SOUDURE'!$C$7:$C$1506,$Z22)&amp;"")</f>
      </c>
      <c r="B22" s="136">
        <f>IF($Z22="","",INDEX('CARNET DE SOUDURE'!$D$7:$D$1506,$Z22)&amp;"")</f>
      </c>
      <c r="C22" s="136">
        <f>IF($Z22="","",INDEX('CARNET DE SOUDURE'!$F$7:$F$1506,$Z22)&amp;"")</f>
      </c>
      <c r="D22" s="136">
        <f>IF($Z22="","",INDEX('CARNET DE SOUDURE'!$E$7:$E$1506,$Z22)&amp;"")</f>
      </c>
      <c r="E22" s="136">
        <f>IF($Z22="","",INDEX('CARNET DE SOUDURE'!$K$7:$K$1506,$Z22)&amp;"")</f>
      </c>
      <c r="F22" s="136">
        <f>IF($Z22="","",INDEX('CARNET DE SOUDURE'!$L$7:$L$1506,$Z22)&amp;"")</f>
      </c>
      <c r="G22" s="144">
        <f>IF(E22="","",IFERROR(INDEX(BARDAGE!$F$7:$F$1506,MATCH(E22,BARDAGE!$B$7:$B$1506,0)),""))</f>
      </c>
      <c r="H22" s="136">
        <f>IF($Z22="","",INDEX('CARNET DE SOUDURE'!$M$7:$M$1506,$Z22)&amp;"")</f>
      </c>
      <c r="I22" s="136">
        <f>IF($Z22="","",INDEX('CARNET DE SOUDURE'!$N$7:$N$1506,$Z22)&amp;"")</f>
      </c>
      <c r="J22" s="144">
        <f>IF(H22="","",IFERROR(INDEX(BARDAGE!$F$7:$F$1506,MATCH(H22,BARDAGE!$B$7:$B$1506,0)),""))</f>
      </c>
      <c r="K22" s="136">
        <f>IF($Z22="","",INDEX('CARNET DE SOUDURE'!$G$7:$G$1506,$Z22)&amp;"")</f>
      </c>
      <c r="L22" s="136">
        <f>IF($Z22="","",IF(INDEX('CARNET DE SOUDURE'!$H$7:$H$1506,$Z22)="","",INDEX('CARNET DE SOUDURE'!$H$7:$H$1506,$Z22)))</f>
      </c>
      <c r="M22" s="145">
        <f>IF($Z22="","",IF(INDEX('CARNET DE SOUDURE'!$R$7:$R$1506,$Z22)="","",INDEX('CARNET DE SOUDURE'!$R$7:$R$1506,$Z22)))</f>
      </c>
      <c r="N22" s="136">
        <f>IF($Z22="","",INDEX('CARNET DE SOUDURE'!$J$7:$J$1506,$Z22)&amp;"")</f>
      </c>
      <c r="O22" s="136">
        <f>IF($Z22="","",INDEX('CARNET DE SOUDURE'!$O$7:$O$1506,$Z22)&amp;"")</f>
      </c>
      <c r="P22" s="136">
        <f>IF($Z22="","",INDEX('CARNET DE SOUDURE'!$P$7:$P$1506,$Z22)&amp;"")</f>
      </c>
      <c r="Q22" s="136">
        <f>IF($Z22="","",INDEX('CARNET DE SOUDURE'!$Q$7:$Q$1506,$Z22)&amp;"")</f>
      </c>
      <c r="R22" s="136">
        <f>IF($Z22="","",INDEX('CARNET DE SOUDURE'!$T$7:$T$1506,$Z22)&amp;"")</f>
      </c>
      <c r="S22" s="136">
        <f>IF($Z22="","",IF(INDEX('CARNET DE SOUDURE'!$AG$7:$AG$1506,$Z22)&lt;&gt;"",INDEX('CARNET DE SOUDURE'!$AG$7:$AG$1506,$Z22)&amp;"",IF(INDEX('CARNET DE SOUDURE'!$AB$7:$AB$1506,$Z22)&lt;&gt;"",INDEX('CARNET DE SOUDURE'!$AB$7:$AB$1506,$Z22)&amp;"",INDEX('CARNET DE SOUDURE'!$W$7:$W$1506,$Z22)&amp;"")))</f>
      </c>
      <c r="T22" s="136">
        <f>IF($Z22="","",INDEX('CARNET DE SOUDURE'!$T$7:$T$1506,$Z22)&amp;"")</f>
      </c>
      <c r="U22" s="136">
        <f>IF($Z22="","",INDEX('CARNET DE SOUDURE'!$W$7:$W$1506,$Z22)&amp;"")</f>
      </c>
      <c r="V22" s="136">
        <f>IF($Z22="","",IF(INDEX('CARNET DE SOUDURE'!$AE$7:$AE$1506,$Z22)&lt;&gt;"",INDEX('CARNET DE SOUDURE'!$AE$7:$AE$1506,$Z22)&amp;"",INDEX('CARNET DE SOUDURE'!$Z$7:$Z$1506,$Z22)&amp;""))</f>
      </c>
      <c r="W22" s="136">
        <f>IF($Z22="","",IF(INDEX('CARNET DE SOUDURE'!$AG$7:$AG$1506,$Z22)&lt;&gt;"",INDEX('CARNET DE SOUDURE'!$AG$7:$AG$1506,$Z22)&amp;"",INDEX('CARNET DE SOUDURE'!$AB$7:$AB$1506,$Z22)&amp;""))</f>
      </c>
      <c r="Z22" s="151">
        <f t="array" ref="Z22">IFERROR(SMALL(IF('CARNET DE SOUDURE'!$B$7:$B$1506=$E$5,ROW('CARNET DE SOUDURE'!$B$7:$B$1506)-6),($Z$4-1)*35+15),"")</f>
      </c>
    </row>
    <row r="23" ht="17" customHeight="true">
      <c r="A23" s="136">
        <f>IF($Z23="","",INDEX('CARNET DE SOUDURE'!$C$7:$C$1506,$Z23)&amp;"")</f>
      </c>
      <c r="B23" s="136">
        <f>IF($Z23="","",INDEX('CARNET DE SOUDURE'!$D$7:$D$1506,$Z23)&amp;"")</f>
      </c>
      <c r="C23" s="136">
        <f>IF($Z23="","",INDEX('CARNET DE SOUDURE'!$F$7:$F$1506,$Z23)&amp;"")</f>
      </c>
      <c r="D23" s="136">
        <f>IF($Z23="","",INDEX('CARNET DE SOUDURE'!$E$7:$E$1506,$Z23)&amp;"")</f>
      </c>
      <c r="E23" s="136">
        <f>IF($Z23="","",INDEX('CARNET DE SOUDURE'!$K$7:$K$1506,$Z23)&amp;"")</f>
      </c>
      <c r="F23" s="136">
        <f>IF($Z23="","",INDEX('CARNET DE SOUDURE'!$L$7:$L$1506,$Z23)&amp;"")</f>
      </c>
      <c r="G23" s="144">
        <f>IF(E23="","",IFERROR(INDEX(BARDAGE!$F$7:$F$1506,MATCH(E23,BARDAGE!$B$7:$B$1506,0)),""))</f>
      </c>
      <c r="H23" s="136">
        <f>IF($Z23="","",INDEX('CARNET DE SOUDURE'!$M$7:$M$1506,$Z23)&amp;"")</f>
      </c>
      <c r="I23" s="136">
        <f>IF($Z23="","",INDEX('CARNET DE SOUDURE'!$N$7:$N$1506,$Z23)&amp;"")</f>
      </c>
      <c r="J23" s="144">
        <f>IF(H23="","",IFERROR(INDEX(BARDAGE!$F$7:$F$1506,MATCH(H23,BARDAGE!$B$7:$B$1506,0)),""))</f>
      </c>
      <c r="K23" s="136">
        <f>IF($Z23="","",INDEX('CARNET DE SOUDURE'!$G$7:$G$1506,$Z23)&amp;"")</f>
      </c>
      <c r="L23" s="136">
        <f>IF($Z23="","",IF(INDEX('CARNET DE SOUDURE'!$H$7:$H$1506,$Z23)="","",INDEX('CARNET DE SOUDURE'!$H$7:$H$1506,$Z23)))</f>
      </c>
      <c r="M23" s="145">
        <f>IF($Z23="","",IF(INDEX('CARNET DE SOUDURE'!$R$7:$R$1506,$Z23)="","",INDEX('CARNET DE SOUDURE'!$R$7:$R$1506,$Z23)))</f>
      </c>
      <c r="N23" s="136">
        <f>IF($Z23="","",INDEX('CARNET DE SOUDURE'!$J$7:$J$1506,$Z23)&amp;"")</f>
      </c>
      <c r="O23" s="136">
        <f>IF($Z23="","",INDEX('CARNET DE SOUDURE'!$O$7:$O$1506,$Z23)&amp;"")</f>
      </c>
      <c r="P23" s="136">
        <f>IF($Z23="","",INDEX('CARNET DE SOUDURE'!$P$7:$P$1506,$Z23)&amp;"")</f>
      </c>
      <c r="Q23" s="136">
        <f>IF($Z23="","",INDEX('CARNET DE SOUDURE'!$Q$7:$Q$1506,$Z23)&amp;"")</f>
      </c>
      <c r="R23" s="136">
        <f>IF($Z23="","",INDEX('CARNET DE SOUDURE'!$T$7:$T$1506,$Z23)&amp;"")</f>
      </c>
      <c r="S23" s="136">
        <f>IF($Z23="","",IF(INDEX('CARNET DE SOUDURE'!$AG$7:$AG$1506,$Z23)&lt;&gt;"",INDEX('CARNET DE SOUDURE'!$AG$7:$AG$1506,$Z23)&amp;"",IF(INDEX('CARNET DE SOUDURE'!$AB$7:$AB$1506,$Z23)&lt;&gt;"",INDEX('CARNET DE SOUDURE'!$AB$7:$AB$1506,$Z23)&amp;"",INDEX('CARNET DE SOUDURE'!$W$7:$W$1506,$Z23)&amp;"")))</f>
      </c>
      <c r="T23" s="136">
        <f>IF($Z23="","",INDEX('CARNET DE SOUDURE'!$T$7:$T$1506,$Z23)&amp;"")</f>
      </c>
      <c r="U23" s="136">
        <f>IF($Z23="","",INDEX('CARNET DE SOUDURE'!$W$7:$W$1506,$Z23)&amp;"")</f>
      </c>
      <c r="V23" s="136">
        <f>IF($Z23="","",IF(INDEX('CARNET DE SOUDURE'!$AE$7:$AE$1506,$Z23)&lt;&gt;"",INDEX('CARNET DE SOUDURE'!$AE$7:$AE$1506,$Z23)&amp;"",INDEX('CARNET DE SOUDURE'!$Z$7:$Z$1506,$Z23)&amp;""))</f>
      </c>
      <c r="W23" s="136">
        <f>IF($Z23="","",IF(INDEX('CARNET DE SOUDURE'!$AG$7:$AG$1506,$Z23)&lt;&gt;"",INDEX('CARNET DE SOUDURE'!$AG$7:$AG$1506,$Z23)&amp;"",INDEX('CARNET DE SOUDURE'!$AB$7:$AB$1506,$Z23)&amp;""))</f>
      </c>
      <c r="Z23" s="151">
        <f t="array" ref="Z23">IFERROR(SMALL(IF('CARNET DE SOUDURE'!$B$7:$B$1506=$E$5,ROW('CARNET DE SOUDURE'!$B$7:$B$1506)-6),($Z$4-1)*35+16),"")</f>
      </c>
    </row>
    <row r="24" ht="17" customHeight="true">
      <c r="A24" s="136">
        <f>IF($Z24="","",INDEX('CARNET DE SOUDURE'!$C$7:$C$1506,$Z24)&amp;"")</f>
      </c>
      <c r="B24" s="136">
        <f>IF($Z24="","",INDEX('CARNET DE SOUDURE'!$D$7:$D$1506,$Z24)&amp;"")</f>
      </c>
      <c r="C24" s="136">
        <f>IF($Z24="","",INDEX('CARNET DE SOUDURE'!$F$7:$F$1506,$Z24)&amp;"")</f>
      </c>
      <c r="D24" s="136">
        <f>IF($Z24="","",INDEX('CARNET DE SOUDURE'!$E$7:$E$1506,$Z24)&amp;"")</f>
      </c>
      <c r="E24" s="136">
        <f>IF($Z24="","",INDEX('CARNET DE SOUDURE'!$K$7:$K$1506,$Z24)&amp;"")</f>
      </c>
      <c r="F24" s="136">
        <f>IF($Z24="","",INDEX('CARNET DE SOUDURE'!$L$7:$L$1506,$Z24)&amp;"")</f>
      </c>
      <c r="G24" s="144">
        <f>IF(E24="","",IFERROR(INDEX(BARDAGE!$F$7:$F$1506,MATCH(E24,BARDAGE!$B$7:$B$1506,0)),""))</f>
      </c>
      <c r="H24" s="136">
        <f>IF($Z24="","",INDEX('CARNET DE SOUDURE'!$M$7:$M$1506,$Z24)&amp;"")</f>
      </c>
      <c r="I24" s="136">
        <f>IF($Z24="","",INDEX('CARNET DE SOUDURE'!$N$7:$N$1506,$Z24)&amp;"")</f>
      </c>
      <c r="J24" s="144">
        <f>IF(H24="","",IFERROR(INDEX(BARDAGE!$F$7:$F$1506,MATCH(H24,BARDAGE!$B$7:$B$1506,0)),""))</f>
      </c>
      <c r="K24" s="136">
        <f>IF($Z24="","",INDEX('CARNET DE SOUDURE'!$G$7:$G$1506,$Z24)&amp;"")</f>
      </c>
      <c r="L24" s="136">
        <f>IF($Z24="","",IF(INDEX('CARNET DE SOUDURE'!$H$7:$H$1506,$Z24)="","",INDEX('CARNET DE SOUDURE'!$H$7:$H$1506,$Z24)))</f>
      </c>
      <c r="M24" s="145">
        <f>IF($Z24="","",IF(INDEX('CARNET DE SOUDURE'!$R$7:$R$1506,$Z24)="","",INDEX('CARNET DE SOUDURE'!$R$7:$R$1506,$Z24)))</f>
      </c>
      <c r="N24" s="136">
        <f>IF($Z24="","",INDEX('CARNET DE SOUDURE'!$J$7:$J$1506,$Z24)&amp;"")</f>
      </c>
      <c r="O24" s="136">
        <f>IF($Z24="","",INDEX('CARNET DE SOUDURE'!$O$7:$O$1506,$Z24)&amp;"")</f>
      </c>
      <c r="P24" s="136">
        <f>IF($Z24="","",INDEX('CARNET DE SOUDURE'!$P$7:$P$1506,$Z24)&amp;"")</f>
      </c>
      <c r="Q24" s="136">
        <f>IF($Z24="","",INDEX('CARNET DE SOUDURE'!$Q$7:$Q$1506,$Z24)&amp;"")</f>
      </c>
      <c r="R24" s="136">
        <f>IF($Z24="","",INDEX('CARNET DE SOUDURE'!$T$7:$T$1506,$Z24)&amp;"")</f>
      </c>
      <c r="S24" s="136">
        <f>IF($Z24="","",IF(INDEX('CARNET DE SOUDURE'!$AG$7:$AG$1506,$Z24)&lt;&gt;"",INDEX('CARNET DE SOUDURE'!$AG$7:$AG$1506,$Z24)&amp;"",IF(INDEX('CARNET DE SOUDURE'!$AB$7:$AB$1506,$Z24)&lt;&gt;"",INDEX('CARNET DE SOUDURE'!$AB$7:$AB$1506,$Z24)&amp;"",INDEX('CARNET DE SOUDURE'!$W$7:$W$1506,$Z24)&amp;"")))</f>
      </c>
      <c r="T24" s="136">
        <f>IF($Z24="","",INDEX('CARNET DE SOUDURE'!$T$7:$T$1506,$Z24)&amp;"")</f>
      </c>
      <c r="U24" s="136">
        <f>IF($Z24="","",INDEX('CARNET DE SOUDURE'!$W$7:$W$1506,$Z24)&amp;"")</f>
      </c>
      <c r="V24" s="136">
        <f>IF($Z24="","",IF(INDEX('CARNET DE SOUDURE'!$AE$7:$AE$1506,$Z24)&lt;&gt;"",INDEX('CARNET DE SOUDURE'!$AE$7:$AE$1506,$Z24)&amp;"",INDEX('CARNET DE SOUDURE'!$Z$7:$Z$1506,$Z24)&amp;""))</f>
      </c>
      <c r="W24" s="136">
        <f>IF($Z24="","",IF(INDEX('CARNET DE SOUDURE'!$AG$7:$AG$1506,$Z24)&lt;&gt;"",INDEX('CARNET DE SOUDURE'!$AG$7:$AG$1506,$Z24)&amp;"",INDEX('CARNET DE SOUDURE'!$AB$7:$AB$1506,$Z24)&amp;""))</f>
      </c>
      <c r="Z24" s="151">
        <f t="array" ref="Z24">IFERROR(SMALL(IF('CARNET DE SOUDURE'!$B$7:$B$1506=$E$5,ROW('CARNET DE SOUDURE'!$B$7:$B$1506)-6),($Z$4-1)*35+17),"")</f>
      </c>
    </row>
    <row r="25" ht="17" customHeight="true">
      <c r="A25" s="136">
        <f>IF($Z25="","",INDEX('CARNET DE SOUDURE'!$C$7:$C$1506,$Z25)&amp;"")</f>
      </c>
      <c r="B25" s="136">
        <f>IF($Z25="","",INDEX('CARNET DE SOUDURE'!$D$7:$D$1506,$Z25)&amp;"")</f>
      </c>
      <c r="C25" s="136">
        <f>IF($Z25="","",INDEX('CARNET DE SOUDURE'!$F$7:$F$1506,$Z25)&amp;"")</f>
      </c>
      <c r="D25" s="136">
        <f>IF($Z25="","",INDEX('CARNET DE SOUDURE'!$E$7:$E$1506,$Z25)&amp;"")</f>
      </c>
      <c r="E25" s="136">
        <f>IF($Z25="","",INDEX('CARNET DE SOUDURE'!$K$7:$K$1506,$Z25)&amp;"")</f>
      </c>
      <c r="F25" s="136">
        <f>IF($Z25="","",INDEX('CARNET DE SOUDURE'!$L$7:$L$1506,$Z25)&amp;"")</f>
      </c>
      <c r="G25" s="144">
        <f>IF(E25="","",IFERROR(INDEX(BARDAGE!$F$7:$F$1506,MATCH(E25,BARDAGE!$B$7:$B$1506,0)),""))</f>
      </c>
      <c r="H25" s="136">
        <f>IF($Z25="","",INDEX('CARNET DE SOUDURE'!$M$7:$M$1506,$Z25)&amp;"")</f>
      </c>
      <c r="I25" s="136">
        <f>IF($Z25="","",INDEX('CARNET DE SOUDURE'!$N$7:$N$1506,$Z25)&amp;"")</f>
      </c>
      <c r="J25" s="144">
        <f>IF(H25="","",IFERROR(INDEX(BARDAGE!$F$7:$F$1506,MATCH(H25,BARDAGE!$B$7:$B$1506,0)),""))</f>
      </c>
      <c r="K25" s="136">
        <f>IF($Z25="","",INDEX('CARNET DE SOUDURE'!$G$7:$G$1506,$Z25)&amp;"")</f>
      </c>
      <c r="L25" s="136">
        <f>IF($Z25="","",IF(INDEX('CARNET DE SOUDURE'!$H$7:$H$1506,$Z25)="","",INDEX('CARNET DE SOUDURE'!$H$7:$H$1506,$Z25)))</f>
      </c>
      <c r="M25" s="145">
        <f>IF($Z25="","",IF(INDEX('CARNET DE SOUDURE'!$R$7:$R$1506,$Z25)="","",INDEX('CARNET DE SOUDURE'!$R$7:$R$1506,$Z25)))</f>
      </c>
      <c r="N25" s="136">
        <f>IF($Z25="","",INDEX('CARNET DE SOUDURE'!$J$7:$J$1506,$Z25)&amp;"")</f>
      </c>
      <c r="O25" s="136">
        <f>IF($Z25="","",INDEX('CARNET DE SOUDURE'!$O$7:$O$1506,$Z25)&amp;"")</f>
      </c>
      <c r="P25" s="136">
        <f>IF($Z25="","",INDEX('CARNET DE SOUDURE'!$P$7:$P$1506,$Z25)&amp;"")</f>
      </c>
      <c r="Q25" s="136">
        <f>IF($Z25="","",INDEX('CARNET DE SOUDURE'!$Q$7:$Q$1506,$Z25)&amp;"")</f>
      </c>
      <c r="R25" s="136">
        <f>IF($Z25="","",INDEX('CARNET DE SOUDURE'!$T$7:$T$1506,$Z25)&amp;"")</f>
      </c>
      <c r="S25" s="136">
        <f>IF($Z25="","",IF(INDEX('CARNET DE SOUDURE'!$AG$7:$AG$1506,$Z25)&lt;&gt;"",INDEX('CARNET DE SOUDURE'!$AG$7:$AG$1506,$Z25)&amp;"",IF(INDEX('CARNET DE SOUDURE'!$AB$7:$AB$1506,$Z25)&lt;&gt;"",INDEX('CARNET DE SOUDURE'!$AB$7:$AB$1506,$Z25)&amp;"",INDEX('CARNET DE SOUDURE'!$W$7:$W$1506,$Z25)&amp;"")))</f>
      </c>
      <c r="T25" s="136">
        <f>IF($Z25="","",INDEX('CARNET DE SOUDURE'!$T$7:$T$1506,$Z25)&amp;"")</f>
      </c>
      <c r="U25" s="136">
        <f>IF($Z25="","",INDEX('CARNET DE SOUDURE'!$W$7:$W$1506,$Z25)&amp;"")</f>
      </c>
      <c r="V25" s="136">
        <f>IF($Z25="","",IF(INDEX('CARNET DE SOUDURE'!$AE$7:$AE$1506,$Z25)&lt;&gt;"",INDEX('CARNET DE SOUDURE'!$AE$7:$AE$1506,$Z25)&amp;"",INDEX('CARNET DE SOUDURE'!$Z$7:$Z$1506,$Z25)&amp;""))</f>
      </c>
      <c r="W25" s="136">
        <f>IF($Z25="","",IF(INDEX('CARNET DE SOUDURE'!$AG$7:$AG$1506,$Z25)&lt;&gt;"",INDEX('CARNET DE SOUDURE'!$AG$7:$AG$1506,$Z25)&amp;"",INDEX('CARNET DE SOUDURE'!$AB$7:$AB$1506,$Z25)&amp;""))</f>
      </c>
      <c r="Z25" s="151">
        <f t="array" ref="Z25">IFERROR(SMALL(IF('CARNET DE SOUDURE'!$B$7:$B$1506=$E$5,ROW('CARNET DE SOUDURE'!$B$7:$B$1506)-6),($Z$4-1)*35+18),"")</f>
      </c>
    </row>
    <row r="26" ht="17" customHeight="true">
      <c r="A26" s="136">
        <f>IF($Z26="","",INDEX('CARNET DE SOUDURE'!$C$7:$C$1506,$Z26)&amp;"")</f>
      </c>
      <c r="B26" s="136">
        <f>IF($Z26="","",INDEX('CARNET DE SOUDURE'!$D$7:$D$1506,$Z26)&amp;"")</f>
      </c>
      <c r="C26" s="136">
        <f>IF($Z26="","",INDEX('CARNET DE SOUDURE'!$F$7:$F$1506,$Z26)&amp;"")</f>
      </c>
      <c r="D26" s="136">
        <f>IF($Z26="","",INDEX('CARNET DE SOUDURE'!$E$7:$E$1506,$Z26)&amp;"")</f>
      </c>
      <c r="E26" s="136">
        <f>IF($Z26="","",INDEX('CARNET DE SOUDURE'!$K$7:$K$1506,$Z26)&amp;"")</f>
      </c>
      <c r="F26" s="136">
        <f>IF($Z26="","",INDEX('CARNET DE SOUDURE'!$L$7:$L$1506,$Z26)&amp;"")</f>
      </c>
      <c r="G26" s="144">
        <f>IF(E26="","",IFERROR(INDEX(BARDAGE!$F$7:$F$1506,MATCH(E26,BARDAGE!$B$7:$B$1506,0)),""))</f>
      </c>
      <c r="H26" s="136">
        <f>IF($Z26="","",INDEX('CARNET DE SOUDURE'!$M$7:$M$1506,$Z26)&amp;"")</f>
      </c>
      <c r="I26" s="136">
        <f>IF($Z26="","",INDEX('CARNET DE SOUDURE'!$N$7:$N$1506,$Z26)&amp;"")</f>
      </c>
      <c r="J26" s="144">
        <f>IF(H26="","",IFERROR(INDEX(BARDAGE!$F$7:$F$1506,MATCH(H26,BARDAGE!$B$7:$B$1506,0)),""))</f>
      </c>
      <c r="K26" s="136">
        <f>IF($Z26="","",INDEX('CARNET DE SOUDURE'!$G$7:$G$1506,$Z26)&amp;"")</f>
      </c>
      <c r="L26" s="136">
        <f>IF($Z26="","",IF(INDEX('CARNET DE SOUDURE'!$H$7:$H$1506,$Z26)="","",INDEX('CARNET DE SOUDURE'!$H$7:$H$1506,$Z26)))</f>
      </c>
      <c r="M26" s="145">
        <f>IF($Z26="","",IF(INDEX('CARNET DE SOUDURE'!$R$7:$R$1506,$Z26)="","",INDEX('CARNET DE SOUDURE'!$R$7:$R$1506,$Z26)))</f>
      </c>
      <c r="N26" s="136">
        <f>IF($Z26="","",INDEX('CARNET DE SOUDURE'!$J$7:$J$1506,$Z26)&amp;"")</f>
      </c>
      <c r="O26" s="136">
        <f>IF($Z26="","",INDEX('CARNET DE SOUDURE'!$O$7:$O$1506,$Z26)&amp;"")</f>
      </c>
      <c r="P26" s="136">
        <f>IF($Z26="","",INDEX('CARNET DE SOUDURE'!$P$7:$P$1506,$Z26)&amp;"")</f>
      </c>
      <c r="Q26" s="136">
        <f>IF($Z26="","",INDEX('CARNET DE SOUDURE'!$Q$7:$Q$1506,$Z26)&amp;"")</f>
      </c>
      <c r="R26" s="136">
        <f>IF($Z26="","",INDEX('CARNET DE SOUDURE'!$T$7:$T$1506,$Z26)&amp;"")</f>
      </c>
      <c r="S26" s="136">
        <f>IF($Z26="","",IF(INDEX('CARNET DE SOUDURE'!$AG$7:$AG$1506,$Z26)&lt;&gt;"",INDEX('CARNET DE SOUDURE'!$AG$7:$AG$1506,$Z26)&amp;"",IF(INDEX('CARNET DE SOUDURE'!$AB$7:$AB$1506,$Z26)&lt;&gt;"",INDEX('CARNET DE SOUDURE'!$AB$7:$AB$1506,$Z26)&amp;"",INDEX('CARNET DE SOUDURE'!$W$7:$W$1506,$Z26)&amp;"")))</f>
      </c>
      <c r="T26" s="136">
        <f>IF($Z26="","",INDEX('CARNET DE SOUDURE'!$T$7:$T$1506,$Z26)&amp;"")</f>
      </c>
      <c r="U26" s="136">
        <f>IF($Z26="","",INDEX('CARNET DE SOUDURE'!$W$7:$W$1506,$Z26)&amp;"")</f>
      </c>
      <c r="V26" s="136">
        <f>IF($Z26="","",IF(INDEX('CARNET DE SOUDURE'!$AE$7:$AE$1506,$Z26)&lt;&gt;"",INDEX('CARNET DE SOUDURE'!$AE$7:$AE$1506,$Z26)&amp;"",INDEX('CARNET DE SOUDURE'!$Z$7:$Z$1506,$Z26)&amp;""))</f>
      </c>
      <c r="W26" s="136">
        <f>IF($Z26="","",IF(INDEX('CARNET DE SOUDURE'!$AG$7:$AG$1506,$Z26)&lt;&gt;"",INDEX('CARNET DE SOUDURE'!$AG$7:$AG$1506,$Z26)&amp;"",INDEX('CARNET DE SOUDURE'!$AB$7:$AB$1506,$Z26)&amp;""))</f>
      </c>
      <c r="Z26" s="151">
        <f t="array" ref="Z26">IFERROR(SMALL(IF('CARNET DE SOUDURE'!$B$7:$B$1506=$E$5,ROW('CARNET DE SOUDURE'!$B$7:$B$1506)-6),($Z$4-1)*35+19),"")</f>
      </c>
    </row>
    <row r="27" ht="17" customHeight="true">
      <c r="A27" s="136">
        <f>IF($Z27="","",INDEX('CARNET DE SOUDURE'!$C$7:$C$1506,$Z27)&amp;"")</f>
      </c>
      <c r="B27" s="136">
        <f>IF($Z27="","",INDEX('CARNET DE SOUDURE'!$D$7:$D$1506,$Z27)&amp;"")</f>
      </c>
      <c r="C27" s="136">
        <f>IF($Z27="","",INDEX('CARNET DE SOUDURE'!$F$7:$F$1506,$Z27)&amp;"")</f>
      </c>
      <c r="D27" s="136">
        <f>IF($Z27="","",INDEX('CARNET DE SOUDURE'!$E$7:$E$1506,$Z27)&amp;"")</f>
      </c>
      <c r="E27" s="136">
        <f>IF($Z27="","",INDEX('CARNET DE SOUDURE'!$K$7:$K$1506,$Z27)&amp;"")</f>
      </c>
      <c r="F27" s="136">
        <f>IF($Z27="","",INDEX('CARNET DE SOUDURE'!$L$7:$L$1506,$Z27)&amp;"")</f>
      </c>
      <c r="G27" s="144">
        <f>IF(E27="","",IFERROR(INDEX(BARDAGE!$F$7:$F$1506,MATCH(E27,BARDAGE!$B$7:$B$1506,0)),""))</f>
      </c>
      <c r="H27" s="136">
        <f>IF($Z27="","",INDEX('CARNET DE SOUDURE'!$M$7:$M$1506,$Z27)&amp;"")</f>
      </c>
      <c r="I27" s="136">
        <f>IF($Z27="","",INDEX('CARNET DE SOUDURE'!$N$7:$N$1506,$Z27)&amp;"")</f>
      </c>
      <c r="J27" s="144">
        <f>IF(H27="","",IFERROR(INDEX(BARDAGE!$F$7:$F$1506,MATCH(H27,BARDAGE!$B$7:$B$1506,0)),""))</f>
      </c>
      <c r="K27" s="136">
        <f>IF($Z27="","",INDEX('CARNET DE SOUDURE'!$G$7:$G$1506,$Z27)&amp;"")</f>
      </c>
      <c r="L27" s="136">
        <f>IF($Z27="","",IF(INDEX('CARNET DE SOUDURE'!$H$7:$H$1506,$Z27)="","",INDEX('CARNET DE SOUDURE'!$H$7:$H$1506,$Z27)))</f>
      </c>
      <c r="M27" s="145">
        <f>IF($Z27="","",IF(INDEX('CARNET DE SOUDURE'!$R$7:$R$1506,$Z27)="","",INDEX('CARNET DE SOUDURE'!$R$7:$R$1506,$Z27)))</f>
      </c>
      <c r="N27" s="136">
        <f>IF($Z27="","",INDEX('CARNET DE SOUDURE'!$J$7:$J$1506,$Z27)&amp;"")</f>
      </c>
      <c r="O27" s="136">
        <f>IF($Z27="","",INDEX('CARNET DE SOUDURE'!$O$7:$O$1506,$Z27)&amp;"")</f>
      </c>
      <c r="P27" s="136">
        <f>IF($Z27="","",INDEX('CARNET DE SOUDURE'!$P$7:$P$1506,$Z27)&amp;"")</f>
      </c>
      <c r="Q27" s="136">
        <f>IF($Z27="","",INDEX('CARNET DE SOUDURE'!$Q$7:$Q$1506,$Z27)&amp;"")</f>
      </c>
      <c r="R27" s="136">
        <f>IF($Z27="","",INDEX('CARNET DE SOUDURE'!$T$7:$T$1506,$Z27)&amp;"")</f>
      </c>
      <c r="S27" s="136">
        <f>IF($Z27="","",IF(INDEX('CARNET DE SOUDURE'!$AG$7:$AG$1506,$Z27)&lt;&gt;"",INDEX('CARNET DE SOUDURE'!$AG$7:$AG$1506,$Z27)&amp;"",IF(INDEX('CARNET DE SOUDURE'!$AB$7:$AB$1506,$Z27)&lt;&gt;"",INDEX('CARNET DE SOUDURE'!$AB$7:$AB$1506,$Z27)&amp;"",INDEX('CARNET DE SOUDURE'!$W$7:$W$1506,$Z27)&amp;"")))</f>
      </c>
      <c r="T27" s="136">
        <f>IF($Z27="","",INDEX('CARNET DE SOUDURE'!$T$7:$T$1506,$Z27)&amp;"")</f>
      </c>
      <c r="U27" s="136">
        <f>IF($Z27="","",INDEX('CARNET DE SOUDURE'!$W$7:$W$1506,$Z27)&amp;"")</f>
      </c>
      <c r="V27" s="136">
        <f>IF($Z27="","",IF(INDEX('CARNET DE SOUDURE'!$AE$7:$AE$1506,$Z27)&lt;&gt;"",INDEX('CARNET DE SOUDURE'!$AE$7:$AE$1506,$Z27)&amp;"",INDEX('CARNET DE SOUDURE'!$Z$7:$Z$1506,$Z27)&amp;""))</f>
      </c>
      <c r="W27" s="136">
        <f>IF($Z27="","",IF(INDEX('CARNET DE SOUDURE'!$AG$7:$AG$1506,$Z27)&lt;&gt;"",INDEX('CARNET DE SOUDURE'!$AG$7:$AG$1506,$Z27)&amp;"",INDEX('CARNET DE SOUDURE'!$AB$7:$AB$1506,$Z27)&amp;""))</f>
      </c>
      <c r="Z27" s="151">
        <f t="array" ref="Z27">IFERROR(SMALL(IF('CARNET DE SOUDURE'!$B$7:$B$1506=$E$5,ROW('CARNET DE SOUDURE'!$B$7:$B$1506)-6),($Z$4-1)*35+20),"")</f>
      </c>
    </row>
    <row r="28" ht="17" customHeight="true">
      <c r="A28" s="136">
        <f>IF($Z28="","",INDEX('CARNET DE SOUDURE'!$C$7:$C$1506,$Z28)&amp;"")</f>
      </c>
      <c r="B28" s="136">
        <f>IF($Z28="","",INDEX('CARNET DE SOUDURE'!$D$7:$D$1506,$Z28)&amp;"")</f>
      </c>
      <c r="C28" s="136">
        <f>IF($Z28="","",INDEX('CARNET DE SOUDURE'!$F$7:$F$1506,$Z28)&amp;"")</f>
      </c>
      <c r="D28" s="136">
        <f>IF($Z28="","",INDEX('CARNET DE SOUDURE'!$E$7:$E$1506,$Z28)&amp;"")</f>
      </c>
      <c r="E28" s="136">
        <f>IF($Z28="","",INDEX('CARNET DE SOUDURE'!$K$7:$K$1506,$Z28)&amp;"")</f>
      </c>
      <c r="F28" s="136">
        <f>IF($Z28="","",INDEX('CARNET DE SOUDURE'!$L$7:$L$1506,$Z28)&amp;"")</f>
      </c>
      <c r="G28" s="144">
        <f>IF(E28="","",IFERROR(INDEX(BARDAGE!$F$7:$F$1506,MATCH(E28,BARDAGE!$B$7:$B$1506,0)),""))</f>
      </c>
      <c r="H28" s="136">
        <f>IF($Z28="","",INDEX('CARNET DE SOUDURE'!$M$7:$M$1506,$Z28)&amp;"")</f>
      </c>
      <c r="I28" s="136">
        <f>IF($Z28="","",INDEX('CARNET DE SOUDURE'!$N$7:$N$1506,$Z28)&amp;"")</f>
      </c>
      <c r="J28" s="144">
        <f>IF(H28="","",IFERROR(INDEX(BARDAGE!$F$7:$F$1506,MATCH(H28,BARDAGE!$B$7:$B$1506,0)),""))</f>
      </c>
      <c r="K28" s="136">
        <f>IF($Z28="","",INDEX('CARNET DE SOUDURE'!$G$7:$G$1506,$Z28)&amp;"")</f>
      </c>
      <c r="L28" s="136">
        <f>IF($Z28="","",IF(INDEX('CARNET DE SOUDURE'!$H$7:$H$1506,$Z28)="","",INDEX('CARNET DE SOUDURE'!$H$7:$H$1506,$Z28)))</f>
      </c>
      <c r="M28" s="145">
        <f>IF($Z28="","",IF(INDEX('CARNET DE SOUDURE'!$R$7:$R$1506,$Z28)="","",INDEX('CARNET DE SOUDURE'!$R$7:$R$1506,$Z28)))</f>
      </c>
      <c r="N28" s="136">
        <f>IF($Z28="","",INDEX('CARNET DE SOUDURE'!$J$7:$J$1506,$Z28)&amp;"")</f>
      </c>
      <c r="O28" s="136">
        <f>IF($Z28="","",INDEX('CARNET DE SOUDURE'!$O$7:$O$1506,$Z28)&amp;"")</f>
      </c>
      <c r="P28" s="136">
        <f>IF($Z28="","",INDEX('CARNET DE SOUDURE'!$P$7:$P$1506,$Z28)&amp;"")</f>
      </c>
      <c r="Q28" s="136">
        <f>IF($Z28="","",INDEX('CARNET DE SOUDURE'!$Q$7:$Q$1506,$Z28)&amp;"")</f>
      </c>
      <c r="R28" s="136">
        <f>IF($Z28="","",INDEX('CARNET DE SOUDURE'!$T$7:$T$1506,$Z28)&amp;"")</f>
      </c>
      <c r="S28" s="136">
        <f>IF($Z28="","",IF(INDEX('CARNET DE SOUDURE'!$AG$7:$AG$1506,$Z28)&lt;&gt;"",INDEX('CARNET DE SOUDURE'!$AG$7:$AG$1506,$Z28)&amp;"",IF(INDEX('CARNET DE SOUDURE'!$AB$7:$AB$1506,$Z28)&lt;&gt;"",INDEX('CARNET DE SOUDURE'!$AB$7:$AB$1506,$Z28)&amp;"",INDEX('CARNET DE SOUDURE'!$W$7:$W$1506,$Z28)&amp;"")))</f>
      </c>
      <c r="T28" s="136">
        <f>IF($Z28="","",INDEX('CARNET DE SOUDURE'!$T$7:$T$1506,$Z28)&amp;"")</f>
      </c>
      <c r="U28" s="136">
        <f>IF($Z28="","",INDEX('CARNET DE SOUDURE'!$W$7:$W$1506,$Z28)&amp;"")</f>
      </c>
      <c r="V28" s="136">
        <f>IF($Z28="","",IF(INDEX('CARNET DE SOUDURE'!$AE$7:$AE$1506,$Z28)&lt;&gt;"",INDEX('CARNET DE SOUDURE'!$AE$7:$AE$1506,$Z28)&amp;"",INDEX('CARNET DE SOUDURE'!$Z$7:$Z$1506,$Z28)&amp;""))</f>
      </c>
      <c r="W28" s="136">
        <f>IF($Z28="","",IF(INDEX('CARNET DE SOUDURE'!$AG$7:$AG$1506,$Z28)&lt;&gt;"",INDEX('CARNET DE SOUDURE'!$AG$7:$AG$1506,$Z28)&amp;"",INDEX('CARNET DE SOUDURE'!$AB$7:$AB$1506,$Z28)&amp;""))</f>
      </c>
      <c r="Z28" s="151">
        <f t="array" ref="Z28">IFERROR(SMALL(IF('CARNET DE SOUDURE'!$B$7:$B$1506=$E$5,ROW('CARNET DE SOUDURE'!$B$7:$B$1506)-6),($Z$4-1)*35+21),"")</f>
      </c>
    </row>
    <row r="29" ht="17" customHeight="true">
      <c r="A29" s="136">
        <f>IF($Z29="","",INDEX('CARNET DE SOUDURE'!$C$7:$C$1506,$Z29)&amp;"")</f>
      </c>
      <c r="B29" s="136">
        <f>IF($Z29="","",INDEX('CARNET DE SOUDURE'!$D$7:$D$1506,$Z29)&amp;"")</f>
      </c>
      <c r="C29" s="136">
        <f>IF($Z29="","",INDEX('CARNET DE SOUDURE'!$F$7:$F$1506,$Z29)&amp;"")</f>
      </c>
      <c r="D29" s="136">
        <f>IF($Z29="","",INDEX('CARNET DE SOUDURE'!$E$7:$E$1506,$Z29)&amp;"")</f>
      </c>
      <c r="E29" s="136">
        <f>IF($Z29="","",INDEX('CARNET DE SOUDURE'!$K$7:$K$1506,$Z29)&amp;"")</f>
      </c>
      <c r="F29" s="136">
        <f>IF($Z29="","",INDEX('CARNET DE SOUDURE'!$L$7:$L$1506,$Z29)&amp;"")</f>
      </c>
      <c r="G29" s="144">
        <f>IF(E29="","",IFERROR(INDEX(BARDAGE!$F$7:$F$1506,MATCH(E29,BARDAGE!$B$7:$B$1506,0)),""))</f>
      </c>
      <c r="H29" s="136">
        <f>IF($Z29="","",INDEX('CARNET DE SOUDURE'!$M$7:$M$1506,$Z29)&amp;"")</f>
      </c>
      <c r="I29" s="136">
        <f>IF($Z29="","",INDEX('CARNET DE SOUDURE'!$N$7:$N$1506,$Z29)&amp;"")</f>
      </c>
      <c r="J29" s="144">
        <f>IF(H29="","",IFERROR(INDEX(BARDAGE!$F$7:$F$1506,MATCH(H29,BARDAGE!$B$7:$B$1506,0)),""))</f>
      </c>
      <c r="K29" s="136">
        <f>IF($Z29="","",INDEX('CARNET DE SOUDURE'!$G$7:$G$1506,$Z29)&amp;"")</f>
      </c>
      <c r="L29" s="136">
        <f>IF($Z29="","",IF(INDEX('CARNET DE SOUDURE'!$H$7:$H$1506,$Z29)="","",INDEX('CARNET DE SOUDURE'!$H$7:$H$1506,$Z29)))</f>
      </c>
      <c r="M29" s="145">
        <f>IF($Z29="","",IF(INDEX('CARNET DE SOUDURE'!$R$7:$R$1506,$Z29)="","",INDEX('CARNET DE SOUDURE'!$R$7:$R$1506,$Z29)))</f>
      </c>
      <c r="N29" s="136">
        <f>IF($Z29="","",INDEX('CARNET DE SOUDURE'!$J$7:$J$1506,$Z29)&amp;"")</f>
      </c>
      <c r="O29" s="136">
        <f>IF($Z29="","",INDEX('CARNET DE SOUDURE'!$O$7:$O$1506,$Z29)&amp;"")</f>
      </c>
      <c r="P29" s="136">
        <f>IF($Z29="","",INDEX('CARNET DE SOUDURE'!$P$7:$P$1506,$Z29)&amp;"")</f>
      </c>
      <c r="Q29" s="136">
        <f>IF($Z29="","",INDEX('CARNET DE SOUDURE'!$Q$7:$Q$1506,$Z29)&amp;"")</f>
      </c>
      <c r="R29" s="136">
        <f>IF($Z29="","",INDEX('CARNET DE SOUDURE'!$T$7:$T$1506,$Z29)&amp;"")</f>
      </c>
      <c r="S29" s="136">
        <f>IF($Z29="","",IF(INDEX('CARNET DE SOUDURE'!$AG$7:$AG$1506,$Z29)&lt;&gt;"",INDEX('CARNET DE SOUDURE'!$AG$7:$AG$1506,$Z29)&amp;"",IF(INDEX('CARNET DE SOUDURE'!$AB$7:$AB$1506,$Z29)&lt;&gt;"",INDEX('CARNET DE SOUDURE'!$AB$7:$AB$1506,$Z29)&amp;"",INDEX('CARNET DE SOUDURE'!$W$7:$W$1506,$Z29)&amp;"")))</f>
      </c>
      <c r="T29" s="136">
        <f>IF($Z29="","",INDEX('CARNET DE SOUDURE'!$T$7:$T$1506,$Z29)&amp;"")</f>
      </c>
      <c r="U29" s="136">
        <f>IF($Z29="","",INDEX('CARNET DE SOUDURE'!$W$7:$W$1506,$Z29)&amp;"")</f>
      </c>
      <c r="V29" s="136">
        <f>IF($Z29="","",IF(INDEX('CARNET DE SOUDURE'!$AE$7:$AE$1506,$Z29)&lt;&gt;"",INDEX('CARNET DE SOUDURE'!$AE$7:$AE$1506,$Z29)&amp;"",INDEX('CARNET DE SOUDURE'!$Z$7:$Z$1506,$Z29)&amp;""))</f>
      </c>
      <c r="W29" s="136">
        <f>IF($Z29="","",IF(INDEX('CARNET DE SOUDURE'!$AG$7:$AG$1506,$Z29)&lt;&gt;"",INDEX('CARNET DE SOUDURE'!$AG$7:$AG$1506,$Z29)&amp;"",INDEX('CARNET DE SOUDURE'!$AB$7:$AB$1506,$Z29)&amp;""))</f>
      </c>
      <c r="Z29" s="151">
        <f t="array" ref="Z29">IFERROR(SMALL(IF('CARNET DE SOUDURE'!$B$7:$B$1506=$E$5,ROW('CARNET DE SOUDURE'!$B$7:$B$1506)-6),($Z$4-1)*35+22),"")</f>
      </c>
    </row>
    <row r="30" ht="17" customHeight="true">
      <c r="A30" s="136">
        <f>IF($Z30="","",INDEX('CARNET DE SOUDURE'!$C$7:$C$1506,$Z30)&amp;"")</f>
      </c>
      <c r="B30" s="136">
        <f>IF($Z30="","",INDEX('CARNET DE SOUDURE'!$D$7:$D$1506,$Z30)&amp;"")</f>
      </c>
      <c r="C30" s="136">
        <f>IF($Z30="","",INDEX('CARNET DE SOUDURE'!$F$7:$F$1506,$Z30)&amp;"")</f>
      </c>
      <c r="D30" s="136">
        <f>IF($Z30="","",INDEX('CARNET DE SOUDURE'!$E$7:$E$1506,$Z30)&amp;"")</f>
      </c>
      <c r="E30" s="136">
        <f>IF($Z30="","",INDEX('CARNET DE SOUDURE'!$K$7:$K$1506,$Z30)&amp;"")</f>
      </c>
      <c r="F30" s="136">
        <f>IF($Z30="","",INDEX('CARNET DE SOUDURE'!$L$7:$L$1506,$Z30)&amp;"")</f>
      </c>
      <c r="G30" s="144">
        <f>IF(E30="","",IFERROR(INDEX(BARDAGE!$F$7:$F$1506,MATCH(E30,BARDAGE!$B$7:$B$1506,0)),""))</f>
      </c>
      <c r="H30" s="136">
        <f>IF($Z30="","",INDEX('CARNET DE SOUDURE'!$M$7:$M$1506,$Z30)&amp;"")</f>
      </c>
      <c r="I30" s="136">
        <f>IF($Z30="","",INDEX('CARNET DE SOUDURE'!$N$7:$N$1506,$Z30)&amp;"")</f>
      </c>
      <c r="J30" s="144">
        <f>IF(H30="","",IFERROR(INDEX(BARDAGE!$F$7:$F$1506,MATCH(H30,BARDAGE!$B$7:$B$1506,0)),""))</f>
      </c>
      <c r="K30" s="136">
        <f>IF($Z30="","",INDEX('CARNET DE SOUDURE'!$G$7:$G$1506,$Z30)&amp;"")</f>
      </c>
      <c r="L30" s="136">
        <f>IF($Z30="","",IF(INDEX('CARNET DE SOUDURE'!$H$7:$H$1506,$Z30)="","",INDEX('CARNET DE SOUDURE'!$H$7:$H$1506,$Z30)))</f>
      </c>
      <c r="M30" s="145">
        <f>IF($Z30="","",IF(INDEX('CARNET DE SOUDURE'!$R$7:$R$1506,$Z30)="","",INDEX('CARNET DE SOUDURE'!$R$7:$R$1506,$Z30)))</f>
      </c>
      <c r="N30" s="136">
        <f>IF($Z30="","",INDEX('CARNET DE SOUDURE'!$J$7:$J$1506,$Z30)&amp;"")</f>
      </c>
      <c r="O30" s="136">
        <f>IF($Z30="","",INDEX('CARNET DE SOUDURE'!$O$7:$O$1506,$Z30)&amp;"")</f>
      </c>
      <c r="P30" s="136">
        <f>IF($Z30="","",INDEX('CARNET DE SOUDURE'!$P$7:$P$1506,$Z30)&amp;"")</f>
      </c>
      <c r="Q30" s="136">
        <f>IF($Z30="","",INDEX('CARNET DE SOUDURE'!$Q$7:$Q$1506,$Z30)&amp;"")</f>
      </c>
      <c r="R30" s="136">
        <f>IF($Z30="","",INDEX('CARNET DE SOUDURE'!$T$7:$T$1506,$Z30)&amp;"")</f>
      </c>
      <c r="S30" s="136">
        <f>IF($Z30="","",IF(INDEX('CARNET DE SOUDURE'!$AG$7:$AG$1506,$Z30)&lt;&gt;"",INDEX('CARNET DE SOUDURE'!$AG$7:$AG$1506,$Z30)&amp;"",IF(INDEX('CARNET DE SOUDURE'!$AB$7:$AB$1506,$Z30)&lt;&gt;"",INDEX('CARNET DE SOUDURE'!$AB$7:$AB$1506,$Z30)&amp;"",INDEX('CARNET DE SOUDURE'!$W$7:$W$1506,$Z30)&amp;"")))</f>
      </c>
      <c r="T30" s="136">
        <f>IF($Z30="","",INDEX('CARNET DE SOUDURE'!$T$7:$T$1506,$Z30)&amp;"")</f>
      </c>
      <c r="U30" s="136">
        <f>IF($Z30="","",INDEX('CARNET DE SOUDURE'!$W$7:$W$1506,$Z30)&amp;"")</f>
      </c>
      <c r="V30" s="136">
        <f>IF($Z30="","",IF(INDEX('CARNET DE SOUDURE'!$AE$7:$AE$1506,$Z30)&lt;&gt;"",INDEX('CARNET DE SOUDURE'!$AE$7:$AE$1506,$Z30)&amp;"",INDEX('CARNET DE SOUDURE'!$Z$7:$Z$1506,$Z30)&amp;""))</f>
      </c>
      <c r="W30" s="136">
        <f>IF($Z30="","",IF(INDEX('CARNET DE SOUDURE'!$AG$7:$AG$1506,$Z30)&lt;&gt;"",INDEX('CARNET DE SOUDURE'!$AG$7:$AG$1506,$Z30)&amp;"",INDEX('CARNET DE SOUDURE'!$AB$7:$AB$1506,$Z30)&amp;""))</f>
      </c>
      <c r="Z30" s="151">
        <f t="array" ref="Z30">IFERROR(SMALL(IF('CARNET DE SOUDURE'!$B$7:$B$1506=$E$5,ROW('CARNET DE SOUDURE'!$B$7:$B$1506)-6),($Z$4-1)*35+23),"")</f>
      </c>
    </row>
    <row r="31" ht="17" customHeight="true">
      <c r="A31" s="136">
        <f>IF($Z31="","",INDEX('CARNET DE SOUDURE'!$C$7:$C$1506,$Z31)&amp;"")</f>
      </c>
      <c r="B31" s="136">
        <f>IF($Z31="","",INDEX('CARNET DE SOUDURE'!$D$7:$D$1506,$Z31)&amp;"")</f>
      </c>
      <c r="C31" s="136">
        <f>IF($Z31="","",INDEX('CARNET DE SOUDURE'!$F$7:$F$1506,$Z31)&amp;"")</f>
      </c>
      <c r="D31" s="136">
        <f>IF($Z31="","",INDEX('CARNET DE SOUDURE'!$E$7:$E$1506,$Z31)&amp;"")</f>
      </c>
      <c r="E31" s="136">
        <f>IF($Z31="","",INDEX('CARNET DE SOUDURE'!$K$7:$K$1506,$Z31)&amp;"")</f>
      </c>
      <c r="F31" s="136">
        <f>IF($Z31="","",INDEX('CARNET DE SOUDURE'!$L$7:$L$1506,$Z31)&amp;"")</f>
      </c>
      <c r="G31" s="144">
        <f>IF(E31="","",IFERROR(INDEX(BARDAGE!$F$7:$F$1506,MATCH(E31,BARDAGE!$B$7:$B$1506,0)),""))</f>
      </c>
      <c r="H31" s="136">
        <f>IF($Z31="","",INDEX('CARNET DE SOUDURE'!$M$7:$M$1506,$Z31)&amp;"")</f>
      </c>
      <c r="I31" s="136">
        <f>IF($Z31="","",INDEX('CARNET DE SOUDURE'!$N$7:$N$1506,$Z31)&amp;"")</f>
      </c>
      <c r="J31" s="144">
        <f>IF(H31="","",IFERROR(INDEX(BARDAGE!$F$7:$F$1506,MATCH(H31,BARDAGE!$B$7:$B$1506,0)),""))</f>
      </c>
      <c r="K31" s="136">
        <f>IF($Z31="","",INDEX('CARNET DE SOUDURE'!$G$7:$G$1506,$Z31)&amp;"")</f>
      </c>
      <c r="L31" s="136">
        <f>IF($Z31="","",IF(INDEX('CARNET DE SOUDURE'!$H$7:$H$1506,$Z31)="","",INDEX('CARNET DE SOUDURE'!$H$7:$H$1506,$Z31)))</f>
      </c>
      <c r="M31" s="145">
        <f>IF($Z31="","",IF(INDEX('CARNET DE SOUDURE'!$R$7:$R$1506,$Z31)="","",INDEX('CARNET DE SOUDURE'!$R$7:$R$1506,$Z31)))</f>
      </c>
      <c r="N31" s="136">
        <f>IF($Z31="","",INDEX('CARNET DE SOUDURE'!$J$7:$J$1506,$Z31)&amp;"")</f>
      </c>
      <c r="O31" s="136">
        <f>IF($Z31="","",INDEX('CARNET DE SOUDURE'!$O$7:$O$1506,$Z31)&amp;"")</f>
      </c>
      <c r="P31" s="136">
        <f>IF($Z31="","",INDEX('CARNET DE SOUDURE'!$P$7:$P$1506,$Z31)&amp;"")</f>
      </c>
      <c r="Q31" s="136">
        <f>IF($Z31="","",INDEX('CARNET DE SOUDURE'!$Q$7:$Q$1506,$Z31)&amp;"")</f>
      </c>
      <c r="R31" s="136">
        <f>IF($Z31="","",INDEX('CARNET DE SOUDURE'!$T$7:$T$1506,$Z31)&amp;"")</f>
      </c>
      <c r="S31" s="136">
        <f>IF($Z31="","",IF(INDEX('CARNET DE SOUDURE'!$AG$7:$AG$1506,$Z31)&lt;&gt;"",INDEX('CARNET DE SOUDURE'!$AG$7:$AG$1506,$Z31)&amp;"",IF(INDEX('CARNET DE SOUDURE'!$AB$7:$AB$1506,$Z31)&lt;&gt;"",INDEX('CARNET DE SOUDURE'!$AB$7:$AB$1506,$Z31)&amp;"",INDEX('CARNET DE SOUDURE'!$W$7:$W$1506,$Z31)&amp;"")))</f>
      </c>
      <c r="T31" s="136">
        <f>IF($Z31="","",INDEX('CARNET DE SOUDURE'!$T$7:$T$1506,$Z31)&amp;"")</f>
      </c>
      <c r="U31" s="136">
        <f>IF($Z31="","",INDEX('CARNET DE SOUDURE'!$W$7:$W$1506,$Z31)&amp;"")</f>
      </c>
      <c r="V31" s="136">
        <f>IF($Z31="","",IF(INDEX('CARNET DE SOUDURE'!$AE$7:$AE$1506,$Z31)&lt;&gt;"",INDEX('CARNET DE SOUDURE'!$AE$7:$AE$1506,$Z31)&amp;"",INDEX('CARNET DE SOUDURE'!$Z$7:$Z$1506,$Z31)&amp;""))</f>
      </c>
      <c r="W31" s="136">
        <f>IF($Z31="","",IF(INDEX('CARNET DE SOUDURE'!$AG$7:$AG$1506,$Z31)&lt;&gt;"",INDEX('CARNET DE SOUDURE'!$AG$7:$AG$1506,$Z31)&amp;"",INDEX('CARNET DE SOUDURE'!$AB$7:$AB$1506,$Z31)&amp;""))</f>
      </c>
      <c r="Z31" s="151">
        <f t="array" ref="Z31">IFERROR(SMALL(IF('CARNET DE SOUDURE'!$B$7:$B$1506=$E$5,ROW('CARNET DE SOUDURE'!$B$7:$B$1506)-6),($Z$4-1)*35+24),"")</f>
      </c>
    </row>
    <row r="32" ht="17" customHeight="true">
      <c r="A32" s="136">
        <f>IF($Z32="","",INDEX('CARNET DE SOUDURE'!$C$7:$C$1506,$Z32)&amp;"")</f>
      </c>
      <c r="B32" s="136">
        <f>IF($Z32="","",INDEX('CARNET DE SOUDURE'!$D$7:$D$1506,$Z32)&amp;"")</f>
      </c>
      <c r="C32" s="136">
        <f>IF($Z32="","",INDEX('CARNET DE SOUDURE'!$F$7:$F$1506,$Z32)&amp;"")</f>
      </c>
      <c r="D32" s="136">
        <f>IF($Z32="","",INDEX('CARNET DE SOUDURE'!$E$7:$E$1506,$Z32)&amp;"")</f>
      </c>
      <c r="E32" s="136">
        <f>IF($Z32="","",INDEX('CARNET DE SOUDURE'!$K$7:$K$1506,$Z32)&amp;"")</f>
      </c>
      <c r="F32" s="136">
        <f>IF($Z32="","",INDEX('CARNET DE SOUDURE'!$L$7:$L$1506,$Z32)&amp;"")</f>
      </c>
      <c r="G32" s="144">
        <f>IF(E32="","",IFERROR(INDEX(BARDAGE!$F$7:$F$1506,MATCH(E32,BARDAGE!$B$7:$B$1506,0)),""))</f>
      </c>
      <c r="H32" s="136">
        <f>IF($Z32="","",INDEX('CARNET DE SOUDURE'!$M$7:$M$1506,$Z32)&amp;"")</f>
      </c>
      <c r="I32" s="136">
        <f>IF($Z32="","",INDEX('CARNET DE SOUDURE'!$N$7:$N$1506,$Z32)&amp;"")</f>
      </c>
      <c r="J32" s="144">
        <f>IF(H32="","",IFERROR(INDEX(BARDAGE!$F$7:$F$1506,MATCH(H32,BARDAGE!$B$7:$B$1506,0)),""))</f>
      </c>
      <c r="K32" s="136">
        <f>IF($Z32="","",INDEX('CARNET DE SOUDURE'!$G$7:$G$1506,$Z32)&amp;"")</f>
      </c>
      <c r="L32" s="136">
        <f>IF($Z32="","",IF(INDEX('CARNET DE SOUDURE'!$H$7:$H$1506,$Z32)="","",INDEX('CARNET DE SOUDURE'!$H$7:$H$1506,$Z32)))</f>
      </c>
      <c r="M32" s="145">
        <f>IF($Z32="","",IF(INDEX('CARNET DE SOUDURE'!$R$7:$R$1506,$Z32)="","",INDEX('CARNET DE SOUDURE'!$R$7:$R$1506,$Z32)))</f>
      </c>
      <c r="N32" s="136">
        <f>IF($Z32="","",INDEX('CARNET DE SOUDURE'!$J$7:$J$1506,$Z32)&amp;"")</f>
      </c>
      <c r="O32" s="136">
        <f>IF($Z32="","",INDEX('CARNET DE SOUDURE'!$O$7:$O$1506,$Z32)&amp;"")</f>
      </c>
      <c r="P32" s="136">
        <f>IF($Z32="","",INDEX('CARNET DE SOUDURE'!$P$7:$P$1506,$Z32)&amp;"")</f>
      </c>
      <c r="Q32" s="136">
        <f>IF($Z32="","",INDEX('CARNET DE SOUDURE'!$Q$7:$Q$1506,$Z32)&amp;"")</f>
      </c>
      <c r="R32" s="136">
        <f>IF($Z32="","",INDEX('CARNET DE SOUDURE'!$T$7:$T$1506,$Z32)&amp;"")</f>
      </c>
      <c r="S32" s="136">
        <f>IF($Z32="","",IF(INDEX('CARNET DE SOUDURE'!$AG$7:$AG$1506,$Z32)&lt;&gt;"",INDEX('CARNET DE SOUDURE'!$AG$7:$AG$1506,$Z32)&amp;"",IF(INDEX('CARNET DE SOUDURE'!$AB$7:$AB$1506,$Z32)&lt;&gt;"",INDEX('CARNET DE SOUDURE'!$AB$7:$AB$1506,$Z32)&amp;"",INDEX('CARNET DE SOUDURE'!$W$7:$W$1506,$Z32)&amp;"")))</f>
      </c>
      <c r="T32" s="136">
        <f>IF($Z32="","",INDEX('CARNET DE SOUDURE'!$T$7:$T$1506,$Z32)&amp;"")</f>
      </c>
      <c r="U32" s="136">
        <f>IF($Z32="","",INDEX('CARNET DE SOUDURE'!$W$7:$W$1506,$Z32)&amp;"")</f>
      </c>
      <c r="V32" s="136">
        <f>IF($Z32="","",IF(INDEX('CARNET DE SOUDURE'!$AE$7:$AE$1506,$Z32)&lt;&gt;"",INDEX('CARNET DE SOUDURE'!$AE$7:$AE$1506,$Z32)&amp;"",INDEX('CARNET DE SOUDURE'!$Z$7:$Z$1506,$Z32)&amp;""))</f>
      </c>
      <c r="W32" s="136">
        <f>IF($Z32="","",IF(INDEX('CARNET DE SOUDURE'!$AG$7:$AG$1506,$Z32)&lt;&gt;"",INDEX('CARNET DE SOUDURE'!$AG$7:$AG$1506,$Z32)&amp;"",INDEX('CARNET DE SOUDURE'!$AB$7:$AB$1506,$Z32)&amp;""))</f>
      </c>
      <c r="Z32" s="151">
        <f t="array" ref="Z32">IFERROR(SMALL(IF('CARNET DE SOUDURE'!$B$7:$B$1506=$E$5,ROW('CARNET DE SOUDURE'!$B$7:$B$1506)-6),($Z$4-1)*35+25),"")</f>
      </c>
    </row>
    <row r="33" ht="17" customHeight="true">
      <c r="A33" s="136">
        <f>IF($Z33="","",INDEX('CARNET DE SOUDURE'!$C$7:$C$1506,$Z33)&amp;"")</f>
      </c>
      <c r="B33" s="136">
        <f>IF($Z33="","",INDEX('CARNET DE SOUDURE'!$D$7:$D$1506,$Z33)&amp;"")</f>
      </c>
      <c r="C33" s="136">
        <f>IF($Z33="","",INDEX('CARNET DE SOUDURE'!$F$7:$F$1506,$Z33)&amp;"")</f>
      </c>
      <c r="D33" s="136">
        <f>IF($Z33="","",INDEX('CARNET DE SOUDURE'!$E$7:$E$1506,$Z33)&amp;"")</f>
      </c>
      <c r="E33" s="136">
        <f>IF($Z33="","",INDEX('CARNET DE SOUDURE'!$K$7:$K$1506,$Z33)&amp;"")</f>
      </c>
      <c r="F33" s="136">
        <f>IF($Z33="","",INDEX('CARNET DE SOUDURE'!$L$7:$L$1506,$Z33)&amp;"")</f>
      </c>
      <c r="G33" s="144">
        <f>IF(E33="","",IFERROR(INDEX(BARDAGE!$F$7:$F$1506,MATCH(E33,BARDAGE!$B$7:$B$1506,0)),""))</f>
      </c>
      <c r="H33" s="136">
        <f>IF($Z33="","",INDEX('CARNET DE SOUDURE'!$M$7:$M$1506,$Z33)&amp;"")</f>
      </c>
      <c r="I33" s="136">
        <f>IF($Z33="","",INDEX('CARNET DE SOUDURE'!$N$7:$N$1506,$Z33)&amp;"")</f>
      </c>
      <c r="J33" s="144">
        <f>IF(H33="","",IFERROR(INDEX(BARDAGE!$F$7:$F$1506,MATCH(H33,BARDAGE!$B$7:$B$1506,0)),""))</f>
      </c>
      <c r="K33" s="136">
        <f>IF($Z33="","",INDEX('CARNET DE SOUDURE'!$G$7:$G$1506,$Z33)&amp;"")</f>
      </c>
      <c r="L33" s="136">
        <f>IF($Z33="","",IF(INDEX('CARNET DE SOUDURE'!$H$7:$H$1506,$Z33)="","",INDEX('CARNET DE SOUDURE'!$H$7:$H$1506,$Z33)))</f>
      </c>
      <c r="M33" s="145">
        <f>IF($Z33="","",IF(INDEX('CARNET DE SOUDURE'!$R$7:$R$1506,$Z33)="","",INDEX('CARNET DE SOUDURE'!$R$7:$R$1506,$Z33)))</f>
      </c>
      <c r="N33" s="136">
        <f>IF($Z33="","",INDEX('CARNET DE SOUDURE'!$J$7:$J$1506,$Z33)&amp;"")</f>
      </c>
      <c r="O33" s="136">
        <f>IF($Z33="","",INDEX('CARNET DE SOUDURE'!$O$7:$O$1506,$Z33)&amp;"")</f>
      </c>
      <c r="P33" s="136">
        <f>IF($Z33="","",INDEX('CARNET DE SOUDURE'!$P$7:$P$1506,$Z33)&amp;"")</f>
      </c>
      <c r="Q33" s="136">
        <f>IF($Z33="","",INDEX('CARNET DE SOUDURE'!$Q$7:$Q$1506,$Z33)&amp;"")</f>
      </c>
      <c r="R33" s="136">
        <f>IF($Z33="","",INDEX('CARNET DE SOUDURE'!$T$7:$T$1506,$Z33)&amp;"")</f>
      </c>
      <c r="S33" s="136">
        <f>IF($Z33="","",IF(INDEX('CARNET DE SOUDURE'!$AG$7:$AG$1506,$Z33)&lt;&gt;"",INDEX('CARNET DE SOUDURE'!$AG$7:$AG$1506,$Z33)&amp;"",IF(INDEX('CARNET DE SOUDURE'!$AB$7:$AB$1506,$Z33)&lt;&gt;"",INDEX('CARNET DE SOUDURE'!$AB$7:$AB$1506,$Z33)&amp;"",INDEX('CARNET DE SOUDURE'!$W$7:$W$1506,$Z33)&amp;"")))</f>
      </c>
      <c r="T33" s="136">
        <f>IF($Z33="","",INDEX('CARNET DE SOUDURE'!$T$7:$T$1506,$Z33)&amp;"")</f>
      </c>
      <c r="U33" s="136">
        <f>IF($Z33="","",INDEX('CARNET DE SOUDURE'!$W$7:$W$1506,$Z33)&amp;"")</f>
      </c>
      <c r="V33" s="136">
        <f>IF($Z33="","",IF(INDEX('CARNET DE SOUDURE'!$AE$7:$AE$1506,$Z33)&lt;&gt;"",INDEX('CARNET DE SOUDURE'!$AE$7:$AE$1506,$Z33)&amp;"",INDEX('CARNET DE SOUDURE'!$Z$7:$Z$1506,$Z33)&amp;""))</f>
      </c>
      <c r="W33" s="136">
        <f>IF($Z33="","",IF(INDEX('CARNET DE SOUDURE'!$AG$7:$AG$1506,$Z33)&lt;&gt;"",INDEX('CARNET DE SOUDURE'!$AG$7:$AG$1506,$Z33)&amp;"",INDEX('CARNET DE SOUDURE'!$AB$7:$AB$1506,$Z33)&amp;""))</f>
      </c>
      <c r="Z33" s="151">
        <f t="array" ref="Z33">IFERROR(SMALL(IF('CARNET DE SOUDURE'!$B$7:$B$1506=$E$5,ROW('CARNET DE SOUDURE'!$B$7:$B$1506)-6),($Z$4-1)*35+26),"")</f>
      </c>
    </row>
    <row r="34" ht="17" customHeight="true">
      <c r="A34" s="136">
        <f>IF($Z34="","",INDEX('CARNET DE SOUDURE'!$C$7:$C$1506,$Z34)&amp;"")</f>
      </c>
      <c r="B34" s="136">
        <f>IF($Z34="","",INDEX('CARNET DE SOUDURE'!$D$7:$D$1506,$Z34)&amp;"")</f>
      </c>
      <c r="C34" s="136">
        <f>IF($Z34="","",INDEX('CARNET DE SOUDURE'!$F$7:$F$1506,$Z34)&amp;"")</f>
      </c>
      <c r="D34" s="136">
        <f>IF($Z34="","",INDEX('CARNET DE SOUDURE'!$E$7:$E$1506,$Z34)&amp;"")</f>
      </c>
      <c r="E34" s="136">
        <f>IF($Z34="","",INDEX('CARNET DE SOUDURE'!$K$7:$K$1506,$Z34)&amp;"")</f>
      </c>
      <c r="F34" s="136">
        <f>IF($Z34="","",INDEX('CARNET DE SOUDURE'!$L$7:$L$1506,$Z34)&amp;"")</f>
      </c>
      <c r="G34" s="144">
        <f>IF(E34="","",IFERROR(INDEX(BARDAGE!$F$7:$F$1506,MATCH(E34,BARDAGE!$B$7:$B$1506,0)),""))</f>
      </c>
      <c r="H34" s="136">
        <f>IF($Z34="","",INDEX('CARNET DE SOUDURE'!$M$7:$M$1506,$Z34)&amp;"")</f>
      </c>
      <c r="I34" s="136">
        <f>IF($Z34="","",INDEX('CARNET DE SOUDURE'!$N$7:$N$1506,$Z34)&amp;"")</f>
      </c>
      <c r="J34" s="144">
        <f>IF(H34="","",IFERROR(INDEX(BARDAGE!$F$7:$F$1506,MATCH(H34,BARDAGE!$B$7:$B$1506,0)),""))</f>
      </c>
      <c r="K34" s="136">
        <f>IF($Z34="","",INDEX('CARNET DE SOUDURE'!$G$7:$G$1506,$Z34)&amp;"")</f>
      </c>
      <c r="L34" s="136">
        <f>IF($Z34="","",IF(INDEX('CARNET DE SOUDURE'!$H$7:$H$1506,$Z34)="","",INDEX('CARNET DE SOUDURE'!$H$7:$H$1506,$Z34)))</f>
      </c>
      <c r="M34" s="145">
        <f>IF($Z34="","",IF(INDEX('CARNET DE SOUDURE'!$R$7:$R$1506,$Z34)="","",INDEX('CARNET DE SOUDURE'!$R$7:$R$1506,$Z34)))</f>
      </c>
      <c r="N34" s="136">
        <f>IF($Z34="","",INDEX('CARNET DE SOUDURE'!$J$7:$J$1506,$Z34)&amp;"")</f>
      </c>
      <c r="O34" s="136">
        <f>IF($Z34="","",INDEX('CARNET DE SOUDURE'!$O$7:$O$1506,$Z34)&amp;"")</f>
      </c>
      <c r="P34" s="136">
        <f>IF($Z34="","",INDEX('CARNET DE SOUDURE'!$P$7:$P$1506,$Z34)&amp;"")</f>
      </c>
      <c r="Q34" s="136">
        <f>IF($Z34="","",INDEX('CARNET DE SOUDURE'!$Q$7:$Q$1506,$Z34)&amp;"")</f>
      </c>
      <c r="R34" s="136">
        <f>IF($Z34="","",INDEX('CARNET DE SOUDURE'!$T$7:$T$1506,$Z34)&amp;"")</f>
      </c>
      <c r="S34" s="136">
        <f>IF($Z34="","",IF(INDEX('CARNET DE SOUDURE'!$AG$7:$AG$1506,$Z34)&lt;&gt;"",INDEX('CARNET DE SOUDURE'!$AG$7:$AG$1506,$Z34)&amp;"",IF(INDEX('CARNET DE SOUDURE'!$AB$7:$AB$1506,$Z34)&lt;&gt;"",INDEX('CARNET DE SOUDURE'!$AB$7:$AB$1506,$Z34)&amp;"",INDEX('CARNET DE SOUDURE'!$W$7:$W$1506,$Z34)&amp;"")))</f>
      </c>
      <c r="T34" s="136">
        <f>IF($Z34="","",INDEX('CARNET DE SOUDURE'!$T$7:$T$1506,$Z34)&amp;"")</f>
      </c>
      <c r="U34" s="136">
        <f>IF($Z34="","",INDEX('CARNET DE SOUDURE'!$W$7:$W$1506,$Z34)&amp;"")</f>
      </c>
      <c r="V34" s="136">
        <f>IF($Z34="","",IF(INDEX('CARNET DE SOUDURE'!$AE$7:$AE$1506,$Z34)&lt;&gt;"",INDEX('CARNET DE SOUDURE'!$AE$7:$AE$1506,$Z34)&amp;"",INDEX('CARNET DE SOUDURE'!$Z$7:$Z$1506,$Z34)&amp;""))</f>
      </c>
      <c r="W34" s="136">
        <f>IF($Z34="","",IF(INDEX('CARNET DE SOUDURE'!$AG$7:$AG$1506,$Z34)&lt;&gt;"",INDEX('CARNET DE SOUDURE'!$AG$7:$AG$1506,$Z34)&amp;"",INDEX('CARNET DE SOUDURE'!$AB$7:$AB$1506,$Z34)&amp;""))</f>
      </c>
      <c r="Z34" s="151">
        <f t="array" ref="Z34">IFERROR(SMALL(IF('CARNET DE SOUDURE'!$B$7:$B$1506=$E$5,ROW('CARNET DE SOUDURE'!$B$7:$B$1506)-6),($Z$4-1)*35+27),"")</f>
      </c>
    </row>
    <row r="35" ht="17" customHeight="true">
      <c r="A35" s="136">
        <f>IF($Z35="","",INDEX('CARNET DE SOUDURE'!$C$7:$C$1506,$Z35)&amp;"")</f>
      </c>
      <c r="B35" s="136">
        <f>IF($Z35="","",INDEX('CARNET DE SOUDURE'!$D$7:$D$1506,$Z35)&amp;"")</f>
      </c>
      <c r="C35" s="136">
        <f>IF($Z35="","",INDEX('CARNET DE SOUDURE'!$F$7:$F$1506,$Z35)&amp;"")</f>
      </c>
      <c r="D35" s="136">
        <f>IF($Z35="","",INDEX('CARNET DE SOUDURE'!$E$7:$E$1506,$Z35)&amp;"")</f>
      </c>
      <c r="E35" s="136">
        <f>IF($Z35="","",INDEX('CARNET DE SOUDURE'!$K$7:$K$1506,$Z35)&amp;"")</f>
      </c>
      <c r="F35" s="136">
        <f>IF($Z35="","",INDEX('CARNET DE SOUDURE'!$L$7:$L$1506,$Z35)&amp;"")</f>
      </c>
      <c r="G35" s="144">
        <f>IF(E35="","",IFERROR(INDEX(BARDAGE!$F$7:$F$1506,MATCH(E35,BARDAGE!$B$7:$B$1506,0)),""))</f>
      </c>
      <c r="H35" s="136">
        <f>IF($Z35="","",INDEX('CARNET DE SOUDURE'!$M$7:$M$1506,$Z35)&amp;"")</f>
      </c>
      <c r="I35" s="136">
        <f>IF($Z35="","",INDEX('CARNET DE SOUDURE'!$N$7:$N$1506,$Z35)&amp;"")</f>
      </c>
      <c r="J35" s="144">
        <f>IF(H35="","",IFERROR(INDEX(BARDAGE!$F$7:$F$1506,MATCH(H35,BARDAGE!$B$7:$B$1506,0)),""))</f>
      </c>
      <c r="K35" s="136">
        <f>IF($Z35="","",INDEX('CARNET DE SOUDURE'!$G$7:$G$1506,$Z35)&amp;"")</f>
      </c>
      <c r="L35" s="136">
        <f>IF($Z35="","",IF(INDEX('CARNET DE SOUDURE'!$H$7:$H$1506,$Z35)="","",INDEX('CARNET DE SOUDURE'!$H$7:$H$1506,$Z35)))</f>
      </c>
      <c r="M35" s="145">
        <f>IF($Z35="","",IF(INDEX('CARNET DE SOUDURE'!$R$7:$R$1506,$Z35)="","",INDEX('CARNET DE SOUDURE'!$R$7:$R$1506,$Z35)))</f>
      </c>
      <c r="N35" s="136">
        <f>IF($Z35="","",INDEX('CARNET DE SOUDURE'!$J$7:$J$1506,$Z35)&amp;"")</f>
      </c>
      <c r="O35" s="136">
        <f>IF($Z35="","",INDEX('CARNET DE SOUDURE'!$O$7:$O$1506,$Z35)&amp;"")</f>
      </c>
      <c r="P35" s="136">
        <f>IF($Z35="","",INDEX('CARNET DE SOUDURE'!$P$7:$P$1506,$Z35)&amp;"")</f>
      </c>
      <c r="Q35" s="136">
        <f>IF($Z35="","",INDEX('CARNET DE SOUDURE'!$Q$7:$Q$1506,$Z35)&amp;"")</f>
      </c>
      <c r="R35" s="136">
        <f>IF($Z35="","",INDEX('CARNET DE SOUDURE'!$T$7:$T$1506,$Z35)&amp;"")</f>
      </c>
      <c r="S35" s="136">
        <f>IF($Z35="","",IF(INDEX('CARNET DE SOUDURE'!$AG$7:$AG$1506,$Z35)&lt;&gt;"",INDEX('CARNET DE SOUDURE'!$AG$7:$AG$1506,$Z35)&amp;"",IF(INDEX('CARNET DE SOUDURE'!$AB$7:$AB$1506,$Z35)&lt;&gt;"",INDEX('CARNET DE SOUDURE'!$AB$7:$AB$1506,$Z35)&amp;"",INDEX('CARNET DE SOUDURE'!$W$7:$W$1506,$Z35)&amp;"")))</f>
      </c>
      <c r="T35" s="136">
        <f>IF($Z35="","",INDEX('CARNET DE SOUDURE'!$T$7:$T$1506,$Z35)&amp;"")</f>
      </c>
      <c r="U35" s="136">
        <f>IF($Z35="","",INDEX('CARNET DE SOUDURE'!$W$7:$W$1506,$Z35)&amp;"")</f>
      </c>
      <c r="V35" s="136">
        <f>IF($Z35="","",IF(INDEX('CARNET DE SOUDURE'!$AE$7:$AE$1506,$Z35)&lt;&gt;"",INDEX('CARNET DE SOUDURE'!$AE$7:$AE$1506,$Z35)&amp;"",INDEX('CARNET DE SOUDURE'!$Z$7:$Z$1506,$Z35)&amp;""))</f>
      </c>
      <c r="W35" s="136">
        <f>IF($Z35="","",IF(INDEX('CARNET DE SOUDURE'!$AG$7:$AG$1506,$Z35)&lt;&gt;"",INDEX('CARNET DE SOUDURE'!$AG$7:$AG$1506,$Z35)&amp;"",INDEX('CARNET DE SOUDURE'!$AB$7:$AB$1506,$Z35)&amp;""))</f>
      </c>
      <c r="Z35" s="151">
        <f t="array" ref="Z35">IFERROR(SMALL(IF('CARNET DE SOUDURE'!$B$7:$B$1506=$E$5,ROW('CARNET DE SOUDURE'!$B$7:$B$1506)-6),($Z$4-1)*35+28),"")</f>
      </c>
    </row>
    <row r="36" ht="17" customHeight="true">
      <c r="A36" s="136">
        <f>IF($Z36="","",INDEX('CARNET DE SOUDURE'!$C$7:$C$1506,$Z36)&amp;"")</f>
      </c>
      <c r="B36" s="136">
        <f>IF($Z36="","",INDEX('CARNET DE SOUDURE'!$D$7:$D$1506,$Z36)&amp;"")</f>
      </c>
      <c r="C36" s="136">
        <f>IF($Z36="","",INDEX('CARNET DE SOUDURE'!$F$7:$F$1506,$Z36)&amp;"")</f>
      </c>
      <c r="D36" s="136">
        <f>IF($Z36="","",INDEX('CARNET DE SOUDURE'!$E$7:$E$1506,$Z36)&amp;"")</f>
      </c>
      <c r="E36" s="136">
        <f>IF($Z36="","",INDEX('CARNET DE SOUDURE'!$K$7:$K$1506,$Z36)&amp;"")</f>
      </c>
      <c r="F36" s="136">
        <f>IF($Z36="","",INDEX('CARNET DE SOUDURE'!$L$7:$L$1506,$Z36)&amp;"")</f>
      </c>
      <c r="G36" s="144">
        <f>IF(E36="","",IFERROR(INDEX(BARDAGE!$F$7:$F$1506,MATCH(E36,BARDAGE!$B$7:$B$1506,0)),""))</f>
      </c>
      <c r="H36" s="136">
        <f>IF($Z36="","",INDEX('CARNET DE SOUDURE'!$M$7:$M$1506,$Z36)&amp;"")</f>
      </c>
      <c r="I36" s="136">
        <f>IF($Z36="","",INDEX('CARNET DE SOUDURE'!$N$7:$N$1506,$Z36)&amp;"")</f>
      </c>
      <c r="J36" s="144">
        <f>IF(H36="","",IFERROR(INDEX(BARDAGE!$F$7:$F$1506,MATCH(H36,BARDAGE!$B$7:$B$1506,0)),""))</f>
      </c>
      <c r="K36" s="136">
        <f>IF($Z36="","",INDEX('CARNET DE SOUDURE'!$G$7:$G$1506,$Z36)&amp;"")</f>
      </c>
      <c r="L36" s="136">
        <f>IF($Z36="","",IF(INDEX('CARNET DE SOUDURE'!$H$7:$H$1506,$Z36)="","",INDEX('CARNET DE SOUDURE'!$H$7:$H$1506,$Z36)))</f>
      </c>
      <c r="M36" s="145">
        <f>IF($Z36="","",IF(INDEX('CARNET DE SOUDURE'!$R$7:$R$1506,$Z36)="","",INDEX('CARNET DE SOUDURE'!$R$7:$R$1506,$Z36)))</f>
      </c>
      <c r="N36" s="136">
        <f>IF($Z36="","",INDEX('CARNET DE SOUDURE'!$J$7:$J$1506,$Z36)&amp;"")</f>
      </c>
      <c r="O36" s="136">
        <f>IF($Z36="","",INDEX('CARNET DE SOUDURE'!$O$7:$O$1506,$Z36)&amp;"")</f>
      </c>
      <c r="P36" s="136">
        <f>IF($Z36="","",INDEX('CARNET DE SOUDURE'!$P$7:$P$1506,$Z36)&amp;"")</f>
      </c>
      <c r="Q36" s="136">
        <f>IF($Z36="","",INDEX('CARNET DE SOUDURE'!$Q$7:$Q$1506,$Z36)&amp;"")</f>
      </c>
      <c r="R36" s="136">
        <f>IF($Z36="","",INDEX('CARNET DE SOUDURE'!$T$7:$T$1506,$Z36)&amp;"")</f>
      </c>
      <c r="S36" s="136">
        <f>IF($Z36="","",IF(INDEX('CARNET DE SOUDURE'!$AG$7:$AG$1506,$Z36)&lt;&gt;"",INDEX('CARNET DE SOUDURE'!$AG$7:$AG$1506,$Z36)&amp;"",IF(INDEX('CARNET DE SOUDURE'!$AB$7:$AB$1506,$Z36)&lt;&gt;"",INDEX('CARNET DE SOUDURE'!$AB$7:$AB$1506,$Z36)&amp;"",INDEX('CARNET DE SOUDURE'!$W$7:$W$1506,$Z36)&amp;"")))</f>
      </c>
      <c r="T36" s="136">
        <f>IF($Z36="","",INDEX('CARNET DE SOUDURE'!$T$7:$T$1506,$Z36)&amp;"")</f>
      </c>
      <c r="U36" s="136">
        <f>IF($Z36="","",INDEX('CARNET DE SOUDURE'!$W$7:$W$1506,$Z36)&amp;"")</f>
      </c>
      <c r="V36" s="136">
        <f>IF($Z36="","",IF(INDEX('CARNET DE SOUDURE'!$AE$7:$AE$1506,$Z36)&lt;&gt;"",INDEX('CARNET DE SOUDURE'!$AE$7:$AE$1506,$Z36)&amp;"",INDEX('CARNET DE SOUDURE'!$Z$7:$Z$1506,$Z36)&amp;""))</f>
      </c>
      <c r="W36" s="136">
        <f>IF($Z36="","",IF(INDEX('CARNET DE SOUDURE'!$AG$7:$AG$1506,$Z36)&lt;&gt;"",INDEX('CARNET DE SOUDURE'!$AG$7:$AG$1506,$Z36)&amp;"",INDEX('CARNET DE SOUDURE'!$AB$7:$AB$1506,$Z36)&amp;""))</f>
      </c>
      <c r="Z36" s="151">
        <f t="array" ref="Z36">IFERROR(SMALL(IF('CARNET DE SOUDURE'!$B$7:$B$1506=$E$5,ROW('CARNET DE SOUDURE'!$B$7:$B$1506)-6),($Z$4-1)*35+29),"")</f>
      </c>
    </row>
    <row r="37" ht="17" customHeight="true">
      <c r="A37" s="136">
        <f>IF($Z37="","",INDEX('CARNET DE SOUDURE'!$C$7:$C$1506,$Z37)&amp;"")</f>
      </c>
      <c r="B37" s="136">
        <f>IF($Z37="","",INDEX('CARNET DE SOUDURE'!$D$7:$D$1506,$Z37)&amp;"")</f>
      </c>
      <c r="C37" s="136">
        <f>IF($Z37="","",INDEX('CARNET DE SOUDURE'!$F$7:$F$1506,$Z37)&amp;"")</f>
      </c>
      <c r="D37" s="136">
        <f>IF($Z37="","",INDEX('CARNET DE SOUDURE'!$E$7:$E$1506,$Z37)&amp;"")</f>
      </c>
      <c r="E37" s="136">
        <f>IF($Z37="","",INDEX('CARNET DE SOUDURE'!$K$7:$K$1506,$Z37)&amp;"")</f>
      </c>
      <c r="F37" s="136">
        <f>IF($Z37="","",INDEX('CARNET DE SOUDURE'!$L$7:$L$1506,$Z37)&amp;"")</f>
      </c>
      <c r="G37" s="144">
        <f>IF(E37="","",IFERROR(INDEX(BARDAGE!$F$7:$F$1506,MATCH(E37,BARDAGE!$B$7:$B$1506,0)),""))</f>
      </c>
      <c r="H37" s="136">
        <f>IF($Z37="","",INDEX('CARNET DE SOUDURE'!$M$7:$M$1506,$Z37)&amp;"")</f>
      </c>
      <c r="I37" s="136">
        <f>IF($Z37="","",INDEX('CARNET DE SOUDURE'!$N$7:$N$1506,$Z37)&amp;"")</f>
      </c>
      <c r="J37" s="144">
        <f>IF(H37="","",IFERROR(INDEX(BARDAGE!$F$7:$F$1506,MATCH(H37,BARDAGE!$B$7:$B$1506,0)),""))</f>
      </c>
      <c r="K37" s="136">
        <f>IF($Z37="","",INDEX('CARNET DE SOUDURE'!$G$7:$G$1506,$Z37)&amp;"")</f>
      </c>
      <c r="L37" s="136">
        <f>IF($Z37="","",IF(INDEX('CARNET DE SOUDURE'!$H$7:$H$1506,$Z37)="","",INDEX('CARNET DE SOUDURE'!$H$7:$H$1506,$Z37)))</f>
      </c>
      <c r="M37" s="145">
        <f>IF($Z37="","",IF(INDEX('CARNET DE SOUDURE'!$R$7:$R$1506,$Z37)="","",INDEX('CARNET DE SOUDURE'!$R$7:$R$1506,$Z37)))</f>
      </c>
      <c r="N37" s="136">
        <f>IF($Z37="","",INDEX('CARNET DE SOUDURE'!$J$7:$J$1506,$Z37)&amp;"")</f>
      </c>
      <c r="O37" s="136">
        <f>IF($Z37="","",INDEX('CARNET DE SOUDURE'!$O$7:$O$1506,$Z37)&amp;"")</f>
      </c>
      <c r="P37" s="136">
        <f>IF($Z37="","",INDEX('CARNET DE SOUDURE'!$P$7:$P$1506,$Z37)&amp;"")</f>
      </c>
      <c r="Q37" s="136">
        <f>IF($Z37="","",INDEX('CARNET DE SOUDURE'!$Q$7:$Q$1506,$Z37)&amp;"")</f>
      </c>
      <c r="R37" s="136">
        <f>IF($Z37="","",INDEX('CARNET DE SOUDURE'!$T$7:$T$1506,$Z37)&amp;"")</f>
      </c>
      <c r="S37" s="136">
        <f>IF($Z37="","",IF(INDEX('CARNET DE SOUDURE'!$AG$7:$AG$1506,$Z37)&lt;&gt;"",INDEX('CARNET DE SOUDURE'!$AG$7:$AG$1506,$Z37)&amp;"",IF(INDEX('CARNET DE SOUDURE'!$AB$7:$AB$1506,$Z37)&lt;&gt;"",INDEX('CARNET DE SOUDURE'!$AB$7:$AB$1506,$Z37)&amp;"",INDEX('CARNET DE SOUDURE'!$W$7:$W$1506,$Z37)&amp;"")))</f>
      </c>
      <c r="T37" s="136">
        <f>IF($Z37="","",INDEX('CARNET DE SOUDURE'!$T$7:$T$1506,$Z37)&amp;"")</f>
      </c>
      <c r="U37" s="136">
        <f>IF($Z37="","",INDEX('CARNET DE SOUDURE'!$W$7:$W$1506,$Z37)&amp;"")</f>
      </c>
      <c r="V37" s="136">
        <f>IF($Z37="","",IF(INDEX('CARNET DE SOUDURE'!$AE$7:$AE$1506,$Z37)&lt;&gt;"",INDEX('CARNET DE SOUDURE'!$AE$7:$AE$1506,$Z37)&amp;"",INDEX('CARNET DE SOUDURE'!$Z$7:$Z$1506,$Z37)&amp;""))</f>
      </c>
      <c r="W37" s="136">
        <f>IF($Z37="","",IF(INDEX('CARNET DE SOUDURE'!$AG$7:$AG$1506,$Z37)&lt;&gt;"",INDEX('CARNET DE SOUDURE'!$AG$7:$AG$1506,$Z37)&amp;"",INDEX('CARNET DE SOUDURE'!$AB$7:$AB$1506,$Z37)&amp;""))</f>
      </c>
      <c r="Z37" s="151">
        <f t="array" ref="Z37">IFERROR(SMALL(IF('CARNET DE SOUDURE'!$B$7:$B$1506=$E$5,ROW('CARNET DE SOUDURE'!$B$7:$B$1506)-6),($Z$4-1)*35+30),"")</f>
      </c>
    </row>
    <row r="38" ht="17" customHeight="true">
      <c r="A38" s="136">
        <f>IF($Z38="","",INDEX('CARNET DE SOUDURE'!$C$7:$C$1506,$Z38)&amp;"")</f>
      </c>
      <c r="B38" s="136">
        <f>IF($Z38="","",INDEX('CARNET DE SOUDURE'!$D$7:$D$1506,$Z38)&amp;"")</f>
      </c>
      <c r="C38" s="136">
        <f>IF($Z38="","",INDEX('CARNET DE SOUDURE'!$F$7:$F$1506,$Z38)&amp;"")</f>
      </c>
      <c r="D38" s="136">
        <f>IF($Z38="","",INDEX('CARNET DE SOUDURE'!$E$7:$E$1506,$Z38)&amp;"")</f>
      </c>
      <c r="E38" s="136">
        <f>IF($Z38="","",INDEX('CARNET DE SOUDURE'!$K$7:$K$1506,$Z38)&amp;"")</f>
      </c>
      <c r="F38" s="136">
        <f>IF($Z38="","",INDEX('CARNET DE SOUDURE'!$L$7:$L$1506,$Z38)&amp;"")</f>
      </c>
      <c r="G38" s="144">
        <f>IF(E38="","",IFERROR(INDEX(BARDAGE!$F$7:$F$1506,MATCH(E38,BARDAGE!$B$7:$B$1506,0)),""))</f>
      </c>
      <c r="H38" s="136">
        <f>IF($Z38="","",INDEX('CARNET DE SOUDURE'!$M$7:$M$1506,$Z38)&amp;"")</f>
      </c>
      <c r="I38" s="136">
        <f>IF($Z38="","",INDEX('CARNET DE SOUDURE'!$N$7:$N$1506,$Z38)&amp;"")</f>
      </c>
      <c r="J38" s="144">
        <f>IF(H38="","",IFERROR(INDEX(BARDAGE!$F$7:$F$1506,MATCH(H38,BARDAGE!$B$7:$B$1506,0)),""))</f>
      </c>
      <c r="K38" s="136">
        <f>IF($Z38="","",INDEX('CARNET DE SOUDURE'!$G$7:$G$1506,$Z38)&amp;"")</f>
      </c>
      <c r="L38" s="136">
        <f>IF($Z38="","",IF(INDEX('CARNET DE SOUDURE'!$H$7:$H$1506,$Z38)="","",INDEX('CARNET DE SOUDURE'!$H$7:$H$1506,$Z38)))</f>
      </c>
      <c r="M38" s="145">
        <f>IF($Z38="","",IF(INDEX('CARNET DE SOUDURE'!$R$7:$R$1506,$Z38)="","",INDEX('CARNET DE SOUDURE'!$R$7:$R$1506,$Z38)))</f>
      </c>
      <c r="N38" s="136">
        <f>IF($Z38="","",INDEX('CARNET DE SOUDURE'!$J$7:$J$1506,$Z38)&amp;"")</f>
      </c>
      <c r="O38" s="136">
        <f>IF($Z38="","",INDEX('CARNET DE SOUDURE'!$O$7:$O$1506,$Z38)&amp;"")</f>
      </c>
      <c r="P38" s="136">
        <f>IF($Z38="","",INDEX('CARNET DE SOUDURE'!$P$7:$P$1506,$Z38)&amp;"")</f>
      </c>
      <c r="Q38" s="136">
        <f>IF($Z38="","",INDEX('CARNET DE SOUDURE'!$Q$7:$Q$1506,$Z38)&amp;"")</f>
      </c>
      <c r="R38" s="136">
        <f>IF($Z38="","",INDEX('CARNET DE SOUDURE'!$T$7:$T$1506,$Z38)&amp;"")</f>
      </c>
      <c r="S38" s="136">
        <f>IF($Z38="","",IF(INDEX('CARNET DE SOUDURE'!$AG$7:$AG$1506,$Z38)&lt;&gt;"",INDEX('CARNET DE SOUDURE'!$AG$7:$AG$1506,$Z38)&amp;"",IF(INDEX('CARNET DE SOUDURE'!$AB$7:$AB$1506,$Z38)&lt;&gt;"",INDEX('CARNET DE SOUDURE'!$AB$7:$AB$1506,$Z38)&amp;"",INDEX('CARNET DE SOUDURE'!$W$7:$W$1506,$Z38)&amp;"")))</f>
      </c>
      <c r="T38" s="136">
        <f>IF($Z38="","",INDEX('CARNET DE SOUDURE'!$T$7:$T$1506,$Z38)&amp;"")</f>
      </c>
      <c r="U38" s="136">
        <f>IF($Z38="","",INDEX('CARNET DE SOUDURE'!$W$7:$W$1506,$Z38)&amp;"")</f>
      </c>
      <c r="V38" s="136">
        <f>IF($Z38="","",IF(INDEX('CARNET DE SOUDURE'!$AE$7:$AE$1506,$Z38)&lt;&gt;"",INDEX('CARNET DE SOUDURE'!$AE$7:$AE$1506,$Z38)&amp;"",INDEX('CARNET DE SOUDURE'!$Z$7:$Z$1506,$Z38)&amp;""))</f>
      </c>
      <c r="W38" s="136">
        <f>IF($Z38="","",IF(INDEX('CARNET DE SOUDURE'!$AG$7:$AG$1506,$Z38)&lt;&gt;"",INDEX('CARNET DE SOUDURE'!$AG$7:$AG$1506,$Z38)&amp;"",INDEX('CARNET DE SOUDURE'!$AB$7:$AB$1506,$Z38)&amp;""))</f>
      </c>
      <c r="Z38" s="151">
        <f t="array" ref="Z38">IFERROR(SMALL(IF('CARNET DE SOUDURE'!$B$7:$B$1506=$E$5,ROW('CARNET DE SOUDURE'!$B$7:$B$1506)-6),($Z$4-1)*35+31),"")</f>
      </c>
    </row>
    <row r="39" ht="17" customHeight="true">
      <c r="A39" s="136">
        <f>IF($Z39="","",INDEX('CARNET DE SOUDURE'!$C$7:$C$1506,$Z39)&amp;"")</f>
      </c>
      <c r="B39" s="136">
        <f>IF($Z39="","",INDEX('CARNET DE SOUDURE'!$D$7:$D$1506,$Z39)&amp;"")</f>
      </c>
      <c r="C39" s="136">
        <f>IF($Z39="","",INDEX('CARNET DE SOUDURE'!$F$7:$F$1506,$Z39)&amp;"")</f>
      </c>
      <c r="D39" s="136">
        <f>IF($Z39="","",INDEX('CARNET DE SOUDURE'!$E$7:$E$1506,$Z39)&amp;"")</f>
      </c>
      <c r="E39" s="136">
        <f>IF($Z39="","",INDEX('CARNET DE SOUDURE'!$K$7:$K$1506,$Z39)&amp;"")</f>
      </c>
      <c r="F39" s="136">
        <f>IF($Z39="","",INDEX('CARNET DE SOUDURE'!$L$7:$L$1506,$Z39)&amp;"")</f>
      </c>
      <c r="G39" s="144">
        <f>IF(E39="","",IFERROR(INDEX(BARDAGE!$F$7:$F$1506,MATCH(E39,BARDAGE!$B$7:$B$1506,0)),""))</f>
      </c>
      <c r="H39" s="136">
        <f>IF($Z39="","",INDEX('CARNET DE SOUDURE'!$M$7:$M$1506,$Z39)&amp;"")</f>
      </c>
      <c r="I39" s="136">
        <f>IF($Z39="","",INDEX('CARNET DE SOUDURE'!$N$7:$N$1506,$Z39)&amp;"")</f>
      </c>
      <c r="J39" s="144">
        <f>IF(H39="","",IFERROR(INDEX(BARDAGE!$F$7:$F$1506,MATCH(H39,BARDAGE!$B$7:$B$1506,0)),""))</f>
      </c>
      <c r="K39" s="136">
        <f>IF($Z39="","",INDEX('CARNET DE SOUDURE'!$G$7:$G$1506,$Z39)&amp;"")</f>
      </c>
      <c r="L39" s="136">
        <f>IF($Z39="","",IF(INDEX('CARNET DE SOUDURE'!$H$7:$H$1506,$Z39)="","",INDEX('CARNET DE SOUDURE'!$H$7:$H$1506,$Z39)))</f>
      </c>
      <c r="M39" s="145">
        <f>IF($Z39="","",IF(INDEX('CARNET DE SOUDURE'!$R$7:$R$1506,$Z39)="","",INDEX('CARNET DE SOUDURE'!$R$7:$R$1506,$Z39)))</f>
      </c>
      <c r="N39" s="136">
        <f>IF($Z39="","",INDEX('CARNET DE SOUDURE'!$J$7:$J$1506,$Z39)&amp;"")</f>
      </c>
      <c r="O39" s="136">
        <f>IF($Z39="","",INDEX('CARNET DE SOUDURE'!$O$7:$O$1506,$Z39)&amp;"")</f>
      </c>
      <c r="P39" s="136">
        <f>IF($Z39="","",INDEX('CARNET DE SOUDURE'!$P$7:$P$1506,$Z39)&amp;"")</f>
      </c>
      <c r="Q39" s="136">
        <f>IF($Z39="","",INDEX('CARNET DE SOUDURE'!$Q$7:$Q$1506,$Z39)&amp;"")</f>
      </c>
      <c r="R39" s="136">
        <f>IF($Z39="","",INDEX('CARNET DE SOUDURE'!$T$7:$T$1506,$Z39)&amp;"")</f>
      </c>
      <c r="S39" s="136">
        <f>IF($Z39="","",IF(INDEX('CARNET DE SOUDURE'!$AG$7:$AG$1506,$Z39)&lt;&gt;"",INDEX('CARNET DE SOUDURE'!$AG$7:$AG$1506,$Z39)&amp;"",IF(INDEX('CARNET DE SOUDURE'!$AB$7:$AB$1506,$Z39)&lt;&gt;"",INDEX('CARNET DE SOUDURE'!$AB$7:$AB$1506,$Z39)&amp;"",INDEX('CARNET DE SOUDURE'!$W$7:$W$1506,$Z39)&amp;"")))</f>
      </c>
      <c r="T39" s="136">
        <f>IF($Z39="","",INDEX('CARNET DE SOUDURE'!$T$7:$T$1506,$Z39)&amp;"")</f>
      </c>
      <c r="U39" s="136">
        <f>IF($Z39="","",INDEX('CARNET DE SOUDURE'!$W$7:$W$1506,$Z39)&amp;"")</f>
      </c>
      <c r="V39" s="136">
        <f>IF($Z39="","",IF(INDEX('CARNET DE SOUDURE'!$AE$7:$AE$1506,$Z39)&lt;&gt;"",INDEX('CARNET DE SOUDURE'!$AE$7:$AE$1506,$Z39)&amp;"",INDEX('CARNET DE SOUDURE'!$Z$7:$Z$1506,$Z39)&amp;""))</f>
      </c>
      <c r="W39" s="136">
        <f>IF($Z39="","",IF(INDEX('CARNET DE SOUDURE'!$AG$7:$AG$1506,$Z39)&lt;&gt;"",INDEX('CARNET DE SOUDURE'!$AG$7:$AG$1506,$Z39)&amp;"",INDEX('CARNET DE SOUDURE'!$AB$7:$AB$1506,$Z39)&amp;""))</f>
      </c>
      <c r="Z39" s="151">
        <f t="array" ref="Z39">IFERROR(SMALL(IF('CARNET DE SOUDURE'!$B$7:$B$1506=$E$5,ROW('CARNET DE SOUDURE'!$B$7:$B$1506)-6),($Z$4-1)*35+32),"")</f>
      </c>
    </row>
    <row r="40" ht="17" customHeight="true">
      <c r="A40" s="136">
        <f>IF($Z40="","",INDEX('CARNET DE SOUDURE'!$C$7:$C$1506,$Z40)&amp;"")</f>
      </c>
      <c r="B40" s="136">
        <f>IF($Z40="","",INDEX('CARNET DE SOUDURE'!$D$7:$D$1506,$Z40)&amp;"")</f>
      </c>
      <c r="C40" s="136">
        <f>IF($Z40="","",INDEX('CARNET DE SOUDURE'!$F$7:$F$1506,$Z40)&amp;"")</f>
      </c>
      <c r="D40" s="136">
        <f>IF($Z40="","",INDEX('CARNET DE SOUDURE'!$E$7:$E$1506,$Z40)&amp;"")</f>
      </c>
      <c r="E40" s="136">
        <f>IF($Z40="","",INDEX('CARNET DE SOUDURE'!$K$7:$K$1506,$Z40)&amp;"")</f>
      </c>
      <c r="F40" s="136">
        <f>IF($Z40="","",INDEX('CARNET DE SOUDURE'!$L$7:$L$1506,$Z40)&amp;"")</f>
      </c>
      <c r="G40" s="144">
        <f>IF(E40="","",IFERROR(INDEX(BARDAGE!$F$7:$F$1506,MATCH(E40,BARDAGE!$B$7:$B$1506,0)),""))</f>
      </c>
      <c r="H40" s="136">
        <f>IF($Z40="","",INDEX('CARNET DE SOUDURE'!$M$7:$M$1506,$Z40)&amp;"")</f>
      </c>
      <c r="I40" s="136">
        <f>IF($Z40="","",INDEX('CARNET DE SOUDURE'!$N$7:$N$1506,$Z40)&amp;"")</f>
      </c>
      <c r="J40" s="144">
        <f>IF(H40="","",IFERROR(INDEX(BARDAGE!$F$7:$F$1506,MATCH(H40,BARDAGE!$B$7:$B$1506,0)),""))</f>
      </c>
      <c r="K40" s="136">
        <f>IF($Z40="","",INDEX('CARNET DE SOUDURE'!$G$7:$G$1506,$Z40)&amp;"")</f>
      </c>
      <c r="L40" s="136">
        <f>IF($Z40="","",IF(INDEX('CARNET DE SOUDURE'!$H$7:$H$1506,$Z40)="","",INDEX('CARNET DE SOUDURE'!$H$7:$H$1506,$Z40)))</f>
      </c>
      <c r="M40" s="145">
        <f>IF($Z40="","",IF(INDEX('CARNET DE SOUDURE'!$R$7:$R$1506,$Z40)="","",INDEX('CARNET DE SOUDURE'!$R$7:$R$1506,$Z40)))</f>
      </c>
      <c r="N40" s="136">
        <f>IF($Z40="","",INDEX('CARNET DE SOUDURE'!$J$7:$J$1506,$Z40)&amp;"")</f>
      </c>
      <c r="O40" s="136">
        <f>IF($Z40="","",INDEX('CARNET DE SOUDURE'!$O$7:$O$1506,$Z40)&amp;"")</f>
      </c>
      <c r="P40" s="136">
        <f>IF($Z40="","",INDEX('CARNET DE SOUDURE'!$P$7:$P$1506,$Z40)&amp;"")</f>
      </c>
      <c r="Q40" s="136">
        <f>IF($Z40="","",INDEX('CARNET DE SOUDURE'!$Q$7:$Q$1506,$Z40)&amp;"")</f>
      </c>
      <c r="R40" s="136">
        <f>IF($Z40="","",INDEX('CARNET DE SOUDURE'!$T$7:$T$1506,$Z40)&amp;"")</f>
      </c>
      <c r="S40" s="136">
        <f>IF($Z40="","",IF(INDEX('CARNET DE SOUDURE'!$AG$7:$AG$1506,$Z40)&lt;&gt;"",INDEX('CARNET DE SOUDURE'!$AG$7:$AG$1506,$Z40)&amp;"",IF(INDEX('CARNET DE SOUDURE'!$AB$7:$AB$1506,$Z40)&lt;&gt;"",INDEX('CARNET DE SOUDURE'!$AB$7:$AB$1506,$Z40)&amp;"",INDEX('CARNET DE SOUDURE'!$W$7:$W$1506,$Z40)&amp;"")))</f>
      </c>
      <c r="T40" s="136">
        <f>IF($Z40="","",INDEX('CARNET DE SOUDURE'!$T$7:$T$1506,$Z40)&amp;"")</f>
      </c>
      <c r="U40" s="136">
        <f>IF($Z40="","",INDEX('CARNET DE SOUDURE'!$W$7:$W$1506,$Z40)&amp;"")</f>
      </c>
      <c r="V40" s="136">
        <f>IF($Z40="","",IF(INDEX('CARNET DE SOUDURE'!$AE$7:$AE$1506,$Z40)&lt;&gt;"",INDEX('CARNET DE SOUDURE'!$AE$7:$AE$1506,$Z40)&amp;"",INDEX('CARNET DE SOUDURE'!$Z$7:$Z$1506,$Z40)&amp;""))</f>
      </c>
      <c r="W40" s="136">
        <f>IF($Z40="","",IF(INDEX('CARNET DE SOUDURE'!$AG$7:$AG$1506,$Z40)&lt;&gt;"",INDEX('CARNET DE SOUDURE'!$AG$7:$AG$1506,$Z40)&amp;"",INDEX('CARNET DE SOUDURE'!$AB$7:$AB$1506,$Z40)&amp;""))</f>
      </c>
      <c r="Z40" s="151">
        <f t="array" ref="Z40">IFERROR(SMALL(IF('CARNET DE SOUDURE'!$B$7:$B$1506=$E$5,ROW('CARNET DE SOUDURE'!$B$7:$B$1506)-6),($Z$4-1)*35+33),"")</f>
      </c>
    </row>
    <row r="41" ht="17" customHeight="true">
      <c r="A41" s="136">
        <f>IF($Z41="","",INDEX('CARNET DE SOUDURE'!$C$7:$C$1506,$Z41)&amp;"")</f>
      </c>
      <c r="B41" s="136">
        <f>IF($Z41="","",INDEX('CARNET DE SOUDURE'!$D$7:$D$1506,$Z41)&amp;"")</f>
      </c>
      <c r="C41" s="136">
        <f>IF($Z41="","",INDEX('CARNET DE SOUDURE'!$F$7:$F$1506,$Z41)&amp;"")</f>
      </c>
      <c r="D41" s="136">
        <f>IF($Z41="","",INDEX('CARNET DE SOUDURE'!$E$7:$E$1506,$Z41)&amp;"")</f>
      </c>
      <c r="E41" s="136">
        <f>IF($Z41="","",INDEX('CARNET DE SOUDURE'!$K$7:$K$1506,$Z41)&amp;"")</f>
      </c>
      <c r="F41" s="136">
        <f>IF($Z41="","",INDEX('CARNET DE SOUDURE'!$L$7:$L$1506,$Z41)&amp;"")</f>
      </c>
      <c r="G41" s="144">
        <f>IF(E41="","",IFERROR(INDEX(BARDAGE!$F$7:$F$1506,MATCH(E41,BARDAGE!$B$7:$B$1506,0)),""))</f>
      </c>
      <c r="H41" s="136">
        <f>IF($Z41="","",INDEX('CARNET DE SOUDURE'!$M$7:$M$1506,$Z41)&amp;"")</f>
      </c>
      <c r="I41" s="136">
        <f>IF($Z41="","",INDEX('CARNET DE SOUDURE'!$N$7:$N$1506,$Z41)&amp;"")</f>
      </c>
      <c r="J41" s="144">
        <f>IF(H41="","",IFERROR(INDEX(BARDAGE!$F$7:$F$1506,MATCH(H41,BARDAGE!$B$7:$B$1506,0)),""))</f>
      </c>
      <c r="K41" s="136">
        <f>IF($Z41="","",INDEX('CARNET DE SOUDURE'!$G$7:$G$1506,$Z41)&amp;"")</f>
      </c>
      <c r="L41" s="136">
        <f>IF($Z41="","",IF(INDEX('CARNET DE SOUDURE'!$H$7:$H$1506,$Z41)="","",INDEX('CARNET DE SOUDURE'!$H$7:$H$1506,$Z41)))</f>
      </c>
      <c r="M41" s="145">
        <f>IF($Z41="","",IF(INDEX('CARNET DE SOUDURE'!$R$7:$R$1506,$Z41)="","",INDEX('CARNET DE SOUDURE'!$R$7:$R$1506,$Z41)))</f>
      </c>
      <c r="N41" s="136">
        <f>IF($Z41="","",INDEX('CARNET DE SOUDURE'!$J$7:$J$1506,$Z41)&amp;"")</f>
      </c>
      <c r="O41" s="136">
        <f>IF($Z41="","",INDEX('CARNET DE SOUDURE'!$O$7:$O$1506,$Z41)&amp;"")</f>
      </c>
      <c r="P41" s="136">
        <f>IF($Z41="","",INDEX('CARNET DE SOUDURE'!$P$7:$P$1506,$Z41)&amp;"")</f>
      </c>
      <c r="Q41" s="136">
        <f>IF($Z41="","",INDEX('CARNET DE SOUDURE'!$Q$7:$Q$1506,$Z41)&amp;"")</f>
      </c>
      <c r="R41" s="136">
        <f>IF($Z41="","",INDEX('CARNET DE SOUDURE'!$T$7:$T$1506,$Z41)&amp;"")</f>
      </c>
      <c r="S41" s="136">
        <f>IF($Z41="","",IF(INDEX('CARNET DE SOUDURE'!$AG$7:$AG$1506,$Z41)&lt;&gt;"",INDEX('CARNET DE SOUDURE'!$AG$7:$AG$1506,$Z41)&amp;"",IF(INDEX('CARNET DE SOUDURE'!$AB$7:$AB$1506,$Z41)&lt;&gt;"",INDEX('CARNET DE SOUDURE'!$AB$7:$AB$1506,$Z41)&amp;"",INDEX('CARNET DE SOUDURE'!$W$7:$W$1506,$Z41)&amp;"")))</f>
      </c>
      <c r="T41" s="136">
        <f>IF($Z41="","",INDEX('CARNET DE SOUDURE'!$T$7:$T$1506,$Z41)&amp;"")</f>
      </c>
      <c r="U41" s="136">
        <f>IF($Z41="","",INDEX('CARNET DE SOUDURE'!$W$7:$W$1506,$Z41)&amp;"")</f>
      </c>
      <c r="V41" s="136">
        <f>IF($Z41="","",IF(INDEX('CARNET DE SOUDURE'!$AE$7:$AE$1506,$Z41)&lt;&gt;"",INDEX('CARNET DE SOUDURE'!$AE$7:$AE$1506,$Z41)&amp;"",INDEX('CARNET DE SOUDURE'!$Z$7:$Z$1506,$Z41)&amp;""))</f>
      </c>
      <c r="W41" s="136">
        <f>IF($Z41="","",IF(INDEX('CARNET DE SOUDURE'!$AG$7:$AG$1506,$Z41)&lt;&gt;"",INDEX('CARNET DE SOUDURE'!$AG$7:$AG$1506,$Z41)&amp;"",INDEX('CARNET DE SOUDURE'!$AB$7:$AB$1506,$Z41)&amp;""))</f>
      </c>
      <c r="Z41" s="151">
        <f t="array" ref="Z41">IFERROR(SMALL(IF('CARNET DE SOUDURE'!$B$7:$B$1506=$E$5,ROW('CARNET DE SOUDURE'!$B$7:$B$1506)-6),($Z$4-1)*35+34),"")</f>
      </c>
    </row>
    <row r="42" ht="17" customHeight="true">
      <c r="A42" s="136">
        <f>IF($Z42="","",INDEX('CARNET DE SOUDURE'!$C$7:$C$1506,$Z42)&amp;"")</f>
      </c>
      <c r="B42" s="136">
        <f>IF($Z42="","",INDEX('CARNET DE SOUDURE'!$D$7:$D$1506,$Z42)&amp;"")</f>
      </c>
      <c r="C42" s="136">
        <f>IF($Z42="","",INDEX('CARNET DE SOUDURE'!$F$7:$F$1506,$Z42)&amp;"")</f>
      </c>
      <c r="D42" s="136">
        <f>IF($Z42="","",INDEX('CARNET DE SOUDURE'!$E$7:$E$1506,$Z42)&amp;"")</f>
      </c>
      <c r="E42" s="136">
        <f>IF($Z42="","",INDEX('CARNET DE SOUDURE'!$K$7:$K$1506,$Z42)&amp;"")</f>
      </c>
      <c r="F42" s="136">
        <f>IF($Z42="","",INDEX('CARNET DE SOUDURE'!$L$7:$L$1506,$Z42)&amp;"")</f>
      </c>
      <c r="G42" s="144">
        <f>IF(E42="","",IFERROR(INDEX(BARDAGE!$F$7:$F$1506,MATCH(E42,BARDAGE!$B$7:$B$1506,0)),""))</f>
      </c>
      <c r="H42" s="136">
        <f>IF($Z42="","",INDEX('CARNET DE SOUDURE'!$M$7:$M$1506,$Z42)&amp;"")</f>
      </c>
      <c r="I42" s="136">
        <f>IF($Z42="","",INDEX('CARNET DE SOUDURE'!$N$7:$N$1506,$Z42)&amp;"")</f>
      </c>
      <c r="J42" s="144">
        <f>IF(H42="","",IFERROR(INDEX(BARDAGE!$F$7:$F$1506,MATCH(H42,BARDAGE!$B$7:$B$1506,0)),""))</f>
      </c>
      <c r="K42" s="136">
        <f>IF($Z42="","",INDEX('CARNET DE SOUDURE'!$G$7:$G$1506,$Z42)&amp;"")</f>
      </c>
      <c r="L42" s="136">
        <f>IF($Z42="","",IF(INDEX('CARNET DE SOUDURE'!$H$7:$H$1506,$Z42)="","",INDEX('CARNET DE SOUDURE'!$H$7:$H$1506,$Z42)))</f>
      </c>
      <c r="M42" s="145">
        <f>IF($Z42="","",IF(INDEX('CARNET DE SOUDURE'!$R$7:$R$1506,$Z42)="","",INDEX('CARNET DE SOUDURE'!$R$7:$R$1506,$Z42)))</f>
      </c>
      <c r="N42" s="136">
        <f>IF($Z42="","",INDEX('CARNET DE SOUDURE'!$J$7:$J$1506,$Z42)&amp;"")</f>
      </c>
      <c r="O42" s="136">
        <f>IF($Z42="","",INDEX('CARNET DE SOUDURE'!$O$7:$O$1506,$Z42)&amp;"")</f>
      </c>
      <c r="P42" s="136">
        <f>IF($Z42="","",INDEX('CARNET DE SOUDURE'!$P$7:$P$1506,$Z42)&amp;"")</f>
      </c>
      <c r="Q42" s="136">
        <f>IF($Z42="","",INDEX('CARNET DE SOUDURE'!$Q$7:$Q$1506,$Z42)&amp;"")</f>
      </c>
      <c r="R42" s="136">
        <f>IF($Z42="","",INDEX('CARNET DE SOUDURE'!$T$7:$T$1506,$Z42)&amp;"")</f>
      </c>
      <c r="S42" s="136">
        <f>IF($Z42="","",IF(INDEX('CARNET DE SOUDURE'!$AG$7:$AG$1506,$Z42)&lt;&gt;"",INDEX('CARNET DE SOUDURE'!$AG$7:$AG$1506,$Z42)&amp;"",IF(INDEX('CARNET DE SOUDURE'!$AB$7:$AB$1506,$Z42)&lt;&gt;"",INDEX('CARNET DE SOUDURE'!$AB$7:$AB$1506,$Z42)&amp;"",INDEX('CARNET DE SOUDURE'!$W$7:$W$1506,$Z42)&amp;"")))</f>
      </c>
      <c r="T42" s="136">
        <f>IF($Z42="","",INDEX('CARNET DE SOUDURE'!$T$7:$T$1506,$Z42)&amp;"")</f>
      </c>
      <c r="U42" s="136">
        <f>IF($Z42="","",INDEX('CARNET DE SOUDURE'!$W$7:$W$1506,$Z42)&amp;"")</f>
      </c>
      <c r="V42" s="136">
        <f>IF($Z42="","",IF(INDEX('CARNET DE SOUDURE'!$AE$7:$AE$1506,$Z42)&lt;&gt;"",INDEX('CARNET DE SOUDURE'!$AE$7:$AE$1506,$Z42)&amp;"",INDEX('CARNET DE SOUDURE'!$Z$7:$Z$1506,$Z42)&amp;""))</f>
      </c>
      <c r="W42" s="136">
        <f>IF($Z42="","",IF(INDEX('CARNET DE SOUDURE'!$AG$7:$AG$1506,$Z42)&lt;&gt;"",INDEX('CARNET DE SOUDURE'!$AG$7:$AG$1506,$Z42)&amp;"",INDEX('CARNET DE SOUDURE'!$AB$7:$AB$1506,$Z42)&amp;""))</f>
      </c>
      <c r="Z42" s="151">
        <f t="array" ref="Z42">IFERROR(SMALL(IF('CARNET DE SOUDURE'!$B$7:$B$1506=$E$5,ROW('CARNET DE SOUDURE'!$B$7:$B$1506)-6),($Z$4-1)*35+35),"")</f>
      </c>
    </row>
    <row r="43" ht="6" customHeight="true">
      <c r="A43" s="136"/>
      <c r="B43" s="136"/>
      <c r="C43" s="136"/>
      <c r="D43" s="136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</row>
    <row r="44" ht="20" customHeight="true">
      <c r="A44" s="150" t="inlineStr">
        <is>
          <t xml:space="preserve">Établi par (Contrôle Qualité) :</t>
        </is>
      </c>
      <c r="B44" s="150"/>
      <c r="C44" s="150"/>
      <c r="D44" s="150"/>
      <c r="E44" s="150"/>
      <c r="F44" s="150"/>
      <c r="G44" s="150"/>
      <c r="H44" s="150"/>
      <c r="I44" s="150" t="inlineStr">
        <is>
          <t xml:space="preserve">Vérifié par (C1) :</t>
        </is>
      </c>
      <c r="J44" s="150"/>
      <c r="K44" s="150"/>
      <c r="L44" s="150"/>
      <c r="M44" s="150"/>
      <c r="N44" s="150"/>
      <c r="O44" s="150"/>
      <c r="P44" s="150"/>
      <c r="Q44" s="150" t="inlineStr">
        <is>
          <t xml:space="preserve">Approuvé par (CA) :</t>
        </is>
      </c>
      <c r="R44" s="150"/>
      <c r="S44" s="150"/>
      <c r="T44" s="150"/>
      <c r="U44" s="150"/>
      <c r="V44" s="150"/>
      <c r="W44" s="150"/>
    </row>
    <row r="45" ht="20" customHeight="true">
      <c r="A45" s="137" t="inlineStr">
        <is>
          <t xml:space="preserve">Nom / Date / Signature :</t>
        </is>
      </c>
      <c r="B45" s="137"/>
      <c r="C45" s="137"/>
      <c r="D45" s="137"/>
      <c r="E45" s="137"/>
      <c r="F45" s="137"/>
      <c r="G45" s="137"/>
      <c r="H45" s="137"/>
      <c r="I45" s="137" t="inlineStr">
        <is>
          <t xml:space="preserve">Nom / Date / Signature :</t>
        </is>
      </c>
      <c r="J45" s="137"/>
      <c r="K45" s="137"/>
      <c r="L45" s="137"/>
      <c r="M45" s="137"/>
      <c r="N45" s="137"/>
      <c r="O45" s="137"/>
      <c r="P45" s="137"/>
      <c r="Q45" s="137" t="inlineStr">
        <is>
          <t xml:space="preserve">Nom / Date / Signature :</t>
        </is>
      </c>
      <c r="R45" s="137"/>
      <c r="S45" s="137"/>
      <c r="T45" s="137"/>
      <c r="U45" s="137"/>
      <c r="V45" s="137"/>
      <c r="W45" s="137"/>
    </row>
    <row r="46" ht="20" customHeight="true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</row>
  </sheetData>
  <mergeCells count="24">
    <mergeCell ref="A1:C3"/>
    <mergeCell ref="D1:R3"/>
    <mergeCell ref="S1:W1"/>
    <mergeCell ref="S2:W2"/>
    <mergeCell ref="S3:W3"/>
    <mergeCell ref="A4:W4"/>
    <mergeCell ref="A5:D5"/>
    <mergeCell ref="E5:I5"/>
    <mergeCell ref="J5:K5"/>
    <mergeCell ref="L5:M5"/>
    <mergeCell ref="O5:P5"/>
    <mergeCell ref="R5:S5"/>
    <mergeCell ref="V5:W5"/>
    <mergeCell ref="A6:N6"/>
    <mergeCell ref="O6:Q6"/>
    <mergeCell ref="R6:S6"/>
    <mergeCell ref="T6:W6"/>
    <mergeCell ref="A43:W43"/>
    <mergeCell ref="A44:H44"/>
    <mergeCell ref="A45:H46"/>
    <mergeCell ref="I44:P44"/>
    <mergeCell ref="I45:P46"/>
    <mergeCell ref="Q44:W44"/>
    <mergeCell ref="Q45:W46"/>
  </mergeCells>
  <dataValidations count="2">
    <dataValidation type="list" allowBlank="true" showInputMessage="true" showErrorMessage="false" promptTitle="Ligne / ouvrage" prompt="Choisissez la ligne : le carnet se remplit depuis la feuille CARNET DE SOUDURE." sqref="E5">
      <formula1>PARAMÈTRES!$B$33:$B$40</formula1>
    </dataValidation>
    <dataValidation type="whole" operator="greaterThanOrEqual" allowBlank="true" showInputMessage="true" showErrorMessage="true" promptTitle="Page" prompt="N° de page (35 joints par page)." sqref="U5">
      <formula1>1</formula1>
    </dataValidation>
  </dataValidations>
  <printOptions horizontalCentered="true"/>
  <pageMargins left="0.3" right="0.3" top="0.4" bottom="0.4" header="0.2" footer="0.2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2026-09-28T17:19:02Z</dcterms:created>
  <dc:creator>openpyxl</dc:creator>
  <dc:description/>
  <dc:language>en-US</dc:language>
  <cp:lastModifiedBy/>
  <dcterms:modified xsi:type="dcterms:W3CDTF">2026-09-28T17:19:17Z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